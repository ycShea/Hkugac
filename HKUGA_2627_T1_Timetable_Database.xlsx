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metable" sheetId="1" state="visible" r:id="rId3"/>
    <sheet name="Class Lessons" sheetId="2" state="visible" r:id="rId4"/>
    <sheet name="Teacher Lookup" sheetId="3" state="visible" r:id="rId5"/>
    <sheet name="Notes" sheetId="4" state="visible" r:id="rId6"/>
  </sheets>
  <definedNames>
    <definedName function="false" hidden="true" localSheetId="1" name="_xlnm._FilterDatabase" vbProcedure="false">'Class Lessons'!$A$1:$H$2230</definedName>
    <definedName function="false" hidden="true" localSheetId="0" name="_xlnm._FilterDatabase" vbProcedure="false">Timetable!$A$1:$K$10681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<sst xmlns="http://schemas.openxmlformats.org/spreadsheetml/2006/main" count="77924" uniqueCount="776">
  <si>
    <t xml:space="preserve">Teacher</t>
  </si>
  <si>
    <t xml:space="preserve">Day</t>
  </si>
  <si>
    <t xml:space="preserve">Period</t>
  </si>
  <si>
    <t xml:space="preserve">Class</t>
  </si>
  <si>
    <t xml:space="preserve">Venue</t>
  </si>
  <si>
    <t xml:space="preserve">Co-teaching (Y or N)</t>
  </si>
  <si>
    <t xml:space="preserve">Subject</t>
  </si>
  <si>
    <t xml:space="preserve">Time</t>
  </si>
  <si>
    <t xml:space="preserve">Teachers in lesson</t>
  </si>
  <si>
    <t xml:space="preserve">Venues in lesson</t>
  </si>
  <si>
    <t xml:space="preserve">Teacher Name</t>
  </si>
  <si>
    <t xml:space="preserve">AF</t>
  </si>
  <si>
    <t xml:space="preserve">A1</t>
  </si>
  <si>
    <t xml:space="preserve">S2H</t>
  </si>
  <si>
    <t xml:space="preserve">401,402,403,501</t>
  </si>
  <si>
    <t xml:space="preserve">MA</t>
  </si>
  <si>
    <t xml:space="preserve">8:35 - 9:25</t>
  </si>
  <si>
    <t xml:space="preserve">S2K</t>
  </si>
  <si>
    <t xml:space="preserve">S2U</t>
  </si>
  <si>
    <t xml:space="preserve">S2A</t>
  </si>
  <si>
    <t xml:space="preserve">404,405,406,402</t>
  </si>
  <si>
    <t xml:space="preserve">9:25 - 10:15</t>
  </si>
  <si>
    <t xml:space="preserve">S2C</t>
  </si>
  <si>
    <t xml:space="preserve">S2G</t>
  </si>
  <si>
    <t xml:space="preserve">S5A</t>
  </si>
  <si>
    <t xml:space="preserve">301,302,303,304,305,405</t>
  </si>
  <si>
    <t xml:space="preserve">10:35 - 11:20</t>
  </si>
  <si>
    <t xml:space="preserve">S5G</t>
  </si>
  <si>
    <t xml:space="preserve">S5H</t>
  </si>
  <si>
    <t xml:space="preserve">S5K</t>
  </si>
  <si>
    <t xml:space="preserve">S5U</t>
  </si>
  <si>
    <t xml:space="preserve">A2</t>
  </si>
  <si>
    <t xml:space="preserve">401,402,403,306</t>
  </si>
  <si>
    <t xml:space="preserve">404,405,406,403</t>
  </si>
  <si>
    <t xml:space="preserve">11:20 - 12:10</t>
  </si>
  <si>
    <t xml:space="preserve">401,402,403,404,405,406,HALL</t>
  </si>
  <si>
    <t xml:space="preserve">HD</t>
  </si>
  <si>
    <t xml:space="preserve">12:10 - 13:00</t>
  </si>
  <si>
    <t xml:space="preserve">301,302,303,304,305,206</t>
  </si>
  <si>
    <t xml:space="preserve">14:50 - 15:40</t>
  </si>
  <si>
    <t xml:space="preserve">A3</t>
  </si>
  <si>
    <t xml:space="preserve">301,302,303,304,305,606</t>
  </si>
  <si>
    <t xml:space="preserve">14:00 - 14:50</t>
  </si>
  <si>
    <t xml:space="preserve">401,402,403,405</t>
  </si>
  <si>
    <t xml:space="preserve">A4</t>
  </si>
  <si>
    <t xml:space="preserve">301,302,303,304,305,205</t>
  </si>
  <si>
    <t xml:space="preserve">401,402,403,604</t>
  </si>
  <si>
    <t xml:space="preserve">A5</t>
  </si>
  <si>
    <t xml:space="preserve">404,405,406,206</t>
  </si>
  <si>
    <t xml:space="preserve">301,302,303,304,305,605</t>
  </si>
  <si>
    <t xml:space="preserve">B1</t>
  </si>
  <si>
    <t xml:space="preserve">404,405,406,505</t>
  </si>
  <si>
    <t xml:space="preserve">S4A</t>
  </si>
  <si>
    <t xml:space="preserve">601,602,603,604,210A,Music Room,508</t>
  </si>
  <si>
    <t xml:space="preserve">OPT2</t>
  </si>
  <si>
    <t xml:space="preserve">S4C</t>
  </si>
  <si>
    <t xml:space="preserve">S4G</t>
  </si>
  <si>
    <t xml:space="preserve">S4H</t>
  </si>
  <si>
    <t xml:space="preserve">S4K</t>
  </si>
  <si>
    <t xml:space="preserve">S4U</t>
  </si>
  <si>
    <t xml:space="preserve">B2</t>
  </si>
  <si>
    <t xml:space="preserve">301,302,303,304,305,306</t>
  </si>
  <si>
    <t xml:space="preserve">404,405,406,411</t>
  </si>
  <si>
    <t xml:space="preserve">B3</t>
  </si>
  <si>
    <t xml:space="preserve">301,302,303,304,305,406</t>
  </si>
  <si>
    <t xml:space="preserve">B4</t>
  </si>
  <si>
    <t xml:space="preserve">B5</t>
  </si>
  <si>
    <t xml:space="preserve">301,302,303,304,305,201</t>
  </si>
  <si>
    <t xml:space="preserve">401,402,403,202</t>
  </si>
  <si>
    <t xml:space="preserve">AFL</t>
  </si>
  <si>
    <t xml:space="preserve">S3A</t>
  </si>
  <si>
    <t xml:space="preserve">504,505,506,502</t>
  </si>
  <si>
    <t xml:space="preserve">CHI</t>
  </si>
  <si>
    <t xml:space="preserve">S3C</t>
  </si>
  <si>
    <t xml:space="preserve">S3G</t>
  </si>
  <si>
    <t xml:space="preserve">304,305,404</t>
  </si>
  <si>
    <t xml:space="preserve">S3H</t>
  </si>
  <si>
    <t xml:space="preserve">501,502,503,605</t>
  </si>
  <si>
    <t xml:space="preserve">S3K</t>
  </si>
  <si>
    <t xml:space="preserve">S3U</t>
  </si>
  <si>
    <t xml:space="preserve">501,502,503,505</t>
  </si>
  <si>
    <t xml:space="preserve">501,502,503,504,505,506,HALL</t>
  </si>
  <si>
    <t xml:space="preserve">304,305,202</t>
  </si>
  <si>
    <t xml:space="preserve">504,505,506,503</t>
  </si>
  <si>
    <t xml:space="preserve">501,502,503,504</t>
  </si>
  <si>
    <t xml:space="preserve">504,505,506,604</t>
  </si>
  <si>
    <t xml:space="preserve">304,305,406</t>
  </si>
  <si>
    <t xml:space="preserve">501,502,503,601</t>
  </si>
  <si>
    <t xml:space="preserve">501,502,503,401</t>
  </si>
  <si>
    <t xml:space="preserve">304,305,405</t>
  </si>
  <si>
    <t xml:space="preserve">501,502,503,506</t>
  </si>
  <si>
    <t xml:space="preserve">504,505,506,501</t>
  </si>
  <si>
    <t xml:space="preserve">304,305,606</t>
  </si>
  <si>
    <t xml:space="preserve">501,502,503,201</t>
  </si>
  <si>
    <t xml:space="preserve">504,505,506,404</t>
  </si>
  <si>
    <t xml:space="preserve">304,305,409</t>
  </si>
  <si>
    <t xml:space="preserve">504,505,506,210A</t>
  </si>
  <si>
    <t xml:space="preserve">AH</t>
  </si>
  <si>
    <t xml:space="preserve">601</t>
  </si>
  <si>
    <t xml:space="preserve">GEO</t>
  </si>
  <si>
    <t xml:space="preserve">601,602,603,604,311,308,411,606</t>
  </si>
  <si>
    <t xml:space="preserve">S4E2</t>
  </si>
  <si>
    <t xml:space="preserve">S6G</t>
  </si>
  <si>
    <t xml:space="preserve">103A,211A,103B,104,308,211B</t>
  </si>
  <si>
    <t xml:space="preserve">S6E1</t>
  </si>
  <si>
    <t xml:space="preserve">S6H</t>
  </si>
  <si>
    <t xml:space="preserve">S6K</t>
  </si>
  <si>
    <t xml:space="preserve">S6U</t>
  </si>
  <si>
    <t xml:space="preserve">505</t>
  </si>
  <si>
    <t xml:space="preserve">405</t>
  </si>
  <si>
    <t xml:space="preserve">103A,211A,210A,210B,308,409</t>
  </si>
  <si>
    <t xml:space="preserve">601,602,603,604,605,606,210A,409</t>
  </si>
  <si>
    <t xml:space="preserve">601,602,603,604,605,606,HALL</t>
  </si>
  <si>
    <t xml:space="preserve">501</t>
  </si>
  <si>
    <t xml:space="preserve">103A,103B,210A,210B,308,409</t>
  </si>
  <si>
    <t xml:space="preserve">601,602,603,604,311,308,411,409</t>
  </si>
  <si>
    <t xml:space="preserve">103A,211A,210A,210B,215,103B</t>
  </si>
  <si>
    <t xml:space="preserve">601,602,603,604,411,606,605,409</t>
  </si>
  <si>
    <t xml:space="preserve">103A,211A,210A,210B,308,411</t>
  </si>
  <si>
    <t xml:space="preserve">601,602,603,604,411,605,308,409</t>
  </si>
  <si>
    <t xml:space="preserve">103A,211A,210A,210B,215,409</t>
  </si>
  <si>
    <t xml:space="preserve">601,602,603,604,311,308,411,605</t>
  </si>
  <si>
    <t xml:space="preserve">601,602,603,604,213,201,308,606</t>
  </si>
  <si>
    <t xml:space="preserve">AHY</t>
  </si>
  <si>
    <t xml:space="preserve">S1C</t>
  </si>
  <si>
    <t xml:space="preserve">215</t>
  </si>
  <si>
    <t xml:space="preserve">SC</t>
  </si>
  <si>
    <t xml:space="preserve">S1U</t>
  </si>
  <si>
    <t xml:space="preserve">203</t>
  </si>
  <si>
    <t xml:space="preserve">311</t>
  </si>
  <si>
    <t xml:space="preserve">PHY</t>
  </si>
  <si>
    <t xml:space="preserve">301,302,303,304,305,306,HALL</t>
  </si>
  <si>
    <t xml:space="preserve">S5C</t>
  </si>
  <si>
    <t xml:space="preserve">213</t>
  </si>
  <si>
    <t xml:space="preserve">411</t>
  </si>
  <si>
    <t xml:space="preserve">502</t>
  </si>
  <si>
    <t xml:space="preserve">AI</t>
  </si>
  <si>
    <t xml:space="preserve">S1A</t>
  </si>
  <si>
    <t xml:space="preserve">204,205,206,202</t>
  </si>
  <si>
    <t xml:space="preserve">S1G</t>
  </si>
  <si>
    <t xml:space="preserve">S1H</t>
  </si>
  <si>
    <t xml:space="preserve">201,202,203,205</t>
  </si>
  <si>
    <t xml:space="preserve">S1K</t>
  </si>
  <si>
    <t xml:space="preserve">301,302,303,201</t>
  </si>
  <si>
    <t xml:space="preserve">201,202,203,204</t>
  </si>
  <si>
    <t xml:space="preserve">301,302,303,401</t>
  </si>
  <si>
    <t xml:space="preserve">204,205,206,203</t>
  </si>
  <si>
    <t xml:space="preserve">201,202,203,506</t>
  </si>
  <si>
    <t xml:space="preserve">204,205,206,506</t>
  </si>
  <si>
    <t xml:space="preserve">301,302,303,205</t>
  </si>
  <si>
    <t xml:space="preserve">201,202,203,401</t>
  </si>
  <si>
    <t xml:space="preserve">204,205,206,406</t>
  </si>
  <si>
    <t xml:space="preserve">201,202,203,206</t>
  </si>
  <si>
    <t xml:space="preserve">301,302,303,206</t>
  </si>
  <si>
    <t xml:space="preserve">204,205,206,403</t>
  </si>
  <si>
    <t xml:space="preserve">201,202,203,502</t>
  </si>
  <si>
    <t xml:space="preserve">301,302,303,404</t>
  </si>
  <si>
    <t xml:space="preserve">201,202,203,503</t>
  </si>
  <si>
    <t xml:space="preserve">301,302,303,203</t>
  </si>
  <si>
    <t xml:space="preserve">301,302,303,304</t>
  </si>
  <si>
    <t xml:space="preserve">201,202,203,302</t>
  </si>
  <si>
    <t xml:space="preserve">204,205,206,302</t>
  </si>
  <si>
    <t xml:space="preserve">AK</t>
  </si>
  <si>
    <t xml:space="preserve">604,605,606,305</t>
  </si>
  <si>
    <t xml:space="preserve">EN</t>
  </si>
  <si>
    <t xml:space="preserve">501,502,503,406</t>
  </si>
  <si>
    <t xml:space="preserve">601,602,603,501</t>
  </si>
  <si>
    <t xml:space="preserve">601,602,603,504</t>
  </si>
  <si>
    <t xml:space="preserve">501,502,503,103B</t>
  </si>
  <si>
    <t xml:space="preserve">604,605,606,406</t>
  </si>
  <si>
    <t xml:space="preserve">601,602,603,503</t>
  </si>
  <si>
    <t xml:space="preserve">604,605,606,502</t>
  </si>
  <si>
    <t xml:space="preserve">604,605,606,401</t>
  </si>
  <si>
    <t xml:space="preserve">601,602,603,306</t>
  </si>
  <si>
    <t xml:space="preserve">501,502,503,402</t>
  </si>
  <si>
    <t xml:space="preserve">601,602,603,506</t>
  </si>
  <si>
    <t xml:space="preserve">604,605,606,602</t>
  </si>
  <si>
    <t xml:space="preserve">604,605,606,304</t>
  </si>
  <si>
    <t xml:space="preserve">601,602,603,304</t>
  </si>
  <si>
    <t xml:space="preserve">601,602,603,211B</t>
  </si>
  <si>
    <t xml:space="preserve">604,605,606,306</t>
  </si>
  <si>
    <t xml:space="preserve">501,502,503,606</t>
  </si>
  <si>
    <t xml:space="preserve">501,502,503,404</t>
  </si>
  <si>
    <t xml:space="preserve">601,602,603,605</t>
  </si>
  <si>
    <t xml:space="preserve">AL</t>
  </si>
  <si>
    <t xml:space="preserve">201,202,203,204,205,206,HALL</t>
  </si>
  <si>
    <t xml:space="preserve">204,205,206,405</t>
  </si>
  <si>
    <t xml:space="preserve">201,202,203,306</t>
  </si>
  <si>
    <t xml:space="preserve">204,205,206,502</t>
  </si>
  <si>
    <t xml:space="preserve">204,205,206,404</t>
  </si>
  <si>
    <t xml:space="preserve">ALC</t>
  </si>
  <si>
    <t xml:space="preserve">306,411</t>
  </si>
  <si>
    <t xml:space="preserve">EC/PHY</t>
  </si>
  <si>
    <t xml:space="preserve">606,311</t>
  </si>
  <si>
    <t xml:space="preserve">103A,218</t>
  </si>
  <si>
    <t xml:space="preserve">EC/PEDSE</t>
  </si>
  <si>
    <t xml:space="preserve">306,311</t>
  </si>
  <si>
    <t xml:space="preserve">606,411</t>
  </si>
  <si>
    <t xml:space="preserve">606,211A</t>
  </si>
  <si>
    <t xml:space="preserve">306,401</t>
  </si>
  <si>
    <t xml:space="preserve">606,302</t>
  </si>
  <si>
    <t xml:space="preserve">606,213</t>
  </si>
  <si>
    <t xml:space="preserve">606,406</t>
  </si>
  <si>
    <t xml:space="preserve">AT</t>
  </si>
  <si>
    <t xml:space="preserve">501,502,503,405</t>
  </si>
  <si>
    <t xml:space="preserve">204,205,206,211A</t>
  </si>
  <si>
    <t xml:space="preserve">501,502,503,603</t>
  </si>
  <si>
    <t xml:space="preserve">201,202,203,305</t>
  </si>
  <si>
    <t xml:space="preserve">204,205,206,402</t>
  </si>
  <si>
    <t xml:space="preserve">501,502,503,602</t>
  </si>
  <si>
    <t xml:space="preserve">201,202,203,406</t>
  </si>
  <si>
    <t xml:space="preserve">201,202,203,402</t>
  </si>
  <si>
    <t xml:space="preserve">204,205,206,505</t>
  </si>
  <si>
    <t xml:space="preserve">501,502,503,504,211B,211A</t>
  </si>
  <si>
    <t xml:space="preserve">MS</t>
  </si>
  <si>
    <t xml:space="preserve">204,205,206,303</t>
  </si>
  <si>
    <t xml:space="preserve">ATH</t>
  </si>
  <si>
    <t xml:space="preserve">504,505,506,401</t>
  </si>
  <si>
    <t xml:space="preserve">504,505,506,206</t>
  </si>
  <si>
    <t xml:space="preserve">504,505,506,606</t>
  </si>
  <si>
    <t xml:space="preserve">504,505,506,215</t>
  </si>
  <si>
    <t xml:space="preserve">201,202,206,210A,Music Room,507,411</t>
  </si>
  <si>
    <t xml:space="preserve">CASTLE</t>
  </si>
  <si>
    <t xml:space="preserve">504,505,506,303</t>
  </si>
  <si>
    <t xml:space="preserve">504,505,506,405</t>
  </si>
  <si>
    <t xml:space="preserve">504,505,506,402</t>
  </si>
  <si>
    <t xml:space="preserve">AY</t>
  </si>
  <si>
    <t xml:space="preserve">103A,103B,210A,210B,211A</t>
  </si>
  <si>
    <t xml:space="preserve">S6A</t>
  </si>
  <si>
    <t xml:space="preserve">103A,103B,210A,210B,104,HALL</t>
  </si>
  <si>
    <t xml:space="preserve">103A,103B,210A,210B,406</t>
  </si>
  <si>
    <t xml:space="preserve">103A,103B,210A,210B,201</t>
  </si>
  <si>
    <t xml:space="preserve">103A,103B,104,213,215</t>
  </si>
  <si>
    <t xml:space="preserve">AYI</t>
  </si>
  <si>
    <t xml:space="preserve">503</t>
  </si>
  <si>
    <t xml:space="preserve">CHEM</t>
  </si>
  <si>
    <t xml:space="preserve">409,308,508</t>
  </si>
  <si>
    <t xml:space="preserve">BIO/CHEM/VA</t>
  </si>
  <si>
    <t xml:space="preserve">601,602,603,411,604,605,606</t>
  </si>
  <si>
    <t xml:space="preserve">S4E3</t>
  </si>
  <si>
    <t xml:space="preserve">601,602,603,411,308,409,213</t>
  </si>
  <si>
    <t xml:space="preserve">411,302,508</t>
  </si>
  <si>
    <t xml:space="preserve">411,308,508</t>
  </si>
  <si>
    <t xml:space="preserve">601,602,603,213,308,605,409</t>
  </si>
  <si>
    <t xml:space="preserve">601,602,603,311,604,605,409</t>
  </si>
  <si>
    <t xml:space="preserve">303,308,508</t>
  </si>
  <si>
    <t xml:space="preserve">308</t>
  </si>
  <si>
    <t xml:space="preserve">303,302,508</t>
  </si>
  <si>
    <t xml:space="preserve">601,602,603,211A,604,605,606</t>
  </si>
  <si>
    <t xml:space="preserve">601,602,603,311,215,409,606</t>
  </si>
  <si>
    <t xml:space="preserve">302,303,508</t>
  </si>
  <si>
    <t xml:space="preserve">601,602,603,411,604,409,606</t>
  </si>
  <si>
    <t xml:space="preserve">601,602,603,411,215,604,606</t>
  </si>
  <si>
    <t xml:space="preserve">BC</t>
  </si>
  <si>
    <t xml:space="preserve">103A,103B,206</t>
  </si>
  <si>
    <t xml:space="preserve">103A,103B,211B</t>
  </si>
  <si>
    <t xml:space="preserve">210A,210B,211B</t>
  </si>
  <si>
    <t xml:space="preserve">103A,103B,201</t>
  </si>
  <si>
    <t xml:space="preserve">211A,211B,201</t>
  </si>
  <si>
    <t xml:space="preserve">305,210B,211B</t>
  </si>
  <si>
    <t xml:space="preserve">103A,103B,305</t>
  </si>
  <si>
    <t xml:space="preserve">210A,210B,305</t>
  </si>
  <si>
    <t xml:space="preserve">203,204,205</t>
  </si>
  <si>
    <t xml:space="preserve">401,402,403</t>
  </si>
  <si>
    <t xml:space="preserve">210B,205,206</t>
  </si>
  <si>
    <t xml:space="preserve">103A,103B,210B</t>
  </si>
  <si>
    <t xml:space="preserve">210B,204,205</t>
  </si>
  <si>
    <t xml:space="preserve">103A,103B,205</t>
  </si>
  <si>
    <t xml:space="preserve">210A,210B,204</t>
  </si>
  <si>
    <t xml:space="preserve">211A,210B,211B</t>
  </si>
  <si>
    <t xml:space="preserve">BCC</t>
  </si>
  <si>
    <t xml:space="preserve">301,302,303,210A,311,308,409</t>
  </si>
  <si>
    <t xml:space="preserve">S5E2</t>
  </si>
  <si>
    <t xml:space="preserve">104,311</t>
  </si>
  <si>
    <t xml:space="preserve">301,302,303,207A,411,304,409</t>
  </si>
  <si>
    <t xml:space="preserve">301,302,303,210A,304,411,409</t>
  </si>
  <si>
    <t xml:space="preserve">104,213</t>
  </si>
  <si>
    <t xml:space="preserve">301,302,303,207A,311,304,409</t>
  </si>
  <si>
    <t xml:space="preserve">301,302,303,207B,311,308,409</t>
  </si>
  <si>
    <t xml:space="preserve">104,103B</t>
  </si>
  <si>
    <t xml:space="preserve">301,302,303,210A,311,304,409</t>
  </si>
  <si>
    <t xml:space="preserve">104,411</t>
  </si>
  <si>
    <t xml:space="preserve">301,301,302,303,210A,411,409</t>
  </si>
  <si>
    <t xml:space="preserve">BFC</t>
  </si>
  <si>
    <t xml:space="preserve">204</t>
  </si>
  <si>
    <t xml:space="preserve">CES</t>
  </si>
  <si>
    <t xml:space="preserve">605</t>
  </si>
  <si>
    <t xml:space="preserve">CSD</t>
  </si>
  <si>
    <t xml:space="preserve">206</t>
  </si>
  <si>
    <t xml:space="preserve">201</t>
  </si>
  <si>
    <t xml:space="preserve">S6C</t>
  </si>
  <si>
    <t xml:space="preserve">412</t>
  </si>
  <si>
    <t xml:space="preserve">402</t>
  </si>
  <si>
    <t xml:space="preserve">306</t>
  </si>
  <si>
    <t xml:space="preserve">CA</t>
  </si>
  <si>
    <t xml:space="preserve">207A,207B</t>
  </si>
  <si>
    <t xml:space="preserve">ICT</t>
  </si>
  <si>
    <t xml:space="preserve">207A</t>
  </si>
  <si>
    <t xml:space="preserve">216,207B</t>
  </si>
  <si>
    <t xml:space="preserve">TE</t>
  </si>
  <si>
    <t xml:space="preserve">CC</t>
  </si>
  <si>
    <t xml:space="preserve">601,602,603,604,605,606,211A</t>
  </si>
  <si>
    <t xml:space="preserve">104</t>
  </si>
  <si>
    <t xml:space="preserve">601,602,603,604,605,606,505</t>
  </si>
  <si>
    <t xml:space="preserve">601,602,603,604,605,606,405</t>
  </si>
  <si>
    <t xml:space="preserve">601,602,603,604,605,606,401</t>
  </si>
  <si>
    <t xml:space="preserve">601,602,603,604,605,606,506</t>
  </si>
  <si>
    <t xml:space="preserve">601,602,603,604,605,606,201</t>
  </si>
  <si>
    <t xml:space="preserve">CCL</t>
  </si>
  <si>
    <t xml:space="preserve">103A,103B,507,215,210A,210B</t>
  </si>
  <si>
    <t xml:space="preserve">S6E2</t>
  </si>
  <si>
    <t xml:space="preserve">409</t>
  </si>
  <si>
    <t xml:space="preserve">BIO</t>
  </si>
  <si>
    <t xml:space="preserve">103A,211A,507,411,308,210B</t>
  </si>
  <si>
    <t xml:space="preserve">103A,211A,507,311,308,409</t>
  </si>
  <si>
    <t xml:space="preserve">103A,103B,507,311,411,210A</t>
  </si>
  <si>
    <t xml:space="preserve">504</t>
  </si>
  <si>
    <t xml:space="preserve">103A,211A,507,103B,210A,210B</t>
  </si>
  <si>
    <t xml:space="preserve">103A,211A,507,215,213,103B</t>
  </si>
  <si>
    <t xml:space="preserve">103A,211A,508,213,215,411</t>
  </si>
  <si>
    <t xml:space="preserve">103A,211A,508,411,103B,409</t>
  </si>
  <si>
    <t xml:space="preserve">CF</t>
  </si>
  <si>
    <t xml:space="preserve">404,405,406,503</t>
  </si>
  <si>
    <t xml:space="preserve">401,402,403,404</t>
  </si>
  <si>
    <t xml:space="preserve">301,302,303</t>
  </si>
  <si>
    <t xml:space="preserve">103A,103B,202</t>
  </si>
  <si>
    <t xml:space="preserve">404,405,406,205</t>
  </si>
  <si>
    <t xml:space="preserve">401,402,403,504</t>
  </si>
  <si>
    <t xml:space="preserve">103A,103B,505</t>
  </si>
  <si>
    <t xml:space="preserve">404,405,406,506</t>
  </si>
  <si>
    <t xml:space="preserve">401,402,403,304</t>
  </si>
  <si>
    <t xml:space="preserve">103A,103B,104</t>
  </si>
  <si>
    <t xml:space="preserve">103A,103B,304</t>
  </si>
  <si>
    <t xml:space="preserve">401,402,403,210A</t>
  </si>
  <si>
    <t xml:space="preserve">404,405,406,202</t>
  </si>
  <si>
    <t xml:space="preserve">403,211A,104</t>
  </si>
  <si>
    <t xml:space="preserve">401,402,403,203</t>
  </si>
  <si>
    <t xml:space="preserve">401,402,403,605</t>
  </si>
  <si>
    <t xml:space="preserve">CK</t>
  </si>
  <si>
    <t xml:space="preserve">103B,311</t>
  </si>
  <si>
    <t xml:space="preserve">CH/PHY</t>
  </si>
  <si>
    <t xml:space="preserve">406</t>
  </si>
  <si>
    <t xml:space="preserve">103B,411</t>
  </si>
  <si>
    <t xml:space="preserve">103B,211A</t>
  </si>
  <si>
    <t xml:space="preserve">103B,305</t>
  </si>
  <si>
    <t xml:space="preserve">103B,204</t>
  </si>
  <si>
    <t xml:space="preserve">103B,104</t>
  </si>
  <si>
    <t xml:space="preserve">CL</t>
  </si>
  <si>
    <t xml:space="preserve">411,104,210B,304</t>
  </si>
  <si>
    <t xml:space="preserve">403</t>
  </si>
  <si>
    <t xml:space="preserve">CH</t>
  </si>
  <si>
    <t xml:space="preserve">401</t>
  </si>
  <si>
    <t xml:space="preserve">303,210B,104,404</t>
  </si>
  <si>
    <t xml:space="preserve">404</t>
  </si>
  <si>
    <t xml:space="preserve">205,402,405,406</t>
  </si>
  <si>
    <t xml:space="preserve">202,402,404,405</t>
  </si>
  <si>
    <t xml:space="preserve">CLC</t>
  </si>
  <si>
    <t xml:space="preserve">601,602,603,604,211A,210B,Drama Room,Music Room</t>
  </si>
  <si>
    <t xml:space="preserve">OPT1</t>
  </si>
  <si>
    <t xml:space="preserve">CM</t>
  </si>
  <si>
    <t xml:space="preserve">401,402,403,503</t>
  </si>
  <si>
    <t xml:space="preserve">CS</t>
  </si>
  <si>
    <t xml:space="preserve">301</t>
  </si>
  <si>
    <t xml:space="preserve">304</t>
  </si>
  <si>
    <t xml:space="preserve">CSC</t>
  </si>
  <si>
    <t xml:space="preserve">CT</t>
  </si>
  <si>
    <t xml:space="preserve">DC</t>
  </si>
  <si>
    <t xml:space="preserve">DK</t>
  </si>
  <si>
    <t xml:space="preserve">Music Room</t>
  </si>
  <si>
    <t xml:space="preserve">MU</t>
  </si>
  <si>
    <t xml:space="preserve">DKW</t>
  </si>
  <si>
    <t xml:space="preserve">504,505,506,406</t>
  </si>
  <si>
    <t xml:space="preserve">504,505,506,605</t>
  </si>
  <si>
    <t xml:space="preserve">504,505,506,602</t>
  </si>
  <si>
    <t xml:space="preserve">DS</t>
  </si>
  <si>
    <t xml:space="preserve">DW</t>
  </si>
  <si>
    <t xml:space="preserve">BS</t>
  </si>
  <si>
    <t xml:space="preserve">301,302,303,211A,218,215,411,409</t>
  </si>
  <si>
    <t xml:space="preserve">S5E1</t>
  </si>
  <si>
    <t xml:space="preserve">301,302,303,211A,218,311,304,409</t>
  </si>
  <si>
    <t xml:space="preserve">301,302,303,211A,218,308,311,409</t>
  </si>
  <si>
    <t xml:space="preserve">301,302,303,211A,304,411,308,409</t>
  </si>
  <si>
    <t xml:space="preserve">301,302,303,211A,218,411,311,409</t>
  </si>
  <si>
    <t xml:space="preserve">301,302,303,211A,218,311,308,409</t>
  </si>
  <si>
    <t xml:space="preserve">301,302,303,211A,218,411,308,409</t>
  </si>
  <si>
    <t xml:space="preserve">301,302,303,211A,218,308,304,409</t>
  </si>
  <si>
    <t xml:space="preserve">EL</t>
  </si>
  <si>
    <t xml:space="preserve">CP1,CP2</t>
  </si>
  <si>
    <t xml:space="preserve">PE</t>
  </si>
  <si>
    <t xml:space="preserve">ETL</t>
  </si>
  <si>
    <t xml:space="preserve">401,402,207A,210A,508,411,Music Room</t>
  </si>
  <si>
    <t xml:space="preserve">EUL</t>
  </si>
  <si>
    <t xml:space="preserve">EYC</t>
  </si>
  <si>
    <t xml:space="preserve">601,602,603,405</t>
  </si>
  <si>
    <t xml:space="preserve">601,602,603,403</t>
  </si>
  <si>
    <t xml:space="preserve">604,605,606,505</t>
  </si>
  <si>
    <t xml:space="preserve">601,602,603,305</t>
  </si>
  <si>
    <t xml:space="preserve">601,602,603,502</t>
  </si>
  <si>
    <t xml:space="preserve">604,605,606,411</t>
  </si>
  <si>
    <t xml:space="preserve">601,602,603,401</t>
  </si>
  <si>
    <t xml:space="preserve">EYL</t>
  </si>
  <si>
    <t xml:space="preserve">FL</t>
  </si>
  <si>
    <t xml:space="preserve">304,305,201</t>
  </si>
  <si>
    <t xml:space="preserve">304,305,506</t>
  </si>
  <si>
    <t xml:space="preserve">301,302,303,211B</t>
  </si>
  <si>
    <t xml:space="preserve">304,305,205</t>
  </si>
  <si>
    <t xml:space="preserve">301,302,303,305</t>
  </si>
  <si>
    <t xml:space="preserve">304,305,210A</t>
  </si>
  <si>
    <t xml:space="preserve">304,305,306</t>
  </si>
  <si>
    <t xml:space="preserve">304,305,311</t>
  </si>
  <si>
    <t xml:space="preserve">301,302,303,103B</t>
  </si>
  <si>
    <t xml:space="preserve">301,302,303,506</t>
  </si>
  <si>
    <t xml:space="preserve">301,302,303,210B</t>
  </si>
  <si>
    <t xml:space="preserve">304,305,211A</t>
  </si>
  <si>
    <t xml:space="preserve">FS</t>
  </si>
  <si>
    <t xml:space="preserve">FSL</t>
  </si>
  <si>
    <t xml:space="preserve">CP1</t>
  </si>
  <si>
    <t xml:space="preserve">FYL</t>
  </si>
  <si>
    <t xml:space="preserve">FZL</t>
  </si>
  <si>
    <t xml:space="preserve">404,405,406,605</t>
  </si>
  <si>
    <t xml:space="preserve">404,405,406,502</t>
  </si>
  <si>
    <t xml:space="preserve">404,405,406,504</t>
  </si>
  <si>
    <t xml:space="preserve">404,405,406,305</t>
  </si>
  <si>
    <t xml:space="preserve">404,405,406,210B</t>
  </si>
  <si>
    <t xml:space="preserve">GL</t>
  </si>
  <si>
    <t xml:space="preserve">GP</t>
  </si>
  <si>
    <t xml:space="preserve">HC</t>
  </si>
  <si>
    <t xml:space="preserve">HH</t>
  </si>
  <si>
    <t xml:space="preserve">HL</t>
  </si>
  <si>
    <t xml:space="preserve">JC</t>
  </si>
  <si>
    <t xml:space="preserve">JCC</t>
  </si>
  <si>
    <t xml:space="preserve">Drama Room</t>
  </si>
  <si>
    <t xml:space="preserve">EDM</t>
  </si>
  <si>
    <t xml:space="preserve">JF</t>
  </si>
  <si>
    <t xml:space="preserve">205</t>
  </si>
  <si>
    <t xml:space="preserve">202</t>
  </si>
  <si>
    <t xml:space="preserve">JHL</t>
  </si>
  <si>
    <t xml:space="preserve">HI</t>
  </si>
  <si>
    <t xml:space="preserve">506</t>
  </si>
  <si>
    <t xml:space="preserve">JKL</t>
  </si>
  <si>
    <t xml:space="preserve">JL</t>
  </si>
  <si>
    <t xml:space="preserve">JSL</t>
  </si>
  <si>
    <t xml:space="preserve">JT</t>
  </si>
  <si>
    <t xml:space="preserve">305,210B,202</t>
  </si>
  <si>
    <t xml:space="preserve">206,210B,202</t>
  </si>
  <si>
    <t xml:space="preserve">211B,210B,506</t>
  </si>
  <si>
    <t xml:space="preserve">402,210B,305</t>
  </si>
  <si>
    <t xml:space="preserve">305,210B,205</t>
  </si>
  <si>
    <t xml:space="preserve">211B,210B,204</t>
  </si>
  <si>
    <t xml:space="preserve">JW</t>
  </si>
  <si>
    <t xml:space="preserve">JWC</t>
  </si>
  <si>
    <t xml:space="preserve">602</t>
  </si>
  <si>
    <t xml:space="preserve">604</t>
  </si>
  <si>
    <t xml:space="preserve">606</t>
  </si>
  <si>
    <t xml:space="preserve">JWN</t>
  </si>
  <si>
    <t xml:space="preserve">JY</t>
  </si>
  <si>
    <t xml:space="preserve">JYL</t>
  </si>
  <si>
    <t xml:space="preserve">KC</t>
  </si>
  <si>
    <t xml:space="preserve">KG</t>
  </si>
  <si>
    <t xml:space="preserve">KH</t>
  </si>
  <si>
    <t xml:space="preserve">KL</t>
  </si>
  <si>
    <t xml:space="preserve">KT</t>
  </si>
  <si>
    <t xml:space="preserve">507</t>
  </si>
  <si>
    <t xml:space="preserve">VA</t>
  </si>
  <si>
    <t xml:space="preserve">LC</t>
  </si>
  <si>
    <t xml:space="preserve">211B,606,411,207A</t>
  </si>
  <si>
    <t xml:space="preserve">EL/BIO/CHEM/ICT</t>
  </si>
  <si>
    <t xml:space="preserve">210B,409,308,210A</t>
  </si>
  <si>
    <t xml:space="preserve">210B,103A,103B,210A</t>
  </si>
  <si>
    <t xml:space="preserve">210B,213,211A,210A</t>
  </si>
  <si>
    <t xml:space="preserve">103A,409,308,207A</t>
  </si>
  <si>
    <t xml:space="preserve">210B,210A,211A,211B</t>
  </si>
  <si>
    <t xml:space="preserve">210B,411,308,210A</t>
  </si>
  <si>
    <t xml:space="preserve">LG</t>
  </si>
  <si>
    <t xml:space="preserve">LLT</t>
  </si>
  <si>
    <t xml:space="preserve">LT</t>
  </si>
  <si>
    <t xml:space="preserve">LY</t>
  </si>
  <si>
    <t xml:space="preserve">MC</t>
  </si>
  <si>
    <t xml:space="preserve">MH</t>
  </si>
  <si>
    <t xml:space="preserve">ML</t>
  </si>
  <si>
    <t xml:space="preserve">MNL</t>
  </si>
  <si>
    <t xml:space="preserve">MW</t>
  </si>
  <si>
    <t xml:space="preserve">MWL</t>
  </si>
  <si>
    <t xml:space="preserve">MY</t>
  </si>
  <si>
    <t xml:space="preserve">NC</t>
  </si>
  <si>
    <t xml:space="preserve">305</t>
  </si>
  <si>
    <t xml:space="preserve">EC</t>
  </si>
  <si>
    <t xml:space="preserve">NCC</t>
  </si>
  <si>
    <t xml:space="preserve">603</t>
  </si>
  <si>
    <t xml:space="preserve">NP</t>
  </si>
  <si>
    <t xml:space="preserve">NYC</t>
  </si>
  <si>
    <t xml:space="preserve">604,213</t>
  </si>
  <si>
    <t xml:space="preserve">CH/BIO</t>
  </si>
  <si>
    <t xml:space="preserve">604,411</t>
  </si>
  <si>
    <t xml:space="preserve">604,409</t>
  </si>
  <si>
    <t xml:space="preserve">604,605</t>
  </si>
  <si>
    <t xml:space="preserve">PF</t>
  </si>
  <si>
    <t xml:space="preserve">PW</t>
  </si>
  <si>
    <t xml:space="preserve">RL</t>
  </si>
  <si>
    <t xml:space="preserve">RT</t>
  </si>
  <si>
    <t xml:space="preserve">RY</t>
  </si>
  <si>
    <t xml:space="preserve">SI</t>
  </si>
  <si>
    <t xml:space="preserve">SKL</t>
  </si>
  <si>
    <t xml:space="preserve">SL</t>
  </si>
  <si>
    <t xml:space="preserve">SLC</t>
  </si>
  <si>
    <t xml:space="preserve">SPY</t>
  </si>
  <si>
    <t xml:space="preserve">303</t>
  </si>
  <si>
    <t xml:space="preserve">103A</t>
  </si>
  <si>
    <t xml:space="preserve">211A</t>
  </si>
  <si>
    <t xml:space="preserve">STC</t>
  </si>
  <si>
    <t xml:space="preserve">SYC</t>
  </si>
  <si>
    <t xml:space="preserve">TH</t>
  </si>
  <si>
    <t xml:space="preserve">TM</t>
  </si>
  <si>
    <t xml:space="preserve">TN</t>
  </si>
  <si>
    <t xml:space="preserve">TW</t>
  </si>
  <si>
    <t xml:space="preserve">302</t>
  </si>
  <si>
    <t xml:space="preserve">103B</t>
  </si>
  <si>
    <t xml:space="preserve">210A</t>
  </si>
  <si>
    <t xml:space="preserve">TYL</t>
  </si>
  <si>
    <t xml:space="preserve">VG</t>
  </si>
  <si>
    <t xml:space="preserve">WC</t>
  </si>
  <si>
    <t xml:space="preserve">WHT</t>
  </si>
  <si>
    <t xml:space="preserve">YH</t>
  </si>
  <si>
    <t xml:space="preserve">YKW</t>
  </si>
  <si>
    <t xml:space="preserve">YW</t>
  </si>
  <si>
    <t xml:space="preserve">ZS</t>
  </si>
  <si>
    <t xml:space="preserve">ZW</t>
  </si>
  <si>
    <t xml:space="preserve">Period (start)</t>
  </si>
  <si>
    <t xml:space="preserve">Periods (count)</t>
  </si>
  <si>
    <t xml:space="preserve">Teachers</t>
  </si>
  <si>
    <t xml:space="preserve">LG / MH</t>
  </si>
  <si>
    <t xml:space="preserve">CSC / JW / JSL / AI</t>
  </si>
  <si>
    <t xml:space="preserve">KH / AL / DKW / JL</t>
  </si>
  <si>
    <t xml:space="preserve">11:20 - 13:00</t>
  </si>
  <si>
    <t xml:space="preserve">TYL / AT / MY / ATH</t>
  </si>
  <si>
    <t xml:space="preserve">CSC / AT / MH / JWN / AL / JW / SC / JHL / DKW / DK / JL / ATH / KH / PW / STC / JSL / TYL / JF / TW / SI / TM</t>
  </si>
  <si>
    <t xml:space="preserve">14:00 - 15:40</t>
  </si>
  <si>
    <t xml:space="preserve">PW / HH</t>
  </si>
  <si>
    <t xml:space="preserve">ATH / EUL / MH / YH / CA / JWN / FYL / KT / PW / FSL / HH / ETL / PF / KH / LG</t>
  </si>
  <si>
    <t xml:space="preserve">8:35 - 10:15</t>
  </si>
  <si>
    <t xml:space="preserve">JWN / LG</t>
  </si>
  <si>
    <t xml:space="preserve">JWN / MH</t>
  </si>
  <si>
    <t xml:space="preserve">10:35 - 12:10</t>
  </si>
  <si>
    <t xml:space="preserve">JWN / YH</t>
  </si>
  <si>
    <t xml:space="preserve">LG / YH</t>
  </si>
  <si>
    <t xml:space="preserve">PW / ETL</t>
  </si>
  <si>
    <t xml:space="preserve">AI / JW / JSL / SL</t>
  </si>
  <si>
    <t xml:space="preserve">JL / KH / DKW / AL</t>
  </si>
  <si>
    <t xml:space="preserve">ATH / AT / TYL / MY</t>
  </si>
  <si>
    <t xml:space="preserve">AF / TYL / RY / EYL</t>
  </si>
  <si>
    <t xml:space="preserve">HL / LY / CF / SKL</t>
  </si>
  <si>
    <t xml:space="preserve">PF / JHL / LC / YKW / YH / JWN / FYL / VG / PW / FSL / HH / ETL / EUL / LG</t>
  </si>
  <si>
    <t xml:space="preserve">MS / FZL / CM / KG</t>
  </si>
  <si>
    <t xml:space="preserve">JCC / MS / KL / FZL / CF / CA / LY / KT / RY / NP / AF / MWL / HL / JWC / KC / CLC / LT</t>
  </si>
  <si>
    <t xml:space="preserve">FSL / HH</t>
  </si>
  <si>
    <t xml:space="preserve">JWN / CA</t>
  </si>
  <si>
    <t xml:space="preserve">CA / LG</t>
  </si>
  <si>
    <t xml:space="preserve">CA / MH</t>
  </si>
  <si>
    <t xml:space="preserve">KT / VG</t>
  </si>
  <si>
    <t xml:space="preserve">EL / ETL</t>
  </si>
  <si>
    <t xml:space="preserve">LY / CF / SKL / HL</t>
  </si>
  <si>
    <t xml:space="preserve">TYL / RY / EYL / AF</t>
  </si>
  <si>
    <t xml:space="preserve">CA / YKW</t>
  </si>
  <si>
    <t xml:space="preserve">FZL / NP / KG / MS</t>
  </si>
  <si>
    <t xml:space="preserve">JWN / YKW</t>
  </si>
  <si>
    <t xml:space="preserve">KT / MWL</t>
  </si>
  <si>
    <t xml:space="preserve">SYC / AT / PF / HC</t>
  </si>
  <si>
    <t xml:space="preserve">AK / GP / MS / NP</t>
  </si>
  <si>
    <t xml:space="preserve">JC / RT / YW / AFL</t>
  </si>
  <si>
    <t xml:space="preserve">JC / FSL / RT / TH / EL / YW / WC / MW / PF / LC / AFL / CC / BCC / JY / HC</t>
  </si>
  <si>
    <t xml:space="preserve">YKW / LC</t>
  </si>
  <si>
    <t xml:space="preserve">FSL / EL</t>
  </si>
  <si>
    <t xml:space="preserve">LT / AT / MY / CLC / DW / JWN / EL / MWL / DK / MH / LC / YH / WHT / EYL / BC / CK / CS / MW / RL / RY</t>
  </si>
  <si>
    <t xml:space="preserve">YKW / MH</t>
  </si>
  <si>
    <t xml:space="preserve">VG / KT</t>
  </si>
  <si>
    <t xml:space="preserve">YKW / CA</t>
  </si>
  <si>
    <t xml:space="preserve">RT / YW / AFL / JW</t>
  </si>
  <si>
    <t xml:space="preserve">NP / KH / FZL / DKW</t>
  </si>
  <si>
    <t xml:space="preserve">CC / PF / ATH / WC</t>
  </si>
  <si>
    <t xml:space="preserve">VG / MWL</t>
  </si>
  <si>
    <t xml:space="preserve">FSL / PW</t>
  </si>
  <si>
    <t xml:space="preserve">SYC / JKL / HC / EUL / JY / MY / CC</t>
  </si>
  <si>
    <t xml:space="preserve">AH / NC / DW / ETL / CK / STC / AYI / CT</t>
  </si>
  <si>
    <t xml:space="preserve">SKL / SL / EYC / JC</t>
  </si>
  <si>
    <t xml:space="preserve">JL / SI / CM / AK</t>
  </si>
  <si>
    <t xml:space="preserve">SYC / CS / DW / TW / JCC / FYL / RY / CLC / JWC</t>
  </si>
  <si>
    <t xml:space="preserve">AH / SKL / YKW / SL / NCC / CM / NYC / AK / CCL / KG / DC / MY / EUL / FS / DW / SYC</t>
  </si>
  <si>
    <t xml:space="preserve">CLC / RL / NCC / DC / AYI / CCL / DS</t>
  </si>
  <si>
    <t xml:space="preserve">SL / SKL / EYC / JC</t>
  </si>
  <si>
    <t xml:space="preserve">AH / NC / DW / EL / CK / STC / AYI / CT / HH</t>
  </si>
  <si>
    <t xml:space="preserve">PW / FSL</t>
  </si>
  <si>
    <t xml:space="preserve">AF / VG / JCC / FYL / YH / BFC / AK</t>
  </si>
  <si>
    <t xml:space="preserve">AK / KG / ZW / CM</t>
  </si>
  <si>
    <t xml:space="preserve">TH / NYC</t>
  </si>
  <si>
    <t xml:space="preserve">YW / KC / JC / EYC</t>
  </si>
  <si>
    <t xml:space="preserve">ALC / DC</t>
  </si>
  <si>
    <t xml:space="preserve">LLT / MW / NC / LC / BCC / MNL / NYC / JYL</t>
  </si>
  <si>
    <t xml:space="preserve">EYL / PF / WHT / EUL / AF / RY</t>
  </si>
  <si>
    <t xml:space="preserve">TM / FL / FS / ZW</t>
  </si>
  <si>
    <t xml:space="preserve">HL / LY / AI / CL</t>
  </si>
  <si>
    <t xml:space="preserve">RL / NCC / TH / DW / ETL / ML / ZS / GL</t>
  </si>
  <si>
    <t xml:space="preserve">LLT / EYL / AYI / FL / CT / AI / AHY / ZW / NC / ZS / TN / ALC / MNL / CS / GL</t>
  </si>
  <si>
    <t xml:space="preserve">RL / NCC / TH / DW / EL / ML / ZS / GL / PW</t>
  </si>
  <si>
    <t xml:space="preserve">CT / AYI / MWL</t>
  </si>
  <si>
    <t xml:space="preserve">ZW / FL / LT</t>
  </si>
  <si>
    <t xml:space="preserve">AFL / JT / CSC</t>
  </si>
  <si>
    <t xml:space="preserve">ALC / TN</t>
  </si>
  <si>
    <t xml:space="preserve">BFC / SPY</t>
  </si>
  <si>
    <t xml:space="preserve">NCC / RL / MWL / DC / MNL / CCL / VG</t>
  </si>
  <si>
    <t xml:space="preserve">BC / SI / TM</t>
  </si>
  <si>
    <t xml:space="preserve">WC / HC / AY / JY / JKL</t>
  </si>
  <si>
    <t xml:space="preserve">MC / RL / AH / JYL / KL / CT</t>
  </si>
  <si>
    <t xml:space="preserve">EYC / CF / JSL</t>
  </si>
  <si>
    <t xml:space="preserve">ALC / EL / HH</t>
  </si>
  <si>
    <t xml:space="preserve">BC / EYC / CK / RL / ML / JT / SLC / SPY / MC / CL / JKL / AY / DS / BFC</t>
  </si>
  <si>
    <t xml:space="preserve">ALC / EL</t>
  </si>
  <si>
    <t xml:space="preserve">TH / CK</t>
  </si>
  <si>
    <t xml:space="preserve">KC / JT / CL / RT</t>
  </si>
  <si>
    <t xml:space="preserve">BC / FL / FS</t>
  </si>
  <si>
    <t xml:space="preserve">LT / SLC / ML / LC</t>
  </si>
  <si>
    <t xml:space="preserve">KC / JT / RT</t>
  </si>
  <si>
    <t xml:space="preserve">MC / BCC</t>
  </si>
  <si>
    <t xml:space="preserve">CS / BFC</t>
  </si>
  <si>
    <t xml:space="preserve">Code</t>
  </si>
  <si>
    <t xml:space="preserve">Name</t>
  </si>
  <si>
    <t xml:space="preserve">Department / Subject</t>
  </si>
  <si>
    <t xml:space="preserve">Source</t>
  </si>
  <si>
    <t xml:space="preserve">FONG Alan</t>
  </si>
  <si>
    <t xml:space="preserve">Mathematics</t>
  </si>
  <si>
    <t xml:space="preserve">hkugac2627_timetable_T1_v8.roz</t>
  </si>
  <si>
    <t xml:space="preserve">LI Angela</t>
  </si>
  <si>
    <t xml:space="preserve">Chinese</t>
  </si>
  <si>
    <t xml:space="preserve">HO Anda</t>
  </si>
  <si>
    <t xml:space="preserve">Geography</t>
  </si>
  <si>
    <t xml:space="preserve">YU Anthony</t>
  </si>
  <si>
    <t xml:space="preserve">Physics and Science</t>
  </si>
  <si>
    <t xml:space="preserve">IP Anna</t>
  </si>
  <si>
    <t xml:space="preserve">KHURRAM Aamenah</t>
  </si>
  <si>
    <t xml:space="preserve">English</t>
  </si>
  <si>
    <t xml:space="preserve">LAM Anakin</t>
  </si>
  <si>
    <t xml:space="preserve">CHAN Alan</t>
  </si>
  <si>
    <t xml:space="preserve">Economics</t>
  </si>
  <si>
    <t xml:space="preserve">TSANG Annisa</t>
  </si>
  <si>
    <t xml:space="preserve">HUNG Arley</t>
  </si>
  <si>
    <t xml:space="preserve">YEUNG Arthur</t>
  </si>
  <si>
    <t xml:space="preserve">IP Ariel</t>
  </si>
  <si>
    <t xml:space="preserve">Chemistry</t>
  </si>
  <si>
    <t xml:space="preserve">CHING Benjamin</t>
  </si>
  <si>
    <t xml:space="preserve">CHUNG Brian</t>
  </si>
  <si>
    <t xml:space="preserve">Physics</t>
  </si>
  <si>
    <t xml:space="preserve">CHAN Brian</t>
  </si>
  <si>
    <t xml:space="preserve">CSD and CES</t>
  </si>
  <si>
    <t xml:space="preserve">AU Candice</t>
  </si>
  <si>
    <t xml:space="preserve">CHAN Chong</t>
  </si>
  <si>
    <t xml:space="preserve">LAM Candy</t>
  </si>
  <si>
    <t xml:space="preserve">Biology</t>
  </si>
  <si>
    <t xml:space="preserve">FAN Cecilia</t>
  </si>
  <si>
    <t xml:space="preserve">KONG Chapman</t>
  </si>
  <si>
    <t xml:space="preserve">LO Charles</t>
  </si>
  <si>
    <t xml:space="preserve">Chinese and Chinese History</t>
  </si>
  <si>
    <t xml:space="preserve">CHIU Chris</t>
  </si>
  <si>
    <t xml:space="preserve">History</t>
  </si>
  <si>
    <t xml:space="preserve">MA Coco</t>
  </si>
  <si>
    <t xml:space="preserve">SO Cherry</t>
  </si>
  <si>
    <t xml:space="preserve">CHAN Clara</t>
  </si>
  <si>
    <t xml:space="preserve">TSAI Christy</t>
  </si>
  <si>
    <t xml:space="preserve">CHAN Davis</t>
  </si>
  <si>
    <t xml:space="preserve">KUK Daniel</t>
  </si>
  <si>
    <t xml:space="preserve">Music</t>
  </si>
  <si>
    <t xml:space="preserve">WONG Donald</t>
  </si>
  <si>
    <t xml:space="preserve">SHUM Dorothy</t>
  </si>
  <si>
    <t xml:space="preserve">WAN Damon</t>
  </si>
  <si>
    <t xml:space="preserve">BAFS and Business Studies</t>
  </si>
  <si>
    <t xml:space="preserve">LI Esther</t>
  </si>
  <si>
    <t xml:space="preserve">LAM Eunice</t>
  </si>
  <si>
    <t xml:space="preserve">LI Eunice</t>
  </si>
  <si>
    <t xml:space="preserve">CHIU Esther</t>
  </si>
  <si>
    <t xml:space="preserve">LI Emily</t>
  </si>
  <si>
    <t xml:space="preserve">LIU Fiona</t>
  </si>
  <si>
    <t xml:space="preserve">SUM Freddie</t>
  </si>
  <si>
    <t xml:space="preserve">LEE Feliz</t>
  </si>
  <si>
    <t xml:space="preserve">LEE Frances</t>
  </si>
  <si>
    <t xml:space="preserve">LIU Flora</t>
  </si>
  <si>
    <t xml:space="preserve">LAM Gary</t>
  </si>
  <si>
    <t xml:space="preserve">POW Grace</t>
  </si>
  <si>
    <t xml:space="preserve">CHENG Horace</t>
  </si>
  <si>
    <t xml:space="preserve">HUI Hyman</t>
  </si>
  <si>
    <t xml:space="preserve">LAW Him</t>
  </si>
  <si>
    <t xml:space="preserve">CHAN Jessica</t>
  </si>
  <si>
    <t xml:space="preserve">CHENG Jenny</t>
  </si>
  <si>
    <t xml:space="preserve">English Drama</t>
  </si>
  <si>
    <t xml:space="preserve">FUNG Jovy</t>
  </si>
  <si>
    <t xml:space="preserve">LEE Jess</t>
  </si>
  <si>
    <t xml:space="preserve">LEUNG Jimmy</t>
  </si>
  <si>
    <t xml:space="preserve">LAMBERT Jenna</t>
  </si>
  <si>
    <t xml:space="preserve">LAM Jessica</t>
  </si>
  <si>
    <t xml:space="preserve">TSO Jenny</t>
  </si>
  <si>
    <t xml:space="preserve">WONG Jenny</t>
  </si>
  <si>
    <t xml:space="preserve">CHAK Jerry</t>
  </si>
  <si>
    <t xml:space="preserve">NG Janet</t>
  </si>
  <si>
    <t xml:space="preserve">T&amp;L</t>
  </si>
  <si>
    <t xml:space="preserve">YU Jonathan</t>
  </si>
  <si>
    <t xml:space="preserve">LI Judy</t>
  </si>
  <si>
    <t xml:space="preserve">CHEUNG Ken</t>
  </si>
  <si>
    <t xml:space="preserve">DE GUZMAN Kevin</t>
  </si>
  <si>
    <t xml:space="preserve">HUI Kelly</t>
  </si>
  <si>
    <t xml:space="preserve">LEUNG Kelly</t>
  </si>
  <si>
    <t xml:space="preserve">Chemistry and Science</t>
  </si>
  <si>
    <t xml:space="preserve">TSUI Kami</t>
  </si>
  <si>
    <t xml:space="preserve">CHEUK Laurence</t>
  </si>
  <si>
    <t xml:space="preserve">GESKE Luis</t>
  </si>
  <si>
    <t xml:space="preserve">TSANG Leo</t>
  </si>
  <si>
    <t xml:space="preserve">TO Lorraine</t>
  </si>
  <si>
    <t xml:space="preserve">English and Literature in English</t>
  </si>
  <si>
    <t xml:space="preserve">YAM Lydia</t>
  </si>
  <si>
    <t xml:space="preserve">CHOW Michael</t>
  </si>
  <si>
    <t xml:space="preserve">HO Matthew</t>
  </si>
  <si>
    <t xml:space="preserve">LAM Matthew</t>
  </si>
  <si>
    <t xml:space="preserve">LAM Matt</t>
  </si>
  <si>
    <t xml:space="preserve">SUAIBU Muthu</t>
  </si>
  <si>
    <t xml:space="preserve">WONG Melissa</t>
  </si>
  <si>
    <t xml:space="preserve">LEE Michelle</t>
  </si>
  <si>
    <t xml:space="preserve">YIP Michael</t>
  </si>
  <si>
    <t xml:space="preserve">CHEUNG Nicole</t>
  </si>
  <si>
    <t xml:space="preserve">Economics and Business Studies</t>
  </si>
  <si>
    <t xml:space="preserve">CHU Nick</t>
  </si>
  <si>
    <t xml:space="preserve">PAIGE Nicole</t>
  </si>
  <si>
    <t xml:space="preserve">CHUI Nicole</t>
  </si>
  <si>
    <t xml:space="preserve">Biology and Science</t>
  </si>
  <si>
    <t xml:space="preserve">FOK Phoebe</t>
  </si>
  <si>
    <t xml:space="preserve">WAN Ping</t>
  </si>
  <si>
    <t xml:space="preserve">LAU Rachel</t>
  </si>
  <si>
    <t xml:space="preserve">BAFS</t>
  </si>
  <si>
    <t xml:space="preserve">TAM Rachel</t>
  </si>
  <si>
    <t xml:space="preserve">YEUNG Ricky</t>
  </si>
  <si>
    <t xml:space="preserve">CHAN Susanna</t>
  </si>
  <si>
    <t xml:space="preserve">Chinese History</t>
  </si>
  <si>
    <t xml:space="preserve">IP Sophie</t>
  </si>
  <si>
    <t xml:space="preserve">LEE Shane</t>
  </si>
  <si>
    <t xml:space="preserve">LEE Sean</t>
  </si>
  <si>
    <t xml:space="preserve">CHOI Sabrina</t>
  </si>
  <si>
    <t xml:space="preserve">YU Sebastian</t>
  </si>
  <si>
    <t xml:space="preserve">CHAN Sky</t>
  </si>
  <si>
    <t xml:space="preserve">CHAN So Ying</t>
  </si>
  <si>
    <t xml:space="preserve">HUI Tom</t>
  </si>
  <si>
    <t xml:space="preserve">MOHAMMAD Thair</t>
  </si>
  <si>
    <t xml:space="preserve">NANTIYAKUL Teerawat</t>
  </si>
  <si>
    <t xml:space="preserve">WONG Timothy</t>
  </si>
  <si>
    <t xml:space="preserve">LEUNG Tom</t>
  </si>
  <si>
    <t xml:space="preserve">VAN GAALEN Virginia</t>
  </si>
  <si>
    <t xml:space="preserve">CHAN Wing</t>
  </si>
  <si>
    <t xml:space="preserve">TSE Woody</t>
  </si>
  <si>
    <t xml:space="preserve">HUNG Yuki</t>
  </si>
  <si>
    <t xml:space="preserve">WONG Yukki</t>
  </si>
  <si>
    <t xml:space="preserve">WANG Yu</t>
  </si>
  <si>
    <t xml:space="preserve">SHEIK Zarifa</t>
  </si>
  <si>
    <t xml:space="preserve">WAHAB Zakiyyah</t>
  </si>
  <si>
    <t xml:space="preserve">HKUGA College 2026-27 Term 1 timetable - database export</t>
  </si>
  <si>
    <t xml:space="preserve">Source: 2627_T1_Class_v9.pdf (36 class timetables, aSc Timetables, generated 9/24/2026). Teacher names from hkugac2627_timetable_T1_v8.roz.</t>
  </si>
  <si>
    <t xml:space="preserve">How the data is laid out</t>
  </si>
  <si>
    <t xml:space="preserve">Timetable sheet: one row per Teacher x Day x Period x Class. A double period is listed as two rows (one per period).</t>
  </si>
  <si>
    <t xml:space="preserve">Columns A-F are the requested fields. Columns G-K are reference/helper columns (Subject, Time, counts, Teacher Name).</t>
  </si>
  <si>
    <t xml:space="preserve">Teacher = teacher code exactly as printed in the PDF. Teacher Name is looked up from the Teacher Lookup sheet.</t>
  </si>
  <si>
    <t xml:space="preserve">Day = A1-A5, B1-B5 (the 10-day cycle). Period = 1-7 (times in column H).</t>
  </si>
  <si>
    <t xml:space="preserve">Venue = the venue list printed on the lesson card, as is (e.g. "201,202,203,204").</t>
  </si>
  <si>
    <t xml:space="preserve">Class Lessons sheet: one row per lesson card per class, as printed in the PDF (useful for checking against the PDF).</t>
  </si>
  <si>
    <t xml:space="preserve">Co-teaching rule (assumption - please confirm)</t>
  </si>
  <si>
    <t xml:space="preserve">Co-teaching = Y when a lesson has more teachers than venues (so at least two teachers share a room), otherwise N.</t>
  </si>
  <si>
    <t xml:space="preserve">Formula in column F: =IF(Teachers in lesson &gt; Venues in lesson, "Y", "N"). Change the formula if your definition differs (e.g. Y whenever Teachers in lesson &gt; 1).</t>
  </si>
  <si>
    <t xml:space="preserve">Teachers in lesson (column I) is the number of teachers printed on the card; Venues in lesson (column J) is counted from the Venue text.</t>
  </si>
  <si>
    <t xml:space="preserve">Limitations to be aware of</t>
  </si>
  <si>
    <t xml:space="preserve">1. Grouped lessons (e.g. EN, CHI, MA, S4E2, HD, CASTLE) list ALL teachers on every participating class page. The PDF does not say which teacher teaches which class or uses which room, so each teacher appears against every class in the group.</t>
  </si>
  <si>
    <t xml:space="preserve">2. For the same reason, Venue shows the whole venue list for the lesson, not the specific room of that teacher.</t>
  </si>
  <si>
    <t xml:space="preserve">3. Free periods do not appear (no row).</t>
  </si>
  <si>
    <t xml:space="preserve">4. S6C page in the PDF contains only 4 CSD periods; that is reproduced as is.</t>
  </si>
  <si>
    <t xml:space="preserve">5. Rows were extracted from the PDF layout by position and font size; every class-day was checked to add up to 7 periods with no overlaps (S6C excepted).</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</si>
</sst>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595959"/>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4" fillId="3"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59595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6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7"/>
    <col collapsed="false" customWidth="true" hidden="false" outlineLevel="0" max="4" min="3" style="0" width="8"/>
    <col collapsed="false" customWidth="true" hidden="false" outlineLevel="0" max="5" min="5" style="0" width="34"/>
    <col collapsed="false" customWidth="true" hidden="false" outlineLevel="0" max="7" min="6" style="0" width="14"/>
    <col collapsed="false" customWidth="true" hidden="false" outlineLevel="0" max="8" min="8" style="0" width="13"/>
    <col collapsed="false" customWidth="true" hidden="false" outlineLevel="0" max="10" min="9" style="0" width="11"/>
    <col collapsed="false" customWidth="true" hidden="false" outlineLevel="0" max="11" min="11" style="0" width="44"/>
  </cols>
  <sheetData>
    <row r="1" customFormat="false" ht="31.5" hidden="false" customHeight="true" outlineLevel="0" collapsed="false">
      <c r="A1" s="1" t="s">
        <v>0</v>
      </c>
      <c r="B1" s="1" t="s">
        <v>1</v>
      </c>
      <c r="C1" s="1" t="s">
        <v>2</v>
      </c>
      <c r="D1" s="1" t="s">
        <v>3</v>
      </c>
      <c r="E1" s="1" t="s">
        <v>4</v>
      </c>
      <c r="F1" s="1" t="s">
        <v>5</v>
      </c>
      <c r="G1" s="2" t="s">
        <v>6</v>
      </c>
      <c r="H1" s="2" t="s">
        <v>7</v>
      </c>
      <c r="I1" s="2" t="s">
        <v>8</v>
      </c>
      <c r="J1" s="2" t="s">
        <v>9</v>
      </c>
      <c r="K1" s="2" t="s">
        <v>10</v>
      </c>
    </row>
    <row r="2" customFormat="false" ht="15" hidden="false" customHeight="false" outlineLevel="0" collapsed="false">
      <c r="A2" s="3" t="s">
        <v>11</v>
      </c>
      <c r="B2" s="4" t="s">
        <v>12</v>
      </c>
      <c r="C2" s="4" t="n">
        <v>1</v>
      </c>
      <c r="D2" s="4" t="s">
        <v>13</v>
      </c>
      <c r="E2" s="3" t="s">
        <v>14</v>
      </c>
      <c r="F2" s="4" t="str">
        <f aca="false">IF(I2&gt;J2,"Y","N")</f>
        <v>N</v>
      </c>
      <c r="G2" s="3" t="s">
        <v>15</v>
      </c>
      <c r="H2" s="3" t="s">
        <v>16</v>
      </c>
      <c r="I2" s="4" t="n">
        <v>4</v>
      </c>
      <c r="J2" s="4" t="n">
        <f aca="false">LEN(E2)-LEN(SUBSTITUTE(E2,",",""))+1</f>
        <v>4</v>
      </c>
      <c r="K2" s="3" t="str">
        <f aca="false">IFERROR(INDEX('Teacher Lookup'!$B$2:$B$200,MATCH(A2,'Teacher Lookup'!$A$2:$A$200,0)),"")</f>
        <v>FONG Alan</v>
      </c>
    </row>
    <row r="3" customFormat="false" ht="15" hidden="false" customHeight="false" outlineLevel="0" collapsed="false">
      <c r="A3" s="3" t="s">
        <v>11</v>
      </c>
      <c r="B3" s="4" t="s">
        <v>12</v>
      </c>
      <c r="C3" s="4" t="n">
        <v>1</v>
      </c>
      <c r="D3" s="4" t="s">
        <v>17</v>
      </c>
      <c r="E3" s="3" t="s">
        <v>14</v>
      </c>
      <c r="F3" s="4" t="str">
        <f aca="false">IF(I3&gt;J3,"Y","N")</f>
        <v>N</v>
      </c>
      <c r="G3" s="3" t="s">
        <v>15</v>
      </c>
      <c r="H3" s="3" t="s">
        <v>16</v>
      </c>
      <c r="I3" s="4" t="n">
        <v>4</v>
      </c>
      <c r="J3" s="4" t="n">
        <f aca="false">LEN(E3)-LEN(SUBSTITUTE(E3,",",""))+1</f>
        <v>4</v>
      </c>
      <c r="K3" s="3" t="str">
        <f aca="false">IFERROR(INDEX('Teacher Lookup'!$B$2:$B$200,MATCH(A3,'Teacher Lookup'!$A$2:$A$200,0)),"")</f>
        <v>FONG Alan</v>
      </c>
    </row>
    <row r="4" customFormat="false" ht="15" hidden="false" customHeight="false" outlineLevel="0" collapsed="false">
      <c r="A4" s="3" t="s">
        <v>11</v>
      </c>
      <c r="B4" s="4" t="s">
        <v>12</v>
      </c>
      <c r="C4" s="4" t="n">
        <v>1</v>
      </c>
      <c r="D4" s="4" t="s">
        <v>18</v>
      </c>
      <c r="E4" s="3" t="s">
        <v>14</v>
      </c>
      <c r="F4" s="4" t="str">
        <f aca="false">IF(I4&gt;J4,"Y","N")</f>
        <v>N</v>
      </c>
      <c r="G4" s="3" t="s">
        <v>15</v>
      </c>
      <c r="H4" s="3" t="s">
        <v>16</v>
      </c>
      <c r="I4" s="4" t="n">
        <v>4</v>
      </c>
      <c r="J4" s="4" t="n">
        <f aca="false">LEN(E4)-LEN(SUBSTITUTE(E4,",",""))+1</f>
        <v>4</v>
      </c>
      <c r="K4" s="3" t="str">
        <f aca="false">IFERROR(INDEX('Teacher Lookup'!$B$2:$B$200,MATCH(A4,'Teacher Lookup'!$A$2:$A$200,0)),"")</f>
        <v>FONG Alan</v>
      </c>
    </row>
    <row r="5" customFormat="false" ht="15" hidden="false" customHeight="false" outlineLevel="0" collapsed="false">
      <c r="A5" s="3" t="s">
        <v>11</v>
      </c>
      <c r="B5" s="4" t="s">
        <v>12</v>
      </c>
      <c r="C5" s="4" t="n">
        <v>2</v>
      </c>
      <c r="D5" s="4" t="s">
        <v>19</v>
      </c>
      <c r="E5" s="3" t="s">
        <v>20</v>
      </c>
      <c r="F5" s="4" t="str">
        <f aca="false">IF(I5&gt;J5,"Y","N")</f>
        <v>N</v>
      </c>
      <c r="G5" s="3" t="s">
        <v>15</v>
      </c>
      <c r="H5" s="3" t="s">
        <v>21</v>
      </c>
      <c r="I5" s="4" t="n">
        <v>4</v>
      </c>
      <c r="J5" s="4" t="n">
        <f aca="false">LEN(E5)-LEN(SUBSTITUTE(E5,",",""))+1</f>
        <v>4</v>
      </c>
      <c r="K5" s="3" t="str">
        <f aca="false">IFERROR(INDEX('Teacher Lookup'!$B$2:$B$200,MATCH(A5,'Teacher Lookup'!$A$2:$A$200,0)),"")</f>
        <v>FONG Alan</v>
      </c>
    </row>
    <row r="6" customFormat="false" ht="15" hidden="false" customHeight="false" outlineLevel="0" collapsed="false">
      <c r="A6" s="3" t="s">
        <v>11</v>
      </c>
      <c r="B6" s="4" t="s">
        <v>12</v>
      </c>
      <c r="C6" s="4" t="n">
        <v>2</v>
      </c>
      <c r="D6" s="4" t="s">
        <v>22</v>
      </c>
      <c r="E6" s="3" t="s">
        <v>20</v>
      </c>
      <c r="F6" s="4" t="str">
        <f aca="false">IF(I6&gt;J6,"Y","N")</f>
        <v>N</v>
      </c>
      <c r="G6" s="3" t="s">
        <v>15</v>
      </c>
      <c r="H6" s="3" t="s">
        <v>21</v>
      </c>
      <c r="I6" s="4" t="n">
        <v>4</v>
      </c>
      <c r="J6" s="4" t="n">
        <f aca="false">LEN(E6)-LEN(SUBSTITUTE(E6,",",""))+1</f>
        <v>4</v>
      </c>
      <c r="K6" s="3" t="str">
        <f aca="false">IFERROR(INDEX('Teacher Lookup'!$B$2:$B$200,MATCH(A6,'Teacher Lookup'!$A$2:$A$200,0)),"")</f>
        <v>FONG Alan</v>
      </c>
    </row>
    <row r="7" customFormat="false" ht="15" hidden="false" customHeight="false" outlineLevel="0" collapsed="false">
      <c r="A7" s="3" t="s">
        <v>11</v>
      </c>
      <c r="B7" s="4" t="s">
        <v>12</v>
      </c>
      <c r="C7" s="4" t="n">
        <v>2</v>
      </c>
      <c r="D7" s="4" t="s">
        <v>23</v>
      </c>
      <c r="E7" s="3" t="s">
        <v>20</v>
      </c>
      <c r="F7" s="4" t="str">
        <f aca="false">IF(I7&gt;J7,"Y","N")</f>
        <v>N</v>
      </c>
      <c r="G7" s="3" t="s">
        <v>15</v>
      </c>
      <c r="H7" s="3" t="s">
        <v>21</v>
      </c>
      <c r="I7" s="4" t="n">
        <v>4</v>
      </c>
      <c r="J7" s="4" t="n">
        <f aca="false">LEN(E7)-LEN(SUBSTITUTE(E7,",",""))+1</f>
        <v>4</v>
      </c>
      <c r="K7" s="3" t="str">
        <f aca="false">IFERROR(INDEX('Teacher Lookup'!$B$2:$B$200,MATCH(A7,'Teacher Lookup'!$A$2:$A$200,0)),"")</f>
        <v>FONG Alan</v>
      </c>
    </row>
    <row r="8" customFormat="false" ht="15" hidden="false" customHeight="false" outlineLevel="0" collapsed="false">
      <c r="A8" s="3" t="s">
        <v>11</v>
      </c>
      <c r="B8" s="4" t="s">
        <v>12</v>
      </c>
      <c r="C8" s="4" t="n">
        <v>3</v>
      </c>
      <c r="D8" s="4" t="s">
        <v>24</v>
      </c>
      <c r="E8" s="3" t="s">
        <v>25</v>
      </c>
      <c r="F8" s="4" t="str">
        <f aca="false">IF(I8&gt;J8,"Y","N")</f>
        <v>N</v>
      </c>
      <c r="G8" s="3" t="s">
        <v>15</v>
      </c>
      <c r="H8" s="3" t="s">
        <v>26</v>
      </c>
      <c r="I8" s="4" t="n">
        <v>6</v>
      </c>
      <c r="J8" s="4" t="n">
        <f aca="false">LEN(E8)-LEN(SUBSTITUTE(E8,",",""))+1</f>
        <v>6</v>
      </c>
      <c r="K8" s="3" t="str">
        <f aca="false">IFERROR(INDEX('Teacher Lookup'!$B$2:$B$200,MATCH(A8,'Teacher Lookup'!$A$2:$A$200,0)),"")</f>
        <v>FONG Alan</v>
      </c>
    </row>
    <row r="9" customFormat="false" ht="15" hidden="false" customHeight="false" outlineLevel="0" collapsed="false">
      <c r="A9" s="3" t="s">
        <v>11</v>
      </c>
      <c r="B9" s="4" t="s">
        <v>12</v>
      </c>
      <c r="C9" s="4" t="n">
        <v>3</v>
      </c>
      <c r="D9" s="4" t="s">
        <v>27</v>
      </c>
      <c r="E9" s="3" t="s">
        <v>25</v>
      </c>
      <c r="F9" s="4" t="str">
        <f aca="false">IF(I9&gt;J9,"Y","N")</f>
        <v>N</v>
      </c>
      <c r="G9" s="3" t="s">
        <v>15</v>
      </c>
      <c r="H9" s="3" t="s">
        <v>26</v>
      </c>
      <c r="I9" s="4" t="n">
        <v>6</v>
      </c>
      <c r="J9" s="4" t="n">
        <f aca="false">LEN(E9)-LEN(SUBSTITUTE(E9,",",""))+1</f>
        <v>6</v>
      </c>
      <c r="K9" s="3" t="str">
        <f aca="false">IFERROR(INDEX('Teacher Lookup'!$B$2:$B$200,MATCH(A9,'Teacher Lookup'!$A$2:$A$200,0)),"")</f>
        <v>FONG Alan</v>
      </c>
    </row>
    <row r="10" customFormat="false" ht="15" hidden="false" customHeight="false" outlineLevel="0" collapsed="false">
      <c r="A10" s="3" t="s">
        <v>11</v>
      </c>
      <c r="B10" s="4" t="s">
        <v>12</v>
      </c>
      <c r="C10" s="4" t="n">
        <v>3</v>
      </c>
      <c r="D10" s="4" t="s">
        <v>28</v>
      </c>
      <c r="E10" s="3" t="s">
        <v>25</v>
      </c>
      <c r="F10" s="4" t="str">
        <f aca="false">IF(I10&gt;J10,"Y","N")</f>
        <v>N</v>
      </c>
      <c r="G10" s="3" t="s">
        <v>15</v>
      </c>
      <c r="H10" s="3" t="s">
        <v>26</v>
      </c>
      <c r="I10" s="4" t="n">
        <v>6</v>
      </c>
      <c r="J10" s="4" t="n">
        <f aca="false">LEN(E10)-LEN(SUBSTITUTE(E10,",",""))+1</f>
        <v>6</v>
      </c>
      <c r="K10" s="3" t="str">
        <f aca="false">IFERROR(INDEX('Teacher Lookup'!$B$2:$B$200,MATCH(A10,'Teacher Lookup'!$A$2:$A$200,0)),"")</f>
        <v>FONG Alan</v>
      </c>
    </row>
    <row r="11" customFormat="false" ht="15" hidden="false" customHeight="false" outlineLevel="0" collapsed="false">
      <c r="A11" s="3" t="s">
        <v>11</v>
      </c>
      <c r="B11" s="4" t="s">
        <v>12</v>
      </c>
      <c r="C11" s="4" t="n">
        <v>3</v>
      </c>
      <c r="D11" s="4" t="s">
        <v>29</v>
      </c>
      <c r="E11" s="3" t="s">
        <v>25</v>
      </c>
      <c r="F11" s="4" t="str">
        <f aca="false">IF(I11&gt;J11,"Y","N")</f>
        <v>N</v>
      </c>
      <c r="G11" s="3" t="s">
        <v>15</v>
      </c>
      <c r="H11" s="3" t="s">
        <v>26</v>
      </c>
      <c r="I11" s="4" t="n">
        <v>6</v>
      </c>
      <c r="J11" s="4" t="n">
        <f aca="false">LEN(E11)-LEN(SUBSTITUTE(E11,",",""))+1</f>
        <v>6</v>
      </c>
      <c r="K11" s="3" t="str">
        <f aca="false">IFERROR(INDEX('Teacher Lookup'!$B$2:$B$200,MATCH(A11,'Teacher Lookup'!$A$2:$A$200,0)),"")</f>
        <v>FONG Alan</v>
      </c>
    </row>
    <row r="12" customFormat="false" ht="15" hidden="false" customHeight="false" outlineLevel="0" collapsed="false">
      <c r="A12" s="3" t="s">
        <v>11</v>
      </c>
      <c r="B12" s="4" t="s">
        <v>12</v>
      </c>
      <c r="C12" s="4" t="n">
        <v>3</v>
      </c>
      <c r="D12" s="4" t="s">
        <v>30</v>
      </c>
      <c r="E12" s="3" t="s">
        <v>25</v>
      </c>
      <c r="F12" s="4" t="str">
        <f aca="false">IF(I12&gt;J12,"Y","N")</f>
        <v>N</v>
      </c>
      <c r="G12" s="3" t="s">
        <v>15</v>
      </c>
      <c r="H12" s="3" t="s">
        <v>26</v>
      </c>
      <c r="I12" s="4" t="n">
        <v>6</v>
      </c>
      <c r="J12" s="4" t="n">
        <f aca="false">LEN(E12)-LEN(SUBSTITUTE(E12,",",""))+1</f>
        <v>6</v>
      </c>
      <c r="K12" s="3" t="str">
        <f aca="false">IFERROR(INDEX('Teacher Lookup'!$B$2:$B$200,MATCH(A12,'Teacher Lookup'!$A$2:$A$200,0)),"")</f>
        <v>FONG Alan</v>
      </c>
    </row>
    <row r="13" customFormat="false" ht="15" hidden="false" customHeight="false" outlineLevel="0" collapsed="false">
      <c r="A13" s="3" t="s">
        <v>11</v>
      </c>
      <c r="B13" s="4" t="s">
        <v>31</v>
      </c>
      <c r="C13" s="4" t="n">
        <v>3</v>
      </c>
      <c r="D13" s="4" t="s">
        <v>13</v>
      </c>
      <c r="E13" s="3" t="s">
        <v>32</v>
      </c>
      <c r="F13" s="4" t="str">
        <f aca="false">IF(I13&gt;J13,"Y","N")</f>
        <v>N</v>
      </c>
      <c r="G13" s="3" t="s">
        <v>15</v>
      </c>
      <c r="H13" s="3" t="s">
        <v>26</v>
      </c>
      <c r="I13" s="4" t="n">
        <v>4</v>
      </c>
      <c r="J13" s="4" t="n">
        <f aca="false">LEN(E13)-LEN(SUBSTITUTE(E13,",",""))+1</f>
        <v>4</v>
      </c>
      <c r="K13" s="3" t="str">
        <f aca="false">IFERROR(INDEX('Teacher Lookup'!$B$2:$B$200,MATCH(A13,'Teacher Lookup'!$A$2:$A$200,0)),"")</f>
        <v>FONG Alan</v>
      </c>
    </row>
    <row r="14" customFormat="false" ht="15" hidden="false" customHeight="false" outlineLevel="0" collapsed="false">
      <c r="A14" s="3" t="s">
        <v>11</v>
      </c>
      <c r="B14" s="4" t="s">
        <v>31</v>
      </c>
      <c r="C14" s="4" t="n">
        <v>3</v>
      </c>
      <c r="D14" s="4" t="s">
        <v>17</v>
      </c>
      <c r="E14" s="3" t="s">
        <v>32</v>
      </c>
      <c r="F14" s="4" t="str">
        <f aca="false">IF(I14&gt;J14,"Y","N")</f>
        <v>N</v>
      </c>
      <c r="G14" s="3" t="s">
        <v>15</v>
      </c>
      <c r="H14" s="3" t="s">
        <v>26</v>
      </c>
      <c r="I14" s="4" t="n">
        <v>4</v>
      </c>
      <c r="J14" s="4" t="n">
        <f aca="false">LEN(E14)-LEN(SUBSTITUTE(E14,",",""))+1</f>
        <v>4</v>
      </c>
      <c r="K14" s="3" t="str">
        <f aca="false">IFERROR(INDEX('Teacher Lookup'!$B$2:$B$200,MATCH(A14,'Teacher Lookup'!$A$2:$A$200,0)),"")</f>
        <v>FONG Alan</v>
      </c>
    </row>
    <row r="15" customFormat="false" ht="15" hidden="false" customHeight="false" outlineLevel="0" collapsed="false">
      <c r="A15" s="3" t="s">
        <v>11</v>
      </c>
      <c r="B15" s="4" t="s">
        <v>31</v>
      </c>
      <c r="C15" s="4" t="n">
        <v>3</v>
      </c>
      <c r="D15" s="4" t="s">
        <v>18</v>
      </c>
      <c r="E15" s="3" t="s">
        <v>32</v>
      </c>
      <c r="F15" s="4" t="str">
        <f aca="false">IF(I15&gt;J15,"Y","N")</f>
        <v>N</v>
      </c>
      <c r="G15" s="3" t="s">
        <v>15</v>
      </c>
      <c r="H15" s="3" t="s">
        <v>26</v>
      </c>
      <c r="I15" s="4" t="n">
        <v>4</v>
      </c>
      <c r="J15" s="4" t="n">
        <f aca="false">LEN(E15)-LEN(SUBSTITUTE(E15,",",""))+1</f>
        <v>4</v>
      </c>
      <c r="K15" s="3" t="str">
        <f aca="false">IFERROR(INDEX('Teacher Lookup'!$B$2:$B$200,MATCH(A15,'Teacher Lookup'!$A$2:$A$200,0)),"")</f>
        <v>FONG Alan</v>
      </c>
    </row>
    <row r="16" customFormat="false" ht="15" hidden="false" customHeight="false" outlineLevel="0" collapsed="false">
      <c r="A16" s="3" t="s">
        <v>11</v>
      </c>
      <c r="B16" s="4" t="s">
        <v>31</v>
      </c>
      <c r="C16" s="4" t="n">
        <v>4</v>
      </c>
      <c r="D16" s="4" t="s">
        <v>19</v>
      </c>
      <c r="E16" s="3" t="s">
        <v>33</v>
      </c>
      <c r="F16" s="4" t="str">
        <f aca="false">IF(I16&gt;J16,"Y","N")</f>
        <v>N</v>
      </c>
      <c r="G16" s="3" t="s">
        <v>15</v>
      </c>
      <c r="H16" s="3" t="s">
        <v>34</v>
      </c>
      <c r="I16" s="4" t="n">
        <v>4</v>
      </c>
      <c r="J16" s="4" t="n">
        <f aca="false">LEN(E16)-LEN(SUBSTITUTE(E16,",",""))+1</f>
        <v>4</v>
      </c>
      <c r="K16" s="3" t="str">
        <f aca="false">IFERROR(INDEX('Teacher Lookup'!$B$2:$B$200,MATCH(A16,'Teacher Lookup'!$A$2:$A$200,0)),"")</f>
        <v>FONG Alan</v>
      </c>
    </row>
    <row r="17" customFormat="false" ht="15" hidden="false" customHeight="false" outlineLevel="0" collapsed="false">
      <c r="A17" s="3" t="s">
        <v>11</v>
      </c>
      <c r="B17" s="4" t="s">
        <v>31</v>
      </c>
      <c r="C17" s="4" t="n">
        <v>4</v>
      </c>
      <c r="D17" s="4" t="s">
        <v>22</v>
      </c>
      <c r="E17" s="3" t="s">
        <v>33</v>
      </c>
      <c r="F17" s="4" t="str">
        <f aca="false">IF(I17&gt;J17,"Y","N")</f>
        <v>N</v>
      </c>
      <c r="G17" s="3" t="s">
        <v>15</v>
      </c>
      <c r="H17" s="3" t="s">
        <v>34</v>
      </c>
      <c r="I17" s="4" t="n">
        <v>4</v>
      </c>
      <c r="J17" s="4" t="n">
        <f aca="false">LEN(E17)-LEN(SUBSTITUTE(E17,",",""))+1</f>
        <v>4</v>
      </c>
      <c r="K17" s="3" t="str">
        <f aca="false">IFERROR(INDEX('Teacher Lookup'!$B$2:$B$200,MATCH(A17,'Teacher Lookup'!$A$2:$A$200,0)),"")</f>
        <v>FONG Alan</v>
      </c>
    </row>
    <row r="18" customFormat="false" ht="15" hidden="false" customHeight="false" outlineLevel="0" collapsed="false">
      <c r="A18" s="3" t="s">
        <v>11</v>
      </c>
      <c r="B18" s="4" t="s">
        <v>31</v>
      </c>
      <c r="C18" s="4" t="n">
        <v>4</v>
      </c>
      <c r="D18" s="4" t="s">
        <v>23</v>
      </c>
      <c r="E18" s="3" t="s">
        <v>33</v>
      </c>
      <c r="F18" s="4" t="str">
        <f aca="false">IF(I18&gt;J18,"Y","N")</f>
        <v>N</v>
      </c>
      <c r="G18" s="3" t="s">
        <v>15</v>
      </c>
      <c r="H18" s="3" t="s">
        <v>34</v>
      </c>
      <c r="I18" s="4" t="n">
        <v>4</v>
      </c>
      <c r="J18" s="4" t="n">
        <f aca="false">LEN(E18)-LEN(SUBSTITUTE(E18,",",""))+1</f>
        <v>4</v>
      </c>
      <c r="K18" s="3" t="str">
        <f aca="false">IFERROR(INDEX('Teacher Lookup'!$B$2:$B$200,MATCH(A18,'Teacher Lookup'!$A$2:$A$200,0)),"")</f>
        <v>FONG Alan</v>
      </c>
    </row>
    <row r="19" customFormat="false" ht="15" hidden="false" customHeight="false" outlineLevel="0" collapsed="false">
      <c r="A19" s="3" t="s">
        <v>11</v>
      </c>
      <c r="B19" s="4" t="s">
        <v>31</v>
      </c>
      <c r="C19" s="4" t="n">
        <v>5</v>
      </c>
      <c r="D19" s="4" t="s">
        <v>19</v>
      </c>
      <c r="E19" s="3" t="s">
        <v>35</v>
      </c>
      <c r="F19" s="4" t="str">
        <f aca="false">IF(I19&gt;J19,"Y","N")</f>
        <v>Y</v>
      </c>
      <c r="G19" s="3" t="s">
        <v>36</v>
      </c>
      <c r="H19" s="3" t="s">
        <v>37</v>
      </c>
      <c r="I19" s="4" t="n">
        <v>17</v>
      </c>
      <c r="J19" s="4" t="n">
        <f aca="false">LEN(E19)-LEN(SUBSTITUTE(E19,",",""))+1</f>
        <v>7</v>
      </c>
      <c r="K19" s="3" t="str">
        <f aca="false">IFERROR(INDEX('Teacher Lookup'!$B$2:$B$200,MATCH(A19,'Teacher Lookup'!$A$2:$A$200,0)),"")</f>
        <v>FONG Alan</v>
      </c>
    </row>
    <row r="20" customFormat="false" ht="15" hidden="false" customHeight="false" outlineLevel="0" collapsed="false">
      <c r="A20" s="3" t="s">
        <v>11</v>
      </c>
      <c r="B20" s="4" t="s">
        <v>31</v>
      </c>
      <c r="C20" s="4" t="n">
        <v>5</v>
      </c>
      <c r="D20" s="4" t="s">
        <v>22</v>
      </c>
      <c r="E20" s="3" t="s">
        <v>35</v>
      </c>
      <c r="F20" s="4" t="str">
        <f aca="false">IF(I20&gt;J20,"Y","N")</f>
        <v>Y</v>
      </c>
      <c r="G20" s="3" t="s">
        <v>36</v>
      </c>
      <c r="H20" s="3" t="s">
        <v>37</v>
      </c>
      <c r="I20" s="4" t="n">
        <v>17</v>
      </c>
      <c r="J20" s="4" t="n">
        <f aca="false">LEN(E20)-LEN(SUBSTITUTE(E20,",",""))+1</f>
        <v>7</v>
      </c>
      <c r="K20" s="3" t="str">
        <f aca="false">IFERROR(INDEX('Teacher Lookup'!$B$2:$B$200,MATCH(A20,'Teacher Lookup'!$A$2:$A$200,0)),"")</f>
        <v>FONG Alan</v>
      </c>
    </row>
    <row r="21" customFormat="false" ht="15" hidden="false" customHeight="false" outlineLevel="0" collapsed="false">
      <c r="A21" s="3" t="s">
        <v>11</v>
      </c>
      <c r="B21" s="4" t="s">
        <v>31</v>
      </c>
      <c r="C21" s="4" t="n">
        <v>5</v>
      </c>
      <c r="D21" s="4" t="s">
        <v>23</v>
      </c>
      <c r="E21" s="3" t="s">
        <v>35</v>
      </c>
      <c r="F21" s="4" t="str">
        <f aca="false">IF(I21&gt;J21,"Y","N")</f>
        <v>Y</v>
      </c>
      <c r="G21" s="3" t="s">
        <v>36</v>
      </c>
      <c r="H21" s="3" t="s">
        <v>37</v>
      </c>
      <c r="I21" s="4" t="n">
        <v>17</v>
      </c>
      <c r="J21" s="4" t="n">
        <f aca="false">LEN(E21)-LEN(SUBSTITUTE(E21,",",""))+1</f>
        <v>7</v>
      </c>
      <c r="K21" s="3" t="str">
        <f aca="false">IFERROR(INDEX('Teacher Lookup'!$B$2:$B$200,MATCH(A21,'Teacher Lookup'!$A$2:$A$200,0)),"")</f>
        <v>FONG Alan</v>
      </c>
    </row>
    <row r="22" customFormat="false" ht="15" hidden="false" customHeight="false" outlineLevel="0" collapsed="false">
      <c r="A22" s="3" t="s">
        <v>11</v>
      </c>
      <c r="B22" s="4" t="s">
        <v>31</v>
      </c>
      <c r="C22" s="4" t="n">
        <v>5</v>
      </c>
      <c r="D22" s="4" t="s">
        <v>13</v>
      </c>
      <c r="E22" s="3" t="s">
        <v>35</v>
      </c>
      <c r="F22" s="4" t="str">
        <f aca="false">IF(I22&gt;J22,"Y","N")</f>
        <v>Y</v>
      </c>
      <c r="G22" s="3" t="s">
        <v>36</v>
      </c>
      <c r="H22" s="3" t="s">
        <v>37</v>
      </c>
      <c r="I22" s="4" t="n">
        <v>17</v>
      </c>
      <c r="J22" s="4" t="n">
        <f aca="false">LEN(E22)-LEN(SUBSTITUTE(E22,",",""))+1</f>
        <v>7</v>
      </c>
      <c r="K22" s="3" t="str">
        <f aca="false">IFERROR(INDEX('Teacher Lookup'!$B$2:$B$200,MATCH(A22,'Teacher Lookup'!$A$2:$A$200,0)),"")</f>
        <v>FONG Alan</v>
      </c>
    </row>
    <row r="23" customFormat="false" ht="15" hidden="false" customHeight="false" outlineLevel="0" collapsed="false">
      <c r="A23" s="3" t="s">
        <v>11</v>
      </c>
      <c r="B23" s="4" t="s">
        <v>31</v>
      </c>
      <c r="C23" s="4" t="n">
        <v>5</v>
      </c>
      <c r="D23" s="4" t="s">
        <v>17</v>
      </c>
      <c r="E23" s="3" t="s">
        <v>35</v>
      </c>
      <c r="F23" s="4" t="str">
        <f aca="false">IF(I23&gt;J23,"Y","N")</f>
        <v>Y</v>
      </c>
      <c r="G23" s="3" t="s">
        <v>36</v>
      </c>
      <c r="H23" s="3" t="s">
        <v>37</v>
      </c>
      <c r="I23" s="4" t="n">
        <v>17</v>
      </c>
      <c r="J23" s="4" t="n">
        <f aca="false">LEN(E23)-LEN(SUBSTITUTE(E23,",",""))+1</f>
        <v>7</v>
      </c>
      <c r="K23" s="3" t="str">
        <f aca="false">IFERROR(INDEX('Teacher Lookup'!$B$2:$B$200,MATCH(A23,'Teacher Lookup'!$A$2:$A$200,0)),"")</f>
        <v>FONG Alan</v>
      </c>
    </row>
    <row r="24" customFormat="false" ht="15" hidden="false" customHeight="false" outlineLevel="0" collapsed="false">
      <c r="A24" s="3" t="s">
        <v>11</v>
      </c>
      <c r="B24" s="4" t="s">
        <v>31</v>
      </c>
      <c r="C24" s="4" t="n">
        <v>5</v>
      </c>
      <c r="D24" s="4" t="s">
        <v>18</v>
      </c>
      <c r="E24" s="3" t="s">
        <v>35</v>
      </c>
      <c r="F24" s="4" t="str">
        <f aca="false">IF(I24&gt;J24,"Y","N")</f>
        <v>Y</v>
      </c>
      <c r="G24" s="3" t="s">
        <v>36</v>
      </c>
      <c r="H24" s="3" t="s">
        <v>37</v>
      </c>
      <c r="I24" s="4" t="n">
        <v>17</v>
      </c>
      <c r="J24" s="4" t="n">
        <f aca="false">LEN(E24)-LEN(SUBSTITUTE(E24,",",""))+1</f>
        <v>7</v>
      </c>
      <c r="K24" s="3" t="str">
        <f aca="false">IFERROR(INDEX('Teacher Lookup'!$B$2:$B$200,MATCH(A24,'Teacher Lookup'!$A$2:$A$200,0)),"")</f>
        <v>FONG Alan</v>
      </c>
    </row>
    <row r="25" customFormat="false" ht="15" hidden="false" customHeight="false" outlineLevel="0" collapsed="false">
      <c r="A25" s="3" t="s">
        <v>11</v>
      </c>
      <c r="B25" s="4" t="s">
        <v>31</v>
      </c>
      <c r="C25" s="4" t="n">
        <v>7</v>
      </c>
      <c r="D25" s="4" t="s">
        <v>24</v>
      </c>
      <c r="E25" s="3" t="s">
        <v>38</v>
      </c>
      <c r="F25" s="4" t="str">
        <f aca="false">IF(I25&gt;J25,"Y","N")</f>
        <v>N</v>
      </c>
      <c r="G25" s="3" t="s">
        <v>15</v>
      </c>
      <c r="H25" s="3" t="s">
        <v>39</v>
      </c>
      <c r="I25" s="4" t="n">
        <v>6</v>
      </c>
      <c r="J25" s="4" t="n">
        <f aca="false">LEN(E25)-LEN(SUBSTITUTE(E25,",",""))+1</f>
        <v>6</v>
      </c>
      <c r="K25" s="3" t="str">
        <f aca="false">IFERROR(INDEX('Teacher Lookup'!$B$2:$B$200,MATCH(A25,'Teacher Lookup'!$A$2:$A$200,0)),"")</f>
        <v>FONG Alan</v>
      </c>
    </row>
    <row r="26" customFormat="false" ht="15" hidden="false" customHeight="false" outlineLevel="0" collapsed="false">
      <c r="A26" s="3" t="s">
        <v>11</v>
      </c>
      <c r="B26" s="4" t="s">
        <v>31</v>
      </c>
      <c r="C26" s="4" t="n">
        <v>7</v>
      </c>
      <c r="D26" s="4" t="s">
        <v>27</v>
      </c>
      <c r="E26" s="3" t="s">
        <v>38</v>
      </c>
      <c r="F26" s="4" t="str">
        <f aca="false">IF(I26&gt;J26,"Y","N")</f>
        <v>N</v>
      </c>
      <c r="G26" s="3" t="s">
        <v>15</v>
      </c>
      <c r="H26" s="3" t="s">
        <v>39</v>
      </c>
      <c r="I26" s="4" t="n">
        <v>6</v>
      </c>
      <c r="J26" s="4" t="n">
        <f aca="false">LEN(E26)-LEN(SUBSTITUTE(E26,",",""))+1</f>
        <v>6</v>
      </c>
      <c r="K26" s="3" t="str">
        <f aca="false">IFERROR(INDEX('Teacher Lookup'!$B$2:$B$200,MATCH(A26,'Teacher Lookup'!$A$2:$A$200,0)),"")</f>
        <v>FONG Alan</v>
      </c>
    </row>
    <row r="27" customFormat="false" ht="15" hidden="false" customHeight="false" outlineLevel="0" collapsed="false">
      <c r="A27" s="3" t="s">
        <v>11</v>
      </c>
      <c r="B27" s="4" t="s">
        <v>31</v>
      </c>
      <c r="C27" s="4" t="n">
        <v>7</v>
      </c>
      <c r="D27" s="4" t="s">
        <v>28</v>
      </c>
      <c r="E27" s="3" t="s">
        <v>38</v>
      </c>
      <c r="F27" s="4" t="str">
        <f aca="false">IF(I27&gt;J27,"Y","N")</f>
        <v>N</v>
      </c>
      <c r="G27" s="3" t="s">
        <v>15</v>
      </c>
      <c r="H27" s="3" t="s">
        <v>39</v>
      </c>
      <c r="I27" s="4" t="n">
        <v>6</v>
      </c>
      <c r="J27" s="4" t="n">
        <f aca="false">LEN(E27)-LEN(SUBSTITUTE(E27,",",""))+1</f>
        <v>6</v>
      </c>
      <c r="K27" s="3" t="str">
        <f aca="false">IFERROR(INDEX('Teacher Lookup'!$B$2:$B$200,MATCH(A27,'Teacher Lookup'!$A$2:$A$200,0)),"")</f>
        <v>FONG Alan</v>
      </c>
    </row>
    <row r="28" customFormat="false" ht="15" hidden="false" customHeight="false" outlineLevel="0" collapsed="false">
      <c r="A28" s="3" t="s">
        <v>11</v>
      </c>
      <c r="B28" s="4" t="s">
        <v>31</v>
      </c>
      <c r="C28" s="4" t="n">
        <v>7</v>
      </c>
      <c r="D28" s="4" t="s">
        <v>29</v>
      </c>
      <c r="E28" s="3" t="s">
        <v>38</v>
      </c>
      <c r="F28" s="4" t="str">
        <f aca="false">IF(I28&gt;J28,"Y","N")</f>
        <v>N</v>
      </c>
      <c r="G28" s="3" t="s">
        <v>15</v>
      </c>
      <c r="H28" s="3" t="s">
        <v>39</v>
      </c>
      <c r="I28" s="4" t="n">
        <v>6</v>
      </c>
      <c r="J28" s="4" t="n">
        <f aca="false">LEN(E28)-LEN(SUBSTITUTE(E28,",",""))+1</f>
        <v>6</v>
      </c>
      <c r="K28" s="3" t="str">
        <f aca="false">IFERROR(INDEX('Teacher Lookup'!$B$2:$B$200,MATCH(A28,'Teacher Lookup'!$A$2:$A$200,0)),"")</f>
        <v>FONG Alan</v>
      </c>
    </row>
    <row r="29" customFormat="false" ht="15" hidden="false" customHeight="false" outlineLevel="0" collapsed="false">
      <c r="A29" s="3" t="s">
        <v>11</v>
      </c>
      <c r="B29" s="4" t="s">
        <v>31</v>
      </c>
      <c r="C29" s="4" t="n">
        <v>7</v>
      </c>
      <c r="D29" s="4" t="s">
        <v>30</v>
      </c>
      <c r="E29" s="3" t="s">
        <v>38</v>
      </c>
      <c r="F29" s="4" t="str">
        <f aca="false">IF(I29&gt;J29,"Y","N")</f>
        <v>N</v>
      </c>
      <c r="G29" s="3" t="s">
        <v>15</v>
      </c>
      <c r="H29" s="3" t="s">
        <v>39</v>
      </c>
      <c r="I29" s="4" t="n">
        <v>6</v>
      </c>
      <c r="J29" s="4" t="n">
        <f aca="false">LEN(E29)-LEN(SUBSTITUTE(E29,",",""))+1</f>
        <v>6</v>
      </c>
      <c r="K29" s="3" t="str">
        <f aca="false">IFERROR(INDEX('Teacher Lookup'!$B$2:$B$200,MATCH(A29,'Teacher Lookup'!$A$2:$A$200,0)),"")</f>
        <v>FONG Alan</v>
      </c>
    </row>
    <row r="30" customFormat="false" ht="15" hidden="false" customHeight="false" outlineLevel="0" collapsed="false">
      <c r="A30" s="3" t="s">
        <v>11</v>
      </c>
      <c r="B30" s="4" t="s">
        <v>40</v>
      </c>
      <c r="C30" s="4" t="n">
        <v>2</v>
      </c>
      <c r="D30" s="4" t="s">
        <v>24</v>
      </c>
      <c r="E30" s="3" t="s">
        <v>41</v>
      </c>
      <c r="F30" s="4" t="str">
        <f aca="false">IF(I30&gt;J30,"Y","N")</f>
        <v>N</v>
      </c>
      <c r="G30" s="3" t="s">
        <v>15</v>
      </c>
      <c r="H30" s="3" t="s">
        <v>21</v>
      </c>
      <c r="I30" s="4" t="n">
        <v>6</v>
      </c>
      <c r="J30" s="4" t="n">
        <f aca="false">LEN(E30)-LEN(SUBSTITUTE(E30,",",""))+1</f>
        <v>6</v>
      </c>
      <c r="K30" s="3" t="str">
        <f aca="false">IFERROR(INDEX('Teacher Lookup'!$B$2:$B$200,MATCH(A30,'Teacher Lookup'!$A$2:$A$200,0)),"")</f>
        <v>FONG Alan</v>
      </c>
    </row>
    <row r="31" customFormat="false" ht="15" hidden="false" customHeight="false" outlineLevel="0" collapsed="false">
      <c r="A31" s="3" t="s">
        <v>11</v>
      </c>
      <c r="B31" s="4" t="s">
        <v>40</v>
      </c>
      <c r="C31" s="4" t="n">
        <v>2</v>
      </c>
      <c r="D31" s="4" t="s">
        <v>27</v>
      </c>
      <c r="E31" s="3" t="s">
        <v>41</v>
      </c>
      <c r="F31" s="4" t="str">
        <f aca="false">IF(I31&gt;J31,"Y","N")</f>
        <v>N</v>
      </c>
      <c r="G31" s="3" t="s">
        <v>15</v>
      </c>
      <c r="H31" s="3" t="s">
        <v>21</v>
      </c>
      <c r="I31" s="4" t="n">
        <v>6</v>
      </c>
      <c r="J31" s="4" t="n">
        <f aca="false">LEN(E31)-LEN(SUBSTITUTE(E31,",",""))+1</f>
        <v>6</v>
      </c>
      <c r="K31" s="3" t="str">
        <f aca="false">IFERROR(INDEX('Teacher Lookup'!$B$2:$B$200,MATCH(A31,'Teacher Lookup'!$A$2:$A$200,0)),"")</f>
        <v>FONG Alan</v>
      </c>
    </row>
    <row r="32" customFormat="false" ht="15" hidden="false" customHeight="false" outlineLevel="0" collapsed="false">
      <c r="A32" s="3" t="s">
        <v>11</v>
      </c>
      <c r="B32" s="4" t="s">
        <v>40</v>
      </c>
      <c r="C32" s="4" t="n">
        <v>2</v>
      </c>
      <c r="D32" s="4" t="s">
        <v>28</v>
      </c>
      <c r="E32" s="3" t="s">
        <v>41</v>
      </c>
      <c r="F32" s="4" t="str">
        <f aca="false">IF(I32&gt;J32,"Y","N")</f>
        <v>N</v>
      </c>
      <c r="G32" s="3" t="s">
        <v>15</v>
      </c>
      <c r="H32" s="3" t="s">
        <v>21</v>
      </c>
      <c r="I32" s="4" t="n">
        <v>6</v>
      </c>
      <c r="J32" s="4" t="n">
        <f aca="false">LEN(E32)-LEN(SUBSTITUTE(E32,",",""))+1</f>
        <v>6</v>
      </c>
      <c r="K32" s="3" t="str">
        <f aca="false">IFERROR(INDEX('Teacher Lookup'!$B$2:$B$200,MATCH(A32,'Teacher Lookup'!$A$2:$A$200,0)),"")</f>
        <v>FONG Alan</v>
      </c>
    </row>
    <row r="33" customFormat="false" ht="15" hidden="false" customHeight="false" outlineLevel="0" collapsed="false">
      <c r="A33" s="3" t="s">
        <v>11</v>
      </c>
      <c r="B33" s="4" t="s">
        <v>40</v>
      </c>
      <c r="C33" s="4" t="n">
        <v>2</v>
      </c>
      <c r="D33" s="4" t="s">
        <v>29</v>
      </c>
      <c r="E33" s="3" t="s">
        <v>41</v>
      </c>
      <c r="F33" s="4" t="str">
        <f aca="false">IF(I33&gt;J33,"Y","N")</f>
        <v>N</v>
      </c>
      <c r="G33" s="3" t="s">
        <v>15</v>
      </c>
      <c r="H33" s="3" t="s">
        <v>21</v>
      </c>
      <c r="I33" s="4" t="n">
        <v>6</v>
      </c>
      <c r="J33" s="4" t="n">
        <f aca="false">LEN(E33)-LEN(SUBSTITUTE(E33,",",""))+1</f>
        <v>6</v>
      </c>
      <c r="K33" s="3" t="str">
        <f aca="false">IFERROR(INDEX('Teacher Lookup'!$B$2:$B$200,MATCH(A33,'Teacher Lookup'!$A$2:$A$200,0)),"")</f>
        <v>FONG Alan</v>
      </c>
    </row>
    <row r="34" customFormat="false" ht="15" hidden="false" customHeight="false" outlineLevel="0" collapsed="false">
      <c r="A34" s="3" t="s">
        <v>11</v>
      </c>
      <c r="B34" s="4" t="s">
        <v>40</v>
      </c>
      <c r="C34" s="4" t="n">
        <v>2</v>
      </c>
      <c r="D34" s="4" t="s">
        <v>30</v>
      </c>
      <c r="E34" s="3" t="s">
        <v>41</v>
      </c>
      <c r="F34" s="4" t="str">
        <f aca="false">IF(I34&gt;J34,"Y","N")</f>
        <v>N</v>
      </c>
      <c r="G34" s="3" t="s">
        <v>15</v>
      </c>
      <c r="H34" s="3" t="s">
        <v>21</v>
      </c>
      <c r="I34" s="4" t="n">
        <v>6</v>
      </c>
      <c r="J34" s="4" t="n">
        <f aca="false">LEN(E34)-LEN(SUBSTITUTE(E34,",",""))+1</f>
        <v>6</v>
      </c>
      <c r="K34" s="3" t="str">
        <f aca="false">IFERROR(INDEX('Teacher Lookup'!$B$2:$B$200,MATCH(A34,'Teacher Lookup'!$A$2:$A$200,0)),"")</f>
        <v>FONG Alan</v>
      </c>
    </row>
    <row r="35" customFormat="false" ht="15" hidden="false" customHeight="false" outlineLevel="0" collapsed="false">
      <c r="A35" s="3" t="s">
        <v>11</v>
      </c>
      <c r="B35" s="4" t="s">
        <v>40</v>
      </c>
      <c r="C35" s="4" t="n">
        <v>6</v>
      </c>
      <c r="D35" s="4" t="s">
        <v>19</v>
      </c>
      <c r="E35" s="3" t="s">
        <v>33</v>
      </c>
      <c r="F35" s="4" t="str">
        <f aca="false">IF(I35&gt;J35,"Y","N")</f>
        <v>N</v>
      </c>
      <c r="G35" s="3" t="s">
        <v>15</v>
      </c>
      <c r="H35" s="3" t="s">
        <v>42</v>
      </c>
      <c r="I35" s="4" t="n">
        <v>4</v>
      </c>
      <c r="J35" s="4" t="n">
        <f aca="false">LEN(E35)-LEN(SUBSTITUTE(E35,",",""))+1</f>
        <v>4</v>
      </c>
      <c r="K35" s="3" t="str">
        <f aca="false">IFERROR(INDEX('Teacher Lookup'!$B$2:$B$200,MATCH(A35,'Teacher Lookup'!$A$2:$A$200,0)),"")</f>
        <v>FONG Alan</v>
      </c>
    </row>
    <row r="36" customFormat="false" ht="15" hidden="false" customHeight="false" outlineLevel="0" collapsed="false">
      <c r="A36" s="3" t="s">
        <v>11</v>
      </c>
      <c r="B36" s="4" t="s">
        <v>40</v>
      </c>
      <c r="C36" s="4" t="n">
        <v>6</v>
      </c>
      <c r="D36" s="4" t="s">
        <v>22</v>
      </c>
      <c r="E36" s="3" t="s">
        <v>33</v>
      </c>
      <c r="F36" s="4" t="str">
        <f aca="false">IF(I36&gt;J36,"Y","N")</f>
        <v>N</v>
      </c>
      <c r="G36" s="3" t="s">
        <v>15</v>
      </c>
      <c r="H36" s="3" t="s">
        <v>42</v>
      </c>
      <c r="I36" s="4" t="n">
        <v>4</v>
      </c>
      <c r="J36" s="4" t="n">
        <f aca="false">LEN(E36)-LEN(SUBSTITUTE(E36,",",""))+1</f>
        <v>4</v>
      </c>
      <c r="K36" s="3" t="str">
        <f aca="false">IFERROR(INDEX('Teacher Lookup'!$B$2:$B$200,MATCH(A36,'Teacher Lookup'!$A$2:$A$200,0)),"")</f>
        <v>FONG Alan</v>
      </c>
    </row>
    <row r="37" customFormat="false" ht="15" hidden="false" customHeight="false" outlineLevel="0" collapsed="false">
      <c r="A37" s="3" t="s">
        <v>11</v>
      </c>
      <c r="B37" s="4" t="s">
        <v>40</v>
      </c>
      <c r="C37" s="4" t="n">
        <v>6</v>
      </c>
      <c r="D37" s="4" t="s">
        <v>23</v>
      </c>
      <c r="E37" s="3" t="s">
        <v>33</v>
      </c>
      <c r="F37" s="4" t="str">
        <f aca="false">IF(I37&gt;J37,"Y","N")</f>
        <v>N</v>
      </c>
      <c r="G37" s="3" t="s">
        <v>15</v>
      </c>
      <c r="H37" s="3" t="s">
        <v>42</v>
      </c>
      <c r="I37" s="4" t="n">
        <v>4</v>
      </c>
      <c r="J37" s="4" t="n">
        <f aca="false">LEN(E37)-LEN(SUBSTITUTE(E37,",",""))+1</f>
        <v>4</v>
      </c>
      <c r="K37" s="3" t="str">
        <f aca="false">IFERROR(INDEX('Teacher Lookup'!$B$2:$B$200,MATCH(A37,'Teacher Lookup'!$A$2:$A$200,0)),"")</f>
        <v>FONG Alan</v>
      </c>
    </row>
    <row r="38" customFormat="false" ht="15" hidden="false" customHeight="false" outlineLevel="0" collapsed="false">
      <c r="A38" s="3" t="s">
        <v>11</v>
      </c>
      <c r="B38" s="4" t="s">
        <v>40</v>
      </c>
      <c r="C38" s="4" t="n">
        <v>7</v>
      </c>
      <c r="D38" s="4" t="s">
        <v>13</v>
      </c>
      <c r="E38" s="3" t="s">
        <v>43</v>
      </c>
      <c r="F38" s="4" t="str">
        <f aca="false">IF(I38&gt;J38,"Y","N")</f>
        <v>N</v>
      </c>
      <c r="G38" s="3" t="s">
        <v>15</v>
      </c>
      <c r="H38" s="3" t="s">
        <v>39</v>
      </c>
      <c r="I38" s="4" t="n">
        <v>4</v>
      </c>
      <c r="J38" s="4" t="n">
        <f aca="false">LEN(E38)-LEN(SUBSTITUTE(E38,",",""))+1</f>
        <v>4</v>
      </c>
      <c r="K38" s="3" t="str">
        <f aca="false">IFERROR(INDEX('Teacher Lookup'!$B$2:$B$200,MATCH(A38,'Teacher Lookup'!$A$2:$A$200,0)),"")</f>
        <v>FONG Alan</v>
      </c>
    </row>
    <row r="39" customFormat="false" ht="15" hidden="false" customHeight="false" outlineLevel="0" collapsed="false">
      <c r="A39" s="3" t="s">
        <v>11</v>
      </c>
      <c r="B39" s="4" t="s">
        <v>40</v>
      </c>
      <c r="C39" s="4" t="n">
        <v>7</v>
      </c>
      <c r="D39" s="4" t="s">
        <v>17</v>
      </c>
      <c r="E39" s="3" t="s">
        <v>43</v>
      </c>
      <c r="F39" s="4" t="str">
        <f aca="false">IF(I39&gt;J39,"Y","N")</f>
        <v>N</v>
      </c>
      <c r="G39" s="3" t="s">
        <v>15</v>
      </c>
      <c r="H39" s="3" t="s">
        <v>39</v>
      </c>
      <c r="I39" s="4" t="n">
        <v>4</v>
      </c>
      <c r="J39" s="4" t="n">
        <f aca="false">LEN(E39)-LEN(SUBSTITUTE(E39,",",""))+1</f>
        <v>4</v>
      </c>
      <c r="K39" s="3" t="str">
        <f aca="false">IFERROR(INDEX('Teacher Lookup'!$B$2:$B$200,MATCH(A39,'Teacher Lookup'!$A$2:$A$200,0)),"")</f>
        <v>FONG Alan</v>
      </c>
    </row>
    <row r="40" customFormat="false" ht="15" hidden="false" customHeight="false" outlineLevel="0" collapsed="false">
      <c r="A40" s="3" t="s">
        <v>11</v>
      </c>
      <c r="B40" s="4" t="s">
        <v>40</v>
      </c>
      <c r="C40" s="4" t="n">
        <v>7</v>
      </c>
      <c r="D40" s="4" t="s">
        <v>18</v>
      </c>
      <c r="E40" s="3" t="s">
        <v>43</v>
      </c>
      <c r="F40" s="4" t="str">
        <f aca="false">IF(I40&gt;J40,"Y","N")</f>
        <v>N</v>
      </c>
      <c r="G40" s="3" t="s">
        <v>15</v>
      </c>
      <c r="H40" s="3" t="s">
        <v>39</v>
      </c>
      <c r="I40" s="4" t="n">
        <v>4</v>
      </c>
      <c r="J40" s="4" t="n">
        <f aca="false">LEN(E40)-LEN(SUBSTITUTE(E40,",",""))+1</f>
        <v>4</v>
      </c>
      <c r="K40" s="3" t="str">
        <f aca="false">IFERROR(INDEX('Teacher Lookup'!$B$2:$B$200,MATCH(A40,'Teacher Lookup'!$A$2:$A$200,0)),"")</f>
        <v>FONG Alan</v>
      </c>
    </row>
    <row r="41" customFormat="false" ht="15" hidden="false" customHeight="false" outlineLevel="0" collapsed="false">
      <c r="A41" s="3" t="s">
        <v>11</v>
      </c>
      <c r="B41" s="4" t="s">
        <v>44</v>
      </c>
      <c r="C41" s="4" t="n">
        <v>1</v>
      </c>
      <c r="D41" s="4" t="s">
        <v>19</v>
      </c>
      <c r="E41" s="3" t="s">
        <v>33</v>
      </c>
      <c r="F41" s="4" t="str">
        <f aca="false">IF(I41&gt;J41,"Y","N")</f>
        <v>N</v>
      </c>
      <c r="G41" s="3" t="s">
        <v>15</v>
      </c>
      <c r="H41" s="3" t="s">
        <v>16</v>
      </c>
      <c r="I41" s="4" t="n">
        <v>4</v>
      </c>
      <c r="J41" s="4" t="n">
        <f aca="false">LEN(E41)-LEN(SUBSTITUTE(E41,",",""))+1</f>
        <v>4</v>
      </c>
      <c r="K41" s="3" t="str">
        <f aca="false">IFERROR(INDEX('Teacher Lookup'!$B$2:$B$200,MATCH(A41,'Teacher Lookup'!$A$2:$A$200,0)),"")</f>
        <v>FONG Alan</v>
      </c>
    </row>
    <row r="42" customFormat="false" ht="15" hidden="false" customHeight="false" outlineLevel="0" collapsed="false">
      <c r="A42" s="3" t="s">
        <v>11</v>
      </c>
      <c r="B42" s="4" t="s">
        <v>44</v>
      </c>
      <c r="C42" s="4" t="n">
        <v>1</v>
      </c>
      <c r="D42" s="4" t="s">
        <v>22</v>
      </c>
      <c r="E42" s="3" t="s">
        <v>33</v>
      </c>
      <c r="F42" s="4" t="str">
        <f aca="false">IF(I42&gt;J42,"Y","N")</f>
        <v>N</v>
      </c>
      <c r="G42" s="3" t="s">
        <v>15</v>
      </c>
      <c r="H42" s="3" t="s">
        <v>16</v>
      </c>
      <c r="I42" s="4" t="n">
        <v>4</v>
      </c>
      <c r="J42" s="4" t="n">
        <f aca="false">LEN(E42)-LEN(SUBSTITUTE(E42,",",""))+1</f>
        <v>4</v>
      </c>
      <c r="K42" s="3" t="str">
        <f aca="false">IFERROR(INDEX('Teacher Lookup'!$B$2:$B$200,MATCH(A42,'Teacher Lookup'!$A$2:$A$200,0)),"")</f>
        <v>FONG Alan</v>
      </c>
    </row>
    <row r="43" customFormat="false" ht="15" hidden="false" customHeight="false" outlineLevel="0" collapsed="false">
      <c r="A43" s="3" t="s">
        <v>11</v>
      </c>
      <c r="B43" s="4" t="s">
        <v>44</v>
      </c>
      <c r="C43" s="4" t="n">
        <v>1</v>
      </c>
      <c r="D43" s="4" t="s">
        <v>23</v>
      </c>
      <c r="E43" s="3" t="s">
        <v>33</v>
      </c>
      <c r="F43" s="4" t="str">
        <f aca="false">IF(I43&gt;J43,"Y","N")</f>
        <v>N</v>
      </c>
      <c r="G43" s="3" t="s">
        <v>15</v>
      </c>
      <c r="H43" s="3" t="s">
        <v>16</v>
      </c>
      <c r="I43" s="4" t="n">
        <v>4</v>
      </c>
      <c r="J43" s="4" t="n">
        <f aca="false">LEN(E43)-LEN(SUBSTITUTE(E43,",",""))+1</f>
        <v>4</v>
      </c>
      <c r="K43" s="3" t="str">
        <f aca="false">IFERROR(INDEX('Teacher Lookup'!$B$2:$B$200,MATCH(A43,'Teacher Lookup'!$A$2:$A$200,0)),"")</f>
        <v>FONG Alan</v>
      </c>
    </row>
    <row r="44" customFormat="false" ht="15" hidden="false" customHeight="false" outlineLevel="0" collapsed="false">
      <c r="A44" s="3" t="s">
        <v>11</v>
      </c>
      <c r="B44" s="4" t="s">
        <v>44</v>
      </c>
      <c r="C44" s="4" t="n">
        <v>2</v>
      </c>
      <c r="D44" s="4" t="s">
        <v>24</v>
      </c>
      <c r="E44" s="3" t="s">
        <v>45</v>
      </c>
      <c r="F44" s="4" t="str">
        <f aca="false">IF(I44&gt;J44,"Y","N")</f>
        <v>N</v>
      </c>
      <c r="G44" s="3" t="s">
        <v>15</v>
      </c>
      <c r="H44" s="3" t="s">
        <v>21</v>
      </c>
      <c r="I44" s="4" t="n">
        <v>6</v>
      </c>
      <c r="J44" s="4" t="n">
        <f aca="false">LEN(E44)-LEN(SUBSTITUTE(E44,",",""))+1</f>
        <v>6</v>
      </c>
      <c r="K44" s="3" t="str">
        <f aca="false">IFERROR(INDEX('Teacher Lookup'!$B$2:$B$200,MATCH(A44,'Teacher Lookup'!$A$2:$A$200,0)),"")</f>
        <v>FONG Alan</v>
      </c>
    </row>
    <row r="45" customFormat="false" ht="15" hidden="false" customHeight="false" outlineLevel="0" collapsed="false">
      <c r="A45" s="3" t="s">
        <v>11</v>
      </c>
      <c r="B45" s="4" t="s">
        <v>44</v>
      </c>
      <c r="C45" s="4" t="n">
        <v>2</v>
      </c>
      <c r="D45" s="4" t="s">
        <v>27</v>
      </c>
      <c r="E45" s="3" t="s">
        <v>45</v>
      </c>
      <c r="F45" s="4" t="str">
        <f aca="false">IF(I45&gt;J45,"Y","N")</f>
        <v>N</v>
      </c>
      <c r="G45" s="3" t="s">
        <v>15</v>
      </c>
      <c r="H45" s="3" t="s">
        <v>21</v>
      </c>
      <c r="I45" s="4" t="n">
        <v>6</v>
      </c>
      <c r="J45" s="4" t="n">
        <f aca="false">LEN(E45)-LEN(SUBSTITUTE(E45,",",""))+1</f>
        <v>6</v>
      </c>
      <c r="K45" s="3" t="str">
        <f aca="false">IFERROR(INDEX('Teacher Lookup'!$B$2:$B$200,MATCH(A45,'Teacher Lookup'!$A$2:$A$200,0)),"")</f>
        <v>FONG Alan</v>
      </c>
    </row>
    <row r="46" customFormat="false" ht="15" hidden="false" customHeight="false" outlineLevel="0" collapsed="false">
      <c r="A46" s="3" t="s">
        <v>11</v>
      </c>
      <c r="B46" s="4" t="s">
        <v>44</v>
      </c>
      <c r="C46" s="4" t="n">
        <v>2</v>
      </c>
      <c r="D46" s="4" t="s">
        <v>28</v>
      </c>
      <c r="E46" s="3" t="s">
        <v>45</v>
      </c>
      <c r="F46" s="4" t="str">
        <f aca="false">IF(I46&gt;J46,"Y","N")</f>
        <v>N</v>
      </c>
      <c r="G46" s="3" t="s">
        <v>15</v>
      </c>
      <c r="H46" s="3" t="s">
        <v>21</v>
      </c>
      <c r="I46" s="4" t="n">
        <v>6</v>
      </c>
      <c r="J46" s="4" t="n">
        <f aca="false">LEN(E46)-LEN(SUBSTITUTE(E46,",",""))+1</f>
        <v>6</v>
      </c>
      <c r="K46" s="3" t="str">
        <f aca="false">IFERROR(INDEX('Teacher Lookup'!$B$2:$B$200,MATCH(A46,'Teacher Lookup'!$A$2:$A$200,0)),"")</f>
        <v>FONG Alan</v>
      </c>
    </row>
    <row r="47" customFormat="false" ht="15" hidden="false" customHeight="false" outlineLevel="0" collapsed="false">
      <c r="A47" s="3" t="s">
        <v>11</v>
      </c>
      <c r="B47" s="4" t="s">
        <v>44</v>
      </c>
      <c r="C47" s="4" t="n">
        <v>2</v>
      </c>
      <c r="D47" s="4" t="s">
        <v>29</v>
      </c>
      <c r="E47" s="3" t="s">
        <v>45</v>
      </c>
      <c r="F47" s="4" t="str">
        <f aca="false">IF(I47&gt;J47,"Y","N")</f>
        <v>N</v>
      </c>
      <c r="G47" s="3" t="s">
        <v>15</v>
      </c>
      <c r="H47" s="3" t="s">
        <v>21</v>
      </c>
      <c r="I47" s="4" t="n">
        <v>6</v>
      </c>
      <c r="J47" s="4" t="n">
        <f aca="false">LEN(E47)-LEN(SUBSTITUTE(E47,",",""))+1</f>
        <v>6</v>
      </c>
      <c r="K47" s="3" t="str">
        <f aca="false">IFERROR(INDEX('Teacher Lookup'!$B$2:$B$200,MATCH(A47,'Teacher Lookup'!$A$2:$A$200,0)),"")</f>
        <v>FONG Alan</v>
      </c>
    </row>
    <row r="48" customFormat="false" ht="15" hidden="false" customHeight="false" outlineLevel="0" collapsed="false">
      <c r="A48" s="3" t="s">
        <v>11</v>
      </c>
      <c r="B48" s="4" t="s">
        <v>44</v>
      </c>
      <c r="C48" s="4" t="n">
        <v>2</v>
      </c>
      <c r="D48" s="4" t="s">
        <v>30</v>
      </c>
      <c r="E48" s="3" t="s">
        <v>45</v>
      </c>
      <c r="F48" s="4" t="str">
        <f aca="false">IF(I48&gt;J48,"Y","N")</f>
        <v>N</v>
      </c>
      <c r="G48" s="3" t="s">
        <v>15</v>
      </c>
      <c r="H48" s="3" t="s">
        <v>21</v>
      </c>
      <c r="I48" s="4" t="n">
        <v>6</v>
      </c>
      <c r="J48" s="4" t="n">
        <f aca="false">LEN(E48)-LEN(SUBSTITUTE(E48,",",""))+1</f>
        <v>6</v>
      </c>
      <c r="K48" s="3" t="str">
        <f aca="false">IFERROR(INDEX('Teacher Lookup'!$B$2:$B$200,MATCH(A48,'Teacher Lookup'!$A$2:$A$200,0)),"")</f>
        <v>FONG Alan</v>
      </c>
    </row>
    <row r="49" customFormat="false" ht="15" hidden="false" customHeight="false" outlineLevel="0" collapsed="false">
      <c r="A49" s="3" t="s">
        <v>11</v>
      </c>
      <c r="B49" s="4" t="s">
        <v>44</v>
      </c>
      <c r="C49" s="4" t="n">
        <v>5</v>
      </c>
      <c r="D49" s="4" t="s">
        <v>19</v>
      </c>
      <c r="E49" s="3" t="s">
        <v>35</v>
      </c>
      <c r="F49" s="4" t="str">
        <f aca="false">IF(I49&gt;J49,"Y","N")</f>
        <v>Y</v>
      </c>
      <c r="G49" s="3" t="s">
        <v>36</v>
      </c>
      <c r="H49" s="3" t="s">
        <v>37</v>
      </c>
      <c r="I49" s="4" t="n">
        <v>17</v>
      </c>
      <c r="J49" s="4" t="n">
        <f aca="false">LEN(E49)-LEN(SUBSTITUTE(E49,",",""))+1</f>
        <v>7</v>
      </c>
      <c r="K49" s="3" t="str">
        <f aca="false">IFERROR(INDEX('Teacher Lookup'!$B$2:$B$200,MATCH(A49,'Teacher Lookup'!$A$2:$A$200,0)),"")</f>
        <v>FONG Alan</v>
      </c>
    </row>
    <row r="50" customFormat="false" ht="15" hidden="false" customHeight="false" outlineLevel="0" collapsed="false">
      <c r="A50" s="3" t="s">
        <v>11</v>
      </c>
      <c r="B50" s="4" t="s">
        <v>44</v>
      </c>
      <c r="C50" s="4" t="n">
        <v>5</v>
      </c>
      <c r="D50" s="4" t="s">
        <v>22</v>
      </c>
      <c r="E50" s="3" t="s">
        <v>35</v>
      </c>
      <c r="F50" s="4" t="str">
        <f aca="false">IF(I50&gt;J50,"Y","N")</f>
        <v>Y</v>
      </c>
      <c r="G50" s="3" t="s">
        <v>36</v>
      </c>
      <c r="H50" s="3" t="s">
        <v>37</v>
      </c>
      <c r="I50" s="4" t="n">
        <v>17</v>
      </c>
      <c r="J50" s="4" t="n">
        <f aca="false">LEN(E50)-LEN(SUBSTITUTE(E50,",",""))+1</f>
        <v>7</v>
      </c>
      <c r="K50" s="3" t="str">
        <f aca="false">IFERROR(INDEX('Teacher Lookup'!$B$2:$B$200,MATCH(A50,'Teacher Lookup'!$A$2:$A$200,0)),"")</f>
        <v>FONG Alan</v>
      </c>
    </row>
    <row r="51" customFormat="false" ht="15" hidden="false" customHeight="false" outlineLevel="0" collapsed="false">
      <c r="A51" s="3" t="s">
        <v>11</v>
      </c>
      <c r="B51" s="4" t="s">
        <v>44</v>
      </c>
      <c r="C51" s="4" t="n">
        <v>5</v>
      </c>
      <c r="D51" s="4" t="s">
        <v>23</v>
      </c>
      <c r="E51" s="3" t="s">
        <v>35</v>
      </c>
      <c r="F51" s="4" t="str">
        <f aca="false">IF(I51&gt;J51,"Y","N")</f>
        <v>Y</v>
      </c>
      <c r="G51" s="3" t="s">
        <v>36</v>
      </c>
      <c r="H51" s="3" t="s">
        <v>37</v>
      </c>
      <c r="I51" s="4" t="n">
        <v>17</v>
      </c>
      <c r="J51" s="4" t="n">
        <f aca="false">LEN(E51)-LEN(SUBSTITUTE(E51,",",""))+1</f>
        <v>7</v>
      </c>
      <c r="K51" s="3" t="str">
        <f aca="false">IFERROR(INDEX('Teacher Lookup'!$B$2:$B$200,MATCH(A51,'Teacher Lookup'!$A$2:$A$200,0)),"")</f>
        <v>FONG Alan</v>
      </c>
    </row>
    <row r="52" customFormat="false" ht="15" hidden="false" customHeight="false" outlineLevel="0" collapsed="false">
      <c r="A52" s="3" t="s">
        <v>11</v>
      </c>
      <c r="B52" s="4" t="s">
        <v>44</v>
      </c>
      <c r="C52" s="4" t="n">
        <v>5</v>
      </c>
      <c r="D52" s="4" t="s">
        <v>13</v>
      </c>
      <c r="E52" s="3" t="s">
        <v>35</v>
      </c>
      <c r="F52" s="4" t="str">
        <f aca="false">IF(I52&gt;J52,"Y","N")</f>
        <v>Y</v>
      </c>
      <c r="G52" s="3" t="s">
        <v>36</v>
      </c>
      <c r="H52" s="3" t="s">
        <v>37</v>
      </c>
      <c r="I52" s="4" t="n">
        <v>17</v>
      </c>
      <c r="J52" s="4" t="n">
        <f aca="false">LEN(E52)-LEN(SUBSTITUTE(E52,",",""))+1</f>
        <v>7</v>
      </c>
      <c r="K52" s="3" t="str">
        <f aca="false">IFERROR(INDEX('Teacher Lookup'!$B$2:$B$200,MATCH(A52,'Teacher Lookup'!$A$2:$A$200,0)),"")</f>
        <v>FONG Alan</v>
      </c>
    </row>
    <row r="53" customFormat="false" ht="15" hidden="false" customHeight="false" outlineLevel="0" collapsed="false">
      <c r="A53" s="3" t="s">
        <v>11</v>
      </c>
      <c r="B53" s="4" t="s">
        <v>44</v>
      </c>
      <c r="C53" s="4" t="n">
        <v>5</v>
      </c>
      <c r="D53" s="4" t="s">
        <v>17</v>
      </c>
      <c r="E53" s="3" t="s">
        <v>35</v>
      </c>
      <c r="F53" s="4" t="str">
        <f aca="false">IF(I53&gt;J53,"Y","N")</f>
        <v>Y</v>
      </c>
      <c r="G53" s="3" t="s">
        <v>36</v>
      </c>
      <c r="H53" s="3" t="s">
        <v>37</v>
      </c>
      <c r="I53" s="4" t="n">
        <v>17</v>
      </c>
      <c r="J53" s="4" t="n">
        <f aca="false">LEN(E53)-LEN(SUBSTITUTE(E53,",",""))+1</f>
        <v>7</v>
      </c>
      <c r="K53" s="3" t="str">
        <f aca="false">IFERROR(INDEX('Teacher Lookup'!$B$2:$B$200,MATCH(A53,'Teacher Lookup'!$A$2:$A$200,0)),"")</f>
        <v>FONG Alan</v>
      </c>
    </row>
    <row r="54" customFormat="false" ht="15" hidden="false" customHeight="false" outlineLevel="0" collapsed="false">
      <c r="A54" s="3" t="s">
        <v>11</v>
      </c>
      <c r="B54" s="4" t="s">
        <v>44</v>
      </c>
      <c r="C54" s="4" t="n">
        <v>5</v>
      </c>
      <c r="D54" s="4" t="s">
        <v>18</v>
      </c>
      <c r="E54" s="3" t="s">
        <v>35</v>
      </c>
      <c r="F54" s="4" t="str">
        <f aca="false">IF(I54&gt;J54,"Y","N")</f>
        <v>Y</v>
      </c>
      <c r="G54" s="3" t="s">
        <v>36</v>
      </c>
      <c r="H54" s="3" t="s">
        <v>37</v>
      </c>
      <c r="I54" s="4" t="n">
        <v>17</v>
      </c>
      <c r="J54" s="4" t="n">
        <f aca="false">LEN(E54)-LEN(SUBSTITUTE(E54,",",""))+1</f>
        <v>7</v>
      </c>
      <c r="K54" s="3" t="str">
        <f aca="false">IFERROR(INDEX('Teacher Lookup'!$B$2:$B$200,MATCH(A54,'Teacher Lookup'!$A$2:$A$200,0)),"")</f>
        <v>FONG Alan</v>
      </c>
    </row>
    <row r="55" customFormat="false" ht="15" hidden="false" customHeight="false" outlineLevel="0" collapsed="false">
      <c r="A55" s="3" t="s">
        <v>11</v>
      </c>
      <c r="B55" s="4" t="s">
        <v>44</v>
      </c>
      <c r="C55" s="4" t="n">
        <v>7</v>
      </c>
      <c r="D55" s="4" t="s">
        <v>13</v>
      </c>
      <c r="E55" s="3" t="s">
        <v>46</v>
      </c>
      <c r="F55" s="4" t="str">
        <f aca="false">IF(I55&gt;J55,"Y","N")</f>
        <v>N</v>
      </c>
      <c r="G55" s="3" t="s">
        <v>15</v>
      </c>
      <c r="H55" s="3" t="s">
        <v>39</v>
      </c>
      <c r="I55" s="4" t="n">
        <v>4</v>
      </c>
      <c r="J55" s="4" t="n">
        <f aca="false">LEN(E55)-LEN(SUBSTITUTE(E55,",",""))+1</f>
        <v>4</v>
      </c>
      <c r="K55" s="3" t="str">
        <f aca="false">IFERROR(INDEX('Teacher Lookup'!$B$2:$B$200,MATCH(A55,'Teacher Lookup'!$A$2:$A$200,0)),"")</f>
        <v>FONG Alan</v>
      </c>
    </row>
    <row r="56" customFormat="false" ht="15" hidden="false" customHeight="false" outlineLevel="0" collapsed="false">
      <c r="A56" s="3" t="s">
        <v>11</v>
      </c>
      <c r="B56" s="4" t="s">
        <v>44</v>
      </c>
      <c r="C56" s="4" t="n">
        <v>7</v>
      </c>
      <c r="D56" s="4" t="s">
        <v>17</v>
      </c>
      <c r="E56" s="3" t="s">
        <v>46</v>
      </c>
      <c r="F56" s="4" t="str">
        <f aca="false">IF(I56&gt;J56,"Y","N")</f>
        <v>N</v>
      </c>
      <c r="G56" s="3" t="s">
        <v>15</v>
      </c>
      <c r="H56" s="3" t="s">
        <v>39</v>
      </c>
      <c r="I56" s="4" t="n">
        <v>4</v>
      </c>
      <c r="J56" s="4" t="n">
        <f aca="false">LEN(E56)-LEN(SUBSTITUTE(E56,",",""))+1</f>
        <v>4</v>
      </c>
      <c r="K56" s="3" t="str">
        <f aca="false">IFERROR(INDEX('Teacher Lookup'!$B$2:$B$200,MATCH(A56,'Teacher Lookup'!$A$2:$A$200,0)),"")</f>
        <v>FONG Alan</v>
      </c>
    </row>
    <row r="57" customFormat="false" ht="15" hidden="false" customHeight="false" outlineLevel="0" collapsed="false">
      <c r="A57" s="3" t="s">
        <v>11</v>
      </c>
      <c r="B57" s="4" t="s">
        <v>44</v>
      </c>
      <c r="C57" s="4" t="n">
        <v>7</v>
      </c>
      <c r="D57" s="4" t="s">
        <v>18</v>
      </c>
      <c r="E57" s="3" t="s">
        <v>46</v>
      </c>
      <c r="F57" s="4" t="str">
        <f aca="false">IF(I57&gt;J57,"Y","N")</f>
        <v>N</v>
      </c>
      <c r="G57" s="3" t="s">
        <v>15</v>
      </c>
      <c r="H57" s="3" t="s">
        <v>39</v>
      </c>
      <c r="I57" s="4" t="n">
        <v>4</v>
      </c>
      <c r="J57" s="4" t="n">
        <f aca="false">LEN(E57)-LEN(SUBSTITUTE(E57,",",""))+1</f>
        <v>4</v>
      </c>
      <c r="K57" s="3" t="str">
        <f aca="false">IFERROR(INDEX('Teacher Lookup'!$B$2:$B$200,MATCH(A57,'Teacher Lookup'!$A$2:$A$200,0)),"")</f>
        <v>FONG Alan</v>
      </c>
    </row>
    <row r="58" customFormat="false" ht="15" hidden="false" customHeight="false" outlineLevel="0" collapsed="false">
      <c r="A58" s="3" t="s">
        <v>11</v>
      </c>
      <c r="B58" s="4" t="s">
        <v>47</v>
      </c>
      <c r="C58" s="4" t="n">
        <v>3</v>
      </c>
      <c r="D58" s="4" t="s">
        <v>19</v>
      </c>
      <c r="E58" s="3" t="s">
        <v>48</v>
      </c>
      <c r="F58" s="4" t="str">
        <f aca="false">IF(I58&gt;J58,"Y","N")</f>
        <v>N</v>
      </c>
      <c r="G58" s="3" t="s">
        <v>15</v>
      </c>
      <c r="H58" s="3" t="s">
        <v>26</v>
      </c>
      <c r="I58" s="4" t="n">
        <v>4</v>
      </c>
      <c r="J58" s="4" t="n">
        <f aca="false">LEN(E58)-LEN(SUBSTITUTE(E58,",",""))+1</f>
        <v>4</v>
      </c>
      <c r="K58" s="3" t="str">
        <f aca="false">IFERROR(INDEX('Teacher Lookup'!$B$2:$B$200,MATCH(A58,'Teacher Lookup'!$A$2:$A$200,0)),"")</f>
        <v>FONG Alan</v>
      </c>
    </row>
    <row r="59" customFormat="false" ht="15" hidden="false" customHeight="false" outlineLevel="0" collapsed="false">
      <c r="A59" s="3" t="s">
        <v>11</v>
      </c>
      <c r="B59" s="4" t="s">
        <v>47</v>
      </c>
      <c r="C59" s="4" t="n">
        <v>3</v>
      </c>
      <c r="D59" s="4" t="s">
        <v>22</v>
      </c>
      <c r="E59" s="3" t="s">
        <v>48</v>
      </c>
      <c r="F59" s="4" t="str">
        <f aca="false">IF(I59&gt;J59,"Y","N")</f>
        <v>N</v>
      </c>
      <c r="G59" s="3" t="s">
        <v>15</v>
      </c>
      <c r="H59" s="3" t="s">
        <v>26</v>
      </c>
      <c r="I59" s="4" t="n">
        <v>4</v>
      </c>
      <c r="J59" s="4" t="n">
        <f aca="false">LEN(E59)-LEN(SUBSTITUTE(E59,",",""))+1</f>
        <v>4</v>
      </c>
      <c r="K59" s="3" t="str">
        <f aca="false">IFERROR(INDEX('Teacher Lookup'!$B$2:$B$200,MATCH(A59,'Teacher Lookup'!$A$2:$A$200,0)),"")</f>
        <v>FONG Alan</v>
      </c>
    </row>
    <row r="60" customFormat="false" ht="15" hidden="false" customHeight="false" outlineLevel="0" collapsed="false">
      <c r="A60" s="3" t="s">
        <v>11</v>
      </c>
      <c r="B60" s="4" t="s">
        <v>47</v>
      </c>
      <c r="C60" s="4" t="n">
        <v>3</v>
      </c>
      <c r="D60" s="4" t="s">
        <v>23</v>
      </c>
      <c r="E60" s="3" t="s">
        <v>48</v>
      </c>
      <c r="F60" s="4" t="str">
        <f aca="false">IF(I60&gt;J60,"Y","N")</f>
        <v>N</v>
      </c>
      <c r="G60" s="3" t="s">
        <v>15</v>
      </c>
      <c r="H60" s="3" t="s">
        <v>26</v>
      </c>
      <c r="I60" s="4" t="n">
        <v>4</v>
      </c>
      <c r="J60" s="4" t="n">
        <f aca="false">LEN(E60)-LEN(SUBSTITUTE(E60,",",""))+1</f>
        <v>4</v>
      </c>
      <c r="K60" s="3" t="str">
        <f aca="false">IFERROR(INDEX('Teacher Lookup'!$B$2:$B$200,MATCH(A60,'Teacher Lookup'!$A$2:$A$200,0)),"")</f>
        <v>FONG Alan</v>
      </c>
    </row>
    <row r="61" customFormat="false" ht="15" hidden="false" customHeight="false" outlineLevel="0" collapsed="false">
      <c r="A61" s="3" t="s">
        <v>11</v>
      </c>
      <c r="B61" s="4" t="s">
        <v>47</v>
      </c>
      <c r="C61" s="4" t="n">
        <v>5</v>
      </c>
      <c r="D61" s="4" t="s">
        <v>24</v>
      </c>
      <c r="E61" s="3" t="s">
        <v>49</v>
      </c>
      <c r="F61" s="4" t="str">
        <f aca="false">IF(I61&gt;J61,"Y","N")</f>
        <v>N</v>
      </c>
      <c r="G61" s="3" t="s">
        <v>15</v>
      </c>
      <c r="H61" s="3" t="s">
        <v>37</v>
      </c>
      <c r="I61" s="4" t="n">
        <v>6</v>
      </c>
      <c r="J61" s="4" t="n">
        <f aca="false">LEN(E61)-LEN(SUBSTITUTE(E61,",",""))+1</f>
        <v>6</v>
      </c>
      <c r="K61" s="3" t="str">
        <f aca="false">IFERROR(INDEX('Teacher Lookup'!$B$2:$B$200,MATCH(A61,'Teacher Lookup'!$A$2:$A$200,0)),"")</f>
        <v>FONG Alan</v>
      </c>
    </row>
    <row r="62" customFormat="false" ht="15" hidden="false" customHeight="false" outlineLevel="0" collapsed="false">
      <c r="A62" s="3" t="s">
        <v>11</v>
      </c>
      <c r="B62" s="4" t="s">
        <v>47</v>
      </c>
      <c r="C62" s="4" t="n">
        <v>5</v>
      </c>
      <c r="D62" s="4" t="s">
        <v>27</v>
      </c>
      <c r="E62" s="3" t="s">
        <v>49</v>
      </c>
      <c r="F62" s="4" t="str">
        <f aca="false">IF(I62&gt;J62,"Y","N")</f>
        <v>N</v>
      </c>
      <c r="G62" s="3" t="s">
        <v>15</v>
      </c>
      <c r="H62" s="3" t="s">
        <v>37</v>
      </c>
      <c r="I62" s="4" t="n">
        <v>6</v>
      </c>
      <c r="J62" s="4" t="n">
        <f aca="false">LEN(E62)-LEN(SUBSTITUTE(E62,",",""))+1</f>
        <v>6</v>
      </c>
      <c r="K62" s="3" t="str">
        <f aca="false">IFERROR(INDEX('Teacher Lookup'!$B$2:$B$200,MATCH(A62,'Teacher Lookup'!$A$2:$A$200,0)),"")</f>
        <v>FONG Alan</v>
      </c>
    </row>
    <row r="63" customFormat="false" ht="15" hidden="false" customHeight="false" outlineLevel="0" collapsed="false">
      <c r="A63" s="3" t="s">
        <v>11</v>
      </c>
      <c r="B63" s="4" t="s">
        <v>47</v>
      </c>
      <c r="C63" s="4" t="n">
        <v>5</v>
      </c>
      <c r="D63" s="4" t="s">
        <v>28</v>
      </c>
      <c r="E63" s="3" t="s">
        <v>49</v>
      </c>
      <c r="F63" s="4" t="str">
        <f aca="false">IF(I63&gt;J63,"Y","N")</f>
        <v>N</v>
      </c>
      <c r="G63" s="3" t="s">
        <v>15</v>
      </c>
      <c r="H63" s="3" t="s">
        <v>37</v>
      </c>
      <c r="I63" s="4" t="n">
        <v>6</v>
      </c>
      <c r="J63" s="4" t="n">
        <f aca="false">LEN(E63)-LEN(SUBSTITUTE(E63,",",""))+1</f>
        <v>6</v>
      </c>
      <c r="K63" s="3" t="str">
        <f aca="false">IFERROR(INDEX('Teacher Lookup'!$B$2:$B$200,MATCH(A63,'Teacher Lookup'!$A$2:$A$200,0)),"")</f>
        <v>FONG Alan</v>
      </c>
    </row>
    <row r="64" customFormat="false" ht="15" hidden="false" customHeight="false" outlineLevel="0" collapsed="false">
      <c r="A64" s="3" t="s">
        <v>11</v>
      </c>
      <c r="B64" s="4" t="s">
        <v>47</v>
      </c>
      <c r="C64" s="4" t="n">
        <v>5</v>
      </c>
      <c r="D64" s="4" t="s">
        <v>29</v>
      </c>
      <c r="E64" s="3" t="s">
        <v>49</v>
      </c>
      <c r="F64" s="4" t="str">
        <f aca="false">IF(I64&gt;J64,"Y","N")</f>
        <v>N</v>
      </c>
      <c r="G64" s="3" t="s">
        <v>15</v>
      </c>
      <c r="H64" s="3" t="s">
        <v>37</v>
      </c>
      <c r="I64" s="4" t="n">
        <v>6</v>
      </c>
      <c r="J64" s="4" t="n">
        <f aca="false">LEN(E64)-LEN(SUBSTITUTE(E64,",",""))+1</f>
        <v>6</v>
      </c>
      <c r="K64" s="3" t="str">
        <f aca="false">IFERROR(INDEX('Teacher Lookup'!$B$2:$B$200,MATCH(A64,'Teacher Lookup'!$A$2:$A$200,0)),"")</f>
        <v>FONG Alan</v>
      </c>
    </row>
    <row r="65" customFormat="false" ht="15" hidden="false" customHeight="false" outlineLevel="0" collapsed="false">
      <c r="A65" s="3" t="s">
        <v>11</v>
      </c>
      <c r="B65" s="4" t="s">
        <v>47</v>
      </c>
      <c r="C65" s="4" t="n">
        <v>5</v>
      </c>
      <c r="D65" s="4" t="s">
        <v>30</v>
      </c>
      <c r="E65" s="3" t="s">
        <v>49</v>
      </c>
      <c r="F65" s="4" t="str">
        <f aca="false">IF(I65&gt;J65,"Y","N")</f>
        <v>N</v>
      </c>
      <c r="G65" s="3" t="s">
        <v>15</v>
      </c>
      <c r="H65" s="3" t="s">
        <v>37</v>
      </c>
      <c r="I65" s="4" t="n">
        <v>6</v>
      </c>
      <c r="J65" s="4" t="n">
        <f aca="false">LEN(E65)-LEN(SUBSTITUTE(E65,",",""))+1</f>
        <v>6</v>
      </c>
      <c r="K65" s="3" t="str">
        <f aca="false">IFERROR(INDEX('Teacher Lookup'!$B$2:$B$200,MATCH(A65,'Teacher Lookup'!$A$2:$A$200,0)),"")</f>
        <v>FONG Alan</v>
      </c>
    </row>
    <row r="66" customFormat="false" ht="15" hidden="false" customHeight="false" outlineLevel="0" collapsed="false">
      <c r="A66" s="3" t="s">
        <v>11</v>
      </c>
      <c r="B66" s="4" t="s">
        <v>47</v>
      </c>
      <c r="C66" s="4" t="n">
        <v>6</v>
      </c>
      <c r="D66" s="4" t="s">
        <v>13</v>
      </c>
      <c r="E66" s="3" t="s">
        <v>14</v>
      </c>
      <c r="F66" s="4" t="str">
        <f aca="false">IF(I66&gt;J66,"Y","N")</f>
        <v>N</v>
      </c>
      <c r="G66" s="3" t="s">
        <v>15</v>
      </c>
      <c r="H66" s="3" t="s">
        <v>42</v>
      </c>
      <c r="I66" s="4" t="n">
        <v>4</v>
      </c>
      <c r="J66" s="4" t="n">
        <f aca="false">LEN(E66)-LEN(SUBSTITUTE(E66,",",""))+1</f>
        <v>4</v>
      </c>
      <c r="K66" s="3" t="str">
        <f aca="false">IFERROR(INDEX('Teacher Lookup'!$B$2:$B$200,MATCH(A66,'Teacher Lookup'!$A$2:$A$200,0)),"")</f>
        <v>FONG Alan</v>
      </c>
    </row>
    <row r="67" customFormat="false" ht="15" hidden="false" customHeight="false" outlineLevel="0" collapsed="false">
      <c r="A67" s="3" t="s">
        <v>11</v>
      </c>
      <c r="B67" s="4" t="s">
        <v>47</v>
      </c>
      <c r="C67" s="4" t="n">
        <v>6</v>
      </c>
      <c r="D67" s="4" t="s">
        <v>17</v>
      </c>
      <c r="E67" s="3" t="s">
        <v>14</v>
      </c>
      <c r="F67" s="4" t="str">
        <f aca="false">IF(I67&gt;J67,"Y","N")</f>
        <v>N</v>
      </c>
      <c r="G67" s="3" t="s">
        <v>15</v>
      </c>
      <c r="H67" s="3" t="s">
        <v>42</v>
      </c>
      <c r="I67" s="4" t="n">
        <v>4</v>
      </c>
      <c r="J67" s="4" t="n">
        <f aca="false">LEN(E67)-LEN(SUBSTITUTE(E67,",",""))+1</f>
        <v>4</v>
      </c>
      <c r="K67" s="3" t="str">
        <f aca="false">IFERROR(INDEX('Teacher Lookup'!$B$2:$B$200,MATCH(A67,'Teacher Lookup'!$A$2:$A$200,0)),"")</f>
        <v>FONG Alan</v>
      </c>
    </row>
    <row r="68" customFormat="false" ht="15" hidden="false" customHeight="false" outlineLevel="0" collapsed="false">
      <c r="A68" s="3" t="s">
        <v>11</v>
      </c>
      <c r="B68" s="4" t="s">
        <v>47</v>
      </c>
      <c r="C68" s="4" t="n">
        <v>6</v>
      </c>
      <c r="D68" s="4" t="s">
        <v>18</v>
      </c>
      <c r="E68" s="3" t="s">
        <v>14</v>
      </c>
      <c r="F68" s="4" t="str">
        <f aca="false">IF(I68&gt;J68,"Y","N")</f>
        <v>N</v>
      </c>
      <c r="G68" s="3" t="s">
        <v>15</v>
      </c>
      <c r="H68" s="3" t="s">
        <v>42</v>
      </c>
      <c r="I68" s="4" t="n">
        <v>4</v>
      </c>
      <c r="J68" s="4" t="n">
        <f aca="false">LEN(E68)-LEN(SUBSTITUTE(E68,",",""))+1</f>
        <v>4</v>
      </c>
      <c r="K68" s="3" t="str">
        <f aca="false">IFERROR(INDEX('Teacher Lookup'!$B$2:$B$200,MATCH(A68,'Teacher Lookup'!$A$2:$A$200,0)),"")</f>
        <v>FONG Alan</v>
      </c>
    </row>
    <row r="69" customFormat="false" ht="15" hidden="false" customHeight="false" outlineLevel="0" collapsed="false">
      <c r="A69" s="3" t="s">
        <v>11</v>
      </c>
      <c r="B69" s="4" t="s">
        <v>50</v>
      </c>
      <c r="C69" s="4" t="n">
        <v>2</v>
      </c>
      <c r="D69" s="4" t="s">
        <v>19</v>
      </c>
      <c r="E69" s="3" t="s">
        <v>51</v>
      </c>
      <c r="F69" s="4" t="str">
        <f aca="false">IF(I69&gt;J69,"Y","N")</f>
        <v>N</v>
      </c>
      <c r="G69" s="3" t="s">
        <v>15</v>
      </c>
      <c r="H69" s="3" t="s">
        <v>21</v>
      </c>
      <c r="I69" s="4" t="n">
        <v>4</v>
      </c>
      <c r="J69" s="4" t="n">
        <f aca="false">LEN(E69)-LEN(SUBSTITUTE(E69,",",""))+1</f>
        <v>4</v>
      </c>
      <c r="K69" s="3" t="str">
        <f aca="false">IFERROR(INDEX('Teacher Lookup'!$B$2:$B$200,MATCH(A69,'Teacher Lookup'!$A$2:$A$200,0)),"")</f>
        <v>FONG Alan</v>
      </c>
    </row>
    <row r="70" customFormat="false" ht="15" hidden="false" customHeight="false" outlineLevel="0" collapsed="false">
      <c r="A70" s="3" t="s">
        <v>11</v>
      </c>
      <c r="B70" s="4" t="s">
        <v>50</v>
      </c>
      <c r="C70" s="4" t="n">
        <v>2</v>
      </c>
      <c r="D70" s="4" t="s">
        <v>22</v>
      </c>
      <c r="E70" s="3" t="s">
        <v>51</v>
      </c>
      <c r="F70" s="4" t="str">
        <f aca="false">IF(I70&gt;J70,"Y","N")</f>
        <v>N</v>
      </c>
      <c r="G70" s="3" t="s">
        <v>15</v>
      </c>
      <c r="H70" s="3" t="s">
        <v>21</v>
      </c>
      <c r="I70" s="4" t="n">
        <v>4</v>
      </c>
      <c r="J70" s="4" t="n">
        <f aca="false">LEN(E70)-LEN(SUBSTITUTE(E70,",",""))+1</f>
        <v>4</v>
      </c>
      <c r="K70" s="3" t="str">
        <f aca="false">IFERROR(INDEX('Teacher Lookup'!$B$2:$B$200,MATCH(A70,'Teacher Lookup'!$A$2:$A$200,0)),"")</f>
        <v>FONG Alan</v>
      </c>
    </row>
    <row r="71" customFormat="false" ht="15" hidden="false" customHeight="false" outlineLevel="0" collapsed="false">
      <c r="A71" s="3" t="s">
        <v>11</v>
      </c>
      <c r="B71" s="4" t="s">
        <v>50</v>
      </c>
      <c r="C71" s="4" t="n">
        <v>2</v>
      </c>
      <c r="D71" s="4" t="s">
        <v>23</v>
      </c>
      <c r="E71" s="3" t="s">
        <v>51</v>
      </c>
      <c r="F71" s="4" t="str">
        <f aca="false">IF(I71&gt;J71,"Y","N")</f>
        <v>N</v>
      </c>
      <c r="G71" s="3" t="s">
        <v>15</v>
      </c>
      <c r="H71" s="3" t="s">
        <v>21</v>
      </c>
      <c r="I71" s="4" t="n">
        <v>4</v>
      </c>
      <c r="J71" s="4" t="n">
        <f aca="false">LEN(E71)-LEN(SUBSTITUTE(E71,",",""))+1</f>
        <v>4</v>
      </c>
      <c r="K71" s="3" t="str">
        <f aca="false">IFERROR(INDEX('Teacher Lookup'!$B$2:$B$200,MATCH(A71,'Teacher Lookup'!$A$2:$A$200,0)),"")</f>
        <v>FONG Alan</v>
      </c>
    </row>
    <row r="72" customFormat="false" ht="15" hidden="false" customHeight="false" outlineLevel="0" collapsed="false">
      <c r="A72" s="3" t="s">
        <v>11</v>
      </c>
      <c r="B72" s="4" t="s">
        <v>50</v>
      </c>
      <c r="C72" s="4" t="n">
        <v>3</v>
      </c>
      <c r="D72" s="4" t="s">
        <v>24</v>
      </c>
      <c r="E72" s="3" t="s">
        <v>41</v>
      </c>
      <c r="F72" s="4" t="str">
        <f aca="false">IF(I72&gt;J72,"Y","N")</f>
        <v>N</v>
      </c>
      <c r="G72" s="3" t="s">
        <v>15</v>
      </c>
      <c r="H72" s="3" t="s">
        <v>26</v>
      </c>
      <c r="I72" s="4" t="n">
        <v>6</v>
      </c>
      <c r="J72" s="4" t="n">
        <f aca="false">LEN(E72)-LEN(SUBSTITUTE(E72,",",""))+1</f>
        <v>6</v>
      </c>
      <c r="K72" s="3" t="str">
        <f aca="false">IFERROR(INDEX('Teacher Lookup'!$B$2:$B$200,MATCH(A72,'Teacher Lookup'!$A$2:$A$200,0)),"")</f>
        <v>FONG Alan</v>
      </c>
    </row>
    <row r="73" customFormat="false" ht="15" hidden="false" customHeight="false" outlineLevel="0" collapsed="false">
      <c r="A73" s="3" t="s">
        <v>11</v>
      </c>
      <c r="B73" s="4" t="s">
        <v>50</v>
      </c>
      <c r="C73" s="4" t="n">
        <v>3</v>
      </c>
      <c r="D73" s="4" t="s">
        <v>27</v>
      </c>
      <c r="E73" s="3" t="s">
        <v>41</v>
      </c>
      <c r="F73" s="4" t="str">
        <f aca="false">IF(I73&gt;J73,"Y","N")</f>
        <v>N</v>
      </c>
      <c r="G73" s="3" t="s">
        <v>15</v>
      </c>
      <c r="H73" s="3" t="s">
        <v>26</v>
      </c>
      <c r="I73" s="4" t="n">
        <v>6</v>
      </c>
      <c r="J73" s="4" t="n">
        <f aca="false">LEN(E73)-LEN(SUBSTITUTE(E73,",",""))+1</f>
        <v>6</v>
      </c>
      <c r="K73" s="3" t="str">
        <f aca="false">IFERROR(INDEX('Teacher Lookup'!$B$2:$B$200,MATCH(A73,'Teacher Lookup'!$A$2:$A$200,0)),"")</f>
        <v>FONG Alan</v>
      </c>
    </row>
    <row r="74" customFormat="false" ht="15" hidden="false" customHeight="false" outlineLevel="0" collapsed="false">
      <c r="A74" s="3" t="s">
        <v>11</v>
      </c>
      <c r="B74" s="4" t="s">
        <v>50</v>
      </c>
      <c r="C74" s="4" t="n">
        <v>3</v>
      </c>
      <c r="D74" s="4" t="s">
        <v>28</v>
      </c>
      <c r="E74" s="3" t="s">
        <v>41</v>
      </c>
      <c r="F74" s="4" t="str">
        <f aca="false">IF(I74&gt;J74,"Y","N")</f>
        <v>N</v>
      </c>
      <c r="G74" s="3" t="s">
        <v>15</v>
      </c>
      <c r="H74" s="3" t="s">
        <v>26</v>
      </c>
      <c r="I74" s="4" t="n">
        <v>6</v>
      </c>
      <c r="J74" s="4" t="n">
        <f aca="false">LEN(E74)-LEN(SUBSTITUTE(E74,",",""))+1</f>
        <v>6</v>
      </c>
      <c r="K74" s="3" t="str">
        <f aca="false">IFERROR(INDEX('Teacher Lookup'!$B$2:$B$200,MATCH(A74,'Teacher Lookup'!$A$2:$A$200,0)),"")</f>
        <v>FONG Alan</v>
      </c>
    </row>
    <row r="75" customFormat="false" ht="15" hidden="false" customHeight="false" outlineLevel="0" collapsed="false">
      <c r="A75" s="3" t="s">
        <v>11</v>
      </c>
      <c r="B75" s="4" t="s">
        <v>50</v>
      </c>
      <c r="C75" s="4" t="n">
        <v>3</v>
      </c>
      <c r="D75" s="4" t="s">
        <v>29</v>
      </c>
      <c r="E75" s="3" t="s">
        <v>41</v>
      </c>
      <c r="F75" s="4" t="str">
        <f aca="false">IF(I75&gt;J75,"Y","N")</f>
        <v>N</v>
      </c>
      <c r="G75" s="3" t="s">
        <v>15</v>
      </c>
      <c r="H75" s="3" t="s">
        <v>26</v>
      </c>
      <c r="I75" s="4" t="n">
        <v>6</v>
      </c>
      <c r="J75" s="4" t="n">
        <f aca="false">LEN(E75)-LEN(SUBSTITUTE(E75,",",""))+1</f>
        <v>6</v>
      </c>
      <c r="K75" s="3" t="str">
        <f aca="false">IFERROR(INDEX('Teacher Lookup'!$B$2:$B$200,MATCH(A75,'Teacher Lookup'!$A$2:$A$200,0)),"")</f>
        <v>FONG Alan</v>
      </c>
    </row>
    <row r="76" customFormat="false" ht="15" hidden="false" customHeight="false" outlineLevel="0" collapsed="false">
      <c r="A76" s="3" t="s">
        <v>11</v>
      </c>
      <c r="B76" s="4" t="s">
        <v>50</v>
      </c>
      <c r="C76" s="4" t="n">
        <v>3</v>
      </c>
      <c r="D76" s="4" t="s">
        <v>30</v>
      </c>
      <c r="E76" s="3" t="s">
        <v>41</v>
      </c>
      <c r="F76" s="4" t="str">
        <f aca="false">IF(I76&gt;J76,"Y","N")</f>
        <v>N</v>
      </c>
      <c r="G76" s="3" t="s">
        <v>15</v>
      </c>
      <c r="H76" s="3" t="s">
        <v>26</v>
      </c>
      <c r="I76" s="4" t="n">
        <v>6</v>
      </c>
      <c r="J76" s="4" t="n">
        <f aca="false">LEN(E76)-LEN(SUBSTITUTE(E76,",",""))+1</f>
        <v>6</v>
      </c>
      <c r="K76" s="3" t="str">
        <f aca="false">IFERROR(INDEX('Teacher Lookup'!$B$2:$B$200,MATCH(A76,'Teacher Lookup'!$A$2:$A$200,0)),"")</f>
        <v>FONG Alan</v>
      </c>
    </row>
    <row r="77" customFormat="false" ht="15" hidden="false" customHeight="false" outlineLevel="0" collapsed="false">
      <c r="A77" s="3" t="s">
        <v>11</v>
      </c>
      <c r="B77" s="4" t="s">
        <v>50</v>
      </c>
      <c r="C77" s="4" t="n">
        <v>4</v>
      </c>
      <c r="D77" s="4" t="s">
        <v>13</v>
      </c>
      <c r="E77" s="3" t="s">
        <v>32</v>
      </c>
      <c r="F77" s="4" t="str">
        <f aca="false">IF(I77&gt;J77,"Y","N")</f>
        <v>N</v>
      </c>
      <c r="G77" s="3" t="s">
        <v>15</v>
      </c>
      <c r="H77" s="3" t="s">
        <v>34</v>
      </c>
      <c r="I77" s="4" t="n">
        <v>4</v>
      </c>
      <c r="J77" s="4" t="n">
        <f aca="false">LEN(E77)-LEN(SUBSTITUTE(E77,",",""))+1</f>
        <v>4</v>
      </c>
      <c r="K77" s="3" t="str">
        <f aca="false">IFERROR(INDEX('Teacher Lookup'!$B$2:$B$200,MATCH(A77,'Teacher Lookup'!$A$2:$A$200,0)),"")</f>
        <v>FONG Alan</v>
      </c>
    </row>
    <row r="78" customFormat="false" ht="15" hidden="false" customHeight="false" outlineLevel="0" collapsed="false">
      <c r="A78" s="3" t="s">
        <v>11</v>
      </c>
      <c r="B78" s="4" t="s">
        <v>50</v>
      </c>
      <c r="C78" s="4" t="n">
        <v>4</v>
      </c>
      <c r="D78" s="4" t="s">
        <v>17</v>
      </c>
      <c r="E78" s="3" t="s">
        <v>32</v>
      </c>
      <c r="F78" s="4" t="str">
        <f aca="false">IF(I78&gt;J78,"Y","N")</f>
        <v>N</v>
      </c>
      <c r="G78" s="3" t="s">
        <v>15</v>
      </c>
      <c r="H78" s="3" t="s">
        <v>34</v>
      </c>
      <c r="I78" s="4" t="n">
        <v>4</v>
      </c>
      <c r="J78" s="4" t="n">
        <f aca="false">LEN(E78)-LEN(SUBSTITUTE(E78,",",""))+1</f>
        <v>4</v>
      </c>
      <c r="K78" s="3" t="str">
        <f aca="false">IFERROR(INDEX('Teacher Lookup'!$B$2:$B$200,MATCH(A78,'Teacher Lookup'!$A$2:$A$200,0)),"")</f>
        <v>FONG Alan</v>
      </c>
    </row>
    <row r="79" customFormat="false" ht="15" hidden="false" customHeight="false" outlineLevel="0" collapsed="false">
      <c r="A79" s="3" t="s">
        <v>11</v>
      </c>
      <c r="B79" s="4" t="s">
        <v>50</v>
      </c>
      <c r="C79" s="4" t="n">
        <v>4</v>
      </c>
      <c r="D79" s="4" t="s">
        <v>18</v>
      </c>
      <c r="E79" s="3" t="s">
        <v>32</v>
      </c>
      <c r="F79" s="4" t="str">
        <f aca="false">IF(I79&gt;J79,"Y","N")</f>
        <v>N</v>
      </c>
      <c r="G79" s="3" t="s">
        <v>15</v>
      </c>
      <c r="H79" s="3" t="s">
        <v>34</v>
      </c>
      <c r="I79" s="4" t="n">
        <v>4</v>
      </c>
      <c r="J79" s="4" t="n">
        <f aca="false">LEN(E79)-LEN(SUBSTITUTE(E79,",",""))+1</f>
        <v>4</v>
      </c>
      <c r="K79" s="3" t="str">
        <f aca="false">IFERROR(INDEX('Teacher Lookup'!$B$2:$B$200,MATCH(A79,'Teacher Lookup'!$A$2:$A$200,0)),"")</f>
        <v>FONG Alan</v>
      </c>
    </row>
    <row r="80" customFormat="false" ht="15" hidden="false" customHeight="false" outlineLevel="0" collapsed="false">
      <c r="A80" s="3" t="s">
        <v>11</v>
      </c>
      <c r="B80" s="4" t="s">
        <v>50</v>
      </c>
      <c r="C80" s="4" t="n">
        <v>6</v>
      </c>
      <c r="D80" s="4" t="s">
        <v>52</v>
      </c>
      <c r="E80" s="3" t="s">
        <v>53</v>
      </c>
      <c r="F80" s="4" t="str">
        <f aca="false">IF(I80&gt;J80,"Y","N")</f>
        <v>N</v>
      </c>
      <c r="G80" s="3" t="s">
        <v>54</v>
      </c>
      <c r="H80" s="3" t="s">
        <v>42</v>
      </c>
      <c r="I80" s="4" t="n">
        <v>7</v>
      </c>
      <c r="J80" s="4" t="n">
        <f aca="false">LEN(E80)-LEN(SUBSTITUTE(E80,",",""))+1</f>
        <v>7</v>
      </c>
      <c r="K80" s="3" t="str">
        <f aca="false">IFERROR(INDEX('Teacher Lookup'!$B$2:$B$200,MATCH(A80,'Teacher Lookup'!$A$2:$A$200,0)),"")</f>
        <v>FONG Alan</v>
      </c>
    </row>
    <row r="81" customFormat="false" ht="15" hidden="false" customHeight="false" outlineLevel="0" collapsed="false">
      <c r="A81" s="3" t="s">
        <v>11</v>
      </c>
      <c r="B81" s="4" t="s">
        <v>50</v>
      </c>
      <c r="C81" s="4" t="n">
        <v>6</v>
      </c>
      <c r="D81" s="4" t="s">
        <v>55</v>
      </c>
      <c r="E81" s="3" t="s">
        <v>53</v>
      </c>
      <c r="F81" s="4" t="str">
        <f aca="false">IF(I81&gt;J81,"Y","N")</f>
        <v>N</v>
      </c>
      <c r="G81" s="3" t="s">
        <v>54</v>
      </c>
      <c r="H81" s="3" t="s">
        <v>42</v>
      </c>
      <c r="I81" s="4" t="n">
        <v>7</v>
      </c>
      <c r="J81" s="4" t="n">
        <f aca="false">LEN(E81)-LEN(SUBSTITUTE(E81,",",""))+1</f>
        <v>7</v>
      </c>
      <c r="K81" s="3" t="str">
        <f aca="false">IFERROR(INDEX('Teacher Lookup'!$B$2:$B$200,MATCH(A81,'Teacher Lookup'!$A$2:$A$200,0)),"")</f>
        <v>FONG Alan</v>
      </c>
    </row>
    <row r="82" customFormat="false" ht="15" hidden="false" customHeight="false" outlineLevel="0" collapsed="false">
      <c r="A82" s="3" t="s">
        <v>11</v>
      </c>
      <c r="B82" s="4" t="s">
        <v>50</v>
      </c>
      <c r="C82" s="4" t="n">
        <v>6</v>
      </c>
      <c r="D82" s="4" t="s">
        <v>56</v>
      </c>
      <c r="E82" s="3" t="s">
        <v>53</v>
      </c>
      <c r="F82" s="4" t="str">
        <f aca="false">IF(I82&gt;J82,"Y","N")</f>
        <v>N</v>
      </c>
      <c r="G82" s="3" t="s">
        <v>54</v>
      </c>
      <c r="H82" s="3" t="s">
        <v>42</v>
      </c>
      <c r="I82" s="4" t="n">
        <v>7</v>
      </c>
      <c r="J82" s="4" t="n">
        <f aca="false">LEN(E82)-LEN(SUBSTITUTE(E82,",",""))+1</f>
        <v>7</v>
      </c>
      <c r="K82" s="3" t="str">
        <f aca="false">IFERROR(INDEX('Teacher Lookup'!$B$2:$B$200,MATCH(A82,'Teacher Lookup'!$A$2:$A$200,0)),"")</f>
        <v>FONG Alan</v>
      </c>
    </row>
    <row r="83" customFormat="false" ht="15" hidden="false" customHeight="false" outlineLevel="0" collapsed="false">
      <c r="A83" s="3" t="s">
        <v>11</v>
      </c>
      <c r="B83" s="4" t="s">
        <v>50</v>
      </c>
      <c r="C83" s="4" t="n">
        <v>6</v>
      </c>
      <c r="D83" s="4" t="s">
        <v>57</v>
      </c>
      <c r="E83" s="3" t="s">
        <v>53</v>
      </c>
      <c r="F83" s="4" t="str">
        <f aca="false">IF(I83&gt;J83,"Y","N")</f>
        <v>N</v>
      </c>
      <c r="G83" s="3" t="s">
        <v>54</v>
      </c>
      <c r="H83" s="3" t="s">
        <v>42</v>
      </c>
      <c r="I83" s="4" t="n">
        <v>7</v>
      </c>
      <c r="J83" s="4" t="n">
        <f aca="false">LEN(E83)-LEN(SUBSTITUTE(E83,",",""))+1</f>
        <v>7</v>
      </c>
      <c r="K83" s="3" t="str">
        <f aca="false">IFERROR(INDEX('Teacher Lookup'!$B$2:$B$200,MATCH(A83,'Teacher Lookup'!$A$2:$A$200,0)),"")</f>
        <v>FONG Alan</v>
      </c>
    </row>
    <row r="84" customFormat="false" ht="15" hidden="false" customHeight="false" outlineLevel="0" collapsed="false">
      <c r="A84" s="3" t="s">
        <v>11</v>
      </c>
      <c r="B84" s="4" t="s">
        <v>50</v>
      </c>
      <c r="C84" s="4" t="n">
        <v>6</v>
      </c>
      <c r="D84" s="4" t="s">
        <v>58</v>
      </c>
      <c r="E84" s="3" t="s">
        <v>53</v>
      </c>
      <c r="F84" s="4" t="str">
        <f aca="false">IF(I84&gt;J84,"Y","N")</f>
        <v>N</v>
      </c>
      <c r="G84" s="3" t="s">
        <v>54</v>
      </c>
      <c r="H84" s="3" t="s">
        <v>42</v>
      </c>
      <c r="I84" s="4" t="n">
        <v>7</v>
      </c>
      <c r="J84" s="4" t="n">
        <f aca="false">LEN(E84)-LEN(SUBSTITUTE(E84,",",""))+1</f>
        <v>7</v>
      </c>
      <c r="K84" s="3" t="str">
        <f aca="false">IFERROR(INDEX('Teacher Lookup'!$B$2:$B$200,MATCH(A84,'Teacher Lookup'!$A$2:$A$200,0)),"")</f>
        <v>FONG Alan</v>
      </c>
    </row>
    <row r="85" customFormat="false" ht="15" hidden="false" customHeight="false" outlineLevel="0" collapsed="false">
      <c r="A85" s="3" t="s">
        <v>11</v>
      </c>
      <c r="B85" s="4" t="s">
        <v>50</v>
      </c>
      <c r="C85" s="4" t="n">
        <v>6</v>
      </c>
      <c r="D85" s="4" t="s">
        <v>59</v>
      </c>
      <c r="E85" s="3" t="s">
        <v>53</v>
      </c>
      <c r="F85" s="4" t="str">
        <f aca="false">IF(I85&gt;J85,"Y","N")</f>
        <v>N</v>
      </c>
      <c r="G85" s="3" t="s">
        <v>54</v>
      </c>
      <c r="H85" s="3" t="s">
        <v>42</v>
      </c>
      <c r="I85" s="4" t="n">
        <v>7</v>
      </c>
      <c r="J85" s="4" t="n">
        <f aca="false">LEN(E85)-LEN(SUBSTITUTE(E85,",",""))+1</f>
        <v>7</v>
      </c>
      <c r="K85" s="3" t="str">
        <f aca="false">IFERROR(INDEX('Teacher Lookup'!$B$2:$B$200,MATCH(A85,'Teacher Lookup'!$A$2:$A$200,0)),"")</f>
        <v>FONG Alan</v>
      </c>
    </row>
    <row r="86" customFormat="false" ht="15" hidden="false" customHeight="false" outlineLevel="0" collapsed="false">
      <c r="A86" s="3" t="s">
        <v>11</v>
      </c>
      <c r="B86" s="4" t="s">
        <v>50</v>
      </c>
      <c r="C86" s="4" t="n">
        <v>7</v>
      </c>
      <c r="D86" s="4" t="s">
        <v>52</v>
      </c>
      <c r="E86" s="3" t="s">
        <v>53</v>
      </c>
      <c r="F86" s="4" t="str">
        <f aca="false">IF(I86&gt;J86,"Y","N")</f>
        <v>N</v>
      </c>
      <c r="G86" s="3" t="s">
        <v>54</v>
      </c>
      <c r="H86" s="3" t="s">
        <v>39</v>
      </c>
      <c r="I86" s="4" t="n">
        <v>7</v>
      </c>
      <c r="J86" s="4" t="n">
        <f aca="false">LEN(E86)-LEN(SUBSTITUTE(E86,",",""))+1</f>
        <v>7</v>
      </c>
      <c r="K86" s="3" t="str">
        <f aca="false">IFERROR(INDEX('Teacher Lookup'!$B$2:$B$200,MATCH(A86,'Teacher Lookup'!$A$2:$A$200,0)),"")</f>
        <v>FONG Alan</v>
      </c>
    </row>
    <row r="87" customFormat="false" ht="15" hidden="false" customHeight="false" outlineLevel="0" collapsed="false">
      <c r="A87" s="3" t="s">
        <v>11</v>
      </c>
      <c r="B87" s="4" t="s">
        <v>50</v>
      </c>
      <c r="C87" s="4" t="n">
        <v>7</v>
      </c>
      <c r="D87" s="4" t="s">
        <v>55</v>
      </c>
      <c r="E87" s="3" t="s">
        <v>53</v>
      </c>
      <c r="F87" s="4" t="str">
        <f aca="false">IF(I87&gt;J87,"Y","N")</f>
        <v>N</v>
      </c>
      <c r="G87" s="3" t="s">
        <v>54</v>
      </c>
      <c r="H87" s="3" t="s">
        <v>39</v>
      </c>
      <c r="I87" s="4" t="n">
        <v>7</v>
      </c>
      <c r="J87" s="4" t="n">
        <f aca="false">LEN(E87)-LEN(SUBSTITUTE(E87,",",""))+1</f>
        <v>7</v>
      </c>
      <c r="K87" s="3" t="str">
        <f aca="false">IFERROR(INDEX('Teacher Lookup'!$B$2:$B$200,MATCH(A87,'Teacher Lookup'!$A$2:$A$200,0)),"")</f>
        <v>FONG Alan</v>
      </c>
    </row>
    <row r="88" customFormat="false" ht="15" hidden="false" customHeight="false" outlineLevel="0" collapsed="false">
      <c r="A88" s="3" t="s">
        <v>11</v>
      </c>
      <c r="B88" s="4" t="s">
        <v>50</v>
      </c>
      <c r="C88" s="4" t="n">
        <v>7</v>
      </c>
      <c r="D88" s="4" t="s">
        <v>56</v>
      </c>
      <c r="E88" s="3" t="s">
        <v>53</v>
      </c>
      <c r="F88" s="4" t="str">
        <f aca="false">IF(I88&gt;J88,"Y","N")</f>
        <v>N</v>
      </c>
      <c r="G88" s="3" t="s">
        <v>54</v>
      </c>
      <c r="H88" s="3" t="s">
        <v>39</v>
      </c>
      <c r="I88" s="4" t="n">
        <v>7</v>
      </c>
      <c r="J88" s="4" t="n">
        <f aca="false">LEN(E88)-LEN(SUBSTITUTE(E88,",",""))+1</f>
        <v>7</v>
      </c>
      <c r="K88" s="3" t="str">
        <f aca="false">IFERROR(INDEX('Teacher Lookup'!$B$2:$B$200,MATCH(A88,'Teacher Lookup'!$A$2:$A$200,0)),"")</f>
        <v>FONG Alan</v>
      </c>
    </row>
    <row r="89" customFormat="false" ht="15" hidden="false" customHeight="false" outlineLevel="0" collapsed="false">
      <c r="A89" s="3" t="s">
        <v>11</v>
      </c>
      <c r="B89" s="4" t="s">
        <v>50</v>
      </c>
      <c r="C89" s="4" t="n">
        <v>7</v>
      </c>
      <c r="D89" s="4" t="s">
        <v>57</v>
      </c>
      <c r="E89" s="3" t="s">
        <v>53</v>
      </c>
      <c r="F89" s="4" t="str">
        <f aca="false">IF(I89&gt;J89,"Y","N")</f>
        <v>N</v>
      </c>
      <c r="G89" s="3" t="s">
        <v>54</v>
      </c>
      <c r="H89" s="3" t="s">
        <v>39</v>
      </c>
      <c r="I89" s="4" t="n">
        <v>7</v>
      </c>
      <c r="J89" s="4" t="n">
        <f aca="false">LEN(E89)-LEN(SUBSTITUTE(E89,",",""))+1</f>
        <v>7</v>
      </c>
      <c r="K89" s="3" t="str">
        <f aca="false">IFERROR(INDEX('Teacher Lookup'!$B$2:$B$200,MATCH(A89,'Teacher Lookup'!$A$2:$A$200,0)),"")</f>
        <v>FONG Alan</v>
      </c>
    </row>
    <row r="90" customFormat="false" ht="15" hidden="false" customHeight="false" outlineLevel="0" collapsed="false">
      <c r="A90" s="3" t="s">
        <v>11</v>
      </c>
      <c r="B90" s="4" t="s">
        <v>50</v>
      </c>
      <c r="C90" s="4" t="n">
        <v>7</v>
      </c>
      <c r="D90" s="4" t="s">
        <v>58</v>
      </c>
      <c r="E90" s="3" t="s">
        <v>53</v>
      </c>
      <c r="F90" s="4" t="str">
        <f aca="false">IF(I90&gt;J90,"Y","N")</f>
        <v>N</v>
      </c>
      <c r="G90" s="3" t="s">
        <v>54</v>
      </c>
      <c r="H90" s="3" t="s">
        <v>39</v>
      </c>
      <c r="I90" s="4" t="n">
        <v>7</v>
      </c>
      <c r="J90" s="4" t="n">
        <f aca="false">LEN(E90)-LEN(SUBSTITUTE(E90,",",""))+1</f>
        <v>7</v>
      </c>
      <c r="K90" s="3" t="str">
        <f aca="false">IFERROR(INDEX('Teacher Lookup'!$B$2:$B$200,MATCH(A90,'Teacher Lookup'!$A$2:$A$200,0)),"")</f>
        <v>FONG Alan</v>
      </c>
    </row>
    <row r="91" customFormat="false" ht="15" hidden="false" customHeight="false" outlineLevel="0" collapsed="false">
      <c r="A91" s="3" t="s">
        <v>11</v>
      </c>
      <c r="B91" s="4" t="s">
        <v>50</v>
      </c>
      <c r="C91" s="4" t="n">
        <v>7</v>
      </c>
      <c r="D91" s="4" t="s">
        <v>59</v>
      </c>
      <c r="E91" s="3" t="s">
        <v>53</v>
      </c>
      <c r="F91" s="4" t="str">
        <f aca="false">IF(I91&gt;J91,"Y","N")</f>
        <v>N</v>
      </c>
      <c r="G91" s="3" t="s">
        <v>54</v>
      </c>
      <c r="H91" s="3" t="s">
        <v>39</v>
      </c>
      <c r="I91" s="4" t="n">
        <v>7</v>
      </c>
      <c r="J91" s="4" t="n">
        <f aca="false">LEN(E91)-LEN(SUBSTITUTE(E91,",",""))+1</f>
        <v>7</v>
      </c>
      <c r="K91" s="3" t="str">
        <f aca="false">IFERROR(INDEX('Teacher Lookup'!$B$2:$B$200,MATCH(A91,'Teacher Lookup'!$A$2:$A$200,0)),"")</f>
        <v>FONG Alan</v>
      </c>
    </row>
    <row r="92" customFormat="false" ht="15" hidden="false" customHeight="false" outlineLevel="0" collapsed="false">
      <c r="A92" s="3" t="s">
        <v>11</v>
      </c>
      <c r="B92" s="4" t="s">
        <v>60</v>
      </c>
      <c r="C92" s="4" t="n">
        <v>5</v>
      </c>
      <c r="D92" s="4" t="s">
        <v>19</v>
      </c>
      <c r="E92" s="3" t="s">
        <v>35</v>
      </c>
      <c r="F92" s="4" t="str">
        <f aca="false">IF(I92&gt;J92,"Y","N")</f>
        <v>Y</v>
      </c>
      <c r="G92" s="3" t="s">
        <v>36</v>
      </c>
      <c r="H92" s="3" t="s">
        <v>37</v>
      </c>
      <c r="I92" s="4" t="n">
        <v>17</v>
      </c>
      <c r="J92" s="4" t="n">
        <f aca="false">LEN(E92)-LEN(SUBSTITUTE(E92,",",""))+1</f>
        <v>7</v>
      </c>
      <c r="K92" s="3" t="str">
        <f aca="false">IFERROR(INDEX('Teacher Lookup'!$B$2:$B$200,MATCH(A92,'Teacher Lookup'!$A$2:$A$200,0)),"")</f>
        <v>FONG Alan</v>
      </c>
    </row>
    <row r="93" customFormat="false" ht="15" hidden="false" customHeight="false" outlineLevel="0" collapsed="false">
      <c r="A93" s="3" t="s">
        <v>11</v>
      </c>
      <c r="B93" s="4" t="s">
        <v>60</v>
      </c>
      <c r="C93" s="4" t="n">
        <v>5</v>
      </c>
      <c r="D93" s="4" t="s">
        <v>22</v>
      </c>
      <c r="E93" s="3" t="s">
        <v>35</v>
      </c>
      <c r="F93" s="4" t="str">
        <f aca="false">IF(I93&gt;J93,"Y","N")</f>
        <v>Y</v>
      </c>
      <c r="G93" s="3" t="s">
        <v>36</v>
      </c>
      <c r="H93" s="3" t="s">
        <v>37</v>
      </c>
      <c r="I93" s="4" t="n">
        <v>17</v>
      </c>
      <c r="J93" s="4" t="n">
        <f aca="false">LEN(E93)-LEN(SUBSTITUTE(E93,",",""))+1</f>
        <v>7</v>
      </c>
      <c r="K93" s="3" t="str">
        <f aca="false">IFERROR(INDEX('Teacher Lookup'!$B$2:$B$200,MATCH(A93,'Teacher Lookup'!$A$2:$A$200,0)),"")</f>
        <v>FONG Alan</v>
      </c>
    </row>
    <row r="94" customFormat="false" ht="15" hidden="false" customHeight="false" outlineLevel="0" collapsed="false">
      <c r="A94" s="3" t="s">
        <v>11</v>
      </c>
      <c r="B94" s="4" t="s">
        <v>60</v>
      </c>
      <c r="C94" s="4" t="n">
        <v>5</v>
      </c>
      <c r="D94" s="4" t="s">
        <v>23</v>
      </c>
      <c r="E94" s="3" t="s">
        <v>35</v>
      </c>
      <c r="F94" s="4" t="str">
        <f aca="false">IF(I94&gt;J94,"Y","N")</f>
        <v>Y</v>
      </c>
      <c r="G94" s="3" t="s">
        <v>36</v>
      </c>
      <c r="H94" s="3" t="s">
        <v>37</v>
      </c>
      <c r="I94" s="4" t="n">
        <v>17</v>
      </c>
      <c r="J94" s="4" t="n">
        <f aca="false">LEN(E94)-LEN(SUBSTITUTE(E94,",",""))+1</f>
        <v>7</v>
      </c>
      <c r="K94" s="3" t="str">
        <f aca="false">IFERROR(INDEX('Teacher Lookup'!$B$2:$B$200,MATCH(A94,'Teacher Lookup'!$A$2:$A$200,0)),"")</f>
        <v>FONG Alan</v>
      </c>
    </row>
    <row r="95" customFormat="false" ht="15" hidden="false" customHeight="false" outlineLevel="0" collapsed="false">
      <c r="A95" s="3" t="s">
        <v>11</v>
      </c>
      <c r="B95" s="4" t="s">
        <v>60</v>
      </c>
      <c r="C95" s="4" t="n">
        <v>5</v>
      </c>
      <c r="D95" s="4" t="s">
        <v>13</v>
      </c>
      <c r="E95" s="3" t="s">
        <v>35</v>
      </c>
      <c r="F95" s="4" t="str">
        <f aca="false">IF(I95&gt;J95,"Y","N")</f>
        <v>Y</v>
      </c>
      <c r="G95" s="3" t="s">
        <v>36</v>
      </c>
      <c r="H95" s="3" t="s">
        <v>37</v>
      </c>
      <c r="I95" s="4" t="n">
        <v>17</v>
      </c>
      <c r="J95" s="4" t="n">
        <f aca="false">LEN(E95)-LEN(SUBSTITUTE(E95,",",""))+1</f>
        <v>7</v>
      </c>
      <c r="K95" s="3" t="str">
        <f aca="false">IFERROR(INDEX('Teacher Lookup'!$B$2:$B$200,MATCH(A95,'Teacher Lookup'!$A$2:$A$200,0)),"")</f>
        <v>FONG Alan</v>
      </c>
    </row>
    <row r="96" customFormat="false" ht="15" hidden="false" customHeight="false" outlineLevel="0" collapsed="false">
      <c r="A96" s="3" t="s">
        <v>11</v>
      </c>
      <c r="B96" s="4" t="s">
        <v>60</v>
      </c>
      <c r="C96" s="4" t="n">
        <v>5</v>
      </c>
      <c r="D96" s="4" t="s">
        <v>17</v>
      </c>
      <c r="E96" s="3" t="s">
        <v>35</v>
      </c>
      <c r="F96" s="4" t="str">
        <f aca="false">IF(I96&gt;J96,"Y","N")</f>
        <v>Y</v>
      </c>
      <c r="G96" s="3" t="s">
        <v>36</v>
      </c>
      <c r="H96" s="3" t="s">
        <v>37</v>
      </c>
      <c r="I96" s="4" t="n">
        <v>17</v>
      </c>
      <c r="J96" s="4" t="n">
        <f aca="false">LEN(E96)-LEN(SUBSTITUTE(E96,",",""))+1</f>
        <v>7</v>
      </c>
      <c r="K96" s="3" t="str">
        <f aca="false">IFERROR(INDEX('Teacher Lookup'!$B$2:$B$200,MATCH(A96,'Teacher Lookup'!$A$2:$A$200,0)),"")</f>
        <v>FONG Alan</v>
      </c>
    </row>
    <row r="97" customFormat="false" ht="15" hidden="false" customHeight="false" outlineLevel="0" collapsed="false">
      <c r="A97" s="3" t="s">
        <v>11</v>
      </c>
      <c r="B97" s="4" t="s">
        <v>60</v>
      </c>
      <c r="C97" s="4" t="n">
        <v>5</v>
      </c>
      <c r="D97" s="4" t="s">
        <v>18</v>
      </c>
      <c r="E97" s="3" t="s">
        <v>35</v>
      </c>
      <c r="F97" s="4" t="str">
        <f aca="false">IF(I97&gt;J97,"Y","N")</f>
        <v>Y</v>
      </c>
      <c r="G97" s="3" t="s">
        <v>36</v>
      </c>
      <c r="H97" s="3" t="s">
        <v>37</v>
      </c>
      <c r="I97" s="4" t="n">
        <v>17</v>
      </c>
      <c r="J97" s="4" t="n">
        <f aca="false">LEN(E97)-LEN(SUBSTITUTE(E97,",",""))+1</f>
        <v>7</v>
      </c>
      <c r="K97" s="3" t="str">
        <f aca="false">IFERROR(INDEX('Teacher Lookup'!$B$2:$B$200,MATCH(A97,'Teacher Lookup'!$A$2:$A$200,0)),"")</f>
        <v>FONG Alan</v>
      </c>
    </row>
    <row r="98" customFormat="false" ht="15" hidden="false" customHeight="false" outlineLevel="0" collapsed="false">
      <c r="A98" s="3" t="s">
        <v>11</v>
      </c>
      <c r="B98" s="4" t="s">
        <v>60</v>
      </c>
      <c r="C98" s="4" t="n">
        <v>6</v>
      </c>
      <c r="D98" s="4" t="s">
        <v>24</v>
      </c>
      <c r="E98" s="3" t="s">
        <v>61</v>
      </c>
      <c r="F98" s="4" t="str">
        <f aca="false">IF(I98&gt;J98,"Y","N")</f>
        <v>N</v>
      </c>
      <c r="G98" s="3" t="s">
        <v>15</v>
      </c>
      <c r="H98" s="3" t="s">
        <v>42</v>
      </c>
      <c r="I98" s="4" t="n">
        <v>6</v>
      </c>
      <c r="J98" s="4" t="n">
        <f aca="false">LEN(E98)-LEN(SUBSTITUTE(E98,",",""))+1</f>
        <v>6</v>
      </c>
      <c r="K98" s="3" t="str">
        <f aca="false">IFERROR(INDEX('Teacher Lookup'!$B$2:$B$200,MATCH(A98,'Teacher Lookup'!$A$2:$A$200,0)),"")</f>
        <v>FONG Alan</v>
      </c>
    </row>
    <row r="99" customFormat="false" ht="15" hidden="false" customHeight="false" outlineLevel="0" collapsed="false">
      <c r="A99" s="3" t="s">
        <v>11</v>
      </c>
      <c r="B99" s="4" t="s">
        <v>60</v>
      </c>
      <c r="C99" s="4" t="n">
        <v>6</v>
      </c>
      <c r="D99" s="4" t="s">
        <v>27</v>
      </c>
      <c r="E99" s="3" t="s">
        <v>61</v>
      </c>
      <c r="F99" s="4" t="str">
        <f aca="false">IF(I99&gt;J99,"Y","N")</f>
        <v>N</v>
      </c>
      <c r="G99" s="3" t="s">
        <v>15</v>
      </c>
      <c r="H99" s="3" t="s">
        <v>42</v>
      </c>
      <c r="I99" s="4" t="n">
        <v>6</v>
      </c>
      <c r="J99" s="4" t="n">
        <f aca="false">LEN(E99)-LEN(SUBSTITUTE(E99,",",""))+1</f>
        <v>6</v>
      </c>
      <c r="K99" s="3" t="str">
        <f aca="false">IFERROR(INDEX('Teacher Lookup'!$B$2:$B$200,MATCH(A99,'Teacher Lookup'!$A$2:$A$200,0)),"")</f>
        <v>FONG Alan</v>
      </c>
    </row>
    <row r="100" customFormat="false" ht="15" hidden="false" customHeight="false" outlineLevel="0" collapsed="false">
      <c r="A100" s="3" t="s">
        <v>11</v>
      </c>
      <c r="B100" s="4" t="s">
        <v>60</v>
      </c>
      <c r="C100" s="4" t="n">
        <v>6</v>
      </c>
      <c r="D100" s="4" t="s">
        <v>28</v>
      </c>
      <c r="E100" s="3" t="s">
        <v>61</v>
      </c>
      <c r="F100" s="4" t="str">
        <f aca="false">IF(I100&gt;J100,"Y","N")</f>
        <v>N</v>
      </c>
      <c r="G100" s="3" t="s">
        <v>15</v>
      </c>
      <c r="H100" s="3" t="s">
        <v>42</v>
      </c>
      <c r="I100" s="4" t="n">
        <v>6</v>
      </c>
      <c r="J100" s="4" t="n">
        <f aca="false">LEN(E100)-LEN(SUBSTITUTE(E100,",",""))+1</f>
        <v>6</v>
      </c>
      <c r="K100" s="3" t="str">
        <f aca="false">IFERROR(INDEX('Teacher Lookup'!$B$2:$B$200,MATCH(A100,'Teacher Lookup'!$A$2:$A$200,0)),"")</f>
        <v>FONG Alan</v>
      </c>
    </row>
    <row r="101" customFormat="false" ht="15" hidden="false" customHeight="false" outlineLevel="0" collapsed="false">
      <c r="A101" s="3" t="s">
        <v>11</v>
      </c>
      <c r="B101" s="4" t="s">
        <v>60</v>
      </c>
      <c r="C101" s="4" t="n">
        <v>6</v>
      </c>
      <c r="D101" s="4" t="s">
        <v>29</v>
      </c>
      <c r="E101" s="3" t="s">
        <v>61</v>
      </c>
      <c r="F101" s="4" t="str">
        <f aca="false">IF(I101&gt;J101,"Y","N")</f>
        <v>N</v>
      </c>
      <c r="G101" s="3" t="s">
        <v>15</v>
      </c>
      <c r="H101" s="3" t="s">
        <v>42</v>
      </c>
      <c r="I101" s="4" t="n">
        <v>6</v>
      </c>
      <c r="J101" s="4" t="n">
        <f aca="false">LEN(E101)-LEN(SUBSTITUTE(E101,",",""))+1</f>
        <v>6</v>
      </c>
      <c r="K101" s="3" t="str">
        <f aca="false">IFERROR(INDEX('Teacher Lookup'!$B$2:$B$200,MATCH(A101,'Teacher Lookup'!$A$2:$A$200,0)),"")</f>
        <v>FONG Alan</v>
      </c>
    </row>
    <row r="102" customFormat="false" ht="15" hidden="false" customHeight="false" outlineLevel="0" collapsed="false">
      <c r="A102" s="3" t="s">
        <v>11</v>
      </c>
      <c r="B102" s="4" t="s">
        <v>60</v>
      </c>
      <c r="C102" s="4" t="n">
        <v>6</v>
      </c>
      <c r="D102" s="4" t="s">
        <v>30</v>
      </c>
      <c r="E102" s="3" t="s">
        <v>61</v>
      </c>
      <c r="F102" s="4" t="str">
        <f aca="false">IF(I102&gt;J102,"Y","N")</f>
        <v>N</v>
      </c>
      <c r="G102" s="3" t="s">
        <v>15</v>
      </c>
      <c r="H102" s="3" t="s">
        <v>42</v>
      </c>
      <c r="I102" s="4" t="n">
        <v>6</v>
      </c>
      <c r="J102" s="4" t="n">
        <f aca="false">LEN(E102)-LEN(SUBSTITUTE(E102,",",""))+1</f>
        <v>6</v>
      </c>
      <c r="K102" s="3" t="str">
        <f aca="false">IFERROR(INDEX('Teacher Lookup'!$B$2:$B$200,MATCH(A102,'Teacher Lookup'!$A$2:$A$200,0)),"")</f>
        <v>FONG Alan</v>
      </c>
    </row>
    <row r="103" customFormat="false" ht="15" hidden="false" customHeight="false" outlineLevel="0" collapsed="false">
      <c r="A103" s="3" t="s">
        <v>11</v>
      </c>
      <c r="B103" s="4" t="s">
        <v>60</v>
      </c>
      <c r="C103" s="4" t="n">
        <v>7</v>
      </c>
      <c r="D103" s="4" t="s">
        <v>19</v>
      </c>
      <c r="E103" s="3" t="s">
        <v>62</v>
      </c>
      <c r="F103" s="4" t="str">
        <f aca="false">IF(I103&gt;J103,"Y","N")</f>
        <v>N</v>
      </c>
      <c r="G103" s="3" t="s">
        <v>15</v>
      </c>
      <c r="H103" s="3" t="s">
        <v>39</v>
      </c>
      <c r="I103" s="4" t="n">
        <v>4</v>
      </c>
      <c r="J103" s="4" t="n">
        <f aca="false">LEN(E103)-LEN(SUBSTITUTE(E103,",",""))+1</f>
        <v>4</v>
      </c>
      <c r="K103" s="3" t="str">
        <f aca="false">IFERROR(INDEX('Teacher Lookup'!$B$2:$B$200,MATCH(A103,'Teacher Lookup'!$A$2:$A$200,0)),"")</f>
        <v>FONG Alan</v>
      </c>
    </row>
    <row r="104" customFormat="false" ht="15" hidden="false" customHeight="false" outlineLevel="0" collapsed="false">
      <c r="A104" s="3" t="s">
        <v>11</v>
      </c>
      <c r="B104" s="4" t="s">
        <v>60</v>
      </c>
      <c r="C104" s="4" t="n">
        <v>7</v>
      </c>
      <c r="D104" s="4" t="s">
        <v>22</v>
      </c>
      <c r="E104" s="3" t="s">
        <v>62</v>
      </c>
      <c r="F104" s="4" t="str">
        <f aca="false">IF(I104&gt;J104,"Y","N")</f>
        <v>N</v>
      </c>
      <c r="G104" s="3" t="s">
        <v>15</v>
      </c>
      <c r="H104" s="3" t="s">
        <v>39</v>
      </c>
      <c r="I104" s="4" t="n">
        <v>4</v>
      </c>
      <c r="J104" s="4" t="n">
        <f aca="false">LEN(E104)-LEN(SUBSTITUTE(E104,",",""))+1</f>
        <v>4</v>
      </c>
      <c r="K104" s="3" t="str">
        <f aca="false">IFERROR(INDEX('Teacher Lookup'!$B$2:$B$200,MATCH(A104,'Teacher Lookup'!$A$2:$A$200,0)),"")</f>
        <v>FONG Alan</v>
      </c>
    </row>
    <row r="105" customFormat="false" ht="15" hidden="false" customHeight="false" outlineLevel="0" collapsed="false">
      <c r="A105" s="3" t="s">
        <v>11</v>
      </c>
      <c r="B105" s="4" t="s">
        <v>60</v>
      </c>
      <c r="C105" s="4" t="n">
        <v>7</v>
      </c>
      <c r="D105" s="4" t="s">
        <v>23</v>
      </c>
      <c r="E105" s="3" t="s">
        <v>62</v>
      </c>
      <c r="F105" s="4" t="str">
        <f aca="false">IF(I105&gt;J105,"Y","N")</f>
        <v>N</v>
      </c>
      <c r="G105" s="3" t="s">
        <v>15</v>
      </c>
      <c r="H105" s="3" t="s">
        <v>39</v>
      </c>
      <c r="I105" s="4" t="n">
        <v>4</v>
      </c>
      <c r="J105" s="4" t="n">
        <f aca="false">LEN(E105)-LEN(SUBSTITUTE(E105,",",""))+1</f>
        <v>4</v>
      </c>
      <c r="K105" s="3" t="str">
        <f aca="false">IFERROR(INDEX('Teacher Lookup'!$B$2:$B$200,MATCH(A105,'Teacher Lookup'!$A$2:$A$200,0)),"")</f>
        <v>FONG Alan</v>
      </c>
    </row>
    <row r="106" customFormat="false" ht="15" hidden="false" customHeight="false" outlineLevel="0" collapsed="false">
      <c r="A106" s="3" t="s">
        <v>11</v>
      </c>
      <c r="B106" s="4" t="s">
        <v>63</v>
      </c>
      <c r="C106" s="4" t="n">
        <v>1</v>
      </c>
      <c r="D106" s="4" t="s">
        <v>24</v>
      </c>
      <c r="E106" s="3" t="s">
        <v>64</v>
      </c>
      <c r="F106" s="4" t="str">
        <f aca="false">IF(I106&gt;J106,"Y","N")</f>
        <v>N</v>
      </c>
      <c r="G106" s="3" t="s">
        <v>15</v>
      </c>
      <c r="H106" s="3" t="s">
        <v>16</v>
      </c>
      <c r="I106" s="4" t="n">
        <v>6</v>
      </c>
      <c r="J106" s="4" t="n">
        <f aca="false">LEN(E106)-LEN(SUBSTITUTE(E106,",",""))+1</f>
        <v>6</v>
      </c>
      <c r="K106" s="3" t="str">
        <f aca="false">IFERROR(INDEX('Teacher Lookup'!$B$2:$B$200,MATCH(A106,'Teacher Lookup'!$A$2:$A$200,0)),"")</f>
        <v>FONG Alan</v>
      </c>
    </row>
    <row r="107" customFormat="false" ht="15" hidden="false" customHeight="false" outlineLevel="0" collapsed="false">
      <c r="A107" s="3" t="s">
        <v>11</v>
      </c>
      <c r="B107" s="4" t="s">
        <v>63</v>
      </c>
      <c r="C107" s="4" t="n">
        <v>1</v>
      </c>
      <c r="D107" s="4" t="s">
        <v>27</v>
      </c>
      <c r="E107" s="3" t="s">
        <v>64</v>
      </c>
      <c r="F107" s="4" t="str">
        <f aca="false">IF(I107&gt;J107,"Y","N")</f>
        <v>N</v>
      </c>
      <c r="G107" s="3" t="s">
        <v>15</v>
      </c>
      <c r="H107" s="3" t="s">
        <v>16</v>
      </c>
      <c r="I107" s="4" t="n">
        <v>6</v>
      </c>
      <c r="J107" s="4" t="n">
        <f aca="false">LEN(E107)-LEN(SUBSTITUTE(E107,",",""))+1</f>
        <v>6</v>
      </c>
      <c r="K107" s="3" t="str">
        <f aca="false">IFERROR(INDEX('Teacher Lookup'!$B$2:$B$200,MATCH(A107,'Teacher Lookup'!$A$2:$A$200,0)),"")</f>
        <v>FONG Alan</v>
      </c>
    </row>
    <row r="108" customFormat="false" ht="15" hidden="false" customHeight="false" outlineLevel="0" collapsed="false">
      <c r="A108" s="3" t="s">
        <v>11</v>
      </c>
      <c r="B108" s="4" t="s">
        <v>63</v>
      </c>
      <c r="C108" s="4" t="n">
        <v>1</v>
      </c>
      <c r="D108" s="4" t="s">
        <v>28</v>
      </c>
      <c r="E108" s="3" t="s">
        <v>64</v>
      </c>
      <c r="F108" s="4" t="str">
        <f aca="false">IF(I108&gt;J108,"Y","N")</f>
        <v>N</v>
      </c>
      <c r="G108" s="3" t="s">
        <v>15</v>
      </c>
      <c r="H108" s="3" t="s">
        <v>16</v>
      </c>
      <c r="I108" s="4" t="n">
        <v>6</v>
      </c>
      <c r="J108" s="4" t="n">
        <f aca="false">LEN(E108)-LEN(SUBSTITUTE(E108,",",""))+1</f>
        <v>6</v>
      </c>
      <c r="K108" s="3" t="str">
        <f aca="false">IFERROR(INDEX('Teacher Lookup'!$B$2:$B$200,MATCH(A108,'Teacher Lookup'!$A$2:$A$200,0)),"")</f>
        <v>FONG Alan</v>
      </c>
    </row>
    <row r="109" customFormat="false" ht="15" hidden="false" customHeight="false" outlineLevel="0" collapsed="false">
      <c r="A109" s="3" t="s">
        <v>11</v>
      </c>
      <c r="B109" s="4" t="s">
        <v>63</v>
      </c>
      <c r="C109" s="4" t="n">
        <v>1</v>
      </c>
      <c r="D109" s="4" t="s">
        <v>29</v>
      </c>
      <c r="E109" s="3" t="s">
        <v>64</v>
      </c>
      <c r="F109" s="4" t="str">
        <f aca="false">IF(I109&gt;J109,"Y","N")</f>
        <v>N</v>
      </c>
      <c r="G109" s="3" t="s">
        <v>15</v>
      </c>
      <c r="H109" s="3" t="s">
        <v>16</v>
      </c>
      <c r="I109" s="4" t="n">
        <v>6</v>
      </c>
      <c r="J109" s="4" t="n">
        <f aca="false">LEN(E109)-LEN(SUBSTITUTE(E109,",",""))+1</f>
        <v>6</v>
      </c>
      <c r="K109" s="3" t="str">
        <f aca="false">IFERROR(INDEX('Teacher Lookup'!$B$2:$B$200,MATCH(A109,'Teacher Lookup'!$A$2:$A$200,0)),"")</f>
        <v>FONG Alan</v>
      </c>
    </row>
    <row r="110" customFormat="false" ht="15" hidden="false" customHeight="false" outlineLevel="0" collapsed="false">
      <c r="A110" s="3" t="s">
        <v>11</v>
      </c>
      <c r="B110" s="4" t="s">
        <v>63</v>
      </c>
      <c r="C110" s="4" t="n">
        <v>1</v>
      </c>
      <c r="D110" s="4" t="s">
        <v>30</v>
      </c>
      <c r="E110" s="3" t="s">
        <v>64</v>
      </c>
      <c r="F110" s="4" t="str">
        <f aca="false">IF(I110&gt;J110,"Y","N")</f>
        <v>N</v>
      </c>
      <c r="G110" s="3" t="s">
        <v>15</v>
      </c>
      <c r="H110" s="3" t="s">
        <v>16</v>
      </c>
      <c r="I110" s="4" t="n">
        <v>6</v>
      </c>
      <c r="J110" s="4" t="n">
        <f aca="false">LEN(E110)-LEN(SUBSTITUTE(E110,",",""))+1</f>
        <v>6</v>
      </c>
      <c r="K110" s="3" t="str">
        <f aca="false">IFERROR(INDEX('Teacher Lookup'!$B$2:$B$200,MATCH(A110,'Teacher Lookup'!$A$2:$A$200,0)),"")</f>
        <v>FONG Alan</v>
      </c>
    </row>
    <row r="111" customFormat="false" ht="15" hidden="false" customHeight="false" outlineLevel="0" collapsed="false">
      <c r="A111" s="3" t="s">
        <v>11</v>
      </c>
      <c r="B111" s="4" t="s">
        <v>63</v>
      </c>
      <c r="C111" s="4" t="n">
        <v>2</v>
      </c>
      <c r="D111" s="4" t="s">
        <v>19</v>
      </c>
      <c r="E111" s="3" t="s">
        <v>48</v>
      </c>
      <c r="F111" s="4" t="str">
        <f aca="false">IF(I111&gt;J111,"Y","N")</f>
        <v>N</v>
      </c>
      <c r="G111" s="3" t="s">
        <v>15</v>
      </c>
      <c r="H111" s="3" t="s">
        <v>21</v>
      </c>
      <c r="I111" s="4" t="n">
        <v>4</v>
      </c>
      <c r="J111" s="4" t="n">
        <f aca="false">LEN(E111)-LEN(SUBSTITUTE(E111,",",""))+1</f>
        <v>4</v>
      </c>
      <c r="K111" s="3" t="str">
        <f aca="false">IFERROR(INDEX('Teacher Lookup'!$B$2:$B$200,MATCH(A111,'Teacher Lookup'!$A$2:$A$200,0)),"")</f>
        <v>FONG Alan</v>
      </c>
    </row>
    <row r="112" customFormat="false" ht="15" hidden="false" customHeight="false" outlineLevel="0" collapsed="false">
      <c r="A112" s="3" t="s">
        <v>11</v>
      </c>
      <c r="B112" s="4" t="s">
        <v>63</v>
      </c>
      <c r="C112" s="4" t="n">
        <v>2</v>
      </c>
      <c r="D112" s="4" t="s">
        <v>22</v>
      </c>
      <c r="E112" s="3" t="s">
        <v>48</v>
      </c>
      <c r="F112" s="4" t="str">
        <f aca="false">IF(I112&gt;J112,"Y","N")</f>
        <v>N</v>
      </c>
      <c r="G112" s="3" t="s">
        <v>15</v>
      </c>
      <c r="H112" s="3" t="s">
        <v>21</v>
      </c>
      <c r="I112" s="4" t="n">
        <v>4</v>
      </c>
      <c r="J112" s="4" t="n">
        <f aca="false">LEN(E112)-LEN(SUBSTITUTE(E112,",",""))+1</f>
        <v>4</v>
      </c>
      <c r="K112" s="3" t="str">
        <f aca="false">IFERROR(INDEX('Teacher Lookup'!$B$2:$B$200,MATCH(A112,'Teacher Lookup'!$A$2:$A$200,0)),"")</f>
        <v>FONG Alan</v>
      </c>
    </row>
    <row r="113" customFormat="false" ht="15" hidden="false" customHeight="false" outlineLevel="0" collapsed="false">
      <c r="A113" s="3" t="s">
        <v>11</v>
      </c>
      <c r="B113" s="4" t="s">
        <v>63</v>
      </c>
      <c r="C113" s="4" t="n">
        <v>2</v>
      </c>
      <c r="D113" s="4" t="s">
        <v>23</v>
      </c>
      <c r="E113" s="3" t="s">
        <v>48</v>
      </c>
      <c r="F113" s="4" t="str">
        <f aca="false">IF(I113&gt;J113,"Y","N")</f>
        <v>N</v>
      </c>
      <c r="G113" s="3" t="s">
        <v>15</v>
      </c>
      <c r="H113" s="3" t="s">
        <v>21</v>
      </c>
      <c r="I113" s="4" t="n">
        <v>4</v>
      </c>
      <c r="J113" s="4" t="n">
        <f aca="false">LEN(E113)-LEN(SUBSTITUTE(E113,",",""))+1</f>
        <v>4</v>
      </c>
      <c r="K113" s="3" t="str">
        <f aca="false">IFERROR(INDEX('Teacher Lookup'!$B$2:$B$200,MATCH(A113,'Teacher Lookup'!$A$2:$A$200,0)),"")</f>
        <v>FONG Alan</v>
      </c>
    </row>
    <row r="114" customFormat="false" ht="15" hidden="false" customHeight="false" outlineLevel="0" collapsed="false">
      <c r="A114" s="3" t="s">
        <v>11</v>
      </c>
      <c r="B114" s="4" t="s">
        <v>63</v>
      </c>
      <c r="C114" s="4" t="n">
        <v>6</v>
      </c>
      <c r="D114" s="4" t="s">
        <v>13</v>
      </c>
      <c r="E114" s="3" t="s">
        <v>43</v>
      </c>
      <c r="F114" s="4" t="str">
        <f aca="false">IF(I114&gt;J114,"Y","N")</f>
        <v>N</v>
      </c>
      <c r="G114" s="3" t="s">
        <v>15</v>
      </c>
      <c r="H114" s="3" t="s">
        <v>42</v>
      </c>
      <c r="I114" s="4" t="n">
        <v>4</v>
      </c>
      <c r="J114" s="4" t="n">
        <f aca="false">LEN(E114)-LEN(SUBSTITUTE(E114,",",""))+1</f>
        <v>4</v>
      </c>
      <c r="K114" s="3" t="str">
        <f aca="false">IFERROR(INDEX('Teacher Lookup'!$B$2:$B$200,MATCH(A114,'Teacher Lookup'!$A$2:$A$200,0)),"")</f>
        <v>FONG Alan</v>
      </c>
    </row>
    <row r="115" customFormat="false" ht="15" hidden="false" customHeight="false" outlineLevel="0" collapsed="false">
      <c r="A115" s="3" t="s">
        <v>11</v>
      </c>
      <c r="B115" s="4" t="s">
        <v>63</v>
      </c>
      <c r="C115" s="4" t="n">
        <v>6</v>
      </c>
      <c r="D115" s="4" t="s">
        <v>17</v>
      </c>
      <c r="E115" s="3" t="s">
        <v>43</v>
      </c>
      <c r="F115" s="4" t="str">
        <f aca="false">IF(I115&gt;J115,"Y","N")</f>
        <v>N</v>
      </c>
      <c r="G115" s="3" t="s">
        <v>15</v>
      </c>
      <c r="H115" s="3" t="s">
        <v>42</v>
      </c>
      <c r="I115" s="4" t="n">
        <v>4</v>
      </c>
      <c r="J115" s="4" t="n">
        <f aca="false">LEN(E115)-LEN(SUBSTITUTE(E115,",",""))+1</f>
        <v>4</v>
      </c>
      <c r="K115" s="3" t="str">
        <f aca="false">IFERROR(INDEX('Teacher Lookup'!$B$2:$B$200,MATCH(A115,'Teacher Lookup'!$A$2:$A$200,0)),"")</f>
        <v>FONG Alan</v>
      </c>
    </row>
    <row r="116" customFormat="false" ht="15" hidden="false" customHeight="false" outlineLevel="0" collapsed="false">
      <c r="A116" s="3" t="s">
        <v>11</v>
      </c>
      <c r="B116" s="4" t="s">
        <v>63</v>
      </c>
      <c r="C116" s="4" t="n">
        <v>6</v>
      </c>
      <c r="D116" s="4" t="s">
        <v>18</v>
      </c>
      <c r="E116" s="3" t="s">
        <v>43</v>
      </c>
      <c r="F116" s="4" t="str">
        <f aca="false">IF(I116&gt;J116,"Y","N")</f>
        <v>N</v>
      </c>
      <c r="G116" s="3" t="s">
        <v>15</v>
      </c>
      <c r="H116" s="3" t="s">
        <v>42</v>
      </c>
      <c r="I116" s="4" t="n">
        <v>4</v>
      </c>
      <c r="J116" s="4" t="n">
        <f aca="false">LEN(E116)-LEN(SUBSTITUTE(E116,",",""))+1</f>
        <v>4</v>
      </c>
      <c r="K116" s="3" t="str">
        <f aca="false">IFERROR(INDEX('Teacher Lookup'!$B$2:$B$200,MATCH(A116,'Teacher Lookup'!$A$2:$A$200,0)),"")</f>
        <v>FONG Alan</v>
      </c>
    </row>
    <row r="117" customFormat="false" ht="15" hidden="false" customHeight="false" outlineLevel="0" collapsed="false">
      <c r="A117" s="3" t="s">
        <v>11</v>
      </c>
      <c r="B117" s="4" t="s">
        <v>65</v>
      </c>
      <c r="C117" s="4" t="n">
        <v>2</v>
      </c>
      <c r="D117" s="4" t="s">
        <v>24</v>
      </c>
      <c r="E117" s="3" t="s">
        <v>64</v>
      </c>
      <c r="F117" s="4" t="str">
        <f aca="false">IF(I117&gt;J117,"Y","N")</f>
        <v>N</v>
      </c>
      <c r="G117" s="3" t="s">
        <v>15</v>
      </c>
      <c r="H117" s="3" t="s">
        <v>21</v>
      </c>
      <c r="I117" s="4" t="n">
        <v>6</v>
      </c>
      <c r="J117" s="4" t="n">
        <f aca="false">LEN(E117)-LEN(SUBSTITUTE(E117,",",""))+1</f>
        <v>6</v>
      </c>
      <c r="K117" s="3" t="str">
        <f aca="false">IFERROR(INDEX('Teacher Lookup'!$B$2:$B$200,MATCH(A117,'Teacher Lookup'!$A$2:$A$200,0)),"")</f>
        <v>FONG Alan</v>
      </c>
    </row>
    <row r="118" customFormat="false" ht="15" hidden="false" customHeight="false" outlineLevel="0" collapsed="false">
      <c r="A118" s="3" t="s">
        <v>11</v>
      </c>
      <c r="B118" s="4" t="s">
        <v>65</v>
      </c>
      <c r="C118" s="4" t="n">
        <v>2</v>
      </c>
      <c r="D118" s="4" t="s">
        <v>27</v>
      </c>
      <c r="E118" s="3" t="s">
        <v>64</v>
      </c>
      <c r="F118" s="4" t="str">
        <f aca="false">IF(I118&gt;J118,"Y","N")</f>
        <v>N</v>
      </c>
      <c r="G118" s="3" t="s">
        <v>15</v>
      </c>
      <c r="H118" s="3" t="s">
        <v>21</v>
      </c>
      <c r="I118" s="4" t="n">
        <v>6</v>
      </c>
      <c r="J118" s="4" t="n">
        <f aca="false">LEN(E118)-LEN(SUBSTITUTE(E118,",",""))+1</f>
        <v>6</v>
      </c>
      <c r="K118" s="3" t="str">
        <f aca="false">IFERROR(INDEX('Teacher Lookup'!$B$2:$B$200,MATCH(A118,'Teacher Lookup'!$A$2:$A$200,0)),"")</f>
        <v>FONG Alan</v>
      </c>
    </row>
    <row r="119" customFormat="false" ht="15" hidden="false" customHeight="false" outlineLevel="0" collapsed="false">
      <c r="A119" s="3" t="s">
        <v>11</v>
      </c>
      <c r="B119" s="4" t="s">
        <v>65</v>
      </c>
      <c r="C119" s="4" t="n">
        <v>2</v>
      </c>
      <c r="D119" s="4" t="s">
        <v>28</v>
      </c>
      <c r="E119" s="3" t="s">
        <v>64</v>
      </c>
      <c r="F119" s="4" t="str">
        <f aca="false">IF(I119&gt;J119,"Y","N")</f>
        <v>N</v>
      </c>
      <c r="G119" s="3" t="s">
        <v>15</v>
      </c>
      <c r="H119" s="3" t="s">
        <v>21</v>
      </c>
      <c r="I119" s="4" t="n">
        <v>6</v>
      </c>
      <c r="J119" s="4" t="n">
        <f aca="false">LEN(E119)-LEN(SUBSTITUTE(E119,",",""))+1</f>
        <v>6</v>
      </c>
      <c r="K119" s="3" t="str">
        <f aca="false">IFERROR(INDEX('Teacher Lookup'!$B$2:$B$200,MATCH(A119,'Teacher Lookup'!$A$2:$A$200,0)),"")</f>
        <v>FONG Alan</v>
      </c>
    </row>
    <row r="120" customFormat="false" ht="15" hidden="false" customHeight="false" outlineLevel="0" collapsed="false">
      <c r="A120" s="3" t="s">
        <v>11</v>
      </c>
      <c r="B120" s="4" t="s">
        <v>65</v>
      </c>
      <c r="C120" s="4" t="n">
        <v>2</v>
      </c>
      <c r="D120" s="4" t="s">
        <v>29</v>
      </c>
      <c r="E120" s="3" t="s">
        <v>64</v>
      </c>
      <c r="F120" s="4" t="str">
        <f aca="false">IF(I120&gt;J120,"Y","N")</f>
        <v>N</v>
      </c>
      <c r="G120" s="3" t="s">
        <v>15</v>
      </c>
      <c r="H120" s="3" t="s">
        <v>21</v>
      </c>
      <c r="I120" s="4" t="n">
        <v>6</v>
      </c>
      <c r="J120" s="4" t="n">
        <f aca="false">LEN(E120)-LEN(SUBSTITUTE(E120,",",""))+1</f>
        <v>6</v>
      </c>
      <c r="K120" s="3" t="str">
        <f aca="false">IFERROR(INDEX('Teacher Lookup'!$B$2:$B$200,MATCH(A120,'Teacher Lookup'!$A$2:$A$200,0)),"")</f>
        <v>FONG Alan</v>
      </c>
    </row>
    <row r="121" customFormat="false" ht="15" hidden="false" customHeight="false" outlineLevel="0" collapsed="false">
      <c r="A121" s="3" t="s">
        <v>11</v>
      </c>
      <c r="B121" s="4" t="s">
        <v>65</v>
      </c>
      <c r="C121" s="4" t="n">
        <v>2</v>
      </c>
      <c r="D121" s="4" t="s">
        <v>30</v>
      </c>
      <c r="E121" s="3" t="s">
        <v>64</v>
      </c>
      <c r="F121" s="4" t="str">
        <f aca="false">IF(I121&gt;J121,"Y","N")</f>
        <v>N</v>
      </c>
      <c r="G121" s="3" t="s">
        <v>15</v>
      </c>
      <c r="H121" s="3" t="s">
        <v>21</v>
      </c>
      <c r="I121" s="4" t="n">
        <v>6</v>
      </c>
      <c r="J121" s="4" t="n">
        <f aca="false">LEN(E121)-LEN(SUBSTITUTE(E121,",",""))+1</f>
        <v>6</v>
      </c>
      <c r="K121" s="3" t="str">
        <f aca="false">IFERROR(INDEX('Teacher Lookup'!$B$2:$B$200,MATCH(A121,'Teacher Lookup'!$A$2:$A$200,0)),"")</f>
        <v>FONG Alan</v>
      </c>
    </row>
    <row r="122" customFormat="false" ht="15" hidden="false" customHeight="false" outlineLevel="0" collapsed="false">
      <c r="A122" s="3" t="s">
        <v>11</v>
      </c>
      <c r="B122" s="4" t="s">
        <v>65</v>
      </c>
      <c r="C122" s="4" t="n">
        <v>4</v>
      </c>
      <c r="D122" s="4" t="s">
        <v>13</v>
      </c>
      <c r="E122" s="3" t="s">
        <v>14</v>
      </c>
      <c r="F122" s="4" t="str">
        <f aca="false">IF(I122&gt;J122,"Y","N")</f>
        <v>N</v>
      </c>
      <c r="G122" s="3" t="s">
        <v>15</v>
      </c>
      <c r="H122" s="3" t="s">
        <v>34</v>
      </c>
      <c r="I122" s="4" t="n">
        <v>4</v>
      </c>
      <c r="J122" s="4" t="n">
        <f aca="false">LEN(E122)-LEN(SUBSTITUTE(E122,",",""))+1</f>
        <v>4</v>
      </c>
      <c r="K122" s="3" t="str">
        <f aca="false">IFERROR(INDEX('Teacher Lookup'!$B$2:$B$200,MATCH(A122,'Teacher Lookup'!$A$2:$A$200,0)),"")</f>
        <v>FONG Alan</v>
      </c>
    </row>
    <row r="123" customFormat="false" ht="15" hidden="false" customHeight="false" outlineLevel="0" collapsed="false">
      <c r="A123" s="3" t="s">
        <v>11</v>
      </c>
      <c r="B123" s="4" t="s">
        <v>65</v>
      </c>
      <c r="C123" s="4" t="n">
        <v>4</v>
      </c>
      <c r="D123" s="4" t="s">
        <v>17</v>
      </c>
      <c r="E123" s="3" t="s">
        <v>14</v>
      </c>
      <c r="F123" s="4" t="str">
        <f aca="false">IF(I123&gt;J123,"Y","N")</f>
        <v>N</v>
      </c>
      <c r="G123" s="3" t="s">
        <v>15</v>
      </c>
      <c r="H123" s="3" t="s">
        <v>34</v>
      </c>
      <c r="I123" s="4" t="n">
        <v>4</v>
      </c>
      <c r="J123" s="4" t="n">
        <f aca="false">LEN(E123)-LEN(SUBSTITUTE(E123,",",""))+1</f>
        <v>4</v>
      </c>
      <c r="K123" s="3" t="str">
        <f aca="false">IFERROR(INDEX('Teacher Lookup'!$B$2:$B$200,MATCH(A123,'Teacher Lookup'!$A$2:$A$200,0)),"")</f>
        <v>FONG Alan</v>
      </c>
    </row>
    <row r="124" customFormat="false" ht="15" hidden="false" customHeight="false" outlineLevel="0" collapsed="false">
      <c r="A124" s="3" t="s">
        <v>11</v>
      </c>
      <c r="B124" s="4" t="s">
        <v>65</v>
      </c>
      <c r="C124" s="4" t="n">
        <v>4</v>
      </c>
      <c r="D124" s="4" t="s">
        <v>18</v>
      </c>
      <c r="E124" s="3" t="s">
        <v>14</v>
      </c>
      <c r="F124" s="4" t="str">
        <f aca="false">IF(I124&gt;J124,"Y","N")</f>
        <v>N</v>
      </c>
      <c r="G124" s="3" t="s">
        <v>15</v>
      </c>
      <c r="H124" s="3" t="s">
        <v>34</v>
      </c>
      <c r="I124" s="4" t="n">
        <v>4</v>
      </c>
      <c r="J124" s="4" t="n">
        <f aca="false">LEN(E124)-LEN(SUBSTITUTE(E124,",",""))+1</f>
        <v>4</v>
      </c>
      <c r="K124" s="3" t="str">
        <f aca="false">IFERROR(INDEX('Teacher Lookup'!$B$2:$B$200,MATCH(A124,'Teacher Lookup'!$A$2:$A$200,0)),"")</f>
        <v>FONG Alan</v>
      </c>
    </row>
    <row r="125" customFormat="false" ht="15" hidden="false" customHeight="false" outlineLevel="0" collapsed="false">
      <c r="A125" s="3" t="s">
        <v>11</v>
      </c>
      <c r="B125" s="4" t="s">
        <v>65</v>
      </c>
      <c r="C125" s="4" t="n">
        <v>5</v>
      </c>
      <c r="D125" s="4" t="s">
        <v>19</v>
      </c>
      <c r="E125" s="3" t="s">
        <v>35</v>
      </c>
      <c r="F125" s="4" t="str">
        <f aca="false">IF(I125&gt;J125,"Y","N")</f>
        <v>Y</v>
      </c>
      <c r="G125" s="3" t="s">
        <v>36</v>
      </c>
      <c r="H125" s="3" t="s">
        <v>37</v>
      </c>
      <c r="I125" s="4" t="n">
        <v>17</v>
      </c>
      <c r="J125" s="4" t="n">
        <f aca="false">LEN(E125)-LEN(SUBSTITUTE(E125,",",""))+1</f>
        <v>7</v>
      </c>
      <c r="K125" s="3" t="str">
        <f aca="false">IFERROR(INDEX('Teacher Lookup'!$B$2:$B$200,MATCH(A125,'Teacher Lookup'!$A$2:$A$200,0)),"")</f>
        <v>FONG Alan</v>
      </c>
    </row>
    <row r="126" customFormat="false" ht="15" hidden="false" customHeight="false" outlineLevel="0" collapsed="false">
      <c r="A126" s="3" t="s">
        <v>11</v>
      </c>
      <c r="B126" s="4" t="s">
        <v>65</v>
      </c>
      <c r="C126" s="4" t="n">
        <v>5</v>
      </c>
      <c r="D126" s="4" t="s">
        <v>22</v>
      </c>
      <c r="E126" s="3" t="s">
        <v>35</v>
      </c>
      <c r="F126" s="4" t="str">
        <f aca="false">IF(I126&gt;J126,"Y","N")</f>
        <v>Y</v>
      </c>
      <c r="G126" s="3" t="s">
        <v>36</v>
      </c>
      <c r="H126" s="3" t="s">
        <v>37</v>
      </c>
      <c r="I126" s="4" t="n">
        <v>17</v>
      </c>
      <c r="J126" s="4" t="n">
        <f aca="false">LEN(E126)-LEN(SUBSTITUTE(E126,",",""))+1</f>
        <v>7</v>
      </c>
      <c r="K126" s="3" t="str">
        <f aca="false">IFERROR(INDEX('Teacher Lookup'!$B$2:$B$200,MATCH(A126,'Teacher Lookup'!$A$2:$A$200,0)),"")</f>
        <v>FONG Alan</v>
      </c>
    </row>
    <row r="127" customFormat="false" ht="15" hidden="false" customHeight="false" outlineLevel="0" collapsed="false">
      <c r="A127" s="3" t="s">
        <v>11</v>
      </c>
      <c r="B127" s="4" t="s">
        <v>65</v>
      </c>
      <c r="C127" s="4" t="n">
        <v>5</v>
      </c>
      <c r="D127" s="4" t="s">
        <v>23</v>
      </c>
      <c r="E127" s="3" t="s">
        <v>35</v>
      </c>
      <c r="F127" s="4" t="str">
        <f aca="false">IF(I127&gt;J127,"Y","N")</f>
        <v>Y</v>
      </c>
      <c r="G127" s="3" t="s">
        <v>36</v>
      </c>
      <c r="H127" s="3" t="s">
        <v>37</v>
      </c>
      <c r="I127" s="4" t="n">
        <v>17</v>
      </c>
      <c r="J127" s="4" t="n">
        <f aca="false">LEN(E127)-LEN(SUBSTITUTE(E127,",",""))+1</f>
        <v>7</v>
      </c>
      <c r="K127" s="3" t="str">
        <f aca="false">IFERROR(INDEX('Teacher Lookup'!$B$2:$B$200,MATCH(A127,'Teacher Lookup'!$A$2:$A$200,0)),"")</f>
        <v>FONG Alan</v>
      </c>
    </row>
    <row r="128" customFormat="false" ht="15" hidden="false" customHeight="false" outlineLevel="0" collapsed="false">
      <c r="A128" s="3" t="s">
        <v>11</v>
      </c>
      <c r="B128" s="4" t="s">
        <v>65</v>
      </c>
      <c r="C128" s="4" t="n">
        <v>5</v>
      </c>
      <c r="D128" s="4" t="s">
        <v>13</v>
      </c>
      <c r="E128" s="3" t="s">
        <v>35</v>
      </c>
      <c r="F128" s="4" t="str">
        <f aca="false">IF(I128&gt;J128,"Y","N")</f>
        <v>Y</v>
      </c>
      <c r="G128" s="3" t="s">
        <v>36</v>
      </c>
      <c r="H128" s="3" t="s">
        <v>37</v>
      </c>
      <c r="I128" s="4" t="n">
        <v>17</v>
      </c>
      <c r="J128" s="4" t="n">
        <f aca="false">LEN(E128)-LEN(SUBSTITUTE(E128,",",""))+1</f>
        <v>7</v>
      </c>
      <c r="K128" s="3" t="str">
        <f aca="false">IFERROR(INDEX('Teacher Lookup'!$B$2:$B$200,MATCH(A128,'Teacher Lookup'!$A$2:$A$200,0)),"")</f>
        <v>FONG Alan</v>
      </c>
    </row>
    <row r="129" customFormat="false" ht="15" hidden="false" customHeight="false" outlineLevel="0" collapsed="false">
      <c r="A129" s="3" t="s">
        <v>11</v>
      </c>
      <c r="B129" s="4" t="s">
        <v>65</v>
      </c>
      <c r="C129" s="4" t="n">
        <v>5</v>
      </c>
      <c r="D129" s="4" t="s">
        <v>17</v>
      </c>
      <c r="E129" s="3" t="s">
        <v>35</v>
      </c>
      <c r="F129" s="4" t="str">
        <f aca="false">IF(I129&gt;J129,"Y","N")</f>
        <v>Y</v>
      </c>
      <c r="G129" s="3" t="s">
        <v>36</v>
      </c>
      <c r="H129" s="3" t="s">
        <v>37</v>
      </c>
      <c r="I129" s="4" t="n">
        <v>17</v>
      </c>
      <c r="J129" s="4" t="n">
        <f aca="false">LEN(E129)-LEN(SUBSTITUTE(E129,",",""))+1</f>
        <v>7</v>
      </c>
      <c r="K129" s="3" t="str">
        <f aca="false">IFERROR(INDEX('Teacher Lookup'!$B$2:$B$200,MATCH(A129,'Teacher Lookup'!$A$2:$A$200,0)),"")</f>
        <v>FONG Alan</v>
      </c>
    </row>
    <row r="130" customFormat="false" ht="15" hidden="false" customHeight="false" outlineLevel="0" collapsed="false">
      <c r="A130" s="3" t="s">
        <v>11</v>
      </c>
      <c r="B130" s="4" t="s">
        <v>65</v>
      </c>
      <c r="C130" s="4" t="n">
        <v>5</v>
      </c>
      <c r="D130" s="4" t="s">
        <v>18</v>
      </c>
      <c r="E130" s="3" t="s">
        <v>35</v>
      </c>
      <c r="F130" s="4" t="str">
        <f aca="false">IF(I130&gt;J130,"Y","N")</f>
        <v>Y</v>
      </c>
      <c r="G130" s="3" t="s">
        <v>36</v>
      </c>
      <c r="H130" s="3" t="s">
        <v>37</v>
      </c>
      <c r="I130" s="4" t="n">
        <v>17</v>
      </c>
      <c r="J130" s="4" t="n">
        <f aca="false">LEN(E130)-LEN(SUBSTITUTE(E130,",",""))+1</f>
        <v>7</v>
      </c>
      <c r="K130" s="3" t="str">
        <f aca="false">IFERROR(INDEX('Teacher Lookup'!$B$2:$B$200,MATCH(A130,'Teacher Lookup'!$A$2:$A$200,0)),"")</f>
        <v>FONG Alan</v>
      </c>
    </row>
    <row r="131" customFormat="false" ht="15" hidden="false" customHeight="false" outlineLevel="0" collapsed="false">
      <c r="A131" s="3" t="s">
        <v>11</v>
      </c>
      <c r="B131" s="4" t="s">
        <v>66</v>
      </c>
      <c r="C131" s="4" t="n">
        <v>3</v>
      </c>
      <c r="D131" s="4" t="s">
        <v>24</v>
      </c>
      <c r="E131" s="3" t="s">
        <v>67</v>
      </c>
      <c r="F131" s="4" t="str">
        <f aca="false">IF(I131&gt;J131,"Y","N")</f>
        <v>N</v>
      </c>
      <c r="G131" s="3" t="s">
        <v>15</v>
      </c>
      <c r="H131" s="3" t="s">
        <v>26</v>
      </c>
      <c r="I131" s="4" t="n">
        <v>6</v>
      </c>
      <c r="J131" s="4" t="n">
        <f aca="false">LEN(E131)-LEN(SUBSTITUTE(E131,",",""))+1</f>
        <v>6</v>
      </c>
      <c r="K131" s="3" t="str">
        <f aca="false">IFERROR(INDEX('Teacher Lookup'!$B$2:$B$200,MATCH(A131,'Teacher Lookup'!$A$2:$A$200,0)),"")</f>
        <v>FONG Alan</v>
      </c>
    </row>
    <row r="132" customFormat="false" ht="15" hidden="false" customHeight="false" outlineLevel="0" collapsed="false">
      <c r="A132" s="3" t="s">
        <v>11</v>
      </c>
      <c r="B132" s="4" t="s">
        <v>66</v>
      </c>
      <c r="C132" s="4" t="n">
        <v>3</v>
      </c>
      <c r="D132" s="4" t="s">
        <v>27</v>
      </c>
      <c r="E132" s="3" t="s">
        <v>67</v>
      </c>
      <c r="F132" s="4" t="str">
        <f aca="false">IF(I132&gt;J132,"Y","N")</f>
        <v>N</v>
      </c>
      <c r="G132" s="3" t="s">
        <v>15</v>
      </c>
      <c r="H132" s="3" t="s">
        <v>26</v>
      </c>
      <c r="I132" s="4" t="n">
        <v>6</v>
      </c>
      <c r="J132" s="4" t="n">
        <f aca="false">LEN(E132)-LEN(SUBSTITUTE(E132,",",""))+1</f>
        <v>6</v>
      </c>
      <c r="K132" s="3" t="str">
        <f aca="false">IFERROR(INDEX('Teacher Lookup'!$B$2:$B$200,MATCH(A132,'Teacher Lookup'!$A$2:$A$200,0)),"")</f>
        <v>FONG Alan</v>
      </c>
    </row>
    <row r="133" customFormat="false" ht="15" hidden="false" customHeight="false" outlineLevel="0" collapsed="false">
      <c r="A133" s="3" t="s">
        <v>11</v>
      </c>
      <c r="B133" s="4" t="s">
        <v>66</v>
      </c>
      <c r="C133" s="4" t="n">
        <v>3</v>
      </c>
      <c r="D133" s="4" t="s">
        <v>28</v>
      </c>
      <c r="E133" s="3" t="s">
        <v>67</v>
      </c>
      <c r="F133" s="4" t="str">
        <f aca="false">IF(I133&gt;J133,"Y","N")</f>
        <v>N</v>
      </c>
      <c r="G133" s="3" t="s">
        <v>15</v>
      </c>
      <c r="H133" s="3" t="s">
        <v>26</v>
      </c>
      <c r="I133" s="4" t="n">
        <v>6</v>
      </c>
      <c r="J133" s="4" t="n">
        <f aca="false">LEN(E133)-LEN(SUBSTITUTE(E133,",",""))+1</f>
        <v>6</v>
      </c>
      <c r="K133" s="3" t="str">
        <f aca="false">IFERROR(INDEX('Teacher Lookup'!$B$2:$B$200,MATCH(A133,'Teacher Lookup'!$A$2:$A$200,0)),"")</f>
        <v>FONG Alan</v>
      </c>
    </row>
    <row r="134" customFormat="false" ht="15" hidden="false" customHeight="false" outlineLevel="0" collapsed="false">
      <c r="A134" s="3" t="s">
        <v>11</v>
      </c>
      <c r="B134" s="4" t="s">
        <v>66</v>
      </c>
      <c r="C134" s="4" t="n">
        <v>3</v>
      </c>
      <c r="D134" s="4" t="s">
        <v>29</v>
      </c>
      <c r="E134" s="3" t="s">
        <v>67</v>
      </c>
      <c r="F134" s="4" t="str">
        <f aca="false">IF(I134&gt;J134,"Y","N")</f>
        <v>N</v>
      </c>
      <c r="G134" s="3" t="s">
        <v>15</v>
      </c>
      <c r="H134" s="3" t="s">
        <v>26</v>
      </c>
      <c r="I134" s="4" t="n">
        <v>6</v>
      </c>
      <c r="J134" s="4" t="n">
        <f aca="false">LEN(E134)-LEN(SUBSTITUTE(E134,",",""))+1</f>
        <v>6</v>
      </c>
      <c r="K134" s="3" t="str">
        <f aca="false">IFERROR(INDEX('Teacher Lookup'!$B$2:$B$200,MATCH(A134,'Teacher Lookup'!$A$2:$A$200,0)),"")</f>
        <v>FONG Alan</v>
      </c>
    </row>
    <row r="135" customFormat="false" ht="15" hidden="false" customHeight="false" outlineLevel="0" collapsed="false">
      <c r="A135" s="3" t="s">
        <v>11</v>
      </c>
      <c r="B135" s="4" t="s">
        <v>66</v>
      </c>
      <c r="C135" s="4" t="n">
        <v>3</v>
      </c>
      <c r="D135" s="4" t="s">
        <v>30</v>
      </c>
      <c r="E135" s="3" t="s">
        <v>67</v>
      </c>
      <c r="F135" s="4" t="str">
        <f aca="false">IF(I135&gt;J135,"Y","N")</f>
        <v>N</v>
      </c>
      <c r="G135" s="3" t="s">
        <v>15</v>
      </c>
      <c r="H135" s="3" t="s">
        <v>26</v>
      </c>
      <c r="I135" s="4" t="n">
        <v>6</v>
      </c>
      <c r="J135" s="4" t="n">
        <f aca="false">LEN(E135)-LEN(SUBSTITUTE(E135,",",""))+1</f>
        <v>6</v>
      </c>
      <c r="K135" s="3" t="str">
        <f aca="false">IFERROR(INDEX('Teacher Lookup'!$B$2:$B$200,MATCH(A135,'Teacher Lookup'!$A$2:$A$200,0)),"")</f>
        <v>FONG Alan</v>
      </c>
    </row>
    <row r="136" customFormat="false" ht="15" hidden="false" customHeight="false" outlineLevel="0" collapsed="false">
      <c r="A136" s="3" t="s">
        <v>11</v>
      </c>
      <c r="B136" s="4" t="s">
        <v>66</v>
      </c>
      <c r="C136" s="4" t="n">
        <v>6</v>
      </c>
      <c r="D136" s="4" t="s">
        <v>19</v>
      </c>
      <c r="E136" s="3" t="s">
        <v>51</v>
      </c>
      <c r="F136" s="4" t="str">
        <f aca="false">IF(I136&gt;J136,"Y","N")</f>
        <v>N</v>
      </c>
      <c r="G136" s="3" t="s">
        <v>15</v>
      </c>
      <c r="H136" s="3" t="s">
        <v>42</v>
      </c>
      <c r="I136" s="4" t="n">
        <v>4</v>
      </c>
      <c r="J136" s="4" t="n">
        <f aca="false">LEN(E136)-LEN(SUBSTITUTE(E136,",",""))+1</f>
        <v>4</v>
      </c>
      <c r="K136" s="3" t="str">
        <f aca="false">IFERROR(INDEX('Teacher Lookup'!$B$2:$B$200,MATCH(A136,'Teacher Lookup'!$A$2:$A$200,0)),"")</f>
        <v>FONG Alan</v>
      </c>
    </row>
    <row r="137" customFormat="false" ht="15" hidden="false" customHeight="false" outlineLevel="0" collapsed="false">
      <c r="A137" s="3" t="s">
        <v>11</v>
      </c>
      <c r="B137" s="4" t="s">
        <v>66</v>
      </c>
      <c r="C137" s="4" t="n">
        <v>6</v>
      </c>
      <c r="D137" s="4" t="s">
        <v>22</v>
      </c>
      <c r="E137" s="3" t="s">
        <v>51</v>
      </c>
      <c r="F137" s="4" t="str">
        <f aca="false">IF(I137&gt;J137,"Y","N")</f>
        <v>N</v>
      </c>
      <c r="G137" s="3" t="s">
        <v>15</v>
      </c>
      <c r="H137" s="3" t="s">
        <v>42</v>
      </c>
      <c r="I137" s="4" t="n">
        <v>4</v>
      </c>
      <c r="J137" s="4" t="n">
        <f aca="false">LEN(E137)-LEN(SUBSTITUTE(E137,",",""))+1</f>
        <v>4</v>
      </c>
      <c r="K137" s="3" t="str">
        <f aca="false">IFERROR(INDEX('Teacher Lookup'!$B$2:$B$200,MATCH(A137,'Teacher Lookup'!$A$2:$A$200,0)),"")</f>
        <v>FONG Alan</v>
      </c>
    </row>
    <row r="138" customFormat="false" ht="15" hidden="false" customHeight="false" outlineLevel="0" collapsed="false">
      <c r="A138" s="3" t="s">
        <v>11</v>
      </c>
      <c r="B138" s="4" t="s">
        <v>66</v>
      </c>
      <c r="C138" s="4" t="n">
        <v>6</v>
      </c>
      <c r="D138" s="4" t="s">
        <v>23</v>
      </c>
      <c r="E138" s="3" t="s">
        <v>51</v>
      </c>
      <c r="F138" s="4" t="str">
        <f aca="false">IF(I138&gt;J138,"Y","N")</f>
        <v>N</v>
      </c>
      <c r="G138" s="3" t="s">
        <v>15</v>
      </c>
      <c r="H138" s="3" t="s">
        <v>42</v>
      </c>
      <c r="I138" s="4" t="n">
        <v>4</v>
      </c>
      <c r="J138" s="4" t="n">
        <f aca="false">LEN(E138)-LEN(SUBSTITUTE(E138,",",""))+1</f>
        <v>4</v>
      </c>
      <c r="K138" s="3" t="str">
        <f aca="false">IFERROR(INDEX('Teacher Lookup'!$B$2:$B$200,MATCH(A138,'Teacher Lookup'!$A$2:$A$200,0)),"")</f>
        <v>FONG Alan</v>
      </c>
    </row>
    <row r="139" customFormat="false" ht="15" hidden="false" customHeight="false" outlineLevel="0" collapsed="false">
      <c r="A139" s="3" t="s">
        <v>11</v>
      </c>
      <c r="B139" s="4" t="s">
        <v>66</v>
      </c>
      <c r="C139" s="4" t="n">
        <v>7</v>
      </c>
      <c r="D139" s="4" t="s">
        <v>13</v>
      </c>
      <c r="E139" s="3" t="s">
        <v>68</v>
      </c>
      <c r="F139" s="4" t="str">
        <f aca="false">IF(I139&gt;J139,"Y","N")</f>
        <v>N</v>
      </c>
      <c r="G139" s="3" t="s">
        <v>15</v>
      </c>
      <c r="H139" s="3" t="s">
        <v>39</v>
      </c>
      <c r="I139" s="4" t="n">
        <v>4</v>
      </c>
      <c r="J139" s="4" t="n">
        <f aca="false">LEN(E139)-LEN(SUBSTITUTE(E139,",",""))+1</f>
        <v>4</v>
      </c>
      <c r="K139" s="3" t="str">
        <f aca="false">IFERROR(INDEX('Teacher Lookup'!$B$2:$B$200,MATCH(A139,'Teacher Lookup'!$A$2:$A$200,0)),"")</f>
        <v>FONG Alan</v>
      </c>
    </row>
    <row r="140" customFormat="false" ht="15" hidden="false" customHeight="false" outlineLevel="0" collapsed="false">
      <c r="A140" s="3" t="s">
        <v>11</v>
      </c>
      <c r="B140" s="4" t="s">
        <v>66</v>
      </c>
      <c r="C140" s="4" t="n">
        <v>7</v>
      </c>
      <c r="D140" s="4" t="s">
        <v>17</v>
      </c>
      <c r="E140" s="3" t="s">
        <v>68</v>
      </c>
      <c r="F140" s="4" t="str">
        <f aca="false">IF(I140&gt;J140,"Y","N")</f>
        <v>N</v>
      </c>
      <c r="G140" s="3" t="s">
        <v>15</v>
      </c>
      <c r="H140" s="3" t="s">
        <v>39</v>
      </c>
      <c r="I140" s="4" t="n">
        <v>4</v>
      </c>
      <c r="J140" s="4" t="n">
        <f aca="false">LEN(E140)-LEN(SUBSTITUTE(E140,",",""))+1</f>
        <v>4</v>
      </c>
      <c r="K140" s="3" t="str">
        <f aca="false">IFERROR(INDEX('Teacher Lookup'!$B$2:$B$200,MATCH(A140,'Teacher Lookup'!$A$2:$A$200,0)),"")</f>
        <v>FONG Alan</v>
      </c>
    </row>
    <row r="141" customFormat="false" ht="15" hidden="false" customHeight="false" outlineLevel="0" collapsed="false">
      <c r="A141" s="3" t="s">
        <v>11</v>
      </c>
      <c r="B141" s="4" t="s">
        <v>66</v>
      </c>
      <c r="C141" s="4" t="n">
        <v>7</v>
      </c>
      <c r="D141" s="4" t="s">
        <v>18</v>
      </c>
      <c r="E141" s="3" t="s">
        <v>68</v>
      </c>
      <c r="F141" s="4" t="str">
        <f aca="false">IF(I141&gt;J141,"Y","N")</f>
        <v>N</v>
      </c>
      <c r="G141" s="3" t="s">
        <v>15</v>
      </c>
      <c r="H141" s="3" t="s">
        <v>39</v>
      </c>
      <c r="I141" s="4" t="n">
        <v>4</v>
      </c>
      <c r="J141" s="4" t="n">
        <f aca="false">LEN(E141)-LEN(SUBSTITUTE(E141,",",""))+1</f>
        <v>4</v>
      </c>
      <c r="K141" s="3" t="str">
        <f aca="false">IFERROR(INDEX('Teacher Lookup'!$B$2:$B$200,MATCH(A141,'Teacher Lookup'!$A$2:$A$200,0)),"")</f>
        <v>FONG Alan</v>
      </c>
    </row>
    <row r="142" customFormat="false" ht="15" hidden="false" customHeight="false" outlineLevel="0" collapsed="false">
      <c r="A142" s="3" t="s">
        <v>69</v>
      </c>
      <c r="B142" s="4" t="s">
        <v>12</v>
      </c>
      <c r="C142" s="4" t="n">
        <v>3</v>
      </c>
      <c r="D142" s="4" t="s">
        <v>70</v>
      </c>
      <c r="E142" s="3" t="s">
        <v>71</v>
      </c>
      <c r="F142" s="4" t="str">
        <f aca="false">IF(I142&gt;J142,"Y","N")</f>
        <v>N</v>
      </c>
      <c r="G142" s="3" t="s">
        <v>72</v>
      </c>
      <c r="H142" s="3" t="s">
        <v>26</v>
      </c>
      <c r="I142" s="4" t="n">
        <v>4</v>
      </c>
      <c r="J142" s="4" t="n">
        <f aca="false">LEN(E142)-LEN(SUBSTITUTE(E142,",",""))+1</f>
        <v>4</v>
      </c>
      <c r="K142" s="3" t="str">
        <f aca="false">IFERROR(INDEX('Teacher Lookup'!$B$2:$B$200,MATCH(A142,'Teacher Lookup'!$A$2:$A$200,0)),"")</f>
        <v>LI Angela</v>
      </c>
    </row>
    <row r="143" customFormat="false" ht="15" hidden="false" customHeight="false" outlineLevel="0" collapsed="false">
      <c r="A143" s="3" t="s">
        <v>69</v>
      </c>
      <c r="B143" s="4" t="s">
        <v>12</v>
      </c>
      <c r="C143" s="4" t="n">
        <v>3</v>
      </c>
      <c r="D143" s="4" t="s">
        <v>73</v>
      </c>
      <c r="E143" s="3" t="s">
        <v>71</v>
      </c>
      <c r="F143" s="4" t="str">
        <f aca="false">IF(I143&gt;J143,"Y","N")</f>
        <v>N</v>
      </c>
      <c r="G143" s="3" t="s">
        <v>72</v>
      </c>
      <c r="H143" s="3" t="s">
        <v>26</v>
      </c>
      <c r="I143" s="4" t="n">
        <v>4</v>
      </c>
      <c r="J143" s="4" t="n">
        <f aca="false">LEN(E143)-LEN(SUBSTITUTE(E143,",",""))+1</f>
        <v>4</v>
      </c>
      <c r="K143" s="3" t="str">
        <f aca="false">IFERROR(INDEX('Teacher Lookup'!$B$2:$B$200,MATCH(A143,'Teacher Lookup'!$A$2:$A$200,0)),"")</f>
        <v>LI Angela</v>
      </c>
    </row>
    <row r="144" customFormat="false" ht="15" hidden="false" customHeight="false" outlineLevel="0" collapsed="false">
      <c r="A144" s="3" t="s">
        <v>69</v>
      </c>
      <c r="B144" s="4" t="s">
        <v>12</v>
      </c>
      <c r="C144" s="4" t="n">
        <v>3</v>
      </c>
      <c r="D144" s="4" t="s">
        <v>74</v>
      </c>
      <c r="E144" s="3" t="s">
        <v>71</v>
      </c>
      <c r="F144" s="4" t="str">
        <f aca="false">IF(I144&gt;J144,"Y","N")</f>
        <v>N</v>
      </c>
      <c r="G144" s="3" t="s">
        <v>72</v>
      </c>
      <c r="H144" s="3" t="s">
        <v>26</v>
      </c>
      <c r="I144" s="4" t="n">
        <v>4</v>
      </c>
      <c r="J144" s="4" t="n">
        <f aca="false">LEN(E144)-LEN(SUBSTITUTE(E144,",",""))+1</f>
        <v>4</v>
      </c>
      <c r="K144" s="3" t="str">
        <f aca="false">IFERROR(INDEX('Teacher Lookup'!$B$2:$B$200,MATCH(A144,'Teacher Lookup'!$A$2:$A$200,0)),"")</f>
        <v>LI Angela</v>
      </c>
    </row>
    <row r="145" customFormat="false" ht="15" hidden="false" customHeight="false" outlineLevel="0" collapsed="false">
      <c r="A145" s="3" t="s">
        <v>69</v>
      </c>
      <c r="B145" s="4" t="s">
        <v>12</v>
      </c>
      <c r="C145" s="4" t="n">
        <v>4</v>
      </c>
      <c r="D145" s="4" t="s">
        <v>24</v>
      </c>
      <c r="E145" s="3" t="s">
        <v>75</v>
      </c>
      <c r="F145" s="4" t="str">
        <f aca="false">IF(I145&gt;J145,"Y","N")</f>
        <v>N</v>
      </c>
      <c r="G145" s="3" t="s">
        <v>72</v>
      </c>
      <c r="H145" s="3" t="s">
        <v>34</v>
      </c>
      <c r="I145" s="4" t="n">
        <v>3</v>
      </c>
      <c r="J145" s="4" t="n">
        <f aca="false">LEN(E145)-LEN(SUBSTITUTE(E145,",",""))+1</f>
        <v>3</v>
      </c>
      <c r="K145" s="3" t="str">
        <f aca="false">IFERROR(INDEX('Teacher Lookup'!$B$2:$B$200,MATCH(A145,'Teacher Lookup'!$A$2:$A$200,0)),"")</f>
        <v>LI Angela</v>
      </c>
    </row>
    <row r="146" customFormat="false" ht="15" hidden="false" customHeight="false" outlineLevel="0" collapsed="false">
      <c r="A146" s="3" t="s">
        <v>69</v>
      </c>
      <c r="B146" s="4" t="s">
        <v>12</v>
      </c>
      <c r="C146" s="4" t="n">
        <v>4</v>
      </c>
      <c r="D146" s="4" t="s">
        <v>27</v>
      </c>
      <c r="E146" s="3" t="s">
        <v>75</v>
      </c>
      <c r="F146" s="4" t="str">
        <f aca="false">IF(I146&gt;J146,"Y","N")</f>
        <v>N</v>
      </c>
      <c r="G146" s="3" t="s">
        <v>72</v>
      </c>
      <c r="H146" s="3" t="s">
        <v>34</v>
      </c>
      <c r="I146" s="4" t="n">
        <v>3</v>
      </c>
      <c r="J146" s="4" t="n">
        <f aca="false">LEN(E146)-LEN(SUBSTITUTE(E146,",",""))+1</f>
        <v>3</v>
      </c>
      <c r="K146" s="3" t="str">
        <f aca="false">IFERROR(INDEX('Teacher Lookup'!$B$2:$B$200,MATCH(A146,'Teacher Lookup'!$A$2:$A$200,0)),"")</f>
        <v>LI Angela</v>
      </c>
    </row>
    <row r="147" customFormat="false" ht="15" hidden="false" customHeight="false" outlineLevel="0" collapsed="false">
      <c r="A147" s="3" t="s">
        <v>69</v>
      </c>
      <c r="B147" s="4" t="s">
        <v>12</v>
      </c>
      <c r="C147" s="4" t="n">
        <v>5</v>
      </c>
      <c r="D147" s="4" t="s">
        <v>24</v>
      </c>
      <c r="E147" s="3" t="s">
        <v>75</v>
      </c>
      <c r="F147" s="4" t="str">
        <f aca="false">IF(I147&gt;J147,"Y","N")</f>
        <v>N</v>
      </c>
      <c r="G147" s="3" t="s">
        <v>72</v>
      </c>
      <c r="H147" s="3" t="s">
        <v>37</v>
      </c>
      <c r="I147" s="4" t="n">
        <v>3</v>
      </c>
      <c r="J147" s="4" t="n">
        <f aca="false">LEN(E147)-LEN(SUBSTITUTE(E147,",",""))+1</f>
        <v>3</v>
      </c>
      <c r="K147" s="3" t="str">
        <f aca="false">IFERROR(INDEX('Teacher Lookup'!$B$2:$B$200,MATCH(A147,'Teacher Lookup'!$A$2:$A$200,0)),"")</f>
        <v>LI Angela</v>
      </c>
    </row>
    <row r="148" customFormat="false" ht="15" hidden="false" customHeight="false" outlineLevel="0" collapsed="false">
      <c r="A148" s="3" t="s">
        <v>69</v>
      </c>
      <c r="B148" s="4" t="s">
        <v>12</v>
      </c>
      <c r="C148" s="4" t="n">
        <v>5</v>
      </c>
      <c r="D148" s="4" t="s">
        <v>27</v>
      </c>
      <c r="E148" s="3" t="s">
        <v>75</v>
      </c>
      <c r="F148" s="4" t="str">
        <f aca="false">IF(I148&gt;J148,"Y","N")</f>
        <v>N</v>
      </c>
      <c r="G148" s="3" t="s">
        <v>72</v>
      </c>
      <c r="H148" s="3" t="s">
        <v>37</v>
      </c>
      <c r="I148" s="4" t="n">
        <v>3</v>
      </c>
      <c r="J148" s="4" t="n">
        <f aca="false">LEN(E148)-LEN(SUBSTITUTE(E148,",",""))+1</f>
        <v>3</v>
      </c>
      <c r="K148" s="3" t="str">
        <f aca="false">IFERROR(INDEX('Teacher Lookup'!$B$2:$B$200,MATCH(A148,'Teacher Lookup'!$A$2:$A$200,0)),"")</f>
        <v>LI Angela</v>
      </c>
    </row>
    <row r="149" customFormat="false" ht="15" hidden="false" customHeight="false" outlineLevel="0" collapsed="false">
      <c r="A149" s="3" t="s">
        <v>69</v>
      </c>
      <c r="B149" s="4" t="s">
        <v>12</v>
      </c>
      <c r="C149" s="4" t="n">
        <v>6</v>
      </c>
      <c r="D149" s="4" t="s">
        <v>76</v>
      </c>
      <c r="E149" s="3" t="s">
        <v>77</v>
      </c>
      <c r="F149" s="4" t="str">
        <f aca="false">IF(I149&gt;J149,"Y","N")</f>
        <v>N</v>
      </c>
      <c r="G149" s="3" t="s">
        <v>72</v>
      </c>
      <c r="H149" s="3" t="s">
        <v>42</v>
      </c>
      <c r="I149" s="4" t="n">
        <v>4</v>
      </c>
      <c r="J149" s="4" t="n">
        <f aca="false">LEN(E149)-LEN(SUBSTITUTE(E149,",",""))+1</f>
        <v>4</v>
      </c>
      <c r="K149" s="3" t="str">
        <f aca="false">IFERROR(INDEX('Teacher Lookup'!$B$2:$B$200,MATCH(A149,'Teacher Lookup'!$A$2:$A$200,0)),"")</f>
        <v>LI Angela</v>
      </c>
    </row>
    <row r="150" customFormat="false" ht="15" hidden="false" customHeight="false" outlineLevel="0" collapsed="false">
      <c r="A150" s="3" t="s">
        <v>69</v>
      </c>
      <c r="B150" s="4" t="s">
        <v>12</v>
      </c>
      <c r="C150" s="4" t="n">
        <v>6</v>
      </c>
      <c r="D150" s="4" t="s">
        <v>78</v>
      </c>
      <c r="E150" s="3" t="s">
        <v>77</v>
      </c>
      <c r="F150" s="4" t="str">
        <f aca="false">IF(I150&gt;J150,"Y","N")</f>
        <v>N</v>
      </c>
      <c r="G150" s="3" t="s">
        <v>72</v>
      </c>
      <c r="H150" s="3" t="s">
        <v>42</v>
      </c>
      <c r="I150" s="4" t="n">
        <v>4</v>
      </c>
      <c r="J150" s="4" t="n">
        <f aca="false">LEN(E150)-LEN(SUBSTITUTE(E150,",",""))+1</f>
        <v>4</v>
      </c>
      <c r="K150" s="3" t="str">
        <f aca="false">IFERROR(INDEX('Teacher Lookup'!$B$2:$B$200,MATCH(A150,'Teacher Lookup'!$A$2:$A$200,0)),"")</f>
        <v>LI Angela</v>
      </c>
    </row>
    <row r="151" customFormat="false" ht="15" hidden="false" customHeight="false" outlineLevel="0" collapsed="false">
      <c r="A151" s="3" t="s">
        <v>69</v>
      </c>
      <c r="B151" s="4" t="s">
        <v>12</v>
      </c>
      <c r="C151" s="4" t="n">
        <v>6</v>
      </c>
      <c r="D151" s="4" t="s">
        <v>79</v>
      </c>
      <c r="E151" s="3" t="s">
        <v>77</v>
      </c>
      <c r="F151" s="4" t="str">
        <f aca="false">IF(I151&gt;J151,"Y","N")</f>
        <v>N</v>
      </c>
      <c r="G151" s="3" t="s">
        <v>72</v>
      </c>
      <c r="H151" s="3" t="s">
        <v>42</v>
      </c>
      <c r="I151" s="4" t="n">
        <v>4</v>
      </c>
      <c r="J151" s="4" t="n">
        <f aca="false">LEN(E151)-LEN(SUBSTITUTE(E151,",",""))+1</f>
        <v>4</v>
      </c>
      <c r="K151" s="3" t="str">
        <f aca="false">IFERROR(INDEX('Teacher Lookup'!$B$2:$B$200,MATCH(A151,'Teacher Lookup'!$A$2:$A$200,0)),"")</f>
        <v>LI Angela</v>
      </c>
    </row>
    <row r="152" customFormat="false" ht="15" hidden="false" customHeight="false" outlineLevel="0" collapsed="false">
      <c r="A152" s="3" t="s">
        <v>69</v>
      </c>
      <c r="B152" s="4" t="s">
        <v>12</v>
      </c>
      <c r="C152" s="4" t="n">
        <v>7</v>
      </c>
      <c r="D152" s="4" t="s">
        <v>76</v>
      </c>
      <c r="E152" s="3" t="s">
        <v>77</v>
      </c>
      <c r="F152" s="4" t="str">
        <f aca="false">IF(I152&gt;J152,"Y","N")</f>
        <v>N</v>
      </c>
      <c r="G152" s="3" t="s">
        <v>72</v>
      </c>
      <c r="H152" s="3" t="s">
        <v>39</v>
      </c>
      <c r="I152" s="4" t="n">
        <v>4</v>
      </c>
      <c r="J152" s="4" t="n">
        <f aca="false">LEN(E152)-LEN(SUBSTITUTE(E152,",",""))+1</f>
        <v>4</v>
      </c>
      <c r="K152" s="3" t="str">
        <f aca="false">IFERROR(INDEX('Teacher Lookup'!$B$2:$B$200,MATCH(A152,'Teacher Lookup'!$A$2:$A$200,0)),"")</f>
        <v>LI Angela</v>
      </c>
    </row>
    <row r="153" customFormat="false" ht="15" hidden="false" customHeight="false" outlineLevel="0" collapsed="false">
      <c r="A153" s="3" t="s">
        <v>69</v>
      </c>
      <c r="B153" s="4" t="s">
        <v>12</v>
      </c>
      <c r="C153" s="4" t="n">
        <v>7</v>
      </c>
      <c r="D153" s="4" t="s">
        <v>78</v>
      </c>
      <c r="E153" s="3" t="s">
        <v>77</v>
      </c>
      <c r="F153" s="4" t="str">
        <f aca="false">IF(I153&gt;J153,"Y","N")</f>
        <v>N</v>
      </c>
      <c r="G153" s="3" t="s">
        <v>72</v>
      </c>
      <c r="H153" s="3" t="s">
        <v>39</v>
      </c>
      <c r="I153" s="4" t="n">
        <v>4</v>
      </c>
      <c r="J153" s="4" t="n">
        <f aca="false">LEN(E153)-LEN(SUBSTITUTE(E153,",",""))+1</f>
        <v>4</v>
      </c>
      <c r="K153" s="3" t="str">
        <f aca="false">IFERROR(INDEX('Teacher Lookup'!$B$2:$B$200,MATCH(A153,'Teacher Lookup'!$A$2:$A$200,0)),"")</f>
        <v>LI Angela</v>
      </c>
    </row>
    <row r="154" customFormat="false" ht="15" hidden="false" customHeight="false" outlineLevel="0" collapsed="false">
      <c r="A154" s="3" t="s">
        <v>69</v>
      </c>
      <c r="B154" s="4" t="s">
        <v>12</v>
      </c>
      <c r="C154" s="4" t="n">
        <v>7</v>
      </c>
      <c r="D154" s="4" t="s">
        <v>79</v>
      </c>
      <c r="E154" s="3" t="s">
        <v>77</v>
      </c>
      <c r="F154" s="4" t="str">
        <f aca="false">IF(I154&gt;J154,"Y","N")</f>
        <v>N</v>
      </c>
      <c r="G154" s="3" t="s">
        <v>72</v>
      </c>
      <c r="H154" s="3" t="s">
        <v>39</v>
      </c>
      <c r="I154" s="4" t="n">
        <v>4</v>
      </c>
      <c r="J154" s="4" t="n">
        <f aca="false">LEN(E154)-LEN(SUBSTITUTE(E154,",",""))+1</f>
        <v>4</v>
      </c>
      <c r="K154" s="3" t="str">
        <f aca="false">IFERROR(INDEX('Teacher Lookup'!$B$2:$B$200,MATCH(A154,'Teacher Lookup'!$A$2:$A$200,0)),"")</f>
        <v>LI Angela</v>
      </c>
    </row>
    <row r="155" customFormat="false" ht="15" hidden="false" customHeight="false" outlineLevel="0" collapsed="false">
      <c r="A155" s="3" t="s">
        <v>69</v>
      </c>
      <c r="B155" s="4" t="s">
        <v>31</v>
      </c>
      <c r="C155" s="4" t="n">
        <v>4</v>
      </c>
      <c r="D155" s="4" t="s">
        <v>76</v>
      </c>
      <c r="E155" s="3" t="s">
        <v>80</v>
      </c>
      <c r="F155" s="4" t="str">
        <f aca="false">IF(I155&gt;J155,"Y","N")</f>
        <v>N</v>
      </c>
      <c r="G155" s="3" t="s">
        <v>72</v>
      </c>
      <c r="H155" s="3" t="s">
        <v>34</v>
      </c>
      <c r="I155" s="4" t="n">
        <v>4</v>
      </c>
      <c r="J155" s="4" t="n">
        <f aca="false">LEN(E155)-LEN(SUBSTITUTE(E155,",",""))+1</f>
        <v>4</v>
      </c>
      <c r="K155" s="3" t="str">
        <f aca="false">IFERROR(INDEX('Teacher Lookup'!$B$2:$B$200,MATCH(A155,'Teacher Lookup'!$A$2:$A$200,0)),"")</f>
        <v>LI Angela</v>
      </c>
    </row>
    <row r="156" customFormat="false" ht="15" hidden="false" customHeight="false" outlineLevel="0" collapsed="false">
      <c r="A156" s="3" t="s">
        <v>69</v>
      </c>
      <c r="B156" s="4" t="s">
        <v>31</v>
      </c>
      <c r="C156" s="4" t="n">
        <v>4</v>
      </c>
      <c r="D156" s="4" t="s">
        <v>78</v>
      </c>
      <c r="E156" s="3" t="s">
        <v>80</v>
      </c>
      <c r="F156" s="4" t="str">
        <f aca="false">IF(I156&gt;J156,"Y","N")</f>
        <v>N</v>
      </c>
      <c r="G156" s="3" t="s">
        <v>72</v>
      </c>
      <c r="H156" s="3" t="s">
        <v>34</v>
      </c>
      <c r="I156" s="4" t="n">
        <v>4</v>
      </c>
      <c r="J156" s="4" t="n">
        <f aca="false">LEN(E156)-LEN(SUBSTITUTE(E156,",",""))+1</f>
        <v>4</v>
      </c>
      <c r="K156" s="3" t="str">
        <f aca="false">IFERROR(INDEX('Teacher Lookup'!$B$2:$B$200,MATCH(A156,'Teacher Lookup'!$A$2:$A$200,0)),"")</f>
        <v>LI Angela</v>
      </c>
    </row>
    <row r="157" customFormat="false" ht="15" hidden="false" customHeight="false" outlineLevel="0" collapsed="false">
      <c r="A157" s="3" t="s">
        <v>69</v>
      </c>
      <c r="B157" s="4" t="s">
        <v>31</v>
      </c>
      <c r="C157" s="4" t="n">
        <v>4</v>
      </c>
      <c r="D157" s="4" t="s">
        <v>79</v>
      </c>
      <c r="E157" s="3" t="s">
        <v>80</v>
      </c>
      <c r="F157" s="4" t="str">
        <f aca="false">IF(I157&gt;J157,"Y","N")</f>
        <v>N</v>
      </c>
      <c r="G157" s="3" t="s">
        <v>72</v>
      </c>
      <c r="H157" s="3" t="s">
        <v>34</v>
      </c>
      <c r="I157" s="4" t="n">
        <v>4</v>
      </c>
      <c r="J157" s="4" t="n">
        <f aca="false">LEN(E157)-LEN(SUBSTITUTE(E157,",",""))+1</f>
        <v>4</v>
      </c>
      <c r="K157" s="3" t="str">
        <f aca="false">IFERROR(INDEX('Teacher Lookup'!$B$2:$B$200,MATCH(A157,'Teacher Lookup'!$A$2:$A$200,0)),"")</f>
        <v>LI Angela</v>
      </c>
    </row>
    <row r="158" customFormat="false" ht="15" hidden="false" customHeight="false" outlineLevel="0" collapsed="false">
      <c r="A158" s="3" t="s">
        <v>69</v>
      </c>
      <c r="B158" s="4" t="s">
        <v>31</v>
      </c>
      <c r="C158" s="4" t="n">
        <v>5</v>
      </c>
      <c r="D158" s="4" t="s">
        <v>70</v>
      </c>
      <c r="E158" s="3" t="s">
        <v>81</v>
      </c>
      <c r="F158" s="4" t="str">
        <f aca="false">IF(I158&gt;J158,"Y","N")</f>
        <v>Y</v>
      </c>
      <c r="G158" s="3" t="s">
        <v>36</v>
      </c>
      <c r="H158" s="3" t="s">
        <v>37</v>
      </c>
      <c r="I158" s="4" t="n">
        <v>15</v>
      </c>
      <c r="J158" s="4" t="n">
        <f aca="false">LEN(E158)-LEN(SUBSTITUTE(E158,",",""))+1</f>
        <v>7</v>
      </c>
      <c r="K158" s="3" t="str">
        <f aca="false">IFERROR(INDEX('Teacher Lookup'!$B$2:$B$200,MATCH(A158,'Teacher Lookup'!$A$2:$A$200,0)),"")</f>
        <v>LI Angela</v>
      </c>
    </row>
    <row r="159" customFormat="false" ht="15" hidden="false" customHeight="false" outlineLevel="0" collapsed="false">
      <c r="A159" s="3" t="s">
        <v>69</v>
      </c>
      <c r="B159" s="4" t="s">
        <v>31</v>
      </c>
      <c r="C159" s="4" t="n">
        <v>5</v>
      </c>
      <c r="D159" s="4" t="s">
        <v>73</v>
      </c>
      <c r="E159" s="3" t="s">
        <v>81</v>
      </c>
      <c r="F159" s="4" t="str">
        <f aca="false">IF(I159&gt;J159,"Y","N")</f>
        <v>Y</v>
      </c>
      <c r="G159" s="3" t="s">
        <v>36</v>
      </c>
      <c r="H159" s="3" t="s">
        <v>37</v>
      </c>
      <c r="I159" s="4" t="n">
        <v>15</v>
      </c>
      <c r="J159" s="4" t="n">
        <f aca="false">LEN(E159)-LEN(SUBSTITUTE(E159,",",""))+1</f>
        <v>7</v>
      </c>
      <c r="K159" s="3" t="str">
        <f aca="false">IFERROR(INDEX('Teacher Lookup'!$B$2:$B$200,MATCH(A159,'Teacher Lookup'!$A$2:$A$200,0)),"")</f>
        <v>LI Angela</v>
      </c>
    </row>
    <row r="160" customFormat="false" ht="15" hidden="false" customHeight="false" outlineLevel="0" collapsed="false">
      <c r="A160" s="3" t="s">
        <v>69</v>
      </c>
      <c r="B160" s="4" t="s">
        <v>31</v>
      </c>
      <c r="C160" s="4" t="n">
        <v>5</v>
      </c>
      <c r="D160" s="4" t="s">
        <v>74</v>
      </c>
      <c r="E160" s="3" t="s">
        <v>81</v>
      </c>
      <c r="F160" s="4" t="str">
        <f aca="false">IF(I160&gt;J160,"Y","N")</f>
        <v>Y</v>
      </c>
      <c r="G160" s="3" t="s">
        <v>36</v>
      </c>
      <c r="H160" s="3" t="s">
        <v>37</v>
      </c>
      <c r="I160" s="4" t="n">
        <v>15</v>
      </c>
      <c r="J160" s="4" t="n">
        <f aca="false">LEN(E160)-LEN(SUBSTITUTE(E160,",",""))+1</f>
        <v>7</v>
      </c>
      <c r="K160" s="3" t="str">
        <f aca="false">IFERROR(INDEX('Teacher Lookup'!$B$2:$B$200,MATCH(A160,'Teacher Lookup'!$A$2:$A$200,0)),"")</f>
        <v>LI Angela</v>
      </c>
    </row>
    <row r="161" customFormat="false" ht="15" hidden="false" customHeight="false" outlineLevel="0" collapsed="false">
      <c r="A161" s="3" t="s">
        <v>69</v>
      </c>
      <c r="B161" s="4" t="s">
        <v>31</v>
      </c>
      <c r="C161" s="4" t="n">
        <v>5</v>
      </c>
      <c r="D161" s="4" t="s">
        <v>76</v>
      </c>
      <c r="E161" s="3" t="s">
        <v>81</v>
      </c>
      <c r="F161" s="4" t="str">
        <f aca="false">IF(I161&gt;J161,"Y","N")</f>
        <v>Y</v>
      </c>
      <c r="G161" s="3" t="s">
        <v>36</v>
      </c>
      <c r="H161" s="3" t="s">
        <v>37</v>
      </c>
      <c r="I161" s="4" t="n">
        <v>15</v>
      </c>
      <c r="J161" s="4" t="n">
        <f aca="false">LEN(E161)-LEN(SUBSTITUTE(E161,",",""))+1</f>
        <v>7</v>
      </c>
      <c r="K161" s="3" t="str">
        <f aca="false">IFERROR(INDEX('Teacher Lookup'!$B$2:$B$200,MATCH(A161,'Teacher Lookup'!$A$2:$A$200,0)),"")</f>
        <v>LI Angela</v>
      </c>
    </row>
    <row r="162" customFormat="false" ht="15" hidden="false" customHeight="false" outlineLevel="0" collapsed="false">
      <c r="A162" s="3" t="s">
        <v>69</v>
      </c>
      <c r="B162" s="4" t="s">
        <v>31</v>
      </c>
      <c r="C162" s="4" t="n">
        <v>5</v>
      </c>
      <c r="D162" s="4" t="s">
        <v>78</v>
      </c>
      <c r="E162" s="3" t="s">
        <v>81</v>
      </c>
      <c r="F162" s="4" t="str">
        <f aca="false">IF(I162&gt;J162,"Y","N")</f>
        <v>Y</v>
      </c>
      <c r="G162" s="3" t="s">
        <v>36</v>
      </c>
      <c r="H162" s="3" t="s">
        <v>37</v>
      </c>
      <c r="I162" s="4" t="n">
        <v>15</v>
      </c>
      <c r="J162" s="4" t="n">
        <f aca="false">LEN(E162)-LEN(SUBSTITUTE(E162,",",""))+1</f>
        <v>7</v>
      </c>
      <c r="K162" s="3" t="str">
        <f aca="false">IFERROR(INDEX('Teacher Lookup'!$B$2:$B$200,MATCH(A162,'Teacher Lookup'!$A$2:$A$200,0)),"")</f>
        <v>LI Angela</v>
      </c>
    </row>
    <row r="163" customFormat="false" ht="15" hidden="false" customHeight="false" outlineLevel="0" collapsed="false">
      <c r="A163" s="3" t="s">
        <v>69</v>
      </c>
      <c r="B163" s="4" t="s">
        <v>31</v>
      </c>
      <c r="C163" s="4" t="n">
        <v>5</v>
      </c>
      <c r="D163" s="4" t="s">
        <v>79</v>
      </c>
      <c r="E163" s="3" t="s">
        <v>81</v>
      </c>
      <c r="F163" s="4" t="str">
        <f aca="false">IF(I163&gt;J163,"Y","N")</f>
        <v>Y</v>
      </c>
      <c r="G163" s="3" t="s">
        <v>36</v>
      </c>
      <c r="H163" s="3" t="s">
        <v>37</v>
      </c>
      <c r="I163" s="4" t="n">
        <v>15</v>
      </c>
      <c r="J163" s="4" t="n">
        <f aca="false">LEN(E163)-LEN(SUBSTITUTE(E163,",",""))+1</f>
        <v>7</v>
      </c>
      <c r="K163" s="3" t="str">
        <f aca="false">IFERROR(INDEX('Teacher Lookup'!$B$2:$B$200,MATCH(A163,'Teacher Lookup'!$A$2:$A$200,0)),"")</f>
        <v>LI Angela</v>
      </c>
    </row>
    <row r="164" customFormat="false" ht="15" hidden="false" customHeight="false" outlineLevel="0" collapsed="false">
      <c r="A164" s="3" t="s">
        <v>69</v>
      </c>
      <c r="B164" s="4" t="s">
        <v>31</v>
      </c>
      <c r="C164" s="4" t="n">
        <v>6</v>
      </c>
      <c r="D164" s="4" t="s">
        <v>24</v>
      </c>
      <c r="E164" s="3" t="s">
        <v>82</v>
      </c>
      <c r="F164" s="4" t="str">
        <f aca="false">IF(I164&gt;J164,"Y","N")</f>
        <v>N</v>
      </c>
      <c r="G164" s="3" t="s">
        <v>72</v>
      </c>
      <c r="H164" s="3" t="s">
        <v>42</v>
      </c>
      <c r="I164" s="4" t="n">
        <v>3</v>
      </c>
      <c r="J164" s="4" t="n">
        <f aca="false">LEN(E164)-LEN(SUBSTITUTE(E164,",",""))+1</f>
        <v>3</v>
      </c>
      <c r="K164" s="3" t="str">
        <f aca="false">IFERROR(INDEX('Teacher Lookup'!$B$2:$B$200,MATCH(A164,'Teacher Lookup'!$A$2:$A$200,0)),"")</f>
        <v>LI Angela</v>
      </c>
    </row>
    <row r="165" customFormat="false" ht="15" hidden="false" customHeight="false" outlineLevel="0" collapsed="false">
      <c r="A165" s="3" t="s">
        <v>69</v>
      </c>
      <c r="B165" s="4" t="s">
        <v>31</v>
      </c>
      <c r="C165" s="4" t="n">
        <v>6</v>
      </c>
      <c r="D165" s="4" t="s">
        <v>27</v>
      </c>
      <c r="E165" s="3" t="s">
        <v>82</v>
      </c>
      <c r="F165" s="4" t="str">
        <f aca="false">IF(I165&gt;J165,"Y","N")</f>
        <v>N</v>
      </c>
      <c r="G165" s="3" t="s">
        <v>72</v>
      </c>
      <c r="H165" s="3" t="s">
        <v>42</v>
      </c>
      <c r="I165" s="4" t="n">
        <v>3</v>
      </c>
      <c r="J165" s="4" t="n">
        <f aca="false">LEN(E165)-LEN(SUBSTITUTE(E165,",",""))+1</f>
        <v>3</v>
      </c>
      <c r="K165" s="3" t="str">
        <f aca="false">IFERROR(INDEX('Teacher Lookup'!$B$2:$B$200,MATCH(A165,'Teacher Lookup'!$A$2:$A$200,0)),"")</f>
        <v>LI Angela</v>
      </c>
    </row>
    <row r="166" customFormat="false" ht="15" hidden="false" customHeight="false" outlineLevel="0" collapsed="false">
      <c r="A166" s="3" t="s">
        <v>69</v>
      </c>
      <c r="B166" s="4" t="s">
        <v>31</v>
      </c>
      <c r="C166" s="4" t="n">
        <v>7</v>
      </c>
      <c r="D166" s="4" t="s">
        <v>70</v>
      </c>
      <c r="E166" s="3" t="s">
        <v>83</v>
      </c>
      <c r="F166" s="4" t="str">
        <f aca="false">IF(I166&gt;J166,"Y","N")</f>
        <v>N</v>
      </c>
      <c r="G166" s="3" t="s">
        <v>72</v>
      </c>
      <c r="H166" s="3" t="s">
        <v>39</v>
      </c>
      <c r="I166" s="4" t="n">
        <v>4</v>
      </c>
      <c r="J166" s="4" t="n">
        <f aca="false">LEN(E166)-LEN(SUBSTITUTE(E166,",",""))+1</f>
        <v>4</v>
      </c>
      <c r="K166" s="3" t="str">
        <f aca="false">IFERROR(INDEX('Teacher Lookup'!$B$2:$B$200,MATCH(A166,'Teacher Lookup'!$A$2:$A$200,0)),"")</f>
        <v>LI Angela</v>
      </c>
    </row>
    <row r="167" customFormat="false" ht="15" hidden="false" customHeight="false" outlineLevel="0" collapsed="false">
      <c r="A167" s="3" t="s">
        <v>69</v>
      </c>
      <c r="B167" s="4" t="s">
        <v>31</v>
      </c>
      <c r="C167" s="4" t="n">
        <v>7</v>
      </c>
      <c r="D167" s="4" t="s">
        <v>73</v>
      </c>
      <c r="E167" s="3" t="s">
        <v>83</v>
      </c>
      <c r="F167" s="4" t="str">
        <f aca="false">IF(I167&gt;J167,"Y","N")</f>
        <v>N</v>
      </c>
      <c r="G167" s="3" t="s">
        <v>72</v>
      </c>
      <c r="H167" s="3" t="s">
        <v>39</v>
      </c>
      <c r="I167" s="4" t="n">
        <v>4</v>
      </c>
      <c r="J167" s="4" t="n">
        <f aca="false">LEN(E167)-LEN(SUBSTITUTE(E167,",",""))+1</f>
        <v>4</v>
      </c>
      <c r="K167" s="3" t="str">
        <f aca="false">IFERROR(INDEX('Teacher Lookup'!$B$2:$B$200,MATCH(A167,'Teacher Lookup'!$A$2:$A$200,0)),"")</f>
        <v>LI Angela</v>
      </c>
    </row>
    <row r="168" customFormat="false" ht="15" hidden="false" customHeight="false" outlineLevel="0" collapsed="false">
      <c r="A168" s="3" t="s">
        <v>69</v>
      </c>
      <c r="B168" s="4" t="s">
        <v>31</v>
      </c>
      <c r="C168" s="4" t="n">
        <v>7</v>
      </c>
      <c r="D168" s="4" t="s">
        <v>74</v>
      </c>
      <c r="E168" s="3" t="s">
        <v>83</v>
      </c>
      <c r="F168" s="4" t="str">
        <f aca="false">IF(I168&gt;J168,"Y","N")</f>
        <v>N</v>
      </c>
      <c r="G168" s="3" t="s">
        <v>72</v>
      </c>
      <c r="H168" s="3" t="s">
        <v>39</v>
      </c>
      <c r="I168" s="4" t="n">
        <v>4</v>
      </c>
      <c r="J168" s="4" t="n">
        <f aca="false">LEN(E168)-LEN(SUBSTITUTE(E168,",",""))+1</f>
        <v>4</v>
      </c>
      <c r="K168" s="3" t="str">
        <f aca="false">IFERROR(INDEX('Teacher Lookup'!$B$2:$B$200,MATCH(A168,'Teacher Lookup'!$A$2:$A$200,0)),"")</f>
        <v>LI Angela</v>
      </c>
    </row>
    <row r="169" customFormat="false" ht="15" hidden="false" customHeight="false" outlineLevel="0" collapsed="false">
      <c r="A169" s="3" t="s">
        <v>69</v>
      </c>
      <c r="B169" s="4" t="s">
        <v>40</v>
      </c>
      <c r="C169" s="4" t="n">
        <v>2</v>
      </c>
      <c r="D169" s="4" t="s">
        <v>76</v>
      </c>
      <c r="E169" s="3" t="s">
        <v>84</v>
      </c>
      <c r="F169" s="4" t="str">
        <f aca="false">IF(I169&gt;J169,"Y","N")</f>
        <v>N</v>
      </c>
      <c r="G169" s="3" t="s">
        <v>72</v>
      </c>
      <c r="H169" s="3" t="s">
        <v>21</v>
      </c>
      <c r="I169" s="4" t="n">
        <v>4</v>
      </c>
      <c r="J169" s="4" t="n">
        <f aca="false">LEN(E169)-LEN(SUBSTITUTE(E169,",",""))+1</f>
        <v>4</v>
      </c>
      <c r="K169" s="3" t="str">
        <f aca="false">IFERROR(INDEX('Teacher Lookup'!$B$2:$B$200,MATCH(A169,'Teacher Lookup'!$A$2:$A$200,0)),"")</f>
        <v>LI Angela</v>
      </c>
    </row>
    <row r="170" customFormat="false" ht="15" hidden="false" customHeight="false" outlineLevel="0" collapsed="false">
      <c r="A170" s="3" t="s">
        <v>69</v>
      </c>
      <c r="B170" s="4" t="s">
        <v>40</v>
      </c>
      <c r="C170" s="4" t="n">
        <v>2</v>
      </c>
      <c r="D170" s="4" t="s">
        <v>78</v>
      </c>
      <c r="E170" s="3" t="s">
        <v>84</v>
      </c>
      <c r="F170" s="4" t="str">
        <f aca="false">IF(I170&gt;J170,"Y","N")</f>
        <v>N</v>
      </c>
      <c r="G170" s="3" t="s">
        <v>72</v>
      </c>
      <c r="H170" s="3" t="s">
        <v>21</v>
      </c>
      <c r="I170" s="4" t="n">
        <v>4</v>
      </c>
      <c r="J170" s="4" t="n">
        <f aca="false">LEN(E170)-LEN(SUBSTITUTE(E170,",",""))+1</f>
        <v>4</v>
      </c>
      <c r="K170" s="3" t="str">
        <f aca="false">IFERROR(INDEX('Teacher Lookup'!$B$2:$B$200,MATCH(A170,'Teacher Lookup'!$A$2:$A$200,0)),"")</f>
        <v>LI Angela</v>
      </c>
    </row>
    <row r="171" customFormat="false" ht="15" hidden="false" customHeight="false" outlineLevel="0" collapsed="false">
      <c r="A171" s="3" t="s">
        <v>69</v>
      </c>
      <c r="B171" s="4" t="s">
        <v>40</v>
      </c>
      <c r="C171" s="4" t="n">
        <v>2</v>
      </c>
      <c r="D171" s="4" t="s">
        <v>79</v>
      </c>
      <c r="E171" s="3" t="s">
        <v>84</v>
      </c>
      <c r="F171" s="4" t="str">
        <f aca="false">IF(I171&gt;J171,"Y","N")</f>
        <v>N</v>
      </c>
      <c r="G171" s="3" t="s">
        <v>72</v>
      </c>
      <c r="H171" s="3" t="s">
        <v>21</v>
      </c>
      <c r="I171" s="4" t="n">
        <v>4</v>
      </c>
      <c r="J171" s="4" t="n">
        <f aca="false">LEN(E171)-LEN(SUBSTITUTE(E171,",",""))+1</f>
        <v>4</v>
      </c>
      <c r="K171" s="3" t="str">
        <f aca="false">IFERROR(INDEX('Teacher Lookup'!$B$2:$B$200,MATCH(A171,'Teacher Lookup'!$A$2:$A$200,0)),"")</f>
        <v>LI Angela</v>
      </c>
    </row>
    <row r="172" customFormat="false" ht="15" hidden="false" customHeight="false" outlineLevel="0" collapsed="false">
      <c r="A172" s="3" t="s">
        <v>69</v>
      </c>
      <c r="B172" s="4" t="s">
        <v>40</v>
      </c>
      <c r="C172" s="4" t="n">
        <v>3</v>
      </c>
      <c r="D172" s="4" t="s">
        <v>70</v>
      </c>
      <c r="E172" s="3" t="s">
        <v>85</v>
      </c>
      <c r="F172" s="4" t="str">
        <f aca="false">IF(I172&gt;J172,"Y","N")</f>
        <v>N</v>
      </c>
      <c r="G172" s="3" t="s">
        <v>72</v>
      </c>
      <c r="H172" s="3" t="s">
        <v>26</v>
      </c>
      <c r="I172" s="4" t="n">
        <v>4</v>
      </c>
      <c r="J172" s="4" t="n">
        <f aca="false">LEN(E172)-LEN(SUBSTITUTE(E172,",",""))+1</f>
        <v>4</v>
      </c>
      <c r="K172" s="3" t="str">
        <f aca="false">IFERROR(INDEX('Teacher Lookup'!$B$2:$B$200,MATCH(A172,'Teacher Lookup'!$A$2:$A$200,0)),"")</f>
        <v>LI Angela</v>
      </c>
    </row>
    <row r="173" customFormat="false" ht="15" hidden="false" customHeight="false" outlineLevel="0" collapsed="false">
      <c r="A173" s="3" t="s">
        <v>69</v>
      </c>
      <c r="B173" s="4" t="s">
        <v>40</v>
      </c>
      <c r="C173" s="4" t="n">
        <v>3</v>
      </c>
      <c r="D173" s="4" t="s">
        <v>73</v>
      </c>
      <c r="E173" s="3" t="s">
        <v>85</v>
      </c>
      <c r="F173" s="4" t="str">
        <f aca="false">IF(I173&gt;J173,"Y","N")</f>
        <v>N</v>
      </c>
      <c r="G173" s="3" t="s">
        <v>72</v>
      </c>
      <c r="H173" s="3" t="s">
        <v>26</v>
      </c>
      <c r="I173" s="4" t="n">
        <v>4</v>
      </c>
      <c r="J173" s="4" t="n">
        <f aca="false">LEN(E173)-LEN(SUBSTITUTE(E173,",",""))+1</f>
        <v>4</v>
      </c>
      <c r="K173" s="3" t="str">
        <f aca="false">IFERROR(INDEX('Teacher Lookup'!$B$2:$B$200,MATCH(A173,'Teacher Lookup'!$A$2:$A$200,0)),"")</f>
        <v>LI Angela</v>
      </c>
    </row>
    <row r="174" customFormat="false" ht="15" hidden="false" customHeight="false" outlineLevel="0" collapsed="false">
      <c r="A174" s="3" t="s">
        <v>69</v>
      </c>
      <c r="B174" s="4" t="s">
        <v>40</v>
      </c>
      <c r="C174" s="4" t="n">
        <v>3</v>
      </c>
      <c r="D174" s="4" t="s">
        <v>74</v>
      </c>
      <c r="E174" s="3" t="s">
        <v>85</v>
      </c>
      <c r="F174" s="4" t="str">
        <f aca="false">IF(I174&gt;J174,"Y","N")</f>
        <v>N</v>
      </c>
      <c r="G174" s="3" t="s">
        <v>72</v>
      </c>
      <c r="H174" s="3" t="s">
        <v>26</v>
      </c>
      <c r="I174" s="4" t="n">
        <v>4</v>
      </c>
      <c r="J174" s="4" t="n">
        <f aca="false">LEN(E174)-LEN(SUBSTITUTE(E174,",",""))+1</f>
        <v>4</v>
      </c>
      <c r="K174" s="3" t="str">
        <f aca="false">IFERROR(INDEX('Teacher Lookup'!$B$2:$B$200,MATCH(A174,'Teacher Lookup'!$A$2:$A$200,0)),"")</f>
        <v>LI Angela</v>
      </c>
    </row>
    <row r="175" customFormat="false" ht="15" hidden="false" customHeight="false" outlineLevel="0" collapsed="false">
      <c r="A175" s="3" t="s">
        <v>69</v>
      </c>
      <c r="B175" s="4" t="s">
        <v>40</v>
      </c>
      <c r="C175" s="4" t="n">
        <v>4</v>
      </c>
      <c r="D175" s="4" t="s">
        <v>70</v>
      </c>
      <c r="E175" s="3" t="s">
        <v>85</v>
      </c>
      <c r="F175" s="4" t="str">
        <f aca="false">IF(I175&gt;J175,"Y","N")</f>
        <v>N</v>
      </c>
      <c r="G175" s="3" t="s">
        <v>72</v>
      </c>
      <c r="H175" s="3" t="s">
        <v>34</v>
      </c>
      <c r="I175" s="4" t="n">
        <v>4</v>
      </c>
      <c r="J175" s="4" t="n">
        <f aca="false">LEN(E175)-LEN(SUBSTITUTE(E175,",",""))+1</f>
        <v>4</v>
      </c>
      <c r="K175" s="3" t="str">
        <f aca="false">IFERROR(INDEX('Teacher Lookup'!$B$2:$B$200,MATCH(A175,'Teacher Lookup'!$A$2:$A$200,0)),"")</f>
        <v>LI Angela</v>
      </c>
    </row>
    <row r="176" customFormat="false" ht="15" hidden="false" customHeight="false" outlineLevel="0" collapsed="false">
      <c r="A176" s="3" t="s">
        <v>69</v>
      </c>
      <c r="B176" s="4" t="s">
        <v>40</v>
      </c>
      <c r="C176" s="4" t="n">
        <v>4</v>
      </c>
      <c r="D176" s="4" t="s">
        <v>73</v>
      </c>
      <c r="E176" s="3" t="s">
        <v>85</v>
      </c>
      <c r="F176" s="4" t="str">
        <f aca="false">IF(I176&gt;J176,"Y","N")</f>
        <v>N</v>
      </c>
      <c r="G176" s="3" t="s">
        <v>72</v>
      </c>
      <c r="H176" s="3" t="s">
        <v>34</v>
      </c>
      <c r="I176" s="4" t="n">
        <v>4</v>
      </c>
      <c r="J176" s="4" t="n">
        <f aca="false">LEN(E176)-LEN(SUBSTITUTE(E176,",",""))+1</f>
        <v>4</v>
      </c>
      <c r="K176" s="3" t="str">
        <f aca="false">IFERROR(INDEX('Teacher Lookup'!$B$2:$B$200,MATCH(A176,'Teacher Lookup'!$A$2:$A$200,0)),"")</f>
        <v>LI Angela</v>
      </c>
    </row>
    <row r="177" customFormat="false" ht="15" hidden="false" customHeight="false" outlineLevel="0" collapsed="false">
      <c r="A177" s="3" t="s">
        <v>69</v>
      </c>
      <c r="B177" s="4" t="s">
        <v>40</v>
      </c>
      <c r="C177" s="4" t="n">
        <v>4</v>
      </c>
      <c r="D177" s="4" t="s">
        <v>74</v>
      </c>
      <c r="E177" s="3" t="s">
        <v>85</v>
      </c>
      <c r="F177" s="4" t="str">
        <f aca="false">IF(I177&gt;J177,"Y","N")</f>
        <v>N</v>
      </c>
      <c r="G177" s="3" t="s">
        <v>72</v>
      </c>
      <c r="H177" s="3" t="s">
        <v>34</v>
      </c>
      <c r="I177" s="4" t="n">
        <v>4</v>
      </c>
      <c r="J177" s="4" t="n">
        <f aca="false">LEN(E177)-LEN(SUBSTITUTE(E177,",",""))+1</f>
        <v>4</v>
      </c>
      <c r="K177" s="3" t="str">
        <f aca="false">IFERROR(INDEX('Teacher Lookup'!$B$2:$B$200,MATCH(A177,'Teacher Lookup'!$A$2:$A$200,0)),"")</f>
        <v>LI Angela</v>
      </c>
    </row>
    <row r="178" customFormat="false" ht="15" hidden="false" customHeight="false" outlineLevel="0" collapsed="false">
      <c r="A178" s="3" t="s">
        <v>69</v>
      </c>
      <c r="B178" s="4" t="s">
        <v>40</v>
      </c>
      <c r="C178" s="4" t="n">
        <v>6</v>
      </c>
      <c r="D178" s="4" t="s">
        <v>24</v>
      </c>
      <c r="E178" s="3" t="s">
        <v>82</v>
      </c>
      <c r="F178" s="4" t="str">
        <f aca="false">IF(I178&gt;J178,"Y","N")</f>
        <v>N</v>
      </c>
      <c r="G178" s="3" t="s">
        <v>72</v>
      </c>
      <c r="H178" s="3" t="s">
        <v>42</v>
      </c>
      <c r="I178" s="4" t="n">
        <v>3</v>
      </c>
      <c r="J178" s="4" t="n">
        <f aca="false">LEN(E178)-LEN(SUBSTITUTE(E178,",",""))+1</f>
        <v>3</v>
      </c>
      <c r="K178" s="3" t="str">
        <f aca="false">IFERROR(INDEX('Teacher Lookup'!$B$2:$B$200,MATCH(A178,'Teacher Lookup'!$A$2:$A$200,0)),"")</f>
        <v>LI Angela</v>
      </c>
    </row>
    <row r="179" customFormat="false" ht="15" hidden="false" customHeight="false" outlineLevel="0" collapsed="false">
      <c r="A179" s="3" t="s">
        <v>69</v>
      </c>
      <c r="B179" s="4" t="s">
        <v>40</v>
      </c>
      <c r="C179" s="4" t="n">
        <v>6</v>
      </c>
      <c r="D179" s="4" t="s">
        <v>27</v>
      </c>
      <c r="E179" s="3" t="s">
        <v>82</v>
      </c>
      <c r="F179" s="4" t="str">
        <f aca="false">IF(I179&gt;J179,"Y","N")</f>
        <v>N</v>
      </c>
      <c r="G179" s="3" t="s">
        <v>72</v>
      </c>
      <c r="H179" s="3" t="s">
        <v>42</v>
      </c>
      <c r="I179" s="4" t="n">
        <v>3</v>
      </c>
      <c r="J179" s="4" t="n">
        <f aca="false">LEN(E179)-LEN(SUBSTITUTE(E179,",",""))+1</f>
        <v>3</v>
      </c>
      <c r="K179" s="3" t="str">
        <f aca="false">IFERROR(INDEX('Teacher Lookup'!$B$2:$B$200,MATCH(A179,'Teacher Lookup'!$A$2:$A$200,0)),"")</f>
        <v>LI Angela</v>
      </c>
    </row>
    <row r="180" customFormat="false" ht="15" hidden="false" customHeight="false" outlineLevel="0" collapsed="false">
      <c r="A180" s="3" t="s">
        <v>69</v>
      </c>
      <c r="B180" s="4" t="s">
        <v>44</v>
      </c>
      <c r="C180" s="4" t="n">
        <v>2</v>
      </c>
      <c r="D180" s="4" t="s">
        <v>70</v>
      </c>
      <c r="E180" s="3" t="s">
        <v>71</v>
      </c>
      <c r="F180" s="4" t="str">
        <f aca="false">IF(I180&gt;J180,"Y","N")</f>
        <v>N</v>
      </c>
      <c r="G180" s="3" t="s">
        <v>72</v>
      </c>
      <c r="H180" s="3" t="s">
        <v>21</v>
      </c>
      <c r="I180" s="4" t="n">
        <v>4</v>
      </c>
      <c r="J180" s="4" t="n">
        <f aca="false">LEN(E180)-LEN(SUBSTITUTE(E180,",",""))+1</f>
        <v>4</v>
      </c>
      <c r="K180" s="3" t="str">
        <f aca="false">IFERROR(INDEX('Teacher Lookup'!$B$2:$B$200,MATCH(A180,'Teacher Lookup'!$A$2:$A$200,0)),"")</f>
        <v>LI Angela</v>
      </c>
    </row>
    <row r="181" customFormat="false" ht="15" hidden="false" customHeight="false" outlineLevel="0" collapsed="false">
      <c r="A181" s="3" t="s">
        <v>69</v>
      </c>
      <c r="B181" s="4" t="s">
        <v>44</v>
      </c>
      <c r="C181" s="4" t="n">
        <v>2</v>
      </c>
      <c r="D181" s="4" t="s">
        <v>73</v>
      </c>
      <c r="E181" s="3" t="s">
        <v>71</v>
      </c>
      <c r="F181" s="4" t="str">
        <f aca="false">IF(I181&gt;J181,"Y","N")</f>
        <v>N</v>
      </c>
      <c r="G181" s="3" t="s">
        <v>72</v>
      </c>
      <c r="H181" s="3" t="s">
        <v>21</v>
      </c>
      <c r="I181" s="4" t="n">
        <v>4</v>
      </c>
      <c r="J181" s="4" t="n">
        <f aca="false">LEN(E181)-LEN(SUBSTITUTE(E181,",",""))+1</f>
        <v>4</v>
      </c>
      <c r="K181" s="3" t="str">
        <f aca="false">IFERROR(INDEX('Teacher Lookup'!$B$2:$B$200,MATCH(A181,'Teacher Lookup'!$A$2:$A$200,0)),"")</f>
        <v>LI Angela</v>
      </c>
    </row>
    <row r="182" customFormat="false" ht="15" hidden="false" customHeight="false" outlineLevel="0" collapsed="false">
      <c r="A182" s="3" t="s">
        <v>69</v>
      </c>
      <c r="B182" s="4" t="s">
        <v>44</v>
      </c>
      <c r="C182" s="4" t="n">
        <v>2</v>
      </c>
      <c r="D182" s="4" t="s">
        <v>74</v>
      </c>
      <c r="E182" s="3" t="s">
        <v>71</v>
      </c>
      <c r="F182" s="4" t="str">
        <f aca="false">IF(I182&gt;J182,"Y","N")</f>
        <v>N</v>
      </c>
      <c r="G182" s="3" t="s">
        <v>72</v>
      </c>
      <c r="H182" s="3" t="s">
        <v>21</v>
      </c>
      <c r="I182" s="4" t="n">
        <v>4</v>
      </c>
      <c r="J182" s="4" t="n">
        <f aca="false">LEN(E182)-LEN(SUBSTITUTE(E182,",",""))+1</f>
        <v>4</v>
      </c>
      <c r="K182" s="3" t="str">
        <f aca="false">IFERROR(INDEX('Teacher Lookup'!$B$2:$B$200,MATCH(A182,'Teacher Lookup'!$A$2:$A$200,0)),"")</f>
        <v>LI Angela</v>
      </c>
    </row>
    <row r="183" customFormat="false" ht="15" hidden="false" customHeight="false" outlineLevel="0" collapsed="false">
      <c r="A183" s="3" t="s">
        <v>69</v>
      </c>
      <c r="B183" s="4" t="s">
        <v>44</v>
      </c>
      <c r="C183" s="4" t="n">
        <v>4</v>
      </c>
      <c r="D183" s="4" t="s">
        <v>76</v>
      </c>
      <c r="E183" s="3" t="s">
        <v>84</v>
      </c>
      <c r="F183" s="4" t="str">
        <f aca="false">IF(I183&gt;J183,"Y","N")</f>
        <v>N</v>
      </c>
      <c r="G183" s="3" t="s">
        <v>72</v>
      </c>
      <c r="H183" s="3" t="s">
        <v>34</v>
      </c>
      <c r="I183" s="4" t="n">
        <v>4</v>
      </c>
      <c r="J183" s="4" t="n">
        <f aca="false">LEN(E183)-LEN(SUBSTITUTE(E183,",",""))+1</f>
        <v>4</v>
      </c>
      <c r="K183" s="3" t="str">
        <f aca="false">IFERROR(INDEX('Teacher Lookup'!$B$2:$B$200,MATCH(A183,'Teacher Lookup'!$A$2:$A$200,0)),"")</f>
        <v>LI Angela</v>
      </c>
    </row>
    <row r="184" customFormat="false" ht="15" hidden="false" customHeight="false" outlineLevel="0" collapsed="false">
      <c r="A184" s="3" t="s">
        <v>69</v>
      </c>
      <c r="B184" s="4" t="s">
        <v>44</v>
      </c>
      <c r="C184" s="4" t="n">
        <v>4</v>
      </c>
      <c r="D184" s="4" t="s">
        <v>78</v>
      </c>
      <c r="E184" s="3" t="s">
        <v>84</v>
      </c>
      <c r="F184" s="4" t="str">
        <f aca="false">IF(I184&gt;J184,"Y","N")</f>
        <v>N</v>
      </c>
      <c r="G184" s="3" t="s">
        <v>72</v>
      </c>
      <c r="H184" s="3" t="s">
        <v>34</v>
      </c>
      <c r="I184" s="4" t="n">
        <v>4</v>
      </c>
      <c r="J184" s="4" t="n">
        <f aca="false">LEN(E184)-LEN(SUBSTITUTE(E184,",",""))+1</f>
        <v>4</v>
      </c>
      <c r="K184" s="3" t="str">
        <f aca="false">IFERROR(INDEX('Teacher Lookup'!$B$2:$B$200,MATCH(A184,'Teacher Lookup'!$A$2:$A$200,0)),"")</f>
        <v>LI Angela</v>
      </c>
    </row>
    <row r="185" customFormat="false" ht="15" hidden="false" customHeight="false" outlineLevel="0" collapsed="false">
      <c r="A185" s="3" t="s">
        <v>69</v>
      </c>
      <c r="B185" s="4" t="s">
        <v>44</v>
      </c>
      <c r="C185" s="4" t="n">
        <v>4</v>
      </c>
      <c r="D185" s="4" t="s">
        <v>79</v>
      </c>
      <c r="E185" s="3" t="s">
        <v>84</v>
      </c>
      <c r="F185" s="4" t="str">
        <f aca="false">IF(I185&gt;J185,"Y","N")</f>
        <v>N</v>
      </c>
      <c r="G185" s="3" t="s">
        <v>72</v>
      </c>
      <c r="H185" s="3" t="s">
        <v>34</v>
      </c>
      <c r="I185" s="4" t="n">
        <v>4</v>
      </c>
      <c r="J185" s="4" t="n">
        <f aca="false">LEN(E185)-LEN(SUBSTITUTE(E185,",",""))+1</f>
        <v>4</v>
      </c>
      <c r="K185" s="3" t="str">
        <f aca="false">IFERROR(INDEX('Teacher Lookup'!$B$2:$B$200,MATCH(A185,'Teacher Lookup'!$A$2:$A$200,0)),"")</f>
        <v>LI Angela</v>
      </c>
    </row>
    <row r="186" customFormat="false" ht="15" hidden="false" customHeight="false" outlineLevel="0" collapsed="false">
      <c r="A186" s="3" t="s">
        <v>69</v>
      </c>
      <c r="B186" s="4" t="s">
        <v>44</v>
      </c>
      <c r="C186" s="4" t="n">
        <v>5</v>
      </c>
      <c r="D186" s="4" t="s">
        <v>70</v>
      </c>
      <c r="E186" s="3" t="s">
        <v>81</v>
      </c>
      <c r="F186" s="4" t="str">
        <f aca="false">IF(I186&gt;J186,"Y","N")</f>
        <v>Y</v>
      </c>
      <c r="G186" s="3" t="s">
        <v>36</v>
      </c>
      <c r="H186" s="3" t="s">
        <v>37</v>
      </c>
      <c r="I186" s="4" t="n">
        <v>15</v>
      </c>
      <c r="J186" s="4" t="n">
        <f aca="false">LEN(E186)-LEN(SUBSTITUTE(E186,",",""))+1</f>
        <v>7</v>
      </c>
      <c r="K186" s="3" t="str">
        <f aca="false">IFERROR(INDEX('Teacher Lookup'!$B$2:$B$200,MATCH(A186,'Teacher Lookup'!$A$2:$A$200,0)),"")</f>
        <v>LI Angela</v>
      </c>
    </row>
    <row r="187" customFormat="false" ht="15" hidden="false" customHeight="false" outlineLevel="0" collapsed="false">
      <c r="A187" s="3" t="s">
        <v>69</v>
      </c>
      <c r="B187" s="4" t="s">
        <v>44</v>
      </c>
      <c r="C187" s="4" t="n">
        <v>5</v>
      </c>
      <c r="D187" s="4" t="s">
        <v>73</v>
      </c>
      <c r="E187" s="3" t="s">
        <v>81</v>
      </c>
      <c r="F187" s="4" t="str">
        <f aca="false">IF(I187&gt;J187,"Y","N")</f>
        <v>Y</v>
      </c>
      <c r="G187" s="3" t="s">
        <v>36</v>
      </c>
      <c r="H187" s="3" t="s">
        <v>37</v>
      </c>
      <c r="I187" s="4" t="n">
        <v>15</v>
      </c>
      <c r="J187" s="4" t="n">
        <f aca="false">LEN(E187)-LEN(SUBSTITUTE(E187,",",""))+1</f>
        <v>7</v>
      </c>
      <c r="K187" s="3" t="str">
        <f aca="false">IFERROR(INDEX('Teacher Lookup'!$B$2:$B$200,MATCH(A187,'Teacher Lookup'!$A$2:$A$200,0)),"")</f>
        <v>LI Angela</v>
      </c>
    </row>
    <row r="188" customFormat="false" ht="15" hidden="false" customHeight="false" outlineLevel="0" collapsed="false">
      <c r="A188" s="3" t="s">
        <v>69</v>
      </c>
      <c r="B188" s="4" t="s">
        <v>44</v>
      </c>
      <c r="C188" s="4" t="n">
        <v>5</v>
      </c>
      <c r="D188" s="4" t="s">
        <v>74</v>
      </c>
      <c r="E188" s="3" t="s">
        <v>81</v>
      </c>
      <c r="F188" s="4" t="str">
        <f aca="false">IF(I188&gt;J188,"Y","N")</f>
        <v>Y</v>
      </c>
      <c r="G188" s="3" t="s">
        <v>36</v>
      </c>
      <c r="H188" s="3" t="s">
        <v>37</v>
      </c>
      <c r="I188" s="4" t="n">
        <v>15</v>
      </c>
      <c r="J188" s="4" t="n">
        <f aca="false">LEN(E188)-LEN(SUBSTITUTE(E188,",",""))+1</f>
        <v>7</v>
      </c>
      <c r="K188" s="3" t="str">
        <f aca="false">IFERROR(INDEX('Teacher Lookup'!$B$2:$B$200,MATCH(A188,'Teacher Lookup'!$A$2:$A$200,0)),"")</f>
        <v>LI Angela</v>
      </c>
    </row>
    <row r="189" customFormat="false" ht="15" hidden="false" customHeight="false" outlineLevel="0" collapsed="false">
      <c r="A189" s="3" t="s">
        <v>69</v>
      </c>
      <c r="B189" s="4" t="s">
        <v>44</v>
      </c>
      <c r="C189" s="4" t="n">
        <v>5</v>
      </c>
      <c r="D189" s="4" t="s">
        <v>76</v>
      </c>
      <c r="E189" s="3" t="s">
        <v>81</v>
      </c>
      <c r="F189" s="4" t="str">
        <f aca="false">IF(I189&gt;J189,"Y","N")</f>
        <v>Y</v>
      </c>
      <c r="G189" s="3" t="s">
        <v>36</v>
      </c>
      <c r="H189" s="3" t="s">
        <v>37</v>
      </c>
      <c r="I189" s="4" t="n">
        <v>15</v>
      </c>
      <c r="J189" s="4" t="n">
        <f aca="false">LEN(E189)-LEN(SUBSTITUTE(E189,",",""))+1</f>
        <v>7</v>
      </c>
      <c r="K189" s="3" t="str">
        <f aca="false">IFERROR(INDEX('Teacher Lookup'!$B$2:$B$200,MATCH(A189,'Teacher Lookup'!$A$2:$A$200,0)),"")</f>
        <v>LI Angela</v>
      </c>
    </row>
    <row r="190" customFormat="false" ht="15" hidden="false" customHeight="false" outlineLevel="0" collapsed="false">
      <c r="A190" s="3" t="s">
        <v>69</v>
      </c>
      <c r="B190" s="4" t="s">
        <v>44</v>
      </c>
      <c r="C190" s="4" t="n">
        <v>5</v>
      </c>
      <c r="D190" s="4" t="s">
        <v>78</v>
      </c>
      <c r="E190" s="3" t="s">
        <v>81</v>
      </c>
      <c r="F190" s="4" t="str">
        <f aca="false">IF(I190&gt;J190,"Y","N")</f>
        <v>Y</v>
      </c>
      <c r="G190" s="3" t="s">
        <v>36</v>
      </c>
      <c r="H190" s="3" t="s">
        <v>37</v>
      </c>
      <c r="I190" s="4" t="n">
        <v>15</v>
      </c>
      <c r="J190" s="4" t="n">
        <f aca="false">LEN(E190)-LEN(SUBSTITUTE(E190,",",""))+1</f>
        <v>7</v>
      </c>
      <c r="K190" s="3" t="str">
        <f aca="false">IFERROR(INDEX('Teacher Lookup'!$B$2:$B$200,MATCH(A190,'Teacher Lookup'!$A$2:$A$200,0)),"")</f>
        <v>LI Angela</v>
      </c>
    </row>
    <row r="191" customFormat="false" ht="15" hidden="false" customHeight="false" outlineLevel="0" collapsed="false">
      <c r="A191" s="3" t="s">
        <v>69</v>
      </c>
      <c r="B191" s="4" t="s">
        <v>44</v>
      </c>
      <c r="C191" s="4" t="n">
        <v>5</v>
      </c>
      <c r="D191" s="4" t="s">
        <v>79</v>
      </c>
      <c r="E191" s="3" t="s">
        <v>81</v>
      </c>
      <c r="F191" s="4" t="str">
        <f aca="false">IF(I191&gt;J191,"Y","N")</f>
        <v>Y</v>
      </c>
      <c r="G191" s="3" t="s">
        <v>36</v>
      </c>
      <c r="H191" s="3" t="s">
        <v>37</v>
      </c>
      <c r="I191" s="4" t="n">
        <v>15</v>
      </c>
      <c r="J191" s="4" t="n">
        <f aca="false">LEN(E191)-LEN(SUBSTITUTE(E191,",",""))+1</f>
        <v>7</v>
      </c>
      <c r="K191" s="3" t="str">
        <f aca="false">IFERROR(INDEX('Teacher Lookup'!$B$2:$B$200,MATCH(A191,'Teacher Lookup'!$A$2:$A$200,0)),"")</f>
        <v>LI Angela</v>
      </c>
    </row>
    <row r="192" customFormat="false" ht="15" hidden="false" customHeight="false" outlineLevel="0" collapsed="false">
      <c r="A192" s="3" t="s">
        <v>69</v>
      </c>
      <c r="B192" s="4" t="s">
        <v>44</v>
      </c>
      <c r="C192" s="4" t="n">
        <v>7</v>
      </c>
      <c r="D192" s="4" t="s">
        <v>24</v>
      </c>
      <c r="E192" s="3" t="s">
        <v>82</v>
      </c>
      <c r="F192" s="4" t="str">
        <f aca="false">IF(I192&gt;J192,"Y","N")</f>
        <v>N</v>
      </c>
      <c r="G192" s="3" t="s">
        <v>72</v>
      </c>
      <c r="H192" s="3" t="s">
        <v>39</v>
      </c>
      <c r="I192" s="4" t="n">
        <v>3</v>
      </c>
      <c r="J192" s="4" t="n">
        <f aca="false">LEN(E192)-LEN(SUBSTITUTE(E192,",",""))+1</f>
        <v>3</v>
      </c>
      <c r="K192" s="3" t="str">
        <f aca="false">IFERROR(INDEX('Teacher Lookup'!$B$2:$B$200,MATCH(A192,'Teacher Lookup'!$A$2:$A$200,0)),"")</f>
        <v>LI Angela</v>
      </c>
    </row>
    <row r="193" customFormat="false" ht="15" hidden="false" customHeight="false" outlineLevel="0" collapsed="false">
      <c r="A193" s="3" t="s">
        <v>69</v>
      </c>
      <c r="B193" s="4" t="s">
        <v>44</v>
      </c>
      <c r="C193" s="4" t="n">
        <v>7</v>
      </c>
      <c r="D193" s="4" t="s">
        <v>27</v>
      </c>
      <c r="E193" s="3" t="s">
        <v>82</v>
      </c>
      <c r="F193" s="4" t="str">
        <f aca="false">IF(I193&gt;J193,"Y","N")</f>
        <v>N</v>
      </c>
      <c r="G193" s="3" t="s">
        <v>72</v>
      </c>
      <c r="H193" s="3" t="s">
        <v>39</v>
      </c>
      <c r="I193" s="4" t="n">
        <v>3</v>
      </c>
      <c r="J193" s="4" t="n">
        <f aca="false">LEN(E193)-LEN(SUBSTITUTE(E193,",",""))+1</f>
        <v>3</v>
      </c>
      <c r="K193" s="3" t="str">
        <f aca="false">IFERROR(INDEX('Teacher Lookup'!$B$2:$B$200,MATCH(A193,'Teacher Lookup'!$A$2:$A$200,0)),"")</f>
        <v>LI Angela</v>
      </c>
    </row>
    <row r="194" customFormat="false" ht="15" hidden="false" customHeight="false" outlineLevel="0" collapsed="false">
      <c r="A194" s="3" t="s">
        <v>69</v>
      </c>
      <c r="B194" s="4" t="s">
        <v>47</v>
      </c>
      <c r="C194" s="4" t="n">
        <v>2</v>
      </c>
      <c r="D194" s="4" t="s">
        <v>24</v>
      </c>
      <c r="E194" s="3" t="s">
        <v>86</v>
      </c>
      <c r="F194" s="4" t="str">
        <f aca="false">IF(I194&gt;J194,"Y","N")</f>
        <v>N</v>
      </c>
      <c r="G194" s="3" t="s">
        <v>72</v>
      </c>
      <c r="H194" s="3" t="s">
        <v>21</v>
      </c>
      <c r="I194" s="4" t="n">
        <v>3</v>
      </c>
      <c r="J194" s="4" t="n">
        <f aca="false">LEN(E194)-LEN(SUBSTITUTE(E194,",",""))+1</f>
        <v>3</v>
      </c>
      <c r="K194" s="3" t="str">
        <f aca="false">IFERROR(INDEX('Teacher Lookup'!$B$2:$B$200,MATCH(A194,'Teacher Lookup'!$A$2:$A$200,0)),"")</f>
        <v>LI Angela</v>
      </c>
    </row>
    <row r="195" customFormat="false" ht="15" hidden="false" customHeight="false" outlineLevel="0" collapsed="false">
      <c r="A195" s="3" t="s">
        <v>69</v>
      </c>
      <c r="B195" s="4" t="s">
        <v>47</v>
      </c>
      <c r="C195" s="4" t="n">
        <v>2</v>
      </c>
      <c r="D195" s="4" t="s">
        <v>27</v>
      </c>
      <c r="E195" s="3" t="s">
        <v>86</v>
      </c>
      <c r="F195" s="4" t="str">
        <f aca="false">IF(I195&gt;J195,"Y","N")</f>
        <v>N</v>
      </c>
      <c r="G195" s="3" t="s">
        <v>72</v>
      </c>
      <c r="H195" s="3" t="s">
        <v>21</v>
      </c>
      <c r="I195" s="4" t="n">
        <v>3</v>
      </c>
      <c r="J195" s="4" t="n">
        <f aca="false">LEN(E195)-LEN(SUBSTITUTE(E195,",",""))+1</f>
        <v>3</v>
      </c>
      <c r="K195" s="3" t="str">
        <f aca="false">IFERROR(INDEX('Teacher Lookup'!$B$2:$B$200,MATCH(A195,'Teacher Lookup'!$A$2:$A$200,0)),"")</f>
        <v>LI Angela</v>
      </c>
    </row>
    <row r="196" customFormat="false" ht="15" hidden="false" customHeight="false" outlineLevel="0" collapsed="false">
      <c r="A196" s="3" t="s">
        <v>69</v>
      </c>
      <c r="B196" s="4" t="s">
        <v>47</v>
      </c>
      <c r="C196" s="4" t="n">
        <v>4</v>
      </c>
      <c r="D196" s="4" t="s">
        <v>76</v>
      </c>
      <c r="E196" s="3" t="s">
        <v>87</v>
      </c>
      <c r="F196" s="4" t="str">
        <f aca="false">IF(I196&gt;J196,"Y","N")</f>
        <v>N</v>
      </c>
      <c r="G196" s="3" t="s">
        <v>72</v>
      </c>
      <c r="H196" s="3" t="s">
        <v>34</v>
      </c>
      <c r="I196" s="4" t="n">
        <v>4</v>
      </c>
      <c r="J196" s="4" t="n">
        <f aca="false">LEN(E196)-LEN(SUBSTITUTE(E196,",",""))+1</f>
        <v>4</v>
      </c>
      <c r="K196" s="3" t="str">
        <f aca="false">IFERROR(INDEX('Teacher Lookup'!$B$2:$B$200,MATCH(A196,'Teacher Lookup'!$A$2:$A$200,0)),"")</f>
        <v>LI Angela</v>
      </c>
    </row>
    <row r="197" customFormat="false" ht="15" hidden="false" customHeight="false" outlineLevel="0" collapsed="false">
      <c r="A197" s="3" t="s">
        <v>69</v>
      </c>
      <c r="B197" s="4" t="s">
        <v>47</v>
      </c>
      <c r="C197" s="4" t="n">
        <v>4</v>
      </c>
      <c r="D197" s="4" t="s">
        <v>78</v>
      </c>
      <c r="E197" s="3" t="s">
        <v>87</v>
      </c>
      <c r="F197" s="4" t="str">
        <f aca="false">IF(I197&gt;J197,"Y","N")</f>
        <v>N</v>
      </c>
      <c r="G197" s="3" t="s">
        <v>72</v>
      </c>
      <c r="H197" s="3" t="s">
        <v>34</v>
      </c>
      <c r="I197" s="4" t="n">
        <v>4</v>
      </c>
      <c r="J197" s="4" t="n">
        <f aca="false">LEN(E197)-LEN(SUBSTITUTE(E197,",",""))+1</f>
        <v>4</v>
      </c>
      <c r="K197" s="3" t="str">
        <f aca="false">IFERROR(INDEX('Teacher Lookup'!$B$2:$B$200,MATCH(A197,'Teacher Lookup'!$A$2:$A$200,0)),"")</f>
        <v>LI Angela</v>
      </c>
    </row>
    <row r="198" customFormat="false" ht="15" hidden="false" customHeight="false" outlineLevel="0" collapsed="false">
      <c r="A198" s="3" t="s">
        <v>69</v>
      </c>
      <c r="B198" s="4" t="s">
        <v>47</v>
      </c>
      <c r="C198" s="4" t="n">
        <v>4</v>
      </c>
      <c r="D198" s="4" t="s">
        <v>79</v>
      </c>
      <c r="E198" s="3" t="s">
        <v>87</v>
      </c>
      <c r="F198" s="4" t="str">
        <f aca="false">IF(I198&gt;J198,"Y","N")</f>
        <v>N</v>
      </c>
      <c r="G198" s="3" t="s">
        <v>72</v>
      </c>
      <c r="H198" s="3" t="s">
        <v>34</v>
      </c>
      <c r="I198" s="4" t="n">
        <v>4</v>
      </c>
      <c r="J198" s="4" t="n">
        <f aca="false">LEN(E198)-LEN(SUBSTITUTE(E198,",",""))+1</f>
        <v>4</v>
      </c>
      <c r="K198" s="3" t="str">
        <f aca="false">IFERROR(INDEX('Teacher Lookup'!$B$2:$B$200,MATCH(A198,'Teacher Lookup'!$A$2:$A$200,0)),"")</f>
        <v>LI Angela</v>
      </c>
    </row>
    <row r="199" customFormat="false" ht="15" hidden="false" customHeight="false" outlineLevel="0" collapsed="false">
      <c r="A199" s="3" t="s">
        <v>69</v>
      </c>
      <c r="B199" s="4" t="s">
        <v>47</v>
      </c>
      <c r="C199" s="4" t="n">
        <v>5</v>
      </c>
      <c r="D199" s="4" t="s">
        <v>70</v>
      </c>
      <c r="E199" s="3" t="s">
        <v>83</v>
      </c>
      <c r="F199" s="4" t="str">
        <f aca="false">IF(I199&gt;J199,"Y","N")</f>
        <v>N</v>
      </c>
      <c r="G199" s="3" t="s">
        <v>72</v>
      </c>
      <c r="H199" s="3" t="s">
        <v>37</v>
      </c>
      <c r="I199" s="4" t="n">
        <v>4</v>
      </c>
      <c r="J199" s="4" t="n">
        <f aca="false">LEN(E199)-LEN(SUBSTITUTE(E199,",",""))+1</f>
        <v>4</v>
      </c>
      <c r="K199" s="3" t="str">
        <f aca="false">IFERROR(INDEX('Teacher Lookup'!$B$2:$B$200,MATCH(A199,'Teacher Lookup'!$A$2:$A$200,0)),"")</f>
        <v>LI Angela</v>
      </c>
    </row>
    <row r="200" customFormat="false" ht="15" hidden="false" customHeight="false" outlineLevel="0" collapsed="false">
      <c r="A200" s="3" t="s">
        <v>69</v>
      </c>
      <c r="B200" s="4" t="s">
        <v>47</v>
      </c>
      <c r="C200" s="4" t="n">
        <v>5</v>
      </c>
      <c r="D200" s="4" t="s">
        <v>73</v>
      </c>
      <c r="E200" s="3" t="s">
        <v>83</v>
      </c>
      <c r="F200" s="4" t="str">
        <f aca="false">IF(I200&gt;J200,"Y","N")</f>
        <v>N</v>
      </c>
      <c r="G200" s="3" t="s">
        <v>72</v>
      </c>
      <c r="H200" s="3" t="s">
        <v>37</v>
      </c>
      <c r="I200" s="4" t="n">
        <v>4</v>
      </c>
      <c r="J200" s="4" t="n">
        <f aca="false">LEN(E200)-LEN(SUBSTITUTE(E200,",",""))+1</f>
        <v>4</v>
      </c>
      <c r="K200" s="3" t="str">
        <f aca="false">IFERROR(INDEX('Teacher Lookup'!$B$2:$B$200,MATCH(A200,'Teacher Lookup'!$A$2:$A$200,0)),"")</f>
        <v>LI Angela</v>
      </c>
    </row>
    <row r="201" customFormat="false" ht="15" hidden="false" customHeight="false" outlineLevel="0" collapsed="false">
      <c r="A201" s="3" t="s">
        <v>69</v>
      </c>
      <c r="B201" s="4" t="s">
        <v>47</v>
      </c>
      <c r="C201" s="4" t="n">
        <v>5</v>
      </c>
      <c r="D201" s="4" t="s">
        <v>74</v>
      </c>
      <c r="E201" s="3" t="s">
        <v>83</v>
      </c>
      <c r="F201" s="4" t="str">
        <f aca="false">IF(I201&gt;J201,"Y","N")</f>
        <v>N</v>
      </c>
      <c r="G201" s="3" t="s">
        <v>72</v>
      </c>
      <c r="H201" s="3" t="s">
        <v>37</v>
      </c>
      <c r="I201" s="4" t="n">
        <v>4</v>
      </c>
      <c r="J201" s="4" t="n">
        <f aca="false">LEN(E201)-LEN(SUBSTITUTE(E201,",",""))+1</f>
        <v>4</v>
      </c>
      <c r="K201" s="3" t="str">
        <f aca="false">IFERROR(INDEX('Teacher Lookup'!$B$2:$B$200,MATCH(A201,'Teacher Lookup'!$A$2:$A$200,0)),"")</f>
        <v>LI Angela</v>
      </c>
    </row>
    <row r="202" customFormat="false" ht="15" hidden="false" customHeight="false" outlineLevel="0" collapsed="false">
      <c r="A202" s="3" t="s">
        <v>69</v>
      </c>
      <c r="B202" s="4" t="s">
        <v>50</v>
      </c>
      <c r="C202" s="4" t="n">
        <v>1</v>
      </c>
      <c r="D202" s="4" t="s">
        <v>76</v>
      </c>
      <c r="E202" s="3" t="s">
        <v>88</v>
      </c>
      <c r="F202" s="4" t="str">
        <f aca="false">IF(I202&gt;J202,"Y","N")</f>
        <v>N</v>
      </c>
      <c r="G202" s="3" t="s">
        <v>72</v>
      </c>
      <c r="H202" s="3" t="s">
        <v>16</v>
      </c>
      <c r="I202" s="4" t="n">
        <v>4</v>
      </c>
      <c r="J202" s="4" t="n">
        <f aca="false">LEN(E202)-LEN(SUBSTITUTE(E202,",",""))+1</f>
        <v>4</v>
      </c>
      <c r="K202" s="3" t="str">
        <f aca="false">IFERROR(INDEX('Teacher Lookup'!$B$2:$B$200,MATCH(A202,'Teacher Lookup'!$A$2:$A$200,0)),"")</f>
        <v>LI Angela</v>
      </c>
    </row>
    <row r="203" customFormat="false" ht="15" hidden="false" customHeight="false" outlineLevel="0" collapsed="false">
      <c r="A203" s="3" t="s">
        <v>69</v>
      </c>
      <c r="B203" s="4" t="s">
        <v>50</v>
      </c>
      <c r="C203" s="4" t="n">
        <v>1</v>
      </c>
      <c r="D203" s="4" t="s">
        <v>78</v>
      </c>
      <c r="E203" s="3" t="s">
        <v>88</v>
      </c>
      <c r="F203" s="4" t="str">
        <f aca="false">IF(I203&gt;J203,"Y","N")</f>
        <v>N</v>
      </c>
      <c r="G203" s="3" t="s">
        <v>72</v>
      </c>
      <c r="H203" s="3" t="s">
        <v>16</v>
      </c>
      <c r="I203" s="4" t="n">
        <v>4</v>
      </c>
      <c r="J203" s="4" t="n">
        <f aca="false">LEN(E203)-LEN(SUBSTITUTE(E203,",",""))+1</f>
        <v>4</v>
      </c>
      <c r="K203" s="3" t="str">
        <f aca="false">IFERROR(INDEX('Teacher Lookup'!$B$2:$B$200,MATCH(A203,'Teacher Lookup'!$A$2:$A$200,0)),"")</f>
        <v>LI Angela</v>
      </c>
    </row>
    <row r="204" customFormat="false" ht="15" hidden="false" customHeight="false" outlineLevel="0" collapsed="false">
      <c r="A204" s="3" t="s">
        <v>69</v>
      </c>
      <c r="B204" s="4" t="s">
        <v>50</v>
      </c>
      <c r="C204" s="4" t="n">
        <v>1</v>
      </c>
      <c r="D204" s="4" t="s">
        <v>79</v>
      </c>
      <c r="E204" s="3" t="s">
        <v>88</v>
      </c>
      <c r="F204" s="4" t="str">
        <f aca="false">IF(I204&gt;J204,"Y","N")</f>
        <v>N</v>
      </c>
      <c r="G204" s="3" t="s">
        <v>72</v>
      </c>
      <c r="H204" s="3" t="s">
        <v>16</v>
      </c>
      <c r="I204" s="4" t="n">
        <v>4</v>
      </c>
      <c r="J204" s="4" t="n">
        <f aca="false">LEN(E204)-LEN(SUBSTITUTE(E204,",",""))+1</f>
        <v>4</v>
      </c>
      <c r="K204" s="3" t="str">
        <f aca="false">IFERROR(INDEX('Teacher Lookup'!$B$2:$B$200,MATCH(A204,'Teacher Lookup'!$A$2:$A$200,0)),"")</f>
        <v>LI Angela</v>
      </c>
    </row>
    <row r="205" customFormat="false" ht="15" hidden="false" customHeight="false" outlineLevel="0" collapsed="false">
      <c r="A205" s="3" t="s">
        <v>69</v>
      </c>
      <c r="B205" s="4" t="s">
        <v>50</v>
      </c>
      <c r="C205" s="4" t="n">
        <v>4</v>
      </c>
      <c r="D205" s="4" t="s">
        <v>70</v>
      </c>
      <c r="E205" s="3" t="s">
        <v>71</v>
      </c>
      <c r="F205" s="4" t="str">
        <f aca="false">IF(I205&gt;J205,"Y","N")</f>
        <v>N</v>
      </c>
      <c r="G205" s="3" t="s">
        <v>72</v>
      </c>
      <c r="H205" s="3" t="s">
        <v>34</v>
      </c>
      <c r="I205" s="4" t="n">
        <v>4</v>
      </c>
      <c r="J205" s="4" t="n">
        <f aca="false">LEN(E205)-LEN(SUBSTITUTE(E205,",",""))+1</f>
        <v>4</v>
      </c>
      <c r="K205" s="3" t="str">
        <f aca="false">IFERROR(INDEX('Teacher Lookup'!$B$2:$B$200,MATCH(A205,'Teacher Lookup'!$A$2:$A$200,0)),"")</f>
        <v>LI Angela</v>
      </c>
    </row>
    <row r="206" customFormat="false" ht="15" hidden="false" customHeight="false" outlineLevel="0" collapsed="false">
      <c r="A206" s="3" t="s">
        <v>69</v>
      </c>
      <c r="B206" s="4" t="s">
        <v>50</v>
      </c>
      <c r="C206" s="4" t="n">
        <v>4</v>
      </c>
      <c r="D206" s="4" t="s">
        <v>73</v>
      </c>
      <c r="E206" s="3" t="s">
        <v>71</v>
      </c>
      <c r="F206" s="4" t="str">
        <f aca="false">IF(I206&gt;J206,"Y","N")</f>
        <v>N</v>
      </c>
      <c r="G206" s="3" t="s">
        <v>72</v>
      </c>
      <c r="H206" s="3" t="s">
        <v>34</v>
      </c>
      <c r="I206" s="4" t="n">
        <v>4</v>
      </c>
      <c r="J206" s="4" t="n">
        <f aca="false">LEN(E206)-LEN(SUBSTITUTE(E206,",",""))+1</f>
        <v>4</v>
      </c>
      <c r="K206" s="3" t="str">
        <f aca="false">IFERROR(INDEX('Teacher Lookup'!$B$2:$B$200,MATCH(A206,'Teacher Lookup'!$A$2:$A$200,0)),"")</f>
        <v>LI Angela</v>
      </c>
    </row>
    <row r="207" customFormat="false" ht="15" hidden="false" customHeight="false" outlineLevel="0" collapsed="false">
      <c r="A207" s="3" t="s">
        <v>69</v>
      </c>
      <c r="B207" s="4" t="s">
        <v>50</v>
      </c>
      <c r="C207" s="4" t="n">
        <v>4</v>
      </c>
      <c r="D207" s="4" t="s">
        <v>74</v>
      </c>
      <c r="E207" s="3" t="s">
        <v>71</v>
      </c>
      <c r="F207" s="4" t="str">
        <f aca="false">IF(I207&gt;J207,"Y","N")</f>
        <v>N</v>
      </c>
      <c r="G207" s="3" t="s">
        <v>72</v>
      </c>
      <c r="H207" s="3" t="s">
        <v>34</v>
      </c>
      <c r="I207" s="4" t="n">
        <v>4</v>
      </c>
      <c r="J207" s="4" t="n">
        <f aca="false">LEN(E207)-LEN(SUBSTITUTE(E207,",",""))+1</f>
        <v>4</v>
      </c>
      <c r="K207" s="3" t="str">
        <f aca="false">IFERROR(INDEX('Teacher Lookup'!$B$2:$B$200,MATCH(A207,'Teacher Lookup'!$A$2:$A$200,0)),"")</f>
        <v>LI Angela</v>
      </c>
    </row>
    <row r="208" customFormat="false" ht="15" hidden="false" customHeight="false" outlineLevel="0" collapsed="false">
      <c r="A208" s="3" t="s">
        <v>69</v>
      </c>
      <c r="B208" s="4" t="s">
        <v>50</v>
      </c>
      <c r="C208" s="4" t="n">
        <v>6</v>
      </c>
      <c r="D208" s="4" t="s">
        <v>24</v>
      </c>
      <c r="E208" s="3" t="s">
        <v>89</v>
      </c>
      <c r="F208" s="4" t="str">
        <f aca="false">IF(I208&gt;J208,"Y","N")</f>
        <v>N</v>
      </c>
      <c r="G208" s="3" t="s">
        <v>72</v>
      </c>
      <c r="H208" s="3" t="s">
        <v>42</v>
      </c>
      <c r="I208" s="4" t="n">
        <v>3</v>
      </c>
      <c r="J208" s="4" t="n">
        <f aca="false">LEN(E208)-LEN(SUBSTITUTE(E208,",",""))+1</f>
        <v>3</v>
      </c>
      <c r="K208" s="3" t="str">
        <f aca="false">IFERROR(INDEX('Teacher Lookup'!$B$2:$B$200,MATCH(A208,'Teacher Lookup'!$A$2:$A$200,0)),"")</f>
        <v>LI Angela</v>
      </c>
    </row>
    <row r="209" customFormat="false" ht="15" hidden="false" customHeight="false" outlineLevel="0" collapsed="false">
      <c r="A209" s="3" t="s">
        <v>69</v>
      </c>
      <c r="B209" s="4" t="s">
        <v>50</v>
      </c>
      <c r="C209" s="4" t="n">
        <v>6</v>
      </c>
      <c r="D209" s="4" t="s">
        <v>27</v>
      </c>
      <c r="E209" s="3" t="s">
        <v>89</v>
      </c>
      <c r="F209" s="4" t="str">
        <f aca="false">IF(I209&gt;J209,"Y","N")</f>
        <v>N</v>
      </c>
      <c r="G209" s="3" t="s">
        <v>72</v>
      </c>
      <c r="H209" s="3" t="s">
        <v>42</v>
      </c>
      <c r="I209" s="4" t="n">
        <v>3</v>
      </c>
      <c r="J209" s="4" t="n">
        <f aca="false">LEN(E209)-LEN(SUBSTITUTE(E209,",",""))+1</f>
        <v>3</v>
      </c>
      <c r="K209" s="3" t="str">
        <f aca="false">IFERROR(INDEX('Teacher Lookup'!$B$2:$B$200,MATCH(A209,'Teacher Lookup'!$A$2:$A$200,0)),"")</f>
        <v>LI Angela</v>
      </c>
    </row>
    <row r="210" customFormat="false" ht="15" hidden="false" customHeight="false" outlineLevel="0" collapsed="false">
      <c r="A210" s="3" t="s">
        <v>69</v>
      </c>
      <c r="B210" s="4" t="s">
        <v>60</v>
      </c>
      <c r="C210" s="4" t="n">
        <v>1</v>
      </c>
      <c r="D210" s="4" t="s">
        <v>76</v>
      </c>
      <c r="E210" s="3" t="s">
        <v>90</v>
      </c>
      <c r="F210" s="4" t="str">
        <f aca="false">IF(I210&gt;J210,"Y","N")</f>
        <v>N</v>
      </c>
      <c r="G210" s="3" t="s">
        <v>72</v>
      </c>
      <c r="H210" s="3" t="s">
        <v>16</v>
      </c>
      <c r="I210" s="4" t="n">
        <v>4</v>
      </c>
      <c r="J210" s="4" t="n">
        <f aca="false">LEN(E210)-LEN(SUBSTITUTE(E210,",",""))+1</f>
        <v>4</v>
      </c>
      <c r="K210" s="3" t="str">
        <f aca="false">IFERROR(INDEX('Teacher Lookup'!$B$2:$B$200,MATCH(A210,'Teacher Lookup'!$A$2:$A$200,0)),"")</f>
        <v>LI Angela</v>
      </c>
    </row>
    <row r="211" customFormat="false" ht="15" hidden="false" customHeight="false" outlineLevel="0" collapsed="false">
      <c r="A211" s="3" t="s">
        <v>69</v>
      </c>
      <c r="B211" s="4" t="s">
        <v>60</v>
      </c>
      <c r="C211" s="4" t="n">
        <v>1</v>
      </c>
      <c r="D211" s="4" t="s">
        <v>78</v>
      </c>
      <c r="E211" s="3" t="s">
        <v>90</v>
      </c>
      <c r="F211" s="4" t="str">
        <f aca="false">IF(I211&gt;J211,"Y","N")</f>
        <v>N</v>
      </c>
      <c r="G211" s="3" t="s">
        <v>72</v>
      </c>
      <c r="H211" s="3" t="s">
        <v>16</v>
      </c>
      <c r="I211" s="4" t="n">
        <v>4</v>
      </c>
      <c r="J211" s="4" t="n">
        <f aca="false">LEN(E211)-LEN(SUBSTITUTE(E211,",",""))+1</f>
        <v>4</v>
      </c>
      <c r="K211" s="3" t="str">
        <f aca="false">IFERROR(INDEX('Teacher Lookup'!$B$2:$B$200,MATCH(A211,'Teacher Lookup'!$A$2:$A$200,0)),"")</f>
        <v>LI Angela</v>
      </c>
    </row>
    <row r="212" customFormat="false" ht="15" hidden="false" customHeight="false" outlineLevel="0" collapsed="false">
      <c r="A212" s="3" t="s">
        <v>69</v>
      </c>
      <c r="B212" s="4" t="s">
        <v>60</v>
      </c>
      <c r="C212" s="4" t="n">
        <v>1</v>
      </c>
      <c r="D212" s="4" t="s">
        <v>79</v>
      </c>
      <c r="E212" s="3" t="s">
        <v>90</v>
      </c>
      <c r="F212" s="4" t="str">
        <f aca="false">IF(I212&gt;J212,"Y","N")</f>
        <v>N</v>
      </c>
      <c r="G212" s="3" t="s">
        <v>72</v>
      </c>
      <c r="H212" s="3" t="s">
        <v>16</v>
      </c>
      <c r="I212" s="4" t="n">
        <v>4</v>
      </c>
      <c r="J212" s="4" t="n">
        <f aca="false">LEN(E212)-LEN(SUBSTITUTE(E212,",",""))+1</f>
        <v>4</v>
      </c>
      <c r="K212" s="3" t="str">
        <f aca="false">IFERROR(INDEX('Teacher Lookup'!$B$2:$B$200,MATCH(A212,'Teacher Lookup'!$A$2:$A$200,0)),"")</f>
        <v>LI Angela</v>
      </c>
    </row>
    <row r="213" customFormat="false" ht="15" hidden="false" customHeight="false" outlineLevel="0" collapsed="false">
      <c r="A213" s="3" t="s">
        <v>69</v>
      </c>
      <c r="B213" s="4" t="s">
        <v>60</v>
      </c>
      <c r="C213" s="4" t="n">
        <v>2</v>
      </c>
      <c r="D213" s="4" t="s">
        <v>70</v>
      </c>
      <c r="E213" s="3" t="s">
        <v>91</v>
      </c>
      <c r="F213" s="4" t="str">
        <f aca="false">IF(I213&gt;J213,"Y","N")</f>
        <v>N</v>
      </c>
      <c r="G213" s="3" t="s">
        <v>72</v>
      </c>
      <c r="H213" s="3" t="s">
        <v>21</v>
      </c>
      <c r="I213" s="4" t="n">
        <v>4</v>
      </c>
      <c r="J213" s="4" t="n">
        <f aca="false">LEN(E213)-LEN(SUBSTITUTE(E213,",",""))+1</f>
        <v>4</v>
      </c>
      <c r="K213" s="3" t="str">
        <f aca="false">IFERROR(INDEX('Teacher Lookup'!$B$2:$B$200,MATCH(A213,'Teacher Lookup'!$A$2:$A$200,0)),"")</f>
        <v>LI Angela</v>
      </c>
    </row>
    <row r="214" customFormat="false" ht="15" hidden="false" customHeight="false" outlineLevel="0" collapsed="false">
      <c r="A214" s="3" t="s">
        <v>69</v>
      </c>
      <c r="B214" s="4" t="s">
        <v>60</v>
      </c>
      <c r="C214" s="4" t="n">
        <v>2</v>
      </c>
      <c r="D214" s="4" t="s">
        <v>73</v>
      </c>
      <c r="E214" s="3" t="s">
        <v>91</v>
      </c>
      <c r="F214" s="4" t="str">
        <f aca="false">IF(I214&gt;J214,"Y","N")</f>
        <v>N</v>
      </c>
      <c r="G214" s="3" t="s">
        <v>72</v>
      </c>
      <c r="H214" s="3" t="s">
        <v>21</v>
      </c>
      <c r="I214" s="4" t="n">
        <v>4</v>
      </c>
      <c r="J214" s="4" t="n">
        <f aca="false">LEN(E214)-LEN(SUBSTITUTE(E214,",",""))+1</f>
        <v>4</v>
      </c>
      <c r="K214" s="3" t="str">
        <f aca="false">IFERROR(INDEX('Teacher Lookup'!$B$2:$B$200,MATCH(A214,'Teacher Lookup'!$A$2:$A$200,0)),"")</f>
        <v>LI Angela</v>
      </c>
    </row>
    <row r="215" customFormat="false" ht="15" hidden="false" customHeight="false" outlineLevel="0" collapsed="false">
      <c r="A215" s="3" t="s">
        <v>69</v>
      </c>
      <c r="B215" s="4" t="s">
        <v>60</v>
      </c>
      <c r="C215" s="4" t="n">
        <v>2</v>
      </c>
      <c r="D215" s="4" t="s">
        <v>74</v>
      </c>
      <c r="E215" s="3" t="s">
        <v>91</v>
      </c>
      <c r="F215" s="4" t="str">
        <f aca="false">IF(I215&gt;J215,"Y","N")</f>
        <v>N</v>
      </c>
      <c r="G215" s="3" t="s">
        <v>72</v>
      </c>
      <c r="H215" s="3" t="s">
        <v>21</v>
      </c>
      <c r="I215" s="4" t="n">
        <v>4</v>
      </c>
      <c r="J215" s="4" t="n">
        <f aca="false">LEN(E215)-LEN(SUBSTITUTE(E215,",",""))+1</f>
        <v>4</v>
      </c>
      <c r="K215" s="3" t="str">
        <f aca="false">IFERROR(INDEX('Teacher Lookup'!$B$2:$B$200,MATCH(A215,'Teacher Lookup'!$A$2:$A$200,0)),"")</f>
        <v>LI Angela</v>
      </c>
    </row>
    <row r="216" customFormat="false" ht="15" hidden="false" customHeight="false" outlineLevel="0" collapsed="false">
      <c r="A216" s="3" t="s">
        <v>69</v>
      </c>
      <c r="B216" s="4" t="s">
        <v>60</v>
      </c>
      <c r="C216" s="4" t="n">
        <v>4</v>
      </c>
      <c r="D216" s="4" t="s">
        <v>24</v>
      </c>
      <c r="E216" s="3" t="s">
        <v>92</v>
      </c>
      <c r="F216" s="4" t="str">
        <f aca="false">IF(I216&gt;J216,"Y","N")</f>
        <v>N</v>
      </c>
      <c r="G216" s="3" t="s">
        <v>72</v>
      </c>
      <c r="H216" s="3" t="s">
        <v>34</v>
      </c>
      <c r="I216" s="4" t="n">
        <v>3</v>
      </c>
      <c r="J216" s="4" t="n">
        <f aca="false">LEN(E216)-LEN(SUBSTITUTE(E216,",",""))+1</f>
        <v>3</v>
      </c>
      <c r="K216" s="3" t="str">
        <f aca="false">IFERROR(INDEX('Teacher Lookup'!$B$2:$B$200,MATCH(A216,'Teacher Lookup'!$A$2:$A$200,0)),"")</f>
        <v>LI Angela</v>
      </c>
    </row>
    <row r="217" customFormat="false" ht="15" hidden="false" customHeight="false" outlineLevel="0" collapsed="false">
      <c r="A217" s="3" t="s">
        <v>69</v>
      </c>
      <c r="B217" s="4" t="s">
        <v>60</v>
      </c>
      <c r="C217" s="4" t="n">
        <v>4</v>
      </c>
      <c r="D217" s="4" t="s">
        <v>27</v>
      </c>
      <c r="E217" s="3" t="s">
        <v>92</v>
      </c>
      <c r="F217" s="4" t="str">
        <f aca="false">IF(I217&gt;J217,"Y","N")</f>
        <v>N</v>
      </c>
      <c r="G217" s="3" t="s">
        <v>72</v>
      </c>
      <c r="H217" s="3" t="s">
        <v>34</v>
      </c>
      <c r="I217" s="4" t="n">
        <v>3</v>
      </c>
      <c r="J217" s="4" t="n">
        <f aca="false">LEN(E217)-LEN(SUBSTITUTE(E217,",",""))+1</f>
        <v>3</v>
      </c>
      <c r="K217" s="3" t="str">
        <f aca="false">IFERROR(INDEX('Teacher Lookup'!$B$2:$B$200,MATCH(A217,'Teacher Lookup'!$A$2:$A$200,0)),"")</f>
        <v>LI Angela</v>
      </c>
    </row>
    <row r="218" customFormat="false" ht="15" hidden="false" customHeight="false" outlineLevel="0" collapsed="false">
      <c r="A218" s="3" t="s">
        <v>69</v>
      </c>
      <c r="B218" s="4" t="s">
        <v>60</v>
      </c>
      <c r="C218" s="4" t="n">
        <v>5</v>
      </c>
      <c r="D218" s="4" t="s">
        <v>70</v>
      </c>
      <c r="E218" s="3" t="s">
        <v>81</v>
      </c>
      <c r="F218" s="4" t="str">
        <f aca="false">IF(I218&gt;J218,"Y","N")</f>
        <v>Y</v>
      </c>
      <c r="G218" s="3" t="s">
        <v>36</v>
      </c>
      <c r="H218" s="3" t="s">
        <v>37</v>
      </c>
      <c r="I218" s="4" t="n">
        <v>15</v>
      </c>
      <c r="J218" s="4" t="n">
        <f aca="false">LEN(E218)-LEN(SUBSTITUTE(E218,",",""))+1</f>
        <v>7</v>
      </c>
      <c r="K218" s="3" t="str">
        <f aca="false">IFERROR(INDEX('Teacher Lookup'!$B$2:$B$200,MATCH(A218,'Teacher Lookup'!$A$2:$A$200,0)),"")</f>
        <v>LI Angela</v>
      </c>
    </row>
    <row r="219" customFormat="false" ht="15" hidden="false" customHeight="false" outlineLevel="0" collapsed="false">
      <c r="A219" s="3" t="s">
        <v>69</v>
      </c>
      <c r="B219" s="4" t="s">
        <v>60</v>
      </c>
      <c r="C219" s="4" t="n">
        <v>5</v>
      </c>
      <c r="D219" s="4" t="s">
        <v>73</v>
      </c>
      <c r="E219" s="3" t="s">
        <v>81</v>
      </c>
      <c r="F219" s="4" t="str">
        <f aca="false">IF(I219&gt;J219,"Y","N")</f>
        <v>Y</v>
      </c>
      <c r="G219" s="3" t="s">
        <v>36</v>
      </c>
      <c r="H219" s="3" t="s">
        <v>37</v>
      </c>
      <c r="I219" s="4" t="n">
        <v>15</v>
      </c>
      <c r="J219" s="4" t="n">
        <f aca="false">LEN(E219)-LEN(SUBSTITUTE(E219,",",""))+1</f>
        <v>7</v>
      </c>
      <c r="K219" s="3" t="str">
        <f aca="false">IFERROR(INDEX('Teacher Lookup'!$B$2:$B$200,MATCH(A219,'Teacher Lookup'!$A$2:$A$200,0)),"")</f>
        <v>LI Angela</v>
      </c>
    </row>
    <row r="220" customFormat="false" ht="15" hidden="false" customHeight="false" outlineLevel="0" collapsed="false">
      <c r="A220" s="3" t="s">
        <v>69</v>
      </c>
      <c r="B220" s="4" t="s">
        <v>60</v>
      </c>
      <c r="C220" s="4" t="n">
        <v>5</v>
      </c>
      <c r="D220" s="4" t="s">
        <v>74</v>
      </c>
      <c r="E220" s="3" t="s">
        <v>81</v>
      </c>
      <c r="F220" s="4" t="str">
        <f aca="false">IF(I220&gt;J220,"Y","N")</f>
        <v>Y</v>
      </c>
      <c r="G220" s="3" t="s">
        <v>36</v>
      </c>
      <c r="H220" s="3" t="s">
        <v>37</v>
      </c>
      <c r="I220" s="4" t="n">
        <v>15</v>
      </c>
      <c r="J220" s="4" t="n">
        <f aca="false">LEN(E220)-LEN(SUBSTITUTE(E220,",",""))+1</f>
        <v>7</v>
      </c>
      <c r="K220" s="3" t="str">
        <f aca="false">IFERROR(INDEX('Teacher Lookup'!$B$2:$B$200,MATCH(A220,'Teacher Lookup'!$A$2:$A$200,0)),"")</f>
        <v>LI Angela</v>
      </c>
    </row>
    <row r="221" customFormat="false" ht="15" hidden="false" customHeight="false" outlineLevel="0" collapsed="false">
      <c r="A221" s="3" t="s">
        <v>69</v>
      </c>
      <c r="B221" s="4" t="s">
        <v>60</v>
      </c>
      <c r="C221" s="4" t="n">
        <v>5</v>
      </c>
      <c r="D221" s="4" t="s">
        <v>76</v>
      </c>
      <c r="E221" s="3" t="s">
        <v>81</v>
      </c>
      <c r="F221" s="4" t="str">
        <f aca="false">IF(I221&gt;J221,"Y","N")</f>
        <v>Y</v>
      </c>
      <c r="G221" s="3" t="s">
        <v>36</v>
      </c>
      <c r="H221" s="3" t="s">
        <v>37</v>
      </c>
      <c r="I221" s="4" t="n">
        <v>15</v>
      </c>
      <c r="J221" s="4" t="n">
        <f aca="false">LEN(E221)-LEN(SUBSTITUTE(E221,",",""))+1</f>
        <v>7</v>
      </c>
      <c r="K221" s="3" t="str">
        <f aca="false">IFERROR(INDEX('Teacher Lookup'!$B$2:$B$200,MATCH(A221,'Teacher Lookup'!$A$2:$A$200,0)),"")</f>
        <v>LI Angela</v>
      </c>
    </row>
    <row r="222" customFormat="false" ht="15" hidden="false" customHeight="false" outlineLevel="0" collapsed="false">
      <c r="A222" s="3" t="s">
        <v>69</v>
      </c>
      <c r="B222" s="4" t="s">
        <v>60</v>
      </c>
      <c r="C222" s="4" t="n">
        <v>5</v>
      </c>
      <c r="D222" s="4" t="s">
        <v>78</v>
      </c>
      <c r="E222" s="3" t="s">
        <v>81</v>
      </c>
      <c r="F222" s="4" t="str">
        <f aca="false">IF(I222&gt;J222,"Y","N")</f>
        <v>Y</v>
      </c>
      <c r="G222" s="3" t="s">
        <v>36</v>
      </c>
      <c r="H222" s="3" t="s">
        <v>37</v>
      </c>
      <c r="I222" s="4" t="n">
        <v>15</v>
      </c>
      <c r="J222" s="4" t="n">
        <f aca="false">LEN(E222)-LEN(SUBSTITUTE(E222,",",""))+1</f>
        <v>7</v>
      </c>
      <c r="K222" s="3" t="str">
        <f aca="false">IFERROR(INDEX('Teacher Lookup'!$B$2:$B$200,MATCH(A222,'Teacher Lookup'!$A$2:$A$200,0)),"")</f>
        <v>LI Angela</v>
      </c>
    </row>
    <row r="223" customFormat="false" ht="15" hidden="false" customHeight="false" outlineLevel="0" collapsed="false">
      <c r="A223" s="3" t="s">
        <v>69</v>
      </c>
      <c r="B223" s="4" t="s">
        <v>60</v>
      </c>
      <c r="C223" s="4" t="n">
        <v>5</v>
      </c>
      <c r="D223" s="4" t="s">
        <v>79</v>
      </c>
      <c r="E223" s="3" t="s">
        <v>81</v>
      </c>
      <c r="F223" s="4" t="str">
        <f aca="false">IF(I223&gt;J223,"Y","N")</f>
        <v>Y</v>
      </c>
      <c r="G223" s="3" t="s">
        <v>36</v>
      </c>
      <c r="H223" s="3" t="s">
        <v>37</v>
      </c>
      <c r="I223" s="4" t="n">
        <v>15</v>
      </c>
      <c r="J223" s="4" t="n">
        <f aca="false">LEN(E223)-LEN(SUBSTITUTE(E223,",",""))+1</f>
        <v>7</v>
      </c>
      <c r="K223" s="3" t="str">
        <f aca="false">IFERROR(INDEX('Teacher Lookup'!$B$2:$B$200,MATCH(A223,'Teacher Lookup'!$A$2:$A$200,0)),"")</f>
        <v>LI Angela</v>
      </c>
    </row>
    <row r="224" customFormat="false" ht="15" hidden="false" customHeight="false" outlineLevel="0" collapsed="false">
      <c r="A224" s="3" t="s">
        <v>69</v>
      </c>
      <c r="B224" s="4" t="s">
        <v>63</v>
      </c>
      <c r="C224" s="4" t="n">
        <v>3</v>
      </c>
      <c r="D224" s="4" t="s">
        <v>76</v>
      </c>
      <c r="E224" s="3" t="s">
        <v>93</v>
      </c>
      <c r="F224" s="4" t="str">
        <f aca="false">IF(I224&gt;J224,"Y","N")</f>
        <v>N</v>
      </c>
      <c r="G224" s="3" t="s">
        <v>72</v>
      </c>
      <c r="H224" s="3" t="s">
        <v>26</v>
      </c>
      <c r="I224" s="4" t="n">
        <v>4</v>
      </c>
      <c r="J224" s="4" t="n">
        <f aca="false">LEN(E224)-LEN(SUBSTITUTE(E224,",",""))+1</f>
        <v>4</v>
      </c>
      <c r="K224" s="3" t="str">
        <f aca="false">IFERROR(INDEX('Teacher Lookup'!$B$2:$B$200,MATCH(A224,'Teacher Lookup'!$A$2:$A$200,0)),"")</f>
        <v>LI Angela</v>
      </c>
    </row>
    <row r="225" customFormat="false" ht="15" hidden="false" customHeight="false" outlineLevel="0" collapsed="false">
      <c r="A225" s="3" t="s">
        <v>69</v>
      </c>
      <c r="B225" s="4" t="s">
        <v>63</v>
      </c>
      <c r="C225" s="4" t="n">
        <v>3</v>
      </c>
      <c r="D225" s="4" t="s">
        <v>78</v>
      </c>
      <c r="E225" s="3" t="s">
        <v>93</v>
      </c>
      <c r="F225" s="4" t="str">
        <f aca="false">IF(I225&gt;J225,"Y","N")</f>
        <v>N</v>
      </c>
      <c r="G225" s="3" t="s">
        <v>72</v>
      </c>
      <c r="H225" s="3" t="s">
        <v>26</v>
      </c>
      <c r="I225" s="4" t="n">
        <v>4</v>
      </c>
      <c r="J225" s="4" t="n">
        <f aca="false">LEN(E225)-LEN(SUBSTITUTE(E225,",",""))+1</f>
        <v>4</v>
      </c>
      <c r="K225" s="3" t="str">
        <f aca="false">IFERROR(INDEX('Teacher Lookup'!$B$2:$B$200,MATCH(A225,'Teacher Lookup'!$A$2:$A$200,0)),"")</f>
        <v>LI Angela</v>
      </c>
    </row>
    <row r="226" customFormat="false" ht="15" hidden="false" customHeight="false" outlineLevel="0" collapsed="false">
      <c r="A226" s="3" t="s">
        <v>69</v>
      </c>
      <c r="B226" s="4" t="s">
        <v>63</v>
      </c>
      <c r="C226" s="4" t="n">
        <v>3</v>
      </c>
      <c r="D226" s="4" t="s">
        <v>79</v>
      </c>
      <c r="E226" s="3" t="s">
        <v>93</v>
      </c>
      <c r="F226" s="4" t="str">
        <f aca="false">IF(I226&gt;J226,"Y","N")</f>
        <v>N</v>
      </c>
      <c r="G226" s="3" t="s">
        <v>72</v>
      </c>
      <c r="H226" s="3" t="s">
        <v>26</v>
      </c>
      <c r="I226" s="4" t="n">
        <v>4</v>
      </c>
      <c r="J226" s="4" t="n">
        <f aca="false">LEN(E226)-LEN(SUBSTITUTE(E226,",",""))+1</f>
        <v>4</v>
      </c>
      <c r="K226" s="3" t="str">
        <f aca="false">IFERROR(INDEX('Teacher Lookup'!$B$2:$B$200,MATCH(A226,'Teacher Lookup'!$A$2:$A$200,0)),"")</f>
        <v>LI Angela</v>
      </c>
    </row>
    <row r="227" customFormat="false" ht="15" hidden="false" customHeight="false" outlineLevel="0" collapsed="false">
      <c r="A227" s="3" t="s">
        <v>69</v>
      </c>
      <c r="B227" s="4" t="s">
        <v>63</v>
      </c>
      <c r="C227" s="4" t="n">
        <v>5</v>
      </c>
      <c r="D227" s="4" t="s">
        <v>24</v>
      </c>
      <c r="E227" s="3" t="s">
        <v>92</v>
      </c>
      <c r="F227" s="4" t="str">
        <f aca="false">IF(I227&gt;J227,"Y","N")</f>
        <v>N</v>
      </c>
      <c r="G227" s="3" t="s">
        <v>72</v>
      </c>
      <c r="H227" s="3" t="s">
        <v>37</v>
      </c>
      <c r="I227" s="4" t="n">
        <v>3</v>
      </c>
      <c r="J227" s="4" t="n">
        <f aca="false">LEN(E227)-LEN(SUBSTITUTE(E227,",",""))+1</f>
        <v>3</v>
      </c>
      <c r="K227" s="3" t="str">
        <f aca="false">IFERROR(INDEX('Teacher Lookup'!$B$2:$B$200,MATCH(A227,'Teacher Lookup'!$A$2:$A$200,0)),"")</f>
        <v>LI Angela</v>
      </c>
    </row>
    <row r="228" customFormat="false" ht="15" hidden="false" customHeight="false" outlineLevel="0" collapsed="false">
      <c r="A228" s="3" t="s">
        <v>69</v>
      </c>
      <c r="B228" s="4" t="s">
        <v>63</v>
      </c>
      <c r="C228" s="4" t="n">
        <v>5</v>
      </c>
      <c r="D228" s="4" t="s">
        <v>27</v>
      </c>
      <c r="E228" s="3" t="s">
        <v>92</v>
      </c>
      <c r="F228" s="4" t="str">
        <f aca="false">IF(I228&gt;J228,"Y","N")</f>
        <v>N</v>
      </c>
      <c r="G228" s="3" t="s">
        <v>72</v>
      </c>
      <c r="H228" s="3" t="s">
        <v>37</v>
      </c>
      <c r="I228" s="4" t="n">
        <v>3</v>
      </c>
      <c r="J228" s="4" t="n">
        <f aca="false">LEN(E228)-LEN(SUBSTITUTE(E228,",",""))+1</f>
        <v>3</v>
      </c>
      <c r="K228" s="3" t="str">
        <f aca="false">IFERROR(INDEX('Teacher Lookup'!$B$2:$B$200,MATCH(A228,'Teacher Lookup'!$A$2:$A$200,0)),"")</f>
        <v>LI Angela</v>
      </c>
    </row>
    <row r="229" customFormat="false" ht="15" hidden="false" customHeight="false" outlineLevel="0" collapsed="false">
      <c r="A229" s="3" t="s">
        <v>69</v>
      </c>
      <c r="B229" s="4" t="s">
        <v>63</v>
      </c>
      <c r="C229" s="4" t="n">
        <v>7</v>
      </c>
      <c r="D229" s="4" t="s">
        <v>70</v>
      </c>
      <c r="E229" s="3" t="s">
        <v>94</v>
      </c>
      <c r="F229" s="4" t="str">
        <f aca="false">IF(I229&gt;J229,"Y","N")</f>
        <v>N</v>
      </c>
      <c r="G229" s="3" t="s">
        <v>72</v>
      </c>
      <c r="H229" s="3" t="s">
        <v>39</v>
      </c>
      <c r="I229" s="4" t="n">
        <v>4</v>
      </c>
      <c r="J229" s="4" t="n">
        <f aca="false">LEN(E229)-LEN(SUBSTITUTE(E229,",",""))+1</f>
        <v>4</v>
      </c>
      <c r="K229" s="3" t="str">
        <f aca="false">IFERROR(INDEX('Teacher Lookup'!$B$2:$B$200,MATCH(A229,'Teacher Lookup'!$A$2:$A$200,0)),"")</f>
        <v>LI Angela</v>
      </c>
    </row>
    <row r="230" customFormat="false" ht="15" hidden="false" customHeight="false" outlineLevel="0" collapsed="false">
      <c r="A230" s="3" t="s">
        <v>69</v>
      </c>
      <c r="B230" s="4" t="s">
        <v>63</v>
      </c>
      <c r="C230" s="4" t="n">
        <v>7</v>
      </c>
      <c r="D230" s="4" t="s">
        <v>73</v>
      </c>
      <c r="E230" s="3" t="s">
        <v>94</v>
      </c>
      <c r="F230" s="4" t="str">
        <f aca="false">IF(I230&gt;J230,"Y","N")</f>
        <v>N</v>
      </c>
      <c r="G230" s="3" t="s">
        <v>72</v>
      </c>
      <c r="H230" s="3" t="s">
        <v>39</v>
      </c>
      <c r="I230" s="4" t="n">
        <v>4</v>
      </c>
      <c r="J230" s="4" t="n">
        <f aca="false">LEN(E230)-LEN(SUBSTITUTE(E230,",",""))+1</f>
        <v>4</v>
      </c>
      <c r="K230" s="3" t="str">
        <f aca="false">IFERROR(INDEX('Teacher Lookup'!$B$2:$B$200,MATCH(A230,'Teacher Lookup'!$A$2:$A$200,0)),"")</f>
        <v>LI Angela</v>
      </c>
    </row>
    <row r="231" customFormat="false" ht="15" hidden="false" customHeight="false" outlineLevel="0" collapsed="false">
      <c r="A231" s="3" t="s">
        <v>69</v>
      </c>
      <c r="B231" s="4" t="s">
        <v>63</v>
      </c>
      <c r="C231" s="4" t="n">
        <v>7</v>
      </c>
      <c r="D231" s="4" t="s">
        <v>74</v>
      </c>
      <c r="E231" s="3" t="s">
        <v>94</v>
      </c>
      <c r="F231" s="4" t="str">
        <f aca="false">IF(I231&gt;J231,"Y","N")</f>
        <v>N</v>
      </c>
      <c r="G231" s="3" t="s">
        <v>72</v>
      </c>
      <c r="H231" s="3" t="s">
        <v>39</v>
      </c>
      <c r="I231" s="4" t="n">
        <v>4</v>
      </c>
      <c r="J231" s="4" t="n">
        <f aca="false">LEN(E231)-LEN(SUBSTITUTE(E231,",",""))+1</f>
        <v>4</v>
      </c>
      <c r="K231" s="3" t="str">
        <f aca="false">IFERROR(INDEX('Teacher Lookup'!$B$2:$B$200,MATCH(A231,'Teacher Lookup'!$A$2:$A$200,0)),"")</f>
        <v>LI Angela</v>
      </c>
    </row>
    <row r="232" customFormat="false" ht="15" hidden="false" customHeight="false" outlineLevel="0" collapsed="false">
      <c r="A232" s="3" t="s">
        <v>69</v>
      </c>
      <c r="B232" s="4" t="s">
        <v>65</v>
      </c>
      <c r="C232" s="4" t="n">
        <v>2</v>
      </c>
      <c r="D232" s="4" t="s">
        <v>70</v>
      </c>
      <c r="E232" s="3" t="s">
        <v>83</v>
      </c>
      <c r="F232" s="4" t="str">
        <f aca="false">IF(I232&gt;J232,"Y","N")</f>
        <v>N</v>
      </c>
      <c r="G232" s="3" t="s">
        <v>72</v>
      </c>
      <c r="H232" s="3" t="s">
        <v>21</v>
      </c>
      <c r="I232" s="4" t="n">
        <v>4</v>
      </c>
      <c r="J232" s="4" t="n">
        <f aca="false">LEN(E232)-LEN(SUBSTITUTE(E232,",",""))+1</f>
        <v>4</v>
      </c>
      <c r="K232" s="3" t="str">
        <f aca="false">IFERROR(INDEX('Teacher Lookup'!$B$2:$B$200,MATCH(A232,'Teacher Lookup'!$A$2:$A$200,0)),"")</f>
        <v>LI Angela</v>
      </c>
    </row>
    <row r="233" customFormat="false" ht="15" hidden="false" customHeight="false" outlineLevel="0" collapsed="false">
      <c r="A233" s="3" t="s">
        <v>69</v>
      </c>
      <c r="B233" s="4" t="s">
        <v>65</v>
      </c>
      <c r="C233" s="4" t="n">
        <v>2</v>
      </c>
      <c r="D233" s="4" t="s">
        <v>73</v>
      </c>
      <c r="E233" s="3" t="s">
        <v>83</v>
      </c>
      <c r="F233" s="4" t="str">
        <f aca="false">IF(I233&gt;J233,"Y","N")</f>
        <v>N</v>
      </c>
      <c r="G233" s="3" t="s">
        <v>72</v>
      </c>
      <c r="H233" s="3" t="s">
        <v>21</v>
      </c>
      <c r="I233" s="4" t="n">
        <v>4</v>
      </c>
      <c r="J233" s="4" t="n">
        <f aca="false">LEN(E233)-LEN(SUBSTITUTE(E233,",",""))+1</f>
        <v>4</v>
      </c>
      <c r="K233" s="3" t="str">
        <f aca="false">IFERROR(INDEX('Teacher Lookup'!$B$2:$B$200,MATCH(A233,'Teacher Lookup'!$A$2:$A$200,0)),"")</f>
        <v>LI Angela</v>
      </c>
    </row>
    <row r="234" customFormat="false" ht="15" hidden="false" customHeight="false" outlineLevel="0" collapsed="false">
      <c r="A234" s="3" t="s">
        <v>69</v>
      </c>
      <c r="B234" s="4" t="s">
        <v>65</v>
      </c>
      <c r="C234" s="4" t="n">
        <v>2</v>
      </c>
      <c r="D234" s="4" t="s">
        <v>74</v>
      </c>
      <c r="E234" s="3" t="s">
        <v>83</v>
      </c>
      <c r="F234" s="4" t="str">
        <f aca="false">IF(I234&gt;J234,"Y","N")</f>
        <v>N</v>
      </c>
      <c r="G234" s="3" t="s">
        <v>72</v>
      </c>
      <c r="H234" s="3" t="s">
        <v>21</v>
      </c>
      <c r="I234" s="4" t="n">
        <v>4</v>
      </c>
      <c r="J234" s="4" t="n">
        <f aca="false">LEN(E234)-LEN(SUBSTITUTE(E234,",",""))+1</f>
        <v>4</v>
      </c>
      <c r="K234" s="3" t="str">
        <f aca="false">IFERROR(INDEX('Teacher Lookup'!$B$2:$B$200,MATCH(A234,'Teacher Lookup'!$A$2:$A$200,0)),"")</f>
        <v>LI Angela</v>
      </c>
    </row>
    <row r="235" customFormat="false" ht="15" hidden="false" customHeight="false" outlineLevel="0" collapsed="false">
      <c r="A235" s="3" t="s">
        <v>69</v>
      </c>
      <c r="B235" s="4" t="s">
        <v>65</v>
      </c>
      <c r="C235" s="4" t="n">
        <v>3</v>
      </c>
      <c r="D235" s="4" t="s">
        <v>24</v>
      </c>
      <c r="E235" s="3" t="s">
        <v>95</v>
      </c>
      <c r="F235" s="4" t="str">
        <f aca="false">IF(I235&gt;J235,"Y","N")</f>
        <v>N</v>
      </c>
      <c r="G235" s="3" t="s">
        <v>72</v>
      </c>
      <c r="H235" s="3" t="s">
        <v>26</v>
      </c>
      <c r="I235" s="4" t="n">
        <v>3</v>
      </c>
      <c r="J235" s="4" t="n">
        <f aca="false">LEN(E235)-LEN(SUBSTITUTE(E235,",",""))+1</f>
        <v>3</v>
      </c>
      <c r="K235" s="3" t="str">
        <f aca="false">IFERROR(INDEX('Teacher Lookup'!$B$2:$B$200,MATCH(A235,'Teacher Lookup'!$A$2:$A$200,0)),"")</f>
        <v>LI Angela</v>
      </c>
    </row>
    <row r="236" customFormat="false" ht="15" hidden="false" customHeight="false" outlineLevel="0" collapsed="false">
      <c r="A236" s="3" t="s">
        <v>69</v>
      </c>
      <c r="B236" s="4" t="s">
        <v>65</v>
      </c>
      <c r="C236" s="4" t="n">
        <v>3</v>
      </c>
      <c r="D236" s="4" t="s">
        <v>27</v>
      </c>
      <c r="E236" s="3" t="s">
        <v>95</v>
      </c>
      <c r="F236" s="4" t="str">
        <f aca="false">IF(I236&gt;J236,"Y","N")</f>
        <v>N</v>
      </c>
      <c r="G236" s="3" t="s">
        <v>72</v>
      </c>
      <c r="H236" s="3" t="s">
        <v>26</v>
      </c>
      <c r="I236" s="4" t="n">
        <v>3</v>
      </c>
      <c r="J236" s="4" t="n">
        <f aca="false">LEN(E236)-LEN(SUBSTITUTE(E236,",",""))+1</f>
        <v>3</v>
      </c>
      <c r="K236" s="3" t="str">
        <f aca="false">IFERROR(INDEX('Teacher Lookup'!$B$2:$B$200,MATCH(A236,'Teacher Lookup'!$A$2:$A$200,0)),"")</f>
        <v>LI Angela</v>
      </c>
    </row>
    <row r="237" customFormat="false" ht="15" hidden="false" customHeight="false" outlineLevel="0" collapsed="false">
      <c r="A237" s="3" t="s">
        <v>69</v>
      </c>
      <c r="B237" s="4" t="s">
        <v>65</v>
      </c>
      <c r="C237" s="4" t="n">
        <v>5</v>
      </c>
      <c r="D237" s="4" t="s">
        <v>70</v>
      </c>
      <c r="E237" s="3" t="s">
        <v>81</v>
      </c>
      <c r="F237" s="4" t="str">
        <f aca="false">IF(I237&gt;J237,"Y","N")</f>
        <v>Y</v>
      </c>
      <c r="G237" s="3" t="s">
        <v>36</v>
      </c>
      <c r="H237" s="3" t="s">
        <v>37</v>
      </c>
      <c r="I237" s="4" t="n">
        <v>15</v>
      </c>
      <c r="J237" s="4" t="n">
        <f aca="false">LEN(E237)-LEN(SUBSTITUTE(E237,",",""))+1</f>
        <v>7</v>
      </c>
      <c r="K237" s="3" t="str">
        <f aca="false">IFERROR(INDEX('Teacher Lookup'!$B$2:$B$200,MATCH(A237,'Teacher Lookup'!$A$2:$A$200,0)),"")</f>
        <v>LI Angela</v>
      </c>
    </row>
    <row r="238" customFormat="false" ht="15" hidden="false" customHeight="false" outlineLevel="0" collapsed="false">
      <c r="A238" s="3" t="s">
        <v>69</v>
      </c>
      <c r="B238" s="4" t="s">
        <v>65</v>
      </c>
      <c r="C238" s="4" t="n">
        <v>5</v>
      </c>
      <c r="D238" s="4" t="s">
        <v>73</v>
      </c>
      <c r="E238" s="3" t="s">
        <v>81</v>
      </c>
      <c r="F238" s="4" t="str">
        <f aca="false">IF(I238&gt;J238,"Y","N")</f>
        <v>Y</v>
      </c>
      <c r="G238" s="3" t="s">
        <v>36</v>
      </c>
      <c r="H238" s="3" t="s">
        <v>37</v>
      </c>
      <c r="I238" s="4" t="n">
        <v>15</v>
      </c>
      <c r="J238" s="4" t="n">
        <f aca="false">LEN(E238)-LEN(SUBSTITUTE(E238,",",""))+1</f>
        <v>7</v>
      </c>
      <c r="K238" s="3" t="str">
        <f aca="false">IFERROR(INDEX('Teacher Lookup'!$B$2:$B$200,MATCH(A238,'Teacher Lookup'!$A$2:$A$200,0)),"")</f>
        <v>LI Angela</v>
      </c>
    </row>
    <row r="239" customFormat="false" ht="15" hidden="false" customHeight="false" outlineLevel="0" collapsed="false">
      <c r="A239" s="3" t="s">
        <v>69</v>
      </c>
      <c r="B239" s="4" t="s">
        <v>65</v>
      </c>
      <c r="C239" s="4" t="n">
        <v>5</v>
      </c>
      <c r="D239" s="4" t="s">
        <v>74</v>
      </c>
      <c r="E239" s="3" t="s">
        <v>81</v>
      </c>
      <c r="F239" s="4" t="str">
        <f aca="false">IF(I239&gt;J239,"Y","N")</f>
        <v>Y</v>
      </c>
      <c r="G239" s="3" t="s">
        <v>36</v>
      </c>
      <c r="H239" s="3" t="s">
        <v>37</v>
      </c>
      <c r="I239" s="4" t="n">
        <v>15</v>
      </c>
      <c r="J239" s="4" t="n">
        <f aca="false">LEN(E239)-LEN(SUBSTITUTE(E239,",",""))+1</f>
        <v>7</v>
      </c>
      <c r="K239" s="3" t="str">
        <f aca="false">IFERROR(INDEX('Teacher Lookup'!$B$2:$B$200,MATCH(A239,'Teacher Lookup'!$A$2:$A$200,0)),"")</f>
        <v>LI Angela</v>
      </c>
    </row>
    <row r="240" customFormat="false" ht="15" hidden="false" customHeight="false" outlineLevel="0" collapsed="false">
      <c r="A240" s="3" t="s">
        <v>69</v>
      </c>
      <c r="B240" s="4" t="s">
        <v>65</v>
      </c>
      <c r="C240" s="4" t="n">
        <v>5</v>
      </c>
      <c r="D240" s="4" t="s">
        <v>76</v>
      </c>
      <c r="E240" s="3" t="s">
        <v>81</v>
      </c>
      <c r="F240" s="4" t="str">
        <f aca="false">IF(I240&gt;J240,"Y","N")</f>
        <v>Y</v>
      </c>
      <c r="G240" s="3" t="s">
        <v>36</v>
      </c>
      <c r="H240" s="3" t="s">
        <v>37</v>
      </c>
      <c r="I240" s="4" t="n">
        <v>15</v>
      </c>
      <c r="J240" s="4" t="n">
        <f aca="false">LEN(E240)-LEN(SUBSTITUTE(E240,",",""))+1</f>
        <v>7</v>
      </c>
      <c r="K240" s="3" t="str">
        <f aca="false">IFERROR(INDEX('Teacher Lookup'!$B$2:$B$200,MATCH(A240,'Teacher Lookup'!$A$2:$A$200,0)),"")</f>
        <v>LI Angela</v>
      </c>
    </row>
    <row r="241" customFormat="false" ht="15" hidden="false" customHeight="false" outlineLevel="0" collapsed="false">
      <c r="A241" s="3" t="s">
        <v>69</v>
      </c>
      <c r="B241" s="4" t="s">
        <v>65</v>
      </c>
      <c r="C241" s="4" t="n">
        <v>5</v>
      </c>
      <c r="D241" s="4" t="s">
        <v>78</v>
      </c>
      <c r="E241" s="3" t="s">
        <v>81</v>
      </c>
      <c r="F241" s="4" t="str">
        <f aca="false">IF(I241&gt;J241,"Y","N")</f>
        <v>Y</v>
      </c>
      <c r="G241" s="3" t="s">
        <v>36</v>
      </c>
      <c r="H241" s="3" t="s">
        <v>37</v>
      </c>
      <c r="I241" s="4" t="n">
        <v>15</v>
      </c>
      <c r="J241" s="4" t="n">
        <f aca="false">LEN(E241)-LEN(SUBSTITUTE(E241,",",""))+1</f>
        <v>7</v>
      </c>
      <c r="K241" s="3" t="str">
        <f aca="false">IFERROR(INDEX('Teacher Lookup'!$B$2:$B$200,MATCH(A241,'Teacher Lookup'!$A$2:$A$200,0)),"")</f>
        <v>LI Angela</v>
      </c>
    </row>
    <row r="242" customFormat="false" ht="15" hidden="false" customHeight="false" outlineLevel="0" collapsed="false">
      <c r="A242" s="3" t="s">
        <v>69</v>
      </c>
      <c r="B242" s="4" t="s">
        <v>65</v>
      </c>
      <c r="C242" s="4" t="n">
        <v>5</v>
      </c>
      <c r="D242" s="4" t="s">
        <v>79</v>
      </c>
      <c r="E242" s="3" t="s">
        <v>81</v>
      </c>
      <c r="F242" s="4" t="str">
        <f aca="false">IF(I242&gt;J242,"Y","N")</f>
        <v>Y</v>
      </c>
      <c r="G242" s="3" t="s">
        <v>36</v>
      </c>
      <c r="H242" s="3" t="s">
        <v>37</v>
      </c>
      <c r="I242" s="4" t="n">
        <v>15</v>
      </c>
      <c r="J242" s="4" t="n">
        <f aca="false">LEN(E242)-LEN(SUBSTITUTE(E242,",",""))+1</f>
        <v>7</v>
      </c>
      <c r="K242" s="3" t="str">
        <f aca="false">IFERROR(INDEX('Teacher Lookup'!$B$2:$B$200,MATCH(A242,'Teacher Lookup'!$A$2:$A$200,0)),"")</f>
        <v>LI Angela</v>
      </c>
    </row>
    <row r="243" customFormat="false" ht="15" hidden="false" customHeight="false" outlineLevel="0" collapsed="false">
      <c r="A243" s="3" t="s">
        <v>69</v>
      </c>
      <c r="B243" s="4" t="s">
        <v>65</v>
      </c>
      <c r="C243" s="4" t="n">
        <v>7</v>
      </c>
      <c r="D243" s="4" t="s">
        <v>76</v>
      </c>
      <c r="E243" s="3" t="s">
        <v>77</v>
      </c>
      <c r="F243" s="4" t="str">
        <f aca="false">IF(I243&gt;J243,"Y","N")</f>
        <v>N</v>
      </c>
      <c r="G243" s="3" t="s">
        <v>72</v>
      </c>
      <c r="H243" s="3" t="s">
        <v>39</v>
      </c>
      <c r="I243" s="4" t="n">
        <v>4</v>
      </c>
      <c r="J243" s="4" t="n">
        <f aca="false">LEN(E243)-LEN(SUBSTITUTE(E243,",",""))+1</f>
        <v>4</v>
      </c>
      <c r="K243" s="3" t="str">
        <f aca="false">IFERROR(INDEX('Teacher Lookup'!$B$2:$B$200,MATCH(A243,'Teacher Lookup'!$A$2:$A$200,0)),"")</f>
        <v>LI Angela</v>
      </c>
    </row>
    <row r="244" customFormat="false" ht="15" hidden="false" customHeight="false" outlineLevel="0" collapsed="false">
      <c r="A244" s="3" t="s">
        <v>69</v>
      </c>
      <c r="B244" s="4" t="s">
        <v>65</v>
      </c>
      <c r="C244" s="4" t="n">
        <v>7</v>
      </c>
      <c r="D244" s="4" t="s">
        <v>78</v>
      </c>
      <c r="E244" s="3" t="s">
        <v>77</v>
      </c>
      <c r="F244" s="4" t="str">
        <f aca="false">IF(I244&gt;J244,"Y","N")</f>
        <v>N</v>
      </c>
      <c r="G244" s="3" t="s">
        <v>72</v>
      </c>
      <c r="H244" s="3" t="s">
        <v>39</v>
      </c>
      <c r="I244" s="4" t="n">
        <v>4</v>
      </c>
      <c r="J244" s="4" t="n">
        <f aca="false">LEN(E244)-LEN(SUBSTITUTE(E244,",",""))+1</f>
        <v>4</v>
      </c>
      <c r="K244" s="3" t="str">
        <f aca="false">IFERROR(INDEX('Teacher Lookup'!$B$2:$B$200,MATCH(A244,'Teacher Lookup'!$A$2:$A$200,0)),"")</f>
        <v>LI Angela</v>
      </c>
    </row>
    <row r="245" customFormat="false" ht="15" hidden="false" customHeight="false" outlineLevel="0" collapsed="false">
      <c r="A245" s="3" t="s">
        <v>69</v>
      </c>
      <c r="B245" s="4" t="s">
        <v>65</v>
      </c>
      <c r="C245" s="4" t="n">
        <v>7</v>
      </c>
      <c r="D245" s="4" t="s">
        <v>79</v>
      </c>
      <c r="E245" s="3" t="s">
        <v>77</v>
      </c>
      <c r="F245" s="4" t="str">
        <f aca="false">IF(I245&gt;J245,"Y","N")</f>
        <v>N</v>
      </c>
      <c r="G245" s="3" t="s">
        <v>72</v>
      </c>
      <c r="H245" s="3" t="s">
        <v>39</v>
      </c>
      <c r="I245" s="4" t="n">
        <v>4</v>
      </c>
      <c r="J245" s="4" t="n">
        <f aca="false">LEN(E245)-LEN(SUBSTITUTE(E245,",",""))+1</f>
        <v>4</v>
      </c>
      <c r="K245" s="3" t="str">
        <f aca="false">IFERROR(INDEX('Teacher Lookup'!$B$2:$B$200,MATCH(A245,'Teacher Lookup'!$A$2:$A$200,0)),"")</f>
        <v>LI Angela</v>
      </c>
    </row>
    <row r="246" customFormat="false" ht="15" hidden="false" customHeight="false" outlineLevel="0" collapsed="false">
      <c r="A246" s="3" t="s">
        <v>69</v>
      </c>
      <c r="B246" s="4" t="s">
        <v>66</v>
      </c>
      <c r="C246" s="4" t="n">
        <v>1</v>
      </c>
      <c r="D246" s="4" t="s">
        <v>76</v>
      </c>
      <c r="E246" s="3" t="s">
        <v>84</v>
      </c>
      <c r="F246" s="4" t="str">
        <f aca="false">IF(I246&gt;J246,"Y","N")</f>
        <v>N</v>
      </c>
      <c r="G246" s="3" t="s">
        <v>72</v>
      </c>
      <c r="H246" s="3" t="s">
        <v>16</v>
      </c>
      <c r="I246" s="4" t="n">
        <v>4</v>
      </c>
      <c r="J246" s="4" t="n">
        <f aca="false">LEN(E246)-LEN(SUBSTITUTE(E246,",",""))+1</f>
        <v>4</v>
      </c>
      <c r="K246" s="3" t="str">
        <f aca="false">IFERROR(INDEX('Teacher Lookup'!$B$2:$B$200,MATCH(A246,'Teacher Lookup'!$A$2:$A$200,0)),"")</f>
        <v>LI Angela</v>
      </c>
    </row>
    <row r="247" customFormat="false" ht="15" hidden="false" customHeight="false" outlineLevel="0" collapsed="false">
      <c r="A247" s="3" t="s">
        <v>69</v>
      </c>
      <c r="B247" s="4" t="s">
        <v>66</v>
      </c>
      <c r="C247" s="4" t="n">
        <v>1</v>
      </c>
      <c r="D247" s="4" t="s">
        <v>78</v>
      </c>
      <c r="E247" s="3" t="s">
        <v>84</v>
      </c>
      <c r="F247" s="4" t="str">
        <f aca="false">IF(I247&gt;J247,"Y","N")</f>
        <v>N</v>
      </c>
      <c r="G247" s="3" t="s">
        <v>72</v>
      </c>
      <c r="H247" s="3" t="s">
        <v>16</v>
      </c>
      <c r="I247" s="4" t="n">
        <v>4</v>
      </c>
      <c r="J247" s="4" t="n">
        <f aca="false">LEN(E247)-LEN(SUBSTITUTE(E247,",",""))+1</f>
        <v>4</v>
      </c>
      <c r="K247" s="3" t="str">
        <f aca="false">IFERROR(INDEX('Teacher Lookup'!$B$2:$B$200,MATCH(A247,'Teacher Lookup'!$A$2:$A$200,0)),"")</f>
        <v>LI Angela</v>
      </c>
    </row>
    <row r="248" customFormat="false" ht="15" hidden="false" customHeight="false" outlineLevel="0" collapsed="false">
      <c r="A248" s="3" t="s">
        <v>69</v>
      </c>
      <c r="B248" s="4" t="s">
        <v>66</v>
      </c>
      <c r="C248" s="4" t="n">
        <v>1</v>
      </c>
      <c r="D248" s="4" t="s">
        <v>79</v>
      </c>
      <c r="E248" s="3" t="s">
        <v>84</v>
      </c>
      <c r="F248" s="4" t="str">
        <f aca="false">IF(I248&gt;J248,"Y","N")</f>
        <v>N</v>
      </c>
      <c r="G248" s="3" t="s">
        <v>72</v>
      </c>
      <c r="H248" s="3" t="s">
        <v>16</v>
      </c>
      <c r="I248" s="4" t="n">
        <v>4</v>
      </c>
      <c r="J248" s="4" t="n">
        <f aca="false">LEN(E248)-LEN(SUBSTITUTE(E248,",",""))+1</f>
        <v>4</v>
      </c>
      <c r="K248" s="3" t="str">
        <f aca="false">IFERROR(INDEX('Teacher Lookup'!$B$2:$B$200,MATCH(A248,'Teacher Lookup'!$A$2:$A$200,0)),"")</f>
        <v>LI Angela</v>
      </c>
    </row>
    <row r="249" customFormat="false" ht="15" hidden="false" customHeight="false" outlineLevel="0" collapsed="false">
      <c r="A249" s="3" t="s">
        <v>69</v>
      </c>
      <c r="B249" s="4" t="s">
        <v>66</v>
      </c>
      <c r="C249" s="4" t="n">
        <v>4</v>
      </c>
      <c r="D249" s="4" t="s">
        <v>24</v>
      </c>
      <c r="E249" s="3" t="s">
        <v>82</v>
      </c>
      <c r="F249" s="4" t="str">
        <f aca="false">IF(I249&gt;J249,"Y","N")</f>
        <v>N</v>
      </c>
      <c r="G249" s="3" t="s">
        <v>72</v>
      </c>
      <c r="H249" s="3" t="s">
        <v>34</v>
      </c>
      <c r="I249" s="4" t="n">
        <v>3</v>
      </c>
      <c r="J249" s="4" t="n">
        <f aca="false">LEN(E249)-LEN(SUBSTITUTE(E249,",",""))+1</f>
        <v>3</v>
      </c>
      <c r="K249" s="3" t="str">
        <f aca="false">IFERROR(INDEX('Teacher Lookup'!$B$2:$B$200,MATCH(A249,'Teacher Lookup'!$A$2:$A$200,0)),"")</f>
        <v>LI Angela</v>
      </c>
    </row>
    <row r="250" customFormat="false" ht="15" hidden="false" customHeight="false" outlineLevel="0" collapsed="false">
      <c r="A250" s="3" t="s">
        <v>69</v>
      </c>
      <c r="B250" s="4" t="s">
        <v>66</v>
      </c>
      <c r="C250" s="4" t="n">
        <v>4</v>
      </c>
      <c r="D250" s="4" t="s">
        <v>27</v>
      </c>
      <c r="E250" s="3" t="s">
        <v>82</v>
      </c>
      <c r="F250" s="4" t="str">
        <f aca="false">IF(I250&gt;J250,"Y","N")</f>
        <v>N</v>
      </c>
      <c r="G250" s="3" t="s">
        <v>72</v>
      </c>
      <c r="H250" s="3" t="s">
        <v>34</v>
      </c>
      <c r="I250" s="4" t="n">
        <v>3</v>
      </c>
      <c r="J250" s="4" t="n">
        <f aca="false">LEN(E250)-LEN(SUBSTITUTE(E250,",",""))+1</f>
        <v>3</v>
      </c>
      <c r="K250" s="3" t="str">
        <f aca="false">IFERROR(INDEX('Teacher Lookup'!$B$2:$B$200,MATCH(A250,'Teacher Lookup'!$A$2:$A$200,0)),"")</f>
        <v>LI Angela</v>
      </c>
    </row>
    <row r="251" customFormat="false" ht="15" hidden="false" customHeight="false" outlineLevel="0" collapsed="false">
      <c r="A251" s="3" t="s">
        <v>69</v>
      </c>
      <c r="B251" s="4" t="s">
        <v>66</v>
      </c>
      <c r="C251" s="4" t="n">
        <v>5</v>
      </c>
      <c r="D251" s="4" t="s">
        <v>70</v>
      </c>
      <c r="E251" s="3" t="s">
        <v>96</v>
      </c>
      <c r="F251" s="4" t="str">
        <f aca="false">IF(I251&gt;J251,"Y","N")</f>
        <v>N</v>
      </c>
      <c r="G251" s="3" t="s">
        <v>72</v>
      </c>
      <c r="H251" s="3" t="s">
        <v>37</v>
      </c>
      <c r="I251" s="4" t="n">
        <v>4</v>
      </c>
      <c r="J251" s="4" t="n">
        <f aca="false">LEN(E251)-LEN(SUBSTITUTE(E251,",",""))+1</f>
        <v>4</v>
      </c>
      <c r="K251" s="3" t="str">
        <f aca="false">IFERROR(INDEX('Teacher Lookup'!$B$2:$B$200,MATCH(A251,'Teacher Lookup'!$A$2:$A$200,0)),"")</f>
        <v>LI Angela</v>
      </c>
    </row>
    <row r="252" customFormat="false" ht="15" hidden="false" customHeight="false" outlineLevel="0" collapsed="false">
      <c r="A252" s="3" t="s">
        <v>69</v>
      </c>
      <c r="B252" s="4" t="s">
        <v>66</v>
      </c>
      <c r="C252" s="4" t="n">
        <v>5</v>
      </c>
      <c r="D252" s="4" t="s">
        <v>73</v>
      </c>
      <c r="E252" s="3" t="s">
        <v>96</v>
      </c>
      <c r="F252" s="4" t="str">
        <f aca="false">IF(I252&gt;J252,"Y","N")</f>
        <v>N</v>
      </c>
      <c r="G252" s="3" t="s">
        <v>72</v>
      </c>
      <c r="H252" s="3" t="s">
        <v>37</v>
      </c>
      <c r="I252" s="4" t="n">
        <v>4</v>
      </c>
      <c r="J252" s="4" t="n">
        <f aca="false">LEN(E252)-LEN(SUBSTITUTE(E252,",",""))+1</f>
        <v>4</v>
      </c>
      <c r="K252" s="3" t="str">
        <f aca="false">IFERROR(INDEX('Teacher Lookup'!$B$2:$B$200,MATCH(A252,'Teacher Lookup'!$A$2:$A$200,0)),"")</f>
        <v>LI Angela</v>
      </c>
    </row>
    <row r="253" customFormat="false" ht="15" hidden="false" customHeight="false" outlineLevel="0" collapsed="false">
      <c r="A253" s="3" t="s">
        <v>69</v>
      </c>
      <c r="B253" s="4" t="s">
        <v>66</v>
      </c>
      <c r="C253" s="4" t="n">
        <v>5</v>
      </c>
      <c r="D253" s="4" t="s">
        <v>74</v>
      </c>
      <c r="E253" s="3" t="s">
        <v>96</v>
      </c>
      <c r="F253" s="4" t="str">
        <f aca="false">IF(I253&gt;J253,"Y","N")</f>
        <v>N</v>
      </c>
      <c r="G253" s="3" t="s">
        <v>72</v>
      </c>
      <c r="H253" s="3" t="s">
        <v>37</v>
      </c>
      <c r="I253" s="4" t="n">
        <v>4</v>
      </c>
      <c r="J253" s="4" t="n">
        <f aca="false">LEN(E253)-LEN(SUBSTITUTE(E253,",",""))+1</f>
        <v>4</v>
      </c>
      <c r="K253" s="3" t="str">
        <f aca="false">IFERROR(INDEX('Teacher Lookup'!$B$2:$B$200,MATCH(A253,'Teacher Lookup'!$A$2:$A$200,0)),"")</f>
        <v>LI Angela</v>
      </c>
    </row>
    <row r="254" customFormat="false" ht="15" hidden="false" customHeight="false" outlineLevel="0" collapsed="false">
      <c r="A254" s="3" t="s">
        <v>97</v>
      </c>
      <c r="B254" s="4" t="s">
        <v>12</v>
      </c>
      <c r="C254" s="4" t="n">
        <v>2</v>
      </c>
      <c r="D254" s="4" t="s">
        <v>57</v>
      </c>
      <c r="E254" s="3" t="s">
        <v>98</v>
      </c>
      <c r="F254" s="4" t="str">
        <f aca="false">IF(I254&gt;J254,"Y","N")</f>
        <v>N</v>
      </c>
      <c r="G254" s="3" t="s">
        <v>99</v>
      </c>
      <c r="H254" s="3" t="s">
        <v>21</v>
      </c>
      <c r="I254" s="4" t="n">
        <v>1</v>
      </c>
      <c r="J254" s="4" t="n">
        <f aca="false">LEN(E254)-LEN(SUBSTITUTE(E254,",",""))+1</f>
        <v>1</v>
      </c>
      <c r="K254" s="3" t="str">
        <f aca="false">IFERROR(INDEX('Teacher Lookup'!$B$2:$B$200,MATCH(A254,'Teacher Lookup'!$A$2:$A$200,0)),"")</f>
        <v>HO Anda</v>
      </c>
    </row>
    <row r="255" customFormat="false" ht="15" hidden="false" customHeight="false" outlineLevel="0" collapsed="false">
      <c r="A255" s="3" t="s">
        <v>97</v>
      </c>
      <c r="B255" s="4" t="s">
        <v>12</v>
      </c>
      <c r="C255" s="4" t="n">
        <v>3</v>
      </c>
      <c r="D255" s="4" t="s">
        <v>52</v>
      </c>
      <c r="E255" s="3" t="s">
        <v>100</v>
      </c>
      <c r="F255" s="4" t="str">
        <f aca="false">IF(I255&gt;J255,"Y","N")</f>
        <v>N</v>
      </c>
      <c r="G255" s="3" t="s">
        <v>101</v>
      </c>
      <c r="H255" s="3" t="s">
        <v>26</v>
      </c>
      <c r="I255" s="4" t="n">
        <v>8</v>
      </c>
      <c r="J255" s="4" t="n">
        <f aca="false">LEN(E255)-LEN(SUBSTITUTE(E255,",",""))+1</f>
        <v>8</v>
      </c>
      <c r="K255" s="3" t="str">
        <f aca="false">IFERROR(INDEX('Teacher Lookup'!$B$2:$B$200,MATCH(A255,'Teacher Lookup'!$A$2:$A$200,0)),"")</f>
        <v>HO Anda</v>
      </c>
    </row>
    <row r="256" customFormat="false" ht="15" hidden="false" customHeight="false" outlineLevel="0" collapsed="false">
      <c r="A256" s="3" t="s">
        <v>97</v>
      </c>
      <c r="B256" s="4" t="s">
        <v>12</v>
      </c>
      <c r="C256" s="4" t="n">
        <v>3</v>
      </c>
      <c r="D256" s="4" t="s">
        <v>55</v>
      </c>
      <c r="E256" s="3" t="s">
        <v>100</v>
      </c>
      <c r="F256" s="4" t="str">
        <f aca="false">IF(I256&gt;J256,"Y","N")</f>
        <v>N</v>
      </c>
      <c r="G256" s="3" t="s">
        <v>101</v>
      </c>
      <c r="H256" s="3" t="s">
        <v>26</v>
      </c>
      <c r="I256" s="4" t="n">
        <v>8</v>
      </c>
      <c r="J256" s="4" t="n">
        <f aca="false">LEN(E256)-LEN(SUBSTITUTE(E256,",",""))+1</f>
        <v>8</v>
      </c>
      <c r="K256" s="3" t="str">
        <f aca="false">IFERROR(INDEX('Teacher Lookup'!$B$2:$B$200,MATCH(A256,'Teacher Lookup'!$A$2:$A$200,0)),"")</f>
        <v>HO Anda</v>
      </c>
    </row>
    <row r="257" customFormat="false" ht="15" hidden="false" customHeight="false" outlineLevel="0" collapsed="false">
      <c r="A257" s="3" t="s">
        <v>97</v>
      </c>
      <c r="B257" s="4" t="s">
        <v>12</v>
      </c>
      <c r="C257" s="4" t="n">
        <v>3</v>
      </c>
      <c r="D257" s="4" t="s">
        <v>56</v>
      </c>
      <c r="E257" s="3" t="s">
        <v>100</v>
      </c>
      <c r="F257" s="4" t="str">
        <f aca="false">IF(I257&gt;J257,"Y","N")</f>
        <v>N</v>
      </c>
      <c r="G257" s="3" t="s">
        <v>101</v>
      </c>
      <c r="H257" s="3" t="s">
        <v>26</v>
      </c>
      <c r="I257" s="4" t="n">
        <v>8</v>
      </c>
      <c r="J257" s="4" t="n">
        <f aca="false">LEN(E257)-LEN(SUBSTITUTE(E257,",",""))+1</f>
        <v>8</v>
      </c>
      <c r="K257" s="3" t="str">
        <f aca="false">IFERROR(INDEX('Teacher Lookup'!$B$2:$B$200,MATCH(A257,'Teacher Lookup'!$A$2:$A$200,0)),"")</f>
        <v>HO Anda</v>
      </c>
    </row>
    <row r="258" customFormat="false" ht="15" hidden="false" customHeight="false" outlineLevel="0" collapsed="false">
      <c r="A258" s="3" t="s">
        <v>97</v>
      </c>
      <c r="B258" s="4" t="s">
        <v>12</v>
      </c>
      <c r="C258" s="4" t="n">
        <v>3</v>
      </c>
      <c r="D258" s="4" t="s">
        <v>57</v>
      </c>
      <c r="E258" s="3" t="s">
        <v>100</v>
      </c>
      <c r="F258" s="4" t="str">
        <f aca="false">IF(I258&gt;J258,"Y","N")</f>
        <v>N</v>
      </c>
      <c r="G258" s="3" t="s">
        <v>101</v>
      </c>
      <c r="H258" s="3" t="s">
        <v>26</v>
      </c>
      <c r="I258" s="4" t="n">
        <v>8</v>
      </c>
      <c r="J258" s="4" t="n">
        <f aca="false">LEN(E258)-LEN(SUBSTITUTE(E258,",",""))+1</f>
        <v>8</v>
      </c>
      <c r="K258" s="3" t="str">
        <f aca="false">IFERROR(INDEX('Teacher Lookup'!$B$2:$B$200,MATCH(A258,'Teacher Lookup'!$A$2:$A$200,0)),"")</f>
        <v>HO Anda</v>
      </c>
    </row>
    <row r="259" customFormat="false" ht="15" hidden="false" customHeight="false" outlineLevel="0" collapsed="false">
      <c r="A259" s="3" t="s">
        <v>97</v>
      </c>
      <c r="B259" s="4" t="s">
        <v>12</v>
      </c>
      <c r="C259" s="4" t="n">
        <v>3</v>
      </c>
      <c r="D259" s="4" t="s">
        <v>58</v>
      </c>
      <c r="E259" s="3" t="s">
        <v>100</v>
      </c>
      <c r="F259" s="4" t="str">
        <f aca="false">IF(I259&gt;J259,"Y","N")</f>
        <v>N</v>
      </c>
      <c r="G259" s="3" t="s">
        <v>101</v>
      </c>
      <c r="H259" s="3" t="s">
        <v>26</v>
      </c>
      <c r="I259" s="4" t="n">
        <v>8</v>
      </c>
      <c r="J259" s="4" t="n">
        <f aca="false">LEN(E259)-LEN(SUBSTITUTE(E259,",",""))+1</f>
        <v>8</v>
      </c>
      <c r="K259" s="3" t="str">
        <f aca="false">IFERROR(INDEX('Teacher Lookup'!$B$2:$B$200,MATCH(A259,'Teacher Lookup'!$A$2:$A$200,0)),"")</f>
        <v>HO Anda</v>
      </c>
    </row>
    <row r="260" customFormat="false" ht="15" hidden="false" customHeight="false" outlineLevel="0" collapsed="false">
      <c r="A260" s="3" t="s">
        <v>97</v>
      </c>
      <c r="B260" s="4" t="s">
        <v>12</v>
      </c>
      <c r="C260" s="4" t="n">
        <v>3</v>
      </c>
      <c r="D260" s="4" t="s">
        <v>59</v>
      </c>
      <c r="E260" s="3" t="s">
        <v>100</v>
      </c>
      <c r="F260" s="4" t="str">
        <f aca="false">IF(I260&gt;J260,"Y","N")</f>
        <v>N</v>
      </c>
      <c r="G260" s="3" t="s">
        <v>101</v>
      </c>
      <c r="H260" s="3" t="s">
        <v>26</v>
      </c>
      <c r="I260" s="4" t="n">
        <v>8</v>
      </c>
      <c r="J260" s="4" t="n">
        <f aca="false">LEN(E260)-LEN(SUBSTITUTE(E260,",",""))+1</f>
        <v>8</v>
      </c>
      <c r="K260" s="3" t="str">
        <f aca="false">IFERROR(INDEX('Teacher Lookup'!$B$2:$B$200,MATCH(A260,'Teacher Lookup'!$A$2:$A$200,0)),"")</f>
        <v>HO Anda</v>
      </c>
    </row>
    <row r="261" customFormat="false" ht="15" hidden="false" customHeight="false" outlineLevel="0" collapsed="false">
      <c r="A261" s="3" t="s">
        <v>97</v>
      </c>
      <c r="B261" s="4" t="s">
        <v>12</v>
      </c>
      <c r="C261" s="4" t="n">
        <v>4</v>
      </c>
      <c r="D261" s="4" t="s">
        <v>102</v>
      </c>
      <c r="E261" s="3" t="s">
        <v>103</v>
      </c>
      <c r="F261" s="4" t="str">
        <f aca="false">IF(I261&gt;J261,"Y","N")</f>
        <v>N</v>
      </c>
      <c r="G261" s="3" t="s">
        <v>104</v>
      </c>
      <c r="H261" s="3" t="s">
        <v>34</v>
      </c>
      <c r="I261" s="4" t="n">
        <v>6</v>
      </c>
      <c r="J261" s="4" t="n">
        <f aca="false">LEN(E261)-LEN(SUBSTITUTE(E261,",",""))+1</f>
        <v>6</v>
      </c>
      <c r="K261" s="3" t="str">
        <f aca="false">IFERROR(INDEX('Teacher Lookup'!$B$2:$B$200,MATCH(A261,'Teacher Lookup'!$A$2:$A$200,0)),"")</f>
        <v>HO Anda</v>
      </c>
    </row>
    <row r="262" customFormat="false" ht="15" hidden="false" customHeight="false" outlineLevel="0" collapsed="false">
      <c r="A262" s="3" t="s">
        <v>97</v>
      </c>
      <c r="B262" s="4" t="s">
        <v>12</v>
      </c>
      <c r="C262" s="4" t="n">
        <v>4</v>
      </c>
      <c r="D262" s="4" t="s">
        <v>105</v>
      </c>
      <c r="E262" s="3" t="s">
        <v>103</v>
      </c>
      <c r="F262" s="4" t="str">
        <f aca="false">IF(I262&gt;J262,"Y","N")</f>
        <v>N</v>
      </c>
      <c r="G262" s="3" t="s">
        <v>104</v>
      </c>
      <c r="H262" s="3" t="s">
        <v>34</v>
      </c>
      <c r="I262" s="4" t="n">
        <v>6</v>
      </c>
      <c r="J262" s="4" t="n">
        <f aca="false">LEN(E262)-LEN(SUBSTITUTE(E262,",",""))+1</f>
        <v>6</v>
      </c>
      <c r="K262" s="3" t="str">
        <f aca="false">IFERROR(INDEX('Teacher Lookup'!$B$2:$B$200,MATCH(A262,'Teacher Lookup'!$A$2:$A$200,0)),"")</f>
        <v>HO Anda</v>
      </c>
    </row>
    <row r="263" customFormat="false" ht="15" hidden="false" customHeight="false" outlineLevel="0" collapsed="false">
      <c r="A263" s="3" t="s">
        <v>97</v>
      </c>
      <c r="B263" s="4" t="s">
        <v>12</v>
      </c>
      <c r="C263" s="4" t="n">
        <v>4</v>
      </c>
      <c r="D263" s="4" t="s">
        <v>106</v>
      </c>
      <c r="E263" s="3" t="s">
        <v>103</v>
      </c>
      <c r="F263" s="4" t="str">
        <f aca="false">IF(I263&gt;J263,"Y","N")</f>
        <v>N</v>
      </c>
      <c r="G263" s="3" t="s">
        <v>104</v>
      </c>
      <c r="H263" s="3" t="s">
        <v>34</v>
      </c>
      <c r="I263" s="4" t="n">
        <v>6</v>
      </c>
      <c r="J263" s="4" t="n">
        <f aca="false">LEN(E263)-LEN(SUBSTITUTE(E263,",",""))+1</f>
        <v>6</v>
      </c>
      <c r="K263" s="3" t="str">
        <f aca="false">IFERROR(INDEX('Teacher Lookup'!$B$2:$B$200,MATCH(A263,'Teacher Lookup'!$A$2:$A$200,0)),"")</f>
        <v>HO Anda</v>
      </c>
    </row>
    <row r="264" customFormat="false" ht="15" hidden="false" customHeight="false" outlineLevel="0" collapsed="false">
      <c r="A264" s="3" t="s">
        <v>97</v>
      </c>
      <c r="B264" s="4" t="s">
        <v>12</v>
      </c>
      <c r="C264" s="4" t="n">
        <v>4</v>
      </c>
      <c r="D264" s="4" t="s">
        <v>107</v>
      </c>
      <c r="E264" s="3" t="s">
        <v>103</v>
      </c>
      <c r="F264" s="4" t="str">
        <f aca="false">IF(I264&gt;J264,"Y","N")</f>
        <v>N</v>
      </c>
      <c r="G264" s="3" t="s">
        <v>104</v>
      </c>
      <c r="H264" s="3" t="s">
        <v>34</v>
      </c>
      <c r="I264" s="4" t="n">
        <v>6</v>
      </c>
      <c r="J264" s="4" t="n">
        <f aca="false">LEN(E264)-LEN(SUBSTITUTE(E264,",",""))+1</f>
        <v>6</v>
      </c>
      <c r="K264" s="3" t="str">
        <f aca="false">IFERROR(INDEX('Teacher Lookup'!$B$2:$B$200,MATCH(A264,'Teacher Lookup'!$A$2:$A$200,0)),"")</f>
        <v>HO Anda</v>
      </c>
    </row>
    <row r="265" customFormat="false" ht="15" hidden="false" customHeight="false" outlineLevel="0" collapsed="false">
      <c r="A265" s="3" t="s">
        <v>97</v>
      </c>
      <c r="B265" s="4" t="s">
        <v>12</v>
      </c>
      <c r="C265" s="4" t="n">
        <v>5</v>
      </c>
      <c r="D265" s="4" t="s">
        <v>102</v>
      </c>
      <c r="E265" s="3" t="s">
        <v>103</v>
      </c>
      <c r="F265" s="4" t="str">
        <f aca="false">IF(I265&gt;J265,"Y","N")</f>
        <v>N</v>
      </c>
      <c r="G265" s="3" t="s">
        <v>104</v>
      </c>
      <c r="H265" s="3" t="s">
        <v>37</v>
      </c>
      <c r="I265" s="4" t="n">
        <v>6</v>
      </c>
      <c r="J265" s="4" t="n">
        <f aca="false">LEN(E265)-LEN(SUBSTITUTE(E265,",",""))+1</f>
        <v>6</v>
      </c>
      <c r="K265" s="3" t="str">
        <f aca="false">IFERROR(INDEX('Teacher Lookup'!$B$2:$B$200,MATCH(A265,'Teacher Lookup'!$A$2:$A$200,0)),"")</f>
        <v>HO Anda</v>
      </c>
    </row>
    <row r="266" customFormat="false" ht="15" hidden="false" customHeight="false" outlineLevel="0" collapsed="false">
      <c r="A266" s="3" t="s">
        <v>97</v>
      </c>
      <c r="B266" s="4" t="s">
        <v>12</v>
      </c>
      <c r="C266" s="4" t="n">
        <v>5</v>
      </c>
      <c r="D266" s="4" t="s">
        <v>105</v>
      </c>
      <c r="E266" s="3" t="s">
        <v>103</v>
      </c>
      <c r="F266" s="4" t="str">
        <f aca="false">IF(I266&gt;J266,"Y","N")</f>
        <v>N</v>
      </c>
      <c r="G266" s="3" t="s">
        <v>104</v>
      </c>
      <c r="H266" s="3" t="s">
        <v>37</v>
      </c>
      <c r="I266" s="4" t="n">
        <v>6</v>
      </c>
      <c r="J266" s="4" t="n">
        <f aca="false">LEN(E266)-LEN(SUBSTITUTE(E266,",",""))+1</f>
        <v>6</v>
      </c>
      <c r="K266" s="3" t="str">
        <f aca="false">IFERROR(INDEX('Teacher Lookup'!$B$2:$B$200,MATCH(A266,'Teacher Lookup'!$A$2:$A$200,0)),"")</f>
        <v>HO Anda</v>
      </c>
    </row>
    <row r="267" customFormat="false" ht="15" hidden="false" customHeight="false" outlineLevel="0" collapsed="false">
      <c r="A267" s="3" t="s">
        <v>97</v>
      </c>
      <c r="B267" s="4" t="s">
        <v>12</v>
      </c>
      <c r="C267" s="4" t="n">
        <v>5</v>
      </c>
      <c r="D267" s="4" t="s">
        <v>106</v>
      </c>
      <c r="E267" s="3" t="s">
        <v>103</v>
      </c>
      <c r="F267" s="4" t="str">
        <f aca="false">IF(I267&gt;J267,"Y","N")</f>
        <v>N</v>
      </c>
      <c r="G267" s="3" t="s">
        <v>104</v>
      </c>
      <c r="H267" s="3" t="s">
        <v>37</v>
      </c>
      <c r="I267" s="4" t="n">
        <v>6</v>
      </c>
      <c r="J267" s="4" t="n">
        <f aca="false">LEN(E267)-LEN(SUBSTITUTE(E267,",",""))+1</f>
        <v>6</v>
      </c>
      <c r="K267" s="3" t="str">
        <f aca="false">IFERROR(INDEX('Teacher Lookup'!$B$2:$B$200,MATCH(A267,'Teacher Lookup'!$A$2:$A$200,0)),"")</f>
        <v>HO Anda</v>
      </c>
    </row>
    <row r="268" customFormat="false" ht="15" hidden="false" customHeight="false" outlineLevel="0" collapsed="false">
      <c r="A268" s="3" t="s">
        <v>97</v>
      </c>
      <c r="B268" s="4" t="s">
        <v>12</v>
      </c>
      <c r="C268" s="4" t="n">
        <v>5</v>
      </c>
      <c r="D268" s="4" t="s">
        <v>107</v>
      </c>
      <c r="E268" s="3" t="s">
        <v>103</v>
      </c>
      <c r="F268" s="4" t="str">
        <f aca="false">IF(I268&gt;J268,"Y","N")</f>
        <v>N</v>
      </c>
      <c r="G268" s="3" t="s">
        <v>104</v>
      </c>
      <c r="H268" s="3" t="s">
        <v>37</v>
      </c>
      <c r="I268" s="4" t="n">
        <v>6</v>
      </c>
      <c r="J268" s="4" t="n">
        <f aca="false">LEN(E268)-LEN(SUBSTITUTE(E268,",",""))+1</f>
        <v>6</v>
      </c>
      <c r="K268" s="3" t="str">
        <f aca="false">IFERROR(INDEX('Teacher Lookup'!$B$2:$B$200,MATCH(A268,'Teacher Lookup'!$A$2:$A$200,0)),"")</f>
        <v>HO Anda</v>
      </c>
    </row>
    <row r="269" customFormat="false" ht="15" hidden="false" customHeight="false" outlineLevel="0" collapsed="false">
      <c r="A269" s="3" t="s">
        <v>97</v>
      </c>
      <c r="B269" s="4" t="s">
        <v>12</v>
      </c>
      <c r="C269" s="4" t="n">
        <v>6</v>
      </c>
      <c r="D269" s="4" t="s">
        <v>70</v>
      </c>
      <c r="E269" s="3" t="s">
        <v>108</v>
      </c>
      <c r="F269" s="4" t="str">
        <f aca="false">IF(I269&gt;J269,"Y","N")</f>
        <v>N</v>
      </c>
      <c r="G269" s="3" t="s">
        <v>99</v>
      </c>
      <c r="H269" s="3" t="s">
        <v>42</v>
      </c>
      <c r="I269" s="4" t="n">
        <v>1</v>
      </c>
      <c r="J269" s="4" t="n">
        <f aca="false">LEN(E269)-LEN(SUBSTITUTE(E269,",",""))+1</f>
        <v>1</v>
      </c>
      <c r="K269" s="3" t="str">
        <f aca="false">IFERROR(INDEX('Teacher Lookup'!$B$2:$B$200,MATCH(A269,'Teacher Lookup'!$A$2:$A$200,0)),"")</f>
        <v>HO Anda</v>
      </c>
    </row>
    <row r="270" customFormat="false" ht="15" hidden="false" customHeight="false" outlineLevel="0" collapsed="false">
      <c r="A270" s="3" t="s">
        <v>97</v>
      </c>
      <c r="B270" s="4" t="s">
        <v>31</v>
      </c>
      <c r="C270" s="4" t="n">
        <v>1</v>
      </c>
      <c r="D270" s="4" t="s">
        <v>19</v>
      </c>
      <c r="E270" s="3" t="s">
        <v>109</v>
      </c>
      <c r="F270" s="4" t="str">
        <f aca="false">IF(I270&gt;J270,"Y","N")</f>
        <v>N</v>
      </c>
      <c r="G270" s="3" t="s">
        <v>99</v>
      </c>
      <c r="H270" s="3" t="s">
        <v>16</v>
      </c>
      <c r="I270" s="4" t="n">
        <v>1</v>
      </c>
      <c r="J270" s="4" t="n">
        <f aca="false">LEN(E270)-LEN(SUBSTITUTE(E270,",",""))+1</f>
        <v>1</v>
      </c>
      <c r="K270" s="3" t="str">
        <f aca="false">IFERROR(INDEX('Teacher Lookup'!$B$2:$B$200,MATCH(A270,'Teacher Lookup'!$A$2:$A$200,0)),"")</f>
        <v>HO Anda</v>
      </c>
    </row>
    <row r="271" customFormat="false" ht="15" hidden="false" customHeight="false" outlineLevel="0" collapsed="false">
      <c r="A271" s="3" t="s">
        <v>97</v>
      </c>
      <c r="B271" s="4" t="s">
        <v>31</v>
      </c>
      <c r="C271" s="4" t="n">
        <v>3</v>
      </c>
      <c r="D271" s="4" t="s">
        <v>102</v>
      </c>
      <c r="E271" s="3" t="s">
        <v>110</v>
      </c>
      <c r="F271" s="4" t="str">
        <f aca="false">IF(I271&gt;J271,"Y","N")</f>
        <v>N</v>
      </c>
      <c r="G271" s="3" t="s">
        <v>104</v>
      </c>
      <c r="H271" s="3" t="s">
        <v>26</v>
      </c>
      <c r="I271" s="4" t="n">
        <v>6</v>
      </c>
      <c r="J271" s="4" t="n">
        <f aca="false">LEN(E271)-LEN(SUBSTITUTE(E271,",",""))+1</f>
        <v>6</v>
      </c>
      <c r="K271" s="3" t="str">
        <f aca="false">IFERROR(INDEX('Teacher Lookup'!$B$2:$B$200,MATCH(A271,'Teacher Lookup'!$A$2:$A$200,0)),"")</f>
        <v>HO Anda</v>
      </c>
    </row>
    <row r="272" customFormat="false" ht="15" hidden="false" customHeight="false" outlineLevel="0" collapsed="false">
      <c r="A272" s="3" t="s">
        <v>97</v>
      </c>
      <c r="B272" s="4" t="s">
        <v>31</v>
      </c>
      <c r="C272" s="4" t="n">
        <v>3</v>
      </c>
      <c r="D272" s="4" t="s">
        <v>105</v>
      </c>
      <c r="E272" s="3" t="s">
        <v>110</v>
      </c>
      <c r="F272" s="4" t="str">
        <f aca="false">IF(I272&gt;J272,"Y","N")</f>
        <v>N</v>
      </c>
      <c r="G272" s="3" t="s">
        <v>104</v>
      </c>
      <c r="H272" s="3" t="s">
        <v>26</v>
      </c>
      <c r="I272" s="4" t="n">
        <v>6</v>
      </c>
      <c r="J272" s="4" t="n">
        <f aca="false">LEN(E272)-LEN(SUBSTITUTE(E272,",",""))+1</f>
        <v>6</v>
      </c>
      <c r="K272" s="3" t="str">
        <f aca="false">IFERROR(INDEX('Teacher Lookup'!$B$2:$B$200,MATCH(A272,'Teacher Lookup'!$A$2:$A$200,0)),"")</f>
        <v>HO Anda</v>
      </c>
    </row>
    <row r="273" customFormat="false" ht="15" hidden="false" customHeight="false" outlineLevel="0" collapsed="false">
      <c r="A273" s="3" t="s">
        <v>97</v>
      </c>
      <c r="B273" s="4" t="s">
        <v>31</v>
      </c>
      <c r="C273" s="4" t="n">
        <v>3</v>
      </c>
      <c r="D273" s="4" t="s">
        <v>106</v>
      </c>
      <c r="E273" s="3" t="s">
        <v>110</v>
      </c>
      <c r="F273" s="4" t="str">
        <f aca="false">IF(I273&gt;J273,"Y","N")</f>
        <v>N</v>
      </c>
      <c r="G273" s="3" t="s">
        <v>104</v>
      </c>
      <c r="H273" s="3" t="s">
        <v>26</v>
      </c>
      <c r="I273" s="4" t="n">
        <v>6</v>
      </c>
      <c r="J273" s="4" t="n">
        <f aca="false">LEN(E273)-LEN(SUBSTITUTE(E273,",",""))+1</f>
        <v>6</v>
      </c>
      <c r="K273" s="3" t="str">
        <f aca="false">IFERROR(INDEX('Teacher Lookup'!$B$2:$B$200,MATCH(A273,'Teacher Lookup'!$A$2:$A$200,0)),"")</f>
        <v>HO Anda</v>
      </c>
    </row>
    <row r="274" customFormat="false" ht="15" hidden="false" customHeight="false" outlineLevel="0" collapsed="false">
      <c r="A274" s="3" t="s">
        <v>97</v>
      </c>
      <c r="B274" s="4" t="s">
        <v>31</v>
      </c>
      <c r="C274" s="4" t="n">
        <v>3</v>
      </c>
      <c r="D274" s="4" t="s">
        <v>107</v>
      </c>
      <c r="E274" s="3" t="s">
        <v>110</v>
      </c>
      <c r="F274" s="4" t="str">
        <f aca="false">IF(I274&gt;J274,"Y","N")</f>
        <v>N</v>
      </c>
      <c r="G274" s="3" t="s">
        <v>104</v>
      </c>
      <c r="H274" s="3" t="s">
        <v>26</v>
      </c>
      <c r="I274" s="4" t="n">
        <v>6</v>
      </c>
      <c r="J274" s="4" t="n">
        <f aca="false">LEN(E274)-LEN(SUBSTITUTE(E274,",",""))+1</f>
        <v>6</v>
      </c>
      <c r="K274" s="3" t="str">
        <f aca="false">IFERROR(INDEX('Teacher Lookup'!$B$2:$B$200,MATCH(A274,'Teacher Lookup'!$A$2:$A$200,0)),"")</f>
        <v>HO Anda</v>
      </c>
    </row>
    <row r="275" customFormat="false" ht="15" hidden="false" customHeight="false" outlineLevel="0" collapsed="false">
      <c r="A275" s="3" t="s">
        <v>97</v>
      </c>
      <c r="B275" s="4" t="s">
        <v>31</v>
      </c>
      <c r="C275" s="4" t="n">
        <v>4</v>
      </c>
      <c r="D275" s="4" t="s">
        <v>52</v>
      </c>
      <c r="E275" s="3" t="s">
        <v>111</v>
      </c>
      <c r="F275" s="4" t="str">
        <f aca="false">IF(I275&gt;J275,"Y","N")</f>
        <v>N</v>
      </c>
      <c r="G275" s="3" t="s">
        <v>101</v>
      </c>
      <c r="H275" s="3" t="s">
        <v>34</v>
      </c>
      <c r="I275" s="4" t="n">
        <v>8</v>
      </c>
      <c r="J275" s="4" t="n">
        <f aca="false">LEN(E275)-LEN(SUBSTITUTE(E275,",",""))+1</f>
        <v>8</v>
      </c>
      <c r="K275" s="3" t="str">
        <f aca="false">IFERROR(INDEX('Teacher Lookup'!$B$2:$B$200,MATCH(A275,'Teacher Lookup'!$A$2:$A$200,0)),"")</f>
        <v>HO Anda</v>
      </c>
    </row>
    <row r="276" customFormat="false" ht="15" hidden="false" customHeight="false" outlineLevel="0" collapsed="false">
      <c r="A276" s="3" t="s">
        <v>97</v>
      </c>
      <c r="B276" s="4" t="s">
        <v>31</v>
      </c>
      <c r="C276" s="4" t="n">
        <v>4</v>
      </c>
      <c r="D276" s="4" t="s">
        <v>55</v>
      </c>
      <c r="E276" s="3" t="s">
        <v>111</v>
      </c>
      <c r="F276" s="4" t="str">
        <f aca="false">IF(I276&gt;J276,"Y","N")</f>
        <v>N</v>
      </c>
      <c r="G276" s="3" t="s">
        <v>101</v>
      </c>
      <c r="H276" s="3" t="s">
        <v>34</v>
      </c>
      <c r="I276" s="4" t="n">
        <v>8</v>
      </c>
      <c r="J276" s="4" t="n">
        <f aca="false">LEN(E276)-LEN(SUBSTITUTE(E276,",",""))+1</f>
        <v>8</v>
      </c>
      <c r="K276" s="3" t="str">
        <f aca="false">IFERROR(INDEX('Teacher Lookup'!$B$2:$B$200,MATCH(A276,'Teacher Lookup'!$A$2:$A$200,0)),"")</f>
        <v>HO Anda</v>
      </c>
    </row>
    <row r="277" customFormat="false" ht="15" hidden="false" customHeight="false" outlineLevel="0" collapsed="false">
      <c r="A277" s="3" t="s">
        <v>97</v>
      </c>
      <c r="B277" s="4" t="s">
        <v>31</v>
      </c>
      <c r="C277" s="4" t="n">
        <v>4</v>
      </c>
      <c r="D277" s="4" t="s">
        <v>56</v>
      </c>
      <c r="E277" s="3" t="s">
        <v>111</v>
      </c>
      <c r="F277" s="4" t="str">
        <f aca="false">IF(I277&gt;J277,"Y","N")</f>
        <v>N</v>
      </c>
      <c r="G277" s="3" t="s">
        <v>101</v>
      </c>
      <c r="H277" s="3" t="s">
        <v>34</v>
      </c>
      <c r="I277" s="4" t="n">
        <v>8</v>
      </c>
      <c r="J277" s="4" t="n">
        <f aca="false">LEN(E277)-LEN(SUBSTITUTE(E277,",",""))+1</f>
        <v>8</v>
      </c>
      <c r="K277" s="3" t="str">
        <f aca="false">IFERROR(INDEX('Teacher Lookup'!$B$2:$B$200,MATCH(A277,'Teacher Lookup'!$A$2:$A$200,0)),"")</f>
        <v>HO Anda</v>
      </c>
    </row>
    <row r="278" customFormat="false" ht="15" hidden="false" customHeight="false" outlineLevel="0" collapsed="false">
      <c r="A278" s="3" t="s">
        <v>97</v>
      </c>
      <c r="B278" s="4" t="s">
        <v>31</v>
      </c>
      <c r="C278" s="4" t="n">
        <v>4</v>
      </c>
      <c r="D278" s="4" t="s">
        <v>57</v>
      </c>
      <c r="E278" s="3" t="s">
        <v>111</v>
      </c>
      <c r="F278" s="4" t="str">
        <f aca="false">IF(I278&gt;J278,"Y","N")</f>
        <v>N</v>
      </c>
      <c r="G278" s="3" t="s">
        <v>101</v>
      </c>
      <c r="H278" s="3" t="s">
        <v>34</v>
      </c>
      <c r="I278" s="4" t="n">
        <v>8</v>
      </c>
      <c r="J278" s="4" t="n">
        <f aca="false">LEN(E278)-LEN(SUBSTITUTE(E278,",",""))+1</f>
        <v>8</v>
      </c>
      <c r="K278" s="3" t="str">
        <f aca="false">IFERROR(INDEX('Teacher Lookup'!$B$2:$B$200,MATCH(A278,'Teacher Lookup'!$A$2:$A$200,0)),"")</f>
        <v>HO Anda</v>
      </c>
    </row>
    <row r="279" customFormat="false" ht="15" hidden="false" customHeight="false" outlineLevel="0" collapsed="false">
      <c r="A279" s="3" t="s">
        <v>97</v>
      </c>
      <c r="B279" s="4" t="s">
        <v>31</v>
      </c>
      <c r="C279" s="4" t="n">
        <v>4</v>
      </c>
      <c r="D279" s="4" t="s">
        <v>58</v>
      </c>
      <c r="E279" s="3" t="s">
        <v>111</v>
      </c>
      <c r="F279" s="4" t="str">
        <f aca="false">IF(I279&gt;J279,"Y","N")</f>
        <v>N</v>
      </c>
      <c r="G279" s="3" t="s">
        <v>101</v>
      </c>
      <c r="H279" s="3" t="s">
        <v>34</v>
      </c>
      <c r="I279" s="4" t="n">
        <v>8</v>
      </c>
      <c r="J279" s="4" t="n">
        <f aca="false">LEN(E279)-LEN(SUBSTITUTE(E279,",",""))+1</f>
        <v>8</v>
      </c>
      <c r="K279" s="3" t="str">
        <f aca="false">IFERROR(INDEX('Teacher Lookup'!$B$2:$B$200,MATCH(A279,'Teacher Lookup'!$A$2:$A$200,0)),"")</f>
        <v>HO Anda</v>
      </c>
    </row>
    <row r="280" customFormat="false" ht="15" hidden="false" customHeight="false" outlineLevel="0" collapsed="false">
      <c r="A280" s="3" t="s">
        <v>97</v>
      </c>
      <c r="B280" s="4" t="s">
        <v>31</v>
      </c>
      <c r="C280" s="4" t="n">
        <v>4</v>
      </c>
      <c r="D280" s="4" t="s">
        <v>59</v>
      </c>
      <c r="E280" s="3" t="s">
        <v>111</v>
      </c>
      <c r="F280" s="4" t="str">
        <f aca="false">IF(I280&gt;J280,"Y","N")</f>
        <v>N</v>
      </c>
      <c r="G280" s="3" t="s">
        <v>101</v>
      </c>
      <c r="H280" s="3" t="s">
        <v>34</v>
      </c>
      <c r="I280" s="4" t="n">
        <v>8</v>
      </c>
      <c r="J280" s="4" t="n">
        <f aca="false">LEN(E280)-LEN(SUBSTITUTE(E280,",",""))+1</f>
        <v>8</v>
      </c>
      <c r="K280" s="3" t="str">
        <f aca="false">IFERROR(INDEX('Teacher Lookup'!$B$2:$B$200,MATCH(A280,'Teacher Lookup'!$A$2:$A$200,0)),"")</f>
        <v>HO Anda</v>
      </c>
    </row>
    <row r="281" customFormat="false" ht="15" hidden="false" customHeight="false" outlineLevel="0" collapsed="false">
      <c r="A281" s="3" t="s">
        <v>97</v>
      </c>
      <c r="B281" s="4" t="s">
        <v>31</v>
      </c>
      <c r="C281" s="4" t="n">
        <v>5</v>
      </c>
      <c r="D281" s="4" t="s">
        <v>52</v>
      </c>
      <c r="E281" s="3" t="s">
        <v>112</v>
      </c>
      <c r="F281" s="4" t="str">
        <f aca="false">IF(I281&gt;J281,"Y","N")</f>
        <v>Y</v>
      </c>
      <c r="G281" s="3" t="s">
        <v>36</v>
      </c>
      <c r="H281" s="3" t="s">
        <v>37</v>
      </c>
      <c r="I281" s="4" t="n">
        <v>16</v>
      </c>
      <c r="J281" s="4" t="n">
        <f aca="false">LEN(E281)-LEN(SUBSTITUTE(E281,",",""))+1</f>
        <v>7</v>
      </c>
      <c r="K281" s="3" t="str">
        <f aca="false">IFERROR(INDEX('Teacher Lookup'!$B$2:$B$200,MATCH(A281,'Teacher Lookup'!$A$2:$A$200,0)),"")</f>
        <v>HO Anda</v>
      </c>
    </row>
    <row r="282" customFormat="false" ht="15" hidden="false" customHeight="false" outlineLevel="0" collapsed="false">
      <c r="A282" s="3" t="s">
        <v>97</v>
      </c>
      <c r="B282" s="4" t="s">
        <v>31</v>
      </c>
      <c r="C282" s="4" t="n">
        <v>5</v>
      </c>
      <c r="D282" s="4" t="s">
        <v>55</v>
      </c>
      <c r="E282" s="3" t="s">
        <v>112</v>
      </c>
      <c r="F282" s="4" t="str">
        <f aca="false">IF(I282&gt;J282,"Y","N")</f>
        <v>Y</v>
      </c>
      <c r="G282" s="3" t="s">
        <v>36</v>
      </c>
      <c r="H282" s="3" t="s">
        <v>37</v>
      </c>
      <c r="I282" s="4" t="n">
        <v>16</v>
      </c>
      <c r="J282" s="4" t="n">
        <f aca="false">LEN(E282)-LEN(SUBSTITUTE(E282,",",""))+1</f>
        <v>7</v>
      </c>
      <c r="K282" s="3" t="str">
        <f aca="false">IFERROR(INDEX('Teacher Lookup'!$B$2:$B$200,MATCH(A282,'Teacher Lookup'!$A$2:$A$200,0)),"")</f>
        <v>HO Anda</v>
      </c>
    </row>
    <row r="283" customFormat="false" ht="15" hidden="false" customHeight="false" outlineLevel="0" collapsed="false">
      <c r="A283" s="3" t="s">
        <v>97</v>
      </c>
      <c r="B283" s="4" t="s">
        <v>31</v>
      </c>
      <c r="C283" s="4" t="n">
        <v>5</v>
      </c>
      <c r="D283" s="4" t="s">
        <v>56</v>
      </c>
      <c r="E283" s="3" t="s">
        <v>112</v>
      </c>
      <c r="F283" s="4" t="str">
        <f aca="false">IF(I283&gt;J283,"Y","N")</f>
        <v>Y</v>
      </c>
      <c r="G283" s="3" t="s">
        <v>36</v>
      </c>
      <c r="H283" s="3" t="s">
        <v>37</v>
      </c>
      <c r="I283" s="4" t="n">
        <v>16</v>
      </c>
      <c r="J283" s="4" t="n">
        <f aca="false">LEN(E283)-LEN(SUBSTITUTE(E283,",",""))+1</f>
        <v>7</v>
      </c>
      <c r="K283" s="3" t="str">
        <f aca="false">IFERROR(INDEX('Teacher Lookup'!$B$2:$B$200,MATCH(A283,'Teacher Lookup'!$A$2:$A$200,0)),"")</f>
        <v>HO Anda</v>
      </c>
    </row>
    <row r="284" customFormat="false" ht="15" hidden="false" customHeight="false" outlineLevel="0" collapsed="false">
      <c r="A284" s="3" t="s">
        <v>97</v>
      </c>
      <c r="B284" s="4" t="s">
        <v>31</v>
      </c>
      <c r="C284" s="4" t="n">
        <v>5</v>
      </c>
      <c r="D284" s="4" t="s">
        <v>57</v>
      </c>
      <c r="E284" s="3" t="s">
        <v>112</v>
      </c>
      <c r="F284" s="4" t="str">
        <f aca="false">IF(I284&gt;J284,"Y","N")</f>
        <v>Y</v>
      </c>
      <c r="G284" s="3" t="s">
        <v>36</v>
      </c>
      <c r="H284" s="3" t="s">
        <v>37</v>
      </c>
      <c r="I284" s="4" t="n">
        <v>16</v>
      </c>
      <c r="J284" s="4" t="n">
        <f aca="false">LEN(E284)-LEN(SUBSTITUTE(E284,",",""))+1</f>
        <v>7</v>
      </c>
      <c r="K284" s="3" t="str">
        <f aca="false">IFERROR(INDEX('Teacher Lookup'!$B$2:$B$200,MATCH(A284,'Teacher Lookup'!$A$2:$A$200,0)),"")</f>
        <v>HO Anda</v>
      </c>
    </row>
    <row r="285" customFormat="false" ht="15" hidden="false" customHeight="false" outlineLevel="0" collapsed="false">
      <c r="A285" s="3" t="s">
        <v>97</v>
      </c>
      <c r="B285" s="4" t="s">
        <v>31</v>
      </c>
      <c r="C285" s="4" t="n">
        <v>5</v>
      </c>
      <c r="D285" s="4" t="s">
        <v>58</v>
      </c>
      <c r="E285" s="3" t="s">
        <v>112</v>
      </c>
      <c r="F285" s="4" t="str">
        <f aca="false">IF(I285&gt;J285,"Y","N")</f>
        <v>Y</v>
      </c>
      <c r="G285" s="3" t="s">
        <v>36</v>
      </c>
      <c r="H285" s="3" t="s">
        <v>37</v>
      </c>
      <c r="I285" s="4" t="n">
        <v>16</v>
      </c>
      <c r="J285" s="4" t="n">
        <f aca="false">LEN(E285)-LEN(SUBSTITUTE(E285,",",""))+1</f>
        <v>7</v>
      </c>
      <c r="K285" s="3" t="str">
        <f aca="false">IFERROR(INDEX('Teacher Lookup'!$B$2:$B$200,MATCH(A285,'Teacher Lookup'!$A$2:$A$200,0)),"")</f>
        <v>HO Anda</v>
      </c>
    </row>
    <row r="286" customFormat="false" ht="15" hidden="false" customHeight="false" outlineLevel="0" collapsed="false">
      <c r="A286" s="3" t="s">
        <v>97</v>
      </c>
      <c r="B286" s="4" t="s">
        <v>31</v>
      </c>
      <c r="C286" s="4" t="n">
        <v>5</v>
      </c>
      <c r="D286" s="4" t="s">
        <v>59</v>
      </c>
      <c r="E286" s="3" t="s">
        <v>112</v>
      </c>
      <c r="F286" s="4" t="str">
        <f aca="false">IF(I286&gt;J286,"Y","N")</f>
        <v>Y</v>
      </c>
      <c r="G286" s="3" t="s">
        <v>36</v>
      </c>
      <c r="H286" s="3" t="s">
        <v>37</v>
      </c>
      <c r="I286" s="4" t="n">
        <v>16</v>
      </c>
      <c r="J286" s="4" t="n">
        <f aca="false">LEN(E286)-LEN(SUBSTITUTE(E286,",",""))+1</f>
        <v>7</v>
      </c>
      <c r="K286" s="3" t="str">
        <f aca="false">IFERROR(INDEX('Teacher Lookup'!$B$2:$B$200,MATCH(A286,'Teacher Lookup'!$A$2:$A$200,0)),"")</f>
        <v>HO Anda</v>
      </c>
    </row>
    <row r="287" customFormat="false" ht="15" hidden="false" customHeight="false" outlineLevel="0" collapsed="false">
      <c r="A287" s="3" t="s">
        <v>97</v>
      </c>
      <c r="B287" s="4" t="s">
        <v>31</v>
      </c>
      <c r="C287" s="4" t="n">
        <v>7</v>
      </c>
      <c r="D287" s="4" t="s">
        <v>76</v>
      </c>
      <c r="E287" s="3" t="s">
        <v>113</v>
      </c>
      <c r="F287" s="4" t="str">
        <f aca="false">IF(I287&gt;J287,"Y","N")</f>
        <v>N</v>
      </c>
      <c r="G287" s="3" t="s">
        <v>99</v>
      </c>
      <c r="H287" s="3" t="s">
        <v>39</v>
      </c>
      <c r="I287" s="4" t="n">
        <v>1</v>
      </c>
      <c r="J287" s="4" t="n">
        <f aca="false">LEN(E287)-LEN(SUBSTITUTE(E287,",",""))+1</f>
        <v>1</v>
      </c>
      <c r="K287" s="3" t="str">
        <f aca="false">IFERROR(INDEX('Teacher Lookup'!$B$2:$B$200,MATCH(A287,'Teacher Lookup'!$A$2:$A$200,0)),"")</f>
        <v>HO Anda</v>
      </c>
    </row>
    <row r="288" customFormat="false" ht="15" hidden="false" customHeight="false" outlineLevel="0" collapsed="false">
      <c r="A288" s="3" t="s">
        <v>97</v>
      </c>
      <c r="B288" s="4" t="s">
        <v>40</v>
      </c>
      <c r="C288" s="4" t="n">
        <v>1</v>
      </c>
      <c r="D288" s="4" t="s">
        <v>102</v>
      </c>
      <c r="E288" s="3" t="s">
        <v>114</v>
      </c>
      <c r="F288" s="4" t="str">
        <f aca="false">IF(I288&gt;J288,"Y","N")</f>
        <v>N</v>
      </c>
      <c r="G288" s="3" t="s">
        <v>104</v>
      </c>
      <c r="H288" s="3" t="s">
        <v>16</v>
      </c>
      <c r="I288" s="4" t="n">
        <v>6</v>
      </c>
      <c r="J288" s="4" t="n">
        <f aca="false">LEN(E288)-LEN(SUBSTITUTE(E288,",",""))+1</f>
        <v>6</v>
      </c>
      <c r="K288" s="3" t="str">
        <f aca="false">IFERROR(INDEX('Teacher Lookup'!$B$2:$B$200,MATCH(A288,'Teacher Lookup'!$A$2:$A$200,0)),"")</f>
        <v>HO Anda</v>
      </c>
    </row>
    <row r="289" customFormat="false" ht="15" hidden="false" customHeight="false" outlineLevel="0" collapsed="false">
      <c r="A289" s="3" t="s">
        <v>97</v>
      </c>
      <c r="B289" s="4" t="s">
        <v>40</v>
      </c>
      <c r="C289" s="4" t="n">
        <v>1</v>
      </c>
      <c r="D289" s="4" t="s">
        <v>105</v>
      </c>
      <c r="E289" s="3" t="s">
        <v>114</v>
      </c>
      <c r="F289" s="4" t="str">
        <f aca="false">IF(I289&gt;J289,"Y","N")</f>
        <v>N</v>
      </c>
      <c r="G289" s="3" t="s">
        <v>104</v>
      </c>
      <c r="H289" s="3" t="s">
        <v>16</v>
      </c>
      <c r="I289" s="4" t="n">
        <v>6</v>
      </c>
      <c r="J289" s="4" t="n">
        <f aca="false">LEN(E289)-LEN(SUBSTITUTE(E289,",",""))+1</f>
        <v>6</v>
      </c>
      <c r="K289" s="3" t="str">
        <f aca="false">IFERROR(INDEX('Teacher Lookup'!$B$2:$B$200,MATCH(A289,'Teacher Lookup'!$A$2:$A$200,0)),"")</f>
        <v>HO Anda</v>
      </c>
    </row>
    <row r="290" customFormat="false" ht="15" hidden="false" customHeight="false" outlineLevel="0" collapsed="false">
      <c r="A290" s="3" t="s">
        <v>97</v>
      </c>
      <c r="B290" s="4" t="s">
        <v>40</v>
      </c>
      <c r="C290" s="4" t="n">
        <v>1</v>
      </c>
      <c r="D290" s="4" t="s">
        <v>106</v>
      </c>
      <c r="E290" s="3" t="s">
        <v>114</v>
      </c>
      <c r="F290" s="4" t="str">
        <f aca="false">IF(I290&gt;J290,"Y","N")</f>
        <v>N</v>
      </c>
      <c r="G290" s="3" t="s">
        <v>104</v>
      </c>
      <c r="H290" s="3" t="s">
        <v>16</v>
      </c>
      <c r="I290" s="4" t="n">
        <v>6</v>
      </c>
      <c r="J290" s="4" t="n">
        <f aca="false">LEN(E290)-LEN(SUBSTITUTE(E290,",",""))+1</f>
        <v>6</v>
      </c>
      <c r="K290" s="3" t="str">
        <f aca="false">IFERROR(INDEX('Teacher Lookup'!$B$2:$B$200,MATCH(A290,'Teacher Lookup'!$A$2:$A$200,0)),"")</f>
        <v>HO Anda</v>
      </c>
    </row>
    <row r="291" customFormat="false" ht="15" hidden="false" customHeight="false" outlineLevel="0" collapsed="false">
      <c r="A291" s="3" t="s">
        <v>97</v>
      </c>
      <c r="B291" s="4" t="s">
        <v>40</v>
      </c>
      <c r="C291" s="4" t="n">
        <v>1</v>
      </c>
      <c r="D291" s="4" t="s">
        <v>107</v>
      </c>
      <c r="E291" s="3" t="s">
        <v>114</v>
      </c>
      <c r="F291" s="4" t="str">
        <f aca="false">IF(I291&gt;J291,"Y","N")</f>
        <v>N</v>
      </c>
      <c r="G291" s="3" t="s">
        <v>104</v>
      </c>
      <c r="H291" s="3" t="s">
        <v>16</v>
      </c>
      <c r="I291" s="4" t="n">
        <v>6</v>
      </c>
      <c r="J291" s="4" t="n">
        <f aca="false">LEN(E291)-LEN(SUBSTITUTE(E291,",",""))+1</f>
        <v>6</v>
      </c>
      <c r="K291" s="3" t="str">
        <f aca="false">IFERROR(INDEX('Teacher Lookup'!$B$2:$B$200,MATCH(A291,'Teacher Lookup'!$A$2:$A$200,0)),"")</f>
        <v>HO Anda</v>
      </c>
    </row>
    <row r="292" customFormat="false" ht="15" hidden="false" customHeight="false" outlineLevel="0" collapsed="false">
      <c r="A292" s="3" t="s">
        <v>97</v>
      </c>
      <c r="B292" s="4" t="s">
        <v>40</v>
      </c>
      <c r="C292" s="4" t="n">
        <v>2</v>
      </c>
      <c r="D292" s="4" t="s">
        <v>70</v>
      </c>
      <c r="E292" s="3" t="s">
        <v>108</v>
      </c>
      <c r="F292" s="4" t="str">
        <f aca="false">IF(I292&gt;J292,"Y","N")</f>
        <v>N</v>
      </c>
      <c r="G292" s="3" t="s">
        <v>99</v>
      </c>
      <c r="H292" s="3" t="s">
        <v>21</v>
      </c>
      <c r="I292" s="4" t="n">
        <v>1</v>
      </c>
      <c r="J292" s="4" t="n">
        <f aca="false">LEN(E292)-LEN(SUBSTITUTE(E292,",",""))+1</f>
        <v>1</v>
      </c>
      <c r="K292" s="3" t="str">
        <f aca="false">IFERROR(INDEX('Teacher Lookup'!$B$2:$B$200,MATCH(A292,'Teacher Lookup'!$A$2:$A$200,0)),"")</f>
        <v>HO Anda</v>
      </c>
    </row>
    <row r="293" customFormat="false" ht="15" hidden="false" customHeight="false" outlineLevel="0" collapsed="false">
      <c r="A293" s="3" t="s">
        <v>97</v>
      </c>
      <c r="B293" s="4" t="s">
        <v>40</v>
      </c>
      <c r="C293" s="4" t="n">
        <v>4</v>
      </c>
      <c r="D293" s="4" t="s">
        <v>57</v>
      </c>
      <c r="E293" s="3" t="s">
        <v>98</v>
      </c>
      <c r="F293" s="4" t="str">
        <f aca="false">IF(I293&gt;J293,"Y","N")</f>
        <v>N</v>
      </c>
      <c r="G293" s="3" t="s">
        <v>99</v>
      </c>
      <c r="H293" s="3" t="s">
        <v>34</v>
      </c>
      <c r="I293" s="4" t="n">
        <v>1</v>
      </c>
      <c r="J293" s="4" t="n">
        <f aca="false">LEN(E293)-LEN(SUBSTITUTE(E293,",",""))+1</f>
        <v>1</v>
      </c>
      <c r="K293" s="3" t="str">
        <f aca="false">IFERROR(INDEX('Teacher Lookup'!$B$2:$B$200,MATCH(A293,'Teacher Lookup'!$A$2:$A$200,0)),"")</f>
        <v>HO Anda</v>
      </c>
    </row>
    <row r="294" customFormat="false" ht="15" hidden="false" customHeight="false" outlineLevel="0" collapsed="false">
      <c r="A294" s="3" t="s">
        <v>97</v>
      </c>
      <c r="B294" s="4" t="s">
        <v>44</v>
      </c>
      <c r="C294" s="4" t="n">
        <v>2</v>
      </c>
      <c r="D294" s="4" t="s">
        <v>102</v>
      </c>
      <c r="E294" s="3" t="s">
        <v>110</v>
      </c>
      <c r="F294" s="4" t="str">
        <f aca="false">IF(I294&gt;J294,"Y","N")</f>
        <v>N</v>
      </c>
      <c r="G294" s="3" t="s">
        <v>104</v>
      </c>
      <c r="H294" s="3" t="s">
        <v>21</v>
      </c>
      <c r="I294" s="4" t="n">
        <v>6</v>
      </c>
      <c r="J294" s="4" t="n">
        <f aca="false">LEN(E294)-LEN(SUBSTITUTE(E294,",",""))+1</f>
        <v>6</v>
      </c>
      <c r="K294" s="3" t="str">
        <f aca="false">IFERROR(INDEX('Teacher Lookup'!$B$2:$B$200,MATCH(A294,'Teacher Lookup'!$A$2:$A$200,0)),"")</f>
        <v>HO Anda</v>
      </c>
    </row>
    <row r="295" customFormat="false" ht="15" hidden="false" customHeight="false" outlineLevel="0" collapsed="false">
      <c r="A295" s="3" t="s">
        <v>97</v>
      </c>
      <c r="B295" s="4" t="s">
        <v>44</v>
      </c>
      <c r="C295" s="4" t="n">
        <v>2</v>
      </c>
      <c r="D295" s="4" t="s">
        <v>105</v>
      </c>
      <c r="E295" s="3" t="s">
        <v>110</v>
      </c>
      <c r="F295" s="4" t="str">
        <f aca="false">IF(I295&gt;J295,"Y","N")</f>
        <v>N</v>
      </c>
      <c r="G295" s="3" t="s">
        <v>104</v>
      </c>
      <c r="H295" s="3" t="s">
        <v>21</v>
      </c>
      <c r="I295" s="4" t="n">
        <v>6</v>
      </c>
      <c r="J295" s="4" t="n">
        <f aca="false">LEN(E295)-LEN(SUBSTITUTE(E295,",",""))+1</f>
        <v>6</v>
      </c>
      <c r="K295" s="3" t="str">
        <f aca="false">IFERROR(INDEX('Teacher Lookup'!$B$2:$B$200,MATCH(A295,'Teacher Lookup'!$A$2:$A$200,0)),"")</f>
        <v>HO Anda</v>
      </c>
    </row>
    <row r="296" customFormat="false" ht="15" hidden="false" customHeight="false" outlineLevel="0" collapsed="false">
      <c r="A296" s="3" t="s">
        <v>97</v>
      </c>
      <c r="B296" s="4" t="s">
        <v>44</v>
      </c>
      <c r="C296" s="4" t="n">
        <v>2</v>
      </c>
      <c r="D296" s="4" t="s">
        <v>106</v>
      </c>
      <c r="E296" s="3" t="s">
        <v>110</v>
      </c>
      <c r="F296" s="4" t="str">
        <f aca="false">IF(I296&gt;J296,"Y","N")</f>
        <v>N</v>
      </c>
      <c r="G296" s="3" t="s">
        <v>104</v>
      </c>
      <c r="H296" s="3" t="s">
        <v>21</v>
      </c>
      <c r="I296" s="4" t="n">
        <v>6</v>
      </c>
      <c r="J296" s="4" t="n">
        <f aca="false">LEN(E296)-LEN(SUBSTITUTE(E296,",",""))+1</f>
        <v>6</v>
      </c>
      <c r="K296" s="3" t="str">
        <f aca="false">IFERROR(INDEX('Teacher Lookup'!$B$2:$B$200,MATCH(A296,'Teacher Lookup'!$A$2:$A$200,0)),"")</f>
        <v>HO Anda</v>
      </c>
    </row>
    <row r="297" customFormat="false" ht="15" hidden="false" customHeight="false" outlineLevel="0" collapsed="false">
      <c r="A297" s="3" t="s">
        <v>97</v>
      </c>
      <c r="B297" s="4" t="s">
        <v>44</v>
      </c>
      <c r="C297" s="4" t="n">
        <v>2</v>
      </c>
      <c r="D297" s="4" t="s">
        <v>107</v>
      </c>
      <c r="E297" s="3" t="s">
        <v>110</v>
      </c>
      <c r="F297" s="4" t="str">
        <f aca="false">IF(I297&gt;J297,"Y","N")</f>
        <v>N</v>
      </c>
      <c r="G297" s="3" t="s">
        <v>104</v>
      </c>
      <c r="H297" s="3" t="s">
        <v>21</v>
      </c>
      <c r="I297" s="4" t="n">
        <v>6</v>
      </c>
      <c r="J297" s="4" t="n">
        <f aca="false">LEN(E297)-LEN(SUBSTITUTE(E297,",",""))+1</f>
        <v>6</v>
      </c>
      <c r="K297" s="3" t="str">
        <f aca="false">IFERROR(INDEX('Teacher Lookup'!$B$2:$B$200,MATCH(A297,'Teacher Lookup'!$A$2:$A$200,0)),"")</f>
        <v>HO Anda</v>
      </c>
    </row>
    <row r="298" customFormat="false" ht="15" hidden="false" customHeight="false" outlineLevel="0" collapsed="false">
      <c r="A298" s="3" t="s">
        <v>97</v>
      </c>
      <c r="B298" s="4" t="s">
        <v>44</v>
      </c>
      <c r="C298" s="4" t="n">
        <v>4</v>
      </c>
      <c r="D298" s="4" t="s">
        <v>52</v>
      </c>
      <c r="E298" s="3" t="s">
        <v>115</v>
      </c>
      <c r="F298" s="4" t="str">
        <f aca="false">IF(I298&gt;J298,"Y","N")</f>
        <v>Y</v>
      </c>
      <c r="G298" s="3" t="s">
        <v>101</v>
      </c>
      <c r="H298" s="3" t="s">
        <v>34</v>
      </c>
      <c r="I298" s="4" t="n">
        <v>9</v>
      </c>
      <c r="J298" s="4" t="n">
        <f aca="false">LEN(E298)-LEN(SUBSTITUTE(E298,",",""))+1</f>
        <v>8</v>
      </c>
      <c r="K298" s="3" t="str">
        <f aca="false">IFERROR(INDEX('Teacher Lookup'!$B$2:$B$200,MATCH(A298,'Teacher Lookup'!$A$2:$A$200,0)),"")</f>
        <v>HO Anda</v>
      </c>
    </row>
    <row r="299" customFormat="false" ht="15" hidden="false" customHeight="false" outlineLevel="0" collapsed="false">
      <c r="A299" s="3" t="s">
        <v>97</v>
      </c>
      <c r="B299" s="4" t="s">
        <v>44</v>
      </c>
      <c r="C299" s="4" t="n">
        <v>4</v>
      </c>
      <c r="D299" s="4" t="s">
        <v>55</v>
      </c>
      <c r="E299" s="3" t="s">
        <v>115</v>
      </c>
      <c r="F299" s="4" t="str">
        <f aca="false">IF(I299&gt;J299,"Y","N")</f>
        <v>Y</v>
      </c>
      <c r="G299" s="3" t="s">
        <v>101</v>
      </c>
      <c r="H299" s="3" t="s">
        <v>34</v>
      </c>
      <c r="I299" s="4" t="n">
        <v>9</v>
      </c>
      <c r="J299" s="4" t="n">
        <f aca="false">LEN(E299)-LEN(SUBSTITUTE(E299,",",""))+1</f>
        <v>8</v>
      </c>
      <c r="K299" s="3" t="str">
        <f aca="false">IFERROR(INDEX('Teacher Lookup'!$B$2:$B$200,MATCH(A299,'Teacher Lookup'!$A$2:$A$200,0)),"")</f>
        <v>HO Anda</v>
      </c>
    </row>
    <row r="300" customFormat="false" ht="15" hidden="false" customHeight="false" outlineLevel="0" collapsed="false">
      <c r="A300" s="3" t="s">
        <v>97</v>
      </c>
      <c r="B300" s="4" t="s">
        <v>44</v>
      </c>
      <c r="C300" s="4" t="n">
        <v>4</v>
      </c>
      <c r="D300" s="4" t="s">
        <v>56</v>
      </c>
      <c r="E300" s="3" t="s">
        <v>115</v>
      </c>
      <c r="F300" s="4" t="str">
        <f aca="false">IF(I300&gt;J300,"Y","N")</f>
        <v>Y</v>
      </c>
      <c r="G300" s="3" t="s">
        <v>101</v>
      </c>
      <c r="H300" s="3" t="s">
        <v>34</v>
      </c>
      <c r="I300" s="4" t="n">
        <v>9</v>
      </c>
      <c r="J300" s="4" t="n">
        <f aca="false">LEN(E300)-LEN(SUBSTITUTE(E300,",",""))+1</f>
        <v>8</v>
      </c>
      <c r="K300" s="3" t="str">
        <f aca="false">IFERROR(INDEX('Teacher Lookup'!$B$2:$B$200,MATCH(A300,'Teacher Lookup'!$A$2:$A$200,0)),"")</f>
        <v>HO Anda</v>
      </c>
    </row>
    <row r="301" customFormat="false" ht="15" hidden="false" customHeight="false" outlineLevel="0" collapsed="false">
      <c r="A301" s="3" t="s">
        <v>97</v>
      </c>
      <c r="B301" s="4" t="s">
        <v>44</v>
      </c>
      <c r="C301" s="4" t="n">
        <v>4</v>
      </c>
      <c r="D301" s="4" t="s">
        <v>57</v>
      </c>
      <c r="E301" s="3" t="s">
        <v>115</v>
      </c>
      <c r="F301" s="4" t="str">
        <f aca="false">IF(I301&gt;J301,"Y","N")</f>
        <v>Y</v>
      </c>
      <c r="G301" s="3" t="s">
        <v>101</v>
      </c>
      <c r="H301" s="3" t="s">
        <v>34</v>
      </c>
      <c r="I301" s="4" t="n">
        <v>9</v>
      </c>
      <c r="J301" s="4" t="n">
        <f aca="false">LEN(E301)-LEN(SUBSTITUTE(E301,",",""))+1</f>
        <v>8</v>
      </c>
      <c r="K301" s="3" t="str">
        <f aca="false">IFERROR(INDEX('Teacher Lookup'!$B$2:$B$200,MATCH(A301,'Teacher Lookup'!$A$2:$A$200,0)),"")</f>
        <v>HO Anda</v>
      </c>
    </row>
    <row r="302" customFormat="false" ht="15" hidden="false" customHeight="false" outlineLevel="0" collapsed="false">
      <c r="A302" s="3" t="s">
        <v>97</v>
      </c>
      <c r="B302" s="4" t="s">
        <v>44</v>
      </c>
      <c r="C302" s="4" t="n">
        <v>4</v>
      </c>
      <c r="D302" s="4" t="s">
        <v>58</v>
      </c>
      <c r="E302" s="3" t="s">
        <v>115</v>
      </c>
      <c r="F302" s="4" t="str">
        <f aca="false">IF(I302&gt;J302,"Y","N")</f>
        <v>Y</v>
      </c>
      <c r="G302" s="3" t="s">
        <v>101</v>
      </c>
      <c r="H302" s="3" t="s">
        <v>34</v>
      </c>
      <c r="I302" s="4" t="n">
        <v>9</v>
      </c>
      <c r="J302" s="4" t="n">
        <f aca="false">LEN(E302)-LEN(SUBSTITUTE(E302,",",""))+1</f>
        <v>8</v>
      </c>
      <c r="K302" s="3" t="str">
        <f aca="false">IFERROR(INDEX('Teacher Lookup'!$B$2:$B$200,MATCH(A302,'Teacher Lookup'!$A$2:$A$200,0)),"")</f>
        <v>HO Anda</v>
      </c>
    </row>
    <row r="303" customFormat="false" ht="15" hidden="false" customHeight="false" outlineLevel="0" collapsed="false">
      <c r="A303" s="3" t="s">
        <v>97</v>
      </c>
      <c r="B303" s="4" t="s">
        <v>44</v>
      </c>
      <c r="C303" s="4" t="n">
        <v>4</v>
      </c>
      <c r="D303" s="4" t="s">
        <v>59</v>
      </c>
      <c r="E303" s="3" t="s">
        <v>115</v>
      </c>
      <c r="F303" s="4" t="str">
        <f aca="false">IF(I303&gt;J303,"Y","N")</f>
        <v>Y</v>
      </c>
      <c r="G303" s="3" t="s">
        <v>101</v>
      </c>
      <c r="H303" s="3" t="s">
        <v>34</v>
      </c>
      <c r="I303" s="4" t="n">
        <v>9</v>
      </c>
      <c r="J303" s="4" t="n">
        <f aca="false">LEN(E303)-LEN(SUBSTITUTE(E303,",",""))+1</f>
        <v>8</v>
      </c>
      <c r="K303" s="3" t="str">
        <f aca="false">IFERROR(INDEX('Teacher Lookup'!$B$2:$B$200,MATCH(A303,'Teacher Lookup'!$A$2:$A$200,0)),"")</f>
        <v>HO Anda</v>
      </c>
    </row>
    <row r="304" customFormat="false" ht="15" hidden="false" customHeight="false" outlineLevel="0" collapsed="false">
      <c r="A304" s="3" t="s">
        <v>97</v>
      </c>
      <c r="B304" s="4" t="s">
        <v>44</v>
      </c>
      <c r="C304" s="4" t="n">
        <v>5</v>
      </c>
      <c r="D304" s="4" t="s">
        <v>52</v>
      </c>
      <c r="E304" s="3" t="s">
        <v>112</v>
      </c>
      <c r="F304" s="4" t="str">
        <f aca="false">IF(I304&gt;J304,"Y","N")</f>
        <v>Y</v>
      </c>
      <c r="G304" s="3" t="s">
        <v>36</v>
      </c>
      <c r="H304" s="3" t="s">
        <v>37</v>
      </c>
      <c r="I304" s="4" t="n">
        <v>16</v>
      </c>
      <c r="J304" s="4" t="n">
        <f aca="false">LEN(E304)-LEN(SUBSTITUTE(E304,",",""))+1</f>
        <v>7</v>
      </c>
      <c r="K304" s="3" t="str">
        <f aca="false">IFERROR(INDEX('Teacher Lookup'!$B$2:$B$200,MATCH(A304,'Teacher Lookup'!$A$2:$A$200,0)),"")</f>
        <v>HO Anda</v>
      </c>
    </row>
    <row r="305" customFormat="false" ht="15" hidden="false" customHeight="false" outlineLevel="0" collapsed="false">
      <c r="A305" s="3" t="s">
        <v>97</v>
      </c>
      <c r="B305" s="4" t="s">
        <v>44</v>
      </c>
      <c r="C305" s="4" t="n">
        <v>5</v>
      </c>
      <c r="D305" s="4" t="s">
        <v>55</v>
      </c>
      <c r="E305" s="3" t="s">
        <v>112</v>
      </c>
      <c r="F305" s="4" t="str">
        <f aca="false">IF(I305&gt;J305,"Y","N")</f>
        <v>Y</v>
      </c>
      <c r="G305" s="3" t="s">
        <v>36</v>
      </c>
      <c r="H305" s="3" t="s">
        <v>37</v>
      </c>
      <c r="I305" s="4" t="n">
        <v>16</v>
      </c>
      <c r="J305" s="4" t="n">
        <f aca="false">LEN(E305)-LEN(SUBSTITUTE(E305,",",""))+1</f>
        <v>7</v>
      </c>
      <c r="K305" s="3" t="str">
        <f aca="false">IFERROR(INDEX('Teacher Lookup'!$B$2:$B$200,MATCH(A305,'Teacher Lookup'!$A$2:$A$200,0)),"")</f>
        <v>HO Anda</v>
      </c>
    </row>
    <row r="306" customFormat="false" ht="15" hidden="false" customHeight="false" outlineLevel="0" collapsed="false">
      <c r="A306" s="3" t="s">
        <v>97</v>
      </c>
      <c r="B306" s="4" t="s">
        <v>44</v>
      </c>
      <c r="C306" s="4" t="n">
        <v>5</v>
      </c>
      <c r="D306" s="4" t="s">
        <v>56</v>
      </c>
      <c r="E306" s="3" t="s">
        <v>112</v>
      </c>
      <c r="F306" s="4" t="str">
        <f aca="false">IF(I306&gt;J306,"Y","N")</f>
        <v>Y</v>
      </c>
      <c r="G306" s="3" t="s">
        <v>36</v>
      </c>
      <c r="H306" s="3" t="s">
        <v>37</v>
      </c>
      <c r="I306" s="4" t="n">
        <v>16</v>
      </c>
      <c r="J306" s="4" t="n">
        <f aca="false">LEN(E306)-LEN(SUBSTITUTE(E306,",",""))+1</f>
        <v>7</v>
      </c>
      <c r="K306" s="3" t="str">
        <f aca="false">IFERROR(INDEX('Teacher Lookup'!$B$2:$B$200,MATCH(A306,'Teacher Lookup'!$A$2:$A$200,0)),"")</f>
        <v>HO Anda</v>
      </c>
    </row>
    <row r="307" customFormat="false" ht="15" hidden="false" customHeight="false" outlineLevel="0" collapsed="false">
      <c r="A307" s="3" t="s">
        <v>97</v>
      </c>
      <c r="B307" s="4" t="s">
        <v>44</v>
      </c>
      <c r="C307" s="4" t="n">
        <v>5</v>
      </c>
      <c r="D307" s="4" t="s">
        <v>57</v>
      </c>
      <c r="E307" s="3" t="s">
        <v>112</v>
      </c>
      <c r="F307" s="4" t="str">
        <f aca="false">IF(I307&gt;J307,"Y","N")</f>
        <v>Y</v>
      </c>
      <c r="G307" s="3" t="s">
        <v>36</v>
      </c>
      <c r="H307" s="3" t="s">
        <v>37</v>
      </c>
      <c r="I307" s="4" t="n">
        <v>16</v>
      </c>
      <c r="J307" s="4" t="n">
        <f aca="false">LEN(E307)-LEN(SUBSTITUTE(E307,",",""))+1</f>
        <v>7</v>
      </c>
      <c r="K307" s="3" t="str">
        <f aca="false">IFERROR(INDEX('Teacher Lookup'!$B$2:$B$200,MATCH(A307,'Teacher Lookup'!$A$2:$A$200,0)),"")</f>
        <v>HO Anda</v>
      </c>
    </row>
    <row r="308" customFormat="false" ht="15" hidden="false" customHeight="false" outlineLevel="0" collapsed="false">
      <c r="A308" s="3" t="s">
        <v>97</v>
      </c>
      <c r="B308" s="4" t="s">
        <v>44</v>
      </c>
      <c r="C308" s="4" t="n">
        <v>5</v>
      </c>
      <c r="D308" s="4" t="s">
        <v>58</v>
      </c>
      <c r="E308" s="3" t="s">
        <v>112</v>
      </c>
      <c r="F308" s="4" t="str">
        <f aca="false">IF(I308&gt;J308,"Y","N")</f>
        <v>Y</v>
      </c>
      <c r="G308" s="3" t="s">
        <v>36</v>
      </c>
      <c r="H308" s="3" t="s">
        <v>37</v>
      </c>
      <c r="I308" s="4" t="n">
        <v>16</v>
      </c>
      <c r="J308" s="4" t="n">
        <f aca="false">LEN(E308)-LEN(SUBSTITUTE(E308,",",""))+1</f>
        <v>7</v>
      </c>
      <c r="K308" s="3" t="str">
        <f aca="false">IFERROR(INDEX('Teacher Lookup'!$B$2:$B$200,MATCH(A308,'Teacher Lookup'!$A$2:$A$200,0)),"")</f>
        <v>HO Anda</v>
      </c>
    </row>
    <row r="309" customFormat="false" ht="15" hidden="false" customHeight="false" outlineLevel="0" collapsed="false">
      <c r="A309" s="3" t="s">
        <v>97</v>
      </c>
      <c r="B309" s="4" t="s">
        <v>44</v>
      </c>
      <c r="C309" s="4" t="n">
        <v>5</v>
      </c>
      <c r="D309" s="4" t="s">
        <v>59</v>
      </c>
      <c r="E309" s="3" t="s">
        <v>112</v>
      </c>
      <c r="F309" s="4" t="str">
        <f aca="false">IF(I309&gt;J309,"Y","N")</f>
        <v>Y</v>
      </c>
      <c r="G309" s="3" t="s">
        <v>36</v>
      </c>
      <c r="H309" s="3" t="s">
        <v>37</v>
      </c>
      <c r="I309" s="4" t="n">
        <v>16</v>
      </c>
      <c r="J309" s="4" t="n">
        <f aca="false">LEN(E309)-LEN(SUBSTITUTE(E309,",",""))+1</f>
        <v>7</v>
      </c>
      <c r="K309" s="3" t="str">
        <f aca="false">IFERROR(INDEX('Teacher Lookup'!$B$2:$B$200,MATCH(A309,'Teacher Lookup'!$A$2:$A$200,0)),"")</f>
        <v>HO Anda</v>
      </c>
    </row>
    <row r="310" customFormat="false" ht="15" hidden="false" customHeight="false" outlineLevel="0" collapsed="false">
      <c r="A310" s="3" t="s">
        <v>97</v>
      </c>
      <c r="B310" s="4" t="s">
        <v>44</v>
      </c>
      <c r="C310" s="4" t="n">
        <v>6</v>
      </c>
      <c r="D310" s="4" t="s">
        <v>57</v>
      </c>
      <c r="E310" s="3" t="s">
        <v>98</v>
      </c>
      <c r="F310" s="4" t="str">
        <f aca="false">IF(I310&gt;J310,"Y","N")</f>
        <v>N</v>
      </c>
      <c r="G310" s="3" t="s">
        <v>99</v>
      </c>
      <c r="H310" s="3" t="s">
        <v>42</v>
      </c>
      <c r="I310" s="4" t="n">
        <v>1</v>
      </c>
      <c r="J310" s="4" t="n">
        <f aca="false">LEN(E310)-LEN(SUBSTITUTE(E310,",",""))+1</f>
        <v>1</v>
      </c>
      <c r="K310" s="3" t="str">
        <f aca="false">IFERROR(INDEX('Teacher Lookup'!$B$2:$B$200,MATCH(A310,'Teacher Lookup'!$A$2:$A$200,0)),"")</f>
        <v>HO Anda</v>
      </c>
    </row>
    <row r="311" customFormat="false" ht="15" hidden="false" customHeight="false" outlineLevel="0" collapsed="false">
      <c r="A311" s="3" t="s">
        <v>97</v>
      </c>
      <c r="B311" s="4" t="s">
        <v>47</v>
      </c>
      <c r="C311" s="4" t="n">
        <v>5</v>
      </c>
      <c r="D311" s="4" t="s">
        <v>102</v>
      </c>
      <c r="E311" s="3" t="s">
        <v>116</v>
      </c>
      <c r="F311" s="4" t="str">
        <f aca="false">IF(I311&gt;J311,"Y","N")</f>
        <v>N</v>
      </c>
      <c r="G311" s="3" t="s">
        <v>104</v>
      </c>
      <c r="H311" s="3" t="s">
        <v>37</v>
      </c>
      <c r="I311" s="4" t="n">
        <v>6</v>
      </c>
      <c r="J311" s="4" t="n">
        <f aca="false">LEN(E311)-LEN(SUBSTITUTE(E311,",",""))+1</f>
        <v>6</v>
      </c>
      <c r="K311" s="3" t="str">
        <f aca="false">IFERROR(INDEX('Teacher Lookup'!$B$2:$B$200,MATCH(A311,'Teacher Lookup'!$A$2:$A$200,0)),"")</f>
        <v>HO Anda</v>
      </c>
    </row>
    <row r="312" customFormat="false" ht="15" hidden="false" customHeight="false" outlineLevel="0" collapsed="false">
      <c r="A312" s="3" t="s">
        <v>97</v>
      </c>
      <c r="B312" s="4" t="s">
        <v>47</v>
      </c>
      <c r="C312" s="4" t="n">
        <v>5</v>
      </c>
      <c r="D312" s="4" t="s">
        <v>105</v>
      </c>
      <c r="E312" s="3" t="s">
        <v>116</v>
      </c>
      <c r="F312" s="4" t="str">
        <f aca="false">IF(I312&gt;J312,"Y","N")</f>
        <v>N</v>
      </c>
      <c r="G312" s="3" t="s">
        <v>104</v>
      </c>
      <c r="H312" s="3" t="s">
        <v>37</v>
      </c>
      <c r="I312" s="4" t="n">
        <v>6</v>
      </c>
      <c r="J312" s="4" t="n">
        <f aca="false">LEN(E312)-LEN(SUBSTITUTE(E312,",",""))+1</f>
        <v>6</v>
      </c>
      <c r="K312" s="3" t="str">
        <f aca="false">IFERROR(INDEX('Teacher Lookup'!$B$2:$B$200,MATCH(A312,'Teacher Lookup'!$A$2:$A$200,0)),"")</f>
        <v>HO Anda</v>
      </c>
    </row>
    <row r="313" customFormat="false" ht="15" hidden="false" customHeight="false" outlineLevel="0" collapsed="false">
      <c r="A313" s="3" t="s">
        <v>97</v>
      </c>
      <c r="B313" s="4" t="s">
        <v>47</v>
      </c>
      <c r="C313" s="4" t="n">
        <v>5</v>
      </c>
      <c r="D313" s="4" t="s">
        <v>106</v>
      </c>
      <c r="E313" s="3" t="s">
        <v>116</v>
      </c>
      <c r="F313" s="4" t="str">
        <f aca="false">IF(I313&gt;J313,"Y","N")</f>
        <v>N</v>
      </c>
      <c r="G313" s="3" t="s">
        <v>104</v>
      </c>
      <c r="H313" s="3" t="s">
        <v>37</v>
      </c>
      <c r="I313" s="4" t="n">
        <v>6</v>
      </c>
      <c r="J313" s="4" t="n">
        <f aca="false">LEN(E313)-LEN(SUBSTITUTE(E313,",",""))+1</f>
        <v>6</v>
      </c>
      <c r="K313" s="3" t="str">
        <f aca="false">IFERROR(INDEX('Teacher Lookup'!$B$2:$B$200,MATCH(A313,'Teacher Lookup'!$A$2:$A$200,0)),"")</f>
        <v>HO Anda</v>
      </c>
    </row>
    <row r="314" customFormat="false" ht="15" hidden="false" customHeight="false" outlineLevel="0" collapsed="false">
      <c r="A314" s="3" t="s">
        <v>97</v>
      </c>
      <c r="B314" s="4" t="s">
        <v>47</v>
      </c>
      <c r="C314" s="4" t="n">
        <v>5</v>
      </c>
      <c r="D314" s="4" t="s">
        <v>107</v>
      </c>
      <c r="E314" s="3" t="s">
        <v>116</v>
      </c>
      <c r="F314" s="4" t="str">
        <f aca="false">IF(I314&gt;J314,"Y","N")</f>
        <v>N</v>
      </c>
      <c r="G314" s="3" t="s">
        <v>104</v>
      </c>
      <c r="H314" s="3" t="s">
        <v>37</v>
      </c>
      <c r="I314" s="4" t="n">
        <v>6</v>
      </c>
      <c r="J314" s="4" t="n">
        <f aca="false">LEN(E314)-LEN(SUBSTITUTE(E314,",",""))+1</f>
        <v>6</v>
      </c>
      <c r="K314" s="3" t="str">
        <f aca="false">IFERROR(INDEX('Teacher Lookup'!$B$2:$B$200,MATCH(A314,'Teacher Lookup'!$A$2:$A$200,0)),"")</f>
        <v>HO Anda</v>
      </c>
    </row>
    <row r="315" customFormat="false" ht="15" hidden="false" customHeight="false" outlineLevel="0" collapsed="false">
      <c r="A315" s="3" t="s">
        <v>97</v>
      </c>
      <c r="B315" s="4" t="s">
        <v>47</v>
      </c>
      <c r="C315" s="4" t="n">
        <v>6</v>
      </c>
      <c r="D315" s="4" t="s">
        <v>52</v>
      </c>
      <c r="E315" s="3" t="s">
        <v>117</v>
      </c>
      <c r="F315" s="4" t="str">
        <f aca="false">IF(I315&gt;J315,"Y","N")</f>
        <v>N</v>
      </c>
      <c r="G315" s="3" t="s">
        <v>101</v>
      </c>
      <c r="H315" s="3" t="s">
        <v>42</v>
      </c>
      <c r="I315" s="4" t="n">
        <v>8</v>
      </c>
      <c r="J315" s="4" t="n">
        <f aca="false">LEN(E315)-LEN(SUBSTITUTE(E315,",",""))+1</f>
        <v>8</v>
      </c>
      <c r="K315" s="3" t="str">
        <f aca="false">IFERROR(INDEX('Teacher Lookup'!$B$2:$B$200,MATCH(A315,'Teacher Lookup'!$A$2:$A$200,0)),"")</f>
        <v>HO Anda</v>
      </c>
    </row>
    <row r="316" customFormat="false" ht="15" hidden="false" customHeight="false" outlineLevel="0" collapsed="false">
      <c r="A316" s="3" t="s">
        <v>97</v>
      </c>
      <c r="B316" s="4" t="s">
        <v>47</v>
      </c>
      <c r="C316" s="4" t="n">
        <v>6</v>
      </c>
      <c r="D316" s="4" t="s">
        <v>55</v>
      </c>
      <c r="E316" s="3" t="s">
        <v>117</v>
      </c>
      <c r="F316" s="4" t="str">
        <f aca="false">IF(I316&gt;J316,"Y","N")</f>
        <v>N</v>
      </c>
      <c r="G316" s="3" t="s">
        <v>101</v>
      </c>
      <c r="H316" s="3" t="s">
        <v>42</v>
      </c>
      <c r="I316" s="4" t="n">
        <v>8</v>
      </c>
      <c r="J316" s="4" t="n">
        <f aca="false">LEN(E316)-LEN(SUBSTITUTE(E316,",",""))+1</f>
        <v>8</v>
      </c>
      <c r="K316" s="3" t="str">
        <f aca="false">IFERROR(INDEX('Teacher Lookup'!$B$2:$B$200,MATCH(A316,'Teacher Lookup'!$A$2:$A$200,0)),"")</f>
        <v>HO Anda</v>
      </c>
    </row>
    <row r="317" customFormat="false" ht="15" hidden="false" customHeight="false" outlineLevel="0" collapsed="false">
      <c r="A317" s="3" t="s">
        <v>97</v>
      </c>
      <c r="B317" s="4" t="s">
        <v>47</v>
      </c>
      <c r="C317" s="4" t="n">
        <v>6</v>
      </c>
      <c r="D317" s="4" t="s">
        <v>56</v>
      </c>
      <c r="E317" s="3" t="s">
        <v>117</v>
      </c>
      <c r="F317" s="4" t="str">
        <f aca="false">IF(I317&gt;J317,"Y","N")</f>
        <v>N</v>
      </c>
      <c r="G317" s="3" t="s">
        <v>101</v>
      </c>
      <c r="H317" s="3" t="s">
        <v>42</v>
      </c>
      <c r="I317" s="4" t="n">
        <v>8</v>
      </c>
      <c r="J317" s="4" t="n">
        <f aca="false">LEN(E317)-LEN(SUBSTITUTE(E317,",",""))+1</f>
        <v>8</v>
      </c>
      <c r="K317" s="3" t="str">
        <f aca="false">IFERROR(INDEX('Teacher Lookup'!$B$2:$B$200,MATCH(A317,'Teacher Lookup'!$A$2:$A$200,0)),"")</f>
        <v>HO Anda</v>
      </c>
    </row>
    <row r="318" customFormat="false" ht="15" hidden="false" customHeight="false" outlineLevel="0" collapsed="false">
      <c r="A318" s="3" t="s">
        <v>97</v>
      </c>
      <c r="B318" s="4" t="s">
        <v>47</v>
      </c>
      <c r="C318" s="4" t="n">
        <v>6</v>
      </c>
      <c r="D318" s="4" t="s">
        <v>57</v>
      </c>
      <c r="E318" s="3" t="s">
        <v>117</v>
      </c>
      <c r="F318" s="4" t="str">
        <f aca="false">IF(I318&gt;J318,"Y","N")</f>
        <v>N</v>
      </c>
      <c r="G318" s="3" t="s">
        <v>101</v>
      </c>
      <c r="H318" s="3" t="s">
        <v>42</v>
      </c>
      <c r="I318" s="4" t="n">
        <v>8</v>
      </c>
      <c r="J318" s="4" t="n">
        <f aca="false">LEN(E318)-LEN(SUBSTITUTE(E318,",",""))+1</f>
        <v>8</v>
      </c>
      <c r="K318" s="3" t="str">
        <f aca="false">IFERROR(INDEX('Teacher Lookup'!$B$2:$B$200,MATCH(A318,'Teacher Lookup'!$A$2:$A$200,0)),"")</f>
        <v>HO Anda</v>
      </c>
    </row>
    <row r="319" customFormat="false" ht="15" hidden="false" customHeight="false" outlineLevel="0" collapsed="false">
      <c r="A319" s="3" t="s">
        <v>97</v>
      </c>
      <c r="B319" s="4" t="s">
        <v>47</v>
      </c>
      <c r="C319" s="4" t="n">
        <v>6</v>
      </c>
      <c r="D319" s="4" t="s">
        <v>58</v>
      </c>
      <c r="E319" s="3" t="s">
        <v>117</v>
      </c>
      <c r="F319" s="4" t="str">
        <f aca="false">IF(I319&gt;J319,"Y","N")</f>
        <v>N</v>
      </c>
      <c r="G319" s="3" t="s">
        <v>101</v>
      </c>
      <c r="H319" s="3" t="s">
        <v>42</v>
      </c>
      <c r="I319" s="4" t="n">
        <v>8</v>
      </c>
      <c r="J319" s="4" t="n">
        <f aca="false">LEN(E319)-LEN(SUBSTITUTE(E319,",",""))+1</f>
        <v>8</v>
      </c>
      <c r="K319" s="3" t="str">
        <f aca="false">IFERROR(INDEX('Teacher Lookup'!$B$2:$B$200,MATCH(A319,'Teacher Lookup'!$A$2:$A$200,0)),"")</f>
        <v>HO Anda</v>
      </c>
    </row>
    <row r="320" customFormat="false" ht="15" hidden="false" customHeight="false" outlineLevel="0" collapsed="false">
      <c r="A320" s="3" t="s">
        <v>97</v>
      </c>
      <c r="B320" s="4" t="s">
        <v>47</v>
      </c>
      <c r="C320" s="4" t="n">
        <v>6</v>
      </c>
      <c r="D320" s="4" t="s">
        <v>59</v>
      </c>
      <c r="E320" s="3" t="s">
        <v>117</v>
      </c>
      <c r="F320" s="4" t="str">
        <f aca="false">IF(I320&gt;J320,"Y","N")</f>
        <v>N</v>
      </c>
      <c r="G320" s="3" t="s">
        <v>101</v>
      </c>
      <c r="H320" s="3" t="s">
        <v>42</v>
      </c>
      <c r="I320" s="4" t="n">
        <v>8</v>
      </c>
      <c r="J320" s="4" t="n">
        <f aca="false">LEN(E320)-LEN(SUBSTITUTE(E320,",",""))+1</f>
        <v>8</v>
      </c>
      <c r="K320" s="3" t="str">
        <f aca="false">IFERROR(INDEX('Teacher Lookup'!$B$2:$B$200,MATCH(A320,'Teacher Lookup'!$A$2:$A$200,0)),"")</f>
        <v>HO Anda</v>
      </c>
    </row>
    <row r="321" customFormat="false" ht="15" hidden="false" customHeight="false" outlineLevel="0" collapsed="false">
      <c r="A321" s="3" t="s">
        <v>97</v>
      </c>
      <c r="B321" s="4" t="s">
        <v>47</v>
      </c>
      <c r="C321" s="4" t="n">
        <v>7</v>
      </c>
      <c r="D321" s="4" t="s">
        <v>76</v>
      </c>
      <c r="E321" s="3" t="s">
        <v>113</v>
      </c>
      <c r="F321" s="4" t="str">
        <f aca="false">IF(I321&gt;J321,"Y","N")</f>
        <v>N</v>
      </c>
      <c r="G321" s="3" t="s">
        <v>99</v>
      </c>
      <c r="H321" s="3" t="s">
        <v>39</v>
      </c>
      <c r="I321" s="4" t="n">
        <v>1</v>
      </c>
      <c r="J321" s="4" t="n">
        <f aca="false">LEN(E321)-LEN(SUBSTITUTE(E321,",",""))+1</f>
        <v>1</v>
      </c>
      <c r="K321" s="3" t="str">
        <f aca="false">IFERROR(INDEX('Teacher Lookup'!$B$2:$B$200,MATCH(A321,'Teacher Lookup'!$A$2:$A$200,0)),"")</f>
        <v>HO Anda</v>
      </c>
    </row>
    <row r="322" customFormat="false" ht="15" hidden="false" customHeight="false" outlineLevel="0" collapsed="false">
      <c r="A322" s="3" t="s">
        <v>97</v>
      </c>
      <c r="B322" s="4" t="s">
        <v>50</v>
      </c>
      <c r="C322" s="4" t="n">
        <v>1</v>
      </c>
      <c r="D322" s="4" t="s">
        <v>57</v>
      </c>
      <c r="E322" s="3" t="s">
        <v>98</v>
      </c>
      <c r="F322" s="4" t="str">
        <f aca="false">IF(I322&gt;J322,"Y","N")</f>
        <v>N</v>
      </c>
      <c r="G322" s="3" t="s">
        <v>99</v>
      </c>
      <c r="H322" s="3" t="s">
        <v>16</v>
      </c>
      <c r="I322" s="4" t="n">
        <v>1</v>
      </c>
      <c r="J322" s="4" t="n">
        <f aca="false">LEN(E322)-LEN(SUBSTITUTE(E322,",",""))+1</f>
        <v>1</v>
      </c>
      <c r="K322" s="3" t="str">
        <f aca="false">IFERROR(INDEX('Teacher Lookup'!$B$2:$B$200,MATCH(A322,'Teacher Lookup'!$A$2:$A$200,0)),"")</f>
        <v>HO Anda</v>
      </c>
    </row>
    <row r="323" customFormat="false" ht="15" hidden="false" customHeight="false" outlineLevel="0" collapsed="false">
      <c r="A323" s="3" t="s">
        <v>97</v>
      </c>
      <c r="B323" s="4" t="s">
        <v>50</v>
      </c>
      <c r="C323" s="4" t="n">
        <v>2</v>
      </c>
      <c r="D323" s="4" t="s">
        <v>102</v>
      </c>
      <c r="E323" s="3" t="s">
        <v>118</v>
      </c>
      <c r="F323" s="4" t="str">
        <f aca="false">IF(I323&gt;J323,"Y","N")</f>
        <v>N</v>
      </c>
      <c r="G323" s="3" t="s">
        <v>104</v>
      </c>
      <c r="H323" s="3" t="s">
        <v>21</v>
      </c>
      <c r="I323" s="4" t="n">
        <v>6</v>
      </c>
      <c r="J323" s="4" t="n">
        <f aca="false">LEN(E323)-LEN(SUBSTITUTE(E323,",",""))+1</f>
        <v>6</v>
      </c>
      <c r="K323" s="3" t="str">
        <f aca="false">IFERROR(INDEX('Teacher Lookup'!$B$2:$B$200,MATCH(A323,'Teacher Lookup'!$A$2:$A$200,0)),"")</f>
        <v>HO Anda</v>
      </c>
    </row>
    <row r="324" customFormat="false" ht="15" hidden="false" customHeight="false" outlineLevel="0" collapsed="false">
      <c r="A324" s="3" t="s">
        <v>97</v>
      </c>
      <c r="B324" s="4" t="s">
        <v>50</v>
      </c>
      <c r="C324" s="4" t="n">
        <v>2</v>
      </c>
      <c r="D324" s="4" t="s">
        <v>105</v>
      </c>
      <c r="E324" s="3" t="s">
        <v>118</v>
      </c>
      <c r="F324" s="4" t="str">
        <f aca="false">IF(I324&gt;J324,"Y","N")</f>
        <v>N</v>
      </c>
      <c r="G324" s="3" t="s">
        <v>104</v>
      </c>
      <c r="H324" s="3" t="s">
        <v>21</v>
      </c>
      <c r="I324" s="4" t="n">
        <v>6</v>
      </c>
      <c r="J324" s="4" t="n">
        <f aca="false">LEN(E324)-LEN(SUBSTITUTE(E324,",",""))+1</f>
        <v>6</v>
      </c>
      <c r="K324" s="3" t="str">
        <f aca="false">IFERROR(INDEX('Teacher Lookup'!$B$2:$B$200,MATCH(A324,'Teacher Lookup'!$A$2:$A$200,0)),"")</f>
        <v>HO Anda</v>
      </c>
    </row>
    <row r="325" customFormat="false" ht="15" hidden="false" customHeight="false" outlineLevel="0" collapsed="false">
      <c r="A325" s="3" t="s">
        <v>97</v>
      </c>
      <c r="B325" s="4" t="s">
        <v>50</v>
      </c>
      <c r="C325" s="4" t="n">
        <v>2</v>
      </c>
      <c r="D325" s="4" t="s">
        <v>106</v>
      </c>
      <c r="E325" s="3" t="s">
        <v>118</v>
      </c>
      <c r="F325" s="4" t="str">
        <f aca="false">IF(I325&gt;J325,"Y","N")</f>
        <v>N</v>
      </c>
      <c r="G325" s="3" t="s">
        <v>104</v>
      </c>
      <c r="H325" s="3" t="s">
        <v>21</v>
      </c>
      <c r="I325" s="4" t="n">
        <v>6</v>
      </c>
      <c r="J325" s="4" t="n">
        <f aca="false">LEN(E325)-LEN(SUBSTITUTE(E325,",",""))+1</f>
        <v>6</v>
      </c>
      <c r="K325" s="3" t="str">
        <f aca="false">IFERROR(INDEX('Teacher Lookup'!$B$2:$B$200,MATCH(A325,'Teacher Lookup'!$A$2:$A$200,0)),"")</f>
        <v>HO Anda</v>
      </c>
    </row>
    <row r="326" customFormat="false" ht="15" hidden="false" customHeight="false" outlineLevel="0" collapsed="false">
      <c r="A326" s="3" t="s">
        <v>97</v>
      </c>
      <c r="B326" s="4" t="s">
        <v>50</v>
      </c>
      <c r="C326" s="4" t="n">
        <v>2</v>
      </c>
      <c r="D326" s="4" t="s">
        <v>107</v>
      </c>
      <c r="E326" s="3" t="s">
        <v>118</v>
      </c>
      <c r="F326" s="4" t="str">
        <f aca="false">IF(I326&gt;J326,"Y","N")</f>
        <v>N</v>
      </c>
      <c r="G326" s="3" t="s">
        <v>104</v>
      </c>
      <c r="H326" s="3" t="s">
        <v>21</v>
      </c>
      <c r="I326" s="4" t="n">
        <v>6</v>
      </c>
      <c r="J326" s="4" t="n">
        <f aca="false">LEN(E326)-LEN(SUBSTITUTE(E326,",",""))+1</f>
        <v>6</v>
      </c>
      <c r="K326" s="3" t="str">
        <f aca="false">IFERROR(INDEX('Teacher Lookup'!$B$2:$B$200,MATCH(A326,'Teacher Lookup'!$A$2:$A$200,0)),"")</f>
        <v>HO Anda</v>
      </c>
    </row>
    <row r="327" customFormat="false" ht="15" hidden="false" customHeight="false" outlineLevel="0" collapsed="false">
      <c r="A327" s="3" t="s">
        <v>97</v>
      </c>
      <c r="B327" s="4" t="s">
        <v>50</v>
      </c>
      <c r="C327" s="4" t="n">
        <v>3</v>
      </c>
      <c r="D327" s="4" t="s">
        <v>52</v>
      </c>
      <c r="E327" s="3" t="s">
        <v>115</v>
      </c>
      <c r="F327" s="4" t="str">
        <f aca="false">IF(I327&gt;J327,"Y","N")</f>
        <v>Y</v>
      </c>
      <c r="G327" s="3" t="s">
        <v>101</v>
      </c>
      <c r="H327" s="3" t="s">
        <v>26</v>
      </c>
      <c r="I327" s="4" t="n">
        <v>9</v>
      </c>
      <c r="J327" s="4" t="n">
        <f aca="false">LEN(E327)-LEN(SUBSTITUTE(E327,",",""))+1</f>
        <v>8</v>
      </c>
      <c r="K327" s="3" t="str">
        <f aca="false">IFERROR(INDEX('Teacher Lookup'!$B$2:$B$200,MATCH(A327,'Teacher Lookup'!$A$2:$A$200,0)),"")</f>
        <v>HO Anda</v>
      </c>
    </row>
    <row r="328" customFormat="false" ht="15" hidden="false" customHeight="false" outlineLevel="0" collapsed="false">
      <c r="A328" s="3" t="s">
        <v>97</v>
      </c>
      <c r="B328" s="4" t="s">
        <v>50</v>
      </c>
      <c r="C328" s="4" t="n">
        <v>3</v>
      </c>
      <c r="D328" s="4" t="s">
        <v>55</v>
      </c>
      <c r="E328" s="3" t="s">
        <v>115</v>
      </c>
      <c r="F328" s="4" t="str">
        <f aca="false">IF(I328&gt;J328,"Y","N")</f>
        <v>Y</v>
      </c>
      <c r="G328" s="3" t="s">
        <v>101</v>
      </c>
      <c r="H328" s="3" t="s">
        <v>26</v>
      </c>
      <c r="I328" s="4" t="n">
        <v>9</v>
      </c>
      <c r="J328" s="4" t="n">
        <f aca="false">LEN(E328)-LEN(SUBSTITUTE(E328,",",""))+1</f>
        <v>8</v>
      </c>
      <c r="K328" s="3" t="str">
        <f aca="false">IFERROR(INDEX('Teacher Lookup'!$B$2:$B$200,MATCH(A328,'Teacher Lookup'!$A$2:$A$200,0)),"")</f>
        <v>HO Anda</v>
      </c>
    </row>
    <row r="329" customFormat="false" ht="15" hidden="false" customHeight="false" outlineLevel="0" collapsed="false">
      <c r="A329" s="3" t="s">
        <v>97</v>
      </c>
      <c r="B329" s="4" t="s">
        <v>50</v>
      </c>
      <c r="C329" s="4" t="n">
        <v>3</v>
      </c>
      <c r="D329" s="4" t="s">
        <v>56</v>
      </c>
      <c r="E329" s="3" t="s">
        <v>115</v>
      </c>
      <c r="F329" s="4" t="str">
        <f aca="false">IF(I329&gt;J329,"Y","N")</f>
        <v>Y</v>
      </c>
      <c r="G329" s="3" t="s">
        <v>101</v>
      </c>
      <c r="H329" s="3" t="s">
        <v>26</v>
      </c>
      <c r="I329" s="4" t="n">
        <v>9</v>
      </c>
      <c r="J329" s="4" t="n">
        <f aca="false">LEN(E329)-LEN(SUBSTITUTE(E329,",",""))+1</f>
        <v>8</v>
      </c>
      <c r="K329" s="3" t="str">
        <f aca="false">IFERROR(INDEX('Teacher Lookup'!$B$2:$B$200,MATCH(A329,'Teacher Lookup'!$A$2:$A$200,0)),"")</f>
        <v>HO Anda</v>
      </c>
    </row>
    <row r="330" customFormat="false" ht="15" hidden="false" customHeight="false" outlineLevel="0" collapsed="false">
      <c r="A330" s="3" t="s">
        <v>97</v>
      </c>
      <c r="B330" s="4" t="s">
        <v>50</v>
      </c>
      <c r="C330" s="4" t="n">
        <v>3</v>
      </c>
      <c r="D330" s="4" t="s">
        <v>57</v>
      </c>
      <c r="E330" s="3" t="s">
        <v>115</v>
      </c>
      <c r="F330" s="4" t="str">
        <f aca="false">IF(I330&gt;J330,"Y","N")</f>
        <v>Y</v>
      </c>
      <c r="G330" s="3" t="s">
        <v>101</v>
      </c>
      <c r="H330" s="3" t="s">
        <v>26</v>
      </c>
      <c r="I330" s="4" t="n">
        <v>9</v>
      </c>
      <c r="J330" s="4" t="n">
        <f aca="false">LEN(E330)-LEN(SUBSTITUTE(E330,",",""))+1</f>
        <v>8</v>
      </c>
      <c r="K330" s="3" t="str">
        <f aca="false">IFERROR(INDEX('Teacher Lookup'!$B$2:$B$200,MATCH(A330,'Teacher Lookup'!$A$2:$A$200,0)),"")</f>
        <v>HO Anda</v>
      </c>
    </row>
    <row r="331" customFormat="false" ht="15" hidden="false" customHeight="false" outlineLevel="0" collapsed="false">
      <c r="A331" s="3" t="s">
        <v>97</v>
      </c>
      <c r="B331" s="4" t="s">
        <v>50</v>
      </c>
      <c r="C331" s="4" t="n">
        <v>3</v>
      </c>
      <c r="D331" s="4" t="s">
        <v>58</v>
      </c>
      <c r="E331" s="3" t="s">
        <v>115</v>
      </c>
      <c r="F331" s="4" t="str">
        <f aca="false">IF(I331&gt;J331,"Y","N")</f>
        <v>Y</v>
      </c>
      <c r="G331" s="3" t="s">
        <v>101</v>
      </c>
      <c r="H331" s="3" t="s">
        <v>26</v>
      </c>
      <c r="I331" s="4" t="n">
        <v>9</v>
      </c>
      <c r="J331" s="4" t="n">
        <f aca="false">LEN(E331)-LEN(SUBSTITUTE(E331,",",""))+1</f>
        <v>8</v>
      </c>
      <c r="K331" s="3" t="str">
        <f aca="false">IFERROR(INDEX('Teacher Lookup'!$B$2:$B$200,MATCH(A331,'Teacher Lookup'!$A$2:$A$200,0)),"")</f>
        <v>HO Anda</v>
      </c>
    </row>
    <row r="332" customFormat="false" ht="15" hidden="false" customHeight="false" outlineLevel="0" collapsed="false">
      <c r="A332" s="3" t="s">
        <v>97</v>
      </c>
      <c r="B332" s="4" t="s">
        <v>50</v>
      </c>
      <c r="C332" s="4" t="n">
        <v>3</v>
      </c>
      <c r="D332" s="4" t="s">
        <v>59</v>
      </c>
      <c r="E332" s="3" t="s">
        <v>115</v>
      </c>
      <c r="F332" s="4" t="str">
        <f aca="false">IF(I332&gt;J332,"Y","N")</f>
        <v>Y</v>
      </c>
      <c r="G332" s="3" t="s">
        <v>101</v>
      </c>
      <c r="H332" s="3" t="s">
        <v>26</v>
      </c>
      <c r="I332" s="4" t="n">
        <v>9</v>
      </c>
      <c r="J332" s="4" t="n">
        <f aca="false">LEN(E332)-LEN(SUBSTITUTE(E332,",",""))+1</f>
        <v>8</v>
      </c>
      <c r="K332" s="3" t="str">
        <f aca="false">IFERROR(INDEX('Teacher Lookup'!$B$2:$B$200,MATCH(A332,'Teacher Lookup'!$A$2:$A$200,0)),"")</f>
        <v>HO Anda</v>
      </c>
    </row>
    <row r="333" customFormat="false" ht="15" hidden="false" customHeight="false" outlineLevel="0" collapsed="false">
      <c r="A333" s="3" t="s">
        <v>97</v>
      </c>
      <c r="B333" s="4" t="s">
        <v>60</v>
      </c>
      <c r="C333" s="4" t="n">
        <v>3</v>
      </c>
      <c r="D333" s="4" t="s">
        <v>19</v>
      </c>
      <c r="E333" s="3" t="s">
        <v>109</v>
      </c>
      <c r="F333" s="4" t="str">
        <f aca="false">IF(I333&gt;J333,"Y","N")</f>
        <v>N</v>
      </c>
      <c r="G333" s="3" t="s">
        <v>99</v>
      </c>
      <c r="H333" s="3" t="s">
        <v>26</v>
      </c>
      <c r="I333" s="4" t="n">
        <v>1</v>
      </c>
      <c r="J333" s="4" t="n">
        <f aca="false">LEN(E333)-LEN(SUBSTITUTE(E333,",",""))+1</f>
        <v>1</v>
      </c>
      <c r="K333" s="3" t="str">
        <f aca="false">IFERROR(INDEX('Teacher Lookup'!$B$2:$B$200,MATCH(A333,'Teacher Lookup'!$A$2:$A$200,0)),"")</f>
        <v>HO Anda</v>
      </c>
    </row>
    <row r="334" customFormat="false" ht="15" hidden="false" customHeight="false" outlineLevel="0" collapsed="false">
      <c r="A334" s="3" t="s">
        <v>97</v>
      </c>
      <c r="B334" s="4" t="s">
        <v>60</v>
      </c>
      <c r="C334" s="4" t="n">
        <v>4</v>
      </c>
      <c r="D334" s="4" t="s">
        <v>52</v>
      </c>
      <c r="E334" s="3" t="s">
        <v>119</v>
      </c>
      <c r="F334" s="4" t="str">
        <f aca="false">IF(I334&gt;J334,"Y","N")</f>
        <v>N</v>
      </c>
      <c r="G334" s="3" t="s">
        <v>101</v>
      </c>
      <c r="H334" s="3" t="s">
        <v>34</v>
      </c>
      <c r="I334" s="4" t="n">
        <v>8</v>
      </c>
      <c r="J334" s="4" t="n">
        <f aca="false">LEN(E334)-LEN(SUBSTITUTE(E334,",",""))+1</f>
        <v>8</v>
      </c>
      <c r="K334" s="3" t="str">
        <f aca="false">IFERROR(INDEX('Teacher Lookup'!$B$2:$B$200,MATCH(A334,'Teacher Lookup'!$A$2:$A$200,0)),"")</f>
        <v>HO Anda</v>
      </c>
    </row>
    <row r="335" customFormat="false" ht="15" hidden="false" customHeight="false" outlineLevel="0" collapsed="false">
      <c r="A335" s="3" t="s">
        <v>97</v>
      </c>
      <c r="B335" s="4" t="s">
        <v>60</v>
      </c>
      <c r="C335" s="4" t="n">
        <v>4</v>
      </c>
      <c r="D335" s="4" t="s">
        <v>55</v>
      </c>
      <c r="E335" s="3" t="s">
        <v>119</v>
      </c>
      <c r="F335" s="4" t="str">
        <f aca="false">IF(I335&gt;J335,"Y","N")</f>
        <v>N</v>
      </c>
      <c r="G335" s="3" t="s">
        <v>101</v>
      </c>
      <c r="H335" s="3" t="s">
        <v>34</v>
      </c>
      <c r="I335" s="4" t="n">
        <v>8</v>
      </c>
      <c r="J335" s="4" t="n">
        <f aca="false">LEN(E335)-LEN(SUBSTITUTE(E335,",",""))+1</f>
        <v>8</v>
      </c>
      <c r="K335" s="3" t="str">
        <f aca="false">IFERROR(INDEX('Teacher Lookup'!$B$2:$B$200,MATCH(A335,'Teacher Lookup'!$A$2:$A$200,0)),"")</f>
        <v>HO Anda</v>
      </c>
    </row>
    <row r="336" customFormat="false" ht="15" hidden="false" customHeight="false" outlineLevel="0" collapsed="false">
      <c r="A336" s="3" t="s">
        <v>97</v>
      </c>
      <c r="B336" s="4" t="s">
        <v>60</v>
      </c>
      <c r="C336" s="4" t="n">
        <v>4</v>
      </c>
      <c r="D336" s="4" t="s">
        <v>56</v>
      </c>
      <c r="E336" s="3" t="s">
        <v>119</v>
      </c>
      <c r="F336" s="4" t="str">
        <f aca="false">IF(I336&gt;J336,"Y","N")</f>
        <v>N</v>
      </c>
      <c r="G336" s="3" t="s">
        <v>101</v>
      </c>
      <c r="H336" s="3" t="s">
        <v>34</v>
      </c>
      <c r="I336" s="4" t="n">
        <v>8</v>
      </c>
      <c r="J336" s="4" t="n">
        <f aca="false">LEN(E336)-LEN(SUBSTITUTE(E336,",",""))+1</f>
        <v>8</v>
      </c>
      <c r="K336" s="3" t="str">
        <f aca="false">IFERROR(INDEX('Teacher Lookup'!$B$2:$B$200,MATCH(A336,'Teacher Lookup'!$A$2:$A$200,0)),"")</f>
        <v>HO Anda</v>
      </c>
    </row>
    <row r="337" customFormat="false" ht="15" hidden="false" customHeight="false" outlineLevel="0" collapsed="false">
      <c r="A337" s="3" t="s">
        <v>97</v>
      </c>
      <c r="B337" s="4" t="s">
        <v>60</v>
      </c>
      <c r="C337" s="4" t="n">
        <v>4</v>
      </c>
      <c r="D337" s="4" t="s">
        <v>57</v>
      </c>
      <c r="E337" s="3" t="s">
        <v>119</v>
      </c>
      <c r="F337" s="4" t="str">
        <f aca="false">IF(I337&gt;J337,"Y","N")</f>
        <v>N</v>
      </c>
      <c r="G337" s="3" t="s">
        <v>101</v>
      </c>
      <c r="H337" s="3" t="s">
        <v>34</v>
      </c>
      <c r="I337" s="4" t="n">
        <v>8</v>
      </c>
      <c r="J337" s="4" t="n">
        <f aca="false">LEN(E337)-LEN(SUBSTITUTE(E337,",",""))+1</f>
        <v>8</v>
      </c>
      <c r="K337" s="3" t="str">
        <f aca="false">IFERROR(INDEX('Teacher Lookup'!$B$2:$B$200,MATCH(A337,'Teacher Lookup'!$A$2:$A$200,0)),"")</f>
        <v>HO Anda</v>
      </c>
    </row>
    <row r="338" customFormat="false" ht="15" hidden="false" customHeight="false" outlineLevel="0" collapsed="false">
      <c r="A338" s="3" t="s">
        <v>97</v>
      </c>
      <c r="B338" s="4" t="s">
        <v>60</v>
      </c>
      <c r="C338" s="4" t="n">
        <v>4</v>
      </c>
      <c r="D338" s="4" t="s">
        <v>58</v>
      </c>
      <c r="E338" s="3" t="s">
        <v>119</v>
      </c>
      <c r="F338" s="4" t="str">
        <f aca="false">IF(I338&gt;J338,"Y","N")</f>
        <v>N</v>
      </c>
      <c r="G338" s="3" t="s">
        <v>101</v>
      </c>
      <c r="H338" s="3" t="s">
        <v>34</v>
      </c>
      <c r="I338" s="4" t="n">
        <v>8</v>
      </c>
      <c r="J338" s="4" t="n">
        <f aca="false">LEN(E338)-LEN(SUBSTITUTE(E338,",",""))+1</f>
        <v>8</v>
      </c>
      <c r="K338" s="3" t="str">
        <f aca="false">IFERROR(INDEX('Teacher Lookup'!$B$2:$B$200,MATCH(A338,'Teacher Lookup'!$A$2:$A$200,0)),"")</f>
        <v>HO Anda</v>
      </c>
    </row>
    <row r="339" customFormat="false" ht="15" hidden="false" customHeight="false" outlineLevel="0" collapsed="false">
      <c r="A339" s="3" t="s">
        <v>97</v>
      </c>
      <c r="B339" s="4" t="s">
        <v>60</v>
      </c>
      <c r="C339" s="4" t="n">
        <v>4</v>
      </c>
      <c r="D339" s="4" t="s">
        <v>59</v>
      </c>
      <c r="E339" s="3" t="s">
        <v>119</v>
      </c>
      <c r="F339" s="4" t="str">
        <f aca="false">IF(I339&gt;J339,"Y","N")</f>
        <v>N</v>
      </c>
      <c r="G339" s="3" t="s">
        <v>101</v>
      </c>
      <c r="H339" s="3" t="s">
        <v>34</v>
      </c>
      <c r="I339" s="4" t="n">
        <v>8</v>
      </c>
      <c r="J339" s="4" t="n">
        <f aca="false">LEN(E339)-LEN(SUBSTITUTE(E339,",",""))+1</f>
        <v>8</v>
      </c>
      <c r="K339" s="3" t="str">
        <f aca="false">IFERROR(INDEX('Teacher Lookup'!$B$2:$B$200,MATCH(A339,'Teacher Lookup'!$A$2:$A$200,0)),"")</f>
        <v>HO Anda</v>
      </c>
    </row>
    <row r="340" customFormat="false" ht="15" hidden="false" customHeight="false" outlineLevel="0" collapsed="false">
      <c r="A340" s="3" t="s">
        <v>97</v>
      </c>
      <c r="B340" s="4" t="s">
        <v>60</v>
      </c>
      <c r="C340" s="4" t="n">
        <v>5</v>
      </c>
      <c r="D340" s="4" t="s">
        <v>52</v>
      </c>
      <c r="E340" s="3" t="s">
        <v>112</v>
      </c>
      <c r="F340" s="4" t="str">
        <f aca="false">IF(I340&gt;J340,"Y","N")</f>
        <v>Y</v>
      </c>
      <c r="G340" s="3" t="s">
        <v>36</v>
      </c>
      <c r="H340" s="3" t="s">
        <v>37</v>
      </c>
      <c r="I340" s="4" t="n">
        <v>16</v>
      </c>
      <c r="J340" s="4" t="n">
        <f aca="false">LEN(E340)-LEN(SUBSTITUTE(E340,",",""))+1</f>
        <v>7</v>
      </c>
      <c r="K340" s="3" t="str">
        <f aca="false">IFERROR(INDEX('Teacher Lookup'!$B$2:$B$200,MATCH(A340,'Teacher Lookup'!$A$2:$A$200,0)),"")</f>
        <v>HO Anda</v>
      </c>
    </row>
    <row r="341" customFormat="false" ht="15" hidden="false" customHeight="false" outlineLevel="0" collapsed="false">
      <c r="A341" s="3" t="s">
        <v>97</v>
      </c>
      <c r="B341" s="4" t="s">
        <v>60</v>
      </c>
      <c r="C341" s="4" t="n">
        <v>5</v>
      </c>
      <c r="D341" s="4" t="s">
        <v>55</v>
      </c>
      <c r="E341" s="3" t="s">
        <v>112</v>
      </c>
      <c r="F341" s="4" t="str">
        <f aca="false">IF(I341&gt;J341,"Y","N")</f>
        <v>Y</v>
      </c>
      <c r="G341" s="3" t="s">
        <v>36</v>
      </c>
      <c r="H341" s="3" t="s">
        <v>37</v>
      </c>
      <c r="I341" s="4" t="n">
        <v>16</v>
      </c>
      <c r="J341" s="4" t="n">
        <f aca="false">LEN(E341)-LEN(SUBSTITUTE(E341,",",""))+1</f>
        <v>7</v>
      </c>
      <c r="K341" s="3" t="str">
        <f aca="false">IFERROR(INDEX('Teacher Lookup'!$B$2:$B$200,MATCH(A341,'Teacher Lookup'!$A$2:$A$200,0)),"")</f>
        <v>HO Anda</v>
      </c>
    </row>
    <row r="342" customFormat="false" ht="15" hidden="false" customHeight="false" outlineLevel="0" collapsed="false">
      <c r="A342" s="3" t="s">
        <v>97</v>
      </c>
      <c r="B342" s="4" t="s">
        <v>60</v>
      </c>
      <c r="C342" s="4" t="n">
        <v>5</v>
      </c>
      <c r="D342" s="4" t="s">
        <v>56</v>
      </c>
      <c r="E342" s="3" t="s">
        <v>112</v>
      </c>
      <c r="F342" s="4" t="str">
        <f aca="false">IF(I342&gt;J342,"Y","N")</f>
        <v>Y</v>
      </c>
      <c r="G342" s="3" t="s">
        <v>36</v>
      </c>
      <c r="H342" s="3" t="s">
        <v>37</v>
      </c>
      <c r="I342" s="4" t="n">
        <v>16</v>
      </c>
      <c r="J342" s="4" t="n">
        <f aca="false">LEN(E342)-LEN(SUBSTITUTE(E342,",",""))+1</f>
        <v>7</v>
      </c>
      <c r="K342" s="3" t="str">
        <f aca="false">IFERROR(INDEX('Teacher Lookup'!$B$2:$B$200,MATCH(A342,'Teacher Lookup'!$A$2:$A$200,0)),"")</f>
        <v>HO Anda</v>
      </c>
    </row>
    <row r="343" customFormat="false" ht="15" hidden="false" customHeight="false" outlineLevel="0" collapsed="false">
      <c r="A343" s="3" t="s">
        <v>97</v>
      </c>
      <c r="B343" s="4" t="s">
        <v>60</v>
      </c>
      <c r="C343" s="4" t="n">
        <v>5</v>
      </c>
      <c r="D343" s="4" t="s">
        <v>57</v>
      </c>
      <c r="E343" s="3" t="s">
        <v>112</v>
      </c>
      <c r="F343" s="4" t="str">
        <f aca="false">IF(I343&gt;J343,"Y","N")</f>
        <v>Y</v>
      </c>
      <c r="G343" s="3" t="s">
        <v>36</v>
      </c>
      <c r="H343" s="3" t="s">
        <v>37</v>
      </c>
      <c r="I343" s="4" t="n">
        <v>16</v>
      </c>
      <c r="J343" s="4" t="n">
        <f aca="false">LEN(E343)-LEN(SUBSTITUTE(E343,",",""))+1</f>
        <v>7</v>
      </c>
      <c r="K343" s="3" t="str">
        <f aca="false">IFERROR(INDEX('Teacher Lookup'!$B$2:$B$200,MATCH(A343,'Teacher Lookup'!$A$2:$A$200,0)),"")</f>
        <v>HO Anda</v>
      </c>
    </row>
    <row r="344" customFormat="false" ht="15" hidden="false" customHeight="false" outlineLevel="0" collapsed="false">
      <c r="A344" s="3" t="s">
        <v>97</v>
      </c>
      <c r="B344" s="4" t="s">
        <v>60</v>
      </c>
      <c r="C344" s="4" t="n">
        <v>5</v>
      </c>
      <c r="D344" s="4" t="s">
        <v>58</v>
      </c>
      <c r="E344" s="3" t="s">
        <v>112</v>
      </c>
      <c r="F344" s="4" t="str">
        <f aca="false">IF(I344&gt;J344,"Y","N")</f>
        <v>Y</v>
      </c>
      <c r="G344" s="3" t="s">
        <v>36</v>
      </c>
      <c r="H344" s="3" t="s">
        <v>37</v>
      </c>
      <c r="I344" s="4" t="n">
        <v>16</v>
      </c>
      <c r="J344" s="4" t="n">
        <f aca="false">LEN(E344)-LEN(SUBSTITUTE(E344,",",""))+1</f>
        <v>7</v>
      </c>
      <c r="K344" s="3" t="str">
        <f aca="false">IFERROR(INDEX('Teacher Lookup'!$B$2:$B$200,MATCH(A344,'Teacher Lookup'!$A$2:$A$200,0)),"")</f>
        <v>HO Anda</v>
      </c>
    </row>
    <row r="345" customFormat="false" ht="15" hidden="false" customHeight="false" outlineLevel="0" collapsed="false">
      <c r="A345" s="3" t="s">
        <v>97</v>
      </c>
      <c r="B345" s="4" t="s">
        <v>60</v>
      </c>
      <c r="C345" s="4" t="n">
        <v>5</v>
      </c>
      <c r="D345" s="4" t="s">
        <v>59</v>
      </c>
      <c r="E345" s="3" t="s">
        <v>112</v>
      </c>
      <c r="F345" s="4" t="str">
        <f aca="false">IF(I345&gt;J345,"Y","N")</f>
        <v>Y</v>
      </c>
      <c r="G345" s="3" t="s">
        <v>36</v>
      </c>
      <c r="H345" s="3" t="s">
        <v>37</v>
      </c>
      <c r="I345" s="4" t="n">
        <v>16</v>
      </c>
      <c r="J345" s="4" t="n">
        <f aca="false">LEN(E345)-LEN(SUBSTITUTE(E345,",",""))+1</f>
        <v>7</v>
      </c>
      <c r="K345" s="3" t="str">
        <f aca="false">IFERROR(INDEX('Teacher Lookup'!$B$2:$B$200,MATCH(A345,'Teacher Lookup'!$A$2:$A$200,0)),"")</f>
        <v>HO Anda</v>
      </c>
    </row>
    <row r="346" customFormat="false" ht="15" hidden="false" customHeight="false" outlineLevel="0" collapsed="false">
      <c r="A346" s="3" t="s">
        <v>97</v>
      </c>
      <c r="B346" s="4" t="s">
        <v>60</v>
      </c>
      <c r="C346" s="4" t="n">
        <v>7</v>
      </c>
      <c r="D346" s="4" t="s">
        <v>57</v>
      </c>
      <c r="E346" s="3" t="s">
        <v>98</v>
      </c>
      <c r="F346" s="4" t="str">
        <f aca="false">IF(I346&gt;J346,"Y","N")</f>
        <v>N</v>
      </c>
      <c r="G346" s="3" t="s">
        <v>99</v>
      </c>
      <c r="H346" s="3" t="s">
        <v>39</v>
      </c>
      <c r="I346" s="4" t="n">
        <v>1</v>
      </c>
      <c r="J346" s="4" t="n">
        <f aca="false">LEN(E346)-LEN(SUBSTITUTE(E346,",",""))+1</f>
        <v>1</v>
      </c>
      <c r="K346" s="3" t="str">
        <f aca="false">IFERROR(INDEX('Teacher Lookup'!$B$2:$B$200,MATCH(A346,'Teacher Lookup'!$A$2:$A$200,0)),"")</f>
        <v>HO Anda</v>
      </c>
    </row>
    <row r="347" customFormat="false" ht="15" hidden="false" customHeight="false" outlineLevel="0" collapsed="false">
      <c r="A347" s="3" t="s">
        <v>97</v>
      </c>
      <c r="B347" s="4" t="s">
        <v>63</v>
      </c>
      <c r="C347" s="4" t="n">
        <v>1</v>
      </c>
      <c r="D347" s="4" t="s">
        <v>102</v>
      </c>
      <c r="E347" s="3" t="s">
        <v>120</v>
      </c>
      <c r="F347" s="4" t="str">
        <f aca="false">IF(I347&gt;J347,"Y","N")</f>
        <v>N</v>
      </c>
      <c r="G347" s="3" t="s">
        <v>104</v>
      </c>
      <c r="H347" s="3" t="s">
        <v>16</v>
      </c>
      <c r="I347" s="4" t="n">
        <v>6</v>
      </c>
      <c r="J347" s="4" t="n">
        <f aca="false">LEN(E347)-LEN(SUBSTITUTE(E347,",",""))+1</f>
        <v>6</v>
      </c>
      <c r="K347" s="3" t="str">
        <f aca="false">IFERROR(INDEX('Teacher Lookup'!$B$2:$B$200,MATCH(A347,'Teacher Lookup'!$A$2:$A$200,0)),"")</f>
        <v>HO Anda</v>
      </c>
    </row>
    <row r="348" customFormat="false" ht="15" hidden="false" customHeight="false" outlineLevel="0" collapsed="false">
      <c r="A348" s="3" t="s">
        <v>97</v>
      </c>
      <c r="B348" s="4" t="s">
        <v>63</v>
      </c>
      <c r="C348" s="4" t="n">
        <v>1</v>
      </c>
      <c r="D348" s="4" t="s">
        <v>105</v>
      </c>
      <c r="E348" s="3" t="s">
        <v>120</v>
      </c>
      <c r="F348" s="4" t="str">
        <f aca="false">IF(I348&gt;J348,"Y","N")</f>
        <v>N</v>
      </c>
      <c r="G348" s="3" t="s">
        <v>104</v>
      </c>
      <c r="H348" s="3" t="s">
        <v>16</v>
      </c>
      <c r="I348" s="4" t="n">
        <v>6</v>
      </c>
      <c r="J348" s="4" t="n">
        <f aca="false">LEN(E348)-LEN(SUBSTITUTE(E348,",",""))+1</f>
        <v>6</v>
      </c>
      <c r="K348" s="3" t="str">
        <f aca="false">IFERROR(INDEX('Teacher Lookup'!$B$2:$B$200,MATCH(A348,'Teacher Lookup'!$A$2:$A$200,0)),"")</f>
        <v>HO Anda</v>
      </c>
    </row>
    <row r="349" customFormat="false" ht="15" hidden="false" customHeight="false" outlineLevel="0" collapsed="false">
      <c r="A349" s="3" t="s">
        <v>97</v>
      </c>
      <c r="B349" s="4" t="s">
        <v>63</v>
      </c>
      <c r="C349" s="4" t="n">
        <v>1</v>
      </c>
      <c r="D349" s="4" t="s">
        <v>106</v>
      </c>
      <c r="E349" s="3" t="s">
        <v>120</v>
      </c>
      <c r="F349" s="4" t="str">
        <f aca="false">IF(I349&gt;J349,"Y","N")</f>
        <v>N</v>
      </c>
      <c r="G349" s="3" t="s">
        <v>104</v>
      </c>
      <c r="H349" s="3" t="s">
        <v>16</v>
      </c>
      <c r="I349" s="4" t="n">
        <v>6</v>
      </c>
      <c r="J349" s="4" t="n">
        <f aca="false">LEN(E349)-LEN(SUBSTITUTE(E349,",",""))+1</f>
        <v>6</v>
      </c>
      <c r="K349" s="3" t="str">
        <f aca="false">IFERROR(INDEX('Teacher Lookup'!$B$2:$B$200,MATCH(A349,'Teacher Lookup'!$A$2:$A$200,0)),"")</f>
        <v>HO Anda</v>
      </c>
    </row>
    <row r="350" customFormat="false" ht="15" hidden="false" customHeight="false" outlineLevel="0" collapsed="false">
      <c r="A350" s="3" t="s">
        <v>97</v>
      </c>
      <c r="B350" s="4" t="s">
        <v>63</v>
      </c>
      <c r="C350" s="4" t="n">
        <v>1</v>
      </c>
      <c r="D350" s="4" t="s">
        <v>107</v>
      </c>
      <c r="E350" s="3" t="s">
        <v>120</v>
      </c>
      <c r="F350" s="4" t="str">
        <f aca="false">IF(I350&gt;J350,"Y","N")</f>
        <v>N</v>
      </c>
      <c r="G350" s="3" t="s">
        <v>104</v>
      </c>
      <c r="H350" s="3" t="s">
        <v>16</v>
      </c>
      <c r="I350" s="4" t="n">
        <v>6</v>
      </c>
      <c r="J350" s="4" t="n">
        <f aca="false">LEN(E350)-LEN(SUBSTITUTE(E350,",",""))+1</f>
        <v>6</v>
      </c>
      <c r="K350" s="3" t="str">
        <f aca="false">IFERROR(INDEX('Teacher Lookup'!$B$2:$B$200,MATCH(A350,'Teacher Lookup'!$A$2:$A$200,0)),"")</f>
        <v>HO Anda</v>
      </c>
    </row>
    <row r="351" customFormat="false" ht="15" hidden="false" customHeight="false" outlineLevel="0" collapsed="false">
      <c r="A351" s="3" t="s">
        <v>97</v>
      </c>
      <c r="B351" s="4" t="s">
        <v>63</v>
      </c>
      <c r="C351" s="4" t="n">
        <v>4</v>
      </c>
      <c r="D351" s="4" t="s">
        <v>57</v>
      </c>
      <c r="E351" s="3" t="s">
        <v>98</v>
      </c>
      <c r="F351" s="4" t="str">
        <f aca="false">IF(I351&gt;J351,"Y","N")</f>
        <v>N</v>
      </c>
      <c r="G351" s="3" t="s">
        <v>99</v>
      </c>
      <c r="H351" s="3" t="s">
        <v>34</v>
      </c>
      <c r="I351" s="4" t="n">
        <v>1</v>
      </c>
      <c r="J351" s="4" t="n">
        <f aca="false">LEN(E351)-LEN(SUBSTITUTE(E351,",",""))+1</f>
        <v>1</v>
      </c>
      <c r="K351" s="3" t="str">
        <f aca="false">IFERROR(INDEX('Teacher Lookup'!$B$2:$B$200,MATCH(A351,'Teacher Lookup'!$A$2:$A$200,0)),"")</f>
        <v>HO Anda</v>
      </c>
    </row>
    <row r="352" customFormat="false" ht="15" hidden="false" customHeight="false" outlineLevel="0" collapsed="false">
      <c r="A352" s="3" t="s">
        <v>97</v>
      </c>
      <c r="B352" s="4" t="s">
        <v>65</v>
      </c>
      <c r="C352" s="4" t="n">
        <v>1</v>
      </c>
      <c r="D352" s="4" t="s">
        <v>57</v>
      </c>
      <c r="E352" s="3" t="s">
        <v>98</v>
      </c>
      <c r="F352" s="4" t="str">
        <f aca="false">IF(I352&gt;J352,"Y","N")</f>
        <v>N</v>
      </c>
      <c r="G352" s="3" t="s">
        <v>99</v>
      </c>
      <c r="H352" s="3" t="s">
        <v>16</v>
      </c>
      <c r="I352" s="4" t="n">
        <v>1</v>
      </c>
      <c r="J352" s="4" t="n">
        <f aca="false">LEN(E352)-LEN(SUBSTITUTE(E352,",",""))+1</f>
        <v>1</v>
      </c>
      <c r="K352" s="3" t="str">
        <f aca="false">IFERROR(INDEX('Teacher Lookup'!$B$2:$B$200,MATCH(A352,'Teacher Lookup'!$A$2:$A$200,0)),"")</f>
        <v>HO Anda</v>
      </c>
    </row>
    <row r="353" customFormat="false" ht="15" hidden="false" customHeight="false" outlineLevel="0" collapsed="false">
      <c r="A353" s="3" t="s">
        <v>97</v>
      </c>
      <c r="B353" s="4" t="s">
        <v>65</v>
      </c>
      <c r="C353" s="4" t="n">
        <v>3</v>
      </c>
      <c r="D353" s="4" t="s">
        <v>52</v>
      </c>
      <c r="E353" s="3" t="s">
        <v>121</v>
      </c>
      <c r="F353" s="4" t="str">
        <f aca="false">IF(I353&gt;J353,"Y","N")</f>
        <v>Y</v>
      </c>
      <c r="G353" s="3" t="s">
        <v>101</v>
      </c>
      <c r="H353" s="3" t="s">
        <v>26</v>
      </c>
      <c r="I353" s="4" t="n">
        <v>9</v>
      </c>
      <c r="J353" s="4" t="n">
        <f aca="false">LEN(E353)-LEN(SUBSTITUTE(E353,",",""))+1</f>
        <v>8</v>
      </c>
      <c r="K353" s="3" t="str">
        <f aca="false">IFERROR(INDEX('Teacher Lookup'!$B$2:$B$200,MATCH(A353,'Teacher Lookup'!$A$2:$A$200,0)),"")</f>
        <v>HO Anda</v>
      </c>
    </row>
    <row r="354" customFormat="false" ht="15" hidden="false" customHeight="false" outlineLevel="0" collapsed="false">
      <c r="A354" s="3" t="s">
        <v>97</v>
      </c>
      <c r="B354" s="4" t="s">
        <v>65</v>
      </c>
      <c r="C354" s="4" t="n">
        <v>3</v>
      </c>
      <c r="D354" s="4" t="s">
        <v>55</v>
      </c>
      <c r="E354" s="3" t="s">
        <v>121</v>
      </c>
      <c r="F354" s="4" t="str">
        <f aca="false">IF(I354&gt;J354,"Y","N")</f>
        <v>Y</v>
      </c>
      <c r="G354" s="3" t="s">
        <v>101</v>
      </c>
      <c r="H354" s="3" t="s">
        <v>26</v>
      </c>
      <c r="I354" s="4" t="n">
        <v>9</v>
      </c>
      <c r="J354" s="4" t="n">
        <f aca="false">LEN(E354)-LEN(SUBSTITUTE(E354,",",""))+1</f>
        <v>8</v>
      </c>
      <c r="K354" s="3" t="str">
        <f aca="false">IFERROR(INDEX('Teacher Lookup'!$B$2:$B$200,MATCH(A354,'Teacher Lookup'!$A$2:$A$200,0)),"")</f>
        <v>HO Anda</v>
      </c>
    </row>
    <row r="355" customFormat="false" ht="15" hidden="false" customHeight="false" outlineLevel="0" collapsed="false">
      <c r="A355" s="3" t="s">
        <v>97</v>
      </c>
      <c r="B355" s="4" t="s">
        <v>65</v>
      </c>
      <c r="C355" s="4" t="n">
        <v>3</v>
      </c>
      <c r="D355" s="4" t="s">
        <v>56</v>
      </c>
      <c r="E355" s="3" t="s">
        <v>121</v>
      </c>
      <c r="F355" s="4" t="str">
        <f aca="false">IF(I355&gt;J355,"Y","N")</f>
        <v>Y</v>
      </c>
      <c r="G355" s="3" t="s">
        <v>101</v>
      </c>
      <c r="H355" s="3" t="s">
        <v>26</v>
      </c>
      <c r="I355" s="4" t="n">
        <v>9</v>
      </c>
      <c r="J355" s="4" t="n">
        <f aca="false">LEN(E355)-LEN(SUBSTITUTE(E355,",",""))+1</f>
        <v>8</v>
      </c>
      <c r="K355" s="3" t="str">
        <f aca="false">IFERROR(INDEX('Teacher Lookup'!$B$2:$B$200,MATCH(A355,'Teacher Lookup'!$A$2:$A$200,0)),"")</f>
        <v>HO Anda</v>
      </c>
    </row>
    <row r="356" customFormat="false" ht="15" hidden="false" customHeight="false" outlineLevel="0" collapsed="false">
      <c r="A356" s="3" t="s">
        <v>97</v>
      </c>
      <c r="B356" s="4" t="s">
        <v>65</v>
      </c>
      <c r="C356" s="4" t="n">
        <v>3</v>
      </c>
      <c r="D356" s="4" t="s">
        <v>57</v>
      </c>
      <c r="E356" s="3" t="s">
        <v>121</v>
      </c>
      <c r="F356" s="4" t="str">
        <f aca="false">IF(I356&gt;J356,"Y","N")</f>
        <v>Y</v>
      </c>
      <c r="G356" s="3" t="s">
        <v>101</v>
      </c>
      <c r="H356" s="3" t="s">
        <v>26</v>
      </c>
      <c r="I356" s="4" t="n">
        <v>9</v>
      </c>
      <c r="J356" s="4" t="n">
        <f aca="false">LEN(E356)-LEN(SUBSTITUTE(E356,",",""))+1</f>
        <v>8</v>
      </c>
      <c r="K356" s="3" t="str">
        <f aca="false">IFERROR(INDEX('Teacher Lookup'!$B$2:$B$200,MATCH(A356,'Teacher Lookup'!$A$2:$A$200,0)),"")</f>
        <v>HO Anda</v>
      </c>
    </row>
    <row r="357" customFormat="false" ht="15" hidden="false" customHeight="false" outlineLevel="0" collapsed="false">
      <c r="A357" s="3" t="s">
        <v>97</v>
      </c>
      <c r="B357" s="4" t="s">
        <v>65</v>
      </c>
      <c r="C357" s="4" t="n">
        <v>3</v>
      </c>
      <c r="D357" s="4" t="s">
        <v>58</v>
      </c>
      <c r="E357" s="3" t="s">
        <v>121</v>
      </c>
      <c r="F357" s="4" t="str">
        <f aca="false">IF(I357&gt;J357,"Y","N")</f>
        <v>Y</v>
      </c>
      <c r="G357" s="3" t="s">
        <v>101</v>
      </c>
      <c r="H357" s="3" t="s">
        <v>26</v>
      </c>
      <c r="I357" s="4" t="n">
        <v>9</v>
      </c>
      <c r="J357" s="4" t="n">
        <f aca="false">LEN(E357)-LEN(SUBSTITUTE(E357,",",""))+1</f>
        <v>8</v>
      </c>
      <c r="K357" s="3" t="str">
        <f aca="false">IFERROR(INDEX('Teacher Lookup'!$B$2:$B$200,MATCH(A357,'Teacher Lookup'!$A$2:$A$200,0)),"")</f>
        <v>HO Anda</v>
      </c>
    </row>
    <row r="358" customFormat="false" ht="15" hidden="false" customHeight="false" outlineLevel="0" collapsed="false">
      <c r="A358" s="3" t="s">
        <v>97</v>
      </c>
      <c r="B358" s="4" t="s">
        <v>65</v>
      </c>
      <c r="C358" s="4" t="n">
        <v>3</v>
      </c>
      <c r="D358" s="4" t="s">
        <v>59</v>
      </c>
      <c r="E358" s="3" t="s">
        <v>121</v>
      </c>
      <c r="F358" s="4" t="str">
        <f aca="false">IF(I358&gt;J358,"Y","N")</f>
        <v>Y</v>
      </c>
      <c r="G358" s="3" t="s">
        <v>101</v>
      </c>
      <c r="H358" s="3" t="s">
        <v>26</v>
      </c>
      <c r="I358" s="4" t="n">
        <v>9</v>
      </c>
      <c r="J358" s="4" t="n">
        <f aca="false">LEN(E358)-LEN(SUBSTITUTE(E358,",",""))+1</f>
        <v>8</v>
      </c>
      <c r="K358" s="3" t="str">
        <f aca="false">IFERROR(INDEX('Teacher Lookup'!$B$2:$B$200,MATCH(A358,'Teacher Lookup'!$A$2:$A$200,0)),"")</f>
        <v>HO Anda</v>
      </c>
    </row>
    <row r="359" customFormat="false" ht="15" hidden="false" customHeight="false" outlineLevel="0" collapsed="false">
      <c r="A359" s="3" t="s">
        <v>97</v>
      </c>
      <c r="B359" s="4" t="s">
        <v>65</v>
      </c>
      <c r="C359" s="4" t="n">
        <v>5</v>
      </c>
      <c r="D359" s="4" t="s">
        <v>52</v>
      </c>
      <c r="E359" s="3" t="s">
        <v>112</v>
      </c>
      <c r="F359" s="4" t="str">
        <f aca="false">IF(I359&gt;J359,"Y","N")</f>
        <v>Y</v>
      </c>
      <c r="G359" s="3" t="s">
        <v>36</v>
      </c>
      <c r="H359" s="3" t="s">
        <v>37</v>
      </c>
      <c r="I359" s="4" t="n">
        <v>16</v>
      </c>
      <c r="J359" s="4" t="n">
        <f aca="false">LEN(E359)-LEN(SUBSTITUTE(E359,",",""))+1</f>
        <v>7</v>
      </c>
      <c r="K359" s="3" t="str">
        <f aca="false">IFERROR(INDEX('Teacher Lookup'!$B$2:$B$200,MATCH(A359,'Teacher Lookup'!$A$2:$A$200,0)),"")</f>
        <v>HO Anda</v>
      </c>
    </row>
    <row r="360" customFormat="false" ht="15" hidden="false" customHeight="false" outlineLevel="0" collapsed="false">
      <c r="A360" s="3" t="s">
        <v>97</v>
      </c>
      <c r="B360" s="4" t="s">
        <v>65</v>
      </c>
      <c r="C360" s="4" t="n">
        <v>5</v>
      </c>
      <c r="D360" s="4" t="s">
        <v>55</v>
      </c>
      <c r="E360" s="3" t="s">
        <v>112</v>
      </c>
      <c r="F360" s="4" t="str">
        <f aca="false">IF(I360&gt;J360,"Y","N")</f>
        <v>Y</v>
      </c>
      <c r="G360" s="3" t="s">
        <v>36</v>
      </c>
      <c r="H360" s="3" t="s">
        <v>37</v>
      </c>
      <c r="I360" s="4" t="n">
        <v>16</v>
      </c>
      <c r="J360" s="4" t="n">
        <f aca="false">LEN(E360)-LEN(SUBSTITUTE(E360,",",""))+1</f>
        <v>7</v>
      </c>
      <c r="K360" s="3" t="str">
        <f aca="false">IFERROR(INDEX('Teacher Lookup'!$B$2:$B$200,MATCH(A360,'Teacher Lookup'!$A$2:$A$200,0)),"")</f>
        <v>HO Anda</v>
      </c>
    </row>
    <row r="361" customFormat="false" ht="15" hidden="false" customHeight="false" outlineLevel="0" collapsed="false">
      <c r="A361" s="3" t="s">
        <v>97</v>
      </c>
      <c r="B361" s="4" t="s">
        <v>65</v>
      </c>
      <c r="C361" s="4" t="n">
        <v>5</v>
      </c>
      <c r="D361" s="4" t="s">
        <v>56</v>
      </c>
      <c r="E361" s="3" t="s">
        <v>112</v>
      </c>
      <c r="F361" s="4" t="str">
        <f aca="false">IF(I361&gt;J361,"Y","N")</f>
        <v>Y</v>
      </c>
      <c r="G361" s="3" t="s">
        <v>36</v>
      </c>
      <c r="H361" s="3" t="s">
        <v>37</v>
      </c>
      <c r="I361" s="4" t="n">
        <v>16</v>
      </c>
      <c r="J361" s="4" t="n">
        <f aca="false">LEN(E361)-LEN(SUBSTITUTE(E361,",",""))+1</f>
        <v>7</v>
      </c>
      <c r="K361" s="3" t="str">
        <f aca="false">IFERROR(INDEX('Teacher Lookup'!$B$2:$B$200,MATCH(A361,'Teacher Lookup'!$A$2:$A$200,0)),"")</f>
        <v>HO Anda</v>
      </c>
    </row>
    <row r="362" customFormat="false" ht="15" hidden="false" customHeight="false" outlineLevel="0" collapsed="false">
      <c r="A362" s="3" t="s">
        <v>97</v>
      </c>
      <c r="B362" s="4" t="s">
        <v>65</v>
      </c>
      <c r="C362" s="4" t="n">
        <v>5</v>
      </c>
      <c r="D362" s="4" t="s">
        <v>57</v>
      </c>
      <c r="E362" s="3" t="s">
        <v>112</v>
      </c>
      <c r="F362" s="4" t="str">
        <f aca="false">IF(I362&gt;J362,"Y","N")</f>
        <v>Y</v>
      </c>
      <c r="G362" s="3" t="s">
        <v>36</v>
      </c>
      <c r="H362" s="3" t="s">
        <v>37</v>
      </c>
      <c r="I362" s="4" t="n">
        <v>16</v>
      </c>
      <c r="J362" s="4" t="n">
        <f aca="false">LEN(E362)-LEN(SUBSTITUTE(E362,",",""))+1</f>
        <v>7</v>
      </c>
      <c r="K362" s="3" t="str">
        <f aca="false">IFERROR(INDEX('Teacher Lookup'!$B$2:$B$200,MATCH(A362,'Teacher Lookup'!$A$2:$A$200,0)),"")</f>
        <v>HO Anda</v>
      </c>
    </row>
    <row r="363" customFormat="false" ht="15" hidden="false" customHeight="false" outlineLevel="0" collapsed="false">
      <c r="A363" s="3" t="s">
        <v>97</v>
      </c>
      <c r="B363" s="4" t="s">
        <v>65</v>
      </c>
      <c r="C363" s="4" t="n">
        <v>5</v>
      </c>
      <c r="D363" s="4" t="s">
        <v>58</v>
      </c>
      <c r="E363" s="3" t="s">
        <v>112</v>
      </c>
      <c r="F363" s="4" t="str">
        <f aca="false">IF(I363&gt;J363,"Y","N")</f>
        <v>Y</v>
      </c>
      <c r="G363" s="3" t="s">
        <v>36</v>
      </c>
      <c r="H363" s="3" t="s">
        <v>37</v>
      </c>
      <c r="I363" s="4" t="n">
        <v>16</v>
      </c>
      <c r="J363" s="4" t="n">
        <f aca="false">LEN(E363)-LEN(SUBSTITUTE(E363,",",""))+1</f>
        <v>7</v>
      </c>
      <c r="K363" s="3" t="str">
        <f aca="false">IFERROR(INDEX('Teacher Lookup'!$B$2:$B$200,MATCH(A363,'Teacher Lookup'!$A$2:$A$200,0)),"")</f>
        <v>HO Anda</v>
      </c>
    </row>
    <row r="364" customFormat="false" ht="15" hidden="false" customHeight="false" outlineLevel="0" collapsed="false">
      <c r="A364" s="3" t="s">
        <v>97</v>
      </c>
      <c r="B364" s="4" t="s">
        <v>65</v>
      </c>
      <c r="C364" s="4" t="n">
        <v>5</v>
      </c>
      <c r="D364" s="4" t="s">
        <v>59</v>
      </c>
      <c r="E364" s="3" t="s">
        <v>112</v>
      </c>
      <c r="F364" s="4" t="str">
        <f aca="false">IF(I364&gt;J364,"Y","N")</f>
        <v>Y</v>
      </c>
      <c r="G364" s="3" t="s">
        <v>36</v>
      </c>
      <c r="H364" s="3" t="s">
        <v>37</v>
      </c>
      <c r="I364" s="4" t="n">
        <v>16</v>
      </c>
      <c r="J364" s="4" t="n">
        <f aca="false">LEN(E364)-LEN(SUBSTITUTE(E364,",",""))+1</f>
        <v>7</v>
      </c>
      <c r="K364" s="3" t="str">
        <f aca="false">IFERROR(INDEX('Teacher Lookup'!$B$2:$B$200,MATCH(A364,'Teacher Lookup'!$A$2:$A$200,0)),"")</f>
        <v>HO Anda</v>
      </c>
    </row>
    <row r="365" customFormat="false" ht="15" hidden="false" customHeight="false" outlineLevel="0" collapsed="false">
      <c r="A365" s="3" t="s">
        <v>97</v>
      </c>
      <c r="B365" s="4" t="s">
        <v>65</v>
      </c>
      <c r="C365" s="4" t="n">
        <v>6</v>
      </c>
      <c r="D365" s="4" t="s">
        <v>19</v>
      </c>
      <c r="E365" s="3" t="s">
        <v>109</v>
      </c>
      <c r="F365" s="4" t="str">
        <f aca="false">IF(I365&gt;J365,"Y","N")</f>
        <v>N</v>
      </c>
      <c r="G365" s="3" t="s">
        <v>99</v>
      </c>
      <c r="H365" s="3" t="s">
        <v>42</v>
      </c>
      <c r="I365" s="4" t="n">
        <v>1</v>
      </c>
      <c r="J365" s="4" t="n">
        <f aca="false">LEN(E365)-LEN(SUBSTITUTE(E365,",",""))+1</f>
        <v>1</v>
      </c>
      <c r="K365" s="3" t="str">
        <f aca="false">IFERROR(INDEX('Teacher Lookup'!$B$2:$B$200,MATCH(A365,'Teacher Lookup'!$A$2:$A$200,0)),"")</f>
        <v>HO Anda</v>
      </c>
    </row>
    <row r="366" customFormat="false" ht="15" hidden="false" customHeight="false" outlineLevel="0" collapsed="false">
      <c r="A366" s="3" t="s">
        <v>97</v>
      </c>
      <c r="B366" s="4" t="s">
        <v>66</v>
      </c>
      <c r="C366" s="4" t="n">
        <v>2</v>
      </c>
      <c r="D366" s="4" t="s">
        <v>102</v>
      </c>
      <c r="E366" s="3" t="s">
        <v>114</v>
      </c>
      <c r="F366" s="4" t="str">
        <f aca="false">IF(I366&gt;J366,"Y","N")</f>
        <v>N</v>
      </c>
      <c r="G366" s="3" t="s">
        <v>104</v>
      </c>
      <c r="H366" s="3" t="s">
        <v>21</v>
      </c>
      <c r="I366" s="4" t="n">
        <v>6</v>
      </c>
      <c r="J366" s="4" t="n">
        <f aca="false">LEN(E366)-LEN(SUBSTITUTE(E366,",",""))+1</f>
        <v>6</v>
      </c>
      <c r="K366" s="3" t="str">
        <f aca="false">IFERROR(INDEX('Teacher Lookup'!$B$2:$B$200,MATCH(A366,'Teacher Lookup'!$A$2:$A$200,0)),"")</f>
        <v>HO Anda</v>
      </c>
    </row>
    <row r="367" customFormat="false" ht="15" hidden="false" customHeight="false" outlineLevel="0" collapsed="false">
      <c r="A367" s="3" t="s">
        <v>97</v>
      </c>
      <c r="B367" s="4" t="s">
        <v>66</v>
      </c>
      <c r="C367" s="4" t="n">
        <v>2</v>
      </c>
      <c r="D367" s="4" t="s">
        <v>105</v>
      </c>
      <c r="E367" s="3" t="s">
        <v>114</v>
      </c>
      <c r="F367" s="4" t="str">
        <f aca="false">IF(I367&gt;J367,"Y","N")</f>
        <v>N</v>
      </c>
      <c r="G367" s="3" t="s">
        <v>104</v>
      </c>
      <c r="H367" s="3" t="s">
        <v>21</v>
      </c>
      <c r="I367" s="4" t="n">
        <v>6</v>
      </c>
      <c r="J367" s="4" t="n">
        <f aca="false">LEN(E367)-LEN(SUBSTITUTE(E367,",",""))+1</f>
        <v>6</v>
      </c>
      <c r="K367" s="3" t="str">
        <f aca="false">IFERROR(INDEX('Teacher Lookup'!$B$2:$B$200,MATCH(A367,'Teacher Lookup'!$A$2:$A$200,0)),"")</f>
        <v>HO Anda</v>
      </c>
    </row>
    <row r="368" customFormat="false" ht="15" hidden="false" customHeight="false" outlineLevel="0" collapsed="false">
      <c r="A368" s="3" t="s">
        <v>97</v>
      </c>
      <c r="B368" s="4" t="s">
        <v>66</v>
      </c>
      <c r="C368" s="4" t="n">
        <v>2</v>
      </c>
      <c r="D368" s="4" t="s">
        <v>106</v>
      </c>
      <c r="E368" s="3" t="s">
        <v>114</v>
      </c>
      <c r="F368" s="4" t="str">
        <f aca="false">IF(I368&gt;J368,"Y","N")</f>
        <v>N</v>
      </c>
      <c r="G368" s="3" t="s">
        <v>104</v>
      </c>
      <c r="H368" s="3" t="s">
        <v>21</v>
      </c>
      <c r="I368" s="4" t="n">
        <v>6</v>
      </c>
      <c r="J368" s="4" t="n">
        <f aca="false">LEN(E368)-LEN(SUBSTITUTE(E368,",",""))+1</f>
        <v>6</v>
      </c>
      <c r="K368" s="3" t="str">
        <f aca="false">IFERROR(INDEX('Teacher Lookup'!$B$2:$B$200,MATCH(A368,'Teacher Lookup'!$A$2:$A$200,0)),"")</f>
        <v>HO Anda</v>
      </c>
    </row>
    <row r="369" customFormat="false" ht="15" hidden="false" customHeight="false" outlineLevel="0" collapsed="false">
      <c r="A369" s="3" t="s">
        <v>97</v>
      </c>
      <c r="B369" s="4" t="s">
        <v>66</v>
      </c>
      <c r="C369" s="4" t="n">
        <v>2</v>
      </c>
      <c r="D369" s="4" t="s">
        <v>107</v>
      </c>
      <c r="E369" s="3" t="s">
        <v>114</v>
      </c>
      <c r="F369" s="4" t="str">
        <f aca="false">IF(I369&gt;J369,"Y","N")</f>
        <v>N</v>
      </c>
      <c r="G369" s="3" t="s">
        <v>104</v>
      </c>
      <c r="H369" s="3" t="s">
        <v>21</v>
      </c>
      <c r="I369" s="4" t="n">
        <v>6</v>
      </c>
      <c r="J369" s="4" t="n">
        <f aca="false">LEN(E369)-LEN(SUBSTITUTE(E369,",",""))+1</f>
        <v>6</v>
      </c>
      <c r="K369" s="3" t="str">
        <f aca="false">IFERROR(INDEX('Teacher Lookup'!$B$2:$B$200,MATCH(A369,'Teacher Lookup'!$A$2:$A$200,0)),"")</f>
        <v>HO Anda</v>
      </c>
    </row>
    <row r="370" customFormat="false" ht="15" hidden="false" customHeight="false" outlineLevel="0" collapsed="false">
      <c r="A370" s="3" t="s">
        <v>97</v>
      </c>
      <c r="B370" s="4" t="s">
        <v>66</v>
      </c>
      <c r="C370" s="4" t="n">
        <v>3</v>
      </c>
      <c r="D370" s="4" t="s">
        <v>57</v>
      </c>
      <c r="E370" s="3" t="s">
        <v>98</v>
      </c>
      <c r="F370" s="4" t="str">
        <f aca="false">IF(I370&gt;J370,"Y","N")</f>
        <v>N</v>
      </c>
      <c r="G370" s="3" t="s">
        <v>99</v>
      </c>
      <c r="H370" s="3" t="s">
        <v>26</v>
      </c>
      <c r="I370" s="4" t="n">
        <v>1</v>
      </c>
      <c r="J370" s="4" t="n">
        <f aca="false">LEN(E370)-LEN(SUBSTITUTE(E370,",",""))+1</f>
        <v>1</v>
      </c>
      <c r="K370" s="3" t="str">
        <f aca="false">IFERROR(INDEX('Teacher Lookup'!$B$2:$B$200,MATCH(A370,'Teacher Lookup'!$A$2:$A$200,0)),"")</f>
        <v>HO Anda</v>
      </c>
    </row>
    <row r="371" customFormat="false" ht="15" hidden="false" customHeight="false" outlineLevel="0" collapsed="false">
      <c r="A371" s="3" t="s">
        <v>97</v>
      </c>
      <c r="B371" s="4" t="s">
        <v>66</v>
      </c>
      <c r="C371" s="4" t="n">
        <v>5</v>
      </c>
      <c r="D371" s="4" t="s">
        <v>52</v>
      </c>
      <c r="E371" s="3" t="s">
        <v>122</v>
      </c>
      <c r="F371" s="4" t="str">
        <f aca="false">IF(I371&gt;J371,"Y","N")</f>
        <v>N</v>
      </c>
      <c r="G371" s="3" t="s">
        <v>101</v>
      </c>
      <c r="H371" s="3" t="s">
        <v>37</v>
      </c>
      <c r="I371" s="4" t="n">
        <v>8</v>
      </c>
      <c r="J371" s="4" t="n">
        <f aca="false">LEN(E371)-LEN(SUBSTITUTE(E371,",",""))+1</f>
        <v>8</v>
      </c>
      <c r="K371" s="3" t="str">
        <f aca="false">IFERROR(INDEX('Teacher Lookup'!$B$2:$B$200,MATCH(A371,'Teacher Lookup'!$A$2:$A$200,0)),"")</f>
        <v>HO Anda</v>
      </c>
    </row>
    <row r="372" customFormat="false" ht="15" hidden="false" customHeight="false" outlineLevel="0" collapsed="false">
      <c r="A372" s="3" t="s">
        <v>97</v>
      </c>
      <c r="B372" s="4" t="s">
        <v>66</v>
      </c>
      <c r="C372" s="4" t="n">
        <v>5</v>
      </c>
      <c r="D372" s="4" t="s">
        <v>55</v>
      </c>
      <c r="E372" s="3" t="s">
        <v>122</v>
      </c>
      <c r="F372" s="4" t="str">
        <f aca="false">IF(I372&gt;J372,"Y","N")</f>
        <v>N</v>
      </c>
      <c r="G372" s="3" t="s">
        <v>101</v>
      </c>
      <c r="H372" s="3" t="s">
        <v>37</v>
      </c>
      <c r="I372" s="4" t="n">
        <v>8</v>
      </c>
      <c r="J372" s="4" t="n">
        <f aca="false">LEN(E372)-LEN(SUBSTITUTE(E372,",",""))+1</f>
        <v>8</v>
      </c>
      <c r="K372" s="3" t="str">
        <f aca="false">IFERROR(INDEX('Teacher Lookup'!$B$2:$B$200,MATCH(A372,'Teacher Lookup'!$A$2:$A$200,0)),"")</f>
        <v>HO Anda</v>
      </c>
    </row>
    <row r="373" customFormat="false" ht="15" hidden="false" customHeight="false" outlineLevel="0" collapsed="false">
      <c r="A373" s="3" t="s">
        <v>97</v>
      </c>
      <c r="B373" s="4" t="s">
        <v>66</v>
      </c>
      <c r="C373" s="4" t="n">
        <v>5</v>
      </c>
      <c r="D373" s="4" t="s">
        <v>56</v>
      </c>
      <c r="E373" s="3" t="s">
        <v>122</v>
      </c>
      <c r="F373" s="4" t="str">
        <f aca="false">IF(I373&gt;J373,"Y","N")</f>
        <v>N</v>
      </c>
      <c r="G373" s="3" t="s">
        <v>101</v>
      </c>
      <c r="H373" s="3" t="s">
        <v>37</v>
      </c>
      <c r="I373" s="4" t="n">
        <v>8</v>
      </c>
      <c r="J373" s="4" t="n">
        <f aca="false">LEN(E373)-LEN(SUBSTITUTE(E373,",",""))+1</f>
        <v>8</v>
      </c>
      <c r="K373" s="3" t="str">
        <f aca="false">IFERROR(INDEX('Teacher Lookup'!$B$2:$B$200,MATCH(A373,'Teacher Lookup'!$A$2:$A$200,0)),"")</f>
        <v>HO Anda</v>
      </c>
    </row>
    <row r="374" customFormat="false" ht="15" hidden="false" customHeight="false" outlineLevel="0" collapsed="false">
      <c r="A374" s="3" t="s">
        <v>97</v>
      </c>
      <c r="B374" s="4" t="s">
        <v>66</v>
      </c>
      <c r="C374" s="4" t="n">
        <v>5</v>
      </c>
      <c r="D374" s="4" t="s">
        <v>57</v>
      </c>
      <c r="E374" s="3" t="s">
        <v>122</v>
      </c>
      <c r="F374" s="4" t="str">
        <f aca="false">IF(I374&gt;J374,"Y","N")</f>
        <v>N</v>
      </c>
      <c r="G374" s="3" t="s">
        <v>101</v>
      </c>
      <c r="H374" s="3" t="s">
        <v>37</v>
      </c>
      <c r="I374" s="4" t="n">
        <v>8</v>
      </c>
      <c r="J374" s="4" t="n">
        <f aca="false">LEN(E374)-LEN(SUBSTITUTE(E374,",",""))+1</f>
        <v>8</v>
      </c>
      <c r="K374" s="3" t="str">
        <f aca="false">IFERROR(INDEX('Teacher Lookup'!$B$2:$B$200,MATCH(A374,'Teacher Lookup'!$A$2:$A$200,0)),"")</f>
        <v>HO Anda</v>
      </c>
    </row>
    <row r="375" customFormat="false" ht="15" hidden="false" customHeight="false" outlineLevel="0" collapsed="false">
      <c r="A375" s="3" t="s">
        <v>97</v>
      </c>
      <c r="B375" s="4" t="s">
        <v>66</v>
      </c>
      <c r="C375" s="4" t="n">
        <v>5</v>
      </c>
      <c r="D375" s="4" t="s">
        <v>58</v>
      </c>
      <c r="E375" s="3" t="s">
        <v>122</v>
      </c>
      <c r="F375" s="4" t="str">
        <f aca="false">IF(I375&gt;J375,"Y","N")</f>
        <v>N</v>
      </c>
      <c r="G375" s="3" t="s">
        <v>101</v>
      </c>
      <c r="H375" s="3" t="s">
        <v>37</v>
      </c>
      <c r="I375" s="4" t="n">
        <v>8</v>
      </c>
      <c r="J375" s="4" t="n">
        <f aca="false">LEN(E375)-LEN(SUBSTITUTE(E375,",",""))+1</f>
        <v>8</v>
      </c>
      <c r="K375" s="3" t="str">
        <f aca="false">IFERROR(INDEX('Teacher Lookup'!$B$2:$B$200,MATCH(A375,'Teacher Lookup'!$A$2:$A$200,0)),"")</f>
        <v>HO Anda</v>
      </c>
    </row>
    <row r="376" customFormat="false" ht="15" hidden="false" customHeight="false" outlineLevel="0" collapsed="false">
      <c r="A376" s="3" t="s">
        <v>97</v>
      </c>
      <c r="B376" s="4" t="s">
        <v>66</v>
      </c>
      <c r="C376" s="4" t="n">
        <v>5</v>
      </c>
      <c r="D376" s="4" t="s">
        <v>59</v>
      </c>
      <c r="E376" s="3" t="s">
        <v>122</v>
      </c>
      <c r="F376" s="4" t="str">
        <f aca="false">IF(I376&gt;J376,"Y","N")</f>
        <v>N</v>
      </c>
      <c r="G376" s="3" t="s">
        <v>101</v>
      </c>
      <c r="H376" s="3" t="s">
        <v>37</v>
      </c>
      <c r="I376" s="4" t="n">
        <v>8</v>
      </c>
      <c r="J376" s="4" t="n">
        <f aca="false">LEN(E376)-LEN(SUBSTITUTE(E376,",",""))+1</f>
        <v>8</v>
      </c>
      <c r="K376" s="3" t="str">
        <f aca="false">IFERROR(INDEX('Teacher Lookup'!$B$2:$B$200,MATCH(A376,'Teacher Lookup'!$A$2:$A$200,0)),"")</f>
        <v>HO Anda</v>
      </c>
    </row>
    <row r="377" customFormat="false" ht="15" hidden="false" customHeight="false" outlineLevel="0" collapsed="false">
      <c r="A377" s="3" t="s">
        <v>97</v>
      </c>
      <c r="B377" s="4" t="s">
        <v>66</v>
      </c>
      <c r="C377" s="4" t="n">
        <v>6</v>
      </c>
      <c r="D377" s="4" t="s">
        <v>76</v>
      </c>
      <c r="E377" s="3" t="s">
        <v>113</v>
      </c>
      <c r="F377" s="4" t="str">
        <f aca="false">IF(I377&gt;J377,"Y","N")</f>
        <v>N</v>
      </c>
      <c r="G377" s="3" t="s">
        <v>99</v>
      </c>
      <c r="H377" s="3" t="s">
        <v>42</v>
      </c>
      <c r="I377" s="4" t="n">
        <v>1</v>
      </c>
      <c r="J377" s="4" t="n">
        <f aca="false">LEN(E377)-LEN(SUBSTITUTE(E377,",",""))+1</f>
        <v>1</v>
      </c>
      <c r="K377" s="3" t="str">
        <f aca="false">IFERROR(INDEX('Teacher Lookup'!$B$2:$B$200,MATCH(A377,'Teacher Lookup'!$A$2:$A$200,0)),"")</f>
        <v>HO Anda</v>
      </c>
    </row>
    <row r="378" customFormat="false" ht="15" hidden="false" customHeight="false" outlineLevel="0" collapsed="false">
      <c r="A378" s="3" t="s">
        <v>97</v>
      </c>
      <c r="B378" s="4" t="s">
        <v>66</v>
      </c>
      <c r="C378" s="4" t="n">
        <v>7</v>
      </c>
      <c r="D378" s="4" t="s">
        <v>70</v>
      </c>
      <c r="E378" s="3" t="s">
        <v>108</v>
      </c>
      <c r="F378" s="4" t="str">
        <f aca="false">IF(I378&gt;J378,"Y","N")</f>
        <v>N</v>
      </c>
      <c r="G378" s="3" t="s">
        <v>99</v>
      </c>
      <c r="H378" s="3" t="s">
        <v>39</v>
      </c>
      <c r="I378" s="4" t="n">
        <v>1</v>
      </c>
      <c r="J378" s="4" t="n">
        <f aca="false">LEN(E378)-LEN(SUBSTITUTE(E378,",",""))+1</f>
        <v>1</v>
      </c>
      <c r="K378" s="3" t="str">
        <f aca="false">IFERROR(INDEX('Teacher Lookup'!$B$2:$B$200,MATCH(A378,'Teacher Lookup'!$A$2:$A$200,0)),"")</f>
        <v>HO Anda</v>
      </c>
    </row>
    <row r="379" customFormat="false" ht="15" hidden="false" customHeight="false" outlineLevel="0" collapsed="false">
      <c r="A379" s="3" t="s">
        <v>123</v>
      </c>
      <c r="B379" s="4" t="s">
        <v>12</v>
      </c>
      <c r="C379" s="4" t="n">
        <v>2</v>
      </c>
      <c r="D379" s="4" t="s">
        <v>124</v>
      </c>
      <c r="E379" s="3" t="s">
        <v>125</v>
      </c>
      <c r="F379" s="4" t="str">
        <f aca="false">IF(I379&gt;J379,"Y","N")</f>
        <v>N</v>
      </c>
      <c r="G379" s="3" t="s">
        <v>126</v>
      </c>
      <c r="H379" s="3" t="s">
        <v>21</v>
      </c>
      <c r="I379" s="4" t="n">
        <v>1</v>
      </c>
      <c r="J379" s="4" t="n">
        <f aca="false">LEN(E379)-LEN(SUBSTITUTE(E379,",",""))+1</f>
        <v>1</v>
      </c>
      <c r="K379" s="3" t="str">
        <f aca="false">IFERROR(INDEX('Teacher Lookup'!$B$2:$B$200,MATCH(A379,'Teacher Lookup'!$A$2:$A$200,0)),"")</f>
        <v>YU Anthony</v>
      </c>
    </row>
    <row r="380" customFormat="false" ht="15" hidden="false" customHeight="false" outlineLevel="0" collapsed="false">
      <c r="A380" s="3" t="s">
        <v>123</v>
      </c>
      <c r="B380" s="4" t="s">
        <v>12</v>
      </c>
      <c r="C380" s="4" t="n">
        <v>4</v>
      </c>
      <c r="D380" s="4" t="s">
        <v>127</v>
      </c>
      <c r="E380" s="3" t="s">
        <v>128</v>
      </c>
      <c r="F380" s="4" t="str">
        <f aca="false">IF(I380&gt;J380,"Y","N")</f>
        <v>N</v>
      </c>
      <c r="G380" s="3" t="s">
        <v>126</v>
      </c>
      <c r="H380" s="3" t="s">
        <v>34</v>
      </c>
      <c r="I380" s="4" t="n">
        <v>1</v>
      </c>
      <c r="J380" s="4" t="n">
        <f aca="false">LEN(E380)-LEN(SUBSTITUTE(E380,",",""))+1</f>
        <v>1</v>
      </c>
      <c r="K380" s="3" t="str">
        <f aca="false">IFERROR(INDEX('Teacher Lookup'!$B$2:$B$200,MATCH(A380,'Teacher Lookup'!$A$2:$A$200,0)),"")</f>
        <v>YU Anthony</v>
      </c>
    </row>
    <row r="381" customFormat="false" ht="15" hidden="false" customHeight="false" outlineLevel="0" collapsed="false">
      <c r="A381" s="3" t="s">
        <v>123</v>
      </c>
      <c r="B381" s="4" t="s">
        <v>12</v>
      </c>
      <c r="C381" s="4" t="n">
        <v>5</v>
      </c>
      <c r="D381" s="4" t="s">
        <v>78</v>
      </c>
      <c r="E381" s="3" t="s">
        <v>129</v>
      </c>
      <c r="F381" s="4" t="str">
        <f aca="false">IF(I381&gt;J381,"Y","N")</f>
        <v>N</v>
      </c>
      <c r="G381" s="3" t="s">
        <v>130</v>
      </c>
      <c r="H381" s="3" t="s">
        <v>37</v>
      </c>
      <c r="I381" s="4" t="n">
        <v>1</v>
      </c>
      <c r="J381" s="4" t="n">
        <f aca="false">LEN(E381)-LEN(SUBSTITUTE(E381,",",""))+1</f>
        <v>1</v>
      </c>
      <c r="K381" s="3" t="str">
        <f aca="false">IFERROR(INDEX('Teacher Lookup'!$B$2:$B$200,MATCH(A381,'Teacher Lookup'!$A$2:$A$200,0)),"")</f>
        <v>YU Anthony</v>
      </c>
    </row>
    <row r="382" customFormat="false" ht="15" hidden="false" customHeight="false" outlineLevel="0" collapsed="false">
      <c r="A382" s="3" t="s">
        <v>123</v>
      </c>
      <c r="B382" s="4" t="s">
        <v>31</v>
      </c>
      <c r="C382" s="4" t="n">
        <v>3</v>
      </c>
      <c r="D382" s="4" t="s">
        <v>27</v>
      </c>
      <c r="E382" s="3" t="s">
        <v>129</v>
      </c>
      <c r="F382" s="4" t="str">
        <f aca="false">IF(I382&gt;J382,"Y","N")</f>
        <v>N</v>
      </c>
      <c r="G382" s="3" t="s">
        <v>130</v>
      </c>
      <c r="H382" s="3" t="s">
        <v>26</v>
      </c>
      <c r="I382" s="4" t="n">
        <v>1</v>
      </c>
      <c r="J382" s="4" t="n">
        <f aca="false">LEN(E382)-LEN(SUBSTITUTE(E382,",",""))+1</f>
        <v>1</v>
      </c>
      <c r="K382" s="3" t="str">
        <f aca="false">IFERROR(INDEX('Teacher Lookup'!$B$2:$B$200,MATCH(A382,'Teacher Lookup'!$A$2:$A$200,0)),"")</f>
        <v>YU Anthony</v>
      </c>
    </row>
    <row r="383" customFormat="false" ht="15" hidden="false" customHeight="false" outlineLevel="0" collapsed="false">
      <c r="A383" s="3" t="s">
        <v>123</v>
      </c>
      <c r="B383" s="4" t="s">
        <v>31</v>
      </c>
      <c r="C383" s="4" t="n">
        <v>4</v>
      </c>
      <c r="D383" s="4" t="s">
        <v>70</v>
      </c>
      <c r="E383" s="3" t="s">
        <v>129</v>
      </c>
      <c r="F383" s="4" t="str">
        <f aca="false">IF(I383&gt;J383,"Y","N")</f>
        <v>N</v>
      </c>
      <c r="G383" s="3" t="s">
        <v>130</v>
      </c>
      <c r="H383" s="3" t="s">
        <v>34</v>
      </c>
      <c r="I383" s="4" t="n">
        <v>1</v>
      </c>
      <c r="J383" s="4" t="n">
        <f aca="false">LEN(E383)-LEN(SUBSTITUTE(E383,",",""))+1</f>
        <v>1</v>
      </c>
      <c r="K383" s="3" t="str">
        <f aca="false">IFERROR(INDEX('Teacher Lookup'!$B$2:$B$200,MATCH(A383,'Teacher Lookup'!$A$2:$A$200,0)),"")</f>
        <v>YU Anthony</v>
      </c>
    </row>
    <row r="384" customFormat="false" ht="15" hidden="false" customHeight="false" outlineLevel="0" collapsed="false">
      <c r="A384" s="3" t="s">
        <v>123</v>
      </c>
      <c r="B384" s="4" t="s">
        <v>31</v>
      </c>
      <c r="C384" s="4" t="n">
        <v>5</v>
      </c>
      <c r="D384" s="4" t="s">
        <v>24</v>
      </c>
      <c r="E384" s="3" t="s">
        <v>131</v>
      </c>
      <c r="F384" s="4" t="str">
        <f aca="false">IF(I384&gt;J384,"Y","N")</f>
        <v>Y</v>
      </c>
      <c r="G384" s="3" t="s">
        <v>36</v>
      </c>
      <c r="H384" s="3" t="s">
        <v>37</v>
      </c>
      <c r="I384" s="4" t="n">
        <v>15</v>
      </c>
      <c r="J384" s="4" t="n">
        <f aca="false">LEN(E384)-LEN(SUBSTITUTE(E384,",",""))+1</f>
        <v>7</v>
      </c>
      <c r="K384" s="3" t="str">
        <f aca="false">IFERROR(INDEX('Teacher Lookup'!$B$2:$B$200,MATCH(A384,'Teacher Lookup'!$A$2:$A$200,0)),"")</f>
        <v>YU Anthony</v>
      </c>
    </row>
    <row r="385" customFormat="false" ht="15" hidden="false" customHeight="false" outlineLevel="0" collapsed="false">
      <c r="A385" s="3" t="s">
        <v>123</v>
      </c>
      <c r="B385" s="4" t="s">
        <v>31</v>
      </c>
      <c r="C385" s="4" t="n">
        <v>5</v>
      </c>
      <c r="D385" s="4" t="s">
        <v>132</v>
      </c>
      <c r="E385" s="3" t="s">
        <v>131</v>
      </c>
      <c r="F385" s="4" t="str">
        <f aca="false">IF(I385&gt;J385,"Y","N")</f>
        <v>Y</v>
      </c>
      <c r="G385" s="3" t="s">
        <v>36</v>
      </c>
      <c r="H385" s="3" t="s">
        <v>37</v>
      </c>
      <c r="I385" s="4" t="n">
        <v>15</v>
      </c>
      <c r="J385" s="4" t="n">
        <f aca="false">LEN(E385)-LEN(SUBSTITUTE(E385,",",""))+1</f>
        <v>7</v>
      </c>
      <c r="K385" s="3" t="str">
        <f aca="false">IFERROR(INDEX('Teacher Lookup'!$B$2:$B$200,MATCH(A385,'Teacher Lookup'!$A$2:$A$200,0)),"")</f>
        <v>YU Anthony</v>
      </c>
    </row>
    <row r="386" customFormat="false" ht="15" hidden="false" customHeight="false" outlineLevel="0" collapsed="false">
      <c r="A386" s="3" t="s">
        <v>123</v>
      </c>
      <c r="B386" s="4" t="s">
        <v>31</v>
      </c>
      <c r="C386" s="4" t="n">
        <v>5</v>
      </c>
      <c r="D386" s="4" t="s">
        <v>27</v>
      </c>
      <c r="E386" s="3" t="s">
        <v>131</v>
      </c>
      <c r="F386" s="4" t="str">
        <f aca="false">IF(I386&gt;J386,"Y","N")</f>
        <v>Y</v>
      </c>
      <c r="G386" s="3" t="s">
        <v>36</v>
      </c>
      <c r="H386" s="3" t="s">
        <v>37</v>
      </c>
      <c r="I386" s="4" t="n">
        <v>15</v>
      </c>
      <c r="J386" s="4" t="n">
        <f aca="false">LEN(E386)-LEN(SUBSTITUTE(E386,",",""))+1</f>
        <v>7</v>
      </c>
      <c r="K386" s="3" t="str">
        <f aca="false">IFERROR(INDEX('Teacher Lookup'!$B$2:$B$200,MATCH(A386,'Teacher Lookup'!$A$2:$A$200,0)),"")</f>
        <v>YU Anthony</v>
      </c>
    </row>
    <row r="387" customFormat="false" ht="15" hidden="false" customHeight="false" outlineLevel="0" collapsed="false">
      <c r="A387" s="3" t="s">
        <v>123</v>
      </c>
      <c r="B387" s="4" t="s">
        <v>31</v>
      </c>
      <c r="C387" s="4" t="n">
        <v>5</v>
      </c>
      <c r="D387" s="4" t="s">
        <v>28</v>
      </c>
      <c r="E387" s="3" t="s">
        <v>131</v>
      </c>
      <c r="F387" s="4" t="str">
        <f aca="false">IF(I387&gt;J387,"Y","N")</f>
        <v>Y</v>
      </c>
      <c r="G387" s="3" t="s">
        <v>36</v>
      </c>
      <c r="H387" s="3" t="s">
        <v>37</v>
      </c>
      <c r="I387" s="4" t="n">
        <v>15</v>
      </c>
      <c r="J387" s="4" t="n">
        <f aca="false">LEN(E387)-LEN(SUBSTITUTE(E387,",",""))+1</f>
        <v>7</v>
      </c>
      <c r="K387" s="3" t="str">
        <f aca="false">IFERROR(INDEX('Teacher Lookup'!$B$2:$B$200,MATCH(A387,'Teacher Lookup'!$A$2:$A$200,0)),"")</f>
        <v>YU Anthony</v>
      </c>
    </row>
    <row r="388" customFormat="false" ht="15" hidden="false" customHeight="false" outlineLevel="0" collapsed="false">
      <c r="A388" s="3" t="s">
        <v>123</v>
      </c>
      <c r="B388" s="4" t="s">
        <v>31</v>
      </c>
      <c r="C388" s="4" t="n">
        <v>5</v>
      </c>
      <c r="D388" s="4" t="s">
        <v>29</v>
      </c>
      <c r="E388" s="3" t="s">
        <v>131</v>
      </c>
      <c r="F388" s="4" t="str">
        <f aca="false">IF(I388&gt;J388,"Y","N")</f>
        <v>Y</v>
      </c>
      <c r="G388" s="3" t="s">
        <v>36</v>
      </c>
      <c r="H388" s="3" t="s">
        <v>37</v>
      </c>
      <c r="I388" s="4" t="n">
        <v>15</v>
      </c>
      <c r="J388" s="4" t="n">
        <f aca="false">LEN(E388)-LEN(SUBSTITUTE(E388,",",""))+1</f>
        <v>7</v>
      </c>
      <c r="K388" s="3" t="str">
        <f aca="false">IFERROR(INDEX('Teacher Lookup'!$B$2:$B$200,MATCH(A388,'Teacher Lookup'!$A$2:$A$200,0)),"")</f>
        <v>YU Anthony</v>
      </c>
    </row>
    <row r="389" customFormat="false" ht="15" hidden="false" customHeight="false" outlineLevel="0" collapsed="false">
      <c r="A389" s="3" t="s">
        <v>123</v>
      </c>
      <c r="B389" s="4" t="s">
        <v>31</v>
      </c>
      <c r="C389" s="4" t="n">
        <v>5</v>
      </c>
      <c r="D389" s="4" t="s">
        <v>30</v>
      </c>
      <c r="E389" s="3" t="s">
        <v>131</v>
      </c>
      <c r="F389" s="4" t="str">
        <f aca="false">IF(I389&gt;J389,"Y","N")</f>
        <v>Y</v>
      </c>
      <c r="G389" s="3" t="s">
        <v>36</v>
      </c>
      <c r="H389" s="3" t="s">
        <v>37</v>
      </c>
      <c r="I389" s="4" t="n">
        <v>15</v>
      </c>
      <c r="J389" s="4" t="n">
        <f aca="false">LEN(E389)-LEN(SUBSTITUTE(E389,",",""))+1</f>
        <v>7</v>
      </c>
      <c r="K389" s="3" t="str">
        <f aca="false">IFERROR(INDEX('Teacher Lookup'!$B$2:$B$200,MATCH(A389,'Teacher Lookup'!$A$2:$A$200,0)),"")</f>
        <v>YU Anthony</v>
      </c>
    </row>
    <row r="390" customFormat="false" ht="15" hidden="false" customHeight="false" outlineLevel="0" collapsed="false">
      <c r="A390" s="3" t="s">
        <v>123</v>
      </c>
      <c r="B390" s="4" t="s">
        <v>31</v>
      </c>
      <c r="C390" s="4" t="n">
        <v>6</v>
      </c>
      <c r="D390" s="4" t="s">
        <v>127</v>
      </c>
      <c r="E390" s="3" t="s">
        <v>133</v>
      </c>
      <c r="F390" s="4" t="str">
        <f aca="false">IF(I390&gt;J390,"Y","N")</f>
        <v>N</v>
      </c>
      <c r="G390" s="3" t="s">
        <v>126</v>
      </c>
      <c r="H390" s="3" t="s">
        <v>42</v>
      </c>
      <c r="I390" s="4" t="n">
        <v>1</v>
      </c>
      <c r="J390" s="4" t="n">
        <f aca="false">LEN(E390)-LEN(SUBSTITUTE(E390,",",""))+1</f>
        <v>1</v>
      </c>
      <c r="K390" s="3" t="str">
        <f aca="false">IFERROR(INDEX('Teacher Lookup'!$B$2:$B$200,MATCH(A390,'Teacher Lookup'!$A$2:$A$200,0)),"")</f>
        <v>YU Anthony</v>
      </c>
    </row>
    <row r="391" customFormat="false" ht="15" hidden="false" customHeight="false" outlineLevel="0" collapsed="false">
      <c r="A391" s="3" t="s">
        <v>123</v>
      </c>
      <c r="B391" s="4" t="s">
        <v>31</v>
      </c>
      <c r="C391" s="4" t="n">
        <v>7</v>
      </c>
      <c r="D391" s="4" t="s">
        <v>124</v>
      </c>
      <c r="E391" s="3" t="s">
        <v>133</v>
      </c>
      <c r="F391" s="4" t="str">
        <f aca="false">IF(I391&gt;J391,"Y","N")</f>
        <v>N</v>
      </c>
      <c r="G391" s="3" t="s">
        <v>126</v>
      </c>
      <c r="H391" s="3" t="s">
        <v>39</v>
      </c>
      <c r="I391" s="4" t="n">
        <v>1</v>
      </c>
      <c r="J391" s="4" t="n">
        <f aca="false">LEN(E391)-LEN(SUBSTITUTE(E391,",",""))+1</f>
        <v>1</v>
      </c>
      <c r="K391" s="3" t="str">
        <f aca="false">IFERROR(INDEX('Teacher Lookup'!$B$2:$B$200,MATCH(A391,'Teacher Lookup'!$A$2:$A$200,0)),"")</f>
        <v>YU Anthony</v>
      </c>
    </row>
    <row r="392" customFormat="false" ht="15" hidden="false" customHeight="false" outlineLevel="0" collapsed="false">
      <c r="A392" s="3" t="s">
        <v>123</v>
      </c>
      <c r="B392" s="4" t="s">
        <v>40</v>
      </c>
      <c r="C392" s="4" t="n">
        <v>1</v>
      </c>
      <c r="D392" s="4" t="s">
        <v>27</v>
      </c>
      <c r="E392" s="3" t="s">
        <v>134</v>
      </c>
      <c r="F392" s="4" t="str">
        <f aca="false">IF(I392&gt;J392,"Y","N")</f>
        <v>N</v>
      </c>
      <c r="G392" s="3" t="s">
        <v>130</v>
      </c>
      <c r="H392" s="3" t="s">
        <v>16</v>
      </c>
      <c r="I392" s="4" t="n">
        <v>1</v>
      </c>
      <c r="J392" s="4" t="n">
        <f aca="false">LEN(E392)-LEN(SUBSTITUTE(E392,",",""))+1</f>
        <v>1</v>
      </c>
      <c r="K392" s="3" t="str">
        <f aca="false">IFERROR(INDEX('Teacher Lookup'!$B$2:$B$200,MATCH(A392,'Teacher Lookup'!$A$2:$A$200,0)),"")</f>
        <v>YU Anthony</v>
      </c>
    </row>
    <row r="393" customFormat="false" ht="15" hidden="false" customHeight="false" outlineLevel="0" collapsed="false">
      <c r="A393" s="3" t="s">
        <v>123</v>
      </c>
      <c r="B393" s="4" t="s">
        <v>40</v>
      </c>
      <c r="C393" s="4" t="n">
        <v>5</v>
      </c>
      <c r="D393" s="4" t="s">
        <v>124</v>
      </c>
      <c r="E393" s="3" t="s">
        <v>125</v>
      </c>
      <c r="F393" s="4" t="str">
        <f aca="false">IF(I393&gt;J393,"Y","N")</f>
        <v>N</v>
      </c>
      <c r="G393" s="3" t="s">
        <v>126</v>
      </c>
      <c r="H393" s="3" t="s">
        <v>37</v>
      </c>
      <c r="I393" s="4" t="n">
        <v>1</v>
      </c>
      <c r="J393" s="4" t="n">
        <f aca="false">LEN(E393)-LEN(SUBSTITUTE(E393,",",""))+1</f>
        <v>1</v>
      </c>
      <c r="K393" s="3" t="str">
        <f aca="false">IFERROR(INDEX('Teacher Lookup'!$B$2:$B$200,MATCH(A393,'Teacher Lookup'!$A$2:$A$200,0)),"")</f>
        <v>YU Anthony</v>
      </c>
    </row>
    <row r="394" customFormat="false" ht="15" hidden="false" customHeight="false" outlineLevel="0" collapsed="false">
      <c r="A394" s="3" t="s">
        <v>123</v>
      </c>
      <c r="B394" s="4" t="s">
        <v>40</v>
      </c>
      <c r="C394" s="4" t="n">
        <v>7</v>
      </c>
      <c r="D394" s="4" t="s">
        <v>127</v>
      </c>
      <c r="E394" s="3" t="s">
        <v>133</v>
      </c>
      <c r="F394" s="4" t="str">
        <f aca="false">IF(I394&gt;J394,"Y","N")</f>
        <v>N</v>
      </c>
      <c r="G394" s="3" t="s">
        <v>126</v>
      </c>
      <c r="H394" s="3" t="s">
        <v>39</v>
      </c>
      <c r="I394" s="4" t="n">
        <v>1</v>
      </c>
      <c r="J394" s="4" t="n">
        <f aca="false">LEN(E394)-LEN(SUBSTITUTE(E394,",",""))+1</f>
        <v>1</v>
      </c>
      <c r="K394" s="3" t="str">
        <f aca="false">IFERROR(INDEX('Teacher Lookup'!$B$2:$B$200,MATCH(A394,'Teacher Lookup'!$A$2:$A$200,0)),"")</f>
        <v>YU Anthony</v>
      </c>
    </row>
    <row r="395" customFormat="false" ht="15" hidden="false" customHeight="false" outlineLevel="0" collapsed="false">
      <c r="A395" s="3" t="s">
        <v>123</v>
      </c>
      <c r="B395" s="4" t="s">
        <v>44</v>
      </c>
      <c r="C395" s="4" t="n">
        <v>1</v>
      </c>
      <c r="D395" s="4" t="s">
        <v>127</v>
      </c>
      <c r="E395" s="3" t="s">
        <v>125</v>
      </c>
      <c r="F395" s="4" t="str">
        <f aca="false">IF(I395&gt;J395,"Y","N")</f>
        <v>N</v>
      </c>
      <c r="G395" s="3" t="s">
        <v>126</v>
      </c>
      <c r="H395" s="3" t="s">
        <v>16</v>
      </c>
      <c r="I395" s="4" t="n">
        <v>1</v>
      </c>
      <c r="J395" s="4" t="n">
        <f aca="false">LEN(E395)-LEN(SUBSTITUTE(E395,",",""))+1</f>
        <v>1</v>
      </c>
      <c r="K395" s="3" t="str">
        <f aca="false">IFERROR(INDEX('Teacher Lookup'!$B$2:$B$200,MATCH(A395,'Teacher Lookup'!$A$2:$A$200,0)),"")</f>
        <v>YU Anthony</v>
      </c>
    </row>
    <row r="396" customFormat="false" ht="15" hidden="false" customHeight="false" outlineLevel="0" collapsed="false">
      <c r="A396" s="3" t="s">
        <v>123</v>
      </c>
      <c r="B396" s="4" t="s">
        <v>44</v>
      </c>
      <c r="C396" s="4" t="n">
        <v>3</v>
      </c>
      <c r="D396" s="4" t="s">
        <v>27</v>
      </c>
      <c r="E396" s="3" t="s">
        <v>129</v>
      </c>
      <c r="F396" s="4" t="str">
        <f aca="false">IF(I396&gt;J396,"Y","N")</f>
        <v>N</v>
      </c>
      <c r="G396" s="3" t="s">
        <v>130</v>
      </c>
      <c r="H396" s="3" t="s">
        <v>26</v>
      </c>
      <c r="I396" s="4" t="n">
        <v>1</v>
      </c>
      <c r="J396" s="4" t="n">
        <f aca="false">LEN(E396)-LEN(SUBSTITUTE(E396,",",""))+1</f>
        <v>1</v>
      </c>
      <c r="K396" s="3" t="str">
        <f aca="false">IFERROR(INDEX('Teacher Lookup'!$B$2:$B$200,MATCH(A396,'Teacher Lookup'!$A$2:$A$200,0)),"")</f>
        <v>YU Anthony</v>
      </c>
    </row>
    <row r="397" customFormat="false" ht="15" hidden="false" customHeight="false" outlineLevel="0" collapsed="false">
      <c r="A397" s="3" t="s">
        <v>123</v>
      </c>
      <c r="B397" s="4" t="s">
        <v>44</v>
      </c>
      <c r="C397" s="4" t="n">
        <v>5</v>
      </c>
      <c r="D397" s="4" t="s">
        <v>24</v>
      </c>
      <c r="E397" s="3" t="s">
        <v>131</v>
      </c>
      <c r="F397" s="4" t="str">
        <f aca="false">IF(I397&gt;J397,"Y","N")</f>
        <v>Y</v>
      </c>
      <c r="G397" s="3" t="s">
        <v>36</v>
      </c>
      <c r="H397" s="3" t="s">
        <v>37</v>
      </c>
      <c r="I397" s="4" t="n">
        <v>15</v>
      </c>
      <c r="J397" s="4" t="n">
        <f aca="false">LEN(E397)-LEN(SUBSTITUTE(E397,",",""))+1</f>
        <v>7</v>
      </c>
      <c r="K397" s="3" t="str">
        <f aca="false">IFERROR(INDEX('Teacher Lookup'!$B$2:$B$200,MATCH(A397,'Teacher Lookup'!$A$2:$A$200,0)),"")</f>
        <v>YU Anthony</v>
      </c>
    </row>
    <row r="398" customFormat="false" ht="15" hidden="false" customHeight="false" outlineLevel="0" collapsed="false">
      <c r="A398" s="3" t="s">
        <v>123</v>
      </c>
      <c r="B398" s="4" t="s">
        <v>44</v>
      </c>
      <c r="C398" s="4" t="n">
        <v>5</v>
      </c>
      <c r="D398" s="4" t="s">
        <v>132</v>
      </c>
      <c r="E398" s="3" t="s">
        <v>131</v>
      </c>
      <c r="F398" s="4" t="str">
        <f aca="false">IF(I398&gt;J398,"Y","N")</f>
        <v>Y</v>
      </c>
      <c r="G398" s="3" t="s">
        <v>36</v>
      </c>
      <c r="H398" s="3" t="s">
        <v>37</v>
      </c>
      <c r="I398" s="4" t="n">
        <v>15</v>
      </c>
      <c r="J398" s="4" t="n">
        <f aca="false">LEN(E398)-LEN(SUBSTITUTE(E398,",",""))+1</f>
        <v>7</v>
      </c>
      <c r="K398" s="3" t="str">
        <f aca="false">IFERROR(INDEX('Teacher Lookup'!$B$2:$B$200,MATCH(A398,'Teacher Lookup'!$A$2:$A$200,0)),"")</f>
        <v>YU Anthony</v>
      </c>
    </row>
    <row r="399" customFormat="false" ht="15" hidden="false" customHeight="false" outlineLevel="0" collapsed="false">
      <c r="A399" s="3" t="s">
        <v>123</v>
      </c>
      <c r="B399" s="4" t="s">
        <v>44</v>
      </c>
      <c r="C399" s="4" t="n">
        <v>5</v>
      </c>
      <c r="D399" s="4" t="s">
        <v>27</v>
      </c>
      <c r="E399" s="3" t="s">
        <v>131</v>
      </c>
      <c r="F399" s="4" t="str">
        <f aca="false">IF(I399&gt;J399,"Y","N")</f>
        <v>Y</v>
      </c>
      <c r="G399" s="3" t="s">
        <v>36</v>
      </c>
      <c r="H399" s="3" t="s">
        <v>37</v>
      </c>
      <c r="I399" s="4" t="n">
        <v>15</v>
      </c>
      <c r="J399" s="4" t="n">
        <f aca="false">LEN(E399)-LEN(SUBSTITUTE(E399,",",""))+1</f>
        <v>7</v>
      </c>
      <c r="K399" s="3" t="str">
        <f aca="false">IFERROR(INDEX('Teacher Lookup'!$B$2:$B$200,MATCH(A399,'Teacher Lookup'!$A$2:$A$200,0)),"")</f>
        <v>YU Anthony</v>
      </c>
    </row>
    <row r="400" customFormat="false" ht="15" hidden="false" customHeight="false" outlineLevel="0" collapsed="false">
      <c r="A400" s="3" t="s">
        <v>123</v>
      </c>
      <c r="B400" s="4" t="s">
        <v>44</v>
      </c>
      <c r="C400" s="4" t="n">
        <v>5</v>
      </c>
      <c r="D400" s="4" t="s">
        <v>28</v>
      </c>
      <c r="E400" s="3" t="s">
        <v>131</v>
      </c>
      <c r="F400" s="4" t="str">
        <f aca="false">IF(I400&gt;J400,"Y","N")</f>
        <v>Y</v>
      </c>
      <c r="G400" s="3" t="s">
        <v>36</v>
      </c>
      <c r="H400" s="3" t="s">
        <v>37</v>
      </c>
      <c r="I400" s="4" t="n">
        <v>15</v>
      </c>
      <c r="J400" s="4" t="n">
        <f aca="false">LEN(E400)-LEN(SUBSTITUTE(E400,",",""))+1</f>
        <v>7</v>
      </c>
      <c r="K400" s="3" t="str">
        <f aca="false">IFERROR(INDEX('Teacher Lookup'!$B$2:$B$200,MATCH(A400,'Teacher Lookup'!$A$2:$A$200,0)),"")</f>
        <v>YU Anthony</v>
      </c>
    </row>
    <row r="401" customFormat="false" ht="15" hidden="false" customHeight="false" outlineLevel="0" collapsed="false">
      <c r="A401" s="3" t="s">
        <v>123</v>
      </c>
      <c r="B401" s="4" t="s">
        <v>44</v>
      </c>
      <c r="C401" s="4" t="n">
        <v>5</v>
      </c>
      <c r="D401" s="4" t="s">
        <v>29</v>
      </c>
      <c r="E401" s="3" t="s">
        <v>131</v>
      </c>
      <c r="F401" s="4" t="str">
        <f aca="false">IF(I401&gt;J401,"Y","N")</f>
        <v>Y</v>
      </c>
      <c r="G401" s="3" t="s">
        <v>36</v>
      </c>
      <c r="H401" s="3" t="s">
        <v>37</v>
      </c>
      <c r="I401" s="4" t="n">
        <v>15</v>
      </c>
      <c r="J401" s="4" t="n">
        <f aca="false">LEN(E401)-LEN(SUBSTITUTE(E401,",",""))+1</f>
        <v>7</v>
      </c>
      <c r="K401" s="3" t="str">
        <f aca="false">IFERROR(INDEX('Teacher Lookup'!$B$2:$B$200,MATCH(A401,'Teacher Lookup'!$A$2:$A$200,0)),"")</f>
        <v>YU Anthony</v>
      </c>
    </row>
    <row r="402" customFormat="false" ht="15" hidden="false" customHeight="false" outlineLevel="0" collapsed="false">
      <c r="A402" s="3" t="s">
        <v>123</v>
      </c>
      <c r="B402" s="4" t="s">
        <v>44</v>
      </c>
      <c r="C402" s="4" t="n">
        <v>5</v>
      </c>
      <c r="D402" s="4" t="s">
        <v>30</v>
      </c>
      <c r="E402" s="3" t="s">
        <v>131</v>
      </c>
      <c r="F402" s="4" t="str">
        <f aca="false">IF(I402&gt;J402,"Y","N")</f>
        <v>Y</v>
      </c>
      <c r="G402" s="3" t="s">
        <v>36</v>
      </c>
      <c r="H402" s="3" t="s">
        <v>37</v>
      </c>
      <c r="I402" s="4" t="n">
        <v>15</v>
      </c>
      <c r="J402" s="4" t="n">
        <f aca="false">LEN(E402)-LEN(SUBSTITUTE(E402,",",""))+1</f>
        <v>7</v>
      </c>
      <c r="K402" s="3" t="str">
        <f aca="false">IFERROR(INDEX('Teacher Lookup'!$B$2:$B$200,MATCH(A402,'Teacher Lookup'!$A$2:$A$200,0)),"")</f>
        <v>YU Anthony</v>
      </c>
    </row>
    <row r="403" customFormat="false" ht="15" hidden="false" customHeight="false" outlineLevel="0" collapsed="false">
      <c r="A403" s="3" t="s">
        <v>123</v>
      </c>
      <c r="B403" s="4" t="s">
        <v>44</v>
      </c>
      <c r="C403" s="4" t="n">
        <v>6</v>
      </c>
      <c r="D403" s="4" t="s">
        <v>124</v>
      </c>
      <c r="E403" s="3" t="s">
        <v>133</v>
      </c>
      <c r="F403" s="4" t="str">
        <f aca="false">IF(I403&gt;J403,"Y","N")</f>
        <v>N</v>
      </c>
      <c r="G403" s="3" t="s">
        <v>126</v>
      </c>
      <c r="H403" s="3" t="s">
        <v>42</v>
      </c>
      <c r="I403" s="4" t="n">
        <v>1</v>
      </c>
      <c r="J403" s="4" t="n">
        <f aca="false">LEN(E403)-LEN(SUBSTITUTE(E403,",",""))+1</f>
        <v>1</v>
      </c>
      <c r="K403" s="3" t="str">
        <f aca="false">IFERROR(INDEX('Teacher Lookup'!$B$2:$B$200,MATCH(A403,'Teacher Lookup'!$A$2:$A$200,0)),"")</f>
        <v>YU Anthony</v>
      </c>
    </row>
    <row r="404" customFormat="false" ht="15" hidden="false" customHeight="false" outlineLevel="0" collapsed="false">
      <c r="A404" s="3" t="s">
        <v>123</v>
      </c>
      <c r="B404" s="4" t="s">
        <v>47</v>
      </c>
      <c r="C404" s="4" t="n">
        <v>1</v>
      </c>
      <c r="D404" s="4" t="s">
        <v>127</v>
      </c>
      <c r="E404" s="3" t="s">
        <v>125</v>
      </c>
      <c r="F404" s="4" t="str">
        <f aca="false">IF(I404&gt;J404,"Y","N")</f>
        <v>N</v>
      </c>
      <c r="G404" s="3" t="s">
        <v>126</v>
      </c>
      <c r="H404" s="3" t="s">
        <v>16</v>
      </c>
      <c r="I404" s="4" t="n">
        <v>1</v>
      </c>
      <c r="J404" s="4" t="n">
        <f aca="false">LEN(E404)-LEN(SUBSTITUTE(E404,",",""))+1</f>
        <v>1</v>
      </c>
      <c r="K404" s="3" t="str">
        <f aca="false">IFERROR(INDEX('Teacher Lookup'!$B$2:$B$200,MATCH(A404,'Teacher Lookup'!$A$2:$A$200,0)),"")</f>
        <v>YU Anthony</v>
      </c>
    </row>
    <row r="405" customFormat="false" ht="15" hidden="false" customHeight="false" outlineLevel="0" collapsed="false">
      <c r="A405" s="3" t="s">
        <v>123</v>
      </c>
      <c r="B405" s="4" t="s">
        <v>47</v>
      </c>
      <c r="C405" s="4" t="n">
        <v>5</v>
      </c>
      <c r="D405" s="4" t="s">
        <v>78</v>
      </c>
      <c r="E405" s="3" t="s">
        <v>129</v>
      </c>
      <c r="F405" s="4" t="str">
        <f aca="false">IF(I405&gt;J405,"Y","N")</f>
        <v>N</v>
      </c>
      <c r="G405" s="3" t="s">
        <v>130</v>
      </c>
      <c r="H405" s="3" t="s">
        <v>37</v>
      </c>
      <c r="I405" s="4" t="n">
        <v>1</v>
      </c>
      <c r="J405" s="4" t="n">
        <f aca="false">LEN(E405)-LEN(SUBSTITUTE(E405,",",""))+1</f>
        <v>1</v>
      </c>
      <c r="K405" s="3" t="str">
        <f aca="false">IFERROR(INDEX('Teacher Lookup'!$B$2:$B$200,MATCH(A405,'Teacher Lookup'!$A$2:$A$200,0)),"")</f>
        <v>YU Anthony</v>
      </c>
    </row>
    <row r="406" customFormat="false" ht="15" hidden="false" customHeight="false" outlineLevel="0" collapsed="false">
      <c r="A406" s="3" t="s">
        <v>123</v>
      </c>
      <c r="B406" s="4" t="s">
        <v>47</v>
      </c>
      <c r="C406" s="4" t="n">
        <v>6</v>
      </c>
      <c r="D406" s="4" t="s">
        <v>124</v>
      </c>
      <c r="E406" s="3" t="s">
        <v>133</v>
      </c>
      <c r="F406" s="4" t="str">
        <f aca="false">IF(I406&gt;J406,"Y","N")</f>
        <v>N</v>
      </c>
      <c r="G406" s="3" t="s">
        <v>126</v>
      </c>
      <c r="H406" s="3" t="s">
        <v>42</v>
      </c>
      <c r="I406" s="4" t="n">
        <v>1</v>
      </c>
      <c r="J406" s="4" t="n">
        <f aca="false">LEN(E406)-LEN(SUBSTITUTE(E406,",",""))+1</f>
        <v>1</v>
      </c>
      <c r="K406" s="3" t="str">
        <f aca="false">IFERROR(INDEX('Teacher Lookup'!$B$2:$B$200,MATCH(A406,'Teacher Lookup'!$A$2:$A$200,0)),"")</f>
        <v>YU Anthony</v>
      </c>
    </row>
    <row r="407" customFormat="false" ht="15" hidden="false" customHeight="false" outlineLevel="0" collapsed="false">
      <c r="A407" s="3" t="s">
        <v>123</v>
      </c>
      <c r="B407" s="4" t="s">
        <v>47</v>
      </c>
      <c r="C407" s="4" t="n">
        <v>7</v>
      </c>
      <c r="D407" s="4" t="s">
        <v>27</v>
      </c>
      <c r="E407" s="3" t="s">
        <v>134</v>
      </c>
      <c r="F407" s="4" t="str">
        <f aca="false">IF(I407&gt;J407,"Y","N")</f>
        <v>N</v>
      </c>
      <c r="G407" s="3" t="s">
        <v>130</v>
      </c>
      <c r="H407" s="3" t="s">
        <v>39</v>
      </c>
      <c r="I407" s="4" t="n">
        <v>1</v>
      </c>
      <c r="J407" s="4" t="n">
        <f aca="false">LEN(E407)-LEN(SUBSTITUTE(E407,",",""))+1</f>
        <v>1</v>
      </c>
      <c r="K407" s="3" t="str">
        <f aca="false">IFERROR(INDEX('Teacher Lookup'!$B$2:$B$200,MATCH(A407,'Teacher Lookup'!$A$2:$A$200,0)),"")</f>
        <v>YU Anthony</v>
      </c>
    </row>
    <row r="408" customFormat="false" ht="15" hidden="false" customHeight="false" outlineLevel="0" collapsed="false">
      <c r="A408" s="3" t="s">
        <v>123</v>
      </c>
      <c r="B408" s="4" t="s">
        <v>50</v>
      </c>
      <c r="C408" s="4" t="n">
        <v>5</v>
      </c>
      <c r="D408" s="4" t="s">
        <v>78</v>
      </c>
      <c r="E408" s="3" t="s">
        <v>135</v>
      </c>
      <c r="F408" s="4" t="str">
        <f aca="false">IF(I408&gt;J408,"Y","N")</f>
        <v>N</v>
      </c>
      <c r="G408" s="3" t="s">
        <v>130</v>
      </c>
      <c r="H408" s="3" t="s">
        <v>37</v>
      </c>
      <c r="I408" s="4" t="n">
        <v>1</v>
      </c>
      <c r="J408" s="4" t="n">
        <f aca="false">LEN(E408)-LEN(SUBSTITUTE(E408,",",""))+1</f>
        <v>1</v>
      </c>
      <c r="K408" s="3" t="str">
        <f aca="false">IFERROR(INDEX('Teacher Lookup'!$B$2:$B$200,MATCH(A408,'Teacher Lookup'!$A$2:$A$200,0)),"")</f>
        <v>YU Anthony</v>
      </c>
    </row>
    <row r="409" customFormat="false" ht="15" hidden="false" customHeight="false" outlineLevel="0" collapsed="false">
      <c r="A409" s="3" t="s">
        <v>123</v>
      </c>
      <c r="B409" s="4" t="s">
        <v>50</v>
      </c>
      <c r="C409" s="4" t="n">
        <v>6</v>
      </c>
      <c r="D409" s="4" t="s">
        <v>127</v>
      </c>
      <c r="E409" s="3" t="s">
        <v>133</v>
      </c>
      <c r="F409" s="4" t="str">
        <f aca="false">IF(I409&gt;J409,"Y","N")</f>
        <v>N</v>
      </c>
      <c r="G409" s="3" t="s">
        <v>126</v>
      </c>
      <c r="H409" s="3" t="s">
        <v>42</v>
      </c>
      <c r="I409" s="4" t="n">
        <v>1</v>
      </c>
      <c r="J409" s="4" t="n">
        <f aca="false">LEN(E409)-LEN(SUBSTITUTE(E409,",",""))+1</f>
        <v>1</v>
      </c>
      <c r="K409" s="3" t="str">
        <f aca="false">IFERROR(INDEX('Teacher Lookup'!$B$2:$B$200,MATCH(A409,'Teacher Lookup'!$A$2:$A$200,0)),"")</f>
        <v>YU Anthony</v>
      </c>
    </row>
    <row r="410" customFormat="false" ht="15" hidden="false" customHeight="false" outlineLevel="0" collapsed="false">
      <c r="A410" s="3" t="s">
        <v>123</v>
      </c>
      <c r="B410" s="4" t="s">
        <v>60</v>
      </c>
      <c r="C410" s="4" t="n">
        <v>1</v>
      </c>
      <c r="D410" s="4" t="s">
        <v>27</v>
      </c>
      <c r="E410" s="3" t="s">
        <v>134</v>
      </c>
      <c r="F410" s="4" t="str">
        <f aca="false">IF(I410&gt;J410,"Y","N")</f>
        <v>N</v>
      </c>
      <c r="G410" s="3" t="s">
        <v>130</v>
      </c>
      <c r="H410" s="3" t="s">
        <v>16</v>
      </c>
      <c r="I410" s="4" t="n">
        <v>1</v>
      </c>
      <c r="J410" s="4" t="n">
        <f aca="false">LEN(E410)-LEN(SUBSTITUTE(E410,",",""))+1</f>
        <v>1</v>
      </c>
      <c r="K410" s="3" t="str">
        <f aca="false">IFERROR(INDEX('Teacher Lookup'!$B$2:$B$200,MATCH(A410,'Teacher Lookup'!$A$2:$A$200,0)),"")</f>
        <v>YU Anthony</v>
      </c>
    </row>
    <row r="411" customFormat="false" ht="15" hidden="false" customHeight="false" outlineLevel="0" collapsed="false">
      <c r="A411" s="3" t="s">
        <v>123</v>
      </c>
      <c r="B411" s="4" t="s">
        <v>60</v>
      </c>
      <c r="C411" s="4" t="n">
        <v>4</v>
      </c>
      <c r="D411" s="4" t="s">
        <v>127</v>
      </c>
      <c r="E411" s="3" t="s">
        <v>128</v>
      </c>
      <c r="F411" s="4" t="str">
        <f aca="false">IF(I411&gt;J411,"Y","N")</f>
        <v>N</v>
      </c>
      <c r="G411" s="3" t="s">
        <v>126</v>
      </c>
      <c r="H411" s="3" t="s">
        <v>34</v>
      </c>
      <c r="I411" s="4" t="n">
        <v>1</v>
      </c>
      <c r="J411" s="4" t="n">
        <f aca="false">LEN(E411)-LEN(SUBSTITUTE(E411,",",""))+1</f>
        <v>1</v>
      </c>
      <c r="K411" s="3" t="str">
        <f aca="false">IFERROR(INDEX('Teacher Lookup'!$B$2:$B$200,MATCH(A411,'Teacher Lookup'!$A$2:$A$200,0)),"")</f>
        <v>YU Anthony</v>
      </c>
    </row>
    <row r="412" customFormat="false" ht="15" hidden="false" customHeight="false" outlineLevel="0" collapsed="false">
      <c r="A412" s="3" t="s">
        <v>123</v>
      </c>
      <c r="B412" s="4" t="s">
        <v>60</v>
      </c>
      <c r="C412" s="4" t="n">
        <v>5</v>
      </c>
      <c r="D412" s="4" t="s">
        <v>24</v>
      </c>
      <c r="E412" s="3" t="s">
        <v>131</v>
      </c>
      <c r="F412" s="4" t="str">
        <f aca="false">IF(I412&gt;J412,"Y","N")</f>
        <v>Y</v>
      </c>
      <c r="G412" s="3" t="s">
        <v>36</v>
      </c>
      <c r="H412" s="3" t="s">
        <v>37</v>
      </c>
      <c r="I412" s="4" t="n">
        <v>15</v>
      </c>
      <c r="J412" s="4" t="n">
        <f aca="false">LEN(E412)-LEN(SUBSTITUTE(E412,",",""))+1</f>
        <v>7</v>
      </c>
      <c r="K412" s="3" t="str">
        <f aca="false">IFERROR(INDEX('Teacher Lookup'!$B$2:$B$200,MATCH(A412,'Teacher Lookup'!$A$2:$A$200,0)),"")</f>
        <v>YU Anthony</v>
      </c>
    </row>
    <row r="413" customFormat="false" ht="15" hidden="false" customHeight="false" outlineLevel="0" collapsed="false">
      <c r="A413" s="3" t="s">
        <v>123</v>
      </c>
      <c r="B413" s="4" t="s">
        <v>60</v>
      </c>
      <c r="C413" s="4" t="n">
        <v>5</v>
      </c>
      <c r="D413" s="4" t="s">
        <v>132</v>
      </c>
      <c r="E413" s="3" t="s">
        <v>131</v>
      </c>
      <c r="F413" s="4" t="str">
        <f aca="false">IF(I413&gt;J413,"Y","N")</f>
        <v>Y</v>
      </c>
      <c r="G413" s="3" t="s">
        <v>36</v>
      </c>
      <c r="H413" s="3" t="s">
        <v>37</v>
      </c>
      <c r="I413" s="4" t="n">
        <v>15</v>
      </c>
      <c r="J413" s="4" t="n">
        <f aca="false">LEN(E413)-LEN(SUBSTITUTE(E413,",",""))+1</f>
        <v>7</v>
      </c>
      <c r="K413" s="3" t="str">
        <f aca="false">IFERROR(INDEX('Teacher Lookup'!$B$2:$B$200,MATCH(A413,'Teacher Lookup'!$A$2:$A$200,0)),"")</f>
        <v>YU Anthony</v>
      </c>
    </row>
    <row r="414" customFormat="false" ht="15" hidden="false" customHeight="false" outlineLevel="0" collapsed="false">
      <c r="A414" s="3" t="s">
        <v>123</v>
      </c>
      <c r="B414" s="4" t="s">
        <v>60</v>
      </c>
      <c r="C414" s="4" t="n">
        <v>5</v>
      </c>
      <c r="D414" s="4" t="s">
        <v>27</v>
      </c>
      <c r="E414" s="3" t="s">
        <v>131</v>
      </c>
      <c r="F414" s="4" t="str">
        <f aca="false">IF(I414&gt;J414,"Y","N")</f>
        <v>Y</v>
      </c>
      <c r="G414" s="3" t="s">
        <v>36</v>
      </c>
      <c r="H414" s="3" t="s">
        <v>37</v>
      </c>
      <c r="I414" s="4" t="n">
        <v>15</v>
      </c>
      <c r="J414" s="4" t="n">
        <f aca="false">LEN(E414)-LEN(SUBSTITUTE(E414,",",""))+1</f>
        <v>7</v>
      </c>
      <c r="K414" s="3" t="str">
        <f aca="false">IFERROR(INDEX('Teacher Lookup'!$B$2:$B$200,MATCH(A414,'Teacher Lookup'!$A$2:$A$200,0)),"")</f>
        <v>YU Anthony</v>
      </c>
    </row>
    <row r="415" customFormat="false" ht="15" hidden="false" customHeight="false" outlineLevel="0" collapsed="false">
      <c r="A415" s="3" t="s">
        <v>123</v>
      </c>
      <c r="B415" s="4" t="s">
        <v>60</v>
      </c>
      <c r="C415" s="4" t="n">
        <v>5</v>
      </c>
      <c r="D415" s="4" t="s">
        <v>28</v>
      </c>
      <c r="E415" s="3" t="s">
        <v>131</v>
      </c>
      <c r="F415" s="4" t="str">
        <f aca="false">IF(I415&gt;J415,"Y","N")</f>
        <v>Y</v>
      </c>
      <c r="G415" s="3" t="s">
        <v>36</v>
      </c>
      <c r="H415" s="3" t="s">
        <v>37</v>
      </c>
      <c r="I415" s="4" t="n">
        <v>15</v>
      </c>
      <c r="J415" s="4" t="n">
        <f aca="false">LEN(E415)-LEN(SUBSTITUTE(E415,",",""))+1</f>
        <v>7</v>
      </c>
      <c r="K415" s="3" t="str">
        <f aca="false">IFERROR(INDEX('Teacher Lookup'!$B$2:$B$200,MATCH(A415,'Teacher Lookup'!$A$2:$A$200,0)),"")</f>
        <v>YU Anthony</v>
      </c>
    </row>
    <row r="416" customFormat="false" ht="15" hidden="false" customHeight="false" outlineLevel="0" collapsed="false">
      <c r="A416" s="3" t="s">
        <v>123</v>
      </c>
      <c r="B416" s="4" t="s">
        <v>60</v>
      </c>
      <c r="C416" s="4" t="n">
        <v>5</v>
      </c>
      <c r="D416" s="4" t="s">
        <v>29</v>
      </c>
      <c r="E416" s="3" t="s">
        <v>131</v>
      </c>
      <c r="F416" s="4" t="str">
        <f aca="false">IF(I416&gt;J416,"Y","N")</f>
        <v>Y</v>
      </c>
      <c r="G416" s="3" t="s">
        <v>36</v>
      </c>
      <c r="H416" s="3" t="s">
        <v>37</v>
      </c>
      <c r="I416" s="4" t="n">
        <v>15</v>
      </c>
      <c r="J416" s="4" t="n">
        <f aca="false">LEN(E416)-LEN(SUBSTITUTE(E416,",",""))+1</f>
        <v>7</v>
      </c>
      <c r="K416" s="3" t="str">
        <f aca="false">IFERROR(INDEX('Teacher Lookup'!$B$2:$B$200,MATCH(A416,'Teacher Lookup'!$A$2:$A$200,0)),"")</f>
        <v>YU Anthony</v>
      </c>
    </row>
    <row r="417" customFormat="false" ht="15" hidden="false" customHeight="false" outlineLevel="0" collapsed="false">
      <c r="A417" s="3" t="s">
        <v>123</v>
      </c>
      <c r="B417" s="4" t="s">
        <v>60</v>
      </c>
      <c r="C417" s="4" t="n">
        <v>5</v>
      </c>
      <c r="D417" s="4" t="s">
        <v>30</v>
      </c>
      <c r="E417" s="3" t="s">
        <v>131</v>
      </c>
      <c r="F417" s="4" t="str">
        <f aca="false">IF(I417&gt;J417,"Y","N")</f>
        <v>Y</v>
      </c>
      <c r="G417" s="3" t="s">
        <v>36</v>
      </c>
      <c r="H417" s="3" t="s">
        <v>37</v>
      </c>
      <c r="I417" s="4" t="n">
        <v>15</v>
      </c>
      <c r="J417" s="4" t="n">
        <f aca="false">LEN(E417)-LEN(SUBSTITUTE(E417,",",""))+1</f>
        <v>7</v>
      </c>
      <c r="K417" s="3" t="str">
        <f aca="false">IFERROR(INDEX('Teacher Lookup'!$B$2:$B$200,MATCH(A417,'Teacher Lookup'!$A$2:$A$200,0)),"")</f>
        <v>YU Anthony</v>
      </c>
    </row>
    <row r="418" customFormat="false" ht="15" hidden="false" customHeight="false" outlineLevel="0" collapsed="false">
      <c r="A418" s="3" t="s">
        <v>123</v>
      </c>
      <c r="B418" s="4" t="s">
        <v>60</v>
      </c>
      <c r="C418" s="4" t="n">
        <v>7</v>
      </c>
      <c r="D418" s="4" t="s">
        <v>124</v>
      </c>
      <c r="E418" s="3" t="s">
        <v>125</v>
      </c>
      <c r="F418" s="4" t="str">
        <f aca="false">IF(I418&gt;J418,"Y","N")</f>
        <v>N</v>
      </c>
      <c r="G418" s="3" t="s">
        <v>126</v>
      </c>
      <c r="H418" s="3" t="s">
        <v>39</v>
      </c>
      <c r="I418" s="4" t="n">
        <v>1</v>
      </c>
      <c r="J418" s="4" t="n">
        <f aca="false">LEN(E418)-LEN(SUBSTITUTE(E418,",",""))+1</f>
        <v>1</v>
      </c>
      <c r="K418" s="3" t="str">
        <f aca="false">IFERROR(INDEX('Teacher Lookup'!$B$2:$B$200,MATCH(A418,'Teacher Lookup'!$A$2:$A$200,0)),"")</f>
        <v>YU Anthony</v>
      </c>
    </row>
    <row r="419" customFormat="false" ht="15" hidden="false" customHeight="false" outlineLevel="0" collapsed="false">
      <c r="A419" s="3" t="s">
        <v>123</v>
      </c>
      <c r="B419" s="4" t="s">
        <v>63</v>
      </c>
      <c r="C419" s="4" t="n">
        <v>2</v>
      </c>
      <c r="D419" s="4" t="s">
        <v>124</v>
      </c>
      <c r="E419" s="3" t="s">
        <v>125</v>
      </c>
      <c r="F419" s="4" t="str">
        <f aca="false">IF(I419&gt;J419,"Y","N")</f>
        <v>N</v>
      </c>
      <c r="G419" s="3" t="s">
        <v>126</v>
      </c>
      <c r="H419" s="3" t="s">
        <v>21</v>
      </c>
      <c r="I419" s="4" t="n">
        <v>1</v>
      </c>
      <c r="J419" s="4" t="n">
        <f aca="false">LEN(E419)-LEN(SUBSTITUTE(E419,",",""))+1</f>
        <v>1</v>
      </c>
      <c r="K419" s="3" t="str">
        <f aca="false">IFERROR(INDEX('Teacher Lookup'!$B$2:$B$200,MATCH(A419,'Teacher Lookup'!$A$2:$A$200,0)),"")</f>
        <v>YU Anthony</v>
      </c>
    </row>
    <row r="420" customFormat="false" ht="15" hidden="false" customHeight="false" outlineLevel="0" collapsed="false">
      <c r="A420" s="3" t="s">
        <v>123</v>
      </c>
      <c r="B420" s="4" t="s">
        <v>63</v>
      </c>
      <c r="C420" s="4" t="n">
        <v>3</v>
      </c>
      <c r="D420" s="4" t="s">
        <v>127</v>
      </c>
      <c r="E420" s="3" t="s">
        <v>125</v>
      </c>
      <c r="F420" s="4" t="str">
        <f aca="false">IF(I420&gt;J420,"Y","N")</f>
        <v>N</v>
      </c>
      <c r="G420" s="3" t="s">
        <v>126</v>
      </c>
      <c r="H420" s="3" t="s">
        <v>26</v>
      </c>
      <c r="I420" s="4" t="n">
        <v>1</v>
      </c>
      <c r="J420" s="4" t="n">
        <f aca="false">LEN(E420)-LEN(SUBSTITUTE(E420,",",""))+1</f>
        <v>1</v>
      </c>
      <c r="K420" s="3" t="str">
        <f aca="false">IFERROR(INDEX('Teacher Lookup'!$B$2:$B$200,MATCH(A420,'Teacher Lookup'!$A$2:$A$200,0)),"")</f>
        <v>YU Anthony</v>
      </c>
    </row>
    <row r="421" customFormat="false" ht="15" hidden="false" customHeight="false" outlineLevel="0" collapsed="false">
      <c r="A421" s="3" t="s">
        <v>123</v>
      </c>
      <c r="B421" s="4" t="s">
        <v>63</v>
      </c>
      <c r="C421" s="4" t="n">
        <v>4</v>
      </c>
      <c r="D421" s="4" t="s">
        <v>27</v>
      </c>
      <c r="E421" s="3" t="s">
        <v>129</v>
      </c>
      <c r="F421" s="4" t="str">
        <f aca="false">IF(I421&gt;J421,"Y","N")</f>
        <v>N</v>
      </c>
      <c r="G421" s="3" t="s">
        <v>130</v>
      </c>
      <c r="H421" s="3" t="s">
        <v>34</v>
      </c>
      <c r="I421" s="4" t="n">
        <v>1</v>
      </c>
      <c r="J421" s="4" t="n">
        <f aca="false">LEN(E421)-LEN(SUBSTITUTE(E421,",",""))+1</f>
        <v>1</v>
      </c>
      <c r="K421" s="3" t="str">
        <f aca="false">IFERROR(INDEX('Teacher Lookup'!$B$2:$B$200,MATCH(A421,'Teacher Lookup'!$A$2:$A$200,0)),"")</f>
        <v>YU Anthony</v>
      </c>
    </row>
    <row r="422" customFormat="false" ht="15" hidden="false" customHeight="false" outlineLevel="0" collapsed="false">
      <c r="A422" s="3" t="s">
        <v>123</v>
      </c>
      <c r="B422" s="4" t="s">
        <v>65</v>
      </c>
      <c r="C422" s="4" t="n">
        <v>1</v>
      </c>
      <c r="D422" s="4" t="s">
        <v>70</v>
      </c>
      <c r="E422" s="3" t="s">
        <v>129</v>
      </c>
      <c r="F422" s="4" t="str">
        <f aca="false">IF(I422&gt;J422,"Y","N")</f>
        <v>N</v>
      </c>
      <c r="G422" s="3" t="s">
        <v>130</v>
      </c>
      <c r="H422" s="3" t="s">
        <v>16</v>
      </c>
      <c r="I422" s="4" t="n">
        <v>1</v>
      </c>
      <c r="J422" s="4" t="n">
        <f aca="false">LEN(E422)-LEN(SUBSTITUTE(E422,",",""))+1</f>
        <v>1</v>
      </c>
      <c r="K422" s="3" t="str">
        <f aca="false">IFERROR(INDEX('Teacher Lookup'!$B$2:$B$200,MATCH(A422,'Teacher Lookup'!$A$2:$A$200,0)),"")</f>
        <v>YU Anthony</v>
      </c>
    </row>
    <row r="423" customFormat="false" ht="15" hidden="false" customHeight="false" outlineLevel="0" collapsed="false">
      <c r="A423" s="3" t="s">
        <v>123</v>
      </c>
      <c r="B423" s="4" t="s">
        <v>65</v>
      </c>
      <c r="C423" s="4" t="n">
        <v>4</v>
      </c>
      <c r="D423" s="4" t="s">
        <v>124</v>
      </c>
      <c r="E423" s="3" t="s">
        <v>125</v>
      </c>
      <c r="F423" s="4" t="str">
        <f aca="false">IF(I423&gt;J423,"Y","N")</f>
        <v>N</v>
      </c>
      <c r="G423" s="3" t="s">
        <v>126</v>
      </c>
      <c r="H423" s="3" t="s">
        <v>34</v>
      </c>
      <c r="I423" s="4" t="n">
        <v>1</v>
      </c>
      <c r="J423" s="4" t="n">
        <f aca="false">LEN(E423)-LEN(SUBSTITUTE(E423,",",""))+1</f>
        <v>1</v>
      </c>
      <c r="K423" s="3" t="str">
        <f aca="false">IFERROR(INDEX('Teacher Lookup'!$B$2:$B$200,MATCH(A423,'Teacher Lookup'!$A$2:$A$200,0)),"")</f>
        <v>YU Anthony</v>
      </c>
    </row>
    <row r="424" customFormat="false" ht="15" hidden="false" customHeight="false" outlineLevel="0" collapsed="false">
      <c r="A424" s="3" t="s">
        <v>123</v>
      </c>
      <c r="B424" s="4" t="s">
        <v>65</v>
      </c>
      <c r="C424" s="4" t="n">
        <v>5</v>
      </c>
      <c r="D424" s="4" t="s">
        <v>24</v>
      </c>
      <c r="E424" s="3" t="s">
        <v>131</v>
      </c>
      <c r="F424" s="4" t="str">
        <f aca="false">IF(I424&gt;J424,"Y","N")</f>
        <v>Y</v>
      </c>
      <c r="G424" s="3" t="s">
        <v>36</v>
      </c>
      <c r="H424" s="3" t="s">
        <v>37</v>
      </c>
      <c r="I424" s="4" t="n">
        <v>15</v>
      </c>
      <c r="J424" s="4" t="n">
        <f aca="false">LEN(E424)-LEN(SUBSTITUTE(E424,",",""))+1</f>
        <v>7</v>
      </c>
      <c r="K424" s="3" t="str">
        <f aca="false">IFERROR(INDEX('Teacher Lookup'!$B$2:$B$200,MATCH(A424,'Teacher Lookup'!$A$2:$A$200,0)),"")</f>
        <v>YU Anthony</v>
      </c>
    </row>
    <row r="425" customFormat="false" ht="15" hidden="false" customHeight="false" outlineLevel="0" collapsed="false">
      <c r="A425" s="3" t="s">
        <v>123</v>
      </c>
      <c r="B425" s="4" t="s">
        <v>65</v>
      </c>
      <c r="C425" s="4" t="n">
        <v>5</v>
      </c>
      <c r="D425" s="4" t="s">
        <v>132</v>
      </c>
      <c r="E425" s="3" t="s">
        <v>131</v>
      </c>
      <c r="F425" s="4" t="str">
        <f aca="false">IF(I425&gt;J425,"Y","N")</f>
        <v>Y</v>
      </c>
      <c r="G425" s="3" t="s">
        <v>36</v>
      </c>
      <c r="H425" s="3" t="s">
        <v>37</v>
      </c>
      <c r="I425" s="4" t="n">
        <v>15</v>
      </c>
      <c r="J425" s="4" t="n">
        <f aca="false">LEN(E425)-LEN(SUBSTITUTE(E425,",",""))+1</f>
        <v>7</v>
      </c>
      <c r="K425" s="3" t="str">
        <f aca="false">IFERROR(INDEX('Teacher Lookup'!$B$2:$B$200,MATCH(A425,'Teacher Lookup'!$A$2:$A$200,0)),"")</f>
        <v>YU Anthony</v>
      </c>
    </row>
    <row r="426" customFormat="false" ht="15" hidden="false" customHeight="false" outlineLevel="0" collapsed="false">
      <c r="A426" s="3" t="s">
        <v>123</v>
      </c>
      <c r="B426" s="4" t="s">
        <v>65</v>
      </c>
      <c r="C426" s="4" t="n">
        <v>5</v>
      </c>
      <c r="D426" s="4" t="s">
        <v>27</v>
      </c>
      <c r="E426" s="3" t="s">
        <v>131</v>
      </c>
      <c r="F426" s="4" t="str">
        <f aca="false">IF(I426&gt;J426,"Y","N")</f>
        <v>Y</v>
      </c>
      <c r="G426" s="3" t="s">
        <v>36</v>
      </c>
      <c r="H426" s="3" t="s">
        <v>37</v>
      </c>
      <c r="I426" s="4" t="n">
        <v>15</v>
      </c>
      <c r="J426" s="4" t="n">
        <f aca="false">LEN(E426)-LEN(SUBSTITUTE(E426,",",""))+1</f>
        <v>7</v>
      </c>
      <c r="K426" s="3" t="str">
        <f aca="false">IFERROR(INDEX('Teacher Lookup'!$B$2:$B$200,MATCH(A426,'Teacher Lookup'!$A$2:$A$200,0)),"")</f>
        <v>YU Anthony</v>
      </c>
    </row>
    <row r="427" customFormat="false" ht="15" hidden="false" customHeight="false" outlineLevel="0" collapsed="false">
      <c r="A427" s="3" t="s">
        <v>123</v>
      </c>
      <c r="B427" s="4" t="s">
        <v>65</v>
      </c>
      <c r="C427" s="4" t="n">
        <v>5</v>
      </c>
      <c r="D427" s="4" t="s">
        <v>28</v>
      </c>
      <c r="E427" s="3" t="s">
        <v>131</v>
      </c>
      <c r="F427" s="4" t="str">
        <f aca="false">IF(I427&gt;J427,"Y","N")</f>
        <v>Y</v>
      </c>
      <c r="G427" s="3" t="s">
        <v>36</v>
      </c>
      <c r="H427" s="3" t="s">
        <v>37</v>
      </c>
      <c r="I427" s="4" t="n">
        <v>15</v>
      </c>
      <c r="J427" s="4" t="n">
        <f aca="false">LEN(E427)-LEN(SUBSTITUTE(E427,",",""))+1</f>
        <v>7</v>
      </c>
      <c r="K427" s="3" t="str">
        <f aca="false">IFERROR(INDEX('Teacher Lookup'!$B$2:$B$200,MATCH(A427,'Teacher Lookup'!$A$2:$A$200,0)),"")</f>
        <v>YU Anthony</v>
      </c>
    </row>
    <row r="428" customFormat="false" ht="15" hidden="false" customHeight="false" outlineLevel="0" collapsed="false">
      <c r="A428" s="3" t="s">
        <v>123</v>
      </c>
      <c r="B428" s="4" t="s">
        <v>65</v>
      </c>
      <c r="C428" s="4" t="n">
        <v>5</v>
      </c>
      <c r="D428" s="4" t="s">
        <v>29</v>
      </c>
      <c r="E428" s="3" t="s">
        <v>131</v>
      </c>
      <c r="F428" s="4" t="str">
        <f aca="false">IF(I428&gt;J428,"Y","N")</f>
        <v>Y</v>
      </c>
      <c r="G428" s="3" t="s">
        <v>36</v>
      </c>
      <c r="H428" s="3" t="s">
        <v>37</v>
      </c>
      <c r="I428" s="4" t="n">
        <v>15</v>
      </c>
      <c r="J428" s="4" t="n">
        <f aca="false">LEN(E428)-LEN(SUBSTITUTE(E428,",",""))+1</f>
        <v>7</v>
      </c>
      <c r="K428" s="3" t="str">
        <f aca="false">IFERROR(INDEX('Teacher Lookup'!$B$2:$B$200,MATCH(A428,'Teacher Lookup'!$A$2:$A$200,0)),"")</f>
        <v>YU Anthony</v>
      </c>
    </row>
    <row r="429" customFormat="false" ht="15" hidden="false" customHeight="false" outlineLevel="0" collapsed="false">
      <c r="A429" s="3" t="s">
        <v>123</v>
      </c>
      <c r="B429" s="4" t="s">
        <v>65</v>
      </c>
      <c r="C429" s="4" t="n">
        <v>5</v>
      </c>
      <c r="D429" s="4" t="s">
        <v>30</v>
      </c>
      <c r="E429" s="3" t="s">
        <v>131</v>
      </c>
      <c r="F429" s="4" t="str">
        <f aca="false">IF(I429&gt;J429,"Y","N")</f>
        <v>Y</v>
      </c>
      <c r="G429" s="3" t="s">
        <v>36</v>
      </c>
      <c r="H429" s="3" t="s">
        <v>37</v>
      </c>
      <c r="I429" s="4" t="n">
        <v>15</v>
      </c>
      <c r="J429" s="4" t="n">
        <f aca="false">LEN(E429)-LEN(SUBSTITUTE(E429,",",""))+1</f>
        <v>7</v>
      </c>
      <c r="K429" s="3" t="str">
        <f aca="false">IFERROR(INDEX('Teacher Lookup'!$B$2:$B$200,MATCH(A429,'Teacher Lookup'!$A$2:$A$200,0)),"")</f>
        <v>YU Anthony</v>
      </c>
    </row>
    <row r="430" customFormat="false" ht="15" hidden="false" customHeight="false" outlineLevel="0" collapsed="false">
      <c r="A430" s="3" t="s">
        <v>123</v>
      </c>
      <c r="B430" s="4" t="s">
        <v>65</v>
      </c>
      <c r="C430" s="4" t="n">
        <v>6</v>
      </c>
      <c r="D430" s="4" t="s">
        <v>127</v>
      </c>
      <c r="E430" s="3" t="s">
        <v>125</v>
      </c>
      <c r="F430" s="4" t="str">
        <f aca="false">IF(I430&gt;J430,"Y","N")</f>
        <v>N</v>
      </c>
      <c r="G430" s="3" t="s">
        <v>126</v>
      </c>
      <c r="H430" s="3" t="s">
        <v>42</v>
      </c>
      <c r="I430" s="4" t="n">
        <v>1</v>
      </c>
      <c r="J430" s="4" t="n">
        <f aca="false">LEN(E430)-LEN(SUBSTITUTE(E430,",",""))+1</f>
        <v>1</v>
      </c>
      <c r="K430" s="3" t="str">
        <f aca="false">IFERROR(INDEX('Teacher Lookup'!$B$2:$B$200,MATCH(A430,'Teacher Lookup'!$A$2:$A$200,0)),"")</f>
        <v>YU Anthony</v>
      </c>
    </row>
    <row r="431" customFormat="false" ht="15" hidden="false" customHeight="false" outlineLevel="0" collapsed="false">
      <c r="A431" s="3" t="s">
        <v>123</v>
      </c>
      <c r="B431" s="4" t="s">
        <v>65</v>
      </c>
      <c r="C431" s="4" t="n">
        <v>7</v>
      </c>
      <c r="D431" s="4" t="s">
        <v>27</v>
      </c>
      <c r="E431" s="3" t="s">
        <v>129</v>
      </c>
      <c r="F431" s="4" t="str">
        <f aca="false">IF(I431&gt;J431,"Y","N")</f>
        <v>N</v>
      </c>
      <c r="G431" s="3" t="s">
        <v>130</v>
      </c>
      <c r="H431" s="3" t="s">
        <v>39</v>
      </c>
      <c r="I431" s="4" t="n">
        <v>1</v>
      </c>
      <c r="J431" s="4" t="n">
        <f aca="false">LEN(E431)-LEN(SUBSTITUTE(E431,",",""))+1</f>
        <v>1</v>
      </c>
      <c r="K431" s="3" t="str">
        <f aca="false">IFERROR(INDEX('Teacher Lookup'!$B$2:$B$200,MATCH(A431,'Teacher Lookup'!$A$2:$A$200,0)),"")</f>
        <v>YU Anthony</v>
      </c>
    </row>
    <row r="432" customFormat="false" ht="15" hidden="false" customHeight="false" outlineLevel="0" collapsed="false">
      <c r="A432" s="3" t="s">
        <v>123</v>
      </c>
      <c r="B432" s="4" t="s">
        <v>66</v>
      </c>
      <c r="C432" s="4" t="n">
        <v>1</v>
      </c>
      <c r="D432" s="4" t="s">
        <v>27</v>
      </c>
      <c r="E432" s="3" t="s">
        <v>129</v>
      </c>
      <c r="F432" s="4" t="str">
        <f aca="false">IF(I432&gt;J432,"Y","N")</f>
        <v>N</v>
      </c>
      <c r="G432" s="3" t="s">
        <v>130</v>
      </c>
      <c r="H432" s="3" t="s">
        <v>16</v>
      </c>
      <c r="I432" s="4" t="n">
        <v>1</v>
      </c>
      <c r="J432" s="4" t="n">
        <f aca="false">LEN(E432)-LEN(SUBSTITUTE(E432,",",""))+1</f>
        <v>1</v>
      </c>
      <c r="K432" s="3" t="str">
        <f aca="false">IFERROR(INDEX('Teacher Lookup'!$B$2:$B$200,MATCH(A432,'Teacher Lookup'!$A$2:$A$200,0)),"")</f>
        <v>YU Anthony</v>
      </c>
    </row>
    <row r="433" customFormat="false" ht="15" hidden="false" customHeight="false" outlineLevel="0" collapsed="false">
      <c r="A433" s="3" t="s">
        <v>123</v>
      </c>
      <c r="B433" s="4" t="s">
        <v>66</v>
      </c>
      <c r="C433" s="4" t="n">
        <v>2</v>
      </c>
      <c r="D433" s="4" t="s">
        <v>27</v>
      </c>
      <c r="E433" s="3" t="s">
        <v>129</v>
      </c>
      <c r="F433" s="4" t="str">
        <f aca="false">IF(I433&gt;J433,"Y","N")</f>
        <v>N</v>
      </c>
      <c r="G433" s="3" t="s">
        <v>130</v>
      </c>
      <c r="H433" s="3" t="s">
        <v>21</v>
      </c>
      <c r="I433" s="4" t="n">
        <v>1</v>
      </c>
      <c r="J433" s="4" t="n">
        <f aca="false">LEN(E433)-LEN(SUBSTITUTE(E433,",",""))+1</f>
        <v>1</v>
      </c>
      <c r="K433" s="3" t="str">
        <f aca="false">IFERROR(INDEX('Teacher Lookup'!$B$2:$B$200,MATCH(A433,'Teacher Lookup'!$A$2:$A$200,0)),"")</f>
        <v>YU Anthony</v>
      </c>
    </row>
    <row r="434" customFormat="false" ht="15" hidden="false" customHeight="false" outlineLevel="0" collapsed="false">
      <c r="A434" s="3" t="s">
        <v>123</v>
      </c>
      <c r="B434" s="4" t="s">
        <v>66</v>
      </c>
      <c r="C434" s="4" t="n">
        <v>3</v>
      </c>
      <c r="D434" s="4" t="s">
        <v>70</v>
      </c>
      <c r="E434" s="3" t="s">
        <v>129</v>
      </c>
      <c r="F434" s="4" t="str">
        <f aca="false">IF(I434&gt;J434,"Y","N")</f>
        <v>N</v>
      </c>
      <c r="G434" s="3" t="s">
        <v>130</v>
      </c>
      <c r="H434" s="3" t="s">
        <v>26</v>
      </c>
      <c r="I434" s="4" t="n">
        <v>1</v>
      </c>
      <c r="J434" s="4" t="n">
        <f aca="false">LEN(E434)-LEN(SUBSTITUTE(E434,",",""))+1</f>
        <v>1</v>
      </c>
      <c r="K434" s="3" t="str">
        <f aca="false">IFERROR(INDEX('Teacher Lookup'!$B$2:$B$200,MATCH(A434,'Teacher Lookup'!$A$2:$A$200,0)),"")</f>
        <v>YU Anthony</v>
      </c>
    </row>
    <row r="435" customFormat="false" ht="15" hidden="false" customHeight="false" outlineLevel="0" collapsed="false">
      <c r="A435" s="3" t="s">
        <v>123</v>
      </c>
      <c r="B435" s="4" t="s">
        <v>66</v>
      </c>
      <c r="C435" s="4" t="n">
        <v>6</v>
      </c>
      <c r="D435" s="4" t="s">
        <v>124</v>
      </c>
      <c r="E435" s="3" t="s">
        <v>125</v>
      </c>
      <c r="F435" s="4" t="str">
        <f aca="false">IF(I435&gt;J435,"Y","N")</f>
        <v>N</v>
      </c>
      <c r="G435" s="3" t="s">
        <v>126</v>
      </c>
      <c r="H435" s="3" t="s">
        <v>42</v>
      </c>
      <c r="I435" s="4" t="n">
        <v>1</v>
      </c>
      <c r="J435" s="4" t="n">
        <f aca="false">LEN(E435)-LEN(SUBSTITUTE(E435,",",""))+1</f>
        <v>1</v>
      </c>
      <c r="K435" s="3" t="str">
        <f aca="false">IFERROR(INDEX('Teacher Lookup'!$B$2:$B$200,MATCH(A435,'Teacher Lookup'!$A$2:$A$200,0)),"")</f>
        <v>YU Anthony</v>
      </c>
    </row>
    <row r="436" customFormat="false" ht="15" hidden="false" customHeight="false" outlineLevel="0" collapsed="false">
      <c r="A436" s="3" t="s">
        <v>136</v>
      </c>
      <c r="B436" s="4" t="s">
        <v>12</v>
      </c>
      <c r="C436" s="4" t="n">
        <v>1</v>
      </c>
      <c r="D436" s="4" t="s">
        <v>137</v>
      </c>
      <c r="E436" s="3" t="s">
        <v>138</v>
      </c>
      <c r="F436" s="4" t="str">
        <f aca="false">IF(I436&gt;J436,"Y","N")</f>
        <v>N</v>
      </c>
      <c r="G436" s="3" t="s">
        <v>72</v>
      </c>
      <c r="H436" s="3" t="s">
        <v>16</v>
      </c>
      <c r="I436" s="4" t="n">
        <v>4</v>
      </c>
      <c r="J436" s="4" t="n">
        <f aca="false">LEN(E436)-LEN(SUBSTITUTE(E436,",",""))+1</f>
        <v>4</v>
      </c>
      <c r="K436" s="3" t="str">
        <f aca="false">IFERROR(INDEX('Teacher Lookup'!$B$2:$B$200,MATCH(A436,'Teacher Lookup'!$A$2:$A$200,0)),"")</f>
        <v>IP Anna</v>
      </c>
    </row>
    <row r="437" customFormat="false" ht="15" hidden="false" customHeight="false" outlineLevel="0" collapsed="false">
      <c r="A437" s="3" t="s">
        <v>136</v>
      </c>
      <c r="B437" s="4" t="s">
        <v>12</v>
      </c>
      <c r="C437" s="4" t="n">
        <v>1</v>
      </c>
      <c r="D437" s="4" t="s">
        <v>124</v>
      </c>
      <c r="E437" s="3" t="s">
        <v>138</v>
      </c>
      <c r="F437" s="4" t="str">
        <f aca="false">IF(I437&gt;J437,"Y","N")</f>
        <v>N</v>
      </c>
      <c r="G437" s="3" t="s">
        <v>72</v>
      </c>
      <c r="H437" s="3" t="s">
        <v>16</v>
      </c>
      <c r="I437" s="4" t="n">
        <v>4</v>
      </c>
      <c r="J437" s="4" t="n">
        <f aca="false">LEN(E437)-LEN(SUBSTITUTE(E437,",",""))+1</f>
        <v>4</v>
      </c>
      <c r="K437" s="3" t="str">
        <f aca="false">IFERROR(INDEX('Teacher Lookup'!$B$2:$B$200,MATCH(A437,'Teacher Lookup'!$A$2:$A$200,0)),"")</f>
        <v>IP Anna</v>
      </c>
    </row>
    <row r="438" customFormat="false" ht="15" hidden="false" customHeight="false" outlineLevel="0" collapsed="false">
      <c r="A438" s="3" t="s">
        <v>136</v>
      </c>
      <c r="B438" s="4" t="s">
        <v>12</v>
      </c>
      <c r="C438" s="4" t="n">
        <v>1</v>
      </c>
      <c r="D438" s="4" t="s">
        <v>139</v>
      </c>
      <c r="E438" s="3" t="s">
        <v>138</v>
      </c>
      <c r="F438" s="4" t="str">
        <f aca="false">IF(I438&gt;J438,"Y","N")</f>
        <v>N</v>
      </c>
      <c r="G438" s="3" t="s">
        <v>72</v>
      </c>
      <c r="H438" s="3" t="s">
        <v>16</v>
      </c>
      <c r="I438" s="4" t="n">
        <v>4</v>
      </c>
      <c r="J438" s="4" t="n">
        <f aca="false">LEN(E438)-LEN(SUBSTITUTE(E438,",",""))+1</f>
        <v>4</v>
      </c>
      <c r="K438" s="3" t="str">
        <f aca="false">IFERROR(INDEX('Teacher Lookup'!$B$2:$B$200,MATCH(A438,'Teacher Lookup'!$A$2:$A$200,0)),"")</f>
        <v>IP Anna</v>
      </c>
    </row>
    <row r="439" customFormat="false" ht="15" hidden="false" customHeight="false" outlineLevel="0" collapsed="false">
      <c r="A439" s="3" t="s">
        <v>136</v>
      </c>
      <c r="B439" s="4" t="s">
        <v>12</v>
      </c>
      <c r="C439" s="4" t="n">
        <v>2</v>
      </c>
      <c r="D439" s="4" t="s">
        <v>140</v>
      </c>
      <c r="E439" s="3" t="s">
        <v>141</v>
      </c>
      <c r="F439" s="4" t="str">
        <f aca="false">IF(I439&gt;J439,"Y","N")</f>
        <v>N</v>
      </c>
      <c r="G439" s="3" t="s">
        <v>72</v>
      </c>
      <c r="H439" s="3" t="s">
        <v>21</v>
      </c>
      <c r="I439" s="4" t="n">
        <v>4</v>
      </c>
      <c r="J439" s="4" t="n">
        <f aca="false">LEN(E439)-LEN(SUBSTITUTE(E439,",",""))+1</f>
        <v>4</v>
      </c>
      <c r="K439" s="3" t="str">
        <f aca="false">IFERROR(INDEX('Teacher Lookup'!$B$2:$B$200,MATCH(A439,'Teacher Lookup'!$A$2:$A$200,0)),"")</f>
        <v>IP Anna</v>
      </c>
    </row>
    <row r="440" customFormat="false" ht="15" hidden="false" customHeight="false" outlineLevel="0" collapsed="false">
      <c r="A440" s="3" t="s">
        <v>136</v>
      </c>
      <c r="B440" s="4" t="s">
        <v>12</v>
      </c>
      <c r="C440" s="4" t="n">
        <v>2</v>
      </c>
      <c r="D440" s="4" t="s">
        <v>142</v>
      </c>
      <c r="E440" s="3" t="s">
        <v>141</v>
      </c>
      <c r="F440" s="4" t="str">
        <f aca="false">IF(I440&gt;J440,"Y","N")</f>
        <v>N</v>
      </c>
      <c r="G440" s="3" t="s">
        <v>72</v>
      </c>
      <c r="H440" s="3" t="s">
        <v>21</v>
      </c>
      <c r="I440" s="4" t="n">
        <v>4</v>
      </c>
      <c r="J440" s="4" t="n">
        <f aca="false">LEN(E440)-LEN(SUBSTITUTE(E440,",",""))+1</f>
        <v>4</v>
      </c>
      <c r="K440" s="3" t="str">
        <f aca="false">IFERROR(INDEX('Teacher Lookup'!$B$2:$B$200,MATCH(A440,'Teacher Lookup'!$A$2:$A$200,0)),"")</f>
        <v>IP Anna</v>
      </c>
    </row>
    <row r="441" customFormat="false" ht="15" hidden="false" customHeight="false" outlineLevel="0" collapsed="false">
      <c r="A441" s="3" t="s">
        <v>136</v>
      </c>
      <c r="B441" s="4" t="s">
        <v>12</v>
      </c>
      <c r="C441" s="4" t="n">
        <v>2</v>
      </c>
      <c r="D441" s="4" t="s">
        <v>127</v>
      </c>
      <c r="E441" s="3" t="s">
        <v>141</v>
      </c>
      <c r="F441" s="4" t="str">
        <f aca="false">IF(I441&gt;J441,"Y","N")</f>
        <v>N</v>
      </c>
      <c r="G441" s="3" t="s">
        <v>72</v>
      </c>
      <c r="H441" s="3" t="s">
        <v>21</v>
      </c>
      <c r="I441" s="4" t="n">
        <v>4</v>
      </c>
      <c r="J441" s="4" t="n">
        <f aca="false">LEN(E441)-LEN(SUBSTITUTE(E441,",",""))+1</f>
        <v>4</v>
      </c>
      <c r="K441" s="3" t="str">
        <f aca="false">IFERROR(INDEX('Teacher Lookup'!$B$2:$B$200,MATCH(A441,'Teacher Lookup'!$A$2:$A$200,0)),"")</f>
        <v>IP Anna</v>
      </c>
    </row>
    <row r="442" customFormat="false" ht="15" hidden="false" customHeight="false" outlineLevel="0" collapsed="false">
      <c r="A442" s="3" t="s">
        <v>136</v>
      </c>
      <c r="B442" s="4" t="s">
        <v>12</v>
      </c>
      <c r="C442" s="4" t="n">
        <v>5</v>
      </c>
      <c r="D442" s="4" t="s">
        <v>28</v>
      </c>
      <c r="E442" s="3" t="s">
        <v>143</v>
      </c>
      <c r="F442" s="4" t="str">
        <f aca="false">IF(I442&gt;J442,"Y","N")</f>
        <v>N</v>
      </c>
      <c r="G442" s="3" t="s">
        <v>72</v>
      </c>
      <c r="H442" s="3" t="s">
        <v>37</v>
      </c>
      <c r="I442" s="4" t="n">
        <v>4</v>
      </c>
      <c r="J442" s="4" t="n">
        <f aca="false">LEN(E442)-LEN(SUBSTITUTE(E442,",",""))+1</f>
        <v>4</v>
      </c>
      <c r="K442" s="3" t="str">
        <f aca="false">IFERROR(INDEX('Teacher Lookup'!$B$2:$B$200,MATCH(A442,'Teacher Lookup'!$A$2:$A$200,0)),"")</f>
        <v>IP Anna</v>
      </c>
    </row>
    <row r="443" customFormat="false" ht="15" hidden="false" customHeight="false" outlineLevel="0" collapsed="false">
      <c r="A443" s="3" t="s">
        <v>136</v>
      </c>
      <c r="B443" s="4" t="s">
        <v>12</v>
      </c>
      <c r="C443" s="4" t="n">
        <v>5</v>
      </c>
      <c r="D443" s="4" t="s">
        <v>29</v>
      </c>
      <c r="E443" s="3" t="s">
        <v>143</v>
      </c>
      <c r="F443" s="4" t="str">
        <f aca="false">IF(I443&gt;J443,"Y","N")</f>
        <v>N</v>
      </c>
      <c r="G443" s="3" t="s">
        <v>72</v>
      </c>
      <c r="H443" s="3" t="s">
        <v>37</v>
      </c>
      <c r="I443" s="4" t="n">
        <v>4</v>
      </c>
      <c r="J443" s="4" t="n">
        <f aca="false">LEN(E443)-LEN(SUBSTITUTE(E443,",",""))+1</f>
        <v>4</v>
      </c>
      <c r="K443" s="3" t="str">
        <f aca="false">IFERROR(INDEX('Teacher Lookup'!$B$2:$B$200,MATCH(A443,'Teacher Lookup'!$A$2:$A$200,0)),"")</f>
        <v>IP Anna</v>
      </c>
    </row>
    <row r="444" customFormat="false" ht="15" hidden="false" customHeight="false" outlineLevel="0" collapsed="false">
      <c r="A444" s="3" t="s">
        <v>136</v>
      </c>
      <c r="B444" s="4" t="s">
        <v>12</v>
      </c>
      <c r="C444" s="4" t="n">
        <v>5</v>
      </c>
      <c r="D444" s="4" t="s">
        <v>30</v>
      </c>
      <c r="E444" s="3" t="s">
        <v>143</v>
      </c>
      <c r="F444" s="4" t="str">
        <f aca="false">IF(I444&gt;J444,"Y","N")</f>
        <v>N</v>
      </c>
      <c r="G444" s="3" t="s">
        <v>72</v>
      </c>
      <c r="H444" s="3" t="s">
        <v>37</v>
      </c>
      <c r="I444" s="4" t="n">
        <v>4</v>
      </c>
      <c r="J444" s="4" t="n">
        <f aca="false">LEN(E444)-LEN(SUBSTITUTE(E444,",",""))+1</f>
        <v>4</v>
      </c>
      <c r="K444" s="3" t="str">
        <f aca="false">IFERROR(INDEX('Teacher Lookup'!$B$2:$B$200,MATCH(A444,'Teacher Lookup'!$A$2:$A$200,0)),"")</f>
        <v>IP Anna</v>
      </c>
    </row>
    <row r="445" customFormat="false" ht="15" hidden="false" customHeight="false" outlineLevel="0" collapsed="false">
      <c r="A445" s="3" t="s">
        <v>136</v>
      </c>
      <c r="B445" s="4" t="s">
        <v>31</v>
      </c>
      <c r="C445" s="4" t="n">
        <v>3</v>
      </c>
      <c r="D445" s="4" t="s">
        <v>140</v>
      </c>
      <c r="E445" s="3" t="s">
        <v>144</v>
      </c>
      <c r="F445" s="4" t="str">
        <f aca="false">IF(I445&gt;J445,"Y","N")</f>
        <v>N</v>
      </c>
      <c r="G445" s="3" t="s">
        <v>72</v>
      </c>
      <c r="H445" s="3" t="s">
        <v>26</v>
      </c>
      <c r="I445" s="4" t="n">
        <v>4</v>
      </c>
      <c r="J445" s="4" t="n">
        <f aca="false">LEN(E445)-LEN(SUBSTITUTE(E445,",",""))+1</f>
        <v>4</v>
      </c>
      <c r="K445" s="3" t="str">
        <f aca="false">IFERROR(INDEX('Teacher Lookup'!$B$2:$B$200,MATCH(A445,'Teacher Lookup'!$A$2:$A$200,0)),"")</f>
        <v>IP Anna</v>
      </c>
    </row>
    <row r="446" customFormat="false" ht="15" hidden="false" customHeight="false" outlineLevel="0" collapsed="false">
      <c r="A446" s="3" t="s">
        <v>136</v>
      </c>
      <c r="B446" s="4" t="s">
        <v>31</v>
      </c>
      <c r="C446" s="4" t="n">
        <v>3</v>
      </c>
      <c r="D446" s="4" t="s">
        <v>142</v>
      </c>
      <c r="E446" s="3" t="s">
        <v>144</v>
      </c>
      <c r="F446" s="4" t="str">
        <f aca="false">IF(I446&gt;J446,"Y","N")</f>
        <v>N</v>
      </c>
      <c r="G446" s="3" t="s">
        <v>72</v>
      </c>
      <c r="H446" s="3" t="s">
        <v>26</v>
      </c>
      <c r="I446" s="4" t="n">
        <v>4</v>
      </c>
      <c r="J446" s="4" t="n">
        <f aca="false">LEN(E446)-LEN(SUBSTITUTE(E446,",",""))+1</f>
        <v>4</v>
      </c>
      <c r="K446" s="3" t="str">
        <f aca="false">IFERROR(INDEX('Teacher Lookup'!$B$2:$B$200,MATCH(A446,'Teacher Lookup'!$A$2:$A$200,0)),"")</f>
        <v>IP Anna</v>
      </c>
    </row>
    <row r="447" customFormat="false" ht="15" hidden="false" customHeight="false" outlineLevel="0" collapsed="false">
      <c r="A447" s="3" t="s">
        <v>136</v>
      </c>
      <c r="B447" s="4" t="s">
        <v>31</v>
      </c>
      <c r="C447" s="4" t="n">
        <v>3</v>
      </c>
      <c r="D447" s="4" t="s">
        <v>127</v>
      </c>
      <c r="E447" s="3" t="s">
        <v>144</v>
      </c>
      <c r="F447" s="4" t="str">
        <f aca="false">IF(I447&gt;J447,"Y","N")</f>
        <v>N</v>
      </c>
      <c r="G447" s="3" t="s">
        <v>72</v>
      </c>
      <c r="H447" s="3" t="s">
        <v>26</v>
      </c>
      <c r="I447" s="4" t="n">
        <v>4</v>
      </c>
      <c r="J447" s="4" t="n">
        <f aca="false">LEN(E447)-LEN(SUBSTITUTE(E447,",",""))+1</f>
        <v>4</v>
      </c>
      <c r="K447" s="3" t="str">
        <f aca="false">IFERROR(INDEX('Teacher Lookup'!$B$2:$B$200,MATCH(A447,'Teacher Lookup'!$A$2:$A$200,0)),"")</f>
        <v>IP Anna</v>
      </c>
    </row>
    <row r="448" customFormat="false" ht="15" hidden="false" customHeight="false" outlineLevel="0" collapsed="false">
      <c r="A448" s="3" t="s">
        <v>136</v>
      </c>
      <c r="B448" s="4" t="s">
        <v>31</v>
      </c>
      <c r="C448" s="4" t="n">
        <v>4</v>
      </c>
      <c r="D448" s="4" t="s">
        <v>28</v>
      </c>
      <c r="E448" s="3" t="s">
        <v>145</v>
      </c>
      <c r="F448" s="4" t="str">
        <f aca="false">IF(I448&gt;J448,"Y","N")</f>
        <v>N</v>
      </c>
      <c r="G448" s="3" t="s">
        <v>72</v>
      </c>
      <c r="H448" s="3" t="s">
        <v>34</v>
      </c>
      <c r="I448" s="4" t="n">
        <v>4</v>
      </c>
      <c r="J448" s="4" t="n">
        <f aca="false">LEN(E448)-LEN(SUBSTITUTE(E448,",",""))+1</f>
        <v>4</v>
      </c>
      <c r="K448" s="3" t="str">
        <f aca="false">IFERROR(INDEX('Teacher Lookup'!$B$2:$B$200,MATCH(A448,'Teacher Lookup'!$A$2:$A$200,0)),"")</f>
        <v>IP Anna</v>
      </c>
    </row>
    <row r="449" customFormat="false" ht="15" hidden="false" customHeight="false" outlineLevel="0" collapsed="false">
      <c r="A449" s="3" t="s">
        <v>136</v>
      </c>
      <c r="B449" s="4" t="s">
        <v>31</v>
      </c>
      <c r="C449" s="4" t="n">
        <v>4</v>
      </c>
      <c r="D449" s="4" t="s">
        <v>29</v>
      </c>
      <c r="E449" s="3" t="s">
        <v>145</v>
      </c>
      <c r="F449" s="4" t="str">
        <f aca="false">IF(I449&gt;J449,"Y","N")</f>
        <v>N</v>
      </c>
      <c r="G449" s="3" t="s">
        <v>72</v>
      </c>
      <c r="H449" s="3" t="s">
        <v>34</v>
      </c>
      <c r="I449" s="4" t="n">
        <v>4</v>
      </c>
      <c r="J449" s="4" t="n">
        <f aca="false">LEN(E449)-LEN(SUBSTITUTE(E449,",",""))+1</f>
        <v>4</v>
      </c>
      <c r="K449" s="3" t="str">
        <f aca="false">IFERROR(INDEX('Teacher Lookup'!$B$2:$B$200,MATCH(A449,'Teacher Lookup'!$A$2:$A$200,0)),"")</f>
        <v>IP Anna</v>
      </c>
    </row>
    <row r="450" customFormat="false" ht="15" hidden="false" customHeight="false" outlineLevel="0" collapsed="false">
      <c r="A450" s="3" t="s">
        <v>136</v>
      </c>
      <c r="B450" s="4" t="s">
        <v>31</v>
      </c>
      <c r="C450" s="4" t="n">
        <v>4</v>
      </c>
      <c r="D450" s="4" t="s">
        <v>30</v>
      </c>
      <c r="E450" s="3" t="s">
        <v>145</v>
      </c>
      <c r="F450" s="4" t="str">
        <f aca="false">IF(I450&gt;J450,"Y","N")</f>
        <v>N</v>
      </c>
      <c r="G450" s="3" t="s">
        <v>72</v>
      </c>
      <c r="H450" s="3" t="s">
        <v>34</v>
      </c>
      <c r="I450" s="4" t="n">
        <v>4</v>
      </c>
      <c r="J450" s="4" t="n">
        <f aca="false">LEN(E450)-LEN(SUBSTITUTE(E450,",",""))+1</f>
        <v>4</v>
      </c>
      <c r="K450" s="3" t="str">
        <f aca="false">IFERROR(INDEX('Teacher Lookup'!$B$2:$B$200,MATCH(A450,'Teacher Lookup'!$A$2:$A$200,0)),"")</f>
        <v>IP Anna</v>
      </c>
    </row>
    <row r="451" customFormat="false" ht="15" hidden="false" customHeight="false" outlineLevel="0" collapsed="false">
      <c r="A451" s="3" t="s">
        <v>136</v>
      </c>
      <c r="B451" s="4" t="s">
        <v>31</v>
      </c>
      <c r="C451" s="4" t="n">
        <v>5</v>
      </c>
      <c r="D451" s="4" t="s">
        <v>24</v>
      </c>
      <c r="E451" s="3" t="s">
        <v>131</v>
      </c>
      <c r="F451" s="4" t="str">
        <f aca="false">IF(I451&gt;J451,"Y","N")</f>
        <v>Y</v>
      </c>
      <c r="G451" s="3" t="s">
        <v>36</v>
      </c>
      <c r="H451" s="3" t="s">
        <v>37</v>
      </c>
      <c r="I451" s="4" t="n">
        <v>15</v>
      </c>
      <c r="J451" s="4" t="n">
        <f aca="false">LEN(E451)-LEN(SUBSTITUTE(E451,",",""))+1</f>
        <v>7</v>
      </c>
      <c r="K451" s="3" t="str">
        <f aca="false">IFERROR(INDEX('Teacher Lookup'!$B$2:$B$200,MATCH(A451,'Teacher Lookup'!$A$2:$A$200,0)),"")</f>
        <v>IP Anna</v>
      </c>
    </row>
    <row r="452" customFormat="false" ht="15" hidden="false" customHeight="false" outlineLevel="0" collapsed="false">
      <c r="A452" s="3" t="s">
        <v>136</v>
      </c>
      <c r="B452" s="4" t="s">
        <v>31</v>
      </c>
      <c r="C452" s="4" t="n">
        <v>5</v>
      </c>
      <c r="D452" s="4" t="s">
        <v>132</v>
      </c>
      <c r="E452" s="3" t="s">
        <v>131</v>
      </c>
      <c r="F452" s="4" t="str">
        <f aca="false">IF(I452&gt;J452,"Y","N")</f>
        <v>Y</v>
      </c>
      <c r="G452" s="3" t="s">
        <v>36</v>
      </c>
      <c r="H452" s="3" t="s">
        <v>37</v>
      </c>
      <c r="I452" s="4" t="n">
        <v>15</v>
      </c>
      <c r="J452" s="4" t="n">
        <f aca="false">LEN(E452)-LEN(SUBSTITUTE(E452,",",""))+1</f>
        <v>7</v>
      </c>
      <c r="K452" s="3" t="str">
        <f aca="false">IFERROR(INDEX('Teacher Lookup'!$B$2:$B$200,MATCH(A452,'Teacher Lookup'!$A$2:$A$200,0)),"")</f>
        <v>IP Anna</v>
      </c>
    </row>
    <row r="453" customFormat="false" ht="15" hidden="false" customHeight="false" outlineLevel="0" collapsed="false">
      <c r="A453" s="3" t="s">
        <v>136</v>
      </c>
      <c r="B453" s="4" t="s">
        <v>31</v>
      </c>
      <c r="C453" s="4" t="n">
        <v>5</v>
      </c>
      <c r="D453" s="4" t="s">
        <v>27</v>
      </c>
      <c r="E453" s="3" t="s">
        <v>131</v>
      </c>
      <c r="F453" s="4" t="str">
        <f aca="false">IF(I453&gt;J453,"Y","N")</f>
        <v>Y</v>
      </c>
      <c r="G453" s="3" t="s">
        <v>36</v>
      </c>
      <c r="H453" s="3" t="s">
        <v>37</v>
      </c>
      <c r="I453" s="4" t="n">
        <v>15</v>
      </c>
      <c r="J453" s="4" t="n">
        <f aca="false">LEN(E453)-LEN(SUBSTITUTE(E453,",",""))+1</f>
        <v>7</v>
      </c>
      <c r="K453" s="3" t="str">
        <f aca="false">IFERROR(INDEX('Teacher Lookup'!$B$2:$B$200,MATCH(A453,'Teacher Lookup'!$A$2:$A$200,0)),"")</f>
        <v>IP Anna</v>
      </c>
    </row>
    <row r="454" customFormat="false" ht="15" hidden="false" customHeight="false" outlineLevel="0" collapsed="false">
      <c r="A454" s="3" t="s">
        <v>136</v>
      </c>
      <c r="B454" s="4" t="s">
        <v>31</v>
      </c>
      <c r="C454" s="4" t="n">
        <v>5</v>
      </c>
      <c r="D454" s="4" t="s">
        <v>28</v>
      </c>
      <c r="E454" s="3" t="s">
        <v>131</v>
      </c>
      <c r="F454" s="4" t="str">
        <f aca="false">IF(I454&gt;J454,"Y","N")</f>
        <v>Y</v>
      </c>
      <c r="G454" s="3" t="s">
        <v>36</v>
      </c>
      <c r="H454" s="3" t="s">
        <v>37</v>
      </c>
      <c r="I454" s="4" t="n">
        <v>15</v>
      </c>
      <c r="J454" s="4" t="n">
        <f aca="false">LEN(E454)-LEN(SUBSTITUTE(E454,",",""))+1</f>
        <v>7</v>
      </c>
      <c r="K454" s="3" t="str">
        <f aca="false">IFERROR(INDEX('Teacher Lookup'!$B$2:$B$200,MATCH(A454,'Teacher Lookup'!$A$2:$A$200,0)),"")</f>
        <v>IP Anna</v>
      </c>
    </row>
    <row r="455" customFormat="false" ht="15" hidden="false" customHeight="false" outlineLevel="0" collapsed="false">
      <c r="A455" s="3" t="s">
        <v>136</v>
      </c>
      <c r="B455" s="4" t="s">
        <v>31</v>
      </c>
      <c r="C455" s="4" t="n">
        <v>5</v>
      </c>
      <c r="D455" s="4" t="s">
        <v>29</v>
      </c>
      <c r="E455" s="3" t="s">
        <v>131</v>
      </c>
      <c r="F455" s="4" t="str">
        <f aca="false">IF(I455&gt;J455,"Y","N")</f>
        <v>Y</v>
      </c>
      <c r="G455" s="3" t="s">
        <v>36</v>
      </c>
      <c r="H455" s="3" t="s">
        <v>37</v>
      </c>
      <c r="I455" s="4" t="n">
        <v>15</v>
      </c>
      <c r="J455" s="4" t="n">
        <f aca="false">LEN(E455)-LEN(SUBSTITUTE(E455,",",""))+1</f>
        <v>7</v>
      </c>
      <c r="K455" s="3" t="str">
        <f aca="false">IFERROR(INDEX('Teacher Lookup'!$B$2:$B$200,MATCH(A455,'Teacher Lookup'!$A$2:$A$200,0)),"")</f>
        <v>IP Anna</v>
      </c>
    </row>
    <row r="456" customFormat="false" ht="15" hidden="false" customHeight="false" outlineLevel="0" collapsed="false">
      <c r="A456" s="3" t="s">
        <v>136</v>
      </c>
      <c r="B456" s="4" t="s">
        <v>31</v>
      </c>
      <c r="C456" s="4" t="n">
        <v>5</v>
      </c>
      <c r="D456" s="4" t="s">
        <v>30</v>
      </c>
      <c r="E456" s="3" t="s">
        <v>131</v>
      </c>
      <c r="F456" s="4" t="str">
        <f aca="false">IF(I456&gt;J456,"Y","N")</f>
        <v>Y</v>
      </c>
      <c r="G456" s="3" t="s">
        <v>36</v>
      </c>
      <c r="H456" s="3" t="s">
        <v>37</v>
      </c>
      <c r="I456" s="4" t="n">
        <v>15</v>
      </c>
      <c r="J456" s="4" t="n">
        <f aca="false">LEN(E456)-LEN(SUBSTITUTE(E456,",",""))+1</f>
        <v>7</v>
      </c>
      <c r="K456" s="3" t="str">
        <f aca="false">IFERROR(INDEX('Teacher Lookup'!$B$2:$B$200,MATCH(A456,'Teacher Lookup'!$A$2:$A$200,0)),"")</f>
        <v>IP Anna</v>
      </c>
    </row>
    <row r="457" customFormat="false" ht="15" hidden="false" customHeight="false" outlineLevel="0" collapsed="false">
      <c r="A457" s="3" t="s">
        <v>136</v>
      </c>
      <c r="B457" s="4" t="s">
        <v>31</v>
      </c>
      <c r="C457" s="4" t="n">
        <v>6</v>
      </c>
      <c r="D457" s="4" t="s">
        <v>137</v>
      </c>
      <c r="E457" s="3" t="s">
        <v>146</v>
      </c>
      <c r="F457" s="4" t="str">
        <f aca="false">IF(I457&gt;J457,"Y","N")</f>
        <v>N</v>
      </c>
      <c r="G457" s="3" t="s">
        <v>72</v>
      </c>
      <c r="H457" s="3" t="s">
        <v>42</v>
      </c>
      <c r="I457" s="4" t="n">
        <v>4</v>
      </c>
      <c r="J457" s="4" t="n">
        <f aca="false">LEN(E457)-LEN(SUBSTITUTE(E457,",",""))+1</f>
        <v>4</v>
      </c>
      <c r="K457" s="3" t="str">
        <f aca="false">IFERROR(INDEX('Teacher Lookup'!$B$2:$B$200,MATCH(A457,'Teacher Lookup'!$A$2:$A$200,0)),"")</f>
        <v>IP Anna</v>
      </c>
    </row>
    <row r="458" customFormat="false" ht="15" hidden="false" customHeight="false" outlineLevel="0" collapsed="false">
      <c r="A458" s="3" t="s">
        <v>136</v>
      </c>
      <c r="B458" s="4" t="s">
        <v>31</v>
      </c>
      <c r="C458" s="4" t="n">
        <v>6</v>
      </c>
      <c r="D458" s="4" t="s">
        <v>124</v>
      </c>
      <c r="E458" s="3" t="s">
        <v>146</v>
      </c>
      <c r="F458" s="4" t="str">
        <f aca="false">IF(I458&gt;J458,"Y","N")</f>
        <v>N</v>
      </c>
      <c r="G458" s="3" t="s">
        <v>72</v>
      </c>
      <c r="H458" s="3" t="s">
        <v>42</v>
      </c>
      <c r="I458" s="4" t="n">
        <v>4</v>
      </c>
      <c r="J458" s="4" t="n">
        <f aca="false">LEN(E458)-LEN(SUBSTITUTE(E458,",",""))+1</f>
        <v>4</v>
      </c>
      <c r="K458" s="3" t="str">
        <f aca="false">IFERROR(INDEX('Teacher Lookup'!$B$2:$B$200,MATCH(A458,'Teacher Lookup'!$A$2:$A$200,0)),"")</f>
        <v>IP Anna</v>
      </c>
    </row>
    <row r="459" customFormat="false" ht="15" hidden="false" customHeight="false" outlineLevel="0" collapsed="false">
      <c r="A459" s="3" t="s">
        <v>136</v>
      </c>
      <c r="B459" s="4" t="s">
        <v>31</v>
      </c>
      <c r="C459" s="4" t="n">
        <v>6</v>
      </c>
      <c r="D459" s="4" t="s">
        <v>139</v>
      </c>
      <c r="E459" s="3" t="s">
        <v>146</v>
      </c>
      <c r="F459" s="4" t="str">
        <f aca="false">IF(I459&gt;J459,"Y","N")</f>
        <v>N</v>
      </c>
      <c r="G459" s="3" t="s">
        <v>72</v>
      </c>
      <c r="H459" s="3" t="s">
        <v>42</v>
      </c>
      <c r="I459" s="4" t="n">
        <v>4</v>
      </c>
      <c r="J459" s="4" t="n">
        <f aca="false">LEN(E459)-LEN(SUBSTITUTE(E459,",",""))+1</f>
        <v>4</v>
      </c>
      <c r="K459" s="3" t="str">
        <f aca="false">IFERROR(INDEX('Teacher Lookup'!$B$2:$B$200,MATCH(A459,'Teacher Lookup'!$A$2:$A$200,0)),"")</f>
        <v>IP Anna</v>
      </c>
    </row>
    <row r="460" customFormat="false" ht="15" hidden="false" customHeight="false" outlineLevel="0" collapsed="false">
      <c r="A460" s="3" t="s">
        <v>136</v>
      </c>
      <c r="B460" s="4" t="s">
        <v>40</v>
      </c>
      <c r="C460" s="4" t="n">
        <v>1</v>
      </c>
      <c r="D460" s="4" t="s">
        <v>140</v>
      </c>
      <c r="E460" s="3" t="s">
        <v>147</v>
      </c>
      <c r="F460" s="4" t="str">
        <f aca="false">IF(I460&gt;J460,"Y","N")</f>
        <v>N</v>
      </c>
      <c r="G460" s="3" t="s">
        <v>72</v>
      </c>
      <c r="H460" s="3" t="s">
        <v>16</v>
      </c>
      <c r="I460" s="4" t="n">
        <v>4</v>
      </c>
      <c r="J460" s="4" t="n">
        <f aca="false">LEN(E460)-LEN(SUBSTITUTE(E460,",",""))+1</f>
        <v>4</v>
      </c>
      <c r="K460" s="3" t="str">
        <f aca="false">IFERROR(INDEX('Teacher Lookup'!$B$2:$B$200,MATCH(A460,'Teacher Lookup'!$A$2:$A$200,0)),"")</f>
        <v>IP Anna</v>
      </c>
    </row>
    <row r="461" customFormat="false" ht="15" hidden="false" customHeight="false" outlineLevel="0" collapsed="false">
      <c r="A461" s="3" t="s">
        <v>136</v>
      </c>
      <c r="B461" s="4" t="s">
        <v>40</v>
      </c>
      <c r="C461" s="4" t="n">
        <v>1</v>
      </c>
      <c r="D461" s="4" t="s">
        <v>142</v>
      </c>
      <c r="E461" s="3" t="s">
        <v>147</v>
      </c>
      <c r="F461" s="4" t="str">
        <f aca="false">IF(I461&gt;J461,"Y","N")</f>
        <v>N</v>
      </c>
      <c r="G461" s="3" t="s">
        <v>72</v>
      </c>
      <c r="H461" s="3" t="s">
        <v>16</v>
      </c>
      <c r="I461" s="4" t="n">
        <v>4</v>
      </c>
      <c r="J461" s="4" t="n">
        <f aca="false">LEN(E461)-LEN(SUBSTITUTE(E461,",",""))+1</f>
        <v>4</v>
      </c>
      <c r="K461" s="3" t="str">
        <f aca="false">IFERROR(INDEX('Teacher Lookup'!$B$2:$B$200,MATCH(A461,'Teacher Lookup'!$A$2:$A$200,0)),"")</f>
        <v>IP Anna</v>
      </c>
    </row>
    <row r="462" customFormat="false" ht="15" hidden="false" customHeight="false" outlineLevel="0" collapsed="false">
      <c r="A462" s="3" t="s">
        <v>136</v>
      </c>
      <c r="B462" s="4" t="s">
        <v>40</v>
      </c>
      <c r="C462" s="4" t="n">
        <v>1</v>
      </c>
      <c r="D462" s="4" t="s">
        <v>127</v>
      </c>
      <c r="E462" s="3" t="s">
        <v>147</v>
      </c>
      <c r="F462" s="4" t="str">
        <f aca="false">IF(I462&gt;J462,"Y","N")</f>
        <v>N</v>
      </c>
      <c r="G462" s="3" t="s">
        <v>72</v>
      </c>
      <c r="H462" s="3" t="s">
        <v>16</v>
      </c>
      <c r="I462" s="4" t="n">
        <v>4</v>
      </c>
      <c r="J462" s="4" t="n">
        <f aca="false">LEN(E462)-LEN(SUBSTITUTE(E462,",",""))+1</f>
        <v>4</v>
      </c>
      <c r="K462" s="3" t="str">
        <f aca="false">IFERROR(INDEX('Teacher Lookup'!$B$2:$B$200,MATCH(A462,'Teacher Lookup'!$A$2:$A$200,0)),"")</f>
        <v>IP Anna</v>
      </c>
    </row>
    <row r="463" customFormat="false" ht="15" hidden="false" customHeight="false" outlineLevel="0" collapsed="false">
      <c r="A463" s="3" t="s">
        <v>136</v>
      </c>
      <c r="B463" s="4" t="s">
        <v>40</v>
      </c>
      <c r="C463" s="4" t="n">
        <v>2</v>
      </c>
      <c r="D463" s="4" t="s">
        <v>137</v>
      </c>
      <c r="E463" s="3" t="s">
        <v>148</v>
      </c>
      <c r="F463" s="4" t="str">
        <f aca="false">IF(I463&gt;J463,"Y","N")</f>
        <v>N</v>
      </c>
      <c r="G463" s="3" t="s">
        <v>72</v>
      </c>
      <c r="H463" s="3" t="s">
        <v>21</v>
      </c>
      <c r="I463" s="4" t="n">
        <v>4</v>
      </c>
      <c r="J463" s="4" t="n">
        <f aca="false">LEN(E463)-LEN(SUBSTITUTE(E463,",",""))+1</f>
        <v>4</v>
      </c>
      <c r="K463" s="3" t="str">
        <f aca="false">IFERROR(INDEX('Teacher Lookup'!$B$2:$B$200,MATCH(A463,'Teacher Lookup'!$A$2:$A$200,0)),"")</f>
        <v>IP Anna</v>
      </c>
    </row>
    <row r="464" customFormat="false" ht="15" hidden="false" customHeight="false" outlineLevel="0" collapsed="false">
      <c r="A464" s="3" t="s">
        <v>136</v>
      </c>
      <c r="B464" s="4" t="s">
        <v>40</v>
      </c>
      <c r="C464" s="4" t="n">
        <v>2</v>
      </c>
      <c r="D464" s="4" t="s">
        <v>124</v>
      </c>
      <c r="E464" s="3" t="s">
        <v>148</v>
      </c>
      <c r="F464" s="4" t="str">
        <f aca="false">IF(I464&gt;J464,"Y","N")</f>
        <v>N</v>
      </c>
      <c r="G464" s="3" t="s">
        <v>72</v>
      </c>
      <c r="H464" s="3" t="s">
        <v>21</v>
      </c>
      <c r="I464" s="4" t="n">
        <v>4</v>
      </c>
      <c r="J464" s="4" t="n">
        <f aca="false">LEN(E464)-LEN(SUBSTITUTE(E464,",",""))+1</f>
        <v>4</v>
      </c>
      <c r="K464" s="3" t="str">
        <f aca="false">IFERROR(INDEX('Teacher Lookup'!$B$2:$B$200,MATCH(A464,'Teacher Lookup'!$A$2:$A$200,0)),"")</f>
        <v>IP Anna</v>
      </c>
    </row>
    <row r="465" customFormat="false" ht="15" hidden="false" customHeight="false" outlineLevel="0" collapsed="false">
      <c r="A465" s="3" t="s">
        <v>136</v>
      </c>
      <c r="B465" s="4" t="s">
        <v>40</v>
      </c>
      <c r="C465" s="4" t="n">
        <v>2</v>
      </c>
      <c r="D465" s="4" t="s">
        <v>139</v>
      </c>
      <c r="E465" s="3" t="s">
        <v>148</v>
      </c>
      <c r="F465" s="4" t="str">
        <f aca="false">IF(I465&gt;J465,"Y","N")</f>
        <v>N</v>
      </c>
      <c r="G465" s="3" t="s">
        <v>72</v>
      </c>
      <c r="H465" s="3" t="s">
        <v>21</v>
      </c>
      <c r="I465" s="4" t="n">
        <v>4</v>
      </c>
      <c r="J465" s="4" t="n">
        <f aca="false">LEN(E465)-LEN(SUBSTITUTE(E465,",",""))+1</f>
        <v>4</v>
      </c>
      <c r="K465" s="3" t="str">
        <f aca="false">IFERROR(INDEX('Teacher Lookup'!$B$2:$B$200,MATCH(A465,'Teacher Lookup'!$A$2:$A$200,0)),"")</f>
        <v>IP Anna</v>
      </c>
    </row>
    <row r="466" customFormat="false" ht="15" hidden="false" customHeight="false" outlineLevel="0" collapsed="false">
      <c r="A466" s="3" t="s">
        <v>136</v>
      </c>
      <c r="B466" s="4" t="s">
        <v>40</v>
      </c>
      <c r="C466" s="4" t="n">
        <v>6</v>
      </c>
      <c r="D466" s="4" t="s">
        <v>28</v>
      </c>
      <c r="E466" s="3" t="s">
        <v>149</v>
      </c>
      <c r="F466" s="4" t="str">
        <f aca="false">IF(I466&gt;J466,"Y","N")</f>
        <v>N</v>
      </c>
      <c r="G466" s="3" t="s">
        <v>72</v>
      </c>
      <c r="H466" s="3" t="s">
        <v>42</v>
      </c>
      <c r="I466" s="4" t="n">
        <v>4</v>
      </c>
      <c r="J466" s="4" t="n">
        <f aca="false">LEN(E466)-LEN(SUBSTITUTE(E466,",",""))+1</f>
        <v>4</v>
      </c>
      <c r="K466" s="3" t="str">
        <f aca="false">IFERROR(INDEX('Teacher Lookup'!$B$2:$B$200,MATCH(A466,'Teacher Lookup'!$A$2:$A$200,0)),"")</f>
        <v>IP Anna</v>
      </c>
    </row>
    <row r="467" customFormat="false" ht="15" hidden="false" customHeight="false" outlineLevel="0" collapsed="false">
      <c r="A467" s="3" t="s">
        <v>136</v>
      </c>
      <c r="B467" s="4" t="s">
        <v>40</v>
      </c>
      <c r="C467" s="4" t="n">
        <v>6</v>
      </c>
      <c r="D467" s="4" t="s">
        <v>29</v>
      </c>
      <c r="E467" s="3" t="s">
        <v>149</v>
      </c>
      <c r="F467" s="4" t="str">
        <f aca="false">IF(I467&gt;J467,"Y","N")</f>
        <v>N</v>
      </c>
      <c r="G467" s="3" t="s">
        <v>72</v>
      </c>
      <c r="H467" s="3" t="s">
        <v>42</v>
      </c>
      <c r="I467" s="4" t="n">
        <v>4</v>
      </c>
      <c r="J467" s="4" t="n">
        <f aca="false">LEN(E467)-LEN(SUBSTITUTE(E467,",",""))+1</f>
        <v>4</v>
      </c>
      <c r="K467" s="3" t="str">
        <f aca="false">IFERROR(INDEX('Teacher Lookup'!$B$2:$B$200,MATCH(A467,'Teacher Lookup'!$A$2:$A$200,0)),"")</f>
        <v>IP Anna</v>
      </c>
    </row>
    <row r="468" customFormat="false" ht="15" hidden="false" customHeight="false" outlineLevel="0" collapsed="false">
      <c r="A468" s="3" t="s">
        <v>136</v>
      </c>
      <c r="B468" s="4" t="s">
        <v>40</v>
      </c>
      <c r="C468" s="4" t="n">
        <v>6</v>
      </c>
      <c r="D468" s="4" t="s">
        <v>30</v>
      </c>
      <c r="E468" s="3" t="s">
        <v>149</v>
      </c>
      <c r="F468" s="4" t="str">
        <f aca="false">IF(I468&gt;J468,"Y","N")</f>
        <v>N</v>
      </c>
      <c r="G468" s="3" t="s">
        <v>72</v>
      </c>
      <c r="H468" s="3" t="s">
        <v>42</v>
      </c>
      <c r="I468" s="4" t="n">
        <v>4</v>
      </c>
      <c r="J468" s="4" t="n">
        <f aca="false">LEN(E468)-LEN(SUBSTITUTE(E468,",",""))+1</f>
        <v>4</v>
      </c>
      <c r="K468" s="3" t="str">
        <f aca="false">IFERROR(INDEX('Teacher Lookup'!$B$2:$B$200,MATCH(A468,'Teacher Lookup'!$A$2:$A$200,0)),"")</f>
        <v>IP Anna</v>
      </c>
    </row>
    <row r="469" customFormat="false" ht="15" hidden="false" customHeight="false" outlineLevel="0" collapsed="false">
      <c r="A469" s="3" t="s">
        <v>136</v>
      </c>
      <c r="B469" s="4" t="s">
        <v>40</v>
      </c>
      <c r="C469" s="4" t="n">
        <v>7</v>
      </c>
      <c r="D469" s="4" t="s">
        <v>28</v>
      </c>
      <c r="E469" s="3" t="s">
        <v>149</v>
      </c>
      <c r="F469" s="4" t="str">
        <f aca="false">IF(I469&gt;J469,"Y","N")</f>
        <v>N</v>
      </c>
      <c r="G469" s="3" t="s">
        <v>72</v>
      </c>
      <c r="H469" s="3" t="s">
        <v>39</v>
      </c>
      <c r="I469" s="4" t="n">
        <v>4</v>
      </c>
      <c r="J469" s="4" t="n">
        <f aca="false">LEN(E469)-LEN(SUBSTITUTE(E469,",",""))+1</f>
        <v>4</v>
      </c>
      <c r="K469" s="3" t="str">
        <f aca="false">IFERROR(INDEX('Teacher Lookup'!$B$2:$B$200,MATCH(A469,'Teacher Lookup'!$A$2:$A$200,0)),"")</f>
        <v>IP Anna</v>
      </c>
    </row>
    <row r="470" customFormat="false" ht="15" hidden="false" customHeight="false" outlineLevel="0" collapsed="false">
      <c r="A470" s="3" t="s">
        <v>136</v>
      </c>
      <c r="B470" s="4" t="s">
        <v>40</v>
      </c>
      <c r="C470" s="4" t="n">
        <v>7</v>
      </c>
      <c r="D470" s="4" t="s">
        <v>29</v>
      </c>
      <c r="E470" s="3" t="s">
        <v>149</v>
      </c>
      <c r="F470" s="4" t="str">
        <f aca="false">IF(I470&gt;J470,"Y","N")</f>
        <v>N</v>
      </c>
      <c r="G470" s="3" t="s">
        <v>72</v>
      </c>
      <c r="H470" s="3" t="s">
        <v>39</v>
      </c>
      <c r="I470" s="4" t="n">
        <v>4</v>
      </c>
      <c r="J470" s="4" t="n">
        <f aca="false">LEN(E470)-LEN(SUBSTITUTE(E470,",",""))+1</f>
        <v>4</v>
      </c>
      <c r="K470" s="3" t="str">
        <f aca="false">IFERROR(INDEX('Teacher Lookup'!$B$2:$B$200,MATCH(A470,'Teacher Lookup'!$A$2:$A$200,0)),"")</f>
        <v>IP Anna</v>
      </c>
    </row>
    <row r="471" customFormat="false" ht="15" hidden="false" customHeight="false" outlineLevel="0" collapsed="false">
      <c r="A471" s="3" t="s">
        <v>136</v>
      </c>
      <c r="B471" s="4" t="s">
        <v>40</v>
      </c>
      <c r="C471" s="4" t="n">
        <v>7</v>
      </c>
      <c r="D471" s="4" t="s">
        <v>30</v>
      </c>
      <c r="E471" s="3" t="s">
        <v>149</v>
      </c>
      <c r="F471" s="4" t="str">
        <f aca="false">IF(I471&gt;J471,"Y","N")</f>
        <v>N</v>
      </c>
      <c r="G471" s="3" t="s">
        <v>72</v>
      </c>
      <c r="H471" s="3" t="s">
        <v>39</v>
      </c>
      <c r="I471" s="4" t="n">
        <v>4</v>
      </c>
      <c r="J471" s="4" t="n">
        <f aca="false">LEN(E471)-LEN(SUBSTITUTE(E471,",",""))+1</f>
        <v>4</v>
      </c>
      <c r="K471" s="3" t="str">
        <f aca="false">IFERROR(INDEX('Teacher Lookup'!$B$2:$B$200,MATCH(A471,'Teacher Lookup'!$A$2:$A$200,0)),"")</f>
        <v>IP Anna</v>
      </c>
    </row>
    <row r="472" customFormat="false" ht="15" hidden="false" customHeight="false" outlineLevel="0" collapsed="false">
      <c r="A472" s="3" t="s">
        <v>136</v>
      </c>
      <c r="B472" s="4" t="s">
        <v>44</v>
      </c>
      <c r="C472" s="4" t="n">
        <v>3</v>
      </c>
      <c r="D472" s="4" t="s">
        <v>140</v>
      </c>
      <c r="E472" s="3" t="s">
        <v>150</v>
      </c>
      <c r="F472" s="4" t="str">
        <f aca="false">IF(I472&gt;J472,"Y","N")</f>
        <v>N</v>
      </c>
      <c r="G472" s="3" t="s">
        <v>72</v>
      </c>
      <c r="H472" s="3" t="s">
        <v>26</v>
      </c>
      <c r="I472" s="4" t="n">
        <v>4</v>
      </c>
      <c r="J472" s="4" t="n">
        <f aca="false">LEN(E472)-LEN(SUBSTITUTE(E472,",",""))+1</f>
        <v>4</v>
      </c>
      <c r="K472" s="3" t="str">
        <f aca="false">IFERROR(INDEX('Teacher Lookup'!$B$2:$B$200,MATCH(A472,'Teacher Lookup'!$A$2:$A$200,0)),"")</f>
        <v>IP Anna</v>
      </c>
    </row>
    <row r="473" customFormat="false" ht="15" hidden="false" customHeight="false" outlineLevel="0" collapsed="false">
      <c r="A473" s="3" t="s">
        <v>136</v>
      </c>
      <c r="B473" s="4" t="s">
        <v>44</v>
      </c>
      <c r="C473" s="4" t="n">
        <v>3</v>
      </c>
      <c r="D473" s="4" t="s">
        <v>142</v>
      </c>
      <c r="E473" s="3" t="s">
        <v>150</v>
      </c>
      <c r="F473" s="4" t="str">
        <f aca="false">IF(I473&gt;J473,"Y","N")</f>
        <v>N</v>
      </c>
      <c r="G473" s="3" t="s">
        <v>72</v>
      </c>
      <c r="H473" s="3" t="s">
        <v>26</v>
      </c>
      <c r="I473" s="4" t="n">
        <v>4</v>
      </c>
      <c r="J473" s="4" t="n">
        <f aca="false">LEN(E473)-LEN(SUBSTITUTE(E473,",",""))+1</f>
        <v>4</v>
      </c>
      <c r="K473" s="3" t="str">
        <f aca="false">IFERROR(INDEX('Teacher Lookup'!$B$2:$B$200,MATCH(A473,'Teacher Lookup'!$A$2:$A$200,0)),"")</f>
        <v>IP Anna</v>
      </c>
    </row>
    <row r="474" customFormat="false" ht="15" hidden="false" customHeight="false" outlineLevel="0" collapsed="false">
      <c r="A474" s="3" t="s">
        <v>136</v>
      </c>
      <c r="B474" s="4" t="s">
        <v>44</v>
      </c>
      <c r="C474" s="4" t="n">
        <v>3</v>
      </c>
      <c r="D474" s="4" t="s">
        <v>127</v>
      </c>
      <c r="E474" s="3" t="s">
        <v>150</v>
      </c>
      <c r="F474" s="4" t="str">
        <f aca="false">IF(I474&gt;J474,"Y","N")</f>
        <v>N</v>
      </c>
      <c r="G474" s="3" t="s">
        <v>72</v>
      </c>
      <c r="H474" s="3" t="s">
        <v>26</v>
      </c>
      <c r="I474" s="4" t="n">
        <v>4</v>
      </c>
      <c r="J474" s="4" t="n">
        <f aca="false">LEN(E474)-LEN(SUBSTITUTE(E474,",",""))+1</f>
        <v>4</v>
      </c>
      <c r="K474" s="3" t="str">
        <f aca="false">IFERROR(INDEX('Teacher Lookup'!$B$2:$B$200,MATCH(A474,'Teacher Lookup'!$A$2:$A$200,0)),"")</f>
        <v>IP Anna</v>
      </c>
    </row>
    <row r="475" customFormat="false" ht="15" hidden="false" customHeight="false" outlineLevel="0" collapsed="false">
      <c r="A475" s="3" t="s">
        <v>136</v>
      </c>
      <c r="B475" s="4" t="s">
        <v>44</v>
      </c>
      <c r="C475" s="4" t="n">
        <v>4</v>
      </c>
      <c r="D475" s="4" t="s">
        <v>137</v>
      </c>
      <c r="E475" s="3" t="s">
        <v>151</v>
      </c>
      <c r="F475" s="4" t="str">
        <f aca="false">IF(I475&gt;J475,"Y","N")</f>
        <v>N</v>
      </c>
      <c r="G475" s="3" t="s">
        <v>72</v>
      </c>
      <c r="H475" s="3" t="s">
        <v>34</v>
      </c>
      <c r="I475" s="4" t="n">
        <v>4</v>
      </c>
      <c r="J475" s="4" t="n">
        <f aca="false">LEN(E475)-LEN(SUBSTITUTE(E475,",",""))+1</f>
        <v>4</v>
      </c>
      <c r="K475" s="3" t="str">
        <f aca="false">IFERROR(INDEX('Teacher Lookup'!$B$2:$B$200,MATCH(A475,'Teacher Lookup'!$A$2:$A$200,0)),"")</f>
        <v>IP Anna</v>
      </c>
    </row>
    <row r="476" customFormat="false" ht="15" hidden="false" customHeight="false" outlineLevel="0" collapsed="false">
      <c r="A476" s="3" t="s">
        <v>136</v>
      </c>
      <c r="B476" s="4" t="s">
        <v>44</v>
      </c>
      <c r="C476" s="4" t="n">
        <v>4</v>
      </c>
      <c r="D476" s="4" t="s">
        <v>124</v>
      </c>
      <c r="E476" s="3" t="s">
        <v>151</v>
      </c>
      <c r="F476" s="4" t="str">
        <f aca="false">IF(I476&gt;J476,"Y","N")</f>
        <v>N</v>
      </c>
      <c r="G476" s="3" t="s">
        <v>72</v>
      </c>
      <c r="H476" s="3" t="s">
        <v>34</v>
      </c>
      <c r="I476" s="4" t="n">
        <v>4</v>
      </c>
      <c r="J476" s="4" t="n">
        <f aca="false">LEN(E476)-LEN(SUBSTITUTE(E476,",",""))+1</f>
        <v>4</v>
      </c>
      <c r="K476" s="3" t="str">
        <f aca="false">IFERROR(INDEX('Teacher Lookup'!$B$2:$B$200,MATCH(A476,'Teacher Lookup'!$A$2:$A$200,0)),"")</f>
        <v>IP Anna</v>
      </c>
    </row>
    <row r="477" customFormat="false" ht="15" hidden="false" customHeight="false" outlineLevel="0" collapsed="false">
      <c r="A477" s="3" t="s">
        <v>136</v>
      </c>
      <c r="B477" s="4" t="s">
        <v>44</v>
      </c>
      <c r="C477" s="4" t="n">
        <v>4</v>
      </c>
      <c r="D477" s="4" t="s">
        <v>139</v>
      </c>
      <c r="E477" s="3" t="s">
        <v>151</v>
      </c>
      <c r="F477" s="4" t="str">
        <f aca="false">IF(I477&gt;J477,"Y","N")</f>
        <v>N</v>
      </c>
      <c r="G477" s="3" t="s">
        <v>72</v>
      </c>
      <c r="H477" s="3" t="s">
        <v>34</v>
      </c>
      <c r="I477" s="4" t="n">
        <v>4</v>
      </c>
      <c r="J477" s="4" t="n">
        <f aca="false">LEN(E477)-LEN(SUBSTITUTE(E477,",",""))+1</f>
        <v>4</v>
      </c>
      <c r="K477" s="3" t="str">
        <f aca="false">IFERROR(INDEX('Teacher Lookup'!$B$2:$B$200,MATCH(A477,'Teacher Lookup'!$A$2:$A$200,0)),"")</f>
        <v>IP Anna</v>
      </c>
    </row>
    <row r="478" customFormat="false" ht="15" hidden="false" customHeight="false" outlineLevel="0" collapsed="false">
      <c r="A478" s="3" t="s">
        <v>136</v>
      </c>
      <c r="B478" s="4" t="s">
        <v>44</v>
      </c>
      <c r="C478" s="4" t="n">
        <v>5</v>
      </c>
      <c r="D478" s="4" t="s">
        <v>24</v>
      </c>
      <c r="E478" s="3" t="s">
        <v>131</v>
      </c>
      <c r="F478" s="4" t="str">
        <f aca="false">IF(I478&gt;J478,"Y","N")</f>
        <v>Y</v>
      </c>
      <c r="G478" s="3" t="s">
        <v>36</v>
      </c>
      <c r="H478" s="3" t="s">
        <v>37</v>
      </c>
      <c r="I478" s="4" t="n">
        <v>15</v>
      </c>
      <c r="J478" s="4" t="n">
        <f aca="false">LEN(E478)-LEN(SUBSTITUTE(E478,",",""))+1</f>
        <v>7</v>
      </c>
      <c r="K478" s="3" t="str">
        <f aca="false">IFERROR(INDEX('Teacher Lookup'!$B$2:$B$200,MATCH(A478,'Teacher Lookup'!$A$2:$A$200,0)),"")</f>
        <v>IP Anna</v>
      </c>
    </row>
    <row r="479" customFormat="false" ht="15" hidden="false" customHeight="false" outlineLevel="0" collapsed="false">
      <c r="A479" s="3" t="s">
        <v>136</v>
      </c>
      <c r="B479" s="4" t="s">
        <v>44</v>
      </c>
      <c r="C479" s="4" t="n">
        <v>5</v>
      </c>
      <c r="D479" s="4" t="s">
        <v>132</v>
      </c>
      <c r="E479" s="3" t="s">
        <v>131</v>
      </c>
      <c r="F479" s="4" t="str">
        <f aca="false">IF(I479&gt;J479,"Y","N")</f>
        <v>Y</v>
      </c>
      <c r="G479" s="3" t="s">
        <v>36</v>
      </c>
      <c r="H479" s="3" t="s">
        <v>37</v>
      </c>
      <c r="I479" s="4" t="n">
        <v>15</v>
      </c>
      <c r="J479" s="4" t="n">
        <f aca="false">LEN(E479)-LEN(SUBSTITUTE(E479,",",""))+1</f>
        <v>7</v>
      </c>
      <c r="K479" s="3" t="str">
        <f aca="false">IFERROR(INDEX('Teacher Lookup'!$B$2:$B$200,MATCH(A479,'Teacher Lookup'!$A$2:$A$200,0)),"")</f>
        <v>IP Anna</v>
      </c>
    </row>
    <row r="480" customFormat="false" ht="15" hidden="false" customHeight="false" outlineLevel="0" collapsed="false">
      <c r="A480" s="3" t="s">
        <v>136</v>
      </c>
      <c r="B480" s="4" t="s">
        <v>44</v>
      </c>
      <c r="C480" s="4" t="n">
        <v>5</v>
      </c>
      <c r="D480" s="4" t="s">
        <v>27</v>
      </c>
      <c r="E480" s="3" t="s">
        <v>131</v>
      </c>
      <c r="F480" s="4" t="str">
        <f aca="false">IF(I480&gt;J480,"Y","N")</f>
        <v>Y</v>
      </c>
      <c r="G480" s="3" t="s">
        <v>36</v>
      </c>
      <c r="H480" s="3" t="s">
        <v>37</v>
      </c>
      <c r="I480" s="4" t="n">
        <v>15</v>
      </c>
      <c r="J480" s="4" t="n">
        <f aca="false">LEN(E480)-LEN(SUBSTITUTE(E480,",",""))+1</f>
        <v>7</v>
      </c>
      <c r="K480" s="3" t="str">
        <f aca="false">IFERROR(INDEX('Teacher Lookup'!$B$2:$B$200,MATCH(A480,'Teacher Lookup'!$A$2:$A$200,0)),"")</f>
        <v>IP Anna</v>
      </c>
    </row>
    <row r="481" customFormat="false" ht="15" hidden="false" customHeight="false" outlineLevel="0" collapsed="false">
      <c r="A481" s="3" t="s">
        <v>136</v>
      </c>
      <c r="B481" s="4" t="s">
        <v>44</v>
      </c>
      <c r="C481" s="4" t="n">
        <v>5</v>
      </c>
      <c r="D481" s="4" t="s">
        <v>28</v>
      </c>
      <c r="E481" s="3" t="s">
        <v>131</v>
      </c>
      <c r="F481" s="4" t="str">
        <f aca="false">IF(I481&gt;J481,"Y","N")</f>
        <v>Y</v>
      </c>
      <c r="G481" s="3" t="s">
        <v>36</v>
      </c>
      <c r="H481" s="3" t="s">
        <v>37</v>
      </c>
      <c r="I481" s="4" t="n">
        <v>15</v>
      </c>
      <c r="J481" s="4" t="n">
        <f aca="false">LEN(E481)-LEN(SUBSTITUTE(E481,",",""))+1</f>
        <v>7</v>
      </c>
      <c r="K481" s="3" t="str">
        <f aca="false">IFERROR(INDEX('Teacher Lookup'!$B$2:$B$200,MATCH(A481,'Teacher Lookup'!$A$2:$A$200,0)),"")</f>
        <v>IP Anna</v>
      </c>
    </row>
    <row r="482" customFormat="false" ht="15" hidden="false" customHeight="false" outlineLevel="0" collapsed="false">
      <c r="A482" s="3" t="s">
        <v>136</v>
      </c>
      <c r="B482" s="4" t="s">
        <v>44</v>
      </c>
      <c r="C482" s="4" t="n">
        <v>5</v>
      </c>
      <c r="D482" s="4" t="s">
        <v>29</v>
      </c>
      <c r="E482" s="3" t="s">
        <v>131</v>
      </c>
      <c r="F482" s="4" t="str">
        <f aca="false">IF(I482&gt;J482,"Y","N")</f>
        <v>Y</v>
      </c>
      <c r="G482" s="3" t="s">
        <v>36</v>
      </c>
      <c r="H482" s="3" t="s">
        <v>37</v>
      </c>
      <c r="I482" s="4" t="n">
        <v>15</v>
      </c>
      <c r="J482" s="4" t="n">
        <f aca="false">LEN(E482)-LEN(SUBSTITUTE(E482,",",""))+1</f>
        <v>7</v>
      </c>
      <c r="K482" s="3" t="str">
        <f aca="false">IFERROR(INDEX('Teacher Lookup'!$B$2:$B$200,MATCH(A482,'Teacher Lookup'!$A$2:$A$200,0)),"")</f>
        <v>IP Anna</v>
      </c>
    </row>
    <row r="483" customFormat="false" ht="15" hidden="false" customHeight="false" outlineLevel="0" collapsed="false">
      <c r="A483" s="3" t="s">
        <v>136</v>
      </c>
      <c r="B483" s="4" t="s">
        <v>44</v>
      </c>
      <c r="C483" s="4" t="n">
        <v>5</v>
      </c>
      <c r="D483" s="4" t="s">
        <v>30</v>
      </c>
      <c r="E483" s="3" t="s">
        <v>131</v>
      </c>
      <c r="F483" s="4" t="str">
        <f aca="false">IF(I483&gt;J483,"Y","N")</f>
        <v>Y</v>
      </c>
      <c r="G483" s="3" t="s">
        <v>36</v>
      </c>
      <c r="H483" s="3" t="s">
        <v>37</v>
      </c>
      <c r="I483" s="4" t="n">
        <v>15</v>
      </c>
      <c r="J483" s="4" t="n">
        <f aca="false">LEN(E483)-LEN(SUBSTITUTE(E483,",",""))+1</f>
        <v>7</v>
      </c>
      <c r="K483" s="3" t="str">
        <f aca="false">IFERROR(INDEX('Teacher Lookup'!$B$2:$B$200,MATCH(A483,'Teacher Lookup'!$A$2:$A$200,0)),"")</f>
        <v>IP Anna</v>
      </c>
    </row>
    <row r="484" customFormat="false" ht="15" hidden="false" customHeight="false" outlineLevel="0" collapsed="false">
      <c r="A484" s="3" t="s">
        <v>136</v>
      </c>
      <c r="B484" s="4" t="s">
        <v>44</v>
      </c>
      <c r="C484" s="4" t="n">
        <v>7</v>
      </c>
      <c r="D484" s="4" t="s">
        <v>28</v>
      </c>
      <c r="E484" s="3" t="s">
        <v>143</v>
      </c>
      <c r="F484" s="4" t="str">
        <f aca="false">IF(I484&gt;J484,"Y","N")</f>
        <v>N</v>
      </c>
      <c r="G484" s="3" t="s">
        <v>72</v>
      </c>
      <c r="H484" s="3" t="s">
        <v>39</v>
      </c>
      <c r="I484" s="4" t="n">
        <v>4</v>
      </c>
      <c r="J484" s="4" t="n">
        <f aca="false">LEN(E484)-LEN(SUBSTITUTE(E484,",",""))+1</f>
        <v>4</v>
      </c>
      <c r="K484" s="3" t="str">
        <f aca="false">IFERROR(INDEX('Teacher Lookup'!$B$2:$B$200,MATCH(A484,'Teacher Lookup'!$A$2:$A$200,0)),"")</f>
        <v>IP Anna</v>
      </c>
    </row>
    <row r="485" customFormat="false" ht="15" hidden="false" customHeight="false" outlineLevel="0" collapsed="false">
      <c r="A485" s="3" t="s">
        <v>136</v>
      </c>
      <c r="B485" s="4" t="s">
        <v>44</v>
      </c>
      <c r="C485" s="4" t="n">
        <v>7</v>
      </c>
      <c r="D485" s="4" t="s">
        <v>29</v>
      </c>
      <c r="E485" s="3" t="s">
        <v>143</v>
      </c>
      <c r="F485" s="4" t="str">
        <f aca="false">IF(I485&gt;J485,"Y","N")</f>
        <v>N</v>
      </c>
      <c r="G485" s="3" t="s">
        <v>72</v>
      </c>
      <c r="H485" s="3" t="s">
        <v>39</v>
      </c>
      <c r="I485" s="4" t="n">
        <v>4</v>
      </c>
      <c r="J485" s="4" t="n">
        <f aca="false">LEN(E485)-LEN(SUBSTITUTE(E485,",",""))+1</f>
        <v>4</v>
      </c>
      <c r="K485" s="3" t="str">
        <f aca="false">IFERROR(INDEX('Teacher Lookup'!$B$2:$B$200,MATCH(A485,'Teacher Lookup'!$A$2:$A$200,0)),"")</f>
        <v>IP Anna</v>
      </c>
    </row>
    <row r="486" customFormat="false" ht="15" hidden="false" customHeight="false" outlineLevel="0" collapsed="false">
      <c r="A486" s="3" t="s">
        <v>136</v>
      </c>
      <c r="B486" s="4" t="s">
        <v>44</v>
      </c>
      <c r="C486" s="4" t="n">
        <v>7</v>
      </c>
      <c r="D486" s="4" t="s">
        <v>30</v>
      </c>
      <c r="E486" s="3" t="s">
        <v>143</v>
      </c>
      <c r="F486" s="4" t="str">
        <f aca="false">IF(I486&gt;J486,"Y","N")</f>
        <v>N</v>
      </c>
      <c r="G486" s="3" t="s">
        <v>72</v>
      </c>
      <c r="H486" s="3" t="s">
        <v>39</v>
      </c>
      <c r="I486" s="4" t="n">
        <v>4</v>
      </c>
      <c r="J486" s="4" t="n">
        <f aca="false">LEN(E486)-LEN(SUBSTITUTE(E486,",",""))+1</f>
        <v>4</v>
      </c>
      <c r="K486" s="3" t="str">
        <f aca="false">IFERROR(INDEX('Teacher Lookup'!$B$2:$B$200,MATCH(A486,'Teacher Lookup'!$A$2:$A$200,0)),"")</f>
        <v>IP Anna</v>
      </c>
    </row>
    <row r="487" customFormat="false" ht="15" hidden="false" customHeight="false" outlineLevel="0" collapsed="false">
      <c r="A487" s="3" t="s">
        <v>136</v>
      </c>
      <c r="B487" s="4" t="s">
        <v>47</v>
      </c>
      <c r="C487" s="4" t="n">
        <v>2</v>
      </c>
      <c r="D487" s="4" t="s">
        <v>137</v>
      </c>
      <c r="E487" s="3" t="s">
        <v>146</v>
      </c>
      <c r="F487" s="4" t="str">
        <f aca="false">IF(I487&gt;J487,"Y","N")</f>
        <v>N</v>
      </c>
      <c r="G487" s="3" t="s">
        <v>72</v>
      </c>
      <c r="H487" s="3" t="s">
        <v>21</v>
      </c>
      <c r="I487" s="4" t="n">
        <v>4</v>
      </c>
      <c r="J487" s="4" t="n">
        <f aca="false">LEN(E487)-LEN(SUBSTITUTE(E487,",",""))+1</f>
        <v>4</v>
      </c>
      <c r="K487" s="3" t="str">
        <f aca="false">IFERROR(INDEX('Teacher Lookup'!$B$2:$B$200,MATCH(A487,'Teacher Lookup'!$A$2:$A$200,0)),"")</f>
        <v>IP Anna</v>
      </c>
    </row>
    <row r="488" customFormat="false" ht="15" hidden="false" customHeight="false" outlineLevel="0" collapsed="false">
      <c r="A488" s="3" t="s">
        <v>136</v>
      </c>
      <c r="B488" s="4" t="s">
        <v>47</v>
      </c>
      <c r="C488" s="4" t="n">
        <v>2</v>
      </c>
      <c r="D488" s="4" t="s">
        <v>124</v>
      </c>
      <c r="E488" s="3" t="s">
        <v>146</v>
      </c>
      <c r="F488" s="4" t="str">
        <f aca="false">IF(I488&gt;J488,"Y","N")</f>
        <v>N</v>
      </c>
      <c r="G488" s="3" t="s">
        <v>72</v>
      </c>
      <c r="H488" s="3" t="s">
        <v>21</v>
      </c>
      <c r="I488" s="4" t="n">
        <v>4</v>
      </c>
      <c r="J488" s="4" t="n">
        <f aca="false">LEN(E488)-LEN(SUBSTITUTE(E488,",",""))+1</f>
        <v>4</v>
      </c>
      <c r="K488" s="3" t="str">
        <f aca="false">IFERROR(INDEX('Teacher Lookup'!$B$2:$B$200,MATCH(A488,'Teacher Lookup'!$A$2:$A$200,0)),"")</f>
        <v>IP Anna</v>
      </c>
    </row>
    <row r="489" customFormat="false" ht="15" hidden="false" customHeight="false" outlineLevel="0" collapsed="false">
      <c r="A489" s="3" t="s">
        <v>136</v>
      </c>
      <c r="B489" s="4" t="s">
        <v>47</v>
      </c>
      <c r="C489" s="4" t="n">
        <v>2</v>
      </c>
      <c r="D489" s="4" t="s">
        <v>139</v>
      </c>
      <c r="E489" s="3" t="s">
        <v>146</v>
      </c>
      <c r="F489" s="4" t="str">
        <f aca="false">IF(I489&gt;J489,"Y","N")</f>
        <v>N</v>
      </c>
      <c r="G489" s="3" t="s">
        <v>72</v>
      </c>
      <c r="H489" s="3" t="s">
        <v>21</v>
      </c>
      <c r="I489" s="4" t="n">
        <v>4</v>
      </c>
      <c r="J489" s="4" t="n">
        <f aca="false">LEN(E489)-LEN(SUBSTITUTE(E489,",",""))+1</f>
        <v>4</v>
      </c>
      <c r="K489" s="3" t="str">
        <f aca="false">IFERROR(INDEX('Teacher Lookup'!$B$2:$B$200,MATCH(A489,'Teacher Lookup'!$A$2:$A$200,0)),"")</f>
        <v>IP Anna</v>
      </c>
    </row>
    <row r="490" customFormat="false" ht="15" hidden="false" customHeight="false" outlineLevel="0" collapsed="false">
      <c r="A490" s="3" t="s">
        <v>136</v>
      </c>
      <c r="B490" s="4" t="s">
        <v>47</v>
      </c>
      <c r="C490" s="4" t="n">
        <v>4</v>
      </c>
      <c r="D490" s="4" t="s">
        <v>140</v>
      </c>
      <c r="E490" s="3" t="s">
        <v>152</v>
      </c>
      <c r="F490" s="4" t="str">
        <f aca="false">IF(I490&gt;J490,"Y","N")</f>
        <v>N</v>
      </c>
      <c r="G490" s="3" t="s">
        <v>72</v>
      </c>
      <c r="H490" s="3" t="s">
        <v>34</v>
      </c>
      <c r="I490" s="4" t="n">
        <v>4</v>
      </c>
      <c r="J490" s="4" t="n">
        <f aca="false">LEN(E490)-LEN(SUBSTITUTE(E490,",",""))+1</f>
        <v>4</v>
      </c>
      <c r="K490" s="3" t="str">
        <f aca="false">IFERROR(INDEX('Teacher Lookup'!$B$2:$B$200,MATCH(A490,'Teacher Lookup'!$A$2:$A$200,0)),"")</f>
        <v>IP Anna</v>
      </c>
    </row>
    <row r="491" customFormat="false" ht="15" hidden="false" customHeight="false" outlineLevel="0" collapsed="false">
      <c r="A491" s="3" t="s">
        <v>136</v>
      </c>
      <c r="B491" s="4" t="s">
        <v>47</v>
      </c>
      <c r="C491" s="4" t="n">
        <v>4</v>
      </c>
      <c r="D491" s="4" t="s">
        <v>142</v>
      </c>
      <c r="E491" s="3" t="s">
        <v>152</v>
      </c>
      <c r="F491" s="4" t="str">
        <f aca="false">IF(I491&gt;J491,"Y","N")</f>
        <v>N</v>
      </c>
      <c r="G491" s="3" t="s">
        <v>72</v>
      </c>
      <c r="H491" s="3" t="s">
        <v>34</v>
      </c>
      <c r="I491" s="4" t="n">
        <v>4</v>
      </c>
      <c r="J491" s="4" t="n">
        <f aca="false">LEN(E491)-LEN(SUBSTITUTE(E491,",",""))+1</f>
        <v>4</v>
      </c>
      <c r="K491" s="3" t="str">
        <f aca="false">IFERROR(INDEX('Teacher Lookup'!$B$2:$B$200,MATCH(A491,'Teacher Lookup'!$A$2:$A$200,0)),"")</f>
        <v>IP Anna</v>
      </c>
    </row>
    <row r="492" customFormat="false" ht="15" hidden="false" customHeight="false" outlineLevel="0" collapsed="false">
      <c r="A492" s="3" t="s">
        <v>136</v>
      </c>
      <c r="B492" s="4" t="s">
        <v>47</v>
      </c>
      <c r="C492" s="4" t="n">
        <v>4</v>
      </c>
      <c r="D492" s="4" t="s">
        <v>127</v>
      </c>
      <c r="E492" s="3" t="s">
        <v>152</v>
      </c>
      <c r="F492" s="4" t="str">
        <f aca="false">IF(I492&gt;J492,"Y","N")</f>
        <v>N</v>
      </c>
      <c r="G492" s="3" t="s">
        <v>72</v>
      </c>
      <c r="H492" s="3" t="s">
        <v>34</v>
      </c>
      <c r="I492" s="4" t="n">
        <v>4</v>
      </c>
      <c r="J492" s="4" t="n">
        <f aca="false">LEN(E492)-LEN(SUBSTITUTE(E492,",",""))+1</f>
        <v>4</v>
      </c>
      <c r="K492" s="3" t="str">
        <f aca="false">IFERROR(INDEX('Teacher Lookup'!$B$2:$B$200,MATCH(A492,'Teacher Lookup'!$A$2:$A$200,0)),"")</f>
        <v>IP Anna</v>
      </c>
    </row>
    <row r="493" customFormat="false" ht="15" hidden="false" customHeight="false" outlineLevel="0" collapsed="false">
      <c r="A493" s="3" t="s">
        <v>136</v>
      </c>
      <c r="B493" s="4" t="s">
        <v>47</v>
      </c>
      <c r="C493" s="4" t="n">
        <v>6</v>
      </c>
      <c r="D493" s="4" t="s">
        <v>28</v>
      </c>
      <c r="E493" s="3" t="s">
        <v>153</v>
      </c>
      <c r="F493" s="4" t="str">
        <f aca="false">IF(I493&gt;J493,"Y","N")</f>
        <v>N</v>
      </c>
      <c r="G493" s="3" t="s">
        <v>72</v>
      </c>
      <c r="H493" s="3" t="s">
        <v>42</v>
      </c>
      <c r="I493" s="4" t="n">
        <v>4</v>
      </c>
      <c r="J493" s="4" t="n">
        <f aca="false">LEN(E493)-LEN(SUBSTITUTE(E493,",",""))+1</f>
        <v>4</v>
      </c>
      <c r="K493" s="3" t="str">
        <f aca="false">IFERROR(INDEX('Teacher Lookup'!$B$2:$B$200,MATCH(A493,'Teacher Lookup'!$A$2:$A$200,0)),"")</f>
        <v>IP Anna</v>
      </c>
    </row>
    <row r="494" customFormat="false" ht="15" hidden="false" customHeight="false" outlineLevel="0" collapsed="false">
      <c r="A494" s="3" t="s">
        <v>136</v>
      </c>
      <c r="B494" s="4" t="s">
        <v>47</v>
      </c>
      <c r="C494" s="4" t="n">
        <v>6</v>
      </c>
      <c r="D494" s="4" t="s">
        <v>29</v>
      </c>
      <c r="E494" s="3" t="s">
        <v>153</v>
      </c>
      <c r="F494" s="4" t="str">
        <f aca="false">IF(I494&gt;J494,"Y","N")</f>
        <v>N</v>
      </c>
      <c r="G494" s="3" t="s">
        <v>72</v>
      </c>
      <c r="H494" s="3" t="s">
        <v>42</v>
      </c>
      <c r="I494" s="4" t="n">
        <v>4</v>
      </c>
      <c r="J494" s="4" t="n">
        <f aca="false">LEN(E494)-LEN(SUBSTITUTE(E494,",",""))+1</f>
        <v>4</v>
      </c>
      <c r="K494" s="3" t="str">
        <f aca="false">IFERROR(INDEX('Teacher Lookup'!$B$2:$B$200,MATCH(A494,'Teacher Lookup'!$A$2:$A$200,0)),"")</f>
        <v>IP Anna</v>
      </c>
    </row>
    <row r="495" customFormat="false" ht="15" hidden="false" customHeight="false" outlineLevel="0" collapsed="false">
      <c r="A495" s="3" t="s">
        <v>136</v>
      </c>
      <c r="B495" s="4" t="s">
        <v>47</v>
      </c>
      <c r="C495" s="4" t="n">
        <v>6</v>
      </c>
      <c r="D495" s="4" t="s">
        <v>30</v>
      </c>
      <c r="E495" s="3" t="s">
        <v>153</v>
      </c>
      <c r="F495" s="4" t="str">
        <f aca="false">IF(I495&gt;J495,"Y","N")</f>
        <v>N</v>
      </c>
      <c r="G495" s="3" t="s">
        <v>72</v>
      </c>
      <c r="H495" s="3" t="s">
        <v>42</v>
      </c>
      <c r="I495" s="4" t="n">
        <v>4</v>
      </c>
      <c r="J495" s="4" t="n">
        <f aca="false">LEN(E495)-LEN(SUBSTITUTE(E495,",",""))+1</f>
        <v>4</v>
      </c>
      <c r="K495" s="3" t="str">
        <f aca="false">IFERROR(INDEX('Teacher Lookup'!$B$2:$B$200,MATCH(A495,'Teacher Lookup'!$A$2:$A$200,0)),"")</f>
        <v>IP Anna</v>
      </c>
    </row>
    <row r="496" customFormat="false" ht="15" hidden="false" customHeight="false" outlineLevel="0" collapsed="false">
      <c r="A496" s="3" t="s">
        <v>136</v>
      </c>
      <c r="B496" s="4" t="s">
        <v>50</v>
      </c>
      <c r="C496" s="4" t="n">
        <v>1</v>
      </c>
      <c r="D496" s="4" t="s">
        <v>137</v>
      </c>
      <c r="E496" s="3" t="s">
        <v>154</v>
      </c>
      <c r="F496" s="4" t="str">
        <f aca="false">IF(I496&gt;J496,"Y","N")</f>
        <v>N</v>
      </c>
      <c r="G496" s="3" t="s">
        <v>72</v>
      </c>
      <c r="H496" s="3" t="s">
        <v>16</v>
      </c>
      <c r="I496" s="4" t="n">
        <v>4</v>
      </c>
      <c r="J496" s="4" t="n">
        <f aca="false">LEN(E496)-LEN(SUBSTITUTE(E496,",",""))+1</f>
        <v>4</v>
      </c>
      <c r="K496" s="3" t="str">
        <f aca="false">IFERROR(INDEX('Teacher Lookup'!$B$2:$B$200,MATCH(A496,'Teacher Lookup'!$A$2:$A$200,0)),"")</f>
        <v>IP Anna</v>
      </c>
    </row>
    <row r="497" customFormat="false" ht="15" hidden="false" customHeight="false" outlineLevel="0" collapsed="false">
      <c r="A497" s="3" t="s">
        <v>136</v>
      </c>
      <c r="B497" s="4" t="s">
        <v>50</v>
      </c>
      <c r="C497" s="4" t="n">
        <v>1</v>
      </c>
      <c r="D497" s="4" t="s">
        <v>124</v>
      </c>
      <c r="E497" s="3" t="s">
        <v>154</v>
      </c>
      <c r="F497" s="4" t="str">
        <f aca="false">IF(I497&gt;J497,"Y","N")</f>
        <v>N</v>
      </c>
      <c r="G497" s="3" t="s">
        <v>72</v>
      </c>
      <c r="H497" s="3" t="s">
        <v>16</v>
      </c>
      <c r="I497" s="4" t="n">
        <v>4</v>
      </c>
      <c r="J497" s="4" t="n">
        <f aca="false">LEN(E497)-LEN(SUBSTITUTE(E497,",",""))+1</f>
        <v>4</v>
      </c>
      <c r="K497" s="3" t="str">
        <f aca="false">IFERROR(INDEX('Teacher Lookup'!$B$2:$B$200,MATCH(A497,'Teacher Lookup'!$A$2:$A$200,0)),"")</f>
        <v>IP Anna</v>
      </c>
    </row>
    <row r="498" customFormat="false" ht="15" hidden="false" customHeight="false" outlineLevel="0" collapsed="false">
      <c r="A498" s="3" t="s">
        <v>136</v>
      </c>
      <c r="B498" s="4" t="s">
        <v>50</v>
      </c>
      <c r="C498" s="4" t="n">
        <v>1</v>
      </c>
      <c r="D498" s="4" t="s">
        <v>139</v>
      </c>
      <c r="E498" s="3" t="s">
        <v>154</v>
      </c>
      <c r="F498" s="4" t="str">
        <f aca="false">IF(I498&gt;J498,"Y","N")</f>
        <v>N</v>
      </c>
      <c r="G498" s="3" t="s">
        <v>72</v>
      </c>
      <c r="H498" s="3" t="s">
        <v>16</v>
      </c>
      <c r="I498" s="4" t="n">
        <v>4</v>
      </c>
      <c r="J498" s="4" t="n">
        <f aca="false">LEN(E498)-LEN(SUBSTITUTE(E498,",",""))+1</f>
        <v>4</v>
      </c>
      <c r="K498" s="3" t="str">
        <f aca="false">IFERROR(INDEX('Teacher Lookup'!$B$2:$B$200,MATCH(A498,'Teacher Lookup'!$A$2:$A$200,0)),"")</f>
        <v>IP Anna</v>
      </c>
    </row>
    <row r="499" customFormat="false" ht="15" hidden="false" customHeight="false" outlineLevel="0" collapsed="false">
      <c r="A499" s="3" t="s">
        <v>136</v>
      </c>
      <c r="B499" s="4" t="s">
        <v>50</v>
      </c>
      <c r="C499" s="4" t="n">
        <v>2</v>
      </c>
      <c r="D499" s="4" t="s">
        <v>137</v>
      </c>
      <c r="E499" s="3" t="s">
        <v>154</v>
      </c>
      <c r="F499" s="4" t="str">
        <f aca="false">IF(I499&gt;J499,"Y","N")</f>
        <v>N</v>
      </c>
      <c r="G499" s="3" t="s">
        <v>72</v>
      </c>
      <c r="H499" s="3" t="s">
        <v>21</v>
      </c>
      <c r="I499" s="4" t="n">
        <v>4</v>
      </c>
      <c r="J499" s="4" t="n">
        <f aca="false">LEN(E499)-LEN(SUBSTITUTE(E499,",",""))+1</f>
        <v>4</v>
      </c>
      <c r="K499" s="3" t="str">
        <f aca="false">IFERROR(INDEX('Teacher Lookup'!$B$2:$B$200,MATCH(A499,'Teacher Lookup'!$A$2:$A$200,0)),"")</f>
        <v>IP Anna</v>
      </c>
    </row>
    <row r="500" customFormat="false" ht="15" hidden="false" customHeight="false" outlineLevel="0" collapsed="false">
      <c r="A500" s="3" t="s">
        <v>136</v>
      </c>
      <c r="B500" s="4" t="s">
        <v>50</v>
      </c>
      <c r="C500" s="4" t="n">
        <v>2</v>
      </c>
      <c r="D500" s="4" t="s">
        <v>124</v>
      </c>
      <c r="E500" s="3" t="s">
        <v>154</v>
      </c>
      <c r="F500" s="4" t="str">
        <f aca="false">IF(I500&gt;J500,"Y","N")</f>
        <v>N</v>
      </c>
      <c r="G500" s="3" t="s">
        <v>72</v>
      </c>
      <c r="H500" s="3" t="s">
        <v>21</v>
      </c>
      <c r="I500" s="4" t="n">
        <v>4</v>
      </c>
      <c r="J500" s="4" t="n">
        <f aca="false">LEN(E500)-LEN(SUBSTITUTE(E500,",",""))+1</f>
        <v>4</v>
      </c>
      <c r="K500" s="3" t="str">
        <f aca="false">IFERROR(INDEX('Teacher Lookup'!$B$2:$B$200,MATCH(A500,'Teacher Lookup'!$A$2:$A$200,0)),"")</f>
        <v>IP Anna</v>
      </c>
    </row>
    <row r="501" customFormat="false" ht="15" hidden="false" customHeight="false" outlineLevel="0" collapsed="false">
      <c r="A501" s="3" t="s">
        <v>136</v>
      </c>
      <c r="B501" s="4" t="s">
        <v>50</v>
      </c>
      <c r="C501" s="4" t="n">
        <v>2</v>
      </c>
      <c r="D501" s="4" t="s">
        <v>139</v>
      </c>
      <c r="E501" s="3" t="s">
        <v>154</v>
      </c>
      <c r="F501" s="4" t="str">
        <f aca="false">IF(I501&gt;J501,"Y","N")</f>
        <v>N</v>
      </c>
      <c r="G501" s="3" t="s">
        <v>72</v>
      </c>
      <c r="H501" s="3" t="s">
        <v>21</v>
      </c>
      <c r="I501" s="4" t="n">
        <v>4</v>
      </c>
      <c r="J501" s="4" t="n">
        <f aca="false">LEN(E501)-LEN(SUBSTITUTE(E501,",",""))+1</f>
        <v>4</v>
      </c>
      <c r="K501" s="3" t="str">
        <f aca="false">IFERROR(INDEX('Teacher Lookup'!$B$2:$B$200,MATCH(A501,'Teacher Lookup'!$A$2:$A$200,0)),"")</f>
        <v>IP Anna</v>
      </c>
    </row>
    <row r="502" customFormat="false" ht="15" hidden="false" customHeight="false" outlineLevel="0" collapsed="false">
      <c r="A502" s="3" t="s">
        <v>136</v>
      </c>
      <c r="B502" s="4" t="s">
        <v>50</v>
      </c>
      <c r="C502" s="4" t="n">
        <v>3</v>
      </c>
      <c r="D502" s="4" t="s">
        <v>140</v>
      </c>
      <c r="E502" s="3" t="s">
        <v>155</v>
      </c>
      <c r="F502" s="4" t="str">
        <f aca="false">IF(I502&gt;J502,"Y","N")</f>
        <v>N</v>
      </c>
      <c r="G502" s="3" t="s">
        <v>72</v>
      </c>
      <c r="H502" s="3" t="s">
        <v>26</v>
      </c>
      <c r="I502" s="4" t="n">
        <v>4</v>
      </c>
      <c r="J502" s="4" t="n">
        <f aca="false">LEN(E502)-LEN(SUBSTITUTE(E502,",",""))+1</f>
        <v>4</v>
      </c>
      <c r="K502" s="3" t="str">
        <f aca="false">IFERROR(INDEX('Teacher Lookup'!$B$2:$B$200,MATCH(A502,'Teacher Lookup'!$A$2:$A$200,0)),"")</f>
        <v>IP Anna</v>
      </c>
    </row>
    <row r="503" customFormat="false" ht="15" hidden="false" customHeight="false" outlineLevel="0" collapsed="false">
      <c r="A503" s="3" t="s">
        <v>136</v>
      </c>
      <c r="B503" s="4" t="s">
        <v>50</v>
      </c>
      <c r="C503" s="4" t="n">
        <v>3</v>
      </c>
      <c r="D503" s="4" t="s">
        <v>142</v>
      </c>
      <c r="E503" s="3" t="s">
        <v>155</v>
      </c>
      <c r="F503" s="4" t="str">
        <f aca="false">IF(I503&gt;J503,"Y","N")</f>
        <v>N</v>
      </c>
      <c r="G503" s="3" t="s">
        <v>72</v>
      </c>
      <c r="H503" s="3" t="s">
        <v>26</v>
      </c>
      <c r="I503" s="4" t="n">
        <v>4</v>
      </c>
      <c r="J503" s="4" t="n">
        <f aca="false">LEN(E503)-LEN(SUBSTITUTE(E503,",",""))+1</f>
        <v>4</v>
      </c>
      <c r="K503" s="3" t="str">
        <f aca="false">IFERROR(INDEX('Teacher Lookup'!$B$2:$B$200,MATCH(A503,'Teacher Lookup'!$A$2:$A$200,0)),"")</f>
        <v>IP Anna</v>
      </c>
    </row>
    <row r="504" customFormat="false" ht="15" hidden="false" customHeight="false" outlineLevel="0" collapsed="false">
      <c r="A504" s="3" t="s">
        <v>136</v>
      </c>
      <c r="B504" s="4" t="s">
        <v>50</v>
      </c>
      <c r="C504" s="4" t="n">
        <v>3</v>
      </c>
      <c r="D504" s="4" t="s">
        <v>127</v>
      </c>
      <c r="E504" s="3" t="s">
        <v>155</v>
      </c>
      <c r="F504" s="4" t="str">
        <f aca="false">IF(I504&gt;J504,"Y","N")</f>
        <v>N</v>
      </c>
      <c r="G504" s="3" t="s">
        <v>72</v>
      </c>
      <c r="H504" s="3" t="s">
        <v>26</v>
      </c>
      <c r="I504" s="4" t="n">
        <v>4</v>
      </c>
      <c r="J504" s="4" t="n">
        <f aca="false">LEN(E504)-LEN(SUBSTITUTE(E504,",",""))+1</f>
        <v>4</v>
      </c>
      <c r="K504" s="3" t="str">
        <f aca="false">IFERROR(INDEX('Teacher Lookup'!$B$2:$B$200,MATCH(A504,'Teacher Lookup'!$A$2:$A$200,0)),"")</f>
        <v>IP Anna</v>
      </c>
    </row>
    <row r="505" customFormat="false" ht="15" hidden="false" customHeight="false" outlineLevel="0" collapsed="false">
      <c r="A505" s="3" t="s">
        <v>136</v>
      </c>
      <c r="B505" s="4" t="s">
        <v>50</v>
      </c>
      <c r="C505" s="4" t="n">
        <v>6</v>
      </c>
      <c r="D505" s="4" t="s">
        <v>28</v>
      </c>
      <c r="E505" s="3" t="s">
        <v>156</v>
      </c>
      <c r="F505" s="4" t="str">
        <f aca="false">IF(I505&gt;J505,"Y","N")</f>
        <v>N</v>
      </c>
      <c r="G505" s="3" t="s">
        <v>72</v>
      </c>
      <c r="H505" s="3" t="s">
        <v>42</v>
      </c>
      <c r="I505" s="4" t="n">
        <v>4</v>
      </c>
      <c r="J505" s="4" t="n">
        <f aca="false">LEN(E505)-LEN(SUBSTITUTE(E505,",",""))+1</f>
        <v>4</v>
      </c>
      <c r="K505" s="3" t="str">
        <f aca="false">IFERROR(INDEX('Teacher Lookup'!$B$2:$B$200,MATCH(A505,'Teacher Lookup'!$A$2:$A$200,0)),"")</f>
        <v>IP Anna</v>
      </c>
    </row>
    <row r="506" customFormat="false" ht="15" hidden="false" customHeight="false" outlineLevel="0" collapsed="false">
      <c r="A506" s="3" t="s">
        <v>136</v>
      </c>
      <c r="B506" s="4" t="s">
        <v>50</v>
      </c>
      <c r="C506" s="4" t="n">
        <v>6</v>
      </c>
      <c r="D506" s="4" t="s">
        <v>29</v>
      </c>
      <c r="E506" s="3" t="s">
        <v>156</v>
      </c>
      <c r="F506" s="4" t="str">
        <f aca="false">IF(I506&gt;J506,"Y","N")</f>
        <v>N</v>
      </c>
      <c r="G506" s="3" t="s">
        <v>72</v>
      </c>
      <c r="H506" s="3" t="s">
        <v>42</v>
      </c>
      <c r="I506" s="4" t="n">
        <v>4</v>
      </c>
      <c r="J506" s="4" t="n">
        <f aca="false">LEN(E506)-LEN(SUBSTITUTE(E506,",",""))+1</f>
        <v>4</v>
      </c>
      <c r="K506" s="3" t="str">
        <f aca="false">IFERROR(INDEX('Teacher Lookup'!$B$2:$B$200,MATCH(A506,'Teacher Lookup'!$A$2:$A$200,0)),"")</f>
        <v>IP Anna</v>
      </c>
    </row>
    <row r="507" customFormat="false" ht="15" hidden="false" customHeight="false" outlineLevel="0" collapsed="false">
      <c r="A507" s="3" t="s">
        <v>136</v>
      </c>
      <c r="B507" s="4" t="s">
        <v>50</v>
      </c>
      <c r="C507" s="4" t="n">
        <v>6</v>
      </c>
      <c r="D507" s="4" t="s">
        <v>30</v>
      </c>
      <c r="E507" s="3" t="s">
        <v>156</v>
      </c>
      <c r="F507" s="4" t="str">
        <f aca="false">IF(I507&gt;J507,"Y","N")</f>
        <v>N</v>
      </c>
      <c r="G507" s="3" t="s">
        <v>72</v>
      </c>
      <c r="H507" s="3" t="s">
        <v>42</v>
      </c>
      <c r="I507" s="4" t="n">
        <v>4</v>
      </c>
      <c r="J507" s="4" t="n">
        <f aca="false">LEN(E507)-LEN(SUBSTITUTE(E507,",",""))+1</f>
        <v>4</v>
      </c>
      <c r="K507" s="3" t="str">
        <f aca="false">IFERROR(INDEX('Teacher Lookup'!$B$2:$B$200,MATCH(A507,'Teacher Lookup'!$A$2:$A$200,0)),"")</f>
        <v>IP Anna</v>
      </c>
    </row>
    <row r="508" customFormat="false" ht="15" hidden="false" customHeight="false" outlineLevel="0" collapsed="false">
      <c r="A508" s="3" t="s">
        <v>136</v>
      </c>
      <c r="B508" s="4" t="s">
        <v>60</v>
      </c>
      <c r="C508" s="4" t="n">
        <v>4</v>
      </c>
      <c r="D508" s="4" t="s">
        <v>137</v>
      </c>
      <c r="E508" s="3" t="s">
        <v>138</v>
      </c>
      <c r="F508" s="4" t="str">
        <f aca="false">IF(I508&gt;J508,"Y","N")</f>
        <v>N</v>
      </c>
      <c r="G508" s="3" t="s">
        <v>72</v>
      </c>
      <c r="H508" s="3" t="s">
        <v>34</v>
      </c>
      <c r="I508" s="4" t="n">
        <v>4</v>
      </c>
      <c r="J508" s="4" t="n">
        <f aca="false">LEN(E508)-LEN(SUBSTITUTE(E508,",",""))+1</f>
        <v>4</v>
      </c>
      <c r="K508" s="3" t="str">
        <f aca="false">IFERROR(INDEX('Teacher Lookup'!$B$2:$B$200,MATCH(A508,'Teacher Lookup'!$A$2:$A$200,0)),"")</f>
        <v>IP Anna</v>
      </c>
    </row>
    <row r="509" customFormat="false" ht="15" hidden="false" customHeight="false" outlineLevel="0" collapsed="false">
      <c r="A509" s="3" t="s">
        <v>136</v>
      </c>
      <c r="B509" s="4" t="s">
        <v>60</v>
      </c>
      <c r="C509" s="4" t="n">
        <v>4</v>
      </c>
      <c r="D509" s="4" t="s">
        <v>124</v>
      </c>
      <c r="E509" s="3" t="s">
        <v>138</v>
      </c>
      <c r="F509" s="4" t="str">
        <f aca="false">IF(I509&gt;J509,"Y","N")</f>
        <v>N</v>
      </c>
      <c r="G509" s="3" t="s">
        <v>72</v>
      </c>
      <c r="H509" s="3" t="s">
        <v>34</v>
      </c>
      <c r="I509" s="4" t="n">
        <v>4</v>
      </c>
      <c r="J509" s="4" t="n">
        <f aca="false">LEN(E509)-LEN(SUBSTITUTE(E509,",",""))+1</f>
        <v>4</v>
      </c>
      <c r="K509" s="3" t="str">
        <f aca="false">IFERROR(INDEX('Teacher Lookup'!$B$2:$B$200,MATCH(A509,'Teacher Lookup'!$A$2:$A$200,0)),"")</f>
        <v>IP Anna</v>
      </c>
    </row>
    <row r="510" customFormat="false" ht="15" hidden="false" customHeight="false" outlineLevel="0" collapsed="false">
      <c r="A510" s="3" t="s">
        <v>136</v>
      </c>
      <c r="B510" s="4" t="s">
        <v>60</v>
      </c>
      <c r="C510" s="4" t="n">
        <v>4</v>
      </c>
      <c r="D510" s="4" t="s">
        <v>139</v>
      </c>
      <c r="E510" s="3" t="s">
        <v>138</v>
      </c>
      <c r="F510" s="4" t="str">
        <f aca="false">IF(I510&gt;J510,"Y","N")</f>
        <v>N</v>
      </c>
      <c r="G510" s="3" t="s">
        <v>72</v>
      </c>
      <c r="H510" s="3" t="s">
        <v>34</v>
      </c>
      <c r="I510" s="4" t="n">
        <v>4</v>
      </c>
      <c r="J510" s="4" t="n">
        <f aca="false">LEN(E510)-LEN(SUBSTITUTE(E510,",",""))+1</f>
        <v>4</v>
      </c>
      <c r="K510" s="3" t="str">
        <f aca="false">IFERROR(INDEX('Teacher Lookup'!$B$2:$B$200,MATCH(A510,'Teacher Lookup'!$A$2:$A$200,0)),"")</f>
        <v>IP Anna</v>
      </c>
    </row>
    <row r="511" customFormat="false" ht="15" hidden="false" customHeight="false" outlineLevel="0" collapsed="false">
      <c r="A511" s="3" t="s">
        <v>136</v>
      </c>
      <c r="B511" s="4" t="s">
        <v>60</v>
      </c>
      <c r="C511" s="4" t="n">
        <v>5</v>
      </c>
      <c r="D511" s="4" t="s">
        <v>24</v>
      </c>
      <c r="E511" s="3" t="s">
        <v>131</v>
      </c>
      <c r="F511" s="4" t="str">
        <f aca="false">IF(I511&gt;J511,"Y","N")</f>
        <v>Y</v>
      </c>
      <c r="G511" s="3" t="s">
        <v>36</v>
      </c>
      <c r="H511" s="3" t="s">
        <v>37</v>
      </c>
      <c r="I511" s="4" t="n">
        <v>15</v>
      </c>
      <c r="J511" s="4" t="n">
        <f aca="false">LEN(E511)-LEN(SUBSTITUTE(E511,",",""))+1</f>
        <v>7</v>
      </c>
      <c r="K511" s="3" t="str">
        <f aca="false">IFERROR(INDEX('Teacher Lookup'!$B$2:$B$200,MATCH(A511,'Teacher Lookup'!$A$2:$A$200,0)),"")</f>
        <v>IP Anna</v>
      </c>
    </row>
    <row r="512" customFormat="false" ht="15" hidden="false" customHeight="false" outlineLevel="0" collapsed="false">
      <c r="A512" s="3" t="s">
        <v>136</v>
      </c>
      <c r="B512" s="4" t="s">
        <v>60</v>
      </c>
      <c r="C512" s="4" t="n">
        <v>5</v>
      </c>
      <c r="D512" s="4" t="s">
        <v>132</v>
      </c>
      <c r="E512" s="3" t="s">
        <v>131</v>
      </c>
      <c r="F512" s="4" t="str">
        <f aca="false">IF(I512&gt;J512,"Y","N")</f>
        <v>Y</v>
      </c>
      <c r="G512" s="3" t="s">
        <v>36</v>
      </c>
      <c r="H512" s="3" t="s">
        <v>37</v>
      </c>
      <c r="I512" s="4" t="n">
        <v>15</v>
      </c>
      <c r="J512" s="4" t="n">
        <f aca="false">LEN(E512)-LEN(SUBSTITUTE(E512,",",""))+1</f>
        <v>7</v>
      </c>
      <c r="K512" s="3" t="str">
        <f aca="false">IFERROR(INDEX('Teacher Lookup'!$B$2:$B$200,MATCH(A512,'Teacher Lookup'!$A$2:$A$200,0)),"")</f>
        <v>IP Anna</v>
      </c>
    </row>
    <row r="513" customFormat="false" ht="15" hidden="false" customHeight="false" outlineLevel="0" collapsed="false">
      <c r="A513" s="3" t="s">
        <v>136</v>
      </c>
      <c r="B513" s="4" t="s">
        <v>60</v>
      </c>
      <c r="C513" s="4" t="n">
        <v>5</v>
      </c>
      <c r="D513" s="4" t="s">
        <v>27</v>
      </c>
      <c r="E513" s="3" t="s">
        <v>131</v>
      </c>
      <c r="F513" s="4" t="str">
        <f aca="false">IF(I513&gt;J513,"Y","N")</f>
        <v>Y</v>
      </c>
      <c r="G513" s="3" t="s">
        <v>36</v>
      </c>
      <c r="H513" s="3" t="s">
        <v>37</v>
      </c>
      <c r="I513" s="4" t="n">
        <v>15</v>
      </c>
      <c r="J513" s="4" t="n">
        <f aca="false">LEN(E513)-LEN(SUBSTITUTE(E513,",",""))+1</f>
        <v>7</v>
      </c>
      <c r="K513" s="3" t="str">
        <f aca="false">IFERROR(INDEX('Teacher Lookup'!$B$2:$B$200,MATCH(A513,'Teacher Lookup'!$A$2:$A$200,0)),"")</f>
        <v>IP Anna</v>
      </c>
    </row>
    <row r="514" customFormat="false" ht="15" hidden="false" customHeight="false" outlineLevel="0" collapsed="false">
      <c r="A514" s="3" t="s">
        <v>136</v>
      </c>
      <c r="B514" s="4" t="s">
        <v>60</v>
      </c>
      <c r="C514" s="4" t="n">
        <v>5</v>
      </c>
      <c r="D514" s="4" t="s">
        <v>28</v>
      </c>
      <c r="E514" s="3" t="s">
        <v>131</v>
      </c>
      <c r="F514" s="4" t="str">
        <f aca="false">IF(I514&gt;J514,"Y","N")</f>
        <v>Y</v>
      </c>
      <c r="G514" s="3" t="s">
        <v>36</v>
      </c>
      <c r="H514" s="3" t="s">
        <v>37</v>
      </c>
      <c r="I514" s="4" t="n">
        <v>15</v>
      </c>
      <c r="J514" s="4" t="n">
        <f aca="false">LEN(E514)-LEN(SUBSTITUTE(E514,",",""))+1</f>
        <v>7</v>
      </c>
      <c r="K514" s="3" t="str">
        <f aca="false">IFERROR(INDEX('Teacher Lookup'!$B$2:$B$200,MATCH(A514,'Teacher Lookup'!$A$2:$A$200,0)),"")</f>
        <v>IP Anna</v>
      </c>
    </row>
    <row r="515" customFormat="false" ht="15" hidden="false" customHeight="false" outlineLevel="0" collapsed="false">
      <c r="A515" s="3" t="s">
        <v>136</v>
      </c>
      <c r="B515" s="4" t="s">
        <v>60</v>
      </c>
      <c r="C515" s="4" t="n">
        <v>5</v>
      </c>
      <c r="D515" s="4" t="s">
        <v>29</v>
      </c>
      <c r="E515" s="3" t="s">
        <v>131</v>
      </c>
      <c r="F515" s="4" t="str">
        <f aca="false">IF(I515&gt;J515,"Y","N")</f>
        <v>Y</v>
      </c>
      <c r="G515" s="3" t="s">
        <v>36</v>
      </c>
      <c r="H515" s="3" t="s">
        <v>37</v>
      </c>
      <c r="I515" s="4" t="n">
        <v>15</v>
      </c>
      <c r="J515" s="4" t="n">
        <f aca="false">LEN(E515)-LEN(SUBSTITUTE(E515,",",""))+1</f>
        <v>7</v>
      </c>
      <c r="K515" s="3" t="str">
        <f aca="false">IFERROR(INDEX('Teacher Lookup'!$B$2:$B$200,MATCH(A515,'Teacher Lookup'!$A$2:$A$200,0)),"")</f>
        <v>IP Anna</v>
      </c>
    </row>
    <row r="516" customFormat="false" ht="15" hidden="false" customHeight="false" outlineLevel="0" collapsed="false">
      <c r="A516" s="3" t="s">
        <v>136</v>
      </c>
      <c r="B516" s="4" t="s">
        <v>60</v>
      </c>
      <c r="C516" s="4" t="n">
        <v>5</v>
      </c>
      <c r="D516" s="4" t="s">
        <v>30</v>
      </c>
      <c r="E516" s="3" t="s">
        <v>131</v>
      </c>
      <c r="F516" s="4" t="str">
        <f aca="false">IF(I516&gt;J516,"Y","N")</f>
        <v>Y</v>
      </c>
      <c r="G516" s="3" t="s">
        <v>36</v>
      </c>
      <c r="H516" s="3" t="s">
        <v>37</v>
      </c>
      <c r="I516" s="4" t="n">
        <v>15</v>
      </c>
      <c r="J516" s="4" t="n">
        <f aca="false">LEN(E516)-LEN(SUBSTITUTE(E516,",",""))+1</f>
        <v>7</v>
      </c>
      <c r="K516" s="3" t="str">
        <f aca="false">IFERROR(INDEX('Teacher Lookup'!$B$2:$B$200,MATCH(A516,'Teacher Lookup'!$A$2:$A$200,0)),"")</f>
        <v>IP Anna</v>
      </c>
    </row>
    <row r="517" customFormat="false" ht="15" hidden="false" customHeight="false" outlineLevel="0" collapsed="false">
      <c r="A517" s="3" t="s">
        <v>136</v>
      </c>
      <c r="B517" s="4" t="s">
        <v>60</v>
      </c>
      <c r="C517" s="4" t="n">
        <v>6</v>
      </c>
      <c r="D517" s="4" t="s">
        <v>140</v>
      </c>
      <c r="E517" s="3" t="s">
        <v>150</v>
      </c>
      <c r="F517" s="4" t="str">
        <f aca="false">IF(I517&gt;J517,"Y","N")</f>
        <v>N</v>
      </c>
      <c r="G517" s="3" t="s">
        <v>72</v>
      </c>
      <c r="H517" s="3" t="s">
        <v>42</v>
      </c>
      <c r="I517" s="4" t="n">
        <v>4</v>
      </c>
      <c r="J517" s="4" t="n">
        <f aca="false">LEN(E517)-LEN(SUBSTITUTE(E517,",",""))+1</f>
        <v>4</v>
      </c>
      <c r="K517" s="3" t="str">
        <f aca="false">IFERROR(INDEX('Teacher Lookup'!$B$2:$B$200,MATCH(A517,'Teacher Lookup'!$A$2:$A$200,0)),"")</f>
        <v>IP Anna</v>
      </c>
    </row>
    <row r="518" customFormat="false" ht="15" hidden="false" customHeight="false" outlineLevel="0" collapsed="false">
      <c r="A518" s="3" t="s">
        <v>136</v>
      </c>
      <c r="B518" s="4" t="s">
        <v>60</v>
      </c>
      <c r="C518" s="4" t="n">
        <v>6</v>
      </c>
      <c r="D518" s="4" t="s">
        <v>142</v>
      </c>
      <c r="E518" s="3" t="s">
        <v>150</v>
      </c>
      <c r="F518" s="4" t="str">
        <f aca="false">IF(I518&gt;J518,"Y","N")</f>
        <v>N</v>
      </c>
      <c r="G518" s="3" t="s">
        <v>72</v>
      </c>
      <c r="H518" s="3" t="s">
        <v>42</v>
      </c>
      <c r="I518" s="4" t="n">
        <v>4</v>
      </c>
      <c r="J518" s="4" t="n">
        <f aca="false">LEN(E518)-LEN(SUBSTITUTE(E518,",",""))+1</f>
        <v>4</v>
      </c>
      <c r="K518" s="3" t="str">
        <f aca="false">IFERROR(INDEX('Teacher Lookup'!$B$2:$B$200,MATCH(A518,'Teacher Lookup'!$A$2:$A$200,0)),"")</f>
        <v>IP Anna</v>
      </c>
    </row>
    <row r="519" customFormat="false" ht="15" hidden="false" customHeight="false" outlineLevel="0" collapsed="false">
      <c r="A519" s="3" t="s">
        <v>136</v>
      </c>
      <c r="B519" s="4" t="s">
        <v>60</v>
      </c>
      <c r="C519" s="4" t="n">
        <v>6</v>
      </c>
      <c r="D519" s="4" t="s">
        <v>127</v>
      </c>
      <c r="E519" s="3" t="s">
        <v>150</v>
      </c>
      <c r="F519" s="4" t="str">
        <f aca="false">IF(I519&gt;J519,"Y","N")</f>
        <v>N</v>
      </c>
      <c r="G519" s="3" t="s">
        <v>72</v>
      </c>
      <c r="H519" s="3" t="s">
        <v>42</v>
      </c>
      <c r="I519" s="4" t="n">
        <v>4</v>
      </c>
      <c r="J519" s="4" t="n">
        <f aca="false">LEN(E519)-LEN(SUBSTITUTE(E519,",",""))+1</f>
        <v>4</v>
      </c>
      <c r="K519" s="3" t="str">
        <f aca="false">IFERROR(INDEX('Teacher Lookup'!$B$2:$B$200,MATCH(A519,'Teacher Lookup'!$A$2:$A$200,0)),"")</f>
        <v>IP Anna</v>
      </c>
    </row>
    <row r="520" customFormat="false" ht="15" hidden="false" customHeight="false" outlineLevel="0" collapsed="false">
      <c r="A520" s="3" t="s">
        <v>136</v>
      </c>
      <c r="B520" s="4" t="s">
        <v>60</v>
      </c>
      <c r="C520" s="4" t="n">
        <v>7</v>
      </c>
      <c r="D520" s="4" t="s">
        <v>28</v>
      </c>
      <c r="E520" s="3" t="s">
        <v>153</v>
      </c>
      <c r="F520" s="4" t="str">
        <f aca="false">IF(I520&gt;J520,"Y","N")</f>
        <v>N</v>
      </c>
      <c r="G520" s="3" t="s">
        <v>72</v>
      </c>
      <c r="H520" s="3" t="s">
        <v>39</v>
      </c>
      <c r="I520" s="4" t="n">
        <v>4</v>
      </c>
      <c r="J520" s="4" t="n">
        <f aca="false">LEN(E520)-LEN(SUBSTITUTE(E520,",",""))+1</f>
        <v>4</v>
      </c>
      <c r="K520" s="3" t="str">
        <f aca="false">IFERROR(INDEX('Teacher Lookup'!$B$2:$B$200,MATCH(A520,'Teacher Lookup'!$A$2:$A$200,0)),"")</f>
        <v>IP Anna</v>
      </c>
    </row>
    <row r="521" customFormat="false" ht="15" hidden="false" customHeight="false" outlineLevel="0" collapsed="false">
      <c r="A521" s="3" t="s">
        <v>136</v>
      </c>
      <c r="B521" s="4" t="s">
        <v>60</v>
      </c>
      <c r="C521" s="4" t="n">
        <v>7</v>
      </c>
      <c r="D521" s="4" t="s">
        <v>29</v>
      </c>
      <c r="E521" s="3" t="s">
        <v>153</v>
      </c>
      <c r="F521" s="4" t="str">
        <f aca="false">IF(I521&gt;J521,"Y","N")</f>
        <v>N</v>
      </c>
      <c r="G521" s="3" t="s">
        <v>72</v>
      </c>
      <c r="H521" s="3" t="s">
        <v>39</v>
      </c>
      <c r="I521" s="4" t="n">
        <v>4</v>
      </c>
      <c r="J521" s="4" t="n">
        <f aca="false">LEN(E521)-LEN(SUBSTITUTE(E521,",",""))+1</f>
        <v>4</v>
      </c>
      <c r="K521" s="3" t="str">
        <f aca="false">IFERROR(INDEX('Teacher Lookup'!$B$2:$B$200,MATCH(A521,'Teacher Lookup'!$A$2:$A$200,0)),"")</f>
        <v>IP Anna</v>
      </c>
    </row>
    <row r="522" customFormat="false" ht="15" hidden="false" customHeight="false" outlineLevel="0" collapsed="false">
      <c r="A522" s="3" t="s">
        <v>136</v>
      </c>
      <c r="B522" s="4" t="s">
        <v>60</v>
      </c>
      <c r="C522" s="4" t="n">
        <v>7</v>
      </c>
      <c r="D522" s="4" t="s">
        <v>30</v>
      </c>
      <c r="E522" s="3" t="s">
        <v>153</v>
      </c>
      <c r="F522" s="4" t="str">
        <f aca="false">IF(I522&gt;J522,"Y","N")</f>
        <v>N</v>
      </c>
      <c r="G522" s="3" t="s">
        <v>72</v>
      </c>
      <c r="H522" s="3" t="s">
        <v>39</v>
      </c>
      <c r="I522" s="4" t="n">
        <v>4</v>
      </c>
      <c r="J522" s="4" t="n">
        <f aca="false">LEN(E522)-LEN(SUBSTITUTE(E522,",",""))+1</f>
        <v>4</v>
      </c>
      <c r="K522" s="3" t="str">
        <f aca="false">IFERROR(INDEX('Teacher Lookup'!$B$2:$B$200,MATCH(A522,'Teacher Lookup'!$A$2:$A$200,0)),"")</f>
        <v>IP Anna</v>
      </c>
    </row>
    <row r="523" customFormat="false" ht="15" hidden="false" customHeight="false" outlineLevel="0" collapsed="false">
      <c r="A523" s="3" t="s">
        <v>136</v>
      </c>
      <c r="B523" s="4" t="s">
        <v>63</v>
      </c>
      <c r="C523" s="4" t="n">
        <v>1</v>
      </c>
      <c r="D523" s="4" t="s">
        <v>140</v>
      </c>
      <c r="E523" s="3" t="s">
        <v>157</v>
      </c>
      <c r="F523" s="4" t="str">
        <f aca="false">IF(I523&gt;J523,"Y","N")</f>
        <v>N</v>
      </c>
      <c r="G523" s="3" t="s">
        <v>72</v>
      </c>
      <c r="H523" s="3" t="s">
        <v>16</v>
      </c>
      <c r="I523" s="4" t="n">
        <v>4</v>
      </c>
      <c r="J523" s="4" t="n">
        <f aca="false">LEN(E523)-LEN(SUBSTITUTE(E523,",",""))+1</f>
        <v>4</v>
      </c>
      <c r="K523" s="3" t="str">
        <f aca="false">IFERROR(INDEX('Teacher Lookup'!$B$2:$B$200,MATCH(A523,'Teacher Lookup'!$A$2:$A$200,0)),"")</f>
        <v>IP Anna</v>
      </c>
    </row>
    <row r="524" customFormat="false" ht="15" hidden="false" customHeight="false" outlineLevel="0" collapsed="false">
      <c r="A524" s="3" t="s">
        <v>136</v>
      </c>
      <c r="B524" s="4" t="s">
        <v>63</v>
      </c>
      <c r="C524" s="4" t="n">
        <v>1</v>
      </c>
      <c r="D524" s="4" t="s">
        <v>142</v>
      </c>
      <c r="E524" s="3" t="s">
        <v>157</v>
      </c>
      <c r="F524" s="4" t="str">
        <f aca="false">IF(I524&gt;J524,"Y","N")</f>
        <v>N</v>
      </c>
      <c r="G524" s="3" t="s">
        <v>72</v>
      </c>
      <c r="H524" s="3" t="s">
        <v>16</v>
      </c>
      <c r="I524" s="4" t="n">
        <v>4</v>
      </c>
      <c r="J524" s="4" t="n">
        <f aca="false">LEN(E524)-LEN(SUBSTITUTE(E524,",",""))+1</f>
        <v>4</v>
      </c>
      <c r="K524" s="3" t="str">
        <f aca="false">IFERROR(INDEX('Teacher Lookup'!$B$2:$B$200,MATCH(A524,'Teacher Lookup'!$A$2:$A$200,0)),"")</f>
        <v>IP Anna</v>
      </c>
    </row>
    <row r="525" customFormat="false" ht="15" hidden="false" customHeight="false" outlineLevel="0" collapsed="false">
      <c r="A525" s="3" t="s">
        <v>136</v>
      </c>
      <c r="B525" s="4" t="s">
        <v>63</v>
      </c>
      <c r="C525" s="4" t="n">
        <v>1</v>
      </c>
      <c r="D525" s="4" t="s">
        <v>127</v>
      </c>
      <c r="E525" s="3" t="s">
        <v>157</v>
      </c>
      <c r="F525" s="4" t="str">
        <f aca="false">IF(I525&gt;J525,"Y","N")</f>
        <v>N</v>
      </c>
      <c r="G525" s="3" t="s">
        <v>72</v>
      </c>
      <c r="H525" s="3" t="s">
        <v>16</v>
      </c>
      <c r="I525" s="4" t="n">
        <v>4</v>
      </c>
      <c r="J525" s="4" t="n">
        <f aca="false">LEN(E525)-LEN(SUBSTITUTE(E525,",",""))+1</f>
        <v>4</v>
      </c>
      <c r="K525" s="3" t="str">
        <f aca="false">IFERROR(INDEX('Teacher Lookup'!$B$2:$B$200,MATCH(A525,'Teacher Lookup'!$A$2:$A$200,0)),"")</f>
        <v>IP Anna</v>
      </c>
    </row>
    <row r="526" customFormat="false" ht="15" hidden="false" customHeight="false" outlineLevel="0" collapsed="false">
      <c r="A526" s="3" t="s">
        <v>136</v>
      </c>
      <c r="B526" s="4" t="s">
        <v>63</v>
      </c>
      <c r="C526" s="4" t="n">
        <v>2</v>
      </c>
      <c r="D526" s="4" t="s">
        <v>140</v>
      </c>
      <c r="E526" s="3" t="s">
        <v>157</v>
      </c>
      <c r="F526" s="4" t="str">
        <f aca="false">IF(I526&gt;J526,"Y","N")</f>
        <v>N</v>
      </c>
      <c r="G526" s="3" t="s">
        <v>72</v>
      </c>
      <c r="H526" s="3" t="s">
        <v>21</v>
      </c>
      <c r="I526" s="4" t="n">
        <v>4</v>
      </c>
      <c r="J526" s="4" t="n">
        <f aca="false">LEN(E526)-LEN(SUBSTITUTE(E526,",",""))+1</f>
        <v>4</v>
      </c>
      <c r="K526" s="3" t="str">
        <f aca="false">IFERROR(INDEX('Teacher Lookup'!$B$2:$B$200,MATCH(A526,'Teacher Lookup'!$A$2:$A$200,0)),"")</f>
        <v>IP Anna</v>
      </c>
    </row>
    <row r="527" customFormat="false" ht="15" hidden="false" customHeight="false" outlineLevel="0" collapsed="false">
      <c r="A527" s="3" t="s">
        <v>136</v>
      </c>
      <c r="B527" s="4" t="s">
        <v>63</v>
      </c>
      <c r="C527" s="4" t="n">
        <v>2</v>
      </c>
      <c r="D527" s="4" t="s">
        <v>142</v>
      </c>
      <c r="E527" s="3" t="s">
        <v>157</v>
      </c>
      <c r="F527" s="4" t="str">
        <f aca="false">IF(I527&gt;J527,"Y","N")</f>
        <v>N</v>
      </c>
      <c r="G527" s="3" t="s">
        <v>72</v>
      </c>
      <c r="H527" s="3" t="s">
        <v>21</v>
      </c>
      <c r="I527" s="4" t="n">
        <v>4</v>
      </c>
      <c r="J527" s="4" t="n">
        <f aca="false">LEN(E527)-LEN(SUBSTITUTE(E527,",",""))+1</f>
        <v>4</v>
      </c>
      <c r="K527" s="3" t="str">
        <f aca="false">IFERROR(INDEX('Teacher Lookup'!$B$2:$B$200,MATCH(A527,'Teacher Lookup'!$A$2:$A$200,0)),"")</f>
        <v>IP Anna</v>
      </c>
    </row>
    <row r="528" customFormat="false" ht="15" hidden="false" customHeight="false" outlineLevel="0" collapsed="false">
      <c r="A528" s="3" t="s">
        <v>136</v>
      </c>
      <c r="B528" s="4" t="s">
        <v>63</v>
      </c>
      <c r="C528" s="4" t="n">
        <v>2</v>
      </c>
      <c r="D528" s="4" t="s">
        <v>127</v>
      </c>
      <c r="E528" s="3" t="s">
        <v>157</v>
      </c>
      <c r="F528" s="4" t="str">
        <f aca="false">IF(I528&gt;J528,"Y","N")</f>
        <v>N</v>
      </c>
      <c r="G528" s="3" t="s">
        <v>72</v>
      </c>
      <c r="H528" s="3" t="s">
        <v>21</v>
      </c>
      <c r="I528" s="4" t="n">
        <v>4</v>
      </c>
      <c r="J528" s="4" t="n">
        <f aca="false">LEN(E528)-LEN(SUBSTITUTE(E528,",",""))+1</f>
        <v>4</v>
      </c>
      <c r="K528" s="3" t="str">
        <f aca="false">IFERROR(INDEX('Teacher Lookup'!$B$2:$B$200,MATCH(A528,'Teacher Lookup'!$A$2:$A$200,0)),"")</f>
        <v>IP Anna</v>
      </c>
    </row>
    <row r="529" customFormat="false" ht="15" hidden="false" customHeight="false" outlineLevel="0" collapsed="false">
      <c r="A529" s="3" t="s">
        <v>136</v>
      </c>
      <c r="B529" s="4" t="s">
        <v>63</v>
      </c>
      <c r="C529" s="4" t="n">
        <v>3</v>
      </c>
      <c r="D529" s="4" t="s">
        <v>137</v>
      </c>
      <c r="E529" s="3" t="s">
        <v>146</v>
      </c>
      <c r="F529" s="4" t="str">
        <f aca="false">IF(I529&gt;J529,"Y","N")</f>
        <v>N</v>
      </c>
      <c r="G529" s="3" t="s">
        <v>72</v>
      </c>
      <c r="H529" s="3" t="s">
        <v>26</v>
      </c>
      <c r="I529" s="4" t="n">
        <v>4</v>
      </c>
      <c r="J529" s="4" t="n">
        <f aca="false">LEN(E529)-LEN(SUBSTITUTE(E529,",",""))+1</f>
        <v>4</v>
      </c>
      <c r="K529" s="3" t="str">
        <f aca="false">IFERROR(INDEX('Teacher Lookup'!$B$2:$B$200,MATCH(A529,'Teacher Lookup'!$A$2:$A$200,0)),"")</f>
        <v>IP Anna</v>
      </c>
    </row>
    <row r="530" customFormat="false" ht="15" hidden="false" customHeight="false" outlineLevel="0" collapsed="false">
      <c r="A530" s="3" t="s">
        <v>136</v>
      </c>
      <c r="B530" s="4" t="s">
        <v>63</v>
      </c>
      <c r="C530" s="4" t="n">
        <v>3</v>
      </c>
      <c r="D530" s="4" t="s">
        <v>124</v>
      </c>
      <c r="E530" s="3" t="s">
        <v>146</v>
      </c>
      <c r="F530" s="4" t="str">
        <f aca="false">IF(I530&gt;J530,"Y","N")</f>
        <v>N</v>
      </c>
      <c r="G530" s="3" t="s">
        <v>72</v>
      </c>
      <c r="H530" s="3" t="s">
        <v>26</v>
      </c>
      <c r="I530" s="4" t="n">
        <v>4</v>
      </c>
      <c r="J530" s="4" t="n">
        <f aca="false">LEN(E530)-LEN(SUBSTITUTE(E530,",",""))+1</f>
        <v>4</v>
      </c>
      <c r="K530" s="3" t="str">
        <f aca="false">IFERROR(INDEX('Teacher Lookup'!$B$2:$B$200,MATCH(A530,'Teacher Lookup'!$A$2:$A$200,0)),"")</f>
        <v>IP Anna</v>
      </c>
    </row>
    <row r="531" customFormat="false" ht="15" hidden="false" customHeight="false" outlineLevel="0" collapsed="false">
      <c r="A531" s="3" t="s">
        <v>136</v>
      </c>
      <c r="B531" s="4" t="s">
        <v>63</v>
      </c>
      <c r="C531" s="4" t="n">
        <v>3</v>
      </c>
      <c r="D531" s="4" t="s">
        <v>139</v>
      </c>
      <c r="E531" s="3" t="s">
        <v>146</v>
      </c>
      <c r="F531" s="4" t="str">
        <f aca="false">IF(I531&gt;J531,"Y","N")</f>
        <v>N</v>
      </c>
      <c r="G531" s="3" t="s">
        <v>72</v>
      </c>
      <c r="H531" s="3" t="s">
        <v>26</v>
      </c>
      <c r="I531" s="4" t="n">
        <v>4</v>
      </c>
      <c r="J531" s="4" t="n">
        <f aca="false">LEN(E531)-LEN(SUBSTITUTE(E531,",",""))+1</f>
        <v>4</v>
      </c>
      <c r="K531" s="3" t="str">
        <f aca="false">IFERROR(INDEX('Teacher Lookup'!$B$2:$B$200,MATCH(A531,'Teacher Lookup'!$A$2:$A$200,0)),"")</f>
        <v>IP Anna</v>
      </c>
    </row>
    <row r="532" customFormat="false" ht="15" hidden="false" customHeight="false" outlineLevel="0" collapsed="false">
      <c r="A532" s="3" t="s">
        <v>136</v>
      </c>
      <c r="B532" s="4" t="s">
        <v>63</v>
      </c>
      <c r="C532" s="4" t="n">
        <v>6</v>
      </c>
      <c r="D532" s="4" t="s">
        <v>28</v>
      </c>
      <c r="E532" s="3" t="s">
        <v>158</v>
      </c>
      <c r="F532" s="4" t="str">
        <f aca="false">IF(I532&gt;J532,"Y","N")</f>
        <v>N</v>
      </c>
      <c r="G532" s="3" t="s">
        <v>72</v>
      </c>
      <c r="H532" s="3" t="s">
        <v>42</v>
      </c>
      <c r="I532" s="4" t="n">
        <v>4</v>
      </c>
      <c r="J532" s="4" t="n">
        <f aca="false">LEN(E532)-LEN(SUBSTITUTE(E532,",",""))+1</f>
        <v>4</v>
      </c>
      <c r="K532" s="3" t="str">
        <f aca="false">IFERROR(INDEX('Teacher Lookup'!$B$2:$B$200,MATCH(A532,'Teacher Lookup'!$A$2:$A$200,0)),"")</f>
        <v>IP Anna</v>
      </c>
    </row>
    <row r="533" customFormat="false" ht="15" hidden="false" customHeight="false" outlineLevel="0" collapsed="false">
      <c r="A533" s="3" t="s">
        <v>136</v>
      </c>
      <c r="B533" s="4" t="s">
        <v>63</v>
      </c>
      <c r="C533" s="4" t="n">
        <v>6</v>
      </c>
      <c r="D533" s="4" t="s">
        <v>29</v>
      </c>
      <c r="E533" s="3" t="s">
        <v>158</v>
      </c>
      <c r="F533" s="4" t="str">
        <f aca="false">IF(I533&gt;J533,"Y","N")</f>
        <v>N</v>
      </c>
      <c r="G533" s="3" t="s">
        <v>72</v>
      </c>
      <c r="H533" s="3" t="s">
        <v>42</v>
      </c>
      <c r="I533" s="4" t="n">
        <v>4</v>
      </c>
      <c r="J533" s="4" t="n">
        <f aca="false">LEN(E533)-LEN(SUBSTITUTE(E533,",",""))+1</f>
        <v>4</v>
      </c>
      <c r="K533" s="3" t="str">
        <f aca="false">IFERROR(INDEX('Teacher Lookup'!$B$2:$B$200,MATCH(A533,'Teacher Lookup'!$A$2:$A$200,0)),"")</f>
        <v>IP Anna</v>
      </c>
    </row>
    <row r="534" customFormat="false" ht="15" hidden="false" customHeight="false" outlineLevel="0" collapsed="false">
      <c r="A534" s="3" t="s">
        <v>136</v>
      </c>
      <c r="B534" s="4" t="s">
        <v>63</v>
      </c>
      <c r="C534" s="4" t="n">
        <v>6</v>
      </c>
      <c r="D534" s="4" t="s">
        <v>30</v>
      </c>
      <c r="E534" s="3" t="s">
        <v>158</v>
      </c>
      <c r="F534" s="4" t="str">
        <f aca="false">IF(I534&gt;J534,"Y","N")</f>
        <v>N</v>
      </c>
      <c r="G534" s="3" t="s">
        <v>72</v>
      </c>
      <c r="H534" s="3" t="s">
        <v>42</v>
      </c>
      <c r="I534" s="4" t="n">
        <v>4</v>
      </c>
      <c r="J534" s="4" t="n">
        <f aca="false">LEN(E534)-LEN(SUBSTITUTE(E534,",",""))+1</f>
        <v>4</v>
      </c>
      <c r="K534" s="3" t="str">
        <f aca="false">IFERROR(INDEX('Teacher Lookup'!$B$2:$B$200,MATCH(A534,'Teacher Lookup'!$A$2:$A$200,0)),"")</f>
        <v>IP Anna</v>
      </c>
    </row>
    <row r="535" customFormat="false" ht="15" hidden="false" customHeight="false" outlineLevel="0" collapsed="false">
      <c r="A535" s="3" t="s">
        <v>136</v>
      </c>
      <c r="B535" s="4" t="s">
        <v>65</v>
      </c>
      <c r="C535" s="4" t="n">
        <v>1</v>
      </c>
      <c r="D535" s="4" t="s">
        <v>137</v>
      </c>
      <c r="E535" s="3" t="s">
        <v>146</v>
      </c>
      <c r="F535" s="4" t="str">
        <f aca="false">IF(I535&gt;J535,"Y","N")</f>
        <v>N</v>
      </c>
      <c r="G535" s="3" t="s">
        <v>72</v>
      </c>
      <c r="H535" s="3" t="s">
        <v>16</v>
      </c>
      <c r="I535" s="4" t="n">
        <v>4</v>
      </c>
      <c r="J535" s="4" t="n">
        <f aca="false">LEN(E535)-LEN(SUBSTITUTE(E535,",",""))+1</f>
        <v>4</v>
      </c>
      <c r="K535" s="3" t="str">
        <f aca="false">IFERROR(INDEX('Teacher Lookup'!$B$2:$B$200,MATCH(A535,'Teacher Lookup'!$A$2:$A$200,0)),"")</f>
        <v>IP Anna</v>
      </c>
    </row>
    <row r="536" customFormat="false" ht="15" hidden="false" customHeight="false" outlineLevel="0" collapsed="false">
      <c r="A536" s="3" t="s">
        <v>136</v>
      </c>
      <c r="B536" s="4" t="s">
        <v>65</v>
      </c>
      <c r="C536" s="4" t="n">
        <v>1</v>
      </c>
      <c r="D536" s="4" t="s">
        <v>124</v>
      </c>
      <c r="E536" s="3" t="s">
        <v>146</v>
      </c>
      <c r="F536" s="4" t="str">
        <f aca="false">IF(I536&gt;J536,"Y","N")</f>
        <v>N</v>
      </c>
      <c r="G536" s="3" t="s">
        <v>72</v>
      </c>
      <c r="H536" s="3" t="s">
        <v>16</v>
      </c>
      <c r="I536" s="4" t="n">
        <v>4</v>
      </c>
      <c r="J536" s="4" t="n">
        <f aca="false">LEN(E536)-LEN(SUBSTITUTE(E536,",",""))+1</f>
        <v>4</v>
      </c>
      <c r="K536" s="3" t="str">
        <f aca="false">IFERROR(INDEX('Teacher Lookup'!$B$2:$B$200,MATCH(A536,'Teacher Lookup'!$A$2:$A$200,0)),"")</f>
        <v>IP Anna</v>
      </c>
    </row>
    <row r="537" customFormat="false" ht="15" hidden="false" customHeight="false" outlineLevel="0" collapsed="false">
      <c r="A537" s="3" t="s">
        <v>136</v>
      </c>
      <c r="B537" s="4" t="s">
        <v>65</v>
      </c>
      <c r="C537" s="4" t="n">
        <v>1</v>
      </c>
      <c r="D537" s="4" t="s">
        <v>139</v>
      </c>
      <c r="E537" s="3" t="s">
        <v>146</v>
      </c>
      <c r="F537" s="4" t="str">
        <f aca="false">IF(I537&gt;J537,"Y","N")</f>
        <v>N</v>
      </c>
      <c r="G537" s="3" t="s">
        <v>72</v>
      </c>
      <c r="H537" s="3" t="s">
        <v>16</v>
      </c>
      <c r="I537" s="4" t="n">
        <v>4</v>
      </c>
      <c r="J537" s="4" t="n">
        <f aca="false">LEN(E537)-LEN(SUBSTITUTE(E537,",",""))+1</f>
        <v>4</v>
      </c>
      <c r="K537" s="3" t="str">
        <f aca="false">IFERROR(INDEX('Teacher Lookup'!$B$2:$B$200,MATCH(A537,'Teacher Lookup'!$A$2:$A$200,0)),"")</f>
        <v>IP Anna</v>
      </c>
    </row>
    <row r="538" customFormat="false" ht="15" hidden="false" customHeight="false" outlineLevel="0" collapsed="false">
      <c r="A538" s="3" t="s">
        <v>136</v>
      </c>
      <c r="B538" s="4" t="s">
        <v>65</v>
      </c>
      <c r="C538" s="4" t="n">
        <v>4</v>
      </c>
      <c r="D538" s="4" t="s">
        <v>140</v>
      </c>
      <c r="E538" s="3" t="s">
        <v>152</v>
      </c>
      <c r="F538" s="4" t="str">
        <f aca="false">IF(I538&gt;J538,"Y","N")</f>
        <v>N</v>
      </c>
      <c r="G538" s="3" t="s">
        <v>72</v>
      </c>
      <c r="H538" s="3" t="s">
        <v>34</v>
      </c>
      <c r="I538" s="4" t="n">
        <v>4</v>
      </c>
      <c r="J538" s="4" t="n">
        <f aca="false">LEN(E538)-LEN(SUBSTITUTE(E538,",",""))+1</f>
        <v>4</v>
      </c>
      <c r="K538" s="3" t="str">
        <f aca="false">IFERROR(INDEX('Teacher Lookup'!$B$2:$B$200,MATCH(A538,'Teacher Lookup'!$A$2:$A$200,0)),"")</f>
        <v>IP Anna</v>
      </c>
    </row>
    <row r="539" customFormat="false" ht="15" hidden="false" customHeight="false" outlineLevel="0" collapsed="false">
      <c r="A539" s="3" t="s">
        <v>136</v>
      </c>
      <c r="B539" s="4" t="s">
        <v>65</v>
      </c>
      <c r="C539" s="4" t="n">
        <v>4</v>
      </c>
      <c r="D539" s="4" t="s">
        <v>142</v>
      </c>
      <c r="E539" s="3" t="s">
        <v>152</v>
      </c>
      <c r="F539" s="4" t="str">
        <f aca="false">IF(I539&gt;J539,"Y","N")</f>
        <v>N</v>
      </c>
      <c r="G539" s="3" t="s">
        <v>72</v>
      </c>
      <c r="H539" s="3" t="s">
        <v>34</v>
      </c>
      <c r="I539" s="4" t="n">
        <v>4</v>
      </c>
      <c r="J539" s="4" t="n">
        <f aca="false">LEN(E539)-LEN(SUBSTITUTE(E539,",",""))+1</f>
        <v>4</v>
      </c>
      <c r="K539" s="3" t="str">
        <f aca="false">IFERROR(INDEX('Teacher Lookup'!$B$2:$B$200,MATCH(A539,'Teacher Lookup'!$A$2:$A$200,0)),"")</f>
        <v>IP Anna</v>
      </c>
    </row>
    <row r="540" customFormat="false" ht="15" hidden="false" customHeight="false" outlineLevel="0" collapsed="false">
      <c r="A540" s="3" t="s">
        <v>136</v>
      </c>
      <c r="B540" s="4" t="s">
        <v>65</v>
      </c>
      <c r="C540" s="4" t="n">
        <v>4</v>
      </c>
      <c r="D540" s="4" t="s">
        <v>127</v>
      </c>
      <c r="E540" s="3" t="s">
        <v>152</v>
      </c>
      <c r="F540" s="4" t="str">
        <f aca="false">IF(I540&gt;J540,"Y","N")</f>
        <v>N</v>
      </c>
      <c r="G540" s="3" t="s">
        <v>72</v>
      </c>
      <c r="H540" s="3" t="s">
        <v>34</v>
      </c>
      <c r="I540" s="4" t="n">
        <v>4</v>
      </c>
      <c r="J540" s="4" t="n">
        <f aca="false">LEN(E540)-LEN(SUBSTITUTE(E540,",",""))+1</f>
        <v>4</v>
      </c>
      <c r="K540" s="3" t="str">
        <f aca="false">IFERROR(INDEX('Teacher Lookup'!$B$2:$B$200,MATCH(A540,'Teacher Lookup'!$A$2:$A$200,0)),"")</f>
        <v>IP Anna</v>
      </c>
    </row>
    <row r="541" customFormat="false" ht="15" hidden="false" customHeight="false" outlineLevel="0" collapsed="false">
      <c r="A541" s="3" t="s">
        <v>136</v>
      </c>
      <c r="B541" s="4" t="s">
        <v>65</v>
      </c>
      <c r="C541" s="4" t="n">
        <v>5</v>
      </c>
      <c r="D541" s="4" t="s">
        <v>24</v>
      </c>
      <c r="E541" s="3" t="s">
        <v>131</v>
      </c>
      <c r="F541" s="4" t="str">
        <f aca="false">IF(I541&gt;J541,"Y","N")</f>
        <v>Y</v>
      </c>
      <c r="G541" s="3" t="s">
        <v>36</v>
      </c>
      <c r="H541" s="3" t="s">
        <v>37</v>
      </c>
      <c r="I541" s="4" t="n">
        <v>15</v>
      </c>
      <c r="J541" s="4" t="n">
        <f aca="false">LEN(E541)-LEN(SUBSTITUTE(E541,",",""))+1</f>
        <v>7</v>
      </c>
      <c r="K541" s="3" t="str">
        <f aca="false">IFERROR(INDEX('Teacher Lookup'!$B$2:$B$200,MATCH(A541,'Teacher Lookup'!$A$2:$A$200,0)),"")</f>
        <v>IP Anna</v>
      </c>
    </row>
    <row r="542" customFormat="false" ht="15" hidden="false" customHeight="false" outlineLevel="0" collapsed="false">
      <c r="A542" s="3" t="s">
        <v>136</v>
      </c>
      <c r="B542" s="4" t="s">
        <v>65</v>
      </c>
      <c r="C542" s="4" t="n">
        <v>5</v>
      </c>
      <c r="D542" s="4" t="s">
        <v>132</v>
      </c>
      <c r="E542" s="3" t="s">
        <v>131</v>
      </c>
      <c r="F542" s="4" t="str">
        <f aca="false">IF(I542&gt;J542,"Y","N")</f>
        <v>Y</v>
      </c>
      <c r="G542" s="3" t="s">
        <v>36</v>
      </c>
      <c r="H542" s="3" t="s">
        <v>37</v>
      </c>
      <c r="I542" s="4" t="n">
        <v>15</v>
      </c>
      <c r="J542" s="4" t="n">
        <f aca="false">LEN(E542)-LEN(SUBSTITUTE(E542,",",""))+1</f>
        <v>7</v>
      </c>
      <c r="K542" s="3" t="str">
        <f aca="false">IFERROR(INDEX('Teacher Lookup'!$B$2:$B$200,MATCH(A542,'Teacher Lookup'!$A$2:$A$200,0)),"")</f>
        <v>IP Anna</v>
      </c>
    </row>
    <row r="543" customFormat="false" ht="15" hidden="false" customHeight="false" outlineLevel="0" collapsed="false">
      <c r="A543" s="3" t="s">
        <v>136</v>
      </c>
      <c r="B543" s="4" t="s">
        <v>65</v>
      </c>
      <c r="C543" s="4" t="n">
        <v>5</v>
      </c>
      <c r="D543" s="4" t="s">
        <v>27</v>
      </c>
      <c r="E543" s="3" t="s">
        <v>131</v>
      </c>
      <c r="F543" s="4" t="str">
        <f aca="false">IF(I543&gt;J543,"Y","N")</f>
        <v>Y</v>
      </c>
      <c r="G543" s="3" t="s">
        <v>36</v>
      </c>
      <c r="H543" s="3" t="s">
        <v>37</v>
      </c>
      <c r="I543" s="4" t="n">
        <v>15</v>
      </c>
      <c r="J543" s="4" t="n">
        <f aca="false">LEN(E543)-LEN(SUBSTITUTE(E543,",",""))+1</f>
        <v>7</v>
      </c>
      <c r="K543" s="3" t="str">
        <f aca="false">IFERROR(INDEX('Teacher Lookup'!$B$2:$B$200,MATCH(A543,'Teacher Lookup'!$A$2:$A$200,0)),"")</f>
        <v>IP Anna</v>
      </c>
    </row>
    <row r="544" customFormat="false" ht="15" hidden="false" customHeight="false" outlineLevel="0" collapsed="false">
      <c r="A544" s="3" t="s">
        <v>136</v>
      </c>
      <c r="B544" s="4" t="s">
        <v>65</v>
      </c>
      <c r="C544" s="4" t="n">
        <v>5</v>
      </c>
      <c r="D544" s="4" t="s">
        <v>28</v>
      </c>
      <c r="E544" s="3" t="s">
        <v>131</v>
      </c>
      <c r="F544" s="4" t="str">
        <f aca="false">IF(I544&gt;J544,"Y","N")</f>
        <v>Y</v>
      </c>
      <c r="G544" s="3" t="s">
        <v>36</v>
      </c>
      <c r="H544" s="3" t="s">
        <v>37</v>
      </c>
      <c r="I544" s="4" t="n">
        <v>15</v>
      </c>
      <c r="J544" s="4" t="n">
        <f aca="false">LEN(E544)-LEN(SUBSTITUTE(E544,",",""))+1</f>
        <v>7</v>
      </c>
      <c r="K544" s="3" t="str">
        <f aca="false">IFERROR(INDEX('Teacher Lookup'!$B$2:$B$200,MATCH(A544,'Teacher Lookup'!$A$2:$A$200,0)),"")</f>
        <v>IP Anna</v>
      </c>
    </row>
    <row r="545" customFormat="false" ht="15" hidden="false" customHeight="false" outlineLevel="0" collapsed="false">
      <c r="A545" s="3" t="s">
        <v>136</v>
      </c>
      <c r="B545" s="4" t="s">
        <v>65</v>
      </c>
      <c r="C545" s="4" t="n">
        <v>5</v>
      </c>
      <c r="D545" s="4" t="s">
        <v>29</v>
      </c>
      <c r="E545" s="3" t="s">
        <v>131</v>
      </c>
      <c r="F545" s="4" t="str">
        <f aca="false">IF(I545&gt;J545,"Y","N")</f>
        <v>Y</v>
      </c>
      <c r="G545" s="3" t="s">
        <v>36</v>
      </c>
      <c r="H545" s="3" t="s">
        <v>37</v>
      </c>
      <c r="I545" s="4" t="n">
        <v>15</v>
      </c>
      <c r="J545" s="4" t="n">
        <f aca="false">LEN(E545)-LEN(SUBSTITUTE(E545,",",""))+1</f>
        <v>7</v>
      </c>
      <c r="K545" s="3" t="str">
        <f aca="false">IFERROR(INDEX('Teacher Lookup'!$B$2:$B$200,MATCH(A545,'Teacher Lookup'!$A$2:$A$200,0)),"")</f>
        <v>IP Anna</v>
      </c>
    </row>
    <row r="546" customFormat="false" ht="15" hidden="false" customHeight="false" outlineLevel="0" collapsed="false">
      <c r="A546" s="3" t="s">
        <v>136</v>
      </c>
      <c r="B546" s="4" t="s">
        <v>65</v>
      </c>
      <c r="C546" s="4" t="n">
        <v>5</v>
      </c>
      <c r="D546" s="4" t="s">
        <v>30</v>
      </c>
      <c r="E546" s="3" t="s">
        <v>131</v>
      </c>
      <c r="F546" s="4" t="str">
        <f aca="false">IF(I546&gt;J546,"Y","N")</f>
        <v>Y</v>
      </c>
      <c r="G546" s="3" t="s">
        <v>36</v>
      </c>
      <c r="H546" s="3" t="s">
        <v>37</v>
      </c>
      <c r="I546" s="4" t="n">
        <v>15</v>
      </c>
      <c r="J546" s="4" t="n">
        <f aca="false">LEN(E546)-LEN(SUBSTITUTE(E546,",",""))+1</f>
        <v>7</v>
      </c>
      <c r="K546" s="3" t="str">
        <f aca="false">IFERROR(INDEX('Teacher Lookup'!$B$2:$B$200,MATCH(A546,'Teacher Lookup'!$A$2:$A$200,0)),"")</f>
        <v>IP Anna</v>
      </c>
    </row>
    <row r="547" customFormat="false" ht="15" hidden="false" customHeight="false" outlineLevel="0" collapsed="false">
      <c r="A547" s="3" t="s">
        <v>136</v>
      </c>
      <c r="B547" s="4" t="s">
        <v>65</v>
      </c>
      <c r="C547" s="4" t="n">
        <v>7</v>
      </c>
      <c r="D547" s="4" t="s">
        <v>28</v>
      </c>
      <c r="E547" s="3" t="s">
        <v>159</v>
      </c>
      <c r="F547" s="4" t="str">
        <f aca="false">IF(I547&gt;J547,"Y","N")</f>
        <v>N</v>
      </c>
      <c r="G547" s="3" t="s">
        <v>72</v>
      </c>
      <c r="H547" s="3" t="s">
        <v>39</v>
      </c>
      <c r="I547" s="4" t="n">
        <v>4</v>
      </c>
      <c r="J547" s="4" t="n">
        <f aca="false">LEN(E547)-LEN(SUBSTITUTE(E547,",",""))+1</f>
        <v>4</v>
      </c>
      <c r="K547" s="3" t="str">
        <f aca="false">IFERROR(INDEX('Teacher Lookup'!$B$2:$B$200,MATCH(A547,'Teacher Lookup'!$A$2:$A$200,0)),"")</f>
        <v>IP Anna</v>
      </c>
    </row>
    <row r="548" customFormat="false" ht="15" hidden="false" customHeight="false" outlineLevel="0" collapsed="false">
      <c r="A548" s="3" t="s">
        <v>136</v>
      </c>
      <c r="B548" s="4" t="s">
        <v>65</v>
      </c>
      <c r="C548" s="4" t="n">
        <v>7</v>
      </c>
      <c r="D548" s="4" t="s">
        <v>29</v>
      </c>
      <c r="E548" s="3" t="s">
        <v>159</v>
      </c>
      <c r="F548" s="4" t="str">
        <f aca="false">IF(I548&gt;J548,"Y","N")</f>
        <v>N</v>
      </c>
      <c r="G548" s="3" t="s">
        <v>72</v>
      </c>
      <c r="H548" s="3" t="s">
        <v>39</v>
      </c>
      <c r="I548" s="4" t="n">
        <v>4</v>
      </c>
      <c r="J548" s="4" t="n">
        <f aca="false">LEN(E548)-LEN(SUBSTITUTE(E548,",",""))+1</f>
        <v>4</v>
      </c>
      <c r="K548" s="3" t="str">
        <f aca="false">IFERROR(INDEX('Teacher Lookup'!$B$2:$B$200,MATCH(A548,'Teacher Lookup'!$A$2:$A$200,0)),"")</f>
        <v>IP Anna</v>
      </c>
    </row>
    <row r="549" customFormat="false" ht="15" hidden="false" customHeight="false" outlineLevel="0" collapsed="false">
      <c r="A549" s="3" t="s">
        <v>136</v>
      </c>
      <c r="B549" s="4" t="s">
        <v>65</v>
      </c>
      <c r="C549" s="4" t="n">
        <v>7</v>
      </c>
      <c r="D549" s="4" t="s">
        <v>30</v>
      </c>
      <c r="E549" s="3" t="s">
        <v>159</v>
      </c>
      <c r="F549" s="4" t="str">
        <f aca="false">IF(I549&gt;J549,"Y","N")</f>
        <v>N</v>
      </c>
      <c r="G549" s="3" t="s">
        <v>72</v>
      </c>
      <c r="H549" s="3" t="s">
        <v>39</v>
      </c>
      <c r="I549" s="4" t="n">
        <v>4</v>
      </c>
      <c r="J549" s="4" t="n">
        <f aca="false">LEN(E549)-LEN(SUBSTITUTE(E549,",",""))+1</f>
        <v>4</v>
      </c>
      <c r="K549" s="3" t="str">
        <f aca="false">IFERROR(INDEX('Teacher Lookup'!$B$2:$B$200,MATCH(A549,'Teacher Lookup'!$A$2:$A$200,0)),"")</f>
        <v>IP Anna</v>
      </c>
    </row>
    <row r="550" customFormat="false" ht="15" hidden="false" customHeight="false" outlineLevel="0" collapsed="false">
      <c r="A550" s="3" t="s">
        <v>136</v>
      </c>
      <c r="B550" s="4" t="s">
        <v>66</v>
      </c>
      <c r="C550" s="4" t="n">
        <v>1</v>
      </c>
      <c r="D550" s="4" t="s">
        <v>140</v>
      </c>
      <c r="E550" s="3" t="s">
        <v>160</v>
      </c>
      <c r="F550" s="4" t="str">
        <f aca="false">IF(I550&gt;J550,"Y","N")</f>
        <v>N</v>
      </c>
      <c r="G550" s="3" t="s">
        <v>72</v>
      </c>
      <c r="H550" s="3" t="s">
        <v>16</v>
      </c>
      <c r="I550" s="4" t="n">
        <v>4</v>
      </c>
      <c r="J550" s="4" t="n">
        <f aca="false">LEN(E550)-LEN(SUBSTITUTE(E550,",",""))+1</f>
        <v>4</v>
      </c>
      <c r="K550" s="3" t="str">
        <f aca="false">IFERROR(INDEX('Teacher Lookup'!$B$2:$B$200,MATCH(A550,'Teacher Lookup'!$A$2:$A$200,0)),"")</f>
        <v>IP Anna</v>
      </c>
    </row>
    <row r="551" customFormat="false" ht="15" hidden="false" customHeight="false" outlineLevel="0" collapsed="false">
      <c r="A551" s="3" t="s">
        <v>136</v>
      </c>
      <c r="B551" s="4" t="s">
        <v>66</v>
      </c>
      <c r="C551" s="4" t="n">
        <v>1</v>
      </c>
      <c r="D551" s="4" t="s">
        <v>142</v>
      </c>
      <c r="E551" s="3" t="s">
        <v>160</v>
      </c>
      <c r="F551" s="4" t="str">
        <f aca="false">IF(I551&gt;J551,"Y","N")</f>
        <v>N</v>
      </c>
      <c r="G551" s="3" t="s">
        <v>72</v>
      </c>
      <c r="H551" s="3" t="s">
        <v>16</v>
      </c>
      <c r="I551" s="4" t="n">
        <v>4</v>
      </c>
      <c r="J551" s="4" t="n">
        <f aca="false">LEN(E551)-LEN(SUBSTITUTE(E551,",",""))+1</f>
        <v>4</v>
      </c>
      <c r="K551" s="3" t="str">
        <f aca="false">IFERROR(INDEX('Teacher Lookup'!$B$2:$B$200,MATCH(A551,'Teacher Lookup'!$A$2:$A$200,0)),"")</f>
        <v>IP Anna</v>
      </c>
    </row>
    <row r="552" customFormat="false" ht="15" hidden="false" customHeight="false" outlineLevel="0" collapsed="false">
      <c r="A552" s="3" t="s">
        <v>136</v>
      </c>
      <c r="B552" s="4" t="s">
        <v>66</v>
      </c>
      <c r="C552" s="4" t="n">
        <v>1</v>
      </c>
      <c r="D552" s="4" t="s">
        <v>127</v>
      </c>
      <c r="E552" s="3" t="s">
        <v>160</v>
      </c>
      <c r="F552" s="4" t="str">
        <f aca="false">IF(I552&gt;J552,"Y","N")</f>
        <v>N</v>
      </c>
      <c r="G552" s="3" t="s">
        <v>72</v>
      </c>
      <c r="H552" s="3" t="s">
        <v>16</v>
      </c>
      <c r="I552" s="4" t="n">
        <v>4</v>
      </c>
      <c r="J552" s="4" t="n">
        <f aca="false">LEN(E552)-LEN(SUBSTITUTE(E552,",",""))+1</f>
        <v>4</v>
      </c>
      <c r="K552" s="3" t="str">
        <f aca="false">IFERROR(INDEX('Teacher Lookup'!$B$2:$B$200,MATCH(A552,'Teacher Lookup'!$A$2:$A$200,0)),"")</f>
        <v>IP Anna</v>
      </c>
    </row>
    <row r="553" customFormat="false" ht="15" hidden="false" customHeight="false" outlineLevel="0" collapsed="false">
      <c r="A553" s="3" t="s">
        <v>136</v>
      </c>
      <c r="B553" s="4" t="s">
        <v>66</v>
      </c>
      <c r="C553" s="4" t="n">
        <v>2</v>
      </c>
      <c r="D553" s="4" t="s">
        <v>137</v>
      </c>
      <c r="E553" s="3" t="s">
        <v>161</v>
      </c>
      <c r="F553" s="4" t="str">
        <f aca="false">IF(I553&gt;J553,"Y","N")</f>
        <v>N</v>
      </c>
      <c r="G553" s="3" t="s">
        <v>72</v>
      </c>
      <c r="H553" s="3" t="s">
        <v>21</v>
      </c>
      <c r="I553" s="4" t="n">
        <v>4</v>
      </c>
      <c r="J553" s="4" t="n">
        <f aca="false">LEN(E553)-LEN(SUBSTITUTE(E553,",",""))+1</f>
        <v>4</v>
      </c>
      <c r="K553" s="3" t="str">
        <f aca="false">IFERROR(INDEX('Teacher Lookup'!$B$2:$B$200,MATCH(A553,'Teacher Lookup'!$A$2:$A$200,0)),"")</f>
        <v>IP Anna</v>
      </c>
    </row>
    <row r="554" customFormat="false" ht="15" hidden="false" customHeight="false" outlineLevel="0" collapsed="false">
      <c r="A554" s="3" t="s">
        <v>136</v>
      </c>
      <c r="B554" s="4" t="s">
        <v>66</v>
      </c>
      <c r="C554" s="4" t="n">
        <v>2</v>
      </c>
      <c r="D554" s="4" t="s">
        <v>124</v>
      </c>
      <c r="E554" s="3" t="s">
        <v>161</v>
      </c>
      <c r="F554" s="4" t="str">
        <f aca="false">IF(I554&gt;J554,"Y","N")</f>
        <v>N</v>
      </c>
      <c r="G554" s="3" t="s">
        <v>72</v>
      </c>
      <c r="H554" s="3" t="s">
        <v>21</v>
      </c>
      <c r="I554" s="4" t="n">
        <v>4</v>
      </c>
      <c r="J554" s="4" t="n">
        <f aca="false">LEN(E554)-LEN(SUBSTITUTE(E554,",",""))+1</f>
        <v>4</v>
      </c>
      <c r="K554" s="3" t="str">
        <f aca="false">IFERROR(INDEX('Teacher Lookup'!$B$2:$B$200,MATCH(A554,'Teacher Lookup'!$A$2:$A$200,0)),"")</f>
        <v>IP Anna</v>
      </c>
    </row>
    <row r="555" customFormat="false" ht="15" hidden="false" customHeight="false" outlineLevel="0" collapsed="false">
      <c r="A555" s="3" t="s">
        <v>136</v>
      </c>
      <c r="B555" s="4" t="s">
        <v>66</v>
      </c>
      <c r="C555" s="4" t="n">
        <v>2</v>
      </c>
      <c r="D555" s="4" t="s">
        <v>139</v>
      </c>
      <c r="E555" s="3" t="s">
        <v>161</v>
      </c>
      <c r="F555" s="4" t="str">
        <f aca="false">IF(I555&gt;J555,"Y","N")</f>
        <v>N</v>
      </c>
      <c r="G555" s="3" t="s">
        <v>72</v>
      </c>
      <c r="H555" s="3" t="s">
        <v>21</v>
      </c>
      <c r="I555" s="4" t="n">
        <v>4</v>
      </c>
      <c r="J555" s="4" t="n">
        <f aca="false">LEN(E555)-LEN(SUBSTITUTE(E555,",",""))+1</f>
        <v>4</v>
      </c>
      <c r="K555" s="3" t="str">
        <f aca="false">IFERROR(INDEX('Teacher Lookup'!$B$2:$B$200,MATCH(A555,'Teacher Lookup'!$A$2:$A$200,0)),"")</f>
        <v>IP Anna</v>
      </c>
    </row>
    <row r="556" customFormat="false" ht="15" hidden="false" customHeight="false" outlineLevel="0" collapsed="false">
      <c r="A556" s="3" t="s">
        <v>136</v>
      </c>
      <c r="B556" s="4" t="s">
        <v>66</v>
      </c>
      <c r="C556" s="4" t="n">
        <v>7</v>
      </c>
      <c r="D556" s="4" t="s">
        <v>28</v>
      </c>
      <c r="E556" s="3" t="s">
        <v>149</v>
      </c>
      <c r="F556" s="4" t="str">
        <f aca="false">IF(I556&gt;J556,"Y","N")</f>
        <v>N</v>
      </c>
      <c r="G556" s="3" t="s">
        <v>72</v>
      </c>
      <c r="H556" s="3" t="s">
        <v>39</v>
      </c>
      <c r="I556" s="4" t="n">
        <v>4</v>
      </c>
      <c r="J556" s="4" t="n">
        <f aca="false">LEN(E556)-LEN(SUBSTITUTE(E556,",",""))+1</f>
        <v>4</v>
      </c>
      <c r="K556" s="3" t="str">
        <f aca="false">IFERROR(INDEX('Teacher Lookup'!$B$2:$B$200,MATCH(A556,'Teacher Lookup'!$A$2:$A$200,0)),"")</f>
        <v>IP Anna</v>
      </c>
    </row>
    <row r="557" customFormat="false" ht="15" hidden="false" customHeight="false" outlineLevel="0" collapsed="false">
      <c r="A557" s="3" t="s">
        <v>136</v>
      </c>
      <c r="B557" s="4" t="s">
        <v>66</v>
      </c>
      <c r="C557" s="4" t="n">
        <v>7</v>
      </c>
      <c r="D557" s="4" t="s">
        <v>29</v>
      </c>
      <c r="E557" s="3" t="s">
        <v>149</v>
      </c>
      <c r="F557" s="4" t="str">
        <f aca="false">IF(I557&gt;J557,"Y","N")</f>
        <v>N</v>
      </c>
      <c r="G557" s="3" t="s">
        <v>72</v>
      </c>
      <c r="H557" s="3" t="s">
        <v>39</v>
      </c>
      <c r="I557" s="4" t="n">
        <v>4</v>
      </c>
      <c r="J557" s="4" t="n">
        <f aca="false">LEN(E557)-LEN(SUBSTITUTE(E557,",",""))+1</f>
        <v>4</v>
      </c>
      <c r="K557" s="3" t="str">
        <f aca="false">IFERROR(INDEX('Teacher Lookup'!$B$2:$B$200,MATCH(A557,'Teacher Lookup'!$A$2:$A$200,0)),"")</f>
        <v>IP Anna</v>
      </c>
    </row>
    <row r="558" customFormat="false" ht="15" hidden="false" customHeight="false" outlineLevel="0" collapsed="false">
      <c r="A558" s="3" t="s">
        <v>136</v>
      </c>
      <c r="B558" s="4" t="s">
        <v>66</v>
      </c>
      <c r="C558" s="4" t="n">
        <v>7</v>
      </c>
      <c r="D558" s="4" t="s">
        <v>30</v>
      </c>
      <c r="E558" s="3" t="s">
        <v>149</v>
      </c>
      <c r="F558" s="4" t="str">
        <f aca="false">IF(I558&gt;J558,"Y","N")</f>
        <v>N</v>
      </c>
      <c r="G558" s="3" t="s">
        <v>72</v>
      </c>
      <c r="H558" s="3" t="s">
        <v>39</v>
      </c>
      <c r="I558" s="4" t="n">
        <v>4</v>
      </c>
      <c r="J558" s="4" t="n">
        <f aca="false">LEN(E558)-LEN(SUBSTITUTE(E558,",",""))+1</f>
        <v>4</v>
      </c>
      <c r="K558" s="3" t="str">
        <f aca="false">IFERROR(INDEX('Teacher Lookup'!$B$2:$B$200,MATCH(A558,'Teacher Lookup'!$A$2:$A$200,0)),"")</f>
        <v>IP Anna</v>
      </c>
    </row>
    <row r="559" customFormat="false" ht="15" hidden="false" customHeight="false" outlineLevel="0" collapsed="false">
      <c r="A559" s="3" t="s">
        <v>162</v>
      </c>
      <c r="B559" s="4" t="s">
        <v>12</v>
      </c>
      <c r="C559" s="4" t="n">
        <v>2</v>
      </c>
      <c r="D559" s="4" t="s">
        <v>52</v>
      </c>
      <c r="E559" s="3" t="s">
        <v>163</v>
      </c>
      <c r="F559" s="4" t="str">
        <f aca="false">IF(I559&gt;J559,"Y","N")</f>
        <v>N</v>
      </c>
      <c r="G559" s="3" t="s">
        <v>164</v>
      </c>
      <c r="H559" s="3" t="s">
        <v>21</v>
      </c>
      <c r="I559" s="4" t="n">
        <v>4</v>
      </c>
      <c r="J559" s="4" t="n">
        <f aca="false">LEN(E559)-LEN(SUBSTITUTE(E559,",",""))+1</f>
        <v>4</v>
      </c>
      <c r="K559" s="3" t="str">
        <f aca="false">IFERROR(INDEX('Teacher Lookup'!$B$2:$B$200,MATCH(A559,'Teacher Lookup'!$A$2:$A$200,0)),"")</f>
        <v>KHURRAM Aamenah</v>
      </c>
    </row>
    <row r="560" customFormat="false" ht="15" hidden="false" customHeight="false" outlineLevel="0" collapsed="false">
      <c r="A560" s="3" t="s">
        <v>162</v>
      </c>
      <c r="B560" s="4" t="s">
        <v>12</v>
      </c>
      <c r="C560" s="4" t="n">
        <v>2</v>
      </c>
      <c r="D560" s="4" t="s">
        <v>55</v>
      </c>
      <c r="E560" s="3" t="s">
        <v>163</v>
      </c>
      <c r="F560" s="4" t="str">
        <f aca="false">IF(I560&gt;J560,"Y","N")</f>
        <v>N</v>
      </c>
      <c r="G560" s="3" t="s">
        <v>164</v>
      </c>
      <c r="H560" s="3" t="s">
        <v>21</v>
      </c>
      <c r="I560" s="4" t="n">
        <v>4</v>
      </c>
      <c r="J560" s="4" t="n">
        <f aca="false">LEN(E560)-LEN(SUBSTITUTE(E560,",",""))+1</f>
        <v>4</v>
      </c>
      <c r="K560" s="3" t="str">
        <f aca="false">IFERROR(INDEX('Teacher Lookup'!$B$2:$B$200,MATCH(A560,'Teacher Lookup'!$A$2:$A$200,0)),"")</f>
        <v>KHURRAM Aamenah</v>
      </c>
    </row>
    <row r="561" customFormat="false" ht="15" hidden="false" customHeight="false" outlineLevel="0" collapsed="false">
      <c r="A561" s="3" t="s">
        <v>162</v>
      </c>
      <c r="B561" s="4" t="s">
        <v>12</v>
      </c>
      <c r="C561" s="4" t="n">
        <v>2</v>
      </c>
      <c r="D561" s="4" t="s">
        <v>56</v>
      </c>
      <c r="E561" s="3" t="s">
        <v>163</v>
      </c>
      <c r="F561" s="4" t="str">
        <f aca="false">IF(I561&gt;J561,"Y","N")</f>
        <v>N</v>
      </c>
      <c r="G561" s="3" t="s">
        <v>164</v>
      </c>
      <c r="H561" s="3" t="s">
        <v>21</v>
      </c>
      <c r="I561" s="4" t="n">
        <v>4</v>
      </c>
      <c r="J561" s="4" t="n">
        <f aca="false">LEN(E561)-LEN(SUBSTITUTE(E561,",",""))+1</f>
        <v>4</v>
      </c>
      <c r="K561" s="3" t="str">
        <f aca="false">IFERROR(INDEX('Teacher Lookup'!$B$2:$B$200,MATCH(A561,'Teacher Lookup'!$A$2:$A$200,0)),"")</f>
        <v>KHURRAM Aamenah</v>
      </c>
    </row>
    <row r="562" customFormat="false" ht="15" hidden="false" customHeight="false" outlineLevel="0" collapsed="false">
      <c r="A562" s="3" t="s">
        <v>162</v>
      </c>
      <c r="B562" s="4" t="s">
        <v>12</v>
      </c>
      <c r="C562" s="4" t="n">
        <v>4</v>
      </c>
      <c r="D562" s="4" t="s">
        <v>76</v>
      </c>
      <c r="E562" s="3" t="s">
        <v>165</v>
      </c>
      <c r="F562" s="4" t="str">
        <f aca="false">IF(I562&gt;J562,"Y","N")</f>
        <v>N</v>
      </c>
      <c r="G562" s="3" t="s">
        <v>164</v>
      </c>
      <c r="H562" s="3" t="s">
        <v>34</v>
      </c>
      <c r="I562" s="4" t="n">
        <v>4</v>
      </c>
      <c r="J562" s="4" t="n">
        <f aca="false">LEN(E562)-LEN(SUBSTITUTE(E562,",",""))+1</f>
        <v>4</v>
      </c>
      <c r="K562" s="3" t="str">
        <f aca="false">IFERROR(INDEX('Teacher Lookup'!$B$2:$B$200,MATCH(A562,'Teacher Lookup'!$A$2:$A$200,0)),"")</f>
        <v>KHURRAM Aamenah</v>
      </c>
    </row>
    <row r="563" customFormat="false" ht="15" hidden="false" customHeight="false" outlineLevel="0" collapsed="false">
      <c r="A563" s="3" t="s">
        <v>162</v>
      </c>
      <c r="B563" s="4" t="s">
        <v>12</v>
      </c>
      <c r="C563" s="4" t="n">
        <v>4</v>
      </c>
      <c r="D563" s="4" t="s">
        <v>78</v>
      </c>
      <c r="E563" s="3" t="s">
        <v>165</v>
      </c>
      <c r="F563" s="4" t="str">
        <f aca="false">IF(I563&gt;J563,"Y","N")</f>
        <v>N</v>
      </c>
      <c r="G563" s="3" t="s">
        <v>164</v>
      </c>
      <c r="H563" s="3" t="s">
        <v>34</v>
      </c>
      <c r="I563" s="4" t="n">
        <v>4</v>
      </c>
      <c r="J563" s="4" t="n">
        <f aca="false">LEN(E563)-LEN(SUBSTITUTE(E563,",",""))+1</f>
        <v>4</v>
      </c>
      <c r="K563" s="3" t="str">
        <f aca="false">IFERROR(INDEX('Teacher Lookup'!$B$2:$B$200,MATCH(A563,'Teacher Lookup'!$A$2:$A$200,0)),"")</f>
        <v>KHURRAM Aamenah</v>
      </c>
    </row>
    <row r="564" customFormat="false" ht="15" hidden="false" customHeight="false" outlineLevel="0" collapsed="false">
      <c r="A564" s="3" t="s">
        <v>162</v>
      </c>
      <c r="B564" s="4" t="s">
        <v>12</v>
      </c>
      <c r="C564" s="4" t="n">
        <v>4</v>
      </c>
      <c r="D564" s="4" t="s">
        <v>79</v>
      </c>
      <c r="E564" s="3" t="s">
        <v>165</v>
      </c>
      <c r="F564" s="4" t="str">
        <f aca="false">IF(I564&gt;J564,"Y","N")</f>
        <v>N</v>
      </c>
      <c r="G564" s="3" t="s">
        <v>164</v>
      </c>
      <c r="H564" s="3" t="s">
        <v>34</v>
      </c>
      <c r="I564" s="4" t="n">
        <v>4</v>
      </c>
      <c r="J564" s="4" t="n">
        <f aca="false">LEN(E564)-LEN(SUBSTITUTE(E564,",",""))+1</f>
        <v>4</v>
      </c>
      <c r="K564" s="3" t="str">
        <f aca="false">IFERROR(INDEX('Teacher Lookup'!$B$2:$B$200,MATCH(A564,'Teacher Lookup'!$A$2:$A$200,0)),"")</f>
        <v>KHURRAM Aamenah</v>
      </c>
    </row>
    <row r="565" customFormat="false" ht="15" hidden="false" customHeight="false" outlineLevel="0" collapsed="false">
      <c r="A565" s="3" t="s">
        <v>162</v>
      </c>
      <c r="B565" s="4" t="s">
        <v>12</v>
      </c>
      <c r="C565" s="4" t="n">
        <v>5</v>
      </c>
      <c r="D565" s="4" t="s">
        <v>57</v>
      </c>
      <c r="E565" s="3" t="s">
        <v>166</v>
      </c>
      <c r="F565" s="4" t="str">
        <f aca="false">IF(I565&gt;J565,"Y","N")</f>
        <v>N</v>
      </c>
      <c r="G565" s="3" t="s">
        <v>164</v>
      </c>
      <c r="H565" s="3" t="s">
        <v>37</v>
      </c>
      <c r="I565" s="4" t="n">
        <v>4</v>
      </c>
      <c r="J565" s="4" t="n">
        <f aca="false">LEN(E565)-LEN(SUBSTITUTE(E565,",",""))+1</f>
        <v>4</v>
      </c>
      <c r="K565" s="3" t="str">
        <f aca="false">IFERROR(INDEX('Teacher Lookup'!$B$2:$B$200,MATCH(A565,'Teacher Lookup'!$A$2:$A$200,0)),"")</f>
        <v>KHURRAM Aamenah</v>
      </c>
    </row>
    <row r="566" customFormat="false" ht="15" hidden="false" customHeight="false" outlineLevel="0" collapsed="false">
      <c r="A566" s="3" t="s">
        <v>162</v>
      </c>
      <c r="B566" s="4" t="s">
        <v>12</v>
      </c>
      <c r="C566" s="4" t="n">
        <v>5</v>
      </c>
      <c r="D566" s="4" t="s">
        <v>58</v>
      </c>
      <c r="E566" s="3" t="s">
        <v>166</v>
      </c>
      <c r="F566" s="4" t="str">
        <f aca="false">IF(I566&gt;J566,"Y","N")</f>
        <v>N</v>
      </c>
      <c r="G566" s="3" t="s">
        <v>164</v>
      </c>
      <c r="H566" s="3" t="s">
        <v>37</v>
      </c>
      <c r="I566" s="4" t="n">
        <v>4</v>
      </c>
      <c r="J566" s="4" t="n">
        <f aca="false">LEN(E566)-LEN(SUBSTITUTE(E566,",",""))+1</f>
        <v>4</v>
      </c>
      <c r="K566" s="3" t="str">
        <f aca="false">IFERROR(INDEX('Teacher Lookup'!$B$2:$B$200,MATCH(A566,'Teacher Lookup'!$A$2:$A$200,0)),"")</f>
        <v>KHURRAM Aamenah</v>
      </c>
    </row>
    <row r="567" customFormat="false" ht="15" hidden="false" customHeight="false" outlineLevel="0" collapsed="false">
      <c r="A567" s="3" t="s">
        <v>162</v>
      </c>
      <c r="B567" s="4" t="s">
        <v>12</v>
      </c>
      <c r="C567" s="4" t="n">
        <v>5</v>
      </c>
      <c r="D567" s="4" t="s">
        <v>59</v>
      </c>
      <c r="E567" s="3" t="s">
        <v>166</v>
      </c>
      <c r="F567" s="4" t="str">
        <f aca="false">IF(I567&gt;J567,"Y","N")</f>
        <v>N</v>
      </c>
      <c r="G567" s="3" t="s">
        <v>164</v>
      </c>
      <c r="H567" s="3" t="s">
        <v>37</v>
      </c>
      <c r="I567" s="4" t="n">
        <v>4</v>
      </c>
      <c r="J567" s="4" t="n">
        <f aca="false">LEN(E567)-LEN(SUBSTITUTE(E567,",",""))+1</f>
        <v>4</v>
      </c>
      <c r="K567" s="3" t="str">
        <f aca="false">IFERROR(INDEX('Teacher Lookup'!$B$2:$B$200,MATCH(A567,'Teacher Lookup'!$A$2:$A$200,0)),"")</f>
        <v>KHURRAM Aamenah</v>
      </c>
    </row>
    <row r="568" customFormat="false" ht="15" hidden="false" customHeight="false" outlineLevel="0" collapsed="false">
      <c r="A568" s="3" t="s">
        <v>162</v>
      </c>
      <c r="B568" s="4" t="s">
        <v>31</v>
      </c>
      <c r="C568" s="4" t="n">
        <v>1</v>
      </c>
      <c r="D568" s="4" t="s">
        <v>57</v>
      </c>
      <c r="E568" s="3" t="s">
        <v>167</v>
      </c>
      <c r="F568" s="4" t="str">
        <f aca="false">IF(I568&gt;J568,"Y","N")</f>
        <v>N</v>
      </c>
      <c r="G568" s="3" t="s">
        <v>164</v>
      </c>
      <c r="H568" s="3" t="s">
        <v>16</v>
      </c>
      <c r="I568" s="4" t="n">
        <v>4</v>
      </c>
      <c r="J568" s="4" t="n">
        <f aca="false">LEN(E568)-LEN(SUBSTITUTE(E568,",",""))+1</f>
        <v>4</v>
      </c>
      <c r="K568" s="3" t="str">
        <f aca="false">IFERROR(INDEX('Teacher Lookup'!$B$2:$B$200,MATCH(A568,'Teacher Lookup'!$A$2:$A$200,0)),"")</f>
        <v>KHURRAM Aamenah</v>
      </c>
    </row>
    <row r="569" customFormat="false" ht="15" hidden="false" customHeight="false" outlineLevel="0" collapsed="false">
      <c r="A569" s="3" t="s">
        <v>162</v>
      </c>
      <c r="B569" s="4" t="s">
        <v>31</v>
      </c>
      <c r="C569" s="4" t="n">
        <v>1</v>
      </c>
      <c r="D569" s="4" t="s">
        <v>58</v>
      </c>
      <c r="E569" s="3" t="s">
        <v>167</v>
      </c>
      <c r="F569" s="4" t="str">
        <f aca="false">IF(I569&gt;J569,"Y","N")</f>
        <v>N</v>
      </c>
      <c r="G569" s="3" t="s">
        <v>164</v>
      </c>
      <c r="H569" s="3" t="s">
        <v>16</v>
      </c>
      <c r="I569" s="4" t="n">
        <v>4</v>
      </c>
      <c r="J569" s="4" t="n">
        <f aca="false">LEN(E569)-LEN(SUBSTITUTE(E569,",",""))+1</f>
        <v>4</v>
      </c>
      <c r="K569" s="3" t="str">
        <f aca="false">IFERROR(INDEX('Teacher Lookup'!$B$2:$B$200,MATCH(A569,'Teacher Lookup'!$A$2:$A$200,0)),"")</f>
        <v>KHURRAM Aamenah</v>
      </c>
    </row>
    <row r="570" customFormat="false" ht="15" hidden="false" customHeight="false" outlineLevel="0" collapsed="false">
      <c r="A570" s="3" t="s">
        <v>162</v>
      </c>
      <c r="B570" s="4" t="s">
        <v>31</v>
      </c>
      <c r="C570" s="4" t="n">
        <v>1</v>
      </c>
      <c r="D570" s="4" t="s">
        <v>59</v>
      </c>
      <c r="E570" s="3" t="s">
        <v>167</v>
      </c>
      <c r="F570" s="4" t="str">
        <f aca="false">IF(I570&gt;J570,"Y","N")</f>
        <v>N</v>
      </c>
      <c r="G570" s="3" t="s">
        <v>164</v>
      </c>
      <c r="H570" s="3" t="s">
        <v>16</v>
      </c>
      <c r="I570" s="4" t="n">
        <v>4</v>
      </c>
      <c r="J570" s="4" t="n">
        <f aca="false">LEN(E570)-LEN(SUBSTITUTE(E570,",",""))+1</f>
        <v>4</v>
      </c>
      <c r="K570" s="3" t="str">
        <f aca="false">IFERROR(INDEX('Teacher Lookup'!$B$2:$B$200,MATCH(A570,'Teacher Lookup'!$A$2:$A$200,0)),"")</f>
        <v>KHURRAM Aamenah</v>
      </c>
    </row>
    <row r="571" customFormat="false" ht="15" hidden="false" customHeight="false" outlineLevel="0" collapsed="false">
      <c r="A571" s="3" t="s">
        <v>162</v>
      </c>
      <c r="B571" s="4" t="s">
        <v>31</v>
      </c>
      <c r="C571" s="4" t="n">
        <v>3</v>
      </c>
      <c r="D571" s="4" t="s">
        <v>76</v>
      </c>
      <c r="E571" s="3" t="s">
        <v>168</v>
      </c>
      <c r="F571" s="4" t="str">
        <f aca="false">IF(I571&gt;J571,"Y","N")</f>
        <v>N</v>
      </c>
      <c r="G571" s="3" t="s">
        <v>164</v>
      </c>
      <c r="H571" s="3" t="s">
        <v>26</v>
      </c>
      <c r="I571" s="4" t="n">
        <v>4</v>
      </c>
      <c r="J571" s="4" t="n">
        <f aca="false">LEN(E571)-LEN(SUBSTITUTE(E571,",",""))+1</f>
        <v>4</v>
      </c>
      <c r="K571" s="3" t="str">
        <f aca="false">IFERROR(INDEX('Teacher Lookup'!$B$2:$B$200,MATCH(A571,'Teacher Lookup'!$A$2:$A$200,0)),"")</f>
        <v>KHURRAM Aamenah</v>
      </c>
    </row>
    <row r="572" customFormat="false" ht="15" hidden="false" customHeight="false" outlineLevel="0" collapsed="false">
      <c r="A572" s="3" t="s">
        <v>162</v>
      </c>
      <c r="B572" s="4" t="s">
        <v>31</v>
      </c>
      <c r="C572" s="4" t="n">
        <v>3</v>
      </c>
      <c r="D572" s="4" t="s">
        <v>78</v>
      </c>
      <c r="E572" s="3" t="s">
        <v>168</v>
      </c>
      <c r="F572" s="4" t="str">
        <f aca="false">IF(I572&gt;J572,"Y","N")</f>
        <v>N</v>
      </c>
      <c r="G572" s="3" t="s">
        <v>164</v>
      </c>
      <c r="H572" s="3" t="s">
        <v>26</v>
      </c>
      <c r="I572" s="4" t="n">
        <v>4</v>
      </c>
      <c r="J572" s="4" t="n">
        <f aca="false">LEN(E572)-LEN(SUBSTITUTE(E572,",",""))+1</f>
        <v>4</v>
      </c>
      <c r="K572" s="3" t="str">
        <f aca="false">IFERROR(INDEX('Teacher Lookup'!$B$2:$B$200,MATCH(A572,'Teacher Lookup'!$A$2:$A$200,0)),"")</f>
        <v>KHURRAM Aamenah</v>
      </c>
    </row>
    <row r="573" customFormat="false" ht="15" hidden="false" customHeight="false" outlineLevel="0" collapsed="false">
      <c r="A573" s="3" t="s">
        <v>162</v>
      </c>
      <c r="B573" s="4" t="s">
        <v>31</v>
      </c>
      <c r="C573" s="4" t="n">
        <v>3</v>
      </c>
      <c r="D573" s="4" t="s">
        <v>79</v>
      </c>
      <c r="E573" s="3" t="s">
        <v>168</v>
      </c>
      <c r="F573" s="4" t="str">
        <f aca="false">IF(I573&gt;J573,"Y","N")</f>
        <v>N</v>
      </c>
      <c r="G573" s="3" t="s">
        <v>164</v>
      </c>
      <c r="H573" s="3" t="s">
        <v>26</v>
      </c>
      <c r="I573" s="4" t="n">
        <v>4</v>
      </c>
      <c r="J573" s="4" t="n">
        <f aca="false">LEN(E573)-LEN(SUBSTITUTE(E573,",",""))+1</f>
        <v>4</v>
      </c>
      <c r="K573" s="3" t="str">
        <f aca="false">IFERROR(INDEX('Teacher Lookup'!$B$2:$B$200,MATCH(A573,'Teacher Lookup'!$A$2:$A$200,0)),"")</f>
        <v>KHURRAM Aamenah</v>
      </c>
    </row>
    <row r="574" customFormat="false" ht="15" hidden="false" customHeight="false" outlineLevel="0" collapsed="false">
      <c r="A574" s="3" t="s">
        <v>162</v>
      </c>
      <c r="B574" s="4" t="s">
        <v>31</v>
      </c>
      <c r="C574" s="4" t="n">
        <v>5</v>
      </c>
      <c r="D574" s="4" t="s">
        <v>52</v>
      </c>
      <c r="E574" s="3" t="s">
        <v>112</v>
      </c>
      <c r="F574" s="4" t="str">
        <f aca="false">IF(I574&gt;J574,"Y","N")</f>
        <v>Y</v>
      </c>
      <c r="G574" s="3" t="s">
        <v>36</v>
      </c>
      <c r="H574" s="3" t="s">
        <v>37</v>
      </c>
      <c r="I574" s="4" t="n">
        <v>16</v>
      </c>
      <c r="J574" s="4" t="n">
        <f aca="false">LEN(E574)-LEN(SUBSTITUTE(E574,",",""))+1</f>
        <v>7</v>
      </c>
      <c r="K574" s="3" t="str">
        <f aca="false">IFERROR(INDEX('Teacher Lookup'!$B$2:$B$200,MATCH(A574,'Teacher Lookup'!$A$2:$A$200,0)),"")</f>
        <v>KHURRAM Aamenah</v>
      </c>
    </row>
    <row r="575" customFormat="false" ht="15" hidden="false" customHeight="false" outlineLevel="0" collapsed="false">
      <c r="A575" s="3" t="s">
        <v>162</v>
      </c>
      <c r="B575" s="4" t="s">
        <v>31</v>
      </c>
      <c r="C575" s="4" t="n">
        <v>5</v>
      </c>
      <c r="D575" s="4" t="s">
        <v>55</v>
      </c>
      <c r="E575" s="3" t="s">
        <v>112</v>
      </c>
      <c r="F575" s="4" t="str">
        <f aca="false">IF(I575&gt;J575,"Y","N")</f>
        <v>Y</v>
      </c>
      <c r="G575" s="3" t="s">
        <v>36</v>
      </c>
      <c r="H575" s="3" t="s">
        <v>37</v>
      </c>
      <c r="I575" s="4" t="n">
        <v>16</v>
      </c>
      <c r="J575" s="4" t="n">
        <f aca="false">LEN(E575)-LEN(SUBSTITUTE(E575,",",""))+1</f>
        <v>7</v>
      </c>
      <c r="K575" s="3" t="str">
        <f aca="false">IFERROR(INDEX('Teacher Lookup'!$B$2:$B$200,MATCH(A575,'Teacher Lookup'!$A$2:$A$200,0)),"")</f>
        <v>KHURRAM Aamenah</v>
      </c>
    </row>
    <row r="576" customFormat="false" ht="15" hidden="false" customHeight="false" outlineLevel="0" collapsed="false">
      <c r="A576" s="3" t="s">
        <v>162</v>
      </c>
      <c r="B576" s="4" t="s">
        <v>31</v>
      </c>
      <c r="C576" s="4" t="n">
        <v>5</v>
      </c>
      <c r="D576" s="4" t="s">
        <v>56</v>
      </c>
      <c r="E576" s="3" t="s">
        <v>112</v>
      </c>
      <c r="F576" s="4" t="str">
        <f aca="false">IF(I576&gt;J576,"Y","N")</f>
        <v>Y</v>
      </c>
      <c r="G576" s="3" t="s">
        <v>36</v>
      </c>
      <c r="H576" s="3" t="s">
        <v>37</v>
      </c>
      <c r="I576" s="4" t="n">
        <v>16</v>
      </c>
      <c r="J576" s="4" t="n">
        <f aca="false">LEN(E576)-LEN(SUBSTITUTE(E576,",",""))+1</f>
        <v>7</v>
      </c>
      <c r="K576" s="3" t="str">
        <f aca="false">IFERROR(INDEX('Teacher Lookup'!$B$2:$B$200,MATCH(A576,'Teacher Lookup'!$A$2:$A$200,0)),"")</f>
        <v>KHURRAM Aamenah</v>
      </c>
    </row>
    <row r="577" customFormat="false" ht="15" hidden="false" customHeight="false" outlineLevel="0" collapsed="false">
      <c r="A577" s="3" t="s">
        <v>162</v>
      </c>
      <c r="B577" s="4" t="s">
        <v>31</v>
      </c>
      <c r="C577" s="4" t="n">
        <v>5</v>
      </c>
      <c r="D577" s="4" t="s">
        <v>57</v>
      </c>
      <c r="E577" s="3" t="s">
        <v>112</v>
      </c>
      <c r="F577" s="4" t="str">
        <f aca="false">IF(I577&gt;J577,"Y","N")</f>
        <v>Y</v>
      </c>
      <c r="G577" s="3" t="s">
        <v>36</v>
      </c>
      <c r="H577" s="3" t="s">
        <v>37</v>
      </c>
      <c r="I577" s="4" t="n">
        <v>16</v>
      </c>
      <c r="J577" s="4" t="n">
        <f aca="false">LEN(E577)-LEN(SUBSTITUTE(E577,",",""))+1</f>
        <v>7</v>
      </c>
      <c r="K577" s="3" t="str">
        <f aca="false">IFERROR(INDEX('Teacher Lookup'!$B$2:$B$200,MATCH(A577,'Teacher Lookup'!$A$2:$A$200,0)),"")</f>
        <v>KHURRAM Aamenah</v>
      </c>
    </row>
    <row r="578" customFormat="false" ht="15" hidden="false" customHeight="false" outlineLevel="0" collapsed="false">
      <c r="A578" s="3" t="s">
        <v>162</v>
      </c>
      <c r="B578" s="4" t="s">
        <v>31</v>
      </c>
      <c r="C578" s="4" t="n">
        <v>5</v>
      </c>
      <c r="D578" s="4" t="s">
        <v>58</v>
      </c>
      <c r="E578" s="3" t="s">
        <v>112</v>
      </c>
      <c r="F578" s="4" t="str">
        <f aca="false">IF(I578&gt;J578,"Y","N")</f>
        <v>Y</v>
      </c>
      <c r="G578" s="3" t="s">
        <v>36</v>
      </c>
      <c r="H578" s="3" t="s">
        <v>37</v>
      </c>
      <c r="I578" s="4" t="n">
        <v>16</v>
      </c>
      <c r="J578" s="4" t="n">
        <f aca="false">LEN(E578)-LEN(SUBSTITUTE(E578,",",""))+1</f>
        <v>7</v>
      </c>
      <c r="K578" s="3" t="str">
        <f aca="false">IFERROR(INDEX('Teacher Lookup'!$B$2:$B$200,MATCH(A578,'Teacher Lookup'!$A$2:$A$200,0)),"")</f>
        <v>KHURRAM Aamenah</v>
      </c>
    </row>
    <row r="579" customFormat="false" ht="15" hidden="false" customHeight="false" outlineLevel="0" collapsed="false">
      <c r="A579" s="3" t="s">
        <v>162</v>
      </c>
      <c r="B579" s="4" t="s">
        <v>31</v>
      </c>
      <c r="C579" s="4" t="n">
        <v>5</v>
      </c>
      <c r="D579" s="4" t="s">
        <v>59</v>
      </c>
      <c r="E579" s="3" t="s">
        <v>112</v>
      </c>
      <c r="F579" s="4" t="str">
        <f aca="false">IF(I579&gt;J579,"Y","N")</f>
        <v>Y</v>
      </c>
      <c r="G579" s="3" t="s">
        <v>36</v>
      </c>
      <c r="H579" s="3" t="s">
        <v>37</v>
      </c>
      <c r="I579" s="4" t="n">
        <v>16</v>
      </c>
      <c r="J579" s="4" t="n">
        <f aca="false">LEN(E579)-LEN(SUBSTITUTE(E579,",",""))+1</f>
        <v>7</v>
      </c>
      <c r="K579" s="3" t="str">
        <f aca="false">IFERROR(INDEX('Teacher Lookup'!$B$2:$B$200,MATCH(A579,'Teacher Lookup'!$A$2:$A$200,0)),"")</f>
        <v>KHURRAM Aamenah</v>
      </c>
    </row>
    <row r="580" customFormat="false" ht="15" hidden="false" customHeight="false" outlineLevel="0" collapsed="false">
      <c r="A580" s="3" t="s">
        <v>162</v>
      </c>
      <c r="B580" s="4" t="s">
        <v>31</v>
      </c>
      <c r="C580" s="4" t="n">
        <v>7</v>
      </c>
      <c r="D580" s="4" t="s">
        <v>52</v>
      </c>
      <c r="E580" s="3" t="s">
        <v>169</v>
      </c>
      <c r="F580" s="4" t="str">
        <f aca="false">IF(I580&gt;J580,"Y","N")</f>
        <v>N</v>
      </c>
      <c r="G580" s="3" t="s">
        <v>164</v>
      </c>
      <c r="H580" s="3" t="s">
        <v>39</v>
      </c>
      <c r="I580" s="4" t="n">
        <v>4</v>
      </c>
      <c r="J580" s="4" t="n">
        <f aca="false">LEN(E580)-LEN(SUBSTITUTE(E580,",",""))+1</f>
        <v>4</v>
      </c>
      <c r="K580" s="3" t="str">
        <f aca="false">IFERROR(INDEX('Teacher Lookup'!$B$2:$B$200,MATCH(A580,'Teacher Lookup'!$A$2:$A$200,0)),"")</f>
        <v>KHURRAM Aamenah</v>
      </c>
    </row>
    <row r="581" customFormat="false" ht="15" hidden="false" customHeight="false" outlineLevel="0" collapsed="false">
      <c r="A581" s="3" t="s">
        <v>162</v>
      </c>
      <c r="B581" s="4" t="s">
        <v>31</v>
      </c>
      <c r="C581" s="4" t="n">
        <v>7</v>
      </c>
      <c r="D581" s="4" t="s">
        <v>55</v>
      </c>
      <c r="E581" s="3" t="s">
        <v>169</v>
      </c>
      <c r="F581" s="4" t="str">
        <f aca="false">IF(I581&gt;J581,"Y","N")</f>
        <v>N</v>
      </c>
      <c r="G581" s="3" t="s">
        <v>164</v>
      </c>
      <c r="H581" s="3" t="s">
        <v>39</v>
      </c>
      <c r="I581" s="4" t="n">
        <v>4</v>
      </c>
      <c r="J581" s="4" t="n">
        <f aca="false">LEN(E581)-LEN(SUBSTITUTE(E581,",",""))+1</f>
        <v>4</v>
      </c>
      <c r="K581" s="3" t="str">
        <f aca="false">IFERROR(INDEX('Teacher Lookup'!$B$2:$B$200,MATCH(A581,'Teacher Lookup'!$A$2:$A$200,0)),"")</f>
        <v>KHURRAM Aamenah</v>
      </c>
    </row>
    <row r="582" customFormat="false" ht="15" hidden="false" customHeight="false" outlineLevel="0" collapsed="false">
      <c r="A582" s="3" t="s">
        <v>162</v>
      </c>
      <c r="B582" s="4" t="s">
        <v>31</v>
      </c>
      <c r="C582" s="4" t="n">
        <v>7</v>
      </c>
      <c r="D582" s="4" t="s">
        <v>56</v>
      </c>
      <c r="E582" s="3" t="s">
        <v>169</v>
      </c>
      <c r="F582" s="4" t="str">
        <f aca="false">IF(I582&gt;J582,"Y","N")</f>
        <v>N</v>
      </c>
      <c r="G582" s="3" t="s">
        <v>164</v>
      </c>
      <c r="H582" s="3" t="s">
        <v>39</v>
      </c>
      <c r="I582" s="4" t="n">
        <v>4</v>
      </c>
      <c r="J582" s="4" t="n">
        <f aca="false">LEN(E582)-LEN(SUBSTITUTE(E582,",",""))+1</f>
        <v>4</v>
      </c>
      <c r="K582" s="3" t="str">
        <f aca="false">IFERROR(INDEX('Teacher Lookup'!$B$2:$B$200,MATCH(A582,'Teacher Lookup'!$A$2:$A$200,0)),"")</f>
        <v>KHURRAM Aamenah</v>
      </c>
    </row>
    <row r="583" customFormat="false" ht="15" hidden="false" customHeight="false" outlineLevel="0" collapsed="false">
      <c r="A583" s="3" t="s">
        <v>162</v>
      </c>
      <c r="B583" s="4" t="s">
        <v>40</v>
      </c>
      <c r="C583" s="4" t="n">
        <v>1</v>
      </c>
      <c r="D583" s="4" t="s">
        <v>57</v>
      </c>
      <c r="E583" s="3" t="s">
        <v>170</v>
      </c>
      <c r="F583" s="4" t="str">
        <f aca="false">IF(I583&gt;J583,"Y","N")</f>
        <v>N</v>
      </c>
      <c r="G583" s="3" t="s">
        <v>164</v>
      </c>
      <c r="H583" s="3" t="s">
        <v>16</v>
      </c>
      <c r="I583" s="4" t="n">
        <v>4</v>
      </c>
      <c r="J583" s="4" t="n">
        <f aca="false">LEN(E583)-LEN(SUBSTITUTE(E583,",",""))+1</f>
        <v>4</v>
      </c>
      <c r="K583" s="3" t="str">
        <f aca="false">IFERROR(INDEX('Teacher Lookup'!$B$2:$B$200,MATCH(A583,'Teacher Lookup'!$A$2:$A$200,0)),"")</f>
        <v>KHURRAM Aamenah</v>
      </c>
    </row>
    <row r="584" customFormat="false" ht="15" hidden="false" customHeight="false" outlineLevel="0" collapsed="false">
      <c r="A584" s="3" t="s">
        <v>162</v>
      </c>
      <c r="B584" s="4" t="s">
        <v>40</v>
      </c>
      <c r="C584" s="4" t="n">
        <v>1</v>
      </c>
      <c r="D584" s="4" t="s">
        <v>58</v>
      </c>
      <c r="E584" s="3" t="s">
        <v>170</v>
      </c>
      <c r="F584" s="4" t="str">
        <f aca="false">IF(I584&gt;J584,"Y","N")</f>
        <v>N</v>
      </c>
      <c r="G584" s="3" t="s">
        <v>164</v>
      </c>
      <c r="H584" s="3" t="s">
        <v>16</v>
      </c>
      <c r="I584" s="4" t="n">
        <v>4</v>
      </c>
      <c r="J584" s="4" t="n">
        <f aca="false">LEN(E584)-LEN(SUBSTITUTE(E584,",",""))+1</f>
        <v>4</v>
      </c>
      <c r="K584" s="3" t="str">
        <f aca="false">IFERROR(INDEX('Teacher Lookup'!$B$2:$B$200,MATCH(A584,'Teacher Lookup'!$A$2:$A$200,0)),"")</f>
        <v>KHURRAM Aamenah</v>
      </c>
    </row>
    <row r="585" customFormat="false" ht="15" hidden="false" customHeight="false" outlineLevel="0" collapsed="false">
      <c r="A585" s="3" t="s">
        <v>162</v>
      </c>
      <c r="B585" s="4" t="s">
        <v>40</v>
      </c>
      <c r="C585" s="4" t="n">
        <v>1</v>
      </c>
      <c r="D585" s="4" t="s">
        <v>59</v>
      </c>
      <c r="E585" s="3" t="s">
        <v>170</v>
      </c>
      <c r="F585" s="4" t="str">
        <f aca="false">IF(I585&gt;J585,"Y","N")</f>
        <v>N</v>
      </c>
      <c r="G585" s="3" t="s">
        <v>164</v>
      </c>
      <c r="H585" s="3" t="s">
        <v>16</v>
      </c>
      <c r="I585" s="4" t="n">
        <v>4</v>
      </c>
      <c r="J585" s="4" t="n">
        <f aca="false">LEN(E585)-LEN(SUBSTITUTE(E585,",",""))+1</f>
        <v>4</v>
      </c>
      <c r="K585" s="3" t="str">
        <f aca="false">IFERROR(INDEX('Teacher Lookup'!$B$2:$B$200,MATCH(A585,'Teacher Lookup'!$A$2:$A$200,0)),"")</f>
        <v>KHURRAM Aamenah</v>
      </c>
    </row>
    <row r="586" customFormat="false" ht="15" hidden="false" customHeight="false" outlineLevel="0" collapsed="false">
      <c r="A586" s="3" t="s">
        <v>162</v>
      </c>
      <c r="B586" s="4" t="s">
        <v>40</v>
      </c>
      <c r="C586" s="4" t="n">
        <v>5</v>
      </c>
      <c r="D586" s="4" t="s">
        <v>76</v>
      </c>
      <c r="E586" s="3" t="s">
        <v>84</v>
      </c>
      <c r="F586" s="4" t="str">
        <f aca="false">IF(I586&gt;J586,"Y","N")</f>
        <v>N</v>
      </c>
      <c r="G586" s="3" t="s">
        <v>164</v>
      </c>
      <c r="H586" s="3" t="s">
        <v>37</v>
      </c>
      <c r="I586" s="4" t="n">
        <v>4</v>
      </c>
      <c r="J586" s="4" t="n">
        <f aca="false">LEN(E586)-LEN(SUBSTITUTE(E586,",",""))+1</f>
        <v>4</v>
      </c>
      <c r="K586" s="3" t="str">
        <f aca="false">IFERROR(INDEX('Teacher Lookup'!$B$2:$B$200,MATCH(A586,'Teacher Lookup'!$A$2:$A$200,0)),"")</f>
        <v>KHURRAM Aamenah</v>
      </c>
    </row>
    <row r="587" customFormat="false" ht="15" hidden="false" customHeight="false" outlineLevel="0" collapsed="false">
      <c r="A587" s="3" t="s">
        <v>162</v>
      </c>
      <c r="B587" s="4" t="s">
        <v>40</v>
      </c>
      <c r="C587" s="4" t="n">
        <v>5</v>
      </c>
      <c r="D587" s="4" t="s">
        <v>78</v>
      </c>
      <c r="E587" s="3" t="s">
        <v>84</v>
      </c>
      <c r="F587" s="4" t="str">
        <f aca="false">IF(I587&gt;J587,"Y","N")</f>
        <v>N</v>
      </c>
      <c r="G587" s="3" t="s">
        <v>164</v>
      </c>
      <c r="H587" s="3" t="s">
        <v>37</v>
      </c>
      <c r="I587" s="4" t="n">
        <v>4</v>
      </c>
      <c r="J587" s="4" t="n">
        <f aca="false">LEN(E587)-LEN(SUBSTITUTE(E587,",",""))+1</f>
        <v>4</v>
      </c>
      <c r="K587" s="3" t="str">
        <f aca="false">IFERROR(INDEX('Teacher Lookup'!$B$2:$B$200,MATCH(A587,'Teacher Lookup'!$A$2:$A$200,0)),"")</f>
        <v>KHURRAM Aamenah</v>
      </c>
    </row>
    <row r="588" customFormat="false" ht="15" hidden="false" customHeight="false" outlineLevel="0" collapsed="false">
      <c r="A588" s="3" t="s">
        <v>162</v>
      </c>
      <c r="B588" s="4" t="s">
        <v>40</v>
      </c>
      <c r="C588" s="4" t="n">
        <v>5</v>
      </c>
      <c r="D588" s="4" t="s">
        <v>79</v>
      </c>
      <c r="E588" s="3" t="s">
        <v>84</v>
      </c>
      <c r="F588" s="4" t="str">
        <f aca="false">IF(I588&gt;J588,"Y","N")</f>
        <v>N</v>
      </c>
      <c r="G588" s="3" t="s">
        <v>164</v>
      </c>
      <c r="H588" s="3" t="s">
        <v>37</v>
      </c>
      <c r="I588" s="4" t="n">
        <v>4</v>
      </c>
      <c r="J588" s="4" t="n">
        <f aca="false">LEN(E588)-LEN(SUBSTITUTE(E588,",",""))+1</f>
        <v>4</v>
      </c>
      <c r="K588" s="3" t="str">
        <f aca="false">IFERROR(INDEX('Teacher Lookup'!$B$2:$B$200,MATCH(A588,'Teacher Lookup'!$A$2:$A$200,0)),"")</f>
        <v>KHURRAM Aamenah</v>
      </c>
    </row>
    <row r="589" customFormat="false" ht="15" hidden="false" customHeight="false" outlineLevel="0" collapsed="false">
      <c r="A589" s="3" t="s">
        <v>162</v>
      </c>
      <c r="B589" s="4" t="s">
        <v>40</v>
      </c>
      <c r="C589" s="4" t="n">
        <v>6</v>
      </c>
      <c r="D589" s="4" t="s">
        <v>52</v>
      </c>
      <c r="E589" s="3" t="s">
        <v>171</v>
      </c>
      <c r="F589" s="4" t="str">
        <f aca="false">IF(I589&gt;J589,"Y","N")</f>
        <v>N</v>
      </c>
      <c r="G589" s="3" t="s">
        <v>164</v>
      </c>
      <c r="H589" s="3" t="s">
        <v>42</v>
      </c>
      <c r="I589" s="4" t="n">
        <v>4</v>
      </c>
      <c r="J589" s="4" t="n">
        <f aca="false">LEN(E589)-LEN(SUBSTITUTE(E589,",",""))+1</f>
        <v>4</v>
      </c>
      <c r="K589" s="3" t="str">
        <f aca="false">IFERROR(INDEX('Teacher Lookup'!$B$2:$B$200,MATCH(A589,'Teacher Lookup'!$A$2:$A$200,0)),"")</f>
        <v>KHURRAM Aamenah</v>
      </c>
    </row>
    <row r="590" customFormat="false" ht="15" hidden="false" customHeight="false" outlineLevel="0" collapsed="false">
      <c r="A590" s="3" t="s">
        <v>162</v>
      </c>
      <c r="B590" s="4" t="s">
        <v>40</v>
      </c>
      <c r="C590" s="4" t="n">
        <v>6</v>
      </c>
      <c r="D590" s="4" t="s">
        <v>55</v>
      </c>
      <c r="E590" s="3" t="s">
        <v>171</v>
      </c>
      <c r="F590" s="4" t="str">
        <f aca="false">IF(I590&gt;J590,"Y","N")</f>
        <v>N</v>
      </c>
      <c r="G590" s="3" t="s">
        <v>164</v>
      </c>
      <c r="H590" s="3" t="s">
        <v>42</v>
      </c>
      <c r="I590" s="4" t="n">
        <v>4</v>
      </c>
      <c r="J590" s="4" t="n">
        <f aca="false">LEN(E590)-LEN(SUBSTITUTE(E590,",",""))+1</f>
        <v>4</v>
      </c>
      <c r="K590" s="3" t="str">
        <f aca="false">IFERROR(INDEX('Teacher Lookup'!$B$2:$B$200,MATCH(A590,'Teacher Lookup'!$A$2:$A$200,0)),"")</f>
        <v>KHURRAM Aamenah</v>
      </c>
    </row>
    <row r="591" customFormat="false" ht="15" hidden="false" customHeight="false" outlineLevel="0" collapsed="false">
      <c r="A591" s="3" t="s">
        <v>162</v>
      </c>
      <c r="B591" s="4" t="s">
        <v>40</v>
      </c>
      <c r="C591" s="4" t="n">
        <v>6</v>
      </c>
      <c r="D591" s="4" t="s">
        <v>56</v>
      </c>
      <c r="E591" s="3" t="s">
        <v>171</v>
      </c>
      <c r="F591" s="4" t="str">
        <f aca="false">IF(I591&gt;J591,"Y","N")</f>
        <v>N</v>
      </c>
      <c r="G591" s="3" t="s">
        <v>164</v>
      </c>
      <c r="H591" s="3" t="s">
        <v>42</v>
      </c>
      <c r="I591" s="4" t="n">
        <v>4</v>
      </c>
      <c r="J591" s="4" t="n">
        <f aca="false">LEN(E591)-LEN(SUBSTITUTE(E591,",",""))+1</f>
        <v>4</v>
      </c>
      <c r="K591" s="3" t="str">
        <f aca="false">IFERROR(INDEX('Teacher Lookup'!$B$2:$B$200,MATCH(A591,'Teacher Lookup'!$A$2:$A$200,0)),"")</f>
        <v>KHURRAM Aamenah</v>
      </c>
    </row>
    <row r="592" customFormat="false" ht="15" hidden="false" customHeight="false" outlineLevel="0" collapsed="false">
      <c r="A592" s="3" t="s">
        <v>162</v>
      </c>
      <c r="B592" s="4" t="s">
        <v>40</v>
      </c>
      <c r="C592" s="4" t="n">
        <v>7</v>
      </c>
      <c r="D592" s="4" t="s">
        <v>52</v>
      </c>
      <c r="E592" s="3" t="s">
        <v>171</v>
      </c>
      <c r="F592" s="4" t="str">
        <f aca="false">IF(I592&gt;J592,"Y","N")</f>
        <v>N</v>
      </c>
      <c r="G592" s="3" t="s">
        <v>164</v>
      </c>
      <c r="H592" s="3" t="s">
        <v>39</v>
      </c>
      <c r="I592" s="4" t="n">
        <v>4</v>
      </c>
      <c r="J592" s="4" t="n">
        <f aca="false">LEN(E592)-LEN(SUBSTITUTE(E592,",",""))+1</f>
        <v>4</v>
      </c>
      <c r="K592" s="3" t="str">
        <f aca="false">IFERROR(INDEX('Teacher Lookup'!$B$2:$B$200,MATCH(A592,'Teacher Lookup'!$A$2:$A$200,0)),"")</f>
        <v>KHURRAM Aamenah</v>
      </c>
    </row>
    <row r="593" customFormat="false" ht="15" hidden="false" customHeight="false" outlineLevel="0" collapsed="false">
      <c r="A593" s="3" t="s">
        <v>162</v>
      </c>
      <c r="B593" s="4" t="s">
        <v>40</v>
      </c>
      <c r="C593" s="4" t="n">
        <v>7</v>
      </c>
      <c r="D593" s="4" t="s">
        <v>55</v>
      </c>
      <c r="E593" s="3" t="s">
        <v>171</v>
      </c>
      <c r="F593" s="4" t="str">
        <f aca="false">IF(I593&gt;J593,"Y","N")</f>
        <v>N</v>
      </c>
      <c r="G593" s="3" t="s">
        <v>164</v>
      </c>
      <c r="H593" s="3" t="s">
        <v>39</v>
      </c>
      <c r="I593" s="4" t="n">
        <v>4</v>
      </c>
      <c r="J593" s="4" t="n">
        <f aca="false">LEN(E593)-LEN(SUBSTITUTE(E593,",",""))+1</f>
        <v>4</v>
      </c>
      <c r="K593" s="3" t="str">
        <f aca="false">IFERROR(INDEX('Teacher Lookup'!$B$2:$B$200,MATCH(A593,'Teacher Lookup'!$A$2:$A$200,0)),"")</f>
        <v>KHURRAM Aamenah</v>
      </c>
    </row>
    <row r="594" customFormat="false" ht="15" hidden="false" customHeight="false" outlineLevel="0" collapsed="false">
      <c r="A594" s="3" t="s">
        <v>162</v>
      </c>
      <c r="B594" s="4" t="s">
        <v>40</v>
      </c>
      <c r="C594" s="4" t="n">
        <v>7</v>
      </c>
      <c r="D594" s="4" t="s">
        <v>56</v>
      </c>
      <c r="E594" s="3" t="s">
        <v>171</v>
      </c>
      <c r="F594" s="4" t="str">
        <f aca="false">IF(I594&gt;J594,"Y","N")</f>
        <v>N</v>
      </c>
      <c r="G594" s="3" t="s">
        <v>164</v>
      </c>
      <c r="H594" s="3" t="s">
        <v>39</v>
      </c>
      <c r="I594" s="4" t="n">
        <v>4</v>
      </c>
      <c r="J594" s="4" t="n">
        <f aca="false">LEN(E594)-LEN(SUBSTITUTE(E594,",",""))+1</f>
        <v>4</v>
      </c>
      <c r="K594" s="3" t="str">
        <f aca="false">IFERROR(INDEX('Teacher Lookup'!$B$2:$B$200,MATCH(A594,'Teacher Lookup'!$A$2:$A$200,0)),"")</f>
        <v>KHURRAM Aamenah</v>
      </c>
    </row>
    <row r="595" customFormat="false" ht="15" hidden="false" customHeight="false" outlineLevel="0" collapsed="false">
      <c r="A595" s="3" t="s">
        <v>162</v>
      </c>
      <c r="B595" s="4" t="s">
        <v>44</v>
      </c>
      <c r="C595" s="4" t="n">
        <v>1</v>
      </c>
      <c r="D595" s="4" t="s">
        <v>76</v>
      </c>
      <c r="E595" s="3" t="s">
        <v>90</v>
      </c>
      <c r="F595" s="4" t="str">
        <f aca="false">IF(I595&gt;J595,"Y","N")</f>
        <v>N</v>
      </c>
      <c r="G595" s="3" t="s">
        <v>164</v>
      </c>
      <c r="H595" s="3" t="s">
        <v>16</v>
      </c>
      <c r="I595" s="4" t="n">
        <v>4</v>
      </c>
      <c r="J595" s="4" t="n">
        <f aca="false">LEN(E595)-LEN(SUBSTITUTE(E595,",",""))+1</f>
        <v>4</v>
      </c>
      <c r="K595" s="3" t="str">
        <f aca="false">IFERROR(INDEX('Teacher Lookup'!$B$2:$B$200,MATCH(A595,'Teacher Lookup'!$A$2:$A$200,0)),"")</f>
        <v>KHURRAM Aamenah</v>
      </c>
    </row>
    <row r="596" customFormat="false" ht="15" hidden="false" customHeight="false" outlineLevel="0" collapsed="false">
      <c r="A596" s="3" t="s">
        <v>162</v>
      </c>
      <c r="B596" s="4" t="s">
        <v>44</v>
      </c>
      <c r="C596" s="4" t="n">
        <v>1</v>
      </c>
      <c r="D596" s="4" t="s">
        <v>78</v>
      </c>
      <c r="E596" s="3" t="s">
        <v>90</v>
      </c>
      <c r="F596" s="4" t="str">
        <f aca="false">IF(I596&gt;J596,"Y","N")</f>
        <v>N</v>
      </c>
      <c r="G596" s="3" t="s">
        <v>164</v>
      </c>
      <c r="H596" s="3" t="s">
        <v>16</v>
      </c>
      <c r="I596" s="4" t="n">
        <v>4</v>
      </c>
      <c r="J596" s="4" t="n">
        <f aca="false">LEN(E596)-LEN(SUBSTITUTE(E596,",",""))+1</f>
        <v>4</v>
      </c>
      <c r="K596" s="3" t="str">
        <f aca="false">IFERROR(INDEX('Teacher Lookup'!$B$2:$B$200,MATCH(A596,'Teacher Lookup'!$A$2:$A$200,0)),"")</f>
        <v>KHURRAM Aamenah</v>
      </c>
    </row>
    <row r="597" customFormat="false" ht="15" hidden="false" customHeight="false" outlineLevel="0" collapsed="false">
      <c r="A597" s="3" t="s">
        <v>162</v>
      </c>
      <c r="B597" s="4" t="s">
        <v>44</v>
      </c>
      <c r="C597" s="4" t="n">
        <v>1</v>
      </c>
      <c r="D597" s="4" t="s">
        <v>79</v>
      </c>
      <c r="E597" s="3" t="s">
        <v>90</v>
      </c>
      <c r="F597" s="4" t="str">
        <f aca="false">IF(I597&gt;J597,"Y","N")</f>
        <v>N</v>
      </c>
      <c r="G597" s="3" t="s">
        <v>164</v>
      </c>
      <c r="H597" s="3" t="s">
        <v>16</v>
      </c>
      <c r="I597" s="4" t="n">
        <v>4</v>
      </c>
      <c r="J597" s="4" t="n">
        <f aca="false">LEN(E597)-LEN(SUBSTITUTE(E597,",",""))+1</f>
        <v>4</v>
      </c>
      <c r="K597" s="3" t="str">
        <f aca="false">IFERROR(INDEX('Teacher Lookup'!$B$2:$B$200,MATCH(A597,'Teacher Lookup'!$A$2:$A$200,0)),"")</f>
        <v>KHURRAM Aamenah</v>
      </c>
    </row>
    <row r="598" customFormat="false" ht="15" hidden="false" customHeight="false" outlineLevel="0" collapsed="false">
      <c r="A598" s="3" t="s">
        <v>162</v>
      </c>
      <c r="B598" s="4" t="s">
        <v>44</v>
      </c>
      <c r="C598" s="4" t="n">
        <v>2</v>
      </c>
      <c r="D598" s="4" t="s">
        <v>52</v>
      </c>
      <c r="E598" s="3" t="s">
        <v>172</v>
      </c>
      <c r="F598" s="4" t="str">
        <f aca="false">IF(I598&gt;J598,"Y","N")</f>
        <v>N</v>
      </c>
      <c r="G598" s="3" t="s">
        <v>164</v>
      </c>
      <c r="H598" s="3" t="s">
        <v>21</v>
      </c>
      <c r="I598" s="4" t="n">
        <v>4</v>
      </c>
      <c r="J598" s="4" t="n">
        <f aca="false">LEN(E598)-LEN(SUBSTITUTE(E598,",",""))+1</f>
        <v>4</v>
      </c>
      <c r="K598" s="3" t="str">
        <f aca="false">IFERROR(INDEX('Teacher Lookup'!$B$2:$B$200,MATCH(A598,'Teacher Lookup'!$A$2:$A$200,0)),"")</f>
        <v>KHURRAM Aamenah</v>
      </c>
    </row>
    <row r="599" customFormat="false" ht="15" hidden="false" customHeight="false" outlineLevel="0" collapsed="false">
      <c r="A599" s="3" t="s">
        <v>162</v>
      </c>
      <c r="B599" s="4" t="s">
        <v>44</v>
      </c>
      <c r="C599" s="4" t="n">
        <v>2</v>
      </c>
      <c r="D599" s="4" t="s">
        <v>55</v>
      </c>
      <c r="E599" s="3" t="s">
        <v>172</v>
      </c>
      <c r="F599" s="4" t="str">
        <f aca="false">IF(I599&gt;J599,"Y","N")</f>
        <v>N</v>
      </c>
      <c r="G599" s="3" t="s">
        <v>164</v>
      </c>
      <c r="H599" s="3" t="s">
        <v>21</v>
      </c>
      <c r="I599" s="4" t="n">
        <v>4</v>
      </c>
      <c r="J599" s="4" t="n">
        <f aca="false">LEN(E599)-LEN(SUBSTITUTE(E599,",",""))+1</f>
        <v>4</v>
      </c>
      <c r="K599" s="3" t="str">
        <f aca="false">IFERROR(INDEX('Teacher Lookup'!$B$2:$B$200,MATCH(A599,'Teacher Lookup'!$A$2:$A$200,0)),"")</f>
        <v>KHURRAM Aamenah</v>
      </c>
    </row>
    <row r="600" customFormat="false" ht="15" hidden="false" customHeight="false" outlineLevel="0" collapsed="false">
      <c r="A600" s="3" t="s">
        <v>162</v>
      </c>
      <c r="B600" s="4" t="s">
        <v>44</v>
      </c>
      <c r="C600" s="4" t="n">
        <v>2</v>
      </c>
      <c r="D600" s="4" t="s">
        <v>56</v>
      </c>
      <c r="E600" s="3" t="s">
        <v>172</v>
      </c>
      <c r="F600" s="4" t="str">
        <f aca="false">IF(I600&gt;J600,"Y","N")</f>
        <v>N</v>
      </c>
      <c r="G600" s="3" t="s">
        <v>164</v>
      </c>
      <c r="H600" s="3" t="s">
        <v>21</v>
      </c>
      <c r="I600" s="4" t="n">
        <v>4</v>
      </c>
      <c r="J600" s="4" t="n">
        <f aca="false">LEN(E600)-LEN(SUBSTITUTE(E600,",",""))+1</f>
        <v>4</v>
      </c>
      <c r="K600" s="3" t="str">
        <f aca="false">IFERROR(INDEX('Teacher Lookup'!$B$2:$B$200,MATCH(A600,'Teacher Lookup'!$A$2:$A$200,0)),"")</f>
        <v>KHURRAM Aamenah</v>
      </c>
    </row>
    <row r="601" customFormat="false" ht="15" hidden="false" customHeight="false" outlineLevel="0" collapsed="false">
      <c r="A601" s="3" t="s">
        <v>162</v>
      </c>
      <c r="B601" s="4" t="s">
        <v>44</v>
      </c>
      <c r="C601" s="4" t="n">
        <v>3</v>
      </c>
      <c r="D601" s="4" t="s">
        <v>57</v>
      </c>
      <c r="E601" s="3" t="s">
        <v>173</v>
      </c>
      <c r="F601" s="4" t="str">
        <f aca="false">IF(I601&gt;J601,"Y","N")</f>
        <v>N</v>
      </c>
      <c r="G601" s="3" t="s">
        <v>164</v>
      </c>
      <c r="H601" s="3" t="s">
        <v>26</v>
      </c>
      <c r="I601" s="4" t="n">
        <v>4</v>
      </c>
      <c r="J601" s="4" t="n">
        <f aca="false">LEN(E601)-LEN(SUBSTITUTE(E601,",",""))+1</f>
        <v>4</v>
      </c>
      <c r="K601" s="3" t="str">
        <f aca="false">IFERROR(INDEX('Teacher Lookup'!$B$2:$B$200,MATCH(A601,'Teacher Lookup'!$A$2:$A$200,0)),"")</f>
        <v>KHURRAM Aamenah</v>
      </c>
    </row>
    <row r="602" customFormat="false" ht="15" hidden="false" customHeight="false" outlineLevel="0" collapsed="false">
      <c r="A602" s="3" t="s">
        <v>162</v>
      </c>
      <c r="B602" s="4" t="s">
        <v>44</v>
      </c>
      <c r="C602" s="4" t="n">
        <v>3</v>
      </c>
      <c r="D602" s="4" t="s">
        <v>58</v>
      </c>
      <c r="E602" s="3" t="s">
        <v>173</v>
      </c>
      <c r="F602" s="4" t="str">
        <f aca="false">IF(I602&gt;J602,"Y","N")</f>
        <v>N</v>
      </c>
      <c r="G602" s="3" t="s">
        <v>164</v>
      </c>
      <c r="H602" s="3" t="s">
        <v>26</v>
      </c>
      <c r="I602" s="4" t="n">
        <v>4</v>
      </c>
      <c r="J602" s="4" t="n">
        <f aca="false">LEN(E602)-LEN(SUBSTITUTE(E602,",",""))+1</f>
        <v>4</v>
      </c>
      <c r="K602" s="3" t="str">
        <f aca="false">IFERROR(INDEX('Teacher Lookup'!$B$2:$B$200,MATCH(A602,'Teacher Lookup'!$A$2:$A$200,0)),"")</f>
        <v>KHURRAM Aamenah</v>
      </c>
    </row>
    <row r="603" customFormat="false" ht="15" hidden="false" customHeight="false" outlineLevel="0" collapsed="false">
      <c r="A603" s="3" t="s">
        <v>162</v>
      </c>
      <c r="B603" s="4" t="s">
        <v>44</v>
      </c>
      <c r="C603" s="4" t="n">
        <v>3</v>
      </c>
      <c r="D603" s="4" t="s">
        <v>59</v>
      </c>
      <c r="E603" s="3" t="s">
        <v>173</v>
      </c>
      <c r="F603" s="4" t="str">
        <f aca="false">IF(I603&gt;J603,"Y","N")</f>
        <v>N</v>
      </c>
      <c r="G603" s="3" t="s">
        <v>164</v>
      </c>
      <c r="H603" s="3" t="s">
        <v>26</v>
      </c>
      <c r="I603" s="4" t="n">
        <v>4</v>
      </c>
      <c r="J603" s="4" t="n">
        <f aca="false">LEN(E603)-LEN(SUBSTITUTE(E603,",",""))+1</f>
        <v>4</v>
      </c>
      <c r="K603" s="3" t="str">
        <f aca="false">IFERROR(INDEX('Teacher Lookup'!$B$2:$B$200,MATCH(A603,'Teacher Lookup'!$A$2:$A$200,0)),"")</f>
        <v>KHURRAM Aamenah</v>
      </c>
    </row>
    <row r="604" customFormat="false" ht="15" hidden="false" customHeight="false" outlineLevel="0" collapsed="false">
      <c r="A604" s="3" t="s">
        <v>162</v>
      </c>
      <c r="B604" s="4" t="s">
        <v>44</v>
      </c>
      <c r="C604" s="4" t="n">
        <v>5</v>
      </c>
      <c r="D604" s="4" t="s">
        <v>52</v>
      </c>
      <c r="E604" s="3" t="s">
        <v>112</v>
      </c>
      <c r="F604" s="4" t="str">
        <f aca="false">IF(I604&gt;J604,"Y","N")</f>
        <v>Y</v>
      </c>
      <c r="G604" s="3" t="s">
        <v>36</v>
      </c>
      <c r="H604" s="3" t="s">
        <v>37</v>
      </c>
      <c r="I604" s="4" t="n">
        <v>16</v>
      </c>
      <c r="J604" s="4" t="n">
        <f aca="false">LEN(E604)-LEN(SUBSTITUTE(E604,",",""))+1</f>
        <v>7</v>
      </c>
      <c r="K604" s="3" t="str">
        <f aca="false">IFERROR(INDEX('Teacher Lookup'!$B$2:$B$200,MATCH(A604,'Teacher Lookup'!$A$2:$A$200,0)),"")</f>
        <v>KHURRAM Aamenah</v>
      </c>
    </row>
    <row r="605" customFormat="false" ht="15" hidden="false" customHeight="false" outlineLevel="0" collapsed="false">
      <c r="A605" s="3" t="s">
        <v>162</v>
      </c>
      <c r="B605" s="4" t="s">
        <v>44</v>
      </c>
      <c r="C605" s="4" t="n">
        <v>5</v>
      </c>
      <c r="D605" s="4" t="s">
        <v>55</v>
      </c>
      <c r="E605" s="3" t="s">
        <v>112</v>
      </c>
      <c r="F605" s="4" t="str">
        <f aca="false">IF(I605&gt;J605,"Y","N")</f>
        <v>Y</v>
      </c>
      <c r="G605" s="3" t="s">
        <v>36</v>
      </c>
      <c r="H605" s="3" t="s">
        <v>37</v>
      </c>
      <c r="I605" s="4" t="n">
        <v>16</v>
      </c>
      <c r="J605" s="4" t="n">
        <f aca="false">LEN(E605)-LEN(SUBSTITUTE(E605,",",""))+1</f>
        <v>7</v>
      </c>
      <c r="K605" s="3" t="str">
        <f aca="false">IFERROR(INDEX('Teacher Lookup'!$B$2:$B$200,MATCH(A605,'Teacher Lookup'!$A$2:$A$200,0)),"")</f>
        <v>KHURRAM Aamenah</v>
      </c>
    </row>
    <row r="606" customFormat="false" ht="15" hidden="false" customHeight="false" outlineLevel="0" collapsed="false">
      <c r="A606" s="3" t="s">
        <v>162</v>
      </c>
      <c r="B606" s="4" t="s">
        <v>44</v>
      </c>
      <c r="C606" s="4" t="n">
        <v>5</v>
      </c>
      <c r="D606" s="4" t="s">
        <v>56</v>
      </c>
      <c r="E606" s="3" t="s">
        <v>112</v>
      </c>
      <c r="F606" s="4" t="str">
        <f aca="false">IF(I606&gt;J606,"Y","N")</f>
        <v>Y</v>
      </c>
      <c r="G606" s="3" t="s">
        <v>36</v>
      </c>
      <c r="H606" s="3" t="s">
        <v>37</v>
      </c>
      <c r="I606" s="4" t="n">
        <v>16</v>
      </c>
      <c r="J606" s="4" t="n">
        <f aca="false">LEN(E606)-LEN(SUBSTITUTE(E606,",",""))+1</f>
        <v>7</v>
      </c>
      <c r="K606" s="3" t="str">
        <f aca="false">IFERROR(INDEX('Teacher Lookup'!$B$2:$B$200,MATCH(A606,'Teacher Lookup'!$A$2:$A$200,0)),"")</f>
        <v>KHURRAM Aamenah</v>
      </c>
    </row>
    <row r="607" customFormat="false" ht="15" hidden="false" customHeight="false" outlineLevel="0" collapsed="false">
      <c r="A607" s="3" t="s">
        <v>162</v>
      </c>
      <c r="B607" s="4" t="s">
        <v>44</v>
      </c>
      <c r="C607" s="4" t="n">
        <v>5</v>
      </c>
      <c r="D607" s="4" t="s">
        <v>57</v>
      </c>
      <c r="E607" s="3" t="s">
        <v>112</v>
      </c>
      <c r="F607" s="4" t="str">
        <f aca="false">IF(I607&gt;J607,"Y","N")</f>
        <v>Y</v>
      </c>
      <c r="G607" s="3" t="s">
        <v>36</v>
      </c>
      <c r="H607" s="3" t="s">
        <v>37</v>
      </c>
      <c r="I607" s="4" t="n">
        <v>16</v>
      </c>
      <c r="J607" s="4" t="n">
        <f aca="false">LEN(E607)-LEN(SUBSTITUTE(E607,",",""))+1</f>
        <v>7</v>
      </c>
      <c r="K607" s="3" t="str">
        <f aca="false">IFERROR(INDEX('Teacher Lookup'!$B$2:$B$200,MATCH(A607,'Teacher Lookup'!$A$2:$A$200,0)),"")</f>
        <v>KHURRAM Aamenah</v>
      </c>
    </row>
    <row r="608" customFormat="false" ht="15" hidden="false" customHeight="false" outlineLevel="0" collapsed="false">
      <c r="A608" s="3" t="s">
        <v>162</v>
      </c>
      <c r="B608" s="4" t="s">
        <v>44</v>
      </c>
      <c r="C608" s="4" t="n">
        <v>5</v>
      </c>
      <c r="D608" s="4" t="s">
        <v>58</v>
      </c>
      <c r="E608" s="3" t="s">
        <v>112</v>
      </c>
      <c r="F608" s="4" t="str">
        <f aca="false">IF(I608&gt;J608,"Y","N")</f>
        <v>Y</v>
      </c>
      <c r="G608" s="3" t="s">
        <v>36</v>
      </c>
      <c r="H608" s="3" t="s">
        <v>37</v>
      </c>
      <c r="I608" s="4" t="n">
        <v>16</v>
      </c>
      <c r="J608" s="4" t="n">
        <f aca="false">LEN(E608)-LEN(SUBSTITUTE(E608,",",""))+1</f>
        <v>7</v>
      </c>
      <c r="K608" s="3" t="str">
        <f aca="false">IFERROR(INDEX('Teacher Lookup'!$B$2:$B$200,MATCH(A608,'Teacher Lookup'!$A$2:$A$200,0)),"")</f>
        <v>KHURRAM Aamenah</v>
      </c>
    </row>
    <row r="609" customFormat="false" ht="15" hidden="false" customHeight="false" outlineLevel="0" collapsed="false">
      <c r="A609" s="3" t="s">
        <v>162</v>
      </c>
      <c r="B609" s="4" t="s">
        <v>44</v>
      </c>
      <c r="C609" s="4" t="n">
        <v>5</v>
      </c>
      <c r="D609" s="4" t="s">
        <v>59</v>
      </c>
      <c r="E609" s="3" t="s">
        <v>112</v>
      </c>
      <c r="F609" s="4" t="str">
        <f aca="false">IF(I609&gt;J609,"Y","N")</f>
        <v>Y</v>
      </c>
      <c r="G609" s="3" t="s">
        <v>36</v>
      </c>
      <c r="H609" s="3" t="s">
        <v>37</v>
      </c>
      <c r="I609" s="4" t="n">
        <v>16</v>
      </c>
      <c r="J609" s="4" t="n">
        <f aca="false">LEN(E609)-LEN(SUBSTITUTE(E609,",",""))+1</f>
        <v>7</v>
      </c>
      <c r="K609" s="3" t="str">
        <f aca="false">IFERROR(INDEX('Teacher Lookup'!$B$2:$B$200,MATCH(A609,'Teacher Lookup'!$A$2:$A$200,0)),"")</f>
        <v>KHURRAM Aamenah</v>
      </c>
    </row>
    <row r="610" customFormat="false" ht="15" hidden="false" customHeight="false" outlineLevel="0" collapsed="false">
      <c r="A610" s="3" t="s">
        <v>162</v>
      </c>
      <c r="B610" s="4" t="s">
        <v>47</v>
      </c>
      <c r="C610" s="4" t="n">
        <v>2</v>
      </c>
      <c r="D610" s="4" t="s">
        <v>76</v>
      </c>
      <c r="E610" s="3" t="s">
        <v>174</v>
      </c>
      <c r="F610" s="4" t="str">
        <f aca="false">IF(I610&gt;J610,"Y","N")</f>
        <v>N</v>
      </c>
      <c r="G610" s="3" t="s">
        <v>164</v>
      </c>
      <c r="H610" s="3" t="s">
        <v>21</v>
      </c>
      <c r="I610" s="4" t="n">
        <v>4</v>
      </c>
      <c r="J610" s="4" t="n">
        <f aca="false">LEN(E610)-LEN(SUBSTITUTE(E610,",",""))+1</f>
        <v>4</v>
      </c>
      <c r="K610" s="3" t="str">
        <f aca="false">IFERROR(INDEX('Teacher Lookup'!$B$2:$B$200,MATCH(A610,'Teacher Lookup'!$A$2:$A$200,0)),"")</f>
        <v>KHURRAM Aamenah</v>
      </c>
    </row>
    <row r="611" customFormat="false" ht="15" hidden="false" customHeight="false" outlineLevel="0" collapsed="false">
      <c r="A611" s="3" t="s">
        <v>162</v>
      </c>
      <c r="B611" s="4" t="s">
        <v>47</v>
      </c>
      <c r="C611" s="4" t="n">
        <v>2</v>
      </c>
      <c r="D611" s="4" t="s">
        <v>78</v>
      </c>
      <c r="E611" s="3" t="s">
        <v>174</v>
      </c>
      <c r="F611" s="4" t="str">
        <f aca="false">IF(I611&gt;J611,"Y","N")</f>
        <v>N</v>
      </c>
      <c r="G611" s="3" t="s">
        <v>164</v>
      </c>
      <c r="H611" s="3" t="s">
        <v>21</v>
      </c>
      <c r="I611" s="4" t="n">
        <v>4</v>
      </c>
      <c r="J611" s="4" t="n">
        <f aca="false">LEN(E611)-LEN(SUBSTITUTE(E611,",",""))+1</f>
        <v>4</v>
      </c>
      <c r="K611" s="3" t="str">
        <f aca="false">IFERROR(INDEX('Teacher Lookup'!$B$2:$B$200,MATCH(A611,'Teacher Lookup'!$A$2:$A$200,0)),"")</f>
        <v>KHURRAM Aamenah</v>
      </c>
    </row>
    <row r="612" customFormat="false" ht="15" hidden="false" customHeight="false" outlineLevel="0" collapsed="false">
      <c r="A612" s="3" t="s">
        <v>162</v>
      </c>
      <c r="B612" s="4" t="s">
        <v>47</v>
      </c>
      <c r="C612" s="4" t="n">
        <v>2</v>
      </c>
      <c r="D612" s="4" t="s">
        <v>79</v>
      </c>
      <c r="E612" s="3" t="s">
        <v>174</v>
      </c>
      <c r="F612" s="4" t="str">
        <f aca="false">IF(I612&gt;J612,"Y","N")</f>
        <v>N</v>
      </c>
      <c r="G612" s="3" t="s">
        <v>164</v>
      </c>
      <c r="H612" s="3" t="s">
        <v>21</v>
      </c>
      <c r="I612" s="4" t="n">
        <v>4</v>
      </c>
      <c r="J612" s="4" t="n">
        <f aca="false">LEN(E612)-LEN(SUBSTITUTE(E612,",",""))+1</f>
        <v>4</v>
      </c>
      <c r="K612" s="3" t="str">
        <f aca="false">IFERROR(INDEX('Teacher Lookup'!$B$2:$B$200,MATCH(A612,'Teacher Lookup'!$A$2:$A$200,0)),"")</f>
        <v>KHURRAM Aamenah</v>
      </c>
    </row>
    <row r="613" customFormat="false" ht="15" hidden="false" customHeight="false" outlineLevel="0" collapsed="false">
      <c r="A613" s="3" t="s">
        <v>162</v>
      </c>
      <c r="B613" s="4" t="s">
        <v>47</v>
      </c>
      <c r="C613" s="4" t="n">
        <v>3</v>
      </c>
      <c r="D613" s="4" t="s">
        <v>57</v>
      </c>
      <c r="E613" s="3" t="s">
        <v>175</v>
      </c>
      <c r="F613" s="4" t="str">
        <f aca="false">IF(I613&gt;J613,"Y","N")</f>
        <v>N</v>
      </c>
      <c r="G613" s="3" t="s">
        <v>164</v>
      </c>
      <c r="H613" s="3" t="s">
        <v>26</v>
      </c>
      <c r="I613" s="4" t="n">
        <v>4</v>
      </c>
      <c r="J613" s="4" t="n">
        <f aca="false">LEN(E613)-LEN(SUBSTITUTE(E613,",",""))+1</f>
        <v>4</v>
      </c>
      <c r="K613" s="3" t="str">
        <f aca="false">IFERROR(INDEX('Teacher Lookup'!$B$2:$B$200,MATCH(A613,'Teacher Lookup'!$A$2:$A$200,0)),"")</f>
        <v>KHURRAM Aamenah</v>
      </c>
    </row>
    <row r="614" customFormat="false" ht="15" hidden="false" customHeight="false" outlineLevel="0" collapsed="false">
      <c r="A614" s="3" t="s">
        <v>162</v>
      </c>
      <c r="B614" s="4" t="s">
        <v>47</v>
      </c>
      <c r="C614" s="4" t="n">
        <v>3</v>
      </c>
      <c r="D614" s="4" t="s">
        <v>58</v>
      </c>
      <c r="E614" s="3" t="s">
        <v>175</v>
      </c>
      <c r="F614" s="4" t="str">
        <f aca="false">IF(I614&gt;J614,"Y","N")</f>
        <v>N</v>
      </c>
      <c r="G614" s="3" t="s">
        <v>164</v>
      </c>
      <c r="H614" s="3" t="s">
        <v>26</v>
      </c>
      <c r="I614" s="4" t="n">
        <v>4</v>
      </c>
      <c r="J614" s="4" t="n">
        <f aca="false">LEN(E614)-LEN(SUBSTITUTE(E614,",",""))+1</f>
        <v>4</v>
      </c>
      <c r="K614" s="3" t="str">
        <f aca="false">IFERROR(INDEX('Teacher Lookup'!$B$2:$B$200,MATCH(A614,'Teacher Lookup'!$A$2:$A$200,0)),"")</f>
        <v>KHURRAM Aamenah</v>
      </c>
    </row>
    <row r="615" customFormat="false" ht="15" hidden="false" customHeight="false" outlineLevel="0" collapsed="false">
      <c r="A615" s="3" t="s">
        <v>162</v>
      </c>
      <c r="B615" s="4" t="s">
        <v>47</v>
      </c>
      <c r="C615" s="4" t="n">
        <v>3</v>
      </c>
      <c r="D615" s="4" t="s">
        <v>59</v>
      </c>
      <c r="E615" s="3" t="s">
        <v>175</v>
      </c>
      <c r="F615" s="4" t="str">
        <f aca="false">IF(I615&gt;J615,"Y","N")</f>
        <v>N</v>
      </c>
      <c r="G615" s="3" t="s">
        <v>164</v>
      </c>
      <c r="H615" s="3" t="s">
        <v>26</v>
      </c>
      <c r="I615" s="4" t="n">
        <v>4</v>
      </c>
      <c r="J615" s="4" t="n">
        <f aca="false">LEN(E615)-LEN(SUBSTITUTE(E615,",",""))+1</f>
        <v>4</v>
      </c>
      <c r="K615" s="3" t="str">
        <f aca="false">IFERROR(INDEX('Teacher Lookup'!$B$2:$B$200,MATCH(A615,'Teacher Lookup'!$A$2:$A$200,0)),"")</f>
        <v>KHURRAM Aamenah</v>
      </c>
    </row>
    <row r="616" customFormat="false" ht="15" hidden="false" customHeight="false" outlineLevel="0" collapsed="false">
      <c r="A616" s="3" t="s">
        <v>162</v>
      </c>
      <c r="B616" s="4" t="s">
        <v>47</v>
      </c>
      <c r="C616" s="4" t="n">
        <v>4</v>
      </c>
      <c r="D616" s="4" t="s">
        <v>52</v>
      </c>
      <c r="E616" s="3" t="s">
        <v>176</v>
      </c>
      <c r="F616" s="4" t="str">
        <f aca="false">IF(I616&gt;J616,"Y","N")</f>
        <v>N</v>
      </c>
      <c r="G616" s="3" t="s">
        <v>164</v>
      </c>
      <c r="H616" s="3" t="s">
        <v>34</v>
      </c>
      <c r="I616" s="4" t="n">
        <v>4</v>
      </c>
      <c r="J616" s="4" t="n">
        <f aca="false">LEN(E616)-LEN(SUBSTITUTE(E616,",",""))+1</f>
        <v>4</v>
      </c>
      <c r="K616" s="3" t="str">
        <f aca="false">IFERROR(INDEX('Teacher Lookup'!$B$2:$B$200,MATCH(A616,'Teacher Lookup'!$A$2:$A$200,0)),"")</f>
        <v>KHURRAM Aamenah</v>
      </c>
    </row>
    <row r="617" customFormat="false" ht="15" hidden="false" customHeight="false" outlineLevel="0" collapsed="false">
      <c r="A617" s="3" t="s">
        <v>162</v>
      </c>
      <c r="B617" s="4" t="s">
        <v>47</v>
      </c>
      <c r="C617" s="4" t="n">
        <v>4</v>
      </c>
      <c r="D617" s="4" t="s">
        <v>55</v>
      </c>
      <c r="E617" s="3" t="s">
        <v>176</v>
      </c>
      <c r="F617" s="4" t="str">
        <f aca="false">IF(I617&gt;J617,"Y","N")</f>
        <v>N</v>
      </c>
      <c r="G617" s="3" t="s">
        <v>164</v>
      </c>
      <c r="H617" s="3" t="s">
        <v>34</v>
      </c>
      <c r="I617" s="4" t="n">
        <v>4</v>
      </c>
      <c r="J617" s="4" t="n">
        <f aca="false">LEN(E617)-LEN(SUBSTITUTE(E617,",",""))+1</f>
        <v>4</v>
      </c>
      <c r="K617" s="3" t="str">
        <f aca="false">IFERROR(INDEX('Teacher Lookup'!$B$2:$B$200,MATCH(A617,'Teacher Lookup'!$A$2:$A$200,0)),"")</f>
        <v>KHURRAM Aamenah</v>
      </c>
    </row>
    <row r="618" customFormat="false" ht="15" hidden="false" customHeight="false" outlineLevel="0" collapsed="false">
      <c r="A618" s="3" t="s">
        <v>162</v>
      </c>
      <c r="B618" s="4" t="s">
        <v>47</v>
      </c>
      <c r="C618" s="4" t="n">
        <v>4</v>
      </c>
      <c r="D618" s="4" t="s">
        <v>56</v>
      </c>
      <c r="E618" s="3" t="s">
        <v>176</v>
      </c>
      <c r="F618" s="4" t="str">
        <f aca="false">IF(I618&gt;J618,"Y","N")</f>
        <v>N</v>
      </c>
      <c r="G618" s="3" t="s">
        <v>164</v>
      </c>
      <c r="H618" s="3" t="s">
        <v>34</v>
      </c>
      <c r="I618" s="4" t="n">
        <v>4</v>
      </c>
      <c r="J618" s="4" t="n">
        <f aca="false">LEN(E618)-LEN(SUBSTITUTE(E618,",",""))+1</f>
        <v>4</v>
      </c>
      <c r="K618" s="3" t="str">
        <f aca="false">IFERROR(INDEX('Teacher Lookup'!$B$2:$B$200,MATCH(A618,'Teacher Lookup'!$A$2:$A$200,0)),"")</f>
        <v>KHURRAM Aamenah</v>
      </c>
    </row>
    <row r="619" customFormat="false" ht="15" hidden="false" customHeight="false" outlineLevel="0" collapsed="false">
      <c r="A619" s="3" t="s">
        <v>162</v>
      </c>
      <c r="B619" s="4" t="s">
        <v>50</v>
      </c>
      <c r="C619" s="4" t="n">
        <v>2</v>
      </c>
      <c r="D619" s="4" t="s">
        <v>76</v>
      </c>
      <c r="E619" s="3" t="s">
        <v>90</v>
      </c>
      <c r="F619" s="4" t="str">
        <f aca="false">IF(I619&gt;J619,"Y","N")</f>
        <v>N</v>
      </c>
      <c r="G619" s="3" t="s">
        <v>164</v>
      </c>
      <c r="H619" s="3" t="s">
        <v>21</v>
      </c>
      <c r="I619" s="4" t="n">
        <v>4</v>
      </c>
      <c r="J619" s="4" t="n">
        <f aca="false">LEN(E619)-LEN(SUBSTITUTE(E619,",",""))+1</f>
        <v>4</v>
      </c>
      <c r="K619" s="3" t="str">
        <f aca="false">IFERROR(INDEX('Teacher Lookup'!$B$2:$B$200,MATCH(A619,'Teacher Lookup'!$A$2:$A$200,0)),"")</f>
        <v>KHURRAM Aamenah</v>
      </c>
    </row>
    <row r="620" customFormat="false" ht="15" hidden="false" customHeight="false" outlineLevel="0" collapsed="false">
      <c r="A620" s="3" t="s">
        <v>162</v>
      </c>
      <c r="B620" s="4" t="s">
        <v>50</v>
      </c>
      <c r="C620" s="4" t="n">
        <v>2</v>
      </c>
      <c r="D620" s="4" t="s">
        <v>78</v>
      </c>
      <c r="E620" s="3" t="s">
        <v>90</v>
      </c>
      <c r="F620" s="4" t="str">
        <f aca="false">IF(I620&gt;J620,"Y","N")</f>
        <v>N</v>
      </c>
      <c r="G620" s="3" t="s">
        <v>164</v>
      </c>
      <c r="H620" s="3" t="s">
        <v>21</v>
      </c>
      <c r="I620" s="4" t="n">
        <v>4</v>
      </c>
      <c r="J620" s="4" t="n">
        <f aca="false">LEN(E620)-LEN(SUBSTITUTE(E620,",",""))+1</f>
        <v>4</v>
      </c>
      <c r="K620" s="3" t="str">
        <f aca="false">IFERROR(INDEX('Teacher Lookup'!$B$2:$B$200,MATCH(A620,'Teacher Lookup'!$A$2:$A$200,0)),"")</f>
        <v>KHURRAM Aamenah</v>
      </c>
    </row>
    <row r="621" customFormat="false" ht="15" hidden="false" customHeight="false" outlineLevel="0" collapsed="false">
      <c r="A621" s="3" t="s">
        <v>162</v>
      </c>
      <c r="B621" s="4" t="s">
        <v>50</v>
      </c>
      <c r="C621" s="4" t="n">
        <v>2</v>
      </c>
      <c r="D621" s="4" t="s">
        <v>79</v>
      </c>
      <c r="E621" s="3" t="s">
        <v>90</v>
      </c>
      <c r="F621" s="4" t="str">
        <f aca="false">IF(I621&gt;J621,"Y","N")</f>
        <v>N</v>
      </c>
      <c r="G621" s="3" t="s">
        <v>164</v>
      </c>
      <c r="H621" s="3" t="s">
        <v>21</v>
      </c>
      <c r="I621" s="4" t="n">
        <v>4</v>
      </c>
      <c r="J621" s="4" t="n">
        <f aca="false">LEN(E621)-LEN(SUBSTITUTE(E621,",",""))+1</f>
        <v>4</v>
      </c>
      <c r="K621" s="3" t="str">
        <f aca="false">IFERROR(INDEX('Teacher Lookup'!$B$2:$B$200,MATCH(A621,'Teacher Lookup'!$A$2:$A$200,0)),"")</f>
        <v>KHURRAM Aamenah</v>
      </c>
    </row>
    <row r="622" customFormat="false" ht="15" hidden="false" customHeight="false" outlineLevel="0" collapsed="false">
      <c r="A622" s="3" t="s">
        <v>162</v>
      </c>
      <c r="B622" s="4" t="s">
        <v>50</v>
      </c>
      <c r="C622" s="4" t="n">
        <v>4</v>
      </c>
      <c r="D622" s="4" t="s">
        <v>52</v>
      </c>
      <c r="E622" s="3" t="s">
        <v>177</v>
      </c>
      <c r="F622" s="4" t="str">
        <f aca="false">IF(I622&gt;J622,"Y","N")</f>
        <v>N</v>
      </c>
      <c r="G622" s="3" t="s">
        <v>164</v>
      </c>
      <c r="H622" s="3" t="s">
        <v>34</v>
      </c>
      <c r="I622" s="4" t="n">
        <v>4</v>
      </c>
      <c r="J622" s="4" t="n">
        <f aca="false">LEN(E622)-LEN(SUBSTITUTE(E622,",",""))+1</f>
        <v>4</v>
      </c>
      <c r="K622" s="3" t="str">
        <f aca="false">IFERROR(INDEX('Teacher Lookup'!$B$2:$B$200,MATCH(A622,'Teacher Lookup'!$A$2:$A$200,0)),"")</f>
        <v>KHURRAM Aamenah</v>
      </c>
    </row>
    <row r="623" customFormat="false" ht="15" hidden="false" customHeight="false" outlineLevel="0" collapsed="false">
      <c r="A623" s="3" t="s">
        <v>162</v>
      </c>
      <c r="B623" s="4" t="s">
        <v>50</v>
      </c>
      <c r="C623" s="4" t="n">
        <v>4</v>
      </c>
      <c r="D623" s="4" t="s">
        <v>55</v>
      </c>
      <c r="E623" s="3" t="s">
        <v>177</v>
      </c>
      <c r="F623" s="4" t="str">
        <f aca="false">IF(I623&gt;J623,"Y","N")</f>
        <v>N</v>
      </c>
      <c r="G623" s="3" t="s">
        <v>164</v>
      </c>
      <c r="H623" s="3" t="s">
        <v>34</v>
      </c>
      <c r="I623" s="4" t="n">
        <v>4</v>
      </c>
      <c r="J623" s="4" t="n">
        <f aca="false">LEN(E623)-LEN(SUBSTITUTE(E623,",",""))+1</f>
        <v>4</v>
      </c>
      <c r="K623" s="3" t="str">
        <f aca="false">IFERROR(INDEX('Teacher Lookup'!$B$2:$B$200,MATCH(A623,'Teacher Lookup'!$A$2:$A$200,0)),"")</f>
        <v>KHURRAM Aamenah</v>
      </c>
    </row>
    <row r="624" customFormat="false" ht="15" hidden="false" customHeight="false" outlineLevel="0" collapsed="false">
      <c r="A624" s="3" t="s">
        <v>162</v>
      </c>
      <c r="B624" s="4" t="s">
        <v>50</v>
      </c>
      <c r="C624" s="4" t="n">
        <v>4</v>
      </c>
      <c r="D624" s="4" t="s">
        <v>56</v>
      </c>
      <c r="E624" s="3" t="s">
        <v>177</v>
      </c>
      <c r="F624" s="4" t="str">
        <f aca="false">IF(I624&gt;J624,"Y","N")</f>
        <v>N</v>
      </c>
      <c r="G624" s="3" t="s">
        <v>164</v>
      </c>
      <c r="H624" s="3" t="s">
        <v>34</v>
      </c>
      <c r="I624" s="4" t="n">
        <v>4</v>
      </c>
      <c r="J624" s="4" t="n">
        <f aca="false">LEN(E624)-LEN(SUBSTITUTE(E624,",",""))+1</f>
        <v>4</v>
      </c>
      <c r="K624" s="3" t="str">
        <f aca="false">IFERROR(INDEX('Teacher Lookup'!$B$2:$B$200,MATCH(A624,'Teacher Lookup'!$A$2:$A$200,0)),"")</f>
        <v>KHURRAM Aamenah</v>
      </c>
    </row>
    <row r="625" customFormat="false" ht="15" hidden="false" customHeight="false" outlineLevel="0" collapsed="false">
      <c r="A625" s="3" t="s">
        <v>162</v>
      </c>
      <c r="B625" s="4" t="s">
        <v>50</v>
      </c>
      <c r="C625" s="4" t="n">
        <v>5</v>
      </c>
      <c r="D625" s="4" t="s">
        <v>57</v>
      </c>
      <c r="E625" s="3" t="s">
        <v>166</v>
      </c>
      <c r="F625" s="4" t="str">
        <f aca="false">IF(I625&gt;J625,"Y","N")</f>
        <v>N</v>
      </c>
      <c r="G625" s="3" t="s">
        <v>164</v>
      </c>
      <c r="H625" s="3" t="s">
        <v>37</v>
      </c>
      <c r="I625" s="4" t="n">
        <v>4</v>
      </c>
      <c r="J625" s="4" t="n">
        <f aca="false">LEN(E625)-LEN(SUBSTITUTE(E625,",",""))+1</f>
        <v>4</v>
      </c>
      <c r="K625" s="3" t="str">
        <f aca="false">IFERROR(INDEX('Teacher Lookup'!$B$2:$B$200,MATCH(A625,'Teacher Lookup'!$A$2:$A$200,0)),"")</f>
        <v>KHURRAM Aamenah</v>
      </c>
    </row>
    <row r="626" customFormat="false" ht="15" hidden="false" customHeight="false" outlineLevel="0" collapsed="false">
      <c r="A626" s="3" t="s">
        <v>162</v>
      </c>
      <c r="B626" s="4" t="s">
        <v>50</v>
      </c>
      <c r="C626" s="4" t="n">
        <v>5</v>
      </c>
      <c r="D626" s="4" t="s">
        <v>58</v>
      </c>
      <c r="E626" s="3" t="s">
        <v>166</v>
      </c>
      <c r="F626" s="4" t="str">
        <f aca="false">IF(I626&gt;J626,"Y","N")</f>
        <v>N</v>
      </c>
      <c r="G626" s="3" t="s">
        <v>164</v>
      </c>
      <c r="H626" s="3" t="s">
        <v>37</v>
      </c>
      <c r="I626" s="4" t="n">
        <v>4</v>
      </c>
      <c r="J626" s="4" t="n">
        <f aca="false">LEN(E626)-LEN(SUBSTITUTE(E626,",",""))+1</f>
        <v>4</v>
      </c>
      <c r="K626" s="3" t="str">
        <f aca="false">IFERROR(INDEX('Teacher Lookup'!$B$2:$B$200,MATCH(A626,'Teacher Lookup'!$A$2:$A$200,0)),"")</f>
        <v>KHURRAM Aamenah</v>
      </c>
    </row>
    <row r="627" customFormat="false" ht="15" hidden="false" customHeight="false" outlineLevel="0" collapsed="false">
      <c r="A627" s="3" t="s">
        <v>162</v>
      </c>
      <c r="B627" s="4" t="s">
        <v>50</v>
      </c>
      <c r="C627" s="4" t="n">
        <v>5</v>
      </c>
      <c r="D627" s="4" t="s">
        <v>59</v>
      </c>
      <c r="E627" s="3" t="s">
        <v>166</v>
      </c>
      <c r="F627" s="4" t="str">
        <f aca="false">IF(I627&gt;J627,"Y","N")</f>
        <v>N</v>
      </c>
      <c r="G627" s="3" t="s">
        <v>164</v>
      </c>
      <c r="H627" s="3" t="s">
        <v>37</v>
      </c>
      <c r="I627" s="4" t="n">
        <v>4</v>
      </c>
      <c r="J627" s="4" t="n">
        <f aca="false">LEN(E627)-LEN(SUBSTITUTE(E627,",",""))+1</f>
        <v>4</v>
      </c>
      <c r="K627" s="3" t="str">
        <f aca="false">IFERROR(INDEX('Teacher Lookup'!$B$2:$B$200,MATCH(A627,'Teacher Lookup'!$A$2:$A$200,0)),"")</f>
        <v>KHURRAM Aamenah</v>
      </c>
    </row>
    <row r="628" customFormat="false" ht="15" hidden="false" customHeight="false" outlineLevel="0" collapsed="false">
      <c r="A628" s="3" t="s">
        <v>162</v>
      </c>
      <c r="B628" s="4" t="s">
        <v>50</v>
      </c>
      <c r="C628" s="4" t="n">
        <v>6</v>
      </c>
      <c r="D628" s="4" t="s">
        <v>52</v>
      </c>
      <c r="E628" s="3" t="s">
        <v>53</v>
      </c>
      <c r="F628" s="4" t="str">
        <f aca="false">IF(I628&gt;J628,"Y","N")</f>
        <v>N</v>
      </c>
      <c r="G628" s="3" t="s">
        <v>54</v>
      </c>
      <c r="H628" s="3" t="s">
        <v>42</v>
      </c>
      <c r="I628" s="4" t="n">
        <v>7</v>
      </c>
      <c r="J628" s="4" t="n">
        <f aca="false">LEN(E628)-LEN(SUBSTITUTE(E628,",",""))+1</f>
        <v>7</v>
      </c>
      <c r="K628" s="3" t="str">
        <f aca="false">IFERROR(INDEX('Teacher Lookup'!$B$2:$B$200,MATCH(A628,'Teacher Lookup'!$A$2:$A$200,0)),"")</f>
        <v>KHURRAM Aamenah</v>
      </c>
    </row>
    <row r="629" customFormat="false" ht="15" hidden="false" customHeight="false" outlineLevel="0" collapsed="false">
      <c r="A629" s="3" t="s">
        <v>162</v>
      </c>
      <c r="B629" s="4" t="s">
        <v>50</v>
      </c>
      <c r="C629" s="4" t="n">
        <v>6</v>
      </c>
      <c r="D629" s="4" t="s">
        <v>55</v>
      </c>
      <c r="E629" s="3" t="s">
        <v>53</v>
      </c>
      <c r="F629" s="4" t="str">
        <f aca="false">IF(I629&gt;J629,"Y","N")</f>
        <v>N</v>
      </c>
      <c r="G629" s="3" t="s">
        <v>54</v>
      </c>
      <c r="H629" s="3" t="s">
        <v>42</v>
      </c>
      <c r="I629" s="4" t="n">
        <v>7</v>
      </c>
      <c r="J629" s="4" t="n">
        <f aca="false">LEN(E629)-LEN(SUBSTITUTE(E629,",",""))+1</f>
        <v>7</v>
      </c>
      <c r="K629" s="3" t="str">
        <f aca="false">IFERROR(INDEX('Teacher Lookup'!$B$2:$B$200,MATCH(A629,'Teacher Lookup'!$A$2:$A$200,0)),"")</f>
        <v>KHURRAM Aamenah</v>
      </c>
    </row>
    <row r="630" customFormat="false" ht="15" hidden="false" customHeight="false" outlineLevel="0" collapsed="false">
      <c r="A630" s="3" t="s">
        <v>162</v>
      </c>
      <c r="B630" s="4" t="s">
        <v>50</v>
      </c>
      <c r="C630" s="4" t="n">
        <v>6</v>
      </c>
      <c r="D630" s="4" t="s">
        <v>56</v>
      </c>
      <c r="E630" s="3" t="s">
        <v>53</v>
      </c>
      <c r="F630" s="4" t="str">
        <f aca="false">IF(I630&gt;J630,"Y","N")</f>
        <v>N</v>
      </c>
      <c r="G630" s="3" t="s">
        <v>54</v>
      </c>
      <c r="H630" s="3" t="s">
        <v>42</v>
      </c>
      <c r="I630" s="4" t="n">
        <v>7</v>
      </c>
      <c r="J630" s="4" t="n">
        <f aca="false">LEN(E630)-LEN(SUBSTITUTE(E630,",",""))+1</f>
        <v>7</v>
      </c>
      <c r="K630" s="3" t="str">
        <f aca="false">IFERROR(INDEX('Teacher Lookup'!$B$2:$B$200,MATCH(A630,'Teacher Lookup'!$A$2:$A$200,0)),"")</f>
        <v>KHURRAM Aamenah</v>
      </c>
    </row>
    <row r="631" customFormat="false" ht="15" hidden="false" customHeight="false" outlineLevel="0" collapsed="false">
      <c r="A631" s="3" t="s">
        <v>162</v>
      </c>
      <c r="B631" s="4" t="s">
        <v>50</v>
      </c>
      <c r="C631" s="4" t="n">
        <v>6</v>
      </c>
      <c r="D631" s="4" t="s">
        <v>57</v>
      </c>
      <c r="E631" s="3" t="s">
        <v>53</v>
      </c>
      <c r="F631" s="4" t="str">
        <f aca="false">IF(I631&gt;J631,"Y","N")</f>
        <v>N</v>
      </c>
      <c r="G631" s="3" t="s">
        <v>54</v>
      </c>
      <c r="H631" s="3" t="s">
        <v>42</v>
      </c>
      <c r="I631" s="4" t="n">
        <v>7</v>
      </c>
      <c r="J631" s="4" t="n">
        <f aca="false">LEN(E631)-LEN(SUBSTITUTE(E631,",",""))+1</f>
        <v>7</v>
      </c>
      <c r="K631" s="3" t="str">
        <f aca="false">IFERROR(INDEX('Teacher Lookup'!$B$2:$B$200,MATCH(A631,'Teacher Lookup'!$A$2:$A$200,0)),"")</f>
        <v>KHURRAM Aamenah</v>
      </c>
    </row>
    <row r="632" customFormat="false" ht="15" hidden="false" customHeight="false" outlineLevel="0" collapsed="false">
      <c r="A632" s="3" t="s">
        <v>162</v>
      </c>
      <c r="B632" s="4" t="s">
        <v>50</v>
      </c>
      <c r="C632" s="4" t="n">
        <v>6</v>
      </c>
      <c r="D632" s="4" t="s">
        <v>58</v>
      </c>
      <c r="E632" s="3" t="s">
        <v>53</v>
      </c>
      <c r="F632" s="4" t="str">
        <f aca="false">IF(I632&gt;J632,"Y","N")</f>
        <v>N</v>
      </c>
      <c r="G632" s="3" t="s">
        <v>54</v>
      </c>
      <c r="H632" s="3" t="s">
        <v>42</v>
      </c>
      <c r="I632" s="4" t="n">
        <v>7</v>
      </c>
      <c r="J632" s="4" t="n">
        <f aca="false">LEN(E632)-LEN(SUBSTITUTE(E632,",",""))+1</f>
        <v>7</v>
      </c>
      <c r="K632" s="3" t="str">
        <f aca="false">IFERROR(INDEX('Teacher Lookup'!$B$2:$B$200,MATCH(A632,'Teacher Lookup'!$A$2:$A$200,0)),"")</f>
        <v>KHURRAM Aamenah</v>
      </c>
    </row>
    <row r="633" customFormat="false" ht="15" hidden="false" customHeight="false" outlineLevel="0" collapsed="false">
      <c r="A633" s="3" t="s">
        <v>162</v>
      </c>
      <c r="B633" s="4" t="s">
        <v>50</v>
      </c>
      <c r="C633" s="4" t="n">
        <v>6</v>
      </c>
      <c r="D633" s="4" t="s">
        <v>59</v>
      </c>
      <c r="E633" s="3" t="s">
        <v>53</v>
      </c>
      <c r="F633" s="4" t="str">
        <f aca="false">IF(I633&gt;J633,"Y","N")</f>
        <v>N</v>
      </c>
      <c r="G633" s="3" t="s">
        <v>54</v>
      </c>
      <c r="H633" s="3" t="s">
        <v>42</v>
      </c>
      <c r="I633" s="4" t="n">
        <v>7</v>
      </c>
      <c r="J633" s="4" t="n">
        <f aca="false">LEN(E633)-LEN(SUBSTITUTE(E633,",",""))+1</f>
        <v>7</v>
      </c>
      <c r="K633" s="3" t="str">
        <f aca="false">IFERROR(INDEX('Teacher Lookup'!$B$2:$B$200,MATCH(A633,'Teacher Lookup'!$A$2:$A$200,0)),"")</f>
        <v>KHURRAM Aamenah</v>
      </c>
    </row>
    <row r="634" customFormat="false" ht="15" hidden="false" customHeight="false" outlineLevel="0" collapsed="false">
      <c r="A634" s="3" t="s">
        <v>162</v>
      </c>
      <c r="B634" s="4" t="s">
        <v>50</v>
      </c>
      <c r="C634" s="4" t="n">
        <v>7</v>
      </c>
      <c r="D634" s="4" t="s">
        <v>52</v>
      </c>
      <c r="E634" s="3" t="s">
        <v>53</v>
      </c>
      <c r="F634" s="4" t="str">
        <f aca="false">IF(I634&gt;J634,"Y","N")</f>
        <v>N</v>
      </c>
      <c r="G634" s="3" t="s">
        <v>54</v>
      </c>
      <c r="H634" s="3" t="s">
        <v>39</v>
      </c>
      <c r="I634" s="4" t="n">
        <v>7</v>
      </c>
      <c r="J634" s="4" t="n">
        <f aca="false">LEN(E634)-LEN(SUBSTITUTE(E634,",",""))+1</f>
        <v>7</v>
      </c>
      <c r="K634" s="3" t="str">
        <f aca="false">IFERROR(INDEX('Teacher Lookup'!$B$2:$B$200,MATCH(A634,'Teacher Lookup'!$A$2:$A$200,0)),"")</f>
        <v>KHURRAM Aamenah</v>
      </c>
    </row>
    <row r="635" customFormat="false" ht="15" hidden="false" customHeight="false" outlineLevel="0" collapsed="false">
      <c r="A635" s="3" t="s">
        <v>162</v>
      </c>
      <c r="B635" s="4" t="s">
        <v>50</v>
      </c>
      <c r="C635" s="4" t="n">
        <v>7</v>
      </c>
      <c r="D635" s="4" t="s">
        <v>55</v>
      </c>
      <c r="E635" s="3" t="s">
        <v>53</v>
      </c>
      <c r="F635" s="4" t="str">
        <f aca="false">IF(I635&gt;J635,"Y","N")</f>
        <v>N</v>
      </c>
      <c r="G635" s="3" t="s">
        <v>54</v>
      </c>
      <c r="H635" s="3" t="s">
        <v>39</v>
      </c>
      <c r="I635" s="4" t="n">
        <v>7</v>
      </c>
      <c r="J635" s="4" t="n">
        <f aca="false">LEN(E635)-LEN(SUBSTITUTE(E635,",",""))+1</f>
        <v>7</v>
      </c>
      <c r="K635" s="3" t="str">
        <f aca="false">IFERROR(INDEX('Teacher Lookup'!$B$2:$B$200,MATCH(A635,'Teacher Lookup'!$A$2:$A$200,0)),"")</f>
        <v>KHURRAM Aamenah</v>
      </c>
    </row>
    <row r="636" customFormat="false" ht="15" hidden="false" customHeight="false" outlineLevel="0" collapsed="false">
      <c r="A636" s="3" t="s">
        <v>162</v>
      </c>
      <c r="B636" s="4" t="s">
        <v>50</v>
      </c>
      <c r="C636" s="4" t="n">
        <v>7</v>
      </c>
      <c r="D636" s="4" t="s">
        <v>56</v>
      </c>
      <c r="E636" s="3" t="s">
        <v>53</v>
      </c>
      <c r="F636" s="4" t="str">
        <f aca="false">IF(I636&gt;J636,"Y","N")</f>
        <v>N</v>
      </c>
      <c r="G636" s="3" t="s">
        <v>54</v>
      </c>
      <c r="H636" s="3" t="s">
        <v>39</v>
      </c>
      <c r="I636" s="4" t="n">
        <v>7</v>
      </c>
      <c r="J636" s="4" t="n">
        <f aca="false">LEN(E636)-LEN(SUBSTITUTE(E636,",",""))+1</f>
        <v>7</v>
      </c>
      <c r="K636" s="3" t="str">
        <f aca="false">IFERROR(INDEX('Teacher Lookup'!$B$2:$B$200,MATCH(A636,'Teacher Lookup'!$A$2:$A$200,0)),"")</f>
        <v>KHURRAM Aamenah</v>
      </c>
    </row>
    <row r="637" customFormat="false" ht="15" hidden="false" customHeight="false" outlineLevel="0" collapsed="false">
      <c r="A637" s="3" t="s">
        <v>162</v>
      </c>
      <c r="B637" s="4" t="s">
        <v>50</v>
      </c>
      <c r="C637" s="4" t="n">
        <v>7</v>
      </c>
      <c r="D637" s="4" t="s">
        <v>57</v>
      </c>
      <c r="E637" s="3" t="s">
        <v>53</v>
      </c>
      <c r="F637" s="4" t="str">
        <f aca="false">IF(I637&gt;J637,"Y","N")</f>
        <v>N</v>
      </c>
      <c r="G637" s="3" t="s">
        <v>54</v>
      </c>
      <c r="H637" s="3" t="s">
        <v>39</v>
      </c>
      <c r="I637" s="4" t="n">
        <v>7</v>
      </c>
      <c r="J637" s="4" t="n">
        <f aca="false">LEN(E637)-LEN(SUBSTITUTE(E637,",",""))+1</f>
        <v>7</v>
      </c>
      <c r="K637" s="3" t="str">
        <f aca="false">IFERROR(INDEX('Teacher Lookup'!$B$2:$B$200,MATCH(A637,'Teacher Lookup'!$A$2:$A$200,0)),"")</f>
        <v>KHURRAM Aamenah</v>
      </c>
    </row>
    <row r="638" customFormat="false" ht="15" hidden="false" customHeight="false" outlineLevel="0" collapsed="false">
      <c r="A638" s="3" t="s">
        <v>162</v>
      </c>
      <c r="B638" s="4" t="s">
        <v>50</v>
      </c>
      <c r="C638" s="4" t="n">
        <v>7</v>
      </c>
      <c r="D638" s="4" t="s">
        <v>58</v>
      </c>
      <c r="E638" s="3" t="s">
        <v>53</v>
      </c>
      <c r="F638" s="4" t="str">
        <f aca="false">IF(I638&gt;J638,"Y","N")</f>
        <v>N</v>
      </c>
      <c r="G638" s="3" t="s">
        <v>54</v>
      </c>
      <c r="H638" s="3" t="s">
        <v>39</v>
      </c>
      <c r="I638" s="4" t="n">
        <v>7</v>
      </c>
      <c r="J638" s="4" t="n">
        <f aca="false">LEN(E638)-LEN(SUBSTITUTE(E638,",",""))+1</f>
        <v>7</v>
      </c>
      <c r="K638" s="3" t="str">
        <f aca="false">IFERROR(INDEX('Teacher Lookup'!$B$2:$B$200,MATCH(A638,'Teacher Lookup'!$A$2:$A$200,0)),"")</f>
        <v>KHURRAM Aamenah</v>
      </c>
    </row>
    <row r="639" customFormat="false" ht="15" hidden="false" customHeight="false" outlineLevel="0" collapsed="false">
      <c r="A639" s="3" t="s">
        <v>162</v>
      </c>
      <c r="B639" s="4" t="s">
        <v>50</v>
      </c>
      <c r="C639" s="4" t="n">
        <v>7</v>
      </c>
      <c r="D639" s="4" t="s">
        <v>59</v>
      </c>
      <c r="E639" s="3" t="s">
        <v>53</v>
      </c>
      <c r="F639" s="4" t="str">
        <f aca="false">IF(I639&gt;J639,"Y","N")</f>
        <v>N</v>
      </c>
      <c r="G639" s="3" t="s">
        <v>54</v>
      </c>
      <c r="H639" s="3" t="s">
        <v>39</v>
      </c>
      <c r="I639" s="4" t="n">
        <v>7</v>
      </c>
      <c r="J639" s="4" t="n">
        <f aca="false">LEN(E639)-LEN(SUBSTITUTE(E639,",",""))+1</f>
        <v>7</v>
      </c>
      <c r="K639" s="3" t="str">
        <f aca="false">IFERROR(INDEX('Teacher Lookup'!$B$2:$B$200,MATCH(A639,'Teacher Lookup'!$A$2:$A$200,0)),"")</f>
        <v>KHURRAM Aamenah</v>
      </c>
    </row>
    <row r="640" customFormat="false" ht="15" hidden="false" customHeight="false" outlineLevel="0" collapsed="false">
      <c r="A640" s="3" t="s">
        <v>162</v>
      </c>
      <c r="B640" s="4" t="s">
        <v>60</v>
      </c>
      <c r="C640" s="4" t="n">
        <v>1</v>
      </c>
      <c r="D640" s="4" t="s">
        <v>57</v>
      </c>
      <c r="E640" s="3" t="s">
        <v>178</v>
      </c>
      <c r="F640" s="4" t="str">
        <f aca="false">IF(I640&gt;J640,"Y","N")</f>
        <v>N</v>
      </c>
      <c r="G640" s="3" t="s">
        <v>164</v>
      </c>
      <c r="H640" s="3" t="s">
        <v>16</v>
      </c>
      <c r="I640" s="4" t="n">
        <v>4</v>
      </c>
      <c r="J640" s="4" t="n">
        <f aca="false">LEN(E640)-LEN(SUBSTITUTE(E640,",",""))+1</f>
        <v>4</v>
      </c>
      <c r="K640" s="3" t="str">
        <f aca="false">IFERROR(INDEX('Teacher Lookup'!$B$2:$B$200,MATCH(A640,'Teacher Lookup'!$A$2:$A$200,0)),"")</f>
        <v>KHURRAM Aamenah</v>
      </c>
    </row>
    <row r="641" customFormat="false" ht="15" hidden="false" customHeight="false" outlineLevel="0" collapsed="false">
      <c r="A641" s="3" t="s">
        <v>162</v>
      </c>
      <c r="B641" s="4" t="s">
        <v>60</v>
      </c>
      <c r="C641" s="4" t="n">
        <v>1</v>
      </c>
      <c r="D641" s="4" t="s">
        <v>58</v>
      </c>
      <c r="E641" s="3" t="s">
        <v>178</v>
      </c>
      <c r="F641" s="4" t="str">
        <f aca="false">IF(I641&gt;J641,"Y","N")</f>
        <v>N</v>
      </c>
      <c r="G641" s="3" t="s">
        <v>164</v>
      </c>
      <c r="H641" s="3" t="s">
        <v>16</v>
      </c>
      <c r="I641" s="4" t="n">
        <v>4</v>
      </c>
      <c r="J641" s="4" t="n">
        <f aca="false">LEN(E641)-LEN(SUBSTITUTE(E641,",",""))+1</f>
        <v>4</v>
      </c>
      <c r="K641" s="3" t="str">
        <f aca="false">IFERROR(INDEX('Teacher Lookup'!$B$2:$B$200,MATCH(A641,'Teacher Lookup'!$A$2:$A$200,0)),"")</f>
        <v>KHURRAM Aamenah</v>
      </c>
    </row>
    <row r="642" customFormat="false" ht="15" hidden="false" customHeight="false" outlineLevel="0" collapsed="false">
      <c r="A642" s="3" t="s">
        <v>162</v>
      </c>
      <c r="B642" s="4" t="s">
        <v>60</v>
      </c>
      <c r="C642" s="4" t="n">
        <v>1</v>
      </c>
      <c r="D642" s="4" t="s">
        <v>59</v>
      </c>
      <c r="E642" s="3" t="s">
        <v>178</v>
      </c>
      <c r="F642" s="4" t="str">
        <f aca="false">IF(I642&gt;J642,"Y","N")</f>
        <v>N</v>
      </c>
      <c r="G642" s="3" t="s">
        <v>164</v>
      </c>
      <c r="H642" s="3" t="s">
        <v>16</v>
      </c>
      <c r="I642" s="4" t="n">
        <v>4</v>
      </c>
      <c r="J642" s="4" t="n">
        <f aca="false">LEN(E642)-LEN(SUBSTITUTE(E642,",",""))+1</f>
        <v>4</v>
      </c>
      <c r="K642" s="3" t="str">
        <f aca="false">IFERROR(INDEX('Teacher Lookup'!$B$2:$B$200,MATCH(A642,'Teacher Lookup'!$A$2:$A$200,0)),"")</f>
        <v>KHURRAM Aamenah</v>
      </c>
    </row>
    <row r="643" customFormat="false" ht="15" hidden="false" customHeight="false" outlineLevel="0" collapsed="false">
      <c r="A643" s="3" t="s">
        <v>162</v>
      </c>
      <c r="B643" s="4" t="s">
        <v>60</v>
      </c>
      <c r="C643" s="4" t="n">
        <v>3</v>
      </c>
      <c r="D643" s="4" t="s">
        <v>76</v>
      </c>
      <c r="E643" s="3" t="s">
        <v>80</v>
      </c>
      <c r="F643" s="4" t="str">
        <f aca="false">IF(I643&gt;J643,"Y","N")</f>
        <v>N</v>
      </c>
      <c r="G643" s="3" t="s">
        <v>164</v>
      </c>
      <c r="H643" s="3" t="s">
        <v>26</v>
      </c>
      <c r="I643" s="4" t="n">
        <v>4</v>
      </c>
      <c r="J643" s="4" t="n">
        <f aca="false">LEN(E643)-LEN(SUBSTITUTE(E643,",",""))+1</f>
        <v>4</v>
      </c>
      <c r="K643" s="3" t="str">
        <f aca="false">IFERROR(INDEX('Teacher Lookup'!$B$2:$B$200,MATCH(A643,'Teacher Lookup'!$A$2:$A$200,0)),"")</f>
        <v>KHURRAM Aamenah</v>
      </c>
    </row>
    <row r="644" customFormat="false" ht="15" hidden="false" customHeight="false" outlineLevel="0" collapsed="false">
      <c r="A644" s="3" t="s">
        <v>162</v>
      </c>
      <c r="B644" s="4" t="s">
        <v>60</v>
      </c>
      <c r="C644" s="4" t="n">
        <v>3</v>
      </c>
      <c r="D644" s="4" t="s">
        <v>78</v>
      </c>
      <c r="E644" s="3" t="s">
        <v>80</v>
      </c>
      <c r="F644" s="4" t="str">
        <f aca="false">IF(I644&gt;J644,"Y","N")</f>
        <v>N</v>
      </c>
      <c r="G644" s="3" t="s">
        <v>164</v>
      </c>
      <c r="H644" s="3" t="s">
        <v>26</v>
      </c>
      <c r="I644" s="4" t="n">
        <v>4</v>
      </c>
      <c r="J644" s="4" t="n">
        <f aca="false">LEN(E644)-LEN(SUBSTITUTE(E644,",",""))+1</f>
        <v>4</v>
      </c>
      <c r="K644" s="3" t="str">
        <f aca="false">IFERROR(INDEX('Teacher Lookup'!$B$2:$B$200,MATCH(A644,'Teacher Lookup'!$A$2:$A$200,0)),"")</f>
        <v>KHURRAM Aamenah</v>
      </c>
    </row>
    <row r="645" customFormat="false" ht="15" hidden="false" customHeight="false" outlineLevel="0" collapsed="false">
      <c r="A645" s="3" t="s">
        <v>162</v>
      </c>
      <c r="B645" s="4" t="s">
        <v>60</v>
      </c>
      <c r="C645" s="4" t="n">
        <v>3</v>
      </c>
      <c r="D645" s="4" t="s">
        <v>79</v>
      </c>
      <c r="E645" s="3" t="s">
        <v>80</v>
      </c>
      <c r="F645" s="4" t="str">
        <f aca="false">IF(I645&gt;J645,"Y","N")</f>
        <v>N</v>
      </c>
      <c r="G645" s="3" t="s">
        <v>164</v>
      </c>
      <c r="H645" s="3" t="s">
        <v>26</v>
      </c>
      <c r="I645" s="4" t="n">
        <v>4</v>
      </c>
      <c r="J645" s="4" t="n">
        <f aca="false">LEN(E645)-LEN(SUBSTITUTE(E645,",",""))+1</f>
        <v>4</v>
      </c>
      <c r="K645" s="3" t="str">
        <f aca="false">IFERROR(INDEX('Teacher Lookup'!$B$2:$B$200,MATCH(A645,'Teacher Lookup'!$A$2:$A$200,0)),"")</f>
        <v>KHURRAM Aamenah</v>
      </c>
    </row>
    <row r="646" customFormat="false" ht="15" hidden="false" customHeight="false" outlineLevel="0" collapsed="false">
      <c r="A646" s="3" t="s">
        <v>162</v>
      </c>
      <c r="B646" s="4" t="s">
        <v>60</v>
      </c>
      <c r="C646" s="4" t="n">
        <v>5</v>
      </c>
      <c r="D646" s="4" t="s">
        <v>52</v>
      </c>
      <c r="E646" s="3" t="s">
        <v>112</v>
      </c>
      <c r="F646" s="4" t="str">
        <f aca="false">IF(I646&gt;J646,"Y","N")</f>
        <v>Y</v>
      </c>
      <c r="G646" s="3" t="s">
        <v>36</v>
      </c>
      <c r="H646" s="3" t="s">
        <v>37</v>
      </c>
      <c r="I646" s="4" t="n">
        <v>16</v>
      </c>
      <c r="J646" s="4" t="n">
        <f aca="false">LEN(E646)-LEN(SUBSTITUTE(E646,",",""))+1</f>
        <v>7</v>
      </c>
      <c r="K646" s="3" t="str">
        <f aca="false">IFERROR(INDEX('Teacher Lookup'!$B$2:$B$200,MATCH(A646,'Teacher Lookup'!$A$2:$A$200,0)),"")</f>
        <v>KHURRAM Aamenah</v>
      </c>
    </row>
    <row r="647" customFormat="false" ht="15" hidden="false" customHeight="false" outlineLevel="0" collapsed="false">
      <c r="A647" s="3" t="s">
        <v>162</v>
      </c>
      <c r="B647" s="4" t="s">
        <v>60</v>
      </c>
      <c r="C647" s="4" t="n">
        <v>5</v>
      </c>
      <c r="D647" s="4" t="s">
        <v>55</v>
      </c>
      <c r="E647" s="3" t="s">
        <v>112</v>
      </c>
      <c r="F647" s="4" t="str">
        <f aca="false">IF(I647&gt;J647,"Y","N")</f>
        <v>Y</v>
      </c>
      <c r="G647" s="3" t="s">
        <v>36</v>
      </c>
      <c r="H647" s="3" t="s">
        <v>37</v>
      </c>
      <c r="I647" s="4" t="n">
        <v>16</v>
      </c>
      <c r="J647" s="4" t="n">
        <f aca="false">LEN(E647)-LEN(SUBSTITUTE(E647,",",""))+1</f>
        <v>7</v>
      </c>
      <c r="K647" s="3" t="str">
        <f aca="false">IFERROR(INDEX('Teacher Lookup'!$B$2:$B$200,MATCH(A647,'Teacher Lookup'!$A$2:$A$200,0)),"")</f>
        <v>KHURRAM Aamenah</v>
      </c>
    </row>
    <row r="648" customFormat="false" ht="15" hidden="false" customHeight="false" outlineLevel="0" collapsed="false">
      <c r="A648" s="3" t="s">
        <v>162</v>
      </c>
      <c r="B648" s="4" t="s">
        <v>60</v>
      </c>
      <c r="C648" s="4" t="n">
        <v>5</v>
      </c>
      <c r="D648" s="4" t="s">
        <v>56</v>
      </c>
      <c r="E648" s="3" t="s">
        <v>112</v>
      </c>
      <c r="F648" s="4" t="str">
        <f aca="false">IF(I648&gt;J648,"Y","N")</f>
        <v>Y</v>
      </c>
      <c r="G648" s="3" t="s">
        <v>36</v>
      </c>
      <c r="H648" s="3" t="s">
        <v>37</v>
      </c>
      <c r="I648" s="4" t="n">
        <v>16</v>
      </c>
      <c r="J648" s="4" t="n">
        <f aca="false">LEN(E648)-LEN(SUBSTITUTE(E648,",",""))+1</f>
        <v>7</v>
      </c>
      <c r="K648" s="3" t="str">
        <f aca="false">IFERROR(INDEX('Teacher Lookup'!$B$2:$B$200,MATCH(A648,'Teacher Lookup'!$A$2:$A$200,0)),"")</f>
        <v>KHURRAM Aamenah</v>
      </c>
    </row>
    <row r="649" customFormat="false" ht="15" hidden="false" customHeight="false" outlineLevel="0" collapsed="false">
      <c r="A649" s="3" t="s">
        <v>162</v>
      </c>
      <c r="B649" s="4" t="s">
        <v>60</v>
      </c>
      <c r="C649" s="4" t="n">
        <v>5</v>
      </c>
      <c r="D649" s="4" t="s">
        <v>57</v>
      </c>
      <c r="E649" s="3" t="s">
        <v>112</v>
      </c>
      <c r="F649" s="4" t="str">
        <f aca="false">IF(I649&gt;J649,"Y","N")</f>
        <v>Y</v>
      </c>
      <c r="G649" s="3" t="s">
        <v>36</v>
      </c>
      <c r="H649" s="3" t="s">
        <v>37</v>
      </c>
      <c r="I649" s="4" t="n">
        <v>16</v>
      </c>
      <c r="J649" s="4" t="n">
        <f aca="false">LEN(E649)-LEN(SUBSTITUTE(E649,",",""))+1</f>
        <v>7</v>
      </c>
      <c r="K649" s="3" t="str">
        <f aca="false">IFERROR(INDEX('Teacher Lookup'!$B$2:$B$200,MATCH(A649,'Teacher Lookup'!$A$2:$A$200,0)),"")</f>
        <v>KHURRAM Aamenah</v>
      </c>
    </row>
    <row r="650" customFormat="false" ht="15" hidden="false" customHeight="false" outlineLevel="0" collapsed="false">
      <c r="A650" s="3" t="s">
        <v>162</v>
      </c>
      <c r="B650" s="4" t="s">
        <v>60</v>
      </c>
      <c r="C650" s="4" t="n">
        <v>5</v>
      </c>
      <c r="D650" s="4" t="s">
        <v>58</v>
      </c>
      <c r="E650" s="3" t="s">
        <v>112</v>
      </c>
      <c r="F650" s="4" t="str">
        <f aca="false">IF(I650&gt;J650,"Y","N")</f>
        <v>Y</v>
      </c>
      <c r="G650" s="3" t="s">
        <v>36</v>
      </c>
      <c r="H650" s="3" t="s">
        <v>37</v>
      </c>
      <c r="I650" s="4" t="n">
        <v>16</v>
      </c>
      <c r="J650" s="4" t="n">
        <f aca="false">LEN(E650)-LEN(SUBSTITUTE(E650,",",""))+1</f>
        <v>7</v>
      </c>
      <c r="K650" s="3" t="str">
        <f aca="false">IFERROR(INDEX('Teacher Lookup'!$B$2:$B$200,MATCH(A650,'Teacher Lookup'!$A$2:$A$200,0)),"")</f>
        <v>KHURRAM Aamenah</v>
      </c>
    </row>
    <row r="651" customFormat="false" ht="15" hidden="false" customHeight="false" outlineLevel="0" collapsed="false">
      <c r="A651" s="3" t="s">
        <v>162</v>
      </c>
      <c r="B651" s="4" t="s">
        <v>60</v>
      </c>
      <c r="C651" s="4" t="n">
        <v>5</v>
      </c>
      <c r="D651" s="4" t="s">
        <v>59</v>
      </c>
      <c r="E651" s="3" t="s">
        <v>112</v>
      </c>
      <c r="F651" s="4" t="str">
        <f aca="false">IF(I651&gt;J651,"Y","N")</f>
        <v>Y</v>
      </c>
      <c r="G651" s="3" t="s">
        <v>36</v>
      </c>
      <c r="H651" s="3" t="s">
        <v>37</v>
      </c>
      <c r="I651" s="4" t="n">
        <v>16</v>
      </c>
      <c r="J651" s="4" t="n">
        <f aca="false">LEN(E651)-LEN(SUBSTITUTE(E651,",",""))+1</f>
        <v>7</v>
      </c>
      <c r="K651" s="3" t="str">
        <f aca="false">IFERROR(INDEX('Teacher Lookup'!$B$2:$B$200,MATCH(A651,'Teacher Lookup'!$A$2:$A$200,0)),"")</f>
        <v>KHURRAM Aamenah</v>
      </c>
    </row>
    <row r="652" customFormat="false" ht="15" hidden="false" customHeight="false" outlineLevel="0" collapsed="false">
      <c r="A652" s="3" t="s">
        <v>162</v>
      </c>
      <c r="B652" s="4" t="s">
        <v>60</v>
      </c>
      <c r="C652" s="4" t="n">
        <v>6</v>
      </c>
      <c r="D652" s="4" t="s">
        <v>52</v>
      </c>
      <c r="E652" s="3" t="s">
        <v>169</v>
      </c>
      <c r="F652" s="4" t="str">
        <f aca="false">IF(I652&gt;J652,"Y","N")</f>
        <v>N</v>
      </c>
      <c r="G652" s="3" t="s">
        <v>164</v>
      </c>
      <c r="H652" s="3" t="s">
        <v>42</v>
      </c>
      <c r="I652" s="4" t="n">
        <v>4</v>
      </c>
      <c r="J652" s="4" t="n">
        <f aca="false">LEN(E652)-LEN(SUBSTITUTE(E652,",",""))+1</f>
        <v>4</v>
      </c>
      <c r="K652" s="3" t="str">
        <f aca="false">IFERROR(INDEX('Teacher Lookup'!$B$2:$B$200,MATCH(A652,'Teacher Lookup'!$A$2:$A$200,0)),"")</f>
        <v>KHURRAM Aamenah</v>
      </c>
    </row>
    <row r="653" customFormat="false" ht="15" hidden="false" customHeight="false" outlineLevel="0" collapsed="false">
      <c r="A653" s="3" t="s">
        <v>162</v>
      </c>
      <c r="B653" s="4" t="s">
        <v>60</v>
      </c>
      <c r="C653" s="4" t="n">
        <v>6</v>
      </c>
      <c r="D653" s="4" t="s">
        <v>55</v>
      </c>
      <c r="E653" s="3" t="s">
        <v>169</v>
      </c>
      <c r="F653" s="4" t="str">
        <f aca="false">IF(I653&gt;J653,"Y","N")</f>
        <v>N</v>
      </c>
      <c r="G653" s="3" t="s">
        <v>164</v>
      </c>
      <c r="H653" s="3" t="s">
        <v>42</v>
      </c>
      <c r="I653" s="4" t="n">
        <v>4</v>
      </c>
      <c r="J653" s="4" t="n">
        <f aca="false">LEN(E653)-LEN(SUBSTITUTE(E653,",",""))+1</f>
        <v>4</v>
      </c>
      <c r="K653" s="3" t="str">
        <f aca="false">IFERROR(INDEX('Teacher Lookup'!$B$2:$B$200,MATCH(A653,'Teacher Lookup'!$A$2:$A$200,0)),"")</f>
        <v>KHURRAM Aamenah</v>
      </c>
    </row>
    <row r="654" customFormat="false" ht="15" hidden="false" customHeight="false" outlineLevel="0" collapsed="false">
      <c r="A654" s="3" t="s">
        <v>162</v>
      </c>
      <c r="B654" s="4" t="s">
        <v>60</v>
      </c>
      <c r="C654" s="4" t="n">
        <v>6</v>
      </c>
      <c r="D654" s="4" t="s">
        <v>56</v>
      </c>
      <c r="E654" s="3" t="s">
        <v>169</v>
      </c>
      <c r="F654" s="4" t="str">
        <f aca="false">IF(I654&gt;J654,"Y","N")</f>
        <v>N</v>
      </c>
      <c r="G654" s="3" t="s">
        <v>164</v>
      </c>
      <c r="H654" s="3" t="s">
        <v>42</v>
      </c>
      <c r="I654" s="4" t="n">
        <v>4</v>
      </c>
      <c r="J654" s="4" t="n">
        <f aca="false">LEN(E654)-LEN(SUBSTITUTE(E654,",",""))+1</f>
        <v>4</v>
      </c>
      <c r="K654" s="3" t="str">
        <f aca="false">IFERROR(INDEX('Teacher Lookup'!$B$2:$B$200,MATCH(A654,'Teacher Lookup'!$A$2:$A$200,0)),"")</f>
        <v>KHURRAM Aamenah</v>
      </c>
    </row>
    <row r="655" customFormat="false" ht="15" hidden="false" customHeight="false" outlineLevel="0" collapsed="false">
      <c r="A655" s="3" t="s">
        <v>162</v>
      </c>
      <c r="B655" s="4" t="s">
        <v>63</v>
      </c>
      <c r="C655" s="4" t="n">
        <v>1</v>
      </c>
      <c r="D655" s="4" t="s">
        <v>57</v>
      </c>
      <c r="E655" s="3" t="s">
        <v>179</v>
      </c>
      <c r="F655" s="4" t="str">
        <f aca="false">IF(I655&gt;J655,"Y","N")</f>
        <v>N</v>
      </c>
      <c r="G655" s="3" t="s">
        <v>164</v>
      </c>
      <c r="H655" s="3" t="s">
        <v>16</v>
      </c>
      <c r="I655" s="4" t="n">
        <v>4</v>
      </c>
      <c r="J655" s="4" t="n">
        <f aca="false">LEN(E655)-LEN(SUBSTITUTE(E655,",",""))+1</f>
        <v>4</v>
      </c>
      <c r="K655" s="3" t="str">
        <f aca="false">IFERROR(INDEX('Teacher Lookup'!$B$2:$B$200,MATCH(A655,'Teacher Lookup'!$A$2:$A$200,0)),"")</f>
        <v>KHURRAM Aamenah</v>
      </c>
    </row>
    <row r="656" customFormat="false" ht="15" hidden="false" customHeight="false" outlineLevel="0" collapsed="false">
      <c r="A656" s="3" t="s">
        <v>162</v>
      </c>
      <c r="B656" s="4" t="s">
        <v>63</v>
      </c>
      <c r="C656" s="4" t="n">
        <v>1</v>
      </c>
      <c r="D656" s="4" t="s">
        <v>58</v>
      </c>
      <c r="E656" s="3" t="s">
        <v>179</v>
      </c>
      <c r="F656" s="4" t="str">
        <f aca="false">IF(I656&gt;J656,"Y","N")</f>
        <v>N</v>
      </c>
      <c r="G656" s="3" t="s">
        <v>164</v>
      </c>
      <c r="H656" s="3" t="s">
        <v>16</v>
      </c>
      <c r="I656" s="4" t="n">
        <v>4</v>
      </c>
      <c r="J656" s="4" t="n">
        <f aca="false">LEN(E656)-LEN(SUBSTITUTE(E656,",",""))+1</f>
        <v>4</v>
      </c>
      <c r="K656" s="3" t="str">
        <f aca="false">IFERROR(INDEX('Teacher Lookup'!$B$2:$B$200,MATCH(A656,'Teacher Lookup'!$A$2:$A$200,0)),"")</f>
        <v>KHURRAM Aamenah</v>
      </c>
    </row>
    <row r="657" customFormat="false" ht="15" hidden="false" customHeight="false" outlineLevel="0" collapsed="false">
      <c r="A657" s="3" t="s">
        <v>162</v>
      </c>
      <c r="B657" s="4" t="s">
        <v>63</v>
      </c>
      <c r="C657" s="4" t="n">
        <v>1</v>
      </c>
      <c r="D657" s="4" t="s">
        <v>59</v>
      </c>
      <c r="E657" s="3" t="s">
        <v>179</v>
      </c>
      <c r="F657" s="4" t="str">
        <f aca="false">IF(I657&gt;J657,"Y","N")</f>
        <v>N</v>
      </c>
      <c r="G657" s="3" t="s">
        <v>164</v>
      </c>
      <c r="H657" s="3" t="s">
        <v>16</v>
      </c>
      <c r="I657" s="4" t="n">
        <v>4</v>
      </c>
      <c r="J657" s="4" t="n">
        <f aca="false">LEN(E657)-LEN(SUBSTITUTE(E657,",",""))+1</f>
        <v>4</v>
      </c>
      <c r="K657" s="3" t="str">
        <f aca="false">IFERROR(INDEX('Teacher Lookup'!$B$2:$B$200,MATCH(A657,'Teacher Lookup'!$A$2:$A$200,0)),"")</f>
        <v>KHURRAM Aamenah</v>
      </c>
    </row>
    <row r="658" customFormat="false" ht="15" hidden="false" customHeight="false" outlineLevel="0" collapsed="false">
      <c r="A658" s="3" t="s">
        <v>162</v>
      </c>
      <c r="B658" s="4" t="s">
        <v>63</v>
      </c>
      <c r="C658" s="4" t="n">
        <v>2</v>
      </c>
      <c r="D658" s="4" t="s">
        <v>57</v>
      </c>
      <c r="E658" s="3" t="s">
        <v>179</v>
      </c>
      <c r="F658" s="4" t="str">
        <f aca="false">IF(I658&gt;J658,"Y","N")</f>
        <v>N</v>
      </c>
      <c r="G658" s="3" t="s">
        <v>164</v>
      </c>
      <c r="H658" s="3" t="s">
        <v>21</v>
      </c>
      <c r="I658" s="4" t="n">
        <v>4</v>
      </c>
      <c r="J658" s="4" t="n">
        <f aca="false">LEN(E658)-LEN(SUBSTITUTE(E658,",",""))+1</f>
        <v>4</v>
      </c>
      <c r="K658" s="3" t="str">
        <f aca="false">IFERROR(INDEX('Teacher Lookup'!$B$2:$B$200,MATCH(A658,'Teacher Lookup'!$A$2:$A$200,0)),"")</f>
        <v>KHURRAM Aamenah</v>
      </c>
    </row>
    <row r="659" customFormat="false" ht="15" hidden="false" customHeight="false" outlineLevel="0" collapsed="false">
      <c r="A659" s="3" t="s">
        <v>162</v>
      </c>
      <c r="B659" s="4" t="s">
        <v>63</v>
      </c>
      <c r="C659" s="4" t="n">
        <v>2</v>
      </c>
      <c r="D659" s="4" t="s">
        <v>58</v>
      </c>
      <c r="E659" s="3" t="s">
        <v>179</v>
      </c>
      <c r="F659" s="4" t="str">
        <f aca="false">IF(I659&gt;J659,"Y","N")</f>
        <v>N</v>
      </c>
      <c r="G659" s="3" t="s">
        <v>164</v>
      </c>
      <c r="H659" s="3" t="s">
        <v>21</v>
      </c>
      <c r="I659" s="4" t="n">
        <v>4</v>
      </c>
      <c r="J659" s="4" t="n">
        <f aca="false">LEN(E659)-LEN(SUBSTITUTE(E659,",",""))+1</f>
        <v>4</v>
      </c>
      <c r="K659" s="3" t="str">
        <f aca="false">IFERROR(INDEX('Teacher Lookup'!$B$2:$B$200,MATCH(A659,'Teacher Lookup'!$A$2:$A$200,0)),"")</f>
        <v>KHURRAM Aamenah</v>
      </c>
    </row>
    <row r="660" customFormat="false" ht="15" hidden="false" customHeight="false" outlineLevel="0" collapsed="false">
      <c r="A660" s="3" t="s">
        <v>162</v>
      </c>
      <c r="B660" s="4" t="s">
        <v>63</v>
      </c>
      <c r="C660" s="4" t="n">
        <v>2</v>
      </c>
      <c r="D660" s="4" t="s">
        <v>59</v>
      </c>
      <c r="E660" s="3" t="s">
        <v>179</v>
      </c>
      <c r="F660" s="4" t="str">
        <f aca="false">IF(I660&gt;J660,"Y","N")</f>
        <v>N</v>
      </c>
      <c r="G660" s="3" t="s">
        <v>164</v>
      </c>
      <c r="H660" s="3" t="s">
        <v>21</v>
      </c>
      <c r="I660" s="4" t="n">
        <v>4</v>
      </c>
      <c r="J660" s="4" t="n">
        <f aca="false">LEN(E660)-LEN(SUBSTITUTE(E660,",",""))+1</f>
        <v>4</v>
      </c>
      <c r="K660" s="3" t="str">
        <f aca="false">IFERROR(INDEX('Teacher Lookup'!$B$2:$B$200,MATCH(A660,'Teacher Lookup'!$A$2:$A$200,0)),"")</f>
        <v>KHURRAM Aamenah</v>
      </c>
    </row>
    <row r="661" customFormat="false" ht="15" hidden="false" customHeight="false" outlineLevel="0" collapsed="false">
      <c r="A661" s="3" t="s">
        <v>162</v>
      </c>
      <c r="B661" s="4" t="s">
        <v>63</v>
      </c>
      <c r="C661" s="4" t="n">
        <v>3</v>
      </c>
      <c r="D661" s="4" t="s">
        <v>52</v>
      </c>
      <c r="E661" s="3" t="s">
        <v>180</v>
      </c>
      <c r="F661" s="4" t="str">
        <f aca="false">IF(I661&gt;J661,"Y","N")</f>
        <v>N</v>
      </c>
      <c r="G661" s="3" t="s">
        <v>164</v>
      </c>
      <c r="H661" s="3" t="s">
        <v>26</v>
      </c>
      <c r="I661" s="4" t="n">
        <v>4</v>
      </c>
      <c r="J661" s="4" t="n">
        <f aca="false">LEN(E661)-LEN(SUBSTITUTE(E661,",",""))+1</f>
        <v>4</v>
      </c>
      <c r="K661" s="3" t="str">
        <f aca="false">IFERROR(INDEX('Teacher Lookup'!$B$2:$B$200,MATCH(A661,'Teacher Lookup'!$A$2:$A$200,0)),"")</f>
        <v>KHURRAM Aamenah</v>
      </c>
    </row>
    <row r="662" customFormat="false" ht="15" hidden="false" customHeight="false" outlineLevel="0" collapsed="false">
      <c r="A662" s="3" t="s">
        <v>162</v>
      </c>
      <c r="B662" s="4" t="s">
        <v>63</v>
      </c>
      <c r="C662" s="4" t="n">
        <v>3</v>
      </c>
      <c r="D662" s="4" t="s">
        <v>55</v>
      </c>
      <c r="E662" s="3" t="s">
        <v>180</v>
      </c>
      <c r="F662" s="4" t="str">
        <f aca="false">IF(I662&gt;J662,"Y","N")</f>
        <v>N</v>
      </c>
      <c r="G662" s="3" t="s">
        <v>164</v>
      </c>
      <c r="H662" s="3" t="s">
        <v>26</v>
      </c>
      <c r="I662" s="4" t="n">
        <v>4</v>
      </c>
      <c r="J662" s="4" t="n">
        <f aca="false">LEN(E662)-LEN(SUBSTITUTE(E662,",",""))+1</f>
        <v>4</v>
      </c>
      <c r="K662" s="3" t="str">
        <f aca="false">IFERROR(INDEX('Teacher Lookup'!$B$2:$B$200,MATCH(A662,'Teacher Lookup'!$A$2:$A$200,0)),"")</f>
        <v>KHURRAM Aamenah</v>
      </c>
    </row>
    <row r="663" customFormat="false" ht="15" hidden="false" customHeight="false" outlineLevel="0" collapsed="false">
      <c r="A663" s="3" t="s">
        <v>162</v>
      </c>
      <c r="B663" s="4" t="s">
        <v>63</v>
      </c>
      <c r="C663" s="4" t="n">
        <v>3</v>
      </c>
      <c r="D663" s="4" t="s">
        <v>56</v>
      </c>
      <c r="E663" s="3" t="s">
        <v>180</v>
      </c>
      <c r="F663" s="4" t="str">
        <f aca="false">IF(I663&gt;J663,"Y","N")</f>
        <v>N</v>
      </c>
      <c r="G663" s="3" t="s">
        <v>164</v>
      </c>
      <c r="H663" s="3" t="s">
        <v>26</v>
      </c>
      <c r="I663" s="4" t="n">
        <v>4</v>
      </c>
      <c r="J663" s="4" t="n">
        <f aca="false">LEN(E663)-LEN(SUBSTITUTE(E663,",",""))+1</f>
        <v>4</v>
      </c>
      <c r="K663" s="3" t="str">
        <f aca="false">IFERROR(INDEX('Teacher Lookup'!$B$2:$B$200,MATCH(A663,'Teacher Lookup'!$A$2:$A$200,0)),"")</f>
        <v>KHURRAM Aamenah</v>
      </c>
    </row>
    <row r="664" customFormat="false" ht="15" hidden="false" customHeight="false" outlineLevel="0" collapsed="false">
      <c r="A664" s="3" t="s">
        <v>162</v>
      </c>
      <c r="B664" s="4" t="s">
        <v>63</v>
      </c>
      <c r="C664" s="4" t="n">
        <v>7</v>
      </c>
      <c r="D664" s="4" t="s">
        <v>76</v>
      </c>
      <c r="E664" s="3" t="s">
        <v>88</v>
      </c>
      <c r="F664" s="4" t="str">
        <f aca="false">IF(I664&gt;J664,"Y","N")</f>
        <v>N</v>
      </c>
      <c r="G664" s="3" t="s">
        <v>164</v>
      </c>
      <c r="H664" s="3" t="s">
        <v>39</v>
      </c>
      <c r="I664" s="4" t="n">
        <v>4</v>
      </c>
      <c r="J664" s="4" t="n">
        <f aca="false">LEN(E664)-LEN(SUBSTITUTE(E664,",",""))+1</f>
        <v>4</v>
      </c>
      <c r="K664" s="3" t="str">
        <f aca="false">IFERROR(INDEX('Teacher Lookup'!$B$2:$B$200,MATCH(A664,'Teacher Lookup'!$A$2:$A$200,0)),"")</f>
        <v>KHURRAM Aamenah</v>
      </c>
    </row>
    <row r="665" customFormat="false" ht="15" hidden="false" customHeight="false" outlineLevel="0" collapsed="false">
      <c r="A665" s="3" t="s">
        <v>162</v>
      </c>
      <c r="B665" s="4" t="s">
        <v>63</v>
      </c>
      <c r="C665" s="4" t="n">
        <v>7</v>
      </c>
      <c r="D665" s="4" t="s">
        <v>78</v>
      </c>
      <c r="E665" s="3" t="s">
        <v>88</v>
      </c>
      <c r="F665" s="4" t="str">
        <f aca="false">IF(I665&gt;J665,"Y","N")</f>
        <v>N</v>
      </c>
      <c r="G665" s="3" t="s">
        <v>164</v>
      </c>
      <c r="H665" s="3" t="s">
        <v>39</v>
      </c>
      <c r="I665" s="4" t="n">
        <v>4</v>
      </c>
      <c r="J665" s="4" t="n">
        <f aca="false">LEN(E665)-LEN(SUBSTITUTE(E665,",",""))+1</f>
        <v>4</v>
      </c>
      <c r="K665" s="3" t="str">
        <f aca="false">IFERROR(INDEX('Teacher Lookup'!$B$2:$B$200,MATCH(A665,'Teacher Lookup'!$A$2:$A$200,0)),"")</f>
        <v>KHURRAM Aamenah</v>
      </c>
    </row>
    <row r="666" customFormat="false" ht="15" hidden="false" customHeight="false" outlineLevel="0" collapsed="false">
      <c r="A666" s="3" t="s">
        <v>162</v>
      </c>
      <c r="B666" s="4" t="s">
        <v>63</v>
      </c>
      <c r="C666" s="4" t="n">
        <v>7</v>
      </c>
      <c r="D666" s="4" t="s">
        <v>79</v>
      </c>
      <c r="E666" s="3" t="s">
        <v>88</v>
      </c>
      <c r="F666" s="4" t="str">
        <f aca="false">IF(I666&gt;J666,"Y","N")</f>
        <v>N</v>
      </c>
      <c r="G666" s="3" t="s">
        <v>164</v>
      </c>
      <c r="H666" s="3" t="s">
        <v>39</v>
      </c>
      <c r="I666" s="4" t="n">
        <v>4</v>
      </c>
      <c r="J666" s="4" t="n">
        <f aca="false">LEN(E666)-LEN(SUBSTITUTE(E666,",",""))+1</f>
        <v>4</v>
      </c>
      <c r="K666" s="3" t="str">
        <f aca="false">IFERROR(INDEX('Teacher Lookup'!$B$2:$B$200,MATCH(A666,'Teacher Lookup'!$A$2:$A$200,0)),"")</f>
        <v>KHURRAM Aamenah</v>
      </c>
    </row>
    <row r="667" customFormat="false" ht="15" hidden="false" customHeight="false" outlineLevel="0" collapsed="false">
      <c r="A667" s="3" t="s">
        <v>162</v>
      </c>
      <c r="B667" s="4" t="s">
        <v>65</v>
      </c>
      <c r="C667" s="4" t="n">
        <v>2</v>
      </c>
      <c r="D667" s="4" t="s">
        <v>52</v>
      </c>
      <c r="E667" s="3" t="s">
        <v>171</v>
      </c>
      <c r="F667" s="4" t="str">
        <f aca="false">IF(I667&gt;J667,"Y","N")</f>
        <v>N</v>
      </c>
      <c r="G667" s="3" t="s">
        <v>164</v>
      </c>
      <c r="H667" s="3" t="s">
        <v>21</v>
      </c>
      <c r="I667" s="4" t="n">
        <v>4</v>
      </c>
      <c r="J667" s="4" t="n">
        <f aca="false">LEN(E667)-LEN(SUBSTITUTE(E667,",",""))+1</f>
        <v>4</v>
      </c>
      <c r="K667" s="3" t="str">
        <f aca="false">IFERROR(INDEX('Teacher Lookup'!$B$2:$B$200,MATCH(A667,'Teacher Lookup'!$A$2:$A$200,0)),"")</f>
        <v>KHURRAM Aamenah</v>
      </c>
    </row>
    <row r="668" customFormat="false" ht="15" hidden="false" customHeight="false" outlineLevel="0" collapsed="false">
      <c r="A668" s="3" t="s">
        <v>162</v>
      </c>
      <c r="B668" s="4" t="s">
        <v>65</v>
      </c>
      <c r="C668" s="4" t="n">
        <v>2</v>
      </c>
      <c r="D668" s="4" t="s">
        <v>55</v>
      </c>
      <c r="E668" s="3" t="s">
        <v>171</v>
      </c>
      <c r="F668" s="4" t="str">
        <f aca="false">IF(I668&gt;J668,"Y","N")</f>
        <v>N</v>
      </c>
      <c r="G668" s="3" t="s">
        <v>164</v>
      </c>
      <c r="H668" s="3" t="s">
        <v>21</v>
      </c>
      <c r="I668" s="4" t="n">
        <v>4</v>
      </c>
      <c r="J668" s="4" t="n">
        <f aca="false">LEN(E668)-LEN(SUBSTITUTE(E668,",",""))+1</f>
        <v>4</v>
      </c>
      <c r="K668" s="3" t="str">
        <f aca="false">IFERROR(INDEX('Teacher Lookup'!$B$2:$B$200,MATCH(A668,'Teacher Lookup'!$A$2:$A$200,0)),"")</f>
        <v>KHURRAM Aamenah</v>
      </c>
    </row>
    <row r="669" customFormat="false" ht="15" hidden="false" customHeight="false" outlineLevel="0" collapsed="false">
      <c r="A669" s="3" t="s">
        <v>162</v>
      </c>
      <c r="B669" s="4" t="s">
        <v>65</v>
      </c>
      <c r="C669" s="4" t="n">
        <v>2</v>
      </c>
      <c r="D669" s="4" t="s">
        <v>56</v>
      </c>
      <c r="E669" s="3" t="s">
        <v>171</v>
      </c>
      <c r="F669" s="4" t="str">
        <f aca="false">IF(I669&gt;J669,"Y","N")</f>
        <v>N</v>
      </c>
      <c r="G669" s="3" t="s">
        <v>164</v>
      </c>
      <c r="H669" s="3" t="s">
        <v>21</v>
      </c>
      <c r="I669" s="4" t="n">
        <v>4</v>
      </c>
      <c r="J669" s="4" t="n">
        <f aca="false">LEN(E669)-LEN(SUBSTITUTE(E669,",",""))+1</f>
        <v>4</v>
      </c>
      <c r="K669" s="3" t="str">
        <f aca="false">IFERROR(INDEX('Teacher Lookup'!$B$2:$B$200,MATCH(A669,'Teacher Lookup'!$A$2:$A$200,0)),"")</f>
        <v>KHURRAM Aamenah</v>
      </c>
    </row>
    <row r="670" customFormat="false" ht="15" hidden="false" customHeight="false" outlineLevel="0" collapsed="false">
      <c r="A670" s="3" t="s">
        <v>162</v>
      </c>
      <c r="B670" s="4" t="s">
        <v>65</v>
      </c>
      <c r="C670" s="4" t="n">
        <v>3</v>
      </c>
      <c r="D670" s="4" t="s">
        <v>76</v>
      </c>
      <c r="E670" s="3" t="s">
        <v>181</v>
      </c>
      <c r="F670" s="4" t="str">
        <f aca="false">IF(I670&gt;J670,"Y","N")</f>
        <v>N</v>
      </c>
      <c r="G670" s="3" t="s">
        <v>164</v>
      </c>
      <c r="H670" s="3" t="s">
        <v>26</v>
      </c>
      <c r="I670" s="4" t="n">
        <v>4</v>
      </c>
      <c r="J670" s="4" t="n">
        <f aca="false">LEN(E670)-LEN(SUBSTITUTE(E670,",",""))+1</f>
        <v>4</v>
      </c>
      <c r="K670" s="3" t="str">
        <f aca="false">IFERROR(INDEX('Teacher Lookup'!$B$2:$B$200,MATCH(A670,'Teacher Lookup'!$A$2:$A$200,0)),"")</f>
        <v>KHURRAM Aamenah</v>
      </c>
    </row>
    <row r="671" customFormat="false" ht="15" hidden="false" customHeight="false" outlineLevel="0" collapsed="false">
      <c r="A671" s="3" t="s">
        <v>162</v>
      </c>
      <c r="B671" s="4" t="s">
        <v>65</v>
      </c>
      <c r="C671" s="4" t="n">
        <v>3</v>
      </c>
      <c r="D671" s="4" t="s">
        <v>78</v>
      </c>
      <c r="E671" s="3" t="s">
        <v>181</v>
      </c>
      <c r="F671" s="4" t="str">
        <f aca="false">IF(I671&gt;J671,"Y","N")</f>
        <v>N</v>
      </c>
      <c r="G671" s="3" t="s">
        <v>164</v>
      </c>
      <c r="H671" s="3" t="s">
        <v>26</v>
      </c>
      <c r="I671" s="4" t="n">
        <v>4</v>
      </c>
      <c r="J671" s="4" t="n">
        <f aca="false">LEN(E671)-LEN(SUBSTITUTE(E671,",",""))+1</f>
        <v>4</v>
      </c>
      <c r="K671" s="3" t="str">
        <f aca="false">IFERROR(INDEX('Teacher Lookup'!$B$2:$B$200,MATCH(A671,'Teacher Lookup'!$A$2:$A$200,0)),"")</f>
        <v>KHURRAM Aamenah</v>
      </c>
    </row>
    <row r="672" customFormat="false" ht="15" hidden="false" customHeight="false" outlineLevel="0" collapsed="false">
      <c r="A672" s="3" t="s">
        <v>162</v>
      </c>
      <c r="B672" s="4" t="s">
        <v>65</v>
      </c>
      <c r="C672" s="4" t="n">
        <v>3</v>
      </c>
      <c r="D672" s="4" t="s">
        <v>79</v>
      </c>
      <c r="E672" s="3" t="s">
        <v>181</v>
      </c>
      <c r="F672" s="4" t="str">
        <f aca="false">IF(I672&gt;J672,"Y","N")</f>
        <v>N</v>
      </c>
      <c r="G672" s="3" t="s">
        <v>164</v>
      </c>
      <c r="H672" s="3" t="s">
        <v>26</v>
      </c>
      <c r="I672" s="4" t="n">
        <v>4</v>
      </c>
      <c r="J672" s="4" t="n">
        <f aca="false">LEN(E672)-LEN(SUBSTITUTE(E672,",",""))+1</f>
        <v>4</v>
      </c>
      <c r="K672" s="3" t="str">
        <f aca="false">IFERROR(INDEX('Teacher Lookup'!$B$2:$B$200,MATCH(A672,'Teacher Lookup'!$A$2:$A$200,0)),"")</f>
        <v>KHURRAM Aamenah</v>
      </c>
    </row>
    <row r="673" customFormat="false" ht="15" hidden="false" customHeight="false" outlineLevel="0" collapsed="false">
      <c r="A673" s="3" t="s">
        <v>162</v>
      </c>
      <c r="B673" s="4" t="s">
        <v>65</v>
      </c>
      <c r="C673" s="4" t="n">
        <v>5</v>
      </c>
      <c r="D673" s="4" t="s">
        <v>52</v>
      </c>
      <c r="E673" s="3" t="s">
        <v>112</v>
      </c>
      <c r="F673" s="4" t="str">
        <f aca="false">IF(I673&gt;J673,"Y","N")</f>
        <v>Y</v>
      </c>
      <c r="G673" s="3" t="s">
        <v>36</v>
      </c>
      <c r="H673" s="3" t="s">
        <v>37</v>
      </c>
      <c r="I673" s="4" t="n">
        <v>16</v>
      </c>
      <c r="J673" s="4" t="n">
        <f aca="false">LEN(E673)-LEN(SUBSTITUTE(E673,",",""))+1</f>
        <v>7</v>
      </c>
      <c r="K673" s="3" t="str">
        <f aca="false">IFERROR(INDEX('Teacher Lookup'!$B$2:$B$200,MATCH(A673,'Teacher Lookup'!$A$2:$A$200,0)),"")</f>
        <v>KHURRAM Aamenah</v>
      </c>
    </row>
    <row r="674" customFormat="false" ht="15" hidden="false" customHeight="false" outlineLevel="0" collapsed="false">
      <c r="A674" s="3" t="s">
        <v>162</v>
      </c>
      <c r="B674" s="4" t="s">
        <v>65</v>
      </c>
      <c r="C674" s="4" t="n">
        <v>5</v>
      </c>
      <c r="D674" s="4" t="s">
        <v>55</v>
      </c>
      <c r="E674" s="3" t="s">
        <v>112</v>
      </c>
      <c r="F674" s="4" t="str">
        <f aca="false">IF(I674&gt;J674,"Y","N")</f>
        <v>Y</v>
      </c>
      <c r="G674" s="3" t="s">
        <v>36</v>
      </c>
      <c r="H674" s="3" t="s">
        <v>37</v>
      </c>
      <c r="I674" s="4" t="n">
        <v>16</v>
      </c>
      <c r="J674" s="4" t="n">
        <f aca="false">LEN(E674)-LEN(SUBSTITUTE(E674,",",""))+1</f>
        <v>7</v>
      </c>
      <c r="K674" s="3" t="str">
        <f aca="false">IFERROR(INDEX('Teacher Lookup'!$B$2:$B$200,MATCH(A674,'Teacher Lookup'!$A$2:$A$200,0)),"")</f>
        <v>KHURRAM Aamenah</v>
      </c>
    </row>
    <row r="675" customFormat="false" ht="15" hidden="false" customHeight="false" outlineLevel="0" collapsed="false">
      <c r="A675" s="3" t="s">
        <v>162</v>
      </c>
      <c r="B675" s="4" t="s">
        <v>65</v>
      </c>
      <c r="C675" s="4" t="n">
        <v>5</v>
      </c>
      <c r="D675" s="4" t="s">
        <v>56</v>
      </c>
      <c r="E675" s="3" t="s">
        <v>112</v>
      </c>
      <c r="F675" s="4" t="str">
        <f aca="false">IF(I675&gt;J675,"Y","N")</f>
        <v>Y</v>
      </c>
      <c r="G675" s="3" t="s">
        <v>36</v>
      </c>
      <c r="H675" s="3" t="s">
        <v>37</v>
      </c>
      <c r="I675" s="4" t="n">
        <v>16</v>
      </c>
      <c r="J675" s="4" t="n">
        <f aca="false">LEN(E675)-LEN(SUBSTITUTE(E675,",",""))+1</f>
        <v>7</v>
      </c>
      <c r="K675" s="3" t="str">
        <f aca="false">IFERROR(INDEX('Teacher Lookup'!$B$2:$B$200,MATCH(A675,'Teacher Lookup'!$A$2:$A$200,0)),"")</f>
        <v>KHURRAM Aamenah</v>
      </c>
    </row>
    <row r="676" customFormat="false" ht="15" hidden="false" customHeight="false" outlineLevel="0" collapsed="false">
      <c r="A676" s="3" t="s">
        <v>162</v>
      </c>
      <c r="B676" s="4" t="s">
        <v>65</v>
      </c>
      <c r="C676" s="4" t="n">
        <v>5</v>
      </c>
      <c r="D676" s="4" t="s">
        <v>57</v>
      </c>
      <c r="E676" s="3" t="s">
        <v>112</v>
      </c>
      <c r="F676" s="4" t="str">
        <f aca="false">IF(I676&gt;J676,"Y","N")</f>
        <v>Y</v>
      </c>
      <c r="G676" s="3" t="s">
        <v>36</v>
      </c>
      <c r="H676" s="3" t="s">
        <v>37</v>
      </c>
      <c r="I676" s="4" t="n">
        <v>16</v>
      </c>
      <c r="J676" s="4" t="n">
        <f aca="false">LEN(E676)-LEN(SUBSTITUTE(E676,",",""))+1</f>
        <v>7</v>
      </c>
      <c r="K676" s="3" t="str">
        <f aca="false">IFERROR(INDEX('Teacher Lookup'!$B$2:$B$200,MATCH(A676,'Teacher Lookup'!$A$2:$A$200,0)),"")</f>
        <v>KHURRAM Aamenah</v>
      </c>
    </row>
    <row r="677" customFormat="false" ht="15" hidden="false" customHeight="false" outlineLevel="0" collapsed="false">
      <c r="A677" s="3" t="s">
        <v>162</v>
      </c>
      <c r="B677" s="4" t="s">
        <v>65</v>
      </c>
      <c r="C677" s="4" t="n">
        <v>5</v>
      </c>
      <c r="D677" s="4" t="s">
        <v>58</v>
      </c>
      <c r="E677" s="3" t="s">
        <v>112</v>
      </c>
      <c r="F677" s="4" t="str">
        <f aca="false">IF(I677&gt;J677,"Y","N")</f>
        <v>Y</v>
      </c>
      <c r="G677" s="3" t="s">
        <v>36</v>
      </c>
      <c r="H677" s="3" t="s">
        <v>37</v>
      </c>
      <c r="I677" s="4" t="n">
        <v>16</v>
      </c>
      <c r="J677" s="4" t="n">
        <f aca="false">LEN(E677)-LEN(SUBSTITUTE(E677,",",""))+1</f>
        <v>7</v>
      </c>
      <c r="K677" s="3" t="str">
        <f aca="false">IFERROR(INDEX('Teacher Lookup'!$B$2:$B$200,MATCH(A677,'Teacher Lookup'!$A$2:$A$200,0)),"")</f>
        <v>KHURRAM Aamenah</v>
      </c>
    </row>
    <row r="678" customFormat="false" ht="15" hidden="false" customHeight="false" outlineLevel="0" collapsed="false">
      <c r="A678" s="3" t="s">
        <v>162</v>
      </c>
      <c r="B678" s="4" t="s">
        <v>65</v>
      </c>
      <c r="C678" s="4" t="n">
        <v>5</v>
      </c>
      <c r="D678" s="4" t="s">
        <v>59</v>
      </c>
      <c r="E678" s="3" t="s">
        <v>112</v>
      </c>
      <c r="F678" s="4" t="str">
        <f aca="false">IF(I678&gt;J678,"Y","N")</f>
        <v>Y</v>
      </c>
      <c r="G678" s="3" t="s">
        <v>36</v>
      </c>
      <c r="H678" s="3" t="s">
        <v>37</v>
      </c>
      <c r="I678" s="4" t="n">
        <v>16</v>
      </c>
      <c r="J678" s="4" t="n">
        <f aca="false">LEN(E678)-LEN(SUBSTITUTE(E678,",",""))+1</f>
        <v>7</v>
      </c>
      <c r="K678" s="3" t="str">
        <f aca="false">IFERROR(INDEX('Teacher Lookup'!$B$2:$B$200,MATCH(A678,'Teacher Lookup'!$A$2:$A$200,0)),"")</f>
        <v>KHURRAM Aamenah</v>
      </c>
    </row>
    <row r="679" customFormat="false" ht="15" hidden="false" customHeight="false" outlineLevel="0" collapsed="false">
      <c r="A679" s="3" t="s">
        <v>162</v>
      </c>
      <c r="B679" s="4" t="s">
        <v>65</v>
      </c>
      <c r="C679" s="4" t="n">
        <v>6</v>
      </c>
      <c r="D679" s="4" t="s">
        <v>57</v>
      </c>
      <c r="E679" s="3" t="s">
        <v>178</v>
      </c>
      <c r="F679" s="4" t="str">
        <f aca="false">IF(I679&gt;J679,"Y","N")</f>
        <v>N</v>
      </c>
      <c r="G679" s="3" t="s">
        <v>164</v>
      </c>
      <c r="H679" s="3" t="s">
        <v>42</v>
      </c>
      <c r="I679" s="4" t="n">
        <v>4</v>
      </c>
      <c r="J679" s="4" t="n">
        <f aca="false">LEN(E679)-LEN(SUBSTITUTE(E679,",",""))+1</f>
        <v>4</v>
      </c>
      <c r="K679" s="3" t="str">
        <f aca="false">IFERROR(INDEX('Teacher Lookup'!$B$2:$B$200,MATCH(A679,'Teacher Lookup'!$A$2:$A$200,0)),"")</f>
        <v>KHURRAM Aamenah</v>
      </c>
    </row>
    <row r="680" customFormat="false" ht="15" hidden="false" customHeight="false" outlineLevel="0" collapsed="false">
      <c r="A680" s="3" t="s">
        <v>162</v>
      </c>
      <c r="B680" s="4" t="s">
        <v>65</v>
      </c>
      <c r="C680" s="4" t="n">
        <v>6</v>
      </c>
      <c r="D680" s="4" t="s">
        <v>58</v>
      </c>
      <c r="E680" s="3" t="s">
        <v>178</v>
      </c>
      <c r="F680" s="4" t="str">
        <f aca="false">IF(I680&gt;J680,"Y","N")</f>
        <v>N</v>
      </c>
      <c r="G680" s="3" t="s">
        <v>164</v>
      </c>
      <c r="H680" s="3" t="s">
        <v>42</v>
      </c>
      <c r="I680" s="4" t="n">
        <v>4</v>
      </c>
      <c r="J680" s="4" t="n">
        <f aca="false">LEN(E680)-LEN(SUBSTITUTE(E680,",",""))+1</f>
        <v>4</v>
      </c>
      <c r="K680" s="3" t="str">
        <f aca="false">IFERROR(INDEX('Teacher Lookup'!$B$2:$B$200,MATCH(A680,'Teacher Lookup'!$A$2:$A$200,0)),"")</f>
        <v>KHURRAM Aamenah</v>
      </c>
    </row>
    <row r="681" customFormat="false" ht="15" hidden="false" customHeight="false" outlineLevel="0" collapsed="false">
      <c r="A681" s="3" t="s">
        <v>162</v>
      </c>
      <c r="B681" s="4" t="s">
        <v>65</v>
      </c>
      <c r="C681" s="4" t="n">
        <v>6</v>
      </c>
      <c r="D681" s="4" t="s">
        <v>59</v>
      </c>
      <c r="E681" s="3" t="s">
        <v>178</v>
      </c>
      <c r="F681" s="4" t="str">
        <f aca="false">IF(I681&gt;J681,"Y","N")</f>
        <v>N</v>
      </c>
      <c r="G681" s="3" t="s">
        <v>164</v>
      </c>
      <c r="H681" s="3" t="s">
        <v>42</v>
      </c>
      <c r="I681" s="4" t="n">
        <v>4</v>
      </c>
      <c r="J681" s="4" t="n">
        <f aca="false">LEN(E681)-LEN(SUBSTITUTE(E681,",",""))+1</f>
        <v>4</v>
      </c>
      <c r="K681" s="3" t="str">
        <f aca="false">IFERROR(INDEX('Teacher Lookup'!$B$2:$B$200,MATCH(A681,'Teacher Lookup'!$A$2:$A$200,0)),"")</f>
        <v>KHURRAM Aamenah</v>
      </c>
    </row>
    <row r="682" customFormat="false" ht="15" hidden="false" customHeight="false" outlineLevel="0" collapsed="false">
      <c r="A682" s="3" t="s">
        <v>162</v>
      </c>
      <c r="B682" s="4" t="s">
        <v>66</v>
      </c>
      <c r="C682" s="4" t="n">
        <v>3</v>
      </c>
      <c r="D682" s="4" t="s">
        <v>52</v>
      </c>
      <c r="E682" s="3" t="s">
        <v>176</v>
      </c>
      <c r="F682" s="4" t="str">
        <f aca="false">IF(I682&gt;J682,"Y","N")</f>
        <v>N</v>
      </c>
      <c r="G682" s="3" t="s">
        <v>164</v>
      </c>
      <c r="H682" s="3" t="s">
        <v>26</v>
      </c>
      <c r="I682" s="4" t="n">
        <v>4</v>
      </c>
      <c r="J682" s="4" t="n">
        <f aca="false">LEN(E682)-LEN(SUBSTITUTE(E682,",",""))+1</f>
        <v>4</v>
      </c>
      <c r="K682" s="3" t="str">
        <f aca="false">IFERROR(INDEX('Teacher Lookup'!$B$2:$B$200,MATCH(A682,'Teacher Lookup'!$A$2:$A$200,0)),"")</f>
        <v>KHURRAM Aamenah</v>
      </c>
    </row>
    <row r="683" customFormat="false" ht="15" hidden="false" customHeight="false" outlineLevel="0" collapsed="false">
      <c r="A683" s="3" t="s">
        <v>162</v>
      </c>
      <c r="B683" s="4" t="s">
        <v>66</v>
      </c>
      <c r="C683" s="4" t="n">
        <v>3</v>
      </c>
      <c r="D683" s="4" t="s">
        <v>55</v>
      </c>
      <c r="E683" s="3" t="s">
        <v>176</v>
      </c>
      <c r="F683" s="4" t="str">
        <f aca="false">IF(I683&gt;J683,"Y","N")</f>
        <v>N</v>
      </c>
      <c r="G683" s="3" t="s">
        <v>164</v>
      </c>
      <c r="H683" s="3" t="s">
        <v>26</v>
      </c>
      <c r="I683" s="4" t="n">
        <v>4</v>
      </c>
      <c r="J683" s="4" t="n">
        <f aca="false">LEN(E683)-LEN(SUBSTITUTE(E683,",",""))+1</f>
        <v>4</v>
      </c>
      <c r="K683" s="3" t="str">
        <f aca="false">IFERROR(INDEX('Teacher Lookup'!$B$2:$B$200,MATCH(A683,'Teacher Lookup'!$A$2:$A$200,0)),"")</f>
        <v>KHURRAM Aamenah</v>
      </c>
    </row>
    <row r="684" customFormat="false" ht="15" hidden="false" customHeight="false" outlineLevel="0" collapsed="false">
      <c r="A684" s="3" t="s">
        <v>162</v>
      </c>
      <c r="B684" s="4" t="s">
        <v>66</v>
      </c>
      <c r="C684" s="4" t="n">
        <v>3</v>
      </c>
      <c r="D684" s="4" t="s">
        <v>56</v>
      </c>
      <c r="E684" s="3" t="s">
        <v>176</v>
      </c>
      <c r="F684" s="4" t="str">
        <f aca="false">IF(I684&gt;J684,"Y","N")</f>
        <v>N</v>
      </c>
      <c r="G684" s="3" t="s">
        <v>164</v>
      </c>
      <c r="H684" s="3" t="s">
        <v>26</v>
      </c>
      <c r="I684" s="4" t="n">
        <v>4</v>
      </c>
      <c r="J684" s="4" t="n">
        <f aca="false">LEN(E684)-LEN(SUBSTITUTE(E684,",",""))+1</f>
        <v>4</v>
      </c>
      <c r="K684" s="3" t="str">
        <f aca="false">IFERROR(INDEX('Teacher Lookup'!$B$2:$B$200,MATCH(A684,'Teacher Lookup'!$A$2:$A$200,0)),"")</f>
        <v>KHURRAM Aamenah</v>
      </c>
    </row>
    <row r="685" customFormat="false" ht="15" hidden="false" customHeight="false" outlineLevel="0" collapsed="false">
      <c r="A685" s="3" t="s">
        <v>162</v>
      </c>
      <c r="B685" s="4" t="s">
        <v>66</v>
      </c>
      <c r="C685" s="4" t="n">
        <v>4</v>
      </c>
      <c r="D685" s="4" t="s">
        <v>76</v>
      </c>
      <c r="E685" s="3" t="s">
        <v>182</v>
      </c>
      <c r="F685" s="4" t="str">
        <f aca="false">IF(I685&gt;J685,"Y","N")</f>
        <v>N</v>
      </c>
      <c r="G685" s="3" t="s">
        <v>164</v>
      </c>
      <c r="H685" s="3" t="s">
        <v>34</v>
      </c>
      <c r="I685" s="4" t="n">
        <v>4</v>
      </c>
      <c r="J685" s="4" t="n">
        <f aca="false">LEN(E685)-LEN(SUBSTITUTE(E685,",",""))+1</f>
        <v>4</v>
      </c>
      <c r="K685" s="3" t="str">
        <f aca="false">IFERROR(INDEX('Teacher Lookup'!$B$2:$B$200,MATCH(A685,'Teacher Lookup'!$A$2:$A$200,0)),"")</f>
        <v>KHURRAM Aamenah</v>
      </c>
    </row>
    <row r="686" customFormat="false" ht="15" hidden="false" customHeight="false" outlineLevel="0" collapsed="false">
      <c r="A686" s="3" t="s">
        <v>162</v>
      </c>
      <c r="B686" s="4" t="s">
        <v>66</v>
      </c>
      <c r="C686" s="4" t="n">
        <v>4</v>
      </c>
      <c r="D686" s="4" t="s">
        <v>78</v>
      </c>
      <c r="E686" s="3" t="s">
        <v>182</v>
      </c>
      <c r="F686" s="4" t="str">
        <f aca="false">IF(I686&gt;J686,"Y","N")</f>
        <v>N</v>
      </c>
      <c r="G686" s="3" t="s">
        <v>164</v>
      </c>
      <c r="H686" s="3" t="s">
        <v>34</v>
      </c>
      <c r="I686" s="4" t="n">
        <v>4</v>
      </c>
      <c r="J686" s="4" t="n">
        <f aca="false">LEN(E686)-LEN(SUBSTITUTE(E686,",",""))+1</f>
        <v>4</v>
      </c>
      <c r="K686" s="3" t="str">
        <f aca="false">IFERROR(INDEX('Teacher Lookup'!$B$2:$B$200,MATCH(A686,'Teacher Lookup'!$A$2:$A$200,0)),"")</f>
        <v>KHURRAM Aamenah</v>
      </c>
    </row>
    <row r="687" customFormat="false" ht="15" hidden="false" customHeight="false" outlineLevel="0" collapsed="false">
      <c r="A687" s="3" t="s">
        <v>162</v>
      </c>
      <c r="B687" s="4" t="s">
        <v>66</v>
      </c>
      <c r="C687" s="4" t="n">
        <v>4</v>
      </c>
      <c r="D687" s="4" t="s">
        <v>79</v>
      </c>
      <c r="E687" s="3" t="s">
        <v>182</v>
      </c>
      <c r="F687" s="4" t="str">
        <f aca="false">IF(I687&gt;J687,"Y","N")</f>
        <v>N</v>
      </c>
      <c r="G687" s="3" t="s">
        <v>164</v>
      </c>
      <c r="H687" s="3" t="s">
        <v>34</v>
      </c>
      <c r="I687" s="4" t="n">
        <v>4</v>
      </c>
      <c r="J687" s="4" t="n">
        <f aca="false">LEN(E687)-LEN(SUBSTITUTE(E687,",",""))+1</f>
        <v>4</v>
      </c>
      <c r="K687" s="3" t="str">
        <f aca="false">IFERROR(INDEX('Teacher Lookup'!$B$2:$B$200,MATCH(A687,'Teacher Lookup'!$A$2:$A$200,0)),"")</f>
        <v>KHURRAM Aamenah</v>
      </c>
    </row>
    <row r="688" customFormat="false" ht="15" hidden="false" customHeight="false" outlineLevel="0" collapsed="false">
      <c r="A688" s="3" t="s">
        <v>162</v>
      </c>
      <c r="B688" s="4" t="s">
        <v>66</v>
      </c>
      <c r="C688" s="4" t="n">
        <v>5</v>
      </c>
      <c r="D688" s="4" t="s">
        <v>76</v>
      </c>
      <c r="E688" s="3" t="s">
        <v>182</v>
      </c>
      <c r="F688" s="4" t="str">
        <f aca="false">IF(I688&gt;J688,"Y","N")</f>
        <v>N</v>
      </c>
      <c r="G688" s="3" t="s">
        <v>164</v>
      </c>
      <c r="H688" s="3" t="s">
        <v>37</v>
      </c>
      <c r="I688" s="4" t="n">
        <v>4</v>
      </c>
      <c r="J688" s="4" t="n">
        <f aca="false">LEN(E688)-LEN(SUBSTITUTE(E688,",",""))+1</f>
        <v>4</v>
      </c>
      <c r="K688" s="3" t="str">
        <f aca="false">IFERROR(INDEX('Teacher Lookup'!$B$2:$B$200,MATCH(A688,'Teacher Lookup'!$A$2:$A$200,0)),"")</f>
        <v>KHURRAM Aamenah</v>
      </c>
    </row>
    <row r="689" customFormat="false" ht="15" hidden="false" customHeight="false" outlineLevel="0" collapsed="false">
      <c r="A689" s="3" t="s">
        <v>162</v>
      </c>
      <c r="B689" s="4" t="s">
        <v>66</v>
      </c>
      <c r="C689" s="4" t="n">
        <v>5</v>
      </c>
      <c r="D689" s="4" t="s">
        <v>78</v>
      </c>
      <c r="E689" s="3" t="s">
        <v>182</v>
      </c>
      <c r="F689" s="4" t="str">
        <f aca="false">IF(I689&gt;J689,"Y","N")</f>
        <v>N</v>
      </c>
      <c r="G689" s="3" t="s">
        <v>164</v>
      </c>
      <c r="H689" s="3" t="s">
        <v>37</v>
      </c>
      <c r="I689" s="4" t="n">
        <v>4</v>
      </c>
      <c r="J689" s="4" t="n">
        <f aca="false">LEN(E689)-LEN(SUBSTITUTE(E689,",",""))+1</f>
        <v>4</v>
      </c>
      <c r="K689" s="3" t="str">
        <f aca="false">IFERROR(INDEX('Teacher Lookup'!$B$2:$B$200,MATCH(A689,'Teacher Lookup'!$A$2:$A$200,0)),"")</f>
        <v>KHURRAM Aamenah</v>
      </c>
    </row>
    <row r="690" customFormat="false" ht="15" hidden="false" customHeight="false" outlineLevel="0" collapsed="false">
      <c r="A690" s="3" t="s">
        <v>162</v>
      </c>
      <c r="B690" s="4" t="s">
        <v>66</v>
      </c>
      <c r="C690" s="4" t="n">
        <v>5</v>
      </c>
      <c r="D690" s="4" t="s">
        <v>79</v>
      </c>
      <c r="E690" s="3" t="s">
        <v>182</v>
      </c>
      <c r="F690" s="4" t="str">
        <f aca="false">IF(I690&gt;J690,"Y","N")</f>
        <v>N</v>
      </c>
      <c r="G690" s="3" t="s">
        <v>164</v>
      </c>
      <c r="H690" s="3" t="s">
        <v>37</v>
      </c>
      <c r="I690" s="4" t="n">
        <v>4</v>
      </c>
      <c r="J690" s="4" t="n">
        <f aca="false">LEN(E690)-LEN(SUBSTITUTE(E690,",",""))+1</f>
        <v>4</v>
      </c>
      <c r="K690" s="3" t="str">
        <f aca="false">IFERROR(INDEX('Teacher Lookup'!$B$2:$B$200,MATCH(A690,'Teacher Lookup'!$A$2:$A$200,0)),"")</f>
        <v>KHURRAM Aamenah</v>
      </c>
    </row>
    <row r="691" customFormat="false" ht="15" hidden="false" customHeight="false" outlineLevel="0" collapsed="false">
      <c r="A691" s="3" t="s">
        <v>162</v>
      </c>
      <c r="B691" s="4" t="s">
        <v>66</v>
      </c>
      <c r="C691" s="4" t="n">
        <v>7</v>
      </c>
      <c r="D691" s="4" t="s">
        <v>57</v>
      </c>
      <c r="E691" s="3" t="s">
        <v>183</v>
      </c>
      <c r="F691" s="4" t="str">
        <f aca="false">IF(I691&gt;J691,"Y","N")</f>
        <v>N</v>
      </c>
      <c r="G691" s="3" t="s">
        <v>164</v>
      </c>
      <c r="H691" s="3" t="s">
        <v>39</v>
      </c>
      <c r="I691" s="4" t="n">
        <v>4</v>
      </c>
      <c r="J691" s="4" t="n">
        <f aca="false">LEN(E691)-LEN(SUBSTITUTE(E691,",",""))+1</f>
        <v>4</v>
      </c>
      <c r="K691" s="3" t="str">
        <f aca="false">IFERROR(INDEX('Teacher Lookup'!$B$2:$B$200,MATCH(A691,'Teacher Lookup'!$A$2:$A$200,0)),"")</f>
        <v>KHURRAM Aamenah</v>
      </c>
    </row>
    <row r="692" customFormat="false" ht="15" hidden="false" customHeight="false" outlineLevel="0" collapsed="false">
      <c r="A692" s="3" t="s">
        <v>162</v>
      </c>
      <c r="B692" s="4" t="s">
        <v>66</v>
      </c>
      <c r="C692" s="4" t="n">
        <v>7</v>
      </c>
      <c r="D692" s="4" t="s">
        <v>58</v>
      </c>
      <c r="E692" s="3" t="s">
        <v>183</v>
      </c>
      <c r="F692" s="4" t="str">
        <f aca="false">IF(I692&gt;J692,"Y","N")</f>
        <v>N</v>
      </c>
      <c r="G692" s="3" t="s">
        <v>164</v>
      </c>
      <c r="H692" s="3" t="s">
        <v>39</v>
      </c>
      <c r="I692" s="4" t="n">
        <v>4</v>
      </c>
      <c r="J692" s="4" t="n">
        <f aca="false">LEN(E692)-LEN(SUBSTITUTE(E692,",",""))+1</f>
        <v>4</v>
      </c>
      <c r="K692" s="3" t="str">
        <f aca="false">IFERROR(INDEX('Teacher Lookup'!$B$2:$B$200,MATCH(A692,'Teacher Lookup'!$A$2:$A$200,0)),"")</f>
        <v>KHURRAM Aamenah</v>
      </c>
    </row>
    <row r="693" customFormat="false" ht="15" hidden="false" customHeight="false" outlineLevel="0" collapsed="false">
      <c r="A693" s="3" t="s">
        <v>162</v>
      </c>
      <c r="B693" s="4" t="s">
        <v>66</v>
      </c>
      <c r="C693" s="4" t="n">
        <v>7</v>
      </c>
      <c r="D693" s="4" t="s">
        <v>59</v>
      </c>
      <c r="E693" s="3" t="s">
        <v>183</v>
      </c>
      <c r="F693" s="4" t="str">
        <f aca="false">IF(I693&gt;J693,"Y","N")</f>
        <v>N</v>
      </c>
      <c r="G693" s="3" t="s">
        <v>164</v>
      </c>
      <c r="H693" s="3" t="s">
        <v>39</v>
      </c>
      <c r="I693" s="4" t="n">
        <v>4</v>
      </c>
      <c r="J693" s="4" t="n">
        <f aca="false">LEN(E693)-LEN(SUBSTITUTE(E693,",",""))+1</f>
        <v>4</v>
      </c>
      <c r="K693" s="3" t="str">
        <f aca="false">IFERROR(INDEX('Teacher Lookup'!$B$2:$B$200,MATCH(A693,'Teacher Lookup'!$A$2:$A$200,0)),"")</f>
        <v>KHURRAM Aamenah</v>
      </c>
    </row>
    <row r="694" customFormat="false" ht="15" hidden="false" customHeight="false" outlineLevel="0" collapsed="false">
      <c r="A694" s="3" t="s">
        <v>184</v>
      </c>
      <c r="B694" s="4" t="s">
        <v>12</v>
      </c>
      <c r="C694" s="4" t="n">
        <v>3</v>
      </c>
      <c r="D694" s="4" t="s">
        <v>140</v>
      </c>
      <c r="E694" s="3" t="s">
        <v>144</v>
      </c>
      <c r="F694" s="4" t="str">
        <f aca="false">IF(I694&gt;J694,"Y","N")</f>
        <v>N</v>
      </c>
      <c r="G694" s="3" t="s">
        <v>164</v>
      </c>
      <c r="H694" s="3" t="s">
        <v>26</v>
      </c>
      <c r="I694" s="4" t="n">
        <v>4</v>
      </c>
      <c r="J694" s="4" t="n">
        <f aca="false">LEN(E694)-LEN(SUBSTITUTE(E694,",",""))+1</f>
        <v>4</v>
      </c>
      <c r="K694" s="3" t="str">
        <f aca="false">IFERROR(INDEX('Teacher Lookup'!$B$2:$B$200,MATCH(A694,'Teacher Lookup'!$A$2:$A$200,0)),"")</f>
        <v>LAM Anakin</v>
      </c>
    </row>
    <row r="695" customFormat="false" ht="15" hidden="false" customHeight="false" outlineLevel="0" collapsed="false">
      <c r="A695" s="3" t="s">
        <v>184</v>
      </c>
      <c r="B695" s="4" t="s">
        <v>12</v>
      </c>
      <c r="C695" s="4" t="n">
        <v>3</v>
      </c>
      <c r="D695" s="4" t="s">
        <v>142</v>
      </c>
      <c r="E695" s="3" t="s">
        <v>144</v>
      </c>
      <c r="F695" s="4" t="str">
        <f aca="false">IF(I695&gt;J695,"Y","N")</f>
        <v>N</v>
      </c>
      <c r="G695" s="3" t="s">
        <v>164</v>
      </c>
      <c r="H695" s="3" t="s">
        <v>26</v>
      </c>
      <c r="I695" s="4" t="n">
        <v>4</v>
      </c>
      <c r="J695" s="4" t="n">
        <f aca="false">LEN(E695)-LEN(SUBSTITUTE(E695,",",""))+1</f>
        <v>4</v>
      </c>
      <c r="K695" s="3" t="str">
        <f aca="false">IFERROR(INDEX('Teacher Lookup'!$B$2:$B$200,MATCH(A695,'Teacher Lookup'!$A$2:$A$200,0)),"")</f>
        <v>LAM Anakin</v>
      </c>
    </row>
    <row r="696" customFormat="false" ht="15" hidden="false" customHeight="false" outlineLevel="0" collapsed="false">
      <c r="A696" s="3" t="s">
        <v>184</v>
      </c>
      <c r="B696" s="4" t="s">
        <v>12</v>
      </c>
      <c r="C696" s="4" t="n">
        <v>3</v>
      </c>
      <c r="D696" s="4" t="s">
        <v>127</v>
      </c>
      <c r="E696" s="3" t="s">
        <v>144</v>
      </c>
      <c r="F696" s="4" t="str">
        <f aca="false">IF(I696&gt;J696,"Y","N")</f>
        <v>N</v>
      </c>
      <c r="G696" s="3" t="s">
        <v>164</v>
      </c>
      <c r="H696" s="3" t="s">
        <v>26</v>
      </c>
      <c r="I696" s="4" t="n">
        <v>4</v>
      </c>
      <c r="J696" s="4" t="n">
        <f aca="false">LEN(E696)-LEN(SUBSTITUTE(E696,",",""))+1</f>
        <v>4</v>
      </c>
      <c r="K696" s="3" t="str">
        <f aca="false">IFERROR(INDEX('Teacher Lookup'!$B$2:$B$200,MATCH(A696,'Teacher Lookup'!$A$2:$A$200,0)),"")</f>
        <v>LAM Anakin</v>
      </c>
    </row>
    <row r="697" customFormat="false" ht="15" hidden="false" customHeight="false" outlineLevel="0" collapsed="false">
      <c r="A697" s="3" t="s">
        <v>184</v>
      </c>
      <c r="B697" s="4" t="s">
        <v>12</v>
      </c>
      <c r="C697" s="4" t="n">
        <v>4</v>
      </c>
      <c r="D697" s="4" t="s">
        <v>137</v>
      </c>
      <c r="E697" s="3" t="s">
        <v>138</v>
      </c>
      <c r="F697" s="4" t="str">
        <f aca="false">IF(I697&gt;J697,"Y","N")</f>
        <v>N</v>
      </c>
      <c r="G697" s="3" t="s">
        <v>164</v>
      </c>
      <c r="H697" s="3" t="s">
        <v>34</v>
      </c>
      <c r="I697" s="4" t="n">
        <v>4</v>
      </c>
      <c r="J697" s="4" t="n">
        <f aca="false">LEN(E697)-LEN(SUBSTITUTE(E697,",",""))+1</f>
        <v>4</v>
      </c>
      <c r="K697" s="3" t="str">
        <f aca="false">IFERROR(INDEX('Teacher Lookup'!$B$2:$B$200,MATCH(A697,'Teacher Lookup'!$A$2:$A$200,0)),"")</f>
        <v>LAM Anakin</v>
      </c>
    </row>
    <row r="698" customFormat="false" ht="15" hidden="false" customHeight="false" outlineLevel="0" collapsed="false">
      <c r="A698" s="3" t="s">
        <v>184</v>
      </c>
      <c r="B698" s="4" t="s">
        <v>12</v>
      </c>
      <c r="C698" s="4" t="n">
        <v>4</v>
      </c>
      <c r="D698" s="4" t="s">
        <v>124</v>
      </c>
      <c r="E698" s="3" t="s">
        <v>138</v>
      </c>
      <c r="F698" s="4" t="str">
        <f aca="false">IF(I698&gt;J698,"Y","N")</f>
        <v>N</v>
      </c>
      <c r="G698" s="3" t="s">
        <v>164</v>
      </c>
      <c r="H698" s="3" t="s">
        <v>34</v>
      </c>
      <c r="I698" s="4" t="n">
        <v>4</v>
      </c>
      <c r="J698" s="4" t="n">
        <f aca="false">LEN(E698)-LEN(SUBSTITUTE(E698,",",""))+1</f>
        <v>4</v>
      </c>
      <c r="K698" s="3" t="str">
        <f aca="false">IFERROR(INDEX('Teacher Lookup'!$B$2:$B$200,MATCH(A698,'Teacher Lookup'!$A$2:$A$200,0)),"")</f>
        <v>LAM Anakin</v>
      </c>
    </row>
    <row r="699" customFormat="false" ht="15" hidden="false" customHeight="false" outlineLevel="0" collapsed="false">
      <c r="A699" s="3" t="s">
        <v>184</v>
      </c>
      <c r="B699" s="4" t="s">
        <v>12</v>
      </c>
      <c r="C699" s="4" t="n">
        <v>4</v>
      </c>
      <c r="D699" s="4" t="s">
        <v>139</v>
      </c>
      <c r="E699" s="3" t="s">
        <v>138</v>
      </c>
      <c r="F699" s="4" t="str">
        <f aca="false">IF(I699&gt;J699,"Y","N")</f>
        <v>N</v>
      </c>
      <c r="G699" s="3" t="s">
        <v>164</v>
      </c>
      <c r="H699" s="3" t="s">
        <v>34</v>
      </c>
      <c r="I699" s="4" t="n">
        <v>4</v>
      </c>
      <c r="J699" s="4" t="n">
        <f aca="false">LEN(E699)-LEN(SUBSTITUTE(E699,",",""))+1</f>
        <v>4</v>
      </c>
      <c r="K699" s="3" t="str">
        <f aca="false">IFERROR(INDEX('Teacher Lookup'!$B$2:$B$200,MATCH(A699,'Teacher Lookup'!$A$2:$A$200,0)),"")</f>
        <v>LAM Anakin</v>
      </c>
    </row>
    <row r="700" customFormat="false" ht="15" hidden="false" customHeight="false" outlineLevel="0" collapsed="false">
      <c r="A700" s="3" t="s">
        <v>184</v>
      </c>
      <c r="B700" s="4" t="s">
        <v>31</v>
      </c>
      <c r="C700" s="4" t="n">
        <v>2</v>
      </c>
      <c r="D700" s="4" t="s">
        <v>137</v>
      </c>
      <c r="E700" s="3" t="s">
        <v>146</v>
      </c>
      <c r="F700" s="4" t="str">
        <f aca="false">IF(I700&gt;J700,"Y","N")</f>
        <v>N</v>
      </c>
      <c r="G700" s="3" t="s">
        <v>164</v>
      </c>
      <c r="H700" s="3" t="s">
        <v>21</v>
      </c>
      <c r="I700" s="4" t="n">
        <v>4</v>
      </c>
      <c r="J700" s="4" t="n">
        <f aca="false">LEN(E700)-LEN(SUBSTITUTE(E700,",",""))+1</f>
        <v>4</v>
      </c>
      <c r="K700" s="3" t="str">
        <f aca="false">IFERROR(INDEX('Teacher Lookup'!$B$2:$B$200,MATCH(A700,'Teacher Lookup'!$A$2:$A$200,0)),"")</f>
        <v>LAM Anakin</v>
      </c>
    </row>
    <row r="701" customFormat="false" ht="15" hidden="false" customHeight="false" outlineLevel="0" collapsed="false">
      <c r="A701" s="3" t="s">
        <v>184</v>
      </c>
      <c r="B701" s="4" t="s">
        <v>31</v>
      </c>
      <c r="C701" s="4" t="n">
        <v>2</v>
      </c>
      <c r="D701" s="4" t="s">
        <v>124</v>
      </c>
      <c r="E701" s="3" t="s">
        <v>146</v>
      </c>
      <c r="F701" s="4" t="str">
        <f aca="false">IF(I701&gt;J701,"Y","N")</f>
        <v>N</v>
      </c>
      <c r="G701" s="3" t="s">
        <v>164</v>
      </c>
      <c r="H701" s="3" t="s">
        <v>21</v>
      </c>
      <c r="I701" s="4" t="n">
        <v>4</v>
      </c>
      <c r="J701" s="4" t="n">
        <f aca="false">LEN(E701)-LEN(SUBSTITUTE(E701,",",""))+1</f>
        <v>4</v>
      </c>
      <c r="K701" s="3" t="str">
        <f aca="false">IFERROR(INDEX('Teacher Lookup'!$B$2:$B$200,MATCH(A701,'Teacher Lookup'!$A$2:$A$200,0)),"")</f>
        <v>LAM Anakin</v>
      </c>
    </row>
    <row r="702" customFormat="false" ht="15" hidden="false" customHeight="false" outlineLevel="0" collapsed="false">
      <c r="A702" s="3" t="s">
        <v>184</v>
      </c>
      <c r="B702" s="4" t="s">
        <v>31</v>
      </c>
      <c r="C702" s="4" t="n">
        <v>2</v>
      </c>
      <c r="D702" s="4" t="s">
        <v>139</v>
      </c>
      <c r="E702" s="3" t="s">
        <v>146</v>
      </c>
      <c r="F702" s="4" t="str">
        <f aca="false">IF(I702&gt;J702,"Y","N")</f>
        <v>N</v>
      </c>
      <c r="G702" s="3" t="s">
        <v>164</v>
      </c>
      <c r="H702" s="3" t="s">
        <v>21</v>
      </c>
      <c r="I702" s="4" t="n">
        <v>4</v>
      </c>
      <c r="J702" s="4" t="n">
        <f aca="false">LEN(E702)-LEN(SUBSTITUTE(E702,",",""))+1</f>
        <v>4</v>
      </c>
      <c r="K702" s="3" t="str">
        <f aca="false">IFERROR(INDEX('Teacher Lookup'!$B$2:$B$200,MATCH(A702,'Teacher Lookup'!$A$2:$A$200,0)),"")</f>
        <v>LAM Anakin</v>
      </c>
    </row>
    <row r="703" customFormat="false" ht="15" hidden="false" customHeight="false" outlineLevel="0" collapsed="false">
      <c r="A703" s="3" t="s">
        <v>184</v>
      </c>
      <c r="B703" s="4" t="s">
        <v>31</v>
      </c>
      <c r="C703" s="4" t="n">
        <v>4</v>
      </c>
      <c r="D703" s="4" t="s">
        <v>140</v>
      </c>
      <c r="E703" s="3" t="s">
        <v>144</v>
      </c>
      <c r="F703" s="4" t="str">
        <f aca="false">IF(I703&gt;J703,"Y","N")</f>
        <v>N</v>
      </c>
      <c r="G703" s="3" t="s">
        <v>164</v>
      </c>
      <c r="H703" s="3" t="s">
        <v>34</v>
      </c>
      <c r="I703" s="4" t="n">
        <v>4</v>
      </c>
      <c r="J703" s="4" t="n">
        <f aca="false">LEN(E703)-LEN(SUBSTITUTE(E703,",",""))+1</f>
        <v>4</v>
      </c>
      <c r="K703" s="3" t="str">
        <f aca="false">IFERROR(INDEX('Teacher Lookup'!$B$2:$B$200,MATCH(A703,'Teacher Lookup'!$A$2:$A$200,0)),"")</f>
        <v>LAM Anakin</v>
      </c>
    </row>
    <row r="704" customFormat="false" ht="15" hidden="false" customHeight="false" outlineLevel="0" collapsed="false">
      <c r="A704" s="3" t="s">
        <v>184</v>
      </c>
      <c r="B704" s="4" t="s">
        <v>31</v>
      </c>
      <c r="C704" s="4" t="n">
        <v>4</v>
      </c>
      <c r="D704" s="4" t="s">
        <v>142</v>
      </c>
      <c r="E704" s="3" t="s">
        <v>144</v>
      </c>
      <c r="F704" s="4" t="str">
        <f aca="false">IF(I704&gt;J704,"Y","N")</f>
        <v>N</v>
      </c>
      <c r="G704" s="3" t="s">
        <v>164</v>
      </c>
      <c r="H704" s="3" t="s">
        <v>34</v>
      </c>
      <c r="I704" s="4" t="n">
        <v>4</v>
      </c>
      <c r="J704" s="4" t="n">
        <f aca="false">LEN(E704)-LEN(SUBSTITUTE(E704,",",""))+1</f>
        <v>4</v>
      </c>
      <c r="K704" s="3" t="str">
        <f aca="false">IFERROR(INDEX('Teacher Lookup'!$B$2:$B$200,MATCH(A704,'Teacher Lookup'!$A$2:$A$200,0)),"")</f>
        <v>LAM Anakin</v>
      </c>
    </row>
    <row r="705" customFormat="false" ht="15" hidden="false" customHeight="false" outlineLevel="0" collapsed="false">
      <c r="A705" s="3" t="s">
        <v>184</v>
      </c>
      <c r="B705" s="4" t="s">
        <v>31</v>
      </c>
      <c r="C705" s="4" t="n">
        <v>4</v>
      </c>
      <c r="D705" s="4" t="s">
        <v>127</v>
      </c>
      <c r="E705" s="3" t="s">
        <v>144</v>
      </c>
      <c r="F705" s="4" t="str">
        <f aca="false">IF(I705&gt;J705,"Y","N")</f>
        <v>N</v>
      </c>
      <c r="G705" s="3" t="s">
        <v>164</v>
      </c>
      <c r="H705" s="3" t="s">
        <v>34</v>
      </c>
      <c r="I705" s="4" t="n">
        <v>4</v>
      </c>
      <c r="J705" s="4" t="n">
        <f aca="false">LEN(E705)-LEN(SUBSTITUTE(E705,",",""))+1</f>
        <v>4</v>
      </c>
      <c r="K705" s="3" t="str">
        <f aca="false">IFERROR(INDEX('Teacher Lookup'!$B$2:$B$200,MATCH(A705,'Teacher Lookup'!$A$2:$A$200,0)),"")</f>
        <v>LAM Anakin</v>
      </c>
    </row>
    <row r="706" customFormat="false" ht="15" hidden="false" customHeight="false" outlineLevel="0" collapsed="false">
      <c r="A706" s="3" t="s">
        <v>184</v>
      </c>
      <c r="B706" s="4" t="s">
        <v>31</v>
      </c>
      <c r="C706" s="4" t="n">
        <v>5</v>
      </c>
      <c r="D706" s="4" t="s">
        <v>137</v>
      </c>
      <c r="E706" s="3" t="s">
        <v>185</v>
      </c>
      <c r="F706" s="4" t="str">
        <f aca="false">IF(I706&gt;J706,"Y","N")</f>
        <v>Y</v>
      </c>
      <c r="G706" s="3" t="s">
        <v>36</v>
      </c>
      <c r="H706" s="3" t="s">
        <v>37</v>
      </c>
      <c r="I706" s="4" t="n">
        <v>21</v>
      </c>
      <c r="J706" s="4" t="n">
        <f aca="false">LEN(E706)-LEN(SUBSTITUTE(E706,",",""))+1</f>
        <v>7</v>
      </c>
      <c r="K706" s="3" t="str">
        <f aca="false">IFERROR(INDEX('Teacher Lookup'!$B$2:$B$200,MATCH(A706,'Teacher Lookup'!$A$2:$A$200,0)),"")</f>
        <v>LAM Anakin</v>
      </c>
    </row>
    <row r="707" customFormat="false" ht="15" hidden="false" customHeight="false" outlineLevel="0" collapsed="false">
      <c r="A707" s="3" t="s">
        <v>184</v>
      </c>
      <c r="B707" s="4" t="s">
        <v>31</v>
      </c>
      <c r="C707" s="4" t="n">
        <v>5</v>
      </c>
      <c r="D707" s="4" t="s">
        <v>124</v>
      </c>
      <c r="E707" s="3" t="s">
        <v>185</v>
      </c>
      <c r="F707" s="4" t="str">
        <f aca="false">IF(I707&gt;J707,"Y","N")</f>
        <v>Y</v>
      </c>
      <c r="G707" s="3" t="s">
        <v>36</v>
      </c>
      <c r="H707" s="3" t="s">
        <v>37</v>
      </c>
      <c r="I707" s="4" t="n">
        <v>21</v>
      </c>
      <c r="J707" s="4" t="n">
        <f aca="false">LEN(E707)-LEN(SUBSTITUTE(E707,",",""))+1</f>
        <v>7</v>
      </c>
      <c r="K707" s="3" t="str">
        <f aca="false">IFERROR(INDEX('Teacher Lookup'!$B$2:$B$200,MATCH(A707,'Teacher Lookup'!$A$2:$A$200,0)),"")</f>
        <v>LAM Anakin</v>
      </c>
    </row>
    <row r="708" customFormat="false" ht="15" hidden="false" customHeight="false" outlineLevel="0" collapsed="false">
      <c r="A708" s="3" t="s">
        <v>184</v>
      </c>
      <c r="B708" s="4" t="s">
        <v>31</v>
      </c>
      <c r="C708" s="4" t="n">
        <v>5</v>
      </c>
      <c r="D708" s="4" t="s">
        <v>139</v>
      </c>
      <c r="E708" s="3" t="s">
        <v>185</v>
      </c>
      <c r="F708" s="4" t="str">
        <f aca="false">IF(I708&gt;J708,"Y","N")</f>
        <v>Y</v>
      </c>
      <c r="G708" s="3" t="s">
        <v>36</v>
      </c>
      <c r="H708" s="3" t="s">
        <v>37</v>
      </c>
      <c r="I708" s="4" t="n">
        <v>21</v>
      </c>
      <c r="J708" s="4" t="n">
        <f aca="false">LEN(E708)-LEN(SUBSTITUTE(E708,",",""))+1</f>
        <v>7</v>
      </c>
      <c r="K708" s="3" t="str">
        <f aca="false">IFERROR(INDEX('Teacher Lookup'!$B$2:$B$200,MATCH(A708,'Teacher Lookup'!$A$2:$A$200,0)),"")</f>
        <v>LAM Anakin</v>
      </c>
    </row>
    <row r="709" customFormat="false" ht="15" hidden="false" customHeight="false" outlineLevel="0" collapsed="false">
      <c r="A709" s="3" t="s">
        <v>184</v>
      </c>
      <c r="B709" s="4" t="s">
        <v>31</v>
      </c>
      <c r="C709" s="4" t="n">
        <v>5</v>
      </c>
      <c r="D709" s="4" t="s">
        <v>140</v>
      </c>
      <c r="E709" s="3" t="s">
        <v>185</v>
      </c>
      <c r="F709" s="4" t="str">
        <f aca="false">IF(I709&gt;J709,"Y","N")</f>
        <v>Y</v>
      </c>
      <c r="G709" s="3" t="s">
        <v>36</v>
      </c>
      <c r="H709" s="3" t="s">
        <v>37</v>
      </c>
      <c r="I709" s="4" t="n">
        <v>21</v>
      </c>
      <c r="J709" s="4" t="n">
        <f aca="false">LEN(E709)-LEN(SUBSTITUTE(E709,",",""))+1</f>
        <v>7</v>
      </c>
      <c r="K709" s="3" t="str">
        <f aca="false">IFERROR(INDEX('Teacher Lookup'!$B$2:$B$200,MATCH(A709,'Teacher Lookup'!$A$2:$A$200,0)),"")</f>
        <v>LAM Anakin</v>
      </c>
    </row>
    <row r="710" customFormat="false" ht="15" hidden="false" customHeight="false" outlineLevel="0" collapsed="false">
      <c r="A710" s="3" t="s">
        <v>184</v>
      </c>
      <c r="B710" s="4" t="s">
        <v>31</v>
      </c>
      <c r="C710" s="4" t="n">
        <v>5</v>
      </c>
      <c r="D710" s="4" t="s">
        <v>142</v>
      </c>
      <c r="E710" s="3" t="s">
        <v>185</v>
      </c>
      <c r="F710" s="4" t="str">
        <f aca="false">IF(I710&gt;J710,"Y","N")</f>
        <v>Y</v>
      </c>
      <c r="G710" s="3" t="s">
        <v>36</v>
      </c>
      <c r="H710" s="3" t="s">
        <v>37</v>
      </c>
      <c r="I710" s="4" t="n">
        <v>21</v>
      </c>
      <c r="J710" s="4" t="n">
        <f aca="false">LEN(E710)-LEN(SUBSTITUTE(E710,",",""))+1</f>
        <v>7</v>
      </c>
      <c r="K710" s="3" t="str">
        <f aca="false">IFERROR(INDEX('Teacher Lookup'!$B$2:$B$200,MATCH(A710,'Teacher Lookup'!$A$2:$A$200,0)),"")</f>
        <v>LAM Anakin</v>
      </c>
    </row>
    <row r="711" customFormat="false" ht="15" hidden="false" customHeight="false" outlineLevel="0" collapsed="false">
      <c r="A711" s="3" t="s">
        <v>184</v>
      </c>
      <c r="B711" s="4" t="s">
        <v>31</v>
      </c>
      <c r="C711" s="4" t="n">
        <v>5</v>
      </c>
      <c r="D711" s="4" t="s">
        <v>127</v>
      </c>
      <c r="E711" s="3" t="s">
        <v>185</v>
      </c>
      <c r="F711" s="4" t="str">
        <f aca="false">IF(I711&gt;J711,"Y","N")</f>
        <v>Y</v>
      </c>
      <c r="G711" s="3" t="s">
        <v>36</v>
      </c>
      <c r="H711" s="3" t="s">
        <v>37</v>
      </c>
      <c r="I711" s="4" t="n">
        <v>21</v>
      </c>
      <c r="J711" s="4" t="n">
        <f aca="false">LEN(E711)-LEN(SUBSTITUTE(E711,",",""))+1</f>
        <v>7</v>
      </c>
      <c r="K711" s="3" t="str">
        <f aca="false">IFERROR(INDEX('Teacher Lookup'!$B$2:$B$200,MATCH(A711,'Teacher Lookup'!$A$2:$A$200,0)),"")</f>
        <v>LAM Anakin</v>
      </c>
    </row>
    <row r="712" customFormat="false" ht="15" hidden="false" customHeight="false" outlineLevel="0" collapsed="false">
      <c r="A712" s="3" t="s">
        <v>184</v>
      </c>
      <c r="B712" s="4" t="s">
        <v>40</v>
      </c>
      <c r="C712" s="4" t="n">
        <v>3</v>
      </c>
      <c r="D712" s="4" t="s">
        <v>137</v>
      </c>
      <c r="E712" s="3" t="s">
        <v>186</v>
      </c>
      <c r="F712" s="4" t="str">
        <f aca="false">IF(I712&gt;J712,"Y","N")</f>
        <v>N</v>
      </c>
      <c r="G712" s="3" t="s">
        <v>164</v>
      </c>
      <c r="H712" s="3" t="s">
        <v>26</v>
      </c>
      <c r="I712" s="4" t="n">
        <v>4</v>
      </c>
      <c r="J712" s="4" t="n">
        <f aca="false">LEN(E712)-LEN(SUBSTITUTE(E712,",",""))+1</f>
        <v>4</v>
      </c>
      <c r="K712" s="3" t="str">
        <f aca="false">IFERROR(INDEX('Teacher Lookup'!$B$2:$B$200,MATCH(A712,'Teacher Lookup'!$A$2:$A$200,0)),"")</f>
        <v>LAM Anakin</v>
      </c>
    </row>
    <row r="713" customFormat="false" ht="15" hidden="false" customHeight="false" outlineLevel="0" collapsed="false">
      <c r="A713" s="3" t="s">
        <v>184</v>
      </c>
      <c r="B713" s="4" t="s">
        <v>40</v>
      </c>
      <c r="C713" s="4" t="n">
        <v>3</v>
      </c>
      <c r="D713" s="4" t="s">
        <v>124</v>
      </c>
      <c r="E713" s="3" t="s">
        <v>186</v>
      </c>
      <c r="F713" s="4" t="str">
        <f aca="false">IF(I713&gt;J713,"Y","N")</f>
        <v>N</v>
      </c>
      <c r="G713" s="3" t="s">
        <v>164</v>
      </c>
      <c r="H713" s="3" t="s">
        <v>26</v>
      </c>
      <c r="I713" s="4" t="n">
        <v>4</v>
      </c>
      <c r="J713" s="4" t="n">
        <f aca="false">LEN(E713)-LEN(SUBSTITUTE(E713,",",""))+1</f>
        <v>4</v>
      </c>
      <c r="K713" s="3" t="str">
        <f aca="false">IFERROR(INDEX('Teacher Lookup'!$B$2:$B$200,MATCH(A713,'Teacher Lookup'!$A$2:$A$200,0)),"")</f>
        <v>LAM Anakin</v>
      </c>
    </row>
    <row r="714" customFormat="false" ht="15" hidden="false" customHeight="false" outlineLevel="0" collapsed="false">
      <c r="A714" s="3" t="s">
        <v>184</v>
      </c>
      <c r="B714" s="4" t="s">
        <v>40</v>
      </c>
      <c r="C714" s="4" t="n">
        <v>3</v>
      </c>
      <c r="D714" s="4" t="s">
        <v>139</v>
      </c>
      <c r="E714" s="3" t="s">
        <v>186</v>
      </c>
      <c r="F714" s="4" t="str">
        <f aca="false">IF(I714&gt;J714,"Y","N")</f>
        <v>N</v>
      </c>
      <c r="G714" s="3" t="s">
        <v>164</v>
      </c>
      <c r="H714" s="3" t="s">
        <v>26</v>
      </c>
      <c r="I714" s="4" t="n">
        <v>4</v>
      </c>
      <c r="J714" s="4" t="n">
        <f aca="false">LEN(E714)-LEN(SUBSTITUTE(E714,",",""))+1</f>
        <v>4</v>
      </c>
      <c r="K714" s="3" t="str">
        <f aca="false">IFERROR(INDEX('Teacher Lookup'!$B$2:$B$200,MATCH(A714,'Teacher Lookup'!$A$2:$A$200,0)),"")</f>
        <v>LAM Anakin</v>
      </c>
    </row>
    <row r="715" customFormat="false" ht="15" hidden="false" customHeight="false" outlineLevel="0" collapsed="false">
      <c r="A715" s="3" t="s">
        <v>184</v>
      </c>
      <c r="B715" s="4" t="s">
        <v>40</v>
      </c>
      <c r="C715" s="4" t="n">
        <v>4</v>
      </c>
      <c r="D715" s="4" t="s">
        <v>137</v>
      </c>
      <c r="E715" s="3" t="s">
        <v>186</v>
      </c>
      <c r="F715" s="4" t="str">
        <f aca="false">IF(I715&gt;J715,"Y","N")</f>
        <v>N</v>
      </c>
      <c r="G715" s="3" t="s">
        <v>164</v>
      </c>
      <c r="H715" s="3" t="s">
        <v>34</v>
      </c>
      <c r="I715" s="4" t="n">
        <v>4</v>
      </c>
      <c r="J715" s="4" t="n">
        <f aca="false">LEN(E715)-LEN(SUBSTITUTE(E715,",",""))+1</f>
        <v>4</v>
      </c>
      <c r="K715" s="3" t="str">
        <f aca="false">IFERROR(INDEX('Teacher Lookup'!$B$2:$B$200,MATCH(A715,'Teacher Lookup'!$A$2:$A$200,0)),"")</f>
        <v>LAM Anakin</v>
      </c>
    </row>
    <row r="716" customFormat="false" ht="15" hidden="false" customHeight="false" outlineLevel="0" collapsed="false">
      <c r="A716" s="3" t="s">
        <v>184</v>
      </c>
      <c r="B716" s="4" t="s">
        <v>40</v>
      </c>
      <c r="C716" s="4" t="n">
        <v>4</v>
      </c>
      <c r="D716" s="4" t="s">
        <v>124</v>
      </c>
      <c r="E716" s="3" t="s">
        <v>186</v>
      </c>
      <c r="F716" s="4" t="str">
        <f aca="false">IF(I716&gt;J716,"Y","N")</f>
        <v>N</v>
      </c>
      <c r="G716" s="3" t="s">
        <v>164</v>
      </c>
      <c r="H716" s="3" t="s">
        <v>34</v>
      </c>
      <c r="I716" s="4" t="n">
        <v>4</v>
      </c>
      <c r="J716" s="4" t="n">
        <f aca="false">LEN(E716)-LEN(SUBSTITUTE(E716,",",""))+1</f>
        <v>4</v>
      </c>
      <c r="K716" s="3" t="str">
        <f aca="false">IFERROR(INDEX('Teacher Lookup'!$B$2:$B$200,MATCH(A716,'Teacher Lookup'!$A$2:$A$200,0)),"")</f>
        <v>LAM Anakin</v>
      </c>
    </row>
    <row r="717" customFormat="false" ht="15" hidden="false" customHeight="false" outlineLevel="0" collapsed="false">
      <c r="A717" s="3" t="s">
        <v>184</v>
      </c>
      <c r="B717" s="4" t="s">
        <v>40</v>
      </c>
      <c r="C717" s="4" t="n">
        <v>4</v>
      </c>
      <c r="D717" s="4" t="s">
        <v>139</v>
      </c>
      <c r="E717" s="3" t="s">
        <v>186</v>
      </c>
      <c r="F717" s="4" t="str">
        <f aca="false">IF(I717&gt;J717,"Y","N")</f>
        <v>N</v>
      </c>
      <c r="G717" s="3" t="s">
        <v>164</v>
      </c>
      <c r="H717" s="3" t="s">
        <v>34</v>
      </c>
      <c r="I717" s="4" t="n">
        <v>4</v>
      </c>
      <c r="J717" s="4" t="n">
        <f aca="false">LEN(E717)-LEN(SUBSTITUTE(E717,",",""))+1</f>
        <v>4</v>
      </c>
      <c r="K717" s="3" t="str">
        <f aca="false">IFERROR(INDEX('Teacher Lookup'!$B$2:$B$200,MATCH(A717,'Teacher Lookup'!$A$2:$A$200,0)),"")</f>
        <v>LAM Anakin</v>
      </c>
    </row>
    <row r="718" customFormat="false" ht="15" hidden="false" customHeight="false" outlineLevel="0" collapsed="false">
      <c r="A718" s="3" t="s">
        <v>184</v>
      </c>
      <c r="B718" s="4" t="s">
        <v>40</v>
      </c>
      <c r="C718" s="4" t="n">
        <v>5</v>
      </c>
      <c r="D718" s="4" t="s">
        <v>140</v>
      </c>
      <c r="E718" s="3" t="s">
        <v>144</v>
      </c>
      <c r="F718" s="4" t="str">
        <f aca="false">IF(I718&gt;J718,"Y","N")</f>
        <v>N</v>
      </c>
      <c r="G718" s="3" t="s">
        <v>164</v>
      </c>
      <c r="H718" s="3" t="s">
        <v>37</v>
      </c>
      <c r="I718" s="4" t="n">
        <v>4</v>
      </c>
      <c r="J718" s="4" t="n">
        <f aca="false">LEN(E718)-LEN(SUBSTITUTE(E718,",",""))+1</f>
        <v>4</v>
      </c>
      <c r="K718" s="3" t="str">
        <f aca="false">IFERROR(INDEX('Teacher Lookup'!$B$2:$B$200,MATCH(A718,'Teacher Lookup'!$A$2:$A$200,0)),"")</f>
        <v>LAM Anakin</v>
      </c>
    </row>
    <row r="719" customFormat="false" ht="15" hidden="false" customHeight="false" outlineLevel="0" collapsed="false">
      <c r="A719" s="3" t="s">
        <v>184</v>
      </c>
      <c r="B719" s="4" t="s">
        <v>40</v>
      </c>
      <c r="C719" s="4" t="n">
        <v>5</v>
      </c>
      <c r="D719" s="4" t="s">
        <v>142</v>
      </c>
      <c r="E719" s="3" t="s">
        <v>144</v>
      </c>
      <c r="F719" s="4" t="str">
        <f aca="false">IF(I719&gt;J719,"Y","N")</f>
        <v>N</v>
      </c>
      <c r="G719" s="3" t="s">
        <v>164</v>
      </c>
      <c r="H719" s="3" t="s">
        <v>37</v>
      </c>
      <c r="I719" s="4" t="n">
        <v>4</v>
      </c>
      <c r="J719" s="4" t="n">
        <f aca="false">LEN(E719)-LEN(SUBSTITUTE(E719,",",""))+1</f>
        <v>4</v>
      </c>
      <c r="K719" s="3" t="str">
        <f aca="false">IFERROR(INDEX('Teacher Lookup'!$B$2:$B$200,MATCH(A719,'Teacher Lookup'!$A$2:$A$200,0)),"")</f>
        <v>LAM Anakin</v>
      </c>
    </row>
    <row r="720" customFormat="false" ht="15" hidden="false" customHeight="false" outlineLevel="0" collapsed="false">
      <c r="A720" s="3" t="s">
        <v>184</v>
      </c>
      <c r="B720" s="4" t="s">
        <v>40</v>
      </c>
      <c r="C720" s="4" t="n">
        <v>5</v>
      </c>
      <c r="D720" s="4" t="s">
        <v>127</v>
      </c>
      <c r="E720" s="3" t="s">
        <v>144</v>
      </c>
      <c r="F720" s="4" t="str">
        <f aca="false">IF(I720&gt;J720,"Y","N")</f>
        <v>N</v>
      </c>
      <c r="G720" s="3" t="s">
        <v>164</v>
      </c>
      <c r="H720" s="3" t="s">
        <v>37</v>
      </c>
      <c r="I720" s="4" t="n">
        <v>4</v>
      </c>
      <c r="J720" s="4" t="n">
        <f aca="false">LEN(E720)-LEN(SUBSTITUTE(E720,",",""))+1</f>
        <v>4</v>
      </c>
      <c r="K720" s="3" t="str">
        <f aca="false">IFERROR(INDEX('Teacher Lookup'!$B$2:$B$200,MATCH(A720,'Teacher Lookup'!$A$2:$A$200,0)),"")</f>
        <v>LAM Anakin</v>
      </c>
    </row>
    <row r="721" customFormat="false" ht="15" hidden="false" customHeight="false" outlineLevel="0" collapsed="false">
      <c r="A721" s="3" t="s">
        <v>184</v>
      </c>
      <c r="B721" s="4" t="s">
        <v>44</v>
      </c>
      <c r="C721" s="4" t="n">
        <v>4</v>
      </c>
      <c r="D721" s="4" t="s">
        <v>140</v>
      </c>
      <c r="E721" s="3" t="s">
        <v>187</v>
      </c>
      <c r="F721" s="4" t="str">
        <f aca="false">IF(I721&gt;J721,"Y","N")</f>
        <v>N</v>
      </c>
      <c r="G721" s="3" t="s">
        <v>164</v>
      </c>
      <c r="H721" s="3" t="s">
        <v>34</v>
      </c>
      <c r="I721" s="4" t="n">
        <v>4</v>
      </c>
      <c r="J721" s="4" t="n">
        <f aca="false">LEN(E721)-LEN(SUBSTITUTE(E721,",",""))+1</f>
        <v>4</v>
      </c>
      <c r="K721" s="3" t="str">
        <f aca="false">IFERROR(INDEX('Teacher Lookup'!$B$2:$B$200,MATCH(A721,'Teacher Lookup'!$A$2:$A$200,0)),"")</f>
        <v>LAM Anakin</v>
      </c>
    </row>
    <row r="722" customFormat="false" ht="15" hidden="false" customHeight="false" outlineLevel="0" collapsed="false">
      <c r="A722" s="3" t="s">
        <v>184</v>
      </c>
      <c r="B722" s="4" t="s">
        <v>44</v>
      </c>
      <c r="C722" s="4" t="n">
        <v>4</v>
      </c>
      <c r="D722" s="4" t="s">
        <v>142</v>
      </c>
      <c r="E722" s="3" t="s">
        <v>187</v>
      </c>
      <c r="F722" s="4" t="str">
        <f aca="false">IF(I722&gt;J722,"Y","N")</f>
        <v>N</v>
      </c>
      <c r="G722" s="3" t="s">
        <v>164</v>
      </c>
      <c r="H722" s="3" t="s">
        <v>34</v>
      </c>
      <c r="I722" s="4" t="n">
        <v>4</v>
      </c>
      <c r="J722" s="4" t="n">
        <f aca="false">LEN(E722)-LEN(SUBSTITUTE(E722,",",""))+1</f>
        <v>4</v>
      </c>
      <c r="K722" s="3" t="str">
        <f aca="false">IFERROR(INDEX('Teacher Lookup'!$B$2:$B$200,MATCH(A722,'Teacher Lookup'!$A$2:$A$200,0)),"")</f>
        <v>LAM Anakin</v>
      </c>
    </row>
    <row r="723" customFormat="false" ht="15" hidden="false" customHeight="false" outlineLevel="0" collapsed="false">
      <c r="A723" s="3" t="s">
        <v>184</v>
      </c>
      <c r="B723" s="4" t="s">
        <v>44</v>
      </c>
      <c r="C723" s="4" t="n">
        <v>4</v>
      </c>
      <c r="D723" s="4" t="s">
        <v>127</v>
      </c>
      <c r="E723" s="3" t="s">
        <v>187</v>
      </c>
      <c r="F723" s="4" t="str">
        <f aca="false">IF(I723&gt;J723,"Y","N")</f>
        <v>N</v>
      </c>
      <c r="G723" s="3" t="s">
        <v>164</v>
      </c>
      <c r="H723" s="3" t="s">
        <v>34</v>
      </c>
      <c r="I723" s="4" t="n">
        <v>4</v>
      </c>
      <c r="J723" s="4" t="n">
        <f aca="false">LEN(E723)-LEN(SUBSTITUTE(E723,",",""))+1</f>
        <v>4</v>
      </c>
      <c r="K723" s="3" t="str">
        <f aca="false">IFERROR(INDEX('Teacher Lookup'!$B$2:$B$200,MATCH(A723,'Teacher Lookup'!$A$2:$A$200,0)),"")</f>
        <v>LAM Anakin</v>
      </c>
    </row>
    <row r="724" customFormat="false" ht="15" hidden="false" customHeight="false" outlineLevel="0" collapsed="false">
      <c r="A724" s="3" t="s">
        <v>184</v>
      </c>
      <c r="B724" s="4" t="s">
        <v>44</v>
      </c>
      <c r="C724" s="4" t="n">
        <v>5</v>
      </c>
      <c r="D724" s="4" t="s">
        <v>137</v>
      </c>
      <c r="E724" s="3" t="s">
        <v>185</v>
      </c>
      <c r="F724" s="4" t="str">
        <f aca="false">IF(I724&gt;J724,"Y","N")</f>
        <v>Y</v>
      </c>
      <c r="G724" s="3" t="s">
        <v>36</v>
      </c>
      <c r="H724" s="3" t="s">
        <v>37</v>
      </c>
      <c r="I724" s="4" t="n">
        <v>21</v>
      </c>
      <c r="J724" s="4" t="n">
        <f aca="false">LEN(E724)-LEN(SUBSTITUTE(E724,",",""))+1</f>
        <v>7</v>
      </c>
      <c r="K724" s="3" t="str">
        <f aca="false">IFERROR(INDEX('Teacher Lookup'!$B$2:$B$200,MATCH(A724,'Teacher Lookup'!$A$2:$A$200,0)),"")</f>
        <v>LAM Anakin</v>
      </c>
    </row>
    <row r="725" customFormat="false" ht="15" hidden="false" customHeight="false" outlineLevel="0" collapsed="false">
      <c r="A725" s="3" t="s">
        <v>184</v>
      </c>
      <c r="B725" s="4" t="s">
        <v>44</v>
      </c>
      <c r="C725" s="4" t="n">
        <v>5</v>
      </c>
      <c r="D725" s="4" t="s">
        <v>124</v>
      </c>
      <c r="E725" s="3" t="s">
        <v>185</v>
      </c>
      <c r="F725" s="4" t="str">
        <f aca="false">IF(I725&gt;J725,"Y","N")</f>
        <v>Y</v>
      </c>
      <c r="G725" s="3" t="s">
        <v>36</v>
      </c>
      <c r="H725" s="3" t="s">
        <v>37</v>
      </c>
      <c r="I725" s="4" t="n">
        <v>21</v>
      </c>
      <c r="J725" s="4" t="n">
        <f aca="false">LEN(E725)-LEN(SUBSTITUTE(E725,",",""))+1</f>
        <v>7</v>
      </c>
      <c r="K725" s="3" t="str">
        <f aca="false">IFERROR(INDEX('Teacher Lookup'!$B$2:$B$200,MATCH(A725,'Teacher Lookup'!$A$2:$A$200,0)),"")</f>
        <v>LAM Anakin</v>
      </c>
    </row>
    <row r="726" customFormat="false" ht="15" hidden="false" customHeight="false" outlineLevel="0" collapsed="false">
      <c r="A726" s="3" t="s">
        <v>184</v>
      </c>
      <c r="B726" s="4" t="s">
        <v>44</v>
      </c>
      <c r="C726" s="4" t="n">
        <v>5</v>
      </c>
      <c r="D726" s="4" t="s">
        <v>139</v>
      </c>
      <c r="E726" s="3" t="s">
        <v>185</v>
      </c>
      <c r="F726" s="4" t="str">
        <f aca="false">IF(I726&gt;J726,"Y","N")</f>
        <v>Y</v>
      </c>
      <c r="G726" s="3" t="s">
        <v>36</v>
      </c>
      <c r="H726" s="3" t="s">
        <v>37</v>
      </c>
      <c r="I726" s="4" t="n">
        <v>21</v>
      </c>
      <c r="J726" s="4" t="n">
        <f aca="false">LEN(E726)-LEN(SUBSTITUTE(E726,",",""))+1</f>
        <v>7</v>
      </c>
      <c r="K726" s="3" t="str">
        <f aca="false">IFERROR(INDEX('Teacher Lookup'!$B$2:$B$200,MATCH(A726,'Teacher Lookup'!$A$2:$A$200,0)),"")</f>
        <v>LAM Anakin</v>
      </c>
    </row>
    <row r="727" customFormat="false" ht="15" hidden="false" customHeight="false" outlineLevel="0" collapsed="false">
      <c r="A727" s="3" t="s">
        <v>184</v>
      </c>
      <c r="B727" s="4" t="s">
        <v>44</v>
      </c>
      <c r="C727" s="4" t="n">
        <v>5</v>
      </c>
      <c r="D727" s="4" t="s">
        <v>140</v>
      </c>
      <c r="E727" s="3" t="s">
        <v>185</v>
      </c>
      <c r="F727" s="4" t="str">
        <f aca="false">IF(I727&gt;J727,"Y","N")</f>
        <v>Y</v>
      </c>
      <c r="G727" s="3" t="s">
        <v>36</v>
      </c>
      <c r="H727" s="3" t="s">
        <v>37</v>
      </c>
      <c r="I727" s="4" t="n">
        <v>21</v>
      </c>
      <c r="J727" s="4" t="n">
        <f aca="false">LEN(E727)-LEN(SUBSTITUTE(E727,",",""))+1</f>
        <v>7</v>
      </c>
      <c r="K727" s="3" t="str">
        <f aca="false">IFERROR(INDEX('Teacher Lookup'!$B$2:$B$200,MATCH(A727,'Teacher Lookup'!$A$2:$A$200,0)),"")</f>
        <v>LAM Anakin</v>
      </c>
    </row>
    <row r="728" customFormat="false" ht="15" hidden="false" customHeight="false" outlineLevel="0" collapsed="false">
      <c r="A728" s="3" t="s">
        <v>184</v>
      </c>
      <c r="B728" s="4" t="s">
        <v>44</v>
      </c>
      <c r="C728" s="4" t="n">
        <v>5</v>
      </c>
      <c r="D728" s="4" t="s">
        <v>142</v>
      </c>
      <c r="E728" s="3" t="s">
        <v>185</v>
      </c>
      <c r="F728" s="4" t="str">
        <f aca="false">IF(I728&gt;J728,"Y","N")</f>
        <v>Y</v>
      </c>
      <c r="G728" s="3" t="s">
        <v>36</v>
      </c>
      <c r="H728" s="3" t="s">
        <v>37</v>
      </c>
      <c r="I728" s="4" t="n">
        <v>21</v>
      </c>
      <c r="J728" s="4" t="n">
        <f aca="false">LEN(E728)-LEN(SUBSTITUTE(E728,",",""))+1</f>
        <v>7</v>
      </c>
      <c r="K728" s="3" t="str">
        <f aca="false">IFERROR(INDEX('Teacher Lookup'!$B$2:$B$200,MATCH(A728,'Teacher Lookup'!$A$2:$A$200,0)),"")</f>
        <v>LAM Anakin</v>
      </c>
    </row>
    <row r="729" customFormat="false" ht="15" hidden="false" customHeight="false" outlineLevel="0" collapsed="false">
      <c r="A729" s="3" t="s">
        <v>184</v>
      </c>
      <c r="B729" s="4" t="s">
        <v>44</v>
      </c>
      <c r="C729" s="4" t="n">
        <v>5</v>
      </c>
      <c r="D729" s="4" t="s">
        <v>127</v>
      </c>
      <c r="E729" s="3" t="s">
        <v>185</v>
      </c>
      <c r="F729" s="4" t="str">
        <f aca="false">IF(I729&gt;J729,"Y","N")</f>
        <v>Y</v>
      </c>
      <c r="G729" s="3" t="s">
        <v>36</v>
      </c>
      <c r="H729" s="3" t="s">
        <v>37</v>
      </c>
      <c r="I729" s="4" t="n">
        <v>21</v>
      </c>
      <c r="J729" s="4" t="n">
        <f aca="false">LEN(E729)-LEN(SUBSTITUTE(E729,",",""))+1</f>
        <v>7</v>
      </c>
      <c r="K729" s="3" t="str">
        <f aca="false">IFERROR(INDEX('Teacher Lookup'!$B$2:$B$200,MATCH(A729,'Teacher Lookup'!$A$2:$A$200,0)),"")</f>
        <v>LAM Anakin</v>
      </c>
    </row>
    <row r="730" customFormat="false" ht="15" hidden="false" customHeight="false" outlineLevel="0" collapsed="false">
      <c r="A730" s="3" t="s">
        <v>184</v>
      </c>
      <c r="B730" s="4" t="s">
        <v>44</v>
      </c>
      <c r="C730" s="4" t="n">
        <v>7</v>
      </c>
      <c r="D730" s="4" t="s">
        <v>137</v>
      </c>
      <c r="E730" s="3" t="s">
        <v>146</v>
      </c>
      <c r="F730" s="4" t="str">
        <f aca="false">IF(I730&gt;J730,"Y","N")</f>
        <v>N</v>
      </c>
      <c r="G730" s="3" t="s">
        <v>164</v>
      </c>
      <c r="H730" s="3" t="s">
        <v>39</v>
      </c>
      <c r="I730" s="4" t="n">
        <v>4</v>
      </c>
      <c r="J730" s="4" t="n">
        <f aca="false">LEN(E730)-LEN(SUBSTITUTE(E730,",",""))+1</f>
        <v>4</v>
      </c>
      <c r="K730" s="3" t="str">
        <f aca="false">IFERROR(INDEX('Teacher Lookup'!$B$2:$B$200,MATCH(A730,'Teacher Lookup'!$A$2:$A$200,0)),"")</f>
        <v>LAM Anakin</v>
      </c>
    </row>
    <row r="731" customFormat="false" ht="15" hidden="false" customHeight="false" outlineLevel="0" collapsed="false">
      <c r="A731" s="3" t="s">
        <v>184</v>
      </c>
      <c r="B731" s="4" t="s">
        <v>44</v>
      </c>
      <c r="C731" s="4" t="n">
        <v>7</v>
      </c>
      <c r="D731" s="4" t="s">
        <v>124</v>
      </c>
      <c r="E731" s="3" t="s">
        <v>146</v>
      </c>
      <c r="F731" s="4" t="str">
        <f aca="false">IF(I731&gt;J731,"Y","N")</f>
        <v>N</v>
      </c>
      <c r="G731" s="3" t="s">
        <v>164</v>
      </c>
      <c r="H731" s="3" t="s">
        <v>39</v>
      </c>
      <c r="I731" s="4" t="n">
        <v>4</v>
      </c>
      <c r="J731" s="4" t="n">
        <f aca="false">LEN(E731)-LEN(SUBSTITUTE(E731,",",""))+1</f>
        <v>4</v>
      </c>
      <c r="K731" s="3" t="str">
        <f aca="false">IFERROR(INDEX('Teacher Lookup'!$B$2:$B$200,MATCH(A731,'Teacher Lookup'!$A$2:$A$200,0)),"")</f>
        <v>LAM Anakin</v>
      </c>
    </row>
    <row r="732" customFormat="false" ht="15" hidden="false" customHeight="false" outlineLevel="0" collapsed="false">
      <c r="A732" s="3" t="s">
        <v>184</v>
      </c>
      <c r="B732" s="4" t="s">
        <v>44</v>
      </c>
      <c r="C732" s="4" t="n">
        <v>7</v>
      </c>
      <c r="D732" s="4" t="s">
        <v>139</v>
      </c>
      <c r="E732" s="3" t="s">
        <v>146</v>
      </c>
      <c r="F732" s="4" t="str">
        <f aca="false">IF(I732&gt;J732,"Y","N")</f>
        <v>N</v>
      </c>
      <c r="G732" s="3" t="s">
        <v>164</v>
      </c>
      <c r="H732" s="3" t="s">
        <v>39</v>
      </c>
      <c r="I732" s="4" t="n">
        <v>4</v>
      </c>
      <c r="J732" s="4" t="n">
        <f aca="false">LEN(E732)-LEN(SUBSTITUTE(E732,",",""))+1</f>
        <v>4</v>
      </c>
      <c r="K732" s="3" t="str">
        <f aca="false">IFERROR(INDEX('Teacher Lookup'!$B$2:$B$200,MATCH(A732,'Teacher Lookup'!$A$2:$A$200,0)),"")</f>
        <v>LAM Anakin</v>
      </c>
    </row>
    <row r="733" customFormat="false" ht="15" hidden="false" customHeight="false" outlineLevel="0" collapsed="false">
      <c r="A733" s="3" t="s">
        <v>184</v>
      </c>
      <c r="B733" s="4" t="s">
        <v>47</v>
      </c>
      <c r="C733" s="4" t="n">
        <v>5</v>
      </c>
      <c r="D733" s="4" t="s">
        <v>137</v>
      </c>
      <c r="E733" s="3" t="s">
        <v>188</v>
      </c>
      <c r="F733" s="4" t="str">
        <f aca="false">IF(I733&gt;J733,"Y","N")</f>
        <v>N</v>
      </c>
      <c r="G733" s="3" t="s">
        <v>164</v>
      </c>
      <c r="H733" s="3" t="s">
        <v>37</v>
      </c>
      <c r="I733" s="4" t="n">
        <v>4</v>
      </c>
      <c r="J733" s="4" t="n">
        <f aca="false">LEN(E733)-LEN(SUBSTITUTE(E733,",",""))+1</f>
        <v>4</v>
      </c>
      <c r="K733" s="3" t="str">
        <f aca="false">IFERROR(INDEX('Teacher Lookup'!$B$2:$B$200,MATCH(A733,'Teacher Lookup'!$A$2:$A$200,0)),"")</f>
        <v>LAM Anakin</v>
      </c>
    </row>
    <row r="734" customFormat="false" ht="15" hidden="false" customHeight="false" outlineLevel="0" collapsed="false">
      <c r="A734" s="3" t="s">
        <v>184</v>
      </c>
      <c r="B734" s="4" t="s">
        <v>47</v>
      </c>
      <c r="C734" s="4" t="n">
        <v>5</v>
      </c>
      <c r="D734" s="4" t="s">
        <v>124</v>
      </c>
      <c r="E734" s="3" t="s">
        <v>188</v>
      </c>
      <c r="F734" s="4" t="str">
        <f aca="false">IF(I734&gt;J734,"Y","N")</f>
        <v>N</v>
      </c>
      <c r="G734" s="3" t="s">
        <v>164</v>
      </c>
      <c r="H734" s="3" t="s">
        <v>37</v>
      </c>
      <c r="I734" s="4" t="n">
        <v>4</v>
      </c>
      <c r="J734" s="4" t="n">
        <f aca="false">LEN(E734)-LEN(SUBSTITUTE(E734,",",""))+1</f>
        <v>4</v>
      </c>
      <c r="K734" s="3" t="str">
        <f aca="false">IFERROR(INDEX('Teacher Lookup'!$B$2:$B$200,MATCH(A734,'Teacher Lookup'!$A$2:$A$200,0)),"")</f>
        <v>LAM Anakin</v>
      </c>
    </row>
    <row r="735" customFormat="false" ht="15" hidden="false" customHeight="false" outlineLevel="0" collapsed="false">
      <c r="A735" s="3" t="s">
        <v>184</v>
      </c>
      <c r="B735" s="4" t="s">
        <v>47</v>
      </c>
      <c r="C735" s="4" t="n">
        <v>5</v>
      </c>
      <c r="D735" s="4" t="s">
        <v>139</v>
      </c>
      <c r="E735" s="3" t="s">
        <v>188</v>
      </c>
      <c r="F735" s="4" t="str">
        <f aca="false">IF(I735&gt;J735,"Y","N")</f>
        <v>N</v>
      </c>
      <c r="G735" s="3" t="s">
        <v>164</v>
      </c>
      <c r="H735" s="3" t="s">
        <v>37</v>
      </c>
      <c r="I735" s="4" t="n">
        <v>4</v>
      </c>
      <c r="J735" s="4" t="n">
        <f aca="false">LEN(E735)-LEN(SUBSTITUTE(E735,",",""))+1</f>
        <v>4</v>
      </c>
      <c r="K735" s="3" t="str">
        <f aca="false">IFERROR(INDEX('Teacher Lookup'!$B$2:$B$200,MATCH(A735,'Teacher Lookup'!$A$2:$A$200,0)),"")</f>
        <v>LAM Anakin</v>
      </c>
    </row>
    <row r="736" customFormat="false" ht="15" hidden="false" customHeight="false" outlineLevel="0" collapsed="false">
      <c r="A736" s="3" t="s">
        <v>184</v>
      </c>
      <c r="B736" s="4" t="s">
        <v>47</v>
      </c>
      <c r="C736" s="4" t="n">
        <v>6</v>
      </c>
      <c r="D736" s="4" t="s">
        <v>140</v>
      </c>
      <c r="E736" s="3" t="s">
        <v>157</v>
      </c>
      <c r="F736" s="4" t="str">
        <f aca="false">IF(I736&gt;J736,"Y","N")</f>
        <v>N</v>
      </c>
      <c r="G736" s="3" t="s">
        <v>164</v>
      </c>
      <c r="H736" s="3" t="s">
        <v>42</v>
      </c>
      <c r="I736" s="4" t="n">
        <v>4</v>
      </c>
      <c r="J736" s="4" t="n">
        <f aca="false">LEN(E736)-LEN(SUBSTITUTE(E736,",",""))+1</f>
        <v>4</v>
      </c>
      <c r="K736" s="3" t="str">
        <f aca="false">IFERROR(INDEX('Teacher Lookup'!$B$2:$B$200,MATCH(A736,'Teacher Lookup'!$A$2:$A$200,0)),"")</f>
        <v>LAM Anakin</v>
      </c>
    </row>
    <row r="737" customFormat="false" ht="15" hidden="false" customHeight="false" outlineLevel="0" collapsed="false">
      <c r="A737" s="3" t="s">
        <v>184</v>
      </c>
      <c r="B737" s="4" t="s">
        <v>47</v>
      </c>
      <c r="C737" s="4" t="n">
        <v>6</v>
      </c>
      <c r="D737" s="4" t="s">
        <v>142</v>
      </c>
      <c r="E737" s="3" t="s">
        <v>157</v>
      </c>
      <c r="F737" s="4" t="str">
        <f aca="false">IF(I737&gt;J737,"Y","N")</f>
        <v>N</v>
      </c>
      <c r="G737" s="3" t="s">
        <v>164</v>
      </c>
      <c r="H737" s="3" t="s">
        <v>42</v>
      </c>
      <c r="I737" s="4" t="n">
        <v>4</v>
      </c>
      <c r="J737" s="4" t="n">
        <f aca="false">LEN(E737)-LEN(SUBSTITUTE(E737,",",""))+1</f>
        <v>4</v>
      </c>
      <c r="K737" s="3" t="str">
        <f aca="false">IFERROR(INDEX('Teacher Lookup'!$B$2:$B$200,MATCH(A737,'Teacher Lookup'!$A$2:$A$200,0)),"")</f>
        <v>LAM Anakin</v>
      </c>
    </row>
    <row r="738" customFormat="false" ht="15" hidden="false" customHeight="false" outlineLevel="0" collapsed="false">
      <c r="A738" s="3" t="s">
        <v>184</v>
      </c>
      <c r="B738" s="4" t="s">
        <v>47</v>
      </c>
      <c r="C738" s="4" t="n">
        <v>6</v>
      </c>
      <c r="D738" s="4" t="s">
        <v>127</v>
      </c>
      <c r="E738" s="3" t="s">
        <v>157</v>
      </c>
      <c r="F738" s="4" t="str">
        <f aca="false">IF(I738&gt;J738,"Y","N")</f>
        <v>N</v>
      </c>
      <c r="G738" s="3" t="s">
        <v>164</v>
      </c>
      <c r="H738" s="3" t="s">
        <v>42</v>
      </c>
      <c r="I738" s="4" t="n">
        <v>4</v>
      </c>
      <c r="J738" s="4" t="n">
        <f aca="false">LEN(E738)-LEN(SUBSTITUTE(E738,",",""))+1</f>
        <v>4</v>
      </c>
      <c r="K738" s="3" t="str">
        <f aca="false">IFERROR(INDEX('Teacher Lookup'!$B$2:$B$200,MATCH(A738,'Teacher Lookup'!$A$2:$A$200,0)),"")</f>
        <v>LAM Anakin</v>
      </c>
    </row>
    <row r="739" customFormat="false" ht="15" hidden="false" customHeight="false" outlineLevel="0" collapsed="false">
      <c r="A739" s="3" t="s">
        <v>184</v>
      </c>
      <c r="B739" s="4" t="s">
        <v>47</v>
      </c>
      <c r="C739" s="4" t="n">
        <v>7</v>
      </c>
      <c r="D739" s="4" t="s">
        <v>140</v>
      </c>
      <c r="E739" s="3" t="s">
        <v>157</v>
      </c>
      <c r="F739" s="4" t="str">
        <f aca="false">IF(I739&gt;J739,"Y","N")</f>
        <v>N</v>
      </c>
      <c r="G739" s="3" t="s">
        <v>164</v>
      </c>
      <c r="H739" s="3" t="s">
        <v>39</v>
      </c>
      <c r="I739" s="4" t="n">
        <v>4</v>
      </c>
      <c r="J739" s="4" t="n">
        <f aca="false">LEN(E739)-LEN(SUBSTITUTE(E739,",",""))+1</f>
        <v>4</v>
      </c>
      <c r="K739" s="3" t="str">
        <f aca="false">IFERROR(INDEX('Teacher Lookup'!$B$2:$B$200,MATCH(A739,'Teacher Lookup'!$A$2:$A$200,0)),"")</f>
        <v>LAM Anakin</v>
      </c>
    </row>
    <row r="740" customFormat="false" ht="15" hidden="false" customHeight="false" outlineLevel="0" collapsed="false">
      <c r="A740" s="3" t="s">
        <v>184</v>
      </c>
      <c r="B740" s="4" t="s">
        <v>47</v>
      </c>
      <c r="C740" s="4" t="n">
        <v>7</v>
      </c>
      <c r="D740" s="4" t="s">
        <v>142</v>
      </c>
      <c r="E740" s="3" t="s">
        <v>157</v>
      </c>
      <c r="F740" s="4" t="str">
        <f aca="false">IF(I740&gt;J740,"Y","N")</f>
        <v>N</v>
      </c>
      <c r="G740" s="3" t="s">
        <v>164</v>
      </c>
      <c r="H740" s="3" t="s">
        <v>39</v>
      </c>
      <c r="I740" s="4" t="n">
        <v>4</v>
      </c>
      <c r="J740" s="4" t="n">
        <f aca="false">LEN(E740)-LEN(SUBSTITUTE(E740,",",""))+1</f>
        <v>4</v>
      </c>
      <c r="K740" s="3" t="str">
        <f aca="false">IFERROR(INDEX('Teacher Lookup'!$B$2:$B$200,MATCH(A740,'Teacher Lookup'!$A$2:$A$200,0)),"")</f>
        <v>LAM Anakin</v>
      </c>
    </row>
    <row r="741" customFormat="false" ht="15" hidden="false" customHeight="false" outlineLevel="0" collapsed="false">
      <c r="A741" s="3" t="s">
        <v>184</v>
      </c>
      <c r="B741" s="4" t="s">
        <v>47</v>
      </c>
      <c r="C741" s="4" t="n">
        <v>7</v>
      </c>
      <c r="D741" s="4" t="s">
        <v>127</v>
      </c>
      <c r="E741" s="3" t="s">
        <v>157</v>
      </c>
      <c r="F741" s="4" t="str">
        <f aca="false">IF(I741&gt;J741,"Y","N")</f>
        <v>N</v>
      </c>
      <c r="G741" s="3" t="s">
        <v>164</v>
      </c>
      <c r="H741" s="3" t="s">
        <v>39</v>
      </c>
      <c r="I741" s="4" t="n">
        <v>4</v>
      </c>
      <c r="J741" s="4" t="n">
        <f aca="false">LEN(E741)-LEN(SUBSTITUTE(E741,",",""))+1</f>
        <v>4</v>
      </c>
      <c r="K741" s="3" t="str">
        <f aca="false">IFERROR(INDEX('Teacher Lookup'!$B$2:$B$200,MATCH(A741,'Teacher Lookup'!$A$2:$A$200,0)),"")</f>
        <v>LAM Anakin</v>
      </c>
    </row>
    <row r="742" customFormat="false" ht="15" hidden="false" customHeight="false" outlineLevel="0" collapsed="false">
      <c r="A742" s="3" t="s">
        <v>184</v>
      </c>
      <c r="B742" s="4" t="s">
        <v>50</v>
      </c>
      <c r="C742" s="4" t="n">
        <v>6</v>
      </c>
      <c r="D742" s="4" t="s">
        <v>137</v>
      </c>
      <c r="E742" s="3" t="s">
        <v>146</v>
      </c>
      <c r="F742" s="4" t="str">
        <f aca="false">IF(I742&gt;J742,"Y","N")</f>
        <v>N</v>
      </c>
      <c r="G742" s="3" t="s">
        <v>164</v>
      </c>
      <c r="H742" s="3" t="s">
        <v>42</v>
      </c>
      <c r="I742" s="4" t="n">
        <v>4</v>
      </c>
      <c r="J742" s="4" t="n">
        <f aca="false">LEN(E742)-LEN(SUBSTITUTE(E742,",",""))+1</f>
        <v>4</v>
      </c>
      <c r="K742" s="3" t="str">
        <f aca="false">IFERROR(INDEX('Teacher Lookup'!$B$2:$B$200,MATCH(A742,'Teacher Lookup'!$A$2:$A$200,0)),"")</f>
        <v>LAM Anakin</v>
      </c>
    </row>
    <row r="743" customFormat="false" ht="15" hidden="false" customHeight="false" outlineLevel="0" collapsed="false">
      <c r="A743" s="3" t="s">
        <v>184</v>
      </c>
      <c r="B743" s="4" t="s">
        <v>50</v>
      </c>
      <c r="C743" s="4" t="n">
        <v>6</v>
      </c>
      <c r="D743" s="4" t="s">
        <v>124</v>
      </c>
      <c r="E743" s="3" t="s">
        <v>146</v>
      </c>
      <c r="F743" s="4" t="str">
        <f aca="false">IF(I743&gt;J743,"Y","N")</f>
        <v>N</v>
      </c>
      <c r="G743" s="3" t="s">
        <v>164</v>
      </c>
      <c r="H743" s="3" t="s">
        <v>42</v>
      </c>
      <c r="I743" s="4" t="n">
        <v>4</v>
      </c>
      <c r="J743" s="4" t="n">
        <f aca="false">LEN(E743)-LEN(SUBSTITUTE(E743,",",""))+1</f>
        <v>4</v>
      </c>
      <c r="K743" s="3" t="str">
        <f aca="false">IFERROR(INDEX('Teacher Lookup'!$B$2:$B$200,MATCH(A743,'Teacher Lookup'!$A$2:$A$200,0)),"")</f>
        <v>LAM Anakin</v>
      </c>
    </row>
    <row r="744" customFormat="false" ht="15" hidden="false" customHeight="false" outlineLevel="0" collapsed="false">
      <c r="A744" s="3" t="s">
        <v>184</v>
      </c>
      <c r="B744" s="4" t="s">
        <v>50</v>
      </c>
      <c r="C744" s="4" t="n">
        <v>6</v>
      </c>
      <c r="D744" s="4" t="s">
        <v>139</v>
      </c>
      <c r="E744" s="3" t="s">
        <v>146</v>
      </c>
      <c r="F744" s="4" t="str">
        <f aca="false">IF(I744&gt;J744,"Y","N")</f>
        <v>N</v>
      </c>
      <c r="G744" s="3" t="s">
        <v>164</v>
      </c>
      <c r="H744" s="3" t="s">
        <v>42</v>
      </c>
      <c r="I744" s="4" t="n">
        <v>4</v>
      </c>
      <c r="J744" s="4" t="n">
        <f aca="false">LEN(E744)-LEN(SUBSTITUTE(E744,",",""))+1</f>
        <v>4</v>
      </c>
      <c r="K744" s="3" t="str">
        <f aca="false">IFERROR(INDEX('Teacher Lookup'!$B$2:$B$200,MATCH(A744,'Teacher Lookup'!$A$2:$A$200,0)),"")</f>
        <v>LAM Anakin</v>
      </c>
    </row>
    <row r="745" customFormat="false" ht="15" hidden="false" customHeight="false" outlineLevel="0" collapsed="false">
      <c r="A745" s="3" t="s">
        <v>184</v>
      </c>
      <c r="B745" s="4" t="s">
        <v>50</v>
      </c>
      <c r="C745" s="4" t="n">
        <v>7</v>
      </c>
      <c r="D745" s="4" t="s">
        <v>140</v>
      </c>
      <c r="E745" s="3" t="s">
        <v>144</v>
      </c>
      <c r="F745" s="4" t="str">
        <f aca="false">IF(I745&gt;J745,"Y","N")</f>
        <v>N</v>
      </c>
      <c r="G745" s="3" t="s">
        <v>164</v>
      </c>
      <c r="H745" s="3" t="s">
        <v>39</v>
      </c>
      <c r="I745" s="4" t="n">
        <v>4</v>
      </c>
      <c r="J745" s="4" t="n">
        <f aca="false">LEN(E745)-LEN(SUBSTITUTE(E745,",",""))+1</f>
        <v>4</v>
      </c>
      <c r="K745" s="3" t="str">
        <f aca="false">IFERROR(INDEX('Teacher Lookup'!$B$2:$B$200,MATCH(A745,'Teacher Lookup'!$A$2:$A$200,0)),"")</f>
        <v>LAM Anakin</v>
      </c>
    </row>
    <row r="746" customFormat="false" ht="15" hidden="false" customHeight="false" outlineLevel="0" collapsed="false">
      <c r="A746" s="3" t="s">
        <v>184</v>
      </c>
      <c r="B746" s="4" t="s">
        <v>50</v>
      </c>
      <c r="C746" s="4" t="n">
        <v>7</v>
      </c>
      <c r="D746" s="4" t="s">
        <v>142</v>
      </c>
      <c r="E746" s="3" t="s">
        <v>144</v>
      </c>
      <c r="F746" s="4" t="str">
        <f aca="false">IF(I746&gt;J746,"Y","N")</f>
        <v>N</v>
      </c>
      <c r="G746" s="3" t="s">
        <v>164</v>
      </c>
      <c r="H746" s="3" t="s">
        <v>39</v>
      </c>
      <c r="I746" s="4" t="n">
        <v>4</v>
      </c>
      <c r="J746" s="4" t="n">
        <f aca="false">LEN(E746)-LEN(SUBSTITUTE(E746,",",""))+1</f>
        <v>4</v>
      </c>
      <c r="K746" s="3" t="str">
        <f aca="false">IFERROR(INDEX('Teacher Lookup'!$B$2:$B$200,MATCH(A746,'Teacher Lookup'!$A$2:$A$200,0)),"")</f>
        <v>LAM Anakin</v>
      </c>
    </row>
    <row r="747" customFormat="false" ht="15" hidden="false" customHeight="false" outlineLevel="0" collapsed="false">
      <c r="A747" s="3" t="s">
        <v>184</v>
      </c>
      <c r="B747" s="4" t="s">
        <v>50</v>
      </c>
      <c r="C747" s="4" t="n">
        <v>7</v>
      </c>
      <c r="D747" s="4" t="s">
        <v>127</v>
      </c>
      <c r="E747" s="3" t="s">
        <v>144</v>
      </c>
      <c r="F747" s="4" t="str">
        <f aca="false">IF(I747&gt;J747,"Y","N")</f>
        <v>N</v>
      </c>
      <c r="G747" s="3" t="s">
        <v>164</v>
      </c>
      <c r="H747" s="3" t="s">
        <v>39</v>
      </c>
      <c r="I747" s="4" t="n">
        <v>4</v>
      </c>
      <c r="J747" s="4" t="n">
        <f aca="false">LEN(E747)-LEN(SUBSTITUTE(E747,",",""))+1</f>
        <v>4</v>
      </c>
      <c r="K747" s="3" t="str">
        <f aca="false">IFERROR(INDEX('Teacher Lookup'!$B$2:$B$200,MATCH(A747,'Teacher Lookup'!$A$2:$A$200,0)),"")</f>
        <v>LAM Anakin</v>
      </c>
    </row>
    <row r="748" customFormat="false" ht="15" hidden="false" customHeight="false" outlineLevel="0" collapsed="false">
      <c r="A748" s="3" t="s">
        <v>184</v>
      </c>
      <c r="B748" s="4" t="s">
        <v>60</v>
      </c>
      <c r="C748" s="4" t="n">
        <v>3</v>
      </c>
      <c r="D748" s="4" t="s">
        <v>137</v>
      </c>
      <c r="E748" s="3" t="s">
        <v>189</v>
      </c>
      <c r="F748" s="4" t="str">
        <f aca="false">IF(I748&gt;J748,"Y","N")</f>
        <v>N</v>
      </c>
      <c r="G748" s="3" t="s">
        <v>164</v>
      </c>
      <c r="H748" s="3" t="s">
        <v>26</v>
      </c>
      <c r="I748" s="4" t="n">
        <v>4</v>
      </c>
      <c r="J748" s="4" t="n">
        <f aca="false">LEN(E748)-LEN(SUBSTITUTE(E748,",",""))+1</f>
        <v>4</v>
      </c>
      <c r="K748" s="3" t="str">
        <f aca="false">IFERROR(INDEX('Teacher Lookup'!$B$2:$B$200,MATCH(A748,'Teacher Lookup'!$A$2:$A$200,0)),"")</f>
        <v>LAM Anakin</v>
      </c>
    </row>
    <row r="749" customFormat="false" ht="15" hidden="false" customHeight="false" outlineLevel="0" collapsed="false">
      <c r="A749" s="3" t="s">
        <v>184</v>
      </c>
      <c r="B749" s="4" t="s">
        <v>60</v>
      </c>
      <c r="C749" s="4" t="n">
        <v>3</v>
      </c>
      <c r="D749" s="4" t="s">
        <v>124</v>
      </c>
      <c r="E749" s="3" t="s">
        <v>189</v>
      </c>
      <c r="F749" s="4" t="str">
        <f aca="false">IF(I749&gt;J749,"Y","N")</f>
        <v>N</v>
      </c>
      <c r="G749" s="3" t="s">
        <v>164</v>
      </c>
      <c r="H749" s="3" t="s">
        <v>26</v>
      </c>
      <c r="I749" s="4" t="n">
        <v>4</v>
      </c>
      <c r="J749" s="4" t="n">
        <f aca="false">LEN(E749)-LEN(SUBSTITUTE(E749,",",""))+1</f>
        <v>4</v>
      </c>
      <c r="K749" s="3" t="str">
        <f aca="false">IFERROR(INDEX('Teacher Lookup'!$B$2:$B$200,MATCH(A749,'Teacher Lookup'!$A$2:$A$200,0)),"")</f>
        <v>LAM Anakin</v>
      </c>
    </row>
    <row r="750" customFormat="false" ht="15" hidden="false" customHeight="false" outlineLevel="0" collapsed="false">
      <c r="A750" s="3" t="s">
        <v>184</v>
      </c>
      <c r="B750" s="4" t="s">
        <v>60</v>
      </c>
      <c r="C750" s="4" t="n">
        <v>3</v>
      </c>
      <c r="D750" s="4" t="s">
        <v>139</v>
      </c>
      <c r="E750" s="3" t="s">
        <v>189</v>
      </c>
      <c r="F750" s="4" t="str">
        <f aca="false">IF(I750&gt;J750,"Y","N")</f>
        <v>N</v>
      </c>
      <c r="G750" s="3" t="s">
        <v>164</v>
      </c>
      <c r="H750" s="3" t="s">
        <v>26</v>
      </c>
      <c r="I750" s="4" t="n">
        <v>4</v>
      </c>
      <c r="J750" s="4" t="n">
        <f aca="false">LEN(E750)-LEN(SUBSTITUTE(E750,",",""))+1</f>
        <v>4</v>
      </c>
      <c r="K750" s="3" t="str">
        <f aca="false">IFERROR(INDEX('Teacher Lookup'!$B$2:$B$200,MATCH(A750,'Teacher Lookup'!$A$2:$A$200,0)),"")</f>
        <v>LAM Anakin</v>
      </c>
    </row>
    <row r="751" customFormat="false" ht="15" hidden="false" customHeight="false" outlineLevel="0" collapsed="false">
      <c r="A751" s="3" t="s">
        <v>184</v>
      </c>
      <c r="B751" s="4" t="s">
        <v>60</v>
      </c>
      <c r="C751" s="4" t="n">
        <v>5</v>
      </c>
      <c r="D751" s="4" t="s">
        <v>137</v>
      </c>
      <c r="E751" s="3" t="s">
        <v>185</v>
      </c>
      <c r="F751" s="4" t="str">
        <f aca="false">IF(I751&gt;J751,"Y","N")</f>
        <v>Y</v>
      </c>
      <c r="G751" s="3" t="s">
        <v>36</v>
      </c>
      <c r="H751" s="3" t="s">
        <v>37</v>
      </c>
      <c r="I751" s="4" t="n">
        <v>21</v>
      </c>
      <c r="J751" s="4" t="n">
        <f aca="false">LEN(E751)-LEN(SUBSTITUTE(E751,",",""))+1</f>
        <v>7</v>
      </c>
      <c r="K751" s="3" t="str">
        <f aca="false">IFERROR(INDEX('Teacher Lookup'!$B$2:$B$200,MATCH(A751,'Teacher Lookup'!$A$2:$A$200,0)),"")</f>
        <v>LAM Anakin</v>
      </c>
    </row>
    <row r="752" customFormat="false" ht="15" hidden="false" customHeight="false" outlineLevel="0" collapsed="false">
      <c r="A752" s="3" t="s">
        <v>184</v>
      </c>
      <c r="B752" s="4" t="s">
        <v>60</v>
      </c>
      <c r="C752" s="4" t="n">
        <v>5</v>
      </c>
      <c r="D752" s="4" t="s">
        <v>124</v>
      </c>
      <c r="E752" s="3" t="s">
        <v>185</v>
      </c>
      <c r="F752" s="4" t="str">
        <f aca="false">IF(I752&gt;J752,"Y","N")</f>
        <v>Y</v>
      </c>
      <c r="G752" s="3" t="s">
        <v>36</v>
      </c>
      <c r="H752" s="3" t="s">
        <v>37</v>
      </c>
      <c r="I752" s="4" t="n">
        <v>21</v>
      </c>
      <c r="J752" s="4" t="n">
        <f aca="false">LEN(E752)-LEN(SUBSTITUTE(E752,",",""))+1</f>
        <v>7</v>
      </c>
      <c r="K752" s="3" t="str">
        <f aca="false">IFERROR(INDEX('Teacher Lookup'!$B$2:$B$200,MATCH(A752,'Teacher Lookup'!$A$2:$A$200,0)),"")</f>
        <v>LAM Anakin</v>
      </c>
    </row>
    <row r="753" customFormat="false" ht="15" hidden="false" customHeight="false" outlineLevel="0" collapsed="false">
      <c r="A753" s="3" t="s">
        <v>184</v>
      </c>
      <c r="B753" s="4" t="s">
        <v>60</v>
      </c>
      <c r="C753" s="4" t="n">
        <v>5</v>
      </c>
      <c r="D753" s="4" t="s">
        <v>139</v>
      </c>
      <c r="E753" s="3" t="s">
        <v>185</v>
      </c>
      <c r="F753" s="4" t="str">
        <f aca="false">IF(I753&gt;J753,"Y","N")</f>
        <v>Y</v>
      </c>
      <c r="G753" s="3" t="s">
        <v>36</v>
      </c>
      <c r="H753" s="3" t="s">
        <v>37</v>
      </c>
      <c r="I753" s="4" t="n">
        <v>21</v>
      </c>
      <c r="J753" s="4" t="n">
        <f aca="false">LEN(E753)-LEN(SUBSTITUTE(E753,",",""))+1</f>
        <v>7</v>
      </c>
      <c r="K753" s="3" t="str">
        <f aca="false">IFERROR(INDEX('Teacher Lookup'!$B$2:$B$200,MATCH(A753,'Teacher Lookup'!$A$2:$A$200,0)),"")</f>
        <v>LAM Anakin</v>
      </c>
    </row>
    <row r="754" customFormat="false" ht="15" hidden="false" customHeight="false" outlineLevel="0" collapsed="false">
      <c r="A754" s="3" t="s">
        <v>184</v>
      </c>
      <c r="B754" s="4" t="s">
        <v>60</v>
      </c>
      <c r="C754" s="4" t="n">
        <v>5</v>
      </c>
      <c r="D754" s="4" t="s">
        <v>140</v>
      </c>
      <c r="E754" s="3" t="s">
        <v>185</v>
      </c>
      <c r="F754" s="4" t="str">
        <f aca="false">IF(I754&gt;J754,"Y","N")</f>
        <v>Y</v>
      </c>
      <c r="G754" s="3" t="s">
        <v>36</v>
      </c>
      <c r="H754" s="3" t="s">
        <v>37</v>
      </c>
      <c r="I754" s="4" t="n">
        <v>21</v>
      </c>
      <c r="J754" s="4" t="n">
        <f aca="false">LEN(E754)-LEN(SUBSTITUTE(E754,",",""))+1</f>
        <v>7</v>
      </c>
      <c r="K754" s="3" t="str">
        <f aca="false">IFERROR(INDEX('Teacher Lookup'!$B$2:$B$200,MATCH(A754,'Teacher Lookup'!$A$2:$A$200,0)),"")</f>
        <v>LAM Anakin</v>
      </c>
    </row>
    <row r="755" customFormat="false" ht="15" hidden="false" customHeight="false" outlineLevel="0" collapsed="false">
      <c r="A755" s="3" t="s">
        <v>184</v>
      </c>
      <c r="B755" s="4" t="s">
        <v>60</v>
      </c>
      <c r="C755" s="4" t="n">
        <v>5</v>
      </c>
      <c r="D755" s="4" t="s">
        <v>142</v>
      </c>
      <c r="E755" s="3" t="s">
        <v>185</v>
      </c>
      <c r="F755" s="4" t="str">
        <f aca="false">IF(I755&gt;J755,"Y","N")</f>
        <v>Y</v>
      </c>
      <c r="G755" s="3" t="s">
        <v>36</v>
      </c>
      <c r="H755" s="3" t="s">
        <v>37</v>
      </c>
      <c r="I755" s="4" t="n">
        <v>21</v>
      </c>
      <c r="J755" s="4" t="n">
        <f aca="false">LEN(E755)-LEN(SUBSTITUTE(E755,",",""))+1</f>
        <v>7</v>
      </c>
      <c r="K755" s="3" t="str">
        <f aca="false">IFERROR(INDEX('Teacher Lookup'!$B$2:$B$200,MATCH(A755,'Teacher Lookup'!$A$2:$A$200,0)),"")</f>
        <v>LAM Anakin</v>
      </c>
    </row>
    <row r="756" customFormat="false" ht="15" hidden="false" customHeight="false" outlineLevel="0" collapsed="false">
      <c r="A756" s="3" t="s">
        <v>184</v>
      </c>
      <c r="B756" s="4" t="s">
        <v>60</v>
      </c>
      <c r="C756" s="4" t="n">
        <v>5</v>
      </c>
      <c r="D756" s="4" t="s">
        <v>127</v>
      </c>
      <c r="E756" s="3" t="s">
        <v>185</v>
      </c>
      <c r="F756" s="4" t="str">
        <f aca="false">IF(I756&gt;J756,"Y","N")</f>
        <v>Y</v>
      </c>
      <c r="G756" s="3" t="s">
        <v>36</v>
      </c>
      <c r="H756" s="3" t="s">
        <v>37</v>
      </c>
      <c r="I756" s="4" t="n">
        <v>21</v>
      </c>
      <c r="J756" s="4" t="n">
        <f aca="false">LEN(E756)-LEN(SUBSTITUTE(E756,",",""))+1</f>
        <v>7</v>
      </c>
      <c r="K756" s="3" t="str">
        <f aca="false">IFERROR(INDEX('Teacher Lookup'!$B$2:$B$200,MATCH(A756,'Teacher Lookup'!$A$2:$A$200,0)),"")</f>
        <v>LAM Anakin</v>
      </c>
    </row>
    <row r="757" customFormat="false" ht="15" hidden="false" customHeight="false" outlineLevel="0" collapsed="false">
      <c r="A757" s="3" t="s">
        <v>184</v>
      </c>
      <c r="B757" s="4" t="s">
        <v>60</v>
      </c>
      <c r="C757" s="4" t="n">
        <v>7</v>
      </c>
      <c r="D757" s="4" t="s">
        <v>140</v>
      </c>
      <c r="E757" s="3" t="s">
        <v>141</v>
      </c>
      <c r="F757" s="4" t="str">
        <f aca="false">IF(I757&gt;J757,"Y","N")</f>
        <v>N</v>
      </c>
      <c r="G757" s="3" t="s">
        <v>164</v>
      </c>
      <c r="H757" s="3" t="s">
        <v>39</v>
      </c>
      <c r="I757" s="4" t="n">
        <v>4</v>
      </c>
      <c r="J757" s="4" t="n">
        <f aca="false">LEN(E757)-LEN(SUBSTITUTE(E757,",",""))+1</f>
        <v>4</v>
      </c>
      <c r="K757" s="3" t="str">
        <f aca="false">IFERROR(INDEX('Teacher Lookup'!$B$2:$B$200,MATCH(A757,'Teacher Lookup'!$A$2:$A$200,0)),"")</f>
        <v>LAM Anakin</v>
      </c>
    </row>
    <row r="758" customFormat="false" ht="15" hidden="false" customHeight="false" outlineLevel="0" collapsed="false">
      <c r="A758" s="3" t="s">
        <v>184</v>
      </c>
      <c r="B758" s="4" t="s">
        <v>60</v>
      </c>
      <c r="C758" s="4" t="n">
        <v>7</v>
      </c>
      <c r="D758" s="4" t="s">
        <v>142</v>
      </c>
      <c r="E758" s="3" t="s">
        <v>141</v>
      </c>
      <c r="F758" s="4" t="str">
        <f aca="false">IF(I758&gt;J758,"Y","N")</f>
        <v>N</v>
      </c>
      <c r="G758" s="3" t="s">
        <v>164</v>
      </c>
      <c r="H758" s="3" t="s">
        <v>39</v>
      </c>
      <c r="I758" s="4" t="n">
        <v>4</v>
      </c>
      <c r="J758" s="4" t="n">
        <f aca="false">LEN(E758)-LEN(SUBSTITUTE(E758,",",""))+1</f>
        <v>4</v>
      </c>
      <c r="K758" s="3" t="str">
        <f aca="false">IFERROR(INDEX('Teacher Lookup'!$B$2:$B$200,MATCH(A758,'Teacher Lookup'!$A$2:$A$200,0)),"")</f>
        <v>LAM Anakin</v>
      </c>
    </row>
    <row r="759" customFormat="false" ht="15" hidden="false" customHeight="false" outlineLevel="0" collapsed="false">
      <c r="A759" s="3" t="s">
        <v>184</v>
      </c>
      <c r="B759" s="4" t="s">
        <v>60</v>
      </c>
      <c r="C759" s="4" t="n">
        <v>7</v>
      </c>
      <c r="D759" s="4" t="s">
        <v>127</v>
      </c>
      <c r="E759" s="3" t="s">
        <v>141</v>
      </c>
      <c r="F759" s="4" t="str">
        <f aca="false">IF(I759&gt;J759,"Y","N")</f>
        <v>N</v>
      </c>
      <c r="G759" s="3" t="s">
        <v>164</v>
      </c>
      <c r="H759" s="3" t="s">
        <v>39</v>
      </c>
      <c r="I759" s="4" t="n">
        <v>4</v>
      </c>
      <c r="J759" s="4" t="n">
        <f aca="false">LEN(E759)-LEN(SUBSTITUTE(E759,",",""))+1</f>
        <v>4</v>
      </c>
      <c r="K759" s="3" t="str">
        <f aca="false">IFERROR(INDEX('Teacher Lookup'!$B$2:$B$200,MATCH(A759,'Teacher Lookup'!$A$2:$A$200,0)),"")</f>
        <v>LAM Anakin</v>
      </c>
    </row>
    <row r="760" customFormat="false" ht="15" hidden="false" customHeight="false" outlineLevel="0" collapsed="false">
      <c r="A760" s="3" t="s">
        <v>184</v>
      </c>
      <c r="B760" s="4" t="s">
        <v>63</v>
      </c>
      <c r="C760" s="4" t="n">
        <v>5</v>
      </c>
      <c r="D760" s="4" t="s">
        <v>137</v>
      </c>
      <c r="E760" s="3" t="s">
        <v>186</v>
      </c>
      <c r="F760" s="4" t="str">
        <f aca="false">IF(I760&gt;J760,"Y","N")</f>
        <v>N</v>
      </c>
      <c r="G760" s="3" t="s">
        <v>164</v>
      </c>
      <c r="H760" s="3" t="s">
        <v>37</v>
      </c>
      <c r="I760" s="4" t="n">
        <v>4</v>
      </c>
      <c r="J760" s="4" t="n">
        <f aca="false">LEN(E760)-LEN(SUBSTITUTE(E760,",",""))+1</f>
        <v>4</v>
      </c>
      <c r="K760" s="3" t="str">
        <f aca="false">IFERROR(INDEX('Teacher Lookup'!$B$2:$B$200,MATCH(A760,'Teacher Lookup'!$A$2:$A$200,0)),"")</f>
        <v>LAM Anakin</v>
      </c>
    </row>
    <row r="761" customFormat="false" ht="15" hidden="false" customHeight="false" outlineLevel="0" collapsed="false">
      <c r="A761" s="3" t="s">
        <v>184</v>
      </c>
      <c r="B761" s="4" t="s">
        <v>63</v>
      </c>
      <c r="C761" s="4" t="n">
        <v>5</v>
      </c>
      <c r="D761" s="4" t="s">
        <v>124</v>
      </c>
      <c r="E761" s="3" t="s">
        <v>186</v>
      </c>
      <c r="F761" s="4" t="str">
        <f aca="false">IF(I761&gt;J761,"Y","N")</f>
        <v>N</v>
      </c>
      <c r="G761" s="3" t="s">
        <v>164</v>
      </c>
      <c r="H761" s="3" t="s">
        <v>37</v>
      </c>
      <c r="I761" s="4" t="n">
        <v>4</v>
      </c>
      <c r="J761" s="4" t="n">
        <f aca="false">LEN(E761)-LEN(SUBSTITUTE(E761,",",""))+1</f>
        <v>4</v>
      </c>
      <c r="K761" s="3" t="str">
        <f aca="false">IFERROR(INDEX('Teacher Lookup'!$B$2:$B$200,MATCH(A761,'Teacher Lookup'!$A$2:$A$200,0)),"")</f>
        <v>LAM Anakin</v>
      </c>
    </row>
    <row r="762" customFormat="false" ht="15" hidden="false" customHeight="false" outlineLevel="0" collapsed="false">
      <c r="A762" s="3" t="s">
        <v>184</v>
      </c>
      <c r="B762" s="4" t="s">
        <v>63</v>
      </c>
      <c r="C762" s="4" t="n">
        <v>5</v>
      </c>
      <c r="D762" s="4" t="s">
        <v>139</v>
      </c>
      <c r="E762" s="3" t="s">
        <v>186</v>
      </c>
      <c r="F762" s="4" t="str">
        <f aca="false">IF(I762&gt;J762,"Y","N")</f>
        <v>N</v>
      </c>
      <c r="G762" s="3" t="s">
        <v>164</v>
      </c>
      <c r="H762" s="3" t="s">
        <v>37</v>
      </c>
      <c r="I762" s="4" t="n">
        <v>4</v>
      </c>
      <c r="J762" s="4" t="n">
        <f aca="false">LEN(E762)-LEN(SUBSTITUTE(E762,",",""))+1</f>
        <v>4</v>
      </c>
      <c r="K762" s="3" t="str">
        <f aca="false">IFERROR(INDEX('Teacher Lookup'!$B$2:$B$200,MATCH(A762,'Teacher Lookup'!$A$2:$A$200,0)),"")</f>
        <v>LAM Anakin</v>
      </c>
    </row>
    <row r="763" customFormat="false" ht="15" hidden="false" customHeight="false" outlineLevel="0" collapsed="false">
      <c r="A763" s="3" t="s">
        <v>184</v>
      </c>
      <c r="B763" s="4" t="s">
        <v>63</v>
      </c>
      <c r="C763" s="4" t="n">
        <v>7</v>
      </c>
      <c r="D763" s="4" t="s">
        <v>140</v>
      </c>
      <c r="E763" s="3" t="s">
        <v>152</v>
      </c>
      <c r="F763" s="4" t="str">
        <f aca="false">IF(I763&gt;J763,"Y","N")</f>
        <v>N</v>
      </c>
      <c r="G763" s="3" t="s">
        <v>164</v>
      </c>
      <c r="H763" s="3" t="s">
        <v>39</v>
      </c>
      <c r="I763" s="4" t="n">
        <v>4</v>
      </c>
      <c r="J763" s="4" t="n">
        <f aca="false">LEN(E763)-LEN(SUBSTITUTE(E763,",",""))+1</f>
        <v>4</v>
      </c>
      <c r="K763" s="3" t="str">
        <f aca="false">IFERROR(INDEX('Teacher Lookup'!$B$2:$B$200,MATCH(A763,'Teacher Lookup'!$A$2:$A$200,0)),"")</f>
        <v>LAM Anakin</v>
      </c>
    </row>
    <row r="764" customFormat="false" ht="15" hidden="false" customHeight="false" outlineLevel="0" collapsed="false">
      <c r="A764" s="3" t="s">
        <v>184</v>
      </c>
      <c r="B764" s="4" t="s">
        <v>63</v>
      </c>
      <c r="C764" s="4" t="n">
        <v>7</v>
      </c>
      <c r="D764" s="4" t="s">
        <v>142</v>
      </c>
      <c r="E764" s="3" t="s">
        <v>152</v>
      </c>
      <c r="F764" s="4" t="str">
        <f aca="false">IF(I764&gt;J764,"Y","N")</f>
        <v>N</v>
      </c>
      <c r="G764" s="3" t="s">
        <v>164</v>
      </c>
      <c r="H764" s="3" t="s">
        <v>39</v>
      </c>
      <c r="I764" s="4" t="n">
        <v>4</v>
      </c>
      <c r="J764" s="4" t="n">
        <f aca="false">LEN(E764)-LEN(SUBSTITUTE(E764,",",""))+1</f>
        <v>4</v>
      </c>
      <c r="K764" s="3" t="str">
        <f aca="false">IFERROR(INDEX('Teacher Lookup'!$B$2:$B$200,MATCH(A764,'Teacher Lookup'!$A$2:$A$200,0)),"")</f>
        <v>LAM Anakin</v>
      </c>
    </row>
    <row r="765" customFormat="false" ht="15" hidden="false" customHeight="false" outlineLevel="0" collapsed="false">
      <c r="A765" s="3" t="s">
        <v>184</v>
      </c>
      <c r="B765" s="4" t="s">
        <v>63</v>
      </c>
      <c r="C765" s="4" t="n">
        <v>7</v>
      </c>
      <c r="D765" s="4" t="s">
        <v>127</v>
      </c>
      <c r="E765" s="3" t="s">
        <v>152</v>
      </c>
      <c r="F765" s="4" t="str">
        <f aca="false">IF(I765&gt;J765,"Y","N")</f>
        <v>N</v>
      </c>
      <c r="G765" s="3" t="s">
        <v>164</v>
      </c>
      <c r="H765" s="3" t="s">
        <v>39</v>
      </c>
      <c r="I765" s="4" t="n">
        <v>4</v>
      </c>
      <c r="J765" s="4" t="n">
        <f aca="false">LEN(E765)-LEN(SUBSTITUTE(E765,",",""))+1</f>
        <v>4</v>
      </c>
      <c r="K765" s="3" t="str">
        <f aca="false">IFERROR(INDEX('Teacher Lookup'!$B$2:$B$200,MATCH(A765,'Teacher Lookup'!$A$2:$A$200,0)),"")</f>
        <v>LAM Anakin</v>
      </c>
    </row>
    <row r="766" customFormat="false" ht="15" hidden="false" customHeight="false" outlineLevel="0" collapsed="false">
      <c r="A766" s="3" t="s">
        <v>184</v>
      </c>
      <c r="B766" s="4" t="s">
        <v>65</v>
      </c>
      <c r="C766" s="4" t="n">
        <v>2</v>
      </c>
      <c r="D766" s="4" t="s">
        <v>137</v>
      </c>
      <c r="E766" s="3" t="s">
        <v>146</v>
      </c>
      <c r="F766" s="4" t="str">
        <f aca="false">IF(I766&gt;J766,"Y","N")</f>
        <v>N</v>
      </c>
      <c r="G766" s="3" t="s">
        <v>164</v>
      </c>
      <c r="H766" s="3" t="s">
        <v>21</v>
      </c>
      <c r="I766" s="4" t="n">
        <v>4</v>
      </c>
      <c r="J766" s="4" t="n">
        <f aca="false">LEN(E766)-LEN(SUBSTITUTE(E766,",",""))+1</f>
        <v>4</v>
      </c>
      <c r="K766" s="3" t="str">
        <f aca="false">IFERROR(INDEX('Teacher Lookup'!$B$2:$B$200,MATCH(A766,'Teacher Lookup'!$A$2:$A$200,0)),"")</f>
        <v>LAM Anakin</v>
      </c>
    </row>
    <row r="767" customFormat="false" ht="15" hidden="false" customHeight="false" outlineLevel="0" collapsed="false">
      <c r="A767" s="3" t="s">
        <v>184</v>
      </c>
      <c r="B767" s="4" t="s">
        <v>65</v>
      </c>
      <c r="C767" s="4" t="n">
        <v>2</v>
      </c>
      <c r="D767" s="4" t="s">
        <v>124</v>
      </c>
      <c r="E767" s="3" t="s">
        <v>146</v>
      </c>
      <c r="F767" s="4" t="str">
        <f aca="false">IF(I767&gt;J767,"Y","N")</f>
        <v>N</v>
      </c>
      <c r="G767" s="3" t="s">
        <v>164</v>
      </c>
      <c r="H767" s="3" t="s">
        <v>21</v>
      </c>
      <c r="I767" s="4" t="n">
        <v>4</v>
      </c>
      <c r="J767" s="4" t="n">
        <f aca="false">LEN(E767)-LEN(SUBSTITUTE(E767,",",""))+1</f>
        <v>4</v>
      </c>
      <c r="K767" s="3" t="str">
        <f aca="false">IFERROR(INDEX('Teacher Lookup'!$B$2:$B$200,MATCH(A767,'Teacher Lookup'!$A$2:$A$200,0)),"")</f>
        <v>LAM Anakin</v>
      </c>
    </row>
    <row r="768" customFormat="false" ht="15" hidden="false" customHeight="false" outlineLevel="0" collapsed="false">
      <c r="A768" s="3" t="s">
        <v>184</v>
      </c>
      <c r="B768" s="4" t="s">
        <v>65</v>
      </c>
      <c r="C768" s="4" t="n">
        <v>2</v>
      </c>
      <c r="D768" s="4" t="s">
        <v>139</v>
      </c>
      <c r="E768" s="3" t="s">
        <v>146</v>
      </c>
      <c r="F768" s="4" t="str">
        <f aca="false">IF(I768&gt;J768,"Y","N")</f>
        <v>N</v>
      </c>
      <c r="G768" s="3" t="s">
        <v>164</v>
      </c>
      <c r="H768" s="3" t="s">
        <v>21</v>
      </c>
      <c r="I768" s="4" t="n">
        <v>4</v>
      </c>
      <c r="J768" s="4" t="n">
        <f aca="false">LEN(E768)-LEN(SUBSTITUTE(E768,",",""))+1</f>
        <v>4</v>
      </c>
      <c r="K768" s="3" t="str">
        <f aca="false">IFERROR(INDEX('Teacher Lookup'!$B$2:$B$200,MATCH(A768,'Teacher Lookup'!$A$2:$A$200,0)),"")</f>
        <v>LAM Anakin</v>
      </c>
    </row>
    <row r="769" customFormat="false" ht="15" hidden="false" customHeight="false" outlineLevel="0" collapsed="false">
      <c r="A769" s="3" t="s">
        <v>184</v>
      </c>
      <c r="B769" s="4" t="s">
        <v>65</v>
      </c>
      <c r="C769" s="4" t="n">
        <v>3</v>
      </c>
      <c r="D769" s="4" t="s">
        <v>140</v>
      </c>
      <c r="E769" s="3" t="s">
        <v>152</v>
      </c>
      <c r="F769" s="4" t="str">
        <f aca="false">IF(I769&gt;J769,"Y","N")</f>
        <v>N</v>
      </c>
      <c r="G769" s="3" t="s">
        <v>164</v>
      </c>
      <c r="H769" s="3" t="s">
        <v>26</v>
      </c>
      <c r="I769" s="4" t="n">
        <v>4</v>
      </c>
      <c r="J769" s="4" t="n">
        <f aca="false">LEN(E769)-LEN(SUBSTITUTE(E769,",",""))+1</f>
        <v>4</v>
      </c>
      <c r="K769" s="3" t="str">
        <f aca="false">IFERROR(INDEX('Teacher Lookup'!$B$2:$B$200,MATCH(A769,'Teacher Lookup'!$A$2:$A$200,0)),"")</f>
        <v>LAM Anakin</v>
      </c>
    </row>
    <row r="770" customFormat="false" ht="15" hidden="false" customHeight="false" outlineLevel="0" collapsed="false">
      <c r="A770" s="3" t="s">
        <v>184</v>
      </c>
      <c r="B770" s="4" t="s">
        <v>65</v>
      </c>
      <c r="C770" s="4" t="n">
        <v>3</v>
      </c>
      <c r="D770" s="4" t="s">
        <v>142</v>
      </c>
      <c r="E770" s="3" t="s">
        <v>152</v>
      </c>
      <c r="F770" s="4" t="str">
        <f aca="false">IF(I770&gt;J770,"Y","N")</f>
        <v>N</v>
      </c>
      <c r="G770" s="3" t="s">
        <v>164</v>
      </c>
      <c r="H770" s="3" t="s">
        <v>26</v>
      </c>
      <c r="I770" s="4" t="n">
        <v>4</v>
      </c>
      <c r="J770" s="4" t="n">
        <f aca="false">LEN(E770)-LEN(SUBSTITUTE(E770,",",""))+1</f>
        <v>4</v>
      </c>
      <c r="K770" s="3" t="str">
        <f aca="false">IFERROR(INDEX('Teacher Lookup'!$B$2:$B$200,MATCH(A770,'Teacher Lookup'!$A$2:$A$200,0)),"")</f>
        <v>LAM Anakin</v>
      </c>
    </row>
    <row r="771" customFormat="false" ht="15" hidden="false" customHeight="false" outlineLevel="0" collapsed="false">
      <c r="A771" s="3" t="s">
        <v>184</v>
      </c>
      <c r="B771" s="4" t="s">
        <v>65</v>
      </c>
      <c r="C771" s="4" t="n">
        <v>3</v>
      </c>
      <c r="D771" s="4" t="s">
        <v>127</v>
      </c>
      <c r="E771" s="3" t="s">
        <v>152</v>
      </c>
      <c r="F771" s="4" t="str">
        <f aca="false">IF(I771&gt;J771,"Y","N")</f>
        <v>N</v>
      </c>
      <c r="G771" s="3" t="s">
        <v>164</v>
      </c>
      <c r="H771" s="3" t="s">
        <v>26</v>
      </c>
      <c r="I771" s="4" t="n">
        <v>4</v>
      </c>
      <c r="J771" s="4" t="n">
        <f aca="false">LEN(E771)-LEN(SUBSTITUTE(E771,",",""))+1</f>
        <v>4</v>
      </c>
      <c r="K771" s="3" t="str">
        <f aca="false">IFERROR(INDEX('Teacher Lookup'!$B$2:$B$200,MATCH(A771,'Teacher Lookup'!$A$2:$A$200,0)),"")</f>
        <v>LAM Anakin</v>
      </c>
    </row>
    <row r="772" customFormat="false" ht="15" hidden="false" customHeight="false" outlineLevel="0" collapsed="false">
      <c r="A772" s="3" t="s">
        <v>184</v>
      </c>
      <c r="B772" s="4" t="s">
        <v>65</v>
      </c>
      <c r="C772" s="4" t="n">
        <v>5</v>
      </c>
      <c r="D772" s="4" t="s">
        <v>137</v>
      </c>
      <c r="E772" s="3" t="s">
        <v>185</v>
      </c>
      <c r="F772" s="4" t="str">
        <f aca="false">IF(I772&gt;J772,"Y","N")</f>
        <v>Y</v>
      </c>
      <c r="G772" s="3" t="s">
        <v>36</v>
      </c>
      <c r="H772" s="3" t="s">
        <v>37</v>
      </c>
      <c r="I772" s="4" t="n">
        <v>21</v>
      </c>
      <c r="J772" s="4" t="n">
        <f aca="false">LEN(E772)-LEN(SUBSTITUTE(E772,",",""))+1</f>
        <v>7</v>
      </c>
      <c r="K772" s="3" t="str">
        <f aca="false">IFERROR(INDEX('Teacher Lookup'!$B$2:$B$200,MATCH(A772,'Teacher Lookup'!$A$2:$A$200,0)),"")</f>
        <v>LAM Anakin</v>
      </c>
    </row>
    <row r="773" customFormat="false" ht="15" hidden="false" customHeight="false" outlineLevel="0" collapsed="false">
      <c r="A773" s="3" t="s">
        <v>184</v>
      </c>
      <c r="B773" s="4" t="s">
        <v>65</v>
      </c>
      <c r="C773" s="4" t="n">
        <v>5</v>
      </c>
      <c r="D773" s="4" t="s">
        <v>124</v>
      </c>
      <c r="E773" s="3" t="s">
        <v>185</v>
      </c>
      <c r="F773" s="4" t="str">
        <f aca="false">IF(I773&gt;J773,"Y","N")</f>
        <v>Y</v>
      </c>
      <c r="G773" s="3" t="s">
        <v>36</v>
      </c>
      <c r="H773" s="3" t="s">
        <v>37</v>
      </c>
      <c r="I773" s="4" t="n">
        <v>21</v>
      </c>
      <c r="J773" s="4" t="n">
        <f aca="false">LEN(E773)-LEN(SUBSTITUTE(E773,",",""))+1</f>
        <v>7</v>
      </c>
      <c r="K773" s="3" t="str">
        <f aca="false">IFERROR(INDEX('Teacher Lookup'!$B$2:$B$200,MATCH(A773,'Teacher Lookup'!$A$2:$A$200,0)),"")</f>
        <v>LAM Anakin</v>
      </c>
    </row>
    <row r="774" customFormat="false" ht="15" hidden="false" customHeight="false" outlineLevel="0" collapsed="false">
      <c r="A774" s="3" t="s">
        <v>184</v>
      </c>
      <c r="B774" s="4" t="s">
        <v>65</v>
      </c>
      <c r="C774" s="4" t="n">
        <v>5</v>
      </c>
      <c r="D774" s="4" t="s">
        <v>139</v>
      </c>
      <c r="E774" s="3" t="s">
        <v>185</v>
      </c>
      <c r="F774" s="4" t="str">
        <f aca="false">IF(I774&gt;J774,"Y","N")</f>
        <v>Y</v>
      </c>
      <c r="G774" s="3" t="s">
        <v>36</v>
      </c>
      <c r="H774" s="3" t="s">
        <v>37</v>
      </c>
      <c r="I774" s="4" t="n">
        <v>21</v>
      </c>
      <c r="J774" s="4" t="n">
        <f aca="false">LEN(E774)-LEN(SUBSTITUTE(E774,",",""))+1</f>
        <v>7</v>
      </c>
      <c r="K774" s="3" t="str">
        <f aca="false">IFERROR(INDEX('Teacher Lookup'!$B$2:$B$200,MATCH(A774,'Teacher Lookup'!$A$2:$A$200,0)),"")</f>
        <v>LAM Anakin</v>
      </c>
    </row>
    <row r="775" customFormat="false" ht="15" hidden="false" customHeight="false" outlineLevel="0" collapsed="false">
      <c r="A775" s="3" t="s">
        <v>184</v>
      </c>
      <c r="B775" s="4" t="s">
        <v>65</v>
      </c>
      <c r="C775" s="4" t="n">
        <v>5</v>
      </c>
      <c r="D775" s="4" t="s">
        <v>140</v>
      </c>
      <c r="E775" s="3" t="s">
        <v>185</v>
      </c>
      <c r="F775" s="4" t="str">
        <f aca="false">IF(I775&gt;J775,"Y","N")</f>
        <v>Y</v>
      </c>
      <c r="G775" s="3" t="s">
        <v>36</v>
      </c>
      <c r="H775" s="3" t="s">
        <v>37</v>
      </c>
      <c r="I775" s="4" t="n">
        <v>21</v>
      </c>
      <c r="J775" s="4" t="n">
        <f aca="false">LEN(E775)-LEN(SUBSTITUTE(E775,",",""))+1</f>
        <v>7</v>
      </c>
      <c r="K775" s="3" t="str">
        <f aca="false">IFERROR(INDEX('Teacher Lookup'!$B$2:$B$200,MATCH(A775,'Teacher Lookup'!$A$2:$A$200,0)),"")</f>
        <v>LAM Anakin</v>
      </c>
    </row>
    <row r="776" customFormat="false" ht="15" hidden="false" customHeight="false" outlineLevel="0" collapsed="false">
      <c r="A776" s="3" t="s">
        <v>184</v>
      </c>
      <c r="B776" s="4" t="s">
        <v>65</v>
      </c>
      <c r="C776" s="4" t="n">
        <v>5</v>
      </c>
      <c r="D776" s="4" t="s">
        <v>142</v>
      </c>
      <c r="E776" s="3" t="s">
        <v>185</v>
      </c>
      <c r="F776" s="4" t="str">
        <f aca="false">IF(I776&gt;J776,"Y","N")</f>
        <v>Y</v>
      </c>
      <c r="G776" s="3" t="s">
        <v>36</v>
      </c>
      <c r="H776" s="3" t="s">
        <v>37</v>
      </c>
      <c r="I776" s="4" t="n">
        <v>21</v>
      </c>
      <c r="J776" s="4" t="n">
        <f aca="false">LEN(E776)-LEN(SUBSTITUTE(E776,",",""))+1</f>
        <v>7</v>
      </c>
      <c r="K776" s="3" t="str">
        <f aca="false">IFERROR(INDEX('Teacher Lookup'!$B$2:$B$200,MATCH(A776,'Teacher Lookup'!$A$2:$A$200,0)),"")</f>
        <v>LAM Anakin</v>
      </c>
    </row>
    <row r="777" customFormat="false" ht="15" hidden="false" customHeight="false" outlineLevel="0" collapsed="false">
      <c r="A777" s="3" t="s">
        <v>184</v>
      </c>
      <c r="B777" s="4" t="s">
        <v>65</v>
      </c>
      <c r="C777" s="4" t="n">
        <v>5</v>
      </c>
      <c r="D777" s="4" t="s">
        <v>127</v>
      </c>
      <c r="E777" s="3" t="s">
        <v>185</v>
      </c>
      <c r="F777" s="4" t="str">
        <f aca="false">IF(I777&gt;J777,"Y","N")</f>
        <v>Y</v>
      </c>
      <c r="G777" s="3" t="s">
        <v>36</v>
      </c>
      <c r="H777" s="3" t="s">
        <v>37</v>
      </c>
      <c r="I777" s="4" t="n">
        <v>21</v>
      </c>
      <c r="J777" s="4" t="n">
        <f aca="false">LEN(E777)-LEN(SUBSTITUTE(E777,",",""))+1</f>
        <v>7</v>
      </c>
      <c r="K777" s="3" t="str">
        <f aca="false">IFERROR(INDEX('Teacher Lookup'!$B$2:$B$200,MATCH(A777,'Teacher Lookup'!$A$2:$A$200,0)),"")</f>
        <v>LAM Anakin</v>
      </c>
    </row>
    <row r="778" customFormat="false" ht="15" hidden="false" customHeight="false" outlineLevel="0" collapsed="false">
      <c r="A778" s="3" t="s">
        <v>184</v>
      </c>
      <c r="B778" s="4" t="s">
        <v>66</v>
      </c>
      <c r="C778" s="4" t="n">
        <v>5</v>
      </c>
      <c r="D778" s="4" t="s">
        <v>137</v>
      </c>
      <c r="E778" s="3" t="s">
        <v>146</v>
      </c>
      <c r="F778" s="4" t="str">
        <f aca="false">IF(I778&gt;J778,"Y","N")</f>
        <v>N</v>
      </c>
      <c r="G778" s="3" t="s">
        <v>164</v>
      </c>
      <c r="H778" s="3" t="s">
        <v>37</v>
      </c>
      <c r="I778" s="4" t="n">
        <v>4</v>
      </c>
      <c r="J778" s="4" t="n">
        <f aca="false">LEN(E778)-LEN(SUBSTITUTE(E778,",",""))+1</f>
        <v>4</v>
      </c>
      <c r="K778" s="3" t="str">
        <f aca="false">IFERROR(INDEX('Teacher Lookup'!$B$2:$B$200,MATCH(A778,'Teacher Lookup'!$A$2:$A$200,0)),"")</f>
        <v>LAM Anakin</v>
      </c>
    </row>
    <row r="779" customFormat="false" ht="15" hidden="false" customHeight="false" outlineLevel="0" collapsed="false">
      <c r="A779" s="3" t="s">
        <v>184</v>
      </c>
      <c r="B779" s="4" t="s">
        <v>66</v>
      </c>
      <c r="C779" s="4" t="n">
        <v>5</v>
      </c>
      <c r="D779" s="4" t="s">
        <v>124</v>
      </c>
      <c r="E779" s="3" t="s">
        <v>146</v>
      </c>
      <c r="F779" s="4" t="str">
        <f aca="false">IF(I779&gt;J779,"Y","N")</f>
        <v>N</v>
      </c>
      <c r="G779" s="3" t="s">
        <v>164</v>
      </c>
      <c r="H779" s="3" t="s">
        <v>37</v>
      </c>
      <c r="I779" s="4" t="n">
        <v>4</v>
      </c>
      <c r="J779" s="4" t="n">
        <f aca="false">LEN(E779)-LEN(SUBSTITUTE(E779,",",""))+1</f>
        <v>4</v>
      </c>
      <c r="K779" s="3" t="str">
        <f aca="false">IFERROR(INDEX('Teacher Lookup'!$B$2:$B$200,MATCH(A779,'Teacher Lookup'!$A$2:$A$200,0)),"")</f>
        <v>LAM Anakin</v>
      </c>
    </row>
    <row r="780" customFormat="false" ht="15" hidden="false" customHeight="false" outlineLevel="0" collapsed="false">
      <c r="A780" s="3" t="s">
        <v>184</v>
      </c>
      <c r="B780" s="4" t="s">
        <v>66</v>
      </c>
      <c r="C780" s="4" t="n">
        <v>5</v>
      </c>
      <c r="D780" s="4" t="s">
        <v>139</v>
      </c>
      <c r="E780" s="3" t="s">
        <v>146</v>
      </c>
      <c r="F780" s="4" t="str">
        <f aca="false">IF(I780&gt;J780,"Y","N")</f>
        <v>N</v>
      </c>
      <c r="G780" s="3" t="s">
        <v>164</v>
      </c>
      <c r="H780" s="3" t="s">
        <v>37</v>
      </c>
      <c r="I780" s="4" t="n">
        <v>4</v>
      </c>
      <c r="J780" s="4" t="n">
        <f aca="false">LEN(E780)-LEN(SUBSTITUTE(E780,",",""))+1</f>
        <v>4</v>
      </c>
      <c r="K780" s="3" t="str">
        <f aca="false">IFERROR(INDEX('Teacher Lookup'!$B$2:$B$200,MATCH(A780,'Teacher Lookup'!$A$2:$A$200,0)),"")</f>
        <v>LAM Anakin</v>
      </c>
    </row>
    <row r="781" customFormat="false" ht="15" hidden="false" customHeight="false" outlineLevel="0" collapsed="false">
      <c r="A781" s="3" t="s">
        <v>184</v>
      </c>
      <c r="B781" s="4" t="s">
        <v>66</v>
      </c>
      <c r="C781" s="4" t="n">
        <v>6</v>
      </c>
      <c r="D781" s="4" t="s">
        <v>140</v>
      </c>
      <c r="E781" s="3" t="s">
        <v>152</v>
      </c>
      <c r="F781" s="4" t="str">
        <f aca="false">IF(I781&gt;J781,"Y","N")</f>
        <v>N</v>
      </c>
      <c r="G781" s="3" t="s">
        <v>164</v>
      </c>
      <c r="H781" s="3" t="s">
        <v>42</v>
      </c>
      <c r="I781" s="4" t="n">
        <v>4</v>
      </c>
      <c r="J781" s="4" t="n">
        <f aca="false">LEN(E781)-LEN(SUBSTITUTE(E781,",",""))+1</f>
        <v>4</v>
      </c>
      <c r="K781" s="3" t="str">
        <f aca="false">IFERROR(INDEX('Teacher Lookup'!$B$2:$B$200,MATCH(A781,'Teacher Lookup'!$A$2:$A$200,0)),"")</f>
        <v>LAM Anakin</v>
      </c>
    </row>
    <row r="782" customFormat="false" ht="15" hidden="false" customHeight="false" outlineLevel="0" collapsed="false">
      <c r="A782" s="3" t="s">
        <v>184</v>
      </c>
      <c r="B782" s="4" t="s">
        <v>66</v>
      </c>
      <c r="C782" s="4" t="n">
        <v>6</v>
      </c>
      <c r="D782" s="4" t="s">
        <v>142</v>
      </c>
      <c r="E782" s="3" t="s">
        <v>152</v>
      </c>
      <c r="F782" s="4" t="str">
        <f aca="false">IF(I782&gt;J782,"Y","N")</f>
        <v>N</v>
      </c>
      <c r="G782" s="3" t="s">
        <v>164</v>
      </c>
      <c r="H782" s="3" t="s">
        <v>42</v>
      </c>
      <c r="I782" s="4" t="n">
        <v>4</v>
      </c>
      <c r="J782" s="4" t="n">
        <f aca="false">LEN(E782)-LEN(SUBSTITUTE(E782,",",""))+1</f>
        <v>4</v>
      </c>
      <c r="K782" s="3" t="str">
        <f aca="false">IFERROR(INDEX('Teacher Lookup'!$B$2:$B$200,MATCH(A782,'Teacher Lookup'!$A$2:$A$200,0)),"")</f>
        <v>LAM Anakin</v>
      </c>
    </row>
    <row r="783" customFormat="false" ht="15" hidden="false" customHeight="false" outlineLevel="0" collapsed="false">
      <c r="A783" s="3" t="s">
        <v>184</v>
      </c>
      <c r="B783" s="4" t="s">
        <v>66</v>
      </c>
      <c r="C783" s="4" t="n">
        <v>6</v>
      </c>
      <c r="D783" s="4" t="s">
        <v>127</v>
      </c>
      <c r="E783" s="3" t="s">
        <v>152</v>
      </c>
      <c r="F783" s="4" t="str">
        <f aca="false">IF(I783&gt;J783,"Y","N")</f>
        <v>N</v>
      </c>
      <c r="G783" s="3" t="s">
        <v>164</v>
      </c>
      <c r="H783" s="3" t="s">
        <v>42</v>
      </c>
      <c r="I783" s="4" t="n">
        <v>4</v>
      </c>
      <c r="J783" s="4" t="n">
        <f aca="false">LEN(E783)-LEN(SUBSTITUTE(E783,",",""))+1</f>
        <v>4</v>
      </c>
      <c r="K783" s="3" t="str">
        <f aca="false">IFERROR(INDEX('Teacher Lookup'!$B$2:$B$200,MATCH(A783,'Teacher Lookup'!$A$2:$A$200,0)),"")</f>
        <v>LAM Anakin</v>
      </c>
    </row>
    <row r="784" customFormat="false" ht="15" hidden="false" customHeight="false" outlineLevel="0" collapsed="false">
      <c r="A784" s="3" t="s">
        <v>190</v>
      </c>
      <c r="B784" s="4" t="s">
        <v>12</v>
      </c>
      <c r="C784" s="4" t="n">
        <v>1</v>
      </c>
      <c r="D784" s="4" t="s">
        <v>132</v>
      </c>
      <c r="E784" s="3" t="s">
        <v>191</v>
      </c>
      <c r="F784" s="4" t="str">
        <f aca="false">IF(I784&gt;J784,"Y","N")</f>
        <v>N</v>
      </c>
      <c r="G784" s="3" t="s">
        <v>192</v>
      </c>
      <c r="H784" s="3" t="s">
        <v>16</v>
      </c>
      <c r="I784" s="4" t="n">
        <v>2</v>
      </c>
      <c r="J784" s="4" t="n">
        <f aca="false">LEN(E784)-LEN(SUBSTITUTE(E784,",",""))+1</f>
        <v>2</v>
      </c>
      <c r="K784" s="3" t="str">
        <f aca="false">IFERROR(INDEX('Teacher Lookup'!$B$2:$B$200,MATCH(A784,'Teacher Lookup'!$A$2:$A$200,0)),"")</f>
        <v>CHAN Alan</v>
      </c>
    </row>
    <row r="785" customFormat="false" ht="15" hidden="false" customHeight="false" outlineLevel="0" collapsed="false">
      <c r="A785" s="3" t="s">
        <v>190</v>
      </c>
      <c r="B785" s="4" t="s">
        <v>12</v>
      </c>
      <c r="C785" s="4" t="n">
        <v>4</v>
      </c>
      <c r="D785" s="4" t="s">
        <v>55</v>
      </c>
      <c r="E785" s="3" t="s">
        <v>193</v>
      </c>
      <c r="F785" s="4" t="str">
        <f aca="false">IF(I785&gt;J785,"Y","N")</f>
        <v>N</v>
      </c>
      <c r="G785" s="3" t="s">
        <v>192</v>
      </c>
      <c r="H785" s="3" t="s">
        <v>34</v>
      </c>
      <c r="I785" s="4" t="n">
        <v>2</v>
      </c>
      <c r="J785" s="4" t="n">
        <f aca="false">LEN(E785)-LEN(SUBSTITUTE(E785,",",""))+1</f>
        <v>2</v>
      </c>
      <c r="K785" s="3" t="str">
        <f aca="false">IFERROR(INDEX('Teacher Lookup'!$B$2:$B$200,MATCH(A785,'Teacher Lookup'!$A$2:$A$200,0)),"")</f>
        <v>CHAN Alan</v>
      </c>
    </row>
    <row r="786" customFormat="false" ht="15" hidden="false" customHeight="false" outlineLevel="0" collapsed="false">
      <c r="A786" s="3" t="s">
        <v>190</v>
      </c>
      <c r="B786" s="4" t="s">
        <v>12</v>
      </c>
      <c r="C786" s="4" t="n">
        <v>7</v>
      </c>
      <c r="D786" s="4" t="s">
        <v>105</v>
      </c>
      <c r="E786" s="3" t="s">
        <v>194</v>
      </c>
      <c r="F786" s="4" t="str">
        <f aca="false">IF(I786&gt;J786,"Y","N")</f>
        <v>Y</v>
      </c>
      <c r="G786" s="3" t="s">
        <v>195</v>
      </c>
      <c r="H786" s="3" t="s">
        <v>39</v>
      </c>
      <c r="I786" s="4" t="n">
        <v>3</v>
      </c>
      <c r="J786" s="4" t="n">
        <f aca="false">LEN(E786)-LEN(SUBSTITUTE(E786,",",""))+1</f>
        <v>2</v>
      </c>
      <c r="K786" s="3" t="str">
        <f aca="false">IFERROR(INDEX('Teacher Lookup'!$B$2:$B$200,MATCH(A786,'Teacher Lookup'!$A$2:$A$200,0)),"")</f>
        <v>CHAN Alan</v>
      </c>
    </row>
    <row r="787" customFormat="false" ht="15" hidden="false" customHeight="false" outlineLevel="0" collapsed="false">
      <c r="A787" s="3" t="s">
        <v>190</v>
      </c>
      <c r="B787" s="4" t="s">
        <v>31</v>
      </c>
      <c r="C787" s="4" t="n">
        <v>1</v>
      </c>
      <c r="D787" s="4" t="s">
        <v>55</v>
      </c>
      <c r="E787" s="3" t="s">
        <v>193</v>
      </c>
      <c r="F787" s="4" t="str">
        <f aca="false">IF(I787&gt;J787,"Y","N")</f>
        <v>N</v>
      </c>
      <c r="G787" s="3" t="s">
        <v>192</v>
      </c>
      <c r="H787" s="3" t="s">
        <v>16</v>
      </c>
      <c r="I787" s="4" t="n">
        <v>2</v>
      </c>
      <c r="J787" s="4" t="n">
        <f aca="false">LEN(E787)-LEN(SUBSTITUTE(E787,",",""))+1</f>
        <v>2</v>
      </c>
      <c r="K787" s="3" t="str">
        <f aca="false">IFERROR(INDEX('Teacher Lookup'!$B$2:$B$200,MATCH(A787,'Teacher Lookup'!$A$2:$A$200,0)),"")</f>
        <v>CHAN Alan</v>
      </c>
    </row>
    <row r="788" customFormat="false" ht="15" hidden="false" customHeight="false" outlineLevel="0" collapsed="false">
      <c r="A788" s="3" t="s">
        <v>190</v>
      </c>
      <c r="B788" s="4" t="s">
        <v>31</v>
      </c>
      <c r="C788" s="4" t="n">
        <v>2</v>
      </c>
      <c r="D788" s="4" t="s">
        <v>132</v>
      </c>
      <c r="E788" s="3" t="s">
        <v>196</v>
      </c>
      <c r="F788" s="4" t="str">
        <f aca="false">IF(I788&gt;J788,"Y","N")</f>
        <v>N</v>
      </c>
      <c r="G788" s="3" t="s">
        <v>192</v>
      </c>
      <c r="H788" s="3" t="s">
        <v>21</v>
      </c>
      <c r="I788" s="4" t="n">
        <v>2</v>
      </c>
      <c r="J788" s="4" t="n">
        <f aca="false">LEN(E788)-LEN(SUBSTITUTE(E788,",",""))+1</f>
        <v>2</v>
      </c>
      <c r="K788" s="3" t="str">
        <f aca="false">IFERROR(INDEX('Teacher Lookup'!$B$2:$B$200,MATCH(A788,'Teacher Lookup'!$A$2:$A$200,0)),"")</f>
        <v>CHAN Alan</v>
      </c>
    </row>
    <row r="789" customFormat="false" ht="15" hidden="false" customHeight="false" outlineLevel="0" collapsed="false">
      <c r="A789" s="3" t="s">
        <v>190</v>
      </c>
      <c r="B789" s="4" t="s">
        <v>31</v>
      </c>
      <c r="C789" s="4" t="n">
        <v>5</v>
      </c>
      <c r="D789" s="4" t="s">
        <v>24</v>
      </c>
      <c r="E789" s="3" t="s">
        <v>131</v>
      </c>
      <c r="F789" s="4" t="str">
        <f aca="false">IF(I789&gt;J789,"Y","N")</f>
        <v>Y</v>
      </c>
      <c r="G789" s="3" t="s">
        <v>36</v>
      </c>
      <c r="H789" s="3" t="s">
        <v>37</v>
      </c>
      <c r="I789" s="4" t="n">
        <v>15</v>
      </c>
      <c r="J789" s="4" t="n">
        <f aca="false">LEN(E789)-LEN(SUBSTITUTE(E789,",",""))+1</f>
        <v>7</v>
      </c>
      <c r="K789" s="3" t="str">
        <f aca="false">IFERROR(INDEX('Teacher Lookup'!$B$2:$B$200,MATCH(A789,'Teacher Lookup'!$A$2:$A$200,0)),"")</f>
        <v>CHAN Alan</v>
      </c>
    </row>
    <row r="790" customFormat="false" ht="15" hidden="false" customHeight="false" outlineLevel="0" collapsed="false">
      <c r="A790" s="3" t="s">
        <v>190</v>
      </c>
      <c r="B790" s="4" t="s">
        <v>31</v>
      </c>
      <c r="C790" s="4" t="n">
        <v>5</v>
      </c>
      <c r="D790" s="4" t="s">
        <v>132</v>
      </c>
      <c r="E790" s="3" t="s">
        <v>131</v>
      </c>
      <c r="F790" s="4" t="str">
        <f aca="false">IF(I790&gt;J790,"Y","N")</f>
        <v>Y</v>
      </c>
      <c r="G790" s="3" t="s">
        <v>36</v>
      </c>
      <c r="H790" s="3" t="s">
        <v>37</v>
      </c>
      <c r="I790" s="4" t="n">
        <v>15</v>
      </c>
      <c r="J790" s="4" t="n">
        <f aca="false">LEN(E790)-LEN(SUBSTITUTE(E790,",",""))+1</f>
        <v>7</v>
      </c>
      <c r="K790" s="3" t="str">
        <f aca="false">IFERROR(INDEX('Teacher Lookup'!$B$2:$B$200,MATCH(A790,'Teacher Lookup'!$A$2:$A$200,0)),"")</f>
        <v>CHAN Alan</v>
      </c>
    </row>
    <row r="791" customFormat="false" ht="15" hidden="false" customHeight="false" outlineLevel="0" collapsed="false">
      <c r="A791" s="3" t="s">
        <v>190</v>
      </c>
      <c r="B791" s="4" t="s">
        <v>31</v>
      </c>
      <c r="C791" s="4" t="n">
        <v>5</v>
      </c>
      <c r="D791" s="4" t="s">
        <v>27</v>
      </c>
      <c r="E791" s="3" t="s">
        <v>131</v>
      </c>
      <c r="F791" s="4" t="str">
        <f aca="false">IF(I791&gt;J791,"Y","N")</f>
        <v>Y</v>
      </c>
      <c r="G791" s="3" t="s">
        <v>36</v>
      </c>
      <c r="H791" s="3" t="s">
        <v>37</v>
      </c>
      <c r="I791" s="4" t="n">
        <v>15</v>
      </c>
      <c r="J791" s="4" t="n">
        <f aca="false">LEN(E791)-LEN(SUBSTITUTE(E791,",",""))+1</f>
        <v>7</v>
      </c>
      <c r="K791" s="3" t="str">
        <f aca="false">IFERROR(INDEX('Teacher Lookup'!$B$2:$B$200,MATCH(A791,'Teacher Lookup'!$A$2:$A$200,0)),"")</f>
        <v>CHAN Alan</v>
      </c>
    </row>
    <row r="792" customFormat="false" ht="15" hidden="false" customHeight="false" outlineLevel="0" collapsed="false">
      <c r="A792" s="3" t="s">
        <v>190</v>
      </c>
      <c r="B792" s="4" t="s">
        <v>31</v>
      </c>
      <c r="C792" s="4" t="n">
        <v>5</v>
      </c>
      <c r="D792" s="4" t="s">
        <v>28</v>
      </c>
      <c r="E792" s="3" t="s">
        <v>131</v>
      </c>
      <c r="F792" s="4" t="str">
        <f aca="false">IF(I792&gt;J792,"Y","N")</f>
        <v>Y</v>
      </c>
      <c r="G792" s="3" t="s">
        <v>36</v>
      </c>
      <c r="H792" s="3" t="s">
        <v>37</v>
      </c>
      <c r="I792" s="4" t="n">
        <v>15</v>
      </c>
      <c r="J792" s="4" t="n">
        <f aca="false">LEN(E792)-LEN(SUBSTITUTE(E792,",",""))+1</f>
        <v>7</v>
      </c>
      <c r="K792" s="3" t="str">
        <f aca="false">IFERROR(INDEX('Teacher Lookup'!$B$2:$B$200,MATCH(A792,'Teacher Lookup'!$A$2:$A$200,0)),"")</f>
        <v>CHAN Alan</v>
      </c>
    </row>
    <row r="793" customFormat="false" ht="15" hidden="false" customHeight="false" outlineLevel="0" collapsed="false">
      <c r="A793" s="3" t="s">
        <v>190</v>
      </c>
      <c r="B793" s="4" t="s">
        <v>31</v>
      </c>
      <c r="C793" s="4" t="n">
        <v>5</v>
      </c>
      <c r="D793" s="4" t="s">
        <v>29</v>
      </c>
      <c r="E793" s="3" t="s">
        <v>131</v>
      </c>
      <c r="F793" s="4" t="str">
        <f aca="false">IF(I793&gt;J793,"Y","N")</f>
        <v>Y</v>
      </c>
      <c r="G793" s="3" t="s">
        <v>36</v>
      </c>
      <c r="H793" s="3" t="s">
        <v>37</v>
      </c>
      <c r="I793" s="4" t="n">
        <v>15</v>
      </c>
      <c r="J793" s="4" t="n">
        <f aca="false">LEN(E793)-LEN(SUBSTITUTE(E793,",",""))+1</f>
        <v>7</v>
      </c>
      <c r="K793" s="3" t="str">
        <f aca="false">IFERROR(INDEX('Teacher Lookup'!$B$2:$B$200,MATCH(A793,'Teacher Lookup'!$A$2:$A$200,0)),"")</f>
        <v>CHAN Alan</v>
      </c>
    </row>
    <row r="794" customFormat="false" ht="15" hidden="false" customHeight="false" outlineLevel="0" collapsed="false">
      <c r="A794" s="3" t="s">
        <v>190</v>
      </c>
      <c r="B794" s="4" t="s">
        <v>31</v>
      </c>
      <c r="C794" s="4" t="n">
        <v>5</v>
      </c>
      <c r="D794" s="4" t="s">
        <v>30</v>
      </c>
      <c r="E794" s="3" t="s">
        <v>131</v>
      </c>
      <c r="F794" s="4" t="str">
        <f aca="false">IF(I794&gt;J794,"Y","N")</f>
        <v>Y</v>
      </c>
      <c r="G794" s="3" t="s">
        <v>36</v>
      </c>
      <c r="H794" s="3" t="s">
        <v>37</v>
      </c>
      <c r="I794" s="4" t="n">
        <v>15</v>
      </c>
      <c r="J794" s="4" t="n">
        <f aca="false">LEN(E794)-LEN(SUBSTITUTE(E794,",",""))+1</f>
        <v>7</v>
      </c>
      <c r="K794" s="3" t="str">
        <f aca="false">IFERROR(INDEX('Teacher Lookup'!$B$2:$B$200,MATCH(A794,'Teacher Lookup'!$A$2:$A$200,0)),"")</f>
        <v>CHAN Alan</v>
      </c>
    </row>
    <row r="795" customFormat="false" ht="15" hidden="false" customHeight="false" outlineLevel="0" collapsed="false">
      <c r="A795" s="3" t="s">
        <v>190</v>
      </c>
      <c r="B795" s="4" t="s">
        <v>40</v>
      </c>
      <c r="C795" s="4" t="n">
        <v>1</v>
      </c>
      <c r="D795" s="4" t="s">
        <v>132</v>
      </c>
      <c r="E795" s="3" t="s">
        <v>196</v>
      </c>
      <c r="F795" s="4" t="str">
        <f aca="false">IF(I795&gt;J795,"Y","N")</f>
        <v>N</v>
      </c>
      <c r="G795" s="3" t="s">
        <v>192</v>
      </c>
      <c r="H795" s="3" t="s">
        <v>16</v>
      </c>
      <c r="I795" s="4" t="n">
        <v>2</v>
      </c>
      <c r="J795" s="4" t="n">
        <f aca="false">LEN(E795)-LEN(SUBSTITUTE(E795,",",""))+1</f>
        <v>2</v>
      </c>
      <c r="K795" s="3" t="str">
        <f aca="false">IFERROR(INDEX('Teacher Lookup'!$B$2:$B$200,MATCH(A795,'Teacher Lookup'!$A$2:$A$200,0)),"")</f>
        <v>CHAN Alan</v>
      </c>
    </row>
    <row r="796" customFormat="false" ht="15" hidden="false" customHeight="false" outlineLevel="0" collapsed="false">
      <c r="A796" s="3" t="s">
        <v>190</v>
      </c>
      <c r="B796" s="4" t="s">
        <v>40</v>
      </c>
      <c r="C796" s="4" t="n">
        <v>2</v>
      </c>
      <c r="D796" s="4" t="s">
        <v>132</v>
      </c>
      <c r="E796" s="3" t="s">
        <v>196</v>
      </c>
      <c r="F796" s="4" t="str">
        <f aca="false">IF(I796&gt;J796,"Y","N")</f>
        <v>N</v>
      </c>
      <c r="G796" s="3" t="s">
        <v>192</v>
      </c>
      <c r="H796" s="3" t="s">
        <v>21</v>
      </c>
      <c r="I796" s="4" t="n">
        <v>2</v>
      </c>
      <c r="J796" s="4" t="n">
        <f aca="false">LEN(E796)-LEN(SUBSTITUTE(E796,",",""))+1</f>
        <v>2</v>
      </c>
      <c r="K796" s="3" t="str">
        <f aca="false">IFERROR(INDEX('Teacher Lookup'!$B$2:$B$200,MATCH(A796,'Teacher Lookup'!$A$2:$A$200,0)),"")</f>
        <v>CHAN Alan</v>
      </c>
    </row>
    <row r="797" customFormat="false" ht="15" hidden="false" customHeight="false" outlineLevel="0" collapsed="false">
      <c r="A797" s="3" t="s">
        <v>190</v>
      </c>
      <c r="B797" s="4" t="s">
        <v>40</v>
      </c>
      <c r="C797" s="4" t="n">
        <v>3</v>
      </c>
      <c r="D797" s="4" t="s">
        <v>105</v>
      </c>
      <c r="E797" s="3" t="s">
        <v>194</v>
      </c>
      <c r="F797" s="4" t="str">
        <f aca="false">IF(I797&gt;J797,"Y","N")</f>
        <v>N</v>
      </c>
      <c r="G797" s="3" t="s">
        <v>195</v>
      </c>
      <c r="H797" s="3" t="s">
        <v>26</v>
      </c>
      <c r="I797" s="4" t="n">
        <v>2</v>
      </c>
      <c r="J797" s="4" t="n">
        <f aca="false">LEN(E797)-LEN(SUBSTITUTE(E797,",",""))+1</f>
        <v>2</v>
      </c>
      <c r="K797" s="3" t="str">
        <f aca="false">IFERROR(INDEX('Teacher Lookup'!$B$2:$B$200,MATCH(A797,'Teacher Lookup'!$A$2:$A$200,0)),"")</f>
        <v>CHAN Alan</v>
      </c>
    </row>
    <row r="798" customFormat="false" ht="15" hidden="false" customHeight="false" outlineLevel="0" collapsed="false">
      <c r="A798" s="3" t="s">
        <v>190</v>
      </c>
      <c r="B798" s="4" t="s">
        <v>40</v>
      </c>
      <c r="C798" s="4" t="n">
        <v>4</v>
      </c>
      <c r="D798" s="4" t="s">
        <v>55</v>
      </c>
      <c r="E798" s="3" t="s">
        <v>197</v>
      </c>
      <c r="F798" s="4" t="str">
        <f aca="false">IF(I798&gt;J798,"Y","N")</f>
        <v>N</v>
      </c>
      <c r="G798" s="3" t="s">
        <v>192</v>
      </c>
      <c r="H798" s="3" t="s">
        <v>34</v>
      </c>
      <c r="I798" s="4" t="n">
        <v>2</v>
      </c>
      <c r="J798" s="4" t="n">
        <f aca="false">LEN(E798)-LEN(SUBSTITUTE(E798,",",""))+1</f>
        <v>2</v>
      </c>
      <c r="K798" s="3" t="str">
        <f aca="false">IFERROR(INDEX('Teacher Lookup'!$B$2:$B$200,MATCH(A798,'Teacher Lookup'!$A$2:$A$200,0)),"")</f>
        <v>CHAN Alan</v>
      </c>
    </row>
    <row r="799" customFormat="false" ht="15" hidden="false" customHeight="false" outlineLevel="0" collapsed="false">
      <c r="A799" s="3" t="s">
        <v>190</v>
      </c>
      <c r="B799" s="4" t="s">
        <v>44</v>
      </c>
      <c r="C799" s="4" t="n">
        <v>2</v>
      </c>
      <c r="D799" s="4" t="s">
        <v>132</v>
      </c>
      <c r="E799" s="3" t="s">
        <v>196</v>
      </c>
      <c r="F799" s="4" t="str">
        <f aca="false">IF(I799&gt;J799,"Y","N")</f>
        <v>N</v>
      </c>
      <c r="G799" s="3" t="s">
        <v>192</v>
      </c>
      <c r="H799" s="3" t="s">
        <v>21</v>
      </c>
      <c r="I799" s="4" t="n">
        <v>2</v>
      </c>
      <c r="J799" s="4" t="n">
        <f aca="false">LEN(E799)-LEN(SUBSTITUTE(E799,",",""))+1</f>
        <v>2</v>
      </c>
      <c r="K799" s="3" t="str">
        <f aca="false">IFERROR(INDEX('Teacher Lookup'!$B$2:$B$200,MATCH(A799,'Teacher Lookup'!$A$2:$A$200,0)),"")</f>
        <v>CHAN Alan</v>
      </c>
    </row>
    <row r="800" customFormat="false" ht="15" hidden="false" customHeight="false" outlineLevel="0" collapsed="false">
      <c r="A800" s="3" t="s">
        <v>190</v>
      </c>
      <c r="B800" s="4" t="s">
        <v>44</v>
      </c>
      <c r="C800" s="4" t="n">
        <v>5</v>
      </c>
      <c r="D800" s="4" t="s">
        <v>24</v>
      </c>
      <c r="E800" s="3" t="s">
        <v>131</v>
      </c>
      <c r="F800" s="4" t="str">
        <f aca="false">IF(I800&gt;J800,"Y","N")</f>
        <v>Y</v>
      </c>
      <c r="G800" s="3" t="s">
        <v>36</v>
      </c>
      <c r="H800" s="3" t="s">
        <v>37</v>
      </c>
      <c r="I800" s="4" t="n">
        <v>15</v>
      </c>
      <c r="J800" s="4" t="n">
        <f aca="false">LEN(E800)-LEN(SUBSTITUTE(E800,",",""))+1</f>
        <v>7</v>
      </c>
      <c r="K800" s="3" t="str">
        <f aca="false">IFERROR(INDEX('Teacher Lookup'!$B$2:$B$200,MATCH(A800,'Teacher Lookup'!$A$2:$A$200,0)),"")</f>
        <v>CHAN Alan</v>
      </c>
    </row>
    <row r="801" customFormat="false" ht="15" hidden="false" customHeight="false" outlineLevel="0" collapsed="false">
      <c r="A801" s="3" t="s">
        <v>190</v>
      </c>
      <c r="B801" s="4" t="s">
        <v>44</v>
      </c>
      <c r="C801" s="4" t="n">
        <v>5</v>
      </c>
      <c r="D801" s="4" t="s">
        <v>132</v>
      </c>
      <c r="E801" s="3" t="s">
        <v>131</v>
      </c>
      <c r="F801" s="4" t="str">
        <f aca="false">IF(I801&gt;J801,"Y","N")</f>
        <v>Y</v>
      </c>
      <c r="G801" s="3" t="s">
        <v>36</v>
      </c>
      <c r="H801" s="3" t="s">
        <v>37</v>
      </c>
      <c r="I801" s="4" t="n">
        <v>15</v>
      </c>
      <c r="J801" s="4" t="n">
        <f aca="false">LEN(E801)-LEN(SUBSTITUTE(E801,",",""))+1</f>
        <v>7</v>
      </c>
      <c r="K801" s="3" t="str">
        <f aca="false">IFERROR(INDEX('Teacher Lookup'!$B$2:$B$200,MATCH(A801,'Teacher Lookup'!$A$2:$A$200,0)),"")</f>
        <v>CHAN Alan</v>
      </c>
    </row>
    <row r="802" customFormat="false" ht="15" hidden="false" customHeight="false" outlineLevel="0" collapsed="false">
      <c r="A802" s="3" t="s">
        <v>190</v>
      </c>
      <c r="B802" s="4" t="s">
        <v>44</v>
      </c>
      <c r="C802" s="4" t="n">
        <v>5</v>
      </c>
      <c r="D802" s="4" t="s">
        <v>27</v>
      </c>
      <c r="E802" s="3" t="s">
        <v>131</v>
      </c>
      <c r="F802" s="4" t="str">
        <f aca="false">IF(I802&gt;J802,"Y","N")</f>
        <v>Y</v>
      </c>
      <c r="G802" s="3" t="s">
        <v>36</v>
      </c>
      <c r="H802" s="3" t="s">
        <v>37</v>
      </c>
      <c r="I802" s="4" t="n">
        <v>15</v>
      </c>
      <c r="J802" s="4" t="n">
        <f aca="false">LEN(E802)-LEN(SUBSTITUTE(E802,",",""))+1</f>
        <v>7</v>
      </c>
      <c r="K802" s="3" t="str">
        <f aca="false">IFERROR(INDEX('Teacher Lookup'!$B$2:$B$200,MATCH(A802,'Teacher Lookup'!$A$2:$A$200,0)),"")</f>
        <v>CHAN Alan</v>
      </c>
    </row>
    <row r="803" customFormat="false" ht="15" hidden="false" customHeight="false" outlineLevel="0" collapsed="false">
      <c r="A803" s="3" t="s">
        <v>190</v>
      </c>
      <c r="B803" s="4" t="s">
        <v>44</v>
      </c>
      <c r="C803" s="4" t="n">
        <v>5</v>
      </c>
      <c r="D803" s="4" t="s">
        <v>28</v>
      </c>
      <c r="E803" s="3" t="s">
        <v>131</v>
      </c>
      <c r="F803" s="4" t="str">
        <f aca="false">IF(I803&gt;J803,"Y","N")</f>
        <v>Y</v>
      </c>
      <c r="G803" s="3" t="s">
        <v>36</v>
      </c>
      <c r="H803" s="3" t="s">
        <v>37</v>
      </c>
      <c r="I803" s="4" t="n">
        <v>15</v>
      </c>
      <c r="J803" s="4" t="n">
        <f aca="false">LEN(E803)-LEN(SUBSTITUTE(E803,",",""))+1</f>
        <v>7</v>
      </c>
      <c r="K803" s="3" t="str">
        <f aca="false">IFERROR(INDEX('Teacher Lookup'!$B$2:$B$200,MATCH(A803,'Teacher Lookup'!$A$2:$A$200,0)),"")</f>
        <v>CHAN Alan</v>
      </c>
    </row>
    <row r="804" customFormat="false" ht="15" hidden="false" customHeight="false" outlineLevel="0" collapsed="false">
      <c r="A804" s="3" t="s">
        <v>190</v>
      </c>
      <c r="B804" s="4" t="s">
        <v>44</v>
      </c>
      <c r="C804" s="4" t="n">
        <v>5</v>
      </c>
      <c r="D804" s="4" t="s">
        <v>29</v>
      </c>
      <c r="E804" s="3" t="s">
        <v>131</v>
      </c>
      <c r="F804" s="4" t="str">
        <f aca="false">IF(I804&gt;J804,"Y","N")</f>
        <v>Y</v>
      </c>
      <c r="G804" s="3" t="s">
        <v>36</v>
      </c>
      <c r="H804" s="3" t="s">
        <v>37</v>
      </c>
      <c r="I804" s="4" t="n">
        <v>15</v>
      </c>
      <c r="J804" s="4" t="n">
        <f aca="false">LEN(E804)-LEN(SUBSTITUTE(E804,",",""))+1</f>
        <v>7</v>
      </c>
      <c r="K804" s="3" t="str">
        <f aca="false">IFERROR(INDEX('Teacher Lookup'!$B$2:$B$200,MATCH(A804,'Teacher Lookup'!$A$2:$A$200,0)),"")</f>
        <v>CHAN Alan</v>
      </c>
    </row>
    <row r="805" customFormat="false" ht="15" hidden="false" customHeight="false" outlineLevel="0" collapsed="false">
      <c r="A805" s="3" t="s">
        <v>190</v>
      </c>
      <c r="B805" s="4" t="s">
        <v>44</v>
      </c>
      <c r="C805" s="4" t="n">
        <v>5</v>
      </c>
      <c r="D805" s="4" t="s">
        <v>30</v>
      </c>
      <c r="E805" s="3" t="s">
        <v>131</v>
      </c>
      <c r="F805" s="4" t="str">
        <f aca="false">IF(I805&gt;J805,"Y","N")</f>
        <v>Y</v>
      </c>
      <c r="G805" s="3" t="s">
        <v>36</v>
      </c>
      <c r="H805" s="3" t="s">
        <v>37</v>
      </c>
      <c r="I805" s="4" t="n">
        <v>15</v>
      </c>
      <c r="J805" s="4" t="n">
        <f aca="false">LEN(E805)-LEN(SUBSTITUTE(E805,",",""))+1</f>
        <v>7</v>
      </c>
      <c r="K805" s="3" t="str">
        <f aca="false">IFERROR(INDEX('Teacher Lookup'!$B$2:$B$200,MATCH(A805,'Teacher Lookup'!$A$2:$A$200,0)),"")</f>
        <v>CHAN Alan</v>
      </c>
    </row>
    <row r="806" customFormat="false" ht="15" hidden="false" customHeight="false" outlineLevel="0" collapsed="false">
      <c r="A806" s="3" t="s">
        <v>190</v>
      </c>
      <c r="B806" s="4" t="s">
        <v>44</v>
      </c>
      <c r="C806" s="4" t="n">
        <v>6</v>
      </c>
      <c r="D806" s="4" t="s">
        <v>55</v>
      </c>
      <c r="E806" s="3" t="s">
        <v>198</v>
      </c>
      <c r="F806" s="4" t="str">
        <f aca="false">IF(I806&gt;J806,"Y","N")</f>
        <v>N</v>
      </c>
      <c r="G806" s="3" t="s">
        <v>192</v>
      </c>
      <c r="H806" s="3" t="s">
        <v>42</v>
      </c>
      <c r="I806" s="4" t="n">
        <v>2</v>
      </c>
      <c r="J806" s="4" t="n">
        <f aca="false">LEN(E806)-LEN(SUBSTITUTE(E806,",",""))+1</f>
        <v>2</v>
      </c>
      <c r="K806" s="3" t="str">
        <f aca="false">IFERROR(INDEX('Teacher Lookup'!$B$2:$B$200,MATCH(A806,'Teacher Lookup'!$A$2:$A$200,0)),"")</f>
        <v>CHAN Alan</v>
      </c>
    </row>
    <row r="807" customFormat="false" ht="15" hidden="false" customHeight="false" outlineLevel="0" collapsed="false">
      <c r="A807" s="3" t="s">
        <v>190</v>
      </c>
      <c r="B807" s="4" t="s">
        <v>44</v>
      </c>
      <c r="C807" s="4" t="n">
        <v>7</v>
      </c>
      <c r="D807" s="4" t="s">
        <v>105</v>
      </c>
      <c r="E807" s="3" t="s">
        <v>194</v>
      </c>
      <c r="F807" s="4" t="str">
        <f aca="false">IF(I807&gt;J807,"Y","N")</f>
        <v>N</v>
      </c>
      <c r="G807" s="3" t="s">
        <v>195</v>
      </c>
      <c r="H807" s="3" t="s">
        <v>39</v>
      </c>
      <c r="I807" s="4" t="n">
        <v>2</v>
      </c>
      <c r="J807" s="4" t="n">
        <f aca="false">LEN(E807)-LEN(SUBSTITUTE(E807,",",""))+1</f>
        <v>2</v>
      </c>
      <c r="K807" s="3" t="str">
        <f aca="false">IFERROR(INDEX('Teacher Lookup'!$B$2:$B$200,MATCH(A807,'Teacher Lookup'!$A$2:$A$200,0)),"")</f>
        <v>CHAN Alan</v>
      </c>
    </row>
    <row r="808" customFormat="false" ht="15" hidden="false" customHeight="false" outlineLevel="0" collapsed="false">
      <c r="A808" s="3" t="s">
        <v>190</v>
      </c>
      <c r="B808" s="4" t="s">
        <v>47</v>
      </c>
      <c r="C808" s="4" t="n">
        <v>1</v>
      </c>
      <c r="D808" s="4" t="s">
        <v>55</v>
      </c>
      <c r="E808" s="3" t="s">
        <v>197</v>
      </c>
      <c r="F808" s="4" t="str">
        <f aca="false">IF(I808&gt;J808,"Y","N")</f>
        <v>N</v>
      </c>
      <c r="G808" s="3" t="s">
        <v>192</v>
      </c>
      <c r="H808" s="3" t="s">
        <v>16</v>
      </c>
      <c r="I808" s="4" t="n">
        <v>2</v>
      </c>
      <c r="J808" s="4" t="n">
        <f aca="false">LEN(E808)-LEN(SUBSTITUTE(E808,",",""))+1</f>
        <v>2</v>
      </c>
      <c r="K808" s="3" t="str">
        <f aca="false">IFERROR(INDEX('Teacher Lookup'!$B$2:$B$200,MATCH(A808,'Teacher Lookup'!$A$2:$A$200,0)),"")</f>
        <v>CHAN Alan</v>
      </c>
    </row>
    <row r="809" customFormat="false" ht="15" hidden="false" customHeight="false" outlineLevel="0" collapsed="false">
      <c r="A809" s="3" t="s">
        <v>190</v>
      </c>
      <c r="B809" s="4" t="s">
        <v>47</v>
      </c>
      <c r="C809" s="4" t="n">
        <v>2</v>
      </c>
      <c r="D809" s="4" t="s">
        <v>132</v>
      </c>
      <c r="E809" s="3" t="s">
        <v>199</v>
      </c>
      <c r="F809" s="4" t="str">
        <f aca="false">IF(I809&gt;J809,"Y","N")</f>
        <v>N</v>
      </c>
      <c r="G809" s="3" t="s">
        <v>192</v>
      </c>
      <c r="H809" s="3" t="s">
        <v>21</v>
      </c>
      <c r="I809" s="4" t="n">
        <v>2</v>
      </c>
      <c r="J809" s="4" t="n">
        <f aca="false">LEN(E809)-LEN(SUBSTITUTE(E809,",",""))+1</f>
        <v>2</v>
      </c>
      <c r="K809" s="3" t="str">
        <f aca="false">IFERROR(INDEX('Teacher Lookup'!$B$2:$B$200,MATCH(A809,'Teacher Lookup'!$A$2:$A$200,0)),"")</f>
        <v>CHAN Alan</v>
      </c>
    </row>
    <row r="810" customFormat="false" ht="15" hidden="false" customHeight="false" outlineLevel="0" collapsed="false">
      <c r="A810" s="3" t="s">
        <v>190</v>
      </c>
      <c r="B810" s="4" t="s">
        <v>47</v>
      </c>
      <c r="C810" s="4" t="n">
        <v>4</v>
      </c>
      <c r="D810" s="4" t="s">
        <v>105</v>
      </c>
      <c r="E810" s="3" t="s">
        <v>194</v>
      </c>
      <c r="F810" s="4" t="str">
        <f aca="false">IF(I810&gt;J810,"Y","N")</f>
        <v>N</v>
      </c>
      <c r="G810" s="3" t="s">
        <v>195</v>
      </c>
      <c r="H810" s="3" t="s">
        <v>34</v>
      </c>
      <c r="I810" s="4" t="n">
        <v>2</v>
      </c>
      <c r="J810" s="4" t="n">
        <f aca="false">LEN(E810)-LEN(SUBSTITUTE(E810,",",""))+1</f>
        <v>2</v>
      </c>
      <c r="K810" s="3" t="str">
        <f aca="false">IFERROR(INDEX('Teacher Lookup'!$B$2:$B$200,MATCH(A810,'Teacher Lookup'!$A$2:$A$200,0)),"")</f>
        <v>CHAN Alan</v>
      </c>
    </row>
    <row r="811" customFormat="false" ht="15" hidden="false" customHeight="false" outlineLevel="0" collapsed="false">
      <c r="A811" s="3" t="s">
        <v>190</v>
      </c>
      <c r="B811" s="4" t="s">
        <v>50</v>
      </c>
      <c r="C811" s="4" t="n">
        <v>1</v>
      </c>
      <c r="D811" s="4" t="s">
        <v>55</v>
      </c>
      <c r="E811" s="3" t="s">
        <v>200</v>
      </c>
      <c r="F811" s="4" t="str">
        <f aca="false">IF(I811&gt;J811,"Y","N")</f>
        <v>N</v>
      </c>
      <c r="G811" s="3" t="s">
        <v>192</v>
      </c>
      <c r="H811" s="3" t="s">
        <v>16</v>
      </c>
      <c r="I811" s="4" t="n">
        <v>2</v>
      </c>
      <c r="J811" s="4" t="n">
        <f aca="false">LEN(E811)-LEN(SUBSTITUTE(E811,",",""))+1</f>
        <v>2</v>
      </c>
      <c r="K811" s="3" t="str">
        <f aca="false">IFERROR(INDEX('Teacher Lookup'!$B$2:$B$200,MATCH(A811,'Teacher Lookup'!$A$2:$A$200,0)),"")</f>
        <v>CHAN Alan</v>
      </c>
    </row>
    <row r="812" customFormat="false" ht="15" hidden="false" customHeight="false" outlineLevel="0" collapsed="false">
      <c r="A812" s="3" t="s">
        <v>190</v>
      </c>
      <c r="B812" s="4" t="s">
        <v>50</v>
      </c>
      <c r="C812" s="4" t="n">
        <v>2</v>
      </c>
      <c r="D812" s="4" t="s">
        <v>132</v>
      </c>
      <c r="E812" s="3" t="s">
        <v>196</v>
      </c>
      <c r="F812" s="4" t="str">
        <f aca="false">IF(I812&gt;J812,"Y","N")</f>
        <v>N</v>
      </c>
      <c r="G812" s="3" t="s">
        <v>192</v>
      </c>
      <c r="H812" s="3" t="s">
        <v>21</v>
      </c>
      <c r="I812" s="4" t="n">
        <v>2</v>
      </c>
      <c r="J812" s="4" t="n">
        <f aca="false">LEN(E812)-LEN(SUBSTITUTE(E812,",",""))+1</f>
        <v>2</v>
      </c>
      <c r="K812" s="3" t="str">
        <f aca="false">IFERROR(INDEX('Teacher Lookup'!$B$2:$B$200,MATCH(A812,'Teacher Lookup'!$A$2:$A$200,0)),"")</f>
        <v>CHAN Alan</v>
      </c>
    </row>
    <row r="813" customFormat="false" ht="15" hidden="false" customHeight="false" outlineLevel="0" collapsed="false">
      <c r="A813" s="3" t="s">
        <v>190</v>
      </c>
      <c r="B813" s="4" t="s">
        <v>50</v>
      </c>
      <c r="C813" s="4" t="n">
        <v>4</v>
      </c>
      <c r="D813" s="4" t="s">
        <v>105</v>
      </c>
      <c r="E813" s="3" t="s">
        <v>194</v>
      </c>
      <c r="F813" s="4" t="str">
        <f aca="false">IF(I813&gt;J813,"Y","N")</f>
        <v>N</v>
      </c>
      <c r="G813" s="3" t="s">
        <v>195</v>
      </c>
      <c r="H813" s="3" t="s">
        <v>34</v>
      </c>
      <c r="I813" s="4" t="n">
        <v>2</v>
      </c>
      <c r="J813" s="4" t="n">
        <f aca="false">LEN(E813)-LEN(SUBSTITUTE(E813,",",""))+1</f>
        <v>2</v>
      </c>
      <c r="K813" s="3" t="str">
        <f aca="false">IFERROR(INDEX('Teacher Lookup'!$B$2:$B$200,MATCH(A813,'Teacher Lookup'!$A$2:$A$200,0)),"")</f>
        <v>CHAN Alan</v>
      </c>
    </row>
    <row r="814" customFormat="false" ht="15" hidden="false" customHeight="false" outlineLevel="0" collapsed="false">
      <c r="A814" s="3" t="s">
        <v>190</v>
      </c>
      <c r="B814" s="4" t="s">
        <v>50</v>
      </c>
      <c r="C814" s="4" t="n">
        <v>5</v>
      </c>
      <c r="D814" s="4" t="s">
        <v>105</v>
      </c>
      <c r="E814" s="3" t="s">
        <v>194</v>
      </c>
      <c r="F814" s="4" t="str">
        <f aca="false">IF(I814&gt;J814,"Y","N")</f>
        <v>N</v>
      </c>
      <c r="G814" s="3" t="s">
        <v>195</v>
      </c>
      <c r="H814" s="3" t="s">
        <v>37</v>
      </c>
      <c r="I814" s="4" t="n">
        <v>2</v>
      </c>
      <c r="J814" s="4" t="n">
        <f aca="false">LEN(E814)-LEN(SUBSTITUTE(E814,",",""))+1</f>
        <v>2</v>
      </c>
      <c r="K814" s="3" t="str">
        <f aca="false">IFERROR(INDEX('Teacher Lookup'!$B$2:$B$200,MATCH(A814,'Teacher Lookup'!$A$2:$A$200,0)),"")</f>
        <v>CHAN Alan</v>
      </c>
    </row>
    <row r="815" customFormat="false" ht="15" hidden="false" customHeight="false" outlineLevel="0" collapsed="false">
      <c r="A815" s="3" t="s">
        <v>190</v>
      </c>
      <c r="B815" s="4" t="s">
        <v>60</v>
      </c>
      <c r="C815" s="4" t="n">
        <v>4</v>
      </c>
      <c r="D815" s="4" t="s">
        <v>132</v>
      </c>
      <c r="E815" s="3" t="s">
        <v>196</v>
      </c>
      <c r="F815" s="4" t="str">
        <f aca="false">IF(I815&gt;J815,"Y","N")</f>
        <v>N</v>
      </c>
      <c r="G815" s="3" t="s">
        <v>192</v>
      </c>
      <c r="H815" s="3" t="s">
        <v>34</v>
      </c>
      <c r="I815" s="4" t="n">
        <v>2</v>
      </c>
      <c r="J815" s="4" t="n">
        <f aca="false">LEN(E815)-LEN(SUBSTITUTE(E815,",",""))+1</f>
        <v>2</v>
      </c>
      <c r="K815" s="3" t="str">
        <f aca="false">IFERROR(INDEX('Teacher Lookup'!$B$2:$B$200,MATCH(A815,'Teacher Lookup'!$A$2:$A$200,0)),"")</f>
        <v>CHAN Alan</v>
      </c>
    </row>
    <row r="816" customFormat="false" ht="15" hidden="false" customHeight="false" outlineLevel="0" collapsed="false">
      <c r="A816" s="3" t="s">
        <v>190</v>
      </c>
      <c r="B816" s="4" t="s">
        <v>60</v>
      </c>
      <c r="C816" s="4" t="n">
        <v>5</v>
      </c>
      <c r="D816" s="4" t="s">
        <v>24</v>
      </c>
      <c r="E816" s="3" t="s">
        <v>131</v>
      </c>
      <c r="F816" s="4" t="str">
        <f aca="false">IF(I816&gt;J816,"Y","N")</f>
        <v>Y</v>
      </c>
      <c r="G816" s="3" t="s">
        <v>36</v>
      </c>
      <c r="H816" s="3" t="s">
        <v>37</v>
      </c>
      <c r="I816" s="4" t="n">
        <v>15</v>
      </c>
      <c r="J816" s="4" t="n">
        <f aca="false">LEN(E816)-LEN(SUBSTITUTE(E816,",",""))+1</f>
        <v>7</v>
      </c>
      <c r="K816" s="3" t="str">
        <f aca="false">IFERROR(INDEX('Teacher Lookup'!$B$2:$B$200,MATCH(A816,'Teacher Lookup'!$A$2:$A$200,0)),"")</f>
        <v>CHAN Alan</v>
      </c>
    </row>
    <row r="817" customFormat="false" ht="15" hidden="false" customHeight="false" outlineLevel="0" collapsed="false">
      <c r="A817" s="3" t="s">
        <v>190</v>
      </c>
      <c r="B817" s="4" t="s">
        <v>60</v>
      </c>
      <c r="C817" s="4" t="n">
        <v>5</v>
      </c>
      <c r="D817" s="4" t="s">
        <v>132</v>
      </c>
      <c r="E817" s="3" t="s">
        <v>131</v>
      </c>
      <c r="F817" s="4" t="str">
        <f aca="false">IF(I817&gt;J817,"Y","N")</f>
        <v>Y</v>
      </c>
      <c r="G817" s="3" t="s">
        <v>36</v>
      </c>
      <c r="H817" s="3" t="s">
        <v>37</v>
      </c>
      <c r="I817" s="4" t="n">
        <v>15</v>
      </c>
      <c r="J817" s="4" t="n">
        <f aca="false">LEN(E817)-LEN(SUBSTITUTE(E817,",",""))+1</f>
        <v>7</v>
      </c>
      <c r="K817" s="3" t="str">
        <f aca="false">IFERROR(INDEX('Teacher Lookup'!$B$2:$B$200,MATCH(A817,'Teacher Lookup'!$A$2:$A$200,0)),"")</f>
        <v>CHAN Alan</v>
      </c>
    </row>
    <row r="818" customFormat="false" ht="15" hidden="false" customHeight="false" outlineLevel="0" collapsed="false">
      <c r="A818" s="3" t="s">
        <v>190</v>
      </c>
      <c r="B818" s="4" t="s">
        <v>60</v>
      </c>
      <c r="C818" s="4" t="n">
        <v>5</v>
      </c>
      <c r="D818" s="4" t="s">
        <v>27</v>
      </c>
      <c r="E818" s="3" t="s">
        <v>131</v>
      </c>
      <c r="F818" s="4" t="str">
        <f aca="false">IF(I818&gt;J818,"Y","N")</f>
        <v>Y</v>
      </c>
      <c r="G818" s="3" t="s">
        <v>36</v>
      </c>
      <c r="H818" s="3" t="s">
        <v>37</v>
      </c>
      <c r="I818" s="4" t="n">
        <v>15</v>
      </c>
      <c r="J818" s="4" t="n">
        <f aca="false">LEN(E818)-LEN(SUBSTITUTE(E818,",",""))+1</f>
        <v>7</v>
      </c>
      <c r="K818" s="3" t="str">
        <f aca="false">IFERROR(INDEX('Teacher Lookup'!$B$2:$B$200,MATCH(A818,'Teacher Lookup'!$A$2:$A$200,0)),"")</f>
        <v>CHAN Alan</v>
      </c>
    </row>
    <row r="819" customFormat="false" ht="15" hidden="false" customHeight="false" outlineLevel="0" collapsed="false">
      <c r="A819" s="3" t="s">
        <v>190</v>
      </c>
      <c r="B819" s="4" t="s">
        <v>60</v>
      </c>
      <c r="C819" s="4" t="n">
        <v>5</v>
      </c>
      <c r="D819" s="4" t="s">
        <v>28</v>
      </c>
      <c r="E819" s="3" t="s">
        <v>131</v>
      </c>
      <c r="F819" s="4" t="str">
        <f aca="false">IF(I819&gt;J819,"Y","N")</f>
        <v>Y</v>
      </c>
      <c r="G819" s="3" t="s">
        <v>36</v>
      </c>
      <c r="H819" s="3" t="s">
        <v>37</v>
      </c>
      <c r="I819" s="4" t="n">
        <v>15</v>
      </c>
      <c r="J819" s="4" t="n">
        <f aca="false">LEN(E819)-LEN(SUBSTITUTE(E819,",",""))+1</f>
        <v>7</v>
      </c>
      <c r="K819" s="3" t="str">
        <f aca="false">IFERROR(INDEX('Teacher Lookup'!$B$2:$B$200,MATCH(A819,'Teacher Lookup'!$A$2:$A$200,0)),"")</f>
        <v>CHAN Alan</v>
      </c>
    </row>
    <row r="820" customFormat="false" ht="15" hidden="false" customHeight="false" outlineLevel="0" collapsed="false">
      <c r="A820" s="3" t="s">
        <v>190</v>
      </c>
      <c r="B820" s="4" t="s">
        <v>60</v>
      </c>
      <c r="C820" s="4" t="n">
        <v>5</v>
      </c>
      <c r="D820" s="4" t="s">
        <v>29</v>
      </c>
      <c r="E820" s="3" t="s">
        <v>131</v>
      </c>
      <c r="F820" s="4" t="str">
        <f aca="false">IF(I820&gt;J820,"Y","N")</f>
        <v>Y</v>
      </c>
      <c r="G820" s="3" t="s">
        <v>36</v>
      </c>
      <c r="H820" s="3" t="s">
        <v>37</v>
      </c>
      <c r="I820" s="4" t="n">
        <v>15</v>
      </c>
      <c r="J820" s="4" t="n">
        <f aca="false">LEN(E820)-LEN(SUBSTITUTE(E820,",",""))+1</f>
        <v>7</v>
      </c>
      <c r="K820" s="3" t="str">
        <f aca="false">IFERROR(INDEX('Teacher Lookup'!$B$2:$B$200,MATCH(A820,'Teacher Lookup'!$A$2:$A$200,0)),"")</f>
        <v>CHAN Alan</v>
      </c>
    </row>
    <row r="821" customFormat="false" ht="15" hidden="false" customHeight="false" outlineLevel="0" collapsed="false">
      <c r="A821" s="3" t="s">
        <v>190</v>
      </c>
      <c r="B821" s="4" t="s">
        <v>60</v>
      </c>
      <c r="C821" s="4" t="n">
        <v>5</v>
      </c>
      <c r="D821" s="4" t="s">
        <v>30</v>
      </c>
      <c r="E821" s="3" t="s">
        <v>131</v>
      </c>
      <c r="F821" s="4" t="str">
        <f aca="false">IF(I821&gt;J821,"Y","N")</f>
        <v>Y</v>
      </c>
      <c r="G821" s="3" t="s">
        <v>36</v>
      </c>
      <c r="H821" s="3" t="s">
        <v>37</v>
      </c>
      <c r="I821" s="4" t="n">
        <v>15</v>
      </c>
      <c r="J821" s="4" t="n">
        <f aca="false">LEN(E821)-LEN(SUBSTITUTE(E821,",",""))+1</f>
        <v>7</v>
      </c>
      <c r="K821" s="3" t="str">
        <f aca="false">IFERROR(INDEX('Teacher Lookup'!$B$2:$B$200,MATCH(A821,'Teacher Lookup'!$A$2:$A$200,0)),"")</f>
        <v>CHAN Alan</v>
      </c>
    </row>
    <row r="822" customFormat="false" ht="15" hidden="false" customHeight="false" outlineLevel="0" collapsed="false">
      <c r="A822" s="3" t="s">
        <v>190</v>
      </c>
      <c r="B822" s="4" t="s">
        <v>63</v>
      </c>
      <c r="C822" s="4" t="n">
        <v>3</v>
      </c>
      <c r="D822" s="4" t="s">
        <v>105</v>
      </c>
      <c r="E822" s="3" t="s">
        <v>194</v>
      </c>
      <c r="F822" s="4" t="str">
        <f aca="false">IF(I822&gt;J822,"Y","N")</f>
        <v>Y</v>
      </c>
      <c r="G822" s="3" t="s">
        <v>195</v>
      </c>
      <c r="H822" s="3" t="s">
        <v>26</v>
      </c>
      <c r="I822" s="4" t="n">
        <v>3</v>
      </c>
      <c r="J822" s="4" t="n">
        <f aca="false">LEN(E822)-LEN(SUBSTITUTE(E822,",",""))+1</f>
        <v>2</v>
      </c>
      <c r="K822" s="3" t="str">
        <f aca="false">IFERROR(INDEX('Teacher Lookup'!$B$2:$B$200,MATCH(A822,'Teacher Lookup'!$A$2:$A$200,0)),"")</f>
        <v>CHAN Alan</v>
      </c>
    </row>
    <row r="823" customFormat="false" ht="15" hidden="false" customHeight="false" outlineLevel="0" collapsed="false">
      <c r="A823" s="3" t="s">
        <v>190</v>
      </c>
      <c r="B823" s="4" t="s">
        <v>63</v>
      </c>
      <c r="C823" s="4" t="n">
        <v>7</v>
      </c>
      <c r="D823" s="4" t="s">
        <v>132</v>
      </c>
      <c r="E823" s="3" t="s">
        <v>196</v>
      </c>
      <c r="F823" s="4" t="str">
        <f aca="false">IF(I823&gt;J823,"Y","N")</f>
        <v>N</v>
      </c>
      <c r="G823" s="3" t="s">
        <v>192</v>
      </c>
      <c r="H823" s="3" t="s">
        <v>39</v>
      </c>
      <c r="I823" s="4" t="n">
        <v>2</v>
      </c>
      <c r="J823" s="4" t="n">
        <f aca="false">LEN(E823)-LEN(SUBSTITUTE(E823,",",""))+1</f>
        <v>2</v>
      </c>
      <c r="K823" s="3" t="str">
        <f aca="false">IFERROR(INDEX('Teacher Lookup'!$B$2:$B$200,MATCH(A823,'Teacher Lookup'!$A$2:$A$200,0)),"")</f>
        <v>CHAN Alan</v>
      </c>
    </row>
    <row r="824" customFormat="false" ht="15" hidden="false" customHeight="false" outlineLevel="0" collapsed="false">
      <c r="A824" s="3" t="s">
        <v>190</v>
      </c>
      <c r="B824" s="4" t="s">
        <v>65</v>
      </c>
      <c r="C824" s="4" t="n">
        <v>1</v>
      </c>
      <c r="D824" s="4" t="s">
        <v>55</v>
      </c>
      <c r="E824" s="3" t="s">
        <v>201</v>
      </c>
      <c r="F824" s="4" t="str">
        <f aca="false">IF(I824&gt;J824,"Y","N")</f>
        <v>N</v>
      </c>
      <c r="G824" s="3" t="s">
        <v>192</v>
      </c>
      <c r="H824" s="3" t="s">
        <v>16</v>
      </c>
      <c r="I824" s="4" t="n">
        <v>2</v>
      </c>
      <c r="J824" s="4" t="n">
        <f aca="false">LEN(E824)-LEN(SUBSTITUTE(E824,",",""))+1</f>
        <v>2</v>
      </c>
      <c r="K824" s="3" t="str">
        <f aca="false">IFERROR(INDEX('Teacher Lookup'!$B$2:$B$200,MATCH(A824,'Teacher Lookup'!$A$2:$A$200,0)),"")</f>
        <v>CHAN Alan</v>
      </c>
    </row>
    <row r="825" customFormat="false" ht="15" hidden="false" customHeight="false" outlineLevel="0" collapsed="false">
      <c r="A825" s="3" t="s">
        <v>190</v>
      </c>
      <c r="B825" s="4" t="s">
        <v>65</v>
      </c>
      <c r="C825" s="4" t="n">
        <v>2</v>
      </c>
      <c r="D825" s="4" t="s">
        <v>132</v>
      </c>
      <c r="E825" s="3" t="s">
        <v>196</v>
      </c>
      <c r="F825" s="4" t="str">
        <f aca="false">IF(I825&gt;J825,"Y","N")</f>
        <v>N</v>
      </c>
      <c r="G825" s="3" t="s">
        <v>192</v>
      </c>
      <c r="H825" s="3" t="s">
        <v>21</v>
      </c>
      <c r="I825" s="4" t="n">
        <v>2</v>
      </c>
      <c r="J825" s="4" t="n">
        <f aca="false">LEN(E825)-LEN(SUBSTITUTE(E825,",",""))+1</f>
        <v>2</v>
      </c>
      <c r="K825" s="3" t="str">
        <f aca="false">IFERROR(INDEX('Teacher Lookup'!$B$2:$B$200,MATCH(A825,'Teacher Lookup'!$A$2:$A$200,0)),"")</f>
        <v>CHAN Alan</v>
      </c>
    </row>
    <row r="826" customFormat="false" ht="15" hidden="false" customHeight="false" outlineLevel="0" collapsed="false">
      <c r="A826" s="3" t="s">
        <v>190</v>
      </c>
      <c r="B826" s="4" t="s">
        <v>65</v>
      </c>
      <c r="C826" s="4" t="n">
        <v>4</v>
      </c>
      <c r="D826" s="4" t="s">
        <v>105</v>
      </c>
      <c r="E826" s="3" t="s">
        <v>194</v>
      </c>
      <c r="F826" s="4" t="str">
        <f aca="false">IF(I826&gt;J826,"Y","N")</f>
        <v>Y</v>
      </c>
      <c r="G826" s="3" t="s">
        <v>195</v>
      </c>
      <c r="H826" s="3" t="s">
        <v>34</v>
      </c>
      <c r="I826" s="4" t="n">
        <v>3</v>
      </c>
      <c r="J826" s="4" t="n">
        <f aca="false">LEN(E826)-LEN(SUBSTITUTE(E826,",",""))+1</f>
        <v>2</v>
      </c>
      <c r="K826" s="3" t="str">
        <f aca="false">IFERROR(INDEX('Teacher Lookup'!$B$2:$B$200,MATCH(A826,'Teacher Lookup'!$A$2:$A$200,0)),"")</f>
        <v>CHAN Alan</v>
      </c>
    </row>
    <row r="827" customFormat="false" ht="15" hidden="false" customHeight="false" outlineLevel="0" collapsed="false">
      <c r="A827" s="3" t="s">
        <v>190</v>
      </c>
      <c r="B827" s="4" t="s">
        <v>65</v>
      </c>
      <c r="C827" s="4" t="n">
        <v>5</v>
      </c>
      <c r="D827" s="4" t="s">
        <v>24</v>
      </c>
      <c r="E827" s="3" t="s">
        <v>131</v>
      </c>
      <c r="F827" s="4" t="str">
        <f aca="false">IF(I827&gt;J827,"Y","N")</f>
        <v>Y</v>
      </c>
      <c r="G827" s="3" t="s">
        <v>36</v>
      </c>
      <c r="H827" s="3" t="s">
        <v>37</v>
      </c>
      <c r="I827" s="4" t="n">
        <v>15</v>
      </c>
      <c r="J827" s="4" t="n">
        <f aca="false">LEN(E827)-LEN(SUBSTITUTE(E827,",",""))+1</f>
        <v>7</v>
      </c>
      <c r="K827" s="3" t="str">
        <f aca="false">IFERROR(INDEX('Teacher Lookup'!$B$2:$B$200,MATCH(A827,'Teacher Lookup'!$A$2:$A$200,0)),"")</f>
        <v>CHAN Alan</v>
      </c>
    </row>
    <row r="828" customFormat="false" ht="15" hidden="false" customHeight="false" outlineLevel="0" collapsed="false">
      <c r="A828" s="3" t="s">
        <v>190</v>
      </c>
      <c r="B828" s="4" t="s">
        <v>65</v>
      </c>
      <c r="C828" s="4" t="n">
        <v>5</v>
      </c>
      <c r="D828" s="4" t="s">
        <v>132</v>
      </c>
      <c r="E828" s="3" t="s">
        <v>131</v>
      </c>
      <c r="F828" s="4" t="str">
        <f aca="false">IF(I828&gt;J828,"Y","N")</f>
        <v>Y</v>
      </c>
      <c r="G828" s="3" t="s">
        <v>36</v>
      </c>
      <c r="H828" s="3" t="s">
        <v>37</v>
      </c>
      <c r="I828" s="4" t="n">
        <v>15</v>
      </c>
      <c r="J828" s="4" t="n">
        <f aca="false">LEN(E828)-LEN(SUBSTITUTE(E828,",",""))+1</f>
        <v>7</v>
      </c>
      <c r="K828" s="3" t="str">
        <f aca="false">IFERROR(INDEX('Teacher Lookup'!$B$2:$B$200,MATCH(A828,'Teacher Lookup'!$A$2:$A$200,0)),"")</f>
        <v>CHAN Alan</v>
      </c>
    </row>
    <row r="829" customFormat="false" ht="15" hidden="false" customHeight="false" outlineLevel="0" collapsed="false">
      <c r="A829" s="3" t="s">
        <v>190</v>
      </c>
      <c r="B829" s="4" t="s">
        <v>65</v>
      </c>
      <c r="C829" s="4" t="n">
        <v>5</v>
      </c>
      <c r="D829" s="4" t="s">
        <v>27</v>
      </c>
      <c r="E829" s="3" t="s">
        <v>131</v>
      </c>
      <c r="F829" s="4" t="str">
        <f aca="false">IF(I829&gt;J829,"Y","N")</f>
        <v>Y</v>
      </c>
      <c r="G829" s="3" t="s">
        <v>36</v>
      </c>
      <c r="H829" s="3" t="s">
        <v>37</v>
      </c>
      <c r="I829" s="4" t="n">
        <v>15</v>
      </c>
      <c r="J829" s="4" t="n">
        <f aca="false">LEN(E829)-LEN(SUBSTITUTE(E829,",",""))+1</f>
        <v>7</v>
      </c>
      <c r="K829" s="3" t="str">
        <f aca="false">IFERROR(INDEX('Teacher Lookup'!$B$2:$B$200,MATCH(A829,'Teacher Lookup'!$A$2:$A$200,0)),"")</f>
        <v>CHAN Alan</v>
      </c>
    </row>
    <row r="830" customFormat="false" ht="15" hidden="false" customHeight="false" outlineLevel="0" collapsed="false">
      <c r="A830" s="3" t="s">
        <v>190</v>
      </c>
      <c r="B830" s="4" t="s">
        <v>65</v>
      </c>
      <c r="C830" s="4" t="n">
        <v>5</v>
      </c>
      <c r="D830" s="4" t="s">
        <v>28</v>
      </c>
      <c r="E830" s="3" t="s">
        <v>131</v>
      </c>
      <c r="F830" s="4" t="str">
        <f aca="false">IF(I830&gt;J830,"Y","N")</f>
        <v>Y</v>
      </c>
      <c r="G830" s="3" t="s">
        <v>36</v>
      </c>
      <c r="H830" s="3" t="s">
        <v>37</v>
      </c>
      <c r="I830" s="4" t="n">
        <v>15</v>
      </c>
      <c r="J830" s="4" t="n">
        <f aca="false">LEN(E830)-LEN(SUBSTITUTE(E830,",",""))+1</f>
        <v>7</v>
      </c>
      <c r="K830" s="3" t="str">
        <f aca="false">IFERROR(INDEX('Teacher Lookup'!$B$2:$B$200,MATCH(A830,'Teacher Lookup'!$A$2:$A$200,0)),"")</f>
        <v>CHAN Alan</v>
      </c>
    </row>
    <row r="831" customFormat="false" ht="15" hidden="false" customHeight="false" outlineLevel="0" collapsed="false">
      <c r="A831" s="3" t="s">
        <v>190</v>
      </c>
      <c r="B831" s="4" t="s">
        <v>65</v>
      </c>
      <c r="C831" s="4" t="n">
        <v>5</v>
      </c>
      <c r="D831" s="4" t="s">
        <v>29</v>
      </c>
      <c r="E831" s="3" t="s">
        <v>131</v>
      </c>
      <c r="F831" s="4" t="str">
        <f aca="false">IF(I831&gt;J831,"Y","N")</f>
        <v>Y</v>
      </c>
      <c r="G831" s="3" t="s">
        <v>36</v>
      </c>
      <c r="H831" s="3" t="s">
        <v>37</v>
      </c>
      <c r="I831" s="4" t="n">
        <v>15</v>
      </c>
      <c r="J831" s="4" t="n">
        <f aca="false">LEN(E831)-LEN(SUBSTITUTE(E831,",",""))+1</f>
        <v>7</v>
      </c>
      <c r="K831" s="3" t="str">
        <f aca="false">IFERROR(INDEX('Teacher Lookup'!$B$2:$B$200,MATCH(A831,'Teacher Lookup'!$A$2:$A$200,0)),"")</f>
        <v>CHAN Alan</v>
      </c>
    </row>
    <row r="832" customFormat="false" ht="15" hidden="false" customHeight="false" outlineLevel="0" collapsed="false">
      <c r="A832" s="3" t="s">
        <v>190</v>
      </c>
      <c r="B832" s="4" t="s">
        <v>65</v>
      </c>
      <c r="C832" s="4" t="n">
        <v>5</v>
      </c>
      <c r="D832" s="4" t="s">
        <v>30</v>
      </c>
      <c r="E832" s="3" t="s">
        <v>131</v>
      </c>
      <c r="F832" s="4" t="str">
        <f aca="false">IF(I832&gt;J832,"Y","N")</f>
        <v>Y</v>
      </c>
      <c r="G832" s="3" t="s">
        <v>36</v>
      </c>
      <c r="H832" s="3" t="s">
        <v>37</v>
      </c>
      <c r="I832" s="4" t="n">
        <v>15</v>
      </c>
      <c r="J832" s="4" t="n">
        <f aca="false">LEN(E832)-LEN(SUBSTITUTE(E832,",",""))+1</f>
        <v>7</v>
      </c>
      <c r="K832" s="3" t="str">
        <f aca="false">IFERROR(INDEX('Teacher Lookup'!$B$2:$B$200,MATCH(A832,'Teacher Lookup'!$A$2:$A$200,0)),"")</f>
        <v>CHAN Alan</v>
      </c>
    </row>
    <row r="833" customFormat="false" ht="15" hidden="false" customHeight="false" outlineLevel="0" collapsed="false">
      <c r="A833" s="3" t="s">
        <v>190</v>
      </c>
      <c r="B833" s="4" t="s">
        <v>66</v>
      </c>
      <c r="C833" s="4" t="n">
        <v>3</v>
      </c>
      <c r="D833" s="4" t="s">
        <v>105</v>
      </c>
      <c r="E833" s="3" t="s">
        <v>194</v>
      </c>
      <c r="F833" s="4" t="str">
        <f aca="false">IF(I833&gt;J833,"Y","N")</f>
        <v>N</v>
      </c>
      <c r="G833" s="3" t="s">
        <v>195</v>
      </c>
      <c r="H833" s="3" t="s">
        <v>26</v>
      </c>
      <c r="I833" s="4" t="n">
        <v>2</v>
      </c>
      <c r="J833" s="4" t="n">
        <f aca="false">LEN(E833)-LEN(SUBSTITUTE(E833,",",""))+1</f>
        <v>2</v>
      </c>
      <c r="K833" s="3" t="str">
        <f aca="false">IFERROR(INDEX('Teacher Lookup'!$B$2:$B$200,MATCH(A833,'Teacher Lookup'!$A$2:$A$200,0)),"")</f>
        <v>CHAN Alan</v>
      </c>
    </row>
    <row r="834" customFormat="false" ht="15" hidden="false" customHeight="false" outlineLevel="0" collapsed="false">
      <c r="A834" s="3" t="s">
        <v>190</v>
      </c>
      <c r="B834" s="4" t="s">
        <v>66</v>
      </c>
      <c r="C834" s="4" t="n">
        <v>4</v>
      </c>
      <c r="D834" s="4" t="s">
        <v>55</v>
      </c>
      <c r="E834" s="3" t="s">
        <v>202</v>
      </c>
      <c r="F834" s="4" t="str">
        <f aca="false">IF(I834&gt;J834,"Y","N")</f>
        <v>N</v>
      </c>
      <c r="G834" s="3" t="s">
        <v>192</v>
      </c>
      <c r="H834" s="3" t="s">
        <v>34</v>
      </c>
      <c r="I834" s="4" t="n">
        <v>2</v>
      </c>
      <c r="J834" s="4" t="n">
        <f aca="false">LEN(E834)-LEN(SUBSTITUTE(E834,",",""))+1</f>
        <v>2</v>
      </c>
      <c r="K834" s="3" t="str">
        <f aca="false">IFERROR(INDEX('Teacher Lookup'!$B$2:$B$200,MATCH(A834,'Teacher Lookup'!$A$2:$A$200,0)),"")</f>
        <v>CHAN Alan</v>
      </c>
    </row>
    <row r="835" customFormat="false" ht="15" hidden="false" customHeight="false" outlineLevel="0" collapsed="false">
      <c r="A835" s="3" t="s">
        <v>190</v>
      </c>
      <c r="B835" s="4" t="s">
        <v>66</v>
      </c>
      <c r="C835" s="4" t="n">
        <v>6</v>
      </c>
      <c r="D835" s="4" t="s">
        <v>132</v>
      </c>
      <c r="E835" s="3" t="s">
        <v>196</v>
      </c>
      <c r="F835" s="4" t="str">
        <f aca="false">IF(I835&gt;J835,"Y","N")</f>
        <v>N</v>
      </c>
      <c r="G835" s="3" t="s">
        <v>192</v>
      </c>
      <c r="H835" s="3" t="s">
        <v>42</v>
      </c>
      <c r="I835" s="4" t="n">
        <v>2</v>
      </c>
      <c r="J835" s="4" t="n">
        <f aca="false">LEN(E835)-LEN(SUBSTITUTE(E835,",",""))+1</f>
        <v>2</v>
      </c>
      <c r="K835" s="3" t="str">
        <f aca="false">IFERROR(INDEX('Teacher Lookup'!$B$2:$B$200,MATCH(A835,'Teacher Lookup'!$A$2:$A$200,0)),"")</f>
        <v>CHAN Alan</v>
      </c>
    </row>
    <row r="836" customFormat="false" ht="15" hidden="false" customHeight="false" outlineLevel="0" collapsed="false">
      <c r="A836" s="3" t="s">
        <v>190</v>
      </c>
      <c r="B836" s="4" t="s">
        <v>66</v>
      </c>
      <c r="C836" s="4" t="n">
        <v>7</v>
      </c>
      <c r="D836" s="4" t="s">
        <v>132</v>
      </c>
      <c r="E836" s="3" t="s">
        <v>196</v>
      </c>
      <c r="F836" s="4" t="str">
        <f aca="false">IF(I836&gt;J836,"Y","N")</f>
        <v>N</v>
      </c>
      <c r="G836" s="3" t="s">
        <v>192</v>
      </c>
      <c r="H836" s="3" t="s">
        <v>39</v>
      </c>
      <c r="I836" s="4" t="n">
        <v>2</v>
      </c>
      <c r="J836" s="4" t="n">
        <f aca="false">LEN(E836)-LEN(SUBSTITUTE(E836,",",""))+1</f>
        <v>2</v>
      </c>
      <c r="K836" s="3" t="str">
        <f aca="false">IFERROR(INDEX('Teacher Lookup'!$B$2:$B$200,MATCH(A836,'Teacher Lookup'!$A$2:$A$200,0)),"")</f>
        <v>CHAN Alan</v>
      </c>
    </row>
    <row r="837" customFormat="false" ht="15" hidden="false" customHeight="false" outlineLevel="0" collapsed="false">
      <c r="A837" s="3" t="s">
        <v>203</v>
      </c>
      <c r="B837" s="4" t="s">
        <v>12</v>
      </c>
      <c r="C837" s="4" t="n">
        <v>2</v>
      </c>
      <c r="D837" s="4" t="s">
        <v>76</v>
      </c>
      <c r="E837" s="3" t="s">
        <v>80</v>
      </c>
      <c r="F837" s="4" t="str">
        <f aca="false">IF(I837&gt;J837,"Y","N")</f>
        <v>N</v>
      </c>
      <c r="G837" s="3" t="s">
        <v>15</v>
      </c>
      <c r="H837" s="3" t="s">
        <v>21</v>
      </c>
      <c r="I837" s="4" t="n">
        <v>4</v>
      </c>
      <c r="J837" s="4" t="n">
        <f aca="false">LEN(E837)-LEN(SUBSTITUTE(E837,",",""))+1</f>
        <v>4</v>
      </c>
      <c r="K837" s="3" t="str">
        <f aca="false">IFERROR(INDEX('Teacher Lookup'!$B$2:$B$200,MATCH(A837,'Teacher Lookup'!$A$2:$A$200,0)),"")</f>
        <v>TSANG Annisa</v>
      </c>
    </row>
    <row r="838" customFormat="false" ht="15" hidden="false" customHeight="false" outlineLevel="0" collapsed="false">
      <c r="A838" s="3" t="s">
        <v>203</v>
      </c>
      <c r="B838" s="4" t="s">
        <v>12</v>
      </c>
      <c r="C838" s="4" t="n">
        <v>2</v>
      </c>
      <c r="D838" s="4" t="s">
        <v>78</v>
      </c>
      <c r="E838" s="3" t="s">
        <v>80</v>
      </c>
      <c r="F838" s="4" t="str">
        <f aca="false">IF(I838&gt;J838,"Y","N")</f>
        <v>N</v>
      </c>
      <c r="G838" s="3" t="s">
        <v>15</v>
      </c>
      <c r="H838" s="3" t="s">
        <v>21</v>
      </c>
      <c r="I838" s="4" t="n">
        <v>4</v>
      </c>
      <c r="J838" s="4" t="n">
        <f aca="false">LEN(E838)-LEN(SUBSTITUTE(E838,",",""))+1</f>
        <v>4</v>
      </c>
      <c r="K838" s="3" t="str">
        <f aca="false">IFERROR(INDEX('Teacher Lookup'!$B$2:$B$200,MATCH(A838,'Teacher Lookup'!$A$2:$A$200,0)),"")</f>
        <v>TSANG Annisa</v>
      </c>
    </row>
    <row r="839" customFormat="false" ht="15" hidden="false" customHeight="false" outlineLevel="0" collapsed="false">
      <c r="A839" s="3" t="s">
        <v>203</v>
      </c>
      <c r="B839" s="4" t="s">
        <v>12</v>
      </c>
      <c r="C839" s="4" t="n">
        <v>2</v>
      </c>
      <c r="D839" s="4" t="s">
        <v>79</v>
      </c>
      <c r="E839" s="3" t="s">
        <v>80</v>
      </c>
      <c r="F839" s="4" t="str">
        <f aca="false">IF(I839&gt;J839,"Y","N")</f>
        <v>N</v>
      </c>
      <c r="G839" s="3" t="s">
        <v>15</v>
      </c>
      <c r="H839" s="3" t="s">
        <v>21</v>
      </c>
      <c r="I839" s="4" t="n">
        <v>4</v>
      </c>
      <c r="J839" s="4" t="n">
        <f aca="false">LEN(E839)-LEN(SUBSTITUTE(E839,",",""))+1</f>
        <v>4</v>
      </c>
      <c r="K839" s="3" t="str">
        <f aca="false">IFERROR(INDEX('Teacher Lookup'!$B$2:$B$200,MATCH(A839,'Teacher Lookup'!$A$2:$A$200,0)),"")</f>
        <v>TSANG Annisa</v>
      </c>
    </row>
    <row r="840" customFormat="false" ht="15" hidden="false" customHeight="false" outlineLevel="0" collapsed="false">
      <c r="A840" s="3" t="s">
        <v>203</v>
      </c>
      <c r="B840" s="4" t="s">
        <v>12</v>
      </c>
      <c r="C840" s="4" t="n">
        <v>5</v>
      </c>
      <c r="D840" s="4" t="s">
        <v>137</v>
      </c>
      <c r="E840" s="3" t="s">
        <v>138</v>
      </c>
      <c r="F840" s="4" t="str">
        <f aca="false">IF(I840&gt;J840,"Y","N")</f>
        <v>N</v>
      </c>
      <c r="G840" s="3" t="s">
        <v>15</v>
      </c>
      <c r="H840" s="3" t="s">
        <v>37</v>
      </c>
      <c r="I840" s="4" t="n">
        <v>4</v>
      </c>
      <c r="J840" s="4" t="n">
        <f aca="false">LEN(E840)-LEN(SUBSTITUTE(E840,",",""))+1</f>
        <v>4</v>
      </c>
      <c r="K840" s="3" t="str">
        <f aca="false">IFERROR(INDEX('Teacher Lookup'!$B$2:$B$200,MATCH(A840,'Teacher Lookup'!$A$2:$A$200,0)),"")</f>
        <v>TSANG Annisa</v>
      </c>
    </row>
    <row r="841" customFormat="false" ht="15" hidden="false" customHeight="false" outlineLevel="0" collapsed="false">
      <c r="A841" s="3" t="s">
        <v>203</v>
      </c>
      <c r="B841" s="4" t="s">
        <v>12</v>
      </c>
      <c r="C841" s="4" t="n">
        <v>5</v>
      </c>
      <c r="D841" s="4" t="s">
        <v>124</v>
      </c>
      <c r="E841" s="3" t="s">
        <v>138</v>
      </c>
      <c r="F841" s="4" t="str">
        <f aca="false">IF(I841&gt;J841,"Y","N")</f>
        <v>N</v>
      </c>
      <c r="G841" s="3" t="s">
        <v>15</v>
      </c>
      <c r="H841" s="3" t="s">
        <v>37</v>
      </c>
      <c r="I841" s="4" t="n">
        <v>4</v>
      </c>
      <c r="J841" s="4" t="n">
        <f aca="false">LEN(E841)-LEN(SUBSTITUTE(E841,",",""))+1</f>
        <v>4</v>
      </c>
      <c r="K841" s="3" t="str">
        <f aca="false">IFERROR(INDEX('Teacher Lookup'!$B$2:$B$200,MATCH(A841,'Teacher Lookup'!$A$2:$A$200,0)),"")</f>
        <v>TSANG Annisa</v>
      </c>
    </row>
    <row r="842" customFormat="false" ht="15" hidden="false" customHeight="false" outlineLevel="0" collapsed="false">
      <c r="A842" s="3" t="s">
        <v>203</v>
      </c>
      <c r="B842" s="4" t="s">
        <v>12</v>
      </c>
      <c r="C842" s="4" t="n">
        <v>5</v>
      </c>
      <c r="D842" s="4" t="s">
        <v>139</v>
      </c>
      <c r="E842" s="3" t="s">
        <v>138</v>
      </c>
      <c r="F842" s="4" t="str">
        <f aca="false">IF(I842&gt;J842,"Y","N")</f>
        <v>N</v>
      </c>
      <c r="G842" s="3" t="s">
        <v>15</v>
      </c>
      <c r="H842" s="3" t="s">
        <v>37</v>
      </c>
      <c r="I842" s="4" t="n">
        <v>4</v>
      </c>
      <c r="J842" s="4" t="n">
        <f aca="false">LEN(E842)-LEN(SUBSTITUTE(E842,",",""))+1</f>
        <v>4</v>
      </c>
      <c r="K842" s="3" t="str">
        <f aca="false">IFERROR(INDEX('Teacher Lookup'!$B$2:$B$200,MATCH(A842,'Teacher Lookup'!$A$2:$A$200,0)),"")</f>
        <v>TSANG Annisa</v>
      </c>
    </row>
    <row r="843" customFormat="false" ht="15" hidden="false" customHeight="false" outlineLevel="0" collapsed="false">
      <c r="A843" s="3" t="s">
        <v>203</v>
      </c>
      <c r="B843" s="4" t="s">
        <v>12</v>
      </c>
      <c r="C843" s="4" t="n">
        <v>6</v>
      </c>
      <c r="D843" s="4" t="s">
        <v>140</v>
      </c>
      <c r="E843" s="3" t="s">
        <v>144</v>
      </c>
      <c r="F843" s="4" t="str">
        <f aca="false">IF(I843&gt;J843,"Y","N")</f>
        <v>N</v>
      </c>
      <c r="G843" s="3" t="s">
        <v>15</v>
      </c>
      <c r="H843" s="3" t="s">
        <v>42</v>
      </c>
      <c r="I843" s="4" t="n">
        <v>4</v>
      </c>
      <c r="J843" s="4" t="n">
        <f aca="false">LEN(E843)-LEN(SUBSTITUTE(E843,",",""))+1</f>
        <v>4</v>
      </c>
      <c r="K843" s="3" t="str">
        <f aca="false">IFERROR(INDEX('Teacher Lookup'!$B$2:$B$200,MATCH(A843,'Teacher Lookup'!$A$2:$A$200,0)),"")</f>
        <v>TSANG Annisa</v>
      </c>
    </row>
    <row r="844" customFormat="false" ht="15" hidden="false" customHeight="false" outlineLevel="0" collapsed="false">
      <c r="A844" s="3" t="s">
        <v>203</v>
      </c>
      <c r="B844" s="4" t="s">
        <v>12</v>
      </c>
      <c r="C844" s="4" t="n">
        <v>6</v>
      </c>
      <c r="D844" s="4" t="s">
        <v>142</v>
      </c>
      <c r="E844" s="3" t="s">
        <v>144</v>
      </c>
      <c r="F844" s="4" t="str">
        <f aca="false">IF(I844&gt;J844,"Y","N")</f>
        <v>N</v>
      </c>
      <c r="G844" s="3" t="s">
        <v>15</v>
      </c>
      <c r="H844" s="3" t="s">
        <v>42</v>
      </c>
      <c r="I844" s="4" t="n">
        <v>4</v>
      </c>
      <c r="J844" s="4" t="n">
        <f aca="false">LEN(E844)-LEN(SUBSTITUTE(E844,",",""))+1</f>
        <v>4</v>
      </c>
      <c r="K844" s="3" t="str">
        <f aca="false">IFERROR(INDEX('Teacher Lookup'!$B$2:$B$200,MATCH(A844,'Teacher Lookup'!$A$2:$A$200,0)),"")</f>
        <v>TSANG Annisa</v>
      </c>
    </row>
    <row r="845" customFormat="false" ht="15" hidden="false" customHeight="false" outlineLevel="0" collapsed="false">
      <c r="A845" s="3" t="s">
        <v>203</v>
      </c>
      <c r="B845" s="4" t="s">
        <v>12</v>
      </c>
      <c r="C845" s="4" t="n">
        <v>6</v>
      </c>
      <c r="D845" s="4" t="s">
        <v>127</v>
      </c>
      <c r="E845" s="3" t="s">
        <v>144</v>
      </c>
      <c r="F845" s="4" t="str">
        <f aca="false">IF(I845&gt;J845,"Y","N")</f>
        <v>N</v>
      </c>
      <c r="G845" s="3" t="s">
        <v>15</v>
      </c>
      <c r="H845" s="3" t="s">
        <v>42</v>
      </c>
      <c r="I845" s="4" t="n">
        <v>4</v>
      </c>
      <c r="J845" s="4" t="n">
        <f aca="false">LEN(E845)-LEN(SUBSTITUTE(E845,",",""))+1</f>
        <v>4</v>
      </c>
      <c r="K845" s="3" t="str">
        <f aca="false">IFERROR(INDEX('Teacher Lookup'!$B$2:$B$200,MATCH(A845,'Teacher Lookup'!$A$2:$A$200,0)),"")</f>
        <v>TSANG Annisa</v>
      </c>
    </row>
    <row r="846" customFormat="false" ht="15" hidden="false" customHeight="false" outlineLevel="0" collapsed="false">
      <c r="A846" s="3" t="s">
        <v>203</v>
      </c>
      <c r="B846" s="4" t="s">
        <v>31</v>
      </c>
      <c r="C846" s="4" t="n">
        <v>1</v>
      </c>
      <c r="D846" s="4" t="s">
        <v>137</v>
      </c>
      <c r="E846" s="3" t="s">
        <v>146</v>
      </c>
      <c r="F846" s="4" t="str">
        <f aca="false">IF(I846&gt;J846,"Y","N")</f>
        <v>N</v>
      </c>
      <c r="G846" s="3" t="s">
        <v>15</v>
      </c>
      <c r="H846" s="3" t="s">
        <v>16</v>
      </c>
      <c r="I846" s="4" t="n">
        <v>4</v>
      </c>
      <c r="J846" s="4" t="n">
        <f aca="false">LEN(E846)-LEN(SUBSTITUTE(E846,",",""))+1</f>
        <v>4</v>
      </c>
      <c r="K846" s="3" t="str">
        <f aca="false">IFERROR(INDEX('Teacher Lookup'!$B$2:$B$200,MATCH(A846,'Teacher Lookup'!$A$2:$A$200,0)),"")</f>
        <v>TSANG Annisa</v>
      </c>
    </row>
    <row r="847" customFormat="false" ht="15" hidden="false" customHeight="false" outlineLevel="0" collapsed="false">
      <c r="A847" s="3" t="s">
        <v>203</v>
      </c>
      <c r="B847" s="4" t="s">
        <v>31</v>
      </c>
      <c r="C847" s="4" t="n">
        <v>1</v>
      </c>
      <c r="D847" s="4" t="s">
        <v>124</v>
      </c>
      <c r="E847" s="3" t="s">
        <v>146</v>
      </c>
      <c r="F847" s="4" t="str">
        <f aca="false">IF(I847&gt;J847,"Y","N")</f>
        <v>N</v>
      </c>
      <c r="G847" s="3" t="s">
        <v>15</v>
      </c>
      <c r="H847" s="3" t="s">
        <v>16</v>
      </c>
      <c r="I847" s="4" t="n">
        <v>4</v>
      </c>
      <c r="J847" s="4" t="n">
        <f aca="false">LEN(E847)-LEN(SUBSTITUTE(E847,",",""))+1</f>
        <v>4</v>
      </c>
      <c r="K847" s="3" t="str">
        <f aca="false">IFERROR(INDEX('Teacher Lookup'!$B$2:$B$200,MATCH(A847,'Teacher Lookup'!$A$2:$A$200,0)),"")</f>
        <v>TSANG Annisa</v>
      </c>
    </row>
    <row r="848" customFormat="false" ht="15" hidden="false" customHeight="false" outlineLevel="0" collapsed="false">
      <c r="A848" s="3" t="s">
        <v>203</v>
      </c>
      <c r="B848" s="4" t="s">
        <v>31</v>
      </c>
      <c r="C848" s="4" t="n">
        <v>1</v>
      </c>
      <c r="D848" s="4" t="s">
        <v>139</v>
      </c>
      <c r="E848" s="3" t="s">
        <v>146</v>
      </c>
      <c r="F848" s="4" t="str">
        <f aca="false">IF(I848&gt;J848,"Y","N")</f>
        <v>N</v>
      </c>
      <c r="G848" s="3" t="s">
        <v>15</v>
      </c>
      <c r="H848" s="3" t="s">
        <v>16</v>
      </c>
      <c r="I848" s="4" t="n">
        <v>4</v>
      </c>
      <c r="J848" s="4" t="n">
        <f aca="false">LEN(E848)-LEN(SUBSTITUTE(E848,",",""))+1</f>
        <v>4</v>
      </c>
      <c r="K848" s="3" t="str">
        <f aca="false">IFERROR(INDEX('Teacher Lookup'!$B$2:$B$200,MATCH(A848,'Teacher Lookup'!$A$2:$A$200,0)),"")</f>
        <v>TSANG Annisa</v>
      </c>
    </row>
    <row r="849" customFormat="false" ht="15" hidden="false" customHeight="false" outlineLevel="0" collapsed="false">
      <c r="A849" s="3" t="s">
        <v>203</v>
      </c>
      <c r="B849" s="4" t="s">
        <v>31</v>
      </c>
      <c r="C849" s="4" t="n">
        <v>5</v>
      </c>
      <c r="D849" s="4" t="s">
        <v>137</v>
      </c>
      <c r="E849" s="3" t="s">
        <v>185</v>
      </c>
      <c r="F849" s="4" t="str">
        <f aca="false">IF(I849&gt;J849,"Y","N")</f>
        <v>Y</v>
      </c>
      <c r="G849" s="3" t="s">
        <v>36</v>
      </c>
      <c r="H849" s="3" t="s">
        <v>37</v>
      </c>
      <c r="I849" s="4" t="n">
        <v>21</v>
      </c>
      <c r="J849" s="4" t="n">
        <f aca="false">LEN(E849)-LEN(SUBSTITUTE(E849,",",""))+1</f>
        <v>7</v>
      </c>
      <c r="K849" s="3" t="str">
        <f aca="false">IFERROR(INDEX('Teacher Lookup'!$B$2:$B$200,MATCH(A849,'Teacher Lookup'!$A$2:$A$200,0)),"")</f>
        <v>TSANG Annisa</v>
      </c>
    </row>
    <row r="850" customFormat="false" ht="15" hidden="false" customHeight="false" outlineLevel="0" collapsed="false">
      <c r="A850" s="3" t="s">
        <v>203</v>
      </c>
      <c r="B850" s="4" t="s">
        <v>31</v>
      </c>
      <c r="C850" s="4" t="n">
        <v>5</v>
      </c>
      <c r="D850" s="4" t="s">
        <v>124</v>
      </c>
      <c r="E850" s="3" t="s">
        <v>185</v>
      </c>
      <c r="F850" s="4" t="str">
        <f aca="false">IF(I850&gt;J850,"Y","N")</f>
        <v>Y</v>
      </c>
      <c r="G850" s="3" t="s">
        <v>36</v>
      </c>
      <c r="H850" s="3" t="s">
        <v>37</v>
      </c>
      <c r="I850" s="4" t="n">
        <v>21</v>
      </c>
      <c r="J850" s="4" t="n">
        <f aca="false">LEN(E850)-LEN(SUBSTITUTE(E850,",",""))+1</f>
        <v>7</v>
      </c>
      <c r="K850" s="3" t="str">
        <f aca="false">IFERROR(INDEX('Teacher Lookup'!$B$2:$B$200,MATCH(A850,'Teacher Lookup'!$A$2:$A$200,0)),"")</f>
        <v>TSANG Annisa</v>
      </c>
    </row>
    <row r="851" customFormat="false" ht="15" hidden="false" customHeight="false" outlineLevel="0" collapsed="false">
      <c r="A851" s="3" t="s">
        <v>203</v>
      </c>
      <c r="B851" s="4" t="s">
        <v>31</v>
      </c>
      <c r="C851" s="4" t="n">
        <v>5</v>
      </c>
      <c r="D851" s="4" t="s">
        <v>139</v>
      </c>
      <c r="E851" s="3" t="s">
        <v>185</v>
      </c>
      <c r="F851" s="4" t="str">
        <f aca="false">IF(I851&gt;J851,"Y","N")</f>
        <v>Y</v>
      </c>
      <c r="G851" s="3" t="s">
        <v>36</v>
      </c>
      <c r="H851" s="3" t="s">
        <v>37</v>
      </c>
      <c r="I851" s="4" t="n">
        <v>21</v>
      </c>
      <c r="J851" s="4" t="n">
        <f aca="false">LEN(E851)-LEN(SUBSTITUTE(E851,",",""))+1</f>
        <v>7</v>
      </c>
      <c r="K851" s="3" t="str">
        <f aca="false">IFERROR(INDEX('Teacher Lookup'!$B$2:$B$200,MATCH(A851,'Teacher Lookup'!$A$2:$A$200,0)),"")</f>
        <v>TSANG Annisa</v>
      </c>
    </row>
    <row r="852" customFormat="false" ht="15" hidden="false" customHeight="false" outlineLevel="0" collapsed="false">
      <c r="A852" s="3" t="s">
        <v>203</v>
      </c>
      <c r="B852" s="4" t="s">
        <v>31</v>
      </c>
      <c r="C852" s="4" t="n">
        <v>5</v>
      </c>
      <c r="D852" s="4" t="s">
        <v>140</v>
      </c>
      <c r="E852" s="3" t="s">
        <v>185</v>
      </c>
      <c r="F852" s="4" t="str">
        <f aca="false">IF(I852&gt;J852,"Y","N")</f>
        <v>Y</v>
      </c>
      <c r="G852" s="3" t="s">
        <v>36</v>
      </c>
      <c r="H852" s="3" t="s">
        <v>37</v>
      </c>
      <c r="I852" s="4" t="n">
        <v>21</v>
      </c>
      <c r="J852" s="4" t="n">
        <f aca="false">LEN(E852)-LEN(SUBSTITUTE(E852,",",""))+1</f>
        <v>7</v>
      </c>
      <c r="K852" s="3" t="str">
        <f aca="false">IFERROR(INDEX('Teacher Lookup'!$B$2:$B$200,MATCH(A852,'Teacher Lookup'!$A$2:$A$200,0)),"")</f>
        <v>TSANG Annisa</v>
      </c>
    </row>
    <row r="853" customFormat="false" ht="15" hidden="false" customHeight="false" outlineLevel="0" collapsed="false">
      <c r="A853" s="3" t="s">
        <v>203</v>
      </c>
      <c r="B853" s="4" t="s">
        <v>31</v>
      </c>
      <c r="C853" s="4" t="n">
        <v>5</v>
      </c>
      <c r="D853" s="4" t="s">
        <v>142</v>
      </c>
      <c r="E853" s="3" t="s">
        <v>185</v>
      </c>
      <c r="F853" s="4" t="str">
        <f aca="false">IF(I853&gt;J853,"Y","N")</f>
        <v>Y</v>
      </c>
      <c r="G853" s="3" t="s">
        <v>36</v>
      </c>
      <c r="H853" s="3" t="s">
        <v>37</v>
      </c>
      <c r="I853" s="4" t="n">
        <v>21</v>
      </c>
      <c r="J853" s="4" t="n">
        <f aca="false">LEN(E853)-LEN(SUBSTITUTE(E853,",",""))+1</f>
        <v>7</v>
      </c>
      <c r="K853" s="3" t="str">
        <f aca="false">IFERROR(INDEX('Teacher Lookup'!$B$2:$B$200,MATCH(A853,'Teacher Lookup'!$A$2:$A$200,0)),"")</f>
        <v>TSANG Annisa</v>
      </c>
    </row>
    <row r="854" customFormat="false" ht="15" hidden="false" customHeight="false" outlineLevel="0" collapsed="false">
      <c r="A854" s="3" t="s">
        <v>203</v>
      </c>
      <c r="B854" s="4" t="s">
        <v>31</v>
      </c>
      <c r="C854" s="4" t="n">
        <v>5</v>
      </c>
      <c r="D854" s="4" t="s">
        <v>127</v>
      </c>
      <c r="E854" s="3" t="s">
        <v>185</v>
      </c>
      <c r="F854" s="4" t="str">
        <f aca="false">IF(I854&gt;J854,"Y","N")</f>
        <v>Y</v>
      </c>
      <c r="G854" s="3" t="s">
        <v>36</v>
      </c>
      <c r="H854" s="3" t="s">
        <v>37</v>
      </c>
      <c r="I854" s="4" t="n">
        <v>21</v>
      </c>
      <c r="J854" s="4" t="n">
        <f aca="false">LEN(E854)-LEN(SUBSTITUTE(E854,",",""))+1</f>
        <v>7</v>
      </c>
      <c r="K854" s="3" t="str">
        <f aca="false">IFERROR(INDEX('Teacher Lookup'!$B$2:$B$200,MATCH(A854,'Teacher Lookup'!$A$2:$A$200,0)),"")</f>
        <v>TSANG Annisa</v>
      </c>
    </row>
    <row r="855" customFormat="false" ht="15" hidden="false" customHeight="false" outlineLevel="0" collapsed="false">
      <c r="A855" s="3" t="s">
        <v>203</v>
      </c>
      <c r="B855" s="4" t="s">
        <v>31</v>
      </c>
      <c r="C855" s="4" t="n">
        <v>6</v>
      </c>
      <c r="D855" s="4" t="s">
        <v>76</v>
      </c>
      <c r="E855" s="3" t="s">
        <v>204</v>
      </c>
      <c r="F855" s="4" t="str">
        <f aca="false">IF(I855&gt;J855,"Y","N")</f>
        <v>N</v>
      </c>
      <c r="G855" s="3" t="s">
        <v>15</v>
      </c>
      <c r="H855" s="3" t="s">
        <v>42</v>
      </c>
      <c r="I855" s="4" t="n">
        <v>4</v>
      </c>
      <c r="J855" s="4" t="n">
        <f aca="false">LEN(E855)-LEN(SUBSTITUTE(E855,",",""))+1</f>
        <v>4</v>
      </c>
      <c r="K855" s="3" t="str">
        <f aca="false">IFERROR(INDEX('Teacher Lookup'!$B$2:$B$200,MATCH(A855,'Teacher Lookup'!$A$2:$A$200,0)),"")</f>
        <v>TSANG Annisa</v>
      </c>
    </row>
    <row r="856" customFormat="false" ht="15" hidden="false" customHeight="false" outlineLevel="0" collapsed="false">
      <c r="A856" s="3" t="s">
        <v>203</v>
      </c>
      <c r="B856" s="4" t="s">
        <v>31</v>
      </c>
      <c r="C856" s="4" t="n">
        <v>6</v>
      </c>
      <c r="D856" s="4" t="s">
        <v>78</v>
      </c>
      <c r="E856" s="3" t="s">
        <v>204</v>
      </c>
      <c r="F856" s="4" t="str">
        <f aca="false">IF(I856&gt;J856,"Y","N")</f>
        <v>N</v>
      </c>
      <c r="G856" s="3" t="s">
        <v>15</v>
      </c>
      <c r="H856" s="3" t="s">
        <v>42</v>
      </c>
      <c r="I856" s="4" t="n">
        <v>4</v>
      </c>
      <c r="J856" s="4" t="n">
        <f aca="false">LEN(E856)-LEN(SUBSTITUTE(E856,",",""))+1</f>
        <v>4</v>
      </c>
      <c r="K856" s="3" t="str">
        <f aca="false">IFERROR(INDEX('Teacher Lookup'!$B$2:$B$200,MATCH(A856,'Teacher Lookup'!$A$2:$A$200,0)),"")</f>
        <v>TSANG Annisa</v>
      </c>
    </row>
    <row r="857" customFormat="false" ht="15" hidden="false" customHeight="false" outlineLevel="0" collapsed="false">
      <c r="A857" s="3" t="s">
        <v>203</v>
      </c>
      <c r="B857" s="4" t="s">
        <v>31</v>
      </c>
      <c r="C857" s="4" t="n">
        <v>6</v>
      </c>
      <c r="D857" s="4" t="s">
        <v>79</v>
      </c>
      <c r="E857" s="3" t="s">
        <v>204</v>
      </c>
      <c r="F857" s="4" t="str">
        <f aca="false">IF(I857&gt;J857,"Y","N")</f>
        <v>N</v>
      </c>
      <c r="G857" s="3" t="s">
        <v>15</v>
      </c>
      <c r="H857" s="3" t="s">
        <v>42</v>
      </c>
      <c r="I857" s="4" t="n">
        <v>4</v>
      </c>
      <c r="J857" s="4" t="n">
        <f aca="false">LEN(E857)-LEN(SUBSTITUTE(E857,",",""))+1</f>
        <v>4</v>
      </c>
      <c r="K857" s="3" t="str">
        <f aca="false">IFERROR(INDEX('Teacher Lookup'!$B$2:$B$200,MATCH(A857,'Teacher Lookup'!$A$2:$A$200,0)),"")</f>
        <v>TSANG Annisa</v>
      </c>
    </row>
    <row r="858" customFormat="false" ht="15" hidden="false" customHeight="false" outlineLevel="0" collapsed="false">
      <c r="A858" s="3" t="s">
        <v>203</v>
      </c>
      <c r="B858" s="4" t="s">
        <v>31</v>
      </c>
      <c r="C858" s="4" t="n">
        <v>7</v>
      </c>
      <c r="D858" s="4" t="s">
        <v>140</v>
      </c>
      <c r="E858" s="3" t="s">
        <v>144</v>
      </c>
      <c r="F858" s="4" t="str">
        <f aca="false">IF(I858&gt;J858,"Y","N")</f>
        <v>N</v>
      </c>
      <c r="G858" s="3" t="s">
        <v>15</v>
      </c>
      <c r="H858" s="3" t="s">
        <v>39</v>
      </c>
      <c r="I858" s="4" t="n">
        <v>4</v>
      </c>
      <c r="J858" s="4" t="n">
        <f aca="false">LEN(E858)-LEN(SUBSTITUTE(E858,",",""))+1</f>
        <v>4</v>
      </c>
      <c r="K858" s="3" t="str">
        <f aca="false">IFERROR(INDEX('Teacher Lookup'!$B$2:$B$200,MATCH(A858,'Teacher Lookup'!$A$2:$A$200,0)),"")</f>
        <v>TSANG Annisa</v>
      </c>
    </row>
    <row r="859" customFormat="false" ht="15" hidden="false" customHeight="false" outlineLevel="0" collapsed="false">
      <c r="A859" s="3" t="s">
        <v>203</v>
      </c>
      <c r="B859" s="4" t="s">
        <v>31</v>
      </c>
      <c r="C859" s="4" t="n">
        <v>7</v>
      </c>
      <c r="D859" s="4" t="s">
        <v>142</v>
      </c>
      <c r="E859" s="3" t="s">
        <v>144</v>
      </c>
      <c r="F859" s="4" t="str">
        <f aca="false">IF(I859&gt;J859,"Y","N")</f>
        <v>N</v>
      </c>
      <c r="G859" s="3" t="s">
        <v>15</v>
      </c>
      <c r="H859" s="3" t="s">
        <v>39</v>
      </c>
      <c r="I859" s="4" t="n">
        <v>4</v>
      </c>
      <c r="J859" s="4" t="n">
        <f aca="false">LEN(E859)-LEN(SUBSTITUTE(E859,",",""))+1</f>
        <v>4</v>
      </c>
      <c r="K859" s="3" t="str">
        <f aca="false">IFERROR(INDEX('Teacher Lookup'!$B$2:$B$200,MATCH(A859,'Teacher Lookup'!$A$2:$A$200,0)),"")</f>
        <v>TSANG Annisa</v>
      </c>
    </row>
    <row r="860" customFormat="false" ht="15" hidden="false" customHeight="false" outlineLevel="0" collapsed="false">
      <c r="A860" s="3" t="s">
        <v>203</v>
      </c>
      <c r="B860" s="4" t="s">
        <v>31</v>
      </c>
      <c r="C860" s="4" t="n">
        <v>7</v>
      </c>
      <c r="D860" s="4" t="s">
        <v>127</v>
      </c>
      <c r="E860" s="3" t="s">
        <v>144</v>
      </c>
      <c r="F860" s="4" t="str">
        <f aca="false">IF(I860&gt;J860,"Y","N")</f>
        <v>N</v>
      </c>
      <c r="G860" s="3" t="s">
        <v>15</v>
      </c>
      <c r="H860" s="3" t="s">
        <v>39</v>
      </c>
      <c r="I860" s="4" t="n">
        <v>4</v>
      </c>
      <c r="J860" s="4" t="n">
        <f aca="false">LEN(E860)-LEN(SUBSTITUTE(E860,",",""))+1</f>
        <v>4</v>
      </c>
      <c r="K860" s="3" t="str">
        <f aca="false">IFERROR(INDEX('Teacher Lookup'!$B$2:$B$200,MATCH(A860,'Teacher Lookup'!$A$2:$A$200,0)),"")</f>
        <v>TSANG Annisa</v>
      </c>
    </row>
    <row r="861" customFormat="false" ht="15" hidden="false" customHeight="false" outlineLevel="0" collapsed="false">
      <c r="A861" s="3" t="s">
        <v>203</v>
      </c>
      <c r="B861" s="4" t="s">
        <v>40</v>
      </c>
      <c r="C861" s="4" t="n">
        <v>1</v>
      </c>
      <c r="D861" s="4" t="s">
        <v>137</v>
      </c>
      <c r="E861" s="3" t="s">
        <v>205</v>
      </c>
      <c r="F861" s="4" t="str">
        <f aca="false">IF(I861&gt;J861,"Y","N")</f>
        <v>N</v>
      </c>
      <c r="G861" s="3" t="s">
        <v>15</v>
      </c>
      <c r="H861" s="3" t="s">
        <v>16</v>
      </c>
      <c r="I861" s="4" t="n">
        <v>4</v>
      </c>
      <c r="J861" s="4" t="n">
        <f aca="false">LEN(E861)-LEN(SUBSTITUTE(E861,",",""))+1</f>
        <v>4</v>
      </c>
      <c r="K861" s="3" t="str">
        <f aca="false">IFERROR(INDEX('Teacher Lookup'!$B$2:$B$200,MATCH(A861,'Teacher Lookup'!$A$2:$A$200,0)),"")</f>
        <v>TSANG Annisa</v>
      </c>
    </row>
    <row r="862" customFormat="false" ht="15" hidden="false" customHeight="false" outlineLevel="0" collapsed="false">
      <c r="A862" s="3" t="s">
        <v>203</v>
      </c>
      <c r="B862" s="4" t="s">
        <v>40</v>
      </c>
      <c r="C862" s="4" t="n">
        <v>1</v>
      </c>
      <c r="D862" s="4" t="s">
        <v>124</v>
      </c>
      <c r="E862" s="3" t="s">
        <v>205</v>
      </c>
      <c r="F862" s="4" t="str">
        <f aca="false">IF(I862&gt;J862,"Y","N")</f>
        <v>N</v>
      </c>
      <c r="G862" s="3" t="s">
        <v>15</v>
      </c>
      <c r="H862" s="3" t="s">
        <v>16</v>
      </c>
      <c r="I862" s="4" t="n">
        <v>4</v>
      </c>
      <c r="J862" s="4" t="n">
        <f aca="false">LEN(E862)-LEN(SUBSTITUTE(E862,",",""))+1</f>
        <v>4</v>
      </c>
      <c r="K862" s="3" t="str">
        <f aca="false">IFERROR(INDEX('Teacher Lookup'!$B$2:$B$200,MATCH(A862,'Teacher Lookup'!$A$2:$A$200,0)),"")</f>
        <v>TSANG Annisa</v>
      </c>
    </row>
    <row r="863" customFormat="false" ht="15" hidden="false" customHeight="false" outlineLevel="0" collapsed="false">
      <c r="A863" s="3" t="s">
        <v>203</v>
      </c>
      <c r="B863" s="4" t="s">
        <v>40</v>
      </c>
      <c r="C863" s="4" t="n">
        <v>1</v>
      </c>
      <c r="D863" s="4" t="s">
        <v>139</v>
      </c>
      <c r="E863" s="3" t="s">
        <v>205</v>
      </c>
      <c r="F863" s="4" t="str">
        <f aca="false">IF(I863&gt;J863,"Y","N")</f>
        <v>N</v>
      </c>
      <c r="G863" s="3" t="s">
        <v>15</v>
      </c>
      <c r="H863" s="3" t="s">
        <v>16</v>
      </c>
      <c r="I863" s="4" t="n">
        <v>4</v>
      </c>
      <c r="J863" s="4" t="n">
        <f aca="false">LEN(E863)-LEN(SUBSTITUTE(E863,",",""))+1</f>
        <v>4</v>
      </c>
      <c r="K863" s="3" t="str">
        <f aca="false">IFERROR(INDEX('Teacher Lookup'!$B$2:$B$200,MATCH(A863,'Teacher Lookup'!$A$2:$A$200,0)),"")</f>
        <v>TSANG Annisa</v>
      </c>
    </row>
    <row r="864" customFormat="false" ht="15" hidden="false" customHeight="false" outlineLevel="0" collapsed="false">
      <c r="A864" s="3" t="s">
        <v>203</v>
      </c>
      <c r="B864" s="4" t="s">
        <v>40</v>
      </c>
      <c r="C864" s="4" t="n">
        <v>3</v>
      </c>
      <c r="D864" s="4" t="s">
        <v>76</v>
      </c>
      <c r="E864" s="3" t="s">
        <v>206</v>
      </c>
      <c r="F864" s="4" t="str">
        <f aca="false">IF(I864&gt;J864,"Y","N")</f>
        <v>N</v>
      </c>
      <c r="G864" s="3" t="s">
        <v>15</v>
      </c>
      <c r="H864" s="3" t="s">
        <v>26</v>
      </c>
      <c r="I864" s="4" t="n">
        <v>4</v>
      </c>
      <c r="J864" s="4" t="n">
        <f aca="false">LEN(E864)-LEN(SUBSTITUTE(E864,",",""))+1</f>
        <v>4</v>
      </c>
      <c r="K864" s="3" t="str">
        <f aca="false">IFERROR(INDEX('Teacher Lookup'!$B$2:$B$200,MATCH(A864,'Teacher Lookup'!$A$2:$A$200,0)),"")</f>
        <v>TSANG Annisa</v>
      </c>
    </row>
    <row r="865" customFormat="false" ht="15" hidden="false" customHeight="false" outlineLevel="0" collapsed="false">
      <c r="A865" s="3" t="s">
        <v>203</v>
      </c>
      <c r="B865" s="4" t="s">
        <v>40</v>
      </c>
      <c r="C865" s="4" t="n">
        <v>3</v>
      </c>
      <c r="D865" s="4" t="s">
        <v>78</v>
      </c>
      <c r="E865" s="3" t="s">
        <v>206</v>
      </c>
      <c r="F865" s="4" t="str">
        <f aca="false">IF(I865&gt;J865,"Y","N")</f>
        <v>N</v>
      </c>
      <c r="G865" s="3" t="s">
        <v>15</v>
      </c>
      <c r="H865" s="3" t="s">
        <v>26</v>
      </c>
      <c r="I865" s="4" t="n">
        <v>4</v>
      </c>
      <c r="J865" s="4" t="n">
        <f aca="false">LEN(E865)-LEN(SUBSTITUTE(E865,",",""))+1</f>
        <v>4</v>
      </c>
      <c r="K865" s="3" t="str">
        <f aca="false">IFERROR(INDEX('Teacher Lookup'!$B$2:$B$200,MATCH(A865,'Teacher Lookup'!$A$2:$A$200,0)),"")</f>
        <v>TSANG Annisa</v>
      </c>
    </row>
    <row r="866" customFormat="false" ht="15" hidden="false" customHeight="false" outlineLevel="0" collapsed="false">
      <c r="A866" s="3" t="s">
        <v>203</v>
      </c>
      <c r="B866" s="4" t="s">
        <v>40</v>
      </c>
      <c r="C866" s="4" t="n">
        <v>3</v>
      </c>
      <c r="D866" s="4" t="s">
        <v>79</v>
      </c>
      <c r="E866" s="3" t="s">
        <v>206</v>
      </c>
      <c r="F866" s="4" t="str">
        <f aca="false">IF(I866&gt;J866,"Y","N")</f>
        <v>N</v>
      </c>
      <c r="G866" s="3" t="s">
        <v>15</v>
      </c>
      <c r="H866" s="3" t="s">
        <v>26</v>
      </c>
      <c r="I866" s="4" t="n">
        <v>4</v>
      </c>
      <c r="J866" s="4" t="n">
        <f aca="false">LEN(E866)-LEN(SUBSTITUTE(E866,",",""))+1</f>
        <v>4</v>
      </c>
      <c r="K866" s="3" t="str">
        <f aca="false">IFERROR(INDEX('Teacher Lookup'!$B$2:$B$200,MATCH(A866,'Teacher Lookup'!$A$2:$A$200,0)),"")</f>
        <v>TSANG Annisa</v>
      </c>
    </row>
    <row r="867" customFormat="false" ht="15" hidden="false" customHeight="false" outlineLevel="0" collapsed="false">
      <c r="A867" s="3" t="s">
        <v>203</v>
      </c>
      <c r="B867" s="4" t="s">
        <v>40</v>
      </c>
      <c r="C867" s="4" t="n">
        <v>4</v>
      </c>
      <c r="D867" s="4" t="s">
        <v>140</v>
      </c>
      <c r="E867" s="3" t="s">
        <v>207</v>
      </c>
      <c r="F867" s="4" t="str">
        <f aca="false">IF(I867&gt;J867,"Y","N")</f>
        <v>N</v>
      </c>
      <c r="G867" s="3" t="s">
        <v>15</v>
      </c>
      <c r="H867" s="3" t="s">
        <v>34</v>
      </c>
      <c r="I867" s="4" t="n">
        <v>4</v>
      </c>
      <c r="J867" s="4" t="n">
        <f aca="false">LEN(E867)-LEN(SUBSTITUTE(E867,",",""))+1</f>
        <v>4</v>
      </c>
      <c r="K867" s="3" t="str">
        <f aca="false">IFERROR(INDEX('Teacher Lookup'!$B$2:$B$200,MATCH(A867,'Teacher Lookup'!$A$2:$A$200,0)),"")</f>
        <v>TSANG Annisa</v>
      </c>
    </row>
    <row r="868" customFormat="false" ht="15" hidden="false" customHeight="false" outlineLevel="0" collapsed="false">
      <c r="A868" s="3" t="s">
        <v>203</v>
      </c>
      <c r="B868" s="4" t="s">
        <v>40</v>
      </c>
      <c r="C868" s="4" t="n">
        <v>4</v>
      </c>
      <c r="D868" s="4" t="s">
        <v>142</v>
      </c>
      <c r="E868" s="3" t="s">
        <v>207</v>
      </c>
      <c r="F868" s="4" t="str">
        <f aca="false">IF(I868&gt;J868,"Y","N")</f>
        <v>N</v>
      </c>
      <c r="G868" s="3" t="s">
        <v>15</v>
      </c>
      <c r="H868" s="3" t="s">
        <v>34</v>
      </c>
      <c r="I868" s="4" t="n">
        <v>4</v>
      </c>
      <c r="J868" s="4" t="n">
        <f aca="false">LEN(E868)-LEN(SUBSTITUTE(E868,",",""))+1</f>
        <v>4</v>
      </c>
      <c r="K868" s="3" t="str">
        <f aca="false">IFERROR(INDEX('Teacher Lookup'!$B$2:$B$200,MATCH(A868,'Teacher Lookup'!$A$2:$A$200,0)),"")</f>
        <v>TSANG Annisa</v>
      </c>
    </row>
    <row r="869" customFormat="false" ht="15" hidden="false" customHeight="false" outlineLevel="0" collapsed="false">
      <c r="A869" s="3" t="s">
        <v>203</v>
      </c>
      <c r="B869" s="4" t="s">
        <v>40</v>
      </c>
      <c r="C869" s="4" t="n">
        <v>4</v>
      </c>
      <c r="D869" s="4" t="s">
        <v>127</v>
      </c>
      <c r="E869" s="3" t="s">
        <v>207</v>
      </c>
      <c r="F869" s="4" t="str">
        <f aca="false">IF(I869&gt;J869,"Y","N")</f>
        <v>N</v>
      </c>
      <c r="G869" s="3" t="s">
        <v>15</v>
      </c>
      <c r="H869" s="3" t="s">
        <v>34</v>
      </c>
      <c r="I869" s="4" t="n">
        <v>4</v>
      </c>
      <c r="J869" s="4" t="n">
        <f aca="false">LEN(E869)-LEN(SUBSTITUTE(E869,",",""))+1</f>
        <v>4</v>
      </c>
      <c r="K869" s="3" t="str">
        <f aca="false">IFERROR(INDEX('Teacher Lookup'!$B$2:$B$200,MATCH(A869,'Teacher Lookup'!$A$2:$A$200,0)),"")</f>
        <v>TSANG Annisa</v>
      </c>
    </row>
    <row r="870" customFormat="false" ht="15" hidden="false" customHeight="false" outlineLevel="0" collapsed="false">
      <c r="A870" s="3" t="s">
        <v>203</v>
      </c>
      <c r="B870" s="4" t="s">
        <v>44</v>
      </c>
      <c r="C870" s="4" t="n">
        <v>2</v>
      </c>
      <c r="D870" s="4" t="s">
        <v>140</v>
      </c>
      <c r="E870" s="3" t="s">
        <v>144</v>
      </c>
      <c r="F870" s="4" t="str">
        <f aca="false">IF(I870&gt;J870,"Y","N")</f>
        <v>N</v>
      </c>
      <c r="G870" s="3" t="s">
        <v>15</v>
      </c>
      <c r="H870" s="3" t="s">
        <v>21</v>
      </c>
      <c r="I870" s="4" t="n">
        <v>4</v>
      </c>
      <c r="J870" s="4" t="n">
        <f aca="false">LEN(E870)-LEN(SUBSTITUTE(E870,",",""))+1</f>
        <v>4</v>
      </c>
      <c r="K870" s="3" t="str">
        <f aca="false">IFERROR(INDEX('Teacher Lookup'!$B$2:$B$200,MATCH(A870,'Teacher Lookup'!$A$2:$A$200,0)),"")</f>
        <v>TSANG Annisa</v>
      </c>
    </row>
    <row r="871" customFormat="false" ht="15" hidden="false" customHeight="false" outlineLevel="0" collapsed="false">
      <c r="A871" s="3" t="s">
        <v>203</v>
      </c>
      <c r="B871" s="4" t="s">
        <v>44</v>
      </c>
      <c r="C871" s="4" t="n">
        <v>2</v>
      </c>
      <c r="D871" s="4" t="s">
        <v>142</v>
      </c>
      <c r="E871" s="3" t="s">
        <v>144</v>
      </c>
      <c r="F871" s="4" t="str">
        <f aca="false">IF(I871&gt;J871,"Y","N")</f>
        <v>N</v>
      </c>
      <c r="G871" s="3" t="s">
        <v>15</v>
      </c>
      <c r="H871" s="3" t="s">
        <v>21</v>
      </c>
      <c r="I871" s="4" t="n">
        <v>4</v>
      </c>
      <c r="J871" s="4" t="n">
        <f aca="false">LEN(E871)-LEN(SUBSTITUTE(E871,",",""))+1</f>
        <v>4</v>
      </c>
      <c r="K871" s="3" t="str">
        <f aca="false">IFERROR(INDEX('Teacher Lookup'!$B$2:$B$200,MATCH(A871,'Teacher Lookup'!$A$2:$A$200,0)),"")</f>
        <v>TSANG Annisa</v>
      </c>
    </row>
    <row r="872" customFormat="false" ht="15" hidden="false" customHeight="false" outlineLevel="0" collapsed="false">
      <c r="A872" s="3" t="s">
        <v>203</v>
      </c>
      <c r="B872" s="4" t="s">
        <v>44</v>
      </c>
      <c r="C872" s="4" t="n">
        <v>2</v>
      </c>
      <c r="D872" s="4" t="s">
        <v>127</v>
      </c>
      <c r="E872" s="3" t="s">
        <v>144</v>
      </c>
      <c r="F872" s="4" t="str">
        <f aca="false">IF(I872&gt;J872,"Y","N")</f>
        <v>N</v>
      </c>
      <c r="G872" s="3" t="s">
        <v>15</v>
      </c>
      <c r="H872" s="3" t="s">
        <v>21</v>
      </c>
      <c r="I872" s="4" t="n">
        <v>4</v>
      </c>
      <c r="J872" s="4" t="n">
        <f aca="false">LEN(E872)-LEN(SUBSTITUTE(E872,",",""))+1</f>
        <v>4</v>
      </c>
      <c r="K872" s="3" t="str">
        <f aca="false">IFERROR(INDEX('Teacher Lookup'!$B$2:$B$200,MATCH(A872,'Teacher Lookup'!$A$2:$A$200,0)),"")</f>
        <v>TSANG Annisa</v>
      </c>
    </row>
    <row r="873" customFormat="false" ht="15" hidden="false" customHeight="false" outlineLevel="0" collapsed="false">
      <c r="A873" s="3" t="s">
        <v>203</v>
      </c>
      <c r="B873" s="4" t="s">
        <v>44</v>
      </c>
      <c r="C873" s="4" t="n">
        <v>3</v>
      </c>
      <c r="D873" s="4" t="s">
        <v>137</v>
      </c>
      <c r="E873" s="3" t="s">
        <v>208</v>
      </c>
      <c r="F873" s="4" t="str">
        <f aca="false">IF(I873&gt;J873,"Y","N")</f>
        <v>N</v>
      </c>
      <c r="G873" s="3" t="s">
        <v>15</v>
      </c>
      <c r="H873" s="3" t="s">
        <v>26</v>
      </c>
      <c r="I873" s="4" t="n">
        <v>4</v>
      </c>
      <c r="J873" s="4" t="n">
        <f aca="false">LEN(E873)-LEN(SUBSTITUTE(E873,",",""))+1</f>
        <v>4</v>
      </c>
      <c r="K873" s="3" t="str">
        <f aca="false">IFERROR(INDEX('Teacher Lookup'!$B$2:$B$200,MATCH(A873,'Teacher Lookup'!$A$2:$A$200,0)),"")</f>
        <v>TSANG Annisa</v>
      </c>
    </row>
    <row r="874" customFormat="false" ht="15" hidden="false" customHeight="false" outlineLevel="0" collapsed="false">
      <c r="A874" s="3" t="s">
        <v>203</v>
      </c>
      <c r="B874" s="4" t="s">
        <v>44</v>
      </c>
      <c r="C874" s="4" t="n">
        <v>3</v>
      </c>
      <c r="D874" s="4" t="s">
        <v>124</v>
      </c>
      <c r="E874" s="3" t="s">
        <v>208</v>
      </c>
      <c r="F874" s="4" t="str">
        <f aca="false">IF(I874&gt;J874,"Y","N")</f>
        <v>N</v>
      </c>
      <c r="G874" s="3" t="s">
        <v>15</v>
      </c>
      <c r="H874" s="3" t="s">
        <v>26</v>
      </c>
      <c r="I874" s="4" t="n">
        <v>4</v>
      </c>
      <c r="J874" s="4" t="n">
        <f aca="false">LEN(E874)-LEN(SUBSTITUTE(E874,",",""))+1</f>
        <v>4</v>
      </c>
      <c r="K874" s="3" t="str">
        <f aca="false">IFERROR(INDEX('Teacher Lookup'!$B$2:$B$200,MATCH(A874,'Teacher Lookup'!$A$2:$A$200,0)),"")</f>
        <v>TSANG Annisa</v>
      </c>
    </row>
    <row r="875" customFormat="false" ht="15" hidden="false" customHeight="false" outlineLevel="0" collapsed="false">
      <c r="A875" s="3" t="s">
        <v>203</v>
      </c>
      <c r="B875" s="4" t="s">
        <v>44</v>
      </c>
      <c r="C875" s="4" t="n">
        <v>3</v>
      </c>
      <c r="D875" s="4" t="s">
        <v>139</v>
      </c>
      <c r="E875" s="3" t="s">
        <v>208</v>
      </c>
      <c r="F875" s="4" t="str">
        <f aca="false">IF(I875&gt;J875,"Y","N")</f>
        <v>N</v>
      </c>
      <c r="G875" s="3" t="s">
        <v>15</v>
      </c>
      <c r="H875" s="3" t="s">
        <v>26</v>
      </c>
      <c r="I875" s="4" t="n">
        <v>4</v>
      </c>
      <c r="J875" s="4" t="n">
        <f aca="false">LEN(E875)-LEN(SUBSTITUTE(E875,",",""))+1</f>
        <v>4</v>
      </c>
      <c r="K875" s="3" t="str">
        <f aca="false">IFERROR(INDEX('Teacher Lookup'!$B$2:$B$200,MATCH(A875,'Teacher Lookup'!$A$2:$A$200,0)),"")</f>
        <v>TSANG Annisa</v>
      </c>
    </row>
    <row r="876" customFormat="false" ht="15" hidden="false" customHeight="false" outlineLevel="0" collapsed="false">
      <c r="A876" s="3" t="s">
        <v>203</v>
      </c>
      <c r="B876" s="4" t="s">
        <v>44</v>
      </c>
      <c r="C876" s="4" t="n">
        <v>5</v>
      </c>
      <c r="D876" s="4" t="s">
        <v>137</v>
      </c>
      <c r="E876" s="3" t="s">
        <v>185</v>
      </c>
      <c r="F876" s="4" t="str">
        <f aca="false">IF(I876&gt;J876,"Y","N")</f>
        <v>Y</v>
      </c>
      <c r="G876" s="3" t="s">
        <v>36</v>
      </c>
      <c r="H876" s="3" t="s">
        <v>37</v>
      </c>
      <c r="I876" s="4" t="n">
        <v>21</v>
      </c>
      <c r="J876" s="4" t="n">
        <f aca="false">LEN(E876)-LEN(SUBSTITUTE(E876,",",""))+1</f>
        <v>7</v>
      </c>
      <c r="K876" s="3" t="str">
        <f aca="false">IFERROR(INDEX('Teacher Lookup'!$B$2:$B$200,MATCH(A876,'Teacher Lookup'!$A$2:$A$200,0)),"")</f>
        <v>TSANG Annisa</v>
      </c>
    </row>
    <row r="877" customFormat="false" ht="15" hidden="false" customHeight="false" outlineLevel="0" collapsed="false">
      <c r="A877" s="3" t="s">
        <v>203</v>
      </c>
      <c r="B877" s="4" t="s">
        <v>44</v>
      </c>
      <c r="C877" s="4" t="n">
        <v>5</v>
      </c>
      <c r="D877" s="4" t="s">
        <v>124</v>
      </c>
      <c r="E877" s="3" t="s">
        <v>185</v>
      </c>
      <c r="F877" s="4" t="str">
        <f aca="false">IF(I877&gt;J877,"Y","N")</f>
        <v>Y</v>
      </c>
      <c r="G877" s="3" t="s">
        <v>36</v>
      </c>
      <c r="H877" s="3" t="s">
        <v>37</v>
      </c>
      <c r="I877" s="4" t="n">
        <v>21</v>
      </c>
      <c r="J877" s="4" t="n">
        <f aca="false">LEN(E877)-LEN(SUBSTITUTE(E877,",",""))+1</f>
        <v>7</v>
      </c>
      <c r="K877" s="3" t="str">
        <f aca="false">IFERROR(INDEX('Teacher Lookup'!$B$2:$B$200,MATCH(A877,'Teacher Lookup'!$A$2:$A$200,0)),"")</f>
        <v>TSANG Annisa</v>
      </c>
    </row>
    <row r="878" customFormat="false" ht="15" hidden="false" customHeight="false" outlineLevel="0" collapsed="false">
      <c r="A878" s="3" t="s">
        <v>203</v>
      </c>
      <c r="B878" s="4" t="s">
        <v>44</v>
      </c>
      <c r="C878" s="4" t="n">
        <v>5</v>
      </c>
      <c r="D878" s="4" t="s">
        <v>139</v>
      </c>
      <c r="E878" s="3" t="s">
        <v>185</v>
      </c>
      <c r="F878" s="4" t="str">
        <f aca="false">IF(I878&gt;J878,"Y","N")</f>
        <v>Y</v>
      </c>
      <c r="G878" s="3" t="s">
        <v>36</v>
      </c>
      <c r="H878" s="3" t="s">
        <v>37</v>
      </c>
      <c r="I878" s="4" t="n">
        <v>21</v>
      </c>
      <c r="J878" s="4" t="n">
        <f aca="false">LEN(E878)-LEN(SUBSTITUTE(E878,",",""))+1</f>
        <v>7</v>
      </c>
      <c r="K878" s="3" t="str">
        <f aca="false">IFERROR(INDEX('Teacher Lookup'!$B$2:$B$200,MATCH(A878,'Teacher Lookup'!$A$2:$A$200,0)),"")</f>
        <v>TSANG Annisa</v>
      </c>
    </row>
    <row r="879" customFormat="false" ht="15" hidden="false" customHeight="false" outlineLevel="0" collapsed="false">
      <c r="A879" s="3" t="s">
        <v>203</v>
      </c>
      <c r="B879" s="4" t="s">
        <v>44</v>
      </c>
      <c r="C879" s="4" t="n">
        <v>5</v>
      </c>
      <c r="D879" s="4" t="s">
        <v>140</v>
      </c>
      <c r="E879" s="3" t="s">
        <v>185</v>
      </c>
      <c r="F879" s="4" t="str">
        <f aca="false">IF(I879&gt;J879,"Y","N")</f>
        <v>Y</v>
      </c>
      <c r="G879" s="3" t="s">
        <v>36</v>
      </c>
      <c r="H879" s="3" t="s">
        <v>37</v>
      </c>
      <c r="I879" s="4" t="n">
        <v>21</v>
      </c>
      <c r="J879" s="4" t="n">
        <f aca="false">LEN(E879)-LEN(SUBSTITUTE(E879,",",""))+1</f>
        <v>7</v>
      </c>
      <c r="K879" s="3" t="str">
        <f aca="false">IFERROR(INDEX('Teacher Lookup'!$B$2:$B$200,MATCH(A879,'Teacher Lookup'!$A$2:$A$200,0)),"")</f>
        <v>TSANG Annisa</v>
      </c>
    </row>
    <row r="880" customFormat="false" ht="15" hidden="false" customHeight="false" outlineLevel="0" collapsed="false">
      <c r="A880" s="3" t="s">
        <v>203</v>
      </c>
      <c r="B880" s="4" t="s">
        <v>44</v>
      </c>
      <c r="C880" s="4" t="n">
        <v>5</v>
      </c>
      <c r="D880" s="4" t="s">
        <v>142</v>
      </c>
      <c r="E880" s="3" t="s">
        <v>185</v>
      </c>
      <c r="F880" s="4" t="str">
        <f aca="false">IF(I880&gt;J880,"Y","N")</f>
        <v>Y</v>
      </c>
      <c r="G880" s="3" t="s">
        <v>36</v>
      </c>
      <c r="H880" s="3" t="s">
        <v>37</v>
      </c>
      <c r="I880" s="4" t="n">
        <v>21</v>
      </c>
      <c r="J880" s="4" t="n">
        <f aca="false">LEN(E880)-LEN(SUBSTITUTE(E880,",",""))+1</f>
        <v>7</v>
      </c>
      <c r="K880" s="3" t="str">
        <f aca="false">IFERROR(INDEX('Teacher Lookup'!$B$2:$B$200,MATCH(A880,'Teacher Lookup'!$A$2:$A$200,0)),"")</f>
        <v>TSANG Annisa</v>
      </c>
    </row>
    <row r="881" customFormat="false" ht="15" hidden="false" customHeight="false" outlineLevel="0" collapsed="false">
      <c r="A881" s="3" t="s">
        <v>203</v>
      </c>
      <c r="B881" s="4" t="s">
        <v>44</v>
      </c>
      <c r="C881" s="4" t="n">
        <v>5</v>
      </c>
      <c r="D881" s="4" t="s">
        <v>127</v>
      </c>
      <c r="E881" s="3" t="s">
        <v>185</v>
      </c>
      <c r="F881" s="4" t="str">
        <f aca="false">IF(I881&gt;J881,"Y","N")</f>
        <v>Y</v>
      </c>
      <c r="G881" s="3" t="s">
        <v>36</v>
      </c>
      <c r="H881" s="3" t="s">
        <v>37</v>
      </c>
      <c r="I881" s="4" t="n">
        <v>21</v>
      </c>
      <c r="J881" s="4" t="n">
        <f aca="false">LEN(E881)-LEN(SUBSTITUTE(E881,",",""))+1</f>
        <v>7</v>
      </c>
      <c r="K881" s="3" t="str">
        <f aca="false">IFERROR(INDEX('Teacher Lookup'!$B$2:$B$200,MATCH(A881,'Teacher Lookup'!$A$2:$A$200,0)),"")</f>
        <v>TSANG Annisa</v>
      </c>
    </row>
    <row r="882" customFormat="false" ht="15" hidden="false" customHeight="false" outlineLevel="0" collapsed="false">
      <c r="A882" s="3" t="s">
        <v>203</v>
      </c>
      <c r="B882" s="4" t="s">
        <v>44</v>
      </c>
      <c r="C882" s="4" t="n">
        <v>6</v>
      </c>
      <c r="D882" s="4" t="s">
        <v>76</v>
      </c>
      <c r="E882" s="3" t="s">
        <v>209</v>
      </c>
      <c r="F882" s="4" t="str">
        <f aca="false">IF(I882&gt;J882,"Y","N")</f>
        <v>N</v>
      </c>
      <c r="G882" s="3" t="s">
        <v>15</v>
      </c>
      <c r="H882" s="3" t="s">
        <v>42</v>
      </c>
      <c r="I882" s="4" t="n">
        <v>4</v>
      </c>
      <c r="J882" s="4" t="n">
        <f aca="false">LEN(E882)-LEN(SUBSTITUTE(E882,",",""))+1</f>
        <v>4</v>
      </c>
      <c r="K882" s="3" t="str">
        <f aca="false">IFERROR(INDEX('Teacher Lookup'!$B$2:$B$200,MATCH(A882,'Teacher Lookup'!$A$2:$A$200,0)),"")</f>
        <v>TSANG Annisa</v>
      </c>
    </row>
    <row r="883" customFormat="false" ht="15" hidden="false" customHeight="false" outlineLevel="0" collapsed="false">
      <c r="A883" s="3" t="s">
        <v>203</v>
      </c>
      <c r="B883" s="4" t="s">
        <v>44</v>
      </c>
      <c r="C883" s="4" t="n">
        <v>6</v>
      </c>
      <c r="D883" s="4" t="s">
        <v>78</v>
      </c>
      <c r="E883" s="3" t="s">
        <v>209</v>
      </c>
      <c r="F883" s="4" t="str">
        <f aca="false">IF(I883&gt;J883,"Y","N")</f>
        <v>N</v>
      </c>
      <c r="G883" s="3" t="s">
        <v>15</v>
      </c>
      <c r="H883" s="3" t="s">
        <v>42</v>
      </c>
      <c r="I883" s="4" t="n">
        <v>4</v>
      </c>
      <c r="J883" s="4" t="n">
        <f aca="false">LEN(E883)-LEN(SUBSTITUTE(E883,",",""))+1</f>
        <v>4</v>
      </c>
      <c r="K883" s="3" t="str">
        <f aca="false">IFERROR(INDEX('Teacher Lookup'!$B$2:$B$200,MATCH(A883,'Teacher Lookup'!$A$2:$A$200,0)),"")</f>
        <v>TSANG Annisa</v>
      </c>
    </row>
    <row r="884" customFormat="false" ht="15" hidden="false" customHeight="false" outlineLevel="0" collapsed="false">
      <c r="A884" s="3" t="s">
        <v>203</v>
      </c>
      <c r="B884" s="4" t="s">
        <v>44</v>
      </c>
      <c r="C884" s="4" t="n">
        <v>6</v>
      </c>
      <c r="D884" s="4" t="s">
        <v>79</v>
      </c>
      <c r="E884" s="3" t="s">
        <v>209</v>
      </c>
      <c r="F884" s="4" t="str">
        <f aca="false">IF(I884&gt;J884,"Y","N")</f>
        <v>N</v>
      </c>
      <c r="G884" s="3" t="s">
        <v>15</v>
      </c>
      <c r="H884" s="3" t="s">
        <v>42</v>
      </c>
      <c r="I884" s="4" t="n">
        <v>4</v>
      </c>
      <c r="J884" s="4" t="n">
        <f aca="false">LEN(E884)-LEN(SUBSTITUTE(E884,",",""))+1</f>
        <v>4</v>
      </c>
      <c r="K884" s="3" t="str">
        <f aca="false">IFERROR(INDEX('Teacher Lookup'!$B$2:$B$200,MATCH(A884,'Teacher Lookup'!$A$2:$A$200,0)),"")</f>
        <v>TSANG Annisa</v>
      </c>
    </row>
    <row r="885" customFormat="false" ht="15" hidden="false" customHeight="false" outlineLevel="0" collapsed="false">
      <c r="A885" s="3" t="s">
        <v>203</v>
      </c>
      <c r="B885" s="4" t="s">
        <v>47</v>
      </c>
      <c r="C885" s="4" t="n">
        <v>1</v>
      </c>
      <c r="D885" s="4" t="s">
        <v>76</v>
      </c>
      <c r="E885" s="3" t="s">
        <v>88</v>
      </c>
      <c r="F885" s="4" t="str">
        <f aca="false">IF(I885&gt;J885,"Y","N")</f>
        <v>N</v>
      </c>
      <c r="G885" s="3" t="s">
        <v>15</v>
      </c>
      <c r="H885" s="3" t="s">
        <v>16</v>
      </c>
      <c r="I885" s="4" t="n">
        <v>4</v>
      </c>
      <c r="J885" s="4" t="n">
        <f aca="false">LEN(E885)-LEN(SUBSTITUTE(E885,",",""))+1</f>
        <v>4</v>
      </c>
      <c r="K885" s="3" t="str">
        <f aca="false">IFERROR(INDEX('Teacher Lookup'!$B$2:$B$200,MATCH(A885,'Teacher Lookup'!$A$2:$A$200,0)),"")</f>
        <v>TSANG Annisa</v>
      </c>
    </row>
    <row r="886" customFormat="false" ht="15" hidden="false" customHeight="false" outlineLevel="0" collapsed="false">
      <c r="A886" s="3" t="s">
        <v>203</v>
      </c>
      <c r="B886" s="4" t="s">
        <v>47</v>
      </c>
      <c r="C886" s="4" t="n">
        <v>1</v>
      </c>
      <c r="D886" s="4" t="s">
        <v>78</v>
      </c>
      <c r="E886" s="3" t="s">
        <v>88</v>
      </c>
      <c r="F886" s="4" t="str">
        <f aca="false">IF(I886&gt;J886,"Y","N")</f>
        <v>N</v>
      </c>
      <c r="G886" s="3" t="s">
        <v>15</v>
      </c>
      <c r="H886" s="3" t="s">
        <v>16</v>
      </c>
      <c r="I886" s="4" t="n">
        <v>4</v>
      </c>
      <c r="J886" s="4" t="n">
        <f aca="false">LEN(E886)-LEN(SUBSTITUTE(E886,",",""))+1</f>
        <v>4</v>
      </c>
      <c r="K886" s="3" t="str">
        <f aca="false">IFERROR(INDEX('Teacher Lookup'!$B$2:$B$200,MATCH(A886,'Teacher Lookup'!$A$2:$A$200,0)),"")</f>
        <v>TSANG Annisa</v>
      </c>
    </row>
    <row r="887" customFormat="false" ht="15" hidden="false" customHeight="false" outlineLevel="0" collapsed="false">
      <c r="A887" s="3" t="s">
        <v>203</v>
      </c>
      <c r="B887" s="4" t="s">
        <v>47</v>
      </c>
      <c r="C887" s="4" t="n">
        <v>1</v>
      </c>
      <c r="D887" s="4" t="s">
        <v>79</v>
      </c>
      <c r="E887" s="3" t="s">
        <v>88</v>
      </c>
      <c r="F887" s="4" t="str">
        <f aca="false">IF(I887&gt;J887,"Y","N")</f>
        <v>N</v>
      </c>
      <c r="G887" s="3" t="s">
        <v>15</v>
      </c>
      <c r="H887" s="3" t="s">
        <v>16</v>
      </c>
      <c r="I887" s="4" t="n">
        <v>4</v>
      </c>
      <c r="J887" s="4" t="n">
        <f aca="false">LEN(E887)-LEN(SUBSTITUTE(E887,",",""))+1</f>
        <v>4</v>
      </c>
      <c r="K887" s="3" t="str">
        <f aca="false">IFERROR(INDEX('Teacher Lookup'!$B$2:$B$200,MATCH(A887,'Teacher Lookup'!$A$2:$A$200,0)),"")</f>
        <v>TSANG Annisa</v>
      </c>
    </row>
    <row r="888" customFormat="false" ht="15" hidden="false" customHeight="false" outlineLevel="0" collapsed="false">
      <c r="A888" s="3" t="s">
        <v>203</v>
      </c>
      <c r="B888" s="4" t="s">
        <v>47</v>
      </c>
      <c r="C888" s="4" t="n">
        <v>5</v>
      </c>
      <c r="D888" s="4" t="s">
        <v>140</v>
      </c>
      <c r="E888" s="3" t="s">
        <v>210</v>
      </c>
      <c r="F888" s="4" t="str">
        <f aca="false">IF(I888&gt;J888,"Y","N")</f>
        <v>N</v>
      </c>
      <c r="G888" s="3" t="s">
        <v>15</v>
      </c>
      <c r="H888" s="3" t="s">
        <v>37</v>
      </c>
      <c r="I888" s="4" t="n">
        <v>4</v>
      </c>
      <c r="J888" s="4" t="n">
        <f aca="false">LEN(E888)-LEN(SUBSTITUTE(E888,",",""))+1</f>
        <v>4</v>
      </c>
      <c r="K888" s="3" t="str">
        <f aca="false">IFERROR(INDEX('Teacher Lookup'!$B$2:$B$200,MATCH(A888,'Teacher Lookup'!$A$2:$A$200,0)),"")</f>
        <v>TSANG Annisa</v>
      </c>
    </row>
    <row r="889" customFormat="false" ht="15" hidden="false" customHeight="false" outlineLevel="0" collapsed="false">
      <c r="A889" s="3" t="s">
        <v>203</v>
      </c>
      <c r="B889" s="4" t="s">
        <v>47</v>
      </c>
      <c r="C889" s="4" t="n">
        <v>5</v>
      </c>
      <c r="D889" s="4" t="s">
        <v>142</v>
      </c>
      <c r="E889" s="3" t="s">
        <v>210</v>
      </c>
      <c r="F889" s="4" t="str">
        <f aca="false">IF(I889&gt;J889,"Y","N")</f>
        <v>N</v>
      </c>
      <c r="G889" s="3" t="s">
        <v>15</v>
      </c>
      <c r="H889" s="3" t="s">
        <v>37</v>
      </c>
      <c r="I889" s="4" t="n">
        <v>4</v>
      </c>
      <c r="J889" s="4" t="n">
        <f aca="false">LEN(E889)-LEN(SUBSTITUTE(E889,",",""))+1</f>
        <v>4</v>
      </c>
      <c r="K889" s="3" t="str">
        <f aca="false">IFERROR(INDEX('Teacher Lookup'!$B$2:$B$200,MATCH(A889,'Teacher Lookup'!$A$2:$A$200,0)),"")</f>
        <v>TSANG Annisa</v>
      </c>
    </row>
    <row r="890" customFormat="false" ht="15" hidden="false" customHeight="false" outlineLevel="0" collapsed="false">
      <c r="A890" s="3" t="s">
        <v>203</v>
      </c>
      <c r="B890" s="4" t="s">
        <v>47</v>
      </c>
      <c r="C890" s="4" t="n">
        <v>5</v>
      </c>
      <c r="D890" s="4" t="s">
        <v>127</v>
      </c>
      <c r="E890" s="3" t="s">
        <v>210</v>
      </c>
      <c r="F890" s="4" t="str">
        <f aca="false">IF(I890&gt;J890,"Y","N")</f>
        <v>N</v>
      </c>
      <c r="G890" s="3" t="s">
        <v>15</v>
      </c>
      <c r="H890" s="3" t="s">
        <v>37</v>
      </c>
      <c r="I890" s="4" t="n">
        <v>4</v>
      </c>
      <c r="J890" s="4" t="n">
        <f aca="false">LEN(E890)-LEN(SUBSTITUTE(E890,",",""))+1</f>
        <v>4</v>
      </c>
      <c r="K890" s="3" t="str">
        <f aca="false">IFERROR(INDEX('Teacher Lookup'!$B$2:$B$200,MATCH(A890,'Teacher Lookup'!$A$2:$A$200,0)),"")</f>
        <v>TSANG Annisa</v>
      </c>
    </row>
    <row r="891" customFormat="false" ht="15" hidden="false" customHeight="false" outlineLevel="0" collapsed="false">
      <c r="A891" s="3" t="s">
        <v>203</v>
      </c>
      <c r="B891" s="4" t="s">
        <v>47</v>
      </c>
      <c r="C891" s="4" t="n">
        <v>7</v>
      </c>
      <c r="D891" s="4" t="s">
        <v>137</v>
      </c>
      <c r="E891" s="3" t="s">
        <v>154</v>
      </c>
      <c r="F891" s="4" t="str">
        <f aca="false">IF(I891&gt;J891,"Y","N")</f>
        <v>N</v>
      </c>
      <c r="G891" s="3" t="s">
        <v>15</v>
      </c>
      <c r="H891" s="3" t="s">
        <v>39</v>
      </c>
      <c r="I891" s="4" t="n">
        <v>4</v>
      </c>
      <c r="J891" s="4" t="n">
        <f aca="false">LEN(E891)-LEN(SUBSTITUTE(E891,",",""))+1</f>
        <v>4</v>
      </c>
      <c r="K891" s="3" t="str">
        <f aca="false">IFERROR(INDEX('Teacher Lookup'!$B$2:$B$200,MATCH(A891,'Teacher Lookup'!$A$2:$A$200,0)),"")</f>
        <v>TSANG Annisa</v>
      </c>
    </row>
    <row r="892" customFormat="false" ht="15" hidden="false" customHeight="false" outlineLevel="0" collapsed="false">
      <c r="A892" s="3" t="s">
        <v>203</v>
      </c>
      <c r="B892" s="4" t="s">
        <v>47</v>
      </c>
      <c r="C892" s="4" t="n">
        <v>7</v>
      </c>
      <c r="D892" s="4" t="s">
        <v>124</v>
      </c>
      <c r="E892" s="3" t="s">
        <v>154</v>
      </c>
      <c r="F892" s="4" t="str">
        <f aca="false">IF(I892&gt;J892,"Y","N")</f>
        <v>N</v>
      </c>
      <c r="G892" s="3" t="s">
        <v>15</v>
      </c>
      <c r="H892" s="3" t="s">
        <v>39</v>
      </c>
      <c r="I892" s="4" t="n">
        <v>4</v>
      </c>
      <c r="J892" s="4" t="n">
        <f aca="false">LEN(E892)-LEN(SUBSTITUTE(E892,",",""))+1</f>
        <v>4</v>
      </c>
      <c r="K892" s="3" t="str">
        <f aca="false">IFERROR(INDEX('Teacher Lookup'!$B$2:$B$200,MATCH(A892,'Teacher Lookup'!$A$2:$A$200,0)),"")</f>
        <v>TSANG Annisa</v>
      </c>
    </row>
    <row r="893" customFormat="false" ht="15" hidden="false" customHeight="false" outlineLevel="0" collapsed="false">
      <c r="A893" s="3" t="s">
        <v>203</v>
      </c>
      <c r="B893" s="4" t="s">
        <v>47</v>
      </c>
      <c r="C893" s="4" t="n">
        <v>7</v>
      </c>
      <c r="D893" s="4" t="s">
        <v>139</v>
      </c>
      <c r="E893" s="3" t="s">
        <v>154</v>
      </c>
      <c r="F893" s="4" t="str">
        <f aca="false">IF(I893&gt;J893,"Y","N")</f>
        <v>N</v>
      </c>
      <c r="G893" s="3" t="s">
        <v>15</v>
      </c>
      <c r="H893" s="3" t="s">
        <v>39</v>
      </c>
      <c r="I893" s="4" t="n">
        <v>4</v>
      </c>
      <c r="J893" s="4" t="n">
        <f aca="false">LEN(E893)-LEN(SUBSTITUTE(E893,",",""))+1</f>
        <v>4</v>
      </c>
      <c r="K893" s="3" t="str">
        <f aca="false">IFERROR(INDEX('Teacher Lookup'!$B$2:$B$200,MATCH(A893,'Teacher Lookup'!$A$2:$A$200,0)),"")</f>
        <v>TSANG Annisa</v>
      </c>
    </row>
    <row r="894" customFormat="false" ht="15" hidden="false" customHeight="false" outlineLevel="0" collapsed="false">
      <c r="A894" s="3" t="s">
        <v>203</v>
      </c>
      <c r="B894" s="4" t="s">
        <v>50</v>
      </c>
      <c r="C894" s="4" t="n">
        <v>1</v>
      </c>
      <c r="D894" s="4" t="s">
        <v>140</v>
      </c>
      <c r="E894" s="3" t="s">
        <v>211</v>
      </c>
      <c r="F894" s="4" t="str">
        <f aca="false">IF(I894&gt;J894,"Y","N")</f>
        <v>N</v>
      </c>
      <c r="G894" s="3" t="s">
        <v>15</v>
      </c>
      <c r="H894" s="3" t="s">
        <v>16</v>
      </c>
      <c r="I894" s="4" t="n">
        <v>4</v>
      </c>
      <c r="J894" s="4" t="n">
        <f aca="false">LEN(E894)-LEN(SUBSTITUTE(E894,",",""))+1</f>
        <v>4</v>
      </c>
      <c r="K894" s="3" t="str">
        <f aca="false">IFERROR(INDEX('Teacher Lookup'!$B$2:$B$200,MATCH(A894,'Teacher Lookup'!$A$2:$A$200,0)),"")</f>
        <v>TSANG Annisa</v>
      </c>
    </row>
    <row r="895" customFormat="false" ht="15" hidden="false" customHeight="false" outlineLevel="0" collapsed="false">
      <c r="A895" s="3" t="s">
        <v>203</v>
      </c>
      <c r="B895" s="4" t="s">
        <v>50</v>
      </c>
      <c r="C895" s="4" t="n">
        <v>1</v>
      </c>
      <c r="D895" s="4" t="s">
        <v>142</v>
      </c>
      <c r="E895" s="3" t="s">
        <v>211</v>
      </c>
      <c r="F895" s="4" t="str">
        <f aca="false">IF(I895&gt;J895,"Y","N")</f>
        <v>N</v>
      </c>
      <c r="G895" s="3" t="s">
        <v>15</v>
      </c>
      <c r="H895" s="3" t="s">
        <v>16</v>
      </c>
      <c r="I895" s="4" t="n">
        <v>4</v>
      </c>
      <c r="J895" s="4" t="n">
        <f aca="false">LEN(E895)-LEN(SUBSTITUTE(E895,",",""))+1</f>
        <v>4</v>
      </c>
      <c r="K895" s="3" t="str">
        <f aca="false">IFERROR(INDEX('Teacher Lookup'!$B$2:$B$200,MATCH(A895,'Teacher Lookup'!$A$2:$A$200,0)),"")</f>
        <v>TSANG Annisa</v>
      </c>
    </row>
    <row r="896" customFormat="false" ht="15" hidden="false" customHeight="false" outlineLevel="0" collapsed="false">
      <c r="A896" s="3" t="s">
        <v>203</v>
      </c>
      <c r="B896" s="4" t="s">
        <v>50</v>
      </c>
      <c r="C896" s="4" t="n">
        <v>1</v>
      </c>
      <c r="D896" s="4" t="s">
        <v>127</v>
      </c>
      <c r="E896" s="3" t="s">
        <v>211</v>
      </c>
      <c r="F896" s="4" t="str">
        <f aca="false">IF(I896&gt;J896,"Y","N")</f>
        <v>N</v>
      </c>
      <c r="G896" s="3" t="s">
        <v>15</v>
      </c>
      <c r="H896" s="3" t="s">
        <v>16</v>
      </c>
      <c r="I896" s="4" t="n">
        <v>4</v>
      </c>
      <c r="J896" s="4" t="n">
        <f aca="false">LEN(E896)-LEN(SUBSTITUTE(E896,",",""))+1</f>
        <v>4</v>
      </c>
      <c r="K896" s="3" t="str">
        <f aca="false">IFERROR(INDEX('Teacher Lookup'!$B$2:$B$200,MATCH(A896,'Teacher Lookup'!$A$2:$A$200,0)),"")</f>
        <v>TSANG Annisa</v>
      </c>
    </row>
    <row r="897" customFormat="false" ht="15" hidden="false" customHeight="false" outlineLevel="0" collapsed="false">
      <c r="A897" s="3" t="s">
        <v>203</v>
      </c>
      <c r="B897" s="4" t="s">
        <v>50</v>
      </c>
      <c r="C897" s="4" t="n">
        <v>3</v>
      </c>
      <c r="D897" s="4" t="s">
        <v>137</v>
      </c>
      <c r="E897" s="3" t="s">
        <v>212</v>
      </c>
      <c r="F897" s="4" t="str">
        <f aca="false">IF(I897&gt;J897,"Y","N")</f>
        <v>N</v>
      </c>
      <c r="G897" s="3" t="s">
        <v>15</v>
      </c>
      <c r="H897" s="3" t="s">
        <v>26</v>
      </c>
      <c r="I897" s="4" t="n">
        <v>4</v>
      </c>
      <c r="J897" s="4" t="n">
        <f aca="false">LEN(E897)-LEN(SUBSTITUTE(E897,",",""))+1</f>
        <v>4</v>
      </c>
      <c r="K897" s="3" t="str">
        <f aca="false">IFERROR(INDEX('Teacher Lookup'!$B$2:$B$200,MATCH(A897,'Teacher Lookup'!$A$2:$A$200,0)),"")</f>
        <v>TSANG Annisa</v>
      </c>
    </row>
    <row r="898" customFormat="false" ht="15" hidden="false" customHeight="false" outlineLevel="0" collapsed="false">
      <c r="A898" s="3" t="s">
        <v>203</v>
      </c>
      <c r="B898" s="4" t="s">
        <v>50</v>
      </c>
      <c r="C898" s="4" t="n">
        <v>3</v>
      </c>
      <c r="D898" s="4" t="s">
        <v>124</v>
      </c>
      <c r="E898" s="3" t="s">
        <v>212</v>
      </c>
      <c r="F898" s="4" t="str">
        <f aca="false">IF(I898&gt;J898,"Y","N")</f>
        <v>N</v>
      </c>
      <c r="G898" s="3" t="s">
        <v>15</v>
      </c>
      <c r="H898" s="3" t="s">
        <v>26</v>
      </c>
      <c r="I898" s="4" t="n">
        <v>4</v>
      </c>
      <c r="J898" s="4" t="n">
        <f aca="false">LEN(E898)-LEN(SUBSTITUTE(E898,",",""))+1</f>
        <v>4</v>
      </c>
      <c r="K898" s="3" t="str">
        <f aca="false">IFERROR(INDEX('Teacher Lookup'!$B$2:$B$200,MATCH(A898,'Teacher Lookup'!$A$2:$A$200,0)),"")</f>
        <v>TSANG Annisa</v>
      </c>
    </row>
    <row r="899" customFormat="false" ht="15" hidden="false" customHeight="false" outlineLevel="0" collapsed="false">
      <c r="A899" s="3" t="s">
        <v>203</v>
      </c>
      <c r="B899" s="4" t="s">
        <v>50</v>
      </c>
      <c r="C899" s="4" t="n">
        <v>3</v>
      </c>
      <c r="D899" s="4" t="s">
        <v>139</v>
      </c>
      <c r="E899" s="3" t="s">
        <v>212</v>
      </c>
      <c r="F899" s="4" t="str">
        <f aca="false">IF(I899&gt;J899,"Y","N")</f>
        <v>N</v>
      </c>
      <c r="G899" s="3" t="s">
        <v>15</v>
      </c>
      <c r="H899" s="3" t="s">
        <v>26</v>
      </c>
      <c r="I899" s="4" t="n">
        <v>4</v>
      </c>
      <c r="J899" s="4" t="n">
        <f aca="false">LEN(E899)-LEN(SUBSTITUTE(E899,",",""))+1</f>
        <v>4</v>
      </c>
      <c r="K899" s="3" t="str">
        <f aca="false">IFERROR(INDEX('Teacher Lookup'!$B$2:$B$200,MATCH(A899,'Teacher Lookup'!$A$2:$A$200,0)),"")</f>
        <v>TSANG Annisa</v>
      </c>
    </row>
    <row r="900" customFormat="false" ht="15" hidden="false" customHeight="false" outlineLevel="0" collapsed="false">
      <c r="A900" s="3" t="s">
        <v>203</v>
      </c>
      <c r="B900" s="4" t="s">
        <v>50</v>
      </c>
      <c r="C900" s="4" t="n">
        <v>6</v>
      </c>
      <c r="D900" s="4" t="s">
        <v>76</v>
      </c>
      <c r="E900" s="3" t="s">
        <v>165</v>
      </c>
      <c r="F900" s="4" t="str">
        <f aca="false">IF(I900&gt;J900,"Y","N")</f>
        <v>N</v>
      </c>
      <c r="G900" s="3" t="s">
        <v>15</v>
      </c>
      <c r="H900" s="3" t="s">
        <v>42</v>
      </c>
      <c r="I900" s="4" t="n">
        <v>4</v>
      </c>
      <c r="J900" s="4" t="n">
        <f aca="false">LEN(E900)-LEN(SUBSTITUTE(E900,",",""))+1</f>
        <v>4</v>
      </c>
      <c r="K900" s="3" t="str">
        <f aca="false">IFERROR(INDEX('Teacher Lookup'!$B$2:$B$200,MATCH(A900,'Teacher Lookup'!$A$2:$A$200,0)),"")</f>
        <v>TSANG Annisa</v>
      </c>
    </row>
    <row r="901" customFormat="false" ht="15" hidden="false" customHeight="false" outlineLevel="0" collapsed="false">
      <c r="A901" s="3" t="s">
        <v>203</v>
      </c>
      <c r="B901" s="4" t="s">
        <v>50</v>
      </c>
      <c r="C901" s="4" t="n">
        <v>6</v>
      </c>
      <c r="D901" s="4" t="s">
        <v>78</v>
      </c>
      <c r="E901" s="3" t="s">
        <v>165</v>
      </c>
      <c r="F901" s="4" t="str">
        <f aca="false">IF(I901&gt;J901,"Y","N")</f>
        <v>N</v>
      </c>
      <c r="G901" s="3" t="s">
        <v>15</v>
      </c>
      <c r="H901" s="3" t="s">
        <v>42</v>
      </c>
      <c r="I901" s="4" t="n">
        <v>4</v>
      </c>
      <c r="J901" s="4" t="n">
        <f aca="false">LEN(E901)-LEN(SUBSTITUTE(E901,",",""))+1</f>
        <v>4</v>
      </c>
      <c r="K901" s="3" t="str">
        <f aca="false">IFERROR(INDEX('Teacher Lookup'!$B$2:$B$200,MATCH(A901,'Teacher Lookup'!$A$2:$A$200,0)),"")</f>
        <v>TSANG Annisa</v>
      </c>
    </row>
    <row r="902" customFormat="false" ht="15" hidden="false" customHeight="false" outlineLevel="0" collapsed="false">
      <c r="A902" s="3" t="s">
        <v>203</v>
      </c>
      <c r="B902" s="4" t="s">
        <v>50</v>
      </c>
      <c r="C902" s="4" t="n">
        <v>6</v>
      </c>
      <c r="D902" s="4" t="s">
        <v>79</v>
      </c>
      <c r="E902" s="3" t="s">
        <v>165</v>
      </c>
      <c r="F902" s="4" t="str">
        <f aca="false">IF(I902&gt;J902,"Y","N")</f>
        <v>N</v>
      </c>
      <c r="G902" s="3" t="s">
        <v>15</v>
      </c>
      <c r="H902" s="3" t="s">
        <v>42</v>
      </c>
      <c r="I902" s="4" t="n">
        <v>4</v>
      </c>
      <c r="J902" s="4" t="n">
        <f aca="false">LEN(E902)-LEN(SUBSTITUTE(E902,",",""))+1</f>
        <v>4</v>
      </c>
      <c r="K902" s="3" t="str">
        <f aca="false">IFERROR(INDEX('Teacher Lookup'!$B$2:$B$200,MATCH(A902,'Teacher Lookup'!$A$2:$A$200,0)),"")</f>
        <v>TSANG Annisa</v>
      </c>
    </row>
    <row r="903" customFormat="false" ht="15" hidden="false" customHeight="false" outlineLevel="0" collapsed="false">
      <c r="A903" s="3" t="s">
        <v>203</v>
      </c>
      <c r="B903" s="4" t="s">
        <v>60</v>
      </c>
      <c r="C903" s="4" t="n">
        <v>2</v>
      </c>
      <c r="D903" s="4" t="s">
        <v>140</v>
      </c>
      <c r="E903" s="3" t="s">
        <v>144</v>
      </c>
      <c r="F903" s="4" t="str">
        <f aca="false">IF(I903&gt;J903,"Y","N")</f>
        <v>N</v>
      </c>
      <c r="G903" s="3" t="s">
        <v>15</v>
      </c>
      <c r="H903" s="3" t="s">
        <v>21</v>
      </c>
      <c r="I903" s="4" t="n">
        <v>4</v>
      </c>
      <c r="J903" s="4" t="n">
        <f aca="false">LEN(E903)-LEN(SUBSTITUTE(E903,",",""))+1</f>
        <v>4</v>
      </c>
      <c r="K903" s="3" t="str">
        <f aca="false">IFERROR(INDEX('Teacher Lookup'!$B$2:$B$200,MATCH(A903,'Teacher Lookup'!$A$2:$A$200,0)),"")</f>
        <v>TSANG Annisa</v>
      </c>
    </row>
    <row r="904" customFormat="false" ht="15" hidden="false" customHeight="false" outlineLevel="0" collapsed="false">
      <c r="A904" s="3" t="s">
        <v>203</v>
      </c>
      <c r="B904" s="4" t="s">
        <v>60</v>
      </c>
      <c r="C904" s="4" t="n">
        <v>2</v>
      </c>
      <c r="D904" s="4" t="s">
        <v>142</v>
      </c>
      <c r="E904" s="3" t="s">
        <v>144</v>
      </c>
      <c r="F904" s="4" t="str">
        <f aca="false">IF(I904&gt;J904,"Y","N")</f>
        <v>N</v>
      </c>
      <c r="G904" s="3" t="s">
        <v>15</v>
      </c>
      <c r="H904" s="3" t="s">
        <v>21</v>
      </c>
      <c r="I904" s="4" t="n">
        <v>4</v>
      </c>
      <c r="J904" s="4" t="n">
        <f aca="false">LEN(E904)-LEN(SUBSTITUTE(E904,",",""))+1</f>
        <v>4</v>
      </c>
      <c r="K904" s="3" t="str">
        <f aca="false">IFERROR(INDEX('Teacher Lookup'!$B$2:$B$200,MATCH(A904,'Teacher Lookup'!$A$2:$A$200,0)),"")</f>
        <v>TSANG Annisa</v>
      </c>
    </row>
    <row r="905" customFormat="false" ht="15" hidden="false" customHeight="false" outlineLevel="0" collapsed="false">
      <c r="A905" s="3" t="s">
        <v>203</v>
      </c>
      <c r="B905" s="4" t="s">
        <v>60</v>
      </c>
      <c r="C905" s="4" t="n">
        <v>2</v>
      </c>
      <c r="D905" s="4" t="s">
        <v>127</v>
      </c>
      <c r="E905" s="3" t="s">
        <v>144</v>
      </c>
      <c r="F905" s="4" t="str">
        <f aca="false">IF(I905&gt;J905,"Y","N")</f>
        <v>N</v>
      </c>
      <c r="G905" s="3" t="s">
        <v>15</v>
      </c>
      <c r="H905" s="3" t="s">
        <v>21</v>
      </c>
      <c r="I905" s="4" t="n">
        <v>4</v>
      </c>
      <c r="J905" s="4" t="n">
        <f aca="false">LEN(E905)-LEN(SUBSTITUTE(E905,",",""))+1</f>
        <v>4</v>
      </c>
      <c r="K905" s="3" t="str">
        <f aca="false">IFERROR(INDEX('Teacher Lookup'!$B$2:$B$200,MATCH(A905,'Teacher Lookup'!$A$2:$A$200,0)),"")</f>
        <v>TSANG Annisa</v>
      </c>
    </row>
    <row r="906" customFormat="false" ht="15" hidden="false" customHeight="false" outlineLevel="0" collapsed="false">
      <c r="A906" s="3" t="s">
        <v>203</v>
      </c>
      <c r="B906" s="4" t="s">
        <v>60</v>
      </c>
      <c r="C906" s="4" t="n">
        <v>4</v>
      </c>
      <c r="D906" s="4" t="s">
        <v>76</v>
      </c>
      <c r="E906" s="3" t="s">
        <v>80</v>
      </c>
      <c r="F906" s="4" t="str">
        <f aca="false">IF(I906&gt;J906,"Y","N")</f>
        <v>N</v>
      </c>
      <c r="G906" s="3" t="s">
        <v>15</v>
      </c>
      <c r="H906" s="3" t="s">
        <v>34</v>
      </c>
      <c r="I906" s="4" t="n">
        <v>4</v>
      </c>
      <c r="J906" s="4" t="n">
        <f aca="false">LEN(E906)-LEN(SUBSTITUTE(E906,",",""))+1</f>
        <v>4</v>
      </c>
      <c r="K906" s="3" t="str">
        <f aca="false">IFERROR(INDEX('Teacher Lookup'!$B$2:$B$200,MATCH(A906,'Teacher Lookup'!$A$2:$A$200,0)),"")</f>
        <v>TSANG Annisa</v>
      </c>
    </row>
    <row r="907" customFormat="false" ht="15" hidden="false" customHeight="false" outlineLevel="0" collapsed="false">
      <c r="A907" s="3" t="s">
        <v>203</v>
      </c>
      <c r="B907" s="4" t="s">
        <v>60</v>
      </c>
      <c r="C907" s="4" t="n">
        <v>4</v>
      </c>
      <c r="D907" s="4" t="s">
        <v>78</v>
      </c>
      <c r="E907" s="3" t="s">
        <v>80</v>
      </c>
      <c r="F907" s="4" t="str">
        <f aca="false">IF(I907&gt;J907,"Y","N")</f>
        <v>N</v>
      </c>
      <c r="G907" s="3" t="s">
        <v>15</v>
      </c>
      <c r="H907" s="3" t="s">
        <v>34</v>
      </c>
      <c r="I907" s="4" t="n">
        <v>4</v>
      </c>
      <c r="J907" s="4" t="n">
        <f aca="false">LEN(E907)-LEN(SUBSTITUTE(E907,",",""))+1</f>
        <v>4</v>
      </c>
      <c r="K907" s="3" t="str">
        <f aca="false">IFERROR(INDEX('Teacher Lookup'!$B$2:$B$200,MATCH(A907,'Teacher Lookup'!$A$2:$A$200,0)),"")</f>
        <v>TSANG Annisa</v>
      </c>
    </row>
    <row r="908" customFormat="false" ht="15" hidden="false" customHeight="false" outlineLevel="0" collapsed="false">
      <c r="A908" s="3" t="s">
        <v>203</v>
      </c>
      <c r="B908" s="4" t="s">
        <v>60</v>
      </c>
      <c r="C908" s="4" t="n">
        <v>4</v>
      </c>
      <c r="D908" s="4" t="s">
        <v>79</v>
      </c>
      <c r="E908" s="3" t="s">
        <v>80</v>
      </c>
      <c r="F908" s="4" t="str">
        <f aca="false">IF(I908&gt;J908,"Y","N")</f>
        <v>N</v>
      </c>
      <c r="G908" s="3" t="s">
        <v>15</v>
      </c>
      <c r="H908" s="3" t="s">
        <v>34</v>
      </c>
      <c r="I908" s="4" t="n">
        <v>4</v>
      </c>
      <c r="J908" s="4" t="n">
        <f aca="false">LEN(E908)-LEN(SUBSTITUTE(E908,",",""))+1</f>
        <v>4</v>
      </c>
      <c r="K908" s="3" t="str">
        <f aca="false">IFERROR(INDEX('Teacher Lookup'!$B$2:$B$200,MATCH(A908,'Teacher Lookup'!$A$2:$A$200,0)),"")</f>
        <v>TSANG Annisa</v>
      </c>
    </row>
    <row r="909" customFormat="false" ht="15" hidden="false" customHeight="false" outlineLevel="0" collapsed="false">
      <c r="A909" s="3" t="s">
        <v>203</v>
      </c>
      <c r="B909" s="4" t="s">
        <v>60</v>
      </c>
      <c r="C909" s="4" t="n">
        <v>5</v>
      </c>
      <c r="D909" s="4" t="s">
        <v>137</v>
      </c>
      <c r="E909" s="3" t="s">
        <v>185</v>
      </c>
      <c r="F909" s="4" t="str">
        <f aca="false">IF(I909&gt;J909,"Y","N")</f>
        <v>Y</v>
      </c>
      <c r="G909" s="3" t="s">
        <v>36</v>
      </c>
      <c r="H909" s="3" t="s">
        <v>37</v>
      </c>
      <c r="I909" s="4" t="n">
        <v>21</v>
      </c>
      <c r="J909" s="4" t="n">
        <f aca="false">LEN(E909)-LEN(SUBSTITUTE(E909,",",""))+1</f>
        <v>7</v>
      </c>
      <c r="K909" s="3" t="str">
        <f aca="false">IFERROR(INDEX('Teacher Lookup'!$B$2:$B$200,MATCH(A909,'Teacher Lookup'!$A$2:$A$200,0)),"")</f>
        <v>TSANG Annisa</v>
      </c>
    </row>
    <row r="910" customFormat="false" ht="15" hidden="false" customHeight="false" outlineLevel="0" collapsed="false">
      <c r="A910" s="3" t="s">
        <v>203</v>
      </c>
      <c r="B910" s="4" t="s">
        <v>60</v>
      </c>
      <c r="C910" s="4" t="n">
        <v>5</v>
      </c>
      <c r="D910" s="4" t="s">
        <v>124</v>
      </c>
      <c r="E910" s="3" t="s">
        <v>185</v>
      </c>
      <c r="F910" s="4" t="str">
        <f aca="false">IF(I910&gt;J910,"Y","N")</f>
        <v>Y</v>
      </c>
      <c r="G910" s="3" t="s">
        <v>36</v>
      </c>
      <c r="H910" s="3" t="s">
        <v>37</v>
      </c>
      <c r="I910" s="4" t="n">
        <v>21</v>
      </c>
      <c r="J910" s="4" t="n">
        <f aca="false">LEN(E910)-LEN(SUBSTITUTE(E910,",",""))+1</f>
        <v>7</v>
      </c>
      <c r="K910" s="3" t="str">
        <f aca="false">IFERROR(INDEX('Teacher Lookup'!$B$2:$B$200,MATCH(A910,'Teacher Lookup'!$A$2:$A$200,0)),"")</f>
        <v>TSANG Annisa</v>
      </c>
    </row>
    <row r="911" customFormat="false" ht="15" hidden="false" customHeight="false" outlineLevel="0" collapsed="false">
      <c r="A911" s="3" t="s">
        <v>203</v>
      </c>
      <c r="B911" s="4" t="s">
        <v>60</v>
      </c>
      <c r="C911" s="4" t="n">
        <v>5</v>
      </c>
      <c r="D911" s="4" t="s">
        <v>139</v>
      </c>
      <c r="E911" s="3" t="s">
        <v>185</v>
      </c>
      <c r="F911" s="4" t="str">
        <f aca="false">IF(I911&gt;J911,"Y","N")</f>
        <v>Y</v>
      </c>
      <c r="G911" s="3" t="s">
        <v>36</v>
      </c>
      <c r="H911" s="3" t="s">
        <v>37</v>
      </c>
      <c r="I911" s="4" t="n">
        <v>21</v>
      </c>
      <c r="J911" s="4" t="n">
        <f aca="false">LEN(E911)-LEN(SUBSTITUTE(E911,",",""))+1</f>
        <v>7</v>
      </c>
      <c r="K911" s="3" t="str">
        <f aca="false">IFERROR(INDEX('Teacher Lookup'!$B$2:$B$200,MATCH(A911,'Teacher Lookup'!$A$2:$A$200,0)),"")</f>
        <v>TSANG Annisa</v>
      </c>
    </row>
    <row r="912" customFormat="false" ht="15" hidden="false" customHeight="false" outlineLevel="0" collapsed="false">
      <c r="A912" s="3" t="s">
        <v>203</v>
      </c>
      <c r="B912" s="4" t="s">
        <v>60</v>
      </c>
      <c r="C912" s="4" t="n">
        <v>5</v>
      </c>
      <c r="D912" s="4" t="s">
        <v>140</v>
      </c>
      <c r="E912" s="3" t="s">
        <v>185</v>
      </c>
      <c r="F912" s="4" t="str">
        <f aca="false">IF(I912&gt;J912,"Y","N")</f>
        <v>Y</v>
      </c>
      <c r="G912" s="3" t="s">
        <v>36</v>
      </c>
      <c r="H912" s="3" t="s">
        <v>37</v>
      </c>
      <c r="I912" s="4" t="n">
        <v>21</v>
      </c>
      <c r="J912" s="4" t="n">
        <f aca="false">LEN(E912)-LEN(SUBSTITUTE(E912,",",""))+1</f>
        <v>7</v>
      </c>
      <c r="K912" s="3" t="str">
        <f aca="false">IFERROR(INDEX('Teacher Lookup'!$B$2:$B$200,MATCH(A912,'Teacher Lookup'!$A$2:$A$200,0)),"")</f>
        <v>TSANG Annisa</v>
      </c>
    </row>
    <row r="913" customFormat="false" ht="15" hidden="false" customHeight="false" outlineLevel="0" collapsed="false">
      <c r="A913" s="3" t="s">
        <v>203</v>
      </c>
      <c r="B913" s="4" t="s">
        <v>60</v>
      </c>
      <c r="C913" s="4" t="n">
        <v>5</v>
      </c>
      <c r="D913" s="4" t="s">
        <v>142</v>
      </c>
      <c r="E913" s="3" t="s">
        <v>185</v>
      </c>
      <c r="F913" s="4" t="str">
        <f aca="false">IF(I913&gt;J913,"Y","N")</f>
        <v>Y</v>
      </c>
      <c r="G913" s="3" t="s">
        <v>36</v>
      </c>
      <c r="H913" s="3" t="s">
        <v>37</v>
      </c>
      <c r="I913" s="4" t="n">
        <v>21</v>
      </c>
      <c r="J913" s="4" t="n">
        <f aca="false">LEN(E913)-LEN(SUBSTITUTE(E913,",",""))+1</f>
        <v>7</v>
      </c>
      <c r="K913" s="3" t="str">
        <f aca="false">IFERROR(INDEX('Teacher Lookup'!$B$2:$B$200,MATCH(A913,'Teacher Lookup'!$A$2:$A$200,0)),"")</f>
        <v>TSANG Annisa</v>
      </c>
    </row>
    <row r="914" customFormat="false" ht="15" hidden="false" customHeight="false" outlineLevel="0" collapsed="false">
      <c r="A914" s="3" t="s">
        <v>203</v>
      </c>
      <c r="B914" s="4" t="s">
        <v>60</v>
      </c>
      <c r="C914" s="4" t="n">
        <v>5</v>
      </c>
      <c r="D914" s="4" t="s">
        <v>127</v>
      </c>
      <c r="E914" s="3" t="s">
        <v>185</v>
      </c>
      <c r="F914" s="4" t="str">
        <f aca="false">IF(I914&gt;J914,"Y","N")</f>
        <v>Y</v>
      </c>
      <c r="G914" s="3" t="s">
        <v>36</v>
      </c>
      <c r="H914" s="3" t="s">
        <v>37</v>
      </c>
      <c r="I914" s="4" t="n">
        <v>21</v>
      </c>
      <c r="J914" s="4" t="n">
        <f aca="false">LEN(E914)-LEN(SUBSTITUTE(E914,",",""))+1</f>
        <v>7</v>
      </c>
      <c r="K914" s="3" t="str">
        <f aca="false">IFERROR(INDEX('Teacher Lookup'!$B$2:$B$200,MATCH(A914,'Teacher Lookup'!$A$2:$A$200,0)),"")</f>
        <v>TSANG Annisa</v>
      </c>
    </row>
    <row r="915" customFormat="false" ht="15" hidden="false" customHeight="false" outlineLevel="0" collapsed="false">
      <c r="A915" s="3" t="s">
        <v>203</v>
      </c>
      <c r="B915" s="4" t="s">
        <v>60</v>
      </c>
      <c r="C915" s="4" t="n">
        <v>6</v>
      </c>
      <c r="D915" s="4" t="s">
        <v>137</v>
      </c>
      <c r="E915" s="3" t="s">
        <v>208</v>
      </c>
      <c r="F915" s="4" t="str">
        <f aca="false">IF(I915&gt;J915,"Y","N")</f>
        <v>N</v>
      </c>
      <c r="G915" s="3" t="s">
        <v>15</v>
      </c>
      <c r="H915" s="3" t="s">
        <v>42</v>
      </c>
      <c r="I915" s="4" t="n">
        <v>4</v>
      </c>
      <c r="J915" s="4" t="n">
        <f aca="false">LEN(E915)-LEN(SUBSTITUTE(E915,",",""))+1</f>
        <v>4</v>
      </c>
      <c r="K915" s="3" t="str">
        <f aca="false">IFERROR(INDEX('Teacher Lookup'!$B$2:$B$200,MATCH(A915,'Teacher Lookup'!$A$2:$A$200,0)),"")</f>
        <v>TSANG Annisa</v>
      </c>
    </row>
    <row r="916" customFormat="false" ht="15" hidden="false" customHeight="false" outlineLevel="0" collapsed="false">
      <c r="A916" s="3" t="s">
        <v>203</v>
      </c>
      <c r="B916" s="4" t="s">
        <v>60</v>
      </c>
      <c r="C916" s="4" t="n">
        <v>6</v>
      </c>
      <c r="D916" s="4" t="s">
        <v>124</v>
      </c>
      <c r="E916" s="3" t="s">
        <v>208</v>
      </c>
      <c r="F916" s="4" t="str">
        <f aca="false">IF(I916&gt;J916,"Y","N")</f>
        <v>N</v>
      </c>
      <c r="G916" s="3" t="s">
        <v>15</v>
      </c>
      <c r="H916" s="3" t="s">
        <v>42</v>
      </c>
      <c r="I916" s="4" t="n">
        <v>4</v>
      </c>
      <c r="J916" s="4" t="n">
        <f aca="false">LEN(E916)-LEN(SUBSTITUTE(E916,",",""))+1</f>
        <v>4</v>
      </c>
      <c r="K916" s="3" t="str">
        <f aca="false">IFERROR(INDEX('Teacher Lookup'!$B$2:$B$200,MATCH(A916,'Teacher Lookup'!$A$2:$A$200,0)),"")</f>
        <v>TSANG Annisa</v>
      </c>
    </row>
    <row r="917" customFormat="false" ht="15" hidden="false" customHeight="false" outlineLevel="0" collapsed="false">
      <c r="A917" s="3" t="s">
        <v>203</v>
      </c>
      <c r="B917" s="4" t="s">
        <v>60</v>
      </c>
      <c r="C917" s="4" t="n">
        <v>6</v>
      </c>
      <c r="D917" s="4" t="s">
        <v>139</v>
      </c>
      <c r="E917" s="3" t="s">
        <v>208</v>
      </c>
      <c r="F917" s="4" t="str">
        <f aca="false">IF(I917&gt;J917,"Y","N")</f>
        <v>N</v>
      </c>
      <c r="G917" s="3" t="s">
        <v>15</v>
      </c>
      <c r="H917" s="3" t="s">
        <v>42</v>
      </c>
      <c r="I917" s="4" t="n">
        <v>4</v>
      </c>
      <c r="J917" s="4" t="n">
        <f aca="false">LEN(E917)-LEN(SUBSTITUTE(E917,",",""))+1</f>
        <v>4</v>
      </c>
      <c r="K917" s="3" t="str">
        <f aca="false">IFERROR(INDEX('Teacher Lookup'!$B$2:$B$200,MATCH(A917,'Teacher Lookup'!$A$2:$A$200,0)),"")</f>
        <v>TSANG Annisa</v>
      </c>
    </row>
    <row r="918" customFormat="false" ht="15" hidden="false" customHeight="false" outlineLevel="0" collapsed="false">
      <c r="A918" s="3" t="s">
        <v>203</v>
      </c>
      <c r="B918" s="4" t="s">
        <v>63</v>
      </c>
      <c r="C918" s="4" t="n">
        <v>1</v>
      </c>
      <c r="D918" s="4" t="s">
        <v>137</v>
      </c>
      <c r="E918" s="3" t="s">
        <v>186</v>
      </c>
      <c r="F918" s="4" t="str">
        <f aca="false">IF(I918&gt;J918,"Y","N")</f>
        <v>N</v>
      </c>
      <c r="G918" s="3" t="s">
        <v>15</v>
      </c>
      <c r="H918" s="3" t="s">
        <v>16</v>
      </c>
      <c r="I918" s="4" t="n">
        <v>4</v>
      </c>
      <c r="J918" s="4" t="n">
        <f aca="false">LEN(E918)-LEN(SUBSTITUTE(E918,",",""))+1</f>
        <v>4</v>
      </c>
      <c r="K918" s="3" t="str">
        <f aca="false">IFERROR(INDEX('Teacher Lookup'!$B$2:$B$200,MATCH(A918,'Teacher Lookup'!$A$2:$A$200,0)),"")</f>
        <v>TSANG Annisa</v>
      </c>
    </row>
    <row r="919" customFormat="false" ht="15" hidden="false" customHeight="false" outlineLevel="0" collapsed="false">
      <c r="A919" s="3" t="s">
        <v>203</v>
      </c>
      <c r="B919" s="4" t="s">
        <v>63</v>
      </c>
      <c r="C919" s="4" t="n">
        <v>1</v>
      </c>
      <c r="D919" s="4" t="s">
        <v>124</v>
      </c>
      <c r="E919" s="3" t="s">
        <v>186</v>
      </c>
      <c r="F919" s="4" t="str">
        <f aca="false">IF(I919&gt;J919,"Y","N")</f>
        <v>N</v>
      </c>
      <c r="G919" s="3" t="s">
        <v>15</v>
      </c>
      <c r="H919" s="3" t="s">
        <v>16</v>
      </c>
      <c r="I919" s="4" t="n">
        <v>4</v>
      </c>
      <c r="J919" s="4" t="n">
        <f aca="false">LEN(E919)-LEN(SUBSTITUTE(E919,",",""))+1</f>
        <v>4</v>
      </c>
      <c r="K919" s="3" t="str">
        <f aca="false">IFERROR(INDEX('Teacher Lookup'!$B$2:$B$200,MATCH(A919,'Teacher Lookup'!$A$2:$A$200,0)),"")</f>
        <v>TSANG Annisa</v>
      </c>
    </row>
    <row r="920" customFormat="false" ht="15" hidden="false" customHeight="false" outlineLevel="0" collapsed="false">
      <c r="A920" s="3" t="s">
        <v>203</v>
      </c>
      <c r="B920" s="4" t="s">
        <v>63</v>
      </c>
      <c r="C920" s="4" t="n">
        <v>1</v>
      </c>
      <c r="D920" s="4" t="s">
        <v>139</v>
      </c>
      <c r="E920" s="3" t="s">
        <v>186</v>
      </c>
      <c r="F920" s="4" t="str">
        <f aca="false">IF(I920&gt;J920,"Y","N")</f>
        <v>N</v>
      </c>
      <c r="G920" s="3" t="s">
        <v>15</v>
      </c>
      <c r="H920" s="3" t="s">
        <v>16</v>
      </c>
      <c r="I920" s="4" t="n">
        <v>4</v>
      </c>
      <c r="J920" s="4" t="n">
        <f aca="false">LEN(E920)-LEN(SUBSTITUTE(E920,",",""))+1</f>
        <v>4</v>
      </c>
      <c r="K920" s="3" t="str">
        <f aca="false">IFERROR(INDEX('Teacher Lookup'!$B$2:$B$200,MATCH(A920,'Teacher Lookup'!$A$2:$A$200,0)),"")</f>
        <v>TSANG Annisa</v>
      </c>
    </row>
    <row r="921" customFormat="false" ht="15" hidden="false" customHeight="false" outlineLevel="0" collapsed="false">
      <c r="A921" s="3" t="s">
        <v>203</v>
      </c>
      <c r="B921" s="4" t="s">
        <v>63</v>
      </c>
      <c r="C921" s="4" t="n">
        <v>4</v>
      </c>
      <c r="D921" s="4" t="s">
        <v>70</v>
      </c>
      <c r="E921" s="3" t="s">
        <v>213</v>
      </c>
      <c r="F921" s="4" t="str">
        <f aca="false">IF(I921&gt;J921,"Y","N")</f>
        <v>Y</v>
      </c>
      <c r="G921" s="3" t="s">
        <v>214</v>
      </c>
      <c r="H921" s="3" t="s">
        <v>34</v>
      </c>
      <c r="I921" s="4" t="n">
        <v>20</v>
      </c>
      <c r="J921" s="4" t="n">
        <f aca="false">LEN(E921)-LEN(SUBSTITUTE(E921,",",""))+1</f>
        <v>6</v>
      </c>
      <c r="K921" s="3" t="str">
        <f aca="false">IFERROR(INDEX('Teacher Lookup'!$B$2:$B$200,MATCH(A921,'Teacher Lookup'!$A$2:$A$200,0)),"")</f>
        <v>TSANG Annisa</v>
      </c>
    </row>
    <row r="922" customFormat="false" ht="15" hidden="false" customHeight="false" outlineLevel="0" collapsed="false">
      <c r="A922" s="3" t="s">
        <v>203</v>
      </c>
      <c r="B922" s="4" t="s">
        <v>63</v>
      </c>
      <c r="C922" s="4" t="n">
        <v>4</v>
      </c>
      <c r="D922" s="4" t="s">
        <v>73</v>
      </c>
      <c r="E922" s="3" t="s">
        <v>213</v>
      </c>
      <c r="F922" s="4" t="str">
        <f aca="false">IF(I922&gt;J922,"Y","N")</f>
        <v>Y</v>
      </c>
      <c r="G922" s="3" t="s">
        <v>214</v>
      </c>
      <c r="H922" s="3" t="s">
        <v>34</v>
      </c>
      <c r="I922" s="4" t="n">
        <v>20</v>
      </c>
      <c r="J922" s="4" t="n">
        <f aca="false">LEN(E922)-LEN(SUBSTITUTE(E922,",",""))+1</f>
        <v>6</v>
      </c>
      <c r="K922" s="3" t="str">
        <f aca="false">IFERROR(INDEX('Teacher Lookup'!$B$2:$B$200,MATCH(A922,'Teacher Lookup'!$A$2:$A$200,0)),"")</f>
        <v>TSANG Annisa</v>
      </c>
    </row>
    <row r="923" customFormat="false" ht="15" hidden="false" customHeight="false" outlineLevel="0" collapsed="false">
      <c r="A923" s="3" t="s">
        <v>203</v>
      </c>
      <c r="B923" s="4" t="s">
        <v>63</v>
      </c>
      <c r="C923" s="4" t="n">
        <v>4</v>
      </c>
      <c r="D923" s="4" t="s">
        <v>74</v>
      </c>
      <c r="E923" s="3" t="s">
        <v>213</v>
      </c>
      <c r="F923" s="4" t="str">
        <f aca="false">IF(I923&gt;J923,"Y","N")</f>
        <v>Y</v>
      </c>
      <c r="G923" s="3" t="s">
        <v>214</v>
      </c>
      <c r="H923" s="3" t="s">
        <v>34</v>
      </c>
      <c r="I923" s="4" t="n">
        <v>20</v>
      </c>
      <c r="J923" s="4" t="n">
        <f aca="false">LEN(E923)-LEN(SUBSTITUTE(E923,",",""))+1</f>
        <v>6</v>
      </c>
      <c r="K923" s="3" t="str">
        <f aca="false">IFERROR(INDEX('Teacher Lookup'!$B$2:$B$200,MATCH(A923,'Teacher Lookup'!$A$2:$A$200,0)),"")</f>
        <v>TSANG Annisa</v>
      </c>
    </row>
    <row r="924" customFormat="false" ht="15" hidden="false" customHeight="false" outlineLevel="0" collapsed="false">
      <c r="A924" s="3" t="s">
        <v>203</v>
      </c>
      <c r="B924" s="4" t="s">
        <v>63</v>
      </c>
      <c r="C924" s="4" t="n">
        <v>4</v>
      </c>
      <c r="D924" s="4" t="s">
        <v>76</v>
      </c>
      <c r="E924" s="3" t="s">
        <v>213</v>
      </c>
      <c r="F924" s="4" t="str">
        <f aca="false">IF(I924&gt;J924,"Y","N")</f>
        <v>Y</v>
      </c>
      <c r="G924" s="3" t="s">
        <v>214</v>
      </c>
      <c r="H924" s="3" t="s">
        <v>34</v>
      </c>
      <c r="I924" s="4" t="n">
        <v>20</v>
      </c>
      <c r="J924" s="4" t="n">
        <f aca="false">LEN(E924)-LEN(SUBSTITUTE(E924,",",""))+1</f>
        <v>6</v>
      </c>
      <c r="K924" s="3" t="str">
        <f aca="false">IFERROR(INDEX('Teacher Lookup'!$B$2:$B$200,MATCH(A924,'Teacher Lookup'!$A$2:$A$200,0)),"")</f>
        <v>TSANG Annisa</v>
      </c>
    </row>
    <row r="925" customFormat="false" ht="15" hidden="false" customHeight="false" outlineLevel="0" collapsed="false">
      <c r="A925" s="3" t="s">
        <v>203</v>
      </c>
      <c r="B925" s="4" t="s">
        <v>63</v>
      </c>
      <c r="C925" s="4" t="n">
        <v>4</v>
      </c>
      <c r="D925" s="4" t="s">
        <v>78</v>
      </c>
      <c r="E925" s="3" t="s">
        <v>213</v>
      </c>
      <c r="F925" s="4" t="str">
        <f aca="false">IF(I925&gt;J925,"Y","N")</f>
        <v>Y</v>
      </c>
      <c r="G925" s="3" t="s">
        <v>214</v>
      </c>
      <c r="H925" s="3" t="s">
        <v>34</v>
      </c>
      <c r="I925" s="4" t="n">
        <v>20</v>
      </c>
      <c r="J925" s="4" t="n">
        <f aca="false">LEN(E925)-LEN(SUBSTITUTE(E925,",",""))+1</f>
        <v>6</v>
      </c>
      <c r="K925" s="3" t="str">
        <f aca="false">IFERROR(INDEX('Teacher Lookup'!$B$2:$B$200,MATCH(A925,'Teacher Lookup'!$A$2:$A$200,0)),"")</f>
        <v>TSANG Annisa</v>
      </c>
    </row>
    <row r="926" customFormat="false" ht="15" hidden="false" customHeight="false" outlineLevel="0" collapsed="false">
      <c r="A926" s="3" t="s">
        <v>203</v>
      </c>
      <c r="B926" s="4" t="s">
        <v>63</v>
      </c>
      <c r="C926" s="4" t="n">
        <v>4</v>
      </c>
      <c r="D926" s="4" t="s">
        <v>79</v>
      </c>
      <c r="E926" s="3" t="s">
        <v>213</v>
      </c>
      <c r="F926" s="4" t="str">
        <f aca="false">IF(I926&gt;J926,"Y","N")</f>
        <v>Y</v>
      </c>
      <c r="G926" s="3" t="s">
        <v>214</v>
      </c>
      <c r="H926" s="3" t="s">
        <v>34</v>
      </c>
      <c r="I926" s="4" t="n">
        <v>20</v>
      </c>
      <c r="J926" s="4" t="n">
        <f aca="false">LEN(E926)-LEN(SUBSTITUTE(E926,",",""))+1</f>
        <v>6</v>
      </c>
      <c r="K926" s="3" t="str">
        <f aca="false">IFERROR(INDEX('Teacher Lookup'!$B$2:$B$200,MATCH(A926,'Teacher Lookup'!$A$2:$A$200,0)),"")</f>
        <v>TSANG Annisa</v>
      </c>
    </row>
    <row r="927" customFormat="false" ht="15" hidden="false" customHeight="false" outlineLevel="0" collapsed="false">
      <c r="A927" s="3" t="s">
        <v>203</v>
      </c>
      <c r="B927" s="4" t="s">
        <v>63</v>
      </c>
      <c r="C927" s="4" t="n">
        <v>5</v>
      </c>
      <c r="D927" s="4" t="s">
        <v>70</v>
      </c>
      <c r="E927" s="3" t="s">
        <v>213</v>
      </c>
      <c r="F927" s="4" t="str">
        <f aca="false">IF(I927&gt;J927,"Y","N")</f>
        <v>Y</v>
      </c>
      <c r="G927" s="3" t="s">
        <v>214</v>
      </c>
      <c r="H927" s="3" t="s">
        <v>37</v>
      </c>
      <c r="I927" s="4" t="n">
        <v>20</v>
      </c>
      <c r="J927" s="4" t="n">
        <f aca="false">LEN(E927)-LEN(SUBSTITUTE(E927,",",""))+1</f>
        <v>6</v>
      </c>
      <c r="K927" s="3" t="str">
        <f aca="false">IFERROR(INDEX('Teacher Lookup'!$B$2:$B$200,MATCH(A927,'Teacher Lookup'!$A$2:$A$200,0)),"")</f>
        <v>TSANG Annisa</v>
      </c>
    </row>
    <row r="928" customFormat="false" ht="15" hidden="false" customHeight="false" outlineLevel="0" collapsed="false">
      <c r="A928" s="3" t="s">
        <v>203</v>
      </c>
      <c r="B928" s="4" t="s">
        <v>63</v>
      </c>
      <c r="C928" s="4" t="n">
        <v>5</v>
      </c>
      <c r="D928" s="4" t="s">
        <v>73</v>
      </c>
      <c r="E928" s="3" t="s">
        <v>213</v>
      </c>
      <c r="F928" s="4" t="str">
        <f aca="false">IF(I928&gt;J928,"Y","N")</f>
        <v>Y</v>
      </c>
      <c r="G928" s="3" t="s">
        <v>214</v>
      </c>
      <c r="H928" s="3" t="s">
        <v>37</v>
      </c>
      <c r="I928" s="4" t="n">
        <v>20</v>
      </c>
      <c r="J928" s="4" t="n">
        <f aca="false">LEN(E928)-LEN(SUBSTITUTE(E928,",",""))+1</f>
        <v>6</v>
      </c>
      <c r="K928" s="3" t="str">
        <f aca="false">IFERROR(INDEX('Teacher Lookup'!$B$2:$B$200,MATCH(A928,'Teacher Lookup'!$A$2:$A$200,0)),"")</f>
        <v>TSANG Annisa</v>
      </c>
    </row>
    <row r="929" customFormat="false" ht="15" hidden="false" customHeight="false" outlineLevel="0" collapsed="false">
      <c r="A929" s="3" t="s">
        <v>203</v>
      </c>
      <c r="B929" s="4" t="s">
        <v>63</v>
      </c>
      <c r="C929" s="4" t="n">
        <v>5</v>
      </c>
      <c r="D929" s="4" t="s">
        <v>74</v>
      </c>
      <c r="E929" s="3" t="s">
        <v>213</v>
      </c>
      <c r="F929" s="4" t="str">
        <f aca="false">IF(I929&gt;J929,"Y","N")</f>
        <v>Y</v>
      </c>
      <c r="G929" s="3" t="s">
        <v>214</v>
      </c>
      <c r="H929" s="3" t="s">
        <v>37</v>
      </c>
      <c r="I929" s="4" t="n">
        <v>20</v>
      </c>
      <c r="J929" s="4" t="n">
        <f aca="false">LEN(E929)-LEN(SUBSTITUTE(E929,",",""))+1</f>
        <v>6</v>
      </c>
      <c r="K929" s="3" t="str">
        <f aca="false">IFERROR(INDEX('Teacher Lookup'!$B$2:$B$200,MATCH(A929,'Teacher Lookup'!$A$2:$A$200,0)),"")</f>
        <v>TSANG Annisa</v>
      </c>
    </row>
    <row r="930" customFormat="false" ht="15" hidden="false" customHeight="false" outlineLevel="0" collapsed="false">
      <c r="A930" s="3" t="s">
        <v>203</v>
      </c>
      <c r="B930" s="4" t="s">
        <v>63</v>
      </c>
      <c r="C930" s="4" t="n">
        <v>5</v>
      </c>
      <c r="D930" s="4" t="s">
        <v>76</v>
      </c>
      <c r="E930" s="3" t="s">
        <v>213</v>
      </c>
      <c r="F930" s="4" t="str">
        <f aca="false">IF(I930&gt;J930,"Y","N")</f>
        <v>Y</v>
      </c>
      <c r="G930" s="3" t="s">
        <v>214</v>
      </c>
      <c r="H930" s="3" t="s">
        <v>37</v>
      </c>
      <c r="I930" s="4" t="n">
        <v>20</v>
      </c>
      <c r="J930" s="4" t="n">
        <f aca="false">LEN(E930)-LEN(SUBSTITUTE(E930,",",""))+1</f>
        <v>6</v>
      </c>
      <c r="K930" s="3" t="str">
        <f aca="false">IFERROR(INDEX('Teacher Lookup'!$B$2:$B$200,MATCH(A930,'Teacher Lookup'!$A$2:$A$200,0)),"")</f>
        <v>TSANG Annisa</v>
      </c>
    </row>
    <row r="931" customFormat="false" ht="15" hidden="false" customHeight="false" outlineLevel="0" collapsed="false">
      <c r="A931" s="3" t="s">
        <v>203</v>
      </c>
      <c r="B931" s="4" t="s">
        <v>63</v>
      </c>
      <c r="C931" s="4" t="n">
        <v>5</v>
      </c>
      <c r="D931" s="4" t="s">
        <v>78</v>
      </c>
      <c r="E931" s="3" t="s">
        <v>213</v>
      </c>
      <c r="F931" s="4" t="str">
        <f aca="false">IF(I931&gt;J931,"Y","N")</f>
        <v>Y</v>
      </c>
      <c r="G931" s="3" t="s">
        <v>214</v>
      </c>
      <c r="H931" s="3" t="s">
        <v>37</v>
      </c>
      <c r="I931" s="4" t="n">
        <v>20</v>
      </c>
      <c r="J931" s="4" t="n">
        <f aca="false">LEN(E931)-LEN(SUBSTITUTE(E931,",",""))+1</f>
        <v>6</v>
      </c>
      <c r="K931" s="3" t="str">
        <f aca="false">IFERROR(INDEX('Teacher Lookup'!$B$2:$B$200,MATCH(A931,'Teacher Lookup'!$A$2:$A$200,0)),"")</f>
        <v>TSANG Annisa</v>
      </c>
    </row>
    <row r="932" customFormat="false" ht="15" hidden="false" customHeight="false" outlineLevel="0" collapsed="false">
      <c r="A932" s="3" t="s">
        <v>203</v>
      </c>
      <c r="B932" s="4" t="s">
        <v>63</v>
      </c>
      <c r="C932" s="4" t="n">
        <v>5</v>
      </c>
      <c r="D932" s="4" t="s">
        <v>79</v>
      </c>
      <c r="E932" s="3" t="s">
        <v>213</v>
      </c>
      <c r="F932" s="4" t="str">
        <f aca="false">IF(I932&gt;J932,"Y","N")</f>
        <v>Y</v>
      </c>
      <c r="G932" s="3" t="s">
        <v>214</v>
      </c>
      <c r="H932" s="3" t="s">
        <v>37</v>
      </c>
      <c r="I932" s="4" t="n">
        <v>20</v>
      </c>
      <c r="J932" s="4" t="n">
        <f aca="false">LEN(E932)-LEN(SUBSTITUTE(E932,",",""))+1</f>
        <v>6</v>
      </c>
      <c r="K932" s="3" t="str">
        <f aca="false">IFERROR(INDEX('Teacher Lookup'!$B$2:$B$200,MATCH(A932,'Teacher Lookup'!$A$2:$A$200,0)),"")</f>
        <v>TSANG Annisa</v>
      </c>
    </row>
    <row r="933" customFormat="false" ht="15" hidden="false" customHeight="false" outlineLevel="0" collapsed="false">
      <c r="A933" s="3" t="s">
        <v>203</v>
      </c>
      <c r="B933" s="4" t="s">
        <v>63</v>
      </c>
      <c r="C933" s="4" t="n">
        <v>6</v>
      </c>
      <c r="D933" s="4" t="s">
        <v>76</v>
      </c>
      <c r="E933" s="3" t="s">
        <v>77</v>
      </c>
      <c r="F933" s="4" t="str">
        <f aca="false">IF(I933&gt;J933,"Y","N")</f>
        <v>N</v>
      </c>
      <c r="G933" s="3" t="s">
        <v>15</v>
      </c>
      <c r="H933" s="3" t="s">
        <v>42</v>
      </c>
      <c r="I933" s="4" t="n">
        <v>4</v>
      </c>
      <c r="J933" s="4" t="n">
        <f aca="false">LEN(E933)-LEN(SUBSTITUTE(E933,",",""))+1</f>
        <v>4</v>
      </c>
      <c r="K933" s="3" t="str">
        <f aca="false">IFERROR(INDEX('Teacher Lookup'!$B$2:$B$200,MATCH(A933,'Teacher Lookup'!$A$2:$A$200,0)),"")</f>
        <v>TSANG Annisa</v>
      </c>
    </row>
    <row r="934" customFormat="false" ht="15" hidden="false" customHeight="false" outlineLevel="0" collapsed="false">
      <c r="A934" s="3" t="s">
        <v>203</v>
      </c>
      <c r="B934" s="4" t="s">
        <v>63</v>
      </c>
      <c r="C934" s="4" t="n">
        <v>6</v>
      </c>
      <c r="D934" s="4" t="s">
        <v>78</v>
      </c>
      <c r="E934" s="3" t="s">
        <v>77</v>
      </c>
      <c r="F934" s="4" t="str">
        <f aca="false">IF(I934&gt;J934,"Y","N")</f>
        <v>N</v>
      </c>
      <c r="G934" s="3" t="s">
        <v>15</v>
      </c>
      <c r="H934" s="3" t="s">
        <v>42</v>
      </c>
      <c r="I934" s="4" t="n">
        <v>4</v>
      </c>
      <c r="J934" s="4" t="n">
        <f aca="false">LEN(E934)-LEN(SUBSTITUTE(E934,",",""))+1</f>
        <v>4</v>
      </c>
      <c r="K934" s="3" t="str">
        <f aca="false">IFERROR(INDEX('Teacher Lookup'!$B$2:$B$200,MATCH(A934,'Teacher Lookup'!$A$2:$A$200,0)),"")</f>
        <v>TSANG Annisa</v>
      </c>
    </row>
    <row r="935" customFormat="false" ht="15" hidden="false" customHeight="false" outlineLevel="0" collapsed="false">
      <c r="A935" s="3" t="s">
        <v>203</v>
      </c>
      <c r="B935" s="4" t="s">
        <v>63</v>
      </c>
      <c r="C935" s="4" t="n">
        <v>6</v>
      </c>
      <c r="D935" s="4" t="s">
        <v>79</v>
      </c>
      <c r="E935" s="3" t="s">
        <v>77</v>
      </c>
      <c r="F935" s="4" t="str">
        <f aca="false">IF(I935&gt;J935,"Y","N")</f>
        <v>N</v>
      </c>
      <c r="G935" s="3" t="s">
        <v>15</v>
      </c>
      <c r="H935" s="3" t="s">
        <v>42</v>
      </c>
      <c r="I935" s="4" t="n">
        <v>4</v>
      </c>
      <c r="J935" s="4" t="n">
        <f aca="false">LEN(E935)-LEN(SUBSTITUTE(E935,",",""))+1</f>
        <v>4</v>
      </c>
      <c r="K935" s="3" t="str">
        <f aca="false">IFERROR(INDEX('Teacher Lookup'!$B$2:$B$200,MATCH(A935,'Teacher Lookup'!$A$2:$A$200,0)),"")</f>
        <v>TSANG Annisa</v>
      </c>
    </row>
    <row r="936" customFormat="false" ht="15" hidden="false" customHeight="false" outlineLevel="0" collapsed="false">
      <c r="A936" s="3" t="s">
        <v>203</v>
      </c>
      <c r="B936" s="4" t="s">
        <v>65</v>
      </c>
      <c r="C936" s="4" t="n">
        <v>5</v>
      </c>
      <c r="D936" s="4" t="s">
        <v>137</v>
      </c>
      <c r="E936" s="3" t="s">
        <v>185</v>
      </c>
      <c r="F936" s="4" t="str">
        <f aca="false">IF(I936&gt;J936,"Y","N")</f>
        <v>Y</v>
      </c>
      <c r="G936" s="3" t="s">
        <v>36</v>
      </c>
      <c r="H936" s="3" t="s">
        <v>37</v>
      </c>
      <c r="I936" s="4" t="n">
        <v>21</v>
      </c>
      <c r="J936" s="4" t="n">
        <f aca="false">LEN(E936)-LEN(SUBSTITUTE(E936,",",""))+1</f>
        <v>7</v>
      </c>
      <c r="K936" s="3" t="str">
        <f aca="false">IFERROR(INDEX('Teacher Lookup'!$B$2:$B$200,MATCH(A936,'Teacher Lookup'!$A$2:$A$200,0)),"")</f>
        <v>TSANG Annisa</v>
      </c>
    </row>
    <row r="937" customFormat="false" ht="15" hidden="false" customHeight="false" outlineLevel="0" collapsed="false">
      <c r="A937" s="3" t="s">
        <v>203</v>
      </c>
      <c r="B937" s="4" t="s">
        <v>65</v>
      </c>
      <c r="C937" s="4" t="n">
        <v>5</v>
      </c>
      <c r="D937" s="4" t="s">
        <v>124</v>
      </c>
      <c r="E937" s="3" t="s">
        <v>185</v>
      </c>
      <c r="F937" s="4" t="str">
        <f aca="false">IF(I937&gt;J937,"Y","N")</f>
        <v>Y</v>
      </c>
      <c r="G937" s="3" t="s">
        <v>36</v>
      </c>
      <c r="H937" s="3" t="s">
        <v>37</v>
      </c>
      <c r="I937" s="4" t="n">
        <v>21</v>
      </c>
      <c r="J937" s="4" t="n">
        <f aca="false">LEN(E937)-LEN(SUBSTITUTE(E937,",",""))+1</f>
        <v>7</v>
      </c>
      <c r="K937" s="3" t="str">
        <f aca="false">IFERROR(INDEX('Teacher Lookup'!$B$2:$B$200,MATCH(A937,'Teacher Lookup'!$A$2:$A$200,0)),"")</f>
        <v>TSANG Annisa</v>
      </c>
    </row>
    <row r="938" customFormat="false" ht="15" hidden="false" customHeight="false" outlineLevel="0" collapsed="false">
      <c r="A938" s="3" t="s">
        <v>203</v>
      </c>
      <c r="B938" s="4" t="s">
        <v>65</v>
      </c>
      <c r="C938" s="4" t="n">
        <v>5</v>
      </c>
      <c r="D938" s="4" t="s">
        <v>139</v>
      </c>
      <c r="E938" s="3" t="s">
        <v>185</v>
      </c>
      <c r="F938" s="4" t="str">
        <f aca="false">IF(I938&gt;J938,"Y","N")</f>
        <v>Y</v>
      </c>
      <c r="G938" s="3" t="s">
        <v>36</v>
      </c>
      <c r="H938" s="3" t="s">
        <v>37</v>
      </c>
      <c r="I938" s="4" t="n">
        <v>21</v>
      </c>
      <c r="J938" s="4" t="n">
        <f aca="false">LEN(E938)-LEN(SUBSTITUTE(E938,",",""))+1</f>
        <v>7</v>
      </c>
      <c r="K938" s="3" t="str">
        <f aca="false">IFERROR(INDEX('Teacher Lookup'!$B$2:$B$200,MATCH(A938,'Teacher Lookup'!$A$2:$A$200,0)),"")</f>
        <v>TSANG Annisa</v>
      </c>
    </row>
    <row r="939" customFormat="false" ht="15" hidden="false" customHeight="false" outlineLevel="0" collapsed="false">
      <c r="A939" s="3" t="s">
        <v>203</v>
      </c>
      <c r="B939" s="4" t="s">
        <v>65</v>
      </c>
      <c r="C939" s="4" t="n">
        <v>5</v>
      </c>
      <c r="D939" s="4" t="s">
        <v>140</v>
      </c>
      <c r="E939" s="3" t="s">
        <v>185</v>
      </c>
      <c r="F939" s="4" t="str">
        <f aca="false">IF(I939&gt;J939,"Y","N")</f>
        <v>Y</v>
      </c>
      <c r="G939" s="3" t="s">
        <v>36</v>
      </c>
      <c r="H939" s="3" t="s">
        <v>37</v>
      </c>
      <c r="I939" s="4" t="n">
        <v>21</v>
      </c>
      <c r="J939" s="4" t="n">
        <f aca="false">LEN(E939)-LEN(SUBSTITUTE(E939,",",""))+1</f>
        <v>7</v>
      </c>
      <c r="K939" s="3" t="str">
        <f aca="false">IFERROR(INDEX('Teacher Lookup'!$B$2:$B$200,MATCH(A939,'Teacher Lookup'!$A$2:$A$200,0)),"")</f>
        <v>TSANG Annisa</v>
      </c>
    </row>
    <row r="940" customFormat="false" ht="15" hidden="false" customHeight="false" outlineLevel="0" collapsed="false">
      <c r="A940" s="3" t="s">
        <v>203</v>
      </c>
      <c r="B940" s="4" t="s">
        <v>65</v>
      </c>
      <c r="C940" s="4" t="n">
        <v>5</v>
      </c>
      <c r="D940" s="4" t="s">
        <v>142</v>
      </c>
      <c r="E940" s="3" t="s">
        <v>185</v>
      </c>
      <c r="F940" s="4" t="str">
        <f aca="false">IF(I940&gt;J940,"Y","N")</f>
        <v>Y</v>
      </c>
      <c r="G940" s="3" t="s">
        <v>36</v>
      </c>
      <c r="H940" s="3" t="s">
        <v>37</v>
      </c>
      <c r="I940" s="4" t="n">
        <v>21</v>
      </c>
      <c r="J940" s="4" t="n">
        <f aca="false">LEN(E940)-LEN(SUBSTITUTE(E940,",",""))+1</f>
        <v>7</v>
      </c>
      <c r="K940" s="3" t="str">
        <f aca="false">IFERROR(INDEX('Teacher Lookup'!$B$2:$B$200,MATCH(A940,'Teacher Lookup'!$A$2:$A$200,0)),"")</f>
        <v>TSANG Annisa</v>
      </c>
    </row>
    <row r="941" customFormat="false" ht="15" hidden="false" customHeight="false" outlineLevel="0" collapsed="false">
      <c r="A941" s="3" t="s">
        <v>203</v>
      </c>
      <c r="B941" s="4" t="s">
        <v>65</v>
      </c>
      <c r="C941" s="4" t="n">
        <v>5</v>
      </c>
      <c r="D941" s="4" t="s">
        <v>127</v>
      </c>
      <c r="E941" s="3" t="s">
        <v>185</v>
      </c>
      <c r="F941" s="4" t="str">
        <f aca="false">IF(I941&gt;J941,"Y","N")</f>
        <v>Y</v>
      </c>
      <c r="G941" s="3" t="s">
        <v>36</v>
      </c>
      <c r="H941" s="3" t="s">
        <v>37</v>
      </c>
      <c r="I941" s="4" t="n">
        <v>21</v>
      </c>
      <c r="J941" s="4" t="n">
        <f aca="false">LEN(E941)-LEN(SUBSTITUTE(E941,",",""))+1</f>
        <v>7</v>
      </c>
      <c r="K941" s="3" t="str">
        <f aca="false">IFERROR(INDEX('Teacher Lookup'!$B$2:$B$200,MATCH(A941,'Teacher Lookup'!$A$2:$A$200,0)),"")</f>
        <v>TSANG Annisa</v>
      </c>
    </row>
    <row r="942" customFormat="false" ht="15" hidden="false" customHeight="false" outlineLevel="0" collapsed="false">
      <c r="A942" s="3" t="s">
        <v>203</v>
      </c>
      <c r="B942" s="4" t="s">
        <v>65</v>
      </c>
      <c r="C942" s="4" t="n">
        <v>6</v>
      </c>
      <c r="D942" s="4" t="s">
        <v>76</v>
      </c>
      <c r="E942" s="3" t="s">
        <v>93</v>
      </c>
      <c r="F942" s="4" t="str">
        <f aca="false">IF(I942&gt;J942,"Y","N")</f>
        <v>N</v>
      </c>
      <c r="G942" s="3" t="s">
        <v>15</v>
      </c>
      <c r="H942" s="3" t="s">
        <v>42</v>
      </c>
      <c r="I942" s="4" t="n">
        <v>4</v>
      </c>
      <c r="J942" s="4" t="n">
        <f aca="false">LEN(E942)-LEN(SUBSTITUTE(E942,",",""))+1</f>
        <v>4</v>
      </c>
      <c r="K942" s="3" t="str">
        <f aca="false">IFERROR(INDEX('Teacher Lookup'!$B$2:$B$200,MATCH(A942,'Teacher Lookup'!$A$2:$A$200,0)),"")</f>
        <v>TSANG Annisa</v>
      </c>
    </row>
    <row r="943" customFormat="false" ht="15" hidden="false" customHeight="false" outlineLevel="0" collapsed="false">
      <c r="A943" s="3" t="s">
        <v>203</v>
      </c>
      <c r="B943" s="4" t="s">
        <v>65</v>
      </c>
      <c r="C943" s="4" t="n">
        <v>6</v>
      </c>
      <c r="D943" s="4" t="s">
        <v>78</v>
      </c>
      <c r="E943" s="3" t="s">
        <v>93</v>
      </c>
      <c r="F943" s="4" t="str">
        <f aca="false">IF(I943&gt;J943,"Y","N")</f>
        <v>N</v>
      </c>
      <c r="G943" s="3" t="s">
        <v>15</v>
      </c>
      <c r="H943" s="3" t="s">
        <v>42</v>
      </c>
      <c r="I943" s="4" t="n">
        <v>4</v>
      </c>
      <c r="J943" s="4" t="n">
        <f aca="false">LEN(E943)-LEN(SUBSTITUTE(E943,",",""))+1</f>
        <v>4</v>
      </c>
      <c r="K943" s="3" t="str">
        <f aca="false">IFERROR(INDEX('Teacher Lookup'!$B$2:$B$200,MATCH(A943,'Teacher Lookup'!$A$2:$A$200,0)),"")</f>
        <v>TSANG Annisa</v>
      </c>
    </row>
    <row r="944" customFormat="false" ht="15" hidden="false" customHeight="false" outlineLevel="0" collapsed="false">
      <c r="A944" s="3" t="s">
        <v>203</v>
      </c>
      <c r="B944" s="4" t="s">
        <v>65</v>
      </c>
      <c r="C944" s="4" t="n">
        <v>6</v>
      </c>
      <c r="D944" s="4" t="s">
        <v>79</v>
      </c>
      <c r="E944" s="3" t="s">
        <v>93</v>
      </c>
      <c r="F944" s="4" t="str">
        <f aca="false">IF(I944&gt;J944,"Y","N")</f>
        <v>N</v>
      </c>
      <c r="G944" s="3" t="s">
        <v>15</v>
      </c>
      <c r="H944" s="3" t="s">
        <v>42</v>
      </c>
      <c r="I944" s="4" t="n">
        <v>4</v>
      </c>
      <c r="J944" s="4" t="n">
        <f aca="false">LEN(E944)-LEN(SUBSTITUTE(E944,",",""))+1</f>
        <v>4</v>
      </c>
      <c r="K944" s="3" t="str">
        <f aca="false">IFERROR(INDEX('Teacher Lookup'!$B$2:$B$200,MATCH(A944,'Teacher Lookup'!$A$2:$A$200,0)),"")</f>
        <v>TSANG Annisa</v>
      </c>
    </row>
    <row r="945" customFormat="false" ht="15" hidden="false" customHeight="false" outlineLevel="0" collapsed="false">
      <c r="A945" s="3" t="s">
        <v>203</v>
      </c>
      <c r="B945" s="4" t="s">
        <v>65</v>
      </c>
      <c r="C945" s="4" t="n">
        <v>7</v>
      </c>
      <c r="D945" s="4" t="s">
        <v>140</v>
      </c>
      <c r="E945" s="3" t="s">
        <v>144</v>
      </c>
      <c r="F945" s="4" t="str">
        <f aca="false">IF(I945&gt;J945,"Y","N")</f>
        <v>N</v>
      </c>
      <c r="G945" s="3" t="s">
        <v>15</v>
      </c>
      <c r="H945" s="3" t="s">
        <v>39</v>
      </c>
      <c r="I945" s="4" t="n">
        <v>4</v>
      </c>
      <c r="J945" s="4" t="n">
        <f aca="false">LEN(E945)-LEN(SUBSTITUTE(E945,",",""))+1</f>
        <v>4</v>
      </c>
      <c r="K945" s="3" t="str">
        <f aca="false">IFERROR(INDEX('Teacher Lookup'!$B$2:$B$200,MATCH(A945,'Teacher Lookup'!$A$2:$A$200,0)),"")</f>
        <v>TSANG Annisa</v>
      </c>
    </row>
    <row r="946" customFormat="false" ht="15" hidden="false" customHeight="false" outlineLevel="0" collapsed="false">
      <c r="A946" s="3" t="s">
        <v>203</v>
      </c>
      <c r="B946" s="4" t="s">
        <v>65</v>
      </c>
      <c r="C946" s="4" t="n">
        <v>7</v>
      </c>
      <c r="D946" s="4" t="s">
        <v>142</v>
      </c>
      <c r="E946" s="3" t="s">
        <v>144</v>
      </c>
      <c r="F946" s="4" t="str">
        <f aca="false">IF(I946&gt;J946,"Y","N")</f>
        <v>N</v>
      </c>
      <c r="G946" s="3" t="s">
        <v>15</v>
      </c>
      <c r="H946" s="3" t="s">
        <v>39</v>
      </c>
      <c r="I946" s="4" t="n">
        <v>4</v>
      </c>
      <c r="J946" s="4" t="n">
        <f aca="false">LEN(E946)-LEN(SUBSTITUTE(E946,",",""))+1</f>
        <v>4</v>
      </c>
      <c r="K946" s="3" t="str">
        <f aca="false">IFERROR(INDEX('Teacher Lookup'!$B$2:$B$200,MATCH(A946,'Teacher Lookup'!$A$2:$A$200,0)),"")</f>
        <v>TSANG Annisa</v>
      </c>
    </row>
    <row r="947" customFormat="false" ht="15" hidden="false" customHeight="false" outlineLevel="0" collapsed="false">
      <c r="A947" s="3" t="s">
        <v>203</v>
      </c>
      <c r="B947" s="4" t="s">
        <v>65</v>
      </c>
      <c r="C947" s="4" t="n">
        <v>7</v>
      </c>
      <c r="D947" s="4" t="s">
        <v>127</v>
      </c>
      <c r="E947" s="3" t="s">
        <v>144</v>
      </c>
      <c r="F947" s="4" t="str">
        <f aca="false">IF(I947&gt;J947,"Y","N")</f>
        <v>N</v>
      </c>
      <c r="G947" s="3" t="s">
        <v>15</v>
      </c>
      <c r="H947" s="3" t="s">
        <v>39</v>
      </c>
      <c r="I947" s="4" t="n">
        <v>4</v>
      </c>
      <c r="J947" s="4" t="n">
        <f aca="false">LEN(E947)-LEN(SUBSTITUTE(E947,",",""))+1</f>
        <v>4</v>
      </c>
      <c r="K947" s="3" t="str">
        <f aca="false">IFERROR(INDEX('Teacher Lookup'!$B$2:$B$200,MATCH(A947,'Teacher Lookup'!$A$2:$A$200,0)),"")</f>
        <v>TSANG Annisa</v>
      </c>
    </row>
    <row r="948" customFormat="false" ht="15" hidden="false" customHeight="false" outlineLevel="0" collapsed="false">
      <c r="A948" s="3" t="s">
        <v>203</v>
      </c>
      <c r="B948" s="4" t="s">
        <v>66</v>
      </c>
      <c r="C948" s="4" t="n">
        <v>1</v>
      </c>
      <c r="D948" s="4" t="s">
        <v>137</v>
      </c>
      <c r="E948" s="3" t="s">
        <v>215</v>
      </c>
      <c r="F948" s="4" t="str">
        <f aca="false">IF(I948&gt;J948,"Y","N")</f>
        <v>N</v>
      </c>
      <c r="G948" s="3" t="s">
        <v>15</v>
      </c>
      <c r="H948" s="3" t="s">
        <v>16</v>
      </c>
      <c r="I948" s="4" t="n">
        <v>4</v>
      </c>
      <c r="J948" s="4" t="n">
        <f aca="false">LEN(E948)-LEN(SUBSTITUTE(E948,",",""))+1</f>
        <v>4</v>
      </c>
      <c r="K948" s="3" t="str">
        <f aca="false">IFERROR(INDEX('Teacher Lookup'!$B$2:$B$200,MATCH(A948,'Teacher Lookup'!$A$2:$A$200,0)),"")</f>
        <v>TSANG Annisa</v>
      </c>
    </row>
    <row r="949" customFormat="false" ht="15" hidden="false" customHeight="false" outlineLevel="0" collapsed="false">
      <c r="A949" s="3" t="s">
        <v>203</v>
      </c>
      <c r="B949" s="4" t="s">
        <v>66</v>
      </c>
      <c r="C949" s="4" t="n">
        <v>1</v>
      </c>
      <c r="D949" s="4" t="s">
        <v>124</v>
      </c>
      <c r="E949" s="3" t="s">
        <v>215</v>
      </c>
      <c r="F949" s="4" t="str">
        <f aca="false">IF(I949&gt;J949,"Y","N")</f>
        <v>N</v>
      </c>
      <c r="G949" s="3" t="s">
        <v>15</v>
      </c>
      <c r="H949" s="3" t="s">
        <v>16</v>
      </c>
      <c r="I949" s="4" t="n">
        <v>4</v>
      </c>
      <c r="J949" s="4" t="n">
        <f aca="false">LEN(E949)-LEN(SUBSTITUTE(E949,",",""))+1</f>
        <v>4</v>
      </c>
      <c r="K949" s="3" t="str">
        <f aca="false">IFERROR(INDEX('Teacher Lookup'!$B$2:$B$200,MATCH(A949,'Teacher Lookup'!$A$2:$A$200,0)),"")</f>
        <v>TSANG Annisa</v>
      </c>
    </row>
    <row r="950" customFormat="false" ht="15" hidden="false" customHeight="false" outlineLevel="0" collapsed="false">
      <c r="A950" s="3" t="s">
        <v>203</v>
      </c>
      <c r="B950" s="4" t="s">
        <v>66</v>
      </c>
      <c r="C950" s="4" t="n">
        <v>1</v>
      </c>
      <c r="D950" s="4" t="s">
        <v>139</v>
      </c>
      <c r="E950" s="3" t="s">
        <v>215</v>
      </c>
      <c r="F950" s="4" t="str">
        <f aca="false">IF(I950&gt;J950,"Y","N")</f>
        <v>N</v>
      </c>
      <c r="G950" s="3" t="s">
        <v>15</v>
      </c>
      <c r="H950" s="3" t="s">
        <v>16</v>
      </c>
      <c r="I950" s="4" t="n">
        <v>4</v>
      </c>
      <c r="J950" s="4" t="n">
        <f aca="false">LEN(E950)-LEN(SUBSTITUTE(E950,",",""))+1</f>
        <v>4</v>
      </c>
      <c r="K950" s="3" t="str">
        <f aca="false">IFERROR(INDEX('Teacher Lookup'!$B$2:$B$200,MATCH(A950,'Teacher Lookup'!$A$2:$A$200,0)),"")</f>
        <v>TSANG Annisa</v>
      </c>
    </row>
    <row r="951" customFormat="false" ht="15" hidden="false" customHeight="false" outlineLevel="0" collapsed="false">
      <c r="A951" s="3" t="s">
        <v>203</v>
      </c>
      <c r="B951" s="4" t="s">
        <v>66</v>
      </c>
      <c r="C951" s="4" t="n">
        <v>2</v>
      </c>
      <c r="D951" s="4" t="s">
        <v>140</v>
      </c>
      <c r="E951" s="3" t="s">
        <v>150</v>
      </c>
      <c r="F951" s="4" t="str">
        <f aca="false">IF(I951&gt;J951,"Y","N")</f>
        <v>N</v>
      </c>
      <c r="G951" s="3" t="s">
        <v>15</v>
      </c>
      <c r="H951" s="3" t="s">
        <v>21</v>
      </c>
      <c r="I951" s="4" t="n">
        <v>4</v>
      </c>
      <c r="J951" s="4" t="n">
        <f aca="false">LEN(E951)-LEN(SUBSTITUTE(E951,",",""))+1</f>
        <v>4</v>
      </c>
      <c r="K951" s="3" t="str">
        <f aca="false">IFERROR(INDEX('Teacher Lookup'!$B$2:$B$200,MATCH(A951,'Teacher Lookup'!$A$2:$A$200,0)),"")</f>
        <v>TSANG Annisa</v>
      </c>
    </row>
    <row r="952" customFormat="false" ht="15" hidden="false" customHeight="false" outlineLevel="0" collapsed="false">
      <c r="A952" s="3" t="s">
        <v>203</v>
      </c>
      <c r="B952" s="4" t="s">
        <v>66</v>
      </c>
      <c r="C952" s="4" t="n">
        <v>2</v>
      </c>
      <c r="D952" s="4" t="s">
        <v>142</v>
      </c>
      <c r="E952" s="3" t="s">
        <v>150</v>
      </c>
      <c r="F952" s="4" t="str">
        <f aca="false">IF(I952&gt;J952,"Y","N")</f>
        <v>N</v>
      </c>
      <c r="G952" s="3" t="s">
        <v>15</v>
      </c>
      <c r="H952" s="3" t="s">
        <v>21</v>
      </c>
      <c r="I952" s="4" t="n">
        <v>4</v>
      </c>
      <c r="J952" s="4" t="n">
        <f aca="false">LEN(E952)-LEN(SUBSTITUTE(E952,",",""))+1</f>
        <v>4</v>
      </c>
      <c r="K952" s="3" t="str">
        <f aca="false">IFERROR(INDEX('Teacher Lookup'!$B$2:$B$200,MATCH(A952,'Teacher Lookup'!$A$2:$A$200,0)),"")</f>
        <v>TSANG Annisa</v>
      </c>
    </row>
    <row r="953" customFormat="false" ht="15" hidden="false" customHeight="false" outlineLevel="0" collapsed="false">
      <c r="A953" s="3" t="s">
        <v>203</v>
      </c>
      <c r="B953" s="4" t="s">
        <v>66</v>
      </c>
      <c r="C953" s="4" t="n">
        <v>2</v>
      </c>
      <c r="D953" s="4" t="s">
        <v>127</v>
      </c>
      <c r="E953" s="3" t="s">
        <v>150</v>
      </c>
      <c r="F953" s="4" t="str">
        <f aca="false">IF(I953&gt;J953,"Y","N")</f>
        <v>N</v>
      </c>
      <c r="G953" s="3" t="s">
        <v>15</v>
      </c>
      <c r="H953" s="3" t="s">
        <v>21</v>
      </c>
      <c r="I953" s="4" t="n">
        <v>4</v>
      </c>
      <c r="J953" s="4" t="n">
        <f aca="false">LEN(E953)-LEN(SUBSTITUTE(E953,",",""))+1</f>
        <v>4</v>
      </c>
      <c r="K953" s="3" t="str">
        <f aca="false">IFERROR(INDEX('Teacher Lookup'!$B$2:$B$200,MATCH(A953,'Teacher Lookup'!$A$2:$A$200,0)),"")</f>
        <v>TSANG Annisa</v>
      </c>
    </row>
    <row r="954" customFormat="false" ht="15" hidden="false" customHeight="false" outlineLevel="0" collapsed="false">
      <c r="A954" s="3" t="s">
        <v>203</v>
      </c>
      <c r="B954" s="4" t="s">
        <v>66</v>
      </c>
      <c r="C954" s="4" t="n">
        <v>7</v>
      </c>
      <c r="D954" s="4" t="s">
        <v>76</v>
      </c>
      <c r="E954" s="3" t="s">
        <v>84</v>
      </c>
      <c r="F954" s="4" t="str">
        <f aca="false">IF(I954&gt;J954,"Y","N")</f>
        <v>N</v>
      </c>
      <c r="G954" s="3" t="s">
        <v>15</v>
      </c>
      <c r="H954" s="3" t="s">
        <v>39</v>
      </c>
      <c r="I954" s="4" t="n">
        <v>4</v>
      </c>
      <c r="J954" s="4" t="n">
        <f aca="false">LEN(E954)-LEN(SUBSTITUTE(E954,",",""))+1</f>
        <v>4</v>
      </c>
      <c r="K954" s="3" t="str">
        <f aca="false">IFERROR(INDEX('Teacher Lookup'!$B$2:$B$200,MATCH(A954,'Teacher Lookup'!$A$2:$A$200,0)),"")</f>
        <v>TSANG Annisa</v>
      </c>
    </row>
    <row r="955" customFormat="false" ht="15" hidden="false" customHeight="false" outlineLevel="0" collapsed="false">
      <c r="A955" s="3" t="s">
        <v>203</v>
      </c>
      <c r="B955" s="4" t="s">
        <v>66</v>
      </c>
      <c r="C955" s="4" t="n">
        <v>7</v>
      </c>
      <c r="D955" s="4" t="s">
        <v>78</v>
      </c>
      <c r="E955" s="3" t="s">
        <v>84</v>
      </c>
      <c r="F955" s="4" t="str">
        <f aca="false">IF(I955&gt;J955,"Y","N")</f>
        <v>N</v>
      </c>
      <c r="G955" s="3" t="s">
        <v>15</v>
      </c>
      <c r="H955" s="3" t="s">
        <v>39</v>
      </c>
      <c r="I955" s="4" t="n">
        <v>4</v>
      </c>
      <c r="J955" s="4" t="n">
        <f aca="false">LEN(E955)-LEN(SUBSTITUTE(E955,",",""))+1</f>
        <v>4</v>
      </c>
      <c r="K955" s="3" t="str">
        <f aca="false">IFERROR(INDEX('Teacher Lookup'!$B$2:$B$200,MATCH(A955,'Teacher Lookup'!$A$2:$A$200,0)),"")</f>
        <v>TSANG Annisa</v>
      </c>
    </row>
    <row r="956" customFormat="false" ht="15" hidden="false" customHeight="false" outlineLevel="0" collapsed="false">
      <c r="A956" s="3" t="s">
        <v>203</v>
      </c>
      <c r="B956" s="4" t="s">
        <v>66</v>
      </c>
      <c r="C956" s="4" t="n">
        <v>7</v>
      </c>
      <c r="D956" s="4" t="s">
        <v>79</v>
      </c>
      <c r="E956" s="3" t="s">
        <v>84</v>
      </c>
      <c r="F956" s="4" t="str">
        <f aca="false">IF(I956&gt;J956,"Y","N")</f>
        <v>N</v>
      </c>
      <c r="G956" s="3" t="s">
        <v>15</v>
      </c>
      <c r="H956" s="3" t="s">
        <v>39</v>
      </c>
      <c r="I956" s="4" t="n">
        <v>4</v>
      </c>
      <c r="J956" s="4" t="n">
        <f aca="false">LEN(E956)-LEN(SUBSTITUTE(E956,",",""))+1</f>
        <v>4</v>
      </c>
      <c r="K956" s="3" t="str">
        <f aca="false">IFERROR(INDEX('Teacher Lookup'!$B$2:$B$200,MATCH(A956,'Teacher Lookup'!$A$2:$A$200,0)),"")</f>
        <v>TSANG Annisa</v>
      </c>
    </row>
    <row r="957" customFormat="false" ht="15" hidden="false" customHeight="false" outlineLevel="0" collapsed="false">
      <c r="A957" s="3" t="s">
        <v>216</v>
      </c>
      <c r="B957" s="4" t="s">
        <v>12</v>
      </c>
      <c r="C957" s="4" t="n">
        <v>5</v>
      </c>
      <c r="D957" s="4" t="s">
        <v>137</v>
      </c>
      <c r="E957" s="3" t="s">
        <v>138</v>
      </c>
      <c r="F957" s="4" t="str">
        <f aca="false">IF(I957&gt;J957,"Y","N")</f>
        <v>N</v>
      </c>
      <c r="G957" s="3" t="s">
        <v>15</v>
      </c>
      <c r="H957" s="3" t="s">
        <v>37</v>
      </c>
      <c r="I957" s="4" t="n">
        <v>4</v>
      </c>
      <c r="J957" s="4" t="n">
        <f aca="false">LEN(E957)-LEN(SUBSTITUTE(E957,",",""))+1</f>
        <v>4</v>
      </c>
      <c r="K957" s="3" t="str">
        <f aca="false">IFERROR(INDEX('Teacher Lookup'!$B$2:$B$200,MATCH(A957,'Teacher Lookup'!$A$2:$A$200,0)),"")</f>
        <v>HUNG Arley</v>
      </c>
    </row>
    <row r="958" customFormat="false" ht="15" hidden="false" customHeight="false" outlineLevel="0" collapsed="false">
      <c r="A958" s="3" t="s">
        <v>216</v>
      </c>
      <c r="B958" s="4" t="s">
        <v>12</v>
      </c>
      <c r="C958" s="4" t="n">
        <v>5</v>
      </c>
      <c r="D958" s="4" t="s">
        <v>124</v>
      </c>
      <c r="E958" s="3" t="s">
        <v>138</v>
      </c>
      <c r="F958" s="4" t="str">
        <f aca="false">IF(I958&gt;J958,"Y","N")</f>
        <v>N</v>
      </c>
      <c r="G958" s="3" t="s">
        <v>15</v>
      </c>
      <c r="H958" s="3" t="s">
        <v>37</v>
      </c>
      <c r="I958" s="4" t="n">
        <v>4</v>
      </c>
      <c r="J958" s="4" t="n">
        <f aca="false">LEN(E958)-LEN(SUBSTITUTE(E958,",",""))+1</f>
        <v>4</v>
      </c>
      <c r="K958" s="3" t="str">
        <f aca="false">IFERROR(INDEX('Teacher Lookup'!$B$2:$B$200,MATCH(A958,'Teacher Lookup'!$A$2:$A$200,0)),"")</f>
        <v>HUNG Arley</v>
      </c>
    </row>
    <row r="959" customFormat="false" ht="15" hidden="false" customHeight="false" outlineLevel="0" collapsed="false">
      <c r="A959" s="3" t="s">
        <v>216</v>
      </c>
      <c r="B959" s="4" t="s">
        <v>12</v>
      </c>
      <c r="C959" s="4" t="n">
        <v>5</v>
      </c>
      <c r="D959" s="4" t="s">
        <v>139</v>
      </c>
      <c r="E959" s="3" t="s">
        <v>138</v>
      </c>
      <c r="F959" s="4" t="str">
        <f aca="false">IF(I959&gt;J959,"Y","N")</f>
        <v>N</v>
      </c>
      <c r="G959" s="3" t="s">
        <v>15</v>
      </c>
      <c r="H959" s="3" t="s">
        <v>37</v>
      </c>
      <c r="I959" s="4" t="n">
        <v>4</v>
      </c>
      <c r="J959" s="4" t="n">
        <f aca="false">LEN(E959)-LEN(SUBSTITUTE(E959,",",""))+1</f>
        <v>4</v>
      </c>
      <c r="K959" s="3" t="str">
        <f aca="false">IFERROR(INDEX('Teacher Lookup'!$B$2:$B$200,MATCH(A959,'Teacher Lookup'!$A$2:$A$200,0)),"")</f>
        <v>HUNG Arley</v>
      </c>
    </row>
    <row r="960" customFormat="false" ht="15" hidden="false" customHeight="false" outlineLevel="0" collapsed="false">
      <c r="A960" s="3" t="s">
        <v>216</v>
      </c>
      <c r="B960" s="4" t="s">
        <v>12</v>
      </c>
      <c r="C960" s="4" t="n">
        <v>6</v>
      </c>
      <c r="D960" s="4" t="s">
        <v>140</v>
      </c>
      <c r="E960" s="3" t="s">
        <v>144</v>
      </c>
      <c r="F960" s="4" t="str">
        <f aca="false">IF(I960&gt;J960,"Y","N")</f>
        <v>N</v>
      </c>
      <c r="G960" s="3" t="s">
        <v>15</v>
      </c>
      <c r="H960" s="3" t="s">
        <v>42</v>
      </c>
      <c r="I960" s="4" t="n">
        <v>4</v>
      </c>
      <c r="J960" s="4" t="n">
        <f aca="false">LEN(E960)-LEN(SUBSTITUTE(E960,",",""))+1</f>
        <v>4</v>
      </c>
      <c r="K960" s="3" t="str">
        <f aca="false">IFERROR(INDEX('Teacher Lookup'!$B$2:$B$200,MATCH(A960,'Teacher Lookup'!$A$2:$A$200,0)),"")</f>
        <v>HUNG Arley</v>
      </c>
    </row>
    <row r="961" customFormat="false" ht="15" hidden="false" customHeight="false" outlineLevel="0" collapsed="false">
      <c r="A961" s="3" t="s">
        <v>216</v>
      </c>
      <c r="B961" s="4" t="s">
        <v>12</v>
      </c>
      <c r="C961" s="4" t="n">
        <v>6</v>
      </c>
      <c r="D961" s="4" t="s">
        <v>142</v>
      </c>
      <c r="E961" s="3" t="s">
        <v>144</v>
      </c>
      <c r="F961" s="4" t="str">
        <f aca="false">IF(I961&gt;J961,"Y","N")</f>
        <v>N</v>
      </c>
      <c r="G961" s="3" t="s">
        <v>15</v>
      </c>
      <c r="H961" s="3" t="s">
        <v>42</v>
      </c>
      <c r="I961" s="4" t="n">
        <v>4</v>
      </c>
      <c r="J961" s="4" t="n">
        <f aca="false">LEN(E961)-LEN(SUBSTITUTE(E961,",",""))+1</f>
        <v>4</v>
      </c>
      <c r="K961" s="3" t="str">
        <f aca="false">IFERROR(INDEX('Teacher Lookup'!$B$2:$B$200,MATCH(A961,'Teacher Lookup'!$A$2:$A$200,0)),"")</f>
        <v>HUNG Arley</v>
      </c>
    </row>
    <row r="962" customFormat="false" ht="15" hidden="false" customHeight="false" outlineLevel="0" collapsed="false">
      <c r="A962" s="3" t="s">
        <v>216</v>
      </c>
      <c r="B962" s="4" t="s">
        <v>12</v>
      </c>
      <c r="C962" s="4" t="n">
        <v>6</v>
      </c>
      <c r="D962" s="4" t="s">
        <v>127</v>
      </c>
      <c r="E962" s="3" t="s">
        <v>144</v>
      </c>
      <c r="F962" s="4" t="str">
        <f aca="false">IF(I962&gt;J962,"Y","N")</f>
        <v>N</v>
      </c>
      <c r="G962" s="3" t="s">
        <v>15</v>
      </c>
      <c r="H962" s="3" t="s">
        <v>42</v>
      </c>
      <c r="I962" s="4" t="n">
        <v>4</v>
      </c>
      <c r="J962" s="4" t="n">
        <f aca="false">LEN(E962)-LEN(SUBSTITUTE(E962,",",""))+1</f>
        <v>4</v>
      </c>
      <c r="K962" s="3" t="str">
        <f aca="false">IFERROR(INDEX('Teacher Lookup'!$B$2:$B$200,MATCH(A962,'Teacher Lookup'!$A$2:$A$200,0)),"")</f>
        <v>HUNG Arley</v>
      </c>
    </row>
    <row r="963" customFormat="false" ht="15" hidden="false" customHeight="false" outlineLevel="0" collapsed="false">
      <c r="A963" s="3" t="s">
        <v>216</v>
      </c>
      <c r="B963" s="4" t="s">
        <v>12</v>
      </c>
      <c r="C963" s="4" t="n">
        <v>7</v>
      </c>
      <c r="D963" s="4" t="s">
        <v>70</v>
      </c>
      <c r="E963" s="3" t="s">
        <v>217</v>
      </c>
      <c r="F963" s="4" t="str">
        <f aca="false">IF(I963&gt;J963,"Y","N")</f>
        <v>N</v>
      </c>
      <c r="G963" s="3" t="s">
        <v>15</v>
      </c>
      <c r="H963" s="3" t="s">
        <v>39</v>
      </c>
      <c r="I963" s="4" t="n">
        <v>4</v>
      </c>
      <c r="J963" s="4" t="n">
        <f aca="false">LEN(E963)-LEN(SUBSTITUTE(E963,",",""))+1</f>
        <v>4</v>
      </c>
      <c r="K963" s="3" t="str">
        <f aca="false">IFERROR(INDEX('Teacher Lookup'!$B$2:$B$200,MATCH(A963,'Teacher Lookup'!$A$2:$A$200,0)),"")</f>
        <v>HUNG Arley</v>
      </c>
    </row>
    <row r="964" customFormat="false" ht="15" hidden="false" customHeight="false" outlineLevel="0" collapsed="false">
      <c r="A964" s="3" t="s">
        <v>216</v>
      </c>
      <c r="B964" s="4" t="s">
        <v>12</v>
      </c>
      <c r="C964" s="4" t="n">
        <v>7</v>
      </c>
      <c r="D964" s="4" t="s">
        <v>73</v>
      </c>
      <c r="E964" s="3" t="s">
        <v>217</v>
      </c>
      <c r="F964" s="4" t="str">
        <f aca="false">IF(I964&gt;J964,"Y","N")</f>
        <v>N</v>
      </c>
      <c r="G964" s="3" t="s">
        <v>15</v>
      </c>
      <c r="H964" s="3" t="s">
        <v>39</v>
      </c>
      <c r="I964" s="4" t="n">
        <v>4</v>
      </c>
      <c r="J964" s="4" t="n">
        <f aca="false">LEN(E964)-LEN(SUBSTITUTE(E964,",",""))+1</f>
        <v>4</v>
      </c>
      <c r="K964" s="3" t="str">
        <f aca="false">IFERROR(INDEX('Teacher Lookup'!$B$2:$B$200,MATCH(A964,'Teacher Lookup'!$A$2:$A$200,0)),"")</f>
        <v>HUNG Arley</v>
      </c>
    </row>
    <row r="965" customFormat="false" ht="15" hidden="false" customHeight="false" outlineLevel="0" collapsed="false">
      <c r="A965" s="3" t="s">
        <v>216</v>
      </c>
      <c r="B965" s="4" t="s">
        <v>12</v>
      </c>
      <c r="C965" s="4" t="n">
        <v>7</v>
      </c>
      <c r="D965" s="4" t="s">
        <v>74</v>
      </c>
      <c r="E965" s="3" t="s">
        <v>217</v>
      </c>
      <c r="F965" s="4" t="str">
        <f aca="false">IF(I965&gt;J965,"Y","N")</f>
        <v>N</v>
      </c>
      <c r="G965" s="3" t="s">
        <v>15</v>
      </c>
      <c r="H965" s="3" t="s">
        <v>39</v>
      </c>
      <c r="I965" s="4" t="n">
        <v>4</v>
      </c>
      <c r="J965" s="4" t="n">
        <f aca="false">LEN(E965)-LEN(SUBSTITUTE(E965,",",""))+1</f>
        <v>4</v>
      </c>
      <c r="K965" s="3" t="str">
        <f aca="false">IFERROR(INDEX('Teacher Lookup'!$B$2:$B$200,MATCH(A965,'Teacher Lookup'!$A$2:$A$200,0)),"")</f>
        <v>HUNG Arley</v>
      </c>
    </row>
    <row r="966" customFormat="false" ht="15" hidden="false" customHeight="false" outlineLevel="0" collapsed="false">
      <c r="A966" s="3" t="s">
        <v>216</v>
      </c>
      <c r="B966" s="4" t="s">
        <v>31</v>
      </c>
      <c r="C966" s="4" t="n">
        <v>1</v>
      </c>
      <c r="D966" s="4" t="s">
        <v>137</v>
      </c>
      <c r="E966" s="3" t="s">
        <v>146</v>
      </c>
      <c r="F966" s="4" t="str">
        <f aca="false">IF(I966&gt;J966,"Y","N")</f>
        <v>N</v>
      </c>
      <c r="G966" s="3" t="s">
        <v>15</v>
      </c>
      <c r="H966" s="3" t="s">
        <v>16</v>
      </c>
      <c r="I966" s="4" t="n">
        <v>4</v>
      </c>
      <c r="J966" s="4" t="n">
        <f aca="false">LEN(E966)-LEN(SUBSTITUTE(E966,",",""))+1</f>
        <v>4</v>
      </c>
      <c r="K966" s="3" t="str">
        <f aca="false">IFERROR(INDEX('Teacher Lookup'!$B$2:$B$200,MATCH(A966,'Teacher Lookup'!$A$2:$A$200,0)),"")</f>
        <v>HUNG Arley</v>
      </c>
    </row>
    <row r="967" customFormat="false" ht="15" hidden="false" customHeight="false" outlineLevel="0" collapsed="false">
      <c r="A967" s="3" t="s">
        <v>216</v>
      </c>
      <c r="B967" s="4" t="s">
        <v>31</v>
      </c>
      <c r="C967" s="4" t="n">
        <v>1</v>
      </c>
      <c r="D967" s="4" t="s">
        <v>124</v>
      </c>
      <c r="E967" s="3" t="s">
        <v>146</v>
      </c>
      <c r="F967" s="4" t="str">
        <f aca="false">IF(I967&gt;J967,"Y","N")</f>
        <v>N</v>
      </c>
      <c r="G967" s="3" t="s">
        <v>15</v>
      </c>
      <c r="H967" s="3" t="s">
        <v>16</v>
      </c>
      <c r="I967" s="4" t="n">
        <v>4</v>
      </c>
      <c r="J967" s="4" t="n">
        <f aca="false">LEN(E967)-LEN(SUBSTITUTE(E967,",",""))+1</f>
        <v>4</v>
      </c>
      <c r="K967" s="3" t="str">
        <f aca="false">IFERROR(INDEX('Teacher Lookup'!$B$2:$B$200,MATCH(A967,'Teacher Lookup'!$A$2:$A$200,0)),"")</f>
        <v>HUNG Arley</v>
      </c>
    </row>
    <row r="968" customFormat="false" ht="15" hidden="false" customHeight="false" outlineLevel="0" collapsed="false">
      <c r="A968" s="3" t="s">
        <v>216</v>
      </c>
      <c r="B968" s="4" t="s">
        <v>31</v>
      </c>
      <c r="C968" s="4" t="n">
        <v>1</v>
      </c>
      <c r="D968" s="4" t="s">
        <v>139</v>
      </c>
      <c r="E968" s="3" t="s">
        <v>146</v>
      </c>
      <c r="F968" s="4" t="str">
        <f aca="false">IF(I968&gt;J968,"Y","N")</f>
        <v>N</v>
      </c>
      <c r="G968" s="3" t="s">
        <v>15</v>
      </c>
      <c r="H968" s="3" t="s">
        <v>16</v>
      </c>
      <c r="I968" s="4" t="n">
        <v>4</v>
      </c>
      <c r="J968" s="4" t="n">
        <f aca="false">LEN(E968)-LEN(SUBSTITUTE(E968,",",""))+1</f>
        <v>4</v>
      </c>
      <c r="K968" s="3" t="str">
        <f aca="false">IFERROR(INDEX('Teacher Lookup'!$B$2:$B$200,MATCH(A968,'Teacher Lookup'!$A$2:$A$200,0)),"")</f>
        <v>HUNG Arley</v>
      </c>
    </row>
    <row r="969" customFormat="false" ht="15" hidden="false" customHeight="false" outlineLevel="0" collapsed="false">
      <c r="A969" s="3" t="s">
        <v>216</v>
      </c>
      <c r="B969" s="4" t="s">
        <v>31</v>
      </c>
      <c r="C969" s="4" t="n">
        <v>3</v>
      </c>
      <c r="D969" s="4" t="s">
        <v>70</v>
      </c>
      <c r="E969" s="3" t="s">
        <v>218</v>
      </c>
      <c r="F969" s="4" t="str">
        <f aca="false">IF(I969&gt;J969,"Y","N")</f>
        <v>N</v>
      </c>
      <c r="G969" s="3" t="s">
        <v>15</v>
      </c>
      <c r="H969" s="3" t="s">
        <v>26</v>
      </c>
      <c r="I969" s="4" t="n">
        <v>4</v>
      </c>
      <c r="J969" s="4" t="n">
        <f aca="false">LEN(E969)-LEN(SUBSTITUTE(E969,",",""))+1</f>
        <v>4</v>
      </c>
      <c r="K969" s="3" t="str">
        <f aca="false">IFERROR(INDEX('Teacher Lookup'!$B$2:$B$200,MATCH(A969,'Teacher Lookup'!$A$2:$A$200,0)),"")</f>
        <v>HUNG Arley</v>
      </c>
    </row>
    <row r="970" customFormat="false" ht="15" hidden="false" customHeight="false" outlineLevel="0" collapsed="false">
      <c r="A970" s="3" t="s">
        <v>216</v>
      </c>
      <c r="B970" s="4" t="s">
        <v>31</v>
      </c>
      <c r="C970" s="4" t="n">
        <v>3</v>
      </c>
      <c r="D970" s="4" t="s">
        <v>73</v>
      </c>
      <c r="E970" s="3" t="s">
        <v>218</v>
      </c>
      <c r="F970" s="4" t="str">
        <f aca="false">IF(I970&gt;J970,"Y","N")</f>
        <v>N</v>
      </c>
      <c r="G970" s="3" t="s">
        <v>15</v>
      </c>
      <c r="H970" s="3" t="s">
        <v>26</v>
      </c>
      <c r="I970" s="4" t="n">
        <v>4</v>
      </c>
      <c r="J970" s="4" t="n">
        <f aca="false">LEN(E970)-LEN(SUBSTITUTE(E970,",",""))+1</f>
        <v>4</v>
      </c>
      <c r="K970" s="3" t="str">
        <f aca="false">IFERROR(INDEX('Teacher Lookup'!$B$2:$B$200,MATCH(A970,'Teacher Lookup'!$A$2:$A$200,0)),"")</f>
        <v>HUNG Arley</v>
      </c>
    </row>
    <row r="971" customFormat="false" ht="15" hidden="false" customHeight="false" outlineLevel="0" collapsed="false">
      <c r="A971" s="3" t="s">
        <v>216</v>
      </c>
      <c r="B971" s="4" t="s">
        <v>31</v>
      </c>
      <c r="C971" s="4" t="n">
        <v>3</v>
      </c>
      <c r="D971" s="4" t="s">
        <v>74</v>
      </c>
      <c r="E971" s="3" t="s">
        <v>218</v>
      </c>
      <c r="F971" s="4" t="str">
        <f aca="false">IF(I971&gt;J971,"Y","N")</f>
        <v>N</v>
      </c>
      <c r="G971" s="3" t="s">
        <v>15</v>
      </c>
      <c r="H971" s="3" t="s">
        <v>26</v>
      </c>
      <c r="I971" s="4" t="n">
        <v>4</v>
      </c>
      <c r="J971" s="4" t="n">
        <f aca="false">LEN(E971)-LEN(SUBSTITUTE(E971,",",""))+1</f>
        <v>4</v>
      </c>
      <c r="K971" s="3" t="str">
        <f aca="false">IFERROR(INDEX('Teacher Lookup'!$B$2:$B$200,MATCH(A971,'Teacher Lookup'!$A$2:$A$200,0)),"")</f>
        <v>HUNG Arley</v>
      </c>
    </row>
    <row r="972" customFormat="false" ht="15" hidden="false" customHeight="false" outlineLevel="0" collapsed="false">
      <c r="A972" s="3" t="s">
        <v>216</v>
      </c>
      <c r="B972" s="4" t="s">
        <v>31</v>
      </c>
      <c r="C972" s="4" t="n">
        <v>5</v>
      </c>
      <c r="D972" s="4" t="s">
        <v>137</v>
      </c>
      <c r="E972" s="3" t="s">
        <v>185</v>
      </c>
      <c r="F972" s="4" t="str">
        <f aca="false">IF(I972&gt;J972,"Y","N")</f>
        <v>Y</v>
      </c>
      <c r="G972" s="3" t="s">
        <v>36</v>
      </c>
      <c r="H972" s="3" t="s">
        <v>37</v>
      </c>
      <c r="I972" s="4" t="n">
        <v>21</v>
      </c>
      <c r="J972" s="4" t="n">
        <f aca="false">LEN(E972)-LEN(SUBSTITUTE(E972,",",""))+1</f>
        <v>7</v>
      </c>
      <c r="K972" s="3" t="str">
        <f aca="false">IFERROR(INDEX('Teacher Lookup'!$B$2:$B$200,MATCH(A972,'Teacher Lookup'!$A$2:$A$200,0)),"")</f>
        <v>HUNG Arley</v>
      </c>
    </row>
    <row r="973" customFormat="false" ht="15" hidden="false" customHeight="false" outlineLevel="0" collapsed="false">
      <c r="A973" s="3" t="s">
        <v>216</v>
      </c>
      <c r="B973" s="4" t="s">
        <v>31</v>
      </c>
      <c r="C973" s="4" t="n">
        <v>5</v>
      </c>
      <c r="D973" s="4" t="s">
        <v>124</v>
      </c>
      <c r="E973" s="3" t="s">
        <v>185</v>
      </c>
      <c r="F973" s="4" t="str">
        <f aca="false">IF(I973&gt;J973,"Y","N")</f>
        <v>Y</v>
      </c>
      <c r="G973" s="3" t="s">
        <v>36</v>
      </c>
      <c r="H973" s="3" t="s">
        <v>37</v>
      </c>
      <c r="I973" s="4" t="n">
        <v>21</v>
      </c>
      <c r="J973" s="4" t="n">
        <f aca="false">LEN(E973)-LEN(SUBSTITUTE(E973,",",""))+1</f>
        <v>7</v>
      </c>
      <c r="K973" s="3" t="str">
        <f aca="false">IFERROR(INDEX('Teacher Lookup'!$B$2:$B$200,MATCH(A973,'Teacher Lookup'!$A$2:$A$200,0)),"")</f>
        <v>HUNG Arley</v>
      </c>
    </row>
    <row r="974" customFormat="false" ht="15" hidden="false" customHeight="false" outlineLevel="0" collapsed="false">
      <c r="A974" s="3" t="s">
        <v>216</v>
      </c>
      <c r="B974" s="4" t="s">
        <v>31</v>
      </c>
      <c r="C974" s="4" t="n">
        <v>5</v>
      </c>
      <c r="D974" s="4" t="s">
        <v>139</v>
      </c>
      <c r="E974" s="3" t="s">
        <v>185</v>
      </c>
      <c r="F974" s="4" t="str">
        <f aca="false">IF(I974&gt;J974,"Y","N")</f>
        <v>Y</v>
      </c>
      <c r="G974" s="3" t="s">
        <v>36</v>
      </c>
      <c r="H974" s="3" t="s">
        <v>37</v>
      </c>
      <c r="I974" s="4" t="n">
        <v>21</v>
      </c>
      <c r="J974" s="4" t="n">
        <f aca="false">LEN(E974)-LEN(SUBSTITUTE(E974,",",""))+1</f>
        <v>7</v>
      </c>
      <c r="K974" s="3" t="str">
        <f aca="false">IFERROR(INDEX('Teacher Lookup'!$B$2:$B$200,MATCH(A974,'Teacher Lookup'!$A$2:$A$200,0)),"")</f>
        <v>HUNG Arley</v>
      </c>
    </row>
    <row r="975" customFormat="false" ht="15" hidden="false" customHeight="false" outlineLevel="0" collapsed="false">
      <c r="A975" s="3" t="s">
        <v>216</v>
      </c>
      <c r="B975" s="4" t="s">
        <v>31</v>
      </c>
      <c r="C975" s="4" t="n">
        <v>5</v>
      </c>
      <c r="D975" s="4" t="s">
        <v>140</v>
      </c>
      <c r="E975" s="3" t="s">
        <v>185</v>
      </c>
      <c r="F975" s="4" t="str">
        <f aca="false">IF(I975&gt;J975,"Y","N")</f>
        <v>Y</v>
      </c>
      <c r="G975" s="3" t="s">
        <v>36</v>
      </c>
      <c r="H975" s="3" t="s">
        <v>37</v>
      </c>
      <c r="I975" s="4" t="n">
        <v>21</v>
      </c>
      <c r="J975" s="4" t="n">
        <f aca="false">LEN(E975)-LEN(SUBSTITUTE(E975,",",""))+1</f>
        <v>7</v>
      </c>
      <c r="K975" s="3" t="str">
        <f aca="false">IFERROR(INDEX('Teacher Lookup'!$B$2:$B$200,MATCH(A975,'Teacher Lookup'!$A$2:$A$200,0)),"")</f>
        <v>HUNG Arley</v>
      </c>
    </row>
    <row r="976" customFormat="false" ht="15" hidden="false" customHeight="false" outlineLevel="0" collapsed="false">
      <c r="A976" s="3" t="s">
        <v>216</v>
      </c>
      <c r="B976" s="4" t="s">
        <v>31</v>
      </c>
      <c r="C976" s="4" t="n">
        <v>5</v>
      </c>
      <c r="D976" s="4" t="s">
        <v>142</v>
      </c>
      <c r="E976" s="3" t="s">
        <v>185</v>
      </c>
      <c r="F976" s="4" t="str">
        <f aca="false">IF(I976&gt;J976,"Y","N")</f>
        <v>Y</v>
      </c>
      <c r="G976" s="3" t="s">
        <v>36</v>
      </c>
      <c r="H976" s="3" t="s">
        <v>37</v>
      </c>
      <c r="I976" s="4" t="n">
        <v>21</v>
      </c>
      <c r="J976" s="4" t="n">
        <f aca="false">LEN(E976)-LEN(SUBSTITUTE(E976,",",""))+1</f>
        <v>7</v>
      </c>
      <c r="K976" s="3" t="str">
        <f aca="false">IFERROR(INDEX('Teacher Lookup'!$B$2:$B$200,MATCH(A976,'Teacher Lookup'!$A$2:$A$200,0)),"")</f>
        <v>HUNG Arley</v>
      </c>
    </row>
    <row r="977" customFormat="false" ht="15" hidden="false" customHeight="false" outlineLevel="0" collapsed="false">
      <c r="A977" s="3" t="s">
        <v>216</v>
      </c>
      <c r="B977" s="4" t="s">
        <v>31</v>
      </c>
      <c r="C977" s="4" t="n">
        <v>5</v>
      </c>
      <c r="D977" s="4" t="s">
        <v>127</v>
      </c>
      <c r="E977" s="3" t="s">
        <v>185</v>
      </c>
      <c r="F977" s="4" t="str">
        <f aca="false">IF(I977&gt;J977,"Y","N")</f>
        <v>Y</v>
      </c>
      <c r="G977" s="3" t="s">
        <v>36</v>
      </c>
      <c r="H977" s="3" t="s">
        <v>37</v>
      </c>
      <c r="I977" s="4" t="n">
        <v>21</v>
      </c>
      <c r="J977" s="4" t="n">
        <f aca="false">LEN(E977)-LEN(SUBSTITUTE(E977,",",""))+1</f>
        <v>7</v>
      </c>
      <c r="K977" s="3" t="str">
        <f aca="false">IFERROR(INDEX('Teacher Lookup'!$B$2:$B$200,MATCH(A977,'Teacher Lookup'!$A$2:$A$200,0)),"")</f>
        <v>HUNG Arley</v>
      </c>
    </row>
    <row r="978" customFormat="false" ht="15" hidden="false" customHeight="false" outlineLevel="0" collapsed="false">
      <c r="A978" s="3" t="s">
        <v>216</v>
      </c>
      <c r="B978" s="4" t="s">
        <v>31</v>
      </c>
      <c r="C978" s="4" t="n">
        <v>7</v>
      </c>
      <c r="D978" s="4" t="s">
        <v>140</v>
      </c>
      <c r="E978" s="3" t="s">
        <v>144</v>
      </c>
      <c r="F978" s="4" t="str">
        <f aca="false">IF(I978&gt;J978,"Y","N")</f>
        <v>N</v>
      </c>
      <c r="G978" s="3" t="s">
        <v>15</v>
      </c>
      <c r="H978" s="3" t="s">
        <v>39</v>
      </c>
      <c r="I978" s="4" t="n">
        <v>4</v>
      </c>
      <c r="J978" s="4" t="n">
        <f aca="false">LEN(E978)-LEN(SUBSTITUTE(E978,",",""))+1</f>
        <v>4</v>
      </c>
      <c r="K978" s="3" t="str">
        <f aca="false">IFERROR(INDEX('Teacher Lookup'!$B$2:$B$200,MATCH(A978,'Teacher Lookup'!$A$2:$A$200,0)),"")</f>
        <v>HUNG Arley</v>
      </c>
    </row>
    <row r="979" customFormat="false" ht="15" hidden="false" customHeight="false" outlineLevel="0" collapsed="false">
      <c r="A979" s="3" t="s">
        <v>216</v>
      </c>
      <c r="B979" s="4" t="s">
        <v>31</v>
      </c>
      <c r="C979" s="4" t="n">
        <v>7</v>
      </c>
      <c r="D979" s="4" t="s">
        <v>142</v>
      </c>
      <c r="E979" s="3" t="s">
        <v>144</v>
      </c>
      <c r="F979" s="4" t="str">
        <f aca="false">IF(I979&gt;J979,"Y","N")</f>
        <v>N</v>
      </c>
      <c r="G979" s="3" t="s">
        <v>15</v>
      </c>
      <c r="H979" s="3" t="s">
        <v>39</v>
      </c>
      <c r="I979" s="4" t="n">
        <v>4</v>
      </c>
      <c r="J979" s="4" t="n">
        <f aca="false">LEN(E979)-LEN(SUBSTITUTE(E979,",",""))+1</f>
        <v>4</v>
      </c>
      <c r="K979" s="3" t="str">
        <f aca="false">IFERROR(INDEX('Teacher Lookup'!$B$2:$B$200,MATCH(A979,'Teacher Lookup'!$A$2:$A$200,0)),"")</f>
        <v>HUNG Arley</v>
      </c>
    </row>
    <row r="980" customFormat="false" ht="15" hidden="false" customHeight="false" outlineLevel="0" collapsed="false">
      <c r="A980" s="3" t="s">
        <v>216</v>
      </c>
      <c r="B980" s="4" t="s">
        <v>31</v>
      </c>
      <c r="C980" s="4" t="n">
        <v>7</v>
      </c>
      <c r="D980" s="4" t="s">
        <v>127</v>
      </c>
      <c r="E980" s="3" t="s">
        <v>144</v>
      </c>
      <c r="F980" s="4" t="str">
        <f aca="false">IF(I980&gt;J980,"Y","N")</f>
        <v>N</v>
      </c>
      <c r="G980" s="3" t="s">
        <v>15</v>
      </c>
      <c r="H980" s="3" t="s">
        <v>39</v>
      </c>
      <c r="I980" s="4" t="n">
        <v>4</v>
      </c>
      <c r="J980" s="4" t="n">
        <f aca="false">LEN(E980)-LEN(SUBSTITUTE(E980,",",""))+1</f>
        <v>4</v>
      </c>
      <c r="K980" s="3" t="str">
        <f aca="false">IFERROR(INDEX('Teacher Lookup'!$B$2:$B$200,MATCH(A980,'Teacher Lookup'!$A$2:$A$200,0)),"")</f>
        <v>HUNG Arley</v>
      </c>
    </row>
    <row r="981" customFormat="false" ht="15" hidden="false" customHeight="false" outlineLevel="0" collapsed="false">
      <c r="A981" s="3" t="s">
        <v>216</v>
      </c>
      <c r="B981" s="4" t="s">
        <v>40</v>
      </c>
      <c r="C981" s="4" t="n">
        <v>1</v>
      </c>
      <c r="D981" s="4" t="s">
        <v>137</v>
      </c>
      <c r="E981" s="3" t="s">
        <v>205</v>
      </c>
      <c r="F981" s="4" t="str">
        <f aca="false">IF(I981&gt;J981,"Y","N")</f>
        <v>N</v>
      </c>
      <c r="G981" s="3" t="s">
        <v>15</v>
      </c>
      <c r="H981" s="3" t="s">
        <v>16</v>
      </c>
      <c r="I981" s="4" t="n">
        <v>4</v>
      </c>
      <c r="J981" s="4" t="n">
        <f aca="false">LEN(E981)-LEN(SUBSTITUTE(E981,",",""))+1</f>
        <v>4</v>
      </c>
      <c r="K981" s="3" t="str">
        <f aca="false">IFERROR(INDEX('Teacher Lookup'!$B$2:$B$200,MATCH(A981,'Teacher Lookup'!$A$2:$A$200,0)),"")</f>
        <v>HUNG Arley</v>
      </c>
    </row>
    <row r="982" customFormat="false" ht="15" hidden="false" customHeight="false" outlineLevel="0" collapsed="false">
      <c r="A982" s="3" t="s">
        <v>216</v>
      </c>
      <c r="B982" s="4" t="s">
        <v>40</v>
      </c>
      <c r="C982" s="4" t="n">
        <v>1</v>
      </c>
      <c r="D982" s="4" t="s">
        <v>124</v>
      </c>
      <c r="E982" s="3" t="s">
        <v>205</v>
      </c>
      <c r="F982" s="4" t="str">
        <f aca="false">IF(I982&gt;J982,"Y","N")</f>
        <v>N</v>
      </c>
      <c r="G982" s="3" t="s">
        <v>15</v>
      </c>
      <c r="H982" s="3" t="s">
        <v>16</v>
      </c>
      <c r="I982" s="4" t="n">
        <v>4</v>
      </c>
      <c r="J982" s="4" t="n">
        <f aca="false">LEN(E982)-LEN(SUBSTITUTE(E982,",",""))+1</f>
        <v>4</v>
      </c>
      <c r="K982" s="3" t="str">
        <f aca="false">IFERROR(INDEX('Teacher Lookup'!$B$2:$B$200,MATCH(A982,'Teacher Lookup'!$A$2:$A$200,0)),"")</f>
        <v>HUNG Arley</v>
      </c>
    </row>
    <row r="983" customFormat="false" ht="15" hidden="false" customHeight="false" outlineLevel="0" collapsed="false">
      <c r="A983" s="3" t="s">
        <v>216</v>
      </c>
      <c r="B983" s="4" t="s">
        <v>40</v>
      </c>
      <c r="C983" s="4" t="n">
        <v>1</v>
      </c>
      <c r="D983" s="4" t="s">
        <v>139</v>
      </c>
      <c r="E983" s="3" t="s">
        <v>205</v>
      </c>
      <c r="F983" s="4" t="str">
        <f aca="false">IF(I983&gt;J983,"Y","N")</f>
        <v>N</v>
      </c>
      <c r="G983" s="3" t="s">
        <v>15</v>
      </c>
      <c r="H983" s="3" t="s">
        <v>16</v>
      </c>
      <c r="I983" s="4" t="n">
        <v>4</v>
      </c>
      <c r="J983" s="4" t="n">
        <f aca="false">LEN(E983)-LEN(SUBSTITUTE(E983,",",""))+1</f>
        <v>4</v>
      </c>
      <c r="K983" s="3" t="str">
        <f aca="false">IFERROR(INDEX('Teacher Lookup'!$B$2:$B$200,MATCH(A983,'Teacher Lookup'!$A$2:$A$200,0)),"")</f>
        <v>HUNG Arley</v>
      </c>
    </row>
    <row r="984" customFormat="false" ht="15" hidden="false" customHeight="false" outlineLevel="0" collapsed="false">
      <c r="A984" s="3" t="s">
        <v>216</v>
      </c>
      <c r="B984" s="4" t="s">
        <v>40</v>
      </c>
      <c r="C984" s="4" t="n">
        <v>4</v>
      </c>
      <c r="D984" s="4" t="s">
        <v>140</v>
      </c>
      <c r="E984" s="3" t="s">
        <v>207</v>
      </c>
      <c r="F984" s="4" t="str">
        <f aca="false">IF(I984&gt;J984,"Y","N")</f>
        <v>N</v>
      </c>
      <c r="G984" s="3" t="s">
        <v>15</v>
      </c>
      <c r="H984" s="3" t="s">
        <v>34</v>
      </c>
      <c r="I984" s="4" t="n">
        <v>4</v>
      </c>
      <c r="J984" s="4" t="n">
        <f aca="false">LEN(E984)-LEN(SUBSTITUTE(E984,",",""))+1</f>
        <v>4</v>
      </c>
      <c r="K984" s="3" t="str">
        <f aca="false">IFERROR(INDEX('Teacher Lookup'!$B$2:$B$200,MATCH(A984,'Teacher Lookup'!$A$2:$A$200,0)),"")</f>
        <v>HUNG Arley</v>
      </c>
    </row>
    <row r="985" customFormat="false" ht="15" hidden="false" customHeight="false" outlineLevel="0" collapsed="false">
      <c r="A985" s="3" t="s">
        <v>216</v>
      </c>
      <c r="B985" s="4" t="s">
        <v>40</v>
      </c>
      <c r="C985" s="4" t="n">
        <v>4</v>
      </c>
      <c r="D985" s="4" t="s">
        <v>142</v>
      </c>
      <c r="E985" s="3" t="s">
        <v>207</v>
      </c>
      <c r="F985" s="4" t="str">
        <f aca="false">IF(I985&gt;J985,"Y","N")</f>
        <v>N</v>
      </c>
      <c r="G985" s="3" t="s">
        <v>15</v>
      </c>
      <c r="H985" s="3" t="s">
        <v>34</v>
      </c>
      <c r="I985" s="4" t="n">
        <v>4</v>
      </c>
      <c r="J985" s="4" t="n">
        <f aca="false">LEN(E985)-LEN(SUBSTITUTE(E985,",",""))+1</f>
        <v>4</v>
      </c>
      <c r="K985" s="3" t="str">
        <f aca="false">IFERROR(INDEX('Teacher Lookup'!$B$2:$B$200,MATCH(A985,'Teacher Lookup'!$A$2:$A$200,0)),"")</f>
        <v>HUNG Arley</v>
      </c>
    </row>
    <row r="986" customFormat="false" ht="15" hidden="false" customHeight="false" outlineLevel="0" collapsed="false">
      <c r="A986" s="3" t="s">
        <v>216</v>
      </c>
      <c r="B986" s="4" t="s">
        <v>40</v>
      </c>
      <c r="C986" s="4" t="n">
        <v>4</v>
      </c>
      <c r="D986" s="4" t="s">
        <v>127</v>
      </c>
      <c r="E986" s="3" t="s">
        <v>207</v>
      </c>
      <c r="F986" s="4" t="str">
        <f aca="false">IF(I986&gt;J986,"Y","N")</f>
        <v>N</v>
      </c>
      <c r="G986" s="3" t="s">
        <v>15</v>
      </c>
      <c r="H986" s="3" t="s">
        <v>34</v>
      </c>
      <c r="I986" s="4" t="n">
        <v>4</v>
      </c>
      <c r="J986" s="4" t="n">
        <f aca="false">LEN(E986)-LEN(SUBSTITUTE(E986,",",""))+1</f>
        <v>4</v>
      </c>
      <c r="K986" s="3" t="str">
        <f aca="false">IFERROR(INDEX('Teacher Lookup'!$B$2:$B$200,MATCH(A986,'Teacher Lookup'!$A$2:$A$200,0)),"")</f>
        <v>HUNG Arley</v>
      </c>
    </row>
    <row r="987" customFormat="false" ht="15" hidden="false" customHeight="false" outlineLevel="0" collapsed="false">
      <c r="A987" s="3" t="s">
        <v>216</v>
      </c>
      <c r="B987" s="4" t="s">
        <v>40</v>
      </c>
      <c r="C987" s="4" t="n">
        <v>7</v>
      </c>
      <c r="D987" s="4" t="s">
        <v>70</v>
      </c>
      <c r="E987" s="3" t="s">
        <v>83</v>
      </c>
      <c r="F987" s="4" t="str">
        <f aca="false">IF(I987&gt;J987,"Y","N")</f>
        <v>N</v>
      </c>
      <c r="G987" s="3" t="s">
        <v>15</v>
      </c>
      <c r="H987" s="3" t="s">
        <v>39</v>
      </c>
      <c r="I987" s="4" t="n">
        <v>4</v>
      </c>
      <c r="J987" s="4" t="n">
        <f aca="false">LEN(E987)-LEN(SUBSTITUTE(E987,",",""))+1</f>
        <v>4</v>
      </c>
      <c r="K987" s="3" t="str">
        <f aca="false">IFERROR(INDEX('Teacher Lookup'!$B$2:$B$200,MATCH(A987,'Teacher Lookup'!$A$2:$A$200,0)),"")</f>
        <v>HUNG Arley</v>
      </c>
    </row>
    <row r="988" customFormat="false" ht="15" hidden="false" customHeight="false" outlineLevel="0" collapsed="false">
      <c r="A988" s="3" t="s">
        <v>216</v>
      </c>
      <c r="B988" s="4" t="s">
        <v>40</v>
      </c>
      <c r="C988" s="4" t="n">
        <v>7</v>
      </c>
      <c r="D988" s="4" t="s">
        <v>73</v>
      </c>
      <c r="E988" s="3" t="s">
        <v>83</v>
      </c>
      <c r="F988" s="4" t="str">
        <f aca="false">IF(I988&gt;J988,"Y","N")</f>
        <v>N</v>
      </c>
      <c r="G988" s="3" t="s">
        <v>15</v>
      </c>
      <c r="H988" s="3" t="s">
        <v>39</v>
      </c>
      <c r="I988" s="4" t="n">
        <v>4</v>
      </c>
      <c r="J988" s="4" t="n">
        <f aca="false">LEN(E988)-LEN(SUBSTITUTE(E988,",",""))+1</f>
        <v>4</v>
      </c>
      <c r="K988" s="3" t="str">
        <f aca="false">IFERROR(INDEX('Teacher Lookup'!$B$2:$B$200,MATCH(A988,'Teacher Lookup'!$A$2:$A$200,0)),"")</f>
        <v>HUNG Arley</v>
      </c>
    </row>
    <row r="989" customFormat="false" ht="15" hidden="false" customHeight="false" outlineLevel="0" collapsed="false">
      <c r="A989" s="3" t="s">
        <v>216</v>
      </c>
      <c r="B989" s="4" t="s">
        <v>40</v>
      </c>
      <c r="C989" s="4" t="n">
        <v>7</v>
      </c>
      <c r="D989" s="4" t="s">
        <v>74</v>
      </c>
      <c r="E989" s="3" t="s">
        <v>83</v>
      </c>
      <c r="F989" s="4" t="str">
        <f aca="false">IF(I989&gt;J989,"Y","N")</f>
        <v>N</v>
      </c>
      <c r="G989" s="3" t="s">
        <v>15</v>
      </c>
      <c r="H989" s="3" t="s">
        <v>39</v>
      </c>
      <c r="I989" s="4" t="n">
        <v>4</v>
      </c>
      <c r="J989" s="4" t="n">
        <f aca="false">LEN(E989)-LEN(SUBSTITUTE(E989,",",""))+1</f>
        <v>4</v>
      </c>
      <c r="K989" s="3" t="str">
        <f aca="false">IFERROR(INDEX('Teacher Lookup'!$B$2:$B$200,MATCH(A989,'Teacher Lookup'!$A$2:$A$200,0)),"")</f>
        <v>HUNG Arley</v>
      </c>
    </row>
    <row r="990" customFormat="false" ht="15" hidden="false" customHeight="false" outlineLevel="0" collapsed="false">
      <c r="A990" s="3" t="s">
        <v>216</v>
      </c>
      <c r="B990" s="4" t="s">
        <v>44</v>
      </c>
      <c r="C990" s="4" t="n">
        <v>2</v>
      </c>
      <c r="D990" s="4" t="s">
        <v>140</v>
      </c>
      <c r="E990" s="3" t="s">
        <v>144</v>
      </c>
      <c r="F990" s="4" t="str">
        <f aca="false">IF(I990&gt;J990,"Y","N")</f>
        <v>N</v>
      </c>
      <c r="G990" s="3" t="s">
        <v>15</v>
      </c>
      <c r="H990" s="3" t="s">
        <v>21</v>
      </c>
      <c r="I990" s="4" t="n">
        <v>4</v>
      </c>
      <c r="J990" s="4" t="n">
        <f aca="false">LEN(E990)-LEN(SUBSTITUTE(E990,",",""))+1</f>
        <v>4</v>
      </c>
      <c r="K990" s="3" t="str">
        <f aca="false">IFERROR(INDEX('Teacher Lookup'!$B$2:$B$200,MATCH(A990,'Teacher Lookup'!$A$2:$A$200,0)),"")</f>
        <v>HUNG Arley</v>
      </c>
    </row>
    <row r="991" customFormat="false" ht="15" hidden="false" customHeight="false" outlineLevel="0" collapsed="false">
      <c r="A991" s="3" t="s">
        <v>216</v>
      </c>
      <c r="B991" s="4" t="s">
        <v>44</v>
      </c>
      <c r="C991" s="4" t="n">
        <v>2</v>
      </c>
      <c r="D991" s="4" t="s">
        <v>142</v>
      </c>
      <c r="E991" s="3" t="s">
        <v>144</v>
      </c>
      <c r="F991" s="4" t="str">
        <f aca="false">IF(I991&gt;J991,"Y","N")</f>
        <v>N</v>
      </c>
      <c r="G991" s="3" t="s">
        <v>15</v>
      </c>
      <c r="H991" s="3" t="s">
        <v>21</v>
      </c>
      <c r="I991" s="4" t="n">
        <v>4</v>
      </c>
      <c r="J991" s="4" t="n">
        <f aca="false">LEN(E991)-LEN(SUBSTITUTE(E991,",",""))+1</f>
        <v>4</v>
      </c>
      <c r="K991" s="3" t="str">
        <f aca="false">IFERROR(INDEX('Teacher Lookup'!$B$2:$B$200,MATCH(A991,'Teacher Lookup'!$A$2:$A$200,0)),"")</f>
        <v>HUNG Arley</v>
      </c>
    </row>
    <row r="992" customFormat="false" ht="15" hidden="false" customHeight="false" outlineLevel="0" collapsed="false">
      <c r="A992" s="3" t="s">
        <v>216</v>
      </c>
      <c r="B992" s="4" t="s">
        <v>44</v>
      </c>
      <c r="C992" s="4" t="n">
        <v>2</v>
      </c>
      <c r="D992" s="4" t="s">
        <v>127</v>
      </c>
      <c r="E992" s="3" t="s">
        <v>144</v>
      </c>
      <c r="F992" s="4" t="str">
        <f aca="false">IF(I992&gt;J992,"Y","N")</f>
        <v>N</v>
      </c>
      <c r="G992" s="3" t="s">
        <v>15</v>
      </c>
      <c r="H992" s="3" t="s">
        <v>21</v>
      </c>
      <c r="I992" s="4" t="n">
        <v>4</v>
      </c>
      <c r="J992" s="4" t="n">
        <f aca="false">LEN(E992)-LEN(SUBSTITUTE(E992,",",""))+1</f>
        <v>4</v>
      </c>
      <c r="K992" s="3" t="str">
        <f aca="false">IFERROR(INDEX('Teacher Lookup'!$B$2:$B$200,MATCH(A992,'Teacher Lookup'!$A$2:$A$200,0)),"")</f>
        <v>HUNG Arley</v>
      </c>
    </row>
    <row r="993" customFormat="false" ht="15" hidden="false" customHeight="false" outlineLevel="0" collapsed="false">
      <c r="A993" s="3" t="s">
        <v>216</v>
      </c>
      <c r="B993" s="4" t="s">
        <v>44</v>
      </c>
      <c r="C993" s="4" t="n">
        <v>3</v>
      </c>
      <c r="D993" s="4" t="s">
        <v>137</v>
      </c>
      <c r="E993" s="3" t="s">
        <v>208</v>
      </c>
      <c r="F993" s="4" t="str">
        <f aca="false">IF(I993&gt;J993,"Y","N")</f>
        <v>N</v>
      </c>
      <c r="G993" s="3" t="s">
        <v>15</v>
      </c>
      <c r="H993" s="3" t="s">
        <v>26</v>
      </c>
      <c r="I993" s="4" t="n">
        <v>4</v>
      </c>
      <c r="J993" s="4" t="n">
        <f aca="false">LEN(E993)-LEN(SUBSTITUTE(E993,",",""))+1</f>
        <v>4</v>
      </c>
      <c r="K993" s="3" t="str">
        <f aca="false">IFERROR(INDEX('Teacher Lookup'!$B$2:$B$200,MATCH(A993,'Teacher Lookup'!$A$2:$A$200,0)),"")</f>
        <v>HUNG Arley</v>
      </c>
    </row>
    <row r="994" customFormat="false" ht="15" hidden="false" customHeight="false" outlineLevel="0" collapsed="false">
      <c r="A994" s="3" t="s">
        <v>216</v>
      </c>
      <c r="B994" s="4" t="s">
        <v>44</v>
      </c>
      <c r="C994" s="4" t="n">
        <v>3</v>
      </c>
      <c r="D994" s="4" t="s">
        <v>124</v>
      </c>
      <c r="E994" s="3" t="s">
        <v>208</v>
      </c>
      <c r="F994" s="4" t="str">
        <f aca="false">IF(I994&gt;J994,"Y","N")</f>
        <v>N</v>
      </c>
      <c r="G994" s="3" t="s">
        <v>15</v>
      </c>
      <c r="H994" s="3" t="s">
        <v>26</v>
      </c>
      <c r="I994" s="4" t="n">
        <v>4</v>
      </c>
      <c r="J994" s="4" t="n">
        <f aca="false">LEN(E994)-LEN(SUBSTITUTE(E994,",",""))+1</f>
        <v>4</v>
      </c>
      <c r="K994" s="3" t="str">
        <f aca="false">IFERROR(INDEX('Teacher Lookup'!$B$2:$B$200,MATCH(A994,'Teacher Lookup'!$A$2:$A$200,0)),"")</f>
        <v>HUNG Arley</v>
      </c>
    </row>
    <row r="995" customFormat="false" ht="15" hidden="false" customHeight="false" outlineLevel="0" collapsed="false">
      <c r="A995" s="3" t="s">
        <v>216</v>
      </c>
      <c r="B995" s="4" t="s">
        <v>44</v>
      </c>
      <c r="C995" s="4" t="n">
        <v>3</v>
      </c>
      <c r="D995" s="4" t="s">
        <v>139</v>
      </c>
      <c r="E995" s="3" t="s">
        <v>208</v>
      </c>
      <c r="F995" s="4" t="str">
        <f aca="false">IF(I995&gt;J995,"Y","N")</f>
        <v>N</v>
      </c>
      <c r="G995" s="3" t="s">
        <v>15</v>
      </c>
      <c r="H995" s="3" t="s">
        <v>26</v>
      </c>
      <c r="I995" s="4" t="n">
        <v>4</v>
      </c>
      <c r="J995" s="4" t="n">
        <f aca="false">LEN(E995)-LEN(SUBSTITUTE(E995,",",""))+1</f>
        <v>4</v>
      </c>
      <c r="K995" s="3" t="str">
        <f aca="false">IFERROR(INDEX('Teacher Lookup'!$B$2:$B$200,MATCH(A995,'Teacher Lookup'!$A$2:$A$200,0)),"")</f>
        <v>HUNG Arley</v>
      </c>
    </row>
    <row r="996" customFormat="false" ht="15" hidden="false" customHeight="false" outlineLevel="0" collapsed="false">
      <c r="A996" s="3" t="s">
        <v>216</v>
      </c>
      <c r="B996" s="4" t="s">
        <v>44</v>
      </c>
      <c r="C996" s="4" t="n">
        <v>5</v>
      </c>
      <c r="D996" s="4" t="s">
        <v>137</v>
      </c>
      <c r="E996" s="3" t="s">
        <v>185</v>
      </c>
      <c r="F996" s="4" t="str">
        <f aca="false">IF(I996&gt;J996,"Y","N")</f>
        <v>Y</v>
      </c>
      <c r="G996" s="3" t="s">
        <v>36</v>
      </c>
      <c r="H996" s="3" t="s">
        <v>37</v>
      </c>
      <c r="I996" s="4" t="n">
        <v>21</v>
      </c>
      <c r="J996" s="4" t="n">
        <f aca="false">LEN(E996)-LEN(SUBSTITUTE(E996,",",""))+1</f>
        <v>7</v>
      </c>
      <c r="K996" s="3" t="str">
        <f aca="false">IFERROR(INDEX('Teacher Lookup'!$B$2:$B$200,MATCH(A996,'Teacher Lookup'!$A$2:$A$200,0)),"")</f>
        <v>HUNG Arley</v>
      </c>
    </row>
    <row r="997" customFormat="false" ht="15" hidden="false" customHeight="false" outlineLevel="0" collapsed="false">
      <c r="A997" s="3" t="s">
        <v>216</v>
      </c>
      <c r="B997" s="4" t="s">
        <v>44</v>
      </c>
      <c r="C997" s="4" t="n">
        <v>5</v>
      </c>
      <c r="D997" s="4" t="s">
        <v>124</v>
      </c>
      <c r="E997" s="3" t="s">
        <v>185</v>
      </c>
      <c r="F997" s="4" t="str">
        <f aca="false">IF(I997&gt;J997,"Y","N")</f>
        <v>Y</v>
      </c>
      <c r="G997" s="3" t="s">
        <v>36</v>
      </c>
      <c r="H997" s="3" t="s">
        <v>37</v>
      </c>
      <c r="I997" s="4" t="n">
        <v>21</v>
      </c>
      <c r="J997" s="4" t="n">
        <f aca="false">LEN(E997)-LEN(SUBSTITUTE(E997,",",""))+1</f>
        <v>7</v>
      </c>
      <c r="K997" s="3" t="str">
        <f aca="false">IFERROR(INDEX('Teacher Lookup'!$B$2:$B$200,MATCH(A997,'Teacher Lookup'!$A$2:$A$200,0)),"")</f>
        <v>HUNG Arley</v>
      </c>
    </row>
    <row r="998" customFormat="false" ht="15" hidden="false" customHeight="false" outlineLevel="0" collapsed="false">
      <c r="A998" s="3" t="s">
        <v>216</v>
      </c>
      <c r="B998" s="4" t="s">
        <v>44</v>
      </c>
      <c r="C998" s="4" t="n">
        <v>5</v>
      </c>
      <c r="D998" s="4" t="s">
        <v>139</v>
      </c>
      <c r="E998" s="3" t="s">
        <v>185</v>
      </c>
      <c r="F998" s="4" t="str">
        <f aca="false">IF(I998&gt;J998,"Y","N")</f>
        <v>Y</v>
      </c>
      <c r="G998" s="3" t="s">
        <v>36</v>
      </c>
      <c r="H998" s="3" t="s">
        <v>37</v>
      </c>
      <c r="I998" s="4" t="n">
        <v>21</v>
      </c>
      <c r="J998" s="4" t="n">
        <f aca="false">LEN(E998)-LEN(SUBSTITUTE(E998,",",""))+1</f>
        <v>7</v>
      </c>
      <c r="K998" s="3" t="str">
        <f aca="false">IFERROR(INDEX('Teacher Lookup'!$B$2:$B$200,MATCH(A998,'Teacher Lookup'!$A$2:$A$200,0)),"")</f>
        <v>HUNG Arley</v>
      </c>
    </row>
    <row r="999" customFormat="false" ht="15" hidden="false" customHeight="false" outlineLevel="0" collapsed="false">
      <c r="A999" s="3" t="s">
        <v>216</v>
      </c>
      <c r="B999" s="4" t="s">
        <v>44</v>
      </c>
      <c r="C999" s="4" t="n">
        <v>5</v>
      </c>
      <c r="D999" s="4" t="s">
        <v>140</v>
      </c>
      <c r="E999" s="3" t="s">
        <v>185</v>
      </c>
      <c r="F999" s="4" t="str">
        <f aca="false">IF(I999&gt;J999,"Y","N")</f>
        <v>Y</v>
      </c>
      <c r="G999" s="3" t="s">
        <v>36</v>
      </c>
      <c r="H999" s="3" t="s">
        <v>37</v>
      </c>
      <c r="I999" s="4" t="n">
        <v>21</v>
      </c>
      <c r="J999" s="4" t="n">
        <f aca="false">LEN(E999)-LEN(SUBSTITUTE(E999,",",""))+1</f>
        <v>7</v>
      </c>
      <c r="K999" s="3" t="str">
        <f aca="false">IFERROR(INDEX('Teacher Lookup'!$B$2:$B$200,MATCH(A999,'Teacher Lookup'!$A$2:$A$200,0)),"")</f>
        <v>HUNG Arley</v>
      </c>
    </row>
    <row r="1000" customFormat="false" ht="15" hidden="false" customHeight="false" outlineLevel="0" collapsed="false">
      <c r="A1000" s="3" t="s">
        <v>216</v>
      </c>
      <c r="B1000" s="4" t="s">
        <v>44</v>
      </c>
      <c r="C1000" s="4" t="n">
        <v>5</v>
      </c>
      <c r="D1000" s="4" t="s">
        <v>142</v>
      </c>
      <c r="E1000" s="3" t="s">
        <v>185</v>
      </c>
      <c r="F1000" s="4" t="str">
        <f aca="false">IF(I1000&gt;J1000,"Y","N")</f>
        <v>Y</v>
      </c>
      <c r="G1000" s="3" t="s">
        <v>36</v>
      </c>
      <c r="H1000" s="3" t="s">
        <v>37</v>
      </c>
      <c r="I1000" s="4" t="n">
        <v>21</v>
      </c>
      <c r="J1000" s="4" t="n">
        <f aca="false">LEN(E1000)-LEN(SUBSTITUTE(E1000,",",""))+1</f>
        <v>7</v>
      </c>
      <c r="K1000" s="3" t="str">
        <f aca="false">IFERROR(INDEX('Teacher Lookup'!$B$2:$B$200,MATCH(A1000,'Teacher Lookup'!$A$2:$A$200,0)),"")</f>
        <v>HUNG Arley</v>
      </c>
    </row>
    <row r="1001" customFormat="false" ht="15" hidden="false" customHeight="false" outlineLevel="0" collapsed="false">
      <c r="A1001" s="3" t="s">
        <v>216</v>
      </c>
      <c r="B1001" s="4" t="s">
        <v>44</v>
      </c>
      <c r="C1001" s="4" t="n">
        <v>5</v>
      </c>
      <c r="D1001" s="4" t="s">
        <v>127</v>
      </c>
      <c r="E1001" s="3" t="s">
        <v>185</v>
      </c>
      <c r="F1001" s="4" t="str">
        <f aca="false">IF(I1001&gt;J1001,"Y","N")</f>
        <v>Y</v>
      </c>
      <c r="G1001" s="3" t="s">
        <v>36</v>
      </c>
      <c r="H1001" s="3" t="s">
        <v>37</v>
      </c>
      <c r="I1001" s="4" t="n">
        <v>21</v>
      </c>
      <c r="J1001" s="4" t="n">
        <f aca="false">LEN(E1001)-LEN(SUBSTITUTE(E1001,",",""))+1</f>
        <v>7</v>
      </c>
      <c r="K1001" s="3" t="str">
        <f aca="false">IFERROR(INDEX('Teacher Lookup'!$B$2:$B$200,MATCH(A1001,'Teacher Lookup'!$A$2:$A$200,0)),"")</f>
        <v>HUNG Arley</v>
      </c>
    </row>
    <row r="1002" customFormat="false" ht="15" hidden="false" customHeight="false" outlineLevel="0" collapsed="false">
      <c r="A1002" s="3" t="s">
        <v>216</v>
      </c>
      <c r="B1002" s="4" t="s">
        <v>44</v>
      </c>
      <c r="C1002" s="4" t="n">
        <v>7</v>
      </c>
      <c r="D1002" s="4" t="s">
        <v>70</v>
      </c>
      <c r="E1002" s="3" t="s">
        <v>219</v>
      </c>
      <c r="F1002" s="4" t="str">
        <f aca="false">IF(I1002&gt;J1002,"Y","N")</f>
        <v>N</v>
      </c>
      <c r="G1002" s="3" t="s">
        <v>15</v>
      </c>
      <c r="H1002" s="3" t="s">
        <v>39</v>
      </c>
      <c r="I1002" s="4" t="n">
        <v>4</v>
      </c>
      <c r="J1002" s="4" t="n">
        <f aca="false">LEN(E1002)-LEN(SUBSTITUTE(E1002,",",""))+1</f>
        <v>4</v>
      </c>
      <c r="K1002" s="3" t="str">
        <f aca="false">IFERROR(INDEX('Teacher Lookup'!$B$2:$B$200,MATCH(A1002,'Teacher Lookup'!$A$2:$A$200,0)),"")</f>
        <v>HUNG Arley</v>
      </c>
    </row>
    <row r="1003" customFormat="false" ht="15" hidden="false" customHeight="false" outlineLevel="0" collapsed="false">
      <c r="A1003" s="3" t="s">
        <v>216</v>
      </c>
      <c r="B1003" s="4" t="s">
        <v>44</v>
      </c>
      <c r="C1003" s="4" t="n">
        <v>7</v>
      </c>
      <c r="D1003" s="4" t="s">
        <v>73</v>
      </c>
      <c r="E1003" s="3" t="s">
        <v>219</v>
      </c>
      <c r="F1003" s="4" t="str">
        <f aca="false">IF(I1003&gt;J1003,"Y","N")</f>
        <v>N</v>
      </c>
      <c r="G1003" s="3" t="s">
        <v>15</v>
      </c>
      <c r="H1003" s="3" t="s">
        <v>39</v>
      </c>
      <c r="I1003" s="4" t="n">
        <v>4</v>
      </c>
      <c r="J1003" s="4" t="n">
        <f aca="false">LEN(E1003)-LEN(SUBSTITUTE(E1003,",",""))+1</f>
        <v>4</v>
      </c>
      <c r="K1003" s="3" t="str">
        <f aca="false">IFERROR(INDEX('Teacher Lookup'!$B$2:$B$200,MATCH(A1003,'Teacher Lookup'!$A$2:$A$200,0)),"")</f>
        <v>HUNG Arley</v>
      </c>
    </row>
    <row r="1004" customFormat="false" ht="15" hidden="false" customHeight="false" outlineLevel="0" collapsed="false">
      <c r="A1004" s="3" t="s">
        <v>216</v>
      </c>
      <c r="B1004" s="4" t="s">
        <v>44</v>
      </c>
      <c r="C1004" s="4" t="n">
        <v>7</v>
      </c>
      <c r="D1004" s="4" t="s">
        <v>74</v>
      </c>
      <c r="E1004" s="3" t="s">
        <v>219</v>
      </c>
      <c r="F1004" s="4" t="str">
        <f aca="false">IF(I1004&gt;J1004,"Y","N")</f>
        <v>N</v>
      </c>
      <c r="G1004" s="3" t="s">
        <v>15</v>
      </c>
      <c r="H1004" s="3" t="s">
        <v>39</v>
      </c>
      <c r="I1004" s="4" t="n">
        <v>4</v>
      </c>
      <c r="J1004" s="4" t="n">
        <f aca="false">LEN(E1004)-LEN(SUBSTITUTE(E1004,",",""))+1</f>
        <v>4</v>
      </c>
      <c r="K1004" s="3" t="str">
        <f aca="false">IFERROR(INDEX('Teacher Lookup'!$B$2:$B$200,MATCH(A1004,'Teacher Lookup'!$A$2:$A$200,0)),"")</f>
        <v>HUNG Arley</v>
      </c>
    </row>
    <row r="1005" customFormat="false" ht="15" hidden="false" customHeight="false" outlineLevel="0" collapsed="false">
      <c r="A1005" s="3" t="s">
        <v>216</v>
      </c>
      <c r="B1005" s="4" t="s">
        <v>47</v>
      </c>
      <c r="C1005" s="4" t="n">
        <v>4</v>
      </c>
      <c r="D1005" s="4" t="s">
        <v>70</v>
      </c>
      <c r="E1005" s="3" t="s">
        <v>220</v>
      </c>
      <c r="F1005" s="4" t="str">
        <f aca="false">IF(I1005&gt;J1005,"Y","N")</f>
        <v>N</v>
      </c>
      <c r="G1005" s="3" t="s">
        <v>15</v>
      </c>
      <c r="H1005" s="3" t="s">
        <v>34</v>
      </c>
      <c r="I1005" s="4" t="n">
        <v>4</v>
      </c>
      <c r="J1005" s="4" t="n">
        <f aca="false">LEN(E1005)-LEN(SUBSTITUTE(E1005,",",""))+1</f>
        <v>4</v>
      </c>
      <c r="K1005" s="3" t="str">
        <f aca="false">IFERROR(INDEX('Teacher Lookup'!$B$2:$B$200,MATCH(A1005,'Teacher Lookup'!$A$2:$A$200,0)),"")</f>
        <v>HUNG Arley</v>
      </c>
    </row>
    <row r="1006" customFormat="false" ht="15" hidden="false" customHeight="false" outlineLevel="0" collapsed="false">
      <c r="A1006" s="3" t="s">
        <v>216</v>
      </c>
      <c r="B1006" s="4" t="s">
        <v>47</v>
      </c>
      <c r="C1006" s="4" t="n">
        <v>4</v>
      </c>
      <c r="D1006" s="4" t="s">
        <v>73</v>
      </c>
      <c r="E1006" s="3" t="s">
        <v>220</v>
      </c>
      <c r="F1006" s="4" t="str">
        <f aca="false">IF(I1006&gt;J1006,"Y","N")</f>
        <v>N</v>
      </c>
      <c r="G1006" s="3" t="s">
        <v>15</v>
      </c>
      <c r="H1006" s="3" t="s">
        <v>34</v>
      </c>
      <c r="I1006" s="4" t="n">
        <v>4</v>
      </c>
      <c r="J1006" s="4" t="n">
        <f aca="false">LEN(E1006)-LEN(SUBSTITUTE(E1006,",",""))+1</f>
        <v>4</v>
      </c>
      <c r="K1006" s="3" t="str">
        <f aca="false">IFERROR(INDEX('Teacher Lookup'!$B$2:$B$200,MATCH(A1006,'Teacher Lookup'!$A$2:$A$200,0)),"")</f>
        <v>HUNG Arley</v>
      </c>
    </row>
    <row r="1007" customFormat="false" ht="15" hidden="false" customHeight="false" outlineLevel="0" collapsed="false">
      <c r="A1007" s="3" t="s">
        <v>216</v>
      </c>
      <c r="B1007" s="4" t="s">
        <v>47</v>
      </c>
      <c r="C1007" s="4" t="n">
        <v>4</v>
      </c>
      <c r="D1007" s="4" t="s">
        <v>74</v>
      </c>
      <c r="E1007" s="3" t="s">
        <v>220</v>
      </c>
      <c r="F1007" s="4" t="str">
        <f aca="false">IF(I1007&gt;J1007,"Y","N")</f>
        <v>N</v>
      </c>
      <c r="G1007" s="3" t="s">
        <v>15</v>
      </c>
      <c r="H1007" s="3" t="s">
        <v>34</v>
      </c>
      <c r="I1007" s="4" t="n">
        <v>4</v>
      </c>
      <c r="J1007" s="4" t="n">
        <f aca="false">LEN(E1007)-LEN(SUBSTITUTE(E1007,",",""))+1</f>
        <v>4</v>
      </c>
      <c r="K1007" s="3" t="str">
        <f aca="false">IFERROR(INDEX('Teacher Lookup'!$B$2:$B$200,MATCH(A1007,'Teacher Lookup'!$A$2:$A$200,0)),"")</f>
        <v>HUNG Arley</v>
      </c>
    </row>
    <row r="1008" customFormat="false" ht="15" hidden="false" customHeight="false" outlineLevel="0" collapsed="false">
      <c r="A1008" s="3" t="s">
        <v>216</v>
      </c>
      <c r="B1008" s="4" t="s">
        <v>47</v>
      </c>
      <c r="C1008" s="4" t="n">
        <v>5</v>
      </c>
      <c r="D1008" s="4" t="s">
        <v>140</v>
      </c>
      <c r="E1008" s="3" t="s">
        <v>210</v>
      </c>
      <c r="F1008" s="4" t="str">
        <f aca="false">IF(I1008&gt;J1008,"Y","N")</f>
        <v>N</v>
      </c>
      <c r="G1008" s="3" t="s">
        <v>15</v>
      </c>
      <c r="H1008" s="3" t="s">
        <v>37</v>
      </c>
      <c r="I1008" s="4" t="n">
        <v>4</v>
      </c>
      <c r="J1008" s="4" t="n">
        <f aca="false">LEN(E1008)-LEN(SUBSTITUTE(E1008,",",""))+1</f>
        <v>4</v>
      </c>
      <c r="K1008" s="3" t="str">
        <f aca="false">IFERROR(INDEX('Teacher Lookup'!$B$2:$B$200,MATCH(A1008,'Teacher Lookup'!$A$2:$A$200,0)),"")</f>
        <v>HUNG Arley</v>
      </c>
    </row>
    <row r="1009" customFormat="false" ht="15" hidden="false" customHeight="false" outlineLevel="0" collapsed="false">
      <c r="A1009" s="3" t="s">
        <v>216</v>
      </c>
      <c r="B1009" s="4" t="s">
        <v>47</v>
      </c>
      <c r="C1009" s="4" t="n">
        <v>5</v>
      </c>
      <c r="D1009" s="4" t="s">
        <v>142</v>
      </c>
      <c r="E1009" s="3" t="s">
        <v>210</v>
      </c>
      <c r="F1009" s="4" t="str">
        <f aca="false">IF(I1009&gt;J1009,"Y","N")</f>
        <v>N</v>
      </c>
      <c r="G1009" s="3" t="s">
        <v>15</v>
      </c>
      <c r="H1009" s="3" t="s">
        <v>37</v>
      </c>
      <c r="I1009" s="4" t="n">
        <v>4</v>
      </c>
      <c r="J1009" s="4" t="n">
        <f aca="false">LEN(E1009)-LEN(SUBSTITUTE(E1009,",",""))+1</f>
        <v>4</v>
      </c>
      <c r="K1009" s="3" t="str">
        <f aca="false">IFERROR(INDEX('Teacher Lookup'!$B$2:$B$200,MATCH(A1009,'Teacher Lookup'!$A$2:$A$200,0)),"")</f>
        <v>HUNG Arley</v>
      </c>
    </row>
    <row r="1010" customFormat="false" ht="15" hidden="false" customHeight="false" outlineLevel="0" collapsed="false">
      <c r="A1010" s="3" t="s">
        <v>216</v>
      </c>
      <c r="B1010" s="4" t="s">
        <v>47</v>
      </c>
      <c r="C1010" s="4" t="n">
        <v>5</v>
      </c>
      <c r="D1010" s="4" t="s">
        <v>127</v>
      </c>
      <c r="E1010" s="3" t="s">
        <v>210</v>
      </c>
      <c r="F1010" s="4" t="str">
        <f aca="false">IF(I1010&gt;J1010,"Y","N")</f>
        <v>N</v>
      </c>
      <c r="G1010" s="3" t="s">
        <v>15</v>
      </c>
      <c r="H1010" s="3" t="s">
        <v>37</v>
      </c>
      <c r="I1010" s="4" t="n">
        <v>4</v>
      </c>
      <c r="J1010" s="4" t="n">
        <f aca="false">LEN(E1010)-LEN(SUBSTITUTE(E1010,",",""))+1</f>
        <v>4</v>
      </c>
      <c r="K1010" s="3" t="str">
        <f aca="false">IFERROR(INDEX('Teacher Lookup'!$B$2:$B$200,MATCH(A1010,'Teacher Lookup'!$A$2:$A$200,0)),"")</f>
        <v>HUNG Arley</v>
      </c>
    </row>
    <row r="1011" customFormat="false" ht="15" hidden="false" customHeight="false" outlineLevel="0" collapsed="false">
      <c r="A1011" s="3" t="s">
        <v>216</v>
      </c>
      <c r="B1011" s="4" t="s">
        <v>47</v>
      </c>
      <c r="C1011" s="4" t="n">
        <v>7</v>
      </c>
      <c r="D1011" s="4" t="s">
        <v>137</v>
      </c>
      <c r="E1011" s="3" t="s">
        <v>154</v>
      </c>
      <c r="F1011" s="4" t="str">
        <f aca="false">IF(I1011&gt;J1011,"Y","N")</f>
        <v>N</v>
      </c>
      <c r="G1011" s="3" t="s">
        <v>15</v>
      </c>
      <c r="H1011" s="3" t="s">
        <v>39</v>
      </c>
      <c r="I1011" s="4" t="n">
        <v>4</v>
      </c>
      <c r="J1011" s="4" t="n">
        <f aca="false">LEN(E1011)-LEN(SUBSTITUTE(E1011,",",""))+1</f>
        <v>4</v>
      </c>
      <c r="K1011" s="3" t="str">
        <f aca="false">IFERROR(INDEX('Teacher Lookup'!$B$2:$B$200,MATCH(A1011,'Teacher Lookup'!$A$2:$A$200,0)),"")</f>
        <v>HUNG Arley</v>
      </c>
    </row>
    <row r="1012" customFormat="false" ht="15" hidden="false" customHeight="false" outlineLevel="0" collapsed="false">
      <c r="A1012" s="3" t="s">
        <v>216</v>
      </c>
      <c r="B1012" s="4" t="s">
        <v>47</v>
      </c>
      <c r="C1012" s="4" t="n">
        <v>7</v>
      </c>
      <c r="D1012" s="4" t="s">
        <v>124</v>
      </c>
      <c r="E1012" s="3" t="s">
        <v>154</v>
      </c>
      <c r="F1012" s="4" t="str">
        <f aca="false">IF(I1012&gt;J1012,"Y","N")</f>
        <v>N</v>
      </c>
      <c r="G1012" s="3" t="s">
        <v>15</v>
      </c>
      <c r="H1012" s="3" t="s">
        <v>39</v>
      </c>
      <c r="I1012" s="4" t="n">
        <v>4</v>
      </c>
      <c r="J1012" s="4" t="n">
        <f aca="false">LEN(E1012)-LEN(SUBSTITUTE(E1012,",",""))+1</f>
        <v>4</v>
      </c>
      <c r="K1012" s="3" t="str">
        <f aca="false">IFERROR(INDEX('Teacher Lookup'!$B$2:$B$200,MATCH(A1012,'Teacher Lookup'!$A$2:$A$200,0)),"")</f>
        <v>HUNG Arley</v>
      </c>
    </row>
    <row r="1013" customFormat="false" ht="15" hidden="false" customHeight="false" outlineLevel="0" collapsed="false">
      <c r="A1013" s="3" t="s">
        <v>216</v>
      </c>
      <c r="B1013" s="4" t="s">
        <v>47</v>
      </c>
      <c r="C1013" s="4" t="n">
        <v>7</v>
      </c>
      <c r="D1013" s="4" t="s">
        <v>139</v>
      </c>
      <c r="E1013" s="3" t="s">
        <v>154</v>
      </c>
      <c r="F1013" s="4" t="str">
        <f aca="false">IF(I1013&gt;J1013,"Y","N")</f>
        <v>N</v>
      </c>
      <c r="G1013" s="3" t="s">
        <v>15</v>
      </c>
      <c r="H1013" s="3" t="s">
        <v>39</v>
      </c>
      <c r="I1013" s="4" t="n">
        <v>4</v>
      </c>
      <c r="J1013" s="4" t="n">
        <f aca="false">LEN(E1013)-LEN(SUBSTITUTE(E1013,",",""))+1</f>
        <v>4</v>
      </c>
      <c r="K1013" s="3" t="str">
        <f aca="false">IFERROR(INDEX('Teacher Lookup'!$B$2:$B$200,MATCH(A1013,'Teacher Lookup'!$A$2:$A$200,0)),"")</f>
        <v>HUNG Arley</v>
      </c>
    </row>
    <row r="1014" customFormat="false" ht="15" hidden="false" customHeight="false" outlineLevel="0" collapsed="false">
      <c r="A1014" s="3" t="s">
        <v>216</v>
      </c>
      <c r="B1014" s="4" t="s">
        <v>50</v>
      </c>
      <c r="C1014" s="4" t="n">
        <v>1</v>
      </c>
      <c r="D1014" s="4" t="s">
        <v>140</v>
      </c>
      <c r="E1014" s="3" t="s">
        <v>211</v>
      </c>
      <c r="F1014" s="4" t="str">
        <f aca="false">IF(I1014&gt;J1014,"Y","N")</f>
        <v>N</v>
      </c>
      <c r="G1014" s="3" t="s">
        <v>15</v>
      </c>
      <c r="H1014" s="3" t="s">
        <v>16</v>
      </c>
      <c r="I1014" s="4" t="n">
        <v>4</v>
      </c>
      <c r="J1014" s="4" t="n">
        <f aca="false">LEN(E1014)-LEN(SUBSTITUTE(E1014,",",""))+1</f>
        <v>4</v>
      </c>
      <c r="K1014" s="3" t="str">
        <f aca="false">IFERROR(INDEX('Teacher Lookup'!$B$2:$B$200,MATCH(A1014,'Teacher Lookup'!$A$2:$A$200,0)),"")</f>
        <v>HUNG Arley</v>
      </c>
    </row>
    <row r="1015" customFormat="false" ht="15" hidden="false" customHeight="false" outlineLevel="0" collapsed="false">
      <c r="A1015" s="3" t="s">
        <v>216</v>
      </c>
      <c r="B1015" s="4" t="s">
        <v>50</v>
      </c>
      <c r="C1015" s="4" t="n">
        <v>1</v>
      </c>
      <c r="D1015" s="4" t="s">
        <v>142</v>
      </c>
      <c r="E1015" s="3" t="s">
        <v>211</v>
      </c>
      <c r="F1015" s="4" t="str">
        <f aca="false">IF(I1015&gt;J1015,"Y","N")</f>
        <v>N</v>
      </c>
      <c r="G1015" s="3" t="s">
        <v>15</v>
      </c>
      <c r="H1015" s="3" t="s">
        <v>16</v>
      </c>
      <c r="I1015" s="4" t="n">
        <v>4</v>
      </c>
      <c r="J1015" s="4" t="n">
        <f aca="false">LEN(E1015)-LEN(SUBSTITUTE(E1015,",",""))+1</f>
        <v>4</v>
      </c>
      <c r="K1015" s="3" t="str">
        <f aca="false">IFERROR(INDEX('Teacher Lookup'!$B$2:$B$200,MATCH(A1015,'Teacher Lookup'!$A$2:$A$200,0)),"")</f>
        <v>HUNG Arley</v>
      </c>
    </row>
    <row r="1016" customFormat="false" ht="15" hidden="false" customHeight="false" outlineLevel="0" collapsed="false">
      <c r="A1016" s="3" t="s">
        <v>216</v>
      </c>
      <c r="B1016" s="4" t="s">
        <v>50</v>
      </c>
      <c r="C1016" s="4" t="n">
        <v>1</v>
      </c>
      <c r="D1016" s="4" t="s">
        <v>127</v>
      </c>
      <c r="E1016" s="3" t="s">
        <v>211</v>
      </c>
      <c r="F1016" s="4" t="str">
        <f aca="false">IF(I1016&gt;J1016,"Y","N")</f>
        <v>N</v>
      </c>
      <c r="G1016" s="3" t="s">
        <v>15</v>
      </c>
      <c r="H1016" s="3" t="s">
        <v>16</v>
      </c>
      <c r="I1016" s="4" t="n">
        <v>4</v>
      </c>
      <c r="J1016" s="4" t="n">
        <f aca="false">LEN(E1016)-LEN(SUBSTITUTE(E1016,",",""))+1</f>
        <v>4</v>
      </c>
      <c r="K1016" s="3" t="str">
        <f aca="false">IFERROR(INDEX('Teacher Lookup'!$B$2:$B$200,MATCH(A1016,'Teacher Lookup'!$A$2:$A$200,0)),"")</f>
        <v>HUNG Arley</v>
      </c>
    </row>
    <row r="1017" customFormat="false" ht="15" hidden="false" customHeight="false" outlineLevel="0" collapsed="false">
      <c r="A1017" s="3" t="s">
        <v>216</v>
      </c>
      <c r="B1017" s="4" t="s">
        <v>50</v>
      </c>
      <c r="C1017" s="4" t="n">
        <v>3</v>
      </c>
      <c r="D1017" s="4" t="s">
        <v>137</v>
      </c>
      <c r="E1017" s="3" t="s">
        <v>212</v>
      </c>
      <c r="F1017" s="4" t="str">
        <f aca="false">IF(I1017&gt;J1017,"Y","N")</f>
        <v>N</v>
      </c>
      <c r="G1017" s="3" t="s">
        <v>15</v>
      </c>
      <c r="H1017" s="3" t="s">
        <v>26</v>
      </c>
      <c r="I1017" s="4" t="n">
        <v>4</v>
      </c>
      <c r="J1017" s="4" t="n">
        <f aca="false">LEN(E1017)-LEN(SUBSTITUTE(E1017,",",""))+1</f>
        <v>4</v>
      </c>
      <c r="K1017" s="3" t="str">
        <f aca="false">IFERROR(INDEX('Teacher Lookup'!$B$2:$B$200,MATCH(A1017,'Teacher Lookup'!$A$2:$A$200,0)),"")</f>
        <v>HUNG Arley</v>
      </c>
    </row>
    <row r="1018" customFormat="false" ht="15" hidden="false" customHeight="false" outlineLevel="0" collapsed="false">
      <c r="A1018" s="3" t="s">
        <v>216</v>
      </c>
      <c r="B1018" s="4" t="s">
        <v>50</v>
      </c>
      <c r="C1018" s="4" t="n">
        <v>3</v>
      </c>
      <c r="D1018" s="4" t="s">
        <v>124</v>
      </c>
      <c r="E1018" s="3" t="s">
        <v>212</v>
      </c>
      <c r="F1018" s="4" t="str">
        <f aca="false">IF(I1018&gt;J1018,"Y","N")</f>
        <v>N</v>
      </c>
      <c r="G1018" s="3" t="s">
        <v>15</v>
      </c>
      <c r="H1018" s="3" t="s">
        <v>26</v>
      </c>
      <c r="I1018" s="4" t="n">
        <v>4</v>
      </c>
      <c r="J1018" s="4" t="n">
        <f aca="false">LEN(E1018)-LEN(SUBSTITUTE(E1018,",",""))+1</f>
        <v>4</v>
      </c>
      <c r="K1018" s="3" t="str">
        <f aca="false">IFERROR(INDEX('Teacher Lookup'!$B$2:$B$200,MATCH(A1018,'Teacher Lookup'!$A$2:$A$200,0)),"")</f>
        <v>HUNG Arley</v>
      </c>
    </row>
    <row r="1019" customFormat="false" ht="15" hidden="false" customHeight="false" outlineLevel="0" collapsed="false">
      <c r="A1019" s="3" t="s">
        <v>216</v>
      </c>
      <c r="B1019" s="4" t="s">
        <v>50</v>
      </c>
      <c r="C1019" s="4" t="n">
        <v>3</v>
      </c>
      <c r="D1019" s="4" t="s">
        <v>139</v>
      </c>
      <c r="E1019" s="3" t="s">
        <v>212</v>
      </c>
      <c r="F1019" s="4" t="str">
        <f aca="false">IF(I1019&gt;J1019,"Y","N")</f>
        <v>N</v>
      </c>
      <c r="G1019" s="3" t="s">
        <v>15</v>
      </c>
      <c r="H1019" s="3" t="s">
        <v>26</v>
      </c>
      <c r="I1019" s="4" t="n">
        <v>4</v>
      </c>
      <c r="J1019" s="4" t="n">
        <f aca="false">LEN(E1019)-LEN(SUBSTITUTE(E1019,",",""))+1</f>
        <v>4</v>
      </c>
      <c r="K1019" s="3" t="str">
        <f aca="false">IFERROR(INDEX('Teacher Lookup'!$B$2:$B$200,MATCH(A1019,'Teacher Lookup'!$A$2:$A$200,0)),"")</f>
        <v>HUNG Arley</v>
      </c>
    </row>
    <row r="1020" customFormat="false" ht="15" hidden="false" customHeight="false" outlineLevel="0" collapsed="false">
      <c r="A1020" s="3" t="s">
        <v>216</v>
      </c>
      <c r="B1020" s="4" t="s">
        <v>50</v>
      </c>
      <c r="C1020" s="4" t="n">
        <v>4</v>
      </c>
      <c r="D1020" s="4" t="s">
        <v>137</v>
      </c>
      <c r="E1020" s="3" t="s">
        <v>221</v>
      </c>
      <c r="F1020" s="4" t="str">
        <f aca="false">IF(I1020&gt;J1020,"Y","N")</f>
        <v>Y</v>
      </c>
      <c r="G1020" s="3" t="s">
        <v>222</v>
      </c>
      <c r="H1020" s="3" t="s">
        <v>34</v>
      </c>
      <c r="I1020" s="4" t="n">
        <v>15</v>
      </c>
      <c r="J1020" s="4" t="n">
        <f aca="false">LEN(E1020)-LEN(SUBSTITUTE(E1020,",",""))+1</f>
        <v>7</v>
      </c>
      <c r="K1020" s="3" t="str">
        <f aca="false">IFERROR(INDEX('Teacher Lookup'!$B$2:$B$200,MATCH(A1020,'Teacher Lookup'!$A$2:$A$200,0)),"")</f>
        <v>HUNG Arley</v>
      </c>
    </row>
    <row r="1021" customFormat="false" ht="15" hidden="false" customHeight="false" outlineLevel="0" collapsed="false">
      <c r="A1021" s="3" t="s">
        <v>216</v>
      </c>
      <c r="B1021" s="4" t="s">
        <v>50</v>
      </c>
      <c r="C1021" s="4" t="n">
        <v>4</v>
      </c>
      <c r="D1021" s="4" t="s">
        <v>124</v>
      </c>
      <c r="E1021" s="3" t="s">
        <v>221</v>
      </c>
      <c r="F1021" s="4" t="str">
        <f aca="false">IF(I1021&gt;J1021,"Y","N")</f>
        <v>Y</v>
      </c>
      <c r="G1021" s="3" t="s">
        <v>222</v>
      </c>
      <c r="H1021" s="3" t="s">
        <v>34</v>
      </c>
      <c r="I1021" s="4" t="n">
        <v>15</v>
      </c>
      <c r="J1021" s="4" t="n">
        <f aca="false">LEN(E1021)-LEN(SUBSTITUTE(E1021,",",""))+1</f>
        <v>7</v>
      </c>
      <c r="K1021" s="3" t="str">
        <f aca="false">IFERROR(INDEX('Teacher Lookup'!$B$2:$B$200,MATCH(A1021,'Teacher Lookup'!$A$2:$A$200,0)),"")</f>
        <v>HUNG Arley</v>
      </c>
    </row>
    <row r="1022" customFormat="false" ht="15" hidden="false" customHeight="false" outlineLevel="0" collapsed="false">
      <c r="A1022" s="3" t="s">
        <v>216</v>
      </c>
      <c r="B1022" s="4" t="s">
        <v>50</v>
      </c>
      <c r="C1022" s="4" t="n">
        <v>4</v>
      </c>
      <c r="D1022" s="4" t="s">
        <v>139</v>
      </c>
      <c r="E1022" s="3" t="s">
        <v>221</v>
      </c>
      <c r="F1022" s="4" t="str">
        <f aca="false">IF(I1022&gt;J1022,"Y","N")</f>
        <v>Y</v>
      </c>
      <c r="G1022" s="3" t="s">
        <v>222</v>
      </c>
      <c r="H1022" s="3" t="s">
        <v>34</v>
      </c>
      <c r="I1022" s="4" t="n">
        <v>15</v>
      </c>
      <c r="J1022" s="4" t="n">
        <f aca="false">LEN(E1022)-LEN(SUBSTITUTE(E1022,",",""))+1</f>
        <v>7</v>
      </c>
      <c r="K1022" s="3" t="str">
        <f aca="false">IFERROR(INDEX('Teacher Lookup'!$B$2:$B$200,MATCH(A1022,'Teacher Lookup'!$A$2:$A$200,0)),"")</f>
        <v>HUNG Arley</v>
      </c>
    </row>
    <row r="1023" customFormat="false" ht="15" hidden="false" customHeight="false" outlineLevel="0" collapsed="false">
      <c r="A1023" s="3" t="s">
        <v>216</v>
      </c>
      <c r="B1023" s="4" t="s">
        <v>50</v>
      </c>
      <c r="C1023" s="4" t="n">
        <v>4</v>
      </c>
      <c r="D1023" s="4" t="s">
        <v>140</v>
      </c>
      <c r="E1023" s="3" t="s">
        <v>221</v>
      </c>
      <c r="F1023" s="4" t="str">
        <f aca="false">IF(I1023&gt;J1023,"Y","N")</f>
        <v>Y</v>
      </c>
      <c r="G1023" s="3" t="s">
        <v>222</v>
      </c>
      <c r="H1023" s="3" t="s">
        <v>34</v>
      </c>
      <c r="I1023" s="4" t="n">
        <v>15</v>
      </c>
      <c r="J1023" s="4" t="n">
        <f aca="false">LEN(E1023)-LEN(SUBSTITUTE(E1023,",",""))+1</f>
        <v>7</v>
      </c>
      <c r="K1023" s="3" t="str">
        <f aca="false">IFERROR(INDEX('Teacher Lookup'!$B$2:$B$200,MATCH(A1023,'Teacher Lookup'!$A$2:$A$200,0)),"")</f>
        <v>HUNG Arley</v>
      </c>
    </row>
    <row r="1024" customFormat="false" ht="15" hidden="false" customHeight="false" outlineLevel="0" collapsed="false">
      <c r="A1024" s="3" t="s">
        <v>216</v>
      </c>
      <c r="B1024" s="4" t="s">
        <v>50</v>
      </c>
      <c r="C1024" s="4" t="n">
        <v>4</v>
      </c>
      <c r="D1024" s="4" t="s">
        <v>142</v>
      </c>
      <c r="E1024" s="3" t="s">
        <v>221</v>
      </c>
      <c r="F1024" s="4" t="str">
        <f aca="false">IF(I1024&gt;J1024,"Y","N")</f>
        <v>Y</v>
      </c>
      <c r="G1024" s="3" t="s">
        <v>222</v>
      </c>
      <c r="H1024" s="3" t="s">
        <v>34</v>
      </c>
      <c r="I1024" s="4" t="n">
        <v>15</v>
      </c>
      <c r="J1024" s="4" t="n">
        <f aca="false">LEN(E1024)-LEN(SUBSTITUTE(E1024,",",""))+1</f>
        <v>7</v>
      </c>
      <c r="K1024" s="3" t="str">
        <f aca="false">IFERROR(INDEX('Teacher Lookup'!$B$2:$B$200,MATCH(A1024,'Teacher Lookup'!$A$2:$A$200,0)),"")</f>
        <v>HUNG Arley</v>
      </c>
    </row>
    <row r="1025" customFormat="false" ht="15" hidden="false" customHeight="false" outlineLevel="0" collapsed="false">
      <c r="A1025" s="3" t="s">
        <v>216</v>
      </c>
      <c r="B1025" s="4" t="s">
        <v>50</v>
      </c>
      <c r="C1025" s="4" t="n">
        <v>4</v>
      </c>
      <c r="D1025" s="4" t="s">
        <v>127</v>
      </c>
      <c r="E1025" s="3" t="s">
        <v>221</v>
      </c>
      <c r="F1025" s="4" t="str">
        <f aca="false">IF(I1025&gt;J1025,"Y","N")</f>
        <v>Y</v>
      </c>
      <c r="G1025" s="3" t="s">
        <v>222</v>
      </c>
      <c r="H1025" s="3" t="s">
        <v>34</v>
      </c>
      <c r="I1025" s="4" t="n">
        <v>15</v>
      </c>
      <c r="J1025" s="4" t="n">
        <f aca="false">LEN(E1025)-LEN(SUBSTITUTE(E1025,",",""))+1</f>
        <v>7</v>
      </c>
      <c r="K1025" s="3" t="str">
        <f aca="false">IFERROR(INDEX('Teacher Lookup'!$B$2:$B$200,MATCH(A1025,'Teacher Lookup'!$A$2:$A$200,0)),"")</f>
        <v>HUNG Arley</v>
      </c>
    </row>
    <row r="1026" customFormat="false" ht="15" hidden="false" customHeight="false" outlineLevel="0" collapsed="false">
      <c r="A1026" s="3" t="s">
        <v>216</v>
      </c>
      <c r="B1026" s="4" t="s">
        <v>50</v>
      </c>
      <c r="C1026" s="4" t="n">
        <v>5</v>
      </c>
      <c r="D1026" s="4" t="s">
        <v>137</v>
      </c>
      <c r="E1026" s="3" t="s">
        <v>221</v>
      </c>
      <c r="F1026" s="4" t="str">
        <f aca="false">IF(I1026&gt;J1026,"Y","N")</f>
        <v>Y</v>
      </c>
      <c r="G1026" s="3" t="s">
        <v>222</v>
      </c>
      <c r="H1026" s="3" t="s">
        <v>37</v>
      </c>
      <c r="I1026" s="4" t="n">
        <v>15</v>
      </c>
      <c r="J1026" s="4" t="n">
        <f aca="false">LEN(E1026)-LEN(SUBSTITUTE(E1026,",",""))+1</f>
        <v>7</v>
      </c>
      <c r="K1026" s="3" t="str">
        <f aca="false">IFERROR(INDEX('Teacher Lookup'!$B$2:$B$200,MATCH(A1026,'Teacher Lookup'!$A$2:$A$200,0)),"")</f>
        <v>HUNG Arley</v>
      </c>
    </row>
    <row r="1027" customFormat="false" ht="15" hidden="false" customHeight="false" outlineLevel="0" collapsed="false">
      <c r="A1027" s="3" t="s">
        <v>216</v>
      </c>
      <c r="B1027" s="4" t="s">
        <v>50</v>
      </c>
      <c r="C1027" s="4" t="n">
        <v>5</v>
      </c>
      <c r="D1027" s="4" t="s">
        <v>124</v>
      </c>
      <c r="E1027" s="3" t="s">
        <v>221</v>
      </c>
      <c r="F1027" s="4" t="str">
        <f aca="false">IF(I1027&gt;J1027,"Y","N")</f>
        <v>Y</v>
      </c>
      <c r="G1027" s="3" t="s">
        <v>222</v>
      </c>
      <c r="H1027" s="3" t="s">
        <v>37</v>
      </c>
      <c r="I1027" s="4" t="n">
        <v>15</v>
      </c>
      <c r="J1027" s="4" t="n">
        <f aca="false">LEN(E1027)-LEN(SUBSTITUTE(E1027,",",""))+1</f>
        <v>7</v>
      </c>
      <c r="K1027" s="3" t="str">
        <f aca="false">IFERROR(INDEX('Teacher Lookup'!$B$2:$B$200,MATCH(A1027,'Teacher Lookup'!$A$2:$A$200,0)),"")</f>
        <v>HUNG Arley</v>
      </c>
    </row>
    <row r="1028" customFormat="false" ht="15" hidden="false" customHeight="false" outlineLevel="0" collapsed="false">
      <c r="A1028" s="3" t="s">
        <v>216</v>
      </c>
      <c r="B1028" s="4" t="s">
        <v>50</v>
      </c>
      <c r="C1028" s="4" t="n">
        <v>5</v>
      </c>
      <c r="D1028" s="4" t="s">
        <v>139</v>
      </c>
      <c r="E1028" s="3" t="s">
        <v>221</v>
      </c>
      <c r="F1028" s="4" t="str">
        <f aca="false">IF(I1028&gt;J1028,"Y","N")</f>
        <v>Y</v>
      </c>
      <c r="G1028" s="3" t="s">
        <v>222</v>
      </c>
      <c r="H1028" s="3" t="s">
        <v>37</v>
      </c>
      <c r="I1028" s="4" t="n">
        <v>15</v>
      </c>
      <c r="J1028" s="4" t="n">
        <f aca="false">LEN(E1028)-LEN(SUBSTITUTE(E1028,",",""))+1</f>
        <v>7</v>
      </c>
      <c r="K1028" s="3" t="str">
        <f aca="false">IFERROR(INDEX('Teacher Lookup'!$B$2:$B$200,MATCH(A1028,'Teacher Lookup'!$A$2:$A$200,0)),"")</f>
        <v>HUNG Arley</v>
      </c>
    </row>
    <row r="1029" customFormat="false" ht="15" hidden="false" customHeight="false" outlineLevel="0" collapsed="false">
      <c r="A1029" s="3" t="s">
        <v>216</v>
      </c>
      <c r="B1029" s="4" t="s">
        <v>50</v>
      </c>
      <c r="C1029" s="4" t="n">
        <v>5</v>
      </c>
      <c r="D1029" s="4" t="s">
        <v>140</v>
      </c>
      <c r="E1029" s="3" t="s">
        <v>221</v>
      </c>
      <c r="F1029" s="4" t="str">
        <f aca="false">IF(I1029&gt;J1029,"Y","N")</f>
        <v>Y</v>
      </c>
      <c r="G1029" s="3" t="s">
        <v>222</v>
      </c>
      <c r="H1029" s="3" t="s">
        <v>37</v>
      </c>
      <c r="I1029" s="4" t="n">
        <v>15</v>
      </c>
      <c r="J1029" s="4" t="n">
        <f aca="false">LEN(E1029)-LEN(SUBSTITUTE(E1029,",",""))+1</f>
        <v>7</v>
      </c>
      <c r="K1029" s="3" t="str">
        <f aca="false">IFERROR(INDEX('Teacher Lookup'!$B$2:$B$200,MATCH(A1029,'Teacher Lookup'!$A$2:$A$200,0)),"")</f>
        <v>HUNG Arley</v>
      </c>
    </row>
    <row r="1030" customFormat="false" ht="15" hidden="false" customHeight="false" outlineLevel="0" collapsed="false">
      <c r="A1030" s="3" t="s">
        <v>216</v>
      </c>
      <c r="B1030" s="4" t="s">
        <v>50</v>
      </c>
      <c r="C1030" s="4" t="n">
        <v>5</v>
      </c>
      <c r="D1030" s="4" t="s">
        <v>142</v>
      </c>
      <c r="E1030" s="3" t="s">
        <v>221</v>
      </c>
      <c r="F1030" s="4" t="str">
        <f aca="false">IF(I1030&gt;J1030,"Y","N")</f>
        <v>Y</v>
      </c>
      <c r="G1030" s="3" t="s">
        <v>222</v>
      </c>
      <c r="H1030" s="3" t="s">
        <v>37</v>
      </c>
      <c r="I1030" s="4" t="n">
        <v>15</v>
      </c>
      <c r="J1030" s="4" t="n">
        <f aca="false">LEN(E1030)-LEN(SUBSTITUTE(E1030,",",""))+1</f>
        <v>7</v>
      </c>
      <c r="K1030" s="3" t="str">
        <f aca="false">IFERROR(INDEX('Teacher Lookup'!$B$2:$B$200,MATCH(A1030,'Teacher Lookup'!$A$2:$A$200,0)),"")</f>
        <v>HUNG Arley</v>
      </c>
    </row>
    <row r="1031" customFormat="false" ht="15" hidden="false" customHeight="false" outlineLevel="0" collapsed="false">
      <c r="A1031" s="3" t="s">
        <v>216</v>
      </c>
      <c r="B1031" s="4" t="s">
        <v>50</v>
      </c>
      <c r="C1031" s="4" t="n">
        <v>5</v>
      </c>
      <c r="D1031" s="4" t="s">
        <v>127</v>
      </c>
      <c r="E1031" s="3" t="s">
        <v>221</v>
      </c>
      <c r="F1031" s="4" t="str">
        <f aca="false">IF(I1031&gt;J1031,"Y","N")</f>
        <v>Y</v>
      </c>
      <c r="G1031" s="3" t="s">
        <v>222</v>
      </c>
      <c r="H1031" s="3" t="s">
        <v>37</v>
      </c>
      <c r="I1031" s="4" t="n">
        <v>15</v>
      </c>
      <c r="J1031" s="4" t="n">
        <f aca="false">LEN(E1031)-LEN(SUBSTITUTE(E1031,",",""))+1</f>
        <v>7</v>
      </c>
      <c r="K1031" s="3" t="str">
        <f aca="false">IFERROR(INDEX('Teacher Lookup'!$B$2:$B$200,MATCH(A1031,'Teacher Lookup'!$A$2:$A$200,0)),"")</f>
        <v>HUNG Arley</v>
      </c>
    </row>
    <row r="1032" customFormat="false" ht="15" hidden="false" customHeight="false" outlineLevel="0" collapsed="false">
      <c r="A1032" s="3" t="s">
        <v>216</v>
      </c>
      <c r="B1032" s="4" t="s">
        <v>50</v>
      </c>
      <c r="C1032" s="4" t="n">
        <v>7</v>
      </c>
      <c r="D1032" s="4" t="s">
        <v>70</v>
      </c>
      <c r="E1032" s="3" t="s">
        <v>83</v>
      </c>
      <c r="F1032" s="4" t="str">
        <f aca="false">IF(I1032&gt;J1032,"Y","N")</f>
        <v>N</v>
      </c>
      <c r="G1032" s="3" t="s">
        <v>15</v>
      </c>
      <c r="H1032" s="3" t="s">
        <v>39</v>
      </c>
      <c r="I1032" s="4" t="n">
        <v>4</v>
      </c>
      <c r="J1032" s="4" t="n">
        <f aca="false">LEN(E1032)-LEN(SUBSTITUTE(E1032,",",""))+1</f>
        <v>4</v>
      </c>
      <c r="K1032" s="3" t="str">
        <f aca="false">IFERROR(INDEX('Teacher Lookup'!$B$2:$B$200,MATCH(A1032,'Teacher Lookup'!$A$2:$A$200,0)),"")</f>
        <v>HUNG Arley</v>
      </c>
    </row>
    <row r="1033" customFormat="false" ht="15" hidden="false" customHeight="false" outlineLevel="0" collapsed="false">
      <c r="A1033" s="3" t="s">
        <v>216</v>
      </c>
      <c r="B1033" s="4" t="s">
        <v>50</v>
      </c>
      <c r="C1033" s="4" t="n">
        <v>7</v>
      </c>
      <c r="D1033" s="4" t="s">
        <v>73</v>
      </c>
      <c r="E1033" s="3" t="s">
        <v>83</v>
      </c>
      <c r="F1033" s="4" t="str">
        <f aca="false">IF(I1033&gt;J1033,"Y","N")</f>
        <v>N</v>
      </c>
      <c r="G1033" s="3" t="s">
        <v>15</v>
      </c>
      <c r="H1033" s="3" t="s">
        <v>39</v>
      </c>
      <c r="I1033" s="4" t="n">
        <v>4</v>
      </c>
      <c r="J1033" s="4" t="n">
        <f aca="false">LEN(E1033)-LEN(SUBSTITUTE(E1033,",",""))+1</f>
        <v>4</v>
      </c>
      <c r="K1033" s="3" t="str">
        <f aca="false">IFERROR(INDEX('Teacher Lookup'!$B$2:$B$200,MATCH(A1033,'Teacher Lookup'!$A$2:$A$200,0)),"")</f>
        <v>HUNG Arley</v>
      </c>
    </row>
    <row r="1034" customFormat="false" ht="15" hidden="false" customHeight="false" outlineLevel="0" collapsed="false">
      <c r="A1034" s="3" t="s">
        <v>216</v>
      </c>
      <c r="B1034" s="4" t="s">
        <v>50</v>
      </c>
      <c r="C1034" s="4" t="n">
        <v>7</v>
      </c>
      <c r="D1034" s="4" t="s">
        <v>74</v>
      </c>
      <c r="E1034" s="3" t="s">
        <v>83</v>
      </c>
      <c r="F1034" s="4" t="str">
        <f aca="false">IF(I1034&gt;J1034,"Y","N")</f>
        <v>N</v>
      </c>
      <c r="G1034" s="3" t="s">
        <v>15</v>
      </c>
      <c r="H1034" s="3" t="s">
        <v>39</v>
      </c>
      <c r="I1034" s="4" t="n">
        <v>4</v>
      </c>
      <c r="J1034" s="4" t="n">
        <f aca="false">LEN(E1034)-LEN(SUBSTITUTE(E1034,",",""))+1</f>
        <v>4</v>
      </c>
      <c r="K1034" s="3" t="str">
        <f aca="false">IFERROR(INDEX('Teacher Lookup'!$B$2:$B$200,MATCH(A1034,'Teacher Lookup'!$A$2:$A$200,0)),"")</f>
        <v>HUNG Arley</v>
      </c>
    </row>
    <row r="1035" customFormat="false" ht="15" hidden="false" customHeight="false" outlineLevel="0" collapsed="false">
      <c r="A1035" s="3" t="s">
        <v>216</v>
      </c>
      <c r="B1035" s="4" t="s">
        <v>60</v>
      </c>
      <c r="C1035" s="4" t="n">
        <v>2</v>
      </c>
      <c r="D1035" s="4" t="s">
        <v>140</v>
      </c>
      <c r="E1035" s="3" t="s">
        <v>144</v>
      </c>
      <c r="F1035" s="4" t="str">
        <f aca="false">IF(I1035&gt;J1035,"Y","N")</f>
        <v>N</v>
      </c>
      <c r="G1035" s="3" t="s">
        <v>15</v>
      </c>
      <c r="H1035" s="3" t="s">
        <v>21</v>
      </c>
      <c r="I1035" s="4" t="n">
        <v>4</v>
      </c>
      <c r="J1035" s="4" t="n">
        <f aca="false">LEN(E1035)-LEN(SUBSTITUTE(E1035,",",""))+1</f>
        <v>4</v>
      </c>
      <c r="K1035" s="3" t="str">
        <f aca="false">IFERROR(INDEX('Teacher Lookup'!$B$2:$B$200,MATCH(A1035,'Teacher Lookup'!$A$2:$A$200,0)),"")</f>
        <v>HUNG Arley</v>
      </c>
    </row>
    <row r="1036" customFormat="false" ht="15" hidden="false" customHeight="false" outlineLevel="0" collapsed="false">
      <c r="A1036" s="3" t="s">
        <v>216</v>
      </c>
      <c r="B1036" s="4" t="s">
        <v>60</v>
      </c>
      <c r="C1036" s="4" t="n">
        <v>2</v>
      </c>
      <c r="D1036" s="4" t="s">
        <v>142</v>
      </c>
      <c r="E1036" s="3" t="s">
        <v>144</v>
      </c>
      <c r="F1036" s="4" t="str">
        <f aca="false">IF(I1036&gt;J1036,"Y","N")</f>
        <v>N</v>
      </c>
      <c r="G1036" s="3" t="s">
        <v>15</v>
      </c>
      <c r="H1036" s="3" t="s">
        <v>21</v>
      </c>
      <c r="I1036" s="4" t="n">
        <v>4</v>
      </c>
      <c r="J1036" s="4" t="n">
        <f aca="false">LEN(E1036)-LEN(SUBSTITUTE(E1036,",",""))+1</f>
        <v>4</v>
      </c>
      <c r="K1036" s="3" t="str">
        <f aca="false">IFERROR(INDEX('Teacher Lookup'!$B$2:$B$200,MATCH(A1036,'Teacher Lookup'!$A$2:$A$200,0)),"")</f>
        <v>HUNG Arley</v>
      </c>
    </row>
    <row r="1037" customFormat="false" ht="15" hidden="false" customHeight="false" outlineLevel="0" collapsed="false">
      <c r="A1037" s="3" t="s">
        <v>216</v>
      </c>
      <c r="B1037" s="4" t="s">
        <v>60</v>
      </c>
      <c r="C1037" s="4" t="n">
        <v>2</v>
      </c>
      <c r="D1037" s="4" t="s">
        <v>127</v>
      </c>
      <c r="E1037" s="3" t="s">
        <v>144</v>
      </c>
      <c r="F1037" s="4" t="str">
        <f aca="false">IF(I1037&gt;J1037,"Y","N")</f>
        <v>N</v>
      </c>
      <c r="G1037" s="3" t="s">
        <v>15</v>
      </c>
      <c r="H1037" s="3" t="s">
        <v>21</v>
      </c>
      <c r="I1037" s="4" t="n">
        <v>4</v>
      </c>
      <c r="J1037" s="4" t="n">
        <f aca="false">LEN(E1037)-LEN(SUBSTITUTE(E1037,",",""))+1</f>
        <v>4</v>
      </c>
      <c r="K1037" s="3" t="str">
        <f aca="false">IFERROR(INDEX('Teacher Lookup'!$B$2:$B$200,MATCH(A1037,'Teacher Lookup'!$A$2:$A$200,0)),"")</f>
        <v>HUNG Arley</v>
      </c>
    </row>
    <row r="1038" customFormat="false" ht="15" hidden="false" customHeight="false" outlineLevel="0" collapsed="false">
      <c r="A1038" s="3" t="s">
        <v>216</v>
      </c>
      <c r="B1038" s="4" t="s">
        <v>60</v>
      </c>
      <c r="C1038" s="4" t="n">
        <v>5</v>
      </c>
      <c r="D1038" s="4" t="s">
        <v>137</v>
      </c>
      <c r="E1038" s="3" t="s">
        <v>185</v>
      </c>
      <c r="F1038" s="4" t="str">
        <f aca="false">IF(I1038&gt;J1038,"Y","N")</f>
        <v>Y</v>
      </c>
      <c r="G1038" s="3" t="s">
        <v>36</v>
      </c>
      <c r="H1038" s="3" t="s">
        <v>37</v>
      </c>
      <c r="I1038" s="4" t="n">
        <v>21</v>
      </c>
      <c r="J1038" s="4" t="n">
        <f aca="false">LEN(E1038)-LEN(SUBSTITUTE(E1038,",",""))+1</f>
        <v>7</v>
      </c>
      <c r="K1038" s="3" t="str">
        <f aca="false">IFERROR(INDEX('Teacher Lookup'!$B$2:$B$200,MATCH(A1038,'Teacher Lookup'!$A$2:$A$200,0)),"")</f>
        <v>HUNG Arley</v>
      </c>
    </row>
    <row r="1039" customFormat="false" ht="15" hidden="false" customHeight="false" outlineLevel="0" collapsed="false">
      <c r="A1039" s="3" t="s">
        <v>216</v>
      </c>
      <c r="B1039" s="4" t="s">
        <v>60</v>
      </c>
      <c r="C1039" s="4" t="n">
        <v>5</v>
      </c>
      <c r="D1039" s="4" t="s">
        <v>124</v>
      </c>
      <c r="E1039" s="3" t="s">
        <v>185</v>
      </c>
      <c r="F1039" s="4" t="str">
        <f aca="false">IF(I1039&gt;J1039,"Y","N")</f>
        <v>Y</v>
      </c>
      <c r="G1039" s="3" t="s">
        <v>36</v>
      </c>
      <c r="H1039" s="3" t="s">
        <v>37</v>
      </c>
      <c r="I1039" s="4" t="n">
        <v>21</v>
      </c>
      <c r="J1039" s="4" t="n">
        <f aca="false">LEN(E1039)-LEN(SUBSTITUTE(E1039,",",""))+1</f>
        <v>7</v>
      </c>
      <c r="K1039" s="3" t="str">
        <f aca="false">IFERROR(INDEX('Teacher Lookup'!$B$2:$B$200,MATCH(A1039,'Teacher Lookup'!$A$2:$A$200,0)),"")</f>
        <v>HUNG Arley</v>
      </c>
    </row>
    <row r="1040" customFormat="false" ht="15" hidden="false" customHeight="false" outlineLevel="0" collapsed="false">
      <c r="A1040" s="3" t="s">
        <v>216</v>
      </c>
      <c r="B1040" s="4" t="s">
        <v>60</v>
      </c>
      <c r="C1040" s="4" t="n">
        <v>5</v>
      </c>
      <c r="D1040" s="4" t="s">
        <v>139</v>
      </c>
      <c r="E1040" s="3" t="s">
        <v>185</v>
      </c>
      <c r="F1040" s="4" t="str">
        <f aca="false">IF(I1040&gt;J1040,"Y","N")</f>
        <v>Y</v>
      </c>
      <c r="G1040" s="3" t="s">
        <v>36</v>
      </c>
      <c r="H1040" s="3" t="s">
        <v>37</v>
      </c>
      <c r="I1040" s="4" t="n">
        <v>21</v>
      </c>
      <c r="J1040" s="4" t="n">
        <f aca="false">LEN(E1040)-LEN(SUBSTITUTE(E1040,",",""))+1</f>
        <v>7</v>
      </c>
      <c r="K1040" s="3" t="str">
        <f aca="false">IFERROR(INDEX('Teacher Lookup'!$B$2:$B$200,MATCH(A1040,'Teacher Lookup'!$A$2:$A$200,0)),"")</f>
        <v>HUNG Arley</v>
      </c>
    </row>
    <row r="1041" customFormat="false" ht="15" hidden="false" customHeight="false" outlineLevel="0" collapsed="false">
      <c r="A1041" s="3" t="s">
        <v>216</v>
      </c>
      <c r="B1041" s="4" t="s">
        <v>60</v>
      </c>
      <c r="C1041" s="4" t="n">
        <v>5</v>
      </c>
      <c r="D1041" s="4" t="s">
        <v>140</v>
      </c>
      <c r="E1041" s="3" t="s">
        <v>185</v>
      </c>
      <c r="F1041" s="4" t="str">
        <f aca="false">IF(I1041&gt;J1041,"Y","N")</f>
        <v>Y</v>
      </c>
      <c r="G1041" s="3" t="s">
        <v>36</v>
      </c>
      <c r="H1041" s="3" t="s">
        <v>37</v>
      </c>
      <c r="I1041" s="4" t="n">
        <v>21</v>
      </c>
      <c r="J1041" s="4" t="n">
        <f aca="false">LEN(E1041)-LEN(SUBSTITUTE(E1041,",",""))+1</f>
        <v>7</v>
      </c>
      <c r="K1041" s="3" t="str">
        <f aca="false">IFERROR(INDEX('Teacher Lookup'!$B$2:$B$200,MATCH(A1041,'Teacher Lookup'!$A$2:$A$200,0)),"")</f>
        <v>HUNG Arley</v>
      </c>
    </row>
    <row r="1042" customFormat="false" ht="15" hidden="false" customHeight="false" outlineLevel="0" collapsed="false">
      <c r="A1042" s="3" t="s">
        <v>216</v>
      </c>
      <c r="B1042" s="4" t="s">
        <v>60</v>
      </c>
      <c r="C1042" s="4" t="n">
        <v>5</v>
      </c>
      <c r="D1042" s="4" t="s">
        <v>142</v>
      </c>
      <c r="E1042" s="3" t="s">
        <v>185</v>
      </c>
      <c r="F1042" s="4" t="str">
        <f aca="false">IF(I1042&gt;J1042,"Y","N")</f>
        <v>Y</v>
      </c>
      <c r="G1042" s="3" t="s">
        <v>36</v>
      </c>
      <c r="H1042" s="3" t="s">
        <v>37</v>
      </c>
      <c r="I1042" s="4" t="n">
        <v>21</v>
      </c>
      <c r="J1042" s="4" t="n">
        <f aca="false">LEN(E1042)-LEN(SUBSTITUTE(E1042,",",""))+1</f>
        <v>7</v>
      </c>
      <c r="K1042" s="3" t="str">
        <f aca="false">IFERROR(INDEX('Teacher Lookup'!$B$2:$B$200,MATCH(A1042,'Teacher Lookup'!$A$2:$A$200,0)),"")</f>
        <v>HUNG Arley</v>
      </c>
    </row>
    <row r="1043" customFormat="false" ht="15" hidden="false" customHeight="false" outlineLevel="0" collapsed="false">
      <c r="A1043" s="3" t="s">
        <v>216</v>
      </c>
      <c r="B1043" s="4" t="s">
        <v>60</v>
      </c>
      <c r="C1043" s="4" t="n">
        <v>5</v>
      </c>
      <c r="D1043" s="4" t="s">
        <v>127</v>
      </c>
      <c r="E1043" s="3" t="s">
        <v>185</v>
      </c>
      <c r="F1043" s="4" t="str">
        <f aca="false">IF(I1043&gt;J1043,"Y","N")</f>
        <v>Y</v>
      </c>
      <c r="G1043" s="3" t="s">
        <v>36</v>
      </c>
      <c r="H1043" s="3" t="s">
        <v>37</v>
      </c>
      <c r="I1043" s="4" t="n">
        <v>21</v>
      </c>
      <c r="J1043" s="4" t="n">
        <f aca="false">LEN(E1043)-LEN(SUBSTITUTE(E1043,",",""))+1</f>
        <v>7</v>
      </c>
      <c r="K1043" s="3" t="str">
        <f aca="false">IFERROR(INDEX('Teacher Lookup'!$B$2:$B$200,MATCH(A1043,'Teacher Lookup'!$A$2:$A$200,0)),"")</f>
        <v>HUNG Arley</v>
      </c>
    </row>
    <row r="1044" customFormat="false" ht="15" hidden="false" customHeight="false" outlineLevel="0" collapsed="false">
      <c r="A1044" s="3" t="s">
        <v>216</v>
      </c>
      <c r="B1044" s="4" t="s">
        <v>60</v>
      </c>
      <c r="C1044" s="4" t="n">
        <v>6</v>
      </c>
      <c r="D1044" s="4" t="s">
        <v>137</v>
      </c>
      <c r="E1044" s="3" t="s">
        <v>208</v>
      </c>
      <c r="F1044" s="4" t="str">
        <f aca="false">IF(I1044&gt;J1044,"Y","N")</f>
        <v>N</v>
      </c>
      <c r="G1044" s="3" t="s">
        <v>15</v>
      </c>
      <c r="H1044" s="3" t="s">
        <v>42</v>
      </c>
      <c r="I1044" s="4" t="n">
        <v>4</v>
      </c>
      <c r="J1044" s="4" t="n">
        <f aca="false">LEN(E1044)-LEN(SUBSTITUTE(E1044,",",""))+1</f>
        <v>4</v>
      </c>
      <c r="K1044" s="3" t="str">
        <f aca="false">IFERROR(INDEX('Teacher Lookup'!$B$2:$B$200,MATCH(A1044,'Teacher Lookup'!$A$2:$A$200,0)),"")</f>
        <v>HUNG Arley</v>
      </c>
    </row>
    <row r="1045" customFormat="false" ht="15" hidden="false" customHeight="false" outlineLevel="0" collapsed="false">
      <c r="A1045" s="3" t="s">
        <v>216</v>
      </c>
      <c r="B1045" s="4" t="s">
        <v>60</v>
      </c>
      <c r="C1045" s="4" t="n">
        <v>6</v>
      </c>
      <c r="D1045" s="4" t="s">
        <v>124</v>
      </c>
      <c r="E1045" s="3" t="s">
        <v>208</v>
      </c>
      <c r="F1045" s="4" t="str">
        <f aca="false">IF(I1045&gt;J1045,"Y","N")</f>
        <v>N</v>
      </c>
      <c r="G1045" s="3" t="s">
        <v>15</v>
      </c>
      <c r="H1045" s="3" t="s">
        <v>42</v>
      </c>
      <c r="I1045" s="4" t="n">
        <v>4</v>
      </c>
      <c r="J1045" s="4" t="n">
        <f aca="false">LEN(E1045)-LEN(SUBSTITUTE(E1045,",",""))+1</f>
        <v>4</v>
      </c>
      <c r="K1045" s="3" t="str">
        <f aca="false">IFERROR(INDEX('Teacher Lookup'!$B$2:$B$200,MATCH(A1045,'Teacher Lookup'!$A$2:$A$200,0)),"")</f>
        <v>HUNG Arley</v>
      </c>
    </row>
    <row r="1046" customFormat="false" ht="15" hidden="false" customHeight="false" outlineLevel="0" collapsed="false">
      <c r="A1046" s="3" t="s">
        <v>216</v>
      </c>
      <c r="B1046" s="4" t="s">
        <v>60</v>
      </c>
      <c r="C1046" s="4" t="n">
        <v>6</v>
      </c>
      <c r="D1046" s="4" t="s">
        <v>139</v>
      </c>
      <c r="E1046" s="3" t="s">
        <v>208</v>
      </c>
      <c r="F1046" s="4" t="str">
        <f aca="false">IF(I1046&gt;J1046,"Y","N")</f>
        <v>N</v>
      </c>
      <c r="G1046" s="3" t="s">
        <v>15</v>
      </c>
      <c r="H1046" s="3" t="s">
        <v>42</v>
      </c>
      <c r="I1046" s="4" t="n">
        <v>4</v>
      </c>
      <c r="J1046" s="4" t="n">
        <f aca="false">LEN(E1046)-LEN(SUBSTITUTE(E1046,",",""))+1</f>
        <v>4</v>
      </c>
      <c r="K1046" s="3" t="str">
        <f aca="false">IFERROR(INDEX('Teacher Lookup'!$B$2:$B$200,MATCH(A1046,'Teacher Lookup'!$A$2:$A$200,0)),"")</f>
        <v>HUNG Arley</v>
      </c>
    </row>
    <row r="1047" customFormat="false" ht="15" hidden="false" customHeight="false" outlineLevel="0" collapsed="false">
      <c r="A1047" s="3" t="s">
        <v>216</v>
      </c>
      <c r="B1047" s="4" t="s">
        <v>60</v>
      </c>
      <c r="C1047" s="4" t="n">
        <v>7</v>
      </c>
      <c r="D1047" s="4" t="s">
        <v>70</v>
      </c>
      <c r="E1047" s="3" t="s">
        <v>71</v>
      </c>
      <c r="F1047" s="4" t="str">
        <f aca="false">IF(I1047&gt;J1047,"Y","N")</f>
        <v>N</v>
      </c>
      <c r="G1047" s="3" t="s">
        <v>15</v>
      </c>
      <c r="H1047" s="3" t="s">
        <v>39</v>
      </c>
      <c r="I1047" s="4" t="n">
        <v>4</v>
      </c>
      <c r="J1047" s="4" t="n">
        <f aca="false">LEN(E1047)-LEN(SUBSTITUTE(E1047,",",""))+1</f>
        <v>4</v>
      </c>
      <c r="K1047" s="3" t="str">
        <f aca="false">IFERROR(INDEX('Teacher Lookup'!$B$2:$B$200,MATCH(A1047,'Teacher Lookup'!$A$2:$A$200,0)),"")</f>
        <v>HUNG Arley</v>
      </c>
    </row>
    <row r="1048" customFormat="false" ht="15" hidden="false" customHeight="false" outlineLevel="0" collapsed="false">
      <c r="A1048" s="3" t="s">
        <v>216</v>
      </c>
      <c r="B1048" s="4" t="s">
        <v>60</v>
      </c>
      <c r="C1048" s="4" t="n">
        <v>7</v>
      </c>
      <c r="D1048" s="4" t="s">
        <v>73</v>
      </c>
      <c r="E1048" s="3" t="s">
        <v>71</v>
      </c>
      <c r="F1048" s="4" t="str">
        <f aca="false">IF(I1048&gt;J1048,"Y","N")</f>
        <v>N</v>
      </c>
      <c r="G1048" s="3" t="s">
        <v>15</v>
      </c>
      <c r="H1048" s="3" t="s">
        <v>39</v>
      </c>
      <c r="I1048" s="4" t="n">
        <v>4</v>
      </c>
      <c r="J1048" s="4" t="n">
        <f aca="false">LEN(E1048)-LEN(SUBSTITUTE(E1048,",",""))+1</f>
        <v>4</v>
      </c>
      <c r="K1048" s="3" t="str">
        <f aca="false">IFERROR(INDEX('Teacher Lookup'!$B$2:$B$200,MATCH(A1048,'Teacher Lookup'!$A$2:$A$200,0)),"")</f>
        <v>HUNG Arley</v>
      </c>
    </row>
    <row r="1049" customFormat="false" ht="15" hidden="false" customHeight="false" outlineLevel="0" collapsed="false">
      <c r="A1049" s="3" t="s">
        <v>216</v>
      </c>
      <c r="B1049" s="4" t="s">
        <v>60</v>
      </c>
      <c r="C1049" s="4" t="n">
        <v>7</v>
      </c>
      <c r="D1049" s="4" t="s">
        <v>74</v>
      </c>
      <c r="E1049" s="3" t="s">
        <v>71</v>
      </c>
      <c r="F1049" s="4" t="str">
        <f aca="false">IF(I1049&gt;J1049,"Y","N")</f>
        <v>N</v>
      </c>
      <c r="G1049" s="3" t="s">
        <v>15</v>
      </c>
      <c r="H1049" s="3" t="s">
        <v>39</v>
      </c>
      <c r="I1049" s="4" t="n">
        <v>4</v>
      </c>
      <c r="J1049" s="4" t="n">
        <f aca="false">LEN(E1049)-LEN(SUBSTITUTE(E1049,",",""))+1</f>
        <v>4</v>
      </c>
      <c r="K1049" s="3" t="str">
        <f aca="false">IFERROR(INDEX('Teacher Lookup'!$B$2:$B$200,MATCH(A1049,'Teacher Lookup'!$A$2:$A$200,0)),"")</f>
        <v>HUNG Arley</v>
      </c>
    </row>
    <row r="1050" customFormat="false" ht="15" hidden="false" customHeight="false" outlineLevel="0" collapsed="false">
      <c r="A1050" s="3" t="s">
        <v>216</v>
      </c>
      <c r="B1050" s="4" t="s">
        <v>63</v>
      </c>
      <c r="C1050" s="4" t="n">
        <v>1</v>
      </c>
      <c r="D1050" s="4" t="s">
        <v>137</v>
      </c>
      <c r="E1050" s="3" t="s">
        <v>186</v>
      </c>
      <c r="F1050" s="4" t="str">
        <f aca="false">IF(I1050&gt;J1050,"Y","N")</f>
        <v>N</v>
      </c>
      <c r="G1050" s="3" t="s">
        <v>15</v>
      </c>
      <c r="H1050" s="3" t="s">
        <v>16</v>
      </c>
      <c r="I1050" s="4" t="n">
        <v>4</v>
      </c>
      <c r="J1050" s="4" t="n">
        <f aca="false">LEN(E1050)-LEN(SUBSTITUTE(E1050,",",""))+1</f>
        <v>4</v>
      </c>
      <c r="K1050" s="3" t="str">
        <f aca="false">IFERROR(INDEX('Teacher Lookup'!$B$2:$B$200,MATCH(A1050,'Teacher Lookup'!$A$2:$A$200,0)),"")</f>
        <v>HUNG Arley</v>
      </c>
    </row>
    <row r="1051" customFormat="false" ht="15" hidden="false" customHeight="false" outlineLevel="0" collapsed="false">
      <c r="A1051" s="3" t="s">
        <v>216</v>
      </c>
      <c r="B1051" s="4" t="s">
        <v>63</v>
      </c>
      <c r="C1051" s="4" t="n">
        <v>1</v>
      </c>
      <c r="D1051" s="4" t="s">
        <v>124</v>
      </c>
      <c r="E1051" s="3" t="s">
        <v>186</v>
      </c>
      <c r="F1051" s="4" t="str">
        <f aca="false">IF(I1051&gt;J1051,"Y","N")</f>
        <v>N</v>
      </c>
      <c r="G1051" s="3" t="s">
        <v>15</v>
      </c>
      <c r="H1051" s="3" t="s">
        <v>16</v>
      </c>
      <c r="I1051" s="4" t="n">
        <v>4</v>
      </c>
      <c r="J1051" s="4" t="n">
        <f aca="false">LEN(E1051)-LEN(SUBSTITUTE(E1051,",",""))+1</f>
        <v>4</v>
      </c>
      <c r="K1051" s="3" t="str">
        <f aca="false">IFERROR(INDEX('Teacher Lookup'!$B$2:$B$200,MATCH(A1051,'Teacher Lookup'!$A$2:$A$200,0)),"")</f>
        <v>HUNG Arley</v>
      </c>
    </row>
    <row r="1052" customFormat="false" ht="15" hidden="false" customHeight="false" outlineLevel="0" collapsed="false">
      <c r="A1052" s="3" t="s">
        <v>216</v>
      </c>
      <c r="B1052" s="4" t="s">
        <v>63</v>
      </c>
      <c r="C1052" s="4" t="n">
        <v>1</v>
      </c>
      <c r="D1052" s="4" t="s">
        <v>139</v>
      </c>
      <c r="E1052" s="3" t="s">
        <v>186</v>
      </c>
      <c r="F1052" s="4" t="str">
        <f aca="false">IF(I1052&gt;J1052,"Y","N")</f>
        <v>N</v>
      </c>
      <c r="G1052" s="3" t="s">
        <v>15</v>
      </c>
      <c r="H1052" s="3" t="s">
        <v>16</v>
      </c>
      <c r="I1052" s="4" t="n">
        <v>4</v>
      </c>
      <c r="J1052" s="4" t="n">
        <f aca="false">LEN(E1052)-LEN(SUBSTITUTE(E1052,",",""))+1</f>
        <v>4</v>
      </c>
      <c r="K1052" s="3" t="str">
        <f aca="false">IFERROR(INDEX('Teacher Lookup'!$B$2:$B$200,MATCH(A1052,'Teacher Lookup'!$A$2:$A$200,0)),"")</f>
        <v>HUNG Arley</v>
      </c>
    </row>
    <row r="1053" customFormat="false" ht="15" hidden="false" customHeight="false" outlineLevel="0" collapsed="false">
      <c r="A1053" s="3" t="s">
        <v>216</v>
      </c>
      <c r="B1053" s="4" t="s">
        <v>63</v>
      </c>
      <c r="C1053" s="4" t="n">
        <v>3</v>
      </c>
      <c r="D1053" s="4" t="s">
        <v>70</v>
      </c>
      <c r="E1053" s="3" t="s">
        <v>223</v>
      </c>
      <c r="F1053" s="4" t="str">
        <f aca="false">IF(I1053&gt;J1053,"Y","N")</f>
        <v>N</v>
      </c>
      <c r="G1053" s="3" t="s">
        <v>15</v>
      </c>
      <c r="H1053" s="3" t="s">
        <v>26</v>
      </c>
      <c r="I1053" s="4" t="n">
        <v>4</v>
      </c>
      <c r="J1053" s="4" t="n">
        <f aca="false">LEN(E1053)-LEN(SUBSTITUTE(E1053,",",""))+1</f>
        <v>4</v>
      </c>
      <c r="K1053" s="3" t="str">
        <f aca="false">IFERROR(INDEX('Teacher Lookup'!$B$2:$B$200,MATCH(A1053,'Teacher Lookup'!$A$2:$A$200,0)),"")</f>
        <v>HUNG Arley</v>
      </c>
    </row>
    <row r="1054" customFormat="false" ht="15" hidden="false" customHeight="false" outlineLevel="0" collapsed="false">
      <c r="A1054" s="3" t="s">
        <v>216</v>
      </c>
      <c r="B1054" s="4" t="s">
        <v>63</v>
      </c>
      <c r="C1054" s="4" t="n">
        <v>3</v>
      </c>
      <c r="D1054" s="4" t="s">
        <v>73</v>
      </c>
      <c r="E1054" s="3" t="s">
        <v>223</v>
      </c>
      <c r="F1054" s="4" t="str">
        <f aca="false">IF(I1054&gt;J1054,"Y","N")</f>
        <v>N</v>
      </c>
      <c r="G1054" s="3" t="s">
        <v>15</v>
      </c>
      <c r="H1054" s="3" t="s">
        <v>26</v>
      </c>
      <c r="I1054" s="4" t="n">
        <v>4</v>
      </c>
      <c r="J1054" s="4" t="n">
        <f aca="false">LEN(E1054)-LEN(SUBSTITUTE(E1054,",",""))+1</f>
        <v>4</v>
      </c>
      <c r="K1054" s="3" t="str">
        <f aca="false">IFERROR(INDEX('Teacher Lookup'!$B$2:$B$200,MATCH(A1054,'Teacher Lookup'!$A$2:$A$200,0)),"")</f>
        <v>HUNG Arley</v>
      </c>
    </row>
    <row r="1055" customFormat="false" ht="15" hidden="false" customHeight="false" outlineLevel="0" collapsed="false">
      <c r="A1055" s="3" t="s">
        <v>216</v>
      </c>
      <c r="B1055" s="4" t="s">
        <v>63</v>
      </c>
      <c r="C1055" s="4" t="n">
        <v>3</v>
      </c>
      <c r="D1055" s="4" t="s">
        <v>74</v>
      </c>
      <c r="E1055" s="3" t="s">
        <v>223</v>
      </c>
      <c r="F1055" s="4" t="str">
        <f aca="false">IF(I1055&gt;J1055,"Y","N")</f>
        <v>N</v>
      </c>
      <c r="G1055" s="3" t="s">
        <v>15</v>
      </c>
      <c r="H1055" s="3" t="s">
        <v>26</v>
      </c>
      <c r="I1055" s="4" t="n">
        <v>4</v>
      </c>
      <c r="J1055" s="4" t="n">
        <f aca="false">LEN(E1055)-LEN(SUBSTITUTE(E1055,",",""))+1</f>
        <v>4</v>
      </c>
      <c r="K1055" s="3" t="str">
        <f aca="false">IFERROR(INDEX('Teacher Lookup'!$B$2:$B$200,MATCH(A1055,'Teacher Lookup'!$A$2:$A$200,0)),"")</f>
        <v>HUNG Arley</v>
      </c>
    </row>
    <row r="1056" customFormat="false" ht="15" hidden="false" customHeight="false" outlineLevel="0" collapsed="false">
      <c r="A1056" s="3" t="s">
        <v>216</v>
      </c>
      <c r="B1056" s="4" t="s">
        <v>65</v>
      </c>
      <c r="C1056" s="4" t="n">
        <v>3</v>
      </c>
      <c r="D1056" s="4" t="s">
        <v>70</v>
      </c>
      <c r="E1056" s="3" t="s">
        <v>224</v>
      </c>
      <c r="F1056" s="4" t="str">
        <f aca="false">IF(I1056&gt;J1056,"Y","N")</f>
        <v>N</v>
      </c>
      <c r="G1056" s="3" t="s">
        <v>15</v>
      </c>
      <c r="H1056" s="3" t="s">
        <v>26</v>
      </c>
      <c r="I1056" s="4" t="n">
        <v>4</v>
      </c>
      <c r="J1056" s="4" t="n">
        <f aca="false">LEN(E1056)-LEN(SUBSTITUTE(E1056,",",""))+1</f>
        <v>4</v>
      </c>
      <c r="K1056" s="3" t="str">
        <f aca="false">IFERROR(INDEX('Teacher Lookup'!$B$2:$B$200,MATCH(A1056,'Teacher Lookup'!$A$2:$A$200,0)),"")</f>
        <v>HUNG Arley</v>
      </c>
    </row>
    <row r="1057" customFormat="false" ht="15" hidden="false" customHeight="false" outlineLevel="0" collapsed="false">
      <c r="A1057" s="3" t="s">
        <v>216</v>
      </c>
      <c r="B1057" s="4" t="s">
        <v>65</v>
      </c>
      <c r="C1057" s="4" t="n">
        <v>3</v>
      </c>
      <c r="D1057" s="4" t="s">
        <v>73</v>
      </c>
      <c r="E1057" s="3" t="s">
        <v>224</v>
      </c>
      <c r="F1057" s="4" t="str">
        <f aca="false">IF(I1057&gt;J1057,"Y","N")</f>
        <v>N</v>
      </c>
      <c r="G1057" s="3" t="s">
        <v>15</v>
      </c>
      <c r="H1057" s="3" t="s">
        <v>26</v>
      </c>
      <c r="I1057" s="4" t="n">
        <v>4</v>
      </c>
      <c r="J1057" s="4" t="n">
        <f aca="false">LEN(E1057)-LEN(SUBSTITUTE(E1057,",",""))+1</f>
        <v>4</v>
      </c>
      <c r="K1057" s="3" t="str">
        <f aca="false">IFERROR(INDEX('Teacher Lookup'!$B$2:$B$200,MATCH(A1057,'Teacher Lookup'!$A$2:$A$200,0)),"")</f>
        <v>HUNG Arley</v>
      </c>
    </row>
    <row r="1058" customFormat="false" ht="15" hidden="false" customHeight="false" outlineLevel="0" collapsed="false">
      <c r="A1058" s="3" t="s">
        <v>216</v>
      </c>
      <c r="B1058" s="4" t="s">
        <v>65</v>
      </c>
      <c r="C1058" s="4" t="n">
        <v>3</v>
      </c>
      <c r="D1058" s="4" t="s">
        <v>74</v>
      </c>
      <c r="E1058" s="3" t="s">
        <v>224</v>
      </c>
      <c r="F1058" s="4" t="str">
        <f aca="false">IF(I1058&gt;J1058,"Y","N")</f>
        <v>N</v>
      </c>
      <c r="G1058" s="3" t="s">
        <v>15</v>
      </c>
      <c r="H1058" s="3" t="s">
        <v>26</v>
      </c>
      <c r="I1058" s="4" t="n">
        <v>4</v>
      </c>
      <c r="J1058" s="4" t="n">
        <f aca="false">LEN(E1058)-LEN(SUBSTITUTE(E1058,",",""))+1</f>
        <v>4</v>
      </c>
      <c r="K1058" s="3" t="str">
        <f aca="false">IFERROR(INDEX('Teacher Lookup'!$B$2:$B$200,MATCH(A1058,'Teacher Lookup'!$A$2:$A$200,0)),"")</f>
        <v>HUNG Arley</v>
      </c>
    </row>
    <row r="1059" customFormat="false" ht="15" hidden="false" customHeight="false" outlineLevel="0" collapsed="false">
      <c r="A1059" s="3" t="s">
        <v>216</v>
      </c>
      <c r="B1059" s="4" t="s">
        <v>65</v>
      </c>
      <c r="C1059" s="4" t="n">
        <v>5</v>
      </c>
      <c r="D1059" s="4" t="s">
        <v>137</v>
      </c>
      <c r="E1059" s="3" t="s">
        <v>185</v>
      </c>
      <c r="F1059" s="4" t="str">
        <f aca="false">IF(I1059&gt;J1059,"Y","N")</f>
        <v>Y</v>
      </c>
      <c r="G1059" s="3" t="s">
        <v>36</v>
      </c>
      <c r="H1059" s="3" t="s">
        <v>37</v>
      </c>
      <c r="I1059" s="4" t="n">
        <v>21</v>
      </c>
      <c r="J1059" s="4" t="n">
        <f aca="false">LEN(E1059)-LEN(SUBSTITUTE(E1059,",",""))+1</f>
        <v>7</v>
      </c>
      <c r="K1059" s="3" t="str">
        <f aca="false">IFERROR(INDEX('Teacher Lookup'!$B$2:$B$200,MATCH(A1059,'Teacher Lookup'!$A$2:$A$200,0)),"")</f>
        <v>HUNG Arley</v>
      </c>
    </row>
    <row r="1060" customFormat="false" ht="15" hidden="false" customHeight="false" outlineLevel="0" collapsed="false">
      <c r="A1060" s="3" t="s">
        <v>216</v>
      </c>
      <c r="B1060" s="4" t="s">
        <v>65</v>
      </c>
      <c r="C1060" s="4" t="n">
        <v>5</v>
      </c>
      <c r="D1060" s="4" t="s">
        <v>124</v>
      </c>
      <c r="E1060" s="3" t="s">
        <v>185</v>
      </c>
      <c r="F1060" s="4" t="str">
        <f aca="false">IF(I1060&gt;J1060,"Y","N")</f>
        <v>Y</v>
      </c>
      <c r="G1060" s="3" t="s">
        <v>36</v>
      </c>
      <c r="H1060" s="3" t="s">
        <v>37</v>
      </c>
      <c r="I1060" s="4" t="n">
        <v>21</v>
      </c>
      <c r="J1060" s="4" t="n">
        <f aca="false">LEN(E1060)-LEN(SUBSTITUTE(E1060,",",""))+1</f>
        <v>7</v>
      </c>
      <c r="K1060" s="3" t="str">
        <f aca="false">IFERROR(INDEX('Teacher Lookup'!$B$2:$B$200,MATCH(A1060,'Teacher Lookup'!$A$2:$A$200,0)),"")</f>
        <v>HUNG Arley</v>
      </c>
    </row>
    <row r="1061" customFormat="false" ht="15" hidden="false" customHeight="false" outlineLevel="0" collapsed="false">
      <c r="A1061" s="3" t="s">
        <v>216</v>
      </c>
      <c r="B1061" s="4" t="s">
        <v>65</v>
      </c>
      <c r="C1061" s="4" t="n">
        <v>5</v>
      </c>
      <c r="D1061" s="4" t="s">
        <v>139</v>
      </c>
      <c r="E1061" s="3" t="s">
        <v>185</v>
      </c>
      <c r="F1061" s="4" t="str">
        <f aca="false">IF(I1061&gt;J1061,"Y","N")</f>
        <v>Y</v>
      </c>
      <c r="G1061" s="3" t="s">
        <v>36</v>
      </c>
      <c r="H1061" s="3" t="s">
        <v>37</v>
      </c>
      <c r="I1061" s="4" t="n">
        <v>21</v>
      </c>
      <c r="J1061" s="4" t="n">
        <f aca="false">LEN(E1061)-LEN(SUBSTITUTE(E1061,",",""))+1</f>
        <v>7</v>
      </c>
      <c r="K1061" s="3" t="str">
        <f aca="false">IFERROR(INDEX('Teacher Lookup'!$B$2:$B$200,MATCH(A1061,'Teacher Lookup'!$A$2:$A$200,0)),"")</f>
        <v>HUNG Arley</v>
      </c>
    </row>
    <row r="1062" customFormat="false" ht="15" hidden="false" customHeight="false" outlineLevel="0" collapsed="false">
      <c r="A1062" s="3" t="s">
        <v>216</v>
      </c>
      <c r="B1062" s="4" t="s">
        <v>65</v>
      </c>
      <c r="C1062" s="4" t="n">
        <v>5</v>
      </c>
      <c r="D1062" s="4" t="s">
        <v>140</v>
      </c>
      <c r="E1062" s="3" t="s">
        <v>185</v>
      </c>
      <c r="F1062" s="4" t="str">
        <f aca="false">IF(I1062&gt;J1062,"Y","N")</f>
        <v>Y</v>
      </c>
      <c r="G1062" s="3" t="s">
        <v>36</v>
      </c>
      <c r="H1062" s="3" t="s">
        <v>37</v>
      </c>
      <c r="I1062" s="4" t="n">
        <v>21</v>
      </c>
      <c r="J1062" s="4" t="n">
        <f aca="false">LEN(E1062)-LEN(SUBSTITUTE(E1062,",",""))+1</f>
        <v>7</v>
      </c>
      <c r="K1062" s="3" t="str">
        <f aca="false">IFERROR(INDEX('Teacher Lookup'!$B$2:$B$200,MATCH(A1062,'Teacher Lookup'!$A$2:$A$200,0)),"")</f>
        <v>HUNG Arley</v>
      </c>
    </row>
    <row r="1063" customFormat="false" ht="15" hidden="false" customHeight="false" outlineLevel="0" collapsed="false">
      <c r="A1063" s="3" t="s">
        <v>216</v>
      </c>
      <c r="B1063" s="4" t="s">
        <v>65</v>
      </c>
      <c r="C1063" s="4" t="n">
        <v>5</v>
      </c>
      <c r="D1063" s="4" t="s">
        <v>142</v>
      </c>
      <c r="E1063" s="3" t="s">
        <v>185</v>
      </c>
      <c r="F1063" s="4" t="str">
        <f aca="false">IF(I1063&gt;J1063,"Y","N")</f>
        <v>Y</v>
      </c>
      <c r="G1063" s="3" t="s">
        <v>36</v>
      </c>
      <c r="H1063" s="3" t="s">
        <v>37</v>
      </c>
      <c r="I1063" s="4" t="n">
        <v>21</v>
      </c>
      <c r="J1063" s="4" t="n">
        <f aca="false">LEN(E1063)-LEN(SUBSTITUTE(E1063,",",""))+1</f>
        <v>7</v>
      </c>
      <c r="K1063" s="3" t="str">
        <f aca="false">IFERROR(INDEX('Teacher Lookup'!$B$2:$B$200,MATCH(A1063,'Teacher Lookup'!$A$2:$A$200,0)),"")</f>
        <v>HUNG Arley</v>
      </c>
    </row>
    <row r="1064" customFormat="false" ht="15" hidden="false" customHeight="false" outlineLevel="0" collapsed="false">
      <c r="A1064" s="3" t="s">
        <v>216</v>
      </c>
      <c r="B1064" s="4" t="s">
        <v>65</v>
      </c>
      <c r="C1064" s="4" t="n">
        <v>5</v>
      </c>
      <c r="D1064" s="4" t="s">
        <v>127</v>
      </c>
      <c r="E1064" s="3" t="s">
        <v>185</v>
      </c>
      <c r="F1064" s="4" t="str">
        <f aca="false">IF(I1064&gt;J1064,"Y","N")</f>
        <v>Y</v>
      </c>
      <c r="G1064" s="3" t="s">
        <v>36</v>
      </c>
      <c r="H1064" s="3" t="s">
        <v>37</v>
      </c>
      <c r="I1064" s="4" t="n">
        <v>21</v>
      </c>
      <c r="J1064" s="4" t="n">
        <f aca="false">LEN(E1064)-LEN(SUBSTITUTE(E1064,",",""))+1</f>
        <v>7</v>
      </c>
      <c r="K1064" s="3" t="str">
        <f aca="false">IFERROR(INDEX('Teacher Lookup'!$B$2:$B$200,MATCH(A1064,'Teacher Lookup'!$A$2:$A$200,0)),"")</f>
        <v>HUNG Arley</v>
      </c>
    </row>
    <row r="1065" customFormat="false" ht="15" hidden="false" customHeight="false" outlineLevel="0" collapsed="false">
      <c r="A1065" s="3" t="s">
        <v>216</v>
      </c>
      <c r="B1065" s="4" t="s">
        <v>65</v>
      </c>
      <c r="C1065" s="4" t="n">
        <v>7</v>
      </c>
      <c r="D1065" s="4" t="s">
        <v>140</v>
      </c>
      <c r="E1065" s="3" t="s">
        <v>144</v>
      </c>
      <c r="F1065" s="4" t="str">
        <f aca="false">IF(I1065&gt;J1065,"Y","N")</f>
        <v>N</v>
      </c>
      <c r="G1065" s="3" t="s">
        <v>15</v>
      </c>
      <c r="H1065" s="3" t="s">
        <v>39</v>
      </c>
      <c r="I1065" s="4" t="n">
        <v>4</v>
      </c>
      <c r="J1065" s="4" t="n">
        <f aca="false">LEN(E1065)-LEN(SUBSTITUTE(E1065,",",""))+1</f>
        <v>4</v>
      </c>
      <c r="K1065" s="3" t="str">
        <f aca="false">IFERROR(INDEX('Teacher Lookup'!$B$2:$B$200,MATCH(A1065,'Teacher Lookup'!$A$2:$A$200,0)),"")</f>
        <v>HUNG Arley</v>
      </c>
    </row>
    <row r="1066" customFormat="false" ht="15" hidden="false" customHeight="false" outlineLevel="0" collapsed="false">
      <c r="A1066" s="3" t="s">
        <v>216</v>
      </c>
      <c r="B1066" s="4" t="s">
        <v>65</v>
      </c>
      <c r="C1066" s="4" t="n">
        <v>7</v>
      </c>
      <c r="D1066" s="4" t="s">
        <v>142</v>
      </c>
      <c r="E1066" s="3" t="s">
        <v>144</v>
      </c>
      <c r="F1066" s="4" t="str">
        <f aca="false">IF(I1066&gt;J1066,"Y","N")</f>
        <v>N</v>
      </c>
      <c r="G1066" s="3" t="s">
        <v>15</v>
      </c>
      <c r="H1066" s="3" t="s">
        <v>39</v>
      </c>
      <c r="I1066" s="4" t="n">
        <v>4</v>
      </c>
      <c r="J1066" s="4" t="n">
        <f aca="false">LEN(E1066)-LEN(SUBSTITUTE(E1066,",",""))+1</f>
        <v>4</v>
      </c>
      <c r="K1066" s="3" t="str">
        <f aca="false">IFERROR(INDEX('Teacher Lookup'!$B$2:$B$200,MATCH(A1066,'Teacher Lookup'!$A$2:$A$200,0)),"")</f>
        <v>HUNG Arley</v>
      </c>
    </row>
    <row r="1067" customFormat="false" ht="15" hidden="false" customHeight="false" outlineLevel="0" collapsed="false">
      <c r="A1067" s="3" t="s">
        <v>216</v>
      </c>
      <c r="B1067" s="4" t="s">
        <v>65</v>
      </c>
      <c r="C1067" s="4" t="n">
        <v>7</v>
      </c>
      <c r="D1067" s="4" t="s">
        <v>127</v>
      </c>
      <c r="E1067" s="3" t="s">
        <v>144</v>
      </c>
      <c r="F1067" s="4" t="str">
        <f aca="false">IF(I1067&gt;J1067,"Y","N")</f>
        <v>N</v>
      </c>
      <c r="G1067" s="3" t="s">
        <v>15</v>
      </c>
      <c r="H1067" s="3" t="s">
        <v>39</v>
      </c>
      <c r="I1067" s="4" t="n">
        <v>4</v>
      </c>
      <c r="J1067" s="4" t="n">
        <f aca="false">LEN(E1067)-LEN(SUBSTITUTE(E1067,",",""))+1</f>
        <v>4</v>
      </c>
      <c r="K1067" s="3" t="str">
        <f aca="false">IFERROR(INDEX('Teacher Lookup'!$B$2:$B$200,MATCH(A1067,'Teacher Lookup'!$A$2:$A$200,0)),"")</f>
        <v>HUNG Arley</v>
      </c>
    </row>
    <row r="1068" customFormat="false" ht="15" hidden="false" customHeight="false" outlineLevel="0" collapsed="false">
      <c r="A1068" s="3" t="s">
        <v>216</v>
      </c>
      <c r="B1068" s="4" t="s">
        <v>66</v>
      </c>
      <c r="C1068" s="4" t="n">
        <v>1</v>
      </c>
      <c r="D1068" s="4" t="s">
        <v>137</v>
      </c>
      <c r="E1068" s="3" t="s">
        <v>215</v>
      </c>
      <c r="F1068" s="4" t="str">
        <f aca="false">IF(I1068&gt;J1068,"Y","N")</f>
        <v>N</v>
      </c>
      <c r="G1068" s="3" t="s">
        <v>15</v>
      </c>
      <c r="H1068" s="3" t="s">
        <v>16</v>
      </c>
      <c r="I1068" s="4" t="n">
        <v>4</v>
      </c>
      <c r="J1068" s="4" t="n">
        <f aca="false">LEN(E1068)-LEN(SUBSTITUTE(E1068,",",""))+1</f>
        <v>4</v>
      </c>
      <c r="K1068" s="3" t="str">
        <f aca="false">IFERROR(INDEX('Teacher Lookup'!$B$2:$B$200,MATCH(A1068,'Teacher Lookup'!$A$2:$A$200,0)),"")</f>
        <v>HUNG Arley</v>
      </c>
    </row>
    <row r="1069" customFormat="false" ht="15" hidden="false" customHeight="false" outlineLevel="0" collapsed="false">
      <c r="A1069" s="3" t="s">
        <v>216</v>
      </c>
      <c r="B1069" s="4" t="s">
        <v>66</v>
      </c>
      <c r="C1069" s="4" t="n">
        <v>1</v>
      </c>
      <c r="D1069" s="4" t="s">
        <v>124</v>
      </c>
      <c r="E1069" s="3" t="s">
        <v>215</v>
      </c>
      <c r="F1069" s="4" t="str">
        <f aca="false">IF(I1069&gt;J1069,"Y","N")</f>
        <v>N</v>
      </c>
      <c r="G1069" s="3" t="s">
        <v>15</v>
      </c>
      <c r="H1069" s="3" t="s">
        <v>16</v>
      </c>
      <c r="I1069" s="4" t="n">
        <v>4</v>
      </c>
      <c r="J1069" s="4" t="n">
        <f aca="false">LEN(E1069)-LEN(SUBSTITUTE(E1069,",",""))+1</f>
        <v>4</v>
      </c>
      <c r="K1069" s="3" t="str">
        <f aca="false">IFERROR(INDEX('Teacher Lookup'!$B$2:$B$200,MATCH(A1069,'Teacher Lookup'!$A$2:$A$200,0)),"")</f>
        <v>HUNG Arley</v>
      </c>
    </row>
    <row r="1070" customFormat="false" ht="15" hidden="false" customHeight="false" outlineLevel="0" collapsed="false">
      <c r="A1070" s="3" t="s">
        <v>216</v>
      </c>
      <c r="B1070" s="4" t="s">
        <v>66</v>
      </c>
      <c r="C1070" s="4" t="n">
        <v>1</v>
      </c>
      <c r="D1070" s="4" t="s">
        <v>139</v>
      </c>
      <c r="E1070" s="3" t="s">
        <v>215</v>
      </c>
      <c r="F1070" s="4" t="str">
        <f aca="false">IF(I1070&gt;J1070,"Y","N")</f>
        <v>N</v>
      </c>
      <c r="G1070" s="3" t="s">
        <v>15</v>
      </c>
      <c r="H1070" s="3" t="s">
        <v>16</v>
      </c>
      <c r="I1070" s="4" t="n">
        <v>4</v>
      </c>
      <c r="J1070" s="4" t="n">
        <f aca="false">LEN(E1070)-LEN(SUBSTITUTE(E1070,",",""))+1</f>
        <v>4</v>
      </c>
      <c r="K1070" s="3" t="str">
        <f aca="false">IFERROR(INDEX('Teacher Lookup'!$B$2:$B$200,MATCH(A1070,'Teacher Lookup'!$A$2:$A$200,0)),"")</f>
        <v>HUNG Arley</v>
      </c>
    </row>
    <row r="1071" customFormat="false" ht="15" hidden="false" customHeight="false" outlineLevel="0" collapsed="false">
      <c r="A1071" s="3" t="s">
        <v>216</v>
      </c>
      <c r="B1071" s="4" t="s">
        <v>66</v>
      </c>
      <c r="C1071" s="4" t="n">
        <v>2</v>
      </c>
      <c r="D1071" s="4" t="s">
        <v>140</v>
      </c>
      <c r="E1071" s="3" t="s">
        <v>150</v>
      </c>
      <c r="F1071" s="4" t="str">
        <f aca="false">IF(I1071&gt;J1071,"Y","N")</f>
        <v>N</v>
      </c>
      <c r="G1071" s="3" t="s">
        <v>15</v>
      </c>
      <c r="H1071" s="3" t="s">
        <v>21</v>
      </c>
      <c r="I1071" s="4" t="n">
        <v>4</v>
      </c>
      <c r="J1071" s="4" t="n">
        <f aca="false">LEN(E1071)-LEN(SUBSTITUTE(E1071,",",""))+1</f>
        <v>4</v>
      </c>
      <c r="K1071" s="3" t="str">
        <f aca="false">IFERROR(INDEX('Teacher Lookup'!$B$2:$B$200,MATCH(A1071,'Teacher Lookup'!$A$2:$A$200,0)),"")</f>
        <v>HUNG Arley</v>
      </c>
    </row>
    <row r="1072" customFormat="false" ht="15" hidden="false" customHeight="false" outlineLevel="0" collapsed="false">
      <c r="A1072" s="3" t="s">
        <v>216</v>
      </c>
      <c r="B1072" s="4" t="s">
        <v>66</v>
      </c>
      <c r="C1072" s="4" t="n">
        <v>2</v>
      </c>
      <c r="D1072" s="4" t="s">
        <v>142</v>
      </c>
      <c r="E1072" s="3" t="s">
        <v>150</v>
      </c>
      <c r="F1072" s="4" t="str">
        <f aca="false">IF(I1072&gt;J1072,"Y","N")</f>
        <v>N</v>
      </c>
      <c r="G1072" s="3" t="s">
        <v>15</v>
      </c>
      <c r="H1072" s="3" t="s">
        <v>21</v>
      </c>
      <c r="I1072" s="4" t="n">
        <v>4</v>
      </c>
      <c r="J1072" s="4" t="n">
        <f aca="false">LEN(E1072)-LEN(SUBSTITUTE(E1072,",",""))+1</f>
        <v>4</v>
      </c>
      <c r="K1072" s="3" t="str">
        <f aca="false">IFERROR(INDEX('Teacher Lookup'!$B$2:$B$200,MATCH(A1072,'Teacher Lookup'!$A$2:$A$200,0)),"")</f>
        <v>HUNG Arley</v>
      </c>
    </row>
    <row r="1073" customFormat="false" ht="15" hidden="false" customHeight="false" outlineLevel="0" collapsed="false">
      <c r="A1073" s="3" t="s">
        <v>216</v>
      </c>
      <c r="B1073" s="4" t="s">
        <v>66</v>
      </c>
      <c r="C1073" s="4" t="n">
        <v>2</v>
      </c>
      <c r="D1073" s="4" t="s">
        <v>127</v>
      </c>
      <c r="E1073" s="3" t="s">
        <v>150</v>
      </c>
      <c r="F1073" s="4" t="str">
        <f aca="false">IF(I1073&gt;J1073,"Y","N")</f>
        <v>N</v>
      </c>
      <c r="G1073" s="3" t="s">
        <v>15</v>
      </c>
      <c r="H1073" s="3" t="s">
        <v>21</v>
      </c>
      <c r="I1073" s="4" t="n">
        <v>4</v>
      </c>
      <c r="J1073" s="4" t="n">
        <f aca="false">LEN(E1073)-LEN(SUBSTITUTE(E1073,",",""))+1</f>
        <v>4</v>
      </c>
      <c r="K1073" s="3" t="str">
        <f aca="false">IFERROR(INDEX('Teacher Lookup'!$B$2:$B$200,MATCH(A1073,'Teacher Lookup'!$A$2:$A$200,0)),"")</f>
        <v>HUNG Arley</v>
      </c>
    </row>
    <row r="1074" customFormat="false" ht="15" hidden="false" customHeight="false" outlineLevel="0" collapsed="false">
      <c r="A1074" s="3" t="s">
        <v>216</v>
      </c>
      <c r="B1074" s="4" t="s">
        <v>66</v>
      </c>
      <c r="C1074" s="4" t="n">
        <v>4</v>
      </c>
      <c r="D1074" s="4" t="s">
        <v>70</v>
      </c>
      <c r="E1074" s="3" t="s">
        <v>225</v>
      </c>
      <c r="F1074" s="4" t="str">
        <f aca="false">IF(I1074&gt;J1074,"Y","N")</f>
        <v>N</v>
      </c>
      <c r="G1074" s="3" t="s">
        <v>15</v>
      </c>
      <c r="H1074" s="3" t="s">
        <v>34</v>
      </c>
      <c r="I1074" s="4" t="n">
        <v>4</v>
      </c>
      <c r="J1074" s="4" t="n">
        <f aca="false">LEN(E1074)-LEN(SUBSTITUTE(E1074,",",""))+1</f>
        <v>4</v>
      </c>
      <c r="K1074" s="3" t="str">
        <f aca="false">IFERROR(INDEX('Teacher Lookup'!$B$2:$B$200,MATCH(A1074,'Teacher Lookup'!$A$2:$A$200,0)),"")</f>
        <v>HUNG Arley</v>
      </c>
    </row>
    <row r="1075" customFormat="false" ht="15" hidden="false" customHeight="false" outlineLevel="0" collapsed="false">
      <c r="A1075" s="3" t="s">
        <v>216</v>
      </c>
      <c r="B1075" s="4" t="s">
        <v>66</v>
      </c>
      <c r="C1075" s="4" t="n">
        <v>4</v>
      </c>
      <c r="D1075" s="4" t="s">
        <v>73</v>
      </c>
      <c r="E1075" s="3" t="s">
        <v>225</v>
      </c>
      <c r="F1075" s="4" t="str">
        <f aca="false">IF(I1075&gt;J1075,"Y","N")</f>
        <v>N</v>
      </c>
      <c r="G1075" s="3" t="s">
        <v>15</v>
      </c>
      <c r="H1075" s="3" t="s">
        <v>34</v>
      </c>
      <c r="I1075" s="4" t="n">
        <v>4</v>
      </c>
      <c r="J1075" s="4" t="n">
        <f aca="false">LEN(E1075)-LEN(SUBSTITUTE(E1075,",",""))+1</f>
        <v>4</v>
      </c>
      <c r="K1075" s="3" t="str">
        <f aca="false">IFERROR(INDEX('Teacher Lookup'!$B$2:$B$200,MATCH(A1075,'Teacher Lookup'!$A$2:$A$200,0)),"")</f>
        <v>HUNG Arley</v>
      </c>
    </row>
    <row r="1076" customFormat="false" ht="15" hidden="false" customHeight="false" outlineLevel="0" collapsed="false">
      <c r="A1076" s="3" t="s">
        <v>216</v>
      </c>
      <c r="B1076" s="4" t="s">
        <v>66</v>
      </c>
      <c r="C1076" s="4" t="n">
        <v>4</v>
      </c>
      <c r="D1076" s="4" t="s">
        <v>74</v>
      </c>
      <c r="E1076" s="3" t="s">
        <v>225</v>
      </c>
      <c r="F1076" s="4" t="str">
        <f aca="false">IF(I1076&gt;J1076,"Y","N")</f>
        <v>N</v>
      </c>
      <c r="G1076" s="3" t="s">
        <v>15</v>
      </c>
      <c r="H1076" s="3" t="s">
        <v>34</v>
      </c>
      <c r="I1076" s="4" t="n">
        <v>4</v>
      </c>
      <c r="J1076" s="4" t="n">
        <f aca="false">LEN(E1076)-LEN(SUBSTITUTE(E1076,",",""))+1</f>
        <v>4</v>
      </c>
      <c r="K1076" s="3" t="str">
        <f aca="false">IFERROR(INDEX('Teacher Lookup'!$B$2:$B$200,MATCH(A1076,'Teacher Lookup'!$A$2:$A$200,0)),"")</f>
        <v>HUNG Arley</v>
      </c>
    </row>
    <row r="1077" customFormat="false" ht="15" hidden="false" customHeight="false" outlineLevel="0" collapsed="false">
      <c r="A1077" s="3" t="s">
        <v>226</v>
      </c>
      <c r="B1077" s="4" t="s">
        <v>12</v>
      </c>
      <c r="C1077" s="4" t="n">
        <v>3</v>
      </c>
      <c r="D1077" s="4" t="s">
        <v>102</v>
      </c>
      <c r="E1077" s="3" t="s">
        <v>227</v>
      </c>
      <c r="F1077" s="4" t="str">
        <f aca="false">IF(I1077&gt;J1077,"Y","N")</f>
        <v>N</v>
      </c>
      <c r="G1077" s="3" t="s">
        <v>15</v>
      </c>
      <c r="H1077" s="3" t="s">
        <v>26</v>
      </c>
      <c r="I1077" s="4" t="n">
        <v>5</v>
      </c>
      <c r="J1077" s="4" t="n">
        <f aca="false">LEN(E1077)-LEN(SUBSTITUTE(E1077,",",""))+1</f>
        <v>5</v>
      </c>
      <c r="K1077" s="3" t="str">
        <f aca="false">IFERROR(INDEX('Teacher Lookup'!$B$2:$B$200,MATCH(A1077,'Teacher Lookup'!$A$2:$A$200,0)),"")</f>
        <v>YEUNG Arthur</v>
      </c>
    </row>
    <row r="1078" customFormat="false" ht="15" hidden="false" customHeight="false" outlineLevel="0" collapsed="false">
      <c r="A1078" s="3" t="s">
        <v>226</v>
      </c>
      <c r="B1078" s="4" t="s">
        <v>12</v>
      </c>
      <c r="C1078" s="4" t="n">
        <v>3</v>
      </c>
      <c r="D1078" s="4" t="s">
        <v>105</v>
      </c>
      <c r="E1078" s="3" t="s">
        <v>227</v>
      </c>
      <c r="F1078" s="4" t="str">
        <f aca="false">IF(I1078&gt;J1078,"Y","N")</f>
        <v>N</v>
      </c>
      <c r="G1078" s="3" t="s">
        <v>15</v>
      </c>
      <c r="H1078" s="3" t="s">
        <v>26</v>
      </c>
      <c r="I1078" s="4" t="n">
        <v>5</v>
      </c>
      <c r="J1078" s="4" t="n">
        <f aca="false">LEN(E1078)-LEN(SUBSTITUTE(E1078,",",""))+1</f>
        <v>5</v>
      </c>
      <c r="K1078" s="3" t="str">
        <f aca="false">IFERROR(INDEX('Teacher Lookup'!$B$2:$B$200,MATCH(A1078,'Teacher Lookup'!$A$2:$A$200,0)),"")</f>
        <v>YEUNG Arthur</v>
      </c>
    </row>
    <row r="1079" customFormat="false" ht="15" hidden="false" customHeight="false" outlineLevel="0" collapsed="false">
      <c r="A1079" s="3" t="s">
        <v>226</v>
      </c>
      <c r="B1079" s="4" t="s">
        <v>12</v>
      </c>
      <c r="C1079" s="4" t="n">
        <v>3</v>
      </c>
      <c r="D1079" s="4" t="s">
        <v>106</v>
      </c>
      <c r="E1079" s="3" t="s">
        <v>227</v>
      </c>
      <c r="F1079" s="4" t="str">
        <f aca="false">IF(I1079&gt;J1079,"Y","N")</f>
        <v>N</v>
      </c>
      <c r="G1079" s="3" t="s">
        <v>15</v>
      </c>
      <c r="H1079" s="3" t="s">
        <v>26</v>
      </c>
      <c r="I1079" s="4" t="n">
        <v>5</v>
      </c>
      <c r="J1079" s="4" t="n">
        <f aca="false">LEN(E1079)-LEN(SUBSTITUTE(E1079,",",""))+1</f>
        <v>5</v>
      </c>
      <c r="K1079" s="3" t="str">
        <f aca="false">IFERROR(INDEX('Teacher Lookup'!$B$2:$B$200,MATCH(A1079,'Teacher Lookup'!$A$2:$A$200,0)),"")</f>
        <v>YEUNG Arthur</v>
      </c>
    </row>
    <row r="1080" customFormat="false" ht="15" hidden="false" customHeight="false" outlineLevel="0" collapsed="false">
      <c r="A1080" s="3" t="s">
        <v>226</v>
      </c>
      <c r="B1080" s="4" t="s">
        <v>12</v>
      </c>
      <c r="C1080" s="4" t="n">
        <v>3</v>
      </c>
      <c r="D1080" s="4" t="s">
        <v>107</v>
      </c>
      <c r="E1080" s="3" t="s">
        <v>227</v>
      </c>
      <c r="F1080" s="4" t="str">
        <f aca="false">IF(I1080&gt;J1080,"Y","N")</f>
        <v>N</v>
      </c>
      <c r="G1080" s="3" t="s">
        <v>15</v>
      </c>
      <c r="H1080" s="3" t="s">
        <v>26</v>
      </c>
      <c r="I1080" s="4" t="n">
        <v>5</v>
      </c>
      <c r="J1080" s="4" t="n">
        <f aca="false">LEN(E1080)-LEN(SUBSTITUTE(E1080,",",""))+1</f>
        <v>5</v>
      </c>
      <c r="K1080" s="3" t="str">
        <f aca="false">IFERROR(INDEX('Teacher Lookup'!$B$2:$B$200,MATCH(A1080,'Teacher Lookup'!$A$2:$A$200,0)),"")</f>
        <v>YEUNG Arthur</v>
      </c>
    </row>
    <row r="1081" customFormat="false" ht="15" hidden="false" customHeight="false" outlineLevel="0" collapsed="false">
      <c r="A1081" s="3" t="s">
        <v>226</v>
      </c>
      <c r="B1081" s="4" t="s">
        <v>31</v>
      </c>
      <c r="C1081" s="4" t="n">
        <v>5</v>
      </c>
      <c r="D1081" s="4" t="s">
        <v>228</v>
      </c>
      <c r="E1081" s="3" t="s">
        <v>229</v>
      </c>
      <c r="F1081" s="4" t="str">
        <f aca="false">IF(I1081&gt;J1081,"Y","N")</f>
        <v>Y</v>
      </c>
      <c r="G1081" s="3" t="s">
        <v>36</v>
      </c>
      <c r="H1081" s="3" t="s">
        <v>37</v>
      </c>
      <c r="I1081" s="4" t="n">
        <v>14</v>
      </c>
      <c r="J1081" s="4" t="n">
        <f aca="false">LEN(E1081)-LEN(SUBSTITUTE(E1081,",",""))+1</f>
        <v>6</v>
      </c>
      <c r="K1081" s="3" t="str">
        <f aca="false">IFERROR(INDEX('Teacher Lookup'!$B$2:$B$200,MATCH(A1081,'Teacher Lookup'!$A$2:$A$200,0)),"")</f>
        <v>YEUNG Arthur</v>
      </c>
    </row>
    <row r="1082" customFormat="false" ht="15" hidden="false" customHeight="false" outlineLevel="0" collapsed="false">
      <c r="A1082" s="3" t="s">
        <v>226</v>
      </c>
      <c r="B1082" s="4" t="s">
        <v>31</v>
      </c>
      <c r="C1082" s="4" t="n">
        <v>5</v>
      </c>
      <c r="D1082" s="4" t="s">
        <v>102</v>
      </c>
      <c r="E1082" s="3" t="s">
        <v>229</v>
      </c>
      <c r="F1082" s="4" t="str">
        <f aca="false">IF(I1082&gt;J1082,"Y","N")</f>
        <v>Y</v>
      </c>
      <c r="G1082" s="3" t="s">
        <v>36</v>
      </c>
      <c r="H1082" s="3" t="s">
        <v>37</v>
      </c>
      <c r="I1082" s="4" t="n">
        <v>14</v>
      </c>
      <c r="J1082" s="4" t="n">
        <f aca="false">LEN(E1082)-LEN(SUBSTITUTE(E1082,",",""))+1</f>
        <v>6</v>
      </c>
      <c r="K1082" s="3" t="str">
        <f aca="false">IFERROR(INDEX('Teacher Lookup'!$B$2:$B$200,MATCH(A1082,'Teacher Lookup'!$A$2:$A$200,0)),"")</f>
        <v>YEUNG Arthur</v>
      </c>
    </row>
    <row r="1083" customFormat="false" ht="15" hidden="false" customHeight="false" outlineLevel="0" collapsed="false">
      <c r="A1083" s="3" t="s">
        <v>226</v>
      </c>
      <c r="B1083" s="4" t="s">
        <v>31</v>
      </c>
      <c r="C1083" s="4" t="n">
        <v>5</v>
      </c>
      <c r="D1083" s="4" t="s">
        <v>105</v>
      </c>
      <c r="E1083" s="3" t="s">
        <v>229</v>
      </c>
      <c r="F1083" s="4" t="str">
        <f aca="false">IF(I1083&gt;J1083,"Y","N")</f>
        <v>Y</v>
      </c>
      <c r="G1083" s="3" t="s">
        <v>36</v>
      </c>
      <c r="H1083" s="3" t="s">
        <v>37</v>
      </c>
      <c r="I1083" s="4" t="n">
        <v>14</v>
      </c>
      <c r="J1083" s="4" t="n">
        <f aca="false">LEN(E1083)-LEN(SUBSTITUTE(E1083,",",""))+1</f>
        <v>6</v>
      </c>
      <c r="K1083" s="3" t="str">
        <f aca="false">IFERROR(INDEX('Teacher Lookup'!$B$2:$B$200,MATCH(A1083,'Teacher Lookup'!$A$2:$A$200,0)),"")</f>
        <v>YEUNG Arthur</v>
      </c>
    </row>
    <row r="1084" customFormat="false" ht="15" hidden="false" customHeight="false" outlineLevel="0" collapsed="false">
      <c r="A1084" s="3" t="s">
        <v>226</v>
      </c>
      <c r="B1084" s="4" t="s">
        <v>31</v>
      </c>
      <c r="C1084" s="4" t="n">
        <v>5</v>
      </c>
      <c r="D1084" s="4" t="s">
        <v>106</v>
      </c>
      <c r="E1084" s="3" t="s">
        <v>229</v>
      </c>
      <c r="F1084" s="4" t="str">
        <f aca="false">IF(I1084&gt;J1084,"Y","N")</f>
        <v>Y</v>
      </c>
      <c r="G1084" s="3" t="s">
        <v>36</v>
      </c>
      <c r="H1084" s="3" t="s">
        <v>37</v>
      </c>
      <c r="I1084" s="4" t="n">
        <v>14</v>
      </c>
      <c r="J1084" s="4" t="n">
        <f aca="false">LEN(E1084)-LEN(SUBSTITUTE(E1084,",",""))+1</f>
        <v>6</v>
      </c>
      <c r="K1084" s="3" t="str">
        <f aca="false">IFERROR(INDEX('Teacher Lookup'!$B$2:$B$200,MATCH(A1084,'Teacher Lookup'!$A$2:$A$200,0)),"")</f>
        <v>YEUNG Arthur</v>
      </c>
    </row>
    <row r="1085" customFormat="false" ht="15" hidden="false" customHeight="false" outlineLevel="0" collapsed="false">
      <c r="A1085" s="3" t="s">
        <v>226</v>
      </c>
      <c r="B1085" s="4" t="s">
        <v>31</v>
      </c>
      <c r="C1085" s="4" t="n">
        <v>5</v>
      </c>
      <c r="D1085" s="4" t="s">
        <v>107</v>
      </c>
      <c r="E1085" s="3" t="s">
        <v>229</v>
      </c>
      <c r="F1085" s="4" t="str">
        <f aca="false">IF(I1085&gt;J1085,"Y","N")</f>
        <v>Y</v>
      </c>
      <c r="G1085" s="3" t="s">
        <v>36</v>
      </c>
      <c r="H1085" s="3" t="s">
        <v>37</v>
      </c>
      <c r="I1085" s="4" t="n">
        <v>14</v>
      </c>
      <c r="J1085" s="4" t="n">
        <f aca="false">LEN(E1085)-LEN(SUBSTITUTE(E1085,",",""))+1</f>
        <v>6</v>
      </c>
      <c r="K1085" s="3" t="str">
        <f aca="false">IFERROR(INDEX('Teacher Lookup'!$B$2:$B$200,MATCH(A1085,'Teacher Lookup'!$A$2:$A$200,0)),"")</f>
        <v>YEUNG Arthur</v>
      </c>
    </row>
    <row r="1086" customFormat="false" ht="15" hidden="false" customHeight="false" outlineLevel="0" collapsed="false">
      <c r="A1086" s="3" t="s">
        <v>226</v>
      </c>
      <c r="B1086" s="4" t="s">
        <v>40</v>
      </c>
      <c r="C1086" s="4" t="n">
        <v>4</v>
      </c>
      <c r="D1086" s="4" t="s">
        <v>102</v>
      </c>
      <c r="E1086" s="3" t="s">
        <v>230</v>
      </c>
      <c r="F1086" s="4" t="str">
        <f aca="false">IF(I1086&gt;J1086,"Y","N")</f>
        <v>N</v>
      </c>
      <c r="G1086" s="3" t="s">
        <v>15</v>
      </c>
      <c r="H1086" s="3" t="s">
        <v>34</v>
      </c>
      <c r="I1086" s="4" t="n">
        <v>5</v>
      </c>
      <c r="J1086" s="4" t="n">
        <f aca="false">LEN(E1086)-LEN(SUBSTITUTE(E1086,",",""))+1</f>
        <v>5</v>
      </c>
      <c r="K1086" s="3" t="str">
        <f aca="false">IFERROR(INDEX('Teacher Lookup'!$B$2:$B$200,MATCH(A1086,'Teacher Lookup'!$A$2:$A$200,0)),"")</f>
        <v>YEUNG Arthur</v>
      </c>
    </row>
    <row r="1087" customFormat="false" ht="15" hidden="false" customHeight="false" outlineLevel="0" collapsed="false">
      <c r="A1087" s="3" t="s">
        <v>226</v>
      </c>
      <c r="B1087" s="4" t="s">
        <v>40</v>
      </c>
      <c r="C1087" s="4" t="n">
        <v>4</v>
      </c>
      <c r="D1087" s="4" t="s">
        <v>105</v>
      </c>
      <c r="E1087" s="3" t="s">
        <v>230</v>
      </c>
      <c r="F1087" s="4" t="str">
        <f aca="false">IF(I1087&gt;J1087,"Y","N")</f>
        <v>N</v>
      </c>
      <c r="G1087" s="3" t="s">
        <v>15</v>
      </c>
      <c r="H1087" s="3" t="s">
        <v>34</v>
      </c>
      <c r="I1087" s="4" t="n">
        <v>5</v>
      </c>
      <c r="J1087" s="4" t="n">
        <f aca="false">LEN(E1087)-LEN(SUBSTITUTE(E1087,",",""))+1</f>
        <v>5</v>
      </c>
      <c r="K1087" s="3" t="str">
        <f aca="false">IFERROR(INDEX('Teacher Lookup'!$B$2:$B$200,MATCH(A1087,'Teacher Lookup'!$A$2:$A$200,0)),"")</f>
        <v>YEUNG Arthur</v>
      </c>
    </row>
    <row r="1088" customFormat="false" ht="15" hidden="false" customHeight="false" outlineLevel="0" collapsed="false">
      <c r="A1088" s="3" t="s">
        <v>226</v>
      </c>
      <c r="B1088" s="4" t="s">
        <v>40</v>
      </c>
      <c r="C1088" s="4" t="n">
        <v>4</v>
      </c>
      <c r="D1088" s="4" t="s">
        <v>106</v>
      </c>
      <c r="E1088" s="3" t="s">
        <v>230</v>
      </c>
      <c r="F1088" s="4" t="str">
        <f aca="false">IF(I1088&gt;J1088,"Y","N")</f>
        <v>N</v>
      </c>
      <c r="G1088" s="3" t="s">
        <v>15</v>
      </c>
      <c r="H1088" s="3" t="s">
        <v>34</v>
      </c>
      <c r="I1088" s="4" t="n">
        <v>5</v>
      </c>
      <c r="J1088" s="4" t="n">
        <f aca="false">LEN(E1088)-LEN(SUBSTITUTE(E1088,",",""))+1</f>
        <v>5</v>
      </c>
      <c r="K1088" s="3" t="str">
        <f aca="false">IFERROR(INDEX('Teacher Lookup'!$B$2:$B$200,MATCH(A1088,'Teacher Lookup'!$A$2:$A$200,0)),"")</f>
        <v>YEUNG Arthur</v>
      </c>
    </row>
    <row r="1089" customFormat="false" ht="15" hidden="false" customHeight="false" outlineLevel="0" collapsed="false">
      <c r="A1089" s="3" t="s">
        <v>226</v>
      </c>
      <c r="B1089" s="4" t="s">
        <v>40</v>
      </c>
      <c r="C1089" s="4" t="n">
        <v>4</v>
      </c>
      <c r="D1089" s="4" t="s">
        <v>107</v>
      </c>
      <c r="E1089" s="3" t="s">
        <v>230</v>
      </c>
      <c r="F1089" s="4" t="str">
        <f aca="false">IF(I1089&gt;J1089,"Y","N")</f>
        <v>N</v>
      </c>
      <c r="G1089" s="3" t="s">
        <v>15</v>
      </c>
      <c r="H1089" s="3" t="s">
        <v>34</v>
      </c>
      <c r="I1089" s="4" t="n">
        <v>5</v>
      </c>
      <c r="J1089" s="4" t="n">
        <f aca="false">LEN(E1089)-LEN(SUBSTITUTE(E1089,",",""))+1</f>
        <v>5</v>
      </c>
      <c r="K1089" s="3" t="str">
        <f aca="false">IFERROR(INDEX('Teacher Lookup'!$B$2:$B$200,MATCH(A1089,'Teacher Lookup'!$A$2:$A$200,0)),"")</f>
        <v>YEUNG Arthur</v>
      </c>
    </row>
    <row r="1090" customFormat="false" ht="15" hidden="false" customHeight="false" outlineLevel="0" collapsed="false">
      <c r="A1090" s="3" t="s">
        <v>226</v>
      </c>
      <c r="B1090" s="4" t="s">
        <v>44</v>
      </c>
      <c r="C1090" s="4" t="n">
        <v>3</v>
      </c>
      <c r="D1090" s="4" t="s">
        <v>102</v>
      </c>
      <c r="E1090" s="3" t="s">
        <v>227</v>
      </c>
      <c r="F1090" s="4" t="str">
        <f aca="false">IF(I1090&gt;J1090,"Y","N")</f>
        <v>N</v>
      </c>
      <c r="G1090" s="3" t="s">
        <v>15</v>
      </c>
      <c r="H1090" s="3" t="s">
        <v>26</v>
      </c>
      <c r="I1090" s="4" t="n">
        <v>5</v>
      </c>
      <c r="J1090" s="4" t="n">
        <f aca="false">LEN(E1090)-LEN(SUBSTITUTE(E1090,",",""))+1</f>
        <v>5</v>
      </c>
      <c r="K1090" s="3" t="str">
        <f aca="false">IFERROR(INDEX('Teacher Lookup'!$B$2:$B$200,MATCH(A1090,'Teacher Lookup'!$A$2:$A$200,0)),"")</f>
        <v>YEUNG Arthur</v>
      </c>
    </row>
    <row r="1091" customFormat="false" ht="15" hidden="false" customHeight="false" outlineLevel="0" collapsed="false">
      <c r="A1091" s="3" t="s">
        <v>226</v>
      </c>
      <c r="B1091" s="4" t="s">
        <v>44</v>
      </c>
      <c r="C1091" s="4" t="n">
        <v>3</v>
      </c>
      <c r="D1091" s="4" t="s">
        <v>105</v>
      </c>
      <c r="E1091" s="3" t="s">
        <v>227</v>
      </c>
      <c r="F1091" s="4" t="str">
        <f aca="false">IF(I1091&gt;J1091,"Y","N")</f>
        <v>N</v>
      </c>
      <c r="G1091" s="3" t="s">
        <v>15</v>
      </c>
      <c r="H1091" s="3" t="s">
        <v>26</v>
      </c>
      <c r="I1091" s="4" t="n">
        <v>5</v>
      </c>
      <c r="J1091" s="4" t="n">
        <f aca="false">LEN(E1091)-LEN(SUBSTITUTE(E1091,",",""))+1</f>
        <v>5</v>
      </c>
      <c r="K1091" s="3" t="str">
        <f aca="false">IFERROR(INDEX('Teacher Lookup'!$B$2:$B$200,MATCH(A1091,'Teacher Lookup'!$A$2:$A$200,0)),"")</f>
        <v>YEUNG Arthur</v>
      </c>
    </row>
    <row r="1092" customFormat="false" ht="15" hidden="false" customHeight="false" outlineLevel="0" collapsed="false">
      <c r="A1092" s="3" t="s">
        <v>226</v>
      </c>
      <c r="B1092" s="4" t="s">
        <v>44</v>
      </c>
      <c r="C1092" s="4" t="n">
        <v>3</v>
      </c>
      <c r="D1092" s="4" t="s">
        <v>106</v>
      </c>
      <c r="E1092" s="3" t="s">
        <v>227</v>
      </c>
      <c r="F1092" s="4" t="str">
        <f aca="false">IF(I1092&gt;J1092,"Y","N")</f>
        <v>N</v>
      </c>
      <c r="G1092" s="3" t="s">
        <v>15</v>
      </c>
      <c r="H1092" s="3" t="s">
        <v>26</v>
      </c>
      <c r="I1092" s="4" t="n">
        <v>5</v>
      </c>
      <c r="J1092" s="4" t="n">
        <f aca="false">LEN(E1092)-LEN(SUBSTITUTE(E1092,",",""))+1</f>
        <v>5</v>
      </c>
      <c r="K1092" s="3" t="str">
        <f aca="false">IFERROR(INDEX('Teacher Lookup'!$B$2:$B$200,MATCH(A1092,'Teacher Lookup'!$A$2:$A$200,0)),"")</f>
        <v>YEUNG Arthur</v>
      </c>
    </row>
    <row r="1093" customFormat="false" ht="15" hidden="false" customHeight="false" outlineLevel="0" collapsed="false">
      <c r="A1093" s="3" t="s">
        <v>226</v>
      </c>
      <c r="B1093" s="4" t="s">
        <v>44</v>
      </c>
      <c r="C1093" s="4" t="n">
        <v>3</v>
      </c>
      <c r="D1093" s="4" t="s">
        <v>107</v>
      </c>
      <c r="E1093" s="3" t="s">
        <v>227</v>
      </c>
      <c r="F1093" s="4" t="str">
        <f aca="false">IF(I1093&gt;J1093,"Y","N")</f>
        <v>N</v>
      </c>
      <c r="G1093" s="3" t="s">
        <v>15</v>
      </c>
      <c r="H1093" s="3" t="s">
        <v>26</v>
      </c>
      <c r="I1093" s="4" t="n">
        <v>5</v>
      </c>
      <c r="J1093" s="4" t="n">
        <f aca="false">LEN(E1093)-LEN(SUBSTITUTE(E1093,",",""))+1</f>
        <v>5</v>
      </c>
      <c r="K1093" s="3" t="str">
        <f aca="false">IFERROR(INDEX('Teacher Lookup'!$B$2:$B$200,MATCH(A1093,'Teacher Lookup'!$A$2:$A$200,0)),"")</f>
        <v>YEUNG Arthur</v>
      </c>
    </row>
    <row r="1094" customFormat="false" ht="15" hidden="false" customHeight="false" outlineLevel="0" collapsed="false">
      <c r="A1094" s="3" t="s">
        <v>226</v>
      </c>
      <c r="B1094" s="4" t="s">
        <v>44</v>
      </c>
      <c r="C1094" s="4" t="n">
        <v>5</v>
      </c>
      <c r="D1094" s="4" t="s">
        <v>228</v>
      </c>
      <c r="E1094" s="3" t="s">
        <v>229</v>
      </c>
      <c r="F1094" s="4" t="str">
        <f aca="false">IF(I1094&gt;J1094,"Y","N")</f>
        <v>Y</v>
      </c>
      <c r="G1094" s="3" t="s">
        <v>36</v>
      </c>
      <c r="H1094" s="3" t="s">
        <v>37</v>
      </c>
      <c r="I1094" s="4" t="n">
        <v>14</v>
      </c>
      <c r="J1094" s="4" t="n">
        <f aca="false">LEN(E1094)-LEN(SUBSTITUTE(E1094,",",""))+1</f>
        <v>6</v>
      </c>
      <c r="K1094" s="3" t="str">
        <f aca="false">IFERROR(INDEX('Teacher Lookup'!$B$2:$B$200,MATCH(A1094,'Teacher Lookup'!$A$2:$A$200,0)),"")</f>
        <v>YEUNG Arthur</v>
      </c>
    </row>
    <row r="1095" customFormat="false" ht="15" hidden="false" customHeight="false" outlineLevel="0" collapsed="false">
      <c r="A1095" s="3" t="s">
        <v>226</v>
      </c>
      <c r="B1095" s="4" t="s">
        <v>44</v>
      </c>
      <c r="C1095" s="4" t="n">
        <v>5</v>
      </c>
      <c r="D1095" s="4" t="s">
        <v>102</v>
      </c>
      <c r="E1095" s="3" t="s">
        <v>229</v>
      </c>
      <c r="F1095" s="4" t="str">
        <f aca="false">IF(I1095&gt;J1095,"Y","N")</f>
        <v>Y</v>
      </c>
      <c r="G1095" s="3" t="s">
        <v>36</v>
      </c>
      <c r="H1095" s="3" t="s">
        <v>37</v>
      </c>
      <c r="I1095" s="4" t="n">
        <v>14</v>
      </c>
      <c r="J1095" s="4" t="n">
        <f aca="false">LEN(E1095)-LEN(SUBSTITUTE(E1095,",",""))+1</f>
        <v>6</v>
      </c>
      <c r="K1095" s="3" t="str">
        <f aca="false">IFERROR(INDEX('Teacher Lookup'!$B$2:$B$200,MATCH(A1095,'Teacher Lookup'!$A$2:$A$200,0)),"")</f>
        <v>YEUNG Arthur</v>
      </c>
    </row>
    <row r="1096" customFormat="false" ht="15" hidden="false" customHeight="false" outlineLevel="0" collapsed="false">
      <c r="A1096" s="3" t="s">
        <v>226</v>
      </c>
      <c r="B1096" s="4" t="s">
        <v>44</v>
      </c>
      <c r="C1096" s="4" t="n">
        <v>5</v>
      </c>
      <c r="D1096" s="4" t="s">
        <v>105</v>
      </c>
      <c r="E1096" s="3" t="s">
        <v>229</v>
      </c>
      <c r="F1096" s="4" t="str">
        <f aca="false">IF(I1096&gt;J1096,"Y","N")</f>
        <v>Y</v>
      </c>
      <c r="G1096" s="3" t="s">
        <v>36</v>
      </c>
      <c r="H1096" s="3" t="s">
        <v>37</v>
      </c>
      <c r="I1096" s="4" t="n">
        <v>14</v>
      </c>
      <c r="J1096" s="4" t="n">
        <f aca="false">LEN(E1096)-LEN(SUBSTITUTE(E1096,",",""))+1</f>
        <v>6</v>
      </c>
      <c r="K1096" s="3" t="str">
        <f aca="false">IFERROR(INDEX('Teacher Lookup'!$B$2:$B$200,MATCH(A1096,'Teacher Lookup'!$A$2:$A$200,0)),"")</f>
        <v>YEUNG Arthur</v>
      </c>
    </row>
    <row r="1097" customFormat="false" ht="15" hidden="false" customHeight="false" outlineLevel="0" collapsed="false">
      <c r="A1097" s="3" t="s">
        <v>226</v>
      </c>
      <c r="B1097" s="4" t="s">
        <v>44</v>
      </c>
      <c r="C1097" s="4" t="n">
        <v>5</v>
      </c>
      <c r="D1097" s="4" t="s">
        <v>106</v>
      </c>
      <c r="E1097" s="3" t="s">
        <v>229</v>
      </c>
      <c r="F1097" s="4" t="str">
        <f aca="false">IF(I1097&gt;J1097,"Y","N")</f>
        <v>Y</v>
      </c>
      <c r="G1097" s="3" t="s">
        <v>36</v>
      </c>
      <c r="H1097" s="3" t="s">
        <v>37</v>
      </c>
      <c r="I1097" s="4" t="n">
        <v>14</v>
      </c>
      <c r="J1097" s="4" t="n">
        <f aca="false">LEN(E1097)-LEN(SUBSTITUTE(E1097,",",""))+1</f>
        <v>6</v>
      </c>
      <c r="K1097" s="3" t="str">
        <f aca="false">IFERROR(INDEX('Teacher Lookup'!$B$2:$B$200,MATCH(A1097,'Teacher Lookup'!$A$2:$A$200,0)),"")</f>
        <v>YEUNG Arthur</v>
      </c>
    </row>
    <row r="1098" customFormat="false" ht="15" hidden="false" customHeight="false" outlineLevel="0" collapsed="false">
      <c r="A1098" s="3" t="s">
        <v>226</v>
      </c>
      <c r="B1098" s="4" t="s">
        <v>44</v>
      </c>
      <c r="C1098" s="4" t="n">
        <v>5</v>
      </c>
      <c r="D1098" s="4" t="s">
        <v>107</v>
      </c>
      <c r="E1098" s="3" t="s">
        <v>229</v>
      </c>
      <c r="F1098" s="4" t="str">
        <f aca="false">IF(I1098&gt;J1098,"Y","N")</f>
        <v>Y</v>
      </c>
      <c r="G1098" s="3" t="s">
        <v>36</v>
      </c>
      <c r="H1098" s="3" t="s">
        <v>37</v>
      </c>
      <c r="I1098" s="4" t="n">
        <v>14</v>
      </c>
      <c r="J1098" s="4" t="n">
        <f aca="false">LEN(E1098)-LEN(SUBSTITUTE(E1098,",",""))+1</f>
        <v>6</v>
      </c>
      <c r="K1098" s="3" t="str">
        <f aca="false">IFERROR(INDEX('Teacher Lookup'!$B$2:$B$200,MATCH(A1098,'Teacher Lookup'!$A$2:$A$200,0)),"")</f>
        <v>YEUNG Arthur</v>
      </c>
    </row>
    <row r="1099" customFormat="false" ht="15" hidden="false" customHeight="false" outlineLevel="0" collapsed="false">
      <c r="A1099" s="3" t="s">
        <v>226</v>
      </c>
      <c r="B1099" s="4" t="s">
        <v>47</v>
      </c>
      <c r="C1099" s="4" t="n">
        <v>3</v>
      </c>
      <c r="D1099" s="4" t="s">
        <v>102</v>
      </c>
      <c r="E1099" s="3" t="s">
        <v>231</v>
      </c>
      <c r="F1099" s="4" t="str">
        <f aca="false">IF(I1099&gt;J1099,"Y","N")</f>
        <v>N</v>
      </c>
      <c r="G1099" s="3" t="s">
        <v>15</v>
      </c>
      <c r="H1099" s="3" t="s">
        <v>26</v>
      </c>
      <c r="I1099" s="4" t="n">
        <v>5</v>
      </c>
      <c r="J1099" s="4" t="n">
        <f aca="false">LEN(E1099)-LEN(SUBSTITUTE(E1099,",",""))+1</f>
        <v>5</v>
      </c>
      <c r="K1099" s="3" t="str">
        <f aca="false">IFERROR(INDEX('Teacher Lookup'!$B$2:$B$200,MATCH(A1099,'Teacher Lookup'!$A$2:$A$200,0)),"")</f>
        <v>YEUNG Arthur</v>
      </c>
    </row>
    <row r="1100" customFormat="false" ht="15" hidden="false" customHeight="false" outlineLevel="0" collapsed="false">
      <c r="A1100" s="3" t="s">
        <v>226</v>
      </c>
      <c r="B1100" s="4" t="s">
        <v>47</v>
      </c>
      <c r="C1100" s="4" t="n">
        <v>3</v>
      </c>
      <c r="D1100" s="4" t="s">
        <v>105</v>
      </c>
      <c r="E1100" s="3" t="s">
        <v>231</v>
      </c>
      <c r="F1100" s="4" t="str">
        <f aca="false">IF(I1100&gt;J1100,"Y","N")</f>
        <v>N</v>
      </c>
      <c r="G1100" s="3" t="s">
        <v>15</v>
      </c>
      <c r="H1100" s="3" t="s">
        <v>26</v>
      </c>
      <c r="I1100" s="4" t="n">
        <v>5</v>
      </c>
      <c r="J1100" s="4" t="n">
        <f aca="false">LEN(E1100)-LEN(SUBSTITUTE(E1100,",",""))+1</f>
        <v>5</v>
      </c>
      <c r="K1100" s="3" t="str">
        <f aca="false">IFERROR(INDEX('Teacher Lookup'!$B$2:$B$200,MATCH(A1100,'Teacher Lookup'!$A$2:$A$200,0)),"")</f>
        <v>YEUNG Arthur</v>
      </c>
    </row>
    <row r="1101" customFormat="false" ht="15" hidden="false" customHeight="false" outlineLevel="0" collapsed="false">
      <c r="A1101" s="3" t="s">
        <v>226</v>
      </c>
      <c r="B1101" s="4" t="s">
        <v>47</v>
      </c>
      <c r="C1101" s="4" t="n">
        <v>3</v>
      </c>
      <c r="D1101" s="4" t="s">
        <v>106</v>
      </c>
      <c r="E1101" s="3" t="s">
        <v>231</v>
      </c>
      <c r="F1101" s="4" t="str">
        <f aca="false">IF(I1101&gt;J1101,"Y","N")</f>
        <v>N</v>
      </c>
      <c r="G1101" s="3" t="s">
        <v>15</v>
      </c>
      <c r="H1101" s="3" t="s">
        <v>26</v>
      </c>
      <c r="I1101" s="4" t="n">
        <v>5</v>
      </c>
      <c r="J1101" s="4" t="n">
        <f aca="false">LEN(E1101)-LEN(SUBSTITUTE(E1101,",",""))+1</f>
        <v>5</v>
      </c>
      <c r="K1101" s="3" t="str">
        <f aca="false">IFERROR(INDEX('Teacher Lookup'!$B$2:$B$200,MATCH(A1101,'Teacher Lookup'!$A$2:$A$200,0)),"")</f>
        <v>YEUNG Arthur</v>
      </c>
    </row>
    <row r="1102" customFormat="false" ht="15" hidden="false" customHeight="false" outlineLevel="0" collapsed="false">
      <c r="A1102" s="3" t="s">
        <v>226</v>
      </c>
      <c r="B1102" s="4" t="s">
        <v>47</v>
      </c>
      <c r="C1102" s="4" t="n">
        <v>3</v>
      </c>
      <c r="D1102" s="4" t="s">
        <v>107</v>
      </c>
      <c r="E1102" s="3" t="s">
        <v>231</v>
      </c>
      <c r="F1102" s="4" t="str">
        <f aca="false">IF(I1102&gt;J1102,"Y","N")</f>
        <v>N</v>
      </c>
      <c r="G1102" s="3" t="s">
        <v>15</v>
      </c>
      <c r="H1102" s="3" t="s">
        <v>26</v>
      </c>
      <c r="I1102" s="4" t="n">
        <v>5</v>
      </c>
      <c r="J1102" s="4" t="n">
        <f aca="false">LEN(E1102)-LEN(SUBSTITUTE(E1102,",",""))+1</f>
        <v>5</v>
      </c>
      <c r="K1102" s="3" t="str">
        <f aca="false">IFERROR(INDEX('Teacher Lookup'!$B$2:$B$200,MATCH(A1102,'Teacher Lookup'!$A$2:$A$200,0)),"")</f>
        <v>YEUNG Arthur</v>
      </c>
    </row>
    <row r="1103" customFormat="false" ht="15" hidden="false" customHeight="false" outlineLevel="0" collapsed="false">
      <c r="A1103" s="3" t="s">
        <v>226</v>
      </c>
      <c r="B1103" s="4" t="s">
        <v>50</v>
      </c>
      <c r="C1103" s="4" t="n">
        <v>1</v>
      </c>
      <c r="D1103" s="4" t="s">
        <v>102</v>
      </c>
      <c r="E1103" s="3" t="s">
        <v>227</v>
      </c>
      <c r="F1103" s="4" t="str">
        <f aca="false">IF(I1103&gt;J1103,"Y","N")</f>
        <v>N</v>
      </c>
      <c r="G1103" s="3" t="s">
        <v>15</v>
      </c>
      <c r="H1103" s="3" t="s">
        <v>16</v>
      </c>
      <c r="I1103" s="4" t="n">
        <v>5</v>
      </c>
      <c r="J1103" s="4" t="n">
        <f aca="false">LEN(E1103)-LEN(SUBSTITUTE(E1103,",",""))+1</f>
        <v>5</v>
      </c>
      <c r="K1103" s="3" t="str">
        <f aca="false">IFERROR(INDEX('Teacher Lookup'!$B$2:$B$200,MATCH(A1103,'Teacher Lookup'!$A$2:$A$200,0)),"")</f>
        <v>YEUNG Arthur</v>
      </c>
    </row>
    <row r="1104" customFormat="false" ht="15" hidden="false" customHeight="false" outlineLevel="0" collapsed="false">
      <c r="A1104" s="3" t="s">
        <v>226</v>
      </c>
      <c r="B1104" s="4" t="s">
        <v>50</v>
      </c>
      <c r="C1104" s="4" t="n">
        <v>1</v>
      </c>
      <c r="D1104" s="4" t="s">
        <v>105</v>
      </c>
      <c r="E1104" s="3" t="s">
        <v>227</v>
      </c>
      <c r="F1104" s="4" t="str">
        <f aca="false">IF(I1104&gt;J1104,"Y","N")</f>
        <v>N</v>
      </c>
      <c r="G1104" s="3" t="s">
        <v>15</v>
      </c>
      <c r="H1104" s="3" t="s">
        <v>16</v>
      </c>
      <c r="I1104" s="4" t="n">
        <v>5</v>
      </c>
      <c r="J1104" s="4" t="n">
        <f aca="false">LEN(E1104)-LEN(SUBSTITUTE(E1104,",",""))+1</f>
        <v>5</v>
      </c>
      <c r="K1104" s="3" t="str">
        <f aca="false">IFERROR(INDEX('Teacher Lookup'!$B$2:$B$200,MATCH(A1104,'Teacher Lookup'!$A$2:$A$200,0)),"")</f>
        <v>YEUNG Arthur</v>
      </c>
    </row>
    <row r="1105" customFormat="false" ht="15" hidden="false" customHeight="false" outlineLevel="0" collapsed="false">
      <c r="A1105" s="3" t="s">
        <v>226</v>
      </c>
      <c r="B1105" s="4" t="s">
        <v>50</v>
      </c>
      <c r="C1105" s="4" t="n">
        <v>1</v>
      </c>
      <c r="D1105" s="4" t="s">
        <v>106</v>
      </c>
      <c r="E1105" s="3" t="s">
        <v>227</v>
      </c>
      <c r="F1105" s="4" t="str">
        <f aca="false">IF(I1105&gt;J1105,"Y","N")</f>
        <v>N</v>
      </c>
      <c r="G1105" s="3" t="s">
        <v>15</v>
      </c>
      <c r="H1105" s="3" t="s">
        <v>16</v>
      </c>
      <c r="I1105" s="4" t="n">
        <v>5</v>
      </c>
      <c r="J1105" s="4" t="n">
        <f aca="false">LEN(E1105)-LEN(SUBSTITUTE(E1105,",",""))+1</f>
        <v>5</v>
      </c>
      <c r="K1105" s="3" t="str">
        <f aca="false">IFERROR(INDEX('Teacher Lookup'!$B$2:$B$200,MATCH(A1105,'Teacher Lookup'!$A$2:$A$200,0)),"")</f>
        <v>YEUNG Arthur</v>
      </c>
    </row>
    <row r="1106" customFormat="false" ht="15" hidden="false" customHeight="false" outlineLevel="0" collapsed="false">
      <c r="A1106" s="3" t="s">
        <v>226</v>
      </c>
      <c r="B1106" s="4" t="s">
        <v>50</v>
      </c>
      <c r="C1106" s="4" t="n">
        <v>1</v>
      </c>
      <c r="D1106" s="4" t="s">
        <v>107</v>
      </c>
      <c r="E1106" s="3" t="s">
        <v>227</v>
      </c>
      <c r="F1106" s="4" t="str">
        <f aca="false">IF(I1106&gt;J1106,"Y","N")</f>
        <v>N</v>
      </c>
      <c r="G1106" s="3" t="s">
        <v>15</v>
      </c>
      <c r="H1106" s="3" t="s">
        <v>16</v>
      </c>
      <c r="I1106" s="4" t="n">
        <v>5</v>
      </c>
      <c r="J1106" s="4" t="n">
        <f aca="false">LEN(E1106)-LEN(SUBSTITUTE(E1106,",",""))+1</f>
        <v>5</v>
      </c>
      <c r="K1106" s="3" t="str">
        <f aca="false">IFERROR(INDEX('Teacher Lookup'!$B$2:$B$200,MATCH(A1106,'Teacher Lookup'!$A$2:$A$200,0)),"")</f>
        <v>YEUNG Arthur</v>
      </c>
    </row>
    <row r="1107" customFormat="false" ht="15" hidden="false" customHeight="false" outlineLevel="0" collapsed="false">
      <c r="A1107" s="3" t="s">
        <v>226</v>
      </c>
      <c r="B1107" s="4" t="s">
        <v>60</v>
      </c>
      <c r="C1107" s="4" t="n">
        <v>1</v>
      </c>
      <c r="D1107" s="4" t="s">
        <v>102</v>
      </c>
      <c r="E1107" s="3" t="s">
        <v>227</v>
      </c>
      <c r="F1107" s="4" t="str">
        <f aca="false">IF(I1107&gt;J1107,"Y","N")</f>
        <v>N</v>
      </c>
      <c r="G1107" s="3" t="s">
        <v>15</v>
      </c>
      <c r="H1107" s="3" t="s">
        <v>16</v>
      </c>
      <c r="I1107" s="4" t="n">
        <v>5</v>
      </c>
      <c r="J1107" s="4" t="n">
        <f aca="false">LEN(E1107)-LEN(SUBSTITUTE(E1107,",",""))+1</f>
        <v>5</v>
      </c>
      <c r="K1107" s="3" t="str">
        <f aca="false">IFERROR(INDEX('Teacher Lookup'!$B$2:$B$200,MATCH(A1107,'Teacher Lookup'!$A$2:$A$200,0)),"")</f>
        <v>YEUNG Arthur</v>
      </c>
    </row>
    <row r="1108" customFormat="false" ht="15" hidden="false" customHeight="false" outlineLevel="0" collapsed="false">
      <c r="A1108" s="3" t="s">
        <v>226</v>
      </c>
      <c r="B1108" s="4" t="s">
        <v>60</v>
      </c>
      <c r="C1108" s="4" t="n">
        <v>1</v>
      </c>
      <c r="D1108" s="4" t="s">
        <v>105</v>
      </c>
      <c r="E1108" s="3" t="s">
        <v>227</v>
      </c>
      <c r="F1108" s="4" t="str">
        <f aca="false">IF(I1108&gt;J1108,"Y","N")</f>
        <v>N</v>
      </c>
      <c r="G1108" s="3" t="s">
        <v>15</v>
      </c>
      <c r="H1108" s="3" t="s">
        <v>16</v>
      </c>
      <c r="I1108" s="4" t="n">
        <v>5</v>
      </c>
      <c r="J1108" s="4" t="n">
        <f aca="false">LEN(E1108)-LEN(SUBSTITUTE(E1108,",",""))+1</f>
        <v>5</v>
      </c>
      <c r="K1108" s="3" t="str">
        <f aca="false">IFERROR(INDEX('Teacher Lookup'!$B$2:$B$200,MATCH(A1108,'Teacher Lookup'!$A$2:$A$200,0)),"")</f>
        <v>YEUNG Arthur</v>
      </c>
    </row>
    <row r="1109" customFormat="false" ht="15" hidden="false" customHeight="false" outlineLevel="0" collapsed="false">
      <c r="A1109" s="3" t="s">
        <v>226</v>
      </c>
      <c r="B1109" s="4" t="s">
        <v>60</v>
      </c>
      <c r="C1109" s="4" t="n">
        <v>1</v>
      </c>
      <c r="D1109" s="4" t="s">
        <v>106</v>
      </c>
      <c r="E1109" s="3" t="s">
        <v>227</v>
      </c>
      <c r="F1109" s="4" t="str">
        <f aca="false">IF(I1109&gt;J1109,"Y","N")</f>
        <v>N</v>
      </c>
      <c r="G1109" s="3" t="s">
        <v>15</v>
      </c>
      <c r="H1109" s="3" t="s">
        <v>16</v>
      </c>
      <c r="I1109" s="4" t="n">
        <v>5</v>
      </c>
      <c r="J1109" s="4" t="n">
        <f aca="false">LEN(E1109)-LEN(SUBSTITUTE(E1109,",",""))+1</f>
        <v>5</v>
      </c>
      <c r="K1109" s="3" t="str">
        <f aca="false">IFERROR(INDEX('Teacher Lookup'!$B$2:$B$200,MATCH(A1109,'Teacher Lookup'!$A$2:$A$200,0)),"")</f>
        <v>YEUNG Arthur</v>
      </c>
    </row>
    <row r="1110" customFormat="false" ht="15" hidden="false" customHeight="false" outlineLevel="0" collapsed="false">
      <c r="A1110" s="3" t="s">
        <v>226</v>
      </c>
      <c r="B1110" s="4" t="s">
        <v>60</v>
      </c>
      <c r="C1110" s="4" t="n">
        <v>1</v>
      </c>
      <c r="D1110" s="4" t="s">
        <v>107</v>
      </c>
      <c r="E1110" s="3" t="s">
        <v>227</v>
      </c>
      <c r="F1110" s="4" t="str">
        <f aca="false">IF(I1110&gt;J1110,"Y","N")</f>
        <v>N</v>
      </c>
      <c r="G1110" s="3" t="s">
        <v>15</v>
      </c>
      <c r="H1110" s="3" t="s">
        <v>16</v>
      </c>
      <c r="I1110" s="4" t="n">
        <v>5</v>
      </c>
      <c r="J1110" s="4" t="n">
        <f aca="false">LEN(E1110)-LEN(SUBSTITUTE(E1110,",",""))+1</f>
        <v>5</v>
      </c>
      <c r="K1110" s="3" t="str">
        <f aca="false">IFERROR(INDEX('Teacher Lookup'!$B$2:$B$200,MATCH(A1110,'Teacher Lookup'!$A$2:$A$200,0)),"")</f>
        <v>YEUNG Arthur</v>
      </c>
    </row>
    <row r="1111" customFormat="false" ht="15" hidden="false" customHeight="false" outlineLevel="0" collapsed="false">
      <c r="A1111" s="3" t="s">
        <v>226</v>
      </c>
      <c r="B1111" s="4" t="s">
        <v>60</v>
      </c>
      <c r="C1111" s="4" t="n">
        <v>5</v>
      </c>
      <c r="D1111" s="4" t="s">
        <v>228</v>
      </c>
      <c r="E1111" s="3" t="s">
        <v>229</v>
      </c>
      <c r="F1111" s="4" t="str">
        <f aca="false">IF(I1111&gt;J1111,"Y","N")</f>
        <v>Y</v>
      </c>
      <c r="G1111" s="3" t="s">
        <v>36</v>
      </c>
      <c r="H1111" s="3" t="s">
        <v>37</v>
      </c>
      <c r="I1111" s="4" t="n">
        <v>14</v>
      </c>
      <c r="J1111" s="4" t="n">
        <f aca="false">LEN(E1111)-LEN(SUBSTITUTE(E1111,",",""))+1</f>
        <v>6</v>
      </c>
      <c r="K1111" s="3" t="str">
        <f aca="false">IFERROR(INDEX('Teacher Lookup'!$B$2:$B$200,MATCH(A1111,'Teacher Lookup'!$A$2:$A$200,0)),"")</f>
        <v>YEUNG Arthur</v>
      </c>
    </row>
    <row r="1112" customFormat="false" ht="15" hidden="false" customHeight="false" outlineLevel="0" collapsed="false">
      <c r="A1112" s="3" t="s">
        <v>226</v>
      </c>
      <c r="B1112" s="4" t="s">
        <v>60</v>
      </c>
      <c r="C1112" s="4" t="n">
        <v>5</v>
      </c>
      <c r="D1112" s="4" t="s">
        <v>102</v>
      </c>
      <c r="E1112" s="3" t="s">
        <v>229</v>
      </c>
      <c r="F1112" s="4" t="str">
        <f aca="false">IF(I1112&gt;J1112,"Y","N")</f>
        <v>Y</v>
      </c>
      <c r="G1112" s="3" t="s">
        <v>36</v>
      </c>
      <c r="H1112" s="3" t="s">
        <v>37</v>
      </c>
      <c r="I1112" s="4" t="n">
        <v>14</v>
      </c>
      <c r="J1112" s="4" t="n">
        <f aca="false">LEN(E1112)-LEN(SUBSTITUTE(E1112,",",""))+1</f>
        <v>6</v>
      </c>
      <c r="K1112" s="3" t="str">
        <f aca="false">IFERROR(INDEX('Teacher Lookup'!$B$2:$B$200,MATCH(A1112,'Teacher Lookup'!$A$2:$A$200,0)),"")</f>
        <v>YEUNG Arthur</v>
      </c>
    </row>
    <row r="1113" customFormat="false" ht="15" hidden="false" customHeight="false" outlineLevel="0" collapsed="false">
      <c r="A1113" s="3" t="s">
        <v>226</v>
      </c>
      <c r="B1113" s="4" t="s">
        <v>60</v>
      </c>
      <c r="C1113" s="4" t="n">
        <v>5</v>
      </c>
      <c r="D1113" s="4" t="s">
        <v>105</v>
      </c>
      <c r="E1113" s="3" t="s">
        <v>229</v>
      </c>
      <c r="F1113" s="4" t="str">
        <f aca="false">IF(I1113&gt;J1113,"Y","N")</f>
        <v>Y</v>
      </c>
      <c r="G1113" s="3" t="s">
        <v>36</v>
      </c>
      <c r="H1113" s="3" t="s">
        <v>37</v>
      </c>
      <c r="I1113" s="4" t="n">
        <v>14</v>
      </c>
      <c r="J1113" s="4" t="n">
        <f aca="false">LEN(E1113)-LEN(SUBSTITUTE(E1113,",",""))+1</f>
        <v>6</v>
      </c>
      <c r="K1113" s="3" t="str">
        <f aca="false">IFERROR(INDEX('Teacher Lookup'!$B$2:$B$200,MATCH(A1113,'Teacher Lookup'!$A$2:$A$200,0)),"")</f>
        <v>YEUNG Arthur</v>
      </c>
    </row>
    <row r="1114" customFormat="false" ht="15" hidden="false" customHeight="false" outlineLevel="0" collapsed="false">
      <c r="A1114" s="3" t="s">
        <v>226</v>
      </c>
      <c r="B1114" s="4" t="s">
        <v>60</v>
      </c>
      <c r="C1114" s="4" t="n">
        <v>5</v>
      </c>
      <c r="D1114" s="4" t="s">
        <v>106</v>
      </c>
      <c r="E1114" s="3" t="s">
        <v>229</v>
      </c>
      <c r="F1114" s="4" t="str">
        <f aca="false">IF(I1114&gt;J1114,"Y","N")</f>
        <v>Y</v>
      </c>
      <c r="G1114" s="3" t="s">
        <v>36</v>
      </c>
      <c r="H1114" s="3" t="s">
        <v>37</v>
      </c>
      <c r="I1114" s="4" t="n">
        <v>14</v>
      </c>
      <c r="J1114" s="4" t="n">
        <f aca="false">LEN(E1114)-LEN(SUBSTITUTE(E1114,",",""))+1</f>
        <v>6</v>
      </c>
      <c r="K1114" s="3" t="str">
        <f aca="false">IFERROR(INDEX('Teacher Lookup'!$B$2:$B$200,MATCH(A1114,'Teacher Lookup'!$A$2:$A$200,0)),"")</f>
        <v>YEUNG Arthur</v>
      </c>
    </row>
    <row r="1115" customFormat="false" ht="15" hidden="false" customHeight="false" outlineLevel="0" collapsed="false">
      <c r="A1115" s="3" t="s">
        <v>226</v>
      </c>
      <c r="B1115" s="4" t="s">
        <v>60</v>
      </c>
      <c r="C1115" s="4" t="n">
        <v>5</v>
      </c>
      <c r="D1115" s="4" t="s">
        <v>107</v>
      </c>
      <c r="E1115" s="3" t="s">
        <v>229</v>
      </c>
      <c r="F1115" s="4" t="str">
        <f aca="false">IF(I1115&gt;J1115,"Y","N")</f>
        <v>Y</v>
      </c>
      <c r="G1115" s="3" t="s">
        <v>36</v>
      </c>
      <c r="H1115" s="3" t="s">
        <v>37</v>
      </c>
      <c r="I1115" s="4" t="n">
        <v>14</v>
      </c>
      <c r="J1115" s="4" t="n">
        <f aca="false">LEN(E1115)-LEN(SUBSTITUTE(E1115,",",""))+1</f>
        <v>6</v>
      </c>
      <c r="K1115" s="3" t="str">
        <f aca="false">IFERROR(INDEX('Teacher Lookup'!$B$2:$B$200,MATCH(A1115,'Teacher Lookup'!$A$2:$A$200,0)),"")</f>
        <v>YEUNG Arthur</v>
      </c>
    </row>
    <row r="1116" customFormat="false" ht="15" hidden="false" customHeight="false" outlineLevel="0" collapsed="false">
      <c r="A1116" s="3" t="s">
        <v>226</v>
      </c>
      <c r="B1116" s="4" t="s">
        <v>63</v>
      </c>
      <c r="C1116" s="4" t="n">
        <v>5</v>
      </c>
      <c r="D1116" s="4" t="s">
        <v>102</v>
      </c>
      <c r="E1116" s="3" t="s">
        <v>232</v>
      </c>
      <c r="F1116" s="4" t="str">
        <f aca="false">IF(I1116&gt;J1116,"Y","N")</f>
        <v>N</v>
      </c>
      <c r="G1116" s="3" t="s">
        <v>15</v>
      </c>
      <c r="H1116" s="3" t="s">
        <v>37</v>
      </c>
      <c r="I1116" s="4" t="n">
        <v>5</v>
      </c>
      <c r="J1116" s="4" t="n">
        <f aca="false">LEN(E1116)-LEN(SUBSTITUTE(E1116,",",""))+1</f>
        <v>5</v>
      </c>
      <c r="K1116" s="3" t="str">
        <f aca="false">IFERROR(INDEX('Teacher Lookup'!$B$2:$B$200,MATCH(A1116,'Teacher Lookup'!$A$2:$A$200,0)),"")</f>
        <v>YEUNG Arthur</v>
      </c>
    </row>
    <row r="1117" customFormat="false" ht="15" hidden="false" customHeight="false" outlineLevel="0" collapsed="false">
      <c r="A1117" s="3" t="s">
        <v>226</v>
      </c>
      <c r="B1117" s="4" t="s">
        <v>63</v>
      </c>
      <c r="C1117" s="4" t="n">
        <v>5</v>
      </c>
      <c r="D1117" s="4" t="s">
        <v>105</v>
      </c>
      <c r="E1117" s="3" t="s">
        <v>232</v>
      </c>
      <c r="F1117" s="4" t="str">
        <f aca="false">IF(I1117&gt;J1117,"Y","N")</f>
        <v>N</v>
      </c>
      <c r="G1117" s="3" t="s">
        <v>15</v>
      </c>
      <c r="H1117" s="3" t="s">
        <v>37</v>
      </c>
      <c r="I1117" s="4" t="n">
        <v>5</v>
      </c>
      <c r="J1117" s="4" t="n">
        <f aca="false">LEN(E1117)-LEN(SUBSTITUTE(E1117,",",""))+1</f>
        <v>5</v>
      </c>
      <c r="K1117" s="3" t="str">
        <f aca="false">IFERROR(INDEX('Teacher Lookup'!$B$2:$B$200,MATCH(A1117,'Teacher Lookup'!$A$2:$A$200,0)),"")</f>
        <v>YEUNG Arthur</v>
      </c>
    </row>
    <row r="1118" customFormat="false" ht="15" hidden="false" customHeight="false" outlineLevel="0" collapsed="false">
      <c r="A1118" s="3" t="s">
        <v>226</v>
      </c>
      <c r="B1118" s="4" t="s">
        <v>63</v>
      </c>
      <c r="C1118" s="4" t="n">
        <v>5</v>
      </c>
      <c r="D1118" s="4" t="s">
        <v>106</v>
      </c>
      <c r="E1118" s="3" t="s">
        <v>232</v>
      </c>
      <c r="F1118" s="4" t="str">
        <f aca="false">IF(I1118&gt;J1118,"Y","N")</f>
        <v>N</v>
      </c>
      <c r="G1118" s="3" t="s">
        <v>15</v>
      </c>
      <c r="H1118" s="3" t="s">
        <v>37</v>
      </c>
      <c r="I1118" s="4" t="n">
        <v>5</v>
      </c>
      <c r="J1118" s="4" t="n">
        <f aca="false">LEN(E1118)-LEN(SUBSTITUTE(E1118,",",""))+1</f>
        <v>5</v>
      </c>
      <c r="K1118" s="3" t="str">
        <f aca="false">IFERROR(INDEX('Teacher Lookup'!$B$2:$B$200,MATCH(A1118,'Teacher Lookup'!$A$2:$A$200,0)),"")</f>
        <v>YEUNG Arthur</v>
      </c>
    </row>
    <row r="1119" customFormat="false" ht="15" hidden="false" customHeight="false" outlineLevel="0" collapsed="false">
      <c r="A1119" s="3" t="s">
        <v>226</v>
      </c>
      <c r="B1119" s="4" t="s">
        <v>63</v>
      </c>
      <c r="C1119" s="4" t="n">
        <v>5</v>
      </c>
      <c r="D1119" s="4" t="s">
        <v>107</v>
      </c>
      <c r="E1119" s="3" t="s">
        <v>232</v>
      </c>
      <c r="F1119" s="4" t="str">
        <f aca="false">IF(I1119&gt;J1119,"Y","N")</f>
        <v>N</v>
      </c>
      <c r="G1119" s="3" t="s">
        <v>15</v>
      </c>
      <c r="H1119" s="3" t="s">
        <v>37</v>
      </c>
      <c r="I1119" s="4" t="n">
        <v>5</v>
      </c>
      <c r="J1119" s="4" t="n">
        <f aca="false">LEN(E1119)-LEN(SUBSTITUTE(E1119,",",""))+1</f>
        <v>5</v>
      </c>
      <c r="K1119" s="3" t="str">
        <f aca="false">IFERROR(INDEX('Teacher Lookup'!$B$2:$B$200,MATCH(A1119,'Teacher Lookup'!$A$2:$A$200,0)),"")</f>
        <v>YEUNG Arthur</v>
      </c>
    </row>
    <row r="1120" customFormat="false" ht="15" hidden="false" customHeight="false" outlineLevel="0" collapsed="false">
      <c r="A1120" s="3" t="s">
        <v>226</v>
      </c>
      <c r="B1120" s="4" t="s">
        <v>65</v>
      </c>
      <c r="C1120" s="4" t="n">
        <v>1</v>
      </c>
      <c r="D1120" s="4" t="s">
        <v>102</v>
      </c>
      <c r="E1120" s="3" t="s">
        <v>227</v>
      </c>
      <c r="F1120" s="4" t="str">
        <f aca="false">IF(I1120&gt;J1120,"Y","N")</f>
        <v>N</v>
      </c>
      <c r="G1120" s="3" t="s">
        <v>15</v>
      </c>
      <c r="H1120" s="3" t="s">
        <v>16</v>
      </c>
      <c r="I1120" s="4" t="n">
        <v>5</v>
      </c>
      <c r="J1120" s="4" t="n">
        <f aca="false">LEN(E1120)-LEN(SUBSTITUTE(E1120,",",""))+1</f>
        <v>5</v>
      </c>
      <c r="K1120" s="3" t="str">
        <f aca="false">IFERROR(INDEX('Teacher Lookup'!$B$2:$B$200,MATCH(A1120,'Teacher Lookup'!$A$2:$A$200,0)),"")</f>
        <v>YEUNG Arthur</v>
      </c>
    </row>
    <row r="1121" customFormat="false" ht="15" hidden="false" customHeight="false" outlineLevel="0" collapsed="false">
      <c r="A1121" s="3" t="s">
        <v>226</v>
      </c>
      <c r="B1121" s="4" t="s">
        <v>65</v>
      </c>
      <c r="C1121" s="4" t="n">
        <v>1</v>
      </c>
      <c r="D1121" s="4" t="s">
        <v>105</v>
      </c>
      <c r="E1121" s="3" t="s">
        <v>227</v>
      </c>
      <c r="F1121" s="4" t="str">
        <f aca="false">IF(I1121&gt;J1121,"Y","N")</f>
        <v>N</v>
      </c>
      <c r="G1121" s="3" t="s">
        <v>15</v>
      </c>
      <c r="H1121" s="3" t="s">
        <v>16</v>
      </c>
      <c r="I1121" s="4" t="n">
        <v>5</v>
      </c>
      <c r="J1121" s="4" t="n">
        <f aca="false">LEN(E1121)-LEN(SUBSTITUTE(E1121,",",""))+1</f>
        <v>5</v>
      </c>
      <c r="K1121" s="3" t="str">
        <f aca="false">IFERROR(INDEX('Teacher Lookup'!$B$2:$B$200,MATCH(A1121,'Teacher Lookup'!$A$2:$A$200,0)),"")</f>
        <v>YEUNG Arthur</v>
      </c>
    </row>
    <row r="1122" customFormat="false" ht="15" hidden="false" customHeight="false" outlineLevel="0" collapsed="false">
      <c r="A1122" s="3" t="s">
        <v>226</v>
      </c>
      <c r="B1122" s="4" t="s">
        <v>65</v>
      </c>
      <c r="C1122" s="4" t="n">
        <v>1</v>
      </c>
      <c r="D1122" s="4" t="s">
        <v>106</v>
      </c>
      <c r="E1122" s="3" t="s">
        <v>227</v>
      </c>
      <c r="F1122" s="4" t="str">
        <f aca="false">IF(I1122&gt;J1122,"Y","N")</f>
        <v>N</v>
      </c>
      <c r="G1122" s="3" t="s">
        <v>15</v>
      </c>
      <c r="H1122" s="3" t="s">
        <v>16</v>
      </c>
      <c r="I1122" s="4" t="n">
        <v>5</v>
      </c>
      <c r="J1122" s="4" t="n">
        <f aca="false">LEN(E1122)-LEN(SUBSTITUTE(E1122,",",""))+1</f>
        <v>5</v>
      </c>
      <c r="K1122" s="3" t="str">
        <f aca="false">IFERROR(INDEX('Teacher Lookup'!$B$2:$B$200,MATCH(A1122,'Teacher Lookup'!$A$2:$A$200,0)),"")</f>
        <v>YEUNG Arthur</v>
      </c>
    </row>
    <row r="1123" customFormat="false" ht="15" hidden="false" customHeight="false" outlineLevel="0" collapsed="false">
      <c r="A1123" s="3" t="s">
        <v>226</v>
      </c>
      <c r="B1123" s="4" t="s">
        <v>65</v>
      </c>
      <c r="C1123" s="4" t="n">
        <v>1</v>
      </c>
      <c r="D1123" s="4" t="s">
        <v>107</v>
      </c>
      <c r="E1123" s="3" t="s">
        <v>227</v>
      </c>
      <c r="F1123" s="4" t="str">
        <f aca="false">IF(I1123&gt;J1123,"Y","N")</f>
        <v>N</v>
      </c>
      <c r="G1123" s="3" t="s">
        <v>15</v>
      </c>
      <c r="H1123" s="3" t="s">
        <v>16</v>
      </c>
      <c r="I1123" s="4" t="n">
        <v>5</v>
      </c>
      <c r="J1123" s="4" t="n">
        <f aca="false">LEN(E1123)-LEN(SUBSTITUTE(E1123,",",""))+1</f>
        <v>5</v>
      </c>
      <c r="K1123" s="3" t="str">
        <f aca="false">IFERROR(INDEX('Teacher Lookup'!$B$2:$B$200,MATCH(A1123,'Teacher Lookup'!$A$2:$A$200,0)),"")</f>
        <v>YEUNG Arthur</v>
      </c>
    </row>
    <row r="1124" customFormat="false" ht="15" hidden="false" customHeight="false" outlineLevel="0" collapsed="false">
      <c r="A1124" s="3" t="s">
        <v>226</v>
      </c>
      <c r="B1124" s="4" t="s">
        <v>65</v>
      </c>
      <c r="C1124" s="4" t="n">
        <v>2</v>
      </c>
      <c r="D1124" s="4" t="s">
        <v>102</v>
      </c>
      <c r="E1124" s="3" t="s">
        <v>227</v>
      </c>
      <c r="F1124" s="4" t="str">
        <f aca="false">IF(I1124&gt;J1124,"Y","N")</f>
        <v>N</v>
      </c>
      <c r="G1124" s="3" t="s">
        <v>15</v>
      </c>
      <c r="H1124" s="3" t="s">
        <v>21</v>
      </c>
      <c r="I1124" s="4" t="n">
        <v>5</v>
      </c>
      <c r="J1124" s="4" t="n">
        <f aca="false">LEN(E1124)-LEN(SUBSTITUTE(E1124,",",""))+1</f>
        <v>5</v>
      </c>
      <c r="K1124" s="3" t="str">
        <f aca="false">IFERROR(INDEX('Teacher Lookup'!$B$2:$B$200,MATCH(A1124,'Teacher Lookup'!$A$2:$A$200,0)),"")</f>
        <v>YEUNG Arthur</v>
      </c>
    </row>
    <row r="1125" customFormat="false" ht="15" hidden="false" customHeight="false" outlineLevel="0" collapsed="false">
      <c r="A1125" s="3" t="s">
        <v>226</v>
      </c>
      <c r="B1125" s="4" t="s">
        <v>65</v>
      </c>
      <c r="C1125" s="4" t="n">
        <v>2</v>
      </c>
      <c r="D1125" s="4" t="s">
        <v>105</v>
      </c>
      <c r="E1125" s="3" t="s">
        <v>227</v>
      </c>
      <c r="F1125" s="4" t="str">
        <f aca="false">IF(I1125&gt;J1125,"Y","N")</f>
        <v>N</v>
      </c>
      <c r="G1125" s="3" t="s">
        <v>15</v>
      </c>
      <c r="H1125" s="3" t="s">
        <v>21</v>
      </c>
      <c r="I1125" s="4" t="n">
        <v>5</v>
      </c>
      <c r="J1125" s="4" t="n">
        <f aca="false">LEN(E1125)-LEN(SUBSTITUTE(E1125,",",""))+1</f>
        <v>5</v>
      </c>
      <c r="K1125" s="3" t="str">
        <f aca="false">IFERROR(INDEX('Teacher Lookup'!$B$2:$B$200,MATCH(A1125,'Teacher Lookup'!$A$2:$A$200,0)),"")</f>
        <v>YEUNG Arthur</v>
      </c>
    </row>
    <row r="1126" customFormat="false" ht="15" hidden="false" customHeight="false" outlineLevel="0" collapsed="false">
      <c r="A1126" s="3" t="s">
        <v>226</v>
      </c>
      <c r="B1126" s="4" t="s">
        <v>65</v>
      </c>
      <c r="C1126" s="4" t="n">
        <v>2</v>
      </c>
      <c r="D1126" s="4" t="s">
        <v>106</v>
      </c>
      <c r="E1126" s="3" t="s">
        <v>227</v>
      </c>
      <c r="F1126" s="4" t="str">
        <f aca="false">IF(I1126&gt;J1126,"Y","N")</f>
        <v>N</v>
      </c>
      <c r="G1126" s="3" t="s">
        <v>15</v>
      </c>
      <c r="H1126" s="3" t="s">
        <v>21</v>
      </c>
      <c r="I1126" s="4" t="n">
        <v>5</v>
      </c>
      <c r="J1126" s="4" t="n">
        <f aca="false">LEN(E1126)-LEN(SUBSTITUTE(E1126,",",""))+1</f>
        <v>5</v>
      </c>
      <c r="K1126" s="3" t="str">
        <f aca="false">IFERROR(INDEX('Teacher Lookup'!$B$2:$B$200,MATCH(A1126,'Teacher Lookup'!$A$2:$A$200,0)),"")</f>
        <v>YEUNG Arthur</v>
      </c>
    </row>
    <row r="1127" customFormat="false" ht="15" hidden="false" customHeight="false" outlineLevel="0" collapsed="false">
      <c r="A1127" s="3" t="s">
        <v>226</v>
      </c>
      <c r="B1127" s="4" t="s">
        <v>65</v>
      </c>
      <c r="C1127" s="4" t="n">
        <v>2</v>
      </c>
      <c r="D1127" s="4" t="s">
        <v>107</v>
      </c>
      <c r="E1127" s="3" t="s">
        <v>227</v>
      </c>
      <c r="F1127" s="4" t="str">
        <f aca="false">IF(I1127&gt;J1127,"Y","N")</f>
        <v>N</v>
      </c>
      <c r="G1127" s="3" t="s">
        <v>15</v>
      </c>
      <c r="H1127" s="3" t="s">
        <v>21</v>
      </c>
      <c r="I1127" s="4" t="n">
        <v>5</v>
      </c>
      <c r="J1127" s="4" t="n">
        <f aca="false">LEN(E1127)-LEN(SUBSTITUTE(E1127,",",""))+1</f>
        <v>5</v>
      </c>
      <c r="K1127" s="3" t="str">
        <f aca="false">IFERROR(INDEX('Teacher Lookup'!$B$2:$B$200,MATCH(A1127,'Teacher Lookup'!$A$2:$A$200,0)),"")</f>
        <v>YEUNG Arthur</v>
      </c>
    </row>
    <row r="1128" customFormat="false" ht="15" hidden="false" customHeight="false" outlineLevel="0" collapsed="false">
      <c r="A1128" s="3" t="s">
        <v>226</v>
      </c>
      <c r="B1128" s="4" t="s">
        <v>65</v>
      </c>
      <c r="C1128" s="4" t="n">
        <v>5</v>
      </c>
      <c r="D1128" s="4" t="s">
        <v>228</v>
      </c>
      <c r="E1128" s="3" t="s">
        <v>229</v>
      </c>
      <c r="F1128" s="4" t="str">
        <f aca="false">IF(I1128&gt;J1128,"Y","N")</f>
        <v>Y</v>
      </c>
      <c r="G1128" s="3" t="s">
        <v>36</v>
      </c>
      <c r="H1128" s="3" t="s">
        <v>37</v>
      </c>
      <c r="I1128" s="4" t="n">
        <v>14</v>
      </c>
      <c r="J1128" s="4" t="n">
        <f aca="false">LEN(E1128)-LEN(SUBSTITUTE(E1128,",",""))+1</f>
        <v>6</v>
      </c>
      <c r="K1128" s="3" t="str">
        <f aca="false">IFERROR(INDEX('Teacher Lookup'!$B$2:$B$200,MATCH(A1128,'Teacher Lookup'!$A$2:$A$200,0)),"")</f>
        <v>YEUNG Arthur</v>
      </c>
    </row>
    <row r="1129" customFormat="false" ht="15" hidden="false" customHeight="false" outlineLevel="0" collapsed="false">
      <c r="A1129" s="3" t="s">
        <v>226</v>
      </c>
      <c r="B1129" s="4" t="s">
        <v>65</v>
      </c>
      <c r="C1129" s="4" t="n">
        <v>5</v>
      </c>
      <c r="D1129" s="4" t="s">
        <v>102</v>
      </c>
      <c r="E1129" s="3" t="s">
        <v>229</v>
      </c>
      <c r="F1129" s="4" t="str">
        <f aca="false">IF(I1129&gt;J1129,"Y","N")</f>
        <v>Y</v>
      </c>
      <c r="G1129" s="3" t="s">
        <v>36</v>
      </c>
      <c r="H1129" s="3" t="s">
        <v>37</v>
      </c>
      <c r="I1129" s="4" t="n">
        <v>14</v>
      </c>
      <c r="J1129" s="4" t="n">
        <f aca="false">LEN(E1129)-LEN(SUBSTITUTE(E1129,",",""))+1</f>
        <v>6</v>
      </c>
      <c r="K1129" s="3" t="str">
        <f aca="false">IFERROR(INDEX('Teacher Lookup'!$B$2:$B$200,MATCH(A1129,'Teacher Lookup'!$A$2:$A$200,0)),"")</f>
        <v>YEUNG Arthur</v>
      </c>
    </row>
    <row r="1130" customFormat="false" ht="15" hidden="false" customHeight="false" outlineLevel="0" collapsed="false">
      <c r="A1130" s="3" t="s">
        <v>226</v>
      </c>
      <c r="B1130" s="4" t="s">
        <v>65</v>
      </c>
      <c r="C1130" s="4" t="n">
        <v>5</v>
      </c>
      <c r="D1130" s="4" t="s">
        <v>105</v>
      </c>
      <c r="E1130" s="3" t="s">
        <v>229</v>
      </c>
      <c r="F1130" s="4" t="str">
        <f aca="false">IF(I1130&gt;J1130,"Y","N")</f>
        <v>Y</v>
      </c>
      <c r="G1130" s="3" t="s">
        <v>36</v>
      </c>
      <c r="H1130" s="3" t="s">
        <v>37</v>
      </c>
      <c r="I1130" s="4" t="n">
        <v>14</v>
      </c>
      <c r="J1130" s="4" t="n">
        <f aca="false">LEN(E1130)-LEN(SUBSTITUTE(E1130,",",""))+1</f>
        <v>6</v>
      </c>
      <c r="K1130" s="3" t="str">
        <f aca="false">IFERROR(INDEX('Teacher Lookup'!$B$2:$B$200,MATCH(A1130,'Teacher Lookup'!$A$2:$A$200,0)),"")</f>
        <v>YEUNG Arthur</v>
      </c>
    </row>
    <row r="1131" customFormat="false" ht="15" hidden="false" customHeight="false" outlineLevel="0" collapsed="false">
      <c r="A1131" s="3" t="s">
        <v>226</v>
      </c>
      <c r="B1131" s="4" t="s">
        <v>65</v>
      </c>
      <c r="C1131" s="4" t="n">
        <v>5</v>
      </c>
      <c r="D1131" s="4" t="s">
        <v>106</v>
      </c>
      <c r="E1131" s="3" t="s">
        <v>229</v>
      </c>
      <c r="F1131" s="4" t="str">
        <f aca="false">IF(I1131&gt;J1131,"Y","N")</f>
        <v>Y</v>
      </c>
      <c r="G1131" s="3" t="s">
        <v>36</v>
      </c>
      <c r="H1131" s="3" t="s">
        <v>37</v>
      </c>
      <c r="I1131" s="4" t="n">
        <v>14</v>
      </c>
      <c r="J1131" s="4" t="n">
        <f aca="false">LEN(E1131)-LEN(SUBSTITUTE(E1131,",",""))+1</f>
        <v>6</v>
      </c>
      <c r="K1131" s="3" t="str">
        <f aca="false">IFERROR(INDEX('Teacher Lookup'!$B$2:$B$200,MATCH(A1131,'Teacher Lookup'!$A$2:$A$200,0)),"")</f>
        <v>YEUNG Arthur</v>
      </c>
    </row>
    <row r="1132" customFormat="false" ht="15" hidden="false" customHeight="false" outlineLevel="0" collapsed="false">
      <c r="A1132" s="3" t="s">
        <v>226</v>
      </c>
      <c r="B1132" s="4" t="s">
        <v>65</v>
      </c>
      <c r="C1132" s="4" t="n">
        <v>5</v>
      </c>
      <c r="D1132" s="4" t="s">
        <v>107</v>
      </c>
      <c r="E1132" s="3" t="s">
        <v>229</v>
      </c>
      <c r="F1132" s="4" t="str">
        <f aca="false">IF(I1132&gt;J1132,"Y","N")</f>
        <v>Y</v>
      </c>
      <c r="G1132" s="3" t="s">
        <v>36</v>
      </c>
      <c r="H1132" s="3" t="s">
        <v>37</v>
      </c>
      <c r="I1132" s="4" t="n">
        <v>14</v>
      </c>
      <c r="J1132" s="4" t="n">
        <f aca="false">LEN(E1132)-LEN(SUBSTITUTE(E1132,",",""))+1</f>
        <v>6</v>
      </c>
      <c r="K1132" s="3" t="str">
        <f aca="false">IFERROR(INDEX('Teacher Lookup'!$B$2:$B$200,MATCH(A1132,'Teacher Lookup'!$A$2:$A$200,0)),"")</f>
        <v>YEUNG Arthur</v>
      </c>
    </row>
    <row r="1133" customFormat="false" ht="15" hidden="false" customHeight="false" outlineLevel="0" collapsed="false">
      <c r="A1133" s="3" t="s">
        <v>226</v>
      </c>
      <c r="B1133" s="4" t="s">
        <v>66</v>
      </c>
      <c r="C1133" s="4" t="n">
        <v>1</v>
      </c>
      <c r="D1133" s="4" t="s">
        <v>102</v>
      </c>
      <c r="E1133" s="3" t="s">
        <v>227</v>
      </c>
      <c r="F1133" s="4" t="str">
        <f aca="false">IF(I1133&gt;J1133,"Y","N")</f>
        <v>N</v>
      </c>
      <c r="G1133" s="3" t="s">
        <v>15</v>
      </c>
      <c r="H1133" s="3" t="s">
        <v>16</v>
      </c>
      <c r="I1133" s="4" t="n">
        <v>5</v>
      </c>
      <c r="J1133" s="4" t="n">
        <f aca="false">LEN(E1133)-LEN(SUBSTITUTE(E1133,",",""))+1</f>
        <v>5</v>
      </c>
      <c r="K1133" s="3" t="str">
        <f aca="false">IFERROR(INDEX('Teacher Lookup'!$B$2:$B$200,MATCH(A1133,'Teacher Lookup'!$A$2:$A$200,0)),"")</f>
        <v>YEUNG Arthur</v>
      </c>
    </row>
    <row r="1134" customFormat="false" ht="15" hidden="false" customHeight="false" outlineLevel="0" collapsed="false">
      <c r="A1134" s="3" t="s">
        <v>226</v>
      </c>
      <c r="B1134" s="4" t="s">
        <v>66</v>
      </c>
      <c r="C1134" s="4" t="n">
        <v>1</v>
      </c>
      <c r="D1134" s="4" t="s">
        <v>105</v>
      </c>
      <c r="E1134" s="3" t="s">
        <v>227</v>
      </c>
      <c r="F1134" s="4" t="str">
        <f aca="false">IF(I1134&gt;J1134,"Y","N")</f>
        <v>N</v>
      </c>
      <c r="G1134" s="3" t="s">
        <v>15</v>
      </c>
      <c r="H1134" s="3" t="s">
        <v>16</v>
      </c>
      <c r="I1134" s="4" t="n">
        <v>5</v>
      </c>
      <c r="J1134" s="4" t="n">
        <f aca="false">LEN(E1134)-LEN(SUBSTITUTE(E1134,",",""))+1</f>
        <v>5</v>
      </c>
      <c r="K1134" s="3" t="str">
        <f aca="false">IFERROR(INDEX('Teacher Lookup'!$B$2:$B$200,MATCH(A1134,'Teacher Lookup'!$A$2:$A$200,0)),"")</f>
        <v>YEUNG Arthur</v>
      </c>
    </row>
    <row r="1135" customFormat="false" ht="15" hidden="false" customHeight="false" outlineLevel="0" collapsed="false">
      <c r="A1135" s="3" t="s">
        <v>226</v>
      </c>
      <c r="B1135" s="4" t="s">
        <v>66</v>
      </c>
      <c r="C1135" s="4" t="n">
        <v>1</v>
      </c>
      <c r="D1135" s="4" t="s">
        <v>106</v>
      </c>
      <c r="E1135" s="3" t="s">
        <v>227</v>
      </c>
      <c r="F1135" s="4" t="str">
        <f aca="false">IF(I1135&gt;J1135,"Y","N")</f>
        <v>N</v>
      </c>
      <c r="G1135" s="3" t="s">
        <v>15</v>
      </c>
      <c r="H1135" s="3" t="s">
        <v>16</v>
      </c>
      <c r="I1135" s="4" t="n">
        <v>5</v>
      </c>
      <c r="J1135" s="4" t="n">
        <f aca="false">LEN(E1135)-LEN(SUBSTITUTE(E1135,",",""))+1</f>
        <v>5</v>
      </c>
      <c r="K1135" s="3" t="str">
        <f aca="false">IFERROR(INDEX('Teacher Lookup'!$B$2:$B$200,MATCH(A1135,'Teacher Lookup'!$A$2:$A$200,0)),"")</f>
        <v>YEUNG Arthur</v>
      </c>
    </row>
    <row r="1136" customFormat="false" ht="15" hidden="false" customHeight="false" outlineLevel="0" collapsed="false">
      <c r="A1136" s="3" t="s">
        <v>226</v>
      </c>
      <c r="B1136" s="4" t="s">
        <v>66</v>
      </c>
      <c r="C1136" s="4" t="n">
        <v>1</v>
      </c>
      <c r="D1136" s="4" t="s">
        <v>107</v>
      </c>
      <c r="E1136" s="3" t="s">
        <v>227</v>
      </c>
      <c r="F1136" s="4" t="str">
        <f aca="false">IF(I1136&gt;J1136,"Y","N")</f>
        <v>N</v>
      </c>
      <c r="G1136" s="3" t="s">
        <v>15</v>
      </c>
      <c r="H1136" s="3" t="s">
        <v>16</v>
      </c>
      <c r="I1136" s="4" t="n">
        <v>5</v>
      </c>
      <c r="J1136" s="4" t="n">
        <f aca="false">LEN(E1136)-LEN(SUBSTITUTE(E1136,",",""))+1</f>
        <v>5</v>
      </c>
      <c r="K1136" s="3" t="str">
        <f aca="false">IFERROR(INDEX('Teacher Lookup'!$B$2:$B$200,MATCH(A1136,'Teacher Lookup'!$A$2:$A$200,0)),"")</f>
        <v>YEUNG Arthur</v>
      </c>
    </row>
    <row r="1137" customFormat="false" ht="15" hidden="false" customHeight="false" outlineLevel="0" collapsed="false">
      <c r="A1137" s="3" t="s">
        <v>233</v>
      </c>
      <c r="B1137" s="4" t="s">
        <v>12</v>
      </c>
      <c r="C1137" s="4" t="n">
        <v>3</v>
      </c>
      <c r="D1137" s="4" t="s">
        <v>52</v>
      </c>
      <c r="E1137" s="3" t="s">
        <v>100</v>
      </c>
      <c r="F1137" s="4" t="str">
        <f aca="false">IF(I1137&gt;J1137,"Y","N")</f>
        <v>N</v>
      </c>
      <c r="G1137" s="3" t="s">
        <v>101</v>
      </c>
      <c r="H1137" s="3" t="s">
        <v>26</v>
      </c>
      <c r="I1137" s="4" t="n">
        <v>8</v>
      </c>
      <c r="J1137" s="4" t="n">
        <f aca="false">LEN(E1137)-LEN(SUBSTITUTE(E1137,",",""))+1</f>
        <v>8</v>
      </c>
      <c r="K1137" s="3" t="str">
        <f aca="false">IFERROR(INDEX('Teacher Lookup'!$B$2:$B$200,MATCH(A1137,'Teacher Lookup'!$A$2:$A$200,0)),"")</f>
        <v>IP Ariel</v>
      </c>
    </row>
    <row r="1138" customFormat="false" ht="15" hidden="false" customHeight="false" outlineLevel="0" collapsed="false">
      <c r="A1138" s="3" t="s">
        <v>233</v>
      </c>
      <c r="B1138" s="4" t="s">
        <v>12</v>
      </c>
      <c r="C1138" s="4" t="n">
        <v>3</v>
      </c>
      <c r="D1138" s="4" t="s">
        <v>55</v>
      </c>
      <c r="E1138" s="3" t="s">
        <v>100</v>
      </c>
      <c r="F1138" s="4" t="str">
        <f aca="false">IF(I1138&gt;J1138,"Y","N")</f>
        <v>N</v>
      </c>
      <c r="G1138" s="3" t="s">
        <v>101</v>
      </c>
      <c r="H1138" s="3" t="s">
        <v>26</v>
      </c>
      <c r="I1138" s="4" t="n">
        <v>8</v>
      </c>
      <c r="J1138" s="4" t="n">
        <f aca="false">LEN(E1138)-LEN(SUBSTITUTE(E1138,",",""))+1</f>
        <v>8</v>
      </c>
      <c r="K1138" s="3" t="str">
        <f aca="false">IFERROR(INDEX('Teacher Lookup'!$B$2:$B$200,MATCH(A1138,'Teacher Lookup'!$A$2:$A$200,0)),"")</f>
        <v>IP Ariel</v>
      </c>
    </row>
    <row r="1139" customFormat="false" ht="15" hidden="false" customHeight="false" outlineLevel="0" collapsed="false">
      <c r="A1139" s="3" t="s">
        <v>233</v>
      </c>
      <c r="B1139" s="4" t="s">
        <v>12</v>
      </c>
      <c r="C1139" s="4" t="n">
        <v>3</v>
      </c>
      <c r="D1139" s="4" t="s">
        <v>56</v>
      </c>
      <c r="E1139" s="3" t="s">
        <v>100</v>
      </c>
      <c r="F1139" s="4" t="str">
        <f aca="false">IF(I1139&gt;J1139,"Y","N")</f>
        <v>N</v>
      </c>
      <c r="G1139" s="3" t="s">
        <v>101</v>
      </c>
      <c r="H1139" s="3" t="s">
        <v>26</v>
      </c>
      <c r="I1139" s="4" t="n">
        <v>8</v>
      </c>
      <c r="J1139" s="4" t="n">
        <f aca="false">LEN(E1139)-LEN(SUBSTITUTE(E1139,",",""))+1</f>
        <v>8</v>
      </c>
      <c r="K1139" s="3" t="str">
        <f aca="false">IFERROR(INDEX('Teacher Lookup'!$B$2:$B$200,MATCH(A1139,'Teacher Lookup'!$A$2:$A$200,0)),"")</f>
        <v>IP Ariel</v>
      </c>
    </row>
    <row r="1140" customFormat="false" ht="15" hidden="false" customHeight="false" outlineLevel="0" collapsed="false">
      <c r="A1140" s="3" t="s">
        <v>233</v>
      </c>
      <c r="B1140" s="4" t="s">
        <v>12</v>
      </c>
      <c r="C1140" s="4" t="n">
        <v>3</v>
      </c>
      <c r="D1140" s="4" t="s">
        <v>57</v>
      </c>
      <c r="E1140" s="3" t="s">
        <v>100</v>
      </c>
      <c r="F1140" s="4" t="str">
        <f aca="false">IF(I1140&gt;J1140,"Y","N")</f>
        <v>N</v>
      </c>
      <c r="G1140" s="3" t="s">
        <v>101</v>
      </c>
      <c r="H1140" s="3" t="s">
        <v>26</v>
      </c>
      <c r="I1140" s="4" t="n">
        <v>8</v>
      </c>
      <c r="J1140" s="4" t="n">
        <f aca="false">LEN(E1140)-LEN(SUBSTITUTE(E1140,",",""))+1</f>
        <v>8</v>
      </c>
      <c r="K1140" s="3" t="str">
        <f aca="false">IFERROR(INDEX('Teacher Lookup'!$B$2:$B$200,MATCH(A1140,'Teacher Lookup'!$A$2:$A$200,0)),"")</f>
        <v>IP Ariel</v>
      </c>
    </row>
    <row r="1141" customFormat="false" ht="15" hidden="false" customHeight="false" outlineLevel="0" collapsed="false">
      <c r="A1141" s="3" t="s">
        <v>233</v>
      </c>
      <c r="B1141" s="4" t="s">
        <v>12</v>
      </c>
      <c r="C1141" s="4" t="n">
        <v>3</v>
      </c>
      <c r="D1141" s="4" t="s">
        <v>58</v>
      </c>
      <c r="E1141" s="3" t="s">
        <v>100</v>
      </c>
      <c r="F1141" s="4" t="str">
        <f aca="false">IF(I1141&gt;J1141,"Y","N")</f>
        <v>N</v>
      </c>
      <c r="G1141" s="3" t="s">
        <v>101</v>
      </c>
      <c r="H1141" s="3" t="s">
        <v>26</v>
      </c>
      <c r="I1141" s="4" t="n">
        <v>8</v>
      </c>
      <c r="J1141" s="4" t="n">
        <f aca="false">LEN(E1141)-LEN(SUBSTITUTE(E1141,",",""))+1</f>
        <v>8</v>
      </c>
      <c r="K1141" s="3" t="str">
        <f aca="false">IFERROR(INDEX('Teacher Lookup'!$B$2:$B$200,MATCH(A1141,'Teacher Lookup'!$A$2:$A$200,0)),"")</f>
        <v>IP Ariel</v>
      </c>
    </row>
    <row r="1142" customFormat="false" ht="15" hidden="false" customHeight="false" outlineLevel="0" collapsed="false">
      <c r="A1142" s="3" t="s">
        <v>233</v>
      </c>
      <c r="B1142" s="4" t="s">
        <v>12</v>
      </c>
      <c r="C1142" s="4" t="n">
        <v>3</v>
      </c>
      <c r="D1142" s="4" t="s">
        <v>59</v>
      </c>
      <c r="E1142" s="3" t="s">
        <v>100</v>
      </c>
      <c r="F1142" s="4" t="str">
        <f aca="false">IF(I1142&gt;J1142,"Y","N")</f>
        <v>N</v>
      </c>
      <c r="G1142" s="3" t="s">
        <v>101</v>
      </c>
      <c r="H1142" s="3" t="s">
        <v>26</v>
      </c>
      <c r="I1142" s="4" t="n">
        <v>8</v>
      </c>
      <c r="J1142" s="4" t="n">
        <f aca="false">LEN(E1142)-LEN(SUBSTITUTE(E1142,",",""))+1</f>
        <v>8</v>
      </c>
      <c r="K1142" s="3" t="str">
        <f aca="false">IFERROR(INDEX('Teacher Lookup'!$B$2:$B$200,MATCH(A1142,'Teacher Lookup'!$A$2:$A$200,0)),"")</f>
        <v>IP Ariel</v>
      </c>
    </row>
    <row r="1143" customFormat="false" ht="15" hidden="false" customHeight="false" outlineLevel="0" collapsed="false">
      <c r="A1143" s="3" t="s">
        <v>233</v>
      </c>
      <c r="B1143" s="4" t="s">
        <v>12</v>
      </c>
      <c r="C1143" s="4" t="n">
        <v>5</v>
      </c>
      <c r="D1143" s="4" t="s">
        <v>79</v>
      </c>
      <c r="E1143" s="3" t="s">
        <v>234</v>
      </c>
      <c r="F1143" s="4" t="str">
        <f aca="false">IF(I1143&gt;J1143,"Y","N")</f>
        <v>N</v>
      </c>
      <c r="G1143" s="3" t="s">
        <v>235</v>
      </c>
      <c r="H1143" s="3" t="s">
        <v>37</v>
      </c>
      <c r="I1143" s="4" t="n">
        <v>1</v>
      </c>
      <c r="J1143" s="4" t="n">
        <f aca="false">LEN(E1143)-LEN(SUBSTITUTE(E1143,",",""))+1</f>
        <v>1</v>
      </c>
      <c r="K1143" s="3" t="str">
        <f aca="false">IFERROR(INDEX('Teacher Lookup'!$B$2:$B$200,MATCH(A1143,'Teacher Lookup'!$A$2:$A$200,0)),"")</f>
        <v>IP Ariel</v>
      </c>
    </row>
    <row r="1144" customFormat="false" ht="15" hidden="false" customHeight="false" outlineLevel="0" collapsed="false">
      <c r="A1144" s="3" t="s">
        <v>233</v>
      </c>
      <c r="B1144" s="4" t="s">
        <v>12</v>
      </c>
      <c r="C1144" s="4" t="n">
        <v>6</v>
      </c>
      <c r="D1144" s="4" t="s">
        <v>29</v>
      </c>
      <c r="E1144" s="3" t="s">
        <v>236</v>
      </c>
      <c r="F1144" s="4" t="str">
        <f aca="false">IF(I1144&gt;J1144,"Y","N")</f>
        <v>N</v>
      </c>
      <c r="G1144" s="3" t="s">
        <v>237</v>
      </c>
      <c r="H1144" s="3" t="s">
        <v>42</v>
      </c>
      <c r="I1144" s="4" t="n">
        <v>3</v>
      </c>
      <c r="J1144" s="4" t="n">
        <f aca="false">LEN(E1144)-LEN(SUBSTITUTE(E1144,",",""))+1</f>
        <v>3</v>
      </c>
      <c r="K1144" s="3" t="str">
        <f aca="false">IFERROR(INDEX('Teacher Lookup'!$B$2:$B$200,MATCH(A1144,'Teacher Lookup'!$A$2:$A$200,0)),"")</f>
        <v>IP Ariel</v>
      </c>
    </row>
    <row r="1145" customFormat="false" ht="15" hidden="false" customHeight="false" outlineLevel="0" collapsed="false">
      <c r="A1145" s="3" t="s">
        <v>233</v>
      </c>
      <c r="B1145" s="4" t="s">
        <v>12</v>
      </c>
      <c r="C1145" s="4" t="n">
        <v>6</v>
      </c>
      <c r="D1145" s="4" t="s">
        <v>30</v>
      </c>
      <c r="E1145" s="3" t="s">
        <v>236</v>
      </c>
      <c r="F1145" s="4" t="str">
        <f aca="false">IF(I1145&gt;J1145,"Y","N")</f>
        <v>N</v>
      </c>
      <c r="G1145" s="3" t="s">
        <v>237</v>
      </c>
      <c r="H1145" s="3" t="s">
        <v>42</v>
      </c>
      <c r="I1145" s="4" t="n">
        <v>3</v>
      </c>
      <c r="J1145" s="4" t="n">
        <f aca="false">LEN(E1145)-LEN(SUBSTITUTE(E1145,",",""))+1</f>
        <v>3</v>
      </c>
      <c r="K1145" s="3" t="str">
        <f aca="false">IFERROR(INDEX('Teacher Lookup'!$B$2:$B$200,MATCH(A1145,'Teacher Lookup'!$A$2:$A$200,0)),"")</f>
        <v>IP Ariel</v>
      </c>
    </row>
    <row r="1146" customFormat="false" ht="15" hidden="false" customHeight="false" outlineLevel="0" collapsed="false">
      <c r="A1146" s="3" t="s">
        <v>233</v>
      </c>
      <c r="B1146" s="4" t="s">
        <v>12</v>
      </c>
      <c r="C1146" s="4" t="n">
        <v>7</v>
      </c>
      <c r="D1146" s="4" t="s">
        <v>29</v>
      </c>
      <c r="E1146" s="3" t="s">
        <v>236</v>
      </c>
      <c r="F1146" s="4" t="str">
        <f aca="false">IF(I1146&gt;J1146,"Y","N")</f>
        <v>N</v>
      </c>
      <c r="G1146" s="3" t="s">
        <v>237</v>
      </c>
      <c r="H1146" s="3" t="s">
        <v>39</v>
      </c>
      <c r="I1146" s="4" t="n">
        <v>3</v>
      </c>
      <c r="J1146" s="4" t="n">
        <f aca="false">LEN(E1146)-LEN(SUBSTITUTE(E1146,",",""))+1</f>
        <v>3</v>
      </c>
      <c r="K1146" s="3" t="str">
        <f aca="false">IFERROR(INDEX('Teacher Lookup'!$B$2:$B$200,MATCH(A1146,'Teacher Lookup'!$A$2:$A$200,0)),"")</f>
        <v>IP Ariel</v>
      </c>
    </row>
    <row r="1147" customFormat="false" ht="15" hidden="false" customHeight="false" outlineLevel="0" collapsed="false">
      <c r="A1147" s="3" t="s">
        <v>233</v>
      </c>
      <c r="B1147" s="4" t="s">
        <v>12</v>
      </c>
      <c r="C1147" s="4" t="n">
        <v>7</v>
      </c>
      <c r="D1147" s="4" t="s">
        <v>30</v>
      </c>
      <c r="E1147" s="3" t="s">
        <v>236</v>
      </c>
      <c r="F1147" s="4" t="str">
        <f aca="false">IF(I1147&gt;J1147,"Y","N")</f>
        <v>N</v>
      </c>
      <c r="G1147" s="3" t="s">
        <v>237</v>
      </c>
      <c r="H1147" s="3" t="s">
        <v>39</v>
      </c>
      <c r="I1147" s="4" t="n">
        <v>3</v>
      </c>
      <c r="J1147" s="4" t="n">
        <f aca="false">LEN(E1147)-LEN(SUBSTITUTE(E1147,",",""))+1</f>
        <v>3</v>
      </c>
      <c r="K1147" s="3" t="str">
        <f aca="false">IFERROR(INDEX('Teacher Lookup'!$B$2:$B$200,MATCH(A1147,'Teacher Lookup'!$A$2:$A$200,0)),"")</f>
        <v>IP Ariel</v>
      </c>
    </row>
    <row r="1148" customFormat="false" ht="15" hidden="false" customHeight="false" outlineLevel="0" collapsed="false">
      <c r="A1148" s="3" t="s">
        <v>233</v>
      </c>
      <c r="B1148" s="4" t="s">
        <v>31</v>
      </c>
      <c r="C1148" s="4" t="n">
        <v>4</v>
      </c>
      <c r="D1148" s="4" t="s">
        <v>52</v>
      </c>
      <c r="E1148" s="3" t="s">
        <v>111</v>
      </c>
      <c r="F1148" s="4" t="str">
        <f aca="false">IF(I1148&gt;J1148,"Y","N")</f>
        <v>N</v>
      </c>
      <c r="G1148" s="3" t="s">
        <v>101</v>
      </c>
      <c r="H1148" s="3" t="s">
        <v>34</v>
      </c>
      <c r="I1148" s="4" t="n">
        <v>8</v>
      </c>
      <c r="J1148" s="4" t="n">
        <f aca="false">LEN(E1148)-LEN(SUBSTITUTE(E1148,",",""))+1</f>
        <v>8</v>
      </c>
      <c r="K1148" s="3" t="str">
        <f aca="false">IFERROR(INDEX('Teacher Lookup'!$B$2:$B$200,MATCH(A1148,'Teacher Lookup'!$A$2:$A$200,0)),"")</f>
        <v>IP Ariel</v>
      </c>
    </row>
    <row r="1149" customFormat="false" ht="15" hidden="false" customHeight="false" outlineLevel="0" collapsed="false">
      <c r="A1149" s="3" t="s">
        <v>233</v>
      </c>
      <c r="B1149" s="4" t="s">
        <v>31</v>
      </c>
      <c r="C1149" s="4" t="n">
        <v>4</v>
      </c>
      <c r="D1149" s="4" t="s">
        <v>55</v>
      </c>
      <c r="E1149" s="3" t="s">
        <v>111</v>
      </c>
      <c r="F1149" s="4" t="str">
        <f aca="false">IF(I1149&gt;J1149,"Y","N")</f>
        <v>N</v>
      </c>
      <c r="G1149" s="3" t="s">
        <v>101</v>
      </c>
      <c r="H1149" s="3" t="s">
        <v>34</v>
      </c>
      <c r="I1149" s="4" t="n">
        <v>8</v>
      </c>
      <c r="J1149" s="4" t="n">
        <f aca="false">LEN(E1149)-LEN(SUBSTITUTE(E1149,",",""))+1</f>
        <v>8</v>
      </c>
      <c r="K1149" s="3" t="str">
        <f aca="false">IFERROR(INDEX('Teacher Lookup'!$B$2:$B$200,MATCH(A1149,'Teacher Lookup'!$A$2:$A$200,0)),"")</f>
        <v>IP Ariel</v>
      </c>
    </row>
    <row r="1150" customFormat="false" ht="15" hidden="false" customHeight="false" outlineLevel="0" collapsed="false">
      <c r="A1150" s="3" t="s">
        <v>233</v>
      </c>
      <c r="B1150" s="4" t="s">
        <v>31</v>
      </c>
      <c r="C1150" s="4" t="n">
        <v>4</v>
      </c>
      <c r="D1150" s="4" t="s">
        <v>56</v>
      </c>
      <c r="E1150" s="3" t="s">
        <v>111</v>
      </c>
      <c r="F1150" s="4" t="str">
        <f aca="false">IF(I1150&gt;J1150,"Y","N")</f>
        <v>N</v>
      </c>
      <c r="G1150" s="3" t="s">
        <v>101</v>
      </c>
      <c r="H1150" s="3" t="s">
        <v>34</v>
      </c>
      <c r="I1150" s="4" t="n">
        <v>8</v>
      </c>
      <c r="J1150" s="4" t="n">
        <f aca="false">LEN(E1150)-LEN(SUBSTITUTE(E1150,",",""))+1</f>
        <v>8</v>
      </c>
      <c r="K1150" s="3" t="str">
        <f aca="false">IFERROR(INDEX('Teacher Lookup'!$B$2:$B$200,MATCH(A1150,'Teacher Lookup'!$A$2:$A$200,0)),"")</f>
        <v>IP Ariel</v>
      </c>
    </row>
    <row r="1151" customFormat="false" ht="15" hidden="false" customHeight="false" outlineLevel="0" collapsed="false">
      <c r="A1151" s="3" t="s">
        <v>233</v>
      </c>
      <c r="B1151" s="4" t="s">
        <v>31</v>
      </c>
      <c r="C1151" s="4" t="n">
        <v>4</v>
      </c>
      <c r="D1151" s="4" t="s">
        <v>57</v>
      </c>
      <c r="E1151" s="3" t="s">
        <v>111</v>
      </c>
      <c r="F1151" s="4" t="str">
        <f aca="false">IF(I1151&gt;J1151,"Y","N")</f>
        <v>N</v>
      </c>
      <c r="G1151" s="3" t="s">
        <v>101</v>
      </c>
      <c r="H1151" s="3" t="s">
        <v>34</v>
      </c>
      <c r="I1151" s="4" t="n">
        <v>8</v>
      </c>
      <c r="J1151" s="4" t="n">
        <f aca="false">LEN(E1151)-LEN(SUBSTITUTE(E1151,",",""))+1</f>
        <v>8</v>
      </c>
      <c r="K1151" s="3" t="str">
        <f aca="false">IFERROR(INDEX('Teacher Lookup'!$B$2:$B$200,MATCH(A1151,'Teacher Lookup'!$A$2:$A$200,0)),"")</f>
        <v>IP Ariel</v>
      </c>
    </row>
    <row r="1152" customFormat="false" ht="15" hidden="false" customHeight="false" outlineLevel="0" collapsed="false">
      <c r="A1152" s="3" t="s">
        <v>233</v>
      </c>
      <c r="B1152" s="4" t="s">
        <v>31</v>
      </c>
      <c r="C1152" s="4" t="n">
        <v>4</v>
      </c>
      <c r="D1152" s="4" t="s">
        <v>58</v>
      </c>
      <c r="E1152" s="3" t="s">
        <v>111</v>
      </c>
      <c r="F1152" s="4" t="str">
        <f aca="false">IF(I1152&gt;J1152,"Y","N")</f>
        <v>N</v>
      </c>
      <c r="G1152" s="3" t="s">
        <v>101</v>
      </c>
      <c r="H1152" s="3" t="s">
        <v>34</v>
      </c>
      <c r="I1152" s="4" t="n">
        <v>8</v>
      </c>
      <c r="J1152" s="4" t="n">
        <f aca="false">LEN(E1152)-LEN(SUBSTITUTE(E1152,",",""))+1</f>
        <v>8</v>
      </c>
      <c r="K1152" s="3" t="str">
        <f aca="false">IFERROR(INDEX('Teacher Lookup'!$B$2:$B$200,MATCH(A1152,'Teacher Lookup'!$A$2:$A$200,0)),"")</f>
        <v>IP Ariel</v>
      </c>
    </row>
    <row r="1153" customFormat="false" ht="15" hidden="false" customHeight="false" outlineLevel="0" collapsed="false">
      <c r="A1153" s="3" t="s">
        <v>233</v>
      </c>
      <c r="B1153" s="4" t="s">
        <v>31</v>
      </c>
      <c r="C1153" s="4" t="n">
        <v>4</v>
      </c>
      <c r="D1153" s="4" t="s">
        <v>59</v>
      </c>
      <c r="E1153" s="3" t="s">
        <v>111</v>
      </c>
      <c r="F1153" s="4" t="str">
        <f aca="false">IF(I1153&gt;J1153,"Y","N")</f>
        <v>N</v>
      </c>
      <c r="G1153" s="3" t="s">
        <v>101</v>
      </c>
      <c r="H1153" s="3" t="s">
        <v>34</v>
      </c>
      <c r="I1153" s="4" t="n">
        <v>8</v>
      </c>
      <c r="J1153" s="4" t="n">
        <f aca="false">LEN(E1153)-LEN(SUBSTITUTE(E1153,",",""))+1</f>
        <v>8</v>
      </c>
      <c r="K1153" s="3" t="str">
        <f aca="false">IFERROR(INDEX('Teacher Lookup'!$B$2:$B$200,MATCH(A1153,'Teacher Lookup'!$A$2:$A$200,0)),"")</f>
        <v>IP Ariel</v>
      </c>
    </row>
    <row r="1154" customFormat="false" ht="15" hidden="false" customHeight="false" outlineLevel="0" collapsed="false">
      <c r="A1154" s="3" t="s">
        <v>233</v>
      </c>
      <c r="B1154" s="4" t="s">
        <v>31</v>
      </c>
      <c r="C1154" s="4" t="n">
        <v>5</v>
      </c>
      <c r="D1154" s="4" t="s">
        <v>24</v>
      </c>
      <c r="E1154" s="3" t="s">
        <v>131</v>
      </c>
      <c r="F1154" s="4" t="str">
        <f aca="false">IF(I1154&gt;J1154,"Y","N")</f>
        <v>Y</v>
      </c>
      <c r="G1154" s="3" t="s">
        <v>36</v>
      </c>
      <c r="H1154" s="3" t="s">
        <v>37</v>
      </c>
      <c r="I1154" s="4" t="n">
        <v>15</v>
      </c>
      <c r="J1154" s="4" t="n">
        <f aca="false">LEN(E1154)-LEN(SUBSTITUTE(E1154,",",""))+1</f>
        <v>7</v>
      </c>
      <c r="K1154" s="3" t="str">
        <f aca="false">IFERROR(INDEX('Teacher Lookup'!$B$2:$B$200,MATCH(A1154,'Teacher Lookup'!$A$2:$A$200,0)),"")</f>
        <v>IP Ariel</v>
      </c>
    </row>
    <row r="1155" customFormat="false" ht="15" hidden="false" customHeight="false" outlineLevel="0" collapsed="false">
      <c r="A1155" s="3" t="s">
        <v>233</v>
      </c>
      <c r="B1155" s="4" t="s">
        <v>31</v>
      </c>
      <c r="C1155" s="4" t="n">
        <v>5</v>
      </c>
      <c r="D1155" s="4" t="s">
        <v>132</v>
      </c>
      <c r="E1155" s="3" t="s">
        <v>131</v>
      </c>
      <c r="F1155" s="4" t="str">
        <f aca="false">IF(I1155&gt;J1155,"Y","N")</f>
        <v>Y</v>
      </c>
      <c r="G1155" s="3" t="s">
        <v>36</v>
      </c>
      <c r="H1155" s="3" t="s">
        <v>37</v>
      </c>
      <c r="I1155" s="4" t="n">
        <v>15</v>
      </c>
      <c r="J1155" s="4" t="n">
        <f aca="false">LEN(E1155)-LEN(SUBSTITUTE(E1155,",",""))+1</f>
        <v>7</v>
      </c>
      <c r="K1155" s="3" t="str">
        <f aca="false">IFERROR(INDEX('Teacher Lookup'!$B$2:$B$200,MATCH(A1155,'Teacher Lookup'!$A$2:$A$200,0)),"")</f>
        <v>IP Ariel</v>
      </c>
    </row>
    <row r="1156" customFormat="false" ht="15" hidden="false" customHeight="false" outlineLevel="0" collapsed="false">
      <c r="A1156" s="3" t="s">
        <v>233</v>
      </c>
      <c r="B1156" s="4" t="s">
        <v>31</v>
      </c>
      <c r="C1156" s="4" t="n">
        <v>5</v>
      </c>
      <c r="D1156" s="4" t="s">
        <v>27</v>
      </c>
      <c r="E1156" s="3" t="s">
        <v>131</v>
      </c>
      <c r="F1156" s="4" t="str">
        <f aca="false">IF(I1156&gt;J1156,"Y","N")</f>
        <v>Y</v>
      </c>
      <c r="G1156" s="3" t="s">
        <v>36</v>
      </c>
      <c r="H1156" s="3" t="s">
        <v>37</v>
      </c>
      <c r="I1156" s="4" t="n">
        <v>15</v>
      </c>
      <c r="J1156" s="4" t="n">
        <f aca="false">LEN(E1156)-LEN(SUBSTITUTE(E1156,",",""))+1</f>
        <v>7</v>
      </c>
      <c r="K1156" s="3" t="str">
        <f aca="false">IFERROR(INDEX('Teacher Lookup'!$B$2:$B$200,MATCH(A1156,'Teacher Lookup'!$A$2:$A$200,0)),"")</f>
        <v>IP Ariel</v>
      </c>
    </row>
    <row r="1157" customFormat="false" ht="15" hidden="false" customHeight="false" outlineLevel="0" collapsed="false">
      <c r="A1157" s="3" t="s">
        <v>233</v>
      </c>
      <c r="B1157" s="4" t="s">
        <v>31</v>
      </c>
      <c r="C1157" s="4" t="n">
        <v>5</v>
      </c>
      <c r="D1157" s="4" t="s">
        <v>28</v>
      </c>
      <c r="E1157" s="3" t="s">
        <v>131</v>
      </c>
      <c r="F1157" s="4" t="str">
        <f aca="false">IF(I1157&gt;J1157,"Y","N")</f>
        <v>Y</v>
      </c>
      <c r="G1157" s="3" t="s">
        <v>36</v>
      </c>
      <c r="H1157" s="3" t="s">
        <v>37</v>
      </c>
      <c r="I1157" s="4" t="n">
        <v>15</v>
      </c>
      <c r="J1157" s="4" t="n">
        <f aca="false">LEN(E1157)-LEN(SUBSTITUTE(E1157,",",""))+1</f>
        <v>7</v>
      </c>
      <c r="K1157" s="3" t="str">
        <f aca="false">IFERROR(INDEX('Teacher Lookup'!$B$2:$B$200,MATCH(A1157,'Teacher Lookup'!$A$2:$A$200,0)),"")</f>
        <v>IP Ariel</v>
      </c>
    </row>
    <row r="1158" customFormat="false" ht="15" hidden="false" customHeight="false" outlineLevel="0" collapsed="false">
      <c r="A1158" s="3" t="s">
        <v>233</v>
      </c>
      <c r="B1158" s="4" t="s">
        <v>31</v>
      </c>
      <c r="C1158" s="4" t="n">
        <v>5</v>
      </c>
      <c r="D1158" s="4" t="s">
        <v>29</v>
      </c>
      <c r="E1158" s="3" t="s">
        <v>131</v>
      </c>
      <c r="F1158" s="4" t="str">
        <f aca="false">IF(I1158&gt;J1158,"Y","N")</f>
        <v>Y</v>
      </c>
      <c r="G1158" s="3" t="s">
        <v>36</v>
      </c>
      <c r="H1158" s="3" t="s">
        <v>37</v>
      </c>
      <c r="I1158" s="4" t="n">
        <v>15</v>
      </c>
      <c r="J1158" s="4" t="n">
        <f aca="false">LEN(E1158)-LEN(SUBSTITUTE(E1158,",",""))+1</f>
        <v>7</v>
      </c>
      <c r="K1158" s="3" t="str">
        <f aca="false">IFERROR(INDEX('Teacher Lookup'!$B$2:$B$200,MATCH(A1158,'Teacher Lookup'!$A$2:$A$200,0)),"")</f>
        <v>IP Ariel</v>
      </c>
    </row>
    <row r="1159" customFormat="false" ht="15" hidden="false" customHeight="false" outlineLevel="0" collapsed="false">
      <c r="A1159" s="3" t="s">
        <v>233</v>
      </c>
      <c r="B1159" s="4" t="s">
        <v>31</v>
      </c>
      <c r="C1159" s="4" t="n">
        <v>5</v>
      </c>
      <c r="D1159" s="4" t="s">
        <v>30</v>
      </c>
      <c r="E1159" s="3" t="s">
        <v>131</v>
      </c>
      <c r="F1159" s="4" t="str">
        <f aca="false">IF(I1159&gt;J1159,"Y","N")</f>
        <v>Y</v>
      </c>
      <c r="G1159" s="3" t="s">
        <v>36</v>
      </c>
      <c r="H1159" s="3" t="s">
        <v>37</v>
      </c>
      <c r="I1159" s="4" t="n">
        <v>15</v>
      </c>
      <c r="J1159" s="4" t="n">
        <f aca="false">LEN(E1159)-LEN(SUBSTITUTE(E1159,",",""))+1</f>
        <v>7</v>
      </c>
      <c r="K1159" s="3" t="str">
        <f aca="false">IFERROR(INDEX('Teacher Lookup'!$B$2:$B$200,MATCH(A1159,'Teacher Lookup'!$A$2:$A$200,0)),"")</f>
        <v>IP Ariel</v>
      </c>
    </row>
    <row r="1160" customFormat="false" ht="15" hidden="false" customHeight="false" outlineLevel="0" collapsed="false">
      <c r="A1160" s="3" t="s">
        <v>233</v>
      </c>
      <c r="B1160" s="4" t="s">
        <v>31</v>
      </c>
      <c r="C1160" s="4" t="n">
        <v>6</v>
      </c>
      <c r="D1160" s="4" t="s">
        <v>52</v>
      </c>
      <c r="E1160" s="3" t="s">
        <v>238</v>
      </c>
      <c r="F1160" s="4" t="str">
        <f aca="false">IF(I1160&gt;J1160,"Y","N")</f>
        <v>N</v>
      </c>
      <c r="G1160" s="3" t="s">
        <v>239</v>
      </c>
      <c r="H1160" s="3" t="s">
        <v>42</v>
      </c>
      <c r="I1160" s="4" t="n">
        <v>7</v>
      </c>
      <c r="J1160" s="4" t="n">
        <f aca="false">LEN(E1160)-LEN(SUBSTITUTE(E1160,",",""))+1</f>
        <v>7</v>
      </c>
      <c r="K1160" s="3" t="str">
        <f aca="false">IFERROR(INDEX('Teacher Lookup'!$B$2:$B$200,MATCH(A1160,'Teacher Lookup'!$A$2:$A$200,0)),"")</f>
        <v>IP Ariel</v>
      </c>
    </row>
    <row r="1161" customFormat="false" ht="15" hidden="false" customHeight="false" outlineLevel="0" collapsed="false">
      <c r="A1161" s="3" t="s">
        <v>233</v>
      </c>
      <c r="B1161" s="4" t="s">
        <v>31</v>
      </c>
      <c r="C1161" s="4" t="n">
        <v>6</v>
      </c>
      <c r="D1161" s="4" t="s">
        <v>55</v>
      </c>
      <c r="E1161" s="3" t="s">
        <v>238</v>
      </c>
      <c r="F1161" s="4" t="str">
        <f aca="false">IF(I1161&gt;J1161,"Y","N")</f>
        <v>N</v>
      </c>
      <c r="G1161" s="3" t="s">
        <v>239</v>
      </c>
      <c r="H1161" s="3" t="s">
        <v>42</v>
      </c>
      <c r="I1161" s="4" t="n">
        <v>7</v>
      </c>
      <c r="J1161" s="4" t="n">
        <f aca="false">LEN(E1161)-LEN(SUBSTITUTE(E1161,",",""))+1</f>
        <v>7</v>
      </c>
      <c r="K1161" s="3" t="str">
        <f aca="false">IFERROR(INDEX('Teacher Lookup'!$B$2:$B$200,MATCH(A1161,'Teacher Lookup'!$A$2:$A$200,0)),"")</f>
        <v>IP Ariel</v>
      </c>
    </row>
    <row r="1162" customFormat="false" ht="15" hidden="false" customHeight="false" outlineLevel="0" collapsed="false">
      <c r="A1162" s="3" t="s">
        <v>233</v>
      </c>
      <c r="B1162" s="4" t="s">
        <v>31</v>
      </c>
      <c r="C1162" s="4" t="n">
        <v>6</v>
      </c>
      <c r="D1162" s="4" t="s">
        <v>56</v>
      </c>
      <c r="E1162" s="3" t="s">
        <v>238</v>
      </c>
      <c r="F1162" s="4" t="str">
        <f aca="false">IF(I1162&gt;J1162,"Y","N")</f>
        <v>N</v>
      </c>
      <c r="G1162" s="3" t="s">
        <v>239</v>
      </c>
      <c r="H1162" s="3" t="s">
        <v>42</v>
      </c>
      <c r="I1162" s="4" t="n">
        <v>7</v>
      </c>
      <c r="J1162" s="4" t="n">
        <f aca="false">LEN(E1162)-LEN(SUBSTITUTE(E1162,",",""))+1</f>
        <v>7</v>
      </c>
      <c r="K1162" s="3" t="str">
        <f aca="false">IFERROR(INDEX('Teacher Lookup'!$B$2:$B$200,MATCH(A1162,'Teacher Lookup'!$A$2:$A$200,0)),"")</f>
        <v>IP Ariel</v>
      </c>
    </row>
    <row r="1163" customFormat="false" ht="15" hidden="false" customHeight="false" outlineLevel="0" collapsed="false">
      <c r="A1163" s="3" t="s">
        <v>233</v>
      </c>
      <c r="B1163" s="4" t="s">
        <v>31</v>
      </c>
      <c r="C1163" s="4" t="n">
        <v>6</v>
      </c>
      <c r="D1163" s="4" t="s">
        <v>57</v>
      </c>
      <c r="E1163" s="3" t="s">
        <v>238</v>
      </c>
      <c r="F1163" s="4" t="str">
        <f aca="false">IF(I1163&gt;J1163,"Y","N")</f>
        <v>N</v>
      </c>
      <c r="G1163" s="3" t="s">
        <v>239</v>
      </c>
      <c r="H1163" s="3" t="s">
        <v>42</v>
      </c>
      <c r="I1163" s="4" t="n">
        <v>7</v>
      </c>
      <c r="J1163" s="4" t="n">
        <f aca="false">LEN(E1163)-LEN(SUBSTITUTE(E1163,",",""))+1</f>
        <v>7</v>
      </c>
      <c r="K1163" s="3" t="str">
        <f aca="false">IFERROR(INDEX('Teacher Lookup'!$B$2:$B$200,MATCH(A1163,'Teacher Lookup'!$A$2:$A$200,0)),"")</f>
        <v>IP Ariel</v>
      </c>
    </row>
    <row r="1164" customFormat="false" ht="15" hidden="false" customHeight="false" outlineLevel="0" collapsed="false">
      <c r="A1164" s="3" t="s">
        <v>233</v>
      </c>
      <c r="B1164" s="4" t="s">
        <v>31</v>
      </c>
      <c r="C1164" s="4" t="n">
        <v>6</v>
      </c>
      <c r="D1164" s="4" t="s">
        <v>58</v>
      </c>
      <c r="E1164" s="3" t="s">
        <v>238</v>
      </c>
      <c r="F1164" s="4" t="str">
        <f aca="false">IF(I1164&gt;J1164,"Y","N")</f>
        <v>N</v>
      </c>
      <c r="G1164" s="3" t="s">
        <v>239</v>
      </c>
      <c r="H1164" s="3" t="s">
        <v>42</v>
      </c>
      <c r="I1164" s="4" t="n">
        <v>7</v>
      </c>
      <c r="J1164" s="4" t="n">
        <f aca="false">LEN(E1164)-LEN(SUBSTITUTE(E1164,",",""))+1</f>
        <v>7</v>
      </c>
      <c r="K1164" s="3" t="str">
        <f aca="false">IFERROR(INDEX('Teacher Lookup'!$B$2:$B$200,MATCH(A1164,'Teacher Lookup'!$A$2:$A$200,0)),"")</f>
        <v>IP Ariel</v>
      </c>
    </row>
    <row r="1165" customFormat="false" ht="15" hidden="false" customHeight="false" outlineLevel="0" collapsed="false">
      <c r="A1165" s="3" t="s">
        <v>233</v>
      </c>
      <c r="B1165" s="4" t="s">
        <v>31</v>
      </c>
      <c r="C1165" s="4" t="n">
        <v>6</v>
      </c>
      <c r="D1165" s="4" t="s">
        <v>59</v>
      </c>
      <c r="E1165" s="3" t="s">
        <v>238</v>
      </c>
      <c r="F1165" s="4" t="str">
        <f aca="false">IF(I1165&gt;J1165,"Y","N")</f>
        <v>N</v>
      </c>
      <c r="G1165" s="3" t="s">
        <v>239</v>
      </c>
      <c r="H1165" s="3" t="s">
        <v>42</v>
      </c>
      <c r="I1165" s="4" t="n">
        <v>7</v>
      </c>
      <c r="J1165" s="4" t="n">
        <f aca="false">LEN(E1165)-LEN(SUBSTITUTE(E1165,",",""))+1</f>
        <v>7</v>
      </c>
      <c r="K1165" s="3" t="str">
        <f aca="false">IFERROR(INDEX('Teacher Lookup'!$B$2:$B$200,MATCH(A1165,'Teacher Lookup'!$A$2:$A$200,0)),"")</f>
        <v>IP Ariel</v>
      </c>
    </row>
    <row r="1166" customFormat="false" ht="15" hidden="false" customHeight="false" outlineLevel="0" collapsed="false">
      <c r="A1166" s="3" t="s">
        <v>233</v>
      </c>
      <c r="B1166" s="4" t="s">
        <v>40</v>
      </c>
      <c r="C1166" s="4" t="n">
        <v>2</v>
      </c>
      <c r="D1166" s="4" t="s">
        <v>52</v>
      </c>
      <c r="E1166" s="3" t="s">
        <v>240</v>
      </c>
      <c r="F1166" s="4" t="str">
        <f aca="false">IF(I1166&gt;J1166,"Y","N")</f>
        <v>N</v>
      </c>
      <c r="G1166" s="3" t="s">
        <v>239</v>
      </c>
      <c r="H1166" s="3" t="s">
        <v>21</v>
      </c>
      <c r="I1166" s="4" t="n">
        <v>7</v>
      </c>
      <c r="J1166" s="4" t="n">
        <f aca="false">LEN(E1166)-LEN(SUBSTITUTE(E1166,",",""))+1</f>
        <v>7</v>
      </c>
      <c r="K1166" s="3" t="str">
        <f aca="false">IFERROR(INDEX('Teacher Lookup'!$B$2:$B$200,MATCH(A1166,'Teacher Lookup'!$A$2:$A$200,0)),"")</f>
        <v>IP Ariel</v>
      </c>
    </row>
    <row r="1167" customFormat="false" ht="15" hidden="false" customHeight="false" outlineLevel="0" collapsed="false">
      <c r="A1167" s="3" t="s">
        <v>233</v>
      </c>
      <c r="B1167" s="4" t="s">
        <v>40</v>
      </c>
      <c r="C1167" s="4" t="n">
        <v>2</v>
      </c>
      <c r="D1167" s="4" t="s">
        <v>55</v>
      </c>
      <c r="E1167" s="3" t="s">
        <v>240</v>
      </c>
      <c r="F1167" s="4" t="str">
        <f aca="false">IF(I1167&gt;J1167,"Y","N")</f>
        <v>N</v>
      </c>
      <c r="G1167" s="3" t="s">
        <v>239</v>
      </c>
      <c r="H1167" s="3" t="s">
        <v>21</v>
      </c>
      <c r="I1167" s="4" t="n">
        <v>7</v>
      </c>
      <c r="J1167" s="4" t="n">
        <f aca="false">LEN(E1167)-LEN(SUBSTITUTE(E1167,",",""))+1</f>
        <v>7</v>
      </c>
      <c r="K1167" s="3" t="str">
        <f aca="false">IFERROR(INDEX('Teacher Lookup'!$B$2:$B$200,MATCH(A1167,'Teacher Lookup'!$A$2:$A$200,0)),"")</f>
        <v>IP Ariel</v>
      </c>
    </row>
    <row r="1168" customFormat="false" ht="15" hidden="false" customHeight="false" outlineLevel="0" collapsed="false">
      <c r="A1168" s="3" t="s">
        <v>233</v>
      </c>
      <c r="B1168" s="4" t="s">
        <v>40</v>
      </c>
      <c r="C1168" s="4" t="n">
        <v>2</v>
      </c>
      <c r="D1168" s="4" t="s">
        <v>56</v>
      </c>
      <c r="E1168" s="3" t="s">
        <v>240</v>
      </c>
      <c r="F1168" s="4" t="str">
        <f aca="false">IF(I1168&gt;J1168,"Y","N")</f>
        <v>N</v>
      </c>
      <c r="G1168" s="3" t="s">
        <v>239</v>
      </c>
      <c r="H1168" s="3" t="s">
        <v>21</v>
      </c>
      <c r="I1168" s="4" t="n">
        <v>7</v>
      </c>
      <c r="J1168" s="4" t="n">
        <f aca="false">LEN(E1168)-LEN(SUBSTITUTE(E1168,",",""))+1</f>
        <v>7</v>
      </c>
      <c r="K1168" s="3" t="str">
        <f aca="false">IFERROR(INDEX('Teacher Lookup'!$B$2:$B$200,MATCH(A1168,'Teacher Lookup'!$A$2:$A$200,0)),"")</f>
        <v>IP Ariel</v>
      </c>
    </row>
    <row r="1169" customFormat="false" ht="15" hidden="false" customHeight="false" outlineLevel="0" collapsed="false">
      <c r="A1169" s="3" t="s">
        <v>233</v>
      </c>
      <c r="B1169" s="4" t="s">
        <v>40</v>
      </c>
      <c r="C1169" s="4" t="n">
        <v>2</v>
      </c>
      <c r="D1169" s="4" t="s">
        <v>57</v>
      </c>
      <c r="E1169" s="3" t="s">
        <v>240</v>
      </c>
      <c r="F1169" s="4" t="str">
        <f aca="false">IF(I1169&gt;J1169,"Y","N")</f>
        <v>N</v>
      </c>
      <c r="G1169" s="3" t="s">
        <v>239</v>
      </c>
      <c r="H1169" s="3" t="s">
        <v>21</v>
      </c>
      <c r="I1169" s="4" t="n">
        <v>7</v>
      </c>
      <c r="J1169" s="4" t="n">
        <f aca="false">LEN(E1169)-LEN(SUBSTITUTE(E1169,",",""))+1</f>
        <v>7</v>
      </c>
      <c r="K1169" s="3" t="str">
        <f aca="false">IFERROR(INDEX('Teacher Lookup'!$B$2:$B$200,MATCH(A1169,'Teacher Lookup'!$A$2:$A$200,0)),"")</f>
        <v>IP Ariel</v>
      </c>
    </row>
    <row r="1170" customFormat="false" ht="15" hidden="false" customHeight="false" outlineLevel="0" collapsed="false">
      <c r="A1170" s="3" t="s">
        <v>233</v>
      </c>
      <c r="B1170" s="4" t="s">
        <v>40</v>
      </c>
      <c r="C1170" s="4" t="n">
        <v>2</v>
      </c>
      <c r="D1170" s="4" t="s">
        <v>58</v>
      </c>
      <c r="E1170" s="3" t="s">
        <v>240</v>
      </c>
      <c r="F1170" s="4" t="str">
        <f aca="false">IF(I1170&gt;J1170,"Y","N")</f>
        <v>N</v>
      </c>
      <c r="G1170" s="3" t="s">
        <v>239</v>
      </c>
      <c r="H1170" s="3" t="s">
        <v>21</v>
      </c>
      <c r="I1170" s="4" t="n">
        <v>7</v>
      </c>
      <c r="J1170" s="4" t="n">
        <f aca="false">LEN(E1170)-LEN(SUBSTITUTE(E1170,",",""))+1</f>
        <v>7</v>
      </c>
      <c r="K1170" s="3" t="str">
        <f aca="false">IFERROR(INDEX('Teacher Lookup'!$B$2:$B$200,MATCH(A1170,'Teacher Lookup'!$A$2:$A$200,0)),"")</f>
        <v>IP Ariel</v>
      </c>
    </row>
    <row r="1171" customFormat="false" ht="15" hidden="false" customHeight="false" outlineLevel="0" collapsed="false">
      <c r="A1171" s="3" t="s">
        <v>233</v>
      </c>
      <c r="B1171" s="4" t="s">
        <v>40</v>
      </c>
      <c r="C1171" s="4" t="n">
        <v>2</v>
      </c>
      <c r="D1171" s="4" t="s">
        <v>59</v>
      </c>
      <c r="E1171" s="3" t="s">
        <v>240</v>
      </c>
      <c r="F1171" s="4" t="str">
        <f aca="false">IF(I1171&gt;J1171,"Y","N")</f>
        <v>N</v>
      </c>
      <c r="G1171" s="3" t="s">
        <v>239</v>
      </c>
      <c r="H1171" s="3" t="s">
        <v>21</v>
      </c>
      <c r="I1171" s="4" t="n">
        <v>7</v>
      </c>
      <c r="J1171" s="4" t="n">
        <f aca="false">LEN(E1171)-LEN(SUBSTITUTE(E1171,",",""))+1</f>
        <v>7</v>
      </c>
      <c r="K1171" s="3" t="str">
        <f aca="false">IFERROR(INDEX('Teacher Lookup'!$B$2:$B$200,MATCH(A1171,'Teacher Lookup'!$A$2:$A$200,0)),"")</f>
        <v>IP Ariel</v>
      </c>
    </row>
    <row r="1172" customFormat="false" ht="15" hidden="false" customHeight="false" outlineLevel="0" collapsed="false">
      <c r="A1172" s="3" t="s">
        <v>233</v>
      </c>
      <c r="B1172" s="4" t="s">
        <v>40</v>
      </c>
      <c r="C1172" s="4" t="n">
        <v>5</v>
      </c>
      <c r="D1172" s="4" t="s">
        <v>29</v>
      </c>
      <c r="E1172" s="3" t="s">
        <v>241</v>
      </c>
      <c r="F1172" s="4" t="str">
        <f aca="false">IF(I1172&gt;J1172,"Y","N")</f>
        <v>N</v>
      </c>
      <c r="G1172" s="3" t="s">
        <v>237</v>
      </c>
      <c r="H1172" s="3" t="s">
        <v>37</v>
      </c>
      <c r="I1172" s="4" t="n">
        <v>3</v>
      </c>
      <c r="J1172" s="4" t="n">
        <f aca="false">LEN(E1172)-LEN(SUBSTITUTE(E1172,",",""))+1</f>
        <v>3</v>
      </c>
      <c r="K1172" s="3" t="str">
        <f aca="false">IFERROR(INDEX('Teacher Lookup'!$B$2:$B$200,MATCH(A1172,'Teacher Lookup'!$A$2:$A$200,0)),"")</f>
        <v>IP Ariel</v>
      </c>
    </row>
    <row r="1173" customFormat="false" ht="15" hidden="false" customHeight="false" outlineLevel="0" collapsed="false">
      <c r="A1173" s="3" t="s">
        <v>233</v>
      </c>
      <c r="B1173" s="4" t="s">
        <v>40</v>
      </c>
      <c r="C1173" s="4" t="n">
        <v>5</v>
      </c>
      <c r="D1173" s="4" t="s">
        <v>30</v>
      </c>
      <c r="E1173" s="3" t="s">
        <v>241</v>
      </c>
      <c r="F1173" s="4" t="str">
        <f aca="false">IF(I1173&gt;J1173,"Y","N")</f>
        <v>N</v>
      </c>
      <c r="G1173" s="3" t="s">
        <v>237</v>
      </c>
      <c r="H1173" s="3" t="s">
        <v>37</v>
      </c>
      <c r="I1173" s="4" t="n">
        <v>3</v>
      </c>
      <c r="J1173" s="4" t="n">
        <f aca="false">LEN(E1173)-LEN(SUBSTITUTE(E1173,",",""))+1</f>
        <v>3</v>
      </c>
      <c r="K1173" s="3" t="str">
        <f aca="false">IFERROR(INDEX('Teacher Lookup'!$B$2:$B$200,MATCH(A1173,'Teacher Lookup'!$A$2:$A$200,0)),"")</f>
        <v>IP Ariel</v>
      </c>
    </row>
    <row r="1174" customFormat="false" ht="15" hidden="false" customHeight="false" outlineLevel="0" collapsed="false">
      <c r="A1174" s="3" t="s">
        <v>233</v>
      </c>
      <c r="B1174" s="4" t="s">
        <v>44</v>
      </c>
      <c r="C1174" s="4" t="n">
        <v>3</v>
      </c>
      <c r="D1174" s="4" t="s">
        <v>29</v>
      </c>
      <c r="E1174" s="3" t="s">
        <v>242</v>
      </c>
      <c r="F1174" s="4" t="str">
        <f aca="false">IF(I1174&gt;J1174,"Y","N")</f>
        <v>N</v>
      </c>
      <c r="G1174" s="3" t="s">
        <v>237</v>
      </c>
      <c r="H1174" s="3" t="s">
        <v>26</v>
      </c>
      <c r="I1174" s="4" t="n">
        <v>3</v>
      </c>
      <c r="J1174" s="4" t="n">
        <f aca="false">LEN(E1174)-LEN(SUBSTITUTE(E1174,",",""))+1</f>
        <v>3</v>
      </c>
      <c r="K1174" s="3" t="str">
        <f aca="false">IFERROR(INDEX('Teacher Lookup'!$B$2:$B$200,MATCH(A1174,'Teacher Lookup'!$A$2:$A$200,0)),"")</f>
        <v>IP Ariel</v>
      </c>
    </row>
    <row r="1175" customFormat="false" ht="15" hidden="false" customHeight="false" outlineLevel="0" collapsed="false">
      <c r="A1175" s="3" t="s">
        <v>233</v>
      </c>
      <c r="B1175" s="4" t="s">
        <v>44</v>
      </c>
      <c r="C1175" s="4" t="n">
        <v>3</v>
      </c>
      <c r="D1175" s="4" t="s">
        <v>30</v>
      </c>
      <c r="E1175" s="3" t="s">
        <v>242</v>
      </c>
      <c r="F1175" s="4" t="str">
        <f aca="false">IF(I1175&gt;J1175,"Y","N")</f>
        <v>N</v>
      </c>
      <c r="G1175" s="3" t="s">
        <v>237</v>
      </c>
      <c r="H1175" s="3" t="s">
        <v>26</v>
      </c>
      <c r="I1175" s="4" t="n">
        <v>3</v>
      </c>
      <c r="J1175" s="4" t="n">
        <f aca="false">LEN(E1175)-LEN(SUBSTITUTE(E1175,",",""))+1</f>
        <v>3</v>
      </c>
      <c r="K1175" s="3" t="str">
        <f aca="false">IFERROR(INDEX('Teacher Lookup'!$B$2:$B$200,MATCH(A1175,'Teacher Lookup'!$A$2:$A$200,0)),"")</f>
        <v>IP Ariel</v>
      </c>
    </row>
    <row r="1176" customFormat="false" ht="15" hidden="false" customHeight="false" outlineLevel="0" collapsed="false">
      <c r="A1176" s="3" t="s">
        <v>233</v>
      </c>
      <c r="B1176" s="4" t="s">
        <v>44</v>
      </c>
      <c r="C1176" s="4" t="n">
        <v>4</v>
      </c>
      <c r="D1176" s="4" t="s">
        <v>52</v>
      </c>
      <c r="E1176" s="3" t="s">
        <v>115</v>
      </c>
      <c r="F1176" s="4" t="str">
        <f aca="false">IF(I1176&gt;J1176,"Y","N")</f>
        <v>Y</v>
      </c>
      <c r="G1176" s="3" t="s">
        <v>101</v>
      </c>
      <c r="H1176" s="3" t="s">
        <v>34</v>
      </c>
      <c r="I1176" s="4" t="n">
        <v>9</v>
      </c>
      <c r="J1176" s="4" t="n">
        <f aca="false">LEN(E1176)-LEN(SUBSTITUTE(E1176,",",""))+1</f>
        <v>8</v>
      </c>
      <c r="K1176" s="3" t="str">
        <f aca="false">IFERROR(INDEX('Teacher Lookup'!$B$2:$B$200,MATCH(A1176,'Teacher Lookup'!$A$2:$A$200,0)),"")</f>
        <v>IP Ariel</v>
      </c>
    </row>
    <row r="1177" customFormat="false" ht="15" hidden="false" customHeight="false" outlineLevel="0" collapsed="false">
      <c r="A1177" s="3" t="s">
        <v>233</v>
      </c>
      <c r="B1177" s="4" t="s">
        <v>44</v>
      </c>
      <c r="C1177" s="4" t="n">
        <v>4</v>
      </c>
      <c r="D1177" s="4" t="s">
        <v>55</v>
      </c>
      <c r="E1177" s="3" t="s">
        <v>115</v>
      </c>
      <c r="F1177" s="4" t="str">
        <f aca="false">IF(I1177&gt;J1177,"Y","N")</f>
        <v>Y</v>
      </c>
      <c r="G1177" s="3" t="s">
        <v>101</v>
      </c>
      <c r="H1177" s="3" t="s">
        <v>34</v>
      </c>
      <c r="I1177" s="4" t="n">
        <v>9</v>
      </c>
      <c r="J1177" s="4" t="n">
        <f aca="false">LEN(E1177)-LEN(SUBSTITUTE(E1177,",",""))+1</f>
        <v>8</v>
      </c>
      <c r="K1177" s="3" t="str">
        <f aca="false">IFERROR(INDEX('Teacher Lookup'!$B$2:$B$200,MATCH(A1177,'Teacher Lookup'!$A$2:$A$200,0)),"")</f>
        <v>IP Ariel</v>
      </c>
    </row>
    <row r="1178" customFormat="false" ht="15" hidden="false" customHeight="false" outlineLevel="0" collapsed="false">
      <c r="A1178" s="3" t="s">
        <v>233</v>
      </c>
      <c r="B1178" s="4" t="s">
        <v>44</v>
      </c>
      <c r="C1178" s="4" t="n">
        <v>4</v>
      </c>
      <c r="D1178" s="4" t="s">
        <v>56</v>
      </c>
      <c r="E1178" s="3" t="s">
        <v>115</v>
      </c>
      <c r="F1178" s="4" t="str">
        <f aca="false">IF(I1178&gt;J1178,"Y","N")</f>
        <v>Y</v>
      </c>
      <c r="G1178" s="3" t="s">
        <v>101</v>
      </c>
      <c r="H1178" s="3" t="s">
        <v>34</v>
      </c>
      <c r="I1178" s="4" t="n">
        <v>9</v>
      </c>
      <c r="J1178" s="4" t="n">
        <f aca="false">LEN(E1178)-LEN(SUBSTITUTE(E1178,",",""))+1</f>
        <v>8</v>
      </c>
      <c r="K1178" s="3" t="str">
        <f aca="false">IFERROR(INDEX('Teacher Lookup'!$B$2:$B$200,MATCH(A1178,'Teacher Lookup'!$A$2:$A$200,0)),"")</f>
        <v>IP Ariel</v>
      </c>
    </row>
    <row r="1179" customFormat="false" ht="15" hidden="false" customHeight="false" outlineLevel="0" collapsed="false">
      <c r="A1179" s="3" t="s">
        <v>233</v>
      </c>
      <c r="B1179" s="4" t="s">
        <v>44</v>
      </c>
      <c r="C1179" s="4" t="n">
        <v>4</v>
      </c>
      <c r="D1179" s="4" t="s">
        <v>57</v>
      </c>
      <c r="E1179" s="3" t="s">
        <v>115</v>
      </c>
      <c r="F1179" s="4" t="str">
        <f aca="false">IF(I1179&gt;J1179,"Y","N")</f>
        <v>Y</v>
      </c>
      <c r="G1179" s="3" t="s">
        <v>101</v>
      </c>
      <c r="H1179" s="3" t="s">
        <v>34</v>
      </c>
      <c r="I1179" s="4" t="n">
        <v>9</v>
      </c>
      <c r="J1179" s="4" t="n">
        <f aca="false">LEN(E1179)-LEN(SUBSTITUTE(E1179,",",""))+1</f>
        <v>8</v>
      </c>
      <c r="K1179" s="3" t="str">
        <f aca="false">IFERROR(INDEX('Teacher Lookup'!$B$2:$B$200,MATCH(A1179,'Teacher Lookup'!$A$2:$A$200,0)),"")</f>
        <v>IP Ariel</v>
      </c>
    </row>
    <row r="1180" customFormat="false" ht="15" hidden="false" customHeight="false" outlineLevel="0" collapsed="false">
      <c r="A1180" s="3" t="s">
        <v>233</v>
      </c>
      <c r="B1180" s="4" t="s">
        <v>44</v>
      </c>
      <c r="C1180" s="4" t="n">
        <v>4</v>
      </c>
      <c r="D1180" s="4" t="s">
        <v>58</v>
      </c>
      <c r="E1180" s="3" t="s">
        <v>115</v>
      </c>
      <c r="F1180" s="4" t="str">
        <f aca="false">IF(I1180&gt;J1180,"Y","N")</f>
        <v>Y</v>
      </c>
      <c r="G1180" s="3" t="s">
        <v>101</v>
      </c>
      <c r="H1180" s="3" t="s">
        <v>34</v>
      </c>
      <c r="I1180" s="4" t="n">
        <v>9</v>
      </c>
      <c r="J1180" s="4" t="n">
        <f aca="false">LEN(E1180)-LEN(SUBSTITUTE(E1180,",",""))+1</f>
        <v>8</v>
      </c>
      <c r="K1180" s="3" t="str">
        <f aca="false">IFERROR(INDEX('Teacher Lookup'!$B$2:$B$200,MATCH(A1180,'Teacher Lookup'!$A$2:$A$200,0)),"")</f>
        <v>IP Ariel</v>
      </c>
    </row>
    <row r="1181" customFormat="false" ht="15" hidden="false" customHeight="false" outlineLevel="0" collapsed="false">
      <c r="A1181" s="3" t="s">
        <v>233</v>
      </c>
      <c r="B1181" s="4" t="s">
        <v>44</v>
      </c>
      <c r="C1181" s="4" t="n">
        <v>4</v>
      </c>
      <c r="D1181" s="4" t="s">
        <v>59</v>
      </c>
      <c r="E1181" s="3" t="s">
        <v>115</v>
      </c>
      <c r="F1181" s="4" t="str">
        <f aca="false">IF(I1181&gt;J1181,"Y","N")</f>
        <v>Y</v>
      </c>
      <c r="G1181" s="3" t="s">
        <v>101</v>
      </c>
      <c r="H1181" s="3" t="s">
        <v>34</v>
      </c>
      <c r="I1181" s="4" t="n">
        <v>9</v>
      </c>
      <c r="J1181" s="4" t="n">
        <f aca="false">LEN(E1181)-LEN(SUBSTITUTE(E1181,",",""))+1</f>
        <v>8</v>
      </c>
      <c r="K1181" s="3" t="str">
        <f aca="false">IFERROR(INDEX('Teacher Lookup'!$B$2:$B$200,MATCH(A1181,'Teacher Lookup'!$A$2:$A$200,0)),"")</f>
        <v>IP Ariel</v>
      </c>
    </row>
    <row r="1182" customFormat="false" ht="15" hidden="false" customHeight="false" outlineLevel="0" collapsed="false">
      <c r="A1182" s="3" t="s">
        <v>233</v>
      </c>
      <c r="B1182" s="4" t="s">
        <v>44</v>
      </c>
      <c r="C1182" s="4" t="n">
        <v>5</v>
      </c>
      <c r="D1182" s="4" t="s">
        <v>24</v>
      </c>
      <c r="E1182" s="3" t="s">
        <v>131</v>
      </c>
      <c r="F1182" s="4" t="str">
        <f aca="false">IF(I1182&gt;J1182,"Y","N")</f>
        <v>Y</v>
      </c>
      <c r="G1182" s="3" t="s">
        <v>36</v>
      </c>
      <c r="H1182" s="3" t="s">
        <v>37</v>
      </c>
      <c r="I1182" s="4" t="n">
        <v>15</v>
      </c>
      <c r="J1182" s="4" t="n">
        <f aca="false">LEN(E1182)-LEN(SUBSTITUTE(E1182,",",""))+1</f>
        <v>7</v>
      </c>
      <c r="K1182" s="3" t="str">
        <f aca="false">IFERROR(INDEX('Teacher Lookup'!$B$2:$B$200,MATCH(A1182,'Teacher Lookup'!$A$2:$A$200,0)),"")</f>
        <v>IP Ariel</v>
      </c>
    </row>
    <row r="1183" customFormat="false" ht="15" hidden="false" customHeight="false" outlineLevel="0" collapsed="false">
      <c r="A1183" s="3" t="s">
        <v>233</v>
      </c>
      <c r="B1183" s="4" t="s">
        <v>44</v>
      </c>
      <c r="C1183" s="4" t="n">
        <v>5</v>
      </c>
      <c r="D1183" s="4" t="s">
        <v>132</v>
      </c>
      <c r="E1183" s="3" t="s">
        <v>131</v>
      </c>
      <c r="F1183" s="4" t="str">
        <f aca="false">IF(I1183&gt;J1183,"Y","N")</f>
        <v>Y</v>
      </c>
      <c r="G1183" s="3" t="s">
        <v>36</v>
      </c>
      <c r="H1183" s="3" t="s">
        <v>37</v>
      </c>
      <c r="I1183" s="4" t="n">
        <v>15</v>
      </c>
      <c r="J1183" s="4" t="n">
        <f aca="false">LEN(E1183)-LEN(SUBSTITUTE(E1183,",",""))+1</f>
        <v>7</v>
      </c>
      <c r="K1183" s="3" t="str">
        <f aca="false">IFERROR(INDEX('Teacher Lookup'!$B$2:$B$200,MATCH(A1183,'Teacher Lookup'!$A$2:$A$200,0)),"")</f>
        <v>IP Ariel</v>
      </c>
    </row>
    <row r="1184" customFormat="false" ht="15" hidden="false" customHeight="false" outlineLevel="0" collapsed="false">
      <c r="A1184" s="3" t="s">
        <v>233</v>
      </c>
      <c r="B1184" s="4" t="s">
        <v>44</v>
      </c>
      <c r="C1184" s="4" t="n">
        <v>5</v>
      </c>
      <c r="D1184" s="4" t="s">
        <v>27</v>
      </c>
      <c r="E1184" s="3" t="s">
        <v>131</v>
      </c>
      <c r="F1184" s="4" t="str">
        <f aca="false">IF(I1184&gt;J1184,"Y","N")</f>
        <v>Y</v>
      </c>
      <c r="G1184" s="3" t="s">
        <v>36</v>
      </c>
      <c r="H1184" s="3" t="s">
        <v>37</v>
      </c>
      <c r="I1184" s="4" t="n">
        <v>15</v>
      </c>
      <c r="J1184" s="4" t="n">
        <f aca="false">LEN(E1184)-LEN(SUBSTITUTE(E1184,",",""))+1</f>
        <v>7</v>
      </c>
      <c r="K1184" s="3" t="str">
        <f aca="false">IFERROR(INDEX('Teacher Lookup'!$B$2:$B$200,MATCH(A1184,'Teacher Lookup'!$A$2:$A$200,0)),"")</f>
        <v>IP Ariel</v>
      </c>
    </row>
    <row r="1185" customFormat="false" ht="15" hidden="false" customHeight="false" outlineLevel="0" collapsed="false">
      <c r="A1185" s="3" t="s">
        <v>233</v>
      </c>
      <c r="B1185" s="4" t="s">
        <v>44</v>
      </c>
      <c r="C1185" s="4" t="n">
        <v>5</v>
      </c>
      <c r="D1185" s="4" t="s">
        <v>28</v>
      </c>
      <c r="E1185" s="3" t="s">
        <v>131</v>
      </c>
      <c r="F1185" s="4" t="str">
        <f aca="false">IF(I1185&gt;J1185,"Y","N")</f>
        <v>Y</v>
      </c>
      <c r="G1185" s="3" t="s">
        <v>36</v>
      </c>
      <c r="H1185" s="3" t="s">
        <v>37</v>
      </c>
      <c r="I1185" s="4" t="n">
        <v>15</v>
      </c>
      <c r="J1185" s="4" t="n">
        <f aca="false">LEN(E1185)-LEN(SUBSTITUTE(E1185,",",""))+1</f>
        <v>7</v>
      </c>
      <c r="K1185" s="3" t="str">
        <f aca="false">IFERROR(INDEX('Teacher Lookup'!$B$2:$B$200,MATCH(A1185,'Teacher Lookup'!$A$2:$A$200,0)),"")</f>
        <v>IP Ariel</v>
      </c>
    </row>
    <row r="1186" customFormat="false" ht="15" hidden="false" customHeight="false" outlineLevel="0" collapsed="false">
      <c r="A1186" s="3" t="s">
        <v>233</v>
      </c>
      <c r="B1186" s="4" t="s">
        <v>44</v>
      </c>
      <c r="C1186" s="4" t="n">
        <v>5</v>
      </c>
      <c r="D1186" s="4" t="s">
        <v>29</v>
      </c>
      <c r="E1186" s="3" t="s">
        <v>131</v>
      </c>
      <c r="F1186" s="4" t="str">
        <f aca="false">IF(I1186&gt;J1186,"Y","N")</f>
        <v>Y</v>
      </c>
      <c r="G1186" s="3" t="s">
        <v>36</v>
      </c>
      <c r="H1186" s="3" t="s">
        <v>37</v>
      </c>
      <c r="I1186" s="4" t="n">
        <v>15</v>
      </c>
      <c r="J1186" s="4" t="n">
        <f aca="false">LEN(E1186)-LEN(SUBSTITUTE(E1186,",",""))+1</f>
        <v>7</v>
      </c>
      <c r="K1186" s="3" t="str">
        <f aca="false">IFERROR(INDEX('Teacher Lookup'!$B$2:$B$200,MATCH(A1186,'Teacher Lookup'!$A$2:$A$200,0)),"")</f>
        <v>IP Ariel</v>
      </c>
    </row>
    <row r="1187" customFormat="false" ht="15" hidden="false" customHeight="false" outlineLevel="0" collapsed="false">
      <c r="A1187" s="3" t="s">
        <v>233</v>
      </c>
      <c r="B1187" s="4" t="s">
        <v>44</v>
      </c>
      <c r="C1187" s="4" t="n">
        <v>5</v>
      </c>
      <c r="D1187" s="4" t="s">
        <v>30</v>
      </c>
      <c r="E1187" s="3" t="s">
        <v>131</v>
      </c>
      <c r="F1187" s="4" t="str">
        <f aca="false">IF(I1187&gt;J1187,"Y","N")</f>
        <v>Y</v>
      </c>
      <c r="G1187" s="3" t="s">
        <v>36</v>
      </c>
      <c r="H1187" s="3" t="s">
        <v>37</v>
      </c>
      <c r="I1187" s="4" t="n">
        <v>15</v>
      </c>
      <c r="J1187" s="4" t="n">
        <f aca="false">LEN(E1187)-LEN(SUBSTITUTE(E1187,",",""))+1</f>
        <v>7</v>
      </c>
      <c r="K1187" s="3" t="str">
        <f aca="false">IFERROR(INDEX('Teacher Lookup'!$B$2:$B$200,MATCH(A1187,'Teacher Lookup'!$A$2:$A$200,0)),"")</f>
        <v>IP Ariel</v>
      </c>
    </row>
    <row r="1188" customFormat="false" ht="15" hidden="false" customHeight="false" outlineLevel="0" collapsed="false">
      <c r="A1188" s="3" t="s">
        <v>233</v>
      </c>
      <c r="B1188" s="4" t="s">
        <v>44</v>
      </c>
      <c r="C1188" s="4" t="n">
        <v>7</v>
      </c>
      <c r="D1188" s="4" t="s">
        <v>52</v>
      </c>
      <c r="E1188" s="3" t="s">
        <v>243</v>
      </c>
      <c r="F1188" s="4" t="str">
        <f aca="false">IF(I1188&gt;J1188,"Y","N")</f>
        <v>N</v>
      </c>
      <c r="G1188" s="3" t="s">
        <v>239</v>
      </c>
      <c r="H1188" s="3" t="s">
        <v>39</v>
      </c>
      <c r="I1188" s="4" t="n">
        <v>7</v>
      </c>
      <c r="J1188" s="4" t="n">
        <f aca="false">LEN(E1188)-LEN(SUBSTITUTE(E1188,",",""))+1</f>
        <v>7</v>
      </c>
      <c r="K1188" s="3" t="str">
        <f aca="false">IFERROR(INDEX('Teacher Lookup'!$B$2:$B$200,MATCH(A1188,'Teacher Lookup'!$A$2:$A$200,0)),"")</f>
        <v>IP Ariel</v>
      </c>
    </row>
    <row r="1189" customFormat="false" ht="15" hidden="false" customHeight="false" outlineLevel="0" collapsed="false">
      <c r="A1189" s="3" t="s">
        <v>233</v>
      </c>
      <c r="B1189" s="4" t="s">
        <v>44</v>
      </c>
      <c r="C1189" s="4" t="n">
        <v>7</v>
      </c>
      <c r="D1189" s="4" t="s">
        <v>55</v>
      </c>
      <c r="E1189" s="3" t="s">
        <v>243</v>
      </c>
      <c r="F1189" s="4" t="str">
        <f aca="false">IF(I1189&gt;J1189,"Y","N")</f>
        <v>N</v>
      </c>
      <c r="G1189" s="3" t="s">
        <v>239</v>
      </c>
      <c r="H1189" s="3" t="s">
        <v>39</v>
      </c>
      <c r="I1189" s="4" t="n">
        <v>7</v>
      </c>
      <c r="J1189" s="4" t="n">
        <f aca="false">LEN(E1189)-LEN(SUBSTITUTE(E1189,",",""))+1</f>
        <v>7</v>
      </c>
      <c r="K1189" s="3" t="str">
        <f aca="false">IFERROR(INDEX('Teacher Lookup'!$B$2:$B$200,MATCH(A1189,'Teacher Lookup'!$A$2:$A$200,0)),"")</f>
        <v>IP Ariel</v>
      </c>
    </row>
    <row r="1190" customFormat="false" ht="15" hidden="false" customHeight="false" outlineLevel="0" collapsed="false">
      <c r="A1190" s="3" t="s">
        <v>233</v>
      </c>
      <c r="B1190" s="4" t="s">
        <v>44</v>
      </c>
      <c r="C1190" s="4" t="n">
        <v>7</v>
      </c>
      <c r="D1190" s="4" t="s">
        <v>56</v>
      </c>
      <c r="E1190" s="3" t="s">
        <v>243</v>
      </c>
      <c r="F1190" s="4" t="str">
        <f aca="false">IF(I1190&gt;J1190,"Y","N")</f>
        <v>N</v>
      </c>
      <c r="G1190" s="3" t="s">
        <v>239</v>
      </c>
      <c r="H1190" s="3" t="s">
        <v>39</v>
      </c>
      <c r="I1190" s="4" t="n">
        <v>7</v>
      </c>
      <c r="J1190" s="4" t="n">
        <f aca="false">LEN(E1190)-LEN(SUBSTITUTE(E1190,",",""))+1</f>
        <v>7</v>
      </c>
      <c r="K1190" s="3" t="str">
        <f aca="false">IFERROR(INDEX('Teacher Lookup'!$B$2:$B$200,MATCH(A1190,'Teacher Lookup'!$A$2:$A$200,0)),"")</f>
        <v>IP Ariel</v>
      </c>
    </row>
    <row r="1191" customFormat="false" ht="15" hidden="false" customHeight="false" outlineLevel="0" collapsed="false">
      <c r="A1191" s="3" t="s">
        <v>233</v>
      </c>
      <c r="B1191" s="4" t="s">
        <v>44</v>
      </c>
      <c r="C1191" s="4" t="n">
        <v>7</v>
      </c>
      <c r="D1191" s="4" t="s">
        <v>57</v>
      </c>
      <c r="E1191" s="3" t="s">
        <v>243</v>
      </c>
      <c r="F1191" s="4" t="str">
        <f aca="false">IF(I1191&gt;J1191,"Y","N")</f>
        <v>N</v>
      </c>
      <c r="G1191" s="3" t="s">
        <v>239</v>
      </c>
      <c r="H1191" s="3" t="s">
        <v>39</v>
      </c>
      <c r="I1191" s="4" t="n">
        <v>7</v>
      </c>
      <c r="J1191" s="4" t="n">
        <f aca="false">LEN(E1191)-LEN(SUBSTITUTE(E1191,",",""))+1</f>
        <v>7</v>
      </c>
      <c r="K1191" s="3" t="str">
        <f aca="false">IFERROR(INDEX('Teacher Lookup'!$B$2:$B$200,MATCH(A1191,'Teacher Lookup'!$A$2:$A$200,0)),"")</f>
        <v>IP Ariel</v>
      </c>
    </row>
    <row r="1192" customFormat="false" ht="15" hidden="false" customHeight="false" outlineLevel="0" collapsed="false">
      <c r="A1192" s="3" t="s">
        <v>233</v>
      </c>
      <c r="B1192" s="4" t="s">
        <v>44</v>
      </c>
      <c r="C1192" s="4" t="n">
        <v>7</v>
      </c>
      <c r="D1192" s="4" t="s">
        <v>58</v>
      </c>
      <c r="E1192" s="3" t="s">
        <v>243</v>
      </c>
      <c r="F1192" s="4" t="str">
        <f aca="false">IF(I1192&gt;J1192,"Y","N")</f>
        <v>N</v>
      </c>
      <c r="G1192" s="3" t="s">
        <v>239</v>
      </c>
      <c r="H1192" s="3" t="s">
        <v>39</v>
      </c>
      <c r="I1192" s="4" t="n">
        <v>7</v>
      </c>
      <c r="J1192" s="4" t="n">
        <f aca="false">LEN(E1192)-LEN(SUBSTITUTE(E1192,",",""))+1</f>
        <v>7</v>
      </c>
      <c r="K1192" s="3" t="str">
        <f aca="false">IFERROR(INDEX('Teacher Lookup'!$B$2:$B$200,MATCH(A1192,'Teacher Lookup'!$A$2:$A$200,0)),"")</f>
        <v>IP Ariel</v>
      </c>
    </row>
    <row r="1193" customFormat="false" ht="15" hidden="false" customHeight="false" outlineLevel="0" collapsed="false">
      <c r="A1193" s="3" t="s">
        <v>233</v>
      </c>
      <c r="B1193" s="4" t="s">
        <v>44</v>
      </c>
      <c r="C1193" s="4" t="n">
        <v>7</v>
      </c>
      <c r="D1193" s="4" t="s">
        <v>59</v>
      </c>
      <c r="E1193" s="3" t="s">
        <v>243</v>
      </c>
      <c r="F1193" s="4" t="str">
        <f aca="false">IF(I1193&gt;J1193,"Y","N")</f>
        <v>N</v>
      </c>
      <c r="G1193" s="3" t="s">
        <v>239</v>
      </c>
      <c r="H1193" s="3" t="s">
        <v>39</v>
      </c>
      <c r="I1193" s="4" t="n">
        <v>7</v>
      </c>
      <c r="J1193" s="4" t="n">
        <f aca="false">LEN(E1193)-LEN(SUBSTITUTE(E1193,",",""))+1</f>
        <v>7</v>
      </c>
      <c r="K1193" s="3" t="str">
        <f aca="false">IFERROR(INDEX('Teacher Lookup'!$B$2:$B$200,MATCH(A1193,'Teacher Lookup'!$A$2:$A$200,0)),"")</f>
        <v>IP Ariel</v>
      </c>
    </row>
    <row r="1194" customFormat="false" ht="15" hidden="false" customHeight="false" outlineLevel="0" collapsed="false">
      <c r="A1194" s="3" t="s">
        <v>233</v>
      </c>
      <c r="B1194" s="4" t="s">
        <v>47</v>
      </c>
      <c r="C1194" s="4" t="n">
        <v>5</v>
      </c>
      <c r="D1194" s="4" t="s">
        <v>79</v>
      </c>
      <c r="E1194" s="3" t="s">
        <v>134</v>
      </c>
      <c r="F1194" s="4" t="str">
        <f aca="false">IF(I1194&gt;J1194,"Y","N")</f>
        <v>N</v>
      </c>
      <c r="G1194" s="3" t="s">
        <v>235</v>
      </c>
      <c r="H1194" s="3" t="s">
        <v>37</v>
      </c>
      <c r="I1194" s="4" t="n">
        <v>1</v>
      </c>
      <c r="J1194" s="4" t="n">
        <f aca="false">LEN(E1194)-LEN(SUBSTITUTE(E1194,",",""))+1</f>
        <v>1</v>
      </c>
      <c r="K1194" s="3" t="str">
        <f aca="false">IFERROR(INDEX('Teacher Lookup'!$B$2:$B$200,MATCH(A1194,'Teacher Lookup'!$A$2:$A$200,0)),"")</f>
        <v>IP Ariel</v>
      </c>
    </row>
    <row r="1195" customFormat="false" ht="15" hidden="false" customHeight="false" outlineLevel="0" collapsed="false">
      <c r="A1195" s="3" t="s">
        <v>233</v>
      </c>
      <c r="B1195" s="4" t="s">
        <v>47</v>
      </c>
      <c r="C1195" s="4" t="n">
        <v>6</v>
      </c>
      <c r="D1195" s="4" t="s">
        <v>52</v>
      </c>
      <c r="E1195" s="3" t="s">
        <v>117</v>
      </c>
      <c r="F1195" s="4" t="str">
        <f aca="false">IF(I1195&gt;J1195,"Y","N")</f>
        <v>N</v>
      </c>
      <c r="G1195" s="3" t="s">
        <v>101</v>
      </c>
      <c r="H1195" s="3" t="s">
        <v>42</v>
      </c>
      <c r="I1195" s="4" t="n">
        <v>8</v>
      </c>
      <c r="J1195" s="4" t="n">
        <f aca="false">LEN(E1195)-LEN(SUBSTITUTE(E1195,",",""))+1</f>
        <v>8</v>
      </c>
      <c r="K1195" s="3" t="str">
        <f aca="false">IFERROR(INDEX('Teacher Lookup'!$B$2:$B$200,MATCH(A1195,'Teacher Lookup'!$A$2:$A$200,0)),"")</f>
        <v>IP Ariel</v>
      </c>
    </row>
    <row r="1196" customFormat="false" ht="15" hidden="false" customHeight="false" outlineLevel="0" collapsed="false">
      <c r="A1196" s="3" t="s">
        <v>233</v>
      </c>
      <c r="B1196" s="4" t="s">
        <v>47</v>
      </c>
      <c r="C1196" s="4" t="n">
        <v>6</v>
      </c>
      <c r="D1196" s="4" t="s">
        <v>55</v>
      </c>
      <c r="E1196" s="3" t="s">
        <v>117</v>
      </c>
      <c r="F1196" s="4" t="str">
        <f aca="false">IF(I1196&gt;J1196,"Y","N")</f>
        <v>N</v>
      </c>
      <c r="G1196" s="3" t="s">
        <v>101</v>
      </c>
      <c r="H1196" s="3" t="s">
        <v>42</v>
      </c>
      <c r="I1196" s="4" t="n">
        <v>8</v>
      </c>
      <c r="J1196" s="4" t="n">
        <f aca="false">LEN(E1196)-LEN(SUBSTITUTE(E1196,",",""))+1</f>
        <v>8</v>
      </c>
      <c r="K1196" s="3" t="str">
        <f aca="false">IFERROR(INDEX('Teacher Lookup'!$B$2:$B$200,MATCH(A1196,'Teacher Lookup'!$A$2:$A$200,0)),"")</f>
        <v>IP Ariel</v>
      </c>
    </row>
    <row r="1197" customFormat="false" ht="15" hidden="false" customHeight="false" outlineLevel="0" collapsed="false">
      <c r="A1197" s="3" t="s">
        <v>233</v>
      </c>
      <c r="B1197" s="4" t="s">
        <v>47</v>
      </c>
      <c r="C1197" s="4" t="n">
        <v>6</v>
      </c>
      <c r="D1197" s="4" t="s">
        <v>56</v>
      </c>
      <c r="E1197" s="3" t="s">
        <v>117</v>
      </c>
      <c r="F1197" s="4" t="str">
        <f aca="false">IF(I1197&gt;J1197,"Y","N")</f>
        <v>N</v>
      </c>
      <c r="G1197" s="3" t="s">
        <v>101</v>
      </c>
      <c r="H1197" s="3" t="s">
        <v>42</v>
      </c>
      <c r="I1197" s="4" t="n">
        <v>8</v>
      </c>
      <c r="J1197" s="4" t="n">
        <f aca="false">LEN(E1197)-LEN(SUBSTITUTE(E1197,",",""))+1</f>
        <v>8</v>
      </c>
      <c r="K1197" s="3" t="str">
        <f aca="false">IFERROR(INDEX('Teacher Lookup'!$B$2:$B$200,MATCH(A1197,'Teacher Lookup'!$A$2:$A$200,0)),"")</f>
        <v>IP Ariel</v>
      </c>
    </row>
    <row r="1198" customFormat="false" ht="15" hidden="false" customHeight="false" outlineLevel="0" collapsed="false">
      <c r="A1198" s="3" t="s">
        <v>233</v>
      </c>
      <c r="B1198" s="4" t="s">
        <v>47</v>
      </c>
      <c r="C1198" s="4" t="n">
        <v>6</v>
      </c>
      <c r="D1198" s="4" t="s">
        <v>57</v>
      </c>
      <c r="E1198" s="3" t="s">
        <v>117</v>
      </c>
      <c r="F1198" s="4" t="str">
        <f aca="false">IF(I1198&gt;J1198,"Y","N")</f>
        <v>N</v>
      </c>
      <c r="G1198" s="3" t="s">
        <v>101</v>
      </c>
      <c r="H1198" s="3" t="s">
        <v>42</v>
      </c>
      <c r="I1198" s="4" t="n">
        <v>8</v>
      </c>
      <c r="J1198" s="4" t="n">
        <f aca="false">LEN(E1198)-LEN(SUBSTITUTE(E1198,",",""))+1</f>
        <v>8</v>
      </c>
      <c r="K1198" s="3" t="str">
        <f aca="false">IFERROR(INDEX('Teacher Lookup'!$B$2:$B$200,MATCH(A1198,'Teacher Lookup'!$A$2:$A$200,0)),"")</f>
        <v>IP Ariel</v>
      </c>
    </row>
    <row r="1199" customFormat="false" ht="15" hidden="false" customHeight="false" outlineLevel="0" collapsed="false">
      <c r="A1199" s="3" t="s">
        <v>233</v>
      </c>
      <c r="B1199" s="4" t="s">
        <v>47</v>
      </c>
      <c r="C1199" s="4" t="n">
        <v>6</v>
      </c>
      <c r="D1199" s="4" t="s">
        <v>58</v>
      </c>
      <c r="E1199" s="3" t="s">
        <v>117</v>
      </c>
      <c r="F1199" s="4" t="str">
        <f aca="false">IF(I1199&gt;J1199,"Y","N")</f>
        <v>N</v>
      </c>
      <c r="G1199" s="3" t="s">
        <v>101</v>
      </c>
      <c r="H1199" s="3" t="s">
        <v>42</v>
      </c>
      <c r="I1199" s="4" t="n">
        <v>8</v>
      </c>
      <c r="J1199" s="4" t="n">
        <f aca="false">LEN(E1199)-LEN(SUBSTITUTE(E1199,",",""))+1</f>
        <v>8</v>
      </c>
      <c r="K1199" s="3" t="str">
        <f aca="false">IFERROR(INDEX('Teacher Lookup'!$B$2:$B$200,MATCH(A1199,'Teacher Lookup'!$A$2:$A$200,0)),"")</f>
        <v>IP Ariel</v>
      </c>
    </row>
    <row r="1200" customFormat="false" ht="15" hidden="false" customHeight="false" outlineLevel="0" collapsed="false">
      <c r="A1200" s="3" t="s">
        <v>233</v>
      </c>
      <c r="B1200" s="4" t="s">
        <v>47</v>
      </c>
      <c r="C1200" s="4" t="n">
        <v>6</v>
      </c>
      <c r="D1200" s="4" t="s">
        <v>59</v>
      </c>
      <c r="E1200" s="3" t="s">
        <v>117</v>
      </c>
      <c r="F1200" s="4" t="str">
        <f aca="false">IF(I1200&gt;J1200,"Y","N")</f>
        <v>N</v>
      </c>
      <c r="G1200" s="3" t="s">
        <v>101</v>
      </c>
      <c r="H1200" s="3" t="s">
        <v>42</v>
      </c>
      <c r="I1200" s="4" t="n">
        <v>8</v>
      </c>
      <c r="J1200" s="4" t="n">
        <f aca="false">LEN(E1200)-LEN(SUBSTITUTE(E1200,",",""))+1</f>
        <v>8</v>
      </c>
      <c r="K1200" s="3" t="str">
        <f aca="false">IFERROR(INDEX('Teacher Lookup'!$B$2:$B$200,MATCH(A1200,'Teacher Lookup'!$A$2:$A$200,0)),"")</f>
        <v>IP Ariel</v>
      </c>
    </row>
    <row r="1201" customFormat="false" ht="15" hidden="false" customHeight="false" outlineLevel="0" collapsed="false">
      <c r="A1201" s="3" t="s">
        <v>233</v>
      </c>
      <c r="B1201" s="4" t="s">
        <v>47</v>
      </c>
      <c r="C1201" s="4" t="n">
        <v>7</v>
      </c>
      <c r="D1201" s="4" t="s">
        <v>52</v>
      </c>
      <c r="E1201" s="3" t="s">
        <v>244</v>
      </c>
      <c r="F1201" s="4" t="str">
        <f aca="false">IF(I1201&gt;J1201,"Y","N")</f>
        <v>N</v>
      </c>
      <c r="G1201" s="3" t="s">
        <v>239</v>
      </c>
      <c r="H1201" s="3" t="s">
        <v>39</v>
      </c>
      <c r="I1201" s="4" t="n">
        <v>7</v>
      </c>
      <c r="J1201" s="4" t="n">
        <f aca="false">LEN(E1201)-LEN(SUBSTITUTE(E1201,",",""))+1</f>
        <v>7</v>
      </c>
      <c r="K1201" s="3" t="str">
        <f aca="false">IFERROR(INDEX('Teacher Lookup'!$B$2:$B$200,MATCH(A1201,'Teacher Lookup'!$A$2:$A$200,0)),"")</f>
        <v>IP Ariel</v>
      </c>
    </row>
    <row r="1202" customFormat="false" ht="15" hidden="false" customHeight="false" outlineLevel="0" collapsed="false">
      <c r="A1202" s="3" t="s">
        <v>233</v>
      </c>
      <c r="B1202" s="4" t="s">
        <v>47</v>
      </c>
      <c r="C1202" s="4" t="n">
        <v>7</v>
      </c>
      <c r="D1202" s="4" t="s">
        <v>55</v>
      </c>
      <c r="E1202" s="3" t="s">
        <v>244</v>
      </c>
      <c r="F1202" s="4" t="str">
        <f aca="false">IF(I1202&gt;J1202,"Y","N")</f>
        <v>N</v>
      </c>
      <c r="G1202" s="3" t="s">
        <v>239</v>
      </c>
      <c r="H1202" s="3" t="s">
        <v>39</v>
      </c>
      <c r="I1202" s="4" t="n">
        <v>7</v>
      </c>
      <c r="J1202" s="4" t="n">
        <f aca="false">LEN(E1202)-LEN(SUBSTITUTE(E1202,",",""))+1</f>
        <v>7</v>
      </c>
      <c r="K1202" s="3" t="str">
        <f aca="false">IFERROR(INDEX('Teacher Lookup'!$B$2:$B$200,MATCH(A1202,'Teacher Lookup'!$A$2:$A$200,0)),"")</f>
        <v>IP Ariel</v>
      </c>
    </row>
    <row r="1203" customFormat="false" ht="15" hidden="false" customHeight="false" outlineLevel="0" collapsed="false">
      <c r="A1203" s="3" t="s">
        <v>233</v>
      </c>
      <c r="B1203" s="4" t="s">
        <v>47</v>
      </c>
      <c r="C1203" s="4" t="n">
        <v>7</v>
      </c>
      <c r="D1203" s="4" t="s">
        <v>56</v>
      </c>
      <c r="E1203" s="3" t="s">
        <v>244</v>
      </c>
      <c r="F1203" s="4" t="str">
        <f aca="false">IF(I1203&gt;J1203,"Y","N")</f>
        <v>N</v>
      </c>
      <c r="G1203" s="3" t="s">
        <v>239</v>
      </c>
      <c r="H1203" s="3" t="s">
        <v>39</v>
      </c>
      <c r="I1203" s="4" t="n">
        <v>7</v>
      </c>
      <c r="J1203" s="4" t="n">
        <f aca="false">LEN(E1203)-LEN(SUBSTITUTE(E1203,",",""))+1</f>
        <v>7</v>
      </c>
      <c r="K1203" s="3" t="str">
        <f aca="false">IFERROR(INDEX('Teacher Lookup'!$B$2:$B$200,MATCH(A1203,'Teacher Lookup'!$A$2:$A$200,0)),"")</f>
        <v>IP Ariel</v>
      </c>
    </row>
    <row r="1204" customFormat="false" ht="15" hidden="false" customHeight="false" outlineLevel="0" collapsed="false">
      <c r="A1204" s="3" t="s">
        <v>233</v>
      </c>
      <c r="B1204" s="4" t="s">
        <v>47</v>
      </c>
      <c r="C1204" s="4" t="n">
        <v>7</v>
      </c>
      <c r="D1204" s="4" t="s">
        <v>57</v>
      </c>
      <c r="E1204" s="3" t="s">
        <v>244</v>
      </c>
      <c r="F1204" s="4" t="str">
        <f aca="false">IF(I1204&gt;J1204,"Y","N")</f>
        <v>N</v>
      </c>
      <c r="G1204" s="3" t="s">
        <v>239</v>
      </c>
      <c r="H1204" s="3" t="s">
        <v>39</v>
      </c>
      <c r="I1204" s="4" t="n">
        <v>7</v>
      </c>
      <c r="J1204" s="4" t="n">
        <f aca="false">LEN(E1204)-LEN(SUBSTITUTE(E1204,",",""))+1</f>
        <v>7</v>
      </c>
      <c r="K1204" s="3" t="str">
        <f aca="false">IFERROR(INDEX('Teacher Lookup'!$B$2:$B$200,MATCH(A1204,'Teacher Lookup'!$A$2:$A$200,0)),"")</f>
        <v>IP Ariel</v>
      </c>
    </row>
    <row r="1205" customFormat="false" ht="15" hidden="false" customHeight="false" outlineLevel="0" collapsed="false">
      <c r="A1205" s="3" t="s">
        <v>233</v>
      </c>
      <c r="B1205" s="4" t="s">
        <v>47</v>
      </c>
      <c r="C1205" s="4" t="n">
        <v>7</v>
      </c>
      <c r="D1205" s="4" t="s">
        <v>58</v>
      </c>
      <c r="E1205" s="3" t="s">
        <v>244</v>
      </c>
      <c r="F1205" s="4" t="str">
        <f aca="false">IF(I1205&gt;J1205,"Y","N")</f>
        <v>N</v>
      </c>
      <c r="G1205" s="3" t="s">
        <v>239</v>
      </c>
      <c r="H1205" s="3" t="s">
        <v>39</v>
      </c>
      <c r="I1205" s="4" t="n">
        <v>7</v>
      </c>
      <c r="J1205" s="4" t="n">
        <f aca="false">LEN(E1205)-LEN(SUBSTITUTE(E1205,",",""))+1</f>
        <v>7</v>
      </c>
      <c r="K1205" s="3" t="str">
        <f aca="false">IFERROR(INDEX('Teacher Lookup'!$B$2:$B$200,MATCH(A1205,'Teacher Lookup'!$A$2:$A$200,0)),"")</f>
        <v>IP Ariel</v>
      </c>
    </row>
    <row r="1206" customFormat="false" ht="15" hidden="false" customHeight="false" outlineLevel="0" collapsed="false">
      <c r="A1206" s="3" t="s">
        <v>233</v>
      </c>
      <c r="B1206" s="4" t="s">
        <v>47</v>
      </c>
      <c r="C1206" s="4" t="n">
        <v>7</v>
      </c>
      <c r="D1206" s="4" t="s">
        <v>59</v>
      </c>
      <c r="E1206" s="3" t="s">
        <v>244</v>
      </c>
      <c r="F1206" s="4" t="str">
        <f aca="false">IF(I1206&gt;J1206,"Y","N")</f>
        <v>N</v>
      </c>
      <c r="G1206" s="3" t="s">
        <v>239</v>
      </c>
      <c r="H1206" s="3" t="s">
        <v>39</v>
      </c>
      <c r="I1206" s="4" t="n">
        <v>7</v>
      </c>
      <c r="J1206" s="4" t="n">
        <f aca="false">LEN(E1206)-LEN(SUBSTITUTE(E1206,",",""))+1</f>
        <v>7</v>
      </c>
      <c r="K1206" s="3" t="str">
        <f aca="false">IFERROR(INDEX('Teacher Lookup'!$B$2:$B$200,MATCH(A1206,'Teacher Lookup'!$A$2:$A$200,0)),"")</f>
        <v>IP Ariel</v>
      </c>
    </row>
    <row r="1207" customFormat="false" ht="15" hidden="false" customHeight="false" outlineLevel="0" collapsed="false">
      <c r="A1207" s="3" t="s">
        <v>233</v>
      </c>
      <c r="B1207" s="4" t="s">
        <v>50</v>
      </c>
      <c r="C1207" s="4" t="n">
        <v>1</v>
      </c>
      <c r="D1207" s="4" t="s">
        <v>29</v>
      </c>
      <c r="E1207" s="3" t="s">
        <v>245</v>
      </c>
      <c r="F1207" s="4" t="str">
        <f aca="false">IF(I1207&gt;J1207,"Y","N")</f>
        <v>N</v>
      </c>
      <c r="G1207" s="3" t="s">
        <v>237</v>
      </c>
      <c r="H1207" s="3" t="s">
        <v>16</v>
      </c>
      <c r="I1207" s="4" t="n">
        <v>3</v>
      </c>
      <c r="J1207" s="4" t="n">
        <f aca="false">LEN(E1207)-LEN(SUBSTITUTE(E1207,",",""))+1</f>
        <v>3</v>
      </c>
      <c r="K1207" s="3" t="str">
        <f aca="false">IFERROR(INDEX('Teacher Lookup'!$B$2:$B$200,MATCH(A1207,'Teacher Lookup'!$A$2:$A$200,0)),"")</f>
        <v>IP Ariel</v>
      </c>
    </row>
    <row r="1208" customFormat="false" ht="15" hidden="false" customHeight="false" outlineLevel="0" collapsed="false">
      <c r="A1208" s="3" t="s">
        <v>233</v>
      </c>
      <c r="B1208" s="4" t="s">
        <v>50</v>
      </c>
      <c r="C1208" s="4" t="n">
        <v>1</v>
      </c>
      <c r="D1208" s="4" t="s">
        <v>30</v>
      </c>
      <c r="E1208" s="3" t="s">
        <v>245</v>
      </c>
      <c r="F1208" s="4" t="str">
        <f aca="false">IF(I1208&gt;J1208,"Y","N")</f>
        <v>N</v>
      </c>
      <c r="G1208" s="3" t="s">
        <v>237</v>
      </c>
      <c r="H1208" s="3" t="s">
        <v>16</v>
      </c>
      <c r="I1208" s="4" t="n">
        <v>3</v>
      </c>
      <c r="J1208" s="4" t="n">
        <f aca="false">LEN(E1208)-LEN(SUBSTITUTE(E1208,",",""))+1</f>
        <v>3</v>
      </c>
      <c r="K1208" s="3" t="str">
        <f aca="false">IFERROR(INDEX('Teacher Lookup'!$B$2:$B$200,MATCH(A1208,'Teacher Lookup'!$A$2:$A$200,0)),"")</f>
        <v>IP Ariel</v>
      </c>
    </row>
    <row r="1209" customFormat="false" ht="15" hidden="false" customHeight="false" outlineLevel="0" collapsed="false">
      <c r="A1209" s="3" t="s">
        <v>233</v>
      </c>
      <c r="B1209" s="4" t="s">
        <v>50</v>
      </c>
      <c r="C1209" s="4" t="n">
        <v>3</v>
      </c>
      <c r="D1209" s="4" t="s">
        <v>52</v>
      </c>
      <c r="E1209" s="3" t="s">
        <v>115</v>
      </c>
      <c r="F1209" s="4" t="str">
        <f aca="false">IF(I1209&gt;J1209,"Y","N")</f>
        <v>Y</v>
      </c>
      <c r="G1209" s="3" t="s">
        <v>101</v>
      </c>
      <c r="H1209" s="3" t="s">
        <v>26</v>
      </c>
      <c r="I1209" s="4" t="n">
        <v>9</v>
      </c>
      <c r="J1209" s="4" t="n">
        <f aca="false">LEN(E1209)-LEN(SUBSTITUTE(E1209,",",""))+1</f>
        <v>8</v>
      </c>
      <c r="K1209" s="3" t="str">
        <f aca="false">IFERROR(INDEX('Teacher Lookup'!$B$2:$B$200,MATCH(A1209,'Teacher Lookup'!$A$2:$A$200,0)),"")</f>
        <v>IP Ariel</v>
      </c>
    </row>
    <row r="1210" customFormat="false" ht="15" hidden="false" customHeight="false" outlineLevel="0" collapsed="false">
      <c r="A1210" s="3" t="s">
        <v>233</v>
      </c>
      <c r="B1210" s="4" t="s">
        <v>50</v>
      </c>
      <c r="C1210" s="4" t="n">
        <v>3</v>
      </c>
      <c r="D1210" s="4" t="s">
        <v>55</v>
      </c>
      <c r="E1210" s="3" t="s">
        <v>115</v>
      </c>
      <c r="F1210" s="4" t="str">
        <f aca="false">IF(I1210&gt;J1210,"Y","N")</f>
        <v>Y</v>
      </c>
      <c r="G1210" s="3" t="s">
        <v>101</v>
      </c>
      <c r="H1210" s="3" t="s">
        <v>26</v>
      </c>
      <c r="I1210" s="4" t="n">
        <v>9</v>
      </c>
      <c r="J1210" s="4" t="n">
        <f aca="false">LEN(E1210)-LEN(SUBSTITUTE(E1210,",",""))+1</f>
        <v>8</v>
      </c>
      <c r="K1210" s="3" t="str">
        <f aca="false">IFERROR(INDEX('Teacher Lookup'!$B$2:$B$200,MATCH(A1210,'Teacher Lookup'!$A$2:$A$200,0)),"")</f>
        <v>IP Ariel</v>
      </c>
    </row>
    <row r="1211" customFormat="false" ht="15" hidden="false" customHeight="false" outlineLevel="0" collapsed="false">
      <c r="A1211" s="3" t="s">
        <v>233</v>
      </c>
      <c r="B1211" s="4" t="s">
        <v>50</v>
      </c>
      <c r="C1211" s="4" t="n">
        <v>3</v>
      </c>
      <c r="D1211" s="4" t="s">
        <v>56</v>
      </c>
      <c r="E1211" s="3" t="s">
        <v>115</v>
      </c>
      <c r="F1211" s="4" t="str">
        <f aca="false">IF(I1211&gt;J1211,"Y","N")</f>
        <v>Y</v>
      </c>
      <c r="G1211" s="3" t="s">
        <v>101</v>
      </c>
      <c r="H1211" s="3" t="s">
        <v>26</v>
      </c>
      <c r="I1211" s="4" t="n">
        <v>9</v>
      </c>
      <c r="J1211" s="4" t="n">
        <f aca="false">LEN(E1211)-LEN(SUBSTITUTE(E1211,",",""))+1</f>
        <v>8</v>
      </c>
      <c r="K1211" s="3" t="str">
        <f aca="false">IFERROR(INDEX('Teacher Lookup'!$B$2:$B$200,MATCH(A1211,'Teacher Lookup'!$A$2:$A$200,0)),"")</f>
        <v>IP Ariel</v>
      </c>
    </row>
    <row r="1212" customFormat="false" ht="15" hidden="false" customHeight="false" outlineLevel="0" collapsed="false">
      <c r="A1212" s="3" t="s">
        <v>233</v>
      </c>
      <c r="B1212" s="4" t="s">
        <v>50</v>
      </c>
      <c r="C1212" s="4" t="n">
        <v>3</v>
      </c>
      <c r="D1212" s="4" t="s">
        <v>57</v>
      </c>
      <c r="E1212" s="3" t="s">
        <v>115</v>
      </c>
      <c r="F1212" s="4" t="str">
        <f aca="false">IF(I1212&gt;J1212,"Y","N")</f>
        <v>Y</v>
      </c>
      <c r="G1212" s="3" t="s">
        <v>101</v>
      </c>
      <c r="H1212" s="3" t="s">
        <v>26</v>
      </c>
      <c r="I1212" s="4" t="n">
        <v>9</v>
      </c>
      <c r="J1212" s="4" t="n">
        <f aca="false">LEN(E1212)-LEN(SUBSTITUTE(E1212,",",""))+1</f>
        <v>8</v>
      </c>
      <c r="K1212" s="3" t="str">
        <f aca="false">IFERROR(INDEX('Teacher Lookup'!$B$2:$B$200,MATCH(A1212,'Teacher Lookup'!$A$2:$A$200,0)),"")</f>
        <v>IP Ariel</v>
      </c>
    </row>
    <row r="1213" customFormat="false" ht="15" hidden="false" customHeight="false" outlineLevel="0" collapsed="false">
      <c r="A1213" s="3" t="s">
        <v>233</v>
      </c>
      <c r="B1213" s="4" t="s">
        <v>50</v>
      </c>
      <c r="C1213" s="4" t="n">
        <v>3</v>
      </c>
      <c r="D1213" s="4" t="s">
        <v>58</v>
      </c>
      <c r="E1213" s="3" t="s">
        <v>115</v>
      </c>
      <c r="F1213" s="4" t="str">
        <f aca="false">IF(I1213&gt;J1213,"Y","N")</f>
        <v>Y</v>
      </c>
      <c r="G1213" s="3" t="s">
        <v>101</v>
      </c>
      <c r="H1213" s="3" t="s">
        <v>26</v>
      </c>
      <c r="I1213" s="4" t="n">
        <v>9</v>
      </c>
      <c r="J1213" s="4" t="n">
        <f aca="false">LEN(E1213)-LEN(SUBSTITUTE(E1213,",",""))+1</f>
        <v>8</v>
      </c>
      <c r="K1213" s="3" t="str">
        <f aca="false">IFERROR(INDEX('Teacher Lookup'!$B$2:$B$200,MATCH(A1213,'Teacher Lookup'!$A$2:$A$200,0)),"")</f>
        <v>IP Ariel</v>
      </c>
    </row>
    <row r="1214" customFormat="false" ht="15" hidden="false" customHeight="false" outlineLevel="0" collapsed="false">
      <c r="A1214" s="3" t="s">
        <v>233</v>
      </c>
      <c r="B1214" s="4" t="s">
        <v>50</v>
      </c>
      <c r="C1214" s="4" t="n">
        <v>3</v>
      </c>
      <c r="D1214" s="4" t="s">
        <v>59</v>
      </c>
      <c r="E1214" s="3" t="s">
        <v>115</v>
      </c>
      <c r="F1214" s="4" t="str">
        <f aca="false">IF(I1214&gt;J1214,"Y","N")</f>
        <v>Y</v>
      </c>
      <c r="G1214" s="3" t="s">
        <v>101</v>
      </c>
      <c r="H1214" s="3" t="s">
        <v>26</v>
      </c>
      <c r="I1214" s="4" t="n">
        <v>9</v>
      </c>
      <c r="J1214" s="4" t="n">
        <f aca="false">LEN(E1214)-LEN(SUBSTITUTE(E1214,",",""))+1</f>
        <v>8</v>
      </c>
      <c r="K1214" s="3" t="str">
        <f aca="false">IFERROR(INDEX('Teacher Lookup'!$B$2:$B$200,MATCH(A1214,'Teacher Lookup'!$A$2:$A$200,0)),"")</f>
        <v>IP Ariel</v>
      </c>
    </row>
    <row r="1215" customFormat="false" ht="15" hidden="false" customHeight="false" outlineLevel="0" collapsed="false">
      <c r="A1215" s="3" t="s">
        <v>233</v>
      </c>
      <c r="B1215" s="4" t="s">
        <v>50</v>
      </c>
      <c r="C1215" s="4" t="n">
        <v>7</v>
      </c>
      <c r="D1215" s="4" t="s">
        <v>79</v>
      </c>
      <c r="E1215" s="3" t="s">
        <v>246</v>
      </c>
      <c r="F1215" s="4" t="str">
        <f aca="false">IF(I1215&gt;J1215,"Y","N")</f>
        <v>N</v>
      </c>
      <c r="G1215" s="3" t="s">
        <v>235</v>
      </c>
      <c r="H1215" s="3" t="s">
        <v>39</v>
      </c>
      <c r="I1215" s="4" t="n">
        <v>1</v>
      </c>
      <c r="J1215" s="4" t="n">
        <f aca="false">LEN(E1215)-LEN(SUBSTITUTE(E1215,",",""))+1</f>
        <v>1</v>
      </c>
      <c r="K1215" s="3" t="str">
        <f aca="false">IFERROR(INDEX('Teacher Lookup'!$B$2:$B$200,MATCH(A1215,'Teacher Lookup'!$A$2:$A$200,0)),"")</f>
        <v>IP Ariel</v>
      </c>
    </row>
    <row r="1216" customFormat="false" ht="15" hidden="false" customHeight="false" outlineLevel="0" collapsed="false">
      <c r="A1216" s="3" t="s">
        <v>233</v>
      </c>
      <c r="B1216" s="4" t="s">
        <v>60</v>
      </c>
      <c r="C1216" s="4" t="n">
        <v>1</v>
      </c>
      <c r="D1216" s="4" t="s">
        <v>29</v>
      </c>
      <c r="E1216" s="3" t="s">
        <v>247</v>
      </c>
      <c r="F1216" s="4" t="str">
        <f aca="false">IF(I1216&gt;J1216,"Y","N")</f>
        <v>N</v>
      </c>
      <c r="G1216" s="3" t="s">
        <v>237</v>
      </c>
      <c r="H1216" s="3" t="s">
        <v>16</v>
      </c>
      <c r="I1216" s="4" t="n">
        <v>3</v>
      </c>
      <c r="J1216" s="4" t="n">
        <f aca="false">LEN(E1216)-LEN(SUBSTITUTE(E1216,",",""))+1</f>
        <v>3</v>
      </c>
      <c r="K1216" s="3" t="str">
        <f aca="false">IFERROR(INDEX('Teacher Lookup'!$B$2:$B$200,MATCH(A1216,'Teacher Lookup'!$A$2:$A$200,0)),"")</f>
        <v>IP Ariel</v>
      </c>
    </row>
    <row r="1217" customFormat="false" ht="15" hidden="false" customHeight="false" outlineLevel="0" collapsed="false">
      <c r="A1217" s="3" t="s">
        <v>233</v>
      </c>
      <c r="B1217" s="4" t="s">
        <v>60</v>
      </c>
      <c r="C1217" s="4" t="n">
        <v>1</v>
      </c>
      <c r="D1217" s="4" t="s">
        <v>30</v>
      </c>
      <c r="E1217" s="3" t="s">
        <v>247</v>
      </c>
      <c r="F1217" s="4" t="str">
        <f aca="false">IF(I1217&gt;J1217,"Y","N")</f>
        <v>N</v>
      </c>
      <c r="G1217" s="3" t="s">
        <v>237</v>
      </c>
      <c r="H1217" s="3" t="s">
        <v>16</v>
      </c>
      <c r="I1217" s="4" t="n">
        <v>3</v>
      </c>
      <c r="J1217" s="4" t="n">
        <f aca="false">LEN(E1217)-LEN(SUBSTITUTE(E1217,",",""))+1</f>
        <v>3</v>
      </c>
      <c r="K1217" s="3" t="str">
        <f aca="false">IFERROR(INDEX('Teacher Lookup'!$B$2:$B$200,MATCH(A1217,'Teacher Lookup'!$A$2:$A$200,0)),"")</f>
        <v>IP Ariel</v>
      </c>
    </row>
    <row r="1218" customFormat="false" ht="15" hidden="false" customHeight="false" outlineLevel="0" collapsed="false">
      <c r="A1218" s="3" t="s">
        <v>233</v>
      </c>
      <c r="B1218" s="4" t="s">
        <v>60</v>
      </c>
      <c r="C1218" s="4" t="n">
        <v>2</v>
      </c>
      <c r="D1218" s="4" t="s">
        <v>52</v>
      </c>
      <c r="E1218" s="3" t="s">
        <v>248</v>
      </c>
      <c r="F1218" s="4" t="str">
        <f aca="false">IF(I1218&gt;J1218,"Y","N")</f>
        <v>N</v>
      </c>
      <c r="G1218" s="3" t="s">
        <v>239</v>
      </c>
      <c r="H1218" s="3" t="s">
        <v>21</v>
      </c>
      <c r="I1218" s="4" t="n">
        <v>7</v>
      </c>
      <c r="J1218" s="4" t="n">
        <f aca="false">LEN(E1218)-LEN(SUBSTITUTE(E1218,",",""))+1</f>
        <v>7</v>
      </c>
      <c r="K1218" s="3" t="str">
        <f aca="false">IFERROR(INDEX('Teacher Lookup'!$B$2:$B$200,MATCH(A1218,'Teacher Lookup'!$A$2:$A$200,0)),"")</f>
        <v>IP Ariel</v>
      </c>
    </row>
    <row r="1219" customFormat="false" ht="15" hidden="false" customHeight="false" outlineLevel="0" collapsed="false">
      <c r="A1219" s="3" t="s">
        <v>233</v>
      </c>
      <c r="B1219" s="4" t="s">
        <v>60</v>
      </c>
      <c r="C1219" s="4" t="n">
        <v>2</v>
      </c>
      <c r="D1219" s="4" t="s">
        <v>55</v>
      </c>
      <c r="E1219" s="3" t="s">
        <v>248</v>
      </c>
      <c r="F1219" s="4" t="str">
        <f aca="false">IF(I1219&gt;J1219,"Y","N")</f>
        <v>N</v>
      </c>
      <c r="G1219" s="3" t="s">
        <v>239</v>
      </c>
      <c r="H1219" s="3" t="s">
        <v>21</v>
      </c>
      <c r="I1219" s="4" t="n">
        <v>7</v>
      </c>
      <c r="J1219" s="4" t="n">
        <f aca="false">LEN(E1219)-LEN(SUBSTITUTE(E1219,",",""))+1</f>
        <v>7</v>
      </c>
      <c r="K1219" s="3" t="str">
        <f aca="false">IFERROR(INDEX('Teacher Lookup'!$B$2:$B$200,MATCH(A1219,'Teacher Lookup'!$A$2:$A$200,0)),"")</f>
        <v>IP Ariel</v>
      </c>
    </row>
    <row r="1220" customFormat="false" ht="15" hidden="false" customHeight="false" outlineLevel="0" collapsed="false">
      <c r="A1220" s="3" t="s">
        <v>233</v>
      </c>
      <c r="B1220" s="4" t="s">
        <v>60</v>
      </c>
      <c r="C1220" s="4" t="n">
        <v>2</v>
      </c>
      <c r="D1220" s="4" t="s">
        <v>56</v>
      </c>
      <c r="E1220" s="3" t="s">
        <v>248</v>
      </c>
      <c r="F1220" s="4" t="str">
        <f aca="false">IF(I1220&gt;J1220,"Y","N")</f>
        <v>N</v>
      </c>
      <c r="G1220" s="3" t="s">
        <v>239</v>
      </c>
      <c r="H1220" s="3" t="s">
        <v>21</v>
      </c>
      <c r="I1220" s="4" t="n">
        <v>7</v>
      </c>
      <c r="J1220" s="4" t="n">
        <f aca="false">LEN(E1220)-LEN(SUBSTITUTE(E1220,",",""))+1</f>
        <v>7</v>
      </c>
      <c r="K1220" s="3" t="str">
        <f aca="false">IFERROR(INDEX('Teacher Lookup'!$B$2:$B$200,MATCH(A1220,'Teacher Lookup'!$A$2:$A$200,0)),"")</f>
        <v>IP Ariel</v>
      </c>
    </row>
    <row r="1221" customFormat="false" ht="15" hidden="false" customHeight="false" outlineLevel="0" collapsed="false">
      <c r="A1221" s="3" t="s">
        <v>233</v>
      </c>
      <c r="B1221" s="4" t="s">
        <v>60</v>
      </c>
      <c r="C1221" s="4" t="n">
        <v>2</v>
      </c>
      <c r="D1221" s="4" t="s">
        <v>57</v>
      </c>
      <c r="E1221" s="3" t="s">
        <v>248</v>
      </c>
      <c r="F1221" s="4" t="str">
        <f aca="false">IF(I1221&gt;J1221,"Y","N")</f>
        <v>N</v>
      </c>
      <c r="G1221" s="3" t="s">
        <v>239</v>
      </c>
      <c r="H1221" s="3" t="s">
        <v>21</v>
      </c>
      <c r="I1221" s="4" t="n">
        <v>7</v>
      </c>
      <c r="J1221" s="4" t="n">
        <f aca="false">LEN(E1221)-LEN(SUBSTITUTE(E1221,",",""))+1</f>
        <v>7</v>
      </c>
      <c r="K1221" s="3" t="str">
        <f aca="false">IFERROR(INDEX('Teacher Lookup'!$B$2:$B$200,MATCH(A1221,'Teacher Lookup'!$A$2:$A$200,0)),"")</f>
        <v>IP Ariel</v>
      </c>
    </row>
    <row r="1222" customFormat="false" ht="15" hidden="false" customHeight="false" outlineLevel="0" collapsed="false">
      <c r="A1222" s="3" t="s">
        <v>233</v>
      </c>
      <c r="B1222" s="4" t="s">
        <v>60</v>
      </c>
      <c r="C1222" s="4" t="n">
        <v>2</v>
      </c>
      <c r="D1222" s="4" t="s">
        <v>58</v>
      </c>
      <c r="E1222" s="3" t="s">
        <v>248</v>
      </c>
      <c r="F1222" s="4" t="str">
        <f aca="false">IF(I1222&gt;J1222,"Y","N")</f>
        <v>N</v>
      </c>
      <c r="G1222" s="3" t="s">
        <v>239</v>
      </c>
      <c r="H1222" s="3" t="s">
        <v>21</v>
      </c>
      <c r="I1222" s="4" t="n">
        <v>7</v>
      </c>
      <c r="J1222" s="4" t="n">
        <f aca="false">LEN(E1222)-LEN(SUBSTITUTE(E1222,",",""))+1</f>
        <v>7</v>
      </c>
      <c r="K1222" s="3" t="str">
        <f aca="false">IFERROR(INDEX('Teacher Lookup'!$B$2:$B$200,MATCH(A1222,'Teacher Lookup'!$A$2:$A$200,0)),"")</f>
        <v>IP Ariel</v>
      </c>
    </row>
    <row r="1223" customFormat="false" ht="15" hidden="false" customHeight="false" outlineLevel="0" collapsed="false">
      <c r="A1223" s="3" t="s">
        <v>233</v>
      </c>
      <c r="B1223" s="4" t="s">
        <v>60</v>
      </c>
      <c r="C1223" s="4" t="n">
        <v>2</v>
      </c>
      <c r="D1223" s="4" t="s">
        <v>59</v>
      </c>
      <c r="E1223" s="3" t="s">
        <v>248</v>
      </c>
      <c r="F1223" s="4" t="str">
        <f aca="false">IF(I1223&gt;J1223,"Y","N")</f>
        <v>N</v>
      </c>
      <c r="G1223" s="3" t="s">
        <v>239</v>
      </c>
      <c r="H1223" s="3" t="s">
        <v>21</v>
      </c>
      <c r="I1223" s="4" t="n">
        <v>7</v>
      </c>
      <c r="J1223" s="4" t="n">
        <f aca="false">LEN(E1223)-LEN(SUBSTITUTE(E1223,",",""))+1</f>
        <v>7</v>
      </c>
      <c r="K1223" s="3" t="str">
        <f aca="false">IFERROR(INDEX('Teacher Lookup'!$B$2:$B$200,MATCH(A1223,'Teacher Lookup'!$A$2:$A$200,0)),"")</f>
        <v>IP Ariel</v>
      </c>
    </row>
    <row r="1224" customFormat="false" ht="15" hidden="false" customHeight="false" outlineLevel="0" collapsed="false">
      <c r="A1224" s="3" t="s">
        <v>233</v>
      </c>
      <c r="B1224" s="4" t="s">
        <v>60</v>
      </c>
      <c r="C1224" s="4" t="n">
        <v>4</v>
      </c>
      <c r="D1224" s="4" t="s">
        <v>52</v>
      </c>
      <c r="E1224" s="3" t="s">
        <v>119</v>
      </c>
      <c r="F1224" s="4" t="str">
        <f aca="false">IF(I1224&gt;J1224,"Y","N")</f>
        <v>N</v>
      </c>
      <c r="G1224" s="3" t="s">
        <v>101</v>
      </c>
      <c r="H1224" s="3" t="s">
        <v>34</v>
      </c>
      <c r="I1224" s="4" t="n">
        <v>8</v>
      </c>
      <c r="J1224" s="4" t="n">
        <f aca="false">LEN(E1224)-LEN(SUBSTITUTE(E1224,",",""))+1</f>
        <v>8</v>
      </c>
      <c r="K1224" s="3" t="str">
        <f aca="false">IFERROR(INDEX('Teacher Lookup'!$B$2:$B$200,MATCH(A1224,'Teacher Lookup'!$A$2:$A$200,0)),"")</f>
        <v>IP Ariel</v>
      </c>
    </row>
    <row r="1225" customFormat="false" ht="15" hidden="false" customHeight="false" outlineLevel="0" collapsed="false">
      <c r="A1225" s="3" t="s">
        <v>233</v>
      </c>
      <c r="B1225" s="4" t="s">
        <v>60</v>
      </c>
      <c r="C1225" s="4" t="n">
        <v>4</v>
      </c>
      <c r="D1225" s="4" t="s">
        <v>55</v>
      </c>
      <c r="E1225" s="3" t="s">
        <v>119</v>
      </c>
      <c r="F1225" s="4" t="str">
        <f aca="false">IF(I1225&gt;J1225,"Y","N")</f>
        <v>N</v>
      </c>
      <c r="G1225" s="3" t="s">
        <v>101</v>
      </c>
      <c r="H1225" s="3" t="s">
        <v>34</v>
      </c>
      <c r="I1225" s="4" t="n">
        <v>8</v>
      </c>
      <c r="J1225" s="4" t="n">
        <f aca="false">LEN(E1225)-LEN(SUBSTITUTE(E1225,",",""))+1</f>
        <v>8</v>
      </c>
      <c r="K1225" s="3" t="str">
        <f aca="false">IFERROR(INDEX('Teacher Lookup'!$B$2:$B$200,MATCH(A1225,'Teacher Lookup'!$A$2:$A$200,0)),"")</f>
        <v>IP Ariel</v>
      </c>
    </row>
    <row r="1226" customFormat="false" ht="15" hidden="false" customHeight="false" outlineLevel="0" collapsed="false">
      <c r="A1226" s="3" t="s">
        <v>233</v>
      </c>
      <c r="B1226" s="4" t="s">
        <v>60</v>
      </c>
      <c r="C1226" s="4" t="n">
        <v>4</v>
      </c>
      <c r="D1226" s="4" t="s">
        <v>56</v>
      </c>
      <c r="E1226" s="3" t="s">
        <v>119</v>
      </c>
      <c r="F1226" s="4" t="str">
        <f aca="false">IF(I1226&gt;J1226,"Y","N")</f>
        <v>N</v>
      </c>
      <c r="G1226" s="3" t="s">
        <v>101</v>
      </c>
      <c r="H1226" s="3" t="s">
        <v>34</v>
      </c>
      <c r="I1226" s="4" t="n">
        <v>8</v>
      </c>
      <c r="J1226" s="4" t="n">
        <f aca="false">LEN(E1226)-LEN(SUBSTITUTE(E1226,",",""))+1</f>
        <v>8</v>
      </c>
      <c r="K1226" s="3" t="str">
        <f aca="false">IFERROR(INDEX('Teacher Lookup'!$B$2:$B$200,MATCH(A1226,'Teacher Lookup'!$A$2:$A$200,0)),"")</f>
        <v>IP Ariel</v>
      </c>
    </row>
    <row r="1227" customFormat="false" ht="15" hidden="false" customHeight="false" outlineLevel="0" collapsed="false">
      <c r="A1227" s="3" t="s">
        <v>233</v>
      </c>
      <c r="B1227" s="4" t="s">
        <v>60</v>
      </c>
      <c r="C1227" s="4" t="n">
        <v>4</v>
      </c>
      <c r="D1227" s="4" t="s">
        <v>57</v>
      </c>
      <c r="E1227" s="3" t="s">
        <v>119</v>
      </c>
      <c r="F1227" s="4" t="str">
        <f aca="false">IF(I1227&gt;J1227,"Y","N")</f>
        <v>N</v>
      </c>
      <c r="G1227" s="3" t="s">
        <v>101</v>
      </c>
      <c r="H1227" s="3" t="s">
        <v>34</v>
      </c>
      <c r="I1227" s="4" t="n">
        <v>8</v>
      </c>
      <c r="J1227" s="4" t="n">
        <f aca="false">LEN(E1227)-LEN(SUBSTITUTE(E1227,",",""))+1</f>
        <v>8</v>
      </c>
      <c r="K1227" s="3" t="str">
        <f aca="false">IFERROR(INDEX('Teacher Lookup'!$B$2:$B$200,MATCH(A1227,'Teacher Lookup'!$A$2:$A$200,0)),"")</f>
        <v>IP Ariel</v>
      </c>
    </row>
    <row r="1228" customFormat="false" ht="15" hidden="false" customHeight="false" outlineLevel="0" collapsed="false">
      <c r="A1228" s="3" t="s">
        <v>233</v>
      </c>
      <c r="B1228" s="4" t="s">
        <v>60</v>
      </c>
      <c r="C1228" s="4" t="n">
        <v>4</v>
      </c>
      <c r="D1228" s="4" t="s">
        <v>58</v>
      </c>
      <c r="E1228" s="3" t="s">
        <v>119</v>
      </c>
      <c r="F1228" s="4" t="str">
        <f aca="false">IF(I1228&gt;J1228,"Y","N")</f>
        <v>N</v>
      </c>
      <c r="G1228" s="3" t="s">
        <v>101</v>
      </c>
      <c r="H1228" s="3" t="s">
        <v>34</v>
      </c>
      <c r="I1228" s="4" t="n">
        <v>8</v>
      </c>
      <c r="J1228" s="4" t="n">
        <f aca="false">LEN(E1228)-LEN(SUBSTITUTE(E1228,",",""))+1</f>
        <v>8</v>
      </c>
      <c r="K1228" s="3" t="str">
        <f aca="false">IFERROR(INDEX('Teacher Lookup'!$B$2:$B$200,MATCH(A1228,'Teacher Lookup'!$A$2:$A$200,0)),"")</f>
        <v>IP Ariel</v>
      </c>
    </row>
    <row r="1229" customFormat="false" ht="15" hidden="false" customHeight="false" outlineLevel="0" collapsed="false">
      <c r="A1229" s="3" t="s">
        <v>233</v>
      </c>
      <c r="B1229" s="4" t="s">
        <v>60</v>
      </c>
      <c r="C1229" s="4" t="n">
        <v>4</v>
      </c>
      <c r="D1229" s="4" t="s">
        <v>59</v>
      </c>
      <c r="E1229" s="3" t="s">
        <v>119</v>
      </c>
      <c r="F1229" s="4" t="str">
        <f aca="false">IF(I1229&gt;J1229,"Y","N")</f>
        <v>N</v>
      </c>
      <c r="G1229" s="3" t="s">
        <v>101</v>
      </c>
      <c r="H1229" s="3" t="s">
        <v>34</v>
      </c>
      <c r="I1229" s="4" t="n">
        <v>8</v>
      </c>
      <c r="J1229" s="4" t="n">
        <f aca="false">LEN(E1229)-LEN(SUBSTITUTE(E1229,",",""))+1</f>
        <v>8</v>
      </c>
      <c r="K1229" s="3" t="str">
        <f aca="false">IFERROR(INDEX('Teacher Lookup'!$B$2:$B$200,MATCH(A1229,'Teacher Lookup'!$A$2:$A$200,0)),"")</f>
        <v>IP Ariel</v>
      </c>
    </row>
    <row r="1230" customFormat="false" ht="15" hidden="false" customHeight="false" outlineLevel="0" collapsed="false">
      <c r="A1230" s="3" t="s">
        <v>233</v>
      </c>
      <c r="B1230" s="4" t="s">
        <v>60</v>
      </c>
      <c r="C1230" s="4" t="n">
        <v>5</v>
      </c>
      <c r="D1230" s="4" t="s">
        <v>24</v>
      </c>
      <c r="E1230" s="3" t="s">
        <v>131</v>
      </c>
      <c r="F1230" s="4" t="str">
        <f aca="false">IF(I1230&gt;J1230,"Y","N")</f>
        <v>Y</v>
      </c>
      <c r="G1230" s="3" t="s">
        <v>36</v>
      </c>
      <c r="H1230" s="3" t="s">
        <v>37</v>
      </c>
      <c r="I1230" s="4" t="n">
        <v>15</v>
      </c>
      <c r="J1230" s="4" t="n">
        <f aca="false">LEN(E1230)-LEN(SUBSTITUTE(E1230,",",""))+1</f>
        <v>7</v>
      </c>
      <c r="K1230" s="3" t="str">
        <f aca="false">IFERROR(INDEX('Teacher Lookup'!$B$2:$B$200,MATCH(A1230,'Teacher Lookup'!$A$2:$A$200,0)),"")</f>
        <v>IP Ariel</v>
      </c>
    </row>
    <row r="1231" customFormat="false" ht="15" hidden="false" customHeight="false" outlineLevel="0" collapsed="false">
      <c r="A1231" s="3" t="s">
        <v>233</v>
      </c>
      <c r="B1231" s="4" t="s">
        <v>60</v>
      </c>
      <c r="C1231" s="4" t="n">
        <v>5</v>
      </c>
      <c r="D1231" s="4" t="s">
        <v>132</v>
      </c>
      <c r="E1231" s="3" t="s">
        <v>131</v>
      </c>
      <c r="F1231" s="4" t="str">
        <f aca="false">IF(I1231&gt;J1231,"Y","N")</f>
        <v>Y</v>
      </c>
      <c r="G1231" s="3" t="s">
        <v>36</v>
      </c>
      <c r="H1231" s="3" t="s">
        <v>37</v>
      </c>
      <c r="I1231" s="4" t="n">
        <v>15</v>
      </c>
      <c r="J1231" s="4" t="n">
        <f aca="false">LEN(E1231)-LEN(SUBSTITUTE(E1231,",",""))+1</f>
        <v>7</v>
      </c>
      <c r="K1231" s="3" t="str">
        <f aca="false">IFERROR(INDEX('Teacher Lookup'!$B$2:$B$200,MATCH(A1231,'Teacher Lookup'!$A$2:$A$200,0)),"")</f>
        <v>IP Ariel</v>
      </c>
    </row>
    <row r="1232" customFormat="false" ht="15" hidden="false" customHeight="false" outlineLevel="0" collapsed="false">
      <c r="A1232" s="3" t="s">
        <v>233</v>
      </c>
      <c r="B1232" s="4" t="s">
        <v>60</v>
      </c>
      <c r="C1232" s="4" t="n">
        <v>5</v>
      </c>
      <c r="D1232" s="4" t="s">
        <v>27</v>
      </c>
      <c r="E1232" s="3" t="s">
        <v>131</v>
      </c>
      <c r="F1232" s="4" t="str">
        <f aca="false">IF(I1232&gt;J1232,"Y","N")</f>
        <v>Y</v>
      </c>
      <c r="G1232" s="3" t="s">
        <v>36</v>
      </c>
      <c r="H1232" s="3" t="s">
        <v>37</v>
      </c>
      <c r="I1232" s="4" t="n">
        <v>15</v>
      </c>
      <c r="J1232" s="4" t="n">
        <f aca="false">LEN(E1232)-LEN(SUBSTITUTE(E1232,",",""))+1</f>
        <v>7</v>
      </c>
      <c r="K1232" s="3" t="str">
        <f aca="false">IFERROR(INDEX('Teacher Lookup'!$B$2:$B$200,MATCH(A1232,'Teacher Lookup'!$A$2:$A$200,0)),"")</f>
        <v>IP Ariel</v>
      </c>
    </row>
    <row r="1233" customFormat="false" ht="15" hidden="false" customHeight="false" outlineLevel="0" collapsed="false">
      <c r="A1233" s="3" t="s">
        <v>233</v>
      </c>
      <c r="B1233" s="4" t="s">
        <v>60</v>
      </c>
      <c r="C1233" s="4" t="n">
        <v>5</v>
      </c>
      <c r="D1233" s="4" t="s">
        <v>28</v>
      </c>
      <c r="E1233" s="3" t="s">
        <v>131</v>
      </c>
      <c r="F1233" s="4" t="str">
        <f aca="false">IF(I1233&gt;J1233,"Y","N")</f>
        <v>Y</v>
      </c>
      <c r="G1233" s="3" t="s">
        <v>36</v>
      </c>
      <c r="H1233" s="3" t="s">
        <v>37</v>
      </c>
      <c r="I1233" s="4" t="n">
        <v>15</v>
      </c>
      <c r="J1233" s="4" t="n">
        <f aca="false">LEN(E1233)-LEN(SUBSTITUTE(E1233,",",""))+1</f>
        <v>7</v>
      </c>
      <c r="K1233" s="3" t="str">
        <f aca="false">IFERROR(INDEX('Teacher Lookup'!$B$2:$B$200,MATCH(A1233,'Teacher Lookup'!$A$2:$A$200,0)),"")</f>
        <v>IP Ariel</v>
      </c>
    </row>
    <row r="1234" customFormat="false" ht="15" hidden="false" customHeight="false" outlineLevel="0" collapsed="false">
      <c r="A1234" s="3" t="s">
        <v>233</v>
      </c>
      <c r="B1234" s="4" t="s">
        <v>60</v>
      </c>
      <c r="C1234" s="4" t="n">
        <v>5</v>
      </c>
      <c r="D1234" s="4" t="s">
        <v>29</v>
      </c>
      <c r="E1234" s="3" t="s">
        <v>131</v>
      </c>
      <c r="F1234" s="4" t="str">
        <f aca="false">IF(I1234&gt;J1234,"Y","N")</f>
        <v>Y</v>
      </c>
      <c r="G1234" s="3" t="s">
        <v>36</v>
      </c>
      <c r="H1234" s="3" t="s">
        <v>37</v>
      </c>
      <c r="I1234" s="4" t="n">
        <v>15</v>
      </c>
      <c r="J1234" s="4" t="n">
        <f aca="false">LEN(E1234)-LEN(SUBSTITUTE(E1234,",",""))+1</f>
        <v>7</v>
      </c>
      <c r="K1234" s="3" t="str">
        <f aca="false">IFERROR(INDEX('Teacher Lookup'!$B$2:$B$200,MATCH(A1234,'Teacher Lookup'!$A$2:$A$200,0)),"")</f>
        <v>IP Ariel</v>
      </c>
    </row>
    <row r="1235" customFormat="false" ht="15" hidden="false" customHeight="false" outlineLevel="0" collapsed="false">
      <c r="A1235" s="3" t="s">
        <v>233</v>
      </c>
      <c r="B1235" s="4" t="s">
        <v>60</v>
      </c>
      <c r="C1235" s="4" t="n">
        <v>5</v>
      </c>
      <c r="D1235" s="4" t="s">
        <v>30</v>
      </c>
      <c r="E1235" s="3" t="s">
        <v>131</v>
      </c>
      <c r="F1235" s="4" t="str">
        <f aca="false">IF(I1235&gt;J1235,"Y","N")</f>
        <v>Y</v>
      </c>
      <c r="G1235" s="3" t="s">
        <v>36</v>
      </c>
      <c r="H1235" s="3" t="s">
        <v>37</v>
      </c>
      <c r="I1235" s="4" t="n">
        <v>15</v>
      </c>
      <c r="J1235" s="4" t="n">
        <f aca="false">LEN(E1235)-LEN(SUBSTITUTE(E1235,",",""))+1</f>
        <v>7</v>
      </c>
      <c r="K1235" s="3" t="str">
        <f aca="false">IFERROR(INDEX('Teacher Lookup'!$B$2:$B$200,MATCH(A1235,'Teacher Lookup'!$A$2:$A$200,0)),"")</f>
        <v>IP Ariel</v>
      </c>
    </row>
    <row r="1236" customFormat="false" ht="15" hidden="false" customHeight="false" outlineLevel="0" collapsed="false">
      <c r="A1236" s="3" t="s">
        <v>233</v>
      </c>
      <c r="B1236" s="4" t="s">
        <v>63</v>
      </c>
      <c r="C1236" s="4" t="n">
        <v>3</v>
      </c>
      <c r="D1236" s="4" t="s">
        <v>29</v>
      </c>
      <c r="E1236" s="3" t="s">
        <v>236</v>
      </c>
      <c r="F1236" s="4" t="str">
        <f aca="false">IF(I1236&gt;J1236,"Y","N")</f>
        <v>N</v>
      </c>
      <c r="G1236" s="3" t="s">
        <v>237</v>
      </c>
      <c r="H1236" s="3" t="s">
        <v>26</v>
      </c>
      <c r="I1236" s="4" t="n">
        <v>3</v>
      </c>
      <c r="J1236" s="4" t="n">
        <f aca="false">LEN(E1236)-LEN(SUBSTITUTE(E1236,",",""))+1</f>
        <v>3</v>
      </c>
      <c r="K1236" s="3" t="str">
        <f aca="false">IFERROR(INDEX('Teacher Lookup'!$B$2:$B$200,MATCH(A1236,'Teacher Lookup'!$A$2:$A$200,0)),"")</f>
        <v>IP Ariel</v>
      </c>
    </row>
    <row r="1237" customFormat="false" ht="15" hidden="false" customHeight="false" outlineLevel="0" collapsed="false">
      <c r="A1237" s="3" t="s">
        <v>233</v>
      </c>
      <c r="B1237" s="4" t="s">
        <v>63</v>
      </c>
      <c r="C1237" s="4" t="n">
        <v>3</v>
      </c>
      <c r="D1237" s="4" t="s">
        <v>30</v>
      </c>
      <c r="E1237" s="3" t="s">
        <v>236</v>
      </c>
      <c r="F1237" s="4" t="str">
        <f aca="false">IF(I1237&gt;J1237,"Y","N")</f>
        <v>N</v>
      </c>
      <c r="G1237" s="3" t="s">
        <v>237</v>
      </c>
      <c r="H1237" s="3" t="s">
        <v>26</v>
      </c>
      <c r="I1237" s="4" t="n">
        <v>3</v>
      </c>
      <c r="J1237" s="4" t="n">
        <f aca="false">LEN(E1237)-LEN(SUBSTITUTE(E1237,",",""))+1</f>
        <v>3</v>
      </c>
      <c r="K1237" s="3" t="str">
        <f aca="false">IFERROR(INDEX('Teacher Lookup'!$B$2:$B$200,MATCH(A1237,'Teacher Lookup'!$A$2:$A$200,0)),"")</f>
        <v>IP Ariel</v>
      </c>
    </row>
    <row r="1238" customFormat="false" ht="15" hidden="false" customHeight="false" outlineLevel="0" collapsed="false">
      <c r="A1238" s="3" t="s">
        <v>233</v>
      </c>
      <c r="B1238" s="4" t="s">
        <v>63</v>
      </c>
      <c r="C1238" s="4" t="n">
        <v>6</v>
      </c>
      <c r="D1238" s="4" t="s">
        <v>52</v>
      </c>
      <c r="E1238" s="3" t="s">
        <v>249</v>
      </c>
      <c r="F1238" s="4" t="str">
        <f aca="false">IF(I1238&gt;J1238,"Y","N")</f>
        <v>N</v>
      </c>
      <c r="G1238" s="3" t="s">
        <v>239</v>
      </c>
      <c r="H1238" s="3" t="s">
        <v>42</v>
      </c>
      <c r="I1238" s="4" t="n">
        <v>7</v>
      </c>
      <c r="J1238" s="4" t="n">
        <f aca="false">LEN(E1238)-LEN(SUBSTITUTE(E1238,",",""))+1</f>
        <v>7</v>
      </c>
      <c r="K1238" s="3" t="str">
        <f aca="false">IFERROR(INDEX('Teacher Lookup'!$B$2:$B$200,MATCH(A1238,'Teacher Lookup'!$A$2:$A$200,0)),"")</f>
        <v>IP Ariel</v>
      </c>
    </row>
    <row r="1239" customFormat="false" ht="15" hidden="false" customHeight="false" outlineLevel="0" collapsed="false">
      <c r="A1239" s="3" t="s">
        <v>233</v>
      </c>
      <c r="B1239" s="4" t="s">
        <v>63</v>
      </c>
      <c r="C1239" s="4" t="n">
        <v>6</v>
      </c>
      <c r="D1239" s="4" t="s">
        <v>55</v>
      </c>
      <c r="E1239" s="3" t="s">
        <v>249</v>
      </c>
      <c r="F1239" s="4" t="str">
        <f aca="false">IF(I1239&gt;J1239,"Y","N")</f>
        <v>N</v>
      </c>
      <c r="G1239" s="3" t="s">
        <v>239</v>
      </c>
      <c r="H1239" s="3" t="s">
        <v>42</v>
      </c>
      <c r="I1239" s="4" t="n">
        <v>7</v>
      </c>
      <c r="J1239" s="4" t="n">
        <f aca="false">LEN(E1239)-LEN(SUBSTITUTE(E1239,",",""))+1</f>
        <v>7</v>
      </c>
      <c r="K1239" s="3" t="str">
        <f aca="false">IFERROR(INDEX('Teacher Lookup'!$B$2:$B$200,MATCH(A1239,'Teacher Lookup'!$A$2:$A$200,0)),"")</f>
        <v>IP Ariel</v>
      </c>
    </row>
    <row r="1240" customFormat="false" ht="15" hidden="false" customHeight="false" outlineLevel="0" collapsed="false">
      <c r="A1240" s="3" t="s">
        <v>233</v>
      </c>
      <c r="B1240" s="4" t="s">
        <v>63</v>
      </c>
      <c r="C1240" s="4" t="n">
        <v>6</v>
      </c>
      <c r="D1240" s="4" t="s">
        <v>56</v>
      </c>
      <c r="E1240" s="3" t="s">
        <v>249</v>
      </c>
      <c r="F1240" s="4" t="str">
        <f aca="false">IF(I1240&gt;J1240,"Y","N")</f>
        <v>N</v>
      </c>
      <c r="G1240" s="3" t="s">
        <v>239</v>
      </c>
      <c r="H1240" s="3" t="s">
        <v>42</v>
      </c>
      <c r="I1240" s="4" t="n">
        <v>7</v>
      </c>
      <c r="J1240" s="4" t="n">
        <f aca="false">LEN(E1240)-LEN(SUBSTITUTE(E1240,",",""))+1</f>
        <v>7</v>
      </c>
      <c r="K1240" s="3" t="str">
        <f aca="false">IFERROR(INDEX('Teacher Lookup'!$B$2:$B$200,MATCH(A1240,'Teacher Lookup'!$A$2:$A$200,0)),"")</f>
        <v>IP Ariel</v>
      </c>
    </row>
    <row r="1241" customFormat="false" ht="15" hidden="false" customHeight="false" outlineLevel="0" collapsed="false">
      <c r="A1241" s="3" t="s">
        <v>233</v>
      </c>
      <c r="B1241" s="4" t="s">
        <v>63</v>
      </c>
      <c r="C1241" s="4" t="n">
        <v>6</v>
      </c>
      <c r="D1241" s="4" t="s">
        <v>57</v>
      </c>
      <c r="E1241" s="3" t="s">
        <v>249</v>
      </c>
      <c r="F1241" s="4" t="str">
        <f aca="false">IF(I1241&gt;J1241,"Y","N")</f>
        <v>N</v>
      </c>
      <c r="G1241" s="3" t="s">
        <v>239</v>
      </c>
      <c r="H1241" s="3" t="s">
        <v>42</v>
      </c>
      <c r="I1241" s="4" t="n">
        <v>7</v>
      </c>
      <c r="J1241" s="4" t="n">
        <f aca="false">LEN(E1241)-LEN(SUBSTITUTE(E1241,",",""))+1</f>
        <v>7</v>
      </c>
      <c r="K1241" s="3" t="str">
        <f aca="false">IFERROR(INDEX('Teacher Lookup'!$B$2:$B$200,MATCH(A1241,'Teacher Lookup'!$A$2:$A$200,0)),"")</f>
        <v>IP Ariel</v>
      </c>
    </row>
    <row r="1242" customFormat="false" ht="15" hidden="false" customHeight="false" outlineLevel="0" collapsed="false">
      <c r="A1242" s="3" t="s">
        <v>233</v>
      </c>
      <c r="B1242" s="4" t="s">
        <v>63</v>
      </c>
      <c r="C1242" s="4" t="n">
        <v>6</v>
      </c>
      <c r="D1242" s="4" t="s">
        <v>58</v>
      </c>
      <c r="E1242" s="3" t="s">
        <v>249</v>
      </c>
      <c r="F1242" s="4" t="str">
        <f aca="false">IF(I1242&gt;J1242,"Y","N")</f>
        <v>N</v>
      </c>
      <c r="G1242" s="3" t="s">
        <v>239</v>
      </c>
      <c r="H1242" s="3" t="s">
        <v>42</v>
      </c>
      <c r="I1242" s="4" t="n">
        <v>7</v>
      </c>
      <c r="J1242" s="4" t="n">
        <f aca="false">LEN(E1242)-LEN(SUBSTITUTE(E1242,",",""))+1</f>
        <v>7</v>
      </c>
      <c r="K1242" s="3" t="str">
        <f aca="false">IFERROR(INDEX('Teacher Lookup'!$B$2:$B$200,MATCH(A1242,'Teacher Lookup'!$A$2:$A$200,0)),"")</f>
        <v>IP Ariel</v>
      </c>
    </row>
    <row r="1243" customFormat="false" ht="15" hidden="false" customHeight="false" outlineLevel="0" collapsed="false">
      <c r="A1243" s="3" t="s">
        <v>233</v>
      </c>
      <c r="B1243" s="4" t="s">
        <v>63</v>
      </c>
      <c r="C1243" s="4" t="n">
        <v>6</v>
      </c>
      <c r="D1243" s="4" t="s">
        <v>59</v>
      </c>
      <c r="E1243" s="3" t="s">
        <v>249</v>
      </c>
      <c r="F1243" s="4" t="str">
        <f aca="false">IF(I1243&gt;J1243,"Y","N")</f>
        <v>N</v>
      </c>
      <c r="G1243" s="3" t="s">
        <v>239</v>
      </c>
      <c r="H1243" s="3" t="s">
        <v>42</v>
      </c>
      <c r="I1243" s="4" t="n">
        <v>7</v>
      </c>
      <c r="J1243" s="4" t="n">
        <f aca="false">LEN(E1243)-LEN(SUBSTITUTE(E1243,",",""))+1</f>
        <v>7</v>
      </c>
      <c r="K1243" s="3" t="str">
        <f aca="false">IFERROR(INDEX('Teacher Lookup'!$B$2:$B$200,MATCH(A1243,'Teacher Lookup'!$A$2:$A$200,0)),"")</f>
        <v>IP Ariel</v>
      </c>
    </row>
    <row r="1244" customFormat="false" ht="15" hidden="false" customHeight="false" outlineLevel="0" collapsed="false">
      <c r="A1244" s="3" t="s">
        <v>233</v>
      </c>
      <c r="B1244" s="4" t="s">
        <v>65</v>
      </c>
      <c r="C1244" s="4" t="n">
        <v>1</v>
      </c>
      <c r="D1244" s="4" t="s">
        <v>29</v>
      </c>
      <c r="E1244" s="3" t="s">
        <v>250</v>
      </c>
      <c r="F1244" s="4" t="str">
        <f aca="false">IF(I1244&gt;J1244,"Y","N")</f>
        <v>N</v>
      </c>
      <c r="G1244" s="3" t="s">
        <v>237</v>
      </c>
      <c r="H1244" s="3" t="s">
        <v>16</v>
      </c>
      <c r="I1244" s="4" t="n">
        <v>3</v>
      </c>
      <c r="J1244" s="4" t="n">
        <f aca="false">LEN(E1244)-LEN(SUBSTITUTE(E1244,",",""))+1</f>
        <v>3</v>
      </c>
      <c r="K1244" s="3" t="str">
        <f aca="false">IFERROR(INDEX('Teacher Lookup'!$B$2:$B$200,MATCH(A1244,'Teacher Lookup'!$A$2:$A$200,0)),"")</f>
        <v>IP Ariel</v>
      </c>
    </row>
    <row r="1245" customFormat="false" ht="15" hidden="false" customHeight="false" outlineLevel="0" collapsed="false">
      <c r="A1245" s="3" t="s">
        <v>233</v>
      </c>
      <c r="B1245" s="4" t="s">
        <v>65</v>
      </c>
      <c r="C1245" s="4" t="n">
        <v>1</v>
      </c>
      <c r="D1245" s="4" t="s">
        <v>30</v>
      </c>
      <c r="E1245" s="3" t="s">
        <v>250</v>
      </c>
      <c r="F1245" s="4" t="str">
        <f aca="false">IF(I1245&gt;J1245,"Y","N")</f>
        <v>N</v>
      </c>
      <c r="G1245" s="3" t="s">
        <v>237</v>
      </c>
      <c r="H1245" s="3" t="s">
        <v>16</v>
      </c>
      <c r="I1245" s="4" t="n">
        <v>3</v>
      </c>
      <c r="J1245" s="4" t="n">
        <f aca="false">LEN(E1245)-LEN(SUBSTITUTE(E1245,",",""))+1</f>
        <v>3</v>
      </c>
      <c r="K1245" s="3" t="str">
        <f aca="false">IFERROR(INDEX('Teacher Lookup'!$B$2:$B$200,MATCH(A1245,'Teacher Lookup'!$A$2:$A$200,0)),"")</f>
        <v>IP Ariel</v>
      </c>
    </row>
    <row r="1246" customFormat="false" ht="15" hidden="false" customHeight="false" outlineLevel="0" collapsed="false">
      <c r="A1246" s="3" t="s">
        <v>233</v>
      </c>
      <c r="B1246" s="4" t="s">
        <v>65</v>
      </c>
      <c r="C1246" s="4" t="n">
        <v>3</v>
      </c>
      <c r="D1246" s="4" t="s">
        <v>52</v>
      </c>
      <c r="E1246" s="3" t="s">
        <v>121</v>
      </c>
      <c r="F1246" s="4" t="str">
        <f aca="false">IF(I1246&gt;J1246,"Y","N")</f>
        <v>Y</v>
      </c>
      <c r="G1246" s="3" t="s">
        <v>101</v>
      </c>
      <c r="H1246" s="3" t="s">
        <v>26</v>
      </c>
      <c r="I1246" s="4" t="n">
        <v>9</v>
      </c>
      <c r="J1246" s="4" t="n">
        <f aca="false">LEN(E1246)-LEN(SUBSTITUTE(E1246,",",""))+1</f>
        <v>8</v>
      </c>
      <c r="K1246" s="3" t="str">
        <f aca="false">IFERROR(INDEX('Teacher Lookup'!$B$2:$B$200,MATCH(A1246,'Teacher Lookup'!$A$2:$A$200,0)),"")</f>
        <v>IP Ariel</v>
      </c>
    </row>
    <row r="1247" customFormat="false" ht="15" hidden="false" customHeight="false" outlineLevel="0" collapsed="false">
      <c r="A1247" s="3" t="s">
        <v>233</v>
      </c>
      <c r="B1247" s="4" t="s">
        <v>65</v>
      </c>
      <c r="C1247" s="4" t="n">
        <v>3</v>
      </c>
      <c r="D1247" s="4" t="s">
        <v>55</v>
      </c>
      <c r="E1247" s="3" t="s">
        <v>121</v>
      </c>
      <c r="F1247" s="4" t="str">
        <f aca="false">IF(I1247&gt;J1247,"Y","N")</f>
        <v>Y</v>
      </c>
      <c r="G1247" s="3" t="s">
        <v>101</v>
      </c>
      <c r="H1247" s="3" t="s">
        <v>26</v>
      </c>
      <c r="I1247" s="4" t="n">
        <v>9</v>
      </c>
      <c r="J1247" s="4" t="n">
        <f aca="false">LEN(E1247)-LEN(SUBSTITUTE(E1247,",",""))+1</f>
        <v>8</v>
      </c>
      <c r="K1247" s="3" t="str">
        <f aca="false">IFERROR(INDEX('Teacher Lookup'!$B$2:$B$200,MATCH(A1247,'Teacher Lookup'!$A$2:$A$200,0)),"")</f>
        <v>IP Ariel</v>
      </c>
    </row>
    <row r="1248" customFormat="false" ht="15" hidden="false" customHeight="false" outlineLevel="0" collapsed="false">
      <c r="A1248" s="3" t="s">
        <v>233</v>
      </c>
      <c r="B1248" s="4" t="s">
        <v>65</v>
      </c>
      <c r="C1248" s="4" t="n">
        <v>3</v>
      </c>
      <c r="D1248" s="4" t="s">
        <v>56</v>
      </c>
      <c r="E1248" s="3" t="s">
        <v>121</v>
      </c>
      <c r="F1248" s="4" t="str">
        <f aca="false">IF(I1248&gt;J1248,"Y","N")</f>
        <v>Y</v>
      </c>
      <c r="G1248" s="3" t="s">
        <v>101</v>
      </c>
      <c r="H1248" s="3" t="s">
        <v>26</v>
      </c>
      <c r="I1248" s="4" t="n">
        <v>9</v>
      </c>
      <c r="J1248" s="4" t="n">
        <f aca="false">LEN(E1248)-LEN(SUBSTITUTE(E1248,",",""))+1</f>
        <v>8</v>
      </c>
      <c r="K1248" s="3" t="str">
        <f aca="false">IFERROR(INDEX('Teacher Lookup'!$B$2:$B$200,MATCH(A1248,'Teacher Lookup'!$A$2:$A$200,0)),"")</f>
        <v>IP Ariel</v>
      </c>
    </row>
    <row r="1249" customFormat="false" ht="15" hidden="false" customHeight="false" outlineLevel="0" collapsed="false">
      <c r="A1249" s="3" t="s">
        <v>233</v>
      </c>
      <c r="B1249" s="4" t="s">
        <v>65</v>
      </c>
      <c r="C1249" s="4" t="n">
        <v>3</v>
      </c>
      <c r="D1249" s="4" t="s">
        <v>57</v>
      </c>
      <c r="E1249" s="3" t="s">
        <v>121</v>
      </c>
      <c r="F1249" s="4" t="str">
        <f aca="false">IF(I1249&gt;J1249,"Y","N")</f>
        <v>Y</v>
      </c>
      <c r="G1249" s="3" t="s">
        <v>101</v>
      </c>
      <c r="H1249" s="3" t="s">
        <v>26</v>
      </c>
      <c r="I1249" s="4" t="n">
        <v>9</v>
      </c>
      <c r="J1249" s="4" t="n">
        <f aca="false">LEN(E1249)-LEN(SUBSTITUTE(E1249,",",""))+1</f>
        <v>8</v>
      </c>
      <c r="K1249" s="3" t="str">
        <f aca="false">IFERROR(INDEX('Teacher Lookup'!$B$2:$B$200,MATCH(A1249,'Teacher Lookup'!$A$2:$A$200,0)),"")</f>
        <v>IP Ariel</v>
      </c>
    </row>
    <row r="1250" customFormat="false" ht="15" hidden="false" customHeight="false" outlineLevel="0" collapsed="false">
      <c r="A1250" s="3" t="s">
        <v>233</v>
      </c>
      <c r="B1250" s="4" t="s">
        <v>65</v>
      </c>
      <c r="C1250" s="4" t="n">
        <v>3</v>
      </c>
      <c r="D1250" s="4" t="s">
        <v>58</v>
      </c>
      <c r="E1250" s="3" t="s">
        <v>121</v>
      </c>
      <c r="F1250" s="4" t="str">
        <f aca="false">IF(I1250&gt;J1250,"Y","N")</f>
        <v>Y</v>
      </c>
      <c r="G1250" s="3" t="s">
        <v>101</v>
      </c>
      <c r="H1250" s="3" t="s">
        <v>26</v>
      </c>
      <c r="I1250" s="4" t="n">
        <v>9</v>
      </c>
      <c r="J1250" s="4" t="n">
        <f aca="false">LEN(E1250)-LEN(SUBSTITUTE(E1250,",",""))+1</f>
        <v>8</v>
      </c>
      <c r="K1250" s="3" t="str">
        <f aca="false">IFERROR(INDEX('Teacher Lookup'!$B$2:$B$200,MATCH(A1250,'Teacher Lookup'!$A$2:$A$200,0)),"")</f>
        <v>IP Ariel</v>
      </c>
    </row>
    <row r="1251" customFormat="false" ht="15" hidden="false" customHeight="false" outlineLevel="0" collapsed="false">
      <c r="A1251" s="3" t="s">
        <v>233</v>
      </c>
      <c r="B1251" s="4" t="s">
        <v>65</v>
      </c>
      <c r="C1251" s="4" t="n">
        <v>3</v>
      </c>
      <c r="D1251" s="4" t="s">
        <v>59</v>
      </c>
      <c r="E1251" s="3" t="s">
        <v>121</v>
      </c>
      <c r="F1251" s="4" t="str">
        <f aca="false">IF(I1251&gt;J1251,"Y","N")</f>
        <v>Y</v>
      </c>
      <c r="G1251" s="3" t="s">
        <v>101</v>
      </c>
      <c r="H1251" s="3" t="s">
        <v>26</v>
      </c>
      <c r="I1251" s="4" t="n">
        <v>9</v>
      </c>
      <c r="J1251" s="4" t="n">
        <f aca="false">LEN(E1251)-LEN(SUBSTITUTE(E1251,",",""))+1</f>
        <v>8</v>
      </c>
      <c r="K1251" s="3" t="str">
        <f aca="false">IFERROR(INDEX('Teacher Lookup'!$B$2:$B$200,MATCH(A1251,'Teacher Lookup'!$A$2:$A$200,0)),"")</f>
        <v>IP Ariel</v>
      </c>
    </row>
    <row r="1252" customFormat="false" ht="15" hidden="false" customHeight="false" outlineLevel="0" collapsed="false">
      <c r="A1252" s="3" t="s">
        <v>233</v>
      </c>
      <c r="B1252" s="4" t="s">
        <v>65</v>
      </c>
      <c r="C1252" s="4" t="n">
        <v>5</v>
      </c>
      <c r="D1252" s="4" t="s">
        <v>24</v>
      </c>
      <c r="E1252" s="3" t="s">
        <v>131</v>
      </c>
      <c r="F1252" s="4" t="str">
        <f aca="false">IF(I1252&gt;J1252,"Y","N")</f>
        <v>Y</v>
      </c>
      <c r="G1252" s="3" t="s">
        <v>36</v>
      </c>
      <c r="H1252" s="3" t="s">
        <v>37</v>
      </c>
      <c r="I1252" s="4" t="n">
        <v>15</v>
      </c>
      <c r="J1252" s="4" t="n">
        <f aca="false">LEN(E1252)-LEN(SUBSTITUTE(E1252,",",""))+1</f>
        <v>7</v>
      </c>
      <c r="K1252" s="3" t="str">
        <f aca="false">IFERROR(INDEX('Teacher Lookup'!$B$2:$B$200,MATCH(A1252,'Teacher Lookup'!$A$2:$A$200,0)),"")</f>
        <v>IP Ariel</v>
      </c>
    </row>
    <row r="1253" customFormat="false" ht="15" hidden="false" customHeight="false" outlineLevel="0" collapsed="false">
      <c r="A1253" s="3" t="s">
        <v>233</v>
      </c>
      <c r="B1253" s="4" t="s">
        <v>65</v>
      </c>
      <c r="C1253" s="4" t="n">
        <v>5</v>
      </c>
      <c r="D1253" s="4" t="s">
        <v>132</v>
      </c>
      <c r="E1253" s="3" t="s">
        <v>131</v>
      </c>
      <c r="F1253" s="4" t="str">
        <f aca="false">IF(I1253&gt;J1253,"Y","N")</f>
        <v>Y</v>
      </c>
      <c r="G1253" s="3" t="s">
        <v>36</v>
      </c>
      <c r="H1253" s="3" t="s">
        <v>37</v>
      </c>
      <c r="I1253" s="4" t="n">
        <v>15</v>
      </c>
      <c r="J1253" s="4" t="n">
        <f aca="false">LEN(E1253)-LEN(SUBSTITUTE(E1253,",",""))+1</f>
        <v>7</v>
      </c>
      <c r="K1253" s="3" t="str">
        <f aca="false">IFERROR(INDEX('Teacher Lookup'!$B$2:$B$200,MATCH(A1253,'Teacher Lookup'!$A$2:$A$200,0)),"")</f>
        <v>IP Ariel</v>
      </c>
    </row>
    <row r="1254" customFormat="false" ht="15" hidden="false" customHeight="false" outlineLevel="0" collapsed="false">
      <c r="A1254" s="3" t="s">
        <v>233</v>
      </c>
      <c r="B1254" s="4" t="s">
        <v>65</v>
      </c>
      <c r="C1254" s="4" t="n">
        <v>5</v>
      </c>
      <c r="D1254" s="4" t="s">
        <v>27</v>
      </c>
      <c r="E1254" s="3" t="s">
        <v>131</v>
      </c>
      <c r="F1254" s="4" t="str">
        <f aca="false">IF(I1254&gt;J1254,"Y","N")</f>
        <v>Y</v>
      </c>
      <c r="G1254" s="3" t="s">
        <v>36</v>
      </c>
      <c r="H1254" s="3" t="s">
        <v>37</v>
      </c>
      <c r="I1254" s="4" t="n">
        <v>15</v>
      </c>
      <c r="J1254" s="4" t="n">
        <f aca="false">LEN(E1254)-LEN(SUBSTITUTE(E1254,",",""))+1</f>
        <v>7</v>
      </c>
      <c r="K1254" s="3" t="str">
        <f aca="false">IFERROR(INDEX('Teacher Lookup'!$B$2:$B$200,MATCH(A1254,'Teacher Lookup'!$A$2:$A$200,0)),"")</f>
        <v>IP Ariel</v>
      </c>
    </row>
    <row r="1255" customFormat="false" ht="15" hidden="false" customHeight="false" outlineLevel="0" collapsed="false">
      <c r="A1255" s="3" t="s">
        <v>233</v>
      </c>
      <c r="B1255" s="4" t="s">
        <v>65</v>
      </c>
      <c r="C1255" s="4" t="n">
        <v>5</v>
      </c>
      <c r="D1255" s="4" t="s">
        <v>28</v>
      </c>
      <c r="E1255" s="3" t="s">
        <v>131</v>
      </c>
      <c r="F1255" s="4" t="str">
        <f aca="false">IF(I1255&gt;J1255,"Y","N")</f>
        <v>Y</v>
      </c>
      <c r="G1255" s="3" t="s">
        <v>36</v>
      </c>
      <c r="H1255" s="3" t="s">
        <v>37</v>
      </c>
      <c r="I1255" s="4" t="n">
        <v>15</v>
      </c>
      <c r="J1255" s="4" t="n">
        <f aca="false">LEN(E1255)-LEN(SUBSTITUTE(E1255,",",""))+1</f>
        <v>7</v>
      </c>
      <c r="K1255" s="3" t="str">
        <f aca="false">IFERROR(INDEX('Teacher Lookup'!$B$2:$B$200,MATCH(A1255,'Teacher Lookup'!$A$2:$A$200,0)),"")</f>
        <v>IP Ariel</v>
      </c>
    </row>
    <row r="1256" customFormat="false" ht="15" hidden="false" customHeight="false" outlineLevel="0" collapsed="false">
      <c r="A1256" s="3" t="s">
        <v>233</v>
      </c>
      <c r="B1256" s="4" t="s">
        <v>65</v>
      </c>
      <c r="C1256" s="4" t="n">
        <v>5</v>
      </c>
      <c r="D1256" s="4" t="s">
        <v>29</v>
      </c>
      <c r="E1256" s="3" t="s">
        <v>131</v>
      </c>
      <c r="F1256" s="4" t="str">
        <f aca="false">IF(I1256&gt;J1256,"Y","N")</f>
        <v>Y</v>
      </c>
      <c r="G1256" s="3" t="s">
        <v>36</v>
      </c>
      <c r="H1256" s="3" t="s">
        <v>37</v>
      </c>
      <c r="I1256" s="4" t="n">
        <v>15</v>
      </c>
      <c r="J1256" s="4" t="n">
        <f aca="false">LEN(E1256)-LEN(SUBSTITUTE(E1256,",",""))+1</f>
        <v>7</v>
      </c>
      <c r="K1256" s="3" t="str">
        <f aca="false">IFERROR(INDEX('Teacher Lookup'!$B$2:$B$200,MATCH(A1256,'Teacher Lookup'!$A$2:$A$200,0)),"")</f>
        <v>IP Ariel</v>
      </c>
    </row>
    <row r="1257" customFormat="false" ht="15" hidden="false" customHeight="false" outlineLevel="0" collapsed="false">
      <c r="A1257" s="3" t="s">
        <v>233</v>
      </c>
      <c r="B1257" s="4" t="s">
        <v>65</v>
      </c>
      <c r="C1257" s="4" t="n">
        <v>5</v>
      </c>
      <c r="D1257" s="4" t="s">
        <v>30</v>
      </c>
      <c r="E1257" s="3" t="s">
        <v>131</v>
      </c>
      <c r="F1257" s="4" t="str">
        <f aca="false">IF(I1257&gt;J1257,"Y","N")</f>
        <v>Y</v>
      </c>
      <c r="G1257" s="3" t="s">
        <v>36</v>
      </c>
      <c r="H1257" s="3" t="s">
        <v>37</v>
      </c>
      <c r="I1257" s="4" t="n">
        <v>15</v>
      </c>
      <c r="J1257" s="4" t="n">
        <f aca="false">LEN(E1257)-LEN(SUBSTITUTE(E1257,",",""))+1</f>
        <v>7</v>
      </c>
      <c r="K1257" s="3" t="str">
        <f aca="false">IFERROR(INDEX('Teacher Lookup'!$B$2:$B$200,MATCH(A1257,'Teacher Lookup'!$A$2:$A$200,0)),"")</f>
        <v>IP Ariel</v>
      </c>
    </row>
    <row r="1258" customFormat="false" ht="15" hidden="false" customHeight="false" outlineLevel="0" collapsed="false">
      <c r="A1258" s="3" t="s">
        <v>233</v>
      </c>
      <c r="B1258" s="4" t="s">
        <v>65</v>
      </c>
      <c r="C1258" s="4" t="n">
        <v>7</v>
      </c>
      <c r="D1258" s="4" t="s">
        <v>52</v>
      </c>
      <c r="E1258" s="3" t="s">
        <v>251</v>
      </c>
      <c r="F1258" s="4" t="str">
        <f aca="false">IF(I1258&gt;J1258,"Y","N")</f>
        <v>N</v>
      </c>
      <c r="G1258" s="3" t="s">
        <v>239</v>
      </c>
      <c r="H1258" s="3" t="s">
        <v>39</v>
      </c>
      <c r="I1258" s="4" t="n">
        <v>7</v>
      </c>
      <c r="J1258" s="4" t="n">
        <f aca="false">LEN(E1258)-LEN(SUBSTITUTE(E1258,",",""))+1</f>
        <v>7</v>
      </c>
      <c r="K1258" s="3" t="str">
        <f aca="false">IFERROR(INDEX('Teacher Lookup'!$B$2:$B$200,MATCH(A1258,'Teacher Lookup'!$A$2:$A$200,0)),"")</f>
        <v>IP Ariel</v>
      </c>
    </row>
    <row r="1259" customFormat="false" ht="15" hidden="false" customHeight="false" outlineLevel="0" collapsed="false">
      <c r="A1259" s="3" t="s">
        <v>233</v>
      </c>
      <c r="B1259" s="4" t="s">
        <v>65</v>
      </c>
      <c r="C1259" s="4" t="n">
        <v>7</v>
      </c>
      <c r="D1259" s="4" t="s">
        <v>55</v>
      </c>
      <c r="E1259" s="3" t="s">
        <v>251</v>
      </c>
      <c r="F1259" s="4" t="str">
        <f aca="false">IF(I1259&gt;J1259,"Y","N")</f>
        <v>N</v>
      </c>
      <c r="G1259" s="3" t="s">
        <v>239</v>
      </c>
      <c r="H1259" s="3" t="s">
        <v>39</v>
      </c>
      <c r="I1259" s="4" t="n">
        <v>7</v>
      </c>
      <c r="J1259" s="4" t="n">
        <f aca="false">LEN(E1259)-LEN(SUBSTITUTE(E1259,",",""))+1</f>
        <v>7</v>
      </c>
      <c r="K1259" s="3" t="str">
        <f aca="false">IFERROR(INDEX('Teacher Lookup'!$B$2:$B$200,MATCH(A1259,'Teacher Lookup'!$A$2:$A$200,0)),"")</f>
        <v>IP Ariel</v>
      </c>
    </row>
    <row r="1260" customFormat="false" ht="15" hidden="false" customHeight="false" outlineLevel="0" collapsed="false">
      <c r="A1260" s="3" t="s">
        <v>233</v>
      </c>
      <c r="B1260" s="4" t="s">
        <v>65</v>
      </c>
      <c r="C1260" s="4" t="n">
        <v>7</v>
      </c>
      <c r="D1260" s="4" t="s">
        <v>56</v>
      </c>
      <c r="E1260" s="3" t="s">
        <v>251</v>
      </c>
      <c r="F1260" s="4" t="str">
        <f aca="false">IF(I1260&gt;J1260,"Y","N")</f>
        <v>N</v>
      </c>
      <c r="G1260" s="3" t="s">
        <v>239</v>
      </c>
      <c r="H1260" s="3" t="s">
        <v>39</v>
      </c>
      <c r="I1260" s="4" t="n">
        <v>7</v>
      </c>
      <c r="J1260" s="4" t="n">
        <f aca="false">LEN(E1260)-LEN(SUBSTITUTE(E1260,",",""))+1</f>
        <v>7</v>
      </c>
      <c r="K1260" s="3" t="str">
        <f aca="false">IFERROR(INDEX('Teacher Lookup'!$B$2:$B$200,MATCH(A1260,'Teacher Lookup'!$A$2:$A$200,0)),"")</f>
        <v>IP Ariel</v>
      </c>
    </row>
    <row r="1261" customFormat="false" ht="15" hidden="false" customHeight="false" outlineLevel="0" collapsed="false">
      <c r="A1261" s="3" t="s">
        <v>233</v>
      </c>
      <c r="B1261" s="4" t="s">
        <v>65</v>
      </c>
      <c r="C1261" s="4" t="n">
        <v>7</v>
      </c>
      <c r="D1261" s="4" t="s">
        <v>57</v>
      </c>
      <c r="E1261" s="3" t="s">
        <v>251</v>
      </c>
      <c r="F1261" s="4" t="str">
        <f aca="false">IF(I1261&gt;J1261,"Y","N")</f>
        <v>N</v>
      </c>
      <c r="G1261" s="3" t="s">
        <v>239</v>
      </c>
      <c r="H1261" s="3" t="s">
        <v>39</v>
      </c>
      <c r="I1261" s="4" t="n">
        <v>7</v>
      </c>
      <c r="J1261" s="4" t="n">
        <f aca="false">LEN(E1261)-LEN(SUBSTITUTE(E1261,",",""))+1</f>
        <v>7</v>
      </c>
      <c r="K1261" s="3" t="str">
        <f aca="false">IFERROR(INDEX('Teacher Lookup'!$B$2:$B$200,MATCH(A1261,'Teacher Lookup'!$A$2:$A$200,0)),"")</f>
        <v>IP Ariel</v>
      </c>
    </row>
    <row r="1262" customFormat="false" ht="15" hidden="false" customHeight="false" outlineLevel="0" collapsed="false">
      <c r="A1262" s="3" t="s">
        <v>233</v>
      </c>
      <c r="B1262" s="4" t="s">
        <v>65</v>
      </c>
      <c r="C1262" s="4" t="n">
        <v>7</v>
      </c>
      <c r="D1262" s="4" t="s">
        <v>58</v>
      </c>
      <c r="E1262" s="3" t="s">
        <v>251</v>
      </c>
      <c r="F1262" s="4" t="str">
        <f aca="false">IF(I1262&gt;J1262,"Y","N")</f>
        <v>N</v>
      </c>
      <c r="G1262" s="3" t="s">
        <v>239</v>
      </c>
      <c r="H1262" s="3" t="s">
        <v>39</v>
      </c>
      <c r="I1262" s="4" t="n">
        <v>7</v>
      </c>
      <c r="J1262" s="4" t="n">
        <f aca="false">LEN(E1262)-LEN(SUBSTITUTE(E1262,",",""))+1</f>
        <v>7</v>
      </c>
      <c r="K1262" s="3" t="str">
        <f aca="false">IFERROR(INDEX('Teacher Lookup'!$B$2:$B$200,MATCH(A1262,'Teacher Lookup'!$A$2:$A$200,0)),"")</f>
        <v>IP Ariel</v>
      </c>
    </row>
    <row r="1263" customFormat="false" ht="15" hidden="false" customHeight="false" outlineLevel="0" collapsed="false">
      <c r="A1263" s="3" t="s">
        <v>233</v>
      </c>
      <c r="B1263" s="4" t="s">
        <v>65</v>
      </c>
      <c r="C1263" s="4" t="n">
        <v>7</v>
      </c>
      <c r="D1263" s="4" t="s">
        <v>59</v>
      </c>
      <c r="E1263" s="3" t="s">
        <v>251</v>
      </c>
      <c r="F1263" s="4" t="str">
        <f aca="false">IF(I1263&gt;J1263,"Y","N")</f>
        <v>N</v>
      </c>
      <c r="G1263" s="3" t="s">
        <v>239</v>
      </c>
      <c r="H1263" s="3" t="s">
        <v>39</v>
      </c>
      <c r="I1263" s="4" t="n">
        <v>7</v>
      </c>
      <c r="J1263" s="4" t="n">
        <f aca="false">LEN(E1263)-LEN(SUBSTITUTE(E1263,",",""))+1</f>
        <v>7</v>
      </c>
      <c r="K1263" s="3" t="str">
        <f aca="false">IFERROR(INDEX('Teacher Lookup'!$B$2:$B$200,MATCH(A1263,'Teacher Lookup'!$A$2:$A$200,0)),"")</f>
        <v>IP Ariel</v>
      </c>
    </row>
    <row r="1264" customFormat="false" ht="15" hidden="false" customHeight="false" outlineLevel="0" collapsed="false">
      <c r="A1264" s="3" t="s">
        <v>233</v>
      </c>
      <c r="B1264" s="4" t="s">
        <v>66</v>
      </c>
      <c r="C1264" s="4" t="n">
        <v>1</v>
      </c>
      <c r="D1264" s="4" t="s">
        <v>52</v>
      </c>
      <c r="E1264" s="3" t="s">
        <v>252</v>
      </c>
      <c r="F1264" s="4" t="str">
        <f aca="false">IF(I1264&gt;J1264,"Y","N")</f>
        <v>N</v>
      </c>
      <c r="G1264" s="3" t="s">
        <v>239</v>
      </c>
      <c r="H1264" s="3" t="s">
        <v>16</v>
      </c>
      <c r="I1264" s="4" t="n">
        <v>7</v>
      </c>
      <c r="J1264" s="4" t="n">
        <f aca="false">LEN(E1264)-LEN(SUBSTITUTE(E1264,",",""))+1</f>
        <v>7</v>
      </c>
      <c r="K1264" s="3" t="str">
        <f aca="false">IFERROR(INDEX('Teacher Lookup'!$B$2:$B$200,MATCH(A1264,'Teacher Lookup'!$A$2:$A$200,0)),"")</f>
        <v>IP Ariel</v>
      </c>
    </row>
    <row r="1265" customFormat="false" ht="15" hidden="false" customHeight="false" outlineLevel="0" collapsed="false">
      <c r="A1265" s="3" t="s">
        <v>233</v>
      </c>
      <c r="B1265" s="4" t="s">
        <v>66</v>
      </c>
      <c r="C1265" s="4" t="n">
        <v>1</v>
      </c>
      <c r="D1265" s="4" t="s">
        <v>55</v>
      </c>
      <c r="E1265" s="3" t="s">
        <v>252</v>
      </c>
      <c r="F1265" s="4" t="str">
        <f aca="false">IF(I1265&gt;J1265,"Y","N")</f>
        <v>N</v>
      </c>
      <c r="G1265" s="3" t="s">
        <v>239</v>
      </c>
      <c r="H1265" s="3" t="s">
        <v>16</v>
      </c>
      <c r="I1265" s="4" t="n">
        <v>7</v>
      </c>
      <c r="J1265" s="4" t="n">
        <f aca="false">LEN(E1265)-LEN(SUBSTITUTE(E1265,",",""))+1</f>
        <v>7</v>
      </c>
      <c r="K1265" s="3" t="str">
        <f aca="false">IFERROR(INDEX('Teacher Lookup'!$B$2:$B$200,MATCH(A1265,'Teacher Lookup'!$A$2:$A$200,0)),"")</f>
        <v>IP Ariel</v>
      </c>
    </row>
    <row r="1266" customFormat="false" ht="15" hidden="false" customHeight="false" outlineLevel="0" collapsed="false">
      <c r="A1266" s="3" t="s">
        <v>233</v>
      </c>
      <c r="B1266" s="4" t="s">
        <v>66</v>
      </c>
      <c r="C1266" s="4" t="n">
        <v>1</v>
      </c>
      <c r="D1266" s="4" t="s">
        <v>56</v>
      </c>
      <c r="E1266" s="3" t="s">
        <v>252</v>
      </c>
      <c r="F1266" s="4" t="str">
        <f aca="false">IF(I1266&gt;J1266,"Y","N")</f>
        <v>N</v>
      </c>
      <c r="G1266" s="3" t="s">
        <v>239</v>
      </c>
      <c r="H1266" s="3" t="s">
        <v>16</v>
      </c>
      <c r="I1266" s="4" t="n">
        <v>7</v>
      </c>
      <c r="J1266" s="4" t="n">
        <f aca="false">LEN(E1266)-LEN(SUBSTITUTE(E1266,",",""))+1</f>
        <v>7</v>
      </c>
      <c r="K1266" s="3" t="str">
        <f aca="false">IFERROR(INDEX('Teacher Lookup'!$B$2:$B$200,MATCH(A1266,'Teacher Lookup'!$A$2:$A$200,0)),"")</f>
        <v>IP Ariel</v>
      </c>
    </row>
    <row r="1267" customFormat="false" ht="15" hidden="false" customHeight="false" outlineLevel="0" collapsed="false">
      <c r="A1267" s="3" t="s">
        <v>233</v>
      </c>
      <c r="B1267" s="4" t="s">
        <v>66</v>
      </c>
      <c r="C1267" s="4" t="n">
        <v>1</v>
      </c>
      <c r="D1267" s="4" t="s">
        <v>57</v>
      </c>
      <c r="E1267" s="3" t="s">
        <v>252</v>
      </c>
      <c r="F1267" s="4" t="str">
        <f aca="false">IF(I1267&gt;J1267,"Y","N")</f>
        <v>N</v>
      </c>
      <c r="G1267" s="3" t="s">
        <v>239</v>
      </c>
      <c r="H1267" s="3" t="s">
        <v>16</v>
      </c>
      <c r="I1267" s="4" t="n">
        <v>7</v>
      </c>
      <c r="J1267" s="4" t="n">
        <f aca="false">LEN(E1267)-LEN(SUBSTITUTE(E1267,",",""))+1</f>
        <v>7</v>
      </c>
      <c r="K1267" s="3" t="str">
        <f aca="false">IFERROR(INDEX('Teacher Lookup'!$B$2:$B$200,MATCH(A1267,'Teacher Lookup'!$A$2:$A$200,0)),"")</f>
        <v>IP Ariel</v>
      </c>
    </row>
    <row r="1268" customFormat="false" ht="15" hidden="false" customHeight="false" outlineLevel="0" collapsed="false">
      <c r="A1268" s="3" t="s">
        <v>233</v>
      </c>
      <c r="B1268" s="4" t="s">
        <v>66</v>
      </c>
      <c r="C1268" s="4" t="n">
        <v>1</v>
      </c>
      <c r="D1268" s="4" t="s">
        <v>58</v>
      </c>
      <c r="E1268" s="3" t="s">
        <v>252</v>
      </c>
      <c r="F1268" s="4" t="str">
        <f aca="false">IF(I1268&gt;J1268,"Y","N")</f>
        <v>N</v>
      </c>
      <c r="G1268" s="3" t="s">
        <v>239</v>
      </c>
      <c r="H1268" s="3" t="s">
        <v>16</v>
      </c>
      <c r="I1268" s="4" t="n">
        <v>7</v>
      </c>
      <c r="J1268" s="4" t="n">
        <f aca="false">LEN(E1268)-LEN(SUBSTITUTE(E1268,",",""))+1</f>
        <v>7</v>
      </c>
      <c r="K1268" s="3" t="str">
        <f aca="false">IFERROR(INDEX('Teacher Lookup'!$B$2:$B$200,MATCH(A1268,'Teacher Lookup'!$A$2:$A$200,0)),"")</f>
        <v>IP Ariel</v>
      </c>
    </row>
    <row r="1269" customFormat="false" ht="15" hidden="false" customHeight="false" outlineLevel="0" collapsed="false">
      <c r="A1269" s="3" t="s">
        <v>233</v>
      </c>
      <c r="B1269" s="4" t="s">
        <v>66</v>
      </c>
      <c r="C1269" s="4" t="n">
        <v>1</v>
      </c>
      <c r="D1269" s="4" t="s">
        <v>59</v>
      </c>
      <c r="E1269" s="3" t="s">
        <v>252</v>
      </c>
      <c r="F1269" s="4" t="str">
        <f aca="false">IF(I1269&gt;J1269,"Y","N")</f>
        <v>N</v>
      </c>
      <c r="G1269" s="3" t="s">
        <v>239</v>
      </c>
      <c r="H1269" s="3" t="s">
        <v>16</v>
      </c>
      <c r="I1269" s="4" t="n">
        <v>7</v>
      </c>
      <c r="J1269" s="4" t="n">
        <f aca="false">LEN(E1269)-LEN(SUBSTITUTE(E1269,",",""))+1</f>
        <v>7</v>
      </c>
      <c r="K1269" s="3" t="str">
        <f aca="false">IFERROR(INDEX('Teacher Lookup'!$B$2:$B$200,MATCH(A1269,'Teacher Lookup'!$A$2:$A$200,0)),"")</f>
        <v>IP Ariel</v>
      </c>
    </row>
    <row r="1270" customFormat="false" ht="15" hidden="false" customHeight="false" outlineLevel="0" collapsed="false">
      <c r="A1270" s="3" t="s">
        <v>233</v>
      </c>
      <c r="B1270" s="4" t="s">
        <v>66</v>
      </c>
      <c r="C1270" s="4" t="n">
        <v>4</v>
      </c>
      <c r="D1270" s="4" t="s">
        <v>29</v>
      </c>
      <c r="E1270" s="3" t="s">
        <v>250</v>
      </c>
      <c r="F1270" s="4" t="str">
        <f aca="false">IF(I1270&gt;J1270,"Y","N")</f>
        <v>N</v>
      </c>
      <c r="G1270" s="3" t="s">
        <v>237</v>
      </c>
      <c r="H1270" s="3" t="s">
        <v>34</v>
      </c>
      <c r="I1270" s="4" t="n">
        <v>3</v>
      </c>
      <c r="J1270" s="4" t="n">
        <f aca="false">LEN(E1270)-LEN(SUBSTITUTE(E1270,",",""))+1</f>
        <v>3</v>
      </c>
      <c r="K1270" s="3" t="str">
        <f aca="false">IFERROR(INDEX('Teacher Lookup'!$B$2:$B$200,MATCH(A1270,'Teacher Lookup'!$A$2:$A$200,0)),"")</f>
        <v>IP Ariel</v>
      </c>
    </row>
    <row r="1271" customFormat="false" ht="15" hidden="false" customHeight="false" outlineLevel="0" collapsed="false">
      <c r="A1271" s="3" t="s">
        <v>233</v>
      </c>
      <c r="B1271" s="4" t="s">
        <v>66</v>
      </c>
      <c r="C1271" s="4" t="n">
        <v>4</v>
      </c>
      <c r="D1271" s="4" t="s">
        <v>30</v>
      </c>
      <c r="E1271" s="3" t="s">
        <v>250</v>
      </c>
      <c r="F1271" s="4" t="str">
        <f aca="false">IF(I1271&gt;J1271,"Y","N")</f>
        <v>N</v>
      </c>
      <c r="G1271" s="3" t="s">
        <v>237</v>
      </c>
      <c r="H1271" s="3" t="s">
        <v>34</v>
      </c>
      <c r="I1271" s="4" t="n">
        <v>3</v>
      </c>
      <c r="J1271" s="4" t="n">
        <f aca="false">LEN(E1271)-LEN(SUBSTITUTE(E1271,",",""))+1</f>
        <v>3</v>
      </c>
      <c r="K1271" s="3" t="str">
        <f aca="false">IFERROR(INDEX('Teacher Lookup'!$B$2:$B$200,MATCH(A1271,'Teacher Lookup'!$A$2:$A$200,0)),"")</f>
        <v>IP Ariel</v>
      </c>
    </row>
    <row r="1272" customFormat="false" ht="15" hidden="false" customHeight="false" outlineLevel="0" collapsed="false">
      <c r="A1272" s="3" t="s">
        <v>233</v>
      </c>
      <c r="B1272" s="4" t="s">
        <v>66</v>
      </c>
      <c r="C1272" s="4" t="n">
        <v>5</v>
      </c>
      <c r="D1272" s="4" t="s">
        <v>52</v>
      </c>
      <c r="E1272" s="3" t="s">
        <v>122</v>
      </c>
      <c r="F1272" s="4" t="str">
        <f aca="false">IF(I1272&gt;J1272,"Y","N")</f>
        <v>N</v>
      </c>
      <c r="G1272" s="3" t="s">
        <v>101</v>
      </c>
      <c r="H1272" s="3" t="s">
        <v>37</v>
      </c>
      <c r="I1272" s="4" t="n">
        <v>8</v>
      </c>
      <c r="J1272" s="4" t="n">
        <f aca="false">LEN(E1272)-LEN(SUBSTITUTE(E1272,",",""))+1</f>
        <v>8</v>
      </c>
      <c r="K1272" s="3" t="str">
        <f aca="false">IFERROR(INDEX('Teacher Lookup'!$B$2:$B$200,MATCH(A1272,'Teacher Lookup'!$A$2:$A$200,0)),"")</f>
        <v>IP Ariel</v>
      </c>
    </row>
    <row r="1273" customFormat="false" ht="15" hidden="false" customHeight="false" outlineLevel="0" collapsed="false">
      <c r="A1273" s="3" t="s">
        <v>233</v>
      </c>
      <c r="B1273" s="4" t="s">
        <v>66</v>
      </c>
      <c r="C1273" s="4" t="n">
        <v>5</v>
      </c>
      <c r="D1273" s="4" t="s">
        <v>55</v>
      </c>
      <c r="E1273" s="3" t="s">
        <v>122</v>
      </c>
      <c r="F1273" s="4" t="str">
        <f aca="false">IF(I1273&gt;J1273,"Y","N")</f>
        <v>N</v>
      </c>
      <c r="G1273" s="3" t="s">
        <v>101</v>
      </c>
      <c r="H1273" s="3" t="s">
        <v>37</v>
      </c>
      <c r="I1273" s="4" t="n">
        <v>8</v>
      </c>
      <c r="J1273" s="4" t="n">
        <f aca="false">LEN(E1273)-LEN(SUBSTITUTE(E1273,",",""))+1</f>
        <v>8</v>
      </c>
      <c r="K1273" s="3" t="str">
        <f aca="false">IFERROR(INDEX('Teacher Lookup'!$B$2:$B$200,MATCH(A1273,'Teacher Lookup'!$A$2:$A$200,0)),"")</f>
        <v>IP Ariel</v>
      </c>
    </row>
    <row r="1274" customFormat="false" ht="15" hidden="false" customHeight="false" outlineLevel="0" collapsed="false">
      <c r="A1274" s="3" t="s">
        <v>233</v>
      </c>
      <c r="B1274" s="4" t="s">
        <v>66</v>
      </c>
      <c r="C1274" s="4" t="n">
        <v>5</v>
      </c>
      <c r="D1274" s="4" t="s">
        <v>56</v>
      </c>
      <c r="E1274" s="3" t="s">
        <v>122</v>
      </c>
      <c r="F1274" s="4" t="str">
        <f aca="false">IF(I1274&gt;J1274,"Y","N")</f>
        <v>N</v>
      </c>
      <c r="G1274" s="3" t="s">
        <v>101</v>
      </c>
      <c r="H1274" s="3" t="s">
        <v>37</v>
      </c>
      <c r="I1274" s="4" t="n">
        <v>8</v>
      </c>
      <c r="J1274" s="4" t="n">
        <f aca="false">LEN(E1274)-LEN(SUBSTITUTE(E1274,",",""))+1</f>
        <v>8</v>
      </c>
      <c r="K1274" s="3" t="str">
        <f aca="false">IFERROR(INDEX('Teacher Lookup'!$B$2:$B$200,MATCH(A1274,'Teacher Lookup'!$A$2:$A$200,0)),"")</f>
        <v>IP Ariel</v>
      </c>
    </row>
    <row r="1275" customFormat="false" ht="15" hidden="false" customHeight="false" outlineLevel="0" collapsed="false">
      <c r="A1275" s="3" t="s">
        <v>233</v>
      </c>
      <c r="B1275" s="4" t="s">
        <v>66</v>
      </c>
      <c r="C1275" s="4" t="n">
        <v>5</v>
      </c>
      <c r="D1275" s="4" t="s">
        <v>57</v>
      </c>
      <c r="E1275" s="3" t="s">
        <v>122</v>
      </c>
      <c r="F1275" s="4" t="str">
        <f aca="false">IF(I1275&gt;J1275,"Y","N")</f>
        <v>N</v>
      </c>
      <c r="G1275" s="3" t="s">
        <v>101</v>
      </c>
      <c r="H1275" s="3" t="s">
        <v>37</v>
      </c>
      <c r="I1275" s="4" t="n">
        <v>8</v>
      </c>
      <c r="J1275" s="4" t="n">
        <f aca="false">LEN(E1275)-LEN(SUBSTITUTE(E1275,",",""))+1</f>
        <v>8</v>
      </c>
      <c r="K1275" s="3" t="str">
        <f aca="false">IFERROR(INDEX('Teacher Lookup'!$B$2:$B$200,MATCH(A1275,'Teacher Lookup'!$A$2:$A$200,0)),"")</f>
        <v>IP Ariel</v>
      </c>
    </row>
    <row r="1276" customFormat="false" ht="15" hidden="false" customHeight="false" outlineLevel="0" collapsed="false">
      <c r="A1276" s="3" t="s">
        <v>233</v>
      </c>
      <c r="B1276" s="4" t="s">
        <v>66</v>
      </c>
      <c r="C1276" s="4" t="n">
        <v>5</v>
      </c>
      <c r="D1276" s="4" t="s">
        <v>58</v>
      </c>
      <c r="E1276" s="3" t="s">
        <v>122</v>
      </c>
      <c r="F1276" s="4" t="str">
        <f aca="false">IF(I1276&gt;J1276,"Y","N")</f>
        <v>N</v>
      </c>
      <c r="G1276" s="3" t="s">
        <v>101</v>
      </c>
      <c r="H1276" s="3" t="s">
        <v>37</v>
      </c>
      <c r="I1276" s="4" t="n">
        <v>8</v>
      </c>
      <c r="J1276" s="4" t="n">
        <f aca="false">LEN(E1276)-LEN(SUBSTITUTE(E1276,",",""))+1</f>
        <v>8</v>
      </c>
      <c r="K1276" s="3" t="str">
        <f aca="false">IFERROR(INDEX('Teacher Lookup'!$B$2:$B$200,MATCH(A1276,'Teacher Lookup'!$A$2:$A$200,0)),"")</f>
        <v>IP Ariel</v>
      </c>
    </row>
    <row r="1277" customFormat="false" ht="15" hidden="false" customHeight="false" outlineLevel="0" collapsed="false">
      <c r="A1277" s="3" t="s">
        <v>233</v>
      </c>
      <c r="B1277" s="4" t="s">
        <v>66</v>
      </c>
      <c r="C1277" s="4" t="n">
        <v>5</v>
      </c>
      <c r="D1277" s="4" t="s">
        <v>59</v>
      </c>
      <c r="E1277" s="3" t="s">
        <v>122</v>
      </c>
      <c r="F1277" s="4" t="str">
        <f aca="false">IF(I1277&gt;J1277,"Y","N")</f>
        <v>N</v>
      </c>
      <c r="G1277" s="3" t="s">
        <v>101</v>
      </c>
      <c r="H1277" s="3" t="s">
        <v>37</v>
      </c>
      <c r="I1277" s="4" t="n">
        <v>8</v>
      </c>
      <c r="J1277" s="4" t="n">
        <f aca="false">LEN(E1277)-LEN(SUBSTITUTE(E1277,",",""))+1</f>
        <v>8</v>
      </c>
      <c r="K1277" s="3" t="str">
        <f aca="false">IFERROR(INDEX('Teacher Lookup'!$B$2:$B$200,MATCH(A1277,'Teacher Lookup'!$A$2:$A$200,0)),"")</f>
        <v>IP Ariel</v>
      </c>
    </row>
    <row r="1278" customFormat="false" ht="15" hidden="false" customHeight="false" outlineLevel="0" collapsed="false">
      <c r="A1278" s="3" t="s">
        <v>253</v>
      </c>
      <c r="B1278" s="4" t="s">
        <v>12</v>
      </c>
      <c r="C1278" s="4" t="n">
        <v>2</v>
      </c>
      <c r="D1278" s="4" t="s">
        <v>105</v>
      </c>
      <c r="E1278" s="3" t="s">
        <v>254</v>
      </c>
      <c r="F1278" s="4" t="str">
        <f aca="false">IF(I1278&gt;J1278,"Y","N")</f>
        <v>N</v>
      </c>
      <c r="G1278" s="3" t="s">
        <v>164</v>
      </c>
      <c r="H1278" s="3" t="s">
        <v>21</v>
      </c>
      <c r="I1278" s="4" t="n">
        <v>3</v>
      </c>
      <c r="J1278" s="4" t="n">
        <f aca="false">LEN(E1278)-LEN(SUBSTITUTE(E1278,",",""))+1</f>
        <v>3</v>
      </c>
      <c r="K1278" s="3" t="str">
        <f aca="false">IFERROR(INDEX('Teacher Lookup'!$B$2:$B$200,MATCH(A1278,'Teacher Lookup'!$A$2:$A$200,0)),"")</f>
        <v>CHING Benjamin</v>
      </c>
    </row>
    <row r="1279" customFormat="false" ht="15" hidden="false" customHeight="false" outlineLevel="0" collapsed="false">
      <c r="A1279" s="3" t="s">
        <v>253</v>
      </c>
      <c r="B1279" s="4" t="s">
        <v>12</v>
      </c>
      <c r="C1279" s="4" t="n">
        <v>2</v>
      </c>
      <c r="D1279" s="4" t="s">
        <v>106</v>
      </c>
      <c r="E1279" s="3" t="s">
        <v>254</v>
      </c>
      <c r="F1279" s="4" t="str">
        <f aca="false">IF(I1279&gt;J1279,"Y","N")</f>
        <v>N</v>
      </c>
      <c r="G1279" s="3" t="s">
        <v>164</v>
      </c>
      <c r="H1279" s="3" t="s">
        <v>21</v>
      </c>
      <c r="I1279" s="4" t="n">
        <v>3</v>
      </c>
      <c r="J1279" s="4" t="n">
        <f aca="false">LEN(E1279)-LEN(SUBSTITUTE(E1279,",",""))+1</f>
        <v>3</v>
      </c>
      <c r="K1279" s="3" t="str">
        <f aca="false">IFERROR(INDEX('Teacher Lookup'!$B$2:$B$200,MATCH(A1279,'Teacher Lookup'!$A$2:$A$200,0)),"")</f>
        <v>CHING Benjamin</v>
      </c>
    </row>
    <row r="1280" customFormat="false" ht="15" hidden="false" customHeight="false" outlineLevel="0" collapsed="false">
      <c r="A1280" s="3" t="s">
        <v>253</v>
      </c>
      <c r="B1280" s="4" t="s">
        <v>12</v>
      </c>
      <c r="C1280" s="4" t="n">
        <v>6</v>
      </c>
      <c r="D1280" s="4" t="s">
        <v>102</v>
      </c>
      <c r="E1280" s="3" t="s">
        <v>255</v>
      </c>
      <c r="F1280" s="4" t="str">
        <f aca="false">IF(I1280&gt;J1280,"Y","N")</f>
        <v>N</v>
      </c>
      <c r="G1280" s="3" t="s">
        <v>164</v>
      </c>
      <c r="H1280" s="3" t="s">
        <v>42</v>
      </c>
      <c r="I1280" s="4" t="n">
        <v>3</v>
      </c>
      <c r="J1280" s="4" t="n">
        <f aca="false">LEN(E1280)-LEN(SUBSTITUTE(E1280,",",""))+1</f>
        <v>3</v>
      </c>
      <c r="K1280" s="3" t="str">
        <f aca="false">IFERROR(INDEX('Teacher Lookup'!$B$2:$B$200,MATCH(A1280,'Teacher Lookup'!$A$2:$A$200,0)),"")</f>
        <v>CHING Benjamin</v>
      </c>
    </row>
    <row r="1281" customFormat="false" ht="15" hidden="false" customHeight="false" outlineLevel="0" collapsed="false">
      <c r="A1281" s="3" t="s">
        <v>253</v>
      </c>
      <c r="B1281" s="4" t="s">
        <v>12</v>
      </c>
      <c r="C1281" s="4" t="n">
        <v>6</v>
      </c>
      <c r="D1281" s="4" t="s">
        <v>107</v>
      </c>
      <c r="E1281" s="3" t="s">
        <v>255</v>
      </c>
      <c r="F1281" s="4" t="str">
        <f aca="false">IF(I1281&gt;J1281,"Y","N")</f>
        <v>N</v>
      </c>
      <c r="G1281" s="3" t="s">
        <v>164</v>
      </c>
      <c r="H1281" s="3" t="s">
        <v>42</v>
      </c>
      <c r="I1281" s="4" t="n">
        <v>3</v>
      </c>
      <c r="J1281" s="4" t="n">
        <f aca="false">LEN(E1281)-LEN(SUBSTITUTE(E1281,",",""))+1</f>
        <v>3</v>
      </c>
      <c r="K1281" s="3" t="str">
        <f aca="false">IFERROR(INDEX('Teacher Lookup'!$B$2:$B$200,MATCH(A1281,'Teacher Lookup'!$A$2:$A$200,0)),"")</f>
        <v>CHING Benjamin</v>
      </c>
    </row>
    <row r="1282" customFormat="false" ht="15" hidden="false" customHeight="false" outlineLevel="0" collapsed="false">
      <c r="A1282" s="3" t="s">
        <v>253</v>
      </c>
      <c r="B1282" s="4" t="s">
        <v>31</v>
      </c>
      <c r="C1282" s="4" t="n">
        <v>1</v>
      </c>
      <c r="D1282" s="4" t="s">
        <v>102</v>
      </c>
      <c r="E1282" s="3" t="s">
        <v>256</v>
      </c>
      <c r="F1282" s="4" t="str">
        <f aca="false">IF(I1282&gt;J1282,"Y","N")</f>
        <v>N</v>
      </c>
      <c r="G1282" s="3" t="s">
        <v>164</v>
      </c>
      <c r="H1282" s="3" t="s">
        <v>16</v>
      </c>
      <c r="I1282" s="4" t="n">
        <v>3</v>
      </c>
      <c r="J1282" s="4" t="n">
        <f aca="false">LEN(E1282)-LEN(SUBSTITUTE(E1282,",",""))+1</f>
        <v>3</v>
      </c>
      <c r="K1282" s="3" t="str">
        <f aca="false">IFERROR(INDEX('Teacher Lookup'!$B$2:$B$200,MATCH(A1282,'Teacher Lookup'!$A$2:$A$200,0)),"")</f>
        <v>CHING Benjamin</v>
      </c>
    </row>
    <row r="1283" customFormat="false" ht="15" hidden="false" customHeight="false" outlineLevel="0" collapsed="false">
      <c r="A1283" s="3" t="s">
        <v>253</v>
      </c>
      <c r="B1283" s="4" t="s">
        <v>31</v>
      </c>
      <c r="C1283" s="4" t="n">
        <v>1</v>
      </c>
      <c r="D1283" s="4" t="s">
        <v>107</v>
      </c>
      <c r="E1283" s="3" t="s">
        <v>256</v>
      </c>
      <c r="F1283" s="4" t="str">
        <f aca="false">IF(I1283&gt;J1283,"Y","N")</f>
        <v>N</v>
      </c>
      <c r="G1283" s="3" t="s">
        <v>164</v>
      </c>
      <c r="H1283" s="3" t="s">
        <v>16</v>
      </c>
      <c r="I1283" s="4" t="n">
        <v>3</v>
      </c>
      <c r="J1283" s="4" t="n">
        <f aca="false">LEN(E1283)-LEN(SUBSTITUTE(E1283,",",""))+1</f>
        <v>3</v>
      </c>
      <c r="K1283" s="3" t="str">
        <f aca="false">IFERROR(INDEX('Teacher Lookup'!$B$2:$B$200,MATCH(A1283,'Teacher Lookup'!$A$2:$A$200,0)),"")</f>
        <v>CHING Benjamin</v>
      </c>
    </row>
    <row r="1284" customFormat="false" ht="15" hidden="false" customHeight="false" outlineLevel="0" collapsed="false">
      <c r="A1284" s="3" t="s">
        <v>253</v>
      </c>
      <c r="B1284" s="4" t="s">
        <v>31</v>
      </c>
      <c r="C1284" s="4" t="n">
        <v>2</v>
      </c>
      <c r="D1284" s="4" t="s">
        <v>105</v>
      </c>
      <c r="E1284" s="3" t="s">
        <v>257</v>
      </c>
      <c r="F1284" s="4" t="str">
        <f aca="false">IF(I1284&gt;J1284,"Y","N")</f>
        <v>N</v>
      </c>
      <c r="G1284" s="3" t="s">
        <v>164</v>
      </c>
      <c r="H1284" s="3" t="s">
        <v>21</v>
      </c>
      <c r="I1284" s="4" t="n">
        <v>3</v>
      </c>
      <c r="J1284" s="4" t="n">
        <f aca="false">LEN(E1284)-LEN(SUBSTITUTE(E1284,",",""))+1</f>
        <v>3</v>
      </c>
      <c r="K1284" s="3" t="str">
        <f aca="false">IFERROR(INDEX('Teacher Lookup'!$B$2:$B$200,MATCH(A1284,'Teacher Lookup'!$A$2:$A$200,0)),"")</f>
        <v>CHING Benjamin</v>
      </c>
    </row>
    <row r="1285" customFormat="false" ht="15" hidden="false" customHeight="false" outlineLevel="0" collapsed="false">
      <c r="A1285" s="3" t="s">
        <v>253</v>
      </c>
      <c r="B1285" s="4" t="s">
        <v>31</v>
      </c>
      <c r="C1285" s="4" t="n">
        <v>2</v>
      </c>
      <c r="D1285" s="4" t="s">
        <v>106</v>
      </c>
      <c r="E1285" s="3" t="s">
        <v>257</v>
      </c>
      <c r="F1285" s="4" t="str">
        <f aca="false">IF(I1285&gt;J1285,"Y","N")</f>
        <v>N</v>
      </c>
      <c r="G1285" s="3" t="s">
        <v>164</v>
      </c>
      <c r="H1285" s="3" t="s">
        <v>21</v>
      </c>
      <c r="I1285" s="4" t="n">
        <v>3</v>
      </c>
      <c r="J1285" s="4" t="n">
        <f aca="false">LEN(E1285)-LEN(SUBSTITUTE(E1285,",",""))+1</f>
        <v>3</v>
      </c>
      <c r="K1285" s="3" t="str">
        <f aca="false">IFERROR(INDEX('Teacher Lookup'!$B$2:$B$200,MATCH(A1285,'Teacher Lookup'!$A$2:$A$200,0)),"")</f>
        <v>CHING Benjamin</v>
      </c>
    </row>
    <row r="1286" customFormat="false" ht="15" hidden="false" customHeight="false" outlineLevel="0" collapsed="false">
      <c r="A1286" s="3" t="s">
        <v>253</v>
      </c>
      <c r="B1286" s="4" t="s">
        <v>31</v>
      </c>
      <c r="C1286" s="4" t="n">
        <v>5</v>
      </c>
      <c r="D1286" s="4" t="s">
        <v>228</v>
      </c>
      <c r="E1286" s="3" t="s">
        <v>229</v>
      </c>
      <c r="F1286" s="4" t="str">
        <f aca="false">IF(I1286&gt;J1286,"Y","N")</f>
        <v>Y</v>
      </c>
      <c r="G1286" s="3" t="s">
        <v>36</v>
      </c>
      <c r="H1286" s="3" t="s">
        <v>37</v>
      </c>
      <c r="I1286" s="4" t="n">
        <v>14</v>
      </c>
      <c r="J1286" s="4" t="n">
        <f aca="false">LEN(E1286)-LEN(SUBSTITUTE(E1286,",",""))+1</f>
        <v>6</v>
      </c>
      <c r="K1286" s="3" t="str">
        <f aca="false">IFERROR(INDEX('Teacher Lookup'!$B$2:$B$200,MATCH(A1286,'Teacher Lookup'!$A$2:$A$200,0)),"")</f>
        <v>CHING Benjamin</v>
      </c>
    </row>
    <row r="1287" customFormat="false" ht="15" hidden="false" customHeight="false" outlineLevel="0" collapsed="false">
      <c r="A1287" s="3" t="s">
        <v>253</v>
      </c>
      <c r="B1287" s="4" t="s">
        <v>31</v>
      </c>
      <c r="C1287" s="4" t="n">
        <v>5</v>
      </c>
      <c r="D1287" s="4" t="s">
        <v>102</v>
      </c>
      <c r="E1287" s="3" t="s">
        <v>229</v>
      </c>
      <c r="F1287" s="4" t="str">
        <f aca="false">IF(I1287&gt;J1287,"Y","N")</f>
        <v>Y</v>
      </c>
      <c r="G1287" s="3" t="s">
        <v>36</v>
      </c>
      <c r="H1287" s="3" t="s">
        <v>37</v>
      </c>
      <c r="I1287" s="4" t="n">
        <v>14</v>
      </c>
      <c r="J1287" s="4" t="n">
        <f aca="false">LEN(E1287)-LEN(SUBSTITUTE(E1287,",",""))+1</f>
        <v>6</v>
      </c>
      <c r="K1287" s="3" t="str">
        <f aca="false">IFERROR(INDEX('Teacher Lookup'!$B$2:$B$200,MATCH(A1287,'Teacher Lookup'!$A$2:$A$200,0)),"")</f>
        <v>CHING Benjamin</v>
      </c>
    </row>
    <row r="1288" customFormat="false" ht="15" hidden="false" customHeight="false" outlineLevel="0" collapsed="false">
      <c r="A1288" s="3" t="s">
        <v>253</v>
      </c>
      <c r="B1288" s="4" t="s">
        <v>31</v>
      </c>
      <c r="C1288" s="4" t="n">
        <v>5</v>
      </c>
      <c r="D1288" s="4" t="s">
        <v>105</v>
      </c>
      <c r="E1288" s="3" t="s">
        <v>229</v>
      </c>
      <c r="F1288" s="4" t="str">
        <f aca="false">IF(I1288&gt;J1288,"Y","N")</f>
        <v>Y</v>
      </c>
      <c r="G1288" s="3" t="s">
        <v>36</v>
      </c>
      <c r="H1288" s="3" t="s">
        <v>37</v>
      </c>
      <c r="I1288" s="4" t="n">
        <v>14</v>
      </c>
      <c r="J1288" s="4" t="n">
        <f aca="false">LEN(E1288)-LEN(SUBSTITUTE(E1288,",",""))+1</f>
        <v>6</v>
      </c>
      <c r="K1288" s="3" t="str">
        <f aca="false">IFERROR(INDEX('Teacher Lookup'!$B$2:$B$200,MATCH(A1288,'Teacher Lookup'!$A$2:$A$200,0)),"")</f>
        <v>CHING Benjamin</v>
      </c>
    </row>
    <row r="1289" customFormat="false" ht="15" hidden="false" customHeight="false" outlineLevel="0" collapsed="false">
      <c r="A1289" s="3" t="s">
        <v>253</v>
      </c>
      <c r="B1289" s="4" t="s">
        <v>31</v>
      </c>
      <c r="C1289" s="4" t="n">
        <v>5</v>
      </c>
      <c r="D1289" s="4" t="s">
        <v>106</v>
      </c>
      <c r="E1289" s="3" t="s">
        <v>229</v>
      </c>
      <c r="F1289" s="4" t="str">
        <f aca="false">IF(I1289&gt;J1289,"Y","N")</f>
        <v>Y</v>
      </c>
      <c r="G1289" s="3" t="s">
        <v>36</v>
      </c>
      <c r="H1289" s="3" t="s">
        <v>37</v>
      </c>
      <c r="I1289" s="4" t="n">
        <v>14</v>
      </c>
      <c r="J1289" s="4" t="n">
        <f aca="false">LEN(E1289)-LEN(SUBSTITUTE(E1289,",",""))+1</f>
        <v>6</v>
      </c>
      <c r="K1289" s="3" t="str">
        <f aca="false">IFERROR(INDEX('Teacher Lookup'!$B$2:$B$200,MATCH(A1289,'Teacher Lookup'!$A$2:$A$200,0)),"")</f>
        <v>CHING Benjamin</v>
      </c>
    </row>
    <row r="1290" customFormat="false" ht="15" hidden="false" customHeight="false" outlineLevel="0" collapsed="false">
      <c r="A1290" s="3" t="s">
        <v>253</v>
      </c>
      <c r="B1290" s="4" t="s">
        <v>31</v>
      </c>
      <c r="C1290" s="4" t="n">
        <v>5</v>
      </c>
      <c r="D1290" s="4" t="s">
        <v>107</v>
      </c>
      <c r="E1290" s="3" t="s">
        <v>229</v>
      </c>
      <c r="F1290" s="4" t="str">
        <f aca="false">IF(I1290&gt;J1290,"Y","N")</f>
        <v>Y</v>
      </c>
      <c r="G1290" s="3" t="s">
        <v>36</v>
      </c>
      <c r="H1290" s="3" t="s">
        <v>37</v>
      </c>
      <c r="I1290" s="4" t="n">
        <v>14</v>
      </c>
      <c r="J1290" s="4" t="n">
        <f aca="false">LEN(E1290)-LEN(SUBSTITUTE(E1290,",",""))+1</f>
        <v>6</v>
      </c>
      <c r="K1290" s="3" t="str">
        <f aca="false">IFERROR(INDEX('Teacher Lookup'!$B$2:$B$200,MATCH(A1290,'Teacher Lookup'!$A$2:$A$200,0)),"")</f>
        <v>CHING Benjamin</v>
      </c>
    </row>
    <row r="1291" customFormat="false" ht="15" hidden="false" customHeight="false" outlineLevel="0" collapsed="false">
      <c r="A1291" s="3" t="s">
        <v>253</v>
      </c>
      <c r="B1291" s="4" t="s">
        <v>40</v>
      </c>
      <c r="C1291" s="4" t="n">
        <v>2</v>
      </c>
      <c r="D1291" s="4" t="s">
        <v>105</v>
      </c>
      <c r="E1291" s="3" t="s">
        <v>258</v>
      </c>
      <c r="F1291" s="4" t="str">
        <f aca="false">IF(I1291&gt;J1291,"Y","N")</f>
        <v>N</v>
      </c>
      <c r="G1291" s="3" t="s">
        <v>164</v>
      </c>
      <c r="H1291" s="3" t="s">
        <v>21</v>
      </c>
      <c r="I1291" s="4" t="n">
        <v>3</v>
      </c>
      <c r="J1291" s="4" t="n">
        <f aca="false">LEN(E1291)-LEN(SUBSTITUTE(E1291,",",""))+1</f>
        <v>3</v>
      </c>
      <c r="K1291" s="3" t="str">
        <f aca="false">IFERROR(INDEX('Teacher Lookup'!$B$2:$B$200,MATCH(A1291,'Teacher Lookup'!$A$2:$A$200,0)),"")</f>
        <v>CHING Benjamin</v>
      </c>
    </row>
    <row r="1292" customFormat="false" ht="15" hidden="false" customHeight="false" outlineLevel="0" collapsed="false">
      <c r="A1292" s="3" t="s">
        <v>253</v>
      </c>
      <c r="B1292" s="4" t="s">
        <v>40</v>
      </c>
      <c r="C1292" s="4" t="n">
        <v>2</v>
      </c>
      <c r="D1292" s="4" t="s">
        <v>106</v>
      </c>
      <c r="E1292" s="3" t="s">
        <v>258</v>
      </c>
      <c r="F1292" s="4" t="str">
        <f aca="false">IF(I1292&gt;J1292,"Y","N")</f>
        <v>N</v>
      </c>
      <c r="G1292" s="3" t="s">
        <v>164</v>
      </c>
      <c r="H1292" s="3" t="s">
        <v>21</v>
      </c>
      <c r="I1292" s="4" t="n">
        <v>3</v>
      </c>
      <c r="J1292" s="4" t="n">
        <f aca="false">LEN(E1292)-LEN(SUBSTITUTE(E1292,",",""))+1</f>
        <v>3</v>
      </c>
      <c r="K1292" s="3" t="str">
        <f aca="false">IFERROR(INDEX('Teacher Lookup'!$B$2:$B$200,MATCH(A1292,'Teacher Lookup'!$A$2:$A$200,0)),"")</f>
        <v>CHING Benjamin</v>
      </c>
    </row>
    <row r="1293" customFormat="false" ht="15" hidden="false" customHeight="false" outlineLevel="0" collapsed="false">
      <c r="A1293" s="3" t="s">
        <v>253</v>
      </c>
      <c r="B1293" s="4" t="s">
        <v>40</v>
      </c>
      <c r="C1293" s="4" t="n">
        <v>3</v>
      </c>
      <c r="D1293" s="4" t="s">
        <v>102</v>
      </c>
      <c r="E1293" s="3" t="s">
        <v>259</v>
      </c>
      <c r="F1293" s="4" t="str">
        <f aca="false">IF(I1293&gt;J1293,"Y","N")</f>
        <v>N</v>
      </c>
      <c r="G1293" s="3" t="s">
        <v>164</v>
      </c>
      <c r="H1293" s="3" t="s">
        <v>26</v>
      </c>
      <c r="I1293" s="4" t="n">
        <v>3</v>
      </c>
      <c r="J1293" s="4" t="n">
        <f aca="false">LEN(E1293)-LEN(SUBSTITUTE(E1293,",",""))+1</f>
        <v>3</v>
      </c>
      <c r="K1293" s="3" t="str">
        <f aca="false">IFERROR(INDEX('Teacher Lookup'!$B$2:$B$200,MATCH(A1293,'Teacher Lookup'!$A$2:$A$200,0)),"")</f>
        <v>CHING Benjamin</v>
      </c>
    </row>
    <row r="1294" customFormat="false" ht="15" hidden="false" customHeight="false" outlineLevel="0" collapsed="false">
      <c r="A1294" s="3" t="s">
        <v>253</v>
      </c>
      <c r="B1294" s="4" t="s">
        <v>40</v>
      </c>
      <c r="C1294" s="4" t="n">
        <v>3</v>
      </c>
      <c r="D1294" s="4" t="s">
        <v>107</v>
      </c>
      <c r="E1294" s="3" t="s">
        <v>259</v>
      </c>
      <c r="F1294" s="4" t="str">
        <f aca="false">IF(I1294&gt;J1294,"Y","N")</f>
        <v>N</v>
      </c>
      <c r="G1294" s="3" t="s">
        <v>164</v>
      </c>
      <c r="H1294" s="3" t="s">
        <v>26</v>
      </c>
      <c r="I1294" s="4" t="n">
        <v>3</v>
      </c>
      <c r="J1294" s="4" t="n">
        <f aca="false">LEN(E1294)-LEN(SUBSTITUTE(E1294,",",""))+1</f>
        <v>3</v>
      </c>
      <c r="K1294" s="3" t="str">
        <f aca="false">IFERROR(INDEX('Teacher Lookup'!$B$2:$B$200,MATCH(A1294,'Teacher Lookup'!$A$2:$A$200,0)),"")</f>
        <v>CHING Benjamin</v>
      </c>
    </row>
    <row r="1295" customFormat="false" ht="15" hidden="false" customHeight="false" outlineLevel="0" collapsed="false">
      <c r="A1295" s="3" t="s">
        <v>253</v>
      </c>
      <c r="B1295" s="4" t="s">
        <v>44</v>
      </c>
      <c r="C1295" s="4" t="n">
        <v>1</v>
      </c>
      <c r="D1295" s="4" t="s">
        <v>102</v>
      </c>
      <c r="E1295" s="3" t="s">
        <v>256</v>
      </c>
      <c r="F1295" s="4" t="str">
        <f aca="false">IF(I1295&gt;J1295,"Y","N")</f>
        <v>N</v>
      </c>
      <c r="G1295" s="3" t="s">
        <v>164</v>
      </c>
      <c r="H1295" s="3" t="s">
        <v>16</v>
      </c>
      <c r="I1295" s="4" t="n">
        <v>3</v>
      </c>
      <c r="J1295" s="4" t="n">
        <f aca="false">LEN(E1295)-LEN(SUBSTITUTE(E1295,",",""))+1</f>
        <v>3</v>
      </c>
      <c r="K1295" s="3" t="str">
        <f aca="false">IFERROR(INDEX('Teacher Lookup'!$B$2:$B$200,MATCH(A1295,'Teacher Lookup'!$A$2:$A$200,0)),"")</f>
        <v>CHING Benjamin</v>
      </c>
    </row>
    <row r="1296" customFormat="false" ht="15" hidden="false" customHeight="false" outlineLevel="0" collapsed="false">
      <c r="A1296" s="3" t="s">
        <v>253</v>
      </c>
      <c r="B1296" s="4" t="s">
        <v>44</v>
      </c>
      <c r="C1296" s="4" t="n">
        <v>1</v>
      </c>
      <c r="D1296" s="4" t="s">
        <v>107</v>
      </c>
      <c r="E1296" s="3" t="s">
        <v>256</v>
      </c>
      <c r="F1296" s="4" t="str">
        <f aca="false">IF(I1296&gt;J1296,"Y","N")</f>
        <v>N</v>
      </c>
      <c r="G1296" s="3" t="s">
        <v>164</v>
      </c>
      <c r="H1296" s="3" t="s">
        <v>16</v>
      </c>
      <c r="I1296" s="4" t="n">
        <v>3</v>
      </c>
      <c r="J1296" s="4" t="n">
        <f aca="false">LEN(E1296)-LEN(SUBSTITUTE(E1296,",",""))+1</f>
        <v>3</v>
      </c>
      <c r="K1296" s="3" t="str">
        <f aca="false">IFERROR(INDEX('Teacher Lookup'!$B$2:$B$200,MATCH(A1296,'Teacher Lookup'!$A$2:$A$200,0)),"")</f>
        <v>CHING Benjamin</v>
      </c>
    </row>
    <row r="1297" customFormat="false" ht="15" hidden="false" customHeight="false" outlineLevel="0" collapsed="false">
      <c r="A1297" s="3" t="s">
        <v>253</v>
      </c>
      <c r="B1297" s="4" t="s">
        <v>44</v>
      </c>
      <c r="C1297" s="4" t="n">
        <v>5</v>
      </c>
      <c r="D1297" s="4" t="s">
        <v>228</v>
      </c>
      <c r="E1297" s="3" t="s">
        <v>229</v>
      </c>
      <c r="F1297" s="4" t="str">
        <f aca="false">IF(I1297&gt;J1297,"Y","N")</f>
        <v>Y</v>
      </c>
      <c r="G1297" s="3" t="s">
        <v>36</v>
      </c>
      <c r="H1297" s="3" t="s">
        <v>37</v>
      </c>
      <c r="I1297" s="4" t="n">
        <v>14</v>
      </c>
      <c r="J1297" s="4" t="n">
        <f aca="false">LEN(E1297)-LEN(SUBSTITUTE(E1297,",",""))+1</f>
        <v>6</v>
      </c>
      <c r="K1297" s="3" t="str">
        <f aca="false">IFERROR(INDEX('Teacher Lookup'!$B$2:$B$200,MATCH(A1297,'Teacher Lookup'!$A$2:$A$200,0)),"")</f>
        <v>CHING Benjamin</v>
      </c>
    </row>
    <row r="1298" customFormat="false" ht="15" hidden="false" customHeight="false" outlineLevel="0" collapsed="false">
      <c r="A1298" s="3" t="s">
        <v>253</v>
      </c>
      <c r="B1298" s="4" t="s">
        <v>44</v>
      </c>
      <c r="C1298" s="4" t="n">
        <v>5</v>
      </c>
      <c r="D1298" s="4" t="s">
        <v>102</v>
      </c>
      <c r="E1298" s="3" t="s">
        <v>229</v>
      </c>
      <c r="F1298" s="4" t="str">
        <f aca="false">IF(I1298&gt;J1298,"Y","N")</f>
        <v>Y</v>
      </c>
      <c r="G1298" s="3" t="s">
        <v>36</v>
      </c>
      <c r="H1298" s="3" t="s">
        <v>37</v>
      </c>
      <c r="I1298" s="4" t="n">
        <v>14</v>
      </c>
      <c r="J1298" s="4" t="n">
        <f aca="false">LEN(E1298)-LEN(SUBSTITUTE(E1298,",",""))+1</f>
        <v>6</v>
      </c>
      <c r="K1298" s="3" t="str">
        <f aca="false">IFERROR(INDEX('Teacher Lookup'!$B$2:$B$200,MATCH(A1298,'Teacher Lookup'!$A$2:$A$200,0)),"")</f>
        <v>CHING Benjamin</v>
      </c>
    </row>
    <row r="1299" customFormat="false" ht="15" hidden="false" customHeight="false" outlineLevel="0" collapsed="false">
      <c r="A1299" s="3" t="s">
        <v>253</v>
      </c>
      <c r="B1299" s="4" t="s">
        <v>44</v>
      </c>
      <c r="C1299" s="4" t="n">
        <v>5</v>
      </c>
      <c r="D1299" s="4" t="s">
        <v>105</v>
      </c>
      <c r="E1299" s="3" t="s">
        <v>229</v>
      </c>
      <c r="F1299" s="4" t="str">
        <f aca="false">IF(I1299&gt;J1299,"Y","N")</f>
        <v>Y</v>
      </c>
      <c r="G1299" s="3" t="s">
        <v>36</v>
      </c>
      <c r="H1299" s="3" t="s">
        <v>37</v>
      </c>
      <c r="I1299" s="4" t="n">
        <v>14</v>
      </c>
      <c r="J1299" s="4" t="n">
        <f aca="false">LEN(E1299)-LEN(SUBSTITUTE(E1299,",",""))+1</f>
        <v>6</v>
      </c>
      <c r="K1299" s="3" t="str">
        <f aca="false">IFERROR(INDEX('Teacher Lookup'!$B$2:$B$200,MATCH(A1299,'Teacher Lookup'!$A$2:$A$200,0)),"")</f>
        <v>CHING Benjamin</v>
      </c>
    </row>
    <row r="1300" customFormat="false" ht="15" hidden="false" customHeight="false" outlineLevel="0" collapsed="false">
      <c r="A1300" s="3" t="s">
        <v>253</v>
      </c>
      <c r="B1300" s="4" t="s">
        <v>44</v>
      </c>
      <c r="C1300" s="4" t="n">
        <v>5</v>
      </c>
      <c r="D1300" s="4" t="s">
        <v>106</v>
      </c>
      <c r="E1300" s="3" t="s">
        <v>229</v>
      </c>
      <c r="F1300" s="4" t="str">
        <f aca="false">IF(I1300&gt;J1300,"Y","N")</f>
        <v>Y</v>
      </c>
      <c r="G1300" s="3" t="s">
        <v>36</v>
      </c>
      <c r="H1300" s="3" t="s">
        <v>37</v>
      </c>
      <c r="I1300" s="4" t="n">
        <v>14</v>
      </c>
      <c r="J1300" s="4" t="n">
        <f aca="false">LEN(E1300)-LEN(SUBSTITUTE(E1300,",",""))+1</f>
        <v>6</v>
      </c>
      <c r="K1300" s="3" t="str">
        <f aca="false">IFERROR(INDEX('Teacher Lookup'!$B$2:$B$200,MATCH(A1300,'Teacher Lookup'!$A$2:$A$200,0)),"")</f>
        <v>CHING Benjamin</v>
      </c>
    </row>
    <row r="1301" customFormat="false" ht="15" hidden="false" customHeight="false" outlineLevel="0" collapsed="false">
      <c r="A1301" s="3" t="s">
        <v>253</v>
      </c>
      <c r="B1301" s="4" t="s">
        <v>44</v>
      </c>
      <c r="C1301" s="4" t="n">
        <v>5</v>
      </c>
      <c r="D1301" s="4" t="s">
        <v>107</v>
      </c>
      <c r="E1301" s="3" t="s">
        <v>229</v>
      </c>
      <c r="F1301" s="4" t="str">
        <f aca="false">IF(I1301&gt;J1301,"Y","N")</f>
        <v>Y</v>
      </c>
      <c r="G1301" s="3" t="s">
        <v>36</v>
      </c>
      <c r="H1301" s="3" t="s">
        <v>37</v>
      </c>
      <c r="I1301" s="4" t="n">
        <v>14</v>
      </c>
      <c r="J1301" s="4" t="n">
        <f aca="false">LEN(E1301)-LEN(SUBSTITUTE(E1301,",",""))+1</f>
        <v>6</v>
      </c>
      <c r="K1301" s="3" t="str">
        <f aca="false">IFERROR(INDEX('Teacher Lookup'!$B$2:$B$200,MATCH(A1301,'Teacher Lookup'!$A$2:$A$200,0)),"")</f>
        <v>CHING Benjamin</v>
      </c>
    </row>
    <row r="1302" customFormat="false" ht="15" hidden="false" customHeight="false" outlineLevel="0" collapsed="false">
      <c r="A1302" s="3" t="s">
        <v>253</v>
      </c>
      <c r="B1302" s="4" t="s">
        <v>44</v>
      </c>
      <c r="C1302" s="4" t="n">
        <v>6</v>
      </c>
      <c r="D1302" s="4" t="s">
        <v>105</v>
      </c>
      <c r="E1302" s="3" t="s">
        <v>257</v>
      </c>
      <c r="F1302" s="4" t="str">
        <f aca="false">IF(I1302&gt;J1302,"Y","N")</f>
        <v>N</v>
      </c>
      <c r="G1302" s="3" t="s">
        <v>164</v>
      </c>
      <c r="H1302" s="3" t="s">
        <v>42</v>
      </c>
      <c r="I1302" s="4" t="n">
        <v>3</v>
      </c>
      <c r="J1302" s="4" t="n">
        <f aca="false">LEN(E1302)-LEN(SUBSTITUTE(E1302,",",""))+1</f>
        <v>3</v>
      </c>
      <c r="K1302" s="3" t="str">
        <f aca="false">IFERROR(INDEX('Teacher Lookup'!$B$2:$B$200,MATCH(A1302,'Teacher Lookup'!$A$2:$A$200,0)),"")</f>
        <v>CHING Benjamin</v>
      </c>
    </row>
    <row r="1303" customFormat="false" ht="15" hidden="false" customHeight="false" outlineLevel="0" collapsed="false">
      <c r="A1303" s="3" t="s">
        <v>253</v>
      </c>
      <c r="B1303" s="4" t="s">
        <v>44</v>
      </c>
      <c r="C1303" s="4" t="n">
        <v>6</v>
      </c>
      <c r="D1303" s="4" t="s">
        <v>106</v>
      </c>
      <c r="E1303" s="3" t="s">
        <v>257</v>
      </c>
      <c r="F1303" s="4" t="str">
        <f aca="false">IF(I1303&gt;J1303,"Y","N")</f>
        <v>N</v>
      </c>
      <c r="G1303" s="3" t="s">
        <v>164</v>
      </c>
      <c r="H1303" s="3" t="s">
        <v>42</v>
      </c>
      <c r="I1303" s="4" t="n">
        <v>3</v>
      </c>
      <c r="J1303" s="4" t="n">
        <f aca="false">LEN(E1303)-LEN(SUBSTITUTE(E1303,",",""))+1</f>
        <v>3</v>
      </c>
      <c r="K1303" s="3" t="str">
        <f aca="false">IFERROR(INDEX('Teacher Lookup'!$B$2:$B$200,MATCH(A1303,'Teacher Lookup'!$A$2:$A$200,0)),"")</f>
        <v>CHING Benjamin</v>
      </c>
    </row>
    <row r="1304" customFormat="false" ht="15" hidden="false" customHeight="false" outlineLevel="0" collapsed="false">
      <c r="A1304" s="3" t="s">
        <v>253</v>
      </c>
      <c r="B1304" s="4" t="s">
        <v>47</v>
      </c>
      <c r="C1304" s="4" t="n">
        <v>1</v>
      </c>
      <c r="D1304" s="4" t="s">
        <v>105</v>
      </c>
      <c r="E1304" s="3" t="s">
        <v>260</v>
      </c>
      <c r="F1304" s="4" t="str">
        <f aca="false">IF(I1304&gt;J1304,"Y","N")</f>
        <v>N</v>
      </c>
      <c r="G1304" s="3" t="s">
        <v>164</v>
      </c>
      <c r="H1304" s="3" t="s">
        <v>16</v>
      </c>
      <c r="I1304" s="4" t="n">
        <v>3</v>
      </c>
      <c r="J1304" s="4" t="n">
        <f aca="false">LEN(E1304)-LEN(SUBSTITUTE(E1304,",",""))+1</f>
        <v>3</v>
      </c>
      <c r="K1304" s="3" t="str">
        <f aca="false">IFERROR(INDEX('Teacher Lookup'!$B$2:$B$200,MATCH(A1304,'Teacher Lookup'!$A$2:$A$200,0)),"")</f>
        <v>CHING Benjamin</v>
      </c>
    </row>
    <row r="1305" customFormat="false" ht="15" hidden="false" customHeight="false" outlineLevel="0" collapsed="false">
      <c r="A1305" s="3" t="s">
        <v>253</v>
      </c>
      <c r="B1305" s="4" t="s">
        <v>47</v>
      </c>
      <c r="C1305" s="4" t="n">
        <v>1</v>
      </c>
      <c r="D1305" s="4" t="s">
        <v>106</v>
      </c>
      <c r="E1305" s="3" t="s">
        <v>260</v>
      </c>
      <c r="F1305" s="4" t="str">
        <f aca="false">IF(I1305&gt;J1305,"Y","N")</f>
        <v>N</v>
      </c>
      <c r="G1305" s="3" t="s">
        <v>164</v>
      </c>
      <c r="H1305" s="3" t="s">
        <v>16</v>
      </c>
      <c r="I1305" s="4" t="n">
        <v>3</v>
      </c>
      <c r="J1305" s="4" t="n">
        <f aca="false">LEN(E1305)-LEN(SUBSTITUTE(E1305,",",""))+1</f>
        <v>3</v>
      </c>
      <c r="K1305" s="3" t="str">
        <f aca="false">IFERROR(INDEX('Teacher Lookup'!$B$2:$B$200,MATCH(A1305,'Teacher Lookup'!$A$2:$A$200,0)),"")</f>
        <v>CHING Benjamin</v>
      </c>
    </row>
    <row r="1306" customFormat="false" ht="15" hidden="false" customHeight="false" outlineLevel="0" collapsed="false">
      <c r="A1306" s="3" t="s">
        <v>253</v>
      </c>
      <c r="B1306" s="4" t="s">
        <v>47</v>
      </c>
      <c r="C1306" s="4" t="n">
        <v>4</v>
      </c>
      <c r="D1306" s="4" t="s">
        <v>102</v>
      </c>
      <c r="E1306" s="3" t="s">
        <v>261</v>
      </c>
      <c r="F1306" s="4" t="str">
        <f aca="false">IF(I1306&gt;J1306,"Y","N")</f>
        <v>N</v>
      </c>
      <c r="G1306" s="3" t="s">
        <v>164</v>
      </c>
      <c r="H1306" s="3" t="s">
        <v>34</v>
      </c>
      <c r="I1306" s="4" t="n">
        <v>3</v>
      </c>
      <c r="J1306" s="4" t="n">
        <f aca="false">LEN(E1306)-LEN(SUBSTITUTE(E1306,",",""))+1</f>
        <v>3</v>
      </c>
      <c r="K1306" s="3" t="str">
        <f aca="false">IFERROR(INDEX('Teacher Lookup'!$B$2:$B$200,MATCH(A1306,'Teacher Lookup'!$A$2:$A$200,0)),"")</f>
        <v>CHING Benjamin</v>
      </c>
    </row>
    <row r="1307" customFormat="false" ht="15" hidden="false" customHeight="false" outlineLevel="0" collapsed="false">
      <c r="A1307" s="3" t="s">
        <v>253</v>
      </c>
      <c r="B1307" s="4" t="s">
        <v>47</v>
      </c>
      <c r="C1307" s="4" t="n">
        <v>4</v>
      </c>
      <c r="D1307" s="4" t="s">
        <v>107</v>
      </c>
      <c r="E1307" s="3" t="s">
        <v>261</v>
      </c>
      <c r="F1307" s="4" t="str">
        <f aca="false">IF(I1307&gt;J1307,"Y","N")</f>
        <v>N</v>
      </c>
      <c r="G1307" s="3" t="s">
        <v>164</v>
      </c>
      <c r="H1307" s="3" t="s">
        <v>34</v>
      </c>
      <c r="I1307" s="4" t="n">
        <v>3</v>
      </c>
      <c r="J1307" s="4" t="n">
        <f aca="false">LEN(E1307)-LEN(SUBSTITUTE(E1307,",",""))+1</f>
        <v>3</v>
      </c>
      <c r="K1307" s="3" t="str">
        <f aca="false">IFERROR(INDEX('Teacher Lookup'!$B$2:$B$200,MATCH(A1307,'Teacher Lookup'!$A$2:$A$200,0)),"")</f>
        <v>CHING Benjamin</v>
      </c>
    </row>
    <row r="1308" customFormat="false" ht="15" hidden="false" customHeight="false" outlineLevel="0" collapsed="false">
      <c r="A1308" s="3" t="s">
        <v>253</v>
      </c>
      <c r="B1308" s="4" t="s">
        <v>50</v>
      </c>
      <c r="C1308" s="4" t="n">
        <v>4</v>
      </c>
      <c r="D1308" s="4" t="s">
        <v>102</v>
      </c>
      <c r="E1308" s="3" t="s">
        <v>262</v>
      </c>
      <c r="F1308" s="4" t="str">
        <f aca="false">IF(I1308&gt;J1308,"Y","N")</f>
        <v>N</v>
      </c>
      <c r="G1308" s="3" t="s">
        <v>164</v>
      </c>
      <c r="H1308" s="3" t="s">
        <v>34</v>
      </c>
      <c r="I1308" s="4" t="n">
        <v>3</v>
      </c>
      <c r="J1308" s="4" t="n">
        <f aca="false">LEN(E1308)-LEN(SUBSTITUTE(E1308,",",""))+1</f>
        <v>3</v>
      </c>
      <c r="K1308" s="3" t="str">
        <f aca="false">IFERROR(INDEX('Teacher Lookup'!$B$2:$B$200,MATCH(A1308,'Teacher Lookup'!$A$2:$A$200,0)),"")</f>
        <v>CHING Benjamin</v>
      </c>
    </row>
    <row r="1309" customFormat="false" ht="15" hidden="false" customHeight="false" outlineLevel="0" collapsed="false">
      <c r="A1309" s="3" t="s">
        <v>253</v>
      </c>
      <c r="B1309" s="4" t="s">
        <v>50</v>
      </c>
      <c r="C1309" s="4" t="n">
        <v>4</v>
      </c>
      <c r="D1309" s="4" t="s">
        <v>107</v>
      </c>
      <c r="E1309" s="3" t="s">
        <v>262</v>
      </c>
      <c r="F1309" s="4" t="str">
        <f aca="false">IF(I1309&gt;J1309,"Y","N")</f>
        <v>N</v>
      </c>
      <c r="G1309" s="3" t="s">
        <v>164</v>
      </c>
      <c r="H1309" s="3" t="s">
        <v>34</v>
      </c>
      <c r="I1309" s="4" t="n">
        <v>3</v>
      </c>
      <c r="J1309" s="4" t="n">
        <f aca="false">LEN(E1309)-LEN(SUBSTITUTE(E1309,",",""))+1</f>
        <v>3</v>
      </c>
      <c r="K1309" s="3" t="str">
        <f aca="false">IFERROR(INDEX('Teacher Lookup'!$B$2:$B$200,MATCH(A1309,'Teacher Lookup'!$A$2:$A$200,0)),"")</f>
        <v>CHING Benjamin</v>
      </c>
    </row>
    <row r="1310" customFormat="false" ht="15" hidden="false" customHeight="false" outlineLevel="0" collapsed="false">
      <c r="A1310" s="3" t="s">
        <v>253</v>
      </c>
      <c r="B1310" s="4" t="s">
        <v>50</v>
      </c>
      <c r="C1310" s="4" t="n">
        <v>5</v>
      </c>
      <c r="D1310" s="4" t="s">
        <v>102</v>
      </c>
      <c r="E1310" s="3" t="s">
        <v>262</v>
      </c>
      <c r="F1310" s="4" t="str">
        <f aca="false">IF(I1310&gt;J1310,"Y","N")</f>
        <v>N</v>
      </c>
      <c r="G1310" s="3" t="s">
        <v>164</v>
      </c>
      <c r="H1310" s="3" t="s">
        <v>37</v>
      </c>
      <c r="I1310" s="4" t="n">
        <v>3</v>
      </c>
      <c r="J1310" s="4" t="n">
        <f aca="false">LEN(E1310)-LEN(SUBSTITUTE(E1310,",",""))+1</f>
        <v>3</v>
      </c>
      <c r="K1310" s="3" t="str">
        <f aca="false">IFERROR(INDEX('Teacher Lookup'!$B$2:$B$200,MATCH(A1310,'Teacher Lookup'!$A$2:$A$200,0)),"")</f>
        <v>CHING Benjamin</v>
      </c>
    </row>
    <row r="1311" customFormat="false" ht="15" hidden="false" customHeight="false" outlineLevel="0" collapsed="false">
      <c r="A1311" s="3" t="s">
        <v>253</v>
      </c>
      <c r="B1311" s="4" t="s">
        <v>50</v>
      </c>
      <c r="C1311" s="4" t="n">
        <v>5</v>
      </c>
      <c r="D1311" s="4" t="s">
        <v>107</v>
      </c>
      <c r="E1311" s="3" t="s">
        <v>262</v>
      </c>
      <c r="F1311" s="4" t="str">
        <f aca="false">IF(I1311&gt;J1311,"Y","N")</f>
        <v>N</v>
      </c>
      <c r="G1311" s="3" t="s">
        <v>164</v>
      </c>
      <c r="H1311" s="3" t="s">
        <v>37</v>
      </c>
      <c r="I1311" s="4" t="n">
        <v>3</v>
      </c>
      <c r="J1311" s="4" t="n">
        <f aca="false">LEN(E1311)-LEN(SUBSTITUTE(E1311,",",""))+1</f>
        <v>3</v>
      </c>
      <c r="K1311" s="3" t="str">
        <f aca="false">IFERROR(INDEX('Teacher Lookup'!$B$2:$B$200,MATCH(A1311,'Teacher Lookup'!$A$2:$A$200,0)),"")</f>
        <v>CHING Benjamin</v>
      </c>
    </row>
    <row r="1312" customFormat="false" ht="15" hidden="false" customHeight="false" outlineLevel="0" collapsed="false">
      <c r="A1312" s="3" t="s">
        <v>253</v>
      </c>
      <c r="B1312" s="4" t="s">
        <v>50</v>
      </c>
      <c r="C1312" s="4" t="n">
        <v>6</v>
      </c>
      <c r="D1312" s="4" t="s">
        <v>105</v>
      </c>
      <c r="E1312" s="3" t="s">
        <v>263</v>
      </c>
      <c r="F1312" s="4" t="str">
        <f aca="false">IF(I1312&gt;J1312,"Y","N")</f>
        <v>N</v>
      </c>
      <c r="G1312" s="3" t="s">
        <v>164</v>
      </c>
      <c r="H1312" s="3" t="s">
        <v>42</v>
      </c>
      <c r="I1312" s="4" t="n">
        <v>3</v>
      </c>
      <c r="J1312" s="4" t="n">
        <f aca="false">LEN(E1312)-LEN(SUBSTITUTE(E1312,",",""))+1</f>
        <v>3</v>
      </c>
      <c r="K1312" s="3" t="str">
        <f aca="false">IFERROR(INDEX('Teacher Lookup'!$B$2:$B$200,MATCH(A1312,'Teacher Lookup'!$A$2:$A$200,0)),"")</f>
        <v>CHING Benjamin</v>
      </c>
    </row>
    <row r="1313" customFormat="false" ht="15" hidden="false" customHeight="false" outlineLevel="0" collapsed="false">
      <c r="A1313" s="3" t="s">
        <v>253</v>
      </c>
      <c r="B1313" s="4" t="s">
        <v>50</v>
      </c>
      <c r="C1313" s="4" t="n">
        <v>6</v>
      </c>
      <c r="D1313" s="4" t="s">
        <v>106</v>
      </c>
      <c r="E1313" s="3" t="s">
        <v>263</v>
      </c>
      <c r="F1313" s="4" t="str">
        <f aca="false">IF(I1313&gt;J1313,"Y","N")</f>
        <v>N</v>
      </c>
      <c r="G1313" s="3" t="s">
        <v>164</v>
      </c>
      <c r="H1313" s="3" t="s">
        <v>42</v>
      </c>
      <c r="I1313" s="4" t="n">
        <v>3</v>
      </c>
      <c r="J1313" s="4" t="n">
        <f aca="false">LEN(E1313)-LEN(SUBSTITUTE(E1313,",",""))+1</f>
        <v>3</v>
      </c>
      <c r="K1313" s="3" t="str">
        <f aca="false">IFERROR(INDEX('Teacher Lookup'!$B$2:$B$200,MATCH(A1313,'Teacher Lookup'!$A$2:$A$200,0)),"")</f>
        <v>CHING Benjamin</v>
      </c>
    </row>
    <row r="1314" customFormat="false" ht="15" hidden="false" customHeight="false" outlineLevel="0" collapsed="false">
      <c r="A1314" s="3" t="s">
        <v>253</v>
      </c>
      <c r="B1314" s="4" t="s">
        <v>60</v>
      </c>
      <c r="C1314" s="4" t="n">
        <v>2</v>
      </c>
      <c r="D1314" s="4" t="s">
        <v>102</v>
      </c>
      <c r="E1314" s="3" t="s">
        <v>264</v>
      </c>
      <c r="F1314" s="4" t="str">
        <f aca="false">IF(I1314&gt;J1314,"Y","N")</f>
        <v>N</v>
      </c>
      <c r="G1314" s="3" t="s">
        <v>164</v>
      </c>
      <c r="H1314" s="3" t="s">
        <v>21</v>
      </c>
      <c r="I1314" s="4" t="n">
        <v>3</v>
      </c>
      <c r="J1314" s="4" t="n">
        <f aca="false">LEN(E1314)-LEN(SUBSTITUTE(E1314,",",""))+1</f>
        <v>3</v>
      </c>
      <c r="K1314" s="3" t="str">
        <f aca="false">IFERROR(INDEX('Teacher Lookup'!$B$2:$B$200,MATCH(A1314,'Teacher Lookup'!$A$2:$A$200,0)),"")</f>
        <v>CHING Benjamin</v>
      </c>
    </row>
    <row r="1315" customFormat="false" ht="15" hidden="false" customHeight="false" outlineLevel="0" collapsed="false">
      <c r="A1315" s="3" t="s">
        <v>253</v>
      </c>
      <c r="B1315" s="4" t="s">
        <v>60</v>
      </c>
      <c r="C1315" s="4" t="n">
        <v>2</v>
      </c>
      <c r="D1315" s="4" t="s">
        <v>107</v>
      </c>
      <c r="E1315" s="3" t="s">
        <v>264</v>
      </c>
      <c r="F1315" s="4" t="str">
        <f aca="false">IF(I1315&gt;J1315,"Y","N")</f>
        <v>N</v>
      </c>
      <c r="G1315" s="3" t="s">
        <v>164</v>
      </c>
      <c r="H1315" s="3" t="s">
        <v>21</v>
      </c>
      <c r="I1315" s="4" t="n">
        <v>3</v>
      </c>
      <c r="J1315" s="4" t="n">
        <f aca="false">LEN(E1315)-LEN(SUBSTITUTE(E1315,",",""))+1</f>
        <v>3</v>
      </c>
      <c r="K1315" s="3" t="str">
        <f aca="false">IFERROR(INDEX('Teacher Lookup'!$B$2:$B$200,MATCH(A1315,'Teacher Lookup'!$A$2:$A$200,0)),"")</f>
        <v>CHING Benjamin</v>
      </c>
    </row>
    <row r="1316" customFormat="false" ht="15" hidden="false" customHeight="false" outlineLevel="0" collapsed="false">
      <c r="A1316" s="3" t="s">
        <v>253</v>
      </c>
      <c r="B1316" s="4" t="s">
        <v>60</v>
      </c>
      <c r="C1316" s="4" t="n">
        <v>5</v>
      </c>
      <c r="D1316" s="4" t="s">
        <v>228</v>
      </c>
      <c r="E1316" s="3" t="s">
        <v>229</v>
      </c>
      <c r="F1316" s="4" t="str">
        <f aca="false">IF(I1316&gt;J1316,"Y","N")</f>
        <v>Y</v>
      </c>
      <c r="G1316" s="3" t="s">
        <v>36</v>
      </c>
      <c r="H1316" s="3" t="s">
        <v>37</v>
      </c>
      <c r="I1316" s="4" t="n">
        <v>14</v>
      </c>
      <c r="J1316" s="4" t="n">
        <f aca="false">LEN(E1316)-LEN(SUBSTITUTE(E1316,",",""))+1</f>
        <v>6</v>
      </c>
      <c r="K1316" s="3" t="str">
        <f aca="false">IFERROR(INDEX('Teacher Lookup'!$B$2:$B$200,MATCH(A1316,'Teacher Lookup'!$A$2:$A$200,0)),"")</f>
        <v>CHING Benjamin</v>
      </c>
    </row>
    <row r="1317" customFormat="false" ht="15" hidden="false" customHeight="false" outlineLevel="0" collapsed="false">
      <c r="A1317" s="3" t="s">
        <v>253</v>
      </c>
      <c r="B1317" s="4" t="s">
        <v>60</v>
      </c>
      <c r="C1317" s="4" t="n">
        <v>5</v>
      </c>
      <c r="D1317" s="4" t="s">
        <v>102</v>
      </c>
      <c r="E1317" s="3" t="s">
        <v>229</v>
      </c>
      <c r="F1317" s="4" t="str">
        <f aca="false">IF(I1317&gt;J1317,"Y","N")</f>
        <v>Y</v>
      </c>
      <c r="G1317" s="3" t="s">
        <v>36</v>
      </c>
      <c r="H1317" s="3" t="s">
        <v>37</v>
      </c>
      <c r="I1317" s="4" t="n">
        <v>14</v>
      </c>
      <c r="J1317" s="4" t="n">
        <f aca="false">LEN(E1317)-LEN(SUBSTITUTE(E1317,",",""))+1</f>
        <v>6</v>
      </c>
      <c r="K1317" s="3" t="str">
        <f aca="false">IFERROR(INDEX('Teacher Lookup'!$B$2:$B$200,MATCH(A1317,'Teacher Lookup'!$A$2:$A$200,0)),"")</f>
        <v>CHING Benjamin</v>
      </c>
    </row>
    <row r="1318" customFormat="false" ht="15" hidden="false" customHeight="false" outlineLevel="0" collapsed="false">
      <c r="A1318" s="3" t="s">
        <v>253</v>
      </c>
      <c r="B1318" s="4" t="s">
        <v>60</v>
      </c>
      <c r="C1318" s="4" t="n">
        <v>5</v>
      </c>
      <c r="D1318" s="4" t="s">
        <v>105</v>
      </c>
      <c r="E1318" s="3" t="s">
        <v>229</v>
      </c>
      <c r="F1318" s="4" t="str">
        <f aca="false">IF(I1318&gt;J1318,"Y","N")</f>
        <v>Y</v>
      </c>
      <c r="G1318" s="3" t="s">
        <v>36</v>
      </c>
      <c r="H1318" s="3" t="s">
        <v>37</v>
      </c>
      <c r="I1318" s="4" t="n">
        <v>14</v>
      </c>
      <c r="J1318" s="4" t="n">
        <f aca="false">LEN(E1318)-LEN(SUBSTITUTE(E1318,",",""))+1</f>
        <v>6</v>
      </c>
      <c r="K1318" s="3" t="str">
        <f aca="false">IFERROR(INDEX('Teacher Lookup'!$B$2:$B$200,MATCH(A1318,'Teacher Lookup'!$A$2:$A$200,0)),"")</f>
        <v>CHING Benjamin</v>
      </c>
    </row>
    <row r="1319" customFormat="false" ht="15" hidden="false" customHeight="false" outlineLevel="0" collapsed="false">
      <c r="A1319" s="3" t="s">
        <v>253</v>
      </c>
      <c r="B1319" s="4" t="s">
        <v>60</v>
      </c>
      <c r="C1319" s="4" t="n">
        <v>5</v>
      </c>
      <c r="D1319" s="4" t="s">
        <v>106</v>
      </c>
      <c r="E1319" s="3" t="s">
        <v>229</v>
      </c>
      <c r="F1319" s="4" t="str">
        <f aca="false">IF(I1319&gt;J1319,"Y","N")</f>
        <v>Y</v>
      </c>
      <c r="G1319" s="3" t="s">
        <v>36</v>
      </c>
      <c r="H1319" s="3" t="s">
        <v>37</v>
      </c>
      <c r="I1319" s="4" t="n">
        <v>14</v>
      </c>
      <c r="J1319" s="4" t="n">
        <f aca="false">LEN(E1319)-LEN(SUBSTITUTE(E1319,",",""))+1</f>
        <v>6</v>
      </c>
      <c r="K1319" s="3" t="str">
        <f aca="false">IFERROR(INDEX('Teacher Lookup'!$B$2:$B$200,MATCH(A1319,'Teacher Lookup'!$A$2:$A$200,0)),"")</f>
        <v>CHING Benjamin</v>
      </c>
    </row>
    <row r="1320" customFormat="false" ht="15" hidden="false" customHeight="false" outlineLevel="0" collapsed="false">
      <c r="A1320" s="3" t="s">
        <v>253</v>
      </c>
      <c r="B1320" s="4" t="s">
        <v>60</v>
      </c>
      <c r="C1320" s="4" t="n">
        <v>5</v>
      </c>
      <c r="D1320" s="4" t="s">
        <v>107</v>
      </c>
      <c r="E1320" s="3" t="s">
        <v>229</v>
      </c>
      <c r="F1320" s="4" t="str">
        <f aca="false">IF(I1320&gt;J1320,"Y","N")</f>
        <v>Y</v>
      </c>
      <c r="G1320" s="3" t="s">
        <v>36</v>
      </c>
      <c r="H1320" s="3" t="s">
        <v>37</v>
      </c>
      <c r="I1320" s="4" t="n">
        <v>14</v>
      </c>
      <c r="J1320" s="4" t="n">
        <f aca="false">LEN(E1320)-LEN(SUBSTITUTE(E1320,",",""))+1</f>
        <v>6</v>
      </c>
      <c r="K1320" s="3" t="str">
        <f aca="false">IFERROR(INDEX('Teacher Lookup'!$B$2:$B$200,MATCH(A1320,'Teacher Lookup'!$A$2:$A$200,0)),"")</f>
        <v>CHING Benjamin</v>
      </c>
    </row>
    <row r="1321" customFormat="false" ht="15" hidden="false" customHeight="false" outlineLevel="0" collapsed="false">
      <c r="A1321" s="3" t="s">
        <v>253</v>
      </c>
      <c r="B1321" s="4" t="s">
        <v>60</v>
      </c>
      <c r="C1321" s="4" t="n">
        <v>6</v>
      </c>
      <c r="D1321" s="4" t="s">
        <v>105</v>
      </c>
      <c r="E1321" s="3" t="s">
        <v>265</v>
      </c>
      <c r="F1321" s="4" t="str">
        <f aca="false">IF(I1321&gt;J1321,"Y","N")</f>
        <v>N</v>
      </c>
      <c r="G1321" s="3" t="s">
        <v>164</v>
      </c>
      <c r="H1321" s="3" t="s">
        <v>42</v>
      </c>
      <c r="I1321" s="4" t="n">
        <v>3</v>
      </c>
      <c r="J1321" s="4" t="n">
        <f aca="false">LEN(E1321)-LEN(SUBSTITUTE(E1321,",",""))+1</f>
        <v>3</v>
      </c>
      <c r="K1321" s="3" t="str">
        <f aca="false">IFERROR(INDEX('Teacher Lookup'!$B$2:$B$200,MATCH(A1321,'Teacher Lookup'!$A$2:$A$200,0)),"")</f>
        <v>CHING Benjamin</v>
      </c>
    </row>
    <row r="1322" customFormat="false" ht="15" hidden="false" customHeight="false" outlineLevel="0" collapsed="false">
      <c r="A1322" s="3" t="s">
        <v>253</v>
      </c>
      <c r="B1322" s="4" t="s">
        <v>60</v>
      </c>
      <c r="C1322" s="4" t="n">
        <v>6</v>
      </c>
      <c r="D1322" s="4" t="s">
        <v>106</v>
      </c>
      <c r="E1322" s="3" t="s">
        <v>265</v>
      </c>
      <c r="F1322" s="4" t="str">
        <f aca="false">IF(I1322&gt;J1322,"Y","N")</f>
        <v>N</v>
      </c>
      <c r="G1322" s="3" t="s">
        <v>164</v>
      </c>
      <c r="H1322" s="3" t="s">
        <v>42</v>
      </c>
      <c r="I1322" s="4" t="n">
        <v>3</v>
      </c>
      <c r="J1322" s="4" t="n">
        <f aca="false">LEN(E1322)-LEN(SUBSTITUTE(E1322,",",""))+1</f>
        <v>3</v>
      </c>
      <c r="K1322" s="3" t="str">
        <f aca="false">IFERROR(INDEX('Teacher Lookup'!$B$2:$B$200,MATCH(A1322,'Teacher Lookup'!$A$2:$A$200,0)),"")</f>
        <v>CHING Benjamin</v>
      </c>
    </row>
    <row r="1323" customFormat="false" ht="15" hidden="false" customHeight="false" outlineLevel="0" collapsed="false">
      <c r="A1323" s="3" t="s">
        <v>253</v>
      </c>
      <c r="B1323" s="4" t="s">
        <v>60</v>
      </c>
      <c r="C1323" s="4" t="n">
        <v>7</v>
      </c>
      <c r="D1323" s="4" t="s">
        <v>105</v>
      </c>
      <c r="E1323" s="3" t="s">
        <v>265</v>
      </c>
      <c r="F1323" s="4" t="str">
        <f aca="false">IF(I1323&gt;J1323,"Y","N")</f>
        <v>N</v>
      </c>
      <c r="G1323" s="3" t="s">
        <v>164</v>
      </c>
      <c r="H1323" s="3" t="s">
        <v>39</v>
      </c>
      <c r="I1323" s="4" t="n">
        <v>3</v>
      </c>
      <c r="J1323" s="4" t="n">
        <f aca="false">LEN(E1323)-LEN(SUBSTITUTE(E1323,",",""))+1</f>
        <v>3</v>
      </c>
      <c r="K1323" s="3" t="str">
        <f aca="false">IFERROR(INDEX('Teacher Lookup'!$B$2:$B$200,MATCH(A1323,'Teacher Lookup'!$A$2:$A$200,0)),"")</f>
        <v>CHING Benjamin</v>
      </c>
    </row>
    <row r="1324" customFormat="false" ht="15" hidden="false" customHeight="false" outlineLevel="0" collapsed="false">
      <c r="A1324" s="3" t="s">
        <v>253</v>
      </c>
      <c r="B1324" s="4" t="s">
        <v>60</v>
      </c>
      <c r="C1324" s="4" t="n">
        <v>7</v>
      </c>
      <c r="D1324" s="4" t="s">
        <v>106</v>
      </c>
      <c r="E1324" s="3" t="s">
        <v>265</v>
      </c>
      <c r="F1324" s="4" t="str">
        <f aca="false">IF(I1324&gt;J1324,"Y","N")</f>
        <v>N</v>
      </c>
      <c r="G1324" s="3" t="s">
        <v>164</v>
      </c>
      <c r="H1324" s="3" t="s">
        <v>39</v>
      </c>
      <c r="I1324" s="4" t="n">
        <v>3</v>
      </c>
      <c r="J1324" s="4" t="n">
        <f aca="false">LEN(E1324)-LEN(SUBSTITUTE(E1324,",",""))+1</f>
        <v>3</v>
      </c>
      <c r="K1324" s="3" t="str">
        <f aca="false">IFERROR(INDEX('Teacher Lookup'!$B$2:$B$200,MATCH(A1324,'Teacher Lookup'!$A$2:$A$200,0)),"")</f>
        <v>CHING Benjamin</v>
      </c>
    </row>
    <row r="1325" customFormat="false" ht="15" hidden="false" customHeight="false" outlineLevel="0" collapsed="false">
      <c r="A1325" s="3" t="s">
        <v>253</v>
      </c>
      <c r="B1325" s="4" t="s">
        <v>63</v>
      </c>
      <c r="C1325" s="4" t="n">
        <v>2</v>
      </c>
      <c r="D1325" s="4" t="s">
        <v>102</v>
      </c>
      <c r="E1325" s="3" t="s">
        <v>266</v>
      </c>
      <c r="F1325" s="4" t="str">
        <f aca="false">IF(I1325&gt;J1325,"Y","N")</f>
        <v>N</v>
      </c>
      <c r="G1325" s="3" t="s">
        <v>164</v>
      </c>
      <c r="H1325" s="3" t="s">
        <v>21</v>
      </c>
      <c r="I1325" s="4" t="n">
        <v>3</v>
      </c>
      <c r="J1325" s="4" t="n">
        <f aca="false">LEN(E1325)-LEN(SUBSTITUTE(E1325,",",""))+1</f>
        <v>3</v>
      </c>
      <c r="K1325" s="3" t="str">
        <f aca="false">IFERROR(INDEX('Teacher Lookup'!$B$2:$B$200,MATCH(A1325,'Teacher Lookup'!$A$2:$A$200,0)),"")</f>
        <v>CHING Benjamin</v>
      </c>
    </row>
    <row r="1326" customFormat="false" ht="15" hidden="false" customHeight="false" outlineLevel="0" collapsed="false">
      <c r="A1326" s="3" t="s">
        <v>253</v>
      </c>
      <c r="B1326" s="4" t="s">
        <v>63</v>
      </c>
      <c r="C1326" s="4" t="n">
        <v>2</v>
      </c>
      <c r="D1326" s="4" t="s">
        <v>107</v>
      </c>
      <c r="E1326" s="3" t="s">
        <v>266</v>
      </c>
      <c r="F1326" s="4" t="str">
        <f aca="false">IF(I1326&gt;J1326,"Y","N")</f>
        <v>N</v>
      </c>
      <c r="G1326" s="3" t="s">
        <v>164</v>
      </c>
      <c r="H1326" s="3" t="s">
        <v>21</v>
      </c>
      <c r="I1326" s="4" t="n">
        <v>3</v>
      </c>
      <c r="J1326" s="4" t="n">
        <f aca="false">LEN(E1326)-LEN(SUBSTITUTE(E1326,",",""))+1</f>
        <v>3</v>
      </c>
      <c r="K1326" s="3" t="str">
        <f aca="false">IFERROR(INDEX('Teacher Lookup'!$B$2:$B$200,MATCH(A1326,'Teacher Lookup'!$A$2:$A$200,0)),"")</f>
        <v>CHING Benjamin</v>
      </c>
    </row>
    <row r="1327" customFormat="false" ht="15" hidden="false" customHeight="false" outlineLevel="0" collapsed="false">
      <c r="A1327" s="3" t="s">
        <v>253</v>
      </c>
      <c r="B1327" s="4" t="s">
        <v>63</v>
      </c>
      <c r="C1327" s="4" t="n">
        <v>4</v>
      </c>
      <c r="D1327" s="4" t="s">
        <v>70</v>
      </c>
      <c r="E1327" s="3" t="s">
        <v>213</v>
      </c>
      <c r="F1327" s="4" t="str">
        <f aca="false">IF(I1327&gt;J1327,"Y","N")</f>
        <v>Y</v>
      </c>
      <c r="G1327" s="3" t="s">
        <v>214</v>
      </c>
      <c r="H1327" s="3" t="s">
        <v>34</v>
      </c>
      <c r="I1327" s="4" t="n">
        <v>20</v>
      </c>
      <c r="J1327" s="4" t="n">
        <f aca="false">LEN(E1327)-LEN(SUBSTITUTE(E1327,",",""))+1</f>
        <v>6</v>
      </c>
      <c r="K1327" s="3" t="str">
        <f aca="false">IFERROR(INDEX('Teacher Lookup'!$B$2:$B$200,MATCH(A1327,'Teacher Lookup'!$A$2:$A$200,0)),"")</f>
        <v>CHING Benjamin</v>
      </c>
    </row>
    <row r="1328" customFormat="false" ht="15" hidden="false" customHeight="false" outlineLevel="0" collapsed="false">
      <c r="A1328" s="3" t="s">
        <v>253</v>
      </c>
      <c r="B1328" s="4" t="s">
        <v>63</v>
      </c>
      <c r="C1328" s="4" t="n">
        <v>4</v>
      </c>
      <c r="D1328" s="4" t="s">
        <v>73</v>
      </c>
      <c r="E1328" s="3" t="s">
        <v>213</v>
      </c>
      <c r="F1328" s="4" t="str">
        <f aca="false">IF(I1328&gt;J1328,"Y","N")</f>
        <v>Y</v>
      </c>
      <c r="G1328" s="3" t="s">
        <v>214</v>
      </c>
      <c r="H1328" s="3" t="s">
        <v>34</v>
      </c>
      <c r="I1328" s="4" t="n">
        <v>20</v>
      </c>
      <c r="J1328" s="4" t="n">
        <f aca="false">LEN(E1328)-LEN(SUBSTITUTE(E1328,",",""))+1</f>
        <v>6</v>
      </c>
      <c r="K1328" s="3" t="str">
        <f aca="false">IFERROR(INDEX('Teacher Lookup'!$B$2:$B$200,MATCH(A1328,'Teacher Lookup'!$A$2:$A$200,0)),"")</f>
        <v>CHING Benjamin</v>
      </c>
    </row>
    <row r="1329" customFormat="false" ht="15" hidden="false" customHeight="false" outlineLevel="0" collapsed="false">
      <c r="A1329" s="3" t="s">
        <v>253</v>
      </c>
      <c r="B1329" s="4" t="s">
        <v>63</v>
      </c>
      <c r="C1329" s="4" t="n">
        <v>4</v>
      </c>
      <c r="D1329" s="4" t="s">
        <v>74</v>
      </c>
      <c r="E1329" s="3" t="s">
        <v>213</v>
      </c>
      <c r="F1329" s="4" t="str">
        <f aca="false">IF(I1329&gt;J1329,"Y","N")</f>
        <v>Y</v>
      </c>
      <c r="G1329" s="3" t="s">
        <v>214</v>
      </c>
      <c r="H1329" s="3" t="s">
        <v>34</v>
      </c>
      <c r="I1329" s="4" t="n">
        <v>20</v>
      </c>
      <c r="J1329" s="4" t="n">
        <f aca="false">LEN(E1329)-LEN(SUBSTITUTE(E1329,",",""))+1</f>
        <v>6</v>
      </c>
      <c r="K1329" s="3" t="str">
        <f aca="false">IFERROR(INDEX('Teacher Lookup'!$B$2:$B$200,MATCH(A1329,'Teacher Lookup'!$A$2:$A$200,0)),"")</f>
        <v>CHING Benjamin</v>
      </c>
    </row>
    <row r="1330" customFormat="false" ht="15" hidden="false" customHeight="false" outlineLevel="0" collapsed="false">
      <c r="A1330" s="3" t="s">
        <v>253</v>
      </c>
      <c r="B1330" s="4" t="s">
        <v>63</v>
      </c>
      <c r="C1330" s="4" t="n">
        <v>4</v>
      </c>
      <c r="D1330" s="4" t="s">
        <v>76</v>
      </c>
      <c r="E1330" s="3" t="s">
        <v>213</v>
      </c>
      <c r="F1330" s="4" t="str">
        <f aca="false">IF(I1330&gt;J1330,"Y","N")</f>
        <v>Y</v>
      </c>
      <c r="G1330" s="3" t="s">
        <v>214</v>
      </c>
      <c r="H1330" s="3" t="s">
        <v>34</v>
      </c>
      <c r="I1330" s="4" t="n">
        <v>20</v>
      </c>
      <c r="J1330" s="4" t="n">
        <f aca="false">LEN(E1330)-LEN(SUBSTITUTE(E1330,",",""))+1</f>
        <v>6</v>
      </c>
      <c r="K1330" s="3" t="str">
        <f aca="false">IFERROR(INDEX('Teacher Lookup'!$B$2:$B$200,MATCH(A1330,'Teacher Lookup'!$A$2:$A$200,0)),"")</f>
        <v>CHING Benjamin</v>
      </c>
    </row>
    <row r="1331" customFormat="false" ht="15" hidden="false" customHeight="false" outlineLevel="0" collapsed="false">
      <c r="A1331" s="3" t="s">
        <v>253</v>
      </c>
      <c r="B1331" s="4" t="s">
        <v>63</v>
      </c>
      <c r="C1331" s="4" t="n">
        <v>4</v>
      </c>
      <c r="D1331" s="4" t="s">
        <v>78</v>
      </c>
      <c r="E1331" s="3" t="s">
        <v>213</v>
      </c>
      <c r="F1331" s="4" t="str">
        <f aca="false">IF(I1331&gt;J1331,"Y","N")</f>
        <v>Y</v>
      </c>
      <c r="G1331" s="3" t="s">
        <v>214</v>
      </c>
      <c r="H1331" s="3" t="s">
        <v>34</v>
      </c>
      <c r="I1331" s="4" t="n">
        <v>20</v>
      </c>
      <c r="J1331" s="4" t="n">
        <f aca="false">LEN(E1331)-LEN(SUBSTITUTE(E1331,",",""))+1</f>
        <v>6</v>
      </c>
      <c r="K1331" s="3" t="str">
        <f aca="false">IFERROR(INDEX('Teacher Lookup'!$B$2:$B$200,MATCH(A1331,'Teacher Lookup'!$A$2:$A$200,0)),"")</f>
        <v>CHING Benjamin</v>
      </c>
    </row>
    <row r="1332" customFormat="false" ht="15" hidden="false" customHeight="false" outlineLevel="0" collapsed="false">
      <c r="A1332" s="3" t="s">
        <v>253</v>
      </c>
      <c r="B1332" s="4" t="s">
        <v>63</v>
      </c>
      <c r="C1332" s="4" t="n">
        <v>4</v>
      </c>
      <c r="D1332" s="4" t="s">
        <v>79</v>
      </c>
      <c r="E1332" s="3" t="s">
        <v>213</v>
      </c>
      <c r="F1332" s="4" t="str">
        <f aca="false">IF(I1332&gt;J1332,"Y","N")</f>
        <v>Y</v>
      </c>
      <c r="G1332" s="3" t="s">
        <v>214</v>
      </c>
      <c r="H1332" s="3" t="s">
        <v>34</v>
      </c>
      <c r="I1332" s="4" t="n">
        <v>20</v>
      </c>
      <c r="J1332" s="4" t="n">
        <f aca="false">LEN(E1332)-LEN(SUBSTITUTE(E1332,",",""))+1</f>
        <v>6</v>
      </c>
      <c r="K1332" s="3" t="str">
        <f aca="false">IFERROR(INDEX('Teacher Lookup'!$B$2:$B$200,MATCH(A1332,'Teacher Lookup'!$A$2:$A$200,0)),"")</f>
        <v>CHING Benjamin</v>
      </c>
    </row>
    <row r="1333" customFormat="false" ht="15" hidden="false" customHeight="false" outlineLevel="0" collapsed="false">
      <c r="A1333" s="3" t="s">
        <v>253</v>
      </c>
      <c r="B1333" s="4" t="s">
        <v>63</v>
      </c>
      <c r="C1333" s="4" t="n">
        <v>5</v>
      </c>
      <c r="D1333" s="4" t="s">
        <v>70</v>
      </c>
      <c r="E1333" s="3" t="s">
        <v>213</v>
      </c>
      <c r="F1333" s="4" t="str">
        <f aca="false">IF(I1333&gt;J1333,"Y","N")</f>
        <v>Y</v>
      </c>
      <c r="G1333" s="3" t="s">
        <v>214</v>
      </c>
      <c r="H1333" s="3" t="s">
        <v>37</v>
      </c>
      <c r="I1333" s="4" t="n">
        <v>20</v>
      </c>
      <c r="J1333" s="4" t="n">
        <f aca="false">LEN(E1333)-LEN(SUBSTITUTE(E1333,",",""))+1</f>
        <v>6</v>
      </c>
      <c r="K1333" s="3" t="str">
        <f aca="false">IFERROR(INDEX('Teacher Lookup'!$B$2:$B$200,MATCH(A1333,'Teacher Lookup'!$A$2:$A$200,0)),"")</f>
        <v>CHING Benjamin</v>
      </c>
    </row>
    <row r="1334" customFormat="false" ht="15" hidden="false" customHeight="false" outlineLevel="0" collapsed="false">
      <c r="A1334" s="3" t="s">
        <v>253</v>
      </c>
      <c r="B1334" s="4" t="s">
        <v>63</v>
      </c>
      <c r="C1334" s="4" t="n">
        <v>5</v>
      </c>
      <c r="D1334" s="4" t="s">
        <v>73</v>
      </c>
      <c r="E1334" s="3" t="s">
        <v>213</v>
      </c>
      <c r="F1334" s="4" t="str">
        <f aca="false">IF(I1334&gt;J1334,"Y","N")</f>
        <v>Y</v>
      </c>
      <c r="G1334" s="3" t="s">
        <v>214</v>
      </c>
      <c r="H1334" s="3" t="s">
        <v>37</v>
      </c>
      <c r="I1334" s="4" t="n">
        <v>20</v>
      </c>
      <c r="J1334" s="4" t="n">
        <f aca="false">LEN(E1334)-LEN(SUBSTITUTE(E1334,",",""))+1</f>
        <v>6</v>
      </c>
      <c r="K1334" s="3" t="str">
        <f aca="false">IFERROR(INDEX('Teacher Lookup'!$B$2:$B$200,MATCH(A1334,'Teacher Lookup'!$A$2:$A$200,0)),"")</f>
        <v>CHING Benjamin</v>
      </c>
    </row>
    <row r="1335" customFormat="false" ht="15" hidden="false" customHeight="false" outlineLevel="0" collapsed="false">
      <c r="A1335" s="3" t="s">
        <v>253</v>
      </c>
      <c r="B1335" s="4" t="s">
        <v>63</v>
      </c>
      <c r="C1335" s="4" t="n">
        <v>5</v>
      </c>
      <c r="D1335" s="4" t="s">
        <v>74</v>
      </c>
      <c r="E1335" s="3" t="s">
        <v>213</v>
      </c>
      <c r="F1335" s="4" t="str">
        <f aca="false">IF(I1335&gt;J1335,"Y","N")</f>
        <v>Y</v>
      </c>
      <c r="G1335" s="3" t="s">
        <v>214</v>
      </c>
      <c r="H1335" s="3" t="s">
        <v>37</v>
      </c>
      <c r="I1335" s="4" t="n">
        <v>20</v>
      </c>
      <c r="J1335" s="4" t="n">
        <f aca="false">LEN(E1335)-LEN(SUBSTITUTE(E1335,",",""))+1</f>
        <v>6</v>
      </c>
      <c r="K1335" s="3" t="str">
        <f aca="false">IFERROR(INDEX('Teacher Lookup'!$B$2:$B$200,MATCH(A1335,'Teacher Lookup'!$A$2:$A$200,0)),"")</f>
        <v>CHING Benjamin</v>
      </c>
    </row>
    <row r="1336" customFormat="false" ht="15" hidden="false" customHeight="false" outlineLevel="0" collapsed="false">
      <c r="A1336" s="3" t="s">
        <v>253</v>
      </c>
      <c r="B1336" s="4" t="s">
        <v>63</v>
      </c>
      <c r="C1336" s="4" t="n">
        <v>5</v>
      </c>
      <c r="D1336" s="4" t="s">
        <v>76</v>
      </c>
      <c r="E1336" s="3" t="s">
        <v>213</v>
      </c>
      <c r="F1336" s="4" t="str">
        <f aca="false">IF(I1336&gt;J1336,"Y","N")</f>
        <v>Y</v>
      </c>
      <c r="G1336" s="3" t="s">
        <v>214</v>
      </c>
      <c r="H1336" s="3" t="s">
        <v>37</v>
      </c>
      <c r="I1336" s="4" t="n">
        <v>20</v>
      </c>
      <c r="J1336" s="4" t="n">
        <f aca="false">LEN(E1336)-LEN(SUBSTITUTE(E1336,",",""))+1</f>
        <v>6</v>
      </c>
      <c r="K1336" s="3" t="str">
        <f aca="false">IFERROR(INDEX('Teacher Lookup'!$B$2:$B$200,MATCH(A1336,'Teacher Lookup'!$A$2:$A$200,0)),"")</f>
        <v>CHING Benjamin</v>
      </c>
    </row>
    <row r="1337" customFormat="false" ht="15" hidden="false" customHeight="false" outlineLevel="0" collapsed="false">
      <c r="A1337" s="3" t="s">
        <v>253</v>
      </c>
      <c r="B1337" s="4" t="s">
        <v>63</v>
      </c>
      <c r="C1337" s="4" t="n">
        <v>5</v>
      </c>
      <c r="D1337" s="4" t="s">
        <v>78</v>
      </c>
      <c r="E1337" s="3" t="s">
        <v>213</v>
      </c>
      <c r="F1337" s="4" t="str">
        <f aca="false">IF(I1337&gt;J1337,"Y","N")</f>
        <v>Y</v>
      </c>
      <c r="G1337" s="3" t="s">
        <v>214</v>
      </c>
      <c r="H1337" s="3" t="s">
        <v>37</v>
      </c>
      <c r="I1337" s="4" t="n">
        <v>20</v>
      </c>
      <c r="J1337" s="4" t="n">
        <f aca="false">LEN(E1337)-LEN(SUBSTITUTE(E1337,",",""))+1</f>
        <v>6</v>
      </c>
      <c r="K1337" s="3" t="str">
        <f aca="false">IFERROR(INDEX('Teacher Lookup'!$B$2:$B$200,MATCH(A1337,'Teacher Lookup'!$A$2:$A$200,0)),"")</f>
        <v>CHING Benjamin</v>
      </c>
    </row>
    <row r="1338" customFormat="false" ht="15" hidden="false" customHeight="false" outlineLevel="0" collapsed="false">
      <c r="A1338" s="3" t="s">
        <v>253</v>
      </c>
      <c r="B1338" s="4" t="s">
        <v>63</v>
      </c>
      <c r="C1338" s="4" t="n">
        <v>5</v>
      </c>
      <c r="D1338" s="4" t="s">
        <v>79</v>
      </c>
      <c r="E1338" s="3" t="s">
        <v>213</v>
      </c>
      <c r="F1338" s="4" t="str">
        <f aca="false">IF(I1338&gt;J1338,"Y","N")</f>
        <v>Y</v>
      </c>
      <c r="G1338" s="3" t="s">
        <v>214</v>
      </c>
      <c r="H1338" s="3" t="s">
        <v>37</v>
      </c>
      <c r="I1338" s="4" t="n">
        <v>20</v>
      </c>
      <c r="J1338" s="4" t="n">
        <f aca="false">LEN(E1338)-LEN(SUBSTITUTE(E1338,",",""))+1</f>
        <v>6</v>
      </c>
      <c r="K1338" s="3" t="str">
        <f aca="false">IFERROR(INDEX('Teacher Lookup'!$B$2:$B$200,MATCH(A1338,'Teacher Lookup'!$A$2:$A$200,0)),"")</f>
        <v>CHING Benjamin</v>
      </c>
    </row>
    <row r="1339" customFormat="false" ht="15" hidden="false" customHeight="false" outlineLevel="0" collapsed="false">
      <c r="A1339" s="3" t="s">
        <v>253</v>
      </c>
      <c r="B1339" s="4" t="s">
        <v>63</v>
      </c>
      <c r="C1339" s="4" t="n">
        <v>6</v>
      </c>
      <c r="D1339" s="4" t="s">
        <v>105</v>
      </c>
      <c r="E1339" s="3" t="s">
        <v>267</v>
      </c>
      <c r="F1339" s="4" t="str">
        <f aca="false">IF(I1339&gt;J1339,"Y","N")</f>
        <v>N</v>
      </c>
      <c r="G1339" s="3" t="s">
        <v>164</v>
      </c>
      <c r="H1339" s="3" t="s">
        <v>42</v>
      </c>
      <c r="I1339" s="4" t="n">
        <v>3</v>
      </c>
      <c r="J1339" s="4" t="n">
        <f aca="false">LEN(E1339)-LEN(SUBSTITUTE(E1339,",",""))+1</f>
        <v>3</v>
      </c>
      <c r="K1339" s="3" t="str">
        <f aca="false">IFERROR(INDEX('Teacher Lookup'!$B$2:$B$200,MATCH(A1339,'Teacher Lookup'!$A$2:$A$200,0)),"")</f>
        <v>CHING Benjamin</v>
      </c>
    </row>
    <row r="1340" customFormat="false" ht="15" hidden="false" customHeight="false" outlineLevel="0" collapsed="false">
      <c r="A1340" s="3" t="s">
        <v>253</v>
      </c>
      <c r="B1340" s="4" t="s">
        <v>63</v>
      </c>
      <c r="C1340" s="4" t="n">
        <v>6</v>
      </c>
      <c r="D1340" s="4" t="s">
        <v>106</v>
      </c>
      <c r="E1340" s="3" t="s">
        <v>267</v>
      </c>
      <c r="F1340" s="4" t="str">
        <f aca="false">IF(I1340&gt;J1340,"Y","N")</f>
        <v>N</v>
      </c>
      <c r="G1340" s="3" t="s">
        <v>164</v>
      </c>
      <c r="H1340" s="3" t="s">
        <v>42</v>
      </c>
      <c r="I1340" s="4" t="n">
        <v>3</v>
      </c>
      <c r="J1340" s="4" t="n">
        <f aca="false">LEN(E1340)-LEN(SUBSTITUTE(E1340,",",""))+1</f>
        <v>3</v>
      </c>
      <c r="K1340" s="3" t="str">
        <f aca="false">IFERROR(INDEX('Teacher Lookup'!$B$2:$B$200,MATCH(A1340,'Teacher Lookup'!$A$2:$A$200,0)),"")</f>
        <v>CHING Benjamin</v>
      </c>
    </row>
    <row r="1341" customFormat="false" ht="15" hidden="false" customHeight="false" outlineLevel="0" collapsed="false">
      <c r="A1341" s="3" t="s">
        <v>253</v>
      </c>
      <c r="B1341" s="4" t="s">
        <v>65</v>
      </c>
      <c r="C1341" s="4" t="n">
        <v>5</v>
      </c>
      <c r="D1341" s="4" t="s">
        <v>228</v>
      </c>
      <c r="E1341" s="3" t="s">
        <v>229</v>
      </c>
      <c r="F1341" s="4" t="str">
        <f aca="false">IF(I1341&gt;J1341,"Y","N")</f>
        <v>Y</v>
      </c>
      <c r="G1341" s="3" t="s">
        <v>36</v>
      </c>
      <c r="H1341" s="3" t="s">
        <v>37</v>
      </c>
      <c r="I1341" s="4" t="n">
        <v>14</v>
      </c>
      <c r="J1341" s="4" t="n">
        <f aca="false">LEN(E1341)-LEN(SUBSTITUTE(E1341,",",""))+1</f>
        <v>6</v>
      </c>
      <c r="K1341" s="3" t="str">
        <f aca="false">IFERROR(INDEX('Teacher Lookup'!$B$2:$B$200,MATCH(A1341,'Teacher Lookup'!$A$2:$A$200,0)),"")</f>
        <v>CHING Benjamin</v>
      </c>
    </row>
    <row r="1342" customFormat="false" ht="15" hidden="false" customHeight="false" outlineLevel="0" collapsed="false">
      <c r="A1342" s="3" t="s">
        <v>253</v>
      </c>
      <c r="B1342" s="4" t="s">
        <v>65</v>
      </c>
      <c r="C1342" s="4" t="n">
        <v>5</v>
      </c>
      <c r="D1342" s="4" t="s">
        <v>102</v>
      </c>
      <c r="E1342" s="3" t="s">
        <v>229</v>
      </c>
      <c r="F1342" s="4" t="str">
        <f aca="false">IF(I1342&gt;J1342,"Y","N")</f>
        <v>Y</v>
      </c>
      <c r="G1342" s="3" t="s">
        <v>36</v>
      </c>
      <c r="H1342" s="3" t="s">
        <v>37</v>
      </c>
      <c r="I1342" s="4" t="n">
        <v>14</v>
      </c>
      <c r="J1342" s="4" t="n">
        <f aca="false">LEN(E1342)-LEN(SUBSTITUTE(E1342,",",""))+1</f>
        <v>6</v>
      </c>
      <c r="K1342" s="3" t="str">
        <f aca="false">IFERROR(INDEX('Teacher Lookup'!$B$2:$B$200,MATCH(A1342,'Teacher Lookup'!$A$2:$A$200,0)),"")</f>
        <v>CHING Benjamin</v>
      </c>
    </row>
    <row r="1343" customFormat="false" ht="15" hidden="false" customHeight="false" outlineLevel="0" collapsed="false">
      <c r="A1343" s="3" t="s">
        <v>253</v>
      </c>
      <c r="B1343" s="4" t="s">
        <v>65</v>
      </c>
      <c r="C1343" s="4" t="n">
        <v>5</v>
      </c>
      <c r="D1343" s="4" t="s">
        <v>105</v>
      </c>
      <c r="E1343" s="3" t="s">
        <v>229</v>
      </c>
      <c r="F1343" s="4" t="str">
        <f aca="false">IF(I1343&gt;J1343,"Y","N")</f>
        <v>Y</v>
      </c>
      <c r="G1343" s="3" t="s">
        <v>36</v>
      </c>
      <c r="H1343" s="3" t="s">
        <v>37</v>
      </c>
      <c r="I1343" s="4" t="n">
        <v>14</v>
      </c>
      <c r="J1343" s="4" t="n">
        <f aca="false">LEN(E1343)-LEN(SUBSTITUTE(E1343,",",""))+1</f>
        <v>6</v>
      </c>
      <c r="K1343" s="3" t="str">
        <f aca="false">IFERROR(INDEX('Teacher Lookup'!$B$2:$B$200,MATCH(A1343,'Teacher Lookup'!$A$2:$A$200,0)),"")</f>
        <v>CHING Benjamin</v>
      </c>
    </row>
    <row r="1344" customFormat="false" ht="15" hidden="false" customHeight="false" outlineLevel="0" collapsed="false">
      <c r="A1344" s="3" t="s">
        <v>253</v>
      </c>
      <c r="B1344" s="4" t="s">
        <v>65</v>
      </c>
      <c r="C1344" s="4" t="n">
        <v>5</v>
      </c>
      <c r="D1344" s="4" t="s">
        <v>106</v>
      </c>
      <c r="E1344" s="3" t="s">
        <v>229</v>
      </c>
      <c r="F1344" s="4" t="str">
        <f aca="false">IF(I1344&gt;J1344,"Y","N")</f>
        <v>Y</v>
      </c>
      <c r="G1344" s="3" t="s">
        <v>36</v>
      </c>
      <c r="H1344" s="3" t="s">
        <v>37</v>
      </c>
      <c r="I1344" s="4" t="n">
        <v>14</v>
      </c>
      <c r="J1344" s="4" t="n">
        <f aca="false">LEN(E1344)-LEN(SUBSTITUTE(E1344,",",""))+1</f>
        <v>6</v>
      </c>
      <c r="K1344" s="3" t="str">
        <f aca="false">IFERROR(INDEX('Teacher Lookup'!$B$2:$B$200,MATCH(A1344,'Teacher Lookup'!$A$2:$A$200,0)),"")</f>
        <v>CHING Benjamin</v>
      </c>
    </row>
    <row r="1345" customFormat="false" ht="15" hidden="false" customHeight="false" outlineLevel="0" collapsed="false">
      <c r="A1345" s="3" t="s">
        <v>253</v>
      </c>
      <c r="B1345" s="4" t="s">
        <v>65</v>
      </c>
      <c r="C1345" s="4" t="n">
        <v>5</v>
      </c>
      <c r="D1345" s="4" t="s">
        <v>107</v>
      </c>
      <c r="E1345" s="3" t="s">
        <v>229</v>
      </c>
      <c r="F1345" s="4" t="str">
        <f aca="false">IF(I1345&gt;J1345,"Y","N")</f>
        <v>Y</v>
      </c>
      <c r="G1345" s="3" t="s">
        <v>36</v>
      </c>
      <c r="H1345" s="3" t="s">
        <v>37</v>
      </c>
      <c r="I1345" s="4" t="n">
        <v>14</v>
      </c>
      <c r="J1345" s="4" t="n">
        <f aca="false">LEN(E1345)-LEN(SUBSTITUTE(E1345,",",""))+1</f>
        <v>6</v>
      </c>
      <c r="K1345" s="3" t="str">
        <f aca="false">IFERROR(INDEX('Teacher Lookup'!$B$2:$B$200,MATCH(A1345,'Teacher Lookup'!$A$2:$A$200,0)),"")</f>
        <v>CHING Benjamin</v>
      </c>
    </row>
    <row r="1346" customFormat="false" ht="15" hidden="false" customHeight="false" outlineLevel="0" collapsed="false">
      <c r="A1346" s="3" t="s">
        <v>253</v>
      </c>
      <c r="B1346" s="4" t="s">
        <v>65</v>
      </c>
      <c r="C1346" s="4" t="n">
        <v>6</v>
      </c>
      <c r="D1346" s="4" t="s">
        <v>102</v>
      </c>
      <c r="E1346" s="3" t="s">
        <v>268</v>
      </c>
      <c r="F1346" s="4" t="str">
        <f aca="false">IF(I1346&gt;J1346,"Y","N")</f>
        <v>N</v>
      </c>
      <c r="G1346" s="3" t="s">
        <v>164</v>
      </c>
      <c r="H1346" s="3" t="s">
        <v>42</v>
      </c>
      <c r="I1346" s="4" t="n">
        <v>3</v>
      </c>
      <c r="J1346" s="4" t="n">
        <f aca="false">LEN(E1346)-LEN(SUBSTITUTE(E1346,",",""))+1</f>
        <v>3</v>
      </c>
      <c r="K1346" s="3" t="str">
        <f aca="false">IFERROR(INDEX('Teacher Lookup'!$B$2:$B$200,MATCH(A1346,'Teacher Lookup'!$A$2:$A$200,0)),"")</f>
        <v>CHING Benjamin</v>
      </c>
    </row>
    <row r="1347" customFormat="false" ht="15" hidden="false" customHeight="false" outlineLevel="0" collapsed="false">
      <c r="A1347" s="3" t="s">
        <v>253</v>
      </c>
      <c r="B1347" s="4" t="s">
        <v>65</v>
      </c>
      <c r="C1347" s="4" t="n">
        <v>6</v>
      </c>
      <c r="D1347" s="4" t="s">
        <v>107</v>
      </c>
      <c r="E1347" s="3" t="s">
        <v>268</v>
      </c>
      <c r="F1347" s="4" t="str">
        <f aca="false">IF(I1347&gt;J1347,"Y","N")</f>
        <v>N</v>
      </c>
      <c r="G1347" s="3" t="s">
        <v>164</v>
      </c>
      <c r="H1347" s="3" t="s">
        <v>42</v>
      </c>
      <c r="I1347" s="4" t="n">
        <v>3</v>
      </c>
      <c r="J1347" s="4" t="n">
        <f aca="false">LEN(E1347)-LEN(SUBSTITUTE(E1347,",",""))+1</f>
        <v>3</v>
      </c>
      <c r="K1347" s="3" t="str">
        <f aca="false">IFERROR(INDEX('Teacher Lookup'!$B$2:$B$200,MATCH(A1347,'Teacher Lookup'!$A$2:$A$200,0)),"")</f>
        <v>CHING Benjamin</v>
      </c>
    </row>
    <row r="1348" customFormat="false" ht="15" hidden="false" customHeight="false" outlineLevel="0" collapsed="false">
      <c r="A1348" s="3" t="s">
        <v>253</v>
      </c>
      <c r="B1348" s="4" t="s">
        <v>65</v>
      </c>
      <c r="C1348" s="4" t="n">
        <v>7</v>
      </c>
      <c r="D1348" s="4" t="s">
        <v>105</v>
      </c>
      <c r="E1348" s="3" t="s">
        <v>267</v>
      </c>
      <c r="F1348" s="4" t="str">
        <f aca="false">IF(I1348&gt;J1348,"Y","N")</f>
        <v>N</v>
      </c>
      <c r="G1348" s="3" t="s">
        <v>164</v>
      </c>
      <c r="H1348" s="3" t="s">
        <v>39</v>
      </c>
      <c r="I1348" s="4" t="n">
        <v>3</v>
      </c>
      <c r="J1348" s="4" t="n">
        <f aca="false">LEN(E1348)-LEN(SUBSTITUTE(E1348,",",""))+1</f>
        <v>3</v>
      </c>
      <c r="K1348" s="3" t="str">
        <f aca="false">IFERROR(INDEX('Teacher Lookup'!$B$2:$B$200,MATCH(A1348,'Teacher Lookup'!$A$2:$A$200,0)),"")</f>
        <v>CHING Benjamin</v>
      </c>
    </row>
    <row r="1349" customFormat="false" ht="15" hidden="false" customHeight="false" outlineLevel="0" collapsed="false">
      <c r="A1349" s="3" t="s">
        <v>253</v>
      </c>
      <c r="B1349" s="4" t="s">
        <v>65</v>
      </c>
      <c r="C1349" s="4" t="n">
        <v>7</v>
      </c>
      <c r="D1349" s="4" t="s">
        <v>106</v>
      </c>
      <c r="E1349" s="3" t="s">
        <v>267</v>
      </c>
      <c r="F1349" s="4" t="str">
        <f aca="false">IF(I1349&gt;J1349,"Y","N")</f>
        <v>N</v>
      </c>
      <c r="G1349" s="3" t="s">
        <v>164</v>
      </c>
      <c r="H1349" s="3" t="s">
        <v>39</v>
      </c>
      <c r="I1349" s="4" t="n">
        <v>3</v>
      </c>
      <c r="J1349" s="4" t="n">
        <f aca="false">LEN(E1349)-LEN(SUBSTITUTE(E1349,",",""))+1</f>
        <v>3</v>
      </c>
      <c r="K1349" s="3" t="str">
        <f aca="false">IFERROR(INDEX('Teacher Lookup'!$B$2:$B$200,MATCH(A1349,'Teacher Lookup'!$A$2:$A$200,0)),"")</f>
        <v>CHING Benjamin</v>
      </c>
    </row>
    <row r="1350" customFormat="false" ht="15" hidden="false" customHeight="false" outlineLevel="0" collapsed="false">
      <c r="A1350" s="3" t="s">
        <v>253</v>
      </c>
      <c r="B1350" s="4" t="s">
        <v>66</v>
      </c>
      <c r="C1350" s="4" t="n">
        <v>3</v>
      </c>
      <c r="D1350" s="4" t="s">
        <v>102</v>
      </c>
      <c r="E1350" s="3" t="s">
        <v>269</v>
      </c>
      <c r="F1350" s="4" t="str">
        <f aca="false">IF(I1350&gt;J1350,"Y","N")</f>
        <v>N</v>
      </c>
      <c r="G1350" s="3" t="s">
        <v>164</v>
      </c>
      <c r="H1350" s="3" t="s">
        <v>26</v>
      </c>
      <c r="I1350" s="4" t="n">
        <v>3</v>
      </c>
      <c r="J1350" s="4" t="n">
        <f aca="false">LEN(E1350)-LEN(SUBSTITUTE(E1350,",",""))+1</f>
        <v>3</v>
      </c>
      <c r="K1350" s="3" t="str">
        <f aca="false">IFERROR(INDEX('Teacher Lookup'!$B$2:$B$200,MATCH(A1350,'Teacher Lookup'!$A$2:$A$200,0)),"")</f>
        <v>CHING Benjamin</v>
      </c>
    </row>
    <row r="1351" customFormat="false" ht="15" hidden="false" customHeight="false" outlineLevel="0" collapsed="false">
      <c r="A1351" s="3" t="s">
        <v>253</v>
      </c>
      <c r="B1351" s="4" t="s">
        <v>66</v>
      </c>
      <c r="C1351" s="4" t="n">
        <v>3</v>
      </c>
      <c r="D1351" s="4" t="s">
        <v>107</v>
      </c>
      <c r="E1351" s="3" t="s">
        <v>269</v>
      </c>
      <c r="F1351" s="4" t="str">
        <f aca="false">IF(I1351&gt;J1351,"Y","N")</f>
        <v>N</v>
      </c>
      <c r="G1351" s="3" t="s">
        <v>164</v>
      </c>
      <c r="H1351" s="3" t="s">
        <v>26</v>
      </c>
      <c r="I1351" s="4" t="n">
        <v>3</v>
      </c>
      <c r="J1351" s="4" t="n">
        <f aca="false">LEN(E1351)-LEN(SUBSTITUTE(E1351,",",""))+1</f>
        <v>3</v>
      </c>
      <c r="K1351" s="3" t="str">
        <f aca="false">IFERROR(INDEX('Teacher Lookup'!$B$2:$B$200,MATCH(A1351,'Teacher Lookup'!$A$2:$A$200,0)),"")</f>
        <v>CHING Benjamin</v>
      </c>
    </row>
    <row r="1352" customFormat="false" ht="15" hidden="false" customHeight="false" outlineLevel="0" collapsed="false">
      <c r="A1352" s="3" t="s">
        <v>253</v>
      </c>
      <c r="B1352" s="4" t="s">
        <v>66</v>
      </c>
      <c r="C1352" s="4" t="n">
        <v>4</v>
      </c>
      <c r="D1352" s="4" t="s">
        <v>105</v>
      </c>
      <c r="E1352" s="3" t="s">
        <v>257</v>
      </c>
      <c r="F1352" s="4" t="str">
        <f aca="false">IF(I1352&gt;J1352,"Y","N")</f>
        <v>N</v>
      </c>
      <c r="G1352" s="3" t="s">
        <v>164</v>
      </c>
      <c r="H1352" s="3" t="s">
        <v>34</v>
      </c>
      <c r="I1352" s="4" t="n">
        <v>3</v>
      </c>
      <c r="J1352" s="4" t="n">
        <f aca="false">LEN(E1352)-LEN(SUBSTITUTE(E1352,",",""))+1</f>
        <v>3</v>
      </c>
      <c r="K1352" s="3" t="str">
        <f aca="false">IFERROR(INDEX('Teacher Lookup'!$B$2:$B$200,MATCH(A1352,'Teacher Lookup'!$A$2:$A$200,0)),"")</f>
        <v>CHING Benjamin</v>
      </c>
    </row>
    <row r="1353" customFormat="false" ht="15" hidden="false" customHeight="false" outlineLevel="0" collapsed="false">
      <c r="A1353" s="3" t="s">
        <v>253</v>
      </c>
      <c r="B1353" s="4" t="s">
        <v>66</v>
      </c>
      <c r="C1353" s="4" t="n">
        <v>4</v>
      </c>
      <c r="D1353" s="4" t="s">
        <v>106</v>
      </c>
      <c r="E1353" s="3" t="s">
        <v>257</v>
      </c>
      <c r="F1353" s="4" t="str">
        <f aca="false">IF(I1353&gt;J1353,"Y","N")</f>
        <v>N</v>
      </c>
      <c r="G1353" s="3" t="s">
        <v>164</v>
      </c>
      <c r="H1353" s="3" t="s">
        <v>34</v>
      </c>
      <c r="I1353" s="4" t="n">
        <v>3</v>
      </c>
      <c r="J1353" s="4" t="n">
        <f aca="false">LEN(E1353)-LEN(SUBSTITUTE(E1353,",",""))+1</f>
        <v>3</v>
      </c>
      <c r="K1353" s="3" t="str">
        <f aca="false">IFERROR(INDEX('Teacher Lookup'!$B$2:$B$200,MATCH(A1353,'Teacher Lookup'!$A$2:$A$200,0)),"")</f>
        <v>CHING Benjamin</v>
      </c>
    </row>
    <row r="1354" customFormat="false" ht="15" hidden="false" customHeight="false" outlineLevel="0" collapsed="false">
      <c r="A1354" s="3" t="s">
        <v>270</v>
      </c>
      <c r="B1354" s="4" t="s">
        <v>12</v>
      </c>
      <c r="C1354" s="4" t="n">
        <v>1</v>
      </c>
      <c r="D1354" s="4" t="s">
        <v>76</v>
      </c>
      <c r="E1354" s="3" t="s">
        <v>129</v>
      </c>
      <c r="F1354" s="4" t="str">
        <f aca="false">IF(I1354&gt;J1354,"Y","N")</f>
        <v>N</v>
      </c>
      <c r="G1354" s="3" t="s">
        <v>130</v>
      </c>
      <c r="H1354" s="3" t="s">
        <v>16</v>
      </c>
      <c r="I1354" s="4" t="n">
        <v>1</v>
      </c>
      <c r="J1354" s="4" t="n">
        <f aca="false">LEN(E1354)-LEN(SUBSTITUTE(E1354,",",""))+1</f>
        <v>1</v>
      </c>
      <c r="K1354" s="3" t="str">
        <f aca="false">IFERROR(INDEX('Teacher Lookup'!$B$2:$B$200,MATCH(A1354,'Teacher Lookup'!$A$2:$A$200,0)),"")</f>
        <v>CHUNG Brian</v>
      </c>
    </row>
    <row r="1355" customFormat="false" ht="15" hidden="false" customHeight="false" outlineLevel="0" collapsed="false">
      <c r="A1355" s="3" t="s">
        <v>270</v>
      </c>
      <c r="B1355" s="4" t="s">
        <v>12</v>
      </c>
      <c r="C1355" s="4" t="n">
        <v>2</v>
      </c>
      <c r="D1355" s="4" t="s">
        <v>24</v>
      </c>
      <c r="E1355" s="3" t="s">
        <v>271</v>
      </c>
      <c r="F1355" s="4" t="str">
        <f aca="false">IF(I1355&gt;J1355,"Y","N")</f>
        <v>Y</v>
      </c>
      <c r="G1355" s="3" t="s">
        <v>272</v>
      </c>
      <c r="H1355" s="3" t="s">
        <v>21</v>
      </c>
      <c r="I1355" s="4" t="n">
        <v>8</v>
      </c>
      <c r="J1355" s="4" t="n">
        <f aca="false">LEN(E1355)-LEN(SUBSTITUTE(E1355,",",""))+1</f>
        <v>7</v>
      </c>
      <c r="K1355" s="3" t="str">
        <f aca="false">IFERROR(INDEX('Teacher Lookup'!$B$2:$B$200,MATCH(A1355,'Teacher Lookup'!$A$2:$A$200,0)),"")</f>
        <v>CHUNG Brian</v>
      </c>
    </row>
    <row r="1356" customFormat="false" ht="15" hidden="false" customHeight="false" outlineLevel="0" collapsed="false">
      <c r="A1356" s="3" t="s">
        <v>270</v>
      </c>
      <c r="B1356" s="4" t="s">
        <v>12</v>
      </c>
      <c r="C1356" s="4" t="n">
        <v>2</v>
      </c>
      <c r="D1356" s="4" t="s">
        <v>27</v>
      </c>
      <c r="E1356" s="3" t="s">
        <v>271</v>
      </c>
      <c r="F1356" s="4" t="str">
        <f aca="false">IF(I1356&gt;J1356,"Y","N")</f>
        <v>Y</v>
      </c>
      <c r="G1356" s="3" t="s">
        <v>272</v>
      </c>
      <c r="H1356" s="3" t="s">
        <v>21</v>
      </c>
      <c r="I1356" s="4" t="n">
        <v>8</v>
      </c>
      <c r="J1356" s="4" t="n">
        <f aca="false">LEN(E1356)-LEN(SUBSTITUTE(E1356,",",""))+1</f>
        <v>7</v>
      </c>
      <c r="K1356" s="3" t="str">
        <f aca="false">IFERROR(INDEX('Teacher Lookup'!$B$2:$B$200,MATCH(A1356,'Teacher Lookup'!$A$2:$A$200,0)),"")</f>
        <v>CHUNG Brian</v>
      </c>
    </row>
    <row r="1357" customFormat="false" ht="15" hidden="false" customHeight="false" outlineLevel="0" collapsed="false">
      <c r="A1357" s="3" t="s">
        <v>270</v>
      </c>
      <c r="B1357" s="4" t="s">
        <v>12</v>
      </c>
      <c r="C1357" s="4" t="n">
        <v>2</v>
      </c>
      <c r="D1357" s="4" t="s">
        <v>28</v>
      </c>
      <c r="E1357" s="3" t="s">
        <v>271</v>
      </c>
      <c r="F1357" s="4" t="str">
        <f aca="false">IF(I1357&gt;J1357,"Y","N")</f>
        <v>Y</v>
      </c>
      <c r="G1357" s="3" t="s">
        <v>272</v>
      </c>
      <c r="H1357" s="3" t="s">
        <v>21</v>
      </c>
      <c r="I1357" s="4" t="n">
        <v>8</v>
      </c>
      <c r="J1357" s="4" t="n">
        <f aca="false">LEN(E1357)-LEN(SUBSTITUTE(E1357,",",""))+1</f>
        <v>7</v>
      </c>
      <c r="K1357" s="3" t="str">
        <f aca="false">IFERROR(INDEX('Teacher Lookup'!$B$2:$B$200,MATCH(A1357,'Teacher Lookup'!$A$2:$A$200,0)),"")</f>
        <v>CHUNG Brian</v>
      </c>
    </row>
    <row r="1358" customFormat="false" ht="15" hidden="false" customHeight="false" outlineLevel="0" collapsed="false">
      <c r="A1358" s="3" t="s">
        <v>270</v>
      </c>
      <c r="B1358" s="4" t="s">
        <v>12</v>
      </c>
      <c r="C1358" s="4" t="n">
        <v>2</v>
      </c>
      <c r="D1358" s="4" t="s">
        <v>29</v>
      </c>
      <c r="E1358" s="3" t="s">
        <v>271</v>
      </c>
      <c r="F1358" s="4" t="str">
        <f aca="false">IF(I1358&gt;J1358,"Y","N")</f>
        <v>Y</v>
      </c>
      <c r="G1358" s="3" t="s">
        <v>272</v>
      </c>
      <c r="H1358" s="3" t="s">
        <v>21</v>
      </c>
      <c r="I1358" s="4" t="n">
        <v>8</v>
      </c>
      <c r="J1358" s="4" t="n">
        <f aca="false">LEN(E1358)-LEN(SUBSTITUTE(E1358,",",""))+1</f>
        <v>7</v>
      </c>
      <c r="K1358" s="3" t="str">
        <f aca="false">IFERROR(INDEX('Teacher Lookup'!$B$2:$B$200,MATCH(A1358,'Teacher Lookup'!$A$2:$A$200,0)),"")</f>
        <v>CHUNG Brian</v>
      </c>
    </row>
    <row r="1359" customFormat="false" ht="15" hidden="false" customHeight="false" outlineLevel="0" collapsed="false">
      <c r="A1359" s="3" t="s">
        <v>270</v>
      </c>
      <c r="B1359" s="4" t="s">
        <v>12</v>
      </c>
      <c r="C1359" s="4" t="n">
        <v>2</v>
      </c>
      <c r="D1359" s="4" t="s">
        <v>30</v>
      </c>
      <c r="E1359" s="3" t="s">
        <v>271</v>
      </c>
      <c r="F1359" s="4" t="str">
        <f aca="false">IF(I1359&gt;J1359,"Y","N")</f>
        <v>Y</v>
      </c>
      <c r="G1359" s="3" t="s">
        <v>272</v>
      </c>
      <c r="H1359" s="3" t="s">
        <v>21</v>
      </c>
      <c r="I1359" s="4" t="n">
        <v>8</v>
      </c>
      <c r="J1359" s="4" t="n">
        <f aca="false">LEN(E1359)-LEN(SUBSTITUTE(E1359,",",""))+1</f>
        <v>7</v>
      </c>
      <c r="K1359" s="3" t="str">
        <f aca="false">IFERROR(INDEX('Teacher Lookup'!$B$2:$B$200,MATCH(A1359,'Teacher Lookup'!$A$2:$A$200,0)),"")</f>
        <v>CHUNG Brian</v>
      </c>
    </row>
    <row r="1360" customFormat="false" ht="15" hidden="false" customHeight="false" outlineLevel="0" collapsed="false">
      <c r="A1360" s="3" t="s">
        <v>270</v>
      </c>
      <c r="B1360" s="4" t="s">
        <v>12</v>
      </c>
      <c r="C1360" s="4" t="n">
        <v>6</v>
      </c>
      <c r="D1360" s="4" t="s">
        <v>228</v>
      </c>
      <c r="E1360" s="3" t="s">
        <v>273</v>
      </c>
      <c r="F1360" s="4" t="str">
        <f aca="false">IF(I1360&gt;J1360,"Y","N")</f>
        <v>N</v>
      </c>
      <c r="G1360" s="3" t="s">
        <v>192</v>
      </c>
      <c r="H1360" s="3" t="s">
        <v>42</v>
      </c>
      <c r="I1360" s="4" t="n">
        <v>2</v>
      </c>
      <c r="J1360" s="4" t="n">
        <f aca="false">LEN(E1360)-LEN(SUBSTITUTE(E1360,",",""))+1</f>
        <v>2</v>
      </c>
      <c r="K1360" s="3" t="str">
        <f aca="false">IFERROR(INDEX('Teacher Lookup'!$B$2:$B$200,MATCH(A1360,'Teacher Lookup'!$A$2:$A$200,0)),"")</f>
        <v>CHUNG Brian</v>
      </c>
    </row>
    <row r="1361" customFormat="false" ht="15" hidden="false" customHeight="false" outlineLevel="0" collapsed="false">
      <c r="A1361" s="3" t="s">
        <v>270</v>
      </c>
      <c r="B1361" s="4" t="s">
        <v>31</v>
      </c>
      <c r="C1361" s="4" t="n">
        <v>1</v>
      </c>
      <c r="D1361" s="4" t="s">
        <v>24</v>
      </c>
      <c r="E1361" s="3" t="s">
        <v>274</v>
      </c>
      <c r="F1361" s="4" t="str">
        <f aca="false">IF(I1361&gt;J1361,"Y","N")</f>
        <v>Y</v>
      </c>
      <c r="G1361" s="3" t="s">
        <v>272</v>
      </c>
      <c r="H1361" s="3" t="s">
        <v>16</v>
      </c>
      <c r="I1361" s="4" t="n">
        <v>8</v>
      </c>
      <c r="J1361" s="4" t="n">
        <f aca="false">LEN(E1361)-LEN(SUBSTITUTE(E1361,",",""))+1</f>
        <v>7</v>
      </c>
      <c r="K1361" s="3" t="str">
        <f aca="false">IFERROR(INDEX('Teacher Lookup'!$B$2:$B$200,MATCH(A1361,'Teacher Lookup'!$A$2:$A$200,0)),"")</f>
        <v>CHUNG Brian</v>
      </c>
    </row>
    <row r="1362" customFormat="false" ht="15" hidden="false" customHeight="false" outlineLevel="0" collapsed="false">
      <c r="A1362" s="3" t="s">
        <v>270</v>
      </c>
      <c r="B1362" s="4" t="s">
        <v>31</v>
      </c>
      <c r="C1362" s="4" t="n">
        <v>1</v>
      </c>
      <c r="D1362" s="4" t="s">
        <v>27</v>
      </c>
      <c r="E1362" s="3" t="s">
        <v>274</v>
      </c>
      <c r="F1362" s="4" t="str">
        <f aca="false">IF(I1362&gt;J1362,"Y","N")</f>
        <v>Y</v>
      </c>
      <c r="G1362" s="3" t="s">
        <v>272</v>
      </c>
      <c r="H1362" s="3" t="s">
        <v>16</v>
      </c>
      <c r="I1362" s="4" t="n">
        <v>8</v>
      </c>
      <c r="J1362" s="4" t="n">
        <f aca="false">LEN(E1362)-LEN(SUBSTITUTE(E1362,",",""))+1</f>
        <v>7</v>
      </c>
      <c r="K1362" s="3" t="str">
        <f aca="false">IFERROR(INDEX('Teacher Lookup'!$B$2:$B$200,MATCH(A1362,'Teacher Lookup'!$A$2:$A$200,0)),"")</f>
        <v>CHUNG Brian</v>
      </c>
    </row>
    <row r="1363" customFormat="false" ht="15" hidden="false" customHeight="false" outlineLevel="0" collapsed="false">
      <c r="A1363" s="3" t="s">
        <v>270</v>
      </c>
      <c r="B1363" s="4" t="s">
        <v>31</v>
      </c>
      <c r="C1363" s="4" t="n">
        <v>1</v>
      </c>
      <c r="D1363" s="4" t="s">
        <v>28</v>
      </c>
      <c r="E1363" s="3" t="s">
        <v>274</v>
      </c>
      <c r="F1363" s="4" t="str">
        <f aca="false">IF(I1363&gt;J1363,"Y","N")</f>
        <v>Y</v>
      </c>
      <c r="G1363" s="3" t="s">
        <v>272</v>
      </c>
      <c r="H1363" s="3" t="s">
        <v>16</v>
      </c>
      <c r="I1363" s="4" t="n">
        <v>8</v>
      </c>
      <c r="J1363" s="4" t="n">
        <f aca="false">LEN(E1363)-LEN(SUBSTITUTE(E1363,",",""))+1</f>
        <v>7</v>
      </c>
      <c r="K1363" s="3" t="str">
        <f aca="false">IFERROR(INDEX('Teacher Lookup'!$B$2:$B$200,MATCH(A1363,'Teacher Lookup'!$A$2:$A$200,0)),"")</f>
        <v>CHUNG Brian</v>
      </c>
    </row>
    <row r="1364" customFormat="false" ht="15" hidden="false" customHeight="false" outlineLevel="0" collapsed="false">
      <c r="A1364" s="3" t="s">
        <v>270</v>
      </c>
      <c r="B1364" s="4" t="s">
        <v>31</v>
      </c>
      <c r="C1364" s="4" t="n">
        <v>1</v>
      </c>
      <c r="D1364" s="4" t="s">
        <v>29</v>
      </c>
      <c r="E1364" s="3" t="s">
        <v>274</v>
      </c>
      <c r="F1364" s="4" t="str">
        <f aca="false">IF(I1364&gt;J1364,"Y","N")</f>
        <v>Y</v>
      </c>
      <c r="G1364" s="3" t="s">
        <v>272</v>
      </c>
      <c r="H1364" s="3" t="s">
        <v>16</v>
      </c>
      <c r="I1364" s="4" t="n">
        <v>8</v>
      </c>
      <c r="J1364" s="4" t="n">
        <f aca="false">LEN(E1364)-LEN(SUBSTITUTE(E1364,",",""))+1</f>
        <v>7</v>
      </c>
      <c r="K1364" s="3" t="str">
        <f aca="false">IFERROR(INDEX('Teacher Lookup'!$B$2:$B$200,MATCH(A1364,'Teacher Lookup'!$A$2:$A$200,0)),"")</f>
        <v>CHUNG Brian</v>
      </c>
    </row>
    <row r="1365" customFormat="false" ht="15" hidden="false" customHeight="false" outlineLevel="0" collapsed="false">
      <c r="A1365" s="3" t="s">
        <v>270</v>
      </c>
      <c r="B1365" s="4" t="s">
        <v>31</v>
      </c>
      <c r="C1365" s="4" t="n">
        <v>1</v>
      </c>
      <c r="D1365" s="4" t="s">
        <v>30</v>
      </c>
      <c r="E1365" s="3" t="s">
        <v>274</v>
      </c>
      <c r="F1365" s="4" t="str">
        <f aca="false">IF(I1365&gt;J1365,"Y","N")</f>
        <v>Y</v>
      </c>
      <c r="G1365" s="3" t="s">
        <v>272</v>
      </c>
      <c r="H1365" s="3" t="s">
        <v>16</v>
      </c>
      <c r="I1365" s="4" t="n">
        <v>8</v>
      </c>
      <c r="J1365" s="4" t="n">
        <f aca="false">LEN(E1365)-LEN(SUBSTITUTE(E1365,",",""))+1</f>
        <v>7</v>
      </c>
      <c r="K1365" s="3" t="str">
        <f aca="false">IFERROR(INDEX('Teacher Lookup'!$B$2:$B$200,MATCH(A1365,'Teacher Lookup'!$A$2:$A$200,0)),"")</f>
        <v>CHUNG Brian</v>
      </c>
    </row>
    <row r="1366" customFormat="false" ht="15" hidden="false" customHeight="false" outlineLevel="0" collapsed="false">
      <c r="A1366" s="3" t="s">
        <v>270</v>
      </c>
      <c r="B1366" s="4" t="s">
        <v>31</v>
      </c>
      <c r="C1366" s="4" t="n">
        <v>5</v>
      </c>
      <c r="D1366" s="4" t="s">
        <v>70</v>
      </c>
      <c r="E1366" s="3" t="s">
        <v>81</v>
      </c>
      <c r="F1366" s="4" t="str">
        <f aca="false">IF(I1366&gt;J1366,"Y","N")</f>
        <v>Y</v>
      </c>
      <c r="G1366" s="3" t="s">
        <v>36</v>
      </c>
      <c r="H1366" s="3" t="s">
        <v>37</v>
      </c>
      <c r="I1366" s="4" t="n">
        <v>15</v>
      </c>
      <c r="J1366" s="4" t="n">
        <f aca="false">LEN(E1366)-LEN(SUBSTITUTE(E1366,",",""))+1</f>
        <v>7</v>
      </c>
      <c r="K1366" s="3" t="str">
        <f aca="false">IFERROR(INDEX('Teacher Lookup'!$B$2:$B$200,MATCH(A1366,'Teacher Lookup'!$A$2:$A$200,0)),"")</f>
        <v>CHUNG Brian</v>
      </c>
    </row>
    <row r="1367" customFormat="false" ht="15" hidden="false" customHeight="false" outlineLevel="0" collapsed="false">
      <c r="A1367" s="3" t="s">
        <v>270</v>
      </c>
      <c r="B1367" s="4" t="s">
        <v>31</v>
      </c>
      <c r="C1367" s="4" t="n">
        <v>5</v>
      </c>
      <c r="D1367" s="4" t="s">
        <v>73</v>
      </c>
      <c r="E1367" s="3" t="s">
        <v>81</v>
      </c>
      <c r="F1367" s="4" t="str">
        <f aca="false">IF(I1367&gt;J1367,"Y","N")</f>
        <v>Y</v>
      </c>
      <c r="G1367" s="3" t="s">
        <v>36</v>
      </c>
      <c r="H1367" s="3" t="s">
        <v>37</v>
      </c>
      <c r="I1367" s="4" t="n">
        <v>15</v>
      </c>
      <c r="J1367" s="4" t="n">
        <f aca="false">LEN(E1367)-LEN(SUBSTITUTE(E1367,",",""))+1</f>
        <v>7</v>
      </c>
      <c r="K1367" s="3" t="str">
        <f aca="false">IFERROR(INDEX('Teacher Lookup'!$B$2:$B$200,MATCH(A1367,'Teacher Lookup'!$A$2:$A$200,0)),"")</f>
        <v>CHUNG Brian</v>
      </c>
    </row>
    <row r="1368" customFormat="false" ht="15" hidden="false" customHeight="false" outlineLevel="0" collapsed="false">
      <c r="A1368" s="3" t="s">
        <v>270</v>
      </c>
      <c r="B1368" s="4" t="s">
        <v>31</v>
      </c>
      <c r="C1368" s="4" t="n">
        <v>5</v>
      </c>
      <c r="D1368" s="4" t="s">
        <v>74</v>
      </c>
      <c r="E1368" s="3" t="s">
        <v>81</v>
      </c>
      <c r="F1368" s="4" t="str">
        <f aca="false">IF(I1368&gt;J1368,"Y","N")</f>
        <v>Y</v>
      </c>
      <c r="G1368" s="3" t="s">
        <v>36</v>
      </c>
      <c r="H1368" s="3" t="s">
        <v>37</v>
      </c>
      <c r="I1368" s="4" t="n">
        <v>15</v>
      </c>
      <c r="J1368" s="4" t="n">
        <f aca="false">LEN(E1368)-LEN(SUBSTITUTE(E1368,",",""))+1</f>
        <v>7</v>
      </c>
      <c r="K1368" s="3" t="str">
        <f aca="false">IFERROR(INDEX('Teacher Lookup'!$B$2:$B$200,MATCH(A1368,'Teacher Lookup'!$A$2:$A$200,0)),"")</f>
        <v>CHUNG Brian</v>
      </c>
    </row>
    <row r="1369" customFormat="false" ht="15" hidden="false" customHeight="false" outlineLevel="0" collapsed="false">
      <c r="A1369" s="3" t="s">
        <v>270</v>
      </c>
      <c r="B1369" s="4" t="s">
        <v>31</v>
      </c>
      <c r="C1369" s="4" t="n">
        <v>5</v>
      </c>
      <c r="D1369" s="4" t="s">
        <v>76</v>
      </c>
      <c r="E1369" s="3" t="s">
        <v>81</v>
      </c>
      <c r="F1369" s="4" t="str">
        <f aca="false">IF(I1369&gt;J1369,"Y","N")</f>
        <v>Y</v>
      </c>
      <c r="G1369" s="3" t="s">
        <v>36</v>
      </c>
      <c r="H1369" s="3" t="s">
        <v>37</v>
      </c>
      <c r="I1369" s="4" t="n">
        <v>15</v>
      </c>
      <c r="J1369" s="4" t="n">
        <f aca="false">LEN(E1369)-LEN(SUBSTITUTE(E1369,",",""))+1</f>
        <v>7</v>
      </c>
      <c r="K1369" s="3" t="str">
        <f aca="false">IFERROR(INDEX('Teacher Lookup'!$B$2:$B$200,MATCH(A1369,'Teacher Lookup'!$A$2:$A$200,0)),"")</f>
        <v>CHUNG Brian</v>
      </c>
    </row>
    <row r="1370" customFormat="false" ht="15" hidden="false" customHeight="false" outlineLevel="0" collapsed="false">
      <c r="A1370" s="3" t="s">
        <v>270</v>
      </c>
      <c r="B1370" s="4" t="s">
        <v>31</v>
      </c>
      <c r="C1370" s="4" t="n">
        <v>5</v>
      </c>
      <c r="D1370" s="4" t="s">
        <v>78</v>
      </c>
      <c r="E1370" s="3" t="s">
        <v>81</v>
      </c>
      <c r="F1370" s="4" t="str">
        <f aca="false">IF(I1370&gt;J1370,"Y","N")</f>
        <v>Y</v>
      </c>
      <c r="G1370" s="3" t="s">
        <v>36</v>
      </c>
      <c r="H1370" s="3" t="s">
        <v>37</v>
      </c>
      <c r="I1370" s="4" t="n">
        <v>15</v>
      </c>
      <c r="J1370" s="4" t="n">
        <f aca="false">LEN(E1370)-LEN(SUBSTITUTE(E1370,",",""))+1</f>
        <v>7</v>
      </c>
      <c r="K1370" s="3" t="str">
        <f aca="false">IFERROR(INDEX('Teacher Lookup'!$B$2:$B$200,MATCH(A1370,'Teacher Lookup'!$A$2:$A$200,0)),"")</f>
        <v>CHUNG Brian</v>
      </c>
    </row>
    <row r="1371" customFormat="false" ht="15" hidden="false" customHeight="false" outlineLevel="0" collapsed="false">
      <c r="A1371" s="3" t="s">
        <v>270</v>
      </c>
      <c r="B1371" s="4" t="s">
        <v>31</v>
      </c>
      <c r="C1371" s="4" t="n">
        <v>5</v>
      </c>
      <c r="D1371" s="4" t="s">
        <v>79</v>
      </c>
      <c r="E1371" s="3" t="s">
        <v>81</v>
      </c>
      <c r="F1371" s="4" t="str">
        <f aca="false">IF(I1371&gt;J1371,"Y","N")</f>
        <v>Y</v>
      </c>
      <c r="G1371" s="3" t="s">
        <v>36</v>
      </c>
      <c r="H1371" s="3" t="s">
        <v>37</v>
      </c>
      <c r="I1371" s="4" t="n">
        <v>15</v>
      </c>
      <c r="J1371" s="4" t="n">
        <f aca="false">LEN(E1371)-LEN(SUBSTITUTE(E1371,",",""))+1</f>
        <v>7</v>
      </c>
      <c r="K1371" s="3" t="str">
        <f aca="false">IFERROR(INDEX('Teacher Lookup'!$B$2:$B$200,MATCH(A1371,'Teacher Lookup'!$A$2:$A$200,0)),"")</f>
        <v>CHUNG Brian</v>
      </c>
    </row>
    <row r="1372" customFormat="false" ht="15" hidden="false" customHeight="false" outlineLevel="0" collapsed="false">
      <c r="A1372" s="3" t="s">
        <v>270</v>
      </c>
      <c r="B1372" s="4" t="s">
        <v>31</v>
      </c>
      <c r="C1372" s="4" t="n">
        <v>6</v>
      </c>
      <c r="D1372" s="4" t="s">
        <v>228</v>
      </c>
      <c r="E1372" s="3" t="s">
        <v>273</v>
      </c>
      <c r="F1372" s="4" t="str">
        <f aca="false">IF(I1372&gt;J1372,"Y","N")</f>
        <v>N</v>
      </c>
      <c r="G1372" s="3" t="s">
        <v>192</v>
      </c>
      <c r="H1372" s="3" t="s">
        <v>42</v>
      </c>
      <c r="I1372" s="4" t="n">
        <v>2</v>
      </c>
      <c r="J1372" s="4" t="n">
        <f aca="false">LEN(E1372)-LEN(SUBSTITUTE(E1372,",",""))+1</f>
        <v>2</v>
      </c>
      <c r="K1372" s="3" t="str">
        <f aca="false">IFERROR(INDEX('Teacher Lookup'!$B$2:$B$200,MATCH(A1372,'Teacher Lookup'!$A$2:$A$200,0)),"")</f>
        <v>CHUNG Brian</v>
      </c>
    </row>
    <row r="1373" customFormat="false" ht="15" hidden="false" customHeight="false" outlineLevel="0" collapsed="false">
      <c r="A1373" s="3" t="s">
        <v>270</v>
      </c>
      <c r="B1373" s="4" t="s">
        <v>31</v>
      </c>
      <c r="C1373" s="4" t="n">
        <v>7</v>
      </c>
      <c r="D1373" s="4" t="s">
        <v>228</v>
      </c>
      <c r="E1373" s="3" t="s">
        <v>273</v>
      </c>
      <c r="F1373" s="4" t="str">
        <f aca="false">IF(I1373&gt;J1373,"Y","N")</f>
        <v>N</v>
      </c>
      <c r="G1373" s="3" t="s">
        <v>192</v>
      </c>
      <c r="H1373" s="3" t="s">
        <v>39</v>
      </c>
      <c r="I1373" s="4" t="n">
        <v>2</v>
      </c>
      <c r="J1373" s="4" t="n">
        <f aca="false">LEN(E1373)-LEN(SUBSTITUTE(E1373,",",""))+1</f>
        <v>2</v>
      </c>
      <c r="K1373" s="3" t="str">
        <f aca="false">IFERROR(INDEX('Teacher Lookup'!$B$2:$B$200,MATCH(A1373,'Teacher Lookup'!$A$2:$A$200,0)),"")</f>
        <v>CHUNG Brian</v>
      </c>
    </row>
    <row r="1374" customFormat="false" ht="15" hidden="false" customHeight="false" outlineLevel="0" collapsed="false">
      <c r="A1374" s="3" t="s">
        <v>270</v>
      </c>
      <c r="B1374" s="4" t="s">
        <v>40</v>
      </c>
      <c r="C1374" s="4" t="n">
        <v>1</v>
      </c>
      <c r="D1374" s="4" t="s">
        <v>73</v>
      </c>
      <c r="E1374" s="3" t="s">
        <v>133</v>
      </c>
      <c r="F1374" s="4" t="str">
        <f aca="false">IF(I1374&gt;J1374,"Y","N")</f>
        <v>N</v>
      </c>
      <c r="G1374" s="3" t="s">
        <v>130</v>
      </c>
      <c r="H1374" s="3" t="s">
        <v>16</v>
      </c>
      <c r="I1374" s="4" t="n">
        <v>1</v>
      </c>
      <c r="J1374" s="4" t="n">
        <f aca="false">LEN(E1374)-LEN(SUBSTITUTE(E1374,",",""))+1</f>
        <v>1</v>
      </c>
      <c r="K1374" s="3" t="str">
        <f aca="false">IFERROR(INDEX('Teacher Lookup'!$B$2:$B$200,MATCH(A1374,'Teacher Lookup'!$A$2:$A$200,0)),"")</f>
        <v>CHUNG Brian</v>
      </c>
    </row>
    <row r="1375" customFormat="false" ht="15" hidden="false" customHeight="false" outlineLevel="0" collapsed="false">
      <c r="A1375" s="3" t="s">
        <v>270</v>
      </c>
      <c r="B1375" s="4" t="s">
        <v>40</v>
      </c>
      <c r="C1375" s="4" t="n">
        <v>3</v>
      </c>
      <c r="D1375" s="4" t="s">
        <v>24</v>
      </c>
      <c r="E1375" s="3" t="s">
        <v>275</v>
      </c>
      <c r="F1375" s="4" t="str">
        <f aca="false">IF(I1375&gt;J1375,"Y","N")</f>
        <v>Y</v>
      </c>
      <c r="G1375" s="3" t="s">
        <v>272</v>
      </c>
      <c r="H1375" s="3" t="s">
        <v>26</v>
      </c>
      <c r="I1375" s="4" t="n">
        <v>8</v>
      </c>
      <c r="J1375" s="4" t="n">
        <f aca="false">LEN(E1375)-LEN(SUBSTITUTE(E1375,",",""))+1</f>
        <v>7</v>
      </c>
      <c r="K1375" s="3" t="str">
        <f aca="false">IFERROR(INDEX('Teacher Lookup'!$B$2:$B$200,MATCH(A1375,'Teacher Lookup'!$A$2:$A$200,0)),"")</f>
        <v>CHUNG Brian</v>
      </c>
    </row>
    <row r="1376" customFormat="false" ht="15" hidden="false" customHeight="false" outlineLevel="0" collapsed="false">
      <c r="A1376" s="3" t="s">
        <v>270</v>
      </c>
      <c r="B1376" s="4" t="s">
        <v>40</v>
      </c>
      <c r="C1376" s="4" t="n">
        <v>3</v>
      </c>
      <c r="D1376" s="4" t="s">
        <v>27</v>
      </c>
      <c r="E1376" s="3" t="s">
        <v>275</v>
      </c>
      <c r="F1376" s="4" t="str">
        <f aca="false">IF(I1376&gt;J1376,"Y","N")</f>
        <v>Y</v>
      </c>
      <c r="G1376" s="3" t="s">
        <v>272</v>
      </c>
      <c r="H1376" s="3" t="s">
        <v>26</v>
      </c>
      <c r="I1376" s="4" t="n">
        <v>8</v>
      </c>
      <c r="J1376" s="4" t="n">
        <f aca="false">LEN(E1376)-LEN(SUBSTITUTE(E1376,",",""))+1</f>
        <v>7</v>
      </c>
      <c r="K1376" s="3" t="str">
        <f aca="false">IFERROR(INDEX('Teacher Lookup'!$B$2:$B$200,MATCH(A1376,'Teacher Lookup'!$A$2:$A$200,0)),"")</f>
        <v>CHUNG Brian</v>
      </c>
    </row>
    <row r="1377" customFormat="false" ht="15" hidden="false" customHeight="false" outlineLevel="0" collapsed="false">
      <c r="A1377" s="3" t="s">
        <v>270</v>
      </c>
      <c r="B1377" s="4" t="s">
        <v>40</v>
      </c>
      <c r="C1377" s="4" t="n">
        <v>3</v>
      </c>
      <c r="D1377" s="4" t="s">
        <v>28</v>
      </c>
      <c r="E1377" s="3" t="s">
        <v>275</v>
      </c>
      <c r="F1377" s="4" t="str">
        <f aca="false">IF(I1377&gt;J1377,"Y","N")</f>
        <v>Y</v>
      </c>
      <c r="G1377" s="3" t="s">
        <v>272</v>
      </c>
      <c r="H1377" s="3" t="s">
        <v>26</v>
      </c>
      <c r="I1377" s="4" t="n">
        <v>8</v>
      </c>
      <c r="J1377" s="4" t="n">
        <f aca="false">LEN(E1377)-LEN(SUBSTITUTE(E1377,",",""))+1</f>
        <v>7</v>
      </c>
      <c r="K1377" s="3" t="str">
        <f aca="false">IFERROR(INDEX('Teacher Lookup'!$B$2:$B$200,MATCH(A1377,'Teacher Lookup'!$A$2:$A$200,0)),"")</f>
        <v>CHUNG Brian</v>
      </c>
    </row>
    <row r="1378" customFormat="false" ht="15" hidden="false" customHeight="false" outlineLevel="0" collapsed="false">
      <c r="A1378" s="3" t="s">
        <v>270</v>
      </c>
      <c r="B1378" s="4" t="s">
        <v>40</v>
      </c>
      <c r="C1378" s="4" t="n">
        <v>3</v>
      </c>
      <c r="D1378" s="4" t="s">
        <v>29</v>
      </c>
      <c r="E1378" s="3" t="s">
        <v>275</v>
      </c>
      <c r="F1378" s="4" t="str">
        <f aca="false">IF(I1378&gt;J1378,"Y","N")</f>
        <v>Y</v>
      </c>
      <c r="G1378" s="3" t="s">
        <v>272</v>
      </c>
      <c r="H1378" s="3" t="s">
        <v>26</v>
      </c>
      <c r="I1378" s="4" t="n">
        <v>8</v>
      </c>
      <c r="J1378" s="4" t="n">
        <f aca="false">LEN(E1378)-LEN(SUBSTITUTE(E1378,",",""))+1</f>
        <v>7</v>
      </c>
      <c r="K1378" s="3" t="str">
        <f aca="false">IFERROR(INDEX('Teacher Lookup'!$B$2:$B$200,MATCH(A1378,'Teacher Lookup'!$A$2:$A$200,0)),"")</f>
        <v>CHUNG Brian</v>
      </c>
    </row>
    <row r="1379" customFormat="false" ht="15" hidden="false" customHeight="false" outlineLevel="0" collapsed="false">
      <c r="A1379" s="3" t="s">
        <v>270</v>
      </c>
      <c r="B1379" s="4" t="s">
        <v>40</v>
      </c>
      <c r="C1379" s="4" t="n">
        <v>3</v>
      </c>
      <c r="D1379" s="4" t="s">
        <v>30</v>
      </c>
      <c r="E1379" s="3" t="s">
        <v>275</v>
      </c>
      <c r="F1379" s="4" t="str">
        <f aca="false">IF(I1379&gt;J1379,"Y","N")</f>
        <v>Y</v>
      </c>
      <c r="G1379" s="3" t="s">
        <v>272</v>
      </c>
      <c r="H1379" s="3" t="s">
        <v>26</v>
      </c>
      <c r="I1379" s="4" t="n">
        <v>8</v>
      </c>
      <c r="J1379" s="4" t="n">
        <f aca="false">LEN(E1379)-LEN(SUBSTITUTE(E1379,",",""))+1</f>
        <v>7</v>
      </c>
      <c r="K1379" s="3" t="str">
        <f aca="false">IFERROR(INDEX('Teacher Lookup'!$B$2:$B$200,MATCH(A1379,'Teacher Lookup'!$A$2:$A$200,0)),"")</f>
        <v>CHUNG Brian</v>
      </c>
    </row>
    <row r="1380" customFormat="false" ht="15" hidden="false" customHeight="false" outlineLevel="0" collapsed="false">
      <c r="A1380" s="3" t="s">
        <v>270</v>
      </c>
      <c r="B1380" s="4" t="s">
        <v>40</v>
      </c>
      <c r="C1380" s="4" t="n">
        <v>4</v>
      </c>
      <c r="D1380" s="4" t="s">
        <v>228</v>
      </c>
      <c r="E1380" s="3" t="s">
        <v>276</v>
      </c>
      <c r="F1380" s="4" t="str">
        <f aca="false">IF(I1380&gt;J1380,"Y","N")</f>
        <v>N</v>
      </c>
      <c r="G1380" s="3" t="s">
        <v>192</v>
      </c>
      <c r="H1380" s="3" t="s">
        <v>34</v>
      </c>
      <c r="I1380" s="4" t="n">
        <v>2</v>
      </c>
      <c r="J1380" s="4" t="n">
        <f aca="false">LEN(E1380)-LEN(SUBSTITUTE(E1380,",",""))+1</f>
        <v>2</v>
      </c>
      <c r="K1380" s="3" t="str">
        <f aca="false">IFERROR(INDEX('Teacher Lookup'!$B$2:$B$200,MATCH(A1380,'Teacher Lookup'!$A$2:$A$200,0)),"")</f>
        <v>CHUNG Brian</v>
      </c>
    </row>
    <row r="1381" customFormat="false" ht="15" hidden="false" customHeight="false" outlineLevel="0" collapsed="false">
      <c r="A1381" s="3" t="s">
        <v>270</v>
      </c>
      <c r="B1381" s="4" t="s">
        <v>44</v>
      </c>
      <c r="C1381" s="4" t="n">
        <v>5</v>
      </c>
      <c r="D1381" s="4" t="s">
        <v>70</v>
      </c>
      <c r="E1381" s="3" t="s">
        <v>81</v>
      </c>
      <c r="F1381" s="4" t="str">
        <f aca="false">IF(I1381&gt;J1381,"Y","N")</f>
        <v>Y</v>
      </c>
      <c r="G1381" s="3" t="s">
        <v>36</v>
      </c>
      <c r="H1381" s="3" t="s">
        <v>37</v>
      </c>
      <c r="I1381" s="4" t="n">
        <v>15</v>
      </c>
      <c r="J1381" s="4" t="n">
        <f aca="false">LEN(E1381)-LEN(SUBSTITUTE(E1381,",",""))+1</f>
        <v>7</v>
      </c>
      <c r="K1381" s="3" t="str">
        <f aca="false">IFERROR(INDEX('Teacher Lookup'!$B$2:$B$200,MATCH(A1381,'Teacher Lookup'!$A$2:$A$200,0)),"")</f>
        <v>CHUNG Brian</v>
      </c>
    </row>
    <row r="1382" customFormat="false" ht="15" hidden="false" customHeight="false" outlineLevel="0" collapsed="false">
      <c r="A1382" s="3" t="s">
        <v>270</v>
      </c>
      <c r="B1382" s="4" t="s">
        <v>44</v>
      </c>
      <c r="C1382" s="4" t="n">
        <v>5</v>
      </c>
      <c r="D1382" s="4" t="s">
        <v>73</v>
      </c>
      <c r="E1382" s="3" t="s">
        <v>81</v>
      </c>
      <c r="F1382" s="4" t="str">
        <f aca="false">IF(I1382&gt;J1382,"Y","N")</f>
        <v>Y</v>
      </c>
      <c r="G1382" s="3" t="s">
        <v>36</v>
      </c>
      <c r="H1382" s="3" t="s">
        <v>37</v>
      </c>
      <c r="I1382" s="4" t="n">
        <v>15</v>
      </c>
      <c r="J1382" s="4" t="n">
        <f aca="false">LEN(E1382)-LEN(SUBSTITUTE(E1382,",",""))+1</f>
        <v>7</v>
      </c>
      <c r="K1382" s="3" t="str">
        <f aca="false">IFERROR(INDEX('Teacher Lookup'!$B$2:$B$200,MATCH(A1382,'Teacher Lookup'!$A$2:$A$200,0)),"")</f>
        <v>CHUNG Brian</v>
      </c>
    </row>
    <row r="1383" customFormat="false" ht="15" hidden="false" customHeight="false" outlineLevel="0" collapsed="false">
      <c r="A1383" s="3" t="s">
        <v>270</v>
      </c>
      <c r="B1383" s="4" t="s">
        <v>44</v>
      </c>
      <c r="C1383" s="4" t="n">
        <v>5</v>
      </c>
      <c r="D1383" s="4" t="s">
        <v>74</v>
      </c>
      <c r="E1383" s="3" t="s">
        <v>81</v>
      </c>
      <c r="F1383" s="4" t="str">
        <f aca="false">IF(I1383&gt;J1383,"Y","N")</f>
        <v>Y</v>
      </c>
      <c r="G1383" s="3" t="s">
        <v>36</v>
      </c>
      <c r="H1383" s="3" t="s">
        <v>37</v>
      </c>
      <c r="I1383" s="4" t="n">
        <v>15</v>
      </c>
      <c r="J1383" s="4" t="n">
        <f aca="false">LEN(E1383)-LEN(SUBSTITUTE(E1383,",",""))+1</f>
        <v>7</v>
      </c>
      <c r="K1383" s="3" t="str">
        <f aca="false">IFERROR(INDEX('Teacher Lookup'!$B$2:$B$200,MATCH(A1383,'Teacher Lookup'!$A$2:$A$200,0)),"")</f>
        <v>CHUNG Brian</v>
      </c>
    </row>
    <row r="1384" customFormat="false" ht="15" hidden="false" customHeight="false" outlineLevel="0" collapsed="false">
      <c r="A1384" s="3" t="s">
        <v>270</v>
      </c>
      <c r="B1384" s="4" t="s">
        <v>44</v>
      </c>
      <c r="C1384" s="4" t="n">
        <v>5</v>
      </c>
      <c r="D1384" s="4" t="s">
        <v>76</v>
      </c>
      <c r="E1384" s="3" t="s">
        <v>81</v>
      </c>
      <c r="F1384" s="4" t="str">
        <f aca="false">IF(I1384&gt;J1384,"Y","N")</f>
        <v>Y</v>
      </c>
      <c r="G1384" s="3" t="s">
        <v>36</v>
      </c>
      <c r="H1384" s="3" t="s">
        <v>37</v>
      </c>
      <c r="I1384" s="4" t="n">
        <v>15</v>
      </c>
      <c r="J1384" s="4" t="n">
        <f aca="false">LEN(E1384)-LEN(SUBSTITUTE(E1384,",",""))+1</f>
        <v>7</v>
      </c>
      <c r="K1384" s="3" t="str">
        <f aca="false">IFERROR(INDEX('Teacher Lookup'!$B$2:$B$200,MATCH(A1384,'Teacher Lookup'!$A$2:$A$200,0)),"")</f>
        <v>CHUNG Brian</v>
      </c>
    </row>
    <row r="1385" customFormat="false" ht="15" hidden="false" customHeight="false" outlineLevel="0" collapsed="false">
      <c r="A1385" s="3" t="s">
        <v>270</v>
      </c>
      <c r="B1385" s="4" t="s">
        <v>44</v>
      </c>
      <c r="C1385" s="4" t="n">
        <v>5</v>
      </c>
      <c r="D1385" s="4" t="s">
        <v>78</v>
      </c>
      <c r="E1385" s="3" t="s">
        <v>81</v>
      </c>
      <c r="F1385" s="4" t="str">
        <f aca="false">IF(I1385&gt;J1385,"Y","N")</f>
        <v>Y</v>
      </c>
      <c r="G1385" s="3" t="s">
        <v>36</v>
      </c>
      <c r="H1385" s="3" t="s">
        <v>37</v>
      </c>
      <c r="I1385" s="4" t="n">
        <v>15</v>
      </c>
      <c r="J1385" s="4" t="n">
        <f aca="false">LEN(E1385)-LEN(SUBSTITUTE(E1385,",",""))+1</f>
        <v>7</v>
      </c>
      <c r="K1385" s="3" t="str">
        <f aca="false">IFERROR(INDEX('Teacher Lookup'!$B$2:$B$200,MATCH(A1385,'Teacher Lookup'!$A$2:$A$200,0)),"")</f>
        <v>CHUNG Brian</v>
      </c>
    </row>
    <row r="1386" customFormat="false" ht="15" hidden="false" customHeight="false" outlineLevel="0" collapsed="false">
      <c r="A1386" s="3" t="s">
        <v>270</v>
      </c>
      <c r="B1386" s="4" t="s">
        <v>44</v>
      </c>
      <c r="C1386" s="4" t="n">
        <v>5</v>
      </c>
      <c r="D1386" s="4" t="s">
        <v>79</v>
      </c>
      <c r="E1386" s="3" t="s">
        <v>81</v>
      </c>
      <c r="F1386" s="4" t="str">
        <f aca="false">IF(I1386&gt;J1386,"Y","N")</f>
        <v>Y</v>
      </c>
      <c r="G1386" s="3" t="s">
        <v>36</v>
      </c>
      <c r="H1386" s="3" t="s">
        <v>37</v>
      </c>
      <c r="I1386" s="4" t="n">
        <v>15</v>
      </c>
      <c r="J1386" s="4" t="n">
        <f aca="false">LEN(E1386)-LEN(SUBSTITUTE(E1386,",",""))+1</f>
        <v>7</v>
      </c>
      <c r="K1386" s="3" t="str">
        <f aca="false">IFERROR(INDEX('Teacher Lookup'!$B$2:$B$200,MATCH(A1386,'Teacher Lookup'!$A$2:$A$200,0)),"")</f>
        <v>CHUNG Brian</v>
      </c>
    </row>
    <row r="1387" customFormat="false" ht="15" hidden="false" customHeight="false" outlineLevel="0" collapsed="false">
      <c r="A1387" s="3" t="s">
        <v>270</v>
      </c>
      <c r="B1387" s="4" t="s">
        <v>44</v>
      </c>
      <c r="C1387" s="4" t="n">
        <v>6</v>
      </c>
      <c r="D1387" s="4" t="s">
        <v>228</v>
      </c>
      <c r="E1387" s="3" t="s">
        <v>273</v>
      </c>
      <c r="F1387" s="4" t="str">
        <f aca="false">IF(I1387&gt;J1387,"Y","N")</f>
        <v>N</v>
      </c>
      <c r="G1387" s="3" t="s">
        <v>192</v>
      </c>
      <c r="H1387" s="3" t="s">
        <v>42</v>
      </c>
      <c r="I1387" s="4" t="n">
        <v>2</v>
      </c>
      <c r="J1387" s="4" t="n">
        <f aca="false">LEN(E1387)-LEN(SUBSTITUTE(E1387,",",""))+1</f>
        <v>2</v>
      </c>
      <c r="K1387" s="3" t="str">
        <f aca="false">IFERROR(INDEX('Teacher Lookup'!$B$2:$B$200,MATCH(A1387,'Teacher Lookup'!$A$2:$A$200,0)),"")</f>
        <v>CHUNG Brian</v>
      </c>
    </row>
    <row r="1388" customFormat="false" ht="15" hidden="false" customHeight="false" outlineLevel="0" collapsed="false">
      <c r="A1388" s="3" t="s">
        <v>270</v>
      </c>
      <c r="B1388" s="4" t="s">
        <v>44</v>
      </c>
      <c r="C1388" s="4" t="n">
        <v>7</v>
      </c>
      <c r="D1388" s="4" t="s">
        <v>228</v>
      </c>
      <c r="E1388" s="3" t="s">
        <v>273</v>
      </c>
      <c r="F1388" s="4" t="str">
        <f aca="false">IF(I1388&gt;J1388,"Y","N")</f>
        <v>N</v>
      </c>
      <c r="G1388" s="3" t="s">
        <v>192</v>
      </c>
      <c r="H1388" s="3" t="s">
        <v>39</v>
      </c>
      <c r="I1388" s="4" t="n">
        <v>2</v>
      </c>
      <c r="J1388" s="4" t="n">
        <f aca="false">LEN(E1388)-LEN(SUBSTITUTE(E1388,",",""))+1</f>
        <v>2</v>
      </c>
      <c r="K1388" s="3" t="str">
        <f aca="false">IFERROR(INDEX('Teacher Lookup'!$B$2:$B$200,MATCH(A1388,'Teacher Lookup'!$A$2:$A$200,0)),"")</f>
        <v>CHUNG Brian</v>
      </c>
    </row>
    <row r="1389" customFormat="false" ht="15" hidden="false" customHeight="false" outlineLevel="0" collapsed="false">
      <c r="A1389" s="3" t="s">
        <v>270</v>
      </c>
      <c r="B1389" s="4" t="s">
        <v>47</v>
      </c>
      <c r="C1389" s="4" t="n">
        <v>1</v>
      </c>
      <c r="D1389" s="4" t="s">
        <v>24</v>
      </c>
      <c r="E1389" s="3" t="s">
        <v>277</v>
      </c>
      <c r="F1389" s="4" t="str">
        <f aca="false">IF(I1389&gt;J1389,"Y","N")</f>
        <v>Y</v>
      </c>
      <c r="G1389" s="3" t="s">
        <v>272</v>
      </c>
      <c r="H1389" s="3" t="s">
        <v>16</v>
      </c>
      <c r="I1389" s="4" t="n">
        <v>8</v>
      </c>
      <c r="J1389" s="4" t="n">
        <f aca="false">LEN(E1389)-LEN(SUBSTITUTE(E1389,",",""))+1</f>
        <v>7</v>
      </c>
      <c r="K1389" s="3" t="str">
        <f aca="false">IFERROR(INDEX('Teacher Lookup'!$B$2:$B$200,MATCH(A1389,'Teacher Lookup'!$A$2:$A$200,0)),"")</f>
        <v>CHUNG Brian</v>
      </c>
    </row>
    <row r="1390" customFormat="false" ht="15" hidden="false" customHeight="false" outlineLevel="0" collapsed="false">
      <c r="A1390" s="3" t="s">
        <v>270</v>
      </c>
      <c r="B1390" s="4" t="s">
        <v>47</v>
      </c>
      <c r="C1390" s="4" t="n">
        <v>1</v>
      </c>
      <c r="D1390" s="4" t="s">
        <v>27</v>
      </c>
      <c r="E1390" s="3" t="s">
        <v>277</v>
      </c>
      <c r="F1390" s="4" t="str">
        <f aca="false">IF(I1390&gt;J1390,"Y","N")</f>
        <v>Y</v>
      </c>
      <c r="G1390" s="3" t="s">
        <v>272</v>
      </c>
      <c r="H1390" s="3" t="s">
        <v>16</v>
      </c>
      <c r="I1390" s="4" t="n">
        <v>8</v>
      </c>
      <c r="J1390" s="4" t="n">
        <f aca="false">LEN(E1390)-LEN(SUBSTITUTE(E1390,",",""))+1</f>
        <v>7</v>
      </c>
      <c r="K1390" s="3" t="str">
        <f aca="false">IFERROR(INDEX('Teacher Lookup'!$B$2:$B$200,MATCH(A1390,'Teacher Lookup'!$A$2:$A$200,0)),"")</f>
        <v>CHUNG Brian</v>
      </c>
    </row>
    <row r="1391" customFormat="false" ht="15" hidden="false" customHeight="false" outlineLevel="0" collapsed="false">
      <c r="A1391" s="3" t="s">
        <v>270</v>
      </c>
      <c r="B1391" s="4" t="s">
        <v>47</v>
      </c>
      <c r="C1391" s="4" t="n">
        <v>1</v>
      </c>
      <c r="D1391" s="4" t="s">
        <v>28</v>
      </c>
      <c r="E1391" s="3" t="s">
        <v>277</v>
      </c>
      <c r="F1391" s="4" t="str">
        <f aca="false">IF(I1391&gt;J1391,"Y","N")</f>
        <v>Y</v>
      </c>
      <c r="G1391" s="3" t="s">
        <v>272</v>
      </c>
      <c r="H1391" s="3" t="s">
        <v>16</v>
      </c>
      <c r="I1391" s="4" t="n">
        <v>8</v>
      </c>
      <c r="J1391" s="4" t="n">
        <f aca="false">LEN(E1391)-LEN(SUBSTITUTE(E1391,",",""))+1</f>
        <v>7</v>
      </c>
      <c r="K1391" s="3" t="str">
        <f aca="false">IFERROR(INDEX('Teacher Lookup'!$B$2:$B$200,MATCH(A1391,'Teacher Lookup'!$A$2:$A$200,0)),"")</f>
        <v>CHUNG Brian</v>
      </c>
    </row>
    <row r="1392" customFormat="false" ht="15" hidden="false" customHeight="false" outlineLevel="0" collapsed="false">
      <c r="A1392" s="3" t="s">
        <v>270</v>
      </c>
      <c r="B1392" s="4" t="s">
        <v>47</v>
      </c>
      <c r="C1392" s="4" t="n">
        <v>1</v>
      </c>
      <c r="D1392" s="4" t="s">
        <v>29</v>
      </c>
      <c r="E1392" s="3" t="s">
        <v>277</v>
      </c>
      <c r="F1392" s="4" t="str">
        <f aca="false">IF(I1392&gt;J1392,"Y","N")</f>
        <v>Y</v>
      </c>
      <c r="G1392" s="3" t="s">
        <v>272</v>
      </c>
      <c r="H1392" s="3" t="s">
        <v>16</v>
      </c>
      <c r="I1392" s="4" t="n">
        <v>8</v>
      </c>
      <c r="J1392" s="4" t="n">
        <f aca="false">LEN(E1392)-LEN(SUBSTITUTE(E1392,",",""))+1</f>
        <v>7</v>
      </c>
      <c r="K1392" s="3" t="str">
        <f aca="false">IFERROR(INDEX('Teacher Lookup'!$B$2:$B$200,MATCH(A1392,'Teacher Lookup'!$A$2:$A$200,0)),"")</f>
        <v>CHUNG Brian</v>
      </c>
    </row>
    <row r="1393" customFormat="false" ht="15" hidden="false" customHeight="false" outlineLevel="0" collapsed="false">
      <c r="A1393" s="3" t="s">
        <v>270</v>
      </c>
      <c r="B1393" s="4" t="s">
        <v>47</v>
      </c>
      <c r="C1393" s="4" t="n">
        <v>1</v>
      </c>
      <c r="D1393" s="4" t="s">
        <v>30</v>
      </c>
      <c r="E1393" s="3" t="s">
        <v>277</v>
      </c>
      <c r="F1393" s="4" t="str">
        <f aca="false">IF(I1393&gt;J1393,"Y","N")</f>
        <v>Y</v>
      </c>
      <c r="G1393" s="3" t="s">
        <v>272</v>
      </c>
      <c r="H1393" s="3" t="s">
        <v>16</v>
      </c>
      <c r="I1393" s="4" t="n">
        <v>8</v>
      </c>
      <c r="J1393" s="4" t="n">
        <f aca="false">LEN(E1393)-LEN(SUBSTITUTE(E1393,",",""))+1</f>
        <v>7</v>
      </c>
      <c r="K1393" s="3" t="str">
        <f aca="false">IFERROR(INDEX('Teacher Lookup'!$B$2:$B$200,MATCH(A1393,'Teacher Lookup'!$A$2:$A$200,0)),"")</f>
        <v>CHUNG Brian</v>
      </c>
    </row>
    <row r="1394" customFormat="false" ht="15" hidden="false" customHeight="false" outlineLevel="0" collapsed="false">
      <c r="A1394" s="3" t="s">
        <v>270</v>
      </c>
      <c r="B1394" s="4" t="s">
        <v>47</v>
      </c>
      <c r="C1394" s="4" t="n">
        <v>4</v>
      </c>
      <c r="D1394" s="4" t="s">
        <v>228</v>
      </c>
      <c r="E1394" s="3" t="s">
        <v>273</v>
      </c>
      <c r="F1394" s="4" t="str">
        <f aca="false">IF(I1394&gt;J1394,"Y","N")</f>
        <v>N</v>
      </c>
      <c r="G1394" s="3" t="s">
        <v>192</v>
      </c>
      <c r="H1394" s="3" t="s">
        <v>34</v>
      </c>
      <c r="I1394" s="4" t="n">
        <v>2</v>
      </c>
      <c r="J1394" s="4" t="n">
        <f aca="false">LEN(E1394)-LEN(SUBSTITUTE(E1394,",",""))+1</f>
        <v>2</v>
      </c>
      <c r="K1394" s="3" t="str">
        <f aca="false">IFERROR(INDEX('Teacher Lookup'!$B$2:$B$200,MATCH(A1394,'Teacher Lookup'!$A$2:$A$200,0)),"")</f>
        <v>CHUNG Brian</v>
      </c>
    </row>
    <row r="1395" customFormat="false" ht="15" hidden="false" customHeight="false" outlineLevel="0" collapsed="false">
      <c r="A1395" s="3" t="s">
        <v>270</v>
      </c>
      <c r="B1395" s="4" t="s">
        <v>47</v>
      </c>
      <c r="C1395" s="4" t="n">
        <v>6</v>
      </c>
      <c r="D1395" s="4" t="s">
        <v>76</v>
      </c>
      <c r="E1395" s="3" t="s">
        <v>129</v>
      </c>
      <c r="F1395" s="4" t="str">
        <f aca="false">IF(I1395&gt;J1395,"Y","N")</f>
        <v>N</v>
      </c>
      <c r="G1395" s="3" t="s">
        <v>130</v>
      </c>
      <c r="H1395" s="3" t="s">
        <v>42</v>
      </c>
      <c r="I1395" s="4" t="n">
        <v>1</v>
      </c>
      <c r="J1395" s="4" t="n">
        <f aca="false">LEN(E1395)-LEN(SUBSTITUTE(E1395,",",""))+1</f>
        <v>1</v>
      </c>
      <c r="K1395" s="3" t="str">
        <f aca="false">IFERROR(INDEX('Teacher Lookup'!$B$2:$B$200,MATCH(A1395,'Teacher Lookup'!$A$2:$A$200,0)),"")</f>
        <v>CHUNG Brian</v>
      </c>
    </row>
    <row r="1396" customFormat="false" ht="15" hidden="false" customHeight="false" outlineLevel="0" collapsed="false">
      <c r="A1396" s="3" t="s">
        <v>270</v>
      </c>
      <c r="B1396" s="4" t="s">
        <v>50</v>
      </c>
      <c r="C1396" s="4" t="n">
        <v>4</v>
      </c>
      <c r="D1396" s="4" t="s">
        <v>24</v>
      </c>
      <c r="E1396" s="3" t="s">
        <v>278</v>
      </c>
      <c r="F1396" s="4" t="str">
        <f aca="false">IF(I1396&gt;J1396,"Y","N")</f>
        <v>Y</v>
      </c>
      <c r="G1396" s="3" t="s">
        <v>272</v>
      </c>
      <c r="H1396" s="3" t="s">
        <v>34</v>
      </c>
      <c r="I1396" s="4" t="n">
        <v>8</v>
      </c>
      <c r="J1396" s="4" t="n">
        <f aca="false">LEN(E1396)-LEN(SUBSTITUTE(E1396,",",""))+1</f>
        <v>7</v>
      </c>
      <c r="K1396" s="3" t="str">
        <f aca="false">IFERROR(INDEX('Teacher Lookup'!$B$2:$B$200,MATCH(A1396,'Teacher Lookup'!$A$2:$A$200,0)),"")</f>
        <v>CHUNG Brian</v>
      </c>
    </row>
    <row r="1397" customFormat="false" ht="15" hidden="false" customHeight="false" outlineLevel="0" collapsed="false">
      <c r="A1397" s="3" t="s">
        <v>270</v>
      </c>
      <c r="B1397" s="4" t="s">
        <v>50</v>
      </c>
      <c r="C1397" s="4" t="n">
        <v>4</v>
      </c>
      <c r="D1397" s="4" t="s">
        <v>27</v>
      </c>
      <c r="E1397" s="3" t="s">
        <v>278</v>
      </c>
      <c r="F1397" s="4" t="str">
        <f aca="false">IF(I1397&gt;J1397,"Y","N")</f>
        <v>Y</v>
      </c>
      <c r="G1397" s="3" t="s">
        <v>272</v>
      </c>
      <c r="H1397" s="3" t="s">
        <v>34</v>
      </c>
      <c r="I1397" s="4" t="n">
        <v>8</v>
      </c>
      <c r="J1397" s="4" t="n">
        <f aca="false">LEN(E1397)-LEN(SUBSTITUTE(E1397,",",""))+1</f>
        <v>7</v>
      </c>
      <c r="K1397" s="3" t="str">
        <f aca="false">IFERROR(INDEX('Teacher Lookup'!$B$2:$B$200,MATCH(A1397,'Teacher Lookup'!$A$2:$A$200,0)),"")</f>
        <v>CHUNG Brian</v>
      </c>
    </row>
    <row r="1398" customFormat="false" ht="15" hidden="false" customHeight="false" outlineLevel="0" collapsed="false">
      <c r="A1398" s="3" t="s">
        <v>270</v>
      </c>
      <c r="B1398" s="4" t="s">
        <v>50</v>
      </c>
      <c r="C1398" s="4" t="n">
        <v>4</v>
      </c>
      <c r="D1398" s="4" t="s">
        <v>28</v>
      </c>
      <c r="E1398" s="3" t="s">
        <v>278</v>
      </c>
      <c r="F1398" s="4" t="str">
        <f aca="false">IF(I1398&gt;J1398,"Y","N")</f>
        <v>Y</v>
      </c>
      <c r="G1398" s="3" t="s">
        <v>272</v>
      </c>
      <c r="H1398" s="3" t="s">
        <v>34</v>
      </c>
      <c r="I1398" s="4" t="n">
        <v>8</v>
      </c>
      <c r="J1398" s="4" t="n">
        <f aca="false">LEN(E1398)-LEN(SUBSTITUTE(E1398,",",""))+1</f>
        <v>7</v>
      </c>
      <c r="K1398" s="3" t="str">
        <f aca="false">IFERROR(INDEX('Teacher Lookup'!$B$2:$B$200,MATCH(A1398,'Teacher Lookup'!$A$2:$A$200,0)),"")</f>
        <v>CHUNG Brian</v>
      </c>
    </row>
    <row r="1399" customFormat="false" ht="15" hidden="false" customHeight="false" outlineLevel="0" collapsed="false">
      <c r="A1399" s="3" t="s">
        <v>270</v>
      </c>
      <c r="B1399" s="4" t="s">
        <v>50</v>
      </c>
      <c r="C1399" s="4" t="n">
        <v>4</v>
      </c>
      <c r="D1399" s="4" t="s">
        <v>29</v>
      </c>
      <c r="E1399" s="3" t="s">
        <v>278</v>
      </c>
      <c r="F1399" s="4" t="str">
        <f aca="false">IF(I1399&gt;J1399,"Y","N")</f>
        <v>Y</v>
      </c>
      <c r="G1399" s="3" t="s">
        <v>272</v>
      </c>
      <c r="H1399" s="3" t="s">
        <v>34</v>
      </c>
      <c r="I1399" s="4" t="n">
        <v>8</v>
      </c>
      <c r="J1399" s="4" t="n">
        <f aca="false">LEN(E1399)-LEN(SUBSTITUTE(E1399,",",""))+1</f>
        <v>7</v>
      </c>
      <c r="K1399" s="3" t="str">
        <f aca="false">IFERROR(INDEX('Teacher Lookup'!$B$2:$B$200,MATCH(A1399,'Teacher Lookup'!$A$2:$A$200,0)),"")</f>
        <v>CHUNG Brian</v>
      </c>
    </row>
    <row r="1400" customFormat="false" ht="15" hidden="false" customHeight="false" outlineLevel="0" collapsed="false">
      <c r="A1400" s="3" t="s">
        <v>270</v>
      </c>
      <c r="B1400" s="4" t="s">
        <v>50</v>
      </c>
      <c r="C1400" s="4" t="n">
        <v>4</v>
      </c>
      <c r="D1400" s="4" t="s">
        <v>30</v>
      </c>
      <c r="E1400" s="3" t="s">
        <v>278</v>
      </c>
      <c r="F1400" s="4" t="str">
        <f aca="false">IF(I1400&gt;J1400,"Y","N")</f>
        <v>Y</v>
      </c>
      <c r="G1400" s="3" t="s">
        <v>272</v>
      </c>
      <c r="H1400" s="3" t="s">
        <v>34</v>
      </c>
      <c r="I1400" s="4" t="n">
        <v>8</v>
      </c>
      <c r="J1400" s="4" t="n">
        <f aca="false">LEN(E1400)-LEN(SUBSTITUTE(E1400,",",""))+1</f>
        <v>7</v>
      </c>
      <c r="K1400" s="3" t="str">
        <f aca="false">IFERROR(INDEX('Teacher Lookup'!$B$2:$B$200,MATCH(A1400,'Teacher Lookup'!$A$2:$A$200,0)),"")</f>
        <v>CHUNG Brian</v>
      </c>
    </row>
    <row r="1401" customFormat="false" ht="15" hidden="false" customHeight="false" outlineLevel="0" collapsed="false">
      <c r="A1401" s="3" t="s">
        <v>270</v>
      </c>
      <c r="B1401" s="4" t="s">
        <v>50</v>
      </c>
      <c r="C1401" s="4" t="n">
        <v>5</v>
      </c>
      <c r="D1401" s="4" t="s">
        <v>24</v>
      </c>
      <c r="E1401" s="3" t="s">
        <v>278</v>
      </c>
      <c r="F1401" s="4" t="str">
        <f aca="false">IF(I1401&gt;J1401,"Y","N")</f>
        <v>Y</v>
      </c>
      <c r="G1401" s="3" t="s">
        <v>272</v>
      </c>
      <c r="H1401" s="3" t="s">
        <v>37</v>
      </c>
      <c r="I1401" s="4" t="n">
        <v>8</v>
      </c>
      <c r="J1401" s="4" t="n">
        <f aca="false">LEN(E1401)-LEN(SUBSTITUTE(E1401,",",""))+1</f>
        <v>7</v>
      </c>
      <c r="K1401" s="3" t="str">
        <f aca="false">IFERROR(INDEX('Teacher Lookup'!$B$2:$B$200,MATCH(A1401,'Teacher Lookup'!$A$2:$A$200,0)),"")</f>
        <v>CHUNG Brian</v>
      </c>
    </row>
    <row r="1402" customFormat="false" ht="15" hidden="false" customHeight="false" outlineLevel="0" collapsed="false">
      <c r="A1402" s="3" t="s">
        <v>270</v>
      </c>
      <c r="B1402" s="4" t="s">
        <v>50</v>
      </c>
      <c r="C1402" s="4" t="n">
        <v>5</v>
      </c>
      <c r="D1402" s="4" t="s">
        <v>27</v>
      </c>
      <c r="E1402" s="3" t="s">
        <v>278</v>
      </c>
      <c r="F1402" s="4" t="str">
        <f aca="false">IF(I1402&gt;J1402,"Y","N")</f>
        <v>Y</v>
      </c>
      <c r="G1402" s="3" t="s">
        <v>272</v>
      </c>
      <c r="H1402" s="3" t="s">
        <v>37</v>
      </c>
      <c r="I1402" s="4" t="n">
        <v>8</v>
      </c>
      <c r="J1402" s="4" t="n">
        <f aca="false">LEN(E1402)-LEN(SUBSTITUTE(E1402,",",""))+1</f>
        <v>7</v>
      </c>
      <c r="K1402" s="3" t="str">
        <f aca="false">IFERROR(INDEX('Teacher Lookup'!$B$2:$B$200,MATCH(A1402,'Teacher Lookup'!$A$2:$A$200,0)),"")</f>
        <v>CHUNG Brian</v>
      </c>
    </row>
    <row r="1403" customFormat="false" ht="15" hidden="false" customHeight="false" outlineLevel="0" collapsed="false">
      <c r="A1403" s="3" t="s">
        <v>270</v>
      </c>
      <c r="B1403" s="4" t="s">
        <v>50</v>
      </c>
      <c r="C1403" s="4" t="n">
        <v>5</v>
      </c>
      <c r="D1403" s="4" t="s">
        <v>28</v>
      </c>
      <c r="E1403" s="3" t="s">
        <v>278</v>
      </c>
      <c r="F1403" s="4" t="str">
        <f aca="false">IF(I1403&gt;J1403,"Y","N")</f>
        <v>Y</v>
      </c>
      <c r="G1403" s="3" t="s">
        <v>272</v>
      </c>
      <c r="H1403" s="3" t="s">
        <v>37</v>
      </c>
      <c r="I1403" s="4" t="n">
        <v>8</v>
      </c>
      <c r="J1403" s="4" t="n">
        <f aca="false">LEN(E1403)-LEN(SUBSTITUTE(E1403,",",""))+1</f>
        <v>7</v>
      </c>
      <c r="K1403" s="3" t="str">
        <f aca="false">IFERROR(INDEX('Teacher Lookup'!$B$2:$B$200,MATCH(A1403,'Teacher Lookup'!$A$2:$A$200,0)),"")</f>
        <v>CHUNG Brian</v>
      </c>
    </row>
    <row r="1404" customFormat="false" ht="15" hidden="false" customHeight="false" outlineLevel="0" collapsed="false">
      <c r="A1404" s="3" t="s">
        <v>270</v>
      </c>
      <c r="B1404" s="4" t="s">
        <v>50</v>
      </c>
      <c r="C1404" s="4" t="n">
        <v>5</v>
      </c>
      <c r="D1404" s="4" t="s">
        <v>29</v>
      </c>
      <c r="E1404" s="3" t="s">
        <v>278</v>
      </c>
      <c r="F1404" s="4" t="str">
        <f aca="false">IF(I1404&gt;J1404,"Y","N")</f>
        <v>Y</v>
      </c>
      <c r="G1404" s="3" t="s">
        <v>272</v>
      </c>
      <c r="H1404" s="3" t="s">
        <v>37</v>
      </c>
      <c r="I1404" s="4" t="n">
        <v>8</v>
      </c>
      <c r="J1404" s="4" t="n">
        <f aca="false">LEN(E1404)-LEN(SUBSTITUTE(E1404,",",""))+1</f>
        <v>7</v>
      </c>
      <c r="K1404" s="3" t="str">
        <f aca="false">IFERROR(INDEX('Teacher Lookup'!$B$2:$B$200,MATCH(A1404,'Teacher Lookup'!$A$2:$A$200,0)),"")</f>
        <v>CHUNG Brian</v>
      </c>
    </row>
    <row r="1405" customFormat="false" ht="15" hidden="false" customHeight="false" outlineLevel="0" collapsed="false">
      <c r="A1405" s="3" t="s">
        <v>270</v>
      </c>
      <c r="B1405" s="4" t="s">
        <v>50</v>
      </c>
      <c r="C1405" s="4" t="n">
        <v>5</v>
      </c>
      <c r="D1405" s="4" t="s">
        <v>30</v>
      </c>
      <c r="E1405" s="3" t="s">
        <v>278</v>
      </c>
      <c r="F1405" s="4" t="str">
        <f aca="false">IF(I1405&gt;J1405,"Y","N")</f>
        <v>Y</v>
      </c>
      <c r="G1405" s="3" t="s">
        <v>272</v>
      </c>
      <c r="H1405" s="3" t="s">
        <v>37</v>
      </c>
      <c r="I1405" s="4" t="n">
        <v>8</v>
      </c>
      <c r="J1405" s="4" t="n">
        <f aca="false">LEN(E1405)-LEN(SUBSTITUTE(E1405,",",""))+1</f>
        <v>7</v>
      </c>
      <c r="K1405" s="3" t="str">
        <f aca="false">IFERROR(INDEX('Teacher Lookup'!$B$2:$B$200,MATCH(A1405,'Teacher Lookup'!$A$2:$A$200,0)),"")</f>
        <v>CHUNG Brian</v>
      </c>
    </row>
    <row r="1406" customFormat="false" ht="15" hidden="false" customHeight="false" outlineLevel="0" collapsed="false">
      <c r="A1406" s="3" t="s">
        <v>270</v>
      </c>
      <c r="B1406" s="4" t="s">
        <v>50</v>
      </c>
      <c r="C1406" s="4" t="n">
        <v>6</v>
      </c>
      <c r="D1406" s="4" t="s">
        <v>228</v>
      </c>
      <c r="E1406" s="3" t="s">
        <v>279</v>
      </c>
      <c r="F1406" s="4" t="str">
        <f aca="false">IF(I1406&gt;J1406,"Y","N")</f>
        <v>N</v>
      </c>
      <c r="G1406" s="3" t="s">
        <v>192</v>
      </c>
      <c r="H1406" s="3" t="s">
        <v>42</v>
      </c>
      <c r="I1406" s="4" t="n">
        <v>2</v>
      </c>
      <c r="J1406" s="4" t="n">
        <f aca="false">LEN(E1406)-LEN(SUBSTITUTE(E1406,",",""))+1</f>
        <v>2</v>
      </c>
      <c r="K1406" s="3" t="str">
        <f aca="false">IFERROR(INDEX('Teacher Lookup'!$B$2:$B$200,MATCH(A1406,'Teacher Lookup'!$A$2:$A$200,0)),"")</f>
        <v>CHUNG Brian</v>
      </c>
    </row>
    <row r="1407" customFormat="false" ht="15" hidden="false" customHeight="false" outlineLevel="0" collapsed="false">
      <c r="A1407" s="3" t="s">
        <v>270</v>
      </c>
      <c r="B1407" s="4" t="s">
        <v>60</v>
      </c>
      <c r="C1407" s="4" t="n">
        <v>1</v>
      </c>
      <c r="D1407" s="4" t="s">
        <v>73</v>
      </c>
      <c r="E1407" s="3" t="s">
        <v>129</v>
      </c>
      <c r="F1407" s="4" t="str">
        <f aca="false">IF(I1407&gt;J1407,"Y","N")</f>
        <v>N</v>
      </c>
      <c r="G1407" s="3" t="s">
        <v>130</v>
      </c>
      <c r="H1407" s="3" t="s">
        <v>16</v>
      </c>
      <c r="I1407" s="4" t="n">
        <v>1</v>
      </c>
      <c r="J1407" s="4" t="n">
        <f aca="false">LEN(E1407)-LEN(SUBSTITUTE(E1407,",",""))+1</f>
        <v>1</v>
      </c>
      <c r="K1407" s="3" t="str">
        <f aca="false">IFERROR(INDEX('Teacher Lookup'!$B$2:$B$200,MATCH(A1407,'Teacher Lookup'!$A$2:$A$200,0)),"")</f>
        <v>CHUNG Brian</v>
      </c>
    </row>
    <row r="1408" customFormat="false" ht="15" hidden="false" customHeight="false" outlineLevel="0" collapsed="false">
      <c r="A1408" s="3" t="s">
        <v>270</v>
      </c>
      <c r="B1408" s="4" t="s">
        <v>60</v>
      </c>
      <c r="C1408" s="4" t="n">
        <v>2</v>
      </c>
      <c r="D1408" s="4" t="s">
        <v>24</v>
      </c>
      <c r="E1408" s="3" t="s">
        <v>280</v>
      </c>
      <c r="F1408" s="4" t="str">
        <f aca="false">IF(I1408&gt;J1408,"Y","N")</f>
        <v>Y</v>
      </c>
      <c r="G1408" s="3" t="s">
        <v>272</v>
      </c>
      <c r="H1408" s="3" t="s">
        <v>21</v>
      </c>
      <c r="I1408" s="4" t="n">
        <v>8</v>
      </c>
      <c r="J1408" s="4" t="n">
        <f aca="false">LEN(E1408)-LEN(SUBSTITUTE(E1408,",",""))+1</f>
        <v>7</v>
      </c>
      <c r="K1408" s="3" t="str">
        <f aca="false">IFERROR(INDEX('Teacher Lookup'!$B$2:$B$200,MATCH(A1408,'Teacher Lookup'!$A$2:$A$200,0)),"")</f>
        <v>CHUNG Brian</v>
      </c>
    </row>
    <row r="1409" customFormat="false" ht="15" hidden="false" customHeight="false" outlineLevel="0" collapsed="false">
      <c r="A1409" s="3" t="s">
        <v>270</v>
      </c>
      <c r="B1409" s="4" t="s">
        <v>60</v>
      </c>
      <c r="C1409" s="4" t="n">
        <v>2</v>
      </c>
      <c r="D1409" s="4" t="s">
        <v>27</v>
      </c>
      <c r="E1409" s="3" t="s">
        <v>280</v>
      </c>
      <c r="F1409" s="4" t="str">
        <f aca="false">IF(I1409&gt;J1409,"Y","N")</f>
        <v>Y</v>
      </c>
      <c r="G1409" s="3" t="s">
        <v>272</v>
      </c>
      <c r="H1409" s="3" t="s">
        <v>21</v>
      </c>
      <c r="I1409" s="4" t="n">
        <v>8</v>
      </c>
      <c r="J1409" s="4" t="n">
        <f aca="false">LEN(E1409)-LEN(SUBSTITUTE(E1409,",",""))+1</f>
        <v>7</v>
      </c>
      <c r="K1409" s="3" t="str">
        <f aca="false">IFERROR(INDEX('Teacher Lookup'!$B$2:$B$200,MATCH(A1409,'Teacher Lookup'!$A$2:$A$200,0)),"")</f>
        <v>CHUNG Brian</v>
      </c>
    </row>
    <row r="1410" customFormat="false" ht="15" hidden="false" customHeight="false" outlineLevel="0" collapsed="false">
      <c r="A1410" s="3" t="s">
        <v>270</v>
      </c>
      <c r="B1410" s="4" t="s">
        <v>60</v>
      </c>
      <c r="C1410" s="4" t="n">
        <v>2</v>
      </c>
      <c r="D1410" s="4" t="s">
        <v>28</v>
      </c>
      <c r="E1410" s="3" t="s">
        <v>280</v>
      </c>
      <c r="F1410" s="4" t="str">
        <f aca="false">IF(I1410&gt;J1410,"Y","N")</f>
        <v>Y</v>
      </c>
      <c r="G1410" s="3" t="s">
        <v>272</v>
      </c>
      <c r="H1410" s="3" t="s">
        <v>21</v>
      </c>
      <c r="I1410" s="4" t="n">
        <v>8</v>
      </c>
      <c r="J1410" s="4" t="n">
        <f aca="false">LEN(E1410)-LEN(SUBSTITUTE(E1410,",",""))+1</f>
        <v>7</v>
      </c>
      <c r="K1410" s="3" t="str">
        <f aca="false">IFERROR(INDEX('Teacher Lookup'!$B$2:$B$200,MATCH(A1410,'Teacher Lookup'!$A$2:$A$200,0)),"")</f>
        <v>CHUNG Brian</v>
      </c>
    </row>
    <row r="1411" customFormat="false" ht="15" hidden="false" customHeight="false" outlineLevel="0" collapsed="false">
      <c r="A1411" s="3" t="s">
        <v>270</v>
      </c>
      <c r="B1411" s="4" t="s">
        <v>60</v>
      </c>
      <c r="C1411" s="4" t="n">
        <v>2</v>
      </c>
      <c r="D1411" s="4" t="s">
        <v>29</v>
      </c>
      <c r="E1411" s="3" t="s">
        <v>280</v>
      </c>
      <c r="F1411" s="4" t="str">
        <f aca="false">IF(I1411&gt;J1411,"Y","N")</f>
        <v>Y</v>
      </c>
      <c r="G1411" s="3" t="s">
        <v>272</v>
      </c>
      <c r="H1411" s="3" t="s">
        <v>21</v>
      </c>
      <c r="I1411" s="4" t="n">
        <v>8</v>
      </c>
      <c r="J1411" s="4" t="n">
        <f aca="false">LEN(E1411)-LEN(SUBSTITUTE(E1411,",",""))+1</f>
        <v>7</v>
      </c>
      <c r="K1411" s="3" t="str">
        <f aca="false">IFERROR(INDEX('Teacher Lookup'!$B$2:$B$200,MATCH(A1411,'Teacher Lookup'!$A$2:$A$200,0)),"")</f>
        <v>CHUNG Brian</v>
      </c>
    </row>
    <row r="1412" customFormat="false" ht="15" hidden="false" customHeight="false" outlineLevel="0" collapsed="false">
      <c r="A1412" s="3" t="s">
        <v>270</v>
      </c>
      <c r="B1412" s="4" t="s">
        <v>60</v>
      </c>
      <c r="C1412" s="4" t="n">
        <v>2</v>
      </c>
      <c r="D1412" s="4" t="s">
        <v>30</v>
      </c>
      <c r="E1412" s="3" t="s">
        <v>280</v>
      </c>
      <c r="F1412" s="4" t="str">
        <f aca="false">IF(I1412&gt;J1412,"Y","N")</f>
        <v>Y</v>
      </c>
      <c r="G1412" s="3" t="s">
        <v>272</v>
      </c>
      <c r="H1412" s="3" t="s">
        <v>21</v>
      </c>
      <c r="I1412" s="4" t="n">
        <v>8</v>
      </c>
      <c r="J1412" s="4" t="n">
        <f aca="false">LEN(E1412)-LEN(SUBSTITUTE(E1412,",",""))+1</f>
        <v>7</v>
      </c>
      <c r="K1412" s="3" t="str">
        <f aca="false">IFERROR(INDEX('Teacher Lookup'!$B$2:$B$200,MATCH(A1412,'Teacher Lookup'!$A$2:$A$200,0)),"")</f>
        <v>CHUNG Brian</v>
      </c>
    </row>
    <row r="1413" customFormat="false" ht="15" hidden="false" customHeight="false" outlineLevel="0" collapsed="false">
      <c r="A1413" s="3" t="s">
        <v>270</v>
      </c>
      <c r="B1413" s="4" t="s">
        <v>60</v>
      </c>
      <c r="C1413" s="4" t="n">
        <v>5</v>
      </c>
      <c r="D1413" s="4" t="s">
        <v>70</v>
      </c>
      <c r="E1413" s="3" t="s">
        <v>81</v>
      </c>
      <c r="F1413" s="4" t="str">
        <f aca="false">IF(I1413&gt;J1413,"Y","N")</f>
        <v>Y</v>
      </c>
      <c r="G1413" s="3" t="s">
        <v>36</v>
      </c>
      <c r="H1413" s="3" t="s">
        <v>37</v>
      </c>
      <c r="I1413" s="4" t="n">
        <v>15</v>
      </c>
      <c r="J1413" s="4" t="n">
        <f aca="false">LEN(E1413)-LEN(SUBSTITUTE(E1413,",",""))+1</f>
        <v>7</v>
      </c>
      <c r="K1413" s="3" t="str">
        <f aca="false">IFERROR(INDEX('Teacher Lookup'!$B$2:$B$200,MATCH(A1413,'Teacher Lookup'!$A$2:$A$200,0)),"")</f>
        <v>CHUNG Brian</v>
      </c>
    </row>
    <row r="1414" customFormat="false" ht="15" hidden="false" customHeight="false" outlineLevel="0" collapsed="false">
      <c r="A1414" s="3" t="s">
        <v>270</v>
      </c>
      <c r="B1414" s="4" t="s">
        <v>60</v>
      </c>
      <c r="C1414" s="4" t="n">
        <v>5</v>
      </c>
      <c r="D1414" s="4" t="s">
        <v>73</v>
      </c>
      <c r="E1414" s="3" t="s">
        <v>81</v>
      </c>
      <c r="F1414" s="4" t="str">
        <f aca="false">IF(I1414&gt;J1414,"Y","N")</f>
        <v>Y</v>
      </c>
      <c r="G1414" s="3" t="s">
        <v>36</v>
      </c>
      <c r="H1414" s="3" t="s">
        <v>37</v>
      </c>
      <c r="I1414" s="4" t="n">
        <v>15</v>
      </c>
      <c r="J1414" s="4" t="n">
        <f aca="false">LEN(E1414)-LEN(SUBSTITUTE(E1414,",",""))+1</f>
        <v>7</v>
      </c>
      <c r="K1414" s="3" t="str">
        <f aca="false">IFERROR(INDEX('Teacher Lookup'!$B$2:$B$200,MATCH(A1414,'Teacher Lookup'!$A$2:$A$200,0)),"")</f>
        <v>CHUNG Brian</v>
      </c>
    </row>
    <row r="1415" customFormat="false" ht="15" hidden="false" customHeight="false" outlineLevel="0" collapsed="false">
      <c r="A1415" s="3" t="s">
        <v>270</v>
      </c>
      <c r="B1415" s="4" t="s">
        <v>60</v>
      </c>
      <c r="C1415" s="4" t="n">
        <v>5</v>
      </c>
      <c r="D1415" s="4" t="s">
        <v>74</v>
      </c>
      <c r="E1415" s="3" t="s">
        <v>81</v>
      </c>
      <c r="F1415" s="4" t="str">
        <f aca="false">IF(I1415&gt;J1415,"Y","N")</f>
        <v>Y</v>
      </c>
      <c r="G1415" s="3" t="s">
        <v>36</v>
      </c>
      <c r="H1415" s="3" t="s">
        <v>37</v>
      </c>
      <c r="I1415" s="4" t="n">
        <v>15</v>
      </c>
      <c r="J1415" s="4" t="n">
        <f aca="false">LEN(E1415)-LEN(SUBSTITUTE(E1415,",",""))+1</f>
        <v>7</v>
      </c>
      <c r="K1415" s="3" t="str">
        <f aca="false">IFERROR(INDEX('Teacher Lookup'!$B$2:$B$200,MATCH(A1415,'Teacher Lookup'!$A$2:$A$200,0)),"")</f>
        <v>CHUNG Brian</v>
      </c>
    </row>
    <row r="1416" customFormat="false" ht="15" hidden="false" customHeight="false" outlineLevel="0" collapsed="false">
      <c r="A1416" s="3" t="s">
        <v>270</v>
      </c>
      <c r="B1416" s="4" t="s">
        <v>60</v>
      </c>
      <c r="C1416" s="4" t="n">
        <v>5</v>
      </c>
      <c r="D1416" s="4" t="s">
        <v>76</v>
      </c>
      <c r="E1416" s="3" t="s">
        <v>81</v>
      </c>
      <c r="F1416" s="4" t="str">
        <f aca="false">IF(I1416&gt;J1416,"Y","N")</f>
        <v>Y</v>
      </c>
      <c r="G1416" s="3" t="s">
        <v>36</v>
      </c>
      <c r="H1416" s="3" t="s">
        <v>37</v>
      </c>
      <c r="I1416" s="4" t="n">
        <v>15</v>
      </c>
      <c r="J1416" s="4" t="n">
        <f aca="false">LEN(E1416)-LEN(SUBSTITUTE(E1416,",",""))+1</f>
        <v>7</v>
      </c>
      <c r="K1416" s="3" t="str">
        <f aca="false">IFERROR(INDEX('Teacher Lookup'!$B$2:$B$200,MATCH(A1416,'Teacher Lookup'!$A$2:$A$200,0)),"")</f>
        <v>CHUNG Brian</v>
      </c>
    </row>
    <row r="1417" customFormat="false" ht="15" hidden="false" customHeight="false" outlineLevel="0" collapsed="false">
      <c r="A1417" s="3" t="s">
        <v>270</v>
      </c>
      <c r="B1417" s="4" t="s">
        <v>60</v>
      </c>
      <c r="C1417" s="4" t="n">
        <v>5</v>
      </c>
      <c r="D1417" s="4" t="s">
        <v>78</v>
      </c>
      <c r="E1417" s="3" t="s">
        <v>81</v>
      </c>
      <c r="F1417" s="4" t="str">
        <f aca="false">IF(I1417&gt;J1417,"Y","N")</f>
        <v>Y</v>
      </c>
      <c r="G1417" s="3" t="s">
        <v>36</v>
      </c>
      <c r="H1417" s="3" t="s">
        <v>37</v>
      </c>
      <c r="I1417" s="4" t="n">
        <v>15</v>
      </c>
      <c r="J1417" s="4" t="n">
        <f aca="false">LEN(E1417)-LEN(SUBSTITUTE(E1417,",",""))+1</f>
        <v>7</v>
      </c>
      <c r="K1417" s="3" t="str">
        <f aca="false">IFERROR(INDEX('Teacher Lookup'!$B$2:$B$200,MATCH(A1417,'Teacher Lookup'!$A$2:$A$200,0)),"")</f>
        <v>CHUNG Brian</v>
      </c>
    </row>
    <row r="1418" customFormat="false" ht="15" hidden="false" customHeight="false" outlineLevel="0" collapsed="false">
      <c r="A1418" s="3" t="s">
        <v>270</v>
      </c>
      <c r="B1418" s="4" t="s">
        <v>60</v>
      </c>
      <c r="C1418" s="4" t="n">
        <v>5</v>
      </c>
      <c r="D1418" s="4" t="s">
        <v>79</v>
      </c>
      <c r="E1418" s="3" t="s">
        <v>81</v>
      </c>
      <c r="F1418" s="4" t="str">
        <f aca="false">IF(I1418&gt;J1418,"Y","N")</f>
        <v>Y</v>
      </c>
      <c r="G1418" s="3" t="s">
        <v>36</v>
      </c>
      <c r="H1418" s="3" t="s">
        <v>37</v>
      </c>
      <c r="I1418" s="4" t="n">
        <v>15</v>
      </c>
      <c r="J1418" s="4" t="n">
        <f aca="false">LEN(E1418)-LEN(SUBSTITUTE(E1418,",",""))+1</f>
        <v>7</v>
      </c>
      <c r="K1418" s="3" t="str">
        <f aca="false">IFERROR(INDEX('Teacher Lookup'!$B$2:$B$200,MATCH(A1418,'Teacher Lookup'!$A$2:$A$200,0)),"")</f>
        <v>CHUNG Brian</v>
      </c>
    </row>
    <row r="1419" customFormat="false" ht="15" hidden="false" customHeight="false" outlineLevel="0" collapsed="false">
      <c r="A1419" s="3" t="s">
        <v>270</v>
      </c>
      <c r="B1419" s="4" t="s">
        <v>60</v>
      </c>
      <c r="C1419" s="4" t="n">
        <v>6</v>
      </c>
      <c r="D1419" s="4" t="s">
        <v>228</v>
      </c>
      <c r="E1419" s="3" t="s">
        <v>273</v>
      </c>
      <c r="F1419" s="4" t="str">
        <f aca="false">IF(I1419&gt;J1419,"Y","N")</f>
        <v>N</v>
      </c>
      <c r="G1419" s="3" t="s">
        <v>192</v>
      </c>
      <c r="H1419" s="3" t="s">
        <v>42</v>
      </c>
      <c r="I1419" s="4" t="n">
        <v>2</v>
      </c>
      <c r="J1419" s="4" t="n">
        <f aca="false">LEN(E1419)-LEN(SUBSTITUTE(E1419,",",""))+1</f>
        <v>2</v>
      </c>
      <c r="K1419" s="3" t="str">
        <f aca="false">IFERROR(INDEX('Teacher Lookup'!$B$2:$B$200,MATCH(A1419,'Teacher Lookup'!$A$2:$A$200,0)),"")</f>
        <v>CHUNG Brian</v>
      </c>
    </row>
    <row r="1420" customFormat="false" ht="15" hidden="false" customHeight="false" outlineLevel="0" collapsed="false">
      <c r="A1420" s="3" t="s">
        <v>270</v>
      </c>
      <c r="B1420" s="4" t="s">
        <v>60</v>
      </c>
      <c r="C1420" s="4" t="n">
        <v>7</v>
      </c>
      <c r="D1420" s="4" t="s">
        <v>228</v>
      </c>
      <c r="E1420" s="3" t="s">
        <v>273</v>
      </c>
      <c r="F1420" s="4" t="str">
        <f aca="false">IF(I1420&gt;J1420,"Y","N")</f>
        <v>N</v>
      </c>
      <c r="G1420" s="3" t="s">
        <v>192</v>
      </c>
      <c r="H1420" s="3" t="s">
        <v>39</v>
      </c>
      <c r="I1420" s="4" t="n">
        <v>2</v>
      </c>
      <c r="J1420" s="4" t="n">
        <f aca="false">LEN(E1420)-LEN(SUBSTITUTE(E1420,",",""))+1</f>
        <v>2</v>
      </c>
      <c r="K1420" s="3" t="str">
        <f aca="false">IFERROR(INDEX('Teacher Lookup'!$B$2:$B$200,MATCH(A1420,'Teacher Lookup'!$A$2:$A$200,0)),"")</f>
        <v>CHUNG Brian</v>
      </c>
    </row>
    <row r="1421" customFormat="false" ht="15" hidden="false" customHeight="false" outlineLevel="0" collapsed="false">
      <c r="A1421" s="3" t="s">
        <v>270</v>
      </c>
      <c r="B1421" s="4" t="s">
        <v>63</v>
      </c>
      <c r="C1421" s="4" t="n">
        <v>1</v>
      </c>
      <c r="D1421" s="4" t="s">
        <v>76</v>
      </c>
      <c r="E1421" s="3" t="s">
        <v>129</v>
      </c>
      <c r="F1421" s="4" t="str">
        <f aca="false">IF(I1421&gt;J1421,"Y","N")</f>
        <v>N</v>
      </c>
      <c r="G1421" s="3" t="s">
        <v>130</v>
      </c>
      <c r="H1421" s="3" t="s">
        <v>16</v>
      </c>
      <c r="I1421" s="4" t="n">
        <v>1</v>
      </c>
      <c r="J1421" s="4" t="n">
        <f aca="false">LEN(E1421)-LEN(SUBSTITUTE(E1421,",",""))+1</f>
        <v>1</v>
      </c>
      <c r="K1421" s="3" t="str">
        <f aca="false">IFERROR(INDEX('Teacher Lookup'!$B$2:$B$200,MATCH(A1421,'Teacher Lookup'!$A$2:$A$200,0)),"")</f>
        <v>CHUNG Brian</v>
      </c>
    </row>
    <row r="1422" customFormat="false" ht="15" hidden="false" customHeight="false" outlineLevel="0" collapsed="false">
      <c r="A1422" s="3" t="s">
        <v>270</v>
      </c>
      <c r="B1422" s="4" t="s">
        <v>63</v>
      </c>
      <c r="C1422" s="4" t="n">
        <v>2</v>
      </c>
      <c r="D1422" s="4" t="s">
        <v>24</v>
      </c>
      <c r="E1422" s="3" t="s">
        <v>271</v>
      </c>
      <c r="F1422" s="4" t="str">
        <f aca="false">IF(I1422&gt;J1422,"Y","N")</f>
        <v>Y</v>
      </c>
      <c r="G1422" s="3" t="s">
        <v>272</v>
      </c>
      <c r="H1422" s="3" t="s">
        <v>21</v>
      </c>
      <c r="I1422" s="4" t="n">
        <v>8</v>
      </c>
      <c r="J1422" s="4" t="n">
        <f aca="false">LEN(E1422)-LEN(SUBSTITUTE(E1422,",",""))+1</f>
        <v>7</v>
      </c>
      <c r="K1422" s="3" t="str">
        <f aca="false">IFERROR(INDEX('Teacher Lookup'!$B$2:$B$200,MATCH(A1422,'Teacher Lookup'!$A$2:$A$200,0)),"")</f>
        <v>CHUNG Brian</v>
      </c>
    </row>
    <row r="1423" customFormat="false" ht="15" hidden="false" customHeight="false" outlineLevel="0" collapsed="false">
      <c r="A1423" s="3" t="s">
        <v>270</v>
      </c>
      <c r="B1423" s="4" t="s">
        <v>63</v>
      </c>
      <c r="C1423" s="4" t="n">
        <v>2</v>
      </c>
      <c r="D1423" s="4" t="s">
        <v>27</v>
      </c>
      <c r="E1423" s="3" t="s">
        <v>271</v>
      </c>
      <c r="F1423" s="4" t="str">
        <f aca="false">IF(I1423&gt;J1423,"Y","N")</f>
        <v>Y</v>
      </c>
      <c r="G1423" s="3" t="s">
        <v>272</v>
      </c>
      <c r="H1423" s="3" t="s">
        <v>21</v>
      </c>
      <c r="I1423" s="4" t="n">
        <v>8</v>
      </c>
      <c r="J1423" s="4" t="n">
        <f aca="false">LEN(E1423)-LEN(SUBSTITUTE(E1423,",",""))+1</f>
        <v>7</v>
      </c>
      <c r="K1423" s="3" t="str">
        <f aca="false">IFERROR(INDEX('Teacher Lookup'!$B$2:$B$200,MATCH(A1423,'Teacher Lookup'!$A$2:$A$200,0)),"")</f>
        <v>CHUNG Brian</v>
      </c>
    </row>
    <row r="1424" customFormat="false" ht="15" hidden="false" customHeight="false" outlineLevel="0" collapsed="false">
      <c r="A1424" s="3" t="s">
        <v>270</v>
      </c>
      <c r="B1424" s="4" t="s">
        <v>63</v>
      </c>
      <c r="C1424" s="4" t="n">
        <v>2</v>
      </c>
      <c r="D1424" s="4" t="s">
        <v>28</v>
      </c>
      <c r="E1424" s="3" t="s">
        <v>271</v>
      </c>
      <c r="F1424" s="4" t="str">
        <f aca="false">IF(I1424&gt;J1424,"Y","N")</f>
        <v>Y</v>
      </c>
      <c r="G1424" s="3" t="s">
        <v>272</v>
      </c>
      <c r="H1424" s="3" t="s">
        <v>21</v>
      </c>
      <c r="I1424" s="4" t="n">
        <v>8</v>
      </c>
      <c r="J1424" s="4" t="n">
        <f aca="false">LEN(E1424)-LEN(SUBSTITUTE(E1424,",",""))+1</f>
        <v>7</v>
      </c>
      <c r="K1424" s="3" t="str">
        <f aca="false">IFERROR(INDEX('Teacher Lookup'!$B$2:$B$200,MATCH(A1424,'Teacher Lookup'!$A$2:$A$200,0)),"")</f>
        <v>CHUNG Brian</v>
      </c>
    </row>
    <row r="1425" customFormat="false" ht="15" hidden="false" customHeight="false" outlineLevel="0" collapsed="false">
      <c r="A1425" s="3" t="s">
        <v>270</v>
      </c>
      <c r="B1425" s="4" t="s">
        <v>63</v>
      </c>
      <c r="C1425" s="4" t="n">
        <v>2</v>
      </c>
      <c r="D1425" s="4" t="s">
        <v>29</v>
      </c>
      <c r="E1425" s="3" t="s">
        <v>271</v>
      </c>
      <c r="F1425" s="4" t="str">
        <f aca="false">IF(I1425&gt;J1425,"Y","N")</f>
        <v>Y</v>
      </c>
      <c r="G1425" s="3" t="s">
        <v>272</v>
      </c>
      <c r="H1425" s="3" t="s">
        <v>21</v>
      </c>
      <c r="I1425" s="4" t="n">
        <v>8</v>
      </c>
      <c r="J1425" s="4" t="n">
        <f aca="false">LEN(E1425)-LEN(SUBSTITUTE(E1425,",",""))+1</f>
        <v>7</v>
      </c>
      <c r="K1425" s="3" t="str">
        <f aca="false">IFERROR(INDEX('Teacher Lookup'!$B$2:$B$200,MATCH(A1425,'Teacher Lookup'!$A$2:$A$200,0)),"")</f>
        <v>CHUNG Brian</v>
      </c>
    </row>
    <row r="1426" customFormat="false" ht="15" hidden="false" customHeight="false" outlineLevel="0" collapsed="false">
      <c r="A1426" s="3" t="s">
        <v>270</v>
      </c>
      <c r="B1426" s="4" t="s">
        <v>63</v>
      </c>
      <c r="C1426" s="4" t="n">
        <v>2</v>
      </c>
      <c r="D1426" s="4" t="s">
        <v>30</v>
      </c>
      <c r="E1426" s="3" t="s">
        <v>271</v>
      </c>
      <c r="F1426" s="4" t="str">
        <f aca="false">IF(I1426&gt;J1426,"Y","N")</f>
        <v>Y</v>
      </c>
      <c r="G1426" s="3" t="s">
        <v>272</v>
      </c>
      <c r="H1426" s="3" t="s">
        <v>21</v>
      </c>
      <c r="I1426" s="4" t="n">
        <v>8</v>
      </c>
      <c r="J1426" s="4" t="n">
        <f aca="false">LEN(E1426)-LEN(SUBSTITUTE(E1426,",",""))+1</f>
        <v>7</v>
      </c>
      <c r="K1426" s="3" t="str">
        <f aca="false">IFERROR(INDEX('Teacher Lookup'!$B$2:$B$200,MATCH(A1426,'Teacher Lookup'!$A$2:$A$200,0)),"")</f>
        <v>CHUNG Brian</v>
      </c>
    </row>
    <row r="1427" customFormat="false" ht="15" hidden="false" customHeight="false" outlineLevel="0" collapsed="false">
      <c r="A1427" s="3" t="s">
        <v>270</v>
      </c>
      <c r="B1427" s="4" t="s">
        <v>63</v>
      </c>
      <c r="C1427" s="4" t="n">
        <v>3</v>
      </c>
      <c r="D1427" s="4" t="s">
        <v>228</v>
      </c>
      <c r="E1427" s="3" t="s">
        <v>281</v>
      </c>
      <c r="F1427" s="4" t="str">
        <f aca="false">IF(I1427&gt;J1427,"Y","N")</f>
        <v>N</v>
      </c>
      <c r="G1427" s="3" t="s">
        <v>192</v>
      </c>
      <c r="H1427" s="3" t="s">
        <v>26</v>
      </c>
      <c r="I1427" s="4" t="n">
        <v>2</v>
      </c>
      <c r="J1427" s="4" t="n">
        <f aca="false">LEN(E1427)-LEN(SUBSTITUTE(E1427,",",""))+1</f>
        <v>2</v>
      </c>
      <c r="K1427" s="3" t="str">
        <f aca="false">IFERROR(INDEX('Teacher Lookup'!$B$2:$B$200,MATCH(A1427,'Teacher Lookup'!$A$2:$A$200,0)),"")</f>
        <v>CHUNG Brian</v>
      </c>
    </row>
    <row r="1428" customFormat="false" ht="15" hidden="false" customHeight="false" outlineLevel="0" collapsed="false">
      <c r="A1428" s="3" t="s">
        <v>270</v>
      </c>
      <c r="B1428" s="4" t="s">
        <v>65</v>
      </c>
      <c r="C1428" s="4" t="n">
        <v>4</v>
      </c>
      <c r="D1428" s="4" t="s">
        <v>24</v>
      </c>
      <c r="E1428" s="3" t="s">
        <v>282</v>
      </c>
      <c r="F1428" s="4" t="str">
        <f aca="false">IF(I1428&gt;J1428,"Y","N")</f>
        <v>Y</v>
      </c>
      <c r="G1428" s="3" t="s">
        <v>272</v>
      </c>
      <c r="H1428" s="3" t="s">
        <v>34</v>
      </c>
      <c r="I1428" s="4" t="n">
        <v>8</v>
      </c>
      <c r="J1428" s="4" t="n">
        <f aca="false">LEN(E1428)-LEN(SUBSTITUTE(E1428,",",""))+1</f>
        <v>7</v>
      </c>
      <c r="K1428" s="3" t="str">
        <f aca="false">IFERROR(INDEX('Teacher Lookup'!$B$2:$B$200,MATCH(A1428,'Teacher Lookup'!$A$2:$A$200,0)),"")</f>
        <v>CHUNG Brian</v>
      </c>
    </row>
    <row r="1429" customFormat="false" ht="15" hidden="false" customHeight="false" outlineLevel="0" collapsed="false">
      <c r="A1429" s="3" t="s">
        <v>270</v>
      </c>
      <c r="B1429" s="4" t="s">
        <v>65</v>
      </c>
      <c r="C1429" s="4" t="n">
        <v>4</v>
      </c>
      <c r="D1429" s="4" t="s">
        <v>27</v>
      </c>
      <c r="E1429" s="3" t="s">
        <v>282</v>
      </c>
      <c r="F1429" s="4" t="str">
        <f aca="false">IF(I1429&gt;J1429,"Y","N")</f>
        <v>Y</v>
      </c>
      <c r="G1429" s="3" t="s">
        <v>272</v>
      </c>
      <c r="H1429" s="3" t="s">
        <v>34</v>
      </c>
      <c r="I1429" s="4" t="n">
        <v>8</v>
      </c>
      <c r="J1429" s="4" t="n">
        <f aca="false">LEN(E1429)-LEN(SUBSTITUTE(E1429,",",""))+1</f>
        <v>7</v>
      </c>
      <c r="K1429" s="3" t="str">
        <f aca="false">IFERROR(INDEX('Teacher Lookup'!$B$2:$B$200,MATCH(A1429,'Teacher Lookup'!$A$2:$A$200,0)),"")</f>
        <v>CHUNG Brian</v>
      </c>
    </row>
    <row r="1430" customFormat="false" ht="15" hidden="false" customHeight="false" outlineLevel="0" collapsed="false">
      <c r="A1430" s="3" t="s">
        <v>270</v>
      </c>
      <c r="B1430" s="4" t="s">
        <v>65</v>
      </c>
      <c r="C1430" s="4" t="n">
        <v>4</v>
      </c>
      <c r="D1430" s="4" t="s">
        <v>28</v>
      </c>
      <c r="E1430" s="3" t="s">
        <v>282</v>
      </c>
      <c r="F1430" s="4" t="str">
        <f aca="false">IF(I1430&gt;J1430,"Y","N")</f>
        <v>Y</v>
      </c>
      <c r="G1430" s="3" t="s">
        <v>272</v>
      </c>
      <c r="H1430" s="3" t="s">
        <v>34</v>
      </c>
      <c r="I1430" s="4" t="n">
        <v>8</v>
      </c>
      <c r="J1430" s="4" t="n">
        <f aca="false">LEN(E1430)-LEN(SUBSTITUTE(E1430,",",""))+1</f>
        <v>7</v>
      </c>
      <c r="K1430" s="3" t="str">
        <f aca="false">IFERROR(INDEX('Teacher Lookup'!$B$2:$B$200,MATCH(A1430,'Teacher Lookup'!$A$2:$A$200,0)),"")</f>
        <v>CHUNG Brian</v>
      </c>
    </row>
    <row r="1431" customFormat="false" ht="15" hidden="false" customHeight="false" outlineLevel="0" collapsed="false">
      <c r="A1431" s="3" t="s">
        <v>270</v>
      </c>
      <c r="B1431" s="4" t="s">
        <v>65</v>
      </c>
      <c r="C1431" s="4" t="n">
        <v>4</v>
      </c>
      <c r="D1431" s="4" t="s">
        <v>29</v>
      </c>
      <c r="E1431" s="3" t="s">
        <v>282</v>
      </c>
      <c r="F1431" s="4" t="str">
        <f aca="false">IF(I1431&gt;J1431,"Y","N")</f>
        <v>Y</v>
      </c>
      <c r="G1431" s="3" t="s">
        <v>272</v>
      </c>
      <c r="H1431" s="3" t="s">
        <v>34</v>
      </c>
      <c r="I1431" s="4" t="n">
        <v>8</v>
      </c>
      <c r="J1431" s="4" t="n">
        <f aca="false">LEN(E1431)-LEN(SUBSTITUTE(E1431,",",""))+1</f>
        <v>7</v>
      </c>
      <c r="K1431" s="3" t="str">
        <f aca="false">IFERROR(INDEX('Teacher Lookup'!$B$2:$B$200,MATCH(A1431,'Teacher Lookup'!$A$2:$A$200,0)),"")</f>
        <v>CHUNG Brian</v>
      </c>
    </row>
    <row r="1432" customFormat="false" ht="15" hidden="false" customHeight="false" outlineLevel="0" collapsed="false">
      <c r="A1432" s="3" t="s">
        <v>270</v>
      </c>
      <c r="B1432" s="4" t="s">
        <v>65</v>
      </c>
      <c r="C1432" s="4" t="n">
        <v>4</v>
      </c>
      <c r="D1432" s="4" t="s">
        <v>30</v>
      </c>
      <c r="E1432" s="3" t="s">
        <v>282</v>
      </c>
      <c r="F1432" s="4" t="str">
        <f aca="false">IF(I1432&gt;J1432,"Y","N")</f>
        <v>Y</v>
      </c>
      <c r="G1432" s="3" t="s">
        <v>272</v>
      </c>
      <c r="H1432" s="3" t="s">
        <v>34</v>
      </c>
      <c r="I1432" s="4" t="n">
        <v>8</v>
      </c>
      <c r="J1432" s="4" t="n">
        <f aca="false">LEN(E1432)-LEN(SUBSTITUTE(E1432,",",""))+1</f>
        <v>7</v>
      </c>
      <c r="K1432" s="3" t="str">
        <f aca="false">IFERROR(INDEX('Teacher Lookup'!$B$2:$B$200,MATCH(A1432,'Teacher Lookup'!$A$2:$A$200,0)),"")</f>
        <v>CHUNG Brian</v>
      </c>
    </row>
    <row r="1433" customFormat="false" ht="15" hidden="false" customHeight="false" outlineLevel="0" collapsed="false">
      <c r="A1433" s="3" t="s">
        <v>270</v>
      </c>
      <c r="B1433" s="4" t="s">
        <v>65</v>
      </c>
      <c r="C1433" s="4" t="n">
        <v>5</v>
      </c>
      <c r="D1433" s="4" t="s">
        <v>70</v>
      </c>
      <c r="E1433" s="3" t="s">
        <v>81</v>
      </c>
      <c r="F1433" s="4" t="str">
        <f aca="false">IF(I1433&gt;J1433,"Y","N")</f>
        <v>Y</v>
      </c>
      <c r="G1433" s="3" t="s">
        <v>36</v>
      </c>
      <c r="H1433" s="3" t="s">
        <v>37</v>
      </c>
      <c r="I1433" s="4" t="n">
        <v>15</v>
      </c>
      <c r="J1433" s="4" t="n">
        <f aca="false">LEN(E1433)-LEN(SUBSTITUTE(E1433,",",""))+1</f>
        <v>7</v>
      </c>
      <c r="K1433" s="3" t="str">
        <f aca="false">IFERROR(INDEX('Teacher Lookup'!$B$2:$B$200,MATCH(A1433,'Teacher Lookup'!$A$2:$A$200,0)),"")</f>
        <v>CHUNG Brian</v>
      </c>
    </row>
    <row r="1434" customFormat="false" ht="15" hidden="false" customHeight="false" outlineLevel="0" collapsed="false">
      <c r="A1434" s="3" t="s">
        <v>270</v>
      </c>
      <c r="B1434" s="4" t="s">
        <v>65</v>
      </c>
      <c r="C1434" s="4" t="n">
        <v>5</v>
      </c>
      <c r="D1434" s="4" t="s">
        <v>73</v>
      </c>
      <c r="E1434" s="3" t="s">
        <v>81</v>
      </c>
      <c r="F1434" s="4" t="str">
        <f aca="false">IF(I1434&gt;J1434,"Y","N")</f>
        <v>Y</v>
      </c>
      <c r="G1434" s="3" t="s">
        <v>36</v>
      </c>
      <c r="H1434" s="3" t="s">
        <v>37</v>
      </c>
      <c r="I1434" s="4" t="n">
        <v>15</v>
      </c>
      <c r="J1434" s="4" t="n">
        <f aca="false">LEN(E1434)-LEN(SUBSTITUTE(E1434,",",""))+1</f>
        <v>7</v>
      </c>
      <c r="K1434" s="3" t="str">
        <f aca="false">IFERROR(INDEX('Teacher Lookup'!$B$2:$B$200,MATCH(A1434,'Teacher Lookup'!$A$2:$A$200,0)),"")</f>
        <v>CHUNG Brian</v>
      </c>
    </row>
    <row r="1435" customFormat="false" ht="15" hidden="false" customHeight="false" outlineLevel="0" collapsed="false">
      <c r="A1435" s="3" t="s">
        <v>270</v>
      </c>
      <c r="B1435" s="4" t="s">
        <v>65</v>
      </c>
      <c r="C1435" s="4" t="n">
        <v>5</v>
      </c>
      <c r="D1435" s="4" t="s">
        <v>74</v>
      </c>
      <c r="E1435" s="3" t="s">
        <v>81</v>
      </c>
      <c r="F1435" s="4" t="str">
        <f aca="false">IF(I1435&gt;J1435,"Y","N")</f>
        <v>Y</v>
      </c>
      <c r="G1435" s="3" t="s">
        <v>36</v>
      </c>
      <c r="H1435" s="3" t="s">
        <v>37</v>
      </c>
      <c r="I1435" s="4" t="n">
        <v>15</v>
      </c>
      <c r="J1435" s="4" t="n">
        <f aca="false">LEN(E1435)-LEN(SUBSTITUTE(E1435,",",""))+1</f>
        <v>7</v>
      </c>
      <c r="K1435" s="3" t="str">
        <f aca="false">IFERROR(INDEX('Teacher Lookup'!$B$2:$B$200,MATCH(A1435,'Teacher Lookup'!$A$2:$A$200,0)),"")</f>
        <v>CHUNG Brian</v>
      </c>
    </row>
    <row r="1436" customFormat="false" ht="15" hidden="false" customHeight="false" outlineLevel="0" collapsed="false">
      <c r="A1436" s="3" t="s">
        <v>270</v>
      </c>
      <c r="B1436" s="4" t="s">
        <v>65</v>
      </c>
      <c r="C1436" s="4" t="n">
        <v>5</v>
      </c>
      <c r="D1436" s="4" t="s">
        <v>76</v>
      </c>
      <c r="E1436" s="3" t="s">
        <v>81</v>
      </c>
      <c r="F1436" s="4" t="str">
        <f aca="false">IF(I1436&gt;J1436,"Y","N")</f>
        <v>Y</v>
      </c>
      <c r="G1436" s="3" t="s">
        <v>36</v>
      </c>
      <c r="H1436" s="3" t="s">
        <v>37</v>
      </c>
      <c r="I1436" s="4" t="n">
        <v>15</v>
      </c>
      <c r="J1436" s="4" t="n">
        <f aca="false">LEN(E1436)-LEN(SUBSTITUTE(E1436,",",""))+1</f>
        <v>7</v>
      </c>
      <c r="K1436" s="3" t="str">
        <f aca="false">IFERROR(INDEX('Teacher Lookup'!$B$2:$B$200,MATCH(A1436,'Teacher Lookup'!$A$2:$A$200,0)),"")</f>
        <v>CHUNG Brian</v>
      </c>
    </row>
    <row r="1437" customFormat="false" ht="15" hidden="false" customHeight="false" outlineLevel="0" collapsed="false">
      <c r="A1437" s="3" t="s">
        <v>270</v>
      </c>
      <c r="B1437" s="4" t="s">
        <v>65</v>
      </c>
      <c r="C1437" s="4" t="n">
        <v>5</v>
      </c>
      <c r="D1437" s="4" t="s">
        <v>78</v>
      </c>
      <c r="E1437" s="3" t="s">
        <v>81</v>
      </c>
      <c r="F1437" s="4" t="str">
        <f aca="false">IF(I1437&gt;J1437,"Y","N")</f>
        <v>Y</v>
      </c>
      <c r="G1437" s="3" t="s">
        <v>36</v>
      </c>
      <c r="H1437" s="3" t="s">
        <v>37</v>
      </c>
      <c r="I1437" s="4" t="n">
        <v>15</v>
      </c>
      <c r="J1437" s="4" t="n">
        <f aca="false">LEN(E1437)-LEN(SUBSTITUTE(E1437,",",""))+1</f>
        <v>7</v>
      </c>
      <c r="K1437" s="3" t="str">
        <f aca="false">IFERROR(INDEX('Teacher Lookup'!$B$2:$B$200,MATCH(A1437,'Teacher Lookup'!$A$2:$A$200,0)),"")</f>
        <v>CHUNG Brian</v>
      </c>
    </row>
    <row r="1438" customFormat="false" ht="15" hidden="false" customHeight="false" outlineLevel="0" collapsed="false">
      <c r="A1438" s="3" t="s">
        <v>270</v>
      </c>
      <c r="B1438" s="4" t="s">
        <v>65</v>
      </c>
      <c r="C1438" s="4" t="n">
        <v>5</v>
      </c>
      <c r="D1438" s="4" t="s">
        <v>79</v>
      </c>
      <c r="E1438" s="3" t="s">
        <v>81</v>
      </c>
      <c r="F1438" s="4" t="str">
        <f aca="false">IF(I1438&gt;J1438,"Y","N")</f>
        <v>Y</v>
      </c>
      <c r="G1438" s="3" t="s">
        <v>36</v>
      </c>
      <c r="H1438" s="3" t="s">
        <v>37</v>
      </c>
      <c r="I1438" s="4" t="n">
        <v>15</v>
      </c>
      <c r="J1438" s="4" t="n">
        <f aca="false">LEN(E1438)-LEN(SUBSTITUTE(E1438,",",""))+1</f>
        <v>7</v>
      </c>
      <c r="K1438" s="3" t="str">
        <f aca="false">IFERROR(INDEX('Teacher Lookup'!$B$2:$B$200,MATCH(A1438,'Teacher Lookup'!$A$2:$A$200,0)),"")</f>
        <v>CHUNG Brian</v>
      </c>
    </row>
    <row r="1439" customFormat="false" ht="15" hidden="false" customHeight="false" outlineLevel="0" collapsed="false">
      <c r="A1439" s="3" t="s">
        <v>270</v>
      </c>
      <c r="B1439" s="4" t="s">
        <v>65</v>
      </c>
      <c r="C1439" s="4" t="n">
        <v>6</v>
      </c>
      <c r="D1439" s="4" t="s">
        <v>228</v>
      </c>
      <c r="E1439" s="3" t="s">
        <v>273</v>
      </c>
      <c r="F1439" s="4" t="str">
        <f aca="false">IF(I1439&gt;J1439,"Y","N")</f>
        <v>N</v>
      </c>
      <c r="G1439" s="3" t="s">
        <v>192</v>
      </c>
      <c r="H1439" s="3" t="s">
        <v>42</v>
      </c>
      <c r="I1439" s="4" t="n">
        <v>2</v>
      </c>
      <c r="J1439" s="4" t="n">
        <f aca="false">LEN(E1439)-LEN(SUBSTITUTE(E1439,",",""))+1</f>
        <v>2</v>
      </c>
      <c r="K1439" s="3" t="str">
        <f aca="false">IFERROR(INDEX('Teacher Lookup'!$B$2:$B$200,MATCH(A1439,'Teacher Lookup'!$A$2:$A$200,0)),"")</f>
        <v>CHUNG Brian</v>
      </c>
    </row>
    <row r="1440" customFormat="false" ht="15" hidden="false" customHeight="false" outlineLevel="0" collapsed="false">
      <c r="A1440" s="3" t="s">
        <v>270</v>
      </c>
      <c r="B1440" s="4" t="s">
        <v>66</v>
      </c>
      <c r="C1440" s="4" t="n">
        <v>3</v>
      </c>
      <c r="D1440" s="4" t="s">
        <v>73</v>
      </c>
      <c r="E1440" s="3" t="s">
        <v>134</v>
      </c>
      <c r="F1440" s="4" t="str">
        <f aca="false">IF(I1440&gt;J1440,"Y","N")</f>
        <v>N</v>
      </c>
      <c r="G1440" s="3" t="s">
        <v>130</v>
      </c>
      <c r="H1440" s="3" t="s">
        <v>26</v>
      </c>
      <c r="I1440" s="4" t="n">
        <v>1</v>
      </c>
      <c r="J1440" s="4" t="n">
        <f aca="false">LEN(E1440)-LEN(SUBSTITUTE(E1440,",",""))+1</f>
        <v>1</v>
      </c>
      <c r="K1440" s="3" t="str">
        <f aca="false">IFERROR(INDEX('Teacher Lookup'!$B$2:$B$200,MATCH(A1440,'Teacher Lookup'!$A$2:$A$200,0)),"")</f>
        <v>CHUNG Brian</v>
      </c>
    </row>
    <row r="1441" customFormat="false" ht="15" hidden="false" customHeight="false" outlineLevel="0" collapsed="false">
      <c r="A1441" s="3" t="s">
        <v>270</v>
      </c>
      <c r="B1441" s="4" t="s">
        <v>66</v>
      </c>
      <c r="C1441" s="4" t="n">
        <v>4</v>
      </c>
      <c r="D1441" s="4" t="s">
        <v>228</v>
      </c>
      <c r="E1441" s="3" t="s">
        <v>273</v>
      </c>
      <c r="F1441" s="4" t="str">
        <f aca="false">IF(I1441&gt;J1441,"Y","N")</f>
        <v>N</v>
      </c>
      <c r="G1441" s="3" t="s">
        <v>192</v>
      </c>
      <c r="H1441" s="3" t="s">
        <v>34</v>
      </c>
      <c r="I1441" s="4" t="n">
        <v>2</v>
      </c>
      <c r="J1441" s="4" t="n">
        <f aca="false">LEN(E1441)-LEN(SUBSTITUTE(E1441,",",""))+1</f>
        <v>2</v>
      </c>
      <c r="K1441" s="3" t="str">
        <f aca="false">IFERROR(INDEX('Teacher Lookup'!$B$2:$B$200,MATCH(A1441,'Teacher Lookup'!$A$2:$A$200,0)),"")</f>
        <v>CHUNG Brian</v>
      </c>
    </row>
    <row r="1442" customFormat="false" ht="15" hidden="false" customHeight="false" outlineLevel="0" collapsed="false">
      <c r="A1442" s="3" t="s">
        <v>270</v>
      </c>
      <c r="B1442" s="4" t="s">
        <v>66</v>
      </c>
      <c r="C1442" s="4" t="n">
        <v>5</v>
      </c>
      <c r="D1442" s="4" t="s">
        <v>228</v>
      </c>
      <c r="E1442" s="3" t="s">
        <v>273</v>
      </c>
      <c r="F1442" s="4" t="str">
        <f aca="false">IF(I1442&gt;J1442,"Y","N")</f>
        <v>N</v>
      </c>
      <c r="G1442" s="3" t="s">
        <v>192</v>
      </c>
      <c r="H1442" s="3" t="s">
        <v>37</v>
      </c>
      <c r="I1442" s="4" t="n">
        <v>2</v>
      </c>
      <c r="J1442" s="4" t="n">
        <f aca="false">LEN(E1442)-LEN(SUBSTITUTE(E1442,",",""))+1</f>
        <v>2</v>
      </c>
      <c r="K1442" s="3" t="str">
        <f aca="false">IFERROR(INDEX('Teacher Lookup'!$B$2:$B$200,MATCH(A1442,'Teacher Lookup'!$A$2:$A$200,0)),"")</f>
        <v>CHUNG Brian</v>
      </c>
    </row>
    <row r="1443" customFormat="false" ht="15" hidden="false" customHeight="false" outlineLevel="0" collapsed="false">
      <c r="A1443" s="3" t="s">
        <v>283</v>
      </c>
      <c r="B1443" s="4" t="s">
        <v>12</v>
      </c>
      <c r="C1443" s="4" t="n">
        <v>2</v>
      </c>
      <c r="D1443" s="4" t="s">
        <v>139</v>
      </c>
      <c r="E1443" s="3" t="s">
        <v>284</v>
      </c>
      <c r="F1443" s="4" t="str">
        <f aca="false">IF(I1443&gt;J1443,"Y","N")</f>
        <v>N</v>
      </c>
      <c r="G1443" s="3" t="s">
        <v>285</v>
      </c>
      <c r="H1443" s="3" t="s">
        <v>21</v>
      </c>
      <c r="I1443" s="4" t="n">
        <v>1</v>
      </c>
      <c r="J1443" s="4" t="n">
        <f aca="false">LEN(E1443)-LEN(SUBSTITUTE(E1443,",",""))+1</f>
        <v>1</v>
      </c>
      <c r="K1443" s="3" t="str">
        <f aca="false">IFERROR(INDEX('Teacher Lookup'!$B$2:$B$200,MATCH(A1443,'Teacher Lookup'!$A$2:$A$200,0)),"")</f>
        <v>CHAN Brian</v>
      </c>
    </row>
    <row r="1444" customFormat="false" ht="15" hidden="false" customHeight="false" outlineLevel="0" collapsed="false">
      <c r="A1444" s="3" t="s">
        <v>283</v>
      </c>
      <c r="B1444" s="4" t="s">
        <v>12</v>
      </c>
      <c r="C1444" s="4" t="n">
        <v>4</v>
      </c>
      <c r="D1444" s="4" t="s">
        <v>52</v>
      </c>
      <c r="E1444" s="3" t="s">
        <v>286</v>
      </c>
      <c r="F1444" s="4" t="str">
        <f aca="false">IF(I1444&gt;J1444,"Y","N")</f>
        <v>N</v>
      </c>
      <c r="G1444" s="3" t="s">
        <v>287</v>
      </c>
      <c r="H1444" s="3" t="s">
        <v>34</v>
      </c>
      <c r="I1444" s="4" t="n">
        <v>1</v>
      </c>
      <c r="J1444" s="4" t="n">
        <f aca="false">LEN(E1444)-LEN(SUBSTITUTE(E1444,",",""))+1</f>
        <v>1</v>
      </c>
      <c r="K1444" s="3" t="str">
        <f aca="false">IFERROR(INDEX('Teacher Lookup'!$B$2:$B$200,MATCH(A1444,'Teacher Lookup'!$A$2:$A$200,0)),"")</f>
        <v>CHAN Brian</v>
      </c>
    </row>
    <row r="1445" customFormat="false" ht="15" hidden="false" customHeight="false" outlineLevel="0" collapsed="false">
      <c r="A1445" s="3" t="s">
        <v>283</v>
      </c>
      <c r="B1445" s="4" t="s">
        <v>12</v>
      </c>
      <c r="C1445" s="4" t="n">
        <v>5</v>
      </c>
      <c r="D1445" s="4" t="s">
        <v>127</v>
      </c>
      <c r="E1445" s="3" t="s">
        <v>128</v>
      </c>
      <c r="F1445" s="4" t="str">
        <f aca="false">IF(I1445&gt;J1445,"Y","N")</f>
        <v>N</v>
      </c>
      <c r="G1445" s="3" t="s">
        <v>285</v>
      </c>
      <c r="H1445" s="3" t="s">
        <v>37</v>
      </c>
      <c r="I1445" s="4" t="n">
        <v>1</v>
      </c>
      <c r="J1445" s="4" t="n">
        <f aca="false">LEN(E1445)-LEN(SUBSTITUTE(E1445,",",""))+1</f>
        <v>1</v>
      </c>
      <c r="K1445" s="3" t="str">
        <f aca="false">IFERROR(INDEX('Teacher Lookup'!$B$2:$B$200,MATCH(A1445,'Teacher Lookup'!$A$2:$A$200,0)),"")</f>
        <v>CHAN Brian</v>
      </c>
    </row>
    <row r="1446" customFormat="false" ht="15" hidden="false" customHeight="false" outlineLevel="0" collapsed="false">
      <c r="A1446" s="3" t="s">
        <v>283</v>
      </c>
      <c r="B1446" s="4" t="s">
        <v>12</v>
      </c>
      <c r="C1446" s="4" t="n">
        <v>7</v>
      </c>
      <c r="D1446" s="4" t="s">
        <v>124</v>
      </c>
      <c r="E1446" s="3" t="s">
        <v>288</v>
      </c>
      <c r="F1446" s="4" t="str">
        <f aca="false">IF(I1446&gt;J1446,"Y","N")</f>
        <v>N</v>
      </c>
      <c r="G1446" s="3" t="s">
        <v>285</v>
      </c>
      <c r="H1446" s="3" t="s">
        <v>39</v>
      </c>
      <c r="I1446" s="4" t="n">
        <v>1</v>
      </c>
      <c r="J1446" s="4" t="n">
        <f aca="false">LEN(E1446)-LEN(SUBSTITUTE(E1446,",",""))+1</f>
        <v>1</v>
      </c>
      <c r="K1446" s="3" t="str">
        <f aca="false">IFERROR(INDEX('Teacher Lookup'!$B$2:$B$200,MATCH(A1446,'Teacher Lookup'!$A$2:$A$200,0)),"")</f>
        <v>CHAN Brian</v>
      </c>
    </row>
    <row r="1447" customFormat="false" ht="15" hidden="false" customHeight="false" outlineLevel="0" collapsed="false">
      <c r="A1447" s="3" t="s">
        <v>283</v>
      </c>
      <c r="B1447" s="4" t="s">
        <v>31</v>
      </c>
      <c r="C1447" s="4" t="n">
        <v>1</v>
      </c>
      <c r="D1447" s="4" t="s">
        <v>140</v>
      </c>
      <c r="E1447" s="3" t="s">
        <v>289</v>
      </c>
      <c r="F1447" s="4" t="str">
        <f aca="false">IF(I1447&gt;J1447,"Y","N")</f>
        <v>N</v>
      </c>
      <c r="G1447" s="3" t="s">
        <v>285</v>
      </c>
      <c r="H1447" s="3" t="s">
        <v>16</v>
      </c>
      <c r="I1447" s="4" t="n">
        <v>1</v>
      </c>
      <c r="J1447" s="4" t="n">
        <f aca="false">LEN(E1447)-LEN(SUBSTITUTE(E1447,",",""))+1</f>
        <v>1</v>
      </c>
      <c r="K1447" s="3" t="str">
        <f aca="false">IFERROR(INDEX('Teacher Lookup'!$B$2:$B$200,MATCH(A1447,'Teacher Lookup'!$A$2:$A$200,0)),"")</f>
        <v>CHAN Brian</v>
      </c>
    </row>
    <row r="1448" customFormat="false" ht="15" hidden="false" customHeight="false" outlineLevel="0" collapsed="false">
      <c r="A1448" s="3" t="s">
        <v>283</v>
      </c>
      <c r="B1448" s="4" t="s">
        <v>31</v>
      </c>
      <c r="C1448" s="4" t="n">
        <v>3</v>
      </c>
      <c r="D1448" s="4" t="s">
        <v>57</v>
      </c>
      <c r="E1448" s="3" t="s">
        <v>98</v>
      </c>
      <c r="F1448" s="4" t="str">
        <f aca="false">IF(I1448&gt;J1448,"Y","N")</f>
        <v>N</v>
      </c>
      <c r="G1448" s="3" t="s">
        <v>287</v>
      </c>
      <c r="H1448" s="3" t="s">
        <v>26</v>
      </c>
      <c r="I1448" s="4" t="n">
        <v>1</v>
      </c>
      <c r="J1448" s="4" t="n">
        <f aca="false">LEN(E1448)-LEN(SUBSTITUTE(E1448,",",""))+1</f>
        <v>1</v>
      </c>
      <c r="K1448" s="3" t="str">
        <f aca="false">IFERROR(INDEX('Teacher Lookup'!$B$2:$B$200,MATCH(A1448,'Teacher Lookup'!$A$2:$A$200,0)),"")</f>
        <v>CHAN Brian</v>
      </c>
    </row>
    <row r="1449" customFormat="false" ht="15" hidden="false" customHeight="false" outlineLevel="0" collapsed="false">
      <c r="A1449" s="3" t="s">
        <v>283</v>
      </c>
      <c r="B1449" s="4" t="s">
        <v>31</v>
      </c>
      <c r="C1449" s="4" t="n">
        <v>5</v>
      </c>
      <c r="D1449" s="4" t="s">
        <v>228</v>
      </c>
      <c r="E1449" s="3" t="s">
        <v>229</v>
      </c>
      <c r="F1449" s="4" t="str">
        <f aca="false">IF(I1449&gt;J1449,"Y","N")</f>
        <v>Y</v>
      </c>
      <c r="G1449" s="3" t="s">
        <v>36</v>
      </c>
      <c r="H1449" s="3" t="s">
        <v>37</v>
      </c>
      <c r="I1449" s="4" t="n">
        <v>14</v>
      </c>
      <c r="J1449" s="4" t="n">
        <f aca="false">LEN(E1449)-LEN(SUBSTITUTE(E1449,",",""))+1</f>
        <v>6</v>
      </c>
      <c r="K1449" s="3" t="str">
        <f aca="false">IFERROR(INDEX('Teacher Lookup'!$B$2:$B$200,MATCH(A1449,'Teacher Lookup'!$A$2:$A$200,0)),"")</f>
        <v>CHAN Brian</v>
      </c>
    </row>
    <row r="1450" customFormat="false" ht="15" hidden="false" customHeight="false" outlineLevel="0" collapsed="false">
      <c r="A1450" s="3" t="s">
        <v>283</v>
      </c>
      <c r="B1450" s="4" t="s">
        <v>31</v>
      </c>
      <c r="C1450" s="4" t="n">
        <v>5</v>
      </c>
      <c r="D1450" s="4" t="s">
        <v>102</v>
      </c>
      <c r="E1450" s="3" t="s">
        <v>229</v>
      </c>
      <c r="F1450" s="4" t="str">
        <f aca="false">IF(I1450&gt;J1450,"Y","N")</f>
        <v>Y</v>
      </c>
      <c r="G1450" s="3" t="s">
        <v>36</v>
      </c>
      <c r="H1450" s="3" t="s">
        <v>37</v>
      </c>
      <c r="I1450" s="4" t="n">
        <v>14</v>
      </c>
      <c r="J1450" s="4" t="n">
        <f aca="false">LEN(E1450)-LEN(SUBSTITUTE(E1450,",",""))+1</f>
        <v>6</v>
      </c>
      <c r="K1450" s="3" t="str">
        <f aca="false">IFERROR(INDEX('Teacher Lookup'!$B$2:$B$200,MATCH(A1450,'Teacher Lookup'!$A$2:$A$200,0)),"")</f>
        <v>CHAN Brian</v>
      </c>
    </row>
    <row r="1451" customFormat="false" ht="15" hidden="false" customHeight="false" outlineLevel="0" collapsed="false">
      <c r="A1451" s="3" t="s">
        <v>283</v>
      </c>
      <c r="B1451" s="4" t="s">
        <v>31</v>
      </c>
      <c r="C1451" s="4" t="n">
        <v>5</v>
      </c>
      <c r="D1451" s="4" t="s">
        <v>105</v>
      </c>
      <c r="E1451" s="3" t="s">
        <v>229</v>
      </c>
      <c r="F1451" s="4" t="str">
        <f aca="false">IF(I1451&gt;J1451,"Y","N")</f>
        <v>Y</v>
      </c>
      <c r="G1451" s="3" t="s">
        <v>36</v>
      </c>
      <c r="H1451" s="3" t="s">
        <v>37</v>
      </c>
      <c r="I1451" s="4" t="n">
        <v>14</v>
      </c>
      <c r="J1451" s="4" t="n">
        <f aca="false">LEN(E1451)-LEN(SUBSTITUTE(E1451,",",""))+1</f>
        <v>6</v>
      </c>
      <c r="K1451" s="3" t="str">
        <f aca="false">IFERROR(INDEX('Teacher Lookup'!$B$2:$B$200,MATCH(A1451,'Teacher Lookup'!$A$2:$A$200,0)),"")</f>
        <v>CHAN Brian</v>
      </c>
    </row>
    <row r="1452" customFormat="false" ht="15" hidden="false" customHeight="false" outlineLevel="0" collapsed="false">
      <c r="A1452" s="3" t="s">
        <v>283</v>
      </c>
      <c r="B1452" s="4" t="s">
        <v>31</v>
      </c>
      <c r="C1452" s="4" t="n">
        <v>5</v>
      </c>
      <c r="D1452" s="4" t="s">
        <v>106</v>
      </c>
      <c r="E1452" s="3" t="s">
        <v>229</v>
      </c>
      <c r="F1452" s="4" t="str">
        <f aca="false">IF(I1452&gt;J1452,"Y","N")</f>
        <v>Y</v>
      </c>
      <c r="G1452" s="3" t="s">
        <v>36</v>
      </c>
      <c r="H1452" s="3" t="s">
        <v>37</v>
      </c>
      <c r="I1452" s="4" t="n">
        <v>14</v>
      </c>
      <c r="J1452" s="4" t="n">
        <f aca="false">LEN(E1452)-LEN(SUBSTITUTE(E1452,",",""))+1</f>
        <v>6</v>
      </c>
      <c r="K1452" s="3" t="str">
        <f aca="false">IFERROR(INDEX('Teacher Lookup'!$B$2:$B$200,MATCH(A1452,'Teacher Lookup'!$A$2:$A$200,0)),"")</f>
        <v>CHAN Brian</v>
      </c>
    </row>
    <row r="1453" customFormat="false" ht="15" hidden="false" customHeight="false" outlineLevel="0" collapsed="false">
      <c r="A1453" s="3" t="s">
        <v>283</v>
      </c>
      <c r="B1453" s="4" t="s">
        <v>31</v>
      </c>
      <c r="C1453" s="4" t="n">
        <v>5</v>
      </c>
      <c r="D1453" s="4" t="s">
        <v>107</v>
      </c>
      <c r="E1453" s="3" t="s">
        <v>229</v>
      </c>
      <c r="F1453" s="4" t="str">
        <f aca="false">IF(I1453&gt;J1453,"Y","N")</f>
        <v>Y</v>
      </c>
      <c r="G1453" s="3" t="s">
        <v>36</v>
      </c>
      <c r="H1453" s="3" t="s">
        <v>37</v>
      </c>
      <c r="I1453" s="4" t="n">
        <v>14</v>
      </c>
      <c r="J1453" s="4" t="n">
        <f aca="false">LEN(E1453)-LEN(SUBSTITUTE(E1453,",",""))+1</f>
        <v>6</v>
      </c>
      <c r="K1453" s="3" t="str">
        <f aca="false">IFERROR(INDEX('Teacher Lookup'!$B$2:$B$200,MATCH(A1453,'Teacher Lookup'!$A$2:$A$200,0)),"")</f>
        <v>CHAN Brian</v>
      </c>
    </row>
    <row r="1454" customFormat="false" ht="15" hidden="false" customHeight="false" outlineLevel="0" collapsed="false">
      <c r="A1454" s="3" t="s">
        <v>283</v>
      </c>
      <c r="B1454" s="4" t="s">
        <v>40</v>
      </c>
      <c r="C1454" s="4" t="n">
        <v>3</v>
      </c>
      <c r="D1454" s="4" t="s">
        <v>57</v>
      </c>
      <c r="E1454" s="3" t="s">
        <v>98</v>
      </c>
      <c r="F1454" s="4" t="str">
        <f aca="false">IF(I1454&gt;J1454,"Y","N")</f>
        <v>N</v>
      </c>
      <c r="G1454" s="3" t="s">
        <v>287</v>
      </c>
      <c r="H1454" s="3" t="s">
        <v>26</v>
      </c>
      <c r="I1454" s="4" t="n">
        <v>1</v>
      </c>
      <c r="J1454" s="4" t="n">
        <f aca="false">LEN(E1454)-LEN(SUBSTITUTE(E1454,",",""))+1</f>
        <v>1</v>
      </c>
      <c r="K1454" s="3" t="str">
        <f aca="false">IFERROR(INDEX('Teacher Lookup'!$B$2:$B$200,MATCH(A1454,'Teacher Lookup'!$A$2:$A$200,0)),"")</f>
        <v>CHAN Brian</v>
      </c>
    </row>
    <row r="1455" customFormat="false" ht="15" hidden="false" customHeight="false" outlineLevel="0" collapsed="false">
      <c r="A1455" s="3" t="s">
        <v>283</v>
      </c>
      <c r="B1455" s="4" t="s">
        <v>40</v>
      </c>
      <c r="C1455" s="4" t="n">
        <v>4</v>
      </c>
      <c r="D1455" s="4" t="s">
        <v>52</v>
      </c>
      <c r="E1455" s="3" t="s">
        <v>286</v>
      </c>
      <c r="F1455" s="4" t="str">
        <f aca="false">IF(I1455&gt;J1455,"Y","N")</f>
        <v>N</v>
      </c>
      <c r="G1455" s="3" t="s">
        <v>287</v>
      </c>
      <c r="H1455" s="3" t="s">
        <v>34</v>
      </c>
      <c r="I1455" s="4" t="n">
        <v>1</v>
      </c>
      <c r="J1455" s="4" t="n">
        <f aca="false">LEN(E1455)-LEN(SUBSTITUTE(E1455,",",""))+1</f>
        <v>1</v>
      </c>
      <c r="K1455" s="3" t="str">
        <f aca="false">IFERROR(INDEX('Teacher Lookup'!$B$2:$B$200,MATCH(A1455,'Teacher Lookup'!$A$2:$A$200,0)),"")</f>
        <v>CHAN Brian</v>
      </c>
    </row>
    <row r="1456" customFormat="false" ht="15" hidden="false" customHeight="false" outlineLevel="0" collapsed="false">
      <c r="A1456" s="3" t="s">
        <v>283</v>
      </c>
      <c r="B1456" s="4" t="s">
        <v>40</v>
      </c>
      <c r="C1456" s="4" t="n">
        <v>6</v>
      </c>
      <c r="D1456" s="4" t="s">
        <v>140</v>
      </c>
      <c r="E1456" s="3" t="s">
        <v>289</v>
      </c>
      <c r="F1456" s="4" t="str">
        <f aca="false">IF(I1456&gt;J1456,"Y","N")</f>
        <v>N</v>
      </c>
      <c r="G1456" s="3" t="s">
        <v>285</v>
      </c>
      <c r="H1456" s="3" t="s">
        <v>42</v>
      </c>
      <c r="I1456" s="4" t="n">
        <v>1</v>
      </c>
      <c r="J1456" s="4" t="n">
        <f aca="false">LEN(E1456)-LEN(SUBSTITUTE(E1456,",",""))+1</f>
        <v>1</v>
      </c>
      <c r="K1456" s="3" t="str">
        <f aca="false">IFERROR(INDEX('Teacher Lookup'!$B$2:$B$200,MATCH(A1456,'Teacher Lookup'!$A$2:$A$200,0)),"")</f>
        <v>CHAN Brian</v>
      </c>
    </row>
    <row r="1457" customFormat="false" ht="15" hidden="false" customHeight="false" outlineLevel="0" collapsed="false">
      <c r="A1457" s="3" t="s">
        <v>283</v>
      </c>
      <c r="B1457" s="4" t="s">
        <v>44</v>
      </c>
      <c r="C1457" s="4" t="n">
        <v>5</v>
      </c>
      <c r="D1457" s="4" t="s">
        <v>228</v>
      </c>
      <c r="E1457" s="3" t="s">
        <v>229</v>
      </c>
      <c r="F1457" s="4" t="str">
        <f aca="false">IF(I1457&gt;J1457,"Y","N")</f>
        <v>Y</v>
      </c>
      <c r="G1457" s="3" t="s">
        <v>36</v>
      </c>
      <c r="H1457" s="3" t="s">
        <v>37</v>
      </c>
      <c r="I1457" s="4" t="n">
        <v>14</v>
      </c>
      <c r="J1457" s="4" t="n">
        <f aca="false">LEN(E1457)-LEN(SUBSTITUTE(E1457,",",""))+1</f>
        <v>6</v>
      </c>
      <c r="K1457" s="3" t="str">
        <f aca="false">IFERROR(INDEX('Teacher Lookup'!$B$2:$B$200,MATCH(A1457,'Teacher Lookup'!$A$2:$A$200,0)),"")</f>
        <v>CHAN Brian</v>
      </c>
    </row>
    <row r="1458" customFormat="false" ht="15" hidden="false" customHeight="false" outlineLevel="0" collapsed="false">
      <c r="A1458" s="3" t="s">
        <v>283</v>
      </c>
      <c r="B1458" s="4" t="s">
        <v>44</v>
      </c>
      <c r="C1458" s="4" t="n">
        <v>5</v>
      </c>
      <c r="D1458" s="4" t="s">
        <v>102</v>
      </c>
      <c r="E1458" s="3" t="s">
        <v>229</v>
      </c>
      <c r="F1458" s="4" t="str">
        <f aca="false">IF(I1458&gt;J1458,"Y","N")</f>
        <v>Y</v>
      </c>
      <c r="G1458" s="3" t="s">
        <v>36</v>
      </c>
      <c r="H1458" s="3" t="s">
        <v>37</v>
      </c>
      <c r="I1458" s="4" t="n">
        <v>14</v>
      </c>
      <c r="J1458" s="4" t="n">
        <f aca="false">LEN(E1458)-LEN(SUBSTITUTE(E1458,",",""))+1</f>
        <v>6</v>
      </c>
      <c r="K1458" s="3" t="str">
        <f aca="false">IFERROR(INDEX('Teacher Lookup'!$B$2:$B$200,MATCH(A1458,'Teacher Lookup'!$A$2:$A$200,0)),"")</f>
        <v>CHAN Brian</v>
      </c>
    </row>
    <row r="1459" customFormat="false" ht="15" hidden="false" customHeight="false" outlineLevel="0" collapsed="false">
      <c r="A1459" s="3" t="s">
        <v>283</v>
      </c>
      <c r="B1459" s="4" t="s">
        <v>44</v>
      </c>
      <c r="C1459" s="4" t="n">
        <v>5</v>
      </c>
      <c r="D1459" s="4" t="s">
        <v>105</v>
      </c>
      <c r="E1459" s="3" t="s">
        <v>229</v>
      </c>
      <c r="F1459" s="4" t="str">
        <f aca="false">IF(I1459&gt;J1459,"Y","N")</f>
        <v>Y</v>
      </c>
      <c r="G1459" s="3" t="s">
        <v>36</v>
      </c>
      <c r="H1459" s="3" t="s">
        <v>37</v>
      </c>
      <c r="I1459" s="4" t="n">
        <v>14</v>
      </c>
      <c r="J1459" s="4" t="n">
        <f aca="false">LEN(E1459)-LEN(SUBSTITUTE(E1459,",",""))+1</f>
        <v>6</v>
      </c>
      <c r="K1459" s="3" t="str">
        <f aca="false">IFERROR(INDEX('Teacher Lookup'!$B$2:$B$200,MATCH(A1459,'Teacher Lookup'!$A$2:$A$200,0)),"")</f>
        <v>CHAN Brian</v>
      </c>
    </row>
    <row r="1460" customFormat="false" ht="15" hidden="false" customHeight="false" outlineLevel="0" collapsed="false">
      <c r="A1460" s="3" t="s">
        <v>283</v>
      </c>
      <c r="B1460" s="4" t="s">
        <v>44</v>
      </c>
      <c r="C1460" s="4" t="n">
        <v>5</v>
      </c>
      <c r="D1460" s="4" t="s">
        <v>106</v>
      </c>
      <c r="E1460" s="3" t="s">
        <v>229</v>
      </c>
      <c r="F1460" s="4" t="str">
        <f aca="false">IF(I1460&gt;J1460,"Y","N")</f>
        <v>Y</v>
      </c>
      <c r="G1460" s="3" t="s">
        <v>36</v>
      </c>
      <c r="H1460" s="3" t="s">
        <v>37</v>
      </c>
      <c r="I1460" s="4" t="n">
        <v>14</v>
      </c>
      <c r="J1460" s="4" t="n">
        <f aca="false">LEN(E1460)-LEN(SUBSTITUTE(E1460,",",""))+1</f>
        <v>6</v>
      </c>
      <c r="K1460" s="3" t="str">
        <f aca="false">IFERROR(INDEX('Teacher Lookup'!$B$2:$B$200,MATCH(A1460,'Teacher Lookup'!$A$2:$A$200,0)),"")</f>
        <v>CHAN Brian</v>
      </c>
    </row>
    <row r="1461" customFormat="false" ht="15" hidden="false" customHeight="false" outlineLevel="0" collapsed="false">
      <c r="A1461" s="3" t="s">
        <v>283</v>
      </c>
      <c r="B1461" s="4" t="s">
        <v>44</v>
      </c>
      <c r="C1461" s="4" t="n">
        <v>5</v>
      </c>
      <c r="D1461" s="4" t="s">
        <v>107</v>
      </c>
      <c r="E1461" s="3" t="s">
        <v>229</v>
      </c>
      <c r="F1461" s="4" t="str">
        <f aca="false">IF(I1461&gt;J1461,"Y","N")</f>
        <v>Y</v>
      </c>
      <c r="G1461" s="3" t="s">
        <v>36</v>
      </c>
      <c r="H1461" s="3" t="s">
        <v>37</v>
      </c>
      <c r="I1461" s="4" t="n">
        <v>14</v>
      </c>
      <c r="J1461" s="4" t="n">
        <f aca="false">LEN(E1461)-LEN(SUBSTITUTE(E1461,",",""))+1</f>
        <v>6</v>
      </c>
      <c r="K1461" s="3" t="str">
        <f aca="false">IFERROR(INDEX('Teacher Lookup'!$B$2:$B$200,MATCH(A1461,'Teacher Lookup'!$A$2:$A$200,0)),"")</f>
        <v>CHAN Brian</v>
      </c>
    </row>
    <row r="1462" customFormat="false" ht="15" hidden="false" customHeight="false" outlineLevel="0" collapsed="false">
      <c r="A1462" s="3" t="s">
        <v>283</v>
      </c>
      <c r="B1462" s="4" t="s">
        <v>44</v>
      </c>
      <c r="C1462" s="4" t="n">
        <v>6</v>
      </c>
      <c r="D1462" s="4" t="s">
        <v>139</v>
      </c>
      <c r="E1462" s="3" t="s">
        <v>284</v>
      </c>
      <c r="F1462" s="4" t="str">
        <f aca="false">IF(I1462&gt;J1462,"Y","N")</f>
        <v>N</v>
      </c>
      <c r="G1462" s="3" t="s">
        <v>285</v>
      </c>
      <c r="H1462" s="3" t="s">
        <v>42</v>
      </c>
      <c r="I1462" s="4" t="n">
        <v>1</v>
      </c>
      <c r="J1462" s="4" t="n">
        <f aca="false">LEN(E1462)-LEN(SUBSTITUTE(E1462,",",""))+1</f>
        <v>1</v>
      </c>
      <c r="K1462" s="3" t="str">
        <f aca="false">IFERROR(INDEX('Teacher Lookup'!$B$2:$B$200,MATCH(A1462,'Teacher Lookup'!$A$2:$A$200,0)),"")</f>
        <v>CHAN Brian</v>
      </c>
    </row>
    <row r="1463" customFormat="false" ht="15" hidden="false" customHeight="false" outlineLevel="0" collapsed="false">
      <c r="A1463" s="3" t="s">
        <v>283</v>
      </c>
      <c r="B1463" s="4" t="s">
        <v>44</v>
      </c>
      <c r="C1463" s="4" t="n">
        <v>7</v>
      </c>
      <c r="D1463" s="4" t="s">
        <v>290</v>
      </c>
      <c r="E1463" s="3" t="s">
        <v>291</v>
      </c>
      <c r="F1463" s="4" t="str">
        <f aca="false">IF(I1463&gt;J1463,"Y","N")</f>
        <v>Y</v>
      </c>
      <c r="G1463" s="3" t="s">
        <v>287</v>
      </c>
      <c r="H1463" s="3" t="s">
        <v>39</v>
      </c>
      <c r="I1463" s="4" t="n">
        <v>2</v>
      </c>
      <c r="J1463" s="4" t="n">
        <f aca="false">LEN(E1463)-LEN(SUBSTITUTE(E1463,",",""))+1</f>
        <v>1</v>
      </c>
      <c r="K1463" s="3" t="str">
        <f aca="false">IFERROR(INDEX('Teacher Lookup'!$B$2:$B$200,MATCH(A1463,'Teacher Lookup'!$A$2:$A$200,0)),"")</f>
        <v>CHAN Brian</v>
      </c>
    </row>
    <row r="1464" customFormat="false" ht="15" hidden="false" customHeight="false" outlineLevel="0" collapsed="false">
      <c r="A1464" s="3" t="s">
        <v>283</v>
      </c>
      <c r="B1464" s="4" t="s">
        <v>47</v>
      </c>
      <c r="C1464" s="4" t="n">
        <v>1</v>
      </c>
      <c r="D1464" s="4" t="s">
        <v>52</v>
      </c>
      <c r="E1464" s="3" t="s">
        <v>286</v>
      </c>
      <c r="F1464" s="4" t="str">
        <f aca="false">IF(I1464&gt;J1464,"Y","N")</f>
        <v>N</v>
      </c>
      <c r="G1464" s="3" t="s">
        <v>287</v>
      </c>
      <c r="H1464" s="3" t="s">
        <v>16</v>
      </c>
      <c r="I1464" s="4" t="n">
        <v>1</v>
      </c>
      <c r="J1464" s="4" t="n">
        <f aca="false">LEN(E1464)-LEN(SUBSTITUTE(E1464,",",""))+1</f>
        <v>1</v>
      </c>
      <c r="K1464" s="3" t="str">
        <f aca="false">IFERROR(INDEX('Teacher Lookup'!$B$2:$B$200,MATCH(A1464,'Teacher Lookup'!$A$2:$A$200,0)),"")</f>
        <v>CHAN Brian</v>
      </c>
    </row>
    <row r="1465" customFormat="false" ht="15" hidden="false" customHeight="false" outlineLevel="0" collapsed="false">
      <c r="A1465" s="3" t="s">
        <v>283</v>
      </c>
      <c r="B1465" s="4" t="s">
        <v>47</v>
      </c>
      <c r="C1465" s="4" t="n">
        <v>1</v>
      </c>
      <c r="D1465" s="4" t="s">
        <v>290</v>
      </c>
      <c r="E1465" s="3" t="s">
        <v>292</v>
      </c>
      <c r="F1465" s="4" t="str">
        <f aca="false">IF(I1465&gt;J1465,"Y","N")</f>
        <v>Y</v>
      </c>
      <c r="G1465" s="3" t="s">
        <v>287</v>
      </c>
      <c r="H1465" s="3" t="s">
        <v>16</v>
      </c>
      <c r="I1465" s="4" t="n">
        <v>2</v>
      </c>
      <c r="J1465" s="4" t="n">
        <f aca="false">LEN(E1465)-LEN(SUBSTITUTE(E1465,",",""))+1</f>
        <v>1</v>
      </c>
      <c r="K1465" s="3" t="str">
        <f aca="false">IFERROR(INDEX('Teacher Lookup'!$B$2:$B$200,MATCH(A1465,'Teacher Lookup'!$A$2:$A$200,0)),"")</f>
        <v>CHAN Brian</v>
      </c>
    </row>
    <row r="1466" customFormat="false" ht="15" hidden="false" customHeight="false" outlineLevel="0" collapsed="false">
      <c r="A1466" s="3" t="s">
        <v>283</v>
      </c>
      <c r="B1466" s="4" t="s">
        <v>50</v>
      </c>
      <c r="C1466" s="4" t="n">
        <v>1</v>
      </c>
      <c r="D1466" s="4" t="s">
        <v>132</v>
      </c>
      <c r="E1466" s="3" t="s">
        <v>293</v>
      </c>
      <c r="F1466" s="4" t="str">
        <f aca="false">IF(I1466&gt;J1466,"Y","N")</f>
        <v>Y</v>
      </c>
      <c r="G1466" s="3" t="s">
        <v>287</v>
      </c>
      <c r="H1466" s="3" t="s">
        <v>16</v>
      </c>
      <c r="I1466" s="4" t="n">
        <v>2</v>
      </c>
      <c r="J1466" s="4" t="n">
        <f aca="false">LEN(E1466)-LEN(SUBSTITUTE(E1466,",",""))+1</f>
        <v>1</v>
      </c>
      <c r="K1466" s="3" t="str">
        <f aca="false">IFERROR(INDEX('Teacher Lookup'!$B$2:$B$200,MATCH(A1466,'Teacher Lookup'!$A$2:$A$200,0)),"")</f>
        <v>CHAN Brian</v>
      </c>
    </row>
    <row r="1467" customFormat="false" ht="15" hidden="false" customHeight="false" outlineLevel="0" collapsed="false">
      <c r="A1467" s="3" t="s">
        <v>283</v>
      </c>
      <c r="B1467" s="4" t="s">
        <v>50</v>
      </c>
      <c r="C1467" s="4" t="n">
        <v>6</v>
      </c>
      <c r="D1467" s="4" t="s">
        <v>52</v>
      </c>
      <c r="E1467" s="3" t="s">
        <v>53</v>
      </c>
      <c r="F1467" s="4" t="str">
        <f aca="false">IF(I1467&gt;J1467,"Y","N")</f>
        <v>N</v>
      </c>
      <c r="G1467" s="3" t="s">
        <v>54</v>
      </c>
      <c r="H1467" s="3" t="s">
        <v>42</v>
      </c>
      <c r="I1467" s="4" t="n">
        <v>7</v>
      </c>
      <c r="J1467" s="4" t="n">
        <f aca="false">LEN(E1467)-LEN(SUBSTITUTE(E1467,",",""))+1</f>
        <v>7</v>
      </c>
      <c r="K1467" s="3" t="str">
        <f aca="false">IFERROR(INDEX('Teacher Lookup'!$B$2:$B$200,MATCH(A1467,'Teacher Lookup'!$A$2:$A$200,0)),"")</f>
        <v>CHAN Brian</v>
      </c>
    </row>
    <row r="1468" customFormat="false" ht="15" hidden="false" customHeight="false" outlineLevel="0" collapsed="false">
      <c r="A1468" s="3" t="s">
        <v>283</v>
      </c>
      <c r="B1468" s="4" t="s">
        <v>50</v>
      </c>
      <c r="C1468" s="4" t="n">
        <v>6</v>
      </c>
      <c r="D1468" s="4" t="s">
        <v>55</v>
      </c>
      <c r="E1468" s="3" t="s">
        <v>53</v>
      </c>
      <c r="F1468" s="4" t="str">
        <f aca="false">IF(I1468&gt;J1468,"Y","N")</f>
        <v>N</v>
      </c>
      <c r="G1468" s="3" t="s">
        <v>54</v>
      </c>
      <c r="H1468" s="3" t="s">
        <v>42</v>
      </c>
      <c r="I1468" s="4" t="n">
        <v>7</v>
      </c>
      <c r="J1468" s="4" t="n">
        <f aca="false">LEN(E1468)-LEN(SUBSTITUTE(E1468,",",""))+1</f>
        <v>7</v>
      </c>
      <c r="K1468" s="3" t="str">
        <f aca="false">IFERROR(INDEX('Teacher Lookup'!$B$2:$B$200,MATCH(A1468,'Teacher Lookup'!$A$2:$A$200,0)),"")</f>
        <v>CHAN Brian</v>
      </c>
    </row>
    <row r="1469" customFormat="false" ht="15" hidden="false" customHeight="false" outlineLevel="0" collapsed="false">
      <c r="A1469" s="3" t="s">
        <v>283</v>
      </c>
      <c r="B1469" s="4" t="s">
        <v>50</v>
      </c>
      <c r="C1469" s="4" t="n">
        <v>6</v>
      </c>
      <c r="D1469" s="4" t="s">
        <v>56</v>
      </c>
      <c r="E1469" s="3" t="s">
        <v>53</v>
      </c>
      <c r="F1469" s="4" t="str">
        <f aca="false">IF(I1469&gt;J1469,"Y","N")</f>
        <v>N</v>
      </c>
      <c r="G1469" s="3" t="s">
        <v>54</v>
      </c>
      <c r="H1469" s="3" t="s">
        <v>42</v>
      </c>
      <c r="I1469" s="4" t="n">
        <v>7</v>
      </c>
      <c r="J1469" s="4" t="n">
        <f aca="false">LEN(E1469)-LEN(SUBSTITUTE(E1469,",",""))+1</f>
        <v>7</v>
      </c>
      <c r="K1469" s="3" t="str">
        <f aca="false">IFERROR(INDEX('Teacher Lookup'!$B$2:$B$200,MATCH(A1469,'Teacher Lookup'!$A$2:$A$200,0)),"")</f>
        <v>CHAN Brian</v>
      </c>
    </row>
    <row r="1470" customFormat="false" ht="15" hidden="false" customHeight="false" outlineLevel="0" collapsed="false">
      <c r="A1470" s="3" t="s">
        <v>283</v>
      </c>
      <c r="B1470" s="4" t="s">
        <v>50</v>
      </c>
      <c r="C1470" s="4" t="n">
        <v>6</v>
      </c>
      <c r="D1470" s="4" t="s">
        <v>57</v>
      </c>
      <c r="E1470" s="3" t="s">
        <v>53</v>
      </c>
      <c r="F1470" s="4" t="str">
        <f aca="false">IF(I1470&gt;J1470,"Y","N")</f>
        <v>N</v>
      </c>
      <c r="G1470" s="3" t="s">
        <v>54</v>
      </c>
      <c r="H1470" s="3" t="s">
        <v>42</v>
      </c>
      <c r="I1470" s="4" t="n">
        <v>7</v>
      </c>
      <c r="J1470" s="4" t="n">
        <f aca="false">LEN(E1470)-LEN(SUBSTITUTE(E1470,",",""))+1</f>
        <v>7</v>
      </c>
      <c r="K1470" s="3" t="str">
        <f aca="false">IFERROR(INDEX('Teacher Lookup'!$B$2:$B$200,MATCH(A1470,'Teacher Lookup'!$A$2:$A$200,0)),"")</f>
        <v>CHAN Brian</v>
      </c>
    </row>
    <row r="1471" customFormat="false" ht="15" hidden="false" customHeight="false" outlineLevel="0" collapsed="false">
      <c r="A1471" s="3" t="s">
        <v>283</v>
      </c>
      <c r="B1471" s="4" t="s">
        <v>50</v>
      </c>
      <c r="C1471" s="4" t="n">
        <v>6</v>
      </c>
      <c r="D1471" s="4" t="s">
        <v>58</v>
      </c>
      <c r="E1471" s="3" t="s">
        <v>53</v>
      </c>
      <c r="F1471" s="4" t="str">
        <f aca="false">IF(I1471&gt;J1471,"Y","N")</f>
        <v>N</v>
      </c>
      <c r="G1471" s="3" t="s">
        <v>54</v>
      </c>
      <c r="H1471" s="3" t="s">
        <v>42</v>
      </c>
      <c r="I1471" s="4" t="n">
        <v>7</v>
      </c>
      <c r="J1471" s="4" t="n">
        <f aca="false">LEN(E1471)-LEN(SUBSTITUTE(E1471,",",""))+1</f>
        <v>7</v>
      </c>
      <c r="K1471" s="3" t="str">
        <f aca="false">IFERROR(INDEX('Teacher Lookup'!$B$2:$B$200,MATCH(A1471,'Teacher Lookup'!$A$2:$A$200,0)),"")</f>
        <v>CHAN Brian</v>
      </c>
    </row>
    <row r="1472" customFormat="false" ht="15" hidden="false" customHeight="false" outlineLevel="0" collapsed="false">
      <c r="A1472" s="3" t="s">
        <v>283</v>
      </c>
      <c r="B1472" s="4" t="s">
        <v>50</v>
      </c>
      <c r="C1472" s="4" t="n">
        <v>6</v>
      </c>
      <c r="D1472" s="4" t="s">
        <v>59</v>
      </c>
      <c r="E1472" s="3" t="s">
        <v>53</v>
      </c>
      <c r="F1472" s="4" t="str">
        <f aca="false">IF(I1472&gt;J1472,"Y","N")</f>
        <v>N</v>
      </c>
      <c r="G1472" s="3" t="s">
        <v>54</v>
      </c>
      <c r="H1472" s="3" t="s">
        <v>42</v>
      </c>
      <c r="I1472" s="4" t="n">
        <v>7</v>
      </c>
      <c r="J1472" s="4" t="n">
        <f aca="false">LEN(E1472)-LEN(SUBSTITUTE(E1472,",",""))+1</f>
        <v>7</v>
      </c>
      <c r="K1472" s="3" t="str">
        <f aca="false">IFERROR(INDEX('Teacher Lookup'!$B$2:$B$200,MATCH(A1472,'Teacher Lookup'!$A$2:$A$200,0)),"")</f>
        <v>CHAN Brian</v>
      </c>
    </row>
    <row r="1473" customFormat="false" ht="15" hidden="false" customHeight="false" outlineLevel="0" collapsed="false">
      <c r="A1473" s="3" t="s">
        <v>283</v>
      </c>
      <c r="B1473" s="4" t="s">
        <v>50</v>
      </c>
      <c r="C1473" s="4" t="n">
        <v>7</v>
      </c>
      <c r="D1473" s="4" t="s">
        <v>52</v>
      </c>
      <c r="E1473" s="3" t="s">
        <v>53</v>
      </c>
      <c r="F1473" s="4" t="str">
        <f aca="false">IF(I1473&gt;J1473,"Y","N")</f>
        <v>N</v>
      </c>
      <c r="G1473" s="3" t="s">
        <v>54</v>
      </c>
      <c r="H1473" s="3" t="s">
        <v>39</v>
      </c>
      <c r="I1473" s="4" t="n">
        <v>7</v>
      </c>
      <c r="J1473" s="4" t="n">
        <f aca="false">LEN(E1473)-LEN(SUBSTITUTE(E1473,",",""))+1</f>
        <v>7</v>
      </c>
      <c r="K1473" s="3" t="str">
        <f aca="false">IFERROR(INDEX('Teacher Lookup'!$B$2:$B$200,MATCH(A1473,'Teacher Lookup'!$A$2:$A$200,0)),"")</f>
        <v>CHAN Brian</v>
      </c>
    </row>
    <row r="1474" customFormat="false" ht="15" hidden="false" customHeight="false" outlineLevel="0" collapsed="false">
      <c r="A1474" s="3" t="s">
        <v>283</v>
      </c>
      <c r="B1474" s="4" t="s">
        <v>50</v>
      </c>
      <c r="C1474" s="4" t="n">
        <v>7</v>
      </c>
      <c r="D1474" s="4" t="s">
        <v>55</v>
      </c>
      <c r="E1474" s="3" t="s">
        <v>53</v>
      </c>
      <c r="F1474" s="4" t="str">
        <f aca="false">IF(I1474&gt;J1474,"Y","N")</f>
        <v>N</v>
      </c>
      <c r="G1474" s="3" t="s">
        <v>54</v>
      </c>
      <c r="H1474" s="3" t="s">
        <v>39</v>
      </c>
      <c r="I1474" s="4" t="n">
        <v>7</v>
      </c>
      <c r="J1474" s="4" t="n">
        <f aca="false">LEN(E1474)-LEN(SUBSTITUTE(E1474,",",""))+1</f>
        <v>7</v>
      </c>
      <c r="K1474" s="3" t="str">
        <f aca="false">IFERROR(INDEX('Teacher Lookup'!$B$2:$B$200,MATCH(A1474,'Teacher Lookup'!$A$2:$A$200,0)),"")</f>
        <v>CHAN Brian</v>
      </c>
    </row>
    <row r="1475" customFormat="false" ht="15" hidden="false" customHeight="false" outlineLevel="0" collapsed="false">
      <c r="A1475" s="3" t="s">
        <v>283</v>
      </c>
      <c r="B1475" s="4" t="s">
        <v>50</v>
      </c>
      <c r="C1475" s="4" t="n">
        <v>7</v>
      </c>
      <c r="D1475" s="4" t="s">
        <v>56</v>
      </c>
      <c r="E1475" s="3" t="s">
        <v>53</v>
      </c>
      <c r="F1475" s="4" t="str">
        <f aca="false">IF(I1475&gt;J1475,"Y","N")</f>
        <v>N</v>
      </c>
      <c r="G1475" s="3" t="s">
        <v>54</v>
      </c>
      <c r="H1475" s="3" t="s">
        <v>39</v>
      </c>
      <c r="I1475" s="4" t="n">
        <v>7</v>
      </c>
      <c r="J1475" s="4" t="n">
        <f aca="false">LEN(E1475)-LEN(SUBSTITUTE(E1475,",",""))+1</f>
        <v>7</v>
      </c>
      <c r="K1475" s="3" t="str">
        <f aca="false">IFERROR(INDEX('Teacher Lookup'!$B$2:$B$200,MATCH(A1475,'Teacher Lookup'!$A$2:$A$200,0)),"")</f>
        <v>CHAN Brian</v>
      </c>
    </row>
    <row r="1476" customFormat="false" ht="15" hidden="false" customHeight="false" outlineLevel="0" collapsed="false">
      <c r="A1476" s="3" t="s">
        <v>283</v>
      </c>
      <c r="B1476" s="4" t="s">
        <v>50</v>
      </c>
      <c r="C1476" s="4" t="n">
        <v>7</v>
      </c>
      <c r="D1476" s="4" t="s">
        <v>57</v>
      </c>
      <c r="E1476" s="3" t="s">
        <v>53</v>
      </c>
      <c r="F1476" s="4" t="str">
        <f aca="false">IF(I1476&gt;J1476,"Y","N")</f>
        <v>N</v>
      </c>
      <c r="G1476" s="3" t="s">
        <v>54</v>
      </c>
      <c r="H1476" s="3" t="s">
        <v>39</v>
      </c>
      <c r="I1476" s="4" t="n">
        <v>7</v>
      </c>
      <c r="J1476" s="4" t="n">
        <f aca="false">LEN(E1476)-LEN(SUBSTITUTE(E1476,",",""))+1</f>
        <v>7</v>
      </c>
      <c r="K1476" s="3" t="str">
        <f aca="false">IFERROR(INDEX('Teacher Lookup'!$B$2:$B$200,MATCH(A1476,'Teacher Lookup'!$A$2:$A$200,0)),"")</f>
        <v>CHAN Brian</v>
      </c>
    </row>
    <row r="1477" customFormat="false" ht="15" hidden="false" customHeight="false" outlineLevel="0" collapsed="false">
      <c r="A1477" s="3" t="s">
        <v>283</v>
      </c>
      <c r="B1477" s="4" t="s">
        <v>50</v>
      </c>
      <c r="C1477" s="4" t="n">
        <v>7</v>
      </c>
      <c r="D1477" s="4" t="s">
        <v>58</v>
      </c>
      <c r="E1477" s="3" t="s">
        <v>53</v>
      </c>
      <c r="F1477" s="4" t="str">
        <f aca="false">IF(I1477&gt;J1477,"Y","N")</f>
        <v>N</v>
      </c>
      <c r="G1477" s="3" t="s">
        <v>54</v>
      </c>
      <c r="H1477" s="3" t="s">
        <v>39</v>
      </c>
      <c r="I1477" s="4" t="n">
        <v>7</v>
      </c>
      <c r="J1477" s="4" t="n">
        <f aca="false">LEN(E1477)-LEN(SUBSTITUTE(E1477,",",""))+1</f>
        <v>7</v>
      </c>
      <c r="K1477" s="3" t="str">
        <f aca="false">IFERROR(INDEX('Teacher Lookup'!$B$2:$B$200,MATCH(A1477,'Teacher Lookup'!$A$2:$A$200,0)),"")</f>
        <v>CHAN Brian</v>
      </c>
    </row>
    <row r="1478" customFormat="false" ht="15" hidden="false" customHeight="false" outlineLevel="0" collapsed="false">
      <c r="A1478" s="3" t="s">
        <v>283</v>
      </c>
      <c r="B1478" s="4" t="s">
        <v>50</v>
      </c>
      <c r="C1478" s="4" t="n">
        <v>7</v>
      </c>
      <c r="D1478" s="4" t="s">
        <v>59</v>
      </c>
      <c r="E1478" s="3" t="s">
        <v>53</v>
      </c>
      <c r="F1478" s="4" t="str">
        <f aca="false">IF(I1478&gt;J1478,"Y","N")</f>
        <v>N</v>
      </c>
      <c r="G1478" s="3" t="s">
        <v>54</v>
      </c>
      <c r="H1478" s="3" t="s">
        <v>39</v>
      </c>
      <c r="I1478" s="4" t="n">
        <v>7</v>
      </c>
      <c r="J1478" s="4" t="n">
        <f aca="false">LEN(E1478)-LEN(SUBSTITUTE(E1478,",",""))+1</f>
        <v>7</v>
      </c>
      <c r="K1478" s="3" t="str">
        <f aca="false">IFERROR(INDEX('Teacher Lookup'!$B$2:$B$200,MATCH(A1478,'Teacher Lookup'!$A$2:$A$200,0)),"")</f>
        <v>CHAN Brian</v>
      </c>
    </row>
    <row r="1479" customFormat="false" ht="15" hidden="false" customHeight="false" outlineLevel="0" collapsed="false">
      <c r="A1479" s="3" t="s">
        <v>283</v>
      </c>
      <c r="B1479" s="4" t="s">
        <v>60</v>
      </c>
      <c r="C1479" s="4" t="n">
        <v>5</v>
      </c>
      <c r="D1479" s="4" t="s">
        <v>228</v>
      </c>
      <c r="E1479" s="3" t="s">
        <v>229</v>
      </c>
      <c r="F1479" s="4" t="str">
        <f aca="false">IF(I1479&gt;J1479,"Y","N")</f>
        <v>Y</v>
      </c>
      <c r="G1479" s="3" t="s">
        <v>36</v>
      </c>
      <c r="H1479" s="3" t="s">
        <v>37</v>
      </c>
      <c r="I1479" s="4" t="n">
        <v>14</v>
      </c>
      <c r="J1479" s="4" t="n">
        <f aca="false">LEN(E1479)-LEN(SUBSTITUTE(E1479,",",""))+1</f>
        <v>6</v>
      </c>
      <c r="K1479" s="3" t="str">
        <f aca="false">IFERROR(INDEX('Teacher Lookup'!$B$2:$B$200,MATCH(A1479,'Teacher Lookup'!$A$2:$A$200,0)),"")</f>
        <v>CHAN Brian</v>
      </c>
    </row>
    <row r="1480" customFormat="false" ht="15" hidden="false" customHeight="false" outlineLevel="0" collapsed="false">
      <c r="A1480" s="3" t="s">
        <v>283</v>
      </c>
      <c r="B1480" s="4" t="s">
        <v>60</v>
      </c>
      <c r="C1480" s="4" t="n">
        <v>5</v>
      </c>
      <c r="D1480" s="4" t="s">
        <v>102</v>
      </c>
      <c r="E1480" s="3" t="s">
        <v>229</v>
      </c>
      <c r="F1480" s="4" t="str">
        <f aca="false">IF(I1480&gt;J1480,"Y","N")</f>
        <v>Y</v>
      </c>
      <c r="G1480" s="3" t="s">
        <v>36</v>
      </c>
      <c r="H1480" s="3" t="s">
        <v>37</v>
      </c>
      <c r="I1480" s="4" t="n">
        <v>14</v>
      </c>
      <c r="J1480" s="4" t="n">
        <f aca="false">LEN(E1480)-LEN(SUBSTITUTE(E1480,",",""))+1</f>
        <v>6</v>
      </c>
      <c r="K1480" s="3" t="str">
        <f aca="false">IFERROR(INDEX('Teacher Lookup'!$B$2:$B$200,MATCH(A1480,'Teacher Lookup'!$A$2:$A$200,0)),"")</f>
        <v>CHAN Brian</v>
      </c>
    </row>
    <row r="1481" customFormat="false" ht="15" hidden="false" customHeight="false" outlineLevel="0" collapsed="false">
      <c r="A1481" s="3" t="s">
        <v>283</v>
      </c>
      <c r="B1481" s="4" t="s">
        <v>60</v>
      </c>
      <c r="C1481" s="4" t="n">
        <v>5</v>
      </c>
      <c r="D1481" s="4" t="s">
        <v>105</v>
      </c>
      <c r="E1481" s="3" t="s">
        <v>229</v>
      </c>
      <c r="F1481" s="4" t="str">
        <f aca="false">IF(I1481&gt;J1481,"Y","N")</f>
        <v>Y</v>
      </c>
      <c r="G1481" s="3" t="s">
        <v>36</v>
      </c>
      <c r="H1481" s="3" t="s">
        <v>37</v>
      </c>
      <c r="I1481" s="4" t="n">
        <v>14</v>
      </c>
      <c r="J1481" s="4" t="n">
        <f aca="false">LEN(E1481)-LEN(SUBSTITUTE(E1481,",",""))+1</f>
        <v>6</v>
      </c>
      <c r="K1481" s="3" t="str">
        <f aca="false">IFERROR(INDEX('Teacher Lookup'!$B$2:$B$200,MATCH(A1481,'Teacher Lookup'!$A$2:$A$200,0)),"")</f>
        <v>CHAN Brian</v>
      </c>
    </row>
    <row r="1482" customFormat="false" ht="15" hidden="false" customHeight="false" outlineLevel="0" collapsed="false">
      <c r="A1482" s="3" t="s">
        <v>283</v>
      </c>
      <c r="B1482" s="4" t="s">
        <v>60</v>
      </c>
      <c r="C1482" s="4" t="n">
        <v>5</v>
      </c>
      <c r="D1482" s="4" t="s">
        <v>106</v>
      </c>
      <c r="E1482" s="3" t="s">
        <v>229</v>
      </c>
      <c r="F1482" s="4" t="str">
        <f aca="false">IF(I1482&gt;J1482,"Y","N")</f>
        <v>Y</v>
      </c>
      <c r="G1482" s="3" t="s">
        <v>36</v>
      </c>
      <c r="H1482" s="3" t="s">
        <v>37</v>
      </c>
      <c r="I1482" s="4" t="n">
        <v>14</v>
      </c>
      <c r="J1482" s="4" t="n">
        <f aca="false">LEN(E1482)-LEN(SUBSTITUTE(E1482,",",""))+1</f>
        <v>6</v>
      </c>
      <c r="K1482" s="3" t="str">
        <f aca="false">IFERROR(INDEX('Teacher Lookup'!$B$2:$B$200,MATCH(A1482,'Teacher Lookup'!$A$2:$A$200,0)),"")</f>
        <v>CHAN Brian</v>
      </c>
    </row>
    <row r="1483" customFormat="false" ht="15" hidden="false" customHeight="false" outlineLevel="0" collapsed="false">
      <c r="A1483" s="3" t="s">
        <v>283</v>
      </c>
      <c r="B1483" s="4" t="s">
        <v>60</v>
      </c>
      <c r="C1483" s="4" t="n">
        <v>5</v>
      </c>
      <c r="D1483" s="4" t="s">
        <v>107</v>
      </c>
      <c r="E1483" s="3" t="s">
        <v>229</v>
      </c>
      <c r="F1483" s="4" t="str">
        <f aca="false">IF(I1483&gt;J1483,"Y","N")</f>
        <v>Y</v>
      </c>
      <c r="G1483" s="3" t="s">
        <v>36</v>
      </c>
      <c r="H1483" s="3" t="s">
        <v>37</v>
      </c>
      <c r="I1483" s="4" t="n">
        <v>14</v>
      </c>
      <c r="J1483" s="4" t="n">
        <f aca="false">LEN(E1483)-LEN(SUBSTITUTE(E1483,",",""))+1</f>
        <v>6</v>
      </c>
      <c r="K1483" s="3" t="str">
        <f aca="false">IFERROR(INDEX('Teacher Lookup'!$B$2:$B$200,MATCH(A1483,'Teacher Lookup'!$A$2:$A$200,0)),"")</f>
        <v>CHAN Brian</v>
      </c>
    </row>
    <row r="1484" customFormat="false" ht="15" hidden="false" customHeight="false" outlineLevel="0" collapsed="false">
      <c r="A1484" s="3" t="s">
        <v>283</v>
      </c>
      <c r="B1484" s="4" t="s">
        <v>60</v>
      </c>
      <c r="C1484" s="4" t="n">
        <v>7</v>
      </c>
      <c r="D1484" s="4" t="s">
        <v>139</v>
      </c>
      <c r="E1484" s="3" t="s">
        <v>284</v>
      </c>
      <c r="F1484" s="4" t="str">
        <f aca="false">IF(I1484&gt;J1484,"Y","N")</f>
        <v>N</v>
      </c>
      <c r="G1484" s="3" t="s">
        <v>285</v>
      </c>
      <c r="H1484" s="3" t="s">
        <v>39</v>
      </c>
      <c r="I1484" s="4" t="n">
        <v>1</v>
      </c>
      <c r="J1484" s="4" t="n">
        <f aca="false">LEN(E1484)-LEN(SUBSTITUTE(E1484,",",""))+1</f>
        <v>1</v>
      </c>
      <c r="K1484" s="3" t="str">
        <f aca="false">IFERROR(INDEX('Teacher Lookup'!$B$2:$B$200,MATCH(A1484,'Teacher Lookup'!$A$2:$A$200,0)),"")</f>
        <v>CHAN Brian</v>
      </c>
    </row>
    <row r="1485" customFormat="false" ht="15" hidden="false" customHeight="false" outlineLevel="0" collapsed="false">
      <c r="A1485" s="3" t="s">
        <v>283</v>
      </c>
      <c r="B1485" s="4" t="s">
        <v>63</v>
      </c>
      <c r="C1485" s="4" t="n">
        <v>3</v>
      </c>
      <c r="D1485" s="4" t="s">
        <v>57</v>
      </c>
      <c r="E1485" s="3" t="s">
        <v>98</v>
      </c>
      <c r="F1485" s="4" t="str">
        <f aca="false">IF(I1485&gt;J1485,"Y","N")</f>
        <v>N</v>
      </c>
      <c r="G1485" s="3" t="s">
        <v>287</v>
      </c>
      <c r="H1485" s="3" t="s">
        <v>26</v>
      </c>
      <c r="I1485" s="4" t="n">
        <v>1</v>
      </c>
      <c r="J1485" s="4" t="n">
        <f aca="false">LEN(E1485)-LEN(SUBSTITUTE(E1485,",",""))+1</f>
        <v>1</v>
      </c>
      <c r="K1485" s="3" t="str">
        <f aca="false">IFERROR(INDEX('Teacher Lookup'!$B$2:$B$200,MATCH(A1485,'Teacher Lookup'!$A$2:$A$200,0)),"")</f>
        <v>CHAN Brian</v>
      </c>
    </row>
    <row r="1486" customFormat="false" ht="15" hidden="false" customHeight="false" outlineLevel="0" collapsed="false">
      <c r="A1486" s="3" t="s">
        <v>283</v>
      </c>
      <c r="B1486" s="4" t="s">
        <v>63</v>
      </c>
      <c r="C1486" s="4" t="n">
        <v>4</v>
      </c>
      <c r="D1486" s="4" t="s">
        <v>124</v>
      </c>
      <c r="E1486" s="3" t="s">
        <v>288</v>
      </c>
      <c r="F1486" s="4" t="str">
        <f aca="false">IF(I1486&gt;J1486,"Y","N")</f>
        <v>N</v>
      </c>
      <c r="G1486" s="3" t="s">
        <v>285</v>
      </c>
      <c r="H1486" s="3" t="s">
        <v>34</v>
      </c>
      <c r="I1486" s="4" t="n">
        <v>1</v>
      </c>
      <c r="J1486" s="4" t="n">
        <f aca="false">LEN(E1486)-LEN(SUBSTITUTE(E1486,",",""))+1</f>
        <v>1</v>
      </c>
      <c r="K1486" s="3" t="str">
        <f aca="false">IFERROR(INDEX('Teacher Lookup'!$B$2:$B$200,MATCH(A1486,'Teacher Lookup'!$A$2:$A$200,0)),"")</f>
        <v>CHAN Brian</v>
      </c>
    </row>
    <row r="1487" customFormat="false" ht="15" hidden="false" customHeight="false" outlineLevel="0" collapsed="false">
      <c r="A1487" s="3" t="s">
        <v>283</v>
      </c>
      <c r="B1487" s="4" t="s">
        <v>63</v>
      </c>
      <c r="C1487" s="4" t="n">
        <v>5</v>
      </c>
      <c r="D1487" s="4" t="s">
        <v>127</v>
      </c>
      <c r="E1487" s="3" t="s">
        <v>128</v>
      </c>
      <c r="F1487" s="4" t="str">
        <f aca="false">IF(I1487&gt;J1487,"Y","N")</f>
        <v>N</v>
      </c>
      <c r="G1487" s="3" t="s">
        <v>285</v>
      </c>
      <c r="H1487" s="3" t="s">
        <v>37</v>
      </c>
      <c r="I1487" s="4" t="n">
        <v>1</v>
      </c>
      <c r="J1487" s="4" t="n">
        <f aca="false">LEN(E1487)-LEN(SUBSTITUTE(E1487,",",""))+1</f>
        <v>1</v>
      </c>
      <c r="K1487" s="3" t="str">
        <f aca="false">IFERROR(INDEX('Teacher Lookup'!$B$2:$B$200,MATCH(A1487,'Teacher Lookup'!$A$2:$A$200,0)),"")</f>
        <v>CHAN Brian</v>
      </c>
    </row>
    <row r="1488" customFormat="false" ht="15" hidden="false" customHeight="false" outlineLevel="0" collapsed="false">
      <c r="A1488" s="3" t="s">
        <v>283</v>
      </c>
      <c r="B1488" s="4" t="s">
        <v>63</v>
      </c>
      <c r="C1488" s="4" t="n">
        <v>6</v>
      </c>
      <c r="D1488" s="4" t="s">
        <v>140</v>
      </c>
      <c r="E1488" s="3" t="s">
        <v>289</v>
      </c>
      <c r="F1488" s="4" t="str">
        <f aca="false">IF(I1488&gt;J1488,"Y","N")</f>
        <v>N</v>
      </c>
      <c r="G1488" s="3" t="s">
        <v>285</v>
      </c>
      <c r="H1488" s="3" t="s">
        <v>42</v>
      </c>
      <c r="I1488" s="4" t="n">
        <v>1</v>
      </c>
      <c r="J1488" s="4" t="n">
        <f aca="false">LEN(E1488)-LEN(SUBSTITUTE(E1488,",",""))+1</f>
        <v>1</v>
      </c>
      <c r="K1488" s="3" t="str">
        <f aca="false">IFERROR(INDEX('Teacher Lookup'!$B$2:$B$200,MATCH(A1488,'Teacher Lookup'!$A$2:$A$200,0)),"")</f>
        <v>CHAN Brian</v>
      </c>
    </row>
    <row r="1489" customFormat="false" ht="15" hidden="false" customHeight="false" outlineLevel="0" collapsed="false">
      <c r="A1489" s="3" t="s">
        <v>283</v>
      </c>
      <c r="B1489" s="4" t="s">
        <v>63</v>
      </c>
      <c r="C1489" s="4" t="n">
        <v>6</v>
      </c>
      <c r="D1489" s="4" t="s">
        <v>290</v>
      </c>
      <c r="E1489" s="3" t="s">
        <v>293</v>
      </c>
      <c r="F1489" s="4" t="str">
        <f aca="false">IF(I1489&gt;J1489,"Y","N")</f>
        <v>Y</v>
      </c>
      <c r="G1489" s="3" t="s">
        <v>287</v>
      </c>
      <c r="H1489" s="3" t="s">
        <v>42</v>
      </c>
      <c r="I1489" s="4" t="n">
        <v>2</v>
      </c>
      <c r="J1489" s="4" t="n">
        <f aca="false">LEN(E1489)-LEN(SUBSTITUTE(E1489,",",""))+1</f>
        <v>1</v>
      </c>
      <c r="K1489" s="3" t="str">
        <f aca="false">IFERROR(INDEX('Teacher Lookup'!$B$2:$B$200,MATCH(A1489,'Teacher Lookup'!$A$2:$A$200,0)),"")</f>
        <v>CHAN Brian</v>
      </c>
    </row>
    <row r="1490" customFormat="false" ht="15" hidden="false" customHeight="false" outlineLevel="0" collapsed="false">
      <c r="A1490" s="3" t="s">
        <v>283</v>
      </c>
      <c r="B1490" s="4" t="s">
        <v>65</v>
      </c>
      <c r="C1490" s="4" t="n">
        <v>4</v>
      </c>
      <c r="D1490" s="4" t="s">
        <v>132</v>
      </c>
      <c r="E1490" s="3" t="s">
        <v>293</v>
      </c>
      <c r="F1490" s="4" t="str">
        <f aca="false">IF(I1490&gt;J1490,"Y","N")</f>
        <v>Y</v>
      </c>
      <c r="G1490" s="3" t="s">
        <v>287</v>
      </c>
      <c r="H1490" s="3" t="s">
        <v>34</v>
      </c>
      <c r="I1490" s="4" t="n">
        <v>2</v>
      </c>
      <c r="J1490" s="4" t="n">
        <f aca="false">LEN(E1490)-LEN(SUBSTITUTE(E1490,",",""))+1</f>
        <v>1</v>
      </c>
      <c r="K1490" s="3" t="str">
        <f aca="false">IFERROR(INDEX('Teacher Lookup'!$B$2:$B$200,MATCH(A1490,'Teacher Lookup'!$A$2:$A$200,0)),"")</f>
        <v>CHAN Brian</v>
      </c>
    </row>
    <row r="1491" customFormat="false" ht="15" hidden="false" customHeight="false" outlineLevel="0" collapsed="false">
      <c r="A1491" s="3" t="s">
        <v>283</v>
      </c>
      <c r="B1491" s="4" t="s">
        <v>65</v>
      </c>
      <c r="C1491" s="4" t="n">
        <v>5</v>
      </c>
      <c r="D1491" s="4" t="s">
        <v>228</v>
      </c>
      <c r="E1491" s="3" t="s">
        <v>229</v>
      </c>
      <c r="F1491" s="4" t="str">
        <f aca="false">IF(I1491&gt;J1491,"Y","N")</f>
        <v>Y</v>
      </c>
      <c r="G1491" s="3" t="s">
        <v>36</v>
      </c>
      <c r="H1491" s="3" t="s">
        <v>37</v>
      </c>
      <c r="I1491" s="4" t="n">
        <v>14</v>
      </c>
      <c r="J1491" s="4" t="n">
        <f aca="false">LEN(E1491)-LEN(SUBSTITUTE(E1491,",",""))+1</f>
        <v>6</v>
      </c>
      <c r="K1491" s="3" t="str">
        <f aca="false">IFERROR(INDEX('Teacher Lookup'!$B$2:$B$200,MATCH(A1491,'Teacher Lookup'!$A$2:$A$200,0)),"")</f>
        <v>CHAN Brian</v>
      </c>
    </row>
    <row r="1492" customFormat="false" ht="15" hidden="false" customHeight="false" outlineLevel="0" collapsed="false">
      <c r="A1492" s="3" t="s">
        <v>283</v>
      </c>
      <c r="B1492" s="4" t="s">
        <v>65</v>
      </c>
      <c r="C1492" s="4" t="n">
        <v>5</v>
      </c>
      <c r="D1492" s="4" t="s">
        <v>102</v>
      </c>
      <c r="E1492" s="3" t="s">
        <v>229</v>
      </c>
      <c r="F1492" s="4" t="str">
        <f aca="false">IF(I1492&gt;J1492,"Y","N")</f>
        <v>Y</v>
      </c>
      <c r="G1492" s="3" t="s">
        <v>36</v>
      </c>
      <c r="H1492" s="3" t="s">
        <v>37</v>
      </c>
      <c r="I1492" s="4" t="n">
        <v>14</v>
      </c>
      <c r="J1492" s="4" t="n">
        <f aca="false">LEN(E1492)-LEN(SUBSTITUTE(E1492,",",""))+1</f>
        <v>6</v>
      </c>
      <c r="K1492" s="3" t="str">
        <f aca="false">IFERROR(INDEX('Teacher Lookup'!$B$2:$B$200,MATCH(A1492,'Teacher Lookup'!$A$2:$A$200,0)),"")</f>
        <v>CHAN Brian</v>
      </c>
    </row>
    <row r="1493" customFormat="false" ht="15" hidden="false" customHeight="false" outlineLevel="0" collapsed="false">
      <c r="A1493" s="3" t="s">
        <v>283</v>
      </c>
      <c r="B1493" s="4" t="s">
        <v>65</v>
      </c>
      <c r="C1493" s="4" t="n">
        <v>5</v>
      </c>
      <c r="D1493" s="4" t="s">
        <v>105</v>
      </c>
      <c r="E1493" s="3" t="s">
        <v>229</v>
      </c>
      <c r="F1493" s="4" t="str">
        <f aca="false">IF(I1493&gt;J1493,"Y","N")</f>
        <v>Y</v>
      </c>
      <c r="G1493" s="3" t="s">
        <v>36</v>
      </c>
      <c r="H1493" s="3" t="s">
        <v>37</v>
      </c>
      <c r="I1493" s="4" t="n">
        <v>14</v>
      </c>
      <c r="J1493" s="4" t="n">
        <f aca="false">LEN(E1493)-LEN(SUBSTITUTE(E1493,",",""))+1</f>
        <v>6</v>
      </c>
      <c r="K1493" s="3" t="str">
        <f aca="false">IFERROR(INDEX('Teacher Lookup'!$B$2:$B$200,MATCH(A1493,'Teacher Lookup'!$A$2:$A$200,0)),"")</f>
        <v>CHAN Brian</v>
      </c>
    </row>
    <row r="1494" customFormat="false" ht="15" hidden="false" customHeight="false" outlineLevel="0" collapsed="false">
      <c r="A1494" s="3" t="s">
        <v>283</v>
      </c>
      <c r="B1494" s="4" t="s">
        <v>65</v>
      </c>
      <c r="C1494" s="4" t="n">
        <v>5</v>
      </c>
      <c r="D1494" s="4" t="s">
        <v>106</v>
      </c>
      <c r="E1494" s="3" t="s">
        <v>229</v>
      </c>
      <c r="F1494" s="4" t="str">
        <f aca="false">IF(I1494&gt;J1494,"Y","N")</f>
        <v>Y</v>
      </c>
      <c r="G1494" s="3" t="s">
        <v>36</v>
      </c>
      <c r="H1494" s="3" t="s">
        <v>37</v>
      </c>
      <c r="I1494" s="4" t="n">
        <v>14</v>
      </c>
      <c r="J1494" s="4" t="n">
        <f aca="false">LEN(E1494)-LEN(SUBSTITUTE(E1494,",",""))+1</f>
        <v>6</v>
      </c>
      <c r="K1494" s="3" t="str">
        <f aca="false">IFERROR(INDEX('Teacher Lookup'!$B$2:$B$200,MATCH(A1494,'Teacher Lookup'!$A$2:$A$200,0)),"")</f>
        <v>CHAN Brian</v>
      </c>
    </row>
    <row r="1495" customFormat="false" ht="15" hidden="false" customHeight="false" outlineLevel="0" collapsed="false">
      <c r="A1495" s="3" t="s">
        <v>283</v>
      </c>
      <c r="B1495" s="4" t="s">
        <v>65</v>
      </c>
      <c r="C1495" s="4" t="n">
        <v>5</v>
      </c>
      <c r="D1495" s="4" t="s">
        <v>107</v>
      </c>
      <c r="E1495" s="3" t="s">
        <v>229</v>
      </c>
      <c r="F1495" s="4" t="str">
        <f aca="false">IF(I1495&gt;J1495,"Y","N")</f>
        <v>Y</v>
      </c>
      <c r="G1495" s="3" t="s">
        <v>36</v>
      </c>
      <c r="H1495" s="3" t="s">
        <v>37</v>
      </c>
      <c r="I1495" s="4" t="n">
        <v>14</v>
      </c>
      <c r="J1495" s="4" t="n">
        <f aca="false">LEN(E1495)-LEN(SUBSTITUTE(E1495,",",""))+1</f>
        <v>6</v>
      </c>
      <c r="K1495" s="3" t="str">
        <f aca="false">IFERROR(INDEX('Teacher Lookup'!$B$2:$B$200,MATCH(A1495,'Teacher Lookup'!$A$2:$A$200,0)),"")</f>
        <v>CHAN Brian</v>
      </c>
    </row>
    <row r="1496" customFormat="false" ht="15" hidden="false" customHeight="false" outlineLevel="0" collapsed="false">
      <c r="A1496" s="3" t="s">
        <v>283</v>
      </c>
      <c r="B1496" s="4" t="s">
        <v>65</v>
      </c>
      <c r="C1496" s="4" t="n">
        <v>7</v>
      </c>
      <c r="D1496" s="4" t="s">
        <v>290</v>
      </c>
      <c r="E1496" s="3" t="s">
        <v>109</v>
      </c>
      <c r="F1496" s="4" t="str">
        <f aca="false">IF(I1496&gt;J1496,"Y","N")</f>
        <v>Y</v>
      </c>
      <c r="G1496" s="3" t="s">
        <v>287</v>
      </c>
      <c r="H1496" s="3" t="s">
        <v>39</v>
      </c>
      <c r="I1496" s="4" t="n">
        <v>2</v>
      </c>
      <c r="J1496" s="4" t="n">
        <f aca="false">LEN(E1496)-LEN(SUBSTITUTE(E1496,",",""))+1</f>
        <v>1</v>
      </c>
      <c r="K1496" s="3" t="str">
        <f aca="false">IFERROR(INDEX('Teacher Lookup'!$B$2:$B$200,MATCH(A1496,'Teacher Lookup'!$A$2:$A$200,0)),"")</f>
        <v>CHAN Brian</v>
      </c>
    </row>
    <row r="1497" customFormat="false" ht="15" hidden="false" customHeight="false" outlineLevel="0" collapsed="false">
      <c r="A1497" s="3" t="s">
        <v>283</v>
      </c>
      <c r="B1497" s="4" t="s">
        <v>66</v>
      </c>
      <c r="C1497" s="4" t="n">
        <v>2</v>
      </c>
      <c r="D1497" s="4" t="s">
        <v>57</v>
      </c>
      <c r="E1497" s="3" t="s">
        <v>98</v>
      </c>
      <c r="F1497" s="4" t="str">
        <f aca="false">IF(I1497&gt;J1497,"Y","N")</f>
        <v>N</v>
      </c>
      <c r="G1497" s="3" t="s">
        <v>287</v>
      </c>
      <c r="H1497" s="3" t="s">
        <v>21</v>
      </c>
      <c r="I1497" s="4" t="n">
        <v>1</v>
      </c>
      <c r="J1497" s="4" t="n">
        <f aca="false">LEN(E1497)-LEN(SUBSTITUTE(E1497,",",""))+1</f>
        <v>1</v>
      </c>
      <c r="K1497" s="3" t="str">
        <f aca="false">IFERROR(INDEX('Teacher Lookup'!$B$2:$B$200,MATCH(A1497,'Teacher Lookup'!$A$2:$A$200,0)),"")</f>
        <v>CHAN Brian</v>
      </c>
    </row>
    <row r="1498" customFormat="false" ht="15" hidden="false" customHeight="false" outlineLevel="0" collapsed="false">
      <c r="A1498" s="3" t="s">
        <v>283</v>
      </c>
      <c r="B1498" s="4" t="s">
        <v>66</v>
      </c>
      <c r="C1498" s="4" t="n">
        <v>3</v>
      </c>
      <c r="D1498" s="4" t="s">
        <v>124</v>
      </c>
      <c r="E1498" s="3" t="s">
        <v>288</v>
      </c>
      <c r="F1498" s="4" t="str">
        <f aca="false">IF(I1498&gt;J1498,"Y","N")</f>
        <v>N</v>
      </c>
      <c r="G1498" s="3" t="s">
        <v>285</v>
      </c>
      <c r="H1498" s="3" t="s">
        <v>26</v>
      </c>
      <c r="I1498" s="4" t="n">
        <v>1</v>
      </c>
      <c r="J1498" s="4" t="n">
        <f aca="false">LEN(E1498)-LEN(SUBSTITUTE(E1498,",",""))+1</f>
        <v>1</v>
      </c>
      <c r="K1498" s="3" t="str">
        <f aca="false">IFERROR(INDEX('Teacher Lookup'!$B$2:$B$200,MATCH(A1498,'Teacher Lookup'!$A$2:$A$200,0)),"")</f>
        <v>CHAN Brian</v>
      </c>
    </row>
    <row r="1499" customFormat="false" ht="15" hidden="false" customHeight="false" outlineLevel="0" collapsed="false">
      <c r="A1499" s="3" t="s">
        <v>283</v>
      </c>
      <c r="B1499" s="4" t="s">
        <v>66</v>
      </c>
      <c r="C1499" s="4" t="n">
        <v>4</v>
      </c>
      <c r="D1499" s="4" t="s">
        <v>52</v>
      </c>
      <c r="E1499" s="3" t="s">
        <v>286</v>
      </c>
      <c r="F1499" s="4" t="str">
        <f aca="false">IF(I1499&gt;J1499,"Y","N")</f>
        <v>N</v>
      </c>
      <c r="G1499" s="3" t="s">
        <v>287</v>
      </c>
      <c r="H1499" s="3" t="s">
        <v>34</v>
      </c>
      <c r="I1499" s="4" t="n">
        <v>1</v>
      </c>
      <c r="J1499" s="4" t="n">
        <f aca="false">LEN(E1499)-LEN(SUBSTITUTE(E1499,",",""))+1</f>
        <v>1</v>
      </c>
      <c r="K1499" s="3" t="str">
        <f aca="false">IFERROR(INDEX('Teacher Lookup'!$B$2:$B$200,MATCH(A1499,'Teacher Lookup'!$A$2:$A$200,0)),"")</f>
        <v>CHAN Brian</v>
      </c>
    </row>
    <row r="1500" customFormat="false" ht="15" hidden="false" customHeight="false" outlineLevel="0" collapsed="false">
      <c r="A1500" s="3" t="s">
        <v>283</v>
      </c>
      <c r="B1500" s="4" t="s">
        <v>66</v>
      </c>
      <c r="C1500" s="4" t="n">
        <v>7</v>
      </c>
      <c r="D1500" s="4" t="s">
        <v>127</v>
      </c>
      <c r="E1500" s="3" t="s">
        <v>128</v>
      </c>
      <c r="F1500" s="4" t="str">
        <f aca="false">IF(I1500&gt;J1500,"Y","N")</f>
        <v>N</v>
      </c>
      <c r="G1500" s="3" t="s">
        <v>285</v>
      </c>
      <c r="H1500" s="3" t="s">
        <v>39</v>
      </c>
      <c r="I1500" s="4" t="n">
        <v>1</v>
      </c>
      <c r="J1500" s="4" t="n">
        <f aca="false">LEN(E1500)-LEN(SUBSTITUTE(E1500,",",""))+1</f>
        <v>1</v>
      </c>
      <c r="K1500" s="3" t="str">
        <f aca="false">IFERROR(INDEX('Teacher Lookup'!$B$2:$B$200,MATCH(A1500,'Teacher Lookup'!$A$2:$A$200,0)),"")</f>
        <v>CHAN Brian</v>
      </c>
    </row>
    <row r="1501" customFormat="false" ht="15" hidden="false" customHeight="false" outlineLevel="0" collapsed="false">
      <c r="A1501" s="3" t="s">
        <v>294</v>
      </c>
      <c r="B1501" s="4" t="s">
        <v>12</v>
      </c>
      <c r="C1501" s="4" t="n">
        <v>2</v>
      </c>
      <c r="D1501" s="4" t="s">
        <v>17</v>
      </c>
      <c r="E1501" s="3" t="s">
        <v>295</v>
      </c>
      <c r="F1501" s="4" t="str">
        <f aca="false">IF(I1501&gt;J1501,"Y","N")</f>
        <v>N</v>
      </c>
      <c r="G1501" s="3" t="s">
        <v>296</v>
      </c>
      <c r="H1501" s="3" t="s">
        <v>21</v>
      </c>
      <c r="I1501" s="4" t="n">
        <v>2</v>
      </c>
      <c r="J1501" s="4" t="n">
        <f aca="false">LEN(E1501)-LEN(SUBSTITUTE(E1501,",",""))+1</f>
        <v>2</v>
      </c>
      <c r="K1501" s="3" t="str">
        <f aca="false">IFERROR(INDEX('Teacher Lookup'!$B$2:$B$200,MATCH(A1501,'Teacher Lookup'!$A$2:$A$200,0)),"")</f>
        <v>AU Candice</v>
      </c>
    </row>
    <row r="1502" customFormat="false" ht="15" hidden="false" customHeight="false" outlineLevel="0" collapsed="false">
      <c r="A1502" s="3" t="s">
        <v>294</v>
      </c>
      <c r="B1502" s="4" t="s">
        <v>12</v>
      </c>
      <c r="C1502" s="4" t="n">
        <v>6</v>
      </c>
      <c r="D1502" s="4" t="s">
        <v>23</v>
      </c>
      <c r="E1502" s="3" t="s">
        <v>297</v>
      </c>
      <c r="F1502" s="4" t="str">
        <f aca="false">IF(I1502&gt;J1502,"Y","N")</f>
        <v>Y</v>
      </c>
      <c r="G1502" s="3" t="s">
        <v>296</v>
      </c>
      <c r="H1502" s="3" t="s">
        <v>42</v>
      </c>
      <c r="I1502" s="4" t="n">
        <v>2</v>
      </c>
      <c r="J1502" s="4" t="n">
        <f aca="false">LEN(E1502)-LEN(SUBSTITUTE(E1502,",",""))+1</f>
        <v>1</v>
      </c>
      <c r="K1502" s="3" t="str">
        <f aca="false">IFERROR(INDEX('Teacher Lookup'!$B$2:$B$200,MATCH(A1502,'Teacher Lookup'!$A$2:$A$200,0)),"")</f>
        <v>AU Candice</v>
      </c>
    </row>
    <row r="1503" customFormat="false" ht="15" hidden="false" customHeight="false" outlineLevel="0" collapsed="false">
      <c r="A1503" s="3" t="s">
        <v>294</v>
      </c>
      <c r="B1503" s="4" t="s">
        <v>31</v>
      </c>
      <c r="C1503" s="4" t="n">
        <v>3</v>
      </c>
      <c r="D1503" s="4" t="s">
        <v>58</v>
      </c>
      <c r="E1503" s="3" t="s">
        <v>297</v>
      </c>
      <c r="F1503" s="4" t="str">
        <f aca="false">IF(I1503&gt;J1503,"Y","N")</f>
        <v>Y</v>
      </c>
      <c r="G1503" s="3" t="s">
        <v>296</v>
      </c>
      <c r="H1503" s="3" t="s">
        <v>26</v>
      </c>
      <c r="I1503" s="4" t="n">
        <v>2</v>
      </c>
      <c r="J1503" s="4" t="n">
        <f aca="false">LEN(E1503)-LEN(SUBSTITUTE(E1503,",",""))+1</f>
        <v>1</v>
      </c>
      <c r="K1503" s="3" t="str">
        <f aca="false">IFERROR(INDEX('Teacher Lookup'!$B$2:$B$200,MATCH(A1503,'Teacher Lookup'!$A$2:$A$200,0)),"")</f>
        <v>AU Candice</v>
      </c>
    </row>
    <row r="1504" customFormat="false" ht="15" hidden="false" customHeight="false" outlineLevel="0" collapsed="false">
      <c r="A1504" s="3" t="s">
        <v>294</v>
      </c>
      <c r="B1504" s="4" t="s">
        <v>31</v>
      </c>
      <c r="C1504" s="4" t="n">
        <v>5</v>
      </c>
      <c r="D1504" s="4" t="s">
        <v>19</v>
      </c>
      <c r="E1504" s="3" t="s">
        <v>35</v>
      </c>
      <c r="F1504" s="4" t="str">
        <f aca="false">IF(I1504&gt;J1504,"Y","N")</f>
        <v>Y</v>
      </c>
      <c r="G1504" s="3" t="s">
        <v>36</v>
      </c>
      <c r="H1504" s="3" t="s">
        <v>37</v>
      </c>
      <c r="I1504" s="4" t="n">
        <v>17</v>
      </c>
      <c r="J1504" s="4" t="n">
        <f aca="false">LEN(E1504)-LEN(SUBSTITUTE(E1504,",",""))+1</f>
        <v>7</v>
      </c>
      <c r="K1504" s="3" t="str">
        <f aca="false">IFERROR(INDEX('Teacher Lookup'!$B$2:$B$200,MATCH(A1504,'Teacher Lookup'!$A$2:$A$200,0)),"")</f>
        <v>AU Candice</v>
      </c>
    </row>
    <row r="1505" customFormat="false" ht="15" hidden="false" customHeight="false" outlineLevel="0" collapsed="false">
      <c r="A1505" s="3" t="s">
        <v>294</v>
      </c>
      <c r="B1505" s="4" t="s">
        <v>31</v>
      </c>
      <c r="C1505" s="4" t="n">
        <v>5</v>
      </c>
      <c r="D1505" s="4" t="s">
        <v>22</v>
      </c>
      <c r="E1505" s="3" t="s">
        <v>35</v>
      </c>
      <c r="F1505" s="4" t="str">
        <f aca="false">IF(I1505&gt;J1505,"Y","N")</f>
        <v>Y</v>
      </c>
      <c r="G1505" s="3" t="s">
        <v>36</v>
      </c>
      <c r="H1505" s="3" t="s">
        <v>37</v>
      </c>
      <c r="I1505" s="4" t="n">
        <v>17</v>
      </c>
      <c r="J1505" s="4" t="n">
        <f aca="false">LEN(E1505)-LEN(SUBSTITUTE(E1505,",",""))+1</f>
        <v>7</v>
      </c>
      <c r="K1505" s="3" t="str">
        <f aca="false">IFERROR(INDEX('Teacher Lookup'!$B$2:$B$200,MATCH(A1505,'Teacher Lookup'!$A$2:$A$200,0)),"")</f>
        <v>AU Candice</v>
      </c>
    </row>
    <row r="1506" customFormat="false" ht="15" hidden="false" customHeight="false" outlineLevel="0" collapsed="false">
      <c r="A1506" s="3" t="s">
        <v>294</v>
      </c>
      <c r="B1506" s="4" t="s">
        <v>31</v>
      </c>
      <c r="C1506" s="4" t="n">
        <v>5</v>
      </c>
      <c r="D1506" s="4" t="s">
        <v>23</v>
      </c>
      <c r="E1506" s="3" t="s">
        <v>35</v>
      </c>
      <c r="F1506" s="4" t="str">
        <f aca="false">IF(I1506&gt;J1506,"Y","N")</f>
        <v>Y</v>
      </c>
      <c r="G1506" s="3" t="s">
        <v>36</v>
      </c>
      <c r="H1506" s="3" t="s">
        <v>37</v>
      </c>
      <c r="I1506" s="4" t="n">
        <v>17</v>
      </c>
      <c r="J1506" s="4" t="n">
        <f aca="false">LEN(E1506)-LEN(SUBSTITUTE(E1506,",",""))+1</f>
        <v>7</v>
      </c>
      <c r="K1506" s="3" t="str">
        <f aca="false">IFERROR(INDEX('Teacher Lookup'!$B$2:$B$200,MATCH(A1506,'Teacher Lookup'!$A$2:$A$200,0)),"")</f>
        <v>AU Candice</v>
      </c>
    </row>
    <row r="1507" customFormat="false" ht="15" hidden="false" customHeight="false" outlineLevel="0" collapsed="false">
      <c r="A1507" s="3" t="s">
        <v>294</v>
      </c>
      <c r="B1507" s="4" t="s">
        <v>31</v>
      </c>
      <c r="C1507" s="4" t="n">
        <v>5</v>
      </c>
      <c r="D1507" s="4" t="s">
        <v>13</v>
      </c>
      <c r="E1507" s="3" t="s">
        <v>35</v>
      </c>
      <c r="F1507" s="4" t="str">
        <f aca="false">IF(I1507&gt;J1507,"Y","N")</f>
        <v>Y</v>
      </c>
      <c r="G1507" s="3" t="s">
        <v>36</v>
      </c>
      <c r="H1507" s="3" t="s">
        <v>37</v>
      </c>
      <c r="I1507" s="4" t="n">
        <v>17</v>
      </c>
      <c r="J1507" s="4" t="n">
        <f aca="false">LEN(E1507)-LEN(SUBSTITUTE(E1507,",",""))+1</f>
        <v>7</v>
      </c>
      <c r="K1507" s="3" t="str">
        <f aca="false">IFERROR(INDEX('Teacher Lookup'!$B$2:$B$200,MATCH(A1507,'Teacher Lookup'!$A$2:$A$200,0)),"")</f>
        <v>AU Candice</v>
      </c>
    </row>
    <row r="1508" customFormat="false" ht="15" hidden="false" customHeight="false" outlineLevel="0" collapsed="false">
      <c r="A1508" s="3" t="s">
        <v>294</v>
      </c>
      <c r="B1508" s="4" t="s">
        <v>31</v>
      </c>
      <c r="C1508" s="4" t="n">
        <v>5</v>
      </c>
      <c r="D1508" s="4" t="s">
        <v>17</v>
      </c>
      <c r="E1508" s="3" t="s">
        <v>35</v>
      </c>
      <c r="F1508" s="4" t="str">
        <f aca="false">IF(I1508&gt;J1508,"Y","N")</f>
        <v>Y</v>
      </c>
      <c r="G1508" s="3" t="s">
        <v>36</v>
      </c>
      <c r="H1508" s="3" t="s">
        <v>37</v>
      </c>
      <c r="I1508" s="4" t="n">
        <v>17</v>
      </c>
      <c r="J1508" s="4" t="n">
        <f aca="false">LEN(E1508)-LEN(SUBSTITUTE(E1508,",",""))+1</f>
        <v>7</v>
      </c>
      <c r="K1508" s="3" t="str">
        <f aca="false">IFERROR(INDEX('Teacher Lookup'!$B$2:$B$200,MATCH(A1508,'Teacher Lookup'!$A$2:$A$200,0)),"")</f>
        <v>AU Candice</v>
      </c>
    </row>
    <row r="1509" customFormat="false" ht="15" hidden="false" customHeight="false" outlineLevel="0" collapsed="false">
      <c r="A1509" s="3" t="s">
        <v>294</v>
      </c>
      <c r="B1509" s="4" t="s">
        <v>31</v>
      </c>
      <c r="C1509" s="4" t="n">
        <v>5</v>
      </c>
      <c r="D1509" s="4" t="s">
        <v>18</v>
      </c>
      <c r="E1509" s="3" t="s">
        <v>35</v>
      </c>
      <c r="F1509" s="4" t="str">
        <f aca="false">IF(I1509&gt;J1509,"Y","N")</f>
        <v>Y</v>
      </c>
      <c r="G1509" s="3" t="s">
        <v>36</v>
      </c>
      <c r="H1509" s="3" t="s">
        <v>37</v>
      </c>
      <c r="I1509" s="4" t="n">
        <v>17</v>
      </c>
      <c r="J1509" s="4" t="n">
        <f aca="false">LEN(E1509)-LEN(SUBSTITUTE(E1509,",",""))+1</f>
        <v>7</v>
      </c>
      <c r="K1509" s="3" t="str">
        <f aca="false">IFERROR(INDEX('Teacher Lookup'!$B$2:$B$200,MATCH(A1509,'Teacher Lookup'!$A$2:$A$200,0)),"")</f>
        <v>AU Candice</v>
      </c>
    </row>
    <row r="1510" customFormat="false" ht="15" hidden="false" customHeight="false" outlineLevel="0" collapsed="false">
      <c r="A1510" s="3" t="s">
        <v>294</v>
      </c>
      <c r="B1510" s="4" t="s">
        <v>31</v>
      </c>
      <c r="C1510" s="4" t="n">
        <v>6</v>
      </c>
      <c r="D1510" s="4" t="s">
        <v>19</v>
      </c>
      <c r="E1510" s="3" t="s">
        <v>297</v>
      </c>
      <c r="F1510" s="4" t="str">
        <f aca="false">IF(I1510&gt;J1510,"Y","N")</f>
        <v>Y</v>
      </c>
      <c r="G1510" s="3" t="s">
        <v>296</v>
      </c>
      <c r="H1510" s="3" t="s">
        <v>42</v>
      </c>
      <c r="I1510" s="4" t="n">
        <v>2</v>
      </c>
      <c r="J1510" s="4" t="n">
        <f aca="false">LEN(E1510)-LEN(SUBSTITUTE(E1510,",",""))+1</f>
        <v>1</v>
      </c>
      <c r="K1510" s="3" t="str">
        <f aca="false">IFERROR(INDEX('Teacher Lookup'!$B$2:$B$200,MATCH(A1510,'Teacher Lookup'!$A$2:$A$200,0)),"")</f>
        <v>AU Candice</v>
      </c>
    </row>
    <row r="1511" customFormat="false" ht="15" hidden="false" customHeight="false" outlineLevel="0" collapsed="false">
      <c r="A1511" s="3" t="s">
        <v>294</v>
      </c>
      <c r="B1511" s="4" t="s">
        <v>40</v>
      </c>
      <c r="C1511" s="4" t="n">
        <v>1</v>
      </c>
      <c r="D1511" s="4" t="s">
        <v>79</v>
      </c>
      <c r="E1511" s="3" t="s">
        <v>297</v>
      </c>
      <c r="F1511" s="4" t="str">
        <f aca="false">IF(I1511&gt;J1511,"Y","N")</f>
        <v>Y</v>
      </c>
      <c r="G1511" s="3" t="s">
        <v>296</v>
      </c>
      <c r="H1511" s="3" t="s">
        <v>16</v>
      </c>
      <c r="I1511" s="4" t="n">
        <v>2</v>
      </c>
      <c r="J1511" s="4" t="n">
        <f aca="false">LEN(E1511)-LEN(SUBSTITUTE(E1511,",",""))+1</f>
        <v>1</v>
      </c>
      <c r="K1511" s="3" t="str">
        <f aca="false">IFERROR(INDEX('Teacher Lookup'!$B$2:$B$200,MATCH(A1511,'Teacher Lookup'!$A$2:$A$200,0)),"")</f>
        <v>AU Candice</v>
      </c>
    </row>
    <row r="1512" customFormat="false" ht="15" hidden="false" customHeight="false" outlineLevel="0" collapsed="false">
      <c r="A1512" s="3" t="s">
        <v>294</v>
      </c>
      <c r="B1512" s="4" t="s">
        <v>40</v>
      </c>
      <c r="C1512" s="4" t="n">
        <v>3</v>
      </c>
      <c r="D1512" s="4" t="s">
        <v>58</v>
      </c>
      <c r="E1512" s="3" t="s">
        <v>297</v>
      </c>
      <c r="F1512" s="4" t="str">
        <f aca="false">IF(I1512&gt;J1512,"Y","N")</f>
        <v>Y</v>
      </c>
      <c r="G1512" s="3" t="s">
        <v>296</v>
      </c>
      <c r="H1512" s="3" t="s">
        <v>26</v>
      </c>
      <c r="I1512" s="4" t="n">
        <v>2</v>
      </c>
      <c r="J1512" s="4" t="n">
        <f aca="false">LEN(E1512)-LEN(SUBSTITUTE(E1512,",",""))+1</f>
        <v>1</v>
      </c>
      <c r="K1512" s="3" t="str">
        <f aca="false">IFERROR(INDEX('Teacher Lookup'!$B$2:$B$200,MATCH(A1512,'Teacher Lookup'!$A$2:$A$200,0)),"")</f>
        <v>AU Candice</v>
      </c>
    </row>
    <row r="1513" customFormat="false" ht="15" hidden="false" customHeight="false" outlineLevel="0" collapsed="false">
      <c r="A1513" s="3" t="s">
        <v>294</v>
      </c>
      <c r="B1513" s="4" t="s">
        <v>40</v>
      </c>
      <c r="C1513" s="4" t="n">
        <v>6</v>
      </c>
      <c r="D1513" s="4" t="s">
        <v>18</v>
      </c>
      <c r="E1513" s="3" t="s">
        <v>297</v>
      </c>
      <c r="F1513" s="4" t="str">
        <f aca="false">IF(I1513&gt;J1513,"Y","N")</f>
        <v>Y</v>
      </c>
      <c r="G1513" s="3" t="s">
        <v>296</v>
      </c>
      <c r="H1513" s="3" t="s">
        <v>42</v>
      </c>
      <c r="I1513" s="4" t="n">
        <v>2</v>
      </c>
      <c r="J1513" s="4" t="n">
        <f aca="false">LEN(E1513)-LEN(SUBSTITUTE(E1513,",",""))+1</f>
        <v>1</v>
      </c>
      <c r="K1513" s="3" t="str">
        <f aca="false">IFERROR(INDEX('Teacher Lookup'!$B$2:$B$200,MATCH(A1513,'Teacher Lookup'!$A$2:$A$200,0)),"")</f>
        <v>AU Candice</v>
      </c>
    </row>
    <row r="1514" customFormat="false" ht="15" hidden="false" customHeight="false" outlineLevel="0" collapsed="false">
      <c r="A1514" s="3" t="s">
        <v>294</v>
      </c>
      <c r="B1514" s="4" t="s">
        <v>44</v>
      </c>
      <c r="C1514" s="4" t="n">
        <v>1</v>
      </c>
      <c r="D1514" s="4" t="s">
        <v>13</v>
      </c>
      <c r="E1514" s="3" t="s">
        <v>298</v>
      </c>
      <c r="F1514" s="4" t="str">
        <f aca="false">IF(I1514&gt;J1514,"Y","N")</f>
        <v>N</v>
      </c>
      <c r="G1514" s="3" t="s">
        <v>299</v>
      </c>
      <c r="H1514" s="3" t="s">
        <v>16</v>
      </c>
      <c r="I1514" s="4" t="n">
        <v>2</v>
      </c>
      <c r="J1514" s="4" t="n">
        <f aca="false">LEN(E1514)-LEN(SUBSTITUTE(E1514,",",""))+1</f>
        <v>2</v>
      </c>
      <c r="K1514" s="3" t="str">
        <f aca="false">IFERROR(INDEX('Teacher Lookup'!$B$2:$B$200,MATCH(A1514,'Teacher Lookup'!$A$2:$A$200,0)),"")</f>
        <v>AU Candice</v>
      </c>
    </row>
    <row r="1515" customFormat="false" ht="15" hidden="false" customHeight="false" outlineLevel="0" collapsed="false">
      <c r="A1515" s="3" t="s">
        <v>294</v>
      </c>
      <c r="B1515" s="4" t="s">
        <v>44</v>
      </c>
      <c r="C1515" s="4" t="n">
        <v>3</v>
      </c>
      <c r="D1515" s="4" t="s">
        <v>17</v>
      </c>
      <c r="E1515" s="3" t="s">
        <v>295</v>
      </c>
      <c r="F1515" s="4" t="str">
        <f aca="false">IF(I1515&gt;J1515,"Y","N")</f>
        <v>N</v>
      </c>
      <c r="G1515" s="3" t="s">
        <v>296</v>
      </c>
      <c r="H1515" s="3" t="s">
        <v>26</v>
      </c>
      <c r="I1515" s="4" t="n">
        <v>2</v>
      </c>
      <c r="J1515" s="4" t="n">
        <f aca="false">LEN(E1515)-LEN(SUBSTITUTE(E1515,",",""))+1</f>
        <v>2</v>
      </c>
      <c r="K1515" s="3" t="str">
        <f aca="false">IFERROR(INDEX('Teacher Lookup'!$B$2:$B$200,MATCH(A1515,'Teacher Lookup'!$A$2:$A$200,0)),"")</f>
        <v>AU Candice</v>
      </c>
    </row>
    <row r="1516" customFormat="false" ht="15" hidden="false" customHeight="false" outlineLevel="0" collapsed="false">
      <c r="A1516" s="3" t="s">
        <v>294</v>
      </c>
      <c r="B1516" s="4" t="s">
        <v>44</v>
      </c>
      <c r="C1516" s="4" t="n">
        <v>4</v>
      </c>
      <c r="D1516" s="4" t="s">
        <v>19</v>
      </c>
      <c r="E1516" s="3" t="s">
        <v>297</v>
      </c>
      <c r="F1516" s="4" t="str">
        <f aca="false">IF(I1516&gt;J1516,"Y","N")</f>
        <v>Y</v>
      </c>
      <c r="G1516" s="3" t="s">
        <v>296</v>
      </c>
      <c r="H1516" s="3" t="s">
        <v>34</v>
      </c>
      <c r="I1516" s="4" t="n">
        <v>2</v>
      </c>
      <c r="J1516" s="4" t="n">
        <f aca="false">LEN(E1516)-LEN(SUBSTITUTE(E1516,",",""))+1</f>
        <v>1</v>
      </c>
      <c r="K1516" s="3" t="str">
        <f aca="false">IFERROR(INDEX('Teacher Lookup'!$B$2:$B$200,MATCH(A1516,'Teacher Lookup'!$A$2:$A$200,0)),"")</f>
        <v>AU Candice</v>
      </c>
    </row>
    <row r="1517" customFormat="false" ht="15" hidden="false" customHeight="false" outlineLevel="0" collapsed="false">
      <c r="A1517" s="3" t="s">
        <v>294</v>
      </c>
      <c r="B1517" s="4" t="s">
        <v>44</v>
      </c>
      <c r="C1517" s="4" t="n">
        <v>5</v>
      </c>
      <c r="D1517" s="4" t="s">
        <v>19</v>
      </c>
      <c r="E1517" s="3" t="s">
        <v>35</v>
      </c>
      <c r="F1517" s="4" t="str">
        <f aca="false">IF(I1517&gt;J1517,"Y","N")</f>
        <v>Y</v>
      </c>
      <c r="G1517" s="3" t="s">
        <v>36</v>
      </c>
      <c r="H1517" s="3" t="s">
        <v>37</v>
      </c>
      <c r="I1517" s="4" t="n">
        <v>17</v>
      </c>
      <c r="J1517" s="4" t="n">
        <f aca="false">LEN(E1517)-LEN(SUBSTITUTE(E1517,",",""))+1</f>
        <v>7</v>
      </c>
      <c r="K1517" s="3" t="str">
        <f aca="false">IFERROR(INDEX('Teacher Lookup'!$B$2:$B$200,MATCH(A1517,'Teacher Lookup'!$A$2:$A$200,0)),"")</f>
        <v>AU Candice</v>
      </c>
    </row>
    <row r="1518" customFormat="false" ht="15" hidden="false" customHeight="false" outlineLevel="0" collapsed="false">
      <c r="A1518" s="3" t="s">
        <v>294</v>
      </c>
      <c r="B1518" s="4" t="s">
        <v>44</v>
      </c>
      <c r="C1518" s="4" t="n">
        <v>5</v>
      </c>
      <c r="D1518" s="4" t="s">
        <v>22</v>
      </c>
      <c r="E1518" s="3" t="s">
        <v>35</v>
      </c>
      <c r="F1518" s="4" t="str">
        <f aca="false">IF(I1518&gt;J1518,"Y","N")</f>
        <v>Y</v>
      </c>
      <c r="G1518" s="3" t="s">
        <v>36</v>
      </c>
      <c r="H1518" s="3" t="s">
        <v>37</v>
      </c>
      <c r="I1518" s="4" t="n">
        <v>17</v>
      </c>
      <c r="J1518" s="4" t="n">
        <f aca="false">LEN(E1518)-LEN(SUBSTITUTE(E1518,",",""))+1</f>
        <v>7</v>
      </c>
      <c r="K1518" s="3" t="str">
        <f aca="false">IFERROR(INDEX('Teacher Lookup'!$B$2:$B$200,MATCH(A1518,'Teacher Lookup'!$A$2:$A$200,0)),"")</f>
        <v>AU Candice</v>
      </c>
    </row>
    <row r="1519" customFormat="false" ht="15" hidden="false" customHeight="false" outlineLevel="0" collapsed="false">
      <c r="A1519" s="3" t="s">
        <v>294</v>
      </c>
      <c r="B1519" s="4" t="s">
        <v>44</v>
      </c>
      <c r="C1519" s="4" t="n">
        <v>5</v>
      </c>
      <c r="D1519" s="4" t="s">
        <v>23</v>
      </c>
      <c r="E1519" s="3" t="s">
        <v>35</v>
      </c>
      <c r="F1519" s="4" t="str">
        <f aca="false">IF(I1519&gt;J1519,"Y","N")</f>
        <v>Y</v>
      </c>
      <c r="G1519" s="3" t="s">
        <v>36</v>
      </c>
      <c r="H1519" s="3" t="s">
        <v>37</v>
      </c>
      <c r="I1519" s="4" t="n">
        <v>17</v>
      </c>
      <c r="J1519" s="4" t="n">
        <f aca="false">LEN(E1519)-LEN(SUBSTITUTE(E1519,",",""))+1</f>
        <v>7</v>
      </c>
      <c r="K1519" s="3" t="str">
        <f aca="false">IFERROR(INDEX('Teacher Lookup'!$B$2:$B$200,MATCH(A1519,'Teacher Lookup'!$A$2:$A$200,0)),"")</f>
        <v>AU Candice</v>
      </c>
    </row>
    <row r="1520" customFormat="false" ht="15" hidden="false" customHeight="false" outlineLevel="0" collapsed="false">
      <c r="A1520" s="3" t="s">
        <v>294</v>
      </c>
      <c r="B1520" s="4" t="s">
        <v>44</v>
      </c>
      <c r="C1520" s="4" t="n">
        <v>5</v>
      </c>
      <c r="D1520" s="4" t="s">
        <v>13</v>
      </c>
      <c r="E1520" s="3" t="s">
        <v>35</v>
      </c>
      <c r="F1520" s="4" t="str">
        <f aca="false">IF(I1520&gt;J1520,"Y","N")</f>
        <v>Y</v>
      </c>
      <c r="G1520" s="3" t="s">
        <v>36</v>
      </c>
      <c r="H1520" s="3" t="s">
        <v>37</v>
      </c>
      <c r="I1520" s="4" t="n">
        <v>17</v>
      </c>
      <c r="J1520" s="4" t="n">
        <f aca="false">LEN(E1520)-LEN(SUBSTITUTE(E1520,",",""))+1</f>
        <v>7</v>
      </c>
      <c r="K1520" s="3" t="str">
        <f aca="false">IFERROR(INDEX('Teacher Lookup'!$B$2:$B$200,MATCH(A1520,'Teacher Lookup'!$A$2:$A$200,0)),"")</f>
        <v>AU Candice</v>
      </c>
    </row>
    <row r="1521" customFormat="false" ht="15" hidden="false" customHeight="false" outlineLevel="0" collapsed="false">
      <c r="A1521" s="3" t="s">
        <v>294</v>
      </c>
      <c r="B1521" s="4" t="s">
        <v>44</v>
      </c>
      <c r="C1521" s="4" t="n">
        <v>5</v>
      </c>
      <c r="D1521" s="4" t="s">
        <v>17</v>
      </c>
      <c r="E1521" s="3" t="s">
        <v>35</v>
      </c>
      <c r="F1521" s="4" t="str">
        <f aca="false">IF(I1521&gt;J1521,"Y","N")</f>
        <v>Y</v>
      </c>
      <c r="G1521" s="3" t="s">
        <v>36</v>
      </c>
      <c r="H1521" s="3" t="s">
        <v>37</v>
      </c>
      <c r="I1521" s="4" t="n">
        <v>17</v>
      </c>
      <c r="J1521" s="4" t="n">
        <f aca="false">LEN(E1521)-LEN(SUBSTITUTE(E1521,",",""))+1</f>
        <v>7</v>
      </c>
      <c r="K1521" s="3" t="str">
        <f aca="false">IFERROR(INDEX('Teacher Lookup'!$B$2:$B$200,MATCH(A1521,'Teacher Lookup'!$A$2:$A$200,0)),"")</f>
        <v>AU Candice</v>
      </c>
    </row>
    <row r="1522" customFormat="false" ht="15" hidden="false" customHeight="false" outlineLevel="0" collapsed="false">
      <c r="A1522" s="3" t="s">
        <v>294</v>
      </c>
      <c r="B1522" s="4" t="s">
        <v>44</v>
      </c>
      <c r="C1522" s="4" t="n">
        <v>5</v>
      </c>
      <c r="D1522" s="4" t="s">
        <v>18</v>
      </c>
      <c r="E1522" s="3" t="s">
        <v>35</v>
      </c>
      <c r="F1522" s="4" t="str">
        <f aca="false">IF(I1522&gt;J1522,"Y","N")</f>
        <v>Y</v>
      </c>
      <c r="G1522" s="3" t="s">
        <v>36</v>
      </c>
      <c r="H1522" s="3" t="s">
        <v>37</v>
      </c>
      <c r="I1522" s="4" t="n">
        <v>17</v>
      </c>
      <c r="J1522" s="4" t="n">
        <f aca="false">LEN(E1522)-LEN(SUBSTITUTE(E1522,",",""))+1</f>
        <v>7</v>
      </c>
      <c r="K1522" s="3" t="str">
        <f aca="false">IFERROR(INDEX('Teacher Lookup'!$B$2:$B$200,MATCH(A1522,'Teacher Lookup'!$A$2:$A$200,0)),"")</f>
        <v>AU Candice</v>
      </c>
    </row>
    <row r="1523" customFormat="false" ht="15" hidden="false" customHeight="false" outlineLevel="0" collapsed="false">
      <c r="A1523" s="3" t="s">
        <v>294</v>
      </c>
      <c r="B1523" s="4" t="s">
        <v>44</v>
      </c>
      <c r="C1523" s="4" t="n">
        <v>6</v>
      </c>
      <c r="D1523" s="4" t="s">
        <v>58</v>
      </c>
      <c r="E1523" s="3" t="s">
        <v>297</v>
      </c>
      <c r="F1523" s="4" t="str">
        <f aca="false">IF(I1523&gt;J1523,"Y","N")</f>
        <v>Y</v>
      </c>
      <c r="G1523" s="3" t="s">
        <v>296</v>
      </c>
      <c r="H1523" s="3" t="s">
        <v>42</v>
      </c>
      <c r="I1523" s="4" t="n">
        <v>2</v>
      </c>
      <c r="J1523" s="4" t="n">
        <f aca="false">LEN(E1523)-LEN(SUBSTITUTE(E1523,",",""))+1</f>
        <v>1</v>
      </c>
      <c r="K1523" s="3" t="str">
        <f aca="false">IFERROR(INDEX('Teacher Lookup'!$B$2:$B$200,MATCH(A1523,'Teacher Lookup'!$A$2:$A$200,0)),"")</f>
        <v>AU Candice</v>
      </c>
    </row>
    <row r="1524" customFormat="false" ht="15" hidden="false" customHeight="false" outlineLevel="0" collapsed="false">
      <c r="A1524" s="3" t="s">
        <v>294</v>
      </c>
      <c r="B1524" s="4" t="s">
        <v>47</v>
      </c>
      <c r="C1524" s="4" t="n">
        <v>1</v>
      </c>
      <c r="D1524" s="4" t="s">
        <v>22</v>
      </c>
      <c r="E1524" s="3" t="s">
        <v>298</v>
      </c>
      <c r="F1524" s="4" t="str">
        <f aca="false">IF(I1524&gt;J1524,"Y","N")</f>
        <v>N</v>
      </c>
      <c r="G1524" s="3" t="s">
        <v>299</v>
      </c>
      <c r="H1524" s="3" t="s">
        <v>16</v>
      </c>
      <c r="I1524" s="4" t="n">
        <v>2</v>
      </c>
      <c r="J1524" s="4" t="n">
        <f aca="false">LEN(E1524)-LEN(SUBSTITUTE(E1524,",",""))+1</f>
        <v>2</v>
      </c>
      <c r="K1524" s="3" t="str">
        <f aca="false">IFERROR(INDEX('Teacher Lookup'!$B$2:$B$200,MATCH(A1524,'Teacher Lookup'!$A$2:$A$200,0)),"")</f>
        <v>AU Candice</v>
      </c>
    </row>
    <row r="1525" customFormat="false" ht="15" hidden="false" customHeight="false" outlineLevel="0" collapsed="false">
      <c r="A1525" s="3" t="s">
        <v>294</v>
      </c>
      <c r="B1525" s="4" t="s">
        <v>47</v>
      </c>
      <c r="C1525" s="4" t="n">
        <v>4</v>
      </c>
      <c r="D1525" s="4" t="s">
        <v>18</v>
      </c>
      <c r="E1525" s="3" t="s">
        <v>297</v>
      </c>
      <c r="F1525" s="4" t="str">
        <f aca="false">IF(I1525&gt;J1525,"Y","N")</f>
        <v>Y</v>
      </c>
      <c r="G1525" s="3" t="s">
        <v>296</v>
      </c>
      <c r="H1525" s="3" t="s">
        <v>34</v>
      </c>
      <c r="I1525" s="4" t="n">
        <v>2</v>
      </c>
      <c r="J1525" s="4" t="n">
        <f aca="false">LEN(E1525)-LEN(SUBSTITUTE(E1525,",",""))+1</f>
        <v>1</v>
      </c>
      <c r="K1525" s="3" t="str">
        <f aca="false">IFERROR(INDEX('Teacher Lookup'!$B$2:$B$200,MATCH(A1525,'Teacher Lookup'!$A$2:$A$200,0)),"")</f>
        <v>AU Candice</v>
      </c>
    </row>
    <row r="1526" customFormat="false" ht="15" hidden="false" customHeight="false" outlineLevel="0" collapsed="false">
      <c r="A1526" s="3" t="s">
        <v>294</v>
      </c>
      <c r="B1526" s="4" t="s">
        <v>47</v>
      </c>
      <c r="C1526" s="4" t="n">
        <v>7</v>
      </c>
      <c r="D1526" s="4" t="s">
        <v>79</v>
      </c>
      <c r="E1526" s="3" t="s">
        <v>297</v>
      </c>
      <c r="F1526" s="4" t="str">
        <f aca="false">IF(I1526&gt;J1526,"Y","N")</f>
        <v>Y</v>
      </c>
      <c r="G1526" s="3" t="s">
        <v>296</v>
      </c>
      <c r="H1526" s="3" t="s">
        <v>39</v>
      </c>
      <c r="I1526" s="4" t="n">
        <v>2</v>
      </c>
      <c r="J1526" s="4" t="n">
        <f aca="false">LEN(E1526)-LEN(SUBSTITUTE(E1526,",",""))+1</f>
        <v>1</v>
      </c>
      <c r="K1526" s="3" t="str">
        <f aca="false">IFERROR(INDEX('Teacher Lookup'!$B$2:$B$200,MATCH(A1526,'Teacher Lookup'!$A$2:$A$200,0)),"")</f>
        <v>AU Candice</v>
      </c>
    </row>
    <row r="1527" customFormat="false" ht="15" hidden="false" customHeight="false" outlineLevel="0" collapsed="false">
      <c r="A1527" s="3" t="s">
        <v>294</v>
      </c>
      <c r="B1527" s="4" t="s">
        <v>50</v>
      </c>
      <c r="C1527" s="4" t="n">
        <v>1</v>
      </c>
      <c r="D1527" s="4" t="s">
        <v>58</v>
      </c>
      <c r="E1527" s="3" t="s">
        <v>297</v>
      </c>
      <c r="F1527" s="4" t="str">
        <f aca="false">IF(I1527&gt;J1527,"Y","N")</f>
        <v>Y</v>
      </c>
      <c r="G1527" s="3" t="s">
        <v>296</v>
      </c>
      <c r="H1527" s="3" t="s">
        <v>16</v>
      </c>
      <c r="I1527" s="4" t="n">
        <v>2</v>
      </c>
      <c r="J1527" s="4" t="n">
        <f aca="false">LEN(E1527)-LEN(SUBSTITUTE(E1527,",",""))+1</f>
        <v>1</v>
      </c>
      <c r="K1527" s="3" t="str">
        <f aca="false">IFERROR(INDEX('Teacher Lookup'!$B$2:$B$200,MATCH(A1527,'Teacher Lookup'!$A$2:$A$200,0)),"")</f>
        <v>AU Candice</v>
      </c>
    </row>
    <row r="1528" customFormat="false" ht="15" hidden="false" customHeight="false" outlineLevel="0" collapsed="false">
      <c r="A1528" s="3" t="s">
        <v>294</v>
      </c>
      <c r="B1528" s="4" t="s">
        <v>50</v>
      </c>
      <c r="C1528" s="4" t="n">
        <v>4</v>
      </c>
      <c r="D1528" s="4" t="s">
        <v>137</v>
      </c>
      <c r="E1528" s="3" t="s">
        <v>221</v>
      </c>
      <c r="F1528" s="4" t="str">
        <f aca="false">IF(I1528&gt;J1528,"Y","N")</f>
        <v>Y</v>
      </c>
      <c r="G1528" s="3" t="s">
        <v>222</v>
      </c>
      <c r="H1528" s="3" t="s">
        <v>34</v>
      </c>
      <c r="I1528" s="4" t="n">
        <v>15</v>
      </c>
      <c r="J1528" s="4" t="n">
        <f aca="false">LEN(E1528)-LEN(SUBSTITUTE(E1528,",",""))+1</f>
        <v>7</v>
      </c>
      <c r="K1528" s="3" t="str">
        <f aca="false">IFERROR(INDEX('Teacher Lookup'!$B$2:$B$200,MATCH(A1528,'Teacher Lookup'!$A$2:$A$200,0)),"")</f>
        <v>AU Candice</v>
      </c>
    </row>
    <row r="1529" customFormat="false" ht="15" hidden="false" customHeight="false" outlineLevel="0" collapsed="false">
      <c r="A1529" s="3" t="s">
        <v>294</v>
      </c>
      <c r="B1529" s="4" t="s">
        <v>50</v>
      </c>
      <c r="C1529" s="4" t="n">
        <v>4</v>
      </c>
      <c r="D1529" s="4" t="s">
        <v>124</v>
      </c>
      <c r="E1529" s="3" t="s">
        <v>221</v>
      </c>
      <c r="F1529" s="4" t="str">
        <f aca="false">IF(I1529&gt;J1529,"Y","N")</f>
        <v>Y</v>
      </c>
      <c r="G1529" s="3" t="s">
        <v>222</v>
      </c>
      <c r="H1529" s="3" t="s">
        <v>34</v>
      </c>
      <c r="I1529" s="4" t="n">
        <v>15</v>
      </c>
      <c r="J1529" s="4" t="n">
        <f aca="false">LEN(E1529)-LEN(SUBSTITUTE(E1529,",",""))+1</f>
        <v>7</v>
      </c>
      <c r="K1529" s="3" t="str">
        <f aca="false">IFERROR(INDEX('Teacher Lookup'!$B$2:$B$200,MATCH(A1529,'Teacher Lookup'!$A$2:$A$200,0)),"")</f>
        <v>AU Candice</v>
      </c>
    </row>
    <row r="1530" customFormat="false" ht="15" hidden="false" customHeight="false" outlineLevel="0" collapsed="false">
      <c r="A1530" s="3" t="s">
        <v>294</v>
      </c>
      <c r="B1530" s="4" t="s">
        <v>50</v>
      </c>
      <c r="C1530" s="4" t="n">
        <v>4</v>
      </c>
      <c r="D1530" s="4" t="s">
        <v>139</v>
      </c>
      <c r="E1530" s="3" t="s">
        <v>221</v>
      </c>
      <c r="F1530" s="4" t="str">
        <f aca="false">IF(I1530&gt;J1530,"Y","N")</f>
        <v>Y</v>
      </c>
      <c r="G1530" s="3" t="s">
        <v>222</v>
      </c>
      <c r="H1530" s="3" t="s">
        <v>34</v>
      </c>
      <c r="I1530" s="4" t="n">
        <v>15</v>
      </c>
      <c r="J1530" s="4" t="n">
        <f aca="false">LEN(E1530)-LEN(SUBSTITUTE(E1530,",",""))+1</f>
        <v>7</v>
      </c>
      <c r="K1530" s="3" t="str">
        <f aca="false">IFERROR(INDEX('Teacher Lookup'!$B$2:$B$200,MATCH(A1530,'Teacher Lookup'!$A$2:$A$200,0)),"")</f>
        <v>AU Candice</v>
      </c>
    </row>
    <row r="1531" customFormat="false" ht="15" hidden="false" customHeight="false" outlineLevel="0" collapsed="false">
      <c r="A1531" s="3" t="s">
        <v>294</v>
      </c>
      <c r="B1531" s="4" t="s">
        <v>50</v>
      </c>
      <c r="C1531" s="4" t="n">
        <v>4</v>
      </c>
      <c r="D1531" s="4" t="s">
        <v>140</v>
      </c>
      <c r="E1531" s="3" t="s">
        <v>221</v>
      </c>
      <c r="F1531" s="4" t="str">
        <f aca="false">IF(I1531&gt;J1531,"Y","N")</f>
        <v>Y</v>
      </c>
      <c r="G1531" s="3" t="s">
        <v>222</v>
      </c>
      <c r="H1531" s="3" t="s">
        <v>34</v>
      </c>
      <c r="I1531" s="4" t="n">
        <v>15</v>
      </c>
      <c r="J1531" s="4" t="n">
        <f aca="false">LEN(E1531)-LEN(SUBSTITUTE(E1531,",",""))+1</f>
        <v>7</v>
      </c>
      <c r="K1531" s="3" t="str">
        <f aca="false">IFERROR(INDEX('Teacher Lookup'!$B$2:$B$200,MATCH(A1531,'Teacher Lookup'!$A$2:$A$200,0)),"")</f>
        <v>AU Candice</v>
      </c>
    </row>
    <row r="1532" customFormat="false" ht="15" hidden="false" customHeight="false" outlineLevel="0" collapsed="false">
      <c r="A1532" s="3" t="s">
        <v>294</v>
      </c>
      <c r="B1532" s="4" t="s">
        <v>50</v>
      </c>
      <c r="C1532" s="4" t="n">
        <v>4</v>
      </c>
      <c r="D1532" s="4" t="s">
        <v>142</v>
      </c>
      <c r="E1532" s="3" t="s">
        <v>221</v>
      </c>
      <c r="F1532" s="4" t="str">
        <f aca="false">IF(I1532&gt;J1532,"Y","N")</f>
        <v>Y</v>
      </c>
      <c r="G1532" s="3" t="s">
        <v>222</v>
      </c>
      <c r="H1532" s="3" t="s">
        <v>34</v>
      </c>
      <c r="I1532" s="4" t="n">
        <v>15</v>
      </c>
      <c r="J1532" s="4" t="n">
        <f aca="false">LEN(E1532)-LEN(SUBSTITUTE(E1532,",",""))+1</f>
        <v>7</v>
      </c>
      <c r="K1532" s="3" t="str">
        <f aca="false">IFERROR(INDEX('Teacher Lookup'!$B$2:$B$200,MATCH(A1532,'Teacher Lookup'!$A$2:$A$200,0)),"")</f>
        <v>AU Candice</v>
      </c>
    </row>
    <row r="1533" customFormat="false" ht="15" hidden="false" customHeight="false" outlineLevel="0" collapsed="false">
      <c r="A1533" s="3" t="s">
        <v>294</v>
      </c>
      <c r="B1533" s="4" t="s">
        <v>50</v>
      </c>
      <c r="C1533" s="4" t="n">
        <v>4</v>
      </c>
      <c r="D1533" s="4" t="s">
        <v>127</v>
      </c>
      <c r="E1533" s="3" t="s">
        <v>221</v>
      </c>
      <c r="F1533" s="4" t="str">
        <f aca="false">IF(I1533&gt;J1533,"Y","N")</f>
        <v>Y</v>
      </c>
      <c r="G1533" s="3" t="s">
        <v>222</v>
      </c>
      <c r="H1533" s="3" t="s">
        <v>34</v>
      </c>
      <c r="I1533" s="4" t="n">
        <v>15</v>
      </c>
      <c r="J1533" s="4" t="n">
        <f aca="false">LEN(E1533)-LEN(SUBSTITUTE(E1533,",",""))+1</f>
        <v>7</v>
      </c>
      <c r="K1533" s="3" t="str">
        <f aca="false">IFERROR(INDEX('Teacher Lookup'!$B$2:$B$200,MATCH(A1533,'Teacher Lookup'!$A$2:$A$200,0)),"")</f>
        <v>AU Candice</v>
      </c>
    </row>
    <row r="1534" customFormat="false" ht="15" hidden="false" customHeight="false" outlineLevel="0" collapsed="false">
      <c r="A1534" s="3" t="s">
        <v>294</v>
      </c>
      <c r="B1534" s="4" t="s">
        <v>50</v>
      </c>
      <c r="C1534" s="4" t="n">
        <v>5</v>
      </c>
      <c r="D1534" s="4" t="s">
        <v>137</v>
      </c>
      <c r="E1534" s="3" t="s">
        <v>221</v>
      </c>
      <c r="F1534" s="4" t="str">
        <f aca="false">IF(I1534&gt;J1534,"Y","N")</f>
        <v>Y</v>
      </c>
      <c r="G1534" s="3" t="s">
        <v>222</v>
      </c>
      <c r="H1534" s="3" t="s">
        <v>37</v>
      </c>
      <c r="I1534" s="4" t="n">
        <v>15</v>
      </c>
      <c r="J1534" s="4" t="n">
        <f aca="false">LEN(E1534)-LEN(SUBSTITUTE(E1534,",",""))+1</f>
        <v>7</v>
      </c>
      <c r="K1534" s="3" t="str">
        <f aca="false">IFERROR(INDEX('Teacher Lookup'!$B$2:$B$200,MATCH(A1534,'Teacher Lookup'!$A$2:$A$200,0)),"")</f>
        <v>AU Candice</v>
      </c>
    </row>
    <row r="1535" customFormat="false" ht="15" hidden="false" customHeight="false" outlineLevel="0" collapsed="false">
      <c r="A1535" s="3" t="s">
        <v>294</v>
      </c>
      <c r="B1535" s="4" t="s">
        <v>50</v>
      </c>
      <c r="C1535" s="4" t="n">
        <v>5</v>
      </c>
      <c r="D1535" s="4" t="s">
        <v>124</v>
      </c>
      <c r="E1535" s="3" t="s">
        <v>221</v>
      </c>
      <c r="F1535" s="4" t="str">
        <f aca="false">IF(I1535&gt;J1535,"Y","N")</f>
        <v>Y</v>
      </c>
      <c r="G1535" s="3" t="s">
        <v>222</v>
      </c>
      <c r="H1535" s="3" t="s">
        <v>37</v>
      </c>
      <c r="I1535" s="4" t="n">
        <v>15</v>
      </c>
      <c r="J1535" s="4" t="n">
        <f aca="false">LEN(E1535)-LEN(SUBSTITUTE(E1535,",",""))+1</f>
        <v>7</v>
      </c>
      <c r="K1535" s="3" t="str">
        <f aca="false">IFERROR(INDEX('Teacher Lookup'!$B$2:$B$200,MATCH(A1535,'Teacher Lookup'!$A$2:$A$200,0)),"")</f>
        <v>AU Candice</v>
      </c>
    </row>
    <row r="1536" customFormat="false" ht="15" hidden="false" customHeight="false" outlineLevel="0" collapsed="false">
      <c r="A1536" s="3" t="s">
        <v>294</v>
      </c>
      <c r="B1536" s="4" t="s">
        <v>50</v>
      </c>
      <c r="C1536" s="4" t="n">
        <v>5</v>
      </c>
      <c r="D1536" s="4" t="s">
        <v>139</v>
      </c>
      <c r="E1536" s="3" t="s">
        <v>221</v>
      </c>
      <c r="F1536" s="4" t="str">
        <f aca="false">IF(I1536&gt;J1536,"Y","N")</f>
        <v>Y</v>
      </c>
      <c r="G1536" s="3" t="s">
        <v>222</v>
      </c>
      <c r="H1536" s="3" t="s">
        <v>37</v>
      </c>
      <c r="I1536" s="4" t="n">
        <v>15</v>
      </c>
      <c r="J1536" s="4" t="n">
        <f aca="false">LEN(E1536)-LEN(SUBSTITUTE(E1536,",",""))+1</f>
        <v>7</v>
      </c>
      <c r="K1536" s="3" t="str">
        <f aca="false">IFERROR(INDEX('Teacher Lookup'!$B$2:$B$200,MATCH(A1536,'Teacher Lookup'!$A$2:$A$200,0)),"")</f>
        <v>AU Candice</v>
      </c>
    </row>
    <row r="1537" customFormat="false" ht="15" hidden="false" customHeight="false" outlineLevel="0" collapsed="false">
      <c r="A1537" s="3" t="s">
        <v>294</v>
      </c>
      <c r="B1537" s="4" t="s">
        <v>50</v>
      </c>
      <c r="C1537" s="4" t="n">
        <v>5</v>
      </c>
      <c r="D1537" s="4" t="s">
        <v>140</v>
      </c>
      <c r="E1537" s="3" t="s">
        <v>221</v>
      </c>
      <c r="F1537" s="4" t="str">
        <f aca="false">IF(I1537&gt;J1537,"Y","N")</f>
        <v>Y</v>
      </c>
      <c r="G1537" s="3" t="s">
        <v>222</v>
      </c>
      <c r="H1537" s="3" t="s">
        <v>37</v>
      </c>
      <c r="I1537" s="4" t="n">
        <v>15</v>
      </c>
      <c r="J1537" s="4" t="n">
        <f aca="false">LEN(E1537)-LEN(SUBSTITUTE(E1537,",",""))+1</f>
        <v>7</v>
      </c>
      <c r="K1537" s="3" t="str">
        <f aca="false">IFERROR(INDEX('Teacher Lookup'!$B$2:$B$200,MATCH(A1537,'Teacher Lookup'!$A$2:$A$200,0)),"")</f>
        <v>AU Candice</v>
      </c>
    </row>
    <row r="1538" customFormat="false" ht="15" hidden="false" customHeight="false" outlineLevel="0" collapsed="false">
      <c r="A1538" s="3" t="s">
        <v>294</v>
      </c>
      <c r="B1538" s="4" t="s">
        <v>50</v>
      </c>
      <c r="C1538" s="4" t="n">
        <v>5</v>
      </c>
      <c r="D1538" s="4" t="s">
        <v>142</v>
      </c>
      <c r="E1538" s="3" t="s">
        <v>221</v>
      </c>
      <c r="F1538" s="4" t="str">
        <f aca="false">IF(I1538&gt;J1538,"Y","N")</f>
        <v>Y</v>
      </c>
      <c r="G1538" s="3" t="s">
        <v>222</v>
      </c>
      <c r="H1538" s="3" t="s">
        <v>37</v>
      </c>
      <c r="I1538" s="4" t="n">
        <v>15</v>
      </c>
      <c r="J1538" s="4" t="n">
        <f aca="false">LEN(E1538)-LEN(SUBSTITUTE(E1538,",",""))+1</f>
        <v>7</v>
      </c>
      <c r="K1538" s="3" t="str">
        <f aca="false">IFERROR(INDEX('Teacher Lookup'!$B$2:$B$200,MATCH(A1538,'Teacher Lookup'!$A$2:$A$200,0)),"")</f>
        <v>AU Candice</v>
      </c>
    </row>
    <row r="1539" customFormat="false" ht="15" hidden="false" customHeight="false" outlineLevel="0" collapsed="false">
      <c r="A1539" s="3" t="s">
        <v>294</v>
      </c>
      <c r="B1539" s="4" t="s">
        <v>50</v>
      </c>
      <c r="C1539" s="4" t="n">
        <v>5</v>
      </c>
      <c r="D1539" s="4" t="s">
        <v>127</v>
      </c>
      <c r="E1539" s="3" t="s">
        <v>221</v>
      </c>
      <c r="F1539" s="4" t="str">
        <f aca="false">IF(I1539&gt;J1539,"Y","N")</f>
        <v>Y</v>
      </c>
      <c r="G1539" s="3" t="s">
        <v>222</v>
      </c>
      <c r="H1539" s="3" t="s">
        <v>37</v>
      </c>
      <c r="I1539" s="4" t="n">
        <v>15</v>
      </c>
      <c r="J1539" s="4" t="n">
        <f aca="false">LEN(E1539)-LEN(SUBSTITUTE(E1539,",",""))+1</f>
        <v>7</v>
      </c>
      <c r="K1539" s="3" t="str">
        <f aca="false">IFERROR(INDEX('Teacher Lookup'!$B$2:$B$200,MATCH(A1539,'Teacher Lookup'!$A$2:$A$200,0)),"")</f>
        <v>AU Candice</v>
      </c>
    </row>
    <row r="1540" customFormat="false" ht="15" hidden="false" customHeight="false" outlineLevel="0" collapsed="false">
      <c r="A1540" s="3" t="s">
        <v>294</v>
      </c>
      <c r="B1540" s="4" t="s">
        <v>50</v>
      </c>
      <c r="C1540" s="4" t="n">
        <v>6</v>
      </c>
      <c r="D1540" s="4" t="s">
        <v>19</v>
      </c>
      <c r="E1540" s="3" t="s">
        <v>298</v>
      </c>
      <c r="F1540" s="4" t="str">
        <f aca="false">IF(I1540&gt;J1540,"Y","N")</f>
        <v>N</v>
      </c>
      <c r="G1540" s="3" t="s">
        <v>299</v>
      </c>
      <c r="H1540" s="3" t="s">
        <v>42</v>
      </c>
      <c r="I1540" s="4" t="n">
        <v>2</v>
      </c>
      <c r="J1540" s="4" t="n">
        <f aca="false">LEN(E1540)-LEN(SUBSTITUTE(E1540,",",""))+1</f>
        <v>2</v>
      </c>
      <c r="K1540" s="3" t="str">
        <f aca="false">IFERROR(INDEX('Teacher Lookup'!$B$2:$B$200,MATCH(A1540,'Teacher Lookup'!$A$2:$A$200,0)),"")</f>
        <v>AU Candice</v>
      </c>
    </row>
    <row r="1541" customFormat="false" ht="15" hidden="false" customHeight="false" outlineLevel="0" collapsed="false">
      <c r="A1541" s="3" t="s">
        <v>294</v>
      </c>
      <c r="B1541" s="4" t="s">
        <v>60</v>
      </c>
      <c r="C1541" s="4" t="n">
        <v>1</v>
      </c>
      <c r="D1541" s="4" t="s">
        <v>17</v>
      </c>
      <c r="E1541" s="3" t="s">
        <v>298</v>
      </c>
      <c r="F1541" s="4" t="str">
        <f aca="false">IF(I1541&gt;J1541,"Y","N")</f>
        <v>N</v>
      </c>
      <c r="G1541" s="3" t="s">
        <v>299</v>
      </c>
      <c r="H1541" s="3" t="s">
        <v>16</v>
      </c>
      <c r="I1541" s="4" t="n">
        <v>2</v>
      </c>
      <c r="J1541" s="4" t="n">
        <f aca="false">LEN(E1541)-LEN(SUBSTITUTE(E1541,",",""))+1</f>
        <v>2</v>
      </c>
      <c r="K1541" s="3" t="str">
        <f aca="false">IFERROR(INDEX('Teacher Lookup'!$B$2:$B$200,MATCH(A1541,'Teacher Lookup'!$A$2:$A$200,0)),"")</f>
        <v>AU Candice</v>
      </c>
    </row>
    <row r="1542" customFormat="false" ht="15" hidden="false" customHeight="false" outlineLevel="0" collapsed="false">
      <c r="A1542" s="3" t="s">
        <v>294</v>
      </c>
      <c r="B1542" s="4" t="s">
        <v>60</v>
      </c>
      <c r="C1542" s="4" t="n">
        <v>3</v>
      </c>
      <c r="D1542" s="4" t="s">
        <v>22</v>
      </c>
      <c r="E1542" s="3" t="s">
        <v>297</v>
      </c>
      <c r="F1542" s="4" t="str">
        <f aca="false">IF(I1542&gt;J1542,"Y","N")</f>
        <v>Y</v>
      </c>
      <c r="G1542" s="3" t="s">
        <v>296</v>
      </c>
      <c r="H1542" s="3" t="s">
        <v>26</v>
      </c>
      <c r="I1542" s="4" t="n">
        <v>2</v>
      </c>
      <c r="J1542" s="4" t="n">
        <f aca="false">LEN(E1542)-LEN(SUBSTITUTE(E1542,",",""))+1</f>
        <v>1</v>
      </c>
      <c r="K1542" s="3" t="str">
        <f aca="false">IFERROR(INDEX('Teacher Lookup'!$B$2:$B$200,MATCH(A1542,'Teacher Lookup'!$A$2:$A$200,0)),"")</f>
        <v>AU Candice</v>
      </c>
    </row>
    <row r="1543" customFormat="false" ht="15" hidden="false" customHeight="false" outlineLevel="0" collapsed="false">
      <c r="A1543" s="3" t="s">
        <v>294</v>
      </c>
      <c r="B1543" s="4" t="s">
        <v>60</v>
      </c>
      <c r="C1543" s="4" t="n">
        <v>5</v>
      </c>
      <c r="D1543" s="4" t="s">
        <v>19</v>
      </c>
      <c r="E1543" s="3" t="s">
        <v>35</v>
      </c>
      <c r="F1543" s="4" t="str">
        <f aca="false">IF(I1543&gt;J1543,"Y","N")</f>
        <v>Y</v>
      </c>
      <c r="G1543" s="3" t="s">
        <v>36</v>
      </c>
      <c r="H1543" s="3" t="s">
        <v>37</v>
      </c>
      <c r="I1543" s="4" t="n">
        <v>17</v>
      </c>
      <c r="J1543" s="4" t="n">
        <f aca="false">LEN(E1543)-LEN(SUBSTITUTE(E1543,",",""))+1</f>
        <v>7</v>
      </c>
      <c r="K1543" s="3" t="str">
        <f aca="false">IFERROR(INDEX('Teacher Lookup'!$B$2:$B$200,MATCH(A1543,'Teacher Lookup'!$A$2:$A$200,0)),"")</f>
        <v>AU Candice</v>
      </c>
    </row>
    <row r="1544" customFormat="false" ht="15" hidden="false" customHeight="false" outlineLevel="0" collapsed="false">
      <c r="A1544" s="3" t="s">
        <v>294</v>
      </c>
      <c r="B1544" s="4" t="s">
        <v>60</v>
      </c>
      <c r="C1544" s="4" t="n">
        <v>5</v>
      </c>
      <c r="D1544" s="4" t="s">
        <v>22</v>
      </c>
      <c r="E1544" s="3" t="s">
        <v>35</v>
      </c>
      <c r="F1544" s="4" t="str">
        <f aca="false">IF(I1544&gt;J1544,"Y","N")</f>
        <v>Y</v>
      </c>
      <c r="G1544" s="3" t="s">
        <v>36</v>
      </c>
      <c r="H1544" s="3" t="s">
        <v>37</v>
      </c>
      <c r="I1544" s="4" t="n">
        <v>17</v>
      </c>
      <c r="J1544" s="4" t="n">
        <f aca="false">LEN(E1544)-LEN(SUBSTITUTE(E1544,",",""))+1</f>
        <v>7</v>
      </c>
      <c r="K1544" s="3" t="str">
        <f aca="false">IFERROR(INDEX('Teacher Lookup'!$B$2:$B$200,MATCH(A1544,'Teacher Lookup'!$A$2:$A$200,0)),"")</f>
        <v>AU Candice</v>
      </c>
    </row>
    <row r="1545" customFormat="false" ht="15" hidden="false" customHeight="false" outlineLevel="0" collapsed="false">
      <c r="A1545" s="3" t="s">
        <v>294</v>
      </c>
      <c r="B1545" s="4" t="s">
        <v>60</v>
      </c>
      <c r="C1545" s="4" t="n">
        <v>5</v>
      </c>
      <c r="D1545" s="4" t="s">
        <v>23</v>
      </c>
      <c r="E1545" s="3" t="s">
        <v>35</v>
      </c>
      <c r="F1545" s="4" t="str">
        <f aca="false">IF(I1545&gt;J1545,"Y","N")</f>
        <v>Y</v>
      </c>
      <c r="G1545" s="3" t="s">
        <v>36</v>
      </c>
      <c r="H1545" s="3" t="s">
        <v>37</v>
      </c>
      <c r="I1545" s="4" t="n">
        <v>17</v>
      </c>
      <c r="J1545" s="4" t="n">
        <f aca="false">LEN(E1545)-LEN(SUBSTITUTE(E1545,",",""))+1</f>
        <v>7</v>
      </c>
      <c r="K1545" s="3" t="str">
        <f aca="false">IFERROR(INDEX('Teacher Lookup'!$B$2:$B$200,MATCH(A1545,'Teacher Lookup'!$A$2:$A$200,0)),"")</f>
        <v>AU Candice</v>
      </c>
    </row>
    <row r="1546" customFormat="false" ht="15" hidden="false" customHeight="false" outlineLevel="0" collapsed="false">
      <c r="A1546" s="3" t="s">
        <v>294</v>
      </c>
      <c r="B1546" s="4" t="s">
        <v>60</v>
      </c>
      <c r="C1546" s="4" t="n">
        <v>5</v>
      </c>
      <c r="D1546" s="4" t="s">
        <v>13</v>
      </c>
      <c r="E1546" s="3" t="s">
        <v>35</v>
      </c>
      <c r="F1546" s="4" t="str">
        <f aca="false">IF(I1546&gt;J1546,"Y","N")</f>
        <v>Y</v>
      </c>
      <c r="G1546" s="3" t="s">
        <v>36</v>
      </c>
      <c r="H1546" s="3" t="s">
        <v>37</v>
      </c>
      <c r="I1546" s="4" t="n">
        <v>17</v>
      </c>
      <c r="J1546" s="4" t="n">
        <f aca="false">LEN(E1546)-LEN(SUBSTITUTE(E1546,",",""))+1</f>
        <v>7</v>
      </c>
      <c r="K1546" s="3" t="str">
        <f aca="false">IFERROR(INDEX('Teacher Lookup'!$B$2:$B$200,MATCH(A1546,'Teacher Lookup'!$A$2:$A$200,0)),"")</f>
        <v>AU Candice</v>
      </c>
    </row>
    <row r="1547" customFormat="false" ht="15" hidden="false" customHeight="false" outlineLevel="0" collapsed="false">
      <c r="A1547" s="3" t="s">
        <v>294</v>
      </c>
      <c r="B1547" s="4" t="s">
        <v>60</v>
      </c>
      <c r="C1547" s="4" t="n">
        <v>5</v>
      </c>
      <c r="D1547" s="4" t="s">
        <v>17</v>
      </c>
      <c r="E1547" s="3" t="s">
        <v>35</v>
      </c>
      <c r="F1547" s="4" t="str">
        <f aca="false">IF(I1547&gt;J1547,"Y","N")</f>
        <v>Y</v>
      </c>
      <c r="G1547" s="3" t="s">
        <v>36</v>
      </c>
      <c r="H1547" s="3" t="s">
        <v>37</v>
      </c>
      <c r="I1547" s="4" t="n">
        <v>17</v>
      </c>
      <c r="J1547" s="4" t="n">
        <f aca="false">LEN(E1547)-LEN(SUBSTITUTE(E1547,",",""))+1</f>
        <v>7</v>
      </c>
      <c r="K1547" s="3" t="str">
        <f aca="false">IFERROR(INDEX('Teacher Lookup'!$B$2:$B$200,MATCH(A1547,'Teacher Lookup'!$A$2:$A$200,0)),"")</f>
        <v>AU Candice</v>
      </c>
    </row>
    <row r="1548" customFormat="false" ht="15" hidden="false" customHeight="false" outlineLevel="0" collapsed="false">
      <c r="A1548" s="3" t="s">
        <v>294</v>
      </c>
      <c r="B1548" s="4" t="s">
        <v>60</v>
      </c>
      <c r="C1548" s="4" t="n">
        <v>5</v>
      </c>
      <c r="D1548" s="4" t="s">
        <v>18</v>
      </c>
      <c r="E1548" s="3" t="s">
        <v>35</v>
      </c>
      <c r="F1548" s="4" t="str">
        <f aca="false">IF(I1548&gt;J1548,"Y","N")</f>
        <v>Y</v>
      </c>
      <c r="G1548" s="3" t="s">
        <v>36</v>
      </c>
      <c r="H1548" s="3" t="s">
        <v>37</v>
      </c>
      <c r="I1548" s="4" t="n">
        <v>17</v>
      </c>
      <c r="J1548" s="4" t="n">
        <f aca="false">LEN(E1548)-LEN(SUBSTITUTE(E1548,",",""))+1</f>
        <v>7</v>
      </c>
      <c r="K1548" s="3" t="str">
        <f aca="false">IFERROR(INDEX('Teacher Lookup'!$B$2:$B$200,MATCH(A1548,'Teacher Lookup'!$A$2:$A$200,0)),"")</f>
        <v>AU Candice</v>
      </c>
    </row>
    <row r="1549" customFormat="false" ht="15" hidden="false" customHeight="false" outlineLevel="0" collapsed="false">
      <c r="A1549" s="3" t="s">
        <v>294</v>
      </c>
      <c r="B1549" s="4" t="s">
        <v>60</v>
      </c>
      <c r="C1549" s="4" t="n">
        <v>6</v>
      </c>
      <c r="D1549" s="4" t="s">
        <v>13</v>
      </c>
      <c r="E1549" s="3" t="s">
        <v>297</v>
      </c>
      <c r="F1549" s="4" t="str">
        <f aca="false">IF(I1549&gt;J1549,"Y","N")</f>
        <v>Y</v>
      </c>
      <c r="G1549" s="3" t="s">
        <v>296</v>
      </c>
      <c r="H1549" s="3" t="s">
        <v>42</v>
      </c>
      <c r="I1549" s="4" t="n">
        <v>2</v>
      </c>
      <c r="J1549" s="4" t="n">
        <f aca="false">LEN(E1549)-LEN(SUBSTITUTE(E1549,",",""))+1</f>
        <v>1</v>
      </c>
      <c r="K1549" s="3" t="str">
        <f aca="false">IFERROR(INDEX('Teacher Lookup'!$B$2:$B$200,MATCH(A1549,'Teacher Lookup'!$A$2:$A$200,0)),"")</f>
        <v>AU Candice</v>
      </c>
    </row>
    <row r="1550" customFormat="false" ht="15" hidden="false" customHeight="false" outlineLevel="0" collapsed="false">
      <c r="A1550" s="3" t="s">
        <v>294</v>
      </c>
      <c r="B1550" s="4" t="s">
        <v>60</v>
      </c>
      <c r="C1550" s="4" t="n">
        <v>7</v>
      </c>
      <c r="D1550" s="4" t="s">
        <v>58</v>
      </c>
      <c r="E1550" s="3" t="s">
        <v>297</v>
      </c>
      <c r="F1550" s="4" t="str">
        <f aca="false">IF(I1550&gt;J1550,"Y","N")</f>
        <v>Y</v>
      </c>
      <c r="G1550" s="3" t="s">
        <v>296</v>
      </c>
      <c r="H1550" s="3" t="s">
        <v>39</v>
      </c>
      <c r="I1550" s="4" t="n">
        <v>2</v>
      </c>
      <c r="J1550" s="4" t="n">
        <f aca="false">LEN(E1550)-LEN(SUBSTITUTE(E1550,",",""))+1</f>
        <v>1</v>
      </c>
      <c r="K1550" s="3" t="str">
        <f aca="false">IFERROR(INDEX('Teacher Lookup'!$B$2:$B$200,MATCH(A1550,'Teacher Lookup'!$A$2:$A$200,0)),"")</f>
        <v>AU Candice</v>
      </c>
    </row>
    <row r="1551" customFormat="false" ht="15" hidden="false" customHeight="false" outlineLevel="0" collapsed="false">
      <c r="A1551" s="3" t="s">
        <v>294</v>
      </c>
      <c r="B1551" s="4" t="s">
        <v>63</v>
      </c>
      <c r="C1551" s="4" t="n">
        <v>1</v>
      </c>
      <c r="D1551" s="4" t="s">
        <v>22</v>
      </c>
      <c r="E1551" s="3" t="s">
        <v>297</v>
      </c>
      <c r="F1551" s="4" t="str">
        <f aca="false">IF(I1551&gt;J1551,"Y","N")</f>
        <v>Y</v>
      </c>
      <c r="G1551" s="3" t="s">
        <v>296</v>
      </c>
      <c r="H1551" s="3" t="s">
        <v>16</v>
      </c>
      <c r="I1551" s="4" t="n">
        <v>2</v>
      </c>
      <c r="J1551" s="4" t="n">
        <f aca="false">LEN(E1551)-LEN(SUBSTITUTE(E1551,",",""))+1</f>
        <v>1</v>
      </c>
      <c r="K1551" s="3" t="str">
        <f aca="false">IFERROR(INDEX('Teacher Lookup'!$B$2:$B$200,MATCH(A1551,'Teacher Lookup'!$A$2:$A$200,0)),"")</f>
        <v>AU Candice</v>
      </c>
    </row>
    <row r="1552" customFormat="false" ht="15" hidden="false" customHeight="false" outlineLevel="0" collapsed="false">
      <c r="A1552" s="3" t="s">
        <v>294</v>
      </c>
      <c r="B1552" s="4" t="s">
        <v>63</v>
      </c>
      <c r="C1552" s="4" t="n">
        <v>4</v>
      </c>
      <c r="D1552" s="4" t="s">
        <v>58</v>
      </c>
      <c r="E1552" s="3" t="s">
        <v>297</v>
      </c>
      <c r="F1552" s="4" t="str">
        <f aca="false">IF(I1552&gt;J1552,"Y","N")</f>
        <v>Y</v>
      </c>
      <c r="G1552" s="3" t="s">
        <v>296</v>
      </c>
      <c r="H1552" s="3" t="s">
        <v>34</v>
      </c>
      <c r="I1552" s="4" t="n">
        <v>2</v>
      </c>
      <c r="J1552" s="4" t="n">
        <f aca="false">LEN(E1552)-LEN(SUBSTITUTE(E1552,",",""))+1</f>
        <v>1</v>
      </c>
      <c r="K1552" s="3" t="str">
        <f aca="false">IFERROR(INDEX('Teacher Lookup'!$B$2:$B$200,MATCH(A1552,'Teacher Lookup'!$A$2:$A$200,0)),"")</f>
        <v>AU Candice</v>
      </c>
    </row>
    <row r="1553" customFormat="false" ht="15" hidden="false" customHeight="false" outlineLevel="0" collapsed="false">
      <c r="A1553" s="3" t="s">
        <v>294</v>
      </c>
      <c r="B1553" s="4" t="s">
        <v>63</v>
      </c>
      <c r="C1553" s="4" t="n">
        <v>7</v>
      </c>
      <c r="D1553" s="4" t="s">
        <v>13</v>
      </c>
      <c r="E1553" s="3" t="s">
        <v>297</v>
      </c>
      <c r="F1553" s="4" t="str">
        <f aca="false">IF(I1553&gt;J1553,"Y","N")</f>
        <v>Y</v>
      </c>
      <c r="G1553" s="3" t="s">
        <v>296</v>
      </c>
      <c r="H1553" s="3" t="s">
        <v>39</v>
      </c>
      <c r="I1553" s="4" t="n">
        <v>2</v>
      </c>
      <c r="J1553" s="4" t="n">
        <f aca="false">LEN(E1553)-LEN(SUBSTITUTE(E1553,",",""))+1</f>
        <v>1</v>
      </c>
      <c r="K1553" s="3" t="str">
        <f aca="false">IFERROR(INDEX('Teacher Lookup'!$B$2:$B$200,MATCH(A1553,'Teacher Lookup'!$A$2:$A$200,0)),"")</f>
        <v>AU Candice</v>
      </c>
    </row>
    <row r="1554" customFormat="false" ht="15" hidden="false" customHeight="false" outlineLevel="0" collapsed="false">
      <c r="A1554" s="3" t="s">
        <v>294</v>
      </c>
      <c r="B1554" s="4" t="s">
        <v>65</v>
      </c>
      <c r="C1554" s="4" t="n">
        <v>1</v>
      </c>
      <c r="D1554" s="4" t="s">
        <v>58</v>
      </c>
      <c r="E1554" s="3" t="s">
        <v>297</v>
      </c>
      <c r="F1554" s="4" t="str">
        <f aca="false">IF(I1554&gt;J1554,"Y","N")</f>
        <v>Y</v>
      </c>
      <c r="G1554" s="3" t="s">
        <v>296</v>
      </c>
      <c r="H1554" s="3" t="s">
        <v>16</v>
      </c>
      <c r="I1554" s="4" t="n">
        <v>2</v>
      </c>
      <c r="J1554" s="4" t="n">
        <f aca="false">LEN(E1554)-LEN(SUBSTITUTE(E1554,",",""))+1</f>
        <v>1</v>
      </c>
      <c r="K1554" s="3" t="str">
        <f aca="false">IFERROR(INDEX('Teacher Lookup'!$B$2:$B$200,MATCH(A1554,'Teacher Lookup'!$A$2:$A$200,0)),"")</f>
        <v>AU Candice</v>
      </c>
    </row>
    <row r="1555" customFormat="false" ht="15" hidden="false" customHeight="false" outlineLevel="0" collapsed="false">
      <c r="A1555" s="3" t="s">
        <v>294</v>
      </c>
      <c r="B1555" s="4" t="s">
        <v>65</v>
      </c>
      <c r="C1555" s="4" t="n">
        <v>2</v>
      </c>
      <c r="D1555" s="4" t="s">
        <v>79</v>
      </c>
      <c r="E1555" s="3" t="s">
        <v>297</v>
      </c>
      <c r="F1555" s="4" t="str">
        <f aca="false">IF(I1555&gt;J1555,"Y","N")</f>
        <v>Y</v>
      </c>
      <c r="G1555" s="3" t="s">
        <v>296</v>
      </c>
      <c r="H1555" s="3" t="s">
        <v>21</v>
      </c>
      <c r="I1555" s="4" t="n">
        <v>2</v>
      </c>
      <c r="J1555" s="4" t="n">
        <f aca="false">LEN(E1555)-LEN(SUBSTITUTE(E1555,",",""))+1</f>
        <v>1</v>
      </c>
      <c r="K1555" s="3" t="str">
        <f aca="false">IFERROR(INDEX('Teacher Lookup'!$B$2:$B$200,MATCH(A1555,'Teacher Lookup'!$A$2:$A$200,0)),"")</f>
        <v>AU Candice</v>
      </c>
    </row>
    <row r="1556" customFormat="false" ht="15" hidden="false" customHeight="false" outlineLevel="0" collapsed="false">
      <c r="A1556" s="3" t="s">
        <v>294</v>
      </c>
      <c r="B1556" s="4" t="s">
        <v>65</v>
      </c>
      <c r="C1556" s="4" t="n">
        <v>3</v>
      </c>
      <c r="D1556" s="4" t="s">
        <v>23</v>
      </c>
      <c r="E1556" s="3" t="s">
        <v>297</v>
      </c>
      <c r="F1556" s="4" t="str">
        <f aca="false">IF(I1556&gt;J1556,"Y","N")</f>
        <v>Y</v>
      </c>
      <c r="G1556" s="3" t="s">
        <v>296</v>
      </c>
      <c r="H1556" s="3" t="s">
        <v>26</v>
      </c>
      <c r="I1556" s="4" t="n">
        <v>2</v>
      </c>
      <c r="J1556" s="4" t="n">
        <f aca="false">LEN(E1556)-LEN(SUBSTITUTE(E1556,",",""))+1</f>
        <v>1</v>
      </c>
      <c r="K1556" s="3" t="str">
        <f aca="false">IFERROR(INDEX('Teacher Lookup'!$B$2:$B$200,MATCH(A1556,'Teacher Lookup'!$A$2:$A$200,0)),"")</f>
        <v>AU Candice</v>
      </c>
    </row>
    <row r="1557" customFormat="false" ht="15" hidden="false" customHeight="false" outlineLevel="0" collapsed="false">
      <c r="A1557" s="3" t="s">
        <v>294</v>
      </c>
      <c r="B1557" s="4" t="s">
        <v>65</v>
      </c>
      <c r="C1557" s="4" t="n">
        <v>5</v>
      </c>
      <c r="D1557" s="4" t="s">
        <v>19</v>
      </c>
      <c r="E1557" s="3" t="s">
        <v>35</v>
      </c>
      <c r="F1557" s="4" t="str">
        <f aca="false">IF(I1557&gt;J1557,"Y","N")</f>
        <v>Y</v>
      </c>
      <c r="G1557" s="3" t="s">
        <v>36</v>
      </c>
      <c r="H1557" s="3" t="s">
        <v>37</v>
      </c>
      <c r="I1557" s="4" t="n">
        <v>17</v>
      </c>
      <c r="J1557" s="4" t="n">
        <f aca="false">LEN(E1557)-LEN(SUBSTITUTE(E1557,",",""))+1</f>
        <v>7</v>
      </c>
      <c r="K1557" s="3" t="str">
        <f aca="false">IFERROR(INDEX('Teacher Lookup'!$B$2:$B$200,MATCH(A1557,'Teacher Lookup'!$A$2:$A$200,0)),"")</f>
        <v>AU Candice</v>
      </c>
    </row>
    <row r="1558" customFormat="false" ht="15" hidden="false" customHeight="false" outlineLevel="0" collapsed="false">
      <c r="A1558" s="3" t="s">
        <v>294</v>
      </c>
      <c r="B1558" s="4" t="s">
        <v>65</v>
      </c>
      <c r="C1558" s="4" t="n">
        <v>5</v>
      </c>
      <c r="D1558" s="4" t="s">
        <v>22</v>
      </c>
      <c r="E1558" s="3" t="s">
        <v>35</v>
      </c>
      <c r="F1558" s="4" t="str">
        <f aca="false">IF(I1558&gt;J1558,"Y","N")</f>
        <v>Y</v>
      </c>
      <c r="G1558" s="3" t="s">
        <v>36</v>
      </c>
      <c r="H1558" s="3" t="s">
        <v>37</v>
      </c>
      <c r="I1558" s="4" t="n">
        <v>17</v>
      </c>
      <c r="J1558" s="4" t="n">
        <f aca="false">LEN(E1558)-LEN(SUBSTITUTE(E1558,",",""))+1</f>
        <v>7</v>
      </c>
      <c r="K1558" s="3" t="str">
        <f aca="false">IFERROR(INDEX('Teacher Lookup'!$B$2:$B$200,MATCH(A1558,'Teacher Lookup'!$A$2:$A$200,0)),"")</f>
        <v>AU Candice</v>
      </c>
    </row>
    <row r="1559" customFormat="false" ht="15" hidden="false" customHeight="false" outlineLevel="0" collapsed="false">
      <c r="A1559" s="3" t="s">
        <v>294</v>
      </c>
      <c r="B1559" s="4" t="s">
        <v>65</v>
      </c>
      <c r="C1559" s="4" t="n">
        <v>5</v>
      </c>
      <c r="D1559" s="4" t="s">
        <v>23</v>
      </c>
      <c r="E1559" s="3" t="s">
        <v>35</v>
      </c>
      <c r="F1559" s="4" t="str">
        <f aca="false">IF(I1559&gt;J1559,"Y","N")</f>
        <v>Y</v>
      </c>
      <c r="G1559" s="3" t="s">
        <v>36</v>
      </c>
      <c r="H1559" s="3" t="s">
        <v>37</v>
      </c>
      <c r="I1559" s="4" t="n">
        <v>17</v>
      </c>
      <c r="J1559" s="4" t="n">
        <f aca="false">LEN(E1559)-LEN(SUBSTITUTE(E1559,",",""))+1</f>
        <v>7</v>
      </c>
      <c r="K1559" s="3" t="str">
        <f aca="false">IFERROR(INDEX('Teacher Lookup'!$B$2:$B$200,MATCH(A1559,'Teacher Lookup'!$A$2:$A$200,0)),"")</f>
        <v>AU Candice</v>
      </c>
    </row>
    <row r="1560" customFormat="false" ht="15" hidden="false" customHeight="false" outlineLevel="0" collapsed="false">
      <c r="A1560" s="3" t="s">
        <v>294</v>
      </c>
      <c r="B1560" s="4" t="s">
        <v>65</v>
      </c>
      <c r="C1560" s="4" t="n">
        <v>5</v>
      </c>
      <c r="D1560" s="4" t="s">
        <v>13</v>
      </c>
      <c r="E1560" s="3" t="s">
        <v>35</v>
      </c>
      <c r="F1560" s="4" t="str">
        <f aca="false">IF(I1560&gt;J1560,"Y","N")</f>
        <v>Y</v>
      </c>
      <c r="G1560" s="3" t="s">
        <v>36</v>
      </c>
      <c r="H1560" s="3" t="s">
        <v>37</v>
      </c>
      <c r="I1560" s="4" t="n">
        <v>17</v>
      </c>
      <c r="J1560" s="4" t="n">
        <f aca="false">LEN(E1560)-LEN(SUBSTITUTE(E1560,",",""))+1</f>
        <v>7</v>
      </c>
      <c r="K1560" s="3" t="str">
        <f aca="false">IFERROR(INDEX('Teacher Lookup'!$B$2:$B$200,MATCH(A1560,'Teacher Lookup'!$A$2:$A$200,0)),"")</f>
        <v>AU Candice</v>
      </c>
    </row>
    <row r="1561" customFormat="false" ht="15" hidden="false" customHeight="false" outlineLevel="0" collapsed="false">
      <c r="A1561" s="3" t="s">
        <v>294</v>
      </c>
      <c r="B1561" s="4" t="s">
        <v>65</v>
      </c>
      <c r="C1561" s="4" t="n">
        <v>5</v>
      </c>
      <c r="D1561" s="4" t="s">
        <v>17</v>
      </c>
      <c r="E1561" s="3" t="s">
        <v>35</v>
      </c>
      <c r="F1561" s="4" t="str">
        <f aca="false">IF(I1561&gt;J1561,"Y","N")</f>
        <v>Y</v>
      </c>
      <c r="G1561" s="3" t="s">
        <v>36</v>
      </c>
      <c r="H1561" s="3" t="s">
        <v>37</v>
      </c>
      <c r="I1561" s="4" t="n">
        <v>17</v>
      </c>
      <c r="J1561" s="4" t="n">
        <f aca="false">LEN(E1561)-LEN(SUBSTITUTE(E1561,",",""))+1</f>
        <v>7</v>
      </c>
      <c r="K1561" s="3" t="str">
        <f aca="false">IFERROR(INDEX('Teacher Lookup'!$B$2:$B$200,MATCH(A1561,'Teacher Lookup'!$A$2:$A$200,0)),"")</f>
        <v>AU Candice</v>
      </c>
    </row>
    <row r="1562" customFormat="false" ht="15" hidden="false" customHeight="false" outlineLevel="0" collapsed="false">
      <c r="A1562" s="3" t="s">
        <v>294</v>
      </c>
      <c r="B1562" s="4" t="s">
        <v>65</v>
      </c>
      <c r="C1562" s="4" t="n">
        <v>5</v>
      </c>
      <c r="D1562" s="4" t="s">
        <v>18</v>
      </c>
      <c r="E1562" s="3" t="s">
        <v>35</v>
      </c>
      <c r="F1562" s="4" t="str">
        <f aca="false">IF(I1562&gt;J1562,"Y","N")</f>
        <v>Y</v>
      </c>
      <c r="G1562" s="3" t="s">
        <v>36</v>
      </c>
      <c r="H1562" s="3" t="s">
        <v>37</v>
      </c>
      <c r="I1562" s="4" t="n">
        <v>17</v>
      </c>
      <c r="J1562" s="4" t="n">
        <f aca="false">LEN(E1562)-LEN(SUBSTITUTE(E1562,",",""))+1</f>
        <v>7</v>
      </c>
      <c r="K1562" s="3" t="str">
        <f aca="false">IFERROR(INDEX('Teacher Lookup'!$B$2:$B$200,MATCH(A1562,'Teacher Lookup'!$A$2:$A$200,0)),"")</f>
        <v>AU Candice</v>
      </c>
    </row>
    <row r="1563" customFormat="false" ht="15" hidden="false" customHeight="false" outlineLevel="0" collapsed="false">
      <c r="A1563" s="3" t="s">
        <v>294</v>
      </c>
      <c r="B1563" s="4" t="s">
        <v>66</v>
      </c>
      <c r="C1563" s="4" t="n">
        <v>1</v>
      </c>
      <c r="D1563" s="4" t="s">
        <v>18</v>
      </c>
      <c r="E1563" s="3" t="s">
        <v>298</v>
      </c>
      <c r="F1563" s="4" t="str">
        <f aca="false">IF(I1563&gt;J1563,"Y","N")</f>
        <v>N</v>
      </c>
      <c r="G1563" s="3" t="s">
        <v>299</v>
      </c>
      <c r="H1563" s="3" t="s">
        <v>16</v>
      </c>
      <c r="I1563" s="4" t="n">
        <v>2</v>
      </c>
      <c r="J1563" s="4" t="n">
        <f aca="false">LEN(E1563)-LEN(SUBSTITUTE(E1563,",",""))+1</f>
        <v>2</v>
      </c>
      <c r="K1563" s="3" t="str">
        <f aca="false">IFERROR(INDEX('Teacher Lookup'!$B$2:$B$200,MATCH(A1563,'Teacher Lookup'!$A$2:$A$200,0)),"")</f>
        <v>AU Candice</v>
      </c>
    </row>
    <row r="1564" customFormat="false" ht="15" hidden="false" customHeight="false" outlineLevel="0" collapsed="false">
      <c r="A1564" s="3" t="s">
        <v>294</v>
      </c>
      <c r="B1564" s="4" t="s">
        <v>66</v>
      </c>
      <c r="C1564" s="4" t="n">
        <v>3</v>
      </c>
      <c r="D1564" s="4" t="s">
        <v>58</v>
      </c>
      <c r="E1564" s="3" t="s">
        <v>297</v>
      </c>
      <c r="F1564" s="4" t="str">
        <f aca="false">IF(I1564&gt;J1564,"Y","N")</f>
        <v>Y</v>
      </c>
      <c r="G1564" s="3" t="s">
        <v>296</v>
      </c>
      <c r="H1564" s="3" t="s">
        <v>26</v>
      </c>
      <c r="I1564" s="4" t="n">
        <v>2</v>
      </c>
      <c r="J1564" s="4" t="n">
        <f aca="false">LEN(E1564)-LEN(SUBSTITUTE(E1564,",",""))+1</f>
        <v>1</v>
      </c>
      <c r="K1564" s="3" t="str">
        <f aca="false">IFERROR(INDEX('Teacher Lookup'!$B$2:$B$200,MATCH(A1564,'Teacher Lookup'!$A$2:$A$200,0)),"")</f>
        <v>AU Candice</v>
      </c>
    </row>
    <row r="1565" customFormat="false" ht="15" hidden="false" customHeight="false" outlineLevel="0" collapsed="false">
      <c r="A1565" s="3" t="s">
        <v>294</v>
      </c>
      <c r="B1565" s="4" t="s">
        <v>66</v>
      </c>
      <c r="C1565" s="4" t="n">
        <v>4</v>
      </c>
      <c r="D1565" s="4" t="s">
        <v>23</v>
      </c>
      <c r="E1565" s="3" t="s">
        <v>298</v>
      </c>
      <c r="F1565" s="4" t="str">
        <f aca="false">IF(I1565&gt;J1565,"Y","N")</f>
        <v>N</v>
      </c>
      <c r="G1565" s="3" t="s">
        <v>299</v>
      </c>
      <c r="H1565" s="3" t="s">
        <v>34</v>
      </c>
      <c r="I1565" s="4" t="n">
        <v>2</v>
      </c>
      <c r="J1565" s="4" t="n">
        <f aca="false">LEN(E1565)-LEN(SUBSTITUTE(E1565,",",""))+1</f>
        <v>2</v>
      </c>
      <c r="K1565" s="3" t="str">
        <f aca="false">IFERROR(INDEX('Teacher Lookup'!$B$2:$B$200,MATCH(A1565,'Teacher Lookup'!$A$2:$A$200,0)),"")</f>
        <v>AU Candice</v>
      </c>
    </row>
    <row r="1566" customFormat="false" ht="15" hidden="false" customHeight="false" outlineLevel="0" collapsed="false">
      <c r="A1566" s="3" t="s">
        <v>300</v>
      </c>
      <c r="B1566" s="4" t="s">
        <v>12</v>
      </c>
      <c r="C1566" s="4" t="n">
        <v>1</v>
      </c>
      <c r="D1566" s="4" t="s">
        <v>52</v>
      </c>
      <c r="E1566" s="3" t="s">
        <v>301</v>
      </c>
      <c r="F1566" s="4" t="str">
        <f aca="false">IF(I1566&gt;J1566,"Y","N")</f>
        <v>N</v>
      </c>
      <c r="G1566" s="3" t="s">
        <v>15</v>
      </c>
      <c r="H1566" s="3" t="s">
        <v>16</v>
      </c>
      <c r="I1566" s="4" t="n">
        <v>7</v>
      </c>
      <c r="J1566" s="4" t="n">
        <f aca="false">LEN(E1566)-LEN(SUBSTITUTE(E1566,",",""))+1</f>
        <v>7</v>
      </c>
      <c r="K1566" s="3" t="str">
        <f aca="false">IFERROR(INDEX('Teacher Lookup'!$B$2:$B$200,MATCH(A1566,'Teacher Lookup'!$A$2:$A$200,0)),"")</f>
        <v>CHAN Chong</v>
      </c>
    </row>
    <row r="1567" customFormat="false" ht="15" hidden="false" customHeight="false" outlineLevel="0" collapsed="false">
      <c r="A1567" s="3" t="s">
        <v>300</v>
      </c>
      <c r="B1567" s="4" t="s">
        <v>12</v>
      </c>
      <c r="C1567" s="4" t="n">
        <v>1</v>
      </c>
      <c r="D1567" s="4" t="s">
        <v>55</v>
      </c>
      <c r="E1567" s="3" t="s">
        <v>301</v>
      </c>
      <c r="F1567" s="4" t="str">
        <f aca="false">IF(I1567&gt;J1567,"Y","N")</f>
        <v>N</v>
      </c>
      <c r="G1567" s="3" t="s">
        <v>15</v>
      </c>
      <c r="H1567" s="3" t="s">
        <v>16</v>
      </c>
      <c r="I1567" s="4" t="n">
        <v>7</v>
      </c>
      <c r="J1567" s="4" t="n">
        <f aca="false">LEN(E1567)-LEN(SUBSTITUTE(E1567,",",""))+1</f>
        <v>7</v>
      </c>
      <c r="K1567" s="3" t="str">
        <f aca="false">IFERROR(INDEX('Teacher Lookup'!$B$2:$B$200,MATCH(A1567,'Teacher Lookup'!$A$2:$A$200,0)),"")</f>
        <v>CHAN Chong</v>
      </c>
    </row>
    <row r="1568" customFormat="false" ht="15" hidden="false" customHeight="false" outlineLevel="0" collapsed="false">
      <c r="A1568" s="3" t="s">
        <v>300</v>
      </c>
      <c r="B1568" s="4" t="s">
        <v>12</v>
      </c>
      <c r="C1568" s="4" t="n">
        <v>1</v>
      </c>
      <c r="D1568" s="4" t="s">
        <v>56</v>
      </c>
      <c r="E1568" s="3" t="s">
        <v>301</v>
      </c>
      <c r="F1568" s="4" t="str">
        <f aca="false">IF(I1568&gt;J1568,"Y","N")</f>
        <v>N</v>
      </c>
      <c r="G1568" s="3" t="s">
        <v>15</v>
      </c>
      <c r="H1568" s="3" t="s">
        <v>16</v>
      </c>
      <c r="I1568" s="4" t="n">
        <v>7</v>
      </c>
      <c r="J1568" s="4" t="n">
        <f aca="false">LEN(E1568)-LEN(SUBSTITUTE(E1568,",",""))+1</f>
        <v>7</v>
      </c>
      <c r="K1568" s="3" t="str">
        <f aca="false">IFERROR(INDEX('Teacher Lookup'!$B$2:$B$200,MATCH(A1568,'Teacher Lookup'!$A$2:$A$200,0)),"")</f>
        <v>CHAN Chong</v>
      </c>
    </row>
    <row r="1569" customFormat="false" ht="15" hidden="false" customHeight="false" outlineLevel="0" collapsed="false">
      <c r="A1569" s="3" t="s">
        <v>300</v>
      </c>
      <c r="B1569" s="4" t="s">
        <v>12</v>
      </c>
      <c r="C1569" s="4" t="n">
        <v>1</v>
      </c>
      <c r="D1569" s="4" t="s">
        <v>57</v>
      </c>
      <c r="E1569" s="3" t="s">
        <v>301</v>
      </c>
      <c r="F1569" s="4" t="str">
        <f aca="false">IF(I1569&gt;J1569,"Y","N")</f>
        <v>N</v>
      </c>
      <c r="G1569" s="3" t="s">
        <v>15</v>
      </c>
      <c r="H1569" s="3" t="s">
        <v>16</v>
      </c>
      <c r="I1569" s="4" t="n">
        <v>7</v>
      </c>
      <c r="J1569" s="4" t="n">
        <f aca="false">LEN(E1569)-LEN(SUBSTITUTE(E1569,",",""))+1</f>
        <v>7</v>
      </c>
      <c r="K1569" s="3" t="str">
        <f aca="false">IFERROR(INDEX('Teacher Lookup'!$B$2:$B$200,MATCH(A1569,'Teacher Lookup'!$A$2:$A$200,0)),"")</f>
        <v>CHAN Chong</v>
      </c>
    </row>
    <row r="1570" customFormat="false" ht="15" hidden="false" customHeight="false" outlineLevel="0" collapsed="false">
      <c r="A1570" s="3" t="s">
        <v>300</v>
      </c>
      <c r="B1570" s="4" t="s">
        <v>12</v>
      </c>
      <c r="C1570" s="4" t="n">
        <v>1</v>
      </c>
      <c r="D1570" s="4" t="s">
        <v>58</v>
      </c>
      <c r="E1570" s="3" t="s">
        <v>301</v>
      </c>
      <c r="F1570" s="4" t="str">
        <f aca="false">IF(I1570&gt;J1570,"Y","N")</f>
        <v>N</v>
      </c>
      <c r="G1570" s="3" t="s">
        <v>15</v>
      </c>
      <c r="H1570" s="3" t="s">
        <v>16</v>
      </c>
      <c r="I1570" s="4" t="n">
        <v>7</v>
      </c>
      <c r="J1570" s="4" t="n">
        <f aca="false">LEN(E1570)-LEN(SUBSTITUTE(E1570,",",""))+1</f>
        <v>7</v>
      </c>
      <c r="K1570" s="3" t="str">
        <f aca="false">IFERROR(INDEX('Teacher Lookup'!$B$2:$B$200,MATCH(A1570,'Teacher Lookup'!$A$2:$A$200,0)),"")</f>
        <v>CHAN Chong</v>
      </c>
    </row>
    <row r="1571" customFormat="false" ht="15" hidden="false" customHeight="false" outlineLevel="0" collapsed="false">
      <c r="A1571" s="3" t="s">
        <v>300</v>
      </c>
      <c r="B1571" s="4" t="s">
        <v>12</v>
      </c>
      <c r="C1571" s="4" t="n">
        <v>1</v>
      </c>
      <c r="D1571" s="4" t="s">
        <v>59</v>
      </c>
      <c r="E1571" s="3" t="s">
        <v>301</v>
      </c>
      <c r="F1571" s="4" t="str">
        <f aca="false">IF(I1571&gt;J1571,"Y","N")</f>
        <v>N</v>
      </c>
      <c r="G1571" s="3" t="s">
        <v>15</v>
      </c>
      <c r="H1571" s="3" t="s">
        <v>16</v>
      </c>
      <c r="I1571" s="4" t="n">
        <v>7</v>
      </c>
      <c r="J1571" s="4" t="n">
        <f aca="false">LEN(E1571)-LEN(SUBSTITUTE(E1571,",",""))+1</f>
        <v>7</v>
      </c>
      <c r="K1571" s="3" t="str">
        <f aca="false">IFERROR(INDEX('Teacher Lookup'!$B$2:$B$200,MATCH(A1571,'Teacher Lookup'!$A$2:$A$200,0)),"")</f>
        <v>CHAN Chong</v>
      </c>
    </row>
    <row r="1572" customFormat="false" ht="15" hidden="false" customHeight="false" outlineLevel="0" collapsed="false">
      <c r="A1572" s="3" t="s">
        <v>300</v>
      </c>
      <c r="B1572" s="4" t="s">
        <v>12</v>
      </c>
      <c r="C1572" s="4" t="n">
        <v>3</v>
      </c>
      <c r="D1572" s="4" t="s">
        <v>228</v>
      </c>
      <c r="E1572" s="3" t="s">
        <v>302</v>
      </c>
      <c r="F1572" s="4" t="str">
        <f aca="false">IF(I1572&gt;J1572,"Y","N")</f>
        <v>N</v>
      </c>
      <c r="G1572" s="3" t="s">
        <v>15</v>
      </c>
      <c r="H1572" s="3" t="s">
        <v>26</v>
      </c>
      <c r="I1572" s="4" t="n">
        <v>1</v>
      </c>
      <c r="J1572" s="4" t="n">
        <f aca="false">LEN(E1572)-LEN(SUBSTITUTE(E1572,",",""))+1</f>
        <v>1</v>
      </c>
      <c r="K1572" s="3" t="str">
        <f aca="false">IFERROR(INDEX('Teacher Lookup'!$B$2:$B$200,MATCH(A1572,'Teacher Lookup'!$A$2:$A$200,0)),"")</f>
        <v>CHAN Chong</v>
      </c>
    </row>
    <row r="1573" customFormat="false" ht="15" hidden="false" customHeight="false" outlineLevel="0" collapsed="false">
      <c r="A1573" s="3" t="s">
        <v>300</v>
      </c>
      <c r="B1573" s="4" t="s">
        <v>12</v>
      </c>
      <c r="C1573" s="4" t="n">
        <v>7</v>
      </c>
      <c r="D1573" s="4" t="s">
        <v>70</v>
      </c>
      <c r="E1573" s="3" t="s">
        <v>217</v>
      </c>
      <c r="F1573" s="4" t="str">
        <f aca="false">IF(I1573&gt;J1573,"Y","N")</f>
        <v>N</v>
      </c>
      <c r="G1573" s="3" t="s">
        <v>15</v>
      </c>
      <c r="H1573" s="3" t="s">
        <v>39</v>
      </c>
      <c r="I1573" s="4" t="n">
        <v>4</v>
      </c>
      <c r="J1573" s="4" t="n">
        <f aca="false">LEN(E1573)-LEN(SUBSTITUTE(E1573,",",""))+1</f>
        <v>4</v>
      </c>
      <c r="K1573" s="3" t="str">
        <f aca="false">IFERROR(INDEX('Teacher Lookup'!$B$2:$B$200,MATCH(A1573,'Teacher Lookup'!$A$2:$A$200,0)),"")</f>
        <v>CHAN Chong</v>
      </c>
    </row>
    <row r="1574" customFormat="false" ht="15" hidden="false" customHeight="false" outlineLevel="0" collapsed="false">
      <c r="A1574" s="3" t="s">
        <v>300</v>
      </c>
      <c r="B1574" s="4" t="s">
        <v>12</v>
      </c>
      <c r="C1574" s="4" t="n">
        <v>7</v>
      </c>
      <c r="D1574" s="4" t="s">
        <v>73</v>
      </c>
      <c r="E1574" s="3" t="s">
        <v>217</v>
      </c>
      <c r="F1574" s="4" t="str">
        <f aca="false">IF(I1574&gt;J1574,"Y","N")</f>
        <v>N</v>
      </c>
      <c r="G1574" s="3" t="s">
        <v>15</v>
      </c>
      <c r="H1574" s="3" t="s">
        <v>39</v>
      </c>
      <c r="I1574" s="4" t="n">
        <v>4</v>
      </c>
      <c r="J1574" s="4" t="n">
        <f aca="false">LEN(E1574)-LEN(SUBSTITUTE(E1574,",",""))+1</f>
        <v>4</v>
      </c>
      <c r="K1574" s="3" t="str">
        <f aca="false">IFERROR(INDEX('Teacher Lookup'!$B$2:$B$200,MATCH(A1574,'Teacher Lookup'!$A$2:$A$200,0)),"")</f>
        <v>CHAN Chong</v>
      </c>
    </row>
    <row r="1575" customFormat="false" ht="15" hidden="false" customHeight="false" outlineLevel="0" collapsed="false">
      <c r="A1575" s="3" t="s">
        <v>300</v>
      </c>
      <c r="B1575" s="4" t="s">
        <v>12</v>
      </c>
      <c r="C1575" s="4" t="n">
        <v>7</v>
      </c>
      <c r="D1575" s="4" t="s">
        <v>74</v>
      </c>
      <c r="E1575" s="3" t="s">
        <v>217</v>
      </c>
      <c r="F1575" s="4" t="str">
        <f aca="false">IF(I1575&gt;J1575,"Y","N")</f>
        <v>N</v>
      </c>
      <c r="G1575" s="3" t="s">
        <v>15</v>
      </c>
      <c r="H1575" s="3" t="s">
        <v>39</v>
      </c>
      <c r="I1575" s="4" t="n">
        <v>4</v>
      </c>
      <c r="J1575" s="4" t="n">
        <f aca="false">LEN(E1575)-LEN(SUBSTITUTE(E1575,",",""))+1</f>
        <v>4</v>
      </c>
      <c r="K1575" s="3" t="str">
        <f aca="false">IFERROR(INDEX('Teacher Lookup'!$B$2:$B$200,MATCH(A1575,'Teacher Lookup'!$A$2:$A$200,0)),"")</f>
        <v>CHAN Chong</v>
      </c>
    </row>
    <row r="1576" customFormat="false" ht="15" hidden="false" customHeight="false" outlineLevel="0" collapsed="false">
      <c r="A1576" s="3" t="s">
        <v>300</v>
      </c>
      <c r="B1576" s="4" t="s">
        <v>31</v>
      </c>
      <c r="C1576" s="4" t="n">
        <v>2</v>
      </c>
      <c r="D1576" s="4" t="s">
        <v>52</v>
      </c>
      <c r="E1576" s="3" t="s">
        <v>303</v>
      </c>
      <c r="F1576" s="4" t="str">
        <f aca="false">IF(I1576&gt;J1576,"Y","N")</f>
        <v>N</v>
      </c>
      <c r="G1576" s="3" t="s">
        <v>15</v>
      </c>
      <c r="H1576" s="3" t="s">
        <v>21</v>
      </c>
      <c r="I1576" s="4" t="n">
        <v>7</v>
      </c>
      <c r="J1576" s="4" t="n">
        <f aca="false">LEN(E1576)-LEN(SUBSTITUTE(E1576,",",""))+1</f>
        <v>7</v>
      </c>
      <c r="K1576" s="3" t="str">
        <f aca="false">IFERROR(INDEX('Teacher Lookup'!$B$2:$B$200,MATCH(A1576,'Teacher Lookup'!$A$2:$A$200,0)),"")</f>
        <v>CHAN Chong</v>
      </c>
    </row>
    <row r="1577" customFormat="false" ht="15" hidden="false" customHeight="false" outlineLevel="0" collapsed="false">
      <c r="A1577" s="3" t="s">
        <v>300</v>
      </c>
      <c r="B1577" s="4" t="s">
        <v>31</v>
      </c>
      <c r="C1577" s="4" t="n">
        <v>2</v>
      </c>
      <c r="D1577" s="4" t="s">
        <v>55</v>
      </c>
      <c r="E1577" s="3" t="s">
        <v>303</v>
      </c>
      <c r="F1577" s="4" t="str">
        <f aca="false">IF(I1577&gt;J1577,"Y","N")</f>
        <v>N</v>
      </c>
      <c r="G1577" s="3" t="s">
        <v>15</v>
      </c>
      <c r="H1577" s="3" t="s">
        <v>21</v>
      </c>
      <c r="I1577" s="4" t="n">
        <v>7</v>
      </c>
      <c r="J1577" s="4" t="n">
        <f aca="false">LEN(E1577)-LEN(SUBSTITUTE(E1577,",",""))+1</f>
        <v>7</v>
      </c>
      <c r="K1577" s="3" t="str">
        <f aca="false">IFERROR(INDEX('Teacher Lookup'!$B$2:$B$200,MATCH(A1577,'Teacher Lookup'!$A$2:$A$200,0)),"")</f>
        <v>CHAN Chong</v>
      </c>
    </row>
    <row r="1578" customFormat="false" ht="15" hidden="false" customHeight="false" outlineLevel="0" collapsed="false">
      <c r="A1578" s="3" t="s">
        <v>300</v>
      </c>
      <c r="B1578" s="4" t="s">
        <v>31</v>
      </c>
      <c r="C1578" s="4" t="n">
        <v>2</v>
      </c>
      <c r="D1578" s="4" t="s">
        <v>56</v>
      </c>
      <c r="E1578" s="3" t="s">
        <v>303</v>
      </c>
      <c r="F1578" s="4" t="str">
        <f aca="false">IF(I1578&gt;J1578,"Y","N")</f>
        <v>N</v>
      </c>
      <c r="G1578" s="3" t="s">
        <v>15</v>
      </c>
      <c r="H1578" s="3" t="s">
        <v>21</v>
      </c>
      <c r="I1578" s="4" t="n">
        <v>7</v>
      </c>
      <c r="J1578" s="4" t="n">
        <f aca="false">LEN(E1578)-LEN(SUBSTITUTE(E1578,",",""))+1</f>
        <v>7</v>
      </c>
      <c r="K1578" s="3" t="str">
        <f aca="false">IFERROR(INDEX('Teacher Lookup'!$B$2:$B$200,MATCH(A1578,'Teacher Lookup'!$A$2:$A$200,0)),"")</f>
        <v>CHAN Chong</v>
      </c>
    </row>
    <row r="1579" customFormat="false" ht="15" hidden="false" customHeight="false" outlineLevel="0" collapsed="false">
      <c r="A1579" s="3" t="s">
        <v>300</v>
      </c>
      <c r="B1579" s="4" t="s">
        <v>31</v>
      </c>
      <c r="C1579" s="4" t="n">
        <v>2</v>
      </c>
      <c r="D1579" s="4" t="s">
        <v>57</v>
      </c>
      <c r="E1579" s="3" t="s">
        <v>303</v>
      </c>
      <c r="F1579" s="4" t="str">
        <f aca="false">IF(I1579&gt;J1579,"Y","N")</f>
        <v>N</v>
      </c>
      <c r="G1579" s="3" t="s">
        <v>15</v>
      </c>
      <c r="H1579" s="3" t="s">
        <v>21</v>
      </c>
      <c r="I1579" s="4" t="n">
        <v>7</v>
      </c>
      <c r="J1579" s="4" t="n">
        <f aca="false">LEN(E1579)-LEN(SUBSTITUTE(E1579,",",""))+1</f>
        <v>7</v>
      </c>
      <c r="K1579" s="3" t="str">
        <f aca="false">IFERROR(INDEX('Teacher Lookup'!$B$2:$B$200,MATCH(A1579,'Teacher Lookup'!$A$2:$A$200,0)),"")</f>
        <v>CHAN Chong</v>
      </c>
    </row>
    <row r="1580" customFormat="false" ht="15" hidden="false" customHeight="false" outlineLevel="0" collapsed="false">
      <c r="A1580" s="3" t="s">
        <v>300</v>
      </c>
      <c r="B1580" s="4" t="s">
        <v>31</v>
      </c>
      <c r="C1580" s="4" t="n">
        <v>2</v>
      </c>
      <c r="D1580" s="4" t="s">
        <v>58</v>
      </c>
      <c r="E1580" s="3" t="s">
        <v>303</v>
      </c>
      <c r="F1580" s="4" t="str">
        <f aca="false">IF(I1580&gt;J1580,"Y","N")</f>
        <v>N</v>
      </c>
      <c r="G1580" s="3" t="s">
        <v>15</v>
      </c>
      <c r="H1580" s="3" t="s">
        <v>21</v>
      </c>
      <c r="I1580" s="4" t="n">
        <v>7</v>
      </c>
      <c r="J1580" s="4" t="n">
        <f aca="false">LEN(E1580)-LEN(SUBSTITUTE(E1580,",",""))+1</f>
        <v>7</v>
      </c>
      <c r="K1580" s="3" t="str">
        <f aca="false">IFERROR(INDEX('Teacher Lookup'!$B$2:$B$200,MATCH(A1580,'Teacher Lookup'!$A$2:$A$200,0)),"")</f>
        <v>CHAN Chong</v>
      </c>
    </row>
    <row r="1581" customFormat="false" ht="15" hidden="false" customHeight="false" outlineLevel="0" collapsed="false">
      <c r="A1581" s="3" t="s">
        <v>300</v>
      </c>
      <c r="B1581" s="4" t="s">
        <v>31</v>
      </c>
      <c r="C1581" s="4" t="n">
        <v>2</v>
      </c>
      <c r="D1581" s="4" t="s">
        <v>59</v>
      </c>
      <c r="E1581" s="3" t="s">
        <v>303</v>
      </c>
      <c r="F1581" s="4" t="str">
        <f aca="false">IF(I1581&gt;J1581,"Y","N")</f>
        <v>N</v>
      </c>
      <c r="G1581" s="3" t="s">
        <v>15</v>
      </c>
      <c r="H1581" s="3" t="s">
        <v>21</v>
      </c>
      <c r="I1581" s="4" t="n">
        <v>7</v>
      </c>
      <c r="J1581" s="4" t="n">
        <f aca="false">LEN(E1581)-LEN(SUBSTITUTE(E1581,",",""))+1</f>
        <v>7</v>
      </c>
      <c r="K1581" s="3" t="str">
        <f aca="false">IFERROR(INDEX('Teacher Lookup'!$B$2:$B$200,MATCH(A1581,'Teacher Lookup'!$A$2:$A$200,0)),"")</f>
        <v>CHAN Chong</v>
      </c>
    </row>
    <row r="1582" customFormat="false" ht="15" hidden="false" customHeight="false" outlineLevel="0" collapsed="false">
      <c r="A1582" s="3" t="s">
        <v>300</v>
      </c>
      <c r="B1582" s="4" t="s">
        <v>31</v>
      </c>
      <c r="C1582" s="4" t="n">
        <v>3</v>
      </c>
      <c r="D1582" s="4" t="s">
        <v>70</v>
      </c>
      <c r="E1582" s="3" t="s">
        <v>218</v>
      </c>
      <c r="F1582" s="4" t="str">
        <f aca="false">IF(I1582&gt;J1582,"Y","N")</f>
        <v>N</v>
      </c>
      <c r="G1582" s="3" t="s">
        <v>15</v>
      </c>
      <c r="H1582" s="3" t="s">
        <v>26</v>
      </c>
      <c r="I1582" s="4" t="n">
        <v>4</v>
      </c>
      <c r="J1582" s="4" t="n">
        <f aca="false">LEN(E1582)-LEN(SUBSTITUTE(E1582,",",""))+1</f>
        <v>4</v>
      </c>
      <c r="K1582" s="3" t="str">
        <f aca="false">IFERROR(INDEX('Teacher Lookup'!$B$2:$B$200,MATCH(A1582,'Teacher Lookup'!$A$2:$A$200,0)),"")</f>
        <v>CHAN Chong</v>
      </c>
    </row>
    <row r="1583" customFormat="false" ht="15" hidden="false" customHeight="false" outlineLevel="0" collapsed="false">
      <c r="A1583" s="3" t="s">
        <v>300</v>
      </c>
      <c r="B1583" s="4" t="s">
        <v>31</v>
      </c>
      <c r="C1583" s="4" t="n">
        <v>3</v>
      </c>
      <c r="D1583" s="4" t="s">
        <v>73</v>
      </c>
      <c r="E1583" s="3" t="s">
        <v>218</v>
      </c>
      <c r="F1583" s="4" t="str">
        <f aca="false">IF(I1583&gt;J1583,"Y","N")</f>
        <v>N</v>
      </c>
      <c r="G1583" s="3" t="s">
        <v>15</v>
      </c>
      <c r="H1583" s="3" t="s">
        <v>26</v>
      </c>
      <c r="I1583" s="4" t="n">
        <v>4</v>
      </c>
      <c r="J1583" s="4" t="n">
        <f aca="false">LEN(E1583)-LEN(SUBSTITUTE(E1583,",",""))+1</f>
        <v>4</v>
      </c>
      <c r="K1583" s="3" t="str">
        <f aca="false">IFERROR(INDEX('Teacher Lookup'!$B$2:$B$200,MATCH(A1583,'Teacher Lookup'!$A$2:$A$200,0)),"")</f>
        <v>CHAN Chong</v>
      </c>
    </row>
    <row r="1584" customFormat="false" ht="15" hidden="false" customHeight="false" outlineLevel="0" collapsed="false">
      <c r="A1584" s="3" t="s">
        <v>300</v>
      </c>
      <c r="B1584" s="4" t="s">
        <v>31</v>
      </c>
      <c r="C1584" s="4" t="n">
        <v>3</v>
      </c>
      <c r="D1584" s="4" t="s">
        <v>74</v>
      </c>
      <c r="E1584" s="3" t="s">
        <v>218</v>
      </c>
      <c r="F1584" s="4" t="str">
        <f aca="false">IF(I1584&gt;J1584,"Y","N")</f>
        <v>N</v>
      </c>
      <c r="G1584" s="3" t="s">
        <v>15</v>
      </c>
      <c r="H1584" s="3" t="s">
        <v>26</v>
      </c>
      <c r="I1584" s="4" t="n">
        <v>4</v>
      </c>
      <c r="J1584" s="4" t="n">
        <f aca="false">LEN(E1584)-LEN(SUBSTITUTE(E1584,",",""))+1</f>
        <v>4</v>
      </c>
      <c r="K1584" s="3" t="str">
        <f aca="false">IFERROR(INDEX('Teacher Lookup'!$B$2:$B$200,MATCH(A1584,'Teacher Lookup'!$A$2:$A$200,0)),"")</f>
        <v>CHAN Chong</v>
      </c>
    </row>
    <row r="1585" customFormat="false" ht="15" hidden="false" customHeight="false" outlineLevel="0" collapsed="false">
      <c r="A1585" s="3" t="s">
        <v>300</v>
      </c>
      <c r="B1585" s="4" t="s">
        <v>31</v>
      </c>
      <c r="C1585" s="4" t="n">
        <v>4</v>
      </c>
      <c r="D1585" s="4" t="s">
        <v>228</v>
      </c>
      <c r="E1585" s="3" t="s">
        <v>302</v>
      </c>
      <c r="F1585" s="4" t="str">
        <f aca="false">IF(I1585&gt;J1585,"Y","N")</f>
        <v>N</v>
      </c>
      <c r="G1585" s="3" t="s">
        <v>15</v>
      </c>
      <c r="H1585" s="3" t="s">
        <v>34</v>
      </c>
      <c r="I1585" s="4" t="n">
        <v>1</v>
      </c>
      <c r="J1585" s="4" t="n">
        <f aca="false">LEN(E1585)-LEN(SUBSTITUTE(E1585,",",""))+1</f>
        <v>1</v>
      </c>
      <c r="K1585" s="3" t="str">
        <f aca="false">IFERROR(INDEX('Teacher Lookup'!$B$2:$B$200,MATCH(A1585,'Teacher Lookup'!$A$2:$A$200,0)),"")</f>
        <v>CHAN Chong</v>
      </c>
    </row>
    <row r="1586" customFormat="false" ht="15" hidden="false" customHeight="false" outlineLevel="0" collapsed="false">
      <c r="A1586" s="3" t="s">
        <v>300</v>
      </c>
      <c r="B1586" s="4" t="s">
        <v>31</v>
      </c>
      <c r="C1586" s="4" t="n">
        <v>5</v>
      </c>
      <c r="D1586" s="4" t="s">
        <v>70</v>
      </c>
      <c r="E1586" s="3" t="s">
        <v>81</v>
      </c>
      <c r="F1586" s="4" t="str">
        <f aca="false">IF(I1586&gt;J1586,"Y","N")</f>
        <v>Y</v>
      </c>
      <c r="G1586" s="3" t="s">
        <v>36</v>
      </c>
      <c r="H1586" s="3" t="s">
        <v>37</v>
      </c>
      <c r="I1586" s="4" t="n">
        <v>15</v>
      </c>
      <c r="J1586" s="4" t="n">
        <f aca="false">LEN(E1586)-LEN(SUBSTITUTE(E1586,",",""))+1</f>
        <v>7</v>
      </c>
      <c r="K1586" s="3" t="str">
        <f aca="false">IFERROR(INDEX('Teacher Lookup'!$B$2:$B$200,MATCH(A1586,'Teacher Lookup'!$A$2:$A$200,0)),"")</f>
        <v>CHAN Chong</v>
      </c>
    </row>
    <row r="1587" customFormat="false" ht="15" hidden="false" customHeight="false" outlineLevel="0" collapsed="false">
      <c r="A1587" s="3" t="s">
        <v>300</v>
      </c>
      <c r="B1587" s="4" t="s">
        <v>31</v>
      </c>
      <c r="C1587" s="4" t="n">
        <v>5</v>
      </c>
      <c r="D1587" s="4" t="s">
        <v>73</v>
      </c>
      <c r="E1587" s="3" t="s">
        <v>81</v>
      </c>
      <c r="F1587" s="4" t="str">
        <f aca="false">IF(I1587&gt;J1587,"Y","N")</f>
        <v>Y</v>
      </c>
      <c r="G1587" s="3" t="s">
        <v>36</v>
      </c>
      <c r="H1587" s="3" t="s">
        <v>37</v>
      </c>
      <c r="I1587" s="4" t="n">
        <v>15</v>
      </c>
      <c r="J1587" s="4" t="n">
        <f aca="false">LEN(E1587)-LEN(SUBSTITUTE(E1587,",",""))+1</f>
        <v>7</v>
      </c>
      <c r="K1587" s="3" t="str">
        <f aca="false">IFERROR(INDEX('Teacher Lookup'!$B$2:$B$200,MATCH(A1587,'Teacher Lookup'!$A$2:$A$200,0)),"")</f>
        <v>CHAN Chong</v>
      </c>
    </row>
    <row r="1588" customFormat="false" ht="15" hidden="false" customHeight="false" outlineLevel="0" collapsed="false">
      <c r="A1588" s="3" t="s">
        <v>300</v>
      </c>
      <c r="B1588" s="4" t="s">
        <v>31</v>
      </c>
      <c r="C1588" s="4" t="n">
        <v>5</v>
      </c>
      <c r="D1588" s="4" t="s">
        <v>74</v>
      </c>
      <c r="E1588" s="3" t="s">
        <v>81</v>
      </c>
      <c r="F1588" s="4" t="str">
        <f aca="false">IF(I1588&gt;J1588,"Y","N")</f>
        <v>Y</v>
      </c>
      <c r="G1588" s="3" t="s">
        <v>36</v>
      </c>
      <c r="H1588" s="3" t="s">
        <v>37</v>
      </c>
      <c r="I1588" s="4" t="n">
        <v>15</v>
      </c>
      <c r="J1588" s="4" t="n">
        <f aca="false">LEN(E1588)-LEN(SUBSTITUTE(E1588,",",""))+1</f>
        <v>7</v>
      </c>
      <c r="K1588" s="3" t="str">
        <f aca="false">IFERROR(INDEX('Teacher Lookup'!$B$2:$B$200,MATCH(A1588,'Teacher Lookup'!$A$2:$A$200,0)),"")</f>
        <v>CHAN Chong</v>
      </c>
    </row>
    <row r="1589" customFormat="false" ht="15" hidden="false" customHeight="false" outlineLevel="0" collapsed="false">
      <c r="A1589" s="3" t="s">
        <v>300</v>
      </c>
      <c r="B1589" s="4" t="s">
        <v>31</v>
      </c>
      <c r="C1589" s="4" t="n">
        <v>5</v>
      </c>
      <c r="D1589" s="4" t="s">
        <v>76</v>
      </c>
      <c r="E1589" s="3" t="s">
        <v>81</v>
      </c>
      <c r="F1589" s="4" t="str">
        <f aca="false">IF(I1589&gt;J1589,"Y","N")</f>
        <v>Y</v>
      </c>
      <c r="G1589" s="3" t="s">
        <v>36</v>
      </c>
      <c r="H1589" s="3" t="s">
        <v>37</v>
      </c>
      <c r="I1589" s="4" t="n">
        <v>15</v>
      </c>
      <c r="J1589" s="4" t="n">
        <f aca="false">LEN(E1589)-LEN(SUBSTITUTE(E1589,",",""))+1</f>
        <v>7</v>
      </c>
      <c r="K1589" s="3" t="str">
        <f aca="false">IFERROR(INDEX('Teacher Lookup'!$B$2:$B$200,MATCH(A1589,'Teacher Lookup'!$A$2:$A$200,0)),"")</f>
        <v>CHAN Chong</v>
      </c>
    </row>
    <row r="1590" customFormat="false" ht="15" hidden="false" customHeight="false" outlineLevel="0" collapsed="false">
      <c r="A1590" s="3" t="s">
        <v>300</v>
      </c>
      <c r="B1590" s="4" t="s">
        <v>31</v>
      </c>
      <c r="C1590" s="4" t="n">
        <v>5</v>
      </c>
      <c r="D1590" s="4" t="s">
        <v>78</v>
      </c>
      <c r="E1590" s="3" t="s">
        <v>81</v>
      </c>
      <c r="F1590" s="4" t="str">
        <f aca="false">IF(I1590&gt;J1590,"Y","N")</f>
        <v>Y</v>
      </c>
      <c r="G1590" s="3" t="s">
        <v>36</v>
      </c>
      <c r="H1590" s="3" t="s">
        <v>37</v>
      </c>
      <c r="I1590" s="4" t="n">
        <v>15</v>
      </c>
      <c r="J1590" s="4" t="n">
        <f aca="false">LEN(E1590)-LEN(SUBSTITUTE(E1590,",",""))+1</f>
        <v>7</v>
      </c>
      <c r="K1590" s="3" t="str">
        <f aca="false">IFERROR(INDEX('Teacher Lookup'!$B$2:$B$200,MATCH(A1590,'Teacher Lookup'!$A$2:$A$200,0)),"")</f>
        <v>CHAN Chong</v>
      </c>
    </row>
    <row r="1591" customFormat="false" ht="15" hidden="false" customHeight="false" outlineLevel="0" collapsed="false">
      <c r="A1591" s="3" t="s">
        <v>300</v>
      </c>
      <c r="B1591" s="4" t="s">
        <v>31</v>
      </c>
      <c r="C1591" s="4" t="n">
        <v>5</v>
      </c>
      <c r="D1591" s="4" t="s">
        <v>79</v>
      </c>
      <c r="E1591" s="3" t="s">
        <v>81</v>
      </c>
      <c r="F1591" s="4" t="str">
        <f aca="false">IF(I1591&gt;J1591,"Y","N")</f>
        <v>Y</v>
      </c>
      <c r="G1591" s="3" t="s">
        <v>36</v>
      </c>
      <c r="H1591" s="3" t="s">
        <v>37</v>
      </c>
      <c r="I1591" s="4" t="n">
        <v>15</v>
      </c>
      <c r="J1591" s="4" t="n">
        <f aca="false">LEN(E1591)-LEN(SUBSTITUTE(E1591,",",""))+1</f>
        <v>7</v>
      </c>
      <c r="K1591" s="3" t="str">
        <f aca="false">IFERROR(INDEX('Teacher Lookup'!$B$2:$B$200,MATCH(A1591,'Teacher Lookup'!$A$2:$A$200,0)),"")</f>
        <v>CHAN Chong</v>
      </c>
    </row>
    <row r="1592" customFormat="false" ht="15" hidden="false" customHeight="false" outlineLevel="0" collapsed="false">
      <c r="A1592" s="3" t="s">
        <v>300</v>
      </c>
      <c r="B1592" s="4" t="s">
        <v>40</v>
      </c>
      <c r="C1592" s="4" t="n">
        <v>1</v>
      </c>
      <c r="D1592" s="4" t="s">
        <v>228</v>
      </c>
      <c r="E1592" s="3" t="s">
        <v>302</v>
      </c>
      <c r="F1592" s="4" t="str">
        <f aca="false">IF(I1592&gt;J1592,"Y","N")</f>
        <v>N</v>
      </c>
      <c r="G1592" s="3" t="s">
        <v>15</v>
      </c>
      <c r="H1592" s="3" t="s">
        <v>16</v>
      </c>
      <c r="I1592" s="4" t="n">
        <v>1</v>
      </c>
      <c r="J1592" s="4" t="n">
        <f aca="false">LEN(E1592)-LEN(SUBSTITUTE(E1592,",",""))+1</f>
        <v>1</v>
      </c>
      <c r="K1592" s="3" t="str">
        <f aca="false">IFERROR(INDEX('Teacher Lookup'!$B$2:$B$200,MATCH(A1592,'Teacher Lookup'!$A$2:$A$200,0)),"")</f>
        <v>CHAN Chong</v>
      </c>
    </row>
    <row r="1593" customFormat="false" ht="15" hidden="false" customHeight="false" outlineLevel="0" collapsed="false">
      <c r="A1593" s="3" t="s">
        <v>300</v>
      </c>
      <c r="B1593" s="4" t="s">
        <v>40</v>
      </c>
      <c r="C1593" s="4" t="n">
        <v>2</v>
      </c>
      <c r="D1593" s="4" t="s">
        <v>228</v>
      </c>
      <c r="E1593" s="3" t="s">
        <v>302</v>
      </c>
      <c r="F1593" s="4" t="str">
        <f aca="false">IF(I1593&gt;J1593,"Y","N")</f>
        <v>N</v>
      </c>
      <c r="G1593" s="3" t="s">
        <v>15</v>
      </c>
      <c r="H1593" s="3" t="s">
        <v>21</v>
      </c>
      <c r="I1593" s="4" t="n">
        <v>1</v>
      </c>
      <c r="J1593" s="4" t="n">
        <f aca="false">LEN(E1593)-LEN(SUBSTITUTE(E1593,",",""))+1</f>
        <v>1</v>
      </c>
      <c r="K1593" s="3" t="str">
        <f aca="false">IFERROR(INDEX('Teacher Lookup'!$B$2:$B$200,MATCH(A1593,'Teacher Lookup'!$A$2:$A$200,0)),"")</f>
        <v>CHAN Chong</v>
      </c>
    </row>
    <row r="1594" customFormat="false" ht="15" hidden="false" customHeight="false" outlineLevel="0" collapsed="false">
      <c r="A1594" s="3" t="s">
        <v>300</v>
      </c>
      <c r="B1594" s="4" t="s">
        <v>40</v>
      </c>
      <c r="C1594" s="4" t="n">
        <v>5</v>
      </c>
      <c r="D1594" s="4" t="s">
        <v>52</v>
      </c>
      <c r="E1594" s="3" t="s">
        <v>304</v>
      </c>
      <c r="F1594" s="4" t="str">
        <f aca="false">IF(I1594&gt;J1594,"Y","N")</f>
        <v>N</v>
      </c>
      <c r="G1594" s="3" t="s">
        <v>15</v>
      </c>
      <c r="H1594" s="3" t="s">
        <v>37</v>
      </c>
      <c r="I1594" s="4" t="n">
        <v>7</v>
      </c>
      <c r="J1594" s="4" t="n">
        <f aca="false">LEN(E1594)-LEN(SUBSTITUTE(E1594,",",""))+1</f>
        <v>7</v>
      </c>
      <c r="K1594" s="3" t="str">
        <f aca="false">IFERROR(INDEX('Teacher Lookup'!$B$2:$B$200,MATCH(A1594,'Teacher Lookup'!$A$2:$A$200,0)),"")</f>
        <v>CHAN Chong</v>
      </c>
    </row>
    <row r="1595" customFormat="false" ht="15" hidden="false" customHeight="false" outlineLevel="0" collapsed="false">
      <c r="A1595" s="3" t="s">
        <v>300</v>
      </c>
      <c r="B1595" s="4" t="s">
        <v>40</v>
      </c>
      <c r="C1595" s="4" t="n">
        <v>5</v>
      </c>
      <c r="D1595" s="4" t="s">
        <v>55</v>
      </c>
      <c r="E1595" s="3" t="s">
        <v>304</v>
      </c>
      <c r="F1595" s="4" t="str">
        <f aca="false">IF(I1595&gt;J1595,"Y","N")</f>
        <v>N</v>
      </c>
      <c r="G1595" s="3" t="s">
        <v>15</v>
      </c>
      <c r="H1595" s="3" t="s">
        <v>37</v>
      </c>
      <c r="I1595" s="4" t="n">
        <v>7</v>
      </c>
      <c r="J1595" s="4" t="n">
        <f aca="false">LEN(E1595)-LEN(SUBSTITUTE(E1595,",",""))+1</f>
        <v>7</v>
      </c>
      <c r="K1595" s="3" t="str">
        <f aca="false">IFERROR(INDEX('Teacher Lookup'!$B$2:$B$200,MATCH(A1595,'Teacher Lookup'!$A$2:$A$200,0)),"")</f>
        <v>CHAN Chong</v>
      </c>
    </row>
    <row r="1596" customFormat="false" ht="15" hidden="false" customHeight="false" outlineLevel="0" collapsed="false">
      <c r="A1596" s="3" t="s">
        <v>300</v>
      </c>
      <c r="B1596" s="4" t="s">
        <v>40</v>
      </c>
      <c r="C1596" s="4" t="n">
        <v>5</v>
      </c>
      <c r="D1596" s="4" t="s">
        <v>56</v>
      </c>
      <c r="E1596" s="3" t="s">
        <v>304</v>
      </c>
      <c r="F1596" s="4" t="str">
        <f aca="false">IF(I1596&gt;J1596,"Y","N")</f>
        <v>N</v>
      </c>
      <c r="G1596" s="3" t="s">
        <v>15</v>
      </c>
      <c r="H1596" s="3" t="s">
        <v>37</v>
      </c>
      <c r="I1596" s="4" t="n">
        <v>7</v>
      </c>
      <c r="J1596" s="4" t="n">
        <f aca="false">LEN(E1596)-LEN(SUBSTITUTE(E1596,",",""))+1</f>
        <v>7</v>
      </c>
      <c r="K1596" s="3" t="str">
        <f aca="false">IFERROR(INDEX('Teacher Lookup'!$B$2:$B$200,MATCH(A1596,'Teacher Lookup'!$A$2:$A$200,0)),"")</f>
        <v>CHAN Chong</v>
      </c>
    </row>
    <row r="1597" customFormat="false" ht="15" hidden="false" customHeight="false" outlineLevel="0" collapsed="false">
      <c r="A1597" s="3" t="s">
        <v>300</v>
      </c>
      <c r="B1597" s="4" t="s">
        <v>40</v>
      </c>
      <c r="C1597" s="4" t="n">
        <v>5</v>
      </c>
      <c r="D1597" s="4" t="s">
        <v>57</v>
      </c>
      <c r="E1597" s="3" t="s">
        <v>304</v>
      </c>
      <c r="F1597" s="4" t="str">
        <f aca="false">IF(I1597&gt;J1597,"Y","N")</f>
        <v>N</v>
      </c>
      <c r="G1597" s="3" t="s">
        <v>15</v>
      </c>
      <c r="H1597" s="3" t="s">
        <v>37</v>
      </c>
      <c r="I1597" s="4" t="n">
        <v>7</v>
      </c>
      <c r="J1597" s="4" t="n">
        <f aca="false">LEN(E1597)-LEN(SUBSTITUTE(E1597,",",""))+1</f>
        <v>7</v>
      </c>
      <c r="K1597" s="3" t="str">
        <f aca="false">IFERROR(INDEX('Teacher Lookup'!$B$2:$B$200,MATCH(A1597,'Teacher Lookup'!$A$2:$A$200,0)),"")</f>
        <v>CHAN Chong</v>
      </c>
    </row>
    <row r="1598" customFormat="false" ht="15" hidden="false" customHeight="false" outlineLevel="0" collapsed="false">
      <c r="A1598" s="3" t="s">
        <v>300</v>
      </c>
      <c r="B1598" s="4" t="s">
        <v>40</v>
      </c>
      <c r="C1598" s="4" t="n">
        <v>5</v>
      </c>
      <c r="D1598" s="4" t="s">
        <v>58</v>
      </c>
      <c r="E1598" s="3" t="s">
        <v>304</v>
      </c>
      <c r="F1598" s="4" t="str">
        <f aca="false">IF(I1598&gt;J1598,"Y","N")</f>
        <v>N</v>
      </c>
      <c r="G1598" s="3" t="s">
        <v>15</v>
      </c>
      <c r="H1598" s="3" t="s">
        <v>37</v>
      </c>
      <c r="I1598" s="4" t="n">
        <v>7</v>
      </c>
      <c r="J1598" s="4" t="n">
        <f aca="false">LEN(E1598)-LEN(SUBSTITUTE(E1598,",",""))+1</f>
        <v>7</v>
      </c>
      <c r="K1598" s="3" t="str">
        <f aca="false">IFERROR(INDEX('Teacher Lookup'!$B$2:$B$200,MATCH(A1598,'Teacher Lookup'!$A$2:$A$200,0)),"")</f>
        <v>CHAN Chong</v>
      </c>
    </row>
    <row r="1599" customFormat="false" ht="15" hidden="false" customHeight="false" outlineLevel="0" collapsed="false">
      <c r="A1599" s="3" t="s">
        <v>300</v>
      </c>
      <c r="B1599" s="4" t="s">
        <v>40</v>
      </c>
      <c r="C1599" s="4" t="n">
        <v>5</v>
      </c>
      <c r="D1599" s="4" t="s">
        <v>59</v>
      </c>
      <c r="E1599" s="3" t="s">
        <v>304</v>
      </c>
      <c r="F1599" s="4" t="str">
        <f aca="false">IF(I1599&gt;J1599,"Y","N")</f>
        <v>N</v>
      </c>
      <c r="G1599" s="3" t="s">
        <v>15</v>
      </c>
      <c r="H1599" s="3" t="s">
        <v>37</v>
      </c>
      <c r="I1599" s="4" t="n">
        <v>7</v>
      </c>
      <c r="J1599" s="4" t="n">
        <f aca="false">LEN(E1599)-LEN(SUBSTITUTE(E1599,",",""))+1</f>
        <v>7</v>
      </c>
      <c r="K1599" s="3" t="str">
        <f aca="false">IFERROR(INDEX('Teacher Lookup'!$B$2:$B$200,MATCH(A1599,'Teacher Lookup'!$A$2:$A$200,0)),"")</f>
        <v>CHAN Chong</v>
      </c>
    </row>
    <row r="1600" customFormat="false" ht="15" hidden="false" customHeight="false" outlineLevel="0" collapsed="false">
      <c r="A1600" s="3" t="s">
        <v>300</v>
      </c>
      <c r="B1600" s="4" t="s">
        <v>40</v>
      </c>
      <c r="C1600" s="4" t="n">
        <v>7</v>
      </c>
      <c r="D1600" s="4" t="s">
        <v>70</v>
      </c>
      <c r="E1600" s="3" t="s">
        <v>83</v>
      </c>
      <c r="F1600" s="4" t="str">
        <f aca="false">IF(I1600&gt;J1600,"Y","N")</f>
        <v>N</v>
      </c>
      <c r="G1600" s="3" t="s">
        <v>15</v>
      </c>
      <c r="H1600" s="3" t="s">
        <v>39</v>
      </c>
      <c r="I1600" s="4" t="n">
        <v>4</v>
      </c>
      <c r="J1600" s="4" t="n">
        <f aca="false">LEN(E1600)-LEN(SUBSTITUTE(E1600,",",""))+1</f>
        <v>4</v>
      </c>
      <c r="K1600" s="3" t="str">
        <f aca="false">IFERROR(INDEX('Teacher Lookup'!$B$2:$B$200,MATCH(A1600,'Teacher Lookup'!$A$2:$A$200,0)),"")</f>
        <v>CHAN Chong</v>
      </c>
    </row>
    <row r="1601" customFormat="false" ht="15" hidden="false" customHeight="false" outlineLevel="0" collapsed="false">
      <c r="A1601" s="3" t="s">
        <v>300</v>
      </c>
      <c r="B1601" s="4" t="s">
        <v>40</v>
      </c>
      <c r="C1601" s="4" t="n">
        <v>7</v>
      </c>
      <c r="D1601" s="4" t="s">
        <v>73</v>
      </c>
      <c r="E1601" s="3" t="s">
        <v>83</v>
      </c>
      <c r="F1601" s="4" t="str">
        <f aca="false">IF(I1601&gt;J1601,"Y","N")</f>
        <v>N</v>
      </c>
      <c r="G1601" s="3" t="s">
        <v>15</v>
      </c>
      <c r="H1601" s="3" t="s">
        <v>39</v>
      </c>
      <c r="I1601" s="4" t="n">
        <v>4</v>
      </c>
      <c r="J1601" s="4" t="n">
        <f aca="false">LEN(E1601)-LEN(SUBSTITUTE(E1601,",",""))+1</f>
        <v>4</v>
      </c>
      <c r="K1601" s="3" t="str">
        <f aca="false">IFERROR(INDEX('Teacher Lookup'!$B$2:$B$200,MATCH(A1601,'Teacher Lookup'!$A$2:$A$200,0)),"")</f>
        <v>CHAN Chong</v>
      </c>
    </row>
    <row r="1602" customFormat="false" ht="15" hidden="false" customHeight="false" outlineLevel="0" collapsed="false">
      <c r="A1602" s="3" t="s">
        <v>300</v>
      </c>
      <c r="B1602" s="4" t="s">
        <v>40</v>
      </c>
      <c r="C1602" s="4" t="n">
        <v>7</v>
      </c>
      <c r="D1602" s="4" t="s">
        <v>74</v>
      </c>
      <c r="E1602" s="3" t="s">
        <v>83</v>
      </c>
      <c r="F1602" s="4" t="str">
        <f aca="false">IF(I1602&gt;J1602,"Y","N")</f>
        <v>N</v>
      </c>
      <c r="G1602" s="3" t="s">
        <v>15</v>
      </c>
      <c r="H1602" s="3" t="s">
        <v>39</v>
      </c>
      <c r="I1602" s="4" t="n">
        <v>4</v>
      </c>
      <c r="J1602" s="4" t="n">
        <f aca="false">LEN(E1602)-LEN(SUBSTITUTE(E1602,",",""))+1</f>
        <v>4</v>
      </c>
      <c r="K1602" s="3" t="str">
        <f aca="false">IFERROR(INDEX('Teacher Lookup'!$B$2:$B$200,MATCH(A1602,'Teacher Lookup'!$A$2:$A$200,0)),"")</f>
        <v>CHAN Chong</v>
      </c>
    </row>
    <row r="1603" customFormat="false" ht="15" hidden="false" customHeight="false" outlineLevel="0" collapsed="false">
      <c r="A1603" s="3" t="s">
        <v>300</v>
      </c>
      <c r="B1603" s="4" t="s">
        <v>44</v>
      </c>
      <c r="C1603" s="4" t="n">
        <v>1</v>
      </c>
      <c r="D1603" s="4" t="s">
        <v>52</v>
      </c>
      <c r="E1603" s="3" t="s">
        <v>305</v>
      </c>
      <c r="F1603" s="4" t="str">
        <f aca="false">IF(I1603&gt;J1603,"Y","N")</f>
        <v>N</v>
      </c>
      <c r="G1603" s="3" t="s">
        <v>15</v>
      </c>
      <c r="H1603" s="3" t="s">
        <v>16</v>
      </c>
      <c r="I1603" s="4" t="n">
        <v>7</v>
      </c>
      <c r="J1603" s="4" t="n">
        <f aca="false">LEN(E1603)-LEN(SUBSTITUTE(E1603,",",""))+1</f>
        <v>7</v>
      </c>
      <c r="K1603" s="3" t="str">
        <f aca="false">IFERROR(INDEX('Teacher Lookup'!$B$2:$B$200,MATCH(A1603,'Teacher Lookup'!$A$2:$A$200,0)),"")</f>
        <v>CHAN Chong</v>
      </c>
    </row>
    <row r="1604" customFormat="false" ht="15" hidden="false" customHeight="false" outlineLevel="0" collapsed="false">
      <c r="A1604" s="3" t="s">
        <v>300</v>
      </c>
      <c r="B1604" s="4" t="s">
        <v>44</v>
      </c>
      <c r="C1604" s="4" t="n">
        <v>1</v>
      </c>
      <c r="D1604" s="4" t="s">
        <v>55</v>
      </c>
      <c r="E1604" s="3" t="s">
        <v>305</v>
      </c>
      <c r="F1604" s="4" t="str">
        <f aca="false">IF(I1604&gt;J1604,"Y","N")</f>
        <v>N</v>
      </c>
      <c r="G1604" s="3" t="s">
        <v>15</v>
      </c>
      <c r="H1604" s="3" t="s">
        <v>16</v>
      </c>
      <c r="I1604" s="4" t="n">
        <v>7</v>
      </c>
      <c r="J1604" s="4" t="n">
        <f aca="false">LEN(E1604)-LEN(SUBSTITUTE(E1604,",",""))+1</f>
        <v>7</v>
      </c>
      <c r="K1604" s="3" t="str">
        <f aca="false">IFERROR(INDEX('Teacher Lookup'!$B$2:$B$200,MATCH(A1604,'Teacher Lookup'!$A$2:$A$200,0)),"")</f>
        <v>CHAN Chong</v>
      </c>
    </row>
    <row r="1605" customFormat="false" ht="15" hidden="false" customHeight="false" outlineLevel="0" collapsed="false">
      <c r="A1605" s="3" t="s">
        <v>300</v>
      </c>
      <c r="B1605" s="4" t="s">
        <v>44</v>
      </c>
      <c r="C1605" s="4" t="n">
        <v>1</v>
      </c>
      <c r="D1605" s="4" t="s">
        <v>56</v>
      </c>
      <c r="E1605" s="3" t="s">
        <v>305</v>
      </c>
      <c r="F1605" s="4" t="str">
        <f aca="false">IF(I1605&gt;J1605,"Y","N")</f>
        <v>N</v>
      </c>
      <c r="G1605" s="3" t="s">
        <v>15</v>
      </c>
      <c r="H1605" s="3" t="s">
        <v>16</v>
      </c>
      <c r="I1605" s="4" t="n">
        <v>7</v>
      </c>
      <c r="J1605" s="4" t="n">
        <f aca="false">LEN(E1605)-LEN(SUBSTITUTE(E1605,",",""))+1</f>
        <v>7</v>
      </c>
      <c r="K1605" s="3" t="str">
        <f aca="false">IFERROR(INDEX('Teacher Lookup'!$B$2:$B$200,MATCH(A1605,'Teacher Lookup'!$A$2:$A$200,0)),"")</f>
        <v>CHAN Chong</v>
      </c>
    </row>
    <row r="1606" customFormat="false" ht="15" hidden="false" customHeight="false" outlineLevel="0" collapsed="false">
      <c r="A1606" s="3" t="s">
        <v>300</v>
      </c>
      <c r="B1606" s="4" t="s">
        <v>44</v>
      </c>
      <c r="C1606" s="4" t="n">
        <v>1</v>
      </c>
      <c r="D1606" s="4" t="s">
        <v>57</v>
      </c>
      <c r="E1606" s="3" t="s">
        <v>305</v>
      </c>
      <c r="F1606" s="4" t="str">
        <f aca="false">IF(I1606&gt;J1606,"Y","N")</f>
        <v>N</v>
      </c>
      <c r="G1606" s="3" t="s">
        <v>15</v>
      </c>
      <c r="H1606" s="3" t="s">
        <v>16</v>
      </c>
      <c r="I1606" s="4" t="n">
        <v>7</v>
      </c>
      <c r="J1606" s="4" t="n">
        <f aca="false">LEN(E1606)-LEN(SUBSTITUTE(E1606,",",""))+1</f>
        <v>7</v>
      </c>
      <c r="K1606" s="3" t="str">
        <f aca="false">IFERROR(INDEX('Teacher Lookup'!$B$2:$B$200,MATCH(A1606,'Teacher Lookup'!$A$2:$A$200,0)),"")</f>
        <v>CHAN Chong</v>
      </c>
    </row>
    <row r="1607" customFormat="false" ht="15" hidden="false" customHeight="false" outlineLevel="0" collapsed="false">
      <c r="A1607" s="3" t="s">
        <v>300</v>
      </c>
      <c r="B1607" s="4" t="s">
        <v>44</v>
      </c>
      <c r="C1607" s="4" t="n">
        <v>1</v>
      </c>
      <c r="D1607" s="4" t="s">
        <v>58</v>
      </c>
      <c r="E1607" s="3" t="s">
        <v>305</v>
      </c>
      <c r="F1607" s="4" t="str">
        <f aca="false">IF(I1607&gt;J1607,"Y","N")</f>
        <v>N</v>
      </c>
      <c r="G1607" s="3" t="s">
        <v>15</v>
      </c>
      <c r="H1607" s="3" t="s">
        <v>16</v>
      </c>
      <c r="I1607" s="4" t="n">
        <v>7</v>
      </c>
      <c r="J1607" s="4" t="n">
        <f aca="false">LEN(E1607)-LEN(SUBSTITUTE(E1607,",",""))+1</f>
        <v>7</v>
      </c>
      <c r="K1607" s="3" t="str">
        <f aca="false">IFERROR(INDEX('Teacher Lookup'!$B$2:$B$200,MATCH(A1607,'Teacher Lookup'!$A$2:$A$200,0)),"")</f>
        <v>CHAN Chong</v>
      </c>
    </row>
    <row r="1608" customFormat="false" ht="15" hidden="false" customHeight="false" outlineLevel="0" collapsed="false">
      <c r="A1608" s="3" t="s">
        <v>300</v>
      </c>
      <c r="B1608" s="4" t="s">
        <v>44</v>
      </c>
      <c r="C1608" s="4" t="n">
        <v>1</v>
      </c>
      <c r="D1608" s="4" t="s">
        <v>59</v>
      </c>
      <c r="E1608" s="3" t="s">
        <v>305</v>
      </c>
      <c r="F1608" s="4" t="str">
        <f aca="false">IF(I1608&gt;J1608,"Y","N")</f>
        <v>N</v>
      </c>
      <c r="G1608" s="3" t="s">
        <v>15</v>
      </c>
      <c r="H1608" s="3" t="s">
        <v>16</v>
      </c>
      <c r="I1608" s="4" t="n">
        <v>7</v>
      </c>
      <c r="J1608" s="4" t="n">
        <f aca="false">LEN(E1608)-LEN(SUBSTITUTE(E1608,",",""))+1</f>
        <v>7</v>
      </c>
      <c r="K1608" s="3" t="str">
        <f aca="false">IFERROR(INDEX('Teacher Lookup'!$B$2:$B$200,MATCH(A1608,'Teacher Lookup'!$A$2:$A$200,0)),"")</f>
        <v>CHAN Chong</v>
      </c>
    </row>
    <row r="1609" customFormat="false" ht="15" hidden="false" customHeight="false" outlineLevel="0" collapsed="false">
      <c r="A1609" s="3" t="s">
        <v>300</v>
      </c>
      <c r="B1609" s="4" t="s">
        <v>44</v>
      </c>
      <c r="C1609" s="4" t="n">
        <v>3</v>
      </c>
      <c r="D1609" s="4" t="s">
        <v>228</v>
      </c>
      <c r="E1609" s="3" t="s">
        <v>302</v>
      </c>
      <c r="F1609" s="4" t="str">
        <f aca="false">IF(I1609&gt;J1609,"Y","N")</f>
        <v>N</v>
      </c>
      <c r="G1609" s="3" t="s">
        <v>15</v>
      </c>
      <c r="H1609" s="3" t="s">
        <v>26</v>
      </c>
      <c r="I1609" s="4" t="n">
        <v>1</v>
      </c>
      <c r="J1609" s="4" t="n">
        <f aca="false">LEN(E1609)-LEN(SUBSTITUTE(E1609,",",""))+1</f>
        <v>1</v>
      </c>
      <c r="K1609" s="3" t="str">
        <f aca="false">IFERROR(INDEX('Teacher Lookup'!$B$2:$B$200,MATCH(A1609,'Teacher Lookup'!$A$2:$A$200,0)),"")</f>
        <v>CHAN Chong</v>
      </c>
    </row>
    <row r="1610" customFormat="false" ht="15" hidden="false" customHeight="false" outlineLevel="0" collapsed="false">
      <c r="A1610" s="3" t="s">
        <v>300</v>
      </c>
      <c r="B1610" s="4" t="s">
        <v>44</v>
      </c>
      <c r="C1610" s="4" t="n">
        <v>5</v>
      </c>
      <c r="D1610" s="4" t="s">
        <v>70</v>
      </c>
      <c r="E1610" s="3" t="s">
        <v>81</v>
      </c>
      <c r="F1610" s="4" t="str">
        <f aca="false">IF(I1610&gt;J1610,"Y","N")</f>
        <v>Y</v>
      </c>
      <c r="G1610" s="3" t="s">
        <v>36</v>
      </c>
      <c r="H1610" s="3" t="s">
        <v>37</v>
      </c>
      <c r="I1610" s="4" t="n">
        <v>15</v>
      </c>
      <c r="J1610" s="4" t="n">
        <f aca="false">LEN(E1610)-LEN(SUBSTITUTE(E1610,",",""))+1</f>
        <v>7</v>
      </c>
      <c r="K1610" s="3" t="str">
        <f aca="false">IFERROR(INDEX('Teacher Lookup'!$B$2:$B$200,MATCH(A1610,'Teacher Lookup'!$A$2:$A$200,0)),"")</f>
        <v>CHAN Chong</v>
      </c>
    </row>
    <row r="1611" customFormat="false" ht="15" hidden="false" customHeight="false" outlineLevel="0" collapsed="false">
      <c r="A1611" s="3" t="s">
        <v>300</v>
      </c>
      <c r="B1611" s="4" t="s">
        <v>44</v>
      </c>
      <c r="C1611" s="4" t="n">
        <v>5</v>
      </c>
      <c r="D1611" s="4" t="s">
        <v>73</v>
      </c>
      <c r="E1611" s="3" t="s">
        <v>81</v>
      </c>
      <c r="F1611" s="4" t="str">
        <f aca="false">IF(I1611&gt;J1611,"Y","N")</f>
        <v>Y</v>
      </c>
      <c r="G1611" s="3" t="s">
        <v>36</v>
      </c>
      <c r="H1611" s="3" t="s">
        <v>37</v>
      </c>
      <c r="I1611" s="4" t="n">
        <v>15</v>
      </c>
      <c r="J1611" s="4" t="n">
        <f aca="false">LEN(E1611)-LEN(SUBSTITUTE(E1611,",",""))+1</f>
        <v>7</v>
      </c>
      <c r="K1611" s="3" t="str">
        <f aca="false">IFERROR(INDEX('Teacher Lookup'!$B$2:$B$200,MATCH(A1611,'Teacher Lookup'!$A$2:$A$200,0)),"")</f>
        <v>CHAN Chong</v>
      </c>
    </row>
    <row r="1612" customFormat="false" ht="15" hidden="false" customHeight="false" outlineLevel="0" collapsed="false">
      <c r="A1612" s="3" t="s">
        <v>300</v>
      </c>
      <c r="B1612" s="4" t="s">
        <v>44</v>
      </c>
      <c r="C1612" s="4" t="n">
        <v>5</v>
      </c>
      <c r="D1612" s="4" t="s">
        <v>74</v>
      </c>
      <c r="E1612" s="3" t="s">
        <v>81</v>
      </c>
      <c r="F1612" s="4" t="str">
        <f aca="false">IF(I1612&gt;J1612,"Y","N")</f>
        <v>Y</v>
      </c>
      <c r="G1612" s="3" t="s">
        <v>36</v>
      </c>
      <c r="H1612" s="3" t="s">
        <v>37</v>
      </c>
      <c r="I1612" s="4" t="n">
        <v>15</v>
      </c>
      <c r="J1612" s="4" t="n">
        <f aca="false">LEN(E1612)-LEN(SUBSTITUTE(E1612,",",""))+1</f>
        <v>7</v>
      </c>
      <c r="K1612" s="3" t="str">
        <f aca="false">IFERROR(INDEX('Teacher Lookup'!$B$2:$B$200,MATCH(A1612,'Teacher Lookup'!$A$2:$A$200,0)),"")</f>
        <v>CHAN Chong</v>
      </c>
    </row>
    <row r="1613" customFormat="false" ht="15" hidden="false" customHeight="false" outlineLevel="0" collapsed="false">
      <c r="A1613" s="3" t="s">
        <v>300</v>
      </c>
      <c r="B1613" s="4" t="s">
        <v>44</v>
      </c>
      <c r="C1613" s="4" t="n">
        <v>5</v>
      </c>
      <c r="D1613" s="4" t="s">
        <v>76</v>
      </c>
      <c r="E1613" s="3" t="s">
        <v>81</v>
      </c>
      <c r="F1613" s="4" t="str">
        <f aca="false">IF(I1613&gt;J1613,"Y","N")</f>
        <v>Y</v>
      </c>
      <c r="G1613" s="3" t="s">
        <v>36</v>
      </c>
      <c r="H1613" s="3" t="s">
        <v>37</v>
      </c>
      <c r="I1613" s="4" t="n">
        <v>15</v>
      </c>
      <c r="J1613" s="4" t="n">
        <f aca="false">LEN(E1613)-LEN(SUBSTITUTE(E1613,",",""))+1</f>
        <v>7</v>
      </c>
      <c r="K1613" s="3" t="str">
        <f aca="false">IFERROR(INDEX('Teacher Lookup'!$B$2:$B$200,MATCH(A1613,'Teacher Lookup'!$A$2:$A$200,0)),"")</f>
        <v>CHAN Chong</v>
      </c>
    </row>
    <row r="1614" customFormat="false" ht="15" hidden="false" customHeight="false" outlineLevel="0" collapsed="false">
      <c r="A1614" s="3" t="s">
        <v>300</v>
      </c>
      <c r="B1614" s="4" t="s">
        <v>44</v>
      </c>
      <c r="C1614" s="4" t="n">
        <v>5</v>
      </c>
      <c r="D1614" s="4" t="s">
        <v>78</v>
      </c>
      <c r="E1614" s="3" t="s">
        <v>81</v>
      </c>
      <c r="F1614" s="4" t="str">
        <f aca="false">IF(I1614&gt;J1614,"Y","N")</f>
        <v>Y</v>
      </c>
      <c r="G1614" s="3" t="s">
        <v>36</v>
      </c>
      <c r="H1614" s="3" t="s">
        <v>37</v>
      </c>
      <c r="I1614" s="4" t="n">
        <v>15</v>
      </c>
      <c r="J1614" s="4" t="n">
        <f aca="false">LEN(E1614)-LEN(SUBSTITUTE(E1614,",",""))+1</f>
        <v>7</v>
      </c>
      <c r="K1614" s="3" t="str">
        <f aca="false">IFERROR(INDEX('Teacher Lookup'!$B$2:$B$200,MATCH(A1614,'Teacher Lookup'!$A$2:$A$200,0)),"")</f>
        <v>CHAN Chong</v>
      </c>
    </row>
    <row r="1615" customFormat="false" ht="15" hidden="false" customHeight="false" outlineLevel="0" collapsed="false">
      <c r="A1615" s="3" t="s">
        <v>300</v>
      </c>
      <c r="B1615" s="4" t="s">
        <v>44</v>
      </c>
      <c r="C1615" s="4" t="n">
        <v>5</v>
      </c>
      <c r="D1615" s="4" t="s">
        <v>79</v>
      </c>
      <c r="E1615" s="3" t="s">
        <v>81</v>
      </c>
      <c r="F1615" s="4" t="str">
        <f aca="false">IF(I1615&gt;J1615,"Y","N")</f>
        <v>Y</v>
      </c>
      <c r="G1615" s="3" t="s">
        <v>36</v>
      </c>
      <c r="H1615" s="3" t="s">
        <v>37</v>
      </c>
      <c r="I1615" s="4" t="n">
        <v>15</v>
      </c>
      <c r="J1615" s="4" t="n">
        <f aca="false">LEN(E1615)-LEN(SUBSTITUTE(E1615,",",""))+1</f>
        <v>7</v>
      </c>
      <c r="K1615" s="3" t="str">
        <f aca="false">IFERROR(INDEX('Teacher Lookup'!$B$2:$B$200,MATCH(A1615,'Teacher Lookup'!$A$2:$A$200,0)),"")</f>
        <v>CHAN Chong</v>
      </c>
    </row>
    <row r="1616" customFormat="false" ht="15" hidden="false" customHeight="false" outlineLevel="0" collapsed="false">
      <c r="A1616" s="3" t="s">
        <v>300</v>
      </c>
      <c r="B1616" s="4" t="s">
        <v>44</v>
      </c>
      <c r="C1616" s="4" t="n">
        <v>7</v>
      </c>
      <c r="D1616" s="4" t="s">
        <v>70</v>
      </c>
      <c r="E1616" s="3" t="s">
        <v>219</v>
      </c>
      <c r="F1616" s="4" t="str">
        <f aca="false">IF(I1616&gt;J1616,"Y","N")</f>
        <v>N</v>
      </c>
      <c r="G1616" s="3" t="s">
        <v>15</v>
      </c>
      <c r="H1616" s="3" t="s">
        <v>39</v>
      </c>
      <c r="I1616" s="4" t="n">
        <v>4</v>
      </c>
      <c r="J1616" s="4" t="n">
        <f aca="false">LEN(E1616)-LEN(SUBSTITUTE(E1616,",",""))+1</f>
        <v>4</v>
      </c>
      <c r="K1616" s="3" t="str">
        <f aca="false">IFERROR(INDEX('Teacher Lookup'!$B$2:$B$200,MATCH(A1616,'Teacher Lookup'!$A$2:$A$200,0)),"")</f>
        <v>CHAN Chong</v>
      </c>
    </row>
    <row r="1617" customFormat="false" ht="15" hidden="false" customHeight="false" outlineLevel="0" collapsed="false">
      <c r="A1617" s="3" t="s">
        <v>300</v>
      </c>
      <c r="B1617" s="4" t="s">
        <v>44</v>
      </c>
      <c r="C1617" s="4" t="n">
        <v>7</v>
      </c>
      <c r="D1617" s="4" t="s">
        <v>73</v>
      </c>
      <c r="E1617" s="3" t="s">
        <v>219</v>
      </c>
      <c r="F1617" s="4" t="str">
        <f aca="false">IF(I1617&gt;J1617,"Y","N")</f>
        <v>N</v>
      </c>
      <c r="G1617" s="3" t="s">
        <v>15</v>
      </c>
      <c r="H1617" s="3" t="s">
        <v>39</v>
      </c>
      <c r="I1617" s="4" t="n">
        <v>4</v>
      </c>
      <c r="J1617" s="4" t="n">
        <f aca="false">LEN(E1617)-LEN(SUBSTITUTE(E1617,",",""))+1</f>
        <v>4</v>
      </c>
      <c r="K1617" s="3" t="str">
        <f aca="false">IFERROR(INDEX('Teacher Lookup'!$B$2:$B$200,MATCH(A1617,'Teacher Lookup'!$A$2:$A$200,0)),"")</f>
        <v>CHAN Chong</v>
      </c>
    </row>
    <row r="1618" customFormat="false" ht="15" hidden="false" customHeight="false" outlineLevel="0" collapsed="false">
      <c r="A1618" s="3" t="s">
        <v>300</v>
      </c>
      <c r="B1618" s="4" t="s">
        <v>44</v>
      </c>
      <c r="C1618" s="4" t="n">
        <v>7</v>
      </c>
      <c r="D1618" s="4" t="s">
        <v>74</v>
      </c>
      <c r="E1618" s="3" t="s">
        <v>219</v>
      </c>
      <c r="F1618" s="4" t="str">
        <f aca="false">IF(I1618&gt;J1618,"Y","N")</f>
        <v>N</v>
      </c>
      <c r="G1618" s="3" t="s">
        <v>15</v>
      </c>
      <c r="H1618" s="3" t="s">
        <v>39</v>
      </c>
      <c r="I1618" s="4" t="n">
        <v>4</v>
      </c>
      <c r="J1618" s="4" t="n">
        <f aca="false">LEN(E1618)-LEN(SUBSTITUTE(E1618,",",""))+1</f>
        <v>4</v>
      </c>
      <c r="K1618" s="3" t="str">
        <f aca="false">IFERROR(INDEX('Teacher Lookup'!$B$2:$B$200,MATCH(A1618,'Teacher Lookup'!$A$2:$A$200,0)),"")</f>
        <v>CHAN Chong</v>
      </c>
    </row>
    <row r="1619" customFormat="false" ht="15" hidden="false" customHeight="false" outlineLevel="0" collapsed="false">
      <c r="A1619" s="3" t="s">
        <v>300</v>
      </c>
      <c r="B1619" s="4" t="s">
        <v>47</v>
      </c>
      <c r="C1619" s="4" t="n">
        <v>2</v>
      </c>
      <c r="D1619" s="4" t="s">
        <v>52</v>
      </c>
      <c r="E1619" s="3" t="s">
        <v>306</v>
      </c>
      <c r="F1619" s="4" t="str">
        <f aca="false">IF(I1619&gt;J1619,"Y","N")</f>
        <v>N</v>
      </c>
      <c r="G1619" s="3" t="s">
        <v>15</v>
      </c>
      <c r="H1619" s="3" t="s">
        <v>21</v>
      </c>
      <c r="I1619" s="4" t="n">
        <v>7</v>
      </c>
      <c r="J1619" s="4" t="n">
        <f aca="false">LEN(E1619)-LEN(SUBSTITUTE(E1619,",",""))+1</f>
        <v>7</v>
      </c>
      <c r="K1619" s="3" t="str">
        <f aca="false">IFERROR(INDEX('Teacher Lookup'!$B$2:$B$200,MATCH(A1619,'Teacher Lookup'!$A$2:$A$200,0)),"")</f>
        <v>CHAN Chong</v>
      </c>
    </row>
    <row r="1620" customFormat="false" ht="15" hidden="false" customHeight="false" outlineLevel="0" collapsed="false">
      <c r="A1620" s="3" t="s">
        <v>300</v>
      </c>
      <c r="B1620" s="4" t="s">
        <v>47</v>
      </c>
      <c r="C1620" s="4" t="n">
        <v>2</v>
      </c>
      <c r="D1620" s="4" t="s">
        <v>55</v>
      </c>
      <c r="E1620" s="3" t="s">
        <v>306</v>
      </c>
      <c r="F1620" s="4" t="str">
        <f aca="false">IF(I1620&gt;J1620,"Y","N")</f>
        <v>N</v>
      </c>
      <c r="G1620" s="3" t="s">
        <v>15</v>
      </c>
      <c r="H1620" s="3" t="s">
        <v>21</v>
      </c>
      <c r="I1620" s="4" t="n">
        <v>7</v>
      </c>
      <c r="J1620" s="4" t="n">
        <f aca="false">LEN(E1620)-LEN(SUBSTITUTE(E1620,",",""))+1</f>
        <v>7</v>
      </c>
      <c r="K1620" s="3" t="str">
        <f aca="false">IFERROR(INDEX('Teacher Lookup'!$B$2:$B$200,MATCH(A1620,'Teacher Lookup'!$A$2:$A$200,0)),"")</f>
        <v>CHAN Chong</v>
      </c>
    </row>
    <row r="1621" customFormat="false" ht="15" hidden="false" customHeight="false" outlineLevel="0" collapsed="false">
      <c r="A1621" s="3" t="s">
        <v>300</v>
      </c>
      <c r="B1621" s="4" t="s">
        <v>47</v>
      </c>
      <c r="C1621" s="4" t="n">
        <v>2</v>
      </c>
      <c r="D1621" s="4" t="s">
        <v>56</v>
      </c>
      <c r="E1621" s="3" t="s">
        <v>306</v>
      </c>
      <c r="F1621" s="4" t="str">
        <f aca="false">IF(I1621&gt;J1621,"Y","N")</f>
        <v>N</v>
      </c>
      <c r="G1621" s="3" t="s">
        <v>15</v>
      </c>
      <c r="H1621" s="3" t="s">
        <v>21</v>
      </c>
      <c r="I1621" s="4" t="n">
        <v>7</v>
      </c>
      <c r="J1621" s="4" t="n">
        <f aca="false">LEN(E1621)-LEN(SUBSTITUTE(E1621,",",""))+1</f>
        <v>7</v>
      </c>
      <c r="K1621" s="3" t="str">
        <f aca="false">IFERROR(INDEX('Teacher Lookup'!$B$2:$B$200,MATCH(A1621,'Teacher Lookup'!$A$2:$A$200,0)),"")</f>
        <v>CHAN Chong</v>
      </c>
    </row>
    <row r="1622" customFormat="false" ht="15" hidden="false" customHeight="false" outlineLevel="0" collapsed="false">
      <c r="A1622" s="3" t="s">
        <v>300</v>
      </c>
      <c r="B1622" s="4" t="s">
        <v>47</v>
      </c>
      <c r="C1622" s="4" t="n">
        <v>2</v>
      </c>
      <c r="D1622" s="4" t="s">
        <v>57</v>
      </c>
      <c r="E1622" s="3" t="s">
        <v>306</v>
      </c>
      <c r="F1622" s="4" t="str">
        <f aca="false">IF(I1622&gt;J1622,"Y","N")</f>
        <v>N</v>
      </c>
      <c r="G1622" s="3" t="s">
        <v>15</v>
      </c>
      <c r="H1622" s="3" t="s">
        <v>21</v>
      </c>
      <c r="I1622" s="4" t="n">
        <v>7</v>
      </c>
      <c r="J1622" s="4" t="n">
        <f aca="false">LEN(E1622)-LEN(SUBSTITUTE(E1622,",",""))+1</f>
        <v>7</v>
      </c>
      <c r="K1622" s="3" t="str">
        <f aca="false">IFERROR(INDEX('Teacher Lookup'!$B$2:$B$200,MATCH(A1622,'Teacher Lookup'!$A$2:$A$200,0)),"")</f>
        <v>CHAN Chong</v>
      </c>
    </row>
    <row r="1623" customFormat="false" ht="15" hidden="false" customHeight="false" outlineLevel="0" collapsed="false">
      <c r="A1623" s="3" t="s">
        <v>300</v>
      </c>
      <c r="B1623" s="4" t="s">
        <v>47</v>
      </c>
      <c r="C1623" s="4" t="n">
        <v>2</v>
      </c>
      <c r="D1623" s="4" t="s">
        <v>58</v>
      </c>
      <c r="E1623" s="3" t="s">
        <v>306</v>
      </c>
      <c r="F1623" s="4" t="str">
        <f aca="false">IF(I1623&gt;J1623,"Y","N")</f>
        <v>N</v>
      </c>
      <c r="G1623" s="3" t="s">
        <v>15</v>
      </c>
      <c r="H1623" s="3" t="s">
        <v>21</v>
      </c>
      <c r="I1623" s="4" t="n">
        <v>7</v>
      </c>
      <c r="J1623" s="4" t="n">
        <f aca="false">LEN(E1623)-LEN(SUBSTITUTE(E1623,",",""))+1</f>
        <v>7</v>
      </c>
      <c r="K1623" s="3" t="str">
        <f aca="false">IFERROR(INDEX('Teacher Lookup'!$B$2:$B$200,MATCH(A1623,'Teacher Lookup'!$A$2:$A$200,0)),"")</f>
        <v>CHAN Chong</v>
      </c>
    </row>
    <row r="1624" customFormat="false" ht="15" hidden="false" customHeight="false" outlineLevel="0" collapsed="false">
      <c r="A1624" s="3" t="s">
        <v>300</v>
      </c>
      <c r="B1624" s="4" t="s">
        <v>47</v>
      </c>
      <c r="C1624" s="4" t="n">
        <v>2</v>
      </c>
      <c r="D1624" s="4" t="s">
        <v>59</v>
      </c>
      <c r="E1624" s="3" t="s">
        <v>306</v>
      </c>
      <c r="F1624" s="4" t="str">
        <f aca="false">IF(I1624&gt;J1624,"Y","N")</f>
        <v>N</v>
      </c>
      <c r="G1624" s="3" t="s">
        <v>15</v>
      </c>
      <c r="H1624" s="3" t="s">
        <v>21</v>
      </c>
      <c r="I1624" s="4" t="n">
        <v>7</v>
      </c>
      <c r="J1624" s="4" t="n">
        <f aca="false">LEN(E1624)-LEN(SUBSTITUTE(E1624,",",""))+1</f>
        <v>7</v>
      </c>
      <c r="K1624" s="3" t="str">
        <f aca="false">IFERROR(INDEX('Teacher Lookup'!$B$2:$B$200,MATCH(A1624,'Teacher Lookup'!$A$2:$A$200,0)),"")</f>
        <v>CHAN Chong</v>
      </c>
    </row>
    <row r="1625" customFormat="false" ht="15" hidden="false" customHeight="false" outlineLevel="0" collapsed="false">
      <c r="A1625" s="3" t="s">
        <v>300</v>
      </c>
      <c r="B1625" s="4" t="s">
        <v>47</v>
      </c>
      <c r="C1625" s="4" t="n">
        <v>4</v>
      </c>
      <c r="D1625" s="4" t="s">
        <v>70</v>
      </c>
      <c r="E1625" s="3" t="s">
        <v>220</v>
      </c>
      <c r="F1625" s="4" t="str">
        <f aca="false">IF(I1625&gt;J1625,"Y","N")</f>
        <v>N</v>
      </c>
      <c r="G1625" s="3" t="s">
        <v>15</v>
      </c>
      <c r="H1625" s="3" t="s">
        <v>34</v>
      </c>
      <c r="I1625" s="4" t="n">
        <v>4</v>
      </c>
      <c r="J1625" s="4" t="n">
        <f aca="false">LEN(E1625)-LEN(SUBSTITUTE(E1625,",",""))+1</f>
        <v>4</v>
      </c>
      <c r="K1625" s="3" t="str">
        <f aca="false">IFERROR(INDEX('Teacher Lookup'!$B$2:$B$200,MATCH(A1625,'Teacher Lookup'!$A$2:$A$200,0)),"")</f>
        <v>CHAN Chong</v>
      </c>
    </row>
    <row r="1626" customFormat="false" ht="15" hidden="false" customHeight="false" outlineLevel="0" collapsed="false">
      <c r="A1626" s="3" t="s">
        <v>300</v>
      </c>
      <c r="B1626" s="4" t="s">
        <v>47</v>
      </c>
      <c r="C1626" s="4" t="n">
        <v>4</v>
      </c>
      <c r="D1626" s="4" t="s">
        <v>73</v>
      </c>
      <c r="E1626" s="3" t="s">
        <v>220</v>
      </c>
      <c r="F1626" s="4" t="str">
        <f aca="false">IF(I1626&gt;J1626,"Y","N")</f>
        <v>N</v>
      </c>
      <c r="G1626" s="3" t="s">
        <v>15</v>
      </c>
      <c r="H1626" s="3" t="s">
        <v>34</v>
      </c>
      <c r="I1626" s="4" t="n">
        <v>4</v>
      </c>
      <c r="J1626" s="4" t="n">
        <f aca="false">LEN(E1626)-LEN(SUBSTITUTE(E1626,",",""))+1</f>
        <v>4</v>
      </c>
      <c r="K1626" s="3" t="str">
        <f aca="false">IFERROR(INDEX('Teacher Lookup'!$B$2:$B$200,MATCH(A1626,'Teacher Lookup'!$A$2:$A$200,0)),"")</f>
        <v>CHAN Chong</v>
      </c>
    </row>
    <row r="1627" customFormat="false" ht="15" hidden="false" customHeight="false" outlineLevel="0" collapsed="false">
      <c r="A1627" s="3" t="s">
        <v>300</v>
      </c>
      <c r="B1627" s="4" t="s">
        <v>47</v>
      </c>
      <c r="C1627" s="4" t="n">
        <v>4</v>
      </c>
      <c r="D1627" s="4" t="s">
        <v>74</v>
      </c>
      <c r="E1627" s="3" t="s">
        <v>220</v>
      </c>
      <c r="F1627" s="4" t="str">
        <f aca="false">IF(I1627&gt;J1627,"Y","N")</f>
        <v>N</v>
      </c>
      <c r="G1627" s="3" t="s">
        <v>15</v>
      </c>
      <c r="H1627" s="3" t="s">
        <v>34</v>
      </c>
      <c r="I1627" s="4" t="n">
        <v>4</v>
      </c>
      <c r="J1627" s="4" t="n">
        <f aca="false">LEN(E1627)-LEN(SUBSTITUTE(E1627,",",""))+1</f>
        <v>4</v>
      </c>
      <c r="K1627" s="3" t="str">
        <f aca="false">IFERROR(INDEX('Teacher Lookup'!$B$2:$B$200,MATCH(A1627,'Teacher Lookup'!$A$2:$A$200,0)),"")</f>
        <v>CHAN Chong</v>
      </c>
    </row>
    <row r="1628" customFormat="false" ht="15" hidden="false" customHeight="false" outlineLevel="0" collapsed="false">
      <c r="A1628" s="3" t="s">
        <v>300</v>
      </c>
      <c r="B1628" s="4" t="s">
        <v>47</v>
      </c>
      <c r="C1628" s="4" t="n">
        <v>6</v>
      </c>
      <c r="D1628" s="4" t="s">
        <v>228</v>
      </c>
      <c r="E1628" s="3" t="s">
        <v>302</v>
      </c>
      <c r="F1628" s="4" t="str">
        <f aca="false">IF(I1628&gt;J1628,"Y","N")</f>
        <v>N</v>
      </c>
      <c r="G1628" s="3" t="s">
        <v>15</v>
      </c>
      <c r="H1628" s="3" t="s">
        <v>42</v>
      </c>
      <c r="I1628" s="4" t="n">
        <v>1</v>
      </c>
      <c r="J1628" s="4" t="n">
        <f aca="false">LEN(E1628)-LEN(SUBSTITUTE(E1628,",",""))+1</f>
        <v>1</v>
      </c>
      <c r="K1628" s="3" t="str">
        <f aca="false">IFERROR(INDEX('Teacher Lookup'!$B$2:$B$200,MATCH(A1628,'Teacher Lookup'!$A$2:$A$200,0)),"")</f>
        <v>CHAN Chong</v>
      </c>
    </row>
    <row r="1629" customFormat="false" ht="15" hidden="false" customHeight="false" outlineLevel="0" collapsed="false">
      <c r="A1629" s="3" t="s">
        <v>300</v>
      </c>
      <c r="B1629" s="4" t="s">
        <v>47</v>
      </c>
      <c r="C1629" s="4" t="n">
        <v>7</v>
      </c>
      <c r="D1629" s="4" t="s">
        <v>228</v>
      </c>
      <c r="E1629" s="3" t="s">
        <v>302</v>
      </c>
      <c r="F1629" s="4" t="str">
        <f aca="false">IF(I1629&gt;J1629,"Y","N")</f>
        <v>N</v>
      </c>
      <c r="G1629" s="3" t="s">
        <v>15</v>
      </c>
      <c r="H1629" s="3" t="s">
        <v>39</v>
      </c>
      <c r="I1629" s="4" t="n">
        <v>1</v>
      </c>
      <c r="J1629" s="4" t="n">
        <f aca="false">LEN(E1629)-LEN(SUBSTITUTE(E1629,",",""))+1</f>
        <v>1</v>
      </c>
      <c r="K1629" s="3" t="str">
        <f aca="false">IFERROR(INDEX('Teacher Lookup'!$B$2:$B$200,MATCH(A1629,'Teacher Lookup'!$A$2:$A$200,0)),"")</f>
        <v>CHAN Chong</v>
      </c>
    </row>
    <row r="1630" customFormat="false" ht="15" hidden="false" customHeight="false" outlineLevel="0" collapsed="false">
      <c r="A1630" s="3" t="s">
        <v>300</v>
      </c>
      <c r="B1630" s="4" t="s">
        <v>50</v>
      </c>
      <c r="C1630" s="4" t="n">
        <v>2</v>
      </c>
      <c r="D1630" s="4" t="s">
        <v>52</v>
      </c>
      <c r="E1630" s="3" t="s">
        <v>307</v>
      </c>
      <c r="F1630" s="4" t="str">
        <f aca="false">IF(I1630&gt;J1630,"Y","N")</f>
        <v>N</v>
      </c>
      <c r="G1630" s="3" t="s">
        <v>15</v>
      </c>
      <c r="H1630" s="3" t="s">
        <v>21</v>
      </c>
      <c r="I1630" s="4" t="n">
        <v>7</v>
      </c>
      <c r="J1630" s="4" t="n">
        <f aca="false">LEN(E1630)-LEN(SUBSTITUTE(E1630,",",""))+1</f>
        <v>7</v>
      </c>
      <c r="K1630" s="3" t="str">
        <f aca="false">IFERROR(INDEX('Teacher Lookup'!$B$2:$B$200,MATCH(A1630,'Teacher Lookup'!$A$2:$A$200,0)),"")</f>
        <v>CHAN Chong</v>
      </c>
    </row>
    <row r="1631" customFormat="false" ht="15" hidden="false" customHeight="false" outlineLevel="0" collapsed="false">
      <c r="A1631" s="3" t="s">
        <v>300</v>
      </c>
      <c r="B1631" s="4" t="s">
        <v>50</v>
      </c>
      <c r="C1631" s="4" t="n">
        <v>2</v>
      </c>
      <c r="D1631" s="4" t="s">
        <v>55</v>
      </c>
      <c r="E1631" s="3" t="s">
        <v>307</v>
      </c>
      <c r="F1631" s="4" t="str">
        <f aca="false">IF(I1631&gt;J1631,"Y","N")</f>
        <v>N</v>
      </c>
      <c r="G1631" s="3" t="s">
        <v>15</v>
      </c>
      <c r="H1631" s="3" t="s">
        <v>21</v>
      </c>
      <c r="I1631" s="4" t="n">
        <v>7</v>
      </c>
      <c r="J1631" s="4" t="n">
        <f aca="false">LEN(E1631)-LEN(SUBSTITUTE(E1631,",",""))+1</f>
        <v>7</v>
      </c>
      <c r="K1631" s="3" t="str">
        <f aca="false">IFERROR(INDEX('Teacher Lookup'!$B$2:$B$200,MATCH(A1631,'Teacher Lookup'!$A$2:$A$200,0)),"")</f>
        <v>CHAN Chong</v>
      </c>
    </row>
    <row r="1632" customFormat="false" ht="15" hidden="false" customHeight="false" outlineLevel="0" collapsed="false">
      <c r="A1632" s="3" t="s">
        <v>300</v>
      </c>
      <c r="B1632" s="4" t="s">
        <v>50</v>
      </c>
      <c r="C1632" s="4" t="n">
        <v>2</v>
      </c>
      <c r="D1632" s="4" t="s">
        <v>56</v>
      </c>
      <c r="E1632" s="3" t="s">
        <v>307</v>
      </c>
      <c r="F1632" s="4" t="str">
        <f aca="false">IF(I1632&gt;J1632,"Y","N")</f>
        <v>N</v>
      </c>
      <c r="G1632" s="3" t="s">
        <v>15</v>
      </c>
      <c r="H1632" s="3" t="s">
        <v>21</v>
      </c>
      <c r="I1632" s="4" t="n">
        <v>7</v>
      </c>
      <c r="J1632" s="4" t="n">
        <f aca="false">LEN(E1632)-LEN(SUBSTITUTE(E1632,",",""))+1</f>
        <v>7</v>
      </c>
      <c r="K1632" s="3" t="str">
        <f aca="false">IFERROR(INDEX('Teacher Lookup'!$B$2:$B$200,MATCH(A1632,'Teacher Lookup'!$A$2:$A$200,0)),"")</f>
        <v>CHAN Chong</v>
      </c>
    </row>
    <row r="1633" customFormat="false" ht="15" hidden="false" customHeight="false" outlineLevel="0" collapsed="false">
      <c r="A1633" s="3" t="s">
        <v>300</v>
      </c>
      <c r="B1633" s="4" t="s">
        <v>50</v>
      </c>
      <c r="C1633" s="4" t="n">
        <v>2</v>
      </c>
      <c r="D1633" s="4" t="s">
        <v>57</v>
      </c>
      <c r="E1633" s="3" t="s">
        <v>307</v>
      </c>
      <c r="F1633" s="4" t="str">
        <f aca="false">IF(I1633&gt;J1633,"Y","N")</f>
        <v>N</v>
      </c>
      <c r="G1633" s="3" t="s">
        <v>15</v>
      </c>
      <c r="H1633" s="3" t="s">
        <v>21</v>
      </c>
      <c r="I1633" s="4" t="n">
        <v>7</v>
      </c>
      <c r="J1633" s="4" t="n">
        <f aca="false">LEN(E1633)-LEN(SUBSTITUTE(E1633,",",""))+1</f>
        <v>7</v>
      </c>
      <c r="K1633" s="3" t="str">
        <f aca="false">IFERROR(INDEX('Teacher Lookup'!$B$2:$B$200,MATCH(A1633,'Teacher Lookup'!$A$2:$A$200,0)),"")</f>
        <v>CHAN Chong</v>
      </c>
    </row>
    <row r="1634" customFormat="false" ht="15" hidden="false" customHeight="false" outlineLevel="0" collapsed="false">
      <c r="A1634" s="3" t="s">
        <v>300</v>
      </c>
      <c r="B1634" s="4" t="s">
        <v>50</v>
      </c>
      <c r="C1634" s="4" t="n">
        <v>2</v>
      </c>
      <c r="D1634" s="4" t="s">
        <v>58</v>
      </c>
      <c r="E1634" s="3" t="s">
        <v>307</v>
      </c>
      <c r="F1634" s="4" t="str">
        <f aca="false">IF(I1634&gt;J1634,"Y","N")</f>
        <v>N</v>
      </c>
      <c r="G1634" s="3" t="s">
        <v>15</v>
      </c>
      <c r="H1634" s="3" t="s">
        <v>21</v>
      </c>
      <c r="I1634" s="4" t="n">
        <v>7</v>
      </c>
      <c r="J1634" s="4" t="n">
        <f aca="false">LEN(E1634)-LEN(SUBSTITUTE(E1634,",",""))+1</f>
        <v>7</v>
      </c>
      <c r="K1634" s="3" t="str">
        <f aca="false">IFERROR(INDEX('Teacher Lookup'!$B$2:$B$200,MATCH(A1634,'Teacher Lookup'!$A$2:$A$200,0)),"")</f>
        <v>CHAN Chong</v>
      </c>
    </row>
    <row r="1635" customFormat="false" ht="15" hidden="false" customHeight="false" outlineLevel="0" collapsed="false">
      <c r="A1635" s="3" t="s">
        <v>300</v>
      </c>
      <c r="B1635" s="4" t="s">
        <v>50</v>
      </c>
      <c r="C1635" s="4" t="n">
        <v>2</v>
      </c>
      <c r="D1635" s="4" t="s">
        <v>59</v>
      </c>
      <c r="E1635" s="3" t="s">
        <v>307</v>
      </c>
      <c r="F1635" s="4" t="str">
        <f aca="false">IF(I1635&gt;J1635,"Y","N")</f>
        <v>N</v>
      </c>
      <c r="G1635" s="3" t="s">
        <v>15</v>
      </c>
      <c r="H1635" s="3" t="s">
        <v>21</v>
      </c>
      <c r="I1635" s="4" t="n">
        <v>7</v>
      </c>
      <c r="J1635" s="4" t="n">
        <f aca="false">LEN(E1635)-LEN(SUBSTITUTE(E1635,",",""))+1</f>
        <v>7</v>
      </c>
      <c r="K1635" s="3" t="str">
        <f aca="false">IFERROR(INDEX('Teacher Lookup'!$B$2:$B$200,MATCH(A1635,'Teacher Lookup'!$A$2:$A$200,0)),"")</f>
        <v>CHAN Chong</v>
      </c>
    </row>
    <row r="1636" customFormat="false" ht="15" hidden="false" customHeight="false" outlineLevel="0" collapsed="false">
      <c r="A1636" s="3" t="s">
        <v>300</v>
      </c>
      <c r="B1636" s="4" t="s">
        <v>50</v>
      </c>
      <c r="C1636" s="4" t="n">
        <v>4</v>
      </c>
      <c r="D1636" s="4" t="s">
        <v>228</v>
      </c>
      <c r="E1636" s="3" t="s">
        <v>302</v>
      </c>
      <c r="F1636" s="4" t="str">
        <f aca="false">IF(I1636&gt;J1636,"Y","N")</f>
        <v>N</v>
      </c>
      <c r="G1636" s="3" t="s">
        <v>15</v>
      </c>
      <c r="H1636" s="3" t="s">
        <v>34</v>
      </c>
      <c r="I1636" s="4" t="n">
        <v>1</v>
      </c>
      <c r="J1636" s="4" t="n">
        <f aca="false">LEN(E1636)-LEN(SUBSTITUTE(E1636,",",""))+1</f>
        <v>1</v>
      </c>
      <c r="K1636" s="3" t="str">
        <f aca="false">IFERROR(INDEX('Teacher Lookup'!$B$2:$B$200,MATCH(A1636,'Teacher Lookup'!$A$2:$A$200,0)),"")</f>
        <v>CHAN Chong</v>
      </c>
    </row>
    <row r="1637" customFormat="false" ht="15" hidden="false" customHeight="false" outlineLevel="0" collapsed="false">
      <c r="A1637" s="3" t="s">
        <v>300</v>
      </c>
      <c r="B1637" s="4" t="s">
        <v>50</v>
      </c>
      <c r="C1637" s="4" t="n">
        <v>5</v>
      </c>
      <c r="D1637" s="4" t="s">
        <v>228</v>
      </c>
      <c r="E1637" s="3" t="s">
        <v>302</v>
      </c>
      <c r="F1637" s="4" t="str">
        <f aca="false">IF(I1637&gt;J1637,"Y","N")</f>
        <v>N</v>
      </c>
      <c r="G1637" s="3" t="s">
        <v>15</v>
      </c>
      <c r="H1637" s="3" t="s">
        <v>37</v>
      </c>
      <c r="I1637" s="4" t="n">
        <v>1</v>
      </c>
      <c r="J1637" s="4" t="n">
        <f aca="false">LEN(E1637)-LEN(SUBSTITUTE(E1637,",",""))+1</f>
        <v>1</v>
      </c>
      <c r="K1637" s="3" t="str">
        <f aca="false">IFERROR(INDEX('Teacher Lookup'!$B$2:$B$200,MATCH(A1637,'Teacher Lookup'!$A$2:$A$200,0)),"")</f>
        <v>CHAN Chong</v>
      </c>
    </row>
    <row r="1638" customFormat="false" ht="15" hidden="false" customHeight="false" outlineLevel="0" collapsed="false">
      <c r="A1638" s="3" t="s">
        <v>300</v>
      </c>
      <c r="B1638" s="4" t="s">
        <v>50</v>
      </c>
      <c r="C1638" s="4" t="n">
        <v>7</v>
      </c>
      <c r="D1638" s="4" t="s">
        <v>70</v>
      </c>
      <c r="E1638" s="3" t="s">
        <v>83</v>
      </c>
      <c r="F1638" s="4" t="str">
        <f aca="false">IF(I1638&gt;J1638,"Y","N")</f>
        <v>N</v>
      </c>
      <c r="G1638" s="3" t="s">
        <v>15</v>
      </c>
      <c r="H1638" s="3" t="s">
        <v>39</v>
      </c>
      <c r="I1638" s="4" t="n">
        <v>4</v>
      </c>
      <c r="J1638" s="4" t="n">
        <f aca="false">LEN(E1638)-LEN(SUBSTITUTE(E1638,",",""))+1</f>
        <v>4</v>
      </c>
      <c r="K1638" s="3" t="str">
        <f aca="false">IFERROR(INDEX('Teacher Lookup'!$B$2:$B$200,MATCH(A1638,'Teacher Lookup'!$A$2:$A$200,0)),"")</f>
        <v>CHAN Chong</v>
      </c>
    </row>
    <row r="1639" customFormat="false" ht="15" hidden="false" customHeight="false" outlineLevel="0" collapsed="false">
      <c r="A1639" s="3" t="s">
        <v>300</v>
      </c>
      <c r="B1639" s="4" t="s">
        <v>50</v>
      </c>
      <c r="C1639" s="4" t="n">
        <v>7</v>
      </c>
      <c r="D1639" s="4" t="s">
        <v>73</v>
      </c>
      <c r="E1639" s="3" t="s">
        <v>83</v>
      </c>
      <c r="F1639" s="4" t="str">
        <f aca="false">IF(I1639&gt;J1639,"Y","N")</f>
        <v>N</v>
      </c>
      <c r="G1639" s="3" t="s">
        <v>15</v>
      </c>
      <c r="H1639" s="3" t="s">
        <v>39</v>
      </c>
      <c r="I1639" s="4" t="n">
        <v>4</v>
      </c>
      <c r="J1639" s="4" t="n">
        <f aca="false">LEN(E1639)-LEN(SUBSTITUTE(E1639,",",""))+1</f>
        <v>4</v>
      </c>
      <c r="K1639" s="3" t="str">
        <f aca="false">IFERROR(INDEX('Teacher Lookup'!$B$2:$B$200,MATCH(A1639,'Teacher Lookup'!$A$2:$A$200,0)),"")</f>
        <v>CHAN Chong</v>
      </c>
    </row>
    <row r="1640" customFormat="false" ht="15" hidden="false" customHeight="false" outlineLevel="0" collapsed="false">
      <c r="A1640" s="3" t="s">
        <v>300</v>
      </c>
      <c r="B1640" s="4" t="s">
        <v>50</v>
      </c>
      <c r="C1640" s="4" t="n">
        <v>7</v>
      </c>
      <c r="D1640" s="4" t="s">
        <v>74</v>
      </c>
      <c r="E1640" s="3" t="s">
        <v>83</v>
      </c>
      <c r="F1640" s="4" t="str">
        <f aca="false">IF(I1640&gt;J1640,"Y","N")</f>
        <v>N</v>
      </c>
      <c r="G1640" s="3" t="s">
        <v>15</v>
      </c>
      <c r="H1640" s="3" t="s">
        <v>39</v>
      </c>
      <c r="I1640" s="4" t="n">
        <v>4</v>
      </c>
      <c r="J1640" s="4" t="n">
        <f aca="false">LEN(E1640)-LEN(SUBSTITUTE(E1640,",",""))+1</f>
        <v>4</v>
      </c>
      <c r="K1640" s="3" t="str">
        <f aca="false">IFERROR(INDEX('Teacher Lookup'!$B$2:$B$200,MATCH(A1640,'Teacher Lookup'!$A$2:$A$200,0)),"")</f>
        <v>CHAN Chong</v>
      </c>
    </row>
    <row r="1641" customFormat="false" ht="15" hidden="false" customHeight="false" outlineLevel="0" collapsed="false">
      <c r="A1641" s="3" t="s">
        <v>300</v>
      </c>
      <c r="B1641" s="4" t="s">
        <v>60</v>
      </c>
      <c r="C1641" s="4" t="n">
        <v>3</v>
      </c>
      <c r="D1641" s="4" t="s">
        <v>52</v>
      </c>
      <c r="E1641" s="3" t="s">
        <v>306</v>
      </c>
      <c r="F1641" s="4" t="str">
        <f aca="false">IF(I1641&gt;J1641,"Y","N")</f>
        <v>N</v>
      </c>
      <c r="G1641" s="3" t="s">
        <v>15</v>
      </c>
      <c r="H1641" s="3" t="s">
        <v>26</v>
      </c>
      <c r="I1641" s="4" t="n">
        <v>7</v>
      </c>
      <c r="J1641" s="4" t="n">
        <f aca="false">LEN(E1641)-LEN(SUBSTITUTE(E1641,",",""))+1</f>
        <v>7</v>
      </c>
      <c r="K1641" s="3" t="str">
        <f aca="false">IFERROR(INDEX('Teacher Lookup'!$B$2:$B$200,MATCH(A1641,'Teacher Lookup'!$A$2:$A$200,0)),"")</f>
        <v>CHAN Chong</v>
      </c>
    </row>
    <row r="1642" customFormat="false" ht="15" hidden="false" customHeight="false" outlineLevel="0" collapsed="false">
      <c r="A1642" s="3" t="s">
        <v>300</v>
      </c>
      <c r="B1642" s="4" t="s">
        <v>60</v>
      </c>
      <c r="C1642" s="4" t="n">
        <v>3</v>
      </c>
      <c r="D1642" s="4" t="s">
        <v>55</v>
      </c>
      <c r="E1642" s="3" t="s">
        <v>306</v>
      </c>
      <c r="F1642" s="4" t="str">
        <f aca="false">IF(I1642&gt;J1642,"Y","N")</f>
        <v>N</v>
      </c>
      <c r="G1642" s="3" t="s">
        <v>15</v>
      </c>
      <c r="H1642" s="3" t="s">
        <v>26</v>
      </c>
      <c r="I1642" s="4" t="n">
        <v>7</v>
      </c>
      <c r="J1642" s="4" t="n">
        <f aca="false">LEN(E1642)-LEN(SUBSTITUTE(E1642,",",""))+1</f>
        <v>7</v>
      </c>
      <c r="K1642" s="3" t="str">
        <f aca="false">IFERROR(INDEX('Teacher Lookup'!$B$2:$B$200,MATCH(A1642,'Teacher Lookup'!$A$2:$A$200,0)),"")</f>
        <v>CHAN Chong</v>
      </c>
    </row>
    <row r="1643" customFormat="false" ht="15" hidden="false" customHeight="false" outlineLevel="0" collapsed="false">
      <c r="A1643" s="3" t="s">
        <v>300</v>
      </c>
      <c r="B1643" s="4" t="s">
        <v>60</v>
      </c>
      <c r="C1643" s="4" t="n">
        <v>3</v>
      </c>
      <c r="D1643" s="4" t="s">
        <v>56</v>
      </c>
      <c r="E1643" s="3" t="s">
        <v>306</v>
      </c>
      <c r="F1643" s="4" t="str">
        <f aca="false">IF(I1643&gt;J1643,"Y","N")</f>
        <v>N</v>
      </c>
      <c r="G1643" s="3" t="s">
        <v>15</v>
      </c>
      <c r="H1643" s="3" t="s">
        <v>26</v>
      </c>
      <c r="I1643" s="4" t="n">
        <v>7</v>
      </c>
      <c r="J1643" s="4" t="n">
        <f aca="false">LEN(E1643)-LEN(SUBSTITUTE(E1643,",",""))+1</f>
        <v>7</v>
      </c>
      <c r="K1643" s="3" t="str">
        <f aca="false">IFERROR(INDEX('Teacher Lookup'!$B$2:$B$200,MATCH(A1643,'Teacher Lookup'!$A$2:$A$200,0)),"")</f>
        <v>CHAN Chong</v>
      </c>
    </row>
    <row r="1644" customFormat="false" ht="15" hidden="false" customHeight="false" outlineLevel="0" collapsed="false">
      <c r="A1644" s="3" t="s">
        <v>300</v>
      </c>
      <c r="B1644" s="4" t="s">
        <v>60</v>
      </c>
      <c r="C1644" s="4" t="n">
        <v>3</v>
      </c>
      <c r="D1644" s="4" t="s">
        <v>57</v>
      </c>
      <c r="E1644" s="3" t="s">
        <v>306</v>
      </c>
      <c r="F1644" s="4" t="str">
        <f aca="false">IF(I1644&gt;J1644,"Y","N")</f>
        <v>N</v>
      </c>
      <c r="G1644" s="3" t="s">
        <v>15</v>
      </c>
      <c r="H1644" s="3" t="s">
        <v>26</v>
      </c>
      <c r="I1644" s="4" t="n">
        <v>7</v>
      </c>
      <c r="J1644" s="4" t="n">
        <f aca="false">LEN(E1644)-LEN(SUBSTITUTE(E1644,",",""))+1</f>
        <v>7</v>
      </c>
      <c r="K1644" s="3" t="str">
        <f aca="false">IFERROR(INDEX('Teacher Lookup'!$B$2:$B$200,MATCH(A1644,'Teacher Lookup'!$A$2:$A$200,0)),"")</f>
        <v>CHAN Chong</v>
      </c>
    </row>
    <row r="1645" customFormat="false" ht="15" hidden="false" customHeight="false" outlineLevel="0" collapsed="false">
      <c r="A1645" s="3" t="s">
        <v>300</v>
      </c>
      <c r="B1645" s="4" t="s">
        <v>60</v>
      </c>
      <c r="C1645" s="4" t="n">
        <v>3</v>
      </c>
      <c r="D1645" s="4" t="s">
        <v>58</v>
      </c>
      <c r="E1645" s="3" t="s">
        <v>306</v>
      </c>
      <c r="F1645" s="4" t="str">
        <f aca="false">IF(I1645&gt;J1645,"Y","N")</f>
        <v>N</v>
      </c>
      <c r="G1645" s="3" t="s">
        <v>15</v>
      </c>
      <c r="H1645" s="3" t="s">
        <v>26</v>
      </c>
      <c r="I1645" s="4" t="n">
        <v>7</v>
      </c>
      <c r="J1645" s="4" t="n">
        <f aca="false">LEN(E1645)-LEN(SUBSTITUTE(E1645,",",""))+1</f>
        <v>7</v>
      </c>
      <c r="K1645" s="3" t="str">
        <f aca="false">IFERROR(INDEX('Teacher Lookup'!$B$2:$B$200,MATCH(A1645,'Teacher Lookup'!$A$2:$A$200,0)),"")</f>
        <v>CHAN Chong</v>
      </c>
    </row>
    <row r="1646" customFormat="false" ht="15" hidden="false" customHeight="false" outlineLevel="0" collapsed="false">
      <c r="A1646" s="3" t="s">
        <v>300</v>
      </c>
      <c r="B1646" s="4" t="s">
        <v>60</v>
      </c>
      <c r="C1646" s="4" t="n">
        <v>3</v>
      </c>
      <c r="D1646" s="4" t="s">
        <v>59</v>
      </c>
      <c r="E1646" s="3" t="s">
        <v>306</v>
      </c>
      <c r="F1646" s="4" t="str">
        <f aca="false">IF(I1646&gt;J1646,"Y","N")</f>
        <v>N</v>
      </c>
      <c r="G1646" s="3" t="s">
        <v>15</v>
      </c>
      <c r="H1646" s="3" t="s">
        <v>26</v>
      </c>
      <c r="I1646" s="4" t="n">
        <v>7</v>
      </c>
      <c r="J1646" s="4" t="n">
        <f aca="false">LEN(E1646)-LEN(SUBSTITUTE(E1646,",",""))+1</f>
        <v>7</v>
      </c>
      <c r="K1646" s="3" t="str">
        <f aca="false">IFERROR(INDEX('Teacher Lookup'!$B$2:$B$200,MATCH(A1646,'Teacher Lookup'!$A$2:$A$200,0)),"")</f>
        <v>CHAN Chong</v>
      </c>
    </row>
    <row r="1647" customFormat="false" ht="15" hidden="false" customHeight="false" outlineLevel="0" collapsed="false">
      <c r="A1647" s="3" t="s">
        <v>300</v>
      </c>
      <c r="B1647" s="4" t="s">
        <v>60</v>
      </c>
      <c r="C1647" s="4" t="n">
        <v>4</v>
      </c>
      <c r="D1647" s="4" t="s">
        <v>228</v>
      </c>
      <c r="E1647" s="3" t="s">
        <v>302</v>
      </c>
      <c r="F1647" s="4" t="str">
        <f aca="false">IF(I1647&gt;J1647,"Y","N")</f>
        <v>N</v>
      </c>
      <c r="G1647" s="3" t="s">
        <v>15</v>
      </c>
      <c r="H1647" s="3" t="s">
        <v>34</v>
      </c>
      <c r="I1647" s="4" t="n">
        <v>1</v>
      </c>
      <c r="J1647" s="4" t="n">
        <f aca="false">LEN(E1647)-LEN(SUBSTITUTE(E1647,",",""))+1</f>
        <v>1</v>
      </c>
      <c r="K1647" s="3" t="str">
        <f aca="false">IFERROR(INDEX('Teacher Lookup'!$B$2:$B$200,MATCH(A1647,'Teacher Lookup'!$A$2:$A$200,0)),"")</f>
        <v>CHAN Chong</v>
      </c>
    </row>
    <row r="1648" customFormat="false" ht="15" hidden="false" customHeight="false" outlineLevel="0" collapsed="false">
      <c r="A1648" s="3" t="s">
        <v>300</v>
      </c>
      <c r="B1648" s="4" t="s">
        <v>60</v>
      </c>
      <c r="C1648" s="4" t="n">
        <v>5</v>
      </c>
      <c r="D1648" s="4" t="s">
        <v>70</v>
      </c>
      <c r="E1648" s="3" t="s">
        <v>81</v>
      </c>
      <c r="F1648" s="4" t="str">
        <f aca="false">IF(I1648&gt;J1648,"Y","N")</f>
        <v>Y</v>
      </c>
      <c r="G1648" s="3" t="s">
        <v>36</v>
      </c>
      <c r="H1648" s="3" t="s">
        <v>37</v>
      </c>
      <c r="I1648" s="4" t="n">
        <v>15</v>
      </c>
      <c r="J1648" s="4" t="n">
        <f aca="false">LEN(E1648)-LEN(SUBSTITUTE(E1648,",",""))+1</f>
        <v>7</v>
      </c>
      <c r="K1648" s="3" t="str">
        <f aca="false">IFERROR(INDEX('Teacher Lookup'!$B$2:$B$200,MATCH(A1648,'Teacher Lookup'!$A$2:$A$200,0)),"")</f>
        <v>CHAN Chong</v>
      </c>
    </row>
    <row r="1649" customFormat="false" ht="15" hidden="false" customHeight="false" outlineLevel="0" collapsed="false">
      <c r="A1649" s="3" t="s">
        <v>300</v>
      </c>
      <c r="B1649" s="4" t="s">
        <v>60</v>
      </c>
      <c r="C1649" s="4" t="n">
        <v>5</v>
      </c>
      <c r="D1649" s="4" t="s">
        <v>73</v>
      </c>
      <c r="E1649" s="3" t="s">
        <v>81</v>
      </c>
      <c r="F1649" s="4" t="str">
        <f aca="false">IF(I1649&gt;J1649,"Y","N")</f>
        <v>Y</v>
      </c>
      <c r="G1649" s="3" t="s">
        <v>36</v>
      </c>
      <c r="H1649" s="3" t="s">
        <v>37</v>
      </c>
      <c r="I1649" s="4" t="n">
        <v>15</v>
      </c>
      <c r="J1649" s="4" t="n">
        <f aca="false">LEN(E1649)-LEN(SUBSTITUTE(E1649,",",""))+1</f>
        <v>7</v>
      </c>
      <c r="K1649" s="3" t="str">
        <f aca="false">IFERROR(INDEX('Teacher Lookup'!$B$2:$B$200,MATCH(A1649,'Teacher Lookup'!$A$2:$A$200,0)),"")</f>
        <v>CHAN Chong</v>
      </c>
    </row>
    <row r="1650" customFormat="false" ht="15" hidden="false" customHeight="false" outlineLevel="0" collapsed="false">
      <c r="A1650" s="3" t="s">
        <v>300</v>
      </c>
      <c r="B1650" s="4" t="s">
        <v>60</v>
      </c>
      <c r="C1650" s="4" t="n">
        <v>5</v>
      </c>
      <c r="D1650" s="4" t="s">
        <v>74</v>
      </c>
      <c r="E1650" s="3" t="s">
        <v>81</v>
      </c>
      <c r="F1650" s="4" t="str">
        <f aca="false">IF(I1650&gt;J1650,"Y","N")</f>
        <v>Y</v>
      </c>
      <c r="G1650" s="3" t="s">
        <v>36</v>
      </c>
      <c r="H1650" s="3" t="s">
        <v>37</v>
      </c>
      <c r="I1650" s="4" t="n">
        <v>15</v>
      </c>
      <c r="J1650" s="4" t="n">
        <f aca="false">LEN(E1650)-LEN(SUBSTITUTE(E1650,",",""))+1</f>
        <v>7</v>
      </c>
      <c r="K1650" s="3" t="str">
        <f aca="false">IFERROR(INDEX('Teacher Lookup'!$B$2:$B$200,MATCH(A1650,'Teacher Lookup'!$A$2:$A$200,0)),"")</f>
        <v>CHAN Chong</v>
      </c>
    </row>
    <row r="1651" customFormat="false" ht="15" hidden="false" customHeight="false" outlineLevel="0" collapsed="false">
      <c r="A1651" s="3" t="s">
        <v>300</v>
      </c>
      <c r="B1651" s="4" t="s">
        <v>60</v>
      </c>
      <c r="C1651" s="4" t="n">
        <v>5</v>
      </c>
      <c r="D1651" s="4" t="s">
        <v>76</v>
      </c>
      <c r="E1651" s="3" t="s">
        <v>81</v>
      </c>
      <c r="F1651" s="4" t="str">
        <f aca="false">IF(I1651&gt;J1651,"Y","N")</f>
        <v>Y</v>
      </c>
      <c r="G1651" s="3" t="s">
        <v>36</v>
      </c>
      <c r="H1651" s="3" t="s">
        <v>37</v>
      </c>
      <c r="I1651" s="4" t="n">
        <v>15</v>
      </c>
      <c r="J1651" s="4" t="n">
        <f aca="false">LEN(E1651)-LEN(SUBSTITUTE(E1651,",",""))+1</f>
        <v>7</v>
      </c>
      <c r="K1651" s="3" t="str">
        <f aca="false">IFERROR(INDEX('Teacher Lookup'!$B$2:$B$200,MATCH(A1651,'Teacher Lookup'!$A$2:$A$200,0)),"")</f>
        <v>CHAN Chong</v>
      </c>
    </row>
    <row r="1652" customFormat="false" ht="15" hidden="false" customHeight="false" outlineLevel="0" collapsed="false">
      <c r="A1652" s="3" t="s">
        <v>300</v>
      </c>
      <c r="B1652" s="4" t="s">
        <v>60</v>
      </c>
      <c r="C1652" s="4" t="n">
        <v>5</v>
      </c>
      <c r="D1652" s="4" t="s">
        <v>78</v>
      </c>
      <c r="E1652" s="3" t="s">
        <v>81</v>
      </c>
      <c r="F1652" s="4" t="str">
        <f aca="false">IF(I1652&gt;J1652,"Y","N")</f>
        <v>Y</v>
      </c>
      <c r="G1652" s="3" t="s">
        <v>36</v>
      </c>
      <c r="H1652" s="3" t="s">
        <v>37</v>
      </c>
      <c r="I1652" s="4" t="n">
        <v>15</v>
      </c>
      <c r="J1652" s="4" t="n">
        <f aca="false">LEN(E1652)-LEN(SUBSTITUTE(E1652,",",""))+1</f>
        <v>7</v>
      </c>
      <c r="K1652" s="3" t="str">
        <f aca="false">IFERROR(INDEX('Teacher Lookup'!$B$2:$B$200,MATCH(A1652,'Teacher Lookup'!$A$2:$A$200,0)),"")</f>
        <v>CHAN Chong</v>
      </c>
    </row>
    <row r="1653" customFormat="false" ht="15" hidden="false" customHeight="false" outlineLevel="0" collapsed="false">
      <c r="A1653" s="3" t="s">
        <v>300</v>
      </c>
      <c r="B1653" s="4" t="s">
        <v>60</v>
      </c>
      <c r="C1653" s="4" t="n">
        <v>5</v>
      </c>
      <c r="D1653" s="4" t="s">
        <v>79</v>
      </c>
      <c r="E1653" s="3" t="s">
        <v>81</v>
      </c>
      <c r="F1653" s="4" t="str">
        <f aca="false">IF(I1653&gt;J1653,"Y","N")</f>
        <v>Y</v>
      </c>
      <c r="G1653" s="3" t="s">
        <v>36</v>
      </c>
      <c r="H1653" s="3" t="s">
        <v>37</v>
      </c>
      <c r="I1653" s="4" t="n">
        <v>15</v>
      </c>
      <c r="J1653" s="4" t="n">
        <f aca="false">LEN(E1653)-LEN(SUBSTITUTE(E1653,",",""))+1</f>
        <v>7</v>
      </c>
      <c r="K1653" s="3" t="str">
        <f aca="false">IFERROR(INDEX('Teacher Lookup'!$B$2:$B$200,MATCH(A1653,'Teacher Lookup'!$A$2:$A$200,0)),"")</f>
        <v>CHAN Chong</v>
      </c>
    </row>
    <row r="1654" customFormat="false" ht="15" hidden="false" customHeight="false" outlineLevel="0" collapsed="false">
      <c r="A1654" s="3" t="s">
        <v>300</v>
      </c>
      <c r="B1654" s="4" t="s">
        <v>60</v>
      </c>
      <c r="C1654" s="4" t="n">
        <v>7</v>
      </c>
      <c r="D1654" s="4" t="s">
        <v>70</v>
      </c>
      <c r="E1654" s="3" t="s">
        <v>71</v>
      </c>
      <c r="F1654" s="4" t="str">
        <f aca="false">IF(I1654&gt;J1654,"Y","N")</f>
        <v>N</v>
      </c>
      <c r="G1654" s="3" t="s">
        <v>15</v>
      </c>
      <c r="H1654" s="3" t="s">
        <v>39</v>
      </c>
      <c r="I1654" s="4" t="n">
        <v>4</v>
      </c>
      <c r="J1654" s="4" t="n">
        <f aca="false">LEN(E1654)-LEN(SUBSTITUTE(E1654,",",""))+1</f>
        <v>4</v>
      </c>
      <c r="K1654" s="3" t="str">
        <f aca="false">IFERROR(INDEX('Teacher Lookup'!$B$2:$B$200,MATCH(A1654,'Teacher Lookup'!$A$2:$A$200,0)),"")</f>
        <v>CHAN Chong</v>
      </c>
    </row>
    <row r="1655" customFormat="false" ht="15" hidden="false" customHeight="false" outlineLevel="0" collapsed="false">
      <c r="A1655" s="3" t="s">
        <v>300</v>
      </c>
      <c r="B1655" s="4" t="s">
        <v>60</v>
      </c>
      <c r="C1655" s="4" t="n">
        <v>7</v>
      </c>
      <c r="D1655" s="4" t="s">
        <v>73</v>
      </c>
      <c r="E1655" s="3" t="s">
        <v>71</v>
      </c>
      <c r="F1655" s="4" t="str">
        <f aca="false">IF(I1655&gt;J1655,"Y","N")</f>
        <v>N</v>
      </c>
      <c r="G1655" s="3" t="s">
        <v>15</v>
      </c>
      <c r="H1655" s="3" t="s">
        <v>39</v>
      </c>
      <c r="I1655" s="4" t="n">
        <v>4</v>
      </c>
      <c r="J1655" s="4" t="n">
        <f aca="false">LEN(E1655)-LEN(SUBSTITUTE(E1655,",",""))+1</f>
        <v>4</v>
      </c>
      <c r="K1655" s="3" t="str">
        <f aca="false">IFERROR(INDEX('Teacher Lookup'!$B$2:$B$200,MATCH(A1655,'Teacher Lookup'!$A$2:$A$200,0)),"")</f>
        <v>CHAN Chong</v>
      </c>
    </row>
    <row r="1656" customFormat="false" ht="15" hidden="false" customHeight="false" outlineLevel="0" collapsed="false">
      <c r="A1656" s="3" t="s">
        <v>300</v>
      </c>
      <c r="B1656" s="4" t="s">
        <v>60</v>
      </c>
      <c r="C1656" s="4" t="n">
        <v>7</v>
      </c>
      <c r="D1656" s="4" t="s">
        <v>74</v>
      </c>
      <c r="E1656" s="3" t="s">
        <v>71</v>
      </c>
      <c r="F1656" s="4" t="str">
        <f aca="false">IF(I1656&gt;J1656,"Y","N")</f>
        <v>N</v>
      </c>
      <c r="G1656" s="3" t="s">
        <v>15</v>
      </c>
      <c r="H1656" s="3" t="s">
        <v>39</v>
      </c>
      <c r="I1656" s="4" t="n">
        <v>4</v>
      </c>
      <c r="J1656" s="4" t="n">
        <f aca="false">LEN(E1656)-LEN(SUBSTITUTE(E1656,",",""))+1</f>
        <v>4</v>
      </c>
      <c r="K1656" s="3" t="str">
        <f aca="false">IFERROR(INDEX('Teacher Lookup'!$B$2:$B$200,MATCH(A1656,'Teacher Lookup'!$A$2:$A$200,0)),"")</f>
        <v>CHAN Chong</v>
      </c>
    </row>
    <row r="1657" customFormat="false" ht="15" hidden="false" customHeight="false" outlineLevel="0" collapsed="false">
      <c r="A1657" s="3" t="s">
        <v>300</v>
      </c>
      <c r="B1657" s="4" t="s">
        <v>63</v>
      </c>
      <c r="C1657" s="4" t="n">
        <v>1</v>
      </c>
      <c r="D1657" s="4" t="s">
        <v>228</v>
      </c>
      <c r="E1657" s="3" t="s">
        <v>302</v>
      </c>
      <c r="F1657" s="4" t="str">
        <f aca="false">IF(I1657&gt;J1657,"Y","N")</f>
        <v>N</v>
      </c>
      <c r="G1657" s="3" t="s">
        <v>15</v>
      </c>
      <c r="H1657" s="3" t="s">
        <v>16</v>
      </c>
      <c r="I1657" s="4" t="n">
        <v>1</v>
      </c>
      <c r="J1657" s="4" t="n">
        <f aca="false">LEN(E1657)-LEN(SUBSTITUTE(E1657,",",""))+1</f>
        <v>1</v>
      </c>
      <c r="K1657" s="3" t="str">
        <f aca="false">IFERROR(INDEX('Teacher Lookup'!$B$2:$B$200,MATCH(A1657,'Teacher Lookup'!$A$2:$A$200,0)),"")</f>
        <v>CHAN Chong</v>
      </c>
    </row>
    <row r="1658" customFormat="false" ht="15" hidden="false" customHeight="false" outlineLevel="0" collapsed="false">
      <c r="A1658" s="3" t="s">
        <v>300</v>
      </c>
      <c r="B1658" s="4" t="s">
        <v>63</v>
      </c>
      <c r="C1658" s="4" t="n">
        <v>2</v>
      </c>
      <c r="D1658" s="4" t="s">
        <v>228</v>
      </c>
      <c r="E1658" s="3" t="s">
        <v>302</v>
      </c>
      <c r="F1658" s="4" t="str">
        <f aca="false">IF(I1658&gt;J1658,"Y","N")</f>
        <v>N</v>
      </c>
      <c r="G1658" s="3" t="s">
        <v>15</v>
      </c>
      <c r="H1658" s="3" t="s">
        <v>21</v>
      </c>
      <c r="I1658" s="4" t="n">
        <v>1</v>
      </c>
      <c r="J1658" s="4" t="n">
        <f aca="false">LEN(E1658)-LEN(SUBSTITUTE(E1658,",",""))+1</f>
        <v>1</v>
      </c>
      <c r="K1658" s="3" t="str">
        <f aca="false">IFERROR(INDEX('Teacher Lookup'!$B$2:$B$200,MATCH(A1658,'Teacher Lookup'!$A$2:$A$200,0)),"")</f>
        <v>CHAN Chong</v>
      </c>
    </row>
    <row r="1659" customFormat="false" ht="15" hidden="false" customHeight="false" outlineLevel="0" collapsed="false">
      <c r="A1659" s="3" t="s">
        <v>300</v>
      </c>
      <c r="B1659" s="4" t="s">
        <v>63</v>
      </c>
      <c r="C1659" s="4" t="n">
        <v>3</v>
      </c>
      <c r="D1659" s="4" t="s">
        <v>70</v>
      </c>
      <c r="E1659" s="3" t="s">
        <v>223</v>
      </c>
      <c r="F1659" s="4" t="str">
        <f aca="false">IF(I1659&gt;J1659,"Y","N")</f>
        <v>N</v>
      </c>
      <c r="G1659" s="3" t="s">
        <v>15</v>
      </c>
      <c r="H1659" s="3" t="s">
        <v>26</v>
      </c>
      <c r="I1659" s="4" t="n">
        <v>4</v>
      </c>
      <c r="J1659" s="4" t="n">
        <f aca="false">LEN(E1659)-LEN(SUBSTITUTE(E1659,",",""))+1</f>
        <v>4</v>
      </c>
      <c r="K1659" s="3" t="str">
        <f aca="false">IFERROR(INDEX('Teacher Lookup'!$B$2:$B$200,MATCH(A1659,'Teacher Lookup'!$A$2:$A$200,0)),"")</f>
        <v>CHAN Chong</v>
      </c>
    </row>
    <row r="1660" customFormat="false" ht="15" hidden="false" customHeight="false" outlineLevel="0" collapsed="false">
      <c r="A1660" s="3" t="s">
        <v>300</v>
      </c>
      <c r="B1660" s="4" t="s">
        <v>63</v>
      </c>
      <c r="C1660" s="4" t="n">
        <v>3</v>
      </c>
      <c r="D1660" s="4" t="s">
        <v>73</v>
      </c>
      <c r="E1660" s="3" t="s">
        <v>223</v>
      </c>
      <c r="F1660" s="4" t="str">
        <f aca="false">IF(I1660&gt;J1660,"Y","N")</f>
        <v>N</v>
      </c>
      <c r="G1660" s="3" t="s">
        <v>15</v>
      </c>
      <c r="H1660" s="3" t="s">
        <v>26</v>
      </c>
      <c r="I1660" s="4" t="n">
        <v>4</v>
      </c>
      <c r="J1660" s="4" t="n">
        <f aca="false">LEN(E1660)-LEN(SUBSTITUTE(E1660,",",""))+1</f>
        <v>4</v>
      </c>
      <c r="K1660" s="3" t="str">
        <f aca="false">IFERROR(INDEX('Teacher Lookup'!$B$2:$B$200,MATCH(A1660,'Teacher Lookup'!$A$2:$A$200,0)),"")</f>
        <v>CHAN Chong</v>
      </c>
    </row>
    <row r="1661" customFormat="false" ht="15" hidden="false" customHeight="false" outlineLevel="0" collapsed="false">
      <c r="A1661" s="3" t="s">
        <v>300</v>
      </c>
      <c r="B1661" s="4" t="s">
        <v>63</v>
      </c>
      <c r="C1661" s="4" t="n">
        <v>3</v>
      </c>
      <c r="D1661" s="4" t="s">
        <v>74</v>
      </c>
      <c r="E1661" s="3" t="s">
        <v>223</v>
      </c>
      <c r="F1661" s="4" t="str">
        <f aca="false">IF(I1661&gt;J1661,"Y","N")</f>
        <v>N</v>
      </c>
      <c r="G1661" s="3" t="s">
        <v>15</v>
      </c>
      <c r="H1661" s="3" t="s">
        <v>26</v>
      </c>
      <c r="I1661" s="4" t="n">
        <v>4</v>
      </c>
      <c r="J1661" s="4" t="n">
        <f aca="false">LEN(E1661)-LEN(SUBSTITUTE(E1661,",",""))+1</f>
        <v>4</v>
      </c>
      <c r="K1661" s="3" t="str">
        <f aca="false">IFERROR(INDEX('Teacher Lookup'!$B$2:$B$200,MATCH(A1661,'Teacher Lookup'!$A$2:$A$200,0)),"")</f>
        <v>CHAN Chong</v>
      </c>
    </row>
    <row r="1662" customFormat="false" ht="15" hidden="false" customHeight="false" outlineLevel="0" collapsed="false">
      <c r="A1662" s="3" t="s">
        <v>300</v>
      </c>
      <c r="B1662" s="4" t="s">
        <v>63</v>
      </c>
      <c r="C1662" s="4" t="n">
        <v>7</v>
      </c>
      <c r="D1662" s="4" t="s">
        <v>52</v>
      </c>
      <c r="E1662" s="3" t="s">
        <v>304</v>
      </c>
      <c r="F1662" s="4" t="str">
        <f aca="false">IF(I1662&gt;J1662,"Y","N")</f>
        <v>N</v>
      </c>
      <c r="G1662" s="3" t="s">
        <v>15</v>
      </c>
      <c r="H1662" s="3" t="s">
        <v>39</v>
      </c>
      <c r="I1662" s="4" t="n">
        <v>7</v>
      </c>
      <c r="J1662" s="4" t="n">
        <f aca="false">LEN(E1662)-LEN(SUBSTITUTE(E1662,",",""))+1</f>
        <v>7</v>
      </c>
      <c r="K1662" s="3" t="str">
        <f aca="false">IFERROR(INDEX('Teacher Lookup'!$B$2:$B$200,MATCH(A1662,'Teacher Lookup'!$A$2:$A$200,0)),"")</f>
        <v>CHAN Chong</v>
      </c>
    </row>
    <row r="1663" customFormat="false" ht="15" hidden="false" customHeight="false" outlineLevel="0" collapsed="false">
      <c r="A1663" s="3" t="s">
        <v>300</v>
      </c>
      <c r="B1663" s="4" t="s">
        <v>63</v>
      </c>
      <c r="C1663" s="4" t="n">
        <v>7</v>
      </c>
      <c r="D1663" s="4" t="s">
        <v>55</v>
      </c>
      <c r="E1663" s="3" t="s">
        <v>304</v>
      </c>
      <c r="F1663" s="4" t="str">
        <f aca="false">IF(I1663&gt;J1663,"Y","N")</f>
        <v>N</v>
      </c>
      <c r="G1663" s="3" t="s">
        <v>15</v>
      </c>
      <c r="H1663" s="3" t="s">
        <v>39</v>
      </c>
      <c r="I1663" s="4" t="n">
        <v>7</v>
      </c>
      <c r="J1663" s="4" t="n">
        <f aca="false">LEN(E1663)-LEN(SUBSTITUTE(E1663,",",""))+1</f>
        <v>7</v>
      </c>
      <c r="K1663" s="3" t="str">
        <f aca="false">IFERROR(INDEX('Teacher Lookup'!$B$2:$B$200,MATCH(A1663,'Teacher Lookup'!$A$2:$A$200,0)),"")</f>
        <v>CHAN Chong</v>
      </c>
    </row>
    <row r="1664" customFormat="false" ht="15" hidden="false" customHeight="false" outlineLevel="0" collapsed="false">
      <c r="A1664" s="3" t="s">
        <v>300</v>
      </c>
      <c r="B1664" s="4" t="s">
        <v>63</v>
      </c>
      <c r="C1664" s="4" t="n">
        <v>7</v>
      </c>
      <c r="D1664" s="4" t="s">
        <v>56</v>
      </c>
      <c r="E1664" s="3" t="s">
        <v>304</v>
      </c>
      <c r="F1664" s="4" t="str">
        <f aca="false">IF(I1664&gt;J1664,"Y","N")</f>
        <v>N</v>
      </c>
      <c r="G1664" s="3" t="s">
        <v>15</v>
      </c>
      <c r="H1664" s="3" t="s">
        <v>39</v>
      </c>
      <c r="I1664" s="4" t="n">
        <v>7</v>
      </c>
      <c r="J1664" s="4" t="n">
        <f aca="false">LEN(E1664)-LEN(SUBSTITUTE(E1664,",",""))+1</f>
        <v>7</v>
      </c>
      <c r="K1664" s="3" t="str">
        <f aca="false">IFERROR(INDEX('Teacher Lookup'!$B$2:$B$200,MATCH(A1664,'Teacher Lookup'!$A$2:$A$200,0)),"")</f>
        <v>CHAN Chong</v>
      </c>
    </row>
    <row r="1665" customFormat="false" ht="15" hidden="false" customHeight="false" outlineLevel="0" collapsed="false">
      <c r="A1665" s="3" t="s">
        <v>300</v>
      </c>
      <c r="B1665" s="4" t="s">
        <v>63</v>
      </c>
      <c r="C1665" s="4" t="n">
        <v>7</v>
      </c>
      <c r="D1665" s="4" t="s">
        <v>57</v>
      </c>
      <c r="E1665" s="3" t="s">
        <v>304</v>
      </c>
      <c r="F1665" s="4" t="str">
        <f aca="false">IF(I1665&gt;J1665,"Y","N")</f>
        <v>N</v>
      </c>
      <c r="G1665" s="3" t="s">
        <v>15</v>
      </c>
      <c r="H1665" s="3" t="s">
        <v>39</v>
      </c>
      <c r="I1665" s="4" t="n">
        <v>7</v>
      </c>
      <c r="J1665" s="4" t="n">
        <f aca="false">LEN(E1665)-LEN(SUBSTITUTE(E1665,",",""))+1</f>
        <v>7</v>
      </c>
      <c r="K1665" s="3" t="str">
        <f aca="false">IFERROR(INDEX('Teacher Lookup'!$B$2:$B$200,MATCH(A1665,'Teacher Lookup'!$A$2:$A$200,0)),"")</f>
        <v>CHAN Chong</v>
      </c>
    </row>
    <row r="1666" customFormat="false" ht="15" hidden="false" customHeight="false" outlineLevel="0" collapsed="false">
      <c r="A1666" s="3" t="s">
        <v>300</v>
      </c>
      <c r="B1666" s="4" t="s">
        <v>63</v>
      </c>
      <c r="C1666" s="4" t="n">
        <v>7</v>
      </c>
      <c r="D1666" s="4" t="s">
        <v>58</v>
      </c>
      <c r="E1666" s="3" t="s">
        <v>304</v>
      </c>
      <c r="F1666" s="4" t="str">
        <f aca="false">IF(I1666&gt;J1666,"Y","N")</f>
        <v>N</v>
      </c>
      <c r="G1666" s="3" t="s">
        <v>15</v>
      </c>
      <c r="H1666" s="3" t="s">
        <v>39</v>
      </c>
      <c r="I1666" s="4" t="n">
        <v>7</v>
      </c>
      <c r="J1666" s="4" t="n">
        <f aca="false">LEN(E1666)-LEN(SUBSTITUTE(E1666,",",""))+1</f>
        <v>7</v>
      </c>
      <c r="K1666" s="3" t="str">
        <f aca="false">IFERROR(INDEX('Teacher Lookup'!$B$2:$B$200,MATCH(A1666,'Teacher Lookup'!$A$2:$A$200,0)),"")</f>
        <v>CHAN Chong</v>
      </c>
    </row>
    <row r="1667" customFormat="false" ht="15" hidden="false" customHeight="false" outlineLevel="0" collapsed="false">
      <c r="A1667" s="3" t="s">
        <v>300</v>
      </c>
      <c r="B1667" s="4" t="s">
        <v>63</v>
      </c>
      <c r="C1667" s="4" t="n">
        <v>7</v>
      </c>
      <c r="D1667" s="4" t="s">
        <v>59</v>
      </c>
      <c r="E1667" s="3" t="s">
        <v>304</v>
      </c>
      <c r="F1667" s="4" t="str">
        <f aca="false">IF(I1667&gt;J1667,"Y","N")</f>
        <v>N</v>
      </c>
      <c r="G1667" s="3" t="s">
        <v>15</v>
      </c>
      <c r="H1667" s="3" t="s">
        <v>39</v>
      </c>
      <c r="I1667" s="4" t="n">
        <v>7</v>
      </c>
      <c r="J1667" s="4" t="n">
        <f aca="false">LEN(E1667)-LEN(SUBSTITUTE(E1667,",",""))+1</f>
        <v>7</v>
      </c>
      <c r="K1667" s="3" t="str">
        <f aca="false">IFERROR(INDEX('Teacher Lookup'!$B$2:$B$200,MATCH(A1667,'Teacher Lookup'!$A$2:$A$200,0)),"")</f>
        <v>CHAN Chong</v>
      </c>
    </row>
    <row r="1668" customFormat="false" ht="15" hidden="false" customHeight="false" outlineLevel="0" collapsed="false">
      <c r="A1668" s="3" t="s">
        <v>300</v>
      </c>
      <c r="B1668" s="4" t="s">
        <v>65</v>
      </c>
      <c r="C1668" s="4" t="n">
        <v>2</v>
      </c>
      <c r="D1668" s="4" t="s">
        <v>228</v>
      </c>
      <c r="E1668" s="3" t="s">
        <v>302</v>
      </c>
      <c r="F1668" s="4" t="str">
        <f aca="false">IF(I1668&gt;J1668,"Y","N")</f>
        <v>N</v>
      </c>
      <c r="G1668" s="3" t="s">
        <v>15</v>
      </c>
      <c r="H1668" s="3" t="s">
        <v>21</v>
      </c>
      <c r="I1668" s="4" t="n">
        <v>1</v>
      </c>
      <c r="J1668" s="4" t="n">
        <f aca="false">LEN(E1668)-LEN(SUBSTITUTE(E1668,",",""))+1</f>
        <v>1</v>
      </c>
      <c r="K1668" s="3" t="str">
        <f aca="false">IFERROR(INDEX('Teacher Lookup'!$B$2:$B$200,MATCH(A1668,'Teacher Lookup'!$A$2:$A$200,0)),"")</f>
        <v>CHAN Chong</v>
      </c>
    </row>
    <row r="1669" customFormat="false" ht="15" hidden="false" customHeight="false" outlineLevel="0" collapsed="false">
      <c r="A1669" s="3" t="s">
        <v>300</v>
      </c>
      <c r="B1669" s="4" t="s">
        <v>65</v>
      </c>
      <c r="C1669" s="4" t="n">
        <v>3</v>
      </c>
      <c r="D1669" s="4" t="s">
        <v>70</v>
      </c>
      <c r="E1669" s="3" t="s">
        <v>224</v>
      </c>
      <c r="F1669" s="4" t="str">
        <f aca="false">IF(I1669&gt;J1669,"Y","N")</f>
        <v>N</v>
      </c>
      <c r="G1669" s="3" t="s">
        <v>15</v>
      </c>
      <c r="H1669" s="3" t="s">
        <v>26</v>
      </c>
      <c r="I1669" s="4" t="n">
        <v>4</v>
      </c>
      <c r="J1669" s="4" t="n">
        <f aca="false">LEN(E1669)-LEN(SUBSTITUTE(E1669,",",""))+1</f>
        <v>4</v>
      </c>
      <c r="K1669" s="3" t="str">
        <f aca="false">IFERROR(INDEX('Teacher Lookup'!$B$2:$B$200,MATCH(A1669,'Teacher Lookup'!$A$2:$A$200,0)),"")</f>
        <v>CHAN Chong</v>
      </c>
    </row>
    <row r="1670" customFormat="false" ht="15" hidden="false" customHeight="false" outlineLevel="0" collapsed="false">
      <c r="A1670" s="3" t="s">
        <v>300</v>
      </c>
      <c r="B1670" s="4" t="s">
        <v>65</v>
      </c>
      <c r="C1670" s="4" t="n">
        <v>3</v>
      </c>
      <c r="D1670" s="4" t="s">
        <v>73</v>
      </c>
      <c r="E1670" s="3" t="s">
        <v>224</v>
      </c>
      <c r="F1670" s="4" t="str">
        <f aca="false">IF(I1670&gt;J1670,"Y","N")</f>
        <v>N</v>
      </c>
      <c r="G1670" s="3" t="s">
        <v>15</v>
      </c>
      <c r="H1670" s="3" t="s">
        <v>26</v>
      </c>
      <c r="I1670" s="4" t="n">
        <v>4</v>
      </c>
      <c r="J1670" s="4" t="n">
        <f aca="false">LEN(E1670)-LEN(SUBSTITUTE(E1670,",",""))+1</f>
        <v>4</v>
      </c>
      <c r="K1670" s="3" t="str">
        <f aca="false">IFERROR(INDEX('Teacher Lookup'!$B$2:$B$200,MATCH(A1670,'Teacher Lookup'!$A$2:$A$200,0)),"")</f>
        <v>CHAN Chong</v>
      </c>
    </row>
    <row r="1671" customFormat="false" ht="15" hidden="false" customHeight="false" outlineLevel="0" collapsed="false">
      <c r="A1671" s="3" t="s">
        <v>300</v>
      </c>
      <c r="B1671" s="4" t="s">
        <v>65</v>
      </c>
      <c r="C1671" s="4" t="n">
        <v>3</v>
      </c>
      <c r="D1671" s="4" t="s">
        <v>74</v>
      </c>
      <c r="E1671" s="3" t="s">
        <v>224</v>
      </c>
      <c r="F1671" s="4" t="str">
        <f aca="false">IF(I1671&gt;J1671,"Y","N")</f>
        <v>N</v>
      </c>
      <c r="G1671" s="3" t="s">
        <v>15</v>
      </c>
      <c r="H1671" s="3" t="s">
        <v>26</v>
      </c>
      <c r="I1671" s="4" t="n">
        <v>4</v>
      </c>
      <c r="J1671" s="4" t="n">
        <f aca="false">LEN(E1671)-LEN(SUBSTITUTE(E1671,",",""))+1</f>
        <v>4</v>
      </c>
      <c r="K1671" s="3" t="str">
        <f aca="false">IFERROR(INDEX('Teacher Lookup'!$B$2:$B$200,MATCH(A1671,'Teacher Lookup'!$A$2:$A$200,0)),"")</f>
        <v>CHAN Chong</v>
      </c>
    </row>
    <row r="1672" customFormat="false" ht="15" hidden="false" customHeight="false" outlineLevel="0" collapsed="false">
      <c r="A1672" s="3" t="s">
        <v>300</v>
      </c>
      <c r="B1672" s="4" t="s">
        <v>65</v>
      </c>
      <c r="C1672" s="4" t="n">
        <v>4</v>
      </c>
      <c r="D1672" s="4" t="s">
        <v>52</v>
      </c>
      <c r="E1672" s="3" t="s">
        <v>306</v>
      </c>
      <c r="F1672" s="4" t="str">
        <f aca="false">IF(I1672&gt;J1672,"Y","N")</f>
        <v>N</v>
      </c>
      <c r="G1672" s="3" t="s">
        <v>15</v>
      </c>
      <c r="H1672" s="3" t="s">
        <v>34</v>
      </c>
      <c r="I1672" s="4" t="n">
        <v>7</v>
      </c>
      <c r="J1672" s="4" t="n">
        <f aca="false">LEN(E1672)-LEN(SUBSTITUTE(E1672,",",""))+1</f>
        <v>7</v>
      </c>
      <c r="K1672" s="3" t="str">
        <f aca="false">IFERROR(INDEX('Teacher Lookup'!$B$2:$B$200,MATCH(A1672,'Teacher Lookup'!$A$2:$A$200,0)),"")</f>
        <v>CHAN Chong</v>
      </c>
    </row>
    <row r="1673" customFormat="false" ht="15" hidden="false" customHeight="false" outlineLevel="0" collapsed="false">
      <c r="A1673" s="3" t="s">
        <v>300</v>
      </c>
      <c r="B1673" s="4" t="s">
        <v>65</v>
      </c>
      <c r="C1673" s="4" t="n">
        <v>4</v>
      </c>
      <c r="D1673" s="4" t="s">
        <v>55</v>
      </c>
      <c r="E1673" s="3" t="s">
        <v>306</v>
      </c>
      <c r="F1673" s="4" t="str">
        <f aca="false">IF(I1673&gt;J1673,"Y","N")</f>
        <v>N</v>
      </c>
      <c r="G1673" s="3" t="s">
        <v>15</v>
      </c>
      <c r="H1673" s="3" t="s">
        <v>34</v>
      </c>
      <c r="I1673" s="4" t="n">
        <v>7</v>
      </c>
      <c r="J1673" s="4" t="n">
        <f aca="false">LEN(E1673)-LEN(SUBSTITUTE(E1673,",",""))+1</f>
        <v>7</v>
      </c>
      <c r="K1673" s="3" t="str">
        <f aca="false">IFERROR(INDEX('Teacher Lookup'!$B$2:$B$200,MATCH(A1673,'Teacher Lookup'!$A$2:$A$200,0)),"")</f>
        <v>CHAN Chong</v>
      </c>
    </row>
    <row r="1674" customFormat="false" ht="15" hidden="false" customHeight="false" outlineLevel="0" collapsed="false">
      <c r="A1674" s="3" t="s">
        <v>300</v>
      </c>
      <c r="B1674" s="4" t="s">
        <v>65</v>
      </c>
      <c r="C1674" s="4" t="n">
        <v>4</v>
      </c>
      <c r="D1674" s="4" t="s">
        <v>56</v>
      </c>
      <c r="E1674" s="3" t="s">
        <v>306</v>
      </c>
      <c r="F1674" s="4" t="str">
        <f aca="false">IF(I1674&gt;J1674,"Y","N")</f>
        <v>N</v>
      </c>
      <c r="G1674" s="3" t="s">
        <v>15</v>
      </c>
      <c r="H1674" s="3" t="s">
        <v>34</v>
      </c>
      <c r="I1674" s="4" t="n">
        <v>7</v>
      </c>
      <c r="J1674" s="4" t="n">
        <f aca="false">LEN(E1674)-LEN(SUBSTITUTE(E1674,",",""))+1</f>
        <v>7</v>
      </c>
      <c r="K1674" s="3" t="str">
        <f aca="false">IFERROR(INDEX('Teacher Lookup'!$B$2:$B$200,MATCH(A1674,'Teacher Lookup'!$A$2:$A$200,0)),"")</f>
        <v>CHAN Chong</v>
      </c>
    </row>
    <row r="1675" customFormat="false" ht="15" hidden="false" customHeight="false" outlineLevel="0" collapsed="false">
      <c r="A1675" s="3" t="s">
        <v>300</v>
      </c>
      <c r="B1675" s="4" t="s">
        <v>65</v>
      </c>
      <c r="C1675" s="4" t="n">
        <v>4</v>
      </c>
      <c r="D1675" s="4" t="s">
        <v>57</v>
      </c>
      <c r="E1675" s="3" t="s">
        <v>306</v>
      </c>
      <c r="F1675" s="4" t="str">
        <f aca="false">IF(I1675&gt;J1675,"Y","N")</f>
        <v>N</v>
      </c>
      <c r="G1675" s="3" t="s">
        <v>15</v>
      </c>
      <c r="H1675" s="3" t="s">
        <v>34</v>
      </c>
      <c r="I1675" s="4" t="n">
        <v>7</v>
      </c>
      <c r="J1675" s="4" t="n">
        <f aca="false">LEN(E1675)-LEN(SUBSTITUTE(E1675,",",""))+1</f>
        <v>7</v>
      </c>
      <c r="K1675" s="3" t="str">
        <f aca="false">IFERROR(INDEX('Teacher Lookup'!$B$2:$B$200,MATCH(A1675,'Teacher Lookup'!$A$2:$A$200,0)),"")</f>
        <v>CHAN Chong</v>
      </c>
    </row>
    <row r="1676" customFormat="false" ht="15" hidden="false" customHeight="false" outlineLevel="0" collapsed="false">
      <c r="A1676" s="3" t="s">
        <v>300</v>
      </c>
      <c r="B1676" s="4" t="s">
        <v>65</v>
      </c>
      <c r="C1676" s="4" t="n">
        <v>4</v>
      </c>
      <c r="D1676" s="4" t="s">
        <v>58</v>
      </c>
      <c r="E1676" s="3" t="s">
        <v>306</v>
      </c>
      <c r="F1676" s="4" t="str">
        <f aca="false">IF(I1676&gt;J1676,"Y","N")</f>
        <v>N</v>
      </c>
      <c r="G1676" s="3" t="s">
        <v>15</v>
      </c>
      <c r="H1676" s="3" t="s">
        <v>34</v>
      </c>
      <c r="I1676" s="4" t="n">
        <v>7</v>
      </c>
      <c r="J1676" s="4" t="n">
        <f aca="false">LEN(E1676)-LEN(SUBSTITUTE(E1676,",",""))+1</f>
        <v>7</v>
      </c>
      <c r="K1676" s="3" t="str">
        <f aca="false">IFERROR(INDEX('Teacher Lookup'!$B$2:$B$200,MATCH(A1676,'Teacher Lookup'!$A$2:$A$200,0)),"")</f>
        <v>CHAN Chong</v>
      </c>
    </row>
    <row r="1677" customFormat="false" ht="15" hidden="false" customHeight="false" outlineLevel="0" collapsed="false">
      <c r="A1677" s="3" t="s">
        <v>300</v>
      </c>
      <c r="B1677" s="4" t="s">
        <v>65</v>
      </c>
      <c r="C1677" s="4" t="n">
        <v>4</v>
      </c>
      <c r="D1677" s="4" t="s">
        <v>59</v>
      </c>
      <c r="E1677" s="3" t="s">
        <v>306</v>
      </c>
      <c r="F1677" s="4" t="str">
        <f aca="false">IF(I1677&gt;J1677,"Y","N")</f>
        <v>N</v>
      </c>
      <c r="G1677" s="3" t="s">
        <v>15</v>
      </c>
      <c r="H1677" s="3" t="s">
        <v>34</v>
      </c>
      <c r="I1677" s="4" t="n">
        <v>7</v>
      </c>
      <c r="J1677" s="4" t="n">
        <f aca="false">LEN(E1677)-LEN(SUBSTITUTE(E1677,",",""))+1</f>
        <v>7</v>
      </c>
      <c r="K1677" s="3" t="str">
        <f aca="false">IFERROR(INDEX('Teacher Lookup'!$B$2:$B$200,MATCH(A1677,'Teacher Lookup'!$A$2:$A$200,0)),"")</f>
        <v>CHAN Chong</v>
      </c>
    </row>
    <row r="1678" customFormat="false" ht="15" hidden="false" customHeight="false" outlineLevel="0" collapsed="false">
      <c r="A1678" s="3" t="s">
        <v>300</v>
      </c>
      <c r="B1678" s="4" t="s">
        <v>65</v>
      </c>
      <c r="C1678" s="4" t="n">
        <v>5</v>
      </c>
      <c r="D1678" s="4" t="s">
        <v>70</v>
      </c>
      <c r="E1678" s="3" t="s">
        <v>81</v>
      </c>
      <c r="F1678" s="4" t="str">
        <f aca="false">IF(I1678&gt;J1678,"Y","N")</f>
        <v>Y</v>
      </c>
      <c r="G1678" s="3" t="s">
        <v>36</v>
      </c>
      <c r="H1678" s="3" t="s">
        <v>37</v>
      </c>
      <c r="I1678" s="4" t="n">
        <v>15</v>
      </c>
      <c r="J1678" s="4" t="n">
        <f aca="false">LEN(E1678)-LEN(SUBSTITUTE(E1678,",",""))+1</f>
        <v>7</v>
      </c>
      <c r="K1678" s="3" t="str">
        <f aca="false">IFERROR(INDEX('Teacher Lookup'!$B$2:$B$200,MATCH(A1678,'Teacher Lookup'!$A$2:$A$200,0)),"")</f>
        <v>CHAN Chong</v>
      </c>
    </row>
    <row r="1679" customFormat="false" ht="15" hidden="false" customHeight="false" outlineLevel="0" collapsed="false">
      <c r="A1679" s="3" t="s">
        <v>300</v>
      </c>
      <c r="B1679" s="4" t="s">
        <v>65</v>
      </c>
      <c r="C1679" s="4" t="n">
        <v>5</v>
      </c>
      <c r="D1679" s="4" t="s">
        <v>73</v>
      </c>
      <c r="E1679" s="3" t="s">
        <v>81</v>
      </c>
      <c r="F1679" s="4" t="str">
        <f aca="false">IF(I1679&gt;J1679,"Y","N")</f>
        <v>Y</v>
      </c>
      <c r="G1679" s="3" t="s">
        <v>36</v>
      </c>
      <c r="H1679" s="3" t="s">
        <v>37</v>
      </c>
      <c r="I1679" s="4" t="n">
        <v>15</v>
      </c>
      <c r="J1679" s="4" t="n">
        <f aca="false">LEN(E1679)-LEN(SUBSTITUTE(E1679,",",""))+1</f>
        <v>7</v>
      </c>
      <c r="K1679" s="3" t="str">
        <f aca="false">IFERROR(INDEX('Teacher Lookup'!$B$2:$B$200,MATCH(A1679,'Teacher Lookup'!$A$2:$A$200,0)),"")</f>
        <v>CHAN Chong</v>
      </c>
    </row>
    <row r="1680" customFormat="false" ht="15" hidden="false" customHeight="false" outlineLevel="0" collapsed="false">
      <c r="A1680" s="3" t="s">
        <v>300</v>
      </c>
      <c r="B1680" s="4" t="s">
        <v>65</v>
      </c>
      <c r="C1680" s="4" t="n">
        <v>5</v>
      </c>
      <c r="D1680" s="4" t="s">
        <v>74</v>
      </c>
      <c r="E1680" s="3" t="s">
        <v>81</v>
      </c>
      <c r="F1680" s="4" t="str">
        <f aca="false">IF(I1680&gt;J1680,"Y","N")</f>
        <v>Y</v>
      </c>
      <c r="G1680" s="3" t="s">
        <v>36</v>
      </c>
      <c r="H1680" s="3" t="s">
        <v>37</v>
      </c>
      <c r="I1680" s="4" t="n">
        <v>15</v>
      </c>
      <c r="J1680" s="4" t="n">
        <f aca="false">LEN(E1680)-LEN(SUBSTITUTE(E1680,",",""))+1</f>
        <v>7</v>
      </c>
      <c r="K1680" s="3" t="str">
        <f aca="false">IFERROR(INDEX('Teacher Lookup'!$B$2:$B$200,MATCH(A1680,'Teacher Lookup'!$A$2:$A$200,0)),"")</f>
        <v>CHAN Chong</v>
      </c>
    </row>
    <row r="1681" customFormat="false" ht="15" hidden="false" customHeight="false" outlineLevel="0" collapsed="false">
      <c r="A1681" s="3" t="s">
        <v>300</v>
      </c>
      <c r="B1681" s="4" t="s">
        <v>65</v>
      </c>
      <c r="C1681" s="4" t="n">
        <v>5</v>
      </c>
      <c r="D1681" s="4" t="s">
        <v>76</v>
      </c>
      <c r="E1681" s="3" t="s">
        <v>81</v>
      </c>
      <c r="F1681" s="4" t="str">
        <f aca="false">IF(I1681&gt;J1681,"Y","N")</f>
        <v>Y</v>
      </c>
      <c r="G1681" s="3" t="s">
        <v>36</v>
      </c>
      <c r="H1681" s="3" t="s">
        <v>37</v>
      </c>
      <c r="I1681" s="4" t="n">
        <v>15</v>
      </c>
      <c r="J1681" s="4" t="n">
        <f aca="false">LEN(E1681)-LEN(SUBSTITUTE(E1681,",",""))+1</f>
        <v>7</v>
      </c>
      <c r="K1681" s="3" t="str">
        <f aca="false">IFERROR(INDEX('Teacher Lookup'!$B$2:$B$200,MATCH(A1681,'Teacher Lookup'!$A$2:$A$200,0)),"")</f>
        <v>CHAN Chong</v>
      </c>
    </row>
    <row r="1682" customFormat="false" ht="15" hidden="false" customHeight="false" outlineLevel="0" collapsed="false">
      <c r="A1682" s="3" t="s">
        <v>300</v>
      </c>
      <c r="B1682" s="4" t="s">
        <v>65</v>
      </c>
      <c r="C1682" s="4" t="n">
        <v>5</v>
      </c>
      <c r="D1682" s="4" t="s">
        <v>78</v>
      </c>
      <c r="E1682" s="3" t="s">
        <v>81</v>
      </c>
      <c r="F1682" s="4" t="str">
        <f aca="false">IF(I1682&gt;J1682,"Y","N")</f>
        <v>Y</v>
      </c>
      <c r="G1682" s="3" t="s">
        <v>36</v>
      </c>
      <c r="H1682" s="3" t="s">
        <v>37</v>
      </c>
      <c r="I1682" s="4" t="n">
        <v>15</v>
      </c>
      <c r="J1682" s="4" t="n">
        <f aca="false">LEN(E1682)-LEN(SUBSTITUTE(E1682,",",""))+1</f>
        <v>7</v>
      </c>
      <c r="K1682" s="3" t="str">
        <f aca="false">IFERROR(INDEX('Teacher Lookup'!$B$2:$B$200,MATCH(A1682,'Teacher Lookup'!$A$2:$A$200,0)),"")</f>
        <v>CHAN Chong</v>
      </c>
    </row>
    <row r="1683" customFormat="false" ht="15" hidden="false" customHeight="false" outlineLevel="0" collapsed="false">
      <c r="A1683" s="3" t="s">
        <v>300</v>
      </c>
      <c r="B1683" s="4" t="s">
        <v>65</v>
      </c>
      <c r="C1683" s="4" t="n">
        <v>5</v>
      </c>
      <c r="D1683" s="4" t="s">
        <v>79</v>
      </c>
      <c r="E1683" s="3" t="s">
        <v>81</v>
      </c>
      <c r="F1683" s="4" t="str">
        <f aca="false">IF(I1683&gt;J1683,"Y","N")</f>
        <v>Y</v>
      </c>
      <c r="G1683" s="3" t="s">
        <v>36</v>
      </c>
      <c r="H1683" s="3" t="s">
        <v>37</v>
      </c>
      <c r="I1683" s="4" t="n">
        <v>15</v>
      </c>
      <c r="J1683" s="4" t="n">
        <f aca="false">LEN(E1683)-LEN(SUBSTITUTE(E1683,",",""))+1</f>
        <v>7</v>
      </c>
      <c r="K1683" s="3" t="str">
        <f aca="false">IFERROR(INDEX('Teacher Lookup'!$B$2:$B$200,MATCH(A1683,'Teacher Lookup'!$A$2:$A$200,0)),"")</f>
        <v>CHAN Chong</v>
      </c>
    </row>
    <row r="1684" customFormat="false" ht="15" hidden="false" customHeight="false" outlineLevel="0" collapsed="false">
      <c r="A1684" s="3" t="s">
        <v>300</v>
      </c>
      <c r="B1684" s="4" t="s">
        <v>66</v>
      </c>
      <c r="C1684" s="4" t="n">
        <v>1</v>
      </c>
      <c r="D1684" s="4" t="s">
        <v>228</v>
      </c>
      <c r="E1684" s="3" t="s">
        <v>302</v>
      </c>
      <c r="F1684" s="4" t="str">
        <f aca="false">IF(I1684&gt;J1684,"Y","N")</f>
        <v>N</v>
      </c>
      <c r="G1684" s="3" t="s">
        <v>15</v>
      </c>
      <c r="H1684" s="3" t="s">
        <v>16</v>
      </c>
      <c r="I1684" s="4" t="n">
        <v>1</v>
      </c>
      <c r="J1684" s="4" t="n">
        <f aca="false">LEN(E1684)-LEN(SUBSTITUTE(E1684,",",""))+1</f>
        <v>1</v>
      </c>
      <c r="K1684" s="3" t="str">
        <f aca="false">IFERROR(INDEX('Teacher Lookup'!$B$2:$B$200,MATCH(A1684,'Teacher Lookup'!$A$2:$A$200,0)),"")</f>
        <v>CHAN Chong</v>
      </c>
    </row>
    <row r="1685" customFormat="false" ht="15" hidden="false" customHeight="false" outlineLevel="0" collapsed="false">
      <c r="A1685" s="3" t="s">
        <v>300</v>
      </c>
      <c r="B1685" s="4" t="s">
        <v>66</v>
      </c>
      <c r="C1685" s="4" t="n">
        <v>4</v>
      </c>
      <c r="D1685" s="4" t="s">
        <v>70</v>
      </c>
      <c r="E1685" s="3" t="s">
        <v>225</v>
      </c>
      <c r="F1685" s="4" t="str">
        <f aca="false">IF(I1685&gt;J1685,"Y","N")</f>
        <v>N</v>
      </c>
      <c r="G1685" s="3" t="s">
        <v>15</v>
      </c>
      <c r="H1685" s="3" t="s">
        <v>34</v>
      </c>
      <c r="I1685" s="4" t="n">
        <v>4</v>
      </c>
      <c r="J1685" s="4" t="n">
        <f aca="false">LEN(E1685)-LEN(SUBSTITUTE(E1685,",",""))+1</f>
        <v>4</v>
      </c>
      <c r="K1685" s="3" t="str">
        <f aca="false">IFERROR(INDEX('Teacher Lookup'!$B$2:$B$200,MATCH(A1685,'Teacher Lookup'!$A$2:$A$200,0)),"")</f>
        <v>CHAN Chong</v>
      </c>
    </row>
    <row r="1686" customFormat="false" ht="15" hidden="false" customHeight="false" outlineLevel="0" collapsed="false">
      <c r="A1686" s="3" t="s">
        <v>300</v>
      </c>
      <c r="B1686" s="4" t="s">
        <v>66</v>
      </c>
      <c r="C1686" s="4" t="n">
        <v>4</v>
      </c>
      <c r="D1686" s="4" t="s">
        <v>73</v>
      </c>
      <c r="E1686" s="3" t="s">
        <v>225</v>
      </c>
      <c r="F1686" s="4" t="str">
        <f aca="false">IF(I1686&gt;J1686,"Y","N")</f>
        <v>N</v>
      </c>
      <c r="G1686" s="3" t="s">
        <v>15</v>
      </c>
      <c r="H1686" s="3" t="s">
        <v>34</v>
      </c>
      <c r="I1686" s="4" t="n">
        <v>4</v>
      </c>
      <c r="J1686" s="4" t="n">
        <f aca="false">LEN(E1686)-LEN(SUBSTITUTE(E1686,",",""))+1</f>
        <v>4</v>
      </c>
      <c r="K1686" s="3" t="str">
        <f aca="false">IFERROR(INDEX('Teacher Lookup'!$B$2:$B$200,MATCH(A1686,'Teacher Lookup'!$A$2:$A$200,0)),"")</f>
        <v>CHAN Chong</v>
      </c>
    </row>
    <row r="1687" customFormat="false" ht="15" hidden="false" customHeight="false" outlineLevel="0" collapsed="false">
      <c r="A1687" s="3" t="s">
        <v>300</v>
      </c>
      <c r="B1687" s="4" t="s">
        <v>66</v>
      </c>
      <c r="C1687" s="4" t="n">
        <v>4</v>
      </c>
      <c r="D1687" s="4" t="s">
        <v>74</v>
      </c>
      <c r="E1687" s="3" t="s">
        <v>225</v>
      </c>
      <c r="F1687" s="4" t="str">
        <f aca="false">IF(I1687&gt;J1687,"Y","N")</f>
        <v>N</v>
      </c>
      <c r="G1687" s="3" t="s">
        <v>15</v>
      </c>
      <c r="H1687" s="3" t="s">
        <v>34</v>
      </c>
      <c r="I1687" s="4" t="n">
        <v>4</v>
      </c>
      <c r="J1687" s="4" t="n">
        <f aca="false">LEN(E1687)-LEN(SUBSTITUTE(E1687,",",""))+1</f>
        <v>4</v>
      </c>
      <c r="K1687" s="3" t="str">
        <f aca="false">IFERROR(INDEX('Teacher Lookup'!$B$2:$B$200,MATCH(A1687,'Teacher Lookup'!$A$2:$A$200,0)),"")</f>
        <v>CHAN Chong</v>
      </c>
    </row>
    <row r="1688" customFormat="false" ht="15" hidden="false" customHeight="false" outlineLevel="0" collapsed="false">
      <c r="A1688" s="3" t="s">
        <v>300</v>
      </c>
      <c r="B1688" s="4" t="s">
        <v>66</v>
      </c>
      <c r="C1688" s="4" t="n">
        <v>6</v>
      </c>
      <c r="D1688" s="4" t="s">
        <v>52</v>
      </c>
      <c r="E1688" s="3" t="s">
        <v>306</v>
      </c>
      <c r="F1688" s="4" t="str">
        <f aca="false">IF(I1688&gt;J1688,"Y","N")</f>
        <v>N</v>
      </c>
      <c r="G1688" s="3" t="s">
        <v>15</v>
      </c>
      <c r="H1688" s="3" t="s">
        <v>42</v>
      </c>
      <c r="I1688" s="4" t="n">
        <v>7</v>
      </c>
      <c r="J1688" s="4" t="n">
        <f aca="false">LEN(E1688)-LEN(SUBSTITUTE(E1688,",",""))+1</f>
        <v>7</v>
      </c>
      <c r="K1688" s="3" t="str">
        <f aca="false">IFERROR(INDEX('Teacher Lookup'!$B$2:$B$200,MATCH(A1688,'Teacher Lookup'!$A$2:$A$200,0)),"")</f>
        <v>CHAN Chong</v>
      </c>
    </row>
    <row r="1689" customFormat="false" ht="15" hidden="false" customHeight="false" outlineLevel="0" collapsed="false">
      <c r="A1689" s="3" t="s">
        <v>300</v>
      </c>
      <c r="B1689" s="4" t="s">
        <v>66</v>
      </c>
      <c r="C1689" s="4" t="n">
        <v>6</v>
      </c>
      <c r="D1689" s="4" t="s">
        <v>55</v>
      </c>
      <c r="E1689" s="3" t="s">
        <v>306</v>
      </c>
      <c r="F1689" s="4" t="str">
        <f aca="false">IF(I1689&gt;J1689,"Y","N")</f>
        <v>N</v>
      </c>
      <c r="G1689" s="3" t="s">
        <v>15</v>
      </c>
      <c r="H1689" s="3" t="s">
        <v>42</v>
      </c>
      <c r="I1689" s="4" t="n">
        <v>7</v>
      </c>
      <c r="J1689" s="4" t="n">
        <f aca="false">LEN(E1689)-LEN(SUBSTITUTE(E1689,",",""))+1</f>
        <v>7</v>
      </c>
      <c r="K1689" s="3" t="str">
        <f aca="false">IFERROR(INDEX('Teacher Lookup'!$B$2:$B$200,MATCH(A1689,'Teacher Lookup'!$A$2:$A$200,0)),"")</f>
        <v>CHAN Chong</v>
      </c>
    </row>
    <row r="1690" customFormat="false" ht="15" hidden="false" customHeight="false" outlineLevel="0" collapsed="false">
      <c r="A1690" s="3" t="s">
        <v>300</v>
      </c>
      <c r="B1690" s="4" t="s">
        <v>66</v>
      </c>
      <c r="C1690" s="4" t="n">
        <v>6</v>
      </c>
      <c r="D1690" s="4" t="s">
        <v>56</v>
      </c>
      <c r="E1690" s="3" t="s">
        <v>306</v>
      </c>
      <c r="F1690" s="4" t="str">
        <f aca="false">IF(I1690&gt;J1690,"Y","N")</f>
        <v>N</v>
      </c>
      <c r="G1690" s="3" t="s">
        <v>15</v>
      </c>
      <c r="H1690" s="3" t="s">
        <v>42</v>
      </c>
      <c r="I1690" s="4" t="n">
        <v>7</v>
      </c>
      <c r="J1690" s="4" t="n">
        <f aca="false">LEN(E1690)-LEN(SUBSTITUTE(E1690,",",""))+1</f>
        <v>7</v>
      </c>
      <c r="K1690" s="3" t="str">
        <f aca="false">IFERROR(INDEX('Teacher Lookup'!$B$2:$B$200,MATCH(A1690,'Teacher Lookup'!$A$2:$A$200,0)),"")</f>
        <v>CHAN Chong</v>
      </c>
    </row>
    <row r="1691" customFormat="false" ht="15" hidden="false" customHeight="false" outlineLevel="0" collapsed="false">
      <c r="A1691" s="3" t="s">
        <v>300</v>
      </c>
      <c r="B1691" s="4" t="s">
        <v>66</v>
      </c>
      <c r="C1691" s="4" t="n">
        <v>6</v>
      </c>
      <c r="D1691" s="4" t="s">
        <v>57</v>
      </c>
      <c r="E1691" s="3" t="s">
        <v>306</v>
      </c>
      <c r="F1691" s="4" t="str">
        <f aca="false">IF(I1691&gt;J1691,"Y","N")</f>
        <v>N</v>
      </c>
      <c r="G1691" s="3" t="s">
        <v>15</v>
      </c>
      <c r="H1691" s="3" t="s">
        <v>42</v>
      </c>
      <c r="I1691" s="4" t="n">
        <v>7</v>
      </c>
      <c r="J1691" s="4" t="n">
        <f aca="false">LEN(E1691)-LEN(SUBSTITUTE(E1691,",",""))+1</f>
        <v>7</v>
      </c>
      <c r="K1691" s="3" t="str">
        <f aca="false">IFERROR(INDEX('Teacher Lookup'!$B$2:$B$200,MATCH(A1691,'Teacher Lookup'!$A$2:$A$200,0)),"")</f>
        <v>CHAN Chong</v>
      </c>
    </row>
    <row r="1692" customFormat="false" ht="15" hidden="false" customHeight="false" outlineLevel="0" collapsed="false">
      <c r="A1692" s="3" t="s">
        <v>300</v>
      </c>
      <c r="B1692" s="4" t="s">
        <v>66</v>
      </c>
      <c r="C1692" s="4" t="n">
        <v>6</v>
      </c>
      <c r="D1692" s="4" t="s">
        <v>58</v>
      </c>
      <c r="E1692" s="3" t="s">
        <v>306</v>
      </c>
      <c r="F1692" s="4" t="str">
        <f aca="false">IF(I1692&gt;J1692,"Y","N")</f>
        <v>N</v>
      </c>
      <c r="G1692" s="3" t="s">
        <v>15</v>
      </c>
      <c r="H1692" s="3" t="s">
        <v>42</v>
      </c>
      <c r="I1692" s="4" t="n">
        <v>7</v>
      </c>
      <c r="J1692" s="4" t="n">
        <f aca="false">LEN(E1692)-LEN(SUBSTITUTE(E1692,",",""))+1</f>
        <v>7</v>
      </c>
      <c r="K1692" s="3" t="str">
        <f aca="false">IFERROR(INDEX('Teacher Lookup'!$B$2:$B$200,MATCH(A1692,'Teacher Lookup'!$A$2:$A$200,0)),"")</f>
        <v>CHAN Chong</v>
      </c>
    </row>
    <row r="1693" customFormat="false" ht="15" hidden="false" customHeight="false" outlineLevel="0" collapsed="false">
      <c r="A1693" s="3" t="s">
        <v>300</v>
      </c>
      <c r="B1693" s="4" t="s">
        <v>66</v>
      </c>
      <c r="C1693" s="4" t="n">
        <v>6</v>
      </c>
      <c r="D1693" s="4" t="s">
        <v>59</v>
      </c>
      <c r="E1693" s="3" t="s">
        <v>306</v>
      </c>
      <c r="F1693" s="4" t="str">
        <f aca="false">IF(I1693&gt;J1693,"Y","N")</f>
        <v>N</v>
      </c>
      <c r="G1693" s="3" t="s">
        <v>15</v>
      </c>
      <c r="H1693" s="3" t="s">
        <v>42</v>
      </c>
      <c r="I1693" s="4" t="n">
        <v>7</v>
      </c>
      <c r="J1693" s="4" t="n">
        <f aca="false">LEN(E1693)-LEN(SUBSTITUTE(E1693,",",""))+1</f>
        <v>7</v>
      </c>
      <c r="K1693" s="3" t="str">
        <f aca="false">IFERROR(INDEX('Teacher Lookup'!$B$2:$B$200,MATCH(A1693,'Teacher Lookup'!$A$2:$A$200,0)),"")</f>
        <v>CHAN Chong</v>
      </c>
    </row>
    <row r="1694" customFormat="false" ht="15" hidden="false" customHeight="false" outlineLevel="0" collapsed="false">
      <c r="A1694" s="3" t="s">
        <v>308</v>
      </c>
      <c r="B1694" s="4" t="s">
        <v>12</v>
      </c>
      <c r="C1694" s="4" t="n">
        <v>1</v>
      </c>
      <c r="D1694" s="4" t="s">
        <v>102</v>
      </c>
      <c r="E1694" s="3" t="s">
        <v>309</v>
      </c>
      <c r="F1694" s="4" t="str">
        <f aca="false">IF(I1694&gt;J1694,"Y","N")</f>
        <v>Y</v>
      </c>
      <c r="G1694" s="3" t="s">
        <v>310</v>
      </c>
      <c r="H1694" s="3" t="s">
        <v>16</v>
      </c>
      <c r="I1694" s="4" t="n">
        <v>7</v>
      </c>
      <c r="J1694" s="4" t="n">
        <f aca="false">LEN(E1694)-LEN(SUBSTITUTE(E1694,",",""))+1</f>
        <v>6</v>
      </c>
      <c r="K1694" s="3" t="str">
        <f aca="false">IFERROR(INDEX('Teacher Lookup'!$B$2:$B$200,MATCH(A1694,'Teacher Lookup'!$A$2:$A$200,0)),"")</f>
        <v>LAM Candy</v>
      </c>
    </row>
    <row r="1695" customFormat="false" ht="15" hidden="false" customHeight="false" outlineLevel="0" collapsed="false">
      <c r="A1695" s="3" t="s">
        <v>308</v>
      </c>
      <c r="B1695" s="4" t="s">
        <v>12</v>
      </c>
      <c r="C1695" s="4" t="n">
        <v>1</v>
      </c>
      <c r="D1695" s="4" t="s">
        <v>105</v>
      </c>
      <c r="E1695" s="3" t="s">
        <v>309</v>
      </c>
      <c r="F1695" s="4" t="str">
        <f aca="false">IF(I1695&gt;J1695,"Y","N")</f>
        <v>Y</v>
      </c>
      <c r="G1695" s="3" t="s">
        <v>310</v>
      </c>
      <c r="H1695" s="3" t="s">
        <v>16</v>
      </c>
      <c r="I1695" s="4" t="n">
        <v>7</v>
      </c>
      <c r="J1695" s="4" t="n">
        <f aca="false">LEN(E1695)-LEN(SUBSTITUTE(E1695,",",""))+1</f>
        <v>6</v>
      </c>
      <c r="K1695" s="3" t="str">
        <f aca="false">IFERROR(INDEX('Teacher Lookup'!$B$2:$B$200,MATCH(A1695,'Teacher Lookup'!$A$2:$A$200,0)),"")</f>
        <v>LAM Candy</v>
      </c>
    </row>
    <row r="1696" customFormat="false" ht="15" hidden="false" customHeight="false" outlineLevel="0" collapsed="false">
      <c r="A1696" s="3" t="s">
        <v>308</v>
      </c>
      <c r="B1696" s="4" t="s">
        <v>12</v>
      </c>
      <c r="C1696" s="4" t="n">
        <v>1</v>
      </c>
      <c r="D1696" s="4" t="s">
        <v>106</v>
      </c>
      <c r="E1696" s="3" t="s">
        <v>309</v>
      </c>
      <c r="F1696" s="4" t="str">
        <f aca="false">IF(I1696&gt;J1696,"Y","N")</f>
        <v>Y</v>
      </c>
      <c r="G1696" s="3" t="s">
        <v>310</v>
      </c>
      <c r="H1696" s="3" t="s">
        <v>16</v>
      </c>
      <c r="I1696" s="4" t="n">
        <v>7</v>
      </c>
      <c r="J1696" s="4" t="n">
        <f aca="false">LEN(E1696)-LEN(SUBSTITUTE(E1696,",",""))+1</f>
        <v>6</v>
      </c>
      <c r="K1696" s="3" t="str">
        <f aca="false">IFERROR(INDEX('Teacher Lookup'!$B$2:$B$200,MATCH(A1696,'Teacher Lookup'!$A$2:$A$200,0)),"")</f>
        <v>LAM Candy</v>
      </c>
    </row>
    <row r="1697" customFormat="false" ht="15" hidden="false" customHeight="false" outlineLevel="0" collapsed="false">
      <c r="A1697" s="3" t="s">
        <v>308</v>
      </c>
      <c r="B1697" s="4" t="s">
        <v>12</v>
      </c>
      <c r="C1697" s="4" t="n">
        <v>1</v>
      </c>
      <c r="D1697" s="4" t="s">
        <v>107</v>
      </c>
      <c r="E1697" s="3" t="s">
        <v>309</v>
      </c>
      <c r="F1697" s="4" t="str">
        <f aca="false">IF(I1697&gt;J1697,"Y","N")</f>
        <v>Y</v>
      </c>
      <c r="G1697" s="3" t="s">
        <v>310</v>
      </c>
      <c r="H1697" s="3" t="s">
        <v>16</v>
      </c>
      <c r="I1697" s="4" t="n">
        <v>7</v>
      </c>
      <c r="J1697" s="4" t="n">
        <f aca="false">LEN(E1697)-LEN(SUBSTITUTE(E1697,",",""))+1</f>
        <v>6</v>
      </c>
      <c r="K1697" s="3" t="str">
        <f aca="false">IFERROR(INDEX('Teacher Lookup'!$B$2:$B$200,MATCH(A1697,'Teacher Lookup'!$A$2:$A$200,0)),"")</f>
        <v>LAM Candy</v>
      </c>
    </row>
    <row r="1698" customFormat="false" ht="15" hidden="false" customHeight="false" outlineLevel="0" collapsed="false">
      <c r="A1698" s="3" t="s">
        <v>308</v>
      </c>
      <c r="B1698" s="4" t="s">
        <v>12</v>
      </c>
      <c r="C1698" s="4" t="n">
        <v>3</v>
      </c>
      <c r="D1698" s="4" t="s">
        <v>132</v>
      </c>
      <c r="E1698" s="3" t="s">
        <v>311</v>
      </c>
      <c r="F1698" s="4" t="str">
        <f aca="false">IF(I1698&gt;J1698,"Y","N")</f>
        <v>N</v>
      </c>
      <c r="G1698" s="3" t="s">
        <v>312</v>
      </c>
      <c r="H1698" s="3" t="s">
        <v>26</v>
      </c>
      <c r="I1698" s="4" t="n">
        <v>1</v>
      </c>
      <c r="J1698" s="4" t="n">
        <f aca="false">LEN(E1698)-LEN(SUBSTITUTE(E1698,",",""))+1</f>
        <v>1</v>
      </c>
      <c r="K1698" s="3" t="str">
        <f aca="false">IFERROR(INDEX('Teacher Lookup'!$B$2:$B$200,MATCH(A1698,'Teacher Lookup'!$A$2:$A$200,0)),"")</f>
        <v>LAM Candy</v>
      </c>
    </row>
    <row r="1699" customFormat="false" ht="15" hidden="false" customHeight="false" outlineLevel="0" collapsed="false">
      <c r="A1699" s="3" t="s">
        <v>308</v>
      </c>
      <c r="B1699" s="4" t="s">
        <v>12</v>
      </c>
      <c r="C1699" s="4" t="n">
        <v>4</v>
      </c>
      <c r="D1699" s="4" t="s">
        <v>132</v>
      </c>
      <c r="E1699" s="3" t="s">
        <v>311</v>
      </c>
      <c r="F1699" s="4" t="str">
        <f aca="false">IF(I1699&gt;J1699,"Y","N")</f>
        <v>N</v>
      </c>
      <c r="G1699" s="3" t="s">
        <v>312</v>
      </c>
      <c r="H1699" s="3" t="s">
        <v>34</v>
      </c>
      <c r="I1699" s="4" t="n">
        <v>1</v>
      </c>
      <c r="J1699" s="4" t="n">
        <f aca="false">LEN(E1699)-LEN(SUBSTITUTE(E1699,",",""))+1</f>
        <v>1</v>
      </c>
      <c r="K1699" s="3" t="str">
        <f aca="false">IFERROR(INDEX('Teacher Lookup'!$B$2:$B$200,MATCH(A1699,'Teacher Lookup'!$A$2:$A$200,0)),"")</f>
        <v>LAM Candy</v>
      </c>
    </row>
    <row r="1700" customFormat="false" ht="15" hidden="false" customHeight="false" outlineLevel="0" collapsed="false">
      <c r="A1700" s="3" t="s">
        <v>308</v>
      </c>
      <c r="B1700" s="4" t="s">
        <v>31</v>
      </c>
      <c r="C1700" s="4" t="n">
        <v>1</v>
      </c>
      <c r="D1700" s="4" t="s">
        <v>132</v>
      </c>
      <c r="E1700" s="3" t="s">
        <v>293</v>
      </c>
      <c r="F1700" s="4" t="str">
        <f aca="false">IF(I1700&gt;J1700,"Y","N")</f>
        <v>N</v>
      </c>
      <c r="G1700" s="3" t="s">
        <v>312</v>
      </c>
      <c r="H1700" s="3" t="s">
        <v>16</v>
      </c>
      <c r="I1700" s="4" t="n">
        <v>1</v>
      </c>
      <c r="J1700" s="4" t="n">
        <f aca="false">LEN(E1700)-LEN(SUBSTITUTE(E1700,",",""))+1</f>
        <v>1</v>
      </c>
      <c r="K1700" s="3" t="str">
        <f aca="false">IFERROR(INDEX('Teacher Lookup'!$B$2:$B$200,MATCH(A1700,'Teacher Lookup'!$A$2:$A$200,0)),"")</f>
        <v>LAM Candy</v>
      </c>
    </row>
    <row r="1701" customFormat="false" ht="15" hidden="false" customHeight="false" outlineLevel="0" collapsed="false">
      <c r="A1701" s="3" t="s">
        <v>308</v>
      </c>
      <c r="B1701" s="4" t="s">
        <v>31</v>
      </c>
      <c r="C1701" s="4" t="n">
        <v>4</v>
      </c>
      <c r="D1701" s="4" t="s">
        <v>102</v>
      </c>
      <c r="E1701" s="3" t="s">
        <v>313</v>
      </c>
      <c r="F1701" s="4" t="str">
        <f aca="false">IF(I1701&gt;J1701,"Y","N")</f>
        <v>Y</v>
      </c>
      <c r="G1701" s="3" t="s">
        <v>310</v>
      </c>
      <c r="H1701" s="3" t="s">
        <v>34</v>
      </c>
      <c r="I1701" s="4" t="n">
        <v>7</v>
      </c>
      <c r="J1701" s="4" t="n">
        <f aca="false">LEN(E1701)-LEN(SUBSTITUTE(E1701,",",""))+1</f>
        <v>6</v>
      </c>
      <c r="K1701" s="3" t="str">
        <f aca="false">IFERROR(INDEX('Teacher Lookup'!$B$2:$B$200,MATCH(A1701,'Teacher Lookup'!$A$2:$A$200,0)),"")</f>
        <v>LAM Candy</v>
      </c>
    </row>
    <row r="1702" customFormat="false" ht="15" hidden="false" customHeight="false" outlineLevel="0" collapsed="false">
      <c r="A1702" s="3" t="s">
        <v>308</v>
      </c>
      <c r="B1702" s="4" t="s">
        <v>31</v>
      </c>
      <c r="C1702" s="4" t="n">
        <v>4</v>
      </c>
      <c r="D1702" s="4" t="s">
        <v>105</v>
      </c>
      <c r="E1702" s="3" t="s">
        <v>313</v>
      </c>
      <c r="F1702" s="4" t="str">
        <f aca="false">IF(I1702&gt;J1702,"Y","N")</f>
        <v>Y</v>
      </c>
      <c r="G1702" s="3" t="s">
        <v>310</v>
      </c>
      <c r="H1702" s="3" t="s">
        <v>34</v>
      </c>
      <c r="I1702" s="4" t="n">
        <v>7</v>
      </c>
      <c r="J1702" s="4" t="n">
        <f aca="false">LEN(E1702)-LEN(SUBSTITUTE(E1702,",",""))+1</f>
        <v>6</v>
      </c>
      <c r="K1702" s="3" t="str">
        <f aca="false">IFERROR(INDEX('Teacher Lookup'!$B$2:$B$200,MATCH(A1702,'Teacher Lookup'!$A$2:$A$200,0)),"")</f>
        <v>LAM Candy</v>
      </c>
    </row>
    <row r="1703" customFormat="false" ht="15" hidden="false" customHeight="false" outlineLevel="0" collapsed="false">
      <c r="A1703" s="3" t="s">
        <v>308</v>
      </c>
      <c r="B1703" s="4" t="s">
        <v>31</v>
      </c>
      <c r="C1703" s="4" t="n">
        <v>4</v>
      </c>
      <c r="D1703" s="4" t="s">
        <v>106</v>
      </c>
      <c r="E1703" s="3" t="s">
        <v>313</v>
      </c>
      <c r="F1703" s="4" t="str">
        <f aca="false">IF(I1703&gt;J1703,"Y","N")</f>
        <v>Y</v>
      </c>
      <c r="G1703" s="3" t="s">
        <v>310</v>
      </c>
      <c r="H1703" s="3" t="s">
        <v>34</v>
      </c>
      <c r="I1703" s="4" t="n">
        <v>7</v>
      </c>
      <c r="J1703" s="4" t="n">
        <f aca="false">LEN(E1703)-LEN(SUBSTITUTE(E1703,",",""))+1</f>
        <v>6</v>
      </c>
      <c r="K1703" s="3" t="str">
        <f aca="false">IFERROR(INDEX('Teacher Lookup'!$B$2:$B$200,MATCH(A1703,'Teacher Lookup'!$A$2:$A$200,0)),"")</f>
        <v>LAM Candy</v>
      </c>
    </row>
    <row r="1704" customFormat="false" ht="15" hidden="false" customHeight="false" outlineLevel="0" collapsed="false">
      <c r="A1704" s="3" t="s">
        <v>308</v>
      </c>
      <c r="B1704" s="4" t="s">
        <v>31</v>
      </c>
      <c r="C1704" s="4" t="n">
        <v>4</v>
      </c>
      <c r="D1704" s="4" t="s">
        <v>107</v>
      </c>
      <c r="E1704" s="3" t="s">
        <v>313</v>
      </c>
      <c r="F1704" s="4" t="str">
        <f aca="false">IF(I1704&gt;J1704,"Y","N")</f>
        <v>Y</v>
      </c>
      <c r="G1704" s="3" t="s">
        <v>310</v>
      </c>
      <c r="H1704" s="3" t="s">
        <v>34</v>
      </c>
      <c r="I1704" s="4" t="n">
        <v>7</v>
      </c>
      <c r="J1704" s="4" t="n">
        <f aca="false">LEN(E1704)-LEN(SUBSTITUTE(E1704,",",""))+1</f>
        <v>6</v>
      </c>
      <c r="K1704" s="3" t="str">
        <f aca="false">IFERROR(INDEX('Teacher Lookup'!$B$2:$B$200,MATCH(A1704,'Teacher Lookup'!$A$2:$A$200,0)),"")</f>
        <v>LAM Candy</v>
      </c>
    </row>
    <row r="1705" customFormat="false" ht="15" hidden="false" customHeight="false" outlineLevel="0" collapsed="false">
      <c r="A1705" s="3" t="s">
        <v>308</v>
      </c>
      <c r="B1705" s="4" t="s">
        <v>31</v>
      </c>
      <c r="C1705" s="4" t="n">
        <v>5</v>
      </c>
      <c r="D1705" s="4" t="s">
        <v>52</v>
      </c>
      <c r="E1705" s="3" t="s">
        <v>112</v>
      </c>
      <c r="F1705" s="4" t="str">
        <f aca="false">IF(I1705&gt;J1705,"Y","N")</f>
        <v>Y</v>
      </c>
      <c r="G1705" s="3" t="s">
        <v>36</v>
      </c>
      <c r="H1705" s="3" t="s">
        <v>37</v>
      </c>
      <c r="I1705" s="4" t="n">
        <v>16</v>
      </c>
      <c r="J1705" s="4" t="n">
        <f aca="false">LEN(E1705)-LEN(SUBSTITUTE(E1705,",",""))+1</f>
        <v>7</v>
      </c>
      <c r="K1705" s="3" t="str">
        <f aca="false">IFERROR(INDEX('Teacher Lookup'!$B$2:$B$200,MATCH(A1705,'Teacher Lookup'!$A$2:$A$200,0)),"")</f>
        <v>LAM Candy</v>
      </c>
    </row>
    <row r="1706" customFormat="false" ht="15" hidden="false" customHeight="false" outlineLevel="0" collapsed="false">
      <c r="A1706" s="3" t="s">
        <v>308</v>
      </c>
      <c r="B1706" s="4" t="s">
        <v>31</v>
      </c>
      <c r="C1706" s="4" t="n">
        <v>5</v>
      </c>
      <c r="D1706" s="4" t="s">
        <v>55</v>
      </c>
      <c r="E1706" s="3" t="s">
        <v>112</v>
      </c>
      <c r="F1706" s="4" t="str">
        <f aca="false">IF(I1706&gt;J1706,"Y","N")</f>
        <v>Y</v>
      </c>
      <c r="G1706" s="3" t="s">
        <v>36</v>
      </c>
      <c r="H1706" s="3" t="s">
        <v>37</v>
      </c>
      <c r="I1706" s="4" t="n">
        <v>16</v>
      </c>
      <c r="J1706" s="4" t="n">
        <f aca="false">LEN(E1706)-LEN(SUBSTITUTE(E1706,",",""))+1</f>
        <v>7</v>
      </c>
      <c r="K1706" s="3" t="str">
        <f aca="false">IFERROR(INDEX('Teacher Lookup'!$B$2:$B$200,MATCH(A1706,'Teacher Lookup'!$A$2:$A$200,0)),"")</f>
        <v>LAM Candy</v>
      </c>
    </row>
    <row r="1707" customFormat="false" ht="15" hidden="false" customHeight="false" outlineLevel="0" collapsed="false">
      <c r="A1707" s="3" t="s">
        <v>308</v>
      </c>
      <c r="B1707" s="4" t="s">
        <v>31</v>
      </c>
      <c r="C1707" s="4" t="n">
        <v>5</v>
      </c>
      <c r="D1707" s="4" t="s">
        <v>56</v>
      </c>
      <c r="E1707" s="3" t="s">
        <v>112</v>
      </c>
      <c r="F1707" s="4" t="str">
        <f aca="false">IF(I1707&gt;J1707,"Y","N")</f>
        <v>Y</v>
      </c>
      <c r="G1707" s="3" t="s">
        <v>36</v>
      </c>
      <c r="H1707" s="3" t="s">
        <v>37</v>
      </c>
      <c r="I1707" s="4" t="n">
        <v>16</v>
      </c>
      <c r="J1707" s="4" t="n">
        <f aca="false">LEN(E1707)-LEN(SUBSTITUTE(E1707,",",""))+1</f>
        <v>7</v>
      </c>
      <c r="K1707" s="3" t="str">
        <f aca="false">IFERROR(INDEX('Teacher Lookup'!$B$2:$B$200,MATCH(A1707,'Teacher Lookup'!$A$2:$A$200,0)),"")</f>
        <v>LAM Candy</v>
      </c>
    </row>
    <row r="1708" customFormat="false" ht="15" hidden="false" customHeight="false" outlineLevel="0" collapsed="false">
      <c r="A1708" s="3" t="s">
        <v>308</v>
      </c>
      <c r="B1708" s="4" t="s">
        <v>31</v>
      </c>
      <c r="C1708" s="4" t="n">
        <v>5</v>
      </c>
      <c r="D1708" s="4" t="s">
        <v>57</v>
      </c>
      <c r="E1708" s="3" t="s">
        <v>112</v>
      </c>
      <c r="F1708" s="4" t="str">
        <f aca="false">IF(I1708&gt;J1708,"Y","N")</f>
        <v>Y</v>
      </c>
      <c r="G1708" s="3" t="s">
        <v>36</v>
      </c>
      <c r="H1708" s="3" t="s">
        <v>37</v>
      </c>
      <c r="I1708" s="4" t="n">
        <v>16</v>
      </c>
      <c r="J1708" s="4" t="n">
        <f aca="false">LEN(E1708)-LEN(SUBSTITUTE(E1708,",",""))+1</f>
        <v>7</v>
      </c>
      <c r="K1708" s="3" t="str">
        <f aca="false">IFERROR(INDEX('Teacher Lookup'!$B$2:$B$200,MATCH(A1708,'Teacher Lookup'!$A$2:$A$200,0)),"")</f>
        <v>LAM Candy</v>
      </c>
    </row>
    <row r="1709" customFormat="false" ht="15" hidden="false" customHeight="false" outlineLevel="0" collapsed="false">
      <c r="A1709" s="3" t="s">
        <v>308</v>
      </c>
      <c r="B1709" s="4" t="s">
        <v>31</v>
      </c>
      <c r="C1709" s="4" t="n">
        <v>5</v>
      </c>
      <c r="D1709" s="4" t="s">
        <v>58</v>
      </c>
      <c r="E1709" s="3" t="s">
        <v>112</v>
      </c>
      <c r="F1709" s="4" t="str">
        <f aca="false">IF(I1709&gt;J1709,"Y","N")</f>
        <v>Y</v>
      </c>
      <c r="G1709" s="3" t="s">
        <v>36</v>
      </c>
      <c r="H1709" s="3" t="s">
        <v>37</v>
      </c>
      <c r="I1709" s="4" t="n">
        <v>16</v>
      </c>
      <c r="J1709" s="4" t="n">
        <f aca="false">LEN(E1709)-LEN(SUBSTITUTE(E1709,",",""))+1</f>
        <v>7</v>
      </c>
      <c r="K1709" s="3" t="str">
        <f aca="false">IFERROR(INDEX('Teacher Lookup'!$B$2:$B$200,MATCH(A1709,'Teacher Lookup'!$A$2:$A$200,0)),"")</f>
        <v>LAM Candy</v>
      </c>
    </row>
    <row r="1710" customFormat="false" ht="15" hidden="false" customHeight="false" outlineLevel="0" collapsed="false">
      <c r="A1710" s="3" t="s">
        <v>308</v>
      </c>
      <c r="B1710" s="4" t="s">
        <v>31</v>
      </c>
      <c r="C1710" s="4" t="n">
        <v>5</v>
      </c>
      <c r="D1710" s="4" t="s">
        <v>59</v>
      </c>
      <c r="E1710" s="3" t="s">
        <v>112</v>
      </c>
      <c r="F1710" s="4" t="str">
        <f aca="false">IF(I1710&gt;J1710,"Y","N")</f>
        <v>Y</v>
      </c>
      <c r="G1710" s="3" t="s">
        <v>36</v>
      </c>
      <c r="H1710" s="3" t="s">
        <v>37</v>
      </c>
      <c r="I1710" s="4" t="n">
        <v>16</v>
      </c>
      <c r="J1710" s="4" t="n">
        <f aca="false">LEN(E1710)-LEN(SUBSTITUTE(E1710,",",""))+1</f>
        <v>7</v>
      </c>
      <c r="K1710" s="3" t="str">
        <f aca="false">IFERROR(INDEX('Teacher Lookup'!$B$2:$B$200,MATCH(A1710,'Teacher Lookup'!$A$2:$A$200,0)),"")</f>
        <v>LAM Candy</v>
      </c>
    </row>
    <row r="1711" customFormat="false" ht="15" hidden="false" customHeight="false" outlineLevel="0" collapsed="false">
      <c r="A1711" s="3" t="s">
        <v>308</v>
      </c>
      <c r="B1711" s="4" t="s">
        <v>31</v>
      </c>
      <c r="C1711" s="4" t="n">
        <v>6</v>
      </c>
      <c r="D1711" s="4" t="s">
        <v>52</v>
      </c>
      <c r="E1711" s="3" t="s">
        <v>238</v>
      </c>
      <c r="F1711" s="4" t="str">
        <f aca="false">IF(I1711&gt;J1711,"Y","N")</f>
        <v>N</v>
      </c>
      <c r="G1711" s="3" t="s">
        <v>239</v>
      </c>
      <c r="H1711" s="3" t="s">
        <v>42</v>
      </c>
      <c r="I1711" s="4" t="n">
        <v>7</v>
      </c>
      <c r="J1711" s="4" t="n">
        <f aca="false">LEN(E1711)-LEN(SUBSTITUTE(E1711,",",""))+1</f>
        <v>7</v>
      </c>
      <c r="K1711" s="3" t="str">
        <f aca="false">IFERROR(INDEX('Teacher Lookup'!$B$2:$B$200,MATCH(A1711,'Teacher Lookup'!$A$2:$A$200,0)),"")</f>
        <v>LAM Candy</v>
      </c>
    </row>
    <row r="1712" customFormat="false" ht="15" hidden="false" customHeight="false" outlineLevel="0" collapsed="false">
      <c r="A1712" s="3" t="s">
        <v>308</v>
      </c>
      <c r="B1712" s="4" t="s">
        <v>31</v>
      </c>
      <c r="C1712" s="4" t="n">
        <v>6</v>
      </c>
      <c r="D1712" s="4" t="s">
        <v>55</v>
      </c>
      <c r="E1712" s="3" t="s">
        <v>238</v>
      </c>
      <c r="F1712" s="4" t="str">
        <f aca="false">IF(I1712&gt;J1712,"Y","N")</f>
        <v>N</v>
      </c>
      <c r="G1712" s="3" t="s">
        <v>239</v>
      </c>
      <c r="H1712" s="3" t="s">
        <v>42</v>
      </c>
      <c r="I1712" s="4" t="n">
        <v>7</v>
      </c>
      <c r="J1712" s="4" t="n">
        <f aca="false">LEN(E1712)-LEN(SUBSTITUTE(E1712,",",""))+1</f>
        <v>7</v>
      </c>
      <c r="K1712" s="3" t="str">
        <f aca="false">IFERROR(INDEX('Teacher Lookup'!$B$2:$B$200,MATCH(A1712,'Teacher Lookup'!$A$2:$A$200,0)),"")</f>
        <v>LAM Candy</v>
      </c>
    </row>
    <row r="1713" customFormat="false" ht="15" hidden="false" customHeight="false" outlineLevel="0" collapsed="false">
      <c r="A1713" s="3" t="s">
        <v>308</v>
      </c>
      <c r="B1713" s="4" t="s">
        <v>31</v>
      </c>
      <c r="C1713" s="4" t="n">
        <v>6</v>
      </c>
      <c r="D1713" s="4" t="s">
        <v>56</v>
      </c>
      <c r="E1713" s="3" t="s">
        <v>238</v>
      </c>
      <c r="F1713" s="4" t="str">
        <f aca="false">IF(I1713&gt;J1713,"Y","N")</f>
        <v>N</v>
      </c>
      <c r="G1713" s="3" t="s">
        <v>239</v>
      </c>
      <c r="H1713" s="3" t="s">
        <v>42</v>
      </c>
      <c r="I1713" s="4" t="n">
        <v>7</v>
      </c>
      <c r="J1713" s="4" t="n">
        <f aca="false">LEN(E1713)-LEN(SUBSTITUTE(E1713,",",""))+1</f>
        <v>7</v>
      </c>
      <c r="K1713" s="3" t="str">
        <f aca="false">IFERROR(INDEX('Teacher Lookup'!$B$2:$B$200,MATCH(A1713,'Teacher Lookup'!$A$2:$A$200,0)),"")</f>
        <v>LAM Candy</v>
      </c>
    </row>
    <row r="1714" customFormat="false" ht="15" hidden="false" customHeight="false" outlineLevel="0" collapsed="false">
      <c r="A1714" s="3" t="s">
        <v>308</v>
      </c>
      <c r="B1714" s="4" t="s">
        <v>31</v>
      </c>
      <c r="C1714" s="4" t="n">
        <v>6</v>
      </c>
      <c r="D1714" s="4" t="s">
        <v>57</v>
      </c>
      <c r="E1714" s="3" t="s">
        <v>238</v>
      </c>
      <c r="F1714" s="4" t="str">
        <f aca="false">IF(I1714&gt;J1714,"Y","N")</f>
        <v>N</v>
      </c>
      <c r="G1714" s="3" t="s">
        <v>239</v>
      </c>
      <c r="H1714" s="3" t="s">
        <v>42</v>
      </c>
      <c r="I1714" s="4" t="n">
        <v>7</v>
      </c>
      <c r="J1714" s="4" t="n">
        <f aca="false">LEN(E1714)-LEN(SUBSTITUTE(E1714,",",""))+1</f>
        <v>7</v>
      </c>
      <c r="K1714" s="3" t="str">
        <f aca="false">IFERROR(INDEX('Teacher Lookup'!$B$2:$B$200,MATCH(A1714,'Teacher Lookup'!$A$2:$A$200,0)),"")</f>
        <v>LAM Candy</v>
      </c>
    </row>
    <row r="1715" customFormat="false" ht="15" hidden="false" customHeight="false" outlineLevel="0" collapsed="false">
      <c r="A1715" s="3" t="s">
        <v>308</v>
      </c>
      <c r="B1715" s="4" t="s">
        <v>31</v>
      </c>
      <c r="C1715" s="4" t="n">
        <v>6</v>
      </c>
      <c r="D1715" s="4" t="s">
        <v>58</v>
      </c>
      <c r="E1715" s="3" t="s">
        <v>238</v>
      </c>
      <c r="F1715" s="4" t="str">
        <f aca="false">IF(I1715&gt;J1715,"Y","N")</f>
        <v>N</v>
      </c>
      <c r="G1715" s="3" t="s">
        <v>239</v>
      </c>
      <c r="H1715" s="3" t="s">
        <v>42</v>
      </c>
      <c r="I1715" s="4" t="n">
        <v>7</v>
      </c>
      <c r="J1715" s="4" t="n">
        <f aca="false">LEN(E1715)-LEN(SUBSTITUTE(E1715,",",""))+1</f>
        <v>7</v>
      </c>
      <c r="K1715" s="3" t="str">
        <f aca="false">IFERROR(INDEX('Teacher Lookup'!$B$2:$B$200,MATCH(A1715,'Teacher Lookup'!$A$2:$A$200,0)),"")</f>
        <v>LAM Candy</v>
      </c>
    </row>
    <row r="1716" customFormat="false" ht="15" hidden="false" customHeight="false" outlineLevel="0" collapsed="false">
      <c r="A1716" s="3" t="s">
        <v>308</v>
      </c>
      <c r="B1716" s="4" t="s">
        <v>31</v>
      </c>
      <c r="C1716" s="4" t="n">
        <v>6</v>
      </c>
      <c r="D1716" s="4" t="s">
        <v>59</v>
      </c>
      <c r="E1716" s="3" t="s">
        <v>238</v>
      </c>
      <c r="F1716" s="4" t="str">
        <f aca="false">IF(I1716&gt;J1716,"Y","N")</f>
        <v>N</v>
      </c>
      <c r="G1716" s="3" t="s">
        <v>239</v>
      </c>
      <c r="H1716" s="3" t="s">
        <v>42</v>
      </c>
      <c r="I1716" s="4" t="n">
        <v>7</v>
      </c>
      <c r="J1716" s="4" t="n">
        <f aca="false">LEN(E1716)-LEN(SUBSTITUTE(E1716,",",""))+1</f>
        <v>7</v>
      </c>
      <c r="K1716" s="3" t="str">
        <f aca="false">IFERROR(INDEX('Teacher Lookup'!$B$2:$B$200,MATCH(A1716,'Teacher Lookup'!$A$2:$A$200,0)),"")</f>
        <v>LAM Candy</v>
      </c>
    </row>
    <row r="1717" customFormat="false" ht="15" hidden="false" customHeight="false" outlineLevel="0" collapsed="false">
      <c r="A1717" s="3" t="s">
        <v>308</v>
      </c>
      <c r="B1717" s="4" t="s">
        <v>40</v>
      </c>
      <c r="C1717" s="4" t="n">
        <v>2</v>
      </c>
      <c r="D1717" s="4" t="s">
        <v>52</v>
      </c>
      <c r="E1717" s="3" t="s">
        <v>240</v>
      </c>
      <c r="F1717" s="4" t="str">
        <f aca="false">IF(I1717&gt;J1717,"Y","N")</f>
        <v>N</v>
      </c>
      <c r="G1717" s="3" t="s">
        <v>239</v>
      </c>
      <c r="H1717" s="3" t="s">
        <v>21</v>
      </c>
      <c r="I1717" s="4" t="n">
        <v>7</v>
      </c>
      <c r="J1717" s="4" t="n">
        <f aca="false">LEN(E1717)-LEN(SUBSTITUTE(E1717,",",""))+1</f>
        <v>7</v>
      </c>
      <c r="K1717" s="3" t="str">
        <f aca="false">IFERROR(INDEX('Teacher Lookup'!$B$2:$B$200,MATCH(A1717,'Teacher Lookup'!$A$2:$A$200,0)),"")</f>
        <v>LAM Candy</v>
      </c>
    </row>
    <row r="1718" customFormat="false" ht="15" hidden="false" customHeight="false" outlineLevel="0" collapsed="false">
      <c r="A1718" s="3" t="s">
        <v>308</v>
      </c>
      <c r="B1718" s="4" t="s">
        <v>40</v>
      </c>
      <c r="C1718" s="4" t="n">
        <v>2</v>
      </c>
      <c r="D1718" s="4" t="s">
        <v>55</v>
      </c>
      <c r="E1718" s="3" t="s">
        <v>240</v>
      </c>
      <c r="F1718" s="4" t="str">
        <f aca="false">IF(I1718&gt;J1718,"Y","N")</f>
        <v>N</v>
      </c>
      <c r="G1718" s="3" t="s">
        <v>239</v>
      </c>
      <c r="H1718" s="3" t="s">
        <v>21</v>
      </c>
      <c r="I1718" s="4" t="n">
        <v>7</v>
      </c>
      <c r="J1718" s="4" t="n">
        <f aca="false">LEN(E1718)-LEN(SUBSTITUTE(E1718,",",""))+1</f>
        <v>7</v>
      </c>
      <c r="K1718" s="3" t="str">
        <f aca="false">IFERROR(INDEX('Teacher Lookup'!$B$2:$B$200,MATCH(A1718,'Teacher Lookup'!$A$2:$A$200,0)),"")</f>
        <v>LAM Candy</v>
      </c>
    </row>
    <row r="1719" customFormat="false" ht="15" hidden="false" customHeight="false" outlineLevel="0" collapsed="false">
      <c r="A1719" s="3" t="s">
        <v>308</v>
      </c>
      <c r="B1719" s="4" t="s">
        <v>40</v>
      </c>
      <c r="C1719" s="4" t="n">
        <v>2</v>
      </c>
      <c r="D1719" s="4" t="s">
        <v>56</v>
      </c>
      <c r="E1719" s="3" t="s">
        <v>240</v>
      </c>
      <c r="F1719" s="4" t="str">
        <f aca="false">IF(I1719&gt;J1719,"Y","N")</f>
        <v>N</v>
      </c>
      <c r="G1719" s="3" t="s">
        <v>239</v>
      </c>
      <c r="H1719" s="3" t="s">
        <v>21</v>
      </c>
      <c r="I1719" s="4" t="n">
        <v>7</v>
      </c>
      <c r="J1719" s="4" t="n">
        <f aca="false">LEN(E1719)-LEN(SUBSTITUTE(E1719,",",""))+1</f>
        <v>7</v>
      </c>
      <c r="K1719" s="3" t="str">
        <f aca="false">IFERROR(INDEX('Teacher Lookup'!$B$2:$B$200,MATCH(A1719,'Teacher Lookup'!$A$2:$A$200,0)),"")</f>
        <v>LAM Candy</v>
      </c>
    </row>
    <row r="1720" customFormat="false" ht="15" hidden="false" customHeight="false" outlineLevel="0" collapsed="false">
      <c r="A1720" s="3" t="s">
        <v>308</v>
      </c>
      <c r="B1720" s="4" t="s">
        <v>40</v>
      </c>
      <c r="C1720" s="4" t="n">
        <v>2</v>
      </c>
      <c r="D1720" s="4" t="s">
        <v>57</v>
      </c>
      <c r="E1720" s="3" t="s">
        <v>240</v>
      </c>
      <c r="F1720" s="4" t="str">
        <f aca="false">IF(I1720&gt;J1720,"Y","N")</f>
        <v>N</v>
      </c>
      <c r="G1720" s="3" t="s">
        <v>239</v>
      </c>
      <c r="H1720" s="3" t="s">
        <v>21</v>
      </c>
      <c r="I1720" s="4" t="n">
        <v>7</v>
      </c>
      <c r="J1720" s="4" t="n">
        <f aca="false">LEN(E1720)-LEN(SUBSTITUTE(E1720,",",""))+1</f>
        <v>7</v>
      </c>
      <c r="K1720" s="3" t="str">
        <f aca="false">IFERROR(INDEX('Teacher Lookup'!$B$2:$B$200,MATCH(A1720,'Teacher Lookup'!$A$2:$A$200,0)),"")</f>
        <v>LAM Candy</v>
      </c>
    </row>
    <row r="1721" customFormat="false" ht="15" hidden="false" customHeight="false" outlineLevel="0" collapsed="false">
      <c r="A1721" s="3" t="s">
        <v>308</v>
      </c>
      <c r="B1721" s="4" t="s">
        <v>40</v>
      </c>
      <c r="C1721" s="4" t="n">
        <v>2</v>
      </c>
      <c r="D1721" s="4" t="s">
        <v>58</v>
      </c>
      <c r="E1721" s="3" t="s">
        <v>240</v>
      </c>
      <c r="F1721" s="4" t="str">
        <f aca="false">IF(I1721&gt;J1721,"Y","N")</f>
        <v>N</v>
      </c>
      <c r="G1721" s="3" t="s">
        <v>239</v>
      </c>
      <c r="H1721" s="3" t="s">
        <v>21</v>
      </c>
      <c r="I1721" s="4" t="n">
        <v>7</v>
      </c>
      <c r="J1721" s="4" t="n">
        <f aca="false">LEN(E1721)-LEN(SUBSTITUTE(E1721,",",""))+1</f>
        <v>7</v>
      </c>
      <c r="K1721" s="3" t="str">
        <f aca="false">IFERROR(INDEX('Teacher Lookup'!$B$2:$B$200,MATCH(A1721,'Teacher Lookup'!$A$2:$A$200,0)),"")</f>
        <v>LAM Candy</v>
      </c>
    </row>
    <row r="1722" customFormat="false" ht="15" hidden="false" customHeight="false" outlineLevel="0" collapsed="false">
      <c r="A1722" s="3" t="s">
        <v>308</v>
      </c>
      <c r="B1722" s="4" t="s">
        <v>40</v>
      </c>
      <c r="C1722" s="4" t="n">
        <v>2</v>
      </c>
      <c r="D1722" s="4" t="s">
        <v>59</v>
      </c>
      <c r="E1722" s="3" t="s">
        <v>240</v>
      </c>
      <c r="F1722" s="4" t="str">
        <f aca="false">IF(I1722&gt;J1722,"Y","N")</f>
        <v>N</v>
      </c>
      <c r="G1722" s="3" t="s">
        <v>239</v>
      </c>
      <c r="H1722" s="3" t="s">
        <v>21</v>
      </c>
      <c r="I1722" s="4" t="n">
        <v>7</v>
      </c>
      <c r="J1722" s="4" t="n">
        <f aca="false">LEN(E1722)-LEN(SUBSTITUTE(E1722,",",""))+1</f>
        <v>7</v>
      </c>
      <c r="K1722" s="3" t="str">
        <f aca="false">IFERROR(INDEX('Teacher Lookup'!$B$2:$B$200,MATCH(A1722,'Teacher Lookup'!$A$2:$A$200,0)),"")</f>
        <v>LAM Candy</v>
      </c>
    </row>
    <row r="1723" customFormat="false" ht="15" hidden="false" customHeight="false" outlineLevel="0" collapsed="false">
      <c r="A1723" s="3" t="s">
        <v>308</v>
      </c>
      <c r="B1723" s="4" t="s">
        <v>40</v>
      </c>
      <c r="C1723" s="4" t="n">
        <v>3</v>
      </c>
      <c r="D1723" s="4" t="s">
        <v>132</v>
      </c>
      <c r="E1723" s="3" t="s">
        <v>293</v>
      </c>
      <c r="F1723" s="4" t="str">
        <f aca="false">IF(I1723&gt;J1723,"Y","N")</f>
        <v>N</v>
      </c>
      <c r="G1723" s="3" t="s">
        <v>312</v>
      </c>
      <c r="H1723" s="3" t="s">
        <v>26</v>
      </c>
      <c r="I1723" s="4" t="n">
        <v>1</v>
      </c>
      <c r="J1723" s="4" t="n">
        <f aca="false">LEN(E1723)-LEN(SUBSTITUTE(E1723,",",""))+1</f>
        <v>1</v>
      </c>
      <c r="K1723" s="3" t="str">
        <f aca="false">IFERROR(INDEX('Teacher Lookup'!$B$2:$B$200,MATCH(A1723,'Teacher Lookup'!$A$2:$A$200,0)),"")</f>
        <v>LAM Candy</v>
      </c>
    </row>
    <row r="1724" customFormat="false" ht="15" hidden="false" customHeight="false" outlineLevel="0" collapsed="false">
      <c r="A1724" s="3" t="s">
        <v>308</v>
      </c>
      <c r="B1724" s="4" t="s">
        <v>40</v>
      </c>
      <c r="C1724" s="4" t="n">
        <v>6</v>
      </c>
      <c r="D1724" s="4" t="s">
        <v>102</v>
      </c>
      <c r="E1724" s="3" t="s">
        <v>314</v>
      </c>
      <c r="F1724" s="4" t="str">
        <f aca="false">IF(I1724&gt;J1724,"Y","N")</f>
        <v>Y</v>
      </c>
      <c r="G1724" s="3" t="s">
        <v>310</v>
      </c>
      <c r="H1724" s="3" t="s">
        <v>42</v>
      </c>
      <c r="I1724" s="4" t="n">
        <v>7</v>
      </c>
      <c r="J1724" s="4" t="n">
        <f aca="false">LEN(E1724)-LEN(SUBSTITUTE(E1724,",",""))+1</f>
        <v>6</v>
      </c>
      <c r="K1724" s="3" t="str">
        <f aca="false">IFERROR(INDEX('Teacher Lookup'!$B$2:$B$200,MATCH(A1724,'Teacher Lookup'!$A$2:$A$200,0)),"")</f>
        <v>LAM Candy</v>
      </c>
    </row>
    <row r="1725" customFormat="false" ht="15" hidden="false" customHeight="false" outlineLevel="0" collapsed="false">
      <c r="A1725" s="3" t="s">
        <v>308</v>
      </c>
      <c r="B1725" s="4" t="s">
        <v>40</v>
      </c>
      <c r="C1725" s="4" t="n">
        <v>6</v>
      </c>
      <c r="D1725" s="4" t="s">
        <v>105</v>
      </c>
      <c r="E1725" s="3" t="s">
        <v>314</v>
      </c>
      <c r="F1725" s="4" t="str">
        <f aca="false">IF(I1725&gt;J1725,"Y","N")</f>
        <v>Y</v>
      </c>
      <c r="G1725" s="3" t="s">
        <v>310</v>
      </c>
      <c r="H1725" s="3" t="s">
        <v>42</v>
      </c>
      <c r="I1725" s="4" t="n">
        <v>7</v>
      </c>
      <c r="J1725" s="4" t="n">
        <f aca="false">LEN(E1725)-LEN(SUBSTITUTE(E1725,",",""))+1</f>
        <v>6</v>
      </c>
      <c r="K1725" s="3" t="str">
        <f aca="false">IFERROR(INDEX('Teacher Lookup'!$B$2:$B$200,MATCH(A1725,'Teacher Lookup'!$A$2:$A$200,0)),"")</f>
        <v>LAM Candy</v>
      </c>
    </row>
    <row r="1726" customFormat="false" ht="15" hidden="false" customHeight="false" outlineLevel="0" collapsed="false">
      <c r="A1726" s="3" t="s">
        <v>308</v>
      </c>
      <c r="B1726" s="4" t="s">
        <v>40</v>
      </c>
      <c r="C1726" s="4" t="n">
        <v>6</v>
      </c>
      <c r="D1726" s="4" t="s">
        <v>106</v>
      </c>
      <c r="E1726" s="3" t="s">
        <v>314</v>
      </c>
      <c r="F1726" s="4" t="str">
        <f aca="false">IF(I1726&gt;J1726,"Y","N")</f>
        <v>Y</v>
      </c>
      <c r="G1726" s="3" t="s">
        <v>310</v>
      </c>
      <c r="H1726" s="3" t="s">
        <v>42</v>
      </c>
      <c r="I1726" s="4" t="n">
        <v>7</v>
      </c>
      <c r="J1726" s="4" t="n">
        <f aca="false">LEN(E1726)-LEN(SUBSTITUTE(E1726,",",""))+1</f>
        <v>6</v>
      </c>
      <c r="K1726" s="3" t="str">
        <f aca="false">IFERROR(INDEX('Teacher Lookup'!$B$2:$B$200,MATCH(A1726,'Teacher Lookup'!$A$2:$A$200,0)),"")</f>
        <v>LAM Candy</v>
      </c>
    </row>
    <row r="1727" customFormat="false" ht="15" hidden="false" customHeight="false" outlineLevel="0" collapsed="false">
      <c r="A1727" s="3" t="s">
        <v>308</v>
      </c>
      <c r="B1727" s="4" t="s">
        <v>40</v>
      </c>
      <c r="C1727" s="4" t="n">
        <v>6</v>
      </c>
      <c r="D1727" s="4" t="s">
        <v>107</v>
      </c>
      <c r="E1727" s="3" t="s">
        <v>314</v>
      </c>
      <c r="F1727" s="4" t="str">
        <f aca="false">IF(I1727&gt;J1727,"Y","N")</f>
        <v>Y</v>
      </c>
      <c r="G1727" s="3" t="s">
        <v>310</v>
      </c>
      <c r="H1727" s="3" t="s">
        <v>42</v>
      </c>
      <c r="I1727" s="4" t="n">
        <v>7</v>
      </c>
      <c r="J1727" s="4" t="n">
        <f aca="false">LEN(E1727)-LEN(SUBSTITUTE(E1727,",",""))+1</f>
        <v>6</v>
      </c>
      <c r="K1727" s="3" t="str">
        <f aca="false">IFERROR(INDEX('Teacher Lookup'!$B$2:$B$200,MATCH(A1727,'Teacher Lookup'!$A$2:$A$200,0)),"")</f>
        <v>LAM Candy</v>
      </c>
    </row>
    <row r="1728" customFormat="false" ht="15" hidden="false" customHeight="false" outlineLevel="0" collapsed="false">
      <c r="A1728" s="3" t="s">
        <v>308</v>
      </c>
      <c r="B1728" s="4" t="s">
        <v>40</v>
      </c>
      <c r="C1728" s="4" t="n">
        <v>7</v>
      </c>
      <c r="D1728" s="4" t="s">
        <v>102</v>
      </c>
      <c r="E1728" s="3" t="s">
        <v>314</v>
      </c>
      <c r="F1728" s="4" t="str">
        <f aca="false">IF(I1728&gt;J1728,"Y","N")</f>
        <v>Y</v>
      </c>
      <c r="G1728" s="3" t="s">
        <v>310</v>
      </c>
      <c r="H1728" s="3" t="s">
        <v>39</v>
      </c>
      <c r="I1728" s="4" t="n">
        <v>7</v>
      </c>
      <c r="J1728" s="4" t="n">
        <f aca="false">LEN(E1728)-LEN(SUBSTITUTE(E1728,",",""))+1</f>
        <v>6</v>
      </c>
      <c r="K1728" s="3" t="str">
        <f aca="false">IFERROR(INDEX('Teacher Lookup'!$B$2:$B$200,MATCH(A1728,'Teacher Lookup'!$A$2:$A$200,0)),"")</f>
        <v>LAM Candy</v>
      </c>
    </row>
    <row r="1729" customFormat="false" ht="15" hidden="false" customHeight="false" outlineLevel="0" collapsed="false">
      <c r="A1729" s="3" t="s">
        <v>308</v>
      </c>
      <c r="B1729" s="4" t="s">
        <v>40</v>
      </c>
      <c r="C1729" s="4" t="n">
        <v>7</v>
      </c>
      <c r="D1729" s="4" t="s">
        <v>105</v>
      </c>
      <c r="E1729" s="3" t="s">
        <v>314</v>
      </c>
      <c r="F1729" s="4" t="str">
        <f aca="false">IF(I1729&gt;J1729,"Y","N")</f>
        <v>Y</v>
      </c>
      <c r="G1729" s="3" t="s">
        <v>310</v>
      </c>
      <c r="H1729" s="3" t="s">
        <v>39</v>
      </c>
      <c r="I1729" s="4" t="n">
        <v>7</v>
      </c>
      <c r="J1729" s="4" t="n">
        <f aca="false">LEN(E1729)-LEN(SUBSTITUTE(E1729,",",""))+1</f>
        <v>6</v>
      </c>
      <c r="K1729" s="3" t="str">
        <f aca="false">IFERROR(INDEX('Teacher Lookup'!$B$2:$B$200,MATCH(A1729,'Teacher Lookup'!$A$2:$A$200,0)),"")</f>
        <v>LAM Candy</v>
      </c>
    </row>
    <row r="1730" customFormat="false" ht="15" hidden="false" customHeight="false" outlineLevel="0" collapsed="false">
      <c r="A1730" s="3" t="s">
        <v>308</v>
      </c>
      <c r="B1730" s="4" t="s">
        <v>40</v>
      </c>
      <c r="C1730" s="4" t="n">
        <v>7</v>
      </c>
      <c r="D1730" s="4" t="s">
        <v>106</v>
      </c>
      <c r="E1730" s="3" t="s">
        <v>314</v>
      </c>
      <c r="F1730" s="4" t="str">
        <f aca="false">IF(I1730&gt;J1730,"Y","N")</f>
        <v>Y</v>
      </c>
      <c r="G1730" s="3" t="s">
        <v>310</v>
      </c>
      <c r="H1730" s="3" t="s">
        <v>39</v>
      </c>
      <c r="I1730" s="4" t="n">
        <v>7</v>
      </c>
      <c r="J1730" s="4" t="n">
        <f aca="false">LEN(E1730)-LEN(SUBSTITUTE(E1730,",",""))+1</f>
        <v>6</v>
      </c>
      <c r="K1730" s="3" t="str">
        <f aca="false">IFERROR(INDEX('Teacher Lookup'!$B$2:$B$200,MATCH(A1730,'Teacher Lookup'!$A$2:$A$200,0)),"")</f>
        <v>LAM Candy</v>
      </c>
    </row>
    <row r="1731" customFormat="false" ht="15" hidden="false" customHeight="false" outlineLevel="0" collapsed="false">
      <c r="A1731" s="3" t="s">
        <v>308</v>
      </c>
      <c r="B1731" s="4" t="s">
        <v>40</v>
      </c>
      <c r="C1731" s="4" t="n">
        <v>7</v>
      </c>
      <c r="D1731" s="4" t="s">
        <v>107</v>
      </c>
      <c r="E1731" s="3" t="s">
        <v>314</v>
      </c>
      <c r="F1731" s="4" t="str">
        <f aca="false">IF(I1731&gt;J1731,"Y","N")</f>
        <v>Y</v>
      </c>
      <c r="G1731" s="3" t="s">
        <v>310</v>
      </c>
      <c r="H1731" s="3" t="s">
        <v>39</v>
      </c>
      <c r="I1731" s="4" t="n">
        <v>7</v>
      </c>
      <c r="J1731" s="4" t="n">
        <f aca="false">LEN(E1731)-LEN(SUBSTITUTE(E1731,",",""))+1</f>
        <v>6</v>
      </c>
      <c r="K1731" s="3" t="str">
        <f aca="false">IFERROR(INDEX('Teacher Lookup'!$B$2:$B$200,MATCH(A1731,'Teacher Lookup'!$A$2:$A$200,0)),"")</f>
        <v>LAM Candy</v>
      </c>
    </row>
    <row r="1732" customFormat="false" ht="15" hidden="false" customHeight="false" outlineLevel="0" collapsed="false">
      <c r="A1732" s="3" t="s">
        <v>308</v>
      </c>
      <c r="B1732" s="4" t="s">
        <v>44</v>
      </c>
      <c r="C1732" s="4" t="n">
        <v>1</v>
      </c>
      <c r="D1732" s="4" t="s">
        <v>132</v>
      </c>
      <c r="E1732" s="3" t="s">
        <v>293</v>
      </c>
      <c r="F1732" s="4" t="str">
        <f aca="false">IF(I1732&gt;J1732,"Y","N")</f>
        <v>N</v>
      </c>
      <c r="G1732" s="3" t="s">
        <v>312</v>
      </c>
      <c r="H1732" s="3" t="s">
        <v>16</v>
      </c>
      <c r="I1732" s="4" t="n">
        <v>1</v>
      </c>
      <c r="J1732" s="4" t="n">
        <f aca="false">LEN(E1732)-LEN(SUBSTITUTE(E1732,",",""))+1</f>
        <v>1</v>
      </c>
      <c r="K1732" s="3" t="str">
        <f aca="false">IFERROR(INDEX('Teacher Lookup'!$B$2:$B$200,MATCH(A1732,'Teacher Lookup'!$A$2:$A$200,0)),"")</f>
        <v>LAM Candy</v>
      </c>
    </row>
    <row r="1733" customFormat="false" ht="15" hidden="false" customHeight="false" outlineLevel="0" collapsed="false">
      <c r="A1733" s="3" t="s">
        <v>308</v>
      </c>
      <c r="B1733" s="4" t="s">
        <v>44</v>
      </c>
      <c r="C1733" s="4" t="n">
        <v>4</v>
      </c>
      <c r="D1733" s="4" t="s">
        <v>74</v>
      </c>
      <c r="E1733" s="3" t="s">
        <v>125</v>
      </c>
      <c r="F1733" s="4" t="str">
        <f aca="false">IF(I1733&gt;J1733,"Y","N")</f>
        <v>N</v>
      </c>
      <c r="G1733" s="3" t="s">
        <v>312</v>
      </c>
      <c r="H1733" s="3" t="s">
        <v>34</v>
      </c>
      <c r="I1733" s="4" t="n">
        <v>1</v>
      </c>
      <c r="J1733" s="4" t="n">
        <f aca="false">LEN(E1733)-LEN(SUBSTITUTE(E1733,",",""))+1</f>
        <v>1</v>
      </c>
      <c r="K1733" s="3" t="str">
        <f aca="false">IFERROR(INDEX('Teacher Lookup'!$B$2:$B$200,MATCH(A1733,'Teacher Lookup'!$A$2:$A$200,0)),"")</f>
        <v>LAM Candy</v>
      </c>
    </row>
    <row r="1734" customFormat="false" ht="15" hidden="false" customHeight="false" outlineLevel="0" collapsed="false">
      <c r="A1734" s="3" t="s">
        <v>308</v>
      </c>
      <c r="B1734" s="4" t="s">
        <v>44</v>
      </c>
      <c r="C1734" s="4" t="n">
        <v>5</v>
      </c>
      <c r="D1734" s="4" t="s">
        <v>52</v>
      </c>
      <c r="E1734" s="3" t="s">
        <v>112</v>
      </c>
      <c r="F1734" s="4" t="str">
        <f aca="false">IF(I1734&gt;J1734,"Y","N")</f>
        <v>Y</v>
      </c>
      <c r="G1734" s="3" t="s">
        <v>36</v>
      </c>
      <c r="H1734" s="3" t="s">
        <v>37</v>
      </c>
      <c r="I1734" s="4" t="n">
        <v>16</v>
      </c>
      <c r="J1734" s="4" t="n">
        <f aca="false">LEN(E1734)-LEN(SUBSTITUTE(E1734,",",""))+1</f>
        <v>7</v>
      </c>
      <c r="K1734" s="3" t="str">
        <f aca="false">IFERROR(INDEX('Teacher Lookup'!$B$2:$B$200,MATCH(A1734,'Teacher Lookup'!$A$2:$A$200,0)),"")</f>
        <v>LAM Candy</v>
      </c>
    </row>
    <row r="1735" customFormat="false" ht="15" hidden="false" customHeight="false" outlineLevel="0" collapsed="false">
      <c r="A1735" s="3" t="s">
        <v>308</v>
      </c>
      <c r="B1735" s="4" t="s">
        <v>44</v>
      </c>
      <c r="C1735" s="4" t="n">
        <v>5</v>
      </c>
      <c r="D1735" s="4" t="s">
        <v>55</v>
      </c>
      <c r="E1735" s="3" t="s">
        <v>112</v>
      </c>
      <c r="F1735" s="4" t="str">
        <f aca="false">IF(I1735&gt;J1735,"Y","N")</f>
        <v>Y</v>
      </c>
      <c r="G1735" s="3" t="s">
        <v>36</v>
      </c>
      <c r="H1735" s="3" t="s">
        <v>37</v>
      </c>
      <c r="I1735" s="4" t="n">
        <v>16</v>
      </c>
      <c r="J1735" s="4" t="n">
        <f aca="false">LEN(E1735)-LEN(SUBSTITUTE(E1735,",",""))+1</f>
        <v>7</v>
      </c>
      <c r="K1735" s="3" t="str">
        <f aca="false">IFERROR(INDEX('Teacher Lookup'!$B$2:$B$200,MATCH(A1735,'Teacher Lookup'!$A$2:$A$200,0)),"")</f>
        <v>LAM Candy</v>
      </c>
    </row>
    <row r="1736" customFormat="false" ht="15" hidden="false" customHeight="false" outlineLevel="0" collapsed="false">
      <c r="A1736" s="3" t="s">
        <v>308</v>
      </c>
      <c r="B1736" s="4" t="s">
        <v>44</v>
      </c>
      <c r="C1736" s="4" t="n">
        <v>5</v>
      </c>
      <c r="D1736" s="4" t="s">
        <v>56</v>
      </c>
      <c r="E1736" s="3" t="s">
        <v>112</v>
      </c>
      <c r="F1736" s="4" t="str">
        <f aca="false">IF(I1736&gt;J1736,"Y","N")</f>
        <v>Y</v>
      </c>
      <c r="G1736" s="3" t="s">
        <v>36</v>
      </c>
      <c r="H1736" s="3" t="s">
        <v>37</v>
      </c>
      <c r="I1736" s="4" t="n">
        <v>16</v>
      </c>
      <c r="J1736" s="4" t="n">
        <f aca="false">LEN(E1736)-LEN(SUBSTITUTE(E1736,",",""))+1</f>
        <v>7</v>
      </c>
      <c r="K1736" s="3" t="str">
        <f aca="false">IFERROR(INDEX('Teacher Lookup'!$B$2:$B$200,MATCH(A1736,'Teacher Lookup'!$A$2:$A$200,0)),"")</f>
        <v>LAM Candy</v>
      </c>
    </row>
    <row r="1737" customFormat="false" ht="15" hidden="false" customHeight="false" outlineLevel="0" collapsed="false">
      <c r="A1737" s="3" t="s">
        <v>308</v>
      </c>
      <c r="B1737" s="4" t="s">
        <v>44</v>
      </c>
      <c r="C1737" s="4" t="n">
        <v>5</v>
      </c>
      <c r="D1737" s="4" t="s">
        <v>57</v>
      </c>
      <c r="E1737" s="3" t="s">
        <v>112</v>
      </c>
      <c r="F1737" s="4" t="str">
        <f aca="false">IF(I1737&gt;J1737,"Y","N")</f>
        <v>Y</v>
      </c>
      <c r="G1737" s="3" t="s">
        <v>36</v>
      </c>
      <c r="H1737" s="3" t="s">
        <v>37</v>
      </c>
      <c r="I1737" s="4" t="n">
        <v>16</v>
      </c>
      <c r="J1737" s="4" t="n">
        <f aca="false">LEN(E1737)-LEN(SUBSTITUTE(E1737,",",""))+1</f>
        <v>7</v>
      </c>
      <c r="K1737" s="3" t="str">
        <f aca="false">IFERROR(INDEX('Teacher Lookup'!$B$2:$B$200,MATCH(A1737,'Teacher Lookup'!$A$2:$A$200,0)),"")</f>
        <v>LAM Candy</v>
      </c>
    </row>
    <row r="1738" customFormat="false" ht="15" hidden="false" customHeight="false" outlineLevel="0" collapsed="false">
      <c r="A1738" s="3" t="s">
        <v>308</v>
      </c>
      <c r="B1738" s="4" t="s">
        <v>44</v>
      </c>
      <c r="C1738" s="4" t="n">
        <v>5</v>
      </c>
      <c r="D1738" s="4" t="s">
        <v>58</v>
      </c>
      <c r="E1738" s="3" t="s">
        <v>112</v>
      </c>
      <c r="F1738" s="4" t="str">
        <f aca="false">IF(I1738&gt;J1738,"Y","N")</f>
        <v>Y</v>
      </c>
      <c r="G1738" s="3" t="s">
        <v>36</v>
      </c>
      <c r="H1738" s="3" t="s">
        <v>37</v>
      </c>
      <c r="I1738" s="4" t="n">
        <v>16</v>
      </c>
      <c r="J1738" s="4" t="n">
        <f aca="false">LEN(E1738)-LEN(SUBSTITUTE(E1738,",",""))+1</f>
        <v>7</v>
      </c>
      <c r="K1738" s="3" t="str">
        <f aca="false">IFERROR(INDEX('Teacher Lookup'!$B$2:$B$200,MATCH(A1738,'Teacher Lookup'!$A$2:$A$200,0)),"")</f>
        <v>LAM Candy</v>
      </c>
    </row>
    <row r="1739" customFormat="false" ht="15" hidden="false" customHeight="false" outlineLevel="0" collapsed="false">
      <c r="A1739" s="3" t="s">
        <v>308</v>
      </c>
      <c r="B1739" s="4" t="s">
        <v>44</v>
      </c>
      <c r="C1739" s="4" t="n">
        <v>5</v>
      </c>
      <c r="D1739" s="4" t="s">
        <v>59</v>
      </c>
      <c r="E1739" s="3" t="s">
        <v>112</v>
      </c>
      <c r="F1739" s="4" t="str">
        <f aca="false">IF(I1739&gt;J1739,"Y","N")</f>
        <v>Y</v>
      </c>
      <c r="G1739" s="3" t="s">
        <v>36</v>
      </c>
      <c r="H1739" s="3" t="s">
        <v>37</v>
      </c>
      <c r="I1739" s="4" t="n">
        <v>16</v>
      </c>
      <c r="J1739" s="4" t="n">
        <f aca="false">LEN(E1739)-LEN(SUBSTITUTE(E1739,",",""))+1</f>
        <v>7</v>
      </c>
      <c r="K1739" s="3" t="str">
        <f aca="false">IFERROR(INDEX('Teacher Lookup'!$B$2:$B$200,MATCH(A1739,'Teacher Lookup'!$A$2:$A$200,0)),"")</f>
        <v>LAM Candy</v>
      </c>
    </row>
    <row r="1740" customFormat="false" ht="15" hidden="false" customHeight="false" outlineLevel="0" collapsed="false">
      <c r="A1740" s="3" t="s">
        <v>308</v>
      </c>
      <c r="B1740" s="4" t="s">
        <v>44</v>
      </c>
      <c r="C1740" s="4" t="n">
        <v>7</v>
      </c>
      <c r="D1740" s="4" t="s">
        <v>52</v>
      </c>
      <c r="E1740" s="3" t="s">
        <v>243</v>
      </c>
      <c r="F1740" s="4" t="str">
        <f aca="false">IF(I1740&gt;J1740,"Y","N")</f>
        <v>N</v>
      </c>
      <c r="G1740" s="3" t="s">
        <v>239</v>
      </c>
      <c r="H1740" s="3" t="s">
        <v>39</v>
      </c>
      <c r="I1740" s="4" t="n">
        <v>7</v>
      </c>
      <c r="J1740" s="4" t="n">
        <f aca="false">LEN(E1740)-LEN(SUBSTITUTE(E1740,",",""))+1</f>
        <v>7</v>
      </c>
      <c r="K1740" s="3" t="str">
        <f aca="false">IFERROR(INDEX('Teacher Lookup'!$B$2:$B$200,MATCH(A1740,'Teacher Lookup'!$A$2:$A$200,0)),"")</f>
        <v>LAM Candy</v>
      </c>
    </row>
    <row r="1741" customFormat="false" ht="15" hidden="false" customHeight="false" outlineLevel="0" collapsed="false">
      <c r="A1741" s="3" t="s">
        <v>308</v>
      </c>
      <c r="B1741" s="4" t="s">
        <v>44</v>
      </c>
      <c r="C1741" s="4" t="n">
        <v>7</v>
      </c>
      <c r="D1741" s="4" t="s">
        <v>55</v>
      </c>
      <c r="E1741" s="3" t="s">
        <v>243</v>
      </c>
      <c r="F1741" s="4" t="str">
        <f aca="false">IF(I1741&gt;J1741,"Y","N")</f>
        <v>N</v>
      </c>
      <c r="G1741" s="3" t="s">
        <v>239</v>
      </c>
      <c r="H1741" s="3" t="s">
        <v>39</v>
      </c>
      <c r="I1741" s="4" t="n">
        <v>7</v>
      </c>
      <c r="J1741" s="4" t="n">
        <f aca="false">LEN(E1741)-LEN(SUBSTITUTE(E1741,",",""))+1</f>
        <v>7</v>
      </c>
      <c r="K1741" s="3" t="str">
        <f aca="false">IFERROR(INDEX('Teacher Lookup'!$B$2:$B$200,MATCH(A1741,'Teacher Lookup'!$A$2:$A$200,0)),"")</f>
        <v>LAM Candy</v>
      </c>
    </row>
    <row r="1742" customFormat="false" ht="15" hidden="false" customHeight="false" outlineLevel="0" collapsed="false">
      <c r="A1742" s="3" t="s">
        <v>308</v>
      </c>
      <c r="B1742" s="4" t="s">
        <v>44</v>
      </c>
      <c r="C1742" s="4" t="n">
        <v>7</v>
      </c>
      <c r="D1742" s="4" t="s">
        <v>56</v>
      </c>
      <c r="E1742" s="3" t="s">
        <v>243</v>
      </c>
      <c r="F1742" s="4" t="str">
        <f aca="false">IF(I1742&gt;J1742,"Y","N")</f>
        <v>N</v>
      </c>
      <c r="G1742" s="3" t="s">
        <v>239</v>
      </c>
      <c r="H1742" s="3" t="s">
        <v>39</v>
      </c>
      <c r="I1742" s="4" t="n">
        <v>7</v>
      </c>
      <c r="J1742" s="4" t="n">
        <f aca="false">LEN(E1742)-LEN(SUBSTITUTE(E1742,",",""))+1</f>
        <v>7</v>
      </c>
      <c r="K1742" s="3" t="str">
        <f aca="false">IFERROR(INDEX('Teacher Lookup'!$B$2:$B$200,MATCH(A1742,'Teacher Lookup'!$A$2:$A$200,0)),"")</f>
        <v>LAM Candy</v>
      </c>
    </row>
    <row r="1743" customFormat="false" ht="15" hidden="false" customHeight="false" outlineLevel="0" collapsed="false">
      <c r="A1743" s="3" t="s">
        <v>308</v>
      </c>
      <c r="B1743" s="4" t="s">
        <v>44</v>
      </c>
      <c r="C1743" s="4" t="n">
        <v>7</v>
      </c>
      <c r="D1743" s="4" t="s">
        <v>57</v>
      </c>
      <c r="E1743" s="3" t="s">
        <v>243</v>
      </c>
      <c r="F1743" s="4" t="str">
        <f aca="false">IF(I1743&gt;J1743,"Y","N")</f>
        <v>N</v>
      </c>
      <c r="G1743" s="3" t="s">
        <v>239</v>
      </c>
      <c r="H1743" s="3" t="s">
        <v>39</v>
      </c>
      <c r="I1743" s="4" t="n">
        <v>7</v>
      </c>
      <c r="J1743" s="4" t="n">
        <f aca="false">LEN(E1743)-LEN(SUBSTITUTE(E1743,",",""))+1</f>
        <v>7</v>
      </c>
      <c r="K1743" s="3" t="str">
        <f aca="false">IFERROR(INDEX('Teacher Lookup'!$B$2:$B$200,MATCH(A1743,'Teacher Lookup'!$A$2:$A$200,0)),"")</f>
        <v>LAM Candy</v>
      </c>
    </row>
    <row r="1744" customFormat="false" ht="15" hidden="false" customHeight="false" outlineLevel="0" collapsed="false">
      <c r="A1744" s="3" t="s">
        <v>308</v>
      </c>
      <c r="B1744" s="4" t="s">
        <v>44</v>
      </c>
      <c r="C1744" s="4" t="n">
        <v>7</v>
      </c>
      <c r="D1744" s="4" t="s">
        <v>58</v>
      </c>
      <c r="E1744" s="3" t="s">
        <v>243</v>
      </c>
      <c r="F1744" s="4" t="str">
        <f aca="false">IF(I1744&gt;J1744,"Y","N")</f>
        <v>N</v>
      </c>
      <c r="G1744" s="3" t="s">
        <v>239</v>
      </c>
      <c r="H1744" s="3" t="s">
        <v>39</v>
      </c>
      <c r="I1744" s="4" t="n">
        <v>7</v>
      </c>
      <c r="J1744" s="4" t="n">
        <f aca="false">LEN(E1744)-LEN(SUBSTITUTE(E1744,",",""))+1</f>
        <v>7</v>
      </c>
      <c r="K1744" s="3" t="str">
        <f aca="false">IFERROR(INDEX('Teacher Lookup'!$B$2:$B$200,MATCH(A1744,'Teacher Lookup'!$A$2:$A$200,0)),"")</f>
        <v>LAM Candy</v>
      </c>
    </row>
    <row r="1745" customFormat="false" ht="15" hidden="false" customHeight="false" outlineLevel="0" collapsed="false">
      <c r="A1745" s="3" t="s">
        <v>308</v>
      </c>
      <c r="B1745" s="4" t="s">
        <v>44</v>
      </c>
      <c r="C1745" s="4" t="n">
        <v>7</v>
      </c>
      <c r="D1745" s="4" t="s">
        <v>59</v>
      </c>
      <c r="E1745" s="3" t="s">
        <v>243</v>
      </c>
      <c r="F1745" s="4" t="str">
        <f aca="false">IF(I1745&gt;J1745,"Y","N")</f>
        <v>N</v>
      </c>
      <c r="G1745" s="3" t="s">
        <v>239</v>
      </c>
      <c r="H1745" s="3" t="s">
        <v>39</v>
      </c>
      <c r="I1745" s="4" t="n">
        <v>7</v>
      </c>
      <c r="J1745" s="4" t="n">
        <f aca="false">LEN(E1745)-LEN(SUBSTITUTE(E1745,",",""))+1</f>
        <v>7</v>
      </c>
      <c r="K1745" s="3" t="str">
        <f aca="false">IFERROR(INDEX('Teacher Lookup'!$B$2:$B$200,MATCH(A1745,'Teacher Lookup'!$A$2:$A$200,0)),"")</f>
        <v>LAM Candy</v>
      </c>
    </row>
    <row r="1746" customFormat="false" ht="15" hidden="false" customHeight="false" outlineLevel="0" collapsed="false">
      <c r="A1746" s="3" t="s">
        <v>308</v>
      </c>
      <c r="B1746" s="4" t="s">
        <v>47</v>
      </c>
      <c r="C1746" s="4" t="n">
        <v>2</v>
      </c>
      <c r="D1746" s="4" t="s">
        <v>102</v>
      </c>
      <c r="E1746" s="3" t="s">
        <v>315</v>
      </c>
      <c r="F1746" s="4" t="str">
        <f aca="false">IF(I1746&gt;J1746,"Y","N")</f>
        <v>Y</v>
      </c>
      <c r="G1746" s="3" t="s">
        <v>310</v>
      </c>
      <c r="H1746" s="3" t="s">
        <v>21</v>
      </c>
      <c r="I1746" s="4" t="n">
        <v>7</v>
      </c>
      <c r="J1746" s="4" t="n">
        <f aca="false">LEN(E1746)-LEN(SUBSTITUTE(E1746,",",""))+1</f>
        <v>6</v>
      </c>
      <c r="K1746" s="3" t="str">
        <f aca="false">IFERROR(INDEX('Teacher Lookup'!$B$2:$B$200,MATCH(A1746,'Teacher Lookup'!$A$2:$A$200,0)),"")</f>
        <v>LAM Candy</v>
      </c>
    </row>
    <row r="1747" customFormat="false" ht="15" hidden="false" customHeight="false" outlineLevel="0" collapsed="false">
      <c r="A1747" s="3" t="s">
        <v>308</v>
      </c>
      <c r="B1747" s="4" t="s">
        <v>47</v>
      </c>
      <c r="C1747" s="4" t="n">
        <v>2</v>
      </c>
      <c r="D1747" s="4" t="s">
        <v>105</v>
      </c>
      <c r="E1747" s="3" t="s">
        <v>315</v>
      </c>
      <c r="F1747" s="4" t="str">
        <f aca="false">IF(I1747&gt;J1747,"Y","N")</f>
        <v>Y</v>
      </c>
      <c r="G1747" s="3" t="s">
        <v>310</v>
      </c>
      <c r="H1747" s="3" t="s">
        <v>21</v>
      </c>
      <c r="I1747" s="4" t="n">
        <v>7</v>
      </c>
      <c r="J1747" s="4" t="n">
        <f aca="false">LEN(E1747)-LEN(SUBSTITUTE(E1747,",",""))+1</f>
        <v>6</v>
      </c>
      <c r="K1747" s="3" t="str">
        <f aca="false">IFERROR(INDEX('Teacher Lookup'!$B$2:$B$200,MATCH(A1747,'Teacher Lookup'!$A$2:$A$200,0)),"")</f>
        <v>LAM Candy</v>
      </c>
    </row>
    <row r="1748" customFormat="false" ht="15" hidden="false" customHeight="false" outlineLevel="0" collapsed="false">
      <c r="A1748" s="3" t="s">
        <v>308</v>
      </c>
      <c r="B1748" s="4" t="s">
        <v>47</v>
      </c>
      <c r="C1748" s="4" t="n">
        <v>2</v>
      </c>
      <c r="D1748" s="4" t="s">
        <v>106</v>
      </c>
      <c r="E1748" s="3" t="s">
        <v>315</v>
      </c>
      <c r="F1748" s="4" t="str">
        <f aca="false">IF(I1748&gt;J1748,"Y","N")</f>
        <v>Y</v>
      </c>
      <c r="G1748" s="3" t="s">
        <v>310</v>
      </c>
      <c r="H1748" s="3" t="s">
        <v>21</v>
      </c>
      <c r="I1748" s="4" t="n">
        <v>7</v>
      </c>
      <c r="J1748" s="4" t="n">
        <f aca="false">LEN(E1748)-LEN(SUBSTITUTE(E1748,",",""))+1</f>
        <v>6</v>
      </c>
      <c r="K1748" s="3" t="str">
        <f aca="false">IFERROR(INDEX('Teacher Lookup'!$B$2:$B$200,MATCH(A1748,'Teacher Lookup'!$A$2:$A$200,0)),"")</f>
        <v>LAM Candy</v>
      </c>
    </row>
    <row r="1749" customFormat="false" ht="15" hidden="false" customHeight="false" outlineLevel="0" collapsed="false">
      <c r="A1749" s="3" t="s">
        <v>308</v>
      </c>
      <c r="B1749" s="4" t="s">
        <v>47</v>
      </c>
      <c r="C1749" s="4" t="n">
        <v>2</v>
      </c>
      <c r="D1749" s="4" t="s">
        <v>107</v>
      </c>
      <c r="E1749" s="3" t="s">
        <v>315</v>
      </c>
      <c r="F1749" s="4" t="str">
        <f aca="false">IF(I1749&gt;J1749,"Y","N")</f>
        <v>Y</v>
      </c>
      <c r="G1749" s="3" t="s">
        <v>310</v>
      </c>
      <c r="H1749" s="3" t="s">
        <v>21</v>
      </c>
      <c r="I1749" s="4" t="n">
        <v>7</v>
      </c>
      <c r="J1749" s="4" t="n">
        <f aca="false">LEN(E1749)-LEN(SUBSTITUTE(E1749,",",""))+1</f>
        <v>6</v>
      </c>
      <c r="K1749" s="3" t="str">
        <f aca="false">IFERROR(INDEX('Teacher Lookup'!$B$2:$B$200,MATCH(A1749,'Teacher Lookup'!$A$2:$A$200,0)),"")</f>
        <v>LAM Candy</v>
      </c>
    </row>
    <row r="1750" customFormat="false" ht="15" hidden="false" customHeight="false" outlineLevel="0" collapsed="false">
      <c r="A1750" s="3" t="s">
        <v>308</v>
      </c>
      <c r="B1750" s="4" t="s">
        <v>47</v>
      </c>
      <c r="C1750" s="4" t="n">
        <v>3</v>
      </c>
      <c r="D1750" s="4" t="s">
        <v>132</v>
      </c>
      <c r="E1750" s="3" t="s">
        <v>293</v>
      </c>
      <c r="F1750" s="4" t="str">
        <f aca="false">IF(I1750&gt;J1750,"Y","N")</f>
        <v>N</v>
      </c>
      <c r="G1750" s="3" t="s">
        <v>312</v>
      </c>
      <c r="H1750" s="3" t="s">
        <v>26</v>
      </c>
      <c r="I1750" s="4" t="n">
        <v>1</v>
      </c>
      <c r="J1750" s="4" t="n">
        <f aca="false">LEN(E1750)-LEN(SUBSTITUTE(E1750,",",""))+1</f>
        <v>1</v>
      </c>
      <c r="K1750" s="3" t="str">
        <f aca="false">IFERROR(INDEX('Teacher Lookup'!$B$2:$B$200,MATCH(A1750,'Teacher Lookup'!$A$2:$A$200,0)),"")</f>
        <v>LAM Candy</v>
      </c>
    </row>
    <row r="1751" customFormat="false" ht="15" hidden="false" customHeight="false" outlineLevel="0" collapsed="false">
      <c r="A1751" s="3" t="s">
        <v>308</v>
      </c>
      <c r="B1751" s="4" t="s">
        <v>47</v>
      </c>
      <c r="C1751" s="4" t="n">
        <v>7</v>
      </c>
      <c r="D1751" s="4" t="s">
        <v>52</v>
      </c>
      <c r="E1751" s="3" t="s">
        <v>244</v>
      </c>
      <c r="F1751" s="4" t="str">
        <f aca="false">IF(I1751&gt;J1751,"Y","N")</f>
        <v>N</v>
      </c>
      <c r="G1751" s="3" t="s">
        <v>239</v>
      </c>
      <c r="H1751" s="3" t="s">
        <v>39</v>
      </c>
      <c r="I1751" s="4" t="n">
        <v>7</v>
      </c>
      <c r="J1751" s="4" t="n">
        <f aca="false">LEN(E1751)-LEN(SUBSTITUTE(E1751,",",""))+1</f>
        <v>7</v>
      </c>
      <c r="K1751" s="3" t="str">
        <f aca="false">IFERROR(INDEX('Teacher Lookup'!$B$2:$B$200,MATCH(A1751,'Teacher Lookup'!$A$2:$A$200,0)),"")</f>
        <v>LAM Candy</v>
      </c>
    </row>
    <row r="1752" customFormat="false" ht="15" hidden="false" customHeight="false" outlineLevel="0" collapsed="false">
      <c r="A1752" s="3" t="s">
        <v>308</v>
      </c>
      <c r="B1752" s="4" t="s">
        <v>47</v>
      </c>
      <c r="C1752" s="4" t="n">
        <v>7</v>
      </c>
      <c r="D1752" s="4" t="s">
        <v>55</v>
      </c>
      <c r="E1752" s="3" t="s">
        <v>244</v>
      </c>
      <c r="F1752" s="4" t="str">
        <f aca="false">IF(I1752&gt;J1752,"Y","N")</f>
        <v>N</v>
      </c>
      <c r="G1752" s="3" t="s">
        <v>239</v>
      </c>
      <c r="H1752" s="3" t="s">
        <v>39</v>
      </c>
      <c r="I1752" s="4" t="n">
        <v>7</v>
      </c>
      <c r="J1752" s="4" t="n">
        <f aca="false">LEN(E1752)-LEN(SUBSTITUTE(E1752,",",""))+1</f>
        <v>7</v>
      </c>
      <c r="K1752" s="3" t="str">
        <f aca="false">IFERROR(INDEX('Teacher Lookup'!$B$2:$B$200,MATCH(A1752,'Teacher Lookup'!$A$2:$A$200,0)),"")</f>
        <v>LAM Candy</v>
      </c>
    </row>
    <row r="1753" customFormat="false" ht="15" hidden="false" customHeight="false" outlineLevel="0" collapsed="false">
      <c r="A1753" s="3" t="s">
        <v>308</v>
      </c>
      <c r="B1753" s="4" t="s">
        <v>47</v>
      </c>
      <c r="C1753" s="4" t="n">
        <v>7</v>
      </c>
      <c r="D1753" s="4" t="s">
        <v>56</v>
      </c>
      <c r="E1753" s="3" t="s">
        <v>244</v>
      </c>
      <c r="F1753" s="4" t="str">
        <f aca="false">IF(I1753&gt;J1753,"Y","N")</f>
        <v>N</v>
      </c>
      <c r="G1753" s="3" t="s">
        <v>239</v>
      </c>
      <c r="H1753" s="3" t="s">
        <v>39</v>
      </c>
      <c r="I1753" s="4" t="n">
        <v>7</v>
      </c>
      <c r="J1753" s="4" t="n">
        <f aca="false">LEN(E1753)-LEN(SUBSTITUTE(E1753,",",""))+1</f>
        <v>7</v>
      </c>
      <c r="K1753" s="3" t="str">
        <f aca="false">IFERROR(INDEX('Teacher Lookup'!$B$2:$B$200,MATCH(A1753,'Teacher Lookup'!$A$2:$A$200,0)),"")</f>
        <v>LAM Candy</v>
      </c>
    </row>
    <row r="1754" customFormat="false" ht="15" hidden="false" customHeight="false" outlineLevel="0" collapsed="false">
      <c r="A1754" s="3" t="s">
        <v>308</v>
      </c>
      <c r="B1754" s="4" t="s">
        <v>47</v>
      </c>
      <c r="C1754" s="4" t="n">
        <v>7</v>
      </c>
      <c r="D1754" s="4" t="s">
        <v>57</v>
      </c>
      <c r="E1754" s="3" t="s">
        <v>244</v>
      </c>
      <c r="F1754" s="4" t="str">
        <f aca="false">IF(I1754&gt;J1754,"Y","N")</f>
        <v>N</v>
      </c>
      <c r="G1754" s="3" t="s">
        <v>239</v>
      </c>
      <c r="H1754" s="3" t="s">
        <v>39</v>
      </c>
      <c r="I1754" s="4" t="n">
        <v>7</v>
      </c>
      <c r="J1754" s="4" t="n">
        <f aca="false">LEN(E1754)-LEN(SUBSTITUTE(E1754,",",""))+1</f>
        <v>7</v>
      </c>
      <c r="K1754" s="3" t="str">
        <f aca="false">IFERROR(INDEX('Teacher Lookup'!$B$2:$B$200,MATCH(A1754,'Teacher Lookup'!$A$2:$A$200,0)),"")</f>
        <v>LAM Candy</v>
      </c>
    </row>
    <row r="1755" customFormat="false" ht="15" hidden="false" customHeight="false" outlineLevel="0" collapsed="false">
      <c r="A1755" s="3" t="s">
        <v>308</v>
      </c>
      <c r="B1755" s="4" t="s">
        <v>47</v>
      </c>
      <c r="C1755" s="4" t="n">
        <v>7</v>
      </c>
      <c r="D1755" s="4" t="s">
        <v>58</v>
      </c>
      <c r="E1755" s="3" t="s">
        <v>244</v>
      </c>
      <c r="F1755" s="4" t="str">
        <f aca="false">IF(I1755&gt;J1755,"Y","N")</f>
        <v>N</v>
      </c>
      <c r="G1755" s="3" t="s">
        <v>239</v>
      </c>
      <c r="H1755" s="3" t="s">
        <v>39</v>
      </c>
      <c r="I1755" s="4" t="n">
        <v>7</v>
      </c>
      <c r="J1755" s="4" t="n">
        <f aca="false">LEN(E1755)-LEN(SUBSTITUTE(E1755,",",""))+1</f>
        <v>7</v>
      </c>
      <c r="K1755" s="3" t="str">
        <f aca="false">IFERROR(INDEX('Teacher Lookup'!$B$2:$B$200,MATCH(A1755,'Teacher Lookup'!$A$2:$A$200,0)),"")</f>
        <v>LAM Candy</v>
      </c>
    </row>
    <row r="1756" customFormat="false" ht="15" hidden="false" customHeight="false" outlineLevel="0" collapsed="false">
      <c r="A1756" s="3" t="s">
        <v>308</v>
      </c>
      <c r="B1756" s="4" t="s">
        <v>47</v>
      </c>
      <c r="C1756" s="4" t="n">
        <v>7</v>
      </c>
      <c r="D1756" s="4" t="s">
        <v>59</v>
      </c>
      <c r="E1756" s="3" t="s">
        <v>244</v>
      </c>
      <c r="F1756" s="4" t="str">
        <f aca="false">IF(I1756&gt;J1756,"Y","N")</f>
        <v>N</v>
      </c>
      <c r="G1756" s="3" t="s">
        <v>239</v>
      </c>
      <c r="H1756" s="3" t="s">
        <v>39</v>
      </c>
      <c r="I1756" s="4" t="n">
        <v>7</v>
      </c>
      <c r="J1756" s="4" t="n">
        <f aca="false">LEN(E1756)-LEN(SUBSTITUTE(E1756,",",""))+1</f>
        <v>7</v>
      </c>
      <c r="K1756" s="3" t="str">
        <f aca="false">IFERROR(INDEX('Teacher Lookup'!$B$2:$B$200,MATCH(A1756,'Teacher Lookup'!$A$2:$A$200,0)),"")</f>
        <v>LAM Candy</v>
      </c>
    </row>
    <row r="1757" customFormat="false" ht="15" hidden="false" customHeight="false" outlineLevel="0" collapsed="false">
      <c r="A1757" s="3" t="s">
        <v>308</v>
      </c>
      <c r="B1757" s="4" t="s">
        <v>50</v>
      </c>
      <c r="C1757" s="4" t="n">
        <v>2</v>
      </c>
      <c r="D1757" s="4" t="s">
        <v>74</v>
      </c>
      <c r="E1757" s="3" t="s">
        <v>316</v>
      </c>
      <c r="F1757" s="4" t="str">
        <f aca="false">IF(I1757&gt;J1757,"Y","N")</f>
        <v>N</v>
      </c>
      <c r="G1757" s="3" t="s">
        <v>312</v>
      </c>
      <c r="H1757" s="3" t="s">
        <v>21</v>
      </c>
      <c r="I1757" s="4" t="n">
        <v>1</v>
      </c>
      <c r="J1757" s="4" t="n">
        <f aca="false">LEN(E1757)-LEN(SUBSTITUTE(E1757,",",""))+1</f>
        <v>1</v>
      </c>
      <c r="K1757" s="3" t="str">
        <f aca="false">IFERROR(INDEX('Teacher Lookup'!$B$2:$B$200,MATCH(A1757,'Teacher Lookup'!$A$2:$A$200,0)),"")</f>
        <v>LAM Candy</v>
      </c>
    </row>
    <row r="1758" customFormat="false" ht="15" hidden="false" customHeight="false" outlineLevel="0" collapsed="false">
      <c r="A1758" s="3" t="s">
        <v>308</v>
      </c>
      <c r="B1758" s="4" t="s">
        <v>50</v>
      </c>
      <c r="C1758" s="4" t="n">
        <v>3</v>
      </c>
      <c r="D1758" s="4" t="s">
        <v>102</v>
      </c>
      <c r="E1758" s="3" t="s">
        <v>317</v>
      </c>
      <c r="F1758" s="4" t="str">
        <f aca="false">IF(I1758&gt;J1758,"Y","N")</f>
        <v>Y</v>
      </c>
      <c r="G1758" s="3" t="s">
        <v>310</v>
      </c>
      <c r="H1758" s="3" t="s">
        <v>26</v>
      </c>
      <c r="I1758" s="4" t="n">
        <v>7</v>
      </c>
      <c r="J1758" s="4" t="n">
        <f aca="false">LEN(E1758)-LEN(SUBSTITUTE(E1758,",",""))+1</f>
        <v>6</v>
      </c>
      <c r="K1758" s="3" t="str">
        <f aca="false">IFERROR(INDEX('Teacher Lookup'!$B$2:$B$200,MATCH(A1758,'Teacher Lookup'!$A$2:$A$200,0)),"")</f>
        <v>LAM Candy</v>
      </c>
    </row>
    <row r="1759" customFormat="false" ht="15" hidden="false" customHeight="false" outlineLevel="0" collapsed="false">
      <c r="A1759" s="3" t="s">
        <v>308</v>
      </c>
      <c r="B1759" s="4" t="s">
        <v>50</v>
      </c>
      <c r="C1759" s="4" t="n">
        <v>3</v>
      </c>
      <c r="D1759" s="4" t="s">
        <v>105</v>
      </c>
      <c r="E1759" s="3" t="s">
        <v>317</v>
      </c>
      <c r="F1759" s="4" t="str">
        <f aca="false">IF(I1759&gt;J1759,"Y","N")</f>
        <v>Y</v>
      </c>
      <c r="G1759" s="3" t="s">
        <v>310</v>
      </c>
      <c r="H1759" s="3" t="s">
        <v>26</v>
      </c>
      <c r="I1759" s="4" t="n">
        <v>7</v>
      </c>
      <c r="J1759" s="4" t="n">
        <f aca="false">LEN(E1759)-LEN(SUBSTITUTE(E1759,",",""))+1</f>
        <v>6</v>
      </c>
      <c r="K1759" s="3" t="str">
        <f aca="false">IFERROR(INDEX('Teacher Lookup'!$B$2:$B$200,MATCH(A1759,'Teacher Lookup'!$A$2:$A$200,0)),"")</f>
        <v>LAM Candy</v>
      </c>
    </row>
    <row r="1760" customFormat="false" ht="15" hidden="false" customHeight="false" outlineLevel="0" collapsed="false">
      <c r="A1760" s="3" t="s">
        <v>308</v>
      </c>
      <c r="B1760" s="4" t="s">
        <v>50</v>
      </c>
      <c r="C1760" s="4" t="n">
        <v>3</v>
      </c>
      <c r="D1760" s="4" t="s">
        <v>106</v>
      </c>
      <c r="E1760" s="3" t="s">
        <v>317</v>
      </c>
      <c r="F1760" s="4" t="str">
        <f aca="false">IF(I1760&gt;J1760,"Y","N")</f>
        <v>Y</v>
      </c>
      <c r="G1760" s="3" t="s">
        <v>310</v>
      </c>
      <c r="H1760" s="3" t="s">
        <v>26</v>
      </c>
      <c r="I1760" s="4" t="n">
        <v>7</v>
      </c>
      <c r="J1760" s="4" t="n">
        <f aca="false">LEN(E1760)-LEN(SUBSTITUTE(E1760,",",""))+1</f>
        <v>6</v>
      </c>
      <c r="K1760" s="3" t="str">
        <f aca="false">IFERROR(INDEX('Teacher Lookup'!$B$2:$B$200,MATCH(A1760,'Teacher Lookup'!$A$2:$A$200,0)),"")</f>
        <v>LAM Candy</v>
      </c>
    </row>
    <row r="1761" customFormat="false" ht="15" hidden="false" customHeight="false" outlineLevel="0" collapsed="false">
      <c r="A1761" s="3" t="s">
        <v>308</v>
      </c>
      <c r="B1761" s="4" t="s">
        <v>50</v>
      </c>
      <c r="C1761" s="4" t="n">
        <v>3</v>
      </c>
      <c r="D1761" s="4" t="s">
        <v>107</v>
      </c>
      <c r="E1761" s="3" t="s">
        <v>317</v>
      </c>
      <c r="F1761" s="4" t="str">
        <f aca="false">IF(I1761&gt;J1761,"Y","N")</f>
        <v>Y</v>
      </c>
      <c r="G1761" s="3" t="s">
        <v>310</v>
      </c>
      <c r="H1761" s="3" t="s">
        <v>26</v>
      </c>
      <c r="I1761" s="4" t="n">
        <v>7</v>
      </c>
      <c r="J1761" s="4" t="n">
        <f aca="false">LEN(E1761)-LEN(SUBSTITUTE(E1761,",",""))+1</f>
        <v>6</v>
      </c>
      <c r="K1761" s="3" t="str">
        <f aca="false">IFERROR(INDEX('Teacher Lookup'!$B$2:$B$200,MATCH(A1761,'Teacher Lookup'!$A$2:$A$200,0)),"")</f>
        <v>LAM Candy</v>
      </c>
    </row>
    <row r="1762" customFormat="false" ht="15" hidden="false" customHeight="false" outlineLevel="0" collapsed="false">
      <c r="A1762" s="3" t="s">
        <v>308</v>
      </c>
      <c r="B1762" s="4" t="s">
        <v>50</v>
      </c>
      <c r="C1762" s="4" t="n">
        <v>4</v>
      </c>
      <c r="D1762" s="4" t="s">
        <v>132</v>
      </c>
      <c r="E1762" s="3" t="s">
        <v>133</v>
      </c>
      <c r="F1762" s="4" t="str">
        <f aca="false">IF(I1762&gt;J1762,"Y","N")</f>
        <v>N</v>
      </c>
      <c r="G1762" s="3" t="s">
        <v>312</v>
      </c>
      <c r="H1762" s="3" t="s">
        <v>34</v>
      </c>
      <c r="I1762" s="4" t="n">
        <v>1</v>
      </c>
      <c r="J1762" s="4" t="n">
        <f aca="false">LEN(E1762)-LEN(SUBSTITUTE(E1762,",",""))+1</f>
        <v>1</v>
      </c>
      <c r="K1762" s="3" t="str">
        <f aca="false">IFERROR(INDEX('Teacher Lookup'!$B$2:$B$200,MATCH(A1762,'Teacher Lookup'!$A$2:$A$200,0)),"")</f>
        <v>LAM Candy</v>
      </c>
    </row>
    <row r="1763" customFormat="false" ht="15" hidden="false" customHeight="false" outlineLevel="0" collapsed="false">
      <c r="A1763" s="3" t="s">
        <v>308</v>
      </c>
      <c r="B1763" s="4" t="s">
        <v>50</v>
      </c>
      <c r="C1763" s="4" t="n">
        <v>5</v>
      </c>
      <c r="D1763" s="4" t="s">
        <v>132</v>
      </c>
      <c r="E1763" s="3" t="s">
        <v>133</v>
      </c>
      <c r="F1763" s="4" t="str">
        <f aca="false">IF(I1763&gt;J1763,"Y","N")</f>
        <v>N</v>
      </c>
      <c r="G1763" s="3" t="s">
        <v>312</v>
      </c>
      <c r="H1763" s="3" t="s">
        <v>37</v>
      </c>
      <c r="I1763" s="4" t="n">
        <v>1</v>
      </c>
      <c r="J1763" s="4" t="n">
        <f aca="false">LEN(E1763)-LEN(SUBSTITUTE(E1763,",",""))+1</f>
        <v>1</v>
      </c>
      <c r="K1763" s="3" t="str">
        <f aca="false">IFERROR(INDEX('Teacher Lookup'!$B$2:$B$200,MATCH(A1763,'Teacher Lookup'!$A$2:$A$200,0)),"")</f>
        <v>LAM Candy</v>
      </c>
    </row>
    <row r="1764" customFormat="false" ht="15" hidden="false" customHeight="false" outlineLevel="0" collapsed="false">
      <c r="A1764" s="3" t="s">
        <v>308</v>
      </c>
      <c r="B1764" s="4" t="s">
        <v>60</v>
      </c>
      <c r="C1764" s="4" t="n">
        <v>1</v>
      </c>
      <c r="D1764" s="4" t="s">
        <v>132</v>
      </c>
      <c r="E1764" s="3" t="s">
        <v>293</v>
      </c>
      <c r="F1764" s="4" t="str">
        <f aca="false">IF(I1764&gt;J1764,"Y","N")</f>
        <v>N</v>
      </c>
      <c r="G1764" s="3" t="s">
        <v>312</v>
      </c>
      <c r="H1764" s="3" t="s">
        <v>16</v>
      </c>
      <c r="I1764" s="4" t="n">
        <v>1</v>
      </c>
      <c r="J1764" s="4" t="n">
        <f aca="false">LEN(E1764)-LEN(SUBSTITUTE(E1764,",",""))+1</f>
        <v>1</v>
      </c>
      <c r="K1764" s="3" t="str">
        <f aca="false">IFERROR(INDEX('Teacher Lookup'!$B$2:$B$200,MATCH(A1764,'Teacher Lookup'!$A$2:$A$200,0)),"")</f>
        <v>LAM Candy</v>
      </c>
    </row>
    <row r="1765" customFormat="false" ht="15" hidden="false" customHeight="false" outlineLevel="0" collapsed="false">
      <c r="A1765" s="3" t="s">
        <v>308</v>
      </c>
      <c r="B1765" s="4" t="s">
        <v>60</v>
      </c>
      <c r="C1765" s="4" t="n">
        <v>2</v>
      </c>
      <c r="D1765" s="4" t="s">
        <v>52</v>
      </c>
      <c r="E1765" s="3" t="s">
        <v>248</v>
      </c>
      <c r="F1765" s="4" t="str">
        <f aca="false">IF(I1765&gt;J1765,"Y","N")</f>
        <v>N</v>
      </c>
      <c r="G1765" s="3" t="s">
        <v>239</v>
      </c>
      <c r="H1765" s="3" t="s">
        <v>21</v>
      </c>
      <c r="I1765" s="4" t="n">
        <v>7</v>
      </c>
      <c r="J1765" s="4" t="n">
        <f aca="false">LEN(E1765)-LEN(SUBSTITUTE(E1765,",",""))+1</f>
        <v>7</v>
      </c>
      <c r="K1765" s="3" t="str">
        <f aca="false">IFERROR(INDEX('Teacher Lookup'!$B$2:$B$200,MATCH(A1765,'Teacher Lookup'!$A$2:$A$200,0)),"")</f>
        <v>LAM Candy</v>
      </c>
    </row>
    <row r="1766" customFormat="false" ht="15" hidden="false" customHeight="false" outlineLevel="0" collapsed="false">
      <c r="A1766" s="3" t="s">
        <v>308</v>
      </c>
      <c r="B1766" s="4" t="s">
        <v>60</v>
      </c>
      <c r="C1766" s="4" t="n">
        <v>2</v>
      </c>
      <c r="D1766" s="4" t="s">
        <v>55</v>
      </c>
      <c r="E1766" s="3" t="s">
        <v>248</v>
      </c>
      <c r="F1766" s="4" t="str">
        <f aca="false">IF(I1766&gt;J1766,"Y","N")</f>
        <v>N</v>
      </c>
      <c r="G1766" s="3" t="s">
        <v>239</v>
      </c>
      <c r="H1766" s="3" t="s">
        <v>21</v>
      </c>
      <c r="I1766" s="4" t="n">
        <v>7</v>
      </c>
      <c r="J1766" s="4" t="n">
        <f aca="false">LEN(E1766)-LEN(SUBSTITUTE(E1766,",",""))+1</f>
        <v>7</v>
      </c>
      <c r="K1766" s="3" t="str">
        <f aca="false">IFERROR(INDEX('Teacher Lookup'!$B$2:$B$200,MATCH(A1766,'Teacher Lookup'!$A$2:$A$200,0)),"")</f>
        <v>LAM Candy</v>
      </c>
    </row>
    <row r="1767" customFormat="false" ht="15" hidden="false" customHeight="false" outlineLevel="0" collapsed="false">
      <c r="A1767" s="3" t="s">
        <v>308</v>
      </c>
      <c r="B1767" s="4" t="s">
        <v>60</v>
      </c>
      <c r="C1767" s="4" t="n">
        <v>2</v>
      </c>
      <c r="D1767" s="4" t="s">
        <v>56</v>
      </c>
      <c r="E1767" s="3" t="s">
        <v>248</v>
      </c>
      <c r="F1767" s="4" t="str">
        <f aca="false">IF(I1767&gt;J1767,"Y","N")</f>
        <v>N</v>
      </c>
      <c r="G1767" s="3" t="s">
        <v>239</v>
      </c>
      <c r="H1767" s="3" t="s">
        <v>21</v>
      </c>
      <c r="I1767" s="4" t="n">
        <v>7</v>
      </c>
      <c r="J1767" s="4" t="n">
        <f aca="false">LEN(E1767)-LEN(SUBSTITUTE(E1767,",",""))+1</f>
        <v>7</v>
      </c>
      <c r="K1767" s="3" t="str">
        <f aca="false">IFERROR(INDEX('Teacher Lookup'!$B$2:$B$200,MATCH(A1767,'Teacher Lookup'!$A$2:$A$200,0)),"")</f>
        <v>LAM Candy</v>
      </c>
    </row>
    <row r="1768" customFormat="false" ht="15" hidden="false" customHeight="false" outlineLevel="0" collapsed="false">
      <c r="A1768" s="3" t="s">
        <v>308</v>
      </c>
      <c r="B1768" s="4" t="s">
        <v>60</v>
      </c>
      <c r="C1768" s="4" t="n">
        <v>2</v>
      </c>
      <c r="D1768" s="4" t="s">
        <v>57</v>
      </c>
      <c r="E1768" s="3" t="s">
        <v>248</v>
      </c>
      <c r="F1768" s="4" t="str">
        <f aca="false">IF(I1768&gt;J1768,"Y","N")</f>
        <v>N</v>
      </c>
      <c r="G1768" s="3" t="s">
        <v>239</v>
      </c>
      <c r="H1768" s="3" t="s">
        <v>21</v>
      </c>
      <c r="I1768" s="4" t="n">
        <v>7</v>
      </c>
      <c r="J1768" s="4" t="n">
        <f aca="false">LEN(E1768)-LEN(SUBSTITUTE(E1768,",",""))+1</f>
        <v>7</v>
      </c>
      <c r="K1768" s="3" t="str">
        <f aca="false">IFERROR(INDEX('Teacher Lookup'!$B$2:$B$200,MATCH(A1768,'Teacher Lookup'!$A$2:$A$200,0)),"")</f>
        <v>LAM Candy</v>
      </c>
    </row>
    <row r="1769" customFormat="false" ht="15" hidden="false" customHeight="false" outlineLevel="0" collapsed="false">
      <c r="A1769" s="3" t="s">
        <v>308</v>
      </c>
      <c r="B1769" s="4" t="s">
        <v>60</v>
      </c>
      <c r="C1769" s="4" t="n">
        <v>2</v>
      </c>
      <c r="D1769" s="4" t="s">
        <v>58</v>
      </c>
      <c r="E1769" s="3" t="s">
        <v>248</v>
      </c>
      <c r="F1769" s="4" t="str">
        <f aca="false">IF(I1769&gt;J1769,"Y","N")</f>
        <v>N</v>
      </c>
      <c r="G1769" s="3" t="s">
        <v>239</v>
      </c>
      <c r="H1769" s="3" t="s">
        <v>21</v>
      </c>
      <c r="I1769" s="4" t="n">
        <v>7</v>
      </c>
      <c r="J1769" s="4" t="n">
        <f aca="false">LEN(E1769)-LEN(SUBSTITUTE(E1769,",",""))+1</f>
        <v>7</v>
      </c>
      <c r="K1769" s="3" t="str">
        <f aca="false">IFERROR(INDEX('Teacher Lookup'!$B$2:$B$200,MATCH(A1769,'Teacher Lookup'!$A$2:$A$200,0)),"")</f>
        <v>LAM Candy</v>
      </c>
    </row>
    <row r="1770" customFormat="false" ht="15" hidden="false" customHeight="false" outlineLevel="0" collapsed="false">
      <c r="A1770" s="3" t="s">
        <v>308</v>
      </c>
      <c r="B1770" s="4" t="s">
        <v>60</v>
      </c>
      <c r="C1770" s="4" t="n">
        <v>2</v>
      </c>
      <c r="D1770" s="4" t="s">
        <v>59</v>
      </c>
      <c r="E1770" s="3" t="s">
        <v>248</v>
      </c>
      <c r="F1770" s="4" t="str">
        <f aca="false">IF(I1770&gt;J1770,"Y","N")</f>
        <v>N</v>
      </c>
      <c r="G1770" s="3" t="s">
        <v>239</v>
      </c>
      <c r="H1770" s="3" t="s">
        <v>21</v>
      </c>
      <c r="I1770" s="4" t="n">
        <v>7</v>
      </c>
      <c r="J1770" s="4" t="n">
        <f aca="false">LEN(E1770)-LEN(SUBSTITUTE(E1770,",",""))+1</f>
        <v>7</v>
      </c>
      <c r="K1770" s="3" t="str">
        <f aca="false">IFERROR(INDEX('Teacher Lookup'!$B$2:$B$200,MATCH(A1770,'Teacher Lookup'!$A$2:$A$200,0)),"")</f>
        <v>LAM Candy</v>
      </c>
    </row>
    <row r="1771" customFormat="false" ht="15" hidden="false" customHeight="false" outlineLevel="0" collapsed="false">
      <c r="A1771" s="3" t="s">
        <v>308</v>
      </c>
      <c r="B1771" s="4" t="s">
        <v>60</v>
      </c>
      <c r="C1771" s="4" t="n">
        <v>4</v>
      </c>
      <c r="D1771" s="4" t="s">
        <v>102</v>
      </c>
      <c r="E1771" s="3" t="s">
        <v>318</v>
      </c>
      <c r="F1771" s="4" t="str">
        <f aca="false">IF(I1771&gt;J1771,"Y","N")</f>
        <v>Y</v>
      </c>
      <c r="G1771" s="3" t="s">
        <v>310</v>
      </c>
      <c r="H1771" s="3" t="s">
        <v>34</v>
      </c>
      <c r="I1771" s="4" t="n">
        <v>7</v>
      </c>
      <c r="J1771" s="4" t="n">
        <f aca="false">LEN(E1771)-LEN(SUBSTITUTE(E1771,",",""))+1</f>
        <v>6</v>
      </c>
      <c r="K1771" s="3" t="str">
        <f aca="false">IFERROR(INDEX('Teacher Lookup'!$B$2:$B$200,MATCH(A1771,'Teacher Lookup'!$A$2:$A$200,0)),"")</f>
        <v>LAM Candy</v>
      </c>
    </row>
    <row r="1772" customFormat="false" ht="15" hidden="false" customHeight="false" outlineLevel="0" collapsed="false">
      <c r="A1772" s="3" t="s">
        <v>308</v>
      </c>
      <c r="B1772" s="4" t="s">
        <v>60</v>
      </c>
      <c r="C1772" s="4" t="n">
        <v>4</v>
      </c>
      <c r="D1772" s="4" t="s">
        <v>105</v>
      </c>
      <c r="E1772" s="3" t="s">
        <v>318</v>
      </c>
      <c r="F1772" s="4" t="str">
        <f aca="false">IF(I1772&gt;J1772,"Y","N")</f>
        <v>Y</v>
      </c>
      <c r="G1772" s="3" t="s">
        <v>310</v>
      </c>
      <c r="H1772" s="3" t="s">
        <v>34</v>
      </c>
      <c r="I1772" s="4" t="n">
        <v>7</v>
      </c>
      <c r="J1772" s="4" t="n">
        <f aca="false">LEN(E1772)-LEN(SUBSTITUTE(E1772,",",""))+1</f>
        <v>6</v>
      </c>
      <c r="K1772" s="3" t="str">
        <f aca="false">IFERROR(INDEX('Teacher Lookup'!$B$2:$B$200,MATCH(A1772,'Teacher Lookup'!$A$2:$A$200,0)),"")</f>
        <v>LAM Candy</v>
      </c>
    </row>
    <row r="1773" customFormat="false" ht="15" hidden="false" customHeight="false" outlineLevel="0" collapsed="false">
      <c r="A1773" s="3" t="s">
        <v>308</v>
      </c>
      <c r="B1773" s="4" t="s">
        <v>60</v>
      </c>
      <c r="C1773" s="4" t="n">
        <v>4</v>
      </c>
      <c r="D1773" s="4" t="s">
        <v>106</v>
      </c>
      <c r="E1773" s="3" t="s">
        <v>318</v>
      </c>
      <c r="F1773" s="4" t="str">
        <f aca="false">IF(I1773&gt;J1773,"Y","N")</f>
        <v>Y</v>
      </c>
      <c r="G1773" s="3" t="s">
        <v>310</v>
      </c>
      <c r="H1773" s="3" t="s">
        <v>34</v>
      </c>
      <c r="I1773" s="4" t="n">
        <v>7</v>
      </c>
      <c r="J1773" s="4" t="n">
        <f aca="false">LEN(E1773)-LEN(SUBSTITUTE(E1773,",",""))+1</f>
        <v>6</v>
      </c>
      <c r="K1773" s="3" t="str">
        <f aca="false">IFERROR(INDEX('Teacher Lookup'!$B$2:$B$200,MATCH(A1773,'Teacher Lookup'!$A$2:$A$200,0)),"")</f>
        <v>LAM Candy</v>
      </c>
    </row>
    <row r="1774" customFormat="false" ht="15" hidden="false" customHeight="false" outlineLevel="0" collapsed="false">
      <c r="A1774" s="3" t="s">
        <v>308</v>
      </c>
      <c r="B1774" s="4" t="s">
        <v>60</v>
      </c>
      <c r="C1774" s="4" t="n">
        <v>4</v>
      </c>
      <c r="D1774" s="4" t="s">
        <v>107</v>
      </c>
      <c r="E1774" s="3" t="s">
        <v>318</v>
      </c>
      <c r="F1774" s="4" t="str">
        <f aca="false">IF(I1774&gt;J1774,"Y","N")</f>
        <v>Y</v>
      </c>
      <c r="G1774" s="3" t="s">
        <v>310</v>
      </c>
      <c r="H1774" s="3" t="s">
        <v>34</v>
      </c>
      <c r="I1774" s="4" t="n">
        <v>7</v>
      </c>
      <c r="J1774" s="4" t="n">
        <f aca="false">LEN(E1774)-LEN(SUBSTITUTE(E1774,",",""))+1</f>
        <v>6</v>
      </c>
      <c r="K1774" s="3" t="str">
        <f aca="false">IFERROR(INDEX('Teacher Lookup'!$B$2:$B$200,MATCH(A1774,'Teacher Lookup'!$A$2:$A$200,0)),"")</f>
        <v>LAM Candy</v>
      </c>
    </row>
    <row r="1775" customFormat="false" ht="15" hidden="false" customHeight="false" outlineLevel="0" collapsed="false">
      <c r="A1775" s="3" t="s">
        <v>308</v>
      </c>
      <c r="B1775" s="4" t="s">
        <v>60</v>
      </c>
      <c r="C1775" s="4" t="n">
        <v>5</v>
      </c>
      <c r="D1775" s="4" t="s">
        <v>52</v>
      </c>
      <c r="E1775" s="3" t="s">
        <v>112</v>
      </c>
      <c r="F1775" s="4" t="str">
        <f aca="false">IF(I1775&gt;J1775,"Y","N")</f>
        <v>Y</v>
      </c>
      <c r="G1775" s="3" t="s">
        <v>36</v>
      </c>
      <c r="H1775" s="3" t="s">
        <v>37</v>
      </c>
      <c r="I1775" s="4" t="n">
        <v>16</v>
      </c>
      <c r="J1775" s="4" t="n">
        <f aca="false">LEN(E1775)-LEN(SUBSTITUTE(E1775,",",""))+1</f>
        <v>7</v>
      </c>
      <c r="K1775" s="3" t="str">
        <f aca="false">IFERROR(INDEX('Teacher Lookup'!$B$2:$B$200,MATCH(A1775,'Teacher Lookup'!$A$2:$A$200,0)),"")</f>
        <v>LAM Candy</v>
      </c>
    </row>
    <row r="1776" customFormat="false" ht="15" hidden="false" customHeight="false" outlineLevel="0" collapsed="false">
      <c r="A1776" s="3" t="s">
        <v>308</v>
      </c>
      <c r="B1776" s="4" t="s">
        <v>60</v>
      </c>
      <c r="C1776" s="4" t="n">
        <v>5</v>
      </c>
      <c r="D1776" s="4" t="s">
        <v>55</v>
      </c>
      <c r="E1776" s="3" t="s">
        <v>112</v>
      </c>
      <c r="F1776" s="4" t="str">
        <f aca="false">IF(I1776&gt;J1776,"Y","N")</f>
        <v>Y</v>
      </c>
      <c r="G1776" s="3" t="s">
        <v>36</v>
      </c>
      <c r="H1776" s="3" t="s">
        <v>37</v>
      </c>
      <c r="I1776" s="4" t="n">
        <v>16</v>
      </c>
      <c r="J1776" s="4" t="n">
        <f aca="false">LEN(E1776)-LEN(SUBSTITUTE(E1776,",",""))+1</f>
        <v>7</v>
      </c>
      <c r="K1776" s="3" t="str">
        <f aca="false">IFERROR(INDEX('Teacher Lookup'!$B$2:$B$200,MATCH(A1776,'Teacher Lookup'!$A$2:$A$200,0)),"")</f>
        <v>LAM Candy</v>
      </c>
    </row>
    <row r="1777" customFormat="false" ht="15" hidden="false" customHeight="false" outlineLevel="0" collapsed="false">
      <c r="A1777" s="3" t="s">
        <v>308</v>
      </c>
      <c r="B1777" s="4" t="s">
        <v>60</v>
      </c>
      <c r="C1777" s="4" t="n">
        <v>5</v>
      </c>
      <c r="D1777" s="4" t="s">
        <v>56</v>
      </c>
      <c r="E1777" s="3" t="s">
        <v>112</v>
      </c>
      <c r="F1777" s="4" t="str">
        <f aca="false">IF(I1777&gt;J1777,"Y","N")</f>
        <v>Y</v>
      </c>
      <c r="G1777" s="3" t="s">
        <v>36</v>
      </c>
      <c r="H1777" s="3" t="s">
        <v>37</v>
      </c>
      <c r="I1777" s="4" t="n">
        <v>16</v>
      </c>
      <c r="J1777" s="4" t="n">
        <f aca="false">LEN(E1777)-LEN(SUBSTITUTE(E1777,",",""))+1</f>
        <v>7</v>
      </c>
      <c r="K1777" s="3" t="str">
        <f aca="false">IFERROR(INDEX('Teacher Lookup'!$B$2:$B$200,MATCH(A1777,'Teacher Lookup'!$A$2:$A$200,0)),"")</f>
        <v>LAM Candy</v>
      </c>
    </row>
    <row r="1778" customFormat="false" ht="15" hidden="false" customHeight="false" outlineLevel="0" collapsed="false">
      <c r="A1778" s="3" t="s">
        <v>308</v>
      </c>
      <c r="B1778" s="4" t="s">
        <v>60</v>
      </c>
      <c r="C1778" s="4" t="n">
        <v>5</v>
      </c>
      <c r="D1778" s="4" t="s">
        <v>57</v>
      </c>
      <c r="E1778" s="3" t="s">
        <v>112</v>
      </c>
      <c r="F1778" s="4" t="str">
        <f aca="false">IF(I1778&gt;J1778,"Y","N")</f>
        <v>Y</v>
      </c>
      <c r="G1778" s="3" t="s">
        <v>36</v>
      </c>
      <c r="H1778" s="3" t="s">
        <v>37</v>
      </c>
      <c r="I1778" s="4" t="n">
        <v>16</v>
      </c>
      <c r="J1778" s="4" t="n">
        <f aca="false">LEN(E1778)-LEN(SUBSTITUTE(E1778,",",""))+1</f>
        <v>7</v>
      </c>
      <c r="K1778" s="3" t="str">
        <f aca="false">IFERROR(INDEX('Teacher Lookup'!$B$2:$B$200,MATCH(A1778,'Teacher Lookup'!$A$2:$A$200,0)),"")</f>
        <v>LAM Candy</v>
      </c>
    </row>
    <row r="1779" customFormat="false" ht="15" hidden="false" customHeight="false" outlineLevel="0" collapsed="false">
      <c r="A1779" s="3" t="s">
        <v>308</v>
      </c>
      <c r="B1779" s="4" t="s">
        <v>60</v>
      </c>
      <c r="C1779" s="4" t="n">
        <v>5</v>
      </c>
      <c r="D1779" s="4" t="s">
        <v>58</v>
      </c>
      <c r="E1779" s="3" t="s">
        <v>112</v>
      </c>
      <c r="F1779" s="4" t="str">
        <f aca="false">IF(I1779&gt;J1779,"Y","N")</f>
        <v>Y</v>
      </c>
      <c r="G1779" s="3" t="s">
        <v>36</v>
      </c>
      <c r="H1779" s="3" t="s">
        <v>37</v>
      </c>
      <c r="I1779" s="4" t="n">
        <v>16</v>
      </c>
      <c r="J1779" s="4" t="n">
        <f aca="false">LEN(E1779)-LEN(SUBSTITUTE(E1779,",",""))+1</f>
        <v>7</v>
      </c>
      <c r="K1779" s="3" t="str">
        <f aca="false">IFERROR(INDEX('Teacher Lookup'!$B$2:$B$200,MATCH(A1779,'Teacher Lookup'!$A$2:$A$200,0)),"")</f>
        <v>LAM Candy</v>
      </c>
    </row>
    <row r="1780" customFormat="false" ht="15" hidden="false" customHeight="false" outlineLevel="0" collapsed="false">
      <c r="A1780" s="3" t="s">
        <v>308</v>
      </c>
      <c r="B1780" s="4" t="s">
        <v>60</v>
      </c>
      <c r="C1780" s="4" t="n">
        <v>5</v>
      </c>
      <c r="D1780" s="4" t="s">
        <v>59</v>
      </c>
      <c r="E1780" s="3" t="s">
        <v>112</v>
      </c>
      <c r="F1780" s="4" t="str">
        <f aca="false">IF(I1780&gt;J1780,"Y","N")</f>
        <v>Y</v>
      </c>
      <c r="G1780" s="3" t="s">
        <v>36</v>
      </c>
      <c r="H1780" s="3" t="s">
        <v>37</v>
      </c>
      <c r="I1780" s="4" t="n">
        <v>16</v>
      </c>
      <c r="J1780" s="4" t="n">
        <f aca="false">LEN(E1780)-LEN(SUBSTITUTE(E1780,",",""))+1</f>
        <v>7</v>
      </c>
      <c r="K1780" s="3" t="str">
        <f aca="false">IFERROR(INDEX('Teacher Lookup'!$B$2:$B$200,MATCH(A1780,'Teacher Lookup'!$A$2:$A$200,0)),"")</f>
        <v>LAM Candy</v>
      </c>
    </row>
    <row r="1781" customFormat="false" ht="15" hidden="false" customHeight="false" outlineLevel="0" collapsed="false">
      <c r="A1781" s="3" t="s">
        <v>308</v>
      </c>
      <c r="B1781" s="4" t="s">
        <v>63</v>
      </c>
      <c r="C1781" s="4" t="n">
        <v>3</v>
      </c>
      <c r="D1781" s="4" t="s">
        <v>132</v>
      </c>
      <c r="E1781" s="3" t="s">
        <v>133</v>
      </c>
      <c r="F1781" s="4" t="str">
        <f aca="false">IF(I1781&gt;J1781,"Y","N")</f>
        <v>N</v>
      </c>
      <c r="G1781" s="3" t="s">
        <v>312</v>
      </c>
      <c r="H1781" s="3" t="s">
        <v>26</v>
      </c>
      <c r="I1781" s="4" t="n">
        <v>1</v>
      </c>
      <c r="J1781" s="4" t="n">
        <f aca="false">LEN(E1781)-LEN(SUBSTITUTE(E1781,",",""))+1</f>
        <v>1</v>
      </c>
      <c r="K1781" s="3" t="str">
        <f aca="false">IFERROR(INDEX('Teacher Lookup'!$B$2:$B$200,MATCH(A1781,'Teacher Lookup'!$A$2:$A$200,0)),"")</f>
        <v>LAM Candy</v>
      </c>
    </row>
    <row r="1782" customFormat="false" ht="15" hidden="false" customHeight="false" outlineLevel="0" collapsed="false">
      <c r="A1782" s="3" t="s">
        <v>308</v>
      </c>
      <c r="B1782" s="4" t="s">
        <v>63</v>
      </c>
      <c r="C1782" s="4" t="n">
        <v>6</v>
      </c>
      <c r="D1782" s="4" t="s">
        <v>52</v>
      </c>
      <c r="E1782" s="3" t="s">
        <v>249</v>
      </c>
      <c r="F1782" s="4" t="str">
        <f aca="false">IF(I1782&gt;J1782,"Y","N")</f>
        <v>N</v>
      </c>
      <c r="G1782" s="3" t="s">
        <v>239</v>
      </c>
      <c r="H1782" s="3" t="s">
        <v>42</v>
      </c>
      <c r="I1782" s="4" t="n">
        <v>7</v>
      </c>
      <c r="J1782" s="4" t="n">
        <f aca="false">LEN(E1782)-LEN(SUBSTITUTE(E1782,",",""))+1</f>
        <v>7</v>
      </c>
      <c r="K1782" s="3" t="str">
        <f aca="false">IFERROR(INDEX('Teacher Lookup'!$B$2:$B$200,MATCH(A1782,'Teacher Lookup'!$A$2:$A$200,0)),"")</f>
        <v>LAM Candy</v>
      </c>
    </row>
    <row r="1783" customFormat="false" ht="15" hidden="false" customHeight="false" outlineLevel="0" collapsed="false">
      <c r="A1783" s="3" t="s">
        <v>308</v>
      </c>
      <c r="B1783" s="4" t="s">
        <v>63</v>
      </c>
      <c r="C1783" s="4" t="n">
        <v>6</v>
      </c>
      <c r="D1783" s="4" t="s">
        <v>55</v>
      </c>
      <c r="E1783" s="3" t="s">
        <v>249</v>
      </c>
      <c r="F1783" s="4" t="str">
        <f aca="false">IF(I1783&gt;J1783,"Y","N")</f>
        <v>N</v>
      </c>
      <c r="G1783" s="3" t="s">
        <v>239</v>
      </c>
      <c r="H1783" s="3" t="s">
        <v>42</v>
      </c>
      <c r="I1783" s="4" t="n">
        <v>7</v>
      </c>
      <c r="J1783" s="4" t="n">
        <f aca="false">LEN(E1783)-LEN(SUBSTITUTE(E1783,",",""))+1</f>
        <v>7</v>
      </c>
      <c r="K1783" s="3" t="str">
        <f aca="false">IFERROR(INDEX('Teacher Lookup'!$B$2:$B$200,MATCH(A1783,'Teacher Lookup'!$A$2:$A$200,0)),"")</f>
        <v>LAM Candy</v>
      </c>
    </row>
    <row r="1784" customFormat="false" ht="15" hidden="false" customHeight="false" outlineLevel="0" collapsed="false">
      <c r="A1784" s="3" t="s">
        <v>308</v>
      </c>
      <c r="B1784" s="4" t="s">
        <v>63</v>
      </c>
      <c r="C1784" s="4" t="n">
        <v>6</v>
      </c>
      <c r="D1784" s="4" t="s">
        <v>56</v>
      </c>
      <c r="E1784" s="3" t="s">
        <v>249</v>
      </c>
      <c r="F1784" s="4" t="str">
        <f aca="false">IF(I1784&gt;J1784,"Y","N")</f>
        <v>N</v>
      </c>
      <c r="G1784" s="3" t="s">
        <v>239</v>
      </c>
      <c r="H1784" s="3" t="s">
        <v>42</v>
      </c>
      <c r="I1784" s="4" t="n">
        <v>7</v>
      </c>
      <c r="J1784" s="4" t="n">
        <f aca="false">LEN(E1784)-LEN(SUBSTITUTE(E1784,",",""))+1</f>
        <v>7</v>
      </c>
      <c r="K1784" s="3" t="str">
        <f aca="false">IFERROR(INDEX('Teacher Lookup'!$B$2:$B$200,MATCH(A1784,'Teacher Lookup'!$A$2:$A$200,0)),"")</f>
        <v>LAM Candy</v>
      </c>
    </row>
    <row r="1785" customFormat="false" ht="15" hidden="false" customHeight="false" outlineLevel="0" collapsed="false">
      <c r="A1785" s="3" t="s">
        <v>308</v>
      </c>
      <c r="B1785" s="4" t="s">
        <v>63</v>
      </c>
      <c r="C1785" s="4" t="n">
        <v>6</v>
      </c>
      <c r="D1785" s="4" t="s">
        <v>57</v>
      </c>
      <c r="E1785" s="3" t="s">
        <v>249</v>
      </c>
      <c r="F1785" s="4" t="str">
        <f aca="false">IF(I1785&gt;J1785,"Y","N")</f>
        <v>N</v>
      </c>
      <c r="G1785" s="3" t="s">
        <v>239</v>
      </c>
      <c r="H1785" s="3" t="s">
        <v>42</v>
      </c>
      <c r="I1785" s="4" t="n">
        <v>7</v>
      </c>
      <c r="J1785" s="4" t="n">
        <f aca="false">LEN(E1785)-LEN(SUBSTITUTE(E1785,",",""))+1</f>
        <v>7</v>
      </c>
      <c r="K1785" s="3" t="str">
        <f aca="false">IFERROR(INDEX('Teacher Lookup'!$B$2:$B$200,MATCH(A1785,'Teacher Lookup'!$A$2:$A$200,0)),"")</f>
        <v>LAM Candy</v>
      </c>
    </row>
    <row r="1786" customFormat="false" ht="15" hidden="false" customHeight="false" outlineLevel="0" collapsed="false">
      <c r="A1786" s="3" t="s">
        <v>308</v>
      </c>
      <c r="B1786" s="4" t="s">
        <v>63</v>
      </c>
      <c r="C1786" s="4" t="n">
        <v>6</v>
      </c>
      <c r="D1786" s="4" t="s">
        <v>58</v>
      </c>
      <c r="E1786" s="3" t="s">
        <v>249</v>
      </c>
      <c r="F1786" s="4" t="str">
        <f aca="false">IF(I1786&gt;J1786,"Y","N")</f>
        <v>N</v>
      </c>
      <c r="G1786" s="3" t="s">
        <v>239</v>
      </c>
      <c r="H1786" s="3" t="s">
        <v>42</v>
      </c>
      <c r="I1786" s="4" t="n">
        <v>7</v>
      </c>
      <c r="J1786" s="4" t="n">
        <f aca="false">LEN(E1786)-LEN(SUBSTITUTE(E1786,",",""))+1</f>
        <v>7</v>
      </c>
      <c r="K1786" s="3" t="str">
        <f aca="false">IFERROR(INDEX('Teacher Lookup'!$B$2:$B$200,MATCH(A1786,'Teacher Lookup'!$A$2:$A$200,0)),"")</f>
        <v>LAM Candy</v>
      </c>
    </row>
    <row r="1787" customFormat="false" ht="15" hidden="false" customHeight="false" outlineLevel="0" collapsed="false">
      <c r="A1787" s="3" t="s">
        <v>308</v>
      </c>
      <c r="B1787" s="4" t="s">
        <v>63</v>
      </c>
      <c r="C1787" s="4" t="n">
        <v>6</v>
      </c>
      <c r="D1787" s="4" t="s">
        <v>59</v>
      </c>
      <c r="E1787" s="3" t="s">
        <v>249</v>
      </c>
      <c r="F1787" s="4" t="str">
        <f aca="false">IF(I1787&gt;J1787,"Y","N")</f>
        <v>N</v>
      </c>
      <c r="G1787" s="3" t="s">
        <v>239</v>
      </c>
      <c r="H1787" s="3" t="s">
        <v>42</v>
      </c>
      <c r="I1787" s="4" t="n">
        <v>7</v>
      </c>
      <c r="J1787" s="4" t="n">
        <f aca="false">LEN(E1787)-LEN(SUBSTITUTE(E1787,",",""))+1</f>
        <v>7</v>
      </c>
      <c r="K1787" s="3" t="str">
        <f aca="false">IFERROR(INDEX('Teacher Lookup'!$B$2:$B$200,MATCH(A1787,'Teacher Lookup'!$A$2:$A$200,0)),"")</f>
        <v>LAM Candy</v>
      </c>
    </row>
    <row r="1788" customFormat="false" ht="15" hidden="false" customHeight="false" outlineLevel="0" collapsed="false">
      <c r="A1788" s="3" t="s">
        <v>308</v>
      </c>
      <c r="B1788" s="4" t="s">
        <v>63</v>
      </c>
      <c r="C1788" s="4" t="n">
        <v>7</v>
      </c>
      <c r="D1788" s="4" t="s">
        <v>102</v>
      </c>
      <c r="E1788" s="3" t="s">
        <v>319</v>
      </c>
      <c r="F1788" s="4" t="str">
        <f aca="false">IF(I1788&gt;J1788,"Y","N")</f>
        <v>Y</v>
      </c>
      <c r="G1788" s="3" t="s">
        <v>310</v>
      </c>
      <c r="H1788" s="3" t="s">
        <v>39</v>
      </c>
      <c r="I1788" s="4" t="n">
        <v>7</v>
      </c>
      <c r="J1788" s="4" t="n">
        <f aca="false">LEN(E1788)-LEN(SUBSTITUTE(E1788,",",""))+1</f>
        <v>6</v>
      </c>
      <c r="K1788" s="3" t="str">
        <f aca="false">IFERROR(INDEX('Teacher Lookup'!$B$2:$B$200,MATCH(A1788,'Teacher Lookup'!$A$2:$A$200,0)),"")</f>
        <v>LAM Candy</v>
      </c>
    </row>
    <row r="1789" customFormat="false" ht="15" hidden="false" customHeight="false" outlineLevel="0" collapsed="false">
      <c r="A1789" s="3" t="s">
        <v>308</v>
      </c>
      <c r="B1789" s="4" t="s">
        <v>63</v>
      </c>
      <c r="C1789" s="4" t="n">
        <v>7</v>
      </c>
      <c r="D1789" s="4" t="s">
        <v>105</v>
      </c>
      <c r="E1789" s="3" t="s">
        <v>319</v>
      </c>
      <c r="F1789" s="4" t="str">
        <f aca="false">IF(I1789&gt;J1789,"Y","N")</f>
        <v>Y</v>
      </c>
      <c r="G1789" s="3" t="s">
        <v>310</v>
      </c>
      <c r="H1789" s="3" t="s">
        <v>39</v>
      </c>
      <c r="I1789" s="4" t="n">
        <v>7</v>
      </c>
      <c r="J1789" s="4" t="n">
        <f aca="false">LEN(E1789)-LEN(SUBSTITUTE(E1789,",",""))+1</f>
        <v>6</v>
      </c>
      <c r="K1789" s="3" t="str">
        <f aca="false">IFERROR(INDEX('Teacher Lookup'!$B$2:$B$200,MATCH(A1789,'Teacher Lookup'!$A$2:$A$200,0)),"")</f>
        <v>LAM Candy</v>
      </c>
    </row>
    <row r="1790" customFormat="false" ht="15" hidden="false" customHeight="false" outlineLevel="0" collapsed="false">
      <c r="A1790" s="3" t="s">
        <v>308</v>
      </c>
      <c r="B1790" s="4" t="s">
        <v>63</v>
      </c>
      <c r="C1790" s="4" t="n">
        <v>7</v>
      </c>
      <c r="D1790" s="4" t="s">
        <v>106</v>
      </c>
      <c r="E1790" s="3" t="s">
        <v>319</v>
      </c>
      <c r="F1790" s="4" t="str">
        <f aca="false">IF(I1790&gt;J1790,"Y","N")</f>
        <v>Y</v>
      </c>
      <c r="G1790" s="3" t="s">
        <v>310</v>
      </c>
      <c r="H1790" s="3" t="s">
        <v>39</v>
      </c>
      <c r="I1790" s="4" t="n">
        <v>7</v>
      </c>
      <c r="J1790" s="4" t="n">
        <f aca="false">LEN(E1790)-LEN(SUBSTITUTE(E1790,",",""))+1</f>
        <v>6</v>
      </c>
      <c r="K1790" s="3" t="str">
        <f aca="false">IFERROR(INDEX('Teacher Lookup'!$B$2:$B$200,MATCH(A1790,'Teacher Lookup'!$A$2:$A$200,0)),"")</f>
        <v>LAM Candy</v>
      </c>
    </row>
    <row r="1791" customFormat="false" ht="15" hidden="false" customHeight="false" outlineLevel="0" collapsed="false">
      <c r="A1791" s="3" t="s">
        <v>308</v>
      </c>
      <c r="B1791" s="4" t="s">
        <v>63</v>
      </c>
      <c r="C1791" s="4" t="n">
        <v>7</v>
      </c>
      <c r="D1791" s="4" t="s">
        <v>107</v>
      </c>
      <c r="E1791" s="3" t="s">
        <v>319</v>
      </c>
      <c r="F1791" s="4" t="str">
        <f aca="false">IF(I1791&gt;J1791,"Y","N")</f>
        <v>Y</v>
      </c>
      <c r="G1791" s="3" t="s">
        <v>310</v>
      </c>
      <c r="H1791" s="3" t="s">
        <v>39</v>
      </c>
      <c r="I1791" s="4" t="n">
        <v>7</v>
      </c>
      <c r="J1791" s="4" t="n">
        <f aca="false">LEN(E1791)-LEN(SUBSTITUTE(E1791,",",""))+1</f>
        <v>6</v>
      </c>
      <c r="K1791" s="3" t="str">
        <f aca="false">IFERROR(INDEX('Teacher Lookup'!$B$2:$B$200,MATCH(A1791,'Teacher Lookup'!$A$2:$A$200,0)),"")</f>
        <v>LAM Candy</v>
      </c>
    </row>
    <row r="1792" customFormat="false" ht="15" hidden="false" customHeight="false" outlineLevel="0" collapsed="false">
      <c r="A1792" s="3" t="s">
        <v>308</v>
      </c>
      <c r="B1792" s="4" t="s">
        <v>65</v>
      </c>
      <c r="C1792" s="4" t="n">
        <v>1</v>
      </c>
      <c r="D1792" s="4" t="s">
        <v>74</v>
      </c>
      <c r="E1792" s="3" t="s">
        <v>311</v>
      </c>
      <c r="F1792" s="4" t="str">
        <f aca="false">IF(I1792&gt;J1792,"Y","N")</f>
        <v>N</v>
      </c>
      <c r="G1792" s="3" t="s">
        <v>312</v>
      </c>
      <c r="H1792" s="3" t="s">
        <v>16</v>
      </c>
      <c r="I1792" s="4" t="n">
        <v>1</v>
      </c>
      <c r="J1792" s="4" t="n">
        <f aca="false">LEN(E1792)-LEN(SUBSTITUTE(E1792,",",""))+1</f>
        <v>1</v>
      </c>
      <c r="K1792" s="3" t="str">
        <f aca="false">IFERROR(INDEX('Teacher Lookup'!$B$2:$B$200,MATCH(A1792,'Teacher Lookup'!$A$2:$A$200,0)),"")</f>
        <v>LAM Candy</v>
      </c>
    </row>
    <row r="1793" customFormat="false" ht="15" hidden="false" customHeight="false" outlineLevel="0" collapsed="false">
      <c r="A1793" s="3" t="s">
        <v>308</v>
      </c>
      <c r="B1793" s="4" t="s">
        <v>65</v>
      </c>
      <c r="C1793" s="4" t="n">
        <v>5</v>
      </c>
      <c r="D1793" s="4" t="s">
        <v>52</v>
      </c>
      <c r="E1793" s="3" t="s">
        <v>112</v>
      </c>
      <c r="F1793" s="4" t="str">
        <f aca="false">IF(I1793&gt;J1793,"Y","N")</f>
        <v>Y</v>
      </c>
      <c r="G1793" s="3" t="s">
        <v>36</v>
      </c>
      <c r="H1793" s="3" t="s">
        <v>37</v>
      </c>
      <c r="I1793" s="4" t="n">
        <v>16</v>
      </c>
      <c r="J1793" s="4" t="n">
        <f aca="false">LEN(E1793)-LEN(SUBSTITUTE(E1793,",",""))+1</f>
        <v>7</v>
      </c>
      <c r="K1793" s="3" t="str">
        <f aca="false">IFERROR(INDEX('Teacher Lookup'!$B$2:$B$200,MATCH(A1793,'Teacher Lookup'!$A$2:$A$200,0)),"")</f>
        <v>LAM Candy</v>
      </c>
    </row>
    <row r="1794" customFormat="false" ht="15" hidden="false" customHeight="false" outlineLevel="0" collapsed="false">
      <c r="A1794" s="3" t="s">
        <v>308</v>
      </c>
      <c r="B1794" s="4" t="s">
        <v>65</v>
      </c>
      <c r="C1794" s="4" t="n">
        <v>5</v>
      </c>
      <c r="D1794" s="4" t="s">
        <v>55</v>
      </c>
      <c r="E1794" s="3" t="s">
        <v>112</v>
      </c>
      <c r="F1794" s="4" t="str">
        <f aca="false">IF(I1794&gt;J1794,"Y","N")</f>
        <v>Y</v>
      </c>
      <c r="G1794" s="3" t="s">
        <v>36</v>
      </c>
      <c r="H1794" s="3" t="s">
        <v>37</v>
      </c>
      <c r="I1794" s="4" t="n">
        <v>16</v>
      </c>
      <c r="J1794" s="4" t="n">
        <f aca="false">LEN(E1794)-LEN(SUBSTITUTE(E1794,",",""))+1</f>
        <v>7</v>
      </c>
      <c r="K1794" s="3" t="str">
        <f aca="false">IFERROR(INDEX('Teacher Lookup'!$B$2:$B$200,MATCH(A1794,'Teacher Lookup'!$A$2:$A$200,0)),"")</f>
        <v>LAM Candy</v>
      </c>
    </row>
    <row r="1795" customFormat="false" ht="15" hidden="false" customHeight="false" outlineLevel="0" collapsed="false">
      <c r="A1795" s="3" t="s">
        <v>308</v>
      </c>
      <c r="B1795" s="4" t="s">
        <v>65</v>
      </c>
      <c r="C1795" s="4" t="n">
        <v>5</v>
      </c>
      <c r="D1795" s="4" t="s">
        <v>56</v>
      </c>
      <c r="E1795" s="3" t="s">
        <v>112</v>
      </c>
      <c r="F1795" s="4" t="str">
        <f aca="false">IF(I1795&gt;J1795,"Y","N")</f>
        <v>Y</v>
      </c>
      <c r="G1795" s="3" t="s">
        <v>36</v>
      </c>
      <c r="H1795" s="3" t="s">
        <v>37</v>
      </c>
      <c r="I1795" s="4" t="n">
        <v>16</v>
      </c>
      <c r="J1795" s="4" t="n">
        <f aca="false">LEN(E1795)-LEN(SUBSTITUTE(E1795,",",""))+1</f>
        <v>7</v>
      </c>
      <c r="K1795" s="3" t="str">
        <f aca="false">IFERROR(INDEX('Teacher Lookup'!$B$2:$B$200,MATCH(A1795,'Teacher Lookup'!$A$2:$A$200,0)),"")</f>
        <v>LAM Candy</v>
      </c>
    </row>
    <row r="1796" customFormat="false" ht="15" hidden="false" customHeight="false" outlineLevel="0" collapsed="false">
      <c r="A1796" s="3" t="s">
        <v>308</v>
      </c>
      <c r="B1796" s="4" t="s">
        <v>65</v>
      </c>
      <c r="C1796" s="4" t="n">
        <v>5</v>
      </c>
      <c r="D1796" s="4" t="s">
        <v>57</v>
      </c>
      <c r="E1796" s="3" t="s">
        <v>112</v>
      </c>
      <c r="F1796" s="4" t="str">
        <f aca="false">IF(I1796&gt;J1796,"Y","N")</f>
        <v>Y</v>
      </c>
      <c r="G1796" s="3" t="s">
        <v>36</v>
      </c>
      <c r="H1796" s="3" t="s">
        <v>37</v>
      </c>
      <c r="I1796" s="4" t="n">
        <v>16</v>
      </c>
      <c r="J1796" s="4" t="n">
        <f aca="false">LEN(E1796)-LEN(SUBSTITUTE(E1796,",",""))+1</f>
        <v>7</v>
      </c>
      <c r="K1796" s="3" t="str">
        <f aca="false">IFERROR(INDEX('Teacher Lookup'!$B$2:$B$200,MATCH(A1796,'Teacher Lookup'!$A$2:$A$200,0)),"")</f>
        <v>LAM Candy</v>
      </c>
    </row>
    <row r="1797" customFormat="false" ht="15" hidden="false" customHeight="false" outlineLevel="0" collapsed="false">
      <c r="A1797" s="3" t="s">
        <v>308</v>
      </c>
      <c r="B1797" s="4" t="s">
        <v>65</v>
      </c>
      <c r="C1797" s="4" t="n">
        <v>5</v>
      </c>
      <c r="D1797" s="4" t="s">
        <v>58</v>
      </c>
      <c r="E1797" s="3" t="s">
        <v>112</v>
      </c>
      <c r="F1797" s="4" t="str">
        <f aca="false">IF(I1797&gt;J1797,"Y","N")</f>
        <v>Y</v>
      </c>
      <c r="G1797" s="3" t="s">
        <v>36</v>
      </c>
      <c r="H1797" s="3" t="s">
        <v>37</v>
      </c>
      <c r="I1797" s="4" t="n">
        <v>16</v>
      </c>
      <c r="J1797" s="4" t="n">
        <f aca="false">LEN(E1797)-LEN(SUBSTITUTE(E1797,",",""))+1</f>
        <v>7</v>
      </c>
      <c r="K1797" s="3" t="str">
        <f aca="false">IFERROR(INDEX('Teacher Lookup'!$B$2:$B$200,MATCH(A1797,'Teacher Lookup'!$A$2:$A$200,0)),"")</f>
        <v>LAM Candy</v>
      </c>
    </row>
    <row r="1798" customFormat="false" ht="15" hidden="false" customHeight="false" outlineLevel="0" collapsed="false">
      <c r="A1798" s="3" t="s">
        <v>308</v>
      </c>
      <c r="B1798" s="4" t="s">
        <v>65</v>
      </c>
      <c r="C1798" s="4" t="n">
        <v>5</v>
      </c>
      <c r="D1798" s="4" t="s">
        <v>59</v>
      </c>
      <c r="E1798" s="3" t="s">
        <v>112</v>
      </c>
      <c r="F1798" s="4" t="str">
        <f aca="false">IF(I1798&gt;J1798,"Y","N")</f>
        <v>Y</v>
      </c>
      <c r="G1798" s="3" t="s">
        <v>36</v>
      </c>
      <c r="H1798" s="3" t="s">
        <v>37</v>
      </c>
      <c r="I1798" s="4" t="n">
        <v>16</v>
      </c>
      <c r="J1798" s="4" t="n">
        <f aca="false">LEN(E1798)-LEN(SUBSTITUTE(E1798,",",""))+1</f>
        <v>7</v>
      </c>
      <c r="K1798" s="3" t="str">
        <f aca="false">IFERROR(INDEX('Teacher Lookup'!$B$2:$B$200,MATCH(A1798,'Teacher Lookup'!$A$2:$A$200,0)),"")</f>
        <v>LAM Candy</v>
      </c>
    </row>
    <row r="1799" customFormat="false" ht="15" hidden="false" customHeight="false" outlineLevel="0" collapsed="false">
      <c r="A1799" s="3" t="s">
        <v>308</v>
      </c>
      <c r="B1799" s="4" t="s">
        <v>65</v>
      </c>
      <c r="C1799" s="4" t="n">
        <v>6</v>
      </c>
      <c r="D1799" s="4" t="s">
        <v>132</v>
      </c>
      <c r="E1799" s="3" t="s">
        <v>293</v>
      </c>
      <c r="F1799" s="4" t="str">
        <f aca="false">IF(I1799&gt;J1799,"Y","N")</f>
        <v>N</v>
      </c>
      <c r="G1799" s="3" t="s">
        <v>312</v>
      </c>
      <c r="H1799" s="3" t="s">
        <v>42</v>
      </c>
      <c r="I1799" s="4" t="n">
        <v>1</v>
      </c>
      <c r="J1799" s="4" t="n">
        <f aca="false">LEN(E1799)-LEN(SUBSTITUTE(E1799,",",""))+1</f>
        <v>1</v>
      </c>
      <c r="K1799" s="3" t="str">
        <f aca="false">IFERROR(INDEX('Teacher Lookup'!$B$2:$B$200,MATCH(A1799,'Teacher Lookup'!$A$2:$A$200,0)),"")</f>
        <v>LAM Candy</v>
      </c>
    </row>
    <row r="1800" customFormat="false" ht="15" hidden="false" customHeight="false" outlineLevel="0" collapsed="false">
      <c r="A1800" s="3" t="s">
        <v>308</v>
      </c>
      <c r="B1800" s="4" t="s">
        <v>65</v>
      </c>
      <c r="C1800" s="4" t="n">
        <v>7</v>
      </c>
      <c r="D1800" s="4" t="s">
        <v>52</v>
      </c>
      <c r="E1800" s="3" t="s">
        <v>251</v>
      </c>
      <c r="F1800" s="4" t="str">
        <f aca="false">IF(I1800&gt;J1800,"Y","N")</f>
        <v>N</v>
      </c>
      <c r="G1800" s="3" t="s">
        <v>239</v>
      </c>
      <c r="H1800" s="3" t="s">
        <v>39</v>
      </c>
      <c r="I1800" s="4" t="n">
        <v>7</v>
      </c>
      <c r="J1800" s="4" t="n">
        <f aca="false">LEN(E1800)-LEN(SUBSTITUTE(E1800,",",""))+1</f>
        <v>7</v>
      </c>
      <c r="K1800" s="3" t="str">
        <f aca="false">IFERROR(INDEX('Teacher Lookup'!$B$2:$B$200,MATCH(A1800,'Teacher Lookup'!$A$2:$A$200,0)),"")</f>
        <v>LAM Candy</v>
      </c>
    </row>
    <row r="1801" customFormat="false" ht="15" hidden="false" customHeight="false" outlineLevel="0" collapsed="false">
      <c r="A1801" s="3" t="s">
        <v>308</v>
      </c>
      <c r="B1801" s="4" t="s">
        <v>65</v>
      </c>
      <c r="C1801" s="4" t="n">
        <v>7</v>
      </c>
      <c r="D1801" s="4" t="s">
        <v>55</v>
      </c>
      <c r="E1801" s="3" t="s">
        <v>251</v>
      </c>
      <c r="F1801" s="4" t="str">
        <f aca="false">IF(I1801&gt;J1801,"Y","N")</f>
        <v>N</v>
      </c>
      <c r="G1801" s="3" t="s">
        <v>239</v>
      </c>
      <c r="H1801" s="3" t="s">
        <v>39</v>
      </c>
      <c r="I1801" s="4" t="n">
        <v>7</v>
      </c>
      <c r="J1801" s="4" t="n">
        <f aca="false">LEN(E1801)-LEN(SUBSTITUTE(E1801,",",""))+1</f>
        <v>7</v>
      </c>
      <c r="K1801" s="3" t="str">
        <f aca="false">IFERROR(INDEX('Teacher Lookup'!$B$2:$B$200,MATCH(A1801,'Teacher Lookup'!$A$2:$A$200,0)),"")</f>
        <v>LAM Candy</v>
      </c>
    </row>
    <row r="1802" customFormat="false" ht="15" hidden="false" customHeight="false" outlineLevel="0" collapsed="false">
      <c r="A1802" s="3" t="s">
        <v>308</v>
      </c>
      <c r="B1802" s="4" t="s">
        <v>65</v>
      </c>
      <c r="C1802" s="4" t="n">
        <v>7</v>
      </c>
      <c r="D1802" s="4" t="s">
        <v>56</v>
      </c>
      <c r="E1802" s="3" t="s">
        <v>251</v>
      </c>
      <c r="F1802" s="4" t="str">
        <f aca="false">IF(I1802&gt;J1802,"Y","N")</f>
        <v>N</v>
      </c>
      <c r="G1802" s="3" t="s">
        <v>239</v>
      </c>
      <c r="H1802" s="3" t="s">
        <v>39</v>
      </c>
      <c r="I1802" s="4" t="n">
        <v>7</v>
      </c>
      <c r="J1802" s="4" t="n">
        <f aca="false">LEN(E1802)-LEN(SUBSTITUTE(E1802,",",""))+1</f>
        <v>7</v>
      </c>
      <c r="K1802" s="3" t="str">
        <f aca="false">IFERROR(INDEX('Teacher Lookup'!$B$2:$B$200,MATCH(A1802,'Teacher Lookup'!$A$2:$A$200,0)),"")</f>
        <v>LAM Candy</v>
      </c>
    </row>
    <row r="1803" customFormat="false" ht="15" hidden="false" customHeight="false" outlineLevel="0" collapsed="false">
      <c r="A1803" s="3" t="s">
        <v>308</v>
      </c>
      <c r="B1803" s="4" t="s">
        <v>65</v>
      </c>
      <c r="C1803" s="4" t="n">
        <v>7</v>
      </c>
      <c r="D1803" s="4" t="s">
        <v>57</v>
      </c>
      <c r="E1803" s="3" t="s">
        <v>251</v>
      </c>
      <c r="F1803" s="4" t="str">
        <f aca="false">IF(I1803&gt;J1803,"Y","N")</f>
        <v>N</v>
      </c>
      <c r="G1803" s="3" t="s">
        <v>239</v>
      </c>
      <c r="H1803" s="3" t="s">
        <v>39</v>
      </c>
      <c r="I1803" s="4" t="n">
        <v>7</v>
      </c>
      <c r="J1803" s="4" t="n">
        <f aca="false">LEN(E1803)-LEN(SUBSTITUTE(E1803,",",""))+1</f>
        <v>7</v>
      </c>
      <c r="K1803" s="3" t="str">
        <f aca="false">IFERROR(INDEX('Teacher Lookup'!$B$2:$B$200,MATCH(A1803,'Teacher Lookup'!$A$2:$A$200,0)),"")</f>
        <v>LAM Candy</v>
      </c>
    </row>
    <row r="1804" customFormat="false" ht="15" hidden="false" customHeight="false" outlineLevel="0" collapsed="false">
      <c r="A1804" s="3" t="s">
        <v>308</v>
      </c>
      <c r="B1804" s="4" t="s">
        <v>65</v>
      </c>
      <c r="C1804" s="4" t="n">
        <v>7</v>
      </c>
      <c r="D1804" s="4" t="s">
        <v>58</v>
      </c>
      <c r="E1804" s="3" t="s">
        <v>251</v>
      </c>
      <c r="F1804" s="4" t="str">
        <f aca="false">IF(I1804&gt;J1804,"Y","N")</f>
        <v>N</v>
      </c>
      <c r="G1804" s="3" t="s">
        <v>239</v>
      </c>
      <c r="H1804" s="3" t="s">
        <v>39</v>
      </c>
      <c r="I1804" s="4" t="n">
        <v>7</v>
      </c>
      <c r="J1804" s="4" t="n">
        <f aca="false">LEN(E1804)-LEN(SUBSTITUTE(E1804,",",""))+1</f>
        <v>7</v>
      </c>
      <c r="K1804" s="3" t="str">
        <f aca="false">IFERROR(INDEX('Teacher Lookup'!$B$2:$B$200,MATCH(A1804,'Teacher Lookup'!$A$2:$A$200,0)),"")</f>
        <v>LAM Candy</v>
      </c>
    </row>
    <row r="1805" customFormat="false" ht="15" hidden="false" customHeight="false" outlineLevel="0" collapsed="false">
      <c r="A1805" s="3" t="s">
        <v>308</v>
      </c>
      <c r="B1805" s="4" t="s">
        <v>65</v>
      </c>
      <c r="C1805" s="4" t="n">
        <v>7</v>
      </c>
      <c r="D1805" s="4" t="s">
        <v>59</v>
      </c>
      <c r="E1805" s="3" t="s">
        <v>251</v>
      </c>
      <c r="F1805" s="4" t="str">
        <f aca="false">IF(I1805&gt;J1805,"Y","N")</f>
        <v>N</v>
      </c>
      <c r="G1805" s="3" t="s">
        <v>239</v>
      </c>
      <c r="H1805" s="3" t="s">
        <v>39</v>
      </c>
      <c r="I1805" s="4" t="n">
        <v>7</v>
      </c>
      <c r="J1805" s="4" t="n">
        <f aca="false">LEN(E1805)-LEN(SUBSTITUTE(E1805,",",""))+1</f>
        <v>7</v>
      </c>
      <c r="K1805" s="3" t="str">
        <f aca="false">IFERROR(INDEX('Teacher Lookup'!$B$2:$B$200,MATCH(A1805,'Teacher Lookup'!$A$2:$A$200,0)),"")</f>
        <v>LAM Candy</v>
      </c>
    </row>
    <row r="1806" customFormat="false" ht="15" hidden="false" customHeight="false" outlineLevel="0" collapsed="false">
      <c r="A1806" s="3" t="s">
        <v>308</v>
      </c>
      <c r="B1806" s="4" t="s">
        <v>66</v>
      </c>
      <c r="C1806" s="4" t="n">
        <v>1</v>
      </c>
      <c r="D1806" s="4" t="s">
        <v>52</v>
      </c>
      <c r="E1806" s="3" t="s">
        <v>252</v>
      </c>
      <c r="F1806" s="4" t="str">
        <f aca="false">IF(I1806&gt;J1806,"Y","N")</f>
        <v>N</v>
      </c>
      <c r="G1806" s="3" t="s">
        <v>239</v>
      </c>
      <c r="H1806" s="3" t="s">
        <v>16</v>
      </c>
      <c r="I1806" s="4" t="n">
        <v>7</v>
      </c>
      <c r="J1806" s="4" t="n">
        <f aca="false">LEN(E1806)-LEN(SUBSTITUTE(E1806,",",""))+1</f>
        <v>7</v>
      </c>
      <c r="K1806" s="3" t="str">
        <f aca="false">IFERROR(INDEX('Teacher Lookup'!$B$2:$B$200,MATCH(A1806,'Teacher Lookup'!$A$2:$A$200,0)),"")</f>
        <v>LAM Candy</v>
      </c>
    </row>
    <row r="1807" customFormat="false" ht="15" hidden="false" customHeight="false" outlineLevel="0" collapsed="false">
      <c r="A1807" s="3" t="s">
        <v>308</v>
      </c>
      <c r="B1807" s="4" t="s">
        <v>66</v>
      </c>
      <c r="C1807" s="4" t="n">
        <v>1</v>
      </c>
      <c r="D1807" s="4" t="s">
        <v>55</v>
      </c>
      <c r="E1807" s="3" t="s">
        <v>252</v>
      </c>
      <c r="F1807" s="4" t="str">
        <f aca="false">IF(I1807&gt;J1807,"Y","N")</f>
        <v>N</v>
      </c>
      <c r="G1807" s="3" t="s">
        <v>239</v>
      </c>
      <c r="H1807" s="3" t="s">
        <v>16</v>
      </c>
      <c r="I1807" s="4" t="n">
        <v>7</v>
      </c>
      <c r="J1807" s="4" t="n">
        <f aca="false">LEN(E1807)-LEN(SUBSTITUTE(E1807,",",""))+1</f>
        <v>7</v>
      </c>
      <c r="K1807" s="3" t="str">
        <f aca="false">IFERROR(INDEX('Teacher Lookup'!$B$2:$B$200,MATCH(A1807,'Teacher Lookup'!$A$2:$A$200,0)),"")</f>
        <v>LAM Candy</v>
      </c>
    </row>
    <row r="1808" customFormat="false" ht="15" hidden="false" customHeight="false" outlineLevel="0" collapsed="false">
      <c r="A1808" s="3" t="s">
        <v>308</v>
      </c>
      <c r="B1808" s="4" t="s">
        <v>66</v>
      </c>
      <c r="C1808" s="4" t="n">
        <v>1</v>
      </c>
      <c r="D1808" s="4" t="s">
        <v>56</v>
      </c>
      <c r="E1808" s="3" t="s">
        <v>252</v>
      </c>
      <c r="F1808" s="4" t="str">
        <f aca="false">IF(I1808&gt;J1808,"Y","N")</f>
        <v>N</v>
      </c>
      <c r="G1808" s="3" t="s">
        <v>239</v>
      </c>
      <c r="H1808" s="3" t="s">
        <v>16</v>
      </c>
      <c r="I1808" s="4" t="n">
        <v>7</v>
      </c>
      <c r="J1808" s="4" t="n">
        <f aca="false">LEN(E1808)-LEN(SUBSTITUTE(E1808,",",""))+1</f>
        <v>7</v>
      </c>
      <c r="K1808" s="3" t="str">
        <f aca="false">IFERROR(INDEX('Teacher Lookup'!$B$2:$B$200,MATCH(A1808,'Teacher Lookup'!$A$2:$A$200,0)),"")</f>
        <v>LAM Candy</v>
      </c>
    </row>
    <row r="1809" customFormat="false" ht="15" hidden="false" customHeight="false" outlineLevel="0" collapsed="false">
      <c r="A1809" s="3" t="s">
        <v>308</v>
      </c>
      <c r="B1809" s="4" t="s">
        <v>66</v>
      </c>
      <c r="C1809" s="4" t="n">
        <v>1</v>
      </c>
      <c r="D1809" s="4" t="s">
        <v>57</v>
      </c>
      <c r="E1809" s="3" t="s">
        <v>252</v>
      </c>
      <c r="F1809" s="4" t="str">
        <f aca="false">IF(I1809&gt;J1809,"Y","N")</f>
        <v>N</v>
      </c>
      <c r="G1809" s="3" t="s">
        <v>239</v>
      </c>
      <c r="H1809" s="3" t="s">
        <v>16</v>
      </c>
      <c r="I1809" s="4" t="n">
        <v>7</v>
      </c>
      <c r="J1809" s="4" t="n">
        <f aca="false">LEN(E1809)-LEN(SUBSTITUTE(E1809,",",""))+1</f>
        <v>7</v>
      </c>
      <c r="K1809" s="3" t="str">
        <f aca="false">IFERROR(INDEX('Teacher Lookup'!$B$2:$B$200,MATCH(A1809,'Teacher Lookup'!$A$2:$A$200,0)),"")</f>
        <v>LAM Candy</v>
      </c>
    </row>
    <row r="1810" customFormat="false" ht="15" hidden="false" customHeight="false" outlineLevel="0" collapsed="false">
      <c r="A1810" s="3" t="s">
        <v>308</v>
      </c>
      <c r="B1810" s="4" t="s">
        <v>66</v>
      </c>
      <c r="C1810" s="4" t="n">
        <v>1</v>
      </c>
      <c r="D1810" s="4" t="s">
        <v>58</v>
      </c>
      <c r="E1810" s="3" t="s">
        <v>252</v>
      </c>
      <c r="F1810" s="4" t="str">
        <f aca="false">IF(I1810&gt;J1810,"Y","N")</f>
        <v>N</v>
      </c>
      <c r="G1810" s="3" t="s">
        <v>239</v>
      </c>
      <c r="H1810" s="3" t="s">
        <v>16</v>
      </c>
      <c r="I1810" s="4" t="n">
        <v>7</v>
      </c>
      <c r="J1810" s="4" t="n">
        <f aca="false">LEN(E1810)-LEN(SUBSTITUTE(E1810,",",""))+1</f>
        <v>7</v>
      </c>
      <c r="K1810" s="3" t="str">
        <f aca="false">IFERROR(INDEX('Teacher Lookup'!$B$2:$B$200,MATCH(A1810,'Teacher Lookup'!$A$2:$A$200,0)),"")</f>
        <v>LAM Candy</v>
      </c>
    </row>
    <row r="1811" customFormat="false" ht="15" hidden="false" customHeight="false" outlineLevel="0" collapsed="false">
      <c r="A1811" s="3" t="s">
        <v>308</v>
      </c>
      <c r="B1811" s="4" t="s">
        <v>66</v>
      </c>
      <c r="C1811" s="4" t="n">
        <v>1</v>
      </c>
      <c r="D1811" s="4" t="s">
        <v>59</v>
      </c>
      <c r="E1811" s="3" t="s">
        <v>252</v>
      </c>
      <c r="F1811" s="4" t="str">
        <f aca="false">IF(I1811&gt;J1811,"Y","N")</f>
        <v>N</v>
      </c>
      <c r="G1811" s="3" t="s">
        <v>239</v>
      </c>
      <c r="H1811" s="3" t="s">
        <v>16</v>
      </c>
      <c r="I1811" s="4" t="n">
        <v>7</v>
      </c>
      <c r="J1811" s="4" t="n">
        <f aca="false">LEN(E1811)-LEN(SUBSTITUTE(E1811,",",""))+1</f>
        <v>7</v>
      </c>
      <c r="K1811" s="3" t="str">
        <f aca="false">IFERROR(INDEX('Teacher Lookup'!$B$2:$B$200,MATCH(A1811,'Teacher Lookup'!$A$2:$A$200,0)),"")</f>
        <v>LAM Candy</v>
      </c>
    </row>
    <row r="1812" customFormat="false" ht="15" hidden="false" customHeight="false" outlineLevel="0" collapsed="false">
      <c r="A1812" s="3" t="s">
        <v>308</v>
      </c>
      <c r="B1812" s="4" t="s">
        <v>66</v>
      </c>
      <c r="C1812" s="4" t="n">
        <v>4</v>
      </c>
      <c r="D1812" s="4" t="s">
        <v>132</v>
      </c>
      <c r="E1812" s="3" t="s">
        <v>311</v>
      </c>
      <c r="F1812" s="4" t="str">
        <f aca="false">IF(I1812&gt;J1812,"Y","N")</f>
        <v>N</v>
      </c>
      <c r="G1812" s="3" t="s">
        <v>312</v>
      </c>
      <c r="H1812" s="3" t="s">
        <v>34</v>
      </c>
      <c r="I1812" s="4" t="n">
        <v>1</v>
      </c>
      <c r="J1812" s="4" t="n">
        <f aca="false">LEN(E1812)-LEN(SUBSTITUTE(E1812,",",""))+1</f>
        <v>1</v>
      </c>
      <c r="K1812" s="3" t="str">
        <f aca="false">IFERROR(INDEX('Teacher Lookup'!$B$2:$B$200,MATCH(A1812,'Teacher Lookup'!$A$2:$A$200,0)),"")</f>
        <v>LAM Candy</v>
      </c>
    </row>
    <row r="1813" customFormat="false" ht="15" hidden="false" customHeight="false" outlineLevel="0" collapsed="false">
      <c r="A1813" s="3" t="s">
        <v>308</v>
      </c>
      <c r="B1813" s="4" t="s">
        <v>66</v>
      </c>
      <c r="C1813" s="4" t="n">
        <v>5</v>
      </c>
      <c r="D1813" s="4" t="s">
        <v>102</v>
      </c>
      <c r="E1813" s="3" t="s">
        <v>320</v>
      </c>
      <c r="F1813" s="4" t="str">
        <f aca="false">IF(I1813&gt;J1813,"Y","N")</f>
        <v>Y</v>
      </c>
      <c r="G1813" s="3" t="s">
        <v>310</v>
      </c>
      <c r="H1813" s="3" t="s">
        <v>37</v>
      </c>
      <c r="I1813" s="4" t="n">
        <v>7</v>
      </c>
      <c r="J1813" s="4" t="n">
        <f aca="false">LEN(E1813)-LEN(SUBSTITUTE(E1813,",",""))+1</f>
        <v>6</v>
      </c>
      <c r="K1813" s="3" t="str">
        <f aca="false">IFERROR(INDEX('Teacher Lookup'!$B$2:$B$200,MATCH(A1813,'Teacher Lookup'!$A$2:$A$200,0)),"")</f>
        <v>LAM Candy</v>
      </c>
    </row>
    <row r="1814" customFormat="false" ht="15" hidden="false" customHeight="false" outlineLevel="0" collapsed="false">
      <c r="A1814" s="3" t="s">
        <v>308</v>
      </c>
      <c r="B1814" s="4" t="s">
        <v>66</v>
      </c>
      <c r="C1814" s="4" t="n">
        <v>5</v>
      </c>
      <c r="D1814" s="4" t="s">
        <v>105</v>
      </c>
      <c r="E1814" s="3" t="s">
        <v>320</v>
      </c>
      <c r="F1814" s="4" t="str">
        <f aca="false">IF(I1814&gt;J1814,"Y","N")</f>
        <v>Y</v>
      </c>
      <c r="G1814" s="3" t="s">
        <v>310</v>
      </c>
      <c r="H1814" s="3" t="s">
        <v>37</v>
      </c>
      <c r="I1814" s="4" t="n">
        <v>7</v>
      </c>
      <c r="J1814" s="4" t="n">
        <f aca="false">LEN(E1814)-LEN(SUBSTITUTE(E1814,",",""))+1</f>
        <v>6</v>
      </c>
      <c r="K1814" s="3" t="str">
        <f aca="false">IFERROR(INDEX('Teacher Lookup'!$B$2:$B$200,MATCH(A1814,'Teacher Lookup'!$A$2:$A$200,0)),"")</f>
        <v>LAM Candy</v>
      </c>
    </row>
    <row r="1815" customFormat="false" ht="15" hidden="false" customHeight="false" outlineLevel="0" collapsed="false">
      <c r="A1815" s="3" t="s">
        <v>308</v>
      </c>
      <c r="B1815" s="4" t="s">
        <v>66</v>
      </c>
      <c r="C1815" s="4" t="n">
        <v>5</v>
      </c>
      <c r="D1815" s="4" t="s">
        <v>106</v>
      </c>
      <c r="E1815" s="3" t="s">
        <v>320</v>
      </c>
      <c r="F1815" s="4" t="str">
        <f aca="false">IF(I1815&gt;J1815,"Y","N")</f>
        <v>Y</v>
      </c>
      <c r="G1815" s="3" t="s">
        <v>310</v>
      </c>
      <c r="H1815" s="3" t="s">
        <v>37</v>
      </c>
      <c r="I1815" s="4" t="n">
        <v>7</v>
      </c>
      <c r="J1815" s="4" t="n">
        <f aca="false">LEN(E1815)-LEN(SUBSTITUTE(E1815,",",""))+1</f>
        <v>6</v>
      </c>
      <c r="K1815" s="3" t="str">
        <f aca="false">IFERROR(INDEX('Teacher Lookup'!$B$2:$B$200,MATCH(A1815,'Teacher Lookup'!$A$2:$A$200,0)),"")</f>
        <v>LAM Candy</v>
      </c>
    </row>
    <row r="1816" customFormat="false" ht="15" hidden="false" customHeight="false" outlineLevel="0" collapsed="false">
      <c r="A1816" s="3" t="s">
        <v>308</v>
      </c>
      <c r="B1816" s="4" t="s">
        <v>66</v>
      </c>
      <c r="C1816" s="4" t="n">
        <v>5</v>
      </c>
      <c r="D1816" s="4" t="s">
        <v>107</v>
      </c>
      <c r="E1816" s="3" t="s">
        <v>320</v>
      </c>
      <c r="F1816" s="4" t="str">
        <f aca="false">IF(I1816&gt;J1816,"Y","N")</f>
        <v>Y</v>
      </c>
      <c r="G1816" s="3" t="s">
        <v>310</v>
      </c>
      <c r="H1816" s="3" t="s">
        <v>37</v>
      </c>
      <c r="I1816" s="4" t="n">
        <v>7</v>
      </c>
      <c r="J1816" s="4" t="n">
        <f aca="false">LEN(E1816)-LEN(SUBSTITUTE(E1816,",",""))+1</f>
        <v>6</v>
      </c>
      <c r="K1816" s="3" t="str">
        <f aca="false">IFERROR(INDEX('Teacher Lookup'!$B$2:$B$200,MATCH(A1816,'Teacher Lookup'!$A$2:$A$200,0)),"")</f>
        <v>LAM Candy</v>
      </c>
    </row>
    <row r="1817" customFormat="false" ht="15" hidden="false" customHeight="false" outlineLevel="0" collapsed="false">
      <c r="A1817" s="3" t="s">
        <v>321</v>
      </c>
      <c r="B1817" s="4" t="s">
        <v>12</v>
      </c>
      <c r="C1817" s="4" t="n">
        <v>1</v>
      </c>
      <c r="D1817" s="4" t="s">
        <v>19</v>
      </c>
      <c r="E1817" s="3" t="s">
        <v>322</v>
      </c>
      <c r="F1817" s="4" t="str">
        <f aca="false">IF(I1817&gt;J1817,"Y","N")</f>
        <v>N</v>
      </c>
      <c r="G1817" s="3" t="s">
        <v>72</v>
      </c>
      <c r="H1817" s="3" t="s">
        <v>16</v>
      </c>
      <c r="I1817" s="4" t="n">
        <v>4</v>
      </c>
      <c r="J1817" s="4" t="n">
        <f aca="false">LEN(E1817)-LEN(SUBSTITUTE(E1817,",",""))+1</f>
        <v>4</v>
      </c>
      <c r="K1817" s="3" t="str">
        <f aca="false">IFERROR(INDEX('Teacher Lookup'!$B$2:$B$200,MATCH(A1817,'Teacher Lookup'!$A$2:$A$200,0)),"")</f>
        <v>FAN Cecilia</v>
      </c>
    </row>
    <row r="1818" customFormat="false" ht="15" hidden="false" customHeight="false" outlineLevel="0" collapsed="false">
      <c r="A1818" s="3" t="s">
        <v>321</v>
      </c>
      <c r="B1818" s="4" t="s">
        <v>12</v>
      </c>
      <c r="C1818" s="4" t="n">
        <v>1</v>
      </c>
      <c r="D1818" s="4" t="s">
        <v>22</v>
      </c>
      <c r="E1818" s="3" t="s">
        <v>322</v>
      </c>
      <c r="F1818" s="4" t="str">
        <f aca="false">IF(I1818&gt;J1818,"Y","N")</f>
        <v>N</v>
      </c>
      <c r="G1818" s="3" t="s">
        <v>72</v>
      </c>
      <c r="H1818" s="3" t="s">
        <v>16</v>
      </c>
      <c r="I1818" s="4" t="n">
        <v>4</v>
      </c>
      <c r="J1818" s="4" t="n">
        <f aca="false">LEN(E1818)-LEN(SUBSTITUTE(E1818,",",""))+1</f>
        <v>4</v>
      </c>
      <c r="K1818" s="3" t="str">
        <f aca="false">IFERROR(INDEX('Teacher Lookup'!$B$2:$B$200,MATCH(A1818,'Teacher Lookup'!$A$2:$A$200,0)),"")</f>
        <v>FAN Cecilia</v>
      </c>
    </row>
    <row r="1819" customFormat="false" ht="15" hidden="false" customHeight="false" outlineLevel="0" collapsed="false">
      <c r="A1819" s="3" t="s">
        <v>321</v>
      </c>
      <c r="B1819" s="4" t="s">
        <v>12</v>
      </c>
      <c r="C1819" s="4" t="n">
        <v>1</v>
      </c>
      <c r="D1819" s="4" t="s">
        <v>23</v>
      </c>
      <c r="E1819" s="3" t="s">
        <v>322</v>
      </c>
      <c r="F1819" s="4" t="str">
        <f aca="false">IF(I1819&gt;J1819,"Y","N")</f>
        <v>N</v>
      </c>
      <c r="G1819" s="3" t="s">
        <v>72</v>
      </c>
      <c r="H1819" s="3" t="s">
        <v>16</v>
      </c>
      <c r="I1819" s="4" t="n">
        <v>4</v>
      </c>
      <c r="J1819" s="4" t="n">
        <f aca="false">LEN(E1819)-LEN(SUBSTITUTE(E1819,",",""))+1</f>
        <v>4</v>
      </c>
      <c r="K1819" s="3" t="str">
        <f aca="false">IFERROR(INDEX('Teacher Lookup'!$B$2:$B$200,MATCH(A1819,'Teacher Lookup'!$A$2:$A$200,0)),"")</f>
        <v>FAN Cecilia</v>
      </c>
    </row>
    <row r="1820" customFormat="false" ht="15" hidden="false" customHeight="false" outlineLevel="0" collapsed="false">
      <c r="A1820" s="3" t="s">
        <v>321</v>
      </c>
      <c r="B1820" s="4" t="s">
        <v>12</v>
      </c>
      <c r="C1820" s="4" t="n">
        <v>3</v>
      </c>
      <c r="D1820" s="4" t="s">
        <v>13</v>
      </c>
      <c r="E1820" s="3" t="s">
        <v>323</v>
      </c>
      <c r="F1820" s="4" t="str">
        <f aca="false">IF(I1820&gt;J1820,"Y","N")</f>
        <v>N</v>
      </c>
      <c r="G1820" s="3" t="s">
        <v>72</v>
      </c>
      <c r="H1820" s="3" t="s">
        <v>26</v>
      </c>
      <c r="I1820" s="4" t="n">
        <v>4</v>
      </c>
      <c r="J1820" s="4" t="n">
        <f aca="false">LEN(E1820)-LEN(SUBSTITUTE(E1820,",",""))+1</f>
        <v>4</v>
      </c>
      <c r="K1820" s="3" t="str">
        <f aca="false">IFERROR(INDEX('Teacher Lookup'!$B$2:$B$200,MATCH(A1820,'Teacher Lookup'!$A$2:$A$200,0)),"")</f>
        <v>FAN Cecilia</v>
      </c>
    </row>
    <row r="1821" customFormat="false" ht="15" hidden="false" customHeight="false" outlineLevel="0" collapsed="false">
      <c r="A1821" s="3" t="s">
        <v>321</v>
      </c>
      <c r="B1821" s="4" t="s">
        <v>12</v>
      </c>
      <c r="C1821" s="4" t="n">
        <v>3</v>
      </c>
      <c r="D1821" s="4" t="s">
        <v>17</v>
      </c>
      <c r="E1821" s="3" t="s">
        <v>323</v>
      </c>
      <c r="F1821" s="4" t="str">
        <f aca="false">IF(I1821&gt;J1821,"Y","N")</f>
        <v>N</v>
      </c>
      <c r="G1821" s="3" t="s">
        <v>72</v>
      </c>
      <c r="H1821" s="3" t="s">
        <v>26</v>
      </c>
      <c r="I1821" s="4" t="n">
        <v>4</v>
      </c>
      <c r="J1821" s="4" t="n">
        <f aca="false">LEN(E1821)-LEN(SUBSTITUTE(E1821,",",""))+1</f>
        <v>4</v>
      </c>
      <c r="K1821" s="3" t="str">
        <f aca="false">IFERROR(INDEX('Teacher Lookup'!$B$2:$B$200,MATCH(A1821,'Teacher Lookup'!$A$2:$A$200,0)),"")</f>
        <v>FAN Cecilia</v>
      </c>
    </row>
    <row r="1822" customFormat="false" ht="15" hidden="false" customHeight="false" outlineLevel="0" collapsed="false">
      <c r="A1822" s="3" t="s">
        <v>321</v>
      </c>
      <c r="B1822" s="4" t="s">
        <v>12</v>
      </c>
      <c r="C1822" s="4" t="n">
        <v>3</v>
      </c>
      <c r="D1822" s="4" t="s">
        <v>18</v>
      </c>
      <c r="E1822" s="3" t="s">
        <v>323</v>
      </c>
      <c r="F1822" s="4" t="str">
        <f aca="false">IF(I1822&gt;J1822,"Y","N")</f>
        <v>N</v>
      </c>
      <c r="G1822" s="3" t="s">
        <v>72</v>
      </c>
      <c r="H1822" s="3" t="s">
        <v>26</v>
      </c>
      <c r="I1822" s="4" t="n">
        <v>4</v>
      </c>
      <c r="J1822" s="4" t="n">
        <f aca="false">LEN(E1822)-LEN(SUBSTITUTE(E1822,",",""))+1</f>
        <v>4</v>
      </c>
      <c r="K1822" s="3" t="str">
        <f aca="false">IFERROR(INDEX('Teacher Lookup'!$B$2:$B$200,MATCH(A1822,'Teacher Lookup'!$A$2:$A$200,0)),"")</f>
        <v>FAN Cecilia</v>
      </c>
    </row>
    <row r="1823" customFormat="false" ht="15" hidden="false" customHeight="false" outlineLevel="0" collapsed="false">
      <c r="A1823" s="3" t="s">
        <v>321</v>
      </c>
      <c r="B1823" s="4" t="s">
        <v>12</v>
      </c>
      <c r="C1823" s="4" t="n">
        <v>6</v>
      </c>
      <c r="D1823" s="4" t="s">
        <v>105</v>
      </c>
      <c r="E1823" s="3" t="s">
        <v>324</v>
      </c>
      <c r="F1823" s="4" t="str">
        <f aca="false">IF(I1823&gt;J1823,"Y","N")</f>
        <v>N</v>
      </c>
      <c r="G1823" s="3" t="s">
        <v>72</v>
      </c>
      <c r="H1823" s="3" t="s">
        <v>42</v>
      </c>
      <c r="I1823" s="4" t="n">
        <v>3</v>
      </c>
      <c r="J1823" s="4" t="n">
        <f aca="false">LEN(E1823)-LEN(SUBSTITUTE(E1823,",",""))+1</f>
        <v>3</v>
      </c>
      <c r="K1823" s="3" t="str">
        <f aca="false">IFERROR(INDEX('Teacher Lookup'!$B$2:$B$200,MATCH(A1823,'Teacher Lookup'!$A$2:$A$200,0)),"")</f>
        <v>FAN Cecilia</v>
      </c>
    </row>
    <row r="1824" customFormat="false" ht="15" hidden="false" customHeight="false" outlineLevel="0" collapsed="false">
      <c r="A1824" s="3" t="s">
        <v>321</v>
      </c>
      <c r="B1824" s="4" t="s">
        <v>12</v>
      </c>
      <c r="C1824" s="4" t="n">
        <v>6</v>
      </c>
      <c r="D1824" s="4" t="s">
        <v>106</v>
      </c>
      <c r="E1824" s="3" t="s">
        <v>324</v>
      </c>
      <c r="F1824" s="4" t="str">
        <f aca="false">IF(I1824&gt;J1824,"Y","N")</f>
        <v>N</v>
      </c>
      <c r="G1824" s="3" t="s">
        <v>72</v>
      </c>
      <c r="H1824" s="3" t="s">
        <v>42</v>
      </c>
      <c r="I1824" s="4" t="n">
        <v>3</v>
      </c>
      <c r="J1824" s="4" t="n">
        <f aca="false">LEN(E1824)-LEN(SUBSTITUTE(E1824,",",""))+1</f>
        <v>3</v>
      </c>
      <c r="K1824" s="3" t="str">
        <f aca="false">IFERROR(INDEX('Teacher Lookup'!$B$2:$B$200,MATCH(A1824,'Teacher Lookup'!$A$2:$A$200,0)),"")</f>
        <v>FAN Cecilia</v>
      </c>
    </row>
    <row r="1825" customFormat="false" ht="15" hidden="false" customHeight="false" outlineLevel="0" collapsed="false">
      <c r="A1825" s="3" t="s">
        <v>321</v>
      </c>
      <c r="B1825" s="4" t="s">
        <v>31</v>
      </c>
      <c r="C1825" s="4" t="n">
        <v>1</v>
      </c>
      <c r="D1825" s="4" t="s">
        <v>105</v>
      </c>
      <c r="E1825" s="3" t="s">
        <v>325</v>
      </c>
      <c r="F1825" s="4" t="str">
        <f aca="false">IF(I1825&gt;J1825,"Y","N")</f>
        <v>N</v>
      </c>
      <c r="G1825" s="3" t="s">
        <v>72</v>
      </c>
      <c r="H1825" s="3" t="s">
        <v>16</v>
      </c>
      <c r="I1825" s="4" t="n">
        <v>3</v>
      </c>
      <c r="J1825" s="4" t="n">
        <f aca="false">LEN(E1825)-LEN(SUBSTITUTE(E1825,",",""))+1</f>
        <v>3</v>
      </c>
      <c r="K1825" s="3" t="str">
        <f aca="false">IFERROR(INDEX('Teacher Lookup'!$B$2:$B$200,MATCH(A1825,'Teacher Lookup'!$A$2:$A$200,0)),"")</f>
        <v>FAN Cecilia</v>
      </c>
    </row>
    <row r="1826" customFormat="false" ht="15" hidden="false" customHeight="false" outlineLevel="0" collapsed="false">
      <c r="A1826" s="3" t="s">
        <v>321</v>
      </c>
      <c r="B1826" s="4" t="s">
        <v>31</v>
      </c>
      <c r="C1826" s="4" t="n">
        <v>1</v>
      </c>
      <c r="D1826" s="4" t="s">
        <v>106</v>
      </c>
      <c r="E1826" s="3" t="s">
        <v>325</v>
      </c>
      <c r="F1826" s="4" t="str">
        <f aca="false">IF(I1826&gt;J1826,"Y","N")</f>
        <v>N</v>
      </c>
      <c r="G1826" s="3" t="s">
        <v>72</v>
      </c>
      <c r="H1826" s="3" t="s">
        <v>16</v>
      </c>
      <c r="I1826" s="4" t="n">
        <v>3</v>
      </c>
      <c r="J1826" s="4" t="n">
        <f aca="false">LEN(E1826)-LEN(SUBSTITUTE(E1826,",",""))+1</f>
        <v>3</v>
      </c>
      <c r="K1826" s="3" t="str">
        <f aca="false">IFERROR(INDEX('Teacher Lookup'!$B$2:$B$200,MATCH(A1826,'Teacher Lookup'!$A$2:$A$200,0)),"")</f>
        <v>FAN Cecilia</v>
      </c>
    </row>
    <row r="1827" customFormat="false" ht="15" hidden="false" customHeight="false" outlineLevel="0" collapsed="false">
      <c r="A1827" s="3" t="s">
        <v>321</v>
      </c>
      <c r="B1827" s="4" t="s">
        <v>31</v>
      </c>
      <c r="C1827" s="4" t="n">
        <v>3</v>
      </c>
      <c r="D1827" s="4" t="s">
        <v>19</v>
      </c>
      <c r="E1827" s="3" t="s">
        <v>326</v>
      </c>
      <c r="F1827" s="4" t="str">
        <f aca="false">IF(I1827&gt;J1827,"Y","N")</f>
        <v>N</v>
      </c>
      <c r="G1827" s="3" t="s">
        <v>72</v>
      </c>
      <c r="H1827" s="3" t="s">
        <v>26</v>
      </c>
      <c r="I1827" s="4" t="n">
        <v>4</v>
      </c>
      <c r="J1827" s="4" t="n">
        <f aca="false">LEN(E1827)-LEN(SUBSTITUTE(E1827,",",""))+1</f>
        <v>4</v>
      </c>
      <c r="K1827" s="3" t="str">
        <f aca="false">IFERROR(INDEX('Teacher Lookup'!$B$2:$B$200,MATCH(A1827,'Teacher Lookup'!$A$2:$A$200,0)),"")</f>
        <v>FAN Cecilia</v>
      </c>
    </row>
    <row r="1828" customFormat="false" ht="15" hidden="false" customHeight="false" outlineLevel="0" collapsed="false">
      <c r="A1828" s="3" t="s">
        <v>321</v>
      </c>
      <c r="B1828" s="4" t="s">
        <v>31</v>
      </c>
      <c r="C1828" s="4" t="n">
        <v>3</v>
      </c>
      <c r="D1828" s="4" t="s">
        <v>22</v>
      </c>
      <c r="E1828" s="3" t="s">
        <v>326</v>
      </c>
      <c r="F1828" s="4" t="str">
        <f aca="false">IF(I1828&gt;J1828,"Y","N")</f>
        <v>N</v>
      </c>
      <c r="G1828" s="3" t="s">
        <v>72</v>
      </c>
      <c r="H1828" s="3" t="s">
        <v>26</v>
      </c>
      <c r="I1828" s="4" t="n">
        <v>4</v>
      </c>
      <c r="J1828" s="4" t="n">
        <f aca="false">LEN(E1828)-LEN(SUBSTITUTE(E1828,",",""))+1</f>
        <v>4</v>
      </c>
      <c r="K1828" s="3" t="str">
        <f aca="false">IFERROR(INDEX('Teacher Lookup'!$B$2:$B$200,MATCH(A1828,'Teacher Lookup'!$A$2:$A$200,0)),"")</f>
        <v>FAN Cecilia</v>
      </c>
    </row>
    <row r="1829" customFormat="false" ht="15" hidden="false" customHeight="false" outlineLevel="0" collapsed="false">
      <c r="A1829" s="3" t="s">
        <v>321</v>
      </c>
      <c r="B1829" s="4" t="s">
        <v>31</v>
      </c>
      <c r="C1829" s="4" t="n">
        <v>3</v>
      </c>
      <c r="D1829" s="4" t="s">
        <v>23</v>
      </c>
      <c r="E1829" s="3" t="s">
        <v>326</v>
      </c>
      <c r="F1829" s="4" t="str">
        <f aca="false">IF(I1829&gt;J1829,"Y","N")</f>
        <v>N</v>
      </c>
      <c r="G1829" s="3" t="s">
        <v>72</v>
      </c>
      <c r="H1829" s="3" t="s">
        <v>26</v>
      </c>
      <c r="I1829" s="4" t="n">
        <v>4</v>
      </c>
      <c r="J1829" s="4" t="n">
        <f aca="false">LEN(E1829)-LEN(SUBSTITUTE(E1829,",",""))+1</f>
        <v>4</v>
      </c>
      <c r="K1829" s="3" t="str">
        <f aca="false">IFERROR(INDEX('Teacher Lookup'!$B$2:$B$200,MATCH(A1829,'Teacher Lookup'!$A$2:$A$200,0)),"")</f>
        <v>FAN Cecilia</v>
      </c>
    </row>
    <row r="1830" customFormat="false" ht="15" hidden="false" customHeight="false" outlineLevel="0" collapsed="false">
      <c r="A1830" s="3" t="s">
        <v>321</v>
      </c>
      <c r="B1830" s="4" t="s">
        <v>31</v>
      </c>
      <c r="C1830" s="4" t="n">
        <v>5</v>
      </c>
      <c r="D1830" s="4" t="s">
        <v>19</v>
      </c>
      <c r="E1830" s="3" t="s">
        <v>35</v>
      </c>
      <c r="F1830" s="4" t="str">
        <f aca="false">IF(I1830&gt;J1830,"Y","N")</f>
        <v>Y</v>
      </c>
      <c r="G1830" s="3" t="s">
        <v>36</v>
      </c>
      <c r="H1830" s="3" t="s">
        <v>37</v>
      </c>
      <c r="I1830" s="4" t="n">
        <v>17</v>
      </c>
      <c r="J1830" s="4" t="n">
        <f aca="false">LEN(E1830)-LEN(SUBSTITUTE(E1830,",",""))+1</f>
        <v>7</v>
      </c>
      <c r="K1830" s="3" t="str">
        <f aca="false">IFERROR(INDEX('Teacher Lookup'!$B$2:$B$200,MATCH(A1830,'Teacher Lookup'!$A$2:$A$200,0)),"")</f>
        <v>FAN Cecilia</v>
      </c>
    </row>
    <row r="1831" customFormat="false" ht="15" hidden="false" customHeight="false" outlineLevel="0" collapsed="false">
      <c r="A1831" s="3" t="s">
        <v>321</v>
      </c>
      <c r="B1831" s="4" t="s">
        <v>31</v>
      </c>
      <c r="C1831" s="4" t="n">
        <v>5</v>
      </c>
      <c r="D1831" s="4" t="s">
        <v>22</v>
      </c>
      <c r="E1831" s="3" t="s">
        <v>35</v>
      </c>
      <c r="F1831" s="4" t="str">
        <f aca="false">IF(I1831&gt;J1831,"Y","N")</f>
        <v>Y</v>
      </c>
      <c r="G1831" s="3" t="s">
        <v>36</v>
      </c>
      <c r="H1831" s="3" t="s">
        <v>37</v>
      </c>
      <c r="I1831" s="4" t="n">
        <v>17</v>
      </c>
      <c r="J1831" s="4" t="n">
        <f aca="false">LEN(E1831)-LEN(SUBSTITUTE(E1831,",",""))+1</f>
        <v>7</v>
      </c>
      <c r="K1831" s="3" t="str">
        <f aca="false">IFERROR(INDEX('Teacher Lookup'!$B$2:$B$200,MATCH(A1831,'Teacher Lookup'!$A$2:$A$200,0)),"")</f>
        <v>FAN Cecilia</v>
      </c>
    </row>
    <row r="1832" customFormat="false" ht="15" hidden="false" customHeight="false" outlineLevel="0" collapsed="false">
      <c r="A1832" s="3" t="s">
        <v>321</v>
      </c>
      <c r="B1832" s="4" t="s">
        <v>31</v>
      </c>
      <c r="C1832" s="4" t="n">
        <v>5</v>
      </c>
      <c r="D1832" s="4" t="s">
        <v>23</v>
      </c>
      <c r="E1832" s="3" t="s">
        <v>35</v>
      </c>
      <c r="F1832" s="4" t="str">
        <f aca="false">IF(I1832&gt;J1832,"Y","N")</f>
        <v>Y</v>
      </c>
      <c r="G1832" s="3" t="s">
        <v>36</v>
      </c>
      <c r="H1832" s="3" t="s">
        <v>37</v>
      </c>
      <c r="I1832" s="4" t="n">
        <v>17</v>
      </c>
      <c r="J1832" s="4" t="n">
        <f aca="false">LEN(E1832)-LEN(SUBSTITUTE(E1832,",",""))+1</f>
        <v>7</v>
      </c>
      <c r="K1832" s="3" t="str">
        <f aca="false">IFERROR(INDEX('Teacher Lookup'!$B$2:$B$200,MATCH(A1832,'Teacher Lookup'!$A$2:$A$200,0)),"")</f>
        <v>FAN Cecilia</v>
      </c>
    </row>
    <row r="1833" customFormat="false" ht="15" hidden="false" customHeight="false" outlineLevel="0" collapsed="false">
      <c r="A1833" s="3" t="s">
        <v>321</v>
      </c>
      <c r="B1833" s="4" t="s">
        <v>31</v>
      </c>
      <c r="C1833" s="4" t="n">
        <v>5</v>
      </c>
      <c r="D1833" s="4" t="s">
        <v>13</v>
      </c>
      <c r="E1833" s="3" t="s">
        <v>35</v>
      </c>
      <c r="F1833" s="4" t="str">
        <f aca="false">IF(I1833&gt;J1833,"Y","N")</f>
        <v>Y</v>
      </c>
      <c r="G1833" s="3" t="s">
        <v>36</v>
      </c>
      <c r="H1833" s="3" t="s">
        <v>37</v>
      </c>
      <c r="I1833" s="4" t="n">
        <v>17</v>
      </c>
      <c r="J1833" s="4" t="n">
        <f aca="false">LEN(E1833)-LEN(SUBSTITUTE(E1833,",",""))+1</f>
        <v>7</v>
      </c>
      <c r="K1833" s="3" t="str">
        <f aca="false">IFERROR(INDEX('Teacher Lookup'!$B$2:$B$200,MATCH(A1833,'Teacher Lookup'!$A$2:$A$200,0)),"")</f>
        <v>FAN Cecilia</v>
      </c>
    </row>
    <row r="1834" customFormat="false" ht="15" hidden="false" customHeight="false" outlineLevel="0" collapsed="false">
      <c r="A1834" s="3" t="s">
        <v>321</v>
      </c>
      <c r="B1834" s="4" t="s">
        <v>31</v>
      </c>
      <c r="C1834" s="4" t="n">
        <v>5</v>
      </c>
      <c r="D1834" s="4" t="s">
        <v>17</v>
      </c>
      <c r="E1834" s="3" t="s">
        <v>35</v>
      </c>
      <c r="F1834" s="4" t="str">
        <f aca="false">IF(I1834&gt;J1834,"Y","N")</f>
        <v>Y</v>
      </c>
      <c r="G1834" s="3" t="s">
        <v>36</v>
      </c>
      <c r="H1834" s="3" t="s">
        <v>37</v>
      </c>
      <c r="I1834" s="4" t="n">
        <v>17</v>
      </c>
      <c r="J1834" s="4" t="n">
        <f aca="false">LEN(E1834)-LEN(SUBSTITUTE(E1834,",",""))+1</f>
        <v>7</v>
      </c>
      <c r="K1834" s="3" t="str">
        <f aca="false">IFERROR(INDEX('Teacher Lookup'!$B$2:$B$200,MATCH(A1834,'Teacher Lookup'!$A$2:$A$200,0)),"")</f>
        <v>FAN Cecilia</v>
      </c>
    </row>
    <row r="1835" customFormat="false" ht="15" hidden="false" customHeight="false" outlineLevel="0" collapsed="false">
      <c r="A1835" s="3" t="s">
        <v>321</v>
      </c>
      <c r="B1835" s="4" t="s">
        <v>31</v>
      </c>
      <c r="C1835" s="4" t="n">
        <v>5</v>
      </c>
      <c r="D1835" s="4" t="s">
        <v>18</v>
      </c>
      <c r="E1835" s="3" t="s">
        <v>35</v>
      </c>
      <c r="F1835" s="4" t="str">
        <f aca="false">IF(I1835&gt;J1835,"Y","N")</f>
        <v>Y</v>
      </c>
      <c r="G1835" s="3" t="s">
        <v>36</v>
      </c>
      <c r="H1835" s="3" t="s">
        <v>37</v>
      </c>
      <c r="I1835" s="4" t="n">
        <v>17</v>
      </c>
      <c r="J1835" s="4" t="n">
        <f aca="false">LEN(E1835)-LEN(SUBSTITUTE(E1835,",",""))+1</f>
        <v>7</v>
      </c>
      <c r="K1835" s="3" t="str">
        <f aca="false">IFERROR(INDEX('Teacher Lookup'!$B$2:$B$200,MATCH(A1835,'Teacher Lookup'!$A$2:$A$200,0)),"")</f>
        <v>FAN Cecilia</v>
      </c>
    </row>
    <row r="1836" customFormat="false" ht="15" hidden="false" customHeight="false" outlineLevel="0" collapsed="false">
      <c r="A1836" s="3" t="s">
        <v>321</v>
      </c>
      <c r="B1836" s="4" t="s">
        <v>31</v>
      </c>
      <c r="C1836" s="4" t="n">
        <v>6</v>
      </c>
      <c r="D1836" s="4" t="s">
        <v>13</v>
      </c>
      <c r="E1836" s="3" t="s">
        <v>323</v>
      </c>
      <c r="F1836" s="4" t="str">
        <f aca="false">IF(I1836&gt;J1836,"Y","N")</f>
        <v>N</v>
      </c>
      <c r="G1836" s="3" t="s">
        <v>72</v>
      </c>
      <c r="H1836" s="3" t="s">
        <v>42</v>
      </c>
      <c r="I1836" s="4" t="n">
        <v>4</v>
      </c>
      <c r="J1836" s="4" t="n">
        <f aca="false">LEN(E1836)-LEN(SUBSTITUTE(E1836,",",""))+1</f>
        <v>4</v>
      </c>
      <c r="K1836" s="3" t="str">
        <f aca="false">IFERROR(INDEX('Teacher Lookup'!$B$2:$B$200,MATCH(A1836,'Teacher Lookup'!$A$2:$A$200,0)),"")</f>
        <v>FAN Cecilia</v>
      </c>
    </row>
    <row r="1837" customFormat="false" ht="15" hidden="false" customHeight="false" outlineLevel="0" collapsed="false">
      <c r="A1837" s="3" t="s">
        <v>321</v>
      </c>
      <c r="B1837" s="4" t="s">
        <v>31</v>
      </c>
      <c r="C1837" s="4" t="n">
        <v>6</v>
      </c>
      <c r="D1837" s="4" t="s">
        <v>17</v>
      </c>
      <c r="E1837" s="3" t="s">
        <v>323</v>
      </c>
      <c r="F1837" s="4" t="str">
        <f aca="false">IF(I1837&gt;J1837,"Y","N")</f>
        <v>N</v>
      </c>
      <c r="G1837" s="3" t="s">
        <v>72</v>
      </c>
      <c r="H1837" s="3" t="s">
        <v>42</v>
      </c>
      <c r="I1837" s="4" t="n">
        <v>4</v>
      </c>
      <c r="J1837" s="4" t="n">
        <f aca="false">LEN(E1837)-LEN(SUBSTITUTE(E1837,",",""))+1</f>
        <v>4</v>
      </c>
      <c r="K1837" s="3" t="str">
        <f aca="false">IFERROR(INDEX('Teacher Lookup'!$B$2:$B$200,MATCH(A1837,'Teacher Lookup'!$A$2:$A$200,0)),"")</f>
        <v>FAN Cecilia</v>
      </c>
    </row>
    <row r="1838" customFormat="false" ht="15" hidden="false" customHeight="false" outlineLevel="0" collapsed="false">
      <c r="A1838" s="3" t="s">
        <v>321</v>
      </c>
      <c r="B1838" s="4" t="s">
        <v>31</v>
      </c>
      <c r="C1838" s="4" t="n">
        <v>6</v>
      </c>
      <c r="D1838" s="4" t="s">
        <v>18</v>
      </c>
      <c r="E1838" s="3" t="s">
        <v>323</v>
      </c>
      <c r="F1838" s="4" t="str">
        <f aca="false">IF(I1838&gt;J1838,"Y","N")</f>
        <v>N</v>
      </c>
      <c r="G1838" s="3" t="s">
        <v>72</v>
      </c>
      <c r="H1838" s="3" t="s">
        <v>42</v>
      </c>
      <c r="I1838" s="4" t="n">
        <v>4</v>
      </c>
      <c r="J1838" s="4" t="n">
        <f aca="false">LEN(E1838)-LEN(SUBSTITUTE(E1838,",",""))+1</f>
        <v>4</v>
      </c>
      <c r="K1838" s="3" t="str">
        <f aca="false">IFERROR(INDEX('Teacher Lookup'!$B$2:$B$200,MATCH(A1838,'Teacher Lookup'!$A$2:$A$200,0)),"")</f>
        <v>FAN Cecilia</v>
      </c>
    </row>
    <row r="1839" customFormat="false" ht="15" hidden="false" customHeight="false" outlineLevel="0" collapsed="false">
      <c r="A1839" s="3" t="s">
        <v>321</v>
      </c>
      <c r="B1839" s="4" t="s">
        <v>40</v>
      </c>
      <c r="C1839" s="4" t="n">
        <v>1</v>
      </c>
      <c r="D1839" s="4" t="s">
        <v>19</v>
      </c>
      <c r="E1839" s="3" t="s">
        <v>33</v>
      </c>
      <c r="F1839" s="4" t="str">
        <f aca="false">IF(I1839&gt;J1839,"Y","N")</f>
        <v>N</v>
      </c>
      <c r="G1839" s="3" t="s">
        <v>72</v>
      </c>
      <c r="H1839" s="3" t="s">
        <v>16</v>
      </c>
      <c r="I1839" s="4" t="n">
        <v>4</v>
      </c>
      <c r="J1839" s="4" t="n">
        <f aca="false">LEN(E1839)-LEN(SUBSTITUTE(E1839,",",""))+1</f>
        <v>4</v>
      </c>
      <c r="K1839" s="3" t="str">
        <f aca="false">IFERROR(INDEX('Teacher Lookup'!$B$2:$B$200,MATCH(A1839,'Teacher Lookup'!$A$2:$A$200,0)),"")</f>
        <v>FAN Cecilia</v>
      </c>
    </row>
    <row r="1840" customFormat="false" ht="15" hidden="false" customHeight="false" outlineLevel="0" collapsed="false">
      <c r="A1840" s="3" t="s">
        <v>321</v>
      </c>
      <c r="B1840" s="4" t="s">
        <v>40</v>
      </c>
      <c r="C1840" s="4" t="n">
        <v>1</v>
      </c>
      <c r="D1840" s="4" t="s">
        <v>22</v>
      </c>
      <c r="E1840" s="3" t="s">
        <v>33</v>
      </c>
      <c r="F1840" s="4" t="str">
        <f aca="false">IF(I1840&gt;J1840,"Y","N")</f>
        <v>N</v>
      </c>
      <c r="G1840" s="3" t="s">
        <v>72</v>
      </c>
      <c r="H1840" s="3" t="s">
        <v>16</v>
      </c>
      <c r="I1840" s="4" t="n">
        <v>4</v>
      </c>
      <c r="J1840" s="4" t="n">
        <f aca="false">LEN(E1840)-LEN(SUBSTITUTE(E1840,",",""))+1</f>
        <v>4</v>
      </c>
      <c r="K1840" s="3" t="str">
        <f aca="false">IFERROR(INDEX('Teacher Lookup'!$B$2:$B$200,MATCH(A1840,'Teacher Lookup'!$A$2:$A$200,0)),"")</f>
        <v>FAN Cecilia</v>
      </c>
    </row>
    <row r="1841" customFormat="false" ht="15" hidden="false" customHeight="false" outlineLevel="0" collapsed="false">
      <c r="A1841" s="3" t="s">
        <v>321</v>
      </c>
      <c r="B1841" s="4" t="s">
        <v>40</v>
      </c>
      <c r="C1841" s="4" t="n">
        <v>1</v>
      </c>
      <c r="D1841" s="4" t="s">
        <v>23</v>
      </c>
      <c r="E1841" s="3" t="s">
        <v>33</v>
      </c>
      <c r="F1841" s="4" t="str">
        <f aca="false">IF(I1841&gt;J1841,"Y","N")</f>
        <v>N</v>
      </c>
      <c r="G1841" s="3" t="s">
        <v>72</v>
      </c>
      <c r="H1841" s="3" t="s">
        <v>16</v>
      </c>
      <c r="I1841" s="4" t="n">
        <v>4</v>
      </c>
      <c r="J1841" s="4" t="n">
        <f aca="false">LEN(E1841)-LEN(SUBSTITUTE(E1841,",",""))+1</f>
        <v>4</v>
      </c>
      <c r="K1841" s="3" t="str">
        <f aca="false">IFERROR(INDEX('Teacher Lookup'!$B$2:$B$200,MATCH(A1841,'Teacher Lookup'!$A$2:$A$200,0)),"")</f>
        <v>FAN Cecilia</v>
      </c>
    </row>
    <row r="1842" customFormat="false" ht="15" hidden="false" customHeight="false" outlineLevel="0" collapsed="false">
      <c r="A1842" s="3" t="s">
        <v>321</v>
      </c>
      <c r="B1842" s="4" t="s">
        <v>40</v>
      </c>
      <c r="C1842" s="4" t="n">
        <v>2</v>
      </c>
      <c r="D1842" s="4" t="s">
        <v>13</v>
      </c>
      <c r="E1842" s="3" t="s">
        <v>46</v>
      </c>
      <c r="F1842" s="4" t="str">
        <f aca="false">IF(I1842&gt;J1842,"Y","N")</f>
        <v>N</v>
      </c>
      <c r="G1842" s="3" t="s">
        <v>72</v>
      </c>
      <c r="H1842" s="3" t="s">
        <v>21</v>
      </c>
      <c r="I1842" s="4" t="n">
        <v>4</v>
      </c>
      <c r="J1842" s="4" t="n">
        <f aca="false">LEN(E1842)-LEN(SUBSTITUTE(E1842,",",""))+1</f>
        <v>4</v>
      </c>
      <c r="K1842" s="3" t="str">
        <f aca="false">IFERROR(INDEX('Teacher Lookup'!$B$2:$B$200,MATCH(A1842,'Teacher Lookup'!$A$2:$A$200,0)),"")</f>
        <v>FAN Cecilia</v>
      </c>
    </row>
    <row r="1843" customFormat="false" ht="15" hidden="false" customHeight="false" outlineLevel="0" collapsed="false">
      <c r="A1843" s="3" t="s">
        <v>321</v>
      </c>
      <c r="B1843" s="4" t="s">
        <v>40</v>
      </c>
      <c r="C1843" s="4" t="n">
        <v>2</v>
      </c>
      <c r="D1843" s="4" t="s">
        <v>17</v>
      </c>
      <c r="E1843" s="3" t="s">
        <v>46</v>
      </c>
      <c r="F1843" s="4" t="str">
        <f aca="false">IF(I1843&gt;J1843,"Y","N")</f>
        <v>N</v>
      </c>
      <c r="G1843" s="3" t="s">
        <v>72</v>
      </c>
      <c r="H1843" s="3" t="s">
        <v>21</v>
      </c>
      <c r="I1843" s="4" t="n">
        <v>4</v>
      </c>
      <c r="J1843" s="4" t="n">
        <f aca="false">LEN(E1843)-LEN(SUBSTITUTE(E1843,",",""))+1</f>
        <v>4</v>
      </c>
      <c r="K1843" s="3" t="str">
        <f aca="false">IFERROR(INDEX('Teacher Lookup'!$B$2:$B$200,MATCH(A1843,'Teacher Lookup'!$A$2:$A$200,0)),"")</f>
        <v>FAN Cecilia</v>
      </c>
    </row>
    <row r="1844" customFormat="false" ht="15" hidden="false" customHeight="false" outlineLevel="0" collapsed="false">
      <c r="A1844" s="3" t="s">
        <v>321</v>
      </c>
      <c r="B1844" s="4" t="s">
        <v>40</v>
      </c>
      <c r="C1844" s="4" t="n">
        <v>2</v>
      </c>
      <c r="D1844" s="4" t="s">
        <v>18</v>
      </c>
      <c r="E1844" s="3" t="s">
        <v>46</v>
      </c>
      <c r="F1844" s="4" t="str">
        <f aca="false">IF(I1844&gt;J1844,"Y","N")</f>
        <v>N</v>
      </c>
      <c r="G1844" s="3" t="s">
        <v>72</v>
      </c>
      <c r="H1844" s="3" t="s">
        <v>21</v>
      </c>
      <c r="I1844" s="4" t="n">
        <v>4</v>
      </c>
      <c r="J1844" s="4" t="n">
        <f aca="false">LEN(E1844)-LEN(SUBSTITUTE(E1844,",",""))+1</f>
        <v>4</v>
      </c>
      <c r="K1844" s="3" t="str">
        <f aca="false">IFERROR(INDEX('Teacher Lookup'!$B$2:$B$200,MATCH(A1844,'Teacher Lookup'!$A$2:$A$200,0)),"")</f>
        <v>FAN Cecilia</v>
      </c>
    </row>
    <row r="1845" customFormat="false" ht="15" hidden="false" customHeight="false" outlineLevel="0" collapsed="false">
      <c r="A1845" s="3" t="s">
        <v>321</v>
      </c>
      <c r="B1845" s="4" t="s">
        <v>40</v>
      </c>
      <c r="C1845" s="4" t="n">
        <v>5</v>
      </c>
      <c r="D1845" s="4" t="s">
        <v>105</v>
      </c>
      <c r="E1845" s="3" t="s">
        <v>254</v>
      </c>
      <c r="F1845" s="4" t="str">
        <f aca="false">IF(I1845&gt;J1845,"Y","N")</f>
        <v>N</v>
      </c>
      <c r="G1845" s="3" t="s">
        <v>72</v>
      </c>
      <c r="H1845" s="3" t="s">
        <v>37</v>
      </c>
      <c r="I1845" s="4" t="n">
        <v>3</v>
      </c>
      <c r="J1845" s="4" t="n">
        <f aca="false">LEN(E1845)-LEN(SUBSTITUTE(E1845,",",""))+1</f>
        <v>3</v>
      </c>
      <c r="K1845" s="3" t="str">
        <f aca="false">IFERROR(INDEX('Teacher Lookup'!$B$2:$B$200,MATCH(A1845,'Teacher Lookup'!$A$2:$A$200,0)),"")</f>
        <v>FAN Cecilia</v>
      </c>
    </row>
    <row r="1846" customFormat="false" ht="15" hidden="false" customHeight="false" outlineLevel="0" collapsed="false">
      <c r="A1846" s="3" t="s">
        <v>321</v>
      </c>
      <c r="B1846" s="4" t="s">
        <v>40</v>
      </c>
      <c r="C1846" s="4" t="n">
        <v>5</v>
      </c>
      <c r="D1846" s="4" t="s">
        <v>106</v>
      </c>
      <c r="E1846" s="3" t="s">
        <v>254</v>
      </c>
      <c r="F1846" s="4" t="str">
        <f aca="false">IF(I1846&gt;J1846,"Y","N")</f>
        <v>N</v>
      </c>
      <c r="G1846" s="3" t="s">
        <v>72</v>
      </c>
      <c r="H1846" s="3" t="s">
        <v>37</v>
      </c>
      <c r="I1846" s="4" t="n">
        <v>3</v>
      </c>
      <c r="J1846" s="4" t="n">
        <f aca="false">LEN(E1846)-LEN(SUBSTITUTE(E1846,",",""))+1</f>
        <v>3</v>
      </c>
      <c r="K1846" s="3" t="str">
        <f aca="false">IFERROR(INDEX('Teacher Lookup'!$B$2:$B$200,MATCH(A1846,'Teacher Lookup'!$A$2:$A$200,0)),"")</f>
        <v>FAN Cecilia</v>
      </c>
    </row>
    <row r="1847" customFormat="false" ht="15" hidden="false" customHeight="false" outlineLevel="0" collapsed="false">
      <c r="A1847" s="3" t="s">
        <v>321</v>
      </c>
      <c r="B1847" s="4" t="s">
        <v>44</v>
      </c>
      <c r="C1847" s="4" t="n">
        <v>1</v>
      </c>
      <c r="D1847" s="4" t="s">
        <v>105</v>
      </c>
      <c r="E1847" s="3" t="s">
        <v>257</v>
      </c>
      <c r="F1847" s="4" t="str">
        <f aca="false">IF(I1847&gt;J1847,"Y","N")</f>
        <v>N</v>
      </c>
      <c r="G1847" s="3" t="s">
        <v>72</v>
      </c>
      <c r="H1847" s="3" t="s">
        <v>16</v>
      </c>
      <c r="I1847" s="4" t="n">
        <v>3</v>
      </c>
      <c r="J1847" s="4" t="n">
        <f aca="false">LEN(E1847)-LEN(SUBSTITUTE(E1847,",",""))+1</f>
        <v>3</v>
      </c>
      <c r="K1847" s="3" t="str">
        <f aca="false">IFERROR(INDEX('Teacher Lookup'!$B$2:$B$200,MATCH(A1847,'Teacher Lookup'!$A$2:$A$200,0)),"")</f>
        <v>FAN Cecilia</v>
      </c>
    </row>
    <row r="1848" customFormat="false" ht="15" hidden="false" customHeight="false" outlineLevel="0" collapsed="false">
      <c r="A1848" s="3" t="s">
        <v>321</v>
      </c>
      <c r="B1848" s="4" t="s">
        <v>44</v>
      </c>
      <c r="C1848" s="4" t="n">
        <v>1</v>
      </c>
      <c r="D1848" s="4" t="s">
        <v>106</v>
      </c>
      <c r="E1848" s="3" t="s">
        <v>257</v>
      </c>
      <c r="F1848" s="4" t="str">
        <f aca="false">IF(I1848&gt;J1848,"Y","N")</f>
        <v>N</v>
      </c>
      <c r="G1848" s="3" t="s">
        <v>72</v>
      </c>
      <c r="H1848" s="3" t="s">
        <v>16</v>
      </c>
      <c r="I1848" s="4" t="n">
        <v>3</v>
      </c>
      <c r="J1848" s="4" t="n">
        <f aca="false">LEN(E1848)-LEN(SUBSTITUTE(E1848,",",""))+1</f>
        <v>3</v>
      </c>
      <c r="K1848" s="3" t="str">
        <f aca="false">IFERROR(INDEX('Teacher Lookup'!$B$2:$B$200,MATCH(A1848,'Teacher Lookup'!$A$2:$A$200,0)),"")</f>
        <v>FAN Cecilia</v>
      </c>
    </row>
    <row r="1849" customFormat="false" ht="15" hidden="false" customHeight="false" outlineLevel="0" collapsed="false">
      <c r="A1849" s="3" t="s">
        <v>321</v>
      </c>
      <c r="B1849" s="4" t="s">
        <v>44</v>
      </c>
      <c r="C1849" s="4" t="n">
        <v>3</v>
      </c>
      <c r="D1849" s="4" t="s">
        <v>19</v>
      </c>
      <c r="E1849" s="3" t="s">
        <v>33</v>
      </c>
      <c r="F1849" s="4" t="str">
        <f aca="false">IF(I1849&gt;J1849,"Y","N")</f>
        <v>N</v>
      </c>
      <c r="G1849" s="3" t="s">
        <v>72</v>
      </c>
      <c r="H1849" s="3" t="s">
        <v>26</v>
      </c>
      <c r="I1849" s="4" t="n">
        <v>4</v>
      </c>
      <c r="J1849" s="4" t="n">
        <f aca="false">LEN(E1849)-LEN(SUBSTITUTE(E1849,",",""))+1</f>
        <v>4</v>
      </c>
      <c r="K1849" s="3" t="str">
        <f aca="false">IFERROR(INDEX('Teacher Lookup'!$B$2:$B$200,MATCH(A1849,'Teacher Lookup'!$A$2:$A$200,0)),"")</f>
        <v>FAN Cecilia</v>
      </c>
    </row>
    <row r="1850" customFormat="false" ht="15" hidden="false" customHeight="false" outlineLevel="0" collapsed="false">
      <c r="A1850" s="3" t="s">
        <v>321</v>
      </c>
      <c r="B1850" s="4" t="s">
        <v>44</v>
      </c>
      <c r="C1850" s="4" t="n">
        <v>3</v>
      </c>
      <c r="D1850" s="4" t="s">
        <v>22</v>
      </c>
      <c r="E1850" s="3" t="s">
        <v>33</v>
      </c>
      <c r="F1850" s="4" t="str">
        <f aca="false">IF(I1850&gt;J1850,"Y","N")</f>
        <v>N</v>
      </c>
      <c r="G1850" s="3" t="s">
        <v>72</v>
      </c>
      <c r="H1850" s="3" t="s">
        <v>26</v>
      </c>
      <c r="I1850" s="4" t="n">
        <v>4</v>
      </c>
      <c r="J1850" s="4" t="n">
        <f aca="false">LEN(E1850)-LEN(SUBSTITUTE(E1850,",",""))+1</f>
        <v>4</v>
      </c>
      <c r="K1850" s="3" t="str">
        <f aca="false">IFERROR(INDEX('Teacher Lookup'!$B$2:$B$200,MATCH(A1850,'Teacher Lookup'!$A$2:$A$200,0)),"")</f>
        <v>FAN Cecilia</v>
      </c>
    </row>
    <row r="1851" customFormat="false" ht="15" hidden="false" customHeight="false" outlineLevel="0" collapsed="false">
      <c r="A1851" s="3" t="s">
        <v>321</v>
      </c>
      <c r="B1851" s="4" t="s">
        <v>44</v>
      </c>
      <c r="C1851" s="4" t="n">
        <v>3</v>
      </c>
      <c r="D1851" s="4" t="s">
        <v>23</v>
      </c>
      <c r="E1851" s="3" t="s">
        <v>33</v>
      </c>
      <c r="F1851" s="4" t="str">
        <f aca="false">IF(I1851&gt;J1851,"Y","N")</f>
        <v>N</v>
      </c>
      <c r="G1851" s="3" t="s">
        <v>72</v>
      </c>
      <c r="H1851" s="3" t="s">
        <v>26</v>
      </c>
      <c r="I1851" s="4" t="n">
        <v>4</v>
      </c>
      <c r="J1851" s="4" t="n">
        <f aca="false">LEN(E1851)-LEN(SUBSTITUTE(E1851,",",""))+1</f>
        <v>4</v>
      </c>
      <c r="K1851" s="3" t="str">
        <f aca="false">IFERROR(INDEX('Teacher Lookup'!$B$2:$B$200,MATCH(A1851,'Teacher Lookup'!$A$2:$A$200,0)),"")</f>
        <v>FAN Cecilia</v>
      </c>
    </row>
    <row r="1852" customFormat="false" ht="15" hidden="false" customHeight="false" outlineLevel="0" collapsed="false">
      <c r="A1852" s="3" t="s">
        <v>321</v>
      </c>
      <c r="B1852" s="4" t="s">
        <v>44</v>
      </c>
      <c r="C1852" s="4" t="n">
        <v>5</v>
      </c>
      <c r="D1852" s="4" t="s">
        <v>19</v>
      </c>
      <c r="E1852" s="3" t="s">
        <v>35</v>
      </c>
      <c r="F1852" s="4" t="str">
        <f aca="false">IF(I1852&gt;J1852,"Y","N")</f>
        <v>Y</v>
      </c>
      <c r="G1852" s="3" t="s">
        <v>36</v>
      </c>
      <c r="H1852" s="3" t="s">
        <v>37</v>
      </c>
      <c r="I1852" s="4" t="n">
        <v>17</v>
      </c>
      <c r="J1852" s="4" t="n">
        <f aca="false">LEN(E1852)-LEN(SUBSTITUTE(E1852,",",""))+1</f>
        <v>7</v>
      </c>
      <c r="K1852" s="3" t="str">
        <f aca="false">IFERROR(INDEX('Teacher Lookup'!$B$2:$B$200,MATCH(A1852,'Teacher Lookup'!$A$2:$A$200,0)),"")</f>
        <v>FAN Cecilia</v>
      </c>
    </row>
    <row r="1853" customFormat="false" ht="15" hidden="false" customHeight="false" outlineLevel="0" collapsed="false">
      <c r="A1853" s="3" t="s">
        <v>321</v>
      </c>
      <c r="B1853" s="4" t="s">
        <v>44</v>
      </c>
      <c r="C1853" s="4" t="n">
        <v>5</v>
      </c>
      <c r="D1853" s="4" t="s">
        <v>22</v>
      </c>
      <c r="E1853" s="3" t="s">
        <v>35</v>
      </c>
      <c r="F1853" s="4" t="str">
        <f aca="false">IF(I1853&gt;J1853,"Y","N")</f>
        <v>Y</v>
      </c>
      <c r="G1853" s="3" t="s">
        <v>36</v>
      </c>
      <c r="H1853" s="3" t="s">
        <v>37</v>
      </c>
      <c r="I1853" s="4" t="n">
        <v>17</v>
      </c>
      <c r="J1853" s="4" t="n">
        <f aca="false">LEN(E1853)-LEN(SUBSTITUTE(E1853,",",""))+1</f>
        <v>7</v>
      </c>
      <c r="K1853" s="3" t="str">
        <f aca="false">IFERROR(INDEX('Teacher Lookup'!$B$2:$B$200,MATCH(A1853,'Teacher Lookup'!$A$2:$A$200,0)),"")</f>
        <v>FAN Cecilia</v>
      </c>
    </row>
    <row r="1854" customFormat="false" ht="15" hidden="false" customHeight="false" outlineLevel="0" collapsed="false">
      <c r="A1854" s="3" t="s">
        <v>321</v>
      </c>
      <c r="B1854" s="4" t="s">
        <v>44</v>
      </c>
      <c r="C1854" s="4" t="n">
        <v>5</v>
      </c>
      <c r="D1854" s="4" t="s">
        <v>23</v>
      </c>
      <c r="E1854" s="3" t="s">
        <v>35</v>
      </c>
      <c r="F1854" s="4" t="str">
        <f aca="false">IF(I1854&gt;J1854,"Y","N")</f>
        <v>Y</v>
      </c>
      <c r="G1854" s="3" t="s">
        <v>36</v>
      </c>
      <c r="H1854" s="3" t="s">
        <v>37</v>
      </c>
      <c r="I1854" s="4" t="n">
        <v>17</v>
      </c>
      <c r="J1854" s="4" t="n">
        <f aca="false">LEN(E1854)-LEN(SUBSTITUTE(E1854,",",""))+1</f>
        <v>7</v>
      </c>
      <c r="K1854" s="3" t="str">
        <f aca="false">IFERROR(INDEX('Teacher Lookup'!$B$2:$B$200,MATCH(A1854,'Teacher Lookup'!$A$2:$A$200,0)),"")</f>
        <v>FAN Cecilia</v>
      </c>
    </row>
    <row r="1855" customFormat="false" ht="15" hidden="false" customHeight="false" outlineLevel="0" collapsed="false">
      <c r="A1855" s="3" t="s">
        <v>321</v>
      </c>
      <c r="B1855" s="4" t="s">
        <v>44</v>
      </c>
      <c r="C1855" s="4" t="n">
        <v>5</v>
      </c>
      <c r="D1855" s="4" t="s">
        <v>13</v>
      </c>
      <c r="E1855" s="3" t="s">
        <v>35</v>
      </c>
      <c r="F1855" s="4" t="str">
        <f aca="false">IF(I1855&gt;J1855,"Y","N")</f>
        <v>Y</v>
      </c>
      <c r="G1855" s="3" t="s">
        <v>36</v>
      </c>
      <c r="H1855" s="3" t="s">
        <v>37</v>
      </c>
      <c r="I1855" s="4" t="n">
        <v>17</v>
      </c>
      <c r="J1855" s="4" t="n">
        <f aca="false">LEN(E1855)-LEN(SUBSTITUTE(E1855,",",""))+1</f>
        <v>7</v>
      </c>
      <c r="K1855" s="3" t="str">
        <f aca="false">IFERROR(INDEX('Teacher Lookup'!$B$2:$B$200,MATCH(A1855,'Teacher Lookup'!$A$2:$A$200,0)),"")</f>
        <v>FAN Cecilia</v>
      </c>
    </row>
    <row r="1856" customFormat="false" ht="15" hidden="false" customHeight="false" outlineLevel="0" collapsed="false">
      <c r="A1856" s="3" t="s">
        <v>321</v>
      </c>
      <c r="B1856" s="4" t="s">
        <v>44</v>
      </c>
      <c r="C1856" s="4" t="n">
        <v>5</v>
      </c>
      <c r="D1856" s="4" t="s">
        <v>17</v>
      </c>
      <c r="E1856" s="3" t="s">
        <v>35</v>
      </c>
      <c r="F1856" s="4" t="str">
        <f aca="false">IF(I1856&gt;J1856,"Y","N")</f>
        <v>Y</v>
      </c>
      <c r="G1856" s="3" t="s">
        <v>36</v>
      </c>
      <c r="H1856" s="3" t="s">
        <v>37</v>
      </c>
      <c r="I1856" s="4" t="n">
        <v>17</v>
      </c>
      <c r="J1856" s="4" t="n">
        <f aca="false">LEN(E1856)-LEN(SUBSTITUTE(E1856,",",""))+1</f>
        <v>7</v>
      </c>
      <c r="K1856" s="3" t="str">
        <f aca="false">IFERROR(INDEX('Teacher Lookup'!$B$2:$B$200,MATCH(A1856,'Teacher Lookup'!$A$2:$A$200,0)),"")</f>
        <v>FAN Cecilia</v>
      </c>
    </row>
    <row r="1857" customFormat="false" ht="15" hidden="false" customHeight="false" outlineLevel="0" collapsed="false">
      <c r="A1857" s="3" t="s">
        <v>321</v>
      </c>
      <c r="B1857" s="4" t="s">
        <v>44</v>
      </c>
      <c r="C1857" s="4" t="n">
        <v>5</v>
      </c>
      <c r="D1857" s="4" t="s">
        <v>18</v>
      </c>
      <c r="E1857" s="3" t="s">
        <v>35</v>
      </c>
      <c r="F1857" s="4" t="str">
        <f aca="false">IF(I1857&gt;J1857,"Y","N")</f>
        <v>Y</v>
      </c>
      <c r="G1857" s="3" t="s">
        <v>36</v>
      </c>
      <c r="H1857" s="3" t="s">
        <v>37</v>
      </c>
      <c r="I1857" s="4" t="n">
        <v>17</v>
      </c>
      <c r="J1857" s="4" t="n">
        <f aca="false">LEN(E1857)-LEN(SUBSTITUTE(E1857,",",""))+1</f>
        <v>7</v>
      </c>
      <c r="K1857" s="3" t="str">
        <f aca="false">IFERROR(INDEX('Teacher Lookup'!$B$2:$B$200,MATCH(A1857,'Teacher Lookup'!$A$2:$A$200,0)),"")</f>
        <v>FAN Cecilia</v>
      </c>
    </row>
    <row r="1858" customFormat="false" ht="15" hidden="false" customHeight="false" outlineLevel="0" collapsed="false">
      <c r="A1858" s="3" t="s">
        <v>321</v>
      </c>
      <c r="B1858" s="4" t="s">
        <v>44</v>
      </c>
      <c r="C1858" s="4" t="n">
        <v>6</v>
      </c>
      <c r="D1858" s="4" t="s">
        <v>13</v>
      </c>
      <c r="E1858" s="3" t="s">
        <v>323</v>
      </c>
      <c r="F1858" s="4" t="str">
        <f aca="false">IF(I1858&gt;J1858,"Y","N")</f>
        <v>N</v>
      </c>
      <c r="G1858" s="3" t="s">
        <v>72</v>
      </c>
      <c r="H1858" s="3" t="s">
        <v>42</v>
      </c>
      <c r="I1858" s="4" t="n">
        <v>4</v>
      </c>
      <c r="J1858" s="4" t="n">
        <f aca="false">LEN(E1858)-LEN(SUBSTITUTE(E1858,",",""))+1</f>
        <v>4</v>
      </c>
      <c r="K1858" s="3" t="str">
        <f aca="false">IFERROR(INDEX('Teacher Lookup'!$B$2:$B$200,MATCH(A1858,'Teacher Lookup'!$A$2:$A$200,0)),"")</f>
        <v>FAN Cecilia</v>
      </c>
    </row>
    <row r="1859" customFormat="false" ht="15" hidden="false" customHeight="false" outlineLevel="0" collapsed="false">
      <c r="A1859" s="3" t="s">
        <v>321</v>
      </c>
      <c r="B1859" s="4" t="s">
        <v>44</v>
      </c>
      <c r="C1859" s="4" t="n">
        <v>6</v>
      </c>
      <c r="D1859" s="4" t="s">
        <v>17</v>
      </c>
      <c r="E1859" s="3" t="s">
        <v>323</v>
      </c>
      <c r="F1859" s="4" t="str">
        <f aca="false">IF(I1859&gt;J1859,"Y","N")</f>
        <v>N</v>
      </c>
      <c r="G1859" s="3" t="s">
        <v>72</v>
      </c>
      <c r="H1859" s="3" t="s">
        <v>42</v>
      </c>
      <c r="I1859" s="4" t="n">
        <v>4</v>
      </c>
      <c r="J1859" s="4" t="n">
        <f aca="false">LEN(E1859)-LEN(SUBSTITUTE(E1859,",",""))+1</f>
        <v>4</v>
      </c>
      <c r="K1859" s="3" t="str">
        <f aca="false">IFERROR(INDEX('Teacher Lookup'!$B$2:$B$200,MATCH(A1859,'Teacher Lookup'!$A$2:$A$200,0)),"")</f>
        <v>FAN Cecilia</v>
      </c>
    </row>
    <row r="1860" customFormat="false" ht="15" hidden="false" customHeight="false" outlineLevel="0" collapsed="false">
      <c r="A1860" s="3" t="s">
        <v>321</v>
      </c>
      <c r="B1860" s="4" t="s">
        <v>44</v>
      </c>
      <c r="C1860" s="4" t="n">
        <v>6</v>
      </c>
      <c r="D1860" s="4" t="s">
        <v>18</v>
      </c>
      <c r="E1860" s="3" t="s">
        <v>323</v>
      </c>
      <c r="F1860" s="4" t="str">
        <f aca="false">IF(I1860&gt;J1860,"Y","N")</f>
        <v>N</v>
      </c>
      <c r="G1860" s="3" t="s">
        <v>72</v>
      </c>
      <c r="H1860" s="3" t="s">
        <v>42</v>
      </c>
      <c r="I1860" s="4" t="n">
        <v>4</v>
      </c>
      <c r="J1860" s="4" t="n">
        <f aca="false">LEN(E1860)-LEN(SUBSTITUTE(E1860,",",""))+1</f>
        <v>4</v>
      </c>
      <c r="K1860" s="3" t="str">
        <f aca="false">IFERROR(INDEX('Teacher Lookup'!$B$2:$B$200,MATCH(A1860,'Teacher Lookup'!$A$2:$A$200,0)),"")</f>
        <v>FAN Cecilia</v>
      </c>
    </row>
    <row r="1861" customFormat="false" ht="15" hidden="false" customHeight="false" outlineLevel="0" collapsed="false">
      <c r="A1861" s="3" t="s">
        <v>321</v>
      </c>
      <c r="B1861" s="4" t="s">
        <v>47</v>
      </c>
      <c r="C1861" s="4" t="n">
        <v>3</v>
      </c>
      <c r="D1861" s="4" t="s">
        <v>13</v>
      </c>
      <c r="E1861" s="3" t="s">
        <v>327</v>
      </c>
      <c r="F1861" s="4" t="str">
        <f aca="false">IF(I1861&gt;J1861,"Y","N")</f>
        <v>N</v>
      </c>
      <c r="G1861" s="3" t="s">
        <v>72</v>
      </c>
      <c r="H1861" s="3" t="s">
        <v>26</v>
      </c>
      <c r="I1861" s="4" t="n">
        <v>4</v>
      </c>
      <c r="J1861" s="4" t="n">
        <f aca="false">LEN(E1861)-LEN(SUBSTITUTE(E1861,",",""))+1</f>
        <v>4</v>
      </c>
      <c r="K1861" s="3" t="str">
        <f aca="false">IFERROR(INDEX('Teacher Lookup'!$B$2:$B$200,MATCH(A1861,'Teacher Lookup'!$A$2:$A$200,0)),"")</f>
        <v>FAN Cecilia</v>
      </c>
    </row>
    <row r="1862" customFormat="false" ht="15" hidden="false" customHeight="false" outlineLevel="0" collapsed="false">
      <c r="A1862" s="3" t="s">
        <v>321</v>
      </c>
      <c r="B1862" s="4" t="s">
        <v>47</v>
      </c>
      <c r="C1862" s="4" t="n">
        <v>3</v>
      </c>
      <c r="D1862" s="4" t="s">
        <v>17</v>
      </c>
      <c r="E1862" s="3" t="s">
        <v>327</v>
      </c>
      <c r="F1862" s="4" t="str">
        <f aca="false">IF(I1862&gt;J1862,"Y","N")</f>
        <v>N</v>
      </c>
      <c r="G1862" s="3" t="s">
        <v>72</v>
      </c>
      <c r="H1862" s="3" t="s">
        <v>26</v>
      </c>
      <c r="I1862" s="4" t="n">
        <v>4</v>
      </c>
      <c r="J1862" s="4" t="n">
        <f aca="false">LEN(E1862)-LEN(SUBSTITUTE(E1862,",",""))+1</f>
        <v>4</v>
      </c>
      <c r="K1862" s="3" t="str">
        <f aca="false">IFERROR(INDEX('Teacher Lookup'!$B$2:$B$200,MATCH(A1862,'Teacher Lookup'!$A$2:$A$200,0)),"")</f>
        <v>FAN Cecilia</v>
      </c>
    </row>
    <row r="1863" customFormat="false" ht="15" hidden="false" customHeight="false" outlineLevel="0" collapsed="false">
      <c r="A1863" s="3" t="s">
        <v>321</v>
      </c>
      <c r="B1863" s="4" t="s">
        <v>47</v>
      </c>
      <c r="C1863" s="4" t="n">
        <v>3</v>
      </c>
      <c r="D1863" s="4" t="s">
        <v>18</v>
      </c>
      <c r="E1863" s="3" t="s">
        <v>327</v>
      </c>
      <c r="F1863" s="4" t="str">
        <f aca="false">IF(I1863&gt;J1863,"Y","N")</f>
        <v>N</v>
      </c>
      <c r="G1863" s="3" t="s">
        <v>72</v>
      </c>
      <c r="H1863" s="3" t="s">
        <v>26</v>
      </c>
      <c r="I1863" s="4" t="n">
        <v>4</v>
      </c>
      <c r="J1863" s="4" t="n">
        <f aca="false">LEN(E1863)-LEN(SUBSTITUTE(E1863,",",""))+1</f>
        <v>4</v>
      </c>
      <c r="K1863" s="3" t="str">
        <f aca="false">IFERROR(INDEX('Teacher Lookup'!$B$2:$B$200,MATCH(A1863,'Teacher Lookup'!$A$2:$A$200,0)),"")</f>
        <v>FAN Cecilia</v>
      </c>
    </row>
    <row r="1864" customFormat="false" ht="15" hidden="false" customHeight="false" outlineLevel="0" collapsed="false">
      <c r="A1864" s="3" t="s">
        <v>321</v>
      </c>
      <c r="B1864" s="4" t="s">
        <v>47</v>
      </c>
      <c r="C1864" s="4" t="n">
        <v>4</v>
      </c>
      <c r="D1864" s="4" t="s">
        <v>19</v>
      </c>
      <c r="E1864" s="3" t="s">
        <v>33</v>
      </c>
      <c r="F1864" s="4" t="str">
        <f aca="false">IF(I1864&gt;J1864,"Y","N")</f>
        <v>N</v>
      </c>
      <c r="G1864" s="3" t="s">
        <v>72</v>
      </c>
      <c r="H1864" s="3" t="s">
        <v>34</v>
      </c>
      <c r="I1864" s="4" t="n">
        <v>4</v>
      </c>
      <c r="J1864" s="4" t="n">
        <f aca="false">LEN(E1864)-LEN(SUBSTITUTE(E1864,",",""))+1</f>
        <v>4</v>
      </c>
      <c r="K1864" s="3" t="str">
        <f aca="false">IFERROR(INDEX('Teacher Lookup'!$B$2:$B$200,MATCH(A1864,'Teacher Lookup'!$A$2:$A$200,0)),"")</f>
        <v>FAN Cecilia</v>
      </c>
    </row>
    <row r="1865" customFormat="false" ht="15" hidden="false" customHeight="false" outlineLevel="0" collapsed="false">
      <c r="A1865" s="3" t="s">
        <v>321</v>
      </c>
      <c r="B1865" s="4" t="s">
        <v>47</v>
      </c>
      <c r="C1865" s="4" t="n">
        <v>4</v>
      </c>
      <c r="D1865" s="4" t="s">
        <v>22</v>
      </c>
      <c r="E1865" s="3" t="s">
        <v>33</v>
      </c>
      <c r="F1865" s="4" t="str">
        <f aca="false">IF(I1865&gt;J1865,"Y","N")</f>
        <v>N</v>
      </c>
      <c r="G1865" s="3" t="s">
        <v>72</v>
      </c>
      <c r="H1865" s="3" t="s">
        <v>34</v>
      </c>
      <c r="I1865" s="4" t="n">
        <v>4</v>
      </c>
      <c r="J1865" s="4" t="n">
        <f aca="false">LEN(E1865)-LEN(SUBSTITUTE(E1865,",",""))+1</f>
        <v>4</v>
      </c>
      <c r="K1865" s="3" t="str">
        <f aca="false">IFERROR(INDEX('Teacher Lookup'!$B$2:$B$200,MATCH(A1865,'Teacher Lookup'!$A$2:$A$200,0)),"")</f>
        <v>FAN Cecilia</v>
      </c>
    </row>
    <row r="1866" customFormat="false" ht="15" hidden="false" customHeight="false" outlineLevel="0" collapsed="false">
      <c r="A1866" s="3" t="s">
        <v>321</v>
      </c>
      <c r="B1866" s="4" t="s">
        <v>47</v>
      </c>
      <c r="C1866" s="4" t="n">
        <v>4</v>
      </c>
      <c r="D1866" s="4" t="s">
        <v>23</v>
      </c>
      <c r="E1866" s="3" t="s">
        <v>33</v>
      </c>
      <c r="F1866" s="4" t="str">
        <f aca="false">IF(I1866&gt;J1866,"Y","N")</f>
        <v>N</v>
      </c>
      <c r="G1866" s="3" t="s">
        <v>72</v>
      </c>
      <c r="H1866" s="3" t="s">
        <v>34</v>
      </c>
      <c r="I1866" s="4" t="n">
        <v>4</v>
      </c>
      <c r="J1866" s="4" t="n">
        <f aca="false">LEN(E1866)-LEN(SUBSTITUTE(E1866,",",""))+1</f>
        <v>4</v>
      </c>
      <c r="K1866" s="3" t="str">
        <f aca="false">IFERROR(INDEX('Teacher Lookup'!$B$2:$B$200,MATCH(A1866,'Teacher Lookup'!$A$2:$A$200,0)),"")</f>
        <v>FAN Cecilia</v>
      </c>
    </row>
    <row r="1867" customFormat="false" ht="15" hidden="false" customHeight="false" outlineLevel="0" collapsed="false">
      <c r="A1867" s="3" t="s">
        <v>321</v>
      </c>
      <c r="B1867" s="4" t="s">
        <v>47</v>
      </c>
      <c r="C1867" s="4" t="n">
        <v>6</v>
      </c>
      <c r="D1867" s="4" t="s">
        <v>105</v>
      </c>
      <c r="E1867" s="3" t="s">
        <v>328</v>
      </c>
      <c r="F1867" s="4" t="str">
        <f aca="false">IF(I1867&gt;J1867,"Y","N")</f>
        <v>N</v>
      </c>
      <c r="G1867" s="3" t="s">
        <v>72</v>
      </c>
      <c r="H1867" s="3" t="s">
        <v>42</v>
      </c>
      <c r="I1867" s="4" t="n">
        <v>3</v>
      </c>
      <c r="J1867" s="4" t="n">
        <f aca="false">LEN(E1867)-LEN(SUBSTITUTE(E1867,",",""))+1</f>
        <v>3</v>
      </c>
      <c r="K1867" s="3" t="str">
        <f aca="false">IFERROR(INDEX('Teacher Lookup'!$B$2:$B$200,MATCH(A1867,'Teacher Lookup'!$A$2:$A$200,0)),"")</f>
        <v>FAN Cecilia</v>
      </c>
    </row>
    <row r="1868" customFormat="false" ht="15" hidden="false" customHeight="false" outlineLevel="0" collapsed="false">
      <c r="A1868" s="3" t="s">
        <v>321</v>
      </c>
      <c r="B1868" s="4" t="s">
        <v>47</v>
      </c>
      <c r="C1868" s="4" t="n">
        <v>6</v>
      </c>
      <c r="D1868" s="4" t="s">
        <v>106</v>
      </c>
      <c r="E1868" s="3" t="s">
        <v>328</v>
      </c>
      <c r="F1868" s="4" t="str">
        <f aca="false">IF(I1868&gt;J1868,"Y","N")</f>
        <v>N</v>
      </c>
      <c r="G1868" s="3" t="s">
        <v>72</v>
      </c>
      <c r="H1868" s="3" t="s">
        <v>42</v>
      </c>
      <c r="I1868" s="4" t="n">
        <v>3</v>
      </c>
      <c r="J1868" s="4" t="n">
        <f aca="false">LEN(E1868)-LEN(SUBSTITUTE(E1868,",",""))+1</f>
        <v>3</v>
      </c>
      <c r="K1868" s="3" t="str">
        <f aca="false">IFERROR(INDEX('Teacher Lookup'!$B$2:$B$200,MATCH(A1868,'Teacher Lookup'!$A$2:$A$200,0)),"")</f>
        <v>FAN Cecilia</v>
      </c>
    </row>
    <row r="1869" customFormat="false" ht="15" hidden="false" customHeight="false" outlineLevel="0" collapsed="false">
      <c r="A1869" s="3" t="s">
        <v>321</v>
      </c>
      <c r="B1869" s="4" t="s">
        <v>47</v>
      </c>
      <c r="C1869" s="4" t="n">
        <v>7</v>
      </c>
      <c r="D1869" s="4" t="s">
        <v>105</v>
      </c>
      <c r="E1869" s="3" t="s">
        <v>328</v>
      </c>
      <c r="F1869" s="4" t="str">
        <f aca="false">IF(I1869&gt;J1869,"Y","N")</f>
        <v>N</v>
      </c>
      <c r="G1869" s="3" t="s">
        <v>72</v>
      </c>
      <c r="H1869" s="3" t="s">
        <v>39</v>
      </c>
      <c r="I1869" s="4" t="n">
        <v>3</v>
      </c>
      <c r="J1869" s="4" t="n">
        <f aca="false">LEN(E1869)-LEN(SUBSTITUTE(E1869,",",""))+1</f>
        <v>3</v>
      </c>
      <c r="K1869" s="3" t="str">
        <f aca="false">IFERROR(INDEX('Teacher Lookup'!$B$2:$B$200,MATCH(A1869,'Teacher Lookup'!$A$2:$A$200,0)),"")</f>
        <v>FAN Cecilia</v>
      </c>
    </row>
    <row r="1870" customFormat="false" ht="15" hidden="false" customHeight="false" outlineLevel="0" collapsed="false">
      <c r="A1870" s="3" t="s">
        <v>321</v>
      </c>
      <c r="B1870" s="4" t="s">
        <v>47</v>
      </c>
      <c r="C1870" s="4" t="n">
        <v>7</v>
      </c>
      <c r="D1870" s="4" t="s">
        <v>106</v>
      </c>
      <c r="E1870" s="3" t="s">
        <v>328</v>
      </c>
      <c r="F1870" s="4" t="str">
        <f aca="false">IF(I1870&gt;J1870,"Y","N")</f>
        <v>N</v>
      </c>
      <c r="G1870" s="3" t="s">
        <v>72</v>
      </c>
      <c r="H1870" s="3" t="s">
        <v>39</v>
      </c>
      <c r="I1870" s="4" t="n">
        <v>3</v>
      </c>
      <c r="J1870" s="4" t="n">
        <f aca="false">LEN(E1870)-LEN(SUBSTITUTE(E1870,",",""))+1</f>
        <v>3</v>
      </c>
      <c r="K1870" s="3" t="str">
        <f aca="false">IFERROR(INDEX('Teacher Lookup'!$B$2:$B$200,MATCH(A1870,'Teacher Lookup'!$A$2:$A$200,0)),"")</f>
        <v>FAN Cecilia</v>
      </c>
    </row>
    <row r="1871" customFormat="false" ht="15" hidden="false" customHeight="false" outlineLevel="0" collapsed="false">
      <c r="A1871" s="3" t="s">
        <v>321</v>
      </c>
      <c r="B1871" s="4" t="s">
        <v>50</v>
      </c>
      <c r="C1871" s="4" t="n">
        <v>3</v>
      </c>
      <c r="D1871" s="4" t="s">
        <v>19</v>
      </c>
      <c r="E1871" s="3" t="s">
        <v>329</v>
      </c>
      <c r="F1871" s="4" t="str">
        <f aca="false">IF(I1871&gt;J1871,"Y","N")</f>
        <v>N</v>
      </c>
      <c r="G1871" s="3" t="s">
        <v>72</v>
      </c>
      <c r="H1871" s="3" t="s">
        <v>26</v>
      </c>
      <c r="I1871" s="4" t="n">
        <v>4</v>
      </c>
      <c r="J1871" s="4" t="n">
        <f aca="false">LEN(E1871)-LEN(SUBSTITUTE(E1871,",",""))+1</f>
        <v>4</v>
      </c>
      <c r="K1871" s="3" t="str">
        <f aca="false">IFERROR(INDEX('Teacher Lookup'!$B$2:$B$200,MATCH(A1871,'Teacher Lookup'!$A$2:$A$200,0)),"")</f>
        <v>FAN Cecilia</v>
      </c>
    </row>
    <row r="1872" customFormat="false" ht="15" hidden="false" customHeight="false" outlineLevel="0" collapsed="false">
      <c r="A1872" s="3" t="s">
        <v>321</v>
      </c>
      <c r="B1872" s="4" t="s">
        <v>50</v>
      </c>
      <c r="C1872" s="4" t="n">
        <v>3</v>
      </c>
      <c r="D1872" s="4" t="s">
        <v>22</v>
      </c>
      <c r="E1872" s="3" t="s">
        <v>329</v>
      </c>
      <c r="F1872" s="4" t="str">
        <f aca="false">IF(I1872&gt;J1872,"Y","N")</f>
        <v>N</v>
      </c>
      <c r="G1872" s="3" t="s">
        <v>72</v>
      </c>
      <c r="H1872" s="3" t="s">
        <v>26</v>
      </c>
      <c r="I1872" s="4" t="n">
        <v>4</v>
      </c>
      <c r="J1872" s="4" t="n">
        <f aca="false">LEN(E1872)-LEN(SUBSTITUTE(E1872,",",""))+1</f>
        <v>4</v>
      </c>
      <c r="K1872" s="3" t="str">
        <f aca="false">IFERROR(INDEX('Teacher Lookup'!$B$2:$B$200,MATCH(A1872,'Teacher Lookup'!$A$2:$A$200,0)),"")</f>
        <v>FAN Cecilia</v>
      </c>
    </row>
    <row r="1873" customFormat="false" ht="15" hidden="false" customHeight="false" outlineLevel="0" collapsed="false">
      <c r="A1873" s="3" t="s">
        <v>321</v>
      </c>
      <c r="B1873" s="4" t="s">
        <v>50</v>
      </c>
      <c r="C1873" s="4" t="n">
        <v>3</v>
      </c>
      <c r="D1873" s="4" t="s">
        <v>23</v>
      </c>
      <c r="E1873" s="3" t="s">
        <v>329</v>
      </c>
      <c r="F1873" s="4" t="str">
        <f aca="false">IF(I1873&gt;J1873,"Y","N")</f>
        <v>N</v>
      </c>
      <c r="G1873" s="3" t="s">
        <v>72</v>
      </c>
      <c r="H1873" s="3" t="s">
        <v>26</v>
      </c>
      <c r="I1873" s="4" t="n">
        <v>4</v>
      </c>
      <c r="J1873" s="4" t="n">
        <f aca="false">LEN(E1873)-LEN(SUBSTITUTE(E1873,",",""))+1</f>
        <v>4</v>
      </c>
      <c r="K1873" s="3" t="str">
        <f aca="false">IFERROR(INDEX('Teacher Lookup'!$B$2:$B$200,MATCH(A1873,'Teacher Lookup'!$A$2:$A$200,0)),"")</f>
        <v>FAN Cecilia</v>
      </c>
    </row>
    <row r="1874" customFormat="false" ht="15" hidden="false" customHeight="false" outlineLevel="0" collapsed="false">
      <c r="A1874" s="3" t="s">
        <v>321</v>
      </c>
      <c r="B1874" s="4" t="s">
        <v>50</v>
      </c>
      <c r="C1874" s="4" t="n">
        <v>5</v>
      </c>
      <c r="D1874" s="4" t="s">
        <v>13</v>
      </c>
      <c r="E1874" s="3" t="s">
        <v>330</v>
      </c>
      <c r="F1874" s="4" t="str">
        <f aca="false">IF(I1874&gt;J1874,"Y","N")</f>
        <v>N</v>
      </c>
      <c r="G1874" s="3" t="s">
        <v>72</v>
      </c>
      <c r="H1874" s="3" t="s">
        <v>37</v>
      </c>
      <c r="I1874" s="4" t="n">
        <v>4</v>
      </c>
      <c r="J1874" s="4" t="n">
        <f aca="false">LEN(E1874)-LEN(SUBSTITUTE(E1874,",",""))+1</f>
        <v>4</v>
      </c>
      <c r="K1874" s="3" t="str">
        <f aca="false">IFERROR(INDEX('Teacher Lookup'!$B$2:$B$200,MATCH(A1874,'Teacher Lookup'!$A$2:$A$200,0)),"")</f>
        <v>FAN Cecilia</v>
      </c>
    </row>
    <row r="1875" customFormat="false" ht="15" hidden="false" customHeight="false" outlineLevel="0" collapsed="false">
      <c r="A1875" s="3" t="s">
        <v>321</v>
      </c>
      <c r="B1875" s="4" t="s">
        <v>50</v>
      </c>
      <c r="C1875" s="4" t="n">
        <v>5</v>
      </c>
      <c r="D1875" s="4" t="s">
        <v>17</v>
      </c>
      <c r="E1875" s="3" t="s">
        <v>330</v>
      </c>
      <c r="F1875" s="4" t="str">
        <f aca="false">IF(I1875&gt;J1875,"Y","N")</f>
        <v>N</v>
      </c>
      <c r="G1875" s="3" t="s">
        <v>72</v>
      </c>
      <c r="H1875" s="3" t="s">
        <v>37</v>
      </c>
      <c r="I1875" s="4" t="n">
        <v>4</v>
      </c>
      <c r="J1875" s="4" t="n">
        <f aca="false">LEN(E1875)-LEN(SUBSTITUTE(E1875,",",""))+1</f>
        <v>4</v>
      </c>
      <c r="K1875" s="3" t="str">
        <f aca="false">IFERROR(INDEX('Teacher Lookup'!$B$2:$B$200,MATCH(A1875,'Teacher Lookup'!$A$2:$A$200,0)),"")</f>
        <v>FAN Cecilia</v>
      </c>
    </row>
    <row r="1876" customFormat="false" ht="15" hidden="false" customHeight="false" outlineLevel="0" collapsed="false">
      <c r="A1876" s="3" t="s">
        <v>321</v>
      </c>
      <c r="B1876" s="4" t="s">
        <v>50</v>
      </c>
      <c r="C1876" s="4" t="n">
        <v>5</v>
      </c>
      <c r="D1876" s="4" t="s">
        <v>18</v>
      </c>
      <c r="E1876" s="3" t="s">
        <v>330</v>
      </c>
      <c r="F1876" s="4" t="str">
        <f aca="false">IF(I1876&gt;J1876,"Y","N")</f>
        <v>N</v>
      </c>
      <c r="G1876" s="3" t="s">
        <v>72</v>
      </c>
      <c r="H1876" s="3" t="s">
        <v>37</v>
      </c>
      <c r="I1876" s="4" t="n">
        <v>4</v>
      </c>
      <c r="J1876" s="4" t="n">
        <f aca="false">LEN(E1876)-LEN(SUBSTITUTE(E1876,",",""))+1</f>
        <v>4</v>
      </c>
      <c r="K1876" s="3" t="str">
        <f aca="false">IFERROR(INDEX('Teacher Lookup'!$B$2:$B$200,MATCH(A1876,'Teacher Lookup'!$A$2:$A$200,0)),"")</f>
        <v>FAN Cecilia</v>
      </c>
    </row>
    <row r="1877" customFormat="false" ht="15" hidden="false" customHeight="false" outlineLevel="0" collapsed="false">
      <c r="A1877" s="3" t="s">
        <v>321</v>
      </c>
      <c r="B1877" s="4" t="s">
        <v>50</v>
      </c>
      <c r="C1877" s="4" t="n">
        <v>7</v>
      </c>
      <c r="D1877" s="4" t="s">
        <v>105</v>
      </c>
      <c r="E1877" s="3" t="s">
        <v>331</v>
      </c>
      <c r="F1877" s="4" t="str">
        <f aca="false">IF(I1877&gt;J1877,"Y","N")</f>
        <v>N</v>
      </c>
      <c r="G1877" s="3" t="s">
        <v>72</v>
      </c>
      <c r="H1877" s="3" t="s">
        <v>39</v>
      </c>
      <c r="I1877" s="4" t="n">
        <v>3</v>
      </c>
      <c r="J1877" s="4" t="n">
        <f aca="false">LEN(E1877)-LEN(SUBSTITUTE(E1877,",",""))+1</f>
        <v>3</v>
      </c>
      <c r="K1877" s="3" t="str">
        <f aca="false">IFERROR(INDEX('Teacher Lookup'!$B$2:$B$200,MATCH(A1877,'Teacher Lookup'!$A$2:$A$200,0)),"")</f>
        <v>FAN Cecilia</v>
      </c>
    </row>
    <row r="1878" customFormat="false" ht="15" hidden="false" customHeight="false" outlineLevel="0" collapsed="false">
      <c r="A1878" s="3" t="s">
        <v>321</v>
      </c>
      <c r="B1878" s="4" t="s">
        <v>50</v>
      </c>
      <c r="C1878" s="4" t="n">
        <v>7</v>
      </c>
      <c r="D1878" s="4" t="s">
        <v>106</v>
      </c>
      <c r="E1878" s="3" t="s">
        <v>331</v>
      </c>
      <c r="F1878" s="4" t="str">
        <f aca="false">IF(I1878&gt;J1878,"Y","N")</f>
        <v>N</v>
      </c>
      <c r="G1878" s="3" t="s">
        <v>72</v>
      </c>
      <c r="H1878" s="3" t="s">
        <v>39</v>
      </c>
      <c r="I1878" s="4" t="n">
        <v>3</v>
      </c>
      <c r="J1878" s="4" t="n">
        <f aca="false">LEN(E1878)-LEN(SUBSTITUTE(E1878,",",""))+1</f>
        <v>3</v>
      </c>
      <c r="K1878" s="3" t="str">
        <f aca="false">IFERROR(INDEX('Teacher Lookup'!$B$2:$B$200,MATCH(A1878,'Teacher Lookup'!$A$2:$A$200,0)),"")</f>
        <v>FAN Cecilia</v>
      </c>
    </row>
    <row r="1879" customFormat="false" ht="15" hidden="false" customHeight="false" outlineLevel="0" collapsed="false">
      <c r="A1879" s="3" t="s">
        <v>321</v>
      </c>
      <c r="B1879" s="4" t="s">
        <v>60</v>
      </c>
      <c r="C1879" s="4" t="n">
        <v>1</v>
      </c>
      <c r="D1879" s="4" t="s">
        <v>19</v>
      </c>
      <c r="E1879" s="3" t="s">
        <v>20</v>
      </c>
      <c r="F1879" s="4" t="str">
        <f aca="false">IF(I1879&gt;J1879,"Y","N")</f>
        <v>N</v>
      </c>
      <c r="G1879" s="3" t="s">
        <v>72</v>
      </c>
      <c r="H1879" s="3" t="s">
        <v>16</v>
      </c>
      <c r="I1879" s="4" t="n">
        <v>4</v>
      </c>
      <c r="J1879" s="4" t="n">
        <f aca="false">LEN(E1879)-LEN(SUBSTITUTE(E1879,",",""))+1</f>
        <v>4</v>
      </c>
      <c r="K1879" s="3" t="str">
        <f aca="false">IFERROR(INDEX('Teacher Lookup'!$B$2:$B$200,MATCH(A1879,'Teacher Lookup'!$A$2:$A$200,0)),"")</f>
        <v>FAN Cecilia</v>
      </c>
    </row>
    <row r="1880" customFormat="false" ht="15" hidden="false" customHeight="false" outlineLevel="0" collapsed="false">
      <c r="A1880" s="3" t="s">
        <v>321</v>
      </c>
      <c r="B1880" s="4" t="s">
        <v>60</v>
      </c>
      <c r="C1880" s="4" t="n">
        <v>1</v>
      </c>
      <c r="D1880" s="4" t="s">
        <v>22</v>
      </c>
      <c r="E1880" s="3" t="s">
        <v>20</v>
      </c>
      <c r="F1880" s="4" t="str">
        <f aca="false">IF(I1880&gt;J1880,"Y","N")</f>
        <v>N</v>
      </c>
      <c r="G1880" s="3" t="s">
        <v>72</v>
      </c>
      <c r="H1880" s="3" t="s">
        <v>16</v>
      </c>
      <c r="I1880" s="4" t="n">
        <v>4</v>
      </c>
      <c r="J1880" s="4" t="n">
        <f aca="false">LEN(E1880)-LEN(SUBSTITUTE(E1880,",",""))+1</f>
        <v>4</v>
      </c>
      <c r="K1880" s="3" t="str">
        <f aca="false">IFERROR(INDEX('Teacher Lookup'!$B$2:$B$200,MATCH(A1880,'Teacher Lookup'!$A$2:$A$200,0)),"")</f>
        <v>FAN Cecilia</v>
      </c>
    </row>
    <row r="1881" customFormat="false" ht="15" hidden="false" customHeight="false" outlineLevel="0" collapsed="false">
      <c r="A1881" s="3" t="s">
        <v>321</v>
      </c>
      <c r="B1881" s="4" t="s">
        <v>60</v>
      </c>
      <c r="C1881" s="4" t="n">
        <v>1</v>
      </c>
      <c r="D1881" s="4" t="s">
        <v>23</v>
      </c>
      <c r="E1881" s="3" t="s">
        <v>20</v>
      </c>
      <c r="F1881" s="4" t="str">
        <f aca="false">IF(I1881&gt;J1881,"Y","N")</f>
        <v>N</v>
      </c>
      <c r="G1881" s="3" t="s">
        <v>72</v>
      </c>
      <c r="H1881" s="3" t="s">
        <v>16</v>
      </c>
      <c r="I1881" s="4" t="n">
        <v>4</v>
      </c>
      <c r="J1881" s="4" t="n">
        <f aca="false">LEN(E1881)-LEN(SUBSTITUTE(E1881,",",""))+1</f>
        <v>4</v>
      </c>
      <c r="K1881" s="3" t="str">
        <f aca="false">IFERROR(INDEX('Teacher Lookup'!$B$2:$B$200,MATCH(A1881,'Teacher Lookup'!$A$2:$A$200,0)),"")</f>
        <v>FAN Cecilia</v>
      </c>
    </row>
    <row r="1882" customFormat="false" ht="15" hidden="false" customHeight="false" outlineLevel="0" collapsed="false">
      <c r="A1882" s="3" t="s">
        <v>321</v>
      </c>
      <c r="B1882" s="4" t="s">
        <v>60</v>
      </c>
      <c r="C1882" s="4" t="n">
        <v>3</v>
      </c>
      <c r="D1882" s="4" t="s">
        <v>105</v>
      </c>
      <c r="E1882" s="3" t="s">
        <v>332</v>
      </c>
      <c r="F1882" s="4" t="str">
        <f aca="false">IF(I1882&gt;J1882,"Y","N")</f>
        <v>N</v>
      </c>
      <c r="G1882" s="3" t="s">
        <v>72</v>
      </c>
      <c r="H1882" s="3" t="s">
        <v>26</v>
      </c>
      <c r="I1882" s="4" t="n">
        <v>3</v>
      </c>
      <c r="J1882" s="4" t="n">
        <f aca="false">LEN(E1882)-LEN(SUBSTITUTE(E1882,",",""))+1</f>
        <v>3</v>
      </c>
      <c r="K1882" s="3" t="str">
        <f aca="false">IFERROR(INDEX('Teacher Lookup'!$B$2:$B$200,MATCH(A1882,'Teacher Lookup'!$A$2:$A$200,0)),"")</f>
        <v>FAN Cecilia</v>
      </c>
    </row>
    <row r="1883" customFormat="false" ht="15" hidden="false" customHeight="false" outlineLevel="0" collapsed="false">
      <c r="A1883" s="3" t="s">
        <v>321</v>
      </c>
      <c r="B1883" s="4" t="s">
        <v>60</v>
      </c>
      <c r="C1883" s="4" t="n">
        <v>3</v>
      </c>
      <c r="D1883" s="4" t="s">
        <v>106</v>
      </c>
      <c r="E1883" s="3" t="s">
        <v>332</v>
      </c>
      <c r="F1883" s="4" t="str">
        <f aca="false">IF(I1883&gt;J1883,"Y","N")</f>
        <v>N</v>
      </c>
      <c r="G1883" s="3" t="s">
        <v>72</v>
      </c>
      <c r="H1883" s="3" t="s">
        <v>26</v>
      </c>
      <c r="I1883" s="4" t="n">
        <v>3</v>
      </c>
      <c r="J1883" s="4" t="n">
        <f aca="false">LEN(E1883)-LEN(SUBSTITUTE(E1883,",",""))+1</f>
        <v>3</v>
      </c>
      <c r="K1883" s="3" t="str">
        <f aca="false">IFERROR(INDEX('Teacher Lookup'!$B$2:$B$200,MATCH(A1883,'Teacher Lookup'!$A$2:$A$200,0)),"")</f>
        <v>FAN Cecilia</v>
      </c>
    </row>
    <row r="1884" customFormat="false" ht="15" hidden="false" customHeight="false" outlineLevel="0" collapsed="false">
      <c r="A1884" s="3" t="s">
        <v>321</v>
      </c>
      <c r="B1884" s="4" t="s">
        <v>60</v>
      </c>
      <c r="C1884" s="4" t="n">
        <v>4</v>
      </c>
      <c r="D1884" s="4" t="s">
        <v>13</v>
      </c>
      <c r="E1884" s="3" t="s">
        <v>333</v>
      </c>
      <c r="F1884" s="4" t="str">
        <f aca="false">IF(I1884&gt;J1884,"Y","N")</f>
        <v>N</v>
      </c>
      <c r="G1884" s="3" t="s">
        <v>72</v>
      </c>
      <c r="H1884" s="3" t="s">
        <v>34</v>
      </c>
      <c r="I1884" s="4" t="n">
        <v>4</v>
      </c>
      <c r="J1884" s="4" t="n">
        <f aca="false">LEN(E1884)-LEN(SUBSTITUTE(E1884,",",""))+1</f>
        <v>4</v>
      </c>
      <c r="K1884" s="3" t="str">
        <f aca="false">IFERROR(INDEX('Teacher Lookup'!$B$2:$B$200,MATCH(A1884,'Teacher Lookup'!$A$2:$A$200,0)),"")</f>
        <v>FAN Cecilia</v>
      </c>
    </row>
    <row r="1885" customFormat="false" ht="15" hidden="false" customHeight="false" outlineLevel="0" collapsed="false">
      <c r="A1885" s="3" t="s">
        <v>321</v>
      </c>
      <c r="B1885" s="4" t="s">
        <v>60</v>
      </c>
      <c r="C1885" s="4" t="n">
        <v>4</v>
      </c>
      <c r="D1885" s="4" t="s">
        <v>17</v>
      </c>
      <c r="E1885" s="3" t="s">
        <v>333</v>
      </c>
      <c r="F1885" s="4" t="str">
        <f aca="false">IF(I1885&gt;J1885,"Y","N")</f>
        <v>N</v>
      </c>
      <c r="G1885" s="3" t="s">
        <v>72</v>
      </c>
      <c r="H1885" s="3" t="s">
        <v>34</v>
      </c>
      <c r="I1885" s="4" t="n">
        <v>4</v>
      </c>
      <c r="J1885" s="4" t="n">
        <f aca="false">LEN(E1885)-LEN(SUBSTITUTE(E1885,",",""))+1</f>
        <v>4</v>
      </c>
      <c r="K1885" s="3" t="str">
        <f aca="false">IFERROR(INDEX('Teacher Lookup'!$B$2:$B$200,MATCH(A1885,'Teacher Lookup'!$A$2:$A$200,0)),"")</f>
        <v>FAN Cecilia</v>
      </c>
    </row>
    <row r="1886" customFormat="false" ht="15" hidden="false" customHeight="false" outlineLevel="0" collapsed="false">
      <c r="A1886" s="3" t="s">
        <v>321</v>
      </c>
      <c r="B1886" s="4" t="s">
        <v>60</v>
      </c>
      <c r="C1886" s="4" t="n">
        <v>4</v>
      </c>
      <c r="D1886" s="4" t="s">
        <v>18</v>
      </c>
      <c r="E1886" s="3" t="s">
        <v>333</v>
      </c>
      <c r="F1886" s="4" t="str">
        <f aca="false">IF(I1886&gt;J1886,"Y","N")</f>
        <v>N</v>
      </c>
      <c r="G1886" s="3" t="s">
        <v>72</v>
      </c>
      <c r="H1886" s="3" t="s">
        <v>34</v>
      </c>
      <c r="I1886" s="4" t="n">
        <v>4</v>
      </c>
      <c r="J1886" s="4" t="n">
        <f aca="false">LEN(E1886)-LEN(SUBSTITUTE(E1886,",",""))+1</f>
        <v>4</v>
      </c>
      <c r="K1886" s="3" t="str">
        <f aca="false">IFERROR(INDEX('Teacher Lookup'!$B$2:$B$200,MATCH(A1886,'Teacher Lookup'!$A$2:$A$200,0)),"")</f>
        <v>FAN Cecilia</v>
      </c>
    </row>
    <row r="1887" customFormat="false" ht="15" hidden="false" customHeight="false" outlineLevel="0" collapsed="false">
      <c r="A1887" s="3" t="s">
        <v>321</v>
      </c>
      <c r="B1887" s="4" t="s">
        <v>60</v>
      </c>
      <c r="C1887" s="4" t="n">
        <v>5</v>
      </c>
      <c r="D1887" s="4" t="s">
        <v>19</v>
      </c>
      <c r="E1887" s="3" t="s">
        <v>35</v>
      </c>
      <c r="F1887" s="4" t="str">
        <f aca="false">IF(I1887&gt;J1887,"Y","N")</f>
        <v>Y</v>
      </c>
      <c r="G1887" s="3" t="s">
        <v>36</v>
      </c>
      <c r="H1887" s="3" t="s">
        <v>37</v>
      </c>
      <c r="I1887" s="4" t="n">
        <v>17</v>
      </c>
      <c r="J1887" s="4" t="n">
        <f aca="false">LEN(E1887)-LEN(SUBSTITUTE(E1887,",",""))+1</f>
        <v>7</v>
      </c>
      <c r="K1887" s="3" t="str">
        <f aca="false">IFERROR(INDEX('Teacher Lookup'!$B$2:$B$200,MATCH(A1887,'Teacher Lookup'!$A$2:$A$200,0)),"")</f>
        <v>FAN Cecilia</v>
      </c>
    </row>
    <row r="1888" customFormat="false" ht="15" hidden="false" customHeight="false" outlineLevel="0" collapsed="false">
      <c r="A1888" s="3" t="s">
        <v>321</v>
      </c>
      <c r="B1888" s="4" t="s">
        <v>60</v>
      </c>
      <c r="C1888" s="4" t="n">
        <v>5</v>
      </c>
      <c r="D1888" s="4" t="s">
        <v>22</v>
      </c>
      <c r="E1888" s="3" t="s">
        <v>35</v>
      </c>
      <c r="F1888" s="4" t="str">
        <f aca="false">IF(I1888&gt;J1888,"Y","N")</f>
        <v>Y</v>
      </c>
      <c r="G1888" s="3" t="s">
        <v>36</v>
      </c>
      <c r="H1888" s="3" t="s">
        <v>37</v>
      </c>
      <c r="I1888" s="4" t="n">
        <v>17</v>
      </c>
      <c r="J1888" s="4" t="n">
        <f aca="false">LEN(E1888)-LEN(SUBSTITUTE(E1888,",",""))+1</f>
        <v>7</v>
      </c>
      <c r="K1888" s="3" t="str">
        <f aca="false">IFERROR(INDEX('Teacher Lookup'!$B$2:$B$200,MATCH(A1888,'Teacher Lookup'!$A$2:$A$200,0)),"")</f>
        <v>FAN Cecilia</v>
      </c>
    </row>
    <row r="1889" customFormat="false" ht="15" hidden="false" customHeight="false" outlineLevel="0" collapsed="false">
      <c r="A1889" s="3" t="s">
        <v>321</v>
      </c>
      <c r="B1889" s="4" t="s">
        <v>60</v>
      </c>
      <c r="C1889" s="4" t="n">
        <v>5</v>
      </c>
      <c r="D1889" s="4" t="s">
        <v>23</v>
      </c>
      <c r="E1889" s="3" t="s">
        <v>35</v>
      </c>
      <c r="F1889" s="4" t="str">
        <f aca="false">IF(I1889&gt;J1889,"Y","N")</f>
        <v>Y</v>
      </c>
      <c r="G1889" s="3" t="s">
        <v>36</v>
      </c>
      <c r="H1889" s="3" t="s">
        <v>37</v>
      </c>
      <c r="I1889" s="4" t="n">
        <v>17</v>
      </c>
      <c r="J1889" s="4" t="n">
        <f aca="false">LEN(E1889)-LEN(SUBSTITUTE(E1889,",",""))+1</f>
        <v>7</v>
      </c>
      <c r="K1889" s="3" t="str">
        <f aca="false">IFERROR(INDEX('Teacher Lookup'!$B$2:$B$200,MATCH(A1889,'Teacher Lookup'!$A$2:$A$200,0)),"")</f>
        <v>FAN Cecilia</v>
      </c>
    </row>
    <row r="1890" customFormat="false" ht="15" hidden="false" customHeight="false" outlineLevel="0" collapsed="false">
      <c r="A1890" s="3" t="s">
        <v>321</v>
      </c>
      <c r="B1890" s="4" t="s">
        <v>60</v>
      </c>
      <c r="C1890" s="4" t="n">
        <v>5</v>
      </c>
      <c r="D1890" s="4" t="s">
        <v>13</v>
      </c>
      <c r="E1890" s="3" t="s">
        <v>35</v>
      </c>
      <c r="F1890" s="4" t="str">
        <f aca="false">IF(I1890&gt;J1890,"Y","N")</f>
        <v>Y</v>
      </c>
      <c r="G1890" s="3" t="s">
        <v>36</v>
      </c>
      <c r="H1890" s="3" t="s">
        <v>37</v>
      </c>
      <c r="I1890" s="4" t="n">
        <v>17</v>
      </c>
      <c r="J1890" s="4" t="n">
        <f aca="false">LEN(E1890)-LEN(SUBSTITUTE(E1890,",",""))+1</f>
        <v>7</v>
      </c>
      <c r="K1890" s="3" t="str">
        <f aca="false">IFERROR(INDEX('Teacher Lookup'!$B$2:$B$200,MATCH(A1890,'Teacher Lookup'!$A$2:$A$200,0)),"")</f>
        <v>FAN Cecilia</v>
      </c>
    </row>
    <row r="1891" customFormat="false" ht="15" hidden="false" customHeight="false" outlineLevel="0" collapsed="false">
      <c r="A1891" s="3" t="s">
        <v>321</v>
      </c>
      <c r="B1891" s="4" t="s">
        <v>60</v>
      </c>
      <c r="C1891" s="4" t="n">
        <v>5</v>
      </c>
      <c r="D1891" s="4" t="s">
        <v>17</v>
      </c>
      <c r="E1891" s="3" t="s">
        <v>35</v>
      </c>
      <c r="F1891" s="4" t="str">
        <f aca="false">IF(I1891&gt;J1891,"Y","N")</f>
        <v>Y</v>
      </c>
      <c r="G1891" s="3" t="s">
        <v>36</v>
      </c>
      <c r="H1891" s="3" t="s">
        <v>37</v>
      </c>
      <c r="I1891" s="4" t="n">
        <v>17</v>
      </c>
      <c r="J1891" s="4" t="n">
        <f aca="false">LEN(E1891)-LEN(SUBSTITUTE(E1891,",",""))+1</f>
        <v>7</v>
      </c>
      <c r="K1891" s="3" t="str">
        <f aca="false">IFERROR(INDEX('Teacher Lookup'!$B$2:$B$200,MATCH(A1891,'Teacher Lookup'!$A$2:$A$200,0)),"")</f>
        <v>FAN Cecilia</v>
      </c>
    </row>
    <row r="1892" customFormat="false" ht="15" hidden="false" customHeight="false" outlineLevel="0" collapsed="false">
      <c r="A1892" s="3" t="s">
        <v>321</v>
      </c>
      <c r="B1892" s="4" t="s">
        <v>60</v>
      </c>
      <c r="C1892" s="4" t="n">
        <v>5</v>
      </c>
      <c r="D1892" s="4" t="s">
        <v>18</v>
      </c>
      <c r="E1892" s="3" t="s">
        <v>35</v>
      </c>
      <c r="F1892" s="4" t="str">
        <f aca="false">IF(I1892&gt;J1892,"Y","N")</f>
        <v>Y</v>
      </c>
      <c r="G1892" s="3" t="s">
        <v>36</v>
      </c>
      <c r="H1892" s="3" t="s">
        <v>37</v>
      </c>
      <c r="I1892" s="4" t="n">
        <v>17</v>
      </c>
      <c r="J1892" s="4" t="n">
        <f aca="false">LEN(E1892)-LEN(SUBSTITUTE(E1892,",",""))+1</f>
        <v>7</v>
      </c>
      <c r="K1892" s="3" t="str">
        <f aca="false">IFERROR(INDEX('Teacher Lookup'!$B$2:$B$200,MATCH(A1892,'Teacher Lookup'!$A$2:$A$200,0)),"")</f>
        <v>FAN Cecilia</v>
      </c>
    </row>
    <row r="1893" customFormat="false" ht="15" hidden="false" customHeight="false" outlineLevel="0" collapsed="false">
      <c r="A1893" s="3" t="s">
        <v>321</v>
      </c>
      <c r="B1893" s="4" t="s">
        <v>63</v>
      </c>
      <c r="C1893" s="4" t="n">
        <v>1</v>
      </c>
      <c r="D1893" s="4" t="s">
        <v>13</v>
      </c>
      <c r="E1893" s="3" t="s">
        <v>327</v>
      </c>
      <c r="F1893" s="4" t="str">
        <f aca="false">IF(I1893&gt;J1893,"Y","N")</f>
        <v>N</v>
      </c>
      <c r="G1893" s="3" t="s">
        <v>72</v>
      </c>
      <c r="H1893" s="3" t="s">
        <v>16</v>
      </c>
      <c r="I1893" s="4" t="n">
        <v>4</v>
      </c>
      <c r="J1893" s="4" t="n">
        <f aca="false">LEN(E1893)-LEN(SUBSTITUTE(E1893,",",""))+1</f>
        <v>4</v>
      </c>
      <c r="K1893" s="3" t="str">
        <f aca="false">IFERROR(INDEX('Teacher Lookup'!$B$2:$B$200,MATCH(A1893,'Teacher Lookup'!$A$2:$A$200,0)),"")</f>
        <v>FAN Cecilia</v>
      </c>
    </row>
    <row r="1894" customFormat="false" ht="15" hidden="false" customHeight="false" outlineLevel="0" collapsed="false">
      <c r="A1894" s="3" t="s">
        <v>321</v>
      </c>
      <c r="B1894" s="4" t="s">
        <v>63</v>
      </c>
      <c r="C1894" s="4" t="n">
        <v>1</v>
      </c>
      <c r="D1894" s="4" t="s">
        <v>17</v>
      </c>
      <c r="E1894" s="3" t="s">
        <v>327</v>
      </c>
      <c r="F1894" s="4" t="str">
        <f aca="false">IF(I1894&gt;J1894,"Y","N")</f>
        <v>N</v>
      </c>
      <c r="G1894" s="3" t="s">
        <v>72</v>
      </c>
      <c r="H1894" s="3" t="s">
        <v>16</v>
      </c>
      <c r="I1894" s="4" t="n">
        <v>4</v>
      </c>
      <c r="J1894" s="4" t="n">
        <f aca="false">LEN(E1894)-LEN(SUBSTITUTE(E1894,",",""))+1</f>
        <v>4</v>
      </c>
      <c r="K1894" s="3" t="str">
        <f aca="false">IFERROR(INDEX('Teacher Lookup'!$B$2:$B$200,MATCH(A1894,'Teacher Lookup'!$A$2:$A$200,0)),"")</f>
        <v>FAN Cecilia</v>
      </c>
    </row>
    <row r="1895" customFormat="false" ht="15" hidden="false" customHeight="false" outlineLevel="0" collapsed="false">
      <c r="A1895" s="3" t="s">
        <v>321</v>
      </c>
      <c r="B1895" s="4" t="s">
        <v>63</v>
      </c>
      <c r="C1895" s="4" t="n">
        <v>1</v>
      </c>
      <c r="D1895" s="4" t="s">
        <v>18</v>
      </c>
      <c r="E1895" s="3" t="s">
        <v>327</v>
      </c>
      <c r="F1895" s="4" t="str">
        <f aca="false">IF(I1895&gt;J1895,"Y","N")</f>
        <v>N</v>
      </c>
      <c r="G1895" s="3" t="s">
        <v>72</v>
      </c>
      <c r="H1895" s="3" t="s">
        <v>16</v>
      </c>
      <c r="I1895" s="4" t="n">
        <v>4</v>
      </c>
      <c r="J1895" s="4" t="n">
        <f aca="false">LEN(E1895)-LEN(SUBSTITUTE(E1895,",",""))+1</f>
        <v>4</v>
      </c>
      <c r="K1895" s="3" t="str">
        <f aca="false">IFERROR(INDEX('Teacher Lookup'!$B$2:$B$200,MATCH(A1895,'Teacher Lookup'!$A$2:$A$200,0)),"")</f>
        <v>FAN Cecilia</v>
      </c>
    </row>
    <row r="1896" customFormat="false" ht="15" hidden="false" customHeight="false" outlineLevel="0" collapsed="false">
      <c r="A1896" s="3" t="s">
        <v>321</v>
      </c>
      <c r="B1896" s="4" t="s">
        <v>63</v>
      </c>
      <c r="C1896" s="4" t="n">
        <v>2</v>
      </c>
      <c r="D1896" s="4" t="s">
        <v>13</v>
      </c>
      <c r="E1896" s="3" t="s">
        <v>327</v>
      </c>
      <c r="F1896" s="4" t="str">
        <f aca="false">IF(I1896&gt;J1896,"Y","N")</f>
        <v>N</v>
      </c>
      <c r="G1896" s="3" t="s">
        <v>72</v>
      </c>
      <c r="H1896" s="3" t="s">
        <v>21</v>
      </c>
      <c r="I1896" s="4" t="n">
        <v>4</v>
      </c>
      <c r="J1896" s="4" t="n">
        <f aca="false">LEN(E1896)-LEN(SUBSTITUTE(E1896,",",""))+1</f>
        <v>4</v>
      </c>
      <c r="K1896" s="3" t="str">
        <f aca="false">IFERROR(INDEX('Teacher Lookup'!$B$2:$B$200,MATCH(A1896,'Teacher Lookup'!$A$2:$A$200,0)),"")</f>
        <v>FAN Cecilia</v>
      </c>
    </row>
    <row r="1897" customFormat="false" ht="15" hidden="false" customHeight="false" outlineLevel="0" collapsed="false">
      <c r="A1897" s="3" t="s">
        <v>321</v>
      </c>
      <c r="B1897" s="4" t="s">
        <v>63</v>
      </c>
      <c r="C1897" s="4" t="n">
        <v>2</v>
      </c>
      <c r="D1897" s="4" t="s">
        <v>17</v>
      </c>
      <c r="E1897" s="3" t="s">
        <v>327</v>
      </c>
      <c r="F1897" s="4" t="str">
        <f aca="false">IF(I1897&gt;J1897,"Y","N")</f>
        <v>N</v>
      </c>
      <c r="G1897" s="3" t="s">
        <v>72</v>
      </c>
      <c r="H1897" s="3" t="s">
        <v>21</v>
      </c>
      <c r="I1897" s="4" t="n">
        <v>4</v>
      </c>
      <c r="J1897" s="4" t="n">
        <f aca="false">LEN(E1897)-LEN(SUBSTITUTE(E1897,",",""))+1</f>
        <v>4</v>
      </c>
      <c r="K1897" s="3" t="str">
        <f aca="false">IFERROR(INDEX('Teacher Lookup'!$B$2:$B$200,MATCH(A1897,'Teacher Lookup'!$A$2:$A$200,0)),"")</f>
        <v>FAN Cecilia</v>
      </c>
    </row>
    <row r="1898" customFormat="false" ht="15" hidden="false" customHeight="false" outlineLevel="0" collapsed="false">
      <c r="A1898" s="3" t="s">
        <v>321</v>
      </c>
      <c r="B1898" s="4" t="s">
        <v>63</v>
      </c>
      <c r="C1898" s="4" t="n">
        <v>2</v>
      </c>
      <c r="D1898" s="4" t="s">
        <v>18</v>
      </c>
      <c r="E1898" s="3" t="s">
        <v>327</v>
      </c>
      <c r="F1898" s="4" t="str">
        <f aca="false">IF(I1898&gt;J1898,"Y","N")</f>
        <v>N</v>
      </c>
      <c r="G1898" s="3" t="s">
        <v>72</v>
      </c>
      <c r="H1898" s="3" t="s">
        <v>21</v>
      </c>
      <c r="I1898" s="4" t="n">
        <v>4</v>
      </c>
      <c r="J1898" s="4" t="n">
        <f aca="false">LEN(E1898)-LEN(SUBSTITUTE(E1898,",",""))+1</f>
        <v>4</v>
      </c>
      <c r="K1898" s="3" t="str">
        <f aca="false">IFERROR(INDEX('Teacher Lookup'!$B$2:$B$200,MATCH(A1898,'Teacher Lookup'!$A$2:$A$200,0)),"")</f>
        <v>FAN Cecilia</v>
      </c>
    </row>
    <row r="1899" customFormat="false" ht="15" hidden="false" customHeight="false" outlineLevel="0" collapsed="false">
      <c r="A1899" s="3" t="s">
        <v>321</v>
      </c>
      <c r="B1899" s="4" t="s">
        <v>63</v>
      </c>
      <c r="C1899" s="4" t="n">
        <v>3</v>
      </c>
      <c r="D1899" s="4" t="s">
        <v>19</v>
      </c>
      <c r="E1899" s="3" t="s">
        <v>334</v>
      </c>
      <c r="F1899" s="4" t="str">
        <f aca="false">IF(I1899&gt;J1899,"Y","N")</f>
        <v>N</v>
      </c>
      <c r="G1899" s="3" t="s">
        <v>72</v>
      </c>
      <c r="H1899" s="3" t="s">
        <v>26</v>
      </c>
      <c r="I1899" s="4" t="n">
        <v>4</v>
      </c>
      <c r="J1899" s="4" t="n">
        <f aca="false">LEN(E1899)-LEN(SUBSTITUTE(E1899,",",""))+1</f>
        <v>4</v>
      </c>
      <c r="K1899" s="3" t="str">
        <f aca="false">IFERROR(INDEX('Teacher Lookup'!$B$2:$B$200,MATCH(A1899,'Teacher Lookup'!$A$2:$A$200,0)),"")</f>
        <v>FAN Cecilia</v>
      </c>
    </row>
    <row r="1900" customFormat="false" ht="15" hidden="false" customHeight="false" outlineLevel="0" collapsed="false">
      <c r="A1900" s="3" t="s">
        <v>321</v>
      </c>
      <c r="B1900" s="4" t="s">
        <v>63</v>
      </c>
      <c r="C1900" s="4" t="n">
        <v>3</v>
      </c>
      <c r="D1900" s="4" t="s">
        <v>22</v>
      </c>
      <c r="E1900" s="3" t="s">
        <v>334</v>
      </c>
      <c r="F1900" s="4" t="str">
        <f aca="false">IF(I1900&gt;J1900,"Y","N")</f>
        <v>N</v>
      </c>
      <c r="G1900" s="3" t="s">
        <v>72</v>
      </c>
      <c r="H1900" s="3" t="s">
        <v>26</v>
      </c>
      <c r="I1900" s="4" t="n">
        <v>4</v>
      </c>
      <c r="J1900" s="4" t="n">
        <f aca="false">LEN(E1900)-LEN(SUBSTITUTE(E1900,",",""))+1</f>
        <v>4</v>
      </c>
      <c r="K1900" s="3" t="str">
        <f aca="false">IFERROR(INDEX('Teacher Lookup'!$B$2:$B$200,MATCH(A1900,'Teacher Lookup'!$A$2:$A$200,0)),"")</f>
        <v>FAN Cecilia</v>
      </c>
    </row>
    <row r="1901" customFormat="false" ht="15" hidden="false" customHeight="false" outlineLevel="0" collapsed="false">
      <c r="A1901" s="3" t="s">
        <v>321</v>
      </c>
      <c r="B1901" s="4" t="s">
        <v>63</v>
      </c>
      <c r="C1901" s="4" t="n">
        <v>3</v>
      </c>
      <c r="D1901" s="4" t="s">
        <v>23</v>
      </c>
      <c r="E1901" s="3" t="s">
        <v>334</v>
      </c>
      <c r="F1901" s="4" t="str">
        <f aca="false">IF(I1901&gt;J1901,"Y","N")</f>
        <v>N</v>
      </c>
      <c r="G1901" s="3" t="s">
        <v>72</v>
      </c>
      <c r="H1901" s="3" t="s">
        <v>26</v>
      </c>
      <c r="I1901" s="4" t="n">
        <v>4</v>
      </c>
      <c r="J1901" s="4" t="n">
        <f aca="false">LEN(E1901)-LEN(SUBSTITUTE(E1901,",",""))+1</f>
        <v>4</v>
      </c>
      <c r="K1901" s="3" t="str">
        <f aca="false">IFERROR(INDEX('Teacher Lookup'!$B$2:$B$200,MATCH(A1901,'Teacher Lookup'!$A$2:$A$200,0)),"")</f>
        <v>FAN Cecilia</v>
      </c>
    </row>
    <row r="1902" customFormat="false" ht="15" hidden="false" customHeight="false" outlineLevel="0" collapsed="false">
      <c r="A1902" s="3" t="s">
        <v>321</v>
      </c>
      <c r="B1902" s="4" t="s">
        <v>63</v>
      </c>
      <c r="C1902" s="4" t="n">
        <v>4</v>
      </c>
      <c r="D1902" s="4" t="s">
        <v>105</v>
      </c>
      <c r="E1902" s="3" t="s">
        <v>331</v>
      </c>
      <c r="F1902" s="4" t="str">
        <f aca="false">IF(I1902&gt;J1902,"Y","N")</f>
        <v>N</v>
      </c>
      <c r="G1902" s="3" t="s">
        <v>72</v>
      </c>
      <c r="H1902" s="3" t="s">
        <v>34</v>
      </c>
      <c r="I1902" s="4" t="n">
        <v>3</v>
      </c>
      <c r="J1902" s="4" t="n">
        <f aca="false">LEN(E1902)-LEN(SUBSTITUTE(E1902,",",""))+1</f>
        <v>3</v>
      </c>
      <c r="K1902" s="3" t="str">
        <f aca="false">IFERROR(INDEX('Teacher Lookup'!$B$2:$B$200,MATCH(A1902,'Teacher Lookup'!$A$2:$A$200,0)),"")</f>
        <v>FAN Cecilia</v>
      </c>
    </row>
    <row r="1903" customFormat="false" ht="15" hidden="false" customHeight="false" outlineLevel="0" collapsed="false">
      <c r="A1903" s="3" t="s">
        <v>321</v>
      </c>
      <c r="B1903" s="4" t="s">
        <v>63</v>
      </c>
      <c r="C1903" s="4" t="n">
        <v>4</v>
      </c>
      <c r="D1903" s="4" t="s">
        <v>106</v>
      </c>
      <c r="E1903" s="3" t="s">
        <v>331</v>
      </c>
      <c r="F1903" s="4" t="str">
        <f aca="false">IF(I1903&gt;J1903,"Y","N")</f>
        <v>N</v>
      </c>
      <c r="G1903" s="3" t="s">
        <v>72</v>
      </c>
      <c r="H1903" s="3" t="s">
        <v>34</v>
      </c>
      <c r="I1903" s="4" t="n">
        <v>3</v>
      </c>
      <c r="J1903" s="4" t="n">
        <f aca="false">LEN(E1903)-LEN(SUBSTITUTE(E1903,",",""))+1</f>
        <v>3</v>
      </c>
      <c r="K1903" s="3" t="str">
        <f aca="false">IFERROR(INDEX('Teacher Lookup'!$B$2:$B$200,MATCH(A1903,'Teacher Lookup'!$A$2:$A$200,0)),"")</f>
        <v>FAN Cecilia</v>
      </c>
    </row>
    <row r="1904" customFormat="false" ht="15" hidden="false" customHeight="false" outlineLevel="0" collapsed="false">
      <c r="A1904" s="3" t="s">
        <v>321</v>
      </c>
      <c r="B1904" s="4" t="s">
        <v>65</v>
      </c>
      <c r="C1904" s="4" t="n">
        <v>1</v>
      </c>
      <c r="D1904" s="4" t="s">
        <v>19</v>
      </c>
      <c r="E1904" s="3" t="s">
        <v>51</v>
      </c>
      <c r="F1904" s="4" t="str">
        <f aca="false">IF(I1904&gt;J1904,"Y","N")</f>
        <v>N</v>
      </c>
      <c r="G1904" s="3" t="s">
        <v>72</v>
      </c>
      <c r="H1904" s="3" t="s">
        <v>16</v>
      </c>
      <c r="I1904" s="4" t="n">
        <v>4</v>
      </c>
      <c r="J1904" s="4" t="n">
        <f aca="false">LEN(E1904)-LEN(SUBSTITUTE(E1904,",",""))+1</f>
        <v>4</v>
      </c>
      <c r="K1904" s="3" t="str">
        <f aca="false">IFERROR(INDEX('Teacher Lookup'!$B$2:$B$200,MATCH(A1904,'Teacher Lookup'!$A$2:$A$200,0)),"")</f>
        <v>FAN Cecilia</v>
      </c>
    </row>
    <row r="1905" customFormat="false" ht="15" hidden="false" customHeight="false" outlineLevel="0" collapsed="false">
      <c r="A1905" s="3" t="s">
        <v>321</v>
      </c>
      <c r="B1905" s="4" t="s">
        <v>65</v>
      </c>
      <c r="C1905" s="4" t="n">
        <v>1</v>
      </c>
      <c r="D1905" s="4" t="s">
        <v>22</v>
      </c>
      <c r="E1905" s="3" t="s">
        <v>51</v>
      </c>
      <c r="F1905" s="4" t="str">
        <f aca="false">IF(I1905&gt;J1905,"Y","N")</f>
        <v>N</v>
      </c>
      <c r="G1905" s="3" t="s">
        <v>72</v>
      </c>
      <c r="H1905" s="3" t="s">
        <v>16</v>
      </c>
      <c r="I1905" s="4" t="n">
        <v>4</v>
      </c>
      <c r="J1905" s="4" t="n">
        <f aca="false">LEN(E1905)-LEN(SUBSTITUTE(E1905,",",""))+1</f>
        <v>4</v>
      </c>
      <c r="K1905" s="3" t="str">
        <f aca="false">IFERROR(INDEX('Teacher Lookup'!$B$2:$B$200,MATCH(A1905,'Teacher Lookup'!$A$2:$A$200,0)),"")</f>
        <v>FAN Cecilia</v>
      </c>
    </row>
    <row r="1906" customFormat="false" ht="15" hidden="false" customHeight="false" outlineLevel="0" collapsed="false">
      <c r="A1906" s="3" t="s">
        <v>321</v>
      </c>
      <c r="B1906" s="4" t="s">
        <v>65</v>
      </c>
      <c r="C1906" s="4" t="n">
        <v>1</v>
      </c>
      <c r="D1906" s="4" t="s">
        <v>23</v>
      </c>
      <c r="E1906" s="3" t="s">
        <v>51</v>
      </c>
      <c r="F1906" s="4" t="str">
        <f aca="false">IF(I1906&gt;J1906,"Y","N")</f>
        <v>N</v>
      </c>
      <c r="G1906" s="3" t="s">
        <v>72</v>
      </c>
      <c r="H1906" s="3" t="s">
        <v>16</v>
      </c>
      <c r="I1906" s="4" t="n">
        <v>4</v>
      </c>
      <c r="J1906" s="4" t="n">
        <f aca="false">LEN(E1906)-LEN(SUBSTITUTE(E1906,",",""))+1</f>
        <v>4</v>
      </c>
      <c r="K1906" s="3" t="str">
        <f aca="false">IFERROR(INDEX('Teacher Lookup'!$B$2:$B$200,MATCH(A1906,'Teacher Lookup'!$A$2:$A$200,0)),"")</f>
        <v>FAN Cecilia</v>
      </c>
    </row>
    <row r="1907" customFormat="false" ht="15" hidden="false" customHeight="false" outlineLevel="0" collapsed="false">
      <c r="A1907" s="3" t="s">
        <v>321</v>
      </c>
      <c r="B1907" s="4" t="s">
        <v>65</v>
      </c>
      <c r="C1907" s="4" t="n">
        <v>3</v>
      </c>
      <c r="D1907" s="4" t="s">
        <v>105</v>
      </c>
      <c r="E1907" s="3" t="s">
        <v>335</v>
      </c>
      <c r="F1907" s="4" t="str">
        <f aca="false">IF(I1907&gt;J1907,"Y","N")</f>
        <v>N</v>
      </c>
      <c r="G1907" s="3" t="s">
        <v>72</v>
      </c>
      <c r="H1907" s="3" t="s">
        <v>26</v>
      </c>
      <c r="I1907" s="4" t="n">
        <v>3</v>
      </c>
      <c r="J1907" s="4" t="n">
        <f aca="false">LEN(E1907)-LEN(SUBSTITUTE(E1907,",",""))+1</f>
        <v>3</v>
      </c>
      <c r="K1907" s="3" t="str">
        <f aca="false">IFERROR(INDEX('Teacher Lookup'!$B$2:$B$200,MATCH(A1907,'Teacher Lookup'!$A$2:$A$200,0)),"")</f>
        <v>FAN Cecilia</v>
      </c>
    </row>
    <row r="1908" customFormat="false" ht="15" hidden="false" customHeight="false" outlineLevel="0" collapsed="false">
      <c r="A1908" s="3" t="s">
        <v>321</v>
      </c>
      <c r="B1908" s="4" t="s">
        <v>65</v>
      </c>
      <c r="C1908" s="4" t="n">
        <v>3</v>
      </c>
      <c r="D1908" s="4" t="s">
        <v>106</v>
      </c>
      <c r="E1908" s="3" t="s">
        <v>335</v>
      </c>
      <c r="F1908" s="4" t="str">
        <f aca="false">IF(I1908&gt;J1908,"Y","N")</f>
        <v>N</v>
      </c>
      <c r="G1908" s="3" t="s">
        <v>72</v>
      </c>
      <c r="H1908" s="3" t="s">
        <v>26</v>
      </c>
      <c r="I1908" s="4" t="n">
        <v>3</v>
      </c>
      <c r="J1908" s="4" t="n">
        <f aca="false">LEN(E1908)-LEN(SUBSTITUTE(E1908,",",""))+1</f>
        <v>3</v>
      </c>
      <c r="K1908" s="3" t="str">
        <f aca="false">IFERROR(INDEX('Teacher Lookup'!$B$2:$B$200,MATCH(A1908,'Teacher Lookup'!$A$2:$A$200,0)),"")</f>
        <v>FAN Cecilia</v>
      </c>
    </row>
    <row r="1909" customFormat="false" ht="15" hidden="false" customHeight="false" outlineLevel="0" collapsed="false">
      <c r="A1909" s="3" t="s">
        <v>321</v>
      </c>
      <c r="B1909" s="4" t="s">
        <v>65</v>
      </c>
      <c r="C1909" s="4" t="n">
        <v>5</v>
      </c>
      <c r="D1909" s="4" t="s">
        <v>19</v>
      </c>
      <c r="E1909" s="3" t="s">
        <v>35</v>
      </c>
      <c r="F1909" s="4" t="str">
        <f aca="false">IF(I1909&gt;J1909,"Y","N")</f>
        <v>Y</v>
      </c>
      <c r="G1909" s="3" t="s">
        <v>36</v>
      </c>
      <c r="H1909" s="3" t="s">
        <v>37</v>
      </c>
      <c r="I1909" s="4" t="n">
        <v>17</v>
      </c>
      <c r="J1909" s="4" t="n">
        <f aca="false">LEN(E1909)-LEN(SUBSTITUTE(E1909,",",""))+1</f>
        <v>7</v>
      </c>
      <c r="K1909" s="3" t="str">
        <f aca="false">IFERROR(INDEX('Teacher Lookup'!$B$2:$B$200,MATCH(A1909,'Teacher Lookup'!$A$2:$A$200,0)),"")</f>
        <v>FAN Cecilia</v>
      </c>
    </row>
    <row r="1910" customFormat="false" ht="15" hidden="false" customHeight="false" outlineLevel="0" collapsed="false">
      <c r="A1910" s="3" t="s">
        <v>321</v>
      </c>
      <c r="B1910" s="4" t="s">
        <v>65</v>
      </c>
      <c r="C1910" s="4" t="n">
        <v>5</v>
      </c>
      <c r="D1910" s="4" t="s">
        <v>22</v>
      </c>
      <c r="E1910" s="3" t="s">
        <v>35</v>
      </c>
      <c r="F1910" s="4" t="str">
        <f aca="false">IF(I1910&gt;J1910,"Y","N")</f>
        <v>Y</v>
      </c>
      <c r="G1910" s="3" t="s">
        <v>36</v>
      </c>
      <c r="H1910" s="3" t="s">
        <v>37</v>
      </c>
      <c r="I1910" s="4" t="n">
        <v>17</v>
      </c>
      <c r="J1910" s="4" t="n">
        <f aca="false">LEN(E1910)-LEN(SUBSTITUTE(E1910,",",""))+1</f>
        <v>7</v>
      </c>
      <c r="K1910" s="3" t="str">
        <f aca="false">IFERROR(INDEX('Teacher Lookup'!$B$2:$B$200,MATCH(A1910,'Teacher Lookup'!$A$2:$A$200,0)),"")</f>
        <v>FAN Cecilia</v>
      </c>
    </row>
    <row r="1911" customFormat="false" ht="15" hidden="false" customHeight="false" outlineLevel="0" collapsed="false">
      <c r="A1911" s="3" t="s">
        <v>321</v>
      </c>
      <c r="B1911" s="4" t="s">
        <v>65</v>
      </c>
      <c r="C1911" s="4" t="n">
        <v>5</v>
      </c>
      <c r="D1911" s="4" t="s">
        <v>23</v>
      </c>
      <c r="E1911" s="3" t="s">
        <v>35</v>
      </c>
      <c r="F1911" s="4" t="str">
        <f aca="false">IF(I1911&gt;J1911,"Y","N")</f>
        <v>Y</v>
      </c>
      <c r="G1911" s="3" t="s">
        <v>36</v>
      </c>
      <c r="H1911" s="3" t="s">
        <v>37</v>
      </c>
      <c r="I1911" s="4" t="n">
        <v>17</v>
      </c>
      <c r="J1911" s="4" t="n">
        <f aca="false">LEN(E1911)-LEN(SUBSTITUTE(E1911,",",""))+1</f>
        <v>7</v>
      </c>
      <c r="K1911" s="3" t="str">
        <f aca="false">IFERROR(INDEX('Teacher Lookup'!$B$2:$B$200,MATCH(A1911,'Teacher Lookup'!$A$2:$A$200,0)),"")</f>
        <v>FAN Cecilia</v>
      </c>
    </row>
    <row r="1912" customFormat="false" ht="15" hidden="false" customHeight="false" outlineLevel="0" collapsed="false">
      <c r="A1912" s="3" t="s">
        <v>321</v>
      </c>
      <c r="B1912" s="4" t="s">
        <v>65</v>
      </c>
      <c r="C1912" s="4" t="n">
        <v>5</v>
      </c>
      <c r="D1912" s="4" t="s">
        <v>13</v>
      </c>
      <c r="E1912" s="3" t="s">
        <v>35</v>
      </c>
      <c r="F1912" s="4" t="str">
        <f aca="false">IF(I1912&gt;J1912,"Y","N")</f>
        <v>Y</v>
      </c>
      <c r="G1912" s="3" t="s">
        <v>36</v>
      </c>
      <c r="H1912" s="3" t="s">
        <v>37</v>
      </c>
      <c r="I1912" s="4" t="n">
        <v>17</v>
      </c>
      <c r="J1912" s="4" t="n">
        <f aca="false">LEN(E1912)-LEN(SUBSTITUTE(E1912,",",""))+1</f>
        <v>7</v>
      </c>
      <c r="K1912" s="3" t="str">
        <f aca="false">IFERROR(INDEX('Teacher Lookup'!$B$2:$B$200,MATCH(A1912,'Teacher Lookup'!$A$2:$A$200,0)),"")</f>
        <v>FAN Cecilia</v>
      </c>
    </row>
    <row r="1913" customFormat="false" ht="15" hidden="false" customHeight="false" outlineLevel="0" collapsed="false">
      <c r="A1913" s="3" t="s">
        <v>321</v>
      </c>
      <c r="B1913" s="4" t="s">
        <v>65</v>
      </c>
      <c r="C1913" s="4" t="n">
        <v>5</v>
      </c>
      <c r="D1913" s="4" t="s">
        <v>17</v>
      </c>
      <c r="E1913" s="3" t="s">
        <v>35</v>
      </c>
      <c r="F1913" s="4" t="str">
        <f aca="false">IF(I1913&gt;J1913,"Y","N")</f>
        <v>Y</v>
      </c>
      <c r="G1913" s="3" t="s">
        <v>36</v>
      </c>
      <c r="H1913" s="3" t="s">
        <v>37</v>
      </c>
      <c r="I1913" s="4" t="n">
        <v>17</v>
      </c>
      <c r="J1913" s="4" t="n">
        <f aca="false">LEN(E1913)-LEN(SUBSTITUTE(E1913,",",""))+1</f>
        <v>7</v>
      </c>
      <c r="K1913" s="3" t="str">
        <f aca="false">IFERROR(INDEX('Teacher Lookup'!$B$2:$B$200,MATCH(A1913,'Teacher Lookup'!$A$2:$A$200,0)),"")</f>
        <v>FAN Cecilia</v>
      </c>
    </row>
    <row r="1914" customFormat="false" ht="15" hidden="false" customHeight="false" outlineLevel="0" collapsed="false">
      <c r="A1914" s="3" t="s">
        <v>321</v>
      </c>
      <c r="B1914" s="4" t="s">
        <v>65</v>
      </c>
      <c r="C1914" s="4" t="n">
        <v>5</v>
      </c>
      <c r="D1914" s="4" t="s">
        <v>18</v>
      </c>
      <c r="E1914" s="3" t="s">
        <v>35</v>
      </c>
      <c r="F1914" s="4" t="str">
        <f aca="false">IF(I1914&gt;J1914,"Y","N")</f>
        <v>Y</v>
      </c>
      <c r="G1914" s="3" t="s">
        <v>36</v>
      </c>
      <c r="H1914" s="3" t="s">
        <v>37</v>
      </c>
      <c r="I1914" s="4" t="n">
        <v>17</v>
      </c>
      <c r="J1914" s="4" t="n">
        <f aca="false">LEN(E1914)-LEN(SUBSTITUTE(E1914,",",""))+1</f>
        <v>7</v>
      </c>
      <c r="K1914" s="3" t="str">
        <f aca="false">IFERROR(INDEX('Teacher Lookup'!$B$2:$B$200,MATCH(A1914,'Teacher Lookup'!$A$2:$A$200,0)),"")</f>
        <v>FAN Cecilia</v>
      </c>
    </row>
    <row r="1915" customFormat="false" ht="15" hidden="false" customHeight="false" outlineLevel="0" collapsed="false">
      <c r="A1915" s="3" t="s">
        <v>321</v>
      </c>
      <c r="B1915" s="4" t="s">
        <v>65</v>
      </c>
      <c r="C1915" s="4" t="n">
        <v>6</v>
      </c>
      <c r="D1915" s="4" t="s">
        <v>13</v>
      </c>
      <c r="E1915" s="3" t="s">
        <v>336</v>
      </c>
      <c r="F1915" s="4" t="str">
        <f aca="false">IF(I1915&gt;J1915,"Y","N")</f>
        <v>N</v>
      </c>
      <c r="G1915" s="3" t="s">
        <v>72</v>
      </c>
      <c r="H1915" s="3" t="s">
        <v>42</v>
      </c>
      <c r="I1915" s="4" t="n">
        <v>4</v>
      </c>
      <c r="J1915" s="4" t="n">
        <f aca="false">LEN(E1915)-LEN(SUBSTITUTE(E1915,",",""))+1</f>
        <v>4</v>
      </c>
      <c r="K1915" s="3" t="str">
        <f aca="false">IFERROR(INDEX('Teacher Lookup'!$B$2:$B$200,MATCH(A1915,'Teacher Lookup'!$A$2:$A$200,0)),"")</f>
        <v>FAN Cecilia</v>
      </c>
    </row>
    <row r="1916" customFormat="false" ht="15" hidden="false" customHeight="false" outlineLevel="0" collapsed="false">
      <c r="A1916" s="3" t="s">
        <v>321</v>
      </c>
      <c r="B1916" s="4" t="s">
        <v>65</v>
      </c>
      <c r="C1916" s="4" t="n">
        <v>6</v>
      </c>
      <c r="D1916" s="4" t="s">
        <v>17</v>
      </c>
      <c r="E1916" s="3" t="s">
        <v>336</v>
      </c>
      <c r="F1916" s="4" t="str">
        <f aca="false">IF(I1916&gt;J1916,"Y","N")</f>
        <v>N</v>
      </c>
      <c r="G1916" s="3" t="s">
        <v>72</v>
      </c>
      <c r="H1916" s="3" t="s">
        <v>42</v>
      </c>
      <c r="I1916" s="4" t="n">
        <v>4</v>
      </c>
      <c r="J1916" s="4" t="n">
        <f aca="false">LEN(E1916)-LEN(SUBSTITUTE(E1916,",",""))+1</f>
        <v>4</v>
      </c>
      <c r="K1916" s="3" t="str">
        <f aca="false">IFERROR(INDEX('Teacher Lookup'!$B$2:$B$200,MATCH(A1916,'Teacher Lookup'!$A$2:$A$200,0)),"")</f>
        <v>FAN Cecilia</v>
      </c>
    </row>
    <row r="1917" customFormat="false" ht="15" hidden="false" customHeight="false" outlineLevel="0" collapsed="false">
      <c r="A1917" s="3" t="s">
        <v>321</v>
      </c>
      <c r="B1917" s="4" t="s">
        <v>65</v>
      </c>
      <c r="C1917" s="4" t="n">
        <v>6</v>
      </c>
      <c r="D1917" s="4" t="s">
        <v>18</v>
      </c>
      <c r="E1917" s="3" t="s">
        <v>336</v>
      </c>
      <c r="F1917" s="4" t="str">
        <f aca="false">IF(I1917&gt;J1917,"Y","N")</f>
        <v>N</v>
      </c>
      <c r="G1917" s="3" t="s">
        <v>72</v>
      </c>
      <c r="H1917" s="3" t="s">
        <v>42</v>
      </c>
      <c r="I1917" s="4" t="n">
        <v>4</v>
      </c>
      <c r="J1917" s="4" t="n">
        <f aca="false">LEN(E1917)-LEN(SUBSTITUTE(E1917,",",""))+1</f>
        <v>4</v>
      </c>
      <c r="K1917" s="3" t="str">
        <f aca="false">IFERROR(INDEX('Teacher Lookup'!$B$2:$B$200,MATCH(A1917,'Teacher Lookup'!$A$2:$A$200,0)),"")</f>
        <v>FAN Cecilia</v>
      </c>
    </row>
    <row r="1918" customFormat="false" ht="15" hidden="false" customHeight="false" outlineLevel="0" collapsed="false">
      <c r="A1918" s="3" t="s">
        <v>321</v>
      </c>
      <c r="B1918" s="4" t="s">
        <v>66</v>
      </c>
      <c r="C1918" s="4" t="n">
        <v>1</v>
      </c>
      <c r="D1918" s="4" t="s">
        <v>19</v>
      </c>
      <c r="E1918" s="3" t="s">
        <v>33</v>
      </c>
      <c r="F1918" s="4" t="str">
        <f aca="false">IF(I1918&gt;J1918,"Y","N")</f>
        <v>N</v>
      </c>
      <c r="G1918" s="3" t="s">
        <v>72</v>
      </c>
      <c r="H1918" s="3" t="s">
        <v>16</v>
      </c>
      <c r="I1918" s="4" t="n">
        <v>4</v>
      </c>
      <c r="J1918" s="4" t="n">
        <f aca="false">LEN(E1918)-LEN(SUBSTITUTE(E1918,",",""))+1</f>
        <v>4</v>
      </c>
      <c r="K1918" s="3" t="str">
        <f aca="false">IFERROR(INDEX('Teacher Lookup'!$B$2:$B$200,MATCH(A1918,'Teacher Lookup'!$A$2:$A$200,0)),"")</f>
        <v>FAN Cecilia</v>
      </c>
    </row>
    <row r="1919" customFormat="false" ht="15" hidden="false" customHeight="false" outlineLevel="0" collapsed="false">
      <c r="A1919" s="3" t="s">
        <v>321</v>
      </c>
      <c r="B1919" s="4" t="s">
        <v>66</v>
      </c>
      <c r="C1919" s="4" t="n">
        <v>1</v>
      </c>
      <c r="D1919" s="4" t="s">
        <v>22</v>
      </c>
      <c r="E1919" s="3" t="s">
        <v>33</v>
      </c>
      <c r="F1919" s="4" t="str">
        <f aca="false">IF(I1919&gt;J1919,"Y","N")</f>
        <v>N</v>
      </c>
      <c r="G1919" s="3" t="s">
        <v>72</v>
      </c>
      <c r="H1919" s="3" t="s">
        <v>16</v>
      </c>
      <c r="I1919" s="4" t="n">
        <v>4</v>
      </c>
      <c r="J1919" s="4" t="n">
        <f aca="false">LEN(E1919)-LEN(SUBSTITUTE(E1919,",",""))+1</f>
        <v>4</v>
      </c>
      <c r="K1919" s="3" t="str">
        <f aca="false">IFERROR(INDEX('Teacher Lookup'!$B$2:$B$200,MATCH(A1919,'Teacher Lookup'!$A$2:$A$200,0)),"")</f>
        <v>FAN Cecilia</v>
      </c>
    </row>
    <row r="1920" customFormat="false" ht="15" hidden="false" customHeight="false" outlineLevel="0" collapsed="false">
      <c r="A1920" s="3" t="s">
        <v>321</v>
      </c>
      <c r="B1920" s="4" t="s">
        <v>66</v>
      </c>
      <c r="C1920" s="4" t="n">
        <v>1</v>
      </c>
      <c r="D1920" s="4" t="s">
        <v>23</v>
      </c>
      <c r="E1920" s="3" t="s">
        <v>33</v>
      </c>
      <c r="F1920" s="4" t="str">
        <f aca="false">IF(I1920&gt;J1920,"Y","N")</f>
        <v>N</v>
      </c>
      <c r="G1920" s="3" t="s">
        <v>72</v>
      </c>
      <c r="H1920" s="3" t="s">
        <v>16</v>
      </c>
      <c r="I1920" s="4" t="n">
        <v>4</v>
      </c>
      <c r="J1920" s="4" t="n">
        <f aca="false">LEN(E1920)-LEN(SUBSTITUTE(E1920,",",""))+1</f>
        <v>4</v>
      </c>
      <c r="K1920" s="3" t="str">
        <f aca="false">IFERROR(INDEX('Teacher Lookup'!$B$2:$B$200,MATCH(A1920,'Teacher Lookup'!$A$2:$A$200,0)),"")</f>
        <v>FAN Cecilia</v>
      </c>
    </row>
    <row r="1921" customFormat="false" ht="15" hidden="false" customHeight="false" outlineLevel="0" collapsed="false">
      <c r="A1921" s="3" t="s">
        <v>321</v>
      </c>
      <c r="B1921" s="4" t="s">
        <v>66</v>
      </c>
      <c r="C1921" s="4" t="n">
        <v>2</v>
      </c>
      <c r="D1921" s="4" t="s">
        <v>19</v>
      </c>
      <c r="E1921" s="3" t="s">
        <v>33</v>
      </c>
      <c r="F1921" s="4" t="str">
        <f aca="false">IF(I1921&gt;J1921,"Y","N")</f>
        <v>N</v>
      </c>
      <c r="G1921" s="3" t="s">
        <v>72</v>
      </c>
      <c r="H1921" s="3" t="s">
        <v>21</v>
      </c>
      <c r="I1921" s="4" t="n">
        <v>4</v>
      </c>
      <c r="J1921" s="4" t="n">
        <f aca="false">LEN(E1921)-LEN(SUBSTITUTE(E1921,",",""))+1</f>
        <v>4</v>
      </c>
      <c r="K1921" s="3" t="str">
        <f aca="false">IFERROR(INDEX('Teacher Lookup'!$B$2:$B$200,MATCH(A1921,'Teacher Lookup'!$A$2:$A$200,0)),"")</f>
        <v>FAN Cecilia</v>
      </c>
    </row>
    <row r="1922" customFormat="false" ht="15" hidden="false" customHeight="false" outlineLevel="0" collapsed="false">
      <c r="A1922" s="3" t="s">
        <v>321</v>
      </c>
      <c r="B1922" s="4" t="s">
        <v>66</v>
      </c>
      <c r="C1922" s="4" t="n">
        <v>2</v>
      </c>
      <c r="D1922" s="4" t="s">
        <v>22</v>
      </c>
      <c r="E1922" s="3" t="s">
        <v>33</v>
      </c>
      <c r="F1922" s="4" t="str">
        <f aca="false">IF(I1922&gt;J1922,"Y","N")</f>
        <v>N</v>
      </c>
      <c r="G1922" s="3" t="s">
        <v>72</v>
      </c>
      <c r="H1922" s="3" t="s">
        <v>21</v>
      </c>
      <c r="I1922" s="4" t="n">
        <v>4</v>
      </c>
      <c r="J1922" s="4" t="n">
        <f aca="false">LEN(E1922)-LEN(SUBSTITUTE(E1922,",",""))+1</f>
        <v>4</v>
      </c>
      <c r="K1922" s="3" t="str">
        <f aca="false">IFERROR(INDEX('Teacher Lookup'!$B$2:$B$200,MATCH(A1922,'Teacher Lookup'!$A$2:$A$200,0)),"")</f>
        <v>FAN Cecilia</v>
      </c>
    </row>
    <row r="1923" customFormat="false" ht="15" hidden="false" customHeight="false" outlineLevel="0" collapsed="false">
      <c r="A1923" s="3" t="s">
        <v>321</v>
      </c>
      <c r="B1923" s="4" t="s">
        <v>66</v>
      </c>
      <c r="C1923" s="4" t="n">
        <v>2</v>
      </c>
      <c r="D1923" s="4" t="s">
        <v>23</v>
      </c>
      <c r="E1923" s="3" t="s">
        <v>33</v>
      </c>
      <c r="F1923" s="4" t="str">
        <f aca="false">IF(I1923&gt;J1923,"Y","N")</f>
        <v>N</v>
      </c>
      <c r="G1923" s="3" t="s">
        <v>72</v>
      </c>
      <c r="H1923" s="3" t="s">
        <v>21</v>
      </c>
      <c r="I1923" s="4" t="n">
        <v>4</v>
      </c>
      <c r="J1923" s="4" t="n">
        <f aca="false">LEN(E1923)-LEN(SUBSTITUTE(E1923,",",""))+1</f>
        <v>4</v>
      </c>
      <c r="K1923" s="3" t="str">
        <f aca="false">IFERROR(INDEX('Teacher Lookup'!$B$2:$B$200,MATCH(A1923,'Teacher Lookup'!$A$2:$A$200,0)),"")</f>
        <v>FAN Cecilia</v>
      </c>
    </row>
    <row r="1924" customFormat="false" ht="15" hidden="false" customHeight="false" outlineLevel="0" collapsed="false">
      <c r="A1924" s="3" t="s">
        <v>321</v>
      </c>
      <c r="B1924" s="4" t="s">
        <v>66</v>
      </c>
      <c r="C1924" s="4" t="n">
        <v>5</v>
      </c>
      <c r="D1924" s="4" t="s">
        <v>13</v>
      </c>
      <c r="E1924" s="3" t="s">
        <v>337</v>
      </c>
      <c r="F1924" s="4" t="str">
        <f aca="false">IF(I1924&gt;J1924,"Y","N")</f>
        <v>N</v>
      </c>
      <c r="G1924" s="3" t="s">
        <v>72</v>
      </c>
      <c r="H1924" s="3" t="s">
        <v>37</v>
      </c>
      <c r="I1924" s="4" t="n">
        <v>4</v>
      </c>
      <c r="J1924" s="4" t="n">
        <f aca="false">LEN(E1924)-LEN(SUBSTITUTE(E1924,",",""))+1</f>
        <v>4</v>
      </c>
      <c r="K1924" s="3" t="str">
        <f aca="false">IFERROR(INDEX('Teacher Lookup'!$B$2:$B$200,MATCH(A1924,'Teacher Lookup'!$A$2:$A$200,0)),"")</f>
        <v>FAN Cecilia</v>
      </c>
    </row>
    <row r="1925" customFormat="false" ht="15" hidden="false" customHeight="false" outlineLevel="0" collapsed="false">
      <c r="A1925" s="3" t="s">
        <v>321</v>
      </c>
      <c r="B1925" s="4" t="s">
        <v>66</v>
      </c>
      <c r="C1925" s="4" t="n">
        <v>5</v>
      </c>
      <c r="D1925" s="4" t="s">
        <v>17</v>
      </c>
      <c r="E1925" s="3" t="s">
        <v>337</v>
      </c>
      <c r="F1925" s="4" t="str">
        <f aca="false">IF(I1925&gt;J1925,"Y","N")</f>
        <v>N</v>
      </c>
      <c r="G1925" s="3" t="s">
        <v>72</v>
      </c>
      <c r="H1925" s="3" t="s">
        <v>37</v>
      </c>
      <c r="I1925" s="4" t="n">
        <v>4</v>
      </c>
      <c r="J1925" s="4" t="n">
        <f aca="false">LEN(E1925)-LEN(SUBSTITUTE(E1925,",",""))+1</f>
        <v>4</v>
      </c>
      <c r="K1925" s="3" t="str">
        <f aca="false">IFERROR(INDEX('Teacher Lookup'!$B$2:$B$200,MATCH(A1925,'Teacher Lookup'!$A$2:$A$200,0)),"")</f>
        <v>FAN Cecilia</v>
      </c>
    </row>
    <row r="1926" customFormat="false" ht="15" hidden="false" customHeight="false" outlineLevel="0" collapsed="false">
      <c r="A1926" s="3" t="s">
        <v>321</v>
      </c>
      <c r="B1926" s="4" t="s">
        <v>66</v>
      </c>
      <c r="C1926" s="4" t="n">
        <v>5</v>
      </c>
      <c r="D1926" s="4" t="s">
        <v>18</v>
      </c>
      <c r="E1926" s="3" t="s">
        <v>337</v>
      </c>
      <c r="F1926" s="4" t="str">
        <f aca="false">IF(I1926&gt;J1926,"Y","N")</f>
        <v>N</v>
      </c>
      <c r="G1926" s="3" t="s">
        <v>72</v>
      </c>
      <c r="H1926" s="3" t="s">
        <v>37</v>
      </c>
      <c r="I1926" s="4" t="n">
        <v>4</v>
      </c>
      <c r="J1926" s="4" t="n">
        <f aca="false">LEN(E1926)-LEN(SUBSTITUTE(E1926,",",""))+1</f>
        <v>4</v>
      </c>
      <c r="K1926" s="3" t="str">
        <f aca="false">IFERROR(INDEX('Teacher Lookup'!$B$2:$B$200,MATCH(A1926,'Teacher Lookup'!$A$2:$A$200,0)),"")</f>
        <v>FAN Cecilia</v>
      </c>
    </row>
    <row r="1927" customFormat="false" ht="15" hidden="false" customHeight="false" outlineLevel="0" collapsed="false">
      <c r="A1927" s="3" t="s">
        <v>321</v>
      </c>
      <c r="B1927" s="4" t="s">
        <v>66</v>
      </c>
      <c r="C1927" s="4" t="n">
        <v>6</v>
      </c>
      <c r="D1927" s="4" t="s">
        <v>105</v>
      </c>
      <c r="E1927" s="3" t="s">
        <v>331</v>
      </c>
      <c r="F1927" s="4" t="str">
        <f aca="false">IF(I1927&gt;J1927,"Y","N")</f>
        <v>N</v>
      </c>
      <c r="G1927" s="3" t="s">
        <v>72</v>
      </c>
      <c r="H1927" s="3" t="s">
        <v>42</v>
      </c>
      <c r="I1927" s="4" t="n">
        <v>3</v>
      </c>
      <c r="J1927" s="4" t="n">
        <f aca="false">LEN(E1927)-LEN(SUBSTITUTE(E1927,",",""))+1</f>
        <v>3</v>
      </c>
      <c r="K1927" s="3" t="str">
        <f aca="false">IFERROR(INDEX('Teacher Lookup'!$B$2:$B$200,MATCH(A1927,'Teacher Lookup'!$A$2:$A$200,0)),"")</f>
        <v>FAN Cecilia</v>
      </c>
    </row>
    <row r="1928" customFormat="false" ht="15" hidden="false" customHeight="false" outlineLevel="0" collapsed="false">
      <c r="A1928" s="3" t="s">
        <v>321</v>
      </c>
      <c r="B1928" s="4" t="s">
        <v>66</v>
      </c>
      <c r="C1928" s="4" t="n">
        <v>6</v>
      </c>
      <c r="D1928" s="4" t="s">
        <v>106</v>
      </c>
      <c r="E1928" s="3" t="s">
        <v>331</v>
      </c>
      <c r="F1928" s="4" t="str">
        <f aca="false">IF(I1928&gt;J1928,"Y","N")</f>
        <v>N</v>
      </c>
      <c r="G1928" s="3" t="s">
        <v>72</v>
      </c>
      <c r="H1928" s="3" t="s">
        <v>42</v>
      </c>
      <c r="I1928" s="4" t="n">
        <v>3</v>
      </c>
      <c r="J1928" s="4" t="n">
        <f aca="false">LEN(E1928)-LEN(SUBSTITUTE(E1928,",",""))+1</f>
        <v>3</v>
      </c>
      <c r="K1928" s="3" t="str">
        <f aca="false">IFERROR(INDEX('Teacher Lookup'!$B$2:$B$200,MATCH(A1928,'Teacher Lookup'!$A$2:$A$200,0)),"")</f>
        <v>FAN Cecilia</v>
      </c>
    </row>
    <row r="1929" customFormat="false" ht="15" hidden="false" customHeight="false" outlineLevel="0" collapsed="false">
      <c r="A1929" s="3" t="s">
        <v>321</v>
      </c>
      <c r="B1929" s="4" t="s">
        <v>66</v>
      </c>
      <c r="C1929" s="4" t="n">
        <v>7</v>
      </c>
      <c r="D1929" s="4" t="s">
        <v>105</v>
      </c>
      <c r="E1929" s="3" t="s">
        <v>331</v>
      </c>
      <c r="F1929" s="4" t="str">
        <f aca="false">IF(I1929&gt;J1929,"Y","N")</f>
        <v>N</v>
      </c>
      <c r="G1929" s="3" t="s">
        <v>72</v>
      </c>
      <c r="H1929" s="3" t="s">
        <v>39</v>
      </c>
      <c r="I1929" s="4" t="n">
        <v>3</v>
      </c>
      <c r="J1929" s="4" t="n">
        <f aca="false">LEN(E1929)-LEN(SUBSTITUTE(E1929,",",""))+1</f>
        <v>3</v>
      </c>
      <c r="K1929" s="3" t="str">
        <f aca="false">IFERROR(INDEX('Teacher Lookup'!$B$2:$B$200,MATCH(A1929,'Teacher Lookup'!$A$2:$A$200,0)),"")</f>
        <v>FAN Cecilia</v>
      </c>
    </row>
    <row r="1930" customFormat="false" ht="15" hidden="false" customHeight="false" outlineLevel="0" collapsed="false">
      <c r="A1930" s="3" t="s">
        <v>321</v>
      </c>
      <c r="B1930" s="4" t="s">
        <v>66</v>
      </c>
      <c r="C1930" s="4" t="n">
        <v>7</v>
      </c>
      <c r="D1930" s="4" t="s">
        <v>106</v>
      </c>
      <c r="E1930" s="3" t="s">
        <v>331</v>
      </c>
      <c r="F1930" s="4" t="str">
        <f aca="false">IF(I1930&gt;J1930,"Y","N")</f>
        <v>N</v>
      </c>
      <c r="G1930" s="3" t="s">
        <v>72</v>
      </c>
      <c r="H1930" s="3" t="s">
        <v>39</v>
      </c>
      <c r="I1930" s="4" t="n">
        <v>3</v>
      </c>
      <c r="J1930" s="4" t="n">
        <f aca="false">LEN(E1930)-LEN(SUBSTITUTE(E1930,",",""))+1</f>
        <v>3</v>
      </c>
      <c r="K1930" s="3" t="str">
        <f aca="false">IFERROR(INDEX('Teacher Lookup'!$B$2:$B$200,MATCH(A1930,'Teacher Lookup'!$A$2:$A$200,0)),"")</f>
        <v>FAN Cecilia</v>
      </c>
    </row>
    <row r="1931" customFormat="false" ht="15" hidden="false" customHeight="false" outlineLevel="0" collapsed="false">
      <c r="A1931" s="3" t="s">
        <v>338</v>
      </c>
      <c r="B1931" s="4" t="s">
        <v>12</v>
      </c>
      <c r="C1931" s="4" t="n">
        <v>3</v>
      </c>
      <c r="D1931" s="4" t="s">
        <v>52</v>
      </c>
      <c r="E1931" s="3" t="s">
        <v>100</v>
      </c>
      <c r="F1931" s="4" t="str">
        <f aca="false">IF(I1931&gt;J1931,"Y","N")</f>
        <v>N</v>
      </c>
      <c r="G1931" s="3" t="s">
        <v>101</v>
      </c>
      <c r="H1931" s="3" t="s">
        <v>26</v>
      </c>
      <c r="I1931" s="4" t="n">
        <v>8</v>
      </c>
      <c r="J1931" s="4" t="n">
        <f aca="false">LEN(E1931)-LEN(SUBSTITUTE(E1931,",",""))+1</f>
        <v>8</v>
      </c>
      <c r="K1931" s="3" t="str">
        <f aca="false">IFERROR(INDEX('Teacher Lookup'!$B$2:$B$200,MATCH(A1931,'Teacher Lookup'!$A$2:$A$200,0)),"")</f>
        <v>KONG Chapman</v>
      </c>
    </row>
    <row r="1932" customFormat="false" ht="15" hidden="false" customHeight="false" outlineLevel="0" collapsed="false">
      <c r="A1932" s="3" t="s">
        <v>338</v>
      </c>
      <c r="B1932" s="4" t="s">
        <v>12</v>
      </c>
      <c r="C1932" s="4" t="n">
        <v>3</v>
      </c>
      <c r="D1932" s="4" t="s">
        <v>55</v>
      </c>
      <c r="E1932" s="3" t="s">
        <v>100</v>
      </c>
      <c r="F1932" s="4" t="str">
        <f aca="false">IF(I1932&gt;J1932,"Y","N")</f>
        <v>N</v>
      </c>
      <c r="G1932" s="3" t="s">
        <v>101</v>
      </c>
      <c r="H1932" s="3" t="s">
        <v>26</v>
      </c>
      <c r="I1932" s="4" t="n">
        <v>8</v>
      </c>
      <c r="J1932" s="4" t="n">
        <f aca="false">LEN(E1932)-LEN(SUBSTITUTE(E1932,",",""))+1</f>
        <v>8</v>
      </c>
      <c r="K1932" s="3" t="str">
        <f aca="false">IFERROR(INDEX('Teacher Lookup'!$B$2:$B$200,MATCH(A1932,'Teacher Lookup'!$A$2:$A$200,0)),"")</f>
        <v>KONG Chapman</v>
      </c>
    </row>
    <row r="1933" customFormat="false" ht="15" hidden="false" customHeight="false" outlineLevel="0" collapsed="false">
      <c r="A1933" s="3" t="s">
        <v>338</v>
      </c>
      <c r="B1933" s="4" t="s">
        <v>12</v>
      </c>
      <c r="C1933" s="4" t="n">
        <v>3</v>
      </c>
      <c r="D1933" s="4" t="s">
        <v>56</v>
      </c>
      <c r="E1933" s="3" t="s">
        <v>100</v>
      </c>
      <c r="F1933" s="4" t="str">
        <f aca="false">IF(I1933&gt;J1933,"Y","N")</f>
        <v>N</v>
      </c>
      <c r="G1933" s="3" t="s">
        <v>101</v>
      </c>
      <c r="H1933" s="3" t="s">
        <v>26</v>
      </c>
      <c r="I1933" s="4" t="n">
        <v>8</v>
      </c>
      <c r="J1933" s="4" t="n">
        <f aca="false">LEN(E1933)-LEN(SUBSTITUTE(E1933,",",""))+1</f>
        <v>8</v>
      </c>
      <c r="K1933" s="3" t="str">
        <f aca="false">IFERROR(INDEX('Teacher Lookup'!$B$2:$B$200,MATCH(A1933,'Teacher Lookup'!$A$2:$A$200,0)),"")</f>
        <v>KONG Chapman</v>
      </c>
    </row>
    <row r="1934" customFormat="false" ht="15" hidden="false" customHeight="false" outlineLevel="0" collapsed="false">
      <c r="A1934" s="3" t="s">
        <v>338</v>
      </c>
      <c r="B1934" s="4" t="s">
        <v>12</v>
      </c>
      <c r="C1934" s="4" t="n">
        <v>3</v>
      </c>
      <c r="D1934" s="4" t="s">
        <v>57</v>
      </c>
      <c r="E1934" s="3" t="s">
        <v>100</v>
      </c>
      <c r="F1934" s="4" t="str">
        <f aca="false">IF(I1934&gt;J1934,"Y","N")</f>
        <v>N</v>
      </c>
      <c r="G1934" s="3" t="s">
        <v>101</v>
      </c>
      <c r="H1934" s="3" t="s">
        <v>26</v>
      </c>
      <c r="I1934" s="4" t="n">
        <v>8</v>
      </c>
      <c r="J1934" s="4" t="n">
        <f aca="false">LEN(E1934)-LEN(SUBSTITUTE(E1934,",",""))+1</f>
        <v>8</v>
      </c>
      <c r="K1934" s="3" t="str">
        <f aca="false">IFERROR(INDEX('Teacher Lookup'!$B$2:$B$200,MATCH(A1934,'Teacher Lookup'!$A$2:$A$200,0)),"")</f>
        <v>KONG Chapman</v>
      </c>
    </row>
    <row r="1935" customFormat="false" ht="15" hidden="false" customHeight="false" outlineLevel="0" collapsed="false">
      <c r="A1935" s="3" t="s">
        <v>338</v>
      </c>
      <c r="B1935" s="4" t="s">
        <v>12</v>
      </c>
      <c r="C1935" s="4" t="n">
        <v>3</v>
      </c>
      <c r="D1935" s="4" t="s">
        <v>58</v>
      </c>
      <c r="E1935" s="3" t="s">
        <v>100</v>
      </c>
      <c r="F1935" s="4" t="str">
        <f aca="false">IF(I1935&gt;J1935,"Y","N")</f>
        <v>N</v>
      </c>
      <c r="G1935" s="3" t="s">
        <v>101</v>
      </c>
      <c r="H1935" s="3" t="s">
        <v>26</v>
      </c>
      <c r="I1935" s="4" t="n">
        <v>8</v>
      </c>
      <c r="J1935" s="4" t="n">
        <f aca="false">LEN(E1935)-LEN(SUBSTITUTE(E1935,",",""))+1</f>
        <v>8</v>
      </c>
      <c r="K1935" s="3" t="str">
        <f aca="false">IFERROR(INDEX('Teacher Lookup'!$B$2:$B$200,MATCH(A1935,'Teacher Lookup'!$A$2:$A$200,0)),"")</f>
        <v>KONG Chapman</v>
      </c>
    </row>
    <row r="1936" customFormat="false" ht="15" hidden="false" customHeight="false" outlineLevel="0" collapsed="false">
      <c r="A1936" s="3" t="s">
        <v>338</v>
      </c>
      <c r="B1936" s="4" t="s">
        <v>12</v>
      </c>
      <c r="C1936" s="4" t="n">
        <v>3</v>
      </c>
      <c r="D1936" s="4" t="s">
        <v>59</v>
      </c>
      <c r="E1936" s="3" t="s">
        <v>100</v>
      </c>
      <c r="F1936" s="4" t="str">
        <f aca="false">IF(I1936&gt;J1936,"Y","N")</f>
        <v>N</v>
      </c>
      <c r="G1936" s="3" t="s">
        <v>101</v>
      </c>
      <c r="H1936" s="3" t="s">
        <v>26</v>
      </c>
      <c r="I1936" s="4" t="n">
        <v>8</v>
      </c>
      <c r="J1936" s="4" t="n">
        <f aca="false">LEN(E1936)-LEN(SUBSTITUTE(E1936,",",""))+1</f>
        <v>8</v>
      </c>
      <c r="K1936" s="3" t="str">
        <f aca="false">IFERROR(INDEX('Teacher Lookup'!$B$2:$B$200,MATCH(A1936,'Teacher Lookup'!$A$2:$A$200,0)),"")</f>
        <v>KONG Chapman</v>
      </c>
    </row>
    <row r="1937" customFormat="false" ht="15" hidden="false" customHeight="false" outlineLevel="0" collapsed="false">
      <c r="A1937" s="3" t="s">
        <v>338</v>
      </c>
      <c r="B1937" s="4" t="s">
        <v>12</v>
      </c>
      <c r="C1937" s="4" t="n">
        <v>6</v>
      </c>
      <c r="D1937" s="4" t="s">
        <v>22</v>
      </c>
      <c r="E1937" s="3" t="s">
        <v>125</v>
      </c>
      <c r="F1937" s="4" t="str">
        <f aca="false">IF(I1937&gt;J1937,"Y","N")</f>
        <v>N</v>
      </c>
      <c r="G1937" s="3" t="s">
        <v>126</v>
      </c>
      <c r="H1937" s="3" t="s">
        <v>42</v>
      </c>
      <c r="I1937" s="4" t="n">
        <v>1</v>
      </c>
      <c r="J1937" s="4" t="n">
        <f aca="false">LEN(E1937)-LEN(SUBSTITUTE(E1937,",",""))+1</f>
        <v>1</v>
      </c>
      <c r="K1937" s="3" t="str">
        <f aca="false">IFERROR(INDEX('Teacher Lookup'!$B$2:$B$200,MATCH(A1937,'Teacher Lookup'!$A$2:$A$200,0)),"")</f>
        <v>KONG Chapman</v>
      </c>
    </row>
    <row r="1938" customFormat="false" ht="15" hidden="false" customHeight="false" outlineLevel="0" collapsed="false">
      <c r="A1938" s="3" t="s">
        <v>338</v>
      </c>
      <c r="B1938" s="4" t="s">
        <v>12</v>
      </c>
      <c r="C1938" s="4" t="n">
        <v>7</v>
      </c>
      <c r="D1938" s="4" t="s">
        <v>106</v>
      </c>
      <c r="E1938" s="3" t="s">
        <v>339</v>
      </c>
      <c r="F1938" s="4" t="str">
        <f aca="false">IF(I1938&gt;J1938,"Y","N")</f>
        <v>N</v>
      </c>
      <c r="G1938" s="3" t="s">
        <v>340</v>
      </c>
      <c r="H1938" s="3" t="s">
        <v>39</v>
      </c>
      <c r="I1938" s="4" t="n">
        <v>2</v>
      </c>
      <c r="J1938" s="4" t="n">
        <f aca="false">LEN(E1938)-LEN(SUBSTITUTE(E1938,",",""))+1</f>
        <v>2</v>
      </c>
      <c r="K1938" s="3" t="str">
        <f aca="false">IFERROR(INDEX('Teacher Lookup'!$B$2:$B$200,MATCH(A1938,'Teacher Lookup'!$A$2:$A$200,0)),"")</f>
        <v>KONG Chapman</v>
      </c>
    </row>
    <row r="1939" customFormat="false" ht="15" hidden="false" customHeight="false" outlineLevel="0" collapsed="false">
      <c r="A1939" s="3" t="s">
        <v>338</v>
      </c>
      <c r="B1939" s="4" t="s">
        <v>31</v>
      </c>
      <c r="C1939" s="4" t="n">
        <v>1</v>
      </c>
      <c r="D1939" s="4" t="s">
        <v>22</v>
      </c>
      <c r="E1939" s="3" t="s">
        <v>125</v>
      </c>
      <c r="F1939" s="4" t="str">
        <f aca="false">IF(I1939&gt;J1939,"Y","N")</f>
        <v>N</v>
      </c>
      <c r="G1939" s="3" t="s">
        <v>126</v>
      </c>
      <c r="H1939" s="3" t="s">
        <v>16</v>
      </c>
      <c r="I1939" s="4" t="n">
        <v>1</v>
      </c>
      <c r="J1939" s="4" t="n">
        <f aca="false">LEN(E1939)-LEN(SUBSTITUTE(E1939,",",""))+1</f>
        <v>1</v>
      </c>
      <c r="K1939" s="3" t="str">
        <f aca="false">IFERROR(INDEX('Teacher Lookup'!$B$2:$B$200,MATCH(A1939,'Teacher Lookup'!$A$2:$A$200,0)),"")</f>
        <v>KONG Chapman</v>
      </c>
    </row>
    <row r="1940" customFormat="false" ht="15" hidden="false" customHeight="false" outlineLevel="0" collapsed="false">
      <c r="A1940" s="3" t="s">
        <v>338</v>
      </c>
      <c r="B1940" s="4" t="s">
        <v>31</v>
      </c>
      <c r="C1940" s="4" t="n">
        <v>4</v>
      </c>
      <c r="D1940" s="4" t="s">
        <v>52</v>
      </c>
      <c r="E1940" s="3" t="s">
        <v>111</v>
      </c>
      <c r="F1940" s="4" t="str">
        <f aca="false">IF(I1940&gt;J1940,"Y","N")</f>
        <v>N</v>
      </c>
      <c r="G1940" s="3" t="s">
        <v>101</v>
      </c>
      <c r="H1940" s="3" t="s">
        <v>34</v>
      </c>
      <c r="I1940" s="4" t="n">
        <v>8</v>
      </c>
      <c r="J1940" s="4" t="n">
        <f aca="false">LEN(E1940)-LEN(SUBSTITUTE(E1940,",",""))+1</f>
        <v>8</v>
      </c>
      <c r="K1940" s="3" t="str">
        <f aca="false">IFERROR(INDEX('Teacher Lookup'!$B$2:$B$200,MATCH(A1940,'Teacher Lookup'!$A$2:$A$200,0)),"")</f>
        <v>KONG Chapman</v>
      </c>
    </row>
    <row r="1941" customFormat="false" ht="15" hidden="false" customHeight="false" outlineLevel="0" collapsed="false">
      <c r="A1941" s="3" t="s">
        <v>338</v>
      </c>
      <c r="B1941" s="4" t="s">
        <v>31</v>
      </c>
      <c r="C1941" s="4" t="n">
        <v>4</v>
      </c>
      <c r="D1941" s="4" t="s">
        <v>55</v>
      </c>
      <c r="E1941" s="3" t="s">
        <v>111</v>
      </c>
      <c r="F1941" s="4" t="str">
        <f aca="false">IF(I1941&gt;J1941,"Y","N")</f>
        <v>N</v>
      </c>
      <c r="G1941" s="3" t="s">
        <v>101</v>
      </c>
      <c r="H1941" s="3" t="s">
        <v>34</v>
      </c>
      <c r="I1941" s="4" t="n">
        <v>8</v>
      </c>
      <c r="J1941" s="4" t="n">
        <f aca="false">LEN(E1941)-LEN(SUBSTITUTE(E1941,",",""))+1</f>
        <v>8</v>
      </c>
      <c r="K1941" s="3" t="str">
        <f aca="false">IFERROR(INDEX('Teacher Lookup'!$B$2:$B$200,MATCH(A1941,'Teacher Lookup'!$A$2:$A$200,0)),"")</f>
        <v>KONG Chapman</v>
      </c>
    </row>
    <row r="1942" customFormat="false" ht="15" hidden="false" customHeight="false" outlineLevel="0" collapsed="false">
      <c r="A1942" s="3" t="s">
        <v>338</v>
      </c>
      <c r="B1942" s="4" t="s">
        <v>31</v>
      </c>
      <c r="C1942" s="4" t="n">
        <v>4</v>
      </c>
      <c r="D1942" s="4" t="s">
        <v>56</v>
      </c>
      <c r="E1942" s="3" t="s">
        <v>111</v>
      </c>
      <c r="F1942" s="4" t="str">
        <f aca="false">IF(I1942&gt;J1942,"Y","N")</f>
        <v>N</v>
      </c>
      <c r="G1942" s="3" t="s">
        <v>101</v>
      </c>
      <c r="H1942" s="3" t="s">
        <v>34</v>
      </c>
      <c r="I1942" s="4" t="n">
        <v>8</v>
      </c>
      <c r="J1942" s="4" t="n">
        <f aca="false">LEN(E1942)-LEN(SUBSTITUTE(E1942,",",""))+1</f>
        <v>8</v>
      </c>
      <c r="K1942" s="3" t="str">
        <f aca="false">IFERROR(INDEX('Teacher Lookup'!$B$2:$B$200,MATCH(A1942,'Teacher Lookup'!$A$2:$A$200,0)),"")</f>
        <v>KONG Chapman</v>
      </c>
    </row>
    <row r="1943" customFormat="false" ht="15" hidden="false" customHeight="false" outlineLevel="0" collapsed="false">
      <c r="A1943" s="3" t="s">
        <v>338</v>
      </c>
      <c r="B1943" s="4" t="s">
        <v>31</v>
      </c>
      <c r="C1943" s="4" t="n">
        <v>4</v>
      </c>
      <c r="D1943" s="4" t="s">
        <v>57</v>
      </c>
      <c r="E1943" s="3" t="s">
        <v>111</v>
      </c>
      <c r="F1943" s="4" t="str">
        <f aca="false">IF(I1943&gt;J1943,"Y","N")</f>
        <v>N</v>
      </c>
      <c r="G1943" s="3" t="s">
        <v>101</v>
      </c>
      <c r="H1943" s="3" t="s">
        <v>34</v>
      </c>
      <c r="I1943" s="4" t="n">
        <v>8</v>
      </c>
      <c r="J1943" s="4" t="n">
        <f aca="false">LEN(E1943)-LEN(SUBSTITUTE(E1943,",",""))+1</f>
        <v>8</v>
      </c>
      <c r="K1943" s="3" t="str">
        <f aca="false">IFERROR(INDEX('Teacher Lookup'!$B$2:$B$200,MATCH(A1943,'Teacher Lookup'!$A$2:$A$200,0)),"")</f>
        <v>KONG Chapman</v>
      </c>
    </row>
    <row r="1944" customFormat="false" ht="15" hidden="false" customHeight="false" outlineLevel="0" collapsed="false">
      <c r="A1944" s="3" t="s">
        <v>338</v>
      </c>
      <c r="B1944" s="4" t="s">
        <v>31</v>
      </c>
      <c r="C1944" s="4" t="n">
        <v>4</v>
      </c>
      <c r="D1944" s="4" t="s">
        <v>58</v>
      </c>
      <c r="E1944" s="3" t="s">
        <v>111</v>
      </c>
      <c r="F1944" s="4" t="str">
        <f aca="false">IF(I1944&gt;J1944,"Y","N")</f>
        <v>N</v>
      </c>
      <c r="G1944" s="3" t="s">
        <v>101</v>
      </c>
      <c r="H1944" s="3" t="s">
        <v>34</v>
      </c>
      <c r="I1944" s="4" t="n">
        <v>8</v>
      </c>
      <c r="J1944" s="4" t="n">
        <f aca="false">LEN(E1944)-LEN(SUBSTITUTE(E1944,",",""))+1</f>
        <v>8</v>
      </c>
      <c r="K1944" s="3" t="str">
        <f aca="false">IFERROR(INDEX('Teacher Lookup'!$B$2:$B$200,MATCH(A1944,'Teacher Lookup'!$A$2:$A$200,0)),"")</f>
        <v>KONG Chapman</v>
      </c>
    </row>
    <row r="1945" customFormat="false" ht="15" hidden="false" customHeight="false" outlineLevel="0" collapsed="false">
      <c r="A1945" s="3" t="s">
        <v>338</v>
      </c>
      <c r="B1945" s="4" t="s">
        <v>31</v>
      </c>
      <c r="C1945" s="4" t="n">
        <v>4</v>
      </c>
      <c r="D1945" s="4" t="s">
        <v>59</v>
      </c>
      <c r="E1945" s="3" t="s">
        <v>111</v>
      </c>
      <c r="F1945" s="4" t="str">
        <f aca="false">IF(I1945&gt;J1945,"Y","N")</f>
        <v>N</v>
      </c>
      <c r="G1945" s="3" t="s">
        <v>101</v>
      </c>
      <c r="H1945" s="3" t="s">
        <v>34</v>
      </c>
      <c r="I1945" s="4" t="n">
        <v>8</v>
      </c>
      <c r="J1945" s="4" t="n">
        <f aca="false">LEN(E1945)-LEN(SUBSTITUTE(E1945,",",""))+1</f>
        <v>8</v>
      </c>
      <c r="K1945" s="3" t="str">
        <f aca="false">IFERROR(INDEX('Teacher Lookup'!$B$2:$B$200,MATCH(A1945,'Teacher Lookup'!$A$2:$A$200,0)),"")</f>
        <v>KONG Chapman</v>
      </c>
    </row>
    <row r="1946" customFormat="false" ht="15" hidden="false" customHeight="false" outlineLevel="0" collapsed="false">
      <c r="A1946" s="3" t="s">
        <v>338</v>
      </c>
      <c r="B1946" s="4" t="s">
        <v>31</v>
      </c>
      <c r="C1946" s="4" t="n">
        <v>5</v>
      </c>
      <c r="D1946" s="4" t="s">
        <v>228</v>
      </c>
      <c r="E1946" s="3" t="s">
        <v>229</v>
      </c>
      <c r="F1946" s="4" t="str">
        <f aca="false">IF(I1946&gt;J1946,"Y","N")</f>
        <v>Y</v>
      </c>
      <c r="G1946" s="3" t="s">
        <v>36</v>
      </c>
      <c r="H1946" s="3" t="s">
        <v>37</v>
      </c>
      <c r="I1946" s="4" t="n">
        <v>14</v>
      </c>
      <c r="J1946" s="4" t="n">
        <f aca="false">LEN(E1946)-LEN(SUBSTITUTE(E1946,",",""))+1</f>
        <v>6</v>
      </c>
      <c r="K1946" s="3" t="str">
        <f aca="false">IFERROR(INDEX('Teacher Lookup'!$B$2:$B$200,MATCH(A1946,'Teacher Lookup'!$A$2:$A$200,0)),"")</f>
        <v>KONG Chapman</v>
      </c>
    </row>
    <row r="1947" customFormat="false" ht="15" hidden="false" customHeight="false" outlineLevel="0" collapsed="false">
      <c r="A1947" s="3" t="s">
        <v>338</v>
      </c>
      <c r="B1947" s="4" t="s">
        <v>31</v>
      </c>
      <c r="C1947" s="4" t="n">
        <v>5</v>
      </c>
      <c r="D1947" s="4" t="s">
        <v>102</v>
      </c>
      <c r="E1947" s="3" t="s">
        <v>229</v>
      </c>
      <c r="F1947" s="4" t="str">
        <f aca="false">IF(I1947&gt;J1947,"Y","N")</f>
        <v>Y</v>
      </c>
      <c r="G1947" s="3" t="s">
        <v>36</v>
      </c>
      <c r="H1947" s="3" t="s">
        <v>37</v>
      </c>
      <c r="I1947" s="4" t="n">
        <v>14</v>
      </c>
      <c r="J1947" s="4" t="n">
        <f aca="false">LEN(E1947)-LEN(SUBSTITUTE(E1947,",",""))+1</f>
        <v>6</v>
      </c>
      <c r="K1947" s="3" t="str">
        <f aca="false">IFERROR(INDEX('Teacher Lookup'!$B$2:$B$200,MATCH(A1947,'Teacher Lookup'!$A$2:$A$200,0)),"")</f>
        <v>KONG Chapman</v>
      </c>
    </row>
    <row r="1948" customFormat="false" ht="15" hidden="false" customHeight="false" outlineLevel="0" collapsed="false">
      <c r="A1948" s="3" t="s">
        <v>338</v>
      </c>
      <c r="B1948" s="4" t="s">
        <v>31</v>
      </c>
      <c r="C1948" s="4" t="n">
        <v>5</v>
      </c>
      <c r="D1948" s="4" t="s">
        <v>105</v>
      </c>
      <c r="E1948" s="3" t="s">
        <v>229</v>
      </c>
      <c r="F1948" s="4" t="str">
        <f aca="false">IF(I1948&gt;J1948,"Y","N")</f>
        <v>Y</v>
      </c>
      <c r="G1948" s="3" t="s">
        <v>36</v>
      </c>
      <c r="H1948" s="3" t="s">
        <v>37</v>
      </c>
      <c r="I1948" s="4" t="n">
        <v>14</v>
      </c>
      <c r="J1948" s="4" t="n">
        <f aca="false">LEN(E1948)-LEN(SUBSTITUTE(E1948,",",""))+1</f>
        <v>6</v>
      </c>
      <c r="K1948" s="3" t="str">
        <f aca="false">IFERROR(INDEX('Teacher Lookup'!$B$2:$B$200,MATCH(A1948,'Teacher Lookup'!$A$2:$A$200,0)),"")</f>
        <v>KONG Chapman</v>
      </c>
    </row>
    <row r="1949" customFormat="false" ht="15" hidden="false" customHeight="false" outlineLevel="0" collapsed="false">
      <c r="A1949" s="3" t="s">
        <v>338</v>
      </c>
      <c r="B1949" s="4" t="s">
        <v>31</v>
      </c>
      <c r="C1949" s="4" t="n">
        <v>5</v>
      </c>
      <c r="D1949" s="4" t="s">
        <v>106</v>
      </c>
      <c r="E1949" s="3" t="s">
        <v>229</v>
      </c>
      <c r="F1949" s="4" t="str">
        <f aca="false">IF(I1949&gt;J1949,"Y","N")</f>
        <v>Y</v>
      </c>
      <c r="G1949" s="3" t="s">
        <v>36</v>
      </c>
      <c r="H1949" s="3" t="s">
        <v>37</v>
      </c>
      <c r="I1949" s="4" t="n">
        <v>14</v>
      </c>
      <c r="J1949" s="4" t="n">
        <f aca="false">LEN(E1949)-LEN(SUBSTITUTE(E1949,",",""))+1</f>
        <v>6</v>
      </c>
      <c r="K1949" s="3" t="str">
        <f aca="false">IFERROR(INDEX('Teacher Lookup'!$B$2:$B$200,MATCH(A1949,'Teacher Lookup'!$A$2:$A$200,0)),"")</f>
        <v>KONG Chapman</v>
      </c>
    </row>
    <row r="1950" customFormat="false" ht="15" hidden="false" customHeight="false" outlineLevel="0" collapsed="false">
      <c r="A1950" s="3" t="s">
        <v>338</v>
      </c>
      <c r="B1950" s="4" t="s">
        <v>31</v>
      </c>
      <c r="C1950" s="4" t="n">
        <v>5</v>
      </c>
      <c r="D1950" s="4" t="s">
        <v>107</v>
      </c>
      <c r="E1950" s="3" t="s">
        <v>229</v>
      </c>
      <c r="F1950" s="4" t="str">
        <f aca="false">IF(I1950&gt;J1950,"Y","N")</f>
        <v>Y</v>
      </c>
      <c r="G1950" s="3" t="s">
        <v>36</v>
      </c>
      <c r="H1950" s="3" t="s">
        <v>37</v>
      </c>
      <c r="I1950" s="4" t="n">
        <v>14</v>
      </c>
      <c r="J1950" s="4" t="n">
        <f aca="false">LEN(E1950)-LEN(SUBSTITUTE(E1950,",",""))+1</f>
        <v>6</v>
      </c>
      <c r="K1950" s="3" t="str">
        <f aca="false">IFERROR(INDEX('Teacher Lookup'!$B$2:$B$200,MATCH(A1950,'Teacher Lookup'!$A$2:$A$200,0)),"")</f>
        <v>KONG Chapman</v>
      </c>
    </row>
    <row r="1951" customFormat="false" ht="15" hidden="false" customHeight="false" outlineLevel="0" collapsed="false">
      <c r="A1951" s="3" t="s">
        <v>338</v>
      </c>
      <c r="B1951" s="4" t="s">
        <v>40</v>
      </c>
      <c r="C1951" s="4" t="n">
        <v>3</v>
      </c>
      <c r="D1951" s="4" t="s">
        <v>106</v>
      </c>
      <c r="E1951" s="3" t="s">
        <v>339</v>
      </c>
      <c r="F1951" s="4" t="str">
        <f aca="false">IF(I1951&gt;J1951,"Y","N")</f>
        <v>N</v>
      </c>
      <c r="G1951" s="3" t="s">
        <v>340</v>
      </c>
      <c r="H1951" s="3" t="s">
        <v>26</v>
      </c>
      <c r="I1951" s="4" t="n">
        <v>2</v>
      </c>
      <c r="J1951" s="4" t="n">
        <f aca="false">LEN(E1951)-LEN(SUBSTITUTE(E1951,",",""))+1</f>
        <v>2</v>
      </c>
      <c r="K1951" s="3" t="str">
        <f aca="false">IFERROR(INDEX('Teacher Lookup'!$B$2:$B$200,MATCH(A1951,'Teacher Lookup'!$A$2:$A$200,0)),"")</f>
        <v>KONG Chapman</v>
      </c>
    </row>
    <row r="1952" customFormat="false" ht="15" hidden="false" customHeight="false" outlineLevel="0" collapsed="false">
      <c r="A1952" s="3" t="s">
        <v>338</v>
      </c>
      <c r="B1952" s="4" t="s">
        <v>40</v>
      </c>
      <c r="C1952" s="4" t="n">
        <v>4</v>
      </c>
      <c r="D1952" s="4" t="s">
        <v>22</v>
      </c>
      <c r="E1952" s="3" t="s">
        <v>125</v>
      </c>
      <c r="F1952" s="4" t="str">
        <f aca="false">IF(I1952&gt;J1952,"Y","N")</f>
        <v>N</v>
      </c>
      <c r="G1952" s="3" t="s">
        <v>126</v>
      </c>
      <c r="H1952" s="3" t="s">
        <v>34</v>
      </c>
      <c r="I1952" s="4" t="n">
        <v>1</v>
      </c>
      <c r="J1952" s="4" t="n">
        <f aca="false">LEN(E1952)-LEN(SUBSTITUTE(E1952,",",""))+1</f>
        <v>1</v>
      </c>
      <c r="K1952" s="3" t="str">
        <f aca="false">IFERROR(INDEX('Teacher Lookup'!$B$2:$B$200,MATCH(A1952,'Teacher Lookup'!$A$2:$A$200,0)),"")</f>
        <v>KONG Chapman</v>
      </c>
    </row>
    <row r="1953" customFormat="false" ht="15" hidden="false" customHeight="false" outlineLevel="0" collapsed="false">
      <c r="A1953" s="3" t="s">
        <v>338</v>
      </c>
      <c r="B1953" s="4" t="s">
        <v>44</v>
      </c>
      <c r="C1953" s="4" t="n">
        <v>2</v>
      </c>
      <c r="D1953" s="4" t="s">
        <v>22</v>
      </c>
      <c r="E1953" s="3" t="s">
        <v>341</v>
      </c>
      <c r="F1953" s="4" t="str">
        <f aca="false">IF(I1953&gt;J1953,"Y","N")</f>
        <v>N</v>
      </c>
      <c r="G1953" s="3" t="s">
        <v>126</v>
      </c>
      <c r="H1953" s="3" t="s">
        <v>21</v>
      </c>
      <c r="I1953" s="4" t="n">
        <v>1</v>
      </c>
      <c r="J1953" s="4" t="n">
        <f aca="false">LEN(E1953)-LEN(SUBSTITUTE(E1953,",",""))+1</f>
        <v>1</v>
      </c>
      <c r="K1953" s="3" t="str">
        <f aca="false">IFERROR(INDEX('Teacher Lookup'!$B$2:$B$200,MATCH(A1953,'Teacher Lookup'!$A$2:$A$200,0)),"")</f>
        <v>KONG Chapman</v>
      </c>
    </row>
    <row r="1954" customFormat="false" ht="15" hidden="false" customHeight="false" outlineLevel="0" collapsed="false">
      <c r="A1954" s="3" t="s">
        <v>338</v>
      </c>
      <c r="B1954" s="4" t="s">
        <v>44</v>
      </c>
      <c r="C1954" s="4" t="n">
        <v>4</v>
      </c>
      <c r="D1954" s="4" t="s">
        <v>52</v>
      </c>
      <c r="E1954" s="3" t="s">
        <v>115</v>
      </c>
      <c r="F1954" s="4" t="str">
        <f aca="false">IF(I1954&gt;J1954,"Y","N")</f>
        <v>Y</v>
      </c>
      <c r="G1954" s="3" t="s">
        <v>101</v>
      </c>
      <c r="H1954" s="3" t="s">
        <v>34</v>
      </c>
      <c r="I1954" s="4" t="n">
        <v>9</v>
      </c>
      <c r="J1954" s="4" t="n">
        <f aca="false">LEN(E1954)-LEN(SUBSTITUTE(E1954,",",""))+1</f>
        <v>8</v>
      </c>
      <c r="K1954" s="3" t="str">
        <f aca="false">IFERROR(INDEX('Teacher Lookup'!$B$2:$B$200,MATCH(A1954,'Teacher Lookup'!$A$2:$A$200,0)),"")</f>
        <v>KONG Chapman</v>
      </c>
    </row>
    <row r="1955" customFormat="false" ht="15" hidden="false" customHeight="false" outlineLevel="0" collapsed="false">
      <c r="A1955" s="3" t="s">
        <v>338</v>
      </c>
      <c r="B1955" s="4" t="s">
        <v>44</v>
      </c>
      <c r="C1955" s="4" t="n">
        <v>4</v>
      </c>
      <c r="D1955" s="4" t="s">
        <v>55</v>
      </c>
      <c r="E1955" s="3" t="s">
        <v>115</v>
      </c>
      <c r="F1955" s="4" t="str">
        <f aca="false">IF(I1955&gt;J1955,"Y","N")</f>
        <v>Y</v>
      </c>
      <c r="G1955" s="3" t="s">
        <v>101</v>
      </c>
      <c r="H1955" s="3" t="s">
        <v>34</v>
      </c>
      <c r="I1955" s="4" t="n">
        <v>9</v>
      </c>
      <c r="J1955" s="4" t="n">
        <f aca="false">LEN(E1955)-LEN(SUBSTITUTE(E1955,",",""))+1</f>
        <v>8</v>
      </c>
      <c r="K1955" s="3" t="str">
        <f aca="false">IFERROR(INDEX('Teacher Lookup'!$B$2:$B$200,MATCH(A1955,'Teacher Lookup'!$A$2:$A$200,0)),"")</f>
        <v>KONG Chapman</v>
      </c>
    </row>
    <row r="1956" customFormat="false" ht="15" hidden="false" customHeight="false" outlineLevel="0" collapsed="false">
      <c r="A1956" s="3" t="s">
        <v>338</v>
      </c>
      <c r="B1956" s="4" t="s">
        <v>44</v>
      </c>
      <c r="C1956" s="4" t="n">
        <v>4</v>
      </c>
      <c r="D1956" s="4" t="s">
        <v>56</v>
      </c>
      <c r="E1956" s="3" t="s">
        <v>115</v>
      </c>
      <c r="F1956" s="4" t="str">
        <f aca="false">IF(I1956&gt;J1956,"Y","N")</f>
        <v>Y</v>
      </c>
      <c r="G1956" s="3" t="s">
        <v>101</v>
      </c>
      <c r="H1956" s="3" t="s">
        <v>34</v>
      </c>
      <c r="I1956" s="4" t="n">
        <v>9</v>
      </c>
      <c r="J1956" s="4" t="n">
        <f aca="false">LEN(E1956)-LEN(SUBSTITUTE(E1956,",",""))+1</f>
        <v>8</v>
      </c>
      <c r="K1956" s="3" t="str">
        <f aca="false">IFERROR(INDEX('Teacher Lookup'!$B$2:$B$200,MATCH(A1956,'Teacher Lookup'!$A$2:$A$200,0)),"")</f>
        <v>KONG Chapman</v>
      </c>
    </row>
    <row r="1957" customFormat="false" ht="15" hidden="false" customHeight="false" outlineLevel="0" collapsed="false">
      <c r="A1957" s="3" t="s">
        <v>338</v>
      </c>
      <c r="B1957" s="4" t="s">
        <v>44</v>
      </c>
      <c r="C1957" s="4" t="n">
        <v>4</v>
      </c>
      <c r="D1957" s="4" t="s">
        <v>57</v>
      </c>
      <c r="E1957" s="3" t="s">
        <v>115</v>
      </c>
      <c r="F1957" s="4" t="str">
        <f aca="false">IF(I1957&gt;J1957,"Y","N")</f>
        <v>Y</v>
      </c>
      <c r="G1957" s="3" t="s">
        <v>101</v>
      </c>
      <c r="H1957" s="3" t="s">
        <v>34</v>
      </c>
      <c r="I1957" s="4" t="n">
        <v>9</v>
      </c>
      <c r="J1957" s="4" t="n">
        <f aca="false">LEN(E1957)-LEN(SUBSTITUTE(E1957,",",""))+1</f>
        <v>8</v>
      </c>
      <c r="K1957" s="3" t="str">
        <f aca="false">IFERROR(INDEX('Teacher Lookup'!$B$2:$B$200,MATCH(A1957,'Teacher Lookup'!$A$2:$A$200,0)),"")</f>
        <v>KONG Chapman</v>
      </c>
    </row>
    <row r="1958" customFormat="false" ht="15" hidden="false" customHeight="false" outlineLevel="0" collapsed="false">
      <c r="A1958" s="3" t="s">
        <v>338</v>
      </c>
      <c r="B1958" s="4" t="s">
        <v>44</v>
      </c>
      <c r="C1958" s="4" t="n">
        <v>4</v>
      </c>
      <c r="D1958" s="4" t="s">
        <v>58</v>
      </c>
      <c r="E1958" s="3" t="s">
        <v>115</v>
      </c>
      <c r="F1958" s="4" t="str">
        <f aca="false">IF(I1958&gt;J1958,"Y","N")</f>
        <v>Y</v>
      </c>
      <c r="G1958" s="3" t="s">
        <v>101</v>
      </c>
      <c r="H1958" s="3" t="s">
        <v>34</v>
      </c>
      <c r="I1958" s="4" t="n">
        <v>9</v>
      </c>
      <c r="J1958" s="4" t="n">
        <f aca="false">LEN(E1958)-LEN(SUBSTITUTE(E1958,",",""))+1</f>
        <v>8</v>
      </c>
      <c r="K1958" s="3" t="str">
        <f aca="false">IFERROR(INDEX('Teacher Lookup'!$B$2:$B$200,MATCH(A1958,'Teacher Lookup'!$A$2:$A$200,0)),"")</f>
        <v>KONG Chapman</v>
      </c>
    </row>
    <row r="1959" customFormat="false" ht="15" hidden="false" customHeight="false" outlineLevel="0" collapsed="false">
      <c r="A1959" s="3" t="s">
        <v>338</v>
      </c>
      <c r="B1959" s="4" t="s">
        <v>44</v>
      </c>
      <c r="C1959" s="4" t="n">
        <v>4</v>
      </c>
      <c r="D1959" s="4" t="s">
        <v>59</v>
      </c>
      <c r="E1959" s="3" t="s">
        <v>115</v>
      </c>
      <c r="F1959" s="4" t="str">
        <f aca="false">IF(I1959&gt;J1959,"Y","N")</f>
        <v>Y</v>
      </c>
      <c r="G1959" s="3" t="s">
        <v>101</v>
      </c>
      <c r="H1959" s="3" t="s">
        <v>34</v>
      </c>
      <c r="I1959" s="4" t="n">
        <v>9</v>
      </c>
      <c r="J1959" s="4" t="n">
        <f aca="false">LEN(E1959)-LEN(SUBSTITUTE(E1959,",",""))+1</f>
        <v>8</v>
      </c>
      <c r="K1959" s="3" t="str">
        <f aca="false">IFERROR(INDEX('Teacher Lookup'!$B$2:$B$200,MATCH(A1959,'Teacher Lookup'!$A$2:$A$200,0)),"")</f>
        <v>KONG Chapman</v>
      </c>
    </row>
    <row r="1960" customFormat="false" ht="15" hidden="false" customHeight="false" outlineLevel="0" collapsed="false">
      <c r="A1960" s="3" t="s">
        <v>338</v>
      </c>
      <c r="B1960" s="4" t="s">
        <v>44</v>
      </c>
      <c r="C1960" s="4" t="n">
        <v>5</v>
      </c>
      <c r="D1960" s="4" t="s">
        <v>228</v>
      </c>
      <c r="E1960" s="3" t="s">
        <v>229</v>
      </c>
      <c r="F1960" s="4" t="str">
        <f aca="false">IF(I1960&gt;J1960,"Y","N")</f>
        <v>Y</v>
      </c>
      <c r="G1960" s="3" t="s">
        <v>36</v>
      </c>
      <c r="H1960" s="3" t="s">
        <v>37</v>
      </c>
      <c r="I1960" s="4" t="n">
        <v>14</v>
      </c>
      <c r="J1960" s="4" t="n">
        <f aca="false">LEN(E1960)-LEN(SUBSTITUTE(E1960,",",""))+1</f>
        <v>6</v>
      </c>
      <c r="K1960" s="3" t="str">
        <f aca="false">IFERROR(INDEX('Teacher Lookup'!$B$2:$B$200,MATCH(A1960,'Teacher Lookup'!$A$2:$A$200,0)),"")</f>
        <v>KONG Chapman</v>
      </c>
    </row>
    <row r="1961" customFormat="false" ht="15" hidden="false" customHeight="false" outlineLevel="0" collapsed="false">
      <c r="A1961" s="3" t="s">
        <v>338</v>
      </c>
      <c r="B1961" s="4" t="s">
        <v>44</v>
      </c>
      <c r="C1961" s="4" t="n">
        <v>5</v>
      </c>
      <c r="D1961" s="4" t="s">
        <v>102</v>
      </c>
      <c r="E1961" s="3" t="s">
        <v>229</v>
      </c>
      <c r="F1961" s="4" t="str">
        <f aca="false">IF(I1961&gt;J1961,"Y","N")</f>
        <v>Y</v>
      </c>
      <c r="G1961" s="3" t="s">
        <v>36</v>
      </c>
      <c r="H1961" s="3" t="s">
        <v>37</v>
      </c>
      <c r="I1961" s="4" t="n">
        <v>14</v>
      </c>
      <c r="J1961" s="4" t="n">
        <f aca="false">LEN(E1961)-LEN(SUBSTITUTE(E1961,",",""))+1</f>
        <v>6</v>
      </c>
      <c r="K1961" s="3" t="str">
        <f aca="false">IFERROR(INDEX('Teacher Lookup'!$B$2:$B$200,MATCH(A1961,'Teacher Lookup'!$A$2:$A$200,0)),"")</f>
        <v>KONG Chapman</v>
      </c>
    </row>
    <row r="1962" customFormat="false" ht="15" hidden="false" customHeight="false" outlineLevel="0" collapsed="false">
      <c r="A1962" s="3" t="s">
        <v>338</v>
      </c>
      <c r="B1962" s="4" t="s">
        <v>44</v>
      </c>
      <c r="C1962" s="4" t="n">
        <v>5</v>
      </c>
      <c r="D1962" s="4" t="s">
        <v>105</v>
      </c>
      <c r="E1962" s="3" t="s">
        <v>229</v>
      </c>
      <c r="F1962" s="4" t="str">
        <f aca="false">IF(I1962&gt;J1962,"Y","N")</f>
        <v>Y</v>
      </c>
      <c r="G1962" s="3" t="s">
        <v>36</v>
      </c>
      <c r="H1962" s="3" t="s">
        <v>37</v>
      </c>
      <c r="I1962" s="4" t="n">
        <v>14</v>
      </c>
      <c r="J1962" s="4" t="n">
        <f aca="false">LEN(E1962)-LEN(SUBSTITUTE(E1962,",",""))+1</f>
        <v>6</v>
      </c>
      <c r="K1962" s="3" t="str">
        <f aca="false">IFERROR(INDEX('Teacher Lookup'!$B$2:$B$200,MATCH(A1962,'Teacher Lookup'!$A$2:$A$200,0)),"")</f>
        <v>KONG Chapman</v>
      </c>
    </row>
    <row r="1963" customFormat="false" ht="15" hidden="false" customHeight="false" outlineLevel="0" collapsed="false">
      <c r="A1963" s="3" t="s">
        <v>338</v>
      </c>
      <c r="B1963" s="4" t="s">
        <v>44</v>
      </c>
      <c r="C1963" s="4" t="n">
        <v>5</v>
      </c>
      <c r="D1963" s="4" t="s">
        <v>106</v>
      </c>
      <c r="E1963" s="3" t="s">
        <v>229</v>
      </c>
      <c r="F1963" s="4" t="str">
        <f aca="false">IF(I1963&gt;J1963,"Y","N")</f>
        <v>Y</v>
      </c>
      <c r="G1963" s="3" t="s">
        <v>36</v>
      </c>
      <c r="H1963" s="3" t="s">
        <v>37</v>
      </c>
      <c r="I1963" s="4" t="n">
        <v>14</v>
      </c>
      <c r="J1963" s="4" t="n">
        <f aca="false">LEN(E1963)-LEN(SUBSTITUTE(E1963,",",""))+1</f>
        <v>6</v>
      </c>
      <c r="K1963" s="3" t="str">
        <f aca="false">IFERROR(INDEX('Teacher Lookup'!$B$2:$B$200,MATCH(A1963,'Teacher Lookup'!$A$2:$A$200,0)),"")</f>
        <v>KONG Chapman</v>
      </c>
    </row>
    <row r="1964" customFormat="false" ht="15" hidden="false" customHeight="false" outlineLevel="0" collapsed="false">
      <c r="A1964" s="3" t="s">
        <v>338</v>
      </c>
      <c r="B1964" s="4" t="s">
        <v>44</v>
      </c>
      <c r="C1964" s="4" t="n">
        <v>5</v>
      </c>
      <c r="D1964" s="4" t="s">
        <v>107</v>
      </c>
      <c r="E1964" s="3" t="s">
        <v>229</v>
      </c>
      <c r="F1964" s="4" t="str">
        <f aca="false">IF(I1964&gt;J1964,"Y","N")</f>
        <v>Y</v>
      </c>
      <c r="G1964" s="3" t="s">
        <v>36</v>
      </c>
      <c r="H1964" s="3" t="s">
        <v>37</v>
      </c>
      <c r="I1964" s="4" t="n">
        <v>14</v>
      </c>
      <c r="J1964" s="4" t="n">
        <f aca="false">LEN(E1964)-LEN(SUBSTITUTE(E1964,",",""))+1</f>
        <v>6</v>
      </c>
      <c r="K1964" s="3" t="str">
        <f aca="false">IFERROR(INDEX('Teacher Lookup'!$B$2:$B$200,MATCH(A1964,'Teacher Lookup'!$A$2:$A$200,0)),"")</f>
        <v>KONG Chapman</v>
      </c>
    </row>
    <row r="1965" customFormat="false" ht="15" hidden="false" customHeight="false" outlineLevel="0" collapsed="false">
      <c r="A1965" s="3" t="s">
        <v>338</v>
      </c>
      <c r="B1965" s="4" t="s">
        <v>44</v>
      </c>
      <c r="C1965" s="4" t="n">
        <v>7</v>
      </c>
      <c r="D1965" s="4" t="s">
        <v>106</v>
      </c>
      <c r="E1965" s="3" t="s">
        <v>342</v>
      </c>
      <c r="F1965" s="4" t="str">
        <f aca="false">IF(I1965&gt;J1965,"Y","N")</f>
        <v>N</v>
      </c>
      <c r="G1965" s="3" t="s">
        <v>340</v>
      </c>
      <c r="H1965" s="3" t="s">
        <v>39</v>
      </c>
      <c r="I1965" s="4" t="n">
        <v>2</v>
      </c>
      <c r="J1965" s="4" t="n">
        <f aca="false">LEN(E1965)-LEN(SUBSTITUTE(E1965,",",""))+1</f>
        <v>2</v>
      </c>
      <c r="K1965" s="3" t="str">
        <f aca="false">IFERROR(INDEX('Teacher Lookup'!$B$2:$B$200,MATCH(A1965,'Teacher Lookup'!$A$2:$A$200,0)),"")</f>
        <v>KONG Chapman</v>
      </c>
    </row>
    <row r="1966" customFormat="false" ht="15" hidden="false" customHeight="false" outlineLevel="0" collapsed="false">
      <c r="A1966" s="3" t="s">
        <v>338</v>
      </c>
      <c r="B1966" s="4" t="s">
        <v>47</v>
      </c>
      <c r="C1966" s="4" t="n">
        <v>5</v>
      </c>
      <c r="D1966" s="4" t="s">
        <v>22</v>
      </c>
      <c r="E1966" s="3" t="s">
        <v>133</v>
      </c>
      <c r="F1966" s="4" t="str">
        <f aca="false">IF(I1966&gt;J1966,"Y","N")</f>
        <v>N</v>
      </c>
      <c r="G1966" s="3" t="s">
        <v>126</v>
      </c>
      <c r="H1966" s="3" t="s">
        <v>37</v>
      </c>
      <c r="I1966" s="4" t="n">
        <v>1</v>
      </c>
      <c r="J1966" s="4" t="n">
        <f aca="false">LEN(E1966)-LEN(SUBSTITUTE(E1966,",",""))+1</f>
        <v>1</v>
      </c>
      <c r="K1966" s="3" t="str">
        <f aca="false">IFERROR(INDEX('Teacher Lookup'!$B$2:$B$200,MATCH(A1966,'Teacher Lookup'!$A$2:$A$200,0)),"")</f>
        <v>KONG Chapman</v>
      </c>
    </row>
    <row r="1967" customFormat="false" ht="15" hidden="false" customHeight="false" outlineLevel="0" collapsed="false">
      <c r="A1967" s="3" t="s">
        <v>338</v>
      </c>
      <c r="B1967" s="4" t="s">
        <v>47</v>
      </c>
      <c r="C1967" s="4" t="n">
        <v>6</v>
      </c>
      <c r="D1967" s="4" t="s">
        <v>52</v>
      </c>
      <c r="E1967" s="3" t="s">
        <v>117</v>
      </c>
      <c r="F1967" s="4" t="str">
        <f aca="false">IF(I1967&gt;J1967,"Y","N")</f>
        <v>N</v>
      </c>
      <c r="G1967" s="3" t="s">
        <v>101</v>
      </c>
      <c r="H1967" s="3" t="s">
        <v>42</v>
      </c>
      <c r="I1967" s="4" t="n">
        <v>8</v>
      </c>
      <c r="J1967" s="4" t="n">
        <f aca="false">LEN(E1967)-LEN(SUBSTITUTE(E1967,",",""))+1</f>
        <v>8</v>
      </c>
      <c r="K1967" s="3" t="str">
        <f aca="false">IFERROR(INDEX('Teacher Lookup'!$B$2:$B$200,MATCH(A1967,'Teacher Lookup'!$A$2:$A$200,0)),"")</f>
        <v>KONG Chapman</v>
      </c>
    </row>
    <row r="1968" customFormat="false" ht="15" hidden="false" customHeight="false" outlineLevel="0" collapsed="false">
      <c r="A1968" s="3" t="s">
        <v>338</v>
      </c>
      <c r="B1968" s="4" t="s">
        <v>47</v>
      </c>
      <c r="C1968" s="4" t="n">
        <v>6</v>
      </c>
      <c r="D1968" s="4" t="s">
        <v>55</v>
      </c>
      <c r="E1968" s="3" t="s">
        <v>117</v>
      </c>
      <c r="F1968" s="4" t="str">
        <f aca="false">IF(I1968&gt;J1968,"Y","N")</f>
        <v>N</v>
      </c>
      <c r="G1968" s="3" t="s">
        <v>101</v>
      </c>
      <c r="H1968" s="3" t="s">
        <v>42</v>
      </c>
      <c r="I1968" s="4" t="n">
        <v>8</v>
      </c>
      <c r="J1968" s="4" t="n">
        <f aca="false">LEN(E1968)-LEN(SUBSTITUTE(E1968,",",""))+1</f>
        <v>8</v>
      </c>
      <c r="K1968" s="3" t="str">
        <f aca="false">IFERROR(INDEX('Teacher Lookup'!$B$2:$B$200,MATCH(A1968,'Teacher Lookup'!$A$2:$A$200,0)),"")</f>
        <v>KONG Chapman</v>
      </c>
    </row>
    <row r="1969" customFormat="false" ht="15" hidden="false" customHeight="false" outlineLevel="0" collapsed="false">
      <c r="A1969" s="3" t="s">
        <v>338</v>
      </c>
      <c r="B1969" s="4" t="s">
        <v>47</v>
      </c>
      <c r="C1969" s="4" t="n">
        <v>6</v>
      </c>
      <c r="D1969" s="4" t="s">
        <v>56</v>
      </c>
      <c r="E1969" s="3" t="s">
        <v>117</v>
      </c>
      <c r="F1969" s="4" t="str">
        <f aca="false">IF(I1969&gt;J1969,"Y","N")</f>
        <v>N</v>
      </c>
      <c r="G1969" s="3" t="s">
        <v>101</v>
      </c>
      <c r="H1969" s="3" t="s">
        <v>42</v>
      </c>
      <c r="I1969" s="4" t="n">
        <v>8</v>
      </c>
      <c r="J1969" s="4" t="n">
        <f aca="false">LEN(E1969)-LEN(SUBSTITUTE(E1969,",",""))+1</f>
        <v>8</v>
      </c>
      <c r="K1969" s="3" t="str">
        <f aca="false">IFERROR(INDEX('Teacher Lookup'!$B$2:$B$200,MATCH(A1969,'Teacher Lookup'!$A$2:$A$200,0)),"")</f>
        <v>KONG Chapman</v>
      </c>
    </row>
    <row r="1970" customFormat="false" ht="15" hidden="false" customHeight="false" outlineLevel="0" collapsed="false">
      <c r="A1970" s="3" t="s">
        <v>338</v>
      </c>
      <c r="B1970" s="4" t="s">
        <v>47</v>
      </c>
      <c r="C1970" s="4" t="n">
        <v>6</v>
      </c>
      <c r="D1970" s="4" t="s">
        <v>57</v>
      </c>
      <c r="E1970" s="3" t="s">
        <v>117</v>
      </c>
      <c r="F1970" s="4" t="str">
        <f aca="false">IF(I1970&gt;J1970,"Y","N")</f>
        <v>N</v>
      </c>
      <c r="G1970" s="3" t="s">
        <v>101</v>
      </c>
      <c r="H1970" s="3" t="s">
        <v>42</v>
      </c>
      <c r="I1970" s="4" t="n">
        <v>8</v>
      </c>
      <c r="J1970" s="4" t="n">
        <f aca="false">LEN(E1970)-LEN(SUBSTITUTE(E1970,",",""))+1</f>
        <v>8</v>
      </c>
      <c r="K1970" s="3" t="str">
        <f aca="false">IFERROR(INDEX('Teacher Lookup'!$B$2:$B$200,MATCH(A1970,'Teacher Lookup'!$A$2:$A$200,0)),"")</f>
        <v>KONG Chapman</v>
      </c>
    </row>
    <row r="1971" customFormat="false" ht="15" hidden="false" customHeight="false" outlineLevel="0" collapsed="false">
      <c r="A1971" s="3" t="s">
        <v>338</v>
      </c>
      <c r="B1971" s="4" t="s">
        <v>47</v>
      </c>
      <c r="C1971" s="4" t="n">
        <v>6</v>
      </c>
      <c r="D1971" s="4" t="s">
        <v>58</v>
      </c>
      <c r="E1971" s="3" t="s">
        <v>117</v>
      </c>
      <c r="F1971" s="4" t="str">
        <f aca="false">IF(I1971&gt;J1971,"Y","N")</f>
        <v>N</v>
      </c>
      <c r="G1971" s="3" t="s">
        <v>101</v>
      </c>
      <c r="H1971" s="3" t="s">
        <v>42</v>
      </c>
      <c r="I1971" s="4" t="n">
        <v>8</v>
      </c>
      <c r="J1971" s="4" t="n">
        <f aca="false">LEN(E1971)-LEN(SUBSTITUTE(E1971,",",""))+1</f>
        <v>8</v>
      </c>
      <c r="K1971" s="3" t="str">
        <f aca="false">IFERROR(INDEX('Teacher Lookup'!$B$2:$B$200,MATCH(A1971,'Teacher Lookup'!$A$2:$A$200,0)),"")</f>
        <v>KONG Chapman</v>
      </c>
    </row>
    <row r="1972" customFormat="false" ht="15" hidden="false" customHeight="false" outlineLevel="0" collapsed="false">
      <c r="A1972" s="3" t="s">
        <v>338</v>
      </c>
      <c r="B1972" s="4" t="s">
        <v>47</v>
      </c>
      <c r="C1972" s="4" t="n">
        <v>6</v>
      </c>
      <c r="D1972" s="4" t="s">
        <v>59</v>
      </c>
      <c r="E1972" s="3" t="s">
        <v>117</v>
      </c>
      <c r="F1972" s="4" t="str">
        <f aca="false">IF(I1972&gt;J1972,"Y","N")</f>
        <v>N</v>
      </c>
      <c r="G1972" s="3" t="s">
        <v>101</v>
      </c>
      <c r="H1972" s="3" t="s">
        <v>42</v>
      </c>
      <c r="I1972" s="4" t="n">
        <v>8</v>
      </c>
      <c r="J1972" s="4" t="n">
        <f aca="false">LEN(E1972)-LEN(SUBSTITUTE(E1972,",",""))+1</f>
        <v>8</v>
      </c>
      <c r="K1972" s="3" t="str">
        <f aca="false">IFERROR(INDEX('Teacher Lookup'!$B$2:$B$200,MATCH(A1972,'Teacher Lookup'!$A$2:$A$200,0)),"")</f>
        <v>KONG Chapman</v>
      </c>
    </row>
    <row r="1973" customFormat="false" ht="15" hidden="false" customHeight="false" outlineLevel="0" collapsed="false">
      <c r="A1973" s="3" t="s">
        <v>338</v>
      </c>
      <c r="B1973" s="4" t="s">
        <v>50</v>
      </c>
      <c r="C1973" s="4" t="n">
        <v>1</v>
      </c>
      <c r="D1973" s="4" t="s">
        <v>22</v>
      </c>
      <c r="E1973" s="3" t="s">
        <v>341</v>
      </c>
      <c r="F1973" s="4" t="str">
        <f aca="false">IF(I1973&gt;J1973,"Y","N")</f>
        <v>N</v>
      </c>
      <c r="G1973" s="3" t="s">
        <v>126</v>
      </c>
      <c r="H1973" s="3" t="s">
        <v>16</v>
      </c>
      <c r="I1973" s="4" t="n">
        <v>1</v>
      </c>
      <c r="J1973" s="4" t="n">
        <f aca="false">LEN(E1973)-LEN(SUBSTITUTE(E1973,",",""))+1</f>
        <v>1</v>
      </c>
      <c r="K1973" s="3" t="str">
        <f aca="false">IFERROR(INDEX('Teacher Lookup'!$B$2:$B$200,MATCH(A1973,'Teacher Lookup'!$A$2:$A$200,0)),"")</f>
        <v>KONG Chapman</v>
      </c>
    </row>
    <row r="1974" customFormat="false" ht="15" hidden="false" customHeight="false" outlineLevel="0" collapsed="false">
      <c r="A1974" s="3" t="s">
        <v>338</v>
      </c>
      <c r="B1974" s="4" t="s">
        <v>50</v>
      </c>
      <c r="C1974" s="4" t="n">
        <v>3</v>
      </c>
      <c r="D1974" s="4" t="s">
        <v>52</v>
      </c>
      <c r="E1974" s="3" t="s">
        <v>115</v>
      </c>
      <c r="F1974" s="4" t="str">
        <f aca="false">IF(I1974&gt;J1974,"Y","N")</f>
        <v>Y</v>
      </c>
      <c r="G1974" s="3" t="s">
        <v>101</v>
      </c>
      <c r="H1974" s="3" t="s">
        <v>26</v>
      </c>
      <c r="I1974" s="4" t="n">
        <v>9</v>
      </c>
      <c r="J1974" s="4" t="n">
        <f aca="false">LEN(E1974)-LEN(SUBSTITUTE(E1974,",",""))+1</f>
        <v>8</v>
      </c>
      <c r="K1974" s="3" t="str">
        <f aca="false">IFERROR(INDEX('Teacher Lookup'!$B$2:$B$200,MATCH(A1974,'Teacher Lookup'!$A$2:$A$200,0)),"")</f>
        <v>KONG Chapman</v>
      </c>
    </row>
    <row r="1975" customFormat="false" ht="15" hidden="false" customHeight="false" outlineLevel="0" collapsed="false">
      <c r="A1975" s="3" t="s">
        <v>338</v>
      </c>
      <c r="B1975" s="4" t="s">
        <v>50</v>
      </c>
      <c r="C1975" s="4" t="n">
        <v>3</v>
      </c>
      <c r="D1975" s="4" t="s">
        <v>55</v>
      </c>
      <c r="E1975" s="3" t="s">
        <v>115</v>
      </c>
      <c r="F1975" s="4" t="str">
        <f aca="false">IF(I1975&gt;J1975,"Y","N")</f>
        <v>Y</v>
      </c>
      <c r="G1975" s="3" t="s">
        <v>101</v>
      </c>
      <c r="H1975" s="3" t="s">
        <v>26</v>
      </c>
      <c r="I1975" s="4" t="n">
        <v>9</v>
      </c>
      <c r="J1975" s="4" t="n">
        <f aca="false">LEN(E1975)-LEN(SUBSTITUTE(E1975,",",""))+1</f>
        <v>8</v>
      </c>
      <c r="K1975" s="3" t="str">
        <f aca="false">IFERROR(INDEX('Teacher Lookup'!$B$2:$B$200,MATCH(A1975,'Teacher Lookup'!$A$2:$A$200,0)),"")</f>
        <v>KONG Chapman</v>
      </c>
    </row>
    <row r="1976" customFormat="false" ht="15" hidden="false" customHeight="false" outlineLevel="0" collapsed="false">
      <c r="A1976" s="3" t="s">
        <v>338</v>
      </c>
      <c r="B1976" s="4" t="s">
        <v>50</v>
      </c>
      <c r="C1976" s="4" t="n">
        <v>3</v>
      </c>
      <c r="D1976" s="4" t="s">
        <v>56</v>
      </c>
      <c r="E1976" s="3" t="s">
        <v>115</v>
      </c>
      <c r="F1976" s="4" t="str">
        <f aca="false">IF(I1976&gt;J1976,"Y","N")</f>
        <v>Y</v>
      </c>
      <c r="G1976" s="3" t="s">
        <v>101</v>
      </c>
      <c r="H1976" s="3" t="s">
        <v>26</v>
      </c>
      <c r="I1976" s="4" t="n">
        <v>9</v>
      </c>
      <c r="J1976" s="4" t="n">
        <f aca="false">LEN(E1976)-LEN(SUBSTITUTE(E1976,",",""))+1</f>
        <v>8</v>
      </c>
      <c r="K1976" s="3" t="str">
        <f aca="false">IFERROR(INDEX('Teacher Lookup'!$B$2:$B$200,MATCH(A1976,'Teacher Lookup'!$A$2:$A$200,0)),"")</f>
        <v>KONG Chapman</v>
      </c>
    </row>
    <row r="1977" customFormat="false" ht="15" hidden="false" customHeight="false" outlineLevel="0" collapsed="false">
      <c r="A1977" s="3" t="s">
        <v>338</v>
      </c>
      <c r="B1977" s="4" t="s">
        <v>50</v>
      </c>
      <c r="C1977" s="4" t="n">
        <v>3</v>
      </c>
      <c r="D1977" s="4" t="s">
        <v>57</v>
      </c>
      <c r="E1977" s="3" t="s">
        <v>115</v>
      </c>
      <c r="F1977" s="4" t="str">
        <f aca="false">IF(I1977&gt;J1977,"Y","N")</f>
        <v>Y</v>
      </c>
      <c r="G1977" s="3" t="s">
        <v>101</v>
      </c>
      <c r="H1977" s="3" t="s">
        <v>26</v>
      </c>
      <c r="I1977" s="4" t="n">
        <v>9</v>
      </c>
      <c r="J1977" s="4" t="n">
        <f aca="false">LEN(E1977)-LEN(SUBSTITUTE(E1977,",",""))+1</f>
        <v>8</v>
      </c>
      <c r="K1977" s="3" t="str">
        <f aca="false">IFERROR(INDEX('Teacher Lookup'!$B$2:$B$200,MATCH(A1977,'Teacher Lookup'!$A$2:$A$200,0)),"")</f>
        <v>KONG Chapman</v>
      </c>
    </row>
    <row r="1978" customFormat="false" ht="15" hidden="false" customHeight="false" outlineLevel="0" collapsed="false">
      <c r="A1978" s="3" t="s">
        <v>338</v>
      </c>
      <c r="B1978" s="4" t="s">
        <v>50</v>
      </c>
      <c r="C1978" s="4" t="n">
        <v>3</v>
      </c>
      <c r="D1978" s="4" t="s">
        <v>58</v>
      </c>
      <c r="E1978" s="3" t="s">
        <v>115</v>
      </c>
      <c r="F1978" s="4" t="str">
        <f aca="false">IF(I1978&gt;J1978,"Y","N")</f>
        <v>Y</v>
      </c>
      <c r="G1978" s="3" t="s">
        <v>101</v>
      </c>
      <c r="H1978" s="3" t="s">
        <v>26</v>
      </c>
      <c r="I1978" s="4" t="n">
        <v>9</v>
      </c>
      <c r="J1978" s="4" t="n">
        <f aca="false">LEN(E1978)-LEN(SUBSTITUTE(E1978,",",""))+1</f>
        <v>8</v>
      </c>
      <c r="K1978" s="3" t="str">
        <f aca="false">IFERROR(INDEX('Teacher Lookup'!$B$2:$B$200,MATCH(A1978,'Teacher Lookup'!$A$2:$A$200,0)),"")</f>
        <v>KONG Chapman</v>
      </c>
    </row>
    <row r="1979" customFormat="false" ht="15" hidden="false" customHeight="false" outlineLevel="0" collapsed="false">
      <c r="A1979" s="3" t="s">
        <v>338</v>
      </c>
      <c r="B1979" s="4" t="s">
        <v>50</v>
      </c>
      <c r="C1979" s="4" t="n">
        <v>3</v>
      </c>
      <c r="D1979" s="4" t="s">
        <v>59</v>
      </c>
      <c r="E1979" s="3" t="s">
        <v>115</v>
      </c>
      <c r="F1979" s="4" t="str">
        <f aca="false">IF(I1979&gt;J1979,"Y","N")</f>
        <v>Y</v>
      </c>
      <c r="G1979" s="3" t="s">
        <v>101</v>
      </c>
      <c r="H1979" s="3" t="s">
        <v>26</v>
      </c>
      <c r="I1979" s="4" t="n">
        <v>9</v>
      </c>
      <c r="J1979" s="4" t="n">
        <f aca="false">LEN(E1979)-LEN(SUBSTITUTE(E1979,",",""))+1</f>
        <v>8</v>
      </c>
      <c r="K1979" s="3" t="str">
        <f aca="false">IFERROR(INDEX('Teacher Lookup'!$B$2:$B$200,MATCH(A1979,'Teacher Lookup'!$A$2:$A$200,0)),"")</f>
        <v>KONG Chapman</v>
      </c>
    </row>
    <row r="1980" customFormat="false" ht="15" hidden="false" customHeight="false" outlineLevel="0" collapsed="false">
      <c r="A1980" s="3" t="s">
        <v>338</v>
      </c>
      <c r="B1980" s="4" t="s">
        <v>50</v>
      </c>
      <c r="C1980" s="4" t="n">
        <v>4</v>
      </c>
      <c r="D1980" s="4" t="s">
        <v>106</v>
      </c>
      <c r="E1980" s="3" t="s">
        <v>343</v>
      </c>
      <c r="F1980" s="4" t="str">
        <f aca="false">IF(I1980&gt;J1980,"Y","N")</f>
        <v>N</v>
      </c>
      <c r="G1980" s="3" t="s">
        <v>340</v>
      </c>
      <c r="H1980" s="3" t="s">
        <v>34</v>
      </c>
      <c r="I1980" s="4" t="n">
        <v>2</v>
      </c>
      <c r="J1980" s="4" t="n">
        <f aca="false">LEN(E1980)-LEN(SUBSTITUTE(E1980,",",""))+1</f>
        <v>2</v>
      </c>
      <c r="K1980" s="3" t="str">
        <f aca="false">IFERROR(INDEX('Teacher Lookup'!$B$2:$B$200,MATCH(A1980,'Teacher Lookup'!$A$2:$A$200,0)),"")</f>
        <v>KONG Chapman</v>
      </c>
    </row>
    <row r="1981" customFormat="false" ht="15" hidden="false" customHeight="false" outlineLevel="0" collapsed="false">
      <c r="A1981" s="3" t="s">
        <v>338</v>
      </c>
      <c r="B1981" s="4" t="s">
        <v>50</v>
      </c>
      <c r="C1981" s="4" t="n">
        <v>5</v>
      </c>
      <c r="D1981" s="4" t="s">
        <v>106</v>
      </c>
      <c r="E1981" s="3" t="s">
        <v>343</v>
      </c>
      <c r="F1981" s="4" t="str">
        <f aca="false">IF(I1981&gt;J1981,"Y","N")</f>
        <v>N</v>
      </c>
      <c r="G1981" s="3" t="s">
        <v>340</v>
      </c>
      <c r="H1981" s="3" t="s">
        <v>37</v>
      </c>
      <c r="I1981" s="4" t="n">
        <v>2</v>
      </c>
      <c r="J1981" s="4" t="n">
        <f aca="false">LEN(E1981)-LEN(SUBSTITUTE(E1981,",",""))+1</f>
        <v>2</v>
      </c>
      <c r="K1981" s="3" t="str">
        <f aca="false">IFERROR(INDEX('Teacher Lookup'!$B$2:$B$200,MATCH(A1981,'Teacher Lookup'!$A$2:$A$200,0)),"")</f>
        <v>KONG Chapman</v>
      </c>
    </row>
    <row r="1982" customFormat="false" ht="15" hidden="false" customHeight="false" outlineLevel="0" collapsed="false">
      <c r="A1982" s="3" t="s">
        <v>338</v>
      </c>
      <c r="B1982" s="4" t="s">
        <v>60</v>
      </c>
      <c r="C1982" s="4" t="n">
        <v>2</v>
      </c>
      <c r="D1982" s="4" t="s">
        <v>106</v>
      </c>
      <c r="E1982" s="3" t="s">
        <v>344</v>
      </c>
      <c r="F1982" s="4" t="str">
        <f aca="false">IF(I1982&gt;J1982,"Y","N")</f>
        <v>N</v>
      </c>
      <c r="G1982" s="3" t="s">
        <v>340</v>
      </c>
      <c r="H1982" s="3" t="s">
        <v>21</v>
      </c>
      <c r="I1982" s="4" t="n">
        <v>2</v>
      </c>
      <c r="J1982" s="4" t="n">
        <f aca="false">LEN(E1982)-LEN(SUBSTITUTE(E1982,",",""))+1</f>
        <v>2</v>
      </c>
      <c r="K1982" s="3" t="str">
        <f aca="false">IFERROR(INDEX('Teacher Lookup'!$B$2:$B$200,MATCH(A1982,'Teacher Lookup'!$A$2:$A$200,0)),"")</f>
        <v>KONG Chapman</v>
      </c>
    </row>
    <row r="1983" customFormat="false" ht="15" hidden="false" customHeight="false" outlineLevel="0" collapsed="false">
      <c r="A1983" s="3" t="s">
        <v>338</v>
      </c>
      <c r="B1983" s="4" t="s">
        <v>60</v>
      </c>
      <c r="C1983" s="4" t="n">
        <v>4</v>
      </c>
      <c r="D1983" s="4" t="s">
        <v>52</v>
      </c>
      <c r="E1983" s="3" t="s">
        <v>119</v>
      </c>
      <c r="F1983" s="4" t="str">
        <f aca="false">IF(I1983&gt;J1983,"Y","N")</f>
        <v>N</v>
      </c>
      <c r="G1983" s="3" t="s">
        <v>101</v>
      </c>
      <c r="H1983" s="3" t="s">
        <v>34</v>
      </c>
      <c r="I1983" s="4" t="n">
        <v>8</v>
      </c>
      <c r="J1983" s="4" t="n">
        <f aca="false">LEN(E1983)-LEN(SUBSTITUTE(E1983,",",""))+1</f>
        <v>8</v>
      </c>
      <c r="K1983" s="3" t="str">
        <f aca="false">IFERROR(INDEX('Teacher Lookup'!$B$2:$B$200,MATCH(A1983,'Teacher Lookup'!$A$2:$A$200,0)),"")</f>
        <v>KONG Chapman</v>
      </c>
    </row>
    <row r="1984" customFormat="false" ht="15" hidden="false" customHeight="false" outlineLevel="0" collapsed="false">
      <c r="A1984" s="3" t="s">
        <v>338</v>
      </c>
      <c r="B1984" s="4" t="s">
        <v>60</v>
      </c>
      <c r="C1984" s="4" t="n">
        <v>4</v>
      </c>
      <c r="D1984" s="4" t="s">
        <v>55</v>
      </c>
      <c r="E1984" s="3" t="s">
        <v>119</v>
      </c>
      <c r="F1984" s="4" t="str">
        <f aca="false">IF(I1984&gt;J1984,"Y","N")</f>
        <v>N</v>
      </c>
      <c r="G1984" s="3" t="s">
        <v>101</v>
      </c>
      <c r="H1984" s="3" t="s">
        <v>34</v>
      </c>
      <c r="I1984" s="4" t="n">
        <v>8</v>
      </c>
      <c r="J1984" s="4" t="n">
        <f aca="false">LEN(E1984)-LEN(SUBSTITUTE(E1984,",",""))+1</f>
        <v>8</v>
      </c>
      <c r="K1984" s="3" t="str">
        <f aca="false">IFERROR(INDEX('Teacher Lookup'!$B$2:$B$200,MATCH(A1984,'Teacher Lookup'!$A$2:$A$200,0)),"")</f>
        <v>KONG Chapman</v>
      </c>
    </row>
    <row r="1985" customFormat="false" ht="15" hidden="false" customHeight="false" outlineLevel="0" collapsed="false">
      <c r="A1985" s="3" t="s">
        <v>338</v>
      </c>
      <c r="B1985" s="4" t="s">
        <v>60</v>
      </c>
      <c r="C1985" s="4" t="n">
        <v>4</v>
      </c>
      <c r="D1985" s="4" t="s">
        <v>56</v>
      </c>
      <c r="E1985" s="3" t="s">
        <v>119</v>
      </c>
      <c r="F1985" s="4" t="str">
        <f aca="false">IF(I1985&gt;J1985,"Y","N")</f>
        <v>N</v>
      </c>
      <c r="G1985" s="3" t="s">
        <v>101</v>
      </c>
      <c r="H1985" s="3" t="s">
        <v>34</v>
      </c>
      <c r="I1985" s="4" t="n">
        <v>8</v>
      </c>
      <c r="J1985" s="4" t="n">
        <f aca="false">LEN(E1985)-LEN(SUBSTITUTE(E1985,",",""))+1</f>
        <v>8</v>
      </c>
      <c r="K1985" s="3" t="str">
        <f aca="false">IFERROR(INDEX('Teacher Lookup'!$B$2:$B$200,MATCH(A1985,'Teacher Lookup'!$A$2:$A$200,0)),"")</f>
        <v>KONG Chapman</v>
      </c>
    </row>
    <row r="1986" customFormat="false" ht="15" hidden="false" customHeight="false" outlineLevel="0" collapsed="false">
      <c r="A1986" s="3" t="s">
        <v>338</v>
      </c>
      <c r="B1986" s="4" t="s">
        <v>60</v>
      </c>
      <c r="C1986" s="4" t="n">
        <v>4</v>
      </c>
      <c r="D1986" s="4" t="s">
        <v>57</v>
      </c>
      <c r="E1986" s="3" t="s">
        <v>119</v>
      </c>
      <c r="F1986" s="4" t="str">
        <f aca="false">IF(I1986&gt;J1986,"Y","N")</f>
        <v>N</v>
      </c>
      <c r="G1986" s="3" t="s">
        <v>101</v>
      </c>
      <c r="H1986" s="3" t="s">
        <v>34</v>
      </c>
      <c r="I1986" s="4" t="n">
        <v>8</v>
      </c>
      <c r="J1986" s="4" t="n">
        <f aca="false">LEN(E1986)-LEN(SUBSTITUTE(E1986,",",""))+1</f>
        <v>8</v>
      </c>
      <c r="K1986" s="3" t="str">
        <f aca="false">IFERROR(INDEX('Teacher Lookup'!$B$2:$B$200,MATCH(A1986,'Teacher Lookup'!$A$2:$A$200,0)),"")</f>
        <v>KONG Chapman</v>
      </c>
    </row>
    <row r="1987" customFormat="false" ht="15" hidden="false" customHeight="false" outlineLevel="0" collapsed="false">
      <c r="A1987" s="3" t="s">
        <v>338</v>
      </c>
      <c r="B1987" s="4" t="s">
        <v>60</v>
      </c>
      <c r="C1987" s="4" t="n">
        <v>4</v>
      </c>
      <c r="D1987" s="4" t="s">
        <v>58</v>
      </c>
      <c r="E1987" s="3" t="s">
        <v>119</v>
      </c>
      <c r="F1987" s="4" t="str">
        <f aca="false">IF(I1987&gt;J1987,"Y","N")</f>
        <v>N</v>
      </c>
      <c r="G1987" s="3" t="s">
        <v>101</v>
      </c>
      <c r="H1987" s="3" t="s">
        <v>34</v>
      </c>
      <c r="I1987" s="4" t="n">
        <v>8</v>
      </c>
      <c r="J1987" s="4" t="n">
        <f aca="false">LEN(E1987)-LEN(SUBSTITUTE(E1987,",",""))+1</f>
        <v>8</v>
      </c>
      <c r="K1987" s="3" t="str">
        <f aca="false">IFERROR(INDEX('Teacher Lookup'!$B$2:$B$200,MATCH(A1987,'Teacher Lookup'!$A$2:$A$200,0)),"")</f>
        <v>KONG Chapman</v>
      </c>
    </row>
    <row r="1988" customFormat="false" ht="15" hidden="false" customHeight="false" outlineLevel="0" collapsed="false">
      <c r="A1988" s="3" t="s">
        <v>338</v>
      </c>
      <c r="B1988" s="4" t="s">
        <v>60</v>
      </c>
      <c r="C1988" s="4" t="n">
        <v>4</v>
      </c>
      <c r="D1988" s="4" t="s">
        <v>59</v>
      </c>
      <c r="E1988" s="3" t="s">
        <v>119</v>
      </c>
      <c r="F1988" s="4" t="str">
        <f aca="false">IF(I1988&gt;J1988,"Y","N")</f>
        <v>N</v>
      </c>
      <c r="G1988" s="3" t="s">
        <v>101</v>
      </c>
      <c r="H1988" s="3" t="s">
        <v>34</v>
      </c>
      <c r="I1988" s="4" t="n">
        <v>8</v>
      </c>
      <c r="J1988" s="4" t="n">
        <f aca="false">LEN(E1988)-LEN(SUBSTITUTE(E1988,",",""))+1</f>
        <v>8</v>
      </c>
      <c r="K1988" s="3" t="str">
        <f aca="false">IFERROR(INDEX('Teacher Lookup'!$B$2:$B$200,MATCH(A1988,'Teacher Lookup'!$A$2:$A$200,0)),"")</f>
        <v>KONG Chapman</v>
      </c>
    </row>
    <row r="1989" customFormat="false" ht="15" hidden="false" customHeight="false" outlineLevel="0" collapsed="false">
      <c r="A1989" s="3" t="s">
        <v>338</v>
      </c>
      <c r="B1989" s="4" t="s">
        <v>60</v>
      </c>
      <c r="C1989" s="4" t="n">
        <v>5</v>
      </c>
      <c r="D1989" s="4" t="s">
        <v>228</v>
      </c>
      <c r="E1989" s="3" t="s">
        <v>229</v>
      </c>
      <c r="F1989" s="4" t="str">
        <f aca="false">IF(I1989&gt;J1989,"Y","N")</f>
        <v>Y</v>
      </c>
      <c r="G1989" s="3" t="s">
        <v>36</v>
      </c>
      <c r="H1989" s="3" t="s">
        <v>37</v>
      </c>
      <c r="I1989" s="4" t="n">
        <v>14</v>
      </c>
      <c r="J1989" s="4" t="n">
        <f aca="false">LEN(E1989)-LEN(SUBSTITUTE(E1989,",",""))+1</f>
        <v>6</v>
      </c>
      <c r="K1989" s="3" t="str">
        <f aca="false">IFERROR(INDEX('Teacher Lookup'!$B$2:$B$200,MATCH(A1989,'Teacher Lookup'!$A$2:$A$200,0)),"")</f>
        <v>KONG Chapman</v>
      </c>
    </row>
    <row r="1990" customFormat="false" ht="15" hidden="false" customHeight="false" outlineLevel="0" collapsed="false">
      <c r="A1990" s="3" t="s">
        <v>338</v>
      </c>
      <c r="B1990" s="4" t="s">
        <v>60</v>
      </c>
      <c r="C1990" s="4" t="n">
        <v>5</v>
      </c>
      <c r="D1990" s="4" t="s">
        <v>102</v>
      </c>
      <c r="E1990" s="3" t="s">
        <v>229</v>
      </c>
      <c r="F1990" s="4" t="str">
        <f aca="false">IF(I1990&gt;J1990,"Y","N")</f>
        <v>Y</v>
      </c>
      <c r="G1990" s="3" t="s">
        <v>36</v>
      </c>
      <c r="H1990" s="3" t="s">
        <v>37</v>
      </c>
      <c r="I1990" s="4" t="n">
        <v>14</v>
      </c>
      <c r="J1990" s="4" t="n">
        <f aca="false">LEN(E1990)-LEN(SUBSTITUTE(E1990,",",""))+1</f>
        <v>6</v>
      </c>
      <c r="K1990" s="3" t="str">
        <f aca="false">IFERROR(INDEX('Teacher Lookup'!$B$2:$B$200,MATCH(A1990,'Teacher Lookup'!$A$2:$A$200,0)),"")</f>
        <v>KONG Chapman</v>
      </c>
    </row>
    <row r="1991" customFormat="false" ht="15" hidden="false" customHeight="false" outlineLevel="0" collapsed="false">
      <c r="A1991" s="3" t="s">
        <v>338</v>
      </c>
      <c r="B1991" s="4" t="s">
        <v>60</v>
      </c>
      <c r="C1991" s="4" t="n">
        <v>5</v>
      </c>
      <c r="D1991" s="4" t="s">
        <v>105</v>
      </c>
      <c r="E1991" s="3" t="s">
        <v>229</v>
      </c>
      <c r="F1991" s="4" t="str">
        <f aca="false">IF(I1991&gt;J1991,"Y","N")</f>
        <v>Y</v>
      </c>
      <c r="G1991" s="3" t="s">
        <v>36</v>
      </c>
      <c r="H1991" s="3" t="s">
        <v>37</v>
      </c>
      <c r="I1991" s="4" t="n">
        <v>14</v>
      </c>
      <c r="J1991" s="4" t="n">
        <f aca="false">LEN(E1991)-LEN(SUBSTITUTE(E1991,",",""))+1</f>
        <v>6</v>
      </c>
      <c r="K1991" s="3" t="str">
        <f aca="false">IFERROR(INDEX('Teacher Lookup'!$B$2:$B$200,MATCH(A1991,'Teacher Lookup'!$A$2:$A$200,0)),"")</f>
        <v>KONG Chapman</v>
      </c>
    </row>
    <row r="1992" customFormat="false" ht="15" hidden="false" customHeight="false" outlineLevel="0" collapsed="false">
      <c r="A1992" s="3" t="s">
        <v>338</v>
      </c>
      <c r="B1992" s="4" t="s">
        <v>60</v>
      </c>
      <c r="C1992" s="4" t="n">
        <v>5</v>
      </c>
      <c r="D1992" s="4" t="s">
        <v>106</v>
      </c>
      <c r="E1992" s="3" t="s">
        <v>229</v>
      </c>
      <c r="F1992" s="4" t="str">
        <f aca="false">IF(I1992&gt;J1992,"Y","N")</f>
        <v>Y</v>
      </c>
      <c r="G1992" s="3" t="s">
        <v>36</v>
      </c>
      <c r="H1992" s="3" t="s">
        <v>37</v>
      </c>
      <c r="I1992" s="4" t="n">
        <v>14</v>
      </c>
      <c r="J1992" s="4" t="n">
        <f aca="false">LEN(E1992)-LEN(SUBSTITUTE(E1992,",",""))+1</f>
        <v>6</v>
      </c>
      <c r="K1992" s="3" t="str">
        <f aca="false">IFERROR(INDEX('Teacher Lookup'!$B$2:$B$200,MATCH(A1992,'Teacher Lookup'!$A$2:$A$200,0)),"")</f>
        <v>KONG Chapman</v>
      </c>
    </row>
    <row r="1993" customFormat="false" ht="15" hidden="false" customHeight="false" outlineLevel="0" collapsed="false">
      <c r="A1993" s="3" t="s">
        <v>338</v>
      </c>
      <c r="B1993" s="4" t="s">
        <v>60</v>
      </c>
      <c r="C1993" s="4" t="n">
        <v>5</v>
      </c>
      <c r="D1993" s="4" t="s">
        <v>107</v>
      </c>
      <c r="E1993" s="3" t="s">
        <v>229</v>
      </c>
      <c r="F1993" s="4" t="str">
        <f aca="false">IF(I1993&gt;J1993,"Y","N")</f>
        <v>Y</v>
      </c>
      <c r="G1993" s="3" t="s">
        <v>36</v>
      </c>
      <c r="H1993" s="3" t="s">
        <v>37</v>
      </c>
      <c r="I1993" s="4" t="n">
        <v>14</v>
      </c>
      <c r="J1993" s="4" t="n">
        <f aca="false">LEN(E1993)-LEN(SUBSTITUTE(E1993,",",""))+1</f>
        <v>6</v>
      </c>
      <c r="K1993" s="3" t="str">
        <f aca="false">IFERROR(INDEX('Teacher Lookup'!$B$2:$B$200,MATCH(A1993,'Teacher Lookup'!$A$2:$A$200,0)),"")</f>
        <v>KONG Chapman</v>
      </c>
    </row>
    <row r="1994" customFormat="false" ht="15" hidden="false" customHeight="false" outlineLevel="0" collapsed="false">
      <c r="A1994" s="3" t="s">
        <v>338</v>
      </c>
      <c r="B1994" s="4" t="s">
        <v>60</v>
      </c>
      <c r="C1994" s="4" t="n">
        <v>6</v>
      </c>
      <c r="D1994" s="4" t="s">
        <v>22</v>
      </c>
      <c r="E1994" s="3" t="s">
        <v>133</v>
      </c>
      <c r="F1994" s="4" t="str">
        <f aca="false">IF(I1994&gt;J1994,"Y","N")</f>
        <v>N</v>
      </c>
      <c r="G1994" s="3" t="s">
        <v>126</v>
      </c>
      <c r="H1994" s="3" t="s">
        <v>42</v>
      </c>
      <c r="I1994" s="4" t="n">
        <v>1</v>
      </c>
      <c r="J1994" s="4" t="n">
        <f aca="false">LEN(E1994)-LEN(SUBSTITUTE(E1994,",",""))+1</f>
        <v>1</v>
      </c>
      <c r="K1994" s="3" t="str">
        <f aca="false">IFERROR(INDEX('Teacher Lookup'!$B$2:$B$200,MATCH(A1994,'Teacher Lookup'!$A$2:$A$200,0)),"")</f>
        <v>KONG Chapman</v>
      </c>
    </row>
    <row r="1995" customFormat="false" ht="15" hidden="false" customHeight="false" outlineLevel="0" collapsed="false">
      <c r="A1995" s="3" t="s">
        <v>338</v>
      </c>
      <c r="B1995" s="4" t="s">
        <v>63</v>
      </c>
      <c r="C1995" s="4" t="n">
        <v>3</v>
      </c>
      <c r="D1995" s="4" t="s">
        <v>106</v>
      </c>
      <c r="E1995" s="3" t="s">
        <v>339</v>
      </c>
      <c r="F1995" s="4" t="str">
        <f aca="false">IF(I1995&gt;J1995,"Y","N")</f>
        <v>N</v>
      </c>
      <c r="G1995" s="3" t="s">
        <v>340</v>
      </c>
      <c r="H1995" s="3" t="s">
        <v>26</v>
      </c>
      <c r="I1995" s="4" t="n">
        <v>2</v>
      </c>
      <c r="J1995" s="4" t="n">
        <f aca="false">LEN(E1995)-LEN(SUBSTITUTE(E1995,",",""))+1</f>
        <v>2</v>
      </c>
      <c r="K1995" s="3" t="str">
        <f aca="false">IFERROR(INDEX('Teacher Lookup'!$B$2:$B$200,MATCH(A1995,'Teacher Lookup'!$A$2:$A$200,0)),"")</f>
        <v>KONG Chapman</v>
      </c>
    </row>
    <row r="1996" customFormat="false" ht="15" hidden="false" customHeight="false" outlineLevel="0" collapsed="false">
      <c r="A1996" s="3" t="s">
        <v>338</v>
      </c>
      <c r="B1996" s="4" t="s">
        <v>63</v>
      </c>
      <c r="C1996" s="4" t="n">
        <v>4</v>
      </c>
      <c r="D1996" s="4" t="s">
        <v>70</v>
      </c>
      <c r="E1996" s="3" t="s">
        <v>213</v>
      </c>
      <c r="F1996" s="4" t="str">
        <f aca="false">IF(I1996&gt;J1996,"Y","N")</f>
        <v>Y</v>
      </c>
      <c r="G1996" s="3" t="s">
        <v>214</v>
      </c>
      <c r="H1996" s="3" t="s">
        <v>34</v>
      </c>
      <c r="I1996" s="4" t="n">
        <v>20</v>
      </c>
      <c r="J1996" s="4" t="n">
        <f aca="false">LEN(E1996)-LEN(SUBSTITUTE(E1996,",",""))+1</f>
        <v>6</v>
      </c>
      <c r="K1996" s="3" t="str">
        <f aca="false">IFERROR(INDEX('Teacher Lookup'!$B$2:$B$200,MATCH(A1996,'Teacher Lookup'!$A$2:$A$200,0)),"")</f>
        <v>KONG Chapman</v>
      </c>
    </row>
    <row r="1997" customFormat="false" ht="15" hidden="false" customHeight="false" outlineLevel="0" collapsed="false">
      <c r="A1997" s="3" t="s">
        <v>338</v>
      </c>
      <c r="B1997" s="4" t="s">
        <v>63</v>
      </c>
      <c r="C1997" s="4" t="n">
        <v>4</v>
      </c>
      <c r="D1997" s="4" t="s">
        <v>73</v>
      </c>
      <c r="E1997" s="3" t="s">
        <v>213</v>
      </c>
      <c r="F1997" s="4" t="str">
        <f aca="false">IF(I1997&gt;J1997,"Y","N")</f>
        <v>Y</v>
      </c>
      <c r="G1997" s="3" t="s">
        <v>214</v>
      </c>
      <c r="H1997" s="3" t="s">
        <v>34</v>
      </c>
      <c r="I1997" s="4" t="n">
        <v>20</v>
      </c>
      <c r="J1997" s="4" t="n">
        <f aca="false">LEN(E1997)-LEN(SUBSTITUTE(E1997,",",""))+1</f>
        <v>6</v>
      </c>
      <c r="K1997" s="3" t="str">
        <f aca="false">IFERROR(INDEX('Teacher Lookup'!$B$2:$B$200,MATCH(A1997,'Teacher Lookup'!$A$2:$A$200,0)),"")</f>
        <v>KONG Chapman</v>
      </c>
    </row>
    <row r="1998" customFormat="false" ht="15" hidden="false" customHeight="false" outlineLevel="0" collapsed="false">
      <c r="A1998" s="3" t="s">
        <v>338</v>
      </c>
      <c r="B1998" s="4" t="s">
        <v>63</v>
      </c>
      <c r="C1998" s="4" t="n">
        <v>4</v>
      </c>
      <c r="D1998" s="4" t="s">
        <v>74</v>
      </c>
      <c r="E1998" s="3" t="s">
        <v>213</v>
      </c>
      <c r="F1998" s="4" t="str">
        <f aca="false">IF(I1998&gt;J1998,"Y","N")</f>
        <v>Y</v>
      </c>
      <c r="G1998" s="3" t="s">
        <v>214</v>
      </c>
      <c r="H1998" s="3" t="s">
        <v>34</v>
      </c>
      <c r="I1998" s="4" t="n">
        <v>20</v>
      </c>
      <c r="J1998" s="4" t="n">
        <f aca="false">LEN(E1998)-LEN(SUBSTITUTE(E1998,",",""))+1</f>
        <v>6</v>
      </c>
      <c r="K1998" s="3" t="str">
        <f aca="false">IFERROR(INDEX('Teacher Lookup'!$B$2:$B$200,MATCH(A1998,'Teacher Lookup'!$A$2:$A$200,0)),"")</f>
        <v>KONG Chapman</v>
      </c>
    </row>
    <row r="1999" customFormat="false" ht="15" hidden="false" customHeight="false" outlineLevel="0" collapsed="false">
      <c r="A1999" s="3" t="s">
        <v>338</v>
      </c>
      <c r="B1999" s="4" t="s">
        <v>63</v>
      </c>
      <c r="C1999" s="4" t="n">
        <v>4</v>
      </c>
      <c r="D1999" s="4" t="s">
        <v>76</v>
      </c>
      <c r="E1999" s="3" t="s">
        <v>213</v>
      </c>
      <c r="F1999" s="4" t="str">
        <f aca="false">IF(I1999&gt;J1999,"Y","N")</f>
        <v>Y</v>
      </c>
      <c r="G1999" s="3" t="s">
        <v>214</v>
      </c>
      <c r="H1999" s="3" t="s">
        <v>34</v>
      </c>
      <c r="I1999" s="4" t="n">
        <v>20</v>
      </c>
      <c r="J1999" s="4" t="n">
        <f aca="false">LEN(E1999)-LEN(SUBSTITUTE(E1999,",",""))+1</f>
        <v>6</v>
      </c>
      <c r="K1999" s="3" t="str">
        <f aca="false">IFERROR(INDEX('Teacher Lookup'!$B$2:$B$200,MATCH(A1999,'Teacher Lookup'!$A$2:$A$200,0)),"")</f>
        <v>KONG Chapman</v>
      </c>
    </row>
    <row r="2000" customFormat="false" ht="15" hidden="false" customHeight="false" outlineLevel="0" collapsed="false">
      <c r="A2000" s="3" t="s">
        <v>338</v>
      </c>
      <c r="B2000" s="4" t="s">
        <v>63</v>
      </c>
      <c r="C2000" s="4" t="n">
        <v>4</v>
      </c>
      <c r="D2000" s="4" t="s">
        <v>78</v>
      </c>
      <c r="E2000" s="3" t="s">
        <v>213</v>
      </c>
      <c r="F2000" s="4" t="str">
        <f aca="false">IF(I2000&gt;J2000,"Y","N")</f>
        <v>Y</v>
      </c>
      <c r="G2000" s="3" t="s">
        <v>214</v>
      </c>
      <c r="H2000" s="3" t="s">
        <v>34</v>
      </c>
      <c r="I2000" s="4" t="n">
        <v>20</v>
      </c>
      <c r="J2000" s="4" t="n">
        <f aca="false">LEN(E2000)-LEN(SUBSTITUTE(E2000,",",""))+1</f>
        <v>6</v>
      </c>
      <c r="K2000" s="3" t="str">
        <f aca="false">IFERROR(INDEX('Teacher Lookup'!$B$2:$B$200,MATCH(A2000,'Teacher Lookup'!$A$2:$A$200,0)),"")</f>
        <v>KONG Chapman</v>
      </c>
    </row>
    <row r="2001" customFormat="false" ht="15" hidden="false" customHeight="false" outlineLevel="0" collapsed="false">
      <c r="A2001" s="3" t="s">
        <v>338</v>
      </c>
      <c r="B2001" s="4" t="s">
        <v>63</v>
      </c>
      <c r="C2001" s="4" t="n">
        <v>4</v>
      </c>
      <c r="D2001" s="4" t="s">
        <v>79</v>
      </c>
      <c r="E2001" s="3" t="s">
        <v>213</v>
      </c>
      <c r="F2001" s="4" t="str">
        <f aca="false">IF(I2001&gt;J2001,"Y","N")</f>
        <v>Y</v>
      </c>
      <c r="G2001" s="3" t="s">
        <v>214</v>
      </c>
      <c r="H2001" s="3" t="s">
        <v>34</v>
      </c>
      <c r="I2001" s="4" t="n">
        <v>20</v>
      </c>
      <c r="J2001" s="4" t="n">
        <f aca="false">LEN(E2001)-LEN(SUBSTITUTE(E2001,",",""))+1</f>
        <v>6</v>
      </c>
      <c r="K2001" s="3" t="str">
        <f aca="false">IFERROR(INDEX('Teacher Lookup'!$B$2:$B$200,MATCH(A2001,'Teacher Lookup'!$A$2:$A$200,0)),"")</f>
        <v>KONG Chapman</v>
      </c>
    </row>
    <row r="2002" customFormat="false" ht="15" hidden="false" customHeight="false" outlineLevel="0" collapsed="false">
      <c r="A2002" s="3" t="s">
        <v>338</v>
      </c>
      <c r="B2002" s="4" t="s">
        <v>63</v>
      </c>
      <c r="C2002" s="4" t="n">
        <v>5</v>
      </c>
      <c r="D2002" s="4" t="s">
        <v>70</v>
      </c>
      <c r="E2002" s="3" t="s">
        <v>213</v>
      </c>
      <c r="F2002" s="4" t="str">
        <f aca="false">IF(I2002&gt;J2002,"Y","N")</f>
        <v>Y</v>
      </c>
      <c r="G2002" s="3" t="s">
        <v>214</v>
      </c>
      <c r="H2002" s="3" t="s">
        <v>37</v>
      </c>
      <c r="I2002" s="4" t="n">
        <v>20</v>
      </c>
      <c r="J2002" s="4" t="n">
        <f aca="false">LEN(E2002)-LEN(SUBSTITUTE(E2002,",",""))+1</f>
        <v>6</v>
      </c>
      <c r="K2002" s="3" t="str">
        <f aca="false">IFERROR(INDEX('Teacher Lookup'!$B$2:$B$200,MATCH(A2002,'Teacher Lookup'!$A$2:$A$200,0)),"")</f>
        <v>KONG Chapman</v>
      </c>
    </row>
    <row r="2003" customFormat="false" ht="15" hidden="false" customHeight="false" outlineLevel="0" collapsed="false">
      <c r="A2003" s="3" t="s">
        <v>338</v>
      </c>
      <c r="B2003" s="4" t="s">
        <v>63</v>
      </c>
      <c r="C2003" s="4" t="n">
        <v>5</v>
      </c>
      <c r="D2003" s="4" t="s">
        <v>73</v>
      </c>
      <c r="E2003" s="3" t="s">
        <v>213</v>
      </c>
      <c r="F2003" s="4" t="str">
        <f aca="false">IF(I2003&gt;J2003,"Y","N")</f>
        <v>Y</v>
      </c>
      <c r="G2003" s="3" t="s">
        <v>214</v>
      </c>
      <c r="H2003" s="3" t="s">
        <v>37</v>
      </c>
      <c r="I2003" s="4" t="n">
        <v>20</v>
      </c>
      <c r="J2003" s="4" t="n">
        <f aca="false">LEN(E2003)-LEN(SUBSTITUTE(E2003,",",""))+1</f>
        <v>6</v>
      </c>
      <c r="K2003" s="3" t="str">
        <f aca="false">IFERROR(INDEX('Teacher Lookup'!$B$2:$B$200,MATCH(A2003,'Teacher Lookup'!$A$2:$A$200,0)),"")</f>
        <v>KONG Chapman</v>
      </c>
    </row>
    <row r="2004" customFormat="false" ht="15" hidden="false" customHeight="false" outlineLevel="0" collapsed="false">
      <c r="A2004" s="3" t="s">
        <v>338</v>
      </c>
      <c r="B2004" s="4" t="s">
        <v>63</v>
      </c>
      <c r="C2004" s="4" t="n">
        <v>5</v>
      </c>
      <c r="D2004" s="4" t="s">
        <v>74</v>
      </c>
      <c r="E2004" s="3" t="s">
        <v>213</v>
      </c>
      <c r="F2004" s="4" t="str">
        <f aca="false">IF(I2004&gt;J2004,"Y","N")</f>
        <v>Y</v>
      </c>
      <c r="G2004" s="3" t="s">
        <v>214</v>
      </c>
      <c r="H2004" s="3" t="s">
        <v>37</v>
      </c>
      <c r="I2004" s="4" t="n">
        <v>20</v>
      </c>
      <c r="J2004" s="4" t="n">
        <f aca="false">LEN(E2004)-LEN(SUBSTITUTE(E2004,",",""))+1</f>
        <v>6</v>
      </c>
      <c r="K2004" s="3" t="str">
        <f aca="false">IFERROR(INDEX('Teacher Lookup'!$B$2:$B$200,MATCH(A2004,'Teacher Lookup'!$A$2:$A$200,0)),"")</f>
        <v>KONG Chapman</v>
      </c>
    </row>
    <row r="2005" customFormat="false" ht="15" hidden="false" customHeight="false" outlineLevel="0" collapsed="false">
      <c r="A2005" s="3" t="s">
        <v>338</v>
      </c>
      <c r="B2005" s="4" t="s">
        <v>63</v>
      </c>
      <c r="C2005" s="4" t="n">
        <v>5</v>
      </c>
      <c r="D2005" s="4" t="s">
        <v>76</v>
      </c>
      <c r="E2005" s="3" t="s">
        <v>213</v>
      </c>
      <c r="F2005" s="4" t="str">
        <f aca="false">IF(I2005&gt;J2005,"Y","N")</f>
        <v>Y</v>
      </c>
      <c r="G2005" s="3" t="s">
        <v>214</v>
      </c>
      <c r="H2005" s="3" t="s">
        <v>37</v>
      </c>
      <c r="I2005" s="4" t="n">
        <v>20</v>
      </c>
      <c r="J2005" s="4" t="n">
        <f aca="false">LEN(E2005)-LEN(SUBSTITUTE(E2005,",",""))+1</f>
        <v>6</v>
      </c>
      <c r="K2005" s="3" t="str">
        <f aca="false">IFERROR(INDEX('Teacher Lookup'!$B$2:$B$200,MATCH(A2005,'Teacher Lookup'!$A$2:$A$200,0)),"")</f>
        <v>KONG Chapman</v>
      </c>
    </row>
    <row r="2006" customFormat="false" ht="15" hidden="false" customHeight="false" outlineLevel="0" collapsed="false">
      <c r="A2006" s="3" t="s">
        <v>338</v>
      </c>
      <c r="B2006" s="4" t="s">
        <v>63</v>
      </c>
      <c r="C2006" s="4" t="n">
        <v>5</v>
      </c>
      <c r="D2006" s="4" t="s">
        <v>78</v>
      </c>
      <c r="E2006" s="3" t="s">
        <v>213</v>
      </c>
      <c r="F2006" s="4" t="str">
        <f aca="false">IF(I2006&gt;J2006,"Y","N")</f>
        <v>Y</v>
      </c>
      <c r="G2006" s="3" t="s">
        <v>214</v>
      </c>
      <c r="H2006" s="3" t="s">
        <v>37</v>
      </c>
      <c r="I2006" s="4" t="n">
        <v>20</v>
      </c>
      <c r="J2006" s="4" t="n">
        <f aca="false">LEN(E2006)-LEN(SUBSTITUTE(E2006,",",""))+1</f>
        <v>6</v>
      </c>
      <c r="K2006" s="3" t="str">
        <f aca="false">IFERROR(INDEX('Teacher Lookup'!$B$2:$B$200,MATCH(A2006,'Teacher Lookup'!$A$2:$A$200,0)),"")</f>
        <v>KONG Chapman</v>
      </c>
    </row>
    <row r="2007" customFormat="false" ht="15" hidden="false" customHeight="false" outlineLevel="0" collapsed="false">
      <c r="A2007" s="3" t="s">
        <v>338</v>
      </c>
      <c r="B2007" s="4" t="s">
        <v>63</v>
      </c>
      <c r="C2007" s="4" t="n">
        <v>5</v>
      </c>
      <c r="D2007" s="4" t="s">
        <v>79</v>
      </c>
      <c r="E2007" s="3" t="s">
        <v>213</v>
      </c>
      <c r="F2007" s="4" t="str">
        <f aca="false">IF(I2007&gt;J2007,"Y","N")</f>
        <v>Y</v>
      </c>
      <c r="G2007" s="3" t="s">
        <v>214</v>
      </c>
      <c r="H2007" s="3" t="s">
        <v>37</v>
      </c>
      <c r="I2007" s="4" t="n">
        <v>20</v>
      </c>
      <c r="J2007" s="4" t="n">
        <f aca="false">LEN(E2007)-LEN(SUBSTITUTE(E2007,",",""))+1</f>
        <v>6</v>
      </c>
      <c r="K2007" s="3" t="str">
        <f aca="false">IFERROR(INDEX('Teacher Lookup'!$B$2:$B$200,MATCH(A2007,'Teacher Lookup'!$A$2:$A$200,0)),"")</f>
        <v>KONG Chapman</v>
      </c>
    </row>
    <row r="2008" customFormat="false" ht="15" hidden="false" customHeight="false" outlineLevel="0" collapsed="false">
      <c r="A2008" s="3" t="s">
        <v>338</v>
      </c>
      <c r="B2008" s="4" t="s">
        <v>65</v>
      </c>
      <c r="C2008" s="4" t="n">
        <v>2</v>
      </c>
      <c r="D2008" s="4" t="s">
        <v>22</v>
      </c>
      <c r="E2008" s="3" t="s">
        <v>125</v>
      </c>
      <c r="F2008" s="4" t="str">
        <f aca="false">IF(I2008&gt;J2008,"Y","N")</f>
        <v>N</v>
      </c>
      <c r="G2008" s="3" t="s">
        <v>126</v>
      </c>
      <c r="H2008" s="3" t="s">
        <v>21</v>
      </c>
      <c r="I2008" s="4" t="n">
        <v>1</v>
      </c>
      <c r="J2008" s="4" t="n">
        <f aca="false">LEN(E2008)-LEN(SUBSTITUTE(E2008,",",""))+1</f>
        <v>1</v>
      </c>
      <c r="K2008" s="3" t="str">
        <f aca="false">IFERROR(INDEX('Teacher Lookup'!$B$2:$B$200,MATCH(A2008,'Teacher Lookup'!$A$2:$A$200,0)),"")</f>
        <v>KONG Chapman</v>
      </c>
    </row>
    <row r="2009" customFormat="false" ht="15" hidden="false" customHeight="false" outlineLevel="0" collapsed="false">
      <c r="A2009" s="3" t="s">
        <v>338</v>
      </c>
      <c r="B2009" s="4" t="s">
        <v>65</v>
      </c>
      <c r="C2009" s="4" t="n">
        <v>3</v>
      </c>
      <c r="D2009" s="4" t="s">
        <v>52</v>
      </c>
      <c r="E2009" s="3" t="s">
        <v>121</v>
      </c>
      <c r="F2009" s="4" t="str">
        <f aca="false">IF(I2009&gt;J2009,"Y","N")</f>
        <v>Y</v>
      </c>
      <c r="G2009" s="3" t="s">
        <v>101</v>
      </c>
      <c r="H2009" s="3" t="s">
        <v>26</v>
      </c>
      <c r="I2009" s="4" t="n">
        <v>9</v>
      </c>
      <c r="J2009" s="4" t="n">
        <f aca="false">LEN(E2009)-LEN(SUBSTITUTE(E2009,",",""))+1</f>
        <v>8</v>
      </c>
      <c r="K2009" s="3" t="str">
        <f aca="false">IFERROR(INDEX('Teacher Lookup'!$B$2:$B$200,MATCH(A2009,'Teacher Lookup'!$A$2:$A$200,0)),"")</f>
        <v>KONG Chapman</v>
      </c>
    </row>
    <row r="2010" customFormat="false" ht="15" hidden="false" customHeight="false" outlineLevel="0" collapsed="false">
      <c r="A2010" s="3" t="s">
        <v>338</v>
      </c>
      <c r="B2010" s="4" t="s">
        <v>65</v>
      </c>
      <c r="C2010" s="4" t="n">
        <v>3</v>
      </c>
      <c r="D2010" s="4" t="s">
        <v>55</v>
      </c>
      <c r="E2010" s="3" t="s">
        <v>121</v>
      </c>
      <c r="F2010" s="4" t="str">
        <f aca="false">IF(I2010&gt;J2010,"Y","N")</f>
        <v>Y</v>
      </c>
      <c r="G2010" s="3" t="s">
        <v>101</v>
      </c>
      <c r="H2010" s="3" t="s">
        <v>26</v>
      </c>
      <c r="I2010" s="4" t="n">
        <v>9</v>
      </c>
      <c r="J2010" s="4" t="n">
        <f aca="false">LEN(E2010)-LEN(SUBSTITUTE(E2010,",",""))+1</f>
        <v>8</v>
      </c>
      <c r="K2010" s="3" t="str">
        <f aca="false">IFERROR(INDEX('Teacher Lookup'!$B$2:$B$200,MATCH(A2010,'Teacher Lookup'!$A$2:$A$200,0)),"")</f>
        <v>KONG Chapman</v>
      </c>
    </row>
    <row r="2011" customFormat="false" ht="15" hidden="false" customHeight="false" outlineLevel="0" collapsed="false">
      <c r="A2011" s="3" t="s">
        <v>338</v>
      </c>
      <c r="B2011" s="4" t="s">
        <v>65</v>
      </c>
      <c r="C2011" s="4" t="n">
        <v>3</v>
      </c>
      <c r="D2011" s="4" t="s">
        <v>56</v>
      </c>
      <c r="E2011" s="3" t="s">
        <v>121</v>
      </c>
      <c r="F2011" s="4" t="str">
        <f aca="false">IF(I2011&gt;J2011,"Y","N")</f>
        <v>Y</v>
      </c>
      <c r="G2011" s="3" t="s">
        <v>101</v>
      </c>
      <c r="H2011" s="3" t="s">
        <v>26</v>
      </c>
      <c r="I2011" s="4" t="n">
        <v>9</v>
      </c>
      <c r="J2011" s="4" t="n">
        <f aca="false">LEN(E2011)-LEN(SUBSTITUTE(E2011,",",""))+1</f>
        <v>8</v>
      </c>
      <c r="K2011" s="3" t="str">
        <f aca="false">IFERROR(INDEX('Teacher Lookup'!$B$2:$B$200,MATCH(A2011,'Teacher Lookup'!$A$2:$A$200,0)),"")</f>
        <v>KONG Chapman</v>
      </c>
    </row>
    <row r="2012" customFormat="false" ht="15" hidden="false" customHeight="false" outlineLevel="0" collapsed="false">
      <c r="A2012" s="3" t="s">
        <v>338</v>
      </c>
      <c r="B2012" s="4" t="s">
        <v>65</v>
      </c>
      <c r="C2012" s="4" t="n">
        <v>3</v>
      </c>
      <c r="D2012" s="4" t="s">
        <v>57</v>
      </c>
      <c r="E2012" s="3" t="s">
        <v>121</v>
      </c>
      <c r="F2012" s="4" t="str">
        <f aca="false">IF(I2012&gt;J2012,"Y","N")</f>
        <v>Y</v>
      </c>
      <c r="G2012" s="3" t="s">
        <v>101</v>
      </c>
      <c r="H2012" s="3" t="s">
        <v>26</v>
      </c>
      <c r="I2012" s="4" t="n">
        <v>9</v>
      </c>
      <c r="J2012" s="4" t="n">
        <f aca="false">LEN(E2012)-LEN(SUBSTITUTE(E2012,",",""))+1</f>
        <v>8</v>
      </c>
      <c r="K2012" s="3" t="str">
        <f aca="false">IFERROR(INDEX('Teacher Lookup'!$B$2:$B$200,MATCH(A2012,'Teacher Lookup'!$A$2:$A$200,0)),"")</f>
        <v>KONG Chapman</v>
      </c>
    </row>
    <row r="2013" customFormat="false" ht="15" hidden="false" customHeight="false" outlineLevel="0" collapsed="false">
      <c r="A2013" s="3" t="s">
        <v>338</v>
      </c>
      <c r="B2013" s="4" t="s">
        <v>65</v>
      </c>
      <c r="C2013" s="4" t="n">
        <v>3</v>
      </c>
      <c r="D2013" s="4" t="s">
        <v>58</v>
      </c>
      <c r="E2013" s="3" t="s">
        <v>121</v>
      </c>
      <c r="F2013" s="4" t="str">
        <f aca="false">IF(I2013&gt;J2013,"Y","N")</f>
        <v>Y</v>
      </c>
      <c r="G2013" s="3" t="s">
        <v>101</v>
      </c>
      <c r="H2013" s="3" t="s">
        <v>26</v>
      </c>
      <c r="I2013" s="4" t="n">
        <v>9</v>
      </c>
      <c r="J2013" s="4" t="n">
        <f aca="false">LEN(E2013)-LEN(SUBSTITUTE(E2013,",",""))+1</f>
        <v>8</v>
      </c>
      <c r="K2013" s="3" t="str">
        <f aca="false">IFERROR(INDEX('Teacher Lookup'!$B$2:$B$200,MATCH(A2013,'Teacher Lookup'!$A$2:$A$200,0)),"")</f>
        <v>KONG Chapman</v>
      </c>
    </row>
    <row r="2014" customFormat="false" ht="15" hidden="false" customHeight="false" outlineLevel="0" collapsed="false">
      <c r="A2014" s="3" t="s">
        <v>338</v>
      </c>
      <c r="B2014" s="4" t="s">
        <v>65</v>
      </c>
      <c r="C2014" s="4" t="n">
        <v>3</v>
      </c>
      <c r="D2014" s="4" t="s">
        <v>59</v>
      </c>
      <c r="E2014" s="3" t="s">
        <v>121</v>
      </c>
      <c r="F2014" s="4" t="str">
        <f aca="false">IF(I2014&gt;J2014,"Y","N")</f>
        <v>Y</v>
      </c>
      <c r="G2014" s="3" t="s">
        <v>101</v>
      </c>
      <c r="H2014" s="3" t="s">
        <v>26</v>
      </c>
      <c r="I2014" s="4" t="n">
        <v>9</v>
      </c>
      <c r="J2014" s="4" t="n">
        <f aca="false">LEN(E2014)-LEN(SUBSTITUTE(E2014,",",""))+1</f>
        <v>8</v>
      </c>
      <c r="K2014" s="3" t="str">
        <f aca="false">IFERROR(INDEX('Teacher Lookup'!$B$2:$B$200,MATCH(A2014,'Teacher Lookup'!$A$2:$A$200,0)),"")</f>
        <v>KONG Chapman</v>
      </c>
    </row>
    <row r="2015" customFormat="false" ht="15" hidden="false" customHeight="false" outlineLevel="0" collapsed="false">
      <c r="A2015" s="3" t="s">
        <v>338</v>
      </c>
      <c r="B2015" s="4" t="s">
        <v>65</v>
      </c>
      <c r="C2015" s="4" t="n">
        <v>4</v>
      </c>
      <c r="D2015" s="4" t="s">
        <v>106</v>
      </c>
      <c r="E2015" s="3" t="s">
        <v>345</v>
      </c>
      <c r="F2015" s="4" t="str">
        <f aca="false">IF(I2015&gt;J2015,"Y","N")</f>
        <v>N</v>
      </c>
      <c r="G2015" s="3" t="s">
        <v>340</v>
      </c>
      <c r="H2015" s="3" t="s">
        <v>34</v>
      </c>
      <c r="I2015" s="4" t="n">
        <v>2</v>
      </c>
      <c r="J2015" s="4" t="n">
        <f aca="false">LEN(E2015)-LEN(SUBSTITUTE(E2015,",",""))+1</f>
        <v>2</v>
      </c>
      <c r="K2015" s="3" t="str">
        <f aca="false">IFERROR(INDEX('Teacher Lookup'!$B$2:$B$200,MATCH(A2015,'Teacher Lookup'!$A$2:$A$200,0)),"")</f>
        <v>KONG Chapman</v>
      </c>
    </row>
    <row r="2016" customFormat="false" ht="15" hidden="false" customHeight="false" outlineLevel="0" collapsed="false">
      <c r="A2016" s="3" t="s">
        <v>338</v>
      </c>
      <c r="B2016" s="4" t="s">
        <v>65</v>
      </c>
      <c r="C2016" s="4" t="n">
        <v>5</v>
      </c>
      <c r="D2016" s="4" t="s">
        <v>228</v>
      </c>
      <c r="E2016" s="3" t="s">
        <v>229</v>
      </c>
      <c r="F2016" s="4" t="str">
        <f aca="false">IF(I2016&gt;J2016,"Y","N")</f>
        <v>Y</v>
      </c>
      <c r="G2016" s="3" t="s">
        <v>36</v>
      </c>
      <c r="H2016" s="3" t="s">
        <v>37</v>
      </c>
      <c r="I2016" s="4" t="n">
        <v>14</v>
      </c>
      <c r="J2016" s="4" t="n">
        <f aca="false">LEN(E2016)-LEN(SUBSTITUTE(E2016,",",""))+1</f>
        <v>6</v>
      </c>
      <c r="K2016" s="3" t="str">
        <f aca="false">IFERROR(INDEX('Teacher Lookup'!$B$2:$B$200,MATCH(A2016,'Teacher Lookup'!$A$2:$A$200,0)),"")</f>
        <v>KONG Chapman</v>
      </c>
    </row>
    <row r="2017" customFormat="false" ht="15" hidden="false" customHeight="false" outlineLevel="0" collapsed="false">
      <c r="A2017" s="3" t="s">
        <v>338</v>
      </c>
      <c r="B2017" s="4" t="s">
        <v>65</v>
      </c>
      <c r="C2017" s="4" t="n">
        <v>5</v>
      </c>
      <c r="D2017" s="4" t="s">
        <v>102</v>
      </c>
      <c r="E2017" s="3" t="s">
        <v>229</v>
      </c>
      <c r="F2017" s="4" t="str">
        <f aca="false">IF(I2017&gt;J2017,"Y","N")</f>
        <v>Y</v>
      </c>
      <c r="G2017" s="3" t="s">
        <v>36</v>
      </c>
      <c r="H2017" s="3" t="s">
        <v>37</v>
      </c>
      <c r="I2017" s="4" t="n">
        <v>14</v>
      </c>
      <c r="J2017" s="4" t="n">
        <f aca="false">LEN(E2017)-LEN(SUBSTITUTE(E2017,",",""))+1</f>
        <v>6</v>
      </c>
      <c r="K2017" s="3" t="str">
        <f aca="false">IFERROR(INDEX('Teacher Lookup'!$B$2:$B$200,MATCH(A2017,'Teacher Lookup'!$A$2:$A$200,0)),"")</f>
        <v>KONG Chapman</v>
      </c>
    </row>
    <row r="2018" customFormat="false" ht="15" hidden="false" customHeight="false" outlineLevel="0" collapsed="false">
      <c r="A2018" s="3" t="s">
        <v>338</v>
      </c>
      <c r="B2018" s="4" t="s">
        <v>65</v>
      </c>
      <c r="C2018" s="4" t="n">
        <v>5</v>
      </c>
      <c r="D2018" s="4" t="s">
        <v>105</v>
      </c>
      <c r="E2018" s="3" t="s">
        <v>229</v>
      </c>
      <c r="F2018" s="4" t="str">
        <f aca="false">IF(I2018&gt;J2018,"Y","N")</f>
        <v>Y</v>
      </c>
      <c r="G2018" s="3" t="s">
        <v>36</v>
      </c>
      <c r="H2018" s="3" t="s">
        <v>37</v>
      </c>
      <c r="I2018" s="4" t="n">
        <v>14</v>
      </c>
      <c r="J2018" s="4" t="n">
        <f aca="false">LEN(E2018)-LEN(SUBSTITUTE(E2018,",",""))+1</f>
        <v>6</v>
      </c>
      <c r="K2018" s="3" t="str">
        <f aca="false">IFERROR(INDEX('Teacher Lookup'!$B$2:$B$200,MATCH(A2018,'Teacher Lookup'!$A$2:$A$200,0)),"")</f>
        <v>KONG Chapman</v>
      </c>
    </row>
    <row r="2019" customFormat="false" ht="15" hidden="false" customHeight="false" outlineLevel="0" collapsed="false">
      <c r="A2019" s="3" t="s">
        <v>338</v>
      </c>
      <c r="B2019" s="4" t="s">
        <v>65</v>
      </c>
      <c r="C2019" s="4" t="n">
        <v>5</v>
      </c>
      <c r="D2019" s="4" t="s">
        <v>106</v>
      </c>
      <c r="E2019" s="3" t="s">
        <v>229</v>
      </c>
      <c r="F2019" s="4" t="str">
        <f aca="false">IF(I2019&gt;J2019,"Y","N")</f>
        <v>Y</v>
      </c>
      <c r="G2019" s="3" t="s">
        <v>36</v>
      </c>
      <c r="H2019" s="3" t="s">
        <v>37</v>
      </c>
      <c r="I2019" s="4" t="n">
        <v>14</v>
      </c>
      <c r="J2019" s="4" t="n">
        <f aca="false">LEN(E2019)-LEN(SUBSTITUTE(E2019,",",""))+1</f>
        <v>6</v>
      </c>
      <c r="K2019" s="3" t="str">
        <f aca="false">IFERROR(INDEX('Teacher Lookup'!$B$2:$B$200,MATCH(A2019,'Teacher Lookup'!$A$2:$A$200,0)),"")</f>
        <v>KONG Chapman</v>
      </c>
    </row>
    <row r="2020" customFormat="false" ht="15" hidden="false" customHeight="false" outlineLevel="0" collapsed="false">
      <c r="A2020" s="3" t="s">
        <v>338</v>
      </c>
      <c r="B2020" s="4" t="s">
        <v>65</v>
      </c>
      <c r="C2020" s="4" t="n">
        <v>5</v>
      </c>
      <c r="D2020" s="4" t="s">
        <v>107</v>
      </c>
      <c r="E2020" s="3" t="s">
        <v>229</v>
      </c>
      <c r="F2020" s="4" t="str">
        <f aca="false">IF(I2020&gt;J2020,"Y","N")</f>
        <v>Y</v>
      </c>
      <c r="G2020" s="3" t="s">
        <v>36</v>
      </c>
      <c r="H2020" s="3" t="s">
        <v>37</v>
      </c>
      <c r="I2020" s="4" t="n">
        <v>14</v>
      </c>
      <c r="J2020" s="4" t="n">
        <f aca="false">LEN(E2020)-LEN(SUBSTITUTE(E2020,",",""))+1</f>
        <v>6</v>
      </c>
      <c r="K2020" s="3" t="str">
        <f aca="false">IFERROR(INDEX('Teacher Lookup'!$B$2:$B$200,MATCH(A2020,'Teacher Lookup'!$A$2:$A$200,0)),"")</f>
        <v>KONG Chapman</v>
      </c>
    </row>
    <row r="2021" customFormat="false" ht="15" hidden="false" customHeight="false" outlineLevel="0" collapsed="false">
      <c r="A2021" s="3" t="s">
        <v>338</v>
      </c>
      <c r="B2021" s="4" t="s">
        <v>66</v>
      </c>
      <c r="C2021" s="4" t="n">
        <v>3</v>
      </c>
      <c r="D2021" s="4" t="s">
        <v>106</v>
      </c>
      <c r="E2021" s="3" t="s">
        <v>346</v>
      </c>
      <c r="F2021" s="4" t="str">
        <f aca="false">IF(I2021&gt;J2021,"Y","N")</f>
        <v>N</v>
      </c>
      <c r="G2021" s="3" t="s">
        <v>340</v>
      </c>
      <c r="H2021" s="3" t="s">
        <v>26</v>
      </c>
      <c r="I2021" s="4" t="n">
        <v>2</v>
      </c>
      <c r="J2021" s="4" t="n">
        <f aca="false">LEN(E2021)-LEN(SUBSTITUTE(E2021,",",""))+1</f>
        <v>2</v>
      </c>
      <c r="K2021" s="3" t="str">
        <f aca="false">IFERROR(INDEX('Teacher Lookup'!$B$2:$B$200,MATCH(A2021,'Teacher Lookup'!$A$2:$A$200,0)),"")</f>
        <v>KONG Chapman</v>
      </c>
    </row>
    <row r="2022" customFormat="false" ht="15" hidden="false" customHeight="false" outlineLevel="0" collapsed="false">
      <c r="A2022" s="3" t="s">
        <v>338</v>
      </c>
      <c r="B2022" s="4" t="s">
        <v>66</v>
      </c>
      <c r="C2022" s="4" t="n">
        <v>4</v>
      </c>
      <c r="D2022" s="4" t="s">
        <v>22</v>
      </c>
      <c r="E2022" s="3" t="s">
        <v>125</v>
      </c>
      <c r="F2022" s="4" t="str">
        <f aca="false">IF(I2022&gt;J2022,"Y","N")</f>
        <v>N</v>
      </c>
      <c r="G2022" s="3" t="s">
        <v>126</v>
      </c>
      <c r="H2022" s="3" t="s">
        <v>34</v>
      </c>
      <c r="I2022" s="4" t="n">
        <v>1</v>
      </c>
      <c r="J2022" s="4" t="n">
        <f aca="false">LEN(E2022)-LEN(SUBSTITUTE(E2022,",",""))+1</f>
        <v>1</v>
      </c>
      <c r="K2022" s="3" t="str">
        <f aca="false">IFERROR(INDEX('Teacher Lookup'!$B$2:$B$200,MATCH(A2022,'Teacher Lookup'!$A$2:$A$200,0)),"")</f>
        <v>KONG Chapman</v>
      </c>
    </row>
    <row r="2023" customFormat="false" ht="15" hidden="false" customHeight="false" outlineLevel="0" collapsed="false">
      <c r="A2023" s="3" t="s">
        <v>338</v>
      </c>
      <c r="B2023" s="4" t="s">
        <v>66</v>
      </c>
      <c r="C2023" s="4" t="n">
        <v>5</v>
      </c>
      <c r="D2023" s="4" t="s">
        <v>52</v>
      </c>
      <c r="E2023" s="3" t="s">
        <v>122</v>
      </c>
      <c r="F2023" s="4" t="str">
        <f aca="false">IF(I2023&gt;J2023,"Y","N")</f>
        <v>N</v>
      </c>
      <c r="G2023" s="3" t="s">
        <v>101</v>
      </c>
      <c r="H2023" s="3" t="s">
        <v>37</v>
      </c>
      <c r="I2023" s="4" t="n">
        <v>8</v>
      </c>
      <c r="J2023" s="4" t="n">
        <f aca="false">LEN(E2023)-LEN(SUBSTITUTE(E2023,",",""))+1</f>
        <v>8</v>
      </c>
      <c r="K2023" s="3" t="str">
        <f aca="false">IFERROR(INDEX('Teacher Lookup'!$B$2:$B$200,MATCH(A2023,'Teacher Lookup'!$A$2:$A$200,0)),"")</f>
        <v>KONG Chapman</v>
      </c>
    </row>
    <row r="2024" customFormat="false" ht="15" hidden="false" customHeight="false" outlineLevel="0" collapsed="false">
      <c r="A2024" s="3" t="s">
        <v>338</v>
      </c>
      <c r="B2024" s="4" t="s">
        <v>66</v>
      </c>
      <c r="C2024" s="4" t="n">
        <v>5</v>
      </c>
      <c r="D2024" s="4" t="s">
        <v>55</v>
      </c>
      <c r="E2024" s="3" t="s">
        <v>122</v>
      </c>
      <c r="F2024" s="4" t="str">
        <f aca="false">IF(I2024&gt;J2024,"Y","N")</f>
        <v>N</v>
      </c>
      <c r="G2024" s="3" t="s">
        <v>101</v>
      </c>
      <c r="H2024" s="3" t="s">
        <v>37</v>
      </c>
      <c r="I2024" s="4" t="n">
        <v>8</v>
      </c>
      <c r="J2024" s="4" t="n">
        <f aca="false">LEN(E2024)-LEN(SUBSTITUTE(E2024,",",""))+1</f>
        <v>8</v>
      </c>
      <c r="K2024" s="3" t="str">
        <f aca="false">IFERROR(INDEX('Teacher Lookup'!$B$2:$B$200,MATCH(A2024,'Teacher Lookup'!$A$2:$A$200,0)),"")</f>
        <v>KONG Chapman</v>
      </c>
    </row>
    <row r="2025" customFormat="false" ht="15" hidden="false" customHeight="false" outlineLevel="0" collapsed="false">
      <c r="A2025" s="3" t="s">
        <v>338</v>
      </c>
      <c r="B2025" s="4" t="s">
        <v>66</v>
      </c>
      <c r="C2025" s="4" t="n">
        <v>5</v>
      </c>
      <c r="D2025" s="4" t="s">
        <v>56</v>
      </c>
      <c r="E2025" s="3" t="s">
        <v>122</v>
      </c>
      <c r="F2025" s="4" t="str">
        <f aca="false">IF(I2025&gt;J2025,"Y","N")</f>
        <v>N</v>
      </c>
      <c r="G2025" s="3" t="s">
        <v>101</v>
      </c>
      <c r="H2025" s="3" t="s">
        <v>37</v>
      </c>
      <c r="I2025" s="4" t="n">
        <v>8</v>
      </c>
      <c r="J2025" s="4" t="n">
        <f aca="false">LEN(E2025)-LEN(SUBSTITUTE(E2025,",",""))+1</f>
        <v>8</v>
      </c>
      <c r="K2025" s="3" t="str">
        <f aca="false">IFERROR(INDEX('Teacher Lookup'!$B$2:$B$200,MATCH(A2025,'Teacher Lookup'!$A$2:$A$200,0)),"")</f>
        <v>KONG Chapman</v>
      </c>
    </row>
    <row r="2026" customFormat="false" ht="15" hidden="false" customHeight="false" outlineLevel="0" collapsed="false">
      <c r="A2026" s="3" t="s">
        <v>338</v>
      </c>
      <c r="B2026" s="4" t="s">
        <v>66</v>
      </c>
      <c r="C2026" s="4" t="n">
        <v>5</v>
      </c>
      <c r="D2026" s="4" t="s">
        <v>57</v>
      </c>
      <c r="E2026" s="3" t="s">
        <v>122</v>
      </c>
      <c r="F2026" s="4" t="str">
        <f aca="false">IF(I2026&gt;J2026,"Y","N")</f>
        <v>N</v>
      </c>
      <c r="G2026" s="3" t="s">
        <v>101</v>
      </c>
      <c r="H2026" s="3" t="s">
        <v>37</v>
      </c>
      <c r="I2026" s="4" t="n">
        <v>8</v>
      </c>
      <c r="J2026" s="4" t="n">
        <f aca="false">LEN(E2026)-LEN(SUBSTITUTE(E2026,",",""))+1</f>
        <v>8</v>
      </c>
      <c r="K2026" s="3" t="str">
        <f aca="false">IFERROR(INDEX('Teacher Lookup'!$B$2:$B$200,MATCH(A2026,'Teacher Lookup'!$A$2:$A$200,0)),"")</f>
        <v>KONG Chapman</v>
      </c>
    </row>
    <row r="2027" customFormat="false" ht="15" hidden="false" customHeight="false" outlineLevel="0" collapsed="false">
      <c r="A2027" s="3" t="s">
        <v>338</v>
      </c>
      <c r="B2027" s="4" t="s">
        <v>66</v>
      </c>
      <c r="C2027" s="4" t="n">
        <v>5</v>
      </c>
      <c r="D2027" s="4" t="s">
        <v>58</v>
      </c>
      <c r="E2027" s="3" t="s">
        <v>122</v>
      </c>
      <c r="F2027" s="4" t="str">
        <f aca="false">IF(I2027&gt;J2027,"Y","N")</f>
        <v>N</v>
      </c>
      <c r="G2027" s="3" t="s">
        <v>101</v>
      </c>
      <c r="H2027" s="3" t="s">
        <v>37</v>
      </c>
      <c r="I2027" s="4" t="n">
        <v>8</v>
      </c>
      <c r="J2027" s="4" t="n">
        <f aca="false">LEN(E2027)-LEN(SUBSTITUTE(E2027,",",""))+1</f>
        <v>8</v>
      </c>
      <c r="K2027" s="3" t="str">
        <f aca="false">IFERROR(INDEX('Teacher Lookup'!$B$2:$B$200,MATCH(A2027,'Teacher Lookup'!$A$2:$A$200,0)),"")</f>
        <v>KONG Chapman</v>
      </c>
    </row>
    <row r="2028" customFormat="false" ht="15" hidden="false" customHeight="false" outlineLevel="0" collapsed="false">
      <c r="A2028" s="3" t="s">
        <v>338</v>
      </c>
      <c r="B2028" s="4" t="s">
        <v>66</v>
      </c>
      <c r="C2028" s="4" t="n">
        <v>5</v>
      </c>
      <c r="D2028" s="4" t="s">
        <v>59</v>
      </c>
      <c r="E2028" s="3" t="s">
        <v>122</v>
      </c>
      <c r="F2028" s="4" t="str">
        <f aca="false">IF(I2028&gt;J2028,"Y","N")</f>
        <v>N</v>
      </c>
      <c r="G2028" s="3" t="s">
        <v>101</v>
      </c>
      <c r="H2028" s="3" t="s">
        <v>37</v>
      </c>
      <c r="I2028" s="4" t="n">
        <v>8</v>
      </c>
      <c r="J2028" s="4" t="n">
        <f aca="false">LEN(E2028)-LEN(SUBSTITUTE(E2028,",",""))+1</f>
        <v>8</v>
      </c>
      <c r="K2028" s="3" t="str">
        <f aca="false">IFERROR(INDEX('Teacher Lookup'!$B$2:$B$200,MATCH(A2028,'Teacher Lookup'!$A$2:$A$200,0)),"")</f>
        <v>KONG Chapman</v>
      </c>
    </row>
    <row r="2029" customFormat="false" ht="15" hidden="false" customHeight="false" outlineLevel="0" collapsed="false">
      <c r="A2029" s="3" t="s">
        <v>347</v>
      </c>
      <c r="B2029" s="4" t="s">
        <v>12</v>
      </c>
      <c r="C2029" s="4" t="n">
        <v>2</v>
      </c>
      <c r="D2029" s="4" t="s">
        <v>228</v>
      </c>
      <c r="E2029" s="3" t="s">
        <v>348</v>
      </c>
      <c r="F2029" s="4" t="str">
        <f aca="false">IF(I2029&gt;J2029,"Y","N")</f>
        <v>N</v>
      </c>
      <c r="G2029" s="3" t="s">
        <v>72</v>
      </c>
      <c r="H2029" s="3" t="s">
        <v>21</v>
      </c>
      <c r="I2029" s="4" t="n">
        <v>4</v>
      </c>
      <c r="J2029" s="4" t="n">
        <f aca="false">LEN(E2029)-LEN(SUBSTITUTE(E2029,",",""))+1</f>
        <v>4</v>
      </c>
      <c r="K2029" s="3" t="str">
        <f aca="false">IFERROR(INDEX('Teacher Lookup'!$B$2:$B$200,MATCH(A2029,'Teacher Lookup'!$A$2:$A$200,0)),"")</f>
        <v>LO Charles</v>
      </c>
    </row>
    <row r="2030" customFormat="false" ht="15" hidden="false" customHeight="false" outlineLevel="0" collapsed="false">
      <c r="A2030" s="3" t="s">
        <v>347</v>
      </c>
      <c r="B2030" s="4" t="s">
        <v>12</v>
      </c>
      <c r="C2030" s="4" t="n">
        <v>2</v>
      </c>
      <c r="D2030" s="4" t="s">
        <v>102</v>
      </c>
      <c r="E2030" s="3" t="s">
        <v>348</v>
      </c>
      <c r="F2030" s="4" t="str">
        <f aca="false">IF(I2030&gt;J2030,"Y","N")</f>
        <v>N</v>
      </c>
      <c r="G2030" s="3" t="s">
        <v>72</v>
      </c>
      <c r="H2030" s="3" t="s">
        <v>21</v>
      </c>
      <c r="I2030" s="4" t="n">
        <v>4</v>
      </c>
      <c r="J2030" s="4" t="n">
        <f aca="false">LEN(E2030)-LEN(SUBSTITUTE(E2030,",",""))+1</f>
        <v>4</v>
      </c>
      <c r="K2030" s="3" t="str">
        <f aca="false">IFERROR(INDEX('Teacher Lookup'!$B$2:$B$200,MATCH(A2030,'Teacher Lookup'!$A$2:$A$200,0)),"")</f>
        <v>LO Charles</v>
      </c>
    </row>
    <row r="2031" customFormat="false" ht="15" hidden="false" customHeight="false" outlineLevel="0" collapsed="false">
      <c r="A2031" s="3" t="s">
        <v>347</v>
      </c>
      <c r="B2031" s="4" t="s">
        <v>12</v>
      </c>
      <c r="C2031" s="4" t="n">
        <v>2</v>
      </c>
      <c r="D2031" s="4" t="s">
        <v>107</v>
      </c>
      <c r="E2031" s="3" t="s">
        <v>348</v>
      </c>
      <c r="F2031" s="4" t="str">
        <f aca="false">IF(I2031&gt;J2031,"Y","N")</f>
        <v>N</v>
      </c>
      <c r="G2031" s="3" t="s">
        <v>72</v>
      </c>
      <c r="H2031" s="3" t="s">
        <v>21</v>
      </c>
      <c r="I2031" s="4" t="n">
        <v>4</v>
      </c>
      <c r="J2031" s="4" t="n">
        <f aca="false">LEN(E2031)-LEN(SUBSTITUTE(E2031,",",""))+1</f>
        <v>4</v>
      </c>
      <c r="K2031" s="3" t="str">
        <f aca="false">IFERROR(INDEX('Teacher Lookup'!$B$2:$B$200,MATCH(A2031,'Teacher Lookup'!$A$2:$A$200,0)),"")</f>
        <v>LO Charles</v>
      </c>
    </row>
    <row r="2032" customFormat="false" ht="15" hidden="false" customHeight="false" outlineLevel="0" collapsed="false">
      <c r="A2032" s="3" t="s">
        <v>347</v>
      </c>
      <c r="B2032" s="4" t="s">
        <v>12</v>
      </c>
      <c r="C2032" s="4" t="n">
        <v>5</v>
      </c>
      <c r="D2032" s="4" t="s">
        <v>28</v>
      </c>
      <c r="E2032" s="3" t="s">
        <v>143</v>
      </c>
      <c r="F2032" s="4" t="str">
        <f aca="false">IF(I2032&gt;J2032,"Y","N")</f>
        <v>N</v>
      </c>
      <c r="G2032" s="3" t="s">
        <v>72</v>
      </c>
      <c r="H2032" s="3" t="s">
        <v>37</v>
      </c>
      <c r="I2032" s="4" t="n">
        <v>4</v>
      </c>
      <c r="J2032" s="4" t="n">
        <f aca="false">LEN(E2032)-LEN(SUBSTITUTE(E2032,",",""))+1</f>
        <v>4</v>
      </c>
      <c r="K2032" s="3" t="str">
        <f aca="false">IFERROR(INDEX('Teacher Lookup'!$B$2:$B$200,MATCH(A2032,'Teacher Lookup'!$A$2:$A$200,0)),"")</f>
        <v>LO Charles</v>
      </c>
    </row>
    <row r="2033" customFormat="false" ht="15" hidden="false" customHeight="false" outlineLevel="0" collapsed="false">
      <c r="A2033" s="3" t="s">
        <v>347</v>
      </c>
      <c r="B2033" s="4" t="s">
        <v>12</v>
      </c>
      <c r="C2033" s="4" t="n">
        <v>5</v>
      </c>
      <c r="D2033" s="4" t="s">
        <v>29</v>
      </c>
      <c r="E2033" s="3" t="s">
        <v>143</v>
      </c>
      <c r="F2033" s="4" t="str">
        <f aca="false">IF(I2033&gt;J2033,"Y","N")</f>
        <v>N</v>
      </c>
      <c r="G2033" s="3" t="s">
        <v>72</v>
      </c>
      <c r="H2033" s="3" t="s">
        <v>37</v>
      </c>
      <c r="I2033" s="4" t="n">
        <v>4</v>
      </c>
      <c r="J2033" s="4" t="n">
        <f aca="false">LEN(E2033)-LEN(SUBSTITUTE(E2033,",",""))+1</f>
        <v>4</v>
      </c>
      <c r="K2033" s="3" t="str">
        <f aca="false">IFERROR(INDEX('Teacher Lookup'!$B$2:$B$200,MATCH(A2033,'Teacher Lookup'!$A$2:$A$200,0)),"")</f>
        <v>LO Charles</v>
      </c>
    </row>
    <row r="2034" customFormat="false" ht="15" hidden="false" customHeight="false" outlineLevel="0" collapsed="false">
      <c r="A2034" s="3" t="s">
        <v>347</v>
      </c>
      <c r="B2034" s="4" t="s">
        <v>12</v>
      </c>
      <c r="C2034" s="4" t="n">
        <v>5</v>
      </c>
      <c r="D2034" s="4" t="s">
        <v>30</v>
      </c>
      <c r="E2034" s="3" t="s">
        <v>143</v>
      </c>
      <c r="F2034" s="4" t="str">
        <f aca="false">IF(I2034&gt;J2034,"Y","N")</f>
        <v>N</v>
      </c>
      <c r="G2034" s="3" t="s">
        <v>72</v>
      </c>
      <c r="H2034" s="3" t="s">
        <v>37</v>
      </c>
      <c r="I2034" s="4" t="n">
        <v>4</v>
      </c>
      <c r="J2034" s="4" t="n">
        <f aca="false">LEN(E2034)-LEN(SUBSTITUTE(E2034,",",""))+1</f>
        <v>4</v>
      </c>
      <c r="K2034" s="3" t="str">
        <f aca="false">IFERROR(INDEX('Teacher Lookup'!$B$2:$B$200,MATCH(A2034,'Teacher Lookup'!$A$2:$A$200,0)),"")</f>
        <v>LO Charles</v>
      </c>
    </row>
    <row r="2035" customFormat="false" ht="15" hidden="false" customHeight="false" outlineLevel="0" collapsed="false">
      <c r="A2035" s="3" t="s">
        <v>347</v>
      </c>
      <c r="B2035" s="4" t="s">
        <v>31</v>
      </c>
      <c r="C2035" s="4" t="n">
        <v>1</v>
      </c>
      <c r="D2035" s="4" t="s">
        <v>18</v>
      </c>
      <c r="E2035" s="3" t="s">
        <v>349</v>
      </c>
      <c r="F2035" s="4" t="str">
        <f aca="false">IF(I2035&gt;J2035,"Y","N")</f>
        <v>N</v>
      </c>
      <c r="G2035" s="3" t="s">
        <v>350</v>
      </c>
      <c r="H2035" s="3" t="s">
        <v>16</v>
      </c>
      <c r="I2035" s="4" t="n">
        <v>1</v>
      </c>
      <c r="J2035" s="4" t="n">
        <f aca="false">LEN(E2035)-LEN(SUBSTITUTE(E2035,",",""))+1</f>
        <v>1</v>
      </c>
      <c r="K2035" s="3" t="str">
        <f aca="false">IFERROR(INDEX('Teacher Lookup'!$B$2:$B$200,MATCH(A2035,'Teacher Lookup'!$A$2:$A$200,0)),"")</f>
        <v>LO Charles</v>
      </c>
    </row>
    <row r="2036" customFormat="false" ht="15" hidden="false" customHeight="false" outlineLevel="0" collapsed="false">
      <c r="A2036" s="3" t="s">
        <v>347</v>
      </c>
      <c r="B2036" s="4" t="s">
        <v>31</v>
      </c>
      <c r="C2036" s="4" t="n">
        <v>2</v>
      </c>
      <c r="D2036" s="4" t="s">
        <v>13</v>
      </c>
      <c r="E2036" s="3" t="s">
        <v>351</v>
      </c>
      <c r="F2036" s="4" t="str">
        <f aca="false">IF(I2036&gt;J2036,"Y","N")</f>
        <v>N</v>
      </c>
      <c r="G2036" s="3" t="s">
        <v>350</v>
      </c>
      <c r="H2036" s="3" t="s">
        <v>21</v>
      </c>
      <c r="I2036" s="4" t="n">
        <v>1</v>
      </c>
      <c r="J2036" s="4" t="n">
        <f aca="false">LEN(E2036)-LEN(SUBSTITUTE(E2036,",",""))+1</f>
        <v>1</v>
      </c>
      <c r="K2036" s="3" t="str">
        <f aca="false">IFERROR(INDEX('Teacher Lookup'!$B$2:$B$200,MATCH(A2036,'Teacher Lookup'!$A$2:$A$200,0)),"")</f>
        <v>LO Charles</v>
      </c>
    </row>
    <row r="2037" customFormat="false" ht="15" hidden="false" customHeight="false" outlineLevel="0" collapsed="false">
      <c r="A2037" s="3" t="s">
        <v>347</v>
      </c>
      <c r="B2037" s="4" t="s">
        <v>31</v>
      </c>
      <c r="C2037" s="4" t="n">
        <v>4</v>
      </c>
      <c r="D2037" s="4" t="s">
        <v>28</v>
      </c>
      <c r="E2037" s="3" t="s">
        <v>145</v>
      </c>
      <c r="F2037" s="4" t="str">
        <f aca="false">IF(I2037&gt;J2037,"Y","N")</f>
        <v>N</v>
      </c>
      <c r="G2037" s="3" t="s">
        <v>72</v>
      </c>
      <c r="H2037" s="3" t="s">
        <v>34</v>
      </c>
      <c r="I2037" s="4" t="n">
        <v>4</v>
      </c>
      <c r="J2037" s="4" t="n">
        <f aca="false">LEN(E2037)-LEN(SUBSTITUTE(E2037,",",""))+1</f>
        <v>4</v>
      </c>
      <c r="K2037" s="3" t="str">
        <f aca="false">IFERROR(INDEX('Teacher Lookup'!$B$2:$B$200,MATCH(A2037,'Teacher Lookup'!$A$2:$A$200,0)),"")</f>
        <v>LO Charles</v>
      </c>
    </row>
    <row r="2038" customFormat="false" ht="15" hidden="false" customHeight="false" outlineLevel="0" collapsed="false">
      <c r="A2038" s="3" t="s">
        <v>347</v>
      </c>
      <c r="B2038" s="4" t="s">
        <v>31</v>
      </c>
      <c r="C2038" s="4" t="n">
        <v>4</v>
      </c>
      <c r="D2038" s="4" t="s">
        <v>29</v>
      </c>
      <c r="E2038" s="3" t="s">
        <v>145</v>
      </c>
      <c r="F2038" s="4" t="str">
        <f aca="false">IF(I2038&gt;J2038,"Y","N")</f>
        <v>N</v>
      </c>
      <c r="G2038" s="3" t="s">
        <v>72</v>
      </c>
      <c r="H2038" s="3" t="s">
        <v>34</v>
      </c>
      <c r="I2038" s="4" t="n">
        <v>4</v>
      </c>
      <c r="J2038" s="4" t="n">
        <f aca="false">LEN(E2038)-LEN(SUBSTITUTE(E2038,",",""))+1</f>
        <v>4</v>
      </c>
      <c r="K2038" s="3" t="str">
        <f aca="false">IFERROR(INDEX('Teacher Lookup'!$B$2:$B$200,MATCH(A2038,'Teacher Lookup'!$A$2:$A$200,0)),"")</f>
        <v>LO Charles</v>
      </c>
    </row>
    <row r="2039" customFormat="false" ht="15" hidden="false" customHeight="false" outlineLevel="0" collapsed="false">
      <c r="A2039" s="3" t="s">
        <v>347</v>
      </c>
      <c r="B2039" s="4" t="s">
        <v>31</v>
      </c>
      <c r="C2039" s="4" t="n">
        <v>4</v>
      </c>
      <c r="D2039" s="4" t="s">
        <v>30</v>
      </c>
      <c r="E2039" s="3" t="s">
        <v>145</v>
      </c>
      <c r="F2039" s="4" t="str">
        <f aca="false">IF(I2039&gt;J2039,"Y","N")</f>
        <v>N</v>
      </c>
      <c r="G2039" s="3" t="s">
        <v>72</v>
      </c>
      <c r="H2039" s="3" t="s">
        <v>34</v>
      </c>
      <c r="I2039" s="4" t="n">
        <v>4</v>
      </c>
      <c r="J2039" s="4" t="n">
        <f aca="false">LEN(E2039)-LEN(SUBSTITUTE(E2039,",",""))+1</f>
        <v>4</v>
      </c>
      <c r="K2039" s="3" t="str">
        <f aca="false">IFERROR(INDEX('Teacher Lookup'!$B$2:$B$200,MATCH(A2039,'Teacher Lookup'!$A$2:$A$200,0)),"")</f>
        <v>LO Charles</v>
      </c>
    </row>
    <row r="2040" customFormat="false" ht="15" hidden="false" customHeight="false" outlineLevel="0" collapsed="false">
      <c r="A2040" s="3" t="s">
        <v>347</v>
      </c>
      <c r="B2040" s="4" t="s">
        <v>31</v>
      </c>
      <c r="C2040" s="4" t="n">
        <v>5</v>
      </c>
      <c r="D2040" s="4" t="s">
        <v>228</v>
      </c>
      <c r="E2040" s="3" t="s">
        <v>229</v>
      </c>
      <c r="F2040" s="4" t="str">
        <f aca="false">IF(I2040&gt;J2040,"Y","N")</f>
        <v>Y</v>
      </c>
      <c r="G2040" s="3" t="s">
        <v>36</v>
      </c>
      <c r="H2040" s="3" t="s">
        <v>37</v>
      </c>
      <c r="I2040" s="4" t="n">
        <v>14</v>
      </c>
      <c r="J2040" s="4" t="n">
        <f aca="false">LEN(E2040)-LEN(SUBSTITUTE(E2040,",",""))+1</f>
        <v>6</v>
      </c>
      <c r="K2040" s="3" t="str">
        <f aca="false">IFERROR(INDEX('Teacher Lookup'!$B$2:$B$200,MATCH(A2040,'Teacher Lookup'!$A$2:$A$200,0)),"")</f>
        <v>LO Charles</v>
      </c>
    </row>
    <row r="2041" customFormat="false" ht="15" hidden="false" customHeight="false" outlineLevel="0" collapsed="false">
      <c r="A2041" s="3" t="s">
        <v>347</v>
      </c>
      <c r="B2041" s="4" t="s">
        <v>31</v>
      </c>
      <c r="C2041" s="4" t="n">
        <v>5</v>
      </c>
      <c r="D2041" s="4" t="s">
        <v>102</v>
      </c>
      <c r="E2041" s="3" t="s">
        <v>229</v>
      </c>
      <c r="F2041" s="4" t="str">
        <f aca="false">IF(I2041&gt;J2041,"Y","N")</f>
        <v>Y</v>
      </c>
      <c r="G2041" s="3" t="s">
        <v>36</v>
      </c>
      <c r="H2041" s="3" t="s">
        <v>37</v>
      </c>
      <c r="I2041" s="4" t="n">
        <v>14</v>
      </c>
      <c r="J2041" s="4" t="n">
        <f aca="false">LEN(E2041)-LEN(SUBSTITUTE(E2041,",",""))+1</f>
        <v>6</v>
      </c>
      <c r="K2041" s="3" t="str">
        <f aca="false">IFERROR(INDEX('Teacher Lookup'!$B$2:$B$200,MATCH(A2041,'Teacher Lookup'!$A$2:$A$200,0)),"")</f>
        <v>LO Charles</v>
      </c>
    </row>
    <row r="2042" customFormat="false" ht="15" hidden="false" customHeight="false" outlineLevel="0" collapsed="false">
      <c r="A2042" s="3" t="s">
        <v>347</v>
      </c>
      <c r="B2042" s="4" t="s">
        <v>31</v>
      </c>
      <c r="C2042" s="4" t="n">
        <v>5</v>
      </c>
      <c r="D2042" s="4" t="s">
        <v>105</v>
      </c>
      <c r="E2042" s="3" t="s">
        <v>229</v>
      </c>
      <c r="F2042" s="4" t="str">
        <f aca="false">IF(I2042&gt;J2042,"Y","N")</f>
        <v>Y</v>
      </c>
      <c r="G2042" s="3" t="s">
        <v>36</v>
      </c>
      <c r="H2042" s="3" t="s">
        <v>37</v>
      </c>
      <c r="I2042" s="4" t="n">
        <v>14</v>
      </c>
      <c r="J2042" s="4" t="n">
        <f aca="false">LEN(E2042)-LEN(SUBSTITUTE(E2042,",",""))+1</f>
        <v>6</v>
      </c>
      <c r="K2042" s="3" t="str">
        <f aca="false">IFERROR(INDEX('Teacher Lookup'!$B$2:$B$200,MATCH(A2042,'Teacher Lookup'!$A$2:$A$200,0)),"")</f>
        <v>LO Charles</v>
      </c>
    </row>
    <row r="2043" customFormat="false" ht="15" hidden="false" customHeight="false" outlineLevel="0" collapsed="false">
      <c r="A2043" s="3" t="s">
        <v>347</v>
      </c>
      <c r="B2043" s="4" t="s">
        <v>31</v>
      </c>
      <c r="C2043" s="4" t="n">
        <v>5</v>
      </c>
      <c r="D2043" s="4" t="s">
        <v>106</v>
      </c>
      <c r="E2043" s="3" t="s">
        <v>229</v>
      </c>
      <c r="F2043" s="4" t="str">
        <f aca="false">IF(I2043&gt;J2043,"Y","N")</f>
        <v>Y</v>
      </c>
      <c r="G2043" s="3" t="s">
        <v>36</v>
      </c>
      <c r="H2043" s="3" t="s">
        <v>37</v>
      </c>
      <c r="I2043" s="4" t="n">
        <v>14</v>
      </c>
      <c r="J2043" s="4" t="n">
        <f aca="false">LEN(E2043)-LEN(SUBSTITUTE(E2043,",",""))+1</f>
        <v>6</v>
      </c>
      <c r="K2043" s="3" t="str">
        <f aca="false">IFERROR(INDEX('Teacher Lookup'!$B$2:$B$200,MATCH(A2043,'Teacher Lookup'!$A$2:$A$200,0)),"")</f>
        <v>LO Charles</v>
      </c>
    </row>
    <row r="2044" customFormat="false" ht="15" hidden="false" customHeight="false" outlineLevel="0" collapsed="false">
      <c r="A2044" s="3" t="s">
        <v>347</v>
      </c>
      <c r="B2044" s="4" t="s">
        <v>31</v>
      </c>
      <c r="C2044" s="4" t="n">
        <v>5</v>
      </c>
      <c r="D2044" s="4" t="s">
        <v>107</v>
      </c>
      <c r="E2044" s="3" t="s">
        <v>229</v>
      </c>
      <c r="F2044" s="4" t="str">
        <f aca="false">IF(I2044&gt;J2044,"Y","N")</f>
        <v>Y</v>
      </c>
      <c r="G2044" s="3" t="s">
        <v>36</v>
      </c>
      <c r="H2044" s="3" t="s">
        <v>37</v>
      </c>
      <c r="I2044" s="4" t="n">
        <v>14</v>
      </c>
      <c r="J2044" s="4" t="n">
        <f aca="false">LEN(E2044)-LEN(SUBSTITUTE(E2044,",",""))+1</f>
        <v>6</v>
      </c>
      <c r="K2044" s="3" t="str">
        <f aca="false">IFERROR(INDEX('Teacher Lookup'!$B$2:$B$200,MATCH(A2044,'Teacher Lookup'!$A$2:$A$200,0)),"")</f>
        <v>LO Charles</v>
      </c>
    </row>
    <row r="2045" customFormat="false" ht="15" hidden="false" customHeight="false" outlineLevel="0" collapsed="false">
      <c r="A2045" s="3" t="s">
        <v>347</v>
      </c>
      <c r="B2045" s="4" t="s">
        <v>40</v>
      </c>
      <c r="C2045" s="4" t="n">
        <v>5</v>
      </c>
      <c r="D2045" s="4" t="s">
        <v>228</v>
      </c>
      <c r="E2045" s="3" t="s">
        <v>352</v>
      </c>
      <c r="F2045" s="4" t="str">
        <f aca="false">IF(I2045&gt;J2045,"Y","N")</f>
        <v>N</v>
      </c>
      <c r="G2045" s="3" t="s">
        <v>72</v>
      </c>
      <c r="H2045" s="3" t="s">
        <v>37</v>
      </c>
      <c r="I2045" s="4" t="n">
        <v>4</v>
      </c>
      <c r="J2045" s="4" t="n">
        <f aca="false">LEN(E2045)-LEN(SUBSTITUTE(E2045,",",""))+1</f>
        <v>4</v>
      </c>
      <c r="K2045" s="3" t="str">
        <f aca="false">IFERROR(INDEX('Teacher Lookup'!$B$2:$B$200,MATCH(A2045,'Teacher Lookup'!$A$2:$A$200,0)),"")</f>
        <v>LO Charles</v>
      </c>
    </row>
    <row r="2046" customFormat="false" ht="15" hidden="false" customHeight="false" outlineLevel="0" collapsed="false">
      <c r="A2046" s="3" t="s">
        <v>347</v>
      </c>
      <c r="B2046" s="4" t="s">
        <v>40</v>
      </c>
      <c r="C2046" s="4" t="n">
        <v>5</v>
      </c>
      <c r="D2046" s="4" t="s">
        <v>102</v>
      </c>
      <c r="E2046" s="3" t="s">
        <v>352</v>
      </c>
      <c r="F2046" s="4" t="str">
        <f aca="false">IF(I2046&gt;J2046,"Y","N")</f>
        <v>N</v>
      </c>
      <c r="G2046" s="3" t="s">
        <v>72</v>
      </c>
      <c r="H2046" s="3" t="s">
        <v>37</v>
      </c>
      <c r="I2046" s="4" t="n">
        <v>4</v>
      </c>
      <c r="J2046" s="4" t="n">
        <f aca="false">LEN(E2046)-LEN(SUBSTITUTE(E2046,",",""))+1</f>
        <v>4</v>
      </c>
      <c r="K2046" s="3" t="str">
        <f aca="false">IFERROR(INDEX('Teacher Lookup'!$B$2:$B$200,MATCH(A2046,'Teacher Lookup'!$A$2:$A$200,0)),"")</f>
        <v>LO Charles</v>
      </c>
    </row>
    <row r="2047" customFormat="false" ht="15" hidden="false" customHeight="false" outlineLevel="0" collapsed="false">
      <c r="A2047" s="3" t="s">
        <v>347</v>
      </c>
      <c r="B2047" s="4" t="s">
        <v>40</v>
      </c>
      <c r="C2047" s="4" t="n">
        <v>5</v>
      </c>
      <c r="D2047" s="4" t="s">
        <v>107</v>
      </c>
      <c r="E2047" s="3" t="s">
        <v>352</v>
      </c>
      <c r="F2047" s="4" t="str">
        <f aca="false">IF(I2047&gt;J2047,"Y","N")</f>
        <v>N</v>
      </c>
      <c r="G2047" s="3" t="s">
        <v>72</v>
      </c>
      <c r="H2047" s="3" t="s">
        <v>37</v>
      </c>
      <c r="I2047" s="4" t="n">
        <v>4</v>
      </c>
      <c r="J2047" s="4" t="n">
        <f aca="false">LEN(E2047)-LEN(SUBSTITUTE(E2047,",",""))+1</f>
        <v>4</v>
      </c>
      <c r="K2047" s="3" t="str">
        <f aca="false">IFERROR(INDEX('Teacher Lookup'!$B$2:$B$200,MATCH(A2047,'Teacher Lookup'!$A$2:$A$200,0)),"")</f>
        <v>LO Charles</v>
      </c>
    </row>
    <row r="2048" customFormat="false" ht="15" hidden="false" customHeight="false" outlineLevel="0" collapsed="false">
      <c r="A2048" s="3" t="s">
        <v>347</v>
      </c>
      <c r="B2048" s="4" t="s">
        <v>40</v>
      </c>
      <c r="C2048" s="4" t="n">
        <v>6</v>
      </c>
      <c r="D2048" s="4" t="s">
        <v>28</v>
      </c>
      <c r="E2048" s="3" t="s">
        <v>149</v>
      </c>
      <c r="F2048" s="4" t="str">
        <f aca="false">IF(I2048&gt;J2048,"Y","N")</f>
        <v>N</v>
      </c>
      <c r="G2048" s="3" t="s">
        <v>72</v>
      </c>
      <c r="H2048" s="3" t="s">
        <v>42</v>
      </c>
      <c r="I2048" s="4" t="n">
        <v>4</v>
      </c>
      <c r="J2048" s="4" t="n">
        <f aca="false">LEN(E2048)-LEN(SUBSTITUTE(E2048,",",""))+1</f>
        <v>4</v>
      </c>
      <c r="K2048" s="3" t="str">
        <f aca="false">IFERROR(INDEX('Teacher Lookup'!$B$2:$B$200,MATCH(A2048,'Teacher Lookup'!$A$2:$A$200,0)),"")</f>
        <v>LO Charles</v>
      </c>
    </row>
    <row r="2049" customFormat="false" ht="15" hidden="false" customHeight="false" outlineLevel="0" collapsed="false">
      <c r="A2049" s="3" t="s">
        <v>347</v>
      </c>
      <c r="B2049" s="4" t="s">
        <v>40</v>
      </c>
      <c r="C2049" s="4" t="n">
        <v>6</v>
      </c>
      <c r="D2049" s="4" t="s">
        <v>29</v>
      </c>
      <c r="E2049" s="3" t="s">
        <v>149</v>
      </c>
      <c r="F2049" s="4" t="str">
        <f aca="false">IF(I2049&gt;J2049,"Y","N")</f>
        <v>N</v>
      </c>
      <c r="G2049" s="3" t="s">
        <v>72</v>
      </c>
      <c r="H2049" s="3" t="s">
        <v>42</v>
      </c>
      <c r="I2049" s="4" t="n">
        <v>4</v>
      </c>
      <c r="J2049" s="4" t="n">
        <f aca="false">LEN(E2049)-LEN(SUBSTITUTE(E2049,",",""))+1</f>
        <v>4</v>
      </c>
      <c r="K2049" s="3" t="str">
        <f aca="false">IFERROR(INDEX('Teacher Lookup'!$B$2:$B$200,MATCH(A2049,'Teacher Lookup'!$A$2:$A$200,0)),"")</f>
        <v>LO Charles</v>
      </c>
    </row>
    <row r="2050" customFormat="false" ht="15" hidden="false" customHeight="false" outlineLevel="0" collapsed="false">
      <c r="A2050" s="3" t="s">
        <v>347</v>
      </c>
      <c r="B2050" s="4" t="s">
        <v>40</v>
      </c>
      <c r="C2050" s="4" t="n">
        <v>6</v>
      </c>
      <c r="D2050" s="4" t="s">
        <v>30</v>
      </c>
      <c r="E2050" s="3" t="s">
        <v>149</v>
      </c>
      <c r="F2050" s="4" t="str">
        <f aca="false">IF(I2050&gt;J2050,"Y","N")</f>
        <v>N</v>
      </c>
      <c r="G2050" s="3" t="s">
        <v>72</v>
      </c>
      <c r="H2050" s="3" t="s">
        <v>42</v>
      </c>
      <c r="I2050" s="4" t="n">
        <v>4</v>
      </c>
      <c r="J2050" s="4" t="n">
        <f aca="false">LEN(E2050)-LEN(SUBSTITUTE(E2050,",",""))+1</f>
        <v>4</v>
      </c>
      <c r="K2050" s="3" t="str">
        <f aca="false">IFERROR(INDEX('Teacher Lookup'!$B$2:$B$200,MATCH(A2050,'Teacher Lookup'!$A$2:$A$200,0)),"")</f>
        <v>LO Charles</v>
      </c>
    </row>
    <row r="2051" customFormat="false" ht="15" hidden="false" customHeight="false" outlineLevel="0" collapsed="false">
      <c r="A2051" s="3" t="s">
        <v>347</v>
      </c>
      <c r="B2051" s="4" t="s">
        <v>40</v>
      </c>
      <c r="C2051" s="4" t="n">
        <v>7</v>
      </c>
      <c r="D2051" s="4" t="s">
        <v>28</v>
      </c>
      <c r="E2051" s="3" t="s">
        <v>149</v>
      </c>
      <c r="F2051" s="4" t="str">
        <f aca="false">IF(I2051&gt;J2051,"Y","N")</f>
        <v>N</v>
      </c>
      <c r="G2051" s="3" t="s">
        <v>72</v>
      </c>
      <c r="H2051" s="3" t="s">
        <v>39</v>
      </c>
      <c r="I2051" s="4" t="n">
        <v>4</v>
      </c>
      <c r="J2051" s="4" t="n">
        <f aca="false">LEN(E2051)-LEN(SUBSTITUTE(E2051,",",""))+1</f>
        <v>4</v>
      </c>
      <c r="K2051" s="3" t="str">
        <f aca="false">IFERROR(INDEX('Teacher Lookup'!$B$2:$B$200,MATCH(A2051,'Teacher Lookup'!$A$2:$A$200,0)),"")</f>
        <v>LO Charles</v>
      </c>
    </row>
    <row r="2052" customFormat="false" ht="15" hidden="false" customHeight="false" outlineLevel="0" collapsed="false">
      <c r="A2052" s="3" t="s">
        <v>347</v>
      </c>
      <c r="B2052" s="4" t="s">
        <v>40</v>
      </c>
      <c r="C2052" s="4" t="n">
        <v>7</v>
      </c>
      <c r="D2052" s="4" t="s">
        <v>29</v>
      </c>
      <c r="E2052" s="3" t="s">
        <v>149</v>
      </c>
      <c r="F2052" s="4" t="str">
        <f aca="false">IF(I2052&gt;J2052,"Y","N")</f>
        <v>N</v>
      </c>
      <c r="G2052" s="3" t="s">
        <v>72</v>
      </c>
      <c r="H2052" s="3" t="s">
        <v>39</v>
      </c>
      <c r="I2052" s="4" t="n">
        <v>4</v>
      </c>
      <c r="J2052" s="4" t="n">
        <f aca="false">LEN(E2052)-LEN(SUBSTITUTE(E2052,",",""))+1</f>
        <v>4</v>
      </c>
      <c r="K2052" s="3" t="str">
        <f aca="false">IFERROR(INDEX('Teacher Lookup'!$B$2:$B$200,MATCH(A2052,'Teacher Lookup'!$A$2:$A$200,0)),"")</f>
        <v>LO Charles</v>
      </c>
    </row>
    <row r="2053" customFormat="false" ht="15" hidden="false" customHeight="false" outlineLevel="0" collapsed="false">
      <c r="A2053" s="3" t="s">
        <v>347</v>
      </c>
      <c r="B2053" s="4" t="s">
        <v>40</v>
      </c>
      <c r="C2053" s="4" t="n">
        <v>7</v>
      </c>
      <c r="D2053" s="4" t="s">
        <v>30</v>
      </c>
      <c r="E2053" s="3" t="s">
        <v>149</v>
      </c>
      <c r="F2053" s="4" t="str">
        <f aca="false">IF(I2053&gt;J2053,"Y","N")</f>
        <v>N</v>
      </c>
      <c r="G2053" s="3" t="s">
        <v>72</v>
      </c>
      <c r="H2053" s="3" t="s">
        <v>39</v>
      </c>
      <c r="I2053" s="4" t="n">
        <v>4</v>
      </c>
      <c r="J2053" s="4" t="n">
        <f aca="false">LEN(E2053)-LEN(SUBSTITUTE(E2053,",",""))+1</f>
        <v>4</v>
      </c>
      <c r="K2053" s="3" t="str">
        <f aca="false">IFERROR(INDEX('Teacher Lookup'!$B$2:$B$200,MATCH(A2053,'Teacher Lookup'!$A$2:$A$200,0)),"")</f>
        <v>LO Charles</v>
      </c>
    </row>
    <row r="2054" customFormat="false" ht="15" hidden="false" customHeight="false" outlineLevel="0" collapsed="false">
      <c r="A2054" s="3" t="s">
        <v>347</v>
      </c>
      <c r="B2054" s="4" t="s">
        <v>44</v>
      </c>
      <c r="C2054" s="4" t="n">
        <v>2</v>
      </c>
      <c r="D2054" s="4" t="s">
        <v>17</v>
      </c>
      <c r="E2054" s="3" t="s">
        <v>292</v>
      </c>
      <c r="F2054" s="4" t="str">
        <f aca="false">IF(I2054&gt;J2054,"Y","N")</f>
        <v>N</v>
      </c>
      <c r="G2054" s="3" t="s">
        <v>350</v>
      </c>
      <c r="H2054" s="3" t="s">
        <v>21</v>
      </c>
      <c r="I2054" s="4" t="n">
        <v>1</v>
      </c>
      <c r="J2054" s="4" t="n">
        <f aca="false">LEN(E2054)-LEN(SUBSTITUTE(E2054,",",""))+1</f>
        <v>1</v>
      </c>
      <c r="K2054" s="3" t="str">
        <f aca="false">IFERROR(INDEX('Teacher Lookup'!$B$2:$B$200,MATCH(A2054,'Teacher Lookup'!$A$2:$A$200,0)),"")</f>
        <v>LO Charles</v>
      </c>
    </row>
    <row r="2055" customFormat="false" ht="15" hidden="false" customHeight="false" outlineLevel="0" collapsed="false">
      <c r="A2055" s="3" t="s">
        <v>347</v>
      </c>
      <c r="B2055" s="4" t="s">
        <v>44</v>
      </c>
      <c r="C2055" s="4" t="n">
        <v>4</v>
      </c>
      <c r="D2055" s="4" t="s">
        <v>23</v>
      </c>
      <c r="E2055" s="3" t="s">
        <v>353</v>
      </c>
      <c r="F2055" s="4" t="str">
        <f aca="false">IF(I2055&gt;J2055,"Y","N")</f>
        <v>N</v>
      </c>
      <c r="G2055" s="3" t="s">
        <v>350</v>
      </c>
      <c r="H2055" s="3" t="s">
        <v>34</v>
      </c>
      <c r="I2055" s="4" t="n">
        <v>1</v>
      </c>
      <c r="J2055" s="4" t="n">
        <f aca="false">LEN(E2055)-LEN(SUBSTITUTE(E2055,",",""))+1</f>
        <v>1</v>
      </c>
      <c r="K2055" s="3" t="str">
        <f aca="false">IFERROR(INDEX('Teacher Lookup'!$B$2:$B$200,MATCH(A2055,'Teacher Lookup'!$A$2:$A$200,0)),"")</f>
        <v>LO Charles</v>
      </c>
    </row>
    <row r="2056" customFormat="false" ht="15" hidden="false" customHeight="false" outlineLevel="0" collapsed="false">
      <c r="A2056" s="3" t="s">
        <v>347</v>
      </c>
      <c r="B2056" s="4" t="s">
        <v>44</v>
      </c>
      <c r="C2056" s="4" t="n">
        <v>5</v>
      </c>
      <c r="D2056" s="4" t="s">
        <v>228</v>
      </c>
      <c r="E2056" s="3" t="s">
        <v>229</v>
      </c>
      <c r="F2056" s="4" t="str">
        <f aca="false">IF(I2056&gt;J2056,"Y","N")</f>
        <v>Y</v>
      </c>
      <c r="G2056" s="3" t="s">
        <v>36</v>
      </c>
      <c r="H2056" s="3" t="s">
        <v>37</v>
      </c>
      <c r="I2056" s="4" t="n">
        <v>14</v>
      </c>
      <c r="J2056" s="4" t="n">
        <f aca="false">LEN(E2056)-LEN(SUBSTITUTE(E2056,",",""))+1</f>
        <v>6</v>
      </c>
      <c r="K2056" s="3" t="str">
        <f aca="false">IFERROR(INDEX('Teacher Lookup'!$B$2:$B$200,MATCH(A2056,'Teacher Lookup'!$A$2:$A$200,0)),"")</f>
        <v>LO Charles</v>
      </c>
    </row>
    <row r="2057" customFormat="false" ht="15" hidden="false" customHeight="false" outlineLevel="0" collapsed="false">
      <c r="A2057" s="3" t="s">
        <v>347</v>
      </c>
      <c r="B2057" s="4" t="s">
        <v>44</v>
      </c>
      <c r="C2057" s="4" t="n">
        <v>5</v>
      </c>
      <c r="D2057" s="4" t="s">
        <v>102</v>
      </c>
      <c r="E2057" s="3" t="s">
        <v>229</v>
      </c>
      <c r="F2057" s="4" t="str">
        <f aca="false">IF(I2057&gt;J2057,"Y","N")</f>
        <v>Y</v>
      </c>
      <c r="G2057" s="3" t="s">
        <v>36</v>
      </c>
      <c r="H2057" s="3" t="s">
        <v>37</v>
      </c>
      <c r="I2057" s="4" t="n">
        <v>14</v>
      </c>
      <c r="J2057" s="4" t="n">
        <f aca="false">LEN(E2057)-LEN(SUBSTITUTE(E2057,",",""))+1</f>
        <v>6</v>
      </c>
      <c r="K2057" s="3" t="str">
        <f aca="false">IFERROR(INDEX('Teacher Lookup'!$B$2:$B$200,MATCH(A2057,'Teacher Lookup'!$A$2:$A$200,0)),"")</f>
        <v>LO Charles</v>
      </c>
    </row>
    <row r="2058" customFormat="false" ht="15" hidden="false" customHeight="false" outlineLevel="0" collapsed="false">
      <c r="A2058" s="3" t="s">
        <v>347</v>
      </c>
      <c r="B2058" s="4" t="s">
        <v>44</v>
      </c>
      <c r="C2058" s="4" t="n">
        <v>5</v>
      </c>
      <c r="D2058" s="4" t="s">
        <v>105</v>
      </c>
      <c r="E2058" s="3" t="s">
        <v>229</v>
      </c>
      <c r="F2058" s="4" t="str">
        <f aca="false">IF(I2058&gt;J2058,"Y","N")</f>
        <v>Y</v>
      </c>
      <c r="G2058" s="3" t="s">
        <v>36</v>
      </c>
      <c r="H2058" s="3" t="s">
        <v>37</v>
      </c>
      <c r="I2058" s="4" t="n">
        <v>14</v>
      </c>
      <c r="J2058" s="4" t="n">
        <f aca="false">LEN(E2058)-LEN(SUBSTITUTE(E2058,",",""))+1</f>
        <v>6</v>
      </c>
      <c r="K2058" s="3" t="str">
        <f aca="false">IFERROR(INDEX('Teacher Lookup'!$B$2:$B$200,MATCH(A2058,'Teacher Lookup'!$A$2:$A$200,0)),"")</f>
        <v>LO Charles</v>
      </c>
    </row>
    <row r="2059" customFormat="false" ht="15" hidden="false" customHeight="false" outlineLevel="0" collapsed="false">
      <c r="A2059" s="3" t="s">
        <v>347</v>
      </c>
      <c r="B2059" s="4" t="s">
        <v>44</v>
      </c>
      <c r="C2059" s="4" t="n">
        <v>5</v>
      </c>
      <c r="D2059" s="4" t="s">
        <v>106</v>
      </c>
      <c r="E2059" s="3" t="s">
        <v>229</v>
      </c>
      <c r="F2059" s="4" t="str">
        <f aca="false">IF(I2059&gt;J2059,"Y","N")</f>
        <v>Y</v>
      </c>
      <c r="G2059" s="3" t="s">
        <v>36</v>
      </c>
      <c r="H2059" s="3" t="s">
        <v>37</v>
      </c>
      <c r="I2059" s="4" t="n">
        <v>14</v>
      </c>
      <c r="J2059" s="4" t="n">
        <f aca="false">LEN(E2059)-LEN(SUBSTITUTE(E2059,",",""))+1</f>
        <v>6</v>
      </c>
      <c r="K2059" s="3" t="str">
        <f aca="false">IFERROR(INDEX('Teacher Lookup'!$B$2:$B$200,MATCH(A2059,'Teacher Lookup'!$A$2:$A$200,0)),"")</f>
        <v>LO Charles</v>
      </c>
    </row>
    <row r="2060" customFormat="false" ht="15" hidden="false" customHeight="false" outlineLevel="0" collapsed="false">
      <c r="A2060" s="3" t="s">
        <v>347</v>
      </c>
      <c r="B2060" s="4" t="s">
        <v>44</v>
      </c>
      <c r="C2060" s="4" t="n">
        <v>5</v>
      </c>
      <c r="D2060" s="4" t="s">
        <v>107</v>
      </c>
      <c r="E2060" s="3" t="s">
        <v>229</v>
      </c>
      <c r="F2060" s="4" t="str">
        <f aca="false">IF(I2060&gt;J2060,"Y","N")</f>
        <v>Y</v>
      </c>
      <c r="G2060" s="3" t="s">
        <v>36</v>
      </c>
      <c r="H2060" s="3" t="s">
        <v>37</v>
      </c>
      <c r="I2060" s="4" t="n">
        <v>14</v>
      </c>
      <c r="J2060" s="4" t="n">
        <f aca="false">LEN(E2060)-LEN(SUBSTITUTE(E2060,",",""))+1</f>
        <v>6</v>
      </c>
      <c r="K2060" s="3" t="str">
        <f aca="false">IFERROR(INDEX('Teacher Lookup'!$B$2:$B$200,MATCH(A2060,'Teacher Lookup'!$A$2:$A$200,0)),"")</f>
        <v>LO Charles</v>
      </c>
    </row>
    <row r="2061" customFormat="false" ht="15" hidden="false" customHeight="false" outlineLevel="0" collapsed="false">
      <c r="A2061" s="3" t="s">
        <v>347</v>
      </c>
      <c r="B2061" s="4" t="s">
        <v>44</v>
      </c>
      <c r="C2061" s="4" t="n">
        <v>6</v>
      </c>
      <c r="D2061" s="4" t="s">
        <v>22</v>
      </c>
      <c r="E2061" s="3" t="s">
        <v>341</v>
      </c>
      <c r="F2061" s="4" t="str">
        <f aca="false">IF(I2061&gt;J2061,"Y","N")</f>
        <v>N</v>
      </c>
      <c r="G2061" s="3" t="s">
        <v>350</v>
      </c>
      <c r="H2061" s="3" t="s">
        <v>42</v>
      </c>
      <c r="I2061" s="4" t="n">
        <v>1</v>
      </c>
      <c r="J2061" s="4" t="n">
        <f aca="false">LEN(E2061)-LEN(SUBSTITUTE(E2061,",",""))+1</f>
        <v>1</v>
      </c>
      <c r="K2061" s="3" t="str">
        <f aca="false">IFERROR(INDEX('Teacher Lookup'!$B$2:$B$200,MATCH(A2061,'Teacher Lookup'!$A$2:$A$200,0)),"")</f>
        <v>LO Charles</v>
      </c>
    </row>
    <row r="2062" customFormat="false" ht="15" hidden="false" customHeight="false" outlineLevel="0" collapsed="false">
      <c r="A2062" s="3" t="s">
        <v>347</v>
      </c>
      <c r="B2062" s="4" t="s">
        <v>44</v>
      </c>
      <c r="C2062" s="4" t="n">
        <v>7</v>
      </c>
      <c r="D2062" s="4" t="s">
        <v>28</v>
      </c>
      <c r="E2062" s="3" t="s">
        <v>143</v>
      </c>
      <c r="F2062" s="4" t="str">
        <f aca="false">IF(I2062&gt;J2062,"Y","N")</f>
        <v>N</v>
      </c>
      <c r="G2062" s="3" t="s">
        <v>72</v>
      </c>
      <c r="H2062" s="3" t="s">
        <v>39</v>
      </c>
      <c r="I2062" s="4" t="n">
        <v>4</v>
      </c>
      <c r="J2062" s="4" t="n">
        <f aca="false">LEN(E2062)-LEN(SUBSTITUTE(E2062,",",""))+1</f>
        <v>4</v>
      </c>
      <c r="K2062" s="3" t="str">
        <f aca="false">IFERROR(INDEX('Teacher Lookup'!$B$2:$B$200,MATCH(A2062,'Teacher Lookup'!$A$2:$A$200,0)),"")</f>
        <v>LO Charles</v>
      </c>
    </row>
    <row r="2063" customFormat="false" ht="15" hidden="false" customHeight="false" outlineLevel="0" collapsed="false">
      <c r="A2063" s="3" t="s">
        <v>347</v>
      </c>
      <c r="B2063" s="4" t="s">
        <v>44</v>
      </c>
      <c r="C2063" s="4" t="n">
        <v>7</v>
      </c>
      <c r="D2063" s="4" t="s">
        <v>29</v>
      </c>
      <c r="E2063" s="3" t="s">
        <v>143</v>
      </c>
      <c r="F2063" s="4" t="str">
        <f aca="false">IF(I2063&gt;J2063,"Y","N")</f>
        <v>N</v>
      </c>
      <c r="G2063" s="3" t="s">
        <v>72</v>
      </c>
      <c r="H2063" s="3" t="s">
        <v>39</v>
      </c>
      <c r="I2063" s="4" t="n">
        <v>4</v>
      </c>
      <c r="J2063" s="4" t="n">
        <f aca="false">LEN(E2063)-LEN(SUBSTITUTE(E2063,",",""))+1</f>
        <v>4</v>
      </c>
      <c r="K2063" s="3" t="str">
        <f aca="false">IFERROR(INDEX('Teacher Lookup'!$B$2:$B$200,MATCH(A2063,'Teacher Lookup'!$A$2:$A$200,0)),"")</f>
        <v>LO Charles</v>
      </c>
    </row>
    <row r="2064" customFormat="false" ht="15" hidden="false" customHeight="false" outlineLevel="0" collapsed="false">
      <c r="A2064" s="3" t="s">
        <v>347</v>
      </c>
      <c r="B2064" s="4" t="s">
        <v>44</v>
      </c>
      <c r="C2064" s="4" t="n">
        <v>7</v>
      </c>
      <c r="D2064" s="4" t="s">
        <v>30</v>
      </c>
      <c r="E2064" s="3" t="s">
        <v>143</v>
      </c>
      <c r="F2064" s="4" t="str">
        <f aca="false">IF(I2064&gt;J2064,"Y","N")</f>
        <v>N</v>
      </c>
      <c r="G2064" s="3" t="s">
        <v>72</v>
      </c>
      <c r="H2064" s="3" t="s">
        <v>39</v>
      </c>
      <c r="I2064" s="4" t="n">
        <v>4</v>
      </c>
      <c r="J2064" s="4" t="n">
        <f aca="false">LEN(E2064)-LEN(SUBSTITUTE(E2064,",",""))+1</f>
        <v>4</v>
      </c>
      <c r="K2064" s="3" t="str">
        <f aca="false">IFERROR(INDEX('Teacher Lookup'!$B$2:$B$200,MATCH(A2064,'Teacher Lookup'!$A$2:$A$200,0)),"")</f>
        <v>LO Charles</v>
      </c>
    </row>
    <row r="2065" customFormat="false" ht="15" hidden="false" customHeight="false" outlineLevel="0" collapsed="false">
      <c r="A2065" s="3" t="s">
        <v>347</v>
      </c>
      <c r="B2065" s="4" t="s">
        <v>47</v>
      </c>
      <c r="C2065" s="4" t="n">
        <v>6</v>
      </c>
      <c r="D2065" s="4" t="s">
        <v>28</v>
      </c>
      <c r="E2065" s="3" t="s">
        <v>153</v>
      </c>
      <c r="F2065" s="4" t="str">
        <f aca="false">IF(I2065&gt;J2065,"Y","N")</f>
        <v>N</v>
      </c>
      <c r="G2065" s="3" t="s">
        <v>72</v>
      </c>
      <c r="H2065" s="3" t="s">
        <v>42</v>
      </c>
      <c r="I2065" s="4" t="n">
        <v>4</v>
      </c>
      <c r="J2065" s="4" t="n">
        <f aca="false">LEN(E2065)-LEN(SUBSTITUTE(E2065,",",""))+1</f>
        <v>4</v>
      </c>
      <c r="K2065" s="3" t="str">
        <f aca="false">IFERROR(INDEX('Teacher Lookup'!$B$2:$B$200,MATCH(A2065,'Teacher Lookup'!$A$2:$A$200,0)),"")</f>
        <v>LO Charles</v>
      </c>
    </row>
    <row r="2066" customFormat="false" ht="15" hidden="false" customHeight="false" outlineLevel="0" collapsed="false">
      <c r="A2066" s="3" t="s">
        <v>347</v>
      </c>
      <c r="B2066" s="4" t="s">
        <v>47</v>
      </c>
      <c r="C2066" s="4" t="n">
        <v>6</v>
      </c>
      <c r="D2066" s="4" t="s">
        <v>29</v>
      </c>
      <c r="E2066" s="3" t="s">
        <v>153</v>
      </c>
      <c r="F2066" s="4" t="str">
        <f aca="false">IF(I2066&gt;J2066,"Y","N")</f>
        <v>N</v>
      </c>
      <c r="G2066" s="3" t="s">
        <v>72</v>
      </c>
      <c r="H2066" s="3" t="s">
        <v>42</v>
      </c>
      <c r="I2066" s="4" t="n">
        <v>4</v>
      </c>
      <c r="J2066" s="4" t="n">
        <f aca="false">LEN(E2066)-LEN(SUBSTITUTE(E2066,",",""))+1</f>
        <v>4</v>
      </c>
      <c r="K2066" s="3" t="str">
        <f aca="false">IFERROR(INDEX('Teacher Lookup'!$B$2:$B$200,MATCH(A2066,'Teacher Lookup'!$A$2:$A$200,0)),"")</f>
        <v>LO Charles</v>
      </c>
    </row>
    <row r="2067" customFormat="false" ht="15" hidden="false" customHeight="false" outlineLevel="0" collapsed="false">
      <c r="A2067" s="3" t="s">
        <v>347</v>
      </c>
      <c r="B2067" s="4" t="s">
        <v>47</v>
      </c>
      <c r="C2067" s="4" t="n">
        <v>6</v>
      </c>
      <c r="D2067" s="4" t="s">
        <v>30</v>
      </c>
      <c r="E2067" s="3" t="s">
        <v>153</v>
      </c>
      <c r="F2067" s="4" t="str">
        <f aca="false">IF(I2067&gt;J2067,"Y","N")</f>
        <v>N</v>
      </c>
      <c r="G2067" s="3" t="s">
        <v>72</v>
      </c>
      <c r="H2067" s="3" t="s">
        <v>42</v>
      </c>
      <c r="I2067" s="4" t="n">
        <v>4</v>
      </c>
      <c r="J2067" s="4" t="n">
        <f aca="false">LEN(E2067)-LEN(SUBSTITUTE(E2067,",",""))+1</f>
        <v>4</v>
      </c>
      <c r="K2067" s="3" t="str">
        <f aca="false">IFERROR(INDEX('Teacher Lookup'!$B$2:$B$200,MATCH(A2067,'Teacher Lookup'!$A$2:$A$200,0)),"")</f>
        <v>LO Charles</v>
      </c>
    </row>
    <row r="2068" customFormat="false" ht="15" hidden="false" customHeight="false" outlineLevel="0" collapsed="false">
      <c r="A2068" s="3" t="s">
        <v>347</v>
      </c>
      <c r="B2068" s="4" t="s">
        <v>50</v>
      </c>
      <c r="C2068" s="4" t="n">
        <v>1</v>
      </c>
      <c r="D2068" s="4" t="s">
        <v>23</v>
      </c>
      <c r="E2068" s="3" t="s">
        <v>353</v>
      </c>
      <c r="F2068" s="4" t="str">
        <f aca="false">IF(I2068&gt;J2068,"Y","N")</f>
        <v>N</v>
      </c>
      <c r="G2068" s="3" t="s">
        <v>350</v>
      </c>
      <c r="H2068" s="3" t="s">
        <v>16</v>
      </c>
      <c r="I2068" s="4" t="n">
        <v>1</v>
      </c>
      <c r="J2068" s="4" t="n">
        <f aca="false">LEN(E2068)-LEN(SUBSTITUTE(E2068,",",""))+1</f>
        <v>1</v>
      </c>
      <c r="K2068" s="3" t="str">
        <f aca="false">IFERROR(INDEX('Teacher Lookup'!$B$2:$B$200,MATCH(A2068,'Teacher Lookup'!$A$2:$A$200,0)),"")</f>
        <v>LO Charles</v>
      </c>
    </row>
    <row r="2069" customFormat="false" ht="15" hidden="false" customHeight="false" outlineLevel="0" collapsed="false">
      <c r="A2069" s="3" t="s">
        <v>347</v>
      </c>
      <c r="B2069" s="4" t="s">
        <v>50</v>
      </c>
      <c r="C2069" s="4" t="n">
        <v>2</v>
      </c>
      <c r="D2069" s="4" t="s">
        <v>13</v>
      </c>
      <c r="E2069" s="3" t="s">
        <v>351</v>
      </c>
      <c r="F2069" s="4" t="str">
        <f aca="false">IF(I2069&gt;J2069,"Y","N")</f>
        <v>N</v>
      </c>
      <c r="G2069" s="3" t="s">
        <v>350</v>
      </c>
      <c r="H2069" s="3" t="s">
        <v>21</v>
      </c>
      <c r="I2069" s="4" t="n">
        <v>1</v>
      </c>
      <c r="J2069" s="4" t="n">
        <f aca="false">LEN(E2069)-LEN(SUBSTITUTE(E2069,",",""))+1</f>
        <v>1</v>
      </c>
      <c r="K2069" s="3" t="str">
        <f aca="false">IFERROR(INDEX('Teacher Lookup'!$B$2:$B$200,MATCH(A2069,'Teacher Lookup'!$A$2:$A$200,0)),"")</f>
        <v>LO Charles</v>
      </c>
    </row>
    <row r="2070" customFormat="false" ht="15" hidden="false" customHeight="false" outlineLevel="0" collapsed="false">
      <c r="A2070" s="3" t="s">
        <v>347</v>
      </c>
      <c r="B2070" s="4" t="s">
        <v>50</v>
      </c>
      <c r="C2070" s="4" t="n">
        <v>6</v>
      </c>
      <c r="D2070" s="4" t="s">
        <v>28</v>
      </c>
      <c r="E2070" s="3" t="s">
        <v>156</v>
      </c>
      <c r="F2070" s="4" t="str">
        <f aca="false">IF(I2070&gt;J2070,"Y","N")</f>
        <v>N</v>
      </c>
      <c r="G2070" s="3" t="s">
        <v>72</v>
      </c>
      <c r="H2070" s="3" t="s">
        <v>42</v>
      </c>
      <c r="I2070" s="4" t="n">
        <v>4</v>
      </c>
      <c r="J2070" s="4" t="n">
        <f aca="false">LEN(E2070)-LEN(SUBSTITUTE(E2070,",",""))+1</f>
        <v>4</v>
      </c>
      <c r="K2070" s="3" t="str">
        <f aca="false">IFERROR(INDEX('Teacher Lookup'!$B$2:$B$200,MATCH(A2070,'Teacher Lookup'!$A$2:$A$200,0)),"")</f>
        <v>LO Charles</v>
      </c>
    </row>
    <row r="2071" customFormat="false" ht="15" hidden="false" customHeight="false" outlineLevel="0" collapsed="false">
      <c r="A2071" s="3" t="s">
        <v>347</v>
      </c>
      <c r="B2071" s="4" t="s">
        <v>50</v>
      </c>
      <c r="C2071" s="4" t="n">
        <v>6</v>
      </c>
      <c r="D2071" s="4" t="s">
        <v>29</v>
      </c>
      <c r="E2071" s="3" t="s">
        <v>156</v>
      </c>
      <c r="F2071" s="4" t="str">
        <f aca="false">IF(I2071&gt;J2071,"Y","N")</f>
        <v>N</v>
      </c>
      <c r="G2071" s="3" t="s">
        <v>72</v>
      </c>
      <c r="H2071" s="3" t="s">
        <v>42</v>
      </c>
      <c r="I2071" s="4" t="n">
        <v>4</v>
      </c>
      <c r="J2071" s="4" t="n">
        <f aca="false">LEN(E2071)-LEN(SUBSTITUTE(E2071,",",""))+1</f>
        <v>4</v>
      </c>
      <c r="K2071" s="3" t="str">
        <f aca="false">IFERROR(INDEX('Teacher Lookup'!$B$2:$B$200,MATCH(A2071,'Teacher Lookup'!$A$2:$A$200,0)),"")</f>
        <v>LO Charles</v>
      </c>
    </row>
    <row r="2072" customFormat="false" ht="15" hidden="false" customHeight="false" outlineLevel="0" collapsed="false">
      <c r="A2072" s="3" t="s">
        <v>347</v>
      </c>
      <c r="B2072" s="4" t="s">
        <v>50</v>
      </c>
      <c r="C2072" s="4" t="n">
        <v>6</v>
      </c>
      <c r="D2072" s="4" t="s">
        <v>30</v>
      </c>
      <c r="E2072" s="3" t="s">
        <v>156</v>
      </c>
      <c r="F2072" s="4" t="str">
        <f aca="false">IF(I2072&gt;J2072,"Y","N")</f>
        <v>N</v>
      </c>
      <c r="G2072" s="3" t="s">
        <v>72</v>
      </c>
      <c r="H2072" s="3" t="s">
        <v>42</v>
      </c>
      <c r="I2072" s="4" t="n">
        <v>4</v>
      </c>
      <c r="J2072" s="4" t="n">
        <f aca="false">LEN(E2072)-LEN(SUBSTITUTE(E2072,",",""))+1</f>
        <v>4</v>
      </c>
      <c r="K2072" s="3" t="str">
        <f aca="false">IFERROR(INDEX('Teacher Lookup'!$B$2:$B$200,MATCH(A2072,'Teacher Lookup'!$A$2:$A$200,0)),"")</f>
        <v>LO Charles</v>
      </c>
    </row>
    <row r="2073" customFormat="false" ht="15" hidden="false" customHeight="false" outlineLevel="0" collapsed="false">
      <c r="A2073" s="3" t="s">
        <v>347</v>
      </c>
      <c r="B2073" s="4" t="s">
        <v>50</v>
      </c>
      <c r="C2073" s="4" t="n">
        <v>7</v>
      </c>
      <c r="D2073" s="4" t="s">
        <v>228</v>
      </c>
      <c r="E2073" s="3" t="s">
        <v>354</v>
      </c>
      <c r="F2073" s="4" t="str">
        <f aca="false">IF(I2073&gt;J2073,"Y","N")</f>
        <v>N</v>
      </c>
      <c r="G2073" s="3" t="s">
        <v>72</v>
      </c>
      <c r="H2073" s="3" t="s">
        <v>39</v>
      </c>
      <c r="I2073" s="4" t="n">
        <v>4</v>
      </c>
      <c r="J2073" s="4" t="n">
        <f aca="false">LEN(E2073)-LEN(SUBSTITUTE(E2073,",",""))+1</f>
        <v>4</v>
      </c>
      <c r="K2073" s="3" t="str">
        <f aca="false">IFERROR(INDEX('Teacher Lookup'!$B$2:$B$200,MATCH(A2073,'Teacher Lookup'!$A$2:$A$200,0)),"")</f>
        <v>LO Charles</v>
      </c>
    </row>
    <row r="2074" customFormat="false" ht="15" hidden="false" customHeight="false" outlineLevel="0" collapsed="false">
      <c r="A2074" s="3" t="s">
        <v>347</v>
      </c>
      <c r="B2074" s="4" t="s">
        <v>50</v>
      </c>
      <c r="C2074" s="4" t="n">
        <v>7</v>
      </c>
      <c r="D2074" s="4" t="s">
        <v>102</v>
      </c>
      <c r="E2074" s="3" t="s">
        <v>354</v>
      </c>
      <c r="F2074" s="4" t="str">
        <f aca="false">IF(I2074&gt;J2074,"Y","N")</f>
        <v>N</v>
      </c>
      <c r="G2074" s="3" t="s">
        <v>72</v>
      </c>
      <c r="H2074" s="3" t="s">
        <v>39</v>
      </c>
      <c r="I2074" s="4" t="n">
        <v>4</v>
      </c>
      <c r="J2074" s="4" t="n">
        <f aca="false">LEN(E2074)-LEN(SUBSTITUTE(E2074,",",""))+1</f>
        <v>4</v>
      </c>
      <c r="K2074" s="3" t="str">
        <f aca="false">IFERROR(INDEX('Teacher Lookup'!$B$2:$B$200,MATCH(A2074,'Teacher Lookup'!$A$2:$A$200,0)),"")</f>
        <v>LO Charles</v>
      </c>
    </row>
    <row r="2075" customFormat="false" ht="15" hidden="false" customHeight="false" outlineLevel="0" collapsed="false">
      <c r="A2075" s="3" t="s">
        <v>347</v>
      </c>
      <c r="B2075" s="4" t="s">
        <v>50</v>
      </c>
      <c r="C2075" s="4" t="n">
        <v>7</v>
      </c>
      <c r="D2075" s="4" t="s">
        <v>107</v>
      </c>
      <c r="E2075" s="3" t="s">
        <v>354</v>
      </c>
      <c r="F2075" s="4" t="str">
        <f aca="false">IF(I2075&gt;J2075,"Y","N")</f>
        <v>N</v>
      </c>
      <c r="G2075" s="3" t="s">
        <v>72</v>
      </c>
      <c r="H2075" s="3" t="s">
        <v>39</v>
      </c>
      <c r="I2075" s="4" t="n">
        <v>4</v>
      </c>
      <c r="J2075" s="4" t="n">
        <f aca="false">LEN(E2075)-LEN(SUBSTITUTE(E2075,",",""))+1</f>
        <v>4</v>
      </c>
      <c r="K2075" s="3" t="str">
        <f aca="false">IFERROR(INDEX('Teacher Lookup'!$B$2:$B$200,MATCH(A2075,'Teacher Lookup'!$A$2:$A$200,0)),"")</f>
        <v>LO Charles</v>
      </c>
    </row>
    <row r="2076" customFormat="false" ht="15" hidden="false" customHeight="false" outlineLevel="0" collapsed="false">
      <c r="A2076" s="3" t="s">
        <v>347</v>
      </c>
      <c r="B2076" s="4" t="s">
        <v>60</v>
      </c>
      <c r="C2076" s="4" t="n">
        <v>5</v>
      </c>
      <c r="D2076" s="4" t="s">
        <v>228</v>
      </c>
      <c r="E2076" s="3" t="s">
        <v>229</v>
      </c>
      <c r="F2076" s="4" t="str">
        <f aca="false">IF(I2076&gt;J2076,"Y","N")</f>
        <v>Y</v>
      </c>
      <c r="G2076" s="3" t="s">
        <v>36</v>
      </c>
      <c r="H2076" s="3" t="s">
        <v>37</v>
      </c>
      <c r="I2076" s="4" t="n">
        <v>14</v>
      </c>
      <c r="J2076" s="4" t="n">
        <f aca="false">LEN(E2076)-LEN(SUBSTITUTE(E2076,",",""))+1</f>
        <v>6</v>
      </c>
      <c r="K2076" s="3" t="str">
        <f aca="false">IFERROR(INDEX('Teacher Lookup'!$B$2:$B$200,MATCH(A2076,'Teacher Lookup'!$A$2:$A$200,0)),"")</f>
        <v>LO Charles</v>
      </c>
    </row>
    <row r="2077" customFormat="false" ht="15" hidden="false" customHeight="false" outlineLevel="0" collapsed="false">
      <c r="A2077" s="3" t="s">
        <v>347</v>
      </c>
      <c r="B2077" s="4" t="s">
        <v>60</v>
      </c>
      <c r="C2077" s="4" t="n">
        <v>5</v>
      </c>
      <c r="D2077" s="4" t="s">
        <v>102</v>
      </c>
      <c r="E2077" s="3" t="s">
        <v>229</v>
      </c>
      <c r="F2077" s="4" t="str">
        <f aca="false">IF(I2077&gt;J2077,"Y","N")</f>
        <v>Y</v>
      </c>
      <c r="G2077" s="3" t="s">
        <v>36</v>
      </c>
      <c r="H2077" s="3" t="s">
        <v>37</v>
      </c>
      <c r="I2077" s="4" t="n">
        <v>14</v>
      </c>
      <c r="J2077" s="4" t="n">
        <f aca="false">LEN(E2077)-LEN(SUBSTITUTE(E2077,",",""))+1</f>
        <v>6</v>
      </c>
      <c r="K2077" s="3" t="str">
        <f aca="false">IFERROR(INDEX('Teacher Lookup'!$B$2:$B$200,MATCH(A2077,'Teacher Lookup'!$A$2:$A$200,0)),"")</f>
        <v>LO Charles</v>
      </c>
    </row>
    <row r="2078" customFormat="false" ht="15" hidden="false" customHeight="false" outlineLevel="0" collapsed="false">
      <c r="A2078" s="3" t="s">
        <v>347</v>
      </c>
      <c r="B2078" s="4" t="s">
        <v>60</v>
      </c>
      <c r="C2078" s="4" t="n">
        <v>5</v>
      </c>
      <c r="D2078" s="4" t="s">
        <v>105</v>
      </c>
      <c r="E2078" s="3" t="s">
        <v>229</v>
      </c>
      <c r="F2078" s="4" t="str">
        <f aca="false">IF(I2078&gt;J2078,"Y","N")</f>
        <v>Y</v>
      </c>
      <c r="G2078" s="3" t="s">
        <v>36</v>
      </c>
      <c r="H2078" s="3" t="s">
        <v>37</v>
      </c>
      <c r="I2078" s="4" t="n">
        <v>14</v>
      </c>
      <c r="J2078" s="4" t="n">
        <f aca="false">LEN(E2078)-LEN(SUBSTITUTE(E2078,",",""))+1</f>
        <v>6</v>
      </c>
      <c r="K2078" s="3" t="str">
        <f aca="false">IFERROR(INDEX('Teacher Lookup'!$B$2:$B$200,MATCH(A2078,'Teacher Lookup'!$A$2:$A$200,0)),"")</f>
        <v>LO Charles</v>
      </c>
    </row>
    <row r="2079" customFormat="false" ht="15" hidden="false" customHeight="false" outlineLevel="0" collapsed="false">
      <c r="A2079" s="3" t="s">
        <v>347</v>
      </c>
      <c r="B2079" s="4" t="s">
        <v>60</v>
      </c>
      <c r="C2079" s="4" t="n">
        <v>5</v>
      </c>
      <c r="D2079" s="4" t="s">
        <v>106</v>
      </c>
      <c r="E2079" s="3" t="s">
        <v>229</v>
      </c>
      <c r="F2079" s="4" t="str">
        <f aca="false">IF(I2079&gt;J2079,"Y","N")</f>
        <v>Y</v>
      </c>
      <c r="G2079" s="3" t="s">
        <v>36</v>
      </c>
      <c r="H2079" s="3" t="s">
        <v>37</v>
      </c>
      <c r="I2079" s="4" t="n">
        <v>14</v>
      </c>
      <c r="J2079" s="4" t="n">
        <f aca="false">LEN(E2079)-LEN(SUBSTITUTE(E2079,",",""))+1</f>
        <v>6</v>
      </c>
      <c r="K2079" s="3" t="str">
        <f aca="false">IFERROR(INDEX('Teacher Lookup'!$B$2:$B$200,MATCH(A2079,'Teacher Lookup'!$A$2:$A$200,0)),"")</f>
        <v>LO Charles</v>
      </c>
    </row>
    <row r="2080" customFormat="false" ht="15" hidden="false" customHeight="false" outlineLevel="0" collapsed="false">
      <c r="A2080" s="3" t="s">
        <v>347</v>
      </c>
      <c r="B2080" s="4" t="s">
        <v>60</v>
      </c>
      <c r="C2080" s="4" t="n">
        <v>5</v>
      </c>
      <c r="D2080" s="4" t="s">
        <v>107</v>
      </c>
      <c r="E2080" s="3" t="s">
        <v>229</v>
      </c>
      <c r="F2080" s="4" t="str">
        <f aca="false">IF(I2080&gt;J2080,"Y","N")</f>
        <v>Y</v>
      </c>
      <c r="G2080" s="3" t="s">
        <v>36</v>
      </c>
      <c r="H2080" s="3" t="s">
        <v>37</v>
      </c>
      <c r="I2080" s="4" t="n">
        <v>14</v>
      </c>
      <c r="J2080" s="4" t="n">
        <f aca="false">LEN(E2080)-LEN(SUBSTITUTE(E2080,",",""))+1</f>
        <v>6</v>
      </c>
      <c r="K2080" s="3" t="str">
        <f aca="false">IFERROR(INDEX('Teacher Lookup'!$B$2:$B$200,MATCH(A2080,'Teacher Lookup'!$A$2:$A$200,0)),"")</f>
        <v>LO Charles</v>
      </c>
    </row>
    <row r="2081" customFormat="false" ht="15" hidden="false" customHeight="false" outlineLevel="0" collapsed="false">
      <c r="A2081" s="3" t="s">
        <v>347</v>
      </c>
      <c r="B2081" s="4" t="s">
        <v>60</v>
      </c>
      <c r="C2081" s="4" t="n">
        <v>7</v>
      </c>
      <c r="D2081" s="4" t="s">
        <v>28</v>
      </c>
      <c r="E2081" s="3" t="s">
        <v>153</v>
      </c>
      <c r="F2081" s="4" t="str">
        <f aca="false">IF(I2081&gt;J2081,"Y","N")</f>
        <v>N</v>
      </c>
      <c r="G2081" s="3" t="s">
        <v>72</v>
      </c>
      <c r="H2081" s="3" t="s">
        <v>39</v>
      </c>
      <c r="I2081" s="4" t="n">
        <v>4</v>
      </c>
      <c r="J2081" s="4" t="n">
        <f aca="false">LEN(E2081)-LEN(SUBSTITUTE(E2081,",",""))+1</f>
        <v>4</v>
      </c>
      <c r="K2081" s="3" t="str">
        <f aca="false">IFERROR(INDEX('Teacher Lookup'!$B$2:$B$200,MATCH(A2081,'Teacher Lookup'!$A$2:$A$200,0)),"")</f>
        <v>LO Charles</v>
      </c>
    </row>
    <row r="2082" customFormat="false" ht="15" hidden="false" customHeight="false" outlineLevel="0" collapsed="false">
      <c r="A2082" s="3" t="s">
        <v>347</v>
      </c>
      <c r="B2082" s="4" t="s">
        <v>60</v>
      </c>
      <c r="C2082" s="4" t="n">
        <v>7</v>
      </c>
      <c r="D2082" s="4" t="s">
        <v>29</v>
      </c>
      <c r="E2082" s="3" t="s">
        <v>153</v>
      </c>
      <c r="F2082" s="4" t="str">
        <f aca="false">IF(I2082&gt;J2082,"Y","N")</f>
        <v>N</v>
      </c>
      <c r="G2082" s="3" t="s">
        <v>72</v>
      </c>
      <c r="H2082" s="3" t="s">
        <v>39</v>
      </c>
      <c r="I2082" s="4" t="n">
        <v>4</v>
      </c>
      <c r="J2082" s="4" t="n">
        <f aca="false">LEN(E2082)-LEN(SUBSTITUTE(E2082,",",""))+1</f>
        <v>4</v>
      </c>
      <c r="K2082" s="3" t="str">
        <f aca="false">IFERROR(INDEX('Teacher Lookup'!$B$2:$B$200,MATCH(A2082,'Teacher Lookup'!$A$2:$A$200,0)),"")</f>
        <v>LO Charles</v>
      </c>
    </row>
    <row r="2083" customFormat="false" ht="15" hidden="false" customHeight="false" outlineLevel="0" collapsed="false">
      <c r="A2083" s="3" t="s">
        <v>347</v>
      </c>
      <c r="B2083" s="4" t="s">
        <v>60</v>
      </c>
      <c r="C2083" s="4" t="n">
        <v>7</v>
      </c>
      <c r="D2083" s="4" t="s">
        <v>30</v>
      </c>
      <c r="E2083" s="3" t="s">
        <v>153</v>
      </c>
      <c r="F2083" s="4" t="str">
        <f aca="false">IF(I2083&gt;J2083,"Y","N")</f>
        <v>N</v>
      </c>
      <c r="G2083" s="3" t="s">
        <v>72</v>
      </c>
      <c r="H2083" s="3" t="s">
        <v>39</v>
      </c>
      <c r="I2083" s="4" t="n">
        <v>4</v>
      </c>
      <c r="J2083" s="4" t="n">
        <f aca="false">LEN(E2083)-LEN(SUBSTITUTE(E2083,",",""))+1</f>
        <v>4</v>
      </c>
      <c r="K2083" s="3" t="str">
        <f aca="false">IFERROR(INDEX('Teacher Lookup'!$B$2:$B$200,MATCH(A2083,'Teacher Lookup'!$A$2:$A$200,0)),"")</f>
        <v>LO Charles</v>
      </c>
    </row>
    <row r="2084" customFormat="false" ht="15" hidden="false" customHeight="false" outlineLevel="0" collapsed="false">
      <c r="A2084" s="3" t="s">
        <v>347</v>
      </c>
      <c r="B2084" s="4" t="s">
        <v>63</v>
      </c>
      <c r="C2084" s="4" t="n">
        <v>3</v>
      </c>
      <c r="D2084" s="4" t="s">
        <v>17</v>
      </c>
      <c r="E2084" s="3" t="s">
        <v>292</v>
      </c>
      <c r="F2084" s="4" t="str">
        <f aca="false">IF(I2084&gt;J2084,"Y","N")</f>
        <v>N</v>
      </c>
      <c r="G2084" s="3" t="s">
        <v>350</v>
      </c>
      <c r="H2084" s="3" t="s">
        <v>26</v>
      </c>
      <c r="I2084" s="4" t="n">
        <v>1</v>
      </c>
      <c r="J2084" s="4" t="n">
        <f aca="false">LEN(E2084)-LEN(SUBSTITUTE(E2084,",",""))+1</f>
        <v>1</v>
      </c>
      <c r="K2084" s="3" t="str">
        <f aca="false">IFERROR(INDEX('Teacher Lookup'!$B$2:$B$200,MATCH(A2084,'Teacher Lookup'!$A$2:$A$200,0)),"")</f>
        <v>LO Charles</v>
      </c>
    </row>
    <row r="2085" customFormat="false" ht="15" hidden="false" customHeight="false" outlineLevel="0" collapsed="false">
      <c r="A2085" s="3" t="s">
        <v>347</v>
      </c>
      <c r="B2085" s="4" t="s">
        <v>63</v>
      </c>
      <c r="C2085" s="4" t="n">
        <v>4</v>
      </c>
      <c r="D2085" s="4" t="s">
        <v>228</v>
      </c>
      <c r="E2085" s="3" t="s">
        <v>355</v>
      </c>
      <c r="F2085" s="4" t="str">
        <f aca="false">IF(I2085&gt;J2085,"Y","N")</f>
        <v>N</v>
      </c>
      <c r="G2085" s="3" t="s">
        <v>72</v>
      </c>
      <c r="H2085" s="3" t="s">
        <v>34</v>
      </c>
      <c r="I2085" s="4" t="n">
        <v>4</v>
      </c>
      <c r="J2085" s="4" t="n">
        <f aca="false">LEN(E2085)-LEN(SUBSTITUTE(E2085,",",""))+1</f>
        <v>4</v>
      </c>
      <c r="K2085" s="3" t="str">
        <f aca="false">IFERROR(INDEX('Teacher Lookup'!$B$2:$B$200,MATCH(A2085,'Teacher Lookup'!$A$2:$A$200,0)),"")</f>
        <v>LO Charles</v>
      </c>
    </row>
    <row r="2086" customFormat="false" ht="15" hidden="false" customHeight="false" outlineLevel="0" collapsed="false">
      <c r="A2086" s="3" t="s">
        <v>347</v>
      </c>
      <c r="B2086" s="4" t="s">
        <v>63</v>
      </c>
      <c r="C2086" s="4" t="n">
        <v>4</v>
      </c>
      <c r="D2086" s="4" t="s">
        <v>102</v>
      </c>
      <c r="E2086" s="3" t="s">
        <v>355</v>
      </c>
      <c r="F2086" s="4" t="str">
        <f aca="false">IF(I2086&gt;J2086,"Y","N")</f>
        <v>N</v>
      </c>
      <c r="G2086" s="3" t="s">
        <v>72</v>
      </c>
      <c r="H2086" s="3" t="s">
        <v>34</v>
      </c>
      <c r="I2086" s="4" t="n">
        <v>4</v>
      </c>
      <c r="J2086" s="4" t="n">
        <f aca="false">LEN(E2086)-LEN(SUBSTITUTE(E2086,",",""))+1</f>
        <v>4</v>
      </c>
      <c r="K2086" s="3" t="str">
        <f aca="false">IFERROR(INDEX('Teacher Lookup'!$B$2:$B$200,MATCH(A2086,'Teacher Lookup'!$A$2:$A$200,0)),"")</f>
        <v>LO Charles</v>
      </c>
    </row>
    <row r="2087" customFormat="false" ht="15" hidden="false" customHeight="false" outlineLevel="0" collapsed="false">
      <c r="A2087" s="3" t="s">
        <v>347</v>
      </c>
      <c r="B2087" s="4" t="s">
        <v>63</v>
      </c>
      <c r="C2087" s="4" t="n">
        <v>4</v>
      </c>
      <c r="D2087" s="4" t="s">
        <v>107</v>
      </c>
      <c r="E2087" s="3" t="s">
        <v>355</v>
      </c>
      <c r="F2087" s="4" t="str">
        <f aca="false">IF(I2087&gt;J2087,"Y","N")</f>
        <v>N</v>
      </c>
      <c r="G2087" s="3" t="s">
        <v>72</v>
      </c>
      <c r="H2087" s="3" t="s">
        <v>34</v>
      </c>
      <c r="I2087" s="4" t="n">
        <v>4</v>
      </c>
      <c r="J2087" s="4" t="n">
        <f aca="false">LEN(E2087)-LEN(SUBSTITUTE(E2087,",",""))+1</f>
        <v>4</v>
      </c>
      <c r="K2087" s="3" t="str">
        <f aca="false">IFERROR(INDEX('Teacher Lookup'!$B$2:$B$200,MATCH(A2087,'Teacher Lookup'!$A$2:$A$200,0)),"")</f>
        <v>LO Charles</v>
      </c>
    </row>
    <row r="2088" customFormat="false" ht="15" hidden="false" customHeight="false" outlineLevel="0" collapsed="false">
      <c r="A2088" s="3" t="s">
        <v>347</v>
      </c>
      <c r="B2088" s="4" t="s">
        <v>63</v>
      </c>
      <c r="C2088" s="4" t="n">
        <v>6</v>
      </c>
      <c r="D2088" s="4" t="s">
        <v>28</v>
      </c>
      <c r="E2088" s="3" t="s">
        <v>158</v>
      </c>
      <c r="F2088" s="4" t="str">
        <f aca="false">IF(I2088&gt;J2088,"Y","N")</f>
        <v>N</v>
      </c>
      <c r="G2088" s="3" t="s">
        <v>72</v>
      </c>
      <c r="H2088" s="3" t="s">
        <v>42</v>
      </c>
      <c r="I2088" s="4" t="n">
        <v>4</v>
      </c>
      <c r="J2088" s="4" t="n">
        <f aca="false">LEN(E2088)-LEN(SUBSTITUTE(E2088,",",""))+1</f>
        <v>4</v>
      </c>
      <c r="K2088" s="3" t="str">
        <f aca="false">IFERROR(INDEX('Teacher Lookup'!$B$2:$B$200,MATCH(A2088,'Teacher Lookup'!$A$2:$A$200,0)),"")</f>
        <v>LO Charles</v>
      </c>
    </row>
    <row r="2089" customFormat="false" ht="15" hidden="false" customHeight="false" outlineLevel="0" collapsed="false">
      <c r="A2089" s="3" t="s">
        <v>347</v>
      </c>
      <c r="B2089" s="4" t="s">
        <v>63</v>
      </c>
      <c r="C2089" s="4" t="n">
        <v>6</v>
      </c>
      <c r="D2089" s="4" t="s">
        <v>29</v>
      </c>
      <c r="E2089" s="3" t="s">
        <v>158</v>
      </c>
      <c r="F2089" s="4" t="str">
        <f aca="false">IF(I2089&gt;J2089,"Y","N")</f>
        <v>N</v>
      </c>
      <c r="G2089" s="3" t="s">
        <v>72</v>
      </c>
      <c r="H2089" s="3" t="s">
        <v>42</v>
      </c>
      <c r="I2089" s="4" t="n">
        <v>4</v>
      </c>
      <c r="J2089" s="4" t="n">
        <f aca="false">LEN(E2089)-LEN(SUBSTITUTE(E2089,",",""))+1</f>
        <v>4</v>
      </c>
      <c r="K2089" s="3" t="str">
        <f aca="false">IFERROR(INDEX('Teacher Lookup'!$B$2:$B$200,MATCH(A2089,'Teacher Lookup'!$A$2:$A$200,0)),"")</f>
        <v>LO Charles</v>
      </c>
    </row>
    <row r="2090" customFormat="false" ht="15" hidden="false" customHeight="false" outlineLevel="0" collapsed="false">
      <c r="A2090" s="3" t="s">
        <v>347</v>
      </c>
      <c r="B2090" s="4" t="s">
        <v>63</v>
      </c>
      <c r="C2090" s="4" t="n">
        <v>6</v>
      </c>
      <c r="D2090" s="4" t="s">
        <v>30</v>
      </c>
      <c r="E2090" s="3" t="s">
        <v>158</v>
      </c>
      <c r="F2090" s="4" t="str">
        <f aca="false">IF(I2090&gt;J2090,"Y","N")</f>
        <v>N</v>
      </c>
      <c r="G2090" s="3" t="s">
        <v>72</v>
      </c>
      <c r="H2090" s="3" t="s">
        <v>42</v>
      </c>
      <c r="I2090" s="4" t="n">
        <v>4</v>
      </c>
      <c r="J2090" s="4" t="n">
        <f aca="false">LEN(E2090)-LEN(SUBSTITUTE(E2090,",",""))+1</f>
        <v>4</v>
      </c>
      <c r="K2090" s="3" t="str">
        <f aca="false">IFERROR(INDEX('Teacher Lookup'!$B$2:$B$200,MATCH(A2090,'Teacher Lookup'!$A$2:$A$200,0)),"")</f>
        <v>LO Charles</v>
      </c>
    </row>
    <row r="2091" customFormat="false" ht="15" hidden="false" customHeight="false" outlineLevel="0" collapsed="false">
      <c r="A2091" s="3" t="s">
        <v>347</v>
      </c>
      <c r="B2091" s="4" t="s">
        <v>63</v>
      </c>
      <c r="C2091" s="4" t="n">
        <v>7</v>
      </c>
      <c r="D2091" s="4" t="s">
        <v>18</v>
      </c>
      <c r="E2091" s="3" t="s">
        <v>349</v>
      </c>
      <c r="F2091" s="4" t="str">
        <f aca="false">IF(I2091&gt;J2091,"Y","N")</f>
        <v>N</v>
      </c>
      <c r="G2091" s="3" t="s">
        <v>350</v>
      </c>
      <c r="H2091" s="3" t="s">
        <v>39</v>
      </c>
      <c r="I2091" s="4" t="n">
        <v>1</v>
      </c>
      <c r="J2091" s="4" t="n">
        <f aca="false">LEN(E2091)-LEN(SUBSTITUTE(E2091,",",""))+1</f>
        <v>1</v>
      </c>
      <c r="K2091" s="3" t="str">
        <f aca="false">IFERROR(INDEX('Teacher Lookup'!$B$2:$B$200,MATCH(A2091,'Teacher Lookup'!$A$2:$A$200,0)),"")</f>
        <v>LO Charles</v>
      </c>
    </row>
    <row r="2092" customFormat="false" ht="15" hidden="false" customHeight="false" outlineLevel="0" collapsed="false">
      <c r="A2092" s="3" t="s">
        <v>347</v>
      </c>
      <c r="B2092" s="4" t="s">
        <v>65</v>
      </c>
      <c r="C2092" s="4" t="n">
        <v>2</v>
      </c>
      <c r="D2092" s="4" t="s">
        <v>13</v>
      </c>
      <c r="E2092" s="3" t="s">
        <v>351</v>
      </c>
      <c r="F2092" s="4" t="str">
        <f aca="false">IF(I2092&gt;J2092,"Y","N")</f>
        <v>N</v>
      </c>
      <c r="G2092" s="3" t="s">
        <v>350</v>
      </c>
      <c r="H2092" s="3" t="s">
        <v>21</v>
      </c>
      <c r="I2092" s="4" t="n">
        <v>1</v>
      </c>
      <c r="J2092" s="4" t="n">
        <f aca="false">LEN(E2092)-LEN(SUBSTITUTE(E2092,",",""))+1</f>
        <v>1</v>
      </c>
      <c r="K2092" s="3" t="str">
        <f aca="false">IFERROR(INDEX('Teacher Lookup'!$B$2:$B$200,MATCH(A2092,'Teacher Lookup'!$A$2:$A$200,0)),"")</f>
        <v>LO Charles</v>
      </c>
    </row>
    <row r="2093" customFormat="false" ht="15" hidden="false" customHeight="false" outlineLevel="0" collapsed="false">
      <c r="A2093" s="3" t="s">
        <v>347</v>
      </c>
      <c r="B2093" s="4" t="s">
        <v>65</v>
      </c>
      <c r="C2093" s="4" t="n">
        <v>3</v>
      </c>
      <c r="D2093" s="4" t="s">
        <v>22</v>
      </c>
      <c r="E2093" s="3" t="s">
        <v>341</v>
      </c>
      <c r="F2093" s="4" t="str">
        <f aca="false">IF(I2093&gt;J2093,"Y","N")</f>
        <v>N</v>
      </c>
      <c r="G2093" s="3" t="s">
        <v>350</v>
      </c>
      <c r="H2093" s="3" t="s">
        <v>26</v>
      </c>
      <c r="I2093" s="4" t="n">
        <v>1</v>
      </c>
      <c r="J2093" s="4" t="n">
        <f aca="false">LEN(E2093)-LEN(SUBSTITUTE(E2093,",",""))+1</f>
        <v>1</v>
      </c>
      <c r="K2093" s="3" t="str">
        <f aca="false">IFERROR(INDEX('Teacher Lookup'!$B$2:$B$200,MATCH(A2093,'Teacher Lookup'!$A$2:$A$200,0)),"")</f>
        <v>LO Charles</v>
      </c>
    </row>
    <row r="2094" customFormat="false" ht="15" hidden="false" customHeight="false" outlineLevel="0" collapsed="false">
      <c r="A2094" s="3" t="s">
        <v>347</v>
      </c>
      <c r="B2094" s="4" t="s">
        <v>65</v>
      </c>
      <c r="C2094" s="4" t="n">
        <v>5</v>
      </c>
      <c r="D2094" s="4" t="s">
        <v>228</v>
      </c>
      <c r="E2094" s="3" t="s">
        <v>229</v>
      </c>
      <c r="F2094" s="4" t="str">
        <f aca="false">IF(I2094&gt;J2094,"Y","N")</f>
        <v>Y</v>
      </c>
      <c r="G2094" s="3" t="s">
        <v>36</v>
      </c>
      <c r="H2094" s="3" t="s">
        <v>37</v>
      </c>
      <c r="I2094" s="4" t="n">
        <v>14</v>
      </c>
      <c r="J2094" s="4" t="n">
        <f aca="false">LEN(E2094)-LEN(SUBSTITUTE(E2094,",",""))+1</f>
        <v>6</v>
      </c>
      <c r="K2094" s="3" t="str">
        <f aca="false">IFERROR(INDEX('Teacher Lookup'!$B$2:$B$200,MATCH(A2094,'Teacher Lookup'!$A$2:$A$200,0)),"")</f>
        <v>LO Charles</v>
      </c>
    </row>
    <row r="2095" customFormat="false" ht="15" hidden="false" customHeight="false" outlineLevel="0" collapsed="false">
      <c r="A2095" s="3" t="s">
        <v>347</v>
      </c>
      <c r="B2095" s="4" t="s">
        <v>65</v>
      </c>
      <c r="C2095" s="4" t="n">
        <v>5</v>
      </c>
      <c r="D2095" s="4" t="s">
        <v>102</v>
      </c>
      <c r="E2095" s="3" t="s">
        <v>229</v>
      </c>
      <c r="F2095" s="4" t="str">
        <f aca="false">IF(I2095&gt;J2095,"Y","N")</f>
        <v>Y</v>
      </c>
      <c r="G2095" s="3" t="s">
        <v>36</v>
      </c>
      <c r="H2095" s="3" t="s">
        <v>37</v>
      </c>
      <c r="I2095" s="4" t="n">
        <v>14</v>
      </c>
      <c r="J2095" s="4" t="n">
        <f aca="false">LEN(E2095)-LEN(SUBSTITUTE(E2095,",",""))+1</f>
        <v>6</v>
      </c>
      <c r="K2095" s="3" t="str">
        <f aca="false">IFERROR(INDEX('Teacher Lookup'!$B$2:$B$200,MATCH(A2095,'Teacher Lookup'!$A$2:$A$200,0)),"")</f>
        <v>LO Charles</v>
      </c>
    </row>
    <row r="2096" customFormat="false" ht="15" hidden="false" customHeight="false" outlineLevel="0" collapsed="false">
      <c r="A2096" s="3" t="s">
        <v>347</v>
      </c>
      <c r="B2096" s="4" t="s">
        <v>65</v>
      </c>
      <c r="C2096" s="4" t="n">
        <v>5</v>
      </c>
      <c r="D2096" s="4" t="s">
        <v>105</v>
      </c>
      <c r="E2096" s="3" t="s">
        <v>229</v>
      </c>
      <c r="F2096" s="4" t="str">
        <f aca="false">IF(I2096&gt;J2096,"Y","N")</f>
        <v>Y</v>
      </c>
      <c r="G2096" s="3" t="s">
        <v>36</v>
      </c>
      <c r="H2096" s="3" t="s">
        <v>37</v>
      </c>
      <c r="I2096" s="4" t="n">
        <v>14</v>
      </c>
      <c r="J2096" s="4" t="n">
        <f aca="false">LEN(E2096)-LEN(SUBSTITUTE(E2096,",",""))+1</f>
        <v>6</v>
      </c>
      <c r="K2096" s="3" t="str">
        <f aca="false">IFERROR(INDEX('Teacher Lookup'!$B$2:$B$200,MATCH(A2096,'Teacher Lookup'!$A$2:$A$200,0)),"")</f>
        <v>LO Charles</v>
      </c>
    </row>
    <row r="2097" customFormat="false" ht="15" hidden="false" customHeight="false" outlineLevel="0" collapsed="false">
      <c r="A2097" s="3" t="s">
        <v>347</v>
      </c>
      <c r="B2097" s="4" t="s">
        <v>65</v>
      </c>
      <c r="C2097" s="4" t="n">
        <v>5</v>
      </c>
      <c r="D2097" s="4" t="s">
        <v>106</v>
      </c>
      <c r="E2097" s="3" t="s">
        <v>229</v>
      </c>
      <c r="F2097" s="4" t="str">
        <f aca="false">IF(I2097&gt;J2097,"Y","N")</f>
        <v>Y</v>
      </c>
      <c r="G2097" s="3" t="s">
        <v>36</v>
      </c>
      <c r="H2097" s="3" t="s">
        <v>37</v>
      </c>
      <c r="I2097" s="4" t="n">
        <v>14</v>
      </c>
      <c r="J2097" s="4" t="n">
        <f aca="false">LEN(E2097)-LEN(SUBSTITUTE(E2097,",",""))+1</f>
        <v>6</v>
      </c>
      <c r="K2097" s="3" t="str">
        <f aca="false">IFERROR(INDEX('Teacher Lookup'!$B$2:$B$200,MATCH(A2097,'Teacher Lookup'!$A$2:$A$200,0)),"")</f>
        <v>LO Charles</v>
      </c>
    </row>
    <row r="2098" customFormat="false" ht="15" hidden="false" customHeight="false" outlineLevel="0" collapsed="false">
      <c r="A2098" s="3" t="s">
        <v>347</v>
      </c>
      <c r="B2098" s="4" t="s">
        <v>65</v>
      </c>
      <c r="C2098" s="4" t="n">
        <v>5</v>
      </c>
      <c r="D2098" s="4" t="s">
        <v>107</v>
      </c>
      <c r="E2098" s="3" t="s">
        <v>229</v>
      </c>
      <c r="F2098" s="4" t="str">
        <f aca="false">IF(I2098&gt;J2098,"Y","N")</f>
        <v>Y</v>
      </c>
      <c r="G2098" s="3" t="s">
        <v>36</v>
      </c>
      <c r="H2098" s="3" t="s">
        <v>37</v>
      </c>
      <c r="I2098" s="4" t="n">
        <v>14</v>
      </c>
      <c r="J2098" s="4" t="n">
        <f aca="false">LEN(E2098)-LEN(SUBSTITUTE(E2098,",",""))+1</f>
        <v>6</v>
      </c>
      <c r="K2098" s="3" t="str">
        <f aca="false">IFERROR(INDEX('Teacher Lookup'!$B$2:$B$200,MATCH(A2098,'Teacher Lookup'!$A$2:$A$200,0)),"")</f>
        <v>LO Charles</v>
      </c>
    </row>
    <row r="2099" customFormat="false" ht="15" hidden="false" customHeight="false" outlineLevel="0" collapsed="false">
      <c r="A2099" s="3" t="s">
        <v>347</v>
      </c>
      <c r="B2099" s="4" t="s">
        <v>65</v>
      </c>
      <c r="C2099" s="4" t="n">
        <v>6</v>
      </c>
      <c r="D2099" s="4" t="s">
        <v>23</v>
      </c>
      <c r="E2099" s="3" t="s">
        <v>353</v>
      </c>
      <c r="F2099" s="4" t="str">
        <f aca="false">IF(I2099&gt;J2099,"Y","N")</f>
        <v>N</v>
      </c>
      <c r="G2099" s="3" t="s">
        <v>350</v>
      </c>
      <c r="H2099" s="3" t="s">
        <v>42</v>
      </c>
      <c r="I2099" s="4" t="n">
        <v>1</v>
      </c>
      <c r="J2099" s="4" t="n">
        <f aca="false">LEN(E2099)-LEN(SUBSTITUTE(E2099,",",""))+1</f>
        <v>1</v>
      </c>
      <c r="K2099" s="3" t="str">
        <f aca="false">IFERROR(INDEX('Teacher Lookup'!$B$2:$B$200,MATCH(A2099,'Teacher Lookup'!$A$2:$A$200,0)),"")</f>
        <v>LO Charles</v>
      </c>
    </row>
    <row r="2100" customFormat="false" ht="15" hidden="false" customHeight="false" outlineLevel="0" collapsed="false">
      <c r="A2100" s="3" t="s">
        <v>347</v>
      </c>
      <c r="B2100" s="4" t="s">
        <v>65</v>
      </c>
      <c r="C2100" s="4" t="n">
        <v>7</v>
      </c>
      <c r="D2100" s="4" t="s">
        <v>28</v>
      </c>
      <c r="E2100" s="3" t="s">
        <v>159</v>
      </c>
      <c r="F2100" s="4" t="str">
        <f aca="false">IF(I2100&gt;J2100,"Y","N")</f>
        <v>N</v>
      </c>
      <c r="G2100" s="3" t="s">
        <v>72</v>
      </c>
      <c r="H2100" s="3" t="s">
        <v>39</v>
      </c>
      <c r="I2100" s="4" t="n">
        <v>4</v>
      </c>
      <c r="J2100" s="4" t="n">
        <f aca="false">LEN(E2100)-LEN(SUBSTITUTE(E2100,",",""))+1</f>
        <v>4</v>
      </c>
      <c r="K2100" s="3" t="str">
        <f aca="false">IFERROR(INDEX('Teacher Lookup'!$B$2:$B$200,MATCH(A2100,'Teacher Lookup'!$A$2:$A$200,0)),"")</f>
        <v>LO Charles</v>
      </c>
    </row>
    <row r="2101" customFormat="false" ht="15" hidden="false" customHeight="false" outlineLevel="0" collapsed="false">
      <c r="A2101" s="3" t="s">
        <v>347</v>
      </c>
      <c r="B2101" s="4" t="s">
        <v>65</v>
      </c>
      <c r="C2101" s="4" t="n">
        <v>7</v>
      </c>
      <c r="D2101" s="4" t="s">
        <v>29</v>
      </c>
      <c r="E2101" s="3" t="s">
        <v>159</v>
      </c>
      <c r="F2101" s="4" t="str">
        <f aca="false">IF(I2101&gt;J2101,"Y","N")</f>
        <v>N</v>
      </c>
      <c r="G2101" s="3" t="s">
        <v>72</v>
      </c>
      <c r="H2101" s="3" t="s">
        <v>39</v>
      </c>
      <c r="I2101" s="4" t="n">
        <v>4</v>
      </c>
      <c r="J2101" s="4" t="n">
        <f aca="false">LEN(E2101)-LEN(SUBSTITUTE(E2101,",",""))+1</f>
        <v>4</v>
      </c>
      <c r="K2101" s="3" t="str">
        <f aca="false">IFERROR(INDEX('Teacher Lookup'!$B$2:$B$200,MATCH(A2101,'Teacher Lookup'!$A$2:$A$200,0)),"")</f>
        <v>LO Charles</v>
      </c>
    </row>
    <row r="2102" customFormat="false" ht="15" hidden="false" customHeight="false" outlineLevel="0" collapsed="false">
      <c r="A2102" s="3" t="s">
        <v>347</v>
      </c>
      <c r="B2102" s="4" t="s">
        <v>65</v>
      </c>
      <c r="C2102" s="4" t="n">
        <v>7</v>
      </c>
      <c r="D2102" s="4" t="s">
        <v>30</v>
      </c>
      <c r="E2102" s="3" t="s">
        <v>159</v>
      </c>
      <c r="F2102" s="4" t="str">
        <f aca="false">IF(I2102&gt;J2102,"Y","N")</f>
        <v>N</v>
      </c>
      <c r="G2102" s="3" t="s">
        <v>72</v>
      </c>
      <c r="H2102" s="3" t="s">
        <v>39</v>
      </c>
      <c r="I2102" s="4" t="n">
        <v>4</v>
      </c>
      <c r="J2102" s="4" t="n">
        <f aca="false">LEN(E2102)-LEN(SUBSTITUTE(E2102,",",""))+1</f>
        <v>4</v>
      </c>
      <c r="K2102" s="3" t="str">
        <f aca="false">IFERROR(INDEX('Teacher Lookup'!$B$2:$B$200,MATCH(A2102,'Teacher Lookup'!$A$2:$A$200,0)),"")</f>
        <v>LO Charles</v>
      </c>
    </row>
    <row r="2103" customFormat="false" ht="15" hidden="false" customHeight="false" outlineLevel="0" collapsed="false">
      <c r="A2103" s="3" t="s">
        <v>347</v>
      </c>
      <c r="B2103" s="4" t="s">
        <v>66</v>
      </c>
      <c r="C2103" s="4" t="n">
        <v>2</v>
      </c>
      <c r="D2103" s="4" t="s">
        <v>17</v>
      </c>
      <c r="E2103" s="3" t="s">
        <v>292</v>
      </c>
      <c r="F2103" s="4" t="str">
        <f aca="false">IF(I2103&gt;J2103,"Y","N")</f>
        <v>N</v>
      </c>
      <c r="G2103" s="3" t="s">
        <v>350</v>
      </c>
      <c r="H2103" s="3" t="s">
        <v>21</v>
      </c>
      <c r="I2103" s="4" t="n">
        <v>1</v>
      </c>
      <c r="J2103" s="4" t="n">
        <f aca="false">LEN(E2103)-LEN(SUBSTITUTE(E2103,",",""))+1</f>
        <v>1</v>
      </c>
      <c r="K2103" s="3" t="str">
        <f aca="false">IFERROR(INDEX('Teacher Lookup'!$B$2:$B$200,MATCH(A2103,'Teacher Lookup'!$A$2:$A$200,0)),"")</f>
        <v>LO Charles</v>
      </c>
    </row>
    <row r="2104" customFormat="false" ht="15" hidden="false" customHeight="false" outlineLevel="0" collapsed="false">
      <c r="A2104" s="3" t="s">
        <v>347</v>
      </c>
      <c r="B2104" s="4" t="s">
        <v>66</v>
      </c>
      <c r="C2104" s="4" t="n">
        <v>4</v>
      </c>
      <c r="D2104" s="4" t="s">
        <v>18</v>
      </c>
      <c r="E2104" s="3" t="s">
        <v>349</v>
      </c>
      <c r="F2104" s="4" t="str">
        <f aca="false">IF(I2104&gt;J2104,"Y","N")</f>
        <v>N</v>
      </c>
      <c r="G2104" s="3" t="s">
        <v>350</v>
      </c>
      <c r="H2104" s="3" t="s">
        <v>34</v>
      </c>
      <c r="I2104" s="4" t="n">
        <v>1</v>
      </c>
      <c r="J2104" s="4" t="n">
        <f aca="false">LEN(E2104)-LEN(SUBSTITUTE(E2104,",",""))+1</f>
        <v>1</v>
      </c>
      <c r="K2104" s="3" t="str">
        <f aca="false">IFERROR(INDEX('Teacher Lookup'!$B$2:$B$200,MATCH(A2104,'Teacher Lookup'!$A$2:$A$200,0)),"")</f>
        <v>LO Charles</v>
      </c>
    </row>
    <row r="2105" customFormat="false" ht="15" hidden="false" customHeight="false" outlineLevel="0" collapsed="false">
      <c r="A2105" s="3" t="s">
        <v>347</v>
      </c>
      <c r="B2105" s="4" t="s">
        <v>66</v>
      </c>
      <c r="C2105" s="4" t="n">
        <v>5</v>
      </c>
      <c r="D2105" s="4" t="s">
        <v>22</v>
      </c>
      <c r="E2105" s="3" t="s">
        <v>341</v>
      </c>
      <c r="F2105" s="4" t="str">
        <f aca="false">IF(I2105&gt;J2105,"Y","N")</f>
        <v>N</v>
      </c>
      <c r="G2105" s="3" t="s">
        <v>350</v>
      </c>
      <c r="H2105" s="3" t="s">
        <v>37</v>
      </c>
      <c r="I2105" s="4" t="n">
        <v>1</v>
      </c>
      <c r="J2105" s="4" t="n">
        <f aca="false">LEN(E2105)-LEN(SUBSTITUTE(E2105,",",""))+1</f>
        <v>1</v>
      </c>
      <c r="K2105" s="3" t="str">
        <f aca="false">IFERROR(INDEX('Teacher Lookup'!$B$2:$B$200,MATCH(A2105,'Teacher Lookup'!$A$2:$A$200,0)),"")</f>
        <v>LO Charles</v>
      </c>
    </row>
    <row r="2106" customFormat="false" ht="15" hidden="false" customHeight="false" outlineLevel="0" collapsed="false">
      <c r="A2106" s="3" t="s">
        <v>347</v>
      </c>
      <c r="B2106" s="4" t="s">
        <v>66</v>
      </c>
      <c r="C2106" s="4" t="n">
        <v>7</v>
      </c>
      <c r="D2106" s="4" t="s">
        <v>28</v>
      </c>
      <c r="E2106" s="3" t="s">
        <v>149</v>
      </c>
      <c r="F2106" s="4" t="str">
        <f aca="false">IF(I2106&gt;J2106,"Y","N")</f>
        <v>N</v>
      </c>
      <c r="G2106" s="3" t="s">
        <v>72</v>
      </c>
      <c r="H2106" s="3" t="s">
        <v>39</v>
      </c>
      <c r="I2106" s="4" t="n">
        <v>4</v>
      </c>
      <c r="J2106" s="4" t="n">
        <f aca="false">LEN(E2106)-LEN(SUBSTITUTE(E2106,",",""))+1</f>
        <v>4</v>
      </c>
      <c r="K2106" s="3" t="str">
        <f aca="false">IFERROR(INDEX('Teacher Lookup'!$B$2:$B$200,MATCH(A2106,'Teacher Lookup'!$A$2:$A$200,0)),"")</f>
        <v>LO Charles</v>
      </c>
    </row>
    <row r="2107" customFormat="false" ht="15" hidden="false" customHeight="false" outlineLevel="0" collapsed="false">
      <c r="A2107" s="3" t="s">
        <v>347</v>
      </c>
      <c r="B2107" s="4" t="s">
        <v>66</v>
      </c>
      <c r="C2107" s="4" t="n">
        <v>7</v>
      </c>
      <c r="D2107" s="4" t="s">
        <v>29</v>
      </c>
      <c r="E2107" s="3" t="s">
        <v>149</v>
      </c>
      <c r="F2107" s="4" t="str">
        <f aca="false">IF(I2107&gt;J2107,"Y","N")</f>
        <v>N</v>
      </c>
      <c r="G2107" s="3" t="s">
        <v>72</v>
      </c>
      <c r="H2107" s="3" t="s">
        <v>39</v>
      </c>
      <c r="I2107" s="4" t="n">
        <v>4</v>
      </c>
      <c r="J2107" s="4" t="n">
        <f aca="false">LEN(E2107)-LEN(SUBSTITUTE(E2107,",",""))+1</f>
        <v>4</v>
      </c>
      <c r="K2107" s="3" t="str">
        <f aca="false">IFERROR(INDEX('Teacher Lookup'!$B$2:$B$200,MATCH(A2107,'Teacher Lookup'!$A$2:$A$200,0)),"")</f>
        <v>LO Charles</v>
      </c>
    </row>
    <row r="2108" customFormat="false" ht="15" hidden="false" customHeight="false" outlineLevel="0" collapsed="false">
      <c r="A2108" s="3" t="s">
        <v>347</v>
      </c>
      <c r="B2108" s="4" t="s">
        <v>66</v>
      </c>
      <c r="C2108" s="4" t="n">
        <v>7</v>
      </c>
      <c r="D2108" s="4" t="s">
        <v>30</v>
      </c>
      <c r="E2108" s="3" t="s">
        <v>149</v>
      </c>
      <c r="F2108" s="4" t="str">
        <f aca="false">IF(I2108&gt;J2108,"Y","N")</f>
        <v>N</v>
      </c>
      <c r="G2108" s="3" t="s">
        <v>72</v>
      </c>
      <c r="H2108" s="3" t="s">
        <v>39</v>
      </c>
      <c r="I2108" s="4" t="n">
        <v>4</v>
      </c>
      <c r="J2108" s="4" t="n">
        <f aca="false">LEN(E2108)-LEN(SUBSTITUTE(E2108,",",""))+1</f>
        <v>4</v>
      </c>
      <c r="K2108" s="3" t="str">
        <f aca="false">IFERROR(INDEX('Teacher Lookup'!$B$2:$B$200,MATCH(A2108,'Teacher Lookup'!$A$2:$A$200,0)),"")</f>
        <v>LO Charles</v>
      </c>
    </row>
    <row r="2109" customFormat="false" ht="15" hidden="false" customHeight="false" outlineLevel="0" collapsed="false">
      <c r="A2109" s="3" t="s">
        <v>356</v>
      </c>
      <c r="B2109" s="4" t="s">
        <v>12</v>
      </c>
      <c r="C2109" s="4" t="n">
        <v>6</v>
      </c>
      <c r="D2109" s="4" t="s">
        <v>52</v>
      </c>
      <c r="E2109" s="3" t="s">
        <v>357</v>
      </c>
      <c r="F2109" s="4" t="str">
        <f aca="false">IF(I2109&gt;J2109,"Y","N")</f>
        <v>Y</v>
      </c>
      <c r="G2109" s="3" t="s">
        <v>358</v>
      </c>
      <c r="H2109" s="3" t="s">
        <v>42</v>
      </c>
      <c r="I2109" s="4" t="n">
        <v>9</v>
      </c>
      <c r="J2109" s="4" t="n">
        <f aca="false">LEN(E2109)-LEN(SUBSTITUTE(E2109,",",""))+1</f>
        <v>8</v>
      </c>
      <c r="K2109" s="3" t="str">
        <f aca="false">IFERROR(INDEX('Teacher Lookup'!$B$2:$B$200,MATCH(A2109,'Teacher Lookup'!$A$2:$A$200,0)),"")</f>
        <v>CHIU Chris</v>
      </c>
    </row>
    <row r="2110" customFormat="false" ht="15" hidden="false" customHeight="false" outlineLevel="0" collapsed="false">
      <c r="A2110" s="3" t="s">
        <v>356</v>
      </c>
      <c r="B2110" s="4" t="s">
        <v>12</v>
      </c>
      <c r="C2110" s="4" t="n">
        <v>6</v>
      </c>
      <c r="D2110" s="4" t="s">
        <v>55</v>
      </c>
      <c r="E2110" s="3" t="s">
        <v>357</v>
      </c>
      <c r="F2110" s="4" t="str">
        <f aca="false">IF(I2110&gt;J2110,"Y","N")</f>
        <v>Y</v>
      </c>
      <c r="G2110" s="3" t="s">
        <v>358</v>
      </c>
      <c r="H2110" s="3" t="s">
        <v>42</v>
      </c>
      <c r="I2110" s="4" t="n">
        <v>9</v>
      </c>
      <c r="J2110" s="4" t="n">
        <f aca="false">LEN(E2110)-LEN(SUBSTITUTE(E2110,",",""))+1</f>
        <v>8</v>
      </c>
      <c r="K2110" s="3" t="str">
        <f aca="false">IFERROR(INDEX('Teacher Lookup'!$B$2:$B$200,MATCH(A2110,'Teacher Lookup'!$A$2:$A$200,0)),"")</f>
        <v>CHIU Chris</v>
      </c>
    </row>
    <row r="2111" customFormat="false" ht="15" hidden="false" customHeight="false" outlineLevel="0" collapsed="false">
      <c r="A2111" s="3" t="s">
        <v>356</v>
      </c>
      <c r="B2111" s="4" t="s">
        <v>12</v>
      </c>
      <c r="C2111" s="4" t="n">
        <v>6</v>
      </c>
      <c r="D2111" s="4" t="s">
        <v>56</v>
      </c>
      <c r="E2111" s="3" t="s">
        <v>357</v>
      </c>
      <c r="F2111" s="4" t="str">
        <f aca="false">IF(I2111&gt;J2111,"Y","N")</f>
        <v>Y</v>
      </c>
      <c r="G2111" s="3" t="s">
        <v>358</v>
      </c>
      <c r="H2111" s="3" t="s">
        <v>42</v>
      </c>
      <c r="I2111" s="4" t="n">
        <v>9</v>
      </c>
      <c r="J2111" s="4" t="n">
        <f aca="false">LEN(E2111)-LEN(SUBSTITUTE(E2111,",",""))+1</f>
        <v>8</v>
      </c>
      <c r="K2111" s="3" t="str">
        <f aca="false">IFERROR(INDEX('Teacher Lookup'!$B$2:$B$200,MATCH(A2111,'Teacher Lookup'!$A$2:$A$200,0)),"")</f>
        <v>CHIU Chris</v>
      </c>
    </row>
    <row r="2112" customFormat="false" ht="15" hidden="false" customHeight="false" outlineLevel="0" collapsed="false">
      <c r="A2112" s="3" t="s">
        <v>356</v>
      </c>
      <c r="B2112" s="4" t="s">
        <v>12</v>
      </c>
      <c r="C2112" s="4" t="n">
        <v>6</v>
      </c>
      <c r="D2112" s="4" t="s">
        <v>57</v>
      </c>
      <c r="E2112" s="3" t="s">
        <v>357</v>
      </c>
      <c r="F2112" s="4" t="str">
        <f aca="false">IF(I2112&gt;J2112,"Y","N")</f>
        <v>Y</v>
      </c>
      <c r="G2112" s="3" t="s">
        <v>358</v>
      </c>
      <c r="H2112" s="3" t="s">
        <v>42</v>
      </c>
      <c r="I2112" s="4" t="n">
        <v>9</v>
      </c>
      <c r="J2112" s="4" t="n">
        <f aca="false">LEN(E2112)-LEN(SUBSTITUTE(E2112,",",""))+1</f>
        <v>8</v>
      </c>
      <c r="K2112" s="3" t="str">
        <f aca="false">IFERROR(INDEX('Teacher Lookup'!$B$2:$B$200,MATCH(A2112,'Teacher Lookup'!$A$2:$A$200,0)),"")</f>
        <v>CHIU Chris</v>
      </c>
    </row>
    <row r="2113" customFormat="false" ht="15" hidden="false" customHeight="false" outlineLevel="0" collapsed="false">
      <c r="A2113" s="3" t="s">
        <v>356</v>
      </c>
      <c r="B2113" s="4" t="s">
        <v>12</v>
      </c>
      <c r="C2113" s="4" t="n">
        <v>6</v>
      </c>
      <c r="D2113" s="4" t="s">
        <v>58</v>
      </c>
      <c r="E2113" s="3" t="s">
        <v>357</v>
      </c>
      <c r="F2113" s="4" t="str">
        <f aca="false">IF(I2113&gt;J2113,"Y","N")</f>
        <v>Y</v>
      </c>
      <c r="G2113" s="3" t="s">
        <v>358</v>
      </c>
      <c r="H2113" s="3" t="s">
        <v>42</v>
      </c>
      <c r="I2113" s="4" t="n">
        <v>9</v>
      </c>
      <c r="J2113" s="4" t="n">
        <f aca="false">LEN(E2113)-LEN(SUBSTITUTE(E2113,",",""))+1</f>
        <v>8</v>
      </c>
      <c r="K2113" s="3" t="str">
        <f aca="false">IFERROR(INDEX('Teacher Lookup'!$B$2:$B$200,MATCH(A2113,'Teacher Lookup'!$A$2:$A$200,0)),"")</f>
        <v>CHIU Chris</v>
      </c>
    </row>
    <row r="2114" customFormat="false" ht="15" hidden="false" customHeight="false" outlineLevel="0" collapsed="false">
      <c r="A2114" s="3" t="s">
        <v>356</v>
      </c>
      <c r="B2114" s="4" t="s">
        <v>12</v>
      </c>
      <c r="C2114" s="4" t="n">
        <v>6</v>
      </c>
      <c r="D2114" s="4" t="s">
        <v>59</v>
      </c>
      <c r="E2114" s="3" t="s">
        <v>357</v>
      </c>
      <c r="F2114" s="4" t="str">
        <f aca="false">IF(I2114&gt;J2114,"Y","N")</f>
        <v>Y</v>
      </c>
      <c r="G2114" s="3" t="s">
        <v>358</v>
      </c>
      <c r="H2114" s="3" t="s">
        <v>42</v>
      </c>
      <c r="I2114" s="4" t="n">
        <v>9</v>
      </c>
      <c r="J2114" s="4" t="n">
        <f aca="false">LEN(E2114)-LEN(SUBSTITUTE(E2114,",",""))+1</f>
        <v>8</v>
      </c>
      <c r="K2114" s="3" t="str">
        <f aca="false">IFERROR(INDEX('Teacher Lookup'!$B$2:$B$200,MATCH(A2114,'Teacher Lookup'!$A$2:$A$200,0)),"")</f>
        <v>CHIU Chris</v>
      </c>
    </row>
    <row r="2115" customFormat="false" ht="15" hidden="false" customHeight="false" outlineLevel="0" collapsed="false">
      <c r="A2115" s="3" t="s">
        <v>356</v>
      </c>
      <c r="B2115" s="4" t="s">
        <v>12</v>
      </c>
      <c r="C2115" s="4" t="n">
        <v>7</v>
      </c>
      <c r="D2115" s="4" t="s">
        <v>52</v>
      </c>
      <c r="E2115" s="3" t="s">
        <v>357</v>
      </c>
      <c r="F2115" s="4" t="str">
        <f aca="false">IF(I2115&gt;J2115,"Y","N")</f>
        <v>Y</v>
      </c>
      <c r="G2115" s="3" t="s">
        <v>358</v>
      </c>
      <c r="H2115" s="3" t="s">
        <v>39</v>
      </c>
      <c r="I2115" s="4" t="n">
        <v>9</v>
      </c>
      <c r="J2115" s="4" t="n">
        <f aca="false">LEN(E2115)-LEN(SUBSTITUTE(E2115,",",""))+1</f>
        <v>8</v>
      </c>
      <c r="K2115" s="3" t="str">
        <f aca="false">IFERROR(INDEX('Teacher Lookup'!$B$2:$B$200,MATCH(A2115,'Teacher Lookup'!$A$2:$A$200,0)),"")</f>
        <v>CHIU Chris</v>
      </c>
    </row>
    <row r="2116" customFormat="false" ht="15" hidden="false" customHeight="false" outlineLevel="0" collapsed="false">
      <c r="A2116" s="3" t="s">
        <v>356</v>
      </c>
      <c r="B2116" s="4" t="s">
        <v>12</v>
      </c>
      <c r="C2116" s="4" t="n">
        <v>7</v>
      </c>
      <c r="D2116" s="4" t="s">
        <v>55</v>
      </c>
      <c r="E2116" s="3" t="s">
        <v>357</v>
      </c>
      <c r="F2116" s="4" t="str">
        <f aca="false">IF(I2116&gt;J2116,"Y","N")</f>
        <v>Y</v>
      </c>
      <c r="G2116" s="3" t="s">
        <v>358</v>
      </c>
      <c r="H2116" s="3" t="s">
        <v>39</v>
      </c>
      <c r="I2116" s="4" t="n">
        <v>9</v>
      </c>
      <c r="J2116" s="4" t="n">
        <f aca="false">LEN(E2116)-LEN(SUBSTITUTE(E2116,",",""))+1</f>
        <v>8</v>
      </c>
      <c r="K2116" s="3" t="str">
        <f aca="false">IFERROR(INDEX('Teacher Lookup'!$B$2:$B$200,MATCH(A2116,'Teacher Lookup'!$A$2:$A$200,0)),"")</f>
        <v>CHIU Chris</v>
      </c>
    </row>
    <row r="2117" customFormat="false" ht="15" hidden="false" customHeight="false" outlineLevel="0" collapsed="false">
      <c r="A2117" s="3" t="s">
        <v>356</v>
      </c>
      <c r="B2117" s="4" t="s">
        <v>12</v>
      </c>
      <c r="C2117" s="4" t="n">
        <v>7</v>
      </c>
      <c r="D2117" s="4" t="s">
        <v>56</v>
      </c>
      <c r="E2117" s="3" t="s">
        <v>357</v>
      </c>
      <c r="F2117" s="4" t="str">
        <f aca="false">IF(I2117&gt;J2117,"Y","N")</f>
        <v>Y</v>
      </c>
      <c r="G2117" s="3" t="s">
        <v>358</v>
      </c>
      <c r="H2117" s="3" t="s">
        <v>39</v>
      </c>
      <c r="I2117" s="4" t="n">
        <v>9</v>
      </c>
      <c r="J2117" s="4" t="n">
        <f aca="false">LEN(E2117)-LEN(SUBSTITUTE(E2117,",",""))+1</f>
        <v>8</v>
      </c>
      <c r="K2117" s="3" t="str">
        <f aca="false">IFERROR(INDEX('Teacher Lookup'!$B$2:$B$200,MATCH(A2117,'Teacher Lookup'!$A$2:$A$200,0)),"")</f>
        <v>CHIU Chris</v>
      </c>
    </row>
    <row r="2118" customFormat="false" ht="15" hidden="false" customHeight="false" outlineLevel="0" collapsed="false">
      <c r="A2118" s="3" t="s">
        <v>356</v>
      </c>
      <c r="B2118" s="4" t="s">
        <v>12</v>
      </c>
      <c r="C2118" s="4" t="n">
        <v>7</v>
      </c>
      <c r="D2118" s="4" t="s">
        <v>57</v>
      </c>
      <c r="E2118" s="3" t="s">
        <v>357</v>
      </c>
      <c r="F2118" s="4" t="str">
        <f aca="false">IF(I2118&gt;J2118,"Y","N")</f>
        <v>Y</v>
      </c>
      <c r="G2118" s="3" t="s">
        <v>358</v>
      </c>
      <c r="H2118" s="3" t="s">
        <v>39</v>
      </c>
      <c r="I2118" s="4" t="n">
        <v>9</v>
      </c>
      <c r="J2118" s="4" t="n">
        <f aca="false">LEN(E2118)-LEN(SUBSTITUTE(E2118,",",""))+1</f>
        <v>8</v>
      </c>
      <c r="K2118" s="3" t="str">
        <f aca="false">IFERROR(INDEX('Teacher Lookup'!$B$2:$B$200,MATCH(A2118,'Teacher Lookup'!$A$2:$A$200,0)),"")</f>
        <v>CHIU Chris</v>
      </c>
    </row>
    <row r="2119" customFormat="false" ht="15" hidden="false" customHeight="false" outlineLevel="0" collapsed="false">
      <c r="A2119" s="3" t="s">
        <v>356</v>
      </c>
      <c r="B2119" s="4" t="s">
        <v>12</v>
      </c>
      <c r="C2119" s="4" t="n">
        <v>7</v>
      </c>
      <c r="D2119" s="4" t="s">
        <v>58</v>
      </c>
      <c r="E2119" s="3" t="s">
        <v>357</v>
      </c>
      <c r="F2119" s="4" t="str">
        <f aca="false">IF(I2119&gt;J2119,"Y","N")</f>
        <v>Y</v>
      </c>
      <c r="G2119" s="3" t="s">
        <v>358</v>
      </c>
      <c r="H2119" s="3" t="s">
        <v>39</v>
      </c>
      <c r="I2119" s="4" t="n">
        <v>9</v>
      </c>
      <c r="J2119" s="4" t="n">
        <f aca="false">LEN(E2119)-LEN(SUBSTITUTE(E2119,",",""))+1</f>
        <v>8</v>
      </c>
      <c r="K2119" s="3" t="str">
        <f aca="false">IFERROR(INDEX('Teacher Lookup'!$B$2:$B$200,MATCH(A2119,'Teacher Lookup'!$A$2:$A$200,0)),"")</f>
        <v>CHIU Chris</v>
      </c>
    </row>
    <row r="2120" customFormat="false" ht="15" hidden="false" customHeight="false" outlineLevel="0" collapsed="false">
      <c r="A2120" s="3" t="s">
        <v>356</v>
      </c>
      <c r="B2120" s="4" t="s">
        <v>12</v>
      </c>
      <c r="C2120" s="4" t="n">
        <v>7</v>
      </c>
      <c r="D2120" s="4" t="s">
        <v>59</v>
      </c>
      <c r="E2120" s="3" t="s">
        <v>357</v>
      </c>
      <c r="F2120" s="4" t="str">
        <f aca="false">IF(I2120&gt;J2120,"Y","N")</f>
        <v>Y</v>
      </c>
      <c r="G2120" s="3" t="s">
        <v>358</v>
      </c>
      <c r="H2120" s="3" t="s">
        <v>39</v>
      </c>
      <c r="I2120" s="4" t="n">
        <v>9</v>
      </c>
      <c r="J2120" s="4" t="n">
        <f aca="false">LEN(E2120)-LEN(SUBSTITUTE(E2120,",",""))+1</f>
        <v>8</v>
      </c>
      <c r="K2120" s="3" t="str">
        <f aca="false">IFERROR(INDEX('Teacher Lookup'!$B$2:$B$200,MATCH(A2120,'Teacher Lookup'!$A$2:$A$200,0)),"")</f>
        <v>CHIU Chris</v>
      </c>
    </row>
    <row r="2121" customFormat="false" ht="15" hidden="false" customHeight="false" outlineLevel="0" collapsed="false">
      <c r="A2121" s="3" t="s">
        <v>356</v>
      </c>
      <c r="B2121" s="4" t="s">
        <v>31</v>
      </c>
      <c r="C2121" s="4" t="n">
        <v>5</v>
      </c>
      <c r="D2121" s="4" t="s">
        <v>19</v>
      </c>
      <c r="E2121" s="3" t="s">
        <v>35</v>
      </c>
      <c r="F2121" s="4" t="str">
        <f aca="false">IF(I2121&gt;J2121,"Y","N")</f>
        <v>Y</v>
      </c>
      <c r="G2121" s="3" t="s">
        <v>36</v>
      </c>
      <c r="H2121" s="3" t="s">
        <v>37</v>
      </c>
      <c r="I2121" s="4" t="n">
        <v>17</v>
      </c>
      <c r="J2121" s="4" t="n">
        <f aca="false">LEN(E2121)-LEN(SUBSTITUTE(E2121,",",""))+1</f>
        <v>7</v>
      </c>
      <c r="K2121" s="3" t="str">
        <f aca="false">IFERROR(INDEX('Teacher Lookup'!$B$2:$B$200,MATCH(A2121,'Teacher Lookup'!$A$2:$A$200,0)),"")</f>
        <v>CHIU Chris</v>
      </c>
    </row>
    <row r="2122" customFormat="false" ht="15" hidden="false" customHeight="false" outlineLevel="0" collapsed="false">
      <c r="A2122" s="3" t="s">
        <v>356</v>
      </c>
      <c r="B2122" s="4" t="s">
        <v>31</v>
      </c>
      <c r="C2122" s="4" t="n">
        <v>5</v>
      </c>
      <c r="D2122" s="4" t="s">
        <v>22</v>
      </c>
      <c r="E2122" s="3" t="s">
        <v>35</v>
      </c>
      <c r="F2122" s="4" t="str">
        <f aca="false">IF(I2122&gt;J2122,"Y","N")</f>
        <v>Y</v>
      </c>
      <c r="G2122" s="3" t="s">
        <v>36</v>
      </c>
      <c r="H2122" s="3" t="s">
        <v>37</v>
      </c>
      <c r="I2122" s="4" t="n">
        <v>17</v>
      </c>
      <c r="J2122" s="4" t="n">
        <f aca="false">LEN(E2122)-LEN(SUBSTITUTE(E2122,",",""))+1</f>
        <v>7</v>
      </c>
      <c r="K2122" s="3" t="str">
        <f aca="false">IFERROR(INDEX('Teacher Lookup'!$B$2:$B$200,MATCH(A2122,'Teacher Lookup'!$A$2:$A$200,0)),"")</f>
        <v>CHIU Chris</v>
      </c>
    </row>
    <row r="2123" customFormat="false" ht="15" hidden="false" customHeight="false" outlineLevel="0" collapsed="false">
      <c r="A2123" s="3" t="s">
        <v>356</v>
      </c>
      <c r="B2123" s="4" t="s">
        <v>31</v>
      </c>
      <c r="C2123" s="4" t="n">
        <v>5</v>
      </c>
      <c r="D2123" s="4" t="s">
        <v>23</v>
      </c>
      <c r="E2123" s="3" t="s">
        <v>35</v>
      </c>
      <c r="F2123" s="4" t="str">
        <f aca="false">IF(I2123&gt;J2123,"Y","N")</f>
        <v>Y</v>
      </c>
      <c r="G2123" s="3" t="s">
        <v>36</v>
      </c>
      <c r="H2123" s="3" t="s">
        <v>37</v>
      </c>
      <c r="I2123" s="4" t="n">
        <v>17</v>
      </c>
      <c r="J2123" s="4" t="n">
        <f aca="false">LEN(E2123)-LEN(SUBSTITUTE(E2123,",",""))+1</f>
        <v>7</v>
      </c>
      <c r="K2123" s="3" t="str">
        <f aca="false">IFERROR(INDEX('Teacher Lookup'!$B$2:$B$200,MATCH(A2123,'Teacher Lookup'!$A$2:$A$200,0)),"")</f>
        <v>CHIU Chris</v>
      </c>
    </row>
    <row r="2124" customFormat="false" ht="15" hidden="false" customHeight="false" outlineLevel="0" collapsed="false">
      <c r="A2124" s="3" t="s">
        <v>356</v>
      </c>
      <c r="B2124" s="4" t="s">
        <v>31</v>
      </c>
      <c r="C2124" s="4" t="n">
        <v>5</v>
      </c>
      <c r="D2124" s="4" t="s">
        <v>13</v>
      </c>
      <c r="E2124" s="3" t="s">
        <v>35</v>
      </c>
      <c r="F2124" s="4" t="str">
        <f aca="false">IF(I2124&gt;J2124,"Y","N")</f>
        <v>Y</v>
      </c>
      <c r="G2124" s="3" t="s">
        <v>36</v>
      </c>
      <c r="H2124" s="3" t="s">
        <v>37</v>
      </c>
      <c r="I2124" s="4" t="n">
        <v>17</v>
      </c>
      <c r="J2124" s="4" t="n">
        <f aca="false">LEN(E2124)-LEN(SUBSTITUTE(E2124,",",""))+1</f>
        <v>7</v>
      </c>
      <c r="K2124" s="3" t="str">
        <f aca="false">IFERROR(INDEX('Teacher Lookup'!$B$2:$B$200,MATCH(A2124,'Teacher Lookup'!$A$2:$A$200,0)),"")</f>
        <v>CHIU Chris</v>
      </c>
    </row>
    <row r="2125" customFormat="false" ht="15" hidden="false" customHeight="false" outlineLevel="0" collapsed="false">
      <c r="A2125" s="3" t="s">
        <v>356</v>
      </c>
      <c r="B2125" s="4" t="s">
        <v>31</v>
      </c>
      <c r="C2125" s="4" t="n">
        <v>5</v>
      </c>
      <c r="D2125" s="4" t="s">
        <v>17</v>
      </c>
      <c r="E2125" s="3" t="s">
        <v>35</v>
      </c>
      <c r="F2125" s="4" t="str">
        <f aca="false">IF(I2125&gt;J2125,"Y","N")</f>
        <v>Y</v>
      </c>
      <c r="G2125" s="3" t="s">
        <v>36</v>
      </c>
      <c r="H2125" s="3" t="s">
        <v>37</v>
      </c>
      <c r="I2125" s="4" t="n">
        <v>17</v>
      </c>
      <c r="J2125" s="4" t="n">
        <f aca="false">LEN(E2125)-LEN(SUBSTITUTE(E2125,",",""))+1</f>
        <v>7</v>
      </c>
      <c r="K2125" s="3" t="str">
        <f aca="false">IFERROR(INDEX('Teacher Lookup'!$B$2:$B$200,MATCH(A2125,'Teacher Lookup'!$A$2:$A$200,0)),"")</f>
        <v>CHIU Chris</v>
      </c>
    </row>
    <row r="2126" customFormat="false" ht="15" hidden="false" customHeight="false" outlineLevel="0" collapsed="false">
      <c r="A2126" s="3" t="s">
        <v>356</v>
      </c>
      <c r="B2126" s="4" t="s">
        <v>31</v>
      </c>
      <c r="C2126" s="4" t="n">
        <v>5</v>
      </c>
      <c r="D2126" s="4" t="s">
        <v>18</v>
      </c>
      <c r="E2126" s="3" t="s">
        <v>35</v>
      </c>
      <c r="F2126" s="4" t="str">
        <f aca="false">IF(I2126&gt;J2126,"Y","N")</f>
        <v>Y</v>
      </c>
      <c r="G2126" s="3" t="s">
        <v>36</v>
      </c>
      <c r="H2126" s="3" t="s">
        <v>37</v>
      </c>
      <c r="I2126" s="4" t="n">
        <v>17</v>
      </c>
      <c r="J2126" s="4" t="n">
        <f aca="false">LEN(E2126)-LEN(SUBSTITUTE(E2126,",",""))+1</f>
        <v>7</v>
      </c>
      <c r="K2126" s="3" t="str">
        <f aca="false">IFERROR(INDEX('Teacher Lookup'!$B$2:$B$200,MATCH(A2126,'Teacher Lookup'!$A$2:$A$200,0)),"")</f>
        <v>CHIU Chris</v>
      </c>
    </row>
    <row r="2127" customFormat="false" ht="15" hidden="false" customHeight="false" outlineLevel="0" collapsed="false">
      <c r="A2127" s="3" t="s">
        <v>356</v>
      </c>
      <c r="B2127" s="4" t="s">
        <v>31</v>
      </c>
      <c r="C2127" s="4" t="n">
        <v>6</v>
      </c>
      <c r="D2127" s="4" t="s">
        <v>52</v>
      </c>
      <c r="E2127" s="3" t="s">
        <v>238</v>
      </c>
      <c r="F2127" s="4" t="str">
        <f aca="false">IF(I2127&gt;J2127,"Y","N")</f>
        <v>N</v>
      </c>
      <c r="G2127" s="3" t="s">
        <v>239</v>
      </c>
      <c r="H2127" s="3" t="s">
        <v>42</v>
      </c>
      <c r="I2127" s="4" t="n">
        <v>7</v>
      </c>
      <c r="J2127" s="4" t="n">
        <f aca="false">LEN(E2127)-LEN(SUBSTITUTE(E2127,",",""))+1</f>
        <v>7</v>
      </c>
      <c r="K2127" s="3" t="str">
        <f aca="false">IFERROR(INDEX('Teacher Lookup'!$B$2:$B$200,MATCH(A2127,'Teacher Lookup'!$A$2:$A$200,0)),"")</f>
        <v>CHIU Chris</v>
      </c>
    </row>
    <row r="2128" customFormat="false" ht="15" hidden="false" customHeight="false" outlineLevel="0" collapsed="false">
      <c r="A2128" s="3" t="s">
        <v>356</v>
      </c>
      <c r="B2128" s="4" t="s">
        <v>31</v>
      </c>
      <c r="C2128" s="4" t="n">
        <v>6</v>
      </c>
      <c r="D2128" s="4" t="s">
        <v>55</v>
      </c>
      <c r="E2128" s="3" t="s">
        <v>238</v>
      </c>
      <c r="F2128" s="4" t="str">
        <f aca="false">IF(I2128&gt;J2128,"Y","N")</f>
        <v>N</v>
      </c>
      <c r="G2128" s="3" t="s">
        <v>239</v>
      </c>
      <c r="H2128" s="3" t="s">
        <v>42</v>
      </c>
      <c r="I2128" s="4" t="n">
        <v>7</v>
      </c>
      <c r="J2128" s="4" t="n">
        <f aca="false">LEN(E2128)-LEN(SUBSTITUTE(E2128,",",""))+1</f>
        <v>7</v>
      </c>
      <c r="K2128" s="3" t="str">
        <f aca="false">IFERROR(INDEX('Teacher Lookup'!$B$2:$B$200,MATCH(A2128,'Teacher Lookup'!$A$2:$A$200,0)),"")</f>
        <v>CHIU Chris</v>
      </c>
    </row>
    <row r="2129" customFormat="false" ht="15" hidden="false" customHeight="false" outlineLevel="0" collapsed="false">
      <c r="A2129" s="3" t="s">
        <v>356</v>
      </c>
      <c r="B2129" s="4" t="s">
        <v>31</v>
      </c>
      <c r="C2129" s="4" t="n">
        <v>6</v>
      </c>
      <c r="D2129" s="4" t="s">
        <v>56</v>
      </c>
      <c r="E2129" s="3" t="s">
        <v>238</v>
      </c>
      <c r="F2129" s="4" t="str">
        <f aca="false">IF(I2129&gt;J2129,"Y","N")</f>
        <v>N</v>
      </c>
      <c r="G2129" s="3" t="s">
        <v>239</v>
      </c>
      <c r="H2129" s="3" t="s">
        <v>42</v>
      </c>
      <c r="I2129" s="4" t="n">
        <v>7</v>
      </c>
      <c r="J2129" s="4" t="n">
        <f aca="false">LEN(E2129)-LEN(SUBSTITUTE(E2129,",",""))+1</f>
        <v>7</v>
      </c>
      <c r="K2129" s="3" t="str">
        <f aca="false">IFERROR(INDEX('Teacher Lookup'!$B$2:$B$200,MATCH(A2129,'Teacher Lookup'!$A$2:$A$200,0)),"")</f>
        <v>CHIU Chris</v>
      </c>
    </row>
    <row r="2130" customFormat="false" ht="15" hidden="false" customHeight="false" outlineLevel="0" collapsed="false">
      <c r="A2130" s="3" t="s">
        <v>356</v>
      </c>
      <c r="B2130" s="4" t="s">
        <v>31</v>
      </c>
      <c r="C2130" s="4" t="n">
        <v>6</v>
      </c>
      <c r="D2130" s="4" t="s">
        <v>57</v>
      </c>
      <c r="E2130" s="3" t="s">
        <v>238</v>
      </c>
      <c r="F2130" s="4" t="str">
        <f aca="false">IF(I2130&gt;J2130,"Y","N")</f>
        <v>N</v>
      </c>
      <c r="G2130" s="3" t="s">
        <v>239</v>
      </c>
      <c r="H2130" s="3" t="s">
        <v>42</v>
      </c>
      <c r="I2130" s="4" t="n">
        <v>7</v>
      </c>
      <c r="J2130" s="4" t="n">
        <f aca="false">LEN(E2130)-LEN(SUBSTITUTE(E2130,",",""))+1</f>
        <v>7</v>
      </c>
      <c r="K2130" s="3" t="str">
        <f aca="false">IFERROR(INDEX('Teacher Lookup'!$B$2:$B$200,MATCH(A2130,'Teacher Lookup'!$A$2:$A$200,0)),"")</f>
        <v>CHIU Chris</v>
      </c>
    </row>
    <row r="2131" customFormat="false" ht="15" hidden="false" customHeight="false" outlineLevel="0" collapsed="false">
      <c r="A2131" s="3" t="s">
        <v>356</v>
      </c>
      <c r="B2131" s="4" t="s">
        <v>31</v>
      </c>
      <c r="C2131" s="4" t="n">
        <v>6</v>
      </c>
      <c r="D2131" s="4" t="s">
        <v>58</v>
      </c>
      <c r="E2131" s="3" t="s">
        <v>238</v>
      </c>
      <c r="F2131" s="4" t="str">
        <f aca="false">IF(I2131&gt;J2131,"Y","N")</f>
        <v>N</v>
      </c>
      <c r="G2131" s="3" t="s">
        <v>239</v>
      </c>
      <c r="H2131" s="3" t="s">
        <v>42</v>
      </c>
      <c r="I2131" s="4" t="n">
        <v>7</v>
      </c>
      <c r="J2131" s="4" t="n">
        <f aca="false">LEN(E2131)-LEN(SUBSTITUTE(E2131,",",""))+1</f>
        <v>7</v>
      </c>
      <c r="K2131" s="3" t="str">
        <f aca="false">IFERROR(INDEX('Teacher Lookup'!$B$2:$B$200,MATCH(A2131,'Teacher Lookup'!$A$2:$A$200,0)),"")</f>
        <v>CHIU Chris</v>
      </c>
    </row>
    <row r="2132" customFormat="false" ht="15" hidden="false" customHeight="false" outlineLevel="0" collapsed="false">
      <c r="A2132" s="3" t="s">
        <v>356</v>
      </c>
      <c r="B2132" s="4" t="s">
        <v>31</v>
      </c>
      <c r="C2132" s="4" t="n">
        <v>6</v>
      </c>
      <c r="D2132" s="4" t="s">
        <v>59</v>
      </c>
      <c r="E2132" s="3" t="s">
        <v>238</v>
      </c>
      <c r="F2132" s="4" t="str">
        <f aca="false">IF(I2132&gt;J2132,"Y","N")</f>
        <v>N</v>
      </c>
      <c r="G2132" s="3" t="s">
        <v>239</v>
      </c>
      <c r="H2132" s="3" t="s">
        <v>42</v>
      </c>
      <c r="I2132" s="4" t="n">
        <v>7</v>
      </c>
      <c r="J2132" s="4" t="n">
        <f aca="false">LEN(E2132)-LEN(SUBSTITUTE(E2132,",",""))+1</f>
        <v>7</v>
      </c>
      <c r="K2132" s="3" t="str">
        <f aca="false">IFERROR(INDEX('Teacher Lookup'!$B$2:$B$200,MATCH(A2132,'Teacher Lookup'!$A$2:$A$200,0)),"")</f>
        <v>CHIU Chris</v>
      </c>
    </row>
    <row r="2133" customFormat="false" ht="15" hidden="false" customHeight="false" outlineLevel="0" collapsed="false">
      <c r="A2133" s="3" t="s">
        <v>356</v>
      </c>
      <c r="B2133" s="4" t="s">
        <v>40</v>
      </c>
      <c r="C2133" s="4" t="n">
        <v>2</v>
      </c>
      <c r="D2133" s="4" t="s">
        <v>52</v>
      </c>
      <c r="E2133" s="3" t="s">
        <v>240</v>
      </c>
      <c r="F2133" s="4" t="str">
        <f aca="false">IF(I2133&gt;J2133,"Y","N")</f>
        <v>N</v>
      </c>
      <c r="G2133" s="3" t="s">
        <v>239</v>
      </c>
      <c r="H2133" s="3" t="s">
        <v>21</v>
      </c>
      <c r="I2133" s="4" t="n">
        <v>7</v>
      </c>
      <c r="J2133" s="4" t="n">
        <f aca="false">LEN(E2133)-LEN(SUBSTITUTE(E2133,",",""))+1</f>
        <v>7</v>
      </c>
      <c r="K2133" s="3" t="str">
        <f aca="false">IFERROR(INDEX('Teacher Lookup'!$B$2:$B$200,MATCH(A2133,'Teacher Lookup'!$A$2:$A$200,0)),"")</f>
        <v>CHIU Chris</v>
      </c>
    </row>
    <row r="2134" customFormat="false" ht="15" hidden="false" customHeight="false" outlineLevel="0" collapsed="false">
      <c r="A2134" s="3" t="s">
        <v>356</v>
      </c>
      <c r="B2134" s="4" t="s">
        <v>40</v>
      </c>
      <c r="C2134" s="4" t="n">
        <v>2</v>
      </c>
      <c r="D2134" s="4" t="s">
        <v>55</v>
      </c>
      <c r="E2134" s="3" t="s">
        <v>240</v>
      </c>
      <c r="F2134" s="4" t="str">
        <f aca="false">IF(I2134&gt;J2134,"Y","N")</f>
        <v>N</v>
      </c>
      <c r="G2134" s="3" t="s">
        <v>239</v>
      </c>
      <c r="H2134" s="3" t="s">
        <v>21</v>
      </c>
      <c r="I2134" s="4" t="n">
        <v>7</v>
      </c>
      <c r="J2134" s="4" t="n">
        <f aca="false">LEN(E2134)-LEN(SUBSTITUTE(E2134,",",""))+1</f>
        <v>7</v>
      </c>
      <c r="K2134" s="3" t="str">
        <f aca="false">IFERROR(INDEX('Teacher Lookup'!$B$2:$B$200,MATCH(A2134,'Teacher Lookup'!$A$2:$A$200,0)),"")</f>
        <v>CHIU Chris</v>
      </c>
    </row>
    <row r="2135" customFormat="false" ht="15" hidden="false" customHeight="false" outlineLevel="0" collapsed="false">
      <c r="A2135" s="3" t="s">
        <v>356</v>
      </c>
      <c r="B2135" s="4" t="s">
        <v>40</v>
      </c>
      <c r="C2135" s="4" t="n">
        <v>2</v>
      </c>
      <c r="D2135" s="4" t="s">
        <v>56</v>
      </c>
      <c r="E2135" s="3" t="s">
        <v>240</v>
      </c>
      <c r="F2135" s="4" t="str">
        <f aca="false">IF(I2135&gt;J2135,"Y","N")</f>
        <v>N</v>
      </c>
      <c r="G2135" s="3" t="s">
        <v>239</v>
      </c>
      <c r="H2135" s="3" t="s">
        <v>21</v>
      </c>
      <c r="I2135" s="4" t="n">
        <v>7</v>
      </c>
      <c r="J2135" s="4" t="n">
        <f aca="false">LEN(E2135)-LEN(SUBSTITUTE(E2135,",",""))+1</f>
        <v>7</v>
      </c>
      <c r="K2135" s="3" t="str">
        <f aca="false">IFERROR(INDEX('Teacher Lookup'!$B$2:$B$200,MATCH(A2135,'Teacher Lookup'!$A$2:$A$200,0)),"")</f>
        <v>CHIU Chris</v>
      </c>
    </row>
    <row r="2136" customFormat="false" ht="15" hidden="false" customHeight="false" outlineLevel="0" collapsed="false">
      <c r="A2136" s="3" t="s">
        <v>356</v>
      </c>
      <c r="B2136" s="4" t="s">
        <v>40</v>
      </c>
      <c r="C2136" s="4" t="n">
        <v>2</v>
      </c>
      <c r="D2136" s="4" t="s">
        <v>57</v>
      </c>
      <c r="E2136" s="3" t="s">
        <v>240</v>
      </c>
      <c r="F2136" s="4" t="str">
        <f aca="false">IF(I2136&gt;J2136,"Y","N")</f>
        <v>N</v>
      </c>
      <c r="G2136" s="3" t="s">
        <v>239</v>
      </c>
      <c r="H2136" s="3" t="s">
        <v>21</v>
      </c>
      <c r="I2136" s="4" t="n">
        <v>7</v>
      </c>
      <c r="J2136" s="4" t="n">
        <f aca="false">LEN(E2136)-LEN(SUBSTITUTE(E2136,",",""))+1</f>
        <v>7</v>
      </c>
      <c r="K2136" s="3" t="str">
        <f aca="false">IFERROR(INDEX('Teacher Lookup'!$B$2:$B$200,MATCH(A2136,'Teacher Lookup'!$A$2:$A$200,0)),"")</f>
        <v>CHIU Chris</v>
      </c>
    </row>
    <row r="2137" customFormat="false" ht="15" hidden="false" customHeight="false" outlineLevel="0" collapsed="false">
      <c r="A2137" s="3" t="s">
        <v>356</v>
      </c>
      <c r="B2137" s="4" t="s">
        <v>40</v>
      </c>
      <c r="C2137" s="4" t="n">
        <v>2</v>
      </c>
      <c r="D2137" s="4" t="s">
        <v>58</v>
      </c>
      <c r="E2137" s="3" t="s">
        <v>240</v>
      </c>
      <c r="F2137" s="4" t="str">
        <f aca="false">IF(I2137&gt;J2137,"Y","N")</f>
        <v>N</v>
      </c>
      <c r="G2137" s="3" t="s">
        <v>239</v>
      </c>
      <c r="H2137" s="3" t="s">
        <v>21</v>
      </c>
      <c r="I2137" s="4" t="n">
        <v>7</v>
      </c>
      <c r="J2137" s="4" t="n">
        <f aca="false">LEN(E2137)-LEN(SUBSTITUTE(E2137,",",""))+1</f>
        <v>7</v>
      </c>
      <c r="K2137" s="3" t="str">
        <f aca="false">IFERROR(INDEX('Teacher Lookup'!$B$2:$B$200,MATCH(A2137,'Teacher Lookup'!$A$2:$A$200,0)),"")</f>
        <v>CHIU Chris</v>
      </c>
    </row>
    <row r="2138" customFormat="false" ht="15" hidden="false" customHeight="false" outlineLevel="0" collapsed="false">
      <c r="A2138" s="3" t="s">
        <v>356</v>
      </c>
      <c r="B2138" s="4" t="s">
        <v>40</v>
      </c>
      <c r="C2138" s="4" t="n">
        <v>2</v>
      </c>
      <c r="D2138" s="4" t="s">
        <v>59</v>
      </c>
      <c r="E2138" s="3" t="s">
        <v>240</v>
      </c>
      <c r="F2138" s="4" t="str">
        <f aca="false">IF(I2138&gt;J2138,"Y","N")</f>
        <v>N</v>
      </c>
      <c r="G2138" s="3" t="s">
        <v>239</v>
      </c>
      <c r="H2138" s="3" t="s">
        <v>21</v>
      </c>
      <c r="I2138" s="4" t="n">
        <v>7</v>
      </c>
      <c r="J2138" s="4" t="n">
        <f aca="false">LEN(E2138)-LEN(SUBSTITUTE(E2138,",",""))+1</f>
        <v>7</v>
      </c>
      <c r="K2138" s="3" t="str">
        <f aca="false">IFERROR(INDEX('Teacher Lookup'!$B$2:$B$200,MATCH(A2138,'Teacher Lookup'!$A$2:$A$200,0)),"")</f>
        <v>CHIU Chris</v>
      </c>
    </row>
    <row r="2139" customFormat="false" ht="15" hidden="false" customHeight="false" outlineLevel="0" collapsed="false">
      <c r="A2139" s="3" t="s">
        <v>356</v>
      </c>
      <c r="B2139" s="4" t="s">
        <v>44</v>
      </c>
      <c r="C2139" s="4" t="n">
        <v>5</v>
      </c>
      <c r="D2139" s="4" t="s">
        <v>19</v>
      </c>
      <c r="E2139" s="3" t="s">
        <v>35</v>
      </c>
      <c r="F2139" s="4" t="str">
        <f aca="false">IF(I2139&gt;J2139,"Y","N")</f>
        <v>Y</v>
      </c>
      <c r="G2139" s="3" t="s">
        <v>36</v>
      </c>
      <c r="H2139" s="3" t="s">
        <v>37</v>
      </c>
      <c r="I2139" s="4" t="n">
        <v>17</v>
      </c>
      <c r="J2139" s="4" t="n">
        <f aca="false">LEN(E2139)-LEN(SUBSTITUTE(E2139,",",""))+1</f>
        <v>7</v>
      </c>
      <c r="K2139" s="3" t="str">
        <f aca="false">IFERROR(INDEX('Teacher Lookup'!$B$2:$B$200,MATCH(A2139,'Teacher Lookup'!$A$2:$A$200,0)),"")</f>
        <v>CHIU Chris</v>
      </c>
    </row>
    <row r="2140" customFormat="false" ht="15" hidden="false" customHeight="false" outlineLevel="0" collapsed="false">
      <c r="A2140" s="3" t="s">
        <v>356</v>
      </c>
      <c r="B2140" s="4" t="s">
        <v>44</v>
      </c>
      <c r="C2140" s="4" t="n">
        <v>5</v>
      </c>
      <c r="D2140" s="4" t="s">
        <v>22</v>
      </c>
      <c r="E2140" s="3" t="s">
        <v>35</v>
      </c>
      <c r="F2140" s="4" t="str">
        <f aca="false">IF(I2140&gt;J2140,"Y","N")</f>
        <v>Y</v>
      </c>
      <c r="G2140" s="3" t="s">
        <v>36</v>
      </c>
      <c r="H2140" s="3" t="s">
        <v>37</v>
      </c>
      <c r="I2140" s="4" t="n">
        <v>17</v>
      </c>
      <c r="J2140" s="4" t="n">
        <f aca="false">LEN(E2140)-LEN(SUBSTITUTE(E2140,",",""))+1</f>
        <v>7</v>
      </c>
      <c r="K2140" s="3" t="str">
        <f aca="false">IFERROR(INDEX('Teacher Lookup'!$B$2:$B$200,MATCH(A2140,'Teacher Lookup'!$A$2:$A$200,0)),"")</f>
        <v>CHIU Chris</v>
      </c>
    </row>
    <row r="2141" customFormat="false" ht="15" hidden="false" customHeight="false" outlineLevel="0" collapsed="false">
      <c r="A2141" s="3" t="s">
        <v>356</v>
      </c>
      <c r="B2141" s="4" t="s">
        <v>44</v>
      </c>
      <c r="C2141" s="4" t="n">
        <v>5</v>
      </c>
      <c r="D2141" s="4" t="s">
        <v>23</v>
      </c>
      <c r="E2141" s="3" t="s">
        <v>35</v>
      </c>
      <c r="F2141" s="4" t="str">
        <f aca="false">IF(I2141&gt;J2141,"Y","N")</f>
        <v>Y</v>
      </c>
      <c r="G2141" s="3" t="s">
        <v>36</v>
      </c>
      <c r="H2141" s="3" t="s">
        <v>37</v>
      </c>
      <c r="I2141" s="4" t="n">
        <v>17</v>
      </c>
      <c r="J2141" s="4" t="n">
        <f aca="false">LEN(E2141)-LEN(SUBSTITUTE(E2141,",",""))+1</f>
        <v>7</v>
      </c>
      <c r="K2141" s="3" t="str">
        <f aca="false">IFERROR(INDEX('Teacher Lookup'!$B$2:$B$200,MATCH(A2141,'Teacher Lookup'!$A$2:$A$200,0)),"")</f>
        <v>CHIU Chris</v>
      </c>
    </row>
    <row r="2142" customFormat="false" ht="15" hidden="false" customHeight="false" outlineLevel="0" collapsed="false">
      <c r="A2142" s="3" t="s">
        <v>356</v>
      </c>
      <c r="B2142" s="4" t="s">
        <v>44</v>
      </c>
      <c r="C2142" s="4" t="n">
        <v>5</v>
      </c>
      <c r="D2142" s="4" t="s">
        <v>13</v>
      </c>
      <c r="E2142" s="3" t="s">
        <v>35</v>
      </c>
      <c r="F2142" s="4" t="str">
        <f aca="false">IF(I2142&gt;J2142,"Y","N")</f>
        <v>Y</v>
      </c>
      <c r="G2142" s="3" t="s">
        <v>36</v>
      </c>
      <c r="H2142" s="3" t="s">
        <v>37</v>
      </c>
      <c r="I2142" s="4" t="n">
        <v>17</v>
      </c>
      <c r="J2142" s="4" t="n">
        <f aca="false">LEN(E2142)-LEN(SUBSTITUTE(E2142,",",""))+1</f>
        <v>7</v>
      </c>
      <c r="K2142" s="3" t="str">
        <f aca="false">IFERROR(INDEX('Teacher Lookup'!$B$2:$B$200,MATCH(A2142,'Teacher Lookup'!$A$2:$A$200,0)),"")</f>
        <v>CHIU Chris</v>
      </c>
    </row>
    <row r="2143" customFormat="false" ht="15" hidden="false" customHeight="false" outlineLevel="0" collapsed="false">
      <c r="A2143" s="3" t="s">
        <v>356</v>
      </c>
      <c r="B2143" s="4" t="s">
        <v>44</v>
      </c>
      <c r="C2143" s="4" t="n">
        <v>5</v>
      </c>
      <c r="D2143" s="4" t="s">
        <v>17</v>
      </c>
      <c r="E2143" s="3" t="s">
        <v>35</v>
      </c>
      <c r="F2143" s="4" t="str">
        <f aca="false">IF(I2143&gt;J2143,"Y","N")</f>
        <v>Y</v>
      </c>
      <c r="G2143" s="3" t="s">
        <v>36</v>
      </c>
      <c r="H2143" s="3" t="s">
        <v>37</v>
      </c>
      <c r="I2143" s="4" t="n">
        <v>17</v>
      </c>
      <c r="J2143" s="4" t="n">
        <f aca="false">LEN(E2143)-LEN(SUBSTITUTE(E2143,",",""))+1</f>
        <v>7</v>
      </c>
      <c r="K2143" s="3" t="str">
        <f aca="false">IFERROR(INDEX('Teacher Lookup'!$B$2:$B$200,MATCH(A2143,'Teacher Lookup'!$A$2:$A$200,0)),"")</f>
        <v>CHIU Chris</v>
      </c>
    </row>
    <row r="2144" customFormat="false" ht="15" hidden="false" customHeight="false" outlineLevel="0" collapsed="false">
      <c r="A2144" s="3" t="s">
        <v>356</v>
      </c>
      <c r="B2144" s="4" t="s">
        <v>44</v>
      </c>
      <c r="C2144" s="4" t="n">
        <v>5</v>
      </c>
      <c r="D2144" s="4" t="s">
        <v>18</v>
      </c>
      <c r="E2144" s="3" t="s">
        <v>35</v>
      </c>
      <c r="F2144" s="4" t="str">
        <f aca="false">IF(I2144&gt;J2144,"Y","N")</f>
        <v>Y</v>
      </c>
      <c r="G2144" s="3" t="s">
        <v>36</v>
      </c>
      <c r="H2144" s="3" t="s">
        <v>37</v>
      </c>
      <c r="I2144" s="4" t="n">
        <v>17</v>
      </c>
      <c r="J2144" s="4" t="n">
        <f aca="false">LEN(E2144)-LEN(SUBSTITUTE(E2144,",",""))+1</f>
        <v>7</v>
      </c>
      <c r="K2144" s="3" t="str">
        <f aca="false">IFERROR(INDEX('Teacher Lookup'!$B$2:$B$200,MATCH(A2144,'Teacher Lookup'!$A$2:$A$200,0)),"")</f>
        <v>CHIU Chris</v>
      </c>
    </row>
    <row r="2145" customFormat="false" ht="15" hidden="false" customHeight="false" outlineLevel="0" collapsed="false">
      <c r="A2145" s="3" t="s">
        <v>356</v>
      </c>
      <c r="B2145" s="4" t="s">
        <v>44</v>
      </c>
      <c r="C2145" s="4" t="n">
        <v>7</v>
      </c>
      <c r="D2145" s="4" t="s">
        <v>52</v>
      </c>
      <c r="E2145" s="3" t="s">
        <v>243</v>
      </c>
      <c r="F2145" s="4" t="str">
        <f aca="false">IF(I2145&gt;J2145,"Y","N")</f>
        <v>N</v>
      </c>
      <c r="G2145" s="3" t="s">
        <v>239</v>
      </c>
      <c r="H2145" s="3" t="s">
        <v>39</v>
      </c>
      <c r="I2145" s="4" t="n">
        <v>7</v>
      </c>
      <c r="J2145" s="4" t="n">
        <f aca="false">LEN(E2145)-LEN(SUBSTITUTE(E2145,",",""))+1</f>
        <v>7</v>
      </c>
      <c r="K2145" s="3" t="str">
        <f aca="false">IFERROR(INDEX('Teacher Lookup'!$B$2:$B$200,MATCH(A2145,'Teacher Lookup'!$A$2:$A$200,0)),"")</f>
        <v>CHIU Chris</v>
      </c>
    </row>
    <row r="2146" customFormat="false" ht="15" hidden="false" customHeight="false" outlineLevel="0" collapsed="false">
      <c r="A2146" s="3" t="s">
        <v>356</v>
      </c>
      <c r="B2146" s="4" t="s">
        <v>44</v>
      </c>
      <c r="C2146" s="4" t="n">
        <v>7</v>
      </c>
      <c r="D2146" s="4" t="s">
        <v>55</v>
      </c>
      <c r="E2146" s="3" t="s">
        <v>243</v>
      </c>
      <c r="F2146" s="4" t="str">
        <f aca="false">IF(I2146&gt;J2146,"Y","N")</f>
        <v>N</v>
      </c>
      <c r="G2146" s="3" t="s">
        <v>239</v>
      </c>
      <c r="H2146" s="3" t="s">
        <v>39</v>
      </c>
      <c r="I2146" s="4" t="n">
        <v>7</v>
      </c>
      <c r="J2146" s="4" t="n">
        <f aca="false">LEN(E2146)-LEN(SUBSTITUTE(E2146,",",""))+1</f>
        <v>7</v>
      </c>
      <c r="K2146" s="3" t="str">
        <f aca="false">IFERROR(INDEX('Teacher Lookup'!$B$2:$B$200,MATCH(A2146,'Teacher Lookup'!$A$2:$A$200,0)),"")</f>
        <v>CHIU Chris</v>
      </c>
    </row>
    <row r="2147" customFormat="false" ht="15" hidden="false" customHeight="false" outlineLevel="0" collapsed="false">
      <c r="A2147" s="3" t="s">
        <v>356</v>
      </c>
      <c r="B2147" s="4" t="s">
        <v>44</v>
      </c>
      <c r="C2147" s="4" t="n">
        <v>7</v>
      </c>
      <c r="D2147" s="4" t="s">
        <v>56</v>
      </c>
      <c r="E2147" s="3" t="s">
        <v>243</v>
      </c>
      <c r="F2147" s="4" t="str">
        <f aca="false">IF(I2147&gt;J2147,"Y","N")</f>
        <v>N</v>
      </c>
      <c r="G2147" s="3" t="s">
        <v>239</v>
      </c>
      <c r="H2147" s="3" t="s">
        <v>39</v>
      </c>
      <c r="I2147" s="4" t="n">
        <v>7</v>
      </c>
      <c r="J2147" s="4" t="n">
        <f aca="false">LEN(E2147)-LEN(SUBSTITUTE(E2147,",",""))+1</f>
        <v>7</v>
      </c>
      <c r="K2147" s="3" t="str">
        <f aca="false">IFERROR(INDEX('Teacher Lookup'!$B$2:$B$200,MATCH(A2147,'Teacher Lookup'!$A$2:$A$200,0)),"")</f>
        <v>CHIU Chris</v>
      </c>
    </row>
    <row r="2148" customFormat="false" ht="15" hidden="false" customHeight="false" outlineLevel="0" collapsed="false">
      <c r="A2148" s="3" t="s">
        <v>356</v>
      </c>
      <c r="B2148" s="4" t="s">
        <v>44</v>
      </c>
      <c r="C2148" s="4" t="n">
        <v>7</v>
      </c>
      <c r="D2148" s="4" t="s">
        <v>57</v>
      </c>
      <c r="E2148" s="3" t="s">
        <v>243</v>
      </c>
      <c r="F2148" s="4" t="str">
        <f aca="false">IF(I2148&gt;J2148,"Y","N")</f>
        <v>N</v>
      </c>
      <c r="G2148" s="3" t="s">
        <v>239</v>
      </c>
      <c r="H2148" s="3" t="s">
        <v>39</v>
      </c>
      <c r="I2148" s="4" t="n">
        <v>7</v>
      </c>
      <c r="J2148" s="4" t="n">
        <f aca="false">LEN(E2148)-LEN(SUBSTITUTE(E2148,",",""))+1</f>
        <v>7</v>
      </c>
      <c r="K2148" s="3" t="str">
        <f aca="false">IFERROR(INDEX('Teacher Lookup'!$B$2:$B$200,MATCH(A2148,'Teacher Lookup'!$A$2:$A$200,0)),"")</f>
        <v>CHIU Chris</v>
      </c>
    </row>
    <row r="2149" customFormat="false" ht="15" hidden="false" customHeight="false" outlineLevel="0" collapsed="false">
      <c r="A2149" s="3" t="s">
        <v>356</v>
      </c>
      <c r="B2149" s="4" t="s">
        <v>44</v>
      </c>
      <c r="C2149" s="4" t="n">
        <v>7</v>
      </c>
      <c r="D2149" s="4" t="s">
        <v>58</v>
      </c>
      <c r="E2149" s="3" t="s">
        <v>243</v>
      </c>
      <c r="F2149" s="4" t="str">
        <f aca="false">IF(I2149&gt;J2149,"Y","N")</f>
        <v>N</v>
      </c>
      <c r="G2149" s="3" t="s">
        <v>239</v>
      </c>
      <c r="H2149" s="3" t="s">
        <v>39</v>
      </c>
      <c r="I2149" s="4" t="n">
        <v>7</v>
      </c>
      <c r="J2149" s="4" t="n">
        <f aca="false">LEN(E2149)-LEN(SUBSTITUTE(E2149,",",""))+1</f>
        <v>7</v>
      </c>
      <c r="K2149" s="3" t="str">
        <f aca="false">IFERROR(INDEX('Teacher Lookup'!$B$2:$B$200,MATCH(A2149,'Teacher Lookup'!$A$2:$A$200,0)),"")</f>
        <v>CHIU Chris</v>
      </c>
    </row>
    <row r="2150" customFormat="false" ht="15" hidden="false" customHeight="false" outlineLevel="0" collapsed="false">
      <c r="A2150" s="3" t="s">
        <v>356</v>
      </c>
      <c r="B2150" s="4" t="s">
        <v>44</v>
      </c>
      <c r="C2150" s="4" t="n">
        <v>7</v>
      </c>
      <c r="D2150" s="4" t="s">
        <v>59</v>
      </c>
      <c r="E2150" s="3" t="s">
        <v>243</v>
      </c>
      <c r="F2150" s="4" t="str">
        <f aca="false">IF(I2150&gt;J2150,"Y","N")</f>
        <v>N</v>
      </c>
      <c r="G2150" s="3" t="s">
        <v>239</v>
      </c>
      <c r="H2150" s="3" t="s">
        <v>39</v>
      </c>
      <c r="I2150" s="4" t="n">
        <v>7</v>
      </c>
      <c r="J2150" s="4" t="n">
        <f aca="false">LEN(E2150)-LEN(SUBSTITUTE(E2150,",",""))+1</f>
        <v>7</v>
      </c>
      <c r="K2150" s="3" t="str">
        <f aca="false">IFERROR(INDEX('Teacher Lookup'!$B$2:$B$200,MATCH(A2150,'Teacher Lookup'!$A$2:$A$200,0)),"")</f>
        <v>CHIU Chris</v>
      </c>
    </row>
    <row r="2151" customFormat="false" ht="15" hidden="false" customHeight="false" outlineLevel="0" collapsed="false">
      <c r="A2151" s="3" t="s">
        <v>356</v>
      </c>
      <c r="B2151" s="4" t="s">
        <v>47</v>
      </c>
      <c r="C2151" s="4" t="n">
        <v>7</v>
      </c>
      <c r="D2151" s="4" t="s">
        <v>52</v>
      </c>
      <c r="E2151" s="3" t="s">
        <v>244</v>
      </c>
      <c r="F2151" s="4" t="str">
        <f aca="false">IF(I2151&gt;J2151,"Y","N")</f>
        <v>N</v>
      </c>
      <c r="G2151" s="3" t="s">
        <v>239</v>
      </c>
      <c r="H2151" s="3" t="s">
        <v>39</v>
      </c>
      <c r="I2151" s="4" t="n">
        <v>7</v>
      </c>
      <c r="J2151" s="4" t="n">
        <f aca="false">LEN(E2151)-LEN(SUBSTITUTE(E2151,",",""))+1</f>
        <v>7</v>
      </c>
      <c r="K2151" s="3" t="str">
        <f aca="false">IFERROR(INDEX('Teacher Lookup'!$B$2:$B$200,MATCH(A2151,'Teacher Lookup'!$A$2:$A$200,0)),"")</f>
        <v>CHIU Chris</v>
      </c>
    </row>
    <row r="2152" customFormat="false" ht="15" hidden="false" customHeight="false" outlineLevel="0" collapsed="false">
      <c r="A2152" s="3" t="s">
        <v>356</v>
      </c>
      <c r="B2152" s="4" t="s">
        <v>47</v>
      </c>
      <c r="C2152" s="4" t="n">
        <v>7</v>
      </c>
      <c r="D2152" s="4" t="s">
        <v>55</v>
      </c>
      <c r="E2152" s="3" t="s">
        <v>244</v>
      </c>
      <c r="F2152" s="4" t="str">
        <f aca="false">IF(I2152&gt;J2152,"Y","N")</f>
        <v>N</v>
      </c>
      <c r="G2152" s="3" t="s">
        <v>239</v>
      </c>
      <c r="H2152" s="3" t="s">
        <v>39</v>
      </c>
      <c r="I2152" s="4" t="n">
        <v>7</v>
      </c>
      <c r="J2152" s="4" t="n">
        <f aca="false">LEN(E2152)-LEN(SUBSTITUTE(E2152,",",""))+1</f>
        <v>7</v>
      </c>
      <c r="K2152" s="3" t="str">
        <f aca="false">IFERROR(INDEX('Teacher Lookup'!$B$2:$B$200,MATCH(A2152,'Teacher Lookup'!$A$2:$A$200,0)),"")</f>
        <v>CHIU Chris</v>
      </c>
    </row>
    <row r="2153" customFormat="false" ht="15" hidden="false" customHeight="false" outlineLevel="0" collapsed="false">
      <c r="A2153" s="3" t="s">
        <v>356</v>
      </c>
      <c r="B2153" s="4" t="s">
        <v>47</v>
      </c>
      <c r="C2153" s="4" t="n">
        <v>7</v>
      </c>
      <c r="D2153" s="4" t="s">
        <v>56</v>
      </c>
      <c r="E2153" s="3" t="s">
        <v>244</v>
      </c>
      <c r="F2153" s="4" t="str">
        <f aca="false">IF(I2153&gt;J2153,"Y","N")</f>
        <v>N</v>
      </c>
      <c r="G2153" s="3" t="s">
        <v>239</v>
      </c>
      <c r="H2153" s="3" t="s">
        <v>39</v>
      </c>
      <c r="I2153" s="4" t="n">
        <v>7</v>
      </c>
      <c r="J2153" s="4" t="n">
        <f aca="false">LEN(E2153)-LEN(SUBSTITUTE(E2153,",",""))+1</f>
        <v>7</v>
      </c>
      <c r="K2153" s="3" t="str">
        <f aca="false">IFERROR(INDEX('Teacher Lookup'!$B$2:$B$200,MATCH(A2153,'Teacher Lookup'!$A$2:$A$200,0)),"")</f>
        <v>CHIU Chris</v>
      </c>
    </row>
    <row r="2154" customFormat="false" ht="15" hidden="false" customHeight="false" outlineLevel="0" collapsed="false">
      <c r="A2154" s="3" t="s">
        <v>356</v>
      </c>
      <c r="B2154" s="4" t="s">
        <v>47</v>
      </c>
      <c r="C2154" s="4" t="n">
        <v>7</v>
      </c>
      <c r="D2154" s="4" t="s">
        <v>57</v>
      </c>
      <c r="E2154" s="3" t="s">
        <v>244</v>
      </c>
      <c r="F2154" s="4" t="str">
        <f aca="false">IF(I2154&gt;J2154,"Y","N")</f>
        <v>N</v>
      </c>
      <c r="G2154" s="3" t="s">
        <v>239</v>
      </c>
      <c r="H2154" s="3" t="s">
        <v>39</v>
      </c>
      <c r="I2154" s="4" t="n">
        <v>7</v>
      </c>
      <c r="J2154" s="4" t="n">
        <f aca="false">LEN(E2154)-LEN(SUBSTITUTE(E2154,",",""))+1</f>
        <v>7</v>
      </c>
      <c r="K2154" s="3" t="str">
        <f aca="false">IFERROR(INDEX('Teacher Lookup'!$B$2:$B$200,MATCH(A2154,'Teacher Lookup'!$A$2:$A$200,0)),"")</f>
        <v>CHIU Chris</v>
      </c>
    </row>
    <row r="2155" customFormat="false" ht="15" hidden="false" customHeight="false" outlineLevel="0" collapsed="false">
      <c r="A2155" s="3" t="s">
        <v>356</v>
      </c>
      <c r="B2155" s="4" t="s">
        <v>47</v>
      </c>
      <c r="C2155" s="4" t="n">
        <v>7</v>
      </c>
      <c r="D2155" s="4" t="s">
        <v>58</v>
      </c>
      <c r="E2155" s="3" t="s">
        <v>244</v>
      </c>
      <c r="F2155" s="4" t="str">
        <f aca="false">IF(I2155&gt;J2155,"Y","N")</f>
        <v>N</v>
      </c>
      <c r="G2155" s="3" t="s">
        <v>239</v>
      </c>
      <c r="H2155" s="3" t="s">
        <v>39</v>
      </c>
      <c r="I2155" s="4" t="n">
        <v>7</v>
      </c>
      <c r="J2155" s="4" t="n">
        <f aca="false">LEN(E2155)-LEN(SUBSTITUTE(E2155,",",""))+1</f>
        <v>7</v>
      </c>
      <c r="K2155" s="3" t="str">
        <f aca="false">IFERROR(INDEX('Teacher Lookup'!$B$2:$B$200,MATCH(A2155,'Teacher Lookup'!$A$2:$A$200,0)),"")</f>
        <v>CHIU Chris</v>
      </c>
    </row>
    <row r="2156" customFormat="false" ht="15" hidden="false" customHeight="false" outlineLevel="0" collapsed="false">
      <c r="A2156" s="3" t="s">
        <v>356</v>
      </c>
      <c r="B2156" s="4" t="s">
        <v>47</v>
      </c>
      <c r="C2156" s="4" t="n">
        <v>7</v>
      </c>
      <c r="D2156" s="4" t="s">
        <v>59</v>
      </c>
      <c r="E2156" s="3" t="s">
        <v>244</v>
      </c>
      <c r="F2156" s="4" t="str">
        <f aca="false">IF(I2156&gt;J2156,"Y","N")</f>
        <v>N</v>
      </c>
      <c r="G2156" s="3" t="s">
        <v>239</v>
      </c>
      <c r="H2156" s="3" t="s">
        <v>39</v>
      </c>
      <c r="I2156" s="4" t="n">
        <v>7</v>
      </c>
      <c r="J2156" s="4" t="n">
        <f aca="false">LEN(E2156)-LEN(SUBSTITUTE(E2156,",",""))+1</f>
        <v>7</v>
      </c>
      <c r="K2156" s="3" t="str">
        <f aca="false">IFERROR(INDEX('Teacher Lookup'!$B$2:$B$200,MATCH(A2156,'Teacher Lookup'!$A$2:$A$200,0)),"")</f>
        <v>CHIU Chris</v>
      </c>
    </row>
    <row r="2157" customFormat="false" ht="15" hidden="false" customHeight="false" outlineLevel="0" collapsed="false">
      <c r="A2157" s="3" t="s">
        <v>356</v>
      </c>
      <c r="B2157" s="4" t="s">
        <v>60</v>
      </c>
      <c r="C2157" s="4" t="n">
        <v>2</v>
      </c>
      <c r="D2157" s="4" t="s">
        <v>52</v>
      </c>
      <c r="E2157" s="3" t="s">
        <v>248</v>
      </c>
      <c r="F2157" s="4" t="str">
        <f aca="false">IF(I2157&gt;J2157,"Y","N")</f>
        <v>N</v>
      </c>
      <c r="G2157" s="3" t="s">
        <v>239</v>
      </c>
      <c r="H2157" s="3" t="s">
        <v>21</v>
      </c>
      <c r="I2157" s="4" t="n">
        <v>7</v>
      </c>
      <c r="J2157" s="4" t="n">
        <f aca="false">LEN(E2157)-LEN(SUBSTITUTE(E2157,",",""))+1</f>
        <v>7</v>
      </c>
      <c r="K2157" s="3" t="str">
        <f aca="false">IFERROR(INDEX('Teacher Lookup'!$B$2:$B$200,MATCH(A2157,'Teacher Lookup'!$A$2:$A$200,0)),"")</f>
        <v>CHIU Chris</v>
      </c>
    </row>
    <row r="2158" customFormat="false" ht="15" hidden="false" customHeight="false" outlineLevel="0" collapsed="false">
      <c r="A2158" s="3" t="s">
        <v>356</v>
      </c>
      <c r="B2158" s="4" t="s">
        <v>60</v>
      </c>
      <c r="C2158" s="4" t="n">
        <v>2</v>
      </c>
      <c r="D2158" s="4" t="s">
        <v>55</v>
      </c>
      <c r="E2158" s="3" t="s">
        <v>248</v>
      </c>
      <c r="F2158" s="4" t="str">
        <f aca="false">IF(I2158&gt;J2158,"Y","N")</f>
        <v>N</v>
      </c>
      <c r="G2158" s="3" t="s">
        <v>239</v>
      </c>
      <c r="H2158" s="3" t="s">
        <v>21</v>
      </c>
      <c r="I2158" s="4" t="n">
        <v>7</v>
      </c>
      <c r="J2158" s="4" t="n">
        <f aca="false">LEN(E2158)-LEN(SUBSTITUTE(E2158,",",""))+1</f>
        <v>7</v>
      </c>
      <c r="K2158" s="3" t="str">
        <f aca="false">IFERROR(INDEX('Teacher Lookup'!$B$2:$B$200,MATCH(A2158,'Teacher Lookup'!$A$2:$A$200,0)),"")</f>
        <v>CHIU Chris</v>
      </c>
    </row>
    <row r="2159" customFormat="false" ht="15" hidden="false" customHeight="false" outlineLevel="0" collapsed="false">
      <c r="A2159" s="3" t="s">
        <v>356</v>
      </c>
      <c r="B2159" s="4" t="s">
        <v>60</v>
      </c>
      <c r="C2159" s="4" t="n">
        <v>2</v>
      </c>
      <c r="D2159" s="4" t="s">
        <v>56</v>
      </c>
      <c r="E2159" s="3" t="s">
        <v>248</v>
      </c>
      <c r="F2159" s="4" t="str">
        <f aca="false">IF(I2159&gt;J2159,"Y","N")</f>
        <v>N</v>
      </c>
      <c r="G2159" s="3" t="s">
        <v>239</v>
      </c>
      <c r="H2159" s="3" t="s">
        <v>21</v>
      </c>
      <c r="I2159" s="4" t="n">
        <v>7</v>
      </c>
      <c r="J2159" s="4" t="n">
        <f aca="false">LEN(E2159)-LEN(SUBSTITUTE(E2159,",",""))+1</f>
        <v>7</v>
      </c>
      <c r="K2159" s="3" t="str">
        <f aca="false">IFERROR(INDEX('Teacher Lookup'!$B$2:$B$200,MATCH(A2159,'Teacher Lookup'!$A$2:$A$200,0)),"")</f>
        <v>CHIU Chris</v>
      </c>
    </row>
    <row r="2160" customFormat="false" ht="15" hidden="false" customHeight="false" outlineLevel="0" collapsed="false">
      <c r="A2160" s="3" t="s">
        <v>356</v>
      </c>
      <c r="B2160" s="4" t="s">
        <v>60</v>
      </c>
      <c r="C2160" s="4" t="n">
        <v>2</v>
      </c>
      <c r="D2160" s="4" t="s">
        <v>57</v>
      </c>
      <c r="E2160" s="3" t="s">
        <v>248</v>
      </c>
      <c r="F2160" s="4" t="str">
        <f aca="false">IF(I2160&gt;J2160,"Y","N")</f>
        <v>N</v>
      </c>
      <c r="G2160" s="3" t="s">
        <v>239</v>
      </c>
      <c r="H2160" s="3" t="s">
        <v>21</v>
      </c>
      <c r="I2160" s="4" t="n">
        <v>7</v>
      </c>
      <c r="J2160" s="4" t="n">
        <f aca="false">LEN(E2160)-LEN(SUBSTITUTE(E2160,",",""))+1</f>
        <v>7</v>
      </c>
      <c r="K2160" s="3" t="str">
        <f aca="false">IFERROR(INDEX('Teacher Lookup'!$B$2:$B$200,MATCH(A2160,'Teacher Lookup'!$A$2:$A$200,0)),"")</f>
        <v>CHIU Chris</v>
      </c>
    </row>
    <row r="2161" customFormat="false" ht="15" hidden="false" customHeight="false" outlineLevel="0" collapsed="false">
      <c r="A2161" s="3" t="s">
        <v>356</v>
      </c>
      <c r="B2161" s="4" t="s">
        <v>60</v>
      </c>
      <c r="C2161" s="4" t="n">
        <v>2</v>
      </c>
      <c r="D2161" s="4" t="s">
        <v>58</v>
      </c>
      <c r="E2161" s="3" t="s">
        <v>248</v>
      </c>
      <c r="F2161" s="4" t="str">
        <f aca="false">IF(I2161&gt;J2161,"Y","N")</f>
        <v>N</v>
      </c>
      <c r="G2161" s="3" t="s">
        <v>239</v>
      </c>
      <c r="H2161" s="3" t="s">
        <v>21</v>
      </c>
      <c r="I2161" s="4" t="n">
        <v>7</v>
      </c>
      <c r="J2161" s="4" t="n">
        <f aca="false">LEN(E2161)-LEN(SUBSTITUTE(E2161,",",""))+1</f>
        <v>7</v>
      </c>
      <c r="K2161" s="3" t="str">
        <f aca="false">IFERROR(INDEX('Teacher Lookup'!$B$2:$B$200,MATCH(A2161,'Teacher Lookup'!$A$2:$A$200,0)),"")</f>
        <v>CHIU Chris</v>
      </c>
    </row>
    <row r="2162" customFormat="false" ht="15" hidden="false" customHeight="false" outlineLevel="0" collapsed="false">
      <c r="A2162" s="3" t="s">
        <v>356</v>
      </c>
      <c r="B2162" s="4" t="s">
        <v>60</v>
      </c>
      <c r="C2162" s="4" t="n">
        <v>2</v>
      </c>
      <c r="D2162" s="4" t="s">
        <v>59</v>
      </c>
      <c r="E2162" s="3" t="s">
        <v>248</v>
      </c>
      <c r="F2162" s="4" t="str">
        <f aca="false">IF(I2162&gt;J2162,"Y","N")</f>
        <v>N</v>
      </c>
      <c r="G2162" s="3" t="s">
        <v>239</v>
      </c>
      <c r="H2162" s="3" t="s">
        <v>21</v>
      </c>
      <c r="I2162" s="4" t="n">
        <v>7</v>
      </c>
      <c r="J2162" s="4" t="n">
        <f aca="false">LEN(E2162)-LEN(SUBSTITUTE(E2162,",",""))+1</f>
        <v>7</v>
      </c>
      <c r="K2162" s="3" t="str">
        <f aca="false">IFERROR(INDEX('Teacher Lookup'!$B$2:$B$200,MATCH(A2162,'Teacher Lookup'!$A$2:$A$200,0)),"")</f>
        <v>CHIU Chris</v>
      </c>
    </row>
    <row r="2163" customFormat="false" ht="15" hidden="false" customHeight="false" outlineLevel="0" collapsed="false">
      <c r="A2163" s="3" t="s">
        <v>356</v>
      </c>
      <c r="B2163" s="4" t="s">
        <v>60</v>
      </c>
      <c r="C2163" s="4" t="n">
        <v>5</v>
      </c>
      <c r="D2163" s="4" t="s">
        <v>19</v>
      </c>
      <c r="E2163" s="3" t="s">
        <v>35</v>
      </c>
      <c r="F2163" s="4" t="str">
        <f aca="false">IF(I2163&gt;J2163,"Y","N")</f>
        <v>Y</v>
      </c>
      <c r="G2163" s="3" t="s">
        <v>36</v>
      </c>
      <c r="H2163" s="3" t="s">
        <v>37</v>
      </c>
      <c r="I2163" s="4" t="n">
        <v>17</v>
      </c>
      <c r="J2163" s="4" t="n">
        <f aca="false">LEN(E2163)-LEN(SUBSTITUTE(E2163,",",""))+1</f>
        <v>7</v>
      </c>
      <c r="K2163" s="3" t="str">
        <f aca="false">IFERROR(INDEX('Teacher Lookup'!$B$2:$B$200,MATCH(A2163,'Teacher Lookup'!$A$2:$A$200,0)),"")</f>
        <v>CHIU Chris</v>
      </c>
    </row>
    <row r="2164" customFormat="false" ht="15" hidden="false" customHeight="false" outlineLevel="0" collapsed="false">
      <c r="A2164" s="3" t="s">
        <v>356</v>
      </c>
      <c r="B2164" s="4" t="s">
        <v>60</v>
      </c>
      <c r="C2164" s="4" t="n">
        <v>5</v>
      </c>
      <c r="D2164" s="4" t="s">
        <v>22</v>
      </c>
      <c r="E2164" s="3" t="s">
        <v>35</v>
      </c>
      <c r="F2164" s="4" t="str">
        <f aca="false">IF(I2164&gt;J2164,"Y","N")</f>
        <v>Y</v>
      </c>
      <c r="G2164" s="3" t="s">
        <v>36</v>
      </c>
      <c r="H2164" s="3" t="s">
        <v>37</v>
      </c>
      <c r="I2164" s="4" t="n">
        <v>17</v>
      </c>
      <c r="J2164" s="4" t="n">
        <f aca="false">LEN(E2164)-LEN(SUBSTITUTE(E2164,",",""))+1</f>
        <v>7</v>
      </c>
      <c r="K2164" s="3" t="str">
        <f aca="false">IFERROR(INDEX('Teacher Lookup'!$B$2:$B$200,MATCH(A2164,'Teacher Lookup'!$A$2:$A$200,0)),"")</f>
        <v>CHIU Chris</v>
      </c>
    </row>
    <row r="2165" customFormat="false" ht="15" hidden="false" customHeight="false" outlineLevel="0" collapsed="false">
      <c r="A2165" s="3" t="s">
        <v>356</v>
      </c>
      <c r="B2165" s="4" t="s">
        <v>60</v>
      </c>
      <c r="C2165" s="4" t="n">
        <v>5</v>
      </c>
      <c r="D2165" s="4" t="s">
        <v>23</v>
      </c>
      <c r="E2165" s="3" t="s">
        <v>35</v>
      </c>
      <c r="F2165" s="4" t="str">
        <f aca="false">IF(I2165&gt;J2165,"Y","N")</f>
        <v>Y</v>
      </c>
      <c r="G2165" s="3" t="s">
        <v>36</v>
      </c>
      <c r="H2165" s="3" t="s">
        <v>37</v>
      </c>
      <c r="I2165" s="4" t="n">
        <v>17</v>
      </c>
      <c r="J2165" s="4" t="n">
        <f aca="false">LEN(E2165)-LEN(SUBSTITUTE(E2165,",",""))+1</f>
        <v>7</v>
      </c>
      <c r="K2165" s="3" t="str">
        <f aca="false">IFERROR(INDEX('Teacher Lookup'!$B$2:$B$200,MATCH(A2165,'Teacher Lookup'!$A$2:$A$200,0)),"")</f>
        <v>CHIU Chris</v>
      </c>
    </row>
    <row r="2166" customFormat="false" ht="15" hidden="false" customHeight="false" outlineLevel="0" collapsed="false">
      <c r="A2166" s="3" t="s">
        <v>356</v>
      </c>
      <c r="B2166" s="4" t="s">
        <v>60</v>
      </c>
      <c r="C2166" s="4" t="n">
        <v>5</v>
      </c>
      <c r="D2166" s="4" t="s">
        <v>13</v>
      </c>
      <c r="E2166" s="3" t="s">
        <v>35</v>
      </c>
      <c r="F2166" s="4" t="str">
        <f aca="false">IF(I2166&gt;J2166,"Y","N")</f>
        <v>Y</v>
      </c>
      <c r="G2166" s="3" t="s">
        <v>36</v>
      </c>
      <c r="H2166" s="3" t="s">
        <v>37</v>
      </c>
      <c r="I2166" s="4" t="n">
        <v>17</v>
      </c>
      <c r="J2166" s="4" t="n">
        <f aca="false">LEN(E2166)-LEN(SUBSTITUTE(E2166,",",""))+1</f>
        <v>7</v>
      </c>
      <c r="K2166" s="3" t="str">
        <f aca="false">IFERROR(INDEX('Teacher Lookup'!$B$2:$B$200,MATCH(A2166,'Teacher Lookup'!$A$2:$A$200,0)),"")</f>
        <v>CHIU Chris</v>
      </c>
    </row>
    <row r="2167" customFormat="false" ht="15" hidden="false" customHeight="false" outlineLevel="0" collapsed="false">
      <c r="A2167" s="3" t="s">
        <v>356</v>
      </c>
      <c r="B2167" s="4" t="s">
        <v>60</v>
      </c>
      <c r="C2167" s="4" t="n">
        <v>5</v>
      </c>
      <c r="D2167" s="4" t="s">
        <v>17</v>
      </c>
      <c r="E2167" s="3" t="s">
        <v>35</v>
      </c>
      <c r="F2167" s="4" t="str">
        <f aca="false">IF(I2167&gt;J2167,"Y","N")</f>
        <v>Y</v>
      </c>
      <c r="G2167" s="3" t="s">
        <v>36</v>
      </c>
      <c r="H2167" s="3" t="s">
        <v>37</v>
      </c>
      <c r="I2167" s="4" t="n">
        <v>17</v>
      </c>
      <c r="J2167" s="4" t="n">
        <f aca="false">LEN(E2167)-LEN(SUBSTITUTE(E2167,",",""))+1</f>
        <v>7</v>
      </c>
      <c r="K2167" s="3" t="str">
        <f aca="false">IFERROR(INDEX('Teacher Lookup'!$B$2:$B$200,MATCH(A2167,'Teacher Lookup'!$A$2:$A$200,0)),"")</f>
        <v>CHIU Chris</v>
      </c>
    </row>
    <row r="2168" customFormat="false" ht="15" hidden="false" customHeight="false" outlineLevel="0" collapsed="false">
      <c r="A2168" s="3" t="s">
        <v>356</v>
      </c>
      <c r="B2168" s="4" t="s">
        <v>60</v>
      </c>
      <c r="C2168" s="4" t="n">
        <v>5</v>
      </c>
      <c r="D2168" s="4" t="s">
        <v>18</v>
      </c>
      <c r="E2168" s="3" t="s">
        <v>35</v>
      </c>
      <c r="F2168" s="4" t="str">
        <f aca="false">IF(I2168&gt;J2168,"Y","N")</f>
        <v>Y</v>
      </c>
      <c r="G2168" s="3" t="s">
        <v>36</v>
      </c>
      <c r="H2168" s="3" t="s">
        <v>37</v>
      </c>
      <c r="I2168" s="4" t="n">
        <v>17</v>
      </c>
      <c r="J2168" s="4" t="n">
        <f aca="false">LEN(E2168)-LEN(SUBSTITUTE(E2168,",",""))+1</f>
        <v>7</v>
      </c>
      <c r="K2168" s="3" t="str">
        <f aca="false">IFERROR(INDEX('Teacher Lookup'!$B$2:$B$200,MATCH(A2168,'Teacher Lookup'!$A$2:$A$200,0)),"")</f>
        <v>CHIU Chris</v>
      </c>
    </row>
    <row r="2169" customFormat="false" ht="15" hidden="false" customHeight="false" outlineLevel="0" collapsed="false">
      <c r="A2169" s="3" t="s">
        <v>356</v>
      </c>
      <c r="B2169" s="4" t="s">
        <v>63</v>
      </c>
      <c r="C2169" s="4" t="n">
        <v>4</v>
      </c>
      <c r="D2169" s="4" t="s">
        <v>70</v>
      </c>
      <c r="E2169" s="3" t="s">
        <v>213</v>
      </c>
      <c r="F2169" s="4" t="str">
        <f aca="false">IF(I2169&gt;J2169,"Y","N")</f>
        <v>Y</v>
      </c>
      <c r="G2169" s="3" t="s">
        <v>214</v>
      </c>
      <c r="H2169" s="3" t="s">
        <v>34</v>
      </c>
      <c r="I2169" s="4" t="n">
        <v>20</v>
      </c>
      <c r="J2169" s="4" t="n">
        <f aca="false">LEN(E2169)-LEN(SUBSTITUTE(E2169,",",""))+1</f>
        <v>6</v>
      </c>
      <c r="K2169" s="3" t="str">
        <f aca="false">IFERROR(INDEX('Teacher Lookup'!$B$2:$B$200,MATCH(A2169,'Teacher Lookup'!$A$2:$A$200,0)),"")</f>
        <v>CHIU Chris</v>
      </c>
    </row>
    <row r="2170" customFormat="false" ht="15" hidden="false" customHeight="false" outlineLevel="0" collapsed="false">
      <c r="A2170" s="3" t="s">
        <v>356</v>
      </c>
      <c r="B2170" s="4" t="s">
        <v>63</v>
      </c>
      <c r="C2170" s="4" t="n">
        <v>4</v>
      </c>
      <c r="D2170" s="4" t="s">
        <v>73</v>
      </c>
      <c r="E2170" s="3" t="s">
        <v>213</v>
      </c>
      <c r="F2170" s="4" t="str">
        <f aca="false">IF(I2170&gt;J2170,"Y","N")</f>
        <v>Y</v>
      </c>
      <c r="G2170" s="3" t="s">
        <v>214</v>
      </c>
      <c r="H2170" s="3" t="s">
        <v>34</v>
      </c>
      <c r="I2170" s="4" t="n">
        <v>20</v>
      </c>
      <c r="J2170" s="4" t="n">
        <f aca="false">LEN(E2170)-LEN(SUBSTITUTE(E2170,",",""))+1</f>
        <v>6</v>
      </c>
      <c r="K2170" s="3" t="str">
        <f aca="false">IFERROR(INDEX('Teacher Lookup'!$B$2:$B$200,MATCH(A2170,'Teacher Lookup'!$A$2:$A$200,0)),"")</f>
        <v>CHIU Chris</v>
      </c>
    </row>
    <row r="2171" customFormat="false" ht="15" hidden="false" customHeight="false" outlineLevel="0" collapsed="false">
      <c r="A2171" s="3" t="s">
        <v>356</v>
      </c>
      <c r="B2171" s="4" t="s">
        <v>63</v>
      </c>
      <c r="C2171" s="4" t="n">
        <v>4</v>
      </c>
      <c r="D2171" s="4" t="s">
        <v>74</v>
      </c>
      <c r="E2171" s="3" t="s">
        <v>213</v>
      </c>
      <c r="F2171" s="4" t="str">
        <f aca="false">IF(I2171&gt;J2171,"Y","N")</f>
        <v>Y</v>
      </c>
      <c r="G2171" s="3" t="s">
        <v>214</v>
      </c>
      <c r="H2171" s="3" t="s">
        <v>34</v>
      </c>
      <c r="I2171" s="4" t="n">
        <v>20</v>
      </c>
      <c r="J2171" s="4" t="n">
        <f aca="false">LEN(E2171)-LEN(SUBSTITUTE(E2171,",",""))+1</f>
        <v>6</v>
      </c>
      <c r="K2171" s="3" t="str">
        <f aca="false">IFERROR(INDEX('Teacher Lookup'!$B$2:$B$200,MATCH(A2171,'Teacher Lookup'!$A$2:$A$200,0)),"")</f>
        <v>CHIU Chris</v>
      </c>
    </row>
    <row r="2172" customFormat="false" ht="15" hidden="false" customHeight="false" outlineLevel="0" collapsed="false">
      <c r="A2172" s="3" t="s">
        <v>356</v>
      </c>
      <c r="B2172" s="4" t="s">
        <v>63</v>
      </c>
      <c r="C2172" s="4" t="n">
        <v>4</v>
      </c>
      <c r="D2172" s="4" t="s">
        <v>76</v>
      </c>
      <c r="E2172" s="3" t="s">
        <v>213</v>
      </c>
      <c r="F2172" s="4" t="str">
        <f aca="false">IF(I2172&gt;J2172,"Y","N")</f>
        <v>Y</v>
      </c>
      <c r="G2172" s="3" t="s">
        <v>214</v>
      </c>
      <c r="H2172" s="3" t="s">
        <v>34</v>
      </c>
      <c r="I2172" s="4" t="n">
        <v>20</v>
      </c>
      <c r="J2172" s="4" t="n">
        <f aca="false">LEN(E2172)-LEN(SUBSTITUTE(E2172,",",""))+1</f>
        <v>6</v>
      </c>
      <c r="K2172" s="3" t="str">
        <f aca="false">IFERROR(INDEX('Teacher Lookup'!$B$2:$B$200,MATCH(A2172,'Teacher Lookup'!$A$2:$A$200,0)),"")</f>
        <v>CHIU Chris</v>
      </c>
    </row>
    <row r="2173" customFormat="false" ht="15" hidden="false" customHeight="false" outlineLevel="0" collapsed="false">
      <c r="A2173" s="3" t="s">
        <v>356</v>
      </c>
      <c r="B2173" s="4" t="s">
        <v>63</v>
      </c>
      <c r="C2173" s="4" t="n">
        <v>4</v>
      </c>
      <c r="D2173" s="4" t="s">
        <v>78</v>
      </c>
      <c r="E2173" s="3" t="s">
        <v>213</v>
      </c>
      <c r="F2173" s="4" t="str">
        <f aca="false">IF(I2173&gt;J2173,"Y","N")</f>
        <v>Y</v>
      </c>
      <c r="G2173" s="3" t="s">
        <v>214</v>
      </c>
      <c r="H2173" s="3" t="s">
        <v>34</v>
      </c>
      <c r="I2173" s="4" t="n">
        <v>20</v>
      </c>
      <c r="J2173" s="4" t="n">
        <f aca="false">LEN(E2173)-LEN(SUBSTITUTE(E2173,",",""))+1</f>
        <v>6</v>
      </c>
      <c r="K2173" s="3" t="str">
        <f aca="false">IFERROR(INDEX('Teacher Lookup'!$B$2:$B$200,MATCH(A2173,'Teacher Lookup'!$A$2:$A$200,0)),"")</f>
        <v>CHIU Chris</v>
      </c>
    </row>
    <row r="2174" customFormat="false" ht="15" hidden="false" customHeight="false" outlineLevel="0" collapsed="false">
      <c r="A2174" s="3" t="s">
        <v>356</v>
      </c>
      <c r="B2174" s="4" t="s">
        <v>63</v>
      </c>
      <c r="C2174" s="4" t="n">
        <v>4</v>
      </c>
      <c r="D2174" s="4" t="s">
        <v>79</v>
      </c>
      <c r="E2174" s="3" t="s">
        <v>213</v>
      </c>
      <c r="F2174" s="4" t="str">
        <f aca="false">IF(I2174&gt;J2174,"Y","N")</f>
        <v>Y</v>
      </c>
      <c r="G2174" s="3" t="s">
        <v>214</v>
      </c>
      <c r="H2174" s="3" t="s">
        <v>34</v>
      </c>
      <c r="I2174" s="4" t="n">
        <v>20</v>
      </c>
      <c r="J2174" s="4" t="n">
        <f aca="false">LEN(E2174)-LEN(SUBSTITUTE(E2174,",",""))+1</f>
        <v>6</v>
      </c>
      <c r="K2174" s="3" t="str">
        <f aca="false">IFERROR(INDEX('Teacher Lookup'!$B$2:$B$200,MATCH(A2174,'Teacher Lookup'!$A$2:$A$200,0)),"")</f>
        <v>CHIU Chris</v>
      </c>
    </row>
    <row r="2175" customFormat="false" ht="15" hidden="false" customHeight="false" outlineLevel="0" collapsed="false">
      <c r="A2175" s="3" t="s">
        <v>356</v>
      </c>
      <c r="B2175" s="4" t="s">
        <v>63</v>
      </c>
      <c r="C2175" s="4" t="n">
        <v>5</v>
      </c>
      <c r="D2175" s="4" t="s">
        <v>70</v>
      </c>
      <c r="E2175" s="3" t="s">
        <v>213</v>
      </c>
      <c r="F2175" s="4" t="str">
        <f aca="false">IF(I2175&gt;J2175,"Y","N")</f>
        <v>Y</v>
      </c>
      <c r="G2175" s="3" t="s">
        <v>214</v>
      </c>
      <c r="H2175" s="3" t="s">
        <v>37</v>
      </c>
      <c r="I2175" s="4" t="n">
        <v>20</v>
      </c>
      <c r="J2175" s="4" t="n">
        <f aca="false">LEN(E2175)-LEN(SUBSTITUTE(E2175,",",""))+1</f>
        <v>6</v>
      </c>
      <c r="K2175" s="3" t="str">
        <f aca="false">IFERROR(INDEX('Teacher Lookup'!$B$2:$B$200,MATCH(A2175,'Teacher Lookup'!$A$2:$A$200,0)),"")</f>
        <v>CHIU Chris</v>
      </c>
    </row>
    <row r="2176" customFormat="false" ht="15" hidden="false" customHeight="false" outlineLevel="0" collapsed="false">
      <c r="A2176" s="3" t="s">
        <v>356</v>
      </c>
      <c r="B2176" s="4" t="s">
        <v>63</v>
      </c>
      <c r="C2176" s="4" t="n">
        <v>5</v>
      </c>
      <c r="D2176" s="4" t="s">
        <v>73</v>
      </c>
      <c r="E2176" s="3" t="s">
        <v>213</v>
      </c>
      <c r="F2176" s="4" t="str">
        <f aca="false">IF(I2176&gt;J2176,"Y","N")</f>
        <v>Y</v>
      </c>
      <c r="G2176" s="3" t="s">
        <v>214</v>
      </c>
      <c r="H2176" s="3" t="s">
        <v>37</v>
      </c>
      <c r="I2176" s="4" t="n">
        <v>20</v>
      </c>
      <c r="J2176" s="4" t="n">
        <f aca="false">LEN(E2176)-LEN(SUBSTITUTE(E2176,",",""))+1</f>
        <v>6</v>
      </c>
      <c r="K2176" s="3" t="str">
        <f aca="false">IFERROR(INDEX('Teacher Lookup'!$B$2:$B$200,MATCH(A2176,'Teacher Lookup'!$A$2:$A$200,0)),"")</f>
        <v>CHIU Chris</v>
      </c>
    </row>
    <row r="2177" customFormat="false" ht="15" hidden="false" customHeight="false" outlineLevel="0" collapsed="false">
      <c r="A2177" s="3" t="s">
        <v>356</v>
      </c>
      <c r="B2177" s="4" t="s">
        <v>63</v>
      </c>
      <c r="C2177" s="4" t="n">
        <v>5</v>
      </c>
      <c r="D2177" s="4" t="s">
        <v>74</v>
      </c>
      <c r="E2177" s="3" t="s">
        <v>213</v>
      </c>
      <c r="F2177" s="4" t="str">
        <f aca="false">IF(I2177&gt;J2177,"Y","N")</f>
        <v>Y</v>
      </c>
      <c r="G2177" s="3" t="s">
        <v>214</v>
      </c>
      <c r="H2177" s="3" t="s">
        <v>37</v>
      </c>
      <c r="I2177" s="4" t="n">
        <v>20</v>
      </c>
      <c r="J2177" s="4" t="n">
        <f aca="false">LEN(E2177)-LEN(SUBSTITUTE(E2177,",",""))+1</f>
        <v>6</v>
      </c>
      <c r="K2177" s="3" t="str">
        <f aca="false">IFERROR(INDEX('Teacher Lookup'!$B$2:$B$200,MATCH(A2177,'Teacher Lookup'!$A$2:$A$200,0)),"")</f>
        <v>CHIU Chris</v>
      </c>
    </row>
    <row r="2178" customFormat="false" ht="15" hidden="false" customHeight="false" outlineLevel="0" collapsed="false">
      <c r="A2178" s="3" t="s">
        <v>356</v>
      </c>
      <c r="B2178" s="4" t="s">
        <v>63</v>
      </c>
      <c r="C2178" s="4" t="n">
        <v>5</v>
      </c>
      <c r="D2178" s="4" t="s">
        <v>76</v>
      </c>
      <c r="E2178" s="3" t="s">
        <v>213</v>
      </c>
      <c r="F2178" s="4" t="str">
        <f aca="false">IF(I2178&gt;J2178,"Y","N")</f>
        <v>Y</v>
      </c>
      <c r="G2178" s="3" t="s">
        <v>214</v>
      </c>
      <c r="H2178" s="3" t="s">
        <v>37</v>
      </c>
      <c r="I2178" s="4" t="n">
        <v>20</v>
      </c>
      <c r="J2178" s="4" t="n">
        <f aca="false">LEN(E2178)-LEN(SUBSTITUTE(E2178,",",""))+1</f>
        <v>6</v>
      </c>
      <c r="K2178" s="3" t="str">
        <f aca="false">IFERROR(INDEX('Teacher Lookup'!$B$2:$B$200,MATCH(A2178,'Teacher Lookup'!$A$2:$A$200,0)),"")</f>
        <v>CHIU Chris</v>
      </c>
    </row>
    <row r="2179" customFormat="false" ht="15" hidden="false" customHeight="false" outlineLevel="0" collapsed="false">
      <c r="A2179" s="3" t="s">
        <v>356</v>
      </c>
      <c r="B2179" s="4" t="s">
        <v>63</v>
      </c>
      <c r="C2179" s="4" t="n">
        <v>5</v>
      </c>
      <c r="D2179" s="4" t="s">
        <v>78</v>
      </c>
      <c r="E2179" s="3" t="s">
        <v>213</v>
      </c>
      <c r="F2179" s="4" t="str">
        <f aca="false">IF(I2179&gt;J2179,"Y","N")</f>
        <v>Y</v>
      </c>
      <c r="G2179" s="3" t="s">
        <v>214</v>
      </c>
      <c r="H2179" s="3" t="s">
        <v>37</v>
      </c>
      <c r="I2179" s="4" t="n">
        <v>20</v>
      </c>
      <c r="J2179" s="4" t="n">
        <f aca="false">LEN(E2179)-LEN(SUBSTITUTE(E2179,",",""))+1</f>
        <v>6</v>
      </c>
      <c r="K2179" s="3" t="str">
        <f aca="false">IFERROR(INDEX('Teacher Lookup'!$B$2:$B$200,MATCH(A2179,'Teacher Lookup'!$A$2:$A$200,0)),"")</f>
        <v>CHIU Chris</v>
      </c>
    </row>
    <row r="2180" customFormat="false" ht="15" hidden="false" customHeight="false" outlineLevel="0" collapsed="false">
      <c r="A2180" s="3" t="s">
        <v>356</v>
      </c>
      <c r="B2180" s="4" t="s">
        <v>63</v>
      </c>
      <c r="C2180" s="4" t="n">
        <v>5</v>
      </c>
      <c r="D2180" s="4" t="s">
        <v>79</v>
      </c>
      <c r="E2180" s="3" t="s">
        <v>213</v>
      </c>
      <c r="F2180" s="4" t="str">
        <f aca="false">IF(I2180&gt;J2180,"Y","N")</f>
        <v>Y</v>
      </c>
      <c r="G2180" s="3" t="s">
        <v>214</v>
      </c>
      <c r="H2180" s="3" t="s">
        <v>37</v>
      </c>
      <c r="I2180" s="4" t="n">
        <v>20</v>
      </c>
      <c r="J2180" s="4" t="n">
        <f aca="false">LEN(E2180)-LEN(SUBSTITUTE(E2180,",",""))+1</f>
        <v>6</v>
      </c>
      <c r="K2180" s="3" t="str">
        <f aca="false">IFERROR(INDEX('Teacher Lookup'!$B$2:$B$200,MATCH(A2180,'Teacher Lookup'!$A$2:$A$200,0)),"")</f>
        <v>CHIU Chris</v>
      </c>
    </row>
    <row r="2181" customFormat="false" ht="15" hidden="false" customHeight="false" outlineLevel="0" collapsed="false">
      <c r="A2181" s="3" t="s">
        <v>356</v>
      </c>
      <c r="B2181" s="4" t="s">
        <v>63</v>
      </c>
      <c r="C2181" s="4" t="n">
        <v>6</v>
      </c>
      <c r="D2181" s="4" t="s">
        <v>52</v>
      </c>
      <c r="E2181" s="3" t="s">
        <v>249</v>
      </c>
      <c r="F2181" s="4" t="str">
        <f aca="false">IF(I2181&gt;J2181,"Y","N")</f>
        <v>N</v>
      </c>
      <c r="G2181" s="3" t="s">
        <v>239</v>
      </c>
      <c r="H2181" s="3" t="s">
        <v>42</v>
      </c>
      <c r="I2181" s="4" t="n">
        <v>7</v>
      </c>
      <c r="J2181" s="4" t="n">
        <f aca="false">LEN(E2181)-LEN(SUBSTITUTE(E2181,",",""))+1</f>
        <v>7</v>
      </c>
      <c r="K2181" s="3" t="str">
        <f aca="false">IFERROR(INDEX('Teacher Lookup'!$B$2:$B$200,MATCH(A2181,'Teacher Lookup'!$A$2:$A$200,0)),"")</f>
        <v>CHIU Chris</v>
      </c>
    </row>
    <row r="2182" customFormat="false" ht="15" hidden="false" customHeight="false" outlineLevel="0" collapsed="false">
      <c r="A2182" s="3" t="s">
        <v>356</v>
      </c>
      <c r="B2182" s="4" t="s">
        <v>63</v>
      </c>
      <c r="C2182" s="4" t="n">
        <v>6</v>
      </c>
      <c r="D2182" s="4" t="s">
        <v>55</v>
      </c>
      <c r="E2182" s="3" t="s">
        <v>249</v>
      </c>
      <c r="F2182" s="4" t="str">
        <f aca="false">IF(I2182&gt;J2182,"Y","N")</f>
        <v>N</v>
      </c>
      <c r="G2182" s="3" t="s">
        <v>239</v>
      </c>
      <c r="H2182" s="3" t="s">
        <v>42</v>
      </c>
      <c r="I2182" s="4" t="n">
        <v>7</v>
      </c>
      <c r="J2182" s="4" t="n">
        <f aca="false">LEN(E2182)-LEN(SUBSTITUTE(E2182,",",""))+1</f>
        <v>7</v>
      </c>
      <c r="K2182" s="3" t="str">
        <f aca="false">IFERROR(INDEX('Teacher Lookup'!$B$2:$B$200,MATCH(A2182,'Teacher Lookup'!$A$2:$A$200,0)),"")</f>
        <v>CHIU Chris</v>
      </c>
    </row>
    <row r="2183" customFormat="false" ht="15" hidden="false" customHeight="false" outlineLevel="0" collapsed="false">
      <c r="A2183" s="3" t="s">
        <v>356</v>
      </c>
      <c r="B2183" s="4" t="s">
        <v>63</v>
      </c>
      <c r="C2183" s="4" t="n">
        <v>6</v>
      </c>
      <c r="D2183" s="4" t="s">
        <v>56</v>
      </c>
      <c r="E2183" s="3" t="s">
        <v>249</v>
      </c>
      <c r="F2183" s="4" t="str">
        <f aca="false">IF(I2183&gt;J2183,"Y","N")</f>
        <v>N</v>
      </c>
      <c r="G2183" s="3" t="s">
        <v>239</v>
      </c>
      <c r="H2183" s="3" t="s">
        <v>42</v>
      </c>
      <c r="I2183" s="4" t="n">
        <v>7</v>
      </c>
      <c r="J2183" s="4" t="n">
        <f aca="false">LEN(E2183)-LEN(SUBSTITUTE(E2183,",",""))+1</f>
        <v>7</v>
      </c>
      <c r="K2183" s="3" t="str">
        <f aca="false">IFERROR(INDEX('Teacher Lookup'!$B$2:$B$200,MATCH(A2183,'Teacher Lookup'!$A$2:$A$200,0)),"")</f>
        <v>CHIU Chris</v>
      </c>
    </row>
    <row r="2184" customFormat="false" ht="15" hidden="false" customHeight="false" outlineLevel="0" collapsed="false">
      <c r="A2184" s="3" t="s">
        <v>356</v>
      </c>
      <c r="B2184" s="4" t="s">
        <v>63</v>
      </c>
      <c r="C2184" s="4" t="n">
        <v>6</v>
      </c>
      <c r="D2184" s="4" t="s">
        <v>57</v>
      </c>
      <c r="E2184" s="3" t="s">
        <v>249</v>
      </c>
      <c r="F2184" s="4" t="str">
        <f aca="false">IF(I2184&gt;J2184,"Y","N")</f>
        <v>N</v>
      </c>
      <c r="G2184" s="3" t="s">
        <v>239</v>
      </c>
      <c r="H2184" s="3" t="s">
        <v>42</v>
      </c>
      <c r="I2184" s="4" t="n">
        <v>7</v>
      </c>
      <c r="J2184" s="4" t="n">
        <f aca="false">LEN(E2184)-LEN(SUBSTITUTE(E2184,",",""))+1</f>
        <v>7</v>
      </c>
      <c r="K2184" s="3" t="str">
        <f aca="false">IFERROR(INDEX('Teacher Lookup'!$B$2:$B$200,MATCH(A2184,'Teacher Lookup'!$A$2:$A$200,0)),"")</f>
        <v>CHIU Chris</v>
      </c>
    </row>
    <row r="2185" customFormat="false" ht="15" hidden="false" customHeight="false" outlineLevel="0" collapsed="false">
      <c r="A2185" s="3" t="s">
        <v>356</v>
      </c>
      <c r="B2185" s="4" t="s">
        <v>63</v>
      </c>
      <c r="C2185" s="4" t="n">
        <v>6</v>
      </c>
      <c r="D2185" s="4" t="s">
        <v>58</v>
      </c>
      <c r="E2185" s="3" t="s">
        <v>249</v>
      </c>
      <c r="F2185" s="4" t="str">
        <f aca="false">IF(I2185&gt;J2185,"Y","N")</f>
        <v>N</v>
      </c>
      <c r="G2185" s="3" t="s">
        <v>239</v>
      </c>
      <c r="H2185" s="3" t="s">
        <v>42</v>
      </c>
      <c r="I2185" s="4" t="n">
        <v>7</v>
      </c>
      <c r="J2185" s="4" t="n">
        <f aca="false">LEN(E2185)-LEN(SUBSTITUTE(E2185,",",""))+1</f>
        <v>7</v>
      </c>
      <c r="K2185" s="3" t="str">
        <f aca="false">IFERROR(INDEX('Teacher Lookup'!$B$2:$B$200,MATCH(A2185,'Teacher Lookup'!$A$2:$A$200,0)),"")</f>
        <v>CHIU Chris</v>
      </c>
    </row>
    <row r="2186" customFormat="false" ht="15" hidden="false" customHeight="false" outlineLevel="0" collapsed="false">
      <c r="A2186" s="3" t="s">
        <v>356</v>
      </c>
      <c r="B2186" s="4" t="s">
        <v>63</v>
      </c>
      <c r="C2186" s="4" t="n">
        <v>6</v>
      </c>
      <c r="D2186" s="4" t="s">
        <v>59</v>
      </c>
      <c r="E2186" s="3" t="s">
        <v>249</v>
      </c>
      <c r="F2186" s="4" t="str">
        <f aca="false">IF(I2186&gt;J2186,"Y","N")</f>
        <v>N</v>
      </c>
      <c r="G2186" s="3" t="s">
        <v>239</v>
      </c>
      <c r="H2186" s="3" t="s">
        <v>42</v>
      </c>
      <c r="I2186" s="4" t="n">
        <v>7</v>
      </c>
      <c r="J2186" s="4" t="n">
        <f aca="false">LEN(E2186)-LEN(SUBSTITUTE(E2186,",",""))+1</f>
        <v>7</v>
      </c>
      <c r="K2186" s="3" t="str">
        <f aca="false">IFERROR(INDEX('Teacher Lookup'!$B$2:$B$200,MATCH(A2186,'Teacher Lookup'!$A$2:$A$200,0)),"")</f>
        <v>CHIU Chris</v>
      </c>
    </row>
    <row r="2187" customFormat="false" ht="15" hidden="false" customHeight="false" outlineLevel="0" collapsed="false">
      <c r="A2187" s="3" t="s">
        <v>356</v>
      </c>
      <c r="B2187" s="4" t="s">
        <v>65</v>
      </c>
      <c r="C2187" s="4" t="n">
        <v>5</v>
      </c>
      <c r="D2187" s="4" t="s">
        <v>19</v>
      </c>
      <c r="E2187" s="3" t="s">
        <v>35</v>
      </c>
      <c r="F2187" s="4" t="str">
        <f aca="false">IF(I2187&gt;J2187,"Y","N")</f>
        <v>Y</v>
      </c>
      <c r="G2187" s="3" t="s">
        <v>36</v>
      </c>
      <c r="H2187" s="3" t="s">
        <v>37</v>
      </c>
      <c r="I2187" s="4" t="n">
        <v>17</v>
      </c>
      <c r="J2187" s="4" t="n">
        <f aca="false">LEN(E2187)-LEN(SUBSTITUTE(E2187,",",""))+1</f>
        <v>7</v>
      </c>
      <c r="K2187" s="3" t="str">
        <f aca="false">IFERROR(INDEX('Teacher Lookup'!$B$2:$B$200,MATCH(A2187,'Teacher Lookup'!$A$2:$A$200,0)),"")</f>
        <v>CHIU Chris</v>
      </c>
    </row>
    <row r="2188" customFormat="false" ht="15" hidden="false" customHeight="false" outlineLevel="0" collapsed="false">
      <c r="A2188" s="3" t="s">
        <v>356</v>
      </c>
      <c r="B2188" s="4" t="s">
        <v>65</v>
      </c>
      <c r="C2188" s="4" t="n">
        <v>5</v>
      </c>
      <c r="D2188" s="4" t="s">
        <v>22</v>
      </c>
      <c r="E2188" s="3" t="s">
        <v>35</v>
      </c>
      <c r="F2188" s="4" t="str">
        <f aca="false">IF(I2188&gt;J2188,"Y","N")</f>
        <v>Y</v>
      </c>
      <c r="G2188" s="3" t="s">
        <v>36</v>
      </c>
      <c r="H2188" s="3" t="s">
        <v>37</v>
      </c>
      <c r="I2188" s="4" t="n">
        <v>17</v>
      </c>
      <c r="J2188" s="4" t="n">
        <f aca="false">LEN(E2188)-LEN(SUBSTITUTE(E2188,",",""))+1</f>
        <v>7</v>
      </c>
      <c r="K2188" s="3" t="str">
        <f aca="false">IFERROR(INDEX('Teacher Lookup'!$B$2:$B$200,MATCH(A2188,'Teacher Lookup'!$A$2:$A$200,0)),"")</f>
        <v>CHIU Chris</v>
      </c>
    </row>
    <row r="2189" customFormat="false" ht="15" hidden="false" customHeight="false" outlineLevel="0" collapsed="false">
      <c r="A2189" s="3" t="s">
        <v>356</v>
      </c>
      <c r="B2189" s="4" t="s">
        <v>65</v>
      </c>
      <c r="C2189" s="4" t="n">
        <v>5</v>
      </c>
      <c r="D2189" s="4" t="s">
        <v>23</v>
      </c>
      <c r="E2189" s="3" t="s">
        <v>35</v>
      </c>
      <c r="F2189" s="4" t="str">
        <f aca="false">IF(I2189&gt;J2189,"Y","N")</f>
        <v>Y</v>
      </c>
      <c r="G2189" s="3" t="s">
        <v>36</v>
      </c>
      <c r="H2189" s="3" t="s">
        <v>37</v>
      </c>
      <c r="I2189" s="4" t="n">
        <v>17</v>
      </c>
      <c r="J2189" s="4" t="n">
        <f aca="false">LEN(E2189)-LEN(SUBSTITUTE(E2189,",",""))+1</f>
        <v>7</v>
      </c>
      <c r="K2189" s="3" t="str">
        <f aca="false">IFERROR(INDEX('Teacher Lookup'!$B$2:$B$200,MATCH(A2189,'Teacher Lookup'!$A$2:$A$200,0)),"")</f>
        <v>CHIU Chris</v>
      </c>
    </row>
    <row r="2190" customFormat="false" ht="15" hidden="false" customHeight="false" outlineLevel="0" collapsed="false">
      <c r="A2190" s="3" t="s">
        <v>356</v>
      </c>
      <c r="B2190" s="4" t="s">
        <v>65</v>
      </c>
      <c r="C2190" s="4" t="n">
        <v>5</v>
      </c>
      <c r="D2190" s="4" t="s">
        <v>13</v>
      </c>
      <c r="E2190" s="3" t="s">
        <v>35</v>
      </c>
      <c r="F2190" s="4" t="str">
        <f aca="false">IF(I2190&gt;J2190,"Y","N")</f>
        <v>Y</v>
      </c>
      <c r="G2190" s="3" t="s">
        <v>36</v>
      </c>
      <c r="H2190" s="3" t="s">
        <v>37</v>
      </c>
      <c r="I2190" s="4" t="n">
        <v>17</v>
      </c>
      <c r="J2190" s="4" t="n">
        <f aca="false">LEN(E2190)-LEN(SUBSTITUTE(E2190,",",""))+1</f>
        <v>7</v>
      </c>
      <c r="K2190" s="3" t="str">
        <f aca="false">IFERROR(INDEX('Teacher Lookup'!$B$2:$B$200,MATCH(A2190,'Teacher Lookup'!$A$2:$A$200,0)),"")</f>
        <v>CHIU Chris</v>
      </c>
    </row>
    <row r="2191" customFormat="false" ht="15" hidden="false" customHeight="false" outlineLevel="0" collapsed="false">
      <c r="A2191" s="3" t="s">
        <v>356</v>
      </c>
      <c r="B2191" s="4" t="s">
        <v>65</v>
      </c>
      <c r="C2191" s="4" t="n">
        <v>5</v>
      </c>
      <c r="D2191" s="4" t="s">
        <v>17</v>
      </c>
      <c r="E2191" s="3" t="s">
        <v>35</v>
      </c>
      <c r="F2191" s="4" t="str">
        <f aca="false">IF(I2191&gt;J2191,"Y","N")</f>
        <v>Y</v>
      </c>
      <c r="G2191" s="3" t="s">
        <v>36</v>
      </c>
      <c r="H2191" s="3" t="s">
        <v>37</v>
      </c>
      <c r="I2191" s="4" t="n">
        <v>17</v>
      </c>
      <c r="J2191" s="4" t="n">
        <f aca="false">LEN(E2191)-LEN(SUBSTITUTE(E2191,",",""))+1</f>
        <v>7</v>
      </c>
      <c r="K2191" s="3" t="str">
        <f aca="false">IFERROR(INDEX('Teacher Lookup'!$B$2:$B$200,MATCH(A2191,'Teacher Lookup'!$A$2:$A$200,0)),"")</f>
        <v>CHIU Chris</v>
      </c>
    </row>
    <row r="2192" customFormat="false" ht="15" hidden="false" customHeight="false" outlineLevel="0" collapsed="false">
      <c r="A2192" s="3" t="s">
        <v>356</v>
      </c>
      <c r="B2192" s="4" t="s">
        <v>65</v>
      </c>
      <c r="C2192" s="4" t="n">
        <v>5</v>
      </c>
      <c r="D2192" s="4" t="s">
        <v>18</v>
      </c>
      <c r="E2192" s="3" t="s">
        <v>35</v>
      </c>
      <c r="F2192" s="4" t="str">
        <f aca="false">IF(I2192&gt;J2192,"Y","N")</f>
        <v>Y</v>
      </c>
      <c r="G2192" s="3" t="s">
        <v>36</v>
      </c>
      <c r="H2192" s="3" t="s">
        <v>37</v>
      </c>
      <c r="I2192" s="4" t="n">
        <v>17</v>
      </c>
      <c r="J2192" s="4" t="n">
        <f aca="false">LEN(E2192)-LEN(SUBSTITUTE(E2192,",",""))+1</f>
        <v>7</v>
      </c>
      <c r="K2192" s="3" t="str">
        <f aca="false">IFERROR(INDEX('Teacher Lookup'!$B$2:$B$200,MATCH(A2192,'Teacher Lookup'!$A$2:$A$200,0)),"")</f>
        <v>CHIU Chris</v>
      </c>
    </row>
    <row r="2193" customFormat="false" ht="15" hidden="false" customHeight="false" outlineLevel="0" collapsed="false">
      <c r="A2193" s="3" t="s">
        <v>356</v>
      </c>
      <c r="B2193" s="4" t="s">
        <v>65</v>
      </c>
      <c r="C2193" s="4" t="n">
        <v>7</v>
      </c>
      <c r="D2193" s="4" t="s">
        <v>52</v>
      </c>
      <c r="E2193" s="3" t="s">
        <v>251</v>
      </c>
      <c r="F2193" s="4" t="str">
        <f aca="false">IF(I2193&gt;J2193,"Y","N")</f>
        <v>N</v>
      </c>
      <c r="G2193" s="3" t="s">
        <v>239</v>
      </c>
      <c r="H2193" s="3" t="s">
        <v>39</v>
      </c>
      <c r="I2193" s="4" t="n">
        <v>7</v>
      </c>
      <c r="J2193" s="4" t="n">
        <f aca="false">LEN(E2193)-LEN(SUBSTITUTE(E2193,",",""))+1</f>
        <v>7</v>
      </c>
      <c r="K2193" s="3" t="str">
        <f aca="false">IFERROR(INDEX('Teacher Lookup'!$B$2:$B$200,MATCH(A2193,'Teacher Lookup'!$A$2:$A$200,0)),"")</f>
        <v>CHIU Chris</v>
      </c>
    </row>
    <row r="2194" customFormat="false" ht="15" hidden="false" customHeight="false" outlineLevel="0" collapsed="false">
      <c r="A2194" s="3" t="s">
        <v>356</v>
      </c>
      <c r="B2194" s="4" t="s">
        <v>65</v>
      </c>
      <c r="C2194" s="4" t="n">
        <v>7</v>
      </c>
      <c r="D2194" s="4" t="s">
        <v>55</v>
      </c>
      <c r="E2194" s="3" t="s">
        <v>251</v>
      </c>
      <c r="F2194" s="4" t="str">
        <f aca="false">IF(I2194&gt;J2194,"Y","N")</f>
        <v>N</v>
      </c>
      <c r="G2194" s="3" t="s">
        <v>239</v>
      </c>
      <c r="H2194" s="3" t="s">
        <v>39</v>
      </c>
      <c r="I2194" s="4" t="n">
        <v>7</v>
      </c>
      <c r="J2194" s="4" t="n">
        <f aca="false">LEN(E2194)-LEN(SUBSTITUTE(E2194,",",""))+1</f>
        <v>7</v>
      </c>
      <c r="K2194" s="3" t="str">
        <f aca="false">IFERROR(INDEX('Teacher Lookup'!$B$2:$B$200,MATCH(A2194,'Teacher Lookup'!$A$2:$A$200,0)),"")</f>
        <v>CHIU Chris</v>
      </c>
    </row>
    <row r="2195" customFormat="false" ht="15" hidden="false" customHeight="false" outlineLevel="0" collapsed="false">
      <c r="A2195" s="3" t="s">
        <v>356</v>
      </c>
      <c r="B2195" s="4" t="s">
        <v>65</v>
      </c>
      <c r="C2195" s="4" t="n">
        <v>7</v>
      </c>
      <c r="D2195" s="4" t="s">
        <v>56</v>
      </c>
      <c r="E2195" s="3" t="s">
        <v>251</v>
      </c>
      <c r="F2195" s="4" t="str">
        <f aca="false">IF(I2195&gt;J2195,"Y","N")</f>
        <v>N</v>
      </c>
      <c r="G2195" s="3" t="s">
        <v>239</v>
      </c>
      <c r="H2195" s="3" t="s">
        <v>39</v>
      </c>
      <c r="I2195" s="4" t="n">
        <v>7</v>
      </c>
      <c r="J2195" s="4" t="n">
        <f aca="false">LEN(E2195)-LEN(SUBSTITUTE(E2195,",",""))+1</f>
        <v>7</v>
      </c>
      <c r="K2195" s="3" t="str">
        <f aca="false">IFERROR(INDEX('Teacher Lookup'!$B$2:$B$200,MATCH(A2195,'Teacher Lookup'!$A$2:$A$200,0)),"")</f>
        <v>CHIU Chris</v>
      </c>
    </row>
    <row r="2196" customFormat="false" ht="15" hidden="false" customHeight="false" outlineLevel="0" collapsed="false">
      <c r="A2196" s="3" t="s">
        <v>356</v>
      </c>
      <c r="B2196" s="4" t="s">
        <v>65</v>
      </c>
      <c r="C2196" s="4" t="n">
        <v>7</v>
      </c>
      <c r="D2196" s="4" t="s">
        <v>57</v>
      </c>
      <c r="E2196" s="3" t="s">
        <v>251</v>
      </c>
      <c r="F2196" s="4" t="str">
        <f aca="false">IF(I2196&gt;J2196,"Y","N")</f>
        <v>N</v>
      </c>
      <c r="G2196" s="3" t="s">
        <v>239</v>
      </c>
      <c r="H2196" s="3" t="s">
        <v>39</v>
      </c>
      <c r="I2196" s="4" t="n">
        <v>7</v>
      </c>
      <c r="J2196" s="4" t="n">
        <f aca="false">LEN(E2196)-LEN(SUBSTITUTE(E2196,",",""))+1</f>
        <v>7</v>
      </c>
      <c r="K2196" s="3" t="str">
        <f aca="false">IFERROR(INDEX('Teacher Lookup'!$B$2:$B$200,MATCH(A2196,'Teacher Lookup'!$A$2:$A$200,0)),"")</f>
        <v>CHIU Chris</v>
      </c>
    </row>
    <row r="2197" customFormat="false" ht="15" hidden="false" customHeight="false" outlineLevel="0" collapsed="false">
      <c r="A2197" s="3" t="s">
        <v>356</v>
      </c>
      <c r="B2197" s="4" t="s">
        <v>65</v>
      </c>
      <c r="C2197" s="4" t="n">
        <v>7</v>
      </c>
      <c r="D2197" s="4" t="s">
        <v>58</v>
      </c>
      <c r="E2197" s="3" t="s">
        <v>251</v>
      </c>
      <c r="F2197" s="4" t="str">
        <f aca="false">IF(I2197&gt;J2197,"Y","N")</f>
        <v>N</v>
      </c>
      <c r="G2197" s="3" t="s">
        <v>239</v>
      </c>
      <c r="H2197" s="3" t="s">
        <v>39</v>
      </c>
      <c r="I2197" s="4" t="n">
        <v>7</v>
      </c>
      <c r="J2197" s="4" t="n">
        <f aca="false">LEN(E2197)-LEN(SUBSTITUTE(E2197,",",""))+1</f>
        <v>7</v>
      </c>
      <c r="K2197" s="3" t="str">
        <f aca="false">IFERROR(INDEX('Teacher Lookup'!$B$2:$B$200,MATCH(A2197,'Teacher Lookup'!$A$2:$A$200,0)),"")</f>
        <v>CHIU Chris</v>
      </c>
    </row>
    <row r="2198" customFormat="false" ht="15" hidden="false" customHeight="false" outlineLevel="0" collapsed="false">
      <c r="A2198" s="3" t="s">
        <v>356</v>
      </c>
      <c r="B2198" s="4" t="s">
        <v>65</v>
      </c>
      <c r="C2198" s="4" t="n">
        <v>7</v>
      </c>
      <c r="D2198" s="4" t="s">
        <v>59</v>
      </c>
      <c r="E2198" s="3" t="s">
        <v>251</v>
      </c>
      <c r="F2198" s="4" t="str">
        <f aca="false">IF(I2198&gt;J2198,"Y","N")</f>
        <v>N</v>
      </c>
      <c r="G2198" s="3" t="s">
        <v>239</v>
      </c>
      <c r="H2198" s="3" t="s">
        <v>39</v>
      </c>
      <c r="I2198" s="4" t="n">
        <v>7</v>
      </c>
      <c r="J2198" s="4" t="n">
        <f aca="false">LEN(E2198)-LEN(SUBSTITUTE(E2198,",",""))+1</f>
        <v>7</v>
      </c>
      <c r="K2198" s="3" t="str">
        <f aca="false">IFERROR(INDEX('Teacher Lookup'!$B$2:$B$200,MATCH(A2198,'Teacher Lookup'!$A$2:$A$200,0)),"")</f>
        <v>CHIU Chris</v>
      </c>
    </row>
    <row r="2199" customFormat="false" ht="15" hidden="false" customHeight="false" outlineLevel="0" collapsed="false">
      <c r="A2199" s="3" t="s">
        <v>356</v>
      </c>
      <c r="B2199" s="4" t="s">
        <v>66</v>
      </c>
      <c r="C2199" s="4" t="n">
        <v>1</v>
      </c>
      <c r="D2199" s="4" t="s">
        <v>52</v>
      </c>
      <c r="E2199" s="3" t="s">
        <v>252</v>
      </c>
      <c r="F2199" s="4" t="str">
        <f aca="false">IF(I2199&gt;J2199,"Y","N")</f>
        <v>N</v>
      </c>
      <c r="G2199" s="3" t="s">
        <v>239</v>
      </c>
      <c r="H2199" s="3" t="s">
        <v>16</v>
      </c>
      <c r="I2199" s="4" t="n">
        <v>7</v>
      </c>
      <c r="J2199" s="4" t="n">
        <f aca="false">LEN(E2199)-LEN(SUBSTITUTE(E2199,",",""))+1</f>
        <v>7</v>
      </c>
      <c r="K2199" s="3" t="str">
        <f aca="false">IFERROR(INDEX('Teacher Lookup'!$B$2:$B$200,MATCH(A2199,'Teacher Lookup'!$A$2:$A$200,0)),"")</f>
        <v>CHIU Chris</v>
      </c>
    </row>
    <row r="2200" customFormat="false" ht="15" hidden="false" customHeight="false" outlineLevel="0" collapsed="false">
      <c r="A2200" s="3" t="s">
        <v>356</v>
      </c>
      <c r="B2200" s="4" t="s">
        <v>66</v>
      </c>
      <c r="C2200" s="4" t="n">
        <v>1</v>
      </c>
      <c r="D2200" s="4" t="s">
        <v>55</v>
      </c>
      <c r="E2200" s="3" t="s">
        <v>252</v>
      </c>
      <c r="F2200" s="4" t="str">
        <f aca="false">IF(I2200&gt;J2200,"Y","N")</f>
        <v>N</v>
      </c>
      <c r="G2200" s="3" t="s">
        <v>239</v>
      </c>
      <c r="H2200" s="3" t="s">
        <v>16</v>
      </c>
      <c r="I2200" s="4" t="n">
        <v>7</v>
      </c>
      <c r="J2200" s="4" t="n">
        <f aca="false">LEN(E2200)-LEN(SUBSTITUTE(E2200,",",""))+1</f>
        <v>7</v>
      </c>
      <c r="K2200" s="3" t="str">
        <f aca="false">IFERROR(INDEX('Teacher Lookup'!$B$2:$B$200,MATCH(A2200,'Teacher Lookup'!$A$2:$A$200,0)),"")</f>
        <v>CHIU Chris</v>
      </c>
    </row>
    <row r="2201" customFormat="false" ht="15" hidden="false" customHeight="false" outlineLevel="0" collapsed="false">
      <c r="A2201" s="3" t="s">
        <v>356</v>
      </c>
      <c r="B2201" s="4" t="s">
        <v>66</v>
      </c>
      <c r="C2201" s="4" t="n">
        <v>1</v>
      </c>
      <c r="D2201" s="4" t="s">
        <v>56</v>
      </c>
      <c r="E2201" s="3" t="s">
        <v>252</v>
      </c>
      <c r="F2201" s="4" t="str">
        <f aca="false">IF(I2201&gt;J2201,"Y","N")</f>
        <v>N</v>
      </c>
      <c r="G2201" s="3" t="s">
        <v>239</v>
      </c>
      <c r="H2201" s="3" t="s">
        <v>16</v>
      </c>
      <c r="I2201" s="4" t="n">
        <v>7</v>
      </c>
      <c r="J2201" s="4" t="n">
        <f aca="false">LEN(E2201)-LEN(SUBSTITUTE(E2201,",",""))+1</f>
        <v>7</v>
      </c>
      <c r="K2201" s="3" t="str">
        <f aca="false">IFERROR(INDEX('Teacher Lookup'!$B$2:$B$200,MATCH(A2201,'Teacher Lookup'!$A$2:$A$200,0)),"")</f>
        <v>CHIU Chris</v>
      </c>
    </row>
    <row r="2202" customFormat="false" ht="15" hidden="false" customHeight="false" outlineLevel="0" collapsed="false">
      <c r="A2202" s="3" t="s">
        <v>356</v>
      </c>
      <c r="B2202" s="4" t="s">
        <v>66</v>
      </c>
      <c r="C2202" s="4" t="n">
        <v>1</v>
      </c>
      <c r="D2202" s="4" t="s">
        <v>57</v>
      </c>
      <c r="E2202" s="3" t="s">
        <v>252</v>
      </c>
      <c r="F2202" s="4" t="str">
        <f aca="false">IF(I2202&gt;J2202,"Y","N")</f>
        <v>N</v>
      </c>
      <c r="G2202" s="3" t="s">
        <v>239</v>
      </c>
      <c r="H2202" s="3" t="s">
        <v>16</v>
      </c>
      <c r="I2202" s="4" t="n">
        <v>7</v>
      </c>
      <c r="J2202" s="4" t="n">
        <f aca="false">LEN(E2202)-LEN(SUBSTITUTE(E2202,",",""))+1</f>
        <v>7</v>
      </c>
      <c r="K2202" s="3" t="str">
        <f aca="false">IFERROR(INDEX('Teacher Lookup'!$B$2:$B$200,MATCH(A2202,'Teacher Lookup'!$A$2:$A$200,0)),"")</f>
        <v>CHIU Chris</v>
      </c>
    </row>
    <row r="2203" customFormat="false" ht="15" hidden="false" customHeight="false" outlineLevel="0" collapsed="false">
      <c r="A2203" s="3" t="s">
        <v>356</v>
      </c>
      <c r="B2203" s="4" t="s">
        <v>66</v>
      </c>
      <c r="C2203" s="4" t="n">
        <v>1</v>
      </c>
      <c r="D2203" s="4" t="s">
        <v>58</v>
      </c>
      <c r="E2203" s="3" t="s">
        <v>252</v>
      </c>
      <c r="F2203" s="4" t="str">
        <f aca="false">IF(I2203&gt;J2203,"Y","N")</f>
        <v>N</v>
      </c>
      <c r="G2203" s="3" t="s">
        <v>239</v>
      </c>
      <c r="H2203" s="3" t="s">
        <v>16</v>
      </c>
      <c r="I2203" s="4" t="n">
        <v>7</v>
      </c>
      <c r="J2203" s="4" t="n">
        <f aca="false">LEN(E2203)-LEN(SUBSTITUTE(E2203,",",""))+1</f>
        <v>7</v>
      </c>
      <c r="K2203" s="3" t="str">
        <f aca="false">IFERROR(INDEX('Teacher Lookup'!$B$2:$B$200,MATCH(A2203,'Teacher Lookup'!$A$2:$A$200,0)),"")</f>
        <v>CHIU Chris</v>
      </c>
    </row>
    <row r="2204" customFormat="false" ht="15" hidden="false" customHeight="false" outlineLevel="0" collapsed="false">
      <c r="A2204" s="3" t="s">
        <v>356</v>
      </c>
      <c r="B2204" s="4" t="s">
        <v>66</v>
      </c>
      <c r="C2204" s="4" t="n">
        <v>1</v>
      </c>
      <c r="D2204" s="4" t="s">
        <v>59</v>
      </c>
      <c r="E2204" s="3" t="s">
        <v>252</v>
      </c>
      <c r="F2204" s="4" t="str">
        <f aca="false">IF(I2204&gt;J2204,"Y","N")</f>
        <v>N</v>
      </c>
      <c r="G2204" s="3" t="s">
        <v>239</v>
      </c>
      <c r="H2204" s="3" t="s">
        <v>16</v>
      </c>
      <c r="I2204" s="4" t="n">
        <v>7</v>
      </c>
      <c r="J2204" s="4" t="n">
        <f aca="false">LEN(E2204)-LEN(SUBSTITUTE(E2204,",",""))+1</f>
        <v>7</v>
      </c>
      <c r="K2204" s="3" t="str">
        <f aca="false">IFERROR(INDEX('Teacher Lookup'!$B$2:$B$200,MATCH(A2204,'Teacher Lookup'!$A$2:$A$200,0)),"")</f>
        <v>CHIU Chris</v>
      </c>
    </row>
    <row r="2205" customFormat="false" ht="15" hidden="false" customHeight="false" outlineLevel="0" collapsed="false">
      <c r="A2205" s="3" t="s">
        <v>359</v>
      </c>
      <c r="B2205" s="4" t="s">
        <v>12</v>
      </c>
      <c r="C2205" s="4" t="n">
        <v>2</v>
      </c>
      <c r="D2205" s="4" t="s">
        <v>52</v>
      </c>
      <c r="E2205" s="3" t="s">
        <v>163</v>
      </c>
      <c r="F2205" s="4" t="str">
        <f aca="false">IF(I2205&gt;J2205,"Y","N")</f>
        <v>N</v>
      </c>
      <c r="G2205" s="3" t="s">
        <v>164</v>
      </c>
      <c r="H2205" s="3" t="s">
        <v>21</v>
      </c>
      <c r="I2205" s="4" t="n">
        <v>4</v>
      </c>
      <c r="J2205" s="4" t="n">
        <f aca="false">LEN(E2205)-LEN(SUBSTITUTE(E2205,",",""))+1</f>
        <v>4</v>
      </c>
      <c r="K2205" s="3" t="str">
        <f aca="false">IFERROR(INDEX('Teacher Lookup'!$B$2:$B$200,MATCH(A2205,'Teacher Lookup'!$A$2:$A$200,0)),"")</f>
        <v>MA Coco</v>
      </c>
    </row>
    <row r="2206" customFormat="false" ht="15" hidden="false" customHeight="false" outlineLevel="0" collapsed="false">
      <c r="A2206" s="3" t="s">
        <v>359</v>
      </c>
      <c r="B2206" s="4" t="s">
        <v>12</v>
      </c>
      <c r="C2206" s="4" t="n">
        <v>2</v>
      </c>
      <c r="D2206" s="4" t="s">
        <v>55</v>
      </c>
      <c r="E2206" s="3" t="s">
        <v>163</v>
      </c>
      <c r="F2206" s="4" t="str">
        <f aca="false">IF(I2206&gt;J2206,"Y","N")</f>
        <v>N</v>
      </c>
      <c r="G2206" s="3" t="s">
        <v>164</v>
      </c>
      <c r="H2206" s="3" t="s">
        <v>21</v>
      </c>
      <c r="I2206" s="4" t="n">
        <v>4</v>
      </c>
      <c r="J2206" s="4" t="n">
        <f aca="false">LEN(E2206)-LEN(SUBSTITUTE(E2206,",",""))+1</f>
        <v>4</v>
      </c>
      <c r="K2206" s="3" t="str">
        <f aca="false">IFERROR(INDEX('Teacher Lookup'!$B$2:$B$200,MATCH(A2206,'Teacher Lookup'!$A$2:$A$200,0)),"")</f>
        <v>MA Coco</v>
      </c>
    </row>
    <row r="2207" customFormat="false" ht="15" hidden="false" customHeight="false" outlineLevel="0" collapsed="false">
      <c r="A2207" s="3" t="s">
        <v>359</v>
      </c>
      <c r="B2207" s="4" t="s">
        <v>12</v>
      </c>
      <c r="C2207" s="4" t="n">
        <v>2</v>
      </c>
      <c r="D2207" s="4" t="s">
        <v>56</v>
      </c>
      <c r="E2207" s="3" t="s">
        <v>163</v>
      </c>
      <c r="F2207" s="4" t="str">
        <f aca="false">IF(I2207&gt;J2207,"Y","N")</f>
        <v>N</v>
      </c>
      <c r="G2207" s="3" t="s">
        <v>164</v>
      </c>
      <c r="H2207" s="3" t="s">
        <v>21</v>
      </c>
      <c r="I2207" s="4" t="n">
        <v>4</v>
      </c>
      <c r="J2207" s="4" t="n">
        <f aca="false">LEN(E2207)-LEN(SUBSTITUTE(E2207,",",""))+1</f>
        <v>4</v>
      </c>
      <c r="K2207" s="3" t="str">
        <f aca="false">IFERROR(INDEX('Teacher Lookup'!$B$2:$B$200,MATCH(A2207,'Teacher Lookup'!$A$2:$A$200,0)),"")</f>
        <v>MA Coco</v>
      </c>
    </row>
    <row r="2208" customFormat="false" ht="15" hidden="false" customHeight="false" outlineLevel="0" collapsed="false">
      <c r="A2208" s="3" t="s">
        <v>359</v>
      </c>
      <c r="B2208" s="4" t="s">
        <v>12</v>
      </c>
      <c r="C2208" s="4" t="n">
        <v>5</v>
      </c>
      <c r="D2208" s="4" t="s">
        <v>57</v>
      </c>
      <c r="E2208" s="3" t="s">
        <v>166</v>
      </c>
      <c r="F2208" s="4" t="str">
        <f aca="false">IF(I2208&gt;J2208,"Y","N")</f>
        <v>N</v>
      </c>
      <c r="G2208" s="3" t="s">
        <v>164</v>
      </c>
      <c r="H2208" s="3" t="s">
        <v>37</v>
      </c>
      <c r="I2208" s="4" t="n">
        <v>4</v>
      </c>
      <c r="J2208" s="4" t="n">
        <f aca="false">LEN(E2208)-LEN(SUBSTITUTE(E2208,",",""))+1</f>
        <v>4</v>
      </c>
      <c r="K2208" s="3" t="str">
        <f aca="false">IFERROR(INDEX('Teacher Lookup'!$B$2:$B$200,MATCH(A2208,'Teacher Lookup'!$A$2:$A$200,0)),"")</f>
        <v>MA Coco</v>
      </c>
    </row>
    <row r="2209" customFormat="false" ht="15" hidden="false" customHeight="false" outlineLevel="0" collapsed="false">
      <c r="A2209" s="3" t="s">
        <v>359</v>
      </c>
      <c r="B2209" s="4" t="s">
        <v>12</v>
      </c>
      <c r="C2209" s="4" t="n">
        <v>5</v>
      </c>
      <c r="D2209" s="4" t="s">
        <v>58</v>
      </c>
      <c r="E2209" s="3" t="s">
        <v>166</v>
      </c>
      <c r="F2209" s="4" t="str">
        <f aca="false">IF(I2209&gt;J2209,"Y","N")</f>
        <v>N</v>
      </c>
      <c r="G2209" s="3" t="s">
        <v>164</v>
      </c>
      <c r="H2209" s="3" t="s">
        <v>37</v>
      </c>
      <c r="I2209" s="4" t="n">
        <v>4</v>
      </c>
      <c r="J2209" s="4" t="n">
        <f aca="false">LEN(E2209)-LEN(SUBSTITUTE(E2209,",",""))+1</f>
        <v>4</v>
      </c>
      <c r="K2209" s="3" t="str">
        <f aca="false">IFERROR(INDEX('Teacher Lookup'!$B$2:$B$200,MATCH(A2209,'Teacher Lookup'!$A$2:$A$200,0)),"")</f>
        <v>MA Coco</v>
      </c>
    </row>
    <row r="2210" customFormat="false" ht="15" hidden="false" customHeight="false" outlineLevel="0" collapsed="false">
      <c r="A2210" s="3" t="s">
        <v>359</v>
      </c>
      <c r="B2210" s="4" t="s">
        <v>12</v>
      </c>
      <c r="C2210" s="4" t="n">
        <v>5</v>
      </c>
      <c r="D2210" s="4" t="s">
        <v>59</v>
      </c>
      <c r="E2210" s="3" t="s">
        <v>166</v>
      </c>
      <c r="F2210" s="4" t="str">
        <f aca="false">IF(I2210&gt;J2210,"Y","N")</f>
        <v>N</v>
      </c>
      <c r="G2210" s="3" t="s">
        <v>164</v>
      </c>
      <c r="H2210" s="3" t="s">
        <v>37</v>
      </c>
      <c r="I2210" s="4" t="n">
        <v>4</v>
      </c>
      <c r="J2210" s="4" t="n">
        <f aca="false">LEN(E2210)-LEN(SUBSTITUTE(E2210,",",""))+1</f>
        <v>4</v>
      </c>
      <c r="K2210" s="3" t="str">
        <f aca="false">IFERROR(INDEX('Teacher Lookup'!$B$2:$B$200,MATCH(A2210,'Teacher Lookup'!$A$2:$A$200,0)),"")</f>
        <v>MA Coco</v>
      </c>
    </row>
    <row r="2211" customFormat="false" ht="15" hidden="false" customHeight="false" outlineLevel="0" collapsed="false">
      <c r="A2211" s="3" t="s">
        <v>359</v>
      </c>
      <c r="B2211" s="4" t="s">
        <v>12</v>
      </c>
      <c r="C2211" s="4" t="n">
        <v>6</v>
      </c>
      <c r="D2211" s="4" t="s">
        <v>13</v>
      </c>
      <c r="E2211" s="3" t="s">
        <v>323</v>
      </c>
      <c r="F2211" s="4" t="str">
        <f aca="false">IF(I2211&gt;J2211,"Y","N")</f>
        <v>N</v>
      </c>
      <c r="G2211" s="3" t="s">
        <v>164</v>
      </c>
      <c r="H2211" s="3" t="s">
        <v>42</v>
      </c>
      <c r="I2211" s="4" t="n">
        <v>4</v>
      </c>
      <c r="J2211" s="4" t="n">
        <f aca="false">LEN(E2211)-LEN(SUBSTITUTE(E2211,",",""))+1</f>
        <v>4</v>
      </c>
      <c r="K2211" s="3" t="str">
        <f aca="false">IFERROR(INDEX('Teacher Lookup'!$B$2:$B$200,MATCH(A2211,'Teacher Lookup'!$A$2:$A$200,0)),"")</f>
        <v>MA Coco</v>
      </c>
    </row>
    <row r="2212" customFormat="false" ht="15" hidden="false" customHeight="false" outlineLevel="0" collapsed="false">
      <c r="A2212" s="3" t="s">
        <v>359</v>
      </c>
      <c r="B2212" s="4" t="s">
        <v>12</v>
      </c>
      <c r="C2212" s="4" t="n">
        <v>6</v>
      </c>
      <c r="D2212" s="4" t="s">
        <v>17</v>
      </c>
      <c r="E2212" s="3" t="s">
        <v>323</v>
      </c>
      <c r="F2212" s="4" t="str">
        <f aca="false">IF(I2212&gt;J2212,"Y","N")</f>
        <v>N</v>
      </c>
      <c r="G2212" s="3" t="s">
        <v>164</v>
      </c>
      <c r="H2212" s="3" t="s">
        <v>42</v>
      </c>
      <c r="I2212" s="4" t="n">
        <v>4</v>
      </c>
      <c r="J2212" s="4" t="n">
        <f aca="false">LEN(E2212)-LEN(SUBSTITUTE(E2212,",",""))+1</f>
        <v>4</v>
      </c>
      <c r="K2212" s="3" t="str">
        <f aca="false">IFERROR(INDEX('Teacher Lookup'!$B$2:$B$200,MATCH(A2212,'Teacher Lookup'!$A$2:$A$200,0)),"")</f>
        <v>MA Coco</v>
      </c>
    </row>
    <row r="2213" customFormat="false" ht="15" hidden="false" customHeight="false" outlineLevel="0" collapsed="false">
      <c r="A2213" s="3" t="s">
        <v>359</v>
      </c>
      <c r="B2213" s="4" t="s">
        <v>12</v>
      </c>
      <c r="C2213" s="4" t="n">
        <v>6</v>
      </c>
      <c r="D2213" s="4" t="s">
        <v>18</v>
      </c>
      <c r="E2213" s="3" t="s">
        <v>323</v>
      </c>
      <c r="F2213" s="4" t="str">
        <f aca="false">IF(I2213&gt;J2213,"Y","N")</f>
        <v>N</v>
      </c>
      <c r="G2213" s="3" t="s">
        <v>164</v>
      </c>
      <c r="H2213" s="3" t="s">
        <v>42</v>
      </c>
      <c r="I2213" s="4" t="n">
        <v>4</v>
      </c>
      <c r="J2213" s="4" t="n">
        <f aca="false">LEN(E2213)-LEN(SUBSTITUTE(E2213,",",""))+1</f>
        <v>4</v>
      </c>
      <c r="K2213" s="3" t="str">
        <f aca="false">IFERROR(INDEX('Teacher Lookup'!$B$2:$B$200,MATCH(A2213,'Teacher Lookup'!$A$2:$A$200,0)),"")</f>
        <v>MA Coco</v>
      </c>
    </row>
    <row r="2214" customFormat="false" ht="15" hidden="false" customHeight="false" outlineLevel="0" collapsed="false">
      <c r="A2214" s="3" t="s">
        <v>359</v>
      </c>
      <c r="B2214" s="4" t="s">
        <v>31</v>
      </c>
      <c r="C2214" s="4" t="n">
        <v>1</v>
      </c>
      <c r="D2214" s="4" t="s">
        <v>57</v>
      </c>
      <c r="E2214" s="3" t="s">
        <v>167</v>
      </c>
      <c r="F2214" s="4" t="str">
        <f aca="false">IF(I2214&gt;J2214,"Y","N")</f>
        <v>N</v>
      </c>
      <c r="G2214" s="3" t="s">
        <v>164</v>
      </c>
      <c r="H2214" s="3" t="s">
        <v>16</v>
      </c>
      <c r="I2214" s="4" t="n">
        <v>4</v>
      </c>
      <c r="J2214" s="4" t="n">
        <f aca="false">LEN(E2214)-LEN(SUBSTITUTE(E2214,",",""))+1</f>
        <v>4</v>
      </c>
      <c r="K2214" s="3" t="str">
        <f aca="false">IFERROR(INDEX('Teacher Lookup'!$B$2:$B$200,MATCH(A2214,'Teacher Lookup'!$A$2:$A$200,0)),"")</f>
        <v>MA Coco</v>
      </c>
    </row>
    <row r="2215" customFormat="false" ht="15" hidden="false" customHeight="false" outlineLevel="0" collapsed="false">
      <c r="A2215" s="3" t="s">
        <v>359</v>
      </c>
      <c r="B2215" s="4" t="s">
        <v>31</v>
      </c>
      <c r="C2215" s="4" t="n">
        <v>1</v>
      </c>
      <c r="D2215" s="4" t="s">
        <v>58</v>
      </c>
      <c r="E2215" s="3" t="s">
        <v>167</v>
      </c>
      <c r="F2215" s="4" t="str">
        <f aca="false">IF(I2215&gt;J2215,"Y","N")</f>
        <v>N</v>
      </c>
      <c r="G2215" s="3" t="s">
        <v>164</v>
      </c>
      <c r="H2215" s="3" t="s">
        <v>16</v>
      </c>
      <c r="I2215" s="4" t="n">
        <v>4</v>
      </c>
      <c r="J2215" s="4" t="n">
        <f aca="false">LEN(E2215)-LEN(SUBSTITUTE(E2215,",",""))+1</f>
        <v>4</v>
      </c>
      <c r="K2215" s="3" t="str">
        <f aca="false">IFERROR(INDEX('Teacher Lookup'!$B$2:$B$200,MATCH(A2215,'Teacher Lookup'!$A$2:$A$200,0)),"")</f>
        <v>MA Coco</v>
      </c>
    </row>
    <row r="2216" customFormat="false" ht="15" hidden="false" customHeight="false" outlineLevel="0" collapsed="false">
      <c r="A2216" s="3" t="s">
        <v>359</v>
      </c>
      <c r="B2216" s="4" t="s">
        <v>31</v>
      </c>
      <c r="C2216" s="4" t="n">
        <v>1</v>
      </c>
      <c r="D2216" s="4" t="s">
        <v>59</v>
      </c>
      <c r="E2216" s="3" t="s">
        <v>167</v>
      </c>
      <c r="F2216" s="4" t="str">
        <f aca="false">IF(I2216&gt;J2216,"Y","N")</f>
        <v>N</v>
      </c>
      <c r="G2216" s="3" t="s">
        <v>164</v>
      </c>
      <c r="H2216" s="3" t="s">
        <v>16</v>
      </c>
      <c r="I2216" s="4" t="n">
        <v>4</v>
      </c>
      <c r="J2216" s="4" t="n">
        <f aca="false">LEN(E2216)-LEN(SUBSTITUTE(E2216,",",""))+1</f>
        <v>4</v>
      </c>
      <c r="K2216" s="3" t="str">
        <f aca="false">IFERROR(INDEX('Teacher Lookup'!$B$2:$B$200,MATCH(A2216,'Teacher Lookup'!$A$2:$A$200,0)),"")</f>
        <v>MA Coco</v>
      </c>
    </row>
    <row r="2217" customFormat="false" ht="15" hidden="false" customHeight="false" outlineLevel="0" collapsed="false">
      <c r="A2217" s="3" t="s">
        <v>359</v>
      </c>
      <c r="B2217" s="4" t="s">
        <v>31</v>
      </c>
      <c r="C2217" s="4" t="n">
        <v>5</v>
      </c>
      <c r="D2217" s="4" t="s">
        <v>52</v>
      </c>
      <c r="E2217" s="3" t="s">
        <v>112</v>
      </c>
      <c r="F2217" s="4" t="str">
        <f aca="false">IF(I2217&gt;J2217,"Y","N")</f>
        <v>Y</v>
      </c>
      <c r="G2217" s="3" t="s">
        <v>36</v>
      </c>
      <c r="H2217" s="3" t="s">
        <v>37</v>
      </c>
      <c r="I2217" s="4" t="n">
        <v>16</v>
      </c>
      <c r="J2217" s="4" t="n">
        <f aca="false">LEN(E2217)-LEN(SUBSTITUTE(E2217,",",""))+1</f>
        <v>7</v>
      </c>
      <c r="K2217" s="3" t="str">
        <f aca="false">IFERROR(INDEX('Teacher Lookup'!$B$2:$B$200,MATCH(A2217,'Teacher Lookup'!$A$2:$A$200,0)),"")</f>
        <v>MA Coco</v>
      </c>
    </row>
    <row r="2218" customFormat="false" ht="15" hidden="false" customHeight="false" outlineLevel="0" collapsed="false">
      <c r="A2218" s="3" t="s">
        <v>359</v>
      </c>
      <c r="B2218" s="4" t="s">
        <v>31</v>
      </c>
      <c r="C2218" s="4" t="n">
        <v>5</v>
      </c>
      <c r="D2218" s="4" t="s">
        <v>55</v>
      </c>
      <c r="E2218" s="3" t="s">
        <v>112</v>
      </c>
      <c r="F2218" s="4" t="str">
        <f aca="false">IF(I2218&gt;J2218,"Y","N")</f>
        <v>Y</v>
      </c>
      <c r="G2218" s="3" t="s">
        <v>36</v>
      </c>
      <c r="H2218" s="3" t="s">
        <v>37</v>
      </c>
      <c r="I2218" s="4" t="n">
        <v>16</v>
      </c>
      <c r="J2218" s="4" t="n">
        <f aca="false">LEN(E2218)-LEN(SUBSTITUTE(E2218,",",""))+1</f>
        <v>7</v>
      </c>
      <c r="K2218" s="3" t="str">
        <f aca="false">IFERROR(INDEX('Teacher Lookup'!$B$2:$B$200,MATCH(A2218,'Teacher Lookup'!$A$2:$A$200,0)),"")</f>
        <v>MA Coco</v>
      </c>
    </row>
    <row r="2219" customFormat="false" ht="15" hidden="false" customHeight="false" outlineLevel="0" collapsed="false">
      <c r="A2219" s="3" t="s">
        <v>359</v>
      </c>
      <c r="B2219" s="4" t="s">
        <v>31</v>
      </c>
      <c r="C2219" s="4" t="n">
        <v>5</v>
      </c>
      <c r="D2219" s="4" t="s">
        <v>56</v>
      </c>
      <c r="E2219" s="3" t="s">
        <v>112</v>
      </c>
      <c r="F2219" s="4" t="str">
        <f aca="false">IF(I2219&gt;J2219,"Y","N")</f>
        <v>Y</v>
      </c>
      <c r="G2219" s="3" t="s">
        <v>36</v>
      </c>
      <c r="H2219" s="3" t="s">
        <v>37</v>
      </c>
      <c r="I2219" s="4" t="n">
        <v>16</v>
      </c>
      <c r="J2219" s="4" t="n">
        <f aca="false">LEN(E2219)-LEN(SUBSTITUTE(E2219,",",""))+1</f>
        <v>7</v>
      </c>
      <c r="K2219" s="3" t="str">
        <f aca="false">IFERROR(INDEX('Teacher Lookup'!$B$2:$B$200,MATCH(A2219,'Teacher Lookup'!$A$2:$A$200,0)),"")</f>
        <v>MA Coco</v>
      </c>
    </row>
    <row r="2220" customFormat="false" ht="15" hidden="false" customHeight="false" outlineLevel="0" collapsed="false">
      <c r="A2220" s="3" t="s">
        <v>359</v>
      </c>
      <c r="B2220" s="4" t="s">
        <v>31</v>
      </c>
      <c r="C2220" s="4" t="n">
        <v>5</v>
      </c>
      <c r="D2220" s="4" t="s">
        <v>57</v>
      </c>
      <c r="E2220" s="3" t="s">
        <v>112</v>
      </c>
      <c r="F2220" s="4" t="str">
        <f aca="false">IF(I2220&gt;J2220,"Y","N")</f>
        <v>Y</v>
      </c>
      <c r="G2220" s="3" t="s">
        <v>36</v>
      </c>
      <c r="H2220" s="3" t="s">
        <v>37</v>
      </c>
      <c r="I2220" s="4" t="n">
        <v>16</v>
      </c>
      <c r="J2220" s="4" t="n">
        <f aca="false">LEN(E2220)-LEN(SUBSTITUTE(E2220,",",""))+1</f>
        <v>7</v>
      </c>
      <c r="K2220" s="3" t="str">
        <f aca="false">IFERROR(INDEX('Teacher Lookup'!$B$2:$B$200,MATCH(A2220,'Teacher Lookup'!$A$2:$A$200,0)),"")</f>
        <v>MA Coco</v>
      </c>
    </row>
    <row r="2221" customFormat="false" ht="15" hidden="false" customHeight="false" outlineLevel="0" collapsed="false">
      <c r="A2221" s="3" t="s">
        <v>359</v>
      </c>
      <c r="B2221" s="4" t="s">
        <v>31</v>
      </c>
      <c r="C2221" s="4" t="n">
        <v>5</v>
      </c>
      <c r="D2221" s="4" t="s">
        <v>58</v>
      </c>
      <c r="E2221" s="3" t="s">
        <v>112</v>
      </c>
      <c r="F2221" s="4" t="str">
        <f aca="false">IF(I2221&gt;J2221,"Y","N")</f>
        <v>Y</v>
      </c>
      <c r="G2221" s="3" t="s">
        <v>36</v>
      </c>
      <c r="H2221" s="3" t="s">
        <v>37</v>
      </c>
      <c r="I2221" s="4" t="n">
        <v>16</v>
      </c>
      <c r="J2221" s="4" t="n">
        <f aca="false">LEN(E2221)-LEN(SUBSTITUTE(E2221,",",""))+1</f>
        <v>7</v>
      </c>
      <c r="K2221" s="3" t="str">
        <f aca="false">IFERROR(INDEX('Teacher Lookup'!$B$2:$B$200,MATCH(A2221,'Teacher Lookup'!$A$2:$A$200,0)),"")</f>
        <v>MA Coco</v>
      </c>
    </row>
    <row r="2222" customFormat="false" ht="15" hidden="false" customHeight="false" outlineLevel="0" collapsed="false">
      <c r="A2222" s="3" t="s">
        <v>359</v>
      </c>
      <c r="B2222" s="4" t="s">
        <v>31</v>
      </c>
      <c r="C2222" s="4" t="n">
        <v>5</v>
      </c>
      <c r="D2222" s="4" t="s">
        <v>59</v>
      </c>
      <c r="E2222" s="3" t="s">
        <v>112</v>
      </c>
      <c r="F2222" s="4" t="str">
        <f aca="false">IF(I2222&gt;J2222,"Y","N")</f>
        <v>Y</v>
      </c>
      <c r="G2222" s="3" t="s">
        <v>36</v>
      </c>
      <c r="H2222" s="3" t="s">
        <v>37</v>
      </c>
      <c r="I2222" s="4" t="n">
        <v>16</v>
      </c>
      <c r="J2222" s="4" t="n">
        <f aca="false">LEN(E2222)-LEN(SUBSTITUTE(E2222,",",""))+1</f>
        <v>7</v>
      </c>
      <c r="K2222" s="3" t="str">
        <f aca="false">IFERROR(INDEX('Teacher Lookup'!$B$2:$B$200,MATCH(A2222,'Teacher Lookup'!$A$2:$A$200,0)),"")</f>
        <v>MA Coco</v>
      </c>
    </row>
    <row r="2223" customFormat="false" ht="15" hidden="false" customHeight="false" outlineLevel="0" collapsed="false">
      <c r="A2223" s="3" t="s">
        <v>359</v>
      </c>
      <c r="B2223" s="4" t="s">
        <v>31</v>
      </c>
      <c r="C2223" s="4" t="n">
        <v>7</v>
      </c>
      <c r="D2223" s="4" t="s">
        <v>52</v>
      </c>
      <c r="E2223" s="3" t="s">
        <v>169</v>
      </c>
      <c r="F2223" s="4" t="str">
        <f aca="false">IF(I2223&gt;J2223,"Y","N")</f>
        <v>N</v>
      </c>
      <c r="G2223" s="3" t="s">
        <v>164</v>
      </c>
      <c r="H2223" s="3" t="s">
        <v>39</v>
      </c>
      <c r="I2223" s="4" t="n">
        <v>4</v>
      </c>
      <c r="J2223" s="4" t="n">
        <f aca="false">LEN(E2223)-LEN(SUBSTITUTE(E2223,",",""))+1</f>
        <v>4</v>
      </c>
      <c r="K2223" s="3" t="str">
        <f aca="false">IFERROR(INDEX('Teacher Lookup'!$B$2:$B$200,MATCH(A2223,'Teacher Lookup'!$A$2:$A$200,0)),"")</f>
        <v>MA Coco</v>
      </c>
    </row>
    <row r="2224" customFormat="false" ht="15" hidden="false" customHeight="false" outlineLevel="0" collapsed="false">
      <c r="A2224" s="3" t="s">
        <v>359</v>
      </c>
      <c r="B2224" s="4" t="s">
        <v>31</v>
      </c>
      <c r="C2224" s="4" t="n">
        <v>7</v>
      </c>
      <c r="D2224" s="4" t="s">
        <v>55</v>
      </c>
      <c r="E2224" s="3" t="s">
        <v>169</v>
      </c>
      <c r="F2224" s="4" t="str">
        <f aca="false">IF(I2224&gt;J2224,"Y","N")</f>
        <v>N</v>
      </c>
      <c r="G2224" s="3" t="s">
        <v>164</v>
      </c>
      <c r="H2224" s="3" t="s">
        <v>39</v>
      </c>
      <c r="I2224" s="4" t="n">
        <v>4</v>
      </c>
      <c r="J2224" s="4" t="n">
        <f aca="false">LEN(E2224)-LEN(SUBSTITUTE(E2224,",",""))+1</f>
        <v>4</v>
      </c>
      <c r="K2224" s="3" t="str">
        <f aca="false">IFERROR(INDEX('Teacher Lookup'!$B$2:$B$200,MATCH(A2224,'Teacher Lookup'!$A$2:$A$200,0)),"")</f>
        <v>MA Coco</v>
      </c>
    </row>
    <row r="2225" customFormat="false" ht="15" hidden="false" customHeight="false" outlineLevel="0" collapsed="false">
      <c r="A2225" s="3" t="s">
        <v>359</v>
      </c>
      <c r="B2225" s="4" t="s">
        <v>31</v>
      </c>
      <c r="C2225" s="4" t="n">
        <v>7</v>
      </c>
      <c r="D2225" s="4" t="s">
        <v>56</v>
      </c>
      <c r="E2225" s="3" t="s">
        <v>169</v>
      </c>
      <c r="F2225" s="4" t="str">
        <f aca="false">IF(I2225&gt;J2225,"Y","N")</f>
        <v>N</v>
      </c>
      <c r="G2225" s="3" t="s">
        <v>164</v>
      </c>
      <c r="H2225" s="3" t="s">
        <v>39</v>
      </c>
      <c r="I2225" s="4" t="n">
        <v>4</v>
      </c>
      <c r="J2225" s="4" t="n">
        <f aca="false">LEN(E2225)-LEN(SUBSTITUTE(E2225,",",""))+1</f>
        <v>4</v>
      </c>
      <c r="K2225" s="3" t="str">
        <f aca="false">IFERROR(INDEX('Teacher Lookup'!$B$2:$B$200,MATCH(A2225,'Teacher Lookup'!$A$2:$A$200,0)),"")</f>
        <v>MA Coco</v>
      </c>
    </row>
    <row r="2226" customFormat="false" ht="15" hidden="false" customHeight="false" outlineLevel="0" collapsed="false">
      <c r="A2226" s="3" t="s">
        <v>359</v>
      </c>
      <c r="B2226" s="4" t="s">
        <v>40</v>
      </c>
      <c r="C2226" s="4" t="n">
        <v>1</v>
      </c>
      <c r="D2226" s="4" t="s">
        <v>57</v>
      </c>
      <c r="E2226" s="3" t="s">
        <v>170</v>
      </c>
      <c r="F2226" s="4" t="str">
        <f aca="false">IF(I2226&gt;J2226,"Y","N")</f>
        <v>N</v>
      </c>
      <c r="G2226" s="3" t="s">
        <v>164</v>
      </c>
      <c r="H2226" s="3" t="s">
        <v>16</v>
      </c>
      <c r="I2226" s="4" t="n">
        <v>4</v>
      </c>
      <c r="J2226" s="4" t="n">
        <f aca="false">LEN(E2226)-LEN(SUBSTITUTE(E2226,",",""))+1</f>
        <v>4</v>
      </c>
      <c r="K2226" s="3" t="str">
        <f aca="false">IFERROR(INDEX('Teacher Lookup'!$B$2:$B$200,MATCH(A2226,'Teacher Lookup'!$A$2:$A$200,0)),"")</f>
        <v>MA Coco</v>
      </c>
    </row>
    <row r="2227" customFormat="false" ht="15" hidden="false" customHeight="false" outlineLevel="0" collapsed="false">
      <c r="A2227" s="3" t="s">
        <v>359</v>
      </c>
      <c r="B2227" s="4" t="s">
        <v>40</v>
      </c>
      <c r="C2227" s="4" t="n">
        <v>1</v>
      </c>
      <c r="D2227" s="4" t="s">
        <v>58</v>
      </c>
      <c r="E2227" s="3" t="s">
        <v>170</v>
      </c>
      <c r="F2227" s="4" t="str">
        <f aca="false">IF(I2227&gt;J2227,"Y","N")</f>
        <v>N</v>
      </c>
      <c r="G2227" s="3" t="s">
        <v>164</v>
      </c>
      <c r="H2227" s="3" t="s">
        <v>16</v>
      </c>
      <c r="I2227" s="4" t="n">
        <v>4</v>
      </c>
      <c r="J2227" s="4" t="n">
        <f aca="false">LEN(E2227)-LEN(SUBSTITUTE(E2227,",",""))+1</f>
        <v>4</v>
      </c>
      <c r="K2227" s="3" t="str">
        <f aca="false">IFERROR(INDEX('Teacher Lookup'!$B$2:$B$200,MATCH(A2227,'Teacher Lookup'!$A$2:$A$200,0)),"")</f>
        <v>MA Coco</v>
      </c>
    </row>
    <row r="2228" customFormat="false" ht="15" hidden="false" customHeight="false" outlineLevel="0" collapsed="false">
      <c r="A2228" s="3" t="s">
        <v>359</v>
      </c>
      <c r="B2228" s="4" t="s">
        <v>40</v>
      </c>
      <c r="C2228" s="4" t="n">
        <v>1</v>
      </c>
      <c r="D2228" s="4" t="s">
        <v>59</v>
      </c>
      <c r="E2228" s="3" t="s">
        <v>170</v>
      </c>
      <c r="F2228" s="4" t="str">
        <f aca="false">IF(I2228&gt;J2228,"Y","N")</f>
        <v>N</v>
      </c>
      <c r="G2228" s="3" t="s">
        <v>164</v>
      </c>
      <c r="H2228" s="3" t="s">
        <v>16</v>
      </c>
      <c r="I2228" s="4" t="n">
        <v>4</v>
      </c>
      <c r="J2228" s="4" t="n">
        <f aca="false">LEN(E2228)-LEN(SUBSTITUTE(E2228,",",""))+1</f>
        <v>4</v>
      </c>
      <c r="K2228" s="3" t="str">
        <f aca="false">IFERROR(INDEX('Teacher Lookup'!$B$2:$B$200,MATCH(A2228,'Teacher Lookup'!$A$2:$A$200,0)),"")</f>
        <v>MA Coco</v>
      </c>
    </row>
    <row r="2229" customFormat="false" ht="15" hidden="false" customHeight="false" outlineLevel="0" collapsed="false">
      <c r="A2229" s="3" t="s">
        <v>359</v>
      </c>
      <c r="B2229" s="4" t="s">
        <v>40</v>
      </c>
      <c r="C2229" s="4" t="n">
        <v>3</v>
      </c>
      <c r="D2229" s="4" t="s">
        <v>13</v>
      </c>
      <c r="E2229" s="3" t="s">
        <v>323</v>
      </c>
      <c r="F2229" s="4" t="str">
        <f aca="false">IF(I2229&gt;J2229,"Y","N")</f>
        <v>N</v>
      </c>
      <c r="G2229" s="3" t="s">
        <v>164</v>
      </c>
      <c r="H2229" s="3" t="s">
        <v>26</v>
      </c>
      <c r="I2229" s="4" t="n">
        <v>4</v>
      </c>
      <c r="J2229" s="4" t="n">
        <f aca="false">LEN(E2229)-LEN(SUBSTITUTE(E2229,",",""))+1</f>
        <v>4</v>
      </c>
      <c r="K2229" s="3" t="str">
        <f aca="false">IFERROR(INDEX('Teacher Lookup'!$B$2:$B$200,MATCH(A2229,'Teacher Lookup'!$A$2:$A$200,0)),"")</f>
        <v>MA Coco</v>
      </c>
    </row>
    <row r="2230" customFormat="false" ht="15" hidden="false" customHeight="false" outlineLevel="0" collapsed="false">
      <c r="A2230" s="3" t="s">
        <v>359</v>
      </c>
      <c r="B2230" s="4" t="s">
        <v>40</v>
      </c>
      <c r="C2230" s="4" t="n">
        <v>3</v>
      </c>
      <c r="D2230" s="4" t="s">
        <v>17</v>
      </c>
      <c r="E2230" s="3" t="s">
        <v>323</v>
      </c>
      <c r="F2230" s="4" t="str">
        <f aca="false">IF(I2230&gt;J2230,"Y","N")</f>
        <v>N</v>
      </c>
      <c r="G2230" s="3" t="s">
        <v>164</v>
      </c>
      <c r="H2230" s="3" t="s">
        <v>26</v>
      </c>
      <c r="I2230" s="4" t="n">
        <v>4</v>
      </c>
      <c r="J2230" s="4" t="n">
        <f aca="false">LEN(E2230)-LEN(SUBSTITUTE(E2230,",",""))+1</f>
        <v>4</v>
      </c>
      <c r="K2230" s="3" t="str">
        <f aca="false">IFERROR(INDEX('Teacher Lookup'!$B$2:$B$200,MATCH(A2230,'Teacher Lookup'!$A$2:$A$200,0)),"")</f>
        <v>MA Coco</v>
      </c>
    </row>
    <row r="2231" customFormat="false" ht="15" hidden="false" customHeight="false" outlineLevel="0" collapsed="false">
      <c r="A2231" s="3" t="s">
        <v>359</v>
      </c>
      <c r="B2231" s="4" t="s">
        <v>40</v>
      </c>
      <c r="C2231" s="4" t="n">
        <v>3</v>
      </c>
      <c r="D2231" s="4" t="s">
        <v>18</v>
      </c>
      <c r="E2231" s="3" t="s">
        <v>323</v>
      </c>
      <c r="F2231" s="4" t="str">
        <f aca="false">IF(I2231&gt;J2231,"Y","N")</f>
        <v>N</v>
      </c>
      <c r="G2231" s="3" t="s">
        <v>164</v>
      </c>
      <c r="H2231" s="3" t="s">
        <v>26</v>
      </c>
      <c r="I2231" s="4" t="n">
        <v>4</v>
      </c>
      <c r="J2231" s="4" t="n">
        <f aca="false">LEN(E2231)-LEN(SUBSTITUTE(E2231,",",""))+1</f>
        <v>4</v>
      </c>
      <c r="K2231" s="3" t="str">
        <f aca="false">IFERROR(INDEX('Teacher Lookup'!$B$2:$B$200,MATCH(A2231,'Teacher Lookup'!$A$2:$A$200,0)),"")</f>
        <v>MA Coco</v>
      </c>
    </row>
    <row r="2232" customFormat="false" ht="15" hidden="false" customHeight="false" outlineLevel="0" collapsed="false">
      <c r="A2232" s="3" t="s">
        <v>359</v>
      </c>
      <c r="B2232" s="4" t="s">
        <v>40</v>
      </c>
      <c r="C2232" s="4" t="n">
        <v>4</v>
      </c>
      <c r="D2232" s="4" t="s">
        <v>13</v>
      </c>
      <c r="E2232" s="3" t="s">
        <v>323</v>
      </c>
      <c r="F2232" s="4" t="str">
        <f aca="false">IF(I2232&gt;J2232,"Y","N")</f>
        <v>N</v>
      </c>
      <c r="G2232" s="3" t="s">
        <v>164</v>
      </c>
      <c r="H2232" s="3" t="s">
        <v>34</v>
      </c>
      <c r="I2232" s="4" t="n">
        <v>4</v>
      </c>
      <c r="J2232" s="4" t="n">
        <f aca="false">LEN(E2232)-LEN(SUBSTITUTE(E2232,",",""))+1</f>
        <v>4</v>
      </c>
      <c r="K2232" s="3" t="str">
        <f aca="false">IFERROR(INDEX('Teacher Lookup'!$B$2:$B$200,MATCH(A2232,'Teacher Lookup'!$A$2:$A$200,0)),"")</f>
        <v>MA Coco</v>
      </c>
    </row>
    <row r="2233" customFormat="false" ht="15" hidden="false" customHeight="false" outlineLevel="0" collapsed="false">
      <c r="A2233" s="3" t="s">
        <v>359</v>
      </c>
      <c r="B2233" s="4" t="s">
        <v>40</v>
      </c>
      <c r="C2233" s="4" t="n">
        <v>4</v>
      </c>
      <c r="D2233" s="4" t="s">
        <v>17</v>
      </c>
      <c r="E2233" s="3" t="s">
        <v>323</v>
      </c>
      <c r="F2233" s="4" t="str">
        <f aca="false">IF(I2233&gt;J2233,"Y","N")</f>
        <v>N</v>
      </c>
      <c r="G2233" s="3" t="s">
        <v>164</v>
      </c>
      <c r="H2233" s="3" t="s">
        <v>34</v>
      </c>
      <c r="I2233" s="4" t="n">
        <v>4</v>
      </c>
      <c r="J2233" s="4" t="n">
        <f aca="false">LEN(E2233)-LEN(SUBSTITUTE(E2233,",",""))+1</f>
        <v>4</v>
      </c>
      <c r="K2233" s="3" t="str">
        <f aca="false">IFERROR(INDEX('Teacher Lookup'!$B$2:$B$200,MATCH(A2233,'Teacher Lookup'!$A$2:$A$200,0)),"")</f>
        <v>MA Coco</v>
      </c>
    </row>
    <row r="2234" customFormat="false" ht="15" hidden="false" customHeight="false" outlineLevel="0" collapsed="false">
      <c r="A2234" s="3" t="s">
        <v>359</v>
      </c>
      <c r="B2234" s="4" t="s">
        <v>40</v>
      </c>
      <c r="C2234" s="4" t="n">
        <v>4</v>
      </c>
      <c r="D2234" s="4" t="s">
        <v>18</v>
      </c>
      <c r="E2234" s="3" t="s">
        <v>323</v>
      </c>
      <c r="F2234" s="4" t="str">
        <f aca="false">IF(I2234&gt;J2234,"Y","N")</f>
        <v>N</v>
      </c>
      <c r="G2234" s="3" t="s">
        <v>164</v>
      </c>
      <c r="H2234" s="3" t="s">
        <v>34</v>
      </c>
      <c r="I2234" s="4" t="n">
        <v>4</v>
      </c>
      <c r="J2234" s="4" t="n">
        <f aca="false">LEN(E2234)-LEN(SUBSTITUTE(E2234,",",""))+1</f>
        <v>4</v>
      </c>
      <c r="K2234" s="3" t="str">
        <f aca="false">IFERROR(INDEX('Teacher Lookup'!$B$2:$B$200,MATCH(A2234,'Teacher Lookup'!$A$2:$A$200,0)),"")</f>
        <v>MA Coco</v>
      </c>
    </row>
    <row r="2235" customFormat="false" ht="15" hidden="false" customHeight="false" outlineLevel="0" collapsed="false">
      <c r="A2235" s="3" t="s">
        <v>359</v>
      </c>
      <c r="B2235" s="4" t="s">
        <v>40</v>
      </c>
      <c r="C2235" s="4" t="n">
        <v>6</v>
      </c>
      <c r="D2235" s="4" t="s">
        <v>52</v>
      </c>
      <c r="E2235" s="3" t="s">
        <v>171</v>
      </c>
      <c r="F2235" s="4" t="str">
        <f aca="false">IF(I2235&gt;J2235,"Y","N")</f>
        <v>N</v>
      </c>
      <c r="G2235" s="3" t="s">
        <v>164</v>
      </c>
      <c r="H2235" s="3" t="s">
        <v>42</v>
      </c>
      <c r="I2235" s="4" t="n">
        <v>4</v>
      </c>
      <c r="J2235" s="4" t="n">
        <f aca="false">LEN(E2235)-LEN(SUBSTITUTE(E2235,",",""))+1</f>
        <v>4</v>
      </c>
      <c r="K2235" s="3" t="str">
        <f aca="false">IFERROR(INDEX('Teacher Lookup'!$B$2:$B$200,MATCH(A2235,'Teacher Lookup'!$A$2:$A$200,0)),"")</f>
        <v>MA Coco</v>
      </c>
    </row>
    <row r="2236" customFormat="false" ht="15" hidden="false" customHeight="false" outlineLevel="0" collapsed="false">
      <c r="A2236" s="3" t="s">
        <v>359</v>
      </c>
      <c r="B2236" s="4" t="s">
        <v>40</v>
      </c>
      <c r="C2236" s="4" t="n">
        <v>6</v>
      </c>
      <c r="D2236" s="4" t="s">
        <v>55</v>
      </c>
      <c r="E2236" s="3" t="s">
        <v>171</v>
      </c>
      <c r="F2236" s="4" t="str">
        <f aca="false">IF(I2236&gt;J2236,"Y","N")</f>
        <v>N</v>
      </c>
      <c r="G2236" s="3" t="s">
        <v>164</v>
      </c>
      <c r="H2236" s="3" t="s">
        <v>42</v>
      </c>
      <c r="I2236" s="4" t="n">
        <v>4</v>
      </c>
      <c r="J2236" s="4" t="n">
        <f aca="false">LEN(E2236)-LEN(SUBSTITUTE(E2236,",",""))+1</f>
        <v>4</v>
      </c>
      <c r="K2236" s="3" t="str">
        <f aca="false">IFERROR(INDEX('Teacher Lookup'!$B$2:$B$200,MATCH(A2236,'Teacher Lookup'!$A$2:$A$200,0)),"")</f>
        <v>MA Coco</v>
      </c>
    </row>
    <row r="2237" customFormat="false" ht="15" hidden="false" customHeight="false" outlineLevel="0" collapsed="false">
      <c r="A2237" s="3" t="s">
        <v>359</v>
      </c>
      <c r="B2237" s="4" t="s">
        <v>40</v>
      </c>
      <c r="C2237" s="4" t="n">
        <v>6</v>
      </c>
      <c r="D2237" s="4" t="s">
        <v>56</v>
      </c>
      <c r="E2237" s="3" t="s">
        <v>171</v>
      </c>
      <c r="F2237" s="4" t="str">
        <f aca="false">IF(I2237&gt;J2237,"Y","N")</f>
        <v>N</v>
      </c>
      <c r="G2237" s="3" t="s">
        <v>164</v>
      </c>
      <c r="H2237" s="3" t="s">
        <v>42</v>
      </c>
      <c r="I2237" s="4" t="n">
        <v>4</v>
      </c>
      <c r="J2237" s="4" t="n">
        <f aca="false">LEN(E2237)-LEN(SUBSTITUTE(E2237,",",""))+1</f>
        <v>4</v>
      </c>
      <c r="K2237" s="3" t="str">
        <f aca="false">IFERROR(INDEX('Teacher Lookup'!$B$2:$B$200,MATCH(A2237,'Teacher Lookup'!$A$2:$A$200,0)),"")</f>
        <v>MA Coco</v>
      </c>
    </row>
    <row r="2238" customFormat="false" ht="15" hidden="false" customHeight="false" outlineLevel="0" collapsed="false">
      <c r="A2238" s="3" t="s">
        <v>359</v>
      </c>
      <c r="B2238" s="4" t="s">
        <v>40</v>
      </c>
      <c r="C2238" s="4" t="n">
        <v>7</v>
      </c>
      <c r="D2238" s="4" t="s">
        <v>52</v>
      </c>
      <c r="E2238" s="3" t="s">
        <v>171</v>
      </c>
      <c r="F2238" s="4" t="str">
        <f aca="false">IF(I2238&gt;J2238,"Y","N")</f>
        <v>N</v>
      </c>
      <c r="G2238" s="3" t="s">
        <v>164</v>
      </c>
      <c r="H2238" s="3" t="s">
        <v>39</v>
      </c>
      <c r="I2238" s="4" t="n">
        <v>4</v>
      </c>
      <c r="J2238" s="4" t="n">
        <f aca="false">LEN(E2238)-LEN(SUBSTITUTE(E2238,",",""))+1</f>
        <v>4</v>
      </c>
      <c r="K2238" s="3" t="str">
        <f aca="false">IFERROR(INDEX('Teacher Lookup'!$B$2:$B$200,MATCH(A2238,'Teacher Lookup'!$A$2:$A$200,0)),"")</f>
        <v>MA Coco</v>
      </c>
    </row>
    <row r="2239" customFormat="false" ht="15" hidden="false" customHeight="false" outlineLevel="0" collapsed="false">
      <c r="A2239" s="3" t="s">
        <v>359</v>
      </c>
      <c r="B2239" s="4" t="s">
        <v>40</v>
      </c>
      <c r="C2239" s="4" t="n">
        <v>7</v>
      </c>
      <c r="D2239" s="4" t="s">
        <v>55</v>
      </c>
      <c r="E2239" s="3" t="s">
        <v>171</v>
      </c>
      <c r="F2239" s="4" t="str">
        <f aca="false">IF(I2239&gt;J2239,"Y","N")</f>
        <v>N</v>
      </c>
      <c r="G2239" s="3" t="s">
        <v>164</v>
      </c>
      <c r="H2239" s="3" t="s">
        <v>39</v>
      </c>
      <c r="I2239" s="4" t="n">
        <v>4</v>
      </c>
      <c r="J2239" s="4" t="n">
        <f aca="false">LEN(E2239)-LEN(SUBSTITUTE(E2239,",",""))+1</f>
        <v>4</v>
      </c>
      <c r="K2239" s="3" t="str">
        <f aca="false">IFERROR(INDEX('Teacher Lookup'!$B$2:$B$200,MATCH(A2239,'Teacher Lookup'!$A$2:$A$200,0)),"")</f>
        <v>MA Coco</v>
      </c>
    </row>
    <row r="2240" customFormat="false" ht="15" hidden="false" customHeight="false" outlineLevel="0" collapsed="false">
      <c r="A2240" s="3" t="s">
        <v>359</v>
      </c>
      <c r="B2240" s="4" t="s">
        <v>40</v>
      </c>
      <c r="C2240" s="4" t="n">
        <v>7</v>
      </c>
      <c r="D2240" s="4" t="s">
        <v>56</v>
      </c>
      <c r="E2240" s="3" t="s">
        <v>171</v>
      </c>
      <c r="F2240" s="4" t="str">
        <f aca="false">IF(I2240&gt;J2240,"Y","N")</f>
        <v>N</v>
      </c>
      <c r="G2240" s="3" t="s">
        <v>164</v>
      </c>
      <c r="H2240" s="3" t="s">
        <v>39</v>
      </c>
      <c r="I2240" s="4" t="n">
        <v>4</v>
      </c>
      <c r="J2240" s="4" t="n">
        <f aca="false">LEN(E2240)-LEN(SUBSTITUTE(E2240,",",""))+1</f>
        <v>4</v>
      </c>
      <c r="K2240" s="3" t="str">
        <f aca="false">IFERROR(INDEX('Teacher Lookup'!$B$2:$B$200,MATCH(A2240,'Teacher Lookup'!$A$2:$A$200,0)),"")</f>
        <v>MA Coco</v>
      </c>
    </row>
    <row r="2241" customFormat="false" ht="15" hidden="false" customHeight="false" outlineLevel="0" collapsed="false">
      <c r="A2241" s="3" t="s">
        <v>359</v>
      </c>
      <c r="B2241" s="4" t="s">
        <v>44</v>
      </c>
      <c r="C2241" s="4" t="n">
        <v>2</v>
      </c>
      <c r="D2241" s="4" t="s">
        <v>52</v>
      </c>
      <c r="E2241" s="3" t="s">
        <v>172</v>
      </c>
      <c r="F2241" s="4" t="str">
        <f aca="false">IF(I2241&gt;J2241,"Y","N")</f>
        <v>N</v>
      </c>
      <c r="G2241" s="3" t="s">
        <v>164</v>
      </c>
      <c r="H2241" s="3" t="s">
        <v>21</v>
      </c>
      <c r="I2241" s="4" t="n">
        <v>4</v>
      </c>
      <c r="J2241" s="4" t="n">
        <f aca="false">LEN(E2241)-LEN(SUBSTITUTE(E2241,",",""))+1</f>
        <v>4</v>
      </c>
      <c r="K2241" s="3" t="str">
        <f aca="false">IFERROR(INDEX('Teacher Lookup'!$B$2:$B$200,MATCH(A2241,'Teacher Lookup'!$A$2:$A$200,0)),"")</f>
        <v>MA Coco</v>
      </c>
    </row>
    <row r="2242" customFormat="false" ht="15" hidden="false" customHeight="false" outlineLevel="0" collapsed="false">
      <c r="A2242" s="3" t="s">
        <v>359</v>
      </c>
      <c r="B2242" s="4" t="s">
        <v>44</v>
      </c>
      <c r="C2242" s="4" t="n">
        <v>2</v>
      </c>
      <c r="D2242" s="4" t="s">
        <v>55</v>
      </c>
      <c r="E2242" s="3" t="s">
        <v>172</v>
      </c>
      <c r="F2242" s="4" t="str">
        <f aca="false">IF(I2242&gt;J2242,"Y","N")</f>
        <v>N</v>
      </c>
      <c r="G2242" s="3" t="s">
        <v>164</v>
      </c>
      <c r="H2242" s="3" t="s">
        <v>21</v>
      </c>
      <c r="I2242" s="4" t="n">
        <v>4</v>
      </c>
      <c r="J2242" s="4" t="n">
        <f aca="false">LEN(E2242)-LEN(SUBSTITUTE(E2242,",",""))+1</f>
        <v>4</v>
      </c>
      <c r="K2242" s="3" t="str">
        <f aca="false">IFERROR(INDEX('Teacher Lookup'!$B$2:$B$200,MATCH(A2242,'Teacher Lookup'!$A$2:$A$200,0)),"")</f>
        <v>MA Coco</v>
      </c>
    </row>
    <row r="2243" customFormat="false" ht="15" hidden="false" customHeight="false" outlineLevel="0" collapsed="false">
      <c r="A2243" s="3" t="s">
        <v>359</v>
      </c>
      <c r="B2243" s="4" t="s">
        <v>44</v>
      </c>
      <c r="C2243" s="4" t="n">
        <v>2</v>
      </c>
      <c r="D2243" s="4" t="s">
        <v>56</v>
      </c>
      <c r="E2243" s="3" t="s">
        <v>172</v>
      </c>
      <c r="F2243" s="4" t="str">
        <f aca="false">IF(I2243&gt;J2243,"Y","N")</f>
        <v>N</v>
      </c>
      <c r="G2243" s="3" t="s">
        <v>164</v>
      </c>
      <c r="H2243" s="3" t="s">
        <v>21</v>
      </c>
      <c r="I2243" s="4" t="n">
        <v>4</v>
      </c>
      <c r="J2243" s="4" t="n">
        <f aca="false">LEN(E2243)-LEN(SUBSTITUTE(E2243,",",""))+1</f>
        <v>4</v>
      </c>
      <c r="K2243" s="3" t="str">
        <f aca="false">IFERROR(INDEX('Teacher Lookup'!$B$2:$B$200,MATCH(A2243,'Teacher Lookup'!$A$2:$A$200,0)),"")</f>
        <v>MA Coco</v>
      </c>
    </row>
    <row r="2244" customFormat="false" ht="15" hidden="false" customHeight="false" outlineLevel="0" collapsed="false">
      <c r="A2244" s="3" t="s">
        <v>359</v>
      </c>
      <c r="B2244" s="4" t="s">
        <v>44</v>
      </c>
      <c r="C2244" s="4" t="n">
        <v>3</v>
      </c>
      <c r="D2244" s="4" t="s">
        <v>57</v>
      </c>
      <c r="E2244" s="3" t="s">
        <v>173</v>
      </c>
      <c r="F2244" s="4" t="str">
        <f aca="false">IF(I2244&gt;J2244,"Y","N")</f>
        <v>N</v>
      </c>
      <c r="G2244" s="3" t="s">
        <v>164</v>
      </c>
      <c r="H2244" s="3" t="s">
        <v>26</v>
      </c>
      <c r="I2244" s="4" t="n">
        <v>4</v>
      </c>
      <c r="J2244" s="4" t="n">
        <f aca="false">LEN(E2244)-LEN(SUBSTITUTE(E2244,",",""))+1</f>
        <v>4</v>
      </c>
      <c r="K2244" s="3" t="str">
        <f aca="false">IFERROR(INDEX('Teacher Lookup'!$B$2:$B$200,MATCH(A2244,'Teacher Lookup'!$A$2:$A$200,0)),"")</f>
        <v>MA Coco</v>
      </c>
    </row>
    <row r="2245" customFormat="false" ht="15" hidden="false" customHeight="false" outlineLevel="0" collapsed="false">
      <c r="A2245" s="3" t="s">
        <v>359</v>
      </c>
      <c r="B2245" s="4" t="s">
        <v>44</v>
      </c>
      <c r="C2245" s="4" t="n">
        <v>3</v>
      </c>
      <c r="D2245" s="4" t="s">
        <v>58</v>
      </c>
      <c r="E2245" s="3" t="s">
        <v>173</v>
      </c>
      <c r="F2245" s="4" t="str">
        <f aca="false">IF(I2245&gt;J2245,"Y","N")</f>
        <v>N</v>
      </c>
      <c r="G2245" s="3" t="s">
        <v>164</v>
      </c>
      <c r="H2245" s="3" t="s">
        <v>26</v>
      </c>
      <c r="I2245" s="4" t="n">
        <v>4</v>
      </c>
      <c r="J2245" s="4" t="n">
        <f aca="false">LEN(E2245)-LEN(SUBSTITUTE(E2245,",",""))+1</f>
        <v>4</v>
      </c>
      <c r="K2245" s="3" t="str">
        <f aca="false">IFERROR(INDEX('Teacher Lookup'!$B$2:$B$200,MATCH(A2245,'Teacher Lookup'!$A$2:$A$200,0)),"")</f>
        <v>MA Coco</v>
      </c>
    </row>
    <row r="2246" customFormat="false" ht="15" hidden="false" customHeight="false" outlineLevel="0" collapsed="false">
      <c r="A2246" s="3" t="s">
        <v>359</v>
      </c>
      <c r="B2246" s="4" t="s">
        <v>44</v>
      </c>
      <c r="C2246" s="4" t="n">
        <v>3</v>
      </c>
      <c r="D2246" s="4" t="s">
        <v>59</v>
      </c>
      <c r="E2246" s="3" t="s">
        <v>173</v>
      </c>
      <c r="F2246" s="4" t="str">
        <f aca="false">IF(I2246&gt;J2246,"Y","N")</f>
        <v>N</v>
      </c>
      <c r="G2246" s="3" t="s">
        <v>164</v>
      </c>
      <c r="H2246" s="3" t="s">
        <v>26</v>
      </c>
      <c r="I2246" s="4" t="n">
        <v>4</v>
      </c>
      <c r="J2246" s="4" t="n">
        <f aca="false">LEN(E2246)-LEN(SUBSTITUTE(E2246,",",""))+1</f>
        <v>4</v>
      </c>
      <c r="K2246" s="3" t="str">
        <f aca="false">IFERROR(INDEX('Teacher Lookup'!$B$2:$B$200,MATCH(A2246,'Teacher Lookup'!$A$2:$A$200,0)),"")</f>
        <v>MA Coco</v>
      </c>
    </row>
    <row r="2247" customFormat="false" ht="15" hidden="false" customHeight="false" outlineLevel="0" collapsed="false">
      <c r="A2247" s="3" t="s">
        <v>359</v>
      </c>
      <c r="B2247" s="4" t="s">
        <v>44</v>
      </c>
      <c r="C2247" s="4" t="n">
        <v>4</v>
      </c>
      <c r="D2247" s="4" t="s">
        <v>13</v>
      </c>
      <c r="E2247" s="3" t="s">
        <v>43</v>
      </c>
      <c r="F2247" s="4" t="str">
        <f aca="false">IF(I2247&gt;J2247,"Y","N")</f>
        <v>N</v>
      </c>
      <c r="G2247" s="3" t="s">
        <v>164</v>
      </c>
      <c r="H2247" s="3" t="s">
        <v>34</v>
      </c>
      <c r="I2247" s="4" t="n">
        <v>4</v>
      </c>
      <c r="J2247" s="4" t="n">
        <f aca="false">LEN(E2247)-LEN(SUBSTITUTE(E2247,",",""))+1</f>
        <v>4</v>
      </c>
      <c r="K2247" s="3" t="str">
        <f aca="false">IFERROR(INDEX('Teacher Lookup'!$B$2:$B$200,MATCH(A2247,'Teacher Lookup'!$A$2:$A$200,0)),"")</f>
        <v>MA Coco</v>
      </c>
    </row>
    <row r="2248" customFormat="false" ht="15" hidden="false" customHeight="false" outlineLevel="0" collapsed="false">
      <c r="A2248" s="3" t="s">
        <v>359</v>
      </c>
      <c r="B2248" s="4" t="s">
        <v>44</v>
      </c>
      <c r="C2248" s="4" t="n">
        <v>4</v>
      </c>
      <c r="D2248" s="4" t="s">
        <v>17</v>
      </c>
      <c r="E2248" s="3" t="s">
        <v>43</v>
      </c>
      <c r="F2248" s="4" t="str">
        <f aca="false">IF(I2248&gt;J2248,"Y","N")</f>
        <v>N</v>
      </c>
      <c r="G2248" s="3" t="s">
        <v>164</v>
      </c>
      <c r="H2248" s="3" t="s">
        <v>34</v>
      </c>
      <c r="I2248" s="4" t="n">
        <v>4</v>
      </c>
      <c r="J2248" s="4" t="n">
        <f aca="false">LEN(E2248)-LEN(SUBSTITUTE(E2248,",",""))+1</f>
        <v>4</v>
      </c>
      <c r="K2248" s="3" t="str">
        <f aca="false">IFERROR(INDEX('Teacher Lookup'!$B$2:$B$200,MATCH(A2248,'Teacher Lookup'!$A$2:$A$200,0)),"")</f>
        <v>MA Coco</v>
      </c>
    </row>
    <row r="2249" customFormat="false" ht="15" hidden="false" customHeight="false" outlineLevel="0" collapsed="false">
      <c r="A2249" s="3" t="s">
        <v>359</v>
      </c>
      <c r="B2249" s="4" t="s">
        <v>44</v>
      </c>
      <c r="C2249" s="4" t="n">
        <v>4</v>
      </c>
      <c r="D2249" s="4" t="s">
        <v>18</v>
      </c>
      <c r="E2249" s="3" t="s">
        <v>43</v>
      </c>
      <c r="F2249" s="4" t="str">
        <f aca="false">IF(I2249&gt;J2249,"Y","N")</f>
        <v>N</v>
      </c>
      <c r="G2249" s="3" t="s">
        <v>164</v>
      </c>
      <c r="H2249" s="3" t="s">
        <v>34</v>
      </c>
      <c r="I2249" s="4" t="n">
        <v>4</v>
      </c>
      <c r="J2249" s="4" t="n">
        <f aca="false">LEN(E2249)-LEN(SUBSTITUTE(E2249,",",""))+1</f>
        <v>4</v>
      </c>
      <c r="K2249" s="3" t="str">
        <f aca="false">IFERROR(INDEX('Teacher Lookup'!$B$2:$B$200,MATCH(A2249,'Teacher Lookup'!$A$2:$A$200,0)),"")</f>
        <v>MA Coco</v>
      </c>
    </row>
    <row r="2250" customFormat="false" ht="15" hidden="false" customHeight="false" outlineLevel="0" collapsed="false">
      <c r="A2250" s="3" t="s">
        <v>359</v>
      </c>
      <c r="B2250" s="4" t="s">
        <v>44</v>
      </c>
      <c r="C2250" s="4" t="n">
        <v>5</v>
      </c>
      <c r="D2250" s="4" t="s">
        <v>52</v>
      </c>
      <c r="E2250" s="3" t="s">
        <v>112</v>
      </c>
      <c r="F2250" s="4" t="str">
        <f aca="false">IF(I2250&gt;J2250,"Y","N")</f>
        <v>Y</v>
      </c>
      <c r="G2250" s="3" t="s">
        <v>36</v>
      </c>
      <c r="H2250" s="3" t="s">
        <v>37</v>
      </c>
      <c r="I2250" s="4" t="n">
        <v>16</v>
      </c>
      <c r="J2250" s="4" t="n">
        <f aca="false">LEN(E2250)-LEN(SUBSTITUTE(E2250,",",""))+1</f>
        <v>7</v>
      </c>
      <c r="K2250" s="3" t="str">
        <f aca="false">IFERROR(INDEX('Teacher Lookup'!$B$2:$B$200,MATCH(A2250,'Teacher Lookup'!$A$2:$A$200,0)),"")</f>
        <v>MA Coco</v>
      </c>
    </row>
    <row r="2251" customFormat="false" ht="15" hidden="false" customHeight="false" outlineLevel="0" collapsed="false">
      <c r="A2251" s="3" t="s">
        <v>359</v>
      </c>
      <c r="B2251" s="4" t="s">
        <v>44</v>
      </c>
      <c r="C2251" s="4" t="n">
        <v>5</v>
      </c>
      <c r="D2251" s="4" t="s">
        <v>55</v>
      </c>
      <c r="E2251" s="3" t="s">
        <v>112</v>
      </c>
      <c r="F2251" s="4" t="str">
        <f aca="false">IF(I2251&gt;J2251,"Y","N")</f>
        <v>Y</v>
      </c>
      <c r="G2251" s="3" t="s">
        <v>36</v>
      </c>
      <c r="H2251" s="3" t="s">
        <v>37</v>
      </c>
      <c r="I2251" s="4" t="n">
        <v>16</v>
      </c>
      <c r="J2251" s="4" t="n">
        <f aca="false">LEN(E2251)-LEN(SUBSTITUTE(E2251,",",""))+1</f>
        <v>7</v>
      </c>
      <c r="K2251" s="3" t="str">
        <f aca="false">IFERROR(INDEX('Teacher Lookup'!$B$2:$B$200,MATCH(A2251,'Teacher Lookup'!$A$2:$A$200,0)),"")</f>
        <v>MA Coco</v>
      </c>
    </row>
    <row r="2252" customFormat="false" ht="15" hidden="false" customHeight="false" outlineLevel="0" collapsed="false">
      <c r="A2252" s="3" t="s">
        <v>359</v>
      </c>
      <c r="B2252" s="4" t="s">
        <v>44</v>
      </c>
      <c r="C2252" s="4" t="n">
        <v>5</v>
      </c>
      <c r="D2252" s="4" t="s">
        <v>56</v>
      </c>
      <c r="E2252" s="3" t="s">
        <v>112</v>
      </c>
      <c r="F2252" s="4" t="str">
        <f aca="false">IF(I2252&gt;J2252,"Y","N")</f>
        <v>Y</v>
      </c>
      <c r="G2252" s="3" t="s">
        <v>36</v>
      </c>
      <c r="H2252" s="3" t="s">
        <v>37</v>
      </c>
      <c r="I2252" s="4" t="n">
        <v>16</v>
      </c>
      <c r="J2252" s="4" t="n">
        <f aca="false">LEN(E2252)-LEN(SUBSTITUTE(E2252,",",""))+1</f>
        <v>7</v>
      </c>
      <c r="K2252" s="3" t="str">
        <f aca="false">IFERROR(INDEX('Teacher Lookup'!$B$2:$B$200,MATCH(A2252,'Teacher Lookup'!$A$2:$A$200,0)),"")</f>
        <v>MA Coco</v>
      </c>
    </row>
    <row r="2253" customFormat="false" ht="15" hidden="false" customHeight="false" outlineLevel="0" collapsed="false">
      <c r="A2253" s="3" t="s">
        <v>359</v>
      </c>
      <c r="B2253" s="4" t="s">
        <v>44</v>
      </c>
      <c r="C2253" s="4" t="n">
        <v>5</v>
      </c>
      <c r="D2253" s="4" t="s">
        <v>57</v>
      </c>
      <c r="E2253" s="3" t="s">
        <v>112</v>
      </c>
      <c r="F2253" s="4" t="str">
        <f aca="false">IF(I2253&gt;J2253,"Y","N")</f>
        <v>Y</v>
      </c>
      <c r="G2253" s="3" t="s">
        <v>36</v>
      </c>
      <c r="H2253" s="3" t="s">
        <v>37</v>
      </c>
      <c r="I2253" s="4" t="n">
        <v>16</v>
      </c>
      <c r="J2253" s="4" t="n">
        <f aca="false">LEN(E2253)-LEN(SUBSTITUTE(E2253,",",""))+1</f>
        <v>7</v>
      </c>
      <c r="K2253" s="3" t="str">
        <f aca="false">IFERROR(INDEX('Teacher Lookup'!$B$2:$B$200,MATCH(A2253,'Teacher Lookup'!$A$2:$A$200,0)),"")</f>
        <v>MA Coco</v>
      </c>
    </row>
    <row r="2254" customFormat="false" ht="15" hidden="false" customHeight="false" outlineLevel="0" collapsed="false">
      <c r="A2254" s="3" t="s">
        <v>359</v>
      </c>
      <c r="B2254" s="4" t="s">
        <v>44</v>
      </c>
      <c r="C2254" s="4" t="n">
        <v>5</v>
      </c>
      <c r="D2254" s="4" t="s">
        <v>58</v>
      </c>
      <c r="E2254" s="3" t="s">
        <v>112</v>
      </c>
      <c r="F2254" s="4" t="str">
        <f aca="false">IF(I2254&gt;J2254,"Y","N")</f>
        <v>Y</v>
      </c>
      <c r="G2254" s="3" t="s">
        <v>36</v>
      </c>
      <c r="H2254" s="3" t="s">
        <v>37</v>
      </c>
      <c r="I2254" s="4" t="n">
        <v>16</v>
      </c>
      <c r="J2254" s="4" t="n">
        <f aca="false">LEN(E2254)-LEN(SUBSTITUTE(E2254,",",""))+1</f>
        <v>7</v>
      </c>
      <c r="K2254" s="3" t="str">
        <f aca="false">IFERROR(INDEX('Teacher Lookup'!$B$2:$B$200,MATCH(A2254,'Teacher Lookup'!$A$2:$A$200,0)),"")</f>
        <v>MA Coco</v>
      </c>
    </row>
    <row r="2255" customFormat="false" ht="15" hidden="false" customHeight="false" outlineLevel="0" collapsed="false">
      <c r="A2255" s="3" t="s">
        <v>359</v>
      </c>
      <c r="B2255" s="4" t="s">
        <v>44</v>
      </c>
      <c r="C2255" s="4" t="n">
        <v>5</v>
      </c>
      <c r="D2255" s="4" t="s">
        <v>59</v>
      </c>
      <c r="E2255" s="3" t="s">
        <v>112</v>
      </c>
      <c r="F2255" s="4" t="str">
        <f aca="false">IF(I2255&gt;J2255,"Y","N")</f>
        <v>Y</v>
      </c>
      <c r="G2255" s="3" t="s">
        <v>36</v>
      </c>
      <c r="H2255" s="3" t="s">
        <v>37</v>
      </c>
      <c r="I2255" s="4" t="n">
        <v>16</v>
      </c>
      <c r="J2255" s="4" t="n">
        <f aca="false">LEN(E2255)-LEN(SUBSTITUTE(E2255,",",""))+1</f>
        <v>7</v>
      </c>
      <c r="K2255" s="3" t="str">
        <f aca="false">IFERROR(INDEX('Teacher Lookup'!$B$2:$B$200,MATCH(A2255,'Teacher Lookup'!$A$2:$A$200,0)),"")</f>
        <v>MA Coco</v>
      </c>
    </row>
    <row r="2256" customFormat="false" ht="15" hidden="false" customHeight="false" outlineLevel="0" collapsed="false">
      <c r="A2256" s="3" t="s">
        <v>359</v>
      </c>
      <c r="B2256" s="4" t="s">
        <v>47</v>
      </c>
      <c r="C2256" s="4" t="n">
        <v>3</v>
      </c>
      <c r="D2256" s="4" t="s">
        <v>57</v>
      </c>
      <c r="E2256" s="3" t="s">
        <v>175</v>
      </c>
      <c r="F2256" s="4" t="str">
        <f aca="false">IF(I2256&gt;J2256,"Y","N")</f>
        <v>N</v>
      </c>
      <c r="G2256" s="3" t="s">
        <v>164</v>
      </c>
      <c r="H2256" s="3" t="s">
        <v>26</v>
      </c>
      <c r="I2256" s="4" t="n">
        <v>4</v>
      </c>
      <c r="J2256" s="4" t="n">
        <f aca="false">LEN(E2256)-LEN(SUBSTITUTE(E2256,",",""))+1</f>
        <v>4</v>
      </c>
      <c r="K2256" s="3" t="str">
        <f aca="false">IFERROR(INDEX('Teacher Lookup'!$B$2:$B$200,MATCH(A2256,'Teacher Lookup'!$A$2:$A$200,0)),"")</f>
        <v>MA Coco</v>
      </c>
    </row>
    <row r="2257" customFormat="false" ht="15" hidden="false" customHeight="false" outlineLevel="0" collapsed="false">
      <c r="A2257" s="3" t="s">
        <v>359</v>
      </c>
      <c r="B2257" s="4" t="s">
        <v>47</v>
      </c>
      <c r="C2257" s="4" t="n">
        <v>3</v>
      </c>
      <c r="D2257" s="4" t="s">
        <v>58</v>
      </c>
      <c r="E2257" s="3" t="s">
        <v>175</v>
      </c>
      <c r="F2257" s="4" t="str">
        <f aca="false">IF(I2257&gt;J2257,"Y","N")</f>
        <v>N</v>
      </c>
      <c r="G2257" s="3" t="s">
        <v>164</v>
      </c>
      <c r="H2257" s="3" t="s">
        <v>26</v>
      </c>
      <c r="I2257" s="4" t="n">
        <v>4</v>
      </c>
      <c r="J2257" s="4" t="n">
        <f aca="false">LEN(E2257)-LEN(SUBSTITUTE(E2257,",",""))+1</f>
        <v>4</v>
      </c>
      <c r="K2257" s="3" t="str">
        <f aca="false">IFERROR(INDEX('Teacher Lookup'!$B$2:$B$200,MATCH(A2257,'Teacher Lookup'!$A$2:$A$200,0)),"")</f>
        <v>MA Coco</v>
      </c>
    </row>
    <row r="2258" customFormat="false" ht="15" hidden="false" customHeight="false" outlineLevel="0" collapsed="false">
      <c r="A2258" s="3" t="s">
        <v>359</v>
      </c>
      <c r="B2258" s="4" t="s">
        <v>47</v>
      </c>
      <c r="C2258" s="4" t="n">
        <v>3</v>
      </c>
      <c r="D2258" s="4" t="s">
        <v>59</v>
      </c>
      <c r="E2258" s="3" t="s">
        <v>175</v>
      </c>
      <c r="F2258" s="4" t="str">
        <f aca="false">IF(I2258&gt;J2258,"Y","N")</f>
        <v>N</v>
      </c>
      <c r="G2258" s="3" t="s">
        <v>164</v>
      </c>
      <c r="H2258" s="3" t="s">
        <v>26</v>
      </c>
      <c r="I2258" s="4" t="n">
        <v>4</v>
      </c>
      <c r="J2258" s="4" t="n">
        <f aca="false">LEN(E2258)-LEN(SUBSTITUTE(E2258,",",""))+1</f>
        <v>4</v>
      </c>
      <c r="K2258" s="3" t="str">
        <f aca="false">IFERROR(INDEX('Teacher Lookup'!$B$2:$B$200,MATCH(A2258,'Teacher Lookup'!$A$2:$A$200,0)),"")</f>
        <v>MA Coco</v>
      </c>
    </row>
    <row r="2259" customFormat="false" ht="15" hidden="false" customHeight="false" outlineLevel="0" collapsed="false">
      <c r="A2259" s="3" t="s">
        <v>359</v>
      </c>
      <c r="B2259" s="4" t="s">
        <v>47</v>
      </c>
      <c r="C2259" s="4" t="n">
        <v>4</v>
      </c>
      <c r="D2259" s="4" t="s">
        <v>52</v>
      </c>
      <c r="E2259" s="3" t="s">
        <v>176</v>
      </c>
      <c r="F2259" s="4" t="str">
        <f aca="false">IF(I2259&gt;J2259,"Y","N")</f>
        <v>N</v>
      </c>
      <c r="G2259" s="3" t="s">
        <v>164</v>
      </c>
      <c r="H2259" s="3" t="s">
        <v>34</v>
      </c>
      <c r="I2259" s="4" t="n">
        <v>4</v>
      </c>
      <c r="J2259" s="4" t="n">
        <f aca="false">LEN(E2259)-LEN(SUBSTITUTE(E2259,",",""))+1</f>
        <v>4</v>
      </c>
      <c r="K2259" s="3" t="str">
        <f aca="false">IFERROR(INDEX('Teacher Lookup'!$B$2:$B$200,MATCH(A2259,'Teacher Lookup'!$A$2:$A$200,0)),"")</f>
        <v>MA Coco</v>
      </c>
    </row>
    <row r="2260" customFormat="false" ht="15" hidden="false" customHeight="false" outlineLevel="0" collapsed="false">
      <c r="A2260" s="3" t="s">
        <v>359</v>
      </c>
      <c r="B2260" s="4" t="s">
        <v>47</v>
      </c>
      <c r="C2260" s="4" t="n">
        <v>4</v>
      </c>
      <c r="D2260" s="4" t="s">
        <v>55</v>
      </c>
      <c r="E2260" s="3" t="s">
        <v>176</v>
      </c>
      <c r="F2260" s="4" t="str">
        <f aca="false">IF(I2260&gt;J2260,"Y","N")</f>
        <v>N</v>
      </c>
      <c r="G2260" s="3" t="s">
        <v>164</v>
      </c>
      <c r="H2260" s="3" t="s">
        <v>34</v>
      </c>
      <c r="I2260" s="4" t="n">
        <v>4</v>
      </c>
      <c r="J2260" s="4" t="n">
        <f aca="false">LEN(E2260)-LEN(SUBSTITUTE(E2260,",",""))+1</f>
        <v>4</v>
      </c>
      <c r="K2260" s="3" t="str">
        <f aca="false">IFERROR(INDEX('Teacher Lookup'!$B$2:$B$200,MATCH(A2260,'Teacher Lookup'!$A$2:$A$200,0)),"")</f>
        <v>MA Coco</v>
      </c>
    </row>
    <row r="2261" customFormat="false" ht="15" hidden="false" customHeight="false" outlineLevel="0" collapsed="false">
      <c r="A2261" s="3" t="s">
        <v>359</v>
      </c>
      <c r="B2261" s="4" t="s">
        <v>47</v>
      </c>
      <c r="C2261" s="4" t="n">
        <v>4</v>
      </c>
      <c r="D2261" s="4" t="s">
        <v>56</v>
      </c>
      <c r="E2261" s="3" t="s">
        <v>176</v>
      </c>
      <c r="F2261" s="4" t="str">
        <f aca="false">IF(I2261&gt;J2261,"Y","N")</f>
        <v>N</v>
      </c>
      <c r="G2261" s="3" t="s">
        <v>164</v>
      </c>
      <c r="H2261" s="3" t="s">
        <v>34</v>
      </c>
      <c r="I2261" s="4" t="n">
        <v>4</v>
      </c>
      <c r="J2261" s="4" t="n">
        <f aca="false">LEN(E2261)-LEN(SUBSTITUTE(E2261,",",""))+1</f>
        <v>4</v>
      </c>
      <c r="K2261" s="3" t="str">
        <f aca="false">IFERROR(INDEX('Teacher Lookup'!$B$2:$B$200,MATCH(A2261,'Teacher Lookup'!$A$2:$A$200,0)),"")</f>
        <v>MA Coco</v>
      </c>
    </row>
    <row r="2262" customFormat="false" ht="15" hidden="false" customHeight="false" outlineLevel="0" collapsed="false">
      <c r="A2262" s="3" t="s">
        <v>359</v>
      </c>
      <c r="B2262" s="4" t="s">
        <v>47</v>
      </c>
      <c r="C2262" s="4" t="n">
        <v>5</v>
      </c>
      <c r="D2262" s="4" t="s">
        <v>13</v>
      </c>
      <c r="E2262" s="3" t="s">
        <v>14</v>
      </c>
      <c r="F2262" s="4" t="str">
        <f aca="false">IF(I2262&gt;J2262,"Y","N")</f>
        <v>N</v>
      </c>
      <c r="G2262" s="3" t="s">
        <v>164</v>
      </c>
      <c r="H2262" s="3" t="s">
        <v>37</v>
      </c>
      <c r="I2262" s="4" t="n">
        <v>4</v>
      </c>
      <c r="J2262" s="4" t="n">
        <f aca="false">LEN(E2262)-LEN(SUBSTITUTE(E2262,",",""))+1</f>
        <v>4</v>
      </c>
      <c r="K2262" s="3" t="str">
        <f aca="false">IFERROR(INDEX('Teacher Lookup'!$B$2:$B$200,MATCH(A2262,'Teacher Lookup'!$A$2:$A$200,0)),"")</f>
        <v>MA Coco</v>
      </c>
    </row>
    <row r="2263" customFormat="false" ht="15" hidden="false" customHeight="false" outlineLevel="0" collapsed="false">
      <c r="A2263" s="3" t="s">
        <v>359</v>
      </c>
      <c r="B2263" s="4" t="s">
        <v>47</v>
      </c>
      <c r="C2263" s="4" t="n">
        <v>5</v>
      </c>
      <c r="D2263" s="4" t="s">
        <v>17</v>
      </c>
      <c r="E2263" s="3" t="s">
        <v>14</v>
      </c>
      <c r="F2263" s="4" t="str">
        <f aca="false">IF(I2263&gt;J2263,"Y","N")</f>
        <v>N</v>
      </c>
      <c r="G2263" s="3" t="s">
        <v>164</v>
      </c>
      <c r="H2263" s="3" t="s">
        <v>37</v>
      </c>
      <c r="I2263" s="4" t="n">
        <v>4</v>
      </c>
      <c r="J2263" s="4" t="n">
        <f aca="false">LEN(E2263)-LEN(SUBSTITUTE(E2263,",",""))+1</f>
        <v>4</v>
      </c>
      <c r="K2263" s="3" t="str">
        <f aca="false">IFERROR(INDEX('Teacher Lookup'!$B$2:$B$200,MATCH(A2263,'Teacher Lookup'!$A$2:$A$200,0)),"")</f>
        <v>MA Coco</v>
      </c>
    </row>
    <row r="2264" customFormat="false" ht="15" hidden="false" customHeight="false" outlineLevel="0" collapsed="false">
      <c r="A2264" s="3" t="s">
        <v>359</v>
      </c>
      <c r="B2264" s="4" t="s">
        <v>47</v>
      </c>
      <c r="C2264" s="4" t="n">
        <v>5</v>
      </c>
      <c r="D2264" s="4" t="s">
        <v>18</v>
      </c>
      <c r="E2264" s="3" t="s">
        <v>14</v>
      </c>
      <c r="F2264" s="4" t="str">
        <f aca="false">IF(I2264&gt;J2264,"Y","N")</f>
        <v>N</v>
      </c>
      <c r="G2264" s="3" t="s">
        <v>164</v>
      </c>
      <c r="H2264" s="3" t="s">
        <v>37</v>
      </c>
      <c r="I2264" s="4" t="n">
        <v>4</v>
      </c>
      <c r="J2264" s="4" t="n">
        <f aca="false">LEN(E2264)-LEN(SUBSTITUTE(E2264,",",""))+1</f>
        <v>4</v>
      </c>
      <c r="K2264" s="3" t="str">
        <f aca="false">IFERROR(INDEX('Teacher Lookup'!$B$2:$B$200,MATCH(A2264,'Teacher Lookup'!$A$2:$A$200,0)),"")</f>
        <v>MA Coco</v>
      </c>
    </row>
    <row r="2265" customFormat="false" ht="15" hidden="false" customHeight="false" outlineLevel="0" collapsed="false">
      <c r="A2265" s="3" t="s">
        <v>359</v>
      </c>
      <c r="B2265" s="4" t="s">
        <v>50</v>
      </c>
      <c r="C2265" s="4" t="n">
        <v>3</v>
      </c>
      <c r="D2265" s="4" t="s">
        <v>13</v>
      </c>
      <c r="E2265" s="3" t="s">
        <v>360</v>
      </c>
      <c r="F2265" s="4" t="str">
        <f aca="false">IF(I2265&gt;J2265,"Y","N")</f>
        <v>N</v>
      </c>
      <c r="G2265" s="3" t="s">
        <v>164</v>
      </c>
      <c r="H2265" s="3" t="s">
        <v>26</v>
      </c>
      <c r="I2265" s="4" t="n">
        <v>4</v>
      </c>
      <c r="J2265" s="4" t="n">
        <f aca="false">LEN(E2265)-LEN(SUBSTITUTE(E2265,",",""))+1</f>
        <v>4</v>
      </c>
      <c r="K2265" s="3" t="str">
        <f aca="false">IFERROR(INDEX('Teacher Lookup'!$B$2:$B$200,MATCH(A2265,'Teacher Lookup'!$A$2:$A$200,0)),"")</f>
        <v>MA Coco</v>
      </c>
    </row>
    <row r="2266" customFormat="false" ht="15" hidden="false" customHeight="false" outlineLevel="0" collapsed="false">
      <c r="A2266" s="3" t="s">
        <v>359</v>
      </c>
      <c r="B2266" s="4" t="s">
        <v>50</v>
      </c>
      <c r="C2266" s="4" t="n">
        <v>3</v>
      </c>
      <c r="D2266" s="4" t="s">
        <v>17</v>
      </c>
      <c r="E2266" s="3" t="s">
        <v>360</v>
      </c>
      <c r="F2266" s="4" t="str">
        <f aca="false">IF(I2266&gt;J2266,"Y","N")</f>
        <v>N</v>
      </c>
      <c r="G2266" s="3" t="s">
        <v>164</v>
      </c>
      <c r="H2266" s="3" t="s">
        <v>26</v>
      </c>
      <c r="I2266" s="4" t="n">
        <v>4</v>
      </c>
      <c r="J2266" s="4" t="n">
        <f aca="false">LEN(E2266)-LEN(SUBSTITUTE(E2266,",",""))+1</f>
        <v>4</v>
      </c>
      <c r="K2266" s="3" t="str">
        <f aca="false">IFERROR(INDEX('Teacher Lookup'!$B$2:$B$200,MATCH(A2266,'Teacher Lookup'!$A$2:$A$200,0)),"")</f>
        <v>MA Coco</v>
      </c>
    </row>
    <row r="2267" customFormat="false" ht="15" hidden="false" customHeight="false" outlineLevel="0" collapsed="false">
      <c r="A2267" s="3" t="s">
        <v>359</v>
      </c>
      <c r="B2267" s="4" t="s">
        <v>50</v>
      </c>
      <c r="C2267" s="4" t="n">
        <v>3</v>
      </c>
      <c r="D2267" s="4" t="s">
        <v>18</v>
      </c>
      <c r="E2267" s="3" t="s">
        <v>360</v>
      </c>
      <c r="F2267" s="4" t="str">
        <f aca="false">IF(I2267&gt;J2267,"Y","N")</f>
        <v>N</v>
      </c>
      <c r="G2267" s="3" t="s">
        <v>164</v>
      </c>
      <c r="H2267" s="3" t="s">
        <v>26</v>
      </c>
      <c r="I2267" s="4" t="n">
        <v>4</v>
      </c>
      <c r="J2267" s="4" t="n">
        <f aca="false">LEN(E2267)-LEN(SUBSTITUTE(E2267,",",""))+1</f>
        <v>4</v>
      </c>
      <c r="K2267" s="3" t="str">
        <f aca="false">IFERROR(INDEX('Teacher Lookup'!$B$2:$B$200,MATCH(A2267,'Teacher Lookup'!$A$2:$A$200,0)),"")</f>
        <v>MA Coco</v>
      </c>
    </row>
    <row r="2268" customFormat="false" ht="15" hidden="false" customHeight="false" outlineLevel="0" collapsed="false">
      <c r="A2268" s="3" t="s">
        <v>359</v>
      </c>
      <c r="B2268" s="4" t="s">
        <v>50</v>
      </c>
      <c r="C2268" s="4" t="n">
        <v>4</v>
      </c>
      <c r="D2268" s="4" t="s">
        <v>52</v>
      </c>
      <c r="E2268" s="3" t="s">
        <v>177</v>
      </c>
      <c r="F2268" s="4" t="str">
        <f aca="false">IF(I2268&gt;J2268,"Y","N")</f>
        <v>N</v>
      </c>
      <c r="G2268" s="3" t="s">
        <v>164</v>
      </c>
      <c r="H2268" s="3" t="s">
        <v>34</v>
      </c>
      <c r="I2268" s="4" t="n">
        <v>4</v>
      </c>
      <c r="J2268" s="4" t="n">
        <f aca="false">LEN(E2268)-LEN(SUBSTITUTE(E2268,",",""))+1</f>
        <v>4</v>
      </c>
      <c r="K2268" s="3" t="str">
        <f aca="false">IFERROR(INDEX('Teacher Lookup'!$B$2:$B$200,MATCH(A2268,'Teacher Lookup'!$A$2:$A$200,0)),"")</f>
        <v>MA Coco</v>
      </c>
    </row>
    <row r="2269" customFormat="false" ht="15" hidden="false" customHeight="false" outlineLevel="0" collapsed="false">
      <c r="A2269" s="3" t="s">
        <v>359</v>
      </c>
      <c r="B2269" s="4" t="s">
        <v>50</v>
      </c>
      <c r="C2269" s="4" t="n">
        <v>4</v>
      </c>
      <c r="D2269" s="4" t="s">
        <v>55</v>
      </c>
      <c r="E2269" s="3" t="s">
        <v>177</v>
      </c>
      <c r="F2269" s="4" t="str">
        <f aca="false">IF(I2269&gt;J2269,"Y","N")</f>
        <v>N</v>
      </c>
      <c r="G2269" s="3" t="s">
        <v>164</v>
      </c>
      <c r="H2269" s="3" t="s">
        <v>34</v>
      </c>
      <c r="I2269" s="4" t="n">
        <v>4</v>
      </c>
      <c r="J2269" s="4" t="n">
        <f aca="false">LEN(E2269)-LEN(SUBSTITUTE(E2269,",",""))+1</f>
        <v>4</v>
      </c>
      <c r="K2269" s="3" t="str">
        <f aca="false">IFERROR(INDEX('Teacher Lookup'!$B$2:$B$200,MATCH(A2269,'Teacher Lookup'!$A$2:$A$200,0)),"")</f>
        <v>MA Coco</v>
      </c>
    </row>
    <row r="2270" customFormat="false" ht="15" hidden="false" customHeight="false" outlineLevel="0" collapsed="false">
      <c r="A2270" s="3" t="s">
        <v>359</v>
      </c>
      <c r="B2270" s="4" t="s">
        <v>50</v>
      </c>
      <c r="C2270" s="4" t="n">
        <v>4</v>
      </c>
      <c r="D2270" s="4" t="s">
        <v>56</v>
      </c>
      <c r="E2270" s="3" t="s">
        <v>177</v>
      </c>
      <c r="F2270" s="4" t="str">
        <f aca="false">IF(I2270&gt;J2270,"Y","N")</f>
        <v>N</v>
      </c>
      <c r="G2270" s="3" t="s">
        <v>164</v>
      </c>
      <c r="H2270" s="3" t="s">
        <v>34</v>
      </c>
      <c r="I2270" s="4" t="n">
        <v>4</v>
      </c>
      <c r="J2270" s="4" t="n">
        <f aca="false">LEN(E2270)-LEN(SUBSTITUTE(E2270,",",""))+1</f>
        <v>4</v>
      </c>
      <c r="K2270" s="3" t="str">
        <f aca="false">IFERROR(INDEX('Teacher Lookup'!$B$2:$B$200,MATCH(A2270,'Teacher Lookup'!$A$2:$A$200,0)),"")</f>
        <v>MA Coco</v>
      </c>
    </row>
    <row r="2271" customFormat="false" ht="15" hidden="false" customHeight="false" outlineLevel="0" collapsed="false">
      <c r="A2271" s="3" t="s">
        <v>359</v>
      </c>
      <c r="B2271" s="4" t="s">
        <v>50</v>
      </c>
      <c r="C2271" s="4" t="n">
        <v>5</v>
      </c>
      <c r="D2271" s="4" t="s">
        <v>57</v>
      </c>
      <c r="E2271" s="3" t="s">
        <v>166</v>
      </c>
      <c r="F2271" s="4" t="str">
        <f aca="false">IF(I2271&gt;J2271,"Y","N")</f>
        <v>N</v>
      </c>
      <c r="G2271" s="3" t="s">
        <v>164</v>
      </c>
      <c r="H2271" s="3" t="s">
        <v>37</v>
      </c>
      <c r="I2271" s="4" t="n">
        <v>4</v>
      </c>
      <c r="J2271" s="4" t="n">
        <f aca="false">LEN(E2271)-LEN(SUBSTITUTE(E2271,",",""))+1</f>
        <v>4</v>
      </c>
      <c r="K2271" s="3" t="str">
        <f aca="false">IFERROR(INDEX('Teacher Lookup'!$B$2:$B$200,MATCH(A2271,'Teacher Lookup'!$A$2:$A$200,0)),"")</f>
        <v>MA Coco</v>
      </c>
    </row>
    <row r="2272" customFormat="false" ht="15" hidden="false" customHeight="false" outlineLevel="0" collapsed="false">
      <c r="A2272" s="3" t="s">
        <v>359</v>
      </c>
      <c r="B2272" s="4" t="s">
        <v>50</v>
      </c>
      <c r="C2272" s="4" t="n">
        <v>5</v>
      </c>
      <c r="D2272" s="4" t="s">
        <v>58</v>
      </c>
      <c r="E2272" s="3" t="s">
        <v>166</v>
      </c>
      <c r="F2272" s="4" t="str">
        <f aca="false">IF(I2272&gt;J2272,"Y","N")</f>
        <v>N</v>
      </c>
      <c r="G2272" s="3" t="s">
        <v>164</v>
      </c>
      <c r="H2272" s="3" t="s">
        <v>37</v>
      </c>
      <c r="I2272" s="4" t="n">
        <v>4</v>
      </c>
      <c r="J2272" s="4" t="n">
        <f aca="false">LEN(E2272)-LEN(SUBSTITUTE(E2272,",",""))+1</f>
        <v>4</v>
      </c>
      <c r="K2272" s="3" t="str">
        <f aca="false">IFERROR(INDEX('Teacher Lookup'!$B$2:$B$200,MATCH(A2272,'Teacher Lookup'!$A$2:$A$200,0)),"")</f>
        <v>MA Coco</v>
      </c>
    </row>
    <row r="2273" customFormat="false" ht="15" hidden="false" customHeight="false" outlineLevel="0" collapsed="false">
      <c r="A2273" s="3" t="s">
        <v>359</v>
      </c>
      <c r="B2273" s="4" t="s">
        <v>50</v>
      </c>
      <c r="C2273" s="4" t="n">
        <v>5</v>
      </c>
      <c r="D2273" s="4" t="s">
        <v>59</v>
      </c>
      <c r="E2273" s="3" t="s">
        <v>166</v>
      </c>
      <c r="F2273" s="4" t="str">
        <f aca="false">IF(I2273&gt;J2273,"Y","N")</f>
        <v>N</v>
      </c>
      <c r="G2273" s="3" t="s">
        <v>164</v>
      </c>
      <c r="H2273" s="3" t="s">
        <v>37</v>
      </c>
      <c r="I2273" s="4" t="n">
        <v>4</v>
      </c>
      <c r="J2273" s="4" t="n">
        <f aca="false">LEN(E2273)-LEN(SUBSTITUTE(E2273,",",""))+1</f>
        <v>4</v>
      </c>
      <c r="K2273" s="3" t="str">
        <f aca="false">IFERROR(INDEX('Teacher Lookup'!$B$2:$B$200,MATCH(A2273,'Teacher Lookup'!$A$2:$A$200,0)),"")</f>
        <v>MA Coco</v>
      </c>
    </row>
    <row r="2274" customFormat="false" ht="15" hidden="false" customHeight="false" outlineLevel="0" collapsed="false">
      <c r="A2274" s="3" t="s">
        <v>359</v>
      </c>
      <c r="B2274" s="4" t="s">
        <v>60</v>
      </c>
      <c r="C2274" s="4" t="n">
        <v>1</v>
      </c>
      <c r="D2274" s="4" t="s">
        <v>57</v>
      </c>
      <c r="E2274" s="3" t="s">
        <v>178</v>
      </c>
      <c r="F2274" s="4" t="str">
        <f aca="false">IF(I2274&gt;J2274,"Y","N")</f>
        <v>N</v>
      </c>
      <c r="G2274" s="3" t="s">
        <v>164</v>
      </c>
      <c r="H2274" s="3" t="s">
        <v>16</v>
      </c>
      <c r="I2274" s="4" t="n">
        <v>4</v>
      </c>
      <c r="J2274" s="4" t="n">
        <f aca="false">LEN(E2274)-LEN(SUBSTITUTE(E2274,",",""))+1</f>
        <v>4</v>
      </c>
      <c r="K2274" s="3" t="str">
        <f aca="false">IFERROR(INDEX('Teacher Lookup'!$B$2:$B$200,MATCH(A2274,'Teacher Lookup'!$A$2:$A$200,0)),"")</f>
        <v>MA Coco</v>
      </c>
    </row>
    <row r="2275" customFormat="false" ht="15" hidden="false" customHeight="false" outlineLevel="0" collapsed="false">
      <c r="A2275" s="3" t="s">
        <v>359</v>
      </c>
      <c r="B2275" s="4" t="s">
        <v>60</v>
      </c>
      <c r="C2275" s="4" t="n">
        <v>1</v>
      </c>
      <c r="D2275" s="4" t="s">
        <v>58</v>
      </c>
      <c r="E2275" s="3" t="s">
        <v>178</v>
      </c>
      <c r="F2275" s="4" t="str">
        <f aca="false">IF(I2275&gt;J2275,"Y","N")</f>
        <v>N</v>
      </c>
      <c r="G2275" s="3" t="s">
        <v>164</v>
      </c>
      <c r="H2275" s="3" t="s">
        <v>16</v>
      </c>
      <c r="I2275" s="4" t="n">
        <v>4</v>
      </c>
      <c r="J2275" s="4" t="n">
        <f aca="false">LEN(E2275)-LEN(SUBSTITUTE(E2275,",",""))+1</f>
        <v>4</v>
      </c>
      <c r="K2275" s="3" t="str">
        <f aca="false">IFERROR(INDEX('Teacher Lookup'!$B$2:$B$200,MATCH(A2275,'Teacher Lookup'!$A$2:$A$200,0)),"")</f>
        <v>MA Coco</v>
      </c>
    </row>
    <row r="2276" customFormat="false" ht="15" hidden="false" customHeight="false" outlineLevel="0" collapsed="false">
      <c r="A2276" s="3" t="s">
        <v>359</v>
      </c>
      <c r="B2276" s="4" t="s">
        <v>60</v>
      </c>
      <c r="C2276" s="4" t="n">
        <v>1</v>
      </c>
      <c r="D2276" s="4" t="s">
        <v>59</v>
      </c>
      <c r="E2276" s="3" t="s">
        <v>178</v>
      </c>
      <c r="F2276" s="4" t="str">
        <f aca="false">IF(I2276&gt;J2276,"Y","N")</f>
        <v>N</v>
      </c>
      <c r="G2276" s="3" t="s">
        <v>164</v>
      </c>
      <c r="H2276" s="3" t="s">
        <v>16</v>
      </c>
      <c r="I2276" s="4" t="n">
        <v>4</v>
      </c>
      <c r="J2276" s="4" t="n">
        <f aca="false">LEN(E2276)-LEN(SUBSTITUTE(E2276,",",""))+1</f>
        <v>4</v>
      </c>
      <c r="K2276" s="3" t="str">
        <f aca="false">IFERROR(INDEX('Teacher Lookup'!$B$2:$B$200,MATCH(A2276,'Teacher Lookup'!$A$2:$A$200,0)),"")</f>
        <v>MA Coco</v>
      </c>
    </row>
    <row r="2277" customFormat="false" ht="15" hidden="false" customHeight="false" outlineLevel="0" collapsed="false">
      <c r="A2277" s="3" t="s">
        <v>359</v>
      </c>
      <c r="B2277" s="4" t="s">
        <v>60</v>
      </c>
      <c r="C2277" s="4" t="n">
        <v>5</v>
      </c>
      <c r="D2277" s="4" t="s">
        <v>52</v>
      </c>
      <c r="E2277" s="3" t="s">
        <v>112</v>
      </c>
      <c r="F2277" s="4" t="str">
        <f aca="false">IF(I2277&gt;J2277,"Y","N")</f>
        <v>Y</v>
      </c>
      <c r="G2277" s="3" t="s">
        <v>36</v>
      </c>
      <c r="H2277" s="3" t="s">
        <v>37</v>
      </c>
      <c r="I2277" s="4" t="n">
        <v>16</v>
      </c>
      <c r="J2277" s="4" t="n">
        <f aca="false">LEN(E2277)-LEN(SUBSTITUTE(E2277,",",""))+1</f>
        <v>7</v>
      </c>
      <c r="K2277" s="3" t="str">
        <f aca="false">IFERROR(INDEX('Teacher Lookup'!$B$2:$B$200,MATCH(A2277,'Teacher Lookup'!$A$2:$A$200,0)),"")</f>
        <v>MA Coco</v>
      </c>
    </row>
    <row r="2278" customFormat="false" ht="15" hidden="false" customHeight="false" outlineLevel="0" collapsed="false">
      <c r="A2278" s="3" t="s">
        <v>359</v>
      </c>
      <c r="B2278" s="4" t="s">
        <v>60</v>
      </c>
      <c r="C2278" s="4" t="n">
        <v>5</v>
      </c>
      <c r="D2278" s="4" t="s">
        <v>55</v>
      </c>
      <c r="E2278" s="3" t="s">
        <v>112</v>
      </c>
      <c r="F2278" s="4" t="str">
        <f aca="false">IF(I2278&gt;J2278,"Y","N")</f>
        <v>Y</v>
      </c>
      <c r="G2278" s="3" t="s">
        <v>36</v>
      </c>
      <c r="H2278" s="3" t="s">
        <v>37</v>
      </c>
      <c r="I2278" s="4" t="n">
        <v>16</v>
      </c>
      <c r="J2278" s="4" t="n">
        <f aca="false">LEN(E2278)-LEN(SUBSTITUTE(E2278,",",""))+1</f>
        <v>7</v>
      </c>
      <c r="K2278" s="3" t="str">
        <f aca="false">IFERROR(INDEX('Teacher Lookup'!$B$2:$B$200,MATCH(A2278,'Teacher Lookup'!$A$2:$A$200,0)),"")</f>
        <v>MA Coco</v>
      </c>
    </row>
    <row r="2279" customFormat="false" ht="15" hidden="false" customHeight="false" outlineLevel="0" collapsed="false">
      <c r="A2279" s="3" t="s">
        <v>359</v>
      </c>
      <c r="B2279" s="4" t="s">
        <v>60</v>
      </c>
      <c r="C2279" s="4" t="n">
        <v>5</v>
      </c>
      <c r="D2279" s="4" t="s">
        <v>56</v>
      </c>
      <c r="E2279" s="3" t="s">
        <v>112</v>
      </c>
      <c r="F2279" s="4" t="str">
        <f aca="false">IF(I2279&gt;J2279,"Y","N")</f>
        <v>Y</v>
      </c>
      <c r="G2279" s="3" t="s">
        <v>36</v>
      </c>
      <c r="H2279" s="3" t="s">
        <v>37</v>
      </c>
      <c r="I2279" s="4" t="n">
        <v>16</v>
      </c>
      <c r="J2279" s="4" t="n">
        <f aca="false">LEN(E2279)-LEN(SUBSTITUTE(E2279,",",""))+1</f>
        <v>7</v>
      </c>
      <c r="K2279" s="3" t="str">
        <f aca="false">IFERROR(INDEX('Teacher Lookup'!$B$2:$B$200,MATCH(A2279,'Teacher Lookup'!$A$2:$A$200,0)),"")</f>
        <v>MA Coco</v>
      </c>
    </row>
    <row r="2280" customFormat="false" ht="15" hidden="false" customHeight="false" outlineLevel="0" collapsed="false">
      <c r="A2280" s="3" t="s">
        <v>359</v>
      </c>
      <c r="B2280" s="4" t="s">
        <v>60</v>
      </c>
      <c r="C2280" s="4" t="n">
        <v>5</v>
      </c>
      <c r="D2280" s="4" t="s">
        <v>57</v>
      </c>
      <c r="E2280" s="3" t="s">
        <v>112</v>
      </c>
      <c r="F2280" s="4" t="str">
        <f aca="false">IF(I2280&gt;J2280,"Y","N")</f>
        <v>Y</v>
      </c>
      <c r="G2280" s="3" t="s">
        <v>36</v>
      </c>
      <c r="H2280" s="3" t="s">
        <v>37</v>
      </c>
      <c r="I2280" s="4" t="n">
        <v>16</v>
      </c>
      <c r="J2280" s="4" t="n">
        <f aca="false">LEN(E2280)-LEN(SUBSTITUTE(E2280,",",""))+1</f>
        <v>7</v>
      </c>
      <c r="K2280" s="3" t="str">
        <f aca="false">IFERROR(INDEX('Teacher Lookup'!$B$2:$B$200,MATCH(A2280,'Teacher Lookup'!$A$2:$A$200,0)),"")</f>
        <v>MA Coco</v>
      </c>
    </row>
    <row r="2281" customFormat="false" ht="15" hidden="false" customHeight="false" outlineLevel="0" collapsed="false">
      <c r="A2281" s="3" t="s">
        <v>359</v>
      </c>
      <c r="B2281" s="4" t="s">
        <v>60</v>
      </c>
      <c r="C2281" s="4" t="n">
        <v>5</v>
      </c>
      <c r="D2281" s="4" t="s">
        <v>58</v>
      </c>
      <c r="E2281" s="3" t="s">
        <v>112</v>
      </c>
      <c r="F2281" s="4" t="str">
        <f aca="false">IF(I2281&gt;J2281,"Y","N")</f>
        <v>Y</v>
      </c>
      <c r="G2281" s="3" t="s">
        <v>36</v>
      </c>
      <c r="H2281" s="3" t="s">
        <v>37</v>
      </c>
      <c r="I2281" s="4" t="n">
        <v>16</v>
      </c>
      <c r="J2281" s="4" t="n">
        <f aca="false">LEN(E2281)-LEN(SUBSTITUTE(E2281,",",""))+1</f>
        <v>7</v>
      </c>
      <c r="K2281" s="3" t="str">
        <f aca="false">IFERROR(INDEX('Teacher Lookup'!$B$2:$B$200,MATCH(A2281,'Teacher Lookup'!$A$2:$A$200,0)),"")</f>
        <v>MA Coco</v>
      </c>
    </row>
    <row r="2282" customFormat="false" ht="15" hidden="false" customHeight="false" outlineLevel="0" collapsed="false">
      <c r="A2282" s="3" t="s">
        <v>359</v>
      </c>
      <c r="B2282" s="4" t="s">
        <v>60</v>
      </c>
      <c r="C2282" s="4" t="n">
        <v>5</v>
      </c>
      <c r="D2282" s="4" t="s">
        <v>59</v>
      </c>
      <c r="E2282" s="3" t="s">
        <v>112</v>
      </c>
      <c r="F2282" s="4" t="str">
        <f aca="false">IF(I2282&gt;J2282,"Y","N")</f>
        <v>Y</v>
      </c>
      <c r="G2282" s="3" t="s">
        <v>36</v>
      </c>
      <c r="H2282" s="3" t="s">
        <v>37</v>
      </c>
      <c r="I2282" s="4" t="n">
        <v>16</v>
      </c>
      <c r="J2282" s="4" t="n">
        <f aca="false">LEN(E2282)-LEN(SUBSTITUTE(E2282,",",""))+1</f>
        <v>7</v>
      </c>
      <c r="K2282" s="3" t="str">
        <f aca="false">IFERROR(INDEX('Teacher Lookup'!$B$2:$B$200,MATCH(A2282,'Teacher Lookup'!$A$2:$A$200,0)),"")</f>
        <v>MA Coco</v>
      </c>
    </row>
    <row r="2283" customFormat="false" ht="15" hidden="false" customHeight="false" outlineLevel="0" collapsed="false">
      <c r="A2283" s="3" t="s">
        <v>359</v>
      </c>
      <c r="B2283" s="4" t="s">
        <v>60</v>
      </c>
      <c r="C2283" s="4" t="n">
        <v>6</v>
      </c>
      <c r="D2283" s="4" t="s">
        <v>52</v>
      </c>
      <c r="E2283" s="3" t="s">
        <v>169</v>
      </c>
      <c r="F2283" s="4" t="str">
        <f aca="false">IF(I2283&gt;J2283,"Y","N")</f>
        <v>N</v>
      </c>
      <c r="G2283" s="3" t="s">
        <v>164</v>
      </c>
      <c r="H2283" s="3" t="s">
        <v>42</v>
      </c>
      <c r="I2283" s="4" t="n">
        <v>4</v>
      </c>
      <c r="J2283" s="4" t="n">
        <f aca="false">LEN(E2283)-LEN(SUBSTITUTE(E2283,",",""))+1</f>
        <v>4</v>
      </c>
      <c r="K2283" s="3" t="str">
        <f aca="false">IFERROR(INDEX('Teacher Lookup'!$B$2:$B$200,MATCH(A2283,'Teacher Lookup'!$A$2:$A$200,0)),"")</f>
        <v>MA Coco</v>
      </c>
    </row>
    <row r="2284" customFormat="false" ht="15" hidden="false" customHeight="false" outlineLevel="0" collapsed="false">
      <c r="A2284" s="3" t="s">
        <v>359</v>
      </c>
      <c r="B2284" s="4" t="s">
        <v>60</v>
      </c>
      <c r="C2284" s="4" t="n">
        <v>6</v>
      </c>
      <c r="D2284" s="4" t="s">
        <v>55</v>
      </c>
      <c r="E2284" s="3" t="s">
        <v>169</v>
      </c>
      <c r="F2284" s="4" t="str">
        <f aca="false">IF(I2284&gt;J2284,"Y","N")</f>
        <v>N</v>
      </c>
      <c r="G2284" s="3" t="s">
        <v>164</v>
      </c>
      <c r="H2284" s="3" t="s">
        <v>42</v>
      </c>
      <c r="I2284" s="4" t="n">
        <v>4</v>
      </c>
      <c r="J2284" s="4" t="n">
        <f aca="false">LEN(E2284)-LEN(SUBSTITUTE(E2284,",",""))+1</f>
        <v>4</v>
      </c>
      <c r="K2284" s="3" t="str">
        <f aca="false">IFERROR(INDEX('Teacher Lookup'!$B$2:$B$200,MATCH(A2284,'Teacher Lookup'!$A$2:$A$200,0)),"")</f>
        <v>MA Coco</v>
      </c>
    </row>
    <row r="2285" customFormat="false" ht="15" hidden="false" customHeight="false" outlineLevel="0" collapsed="false">
      <c r="A2285" s="3" t="s">
        <v>359</v>
      </c>
      <c r="B2285" s="4" t="s">
        <v>60</v>
      </c>
      <c r="C2285" s="4" t="n">
        <v>6</v>
      </c>
      <c r="D2285" s="4" t="s">
        <v>56</v>
      </c>
      <c r="E2285" s="3" t="s">
        <v>169</v>
      </c>
      <c r="F2285" s="4" t="str">
        <f aca="false">IF(I2285&gt;J2285,"Y","N")</f>
        <v>N</v>
      </c>
      <c r="G2285" s="3" t="s">
        <v>164</v>
      </c>
      <c r="H2285" s="3" t="s">
        <v>42</v>
      </c>
      <c r="I2285" s="4" t="n">
        <v>4</v>
      </c>
      <c r="J2285" s="4" t="n">
        <f aca="false">LEN(E2285)-LEN(SUBSTITUTE(E2285,",",""))+1</f>
        <v>4</v>
      </c>
      <c r="K2285" s="3" t="str">
        <f aca="false">IFERROR(INDEX('Teacher Lookup'!$B$2:$B$200,MATCH(A2285,'Teacher Lookup'!$A$2:$A$200,0)),"")</f>
        <v>MA Coco</v>
      </c>
    </row>
    <row r="2286" customFormat="false" ht="15" hidden="false" customHeight="false" outlineLevel="0" collapsed="false">
      <c r="A2286" s="3" t="s">
        <v>359</v>
      </c>
      <c r="B2286" s="4" t="s">
        <v>60</v>
      </c>
      <c r="C2286" s="4" t="n">
        <v>7</v>
      </c>
      <c r="D2286" s="4" t="s">
        <v>13</v>
      </c>
      <c r="E2286" s="3" t="s">
        <v>333</v>
      </c>
      <c r="F2286" s="4" t="str">
        <f aca="false">IF(I2286&gt;J2286,"Y","N")</f>
        <v>N</v>
      </c>
      <c r="G2286" s="3" t="s">
        <v>164</v>
      </c>
      <c r="H2286" s="3" t="s">
        <v>39</v>
      </c>
      <c r="I2286" s="4" t="n">
        <v>4</v>
      </c>
      <c r="J2286" s="4" t="n">
        <f aca="false">LEN(E2286)-LEN(SUBSTITUTE(E2286,",",""))+1</f>
        <v>4</v>
      </c>
      <c r="K2286" s="3" t="str">
        <f aca="false">IFERROR(INDEX('Teacher Lookup'!$B$2:$B$200,MATCH(A2286,'Teacher Lookup'!$A$2:$A$200,0)),"")</f>
        <v>MA Coco</v>
      </c>
    </row>
    <row r="2287" customFormat="false" ht="15" hidden="false" customHeight="false" outlineLevel="0" collapsed="false">
      <c r="A2287" s="3" t="s">
        <v>359</v>
      </c>
      <c r="B2287" s="4" t="s">
        <v>60</v>
      </c>
      <c r="C2287" s="4" t="n">
        <v>7</v>
      </c>
      <c r="D2287" s="4" t="s">
        <v>17</v>
      </c>
      <c r="E2287" s="3" t="s">
        <v>333</v>
      </c>
      <c r="F2287" s="4" t="str">
        <f aca="false">IF(I2287&gt;J2287,"Y","N")</f>
        <v>N</v>
      </c>
      <c r="G2287" s="3" t="s">
        <v>164</v>
      </c>
      <c r="H2287" s="3" t="s">
        <v>39</v>
      </c>
      <c r="I2287" s="4" t="n">
        <v>4</v>
      </c>
      <c r="J2287" s="4" t="n">
        <f aca="false">LEN(E2287)-LEN(SUBSTITUTE(E2287,",",""))+1</f>
        <v>4</v>
      </c>
      <c r="K2287" s="3" t="str">
        <f aca="false">IFERROR(INDEX('Teacher Lookup'!$B$2:$B$200,MATCH(A2287,'Teacher Lookup'!$A$2:$A$200,0)),"")</f>
        <v>MA Coco</v>
      </c>
    </row>
    <row r="2288" customFormat="false" ht="15" hidden="false" customHeight="false" outlineLevel="0" collapsed="false">
      <c r="A2288" s="3" t="s">
        <v>359</v>
      </c>
      <c r="B2288" s="4" t="s">
        <v>60</v>
      </c>
      <c r="C2288" s="4" t="n">
        <v>7</v>
      </c>
      <c r="D2288" s="4" t="s">
        <v>18</v>
      </c>
      <c r="E2288" s="3" t="s">
        <v>333</v>
      </c>
      <c r="F2288" s="4" t="str">
        <f aca="false">IF(I2288&gt;J2288,"Y","N")</f>
        <v>N</v>
      </c>
      <c r="G2288" s="3" t="s">
        <v>164</v>
      </c>
      <c r="H2288" s="3" t="s">
        <v>39</v>
      </c>
      <c r="I2288" s="4" t="n">
        <v>4</v>
      </c>
      <c r="J2288" s="4" t="n">
        <f aca="false">LEN(E2288)-LEN(SUBSTITUTE(E2288,",",""))+1</f>
        <v>4</v>
      </c>
      <c r="K2288" s="3" t="str">
        <f aca="false">IFERROR(INDEX('Teacher Lookup'!$B$2:$B$200,MATCH(A2288,'Teacher Lookup'!$A$2:$A$200,0)),"")</f>
        <v>MA Coco</v>
      </c>
    </row>
    <row r="2289" customFormat="false" ht="15" hidden="false" customHeight="false" outlineLevel="0" collapsed="false">
      <c r="A2289" s="3" t="s">
        <v>359</v>
      </c>
      <c r="B2289" s="4" t="s">
        <v>63</v>
      </c>
      <c r="C2289" s="4" t="n">
        <v>1</v>
      </c>
      <c r="D2289" s="4" t="s">
        <v>57</v>
      </c>
      <c r="E2289" s="3" t="s">
        <v>179</v>
      </c>
      <c r="F2289" s="4" t="str">
        <f aca="false">IF(I2289&gt;J2289,"Y","N")</f>
        <v>N</v>
      </c>
      <c r="G2289" s="3" t="s">
        <v>164</v>
      </c>
      <c r="H2289" s="3" t="s">
        <v>16</v>
      </c>
      <c r="I2289" s="4" t="n">
        <v>4</v>
      </c>
      <c r="J2289" s="4" t="n">
        <f aca="false">LEN(E2289)-LEN(SUBSTITUTE(E2289,",",""))+1</f>
        <v>4</v>
      </c>
      <c r="K2289" s="3" t="str">
        <f aca="false">IFERROR(INDEX('Teacher Lookup'!$B$2:$B$200,MATCH(A2289,'Teacher Lookup'!$A$2:$A$200,0)),"")</f>
        <v>MA Coco</v>
      </c>
    </row>
    <row r="2290" customFormat="false" ht="15" hidden="false" customHeight="false" outlineLevel="0" collapsed="false">
      <c r="A2290" s="3" t="s">
        <v>359</v>
      </c>
      <c r="B2290" s="4" t="s">
        <v>63</v>
      </c>
      <c r="C2290" s="4" t="n">
        <v>1</v>
      </c>
      <c r="D2290" s="4" t="s">
        <v>58</v>
      </c>
      <c r="E2290" s="3" t="s">
        <v>179</v>
      </c>
      <c r="F2290" s="4" t="str">
        <f aca="false">IF(I2290&gt;J2290,"Y","N")</f>
        <v>N</v>
      </c>
      <c r="G2290" s="3" t="s">
        <v>164</v>
      </c>
      <c r="H2290" s="3" t="s">
        <v>16</v>
      </c>
      <c r="I2290" s="4" t="n">
        <v>4</v>
      </c>
      <c r="J2290" s="4" t="n">
        <f aca="false">LEN(E2290)-LEN(SUBSTITUTE(E2290,",",""))+1</f>
        <v>4</v>
      </c>
      <c r="K2290" s="3" t="str">
        <f aca="false">IFERROR(INDEX('Teacher Lookup'!$B$2:$B$200,MATCH(A2290,'Teacher Lookup'!$A$2:$A$200,0)),"")</f>
        <v>MA Coco</v>
      </c>
    </row>
    <row r="2291" customFormat="false" ht="15" hidden="false" customHeight="false" outlineLevel="0" collapsed="false">
      <c r="A2291" s="3" t="s">
        <v>359</v>
      </c>
      <c r="B2291" s="4" t="s">
        <v>63</v>
      </c>
      <c r="C2291" s="4" t="n">
        <v>1</v>
      </c>
      <c r="D2291" s="4" t="s">
        <v>59</v>
      </c>
      <c r="E2291" s="3" t="s">
        <v>179</v>
      </c>
      <c r="F2291" s="4" t="str">
        <f aca="false">IF(I2291&gt;J2291,"Y","N")</f>
        <v>N</v>
      </c>
      <c r="G2291" s="3" t="s">
        <v>164</v>
      </c>
      <c r="H2291" s="3" t="s">
        <v>16</v>
      </c>
      <c r="I2291" s="4" t="n">
        <v>4</v>
      </c>
      <c r="J2291" s="4" t="n">
        <f aca="false">LEN(E2291)-LEN(SUBSTITUTE(E2291,",",""))+1</f>
        <v>4</v>
      </c>
      <c r="K2291" s="3" t="str">
        <f aca="false">IFERROR(INDEX('Teacher Lookup'!$B$2:$B$200,MATCH(A2291,'Teacher Lookup'!$A$2:$A$200,0)),"")</f>
        <v>MA Coco</v>
      </c>
    </row>
    <row r="2292" customFormat="false" ht="15" hidden="false" customHeight="false" outlineLevel="0" collapsed="false">
      <c r="A2292" s="3" t="s">
        <v>359</v>
      </c>
      <c r="B2292" s="4" t="s">
        <v>63</v>
      </c>
      <c r="C2292" s="4" t="n">
        <v>2</v>
      </c>
      <c r="D2292" s="4" t="s">
        <v>57</v>
      </c>
      <c r="E2292" s="3" t="s">
        <v>179</v>
      </c>
      <c r="F2292" s="4" t="str">
        <f aca="false">IF(I2292&gt;J2292,"Y","N")</f>
        <v>N</v>
      </c>
      <c r="G2292" s="3" t="s">
        <v>164</v>
      </c>
      <c r="H2292" s="3" t="s">
        <v>21</v>
      </c>
      <c r="I2292" s="4" t="n">
        <v>4</v>
      </c>
      <c r="J2292" s="4" t="n">
        <f aca="false">LEN(E2292)-LEN(SUBSTITUTE(E2292,",",""))+1</f>
        <v>4</v>
      </c>
      <c r="K2292" s="3" t="str">
        <f aca="false">IFERROR(INDEX('Teacher Lookup'!$B$2:$B$200,MATCH(A2292,'Teacher Lookup'!$A$2:$A$200,0)),"")</f>
        <v>MA Coco</v>
      </c>
    </row>
    <row r="2293" customFormat="false" ht="15" hidden="false" customHeight="false" outlineLevel="0" collapsed="false">
      <c r="A2293" s="3" t="s">
        <v>359</v>
      </c>
      <c r="B2293" s="4" t="s">
        <v>63</v>
      </c>
      <c r="C2293" s="4" t="n">
        <v>2</v>
      </c>
      <c r="D2293" s="4" t="s">
        <v>58</v>
      </c>
      <c r="E2293" s="3" t="s">
        <v>179</v>
      </c>
      <c r="F2293" s="4" t="str">
        <f aca="false">IF(I2293&gt;J2293,"Y","N")</f>
        <v>N</v>
      </c>
      <c r="G2293" s="3" t="s">
        <v>164</v>
      </c>
      <c r="H2293" s="3" t="s">
        <v>21</v>
      </c>
      <c r="I2293" s="4" t="n">
        <v>4</v>
      </c>
      <c r="J2293" s="4" t="n">
        <f aca="false">LEN(E2293)-LEN(SUBSTITUTE(E2293,",",""))+1</f>
        <v>4</v>
      </c>
      <c r="K2293" s="3" t="str">
        <f aca="false">IFERROR(INDEX('Teacher Lookup'!$B$2:$B$200,MATCH(A2293,'Teacher Lookup'!$A$2:$A$200,0)),"")</f>
        <v>MA Coco</v>
      </c>
    </row>
    <row r="2294" customFormat="false" ht="15" hidden="false" customHeight="false" outlineLevel="0" collapsed="false">
      <c r="A2294" s="3" t="s">
        <v>359</v>
      </c>
      <c r="B2294" s="4" t="s">
        <v>63</v>
      </c>
      <c r="C2294" s="4" t="n">
        <v>2</v>
      </c>
      <c r="D2294" s="4" t="s">
        <v>59</v>
      </c>
      <c r="E2294" s="3" t="s">
        <v>179</v>
      </c>
      <c r="F2294" s="4" t="str">
        <f aca="false">IF(I2294&gt;J2294,"Y","N")</f>
        <v>N</v>
      </c>
      <c r="G2294" s="3" t="s">
        <v>164</v>
      </c>
      <c r="H2294" s="3" t="s">
        <v>21</v>
      </c>
      <c r="I2294" s="4" t="n">
        <v>4</v>
      </c>
      <c r="J2294" s="4" t="n">
        <f aca="false">LEN(E2294)-LEN(SUBSTITUTE(E2294,",",""))+1</f>
        <v>4</v>
      </c>
      <c r="K2294" s="3" t="str">
        <f aca="false">IFERROR(INDEX('Teacher Lookup'!$B$2:$B$200,MATCH(A2294,'Teacher Lookup'!$A$2:$A$200,0)),"")</f>
        <v>MA Coco</v>
      </c>
    </row>
    <row r="2295" customFormat="false" ht="15" hidden="false" customHeight="false" outlineLevel="0" collapsed="false">
      <c r="A2295" s="3" t="s">
        <v>359</v>
      </c>
      <c r="B2295" s="4" t="s">
        <v>63</v>
      </c>
      <c r="C2295" s="4" t="n">
        <v>3</v>
      </c>
      <c r="D2295" s="4" t="s">
        <v>52</v>
      </c>
      <c r="E2295" s="3" t="s">
        <v>180</v>
      </c>
      <c r="F2295" s="4" t="str">
        <f aca="false">IF(I2295&gt;J2295,"Y","N")</f>
        <v>N</v>
      </c>
      <c r="G2295" s="3" t="s">
        <v>164</v>
      </c>
      <c r="H2295" s="3" t="s">
        <v>26</v>
      </c>
      <c r="I2295" s="4" t="n">
        <v>4</v>
      </c>
      <c r="J2295" s="4" t="n">
        <f aca="false">LEN(E2295)-LEN(SUBSTITUTE(E2295,",",""))+1</f>
        <v>4</v>
      </c>
      <c r="K2295" s="3" t="str">
        <f aca="false">IFERROR(INDEX('Teacher Lookup'!$B$2:$B$200,MATCH(A2295,'Teacher Lookup'!$A$2:$A$200,0)),"")</f>
        <v>MA Coco</v>
      </c>
    </row>
    <row r="2296" customFormat="false" ht="15" hidden="false" customHeight="false" outlineLevel="0" collapsed="false">
      <c r="A2296" s="3" t="s">
        <v>359</v>
      </c>
      <c r="B2296" s="4" t="s">
        <v>63</v>
      </c>
      <c r="C2296" s="4" t="n">
        <v>3</v>
      </c>
      <c r="D2296" s="4" t="s">
        <v>55</v>
      </c>
      <c r="E2296" s="3" t="s">
        <v>180</v>
      </c>
      <c r="F2296" s="4" t="str">
        <f aca="false">IF(I2296&gt;J2296,"Y","N")</f>
        <v>N</v>
      </c>
      <c r="G2296" s="3" t="s">
        <v>164</v>
      </c>
      <c r="H2296" s="3" t="s">
        <v>26</v>
      </c>
      <c r="I2296" s="4" t="n">
        <v>4</v>
      </c>
      <c r="J2296" s="4" t="n">
        <f aca="false">LEN(E2296)-LEN(SUBSTITUTE(E2296,",",""))+1</f>
        <v>4</v>
      </c>
      <c r="K2296" s="3" t="str">
        <f aca="false">IFERROR(INDEX('Teacher Lookup'!$B$2:$B$200,MATCH(A2296,'Teacher Lookup'!$A$2:$A$200,0)),"")</f>
        <v>MA Coco</v>
      </c>
    </row>
    <row r="2297" customFormat="false" ht="15" hidden="false" customHeight="false" outlineLevel="0" collapsed="false">
      <c r="A2297" s="3" t="s">
        <v>359</v>
      </c>
      <c r="B2297" s="4" t="s">
        <v>63</v>
      </c>
      <c r="C2297" s="4" t="n">
        <v>3</v>
      </c>
      <c r="D2297" s="4" t="s">
        <v>56</v>
      </c>
      <c r="E2297" s="3" t="s">
        <v>180</v>
      </c>
      <c r="F2297" s="4" t="str">
        <f aca="false">IF(I2297&gt;J2297,"Y","N")</f>
        <v>N</v>
      </c>
      <c r="G2297" s="3" t="s">
        <v>164</v>
      </c>
      <c r="H2297" s="3" t="s">
        <v>26</v>
      </c>
      <c r="I2297" s="4" t="n">
        <v>4</v>
      </c>
      <c r="J2297" s="4" t="n">
        <f aca="false">LEN(E2297)-LEN(SUBSTITUTE(E2297,",",""))+1</f>
        <v>4</v>
      </c>
      <c r="K2297" s="3" t="str">
        <f aca="false">IFERROR(INDEX('Teacher Lookup'!$B$2:$B$200,MATCH(A2297,'Teacher Lookup'!$A$2:$A$200,0)),"")</f>
        <v>MA Coco</v>
      </c>
    </row>
    <row r="2298" customFormat="false" ht="15" hidden="false" customHeight="false" outlineLevel="0" collapsed="false">
      <c r="A2298" s="3" t="s">
        <v>359</v>
      </c>
      <c r="B2298" s="4" t="s">
        <v>63</v>
      </c>
      <c r="C2298" s="4" t="n">
        <v>5</v>
      </c>
      <c r="D2298" s="4" t="s">
        <v>13</v>
      </c>
      <c r="E2298" s="3" t="s">
        <v>323</v>
      </c>
      <c r="F2298" s="4" t="str">
        <f aca="false">IF(I2298&gt;J2298,"Y","N")</f>
        <v>N</v>
      </c>
      <c r="G2298" s="3" t="s">
        <v>164</v>
      </c>
      <c r="H2298" s="3" t="s">
        <v>37</v>
      </c>
      <c r="I2298" s="4" t="n">
        <v>4</v>
      </c>
      <c r="J2298" s="4" t="n">
        <f aca="false">LEN(E2298)-LEN(SUBSTITUTE(E2298,",",""))+1</f>
        <v>4</v>
      </c>
      <c r="K2298" s="3" t="str">
        <f aca="false">IFERROR(INDEX('Teacher Lookup'!$B$2:$B$200,MATCH(A2298,'Teacher Lookup'!$A$2:$A$200,0)),"")</f>
        <v>MA Coco</v>
      </c>
    </row>
    <row r="2299" customFormat="false" ht="15" hidden="false" customHeight="false" outlineLevel="0" collapsed="false">
      <c r="A2299" s="3" t="s">
        <v>359</v>
      </c>
      <c r="B2299" s="4" t="s">
        <v>63</v>
      </c>
      <c r="C2299" s="4" t="n">
        <v>5</v>
      </c>
      <c r="D2299" s="4" t="s">
        <v>17</v>
      </c>
      <c r="E2299" s="3" t="s">
        <v>323</v>
      </c>
      <c r="F2299" s="4" t="str">
        <f aca="false">IF(I2299&gt;J2299,"Y","N")</f>
        <v>N</v>
      </c>
      <c r="G2299" s="3" t="s">
        <v>164</v>
      </c>
      <c r="H2299" s="3" t="s">
        <v>37</v>
      </c>
      <c r="I2299" s="4" t="n">
        <v>4</v>
      </c>
      <c r="J2299" s="4" t="n">
        <f aca="false">LEN(E2299)-LEN(SUBSTITUTE(E2299,",",""))+1</f>
        <v>4</v>
      </c>
      <c r="K2299" s="3" t="str">
        <f aca="false">IFERROR(INDEX('Teacher Lookup'!$B$2:$B$200,MATCH(A2299,'Teacher Lookup'!$A$2:$A$200,0)),"")</f>
        <v>MA Coco</v>
      </c>
    </row>
    <row r="2300" customFormat="false" ht="15" hidden="false" customHeight="false" outlineLevel="0" collapsed="false">
      <c r="A2300" s="3" t="s">
        <v>359</v>
      </c>
      <c r="B2300" s="4" t="s">
        <v>63</v>
      </c>
      <c r="C2300" s="4" t="n">
        <v>5</v>
      </c>
      <c r="D2300" s="4" t="s">
        <v>18</v>
      </c>
      <c r="E2300" s="3" t="s">
        <v>323</v>
      </c>
      <c r="F2300" s="4" t="str">
        <f aca="false">IF(I2300&gt;J2300,"Y","N")</f>
        <v>N</v>
      </c>
      <c r="G2300" s="3" t="s">
        <v>164</v>
      </c>
      <c r="H2300" s="3" t="s">
        <v>37</v>
      </c>
      <c r="I2300" s="4" t="n">
        <v>4</v>
      </c>
      <c r="J2300" s="4" t="n">
        <f aca="false">LEN(E2300)-LEN(SUBSTITUTE(E2300,",",""))+1</f>
        <v>4</v>
      </c>
      <c r="K2300" s="3" t="str">
        <f aca="false">IFERROR(INDEX('Teacher Lookup'!$B$2:$B$200,MATCH(A2300,'Teacher Lookup'!$A$2:$A$200,0)),"")</f>
        <v>MA Coco</v>
      </c>
    </row>
    <row r="2301" customFormat="false" ht="15" hidden="false" customHeight="false" outlineLevel="0" collapsed="false">
      <c r="A2301" s="3" t="s">
        <v>359</v>
      </c>
      <c r="B2301" s="4" t="s">
        <v>65</v>
      </c>
      <c r="C2301" s="4" t="n">
        <v>1</v>
      </c>
      <c r="D2301" s="4" t="s">
        <v>13</v>
      </c>
      <c r="E2301" s="3" t="s">
        <v>14</v>
      </c>
      <c r="F2301" s="4" t="str">
        <f aca="false">IF(I2301&gt;J2301,"Y","N")</f>
        <v>N</v>
      </c>
      <c r="G2301" s="3" t="s">
        <v>164</v>
      </c>
      <c r="H2301" s="3" t="s">
        <v>16</v>
      </c>
      <c r="I2301" s="4" t="n">
        <v>4</v>
      </c>
      <c r="J2301" s="4" t="n">
        <f aca="false">LEN(E2301)-LEN(SUBSTITUTE(E2301,",",""))+1</f>
        <v>4</v>
      </c>
      <c r="K2301" s="3" t="str">
        <f aca="false">IFERROR(INDEX('Teacher Lookup'!$B$2:$B$200,MATCH(A2301,'Teacher Lookup'!$A$2:$A$200,0)),"")</f>
        <v>MA Coco</v>
      </c>
    </row>
    <row r="2302" customFormat="false" ht="15" hidden="false" customHeight="false" outlineLevel="0" collapsed="false">
      <c r="A2302" s="3" t="s">
        <v>359</v>
      </c>
      <c r="B2302" s="4" t="s">
        <v>65</v>
      </c>
      <c r="C2302" s="4" t="n">
        <v>1</v>
      </c>
      <c r="D2302" s="4" t="s">
        <v>17</v>
      </c>
      <c r="E2302" s="3" t="s">
        <v>14</v>
      </c>
      <c r="F2302" s="4" t="str">
        <f aca="false">IF(I2302&gt;J2302,"Y","N")</f>
        <v>N</v>
      </c>
      <c r="G2302" s="3" t="s">
        <v>164</v>
      </c>
      <c r="H2302" s="3" t="s">
        <v>16</v>
      </c>
      <c r="I2302" s="4" t="n">
        <v>4</v>
      </c>
      <c r="J2302" s="4" t="n">
        <f aca="false">LEN(E2302)-LEN(SUBSTITUTE(E2302,",",""))+1</f>
        <v>4</v>
      </c>
      <c r="K2302" s="3" t="str">
        <f aca="false">IFERROR(INDEX('Teacher Lookup'!$B$2:$B$200,MATCH(A2302,'Teacher Lookup'!$A$2:$A$200,0)),"")</f>
        <v>MA Coco</v>
      </c>
    </row>
    <row r="2303" customFormat="false" ht="15" hidden="false" customHeight="false" outlineLevel="0" collapsed="false">
      <c r="A2303" s="3" t="s">
        <v>359</v>
      </c>
      <c r="B2303" s="4" t="s">
        <v>65</v>
      </c>
      <c r="C2303" s="4" t="n">
        <v>1</v>
      </c>
      <c r="D2303" s="4" t="s">
        <v>18</v>
      </c>
      <c r="E2303" s="3" t="s">
        <v>14</v>
      </c>
      <c r="F2303" s="4" t="str">
        <f aca="false">IF(I2303&gt;J2303,"Y","N")</f>
        <v>N</v>
      </c>
      <c r="G2303" s="3" t="s">
        <v>164</v>
      </c>
      <c r="H2303" s="3" t="s">
        <v>16</v>
      </c>
      <c r="I2303" s="4" t="n">
        <v>4</v>
      </c>
      <c r="J2303" s="4" t="n">
        <f aca="false">LEN(E2303)-LEN(SUBSTITUTE(E2303,",",""))+1</f>
        <v>4</v>
      </c>
      <c r="K2303" s="3" t="str">
        <f aca="false">IFERROR(INDEX('Teacher Lookup'!$B$2:$B$200,MATCH(A2303,'Teacher Lookup'!$A$2:$A$200,0)),"")</f>
        <v>MA Coco</v>
      </c>
    </row>
    <row r="2304" customFormat="false" ht="15" hidden="false" customHeight="false" outlineLevel="0" collapsed="false">
      <c r="A2304" s="3" t="s">
        <v>359</v>
      </c>
      <c r="B2304" s="4" t="s">
        <v>65</v>
      </c>
      <c r="C2304" s="4" t="n">
        <v>2</v>
      </c>
      <c r="D2304" s="4" t="s">
        <v>52</v>
      </c>
      <c r="E2304" s="3" t="s">
        <v>171</v>
      </c>
      <c r="F2304" s="4" t="str">
        <f aca="false">IF(I2304&gt;J2304,"Y","N")</f>
        <v>N</v>
      </c>
      <c r="G2304" s="3" t="s">
        <v>164</v>
      </c>
      <c r="H2304" s="3" t="s">
        <v>21</v>
      </c>
      <c r="I2304" s="4" t="n">
        <v>4</v>
      </c>
      <c r="J2304" s="4" t="n">
        <f aca="false">LEN(E2304)-LEN(SUBSTITUTE(E2304,",",""))+1</f>
        <v>4</v>
      </c>
      <c r="K2304" s="3" t="str">
        <f aca="false">IFERROR(INDEX('Teacher Lookup'!$B$2:$B$200,MATCH(A2304,'Teacher Lookup'!$A$2:$A$200,0)),"")</f>
        <v>MA Coco</v>
      </c>
    </row>
    <row r="2305" customFormat="false" ht="15" hidden="false" customHeight="false" outlineLevel="0" collapsed="false">
      <c r="A2305" s="3" t="s">
        <v>359</v>
      </c>
      <c r="B2305" s="4" t="s">
        <v>65</v>
      </c>
      <c r="C2305" s="4" t="n">
        <v>2</v>
      </c>
      <c r="D2305" s="4" t="s">
        <v>55</v>
      </c>
      <c r="E2305" s="3" t="s">
        <v>171</v>
      </c>
      <c r="F2305" s="4" t="str">
        <f aca="false">IF(I2305&gt;J2305,"Y","N")</f>
        <v>N</v>
      </c>
      <c r="G2305" s="3" t="s">
        <v>164</v>
      </c>
      <c r="H2305" s="3" t="s">
        <v>21</v>
      </c>
      <c r="I2305" s="4" t="n">
        <v>4</v>
      </c>
      <c r="J2305" s="4" t="n">
        <f aca="false">LEN(E2305)-LEN(SUBSTITUTE(E2305,",",""))+1</f>
        <v>4</v>
      </c>
      <c r="K2305" s="3" t="str">
        <f aca="false">IFERROR(INDEX('Teacher Lookup'!$B$2:$B$200,MATCH(A2305,'Teacher Lookup'!$A$2:$A$200,0)),"")</f>
        <v>MA Coco</v>
      </c>
    </row>
    <row r="2306" customFormat="false" ht="15" hidden="false" customHeight="false" outlineLevel="0" collapsed="false">
      <c r="A2306" s="3" t="s">
        <v>359</v>
      </c>
      <c r="B2306" s="4" t="s">
        <v>65</v>
      </c>
      <c r="C2306" s="4" t="n">
        <v>2</v>
      </c>
      <c r="D2306" s="4" t="s">
        <v>56</v>
      </c>
      <c r="E2306" s="3" t="s">
        <v>171</v>
      </c>
      <c r="F2306" s="4" t="str">
        <f aca="false">IF(I2306&gt;J2306,"Y","N")</f>
        <v>N</v>
      </c>
      <c r="G2306" s="3" t="s">
        <v>164</v>
      </c>
      <c r="H2306" s="3" t="s">
        <v>21</v>
      </c>
      <c r="I2306" s="4" t="n">
        <v>4</v>
      </c>
      <c r="J2306" s="4" t="n">
        <f aca="false">LEN(E2306)-LEN(SUBSTITUTE(E2306,",",""))+1</f>
        <v>4</v>
      </c>
      <c r="K2306" s="3" t="str">
        <f aca="false">IFERROR(INDEX('Teacher Lookup'!$B$2:$B$200,MATCH(A2306,'Teacher Lookup'!$A$2:$A$200,0)),"")</f>
        <v>MA Coco</v>
      </c>
    </row>
    <row r="2307" customFormat="false" ht="15" hidden="false" customHeight="false" outlineLevel="0" collapsed="false">
      <c r="A2307" s="3" t="s">
        <v>359</v>
      </c>
      <c r="B2307" s="4" t="s">
        <v>65</v>
      </c>
      <c r="C2307" s="4" t="n">
        <v>5</v>
      </c>
      <c r="D2307" s="4" t="s">
        <v>52</v>
      </c>
      <c r="E2307" s="3" t="s">
        <v>112</v>
      </c>
      <c r="F2307" s="4" t="str">
        <f aca="false">IF(I2307&gt;J2307,"Y","N")</f>
        <v>Y</v>
      </c>
      <c r="G2307" s="3" t="s">
        <v>36</v>
      </c>
      <c r="H2307" s="3" t="s">
        <v>37</v>
      </c>
      <c r="I2307" s="4" t="n">
        <v>16</v>
      </c>
      <c r="J2307" s="4" t="n">
        <f aca="false">LEN(E2307)-LEN(SUBSTITUTE(E2307,",",""))+1</f>
        <v>7</v>
      </c>
      <c r="K2307" s="3" t="str">
        <f aca="false">IFERROR(INDEX('Teacher Lookup'!$B$2:$B$200,MATCH(A2307,'Teacher Lookup'!$A$2:$A$200,0)),"")</f>
        <v>MA Coco</v>
      </c>
    </row>
    <row r="2308" customFormat="false" ht="15" hidden="false" customHeight="false" outlineLevel="0" collapsed="false">
      <c r="A2308" s="3" t="s">
        <v>359</v>
      </c>
      <c r="B2308" s="4" t="s">
        <v>65</v>
      </c>
      <c r="C2308" s="4" t="n">
        <v>5</v>
      </c>
      <c r="D2308" s="4" t="s">
        <v>55</v>
      </c>
      <c r="E2308" s="3" t="s">
        <v>112</v>
      </c>
      <c r="F2308" s="4" t="str">
        <f aca="false">IF(I2308&gt;J2308,"Y","N")</f>
        <v>Y</v>
      </c>
      <c r="G2308" s="3" t="s">
        <v>36</v>
      </c>
      <c r="H2308" s="3" t="s">
        <v>37</v>
      </c>
      <c r="I2308" s="4" t="n">
        <v>16</v>
      </c>
      <c r="J2308" s="4" t="n">
        <f aca="false">LEN(E2308)-LEN(SUBSTITUTE(E2308,",",""))+1</f>
        <v>7</v>
      </c>
      <c r="K2308" s="3" t="str">
        <f aca="false">IFERROR(INDEX('Teacher Lookup'!$B$2:$B$200,MATCH(A2308,'Teacher Lookup'!$A$2:$A$200,0)),"")</f>
        <v>MA Coco</v>
      </c>
    </row>
    <row r="2309" customFormat="false" ht="15" hidden="false" customHeight="false" outlineLevel="0" collapsed="false">
      <c r="A2309" s="3" t="s">
        <v>359</v>
      </c>
      <c r="B2309" s="4" t="s">
        <v>65</v>
      </c>
      <c r="C2309" s="4" t="n">
        <v>5</v>
      </c>
      <c r="D2309" s="4" t="s">
        <v>56</v>
      </c>
      <c r="E2309" s="3" t="s">
        <v>112</v>
      </c>
      <c r="F2309" s="4" t="str">
        <f aca="false">IF(I2309&gt;J2309,"Y","N")</f>
        <v>Y</v>
      </c>
      <c r="G2309" s="3" t="s">
        <v>36</v>
      </c>
      <c r="H2309" s="3" t="s">
        <v>37</v>
      </c>
      <c r="I2309" s="4" t="n">
        <v>16</v>
      </c>
      <c r="J2309" s="4" t="n">
        <f aca="false">LEN(E2309)-LEN(SUBSTITUTE(E2309,",",""))+1</f>
        <v>7</v>
      </c>
      <c r="K2309" s="3" t="str">
        <f aca="false">IFERROR(INDEX('Teacher Lookup'!$B$2:$B$200,MATCH(A2309,'Teacher Lookup'!$A$2:$A$200,0)),"")</f>
        <v>MA Coco</v>
      </c>
    </row>
    <row r="2310" customFormat="false" ht="15" hidden="false" customHeight="false" outlineLevel="0" collapsed="false">
      <c r="A2310" s="3" t="s">
        <v>359</v>
      </c>
      <c r="B2310" s="4" t="s">
        <v>65</v>
      </c>
      <c r="C2310" s="4" t="n">
        <v>5</v>
      </c>
      <c r="D2310" s="4" t="s">
        <v>57</v>
      </c>
      <c r="E2310" s="3" t="s">
        <v>112</v>
      </c>
      <c r="F2310" s="4" t="str">
        <f aca="false">IF(I2310&gt;J2310,"Y","N")</f>
        <v>Y</v>
      </c>
      <c r="G2310" s="3" t="s">
        <v>36</v>
      </c>
      <c r="H2310" s="3" t="s">
        <v>37</v>
      </c>
      <c r="I2310" s="4" t="n">
        <v>16</v>
      </c>
      <c r="J2310" s="4" t="n">
        <f aca="false">LEN(E2310)-LEN(SUBSTITUTE(E2310,",",""))+1</f>
        <v>7</v>
      </c>
      <c r="K2310" s="3" t="str">
        <f aca="false">IFERROR(INDEX('Teacher Lookup'!$B$2:$B$200,MATCH(A2310,'Teacher Lookup'!$A$2:$A$200,0)),"")</f>
        <v>MA Coco</v>
      </c>
    </row>
    <row r="2311" customFormat="false" ht="15" hidden="false" customHeight="false" outlineLevel="0" collapsed="false">
      <c r="A2311" s="3" t="s">
        <v>359</v>
      </c>
      <c r="B2311" s="4" t="s">
        <v>65</v>
      </c>
      <c r="C2311" s="4" t="n">
        <v>5</v>
      </c>
      <c r="D2311" s="4" t="s">
        <v>58</v>
      </c>
      <c r="E2311" s="3" t="s">
        <v>112</v>
      </c>
      <c r="F2311" s="4" t="str">
        <f aca="false">IF(I2311&gt;J2311,"Y","N")</f>
        <v>Y</v>
      </c>
      <c r="G2311" s="3" t="s">
        <v>36</v>
      </c>
      <c r="H2311" s="3" t="s">
        <v>37</v>
      </c>
      <c r="I2311" s="4" t="n">
        <v>16</v>
      </c>
      <c r="J2311" s="4" t="n">
        <f aca="false">LEN(E2311)-LEN(SUBSTITUTE(E2311,",",""))+1</f>
        <v>7</v>
      </c>
      <c r="K2311" s="3" t="str">
        <f aca="false">IFERROR(INDEX('Teacher Lookup'!$B$2:$B$200,MATCH(A2311,'Teacher Lookup'!$A$2:$A$200,0)),"")</f>
        <v>MA Coco</v>
      </c>
    </row>
    <row r="2312" customFormat="false" ht="15" hidden="false" customHeight="false" outlineLevel="0" collapsed="false">
      <c r="A2312" s="3" t="s">
        <v>359</v>
      </c>
      <c r="B2312" s="4" t="s">
        <v>65</v>
      </c>
      <c r="C2312" s="4" t="n">
        <v>5</v>
      </c>
      <c r="D2312" s="4" t="s">
        <v>59</v>
      </c>
      <c r="E2312" s="3" t="s">
        <v>112</v>
      </c>
      <c r="F2312" s="4" t="str">
        <f aca="false">IF(I2312&gt;J2312,"Y","N")</f>
        <v>Y</v>
      </c>
      <c r="G2312" s="3" t="s">
        <v>36</v>
      </c>
      <c r="H2312" s="3" t="s">
        <v>37</v>
      </c>
      <c r="I2312" s="4" t="n">
        <v>16</v>
      </c>
      <c r="J2312" s="4" t="n">
        <f aca="false">LEN(E2312)-LEN(SUBSTITUTE(E2312,",",""))+1</f>
        <v>7</v>
      </c>
      <c r="K2312" s="3" t="str">
        <f aca="false">IFERROR(INDEX('Teacher Lookup'!$B$2:$B$200,MATCH(A2312,'Teacher Lookup'!$A$2:$A$200,0)),"")</f>
        <v>MA Coco</v>
      </c>
    </row>
    <row r="2313" customFormat="false" ht="15" hidden="false" customHeight="false" outlineLevel="0" collapsed="false">
      <c r="A2313" s="3" t="s">
        <v>359</v>
      </c>
      <c r="B2313" s="4" t="s">
        <v>65</v>
      </c>
      <c r="C2313" s="4" t="n">
        <v>6</v>
      </c>
      <c r="D2313" s="4" t="s">
        <v>57</v>
      </c>
      <c r="E2313" s="3" t="s">
        <v>178</v>
      </c>
      <c r="F2313" s="4" t="str">
        <f aca="false">IF(I2313&gt;J2313,"Y","N")</f>
        <v>N</v>
      </c>
      <c r="G2313" s="3" t="s">
        <v>164</v>
      </c>
      <c r="H2313" s="3" t="s">
        <v>42</v>
      </c>
      <c r="I2313" s="4" t="n">
        <v>4</v>
      </c>
      <c r="J2313" s="4" t="n">
        <f aca="false">LEN(E2313)-LEN(SUBSTITUTE(E2313,",",""))+1</f>
        <v>4</v>
      </c>
      <c r="K2313" s="3" t="str">
        <f aca="false">IFERROR(INDEX('Teacher Lookup'!$B$2:$B$200,MATCH(A2313,'Teacher Lookup'!$A$2:$A$200,0)),"")</f>
        <v>MA Coco</v>
      </c>
    </row>
    <row r="2314" customFormat="false" ht="15" hidden="false" customHeight="false" outlineLevel="0" collapsed="false">
      <c r="A2314" s="3" t="s">
        <v>359</v>
      </c>
      <c r="B2314" s="4" t="s">
        <v>65</v>
      </c>
      <c r="C2314" s="4" t="n">
        <v>6</v>
      </c>
      <c r="D2314" s="4" t="s">
        <v>58</v>
      </c>
      <c r="E2314" s="3" t="s">
        <v>178</v>
      </c>
      <c r="F2314" s="4" t="str">
        <f aca="false">IF(I2314&gt;J2314,"Y","N")</f>
        <v>N</v>
      </c>
      <c r="G2314" s="3" t="s">
        <v>164</v>
      </c>
      <c r="H2314" s="3" t="s">
        <v>42</v>
      </c>
      <c r="I2314" s="4" t="n">
        <v>4</v>
      </c>
      <c r="J2314" s="4" t="n">
        <f aca="false">LEN(E2314)-LEN(SUBSTITUTE(E2314,",",""))+1</f>
        <v>4</v>
      </c>
      <c r="K2314" s="3" t="str">
        <f aca="false">IFERROR(INDEX('Teacher Lookup'!$B$2:$B$200,MATCH(A2314,'Teacher Lookup'!$A$2:$A$200,0)),"")</f>
        <v>MA Coco</v>
      </c>
    </row>
    <row r="2315" customFormat="false" ht="15" hidden="false" customHeight="false" outlineLevel="0" collapsed="false">
      <c r="A2315" s="3" t="s">
        <v>359</v>
      </c>
      <c r="B2315" s="4" t="s">
        <v>65</v>
      </c>
      <c r="C2315" s="4" t="n">
        <v>6</v>
      </c>
      <c r="D2315" s="4" t="s">
        <v>59</v>
      </c>
      <c r="E2315" s="3" t="s">
        <v>178</v>
      </c>
      <c r="F2315" s="4" t="str">
        <f aca="false">IF(I2315&gt;J2315,"Y","N")</f>
        <v>N</v>
      </c>
      <c r="G2315" s="3" t="s">
        <v>164</v>
      </c>
      <c r="H2315" s="3" t="s">
        <v>42</v>
      </c>
      <c r="I2315" s="4" t="n">
        <v>4</v>
      </c>
      <c r="J2315" s="4" t="n">
        <f aca="false">LEN(E2315)-LEN(SUBSTITUTE(E2315,",",""))+1</f>
        <v>4</v>
      </c>
      <c r="K2315" s="3" t="str">
        <f aca="false">IFERROR(INDEX('Teacher Lookup'!$B$2:$B$200,MATCH(A2315,'Teacher Lookup'!$A$2:$A$200,0)),"")</f>
        <v>MA Coco</v>
      </c>
    </row>
    <row r="2316" customFormat="false" ht="15" hidden="false" customHeight="false" outlineLevel="0" collapsed="false">
      <c r="A2316" s="3" t="s">
        <v>359</v>
      </c>
      <c r="B2316" s="4" t="s">
        <v>66</v>
      </c>
      <c r="C2316" s="4" t="n">
        <v>3</v>
      </c>
      <c r="D2316" s="4" t="s">
        <v>52</v>
      </c>
      <c r="E2316" s="3" t="s">
        <v>176</v>
      </c>
      <c r="F2316" s="4" t="str">
        <f aca="false">IF(I2316&gt;J2316,"Y","N")</f>
        <v>N</v>
      </c>
      <c r="G2316" s="3" t="s">
        <v>164</v>
      </c>
      <c r="H2316" s="3" t="s">
        <v>26</v>
      </c>
      <c r="I2316" s="4" t="n">
        <v>4</v>
      </c>
      <c r="J2316" s="4" t="n">
        <f aca="false">LEN(E2316)-LEN(SUBSTITUTE(E2316,",",""))+1</f>
        <v>4</v>
      </c>
      <c r="K2316" s="3" t="str">
        <f aca="false">IFERROR(INDEX('Teacher Lookup'!$B$2:$B$200,MATCH(A2316,'Teacher Lookup'!$A$2:$A$200,0)),"")</f>
        <v>MA Coco</v>
      </c>
    </row>
    <row r="2317" customFormat="false" ht="15" hidden="false" customHeight="false" outlineLevel="0" collapsed="false">
      <c r="A2317" s="3" t="s">
        <v>359</v>
      </c>
      <c r="B2317" s="4" t="s">
        <v>66</v>
      </c>
      <c r="C2317" s="4" t="n">
        <v>3</v>
      </c>
      <c r="D2317" s="4" t="s">
        <v>55</v>
      </c>
      <c r="E2317" s="3" t="s">
        <v>176</v>
      </c>
      <c r="F2317" s="4" t="str">
        <f aca="false">IF(I2317&gt;J2317,"Y","N")</f>
        <v>N</v>
      </c>
      <c r="G2317" s="3" t="s">
        <v>164</v>
      </c>
      <c r="H2317" s="3" t="s">
        <v>26</v>
      </c>
      <c r="I2317" s="4" t="n">
        <v>4</v>
      </c>
      <c r="J2317" s="4" t="n">
        <f aca="false">LEN(E2317)-LEN(SUBSTITUTE(E2317,",",""))+1</f>
        <v>4</v>
      </c>
      <c r="K2317" s="3" t="str">
        <f aca="false">IFERROR(INDEX('Teacher Lookup'!$B$2:$B$200,MATCH(A2317,'Teacher Lookup'!$A$2:$A$200,0)),"")</f>
        <v>MA Coco</v>
      </c>
    </row>
    <row r="2318" customFormat="false" ht="15" hidden="false" customHeight="false" outlineLevel="0" collapsed="false">
      <c r="A2318" s="3" t="s">
        <v>359</v>
      </c>
      <c r="B2318" s="4" t="s">
        <v>66</v>
      </c>
      <c r="C2318" s="4" t="n">
        <v>3</v>
      </c>
      <c r="D2318" s="4" t="s">
        <v>56</v>
      </c>
      <c r="E2318" s="3" t="s">
        <v>176</v>
      </c>
      <c r="F2318" s="4" t="str">
        <f aca="false">IF(I2318&gt;J2318,"Y","N")</f>
        <v>N</v>
      </c>
      <c r="G2318" s="3" t="s">
        <v>164</v>
      </c>
      <c r="H2318" s="3" t="s">
        <v>26</v>
      </c>
      <c r="I2318" s="4" t="n">
        <v>4</v>
      </c>
      <c r="J2318" s="4" t="n">
        <f aca="false">LEN(E2318)-LEN(SUBSTITUTE(E2318,",",""))+1</f>
        <v>4</v>
      </c>
      <c r="K2318" s="3" t="str">
        <f aca="false">IFERROR(INDEX('Teacher Lookup'!$B$2:$B$200,MATCH(A2318,'Teacher Lookup'!$A$2:$A$200,0)),"")</f>
        <v>MA Coco</v>
      </c>
    </row>
    <row r="2319" customFormat="false" ht="15" hidden="false" customHeight="false" outlineLevel="0" collapsed="false">
      <c r="A2319" s="3" t="s">
        <v>359</v>
      </c>
      <c r="B2319" s="4" t="s">
        <v>66</v>
      </c>
      <c r="C2319" s="4" t="n">
        <v>6</v>
      </c>
      <c r="D2319" s="4" t="s">
        <v>13</v>
      </c>
      <c r="E2319" s="3" t="s">
        <v>360</v>
      </c>
      <c r="F2319" s="4" t="str">
        <f aca="false">IF(I2319&gt;J2319,"Y","N")</f>
        <v>N</v>
      </c>
      <c r="G2319" s="3" t="s">
        <v>164</v>
      </c>
      <c r="H2319" s="3" t="s">
        <v>42</v>
      </c>
      <c r="I2319" s="4" t="n">
        <v>4</v>
      </c>
      <c r="J2319" s="4" t="n">
        <f aca="false">LEN(E2319)-LEN(SUBSTITUTE(E2319,",",""))+1</f>
        <v>4</v>
      </c>
      <c r="K2319" s="3" t="str">
        <f aca="false">IFERROR(INDEX('Teacher Lookup'!$B$2:$B$200,MATCH(A2319,'Teacher Lookup'!$A$2:$A$200,0)),"")</f>
        <v>MA Coco</v>
      </c>
    </row>
    <row r="2320" customFormat="false" ht="15" hidden="false" customHeight="false" outlineLevel="0" collapsed="false">
      <c r="A2320" s="3" t="s">
        <v>359</v>
      </c>
      <c r="B2320" s="4" t="s">
        <v>66</v>
      </c>
      <c r="C2320" s="4" t="n">
        <v>6</v>
      </c>
      <c r="D2320" s="4" t="s">
        <v>17</v>
      </c>
      <c r="E2320" s="3" t="s">
        <v>360</v>
      </c>
      <c r="F2320" s="4" t="str">
        <f aca="false">IF(I2320&gt;J2320,"Y","N")</f>
        <v>N</v>
      </c>
      <c r="G2320" s="3" t="s">
        <v>164</v>
      </c>
      <c r="H2320" s="3" t="s">
        <v>42</v>
      </c>
      <c r="I2320" s="4" t="n">
        <v>4</v>
      </c>
      <c r="J2320" s="4" t="n">
        <f aca="false">LEN(E2320)-LEN(SUBSTITUTE(E2320,",",""))+1</f>
        <v>4</v>
      </c>
      <c r="K2320" s="3" t="str">
        <f aca="false">IFERROR(INDEX('Teacher Lookup'!$B$2:$B$200,MATCH(A2320,'Teacher Lookup'!$A$2:$A$200,0)),"")</f>
        <v>MA Coco</v>
      </c>
    </row>
    <row r="2321" customFormat="false" ht="15" hidden="false" customHeight="false" outlineLevel="0" collapsed="false">
      <c r="A2321" s="3" t="s">
        <v>359</v>
      </c>
      <c r="B2321" s="4" t="s">
        <v>66</v>
      </c>
      <c r="C2321" s="4" t="n">
        <v>6</v>
      </c>
      <c r="D2321" s="4" t="s">
        <v>18</v>
      </c>
      <c r="E2321" s="3" t="s">
        <v>360</v>
      </c>
      <c r="F2321" s="4" t="str">
        <f aca="false">IF(I2321&gt;J2321,"Y","N")</f>
        <v>N</v>
      </c>
      <c r="G2321" s="3" t="s">
        <v>164</v>
      </c>
      <c r="H2321" s="3" t="s">
        <v>42</v>
      </c>
      <c r="I2321" s="4" t="n">
        <v>4</v>
      </c>
      <c r="J2321" s="4" t="n">
        <f aca="false">LEN(E2321)-LEN(SUBSTITUTE(E2321,",",""))+1</f>
        <v>4</v>
      </c>
      <c r="K2321" s="3" t="str">
        <f aca="false">IFERROR(INDEX('Teacher Lookup'!$B$2:$B$200,MATCH(A2321,'Teacher Lookup'!$A$2:$A$200,0)),"")</f>
        <v>MA Coco</v>
      </c>
    </row>
    <row r="2322" customFormat="false" ht="15" hidden="false" customHeight="false" outlineLevel="0" collapsed="false">
      <c r="A2322" s="3" t="s">
        <v>359</v>
      </c>
      <c r="B2322" s="4" t="s">
        <v>66</v>
      </c>
      <c r="C2322" s="4" t="n">
        <v>7</v>
      </c>
      <c r="D2322" s="4" t="s">
        <v>57</v>
      </c>
      <c r="E2322" s="3" t="s">
        <v>183</v>
      </c>
      <c r="F2322" s="4" t="str">
        <f aca="false">IF(I2322&gt;J2322,"Y","N")</f>
        <v>N</v>
      </c>
      <c r="G2322" s="3" t="s">
        <v>164</v>
      </c>
      <c r="H2322" s="3" t="s">
        <v>39</v>
      </c>
      <c r="I2322" s="4" t="n">
        <v>4</v>
      </c>
      <c r="J2322" s="4" t="n">
        <f aca="false">LEN(E2322)-LEN(SUBSTITUTE(E2322,",",""))+1</f>
        <v>4</v>
      </c>
      <c r="K2322" s="3" t="str">
        <f aca="false">IFERROR(INDEX('Teacher Lookup'!$B$2:$B$200,MATCH(A2322,'Teacher Lookup'!$A$2:$A$200,0)),"")</f>
        <v>MA Coco</v>
      </c>
    </row>
    <row r="2323" customFormat="false" ht="15" hidden="false" customHeight="false" outlineLevel="0" collapsed="false">
      <c r="A2323" s="3" t="s">
        <v>359</v>
      </c>
      <c r="B2323" s="4" t="s">
        <v>66</v>
      </c>
      <c r="C2323" s="4" t="n">
        <v>7</v>
      </c>
      <c r="D2323" s="4" t="s">
        <v>58</v>
      </c>
      <c r="E2323" s="3" t="s">
        <v>183</v>
      </c>
      <c r="F2323" s="4" t="str">
        <f aca="false">IF(I2323&gt;J2323,"Y","N")</f>
        <v>N</v>
      </c>
      <c r="G2323" s="3" t="s">
        <v>164</v>
      </c>
      <c r="H2323" s="3" t="s">
        <v>39</v>
      </c>
      <c r="I2323" s="4" t="n">
        <v>4</v>
      </c>
      <c r="J2323" s="4" t="n">
        <f aca="false">LEN(E2323)-LEN(SUBSTITUTE(E2323,",",""))+1</f>
        <v>4</v>
      </c>
      <c r="K2323" s="3" t="str">
        <f aca="false">IFERROR(INDEX('Teacher Lookup'!$B$2:$B$200,MATCH(A2323,'Teacher Lookup'!$A$2:$A$200,0)),"")</f>
        <v>MA Coco</v>
      </c>
    </row>
    <row r="2324" customFormat="false" ht="15" hidden="false" customHeight="false" outlineLevel="0" collapsed="false">
      <c r="A2324" s="3" t="s">
        <v>359</v>
      </c>
      <c r="B2324" s="4" t="s">
        <v>66</v>
      </c>
      <c r="C2324" s="4" t="n">
        <v>7</v>
      </c>
      <c r="D2324" s="4" t="s">
        <v>59</v>
      </c>
      <c r="E2324" s="3" t="s">
        <v>183</v>
      </c>
      <c r="F2324" s="4" t="str">
        <f aca="false">IF(I2324&gt;J2324,"Y","N")</f>
        <v>N</v>
      </c>
      <c r="G2324" s="3" t="s">
        <v>164</v>
      </c>
      <c r="H2324" s="3" t="s">
        <v>39</v>
      </c>
      <c r="I2324" s="4" t="n">
        <v>4</v>
      </c>
      <c r="J2324" s="4" t="n">
        <f aca="false">LEN(E2324)-LEN(SUBSTITUTE(E2324,",",""))+1</f>
        <v>4</v>
      </c>
      <c r="K2324" s="3" t="str">
        <f aca="false">IFERROR(INDEX('Teacher Lookup'!$B$2:$B$200,MATCH(A2324,'Teacher Lookup'!$A$2:$A$200,0)),"")</f>
        <v>MA Coco</v>
      </c>
    </row>
    <row r="2325" customFormat="false" ht="15" hidden="false" customHeight="false" outlineLevel="0" collapsed="false">
      <c r="A2325" s="3" t="s">
        <v>361</v>
      </c>
      <c r="B2325" s="4" t="s">
        <v>12</v>
      </c>
      <c r="C2325" s="4" t="n">
        <v>1</v>
      </c>
      <c r="D2325" s="4" t="s">
        <v>70</v>
      </c>
      <c r="E2325" s="3" t="s">
        <v>108</v>
      </c>
      <c r="F2325" s="4" t="str">
        <f aca="false">IF(I2325&gt;J2325,"Y","N")</f>
        <v>N</v>
      </c>
      <c r="G2325" s="3" t="s">
        <v>285</v>
      </c>
      <c r="H2325" s="3" t="s">
        <v>16</v>
      </c>
      <c r="I2325" s="4" t="n">
        <v>1</v>
      </c>
      <c r="J2325" s="4" t="n">
        <f aca="false">LEN(E2325)-LEN(SUBSTITUTE(E2325,",",""))+1</f>
        <v>1</v>
      </c>
      <c r="K2325" s="3" t="str">
        <f aca="false">IFERROR(INDEX('Teacher Lookup'!$B$2:$B$200,MATCH(A2325,'Teacher Lookup'!$A$2:$A$200,0)),"")</f>
        <v>SO Cherry</v>
      </c>
    </row>
    <row r="2326" customFormat="false" ht="15" hidden="false" customHeight="false" outlineLevel="0" collapsed="false">
      <c r="A2326" s="3" t="s">
        <v>361</v>
      </c>
      <c r="B2326" s="4" t="s">
        <v>12</v>
      </c>
      <c r="C2326" s="4" t="n">
        <v>2</v>
      </c>
      <c r="D2326" s="4" t="s">
        <v>13</v>
      </c>
      <c r="E2326" s="3" t="s">
        <v>351</v>
      </c>
      <c r="F2326" s="4" t="str">
        <f aca="false">IF(I2326&gt;J2326,"Y","N")</f>
        <v>N</v>
      </c>
      <c r="G2326" s="3" t="s">
        <v>285</v>
      </c>
      <c r="H2326" s="3" t="s">
        <v>21</v>
      </c>
      <c r="I2326" s="4" t="n">
        <v>1</v>
      </c>
      <c r="J2326" s="4" t="n">
        <f aca="false">LEN(E2326)-LEN(SUBSTITUTE(E2326,",",""))+1</f>
        <v>1</v>
      </c>
      <c r="K2326" s="3" t="str">
        <f aca="false">IFERROR(INDEX('Teacher Lookup'!$B$2:$B$200,MATCH(A2326,'Teacher Lookup'!$A$2:$A$200,0)),"")</f>
        <v>SO Cherry</v>
      </c>
    </row>
    <row r="2327" customFormat="false" ht="15" hidden="false" customHeight="false" outlineLevel="0" collapsed="false">
      <c r="A2327" s="3" t="s">
        <v>361</v>
      </c>
      <c r="B2327" s="4" t="s">
        <v>12</v>
      </c>
      <c r="C2327" s="4" t="n">
        <v>6</v>
      </c>
      <c r="D2327" s="4" t="s">
        <v>52</v>
      </c>
      <c r="E2327" s="3" t="s">
        <v>357</v>
      </c>
      <c r="F2327" s="4" t="str">
        <f aca="false">IF(I2327&gt;J2327,"Y","N")</f>
        <v>Y</v>
      </c>
      <c r="G2327" s="3" t="s">
        <v>358</v>
      </c>
      <c r="H2327" s="3" t="s">
        <v>42</v>
      </c>
      <c r="I2327" s="4" t="n">
        <v>9</v>
      </c>
      <c r="J2327" s="4" t="n">
        <f aca="false">LEN(E2327)-LEN(SUBSTITUTE(E2327,",",""))+1</f>
        <v>8</v>
      </c>
      <c r="K2327" s="3" t="str">
        <f aca="false">IFERROR(INDEX('Teacher Lookup'!$B$2:$B$200,MATCH(A2327,'Teacher Lookup'!$A$2:$A$200,0)),"")</f>
        <v>SO Cherry</v>
      </c>
    </row>
    <row r="2328" customFormat="false" ht="15" hidden="false" customHeight="false" outlineLevel="0" collapsed="false">
      <c r="A2328" s="3" t="s">
        <v>361</v>
      </c>
      <c r="B2328" s="4" t="s">
        <v>12</v>
      </c>
      <c r="C2328" s="4" t="n">
        <v>6</v>
      </c>
      <c r="D2328" s="4" t="s">
        <v>55</v>
      </c>
      <c r="E2328" s="3" t="s">
        <v>357</v>
      </c>
      <c r="F2328" s="4" t="str">
        <f aca="false">IF(I2328&gt;J2328,"Y","N")</f>
        <v>Y</v>
      </c>
      <c r="G2328" s="3" t="s">
        <v>358</v>
      </c>
      <c r="H2328" s="3" t="s">
        <v>42</v>
      </c>
      <c r="I2328" s="4" t="n">
        <v>9</v>
      </c>
      <c r="J2328" s="4" t="n">
        <f aca="false">LEN(E2328)-LEN(SUBSTITUTE(E2328,",",""))+1</f>
        <v>8</v>
      </c>
      <c r="K2328" s="3" t="str">
        <f aca="false">IFERROR(INDEX('Teacher Lookup'!$B$2:$B$200,MATCH(A2328,'Teacher Lookup'!$A$2:$A$200,0)),"")</f>
        <v>SO Cherry</v>
      </c>
    </row>
    <row r="2329" customFormat="false" ht="15" hidden="false" customHeight="false" outlineLevel="0" collapsed="false">
      <c r="A2329" s="3" t="s">
        <v>361</v>
      </c>
      <c r="B2329" s="4" t="s">
        <v>12</v>
      </c>
      <c r="C2329" s="4" t="n">
        <v>6</v>
      </c>
      <c r="D2329" s="4" t="s">
        <v>56</v>
      </c>
      <c r="E2329" s="3" t="s">
        <v>357</v>
      </c>
      <c r="F2329" s="4" t="str">
        <f aca="false">IF(I2329&gt;J2329,"Y","N")</f>
        <v>Y</v>
      </c>
      <c r="G2329" s="3" t="s">
        <v>358</v>
      </c>
      <c r="H2329" s="3" t="s">
        <v>42</v>
      </c>
      <c r="I2329" s="4" t="n">
        <v>9</v>
      </c>
      <c r="J2329" s="4" t="n">
        <f aca="false">LEN(E2329)-LEN(SUBSTITUTE(E2329,",",""))+1</f>
        <v>8</v>
      </c>
      <c r="K2329" s="3" t="str">
        <f aca="false">IFERROR(INDEX('Teacher Lookup'!$B$2:$B$200,MATCH(A2329,'Teacher Lookup'!$A$2:$A$200,0)),"")</f>
        <v>SO Cherry</v>
      </c>
    </row>
    <row r="2330" customFormat="false" ht="15" hidden="false" customHeight="false" outlineLevel="0" collapsed="false">
      <c r="A2330" s="3" t="s">
        <v>361</v>
      </c>
      <c r="B2330" s="4" t="s">
        <v>12</v>
      </c>
      <c r="C2330" s="4" t="n">
        <v>6</v>
      </c>
      <c r="D2330" s="4" t="s">
        <v>57</v>
      </c>
      <c r="E2330" s="3" t="s">
        <v>357</v>
      </c>
      <c r="F2330" s="4" t="str">
        <f aca="false">IF(I2330&gt;J2330,"Y","N")</f>
        <v>Y</v>
      </c>
      <c r="G2330" s="3" t="s">
        <v>358</v>
      </c>
      <c r="H2330" s="3" t="s">
        <v>42</v>
      </c>
      <c r="I2330" s="4" t="n">
        <v>9</v>
      </c>
      <c r="J2330" s="4" t="n">
        <f aca="false">LEN(E2330)-LEN(SUBSTITUTE(E2330,",",""))+1</f>
        <v>8</v>
      </c>
      <c r="K2330" s="3" t="str">
        <f aca="false">IFERROR(INDEX('Teacher Lookup'!$B$2:$B$200,MATCH(A2330,'Teacher Lookup'!$A$2:$A$200,0)),"")</f>
        <v>SO Cherry</v>
      </c>
    </row>
    <row r="2331" customFormat="false" ht="15" hidden="false" customHeight="false" outlineLevel="0" collapsed="false">
      <c r="A2331" s="3" t="s">
        <v>361</v>
      </c>
      <c r="B2331" s="4" t="s">
        <v>12</v>
      </c>
      <c r="C2331" s="4" t="n">
        <v>6</v>
      </c>
      <c r="D2331" s="4" t="s">
        <v>58</v>
      </c>
      <c r="E2331" s="3" t="s">
        <v>357</v>
      </c>
      <c r="F2331" s="4" t="str">
        <f aca="false">IF(I2331&gt;J2331,"Y","N")</f>
        <v>Y</v>
      </c>
      <c r="G2331" s="3" t="s">
        <v>358</v>
      </c>
      <c r="H2331" s="3" t="s">
        <v>42</v>
      </c>
      <c r="I2331" s="4" t="n">
        <v>9</v>
      </c>
      <c r="J2331" s="4" t="n">
        <f aca="false">LEN(E2331)-LEN(SUBSTITUTE(E2331,",",""))+1</f>
        <v>8</v>
      </c>
      <c r="K2331" s="3" t="str">
        <f aca="false">IFERROR(INDEX('Teacher Lookup'!$B$2:$B$200,MATCH(A2331,'Teacher Lookup'!$A$2:$A$200,0)),"")</f>
        <v>SO Cherry</v>
      </c>
    </row>
    <row r="2332" customFormat="false" ht="15" hidden="false" customHeight="false" outlineLevel="0" collapsed="false">
      <c r="A2332" s="3" t="s">
        <v>361</v>
      </c>
      <c r="B2332" s="4" t="s">
        <v>12</v>
      </c>
      <c r="C2332" s="4" t="n">
        <v>6</v>
      </c>
      <c r="D2332" s="4" t="s">
        <v>59</v>
      </c>
      <c r="E2332" s="3" t="s">
        <v>357</v>
      </c>
      <c r="F2332" s="4" t="str">
        <f aca="false">IF(I2332&gt;J2332,"Y","N")</f>
        <v>Y</v>
      </c>
      <c r="G2332" s="3" t="s">
        <v>358</v>
      </c>
      <c r="H2332" s="3" t="s">
        <v>42</v>
      </c>
      <c r="I2332" s="4" t="n">
        <v>9</v>
      </c>
      <c r="J2332" s="4" t="n">
        <f aca="false">LEN(E2332)-LEN(SUBSTITUTE(E2332,",",""))+1</f>
        <v>8</v>
      </c>
      <c r="K2332" s="3" t="str">
        <f aca="false">IFERROR(INDEX('Teacher Lookup'!$B$2:$B$200,MATCH(A2332,'Teacher Lookup'!$A$2:$A$200,0)),"")</f>
        <v>SO Cherry</v>
      </c>
    </row>
    <row r="2333" customFormat="false" ht="15" hidden="false" customHeight="false" outlineLevel="0" collapsed="false">
      <c r="A2333" s="3" t="s">
        <v>361</v>
      </c>
      <c r="B2333" s="4" t="s">
        <v>12</v>
      </c>
      <c r="C2333" s="4" t="n">
        <v>7</v>
      </c>
      <c r="D2333" s="4" t="s">
        <v>52</v>
      </c>
      <c r="E2333" s="3" t="s">
        <v>357</v>
      </c>
      <c r="F2333" s="4" t="str">
        <f aca="false">IF(I2333&gt;J2333,"Y","N")</f>
        <v>Y</v>
      </c>
      <c r="G2333" s="3" t="s">
        <v>358</v>
      </c>
      <c r="H2333" s="3" t="s">
        <v>39</v>
      </c>
      <c r="I2333" s="4" t="n">
        <v>9</v>
      </c>
      <c r="J2333" s="4" t="n">
        <f aca="false">LEN(E2333)-LEN(SUBSTITUTE(E2333,",",""))+1</f>
        <v>8</v>
      </c>
      <c r="K2333" s="3" t="str">
        <f aca="false">IFERROR(INDEX('Teacher Lookup'!$B$2:$B$200,MATCH(A2333,'Teacher Lookup'!$A$2:$A$200,0)),"")</f>
        <v>SO Cherry</v>
      </c>
    </row>
    <row r="2334" customFormat="false" ht="15" hidden="false" customHeight="false" outlineLevel="0" collapsed="false">
      <c r="A2334" s="3" t="s">
        <v>361</v>
      </c>
      <c r="B2334" s="4" t="s">
        <v>12</v>
      </c>
      <c r="C2334" s="4" t="n">
        <v>7</v>
      </c>
      <c r="D2334" s="4" t="s">
        <v>55</v>
      </c>
      <c r="E2334" s="3" t="s">
        <v>357</v>
      </c>
      <c r="F2334" s="4" t="str">
        <f aca="false">IF(I2334&gt;J2334,"Y","N")</f>
        <v>Y</v>
      </c>
      <c r="G2334" s="3" t="s">
        <v>358</v>
      </c>
      <c r="H2334" s="3" t="s">
        <v>39</v>
      </c>
      <c r="I2334" s="4" t="n">
        <v>9</v>
      </c>
      <c r="J2334" s="4" t="n">
        <f aca="false">LEN(E2334)-LEN(SUBSTITUTE(E2334,",",""))+1</f>
        <v>8</v>
      </c>
      <c r="K2334" s="3" t="str">
        <f aca="false">IFERROR(INDEX('Teacher Lookup'!$B$2:$B$200,MATCH(A2334,'Teacher Lookup'!$A$2:$A$200,0)),"")</f>
        <v>SO Cherry</v>
      </c>
    </row>
    <row r="2335" customFormat="false" ht="15" hidden="false" customHeight="false" outlineLevel="0" collapsed="false">
      <c r="A2335" s="3" t="s">
        <v>361</v>
      </c>
      <c r="B2335" s="4" t="s">
        <v>12</v>
      </c>
      <c r="C2335" s="4" t="n">
        <v>7</v>
      </c>
      <c r="D2335" s="4" t="s">
        <v>56</v>
      </c>
      <c r="E2335" s="3" t="s">
        <v>357</v>
      </c>
      <c r="F2335" s="4" t="str">
        <f aca="false">IF(I2335&gt;J2335,"Y","N")</f>
        <v>Y</v>
      </c>
      <c r="G2335" s="3" t="s">
        <v>358</v>
      </c>
      <c r="H2335" s="3" t="s">
        <v>39</v>
      </c>
      <c r="I2335" s="4" t="n">
        <v>9</v>
      </c>
      <c r="J2335" s="4" t="n">
        <f aca="false">LEN(E2335)-LEN(SUBSTITUTE(E2335,",",""))+1</f>
        <v>8</v>
      </c>
      <c r="K2335" s="3" t="str">
        <f aca="false">IFERROR(INDEX('Teacher Lookup'!$B$2:$B$200,MATCH(A2335,'Teacher Lookup'!$A$2:$A$200,0)),"")</f>
        <v>SO Cherry</v>
      </c>
    </row>
    <row r="2336" customFormat="false" ht="15" hidden="false" customHeight="false" outlineLevel="0" collapsed="false">
      <c r="A2336" s="3" t="s">
        <v>361</v>
      </c>
      <c r="B2336" s="4" t="s">
        <v>12</v>
      </c>
      <c r="C2336" s="4" t="n">
        <v>7</v>
      </c>
      <c r="D2336" s="4" t="s">
        <v>57</v>
      </c>
      <c r="E2336" s="3" t="s">
        <v>357</v>
      </c>
      <c r="F2336" s="4" t="str">
        <f aca="false">IF(I2336&gt;J2336,"Y","N")</f>
        <v>Y</v>
      </c>
      <c r="G2336" s="3" t="s">
        <v>358</v>
      </c>
      <c r="H2336" s="3" t="s">
        <v>39</v>
      </c>
      <c r="I2336" s="4" t="n">
        <v>9</v>
      </c>
      <c r="J2336" s="4" t="n">
        <f aca="false">LEN(E2336)-LEN(SUBSTITUTE(E2336,",",""))+1</f>
        <v>8</v>
      </c>
      <c r="K2336" s="3" t="str">
        <f aca="false">IFERROR(INDEX('Teacher Lookup'!$B$2:$B$200,MATCH(A2336,'Teacher Lookup'!$A$2:$A$200,0)),"")</f>
        <v>SO Cherry</v>
      </c>
    </row>
    <row r="2337" customFormat="false" ht="15" hidden="false" customHeight="false" outlineLevel="0" collapsed="false">
      <c r="A2337" s="3" t="s">
        <v>361</v>
      </c>
      <c r="B2337" s="4" t="s">
        <v>12</v>
      </c>
      <c r="C2337" s="4" t="n">
        <v>7</v>
      </c>
      <c r="D2337" s="4" t="s">
        <v>58</v>
      </c>
      <c r="E2337" s="3" t="s">
        <v>357</v>
      </c>
      <c r="F2337" s="4" t="str">
        <f aca="false">IF(I2337&gt;J2337,"Y","N")</f>
        <v>Y</v>
      </c>
      <c r="G2337" s="3" t="s">
        <v>358</v>
      </c>
      <c r="H2337" s="3" t="s">
        <v>39</v>
      </c>
      <c r="I2337" s="4" t="n">
        <v>9</v>
      </c>
      <c r="J2337" s="4" t="n">
        <f aca="false">LEN(E2337)-LEN(SUBSTITUTE(E2337,",",""))+1</f>
        <v>8</v>
      </c>
      <c r="K2337" s="3" t="str">
        <f aca="false">IFERROR(INDEX('Teacher Lookup'!$B$2:$B$200,MATCH(A2337,'Teacher Lookup'!$A$2:$A$200,0)),"")</f>
        <v>SO Cherry</v>
      </c>
    </row>
    <row r="2338" customFormat="false" ht="15" hidden="false" customHeight="false" outlineLevel="0" collapsed="false">
      <c r="A2338" s="3" t="s">
        <v>361</v>
      </c>
      <c r="B2338" s="4" t="s">
        <v>12</v>
      </c>
      <c r="C2338" s="4" t="n">
        <v>7</v>
      </c>
      <c r="D2338" s="4" t="s">
        <v>59</v>
      </c>
      <c r="E2338" s="3" t="s">
        <v>357</v>
      </c>
      <c r="F2338" s="4" t="str">
        <f aca="false">IF(I2338&gt;J2338,"Y","N")</f>
        <v>Y</v>
      </c>
      <c r="G2338" s="3" t="s">
        <v>358</v>
      </c>
      <c r="H2338" s="3" t="s">
        <v>39</v>
      </c>
      <c r="I2338" s="4" t="n">
        <v>9</v>
      </c>
      <c r="J2338" s="4" t="n">
        <f aca="false">LEN(E2338)-LEN(SUBSTITUTE(E2338,",",""))+1</f>
        <v>8</v>
      </c>
      <c r="K2338" s="3" t="str">
        <f aca="false">IFERROR(INDEX('Teacher Lookup'!$B$2:$B$200,MATCH(A2338,'Teacher Lookup'!$A$2:$A$200,0)),"")</f>
        <v>SO Cherry</v>
      </c>
    </row>
    <row r="2339" customFormat="false" ht="15" hidden="false" customHeight="false" outlineLevel="0" collapsed="false">
      <c r="A2339" s="3" t="s">
        <v>361</v>
      </c>
      <c r="B2339" s="4" t="s">
        <v>31</v>
      </c>
      <c r="C2339" s="4" t="n">
        <v>1</v>
      </c>
      <c r="D2339" s="4" t="s">
        <v>13</v>
      </c>
      <c r="E2339" s="3" t="s">
        <v>351</v>
      </c>
      <c r="F2339" s="4" t="str">
        <f aca="false">IF(I2339&gt;J2339,"Y","N")</f>
        <v>N</v>
      </c>
      <c r="G2339" s="3" t="s">
        <v>285</v>
      </c>
      <c r="H2339" s="3" t="s">
        <v>16</v>
      </c>
      <c r="I2339" s="4" t="n">
        <v>1</v>
      </c>
      <c r="J2339" s="4" t="n">
        <f aca="false">LEN(E2339)-LEN(SUBSTITUTE(E2339,",",""))+1</f>
        <v>1</v>
      </c>
      <c r="K2339" s="3" t="str">
        <f aca="false">IFERROR(INDEX('Teacher Lookup'!$B$2:$B$200,MATCH(A2339,'Teacher Lookup'!$A$2:$A$200,0)),"")</f>
        <v>SO Cherry</v>
      </c>
    </row>
    <row r="2340" customFormat="false" ht="15" hidden="false" customHeight="false" outlineLevel="0" collapsed="false">
      <c r="A2340" s="3" t="s">
        <v>361</v>
      </c>
      <c r="B2340" s="4" t="s">
        <v>31</v>
      </c>
      <c r="C2340" s="4" t="n">
        <v>5</v>
      </c>
      <c r="D2340" s="4" t="s">
        <v>24</v>
      </c>
      <c r="E2340" s="3" t="s">
        <v>131</v>
      </c>
      <c r="F2340" s="4" t="str">
        <f aca="false">IF(I2340&gt;J2340,"Y","N")</f>
        <v>Y</v>
      </c>
      <c r="G2340" s="3" t="s">
        <v>36</v>
      </c>
      <c r="H2340" s="3" t="s">
        <v>37</v>
      </c>
      <c r="I2340" s="4" t="n">
        <v>15</v>
      </c>
      <c r="J2340" s="4" t="n">
        <f aca="false">LEN(E2340)-LEN(SUBSTITUTE(E2340,",",""))+1</f>
        <v>7</v>
      </c>
      <c r="K2340" s="3" t="str">
        <f aca="false">IFERROR(INDEX('Teacher Lookup'!$B$2:$B$200,MATCH(A2340,'Teacher Lookup'!$A$2:$A$200,0)),"")</f>
        <v>SO Cherry</v>
      </c>
    </row>
    <row r="2341" customFormat="false" ht="15" hidden="false" customHeight="false" outlineLevel="0" collapsed="false">
      <c r="A2341" s="3" t="s">
        <v>361</v>
      </c>
      <c r="B2341" s="4" t="s">
        <v>31</v>
      </c>
      <c r="C2341" s="4" t="n">
        <v>5</v>
      </c>
      <c r="D2341" s="4" t="s">
        <v>132</v>
      </c>
      <c r="E2341" s="3" t="s">
        <v>131</v>
      </c>
      <c r="F2341" s="4" t="str">
        <f aca="false">IF(I2341&gt;J2341,"Y","N")</f>
        <v>Y</v>
      </c>
      <c r="G2341" s="3" t="s">
        <v>36</v>
      </c>
      <c r="H2341" s="3" t="s">
        <v>37</v>
      </c>
      <c r="I2341" s="4" t="n">
        <v>15</v>
      </c>
      <c r="J2341" s="4" t="n">
        <f aca="false">LEN(E2341)-LEN(SUBSTITUTE(E2341,",",""))+1</f>
        <v>7</v>
      </c>
      <c r="K2341" s="3" t="str">
        <f aca="false">IFERROR(INDEX('Teacher Lookup'!$B$2:$B$200,MATCH(A2341,'Teacher Lookup'!$A$2:$A$200,0)),"")</f>
        <v>SO Cherry</v>
      </c>
    </row>
    <row r="2342" customFormat="false" ht="15" hidden="false" customHeight="false" outlineLevel="0" collapsed="false">
      <c r="A2342" s="3" t="s">
        <v>361</v>
      </c>
      <c r="B2342" s="4" t="s">
        <v>31</v>
      </c>
      <c r="C2342" s="4" t="n">
        <v>5</v>
      </c>
      <c r="D2342" s="4" t="s">
        <v>27</v>
      </c>
      <c r="E2342" s="3" t="s">
        <v>131</v>
      </c>
      <c r="F2342" s="4" t="str">
        <f aca="false">IF(I2342&gt;J2342,"Y","N")</f>
        <v>Y</v>
      </c>
      <c r="G2342" s="3" t="s">
        <v>36</v>
      </c>
      <c r="H2342" s="3" t="s">
        <v>37</v>
      </c>
      <c r="I2342" s="4" t="n">
        <v>15</v>
      </c>
      <c r="J2342" s="4" t="n">
        <f aca="false">LEN(E2342)-LEN(SUBSTITUTE(E2342,",",""))+1</f>
        <v>7</v>
      </c>
      <c r="K2342" s="3" t="str">
        <f aca="false">IFERROR(INDEX('Teacher Lookup'!$B$2:$B$200,MATCH(A2342,'Teacher Lookup'!$A$2:$A$200,0)),"")</f>
        <v>SO Cherry</v>
      </c>
    </row>
    <row r="2343" customFormat="false" ht="15" hidden="false" customHeight="false" outlineLevel="0" collapsed="false">
      <c r="A2343" s="3" t="s">
        <v>361</v>
      </c>
      <c r="B2343" s="4" t="s">
        <v>31</v>
      </c>
      <c r="C2343" s="4" t="n">
        <v>5</v>
      </c>
      <c r="D2343" s="4" t="s">
        <v>28</v>
      </c>
      <c r="E2343" s="3" t="s">
        <v>131</v>
      </c>
      <c r="F2343" s="4" t="str">
        <f aca="false">IF(I2343&gt;J2343,"Y","N")</f>
        <v>Y</v>
      </c>
      <c r="G2343" s="3" t="s">
        <v>36</v>
      </c>
      <c r="H2343" s="3" t="s">
        <v>37</v>
      </c>
      <c r="I2343" s="4" t="n">
        <v>15</v>
      </c>
      <c r="J2343" s="4" t="n">
        <f aca="false">LEN(E2343)-LEN(SUBSTITUTE(E2343,",",""))+1</f>
        <v>7</v>
      </c>
      <c r="K2343" s="3" t="str">
        <f aca="false">IFERROR(INDEX('Teacher Lookup'!$B$2:$B$200,MATCH(A2343,'Teacher Lookup'!$A$2:$A$200,0)),"")</f>
        <v>SO Cherry</v>
      </c>
    </row>
    <row r="2344" customFormat="false" ht="15" hidden="false" customHeight="false" outlineLevel="0" collapsed="false">
      <c r="A2344" s="3" t="s">
        <v>361</v>
      </c>
      <c r="B2344" s="4" t="s">
        <v>31</v>
      </c>
      <c r="C2344" s="4" t="n">
        <v>5</v>
      </c>
      <c r="D2344" s="4" t="s">
        <v>29</v>
      </c>
      <c r="E2344" s="3" t="s">
        <v>131</v>
      </c>
      <c r="F2344" s="4" t="str">
        <f aca="false">IF(I2344&gt;J2344,"Y","N")</f>
        <v>Y</v>
      </c>
      <c r="G2344" s="3" t="s">
        <v>36</v>
      </c>
      <c r="H2344" s="3" t="s">
        <v>37</v>
      </c>
      <c r="I2344" s="4" t="n">
        <v>15</v>
      </c>
      <c r="J2344" s="4" t="n">
        <f aca="false">LEN(E2344)-LEN(SUBSTITUTE(E2344,",",""))+1</f>
        <v>7</v>
      </c>
      <c r="K2344" s="3" t="str">
        <f aca="false">IFERROR(INDEX('Teacher Lookup'!$B$2:$B$200,MATCH(A2344,'Teacher Lookup'!$A$2:$A$200,0)),"")</f>
        <v>SO Cherry</v>
      </c>
    </row>
    <row r="2345" customFormat="false" ht="15" hidden="false" customHeight="false" outlineLevel="0" collapsed="false">
      <c r="A2345" s="3" t="s">
        <v>361</v>
      </c>
      <c r="B2345" s="4" t="s">
        <v>31</v>
      </c>
      <c r="C2345" s="4" t="n">
        <v>5</v>
      </c>
      <c r="D2345" s="4" t="s">
        <v>30</v>
      </c>
      <c r="E2345" s="3" t="s">
        <v>131</v>
      </c>
      <c r="F2345" s="4" t="str">
        <f aca="false">IF(I2345&gt;J2345,"Y","N")</f>
        <v>Y</v>
      </c>
      <c r="G2345" s="3" t="s">
        <v>36</v>
      </c>
      <c r="H2345" s="3" t="s">
        <v>37</v>
      </c>
      <c r="I2345" s="4" t="n">
        <v>15</v>
      </c>
      <c r="J2345" s="4" t="n">
        <f aca="false">LEN(E2345)-LEN(SUBSTITUTE(E2345,",",""))+1</f>
        <v>7</v>
      </c>
      <c r="K2345" s="3" t="str">
        <f aca="false">IFERROR(INDEX('Teacher Lookup'!$B$2:$B$200,MATCH(A2345,'Teacher Lookup'!$A$2:$A$200,0)),"")</f>
        <v>SO Cherry</v>
      </c>
    </row>
    <row r="2346" customFormat="false" ht="15" hidden="false" customHeight="false" outlineLevel="0" collapsed="false">
      <c r="A2346" s="3" t="s">
        <v>361</v>
      </c>
      <c r="B2346" s="4" t="s">
        <v>40</v>
      </c>
      <c r="C2346" s="4" t="n">
        <v>3</v>
      </c>
      <c r="D2346" s="4" t="s">
        <v>22</v>
      </c>
      <c r="E2346" s="3" t="s">
        <v>341</v>
      </c>
      <c r="F2346" s="4" t="str">
        <f aca="false">IF(I2346&gt;J2346,"Y","N")</f>
        <v>N</v>
      </c>
      <c r="G2346" s="3" t="s">
        <v>285</v>
      </c>
      <c r="H2346" s="3" t="s">
        <v>26</v>
      </c>
      <c r="I2346" s="4" t="n">
        <v>1</v>
      </c>
      <c r="J2346" s="4" t="n">
        <f aca="false">LEN(E2346)-LEN(SUBSTITUTE(E2346,",",""))+1</f>
        <v>1</v>
      </c>
      <c r="K2346" s="3" t="str">
        <f aca="false">IFERROR(INDEX('Teacher Lookup'!$B$2:$B$200,MATCH(A2346,'Teacher Lookup'!$A$2:$A$200,0)),"")</f>
        <v>SO Cherry</v>
      </c>
    </row>
    <row r="2347" customFormat="false" ht="15" hidden="false" customHeight="false" outlineLevel="0" collapsed="false">
      <c r="A2347" s="3" t="s">
        <v>361</v>
      </c>
      <c r="B2347" s="4" t="s">
        <v>40</v>
      </c>
      <c r="C2347" s="4" t="n">
        <v>5</v>
      </c>
      <c r="D2347" s="4" t="s">
        <v>28</v>
      </c>
      <c r="E2347" s="3" t="s">
        <v>362</v>
      </c>
      <c r="F2347" s="4" t="str">
        <f aca="false">IF(I2347&gt;J2347,"Y","N")</f>
        <v>N</v>
      </c>
      <c r="G2347" s="3" t="s">
        <v>287</v>
      </c>
      <c r="H2347" s="3" t="s">
        <v>37</v>
      </c>
      <c r="I2347" s="4" t="n">
        <v>1</v>
      </c>
      <c r="J2347" s="4" t="n">
        <f aca="false">LEN(E2347)-LEN(SUBSTITUTE(E2347,",",""))+1</f>
        <v>1</v>
      </c>
      <c r="K2347" s="3" t="str">
        <f aca="false">IFERROR(INDEX('Teacher Lookup'!$B$2:$B$200,MATCH(A2347,'Teacher Lookup'!$A$2:$A$200,0)),"")</f>
        <v>SO Cherry</v>
      </c>
    </row>
    <row r="2348" customFormat="false" ht="15" hidden="false" customHeight="false" outlineLevel="0" collapsed="false">
      <c r="A2348" s="3" t="s">
        <v>361</v>
      </c>
      <c r="B2348" s="4" t="s">
        <v>40</v>
      </c>
      <c r="C2348" s="4" t="n">
        <v>7</v>
      </c>
      <c r="D2348" s="4" t="s">
        <v>27</v>
      </c>
      <c r="E2348" s="3" t="s">
        <v>363</v>
      </c>
      <c r="F2348" s="4" t="str">
        <f aca="false">IF(I2348&gt;J2348,"Y","N")</f>
        <v>N</v>
      </c>
      <c r="G2348" s="3" t="s">
        <v>287</v>
      </c>
      <c r="H2348" s="3" t="s">
        <v>39</v>
      </c>
      <c r="I2348" s="4" t="n">
        <v>1</v>
      </c>
      <c r="J2348" s="4" t="n">
        <f aca="false">LEN(E2348)-LEN(SUBSTITUTE(E2348,",",""))+1</f>
        <v>1</v>
      </c>
      <c r="K2348" s="3" t="str">
        <f aca="false">IFERROR(INDEX('Teacher Lookup'!$B$2:$B$200,MATCH(A2348,'Teacher Lookup'!$A$2:$A$200,0)),"")</f>
        <v>SO Cherry</v>
      </c>
    </row>
    <row r="2349" customFormat="false" ht="15" hidden="false" customHeight="false" outlineLevel="0" collapsed="false">
      <c r="A2349" s="3" t="s">
        <v>361</v>
      </c>
      <c r="B2349" s="4" t="s">
        <v>44</v>
      </c>
      <c r="C2349" s="4" t="n">
        <v>3</v>
      </c>
      <c r="D2349" s="4" t="s">
        <v>28</v>
      </c>
      <c r="E2349" s="3" t="s">
        <v>362</v>
      </c>
      <c r="F2349" s="4" t="str">
        <f aca="false">IF(I2349&gt;J2349,"Y","N")</f>
        <v>N</v>
      </c>
      <c r="G2349" s="3" t="s">
        <v>287</v>
      </c>
      <c r="H2349" s="3" t="s">
        <v>26</v>
      </c>
      <c r="I2349" s="4" t="n">
        <v>1</v>
      </c>
      <c r="J2349" s="4" t="n">
        <f aca="false">LEN(E2349)-LEN(SUBSTITUTE(E2349,",",""))+1</f>
        <v>1</v>
      </c>
      <c r="K2349" s="3" t="str">
        <f aca="false">IFERROR(INDEX('Teacher Lookup'!$B$2:$B$200,MATCH(A2349,'Teacher Lookup'!$A$2:$A$200,0)),"")</f>
        <v>SO Cherry</v>
      </c>
    </row>
    <row r="2350" customFormat="false" ht="15" hidden="false" customHeight="false" outlineLevel="0" collapsed="false">
      <c r="A2350" s="3" t="s">
        <v>361</v>
      </c>
      <c r="B2350" s="4" t="s">
        <v>44</v>
      </c>
      <c r="C2350" s="4" t="n">
        <v>4</v>
      </c>
      <c r="D2350" s="4" t="s">
        <v>27</v>
      </c>
      <c r="E2350" s="3" t="s">
        <v>363</v>
      </c>
      <c r="F2350" s="4" t="str">
        <f aca="false">IF(I2350&gt;J2350,"Y","N")</f>
        <v>N</v>
      </c>
      <c r="G2350" s="3" t="s">
        <v>287</v>
      </c>
      <c r="H2350" s="3" t="s">
        <v>34</v>
      </c>
      <c r="I2350" s="4" t="n">
        <v>1</v>
      </c>
      <c r="J2350" s="4" t="n">
        <f aca="false">LEN(E2350)-LEN(SUBSTITUTE(E2350,",",""))+1</f>
        <v>1</v>
      </c>
      <c r="K2350" s="3" t="str">
        <f aca="false">IFERROR(INDEX('Teacher Lookup'!$B$2:$B$200,MATCH(A2350,'Teacher Lookup'!$A$2:$A$200,0)),"")</f>
        <v>SO Cherry</v>
      </c>
    </row>
    <row r="2351" customFormat="false" ht="15" hidden="false" customHeight="false" outlineLevel="0" collapsed="false">
      <c r="A2351" s="3" t="s">
        <v>361</v>
      </c>
      <c r="B2351" s="4" t="s">
        <v>44</v>
      </c>
      <c r="C2351" s="4" t="n">
        <v>5</v>
      </c>
      <c r="D2351" s="4" t="s">
        <v>24</v>
      </c>
      <c r="E2351" s="3" t="s">
        <v>131</v>
      </c>
      <c r="F2351" s="4" t="str">
        <f aca="false">IF(I2351&gt;J2351,"Y","N")</f>
        <v>Y</v>
      </c>
      <c r="G2351" s="3" t="s">
        <v>36</v>
      </c>
      <c r="H2351" s="3" t="s">
        <v>37</v>
      </c>
      <c r="I2351" s="4" t="n">
        <v>15</v>
      </c>
      <c r="J2351" s="4" t="n">
        <f aca="false">LEN(E2351)-LEN(SUBSTITUTE(E2351,",",""))+1</f>
        <v>7</v>
      </c>
      <c r="K2351" s="3" t="str">
        <f aca="false">IFERROR(INDEX('Teacher Lookup'!$B$2:$B$200,MATCH(A2351,'Teacher Lookup'!$A$2:$A$200,0)),"")</f>
        <v>SO Cherry</v>
      </c>
    </row>
    <row r="2352" customFormat="false" ht="15" hidden="false" customHeight="false" outlineLevel="0" collapsed="false">
      <c r="A2352" s="3" t="s">
        <v>361</v>
      </c>
      <c r="B2352" s="4" t="s">
        <v>44</v>
      </c>
      <c r="C2352" s="4" t="n">
        <v>5</v>
      </c>
      <c r="D2352" s="4" t="s">
        <v>132</v>
      </c>
      <c r="E2352" s="3" t="s">
        <v>131</v>
      </c>
      <c r="F2352" s="4" t="str">
        <f aca="false">IF(I2352&gt;J2352,"Y","N")</f>
        <v>Y</v>
      </c>
      <c r="G2352" s="3" t="s">
        <v>36</v>
      </c>
      <c r="H2352" s="3" t="s">
        <v>37</v>
      </c>
      <c r="I2352" s="4" t="n">
        <v>15</v>
      </c>
      <c r="J2352" s="4" t="n">
        <f aca="false">LEN(E2352)-LEN(SUBSTITUTE(E2352,",",""))+1</f>
        <v>7</v>
      </c>
      <c r="K2352" s="3" t="str">
        <f aca="false">IFERROR(INDEX('Teacher Lookup'!$B$2:$B$200,MATCH(A2352,'Teacher Lookup'!$A$2:$A$200,0)),"")</f>
        <v>SO Cherry</v>
      </c>
    </row>
    <row r="2353" customFormat="false" ht="15" hidden="false" customHeight="false" outlineLevel="0" collapsed="false">
      <c r="A2353" s="3" t="s">
        <v>361</v>
      </c>
      <c r="B2353" s="4" t="s">
        <v>44</v>
      </c>
      <c r="C2353" s="4" t="n">
        <v>5</v>
      </c>
      <c r="D2353" s="4" t="s">
        <v>27</v>
      </c>
      <c r="E2353" s="3" t="s">
        <v>131</v>
      </c>
      <c r="F2353" s="4" t="str">
        <f aca="false">IF(I2353&gt;J2353,"Y","N")</f>
        <v>Y</v>
      </c>
      <c r="G2353" s="3" t="s">
        <v>36</v>
      </c>
      <c r="H2353" s="3" t="s">
        <v>37</v>
      </c>
      <c r="I2353" s="4" t="n">
        <v>15</v>
      </c>
      <c r="J2353" s="4" t="n">
        <f aca="false">LEN(E2353)-LEN(SUBSTITUTE(E2353,",",""))+1</f>
        <v>7</v>
      </c>
      <c r="K2353" s="3" t="str">
        <f aca="false">IFERROR(INDEX('Teacher Lookup'!$B$2:$B$200,MATCH(A2353,'Teacher Lookup'!$A$2:$A$200,0)),"")</f>
        <v>SO Cherry</v>
      </c>
    </row>
    <row r="2354" customFormat="false" ht="15" hidden="false" customHeight="false" outlineLevel="0" collapsed="false">
      <c r="A2354" s="3" t="s">
        <v>361</v>
      </c>
      <c r="B2354" s="4" t="s">
        <v>44</v>
      </c>
      <c r="C2354" s="4" t="n">
        <v>5</v>
      </c>
      <c r="D2354" s="4" t="s">
        <v>28</v>
      </c>
      <c r="E2354" s="3" t="s">
        <v>131</v>
      </c>
      <c r="F2354" s="4" t="str">
        <f aca="false">IF(I2354&gt;J2354,"Y","N")</f>
        <v>Y</v>
      </c>
      <c r="G2354" s="3" t="s">
        <v>36</v>
      </c>
      <c r="H2354" s="3" t="s">
        <v>37</v>
      </c>
      <c r="I2354" s="4" t="n">
        <v>15</v>
      </c>
      <c r="J2354" s="4" t="n">
        <f aca="false">LEN(E2354)-LEN(SUBSTITUTE(E2354,",",""))+1</f>
        <v>7</v>
      </c>
      <c r="K2354" s="3" t="str">
        <f aca="false">IFERROR(INDEX('Teacher Lookup'!$B$2:$B$200,MATCH(A2354,'Teacher Lookup'!$A$2:$A$200,0)),"")</f>
        <v>SO Cherry</v>
      </c>
    </row>
    <row r="2355" customFormat="false" ht="15" hidden="false" customHeight="false" outlineLevel="0" collapsed="false">
      <c r="A2355" s="3" t="s">
        <v>361</v>
      </c>
      <c r="B2355" s="4" t="s">
        <v>44</v>
      </c>
      <c r="C2355" s="4" t="n">
        <v>5</v>
      </c>
      <c r="D2355" s="4" t="s">
        <v>29</v>
      </c>
      <c r="E2355" s="3" t="s">
        <v>131</v>
      </c>
      <c r="F2355" s="4" t="str">
        <f aca="false">IF(I2355&gt;J2355,"Y","N")</f>
        <v>Y</v>
      </c>
      <c r="G2355" s="3" t="s">
        <v>36</v>
      </c>
      <c r="H2355" s="3" t="s">
        <v>37</v>
      </c>
      <c r="I2355" s="4" t="n">
        <v>15</v>
      </c>
      <c r="J2355" s="4" t="n">
        <f aca="false">LEN(E2355)-LEN(SUBSTITUTE(E2355,",",""))+1</f>
        <v>7</v>
      </c>
      <c r="K2355" s="3" t="str">
        <f aca="false">IFERROR(INDEX('Teacher Lookup'!$B$2:$B$200,MATCH(A2355,'Teacher Lookup'!$A$2:$A$200,0)),"")</f>
        <v>SO Cherry</v>
      </c>
    </row>
    <row r="2356" customFormat="false" ht="15" hidden="false" customHeight="false" outlineLevel="0" collapsed="false">
      <c r="A2356" s="3" t="s">
        <v>361</v>
      </c>
      <c r="B2356" s="4" t="s">
        <v>44</v>
      </c>
      <c r="C2356" s="4" t="n">
        <v>5</v>
      </c>
      <c r="D2356" s="4" t="s">
        <v>30</v>
      </c>
      <c r="E2356" s="3" t="s">
        <v>131</v>
      </c>
      <c r="F2356" s="4" t="str">
        <f aca="false">IF(I2356&gt;J2356,"Y","N")</f>
        <v>Y</v>
      </c>
      <c r="G2356" s="3" t="s">
        <v>36</v>
      </c>
      <c r="H2356" s="3" t="s">
        <v>37</v>
      </c>
      <c r="I2356" s="4" t="n">
        <v>15</v>
      </c>
      <c r="J2356" s="4" t="n">
        <f aca="false">LEN(E2356)-LEN(SUBSTITUTE(E2356,",",""))+1</f>
        <v>7</v>
      </c>
      <c r="K2356" s="3" t="str">
        <f aca="false">IFERROR(INDEX('Teacher Lookup'!$B$2:$B$200,MATCH(A2356,'Teacher Lookup'!$A$2:$A$200,0)),"")</f>
        <v>SO Cherry</v>
      </c>
    </row>
    <row r="2357" customFormat="false" ht="15" hidden="false" customHeight="false" outlineLevel="0" collapsed="false">
      <c r="A2357" s="3" t="s">
        <v>361</v>
      </c>
      <c r="B2357" s="4" t="s">
        <v>44</v>
      </c>
      <c r="C2357" s="4" t="n">
        <v>7</v>
      </c>
      <c r="D2357" s="4" t="s">
        <v>290</v>
      </c>
      <c r="E2357" s="3" t="s">
        <v>291</v>
      </c>
      <c r="F2357" s="4" t="str">
        <f aca="false">IF(I2357&gt;J2357,"Y","N")</f>
        <v>Y</v>
      </c>
      <c r="G2357" s="3" t="s">
        <v>287</v>
      </c>
      <c r="H2357" s="3" t="s">
        <v>39</v>
      </c>
      <c r="I2357" s="4" t="n">
        <v>2</v>
      </c>
      <c r="J2357" s="4" t="n">
        <f aca="false">LEN(E2357)-LEN(SUBSTITUTE(E2357,",",""))+1</f>
        <v>1</v>
      </c>
      <c r="K2357" s="3" t="str">
        <f aca="false">IFERROR(INDEX('Teacher Lookup'!$B$2:$B$200,MATCH(A2357,'Teacher Lookup'!$A$2:$A$200,0)),"")</f>
        <v>SO Cherry</v>
      </c>
    </row>
    <row r="2358" customFormat="false" ht="15" hidden="false" customHeight="false" outlineLevel="0" collapsed="false">
      <c r="A2358" s="3" t="s">
        <v>361</v>
      </c>
      <c r="B2358" s="4" t="s">
        <v>47</v>
      </c>
      <c r="C2358" s="4" t="n">
        <v>1</v>
      </c>
      <c r="D2358" s="4" t="s">
        <v>290</v>
      </c>
      <c r="E2358" s="3" t="s">
        <v>292</v>
      </c>
      <c r="F2358" s="4" t="str">
        <f aca="false">IF(I2358&gt;J2358,"Y","N")</f>
        <v>Y</v>
      </c>
      <c r="G2358" s="3" t="s">
        <v>287</v>
      </c>
      <c r="H2358" s="3" t="s">
        <v>16</v>
      </c>
      <c r="I2358" s="4" t="n">
        <v>2</v>
      </c>
      <c r="J2358" s="4" t="n">
        <f aca="false">LEN(E2358)-LEN(SUBSTITUTE(E2358,",",""))+1</f>
        <v>1</v>
      </c>
      <c r="K2358" s="3" t="str">
        <f aca="false">IFERROR(INDEX('Teacher Lookup'!$B$2:$B$200,MATCH(A2358,'Teacher Lookup'!$A$2:$A$200,0)),"")</f>
        <v>SO Cherry</v>
      </c>
    </row>
    <row r="2359" customFormat="false" ht="15" hidden="false" customHeight="false" outlineLevel="0" collapsed="false">
      <c r="A2359" s="3" t="s">
        <v>361</v>
      </c>
      <c r="B2359" s="4" t="s">
        <v>47</v>
      </c>
      <c r="C2359" s="4" t="n">
        <v>3</v>
      </c>
      <c r="D2359" s="4" t="s">
        <v>78</v>
      </c>
      <c r="E2359" s="3" t="s">
        <v>135</v>
      </c>
      <c r="F2359" s="4" t="str">
        <f aca="false">IF(I2359&gt;J2359,"Y","N")</f>
        <v>N</v>
      </c>
      <c r="G2359" s="3" t="s">
        <v>285</v>
      </c>
      <c r="H2359" s="3" t="s">
        <v>26</v>
      </c>
      <c r="I2359" s="4" t="n">
        <v>1</v>
      </c>
      <c r="J2359" s="4" t="n">
        <f aca="false">LEN(E2359)-LEN(SUBSTITUTE(E2359,",",""))+1</f>
        <v>1</v>
      </c>
      <c r="K2359" s="3" t="str">
        <f aca="false">IFERROR(INDEX('Teacher Lookup'!$B$2:$B$200,MATCH(A2359,'Teacher Lookup'!$A$2:$A$200,0)),"")</f>
        <v>SO Cherry</v>
      </c>
    </row>
    <row r="2360" customFormat="false" ht="15" hidden="false" customHeight="false" outlineLevel="0" collapsed="false">
      <c r="A2360" s="3" t="s">
        <v>361</v>
      </c>
      <c r="B2360" s="4" t="s">
        <v>50</v>
      </c>
      <c r="C2360" s="4" t="n">
        <v>2</v>
      </c>
      <c r="D2360" s="4" t="s">
        <v>27</v>
      </c>
      <c r="E2360" s="3" t="s">
        <v>363</v>
      </c>
      <c r="F2360" s="4" t="str">
        <f aca="false">IF(I2360&gt;J2360,"Y","N")</f>
        <v>N</v>
      </c>
      <c r="G2360" s="3" t="s">
        <v>287</v>
      </c>
      <c r="H2360" s="3" t="s">
        <v>21</v>
      </c>
      <c r="I2360" s="4" t="n">
        <v>1</v>
      </c>
      <c r="J2360" s="4" t="n">
        <f aca="false">LEN(E2360)-LEN(SUBSTITUTE(E2360,",",""))+1</f>
        <v>1</v>
      </c>
      <c r="K2360" s="3" t="str">
        <f aca="false">IFERROR(INDEX('Teacher Lookup'!$B$2:$B$200,MATCH(A2360,'Teacher Lookup'!$A$2:$A$200,0)),"")</f>
        <v>SO Cherry</v>
      </c>
    </row>
    <row r="2361" customFormat="false" ht="15" hidden="false" customHeight="false" outlineLevel="0" collapsed="false">
      <c r="A2361" s="3" t="s">
        <v>361</v>
      </c>
      <c r="B2361" s="4" t="s">
        <v>50</v>
      </c>
      <c r="C2361" s="4" t="n">
        <v>4</v>
      </c>
      <c r="D2361" s="4" t="s">
        <v>22</v>
      </c>
      <c r="E2361" s="3" t="s">
        <v>341</v>
      </c>
      <c r="F2361" s="4" t="str">
        <f aca="false">IF(I2361&gt;J2361,"Y","N")</f>
        <v>N</v>
      </c>
      <c r="G2361" s="3" t="s">
        <v>285</v>
      </c>
      <c r="H2361" s="3" t="s">
        <v>34</v>
      </c>
      <c r="I2361" s="4" t="n">
        <v>1</v>
      </c>
      <c r="J2361" s="4" t="n">
        <f aca="false">LEN(E2361)-LEN(SUBSTITUTE(E2361,",",""))+1</f>
        <v>1</v>
      </c>
      <c r="K2361" s="3" t="str">
        <f aca="false">IFERROR(INDEX('Teacher Lookup'!$B$2:$B$200,MATCH(A2361,'Teacher Lookup'!$A$2:$A$200,0)),"")</f>
        <v>SO Cherry</v>
      </c>
    </row>
    <row r="2362" customFormat="false" ht="15" hidden="false" customHeight="false" outlineLevel="0" collapsed="false">
      <c r="A2362" s="3" t="s">
        <v>361</v>
      </c>
      <c r="B2362" s="4" t="s">
        <v>50</v>
      </c>
      <c r="C2362" s="4" t="n">
        <v>6</v>
      </c>
      <c r="D2362" s="4" t="s">
        <v>70</v>
      </c>
      <c r="E2362" s="3" t="s">
        <v>108</v>
      </c>
      <c r="F2362" s="4" t="str">
        <f aca="false">IF(I2362&gt;J2362,"Y","N")</f>
        <v>N</v>
      </c>
      <c r="G2362" s="3" t="s">
        <v>285</v>
      </c>
      <c r="H2362" s="3" t="s">
        <v>42</v>
      </c>
      <c r="I2362" s="4" t="n">
        <v>1</v>
      </c>
      <c r="J2362" s="4" t="n">
        <f aca="false">LEN(E2362)-LEN(SUBSTITUTE(E2362,",",""))+1</f>
        <v>1</v>
      </c>
      <c r="K2362" s="3" t="str">
        <f aca="false">IFERROR(INDEX('Teacher Lookup'!$B$2:$B$200,MATCH(A2362,'Teacher Lookup'!$A$2:$A$200,0)),"")</f>
        <v>SO Cherry</v>
      </c>
    </row>
    <row r="2363" customFormat="false" ht="15" hidden="false" customHeight="false" outlineLevel="0" collapsed="false">
      <c r="A2363" s="3" t="s">
        <v>361</v>
      </c>
      <c r="B2363" s="4" t="s">
        <v>60</v>
      </c>
      <c r="C2363" s="4" t="n">
        <v>1</v>
      </c>
      <c r="D2363" s="4" t="s">
        <v>28</v>
      </c>
      <c r="E2363" s="3" t="s">
        <v>362</v>
      </c>
      <c r="F2363" s="4" t="str">
        <f aca="false">IF(I2363&gt;J2363,"Y","N")</f>
        <v>N</v>
      </c>
      <c r="G2363" s="3" t="s">
        <v>287</v>
      </c>
      <c r="H2363" s="3" t="s">
        <v>16</v>
      </c>
      <c r="I2363" s="4" t="n">
        <v>1</v>
      </c>
      <c r="J2363" s="4" t="n">
        <f aca="false">LEN(E2363)-LEN(SUBSTITUTE(E2363,",",""))+1</f>
        <v>1</v>
      </c>
      <c r="K2363" s="3" t="str">
        <f aca="false">IFERROR(INDEX('Teacher Lookup'!$B$2:$B$200,MATCH(A2363,'Teacher Lookup'!$A$2:$A$200,0)),"")</f>
        <v>SO Cherry</v>
      </c>
    </row>
    <row r="2364" customFormat="false" ht="15" hidden="false" customHeight="false" outlineLevel="0" collapsed="false">
      <c r="A2364" s="3" t="s">
        <v>361</v>
      </c>
      <c r="B2364" s="4" t="s">
        <v>60</v>
      </c>
      <c r="C2364" s="4" t="n">
        <v>2</v>
      </c>
      <c r="D2364" s="4" t="s">
        <v>78</v>
      </c>
      <c r="E2364" s="3" t="s">
        <v>135</v>
      </c>
      <c r="F2364" s="4" t="str">
        <f aca="false">IF(I2364&gt;J2364,"Y","N")</f>
        <v>N</v>
      </c>
      <c r="G2364" s="3" t="s">
        <v>285</v>
      </c>
      <c r="H2364" s="3" t="s">
        <v>21</v>
      </c>
      <c r="I2364" s="4" t="n">
        <v>1</v>
      </c>
      <c r="J2364" s="4" t="n">
        <f aca="false">LEN(E2364)-LEN(SUBSTITUTE(E2364,",",""))+1</f>
        <v>1</v>
      </c>
      <c r="K2364" s="3" t="str">
        <f aca="false">IFERROR(INDEX('Teacher Lookup'!$B$2:$B$200,MATCH(A2364,'Teacher Lookup'!$A$2:$A$200,0)),"")</f>
        <v>SO Cherry</v>
      </c>
    </row>
    <row r="2365" customFormat="false" ht="15" hidden="false" customHeight="false" outlineLevel="0" collapsed="false">
      <c r="A2365" s="3" t="s">
        <v>361</v>
      </c>
      <c r="B2365" s="4" t="s">
        <v>60</v>
      </c>
      <c r="C2365" s="4" t="n">
        <v>3</v>
      </c>
      <c r="D2365" s="4" t="s">
        <v>13</v>
      </c>
      <c r="E2365" s="3" t="s">
        <v>351</v>
      </c>
      <c r="F2365" s="4" t="str">
        <f aca="false">IF(I2365&gt;J2365,"Y","N")</f>
        <v>N</v>
      </c>
      <c r="G2365" s="3" t="s">
        <v>285</v>
      </c>
      <c r="H2365" s="3" t="s">
        <v>26</v>
      </c>
      <c r="I2365" s="4" t="n">
        <v>1</v>
      </c>
      <c r="J2365" s="4" t="n">
        <f aca="false">LEN(E2365)-LEN(SUBSTITUTE(E2365,",",""))+1</f>
        <v>1</v>
      </c>
      <c r="K2365" s="3" t="str">
        <f aca="false">IFERROR(INDEX('Teacher Lookup'!$B$2:$B$200,MATCH(A2365,'Teacher Lookup'!$A$2:$A$200,0)),"")</f>
        <v>SO Cherry</v>
      </c>
    </row>
    <row r="2366" customFormat="false" ht="15" hidden="false" customHeight="false" outlineLevel="0" collapsed="false">
      <c r="A2366" s="3" t="s">
        <v>361</v>
      </c>
      <c r="B2366" s="4" t="s">
        <v>60</v>
      </c>
      <c r="C2366" s="4" t="n">
        <v>5</v>
      </c>
      <c r="D2366" s="4" t="s">
        <v>24</v>
      </c>
      <c r="E2366" s="3" t="s">
        <v>131</v>
      </c>
      <c r="F2366" s="4" t="str">
        <f aca="false">IF(I2366&gt;J2366,"Y","N")</f>
        <v>Y</v>
      </c>
      <c r="G2366" s="3" t="s">
        <v>36</v>
      </c>
      <c r="H2366" s="3" t="s">
        <v>37</v>
      </c>
      <c r="I2366" s="4" t="n">
        <v>15</v>
      </c>
      <c r="J2366" s="4" t="n">
        <f aca="false">LEN(E2366)-LEN(SUBSTITUTE(E2366,",",""))+1</f>
        <v>7</v>
      </c>
      <c r="K2366" s="3" t="str">
        <f aca="false">IFERROR(INDEX('Teacher Lookup'!$B$2:$B$200,MATCH(A2366,'Teacher Lookup'!$A$2:$A$200,0)),"")</f>
        <v>SO Cherry</v>
      </c>
    </row>
    <row r="2367" customFormat="false" ht="15" hidden="false" customHeight="false" outlineLevel="0" collapsed="false">
      <c r="A2367" s="3" t="s">
        <v>361</v>
      </c>
      <c r="B2367" s="4" t="s">
        <v>60</v>
      </c>
      <c r="C2367" s="4" t="n">
        <v>5</v>
      </c>
      <c r="D2367" s="4" t="s">
        <v>132</v>
      </c>
      <c r="E2367" s="3" t="s">
        <v>131</v>
      </c>
      <c r="F2367" s="4" t="str">
        <f aca="false">IF(I2367&gt;J2367,"Y","N")</f>
        <v>Y</v>
      </c>
      <c r="G2367" s="3" t="s">
        <v>36</v>
      </c>
      <c r="H2367" s="3" t="s">
        <v>37</v>
      </c>
      <c r="I2367" s="4" t="n">
        <v>15</v>
      </c>
      <c r="J2367" s="4" t="n">
        <f aca="false">LEN(E2367)-LEN(SUBSTITUTE(E2367,",",""))+1</f>
        <v>7</v>
      </c>
      <c r="K2367" s="3" t="str">
        <f aca="false">IFERROR(INDEX('Teacher Lookup'!$B$2:$B$200,MATCH(A2367,'Teacher Lookup'!$A$2:$A$200,0)),"")</f>
        <v>SO Cherry</v>
      </c>
    </row>
    <row r="2368" customFormat="false" ht="15" hidden="false" customHeight="false" outlineLevel="0" collapsed="false">
      <c r="A2368" s="3" t="s">
        <v>361</v>
      </c>
      <c r="B2368" s="4" t="s">
        <v>60</v>
      </c>
      <c r="C2368" s="4" t="n">
        <v>5</v>
      </c>
      <c r="D2368" s="4" t="s">
        <v>27</v>
      </c>
      <c r="E2368" s="3" t="s">
        <v>131</v>
      </c>
      <c r="F2368" s="4" t="str">
        <f aca="false">IF(I2368&gt;J2368,"Y","N")</f>
        <v>Y</v>
      </c>
      <c r="G2368" s="3" t="s">
        <v>36</v>
      </c>
      <c r="H2368" s="3" t="s">
        <v>37</v>
      </c>
      <c r="I2368" s="4" t="n">
        <v>15</v>
      </c>
      <c r="J2368" s="4" t="n">
        <f aca="false">LEN(E2368)-LEN(SUBSTITUTE(E2368,",",""))+1</f>
        <v>7</v>
      </c>
      <c r="K2368" s="3" t="str">
        <f aca="false">IFERROR(INDEX('Teacher Lookup'!$B$2:$B$200,MATCH(A2368,'Teacher Lookup'!$A$2:$A$200,0)),"")</f>
        <v>SO Cherry</v>
      </c>
    </row>
    <row r="2369" customFormat="false" ht="15" hidden="false" customHeight="false" outlineLevel="0" collapsed="false">
      <c r="A2369" s="3" t="s">
        <v>361</v>
      </c>
      <c r="B2369" s="4" t="s">
        <v>60</v>
      </c>
      <c r="C2369" s="4" t="n">
        <v>5</v>
      </c>
      <c r="D2369" s="4" t="s">
        <v>28</v>
      </c>
      <c r="E2369" s="3" t="s">
        <v>131</v>
      </c>
      <c r="F2369" s="4" t="str">
        <f aca="false">IF(I2369&gt;J2369,"Y","N")</f>
        <v>Y</v>
      </c>
      <c r="G2369" s="3" t="s">
        <v>36</v>
      </c>
      <c r="H2369" s="3" t="s">
        <v>37</v>
      </c>
      <c r="I2369" s="4" t="n">
        <v>15</v>
      </c>
      <c r="J2369" s="4" t="n">
        <f aca="false">LEN(E2369)-LEN(SUBSTITUTE(E2369,",",""))+1</f>
        <v>7</v>
      </c>
      <c r="K2369" s="3" t="str">
        <f aca="false">IFERROR(INDEX('Teacher Lookup'!$B$2:$B$200,MATCH(A2369,'Teacher Lookup'!$A$2:$A$200,0)),"")</f>
        <v>SO Cherry</v>
      </c>
    </row>
    <row r="2370" customFormat="false" ht="15" hidden="false" customHeight="false" outlineLevel="0" collapsed="false">
      <c r="A2370" s="3" t="s">
        <v>361</v>
      </c>
      <c r="B2370" s="4" t="s">
        <v>60</v>
      </c>
      <c r="C2370" s="4" t="n">
        <v>5</v>
      </c>
      <c r="D2370" s="4" t="s">
        <v>29</v>
      </c>
      <c r="E2370" s="3" t="s">
        <v>131</v>
      </c>
      <c r="F2370" s="4" t="str">
        <f aca="false">IF(I2370&gt;J2370,"Y","N")</f>
        <v>Y</v>
      </c>
      <c r="G2370" s="3" t="s">
        <v>36</v>
      </c>
      <c r="H2370" s="3" t="s">
        <v>37</v>
      </c>
      <c r="I2370" s="4" t="n">
        <v>15</v>
      </c>
      <c r="J2370" s="4" t="n">
        <f aca="false">LEN(E2370)-LEN(SUBSTITUTE(E2370,",",""))+1</f>
        <v>7</v>
      </c>
      <c r="K2370" s="3" t="str">
        <f aca="false">IFERROR(INDEX('Teacher Lookup'!$B$2:$B$200,MATCH(A2370,'Teacher Lookup'!$A$2:$A$200,0)),"")</f>
        <v>SO Cherry</v>
      </c>
    </row>
    <row r="2371" customFormat="false" ht="15" hidden="false" customHeight="false" outlineLevel="0" collapsed="false">
      <c r="A2371" s="3" t="s">
        <v>361</v>
      </c>
      <c r="B2371" s="4" t="s">
        <v>60</v>
      </c>
      <c r="C2371" s="4" t="n">
        <v>5</v>
      </c>
      <c r="D2371" s="4" t="s">
        <v>30</v>
      </c>
      <c r="E2371" s="3" t="s">
        <v>131</v>
      </c>
      <c r="F2371" s="4" t="str">
        <f aca="false">IF(I2371&gt;J2371,"Y","N")</f>
        <v>Y</v>
      </c>
      <c r="G2371" s="3" t="s">
        <v>36</v>
      </c>
      <c r="H2371" s="3" t="s">
        <v>37</v>
      </c>
      <c r="I2371" s="4" t="n">
        <v>15</v>
      </c>
      <c r="J2371" s="4" t="n">
        <f aca="false">LEN(E2371)-LEN(SUBSTITUTE(E2371,",",""))+1</f>
        <v>7</v>
      </c>
      <c r="K2371" s="3" t="str">
        <f aca="false">IFERROR(INDEX('Teacher Lookup'!$B$2:$B$200,MATCH(A2371,'Teacher Lookup'!$A$2:$A$200,0)),"")</f>
        <v>SO Cherry</v>
      </c>
    </row>
    <row r="2372" customFormat="false" ht="15" hidden="false" customHeight="false" outlineLevel="0" collapsed="false">
      <c r="A2372" s="3" t="s">
        <v>361</v>
      </c>
      <c r="B2372" s="4" t="s">
        <v>63</v>
      </c>
      <c r="C2372" s="4" t="n">
        <v>3</v>
      </c>
      <c r="D2372" s="4" t="s">
        <v>27</v>
      </c>
      <c r="E2372" s="3" t="s">
        <v>363</v>
      </c>
      <c r="F2372" s="4" t="str">
        <f aca="false">IF(I2372&gt;J2372,"Y","N")</f>
        <v>N</v>
      </c>
      <c r="G2372" s="3" t="s">
        <v>287</v>
      </c>
      <c r="H2372" s="3" t="s">
        <v>26</v>
      </c>
      <c r="I2372" s="4" t="n">
        <v>1</v>
      </c>
      <c r="J2372" s="4" t="n">
        <f aca="false">LEN(E2372)-LEN(SUBSTITUTE(E2372,",",""))+1</f>
        <v>1</v>
      </c>
      <c r="K2372" s="3" t="str">
        <f aca="false">IFERROR(INDEX('Teacher Lookup'!$B$2:$B$200,MATCH(A2372,'Teacher Lookup'!$A$2:$A$200,0)),"")</f>
        <v>SO Cherry</v>
      </c>
    </row>
    <row r="2373" customFormat="false" ht="15" hidden="false" customHeight="false" outlineLevel="0" collapsed="false">
      <c r="A2373" s="3" t="s">
        <v>361</v>
      </c>
      <c r="B2373" s="4" t="s">
        <v>63</v>
      </c>
      <c r="C2373" s="4" t="n">
        <v>4</v>
      </c>
      <c r="D2373" s="4" t="s">
        <v>70</v>
      </c>
      <c r="E2373" s="3" t="s">
        <v>213</v>
      </c>
      <c r="F2373" s="4" t="str">
        <f aca="false">IF(I2373&gt;J2373,"Y","N")</f>
        <v>Y</v>
      </c>
      <c r="G2373" s="3" t="s">
        <v>214</v>
      </c>
      <c r="H2373" s="3" t="s">
        <v>34</v>
      </c>
      <c r="I2373" s="4" t="n">
        <v>20</v>
      </c>
      <c r="J2373" s="4" t="n">
        <f aca="false">LEN(E2373)-LEN(SUBSTITUTE(E2373,",",""))+1</f>
        <v>6</v>
      </c>
      <c r="K2373" s="3" t="str">
        <f aca="false">IFERROR(INDEX('Teacher Lookup'!$B$2:$B$200,MATCH(A2373,'Teacher Lookup'!$A$2:$A$200,0)),"")</f>
        <v>SO Cherry</v>
      </c>
    </row>
    <row r="2374" customFormat="false" ht="15" hidden="false" customHeight="false" outlineLevel="0" collapsed="false">
      <c r="A2374" s="3" t="s">
        <v>361</v>
      </c>
      <c r="B2374" s="4" t="s">
        <v>63</v>
      </c>
      <c r="C2374" s="4" t="n">
        <v>4</v>
      </c>
      <c r="D2374" s="4" t="s">
        <v>73</v>
      </c>
      <c r="E2374" s="3" t="s">
        <v>213</v>
      </c>
      <c r="F2374" s="4" t="str">
        <f aca="false">IF(I2374&gt;J2374,"Y","N")</f>
        <v>Y</v>
      </c>
      <c r="G2374" s="3" t="s">
        <v>214</v>
      </c>
      <c r="H2374" s="3" t="s">
        <v>34</v>
      </c>
      <c r="I2374" s="4" t="n">
        <v>20</v>
      </c>
      <c r="J2374" s="4" t="n">
        <f aca="false">LEN(E2374)-LEN(SUBSTITUTE(E2374,",",""))+1</f>
        <v>6</v>
      </c>
      <c r="K2374" s="3" t="str">
        <f aca="false">IFERROR(INDEX('Teacher Lookup'!$B$2:$B$200,MATCH(A2374,'Teacher Lookup'!$A$2:$A$200,0)),"")</f>
        <v>SO Cherry</v>
      </c>
    </row>
    <row r="2375" customFormat="false" ht="15" hidden="false" customHeight="false" outlineLevel="0" collapsed="false">
      <c r="A2375" s="3" t="s">
        <v>361</v>
      </c>
      <c r="B2375" s="4" t="s">
        <v>63</v>
      </c>
      <c r="C2375" s="4" t="n">
        <v>4</v>
      </c>
      <c r="D2375" s="4" t="s">
        <v>74</v>
      </c>
      <c r="E2375" s="3" t="s">
        <v>213</v>
      </c>
      <c r="F2375" s="4" t="str">
        <f aca="false">IF(I2375&gt;J2375,"Y","N")</f>
        <v>Y</v>
      </c>
      <c r="G2375" s="3" t="s">
        <v>214</v>
      </c>
      <c r="H2375" s="3" t="s">
        <v>34</v>
      </c>
      <c r="I2375" s="4" t="n">
        <v>20</v>
      </c>
      <c r="J2375" s="4" t="n">
        <f aca="false">LEN(E2375)-LEN(SUBSTITUTE(E2375,",",""))+1</f>
        <v>6</v>
      </c>
      <c r="K2375" s="3" t="str">
        <f aca="false">IFERROR(INDEX('Teacher Lookup'!$B$2:$B$200,MATCH(A2375,'Teacher Lookup'!$A$2:$A$200,0)),"")</f>
        <v>SO Cherry</v>
      </c>
    </row>
    <row r="2376" customFormat="false" ht="15" hidden="false" customHeight="false" outlineLevel="0" collapsed="false">
      <c r="A2376" s="3" t="s">
        <v>361</v>
      </c>
      <c r="B2376" s="4" t="s">
        <v>63</v>
      </c>
      <c r="C2376" s="4" t="n">
        <v>4</v>
      </c>
      <c r="D2376" s="4" t="s">
        <v>76</v>
      </c>
      <c r="E2376" s="3" t="s">
        <v>213</v>
      </c>
      <c r="F2376" s="4" t="str">
        <f aca="false">IF(I2376&gt;J2376,"Y","N")</f>
        <v>Y</v>
      </c>
      <c r="G2376" s="3" t="s">
        <v>214</v>
      </c>
      <c r="H2376" s="3" t="s">
        <v>34</v>
      </c>
      <c r="I2376" s="4" t="n">
        <v>20</v>
      </c>
      <c r="J2376" s="4" t="n">
        <f aca="false">LEN(E2376)-LEN(SUBSTITUTE(E2376,",",""))+1</f>
        <v>6</v>
      </c>
      <c r="K2376" s="3" t="str">
        <f aca="false">IFERROR(INDEX('Teacher Lookup'!$B$2:$B$200,MATCH(A2376,'Teacher Lookup'!$A$2:$A$200,0)),"")</f>
        <v>SO Cherry</v>
      </c>
    </row>
    <row r="2377" customFormat="false" ht="15" hidden="false" customHeight="false" outlineLevel="0" collapsed="false">
      <c r="A2377" s="3" t="s">
        <v>361</v>
      </c>
      <c r="B2377" s="4" t="s">
        <v>63</v>
      </c>
      <c r="C2377" s="4" t="n">
        <v>4</v>
      </c>
      <c r="D2377" s="4" t="s">
        <v>78</v>
      </c>
      <c r="E2377" s="3" t="s">
        <v>213</v>
      </c>
      <c r="F2377" s="4" t="str">
        <f aca="false">IF(I2377&gt;J2377,"Y","N")</f>
        <v>Y</v>
      </c>
      <c r="G2377" s="3" t="s">
        <v>214</v>
      </c>
      <c r="H2377" s="3" t="s">
        <v>34</v>
      </c>
      <c r="I2377" s="4" t="n">
        <v>20</v>
      </c>
      <c r="J2377" s="4" t="n">
        <f aca="false">LEN(E2377)-LEN(SUBSTITUTE(E2377,",",""))+1</f>
        <v>6</v>
      </c>
      <c r="K2377" s="3" t="str">
        <f aca="false">IFERROR(INDEX('Teacher Lookup'!$B$2:$B$200,MATCH(A2377,'Teacher Lookup'!$A$2:$A$200,0)),"")</f>
        <v>SO Cherry</v>
      </c>
    </row>
    <row r="2378" customFormat="false" ht="15" hidden="false" customHeight="false" outlineLevel="0" collapsed="false">
      <c r="A2378" s="3" t="s">
        <v>361</v>
      </c>
      <c r="B2378" s="4" t="s">
        <v>63</v>
      </c>
      <c r="C2378" s="4" t="n">
        <v>4</v>
      </c>
      <c r="D2378" s="4" t="s">
        <v>79</v>
      </c>
      <c r="E2378" s="3" t="s">
        <v>213</v>
      </c>
      <c r="F2378" s="4" t="str">
        <f aca="false">IF(I2378&gt;J2378,"Y","N")</f>
        <v>Y</v>
      </c>
      <c r="G2378" s="3" t="s">
        <v>214</v>
      </c>
      <c r="H2378" s="3" t="s">
        <v>34</v>
      </c>
      <c r="I2378" s="4" t="n">
        <v>20</v>
      </c>
      <c r="J2378" s="4" t="n">
        <f aca="false">LEN(E2378)-LEN(SUBSTITUTE(E2378,",",""))+1</f>
        <v>6</v>
      </c>
      <c r="K2378" s="3" t="str">
        <f aca="false">IFERROR(INDEX('Teacher Lookup'!$B$2:$B$200,MATCH(A2378,'Teacher Lookup'!$A$2:$A$200,0)),"")</f>
        <v>SO Cherry</v>
      </c>
    </row>
    <row r="2379" customFormat="false" ht="15" hidden="false" customHeight="false" outlineLevel="0" collapsed="false">
      <c r="A2379" s="3" t="s">
        <v>361</v>
      </c>
      <c r="B2379" s="4" t="s">
        <v>63</v>
      </c>
      <c r="C2379" s="4" t="n">
        <v>5</v>
      </c>
      <c r="D2379" s="4" t="s">
        <v>70</v>
      </c>
      <c r="E2379" s="3" t="s">
        <v>213</v>
      </c>
      <c r="F2379" s="4" t="str">
        <f aca="false">IF(I2379&gt;J2379,"Y","N")</f>
        <v>Y</v>
      </c>
      <c r="G2379" s="3" t="s">
        <v>214</v>
      </c>
      <c r="H2379" s="3" t="s">
        <v>37</v>
      </c>
      <c r="I2379" s="4" t="n">
        <v>20</v>
      </c>
      <c r="J2379" s="4" t="n">
        <f aca="false">LEN(E2379)-LEN(SUBSTITUTE(E2379,",",""))+1</f>
        <v>6</v>
      </c>
      <c r="K2379" s="3" t="str">
        <f aca="false">IFERROR(INDEX('Teacher Lookup'!$B$2:$B$200,MATCH(A2379,'Teacher Lookup'!$A$2:$A$200,0)),"")</f>
        <v>SO Cherry</v>
      </c>
    </row>
    <row r="2380" customFormat="false" ht="15" hidden="false" customHeight="false" outlineLevel="0" collapsed="false">
      <c r="A2380" s="3" t="s">
        <v>361</v>
      </c>
      <c r="B2380" s="4" t="s">
        <v>63</v>
      </c>
      <c r="C2380" s="4" t="n">
        <v>5</v>
      </c>
      <c r="D2380" s="4" t="s">
        <v>73</v>
      </c>
      <c r="E2380" s="3" t="s">
        <v>213</v>
      </c>
      <c r="F2380" s="4" t="str">
        <f aca="false">IF(I2380&gt;J2380,"Y","N")</f>
        <v>Y</v>
      </c>
      <c r="G2380" s="3" t="s">
        <v>214</v>
      </c>
      <c r="H2380" s="3" t="s">
        <v>37</v>
      </c>
      <c r="I2380" s="4" t="n">
        <v>20</v>
      </c>
      <c r="J2380" s="4" t="n">
        <f aca="false">LEN(E2380)-LEN(SUBSTITUTE(E2380,",",""))+1</f>
        <v>6</v>
      </c>
      <c r="K2380" s="3" t="str">
        <f aca="false">IFERROR(INDEX('Teacher Lookup'!$B$2:$B$200,MATCH(A2380,'Teacher Lookup'!$A$2:$A$200,0)),"")</f>
        <v>SO Cherry</v>
      </c>
    </row>
    <row r="2381" customFormat="false" ht="15" hidden="false" customHeight="false" outlineLevel="0" collapsed="false">
      <c r="A2381" s="3" t="s">
        <v>361</v>
      </c>
      <c r="B2381" s="4" t="s">
        <v>63</v>
      </c>
      <c r="C2381" s="4" t="n">
        <v>5</v>
      </c>
      <c r="D2381" s="4" t="s">
        <v>74</v>
      </c>
      <c r="E2381" s="3" t="s">
        <v>213</v>
      </c>
      <c r="F2381" s="4" t="str">
        <f aca="false">IF(I2381&gt;J2381,"Y","N")</f>
        <v>Y</v>
      </c>
      <c r="G2381" s="3" t="s">
        <v>214</v>
      </c>
      <c r="H2381" s="3" t="s">
        <v>37</v>
      </c>
      <c r="I2381" s="4" t="n">
        <v>20</v>
      </c>
      <c r="J2381" s="4" t="n">
        <f aca="false">LEN(E2381)-LEN(SUBSTITUTE(E2381,",",""))+1</f>
        <v>6</v>
      </c>
      <c r="K2381" s="3" t="str">
        <f aca="false">IFERROR(INDEX('Teacher Lookup'!$B$2:$B$200,MATCH(A2381,'Teacher Lookup'!$A$2:$A$200,0)),"")</f>
        <v>SO Cherry</v>
      </c>
    </row>
    <row r="2382" customFormat="false" ht="15" hidden="false" customHeight="false" outlineLevel="0" collapsed="false">
      <c r="A2382" s="3" t="s">
        <v>361</v>
      </c>
      <c r="B2382" s="4" t="s">
        <v>63</v>
      </c>
      <c r="C2382" s="4" t="n">
        <v>5</v>
      </c>
      <c r="D2382" s="4" t="s">
        <v>76</v>
      </c>
      <c r="E2382" s="3" t="s">
        <v>213</v>
      </c>
      <c r="F2382" s="4" t="str">
        <f aca="false">IF(I2382&gt;J2382,"Y","N")</f>
        <v>Y</v>
      </c>
      <c r="G2382" s="3" t="s">
        <v>214</v>
      </c>
      <c r="H2382" s="3" t="s">
        <v>37</v>
      </c>
      <c r="I2382" s="4" t="n">
        <v>20</v>
      </c>
      <c r="J2382" s="4" t="n">
        <f aca="false">LEN(E2382)-LEN(SUBSTITUTE(E2382,",",""))+1</f>
        <v>6</v>
      </c>
      <c r="K2382" s="3" t="str">
        <f aca="false">IFERROR(INDEX('Teacher Lookup'!$B$2:$B$200,MATCH(A2382,'Teacher Lookup'!$A$2:$A$200,0)),"")</f>
        <v>SO Cherry</v>
      </c>
    </row>
    <row r="2383" customFormat="false" ht="15" hidden="false" customHeight="false" outlineLevel="0" collapsed="false">
      <c r="A2383" s="3" t="s">
        <v>361</v>
      </c>
      <c r="B2383" s="4" t="s">
        <v>63</v>
      </c>
      <c r="C2383" s="4" t="n">
        <v>5</v>
      </c>
      <c r="D2383" s="4" t="s">
        <v>78</v>
      </c>
      <c r="E2383" s="3" t="s">
        <v>213</v>
      </c>
      <c r="F2383" s="4" t="str">
        <f aca="false">IF(I2383&gt;J2383,"Y","N")</f>
        <v>Y</v>
      </c>
      <c r="G2383" s="3" t="s">
        <v>214</v>
      </c>
      <c r="H2383" s="3" t="s">
        <v>37</v>
      </c>
      <c r="I2383" s="4" t="n">
        <v>20</v>
      </c>
      <c r="J2383" s="4" t="n">
        <f aca="false">LEN(E2383)-LEN(SUBSTITUTE(E2383,",",""))+1</f>
        <v>6</v>
      </c>
      <c r="K2383" s="3" t="str">
        <f aca="false">IFERROR(INDEX('Teacher Lookup'!$B$2:$B$200,MATCH(A2383,'Teacher Lookup'!$A$2:$A$200,0)),"")</f>
        <v>SO Cherry</v>
      </c>
    </row>
    <row r="2384" customFormat="false" ht="15" hidden="false" customHeight="false" outlineLevel="0" collapsed="false">
      <c r="A2384" s="3" t="s">
        <v>361</v>
      </c>
      <c r="B2384" s="4" t="s">
        <v>63</v>
      </c>
      <c r="C2384" s="4" t="n">
        <v>5</v>
      </c>
      <c r="D2384" s="4" t="s">
        <v>79</v>
      </c>
      <c r="E2384" s="3" t="s">
        <v>213</v>
      </c>
      <c r="F2384" s="4" t="str">
        <f aca="false">IF(I2384&gt;J2384,"Y","N")</f>
        <v>Y</v>
      </c>
      <c r="G2384" s="3" t="s">
        <v>214</v>
      </c>
      <c r="H2384" s="3" t="s">
        <v>37</v>
      </c>
      <c r="I2384" s="4" t="n">
        <v>20</v>
      </c>
      <c r="J2384" s="4" t="n">
        <f aca="false">LEN(E2384)-LEN(SUBSTITUTE(E2384,",",""))+1</f>
        <v>6</v>
      </c>
      <c r="K2384" s="3" t="str">
        <f aca="false">IFERROR(INDEX('Teacher Lookup'!$B$2:$B$200,MATCH(A2384,'Teacher Lookup'!$A$2:$A$200,0)),"")</f>
        <v>SO Cherry</v>
      </c>
    </row>
    <row r="2385" customFormat="false" ht="15" hidden="false" customHeight="false" outlineLevel="0" collapsed="false">
      <c r="A2385" s="3" t="s">
        <v>361</v>
      </c>
      <c r="B2385" s="4" t="s">
        <v>63</v>
      </c>
      <c r="C2385" s="4" t="n">
        <v>6</v>
      </c>
      <c r="D2385" s="4" t="s">
        <v>290</v>
      </c>
      <c r="E2385" s="3" t="s">
        <v>293</v>
      </c>
      <c r="F2385" s="4" t="str">
        <f aca="false">IF(I2385&gt;J2385,"Y","N")</f>
        <v>Y</v>
      </c>
      <c r="G2385" s="3" t="s">
        <v>287</v>
      </c>
      <c r="H2385" s="3" t="s">
        <v>42</v>
      </c>
      <c r="I2385" s="4" t="n">
        <v>2</v>
      </c>
      <c r="J2385" s="4" t="n">
        <f aca="false">LEN(E2385)-LEN(SUBSTITUTE(E2385,",",""))+1</f>
        <v>1</v>
      </c>
      <c r="K2385" s="3" t="str">
        <f aca="false">IFERROR(INDEX('Teacher Lookup'!$B$2:$B$200,MATCH(A2385,'Teacher Lookup'!$A$2:$A$200,0)),"")</f>
        <v>SO Cherry</v>
      </c>
    </row>
    <row r="2386" customFormat="false" ht="15" hidden="false" customHeight="false" outlineLevel="0" collapsed="false">
      <c r="A2386" s="3" t="s">
        <v>361</v>
      </c>
      <c r="B2386" s="4" t="s">
        <v>63</v>
      </c>
      <c r="C2386" s="4" t="n">
        <v>7</v>
      </c>
      <c r="D2386" s="4" t="s">
        <v>28</v>
      </c>
      <c r="E2386" s="3" t="s">
        <v>362</v>
      </c>
      <c r="F2386" s="4" t="str">
        <f aca="false">IF(I2386&gt;J2386,"Y","N")</f>
        <v>N</v>
      </c>
      <c r="G2386" s="3" t="s">
        <v>287</v>
      </c>
      <c r="H2386" s="3" t="s">
        <v>39</v>
      </c>
      <c r="I2386" s="4" t="n">
        <v>1</v>
      </c>
      <c r="J2386" s="4" t="n">
        <f aca="false">LEN(E2386)-LEN(SUBSTITUTE(E2386,",",""))+1</f>
        <v>1</v>
      </c>
      <c r="K2386" s="3" t="str">
        <f aca="false">IFERROR(INDEX('Teacher Lookup'!$B$2:$B$200,MATCH(A2386,'Teacher Lookup'!$A$2:$A$200,0)),"")</f>
        <v>SO Cherry</v>
      </c>
    </row>
    <row r="2387" customFormat="false" ht="15" hidden="false" customHeight="false" outlineLevel="0" collapsed="false">
      <c r="A2387" s="3" t="s">
        <v>361</v>
      </c>
      <c r="B2387" s="4" t="s">
        <v>65</v>
      </c>
      <c r="C2387" s="4" t="n">
        <v>4</v>
      </c>
      <c r="D2387" s="4" t="s">
        <v>78</v>
      </c>
      <c r="E2387" s="3" t="s">
        <v>135</v>
      </c>
      <c r="F2387" s="4" t="str">
        <f aca="false">IF(I2387&gt;J2387,"Y","N")</f>
        <v>N</v>
      </c>
      <c r="G2387" s="3" t="s">
        <v>285</v>
      </c>
      <c r="H2387" s="3" t="s">
        <v>34</v>
      </c>
      <c r="I2387" s="4" t="n">
        <v>1</v>
      </c>
      <c r="J2387" s="4" t="n">
        <f aca="false">LEN(E2387)-LEN(SUBSTITUTE(E2387,",",""))+1</f>
        <v>1</v>
      </c>
      <c r="K2387" s="3" t="str">
        <f aca="false">IFERROR(INDEX('Teacher Lookup'!$B$2:$B$200,MATCH(A2387,'Teacher Lookup'!$A$2:$A$200,0)),"")</f>
        <v>SO Cherry</v>
      </c>
    </row>
    <row r="2388" customFormat="false" ht="15" hidden="false" customHeight="false" outlineLevel="0" collapsed="false">
      <c r="A2388" s="3" t="s">
        <v>361</v>
      </c>
      <c r="B2388" s="4" t="s">
        <v>65</v>
      </c>
      <c r="C2388" s="4" t="n">
        <v>5</v>
      </c>
      <c r="D2388" s="4" t="s">
        <v>24</v>
      </c>
      <c r="E2388" s="3" t="s">
        <v>131</v>
      </c>
      <c r="F2388" s="4" t="str">
        <f aca="false">IF(I2388&gt;J2388,"Y","N")</f>
        <v>Y</v>
      </c>
      <c r="G2388" s="3" t="s">
        <v>36</v>
      </c>
      <c r="H2388" s="3" t="s">
        <v>37</v>
      </c>
      <c r="I2388" s="4" t="n">
        <v>15</v>
      </c>
      <c r="J2388" s="4" t="n">
        <f aca="false">LEN(E2388)-LEN(SUBSTITUTE(E2388,",",""))+1</f>
        <v>7</v>
      </c>
      <c r="K2388" s="3" t="str">
        <f aca="false">IFERROR(INDEX('Teacher Lookup'!$B$2:$B$200,MATCH(A2388,'Teacher Lookup'!$A$2:$A$200,0)),"")</f>
        <v>SO Cherry</v>
      </c>
    </row>
    <row r="2389" customFormat="false" ht="15" hidden="false" customHeight="false" outlineLevel="0" collapsed="false">
      <c r="A2389" s="3" t="s">
        <v>361</v>
      </c>
      <c r="B2389" s="4" t="s">
        <v>65</v>
      </c>
      <c r="C2389" s="4" t="n">
        <v>5</v>
      </c>
      <c r="D2389" s="4" t="s">
        <v>132</v>
      </c>
      <c r="E2389" s="3" t="s">
        <v>131</v>
      </c>
      <c r="F2389" s="4" t="str">
        <f aca="false">IF(I2389&gt;J2389,"Y","N")</f>
        <v>Y</v>
      </c>
      <c r="G2389" s="3" t="s">
        <v>36</v>
      </c>
      <c r="H2389" s="3" t="s">
        <v>37</v>
      </c>
      <c r="I2389" s="4" t="n">
        <v>15</v>
      </c>
      <c r="J2389" s="4" t="n">
        <f aca="false">LEN(E2389)-LEN(SUBSTITUTE(E2389,",",""))+1</f>
        <v>7</v>
      </c>
      <c r="K2389" s="3" t="str">
        <f aca="false">IFERROR(INDEX('Teacher Lookup'!$B$2:$B$200,MATCH(A2389,'Teacher Lookup'!$A$2:$A$200,0)),"")</f>
        <v>SO Cherry</v>
      </c>
    </row>
    <row r="2390" customFormat="false" ht="15" hidden="false" customHeight="false" outlineLevel="0" collapsed="false">
      <c r="A2390" s="3" t="s">
        <v>361</v>
      </c>
      <c r="B2390" s="4" t="s">
        <v>65</v>
      </c>
      <c r="C2390" s="4" t="n">
        <v>5</v>
      </c>
      <c r="D2390" s="4" t="s">
        <v>27</v>
      </c>
      <c r="E2390" s="3" t="s">
        <v>131</v>
      </c>
      <c r="F2390" s="4" t="str">
        <f aca="false">IF(I2390&gt;J2390,"Y","N")</f>
        <v>Y</v>
      </c>
      <c r="G2390" s="3" t="s">
        <v>36</v>
      </c>
      <c r="H2390" s="3" t="s">
        <v>37</v>
      </c>
      <c r="I2390" s="4" t="n">
        <v>15</v>
      </c>
      <c r="J2390" s="4" t="n">
        <f aca="false">LEN(E2390)-LEN(SUBSTITUTE(E2390,",",""))+1</f>
        <v>7</v>
      </c>
      <c r="K2390" s="3" t="str">
        <f aca="false">IFERROR(INDEX('Teacher Lookup'!$B$2:$B$200,MATCH(A2390,'Teacher Lookup'!$A$2:$A$200,0)),"")</f>
        <v>SO Cherry</v>
      </c>
    </row>
    <row r="2391" customFormat="false" ht="15" hidden="false" customHeight="false" outlineLevel="0" collapsed="false">
      <c r="A2391" s="3" t="s">
        <v>361</v>
      </c>
      <c r="B2391" s="4" t="s">
        <v>65</v>
      </c>
      <c r="C2391" s="4" t="n">
        <v>5</v>
      </c>
      <c r="D2391" s="4" t="s">
        <v>28</v>
      </c>
      <c r="E2391" s="3" t="s">
        <v>131</v>
      </c>
      <c r="F2391" s="4" t="str">
        <f aca="false">IF(I2391&gt;J2391,"Y","N")</f>
        <v>Y</v>
      </c>
      <c r="G2391" s="3" t="s">
        <v>36</v>
      </c>
      <c r="H2391" s="3" t="s">
        <v>37</v>
      </c>
      <c r="I2391" s="4" t="n">
        <v>15</v>
      </c>
      <c r="J2391" s="4" t="n">
        <f aca="false">LEN(E2391)-LEN(SUBSTITUTE(E2391,",",""))+1</f>
        <v>7</v>
      </c>
      <c r="K2391" s="3" t="str">
        <f aca="false">IFERROR(INDEX('Teacher Lookup'!$B$2:$B$200,MATCH(A2391,'Teacher Lookup'!$A$2:$A$200,0)),"")</f>
        <v>SO Cherry</v>
      </c>
    </row>
    <row r="2392" customFormat="false" ht="15" hidden="false" customHeight="false" outlineLevel="0" collapsed="false">
      <c r="A2392" s="3" t="s">
        <v>361</v>
      </c>
      <c r="B2392" s="4" t="s">
        <v>65</v>
      </c>
      <c r="C2392" s="4" t="n">
        <v>5</v>
      </c>
      <c r="D2392" s="4" t="s">
        <v>29</v>
      </c>
      <c r="E2392" s="3" t="s">
        <v>131</v>
      </c>
      <c r="F2392" s="4" t="str">
        <f aca="false">IF(I2392&gt;J2392,"Y","N")</f>
        <v>Y</v>
      </c>
      <c r="G2392" s="3" t="s">
        <v>36</v>
      </c>
      <c r="H2392" s="3" t="s">
        <v>37</v>
      </c>
      <c r="I2392" s="4" t="n">
        <v>15</v>
      </c>
      <c r="J2392" s="4" t="n">
        <f aca="false">LEN(E2392)-LEN(SUBSTITUTE(E2392,",",""))+1</f>
        <v>7</v>
      </c>
      <c r="K2392" s="3" t="str">
        <f aca="false">IFERROR(INDEX('Teacher Lookup'!$B$2:$B$200,MATCH(A2392,'Teacher Lookup'!$A$2:$A$200,0)),"")</f>
        <v>SO Cherry</v>
      </c>
    </row>
    <row r="2393" customFormat="false" ht="15" hidden="false" customHeight="false" outlineLevel="0" collapsed="false">
      <c r="A2393" s="3" t="s">
        <v>361</v>
      </c>
      <c r="B2393" s="4" t="s">
        <v>65</v>
      </c>
      <c r="C2393" s="4" t="n">
        <v>5</v>
      </c>
      <c r="D2393" s="4" t="s">
        <v>30</v>
      </c>
      <c r="E2393" s="3" t="s">
        <v>131</v>
      </c>
      <c r="F2393" s="4" t="str">
        <f aca="false">IF(I2393&gt;J2393,"Y","N")</f>
        <v>Y</v>
      </c>
      <c r="G2393" s="3" t="s">
        <v>36</v>
      </c>
      <c r="H2393" s="3" t="s">
        <v>37</v>
      </c>
      <c r="I2393" s="4" t="n">
        <v>15</v>
      </c>
      <c r="J2393" s="4" t="n">
        <f aca="false">LEN(E2393)-LEN(SUBSTITUTE(E2393,",",""))+1</f>
        <v>7</v>
      </c>
      <c r="K2393" s="3" t="str">
        <f aca="false">IFERROR(INDEX('Teacher Lookup'!$B$2:$B$200,MATCH(A2393,'Teacher Lookup'!$A$2:$A$200,0)),"")</f>
        <v>SO Cherry</v>
      </c>
    </row>
    <row r="2394" customFormat="false" ht="15" hidden="false" customHeight="false" outlineLevel="0" collapsed="false">
      <c r="A2394" s="3" t="s">
        <v>361</v>
      </c>
      <c r="B2394" s="4" t="s">
        <v>65</v>
      </c>
      <c r="C2394" s="4" t="n">
        <v>6</v>
      </c>
      <c r="D2394" s="4" t="s">
        <v>22</v>
      </c>
      <c r="E2394" s="3" t="s">
        <v>341</v>
      </c>
      <c r="F2394" s="4" t="str">
        <f aca="false">IF(I2394&gt;J2394,"Y","N")</f>
        <v>N</v>
      </c>
      <c r="G2394" s="3" t="s">
        <v>285</v>
      </c>
      <c r="H2394" s="3" t="s">
        <v>42</v>
      </c>
      <c r="I2394" s="4" t="n">
        <v>1</v>
      </c>
      <c r="J2394" s="4" t="n">
        <f aca="false">LEN(E2394)-LEN(SUBSTITUTE(E2394,",",""))+1</f>
        <v>1</v>
      </c>
      <c r="K2394" s="3" t="str">
        <f aca="false">IFERROR(INDEX('Teacher Lookup'!$B$2:$B$200,MATCH(A2394,'Teacher Lookup'!$A$2:$A$200,0)),"")</f>
        <v>SO Cherry</v>
      </c>
    </row>
    <row r="2395" customFormat="false" ht="15" hidden="false" customHeight="false" outlineLevel="0" collapsed="false">
      <c r="A2395" s="3" t="s">
        <v>361</v>
      </c>
      <c r="B2395" s="4" t="s">
        <v>65</v>
      </c>
      <c r="C2395" s="4" t="n">
        <v>7</v>
      </c>
      <c r="D2395" s="4" t="s">
        <v>290</v>
      </c>
      <c r="E2395" s="3" t="s">
        <v>109</v>
      </c>
      <c r="F2395" s="4" t="str">
        <f aca="false">IF(I2395&gt;J2395,"Y","N")</f>
        <v>Y</v>
      </c>
      <c r="G2395" s="3" t="s">
        <v>287</v>
      </c>
      <c r="H2395" s="3" t="s">
        <v>39</v>
      </c>
      <c r="I2395" s="4" t="n">
        <v>2</v>
      </c>
      <c r="J2395" s="4" t="n">
        <f aca="false">LEN(E2395)-LEN(SUBSTITUTE(E2395,",",""))+1</f>
        <v>1</v>
      </c>
      <c r="K2395" s="3" t="str">
        <f aca="false">IFERROR(INDEX('Teacher Lookup'!$B$2:$B$200,MATCH(A2395,'Teacher Lookup'!$A$2:$A$200,0)),"")</f>
        <v>SO Cherry</v>
      </c>
    </row>
    <row r="2396" customFormat="false" ht="15" hidden="false" customHeight="false" outlineLevel="0" collapsed="false">
      <c r="A2396" s="3" t="s">
        <v>361</v>
      </c>
      <c r="B2396" s="4" t="s">
        <v>66</v>
      </c>
      <c r="C2396" s="4" t="n">
        <v>1</v>
      </c>
      <c r="D2396" s="4" t="s">
        <v>70</v>
      </c>
      <c r="E2396" s="3" t="s">
        <v>108</v>
      </c>
      <c r="F2396" s="4" t="str">
        <f aca="false">IF(I2396&gt;J2396,"Y","N")</f>
        <v>N</v>
      </c>
      <c r="G2396" s="3" t="s">
        <v>285</v>
      </c>
      <c r="H2396" s="3" t="s">
        <v>16</v>
      </c>
      <c r="I2396" s="4" t="n">
        <v>1</v>
      </c>
      <c r="J2396" s="4" t="n">
        <f aca="false">LEN(E2396)-LEN(SUBSTITUTE(E2396,",",""))+1</f>
        <v>1</v>
      </c>
      <c r="K2396" s="3" t="str">
        <f aca="false">IFERROR(INDEX('Teacher Lookup'!$B$2:$B$200,MATCH(A2396,'Teacher Lookup'!$A$2:$A$200,0)),"")</f>
        <v>SO Cherry</v>
      </c>
    </row>
    <row r="2397" customFormat="false" ht="15" hidden="false" customHeight="false" outlineLevel="0" collapsed="false">
      <c r="A2397" s="3" t="s">
        <v>361</v>
      </c>
      <c r="B2397" s="4" t="s">
        <v>66</v>
      </c>
      <c r="C2397" s="4" t="n">
        <v>4</v>
      </c>
      <c r="D2397" s="4" t="s">
        <v>28</v>
      </c>
      <c r="E2397" s="3" t="s">
        <v>362</v>
      </c>
      <c r="F2397" s="4" t="str">
        <f aca="false">IF(I2397&gt;J2397,"Y","N")</f>
        <v>N</v>
      </c>
      <c r="G2397" s="3" t="s">
        <v>287</v>
      </c>
      <c r="H2397" s="3" t="s">
        <v>34</v>
      </c>
      <c r="I2397" s="4" t="n">
        <v>1</v>
      </c>
      <c r="J2397" s="4" t="n">
        <f aca="false">LEN(E2397)-LEN(SUBSTITUTE(E2397,",",""))+1</f>
        <v>1</v>
      </c>
      <c r="K2397" s="3" t="str">
        <f aca="false">IFERROR(INDEX('Teacher Lookup'!$B$2:$B$200,MATCH(A2397,'Teacher Lookup'!$A$2:$A$200,0)),"")</f>
        <v>SO Cherry</v>
      </c>
    </row>
    <row r="2398" customFormat="false" ht="15" hidden="false" customHeight="false" outlineLevel="0" collapsed="false">
      <c r="A2398" s="3" t="s">
        <v>361</v>
      </c>
      <c r="B2398" s="4" t="s">
        <v>66</v>
      </c>
      <c r="C2398" s="4" t="n">
        <v>5</v>
      </c>
      <c r="D2398" s="4" t="s">
        <v>27</v>
      </c>
      <c r="E2398" s="3" t="s">
        <v>363</v>
      </c>
      <c r="F2398" s="4" t="str">
        <f aca="false">IF(I2398&gt;J2398,"Y","N")</f>
        <v>N</v>
      </c>
      <c r="G2398" s="3" t="s">
        <v>287</v>
      </c>
      <c r="H2398" s="3" t="s">
        <v>37</v>
      </c>
      <c r="I2398" s="4" t="n">
        <v>1</v>
      </c>
      <c r="J2398" s="4" t="n">
        <f aca="false">LEN(E2398)-LEN(SUBSTITUTE(E2398,",",""))+1</f>
        <v>1</v>
      </c>
      <c r="K2398" s="3" t="str">
        <f aca="false">IFERROR(INDEX('Teacher Lookup'!$B$2:$B$200,MATCH(A2398,'Teacher Lookup'!$A$2:$A$200,0)),"")</f>
        <v>SO Cherry</v>
      </c>
    </row>
    <row r="2399" customFormat="false" ht="15" hidden="false" customHeight="false" outlineLevel="0" collapsed="false">
      <c r="A2399" s="3" t="s">
        <v>364</v>
      </c>
      <c r="B2399" s="4" t="s">
        <v>12</v>
      </c>
      <c r="C2399" s="4" t="n">
        <v>2</v>
      </c>
      <c r="D2399" s="4" t="s">
        <v>140</v>
      </c>
      <c r="E2399" s="3" t="s">
        <v>141</v>
      </c>
      <c r="F2399" s="4" t="str">
        <f aca="false">IF(I2399&gt;J2399,"Y","N")</f>
        <v>N</v>
      </c>
      <c r="G2399" s="3" t="s">
        <v>72</v>
      </c>
      <c r="H2399" s="3" t="s">
        <v>21</v>
      </c>
      <c r="I2399" s="4" t="n">
        <v>4</v>
      </c>
      <c r="J2399" s="4" t="n">
        <f aca="false">LEN(E2399)-LEN(SUBSTITUTE(E2399,",",""))+1</f>
        <v>4</v>
      </c>
      <c r="K2399" s="3" t="str">
        <f aca="false">IFERROR(INDEX('Teacher Lookup'!$B$2:$B$200,MATCH(A2399,'Teacher Lookup'!$A$2:$A$200,0)),"")</f>
        <v>CHAN Clara</v>
      </c>
    </row>
    <row r="2400" customFormat="false" ht="15" hidden="false" customHeight="false" outlineLevel="0" collapsed="false">
      <c r="A2400" s="3" t="s">
        <v>364</v>
      </c>
      <c r="B2400" s="4" t="s">
        <v>12</v>
      </c>
      <c r="C2400" s="4" t="n">
        <v>2</v>
      </c>
      <c r="D2400" s="4" t="s">
        <v>142</v>
      </c>
      <c r="E2400" s="3" t="s">
        <v>141</v>
      </c>
      <c r="F2400" s="4" t="str">
        <f aca="false">IF(I2400&gt;J2400,"Y","N")</f>
        <v>N</v>
      </c>
      <c r="G2400" s="3" t="s">
        <v>72</v>
      </c>
      <c r="H2400" s="3" t="s">
        <v>21</v>
      </c>
      <c r="I2400" s="4" t="n">
        <v>4</v>
      </c>
      <c r="J2400" s="4" t="n">
        <f aca="false">LEN(E2400)-LEN(SUBSTITUTE(E2400,",",""))+1</f>
        <v>4</v>
      </c>
      <c r="K2400" s="3" t="str">
        <f aca="false">IFERROR(INDEX('Teacher Lookup'!$B$2:$B$200,MATCH(A2400,'Teacher Lookup'!$A$2:$A$200,0)),"")</f>
        <v>CHAN Clara</v>
      </c>
    </row>
    <row r="2401" customFormat="false" ht="15" hidden="false" customHeight="false" outlineLevel="0" collapsed="false">
      <c r="A2401" s="3" t="s">
        <v>364</v>
      </c>
      <c r="B2401" s="4" t="s">
        <v>12</v>
      </c>
      <c r="C2401" s="4" t="n">
        <v>2</v>
      </c>
      <c r="D2401" s="4" t="s">
        <v>127</v>
      </c>
      <c r="E2401" s="3" t="s">
        <v>141</v>
      </c>
      <c r="F2401" s="4" t="str">
        <f aca="false">IF(I2401&gt;J2401,"Y","N")</f>
        <v>N</v>
      </c>
      <c r="G2401" s="3" t="s">
        <v>72</v>
      </c>
      <c r="H2401" s="3" t="s">
        <v>21</v>
      </c>
      <c r="I2401" s="4" t="n">
        <v>4</v>
      </c>
      <c r="J2401" s="4" t="n">
        <f aca="false">LEN(E2401)-LEN(SUBSTITUTE(E2401,",",""))+1</f>
        <v>4</v>
      </c>
      <c r="K2401" s="3" t="str">
        <f aca="false">IFERROR(INDEX('Teacher Lookup'!$B$2:$B$200,MATCH(A2401,'Teacher Lookup'!$A$2:$A$200,0)),"")</f>
        <v>CHAN Clara</v>
      </c>
    </row>
    <row r="2402" customFormat="false" ht="15" hidden="false" customHeight="false" outlineLevel="0" collapsed="false">
      <c r="A2402" s="3" t="s">
        <v>364</v>
      </c>
      <c r="B2402" s="4" t="s">
        <v>12</v>
      </c>
      <c r="C2402" s="4" t="n">
        <v>4</v>
      </c>
      <c r="D2402" s="4" t="s">
        <v>24</v>
      </c>
      <c r="E2402" s="3" t="s">
        <v>75</v>
      </c>
      <c r="F2402" s="4" t="str">
        <f aca="false">IF(I2402&gt;J2402,"Y","N")</f>
        <v>N</v>
      </c>
      <c r="G2402" s="3" t="s">
        <v>72</v>
      </c>
      <c r="H2402" s="3" t="s">
        <v>34</v>
      </c>
      <c r="I2402" s="4" t="n">
        <v>3</v>
      </c>
      <c r="J2402" s="4" t="n">
        <f aca="false">LEN(E2402)-LEN(SUBSTITUTE(E2402,",",""))+1</f>
        <v>3</v>
      </c>
      <c r="K2402" s="3" t="str">
        <f aca="false">IFERROR(INDEX('Teacher Lookup'!$B$2:$B$200,MATCH(A2402,'Teacher Lookup'!$A$2:$A$200,0)),"")</f>
        <v>CHAN Clara</v>
      </c>
    </row>
    <row r="2403" customFormat="false" ht="15" hidden="false" customHeight="false" outlineLevel="0" collapsed="false">
      <c r="A2403" s="3" t="s">
        <v>364</v>
      </c>
      <c r="B2403" s="4" t="s">
        <v>12</v>
      </c>
      <c r="C2403" s="4" t="n">
        <v>4</v>
      </c>
      <c r="D2403" s="4" t="s">
        <v>27</v>
      </c>
      <c r="E2403" s="3" t="s">
        <v>75</v>
      </c>
      <c r="F2403" s="4" t="str">
        <f aca="false">IF(I2403&gt;J2403,"Y","N")</f>
        <v>N</v>
      </c>
      <c r="G2403" s="3" t="s">
        <v>72</v>
      </c>
      <c r="H2403" s="3" t="s">
        <v>34</v>
      </c>
      <c r="I2403" s="4" t="n">
        <v>3</v>
      </c>
      <c r="J2403" s="4" t="n">
        <f aca="false">LEN(E2403)-LEN(SUBSTITUTE(E2403,",",""))+1</f>
        <v>3</v>
      </c>
      <c r="K2403" s="3" t="str">
        <f aca="false">IFERROR(INDEX('Teacher Lookup'!$B$2:$B$200,MATCH(A2403,'Teacher Lookup'!$A$2:$A$200,0)),"")</f>
        <v>CHAN Clara</v>
      </c>
    </row>
    <row r="2404" customFormat="false" ht="15" hidden="false" customHeight="false" outlineLevel="0" collapsed="false">
      <c r="A2404" s="3" t="s">
        <v>364</v>
      </c>
      <c r="B2404" s="4" t="s">
        <v>12</v>
      </c>
      <c r="C2404" s="4" t="n">
        <v>5</v>
      </c>
      <c r="D2404" s="4" t="s">
        <v>24</v>
      </c>
      <c r="E2404" s="3" t="s">
        <v>75</v>
      </c>
      <c r="F2404" s="4" t="str">
        <f aca="false">IF(I2404&gt;J2404,"Y","N")</f>
        <v>N</v>
      </c>
      <c r="G2404" s="3" t="s">
        <v>72</v>
      </c>
      <c r="H2404" s="3" t="s">
        <v>37</v>
      </c>
      <c r="I2404" s="4" t="n">
        <v>3</v>
      </c>
      <c r="J2404" s="4" t="n">
        <f aca="false">LEN(E2404)-LEN(SUBSTITUTE(E2404,",",""))+1</f>
        <v>3</v>
      </c>
      <c r="K2404" s="3" t="str">
        <f aca="false">IFERROR(INDEX('Teacher Lookup'!$B$2:$B$200,MATCH(A2404,'Teacher Lookup'!$A$2:$A$200,0)),"")</f>
        <v>CHAN Clara</v>
      </c>
    </row>
    <row r="2405" customFormat="false" ht="15" hidden="false" customHeight="false" outlineLevel="0" collapsed="false">
      <c r="A2405" s="3" t="s">
        <v>364</v>
      </c>
      <c r="B2405" s="4" t="s">
        <v>12</v>
      </c>
      <c r="C2405" s="4" t="n">
        <v>5</v>
      </c>
      <c r="D2405" s="4" t="s">
        <v>27</v>
      </c>
      <c r="E2405" s="3" t="s">
        <v>75</v>
      </c>
      <c r="F2405" s="4" t="str">
        <f aca="false">IF(I2405&gt;J2405,"Y","N")</f>
        <v>N</v>
      </c>
      <c r="G2405" s="3" t="s">
        <v>72</v>
      </c>
      <c r="H2405" s="3" t="s">
        <v>37</v>
      </c>
      <c r="I2405" s="4" t="n">
        <v>3</v>
      </c>
      <c r="J2405" s="4" t="n">
        <f aca="false">LEN(E2405)-LEN(SUBSTITUTE(E2405,",",""))+1</f>
        <v>3</v>
      </c>
      <c r="K2405" s="3" t="str">
        <f aca="false">IFERROR(INDEX('Teacher Lookup'!$B$2:$B$200,MATCH(A2405,'Teacher Lookup'!$A$2:$A$200,0)),"")</f>
        <v>CHAN Clara</v>
      </c>
    </row>
    <row r="2406" customFormat="false" ht="15" hidden="false" customHeight="false" outlineLevel="0" collapsed="false">
      <c r="A2406" s="3" t="s">
        <v>364</v>
      </c>
      <c r="B2406" s="4" t="s">
        <v>31</v>
      </c>
      <c r="C2406" s="4" t="n">
        <v>3</v>
      </c>
      <c r="D2406" s="4" t="s">
        <v>140</v>
      </c>
      <c r="E2406" s="3" t="s">
        <v>144</v>
      </c>
      <c r="F2406" s="4" t="str">
        <f aca="false">IF(I2406&gt;J2406,"Y","N")</f>
        <v>N</v>
      </c>
      <c r="G2406" s="3" t="s">
        <v>72</v>
      </c>
      <c r="H2406" s="3" t="s">
        <v>26</v>
      </c>
      <c r="I2406" s="4" t="n">
        <v>4</v>
      </c>
      <c r="J2406" s="4" t="n">
        <f aca="false">LEN(E2406)-LEN(SUBSTITUTE(E2406,",",""))+1</f>
        <v>4</v>
      </c>
      <c r="K2406" s="3" t="str">
        <f aca="false">IFERROR(INDEX('Teacher Lookup'!$B$2:$B$200,MATCH(A2406,'Teacher Lookup'!$A$2:$A$200,0)),"")</f>
        <v>CHAN Clara</v>
      </c>
    </row>
    <row r="2407" customFormat="false" ht="15" hidden="false" customHeight="false" outlineLevel="0" collapsed="false">
      <c r="A2407" s="3" t="s">
        <v>364</v>
      </c>
      <c r="B2407" s="4" t="s">
        <v>31</v>
      </c>
      <c r="C2407" s="4" t="n">
        <v>3</v>
      </c>
      <c r="D2407" s="4" t="s">
        <v>142</v>
      </c>
      <c r="E2407" s="3" t="s">
        <v>144</v>
      </c>
      <c r="F2407" s="4" t="str">
        <f aca="false">IF(I2407&gt;J2407,"Y","N")</f>
        <v>N</v>
      </c>
      <c r="G2407" s="3" t="s">
        <v>72</v>
      </c>
      <c r="H2407" s="3" t="s">
        <v>26</v>
      </c>
      <c r="I2407" s="4" t="n">
        <v>4</v>
      </c>
      <c r="J2407" s="4" t="n">
        <f aca="false">LEN(E2407)-LEN(SUBSTITUTE(E2407,",",""))+1</f>
        <v>4</v>
      </c>
      <c r="K2407" s="3" t="str">
        <f aca="false">IFERROR(INDEX('Teacher Lookup'!$B$2:$B$200,MATCH(A2407,'Teacher Lookup'!$A$2:$A$200,0)),"")</f>
        <v>CHAN Clara</v>
      </c>
    </row>
    <row r="2408" customFormat="false" ht="15" hidden="false" customHeight="false" outlineLevel="0" collapsed="false">
      <c r="A2408" s="3" t="s">
        <v>364</v>
      </c>
      <c r="B2408" s="4" t="s">
        <v>31</v>
      </c>
      <c r="C2408" s="4" t="n">
        <v>3</v>
      </c>
      <c r="D2408" s="4" t="s">
        <v>127</v>
      </c>
      <c r="E2408" s="3" t="s">
        <v>144</v>
      </c>
      <c r="F2408" s="4" t="str">
        <f aca="false">IF(I2408&gt;J2408,"Y","N")</f>
        <v>N</v>
      </c>
      <c r="G2408" s="3" t="s">
        <v>72</v>
      </c>
      <c r="H2408" s="3" t="s">
        <v>26</v>
      </c>
      <c r="I2408" s="4" t="n">
        <v>4</v>
      </c>
      <c r="J2408" s="4" t="n">
        <f aca="false">LEN(E2408)-LEN(SUBSTITUTE(E2408,",",""))+1</f>
        <v>4</v>
      </c>
      <c r="K2408" s="3" t="str">
        <f aca="false">IFERROR(INDEX('Teacher Lookup'!$B$2:$B$200,MATCH(A2408,'Teacher Lookup'!$A$2:$A$200,0)),"")</f>
        <v>CHAN Clara</v>
      </c>
    </row>
    <row r="2409" customFormat="false" ht="15" hidden="false" customHeight="false" outlineLevel="0" collapsed="false">
      <c r="A2409" s="3" t="s">
        <v>364</v>
      </c>
      <c r="B2409" s="4" t="s">
        <v>31</v>
      </c>
      <c r="C2409" s="4" t="n">
        <v>5</v>
      </c>
      <c r="D2409" s="4" t="s">
        <v>137</v>
      </c>
      <c r="E2409" s="3" t="s">
        <v>185</v>
      </c>
      <c r="F2409" s="4" t="str">
        <f aca="false">IF(I2409&gt;J2409,"Y","N")</f>
        <v>Y</v>
      </c>
      <c r="G2409" s="3" t="s">
        <v>36</v>
      </c>
      <c r="H2409" s="3" t="s">
        <v>37</v>
      </c>
      <c r="I2409" s="4" t="n">
        <v>21</v>
      </c>
      <c r="J2409" s="4" t="n">
        <f aca="false">LEN(E2409)-LEN(SUBSTITUTE(E2409,",",""))+1</f>
        <v>7</v>
      </c>
      <c r="K2409" s="3" t="str">
        <f aca="false">IFERROR(INDEX('Teacher Lookup'!$B$2:$B$200,MATCH(A2409,'Teacher Lookup'!$A$2:$A$200,0)),"")</f>
        <v>CHAN Clara</v>
      </c>
    </row>
    <row r="2410" customFormat="false" ht="15" hidden="false" customHeight="false" outlineLevel="0" collapsed="false">
      <c r="A2410" s="3" t="s">
        <v>364</v>
      </c>
      <c r="B2410" s="4" t="s">
        <v>31</v>
      </c>
      <c r="C2410" s="4" t="n">
        <v>5</v>
      </c>
      <c r="D2410" s="4" t="s">
        <v>124</v>
      </c>
      <c r="E2410" s="3" t="s">
        <v>185</v>
      </c>
      <c r="F2410" s="4" t="str">
        <f aca="false">IF(I2410&gt;J2410,"Y","N")</f>
        <v>Y</v>
      </c>
      <c r="G2410" s="3" t="s">
        <v>36</v>
      </c>
      <c r="H2410" s="3" t="s">
        <v>37</v>
      </c>
      <c r="I2410" s="4" t="n">
        <v>21</v>
      </c>
      <c r="J2410" s="4" t="n">
        <f aca="false">LEN(E2410)-LEN(SUBSTITUTE(E2410,",",""))+1</f>
        <v>7</v>
      </c>
      <c r="K2410" s="3" t="str">
        <f aca="false">IFERROR(INDEX('Teacher Lookup'!$B$2:$B$200,MATCH(A2410,'Teacher Lookup'!$A$2:$A$200,0)),"")</f>
        <v>CHAN Clara</v>
      </c>
    </row>
    <row r="2411" customFormat="false" ht="15" hidden="false" customHeight="false" outlineLevel="0" collapsed="false">
      <c r="A2411" s="3" t="s">
        <v>364</v>
      </c>
      <c r="B2411" s="4" t="s">
        <v>31</v>
      </c>
      <c r="C2411" s="4" t="n">
        <v>5</v>
      </c>
      <c r="D2411" s="4" t="s">
        <v>139</v>
      </c>
      <c r="E2411" s="3" t="s">
        <v>185</v>
      </c>
      <c r="F2411" s="4" t="str">
        <f aca="false">IF(I2411&gt;J2411,"Y","N")</f>
        <v>Y</v>
      </c>
      <c r="G2411" s="3" t="s">
        <v>36</v>
      </c>
      <c r="H2411" s="3" t="s">
        <v>37</v>
      </c>
      <c r="I2411" s="4" t="n">
        <v>21</v>
      </c>
      <c r="J2411" s="4" t="n">
        <f aca="false">LEN(E2411)-LEN(SUBSTITUTE(E2411,",",""))+1</f>
        <v>7</v>
      </c>
      <c r="K2411" s="3" t="str">
        <f aca="false">IFERROR(INDEX('Teacher Lookup'!$B$2:$B$200,MATCH(A2411,'Teacher Lookup'!$A$2:$A$200,0)),"")</f>
        <v>CHAN Clara</v>
      </c>
    </row>
    <row r="2412" customFormat="false" ht="15" hidden="false" customHeight="false" outlineLevel="0" collapsed="false">
      <c r="A2412" s="3" t="s">
        <v>364</v>
      </c>
      <c r="B2412" s="4" t="s">
        <v>31</v>
      </c>
      <c r="C2412" s="4" t="n">
        <v>5</v>
      </c>
      <c r="D2412" s="4" t="s">
        <v>140</v>
      </c>
      <c r="E2412" s="3" t="s">
        <v>185</v>
      </c>
      <c r="F2412" s="4" t="str">
        <f aca="false">IF(I2412&gt;J2412,"Y","N")</f>
        <v>Y</v>
      </c>
      <c r="G2412" s="3" t="s">
        <v>36</v>
      </c>
      <c r="H2412" s="3" t="s">
        <v>37</v>
      </c>
      <c r="I2412" s="4" t="n">
        <v>21</v>
      </c>
      <c r="J2412" s="4" t="n">
        <f aca="false">LEN(E2412)-LEN(SUBSTITUTE(E2412,",",""))+1</f>
        <v>7</v>
      </c>
      <c r="K2412" s="3" t="str">
        <f aca="false">IFERROR(INDEX('Teacher Lookup'!$B$2:$B$200,MATCH(A2412,'Teacher Lookup'!$A$2:$A$200,0)),"")</f>
        <v>CHAN Clara</v>
      </c>
    </row>
    <row r="2413" customFormat="false" ht="15" hidden="false" customHeight="false" outlineLevel="0" collapsed="false">
      <c r="A2413" s="3" t="s">
        <v>364</v>
      </c>
      <c r="B2413" s="4" t="s">
        <v>31</v>
      </c>
      <c r="C2413" s="4" t="n">
        <v>5</v>
      </c>
      <c r="D2413" s="4" t="s">
        <v>142</v>
      </c>
      <c r="E2413" s="3" t="s">
        <v>185</v>
      </c>
      <c r="F2413" s="4" t="str">
        <f aca="false">IF(I2413&gt;J2413,"Y","N")</f>
        <v>Y</v>
      </c>
      <c r="G2413" s="3" t="s">
        <v>36</v>
      </c>
      <c r="H2413" s="3" t="s">
        <v>37</v>
      </c>
      <c r="I2413" s="4" t="n">
        <v>21</v>
      </c>
      <c r="J2413" s="4" t="n">
        <f aca="false">LEN(E2413)-LEN(SUBSTITUTE(E2413,",",""))+1</f>
        <v>7</v>
      </c>
      <c r="K2413" s="3" t="str">
        <f aca="false">IFERROR(INDEX('Teacher Lookup'!$B$2:$B$200,MATCH(A2413,'Teacher Lookup'!$A$2:$A$200,0)),"")</f>
        <v>CHAN Clara</v>
      </c>
    </row>
    <row r="2414" customFormat="false" ht="15" hidden="false" customHeight="false" outlineLevel="0" collapsed="false">
      <c r="A2414" s="3" t="s">
        <v>364</v>
      </c>
      <c r="B2414" s="4" t="s">
        <v>31</v>
      </c>
      <c r="C2414" s="4" t="n">
        <v>5</v>
      </c>
      <c r="D2414" s="4" t="s">
        <v>127</v>
      </c>
      <c r="E2414" s="3" t="s">
        <v>185</v>
      </c>
      <c r="F2414" s="4" t="str">
        <f aca="false">IF(I2414&gt;J2414,"Y","N")</f>
        <v>Y</v>
      </c>
      <c r="G2414" s="3" t="s">
        <v>36</v>
      </c>
      <c r="H2414" s="3" t="s">
        <v>37</v>
      </c>
      <c r="I2414" s="4" t="n">
        <v>21</v>
      </c>
      <c r="J2414" s="4" t="n">
        <f aca="false">LEN(E2414)-LEN(SUBSTITUTE(E2414,",",""))+1</f>
        <v>7</v>
      </c>
      <c r="K2414" s="3" t="str">
        <f aca="false">IFERROR(INDEX('Teacher Lookup'!$B$2:$B$200,MATCH(A2414,'Teacher Lookup'!$A$2:$A$200,0)),"")</f>
        <v>CHAN Clara</v>
      </c>
    </row>
    <row r="2415" customFormat="false" ht="15" hidden="false" customHeight="false" outlineLevel="0" collapsed="false">
      <c r="A2415" s="3" t="s">
        <v>364</v>
      </c>
      <c r="B2415" s="4" t="s">
        <v>31</v>
      </c>
      <c r="C2415" s="4" t="n">
        <v>6</v>
      </c>
      <c r="D2415" s="4" t="s">
        <v>24</v>
      </c>
      <c r="E2415" s="3" t="s">
        <v>82</v>
      </c>
      <c r="F2415" s="4" t="str">
        <f aca="false">IF(I2415&gt;J2415,"Y","N")</f>
        <v>N</v>
      </c>
      <c r="G2415" s="3" t="s">
        <v>72</v>
      </c>
      <c r="H2415" s="3" t="s">
        <v>42</v>
      </c>
      <c r="I2415" s="4" t="n">
        <v>3</v>
      </c>
      <c r="J2415" s="4" t="n">
        <f aca="false">LEN(E2415)-LEN(SUBSTITUTE(E2415,",",""))+1</f>
        <v>3</v>
      </c>
      <c r="K2415" s="3" t="str">
        <f aca="false">IFERROR(INDEX('Teacher Lookup'!$B$2:$B$200,MATCH(A2415,'Teacher Lookup'!$A$2:$A$200,0)),"")</f>
        <v>CHAN Clara</v>
      </c>
    </row>
    <row r="2416" customFormat="false" ht="15" hidden="false" customHeight="false" outlineLevel="0" collapsed="false">
      <c r="A2416" s="3" t="s">
        <v>364</v>
      </c>
      <c r="B2416" s="4" t="s">
        <v>31</v>
      </c>
      <c r="C2416" s="4" t="n">
        <v>6</v>
      </c>
      <c r="D2416" s="4" t="s">
        <v>27</v>
      </c>
      <c r="E2416" s="3" t="s">
        <v>82</v>
      </c>
      <c r="F2416" s="4" t="str">
        <f aca="false">IF(I2416&gt;J2416,"Y","N")</f>
        <v>N</v>
      </c>
      <c r="G2416" s="3" t="s">
        <v>72</v>
      </c>
      <c r="H2416" s="3" t="s">
        <v>42</v>
      </c>
      <c r="I2416" s="4" t="n">
        <v>3</v>
      </c>
      <c r="J2416" s="4" t="n">
        <f aca="false">LEN(E2416)-LEN(SUBSTITUTE(E2416,",",""))+1</f>
        <v>3</v>
      </c>
      <c r="K2416" s="3" t="str">
        <f aca="false">IFERROR(INDEX('Teacher Lookup'!$B$2:$B$200,MATCH(A2416,'Teacher Lookup'!$A$2:$A$200,0)),"")</f>
        <v>CHAN Clara</v>
      </c>
    </row>
    <row r="2417" customFormat="false" ht="15" hidden="false" customHeight="false" outlineLevel="0" collapsed="false">
      <c r="A2417" s="3" t="s">
        <v>364</v>
      </c>
      <c r="B2417" s="4" t="s">
        <v>40</v>
      </c>
      <c r="C2417" s="4" t="n">
        <v>1</v>
      </c>
      <c r="D2417" s="4" t="s">
        <v>140</v>
      </c>
      <c r="E2417" s="3" t="s">
        <v>147</v>
      </c>
      <c r="F2417" s="4" t="str">
        <f aca="false">IF(I2417&gt;J2417,"Y","N")</f>
        <v>N</v>
      </c>
      <c r="G2417" s="3" t="s">
        <v>72</v>
      </c>
      <c r="H2417" s="3" t="s">
        <v>16</v>
      </c>
      <c r="I2417" s="4" t="n">
        <v>4</v>
      </c>
      <c r="J2417" s="4" t="n">
        <f aca="false">LEN(E2417)-LEN(SUBSTITUTE(E2417,",",""))+1</f>
        <v>4</v>
      </c>
      <c r="K2417" s="3" t="str">
        <f aca="false">IFERROR(INDEX('Teacher Lookup'!$B$2:$B$200,MATCH(A2417,'Teacher Lookup'!$A$2:$A$200,0)),"")</f>
        <v>CHAN Clara</v>
      </c>
    </row>
    <row r="2418" customFormat="false" ht="15" hidden="false" customHeight="false" outlineLevel="0" collapsed="false">
      <c r="A2418" s="3" t="s">
        <v>364</v>
      </c>
      <c r="B2418" s="4" t="s">
        <v>40</v>
      </c>
      <c r="C2418" s="4" t="n">
        <v>1</v>
      </c>
      <c r="D2418" s="4" t="s">
        <v>142</v>
      </c>
      <c r="E2418" s="3" t="s">
        <v>147</v>
      </c>
      <c r="F2418" s="4" t="str">
        <f aca="false">IF(I2418&gt;J2418,"Y","N")</f>
        <v>N</v>
      </c>
      <c r="G2418" s="3" t="s">
        <v>72</v>
      </c>
      <c r="H2418" s="3" t="s">
        <v>16</v>
      </c>
      <c r="I2418" s="4" t="n">
        <v>4</v>
      </c>
      <c r="J2418" s="4" t="n">
        <f aca="false">LEN(E2418)-LEN(SUBSTITUTE(E2418,",",""))+1</f>
        <v>4</v>
      </c>
      <c r="K2418" s="3" t="str">
        <f aca="false">IFERROR(INDEX('Teacher Lookup'!$B$2:$B$200,MATCH(A2418,'Teacher Lookup'!$A$2:$A$200,0)),"")</f>
        <v>CHAN Clara</v>
      </c>
    </row>
    <row r="2419" customFormat="false" ht="15" hidden="false" customHeight="false" outlineLevel="0" collapsed="false">
      <c r="A2419" s="3" t="s">
        <v>364</v>
      </c>
      <c r="B2419" s="4" t="s">
        <v>40</v>
      </c>
      <c r="C2419" s="4" t="n">
        <v>1</v>
      </c>
      <c r="D2419" s="4" t="s">
        <v>127</v>
      </c>
      <c r="E2419" s="3" t="s">
        <v>147</v>
      </c>
      <c r="F2419" s="4" t="str">
        <f aca="false">IF(I2419&gt;J2419,"Y","N")</f>
        <v>N</v>
      </c>
      <c r="G2419" s="3" t="s">
        <v>72</v>
      </c>
      <c r="H2419" s="3" t="s">
        <v>16</v>
      </c>
      <c r="I2419" s="4" t="n">
        <v>4</v>
      </c>
      <c r="J2419" s="4" t="n">
        <f aca="false">LEN(E2419)-LEN(SUBSTITUTE(E2419,",",""))+1</f>
        <v>4</v>
      </c>
      <c r="K2419" s="3" t="str">
        <f aca="false">IFERROR(INDEX('Teacher Lookup'!$B$2:$B$200,MATCH(A2419,'Teacher Lookup'!$A$2:$A$200,0)),"")</f>
        <v>CHAN Clara</v>
      </c>
    </row>
    <row r="2420" customFormat="false" ht="15" hidden="false" customHeight="false" outlineLevel="0" collapsed="false">
      <c r="A2420" s="3" t="s">
        <v>364</v>
      </c>
      <c r="B2420" s="4" t="s">
        <v>40</v>
      </c>
      <c r="C2420" s="4" t="n">
        <v>6</v>
      </c>
      <c r="D2420" s="4" t="s">
        <v>24</v>
      </c>
      <c r="E2420" s="3" t="s">
        <v>82</v>
      </c>
      <c r="F2420" s="4" t="str">
        <f aca="false">IF(I2420&gt;J2420,"Y","N")</f>
        <v>N</v>
      </c>
      <c r="G2420" s="3" t="s">
        <v>72</v>
      </c>
      <c r="H2420" s="3" t="s">
        <v>42</v>
      </c>
      <c r="I2420" s="4" t="n">
        <v>3</v>
      </c>
      <c r="J2420" s="4" t="n">
        <f aca="false">LEN(E2420)-LEN(SUBSTITUTE(E2420,",",""))+1</f>
        <v>3</v>
      </c>
      <c r="K2420" s="3" t="str">
        <f aca="false">IFERROR(INDEX('Teacher Lookup'!$B$2:$B$200,MATCH(A2420,'Teacher Lookup'!$A$2:$A$200,0)),"")</f>
        <v>CHAN Clara</v>
      </c>
    </row>
    <row r="2421" customFormat="false" ht="15" hidden="false" customHeight="false" outlineLevel="0" collapsed="false">
      <c r="A2421" s="3" t="s">
        <v>364</v>
      </c>
      <c r="B2421" s="4" t="s">
        <v>40</v>
      </c>
      <c r="C2421" s="4" t="n">
        <v>6</v>
      </c>
      <c r="D2421" s="4" t="s">
        <v>27</v>
      </c>
      <c r="E2421" s="3" t="s">
        <v>82</v>
      </c>
      <c r="F2421" s="4" t="str">
        <f aca="false">IF(I2421&gt;J2421,"Y","N")</f>
        <v>N</v>
      </c>
      <c r="G2421" s="3" t="s">
        <v>72</v>
      </c>
      <c r="H2421" s="3" t="s">
        <v>42</v>
      </c>
      <c r="I2421" s="4" t="n">
        <v>3</v>
      </c>
      <c r="J2421" s="4" t="n">
        <f aca="false">LEN(E2421)-LEN(SUBSTITUTE(E2421,",",""))+1</f>
        <v>3</v>
      </c>
      <c r="K2421" s="3" t="str">
        <f aca="false">IFERROR(INDEX('Teacher Lookup'!$B$2:$B$200,MATCH(A2421,'Teacher Lookup'!$A$2:$A$200,0)),"")</f>
        <v>CHAN Clara</v>
      </c>
    </row>
    <row r="2422" customFormat="false" ht="15" hidden="false" customHeight="false" outlineLevel="0" collapsed="false">
      <c r="A2422" s="3" t="s">
        <v>364</v>
      </c>
      <c r="B2422" s="4" t="s">
        <v>44</v>
      </c>
      <c r="C2422" s="4" t="n">
        <v>3</v>
      </c>
      <c r="D2422" s="4" t="s">
        <v>140</v>
      </c>
      <c r="E2422" s="3" t="s">
        <v>150</v>
      </c>
      <c r="F2422" s="4" t="str">
        <f aca="false">IF(I2422&gt;J2422,"Y","N")</f>
        <v>N</v>
      </c>
      <c r="G2422" s="3" t="s">
        <v>72</v>
      </c>
      <c r="H2422" s="3" t="s">
        <v>26</v>
      </c>
      <c r="I2422" s="4" t="n">
        <v>4</v>
      </c>
      <c r="J2422" s="4" t="n">
        <f aca="false">LEN(E2422)-LEN(SUBSTITUTE(E2422,",",""))+1</f>
        <v>4</v>
      </c>
      <c r="K2422" s="3" t="str">
        <f aca="false">IFERROR(INDEX('Teacher Lookup'!$B$2:$B$200,MATCH(A2422,'Teacher Lookup'!$A$2:$A$200,0)),"")</f>
        <v>CHAN Clara</v>
      </c>
    </row>
    <row r="2423" customFormat="false" ht="15" hidden="false" customHeight="false" outlineLevel="0" collapsed="false">
      <c r="A2423" s="3" t="s">
        <v>364</v>
      </c>
      <c r="B2423" s="4" t="s">
        <v>44</v>
      </c>
      <c r="C2423" s="4" t="n">
        <v>3</v>
      </c>
      <c r="D2423" s="4" t="s">
        <v>142</v>
      </c>
      <c r="E2423" s="3" t="s">
        <v>150</v>
      </c>
      <c r="F2423" s="4" t="str">
        <f aca="false">IF(I2423&gt;J2423,"Y","N")</f>
        <v>N</v>
      </c>
      <c r="G2423" s="3" t="s">
        <v>72</v>
      </c>
      <c r="H2423" s="3" t="s">
        <v>26</v>
      </c>
      <c r="I2423" s="4" t="n">
        <v>4</v>
      </c>
      <c r="J2423" s="4" t="n">
        <f aca="false">LEN(E2423)-LEN(SUBSTITUTE(E2423,",",""))+1</f>
        <v>4</v>
      </c>
      <c r="K2423" s="3" t="str">
        <f aca="false">IFERROR(INDEX('Teacher Lookup'!$B$2:$B$200,MATCH(A2423,'Teacher Lookup'!$A$2:$A$200,0)),"")</f>
        <v>CHAN Clara</v>
      </c>
    </row>
    <row r="2424" customFormat="false" ht="15" hidden="false" customHeight="false" outlineLevel="0" collapsed="false">
      <c r="A2424" s="3" t="s">
        <v>364</v>
      </c>
      <c r="B2424" s="4" t="s">
        <v>44</v>
      </c>
      <c r="C2424" s="4" t="n">
        <v>3</v>
      </c>
      <c r="D2424" s="4" t="s">
        <v>127</v>
      </c>
      <c r="E2424" s="3" t="s">
        <v>150</v>
      </c>
      <c r="F2424" s="4" t="str">
        <f aca="false">IF(I2424&gt;J2424,"Y","N")</f>
        <v>N</v>
      </c>
      <c r="G2424" s="3" t="s">
        <v>72</v>
      </c>
      <c r="H2424" s="3" t="s">
        <v>26</v>
      </c>
      <c r="I2424" s="4" t="n">
        <v>4</v>
      </c>
      <c r="J2424" s="4" t="n">
        <f aca="false">LEN(E2424)-LEN(SUBSTITUTE(E2424,",",""))+1</f>
        <v>4</v>
      </c>
      <c r="K2424" s="3" t="str">
        <f aca="false">IFERROR(INDEX('Teacher Lookup'!$B$2:$B$200,MATCH(A2424,'Teacher Lookup'!$A$2:$A$200,0)),"")</f>
        <v>CHAN Clara</v>
      </c>
    </row>
    <row r="2425" customFormat="false" ht="15" hidden="false" customHeight="false" outlineLevel="0" collapsed="false">
      <c r="A2425" s="3" t="s">
        <v>364</v>
      </c>
      <c r="B2425" s="4" t="s">
        <v>44</v>
      </c>
      <c r="C2425" s="4" t="n">
        <v>5</v>
      </c>
      <c r="D2425" s="4" t="s">
        <v>137</v>
      </c>
      <c r="E2425" s="3" t="s">
        <v>185</v>
      </c>
      <c r="F2425" s="4" t="str">
        <f aca="false">IF(I2425&gt;J2425,"Y","N")</f>
        <v>Y</v>
      </c>
      <c r="G2425" s="3" t="s">
        <v>36</v>
      </c>
      <c r="H2425" s="3" t="s">
        <v>37</v>
      </c>
      <c r="I2425" s="4" t="n">
        <v>21</v>
      </c>
      <c r="J2425" s="4" t="n">
        <f aca="false">LEN(E2425)-LEN(SUBSTITUTE(E2425,",",""))+1</f>
        <v>7</v>
      </c>
      <c r="K2425" s="3" t="str">
        <f aca="false">IFERROR(INDEX('Teacher Lookup'!$B$2:$B$200,MATCH(A2425,'Teacher Lookup'!$A$2:$A$200,0)),"")</f>
        <v>CHAN Clara</v>
      </c>
    </row>
    <row r="2426" customFormat="false" ht="15" hidden="false" customHeight="false" outlineLevel="0" collapsed="false">
      <c r="A2426" s="3" t="s">
        <v>364</v>
      </c>
      <c r="B2426" s="4" t="s">
        <v>44</v>
      </c>
      <c r="C2426" s="4" t="n">
        <v>5</v>
      </c>
      <c r="D2426" s="4" t="s">
        <v>124</v>
      </c>
      <c r="E2426" s="3" t="s">
        <v>185</v>
      </c>
      <c r="F2426" s="4" t="str">
        <f aca="false">IF(I2426&gt;J2426,"Y","N")</f>
        <v>Y</v>
      </c>
      <c r="G2426" s="3" t="s">
        <v>36</v>
      </c>
      <c r="H2426" s="3" t="s">
        <v>37</v>
      </c>
      <c r="I2426" s="4" t="n">
        <v>21</v>
      </c>
      <c r="J2426" s="4" t="n">
        <f aca="false">LEN(E2426)-LEN(SUBSTITUTE(E2426,",",""))+1</f>
        <v>7</v>
      </c>
      <c r="K2426" s="3" t="str">
        <f aca="false">IFERROR(INDEX('Teacher Lookup'!$B$2:$B$200,MATCH(A2426,'Teacher Lookup'!$A$2:$A$200,0)),"")</f>
        <v>CHAN Clara</v>
      </c>
    </row>
    <row r="2427" customFormat="false" ht="15" hidden="false" customHeight="false" outlineLevel="0" collapsed="false">
      <c r="A2427" s="3" t="s">
        <v>364</v>
      </c>
      <c r="B2427" s="4" t="s">
        <v>44</v>
      </c>
      <c r="C2427" s="4" t="n">
        <v>5</v>
      </c>
      <c r="D2427" s="4" t="s">
        <v>139</v>
      </c>
      <c r="E2427" s="3" t="s">
        <v>185</v>
      </c>
      <c r="F2427" s="4" t="str">
        <f aca="false">IF(I2427&gt;J2427,"Y","N")</f>
        <v>Y</v>
      </c>
      <c r="G2427" s="3" t="s">
        <v>36</v>
      </c>
      <c r="H2427" s="3" t="s">
        <v>37</v>
      </c>
      <c r="I2427" s="4" t="n">
        <v>21</v>
      </c>
      <c r="J2427" s="4" t="n">
        <f aca="false">LEN(E2427)-LEN(SUBSTITUTE(E2427,",",""))+1</f>
        <v>7</v>
      </c>
      <c r="K2427" s="3" t="str">
        <f aca="false">IFERROR(INDEX('Teacher Lookup'!$B$2:$B$200,MATCH(A2427,'Teacher Lookup'!$A$2:$A$200,0)),"")</f>
        <v>CHAN Clara</v>
      </c>
    </row>
    <row r="2428" customFormat="false" ht="15" hidden="false" customHeight="false" outlineLevel="0" collapsed="false">
      <c r="A2428" s="3" t="s">
        <v>364</v>
      </c>
      <c r="B2428" s="4" t="s">
        <v>44</v>
      </c>
      <c r="C2428" s="4" t="n">
        <v>5</v>
      </c>
      <c r="D2428" s="4" t="s">
        <v>140</v>
      </c>
      <c r="E2428" s="3" t="s">
        <v>185</v>
      </c>
      <c r="F2428" s="4" t="str">
        <f aca="false">IF(I2428&gt;J2428,"Y","N")</f>
        <v>Y</v>
      </c>
      <c r="G2428" s="3" t="s">
        <v>36</v>
      </c>
      <c r="H2428" s="3" t="s">
        <v>37</v>
      </c>
      <c r="I2428" s="4" t="n">
        <v>21</v>
      </c>
      <c r="J2428" s="4" t="n">
        <f aca="false">LEN(E2428)-LEN(SUBSTITUTE(E2428,",",""))+1</f>
        <v>7</v>
      </c>
      <c r="K2428" s="3" t="str">
        <f aca="false">IFERROR(INDEX('Teacher Lookup'!$B$2:$B$200,MATCH(A2428,'Teacher Lookup'!$A$2:$A$200,0)),"")</f>
        <v>CHAN Clara</v>
      </c>
    </row>
    <row r="2429" customFormat="false" ht="15" hidden="false" customHeight="false" outlineLevel="0" collapsed="false">
      <c r="A2429" s="3" t="s">
        <v>364</v>
      </c>
      <c r="B2429" s="4" t="s">
        <v>44</v>
      </c>
      <c r="C2429" s="4" t="n">
        <v>5</v>
      </c>
      <c r="D2429" s="4" t="s">
        <v>142</v>
      </c>
      <c r="E2429" s="3" t="s">
        <v>185</v>
      </c>
      <c r="F2429" s="4" t="str">
        <f aca="false">IF(I2429&gt;J2429,"Y","N")</f>
        <v>Y</v>
      </c>
      <c r="G2429" s="3" t="s">
        <v>36</v>
      </c>
      <c r="H2429" s="3" t="s">
        <v>37</v>
      </c>
      <c r="I2429" s="4" t="n">
        <v>21</v>
      </c>
      <c r="J2429" s="4" t="n">
        <f aca="false">LEN(E2429)-LEN(SUBSTITUTE(E2429,",",""))+1</f>
        <v>7</v>
      </c>
      <c r="K2429" s="3" t="str">
        <f aca="false">IFERROR(INDEX('Teacher Lookup'!$B$2:$B$200,MATCH(A2429,'Teacher Lookup'!$A$2:$A$200,0)),"")</f>
        <v>CHAN Clara</v>
      </c>
    </row>
    <row r="2430" customFormat="false" ht="15" hidden="false" customHeight="false" outlineLevel="0" collapsed="false">
      <c r="A2430" s="3" t="s">
        <v>364</v>
      </c>
      <c r="B2430" s="4" t="s">
        <v>44</v>
      </c>
      <c r="C2430" s="4" t="n">
        <v>5</v>
      </c>
      <c r="D2430" s="4" t="s">
        <v>127</v>
      </c>
      <c r="E2430" s="3" t="s">
        <v>185</v>
      </c>
      <c r="F2430" s="4" t="str">
        <f aca="false">IF(I2430&gt;J2430,"Y","N")</f>
        <v>Y</v>
      </c>
      <c r="G2430" s="3" t="s">
        <v>36</v>
      </c>
      <c r="H2430" s="3" t="s">
        <v>37</v>
      </c>
      <c r="I2430" s="4" t="n">
        <v>21</v>
      </c>
      <c r="J2430" s="4" t="n">
        <f aca="false">LEN(E2430)-LEN(SUBSTITUTE(E2430,",",""))+1</f>
        <v>7</v>
      </c>
      <c r="K2430" s="3" t="str">
        <f aca="false">IFERROR(INDEX('Teacher Lookup'!$B$2:$B$200,MATCH(A2430,'Teacher Lookup'!$A$2:$A$200,0)),"")</f>
        <v>CHAN Clara</v>
      </c>
    </row>
    <row r="2431" customFormat="false" ht="15" hidden="false" customHeight="false" outlineLevel="0" collapsed="false">
      <c r="A2431" s="3" t="s">
        <v>364</v>
      </c>
      <c r="B2431" s="4" t="s">
        <v>44</v>
      </c>
      <c r="C2431" s="4" t="n">
        <v>7</v>
      </c>
      <c r="D2431" s="4" t="s">
        <v>24</v>
      </c>
      <c r="E2431" s="3" t="s">
        <v>82</v>
      </c>
      <c r="F2431" s="4" t="str">
        <f aca="false">IF(I2431&gt;J2431,"Y","N")</f>
        <v>N</v>
      </c>
      <c r="G2431" s="3" t="s">
        <v>72</v>
      </c>
      <c r="H2431" s="3" t="s">
        <v>39</v>
      </c>
      <c r="I2431" s="4" t="n">
        <v>3</v>
      </c>
      <c r="J2431" s="4" t="n">
        <f aca="false">LEN(E2431)-LEN(SUBSTITUTE(E2431,",",""))+1</f>
        <v>3</v>
      </c>
      <c r="K2431" s="3" t="str">
        <f aca="false">IFERROR(INDEX('Teacher Lookup'!$B$2:$B$200,MATCH(A2431,'Teacher Lookup'!$A$2:$A$200,0)),"")</f>
        <v>CHAN Clara</v>
      </c>
    </row>
    <row r="2432" customFormat="false" ht="15" hidden="false" customHeight="false" outlineLevel="0" collapsed="false">
      <c r="A2432" s="3" t="s">
        <v>364</v>
      </c>
      <c r="B2432" s="4" t="s">
        <v>44</v>
      </c>
      <c r="C2432" s="4" t="n">
        <v>7</v>
      </c>
      <c r="D2432" s="4" t="s">
        <v>27</v>
      </c>
      <c r="E2432" s="3" t="s">
        <v>82</v>
      </c>
      <c r="F2432" s="4" t="str">
        <f aca="false">IF(I2432&gt;J2432,"Y","N")</f>
        <v>N</v>
      </c>
      <c r="G2432" s="3" t="s">
        <v>72</v>
      </c>
      <c r="H2432" s="3" t="s">
        <v>39</v>
      </c>
      <c r="I2432" s="4" t="n">
        <v>3</v>
      </c>
      <c r="J2432" s="4" t="n">
        <f aca="false">LEN(E2432)-LEN(SUBSTITUTE(E2432,",",""))+1</f>
        <v>3</v>
      </c>
      <c r="K2432" s="3" t="str">
        <f aca="false">IFERROR(INDEX('Teacher Lookup'!$B$2:$B$200,MATCH(A2432,'Teacher Lookup'!$A$2:$A$200,0)),"")</f>
        <v>CHAN Clara</v>
      </c>
    </row>
    <row r="2433" customFormat="false" ht="15" hidden="false" customHeight="false" outlineLevel="0" collapsed="false">
      <c r="A2433" s="3" t="s">
        <v>364</v>
      </c>
      <c r="B2433" s="4" t="s">
        <v>47</v>
      </c>
      <c r="C2433" s="4" t="n">
        <v>2</v>
      </c>
      <c r="D2433" s="4" t="s">
        <v>24</v>
      </c>
      <c r="E2433" s="3" t="s">
        <v>86</v>
      </c>
      <c r="F2433" s="4" t="str">
        <f aca="false">IF(I2433&gt;J2433,"Y","N")</f>
        <v>N</v>
      </c>
      <c r="G2433" s="3" t="s">
        <v>72</v>
      </c>
      <c r="H2433" s="3" t="s">
        <v>21</v>
      </c>
      <c r="I2433" s="4" t="n">
        <v>3</v>
      </c>
      <c r="J2433" s="4" t="n">
        <f aca="false">LEN(E2433)-LEN(SUBSTITUTE(E2433,",",""))+1</f>
        <v>3</v>
      </c>
      <c r="K2433" s="3" t="str">
        <f aca="false">IFERROR(INDEX('Teacher Lookup'!$B$2:$B$200,MATCH(A2433,'Teacher Lookup'!$A$2:$A$200,0)),"")</f>
        <v>CHAN Clara</v>
      </c>
    </row>
    <row r="2434" customFormat="false" ht="15" hidden="false" customHeight="false" outlineLevel="0" collapsed="false">
      <c r="A2434" s="3" t="s">
        <v>364</v>
      </c>
      <c r="B2434" s="4" t="s">
        <v>47</v>
      </c>
      <c r="C2434" s="4" t="n">
        <v>2</v>
      </c>
      <c r="D2434" s="4" t="s">
        <v>27</v>
      </c>
      <c r="E2434" s="3" t="s">
        <v>86</v>
      </c>
      <c r="F2434" s="4" t="str">
        <f aca="false">IF(I2434&gt;J2434,"Y","N")</f>
        <v>N</v>
      </c>
      <c r="G2434" s="3" t="s">
        <v>72</v>
      </c>
      <c r="H2434" s="3" t="s">
        <v>21</v>
      </c>
      <c r="I2434" s="4" t="n">
        <v>3</v>
      </c>
      <c r="J2434" s="4" t="n">
        <f aca="false">LEN(E2434)-LEN(SUBSTITUTE(E2434,",",""))+1</f>
        <v>3</v>
      </c>
      <c r="K2434" s="3" t="str">
        <f aca="false">IFERROR(INDEX('Teacher Lookup'!$B$2:$B$200,MATCH(A2434,'Teacher Lookup'!$A$2:$A$200,0)),"")</f>
        <v>CHAN Clara</v>
      </c>
    </row>
    <row r="2435" customFormat="false" ht="15" hidden="false" customHeight="false" outlineLevel="0" collapsed="false">
      <c r="A2435" s="3" t="s">
        <v>364</v>
      </c>
      <c r="B2435" s="4" t="s">
        <v>47</v>
      </c>
      <c r="C2435" s="4" t="n">
        <v>4</v>
      </c>
      <c r="D2435" s="4" t="s">
        <v>140</v>
      </c>
      <c r="E2435" s="3" t="s">
        <v>152</v>
      </c>
      <c r="F2435" s="4" t="str">
        <f aca="false">IF(I2435&gt;J2435,"Y","N")</f>
        <v>N</v>
      </c>
      <c r="G2435" s="3" t="s">
        <v>72</v>
      </c>
      <c r="H2435" s="3" t="s">
        <v>34</v>
      </c>
      <c r="I2435" s="4" t="n">
        <v>4</v>
      </c>
      <c r="J2435" s="4" t="n">
        <f aca="false">LEN(E2435)-LEN(SUBSTITUTE(E2435,",",""))+1</f>
        <v>4</v>
      </c>
      <c r="K2435" s="3" t="str">
        <f aca="false">IFERROR(INDEX('Teacher Lookup'!$B$2:$B$200,MATCH(A2435,'Teacher Lookup'!$A$2:$A$200,0)),"")</f>
        <v>CHAN Clara</v>
      </c>
    </row>
    <row r="2436" customFormat="false" ht="15" hidden="false" customHeight="false" outlineLevel="0" collapsed="false">
      <c r="A2436" s="3" t="s">
        <v>364</v>
      </c>
      <c r="B2436" s="4" t="s">
        <v>47</v>
      </c>
      <c r="C2436" s="4" t="n">
        <v>4</v>
      </c>
      <c r="D2436" s="4" t="s">
        <v>142</v>
      </c>
      <c r="E2436" s="3" t="s">
        <v>152</v>
      </c>
      <c r="F2436" s="4" t="str">
        <f aca="false">IF(I2436&gt;J2436,"Y","N")</f>
        <v>N</v>
      </c>
      <c r="G2436" s="3" t="s">
        <v>72</v>
      </c>
      <c r="H2436" s="3" t="s">
        <v>34</v>
      </c>
      <c r="I2436" s="4" t="n">
        <v>4</v>
      </c>
      <c r="J2436" s="4" t="n">
        <f aca="false">LEN(E2436)-LEN(SUBSTITUTE(E2436,",",""))+1</f>
        <v>4</v>
      </c>
      <c r="K2436" s="3" t="str">
        <f aca="false">IFERROR(INDEX('Teacher Lookup'!$B$2:$B$200,MATCH(A2436,'Teacher Lookup'!$A$2:$A$200,0)),"")</f>
        <v>CHAN Clara</v>
      </c>
    </row>
    <row r="2437" customFormat="false" ht="15" hidden="false" customHeight="false" outlineLevel="0" collapsed="false">
      <c r="A2437" s="3" t="s">
        <v>364</v>
      </c>
      <c r="B2437" s="4" t="s">
        <v>47</v>
      </c>
      <c r="C2437" s="4" t="n">
        <v>4</v>
      </c>
      <c r="D2437" s="4" t="s">
        <v>127</v>
      </c>
      <c r="E2437" s="3" t="s">
        <v>152</v>
      </c>
      <c r="F2437" s="4" t="str">
        <f aca="false">IF(I2437&gt;J2437,"Y","N")</f>
        <v>N</v>
      </c>
      <c r="G2437" s="3" t="s">
        <v>72</v>
      </c>
      <c r="H2437" s="3" t="s">
        <v>34</v>
      </c>
      <c r="I2437" s="4" t="n">
        <v>4</v>
      </c>
      <c r="J2437" s="4" t="n">
        <f aca="false">LEN(E2437)-LEN(SUBSTITUTE(E2437,",",""))+1</f>
        <v>4</v>
      </c>
      <c r="K2437" s="3" t="str">
        <f aca="false">IFERROR(INDEX('Teacher Lookup'!$B$2:$B$200,MATCH(A2437,'Teacher Lookup'!$A$2:$A$200,0)),"")</f>
        <v>CHAN Clara</v>
      </c>
    </row>
    <row r="2438" customFormat="false" ht="15" hidden="false" customHeight="false" outlineLevel="0" collapsed="false">
      <c r="A2438" s="3" t="s">
        <v>364</v>
      </c>
      <c r="B2438" s="4" t="s">
        <v>50</v>
      </c>
      <c r="C2438" s="4" t="n">
        <v>3</v>
      </c>
      <c r="D2438" s="4" t="s">
        <v>140</v>
      </c>
      <c r="E2438" s="3" t="s">
        <v>155</v>
      </c>
      <c r="F2438" s="4" t="str">
        <f aca="false">IF(I2438&gt;J2438,"Y","N")</f>
        <v>N</v>
      </c>
      <c r="G2438" s="3" t="s">
        <v>72</v>
      </c>
      <c r="H2438" s="3" t="s">
        <v>26</v>
      </c>
      <c r="I2438" s="4" t="n">
        <v>4</v>
      </c>
      <c r="J2438" s="4" t="n">
        <f aca="false">LEN(E2438)-LEN(SUBSTITUTE(E2438,",",""))+1</f>
        <v>4</v>
      </c>
      <c r="K2438" s="3" t="str">
        <f aca="false">IFERROR(INDEX('Teacher Lookup'!$B$2:$B$200,MATCH(A2438,'Teacher Lookup'!$A$2:$A$200,0)),"")</f>
        <v>CHAN Clara</v>
      </c>
    </row>
    <row r="2439" customFormat="false" ht="15" hidden="false" customHeight="false" outlineLevel="0" collapsed="false">
      <c r="A2439" s="3" t="s">
        <v>364</v>
      </c>
      <c r="B2439" s="4" t="s">
        <v>50</v>
      </c>
      <c r="C2439" s="4" t="n">
        <v>3</v>
      </c>
      <c r="D2439" s="4" t="s">
        <v>142</v>
      </c>
      <c r="E2439" s="3" t="s">
        <v>155</v>
      </c>
      <c r="F2439" s="4" t="str">
        <f aca="false">IF(I2439&gt;J2439,"Y","N")</f>
        <v>N</v>
      </c>
      <c r="G2439" s="3" t="s">
        <v>72</v>
      </c>
      <c r="H2439" s="3" t="s">
        <v>26</v>
      </c>
      <c r="I2439" s="4" t="n">
        <v>4</v>
      </c>
      <c r="J2439" s="4" t="n">
        <f aca="false">LEN(E2439)-LEN(SUBSTITUTE(E2439,",",""))+1</f>
        <v>4</v>
      </c>
      <c r="K2439" s="3" t="str">
        <f aca="false">IFERROR(INDEX('Teacher Lookup'!$B$2:$B$200,MATCH(A2439,'Teacher Lookup'!$A$2:$A$200,0)),"")</f>
        <v>CHAN Clara</v>
      </c>
    </row>
    <row r="2440" customFormat="false" ht="15" hidden="false" customHeight="false" outlineLevel="0" collapsed="false">
      <c r="A2440" s="3" t="s">
        <v>364</v>
      </c>
      <c r="B2440" s="4" t="s">
        <v>50</v>
      </c>
      <c r="C2440" s="4" t="n">
        <v>3</v>
      </c>
      <c r="D2440" s="4" t="s">
        <v>127</v>
      </c>
      <c r="E2440" s="3" t="s">
        <v>155</v>
      </c>
      <c r="F2440" s="4" t="str">
        <f aca="false">IF(I2440&gt;J2440,"Y","N")</f>
        <v>N</v>
      </c>
      <c r="G2440" s="3" t="s">
        <v>72</v>
      </c>
      <c r="H2440" s="3" t="s">
        <v>26</v>
      </c>
      <c r="I2440" s="4" t="n">
        <v>4</v>
      </c>
      <c r="J2440" s="4" t="n">
        <f aca="false">LEN(E2440)-LEN(SUBSTITUTE(E2440,",",""))+1</f>
        <v>4</v>
      </c>
      <c r="K2440" s="3" t="str">
        <f aca="false">IFERROR(INDEX('Teacher Lookup'!$B$2:$B$200,MATCH(A2440,'Teacher Lookup'!$A$2:$A$200,0)),"")</f>
        <v>CHAN Clara</v>
      </c>
    </row>
    <row r="2441" customFormat="false" ht="15" hidden="false" customHeight="false" outlineLevel="0" collapsed="false">
      <c r="A2441" s="3" t="s">
        <v>364</v>
      </c>
      <c r="B2441" s="4" t="s">
        <v>50</v>
      </c>
      <c r="C2441" s="4" t="n">
        <v>6</v>
      </c>
      <c r="D2441" s="4" t="s">
        <v>24</v>
      </c>
      <c r="E2441" s="3" t="s">
        <v>89</v>
      </c>
      <c r="F2441" s="4" t="str">
        <f aca="false">IF(I2441&gt;J2441,"Y","N")</f>
        <v>N</v>
      </c>
      <c r="G2441" s="3" t="s">
        <v>72</v>
      </c>
      <c r="H2441" s="3" t="s">
        <v>42</v>
      </c>
      <c r="I2441" s="4" t="n">
        <v>3</v>
      </c>
      <c r="J2441" s="4" t="n">
        <f aca="false">LEN(E2441)-LEN(SUBSTITUTE(E2441,",",""))+1</f>
        <v>3</v>
      </c>
      <c r="K2441" s="3" t="str">
        <f aca="false">IFERROR(INDEX('Teacher Lookup'!$B$2:$B$200,MATCH(A2441,'Teacher Lookup'!$A$2:$A$200,0)),"")</f>
        <v>CHAN Clara</v>
      </c>
    </row>
    <row r="2442" customFormat="false" ht="15" hidden="false" customHeight="false" outlineLevel="0" collapsed="false">
      <c r="A2442" s="3" t="s">
        <v>364</v>
      </c>
      <c r="B2442" s="4" t="s">
        <v>50</v>
      </c>
      <c r="C2442" s="4" t="n">
        <v>6</v>
      </c>
      <c r="D2442" s="4" t="s">
        <v>27</v>
      </c>
      <c r="E2442" s="3" t="s">
        <v>89</v>
      </c>
      <c r="F2442" s="4" t="str">
        <f aca="false">IF(I2442&gt;J2442,"Y","N")</f>
        <v>N</v>
      </c>
      <c r="G2442" s="3" t="s">
        <v>72</v>
      </c>
      <c r="H2442" s="3" t="s">
        <v>42</v>
      </c>
      <c r="I2442" s="4" t="n">
        <v>3</v>
      </c>
      <c r="J2442" s="4" t="n">
        <f aca="false">LEN(E2442)-LEN(SUBSTITUTE(E2442,",",""))+1</f>
        <v>3</v>
      </c>
      <c r="K2442" s="3" t="str">
        <f aca="false">IFERROR(INDEX('Teacher Lookup'!$B$2:$B$200,MATCH(A2442,'Teacher Lookup'!$A$2:$A$200,0)),"")</f>
        <v>CHAN Clara</v>
      </c>
    </row>
    <row r="2443" customFormat="false" ht="15" hidden="false" customHeight="false" outlineLevel="0" collapsed="false">
      <c r="A2443" s="3" t="s">
        <v>364</v>
      </c>
      <c r="B2443" s="4" t="s">
        <v>60</v>
      </c>
      <c r="C2443" s="4" t="n">
        <v>4</v>
      </c>
      <c r="D2443" s="4" t="s">
        <v>24</v>
      </c>
      <c r="E2443" s="3" t="s">
        <v>92</v>
      </c>
      <c r="F2443" s="4" t="str">
        <f aca="false">IF(I2443&gt;J2443,"Y","N")</f>
        <v>N</v>
      </c>
      <c r="G2443" s="3" t="s">
        <v>72</v>
      </c>
      <c r="H2443" s="3" t="s">
        <v>34</v>
      </c>
      <c r="I2443" s="4" t="n">
        <v>3</v>
      </c>
      <c r="J2443" s="4" t="n">
        <f aca="false">LEN(E2443)-LEN(SUBSTITUTE(E2443,",",""))+1</f>
        <v>3</v>
      </c>
      <c r="K2443" s="3" t="str">
        <f aca="false">IFERROR(INDEX('Teacher Lookup'!$B$2:$B$200,MATCH(A2443,'Teacher Lookup'!$A$2:$A$200,0)),"")</f>
        <v>CHAN Clara</v>
      </c>
    </row>
    <row r="2444" customFormat="false" ht="15" hidden="false" customHeight="false" outlineLevel="0" collapsed="false">
      <c r="A2444" s="3" t="s">
        <v>364</v>
      </c>
      <c r="B2444" s="4" t="s">
        <v>60</v>
      </c>
      <c r="C2444" s="4" t="n">
        <v>4</v>
      </c>
      <c r="D2444" s="4" t="s">
        <v>27</v>
      </c>
      <c r="E2444" s="3" t="s">
        <v>92</v>
      </c>
      <c r="F2444" s="4" t="str">
        <f aca="false">IF(I2444&gt;J2444,"Y","N")</f>
        <v>N</v>
      </c>
      <c r="G2444" s="3" t="s">
        <v>72</v>
      </c>
      <c r="H2444" s="3" t="s">
        <v>34</v>
      </c>
      <c r="I2444" s="4" t="n">
        <v>3</v>
      </c>
      <c r="J2444" s="4" t="n">
        <f aca="false">LEN(E2444)-LEN(SUBSTITUTE(E2444,",",""))+1</f>
        <v>3</v>
      </c>
      <c r="K2444" s="3" t="str">
        <f aca="false">IFERROR(INDEX('Teacher Lookup'!$B$2:$B$200,MATCH(A2444,'Teacher Lookup'!$A$2:$A$200,0)),"")</f>
        <v>CHAN Clara</v>
      </c>
    </row>
    <row r="2445" customFormat="false" ht="15" hidden="false" customHeight="false" outlineLevel="0" collapsed="false">
      <c r="A2445" s="3" t="s">
        <v>364</v>
      </c>
      <c r="B2445" s="4" t="s">
        <v>60</v>
      </c>
      <c r="C2445" s="4" t="n">
        <v>5</v>
      </c>
      <c r="D2445" s="4" t="s">
        <v>137</v>
      </c>
      <c r="E2445" s="3" t="s">
        <v>185</v>
      </c>
      <c r="F2445" s="4" t="str">
        <f aca="false">IF(I2445&gt;J2445,"Y","N")</f>
        <v>Y</v>
      </c>
      <c r="G2445" s="3" t="s">
        <v>36</v>
      </c>
      <c r="H2445" s="3" t="s">
        <v>37</v>
      </c>
      <c r="I2445" s="4" t="n">
        <v>21</v>
      </c>
      <c r="J2445" s="4" t="n">
        <f aca="false">LEN(E2445)-LEN(SUBSTITUTE(E2445,",",""))+1</f>
        <v>7</v>
      </c>
      <c r="K2445" s="3" t="str">
        <f aca="false">IFERROR(INDEX('Teacher Lookup'!$B$2:$B$200,MATCH(A2445,'Teacher Lookup'!$A$2:$A$200,0)),"")</f>
        <v>CHAN Clara</v>
      </c>
    </row>
    <row r="2446" customFormat="false" ht="15" hidden="false" customHeight="false" outlineLevel="0" collapsed="false">
      <c r="A2446" s="3" t="s">
        <v>364</v>
      </c>
      <c r="B2446" s="4" t="s">
        <v>60</v>
      </c>
      <c r="C2446" s="4" t="n">
        <v>5</v>
      </c>
      <c r="D2446" s="4" t="s">
        <v>124</v>
      </c>
      <c r="E2446" s="3" t="s">
        <v>185</v>
      </c>
      <c r="F2446" s="4" t="str">
        <f aca="false">IF(I2446&gt;J2446,"Y","N")</f>
        <v>Y</v>
      </c>
      <c r="G2446" s="3" t="s">
        <v>36</v>
      </c>
      <c r="H2446" s="3" t="s">
        <v>37</v>
      </c>
      <c r="I2446" s="4" t="n">
        <v>21</v>
      </c>
      <c r="J2446" s="4" t="n">
        <f aca="false">LEN(E2446)-LEN(SUBSTITUTE(E2446,",",""))+1</f>
        <v>7</v>
      </c>
      <c r="K2446" s="3" t="str">
        <f aca="false">IFERROR(INDEX('Teacher Lookup'!$B$2:$B$200,MATCH(A2446,'Teacher Lookup'!$A$2:$A$200,0)),"")</f>
        <v>CHAN Clara</v>
      </c>
    </row>
    <row r="2447" customFormat="false" ht="15" hidden="false" customHeight="false" outlineLevel="0" collapsed="false">
      <c r="A2447" s="3" t="s">
        <v>364</v>
      </c>
      <c r="B2447" s="4" t="s">
        <v>60</v>
      </c>
      <c r="C2447" s="4" t="n">
        <v>5</v>
      </c>
      <c r="D2447" s="4" t="s">
        <v>139</v>
      </c>
      <c r="E2447" s="3" t="s">
        <v>185</v>
      </c>
      <c r="F2447" s="4" t="str">
        <f aca="false">IF(I2447&gt;J2447,"Y","N")</f>
        <v>Y</v>
      </c>
      <c r="G2447" s="3" t="s">
        <v>36</v>
      </c>
      <c r="H2447" s="3" t="s">
        <v>37</v>
      </c>
      <c r="I2447" s="4" t="n">
        <v>21</v>
      </c>
      <c r="J2447" s="4" t="n">
        <f aca="false">LEN(E2447)-LEN(SUBSTITUTE(E2447,",",""))+1</f>
        <v>7</v>
      </c>
      <c r="K2447" s="3" t="str">
        <f aca="false">IFERROR(INDEX('Teacher Lookup'!$B$2:$B$200,MATCH(A2447,'Teacher Lookup'!$A$2:$A$200,0)),"")</f>
        <v>CHAN Clara</v>
      </c>
    </row>
    <row r="2448" customFormat="false" ht="15" hidden="false" customHeight="false" outlineLevel="0" collapsed="false">
      <c r="A2448" s="3" t="s">
        <v>364</v>
      </c>
      <c r="B2448" s="4" t="s">
        <v>60</v>
      </c>
      <c r="C2448" s="4" t="n">
        <v>5</v>
      </c>
      <c r="D2448" s="4" t="s">
        <v>140</v>
      </c>
      <c r="E2448" s="3" t="s">
        <v>185</v>
      </c>
      <c r="F2448" s="4" t="str">
        <f aca="false">IF(I2448&gt;J2448,"Y","N")</f>
        <v>Y</v>
      </c>
      <c r="G2448" s="3" t="s">
        <v>36</v>
      </c>
      <c r="H2448" s="3" t="s">
        <v>37</v>
      </c>
      <c r="I2448" s="4" t="n">
        <v>21</v>
      </c>
      <c r="J2448" s="4" t="n">
        <f aca="false">LEN(E2448)-LEN(SUBSTITUTE(E2448,",",""))+1</f>
        <v>7</v>
      </c>
      <c r="K2448" s="3" t="str">
        <f aca="false">IFERROR(INDEX('Teacher Lookup'!$B$2:$B$200,MATCH(A2448,'Teacher Lookup'!$A$2:$A$200,0)),"")</f>
        <v>CHAN Clara</v>
      </c>
    </row>
    <row r="2449" customFormat="false" ht="15" hidden="false" customHeight="false" outlineLevel="0" collapsed="false">
      <c r="A2449" s="3" t="s">
        <v>364</v>
      </c>
      <c r="B2449" s="4" t="s">
        <v>60</v>
      </c>
      <c r="C2449" s="4" t="n">
        <v>5</v>
      </c>
      <c r="D2449" s="4" t="s">
        <v>142</v>
      </c>
      <c r="E2449" s="3" t="s">
        <v>185</v>
      </c>
      <c r="F2449" s="4" t="str">
        <f aca="false">IF(I2449&gt;J2449,"Y","N")</f>
        <v>Y</v>
      </c>
      <c r="G2449" s="3" t="s">
        <v>36</v>
      </c>
      <c r="H2449" s="3" t="s">
        <v>37</v>
      </c>
      <c r="I2449" s="4" t="n">
        <v>21</v>
      </c>
      <c r="J2449" s="4" t="n">
        <f aca="false">LEN(E2449)-LEN(SUBSTITUTE(E2449,",",""))+1</f>
        <v>7</v>
      </c>
      <c r="K2449" s="3" t="str">
        <f aca="false">IFERROR(INDEX('Teacher Lookup'!$B$2:$B$200,MATCH(A2449,'Teacher Lookup'!$A$2:$A$200,0)),"")</f>
        <v>CHAN Clara</v>
      </c>
    </row>
    <row r="2450" customFormat="false" ht="15" hidden="false" customHeight="false" outlineLevel="0" collapsed="false">
      <c r="A2450" s="3" t="s">
        <v>364</v>
      </c>
      <c r="B2450" s="4" t="s">
        <v>60</v>
      </c>
      <c r="C2450" s="4" t="n">
        <v>5</v>
      </c>
      <c r="D2450" s="4" t="s">
        <v>127</v>
      </c>
      <c r="E2450" s="3" t="s">
        <v>185</v>
      </c>
      <c r="F2450" s="4" t="str">
        <f aca="false">IF(I2450&gt;J2450,"Y","N")</f>
        <v>Y</v>
      </c>
      <c r="G2450" s="3" t="s">
        <v>36</v>
      </c>
      <c r="H2450" s="3" t="s">
        <v>37</v>
      </c>
      <c r="I2450" s="4" t="n">
        <v>21</v>
      </c>
      <c r="J2450" s="4" t="n">
        <f aca="false">LEN(E2450)-LEN(SUBSTITUTE(E2450,",",""))+1</f>
        <v>7</v>
      </c>
      <c r="K2450" s="3" t="str">
        <f aca="false">IFERROR(INDEX('Teacher Lookup'!$B$2:$B$200,MATCH(A2450,'Teacher Lookup'!$A$2:$A$200,0)),"")</f>
        <v>CHAN Clara</v>
      </c>
    </row>
    <row r="2451" customFormat="false" ht="15" hidden="false" customHeight="false" outlineLevel="0" collapsed="false">
      <c r="A2451" s="3" t="s">
        <v>364</v>
      </c>
      <c r="B2451" s="4" t="s">
        <v>60</v>
      </c>
      <c r="C2451" s="4" t="n">
        <v>6</v>
      </c>
      <c r="D2451" s="4" t="s">
        <v>140</v>
      </c>
      <c r="E2451" s="3" t="s">
        <v>150</v>
      </c>
      <c r="F2451" s="4" t="str">
        <f aca="false">IF(I2451&gt;J2451,"Y","N")</f>
        <v>N</v>
      </c>
      <c r="G2451" s="3" t="s">
        <v>72</v>
      </c>
      <c r="H2451" s="3" t="s">
        <v>42</v>
      </c>
      <c r="I2451" s="4" t="n">
        <v>4</v>
      </c>
      <c r="J2451" s="4" t="n">
        <f aca="false">LEN(E2451)-LEN(SUBSTITUTE(E2451,",",""))+1</f>
        <v>4</v>
      </c>
      <c r="K2451" s="3" t="str">
        <f aca="false">IFERROR(INDEX('Teacher Lookup'!$B$2:$B$200,MATCH(A2451,'Teacher Lookup'!$A$2:$A$200,0)),"")</f>
        <v>CHAN Clara</v>
      </c>
    </row>
    <row r="2452" customFormat="false" ht="15" hidden="false" customHeight="false" outlineLevel="0" collapsed="false">
      <c r="A2452" s="3" t="s">
        <v>364</v>
      </c>
      <c r="B2452" s="4" t="s">
        <v>60</v>
      </c>
      <c r="C2452" s="4" t="n">
        <v>6</v>
      </c>
      <c r="D2452" s="4" t="s">
        <v>142</v>
      </c>
      <c r="E2452" s="3" t="s">
        <v>150</v>
      </c>
      <c r="F2452" s="4" t="str">
        <f aca="false">IF(I2452&gt;J2452,"Y","N")</f>
        <v>N</v>
      </c>
      <c r="G2452" s="3" t="s">
        <v>72</v>
      </c>
      <c r="H2452" s="3" t="s">
        <v>42</v>
      </c>
      <c r="I2452" s="4" t="n">
        <v>4</v>
      </c>
      <c r="J2452" s="4" t="n">
        <f aca="false">LEN(E2452)-LEN(SUBSTITUTE(E2452,",",""))+1</f>
        <v>4</v>
      </c>
      <c r="K2452" s="3" t="str">
        <f aca="false">IFERROR(INDEX('Teacher Lookup'!$B$2:$B$200,MATCH(A2452,'Teacher Lookup'!$A$2:$A$200,0)),"")</f>
        <v>CHAN Clara</v>
      </c>
    </row>
    <row r="2453" customFormat="false" ht="15" hidden="false" customHeight="false" outlineLevel="0" collapsed="false">
      <c r="A2453" s="3" t="s">
        <v>364</v>
      </c>
      <c r="B2453" s="4" t="s">
        <v>60</v>
      </c>
      <c r="C2453" s="4" t="n">
        <v>6</v>
      </c>
      <c r="D2453" s="4" t="s">
        <v>127</v>
      </c>
      <c r="E2453" s="3" t="s">
        <v>150</v>
      </c>
      <c r="F2453" s="4" t="str">
        <f aca="false">IF(I2453&gt;J2453,"Y","N")</f>
        <v>N</v>
      </c>
      <c r="G2453" s="3" t="s">
        <v>72</v>
      </c>
      <c r="H2453" s="3" t="s">
        <v>42</v>
      </c>
      <c r="I2453" s="4" t="n">
        <v>4</v>
      </c>
      <c r="J2453" s="4" t="n">
        <f aca="false">LEN(E2453)-LEN(SUBSTITUTE(E2453,",",""))+1</f>
        <v>4</v>
      </c>
      <c r="K2453" s="3" t="str">
        <f aca="false">IFERROR(INDEX('Teacher Lookup'!$B$2:$B$200,MATCH(A2453,'Teacher Lookup'!$A$2:$A$200,0)),"")</f>
        <v>CHAN Clara</v>
      </c>
    </row>
    <row r="2454" customFormat="false" ht="15" hidden="false" customHeight="false" outlineLevel="0" collapsed="false">
      <c r="A2454" s="3" t="s">
        <v>364</v>
      </c>
      <c r="B2454" s="4" t="s">
        <v>63</v>
      </c>
      <c r="C2454" s="4" t="n">
        <v>1</v>
      </c>
      <c r="D2454" s="4" t="s">
        <v>140</v>
      </c>
      <c r="E2454" s="3" t="s">
        <v>157</v>
      </c>
      <c r="F2454" s="4" t="str">
        <f aca="false">IF(I2454&gt;J2454,"Y","N")</f>
        <v>N</v>
      </c>
      <c r="G2454" s="3" t="s">
        <v>72</v>
      </c>
      <c r="H2454" s="3" t="s">
        <v>16</v>
      </c>
      <c r="I2454" s="4" t="n">
        <v>4</v>
      </c>
      <c r="J2454" s="4" t="n">
        <f aca="false">LEN(E2454)-LEN(SUBSTITUTE(E2454,",",""))+1</f>
        <v>4</v>
      </c>
      <c r="K2454" s="3" t="str">
        <f aca="false">IFERROR(INDEX('Teacher Lookup'!$B$2:$B$200,MATCH(A2454,'Teacher Lookup'!$A$2:$A$200,0)),"")</f>
        <v>CHAN Clara</v>
      </c>
    </row>
    <row r="2455" customFormat="false" ht="15" hidden="false" customHeight="false" outlineLevel="0" collapsed="false">
      <c r="A2455" s="3" t="s">
        <v>364</v>
      </c>
      <c r="B2455" s="4" t="s">
        <v>63</v>
      </c>
      <c r="C2455" s="4" t="n">
        <v>1</v>
      </c>
      <c r="D2455" s="4" t="s">
        <v>142</v>
      </c>
      <c r="E2455" s="3" t="s">
        <v>157</v>
      </c>
      <c r="F2455" s="4" t="str">
        <f aca="false">IF(I2455&gt;J2455,"Y","N")</f>
        <v>N</v>
      </c>
      <c r="G2455" s="3" t="s">
        <v>72</v>
      </c>
      <c r="H2455" s="3" t="s">
        <v>16</v>
      </c>
      <c r="I2455" s="4" t="n">
        <v>4</v>
      </c>
      <c r="J2455" s="4" t="n">
        <f aca="false">LEN(E2455)-LEN(SUBSTITUTE(E2455,",",""))+1</f>
        <v>4</v>
      </c>
      <c r="K2455" s="3" t="str">
        <f aca="false">IFERROR(INDEX('Teacher Lookup'!$B$2:$B$200,MATCH(A2455,'Teacher Lookup'!$A$2:$A$200,0)),"")</f>
        <v>CHAN Clara</v>
      </c>
    </row>
    <row r="2456" customFormat="false" ht="15" hidden="false" customHeight="false" outlineLevel="0" collapsed="false">
      <c r="A2456" s="3" t="s">
        <v>364</v>
      </c>
      <c r="B2456" s="4" t="s">
        <v>63</v>
      </c>
      <c r="C2456" s="4" t="n">
        <v>1</v>
      </c>
      <c r="D2456" s="4" t="s">
        <v>127</v>
      </c>
      <c r="E2456" s="3" t="s">
        <v>157</v>
      </c>
      <c r="F2456" s="4" t="str">
        <f aca="false">IF(I2456&gt;J2456,"Y","N")</f>
        <v>N</v>
      </c>
      <c r="G2456" s="3" t="s">
        <v>72</v>
      </c>
      <c r="H2456" s="3" t="s">
        <v>16</v>
      </c>
      <c r="I2456" s="4" t="n">
        <v>4</v>
      </c>
      <c r="J2456" s="4" t="n">
        <f aca="false">LEN(E2456)-LEN(SUBSTITUTE(E2456,",",""))+1</f>
        <v>4</v>
      </c>
      <c r="K2456" s="3" t="str">
        <f aca="false">IFERROR(INDEX('Teacher Lookup'!$B$2:$B$200,MATCH(A2456,'Teacher Lookup'!$A$2:$A$200,0)),"")</f>
        <v>CHAN Clara</v>
      </c>
    </row>
    <row r="2457" customFormat="false" ht="15" hidden="false" customHeight="false" outlineLevel="0" collapsed="false">
      <c r="A2457" s="3" t="s">
        <v>364</v>
      </c>
      <c r="B2457" s="4" t="s">
        <v>63</v>
      </c>
      <c r="C2457" s="4" t="n">
        <v>2</v>
      </c>
      <c r="D2457" s="4" t="s">
        <v>140</v>
      </c>
      <c r="E2457" s="3" t="s">
        <v>157</v>
      </c>
      <c r="F2457" s="4" t="str">
        <f aca="false">IF(I2457&gt;J2457,"Y","N")</f>
        <v>N</v>
      </c>
      <c r="G2457" s="3" t="s">
        <v>72</v>
      </c>
      <c r="H2457" s="3" t="s">
        <v>21</v>
      </c>
      <c r="I2457" s="4" t="n">
        <v>4</v>
      </c>
      <c r="J2457" s="4" t="n">
        <f aca="false">LEN(E2457)-LEN(SUBSTITUTE(E2457,",",""))+1</f>
        <v>4</v>
      </c>
      <c r="K2457" s="3" t="str">
        <f aca="false">IFERROR(INDEX('Teacher Lookup'!$B$2:$B$200,MATCH(A2457,'Teacher Lookup'!$A$2:$A$200,0)),"")</f>
        <v>CHAN Clara</v>
      </c>
    </row>
    <row r="2458" customFormat="false" ht="15" hidden="false" customHeight="false" outlineLevel="0" collapsed="false">
      <c r="A2458" s="3" t="s">
        <v>364</v>
      </c>
      <c r="B2458" s="4" t="s">
        <v>63</v>
      </c>
      <c r="C2458" s="4" t="n">
        <v>2</v>
      </c>
      <c r="D2458" s="4" t="s">
        <v>142</v>
      </c>
      <c r="E2458" s="3" t="s">
        <v>157</v>
      </c>
      <c r="F2458" s="4" t="str">
        <f aca="false">IF(I2458&gt;J2458,"Y","N")</f>
        <v>N</v>
      </c>
      <c r="G2458" s="3" t="s">
        <v>72</v>
      </c>
      <c r="H2458" s="3" t="s">
        <v>21</v>
      </c>
      <c r="I2458" s="4" t="n">
        <v>4</v>
      </c>
      <c r="J2458" s="4" t="n">
        <f aca="false">LEN(E2458)-LEN(SUBSTITUTE(E2458,",",""))+1</f>
        <v>4</v>
      </c>
      <c r="K2458" s="3" t="str">
        <f aca="false">IFERROR(INDEX('Teacher Lookup'!$B$2:$B$200,MATCH(A2458,'Teacher Lookup'!$A$2:$A$200,0)),"")</f>
        <v>CHAN Clara</v>
      </c>
    </row>
    <row r="2459" customFormat="false" ht="15" hidden="false" customHeight="false" outlineLevel="0" collapsed="false">
      <c r="A2459" s="3" t="s">
        <v>364</v>
      </c>
      <c r="B2459" s="4" t="s">
        <v>63</v>
      </c>
      <c r="C2459" s="4" t="n">
        <v>2</v>
      </c>
      <c r="D2459" s="4" t="s">
        <v>127</v>
      </c>
      <c r="E2459" s="3" t="s">
        <v>157</v>
      </c>
      <c r="F2459" s="4" t="str">
        <f aca="false">IF(I2459&gt;J2459,"Y","N")</f>
        <v>N</v>
      </c>
      <c r="G2459" s="3" t="s">
        <v>72</v>
      </c>
      <c r="H2459" s="3" t="s">
        <v>21</v>
      </c>
      <c r="I2459" s="4" t="n">
        <v>4</v>
      </c>
      <c r="J2459" s="4" t="n">
        <f aca="false">LEN(E2459)-LEN(SUBSTITUTE(E2459,",",""))+1</f>
        <v>4</v>
      </c>
      <c r="K2459" s="3" t="str">
        <f aca="false">IFERROR(INDEX('Teacher Lookup'!$B$2:$B$200,MATCH(A2459,'Teacher Lookup'!$A$2:$A$200,0)),"")</f>
        <v>CHAN Clara</v>
      </c>
    </row>
    <row r="2460" customFormat="false" ht="15" hidden="false" customHeight="false" outlineLevel="0" collapsed="false">
      <c r="A2460" s="3" t="s">
        <v>364</v>
      </c>
      <c r="B2460" s="4" t="s">
        <v>63</v>
      </c>
      <c r="C2460" s="4" t="n">
        <v>5</v>
      </c>
      <c r="D2460" s="4" t="s">
        <v>24</v>
      </c>
      <c r="E2460" s="3" t="s">
        <v>92</v>
      </c>
      <c r="F2460" s="4" t="str">
        <f aca="false">IF(I2460&gt;J2460,"Y","N")</f>
        <v>N</v>
      </c>
      <c r="G2460" s="3" t="s">
        <v>72</v>
      </c>
      <c r="H2460" s="3" t="s">
        <v>37</v>
      </c>
      <c r="I2460" s="4" t="n">
        <v>3</v>
      </c>
      <c r="J2460" s="4" t="n">
        <f aca="false">LEN(E2460)-LEN(SUBSTITUTE(E2460,",",""))+1</f>
        <v>3</v>
      </c>
      <c r="K2460" s="3" t="str">
        <f aca="false">IFERROR(INDEX('Teacher Lookup'!$B$2:$B$200,MATCH(A2460,'Teacher Lookup'!$A$2:$A$200,0)),"")</f>
        <v>CHAN Clara</v>
      </c>
    </row>
    <row r="2461" customFormat="false" ht="15" hidden="false" customHeight="false" outlineLevel="0" collapsed="false">
      <c r="A2461" s="3" t="s">
        <v>364</v>
      </c>
      <c r="B2461" s="4" t="s">
        <v>63</v>
      </c>
      <c r="C2461" s="4" t="n">
        <v>5</v>
      </c>
      <c r="D2461" s="4" t="s">
        <v>27</v>
      </c>
      <c r="E2461" s="3" t="s">
        <v>92</v>
      </c>
      <c r="F2461" s="4" t="str">
        <f aca="false">IF(I2461&gt;J2461,"Y","N")</f>
        <v>N</v>
      </c>
      <c r="G2461" s="3" t="s">
        <v>72</v>
      </c>
      <c r="H2461" s="3" t="s">
        <v>37</v>
      </c>
      <c r="I2461" s="4" t="n">
        <v>3</v>
      </c>
      <c r="J2461" s="4" t="n">
        <f aca="false">LEN(E2461)-LEN(SUBSTITUTE(E2461,",",""))+1</f>
        <v>3</v>
      </c>
      <c r="K2461" s="3" t="str">
        <f aca="false">IFERROR(INDEX('Teacher Lookup'!$B$2:$B$200,MATCH(A2461,'Teacher Lookup'!$A$2:$A$200,0)),"")</f>
        <v>CHAN Clara</v>
      </c>
    </row>
    <row r="2462" customFormat="false" ht="15" hidden="false" customHeight="false" outlineLevel="0" collapsed="false">
      <c r="A2462" s="3" t="s">
        <v>364</v>
      </c>
      <c r="B2462" s="4" t="s">
        <v>65</v>
      </c>
      <c r="C2462" s="4" t="n">
        <v>3</v>
      </c>
      <c r="D2462" s="4" t="s">
        <v>24</v>
      </c>
      <c r="E2462" s="3" t="s">
        <v>95</v>
      </c>
      <c r="F2462" s="4" t="str">
        <f aca="false">IF(I2462&gt;J2462,"Y","N")</f>
        <v>N</v>
      </c>
      <c r="G2462" s="3" t="s">
        <v>72</v>
      </c>
      <c r="H2462" s="3" t="s">
        <v>26</v>
      </c>
      <c r="I2462" s="4" t="n">
        <v>3</v>
      </c>
      <c r="J2462" s="4" t="n">
        <f aca="false">LEN(E2462)-LEN(SUBSTITUTE(E2462,",",""))+1</f>
        <v>3</v>
      </c>
      <c r="K2462" s="3" t="str">
        <f aca="false">IFERROR(INDEX('Teacher Lookup'!$B$2:$B$200,MATCH(A2462,'Teacher Lookup'!$A$2:$A$200,0)),"")</f>
        <v>CHAN Clara</v>
      </c>
    </row>
    <row r="2463" customFormat="false" ht="15" hidden="false" customHeight="false" outlineLevel="0" collapsed="false">
      <c r="A2463" s="3" t="s">
        <v>364</v>
      </c>
      <c r="B2463" s="4" t="s">
        <v>65</v>
      </c>
      <c r="C2463" s="4" t="n">
        <v>3</v>
      </c>
      <c r="D2463" s="4" t="s">
        <v>27</v>
      </c>
      <c r="E2463" s="3" t="s">
        <v>95</v>
      </c>
      <c r="F2463" s="4" t="str">
        <f aca="false">IF(I2463&gt;J2463,"Y","N")</f>
        <v>N</v>
      </c>
      <c r="G2463" s="3" t="s">
        <v>72</v>
      </c>
      <c r="H2463" s="3" t="s">
        <v>26</v>
      </c>
      <c r="I2463" s="4" t="n">
        <v>3</v>
      </c>
      <c r="J2463" s="4" t="n">
        <f aca="false">LEN(E2463)-LEN(SUBSTITUTE(E2463,",",""))+1</f>
        <v>3</v>
      </c>
      <c r="K2463" s="3" t="str">
        <f aca="false">IFERROR(INDEX('Teacher Lookup'!$B$2:$B$200,MATCH(A2463,'Teacher Lookup'!$A$2:$A$200,0)),"")</f>
        <v>CHAN Clara</v>
      </c>
    </row>
    <row r="2464" customFormat="false" ht="15" hidden="false" customHeight="false" outlineLevel="0" collapsed="false">
      <c r="A2464" s="3" t="s">
        <v>364</v>
      </c>
      <c r="B2464" s="4" t="s">
        <v>65</v>
      </c>
      <c r="C2464" s="4" t="n">
        <v>4</v>
      </c>
      <c r="D2464" s="4" t="s">
        <v>140</v>
      </c>
      <c r="E2464" s="3" t="s">
        <v>152</v>
      </c>
      <c r="F2464" s="4" t="str">
        <f aca="false">IF(I2464&gt;J2464,"Y","N")</f>
        <v>N</v>
      </c>
      <c r="G2464" s="3" t="s">
        <v>72</v>
      </c>
      <c r="H2464" s="3" t="s">
        <v>34</v>
      </c>
      <c r="I2464" s="4" t="n">
        <v>4</v>
      </c>
      <c r="J2464" s="4" t="n">
        <f aca="false">LEN(E2464)-LEN(SUBSTITUTE(E2464,",",""))+1</f>
        <v>4</v>
      </c>
      <c r="K2464" s="3" t="str">
        <f aca="false">IFERROR(INDEX('Teacher Lookup'!$B$2:$B$200,MATCH(A2464,'Teacher Lookup'!$A$2:$A$200,0)),"")</f>
        <v>CHAN Clara</v>
      </c>
    </row>
    <row r="2465" customFormat="false" ht="15" hidden="false" customHeight="false" outlineLevel="0" collapsed="false">
      <c r="A2465" s="3" t="s">
        <v>364</v>
      </c>
      <c r="B2465" s="4" t="s">
        <v>65</v>
      </c>
      <c r="C2465" s="4" t="n">
        <v>4</v>
      </c>
      <c r="D2465" s="4" t="s">
        <v>142</v>
      </c>
      <c r="E2465" s="3" t="s">
        <v>152</v>
      </c>
      <c r="F2465" s="4" t="str">
        <f aca="false">IF(I2465&gt;J2465,"Y","N")</f>
        <v>N</v>
      </c>
      <c r="G2465" s="3" t="s">
        <v>72</v>
      </c>
      <c r="H2465" s="3" t="s">
        <v>34</v>
      </c>
      <c r="I2465" s="4" t="n">
        <v>4</v>
      </c>
      <c r="J2465" s="4" t="n">
        <f aca="false">LEN(E2465)-LEN(SUBSTITUTE(E2465,",",""))+1</f>
        <v>4</v>
      </c>
      <c r="K2465" s="3" t="str">
        <f aca="false">IFERROR(INDEX('Teacher Lookup'!$B$2:$B$200,MATCH(A2465,'Teacher Lookup'!$A$2:$A$200,0)),"")</f>
        <v>CHAN Clara</v>
      </c>
    </row>
    <row r="2466" customFormat="false" ht="15" hidden="false" customHeight="false" outlineLevel="0" collapsed="false">
      <c r="A2466" s="3" t="s">
        <v>364</v>
      </c>
      <c r="B2466" s="4" t="s">
        <v>65</v>
      </c>
      <c r="C2466" s="4" t="n">
        <v>4</v>
      </c>
      <c r="D2466" s="4" t="s">
        <v>127</v>
      </c>
      <c r="E2466" s="3" t="s">
        <v>152</v>
      </c>
      <c r="F2466" s="4" t="str">
        <f aca="false">IF(I2466&gt;J2466,"Y","N")</f>
        <v>N</v>
      </c>
      <c r="G2466" s="3" t="s">
        <v>72</v>
      </c>
      <c r="H2466" s="3" t="s">
        <v>34</v>
      </c>
      <c r="I2466" s="4" t="n">
        <v>4</v>
      </c>
      <c r="J2466" s="4" t="n">
        <f aca="false">LEN(E2466)-LEN(SUBSTITUTE(E2466,",",""))+1</f>
        <v>4</v>
      </c>
      <c r="K2466" s="3" t="str">
        <f aca="false">IFERROR(INDEX('Teacher Lookup'!$B$2:$B$200,MATCH(A2466,'Teacher Lookup'!$A$2:$A$200,0)),"")</f>
        <v>CHAN Clara</v>
      </c>
    </row>
    <row r="2467" customFormat="false" ht="15" hidden="false" customHeight="false" outlineLevel="0" collapsed="false">
      <c r="A2467" s="3" t="s">
        <v>364</v>
      </c>
      <c r="B2467" s="4" t="s">
        <v>65</v>
      </c>
      <c r="C2467" s="4" t="n">
        <v>5</v>
      </c>
      <c r="D2467" s="4" t="s">
        <v>137</v>
      </c>
      <c r="E2467" s="3" t="s">
        <v>185</v>
      </c>
      <c r="F2467" s="4" t="str">
        <f aca="false">IF(I2467&gt;J2467,"Y","N")</f>
        <v>Y</v>
      </c>
      <c r="G2467" s="3" t="s">
        <v>36</v>
      </c>
      <c r="H2467" s="3" t="s">
        <v>37</v>
      </c>
      <c r="I2467" s="4" t="n">
        <v>21</v>
      </c>
      <c r="J2467" s="4" t="n">
        <f aca="false">LEN(E2467)-LEN(SUBSTITUTE(E2467,",",""))+1</f>
        <v>7</v>
      </c>
      <c r="K2467" s="3" t="str">
        <f aca="false">IFERROR(INDEX('Teacher Lookup'!$B$2:$B$200,MATCH(A2467,'Teacher Lookup'!$A$2:$A$200,0)),"")</f>
        <v>CHAN Clara</v>
      </c>
    </row>
    <row r="2468" customFormat="false" ht="15" hidden="false" customHeight="false" outlineLevel="0" collapsed="false">
      <c r="A2468" s="3" t="s">
        <v>364</v>
      </c>
      <c r="B2468" s="4" t="s">
        <v>65</v>
      </c>
      <c r="C2468" s="4" t="n">
        <v>5</v>
      </c>
      <c r="D2468" s="4" t="s">
        <v>124</v>
      </c>
      <c r="E2468" s="3" t="s">
        <v>185</v>
      </c>
      <c r="F2468" s="4" t="str">
        <f aca="false">IF(I2468&gt;J2468,"Y","N")</f>
        <v>Y</v>
      </c>
      <c r="G2468" s="3" t="s">
        <v>36</v>
      </c>
      <c r="H2468" s="3" t="s">
        <v>37</v>
      </c>
      <c r="I2468" s="4" t="n">
        <v>21</v>
      </c>
      <c r="J2468" s="4" t="n">
        <f aca="false">LEN(E2468)-LEN(SUBSTITUTE(E2468,",",""))+1</f>
        <v>7</v>
      </c>
      <c r="K2468" s="3" t="str">
        <f aca="false">IFERROR(INDEX('Teacher Lookup'!$B$2:$B$200,MATCH(A2468,'Teacher Lookup'!$A$2:$A$200,0)),"")</f>
        <v>CHAN Clara</v>
      </c>
    </row>
    <row r="2469" customFormat="false" ht="15" hidden="false" customHeight="false" outlineLevel="0" collapsed="false">
      <c r="A2469" s="3" t="s">
        <v>364</v>
      </c>
      <c r="B2469" s="4" t="s">
        <v>65</v>
      </c>
      <c r="C2469" s="4" t="n">
        <v>5</v>
      </c>
      <c r="D2469" s="4" t="s">
        <v>139</v>
      </c>
      <c r="E2469" s="3" t="s">
        <v>185</v>
      </c>
      <c r="F2469" s="4" t="str">
        <f aca="false">IF(I2469&gt;J2469,"Y","N")</f>
        <v>Y</v>
      </c>
      <c r="G2469" s="3" t="s">
        <v>36</v>
      </c>
      <c r="H2469" s="3" t="s">
        <v>37</v>
      </c>
      <c r="I2469" s="4" t="n">
        <v>21</v>
      </c>
      <c r="J2469" s="4" t="n">
        <f aca="false">LEN(E2469)-LEN(SUBSTITUTE(E2469,",",""))+1</f>
        <v>7</v>
      </c>
      <c r="K2469" s="3" t="str">
        <f aca="false">IFERROR(INDEX('Teacher Lookup'!$B$2:$B$200,MATCH(A2469,'Teacher Lookup'!$A$2:$A$200,0)),"")</f>
        <v>CHAN Clara</v>
      </c>
    </row>
    <row r="2470" customFormat="false" ht="15" hidden="false" customHeight="false" outlineLevel="0" collapsed="false">
      <c r="A2470" s="3" t="s">
        <v>364</v>
      </c>
      <c r="B2470" s="4" t="s">
        <v>65</v>
      </c>
      <c r="C2470" s="4" t="n">
        <v>5</v>
      </c>
      <c r="D2470" s="4" t="s">
        <v>140</v>
      </c>
      <c r="E2470" s="3" t="s">
        <v>185</v>
      </c>
      <c r="F2470" s="4" t="str">
        <f aca="false">IF(I2470&gt;J2470,"Y","N")</f>
        <v>Y</v>
      </c>
      <c r="G2470" s="3" t="s">
        <v>36</v>
      </c>
      <c r="H2470" s="3" t="s">
        <v>37</v>
      </c>
      <c r="I2470" s="4" t="n">
        <v>21</v>
      </c>
      <c r="J2470" s="4" t="n">
        <f aca="false">LEN(E2470)-LEN(SUBSTITUTE(E2470,",",""))+1</f>
        <v>7</v>
      </c>
      <c r="K2470" s="3" t="str">
        <f aca="false">IFERROR(INDEX('Teacher Lookup'!$B$2:$B$200,MATCH(A2470,'Teacher Lookup'!$A$2:$A$200,0)),"")</f>
        <v>CHAN Clara</v>
      </c>
    </row>
    <row r="2471" customFormat="false" ht="15" hidden="false" customHeight="false" outlineLevel="0" collapsed="false">
      <c r="A2471" s="3" t="s">
        <v>364</v>
      </c>
      <c r="B2471" s="4" t="s">
        <v>65</v>
      </c>
      <c r="C2471" s="4" t="n">
        <v>5</v>
      </c>
      <c r="D2471" s="4" t="s">
        <v>142</v>
      </c>
      <c r="E2471" s="3" t="s">
        <v>185</v>
      </c>
      <c r="F2471" s="4" t="str">
        <f aca="false">IF(I2471&gt;J2471,"Y","N")</f>
        <v>Y</v>
      </c>
      <c r="G2471" s="3" t="s">
        <v>36</v>
      </c>
      <c r="H2471" s="3" t="s">
        <v>37</v>
      </c>
      <c r="I2471" s="4" t="n">
        <v>21</v>
      </c>
      <c r="J2471" s="4" t="n">
        <f aca="false">LEN(E2471)-LEN(SUBSTITUTE(E2471,",",""))+1</f>
        <v>7</v>
      </c>
      <c r="K2471" s="3" t="str">
        <f aca="false">IFERROR(INDEX('Teacher Lookup'!$B$2:$B$200,MATCH(A2471,'Teacher Lookup'!$A$2:$A$200,0)),"")</f>
        <v>CHAN Clara</v>
      </c>
    </row>
    <row r="2472" customFormat="false" ht="15" hidden="false" customHeight="false" outlineLevel="0" collapsed="false">
      <c r="A2472" s="3" t="s">
        <v>364</v>
      </c>
      <c r="B2472" s="4" t="s">
        <v>65</v>
      </c>
      <c r="C2472" s="4" t="n">
        <v>5</v>
      </c>
      <c r="D2472" s="4" t="s">
        <v>127</v>
      </c>
      <c r="E2472" s="3" t="s">
        <v>185</v>
      </c>
      <c r="F2472" s="4" t="str">
        <f aca="false">IF(I2472&gt;J2472,"Y","N")</f>
        <v>Y</v>
      </c>
      <c r="G2472" s="3" t="s">
        <v>36</v>
      </c>
      <c r="H2472" s="3" t="s">
        <v>37</v>
      </c>
      <c r="I2472" s="4" t="n">
        <v>21</v>
      </c>
      <c r="J2472" s="4" t="n">
        <f aca="false">LEN(E2472)-LEN(SUBSTITUTE(E2472,",",""))+1</f>
        <v>7</v>
      </c>
      <c r="K2472" s="3" t="str">
        <f aca="false">IFERROR(INDEX('Teacher Lookup'!$B$2:$B$200,MATCH(A2472,'Teacher Lookup'!$A$2:$A$200,0)),"")</f>
        <v>CHAN Clara</v>
      </c>
    </row>
    <row r="2473" customFormat="false" ht="15" hidden="false" customHeight="false" outlineLevel="0" collapsed="false">
      <c r="A2473" s="3" t="s">
        <v>364</v>
      </c>
      <c r="B2473" s="4" t="s">
        <v>66</v>
      </c>
      <c r="C2473" s="4" t="n">
        <v>1</v>
      </c>
      <c r="D2473" s="4" t="s">
        <v>140</v>
      </c>
      <c r="E2473" s="3" t="s">
        <v>160</v>
      </c>
      <c r="F2473" s="4" t="str">
        <f aca="false">IF(I2473&gt;J2473,"Y","N")</f>
        <v>N</v>
      </c>
      <c r="G2473" s="3" t="s">
        <v>72</v>
      </c>
      <c r="H2473" s="3" t="s">
        <v>16</v>
      </c>
      <c r="I2473" s="4" t="n">
        <v>4</v>
      </c>
      <c r="J2473" s="4" t="n">
        <f aca="false">LEN(E2473)-LEN(SUBSTITUTE(E2473,",",""))+1</f>
        <v>4</v>
      </c>
      <c r="K2473" s="3" t="str">
        <f aca="false">IFERROR(INDEX('Teacher Lookup'!$B$2:$B$200,MATCH(A2473,'Teacher Lookup'!$A$2:$A$200,0)),"")</f>
        <v>CHAN Clara</v>
      </c>
    </row>
    <row r="2474" customFormat="false" ht="15" hidden="false" customHeight="false" outlineLevel="0" collapsed="false">
      <c r="A2474" s="3" t="s">
        <v>364</v>
      </c>
      <c r="B2474" s="4" t="s">
        <v>66</v>
      </c>
      <c r="C2474" s="4" t="n">
        <v>1</v>
      </c>
      <c r="D2474" s="4" t="s">
        <v>142</v>
      </c>
      <c r="E2474" s="3" t="s">
        <v>160</v>
      </c>
      <c r="F2474" s="4" t="str">
        <f aca="false">IF(I2474&gt;J2474,"Y","N")</f>
        <v>N</v>
      </c>
      <c r="G2474" s="3" t="s">
        <v>72</v>
      </c>
      <c r="H2474" s="3" t="s">
        <v>16</v>
      </c>
      <c r="I2474" s="4" t="n">
        <v>4</v>
      </c>
      <c r="J2474" s="4" t="n">
        <f aca="false">LEN(E2474)-LEN(SUBSTITUTE(E2474,",",""))+1</f>
        <v>4</v>
      </c>
      <c r="K2474" s="3" t="str">
        <f aca="false">IFERROR(INDEX('Teacher Lookup'!$B$2:$B$200,MATCH(A2474,'Teacher Lookup'!$A$2:$A$200,0)),"")</f>
        <v>CHAN Clara</v>
      </c>
    </row>
    <row r="2475" customFormat="false" ht="15" hidden="false" customHeight="false" outlineLevel="0" collapsed="false">
      <c r="A2475" s="3" t="s">
        <v>364</v>
      </c>
      <c r="B2475" s="4" t="s">
        <v>66</v>
      </c>
      <c r="C2475" s="4" t="n">
        <v>1</v>
      </c>
      <c r="D2475" s="4" t="s">
        <v>127</v>
      </c>
      <c r="E2475" s="3" t="s">
        <v>160</v>
      </c>
      <c r="F2475" s="4" t="str">
        <f aca="false">IF(I2475&gt;J2475,"Y","N")</f>
        <v>N</v>
      </c>
      <c r="G2475" s="3" t="s">
        <v>72</v>
      </c>
      <c r="H2475" s="3" t="s">
        <v>16</v>
      </c>
      <c r="I2475" s="4" t="n">
        <v>4</v>
      </c>
      <c r="J2475" s="4" t="n">
        <f aca="false">LEN(E2475)-LEN(SUBSTITUTE(E2475,",",""))+1</f>
        <v>4</v>
      </c>
      <c r="K2475" s="3" t="str">
        <f aca="false">IFERROR(INDEX('Teacher Lookup'!$B$2:$B$200,MATCH(A2475,'Teacher Lookup'!$A$2:$A$200,0)),"")</f>
        <v>CHAN Clara</v>
      </c>
    </row>
    <row r="2476" customFormat="false" ht="15" hidden="false" customHeight="false" outlineLevel="0" collapsed="false">
      <c r="A2476" s="3" t="s">
        <v>364</v>
      </c>
      <c r="B2476" s="4" t="s">
        <v>66</v>
      </c>
      <c r="C2476" s="4" t="n">
        <v>4</v>
      </c>
      <c r="D2476" s="4" t="s">
        <v>24</v>
      </c>
      <c r="E2476" s="3" t="s">
        <v>82</v>
      </c>
      <c r="F2476" s="4" t="str">
        <f aca="false">IF(I2476&gt;J2476,"Y","N")</f>
        <v>N</v>
      </c>
      <c r="G2476" s="3" t="s">
        <v>72</v>
      </c>
      <c r="H2476" s="3" t="s">
        <v>34</v>
      </c>
      <c r="I2476" s="4" t="n">
        <v>3</v>
      </c>
      <c r="J2476" s="4" t="n">
        <f aca="false">LEN(E2476)-LEN(SUBSTITUTE(E2476,",",""))+1</f>
        <v>3</v>
      </c>
      <c r="K2476" s="3" t="str">
        <f aca="false">IFERROR(INDEX('Teacher Lookup'!$B$2:$B$200,MATCH(A2476,'Teacher Lookup'!$A$2:$A$200,0)),"")</f>
        <v>CHAN Clara</v>
      </c>
    </row>
    <row r="2477" customFormat="false" ht="15" hidden="false" customHeight="false" outlineLevel="0" collapsed="false">
      <c r="A2477" s="3" t="s">
        <v>364</v>
      </c>
      <c r="B2477" s="4" t="s">
        <v>66</v>
      </c>
      <c r="C2477" s="4" t="n">
        <v>4</v>
      </c>
      <c r="D2477" s="4" t="s">
        <v>27</v>
      </c>
      <c r="E2477" s="3" t="s">
        <v>82</v>
      </c>
      <c r="F2477" s="4" t="str">
        <f aca="false">IF(I2477&gt;J2477,"Y","N")</f>
        <v>N</v>
      </c>
      <c r="G2477" s="3" t="s">
        <v>72</v>
      </c>
      <c r="H2477" s="3" t="s">
        <v>34</v>
      </c>
      <c r="I2477" s="4" t="n">
        <v>3</v>
      </c>
      <c r="J2477" s="4" t="n">
        <f aca="false">LEN(E2477)-LEN(SUBSTITUTE(E2477,",",""))+1</f>
        <v>3</v>
      </c>
      <c r="K2477" s="3" t="str">
        <f aca="false">IFERROR(INDEX('Teacher Lookup'!$B$2:$B$200,MATCH(A2477,'Teacher Lookup'!$A$2:$A$200,0)),"")</f>
        <v>CHAN Clara</v>
      </c>
    </row>
    <row r="2478" customFormat="false" ht="15" hidden="false" customHeight="false" outlineLevel="0" collapsed="false">
      <c r="A2478" s="3" t="s">
        <v>365</v>
      </c>
      <c r="B2478" s="4" t="s">
        <v>12</v>
      </c>
      <c r="C2478" s="4" t="n">
        <v>3</v>
      </c>
      <c r="D2478" s="4" t="s">
        <v>52</v>
      </c>
      <c r="E2478" s="3" t="s">
        <v>100</v>
      </c>
      <c r="F2478" s="4" t="str">
        <f aca="false">IF(I2478&gt;J2478,"Y","N")</f>
        <v>N</v>
      </c>
      <c r="G2478" s="3" t="s">
        <v>101</v>
      </c>
      <c r="H2478" s="3" t="s">
        <v>26</v>
      </c>
      <c r="I2478" s="4" t="n">
        <v>8</v>
      </c>
      <c r="J2478" s="4" t="n">
        <f aca="false">LEN(E2478)-LEN(SUBSTITUTE(E2478,",",""))+1</f>
        <v>8</v>
      </c>
      <c r="K2478" s="3" t="str">
        <f aca="false">IFERROR(INDEX('Teacher Lookup'!$B$2:$B$200,MATCH(A2478,'Teacher Lookup'!$A$2:$A$200,0)),"")</f>
        <v>TSAI Christy</v>
      </c>
    </row>
    <row r="2479" customFormat="false" ht="15" hidden="false" customHeight="false" outlineLevel="0" collapsed="false">
      <c r="A2479" s="3" t="s">
        <v>365</v>
      </c>
      <c r="B2479" s="4" t="s">
        <v>12</v>
      </c>
      <c r="C2479" s="4" t="n">
        <v>3</v>
      </c>
      <c r="D2479" s="4" t="s">
        <v>55</v>
      </c>
      <c r="E2479" s="3" t="s">
        <v>100</v>
      </c>
      <c r="F2479" s="4" t="str">
        <f aca="false">IF(I2479&gt;J2479,"Y","N")</f>
        <v>N</v>
      </c>
      <c r="G2479" s="3" t="s">
        <v>101</v>
      </c>
      <c r="H2479" s="3" t="s">
        <v>26</v>
      </c>
      <c r="I2479" s="4" t="n">
        <v>8</v>
      </c>
      <c r="J2479" s="4" t="n">
        <f aca="false">LEN(E2479)-LEN(SUBSTITUTE(E2479,",",""))+1</f>
        <v>8</v>
      </c>
      <c r="K2479" s="3" t="str">
        <f aca="false">IFERROR(INDEX('Teacher Lookup'!$B$2:$B$200,MATCH(A2479,'Teacher Lookup'!$A$2:$A$200,0)),"")</f>
        <v>TSAI Christy</v>
      </c>
    </row>
    <row r="2480" customFormat="false" ht="15" hidden="false" customHeight="false" outlineLevel="0" collapsed="false">
      <c r="A2480" s="3" t="s">
        <v>365</v>
      </c>
      <c r="B2480" s="4" t="s">
        <v>12</v>
      </c>
      <c r="C2480" s="4" t="n">
        <v>3</v>
      </c>
      <c r="D2480" s="4" t="s">
        <v>56</v>
      </c>
      <c r="E2480" s="3" t="s">
        <v>100</v>
      </c>
      <c r="F2480" s="4" t="str">
        <f aca="false">IF(I2480&gt;J2480,"Y","N")</f>
        <v>N</v>
      </c>
      <c r="G2480" s="3" t="s">
        <v>101</v>
      </c>
      <c r="H2480" s="3" t="s">
        <v>26</v>
      </c>
      <c r="I2480" s="4" t="n">
        <v>8</v>
      </c>
      <c r="J2480" s="4" t="n">
        <f aca="false">LEN(E2480)-LEN(SUBSTITUTE(E2480,",",""))+1</f>
        <v>8</v>
      </c>
      <c r="K2480" s="3" t="str">
        <f aca="false">IFERROR(INDEX('Teacher Lookup'!$B$2:$B$200,MATCH(A2480,'Teacher Lookup'!$A$2:$A$200,0)),"")</f>
        <v>TSAI Christy</v>
      </c>
    </row>
    <row r="2481" customFormat="false" ht="15" hidden="false" customHeight="false" outlineLevel="0" collapsed="false">
      <c r="A2481" s="3" t="s">
        <v>365</v>
      </c>
      <c r="B2481" s="4" t="s">
        <v>12</v>
      </c>
      <c r="C2481" s="4" t="n">
        <v>3</v>
      </c>
      <c r="D2481" s="4" t="s">
        <v>57</v>
      </c>
      <c r="E2481" s="3" t="s">
        <v>100</v>
      </c>
      <c r="F2481" s="4" t="str">
        <f aca="false">IF(I2481&gt;J2481,"Y","N")</f>
        <v>N</v>
      </c>
      <c r="G2481" s="3" t="s">
        <v>101</v>
      </c>
      <c r="H2481" s="3" t="s">
        <v>26</v>
      </c>
      <c r="I2481" s="4" t="n">
        <v>8</v>
      </c>
      <c r="J2481" s="4" t="n">
        <f aca="false">LEN(E2481)-LEN(SUBSTITUTE(E2481,",",""))+1</f>
        <v>8</v>
      </c>
      <c r="K2481" s="3" t="str">
        <f aca="false">IFERROR(INDEX('Teacher Lookup'!$B$2:$B$200,MATCH(A2481,'Teacher Lookup'!$A$2:$A$200,0)),"")</f>
        <v>TSAI Christy</v>
      </c>
    </row>
    <row r="2482" customFormat="false" ht="15" hidden="false" customHeight="false" outlineLevel="0" collapsed="false">
      <c r="A2482" s="3" t="s">
        <v>365</v>
      </c>
      <c r="B2482" s="4" t="s">
        <v>12</v>
      </c>
      <c r="C2482" s="4" t="n">
        <v>3</v>
      </c>
      <c r="D2482" s="4" t="s">
        <v>58</v>
      </c>
      <c r="E2482" s="3" t="s">
        <v>100</v>
      </c>
      <c r="F2482" s="4" t="str">
        <f aca="false">IF(I2482&gt;J2482,"Y","N")</f>
        <v>N</v>
      </c>
      <c r="G2482" s="3" t="s">
        <v>101</v>
      </c>
      <c r="H2482" s="3" t="s">
        <v>26</v>
      </c>
      <c r="I2482" s="4" t="n">
        <v>8</v>
      </c>
      <c r="J2482" s="4" t="n">
        <f aca="false">LEN(E2482)-LEN(SUBSTITUTE(E2482,",",""))+1</f>
        <v>8</v>
      </c>
      <c r="K2482" s="3" t="str">
        <f aca="false">IFERROR(INDEX('Teacher Lookup'!$B$2:$B$200,MATCH(A2482,'Teacher Lookup'!$A$2:$A$200,0)),"")</f>
        <v>TSAI Christy</v>
      </c>
    </row>
    <row r="2483" customFormat="false" ht="15" hidden="false" customHeight="false" outlineLevel="0" collapsed="false">
      <c r="A2483" s="3" t="s">
        <v>365</v>
      </c>
      <c r="B2483" s="4" t="s">
        <v>12</v>
      </c>
      <c r="C2483" s="4" t="n">
        <v>3</v>
      </c>
      <c r="D2483" s="4" t="s">
        <v>59</v>
      </c>
      <c r="E2483" s="3" t="s">
        <v>100</v>
      </c>
      <c r="F2483" s="4" t="str">
        <f aca="false">IF(I2483&gt;J2483,"Y","N")</f>
        <v>N</v>
      </c>
      <c r="G2483" s="3" t="s">
        <v>101</v>
      </c>
      <c r="H2483" s="3" t="s">
        <v>26</v>
      </c>
      <c r="I2483" s="4" t="n">
        <v>8</v>
      </c>
      <c r="J2483" s="4" t="n">
        <f aca="false">LEN(E2483)-LEN(SUBSTITUTE(E2483,",",""))+1</f>
        <v>8</v>
      </c>
      <c r="K2483" s="3" t="str">
        <f aca="false">IFERROR(INDEX('Teacher Lookup'!$B$2:$B$200,MATCH(A2483,'Teacher Lookup'!$A$2:$A$200,0)),"")</f>
        <v>TSAI Christy</v>
      </c>
    </row>
    <row r="2484" customFormat="false" ht="15" hidden="false" customHeight="false" outlineLevel="0" collapsed="false">
      <c r="A2484" s="3" t="s">
        <v>365</v>
      </c>
      <c r="B2484" s="4" t="s">
        <v>12</v>
      </c>
      <c r="C2484" s="4" t="n">
        <v>4</v>
      </c>
      <c r="D2484" s="4" t="s">
        <v>102</v>
      </c>
      <c r="E2484" s="3" t="s">
        <v>103</v>
      </c>
      <c r="F2484" s="4" t="str">
        <f aca="false">IF(I2484&gt;J2484,"Y","N")</f>
        <v>N</v>
      </c>
      <c r="G2484" s="3" t="s">
        <v>104</v>
      </c>
      <c r="H2484" s="3" t="s">
        <v>34</v>
      </c>
      <c r="I2484" s="4" t="n">
        <v>6</v>
      </c>
      <c r="J2484" s="4" t="n">
        <f aca="false">LEN(E2484)-LEN(SUBSTITUTE(E2484,",",""))+1</f>
        <v>6</v>
      </c>
      <c r="K2484" s="3" t="str">
        <f aca="false">IFERROR(INDEX('Teacher Lookup'!$B$2:$B$200,MATCH(A2484,'Teacher Lookup'!$A$2:$A$200,0)),"")</f>
        <v>TSAI Christy</v>
      </c>
    </row>
    <row r="2485" customFormat="false" ht="15" hidden="false" customHeight="false" outlineLevel="0" collapsed="false">
      <c r="A2485" s="3" t="s">
        <v>365</v>
      </c>
      <c r="B2485" s="4" t="s">
        <v>12</v>
      </c>
      <c r="C2485" s="4" t="n">
        <v>4</v>
      </c>
      <c r="D2485" s="4" t="s">
        <v>105</v>
      </c>
      <c r="E2485" s="3" t="s">
        <v>103</v>
      </c>
      <c r="F2485" s="4" t="str">
        <f aca="false">IF(I2485&gt;J2485,"Y","N")</f>
        <v>N</v>
      </c>
      <c r="G2485" s="3" t="s">
        <v>104</v>
      </c>
      <c r="H2485" s="3" t="s">
        <v>34</v>
      </c>
      <c r="I2485" s="4" t="n">
        <v>6</v>
      </c>
      <c r="J2485" s="4" t="n">
        <f aca="false">LEN(E2485)-LEN(SUBSTITUTE(E2485,",",""))+1</f>
        <v>6</v>
      </c>
      <c r="K2485" s="3" t="str">
        <f aca="false">IFERROR(INDEX('Teacher Lookup'!$B$2:$B$200,MATCH(A2485,'Teacher Lookup'!$A$2:$A$200,0)),"")</f>
        <v>TSAI Christy</v>
      </c>
    </row>
    <row r="2486" customFormat="false" ht="15" hidden="false" customHeight="false" outlineLevel="0" collapsed="false">
      <c r="A2486" s="3" t="s">
        <v>365</v>
      </c>
      <c r="B2486" s="4" t="s">
        <v>12</v>
      </c>
      <c r="C2486" s="4" t="n">
        <v>4</v>
      </c>
      <c r="D2486" s="4" t="s">
        <v>106</v>
      </c>
      <c r="E2486" s="3" t="s">
        <v>103</v>
      </c>
      <c r="F2486" s="4" t="str">
        <f aca="false">IF(I2486&gt;J2486,"Y","N")</f>
        <v>N</v>
      </c>
      <c r="G2486" s="3" t="s">
        <v>104</v>
      </c>
      <c r="H2486" s="3" t="s">
        <v>34</v>
      </c>
      <c r="I2486" s="4" t="n">
        <v>6</v>
      </c>
      <c r="J2486" s="4" t="n">
        <f aca="false">LEN(E2486)-LEN(SUBSTITUTE(E2486,",",""))+1</f>
        <v>6</v>
      </c>
      <c r="K2486" s="3" t="str">
        <f aca="false">IFERROR(INDEX('Teacher Lookup'!$B$2:$B$200,MATCH(A2486,'Teacher Lookup'!$A$2:$A$200,0)),"")</f>
        <v>TSAI Christy</v>
      </c>
    </row>
    <row r="2487" customFormat="false" ht="15" hidden="false" customHeight="false" outlineLevel="0" collapsed="false">
      <c r="A2487" s="3" t="s">
        <v>365</v>
      </c>
      <c r="B2487" s="4" t="s">
        <v>12</v>
      </c>
      <c r="C2487" s="4" t="n">
        <v>4</v>
      </c>
      <c r="D2487" s="4" t="s">
        <v>107</v>
      </c>
      <c r="E2487" s="3" t="s">
        <v>103</v>
      </c>
      <c r="F2487" s="4" t="str">
        <f aca="false">IF(I2487&gt;J2487,"Y","N")</f>
        <v>N</v>
      </c>
      <c r="G2487" s="3" t="s">
        <v>104</v>
      </c>
      <c r="H2487" s="3" t="s">
        <v>34</v>
      </c>
      <c r="I2487" s="4" t="n">
        <v>6</v>
      </c>
      <c r="J2487" s="4" t="n">
        <f aca="false">LEN(E2487)-LEN(SUBSTITUTE(E2487,",",""))+1</f>
        <v>6</v>
      </c>
      <c r="K2487" s="3" t="str">
        <f aca="false">IFERROR(INDEX('Teacher Lookup'!$B$2:$B$200,MATCH(A2487,'Teacher Lookup'!$A$2:$A$200,0)),"")</f>
        <v>TSAI Christy</v>
      </c>
    </row>
    <row r="2488" customFormat="false" ht="15" hidden="false" customHeight="false" outlineLevel="0" collapsed="false">
      <c r="A2488" s="3" t="s">
        <v>365</v>
      </c>
      <c r="B2488" s="4" t="s">
        <v>12</v>
      </c>
      <c r="C2488" s="4" t="n">
        <v>5</v>
      </c>
      <c r="D2488" s="4" t="s">
        <v>102</v>
      </c>
      <c r="E2488" s="3" t="s">
        <v>103</v>
      </c>
      <c r="F2488" s="4" t="str">
        <f aca="false">IF(I2488&gt;J2488,"Y","N")</f>
        <v>N</v>
      </c>
      <c r="G2488" s="3" t="s">
        <v>104</v>
      </c>
      <c r="H2488" s="3" t="s">
        <v>37</v>
      </c>
      <c r="I2488" s="4" t="n">
        <v>6</v>
      </c>
      <c r="J2488" s="4" t="n">
        <f aca="false">LEN(E2488)-LEN(SUBSTITUTE(E2488,",",""))+1</f>
        <v>6</v>
      </c>
      <c r="K2488" s="3" t="str">
        <f aca="false">IFERROR(INDEX('Teacher Lookup'!$B$2:$B$200,MATCH(A2488,'Teacher Lookup'!$A$2:$A$200,0)),"")</f>
        <v>TSAI Christy</v>
      </c>
    </row>
    <row r="2489" customFormat="false" ht="15" hidden="false" customHeight="false" outlineLevel="0" collapsed="false">
      <c r="A2489" s="3" t="s">
        <v>365</v>
      </c>
      <c r="B2489" s="4" t="s">
        <v>12</v>
      </c>
      <c r="C2489" s="4" t="n">
        <v>5</v>
      </c>
      <c r="D2489" s="4" t="s">
        <v>105</v>
      </c>
      <c r="E2489" s="3" t="s">
        <v>103</v>
      </c>
      <c r="F2489" s="4" t="str">
        <f aca="false">IF(I2489&gt;J2489,"Y","N")</f>
        <v>N</v>
      </c>
      <c r="G2489" s="3" t="s">
        <v>104</v>
      </c>
      <c r="H2489" s="3" t="s">
        <v>37</v>
      </c>
      <c r="I2489" s="4" t="n">
        <v>6</v>
      </c>
      <c r="J2489" s="4" t="n">
        <f aca="false">LEN(E2489)-LEN(SUBSTITUTE(E2489,",",""))+1</f>
        <v>6</v>
      </c>
      <c r="K2489" s="3" t="str">
        <f aca="false">IFERROR(INDEX('Teacher Lookup'!$B$2:$B$200,MATCH(A2489,'Teacher Lookup'!$A$2:$A$200,0)),"")</f>
        <v>TSAI Christy</v>
      </c>
    </row>
    <row r="2490" customFormat="false" ht="15" hidden="false" customHeight="false" outlineLevel="0" collapsed="false">
      <c r="A2490" s="3" t="s">
        <v>365</v>
      </c>
      <c r="B2490" s="4" t="s">
        <v>12</v>
      </c>
      <c r="C2490" s="4" t="n">
        <v>5</v>
      </c>
      <c r="D2490" s="4" t="s">
        <v>106</v>
      </c>
      <c r="E2490" s="3" t="s">
        <v>103</v>
      </c>
      <c r="F2490" s="4" t="str">
        <f aca="false">IF(I2490&gt;J2490,"Y","N")</f>
        <v>N</v>
      </c>
      <c r="G2490" s="3" t="s">
        <v>104</v>
      </c>
      <c r="H2490" s="3" t="s">
        <v>37</v>
      </c>
      <c r="I2490" s="4" t="n">
        <v>6</v>
      </c>
      <c r="J2490" s="4" t="n">
        <f aca="false">LEN(E2490)-LEN(SUBSTITUTE(E2490,",",""))+1</f>
        <v>6</v>
      </c>
      <c r="K2490" s="3" t="str">
        <f aca="false">IFERROR(INDEX('Teacher Lookup'!$B$2:$B$200,MATCH(A2490,'Teacher Lookup'!$A$2:$A$200,0)),"")</f>
        <v>TSAI Christy</v>
      </c>
    </row>
    <row r="2491" customFormat="false" ht="15" hidden="false" customHeight="false" outlineLevel="0" collapsed="false">
      <c r="A2491" s="3" t="s">
        <v>365</v>
      </c>
      <c r="B2491" s="4" t="s">
        <v>12</v>
      </c>
      <c r="C2491" s="4" t="n">
        <v>5</v>
      </c>
      <c r="D2491" s="4" t="s">
        <v>107</v>
      </c>
      <c r="E2491" s="3" t="s">
        <v>103</v>
      </c>
      <c r="F2491" s="4" t="str">
        <f aca="false">IF(I2491&gt;J2491,"Y","N")</f>
        <v>N</v>
      </c>
      <c r="G2491" s="3" t="s">
        <v>104</v>
      </c>
      <c r="H2491" s="3" t="s">
        <v>37</v>
      </c>
      <c r="I2491" s="4" t="n">
        <v>6</v>
      </c>
      <c r="J2491" s="4" t="n">
        <f aca="false">LEN(E2491)-LEN(SUBSTITUTE(E2491,",",""))+1</f>
        <v>6</v>
      </c>
      <c r="K2491" s="3" t="str">
        <f aca="false">IFERROR(INDEX('Teacher Lookup'!$B$2:$B$200,MATCH(A2491,'Teacher Lookup'!$A$2:$A$200,0)),"")</f>
        <v>TSAI Christy</v>
      </c>
    </row>
    <row r="2492" customFormat="false" ht="15" hidden="false" customHeight="false" outlineLevel="0" collapsed="false">
      <c r="A2492" s="3" t="s">
        <v>365</v>
      </c>
      <c r="B2492" s="4" t="s">
        <v>12</v>
      </c>
      <c r="C2492" s="4" t="n">
        <v>6</v>
      </c>
      <c r="D2492" s="4" t="s">
        <v>29</v>
      </c>
      <c r="E2492" s="3" t="s">
        <v>236</v>
      </c>
      <c r="F2492" s="4" t="str">
        <f aca="false">IF(I2492&gt;J2492,"Y","N")</f>
        <v>N</v>
      </c>
      <c r="G2492" s="3" t="s">
        <v>237</v>
      </c>
      <c r="H2492" s="3" t="s">
        <v>42</v>
      </c>
      <c r="I2492" s="4" t="n">
        <v>3</v>
      </c>
      <c r="J2492" s="4" t="n">
        <f aca="false">LEN(E2492)-LEN(SUBSTITUTE(E2492,",",""))+1</f>
        <v>3</v>
      </c>
      <c r="K2492" s="3" t="str">
        <f aca="false">IFERROR(INDEX('Teacher Lookup'!$B$2:$B$200,MATCH(A2492,'Teacher Lookup'!$A$2:$A$200,0)),"")</f>
        <v>TSAI Christy</v>
      </c>
    </row>
    <row r="2493" customFormat="false" ht="15" hidden="false" customHeight="false" outlineLevel="0" collapsed="false">
      <c r="A2493" s="3" t="s">
        <v>365</v>
      </c>
      <c r="B2493" s="4" t="s">
        <v>12</v>
      </c>
      <c r="C2493" s="4" t="n">
        <v>6</v>
      </c>
      <c r="D2493" s="4" t="s">
        <v>30</v>
      </c>
      <c r="E2493" s="3" t="s">
        <v>236</v>
      </c>
      <c r="F2493" s="4" t="str">
        <f aca="false">IF(I2493&gt;J2493,"Y","N")</f>
        <v>N</v>
      </c>
      <c r="G2493" s="3" t="s">
        <v>237</v>
      </c>
      <c r="H2493" s="3" t="s">
        <v>42</v>
      </c>
      <c r="I2493" s="4" t="n">
        <v>3</v>
      </c>
      <c r="J2493" s="4" t="n">
        <f aca="false">LEN(E2493)-LEN(SUBSTITUTE(E2493,",",""))+1</f>
        <v>3</v>
      </c>
      <c r="K2493" s="3" t="str">
        <f aca="false">IFERROR(INDEX('Teacher Lookup'!$B$2:$B$200,MATCH(A2493,'Teacher Lookup'!$A$2:$A$200,0)),"")</f>
        <v>TSAI Christy</v>
      </c>
    </row>
    <row r="2494" customFormat="false" ht="15" hidden="false" customHeight="false" outlineLevel="0" collapsed="false">
      <c r="A2494" s="3" t="s">
        <v>365</v>
      </c>
      <c r="B2494" s="4" t="s">
        <v>12</v>
      </c>
      <c r="C2494" s="4" t="n">
        <v>7</v>
      </c>
      <c r="D2494" s="4" t="s">
        <v>29</v>
      </c>
      <c r="E2494" s="3" t="s">
        <v>236</v>
      </c>
      <c r="F2494" s="4" t="str">
        <f aca="false">IF(I2494&gt;J2494,"Y","N")</f>
        <v>N</v>
      </c>
      <c r="G2494" s="3" t="s">
        <v>237</v>
      </c>
      <c r="H2494" s="3" t="s">
        <v>39</v>
      </c>
      <c r="I2494" s="4" t="n">
        <v>3</v>
      </c>
      <c r="J2494" s="4" t="n">
        <f aca="false">LEN(E2494)-LEN(SUBSTITUTE(E2494,",",""))+1</f>
        <v>3</v>
      </c>
      <c r="K2494" s="3" t="str">
        <f aca="false">IFERROR(INDEX('Teacher Lookup'!$B$2:$B$200,MATCH(A2494,'Teacher Lookup'!$A$2:$A$200,0)),"")</f>
        <v>TSAI Christy</v>
      </c>
    </row>
    <row r="2495" customFormat="false" ht="15" hidden="false" customHeight="false" outlineLevel="0" collapsed="false">
      <c r="A2495" s="3" t="s">
        <v>365</v>
      </c>
      <c r="B2495" s="4" t="s">
        <v>12</v>
      </c>
      <c r="C2495" s="4" t="n">
        <v>7</v>
      </c>
      <c r="D2495" s="4" t="s">
        <v>30</v>
      </c>
      <c r="E2495" s="3" t="s">
        <v>236</v>
      </c>
      <c r="F2495" s="4" t="str">
        <f aca="false">IF(I2495&gt;J2495,"Y","N")</f>
        <v>N</v>
      </c>
      <c r="G2495" s="3" t="s">
        <v>237</v>
      </c>
      <c r="H2495" s="3" t="s">
        <v>39</v>
      </c>
      <c r="I2495" s="4" t="n">
        <v>3</v>
      </c>
      <c r="J2495" s="4" t="n">
        <f aca="false">LEN(E2495)-LEN(SUBSTITUTE(E2495,",",""))+1</f>
        <v>3</v>
      </c>
      <c r="K2495" s="3" t="str">
        <f aca="false">IFERROR(INDEX('Teacher Lookup'!$B$2:$B$200,MATCH(A2495,'Teacher Lookup'!$A$2:$A$200,0)),"")</f>
        <v>TSAI Christy</v>
      </c>
    </row>
    <row r="2496" customFormat="false" ht="15" hidden="false" customHeight="false" outlineLevel="0" collapsed="false">
      <c r="A2496" s="3" t="s">
        <v>365</v>
      </c>
      <c r="B2496" s="4" t="s">
        <v>31</v>
      </c>
      <c r="C2496" s="4" t="n">
        <v>3</v>
      </c>
      <c r="D2496" s="4" t="s">
        <v>102</v>
      </c>
      <c r="E2496" s="3" t="s">
        <v>110</v>
      </c>
      <c r="F2496" s="4" t="str">
        <f aca="false">IF(I2496&gt;J2496,"Y","N")</f>
        <v>N</v>
      </c>
      <c r="G2496" s="3" t="s">
        <v>104</v>
      </c>
      <c r="H2496" s="3" t="s">
        <v>26</v>
      </c>
      <c r="I2496" s="4" t="n">
        <v>6</v>
      </c>
      <c r="J2496" s="4" t="n">
        <f aca="false">LEN(E2496)-LEN(SUBSTITUTE(E2496,",",""))+1</f>
        <v>6</v>
      </c>
      <c r="K2496" s="3" t="str">
        <f aca="false">IFERROR(INDEX('Teacher Lookup'!$B$2:$B$200,MATCH(A2496,'Teacher Lookup'!$A$2:$A$200,0)),"")</f>
        <v>TSAI Christy</v>
      </c>
    </row>
    <row r="2497" customFormat="false" ht="15" hidden="false" customHeight="false" outlineLevel="0" collapsed="false">
      <c r="A2497" s="3" t="s">
        <v>365</v>
      </c>
      <c r="B2497" s="4" t="s">
        <v>31</v>
      </c>
      <c r="C2497" s="4" t="n">
        <v>3</v>
      </c>
      <c r="D2497" s="4" t="s">
        <v>105</v>
      </c>
      <c r="E2497" s="3" t="s">
        <v>110</v>
      </c>
      <c r="F2497" s="4" t="str">
        <f aca="false">IF(I2497&gt;J2497,"Y","N")</f>
        <v>N</v>
      </c>
      <c r="G2497" s="3" t="s">
        <v>104</v>
      </c>
      <c r="H2497" s="3" t="s">
        <v>26</v>
      </c>
      <c r="I2497" s="4" t="n">
        <v>6</v>
      </c>
      <c r="J2497" s="4" t="n">
        <f aca="false">LEN(E2497)-LEN(SUBSTITUTE(E2497,",",""))+1</f>
        <v>6</v>
      </c>
      <c r="K2497" s="3" t="str">
        <f aca="false">IFERROR(INDEX('Teacher Lookup'!$B$2:$B$200,MATCH(A2497,'Teacher Lookup'!$A$2:$A$200,0)),"")</f>
        <v>TSAI Christy</v>
      </c>
    </row>
    <row r="2498" customFormat="false" ht="15" hidden="false" customHeight="false" outlineLevel="0" collapsed="false">
      <c r="A2498" s="3" t="s">
        <v>365</v>
      </c>
      <c r="B2498" s="4" t="s">
        <v>31</v>
      </c>
      <c r="C2498" s="4" t="n">
        <v>3</v>
      </c>
      <c r="D2498" s="4" t="s">
        <v>106</v>
      </c>
      <c r="E2498" s="3" t="s">
        <v>110</v>
      </c>
      <c r="F2498" s="4" t="str">
        <f aca="false">IF(I2498&gt;J2498,"Y","N")</f>
        <v>N</v>
      </c>
      <c r="G2498" s="3" t="s">
        <v>104</v>
      </c>
      <c r="H2498" s="3" t="s">
        <v>26</v>
      </c>
      <c r="I2498" s="4" t="n">
        <v>6</v>
      </c>
      <c r="J2498" s="4" t="n">
        <f aca="false">LEN(E2498)-LEN(SUBSTITUTE(E2498,",",""))+1</f>
        <v>6</v>
      </c>
      <c r="K2498" s="3" t="str">
        <f aca="false">IFERROR(INDEX('Teacher Lookup'!$B$2:$B$200,MATCH(A2498,'Teacher Lookup'!$A$2:$A$200,0)),"")</f>
        <v>TSAI Christy</v>
      </c>
    </row>
    <row r="2499" customFormat="false" ht="15" hidden="false" customHeight="false" outlineLevel="0" collapsed="false">
      <c r="A2499" s="3" t="s">
        <v>365</v>
      </c>
      <c r="B2499" s="4" t="s">
        <v>31</v>
      </c>
      <c r="C2499" s="4" t="n">
        <v>3</v>
      </c>
      <c r="D2499" s="4" t="s">
        <v>107</v>
      </c>
      <c r="E2499" s="3" t="s">
        <v>110</v>
      </c>
      <c r="F2499" s="4" t="str">
        <f aca="false">IF(I2499&gt;J2499,"Y","N")</f>
        <v>N</v>
      </c>
      <c r="G2499" s="3" t="s">
        <v>104</v>
      </c>
      <c r="H2499" s="3" t="s">
        <v>26</v>
      </c>
      <c r="I2499" s="4" t="n">
        <v>6</v>
      </c>
      <c r="J2499" s="4" t="n">
        <f aca="false">LEN(E2499)-LEN(SUBSTITUTE(E2499,",",""))+1</f>
        <v>6</v>
      </c>
      <c r="K2499" s="3" t="str">
        <f aca="false">IFERROR(INDEX('Teacher Lookup'!$B$2:$B$200,MATCH(A2499,'Teacher Lookup'!$A$2:$A$200,0)),"")</f>
        <v>TSAI Christy</v>
      </c>
    </row>
    <row r="2500" customFormat="false" ht="15" hidden="false" customHeight="false" outlineLevel="0" collapsed="false">
      <c r="A2500" s="3" t="s">
        <v>365</v>
      </c>
      <c r="B2500" s="4" t="s">
        <v>31</v>
      </c>
      <c r="C2500" s="4" t="n">
        <v>4</v>
      </c>
      <c r="D2500" s="4" t="s">
        <v>52</v>
      </c>
      <c r="E2500" s="3" t="s">
        <v>111</v>
      </c>
      <c r="F2500" s="4" t="str">
        <f aca="false">IF(I2500&gt;J2500,"Y","N")</f>
        <v>N</v>
      </c>
      <c r="G2500" s="3" t="s">
        <v>101</v>
      </c>
      <c r="H2500" s="3" t="s">
        <v>34</v>
      </c>
      <c r="I2500" s="4" t="n">
        <v>8</v>
      </c>
      <c r="J2500" s="4" t="n">
        <f aca="false">LEN(E2500)-LEN(SUBSTITUTE(E2500,",",""))+1</f>
        <v>8</v>
      </c>
      <c r="K2500" s="3" t="str">
        <f aca="false">IFERROR(INDEX('Teacher Lookup'!$B$2:$B$200,MATCH(A2500,'Teacher Lookup'!$A$2:$A$200,0)),"")</f>
        <v>TSAI Christy</v>
      </c>
    </row>
    <row r="2501" customFormat="false" ht="15" hidden="false" customHeight="false" outlineLevel="0" collapsed="false">
      <c r="A2501" s="3" t="s">
        <v>365</v>
      </c>
      <c r="B2501" s="4" t="s">
        <v>31</v>
      </c>
      <c r="C2501" s="4" t="n">
        <v>4</v>
      </c>
      <c r="D2501" s="4" t="s">
        <v>55</v>
      </c>
      <c r="E2501" s="3" t="s">
        <v>111</v>
      </c>
      <c r="F2501" s="4" t="str">
        <f aca="false">IF(I2501&gt;J2501,"Y","N")</f>
        <v>N</v>
      </c>
      <c r="G2501" s="3" t="s">
        <v>101</v>
      </c>
      <c r="H2501" s="3" t="s">
        <v>34</v>
      </c>
      <c r="I2501" s="4" t="n">
        <v>8</v>
      </c>
      <c r="J2501" s="4" t="n">
        <f aca="false">LEN(E2501)-LEN(SUBSTITUTE(E2501,",",""))+1</f>
        <v>8</v>
      </c>
      <c r="K2501" s="3" t="str">
        <f aca="false">IFERROR(INDEX('Teacher Lookup'!$B$2:$B$200,MATCH(A2501,'Teacher Lookup'!$A$2:$A$200,0)),"")</f>
        <v>TSAI Christy</v>
      </c>
    </row>
    <row r="2502" customFormat="false" ht="15" hidden="false" customHeight="false" outlineLevel="0" collapsed="false">
      <c r="A2502" s="3" t="s">
        <v>365</v>
      </c>
      <c r="B2502" s="4" t="s">
        <v>31</v>
      </c>
      <c r="C2502" s="4" t="n">
        <v>4</v>
      </c>
      <c r="D2502" s="4" t="s">
        <v>56</v>
      </c>
      <c r="E2502" s="3" t="s">
        <v>111</v>
      </c>
      <c r="F2502" s="4" t="str">
        <f aca="false">IF(I2502&gt;J2502,"Y","N")</f>
        <v>N</v>
      </c>
      <c r="G2502" s="3" t="s">
        <v>101</v>
      </c>
      <c r="H2502" s="3" t="s">
        <v>34</v>
      </c>
      <c r="I2502" s="4" t="n">
        <v>8</v>
      </c>
      <c r="J2502" s="4" t="n">
        <f aca="false">LEN(E2502)-LEN(SUBSTITUTE(E2502,",",""))+1</f>
        <v>8</v>
      </c>
      <c r="K2502" s="3" t="str">
        <f aca="false">IFERROR(INDEX('Teacher Lookup'!$B$2:$B$200,MATCH(A2502,'Teacher Lookup'!$A$2:$A$200,0)),"")</f>
        <v>TSAI Christy</v>
      </c>
    </row>
    <row r="2503" customFormat="false" ht="15" hidden="false" customHeight="false" outlineLevel="0" collapsed="false">
      <c r="A2503" s="3" t="s">
        <v>365</v>
      </c>
      <c r="B2503" s="4" t="s">
        <v>31</v>
      </c>
      <c r="C2503" s="4" t="n">
        <v>4</v>
      </c>
      <c r="D2503" s="4" t="s">
        <v>57</v>
      </c>
      <c r="E2503" s="3" t="s">
        <v>111</v>
      </c>
      <c r="F2503" s="4" t="str">
        <f aca="false">IF(I2503&gt;J2503,"Y","N")</f>
        <v>N</v>
      </c>
      <c r="G2503" s="3" t="s">
        <v>101</v>
      </c>
      <c r="H2503" s="3" t="s">
        <v>34</v>
      </c>
      <c r="I2503" s="4" t="n">
        <v>8</v>
      </c>
      <c r="J2503" s="4" t="n">
        <f aca="false">LEN(E2503)-LEN(SUBSTITUTE(E2503,",",""))+1</f>
        <v>8</v>
      </c>
      <c r="K2503" s="3" t="str">
        <f aca="false">IFERROR(INDEX('Teacher Lookup'!$B$2:$B$200,MATCH(A2503,'Teacher Lookup'!$A$2:$A$200,0)),"")</f>
        <v>TSAI Christy</v>
      </c>
    </row>
    <row r="2504" customFormat="false" ht="15" hidden="false" customHeight="false" outlineLevel="0" collapsed="false">
      <c r="A2504" s="3" t="s">
        <v>365</v>
      </c>
      <c r="B2504" s="4" t="s">
        <v>31</v>
      </c>
      <c r="C2504" s="4" t="n">
        <v>4</v>
      </c>
      <c r="D2504" s="4" t="s">
        <v>58</v>
      </c>
      <c r="E2504" s="3" t="s">
        <v>111</v>
      </c>
      <c r="F2504" s="4" t="str">
        <f aca="false">IF(I2504&gt;J2504,"Y","N")</f>
        <v>N</v>
      </c>
      <c r="G2504" s="3" t="s">
        <v>101</v>
      </c>
      <c r="H2504" s="3" t="s">
        <v>34</v>
      </c>
      <c r="I2504" s="4" t="n">
        <v>8</v>
      </c>
      <c r="J2504" s="4" t="n">
        <f aca="false">LEN(E2504)-LEN(SUBSTITUTE(E2504,",",""))+1</f>
        <v>8</v>
      </c>
      <c r="K2504" s="3" t="str">
        <f aca="false">IFERROR(INDEX('Teacher Lookup'!$B$2:$B$200,MATCH(A2504,'Teacher Lookup'!$A$2:$A$200,0)),"")</f>
        <v>TSAI Christy</v>
      </c>
    </row>
    <row r="2505" customFormat="false" ht="15" hidden="false" customHeight="false" outlineLevel="0" collapsed="false">
      <c r="A2505" s="3" t="s">
        <v>365</v>
      </c>
      <c r="B2505" s="4" t="s">
        <v>31</v>
      </c>
      <c r="C2505" s="4" t="n">
        <v>4</v>
      </c>
      <c r="D2505" s="4" t="s">
        <v>59</v>
      </c>
      <c r="E2505" s="3" t="s">
        <v>111</v>
      </c>
      <c r="F2505" s="4" t="str">
        <f aca="false">IF(I2505&gt;J2505,"Y","N")</f>
        <v>N</v>
      </c>
      <c r="G2505" s="3" t="s">
        <v>101</v>
      </c>
      <c r="H2505" s="3" t="s">
        <v>34</v>
      </c>
      <c r="I2505" s="4" t="n">
        <v>8</v>
      </c>
      <c r="J2505" s="4" t="n">
        <f aca="false">LEN(E2505)-LEN(SUBSTITUTE(E2505,",",""))+1</f>
        <v>8</v>
      </c>
      <c r="K2505" s="3" t="str">
        <f aca="false">IFERROR(INDEX('Teacher Lookup'!$B$2:$B$200,MATCH(A2505,'Teacher Lookup'!$A$2:$A$200,0)),"")</f>
        <v>TSAI Christy</v>
      </c>
    </row>
    <row r="2506" customFormat="false" ht="15" hidden="false" customHeight="false" outlineLevel="0" collapsed="false">
      <c r="A2506" s="3" t="s">
        <v>365</v>
      </c>
      <c r="B2506" s="4" t="s">
        <v>31</v>
      </c>
      <c r="C2506" s="4" t="n">
        <v>5</v>
      </c>
      <c r="D2506" s="4" t="s">
        <v>24</v>
      </c>
      <c r="E2506" s="3" t="s">
        <v>131</v>
      </c>
      <c r="F2506" s="4" t="str">
        <f aca="false">IF(I2506&gt;J2506,"Y","N")</f>
        <v>Y</v>
      </c>
      <c r="G2506" s="3" t="s">
        <v>36</v>
      </c>
      <c r="H2506" s="3" t="s">
        <v>37</v>
      </c>
      <c r="I2506" s="4" t="n">
        <v>15</v>
      </c>
      <c r="J2506" s="4" t="n">
        <f aca="false">LEN(E2506)-LEN(SUBSTITUTE(E2506,",",""))+1</f>
        <v>7</v>
      </c>
      <c r="K2506" s="3" t="str">
        <f aca="false">IFERROR(INDEX('Teacher Lookup'!$B$2:$B$200,MATCH(A2506,'Teacher Lookup'!$A$2:$A$200,0)),"")</f>
        <v>TSAI Christy</v>
      </c>
    </row>
    <row r="2507" customFormat="false" ht="15" hidden="false" customHeight="false" outlineLevel="0" collapsed="false">
      <c r="A2507" s="3" t="s">
        <v>365</v>
      </c>
      <c r="B2507" s="4" t="s">
        <v>31</v>
      </c>
      <c r="C2507" s="4" t="n">
        <v>5</v>
      </c>
      <c r="D2507" s="4" t="s">
        <v>132</v>
      </c>
      <c r="E2507" s="3" t="s">
        <v>131</v>
      </c>
      <c r="F2507" s="4" t="str">
        <f aca="false">IF(I2507&gt;J2507,"Y","N")</f>
        <v>Y</v>
      </c>
      <c r="G2507" s="3" t="s">
        <v>36</v>
      </c>
      <c r="H2507" s="3" t="s">
        <v>37</v>
      </c>
      <c r="I2507" s="4" t="n">
        <v>15</v>
      </c>
      <c r="J2507" s="4" t="n">
        <f aca="false">LEN(E2507)-LEN(SUBSTITUTE(E2507,",",""))+1</f>
        <v>7</v>
      </c>
      <c r="K2507" s="3" t="str">
        <f aca="false">IFERROR(INDEX('Teacher Lookup'!$B$2:$B$200,MATCH(A2507,'Teacher Lookup'!$A$2:$A$200,0)),"")</f>
        <v>TSAI Christy</v>
      </c>
    </row>
    <row r="2508" customFormat="false" ht="15" hidden="false" customHeight="false" outlineLevel="0" collapsed="false">
      <c r="A2508" s="3" t="s">
        <v>365</v>
      </c>
      <c r="B2508" s="4" t="s">
        <v>31</v>
      </c>
      <c r="C2508" s="4" t="n">
        <v>5</v>
      </c>
      <c r="D2508" s="4" t="s">
        <v>27</v>
      </c>
      <c r="E2508" s="3" t="s">
        <v>131</v>
      </c>
      <c r="F2508" s="4" t="str">
        <f aca="false">IF(I2508&gt;J2508,"Y","N")</f>
        <v>Y</v>
      </c>
      <c r="G2508" s="3" t="s">
        <v>36</v>
      </c>
      <c r="H2508" s="3" t="s">
        <v>37</v>
      </c>
      <c r="I2508" s="4" t="n">
        <v>15</v>
      </c>
      <c r="J2508" s="4" t="n">
        <f aca="false">LEN(E2508)-LEN(SUBSTITUTE(E2508,",",""))+1</f>
        <v>7</v>
      </c>
      <c r="K2508" s="3" t="str">
        <f aca="false">IFERROR(INDEX('Teacher Lookup'!$B$2:$B$200,MATCH(A2508,'Teacher Lookup'!$A$2:$A$200,0)),"")</f>
        <v>TSAI Christy</v>
      </c>
    </row>
    <row r="2509" customFormat="false" ht="15" hidden="false" customHeight="false" outlineLevel="0" collapsed="false">
      <c r="A2509" s="3" t="s">
        <v>365</v>
      </c>
      <c r="B2509" s="4" t="s">
        <v>31</v>
      </c>
      <c r="C2509" s="4" t="n">
        <v>5</v>
      </c>
      <c r="D2509" s="4" t="s">
        <v>28</v>
      </c>
      <c r="E2509" s="3" t="s">
        <v>131</v>
      </c>
      <c r="F2509" s="4" t="str">
        <f aca="false">IF(I2509&gt;J2509,"Y","N")</f>
        <v>Y</v>
      </c>
      <c r="G2509" s="3" t="s">
        <v>36</v>
      </c>
      <c r="H2509" s="3" t="s">
        <v>37</v>
      </c>
      <c r="I2509" s="4" t="n">
        <v>15</v>
      </c>
      <c r="J2509" s="4" t="n">
        <f aca="false">LEN(E2509)-LEN(SUBSTITUTE(E2509,",",""))+1</f>
        <v>7</v>
      </c>
      <c r="K2509" s="3" t="str">
        <f aca="false">IFERROR(INDEX('Teacher Lookup'!$B$2:$B$200,MATCH(A2509,'Teacher Lookup'!$A$2:$A$200,0)),"")</f>
        <v>TSAI Christy</v>
      </c>
    </row>
    <row r="2510" customFormat="false" ht="15" hidden="false" customHeight="false" outlineLevel="0" collapsed="false">
      <c r="A2510" s="3" t="s">
        <v>365</v>
      </c>
      <c r="B2510" s="4" t="s">
        <v>31</v>
      </c>
      <c r="C2510" s="4" t="n">
        <v>5</v>
      </c>
      <c r="D2510" s="4" t="s">
        <v>29</v>
      </c>
      <c r="E2510" s="3" t="s">
        <v>131</v>
      </c>
      <c r="F2510" s="4" t="str">
        <f aca="false">IF(I2510&gt;J2510,"Y","N")</f>
        <v>Y</v>
      </c>
      <c r="G2510" s="3" t="s">
        <v>36</v>
      </c>
      <c r="H2510" s="3" t="s">
        <v>37</v>
      </c>
      <c r="I2510" s="4" t="n">
        <v>15</v>
      </c>
      <c r="J2510" s="4" t="n">
        <f aca="false">LEN(E2510)-LEN(SUBSTITUTE(E2510,",",""))+1</f>
        <v>7</v>
      </c>
      <c r="K2510" s="3" t="str">
        <f aca="false">IFERROR(INDEX('Teacher Lookup'!$B$2:$B$200,MATCH(A2510,'Teacher Lookup'!$A$2:$A$200,0)),"")</f>
        <v>TSAI Christy</v>
      </c>
    </row>
    <row r="2511" customFormat="false" ht="15" hidden="false" customHeight="false" outlineLevel="0" collapsed="false">
      <c r="A2511" s="3" t="s">
        <v>365</v>
      </c>
      <c r="B2511" s="4" t="s">
        <v>31</v>
      </c>
      <c r="C2511" s="4" t="n">
        <v>5</v>
      </c>
      <c r="D2511" s="4" t="s">
        <v>30</v>
      </c>
      <c r="E2511" s="3" t="s">
        <v>131</v>
      </c>
      <c r="F2511" s="4" t="str">
        <f aca="false">IF(I2511&gt;J2511,"Y","N")</f>
        <v>Y</v>
      </c>
      <c r="G2511" s="3" t="s">
        <v>36</v>
      </c>
      <c r="H2511" s="3" t="s">
        <v>37</v>
      </c>
      <c r="I2511" s="4" t="n">
        <v>15</v>
      </c>
      <c r="J2511" s="4" t="n">
        <f aca="false">LEN(E2511)-LEN(SUBSTITUTE(E2511,",",""))+1</f>
        <v>7</v>
      </c>
      <c r="K2511" s="3" t="str">
        <f aca="false">IFERROR(INDEX('Teacher Lookup'!$B$2:$B$200,MATCH(A2511,'Teacher Lookup'!$A$2:$A$200,0)),"")</f>
        <v>TSAI Christy</v>
      </c>
    </row>
    <row r="2512" customFormat="false" ht="15" hidden="false" customHeight="false" outlineLevel="0" collapsed="false">
      <c r="A2512" s="3" t="s">
        <v>365</v>
      </c>
      <c r="B2512" s="4" t="s">
        <v>40</v>
      </c>
      <c r="C2512" s="4" t="n">
        <v>1</v>
      </c>
      <c r="D2512" s="4" t="s">
        <v>102</v>
      </c>
      <c r="E2512" s="3" t="s">
        <v>114</v>
      </c>
      <c r="F2512" s="4" t="str">
        <f aca="false">IF(I2512&gt;J2512,"Y","N")</f>
        <v>N</v>
      </c>
      <c r="G2512" s="3" t="s">
        <v>104</v>
      </c>
      <c r="H2512" s="3" t="s">
        <v>16</v>
      </c>
      <c r="I2512" s="4" t="n">
        <v>6</v>
      </c>
      <c r="J2512" s="4" t="n">
        <f aca="false">LEN(E2512)-LEN(SUBSTITUTE(E2512,",",""))+1</f>
        <v>6</v>
      </c>
      <c r="K2512" s="3" t="str">
        <f aca="false">IFERROR(INDEX('Teacher Lookup'!$B$2:$B$200,MATCH(A2512,'Teacher Lookup'!$A$2:$A$200,0)),"")</f>
        <v>TSAI Christy</v>
      </c>
    </row>
    <row r="2513" customFormat="false" ht="15" hidden="false" customHeight="false" outlineLevel="0" collapsed="false">
      <c r="A2513" s="3" t="s">
        <v>365</v>
      </c>
      <c r="B2513" s="4" t="s">
        <v>40</v>
      </c>
      <c r="C2513" s="4" t="n">
        <v>1</v>
      </c>
      <c r="D2513" s="4" t="s">
        <v>105</v>
      </c>
      <c r="E2513" s="3" t="s">
        <v>114</v>
      </c>
      <c r="F2513" s="4" t="str">
        <f aca="false">IF(I2513&gt;J2513,"Y","N")</f>
        <v>N</v>
      </c>
      <c r="G2513" s="3" t="s">
        <v>104</v>
      </c>
      <c r="H2513" s="3" t="s">
        <v>16</v>
      </c>
      <c r="I2513" s="4" t="n">
        <v>6</v>
      </c>
      <c r="J2513" s="4" t="n">
        <f aca="false">LEN(E2513)-LEN(SUBSTITUTE(E2513,",",""))+1</f>
        <v>6</v>
      </c>
      <c r="K2513" s="3" t="str">
        <f aca="false">IFERROR(INDEX('Teacher Lookup'!$B$2:$B$200,MATCH(A2513,'Teacher Lookup'!$A$2:$A$200,0)),"")</f>
        <v>TSAI Christy</v>
      </c>
    </row>
    <row r="2514" customFormat="false" ht="15" hidden="false" customHeight="false" outlineLevel="0" collapsed="false">
      <c r="A2514" s="3" t="s">
        <v>365</v>
      </c>
      <c r="B2514" s="4" t="s">
        <v>40</v>
      </c>
      <c r="C2514" s="4" t="n">
        <v>1</v>
      </c>
      <c r="D2514" s="4" t="s">
        <v>106</v>
      </c>
      <c r="E2514" s="3" t="s">
        <v>114</v>
      </c>
      <c r="F2514" s="4" t="str">
        <f aca="false">IF(I2514&gt;J2514,"Y","N")</f>
        <v>N</v>
      </c>
      <c r="G2514" s="3" t="s">
        <v>104</v>
      </c>
      <c r="H2514" s="3" t="s">
        <v>16</v>
      </c>
      <c r="I2514" s="4" t="n">
        <v>6</v>
      </c>
      <c r="J2514" s="4" t="n">
        <f aca="false">LEN(E2514)-LEN(SUBSTITUTE(E2514,",",""))+1</f>
        <v>6</v>
      </c>
      <c r="K2514" s="3" t="str">
        <f aca="false">IFERROR(INDEX('Teacher Lookup'!$B$2:$B$200,MATCH(A2514,'Teacher Lookup'!$A$2:$A$200,0)),"")</f>
        <v>TSAI Christy</v>
      </c>
    </row>
    <row r="2515" customFormat="false" ht="15" hidden="false" customHeight="false" outlineLevel="0" collapsed="false">
      <c r="A2515" s="3" t="s">
        <v>365</v>
      </c>
      <c r="B2515" s="4" t="s">
        <v>40</v>
      </c>
      <c r="C2515" s="4" t="n">
        <v>1</v>
      </c>
      <c r="D2515" s="4" t="s">
        <v>107</v>
      </c>
      <c r="E2515" s="3" t="s">
        <v>114</v>
      </c>
      <c r="F2515" s="4" t="str">
        <f aca="false">IF(I2515&gt;J2515,"Y","N")</f>
        <v>N</v>
      </c>
      <c r="G2515" s="3" t="s">
        <v>104</v>
      </c>
      <c r="H2515" s="3" t="s">
        <v>16</v>
      </c>
      <c r="I2515" s="4" t="n">
        <v>6</v>
      </c>
      <c r="J2515" s="4" t="n">
        <f aca="false">LEN(E2515)-LEN(SUBSTITUTE(E2515,",",""))+1</f>
        <v>6</v>
      </c>
      <c r="K2515" s="3" t="str">
        <f aca="false">IFERROR(INDEX('Teacher Lookup'!$B$2:$B$200,MATCH(A2515,'Teacher Lookup'!$A$2:$A$200,0)),"")</f>
        <v>TSAI Christy</v>
      </c>
    </row>
    <row r="2516" customFormat="false" ht="15" hidden="false" customHeight="false" outlineLevel="0" collapsed="false">
      <c r="A2516" s="3" t="s">
        <v>365</v>
      </c>
      <c r="B2516" s="4" t="s">
        <v>40</v>
      </c>
      <c r="C2516" s="4" t="n">
        <v>5</v>
      </c>
      <c r="D2516" s="4" t="s">
        <v>29</v>
      </c>
      <c r="E2516" s="3" t="s">
        <v>241</v>
      </c>
      <c r="F2516" s="4" t="str">
        <f aca="false">IF(I2516&gt;J2516,"Y","N")</f>
        <v>N</v>
      </c>
      <c r="G2516" s="3" t="s">
        <v>237</v>
      </c>
      <c r="H2516" s="3" t="s">
        <v>37</v>
      </c>
      <c r="I2516" s="4" t="n">
        <v>3</v>
      </c>
      <c r="J2516" s="4" t="n">
        <f aca="false">LEN(E2516)-LEN(SUBSTITUTE(E2516,",",""))+1</f>
        <v>3</v>
      </c>
      <c r="K2516" s="3" t="str">
        <f aca="false">IFERROR(INDEX('Teacher Lookup'!$B$2:$B$200,MATCH(A2516,'Teacher Lookup'!$A$2:$A$200,0)),"")</f>
        <v>TSAI Christy</v>
      </c>
    </row>
    <row r="2517" customFormat="false" ht="15" hidden="false" customHeight="false" outlineLevel="0" collapsed="false">
      <c r="A2517" s="3" t="s">
        <v>365</v>
      </c>
      <c r="B2517" s="4" t="s">
        <v>40</v>
      </c>
      <c r="C2517" s="4" t="n">
        <v>5</v>
      </c>
      <c r="D2517" s="4" t="s">
        <v>30</v>
      </c>
      <c r="E2517" s="3" t="s">
        <v>241</v>
      </c>
      <c r="F2517" s="4" t="str">
        <f aca="false">IF(I2517&gt;J2517,"Y","N")</f>
        <v>N</v>
      </c>
      <c r="G2517" s="3" t="s">
        <v>237</v>
      </c>
      <c r="H2517" s="3" t="s">
        <v>37</v>
      </c>
      <c r="I2517" s="4" t="n">
        <v>3</v>
      </c>
      <c r="J2517" s="4" t="n">
        <f aca="false">LEN(E2517)-LEN(SUBSTITUTE(E2517,",",""))+1</f>
        <v>3</v>
      </c>
      <c r="K2517" s="3" t="str">
        <f aca="false">IFERROR(INDEX('Teacher Lookup'!$B$2:$B$200,MATCH(A2517,'Teacher Lookup'!$A$2:$A$200,0)),"")</f>
        <v>TSAI Christy</v>
      </c>
    </row>
    <row r="2518" customFormat="false" ht="15" hidden="false" customHeight="false" outlineLevel="0" collapsed="false">
      <c r="A2518" s="3" t="s">
        <v>365</v>
      </c>
      <c r="B2518" s="4" t="s">
        <v>44</v>
      </c>
      <c r="C2518" s="4" t="n">
        <v>2</v>
      </c>
      <c r="D2518" s="4" t="s">
        <v>102</v>
      </c>
      <c r="E2518" s="3" t="s">
        <v>110</v>
      </c>
      <c r="F2518" s="4" t="str">
        <f aca="false">IF(I2518&gt;J2518,"Y","N")</f>
        <v>N</v>
      </c>
      <c r="G2518" s="3" t="s">
        <v>104</v>
      </c>
      <c r="H2518" s="3" t="s">
        <v>21</v>
      </c>
      <c r="I2518" s="4" t="n">
        <v>6</v>
      </c>
      <c r="J2518" s="4" t="n">
        <f aca="false">LEN(E2518)-LEN(SUBSTITUTE(E2518,",",""))+1</f>
        <v>6</v>
      </c>
      <c r="K2518" s="3" t="str">
        <f aca="false">IFERROR(INDEX('Teacher Lookup'!$B$2:$B$200,MATCH(A2518,'Teacher Lookup'!$A$2:$A$200,0)),"")</f>
        <v>TSAI Christy</v>
      </c>
    </row>
    <row r="2519" customFormat="false" ht="15" hidden="false" customHeight="false" outlineLevel="0" collapsed="false">
      <c r="A2519" s="3" t="s">
        <v>365</v>
      </c>
      <c r="B2519" s="4" t="s">
        <v>44</v>
      </c>
      <c r="C2519" s="4" t="n">
        <v>2</v>
      </c>
      <c r="D2519" s="4" t="s">
        <v>105</v>
      </c>
      <c r="E2519" s="3" t="s">
        <v>110</v>
      </c>
      <c r="F2519" s="4" t="str">
        <f aca="false">IF(I2519&gt;J2519,"Y","N")</f>
        <v>N</v>
      </c>
      <c r="G2519" s="3" t="s">
        <v>104</v>
      </c>
      <c r="H2519" s="3" t="s">
        <v>21</v>
      </c>
      <c r="I2519" s="4" t="n">
        <v>6</v>
      </c>
      <c r="J2519" s="4" t="n">
        <f aca="false">LEN(E2519)-LEN(SUBSTITUTE(E2519,",",""))+1</f>
        <v>6</v>
      </c>
      <c r="K2519" s="3" t="str">
        <f aca="false">IFERROR(INDEX('Teacher Lookup'!$B$2:$B$200,MATCH(A2519,'Teacher Lookup'!$A$2:$A$200,0)),"")</f>
        <v>TSAI Christy</v>
      </c>
    </row>
    <row r="2520" customFormat="false" ht="15" hidden="false" customHeight="false" outlineLevel="0" collapsed="false">
      <c r="A2520" s="3" t="s">
        <v>365</v>
      </c>
      <c r="B2520" s="4" t="s">
        <v>44</v>
      </c>
      <c r="C2520" s="4" t="n">
        <v>2</v>
      </c>
      <c r="D2520" s="4" t="s">
        <v>106</v>
      </c>
      <c r="E2520" s="3" t="s">
        <v>110</v>
      </c>
      <c r="F2520" s="4" t="str">
        <f aca="false">IF(I2520&gt;J2520,"Y","N")</f>
        <v>N</v>
      </c>
      <c r="G2520" s="3" t="s">
        <v>104</v>
      </c>
      <c r="H2520" s="3" t="s">
        <v>21</v>
      </c>
      <c r="I2520" s="4" t="n">
        <v>6</v>
      </c>
      <c r="J2520" s="4" t="n">
        <f aca="false">LEN(E2520)-LEN(SUBSTITUTE(E2520,",",""))+1</f>
        <v>6</v>
      </c>
      <c r="K2520" s="3" t="str">
        <f aca="false">IFERROR(INDEX('Teacher Lookup'!$B$2:$B$200,MATCH(A2520,'Teacher Lookup'!$A$2:$A$200,0)),"")</f>
        <v>TSAI Christy</v>
      </c>
    </row>
    <row r="2521" customFormat="false" ht="15" hidden="false" customHeight="false" outlineLevel="0" collapsed="false">
      <c r="A2521" s="3" t="s">
        <v>365</v>
      </c>
      <c r="B2521" s="4" t="s">
        <v>44</v>
      </c>
      <c r="C2521" s="4" t="n">
        <v>2</v>
      </c>
      <c r="D2521" s="4" t="s">
        <v>107</v>
      </c>
      <c r="E2521" s="3" t="s">
        <v>110</v>
      </c>
      <c r="F2521" s="4" t="str">
        <f aca="false">IF(I2521&gt;J2521,"Y","N")</f>
        <v>N</v>
      </c>
      <c r="G2521" s="3" t="s">
        <v>104</v>
      </c>
      <c r="H2521" s="3" t="s">
        <v>21</v>
      </c>
      <c r="I2521" s="4" t="n">
        <v>6</v>
      </c>
      <c r="J2521" s="4" t="n">
        <f aca="false">LEN(E2521)-LEN(SUBSTITUTE(E2521,",",""))+1</f>
        <v>6</v>
      </c>
      <c r="K2521" s="3" t="str">
        <f aca="false">IFERROR(INDEX('Teacher Lookup'!$B$2:$B$200,MATCH(A2521,'Teacher Lookup'!$A$2:$A$200,0)),"")</f>
        <v>TSAI Christy</v>
      </c>
    </row>
    <row r="2522" customFormat="false" ht="15" hidden="false" customHeight="false" outlineLevel="0" collapsed="false">
      <c r="A2522" s="3" t="s">
        <v>365</v>
      </c>
      <c r="B2522" s="4" t="s">
        <v>44</v>
      </c>
      <c r="C2522" s="4" t="n">
        <v>3</v>
      </c>
      <c r="D2522" s="4" t="s">
        <v>29</v>
      </c>
      <c r="E2522" s="3" t="s">
        <v>242</v>
      </c>
      <c r="F2522" s="4" t="str">
        <f aca="false">IF(I2522&gt;J2522,"Y","N")</f>
        <v>N</v>
      </c>
      <c r="G2522" s="3" t="s">
        <v>237</v>
      </c>
      <c r="H2522" s="3" t="s">
        <v>26</v>
      </c>
      <c r="I2522" s="4" t="n">
        <v>3</v>
      </c>
      <c r="J2522" s="4" t="n">
        <f aca="false">LEN(E2522)-LEN(SUBSTITUTE(E2522,",",""))+1</f>
        <v>3</v>
      </c>
      <c r="K2522" s="3" t="str">
        <f aca="false">IFERROR(INDEX('Teacher Lookup'!$B$2:$B$200,MATCH(A2522,'Teacher Lookup'!$A$2:$A$200,0)),"")</f>
        <v>TSAI Christy</v>
      </c>
    </row>
    <row r="2523" customFormat="false" ht="15" hidden="false" customHeight="false" outlineLevel="0" collapsed="false">
      <c r="A2523" s="3" t="s">
        <v>365</v>
      </c>
      <c r="B2523" s="4" t="s">
        <v>44</v>
      </c>
      <c r="C2523" s="4" t="n">
        <v>3</v>
      </c>
      <c r="D2523" s="4" t="s">
        <v>30</v>
      </c>
      <c r="E2523" s="3" t="s">
        <v>242</v>
      </c>
      <c r="F2523" s="4" t="str">
        <f aca="false">IF(I2523&gt;J2523,"Y","N")</f>
        <v>N</v>
      </c>
      <c r="G2523" s="3" t="s">
        <v>237</v>
      </c>
      <c r="H2523" s="3" t="s">
        <v>26</v>
      </c>
      <c r="I2523" s="4" t="n">
        <v>3</v>
      </c>
      <c r="J2523" s="4" t="n">
        <f aca="false">LEN(E2523)-LEN(SUBSTITUTE(E2523,",",""))+1</f>
        <v>3</v>
      </c>
      <c r="K2523" s="3" t="str">
        <f aca="false">IFERROR(INDEX('Teacher Lookup'!$B$2:$B$200,MATCH(A2523,'Teacher Lookup'!$A$2:$A$200,0)),"")</f>
        <v>TSAI Christy</v>
      </c>
    </row>
    <row r="2524" customFormat="false" ht="15" hidden="false" customHeight="false" outlineLevel="0" collapsed="false">
      <c r="A2524" s="3" t="s">
        <v>365</v>
      </c>
      <c r="B2524" s="4" t="s">
        <v>44</v>
      </c>
      <c r="C2524" s="4" t="n">
        <v>4</v>
      </c>
      <c r="D2524" s="4" t="s">
        <v>52</v>
      </c>
      <c r="E2524" s="3" t="s">
        <v>115</v>
      </c>
      <c r="F2524" s="4" t="str">
        <f aca="false">IF(I2524&gt;J2524,"Y","N")</f>
        <v>Y</v>
      </c>
      <c r="G2524" s="3" t="s">
        <v>101</v>
      </c>
      <c r="H2524" s="3" t="s">
        <v>34</v>
      </c>
      <c r="I2524" s="4" t="n">
        <v>9</v>
      </c>
      <c r="J2524" s="4" t="n">
        <f aca="false">LEN(E2524)-LEN(SUBSTITUTE(E2524,",",""))+1</f>
        <v>8</v>
      </c>
      <c r="K2524" s="3" t="str">
        <f aca="false">IFERROR(INDEX('Teacher Lookup'!$B$2:$B$200,MATCH(A2524,'Teacher Lookup'!$A$2:$A$200,0)),"")</f>
        <v>TSAI Christy</v>
      </c>
    </row>
    <row r="2525" customFormat="false" ht="15" hidden="false" customHeight="false" outlineLevel="0" collapsed="false">
      <c r="A2525" s="3" t="s">
        <v>365</v>
      </c>
      <c r="B2525" s="4" t="s">
        <v>44</v>
      </c>
      <c r="C2525" s="4" t="n">
        <v>4</v>
      </c>
      <c r="D2525" s="4" t="s">
        <v>55</v>
      </c>
      <c r="E2525" s="3" t="s">
        <v>115</v>
      </c>
      <c r="F2525" s="4" t="str">
        <f aca="false">IF(I2525&gt;J2525,"Y","N")</f>
        <v>Y</v>
      </c>
      <c r="G2525" s="3" t="s">
        <v>101</v>
      </c>
      <c r="H2525" s="3" t="s">
        <v>34</v>
      </c>
      <c r="I2525" s="4" t="n">
        <v>9</v>
      </c>
      <c r="J2525" s="4" t="n">
        <f aca="false">LEN(E2525)-LEN(SUBSTITUTE(E2525,",",""))+1</f>
        <v>8</v>
      </c>
      <c r="K2525" s="3" t="str">
        <f aca="false">IFERROR(INDEX('Teacher Lookup'!$B$2:$B$200,MATCH(A2525,'Teacher Lookup'!$A$2:$A$200,0)),"")</f>
        <v>TSAI Christy</v>
      </c>
    </row>
    <row r="2526" customFormat="false" ht="15" hidden="false" customHeight="false" outlineLevel="0" collapsed="false">
      <c r="A2526" s="3" t="s">
        <v>365</v>
      </c>
      <c r="B2526" s="4" t="s">
        <v>44</v>
      </c>
      <c r="C2526" s="4" t="n">
        <v>4</v>
      </c>
      <c r="D2526" s="4" t="s">
        <v>56</v>
      </c>
      <c r="E2526" s="3" t="s">
        <v>115</v>
      </c>
      <c r="F2526" s="4" t="str">
        <f aca="false">IF(I2526&gt;J2526,"Y","N")</f>
        <v>Y</v>
      </c>
      <c r="G2526" s="3" t="s">
        <v>101</v>
      </c>
      <c r="H2526" s="3" t="s">
        <v>34</v>
      </c>
      <c r="I2526" s="4" t="n">
        <v>9</v>
      </c>
      <c r="J2526" s="4" t="n">
        <f aca="false">LEN(E2526)-LEN(SUBSTITUTE(E2526,",",""))+1</f>
        <v>8</v>
      </c>
      <c r="K2526" s="3" t="str">
        <f aca="false">IFERROR(INDEX('Teacher Lookup'!$B$2:$B$200,MATCH(A2526,'Teacher Lookup'!$A$2:$A$200,0)),"")</f>
        <v>TSAI Christy</v>
      </c>
    </row>
    <row r="2527" customFormat="false" ht="15" hidden="false" customHeight="false" outlineLevel="0" collapsed="false">
      <c r="A2527" s="3" t="s">
        <v>365</v>
      </c>
      <c r="B2527" s="4" t="s">
        <v>44</v>
      </c>
      <c r="C2527" s="4" t="n">
        <v>4</v>
      </c>
      <c r="D2527" s="4" t="s">
        <v>57</v>
      </c>
      <c r="E2527" s="3" t="s">
        <v>115</v>
      </c>
      <c r="F2527" s="4" t="str">
        <f aca="false">IF(I2527&gt;J2527,"Y","N")</f>
        <v>Y</v>
      </c>
      <c r="G2527" s="3" t="s">
        <v>101</v>
      </c>
      <c r="H2527" s="3" t="s">
        <v>34</v>
      </c>
      <c r="I2527" s="4" t="n">
        <v>9</v>
      </c>
      <c r="J2527" s="4" t="n">
        <f aca="false">LEN(E2527)-LEN(SUBSTITUTE(E2527,",",""))+1</f>
        <v>8</v>
      </c>
      <c r="K2527" s="3" t="str">
        <f aca="false">IFERROR(INDEX('Teacher Lookup'!$B$2:$B$200,MATCH(A2527,'Teacher Lookup'!$A$2:$A$200,0)),"")</f>
        <v>TSAI Christy</v>
      </c>
    </row>
    <row r="2528" customFormat="false" ht="15" hidden="false" customHeight="false" outlineLevel="0" collapsed="false">
      <c r="A2528" s="3" t="s">
        <v>365</v>
      </c>
      <c r="B2528" s="4" t="s">
        <v>44</v>
      </c>
      <c r="C2528" s="4" t="n">
        <v>4</v>
      </c>
      <c r="D2528" s="4" t="s">
        <v>58</v>
      </c>
      <c r="E2528" s="3" t="s">
        <v>115</v>
      </c>
      <c r="F2528" s="4" t="str">
        <f aca="false">IF(I2528&gt;J2528,"Y","N")</f>
        <v>Y</v>
      </c>
      <c r="G2528" s="3" t="s">
        <v>101</v>
      </c>
      <c r="H2528" s="3" t="s">
        <v>34</v>
      </c>
      <c r="I2528" s="4" t="n">
        <v>9</v>
      </c>
      <c r="J2528" s="4" t="n">
        <f aca="false">LEN(E2528)-LEN(SUBSTITUTE(E2528,",",""))+1</f>
        <v>8</v>
      </c>
      <c r="K2528" s="3" t="str">
        <f aca="false">IFERROR(INDEX('Teacher Lookup'!$B$2:$B$200,MATCH(A2528,'Teacher Lookup'!$A$2:$A$200,0)),"")</f>
        <v>TSAI Christy</v>
      </c>
    </row>
    <row r="2529" customFormat="false" ht="15" hidden="false" customHeight="false" outlineLevel="0" collapsed="false">
      <c r="A2529" s="3" t="s">
        <v>365</v>
      </c>
      <c r="B2529" s="4" t="s">
        <v>44</v>
      </c>
      <c r="C2529" s="4" t="n">
        <v>4</v>
      </c>
      <c r="D2529" s="4" t="s">
        <v>59</v>
      </c>
      <c r="E2529" s="3" t="s">
        <v>115</v>
      </c>
      <c r="F2529" s="4" t="str">
        <f aca="false">IF(I2529&gt;J2529,"Y","N")</f>
        <v>Y</v>
      </c>
      <c r="G2529" s="3" t="s">
        <v>101</v>
      </c>
      <c r="H2529" s="3" t="s">
        <v>34</v>
      </c>
      <c r="I2529" s="4" t="n">
        <v>9</v>
      </c>
      <c r="J2529" s="4" t="n">
        <f aca="false">LEN(E2529)-LEN(SUBSTITUTE(E2529,",",""))+1</f>
        <v>8</v>
      </c>
      <c r="K2529" s="3" t="str">
        <f aca="false">IFERROR(INDEX('Teacher Lookup'!$B$2:$B$200,MATCH(A2529,'Teacher Lookup'!$A$2:$A$200,0)),"")</f>
        <v>TSAI Christy</v>
      </c>
    </row>
    <row r="2530" customFormat="false" ht="15" hidden="false" customHeight="false" outlineLevel="0" collapsed="false">
      <c r="A2530" s="3" t="s">
        <v>365</v>
      </c>
      <c r="B2530" s="4" t="s">
        <v>44</v>
      </c>
      <c r="C2530" s="4" t="n">
        <v>5</v>
      </c>
      <c r="D2530" s="4" t="s">
        <v>24</v>
      </c>
      <c r="E2530" s="3" t="s">
        <v>131</v>
      </c>
      <c r="F2530" s="4" t="str">
        <f aca="false">IF(I2530&gt;J2530,"Y","N")</f>
        <v>Y</v>
      </c>
      <c r="G2530" s="3" t="s">
        <v>36</v>
      </c>
      <c r="H2530" s="3" t="s">
        <v>37</v>
      </c>
      <c r="I2530" s="4" t="n">
        <v>15</v>
      </c>
      <c r="J2530" s="4" t="n">
        <f aca="false">LEN(E2530)-LEN(SUBSTITUTE(E2530,",",""))+1</f>
        <v>7</v>
      </c>
      <c r="K2530" s="3" t="str">
        <f aca="false">IFERROR(INDEX('Teacher Lookup'!$B$2:$B$200,MATCH(A2530,'Teacher Lookup'!$A$2:$A$200,0)),"")</f>
        <v>TSAI Christy</v>
      </c>
    </row>
    <row r="2531" customFormat="false" ht="15" hidden="false" customHeight="false" outlineLevel="0" collapsed="false">
      <c r="A2531" s="3" t="s">
        <v>365</v>
      </c>
      <c r="B2531" s="4" t="s">
        <v>44</v>
      </c>
      <c r="C2531" s="4" t="n">
        <v>5</v>
      </c>
      <c r="D2531" s="4" t="s">
        <v>132</v>
      </c>
      <c r="E2531" s="3" t="s">
        <v>131</v>
      </c>
      <c r="F2531" s="4" t="str">
        <f aca="false">IF(I2531&gt;J2531,"Y","N")</f>
        <v>Y</v>
      </c>
      <c r="G2531" s="3" t="s">
        <v>36</v>
      </c>
      <c r="H2531" s="3" t="s">
        <v>37</v>
      </c>
      <c r="I2531" s="4" t="n">
        <v>15</v>
      </c>
      <c r="J2531" s="4" t="n">
        <f aca="false">LEN(E2531)-LEN(SUBSTITUTE(E2531,",",""))+1</f>
        <v>7</v>
      </c>
      <c r="K2531" s="3" t="str">
        <f aca="false">IFERROR(INDEX('Teacher Lookup'!$B$2:$B$200,MATCH(A2531,'Teacher Lookup'!$A$2:$A$200,0)),"")</f>
        <v>TSAI Christy</v>
      </c>
    </row>
    <row r="2532" customFormat="false" ht="15" hidden="false" customHeight="false" outlineLevel="0" collapsed="false">
      <c r="A2532" s="3" t="s">
        <v>365</v>
      </c>
      <c r="B2532" s="4" t="s">
        <v>44</v>
      </c>
      <c r="C2532" s="4" t="n">
        <v>5</v>
      </c>
      <c r="D2532" s="4" t="s">
        <v>27</v>
      </c>
      <c r="E2532" s="3" t="s">
        <v>131</v>
      </c>
      <c r="F2532" s="4" t="str">
        <f aca="false">IF(I2532&gt;J2532,"Y","N")</f>
        <v>Y</v>
      </c>
      <c r="G2532" s="3" t="s">
        <v>36</v>
      </c>
      <c r="H2532" s="3" t="s">
        <v>37</v>
      </c>
      <c r="I2532" s="4" t="n">
        <v>15</v>
      </c>
      <c r="J2532" s="4" t="n">
        <f aca="false">LEN(E2532)-LEN(SUBSTITUTE(E2532,",",""))+1</f>
        <v>7</v>
      </c>
      <c r="K2532" s="3" t="str">
        <f aca="false">IFERROR(INDEX('Teacher Lookup'!$B$2:$B$200,MATCH(A2532,'Teacher Lookup'!$A$2:$A$200,0)),"")</f>
        <v>TSAI Christy</v>
      </c>
    </row>
    <row r="2533" customFormat="false" ht="15" hidden="false" customHeight="false" outlineLevel="0" collapsed="false">
      <c r="A2533" s="3" t="s">
        <v>365</v>
      </c>
      <c r="B2533" s="4" t="s">
        <v>44</v>
      </c>
      <c r="C2533" s="4" t="n">
        <v>5</v>
      </c>
      <c r="D2533" s="4" t="s">
        <v>28</v>
      </c>
      <c r="E2533" s="3" t="s">
        <v>131</v>
      </c>
      <c r="F2533" s="4" t="str">
        <f aca="false">IF(I2533&gt;J2533,"Y","N")</f>
        <v>Y</v>
      </c>
      <c r="G2533" s="3" t="s">
        <v>36</v>
      </c>
      <c r="H2533" s="3" t="s">
        <v>37</v>
      </c>
      <c r="I2533" s="4" t="n">
        <v>15</v>
      </c>
      <c r="J2533" s="4" t="n">
        <f aca="false">LEN(E2533)-LEN(SUBSTITUTE(E2533,",",""))+1</f>
        <v>7</v>
      </c>
      <c r="K2533" s="3" t="str">
        <f aca="false">IFERROR(INDEX('Teacher Lookup'!$B$2:$B$200,MATCH(A2533,'Teacher Lookup'!$A$2:$A$200,0)),"")</f>
        <v>TSAI Christy</v>
      </c>
    </row>
    <row r="2534" customFormat="false" ht="15" hidden="false" customHeight="false" outlineLevel="0" collapsed="false">
      <c r="A2534" s="3" t="s">
        <v>365</v>
      </c>
      <c r="B2534" s="4" t="s">
        <v>44</v>
      </c>
      <c r="C2534" s="4" t="n">
        <v>5</v>
      </c>
      <c r="D2534" s="4" t="s">
        <v>29</v>
      </c>
      <c r="E2534" s="3" t="s">
        <v>131</v>
      </c>
      <c r="F2534" s="4" t="str">
        <f aca="false">IF(I2534&gt;J2534,"Y","N")</f>
        <v>Y</v>
      </c>
      <c r="G2534" s="3" t="s">
        <v>36</v>
      </c>
      <c r="H2534" s="3" t="s">
        <v>37</v>
      </c>
      <c r="I2534" s="4" t="n">
        <v>15</v>
      </c>
      <c r="J2534" s="4" t="n">
        <f aca="false">LEN(E2534)-LEN(SUBSTITUTE(E2534,",",""))+1</f>
        <v>7</v>
      </c>
      <c r="K2534" s="3" t="str">
        <f aca="false">IFERROR(INDEX('Teacher Lookup'!$B$2:$B$200,MATCH(A2534,'Teacher Lookup'!$A$2:$A$200,0)),"")</f>
        <v>TSAI Christy</v>
      </c>
    </row>
    <row r="2535" customFormat="false" ht="15" hidden="false" customHeight="false" outlineLevel="0" collapsed="false">
      <c r="A2535" s="3" t="s">
        <v>365</v>
      </c>
      <c r="B2535" s="4" t="s">
        <v>44</v>
      </c>
      <c r="C2535" s="4" t="n">
        <v>5</v>
      </c>
      <c r="D2535" s="4" t="s">
        <v>30</v>
      </c>
      <c r="E2535" s="3" t="s">
        <v>131</v>
      </c>
      <c r="F2535" s="4" t="str">
        <f aca="false">IF(I2535&gt;J2535,"Y","N")</f>
        <v>Y</v>
      </c>
      <c r="G2535" s="3" t="s">
        <v>36</v>
      </c>
      <c r="H2535" s="3" t="s">
        <v>37</v>
      </c>
      <c r="I2535" s="4" t="n">
        <v>15</v>
      </c>
      <c r="J2535" s="4" t="n">
        <f aca="false">LEN(E2535)-LEN(SUBSTITUTE(E2535,",",""))+1</f>
        <v>7</v>
      </c>
      <c r="K2535" s="3" t="str">
        <f aca="false">IFERROR(INDEX('Teacher Lookup'!$B$2:$B$200,MATCH(A2535,'Teacher Lookup'!$A$2:$A$200,0)),"")</f>
        <v>TSAI Christy</v>
      </c>
    </row>
    <row r="2536" customFormat="false" ht="15" hidden="false" customHeight="false" outlineLevel="0" collapsed="false">
      <c r="A2536" s="3" t="s">
        <v>365</v>
      </c>
      <c r="B2536" s="4" t="s">
        <v>47</v>
      </c>
      <c r="C2536" s="4" t="n">
        <v>5</v>
      </c>
      <c r="D2536" s="4" t="s">
        <v>102</v>
      </c>
      <c r="E2536" s="3" t="s">
        <v>116</v>
      </c>
      <c r="F2536" s="4" t="str">
        <f aca="false">IF(I2536&gt;J2536,"Y","N")</f>
        <v>N</v>
      </c>
      <c r="G2536" s="3" t="s">
        <v>104</v>
      </c>
      <c r="H2536" s="3" t="s">
        <v>37</v>
      </c>
      <c r="I2536" s="4" t="n">
        <v>6</v>
      </c>
      <c r="J2536" s="4" t="n">
        <f aca="false">LEN(E2536)-LEN(SUBSTITUTE(E2536,",",""))+1</f>
        <v>6</v>
      </c>
      <c r="K2536" s="3" t="str">
        <f aca="false">IFERROR(INDEX('Teacher Lookup'!$B$2:$B$200,MATCH(A2536,'Teacher Lookup'!$A$2:$A$200,0)),"")</f>
        <v>TSAI Christy</v>
      </c>
    </row>
    <row r="2537" customFormat="false" ht="15" hidden="false" customHeight="false" outlineLevel="0" collapsed="false">
      <c r="A2537" s="3" t="s">
        <v>365</v>
      </c>
      <c r="B2537" s="4" t="s">
        <v>47</v>
      </c>
      <c r="C2537" s="4" t="n">
        <v>5</v>
      </c>
      <c r="D2537" s="4" t="s">
        <v>105</v>
      </c>
      <c r="E2537" s="3" t="s">
        <v>116</v>
      </c>
      <c r="F2537" s="4" t="str">
        <f aca="false">IF(I2537&gt;J2537,"Y","N")</f>
        <v>N</v>
      </c>
      <c r="G2537" s="3" t="s">
        <v>104</v>
      </c>
      <c r="H2537" s="3" t="s">
        <v>37</v>
      </c>
      <c r="I2537" s="4" t="n">
        <v>6</v>
      </c>
      <c r="J2537" s="4" t="n">
        <f aca="false">LEN(E2537)-LEN(SUBSTITUTE(E2537,",",""))+1</f>
        <v>6</v>
      </c>
      <c r="K2537" s="3" t="str">
        <f aca="false">IFERROR(INDEX('Teacher Lookup'!$B$2:$B$200,MATCH(A2537,'Teacher Lookup'!$A$2:$A$200,0)),"")</f>
        <v>TSAI Christy</v>
      </c>
    </row>
    <row r="2538" customFormat="false" ht="15" hidden="false" customHeight="false" outlineLevel="0" collapsed="false">
      <c r="A2538" s="3" t="s">
        <v>365</v>
      </c>
      <c r="B2538" s="4" t="s">
        <v>47</v>
      </c>
      <c r="C2538" s="4" t="n">
        <v>5</v>
      </c>
      <c r="D2538" s="4" t="s">
        <v>106</v>
      </c>
      <c r="E2538" s="3" t="s">
        <v>116</v>
      </c>
      <c r="F2538" s="4" t="str">
        <f aca="false">IF(I2538&gt;J2538,"Y","N")</f>
        <v>N</v>
      </c>
      <c r="G2538" s="3" t="s">
        <v>104</v>
      </c>
      <c r="H2538" s="3" t="s">
        <v>37</v>
      </c>
      <c r="I2538" s="4" t="n">
        <v>6</v>
      </c>
      <c r="J2538" s="4" t="n">
        <f aca="false">LEN(E2538)-LEN(SUBSTITUTE(E2538,",",""))+1</f>
        <v>6</v>
      </c>
      <c r="K2538" s="3" t="str">
        <f aca="false">IFERROR(INDEX('Teacher Lookup'!$B$2:$B$200,MATCH(A2538,'Teacher Lookup'!$A$2:$A$200,0)),"")</f>
        <v>TSAI Christy</v>
      </c>
    </row>
    <row r="2539" customFormat="false" ht="15" hidden="false" customHeight="false" outlineLevel="0" collapsed="false">
      <c r="A2539" s="3" t="s">
        <v>365</v>
      </c>
      <c r="B2539" s="4" t="s">
        <v>47</v>
      </c>
      <c r="C2539" s="4" t="n">
        <v>5</v>
      </c>
      <c r="D2539" s="4" t="s">
        <v>107</v>
      </c>
      <c r="E2539" s="3" t="s">
        <v>116</v>
      </c>
      <c r="F2539" s="4" t="str">
        <f aca="false">IF(I2539&gt;J2539,"Y","N")</f>
        <v>N</v>
      </c>
      <c r="G2539" s="3" t="s">
        <v>104</v>
      </c>
      <c r="H2539" s="3" t="s">
        <v>37</v>
      </c>
      <c r="I2539" s="4" t="n">
        <v>6</v>
      </c>
      <c r="J2539" s="4" t="n">
        <f aca="false">LEN(E2539)-LEN(SUBSTITUTE(E2539,",",""))+1</f>
        <v>6</v>
      </c>
      <c r="K2539" s="3" t="str">
        <f aca="false">IFERROR(INDEX('Teacher Lookup'!$B$2:$B$200,MATCH(A2539,'Teacher Lookup'!$A$2:$A$200,0)),"")</f>
        <v>TSAI Christy</v>
      </c>
    </row>
    <row r="2540" customFormat="false" ht="15" hidden="false" customHeight="false" outlineLevel="0" collapsed="false">
      <c r="A2540" s="3" t="s">
        <v>365</v>
      </c>
      <c r="B2540" s="4" t="s">
        <v>47</v>
      </c>
      <c r="C2540" s="4" t="n">
        <v>6</v>
      </c>
      <c r="D2540" s="4" t="s">
        <v>52</v>
      </c>
      <c r="E2540" s="3" t="s">
        <v>117</v>
      </c>
      <c r="F2540" s="4" t="str">
        <f aca="false">IF(I2540&gt;J2540,"Y","N")</f>
        <v>N</v>
      </c>
      <c r="G2540" s="3" t="s">
        <v>101</v>
      </c>
      <c r="H2540" s="3" t="s">
        <v>42</v>
      </c>
      <c r="I2540" s="4" t="n">
        <v>8</v>
      </c>
      <c r="J2540" s="4" t="n">
        <f aca="false">LEN(E2540)-LEN(SUBSTITUTE(E2540,",",""))+1</f>
        <v>8</v>
      </c>
      <c r="K2540" s="3" t="str">
        <f aca="false">IFERROR(INDEX('Teacher Lookup'!$B$2:$B$200,MATCH(A2540,'Teacher Lookup'!$A$2:$A$200,0)),"")</f>
        <v>TSAI Christy</v>
      </c>
    </row>
    <row r="2541" customFormat="false" ht="15" hidden="false" customHeight="false" outlineLevel="0" collapsed="false">
      <c r="A2541" s="3" t="s">
        <v>365</v>
      </c>
      <c r="B2541" s="4" t="s">
        <v>47</v>
      </c>
      <c r="C2541" s="4" t="n">
        <v>6</v>
      </c>
      <c r="D2541" s="4" t="s">
        <v>55</v>
      </c>
      <c r="E2541" s="3" t="s">
        <v>117</v>
      </c>
      <c r="F2541" s="4" t="str">
        <f aca="false">IF(I2541&gt;J2541,"Y","N")</f>
        <v>N</v>
      </c>
      <c r="G2541" s="3" t="s">
        <v>101</v>
      </c>
      <c r="H2541" s="3" t="s">
        <v>42</v>
      </c>
      <c r="I2541" s="4" t="n">
        <v>8</v>
      </c>
      <c r="J2541" s="4" t="n">
        <f aca="false">LEN(E2541)-LEN(SUBSTITUTE(E2541,",",""))+1</f>
        <v>8</v>
      </c>
      <c r="K2541" s="3" t="str">
        <f aca="false">IFERROR(INDEX('Teacher Lookup'!$B$2:$B$200,MATCH(A2541,'Teacher Lookup'!$A$2:$A$200,0)),"")</f>
        <v>TSAI Christy</v>
      </c>
    </row>
    <row r="2542" customFormat="false" ht="15" hidden="false" customHeight="false" outlineLevel="0" collapsed="false">
      <c r="A2542" s="3" t="s">
        <v>365</v>
      </c>
      <c r="B2542" s="4" t="s">
        <v>47</v>
      </c>
      <c r="C2542" s="4" t="n">
        <v>6</v>
      </c>
      <c r="D2542" s="4" t="s">
        <v>56</v>
      </c>
      <c r="E2542" s="3" t="s">
        <v>117</v>
      </c>
      <c r="F2542" s="4" t="str">
        <f aca="false">IF(I2542&gt;J2542,"Y","N")</f>
        <v>N</v>
      </c>
      <c r="G2542" s="3" t="s">
        <v>101</v>
      </c>
      <c r="H2542" s="3" t="s">
        <v>42</v>
      </c>
      <c r="I2542" s="4" t="n">
        <v>8</v>
      </c>
      <c r="J2542" s="4" t="n">
        <f aca="false">LEN(E2542)-LEN(SUBSTITUTE(E2542,",",""))+1</f>
        <v>8</v>
      </c>
      <c r="K2542" s="3" t="str">
        <f aca="false">IFERROR(INDEX('Teacher Lookup'!$B$2:$B$200,MATCH(A2542,'Teacher Lookup'!$A$2:$A$200,0)),"")</f>
        <v>TSAI Christy</v>
      </c>
    </row>
    <row r="2543" customFormat="false" ht="15" hidden="false" customHeight="false" outlineLevel="0" collapsed="false">
      <c r="A2543" s="3" t="s">
        <v>365</v>
      </c>
      <c r="B2543" s="4" t="s">
        <v>47</v>
      </c>
      <c r="C2543" s="4" t="n">
        <v>6</v>
      </c>
      <c r="D2543" s="4" t="s">
        <v>57</v>
      </c>
      <c r="E2543" s="3" t="s">
        <v>117</v>
      </c>
      <c r="F2543" s="4" t="str">
        <f aca="false">IF(I2543&gt;J2543,"Y","N")</f>
        <v>N</v>
      </c>
      <c r="G2543" s="3" t="s">
        <v>101</v>
      </c>
      <c r="H2543" s="3" t="s">
        <v>42</v>
      </c>
      <c r="I2543" s="4" t="n">
        <v>8</v>
      </c>
      <c r="J2543" s="4" t="n">
        <f aca="false">LEN(E2543)-LEN(SUBSTITUTE(E2543,",",""))+1</f>
        <v>8</v>
      </c>
      <c r="K2543" s="3" t="str">
        <f aca="false">IFERROR(INDEX('Teacher Lookup'!$B$2:$B$200,MATCH(A2543,'Teacher Lookup'!$A$2:$A$200,0)),"")</f>
        <v>TSAI Christy</v>
      </c>
    </row>
    <row r="2544" customFormat="false" ht="15" hidden="false" customHeight="false" outlineLevel="0" collapsed="false">
      <c r="A2544" s="3" t="s">
        <v>365</v>
      </c>
      <c r="B2544" s="4" t="s">
        <v>47</v>
      </c>
      <c r="C2544" s="4" t="n">
        <v>6</v>
      </c>
      <c r="D2544" s="4" t="s">
        <v>58</v>
      </c>
      <c r="E2544" s="3" t="s">
        <v>117</v>
      </c>
      <c r="F2544" s="4" t="str">
        <f aca="false">IF(I2544&gt;J2544,"Y","N")</f>
        <v>N</v>
      </c>
      <c r="G2544" s="3" t="s">
        <v>101</v>
      </c>
      <c r="H2544" s="3" t="s">
        <v>42</v>
      </c>
      <c r="I2544" s="4" t="n">
        <v>8</v>
      </c>
      <c r="J2544" s="4" t="n">
        <f aca="false">LEN(E2544)-LEN(SUBSTITUTE(E2544,",",""))+1</f>
        <v>8</v>
      </c>
      <c r="K2544" s="3" t="str">
        <f aca="false">IFERROR(INDEX('Teacher Lookup'!$B$2:$B$200,MATCH(A2544,'Teacher Lookup'!$A$2:$A$200,0)),"")</f>
        <v>TSAI Christy</v>
      </c>
    </row>
    <row r="2545" customFormat="false" ht="15" hidden="false" customHeight="false" outlineLevel="0" collapsed="false">
      <c r="A2545" s="3" t="s">
        <v>365</v>
      </c>
      <c r="B2545" s="4" t="s">
        <v>47</v>
      </c>
      <c r="C2545" s="4" t="n">
        <v>6</v>
      </c>
      <c r="D2545" s="4" t="s">
        <v>59</v>
      </c>
      <c r="E2545" s="3" t="s">
        <v>117</v>
      </c>
      <c r="F2545" s="4" t="str">
        <f aca="false">IF(I2545&gt;J2545,"Y","N")</f>
        <v>N</v>
      </c>
      <c r="G2545" s="3" t="s">
        <v>101</v>
      </c>
      <c r="H2545" s="3" t="s">
        <v>42</v>
      </c>
      <c r="I2545" s="4" t="n">
        <v>8</v>
      </c>
      <c r="J2545" s="4" t="n">
        <f aca="false">LEN(E2545)-LEN(SUBSTITUTE(E2545,",",""))+1</f>
        <v>8</v>
      </c>
      <c r="K2545" s="3" t="str">
        <f aca="false">IFERROR(INDEX('Teacher Lookup'!$B$2:$B$200,MATCH(A2545,'Teacher Lookup'!$A$2:$A$200,0)),"")</f>
        <v>TSAI Christy</v>
      </c>
    </row>
    <row r="2546" customFormat="false" ht="15" hidden="false" customHeight="false" outlineLevel="0" collapsed="false">
      <c r="A2546" s="3" t="s">
        <v>365</v>
      </c>
      <c r="B2546" s="4" t="s">
        <v>50</v>
      </c>
      <c r="C2546" s="4" t="n">
        <v>1</v>
      </c>
      <c r="D2546" s="4" t="s">
        <v>29</v>
      </c>
      <c r="E2546" s="3" t="s">
        <v>245</v>
      </c>
      <c r="F2546" s="4" t="str">
        <f aca="false">IF(I2546&gt;J2546,"Y","N")</f>
        <v>N</v>
      </c>
      <c r="G2546" s="3" t="s">
        <v>237</v>
      </c>
      <c r="H2546" s="3" t="s">
        <v>16</v>
      </c>
      <c r="I2546" s="4" t="n">
        <v>3</v>
      </c>
      <c r="J2546" s="4" t="n">
        <f aca="false">LEN(E2546)-LEN(SUBSTITUTE(E2546,",",""))+1</f>
        <v>3</v>
      </c>
      <c r="K2546" s="3" t="str">
        <f aca="false">IFERROR(INDEX('Teacher Lookup'!$B$2:$B$200,MATCH(A2546,'Teacher Lookup'!$A$2:$A$200,0)),"")</f>
        <v>TSAI Christy</v>
      </c>
    </row>
    <row r="2547" customFormat="false" ht="15" hidden="false" customHeight="false" outlineLevel="0" collapsed="false">
      <c r="A2547" s="3" t="s">
        <v>365</v>
      </c>
      <c r="B2547" s="4" t="s">
        <v>50</v>
      </c>
      <c r="C2547" s="4" t="n">
        <v>1</v>
      </c>
      <c r="D2547" s="4" t="s">
        <v>30</v>
      </c>
      <c r="E2547" s="3" t="s">
        <v>245</v>
      </c>
      <c r="F2547" s="4" t="str">
        <f aca="false">IF(I2547&gt;J2547,"Y","N")</f>
        <v>N</v>
      </c>
      <c r="G2547" s="3" t="s">
        <v>237</v>
      </c>
      <c r="H2547" s="3" t="s">
        <v>16</v>
      </c>
      <c r="I2547" s="4" t="n">
        <v>3</v>
      </c>
      <c r="J2547" s="4" t="n">
        <f aca="false">LEN(E2547)-LEN(SUBSTITUTE(E2547,",",""))+1</f>
        <v>3</v>
      </c>
      <c r="K2547" s="3" t="str">
        <f aca="false">IFERROR(INDEX('Teacher Lookup'!$B$2:$B$200,MATCH(A2547,'Teacher Lookup'!$A$2:$A$200,0)),"")</f>
        <v>TSAI Christy</v>
      </c>
    </row>
    <row r="2548" customFormat="false" ht="15" hidden="false" customHeight="false" outlineLevel="0" collapsed="false">
      <c r="A2548" s="3" t="s">
        <v>365</v>
      </c>
      <c r="B2548" s="4" t="s">
        <v>50</v>
      </c>
      <c r="C2548" s="4" t="n">
        <v>2</v>
      </c>
      <c r="D2548" s="4" t="s">
        <v>102</v>
      </c>
      <c r="E2548" s="3" t="s">
        <v>118</v>
      </c>
      <c r="F2548" s="4" t="str">
        <f aca="false">IF(I2548&gt;J2548,"Y","N")</f>
        <v>N</v>
      </c>
      <c r="G2548" s="3" t="s">
        <v>104</v>
      </c>
      <c r="H2548" s="3" t="s">
        <v>21</v>
      </c>
      <c r="I2548" s="4" t="n">
        <v>6</v>
      </c>
      <c r="J2548" s="4" t="n">
        <f aca="false">LEN(E2548)-LEN(SUBSTITUTE(E2548,",",""))+1</f>
        <v>6</v>
      </c>
      <c r="K2548" s="3" t="str">
        <f aca="false">IFERROR(INDEX('Teacher Lookup'!$B$2:$B$200,MATCH(A2548,'Teacher Lookup'!$A$2:$A$200,0)),"")</f>
        <v>TSAI Christy</v>
      </c>
    </row>
    <row r="2549" customFormat="false" ht="15" hidden="false" customHeight="false" outlineLevel="0" collapsed="false">
      <c r="A2549" s="3" t="s">
        <v>365</v>
      </c>
      <c r="B2549" s="4" t="s">
        <v>50</v>
      </c>
      <c r="C2549" s="4" t="n">
        <v>2</v>
      </c>
      <c r="D2549" s="4" t="s">
        <v>105</v>
      </c>
      <c r="E2549" s="3" t="s">
        <v>118</v>
      </c>
      <c r="F2549" s="4" t="str">
        <f aca="false">IF(I2549&gt;J2549,"Y","N")</f>
        <v>N</v>
      </c>
      <c r="G2549" s="3" t="s">
        <v>104</v>
      </c>
      <c r="H2549" s="3" t="s">
        <v>21</v>
      </c>
      <c r="I2549" s="4" t="n">
        <v>6</v>
      </c>
      <c r="J2549" s="4" t="n">
        <f aca="false">LEN(E2549)-LEN(SUBSTITUTE(E2549,",",""))+1</f>
        <v>6</v>
      </c>
      <c r="K2549" s="3" t="str">
        <f aca="false">IFERROR(INDEX('Teacher Lookup'!$B$2:$B$200,MATCH(A2549,'Teacher Lookup'!$A$2:$A$200,0)),"")</f>
        <v>TSAI Christy</v>
      </c>
    </row>
    <row r="2550" customFormat="false" ht="15" hidden="false" customHeight="false" outlineLevel="0" collapsed="false">
      <c r="A2550" s="3" t="s">
        <v>365</v>
      </c>
      <c r="B2550" s="4" t="s">
        <v>50</v>
      </c>
      <c r="C2550" s="4" t="n">
        <v>2</v>
      </c>
      <c r="D2550" s="4" t="s">
        <v>106</v>
      </c>
      <c r="E2550" s="3" t="s">
        <v>118</v>
      </c>
      <c r="F2550" s="4" t="str">
        <f aca="false">IF(I2550&gt;J2550,"Y","N")</f>
        <v>N</v>
      </c>
      <c r="G2550" s="3" t="s">
        <v>104</v>
      </c>
      <c r="H2550" s="3" t="s">
        <v>21</v>
      </c>
      <c r="I2550" s="4" t="n">
        <v>6</v>
      </c>
      <c r="J2550" s="4" t="n">
        <f aca="false">LEN(E2550)-LEN(SUBSTITUTE(E2550,",",""))+1</f>
        <v>6</v>
      </c>
      <c r="K2550" s="3" t="str">
        <f aca="false">IFERROR(INDEX('Teacher Lookup'!$B$2:$B$200,MATCH(A2550,'Teacher Lookup'!$A$2:$A$200,0)),"")</f>
        <v>TSAI Christy</v>
      </c>
    </row>
    <row r="2551" customFormat="false" ht="15" hidden="false" customHeight="false" outlineLevel="0" collapsed="false">
      <c r="A2551" s="3" t="s">
        <v>365</v>
      </c>
      <c r="B2551" s="4" t="s">
        <v>50</v>
      </c>
      <c r="C2551" s="4" t="n">
        <v>2</v>
      </c>
      <c r="D2551" s="4" t="s">
        <v>107</v>
      </c>
      <c r="E2551" s="3" t="s">
        <v>118</v>
      </c>
      <c r="F2551" s="4" t="str">
        <f aca="false">IF(I2551&gt;J2551,"Y","N")</f>
        <v>N</v>
      </c>
      <c r="G2551" s="3" t="s">
        <v>104</v>
      </c>
      <c r="H2551" s="3" t="s">
        <v>21</v>
      </c>
      <c r="I2551" s="4" t="n">
        <v>6</v>
      </c>
      <c r="J2551" s="4" t="n">
        <f aca="false">LEN(E2551)-LEN(SUBSTITUTE(E2551,",",""))+1</f>
        <v>6</v>
      </c>
      <c r="K2551" s="3" t="str">
        <f aca="false">IFERROR(INDEX('Teacher Lookup'!$B$2:$B$200,MATCH(A2551,'Teacher Lookup'!$A$2:$A$200,0)),"")</f>
        <v>TSAI Christy</v>
      </c>
    </row>
    <row r="2552" customFormat="false" ht="15" hidden="false" customHeight="false" outlineLevel="0" collapsed="false">
      <c r="A2552" s="3" t="s">
        <v>365</v>
      </c>
      <c r="B2552" s="4" t="s">
        <v>50</v>
      </c>
      <c r="C2552" s="4" t="n">
        <v>3</v>
      </c>
      <c r="D2552" s="4" t="s">
        <v>52</v>
      </c>
      <c r="E2552" s="3" t="s">
        <v>115</v>
      </c>
      <c r="F2552" s="4" t="str">
        <f aca="false">IF(I2552&gt;J2552,"Y","N")</f>
        <v>Y</v>
      </c>
      <c r="G2552" s="3" t="s">
        <v>101</v>
      </c>
      <c r="H2552" s="3" t="s">
        <v>26</v>
      </c>
      <c r="I2552" s="4" t="n">
        <v>9</v>
      </c>
      <c r="J2552" s="4" t="n">
        <f aca="false">LEN(E2552)-LEN(SUBSTITUTE(E2552,",",""))+1</f>
        <v>8</v>
      </c>
      <c r="K2552" s="3" t="str">
        <f aca="false">IFERROR(INDEX('Teacher Lookup'!$B$2:$B$200,MATCH(A2552,'Teacher Lookup'!$A$2:$A$200,0)),"")</f>
        <v>TSAI Christy</v>
      </c>
    </row>
    <row r="2553" customFormat="false" ht="15" hidden="false" customHeight="false" outlineLevel="0" collapsed="false">
      <c r="A2553" s="3" t="s">
        <v>365</v>
      </c>
      <c r="B2553" s="4" t="s">
        <v>50</v>
      </c>
      <c r="C2553" s="4" t="n">
        <v>3</v>
      </c>
      <c r="D2553" s="4" t="s">
        <v>55</v>
      </c>
      <c r="E2553" s="3" t="s">
        <v>115</v>
      </c>
      <c r="F2553" s="4" t="str">
        <f aca="false">IF(I2553&gt;J2553,"Y","N")</f>
        <v>Y</v>
      </c>
      <c r="G2553" s="3" t="s">
        <v>101</v>
      </c>
      <c r="H2553" s="3" t="s">
        <v>26</v>
      </c>
      <c r="I2553" s="4" t="n">
        <v>9</v>
      </c>
      <c r="J2553" s="4" t="n">
        <f aca="false">LEN(E2553)-LEN(SUBSTITUTE(E2553,",",""))+1</f>
        <v>8</v>
      </c>
      <c r="K2553" s="3" t="str">
        <f aca="false">IFERROR(INDEX('Teacher Lookup'!$B$2:$B$200,MATCH(A2553,'Teacher Lookup'!$A$2:$A$200,0)),"")</f>
        <v>TSAI Christy</v>
      </c>
    </row>
    <row r="2554" customFormat="false" ht="15" hidden="false" customHeight="false" outlineLevel="0" collapsed="false">
      <c r="A2554" s="3" t="s">
        <v>365</v>
      </c>
      <c r="B2554" s="4" t="s">
        <v>50</v>
      </c>
      <c r="C2554" s="4" t="n">
        <v>3</v>
      </c>
      <c r="D2554" s="4" t="s">
        <v>56</v>
      </c>
      <c r="E2554" s="3" t="s">
        <v>115</v>
      </c>
      <c r="F2554" s="4" t="str">
        <f aca="false">IF(I2554&gt;J2554,"Y","N")</f>
        <v>Y</v>
      </c>
      <c r="G2554" s="3" t="s">
        <v>101</v>
      </c>
      <c r="H2554" s="3" t="s">
        <v>26</v>
      </c>
      <c r="I2554" s="4" t="n">
        <v>9</v>
      </c>
      <c r="J2554" s="4" t="n">
        <f aca="false">LEN(E2554)-LEN(SUBSTITUTE(E2554,",",""))+1</f>
        <v>8</v>
      </c>
      <c r="K2554" s="3" t="str">
        <f aca="false">IFERROR(INDEX('Teacher Lookup'!$B$2:$B$200,MATCH(A2554,'Teacher Lookup'!$A$2:$A$200,0)),"")</f>
        <v>TSAI Christy</v>
      </c>
    </row>
    <row r="2555" customFormat="false" ht="15" hidden="false" customHeight="false" outlineLevel="0" collapsed="false">
      <c r="A2555" s="3" t="s">
        <v>365</v>
      </c>
      <c r="B2555" s="4" t="s">
        <v>50</v>
      </c>
      <c r="C2555" s="4" t="n">
        <v>3</v>
      </c>
      <c r="D2555" s="4" t="s">
        <v>57</v>
      </c>
      <c r="E2555" s="3" t="s">
        <v>115</v>
      </c>
      <c r="F2555" s="4" t="str">
        <f aca="false">IF(I2555&gt;J2555,"Y","N")</f>
        <v>Y</v>
      </c>
      <c r="G2555" s="3" t="s">
        <v>101</v>
      </c>
      <c r="H2555" s="3" t="s">
        <v>26</v>
      </c>
      <c r="I2555" s="4" t="n">
        <v>9</v>
      </c>
      <c r="J2555" s="4" t="n">
        <f aca="false">LEN(E2555)-LEN(SUBSTITUTE(E2555,",",""))+1</f>
        <v>8</v>
      </c>
      <c r="K2555" s="3" t="str">
        <f aca="false">IFERROR(INDEX('Teacher Lookup'!$B$2:$B$200,MATCH(A2555,'Teacher Lookup'!$A$2:$A$200,0)),"")</f>
        <v>TSAI Christy</v>
      </c>
    </row>
    <row r="2556" customFormat="false" ht="15" hidden="false" customHeight="false" outlineLevel="0" collapsed="false">
      <c r="A2556" s="3" t="s">
        <v>365</v>
      </c>
      <c r="B2556" s="4" t="s">
        <v>50</v>
      </c>
      <c r="C2556" s="4" t="n">
        <v>3</v>
      </c>
      <c r="D2556" s="4" t="s">
        <v>58</v>
      </c>
      <c r="E2556" s="3" t="s">
        <v>115</v>
      </c>
      <c r="F2556" s="4" t="str">
        <f aca="false">IF(I2556&gt;J2556,"Y","N")</f>
        <v>Y</v>
      </c>
      <c r="G2556" s="3" t="s">
        <v>101</v>
      </c>
      <c r="H2556" s="3" t="s">
        <v>26</v>
      </c>
      <c r="I2556" s="4" t="n">
        <v>9</v>
      </c>
      <c r="J2556" s="4" t="n">
        <f aca="false">LEN(E2556)-LEN(SUBSTITUTE(E2556,",",""))+1</f>
        <v>8</v>
      </c>
      <c r="K2556" s="3" t="str">
        <f aca="false">IFERROR(INDEX('Teacher Lookup'!$B$2:$B$200,MATCH(A2556,'Teacher Lookup'!$A$2:$A$200,0)),"")</f>
        <v>TSAI Christy</v>
      </c>
    </row>
    <row r="2557" customFormat="false" ht="15" hidden="false" customHeight="false" outlineLevel="0" collapsed="false">
      <c r="A2557" s="3" t="s">
        <v>365</v>
      </c>
      <c r="B2557" s="4" t="s">
        <v>50</v>
      </c>
      <c r="C2557" s="4" t="n">
        <v>3</v>
      </c>
      <c r="D2557" s="4" t="s">
        <v>59</v>
      </c>
      <c r="E2557" s="3" t="s">
        <v>115</v>
      </c>
      <c r="F2557" s="4" t="str">
        <f aca="false">IF(I2557&gt;J2557,"Y","N")</f>
        <v>Y</v>
      </c>
      <c r="G2557" s="3" t="s">
        <v>101</v>
      </c>
      <c r="H2557" s="3" t="s">
        <v>26</v>
      </c>
      <c r="I2557" s="4" t="n">
        <v>9</v>
      </c>
      <c r="J2557" s="4" t="n">
        <f aca="false">LEN(E2557)-LEN(SUBSTITUTE(E2557,",",""))+1</f>
        <v>8</v>
      </c>
      <c r="K2557" s="3" t="str">
        <f aca="false">IFERROR(INDEX('Teacher Lookup'!$B$2:$B$200,MATCH(A2557,'Teacher Lookup'!$A$2:$A$200,0)),"")</f>
        <v>TSAI Christy</v>
      </c>
    </row>
    <row r="2558" customFormat="false" ht="15" hidden="false" customHeight="false" outlineLevel="0" collapsed="false">
      <c r="A2558" s="3" t="s">
        <v>365</v>
      </c>
      <c r="B2558" s="4" t="s">
        <v>60</v>
      </c>
      <c r="C2558" s="4" t="n">
        <v>1</v>
      </c>
      <c r="D2558" s="4" t="s">
        <v>29</v>
      </c>
      <c r="E2558" s="3" t="s">
        <v>247</v>
      </c>
      <c r="F2558" s="4" t="str">
        <f aca="false">IF(I2558&gt;J2558,"Y","N")</f>
        <v>N</v>
      </c>
      <c r="G2558" s="3" t="s">
        <v>237</v>
      </c>
      <c r="H2558" s="3" t="s">
        <v>16</v>
      </c>
      <c r="I2558" s="4" t="n">
        <v>3</v>
      </c>
      <c r="J2558" s="4" t="n">
        <f aca="false">LEN(E2558)-LEN(SUBSTITUTE(E2558,",",""))+1</f>
        <v>3</v>
      </c>
      <c r="K2558" s="3" t="str">
        <f aca="false">IFERROR(INDEX('Teacher Lookup'!$B$2:$B$200,MATCH(A2558,'Teacher Lookup'!$A$2:$A$200,0)),"")</f>
        <v>TSAI Christy</v>
      </c>
    </row>
    <row r="2559" customFormat="false" ht="15" hidden="false" customHeight="false" outlineLevel="0" collapsed="false">
      <c r="A2559" s="3" t="s">
        <v>365</v>
      </c>
      <c r="B2559" s="4" t="s">
        <v>60</v>
      </c>
      <c r="C2559" s="4" t="n">
        <v>1</v>
      </c>
      <c r="D2559" s="4" t="s">
        <v>30</v>
      </c>
      <c r="E2559" s="3" t="s">
        <v>247</v>
      </c>
      <c r="F2559" s="4" t="str">
        <f aca="false">IF(I2559&gt;J2559,"Y","N")</f>
        <v>N</v>
      </c>
      <c r="G2559" s="3" t="s">
        <v>237</v>
      </c>
      <c r="H2559" s="3" t="s">
        <v>16</v>
      </c>
      <c r="I2559" s="4" t="n">
        <v>3</v>
      </c>
      <c r="J2559" s="4" t="n">
        <f aca="false">LEN(E2559)-LEN(SUBSTITUTE(E2559,",",""))+1</f>
        <v>3</v>
      </c>
      <c r="K2559" s="3" t="str">
        <f aca="false">IFERROR(INDEX('Teacher Lookup'!$B$2:$B$200,MATCH(A2559,'Teacher Lookup'!$A$2:$A$200,0)),"")</f>
        <v>TSAI Christy</v>
      </c>
    </row>
    <row r="2560" customFormat="false" ht="15" hidden="false" customHeight="false" outlineLevel="0" collapsed="false">
      <c r="A2560" s="3" t="s">
        <v>365</v>
      </c>
      <c r="B2560" s="4" t="s">
        <v>60</v>
      </c>
      <c r="C2560" s="4" t="n">
        <v>4</v>
      </c>
      <c r="D2560" s="4" t="s">
        <v>52</v>
      </c>
      <c r="E2560" s="3" t="s">
        <v>119</v>
      </c>
      <c r="F2560" s="4" t="str">
        <f aca="false">IF(I2560&gt;J2560,"Y","N")</f>
        <v>N</v>
      </c>
      <c r="G2560" s="3" t="s">
        <v>101</v>
      </c>
      <c r="H2560" s="3" t="s">
        <v>34</v>
      </c>
      <c r="I2560" s="4" t="n">
        <v>8</v>
      </c>
      <c r="J2560" s="4" t="n">
        <f aca="false">LEN(E2560)-LEN(SUBSTITUTE(E2560,",",""))+1</f>
        <v>8</v>
      </c>
      <c r="K2560" s="3" t="str">
        <f aca="false">IFERROR(INDEX('Teacher Lookup'!$B$2:$B$200,MATCH(A2560,'Teacher Lookup'!$A$2:$A$200,0)),"")</f>
        <v>TSAI Christy</v>
      </c>
    </row>
    <row r="2561" customFormat="false" ht="15" hidden="false" customHeight="false" outlineLevel="0" collapsed="false">
      <c r="A2561" s="3" t="s">
        <v>365</v>
      </c>
      <c r="B2561" s="4" t="s">
        <v>60</v>
      </c>
      <c r="C2561" s="4" t="n">
        <v>4</v>
      </c>
      <c r="D2561" s="4" t="s">
        <v>55</v>
      </c>
      <c r="E2561" s="3" t="s">
        <v>119</v>
      </c>
      <c r="F2561" s="4" t="str">
        <f aca="false">IF(I2561&gt;J2561,"Y","N")</f>
        <v>N</v>
      </c>
      <c r="G2561" s="3" t="s">
        <v>101</v>
      </c>
      <c r="H2561" s="3" t="s">
        <v>34</v>
      </c>
      <c r="I2561" s="4" t="n">
        <v>8</v>
      </c>
      <c r="J2561" s="4" t="n">
        <f aca="false">LEN(E2561)-LEN(SUBSTITUTE(E2561,",",""))+1</f>
        <v>8</v>
      </c>
      <c r="K2561" s="3" t="str">
        <f aca="false">IFERROR(INDEX('Teacher Lookup'!$B$2:$B$200,MATCH(A2561,'Teacher Lookup'!$A$2:$A$200,0)),"")</f>
        <v>TSAI Christy</v>
      </c>
    </row>
    <row r="2562" customFormat="false" ht="15" hidden="false" customHeight="false" outlineLevel="0" collapsed="false">
      <c r="A2562" s="3" t="s">
        <v>365</v>
      </c>
      <c r="B2562" s="4" t="s">
        <v>60</v>
      </c>
      <c r="C2562" s="4" t="n">
        <v>4</v>
      </c>
      <c r="D2562" s="4" t="s">
        <v>56</v>
      </c>
      <c r="E2562" s="3" t="s">
        <v>119</v>
      </c>
      <c r="F2562" s="4" t="str">
        <f aca="false">IF(I2562&gt;J2562,"Y","N")</f>
        <v>N</v>
      </c>
      <c r="G2562" s="3" t="s">
        <v>101</v>
      </c>
      <c r="H2562" s="3" t="s">
        <v>34</v>
      </c>
      <c r="I2562" s="4" t="n">
        <v>8</v>
      </c>
      <c r="J2562" s="4" t="n">
        <f aca="false">LEN(E2562)-LEN(SUBSTITUTE(E2562,",",""))+1</f>
        <v>8</v>
      </c>
      <c r="K2562" s="3" t="str">
        <f aca="false">IFERROR(INDEX('Teacher Lookup'!$B$2:$B$200,MATCH(A2562,'Teacher Lookup'!$A$2:$A$200,0)),"")</f>
        <v>TSAI Christy</v>
      </c>
    </row>
    <row r="2563" customFormat="false" ht="15" hidden="false" customHeight="false" outlineLevel="0" collapsed="false">
      <c r="A2563" s="3" t="s">
        <v>365</v>
      </c>
      <c r="B2563" s="4" t="s">
        <v>60</v>
      </c>
      <c r="C2563" s="4" t="n">
        <v>4</v>
      </c>
      <c r="D2563" s="4" t="s">
        <v>57</v>
      </c>
      <c r="E2563" s="3" t="s">
        <v>119</v>
      </c>
      <c r="F2563" s="4" t="str">
        <f aca="false">IF(I2563&gt;J2563,"Y","N")</f>
        <v>N</v>
      </c>
      <c r="G2563" s="3" t="s">
        <v>101</v>
      </c>
      <c r="H2563" s="3" t="s">
        <v>34</v>
      </c>
      <c r="I2563" s="4" t="n">
        <v>8</v>
      </c>
      <c r="J2563" s="4" t="n">
        <f aca="false">LEN(E2563)-LEN(SUBSTITUTE(E2563,",",""))+1</f>
        <v>8</v>
      </c>
      <c r="K2563" s="3" t="str">
        <f aca="false">IFERROR(INDEX('Teacher Lookup'!$B$2:$B$200,MATCH(A2563,'Teacher Lookup'!$A$2:$A$200,0)),"")</f>
        <v>TSAI Christy</v>
      </c>
    </row>
    <row r="2564" customFormat="false" ht="15" hidden="false" customHeight="false" outlineLevel="0" collapsed="false">
      <c r="A2564" s="3" t="s">
        <v>365</v>
      </c>
      <c r="B2564" s="4" t="s">
        <v>60</v>
      </c>
      <c r="C2564" s="4" t="n">
        <v>4</v>
      </c>
      <c r="D2564" s="4" t="s">
        <v>58</v>
      </c>
      <c r="E2564" s="3" t="s">
        <v>119</v>
      </c>
      <c r="F2564" s="4" t="str">
        <f aca="false">IF(I2564&gt;J2564,"Y","N")</f>
        <v>N</v>
      </c>
      <c r="G2564" s="3" t="s">
        <v>101</v>
      </c>
      <c r="H2564" s="3" t="s">
        <v>34</v>
      </c>
      <c r="I2564" s="4" t="n">
        <v>8</v>
      </c>
      <c r="J2564" s="4" t="n">
        <f aca="false">LEN(E2564)-LEN(SUBSTITUTE(E2564,",",""))+1</f>
        <v>8</v>
      </c>
      <c r="K2564" s="3" t="str">
        <f aca="false">IFERROR(INDEX('Teacher Lookup'!$B$2:$B$200,MATCH(A2564,'Teacher Lookup'!$A$2:$A$200,0)),"")</f>
        <v>TSAI Christy</v>
      </c>
    </row>
    <row r="2565" customFormat="false" ht="15" hidden="false" customHeight="false" outlineLevel="0" collapsed="false">
      <c r="A2565" s="3" t="s">
        <v>365</v>
      </c>
      <c r="B2565" s="4" t="s">
        <v>60</v>
      </c>
      <c r="C2565" s="4" t="n">
        <v>4</v>
      </c>
      <c r="D2565" s="4" t="s">
        <v>59</v>
      </c>
      <c r="E2565" s="3" t="s">
        <v>119</v>
      </c>
      <c r="F2565" s="4" t="str">
        <f aca="false">IF(I2565&gt;J2565,"Y","N")</f>
        <v>N</v>
      </c>
      <c r="G2565" s="3" t="s">
        <v>101</v>
      </c>
      <c r="H2565" s="3" t="s">
        <v>34</v>
      </c>
      <c r="I2565" s="4" t="n">
        <v>8</v>
      </c>
      <c r="J2565" s="4" t="n">
        <f aca="false">LEN(E2565)-LEN(SUBSTITUTE(E2565,",",""))+1</f>
        <v>8</v>
      </c>
      <c r="K2565" s="3" t="str">
        <f aca="false">IFERROR(INDEX('Teacher Lookup'!$B$2:$B$200,MATCH(A2565,'Teacher Lookup'!$A$2:$A$200,0)),"")</f>
        <v>TSAI Christy</v>
      </c>
    </row>
    <row r="2566" customFormat="false" ht="15" hidden="false" customHeight="false" outlineLevel="0" collapsed="false">
      <c r="A2566" s="3" t="s">
        <v>365</v>
      </c>
      <c r="B2566" s="4" t="s">
        <v>60</v>
      </c>
      <c r="C2566" s="4" t="n">
        <v>5</v>
      </c>
      <c r="D2566" s="4" t="s">
        <v>24</v>
      </c>
      <c r="E2566" s="3" t="s">
        <v>131</v>
      </c>
      <c r="F2566" s="4" t="str">
        <f aca="false">IF(I2566&gt;J2566,"Y","N")</f>
        <v>Y</v>
      </c>
      <c r="G2566" s="3" t="s">
        <v>36</v>
      </c>
      <c r="H2566" s="3" t="s">
        <v>37</v>
      </c>
      <c r="I2566" s="4" t="n">
        <v>15</v>
      </c>
      <c r="J2566" s="4" t="n">
        <f aca="false">LEN(E2566)-LEN(SUBSTITUTE(E2566,",",""))+1</f>
        <v>7</v>
      </c>
      <c r="K2566" s="3" t="str">
        <f aca="false">IFERROR(INDEX('Teacher Lookup'!$B$2:$B$200,MATCH(A2566,'Teacher Lookup'!$A$2:$A$200,0)),"")</f>
        <v>TSAI Christy</v>
      </c>
    </row>
    <row r="2567" customFormat="false" ht="15" hidden="false" customHeight="false" outlineLevel="0" collapsed="false">
      <c r="A2567" s="3" t="s">
        <v>365</v>
      </c>
      <c r="B2567" s="4" t="s">
        <v>60</v>
      </c>
      <c r="C2567" s="4" t="n">
        <v>5</v>
      </c>
      <c r="D2567" s="4" t="s">
        <v>132</v>
      </c>
      <c r="E2567" s="3" t="s">
        <v>131</v>
      </c>
      <c r="F2567" s="4" t="str">
        <f aca="false">IF(I2567&gt;J2567,"Y","N")</f>
        <v>Y</v>
      </c>
      <c r="G2567" s="3" t="s">
        <v>36</v>
      </c>
      <c r="H2567" s="3" t="s">
        <v>37</v>
      </c>
      <c r="I2567" s="4" t="n">
        <v>15</v>
      </c>
      <c r="J2567" s="4" t="n">
        <f aca="false">LEN(E2567)-LEN(SUBSTITUTE(E2567,",",""))+1</f>
        <v>7</v>
      </c>
      <c r="K2567" s="3" t="str">
        <f aca="false">IFERROR(INDEX('Teacher Lookup'!$B$2:$B$200,MATCH(A2567,'Teacher Lookup'!$A$2:$A$200,0)),"")</f>
        <v>TSAI Christy</v>
      </c>
    </row>
    <row r="2568" customFormat="false" ht="15" hidden="false" customHeight="false" outlineLevel="0" collapsed="false">
      <c r="A2568" s="3" t="s">
        <v>365</v>
      </c>
      <c r="B2568" s="4" t="s">
        <v>60</v>
      </c>
      <c r="C2568" s="4" t="n">
        <v>5</v>
      </c>
      <c r="D2568" s="4" t="s">
        <v>27</v>
      </c>
      <c r="E2568" s="3" t="s">
        <v>131</v>
      </c>
      <c r="F2568" s="4" t="str">
        <f aca="false">IF(I2568&gt;J2568,"Y","N")</f>
        <v>Y</v>
      </c>
      <c r="G2568" s="3" t="s">
        <v>36</v>
      </c>
      <c r="H2568" s="3" t="s">
        <v>37</v>
      </c>
      <c r="I2568" s="4" t="n">
        <v>15</v>
      </c>
      <c r="J2568" s="4" t="n">
        <f aca="false">LEN(E2568)-LEN(SUBSTITUTE(E2568,",",""))+1</f>
        <v>7</v>
      </c>
      <c r="K2568" s="3" t="str">
        <f aca="false">IFERROR(INDEX('Teacher Lookup'!$B$2:$B$200,MATCH(A2568,'Teacher Lookup'!$A$2:$A$200,0)),"")</f>
        <v>TSAI Christy</v>
      </c>
    </row>
    <row r="2569" customFormat="false" ht="15" hidden="false" customHeight="false" outlineLevel="0" collapsed="false">
      <c r="A2569" s="3" t="s">
        <v>365</v>
      </c>
      <c r="B2569" s="4" t="s">
        <v>60</v>
      </c>
      <c r="C2569" s="4" t="n">
        <v>5</v>
      </c>
      <c r="D2569" s="4" t="s">
        <v>28</v>
      </c>
      <c r="E2569" s="3" t="s">
        <v>131</v>
      </c>
      <c r="F2569" s="4" t="str">
        <f aca="false">IF(I2569&gt;J2569,"Y","N")</f>
        <v>Y</v>
      </c>
      <c r="G2569" s="3" t="s">
        <v>36</v>
      </c>
      <c r="H2569" s="3" t="s">
        <v>37</v>
      </c>
      <c r="I2569" s="4" t="n">
        <v>15</v>
      </c>
      <c r="J2569" s="4" t="n">
        <f aca="false">LEN(E2569)-LEN(SUBSTITUTE(E2569,",",""))+1</f>
        <v>7</v>
      </c>
      <c r="K2569" s="3" t="str">
        <f aca="false">IFERROR(INDEX('Teacher Lookup'!$B$2:$B$200,MATCH(A2569,'Teacher Lookup'!$A$2:$A$200,0)),"")</f>
        <v>TSAI Christy</v>
      </c>
    </row>
    <row r="2570" customFormat="false" ht="15" hidden="false" customHeight="false" outlineLevel="0" collapsed="false">
      <c r="A2570" s="3" t="s">
        <v>365</v>
      </c>
      <c r="B2570" s="4" t="s">
        <v>60</v>
      </c>
      <c r="C2570" s="4" t="n">
        <v>5</v>
      </c>
      <c r="D2570" s="4" t="s">
        <v>29</v>
      </c>
      <c r="E2570" s="3" t="s">
        <v>131</v>
      </c>
      <c r="F2570" s="4" t="str">
        <f aca="false">IF(I2570&gt;J2570,"Y","N")</f>
        <v>Y</v>
      </c>
      <c r="G2570" s="3" t="s">
        <v>36</v>
      </c>
      <c r="H2570" s="3" t="s">
        <v>37</v>
      </c>
      <c r="I2570" s="4" t="n">
        <v>15</v>
      </c>
      <c r="J2570" s="4" t="n">
        <f aca="false">LEN(E2570)-LEN(SUBSTITUTE(E2570,",",""))+1</f>
        <v>7</v>
      </c>
      <c r="K2570" s="3" t="str">
        <f aca="false">IFERROR(INDEX('Teacher Lookup'!$B$2:$B$200,MATCH(A2570,'Teacher Lookup'!$A$2:$A$200,0)),"")</f>
        <v>TSAI Christy</v>
      </c>
    </row>
    <row r="2571" customFormat="false" ht="15" hidden="false" customHeight="false" outlineLevel="0" collapsed="false">
      <c r="A2571" s="3" t="s">
        <v>365</v>
      </c>
      <c r="B2571" s="4" t="s">
        <v>60</v>
      </c>
      <c r="C2571" s="4" t="n">
        <v>5</v>
      </c>
      <c r="D2571" s="4" t="s">
        <v>30</v>
      </c>
      <c r="E2571" s="3" t="s">
        <v>131</v>
      </c>
      <c r="F2571" s="4" t="str">
        <f aca="false">IF(I2571&gt;J2571,"Y","N")</f>
        <v>Y</v>
      </c>
      <c r="G2571" s="3" t="s">
        <v>36</v>
      </c>
      <c r="H2571" s="3" t="s">
        <v>37</v>
      </c>
      <c r="I2571" s="4" t="n">
        <v>15</v>
      </c>
      <c r="J2571" s="4" t="n">
        <f aca="false">LEN(E2571)-LEN(SUBSTITUTE(E2571,",",""))+1</f>
        <v>7</v>
      </c>
      <c r="K2571" s="3" t="str">
        <f aca="false">IFERROR(INDEX('Teacher Lookup'!$B$2:$B$200,MATCH(A2571,'Teacher Lookup'!$A$2:$A$200,0)),"")</f>
        <v>TSAI Christy</v>
      </c>
    </row>
    <row r="2572" customFormat="false" ht="15" hidden="false" customHeight="false" outlineLevel="0" collapsed="false">
      <c r="A2572" s="3" t="s">
        <v>365</v>
      </c>
      <c r="B2572" s="4" t="s">
        <v>63</v>
      </c>
      <c r="C2572" s="4" t="n">
        <v>1</v>
      </c>
      <c r="D2572" s="4" t="s">
        <v>102</v>
      </c>
      <c r="E2572" s="3" t="s">
        <v>120</v>
      </c>
      <c r="F2572" s="4" t="str">
        <f aca="false">IF(I2572&gt;J2572,"Y","N")</f>
        <v>N</v>
      </c>
      <c r="G2572" s="3" t="s">
        <v>104</v>
      </c>
      <c r="H2572" s="3" t="s">
        <v>16</v>
      </c>
      <c r="I2572" s="4" t="n">
        <v>6</v>
      </c>
      <c r="J2572" s="4" t="n">
        <f aca="false">LEN(E2572)-LEN(SUBSTITUTE(E2572,",",""))+1</f>
        <v>6</v>
      </c>
      <c r="K2572" s="3" t="str">
        <f aca="false">IFERROR(INDEX('Teacher Lookup'!$B$2:$B$200,MATCH(A2572,'Teacher Lookup'!$A$2:$A$200,0)),"")</f>
        <v>TSAI Christy</v>
      </c>
    </row>
    <row r="2573" customFormat="false" ht="15" hidden="false" customHeight="false" outlineLevel="0" collapsed="false">
      <c r="A2573" s="3" t="s">
        <v>365</v>
      </c>
      <c r="B2573" s="4" t="s">
        <v>63</v>
      </c>
      <c r="C2573" s="4" t="n">
        <v>1</v>
      </c>
      <c r="D2573" s="4" t="s">
        <v>105</v>
      </c>
      <c r="E2573" s="3" t="s">
        <v>120</v>
      </c>
      <c r="F2573" s="4" t="str">
        <f aca="false">IF(I2573&gt;J2573,"Y","N")</f>
        <v>N</v>
      </c>
      <c r="G2573" s="3" t="s">
        <v>104</v>
      </c>
      <c r="H2573" s="3" t="s">
        <v>16</v>
      </c>
      <c r="I2573" s="4" t="n">
        <v>6</v>
      </c>
      <c r="J2573" s="4" t="n">
        <f aca="false">LEN(E2573)-LEN(SUBSTITUTE(E2573,",",""))+1</f>
        <v>6</v>
      </c>
      <c r="K2573" s="3" t="str">
        <f aca="false">IFERROR(INDEX('Teacher Lookup'!$B$2:$B$200,MATCH(A2573,'Teacher Lookup'!$A$2:$A$200,0)),"")</f>
        <v>TSAI Christy</v>
      </c>
    </row>
    <row r="2574" customFormat="false" ht="15" hidden="false" customHeight="false" outlineLevel="0" collapsed="false">
      <c r="A2574" s="3" t="s">
        <v>365</v>
      </c>
      <c r="B2574" s="4" t="s">
        <v>63</v>
      </c>
      <c r="C2574" s="4" t="n">
        <v>1</v>
      </c>
      <c r="D2574" s="4" t="s">
        <v>106</v>
      </c>
      <c r="E2574" s="3" t="s">
        <v>120</v>
      </c>
      <c r="F2574" s="4" t="str">
        <f aca="false">IF(I2574&gt;J2574,"Y","N")</f>
        <v>N</v>
      </c>
      <c r="G2574" s="3" t="s">
        <v>104</v>
      </c>
      <c r="H2574" s="3" t="s">
        <v>16</v>
      </c>
      <c r="I2574" s="4" t="n">
        <v>6</v>
      </c>
      <c r="J2574" s="4" t="n">
        <f aca="false">LEN(E2574)-LEN(SUBSTITUTE(E2574,",",""))+1</f>
        <v>6</v>
      </c>
      <c r="K2574" s="3" t="str">
        <f aca="false">IFERROR(INDEX('Teacher Lookup'!$B$2:$B$200,MATCH(A2574,'Teacher Lookup'!$A$2:$A$200,0)),"")</f>
        <v>TSAI Christy</v>
      </c>
    </row>
    <row r="2575" customFormat="false" ht="15" hidden="false" customHeight="false" outlineLevel="0" collapsed="false">
      <c r="A2575" s="3" t="s">
        <v>365</v>
      </c>
      <c r="B2575" s="4" t="s">
        <v>63</v>
      </c>
      <c r="C2575" s="4" t="n">
        <v>1</v>
      </c>
      <c r="D2575" s="4" t="s">
        <v>107</v>
      </c>
      <c r="E2575" s="3" t="s">
        <v>120</v>
      </c>
      <c r="F2575" s="4" t="str">
        <f aca="false">IF(I2575&gt;J2575,"Y","N")</f>
        <v>N</v>
      </c>
      <c r="G2575" s="3" t="s">
        <v>104</v>
      </c>
      <c r="H2575" s="3" t="s">
        <v>16</v>
      </c>
      <c r="I2575" s="4" t="n">
        <v>6</v>
      </c>
      <c r="J2575" s="4" t="n">
        <f aca="false">LEN(E2575)-LEN(SUBSTITUTE(E2575,",",""))+1</f>
        <v>6</v>
      </c>
      <c r="K2575" s="3" t="str">
        <f aca="false">IFERROR(INDEX('Teacher Lookup'!$B$2:$B$200,MATCH(A2575,'Teacher Lookup'!$A$2:$A$200,0)),"")</f>
        <v>TSAI Christy</v>
      </c>
    </row>
    <row r="2576" customFormat="false" ht="15" hidden="false" customHeight="false" outlineLevel="0" collapsed="false">
      <c r="A2576" s="3" t="s">
        <v>365</v>
      </c>
      <c r="B2576" s="4" t="s">
        <v>63</v>
      </c>
      <c r="C2576" s="4" t="n">
        <v>3</v>
      </c>
      <c r="D2576" s="4" t="s">
        <v>29</v>
      </c>
      <c r="E2576" s="3" t="s">
        <v>236</v>
      </c>
      <c r="F2576" s="4" t="str">
        <f aca="false">IF(I2576&gt;J2576,"Y","N")</f>
        <v>N</v>
      </c>
      <c r="G2576" s="3" t="s">
        <v>237</v>
      </c>
      <c r="H2576" s="3" t="s">
        <v>26</v>
      </c>
      <c r="I2576" s="4" t="n">
        <v>3</v>
      </c>
      <c r="J2576" s="4" t="n">
        <f aca="false">LEN(E2576)-LEN(SUBSTITUTE(E2576,",",""))+1</f>
        <v>3</v>
      </c>
      <c r="K2576" s="3" t="str">
        <f aca="false">IFERROR(INDEX('Teacher Lookup'!$B$2:$B$200,MATCH(A2576,'Teacher Lookup'!$A$2:$A$200,0)),"")</f>
        <v>TSAI Christy</v>
      </c>
    </row>
    <row r="2577" customFormat="false" ht="15" hidden="false" customHeight="false" outlineLevel="0" collapsed="false">
      <c r="A2577" s="3" t="s">
        <v>365</v>
      </c>
      <c r="B2577" s="4" t="s">
        <v>63</v>
      </c>
      <c r="C2577" s="4" t="n">
        <v>3</v>
      </c>
      <c r="D2577" s="4" t="s">
        <v>30</v>
      </c>
      <c r="E2577" s="3" t="s">
        <v>236</v>
      </c>
      <c r="F2577" s="4" t="str">
        <f aca="false">IF(I2577&gt;J2577,"Y","N")</f>
        <v>N</v>
      </c>
      <c r="G2577" s="3" t="s">
        <v>237</v>
      </c>
      <c r="H2577" s="3" t="s">
        <v>26</v>
      </c>
      <c r="I2577" s="4" t="n">
        <v>3</v>
      </c>
      <c r="J2577" s="4" t="n">
        <f aca="false">LEN(E2577)-LEN(SUBSTITUTE(E2577,",",""))+1</f>
        <v>3</v>
      </c>
      <c r="K2577" s="3" t="str">
        <f aca="false">IFERROR(INDEX('Teacher Lookup'!$B$2:$B$200,MATCH(A2577,'Teacher Lookup'!$A$2:$A$200,0)),"")</f>
        <v>TSAI Christy</v>
      </c>
    </row>
    <row r="2578" customFormat="false" ht="15" hidden="false" customHeight="false" outlineLevel="0" collapsed="false">
      <c r="A2578" s="3" t="s">
        <v>365</v>
      </c>
      <c r="B2578" s="4" t="s">
        <v>65</v>
      </c>
      <c r="C2578" s="4" t="n">
        <v>1</v>
      </c>
      <c r="D2578" s="4" t="s">
        <v>29</v>
      </c>
      <c r="E2578" s="3" t="s">
        <v>250</v>
      </c>
      <c r="F2578" s="4" t="str">
        <f aca="false">IF(I2578&gt;J2578,"Y","N")</f>
        <v>N</v>
      </c>
      <c r="G2578" s="3" t="s">
        <v>237</v>
      </c>
      <c r="H2578" s="3" t="s">
        <v>16</v>
      </c>
      <c r="I2578" s="4" t="n">
        <v>3</v>
      </c>
      <c r="J2578" s="4" t="n">
        <f aca="false">LEN(E2578)-LEN(SUBSTITUTE(E2578,",",""))+1</f>
        <v>3</v>
      </c>
      <c r="K2578" s="3" t="str">
        <f aca="false">IFERROR(INDEX('Teacher Lookup'!$B$2:$B$200,MATCH(A2578,'Teacher Lookup'!$A$2:$A$200,0)),"")</f>
        <v>TSAI Christy</v>
      </c>
    </row>
    <row r="2579" customFormat="false" ht="15" hidden="false" customHeight="false" outlineLevel="0" collapsed="false">
      <c r="A2579" s="3" t="s">
        <v>365</v>
      </c>
      <c r="B2579" s="4" t="s">
        <v>65</v>
      </c>
      <c r="C2579" s="4" t="n">
        <v>1</v>
      </c>
      <c r="D2579" s="4" t="s">
        <v>30</v>
      </c>
      <c r="E2579" s="3" t="s">
        <v>250</v>
      </c>
      <c r="F2579" s="4" t="str">
        <f aca="false">IF(I2579&gt;J2579,"Y","N")</f>
        <v>N</v>
      </c>
      <c r="G2579" s="3" t="s">
        <v>237</v>
      </c>
      <c r="H2579" s="3" t="s">
        <v>16</v>
      </c>
      <c r="I2579" s="4" t="n">
        <v>3</v>
      </c>
      <c r="J2579" s="4" t="n">
        <f aca="false">LEN(E2579)-LEN(SUBSTITUTE(E2579,",",""))+1</f>
        <v>3</v>
      </c>
      <c r="K2579" s="3" t="str">
        <f aca="false">IFERROR(INDEX('Teacher Lookup'!$B$2:$B$200,MATCH(A2579,'Teacher Lookup'!$A$2:$A$200,0)),"")</f>
        <v>TSAI Christy</v>
      </c>
    </row>
    <row r="2580" customFormat="false" ht="15" hidden="false" customHeight="false" outlineLevel="0" collapsed="false">
      <c r="A2580" s="3" t="s">
        <v>365</v>
      </c>
      <c r="B2580" s="4" t="s">
        <v>65</v>
      </c>
      <c r="C2580" s="4" t="n">
        <v>3</v>
      </c>
      <c r="D2580" s="4" t="s">
        <v>52</v>
      </c>
      <c r="E2580" s="3" t="s">
        <v>121</v>
      </c>
      <c r="F2580" s="4" t="str">
        <f aca="false">IF(I2580&gt;J2580,"Y","N")</f>
        <v>Y</v>
      </c>
      <c r="G2580" s="3" t="s">
        <v>101</v>
      </c>
      <c r="H2580" s="3" t="s">
        <v>26</v>
      </c>
      <c r="I2580" s="4" t="n">
        <v>9</v>
      </c>
      <c r="J2580" s="4" t="n">
        <f aca="false">LEN(E2580)-LEN(SUBSTITUTE(E2580,",",""))+1</f>
        <v>8</v>
      </c>
      <c r="K2580" s="3" t="str">
        <f aca="false">IFERROR(INDEX('Teacher Lookup'!$B$2:$B$200,MATCH(A2580,'Teacher Lookup'!$A$2:$A$200,0)),"")</f>
        <v>TSAI Christy</v>
      </c>
    </row>
    <row r="2581" customFormat="false" ht="15" hidden="false" customHeight="false" outlineLevel="0" collapsed="false">
      <c r="A2581" s="3" t="s">
        <v>365</v>
      </c>
      <c r="B2581" s="4" t="s">
        <v>65</v>
      </c>
      <c r="C2581" s="4" t="n">
        <v>3</v>
      </c>
      <c r="D2581" s="4" t="s">
        <v>55</v>
      </c>
      <c r="E2581" s="3" t="s">
        <v>121</v>
      </c>
      <c r="F2581" s="4" t="str">
        <f aca="false">IF(I2581&gt;J2581,"Y","N")</f>
        <v>Y</v>
      </c>
      <c r="G2581" s="3" t="s">
        <v>101</v>
      </c>
      <c r="H2581" s="3" t="s">
        <v>26</v>
      </c>
      <c r="I2581" s="4" t="n">
        <v>9</v>
      </c>
      <c r="J2581" s="4" t="n">
        <f aca="false">LEN(E2581)-LEN(SUBSTITUTE(E2581,",",""))+1</f>
        <v>8</v>
      </c>
      <c r="K2581" s="3" t="str">
        <f aca="false">IFERROR(INDEX('Teacher Lookup'!$B$2:$B$200,MATCH(A2581,'Teacher Lookup'!$A$2:$A$200,0)),"")</f>
        <v>TSAI Christy</v>
      </c>
    </row>
    <row r="2582" customFormat="false" ht="15" hidden="false" customHeight="false" outlineLevel="0" collapsed="false">
      <c r="A2582" s="3" t="s">
        <v>365</v>
      </c>
      <c r="B2582" s="4" t="s">
        <v>65</v>
      </c>
      <c r="C2582" s="4" t="n">
        <v>3</v>
      </c>
      <c r="D2582" s="4" t="s">
        <v>56</v>
      </c>
      <c r="E2582" s="3" t="s">
        <v>121</v>
      </c>
      <c r="F2582" s="4" t="str">
        <f aca="false">IF(I2582&gt;J2582,"Y","N")</f>
        <v>Y</v>
      </c>
      <c r="G2582" s="3" t="s">
        <v>101</v>
      </c>
      <c r="H2582" s="3" t="s">
        <v>26</v>
      </c>
      <c r="I2582" s="4" t="n">
        <v>9</v>
      </c>
      <c r="J2582" s="4" t="n">
        <f aca="false">LEN(E2582)-LEN(SUBSTITUTE(E2582,",",""))+1</f>
        <v>8</v>
      </c>
      <c r="K2582" s="3" t="str">
        <f aca="false">IFERROR(INDEX('Teacher Lookup'!$B$2:$B$200,MATCH(A2582,'Teacher Lookup'!$A$2:$A$200,0)),"")</f>
        <v>TSAI Christy</v>
      </c>
    </row>
    <row r="2583" customFormat="false" ht="15" hidden="false" customHeight="false" outlineLevel="0" collapsed="false">
      <c r="A2583" s="3" t="s">
        <v>365</v>
      </c>
      <c r="B2583" s="4" t="s">
        <v>65</v>
      </c>
      <c r="C2583" s="4" t="n">
        <v>3</v>
      </c>
      <c r="D2583" s="4" t="s">
        <v>57</v>
      </c>
      <c r="E2583" s="3" t="s">
        <v>121</v>
      </c>
      <c r="F2583" s="4" t="str">
        <f aca="false">IF(I2583&gt;J2583,"Y","N")</f>
        <v>Y</v>
      </c>
      <c r="G2583" s="3" t="s">
        <v>101</v>
      </c>
      <c r="H2583" s="3" t="s">
        <v>26</v>
      </c>
      <c r="I2583" s="4" t="n">
        <v>9</v>
      </c>
      <c r="J2583" s="4" t="n">
        <f aca="false">LEN(E2583)-LEN(SUBSTITUTE(E2583,",",""))+1</f>
        <v>8</v>
      </c>
      <c r="K2583" s="3" t="str">
        <f aca="false">IFERROR(INDEX('Teacher Lookup'!$B$2:$B$200,MATCH(A2583,'Teacher Lookup'!$A$2:$A$200,0)),"")</f>
        <v>TSAI Christy</v>
      </c>
    </row>
    <row r="2584" customFormat="false" ht="15" hidden="false" customHeight="false" outlineLevel="0" collapsed="false">
      <c r="A2584" s="3" t="s">
        <v>365</v>
      </c>
      <c r="B2584" s="4" t="s">
        <v>65</v>
      </c>
      <c r="C2584" s="4" t="n">
        <v>3</v>
      </c>
      <c r="D2584" s="4" t="s">
        <v>58</v>
      </c>
      <c r="E2584" s="3" t="s">
        <v>121</v>
      </c>
      <c r="F2584" s="4" t="str">
        <f aca="false">IF(I2584&gt;J2584,"Y","N")</f>
        <v>Y</v>
      </c>
      <c r="G2584" s="3" t="s">
        <v>101</v>
      </c>
      <c r="H2584" s="3" t="s">
        <v>26</v>
      </c>
      <c r="I2584" s="4" t="n">
        <v>9</v>
      </c>
      <c r="J2584" s="4" t="n">
        <f aca="false">LEN(E2584)-LEN(SUBSTITUTE(E2584,",",""))+1</f>
        <v>8</v>
      </c>
      <c r="K2584" s="3" t="str">
        <f aca="false">IFERROR(INDEX('Teacher Lookup'!$B$2:$B$200,MATCH(A2584,'Teacher Lookup'!$A$2:$A$200,0)),"")</f>
        <v>TSAI Christy</v>
      </c>
    </row>
    <row r="2585" customFormat="false" ht="15" hidden="false" customHeight="false" outlineLevel="0" collapsed="false">
      <c r="A2585" s="3" t="s">
        <v>365</v>
      </c>
      <c r="B2585" s="4" t="s">
        <v>65</v>
      </c>
      <c r="C2585" s="4" t="n">
        <v>3</v>
      </c>
      <c r="D2585" s="4" t="s">
        <v>59</v>
      </c>
      <c r="E2585" s="3" t="s">
        <v>121</v>
      </c>
      <c r="F2585" s="4" t="str">
        <f aca="false">IF(I2585&gt;J2585,"Y","N")</f>
        <v>Y</v>
      </c>
      <c r="G2585" s="3" t="s">
        <v>101</v>
      </c>
      <c r="H2585" s="3" t="s">
        <v>26</v>
      </c>
      <c r="I2585" s="4" t="n">
        <v>9</v>
      </c>
      <c r="J2585" s="4" t="n">
        <f aca="false">LEN(E2585)-LEN(SUBSTITUTE(E2585,",",""))+1</f>
        <v>8</v>
      </c>
      <c r="K2585" s="3" t="str">
        <f aca="false">IFERROR(INDEX('Teacher Lookup'!$B$2:$B$200,MATCH(A2585,'Teacher Lookup'!$A$2:$A$200,0)),"")</f>
        <v>TSAI Christy</v>
      </c>
    </row>
    <row r="2586" customFormat="false" ht="15" hidden="false" customHeight="false" outlineLevel="0" collapsed="false">
      <c r="A2586" s="3" t="s">
        <v>365</v>
      </c>
      <c r="B2586" s="4" t="s">
        <v>65</v>
      </c>
      <c r="C2586" s="4" t="n">
        <v>5</v>
      </c>
      <c r="D2586" s="4" t="s">
        <v>24</v>
      </c>
      <c r="E2586" s="3" t="s">
        <v>131</v>
      </c>
      <c r="F2586" s="4" t="str">
        <f aca="false">IF(I2586&gt;J2586,"Y","N")</f>
        <v>Y</v>
      </c>
      <c r="G2586" s="3" t="s">
        <v>36</v>
      </c>
      <c r="H2586" s="3" t="s">
        <v>37</v>
      </c>
      <c r="I2586" s="4" t="n">
        <v>15</v>
      </c>
      <c r="J2586" s="4" t="n">
        <f aca="false">LEN(E2586)-LEN(SUBSTITUTE(E2586,",",""))+1</f>
        <v>7</v>
      </c>
      <c r="K2586" s="3" t="str">
        <f aca="false">IFERROR(INDEX('Teacher Lookup'!$B$2:$B$200,MATCH(A2586,'Teacher Lookup'!$A$2:$A$200,0)),"")</f>
        <v>TSAI Christy</v>
      </c>
    </row>
    <row r="2587" customFormat="false" ht="15" hidden="false" customHeight="false" outlineLevel="0" collapsed="false">
      <c r="A2587" s="3" t="s">
        <v>365</v>
      </c>
      <c r="B2587" s="4" t="s">
        <v>65</v>
      </c>
      <c r="C2587" s="4" t="n">
        <v>5</v>
      </c>
      <c r="D2587" s="4" t="s">
        <v>132</v>
      </c>
      <c r="E2587" s="3" t="s">
        <v>131</v>
      </c>
      <c r="F2587" s="4" t="str">
        <f aca="false">IF(I2587&gt;J2587,"Y","N")</f>
        <v>Y</v>
      </c>
      <c r="G2587" s="3" t="s">
        <v>36</v>
      </c>
      <c r="H2587" s="3" t="s">
        <v>37</v>
      </c>
      <c r="I2587" s="4" t="n">
        <v>15</v>
      </c>
      <c r="J2587" s="4" t="n">
        <f aca="false">LEN(E2587)-LEN(SUBSTITUTE(E2587,",",""))+1</f>
        <v>7</v>
      </c>
      <c r="K2587" s="3" t="str">
        <f aca="false">IFERROR(INDEX('Teacher Lookup'!$B$2:$B$200,MATCH(A2587,'Teacher Lookup'!$A$2:$A$200,0)),"")</f>
        <v>TSAI Christy</v>
      </c>
    </row>
    <row r="2588" customFormat="false" ht="15" hidden="false" customHeight="false" outlineLevel="0" collapsed="false">
      <c r="A2588" s="3" t="s">
        <v>365</v>
      </c>
      <c r="B2588" s="4" t="s">
        <v>65</v>
      </c>
      <c r="C2588" s="4" t="n">
        <v>5</v>
      </c>
      <c r="D2588" s="4" t="s">
        <v>27</v>
      </c>
      <c r="E2588" s="3" t="s">
        <v>131</v>
      </c>
      <c r="F2588" s="4" t="str">
        <f aca="false">IF(I2588&gt;J2588,"Y","N")</f>
        <v>Y</v>
      </c>
      <c r="G2588" s="3" t="s">
        <v>36</v>
      </c>
      <c r="H2588" s="3" t="s">
        <v>37</v>
      </c>
      <c r="I2588" s="4" t="n">
        <v>15</v>
      </c>
      <c r="J2588" s="4" t="n">
        <f aca="false">LEN(E2588)-LEN(SUBSTITUTE(E2588,",",""))+1</f>
        <v>7</v>
      </c>
      <c r="K2588" s="3" t="str">
        <f aca="false">IFERROR(INDEX('Teacher Lookup'!$B$2:$B$200,MATCH(A2588,'Teacher Lookup'!$A$2:$A$200,0)),"")</f>
        <v>TSAI Christy</v>
      </c>
    </row>
    <row r="2589" customFormat="false" ht="15" hidden="false" customHeight="false" outlineLevel="0" collapsed="false">
      <c r="A2589" s="3" t="s">
        <v>365</v>
      </c>
      <c r="B2589" s="4" t="s">
        <v>65</v>
      </c>
      <c r="C2589" s="4" t="n">
        <v>5</v>
      </c>
      <c r="D2589" s="4" t="s">
        <v>28</v>
      </c>
      <c r="E2589" s="3" t="s">
        <v>131</v>
      </c>
      <c r="F2589" s="4" t="str">
        <f aca="false">IF(I2589&gt;J2589,"Y","N")</f>
        <v>Y</v>
      </c>
      <c r="G2589" s="3" t="s">
        <v>36</v>
      </c>
      <c r="H2589" s="3" t="s">
        <v>37</v>
      </c>
      <c r="I2589" s="4" t="n">
        <v>15</v>
      </c>
      <c r="J2589" s="4" t="n">
        <f aca="false">LEN(E2589)-LEN(SUBSTITUTE(E2589,",",""))+1</f>
        <v>7</v>
      </c>
      <c r="K2589" s="3" t="str">
        <f aca="false">IFERROR(INDEX('Teacher Lookup'!$B$2:$B$200,MATCH(A2589,'Teacher Lookup'!$A$2:$A$200,0)),"")</f>
        <v>TSAI Christy</v>
      </c>
    </row>
    <row r="2590" customFormat="false" ht="15" hidden="false" customHeight="false" outlineLevel="0" collapsed="false">
      <c r="A2590" s="3" t="s">
        <v>365</v>
      </c>
      <c r="B2590" s="4" t="s">
        <v>65</v>
      </c>
      <c r="C2590" s="4" t="n">
        <v>5</v>
      </c>
      <c r="D2590" s="4" t="s">
        <v>29</v>
      </c>
      <c r="E2590" s="3" t="s">
        <v>131</v>
      </c>
      <c r="F2590" s="4" t="str">
        <f aca="false">IF(I2590&gt;J2590,"Y","N")</f>
        <v>Y</v>
      </c>
      <c r="G2590" s="3" t="s">
        <v>36</v>
      </c>
      <c r="H2590" s="3" t="s">
        <v>37</v>
      </c>
      <c r="I2590" s="4" t="n">
        <v>15</v>
      </c>
      <c r="J2590" s="4" t="n">
        <f aca="false">LEN(E2590)-LEN(SUBSTITUTE(E2590,",",""))+1</f>
        <v>7</v>
      </c>
      <c r="K2590" s="3" t="str">
        <f aca="false">IFERROR(INDEX('Teacher Lookup'!$B$2:$B$200,MATCH(A2590,'Teacher Lookup'!$A$2:$A$200,0)),"")</f>
        <v>TSAI Christy</v>
      </c>
    </row>
    <row r="2591" customFormat="false" ht="15" hidden="false" customHeight="false" outlineLevel="0" collapsed="false">
      <c r="A2591" s="3" t="s">
        <v>365</v>
      </c>
      <c r="B2591" s="4" t="s">
        <v>65</v>
      </c>
      <c r="C2591" s="4" t="n">
        <v>5</v>
      </c>
      <c r="D2591" s="4" t="s">
        <v>30</v>
      </c>
      <c r="E2591" s="3" t="s">
        <v>131</v>
      </c>
      <c r="F2591" s="4" t="str">
        <f aca="false">IF(I2591&gt;J2591,"Y","N")</f>
        <v>Y</v>
      </c>
      <c r="G2591" s="3" t="s">
        <v>36</v>
      </c>
      <c r="H2591" s="3" t="s">
        <v>37</v>
      </c>
      <c r="I2591" s="4" t="n">
        <v>15</v>
      </c>
      <c r="J2591" s="4" t="n">
        <f aca="false">LEN(E2591)-LEN(SUBSTITUTE(E2591,",",""))+1</f>
        <v>7</v>
      </c>
      <c r="K2591" s="3" t="str">
        <f aca="false">IFERROR(INDEX('Teacher Lookup'!$B$2:$B$200,MATCH(A2591,'Teacher Lookup'!$A$2:$A$200,0)),"")</f>
        <v>TSAI Christy</v>
      </c>
    </row>
    <row r="2592" customFormat="false" ht="15" hidden="false" customHeight="false" outlineLevel="0" collapsed="false">
      <c r="A2592" s="3" t="s">
        <v>365</v>
      </c>
      <c r="B2592" s="4" t="s">
        <v>66</v>
      </c>
      <c r="C2592" s="4" t="n">
        <v>2</v>
      </c>
      <c r="D2592" s="4" t="s">
        <v>102</v>
      </c>
      <c r="E2592" s="3" t="s">
        <v>114</v>
      </c>
      <c r="F2592" s="4" t="str">
        <f aca="false">IF(I2592&gt;J2592,"Y","N")</f>
        <v>N</v>
      </c>
      <c r="G2592" s="3" t="s">
        <v>104</v>
      </c>
      <c r="H2592" s="3" t="s">
        <v>21</v>
      </c>
      <c r="I2592" s="4" t="n">
        <v>6</v>
      </c>
      <c r="J2592" s="4" t="n">
        <f aca="false">LEN(E2592)-LEN(SUBSTITUTE(E2592,",",""))+1</f>
        <v>6</v>
      </c>
      <c r="K2592" s="3" t="str">
        <f aca="false">IFERROR(INDEX('Teacher Lookup'!$B$2:$B$200,MATCH(A2592,'Teacher Lookup'!$A$2:$A$200,0)),"")</f>
        <v>TSAI Christy</v>
      </c>
    </row>
    <row r="2593" customFormat="false" ht="15" hidden="false" customHeight="false" outlineLevel="0" collapsed="false">
      <c r="A2593" s="3" t="s">
        <v>365</v>
      </c>
      <c r="B2593" s="4" t="s">
        <v>66</v>
      </c>
      <c r="C2593" s="4" t="n">
        <v>2</v>
      </c>
      <c r="D2593" s="4" t="s">
        <v>105</v>
      </c>
      <c r="E2593" s="3" t="s">
        <v>114</v>
      </c>
      <c r="F2593" s="4" t="str">
        <f aca="false">IF(I2593&gt;J2593,"Y","N")</f>
        <v>N</v>
      </c>
      <c r="G2593" s="3" t="s">
        <v>104</v>
      </c>
      <c r="H2593" s="3" t="s">
        <v>21</v>
      </c>
      <c r="I2593" s="4" t="n">
        <v>6</v>
      </c>
      <c r="J2593" s="4" t="n">
        <f aca="false">LEN(E2593)-LEN(SUBSTITUTE(E2593,",",""))+1</f>
        <v>6</v>
      </c>
      <c r="K2593" s="3" t="str">
        <f aca="false">IFERROR(INDEX('Teacher Lookup'!$B$2:$B$200,MATCH(A2593,'Teacher Lookup'!$A$2:$A$200,0)),"")</f>
        <v>TSAI Christy</v>
      </c>
    </row>
    <row r="2594" customFormat="false" ht="15" hidden="false" customHeight="false" outlineLevel="0" collapsed="false">
      <c r="A2594" s="3" t="s">
        <v>365</v>
      </c>
      <c r="B2594" s="4" t="s">
        <v>66</v>
      </c>
      <c r="C2594" s="4" t="n">
        <v>2</v>
      </c>
      <c r="D2594" s="4" t="s">
        <v>106</v>
      </c>
      <c r="E2594" s="3" t="s">
        <v>114</v>
      </c>
      <c r="F2594" s="4" t="str">
        <f aca="false">IF(I2594&gt;J2594,"Y","N")</f>
        <v>N</v>
      </c>
      <c r="G2594" s="3" t="s">
        <v>104</v>
      </c>
      <c r="H2594" s="3" t="s">
        <v>21</v>
      </c>
      <c r="I2594" s="4" t="n">
        <v>6</v>
      </c>
      <c r="J2594" s="4" t="n">
        <f aca="false">LEN(E2594)-LEN(SUBSTITUTE(E2594,",",""))+1</f>
        <v>6</v>
      </c>
      <c r="K2594" s="3" t="str">
        <f aca="false">IFERROR(INDEX('Teacher Lookup'!$B$2:$B$200,MATCH(A2594,'Teacher Lookup'!$A$2:$A$200,0)),"")</f>
        <v>TSAI Christy</v>
      </c>
    </row>
    <row r="2595" customFormat="false" ht="15" hidden="false" customHeight="false" outlineLevel="0" collapsed="false">
      <c r="A2595" s="3" t="s">
        <v>365</v>
      </c>
      <c r="B2595" s="4" t="s">
        <v>66</v>
      </c>
      <c r="C2595" s="4" t="n">
        <v>2</v>
      </c>
      <c r="D2595" s="4" t="s">
        <v>107</v>
      </c>
      <c r="E2595" s="3" t="s">
        <v>114</v>
      </c>
      <c r="F2595" s="4" t="str">
        <f aca="false">IF(I2595&gt;J2595,"Y","N")</f>
        <v>N</v>
      </c>
      <c r="G2595" s="3" t="s">
        <v>104</v>
      </c>
      <c r="H2595" s="3" t="s">
        <v>21</v>
      </c>
      <c r="I2595" s="4" t="n">
        <v>6</v>
      </c>
      <c r="J2595" s="4" t="n">
        <f aca="false">LEN(E2595)-LEN(SUBSTITUTE(E2595,",",""))+1</f>
        <v>6</v>
      </c>
      <c r="K2595" s="3" t="str">
        <f aca="false">IFERROR(INDEX('Teacher Lookup'!$B$2:$B$200,MATCH(A2595,'Teacher Lookup'!$A$2:$A$200,0)),"")</f>
        <v>TSAI Christy</v>
      </c>
    </row>
    <row r="2596" customFormat="false" ht="15" hidden="false" customHeight="false" outlineLevel="0" collapsed="false">
      <c r="A2596" s="3" t="s">
        <v>365</v>
      </c>
      <c r="B2596" s="4" t="s">
        <v>66</v>
      </c>
      <c r="C2596" s="4" t="n">
        <v>4</v>
      </c>
      <c r="D2596" s="4" t="s">
        <v>29</v>
      </c>
      <c r="E2596" s="3" t="s">
        <v>250</v>
      </c>
      <c r="F2596" s="4" t="str">
        <f aca="false">IF(I2596&gt;J2596,"Y","N")</f>
        <v>N</v>
      </c>
      <c r="G2596" s="3" t="s">
        <v>237</v>
      </c>
      <c r="H2596" s="3" t="s">
        <v>34</v>
      </c>
      <c r="I2596" s="4" t="n">
        <v>3</v>
      </c>
      <c r="J2596" s="4" t="n">
        <f aca="false">LEN(E2596)-LEN(SUBSTITUTE(E2596,",",""))+1</f>
        <v>3</v>
      </c>
      <c r="K2596" s="3" t="str">
        <f aca="false">IFERROR(INDEX('Teacher Lookup'!$B$2:$B$200,MATCH(A2596,'Teacher Lookup'!$A$2:$A$200,0)),"")</f>
        <v>TSAI Christy</v>
      </c>
    </row>
    <row r="2597" customFormat="false" ht="15" hidden="false" customHeight="false" outlineLevel="0" collapsed="false">
      <c r="A2597" s="3" t="s">
        <v>365</v>
      </c>
      <c r="B2597" s="4" t="s">
        <v>66</v>
      </c>
      <c r="C2597" s="4" t="n">
        <v>4</v>
      </c>
      <c r="D2597" s="4" t="s">
        <v>30</v>
      </c>
      <c r="E2597" s="3" t="s">
        <v>250</v>
      </c>
      <c r="F2597" s="4" t="str">
        <f aca="false">IF(I2597&gt;J2597,"Y","N")</f>
        <v>N</v>
      </c>
      <c r="G2597" s="3" t="s">
        <v>237</v>
      </c>
      <c r="H2597" s="3" t="s">
        <v>34</v>
      </c>
      <c r="I2597" s="4" t="n">
        <v>3</v>
      </c>
      <c r="J2597" s="4" t="n">
        <f aca="false">LEN(E2597)-LEN(SUBSTITUTE(E2597,",",""))+1</f>
        <v>3</v>
      </c>
      <c r="K2597" s="3" t="str">
        <f aca="false">IFERROR(INDEX('Teacher Lookup'!$B$2:$B$200,MATCH(A2597,'Teacher Lookup'!$A$2:$A$200,0)),"")</f>
        <v>TSAI Christy</v>
      </c>
    </row>
    <row r="2598" customFormat="false" ht="15" hidden="false" customHeight="false" outlineLevel="0" collapsed="false">
      <c r="A2598" s="3" t="s">
        <v>365</v>
      </c>
      <c r="B2598" s="4" t="s">
        <v>66</v>
      </c>
      <c r="C2598" s="4" t="n">
        <v>5</v>
      </c>
      <c r="D2598" s="4" t="s">
        <v>52</v>
      </c>
      <c r="E2598" s="3" t="s">
        <v>122</v>
      </c>
      <c r="F2598" s="4" t="str">
        <f aca="false">IF(I2598&gt;J2598,"Y","N")</f>
        <v>N</v>
      </c>
      <c r="G2598" s="3" t="s">
        <v>101</v>
      </c>
      <c r="H2598" s="3" t="s">
        <v>37</v>
      </c>
      <c r="I2598" s="4" t="n">
        <v>8</v>
      </c>
      <c r="J2598" s="4" t="n">
        <f aca="false">LEN(E2598)-LEN(SUBSTITUTE(E2598,",",""))+1</f>
        <v>8</v>
      </c>
      <c r="K2598" s="3" t="str">
        <f aca="false">IFERROR(INDEX('Teacher Lookup'!$B$2:$B$200,MATCH(A2598,'Teacher Lookup'!$A$2:$A$200,0)),"")</f>
        <v>TSAI Christy</v>
      </c>
    </row>
    <row r="2599" customFormat="false" ht="15" hidden="false" customHeight="false" outlineLevel="0" collapsed="false">
      <c r="A2599" s="3" t="s">
        <v>365</v>
      </c>
      <c r="B2599" s="4" t="s">
        <v>66</v>
      </c>
      <c r="C2599" s="4" t="n">
        <v>5</v>
      </c>
      <c r="D2599" s="4" t="s">
        <v>55</v>
      </c>
      <c r="E2599" s="3" t="s">
        <v>122</v>
      </c>
      <c r="F2599" s="4" t="str">
        <f aca="false">IF(I2599&gt;J2599,"Y","N")</f>
        <v>N</v>
      </c>
      <c r="G2599" s="3" t="s">
        <v>101</v>
      </c>
      <c r="H2599" s="3" t="s">
        <v>37</v>
      </c>
      <c r="I2599" s="4" t="n">
        <v>8</v>
      </c>
      <c r="J2599" s="4" t="n">
        <f aca="false">LEN(E2599)-LEN(SUBSTITUTE(E2599,",",""))+1</f>
        <v>8</v>
      </c>
      <c r="K2599" s="3" t="str">
        <f aca="false">IFERROR(INDEX('Teacher Lookup'!$B$2:$B$200,MATCH(A2599,'Teacher Lookup'!$A$2:$A$200,0)),"")</f>
        <v>TSAI Christy</v>
      </c>
    </row>
    <row r="2600" customFormat="false" ht="15" hidden="false" customHeight="false" outlineLevel="0" collapsed="false">
      <c r="A2600" s="3" t="s">
        <v>365</v>
      </c>
      <c r="B2600" s="4" t="s">
        <v>66</v>
      </c>
      <c r="C2600" s="4" t="n">
        <v>5</v>
      </c>
      <c r="D2600" s="4" t="s">
        <v>56</v>
      </c>
      <c r="E2600" s="3" t="s">
        <v>122</v>
      </c>
      <c r="F2600" s="4" t="str">
        <f aca="false">IF(I2600&gt;J2600,"Y","N")</f>
        <v>N</v>
      </c>
      <c r="G2600" s="3" t="s">
        <v>101</v>
      </c>
      <c r="H2600" s="3" t="s">
        <v>37</v>
      </c>
      <c r="I2600" s="4" t="n">
        <v>8</v>
      </c>
      <c r="J2600" s="4" t="n">
        <f aca="false">LEN(E2600)-LEN(SUBSTITUTE(E2600,",",""))+1</f>
        <v>8</v>
      </c>
      <c r="K2600" s="3" t="str">
        <f aca="false">IFERROR(INDEX('Teacher Lookup'!$B$2:$B$200,MATCH(A2600,'Teacher Lookup'!$A$2:$A$200,0)),"")</f>
        <v>TSAI Christy</v>
      </c>
    </row>
    <row r="2601" customFormat="false" ht="15" hidden="false" customHeight="false" outlineLevel="0" collapsed="false">
      <c r="A2601" s="3" t="s">
        <v>365</v>
      </c>
      <c r="B2601" s="4" t="s">
        <v>66</v>
      </c>
      <c r="C2601" s="4" t="n">
        <v>5</v>
      </c>
      <c r="D2601" s="4" t="s">
        <v>57</v>
      </c>
      <c r="E2601" s="3" t="s">
        <v>122</v>
      </c>
      <c r="F2601" s="4" t="str">
        <f aca="false">IF(I2601&gt;J2601,"Y","N")</f>
        <v>N</v>
      </c>
      <c r="G2601" s="3" t="s">
        <v>101</v>
      </c>
      <c r="H2601" s="3" t="s">
        <v>37</v>
      </c>
      <c r="I2601" s="4" t="n">
        <v>8</v>
      </c>
      <c r="J2601" s="4" t="n">
        <f aca="false">LEN(E2601)-LEN(SUBSTITUTE(E2601,",",""))+1</f>
        <v>8</v>
      </c>
      <c r="K2601" s="3" t="str">
        <f aca="false">IFERROR(INDEX('Teacher Lookup'!$B$2:$B$200,MATCH(A2601,'Teacher Lookup'!$A$2:$A$200,0)),"")</f>
        <v>TSAI Christy</v>
      </c>
    </row>
    <row r="2602" customFormat="false" ht="15" hidden="false" customHeight="false" outlineLevel="0" collapsed="false">
      <c r="A2602" s="3" t="s">
        <v>365</v>
      </c>
      <c r="B2602" s="4" t="s">
        <v>66</v>
      </c>
      <c r="C2602" s="4" t="n">
        <v>5</v>
      </c>
      <c r="D2602" s="4" t="s">
        <v>58</v>
      </c>
      <c r="E2602" s="3" t="s">
        <v>122</v>
      </c>
      <c r="F2602" s="4" t="str">
        <f aca="false">IF(I2602&gt;J2602,"Y","N")</f>
        <v>N</v>
      </c>
      <c r="G2602" s="3" t="s">
        <v>101</v>
      </c>
      <c r="H2602" s="3" t="s">
        <v>37</v>
      </c>
      <c r="I2602" s="4" t="n">
        <v>8</v>
      </c>
      <c r="J2602" s="4" t="n">
        <f aca="false">LEN(E2602)-LEN(SUBSTITUTE(E2602,",",""))+1</f>
        <v>8</v>
      </c>
      <c r="K2602" s="3" t="str">
        <f aca="false">IFERROR(INDEX('Teacher Lookup'!$B$2:$B$200,MATCH(A2602,'Teacher Lookup'!$A$2:$A$200,0)),"")</f>
        <v>TSAI Christy</v>
      </c>
    </row>
    <row r="2603" customFormat="false" ht="15" hidden="false" customHeight="false" outlineLevel="0" collapsed="false">
      <c r="A2603" s="3" t="s">
        <v>365</v>
      </c>
      <c r="B2603" s="4" t="s">
        <v>66</v>
      </c>
      <c r="C2603" s="4" t="n">
        <v>5</v>
      </c>
      <c r="D2603" s="4" t="s">
        <v>59</v>
      </c>
      <c r="E2603" s="3" t="s">
        <v>122</v>
      </c>
      <c r="F2603" s="4" t="str">
        <f aca="false">IF(I2603&gt;J2603,"Y","N")</f>
        <v>N</v>
      </c>
      <c r="G2603" s="3" t="s">
        <v>101</v>
      </c>
      <c r="H2603" s="3" t="s">
        <v>37</v>
      </c>
      <c r="I2603" s="4" t="n">
        <v>8</v>
      </c>
      <c r="J2603" s="4" t="n">
        <f aca="false">LEN(E2603)-LEN(SUBSTITUTE(E2603,",",""))+1</f>
        <v>8</v>
      </c>
      <c r="K2603" s="3" t="str">
        <f aca="false">IFERROR(INDEX('Teacher Lookup'!$B$2:$B$200,MATCH(A2603,'Teacher Lookup'!$A$2:$A$200,0)),"")</f>
        <v>TSAI Christy</v>
      </c>
    </row>
    <row r="2604" customFormat="false" ht="15" hidden="false" customHeight="false" outlineLevel="0" collapsed="false">
      <c r="A2604" s="3" t="s">
        <v>366</v>
      </c>
      <c r="B2604" s="4" t="s">
        <v>12</v>
      </c>
      <c r="C2604" s="4" t="n">
        <v>1</v>
      </c>
      <c r="D2604" s="4" t="s">
        <v>102</v>
      </c>
      <c r="E2604" s="3" t="s">
        <v>309</v>
      </c>
      <c r="F2604" s="4" t="str">
        <f aca="false">IF(I2604&gt;J2604,"Y","N")</f>
        <v>Y</v>
      </c>
      <c r="G2604" s="3" t="s">
        <v>310</v>
      </c>
      <c r="H2604" s="3" t="s">
        <v>16</v>
      </c>
      <c r="I2604" s="4" t="n">
        <v>7</v>
      </c>
      <c r="J2604" s="4" t="n">
        <f aca="false">LEN(E2604)-LEN(SUBSTITUTE(E2604,",",""))+1</f>
        <v>6</v>
      </c>
      <c r="K2604" s="3" t="str">
        <f aca="false">IFERROR(INDEX('Teacher Lookup'!$B$2:$B$200,MATCH(A2604,'Teacher Lookup'!$A$2:$A$200,0)),"")</f>
        <v>CHAN Davis</v>
      </c>
    </row>
    <row r="2605" customFormat="false" ht="15" hidden="false" customHeight="false" outlineLevel="0" collapsed="false">
      <c r="A2605" s="3" t="s">
        <v>366</v>
      </c>
      <c r="B2605" s="4" t="s">
        <v>12</v>
      </c>
      <c r="C2605" s="4" t="n">
        <v>1</v>
      </c>
      <c r="D2605" s="4" t="s">
        <v>105</v>
      </c>
      <c r="E2605" s="3" t="s">
        <v>309</v>
      </c>
      <c r="F2605" s="4" t="str">
        <f aca="false">IF(I2605&gt;J2605,"Y","N")</f>
        <v>Y</v>
      </c>
      <c r="G2605" s="3" t="s">
        <v>310</v>
      </c>
      <c r="H2605" s="3" t="s">
        <v>16</v>
      </c>
      <c r="I2605" s="4" t="n">
        <v>7</v>
      </c>
      <c r="J2605" s="4" t="n">
        <f aca="false">LEN(E2605)-LEN(SUBSTITUTE(E2605,",",""))+1</f>
        <v>6</v>
      </c>
      <c r="K2605" s="3" t="str">
        <f aca="false">IFERROR(INDEX('Teacher Lookup'!$B$2:$B$200,MATCH(A2605,'Teacher Lookup'!$A$2:$A$200,0)),"")</f>
        <v>CHAN Davis</v>
      </c>
    </row>
    <row r="2606" customFormat="false" ht="15" hidden="false" customHeight="false" outlineLevel="0" collapsed="false">
      <c r="A2606" s="3" t="s">
        <v>366</v>
      </c>
      <c r="B2606" s="4" t="s">
        <v>12</v>
      </c>
      <c r="C2606" s="4" t="n">
        <v>1</v>
      </c>
      <c r="D2606" s="4" t="s">
        <v>106</v>
      </c>
      <c r="E2606" s="3" t="s">
        <v>309</v>
      </c>
      <c r="F2606" s="4" t="str">
        <f aca="false">IF(I2606&gt;J2606,"Y","N")</f>
        <v>Y</v>
      </c>
      <c r="G2606" s="3" t="s">
        <v>310</v>
      </c>
      <c r="H2606" s="3" t="s">
        <v>16</v>
      </c>
      <c r="I2606" s="4" t="n">
        <v>7</v>
      </c>
      <c r="J2606" s="4" t="n">
        <f aca="false">LEN(E2606)-LEN(SUBSTITUTE(E2606,",",""))+1</f>
        <v>6</v>
      </c>
      <c r="K2606" s="3" t="str">
        <f aca="false">IFERROR(INDEX('Teacher Lookup'!$B$2:$B$200,MATCH(A2606,'Teacher Lookup'!$A$2:$A$200,0)),"")</f>
        <v>CHAN Davis</v>
      </c>
    </row>
    <row r="2607" customFormat="false" ht="15" hidden="false" customHeight="false" outlineLevel="0" collapsed="false">
      <c r="A2607" s="3" t="s">
        <v>366</v>
      </c>
      <c r="B2607" s="4" t="s">
        <v>12</v>
      </c>
      <c r="C2607" s="4" t="n">
        <v>1</v>
      </c>
      <c r="D2607" s="4" t="s">
        <v>107</v>
      </c>
      <c r="E2607" s="3" t="s">
        <v>309</v>
      </c>
      <c r="F2607" s="4" t="str">
        <f aca="false">IF(I2607&gt;J2607,"Y","N")</f>
        <v>Y</v>
      </c>
      <c r="G2607" s="3" t="s">
        <v>310</v>
      </c>
      <c r="H2607" s="3" t="s">
        <v>16</v>
      </c>
      <c r="I2607" s="4" t="n">
        <v>7</v>
      </c>
      <c r="J2607" s="4" t="n">
        <f aca="false">LEN(E2607)-LEN(SUBSTITUTE(E2607,",",""))+1</f>
        <v>6</v>
      </c>
      <c r="K2607" s="3" t="str">
        <f aca="false">IFERROR(INDEX('Teacher Lookup'!$B$2:$B$200,MATCH(A2607,'Teacher Lookup'!$A$2:$A$200,0)),"")</f>
        <v>CHAN Davis</v>
      </c>
    </row>
    <row r="2608" customFormat="false" ht="15" hidden="false" customHeight="false" outlineLevel="0" collapsed="false">
      <c r="A2608" s="3" t="s">
        <v>366</v>
      </c>
      <c r="B2608" s="4" t="s">
        <v>12</v>
      </c>
      <c r="C2608" s="4" t="n">
        <v>4</v>
      </c>
      <c r="D2608" s="4" t="s">
        <v>55</v>
      </c>
      <c r="E2608" s="3" t="s">
        <v>193</v>
      </c>
      <c r="F2608" s="4" t="str">
        <f aca="false">IF(I2608&gt;J2608,"Y","N")</f>
        <v>N</v>
      </c>
      <c r="G2608" s="3" t="s">
        <v>192</v>
      </c>
      <c r="H2608" s="3" t="s">
        <v>34</v>
      </c>
      <c r="I2608" s="4" t="n">
        <v>2</v>
      </c>
      <c r="J2608" s="4" t="n">
        <f aca="false">LEN(E2608)-LEN(SUBSTITUTE(E2608,",",""))+1</f>
        <v>2</v>
      </c>
      <c r="K2608" s="3" t="str">
        <f aca="false">IFERROR(INDEX('Teacher Lookup'!$B$2:$B$200,MATCH(A2608,'Teacher Lookup'!$A$2:$A$200,0)),"")</f>
        <v>CHAN Davis</v>
      </c>
    </row>
    <row r="2609" customFormat="false" ht="15" hidden="false" customHeight="false" outlineLevel="0" collapsed="false">
      <c r="A2609" s="3" t="s">
        <v>366</v>
      </c>
      <c r="B2609" s="4" t="s">
        <v>31</v>
      </c>
      <c r="C2609" s="4" t="n">
        <v>1</v>
      </c>
      <c r="D2609" s="4" t="s">
        <v>55</v>
      </c>
      <c r="E2609" s="3" t="s">
        <v>193</v>
      </c>
      <c r="F2609" s="4" t="str">
        <f aca="false">IF(I2609&gt;J2609,"Y","N")</f>
        <v>N</v>
      </c>
      <c r="G2609" s="3" t="s">
        <v>192</v>
      </c>
      <c r="H2609" s="3" t="s">
        <v>16</v>
      </c>
      <c r="I2609" s="4" t="n">
        <v>2</v>
      </c>
      <c r="J2609" s="4" t="n">
        <f aca="false">LEN(E2609)-LEN(SUBSTITUTE(E2609,",",""))+1</f>
        <v>2</v>
      </c>
      <c r="K2609" s="3" t="str">
        <f aca="false">IFERROR(INDEX('Teacher Lookup'!$B$2:$B$200,MATCH(A2609,'Teacher Lookup'!$A$2:$A$200,0)),"")</f>
        <v>CHAN Davis</v>
      </c>
    </row>
    <row r="2610" customFormat="false" ht="15" hidden="false" customHeight="false" outlineLevel="0" collapsed="false">
      <c r="A2610" s="3" t="s">
        <v>366</v>
      </c>
      <c r="B2610" s="4" t="s">
        <v>31</v>
      </c>
      <c r="C2610" s="4" t="n">
        <v>4</v>
      </c>
      <c r="D2610" s="4" t="s">
        <v>102</v>
      </c>
      <c r="E2610" s="3" t="s">
        <v>313</v>
      </c>
      <c r="F2610" s="4" t="str">
        <f aca="false">IF(I2610&gt;J2610,"Y","N")</f>
        <v>Y</v>
      </c>
      <c r="G2610" s="3" t="s">
        <v>310</v>
      </c>
      <c r="H2610" s="3" t="s">
        <v>34</v>
      </c>
      <c r="I2610" s="4" t="n">
        <v>7</v>
      </c>
      <c r="J2610" s="4" t="n">
        <f aca="false">LEN(E2610)-LEN(SUBSTITUTE(E2610,",",""))+1</f>
        <v>6</v>
      </c>
      <c r="K2610" s="3" t="str">
        <f aca="false">IFERROR(INDEX('Teacher Lookup'!$B$2:$B$200,MATCH(A2610,'Teacher Lookup'!$A$2:$A$200,0)),"")</f>
        <v>CHAN Davis</v>
      </c>
    </row>
    <row r="2611" customFormat="false" ht="15" hidden="false" customHeight="false" outlineLevel="0" collapsed="false">
      <c r="A2611" s="3" t="s">
        <v>366</v>
      </c>
      <c r="B2611" s="4" t="s">
        <v>31</v>
      </c>
      <c r="C2611" s="4" t="n">
        <v>4</v>
      </c>
      <c r="D2611" s="4" t="s">
        <v>105</v>
      </c>
      <c r="E2611" s="3" t="s">
        <v>313</v>
      </c>
      <c r="F2611" s="4" t="str">
        <f aca="false">IF(I2611&gt;J2611,"Y","N")</f>
        <v>Y</v>
      </c>
      <c r="G2611" s="3" t="s">
        <v>310</v>
      </c>
      <c r="H2611" s="3" t="s">
        <v>34</v>
      </c>
      <c r="I2611" s="4" t="n">
        <v>7</v>
      </c>
      <c r="J2611" s="4" t="n">
        <f aca="false">LEN(E2611)-LEN(SUBSTITUTE(E2611,",",""))+1</f>
        <v>6</v>
      </c>
      <c r="K2611" s="3" t="str">
        <f aca="false">IFERROR(INDEX('Teacher Lookup'!$B$2:$B$200,MATCH(A2611,'Teacher Lookup'!$A$2:$A$200,0)),"")</f>
        <v>CHAN Davis</v>
      </c>
    </row>
    <row r="2612" customFormat="false" ht="15" hidden="false" customHeight="false" outlineLevel="0" collapsed="false">
      <c r="A2612" s="3" t="s">
        <v>366</v>
      </c>
      <c r="B2612" s="4" t="s">
        <v>31</v>
      </c>
      <c r="C2612" s="4" t="n">
        <v>4</v>
      </c>
      <c r="D2612" s="4" t="s">
        <v>106</v>
      </c>
      <c r="E2612" s="3" t="s">
        <v>313</v>
      </c>
      <c r="F2612" s="4" t="str">
        <f aca="false">IF(I2612&gt;J2612,"Y","N")</f>
        <v>Y</v>
      </c>
      <c r="G2612" s="3" t="s">
        <v>310</v>
      </c>
      <c r="H2612" s="3" t="s">
        <v>34</v>
      </c>
      <c r="I2612" s="4" t="n">
        <v>7</v>
      </c>
      <c r="J2612" s="4" t="n">
        <f aca="false">LEN(E2612)-LEN(SUBSTITUTE(E2612,",",""))+1</f>
        <v>6</v>
      </c>
      <c r="K2612" s="3" t="str">
        <f aca="false">IFERROR(INDEX('Teacher Lookup'!$B$2:$B$200,MATCH(A2612,'Teacher Lookup'!$A$2:$A$200,0)),"")</f>
        <v>CHAN Davis</v>
      </c>
    </row>
    <row r="2613" customFormat="false" ht="15" hidden="false" customHeight="false" outlineLevel="0" collapsed="false">
      <c r="A2613" s="3" t="s">
        <v>366</v>
      </c>
      <c r="B2613" s="4" t="s">
        <v>31</v>
      </c>
      <c r="C2613" s="4" t="n">
        <v>4</v>
      </c>
      <c r="D2613" s="4" t="s">
        <v>107</v>
      </c>
      <c r="E2613" s="3" t="s">
        <v>313</v>
      </c>
      <c r="F2613" s="4" t="str">
        <f aca="false">IF(I2613&gt;J2613,"Y","N")</f>
        <v>Y</v>
      </c>
      <c r="G2613" s="3" t="s">
        <v>310</v>
      </c>
      <c r="H2613" s="3" t="s">
        <v>34</v>
      </c>
      <c r="I2613" s="4" t="n">
        <v>7</v>
      </c>
      <c r="J2613" s="4" t="n">
        <f aca="false">LEN(E2613)-LEN(SUBSTITUTE(E2613,",",""))+1</f>
        <v>6</v>
      </c>
      <c r="K2613" s="3" t="str">
        <f aca="false">IFERROR(INDEX('Teacher Lookup'!$B$2:$B$200,MATCH(A2613,'Teacher Lookup'!$A$2:$A$200,0)),"")</f>
        <v>CHAN Davis</v>
      </c>
    </row>
    <row r="2614" customFormat="false" ht="15" hidden="false" customHeight="false" outlineLevel="0" collapsed="false">
      <c r="A2614" s="3" t="s">
        <v>366</v>
      </c>
      <c r="B2614" s="4" t="s">
        <v>31</v>
      </c>
      <c r="C2614" s="4" t="n">
        <v>5</v>
      </c>
      <c r="D2614" s="4" t="s">
        <v>52</v>
      </c>
      <c r="E2614" s="3" t="s">
        <v>112</v>
      </c>
      <c r="F2614" s="4" t="str">
        <f aca="false">IF(I2614&gt;J2614,"Y","N")</f>
        <v>Y</v>
      </c>
      <c r="G2614" s="3" t="s">
        <v>36</v>
      </c>
      <c r="H2614" s="3" t="s">
        <v>37</v>
      </c>
      <c r="I2614" s="4" t="n">
        <v>16</v>
      </c>
      <c r="J2614" s="4" t="n">
        <f aca="false">LEN(E2614)-LEN(SUBSTITUTE(E2614,",",""))+1</f>
        <v>7</v>
      </c>
      <c r="K2614" s="3" t="str">
        <f aca="false">IFERROR(INDEX('Teacher Lookup'!$B$2:$B$200,MATCH(A2614,'Teacher Lookup'!$A$2:$A$200,0)),"")</f>
        <v>CHAN Davis</v>
      </c>
    </row>
    <row r="2615" customFormat="false" ht="15" hidden="false" customHeight="false" outlineLevel="0" collapsed="false">
      <c r="A2615" s="3" t="s">
        <v>366</v>
      </c>
      <c r="B2615" s="4" t="s">
        <v>31</v>
      </c>
      <c r="C2615" s="4" t="n">
        <v>5</v>
      </c>
      <c r="D2615" s="4" t="s">
        <v>55</v>
      </c>
      <c r="E2615" s="3" t="s">
        <v>112</v>
      </c>
      <c r="F2615" s="4" t="str">
        <f aca="false">IF(I2615&gt;J2615,"Y","N")</f>
        <v>Y</v>
      </c>
      <c r="G2615" s="3" t="s">
        <v>36</v>
      </c>
      <c r="H2615" s="3" t="s">
        <v>37</v>
      </c>
      <c r="I2615" s="4" t="n">
        <v>16</v>
      </c>
      <c r="J2615" s="4" t="n">
        <f aca="false">LEN(E2615)-LEN(SUBSTITUTE(E2615,",",""))+1</f>
        <v>7</v>
      </c>
      <c r="K2615" s="3" t="str">
        <f aca="false">IFERROR(INDEX('Teacher Lookup'!$B$2:$B$200,MATCH(A2615,'Teacher Lookup'!$A$2:$A$200,0)),"")</f>
        <v>CHAN Davis</v>
      </c>
    </row>
    <row r="2616" customFormat="false" ht="15" hidden="false" customHeight="false" outlineLevel="0" collapsed="false">
      <c r="A2616" s="3" t="s">
        <v>366</v>
      </c>
      <c r="B2616" s="4" t="s">
        <v>31</v>
      </c>
      <c r="C2616" s="4" t="n">
        <v>5</v>
      </c>
      <c r="D2616" s="4" t="s">
        <v>56</v>
      </c>
      <c r="E2616" s="3" t="s">
        <v>112</v>
      </c>
      <c r="F2616" s="4" t="str">
        <f aca="false">IF(I2616&gt;J2616,"Y","N")</f>
        <v>Y</v>
      </c>
      <c r="G2616" s="3" t="s">
        <v>36</v>
      </c>
      <c r="H2616" s="3" t="s">
        <v>37</v>
      </c>
      <c r="I2616" s="4" t="n">
        <v>16</v>
      </c>
      <c r="J2616" s="4" t="n">
        <f aca="false">LEN(E2616)-LEN(SUBSTITUTE(E2616,",",""))+1</f>
        <v>7</v>
      </c>
      <c r="K2616" s="3" t="str">
        <f aca="false">IFERROR(INDEX('Teacher Lookup'!$B$2:$B$200,MATCH(A2616,'Teacher Lookup'!$A$2:$A$200,0)),"")</f>
        <v>CHAN Davis</v>
      </c>
    </row>
    <row r="2617" customFormat="false" ht="15" hidden="false" customHeight="false" outlineLevel="0" collapsed="false">
      <c r="A2617" s="3" t="s">
        <v>366</v>
      </c>
      <c r="B2617" s="4" t="s">
        <v>31</v>
      </c>
      <c r="C2617" s="4" t="n">
        <v>5</v>
      </c>
      <c r="D2617" s="4" t="s">
        <v>57</v>
      </c>
      <c r="E2617" s="3" t="s">
        <v>112</v>
      </c>
      <c r="F2617" s="4" t="str">
        <f aca="false">IF(I2617&gt;J2617,"Y","N")</f>
        <v>Y</v>
      </c>
      <c r="G2617" s="3" t="s">
        <v>36</v>
      </c>
      <c r="H2617" s="3" t="s">
        <v>37</v>
      </c>
      <c r="I2617" s="4" t="n">
        <v>16</v>
      </c>
      <c r="J2617" s="4" t="n">
        <f aca="false">LEN(E2617)-LEN(SUBSTITUTE(E2617,",",""))+1</f>
        <v>7</v>
      </c>
      <c r="K2617" s="3" t="str">
        <f aca="false">IFERROR(INDEX('Teacher Lookup'!$B$2:$B$200,MATCH(A2617,'Teacher Lookup'!$A$2:$A$200,0)),"")</f>
        <v>CHAN Davis</v>
      </c>
    </row>
    <row r="2618" customFormat="false" ht="15" hidden="false" customHeight="false" outlineLevel="0" collapsed="false">
      <c r="A2618" s="3" t="s">
        <v>366</v>
      </c>
      <c r="B2618" s="4" t="s">
        <v>31</v>
      </c>
      <c r="C2618" s="4" t="n">
        <v>5</v>
      </c>
      <c r="D2618" s="4" t="s">
        <v>58</v>
      </c>
      <c r="E2618" s="3" t="s">
        <v>112</v>
      </c>
      <c r="F2618" s="4" t="str">
        <f aca="false">IF(I2618&gt;J2618,"Y","N")</f>
        <v>Y</v>
      </c>
      <c r="G2618" s="3" t="s">
        <v>36</v>
      </c>
      <c r="H2618" s="3" t="s">
        <v>37</v>
      </c>
      <c r="I2618" s="4" t="n">
        <v>16</v>
      </c>
      <c r="J2618" s="4" t="n">
        <f aca="false">LEN(E2618)-LEN(SUBSTITUTE(E2618,",",""))+1</f>
        <v>7</v>
      </c>
      <c r="K2618" s="3" t="str">
        <f aca="false">IFERROR(INDEX('Teacher Lookup'!$B$2:$B$200,MATCH(A2618,'Teacher Lookup'!$A$2:$A$200,0)),"")</f>
        <v>CHAN Davis</v>
      </c>
    </row>
    <row r="2619" customFormat="false" ht="15" hidden="false" customHeight="false" outlineLevel="0" collapsed="false">
      <c r="A2619" s="3" t="s">
        <v>366</v>
      </c>
      <c r="B2619" s="4" t="s">
        <v>31</v>
      </c>
      <c r="C2619" s="4" t="n">
        <v>5</v>
      </c>
      <c r="D2619" s="4" t="s">
        <v>59</v>
      </c>
      <c r="E2619" s="3" t="s">
        <v>112</v>
      </c>
      <c r="F2619" s="4" t="str">
        <f aca="false">IF(I2619&gt;J2619,"Y","N")</f>
        <v>Y</v>
      </c>
      <c r="G2619" s="3" t="s">
        <v>36</v>
      </c>
      <c r="H2619" s="3" t="s">
        <v>37</v>
      </c>
      <c r="I2619" s="4" t="n">
        <v>16</v>
      </c>
      <c r="J2619" s="4" t="n">
        <f aca="false">LEN(E2619)-LEN(SUBSTITUTE(E2619,",",""))+1</f>
        <v>7</v>
      </c>
      <c r="K2619" s="3" t="str">
        <f aca="false">IFERROR(INDEX('Teacher Lookup'!$B$2:$B$200,MATCH(A2619,'Teacher Lookup'!$A$2:$A$200,0)),"")</f>
        <v>CHAN Davis</v>
      </c>
    </row>
    <row r="2620" customFormat="false" ht="15" hidden="false" customHeight="false" outlineLevel="0" collapsed="false">
      <c r="A2620" s="3" t="s">
        <v>366</v>
      </c>
      <c r="B2620" s="4" t="s">
        <v>31</v>
      </c>
      <c r="C2620" s="4" t="n">
        <v>6</v>
      </c>
      <c r="D2620" s="4" t="s">
        <v>52</v>
      </c>
      <c r="E2620" s="3" t="s">
        <v>238</v>
      </c>
      <c r="F2620" s="4" t="str">
        <f aca="false">IF(I2620&gt;J2620,"Y","N")</f>
        <v>N</v>
      </c>
      <c r="G2620" s="3" t="s">
        <v>239</v>
      </c>
      <c r="H2620" s="3" t="s">
        <v>42</v>
      </c>
      <c r="I2620" s="4" t="n">
        <v>7</v>
      </c>
      <c r="J2620" s="4" t="n">
        <f aca="false">LEN(E2620)-LEN(SUBSTITUTE(E2620,",",""))+1</f>
        <v>7</v>
      </c>
      <c r="K2620" s="3" t="str">
        <f aca="false">IFERROR(INDEX('Teacher Lookup'!$B$2:$B$200,MATCH(A2620,'Teacher Lookup'!$A$2:$A$200,0)),"")</f>
        <v>CHAN Davis</v>
      </c>
    </row>
    <row r="2621" customFormat="false" ht="15" hidden="false" customHeight="false" outlineLevel="0" collapsed="false">
      <c r="A2621" s="3" t="s">
        <v>366</v>
      </c>
      <c r="B2621" s="4" t="s">
        <v>31</v>
      </c>
      <c r="C2621" s="4" t="n">
        <v>6</v>
      </c>
      <c r="D2621" s="4" t="s">
        <v>55</v>
      </c>
      <c r="E2621" s="3" t="s">
        <v>238</v>
      </c>
      <c r="F2621" s="4" t="str">
        <f aca="false">IF(I2621&gt;J2621,"Y","N")</f>
        <v>N</v>
      </c>
      <c r="G2621" s="3" t="s">
        <v>239</v>
      </c>
      <c r="H2621" s="3" t="s">
        <v>42</v>
      </c>
      <c r="I2621" s="4" t="n">
        <v>7</v>
      </c>
      <c r="J2621" s="4" t="n">
        <f aca="false">LEN(E2621)-LEN(SUBSTITUTE(E2621,",",""))+1</f>
        <v>7</v>
      </c>
      <c r="K2621" s="3" t="str">
        <f aca="false">IFERROR(INDEX('Teacher Lookup'!$B$2:$B$200,MATCH(A2621,'Teacher Lookup'!$A$2:$A$200,0)),"")</f>
        <v>CHAN Davis</v>
      </c>
    </row>
    <row r="2622" customFormat="false" ht="15" hidden="false" customHeight="false" outlineLevel="0" collapsed="false">
      <c r="A2622" s="3" t="s">
        <v>366</v>
      </c>
      <c r="B2622" s="4" t="s">
        <v>31</v>
      </c>
      <c r="C2622" s="4" t="n">
        <v>6</v>
      </c>
      <c r="D2622" s="4" t="s">
        <v>56</v>
      </c>
      <c r="E2622" s="3" t="s">
        <v>238</v>
      </c>
      <c r="F2622" s="4" t="str">
        <f aca="false">IF(I2622&gt;J2622,"Y","N")</f>
        <v>N</v>
      </c>
      <c r="G2622" s="3" t="s">
        <v>239</v>
      </c>
      <c r="H2622" s="3" t="s">
        <v>42</v>
      </c>
      <c r="I2622" s="4" t="n">
        <v>7</v>
      </c>
      <c r="J2622" s="4" t="n">
        <f aca="false">LEN(E2622)-LEN(SUBSTITUTE(E2622,",",""))+1</f>
        <v>7</v>
      </c>
      <c r="K2622" s="3" t="str">
        <f aca="false">IFERROR(INDEX('Teacher Lookup'!$B$2:$B$200,MATCH(A2622,'Teacher Lookup'!$A$2:$A$200,0)),"")</f>
        <v>CHAN Davis</v>
      </c>
    </row>
    <row r="2623" customFormat="false" ht="15" hidden="false" customHeight="false" outlineLevel="0" collapsed="false">
      <c r="A2623" s="3" t="s">
        <v>366</v>
      </c>
      <c r="B2623" s="4" t="s">
        <v>31</v>
      </c>
      <c r="C2623" s="4" t="n">
        <v>6</v>
      </c>
      <c r="D2623" s="4" t="s">
        <v>57</v>
      </c>
      <c r="E2623" s="3" t="s">
        <v>238</v>
      </c>
      <c r="F2623" s="4" t="str">
        <f aca="false">IF(I2623&gt;J2623,"Y","N")</f>
        <v>N</v>
      </c>
      <c r="G2623" s="3" t="s">
        <v>239</v>
      </c>
      <c r="H2623" s="3" t="s">
        <v>42</v>
      </c>
      <c r="I2623" s="4" t="n">
        <v>7</v>
      </c>
      <c r="J2623" s="4" t="n">
        <f aca="false">LEN(E2623)-LEN(SUBSTITUTE(E2623,",",""))+1</f>
        <v>7</v>
      </c>
      <c r="K2623" s="3" t="str">
        <f aca="false">IFERROR(INDEX('Teacher Lookup'!$B$2:$B$200,MATCH(A2623,'Teacher Lookup'!$A$2:$A$200,0)),"")</f>
        <v>CHAN Davis</v>
      </c>
    </row>
    <row r="2624" customFormat="false" ht="15" hidden="false" customHeight="false" outlineLevel="0" collapsed="false">
      <c r="A2624" s="3" t="s">
        <v>366</v>
      </c>
      <c r="B2624" s="4" t="s">
        <v>31</v>
      </c>
      <c r="C2624" s="4" t="n">
        <v>6</v>
      </c>
      <c r="D2624" s="4" t="s">
        <v>58</v>
      </c>
      <c r="E2624" s="3" t="s">
        <v>238</v>
      </c>
      <c r="F2624" s="4" t="str">
        <f aca="false">IF(I2624&gt;J2624,"Y","N")</f>
        <v>N</v>
      </c>
      <c r="G2624" s="3" t="s">
        <v>239</v>
      </c>
      <c r="H2624" s="3" t="s">
        <v>42</v>
      </c>
      <c r="I2624" s="4" t="n">
        <v>7</v>
      </c>
      <c r="J2624" s="4" t="n">
        <f aca="false">LEN(E2624)-LEN(SUBSTITUTE(E2624,",",""))+1</f>
        <v>7</v>
      </c>
      <c r="K2624" s="3" t="str">
        <f aca="false">IFERROR(INDEX('Teacher Lookup'!$B$2:$B$200,MATCH(A2624,'Teacher Lookup'!$A$2:$A$200,0)),"")</f>
        <v>CHAN Davis</v>
      </c>
    </row>
    <row r="2625" customFormat="false" ht="15" hidden="false" customHeight="false" outlineLevel="0" collapsed="false">
      <c r="A2625" s="3" t="s">
        <v>366</v>
      </c>
      <c r="B2625" s="4" t="s">
        <v>31</v>
      </c>
      <c r="C2625" s="4" t="n">
        <v>6</v>
      </c>
      <c r="D2625" s="4" t="s">
        <v>59</v>
      </c>
      <c r="E2625" s="3" t="s">
        <v>238</v>
      </c>
      <c r="F2625" s="4" t="str">
        <f aca="false">IF(I2625&gt;J2625,"Y","N")</f>
        <v>N</v>
      </c>
      <c r="G2625" s="3" t="s">
        <v>239</v>
      </c>
      <c r="H2625" s="3" t="s">
        <v>42</v>
      </c>
      <c r="I2625" s="4" t="n">
        <v>7</v>
      </c>
      <c r="J2625" s="4" t="n">
        <f aca="false">LEN(E2625)-LEN(SUBSTITUTE(E2625,",",""))+1</f>
        <v>7</v>
      </c>
      <c r="K2625" s="3" t="str">
        <f aca="false">IFERROR(INDEX('Teacher Lookup'!$B$2:$B$200,MATCH(A2625,'Teacher Lookup'!$A$2:$A$200,0)),"")</f>
        <v>CHAN Davis</v>
      </c>
    </row>
    <row r="2626" customFormat="false" ht="15" hidden="false" customHeight="false" outlineLevel="0" collapsed="false">
      <c r="A2626" s="3" t="s">
        <v>366</v>
      </c>
      <c r="B2626" s="4" t="s">
        <v>40</v>
      </c>
      <c r="C2626" s="4" t="n">
        <v>2</v>
      </c>
      <c r="D2626" s="4" t="s">
        <v>52</v>
      </c>
      <c r="E2626" s="3" t="s">
        <v>240</v>
      </c>
      <c r="F2626" s="4" t="str">
        <f aca="false">IF(I2626&gt;J2626,"Y","N")</f>
        <v>N</v>
      </c>
      <c r="G2626" s="3" t="s">
        <v>239</v>
      </c>
      <c r="H2626" s="3" t="s">
        <v>21</v>
      </c>
      <c r="I2626" s="4" t="n">
        <v>7</v>
      </c>
      <c r="J2626" s="4" t="n">
        <f aca="false">LEN(E2626)-LEN(SUBSTITUTE(E2626,",",""))+1</f>
        <v>7</v>
      </c>
      <c r="K2626" s="3" t="str">
        <f aca="false">IFERROR(INDEX('Teacher Lookup'!$B$2:$B$200,MATCH(A2626,'Teacher Lookup'!$A$2:$A$200,0)),"")</f>
        <v>CHAN Davis</v>
      </c>
    </row>
    <row r="2627" customFormat="false" ht="15" hidden="false" customHeight="false" outlineLevel="0" collapsed="false">
      <c r="A2627" s="3" t="s">
        <v>366</v>
      </c>
      <c r="B2627" s="4" t="s">
        <v>40</v>
      </c>
      <c r="C2627" s="4" t="n">
        <v>2</v>
      </c>
      <c r="D2627" s="4" t="s">
        <v>55</v>
      </c>
      <c r="E2627" s="3" t="s">
        <v>240</v>
      </c>
      <c r="F2627" s="4" t="str">
        <f aca="false">IF(I2627&gt;J2627,"Y","N")</f>
        <v>N</v>
      </c>
      <c r="G2627" s="3" t="s">
        <v>239</v>
      </c>
      <c r="H2627" s="3" t="s">
        <v>21</v>
      </c>
      <c r="I2627" s="4" t="n">
        <v>7</v>
      </c>
      <c r="J2627" s="4" t="n">
        <f aca="false">LEN(E2627)-LEN(SUBSTITUTE(E2627,",",""))+1</f>
        <v>7</v>
      </c>
      <c r="K2627" s="3" t="str">
        <f aca="false">IFERROR(INDEX('Teacher Lookup'!$B$2:$B$200,MATCH(A2627,'Teacher Lookup'!$A$2:$A$200,0)),"")</f>
        <v>CHAN Davis</v>
      </c>
    </row>
    <row r="2628" customFormat="false" ht="15" hidden="false" customHeight="false" outlineLevel="0" collapsed="false">
      <c r="A2628" s="3" t="s">
        <v>366</v>
      </c>
      <c r="B2628" s="4" t="s">
        <v>40</v>
      </c>
      <c r="C2628" s="4" t="n">
        <v>2</v>
      </c>
      <c r="D2628" s="4" t="s">
        <v>56</v>
      </c>
      <c r="E2628" s="3" t="s">
        <v>240</v>
      </c>
      <c r="F2628" s="4" t="str">
        <f aca="false">IF(I2628&gt;J2628,"Y","N")</f>
        <v>N</v>
      </c>
      <c r="G2628" s="3" t="s">
        <v>239</v>
      </c>
      <c r="H2628" s="3" t="s">
        <v>21</v>
      </c>
      <c r="I2628" s="4" t="n">
        <v>7</v>
      </c>
      <c r="J2628" s="4" t="n">
        <f aca="false">LEN(E2628)-LEN(SUBSTITUTE(E2628,",",""))+1</f>
        <v>7</v>
      </c>
      <c r="K2628" s="3" t="str">
        <f aca="false">IFERROR(INDEX('Teacher Lookup'!$B$2:$B$200,MATCH(A2628,'Teacher Lookup'!$A$2:$A$200,0)),"")</f>
        <v>CHAN Davis</v>
      </c>
    </row>
    <row r="2629" customFormat="false" ht="15" hidden="false" customHeight="false" outlineLevel="0" collapsed="false">
      <c r="A2629" s="3" t="s">
        <v>366</v>
      </c>
      <c r="B2629" s="4" t="s">
        <v>40</v>
      </c>
      <c r="C2629" s="4" t="n">
        <v>2</v>
      </c>
      <c r="D2629" s="4" t="s">
        <v>57</v>
      </c>
      <c r="E2629" s="3" t="s">
        <v>240</v>
      </c>
      <c r="F2629" s="4" t="str">
        <f aca="false">IF(I2629&gt;J2629,"Y","N")</f>
        <v>N</v>
      </c>
      <c r="G2629" s="3" t="s">
        <v>239</v>
      </c>
      <c r="H2629" s="3" t="s">
        <v>21</v>
      </c>
      <c r="I2629" s="4" t="n">
        <v>7</v>
      </c>
      <c r="J2629" s="4" t="n">
        <f aca="false">LEN(E2629)-LEN(SUBSTITUTE(E2629,",",""))+1</f>
        <v>7</v>
      </c>
      <c r="K2629" s="3" t="str">
        <f aca="false">IFERROR(INDEX('Teacher Lookup'!$B$2:$B$200,MATCH(A2629,'Teacher Lookup'!$A$2:$A$200,0)),"")</f>
        <v>CHAN Davis</v>
      </c>
    </row>
    <row r="2630" customFormat="false" ht="15" hidden="false" customHeight="false" outlineLevel="0" collapsed="false">
      <c r="A2630" s="3" t="s">
        <v>366</v>
      </c>
      <c r="B2630" s="4" t="s">
        <v>40</v>
      </c>
      <c r="C2630" s="4" t="n">
        <v>2</v>
      </c>
      <c r="D2630" s="4" t="s">
        <v>58</v>
      </c>
      <c r="E2630" s="3" t="s">
        <v>240</v>
      </c>
      <c r="F2630" s="4" t="str">
        <f aca="false">IF(I2630&gt;J2630,"Y","N")</f>
        <v>N</v>
      </c>
      <c r="G2630" s="3" t="s">
        <v>239</v>
      </c>
      <c r="H2630" s="3" t="s">
        <v>21</v>
      </c>
      <c r="I2630" s="4" t="n">
        <v>7</v>
      </c>
      <c r="J2630" s="4" t="n">
        <f aca="false">LEN(E2630)-LEN(SUBSTITUTE(E2630,",",""))+1</f>
        <v>7</v>
      </c>
      <c r="K2630" s="3" t="str">
        <f aca="false">IFERROR(INDEX('Teacher Lookup'!$B$2:$B$200,MATCH(A2630,'Teacher Lookup'!$A$2:$A$200,0)),"")</f>
        <v>CHAN Davis</v>
      </c>
    </row>
    <row r="2631" customFormat="false" ht="15" hidden="false" customHeight="false" outlineLevel="0" collapsed="false">
      <c r="A2631" s="3" t="s">
        <v>366</v>
      </c>
      <c r="B2631" s="4" t="s">
        <v>40</v>
      </c>
      <c r="C2631" s="4" t="n">
        <v>2</v>
      </c>
      <c r="D2631" s="4" t="s">
        <v>59</v>
      </c>
      <c r="E2631" s="3" t="s">
        <v>240</v>
      </c>
      <c r="F2631" s="4" t="str">
        <f aca="false">IF(I2631&gt;J2631,"Y","N")</f>
        <v>N</v>
      </c>
      <c r="G2631" s="3" t="s">
        <v>239</v>
      </c>
      <c r="H2631" s="3" t="s">
        <v>21</v>
      </c>
      <c r="I2631" s="4" t="n">
        <v>7</v>
      </c>
      <c r="J2631" s="4" t="n">
        <f aca="false">LEN(E2631)-LEN(SUBSTITUTE(E2631,",",""))+1</f>
        <v>7</v>
      </c>
      <c r="K2631" s="3" t="str">
        <f aca="false">IFERROR(INDEX('Teacher Lookup'!$B$2:$B$200,MATCH(A2631,'Teacher Lookup'!$A$2:$A$200,0)),"")</f>
        <v>CHAN Davis</v>
      </c>
    </row>
    <row r="2632" customFormat="false" ht="15" hidden="false" customHeight="false" outlineLevel="0" collapsed="false">
      <c r="A2632" s="3" t="s">
        <v>366</v>
      </c>
      <c r="B2632" s="4" t="s">
        <v>40</v>
      </c>
      <c r="C2632" s="4" t="n">
        <v>4</v>
      </c>
      <c r="D2632" s="4" t="s">
        <v>55</v>
      </c>
      <c r="E2632" s="3" t="s">
        <v>197</v>
      </c>
      <c r="F2632" s="4" t="str">
        <f aca="false">IF(I2632&gt;J2632,"Y","N")</f>
        <v>N</v>
      </c>
      <c r="G2632" s="3" t="s">
        <v>192</v>
      </c>
      <c r="H2632" s="3" t="s">
        <v>34</v>
      </c>
      <c r="I2632" s="4" t="n">
        <v>2</v>
      </c>
      <c r="J2632" s="4" t="n">
        <f aca="false">LEN(E2632)-LEN(SUBSTITUTE(E2632,",",""))+1</f>
        <v>2</v>
      </c>
      <c r="K2632" s="3" t="str">
        <f aca="false">IFERROR(INDEX('Teacher Lookup'!$B$2:$B$200,MATCH(A2632,'Teacher Lookup'!$A$2:$A$200,0)),"")</f>
        <v>CHAN Davis</v>
      </c>
    </row>
    <row r="2633" customFormat="false" ht="15" hidden="false" customHeight="false" outlineLevel="0" collapsed="false">
      <c r="A2633" s="3" t="s">
        <v>366</v>
      </c>
      <c r="B2633" s="4" t="s">
        <v>40</v>
      </c>
      <c r="C2633" s="4" t="n">
        <v>5</v>
      </c>
      <c r="D2633" s="4" t="s">
        <v>74</v>
      </c>
      <c r="E2633" s="3" t="s">
        <v>129</v>
      </c>
      <c r="F2633" s="4" t="str">
        <f aca="false">IF(I2633&gt;J2633,"Y","N")</f>
        <v>N</v>
      </c>
      <c r="G2633" s="3" t="s">
        <v>130</v>
      </c>
      <c r="H2633" s="3" t="s">
        <v>37</v>
      </c>
      <c r="I2633" s="4" t="n">
        <v>1</v>
      </c>
      <c r="J2633" s="4" t="n">
        <f aca="false">LEN(E2633)-LEN(SUBSTITUTE(E2633,",",""))+1</f>
        <v>1</v>
      </c>
      <c r="K2633" s="3" t="str">
        <f aca="false">IFERROR(INDEX('Teacher Lookup'!$B$2:$B$200,MATCH(A2633,'Teacher Lookup'!$A$2:$A$200,0)),"")</f>
        <v>CHAN Davis</v>
      </c>
    </row>
    <row r="2634" customFormat="false" ht="15" hidden="false" customHeight="false" outlineLevel="0" collapsed="false">
      <c r="A2634" s="3" t="s">
        <v>366</v>
      </c>
      <c r="B2634" s="4" t="s">
        <v>40</v>
      </c>
      <c r="C2634" s="4" t="n">
        <v>6</v>
      </c>
      <c r="D2634" s="4" t="s">
        <v>102</v>
      </c>
      <c r="E2634" s="3" t="s">
        <v>314</v>
      </c>
      <c r="F2634" s="4" t="str">
        <f aca="false">IF(I2634&gt;J2634,"Y","N")</f>
        <v>Y</v>
      </c>
      <c r="G2634" s="3" t="s">
        <v>310</v>
      </c>
      <c r="H2634" s="3" t="s">
        <v>42</v>
      </c>
      <c r="I2634" s="4" t="n">
        <v>7</v>
      </c>
      <c r="J2634" s="4" t="n">
        <f aca="false">LEN(E2634)-LEN(SUBSTITUTE(E2634,",",""))+1</f>
        <v>6</v>
      </c>
      <c r="K2634" s="3" t="str">
        <f aca="false">IFERROR(INDEX('Teacher Lookup'!$B$2:$B$200,MATCH(A2634,'Teacher Lookup'!$A$2:$A$200,0)),"")</f>
        <v>CHAN Davis</v>
      </c>
    </row>
    <row r="2635" customFormat="false" ht="15" hidden="false" customHeight="false" outlineLevel="0" collapsed="false">
      <c r="A2635" s="3" t="s">
        <v>366</v>
      </c>
      <c r="B2635" s="4" t="s">
        <v>40</v>
      </c>
      <c r="C2635" s="4" t="n">
        <v>6</v>
      </c>
      <c r="D2635" s="4" t="s">
        <v>105</v>
      </c>
      <c r="E2635" s="3" t="s">
        <v>314</v>
      </c>
      <c r="F2635" s="4" t="str">
        <f aca="false">IF(I2635&gt;J2635,"Y","N")</f>
        <v>Y</v>
      </c>
      <c r="G2635" s="3" t="s">
        <v>310</v>
      </c>
      <c r="H2635" s="3" t="s">
        <v>42</v>
      </c>
      <c r="I2635" s="4" t="n">
        <v>7</v>
      </c>
      <c r="J2635" s="4" t="n">
        <f aca="false">LEN(E2635)-LEN(SUBSTITUTE(E2635,",",""))+1</f>
        <v>6</v>
      </c>
      <c r="K2635" s="3" t="str">
        <f aca="false">IFERROR(INDEX('Teacher Lookup'!$B$2:$B$200,MATCH(A2635,'Teacher Lookup'!$A$2:$A$200,0)),"")</f>
        <v>CHAN Davis</v>
      </c>
    </row>
    <row r="2636" customFormat="false" ht="15" hidden="false" customHeight="false" outlineLevel="0" collapsed="false">
      <c r="A2636" s="3" t="s">
        <v>366</v>
      </c>
      <c r="B2636" s="4" t="s">
        <v>40</v>
      </c>
      <c r="C2636" s="4" t="n">
        <v>6</v>
      </c>
      <c r="D2636" s="4" t="s">
        <v>106</v>
      </c>
      <c r="E2636" s="3" t="s">
        <v>314</v>
      </c>
      <c r="F2636" s="4" t="str">
        <f aca="false">IF(I2636&gt;J2636,"Y","N")</f>
        <v>Y</v>
      </c>
      <c r="G2636" s="3" t="s">
        <v>310</v>
      </c>
      <c r="H2636" s="3" t="s">
        <v>42</v>
      </c>
      <c r="I2636" s="4" t="n">
        <v>7</v>
      </c>
      <c r="J2636" s="4" t="n">
        <f aca="false">LEN(E2636)-LEN(SUBSTITUTE(E2636,",",""))+1</f>
        <v>6</v>
      </c>
      <c r="K2636" s="3" t="str">
        <f aca="false">IFERROR(INDEX('Teacher Lookup'!$B$2:$B$200,MATCH(A2636,'Teacher Lookup'!$A$2:$A$200,0)),"")</f>
        <v>CHAN Davis</v>
      </c>
    </row>
    <row r="2637" customFormat="false" ht="15" hidden="false" customHeight="false" outlineLevel="0" collapsed="false">
      <c r="A2637" s="3" t="s">
        <v>366</v>
      </c>
      <c r="B2637" s="4" t="s">
        <v>40</v>
      </c>
      <c r="C2637" s="4" t="n">
        <v>6</v>
      </c>
      <c r="D2637" s="4" t="s">
        <v>107</v>
      </c>
      <c r="E2637" s="3" t="s">
        <v>314</v>
      </c>
      <c r="F2637" s="4" t="str">
        <f aca="false">IF(I2637&gt;J2637,"Y","N")</f>
        <v>Y</v>
      </c>
      <c r="G2637" s="3" t="s">
        <v>310</v>
      </c>
      <c r="H2637" s="3" t="s">
        <v>42</v>
      </c>
      <c r="I2637" s="4" t="n">
        <v>7</v>
      </c>
      <c r="J2637" s="4" t="n">
        <f aca="false">LEN(E2637)-LEN(SUBSTITUTE(E2637,",",""))+1</f>
        <v>6</v>
      </c>
      <c r="K2637" s="3" t="str">
        <f aca="false">IFERROR(INDEX('Teacher Lookup'!$B$2:$B$200,MATCH(A2637,'Teacher Lookup'!$A$2:$A$200,0)),"")</f>
        <v>CHAN Davis</v>
      </c>
    </row>
    <row r="2638" customFormat="false" ht="15" hidden="false" customHeight="false" outlineLevel="0" collapsed="false">
      <c r="A2638" s="3" t="s">
        <v>366</v>
      </c>
      <c r="B2638" s="4" t="s">
        <v>40</v>
      </c>
      <c r="C2638" s="4" t="n">
        <v>7</v>
      </c>
      <c r="D2638" s="4" t="s">
        <v>102</v>
      </c>
      <c r="E2638" s="3" t="s">
        <v>314</v>
      </c>
      <c r="F2638" s="4" t="str">
        <f aca="false">IF(I2638&gt;J2638,"Y","N")</f>
        <v>Y</v>
      </c>
      <c r="G2638" s="3" t="s">
        <v>310</v>
      </c>
      <c r="H2638" s="3" t="s">
        <v>39</v>
      </c>
      <c r="I2638" s="4" t="n">
        <v>7</v>
      </c>
      <c r="J2638" s="4" t="n">
        <f aca="false">LEN(E2638)-LEN(SUBSTITUTE(E2638,",",""))+1</f>
        <v>6</v>
      </c>
      <c r="K2638" s="3" t="str">
        <f aca="false">IFERROR(INDEX('Teacher Lookup'!$B$2:$B$200,MATCH(A2638,'Teacher Lookup'!$A$2:$A$200,0)),"")</f>
        <v>CHAN Davis</v>
      </c>
    </row>
    <row r="2639" customFormat="false" ht="15" hidden="false" customHeight="false" outlineLevel="0" collapsed="false">
      <c r="A2639" s="3" t="s">
        <v>366</v>
      </c>
      <c r="B2639" s="4" t="s">
        <v>40</v>
      </c>
      <c r="C2639" s="4" t="n">
        <v>7</v>
      </c>
      <c r="D2639" s="4" t="s">
        <v>105</v>
      </c>
      <c r="E2639" s="3" t="s">
        <v>314</v>
      </c>
      <c r="F2639" s="4" t="str">
        <f aca="false">IF(I2639&gt;J2639,"Y","N")</f>
        <v>Y</v>
      </c>
      <c r="G2639" s="3" t="s">
        <v>310</v>
      </c>
      <c r="H2639" s="3" t="s">
        <v>39</v>
      </c>
      <c r="I2639" s="4" t="n">
        <v>7</v>
      </c>
      <c r="J2639" s="4" t="n">
        <f aca="false">LEN(E2639)-LEN(SUBSTITUTE(E2639,",",""))+1</f>
        <v>6</v>
      </c>
      <c r="K2639" s="3" t="str">
        <f aca="false">IFERROR(INDEX('Teacher Lookup'!$B$2:$B$200,MATCH(A2639,'Teacher Lookup'!$A$2:$A$200,0)),"")</f>
        <v>CHAN Davis</v>
      </c>
    </row>
    <row r="2640" customFormat="false" ht="15" hidden="false" customHeight="false" outlineLevel="0" collapsed="false">
      <c r="A2640" s="3" t="s">
        <v>366</v>
      </c>
      <c r="B2640" s="4" t="s">
        <v>40</v>
      </c>
      <c r="C2640" s="4" t="n">
        <v>7</v>
      </c>
      <c r="D2640" s="4" t="s">
        <v>106</v>
      </c>
      <c r="E2640" s="3" t="s">
        <v>314</v>
      </c>
      <c r="F2640" s="4" t="str">
        <f aca="false">IF(I2640&gt;J2640,"Y","N")</f>
        <v>Y</v>
      </c>
      <c r="G2640" s="3" t="s">
        <v>310</v>
      </c>
      <c r="H2640" s="3" t="s">
        <v>39</v>
      </c>
      <c r="I2640" s="4" t="n">
        <v>7</v>
      </c>
      <c r="J2640" s="4" t="n">
        <f aca="false">LEN(E2640)-LEN(SUBSTITUTE(E2640,",",""))+1</f>
        <v>6</v>
      </c>
      <c r="K2640" s="3" t="str">
        <f aca="false">IFERROR(INDEX('Teacher Lookup'!$B$2:$B$200,MATCH(A2640,'Teacher Lookup'!$A$2:$A$200,0)),"")</f>
        <v>CHAN Davis</v>
      </c>
    </row>
    <row r="2641" customFormat="false" ht="15" hidden="false" customHeight="false" outlineLevel="0" collapsed="false">
      <c r="A2641" s="3" t="s">
        <v>366</v>
      </c>
      <c r="B2641" s="4" t="s">
        <v>40</v>
      </c>
      <c r="C2641" s="4" t="n">
        <v>7</v>
      </c>
      <c r="D2641" s="4" t="s">
        <v>107</v>
      </c>
      <c r="E2641" s="3" t="s">
        <v>314</v>
      </c>
      <c r="F2641" s="4" t="str">
        <f aca="false">IF(I2641&gt;J2641,"Y","N")</f>
        <v>Y</v>
      </c>
      <c r="G2641" s="3" t="s">
        <v>310</v>
      </c>
      <c r="H2641" s="3" t="s">
        <v>39</v>
      </c>
      <c r="I2641" s="4" t="n">
        <v>7</v>
      </c>
      <c r="J2641" s="4" t="n">
        <f aca="false">LEN(E2641)-LEN(SUBSTITUTE(E2641,",",""))+1</f>
        <v>6</v>
      </c>
      <c r="K2641" s="3" t="str">
        <f aca="false">IFERROR(INDEX('Teacher Lookup'!$B$2:$B$200,MATCH(A2641,'Teacher Lookup'!$A$2:$A$200,0)),"")</f>
        <v>CHAN Davis</v>
      </c>
    </row>
    <row r="2642" customFormat="false" ht="15" hidden="false" customHeight="false" outlineLevel="0" collapsed="false">
      <c r="A2642" s="3" t="s">
        <v>366</v>
      </c>
      <c r="B2642" s="4" t="s">
        <v>44</v>
      </c>
      <c r="C2642" s="4" t="n">
        <v>5</v>
      </c>
      <c r="D2642" s="4" t="s">
        <v>52</v>
      </c>
      <c r="E2642" s="3" t="s">
        <v>112</v>
      </c>
      <c r="F2642" s="4" t="str">
        <f aca="false">IF(I2642&gt;J2642,"Y","N")</f>
        <v>Y</v>
      </c>
      <c r="G2642" s="3" t="s">
        <v>36</v>
      </c>
      <c r="H2642" s="3" t="s">
        <v>37</v>
      </c>
      <c r="I2642" s="4" t="n">
        <v>16</v>
      </c>
      <c r="J2642" s="4" t="n">
        <f aca="false">LEN(E2642)-LEN(SUBSTITUTE(E2642,",",""))+1</f>
        <v>7</v>
      </c>
      <c r="K2642" s="3" t="str">
        <f aca="false">IFERROR(INDEX('Teacher Lookup'!$B$2:$B$200,MATCH(A2642,'Teacher Lookup'!$A$2:$A$200,0)),"")</f>
        <v>CHAN Davis</v>
      </c>
    </row>
    <row r="2643" customFormat="false" ht="15" hidden="false" customHeight="false" outlineLevel="0" collapsed="false">
      <c r="A2643" s="3" t="s">
        <v>366</v>
      </c>
      <c r="B2643" s="4" t="s">
        <v>44</v>
      </c>
      <c r="C2643" s="4" t="n">
        <v>5</v>
      </c>
      <c r="D2643" s="4" t="s">
        <v>55</v>
      </c>
      <c r="E2643" s="3" t="s">
        <v>112</v>
      </c>
      <c r="F2643" s="4" t="str">
        <f aca="false">IF(I2643&gt;J2643,"Y","N")</f>
        <v>Y</v>
      </c>
      <c r="G2643" s="3" t="s">
        <v>36</v>
      </c>
      <c r="H2643" s="3" t="s">
        <v>37</v>
      </c>
      <c r="I2643" s="4" t="n">
        <v>16</v>
      </c>
      <c r="J2643" s="4" t="n">
        <f aca="false">LEN(E2643)-LEN(SUBSTITUTE(E2643,",",""))+1</f>
        <v>7</v>
      </c>
      <c r="K2643" s="3" t="str">
        <f aca="false">IFERROR(INDEX('Teacher Lookup'!$B$2:$B$200,MATCH(A2643,'Teacher Lookup'!$A$2:$A$200,0)),"")</f>
        <v>CHAN Davis</v>
      </c>
    </row>
    <row r="2644" customFormat="false" ht="15" hidden="false" customHeight="false" outlineLevel="0" collapsed="false">
      <c r="A2644" s="3" t="s">
        <v>366</v>
      </c>
      <c r="B2644" s="4" t="s">
        <v>44</v>
      </c>
      <c r="C2644" s="4" t="n">
        <v>5</v>
      </c>
      <c r="D2644" s="4" t="s">
        <v>56</v>
      </c>
      <c r="E2644" s="3" t="s">
        <v>112</v>
      </c>
      <c r="F2644" s="4" t="str">
        <f aca="false">IF(I2644&gt;J2644,"Y","N")</f>
        <v>Y</v>
      </c>
      <c r="G2644" s="3" t="s">
        <v>36</v>
      </c>
      <c r="H2644" s="3" t="s">
        <v>37</v>
      </c>
      <c r="I2644" s="4" t="n">
        <v>16</v>
      </c>
      <c r="J2644" s="4" t="n">
        <f aca="false">LEN(E2644)-LEN(SUBSTITUTE(E2644,",",""))+1</f>
        <v>7</v>
      </c>
      <c r="K2644" s="3" t="str">
        <f aca="false">IFERROR(INDEX('Teacher Lookup'!$B$2:$B$200,MATCH(A2644,'Teacher Lookup'!$A$2:$A$200,0)),"")</f>
        <v>CHAN Davis</v>
      </c>
    </row>
    <row r="2645" customFormat="false" ht="15" hidden="false" customHeight="false" outlineLevel="0" collapsed="false">
      <c r="A2645" s="3" t="s">
        <v>366</v>
      </c>
      <c r="B2645" s="4" t="s">
        <v>44</v>
      </c>
      <c r="C2645" s="4" t="n">
        <v>5</v>
      </c>
      <c r="D2645" s="4" t="s">
        <v>57</v>
      </c>
      <c r="E2645" s="3" t="s">
        <v>112</v>
      </c>
      <c r="F2645" s="4" t="str">
        <f aca="false">IF(I2645&gt;J2645,"Y","N")</f>
        <v>Y</v>
      </c>
      <c r="G2645" s="3" t="s">
        <v>36</v>
      </c>
      <c r="H2645" s="3" t="s">
        <v>37</v>
      </c>
      <c r="I2645" s="4" t="n">
        <v>16</v>
      </c>
      <c r="J2645" s="4" t="n">
        <f aca="false">LEN(E2645)-LEN(SUBSTITUTE(E2645,",",""))+1</f>
        <v>7</v>
      </c>
      <c r="K2645" s="3" t="str">
        <f aca="false">IFERROR(INDEX('Teacher Lookup'!$B$2:$B$200,MATCH(A2645,'Teacher Lookup'!$A$2:$A$200,0)),"")</f>
        <v>CHAN Davis</v>
      </c>
    </row>
    <row r="2646" customFormat="false" ht="15" hidden="false" customHeight="false" outlineLevel="0" collapsed="false">
      <c r="A2646" s="3" t="s">
        <v>366</v>
      </c>
      <c r="B2646" s="4" t="s">
        <v>44</v>
      </c>
      <c r="C2646" s="4" t="n">
        <v>5</v>
      </c>
      <c r="D2646" s="4" t="s">
        <v>58</v>
      </c>
      <c r="E2646" s="3" t="s">
        <v>112</v>
      </c>
      <c r="F2646" s="4" t="str">
        <f aca="false">IF(I2646&gt;J2646,"Y","N")</f>
        <v>Y</v>
      </c>
      <c r="G2646" s="3" t="s">
        <v>36</v>
      </c>
      <c r="H2646" s="3" t="s">
        <v>37</v>
      </c>
      <c r="I2646" s="4" t="n">
        <v>16</v>
      </c>
      <c r="J2646" s="4" t="n">
        <f aca="false">LEN(E2646)-LEN(SUBSTITUTE(E2646,",",""))+1</f>
        <v>7</v>
      </c>
      <c r="K2646" s="3" t="str">
        <f aca="false">IFERROR(INDEX('Teacher Lookup'!$B$2:$B$200,MATCH(A2646,'Teacher Lookup'!$A$2:$A$200,0)),"")</f>
        <v>CHAN Davis</v>
      </c>
    </row>
    <row r="2647" customFormat="false" ht="15" hidden="false" customHeight="false" outlineLevel="0" collapsed="false">
      <c r="A2647" s="3" t="s">
        <v>366</v>
      </c>
      <c r="B2647" s="4" t="s">
        <v>44</v>
      </c>
      <c r="C2647" s="4" t="n">
        <v>5</v>
      </c>
      <c r="D2647" s="4" t="s">
        <v>59</v>
      </c>
      <c r="E2647" s="3" t="s">
        <v>112</v>
      </c>
      <c r="F2647" s="4" t="str">
        <f aca="false">IF(I2647&gt;J2647,"Y","N")</f>
        <v>Y</v>
      </c>
      <c r="G2647" s="3" t="s">
        <v>36</v>
      </c>
      <c r="H2647" s="3" t="s">
        <v>37</v>
      </c>
      <c r="I2647" s="4" t="n">
        <v>16</v>
      </c>
      <c r="J2647" s="4" t="n">
        <f aca="false">LEN(E2647)-LEN(SUBSTITUTE(E2647,",",""))+1</f>
        <v>7</v>
      </c>
      <c r="K2647" s="3" t="str">
        <f aca="false">IFERROR(INDEX('Teacher Lookup'!$B$2:$B$200,MATCH(A2647,'Teacher Lookup'!$A$2:$A$200,0)),"")</f>
        <v>CHAN Davis</v>
      </c>
    </row>
    <row r="2648" customFormat="false" ht="15" hidden="false" customHeight="false" outlineLevel="0" collapsed="false">
      <c r="A2648" s="3" t="s">
        <v>366</v>
      </c>
      <c r="B2648" s="4" t="s">
        <v>44</v>
      </c>
      <c r="C2648" s="4" t="n">
        <v>6</v>
      </c>
      <c r="D2648" s="4" t="s">
        <v>55</v>
      </c>
      <c r="E2648" s="3" t="s">
        <v>198</v>
      </c>
      <c r="F2648" s="4" t="str">
        <f aca="false">IF(I2648&gt;J2648,"Y","N")</f>
        <v>N</v>
      </c>
      <c r="G2648" s="3" t="s">
        <v>192</v>
      </c>
      <c r="H2648" s="3" t="s">
        <v>42</v>
      </c>
      <c r="I2648" s="4" t="n">
        <v>2</v>
      </c>
      <c r="J2648" s="4" t="n">
        <f aca="false">LEN(E2648)-LEN(SUBSTITUTE(E2648,",",""))+1</f>
        <v>2</v>
      </c>
      <c r="K2648" s="3" t="str">
        <f aca="false">IFERROR(INDEX('Teacher Lookup'!$B$2:$B$200,MATCH(A2648,'Teacher Lookup'!$A$2:$A$200,0)),"")</f>
        <v>CHAN Davis</v>
      </c>
    </row>
    <row r="2649" customFormat="false" ht="15" hidden="false" customHeight="false" outlineLevel="0" collapsed="false">
      <c r="A2649" s="3" t="s">
        <v>366</v>
      </c>
      <c r="B2649" s="4" t="s">
        <v>44</v>
      </c>
      <c r="C2649" s="4" t="n">
        <v>7</v>
      </c>
      <c r="D2649" s="4" t="s">
        <v>52</v>
      </c>
      <c r="E2649" s="3" t="s">
        <v>243</v>
      </c>
      <c r="F2649" s="4" t="str">
        <f aca="false">IF(I2649&gt;J2649,"Y","N")</f>
        <v>N</v>
      </c>
      <c r="G2649" s="3" t="s">
        <v>239</v>
      </c>
      <c r="H2649" s="3" t="s">
        <v>39</v>
      </c>
      <c r="I2649" s="4" t="n">
        <v>7</v>
      </c>
      <c r="J2649" s="4" t="n">
        <f aca="false">LEN(E2649)-LEN(SUBSTITUTE(E2649,",",""))+1</f>
        <v>7</v>
      </c>
      <c r="K2649" s="3" t="str">
        <f aca="false">IFERROR(INDEX('Teacher Lookup'!$B$2:$B$200,MATCH(A2649,'Teacher Lookup'!$A$2:$A$200,0)),"")</f>
        <v>CHAN Davis</v>
      </c>
    </row>
    <row r="2650" customFormat="false" ht="15" hidden="false" customHeight="false" outlineLevel="0" collapsed="false">
      <c r="A2650" s="3" t="s">
        <v>366</v>
      </c>
      <c r="B2650" s="4" t="s">
        <v>44</v>
      </c>
      <c r="C2650" s="4" t="n">
        <v>7</v>
      </c>
      <c r="D2650" s="4" t="s">
        <v>55</v>
      </c>
      <c r="E2650" s="3" t="s">
        <v>243</v>
      </c>
      <c r="F2650" s="4" t="str">
        <f aca="false">IF(I2650&gt;J2650,"Y","N")</f>
        <v>N</v>
      </c>
      <c r="G2650" s="3" t="s">
        <v>239</v>
      </c>
      <c r="H2650" s="3" t="s">
        <v>39</v>
      </c>
      <c r="I2650" s="4" t="n">
        <v>7</v>
      </c>
      <c r="J2650" s="4" t="n">
        <f aca="false">LEN(E2650)-LEN(SUBSTITUTE(E2650,",",""))+1</f>
        <v>7</v>
      </c>
      <c r="K2650" s="3" t="str">
        <f aca="false">IFERROR(INDEX('Teacher Lookup'!$B$2:$B$200,MATCH(A2650,'Teacher Lookup'!$A$2:$A$200,0)),"")</f>
        <v>CHAN Davis</v>
      </c>
    </row>
    <row r="2651" customFormat="false" ht="15" hidden="false" customHeight="false" outlineLevel="0" collapsed="false">
      <c r="A2651" s="3" t="s">
        <v>366</v>
      </c>
      <c r="B2651" s="4" t="s">
        <v>44</v>
      </c>
      <c r="C2651" s="4" t="n">
        <v>7</v>
      </c>
      <c r="D2651" s="4" t="s">
        <v>56</v>
      </c>
      <c r="E2651" s="3" t="s">
        <v>243</v>
      </c>
      <c r="F2651" s="4" t="str">
        <f aca="false">IF(I2651&gt;J2651,"Y","N")</f>
        <v>N</v>
      </c>
      <c r="G2651" s="3" t="s">
        <v>239</v>
      </c>
      <c r="H2651" s="3" t="s">
        <v>39</v>
      </c>
      <c r="I2651" s="4" t="n">
        <v>7</v>
      </c>
      <c r="J2651" s="4" t="n">
        <f aca="false">LEN(E2651)-LEN(SUBSTITUTE(E2651,",",""))+1</f>
        <v>7</v>
      </c>
      <c r="K2651" s="3" t="str">
        <f aca="false">IFERROR(INDEX('Teacher Lookup'!$B$2:$B$200,MATCH(A2651,'Teacher Lookup'!$A$2:$A$200,0)),"")</f>
        <v>CHAN Davis</v>
      </c>
    </row>
    <row r="2652" customFormat="false" ht="15" hidden="false" customHeight="false" outlineLevel="0" collapsed="false">
      <c r="A2652" s="3" t="s">
        <v>366</v>
      </c>
      <c r="B2652" s="4" t="s">
        <v>44</v>
      </c>
      <c r="C2652" s="4" t="n">
        <v>7</v>
      </c>
      <c r="D2652" s="4" t="s">
        <v>57</v>
      </c>
      <c r="E2652" s="3" t="s">
        <v>243</v>
      </c>
      <c r="F2652" s="4" t="str">
        <f aca="false">IF(I2652&gt;J2652,"Y","N")</f>
        <v>N</v>
      </c>
      <c r="G2652" s="3" t="s">
        <v>239</v>
      </c>
      <c r="H2652" s="3" t="s">
        <v>39</v>
      </c>
      <c r="I2652" s="4" t="n">
        <v>7</v>
      </c>
      <c r="J2652" s="4" t="n">
        <f aca="false">LEN(E2652)-LEN(SUBSTITUTE(E2652,",",""))+1</f>
        <v>7</v>
      </c>
      <c r="K2652" s="3" t="str">
        <f aca="false">IFERROR(INDEX('Teacher Lookup'!$B$2:$B$200,MATCH(A2652,'Teacher Lookup'!$A$2:$A$200,0)),"")</f>
        <v>CHAN Davis</v>
      </c>
    </row>
    <row r="2653" customFormat="false" ht="15" hidden="false" customHeight="false" outlineLevel="0" collapsed="false">
      <c r="A2653" s="3" t="s">
        <v>366</v>
      </c>
      <c r="B2653" s="4" t="s">
        <v>44</v>
      </c>
      <c r="C2653" s="4" t="n">
        <v>7</v>
      </c>
      <c r="D2653" s="4" t="s">
        <v>58</v>
      </c>
      <c r="E2653" s="3" t="s">
        <v>243</v>
      </c>
      <c r="F2653" s="4" t="str">
        <f aca="false">IF(I2653&gt;J2653,"Y","N")</f>
        <v>N</v>
      </c>
      <c r="G2653" s="3" t="s">
        <v>239</v>
      </c>
      <c r="H2653" s="3" t="s">
        <v>39</v>
      </c>
      <c r="I2653" s="4" t="n">
        <v>7</v>
      </c>
      <c r="J2653" s="4" t="n">
        <f aca="false">LEN(E2653)-LEN(SUBSTITUTE(E2653,",",""))+1</f>
        <v>7</v>
      </c>
      <c r="K2653" s="3" t="str">
        <f aca="false">IFERROR(INDEX('Teacher Lookup'!$B$2:$B$200,MATCH(A2653,'Teacher Lookup'!$A$2:$A$200,0)),"")</f>
        <v>CHAN Davis</v>
      </c>
    </row>
    <row r="2654" customFormat="false" ht="15" hidden="false" customHeight="false" outlineLevel="0" collapsed="false">
      <c r="A2654" s="3" t="s">
        <v>366</v>
      </c>
      <c r="B2654" s="4" t="s">
        <v>44</v>
      </c>
      <c r="C2654" s="4" t="n">
        <v>7</v>
      </c>
      <c r="D2654" s="4" t="s">
        <v>59</v>
      </c>
      <c r="E2654" s="3" t="s">
        <v>243</v>
      </c>
      <c r="F2654" s="4" t="str">
        <f aca="false">IF(I2654&gt;J2654,"Y","N")</f>
        <v>N</v>
      </c>
      <c r="G2654" s="3" t="s">
        <v>239</v>
      </c>
      <c r="H2654" s="3" t="s">
        <v>39</v>
      </c>
      <c r="I2654" s="4" t="n">
        <v>7</v>
      </c>
      <c r="J2654" s="4" t="n">
        <f aca="false">LEN(E2654)-LEN(SUBSTITUTE(E2654,",",""))+1</f>
        <v>7</v>
      </c>
      <c r="K2654" s="3" t="str">
        <f aca="false">IFERROR(INDEX('Teacher Lookup'!$B$2:$B$200,MATCH(A2654,'Teacher Lookup'!$A$2:$A$200,0)),"")</f>
        <v>CHAN Davis</v>
      </c>
    </row>
    <row r="2655" customFormat="false" ht="15" hidden="false" customHeight="false" outlineLevel="0" collapsed="false">
      <c r="A2655" s="3" t="s">
        <v>366</v>
      </c>
      <c r="B2655" s="4" t="s">
        <v>47</v>
      </c>
      <c r="C2655" s="4" t="n">
        <v>1</v>
      </c>
      <c r="D2655" s="4" t="s">
        <v>55</v>
      </c>
      <c r="E2655" s="3" t="s">
        <v>197</v>
      </c>
      <c r="F2655" s="4" t="str">
        <f aca="false">IF(I2655&gt;J2655,"Y","N")</f>
        <v>N</v>
      </c>
      <c r="G2655" s="3" t="s">
        <v>192</v>
      </c>
      <c r="H2655" s="3" t="s">
        <v>16</v>
      </c>
      <c r="I2655" s="4" t="n">
        <v>2</v>
      </c>
      <c r="J2655" s="4" t="n">
        <f aca="false">LEN(E2655)-LEN(SUBSTITUTE(E2655,",",""))+1</f>
        <v>2</v>
      </c>
      <c r="K2655" s="3" t="str">
        <f aca="false">IFERROR(INDEX('Teacher Lookup'!$B$2:$B$200,MATCH(A2655,'Teacher Lookup'!$A$2:$A$200,0)),"")</f>
        <v>CHAN Davis</v>
      </c>
    </row>
    <row r="2656" customFormat="false" ht="15" hidden="false" customHeight="false" outlineLevel="0" collapsed="false">
      <c r="A2656" s="3" t="s">
        <v>366</v>
      </c>
      <c r="B2656" s="4" t="s">
        <v>47</v>
      </c>
      <c r="C2656" s="4" t="n">
        <v>2</v>
      </c>
      <c r="D2656" s="4" t="s">
        <v>102</v>
      </c>
      <c r="E2656" s="3" t="s">
        <v>315</v>
      </c>
      <c r="F2656" s="4" t="str">
        <f aca="false">IF(I2656&gt;J2656,"Y","N")</f>
        <v>Y</v>
      </c>
      <c r="G2656" s="3" t="s">
        <v>310</v>
      </c>
      <c r="H2656" s="3" t="s">
        <v>21</v>
      </c>
      <c r="I2656" s="4" t="n">
        <v>7</v>
      </c>
      <c r="J2656" s="4" t="n">
        <f aca="false">LEN(E2656)-LEN(SUBSTITUTE(E2656,",",""))+1</f>
        <v>6</v>
      </c>
      <c r="K2656" s="3" t="str">
        <f aca="false">IFERROR(INDEX('Teacher Lookup'!$B$2:$B$200,MATCH(A2656,'Teacher Lookup'!$A$2:$A$200,0)),"")</f>
        <v>CHAN Davis</v>
      </c>
    </row>
    <row r="2657" customFormat="false" ht="15" hidden="false" customHeight="false" outlineLevel="0" collapsed="false">
      <c r="A2657" s="3" t="s">
        <v>366</v>
      </c>
      <c r="B2657" s="4" t="s">
        <v>47</v>
      </c>
      <c r="C2657" s="4" t="n">
        <v>2</v>
      </c>
      <c r="D2657" s="4" t="s">
        <v>105</v>
      </c>
      <c r="E2657" s="3" t="s">
        <v>315</v>
      </c>
      <c r="F2657" s="4" t="str">
        <f aca="false">IF(I2657&gt;J2657,"Y","N")</f>
        <v>Y</v>
      </c>
      <c r="G2657" s="3" t="s">
        <v>310</v>
      </c>
      <c r="H2657" s="3" t="s">
        <v>21</v>
      </c>
      <c r="I2657" s="4" t="n">
        <v>7</v>
      </c>
      <c r="J2657" s="4" t="n">
        <f aca="false">LEN(E2657)-LEN(SUBSTITUTE(E2657,",",""))+1</f>
        <v>6</v>
      </c>
      <c r="K2657" s="3" t="str">
        <f aca="false">IFERROR(INDEX('Teacher Lookup'!$B$2:$B$200,MATCH(A2657,'Teacher Lookup'!$A$2:$A$200,0)),"")</f>
        <v>CHAN Davis</v>
      </c>
    </row>
    <row r="2658" customFormat="false" ht="15" hidden="false" customHeight="false" outlineLevel="0" collapsed="false">
      <c r="A2658" s="3" t="s">
        <v>366</v>
      </c>
      <c r="B2658" s="4" t="s">
        <v>47</v>
      </c>
      <c r="C2658" s="4" t="n">
        <v>2</v>
      </c>
      <c r="D2658" s="4" t="s">
        <v>106</v>
      </c>
      <c r="E2658" s="3" t="s">
        <v>315</v>
      </c>
      <c r="F2658" s="4" t="str">
        <f aca="false">IF(I2658&gt;J2658,"Y","N")</f>
        <v>Y</v>
      </c>
      <c r="G2658" s="3" t="s">
        <v>310</v>
      </c>
      <c r="H2658" s="3" t="s">
        <v>21</v>
      </c>
      <c r="I2658" s="4" t="n">
        <v>7</v>
      </c>
      <c r="J2658" s="4" t="n">
        <f aca="false">LEN(E2658)-LEN(SUBSTITUTE(E2658,",",""))+1</f>
        <v>6</v>
      </c>
      <c r="K2658" s="3" t="str">
        <f aca="false">IFERROR(INDEX('Teacher Lookup'!$B$2:$B$200,MATCH(A2658,'Teacher Lookup'!$A$2:$A$200,0)),"")</f>
        <v>CHAN Davis</v>
      </c>
    </row>
    <row r="2659" customFormat="false" ht="15" hidden="false" customHeight="false" outlineLevel="0" collapsed="false">
      <c r="A2659" s="3" t="s">
        <v>366</v>
      </c>
      <c r="B2659" s="4" t="s">
        <v>47</v>
      </c>
      <c r="C2659" s="4" t="n">
        <v>2</v>
      </c>
      <c r="D2659" s="4" t="s">
        <v>107</v>
      </c>
      <c r="E2659" s="3" t="s">
        <v>315</v>
      </c>
      <c r="F2659" s="4" t="str">
        <f aca="false">IF(I2659&gt;J2659,"Y","N")</f>
        <v>Y</v>
      </c>
      <c r="G2659" s="3" t="s">
        <v>310</v>
      </c>
      <c r="H2659" s="3" t="s">
        <v>21</v>
      </c>
      <c r="I2659" s="4" t="n">
        <v>7</v>
      </c>
      <c r="J2659" s="4" t="n">
        <f aca="false">LEN(E2659)-LEN(SUBSTITUTE(E2659,",",""))+1</f>
        <v>6</v>
      </c>
      <c r="K2659" s="3" t="str">
        <f aca="false">IFERROR(INDEX('Teacher Lookup'!$B$2:$B$200,MATCH(A2659,'Teacher Lookup'!$A$2:$A$200,0)),"")</f>
        <v>CHAN Davis</v>
      </c>
    </row>
    <row r="2660" customFormat="false" ht="15" hidden="false" customHeight="false" outlineLevel="0" collapsed="false">
      <c r="A2660" s="3" t="s">
        <v>366</v>
      </c>
      <c r="B2660" s="4" t="s">
        <v>47</v>
      </c>
      <c r="C2660" s="4" t="n">
        <v>7</v>
      </c>
      <c r="D2660" s="4" t="s">
        <v>52</v>
      </c>
      <c r="E2660" s="3" t="s">
        <v>244</v>
      </c>
      <c r="F2660" s="4" t="str">
        <f aca="false">IF(I2660&gt;J2660,"Y","N")</f>
        <v>N</v>
      </c>
      <c r="G2660" s="3" t="s">
        <v>239</v>
      </c>
      <c r="H2660" s="3" t="s">
        <v>39</v>
      </c>
      <c r="I2660" s="4" t="n">
        <v>7</v>
      </c>
      <c r="J2660" s="4" t="n">
        <f aca="false">LEN(E2660)-LEN(SUBSTITUTE(E2660,",",""))+1</f>
        <v>7</v>
      </c>
      <c r="K2660" s="3" t="str">
        <f aca="false">IFERROR(INDEX('Teacher Lookup'!$B$2:$B$200,MATCH(A2660,'Teacher Lookup'!$A$2:$A$200,0)),"")</f>
        <v>CHAN Davis</v>
      </c>
    </row>
    <row r="2661" customFormat="false" ht="15" hidden="false" customHeight="false" outlineLevel="0" collapsed="false">
      <c r="A2661" s="3" t="s">
        <v>366</v>
      </c>
      <c r="B2661" s="4" t="s">
        <v>47</v>
      </c>
      <c r="C2661" s="4" t="n">
        <v>7</v>
      </c>
      <c r="D2661" s="4" t="s">
        <v>55</v>
      </c>
      <c r="E2661" s="3" t="s">
        <v>244</v>
      </c>
      <c r="F2661" s="4" t="str">
        <f aca="false">IF(I2661&gt;J2661,"Y","N")</f>
        <v>N</v>
      </c>
      <c r="G2661" s="3" t="s">
        <v>239</v>
      </c>
      <c r="H2661" s="3" t="s">
        <v>39</v>
      </c>
      <c r="I2661" s="4" t="n">
        <v>7</v>
      </c>
      <c r="J2661" s="4" t="n">
        <f aca="false">LEN(E2661)-LEN(SUBSTITUTE(E2661,",",""))+1</f>
        <v>7</v>
      </c>
      <c r="K2661" s="3" t="str">
        <f aca="false">IFERROR(INDEX('Teacher Lookup'!$B$2:$B$200,MATCH(A2661,'Teacher Lookup'!$A$2:$A$200,0)),"")</f>
        <v>CHAN Davis</v>
      </c>
    </row>
    <row r="2662" customFormat="false" ht="15" hidden="false" customHeight="false" outlineLevel="0" collapsed="false">
      <c r="A2662" s="3" t="s">
        <v>366</v>
      </c>
      <c r="B2662" s="4" t="s">
        <v>47</v>
      </c>
      <c r="C2662" s="4" t="n">
        <v>7</v>
      </c>
      <c r="D2662" s="4" t="s">
        <v>56</v>
      </c>
      <c r="E2662" s="3" t="s">
        <v>244</v>
      </c>
      <c r="F2662" s="4" t="str">
        <f aca="false">IF(I2662&gt;J2662,"Y","N")</f>
        <v>N</v>
      </c>
      <c r="G2662" s="3" t="s">
        <v>239</v>
      </c>
      <c r="H2662" s="3" t="s">
        <v>39</v>
      </c>
      <c r="I2662" s="4" t="n">
        <v>7</v>
      </c>
      <c r="J2662" s="4" t="n">
        <f aca="false">LEN(E2662)-LEN(SUBSTITUTE(E2662,",",""))+1</f>
        <v>7</v>
      </c>
      <c r="K2662" s="3" t="str">
        <f aca="false">IFERROR(INDEX('Teacher Lookup'!$B$2:$B$200,MATCH(A2662,'Teacher Lookup'!$A$2:$A$200,0)),"")</f>
        <v>CHAN Davis</v>
      </c>
    </row>
    <row r="2663" customFormat="false" ht="15" hidden="false" customHeight="false" outlineLevel="0" collapsed="false">
      <c r="A2663" s="3" t="s">
        <v>366</v>
      </c>
      <c r="B2663" s="4" t="s">
        <v>47</v>
      </c>
      <c r="C2663" s="4" t="n">
        <v>7</v>
      </c>
      <c r="D2663" s="4" t="s">
        <v>57</v>
      </c>
      <c r="E2663" s="3" t="s">
        <v>244</v>
      </c>
      <c r="F2663" s="4" t="str">
        <f aca="false">IF(I2663&gt;J2663,"Y","N")</f>
        <v>N</v>
      </c>
      <c r="G2663" s="3" t="s">
        <v>239</v>
      </c>
      <c r="H2663" s="3" t="s">
        <v>39</v>
      </c>
      <c r="I2663" s="4" t="n">
        <v>7</v>
      </c>
      <c r="J2663" s="4" t="n">
        <f aca="false">LEN(E2663)-LEN(SUBSTITUTE(E2663,",",""))+1</f>
        <v>7</v>
      </c>
      <c r="K2663" s="3" t="str">
        <f aca="false">IFERROR(INDEX('Teacher Lookup'!$B$2:$B$200,MATCH(A2663,'Teacher Lookup'!$A$2:$A$200,0)),"")</f>
        <v>CHAN Davis</v>
      </c>
    </row>
    <row r="2664" customFormat="false" ht="15" hidden="false" customHeight="false" outlineLevel="0" collapsed="false">
      <c r="A2664" s="3" t="s">
        <v>366</v>
      </c>
      <c r="B2664" s="4" t="s">
        <v>47</v>
      </c>
      <c r="C2664" s="4" t="n">
        <v>7</v>
      </c>
      <c r="D2664" s="4" t="s">
        <v>58</v>
      </c>
      <c r="E2664" s="3" t="s">
        <v>244</v>
      </c>
      <c r="F2664" s="4" t="str">
        <f aca="false">IF(I2664&gt;J2664,"Y","N")</f>
        <v>N</v>
      </c>
      <c r="G2664" s="3" t="s">
        <v>239</v>
      </c>
      <c r="H2664" s="3" t="s">
        <v>39</v>
      </c>
      <c r="I2664" s="4" t="n">
        <v>7</v>
      </c>
      <c r="J2664" s="4" t="n">
        <f aca="false">LEN(E2664)-LEN(SUBSTITUTE(E2664,",",""))+1</f>
        <v>7</v>
      </c>
      <c r="K2664" s="3" t="str">
        <f aca="false">IFERROR(INDEX('Teacher Lookup'!$B$2:$B$200,MATCH(A2664,'Teacher Lookup'!$A$2:$A$200,0)),"")</f>
        <v>CHAN Davis</v>
      </c>
    </row>
    <row r="2665" customFormat="false" ht="15" hidden="false" customHeight="false" outlineLevel="0" collapsed="false">
      <c r="A2665" s="3" t="s">
        <v>366</v>
      </c>
      <c r="B2665" s="4" t="s">
        <v>47</v>
      </c>
      <c r="C2665" s="4" t="n">
        <v>7</v>
      </c>
      <c r="D2665" s="4" t="s">
        <v>59</v>
      </c>
      <c r="E2665" s="3" t="s">
        <v>244</v>
      </c>
      <c r="F2665" s="4" t="str">
        <f aca="false">IF(I2665&gt;J2665,"Y","N")</f>
        <v>N</v>
      </c>
      <c r="G2665" s="3" t="s">
        <v>239</v>
      </c>
      <c r="H2665" s="3" t="s">
        <v>39</v>
      </c>
      <c r="I2665" s="4" t="n">
        <v>7</v>
      </c>
      <c r="J2665" s="4" t="n">
        <f aca="false">LEN(E2665)-LEN(SUBSTITUTE(E2665,",",""))+1</f>
        <v>7</v>
      </c>
      <c r="K2665" s="3" t="str">
        <f aca="false">IFERROR(INDEX('Teacher Lookup'!$B$2:$B$200,MATCH(A2665,'Teacher Lookup'!$A$2:$A$200,0)),"")</f>
        <v>CHAN Davis</v>
      </c>
    </row>
    <row r="2666" customFormat="false" ht="15" hidden="false" customHeight="false" outlineLevel="0" collapsed="false">
      <c r="A2666" s="3" t="s">
        <v>366</v>
      </c>
      <c r="B2666" s="4" t="s">
        <v>50</v>
      </c>
      <c r="C2666" s="4" t="n">
        <v>1</v>
      </c>
      <c r="D2666" s="4" t="s">
        <v>55</v>
      </c>
      <c r="E2666" s="3" t="s">
        <v>200</v>
      </c>
      <c r="F2666" s="4" t="str">
        <f aca="false">IF(I2666&gt;J2666,"Y","N")</f>
        <v>N</v>
      </c>
      <c r="G2666" s="3" t="s">
        <v>192</v>
      </c>
      <c r="H2666" s="3" t="s">
        <v>16</v>
      </c>
      <c r="I2666" s="4" t="n">
        <v>2</v>
      </c>
      <c r="J2666" s="4" t="n">
        <f aca="false">LEN(E2666)-LEN(SUBSTITUTE(E2666,",",""))+1</f>
        <v>2</v>
      </c>
      <c r="K2666" s="3" t="str">
        <f aca="false">IFERROR(INDEX('Teacher Lookup'!$B$2:$B$200,MATCH(A2666,'Teacher Lookup'!$A$2:$A$200,0)),"")</f>
        <v>CHAN Davis</v>
      </c>
    </row>
    <row r="2667" customFormat="false" ht="15" hidden="false" customHeight="false" outlineLevel="0" collapsed="false">
      <c r="A2667" s="3" t="s">
        <v>366</v>
      </c>
      <c r="B2667" s="4" t="s">
        <v>50</v>
      </c>
      <c r="C2667" s="4" t="n">
        <v>3</v>
      </c>
      <c r="D2667" s="4" t="s">
        <v>102</v>
      </c>
      <c r="E2667" s="3" t="s">
        <v>317</v>
      </c>
      <c r="F2667" s="4" t="str">
        <f aca="false">IF(I2667&gt;J2667,"Y","N")</f>
        <v>Y</v>
      </c>
      <c r="G2667" s="3" t="s">
        <v>310</v>
      </c>
      <c r="H2667" s="3" t="s">
        <v>26</v>
      </c>
      <c r="I2667" s="4" t="n">
        <v>7</v>
      </c>
      <c r="J2667" s="4" t="n">
        <f aca="false">LEN(E2667)-LEN(SUBSTITUTE(E2667,",",""))+1</f>
        <v>6</v>
      </c>
      <c r="K2667" s="3" t="str">
        <f aca="false">IFERROR(INDEX('Teacher Lookup'!$B$2:$B$200,MATCH(A2667,'Teacher Lookup'!$A$2:$A$200,0)),"")</f>
        <v>CHAN Davis</v>
      </c>
    </row>
    <row r="2668" customFormat="false" ht="15" hidden="false" customHeight="false" outlineLevel="0" collapsed="false">
      <c r="A2668" s="3" t="s">
        <v>366</v>
      </c>
      <c r="B2668" s="4" t="s">
        <v>50</v>
      </c>
      <c r="C2668" s="4" t="n">
        <v>3</v>
      </c>
      <c r="D2668" s="4" t="s">
        <v>105</v>
      </c>
      <c r="E2668" s="3" t="s">
        <v>317</v>
      </c>
      <c r="F2668" s="4" t="str">
        <f aca="false">IF(I2668&gt;J2668,"Y","N")</f>
        <v>Y</v>
      </c>
      <c r="G2668" s="3" t="s">
        <v>310</v>
      </c>
      <c r="H2668" s="3" t="s">
        <v>26</v>
      </c>
      <c r="I2668" s="4" t="n">
        <v>7</v>
      </c>
      <c r="J2668" s="4" t="n">
        <f aca="false">LEN(E2668)-LEN(SUBSTITUTE(E2668,",",""))+1</f>
        <v>6</v>
      </c>
      <c r="K2668" s="3" t="str">
        <f aca="false">IFERROR(INDEX('Teacher Lookup'!$B$2:$B$200,MATCH(A2668,'Teacher Lookup'!$A$2:$A$200,0)),"")</f>
        <v>CHAN Davis</v>
      </c>
    </row>
    <row r="2669" customFormat="false" ht="15" hidden="false" customHeight="false" outlineLevel="0" collapsed="false">
      <c r="A2669" s="3" t="s">
        <v>366</v>
      </c>
      <c r="B2669" s="4" t="s">
        <v>50</v>
      </c>
      <c r="C2669" s="4" t="n">
        <v>3</v>
      </c>
      <c r="D2669" s="4" t="s">
        <v>106</v>
      </c>
      <c r="E2669" s="3" t="s">
        <v>317</v>
      </c>
      <c r="F2669" s="4" t="str">
        <f aca="false">IF(I2669&gt;J2669,"Y","N")</f>
        <v>Y</v>
      </c>
      <c r="G2669" s="3" t="s">
        <v>310</v>
      </c>
      <c r="H2669" s="3" t="s">
        <v>26</v>
      </c>
      <c r="I2669" s="4" t="n">
        <v>7</v>
      </c>
      <c r="J2669" s="4" t="n">
        <f aca="false">LEN(E2669)-LEN(SUBSTITUTE(E2669,",",""))+1</f>
        <v>6</v>
      </c>
      <c r="K2669" s="3" t="str">
        <f aca="false">IFERROR(INDEX('Teacher Lookup'!$B$2:$B$200,MATCH(A2669,'Teacher Lookup'!$A$2:$A$200,0)),"")</f>
        <v>CHAN Davis</v>
      </c>
    </row>
    <row r="2670" customFormat="false" ht="15" hidden="false" customHeight="false" outlineLevel="0" collapsed="false">
      <c r="A2670" s="3" t="s">
        <v>366</v>
      </c>
      <c r="B2670" s="4" t="s">
        <v>50</v>
      </c>
      <c r="C2670" s="4" t="n">
        <v>3</v>
      </c>
      <c r="D2670" s="4" t="s">
        <v>107</v>
      </c>
      <c r="E2670" s="3" t="s">
        <v>317</v>
      </c>
      <c r="F2670" s="4" t="str">
        <f aca="false">IF(I2670&gt;J2670,"Y","N")</f>
        <v>Y</v>
      </c>
      <c r="G2670" s="3" t="s">
        <v>310</v>
      </c>
      <c r="H2670" s="3" t="s">
        <v>26</v>
      </c>
      <c r="I2670" s="4" t="n">
        <v>7</v>
      </c>
      <c r="J2670" s="4" t="n">
        <f aca="false">LEN(E2670)-LEN(SUBSTITUTE(E2670,",",""))+1</f>
        <v>6</v>
      </c>
      <c r="K2670" s="3" t="str">
        <f aca="false">IFERROR(INDEX('Teacher Lookup'!$B$2:$B$200,MATCH(A2670,'Teacher Lookup'!$A$2:$A$200,0)),"")</f>
        <v>CHAN Davis</v>
      </c>
    </row>
    <row r="2671" customFormat="false" ht="15" hidden="false" customHeight="false" outlineLevel="0" collapsed="false">
      <c r="A2671" s="3" t="s">
        <v>366</v>
      </c>
      <c r="B2671" s="4" t="s">
        <v>60</v>
      </c>
      <c r="C2671" s="4" t="n">
        <v>1</v>
      </c>
      <c r="D2671" s="4" t="s">
        <v>74</v>
      </c>
      <c r="E2671" s="3" t="s">
        <v>316</v>
      </c>
      <c r="F2671" s="4" t="str">
        <f aca="false">IF(I2671&gt;J2671,"Y","N")</f>
        <v>N</v>
      </c>
      <c r="G2671" s="3" t="s">
        <v>130</v>
      </c>
      <c r="H2671" s="3" t="s">
        <v>16</v>
      </c>
      <c r="I2671" s="4" t="n">
        <v>1</v>
      </c>
      <c r="J2671" s="4" t="n">
        <f aca="false">LEN(E2671)-LEN(SUBSTITUTE(E2671,",",""))+1</f>
        <v>1</v>
      </c>
      <c r="K2671" s="3" t="str">
        <f aca="false">IFERROR(INDEX('Teacher Lookup'!$B$2:$B$200,MATCH(A2671,'Teacher Lookup'!$A$2:$A$200,0)),"")</f>
        <v>CHAN Davis</v>
      </c>
    </row>
    <row r="2672" customFormat="false" ht="15" hidden="false" customHeight="false" outlineLevel="0" collapsed="false">
      <c r="A2672" s="3" t="s">
        <v>366</v>
      </c>
      <c r="B2672" s="4" t="s">
        <v>60</v>
      </c>
      <c r="C2672" s="4" t="n">
        <v>2</v>
      </c>
      <c r="D2672" s="4" t="s">
        <v>52</v>
      </c>
      <c r="E2672" s="3" t="s">
        <v>248</v>
      </c>
      <c r="F2672" s="4" t="str">
        <f aca="false">IF(I2672&gt;J2672,"Y","N")</f>
        <v>N</v>
      </c>
      <c r="G2672" s="3" t="s">
        <v>239</v>
      </c>
      <c r="H2672" s="3" t="s">
        <v>21</v>
      </c>
      <c r="I2672" s="4" t="n">
        <v>7</v>
      </c>
      <c r="J2672" s="4" t="n">
        <f aca="false">LEN(E2672)-LEN(SUBSTITUTE(E2672,",",""))+1</f>
        <v>7</v>
      </c>
      <c r="K2672" s="3" t="str">
        <f aca="false">IFERROR(INDEX('Teacher Lookup'!$B$2:$B$200,MATCH(A2672,'Teacher Lookup'!$A$2:$A$200,0)),"")</f>
        <v>CHAN Davis</v>
      </c>
    </row>
    <row r="2673" customFormat="false" ht="15" hidden="false" customHeight="false" outlineLevel="0" collapsed="false">
      <c r="A2673" s="3" t="s">
        <v>366</v>
      </c>
      <c r="B2673" s="4" t="s">
        <v>60</v>
      </c>
      <c r="C2673" s="4" t="n">
        <v>2</v>
      </c>
      <c r="D2673" s="4" t="s">
        <v>55</v>
      </c>
      <c r="E2673" s="3" t="s">
        <v>248</v>
      </c>
      <c r="F2673" s="4" t="str">
        <f aca="false">IF(I2673&gt;J2673,"Y","N")</f>
        <v>N</v>
      </c>
      <c r="G2673" s="3" t="s">
        <v>239</v>
      </c>
      <c r="H2673" s="3" t="s">
        <v>21</v>
      </c>
      <c r="I2673" s="4" t="n">
        <v>7</v>
      </c>
      <c r="J2673" s="4" t="n">
        <f aca="false">LEN(E2673)-LEN(SUBSTITUTE(E2673,",",""))+1</f>
        <v>7</v>
      </c>
      <c r="K2673" s="3" t="str">
        <f aca="false">IFERROR(INDEX('Teacher Lookup'!$B$2:$B$200,MATCH(A2673,'Teacher Lookup'!$A$2:$A$200,0)),"")</f>
        <v>CHAN Davis</v>
      </c>
    </row>
    <row r="2674" customFormat="false" ht="15" hidden="false" customHeight="false" outlineLevel="0" collapsed="false">
      <c r="A2674" s="3" t="s">
        <v>366</v>
      </c>
      <c r="B2674" s="4" t="s">
        <v>60</v>
      </c>
      <c r="C2674" s="4" t="n">
        <v>2</v>
      </c>
      <c r="D2674" s="4" t="s">
        <v>56</v>
      </c>
      <c r="E2674" s="3" t="s">
        <v>248</v>
      </c>
      <c r="F2674" s="4" t="str">
        <f aca="false">IF(I2674&gt;J2674,"Y","N")</f>
        <v>N</v>
      </c>
      <c r="G2674" s="3" t="s">
        <v>239</v>
      </c>
      <c r="H2674" s="3" t="s">
        <v>21</v>
      </c>
      <c r="I2674" s="4" t="n">
        <v>7</v>
      </c>
      <c r="J2674" s="4" t="n">
        <f aca="false">LEN(E2674)-LEN(SUBSTITUTE(E2674,",",""))+1</f>
        <v>7</v>
      </c>
      <c r="K2674" s="3" t="str">
        <f aca="false">IFERROR(INDEX('Teacher Lookup'!$B$2:$B$200,MATCH(A2674,'Teacher Lookup'!$A$2:$A$200,0)),"")</f>
        <v>CHAN Davis</v>
      </c>
    </row>
    <row r="2675" customFormat="false" ht="15" hidden="false" customHeight="false" outlineLevel="0" collapsed="false">
      <c r="A2675" s="3" t="s">
        <v>366</v>
      </c>
      <c r="B2675" s="4" t="s">
        <v>60</v>
      </c>
      <c r="C2675" s="4" t="n">
        <v>2</v>
      </c>
      <c r="D2675" s="4" t="s">
        <v>57</v>
      </c>
      <c r="E2675" s="3" t="s">
        <v>248</v>
      </c>
      <c r="F2675" s="4" t="str">
        <f aca="false">IF(I2675&gt;J2675,"Y","N")</f>
        <v>N</v>
      </c>
      <c r="G2675" s="3" t="s">
        <v>239</v>
      </c>
      <c r="H2675" s="3" t="s">
        <v>21</v>
      </c>
      <c r="I2675" s="4" t="n">
        <v>7</v>
      </c>
      <c r="J2675" s="4" t="n">
        <f aca="false">LEN(E2675)-LEN(SUBSTITUTE(E2675,",",""))+1</f>
        <v>7</v>
      </c>
      <c r="K2675" s="3" t="str">
        <f aca="false">IFERROR(INDEX('Teacher Lookup'!$B$2:$B$200,MATCH(A2675,'Teacher Lookup'!$A$2:$A$200,0)),"")</f>
        <v>CHAN Davis</v>
      </c>
    </row>
    <row r="2676" customFormat="false" ht="15" hidden="false" customHeight="false" outlineLevel="0" collapsed="false">
      <c r="A2676" s="3" t="s">
        <v>366</v>
      </c>
      <c r="B2676" s="4" t="s">
        <v>60</v>
      </c>
      <c r="C2676" s="4" t="n">
        <v>2</v>
      </c>
      <c r="D2676" s="4" t="s">
        <v>58</v>
      </c>
      <c r="E2676" s="3" t="s">
        <v>248</v>
      </c>
      <c r="F2676" s="4" t="str">
        <f aca="false">IF(I2676&gt;J2676,"Y","N")</f>
        <v>N</v>
      </c>
      <c r="G2676" s="3" t="s">
        <v>239</v>
      </c>
      <c r="H2676" s="3" t="s">
        <v>21</v>
      </c>
      <c r="I2676" s="4" t="n">
        <v>7</v>
      </c>
      <c r="J2676" s="4" t="n">
        <f aca="false">LEN(E2676)-LEN(SUBSTITUTE(E2676,",",""))+1</f>
        <v>7</v>
      </c>
      <c r="K2676" s="3" t="str">
        <f aca="false">IFERROR(INDEX('Teacher Lookup'!$B$2:$B$200,MATCH(A2676,'Teacher Lookup'!$A$2:$A$200,0)),"")</f>
        <v>CHAN Davis</v>
      </c>
    </row>
    <row r="2677" customFormat="false" ht="15" hidden="false" customHeight="false" outlineLevel="0" collapsed="false">
      <c r="A2677" s="3" t="s">
        <v>366</v>
      </c>
      <c r="B2677" s="4" t="s">
        <v>60</v>
      </c>
      <c r="C2677" s="4" t="n">
        <v>2</v>
      </c>
      <c r="D2677" s="4" t="s">
        <v>59</v>
      </c>
      <c r="E2677" s="3" t="s">
        <v>248</v>
      </c>
      <c r="F2677" s="4" t="str">
        <f aca="false">IF(I2677&gt;J2677,"Y","N")</f>
        <v>N</v>
      </c>
      <c r="G2677" s="3" t="s">
        <v>239</v>
      </c>
      <c r="H2677" s="3" t="s">
        <v>21</v>
      </c>
      <c r="I2677" s="4" t="n">
        <v>7</v>
      </c>
      <c r="J2677" s="4" t="n">
        <f aca="false">LEN(E2677)-LEN(SUBSTITUTE(E2677,",",""))+1</f>
        <v>7</v>
      </c>
      <c r="K2677" s="3" t="str">
        <f aca="false">IFERROR(INDEX('Teacher Lookup'!$B$2:$B$200,MATCH(A2677,'Teacher Lookup'!$A$2:$A$200,0)),"")</f>
        <v>CHAN Davis</v>
      </c>
    </row>
    <row r="2678" customFormat="false" ht="15" hidden="false" customHeight="false" outlineLevel="0" collapsed="false">
      <c r="A2678" s="3" t="s">
        <v>366</v>
      </c>
      <c r="B2678" s="4" t="s">
        <v>60</v>
      </c>
      <c r="C2678" s="4" t="n">
        <v>4</v>
      </c>
      <c r="D2678" s="4" t="s">
        <v>102</v>
      </c>
      <c r="E2678" s="3" t="s">
        <v>318</v>
      </c>
      <c r="F2678" s="4" t="str">
        <f aca="false">IF(I2678&gt;J2678,"Y","N")</f>
        <v>Y</v>
      </c>
      <c r="G2678" s="3" t="s">
        <v>310</v>
      </c>
      <c r="H2678" s="3" t="s">
        <v>34</v>
      </c>
      <c r="I2678" s="4" t="n">
        <v>7</v>
      </c>
      <c r="J2678" s="4" t="n">
        <f aca="false">LEN(E2678)-LEN(SUBSTITUTE(E2678,",",""))+1</f>
        <v>6</v>
      </c>
      <c r="K2678" s="3" t="str">
        <f aca="false">IFERROR(INDEX('Teacher Lookup'!$B$2:$B$200,MATCH(A2678,'Teacher Lookup'!$A$2:$A$200,0)),"")</f>
        <v>CHAN Davis</v>
      </c>
    </row>
    <row r="2679" customFormat="false" ht="15" hidden="false" customHeight="false" outlineLevel="0" collapsed="false">
      <c r="A2679" s="3" t="s">
        <v>366</v>
      </c>
      <c r="B2679" s="4" t="s">
        <v>60</v>
      </c>
      <c r="C2679" s="4" t="n">
        <v>4</v>
      </c>
      <c r="D2679" s="4" t="s">
        <v>105</v>
      </c>
      <c r="E2679" s="3" t="s">
        <v>318</v>
      </c>
      <c r="F2679" s="4" t="str">
        <f aca="false">IF(I2679&gt;J2679,"Y","N")</f>
        <v>Y</v>
      </c>
      <c r="G2679" s="3" t="s">
        <v>310</v>
      </c>
      <c r="H2679" s="3" t="s">
        <v>34</v>
      </c>
      <c r="I2679" s="4" t="n">
        <v>7</v>
      </c>
      <c r="J2679" s="4" t="n">
        <f aca="false">LEN(E2679)-LEN(SUBSTITUTE(E2679,",",""))+1</f>
        <v>6</v>
      </c>
      <c r="K2679" s="3" t="str">
        <f aca="false">IFERROR(INDEX('Teacher Lookup'!$B$2:$B$200,MATCH(A2679,'Teacher Lookup'!$A$2:$A$200,0)),"")</f>
        <v>CHAN Davis</v>
      </c>
    </row>
    <row r="2680" customFormat="false" ht="15" hidden="false" customHeight="false" outlineLevel="0" collapsed="false">
      <c r="A2680" s="3" t="s">
        <v>366</v>
      </c>
      <c r="B2680" s="4" t="s">
        <v>60</v>
      </c>
      <c r="C2680" s="4" t="n">
        <v>4</v>
      </c>
      <c r="D2680" s="4" t="s">
        <v>106</v>
      </c>
      <c r="E2680" s="3" t="s">
        <v>318</v>
      </c>
      <c r="F2680" s="4" t="str">
        <f aca="false">IF(I2680&gt;J2680,"Y","N")</f>
        <v>Y</v>
      </c>
      <c r="G2680" s="3" t="s">
        <v>310</v>
      </c>
      <c r="H2680" s="3" t="s">
        <v>34</v>
      </c>
      <c r="I2680" s="4" t="n">
        <v>7</v>
      </c>
      <c r="J2680" s="4" t="n">
        <f aca="false">LEN(E2680)-LEN(SUBSTITUTE(E2680,",",""))+1</f>
        <v>6</v>
      </c>
      <c r="K2680" s="3" t="str">
        <f aca="false">IFERROR(INDEX('Teacher Lookup'!$B$2:$B$200,MATCH(A2680,'Teacher Lookup'!$A$2:$A$200,0)),"")</f>
        <v>CHAN Davis</v>
      </c>
    </row>
    <row r="2681" customFormat="false" ht="15" hidden="false" customHeight="false" outlineLevel="0" collapsed="false">
      <c r="A2681" s="3" t="s">
        <v>366</v>
      </c>
      <c r="B2681" s="4" t="s">
        <v>60</v>
      </c>
      <c r="C2681" s="4" t="n">
        <v>4</v>
      </c>
      <c r="D2681" s="4" t="s">
        <v>107</v>
      </c>
      <c r="E2681" s="3" t="s">
        <v>318</v>
      </c>
      <c r="F2681" s="4" t="str">
        <f aca="false">IF(I2681&gt;J2681,"Y","N")</f>
        <v>Y</v>
      </c>
      <c r="G2681" s="3" t="s">
        <v>310</v>
      </c>
      <c r="H2681" s="3" t="s">
        <v>34</v>
      </c>
      <c r="I2681" s="4" t="n">
        <v>7</v>
      </c>
      <c r="J2681" s="4" t="n">
        <f aca="false">LEN(E2681)-LEN(SUBSTITUTE(E2681,",",""))+1</f>
        <v>6</v>
      </c>
      <c r="K2681" s="3" t="str">
        <f aca="false">IFERROR(INDEX('Teacher Lookup'!$B$2:$B$200,MATCH(A2681,'Teacher Lookup'!$A$2:$A$200,0)),"")</f>
        <v>CHAN Davis</v>
      </c>
    </row>
    <row r="2682" customFormat="false" ht="15" hidden="false" customHeight="false" outlineLevel="0" collapsed="false">
      <c r="A2682" s="3" t="s">
        <v>366</v>
      </c>
      <c r="B2682" s="4" t="s">
        <v>60</v>
      </c>
      <c r="C2682" s="4" t="n">
        <v>5</v>
      </c>
      <c r="D2682" s="4" t="s">
        <v>52</v>
      </c>
      <c r="E2682" s="3" t="s">
        <v>112</v>
      </c>
      <c r="F2682" s="4" t="str">
        <f aca="false">IF(I2682&gt;J2682,"Y","N")</f>
        <v>Y</v>
      </c>
      <c r="G2682" s="3" t="s">
        <v>36</v>
      </c>
      <c r="H2682" s="3" t="s">
        <v>37</v>
      </c>
      <c r="I2682" s="4" t="n">
        <v>16</v>
      </c>
      <c r="J2682" s="4" t="n">
        <f aca="false">LEN(E2682)-LEN(SUBSTITUTE(E2682,",",""))+1</f>
        <v>7</v>
      </c>
      <c r="K2682" s="3" t="str">
        <f aca="false">IFERROR(INDEX('Teacher Lookup'!$B$2:$B$200,MATCH(A2682,'Teacher Lookup'!$A$2:$A$200,0)),"")</f>
        <v>CHAN Davis</v>
      </c>
    </row>
    <row r="2683" customFormat="false" ht="15" hidden="false" customHeight="false" outlineLevel="0" collapsed="false">
      <c r="A2683" s="3" t="s">
        <v>366</v>
      </c>
      <c r="B2683" s="4" t="s">
        <v>60</v>
      </c>
      <c r="C2683" s="4" t="n">
        <v>5</v>
      </c>
      <c r="D2683" s="4" t="s">
        <v>55</v>
      </c>
      <c r="E2683" s="3" t="s">
        <v>112</v>
      </c>
      <c r="F2683" s="4" t="str">
        <f aca="false">IF(I2683&gt;J2683,"Y","N")</f>
        <v>Y</v>
      </c>
      <c r="G2683" s="3" t="s">
        <v>36</v>
      </c>
      <c r="H2683" s="3" t="s">
        <v>37</v>
      </c>
      <c r="I2683" s="4" t="n">
        <v>16</v>
      </c>
      <c r="J2683" s="4" t="n">
        <f aca="false">LEN(E2683)-LEN(SUBSTITUTE(E2683,",",""))+1</f>
        <v>7</v>
      </c>
      <c r="K2683" s="3" t="str">
        <f aca="false">IFERROR(INDEX('Teacher Lookup'!$B$2:$B$200,MATCH(A2683,'Teacher Lookup'!$A$2:$A$200,0)),"")</f>
        <v>CHAN Davis</v>
      </c>
    </row>
    <row r="2684" customFormat="false" ht="15" hidden="false" customHeight="false" outlineLevel="0" collapsed="false">
      <c r="A2684" s="3" t="s">
        <v>366</v>
      </c>
      <c r="B2684" s="4" t="s">
        <v>60</v>
      </c>
      <c r="C2684" s="4" t="n">
        <v>5</v>
      </c>
      <c r="D2684" s="4" t="s">
        <v>56</v>
      </c>
      <c r="E2684" s="3" t="s">
        <v>112</v>
      </c>
      <c r="F2684" s="4" t="str">
        <f aca="false">IF(I2684&gt;J2684,"Y","N")</f>
        <v>Y</v>
      </c>
      <c r="G2684" s="3" t="s">
        <v>36</v>
      </c>
      <c r="H2684" s="3" t="s">
        <v>37</v>
      </c>
      <c r="I2684" s="4" t="n">
        <v>16</v>
      </c>
      <c r="J2684" s="4" t="n">
        <f aca="false">LEN(E2684)-LEN(SUBSTITUTE(E2684,",",""))+1</f>
        <v>7</v>
      </c>
      <c r="K2684" s="3" t="str">
        <f aca="false">IFERROR(INDEX('Teacher Lookup'!$B$2:$B$200,MATCH(A2684,'Teacher Lookup'!$A$2:$A$200,0)),"")</f>
        <v>CHAN Davis</v>
      </c>
    </row>
    <row r="2685" customFormat="false" ht="15" hidden="false" customHeight="false" outlineLevel="0" collapsed="false">
      <c r="A2685" s="3" t="s">
        <v>366</v>
      </c>
      <c r="B2685" s="4" t="s">
        <v>60</v>
      </c>
      <c r="C2685" s="4" t="n">
        <v>5</v>
      </c>
      <c r="D2685" s="4" t="s">
        <v>57</v>
      </c>
      <c r="E2685" s="3" t="s">
        <v>112</v>
      </c>
      <c r="F2685" s="4" t="str">
        <f aca="false">IF(I2685&gt;J2685,"Y","N")</f>
        <v>Y</v>
      </c>
      <c r="G2685" s="3" t="s">
        <v>36</v>
      </c>
      <c r="H2685" s="3" t="s">
        <v>37</v>
      </c>
      <c r="I2685" s="4" t="n">
        <v>16</v>
      </c>
      <c r="J2685" s="4" t="n">
        <f aca="false">LEN(E2685)-LEN(SUBSTITUTE(E2685,",",""))+1</f>
        <v>7</v>
      </c>
      <c r="K2685" s="3" t="str">
        <f aca="false">IFERROR(INDEX('Teacher Lookup'!$B$2:$B$200,MATCH(A2685,'Teacher Lookup'!$A$2:$A$200,0)),"")</f>
        <v>CHAN Davis</v>
      </c>
    </row>
    <row r="2686" customFormat="false" ht="15" hidden="false" customHeight="false" outlineLevel="0" collapsed="false">
      <c r="A2686" s="3" t="s">
        <v>366</v>
      </c>
      <c r="B2686" s="4" t="s">
        <v>60</v>
      </c>
      <c r="C2686" s="4" t="n">
        <v>5</v>
      </c>
      <c r="D2686" s="4" t="s">
        <v>58</v>
      </c>
      <c r="E2686" s="3" t="s">
        <v>112</v>
      </c>
      <c r="F2686" s="4" t="str">
        <f aca="false">IF(I2686&gt;J2686,"Y","N")</f>
        <v>Y</v>
      </c>
      <c r="G2686" s="3" t="s">
        <v>36</v>
      </c>
      <c r="H2686" s="3" t="s">
        <v>37</v>
      </c>
      <c r="I2686" s="4" t="n">
        <v>16</v>
      </c>
      <c r="J2686" s="4" t="n">
        <f aca="false">LEN(E2686)-LEN(SUBSTITUTE(E2686,",",""))+1</f>
        <v>7</v>
      </c>
      <c r="K2686" s="3" t="str">
        <f aca="false">IFERROR(INDEX('Teacher Lookup'!$B$2:$B$200,MATCH(A2686,'Teacher Lookup'!$A$2:$A$200,0)),"")</f>
        <v>CHAN Davis</v>
      </c>
    </row>
    <row r="2687" customFormat="false" ht="15" hidden="false" customHeight="false" outlineLevel="0" collapsed="false">
      <c r="A2687" s="3" t="s">
        <v>366</v>
      </c>
      <c r="B2687" s="4" t="s">
        <v>60</v>
      </c>
      <c r="C2687" s="4" t="n">
        <v>5</v>
      </c>
      <c r="D2687" s="4" t="s">
        <v>59</v>
      </c>
      <c r="E2687" s="3" t="s">
        <v>112</v>
      </c>
      <c r="F2687" s="4" t="str">
        <f aca="false">IF(I2687&gt;J2687,"Y","N")</f>
        <v>Y</v>
      </c>
      <c r="G2687" s="3" t="s">
        <v>36</v>
      </c>
      <c r="H2687" s="3" t="s">
        <v>37</v>
      </c>
      <c r="I2687" s="4" t="n">
        <v>16</v>
      </c>
      <c r="J2687" s="4" t="n">
        <f aca="false">LEN(E2687)-LEN(SUBSTITUTE(E2687,",",""))+1</f>
        <v>7</v>
      </c>
      <c r="K2687" s="3" t="str">
        <f aca="false">IFERROR(INDEX('Teacher Lookup'!$B$2:$B$200,MATCH(A2687,'Teacher Lookup'!$A$2:$A$200,0)),"")</f>
        <v>CHAN Davis</v>
      </c>
    </row>
    <row r="2688" customFormat="false" ht="15" hidden="false" customHeight="false" outlineLevel="0" collapsed="false">
      <c r="A2688" s="3" t="s">
        <v>366</v>
      </c>
      <c r="B2688" s="4" t="s">
        <v>63</v>
      </c>
      <c r="C2688" s="4" t="n">
        <v>6</v>
      </c>
      <c r="D2688" s="4" t="s">
        <v>52</v>
      </c>
      <c r="E2688" s="3" t="s">
        <v>249</v>
      </c>
      <c r="F2688" s="4" t="str">
        <f aca="false">IF(I2688&gt;J2688,"Y","N")</f>
        <v>N</v>
      </c>
      <c r="G2688" s="3" t="s">
        <v>239</v>
      </c>
      <c r="H2688" s="3" t="s">
        <v>42</v>
      </c>
      <c r="I2688" s="4" t="n">
        <v>7</v>
      </c>
      <c r="J2688" s="4" t="n">
        <f aca="false">LEN(E2688)-LEN(SUBSTITUTE(E2688,",",""))+1</f>
        <v>7</v>
      </c>
      <c r="K2688" s="3" t="str">
        <f aca="false">IFERROR(INDEX('Teacher Lookup'!$B$2:$B$200,MATCH(A2688,'Teacher Lookup'!$A$2:$A$200,0)),"")</f>
        <v>CHAN Davis</v>
      </c>
    </row>
    <row r="2689" customFormat="false" ht="15" hidden="false" customHeight="false" outlineLevel="0" collapsed="false">
      <c r="A2689" s="3" t="s">
        <v>366</v>
      </c>
      <c r="B2689" s="4" t="s">
        <v>63</v>
      </c>
      <c r="C2689" s="4" t="n">
        <v>6</v>
      </c>
      <c r="D2689" s="4" t="s">
        <v>55</v>
      </c>
      <c r="E2689" s="3" t="s">
        <v>249</v>
      </c>
      <c r="F2689" s="4" t="str">
        <f aca="false">IF(I2689&gt;J2689,"Y","N")</f>
        <v>N</v>
      </c>
      <c r="G2689" s="3" t="s">
        <v>239</v>
      </c>
      <c r="H2689" s="3" t="s">
        <v>42</v>
      </c>
      <c r="I2689" s="4" t="n">
        <v>7</v>
      </c>
      <c r="J2689" s="4" t="n">
        <f aca="false">LEN(E2689)-LEN(SUBSTITUTE(E2689,",",""))+1</f>
        <v>7</v>
      </c>
      <c r="K2689" s="3" t="str">
        <f aca="false">IFERROR(INDEX('Teacher Lookup'!$B$2:$B$200,MATCH(A2689,'Teacher Lookup'!$A$2:$A$200,0)),"")</f>
        <v>CHAN Davis</v>
      </c>
    </row>
    <row r="2690" customFormat="false" ht="15" hidden="false" customHeight="false" outlineLevel="0" collapsed="false">
      <c r="A2690" s="3" t="s">
        <v>366</v>
      </c>
      <c r="B2690" s="4" t="s">
        <v>63</v>
      </c>
      <c r="C2690" s="4" t="n">
        <v>6</v>
      </c>
      <c r="D2690" s="4" t="s">
        <v>56</v>
      </c>
      <c r="E2690" s="3" t="s">
        <v>249</v>
      </c>
      <c r="F2690" s="4" t="str">
        <f aca="false">IF(I2690&gt;J2690,"Y","N")</f>
        <v>N</v>
      </c>
      <c r="G2690" s="3" t="s">
        <v>239</v>
      </c>
      <c r="H2690" s="3" t="s">
        <v>42</v>
      </c>
      <c r="I2690" s="4" t="n">
        <v>7</v>
      </c>
      <c r="J2690" s="4" t="n">
        <f aca="false">LEN(E2690)-LEN(SUBSTITUTE(E2690,",",""))+1</f>
        <v>7</v>
      </c>
      <c r="K2690" s="3" t="str">
        <f aca="false">IFERROR(INDEX('Teacher Lookup'!$B$2:$B$200,MATCH(A2690,'Teacher Lookup'!$A$2:$A$200,0)),"")</f>
        <v>CHAN Davis</v>
      </c>
    </row>
    <row r="2691" customFormat="false" ht="15" hidden="false" customHeight="false" outlineLevel="0" collapsed="false">
      <c r="A2691" s="3" t="s">
        <v>366</v>
      </c>
      <c r="B2691" s="4" t="s">
        <v>63</v>
      </c>
      <c r="C2691" s="4" t="n">
        <v>6</v>
      </c>
      <c r="D2691" s="4" t="s">
        <v>57</v>
      </c>
      <c r="E2691" s="3" t="s">
        <v>249</v>
      </c>
      <c r="F2691" s="4" t="str">
        <f aca="false">IF(I2691&gt;J2691,"Y","N")</f>
        <v>N</v>
      </c>
      <c r="G2691" s="3" t="s">
        <v>239</v>
      </c>
      <c r="H2691" s="3" t="s">
        <v>42</v>
      </c>
      <c r="I2691" s="4" t="n">
        <v>7</v>
      </c>
      <c r="J2691" s="4" t="n">
        <f aca="false">LEN(E2691)-LEN(SUBSTITUTE(E2691,",",""))+1</f>
        <v>7</v>
      </c>
      <c r="K2691" s="3" t="str">
        <f aca="false">IFERROR(INDEX('Teacher Lookup'!$B$2:$B$200,MATCH(A2691,'Teacher Lookup'!$A$2:$A$200,0)),"")</f>
        <v>CHAN Davis</v>
      </c>
    </row>
    <row r="2692" customFormat="false" ht="15" hidden="false" customHeight="false" outlineLevel="0" collapsed="false">
      <c r="A2692" s="3" t="s">
        <v>366</v>
      </c>
      <c r="B2692" s="4" t="s">
        <v>63</v>
      </c>
      <c r="C2692" s="4" t="n">
        <v>6</v>
      </c>
      <c r="D2692" s="4" t="s">
        <v>58</v>
      </c>
      <c r="E2692" s="3" t="s">
        <v>249</v>
      </c>
      <c r="F2692" s="4" t="str">
        <f aca="false">IF(I2692&gt;J2692,"Y","N")</f>
        <v>N</v>
      </c>
      <c r="G2692" s="3" t="s">
        <v>239</v>
      </c>
      <c r="H2692" s="3" t="s">
        <v>42</v>
      </c>
      <c r="I2692" s="4" t="n">
        <v>7</v>
      </c>
      <c r="J2692" s="4" t="n">
        <f aca="false">LEN(E2692)-LEN(SUBSTITUTE(E2692,",",""))+1</f>
        <v>7</v>
      </c>
      <c r="K2692" s="3" t="str">
        <f aca="false">IFERROR(INDEX('Teacher Lookup'!$B$2:$B$200,MATCH(A2692,'Teacher Lookup'!$A$2:$A$200,0)),"")</f>
        <v>CHAN Davis</v>
      </c>
    </row>
    <row r="2693" customFormat="false" ht="15" hidden="false" customHeight="false" outlineLevel="0" collapsed="false">
      <c r="A2693" s="3" t="s">
        <v>366</v>
      </c>
      <c r="B2693" s="4" t="s">
        <v>63</v>
      </c>
      <c r="C2693" s="4" t="n">
        <v>6</v>
      </c>
      <c r="D2693" s="4" t="s">
        <v>59</v>
      </c>
      <c r="E2693" s="3" t="s">
        <v>249</v>
      </c>
      <c r="F2693" s="4" t="str">
        <f aca="false">IF(I2693&gt;J2693,"Y","N")</f>
        <v>N</v>
      </c>
      <c r="G2693" s="3" t="s">
        <v>239</v>
      </c>
      <c r="H2693" s="3" t="s">
        <v>42</v>
      </c>
      <c r="I2693" s="4" t="n">
        <v>7</v>
      </c>
      <c r="J2693" s="4" t="n">
        <f aca="false">LEN(E2693)-LEN(SUBSTITUTE(E2693,",",""))+1</f>
        <v>7</v>
      </c>
      <c r="K2693" s="3" t="str">
        <f aca="false">IFERROR(INDEX('Teacher Lookup'!$B$2:$B$200,MATCH(A2693,'Teacher Lookup'!$A$2:$A$200,0)),"")</f>
        <v>CHAN Davis</v>
      </c>
    </row>
    <row r="2694" customFormat="false" ht="15" hidden="false" customHeight="false" outlineLevel="0" collapsed="false">
      <c r="A2694" s="3" t="s">
        <v>366</v>
      </c>
      <c r="B2694" s="4" t="s">
        <v>63</v>
      </c>
      <c r="C2694" s="4" t="n">
        <v>7</v>
      </c>
      <c r="D2694" s="4" t="s">
        <v>102</v>
      </c>
      <c r="E2694" s="3" t="s">
        <v>319</v>
      </c>
      <c r="F2694" s="4" t="str">
        <f aca="false">IF(I2694&gt;J2694,"Y","N")</f>
        <v>Y</v>
      </c>
      <c r="G2694" s="3" t="s">
        <v>310</v>
      </c>
      <c r="H2694" s="3" t="s">
        <v>39</v>
      </c>
      <c r="I2694" s="4" t="n">
        <v>7</v>
      </c>
      <c r="J2694" s="4" t="n">
        <f aca="false">LEN(E2694)-LEN(SUBSTITUTE(E2694,",",""))+1</f>
        <v>6</v>
      </c>
      <c r="K2694" s="3" t="str">
        <f aca="false">IFERROR(INDEX('Teacher Lookup'!$B$2:$B$200,MATCH(A2694,'Teacher Lookup'!$A$2:$A$200,0)),"")</f>
        <v>CHAN Davis</v>
      </c>
    </row>
    <row r="2695" customFormat="false" ht="15" hidden="false" customHeight="false" outlineLevel="0" collapsed="false">
      <c r="A2695" s="3" t="s">
        <v>366</v>
      </c>
      <c r="B2695" s="4" t="s">
        <v>63</v>
      </c>
      <c r="C2695" s="4" t="n">
        <v>7</v>
      </c>
      <c r="D2695" s="4" t="s">
        <v>105</v>
      </c>
      <c r="E2695" s="3" t="s">
        <v>319</v>
      </c>
      <c r="F2695" s="4" t="str">
        <f aca="false">IF(I2695&gt;J2695,"Y","N")</f>
        <v>Y</v>
      </c>
      <c r="G2695" s="3" t="s">
        <v>310</v>
      </c>
      <c r="H2695" s="3" t="s">
        <v>39</v>
      </c>
      <c r="I2695" s="4" t="n">
        <v>7</v>
      </c>
      <c r="J2695" s="4" t="n">
        <f aca="false">LEN(E2695)-LEN(SUBSTITUTE(E2695,",",""))+1</f>
        <v>6</v>
      </c>
      <c r="K2695" s="3" t="str">
        <f aca="false">IFERROR(INDEX('Teacher Lookup'!$B$2:$B$200,MATCH(A2695,'Teacher Lookup'!$A$2:$A$200,0)),"")</f>
        <v>CHAN Davis</v>
      </c>
    </row>
    <row r="2696" customFormat="false" ht="15" hidden="false" customHeight="false" outlineLevel="0" collapsed="false">
      <c r="A2696" s="3" t="s">
        <v>366</v>
      </c>
      <c r="B2696" s="4" t="s">
        <v>63</v>
      </c>
      <c r="C2696" s="4" t="n">
        <v>7</v>
      </c>
      <c r="D2696" s="4" t="s">
        <v>106</v>
      </c>
      <c r="E2696" s="3" t="s">
        <v>319</v>
      </c>
      <c r="F2696" s="4" t="str">
        <f aca="false">IF(I2696&gt;J2696,"Y","N")</f>
        <v>Y</v>
      </c>
      <c r="G2696" s="3" t="s">
        <v>310</v>
      </c>
      <c r="H2696" s="3" t="s">
        <v>39</v>
      </c>
      <c r="I2696" s="4" t="n">
        <v>7</v>
      </c>
      <c r="J2696" s="4" t="n">
        <f aca="false">LEN(E2696)-LEN(SUBSTITUTE(E2696,",",""))+1</f>
        <v>6</v>
      </c>
      <c r="K2696" s="3" t="str">
        <f aca="false">IFERROR(INDEX('Teacher Lookup'!$B$2:$B$200,MATCH(A2696,'Teacher Lookup'!$A$2:$A$200,0)),"")</f>
        <v>CHAN Davis</v>
      </c>
    </row>
    <row r="2697" customFormat="false" ht="15" hidden="false" customHeight="false" outlineLevel="0" collapsed="false">
      <c r="A2697" s="3" t="s">
        <v>366</v>
      </c>
      <c r="B2697" s="4" t="s">
        <v>63</v>
      </c>
      <c r="C2697" s="4" t="n">
        <v>7</v>
      </c>
      <c r="D2697" s="4" t="s">
        <v>107</v>
      </c>
      <c r="E2697" s="3" t="s">
        <v>319</v>
      </c>
      <c r="F2697" s="4" t="str">
        <f aca="false">IF(I2697&gt;J2697,"Y","N")</f>
        <v>Y</v>
      </c>
      <c r="G2697" s="3" t="s">
        <v>310</v>
      </c>
      <c r="H2697" s="3" t="s">
        <v>39</v>
      </c>
      <c r="I2697" s="4" t="n">
        <v>7</v>
      </c>
      <c r="J2697" s="4" t="n">
        <f aca="false">LEN(E2697)-LEN(SUBSTITUTE(E2697,",",""))+1</f>
        <v>6</v>
      </c>
      <c r="K2697" s="3" t="str">
        <f aca="false">IFERROR(INDEX('Teacher Lookup'!$B$2:$B$200,MATCH(A2697,'Teacher Lookup'!$A$2:$A$200,0)),"")</f>
        <v>CHAN Davis</v>
      </c>
    </row>
    <row r="2698" customFormat="false" ht="15" hidden="false" customHeight="false" outlineLevel="0" collapsed="false">
      <c r="A2698" s="3" t="s">
        <v>366</v>
      </c>
      <c r="B2698" s="4" t="s">
        <v>65</v>
      </c>
      <c r="C2698" s="4" t="n">
        <v>1</v>
      </c>
      <c r="D2698" s="4" t="s">
        <v>55</v>
      </c>
      <c r="E2698" s="3" t="s">
        <v>201</v>
      </c>
      <c r="F2698" s="4" t="str">
        <f aca="false">IF(I2698&gt;J2698,"Y","N")</f>
        <v>N</v>
      </c>
      <c r="G2698" s="3" t="s">
        <v>192</v>
      </c>
      <c r="H2698" s="3" t="s">
        <v>16</v>
      </c>
      <c r="I2698" s="4" t="n">
        <v>2</v>
      </c>
      <c r="J2698" s="4" t="n">
        <f aca="false">LEN(E2698)-LEN(SUBSTITUTE(E2698,",",""))+1</f>
        <v>2</v>
      </c>
      <c r="K2698" s="3" t="str">
        <f aca="false">IFERROR(INDEX('Teacher Lookup'!$B$2:$B$200,MATCH(A2698,'Teacher Lookup'!$A$2:$A$200,0)),"")</f>
        <v>CHAN Davis</v>
      </c>
    </row>
    <row r="2699" customFormat="false" ht="15" hidden="false" customHeight="false" outlineLevel="0" collapsed="false">
      <c r="A2699" s="3" t="s">
        <v>366</v>
      </c>
      <c r="B2699" s="4" t="s">
        <v>65</v>
      </c>
      <c r="C2699" s="4" t="n">
        <v>5</v>
      </c>
      <c r="D2699" s="4" t="s">
        <v>52</v>
      </c>
      <c r="E2699" s="3" t="s">
        <v>112</v>
      </c>
      <c r="F2699" s="4" t="str">
        <f aca="false">IF(I2699&gt;J2699,"Y","N")</f>
        <v>Y</v>
      </c>
      <c r="G2699" s="3" t="s">
        <v>36</v>
      </c>
      <c r="H2699" s="3" t="s">
        <v>37</v>
      </c>
      <c r="I2699" s="4" t="n">
        <v>16</v>
      </c>
      <c r="J2699" s="4" t="n">
        <f aca="false">LEN(E2699)-LEN(SUBSTITUTE(E2699,",",""))+1</f>
        <v>7</v>
      </c>
      <c r="K2699" s="3" t="str">
        <f aca="false">IFERROR(INDEX('Teacher Lookup'!$B$2:$B$200,MATCH(A2699,'Teacher Lookup'!$A$2:$A$200,0)),"")</f>
        <v>CHAN Davis</v>
      </c>
    </row>
    <row r="2700" customFormat="false" ht="15" hidden="false" customHeight="false" outlineLevel="0" collapsed="false">
      <c r="A2700" s="3" t="s">
        <v>366</v>
      </c>
      <c r="B2700" s="4" t="s">
        <v>65</v>
      </c>
      <c r="C2700" s="4" t="n">
        <v>5</v>
      </c>
      <c r="D2700" s="4" t="s">
        <v>55</v>
      </c>
      <c r="E2700" s="3" t="s">
        <v>112</v>
      </c>
      <c r="F2700" s="4" t="str">
        <f aca="false">IF(I2700&gt;J2700,"Y","N")</f>
        <v>Y</v>
      </c>
      <c r="G2700" s="3" t="s">
        <v>36</v>
      </c>
      <c r="H2700" s="3" t="s">
        <v>37</v>
      </c>
      <c r="I2700" s="4" t="n">
        <v>16</v>
      </c>
      <c r="J2700" s="4" t="n">
        <f aca="false">LEN(E2700)-LEN(SUBSTITUTE(E2700,",",""))+1</f>
        <v>7</v>
      </c>
      <c r="K2700" s="3" t="str">
        <f aca="false">IFERROR(INDEX('Teacher Lookup'!$B$2:$B$200,MATCH(A2700,'Teacher Lookup'!$A$2:$A$200,0)),"")</f>
        <v>CHAN Davis</v>
      </c>
    </row>
    <row r="2701" customFormat="false" ht="15" hidden="false" customHeight="false" outlineLevel="0" collapsed="false">
      <c r="A2701" s="3" t="s">
        <v>366</v>
      </c>
      <c r="B2701" s="4" t="s">
        <v>65</v>
      </c>
      <c r="C2701" s="4" t="n">
        <v>5</v>
      </c>
      <c r="D2701" s="4" t="s">
        <v>56</v>
      </c>
      <c r="E2701" s="3" t="s">
        <v>112</v>
      </c>
      <c r="F2701" s="4" t="str">
        <f aca="false">IF(I2701&gt;J2701,"Y","N")</f>
        <v>Y</v>
      </c>
      <c r="G2701" s="3" t="s">
        <v>36</v>
      </c>
      <c r="H2701" s="3" t="s">
        <v>37</v>
      </c>
      <c r="I2701" s="4" t="n">
        <v>16</v>
      </c>
      <c r="J2701" s="4" t="n">
        <f aca="false">LEN(E2701)-LEN(SUBSTITUTE(E2701,",",""))+1</f>
        <v>7</v>
      </c>
      <c r="K2701" s="3" t="str">
        <f aca="false">IFERROR(INDEX('Teacher Lookup'!$B$2:$B$200,MATCH(A2701,'Teacher Lookup'!$A$2:$A$200,0)),"")</f>
        <v>CHAN Davis</v>
      </c>
    </row>
    <row r="2702" customFormat="false" ht="15" hidden="false" customHeight="false" outlineLevel="0" collapsed="false">
      <c r="A2702" s="3" t="s">
        <v>366</v>
      </c>
      <c r="B2702" s="4" t="s">
        <v>65</v>
      </c>
      <c r="C2702" s="4" t="n">
        <v>5</v>
      </c>
      <c r="D2702" s="4" t="s">
        <v>57</v>
      </c>
      <c r="E2702" s="3" t="s">
        <v>112</v>
      </c>
      <c r="F2702" s="4" t="str">
        <f aca="false">IF(I2702&gt;J2702,"Y","N")</f>
        <v>Y</v>
      </c>
      <c r="G2702" s="3" t="s">
        <v>36</v>
      </c>
      <c r="H2702" s="3" t="s">
        <v>37</v>
      </c>
      <c r="I2702" s="4" t="n">
        <v>16</v>
      </c>
      <c r="J2702" s="4" t="n">
        <f aca="false">LEN(E2702)-LEN(SUBSTITUTE(E2702,",",""))+1</f>
        <v>7</v>
      </c>
      <c r="K2702" s="3" t="str">
        <f aca="false">IFERROR(INDEX('Teacher Lookup'!$B$2:$B$200,MATCH(A2702,'Teacher Lookup'!$A$2:$A$200,0)),"")</f>
        <v>CHAN Davis</v>
      </c>
    </row>
    <row r="2703" customFormat="false" ht="15" hidden="false" customHeight="false" outlineLevel="0" collapsed="false">
      <c r="A2703" s="3" t="s">
        <v>366</v>
      </c>
      <c r="B2703" s="4" t="s">
        <v>65</v>
      </c>
      <c r="C2703" s="4" t="n">
        <v>5</v>
      </c>
      <c r="D2703" s="4" t="s">
        <v>58</v>
      </c>
      <c r="E2703" s="3" t="s">
        <v>112</v>
      </c>
      <c r="F2703" s="4" t="str">
        <f aca="false">IF(I2703&gt;J2703,"Y","N")</f>
        <v>Y</v>
      </c>
      <c r="G2703" s="3" t="s">
        <v>36</v>
      </c>
      <c r="H2703" s="3" t="s">
        <v>37</v>
      </c>
      <c r="I2703" s="4" t="n">
        <v>16</v>
      </c>
      <c r="J2703" s="4" t="n">
        <f aca="false">LEN(E2703)-LEN(SUBSTITUTE(E2703,",",""))+1</f>
        <v>7</v>
      </c>
      <c r="K2703" s="3" t="str">
        <f aca="false">IFERROR(INDEX('Teacher Lookup'!$B$2:$B$200,MATCH(A2703,'Teacher Lookup'!$A$2:$A$200,0)),"")</f>
        <v>CHAN Davis</v>
      </c>
    </row>
    <row r="2704" customFormat="false" ht="15" hidden="false" customHeight="false" outlineLevel="0" collapsed="false">
      <c r="A2704" s="3" t="s">
        <v>366</v>
      </c>
      <c r="B2704" s="4" t="s">
        <v>65</v>
      </c>
      <c r="C2704" s="4" t="n">
        <v>5</v>
      </c>
      <c r="D2704" s="4" t="s">
        <v>59</v>
      </c>
      <c r="E2704" s="3" t="s">
        <v>112</v>
      </c>
      <c r="F2704" s="4" t="str">
        <f aca="false">IF(I2704&gt;J2704,"Y","N")</f>
        <v>Y</v>
      </c>
      <c r="G2704" s="3" t="s">
        <v>36</v>
      </c>
      <c r="H2704" s="3" t="s">
        <v>37</v>
      </c>
      <c r="I2704" s="4" t="n">
        <v>16</v>
      </c>
      <c r="J2704" s="4" t="n">
        <f aca="false">LEN(E2704)-LEN(SUBSTITUTE(E2704,",",""))+1</f>
        <v>7</v>
      </c>
      <c r="K2704" s="3" t="str">
        <f aca="false">IFERROR(INDEX('Teacher Lookup'!$B$2:$B$200,MATCH(A2704,'Teacher Lookup'!$A$2:$A$200,0)),"")</f>
        <v>CHAN Davis</v>
      </c>
    </row>
    <row r="2705" customFormat="false" ht="15" hidden="false" customHeight="false" outlineLevel="0" collapsed="false">
      <c r="A2705" s="3" t="s">
        <v>366</v>
      </c>
      <c r="B2705" s="4" t="s">
        <v>65</v>
      </c>
      <c r="C2705" s="4" t="n">
        <v>7</v>
      </c>
      <c r="D2705" s="4" t="s">
        <v>52</v>
      </c>
      <c r="E2705" s="3" t="s">
        <v>251</v>
      </c>
      <c r="F2705" s="4" t="str">
        <f aca="false">IF(I2705&gt;J2705,"Y","N")</f>
        <v>N</v>
      </c>
      <c r="G2705" s="3" t="s">
        <v>239</v>
      </c>
      <c r="H2705" s="3" t="s">
        <v>39</v>
      </c>
      <c r="I2705" s="4" t="n">
        <v>7</v>
      </c>
      <c r="J2705" s="4" t="n">
        <f aca="false">LEN(E2705)-LEN(SUBSTITUTE(E2705,",",""))+1</f>
        <v>7</v>
      </c>
      <c r="K2705" s="3" t="str">
        <f aca="false">IFERROR(INDEX('Teacher Lookup'!$B$2:$B$200,MATCH(A2705,'Teacher Lookup'!$A$2:$A$200,0)),"")</f>
        <v>CHAN Davis</v>
      </c>
    </row>
    <row r="2706" customFormat="false" ht="15" hidden="false" customHeight="false" outlineLevel="0" collapsed="false">
      <c r="A2706" s="3" t="s">
        <v>366</v>
      </c>
      <c r="B2706" s="4" t="s">
        <v>65</v>
      </c>
      <c r="C2706" s="4" t="n">
        <v>7</v>
      </c>
      <c r="D2706" s="4" t="s">
        <v>55</v>
      </c>
      <c r="E2706" s="3" t="s">
        <v>251</v>
      </c>
      <c r="F2706" s="4" t="str">
        <f aca="false">IF(I2706&gt;J2706,"Y","N")</f>
        <v>N</v>
      </c>
      <c r="G2706" s="3" t="s">
        <v>239</v>
      </c>
      <c r="H2706" s="3" t="s">
        <v>39</v>
      </c>
      <c r="I2706" s="4" t="n">
        <v>7</v>
      </c>
      <c r="J2706" s="4" t="n">
        <f aca="false">LEN(E2706)-LEN(SUBSTITUTE(E2706,",",""))+1</f>
        <v>7</v>
      </c>
      <c r="K2706" s="3" t="str">
        <f aca="false">IFERROR(INDEX('Teacher Lookup'!$B$2:$B$200,MATCH(A2706,'Teacher Lookup'!$A$2:$A$200,0)),"")</f>
        <v>CHAN Davis</v>
      </c>
    </row>
    <row r="2707" customFormat="false" ht="15" hidden="false" customHeight="false" outlineLevel="0" collapsed="false">
      <c r="A2707" s="3" t="s">
        <v>366</v>
      </c>
      <c r="B2707" s="4" t="s">
        <v>65</v>
      </c>
      <c r="C2707" s="4" t="n">
        <v>7</v>
      </c>
      <c r="D2707" s="4" t="s">
        <v>56</v>
      </c>
      <c r="E2707" s="3" t="s">
        <v>251</v>
      </c>
      <c r="F2707" s="4" t="str">
        <f aca="false">IF(I2707&gt;J2707,"Y","N")</f>
        <v>N</v>
      </c>
      <c r="G2707" s="3" t="s">
        <v>239</v>
      </c>
      <c r="H2707" s="3" t="s">
        <v>39</v>
      </c>
      <c r="I2707" s="4" t="n">
        <v>7</v>
      </c>
      <c r="J2707" s="4" t="n">
        <f aca="false">LEN(E2707)-LEN(SUBSTITUTE(E2707,",",""))+1</f>
        <v>7</v>
      </c>
      <c r="K2707" s="3" t="str">
        <f aca="false">IFERROR(INDEX('Teacher Lookup'!$B$2:$B$200,MATCH(A2707,'Teacher Lookup'!$A$2:$A$200,0)),"")</f>
        <v>CHAN Davis</v>
      </c>
    </row>
    <row r="2708" customFormat="false" ht="15" hidden="false" customHeight="false" outlineLevel="0" collapsed="false">
      <c r="A2708" s="3" t="s">
        <v>366</v>
      </c>
      <c r="B2708" s="4" t="s">
        <v>65</v>
      </c>
      <c r="C2708" s="4" t="n">
        <v>7</v>
      </c>
      <c r="D2708" s="4" t="s">
        <v>57</v>
      </c>
      <c r="E2708" s="3" t="s">
        <v>251</v>
      </c>
      <c r="F2708" s="4" t="str">
        <f aca="false">IF(I2708&gt;J2708,"Y","N")</f>
        <v>N</v>
      </c>
      <c r="G2708" s="3" t="s">
        <v>239</v>
      </c>
      <c r="H2708" s="3" t="s">
        <v>39</v>
      </c>
      <c r="I2708" s="4" t="n">
        <v>7</v>
      </c>
      <c r="J2708" s="4" t="n">
        <f aca="false">LEN(E2708)-LEN(SUBSTITUTE(E2708,",",""))+1</f>
        <v>7</v>
      </c>
      <c r="K2708" s="3" t="str">
        <f aca="false">IFERROR(INDEX('Teacher Lookup'!$B$2:$B$200,MATCH(A2708,'Teacher Lookup'!$A$2:$A$200,0)),"")</f>
        <v>CHAN Davis</v>
      </c>
    </row>
    <row r="2709" customFormat="false" ht="15" hidden="false" customHeight="false" outlineLevel="0" collapsed="false">
      <c r="A2709" s="3" t="s">
        <v>366</v>
      </c>
      <c r="B2709" s="4" t="s">
        <v>65</v>
      </c>
      <c r="C2709" s="4" t="n">
        <v>7</v>
      </c>
      <c r="D2709" s="4" t="s">
        <v>58</v>
      </c>
      <c r="E2709" s="3" t="s">
        <v>251</v>
      </c>
      <c r="F2709" s="4" t="str">
        <f aca="false">IF(I2709&gt;J2709,"Y","N")</f>
        <v>N</v>
      </c>
      <c r="G2709" s="3" t="s">
        <v>239</v>
      </c>
      <c r="H2709" s="3" t="s">
        <v>39</v>
      </c>
      <c r="I2709" s="4" t="n">
        <v>7</v>
      </c>
      <c r="J2709" s="4" t="n">
        <f aca="false">LEN(E2709)-LEN(SUBSTITUTE(E2709,",",""))+1</f>
        <v>7</v>
      </c>
      <c r="K2709" s="3" t="str">
        <f aca="false">IFERROR(INDEX('Teacher Lookup'!$B$2:$B$200,MATCH(A2709,'Teacher Lookup'!$A$2:$A$200,0)),"")</f>
        <v>CHAN Davis</v>
      </c>
    </row>
    <row r="2710" customFormat="false" ht="15" hidden="false" customHeight="false" outlineLevel="0" collapsed="false">
      <c r="A2710" s="3" t="s">
        <v>366</v>
      </c>
      <c r="B2710" s="4" t="s">
        <v>65</v>
      </c>
      <c r="C2710" s="4" t="n">
        <v>7</v>
      </c>
      <c r="D2710" s="4" t="s">
        <v>59</v>
      </c>
      <c r="E2710" s="3" t="s">
        <v>251</v>
      </c>
      <c r="F2710" s="4" t="str">
        <f aca="false">IF(I2710&gt;J2710,"Y","N")</f>
        <v>N</v>
      </c>
      <c r="G2710" s="3" t="s">
        <v>239</v>
      </c>
      <c r="H2710" s="3" t="s">
        <v>39</v>
      </c>
      <c r="I2710" s="4" t="n">
        <v>7</v>
      </c>
      <c r="J2710" s="4" t="n">
        <f aca="false">LEN(E2710)-LEN(SUBSTITUTE(E2710,",",""))+1</f>
        <v>7</v>
      </c>
      <c r="K2710" s="3" t="str">
        <f aca="false">IFERROR(INDEX('Teacher Lookup'!$B$2:$B$200,MATCH(A2710,'Teacher Lookup'!$A$2:$A$200,0)),"")</f>
        <v>CHAN Davis</v>
      </c>
    </row>
    <row r="2711" customFormat="false" ht="15" hidden="false" customHeight="false" outlineLevel="0" collapsed="false">
      <c r="A2711" s="3" t="s">
        <v>366</v>
      </c>
      <c r="B2711" s="4" t="s">
        <v>66</v>
      </c>
      <c r="C2711" s="4" t="n">
        <v>1</v>
      </c>
      <c r="D2711" s="4" t="s">
        <v>52</v>
      </c>
      <c r="E2711" s="3" t="s">
        <v>252</v>
      </c>
      <c r="F2711" s="4" t="str">
        <f aca="false">IF(I2711&gt;J2711,"Y","N")</f>
        <v>N</v>
      </c>
      <c r="G2711" s="3" t="s">
        <v>239</v>
      </c>
      <c r="H2711" s="3" t="s">
        <v>16</v>
      </c>
      <c r="I2711" s="4" t="n">
        <v>7</v>
      </c>
      <c r="J2711" s="4" t="n">
        <f aca="false">LEN(E2711)-LEN(SUBSTITUTE(E2711,",",""))+1</f>
        <v>7</v>
      </c>
      <c r="K2711" s="3" t="str">
        <f aca="false">IFERROR(INDEX('Teacher Lookup'!$B$2:$B$200,MATCH(A2711,'Teacher Lookup'!$A$2:$A$200,0)),"")</f>
        <v>CHAN Davis</v>
      </c>
    </row>
    <row r="2712" customFormat="false" ht="15" hidden="false" customHeight="false" outlineLevel="0" collapsed="false">
      <c r="A2712" s="3" t="s">
        <v>366</v>
      </c>
      <c r="B2712" s="4" t="s">
        <v>66</v>
      </c>
      <c r="C2712" s="4" t="n">
        <v>1</v>
      </c>
      <c r="D2712" s="4" t="s">
        <v>55</v>
      </c>
      <c r="E2712" s="3" t="s">
        <v>252</v>
      </c>
      <c r="F2712" s="4" t="str">
        <f aca="false">IF(I2712&gt;J2712,"Y","N")</f>
        <v>N</v>
      </c>
      <c r="G2712" s="3" t="s">
        <v>239</v>
      </c>
      <c r="H2712" s="3" t="s">
        <v>16</v>
      </c>
      <c r="I2712" s="4" t="n">
        <v>7</v>
      </c>
      <c r="J2712" s="4" t="n">
        <f aca="false">LEN(E2712)-LEN(SUBSTITUTE(E2712,",",""))+1</f>
        <v>7</v>
      </c>
      <c r="K2712" s="3" t="str">
        <f aca="false">IFERROR(INDEX('Teacher Lookup'!$B$2:$B$200,MATCH(A2712,'Teacher Lookup'!$A$2:$A$200,0)),"")</f>
        <v>CHAN Davis</v>
      </c>
    </row>
    <row r="2713" customFormat="false" ht="15" hidden="false" customHeight="false" outlineLevel="0" collapsed="false">
      <c r="A2713" s="3" t="s">
        <v>366</v>
      </c>
      <c r="B2713" s="4" t="s">
        <v>66</v>
      </c>
      <c r="C2713" s="4" t="n">
        <v>1</v>
      </c>
      <c r="D2713" s="4" t="s">
        <v>56</v>
      </c>
      <c r="E2713" s="3" t="s">
        <v>252</v>
      </c>
      <c r="F2713" s="4" t="str">
        <f aca="false">IF(I2713&gt;J2713,"Y","N")</f>
        <v>N</v>
      </c>
      <c r="G2713" s="3" t="s">
        <v>239</v>
      </c>
      <c r="H2713" s="3" t="s">
        <v>16</v>
      </c>
      <c r="I2713" s="4" t="n">
        <v>7</v>
      </c>
      <c r="J2713" s="4" t="n">
        <f aca="false">LEN(E2713)-LEN(SUBSTITUTE(E2713,",",""))+1</f>
        <v>7</v>
      </c>
      <c r="K2713" s="3" t="str">
        <f aca="false">IFERROR(INDEX('Teacher Lookup'!$B$2:$B$200,MATCH(A2713,'Teacher Lookup'!$A$2:$A$200,0)),"")</f>
        <v>CHAN Davis</v>
      </c>
    </row>
    <row r="2714" customFormat="false" ht="15" hidden="false" customHeight="false" outlineLevel="0" collapsed="false">
      <c r="A2714" s="3" t="s">
        <v>366</v>
      </c>
      <c r="B2714" s="4" t="s">
        <v>66</v>
      </c>
      <c r="C2714" s="4" t="n">
        <v>1</v>
      </c>
      <c r="D2714" s="4" t="s">
        <v>57</v>
      </c>
      <c r="E2714" s="3" t="s">
        <v>252</v>
      </c>
      <c r="F2714" s="4" t="str">
        <f aca="false">IF(I2714&gt;J2714,"Y","N")</f>
        <v>N</v>
      </c>
      <c r="G2714" s="3" t="s">
        <v>239</v>
      </c>
      <c r="H2714" s="3" t="s">
        <v>16</v>
      </c>
      <c r="I2714" s="4" t="n">
        <v>7</v>
      </c>
      <c r="J2714" s="4" t="n">
        <f aca="false">LEN(E2714)-LEN(SUBSTITUTE(E2714,",",""))+1</f>
        <v>7</v>
      </c>
      <c r="K2714" s="3" t="str">
        <f aca="false">IFERROR(INDEX('Teacher Lookup'!$B$2:$B$200,MATCH(A2714,'Teacher Lookup'!$A$2:$A$200,0)),"")</f>
        <v>CHAN Davis</v>
      </c>
    </row>
    <row r="2715" customFormat="false" ht="15" hidden="false" customHeight="false" outlineLevel="0" collapsed="false">
      <c r="A2715" s="3" t="s">
        <v>366</v>
      </c>
      <c r="B2715" s="4" t="s">
        <v>66</v>
      </c>
      <c r="C2715" s="4" t="n">
        <v>1</v>
      </c>
      <c r="D2715" s="4" t="s">
        <v>58</v>
      </c>
      <c r="E2715" s="3" t="s">
        <v>252</v>
      </c>
      <c r="F2715" s="4" t="str">
        <f aca="false">IF(I2715&gt;J2715,"Y","N")</f>
        <v>N</v>
      </c>
      <c r="G2715" s="3" t="s">
        <v>239</v>
      </c>
      <c r="H2715" s="3" t="s">
        <v>16</v>
      </c>
      <c r="I2715" s="4" t="n">
        <v>7</v>
      </c>
      <c r="J2715" s="4" t="n">
        <f aca="false">LEN(E2715)-LEN(SUBSTITUTE(E2715,",",""))+1</f>
        <v>7</v>
      </c>
      <c r="K2715" s="3" t="str">
        <f aca="false">IFERROR(INDEX('Teacher Lookup'!$B$2:$B$200,MATCH(A2715,'Teacher Lookup'!$A$2:$A$200,0)),"")</f>
        <v>CHAN Davis</v>
      </c>
    </row>
    <row r="2716" customFormat="false" ht="15" hidden="false" customHeight="false" outlineLevel="0" collapsed="false">
      <c r="A2716" s="3" t="s">
        <v>366</v>
      </c>
      <c r="B2716" s="4" t="s">
        <v>66</v>
      </c>
      <c r="C2716" s="4" t="n">
        <v>1</v>
      </c>
      <c r="D2716" s="4" t="s">
        <v>59</v>
      </c>
      <c r="E2716" s="3" t="s">
        <v>252</v>
      </c>
      <c r="F2716" s="4" t="str">
        <f aca="false">IF(I2716&gt;J2716,"Y","N")</f>
        <v>N</v>
      </c>
      <c r="G2716" s="3" t="s">
        <v>239</v>
      </c>
      <c r="H2716" s="3" t="s">
        <v>16</v>
      </c>
      <c r="I2716" s="4" t="n">
        <v>7</v>
      </c>
      <c r="J2716" s="4" t="n">
        <f aca="false">LEN(E2716)-LEN(SUBSTITUTE(E2716,",",""))+1</f>
        <v>7</v>
      </c>
      <c r="K2716" s="3" t="str">
        <f aca="false">IFERROR(INDEX('Teacher Lookup'!$B$2:$B$200,MATCH(A2716,'Teacher Lookup'!$A$2:$A$200,0)),"")</f>
        <v>CHAN Davis</v>
      </c>
    </row>
    <row r="2717" customFormat="false" ht="15" hidden="false" customHeight="false" outlineLevel="0" collapsed="false">
      <c r="A2717" s="3" t="s">
        <v>366</v>
      </c>
      <c r="B2717" s="4" t="s">
        <v>66</v>
      </c>
      <c r="C2717" s="4" t="n">
        <v>4</v>
      </c>
      <c r="D2717" s="4" t="s">
        <v>55</v>
      </c>
      <c r="E2717" s="3" t="s">
        <v>202</v>
      </c>
      <c r="F2717" s="4" t="str">
        <f aca="false">IF(I2717&gt;J2717,"Y","N")</f>
        <v>N</v>
      </c>
      <c r="G2717" s="3" t="s">
        <v>192</v>
      </c>
      <c r="H2717" s="3" t="s">
        <v>34</v>
      </c>
      <c r="I2717" s="4" t="n">
        <v>2</v>
      </c>
      <c r="J2717" s="4" t="n">
        <f aca="false">LEN(E2717)-LEN(SUBSTITUTE(E2717,",",""))+1</f>
        <v>2</v>
      </c>
      <c r="K2717" s="3" t="str">
        <f aca="false">IFERROR(INDEX('Teacher Lookup'!$B$2:$B$200,MATCH(A2717,'Teacher Lookup'!$A$2:$A$200,0)),"")</f>
        <v>CHAN Davis</v>
      </c>
    </row>
    <row r="2718" customFormat="false" ht="15" hidden="false" customHeight="false" outlineLevel="0" collapsed="false">
      <c r="A2718" s="3" t="s">
        <v>366</v>
      </c>
      <c r="B2718" s="4" t="s">
        <v>66</v>
      </c>
      <c r="C2718" s="4" t="n">
        <v>5</v>
      </c>
      <c r="D2718" s="4" t="s">
        <v>102</v>
      </c>
      <c r="E2718" s="3" t="s">
        <v>320</v>
      </c>
      <c r="F2718" s="4" t="str">
        <f aca="false">IF(I2718&gt;J2718,"Y","N")</f>
        <v>Y</v>
      </c>
      <c r="G2718" s="3" t="s">
        <v>310</v>
      </c>
      <c r="H2718" s="3" t="s">
        <v>37</v>
      </c>
      <c r="I2718" s="4" t="n">
        <v>7</v>
      </c>
      <c r="J2718" s="4" t="n">
        <f aca="false">LEN(E2718)-LEN(SUBSTITUTE(E2718,",",""))+1</f>
        <v>6</v>
      </c>
      <c r="K2718" s="3" t="str">
        <f aca="false">IFERROR(INDEX('Teacher Lookup'!$B$2:$B$200,MATCH(A2718,'Teacher Lookup'!$A$2:$A$200,0)),"")</f>
        <v>CHAN Davis</v>
      </c>
    </row>
    <row r="2719" customFormat="false" ht="15" hidden="false" customHeight="false" outlineLevel="0" collapsed="false">
      <c r="A2719" s="3" t="s">
        <v>366</v>
      </c>
      <c r="B2719" s="4" t="s">
        <v>66</v>
      </c>
      <c r="C2719" s="4" t="n">
        <v>5</v>
      </c>
      <c r="D2719" s="4" t="s">
        <v>105</v>
      </c>
      <c r="E2719" s="3" t="s">
        <v>320</v>
      </c>
      <c r="F2719" s="4" t="str">
        <f aca="false">IF(I2719&gt;J2719,"Y","N")</f>
        <v>Y</v>
      </c>
      <c r="G2719" s="3" t="s">
        <v>310</v>
      </c>
      <c r="H2719" s="3" t="s">
        <v>37</v>
      </c>
      <c r="I2719" s="4" t="n">
        <v>7</v>
      </c>
      <c r="J2719" s="4" t="n">
        <f aca="false">LEN(E2719)-LEN(SUBSTITUTE(E2719,",",""))+1</f>
        <v>6</v>
      </c>
      <c r="K2719" s="3" t="str">
        <f aca="false">IFERROR(INDEX('Teacher Lookup'!$B$2:$B$200,MATCH(A2719,'Teacher Lookup'!$A$2:$A$200,0)),"")</f>
        <v>CHAN Davis</v>
      </c>
    </row>
    <row r="2720" customFormat="false" ht="15" hidden="false" customHeight="false" outlineLevel="0" collapsed="false">
      <c r="A2720" s="3" t="s">
        <v>366</v>
      </c>
      <c r="B2720" s="4" t="s">
        <v>66</v>
      </c>
      <c r="C2720" s="4" t="n">
        <v>5</v>
      </c>
      <c r="D2720" s="4" t="s">
        <v>106</v>
      </c>
      <c r="E2720" s="3" t="s">
        <v>320</v>
      </c>
      <c r="F2720" s="4" t="str">
        <f aca="false">IF(I2720&gt;J2720,"Y","N")</f>
        <v>Y</v>
      </c>
      <c r="G2720" s="3" t="s">
        <v>310</v>
      </c>
      <c r="H2720" s="3" t="s">
        <v>37</v>
      </c>
      <c r="I2720" s="4" t="n">
        <v>7</v>
      </c>
      <c r="J2720" s="4" t="n">
        <f aca="false">LEN(E2720)-LEN(SUBSTITUTE(E2720,",",""))+1</f>
        <v>6</v>
      </c>
      <c r="K2720" s="3" t="str">
        <f aca="false">IFERROR(INDEX('Teacher Lookup'!$B$2:$B$200,MATCH(A2720,'Teacher Lookup'!$A$2:$A$200,0)),"")</f>
        <v>CHAN Davis</v>
      </c>
    </row>
    <row r="2721" customFormat="false" ht="15" hidden="false" customHeight="false" outlineLevel="0" collapsed="false">
      <c r="A2721" s="3" t="s">
        <v>366</v>
      </c>
      <c r="B2721" s="4" t="s">
        <v>66</v>
      </c>
      <c r="C2721" s="4" t="n">
        <v>5</v>
      </c>
      <c r="D2721" s="4" t="s">
        <v>107</v>
      </c>
      <c r="E2721" s="3" t="s">
        <v>320</v>
      </c>
      <c r="F2721" s="4" t="str">
        <f aca="false">IF(I2721&gt;J2721,"Y","N")</f>
        <v>Y</v>
      </c>
      <c r="G2721" s="3" t="s">
        <v>310</v>
      </c>
      <c r="H2721" s="3" t="s">
        <v>37</v>
      </c>
      <c r="I2721" s="4" t="n">
        <v>7</v>
      </c>
      <c r="J2721" s="4" t="n">
        <f aca="false">LEN(E2721)-LEN(SUBSTITUTE(E2721,",",""))+1</f>
        <v>6</v>
      </c>
      <c r="K2721" s="3" t="str">
        <f aca="false">IFERROR(INDEX('Teacher Lookup'!$B$2:$B$200,MATCH(A2721,'Teacher Lookup'!$A$2:$A$200,0)),"")</f>
        <v>CHAN Davis</v>
      </c>
    </row>
    <row r="2722" customFormat="false" ht="15" hidden="false" customHeight="false" outlineLevel="0" collapsed="false">
      <c r="A2722" s="3" t="s">
        <v>366</v>
      </c>
      <c r="B2722" s="4" t="s">
        <v>66</v>
      </c>
      <c r="C2722" s="4" t="n">
        <v>7</v>
      </c>
      <c r="D2722" s="4" t="s">
        <v>74</v>
      </c>
      <c r="E2722" s="3" t="s">
        <v>133</v>
      </c>
      <c r="F2722" s="4" t="str">
        <f aca="false">IF(I2722&gt;J2722,"Y","N")</f>
        <v>N</v>
      </c>
      <c r="G2722" s="3" t="s">
        <v>130</v>
      </c>
      <c r="H2722" s="3" t="s">
        <v>39</v>
      </c>
      <c r="I2722" s="4" t="n">
        <v>1</v>
      </c>
      <c r="J2722" s="4" t="n">
        <f aca="false">LEN(E2722)-LEN(SUBSTITUTE(E2722,",",""))+1</f>
        <v>1</v>
      </c>
      <c r="K2722" s="3" t="str">
        <f aca="false">IFERROR(INDEX('Teacher Lookup'!$B$2:$B$200,MATCH(A2722,'Teacher Lookup'!$A$2:$A$200,0)),"")</f>
        <v>CHAN Davis</v>
      </c>
    </row>
    <row r="2723" customFormat="false" ht="15" hidden="false" customHeight="false" outlineLevel="0" collapsed="false">
      <c r="A2723" s="3" t="s">
        <v>367</v>
      </c>
      <c r="B2723" s="4" t="s">
        <v>12</v>
      </c>
      <c r="C2723" s="4" t="n">
        <v>2</v>
      </c>
      <c r="D2723" s="4" t="s">
        <v>70</v>
      </c>
      <c r="E2723" s="3" t="s">
        <v>368</v>
      </c>
      <c r="F2723" s="4" t="str">
        <f aca="false">IF(I2723&gt;J2723,"Y","N")</f>
        <v>N</v>
      </c>
      <c r="G2723" s="3" t="s">
        <v>369</v>
      </c>
      <c r="H2723" s="3" t="s">
        <v>21</v>
      </c>
      <c r="I2723" s="4" t="n">
        <v>1</v>
      </c>
      <c r="J2723" s="4" t="n">
        <f aca="false">LEN(E2723)-LEN(SUBSTITUTE(E2723,",",""))+1</f>
        <v>1</v>
      </c>
      <c r="K2723" s="3" t="str">
        <f aca="false">IFERROR(INDEX('Teacher Lookup'!$B$2:$B$200,MATCH(A2723,'Teacher Lookup'!$A$2:$A$200,0)),"")</f>
        <v>KUK Daniel</v>
      </c>
    </row>
    <row r="2724" customFormat="false" ht="15" hidden="false" customHeight="false" outlineLevel="0" collapsed="false">
      <c r="A2724" s="3" t="s">
        <v>367</v>
      </c>
      <c r="B2724" s="4" t="s">
        <v>31</v>
      </c>
      <c r="C2724" s="4" t="n">
        <v>2</v>
      </c>
      <c r="D2724" s="4" t="s">
        <v>18</v>
      </c>
      <c r="E2724" s="3" t="s">
        <v>368</v>
      </c>
      <c r="F2724" s="4" t="str">
        <f aca="false">IF(I2724&gt;J2724,"Y","N")</f>
        <v>N</v>
      </c>
      <c r="G2724" s="3" t="s">
        <v>369</v>
      </c>
      <c r="H2724" s="3" t="s">
        <v>21</v>
      </c>
      <c r="I2724" s="4" t="n">
        <v>1</v>
      </c>
      <c r="J2724" s="4" t="n">
        <f aca="false">LEN(E2724)-LEN(SUBSTITUTE(E2724,",",""))+1</f>
        <v>1</v>
      </c>
      <c r="K2724" s="3" t="str">
        <f aca="false">IFERROR(INDEX('Teacher Lookup'!$B$2:$B$200,MATCH(A2724,'Teacher Lookup'!$A$2:$A$200,0)),"")</f>
        <v>KUK Daniel</v>
      </c>
    </row>
    <row r="2725" customFormat="false" ht="15" hidden="false" customHeight="false" outlineLevel="0" collapsed="false">
      <c r="A2725" s="3" t="s">
        <v>367</v>
      </c>
      <c r="B2725" s="4" t="s">
        <v>31</v>
      </c>
      <c r="C2725" s="4" t="n">
        <v>4</v>
      </c>
      <c r="D2725" s="4" t="s">
        <v>139</v>
      </c>
      <c r="E2725" s="3" t="s">
        <v>368</v>
      </c>
      <c r="F2725" s="4" t="str">
        <f aca="false">IF(I2725&gt;J2725,"Y","N")</f>
        <v>N</v>
      </c>
      <c r="G2725" s="3" t="s">
        <v>369</v>
      </c>
      <c r="H2725" s="3" t="s">
        <v>34</v>
      </c>
      <c r="I2725" s="4" t="n">
        <v>1</v>
      </c>
      <c r="J2725" s="4" t="n">
        <f aca="false">LEN(E2725)-LEN(SUBSTITUTE(E2725,",",""))+1</f>
        <v>1</v>
      </c>
      <c r="K2725" s="3" t="str">
        <f aca="false">IFERROR(INDEX('Teacher Lookup'!$B$2:$B$200,MATCH(A2725,'Teacher Lookup'!$A$2:$A$200,0)),"")</f>
        <v>KUK Daniel</v>
      </c>
    </row>
    <row r="2726" customFormat="false" ht="15" hidden="false" customHeight="false" outlineLevel="0" collapsed="false">
      <c r="A2726" s="3" t="s">
        <v>367</v>
      </c>
      <c r="B2726" s="4" t="s">
        <v>31</v>
      </c>
      <c r="C2726" s="4" t="n">
        <v>5</v>
      </c>
      <c r="D2726" s="4" t="s">
        <v>137</v>
      </c>
      <c r="E2726" s="3" t="s">
        <v>185</v>
      </c>
      <c r="F2726" s="4" t="str">
        <f aca="false">IF(I2726&gt;J2726,"Y","N")</f>
        <v>Y</v>
      </c>
      <c r="G2726" s="3" t="s">
        <v>36</v>
      </c>
      <c r="H2726" s="3" t="s">
        <v>37</v>
      </c>
      <c r="I2726" s="4" t="n">
        <v>21</v>
      </c>
      <c r="J2726" s="4" t="n">
        <f aca="false">LEN(E2726)-LEN(SUBSTITUTE(E2726,",",""))+1</f>
        <v>7</v>
      </c>
      <c r="K2726" s="3" t="str">
        <f aca="false">IFERROR(INDEX('Teacher Lookup'!$B$2:$B$200,MATCH(A2726,'Teacher Lookup'!$A$2:$A$200,0)),"")</f>
        <v>KUK Daniel</v>
      </c>
    </row>
    <row r="2727" customFormat="false" ht="15" hidden="false" customHeight="false" outlineLevel="0" collapsed="false">
      <c r="A2727" s="3" t="s">
        <v>367</v>
      </c>
      <c r="B2727" s="4" t="s">
        <v>31</v>
      </c>
      <c r="C2727" s="4" t="n">
        <v>5</v>
      </c>
      <c r="D2727" s="4" t="s">
        <v>124</v>
      </c>
      <c r="E2727" s="3" t="s">
        <v>185</v>
      </c>
      <c r="F2727" s="4" t="str">
        <f aca="false">IF(I2727&gt;J2727,"Y","N")</f>
        <v>Y</v>
      </c>
      <c r="G2727" s="3" t="s">
        <v>36</v>
      </c>
      <c r="H2727" s="3" t="s">
        <v>37</v>
      </c>
      <c r="I2727" s="4" t="n">
        <v>21</v>
      </c>
      <c r="J2727" s="4" t="n">
        <f aca="false">LEN(E2727)-LEN(SUBSTITUTE(E2727,",",""))+1</f>
        <v>7</v>
      </c>
      <c r="K2727" s="3" t="str">
        <f aca="false">IFERROR(INDEX('Teacher Lookup'!$B$2:$B$200,MATCH(A2727,'Teacher Lookup'!$A$2:$A$200,0)),"")</f>
        <v>KUK Daniel</v>
      </c>
    </row>
    <row r="2728" customFormat="false" ht="15" hidden="false" customHeight="false" outlineLevel="0" collapsed="false">
      <c r="A2728" s="3" t="s">
        <v>367</v>
      </c>
      <c r="B2728" s="4" t="s">
        <v>31</v>
      </c>
      <c r="C2728" s="4" t="n">
        <v>5</v>
      </c>
      <c r="D2728" s="4" t="s">
        <v>139</v>
      </c>
      <c r="E2728" s="3" t="s">
        <v>185</v>
      </c>
      <c r="F2728" s="4" t="str">
        <f aca="false">IF(I2728&gt;J2728,"Y","N")</f>
        <v>Y</v>
      </c>
      <c r="G2728" s="3" t="s">
        <v>36</v>
      </c>
      <c r="H2728" s="3" t="s">
        <v>37</v>
      </c>
      <c r="I2728" s="4" t="n">
        <v>21</v>
      </c>
      <c r="J2728" s="4" t="n">
        <f aca="false">LEN(E2728)-LEN(SUBSTITUTE(E2728,",",""))+1</f>
        <v>7</v>
      </c>
      <c r="K2728" s="3" t="str">
        <f aca="false">IFERROR(INDEX('Teacher Lookup'!$B$2:$B$200,MATCH(A2728,'Teacher Lookup'!$A$2:$A$200,0)),"")</f>
        <v>KUK Daniel</v>
      </c>
    </row>
    <row r="2729" customFormat="false" ht="15" hidden="false" customHeight="false" outlineLevel="0" collapsed="false">
      <c r="A2729" s="3" t="s">
        <v>367</v>
      </c>
      <c r="B2729" s="4" t="s">
        <v>31</v>
      </c>
      <c r="C2729" s="4" t="n">
        <v>5</v>
      </c>
      <c r="D2729" s="4" t="s">
        <v>140</v>
      </c>
      <c r="E2729" s="3" t="s">
        <v>185</v>
      </c>
      <c r="F2729" s="4" t="str">
        <f aca="false">IF(I2729&gt;J2729,"Y","N")</f>
        <v>Y</v>
      </c>
      <c r="G2729" s="3" t="s">
        <v>36</v>
      </c>
      <c r="H2729" s="3" t="s">
        <v>37</v>
      </c>
      <c r="I2729" s="4" t="n">
        <v>21</v>
      </c>
      <c r="J2729" s="4" t="n">
        <f aca="false">LEN(E2729)-LEN(SUBSTITUTE(E2729,",",""))+1</f>
        <v>7</v>
      </c>
      <c r="K2729" s="3" t="str">
        <f aca="false">IFERROR(INDEX('Teacher Lookup'!$B$2:$B$200,MATCH(A2729,'Teacher Lookup'!$A$2:$A$200,0)),"")</f>
        <v>KUK Daniel</v>
      </c>
    </row>
    <row r="2730" customFormat="false" ht="15" hidden="false" customHeight="false" outlineLevel="0" collapsed="false">
      <c r="A2730" s="3" t="s">
        <v>367</v>
      </c>
      <c r="B2730" s="4" t="s">
        <v>31</v>
      </c>
      <c r="C2730" s="4" t="n">
        <v>5</v>
      </c>
      <c r="D2730" s="4" t="s">
        <v>142</v>
      </c>
      <c r="E2730" s="3" t="s">
        <v>185</v>
      </c>
      <c r="F2730" s="4" t="str">
        <f aca="false">IF(I2730&gt;J2730,"Y","N")</f>
        <v>Y</v>
      </c>
      <c r="G2730" s="3" t="s">
        <v>36</v>
      </c>
      <c r="H2730" s="3" t="s">
        <v>37</v>
      </c>
      <c r="I2730" s="4" t="n">
        <v>21</v>
      </c>
      <c r="J2730" s="4" t="n">
        <f aca="false">LEN(E2730)-LEN(SUBSTITUTE(E2730,",",""))+1</f>
        <v>7</v>
      </c>
      <c r="K2730" s="3" t="str">
        <f aca="false">IFERROR(INDEX('Teacher Lookup'!$B$2:$B$200,MATCH(A2730,'Teacher Lookup'!$A$2:$A$200,0)),"")</f>
        <v>KUK Daniel</v>
      </c>
    </row>
    <row r="2731" customFormat="false" ht="15" hidden="false" customHeight="false" outlineLevel="0" collapsed="false">
      <c r="A2731" s="3" t="s">
        <v>367</v>
      </c>
      <c r="B2731" s="4" t="s">
        <v>31</v>
      </c>
      <c r="C2731" s="4" t="n">
        <v>5</v>
      </c>
      <c r="D2731" s="4" t="s">
        <v>127</v>
      </c>
      <c r="E2731" s="3" t="s">
        <v>185</v>
      </c>
      <c r="F2731" s="4" t="str">
        <f aca="false">IF(I2731&gt;J2731,"Y","N")</f>
        <v>Y</v>
      </c>
      <c r="G2731" s="3" t="s">
        <v>36</v>
      </c>
      <c r="H2731" s="3" t="s">
        <v>37</v>
      </c>
      <c r="I2731" s="4" t="n">
        <v>21</v>
      </c>
      <c r="J2731" s="4" t="n">
        <f aca="false">LEN(E2731)-LEN(SUBSTITUTE(E2731,",",""))+1</f>
        <v>7</v>
      </c>
      <c r="K2731" s="3" t="str">
        <f aca="false">IFERROR(INDEX('Teacher Lookup'!$B$2:$B$200,MATCH(A2731,'Teacher Lookup'!$A$2:$A$200,0)),"")</f>
        <v>KUK Daniel</v>
      </c>
    </row>
    <row r="2732" customFormat="false" ht="15" hidden="false" customHeight="false" outlineLevel="0" collapsed="false">
      <c r="A2732" s="3" t="s">
        <v>367</v>
      </c>
      <c r="B2732" s="4" t="s">
        <v>40</v>
      </c>
      <c r="C2732" s="4" t="n">
        <v>2</v>
      </c>
      <c r="D2732" s="4" t="s">
        <v>140</v>
      </c>
      <c r="E2732" s="3" t="s">
        <v>368</v>
      </c>
      <c r="F2732" s="4" t="str">
        <f aca="false">IF(I2732&gt;J2732,"Y","N")</f>
        <v>N</v>
      </c>
      <c r="G2732" s="3" t="s">
        <v>369</v>
      </c>
      <c r="H2732" s="3" t="s">
        <v>21</v>
      </c>
      <c r="I2732" s="4" t="n">
        <v>1</v>
      </c>
      <c r="J2732" s="4" t="n">
        <f aca="false">LEN(E2732)-LEN(SUBSTITUTE(E2732,",",""))+1</f>
        <v>1</v>
      </c>
      <c r="K2732" s="3" t="str">
        <f aca="false">IFERROR(INDEX('Teacher Lookup'!$B$2:$B$200,MATCH(A2732,'Teacher Lookup'!$A$2:$A$200,0)),"")</f>
        <v>KUK Daniel</v>
      </c>
    </row>
    <row r="2733" customFormat="false" ht="15" hidden="false" customHeight="false" outlineLevel="0" collapsed="false">
      <c r="A2733" s="3" t="s">
        <v>367</v>
      </c>
      <c r="B2733" s="4" t="s">
        <v>40</v>
      </c>
      <c r="C2733" s="4" t="n">
        <v>7</v>
      </c>
      <c r="D2733" s="4" t="s">
        <v>19</v>
      </c>
      <c r="E2733" s="3" t="s">
        <v>368</v>
      </c>
      <c r="F2733" s="4" t="str">
        <f aca="false">IF(I2733&gt;J2733,"Y","N")</f>
        <v>N</v>
      </c>
      <c r="G2733" s="3" t="s">
        <v>369</v>
      </c>
      <c r="H2733" s="3" t="s">
        <v>39</v>
      </c>
      <c r="I2733" s="4" t="n">
        <v>1</v>
      </c>
      <c r="J2733" s="4" t="n">
        <f aca="false">LEN(E2733)-LEN(SUBSTITUTE(E2733,",",""))+1</f>
        <v>1</v>
      </c>
      <c r="K2733" s="3" t="str">
        <f aca="false">IFERROR(INDEX('Teacher Lookup'!$B$2:$B$200,MATCH(A2733,'Teacher Lookup'!$A$2:$A$200,0)),"")</f>
        <v>KUK Daniel</v>
      </c>
    </row>
    <row r="2734" customFormat="false" ht="15" hidden="false" customHeight="false" outlineLevel="0" collapsed="false">
      <c r="A2734" s="3" t="s">
        <v>367</v>
      </c>
      <c r="B2734" s="4" t="s">
        <v>44</v>
      </c>
      <c r="C2734" s="4" t="n">
        <v>2</v>
      </c>
      <c r="D2734" s="4" t="s">
        <v>76</v>
      </c>
      <c r="E2734" s="3" t="s">
        <v>368</v>
      </c>
      <c r="F2734" s="4" t="str">
        <f aca="false">IF(I2734&gt;J2734,"Y","N")</f>
        <v>N</v>
      </c>
      <c r="G2734" s="3" t="s">
        <v>369</v>
      </c>
      <c r="H2734" s="3" t="s">
        <v>21</v>
      </c>
      <c r="I2734" s="4" t="n">
        <v>1</v>
      </c>
      <c r="J2734" s="4" t="n">
        <f aca="false">LEN(E2734)-LEN(SUBSTITUTE(E2734,",",""))+1</f>
        <v>1</v>
      </c>
      <c r="K2734" s="3" t="str">
        <f aca="false">IFERROR(INDEX('Teacher Lookup'!$B$2:$B$200,MATCH(A2734,'Teacher Lookup'!$A$2:$A$200,0)),"")</f>
        <v>KUK Daniel</v>
      </c>
    </row>
    <row r="2735" customFormat="false" ht="15" hidden="false" customHeight="false" outlineLevel="0" collapsed="false">
      <c r="A2735" s="3" t="s">
        <v>367</v>
      </c>
      <c r="B2735" s="4" t="s">
        <v>44</v>
      </c>
      <c r="C2735" s="4" t="n">
        <v>5</v>
      </c>
      <c r="D2735" s="4" t="s">
        <v>137</v>
      </c>
      <c r="E2735" s="3" t="s">
        <v>185</v>
      </c>
      <c r="F2735" s="4" t="str">
        <f aca="false">IF(I2735&gt;J2735,"Y","N")</f>
        <v>Y</v>
      </c>
      <c r="G2735" s="3" t="s">
        <v>36</v>
      </c>
      <c r="H2735" s="3" t="s">
        <v>37</v>
      </c>
      <c r="I2735" s="4" t="n">
        <v>21</v>
      </c>
      <c r="J2735" s="4" t="n">
        <f aca="false">LEN(E2735)-LEN(SUBSTITUTE(E2735,",",""))+1</f>
        <v>7</v>
      </c>
      <c r="K2735" s="3" t="str">
        <f aca="false">IFERROR(INDEX('Teacher Lookup'!$B$2:$B$200,MATCH(A2735,'Teacher Lookup'!$A$2:$A$200,0)),"")</f>
        <v>KUK Daniel</v>
      </c>
    </row>
    <row r="2736" customFormat="false" ht="15" hidden="false" customHeight="false" outlineLevel="0" collapsed="false">
      <c r="A2736" s="3" t="s">
        <v>367</v>
      </c>
      <c r="B2736" s="4" t="s">
        <v>44</v>
      </c>
      <c r="C2736" s="4" t="n">
        <v>5</v>
      </c>
      <c r="D2736" s="4" t="s">
        <v>124</v>
      </c>
      <c r="E2736" s="3" t="s">
        <v>185</v>
      </c>
      <c r="F2736" s="4" t="str">
        <f aca="false">IF(I2736&gt;J2736,"Y","N")</f>
        <v>Y</v>
      </c>
      <c r="G2736" s="3" t="s">
        <v>36</v>
      </c>
      <c r="H2736" s="3" t="s">
        <v>37</v>
      </c>
      <c r="I2736" s="4" t="n">
        <v>21</v>
      </c>
      <c r="J2736" s="4" t="n">
        <f aca="false">LEN(E2736)-LEN(SUBSTITUTE(E2736,",",""))+1</f>
        <v>7</v>
      </c>
      <c r="K2736" s="3" t="str">
        <f aca="false">IFERROR(INDEX('Teacher Lookup'!$B$2:$B$200,MATCH(A2736,'Teacher Lookup'!$A$2:$A$200,0)),"")</f>
        <v>KUK Daniel</v>
      </c>
    </row>
    <row r="2737" customFormat="false" ht="15" hidden="false" customHeight="false" outlineLevel="0" collapsed="false">
      <c r="A2737" s="3" t="s">
        <v>367</v>
      </c>
      <c r="B2737" s="4" t="s">
        <v>44</v>
      </c>
      <c r="C2737" s="4" t="n">
        <v>5</v>
      </c>
      <c r="D2737" s="4" t="s">
        <v>139</v>
      </c>
      <c r="E2737" s="3" t="s">
        <v>185</v>
      </c>
      <c r="F2737" s="4" t="str">
        <f aca="false">IF(I2737&gt;J2737,"Y","N")</f>
        <v>Y</v>
      </c>
      <c r="G2737" s="3" t="s">
        <v>36</v>
      </c>
      <c r="H2737" s="3" t="s">
        <v>37</v>
      </c>
      <c r="I2737" s="4" t="n">
        <v>21</v>
      </c>
      <c r="J2737" s="4" t="n">
        <f aca="false">LEN(E2737)-LEN(SUBSTITUTE(E2737,",",""))+1</f>
        <v>7</v>
      </c>
      <c r="K2737" s="3" t="str">
        <f aca="false">IFERROR(INDEX('Teacher Lookup'!$B$2:$B$200,MATCH(A2737,'Teacher Lookup'!$A$2:$A$200,0)),"")</f>
        <v>KUK Daniel</v>
      </c>
    </row>
    <row r="2738" customFormat="false" ht="15" hidden="false" customHeight="false" outlineLevel="0" collapsed="false">
      <c r="A2738" s="3" t="s">
        <v>367</v>
      </c>
      <c r="B2738" s="4" t="s">
        <v>44</v>
      </c>
      <c r="C2738" s="4" t="n">
        <v>5</v>
      </c>
      <c r="D2738" s="4" t="s">
        <v>140</v>
      </c>
      <c r="E2738" s="3" t="s">
        <v>185</v>
      </c>
      <c r="F2738" s="4" t="str">
        <f aca="false">IF(I2738&gt;J2738,"Y","N")</f>
        <v>Y</v>
      </c>
      <c r="G2738" s="3" t="s">
        <v>36</v>
      </c>
      <c r="H2738" s="3" t="s">
        <v>37</v>
      </c>
      <c r="I2738" s="4" t="n">
        <v>21</v>
      </c>
      <c r="J2738" s="4" t="n">
        <f aca="false">LEN(E2738)-LEN(SUBSTITUTE(E2738,",",""))+1</f>
        <v>7</v>
      </c>
      <c r="K2738" s="3" t="str">
        <f aca="false">IFERROR(INDEX('Teacher Lookup'!$B$2:$B$200,MATCH(A2738,'Teacher Lookup'!$A$2:$A$200,0)),"")</f>
        <v>KUK Daniel</v>
      </c>
    </row>
    <row r="2739" customFormat="false" ht="15" hidden="false" customHeight="false" outlineLevel="0" collapsed="false">
      <c r="A2739" s="3" t="s">
        <v>367</v>
      </c>
      <c r="B2739" s="4" t="s">
        <v>44</v>
      </c>
      <c r="C2739" s="4" t="n">
        <v>5</v>
      </c>
      <c r="D2739" s="4" t="s">
        <v>142</v>
      </c>
      <c r="E2739" s="3" t="s">
        <v>185</v>
      </c>
      <c r="F2739" s="4" t="str">
        <f aca="false">IF(I2739&gt;J2739,"Y","N")</f>
        <v>Y</v>
      </c>
      <c r="G2739" s="3" t="s">
        <v>36</v>
      </c>
      <c r="H2739" s="3" t="s">
        <v>37</v>
      </c>
      <c r="I2739" s="4" t="n">
        <v>21</v>
      </c>
      <c r="J2739" s="4" t="n">
        <f aca="false">LEN(E2739)-LEN(SUBSTITUTE(E2739,",",""))+1</f>
        <v>7</v>
      </c>
      <c r="K2739" s="3" t="str">
        <f aca="false">IFERROR(INDEX('Teacher Lookup'!$B$2:$B$200,MATCH(A2739,'Teacher Lookup'!$A$2:$A$200,0)),"")</f>
        <v>KUK Daniel</v>
      </c>
    </row>
    <row r="2740" customFormat="false" ht="15" hidden="false" customHeight="false" outlineLevel="0" collapsed="false">
      <c r="A2740" s="3" t="s">
        <v>367</v>
      </c>
      <c r="B2740" s="4" t="s">
        <v>44</v>
      </c>
      <c r="C2740" s="4" t="n">
        <v>5</v>
      </c>
      <c r="D2740" s="4" t="s">
        <v>127</v>
      </c>
      <c r="E2740" s="3" t="s">
        <v>185</v>
      </c>
      <c r="F2740" s="4" t="str">
        <f aca="false">IF(I2740&gt;J2740,"Y","N")</f>
        <v>Y</v>
      </c>
      <c r="G2740" s="3" t="s">
        <v>36</v>
      </c>
      <c r="H2740" s="3" t="s">
        <v>37</v>
      </c>
      <c r="I2740" s="4" t="n">
        <v>21</v>
      </c>
      <c r="J2740" s="4" t="n">
        <f aca="false">LEN(E2740)-LEN(SUBSTITUTE(E2740,",",""))+1</f>
        <v>7</v>
      </c>
      <c r="K2740" s="3" t="str">
        <f aca="false">IFERROR(INDEX('Teacher Lookup'!$B$2:$B$200,MATCH(A2740,'Teacher Lookup'!$A$2:$A$200,0)),"")</f>
        <v>KUK Daniel</v>
      </c>
    </row>
    <row r="2741" customFormat="false" ht="15" hidden="false" customHeight="false" outlineLevel="0" collapsed="false">
      <c r="A2741" s="3" t="s">
        <v>367</v>
      </c>
      <c r="B2741" s="4" t="s">
        <v>47</v>
      </c>
      <c r="C2741" s="4" t="n">
        <v>4</v>
      </c>
      <c r="D2741" s="4" t="s">
        <v>13</v>
      </c>
      <c r="E2741" s="3" t="s">
        <v>368</v>
      </c>
      <c r="F2741" s="4" t="str">
        <f aca="false">IF(I2741&gt;J2741,"Y","N")</f>
        <v>N</v>
      </c>
      <c r="G2741" s="3" t="s">
        <v>369</v>
      </c>
      <c r="H2741" s="3" t="s">
        <v>34</v>
      </c>
      <c r="I2741" s="4" t="n">
        <v>1</v>
      </c>
      <c r="J2741" s="4" t="n">
        <f aca="false">LEN(E2741)-LEN(SUBSTITUTE(E2741,",",""))+1</f>
        <v>1</v>
      </c>
      <c r="K2741" s="3" t="str">
        <f aca="false">IFERROR(INDEX('Teacher Lookup'!$B$2:$B$200,MATCH(A2741,'Teacher Lookup'!$A$2:$A$200,0)),"")</f>
        <v>KUK Daniel</v>
      </c>
    </row>
    <row r="2742" customFormat="false" ht="15" hidden="false" customHeight="false" outlineLevel="0" collapsed="false">
      <c r="A2742" s="3" t="s">
        <v>367</v>
      </c>
      <c r="B2742" s="4" t="s">
        <v>50</v>
      </c>
      <c r="C2742" s="4" t="n">
        <v>3</v>
      </c>
      <c r="D2742" s="4" t="s">
        <v>70</v>
      </c>
      <c r="E2742" s="3" t="s">
        <v>368</v>
      </c>
      <c r="F2742" s="4" t="str">
        <f aca="false">IF(I2742&gt;J2742,"Y","N")</f>
        <v>N</v>
      </c>
      <c r="G2742" s="3" t="s">
        <v>369</v>
      </c>
      <c r="H2742" s="3" t="s">
        <v>26</v>
      </c>
      <c r="I2742" s="4" t="n">
        <v>1</v>
      </c>
      <c r="J2742" s="4" t="n">
        <f aca="false">LEN(E2742)-LEN(SUBSTITUTE(E2742,",",""))+1</f>
        <v>1</v>
      </c>
      <c r="K2742" s="3" t="str">
        <f aca="false">IFERROR(INDEX('Teacher Lookup'!$B$2:$B$200,MATCH(A2742,'Teacher Lookup'!$A$2:$A$200,0)),"")</f>
        <v>KUK Daniel</v>
      </c>
    </row>
    <row r="2743" customFormat="false" ht="15" hidden="false" customHeight="false" outlineLevel="0" collapsed="false">
      <c r="A2743" s="3" t="s">
        <v>367</v>
      </c>
      <c r="B2743" s="4" t="s">
        <v>60</v>
      </c>
      <c r="C2743" s="4" t="n">
        <v>5</v>
      </c>
      <c r="D2743" s="4" t="s">
        <v>137</v>
      </c>
      <c r="E2743" s="3" t="s">
        <v>185</v>
      </c>
      <c r="F2743" s="4" t="str">
        <f aca="false">IF(I2743&gt;J2743,"Y","N")</f>
        <v>Y</v>
      </c>
      <c r="G2743" s="3" t="s">
        <v>36</v>
      </c>
      <c r="H2743" s="3" t="s">
        <v>37</v>
      </c>
      <c r="I2743" s="4" t="n">
        <v>21</v>
      </c>
      <c r="J2743" s="4" t="n">
        <f aca="false">LEN(E2743)-LEN(SUBSTITUTE(E2743,",",""))+1</f>
        <v>7</v>
      </c>
      <c r="K2743" s="3" t="str">
        <f aca="false">IFERROR(INDEX('Teacher Lookup'!$B$2:$B$200,MATCH(A2743,'Teacher Lookup'!$A$2:$A$200,0)),"")</f>
        <v>KUK Daniel</v>
      </c>
    </row>
    <row r="2744" customFormat="false" ht="15" hidden="false" customHeight="false" outlineLevel="0" collapsed="false">
      <c r="A2744" s="3" t="s">
        <v>367</v>
      </c>
      <c r="B2744" s="4" t="s">
        <v>60</v>
      </c>
      <c r="C2744" s="4" t="n">
        <v>5</v>
      </c>
      <c r="D2744" s="4" t="s">
        <v>124</v>
      </c>
      <c r="E2744" s="3" t="s">
        <v>185</v>
      </c>
      <c r="F2744" s="4" t="str">
        <f aca="false">IF(I2744&gt;J2744,"Y","N")</f>
        <v>Y</v>
      </c>
      <c r="G2744" s="3" t="s">
        <v>36</v>
      </c>
      <c r="H2744" s="3" t="s">
        <v>37</v>
      </c>
      <c r="I2744" s="4" t="n">
        <v>21</v>
      </c>
      <c r="J2744" s="4" t="n">
        <f aca="false">LEN(E2744)-LEN(SUBSTITUTE(E2744,",",""))+1</f>
        <v>7</v>
      </c>
      <c r="K2744" s="3" t="str">
        <f aca="false">IFERROR(INDEX('Teacher Lookup'!$B$2:$B$200,MATCH(A2744,'Teacher Lookup'!$A$2:$A$200,0)),"")</f>
        <v>KUK Daniel</v>
      </c>
    </row>
    <row r="2745" customFormat="false" ht="15" hidden="false" customHeight="false" outlineLevel="0" collapsed="false">
      <c r="A2745" s="3" t="s">
        <v>367</v>
      </c>
      <c r="B2745" s="4" t="s">
        <v>60</v>
      </c>
      <c r="C2745" s="4" t="n">
        <v>5</v>
      </c>
      <c r="D2745" s="4" t="s">
        <v>139</v>
      </c>
      <c r="E2745" s="3" t="s">
        <v>185</v>
      </c>
      <c r="F2745" s="4" t="str">
        <f aca="false">IF(I2745&gt;J2745,"Y","N")</f>
        <v>Y</v>
      </c>
      <c r="G2745" s="3" t="s">
        <v>36</v>
      </c>
      <c r="H2745" s="3" t="s">
        <v>37</v>
      </c>
      <c r="I2745" s="4" t="n">
        <v>21</v>
      </c>
      <c r="J2745" s="4" t="n">
        <f aca="false">LEN(E2745)-LEN(SUBSTITUTE(E2745,",",""))+1</f>
        <v>7</v>
      </c>
      <c r="K2745" s="3" t="str">
        <f aca="false">IFERROR(INDEX('Teacher Lookup'!$B$2:$B$200,MATCH(A2745,'Teacher Lookup'!$A$2:$A$200,0)),"")</f>
        <v>KUK Daniel</v>
      </c>
    </row>
    <row r="2746" customFormat="false" ht="15" hidden="false" customHeight="false" outlineLevel="0" collapsed="false">
      <c r="A2746" s="3" t="s">
        <v>367</v>
      </c>
      <c r="B2746" s="4" t="s">
        <v>60</v>
      </c>
      <c r="C2746" s="4" t="n">
        <v>5</v>
      </c>
      <c r="D2746" s="4" t="s">
        <v>140</v>
      </c>
      <c r="E2746" s="3" t="s">
        <v>185</v>
      </c>
      <c r="F2746" s="4" t="str">
        <f aca="false">IF(I2746&gt;J2746,"Y","N")</f>
        <v>Y</v>
      </c>
      <c r="G2746" s="3" t="s">
        <v>36</v>
      </c>
      <c r="H2746" s="3" t="s">
        <v>37</v>
      </c>
      <c r="I2746" s="4" t="n">
        <v>21</v>
      </c>
      <c r="J2746" s="4" t="n">
        <f aca="false">LEN(E2746)-LEN(SUBSTITUTE(E2746,",",""))+1</f>
        <v>7</v>
      </c>
      <c r="K2746" s="3" t="str">
        <f aca="false">IFERROR(INDEX('Teacher Lookup'!$B$2:$B$200,MATCH(A2746,'Teacher Lookup'!$A$2:$A$200,0)),"")</f>
        <v>KUK Daniel</v>
      </c>
    </row>
    <row r="2747" customFormat="false" ht="15" hidden="false" customHeight="false" outlineLevel="0" collapsed="false">
      <c r="A2747" s="3" t="s">
        <v>367</v>
      </c>
      <c r="B2747" s="4" t="s">
        <v>60</v>
      </c>
      <c r="C2747" s="4" t="n">
        <v>5</v>
      </c>
      <c r="D2747" s="4" t="s">
        <v>142</v>
      </c>
      <c r="E2747" s="3" t="s">
        <v>185</v>
      </c>
      <c r="F2747" s="4" t="str">
        <f aca="false">IF(I2747&gt;J2747,"Y","N")</f>
        <v>Y</v>
      </c>
      <c r="G2747" s="3" t="s">
        <v>36</v>
      </c>
      <c r="H2747" s="3" t="s">
        <v>37</v>
      </c>
      <c r="I2747" s="4" t="n">
        <v>21</v>
      </c>
      <c r="J2747" s="4" t="n">
        <f aca="false">LEN(E2747)-LEN(SUBSTITUTE(E2747,",",""))+1</f>
        <v>7</v>
      </c>
      <c r="K2747" s="3" t="str">
        <f aca="false">IFERROR(INDEX('Teacher Lookup'!$B$2:$B$200,MATCH(A2747,'Teacher Lookup'!$A$2:$A$200,0)),"")</f>
        <v>KUK Daniel</v>
      </c>
    </row>
    <row r="2748" customFormat="false" ht="15" hidden="false" customHeight="false" outlineLevel="0" collapsed="false">
      <c r="A2748" s="3" t="s">
        <v>367</v>
      </c>
      <c r="B2748" s="4" t="s">
        <v>60</v>
      </c>
      <c r="C2748" s="4" t="n">
        <v>5</v>
      </c>
      <c r="D2748" s="4" t="s">
        <v>127</v>
      </c>
      <c r="E2748" s="3" t="s">
        <v>185</v>
      </c>
      <c r="F2748" s="4" t="str">
        <f aca="false">IF(I2748&gt;J2748,"Y","N")</f>
        <v>Y</v>
      </c>
      <c r="G2748" s="3" t="s">
        <v>36</v>
      </c>
      <c r="H2748" s="3" t="s">
        <v>37</v>
      </c>
      <c r="I2748" s="4" t="n">
        <v>21</v>
      </c>
      <c r="J2748" s="4" t="n">
        <f aca="false">LEN(E2748)-LEN(SUBSTITUTE(E2748,",",""))+1</f>
        <v>7</v>
      </c>
      <c r="K2748" s="3" t="str">
        <f aca="false">IFERROR(INDEX('Teacher Lookup'!$B$2:$B$200,MATCH(A2748,'Teacher Lookup'!$A$2:$A$200,0)),"")</f>
        <v>KUK Daniel</v>
      </c>
    </row>
    <row r="2749" customFormat="false" ht="15" hidden="false" customHeight="false" outlineLevel="0" collapsed="false">
      <c r="A2749" s="3" t="s">
        <v>367</v>
      </c>
      <c r="B2749" s="4" t="s">
        <v>60</v>
      </c>
      <c r="C2749" s="4" t="n">
        <v>6</v>
      </c>
      <c r="D2749" s="4" t="s">
        <v>18</v>
      </c>
      <c r="E2749" s="3" t="s">
        <v>368</v>
      </c>
      <c r="F2749" s="4" t="str">
        <f aca="false">IF(I2749&gt;J2749,"Y","N")</f>
        <v>N</v>
      </c>
      <c r="G2749" s="3" t="s">
        <v>369</v>
      </c>
      <c r="H2749" s="3" t="s">
        <v>42</v>
      </c>
      <c r="I2749" s="4" t="n">
        <v>1</v>
      </c>
      <c r="J2749" s="4" t="n">
        <f aca="false">LEN(E2749)-LEN(SUBSTITUTE(E2749,",",""))+1</f>
        <v>1</v>
      </c>
      <c r="K2749" s="3" t="str">
        <f aca="false">IFERROR(INDEX('Teacher Lookup'!$B$2:$B$200,MATCH(A2749,'Teacher Lookup'!$A$2:$A$200,0)),"")</f>
        <v>KUK Daniel</v>
      </c>
    </row>
    <row r="2750" customFormat="false" ht="15" hidden="false" customHeight="false" outlineLevel="0" collapsed="false">
      <c r="A2750" s="3" t="s">
        <v>367</v>
      </c>
      <c r="B2750" s="4" t="s">
        <v>63</v>
      </c>
      <c r="C2750" s="4" t="n">
        <v>3</v>
      </c>
      <c r="D2750" s="4" t="s">
        <v>140</v>
      </c>
      <c r="E2750" s="3" t="s">
        <v>368</v>
      </c>
      <c r="F2750" s="4" t="str">
        <f aca="false">IF(I2750&gt;J2750,"Y","N")</f>
        <v>N</v>
      </c>
      <c r="G2750" s="3" t="s">
        <v>369</v>
      </c>
      <c r="H2750" s="3" t="s">
        <v>26</v>
      </c>
      <c r="I2750" s="4" t="n">
        <v>1</v>
      </c>
      <c r="J2750" s="4" t="n">
        <f aca="false">LEN(E2750)-LEN(SUBSTITUTE(E2750,",",""))+1</f>
        <v>1</v>
      </c>
      <c r="K2750" s="3" t="str">
        <f aca="false">IFERROR(INDEX('Teacher Lookup'!$B$2:$B$200,MATCH(A2750,'Teacher Lookup'!$A$2:$A$200,0)),"")</f>
        <v>KUK Daniel</v>
      </c>
    </row>
    <row r="2751" customFormat="false" ht="15" hidden="false" customHeight="false" outlineLevel="0" collapsed="false">
      <c r="A2751" s="3" t="s">
        <v>367</v>
      </c>
      <c r="B2751" s="4" t="s">
        <v>63</v>
      </c>
      <c r="C2751" s="4" t="n">
        <v>4</v>
      </c>
      <c r="D2751" s="4" t="s">
        <v>70</v>
      </c>
      <c r="E2751" s="3" t="s">
        <v>213</v>
      </c>
      <c r="F2751" s="4" t="str">
        <f aca="false">IF(I2751&gt;J2751,"Y","N")</f>
        <v>Y</v>
      </c>
      <c r="G2751" s="3" t="s">
        <v>214</v>
      </c>
      <c r="H2751" s="3" t="s">
        <v>34</v>
      </c>
      <c r="I2751" s="4" t="n">
        <v>20</v>
      </c>
      <c r="J2751" s="4" t="n">
        <f aca="false">LEN(E2751)-LEN(SUBSTITUTE(E2751,",",""))+1</f>
        <v>6</v>
      </c>
      <c r="K2751" s="3" t="str">
        <f aca="false">IFERROR(INDEX('Teacher Lookup'!$B$2:$B$200,MATCH(A2751,'Teacher Lookup'!$A$2:$A$200,0)),"")</f>
        <v>KUK Daniel</v>
      </c>
    </row>
    <row r="2752" customFormat="false" ht="15" hidden="false" customHeight="false" outlineLevel="0" collapsed="false">
      <c r="A2752" s="3" t="s">
        <v>367</v>
      </c>
      <c r="B2752" s="4" t="s">
        <v>63</v>
      </c>
      <c r="C2752" s="4" t="n">
        <v>4</v>
      </c>
      <c r="D2752" s="4" t="s">
        <v>73</v>
      </c>
      <c r="E2752" s="3" t="s">
        <v>213</v>
      </c>
      <c r="F2752" s="4" t="str">
        <f aca="false">IF(I2752&gt;J2752,"Y","N")</f>
        <v>Y</v>
      </c>
      <c r="G2752" s="3" t="s">
        <v>214</v>
      </c>
      <c r="H2752" s="3" t="s">
        <v>34</v>
      </c>
      <c r="I2752" s="4" t="n">
        <v>20</v>
      </c>
      <c r="J2752" s="4" t="n">
        <f aca="false">LEN(E2752)-LEN(SUBSTITUTE(E2752,",",""))+1</f>
        <v>6</v>
      </c>
      <c r="K2752" s="3" t="str">
        <f aca="false">IFERROR(INDEX('Teacher Lookup'!$B$2:$B$200,MATCH(A2752,'Teacher Lookup'!$A$2:$A$200,0)),"")</f>
        <v>KUK Daniel</v>
      </c>
    </row>
    <row r="2753" customFormat="false" ht="15" hidden="false" customHeight="false" outlineLevel="0" collapsed="false">
      <c r="A2753" s="3" t="s">
        <v>367</v>
      </c>
      <c r="B2753" s="4" t="s">
        <v>63</v>
      </c>
      <c r="C2753" s="4" t="n">
        <v>4</v>
      </c>
      <c r="D2753" s="4" t="s">
        <v>74</v>
      </c>
      <c r="E2753" s="3" t="s">
        <v>213</v>
      </c>
      <c r="F2753" s="4" t="str">
        <f aca="false">IF(I2753&gt;J2753,"Y","N")</f>
        <v>Y</v>
      </c>
      <c r="G2753" s="3" t="s">
        <v>214</v>
      </c>
      <c r="H2753" s="3" t="s">
        <v>34</v>
      </c>
      <c r="I2753" s="4" t="n">
        <v>20</v>
      </c>
      <c r="J2753" s="4" t="n">
        <f aca="false">LEN(E2753)-LEN(SUBSTITUTE(E2753,",",""))+1</f>
        <v>6</v>
      </c>
      <c r="K2753" s="3" t="str">
        <f aca="false">IFERROR(INDEX('Teacher Lookup'!$B$2:$B$200,MATCH(A2753,'Teacher Lookup'!$A$2:$A$200,0)),"")</f>
        <v>KUK Daniel</v>
      </c>
    </row>
    <row r="2754" customFormat="false" ht="15" hidden="false" customHeight="false" outlineLevel="0" collapsed="false">
      <c r="A2754" s="3" t="s">
        <v>367</v>
      </c>
      <c r="B2754" s="4" t="s">
        <v>63</v>
      </c>
      <c r="C2754" s="4" t="n">
        <v>4</v>
      </c>
      <c r="D2754" s="4" t="s">
        <v>76</v>
      </c>
      <c r="E2754" s="3" t="s">
        <v>213</v>
      </c>
      <c r="F2754" s="4" t="str">
        <f aca="false">IF(I2754&gt;J2754,"Y","N")</f>
        <v>Y</v>
      </c>
      <c r="G2754" s="3" t="s">
        <v>214</v>
      </c>
      <c r="H2754" s="3" t="s">
        <v>34</v>
      </c>
      <c r="I2754" s="4" t="n">
        <v>20</v>
      </c>
      <c r="J2754" s="4" t="n">
        <f aca="false">LEN(E2754)-LEN(SUBSTITUTE(E2754,",",""))+1</f>
        <v>6</v>
      </c>
      <c r="K2754" s="3" t="str">
        <f aca="false">IFERROR(INDEX('Teacher Lookup'!$B$2:$B$200,MATCH(A2754,'Teacher Lookup'!$A$2:$A$200,0)),"")</f>
        <v>KUK Daniel</v>
      </c>
    </row>
    <row r="2755" customFormat="false" ht="15" hidden="false" customHeight="false" outlineLevel="0" collapsed="false">
      <c r="A2755" s="3" t="s">
        <v>367</v>
      </c>
      <c r="B2755" s="4" t="s">
        <v>63</v>
      </c>
      <c r="C2755" s="4" t="n">
        <v>4</v>
      </c>
      <c r="D2755" s="4" t="s">
        <v>78</v>
      </c>
      <c r="E2755" s="3" t="s">
        <v>213</v>
      </c>
      <c r="F2755" s="4" t="str">
        <f aca="false">IF(I2755&gt;J2755,"Y","N")</f>
        <v>Y</v>
      </c>
      <c r="G2755" s="3" t="s">
        <v>214</v>
      </c>
      <c r="H2755" s="3" t="s">
        <v>34</v>
      </c>
      <c r="I2755" s="4" t="n">
        <v>20</v>
      </c>
      <c r="J2755" s="4" t="n">
        <f aca="false">LEN(E2755)-LEN(SUBSTITUTE(E2755,",",""))+1</f>
        <v>6</v>
      </c>
      <c r="K2755" s="3" t="str">
        <f aca="false">IFERROR(INDEX('Teacher Lookup'!$B$2:$B$200,MATCH(A2755,'Teacher Lookup'!$A$2:$A$200,0)),"")</f>
        <v>KUK Daniel</v>
      </c>
    </row>
    <row r="2756" customFormat="false" ht="15" hidden="false" customHeight="false" outlineLevel="0" collapsed="false">
      <c r="A2756" s="3" t="s">
        <v>367</v>
      </c>
      <c r="B2756" s="4" t="s">
        <v>63</v>
      </c>
      <c r="C2756" s="4" t="n">
        <v>4</v>
      </c>
      <c r="D2756" s="4" t="s">
        <v>79</v>
      </c>
      <c r="E2756" s="3" t="s">
        <v>213</v>
      </c>
      <c r="F2756" s="4" t="str">
        <f aca="false">IF(I2756&gt;J2756,"Y","N")</f>
        <v>Y</v>
      </c>
      <c r="G2756" s="3" t="s">
        <v>214</v>
      </c>
      <c r="H2756" s="3" t="s">
        <v>34</v>
      </c>
      <c r="I2756" s="4" t="n">
        <v>20</v>
      </c>
      <c r="J2756" s="4" t="n">
        <f aca="false">LEN(E2756)-LEN(SUBSTITUTE(E2756,",",""))+1</f>
        <v>6</v>
      </c>
      <c r="K2756" s="3" t="str">
        <f aca="false">IFERROR(INDEX('Teacher Lookup'!$B$2:$B$200,MATCH(A2756,'Teacher Lookup'!$A$2:$A$200,0)),"")</f>
        <v>KUK Daniel</v>
      </c>
    </row>
    <row r="2757" customFormat="false" ht="15" hidden="false" customHeight="false" outlineLevel="0" collapsed="false">
      <c r="A2757" s="3" t="s">
        <v>367</v>
      </c>
      <c r="B2757" s="4" t="s">
        <v>63</v>
      </c>
      <c r="C2757" s="4" t="n">
        <v>5</v>
      </c>
      <c r="D2757" s="4" t="s">
        <v>70</v>
      </c>
      <c r="E2757" s="3" t="s">
        <v>213</v>
      </c>
      <c r="F2757" s="4" t="str">
        <f aca="false">IF(I2757&gt;J2757,"Y","N")</f>
        <v>Y</v>
      </c>
      <c r="G2757" s="3" t="s">
        <v>214</v>
      </c>
      <c r="H2757" s="3" t="s">
        <v>37</v>
      </c>
      <c r="I2757" s="4" t="n">
        <v>20</v>
      </c>
      <c r="J2757" s="4" t="n">
        <f aca="false">LEN(E2757)-LEN(SUBSTITUTE(E2757,",",""))+1</f>
        <v>6</v>
      </c>
      <c r="K2757" s="3" t="str">
        <f aca="false">IFERROR(INDEX('Teacher Lookup'!$B$2:$B$200,MATCH(A2757,'Teacher Lookup'!$A$2:$A$200,0)),"")</f>
        <v>KUK Daniel</v>
      </c>
    </row>
    <row r="2758" customFormat="false" ht="15" hidden="false" customHeight="false" outlineLevel="0" collapsed="false">
      <c r="A2758" s="3" t="s">
        <v>367</v>
      </c>
      <c r="B2758" s="4" t="s">
        <v>63</v>
      </c>
      <c r="C2758" s="4" t="n">
        <v>5</v>
      </c>
      <c r="D2758" s="4" t="s">
        <v>73</v>
      </c>
      <c r="E2758" s="3" t="s">
        <v>213</v>
      </c>
      <c r="F2758" s="4" t="str">
        <f aca="false">IF(I2758&gt;J2758,"Y","N")</f>
        <v>Y</v>
      </c>
      <c r="G2758" s="3" t="s">
        <v>214</v>
      </c>
      <c r="H2758" s="3" t="s">
        <v>37</v>
      </c>
      <c r="I2758" s="4" t="n">
        <v>20</v>
      </c>
      <c r="J2758" s="4" t="n">
        <f aca="false">LEN(E2758)-LEN(SUBSTITUTE(E2758,",",""))+1</f>
        <v>6</v>
      </c>
      <c r="K2758" s="3" t="str">
        <f aca="false">IFERROR(INDEX('Teacher Lookup'!$B$2:$B$200,MATCH(A2758,'Teacher Lookup'!$A$2:$A$200,0)),"")</f>
        <v>KUK Daniel</v>
      </c>
    </row>
    <row r="2759" customFormat="false" ht="15" hidden="false" customHeight="false" outlineLevel="0" collapsed="false">
      <c r="A2759" s="3" t="s">
        <v>367</v>
      </c>
      <c r="B2759" s="4" t="s">
        <v>63</v>
      </c>
      <c r="C2759" s="4" t="n">
        <v>5</v>
      </c>
      <c r="D2759" s="4" t="s">
        <v>74</v>
      </c>
      <c r="E2759" s="3" t="s">
        <v>213</v>
      </c>
      <c r="F2759" s="4" t="str">
        <f aca="false">IF(I2759&gt;J2759,"Y","N")</f>
        <v>Y</v>
      </c>
      <c r="G2759" s="3" t="s">
        <v>214</v>
      </c>
      <c r="H2759" s="3" t="s">
        <v>37</v>
      </c>
      <c r="I2759" s="4" t="n">
        <v>20</v>
      </c>
      <c r="J2759" s="4" t="n">
        <f aca="false">LEN(E2759)-LEN(SUBSTITUTE(E2759,",",""))+1</f>
        <v>6</v>
      </c>
      <c r="K2759" s="3" t="str">
        <f aca="false">IFERROR(INDEX('Teacher Lookup'!$B$2:$B$200,MATCH(A2759,'Teacher Lookup'!$A$2:$A$200,0)),"")</f>
        <v>KUK Daniel</v>
      </c>
    </row>
    <row r="2760" customFormat="false" ht="15" hidden="false" customHeight="false" outlineLevel="0" collapsed="false">
      <c r="A2760" s="3" t="s">
        <v>367</v>
      </c>
      <c r="B2760" s="4" t="s">
        <v>63</v>
      </c>
      <c r="C2760" s="4" t="n">
        <v>5</v>
      </c>
      <c r="D2760" s="4" t="s">
        <v>76</v>
      </c>
      <c r="E2760" s="3" t="s">
        <v>213</v>
      </c>
      <c r="F2760" s="4" t="str">
        <f aca="false">IF(I2760&gt;J2760,"Y","N")</f>
        <v>Y</v>
      </c>
      <c r="G2760" s="3" t="s">
        <v>214</v>
      </c>
      <c r="H2760" s="3" t="s">
        <v>37</v>
      </c>
      <c r="I2760" s="4" t="n">
        <v>20</v>
      </c>
      <c r="J2760" s="4" t="n">
        <f aca="false">LEN(E2760)-LEN(SUBSTITUTE(E2760,",",""))+1</f>
        <v>6</v>
      </c>
      <c r="K2760" s="3" t="str">
        <f aca="false">IFERROR(INDEX('Teacher Lookup'!$B$2:$B$200,MATCH(A2760,'Teacher Lookup'!$A$2:$A$200,0)),"")</f>
        <v>KUK Daniel</v>
      </c>
    </row>
    <row r="2761" customFormat="false" ht="15" hidden="false" customHeight="false" outlineLevel="0" collapsed="false">
      <c r="A2761" s="3" t="s">
        <v>367</v>
      </c>
      <c r="B2761" s="4" t="s">
        <v>63</v>
      </c>
      <c r="C2761" s="4" t="n">
        <v>5</v>
      </c>
      <c r="D2761" s="4" t="s">
        <v>78</v>
      </c>
      <c r="E2761" s="3" t="s">
        <v>213</v>
      </c>
      <c r="F2761" s="4" t="str">
        <f aca="false">IF(I2761&gt;J2761,"Y","N")</f>
        <v>Y</v>
      </c>
      <c r="G2761" s="3" t="s">
        <v>214</v>
      </c>
      <c r="H2761" s="3" t="s">
        <v>37</v>
      </c>
      <c r="I2761" s="4" t="n">
        <v>20</v>
      </c>
      <c r="J2761" s="4" t="n">
        <f aca="false">LEN(E2761)-LEN(SUBSTITUTE(E2761,",",""))+1</f>
        <v>6</v>
      </c>
      <c r="K2761" s="3" t="str">
        <f aca="false">IFERROR(INDEX('Teacher Lookup'!$B$2:$B$200,MATCH(A2761,'Teacher Lookup'!$A$2:$A$200,0)),"")</f>
        <v>KUK Daniel</v>
      </c>
    </row>
    <row r="2762" customFormat="false" ht="15" hidden="false" customHeight="false" outlineLevel="0" collapsed="false">
      <c r="A2762" s="3" t="s">
        <v>367</v>
      </c>
      <c r="B2762" s="4" t="s">
        <v>63</v>
      </c>
      <c r="C2762" s="4" t="n">
        <v>5</v>
      </c>
      <c r="D2762" s="4" t="s">
        <v>79</v>
      </c>
      <c r="E2762" s="3" t="s">
        <v>213</v>
      </c>
      <c r="F2762" s="4" t="str">
        <f aca="false">IF(I2762&gt;J2762,"Y","N")</f>
        <v>Y</v>
      </c>
      <c r="G2762" s="3" t="s">
        <v>214</v>
      </c>
      <c r="H2762" s="3" t="s">
        <v>37</v>
      </c>
      <c r="I2762" s="4" t="n">
        <v>20</v>
      </c>
      <c r="J2762" s="4" t="n">
        <f aca="false">LEN(E2762)-LEN(SUBSTITUTE(E2762,",",""))+1</f>
        <v>6</v>
      </c>
      <c r="K2762" s="3" t="str">
        <f aca="false">IFERROR(INDEX('Teacher Lookup'!$B$2:$B$200,MATCH(A2762,'Teacher Lookup'!$A$2:$A$200,0)),"")</f>
        <v>KUK Daniel</v>
      </c>
    </row>
    <row r="2763" customFormat="false" ht="15" hidden="false" customHeight="false" outlineLevel="0" collapsed="false">
      <c r="A2763" s="3" t="s">
        <v>367</v>
      </c>
      <c r="B2763" s="4" t="s">
        <v>65</v>
      </c>
      <c r="C2763" s="4" t="n">
        <v>4</v>
      </c>
      <c r="D2763" s="4" t="s">
        <v>76</v>
      </c>
      <c r="E2763" s="3" t="s">
        <v>368</v>
      </c>
      <c r="F2763" s="4" t="str">
        <f aca="false">IF(I2763&gt;J2763,"Y","N")</f>
        <v>N</v>
      </c>
      <c r="G2763" s="3" t="s">
        <v>369</v>
      </c>
      <c r="H2763" s="3" t="s">
        <v>34</v>
      </c>
      <c r="I2763" s="4" t="n">
        <v>1</v>
      </c>
      <c r="J2763" s="4" t="n">
        <f aca="false">LEN(E2763)-LEN(SUBSTITUTE(E2763,",",""))+1</f>
        <v>1</v>
      </c>
      <c r="K2763" s="3" t="str">
        <f aca="false">IFERROR(INDEX('Teacher Lookup'!$B$2:$B$200,MATCH(A2763,'Teacher Lookup'!$A$2:$A$200,0)),"")</f>
        <v>KUK Daniel</v>
      </c>
    </row>
    <row r="2764" customFormat="false" ht="15" hidden="false" customHeight="false" outlineLevel="0" collapsed="false">
      <c r="A2764" s="3" t="s">
        <v>367</v>
      </c>
      <c r="B2764" s="4" t="s">
        <v>65</v>
      </c>
      <c r="C2764" s="4" t="n">
        <v>5</v>
      </c>
      <c r="D2764" s="4" t="s">
        <v>137</v>
      </c>
      <c r="E2764" s="3" t="s">
        <v>185</v>
      </c>
      <c r="F2764" s="4" t="str">
        <f aca="false">IF(I2764&gt;J2764,"Y","N")</f>
        <v>Y</v>
      </c>
      <c r="G2764" s="3" t="s">
        <v>36</v>
      </c>
      <c r="H2764" s="3" t="s">
        <v>37</v>
      </c>
      <c r="I2764" s="4" t="n">
        <v>21</v>
      </c>
      <c r="J2764" s="4" t="n">
        <f aca="false">LEN(E2764)-LEN(SUBSTITUTE(E2764,",",""))+1</f>
        <v>7</v>
      </c>
      <c r="K2764" s="3" t="str">
        <f aca="false">IFERROR(INDEX('Teacher Lookup'!$B$2:$B$200,MATCH(A2764,'Teacher Lookup'!$A$2:$A$200,0)),"")</f>
        <v>KUK Daniel</v>
      </c>
    </row>
    <row r="2765" customFormat="false" ht="15" hidden="false" customHeight="false" outlineLevel="0" collapsed="false">
      <c r="A2765" s="3" t="s">
        <v>367</v>
      </c>
      <c r="B2765" s="4" t="s">
        <v>65</v>
      </c>
      <c r="C2765" s="4" t="n">
        <v>5</v>
      </c>
      <c r="D2765" s="4" t="s">
        <v>124</v>
      </c>
      <c r="E2765" s="3" t="s">
        <v>185</v>
      </c>
      <c r="F2765" s="4" t="str">
        <f aca="false">IF(I2765&gt;J2765,"Y","N")</f>
        <v>Y</v>
      </c>
      <c r="G2765" s="3" t="s">
        <v>36</v>
      </c>
      <c r="H2765" s="3" t="s">
        <v>37</v>
      </c>
      <c r="I2765" s="4" t="n">
        <v>21</v>
      </c>
      <c r="J2765" s="4" t="n">
        <f aca="false">LEN(E2765)-LEN(SUBSTITUTE(E2765,",",""))+1</f>
        <v>7</v>
      </c>
      <c r="K2765" s="3" t="str">
        <f aca="false">IFERROR(INDEX('Teacher Lookup'!$B$2:$B$200,MATCH(A2765,'Teacher Lookup'!$A$2:$A$200,0)),"")</f>
        <v>KUK Daniel</v>
      </c>
    </row>
    <row r="2766" customFormat="false" ht="15" hidden="false" customHeight="false" outlineLevel="0" collapsed="false">
      <c r="A2766" s="3" t="s">
        <v>367</v>
      </c>
      <c r="B2766" s="4" t="s">
        <v>65</v>
      </c>
      <c r="C2766" s="4" t="n">
        <v>5</v>
      </c>
      <c r="D2766" s="4" t="s">
        <v>139</v>
      </c>
      <c r="E2766" s="3" t="s">
        <v>185</v>
      </c>
      <c r="F2766" s="4" t="str">
        <f aca="false">IF(I2766&gt;J2766,"Y","N")</f>
        <v>Y</v>
      </c>
      <c r="G2766" s="3" t="s">
        <v>36</v>
      </c>
      <c r="H2766" s="3" t="s">
        <v>37</v>
      </c>
      <c r="I2766" s="4" t="n">
        <v>21</v>
      </c>
      <c r="J2766" s="4" t="n">
        <f aca="false">LEN(E2766)-LEN(SUBSTITUTE(E2766,",",""))+1</f>
        <v>7</v>
      </c>
      <c r="K2766" s="3" t="str">
        <f aca="false">IFERROR(INDEX('Teacher Lookup'!$B$2:$B$200,MATCH(A2766,'Teacher Lookup'!$A$2:$A$200,0)),"")</f>
        <v>KUK Daniel</v>
      </c>
    </row>
    <row r="2767" customFormat="false" ht="15" hidden="false" customHeight="false" outlineLevel="0" collapsed="false">
      <c r="A2767" s="3" t="s">
        <v>367</v>
      </c>
      <c r="B2767" s="4" t="s">
        <v>65</v>
      </c>
      <c r="C2767" s="4" t="n">
        <v>5</v>
      </c>
      <c r="D2767" s="4" t="s">
        <v>140</v>
      </c>
      <c r="E2767" s="3" t="s">
        <v>185</v>
      </c>
      <c r="F2767" s="4" t="str">
        <f aca="false">IF(I2767&gt;J2767,"Y","N")</f>
        <v>Y</v>
      </c>
      <c r="G2767" s="3" t="s">
        <v>36</v>
      </c>
      <c r="H2767" s="3" t="s">
        <v>37</v>
      </c>
      <c r="I2767" s="4" t="n">
        <v>21</v>
      </c>
      <c r="J2767" s="4" t="n">
        <f aca="false">LEN(E2767)-LEN(SUBSTITUTE(E2767,",",""))+1</f>
        <v>7</v>
      </c>
      <c r="K2767" s="3" t="str">
        <f aca="false">IFERROR(INDEX('Teacher Lookup'!$B$2:$B$200,MATCH(A2767,'Teacher Lookup'!$A$2:$A$200,0)),"")</f>
        <v>KUK Daniel</v>
      </c>
    </row>
    <row r="2768" customFormat="false" ht="15" hidden="false" customHeight="false" outlineLevel="0" collapsed="false">
      <c r="A2768" s="3" t="s">
        <v>367</v>
      </c>
      <c r="B2768" s="4" t="s">
        <v>65</v>
      </c>
      <c r="C2768" s="4" t="n">
        <v>5</v>
      </c>
      <c r="D2768" s="4" t="s">
        <v>142</v>
      </c>
      <c r="E2768" s="3" t="s">
        <v>185</v>
      </c>
      <c r="F2768" s="4" t="str">
        <f aca="false">IF(I2768&gt;J2768,"Y","N")</f>
        <v>Y</v>
      </c>
      <c r="G2768" s="3" t="s">
        <v>36</v>
      </c>
      <c r="H2768" s="3" t="s">
        <v>37</v>
      </c>
      <c r="I2768" s="4" t="n">
        <v>21</v>
      </c>
      <c r="J2768" s="4" t="n">
        <f aca="false">LEN(E2768)-LEN(SUBSTITUTE(E2768,",",""))+1</f>
        <v>7</v>
      </c>
      <c r="K2768" s="3" t="str">
        <f aca="false">IFERROR(INDEX('Teacher Lookup'!$B$2:$B$200,MATCH(A2768,'Teacher Lookup'!$A$2:$A$200,0)),"")</f>
        <v>KUK Daniel</v>
      </c>
    </row>
    <row r="2769" customFormat="false" ht="15" hidden="false" customHeight="false" outlineLevel="0" collapsed="false">
      <c r="A2769" s="3" t="s">
        <v>367</v>
      </c>
      <c r="B2769" s="4" t="s">
        <v>65</v>
      </c>
      <c r="C2769" s="4" t="n">
        <v>5</v>
      </c>
      <c r="D2769" s="4" t="s">
        <v>127</v>
      </c>
      <c r="E2769" s="3" t="s">
        <v>185</v>
      </c>
      <c r="F2769" s="4" t="str">
        <f aca="false">IF(I2769&gt;J2769,"Y","N")</f>
        <v>Y</v>
      </c>
      <c r="G2769" s="3" t="s">
        <v>36</v>
      </c>
      <c r="H2769" s="3" t="s">
        <v>37</v>
      </c>
      <c r="I2769" s="4" t="n">
        <v>21</v>
      </c>
      <c r="J2769" s="4" t="n">
        <f aca="false">LEN(E2769)-LEN(SUBSTITUTE(E2769,",",""))+1</f>
        <v>7</v>
      </c>
      <c r="K2769" s="3" t="str">
        <f aca="false">IFERROR(INDEX('Teacher Lookup'!$B$2:$B$200,MATCH(A2769,'Teacher Lookup'!$A$2:$A$200,0)),"")</f>
        <v>KUK Daniel</v>
      </c>
    </row>
    <row r="2770" customFormat="false" ht="15" hidden="false" customHeight="false" outlineLevel="0" collapsed="false">
      <c r="A2770" s="3" t="s">
        <v>367</v>
      </c>
      <c r="B2770" s="4" t="s">
        <v>65</v>
      </c>
      <c r="C2770" s="4" t="n">
        <v>7</v>
      </c>
      <c r="D2770" s="4" t="s">
        <v>19</v>
      </c>
      <c r="E2770" s="3" t="s">
        <v>368</v>
      </c>
      <c r="F2770" s="4" t="str">
        <f aca="false">IF(I2770&gt;J2770,"Y","N")</f>
        <v>N</v>
      </c>
      <c r="G2770" s="3" t="s">
        <v>369</v>
      </c>
      <c r="H2770" s="3" t="s">
        <v>39</v>
      </c>
      <c r="I2770" s="4" t="n">
        <v>1</v>
      </c>
      <c r="J2770" s="4" t="n">
        <f aca="false">LEN(E2770)-LEN(SUBSTITUTE(E2770,",",""))+1</f>
        <v>1</v>
      </c>
      <c r="K2770" s="3" t="str">
        <f aca="false">IFERROR(INDEX('Teacher Lookup'!$B$2:$B$200,MATCH(A2770,'Teacher Lookup'!$A$2:$A$200,0)),"")</f>
        <v>KUK Daniel</v>
      </c>
    </row>
    <row r="2771" customFormat="false" ht="15" hidden="false" customHeight="false" outlineLevel="0" collapsed="false">
      <c r="A2771" s="3" t="s">
        <v>367</v>
      </c>
      <c r="B2771" s="4" t="s">
        <v>66</v>
      </c>
      <c r="C2771" s="4" t="n">
        <v>4</v>
      </c>
      <c r="D2771" s="4" t="s">
        <v>13</v>
      </c>
      <c r="E2771" s="3" t="s">
        <v>368</v>
      </c>
      <c r="F2771" s="4" t="str">
        <f aca="false">IF(I2771&gt;J2771,"Y","N")</f>
        <v>N</v>
      </c>
      <c r="G2771" s="3" t="s">
        <v>369</v>
      </c>
      <c r="H2771" s="3" t="s">
        <v>34</v>
      </c>
      <c r="I2771" s="4" t="n">
        <v>1</v>
      </c>
      <c r="J2771" s="4" t="n">
        <f aca="false">LEN(E2771)-LEN(SUBSTITUTE(E2771,",",""))+1</f>
        <v>1</v>
      </c>
      <c r="K2771" s="3" t="str">
        <f aca="false">IFERROR(INDEX('Teacher Lookup'!$B$2:$B$200,MATCH(A2771,'Teacher Lookup'!$A$2:$A$200,0)),"")</f>
        <v>KUK Daniel</v>
      </c>
    </row>
    <row r="2772" customFormat="false" ht="15" hidden="false" customHeight="false" outlineLevel="0" collapsed="false">
      <c r="A2772" s="3" t="s">
        <v>367</v>
      </c>
      <c r="B2772" s="4" t="s">
        <v>66</v>
      </c>
      <c r="C2772" s="4" t="n">
        <v>7</v>
      </c>
      <c r="D2772" s="4" t="s">
        <v>139</v>
      </c>
      <c r="E2772" s="3" t="s">
        <v>368</v>
      </c>
      <c r="F2772" s="4" t="str">
        <f aca="false">IF(I2772&gt;J2772,"Y","N")</f>
        <v>N</v>
      </c>
      <c r="G2772" s="3" t="s">
        <v>369</v>
      </c>
      <c r="H2772" s="3" t="s">
        <v>39</v>
      </c>
      <c r="I2772" s="4" t="n">
        <v>1</v>
      </c>
      <c r="J2772" s="4" t="n">
        <f aca="false">LEN(E2772)-LEN(SUBSTITUTE(E2772,",",""))+1</f>
        <v>1</v>
      </c>
      <c r="K2772" s="3" t="str">
        <f aca="false">IFERROR(INDEX('Teacher Lookup'!$B$2:$B$200,MATCH(A2772,'Teacher Lookup'!$A$2:$A$200,0)),"")</f>
        <v>KUK Daniel</v>
      </c>
    </row>
    <row r="2773" customFormat="false" ht="15" hidden="false" customHeight="false" outlineLevel="0" collapsed="false">
      <c r="A2773" s="3" t="s">
        <v>370</v>
      </c>
      <c r="B2773" s="4" t="s">
        <v>12</v>
      </c>
      <c r="C2773" s="4" t="n">
        <v>3</v>
      </c>
      <c r="D2773" s="4" t="s">
        <v>140</v>
      </c>
      <c r="E2773" s="3" t="s">
        <v>144</v>
      </c>
      <c r="F2773" s="4" t="str">
        <f aca="false">IF(I2773&gt;J2773,"Y","N")</f>
        <v>N</v>
      </c>
      <c r="G2773" s="3" t="s">
        <v>164</v>
      </c>
      <c r="H2773" s="3" t="s">
        <v>26</v>
      </c>
      <c r="I2773" s="4" t="n">
        <v>4</v>
      </c>
      <c r="J2773" s="4" t="n">
        <f aca="false">LEN(E2773)-LEN(SUBSTITUTE(E2773,",",""))+1</f>
        <v>4</v>
      </c>
      <c r="K2773" s="3" t="str">
        <f aca="false">IFERROR(INDEX('Teacher Lookup'!$B$2:$B$200,MATCH(A2773,'Teacher Lookup'!$A$2:$A$200,0)),"")</f>
        <v>WONG Donald</v>
      </c>
    </row>
    <row r="2774" customFormat="false" ht="15" hidden="false" customHeight="false" outlineLevel="0" collapsed="false">
      <c r="A2774" s="3" t="s">
        <v>370</v>
      </c>
      <c r="B2774" s="4" t="s">
        <v>12</v>
      </c>
      <c r="C2774" s="4" t="n">
        <v>3</v>
      </c>
      <c r="D2774" s="4" t="s">
        <v>142</v>
      </c>
      <c r="E2774" s="3" t="s">
        <v>144</v>
      </c>
      <c r="F2774" s="4" t="str">
        <f aca="false">IF(I2774&gt;J2774,"Y","N")</f>
        <v>N</v>
      </c>
      <c r="G2774" s="3" t="s">
        <v>164</v>
      </c>
      <c r="H2774" s="3" t="s">
        <v>26</v>
      </c>
      <c r="I2774" s="4" t="n">
        <v>4</v>
      </c>
      <c r="J2774" s="4" t="n">
        <f aca="false">LEN(E2774)-LEN(SUBSTITUTE(E2774,",",""))+1</f>
        <v>4</v>
      </c>
      <c r="K2774" s="3" t="str">
        <f aca="false">IFERROR(INDEX('Teacher Lookup'!$B$2:$B$200,MATCH(A2774,'Teacher Lookup'!$A$2:$A$200,0)),"")</f>
        <v>WONG Donald</v>
      </c>
    </row>
    <row r="2775" customFormat="false" ht="15" hidden="false" customHeight="false" outlineLevel="0" collapsed="false">
      <c r="A2775" s="3" t="s">
        <v>370</v>
      </c>
      <c r="B2775" s="4" t="s">
        <v>12</v>
      </c>
      <c r="C2775" s="4" t="n">
        <v>3</v>
      </c>
      <c r="D2775" s="4" t="s">
        <v>127</v>
      </c>
      <c r="E2775" s="3" t="s">
        <v>144</v>
      </c>
      <c r="F2775" s="4" t="str">
        <f aca="false">IF(I2775&gt;J2775,"Y","N")</f>
        <v>N</v>
      </c>
      <c r="G2775" s="3" t="s">
        <v>164</v>
      </c>
      <c r="H2775" s="3" t="s">
        <v>26</v>
      </c>
      <c r="I2775" s="4" t="n">
        <v>4</v>
      </c>
      <c r="J2775" s="4" t="n">
        <f aca="false">LEN(E2775)-LEN(SUBSTITUTE(E2775,",",""))+1</f>
        <v>4</v>
      </c>
      <c r="K2775" s="3" t="str">
        <f aca="false">IFERROR(INDEX('Teacher Lookup'!$B$2:$B$200,MATCH(A2775,'Teacher Lookup'!$A$2:$A$200,0)),"")</f>
        <v>WONG Donald</v>
      </c>
    </row>
    <row r="2776" customFormat="false" ht="15" hidden="false" customHeight="false" outlineLevel="0" collapsed="false">
      <c r="A2776" s="3" t="s">
        <v>370</v>
      </c>
      <c r="B2776" s="4" t="s">
        <v>12</v>
      </c>
      <c r="C2776" s="4" t="n">
        <v>4</v>
      </c>
      <c r="D2776" s="4" t="s">
        <v>137</v>
      </c>
      <c r="E2776" s="3" t="s">
        <v>138</v>
      </c>
      <c r="F2776" s="4" t="str">
        <f aca="false">IF(I2776&gt;J2776,"Y","N")</f>
        <v>N</v>
      </c>
      <c r="G2776" s="3" t="s">
        <v>164</v>
      </c>
      <c r="H2776" s="3" t="s">
        <v>34</v>
      </c>
      <c r="I2776" s="4" t="n">
        <v>4</v>
      </c>
      <c r="J2776" s="4" t="n">
        <f aca="false">LEN(E2776)-LEN(SUBSTITUTE(E2776,",",""))+1</f>
        <v>4</v>
      </c>
      <c r="K2776" s="3" t="str">
        <f aca="false">IFERROR(INDEX('Teacher Lookup'!$B$2:$B$200,MATCH(A2776,'Teacher Lookup'!$A$2:$A$200,0)),"")</f>
        <v>WONG Donald</v>
      </c>
    </row>
    <row r="2777" customFormat="false" ht="15" hidden="false" customHeight="false" outlineLevel="0" collapsed="false">
      <c r="A2777" s="3" t="s">
        <v>370</v>
      </c>
      <c r="B2777" s="4" t="s">
        <v>12</v>
      </c>
      <c r="C2777" s="4" t="n">
        <v>4</v>
      </c>
      <c r="D2777" s="4" t="s">
        <v>124</v>
      </c>
      <c r="E2777" s="3" t="s">
        <v>138</v>
      </c>
      <c r="F2777" s="4" t="str">
        <f aca="false">IF(I2777&gt;J2777,"Y","N")</f>
        <v>N</v>
      </c>
      <c r="G2777" s="3" t="s">
        <v>164</v>
      </c>
      <c r="H2777" s="3" t="s">
        <v>34</v>
      </c>
      <c r="I2777" s="4" t="n">
        <v>4</v>
      </c>
      <c r="J2777" s="4" t="n">
        <f aca="false">LEN(E2777)-LEN(SUBSTITUTE(E2777,",",""))+1</f>
        <v>4</v>
      </c>
      <c r="K2777" s="3" t="str">
        <f aca="false">IFERROR(INDEX('Teacher Lookup'!$B$2:$B$200,MATCH(A2777,'Teacher Lookup'!$A$2:$A$200,0)),"")</f>
        <v>WONG Donald</v>
      </c>
    </row>
    <row r="2778" customFormat="false" ht="15" hidden="false" customHeight="false" outlineLevel="0" collapsed="false">
      <c r="A2778" s="3" t="s">
        <v>370</v>
      </c>
      <c r="B2778" s="4" t="s">
        <v>12</v>
      </c>
      <c r="C2778" s="4" t="n">
        <v>4</v>
      </c>
      <c r="D2778" s="4" t="s">
        <v>139</v>
      </c>
      <c r="E2778" s="3" t="s">
        <v>138</v>
      </c>
      <c r="F2778" s="4" t="str">
        <f aca="false">IF(I2778&gt;J2778,"Y","N")</f>
        <v>N</v>
      </c>
      <c r="G2778" s="3" t="s">
        <v>164</v>
      </c>
      <c r="H2778" s="3" t="s">
        <v>34</v>
      </c>
      <c r="I2778" s="4" t="n">
        <v>4</v>
      </c>
      <c r="J2778" s="4" t="n">
        <f aca="false">LEN(E2778)-LEN(SUBSTITUTE(E2778,",",""))+1</f>
        <v>4</v>
      </c>
      <c r="K2778" s="3" t="str">
        <f aca="false">IFERROR(INDEX('Teacher Lookup'!$B$2:$B$200,MATCH(A2778,'Teacher Lookup'!$A$2:$A$200,0)),"")</f>
        <v>WONG Donald</v>
      </c>
    </row>
    <row r="2779" customFormat="false" ht="15" hidden="false" customHeight="false" outlineLevel="0" collapsed="false">
      <c r="A2779" s="3" t="s">
        <v>370</v>
      </c>
      <c r="B2779" s="4" t="s">
        <v>12</v>
      </c>
      <c r="C2779" s="4" t="n">
        <v>5</v>
      </c>
      <c r="D2779" s="4" t="s">
        <v>70</v>
      </c>
      <c r="E2779" s="3" t="s">
        <v>71</v>
      </c>
      <c r="F2779" s="4" t="str">
        <f aca="false">IF(I2779&gt;J2779,"Y","N")</f>
        <v>N</v>
      </c>
      <c r="G2779" s="3" t="s">
        <v>164</v>
      </c>
      <c r="H2779" s="3" t="s">
        <v>37</v>
      </c>
      <c r="I2779" s="4" t="n">
        <v>4</v>
      </c>
      <c r="J2779" s="4" t="n">
        <f aca="false">LEN(E2779)-LEN(SUBSTITUTE(E2779,",",""))+1</f>
        <v>4</v>
      </c>
      <c r="K2779" s="3" t="str">
        <f aca="false">IFERROR(INDEX('Teacher Lookup'!$B$2:$B$200,MATCH(A2779,'Teacher Lookup'!$A$2:$A$200,0)),"")</f>
        <v>WONG Donald</v>
      </c>
    </row>
    <row r="2780" customFormat="false" ht="15" hidden="false" customHeight="false" outlineLevel="0" collapsed="false">
      <c r="A2780" s="3" t="s">
        <v>370</v>
      </c>
      <c r="B2780" s="4" t="s">
        <v>12</v>
      </c>
      <c r="C2780" s="4" t="n">
        <v>5</v>
      </c>
      <c r="D2780" s="4" t="s">
        <v>73</v>
      </c>
      <c r="E2780" s="3" t="s">
        <v>71</v>
      </c>
      <c r="F2780" s="4" t="str">
        <f aca="false">IF(I2780&gt;J2780,"Y","N")</f>
        <v>N</v>
      </c>
      <c r="G2780" s="3" t="s">
        <v>164</v>
      </c>
      <c r="H2780" s="3" t="s">
        <v>37</v>
      </c>
      <c r="I2780" s="4" t="n">
        <v>4</v>
      </c>
      <c r="J2780" s="4" t="n">
        <f aca="false">LEN(E2780)-LEN(SUBSTITUTE(E2780,",",""))+1</f>
        <v>4</v>
      </c>
      <c r="K2780" s="3" t="str">
        <f aca="false">IFERROR(INDEX('Teacher Lookup'!$B$2:$B$200,MATCH(A2780,'Teacher Lookup'!$A$2:$A$200,0)),"")</f>
        <v>WONG Donald</v>
      </c>
    </row>
    <row r="2781" customFormat="false" ht="15" hidden="false" customHeight="false" outlineLevel="0" collapsed="false">
      <c r="A2781" s="3" t="s">
        <v>370</v>
      </c>
      <c r="B2781" s="4" t="s">
        <v>12</v>
      </c>
      <c r="C2781" s="4" t="n">
        <v>5</v>
      </c>
      <c r="D2781" s="4" t="s">
        <v>74</v>
      </c>
      <c r="E2781" s="3" t="s">
        <v>71</v>
      </c>
      <c r="F2781" s="4" t="str">
        <f aca="false">IF(I2781&gt;J2781,"Y","N")</f>
        <v>N</v>
      </c>
      <c r="G2781" s="3" t="s">
        <v>164</v>
      </c>
      <c r="H2781" s="3" t="s">
        <v>37</v>
      </c>
      <c r="I2781" s="4" t="n">
        <v>4</v>
      </c>
      <c r="J2781" s="4" t="n">
        <f aca="false">LEN(E2781)-LEN(SUBSTITUTE(E2781,",",""))+1</f>
        <v>4</v>
      </c>
      <c r="K2781" s="3" t="str">
        <f aca="false">IFERROR(INDEX('Teacher Lookup'!$B$2:$B$200,MATCH(A2781,'Teacher Lookup'!$A$2:$A$200,0)),"")</f>
        <v>WONG Donald</v>
      </c>
    </row>
    <row r="2782" customFormat="false" ht="15" hidden="false" customHeight="false" outlineLevel="0" collapsed="false">
      <c r="A2782" s="3" t="s">
        <v>370</v>
      </c>
      <c r="B2782" s="4" t="s">
        <v>31</v>
      </c>
      <c r="C2782" s="4" t="n">
        <v>2</v>
      </c>
      <c r="D2782" s="4" t="s">
        <v>137</v>
      </c>
      <c r="E2782" s="3" t="s">
        <v>146</v>
      </c>
      <c r="F2782" s="4" t="str">
        <f aca="false">IF(I2782&gt;J2782,"Y","N")</f>
        <v>N</v>
      </c>
      <c r="G2782" s="3" t="s">
        <v>164</v>
      </c>
      <c r="H2782" s="3" t="s">
        <v>21</v>
      </c>
      <c r="I2782" s="4" t="n">
        <v>4</v>
      </c>
      <c r="J2782" s="4" t="n">
        <f aca="false">LEN(E2782)-LEN(SUBSTITUTE(E2782,",",""))+1</f>
        <v>4</v>
      </c>
      <c r="K2782" s="3" t="str">
        <f aca="false">IFERROR(INDEX('Teacher Lookup'!$B$2:$B$200,MATCH(A2782,'Teacher Lookup'!$A$2:$A$200,0)),"")</f>
        <v>WONG Donald</v>
      </c>
    </row>
    <row r="2783" customFormat="false" ht="15" hidden="false" customHeight="false" outlineLevel="0" collapsed="false">
      <c r="A2783" s="3" t="s">
        <v>370</v>
      </c>
      <c r="B2783" s="4" t="s">
        <v>31</v>
      </c>
      <c r="C2783" s="4" t="n">
        <v>2</v>
      </c>
      <c r="D2783" s="4" t="s">
        <v>124</v>
      </c>
      <c r="E2783" s="3" t="s">
        <v>146</v>
      </c>
      <c r="F2783" s="4" t="str">
        <f aca="false">IF(I2783&gt;J2783,"Y","N")</f>
        <v>N</v>
      </c>
      <c r="G2783" s="3" t="s">
        <v>164</v>
      </c>
      <c r="H2783" s="3" t="s">
        <v>21</v>
      </c>
      <c r="I2783" s="4" t="n">
        <v>4</v>
      </c>
      <c r="J2783" s="4" t="n">
        <f aca="false">LEN(E2783)-LEN(SUBSTITUTE(E2783,",",""))+1</f>
        <v>4</v>
      </c>
      <c r="K2783" s="3" t="str">
        <f aca="false">IFERROR(INDEX('Teacher Lookup'!$B$2:$B$200,MATCH(A2783,'Teacher Lookup'!$A$2:$A$200,0)),"")</f>
        <v>WONG Donald</v>
      </c>
    </row>
    <row r="2784" customFormat="false" ht="15" hidden="false" customHeight="false" outlineLevel="0" collapsed="false">
      <c r="A2784" s="3" t="s">
        <v>370</v>
      </c>
      <c r="B2784" s="4" t="s">
        <v>31</v>
      </c>
      <c r="C2784" s="4" t="n">
        <v>2</v>
      </c>
      <c r="D2784" s="4" t="s">
        <v>139</v>
      </c>
      <c r="E2784" s="3" t="s">
        <v>146</v>
      </c>
      <c r="F2784" s="4" t="str">
        <f aca="false">IF(I2784&gt;J2784,"Y","N")</f>
        <v>N</v>
      </c>
      <c r="G2784" s="3" t="s">
        <v>164</v>
      </c>
      <c r="H2784" s="3" t="s">
        <v>21</v>
      </c>
      <c r="I2784" s="4" t="n">
        <v>4</v>
      </c>
      <c r="J2784" s="4" t="n">
        <f aca="false">LEN(E2784)-LEN(SUBSTITUTE(E2784,",",""))+1</f>
        <v>4</v>
      </c>
      <c r="K2784" s="3" t="str">
        <f aca="false">IFERROR(INDEX('Teacher Lookup'!$B$2:$B$200,MATCH(A2784,'Teacher Lookup'!$A$2:$A$200,0)),"")</f>
        <v>WONG Donald</v>
      </c>
    </row>
    <row r="2785" customFormat="false" ht="15" hidden="false" customHeight="false" outlineLevel="0" collapsed="false">
      <c r="A2785" s="3" t="s">
        <v>370</v>
      </c>
      <c r="B2785" s="4" t="s">
        <v>31</v>
      </c>
      <c r="C2785" s="4" t="n">
        <v>4</v>
      </c>
      <c r="D2785" s="4" t="s">
        <v>140</v>
      </c>
      <c r="E2785" s="3" t="s">
        <v>144</v>
      </c>
      <c r="F2785" s="4" t="str">
        <f aca="false">IF(I2785&gt;J2785,"Y","N")</f>
        <v>N</v>
      </c>
      <c r="G2785" s="3" t="s">
        <v>164</v>
      </c>
      <c r="H2785" s="3" t="s">
        <v>34</v>
      </c>
      <c r="I2785" s="4" t="n">
        <v>4</v>
      </c>
      <c r="J2785" s="4" t="n">
        <f aca="false">LEN(E2785)-LEN(SUBSTITUTE(E2785,",",""))+1</f>
        <v>4</v>
      </c>
      <c r="K2785" s="3" t="str">
        <f aca="false">IFERROR(INDEX('Teacher Lookup'!$B$2:$B$200,MATCH(A2785,'Teacher Lookup'!$A$2:$A$200,0)),"")</f>
        <v>WONG Donald</v>
      </c>
    </row>
    <row r="2786" customFormat="false" ht="15" hidden="false" customHeight="false" outlineLevel="0" collapsed="false">
      <c r="A2786" s="3" t="s">
        <v>370</v>
      </c>
      <c r="B2786" s="4" t="s">
        <v>31</v>
      </c>
      <c r="C2786" s="4" t="n">
        <v>4</v>
      </c>
      <c r="D2786" s="4" t="s">
        <v>142</v>
      </c>
      <c r="E2786" s="3" t="s">
        <v>144</v>
      </c>
      <c r="F2786" s="4" t="str">
        <f aca="false">IF(I2786&gt;J2786,"Y","N")</f>
        <v>N</v>
      </c>
      <c r="G2786" s="3" t="s">
        <v>164</v>
      </c>
      <c r="H2786" s="3" t="s">
        <v>34</v>
      </c>
      <c r="I2786" s="4" t="n">
        <v>4</v>
      </c>
      <c r="J2786" s="4" t="n">
        <f aca="false">LEN(E2786)-LEN(SUBSTITUTE(E2786,",",""))+1</f>
        <v>4</v>
      </c>
      <c r="K2786" s="3" t="str">
        <f aca="false">IFERROR(INDEX('Teacher Lookup'!$B$2:$B$200,MATCH(A2786,'Teacher Lookup'!$A$2:$A$200,0)),"")</f>
        <v>WONG Donald</v>
      </c>
    </row>
    <row r="2787" customFormat="false" ht="15" hidden="false" customHeight="false" outlineLevel="0" collapsed="false">
      <c r="A2787" s="3" t="s">
        <v>370</v>
      </c>
      <c r="B2787" s="4" t="s">
        <v>31</v>
      </c>
      <c r="C2787" s="4" t="n">
        <v>4</v>
      </c>
      <c r="D2787" s="4" t="s">
        <v>127</v>
      </c>
      <c r="E2787" s="3" t="s">
        <v>144</v>
      </c>
      <c r="F2787" s="4" t="str">
        <f aca="false">IF(I2787&gt;J2787,"Y","N")</f>
        <v>N</v>
      </c>
      <c r="G2787" s="3" t="s">
        <v>164</v>
      </c>
      <c r="H2787" s="3" t="s">
        <v>34</v>
      </c>
      <c r="I2787" s="4" t="n">
        <v>4</v>
      </c>
      <c r="J2787" s="4" t="n">
        <f aca="false">LEN(E2787)-LEN(SUBSTITUTE(E2787,",",""))+1</f>
        <v>4</v>
      </c>
      <c r="K2787" s="3" t="str">
        <f aca="false">IFERROR(INDEX('Teacher Lookup'!$B$2:$B$200,MATCH(A2787,'Teacher Lookup'!$A$2:$A$200,0)),"")</f>
        <v>WONG Donald</v>
      </c>
    </row>
    <row r="2788" customFormat="false" ht="15" hidden="false" customHeight="false" outlineLevel="0" collapsed="false">
      <c r="A2788" s="3" t="s">
        <v>370</v>
      </c>
      <c r="B2788" s="4" t="s">
        <v>31</v>
      </c>
      <c r="C2788" s="4" t="n">
        <v>5</v>
      </c>
      <c r="D2788" s="4" t="s">
        <v>137</v>
      </c>
      <c r="E2788" s="3" t="s">
        <v>185</v>
      </c>
      <c r="F2788" s="4" t="str">
        <f aca="false">IF(I2788&gt;J2788,"Y","N")</f>
        <v>Y</v>
      </c>
      <c r="G2788" s="3" t="s">
        <v>36</v>
      </c>
      <c r="H2788" s="3" t="s">
        <v>37</v>
      </c>
      <c r="I2788" s="4" t="n">
        <v>21</v>
      </c>
      <c r="J2788" s="4" t="n">
        <f aca="false">LEN(E2788)-LEN(SUBSTITUTE(E2788,",",""))+1</f>
        <v>7</v>
      </c>
      <c r="K2788" s="3" t="str">
        <f aca="false">IFERROR(INDEX('Teacher Lookup'!$B$2:$B$200,MATCH(A2788,'Teacher Lookup'!$A$2:$A$200,0)),"")</f>
        <v>WONG Donald</v>
      </c>
    </row>
    <row r="2789" customFormat="false" ht="15" hidden="false" customHeight="false" outlineLevel="0" collapsed="false">
      <c r="A2789" s="3" t="s">
        <v>370</v>
      </c>
      <c r="B2789" s="4" t="s">
        <v>31</v>
      </c>
      <c r="C2789" s="4" t="n">
        <v>5</v>
      </c>
      <c r="D2789" s="4" t="s">
        <v>124</v>
      </c>
      <c r="E2789" s="3" t="s">
        <v>185</v>
      </c>
      <c r="F2789" s="4" t="str">
        <f aca="false">IF(I2789&gt;J2789,"Y","N")</f>
        <v>Y</v>
      </c>
      <c r="G2789" s="3" t="s">
        <v>36</v>
      </c>
      <c r="H2789" s="3" t="s">
        <v>37</v>
      </c>
      <c r="I2789" s="4" t="n">
        <v>21</v>
      </c>
      <c r="J2789" s="4" t="n">
        <f aca="false">LEN(E2789)-LEN(SUBSTITUTE(E2789,",",""))+1</f>
        <v>7</v>
      </c>
      <c r="K2789" s="3" t="str">
        <f aca="false">IFERROR(INDEX('Teacher Lookup'!$B$2:$B$200,MATCH(A2789,'Teacher Lookup'!$A$2:$A$200,0)),"")</f>
        <v>WONG Donald</v>
      </c>
    </row>
    <row r="2790" customFormat="false" ht="15" hidden="false" customHeight="false" outlineLevel="0" collapsed="false">
      <c r="A2790" s="3" t="s">
        <v>370</v>
      </c>
      <c r="B2790" s="4" t="s">
        <v>31</v>
      </c>
      <c r="C2790" s="4" t="n">
        <v>5</v>
      </c>
      <c r="D2790" s="4" t="s">
        <v>139</v>
      </c>
      <c r="E2790" s="3" t="s">
        <v>185</v>
      </c>
      <c r="F2790" s="4" t="str">
        <f aca="false">IF(I2790&gt;J2790,"Y","N")</f>
        <v>Y</v>
      </c>
      <c r="G2790" s="3" t="s">
        <v>36</v>
      </c>
      <c r="H2790" s="3" t="s">
        <v>37</v>
      </c>
      <c r="I2790" s="4" t="n">
        <v>21</v>
      </c>
      <c r="J2790" s="4" t="n">
        <f aca="false">LEN(E2790)-LEN(SUBSTITUTE(E2790,",",""))+1</f>
        <v>7</v>
      </c>
      <c r="K2790" s="3" t="str">
        <f aca="false">IFERROR(INDEX('Teacher Lookup'!$B$2:$B$200,MATCH(A2790,'Teacher Lookup'!$A$2:$A$200,0)),"")</f>
        <v>WONG Donald</v>
      </c>
    </row>
    <row r="2791" customFormat="false" ht="15" hidden="false" customHeight="false" outlineLevel="0" collapsed="false">
      <c r="A2791" s="3" t="s">
        <v>370</v>
      </c>
      <c r="B2791" s="4" t="s">
        <v>31</v>
      </c>
      <c r="C2791" s="4" t="n">
        <v>5</v>
      </c>
      <c r="D2791" s="4" t="s">
        <v>140</v>
      </c>
      <c r="E2791" s="3" t="s">
        <v>185</v>
      </c>
      <c r="F2791" s="4" t="str">
        <f aca="false">IF(I2791&gt;J2791,"Y","N")</f>
        <v>Y</v>
      </c>
      <c r="G2791" s="3" t="s">
        <v>36</v>
      </c>
      <c r="H2791" s="3" t="s">
        <v>37</v>
      </c>
      <c r="I2791" s="4" t="n">
        <v>21</v>
      </c>
      <c r="J2791" s="4" t="n">
        <f aca="false">LEN(E2791)-LEN(SUBSTITUTE(E2791,",",""))+1</f>
        <v>7</v>
      </c>
      <c r="K2791" s="3" t="str">
        <f aca="false">IFERROR(INDEX('Teacher Lookup'!$B$2:$B$200,MATCH(A2791,'Teacher Lookup'!$A$2:$A$200,0)),"")</f>
        <v>WONG Donald</v>
      </c>
    </row>
    <row r="2792" customFormat="false" ht="15" hidden="false" customHeight="false" outlineLevel="0" collapsed="false">
      <c r="A2792" s="3" t="s">
        <v>370</v>
      </c>
      <c r="B2792" s="4" t="s">
        <v>31</v>
      </c>
      <c r="C2792" s="4" t="n">
        <v>5</v>
      </c>
      <c r="D2792" s="4" t="s">
        <v>142</v>
      </c>
      <c r="E2792" s="3" t="s">
        <v>185</v>
      </c>
      <c r="F2792" s="4" t="str">
        <f aca="false">IF(I2792&gt;J2792,"Y","N")</f>
        <v>Y</v>
      </c>
      <c r="G2792" s="3" t="s">
        <v>36</v>
      </c>
      <c r="H2792" s="3" t="s">
        <v>37</v>
      </c>
      <c r="I2792" s="4" t="n">
        <v>21</v>
      </c>
      <c r="J2792" s="4" t="n">
        <f aca="false">LEN(E2792)-LEN(SUBSTITUTE(E2792,",",""))+1</f>
        <v>7</v>
      </c>
      <c r="K2792" s="3" t="str">
        <f aca="false">IFERROR(INDEX('Teacher Lookup'!$B$2:$B$200,MATCH(A2792,'Teacher Lookup'!$A$2:$A$200,0)),"")</f>
        <v>WONG Donald</v>
      </c>
    </row>
    <row r="2793" customFormat="false" ht="15" hidden="false" customHeight="false" outlineLevel="0" collapsed="false">
      <c r="A2793" s="3" t="s">
        <v>370</v>
      </c>
      <c r="B2793" s="4" t="s">
        <v>31</v>
      </c>
      <c r="C2793" s="4" t="n">
        <v>5</v>
      </c>
      <c r="D2793" s="4" t="s">
        <v>127</v>
      </c>
      <c r="E2793" s="3" t="s">
        <v>185</v>
      </c>
      <c r="F2793" s="4" t="str">
        <f aca="false">IF(I2793&gt;J2793,"Y","N")</f>
        <v>Y</v>
      </c>
      <c r="G2793" s="3" t="s">
        <v>36</v>
      </c>
      <c r="H2793" s="3" t="s">
        <v>37</v>
      </c>
      <c r="I2793" s="4" t="n">
        <v>21</v>
      </c>
      <c r="J2793" s="4" t="n">
        <f aca="false">LEN(E2793)-LEN(SUBSTITUTE(E2793,",",""))+1</f>
        <v>7</v>
      </c>
      <c r="K2793" s="3" t="str">
        <f aca="false">IFERROR(INDEX('Teacher Lookup'!$B$2:$B$200,MATCH(A2793,'Teacher Lookup'!$A$2:$A$200,0)),"")</f>
        <v>WONG Donald</v>
      </c>
    </row>
    <row r="2794" customFormat="false" ht="15" hidden="false" customHeight="false" outlineLevel="0" collapsed="false">
      <c r="A2794" s="3" t="s">
        <v>370</v>
      </c>
      <c r="B2794" s="4" t="s">
        <v>31</v>
      </c>
      <c r="C2794" s="4" t="n">
        <v>6</v>
      </c>
      <c r="D2794" s="4" t="s">
        <v>70</v>
      </c>
      <c r="E2794" s="3" t="s">
        <v>371</v>
      </c>
      <c r="F2794" s="4" t="str">
        <f aca="false">IF(I2794&gt;J2794,"Y","N")</f>
        <v>N</v>
      </c>
      <c r="G2794" s="3" t="s">
        <v>164</v>
      </c>
      <c r="H2794" s="3" t="s">
        <v>42</v>
      </c>
      <c r="I2794" s="4" t="n">
        <v>4</v>
      </c>
      <c r="J2794" s="4" t="n">
        <f aca="false">LEN(E2794)-LEN(SUBSTITUTE(E2794,",",""))+1</f>
        <v>4</v>
      </c>
      <c r="K2794" s="3" t="str">
        <f aca="false">IFERROR(INDEX('Teacher Lookup'!$B$2:$B$200,MATCH(A2794,'Teacher Lookup'!$A$2:$A$200,0)),"")</f>
        <v>WONG Donald</v>
      </c>
    </row>
    <row r="2795" customFormat="false" ht="15" hidden="false" customHeight="false" outlineLevel="0" collapsed="false">
      <c r="A2795" s="3" t="s">
        <v>370</v>
      </c>
      <c r="B2795" s="4" t="s">
        <v>31</v>
      </c>
      <c r="C2795" s="4" t="n">
        <v>6</v>
      </c>
      <c r="D2795" s="4" t="s">
        <v>73</v>
      </c>
      <c r="E2795" s="3" t="s">
        <v>371</v>
      </c>
      <c r="F2795" s="4" t="str">
        <f aca="false">IF(I2795&gt;J2795,"Y","N")</f>
        <v>N</v>
      </c>
      <c r="G2795" s="3" t="s">
        <v>164</v>
      </c>
      <c r="H2795" s="3" t="s">
        <v>42</v>
      </c>
      <c r="I2795" s="4" t="n">
        <v>4</v>
      </c>
      <c r="J2795" s="4" t="n">
        <f aca="false">LEN(E2795)-LEN(SUBSTITUTE(E2795,",",""))+1</f>
        <v>4</v>
      </c>
      <c r="K2795" s="3" t="str">
        <f aca="false">IFERROR(INDEX('Teacher Lookup'!$B$2:$B$200,MATCH(A2795,'Teacher Lookup'!$A$2:$A$200,0)),"")</f>
        <v>WONG Donald</v>
      </c>
    </row>
    <row r="2796" customFormat="false" ht="15" hidden="false" customHeight="false" outlineLevel="0" collapsed="false">
      <c r="A2796" s="3" t="s">
        <v>370</v>
      </c>
      <c r="B2796" s="4" t="s">
        <v>31</v>
      </c>
      <c r="C2796" s="4" t="n">
        <v>6</v>
      </c>
      <c r="D2796" s="4" t="s">
        <v>74</v>
      </c>
      <c r="E2796" s="3" t="s">
        <v>371</v>
      </c>
      <c r="F2796" s="4" t="str">
        <f aca="false">IF(I2796&gt;J2796,"Y","N")</f>
        <v>N</v>
      </c>
      <c r="G2796" s="3" t="s">
        <v>164</v>
      </c>
      <c r="H2796" s="3" t="s">
        <v>42</v>
      </c>
      <c r="I2796" s="4" t="n">
        <v>4</v>
      </c>
      <c r="J2796" s="4" t="n">
        <f aca="false">LEN(E2796)-LEN(SUBSTITUTE(E2796,",",""))+1</f>
        <v>4</v>
      </c>
      <c r="K2796" s="3" t="str">
        <f aca="false">IFERROR(INDEX('Teacher Lookup'!$B$2:$B$200,MATCH(A2796,'Teacher Lookup'!$A$2:$A$200,0)),"")</f>
        <v>WONG Donald</v>
      </c>
    </row>
    <row r="2797" customFormat="false" ht="15" hidden="false" customHeight="false" outlineLevel="0" collapsed="false">
      <c r="A2797" s="3" t="s">
        <v>370</v>
      </c>
      <c r="B2797" s="4" t="s">
        <v>40</v>
      </c>
      <c r="C2797" s="4" t="n">
        <v>3</v>
      </c>
      <c r="D2797" s="4" t="s">
        <v>137</v>
      </c>
      <c r="E2797" s="3" t="s">
        <v>186</v>
      </c>
      <c r="F2797" s="4" t="str">
        <f aca="false">IF(I2797&gt;J2797,"Y","N")</f>
        <v>N</v>
      </c>
      <c r="G2797" s="3" t="s">
        <v>164</v>
      </c>
      <c r="H2797" s="3" t="s">
        <v>26</v>
      </c>
      <c r="I2797" s="4" t="n">
        <v>4</v>
      </c>
      <c r="J2797" s="4" t="n">
        <f aca="false">LEN(E2797)-LEN(SUBSTITUTE(E2797,",",""))+1</f>
        <v>4</v>
      </c>
      <c r="K2797" s="3" t="str">
        <f aca="false">IFERROR(INDEX('Teacher Lookup'!$B$2:$B$200,MATCH(A2797,'Teacher Lookup'!$A$2:$A$200,0)),"")</f>
        <v>WONG Donald</v>
      </c>
    </row>
    <row r="2798" customFormat="false" ht="15" hidden="false" customHeight="false" outlineLevel="0" collapsed="false">
      <c r="A2798" s="3" t="s">
        <v>370</v>
      </c>
      <c r="B2798" s="4" t="s">
        <v>40</v>
      </c>
      <c r="C2798" s="4" t="n">
        <v>3</v>
      </c>
      <c r="D2798" s="4" t="s">
        <v>124</v>
      </c>
      <c r="E2798" s="3" t="s">
        <v>186</v>
      </c>
      <c r="F2798" s="4" t="str">
        <f aca="false">IF(I2798&gt;J2798,"Y","N")</f>
        <v>N</v>
      </c>
      <c r="G2798" s="3" t="s">
        <v>164</v>
      </c>
      <c r="H2798" s="3" t="s">
        <v>26</v>
      </c>
      <c r="I2798" s="4" t="n">
        <v>4</v>
      </c>
      <c r="J2798" s="4" t="n">
        <f aca="false">LEN(E2798)-LEN(SUBSTITUTE(E2798,",",""))+1</f>
        <v>4</v>
      </c>
      <c r="K2798" s="3" t="str">
        <f aca="false">IFERROR(INDEX('Teacher Lookup'!$B$2:$B$200,MATCH(A2798,'Teacher Lookup'!$A$2:$A$200,0)),"")</f>
        <v>WONG Donald</v>
      </c>
    </row>
    <row r="2799" customFormat="false" ht="15" hidden="false" customHeight="false" outlineLevel="0" collapsed="false">
      <c r="A2799" s="3" t="s">
        <v>370</v>
      </c>
      <c r="B2799" s="4" t="s">
        <v>40</v>
      </c>
      <c r="C2799" s="4" t="n">
        <v>3</v>
      </c>
      <c r="D2799" s="4" t="s">
        <v>139</v>
      </c>
      <c r="E2799" s="3" t="s">
        <v>186</v>
      </c>
      <c r="F2799" s="4" t="str">
        <f aca="false">IF(I2799&gt;J2799,"Y","N")</f>
        <v>N</v>
      </c>
      <c r="G2799" s="3" t="s">
        <v>164</v>
      </c>
      <c r="H2799" s="3" t="s">
        <v>26</v>
      </c>
      <c r="I2799" s="4" t="n">
        <v>4</v>
      </c>
      <c r="J2799" s="4" t="n">
        <f aca="false">LEN(E2799)-LEN(SUBSTITUTE(E2799,",",""))+1</f>
        <v>4</v>
      </c>
      <c r="K2799" s="3" t="str">
        <f aca="false">IFERROR(INDEX('Teacher Lookup'!$B$2:$B$200,MATCH(A2799,'Teacher Lookup'!$A$2:$A$200,0)),"")</f>
        <v>WONG Donald</v>
      </c>
    </row>
    <row r="2800" customFormat="false" ht="15" hidden="false" customHeight="false" outlineLevel="0" collapsed="false">
      <c r="A2800" s="3" t="s">
        <v>370</v>
      </c>
      <c r="B2800" s="4" t="s">
        <v>40</v>
      </c>
      <c r="C2800" s="4" t="n">
        <v>4</v>
      </c>
      <c r="D2800" s="4" t="s">
        <v>137</v>
      </c>
      <c r="E2800" s="3" t="s">
        <v>186</v>
      </c>
      <c r="F2800" s="4" t="str">
        <f aca="false">IF(I2800&gt;J2800,"Y","N")</f>
        <v>N</v>
      </c>
      <c r="G2800" s="3" t="s">
        <v>164</v>
      </c>
      <c r="H2800" s="3" t="s">
        <v>34</v>
      </c>
      <c r="I2800" s="4" t="n">
        <v>4</v>
      </c>
      <c r="J2800" s="4" t="n">
        <f aca="false">LEN(E2800)-LEN(SUBSTITUTE(E2800,",",""))+1</f>
        <v>4</v>
      </c>
      <c r="K2800" s="3" t="str">
        <f aca="false">IFERROR(INDEX('Teacher Lookup'!$B$2:$B$200,MATCH(A2800,'Teacher Lookup'!$A$2:$A$200,0)),"")</f>
        <v>WONG Donald</v>
      </c>
    </row>
    <row r="2801" customFormat="false" ht="15" hidden="false" customHeight="false" outlineLevel="0" collapsed="false">
      <c r="A2801" s="3" t="s">
        <v>370</v>
      </c>
      <c r="B2801" s="4" t="s">
        <v>40</v>
      </c>
      <c r="C2801" s="4" t="n">
        <v>4</v>
      </c>
      <c r="D2801" s="4" t="s">
        <v>124</v>
      </c>
      <c r="E2801" s="3" t="s">
        <v>186</v>
      </c>
      <c r="F2801" s="4" t="str">
        <f aca="false">IF(I2801&gt;J2801,"Y","N")</f>
        <v>N</v>
      </c>
      <c r="G2801" s="3" t="s">
        <v>164</v>
      </c>
      <c r="H2801" s="3" t="s">
        <v>34</v>
      </c>
      <c r="I2801" s="4" t="n">
        <v>4</v>
      </c>
      <c r="J2801" s="4" t="n">
        <f aca="false">LEN(E2801)-LEN(SUBSTITUTE(E2801,",",""))+1</f>
        <v>4</v>
      </c>
      <c r="K2801" s="3" t="str">
        <f aca="false">IFERROR(INDEX('Teacher Lookup'!$B$2:$B$200,MATCH(A2801,'Teacher Lookup'!$A$2:$A$200,0)),"")</f>
        <v>WONG Donald</v>
      </c>
    </row>
    <row r="2802" customFormat="false" ht="15" hidden="false" customHeight="false" outlineLevel="0" collapsed="false">
      <c r="A2802" s="3" t="s">
        <v>370</v>
      </c>
      <c r="B2802" s="4" t="s">
        <v>40</v>
      </c>
      <c r="C2802" s="4" t="n">
        <v>4</v>
      </c>
      <c r="D2802" s="4" t="s">
        <v>139</v>
      </c>
      <c r="E2802" s="3" t="s">
        <v>186</v>
      </c>
      <c r="F2802" s="4" t="str">
        <f aca="false">IF(I2802&gt;J2802,"Y","N")</f>
        <v>N</v>
      </c>
      <c r="G2802" s="3" t="s">
        <v>164</v>
      </c>
      <c r="H2802" s="3" t="s">
        <v>34</v>
      </c>
      <c r="I2802" s="4" t="n">
        <v>4</v>
      </c>
      <c r="J2802" s="4" t="n">
        <f aca="false">LEN(E2802)-LEN(SUBSTITUTE(E2802,",",""))+1</f>
        <v>4</v>
      </c>
      <c r="K2802" s="3" t="str">
        <f aca="false">IFERROR(INDEX('Teacher Lookup'!$B$2:$B$200,MATCH(A2802,'Teacher Lookup'!$A$2:$A$200,0)),"")</f>
        <v>WONG Donald</v>
      </c>
    </row>
    <row r="2803" customFormat="false" ht="15" hidden="false" customHeight="false" outlineLevel="0" collapsed="false">
      <c r="A2803" s="3" t="s">
        <v>370</v>
      </c>
      <c r="B2803" s="4" t="s">
        <v>40</v>
      </c>
      <c r="C2803" s="4" t="n">
        <v>5</v>
      </c>
      <c r="D2803" s="4" t="s">
        <v>140</v>
      </c>
      <c r="E2803" s="3" t="s">
        <v>144</v>
      </c>
      <c r="F2803" s="4" t="str">
        <f aca="false">IF(I2803&gt;J2803,"Y","N")</f>
        <v>N</v>
      </c>
      <c r="G2803" s="3" t="s">
        <v>164</v>
      </c>
      <c r="H2803" s="3" t="s">
        <v>37</v>
      </c>
      <c r="I2803" s="4" t="n">
        <v>4</v>
      </c>
      <c r="J2803" s="4" t="n">
        <f aca="false">LEN(E2803)-LEN(SUBSTITUTE(E2803,",",""))+1</f>
        <v>4</v>
      </c>
      <c r="K2803" s="3" t="str">
        <f aca="false">IFERROR(INDEX('Teacher Lookup'!$B$2:$B$200,MATCH(A2803,'Teacher Lookup'!$A$2:$A$200,0)),"")</f>
        <v>WONG Donald</v>
      </c>
    </row>
    <row r="2804" customFormat="false" ht="15" hidden="false" customHeight="false" outlineLevel="0" collapsed="false">
      <c r="A2804" s="3" t="s">
        <v>370</v>
      </c>
      <c r="B2804" s="4" t="s">
        <v>40</v>
      </c>
      <c r="C2804" s="4" t="n">
        <v>5</v>
      </c>
      <c r="D2804" s="4" t="s">
        <v>142</v>
      </c>
      <c r="E2804" s="3" t="s">
        <v>144</v>
      </c>
      <c r="F2804" s="4" t="str">
        <f aca="false">IF(I2804&gt;J2804,"Y","N")</f>
        <v>N</v>
      </c>
      <c r="G2804" s="3" t="s">
        <v>164</v>
      </c>
      <c r="H2804" s="3" t="s">
        <v>37</v>
      </c>
      <c r="I2804" s="4" t="n">
        <v>4</v>
      </c>
      <c r="J2804" s="4" t="n">
        <f aca="false">LEN(E2804)-LEN(SUBSTITUTE(E2804,",",""))+1</f>
        <v>4</v>
      </c>
      <c r="K2804" s="3" t="str">
        <f aca="false">IFERROR(INDEX('Teacher Lookup'!$B$2:$B$200,MATCH(A2804,'Teacher Lookup'!$A$2:$A$200,0)),"")</f>
        <v>WONG Donald</v>
      </c>
    </row>
    <row r="2805" customFormat="false" ht="15" hidden="false" customHeight="false" outlineLevel="0" collapsed="false">
      <c r="A2805" s="3" t="s">
        <v>370</v>
      </c>
      <c r="B2805" s="4" t="s">
        <v>40</v>
      </c>
      <c r="C2805" s="4" t="n">
        <v>5</v>
      </c>
      <c r="D2805" s="4" t="s">
        <v>127</v>
      </c>
      <c r="E2805" s="3" t="s">
        <v>144</v>
      </c>
      <c r="F2805" s="4" t="str">
        <f aca="false">IF(I2805&gt;J2805,"Y","N")</f>
        <v>N</v>
      </c>
      <c r="G2805" s="3" t="s">
        <v>164</v>
      </c>
      <c r="H2805" s="3" t="s">
        <v>37</v>
      </c>
      <c r="I2805" s="4" t="n">
        <v>4</v>
      </c>
      <c r="J2805" s="4" t="n">
        <f aca="false">LEN(E2805)-LEN(SUBSTITUTE(E2805,",",""))+1</f>
        <v>4</v>
      </c>
      <c r="K2805" s="3" t="str">
        <f aca="false">IFERROR(INDEX('Teacher Lookup'!$B$2:$B$200,MATCH(A2805,'Teacher Lookup'!$A$2:$A$200,0)),"")</f>
        <v>WONG Donald</v>
      </c>
    </row>
    <row r="2806" customFormat="false" ht="15" hidden="false" customHeight="false" outlineLevel="0" collapsed="false">
      <c r="A2806" s="3" t="s">
        <v>370</v>
      </c>
      <c r="B2806" s="4" t="s">
        <v>40</v>
      </c>
      <c r="C2806" s="4" t="n">
        <v>6</v>
      </c>
      <c r="D2806" s="4" t="s">
        <v>70</v>
      </c>
      <c r="E2806" s="3" t="s">
        <v>225</v>
      </c>
      <c r="F2806" s="4" t="str">
        <f aca="false">IF(I2806&gt;J2806,"Y","N")</f>
        <v>N</v>
      </c>
      <c r="G2806" s="3" t="s">
        <v>164</v>
      </c>
      <c r="H2806" s="3" t="s">
        <v>42</v>
      </c>
      <c r="I2806" s="4" t="n">
        <v>4</v>
      </c>
      <c r="J2806" s="4" t="n">
        <f aca="false">LEN(E2806)-LEN(SUBSTITUTE(E2806,",",""))+1</f>
        <v>4</v>
      </c>
      <c r="K2806" s="3" t="str">
        <f aca="false">IFERROR(INDEX('Teacher Lookup'!$B$2:$B$200,MATCH(A2806,'Teacher Lookup'!$A$2:$A$200,0)),"")</f>
        <v>WONG Donald</v>
      </c>
    </row>
    <row r="2807" customFormat="false" ht="15" hidden="false" customHeight="false" outlineLevel="0" collapsed="false">
      <c r="A2807" s="3" t="s">
        <v>370</v>
      </c>
      <c r="B2807" s="4" t="s">
        <v>40</v>
      </c>
      <c r="C2807" s="4" t="n">
        <v>6</v>
      </c>
      <c r="D2807" s="4" t="s">
        <v>73</v>
      </c>
      <c r="E2807" s="3" t="s">
        <v>225</v>
      </c>
      <c r="F2807" s="4" t="str">
        <f aca="false">IF(I2807&gt;J2807,"Y","N")</f>
        <v>N</v>
      </c>
      <c r="G2807" s="3" t="s">
        <v>164</v>
      </c>
      <c r="H2807" s="3" t="s">
        <v>42</v>
      </c>
      <c r="I2807" s="4" t="n">
        <v>4</v>
      </c>
      <c r="J2807" s="4" t="n">
        <f aca="false">LEN(E2807)-LEN(SUBSTITUTE(E2807,",",""))+1</f>
        <v>4</v>
      </c>
      <c r="K2807" s="3" t="str">
        <f aca="false">IFERROR(INDEX('Teacher Lookup'!$B$2:$B$200,MATCH(A2807,'Teacher Lookup'!$A$2:$A$200,0)),"")</f>
        <v>WONG Donald</v>
      </c>
    </row>
    <row r="2808" customFormat="false" ht="15" hidden="false" customHeight="false" outlineLevel="0" collapsed="false">
      <c r="A2808" s="3" t="s">
        <v>370</v>
      </c>
      <c r="B2808" s="4" t="s">
        <v>40</v>
      </c>
      <c r="C2808" s="4" t="n">
        <v>6</v>
      </c>
      <c r="D2808" s="4" t="s">
        <v>74</v>
      </c>
      <c r="E2808" s="3" t="s">
        <v>225</v>
      </c>
      <c r="F2808" s="4" t="str">
        <f aca="false">IF(I2808&gt;J2808,"Y","N")</f>
        <v>N</v>
      </c>
      <c r="G2808" s="3" t="s">
        <v>164</v>
      </c>
      <c r="H2808" s="3" t="s">
        <v>42</v>
      </c>
      <c r="I2808" s="4" t="n">
        <v>4</v>
      </c>
      <c r="J2808" s="4" t="n">
        <f aca="false">LEN(E2808)-LEN(SUBSTITUTE(E2808,",",""))+1</f>
        <v>4</v>
      </c>
      <c r="K2808" s="3" t="str">
        <f aca="false">IFERROR(INDEX('Teacher Lookup'!$B$2:$B$200,MATCH(A2808,'Teacher Lookup'!$A$2:$A$200,0)),"")</f>
        <v>WONG Donald</v>
      </c>
    </row>
    <row r="2809" customFormat="false" ht="15" hidden="false" customHeight="false" outlineLevel="0" collapsed="false">
      <c r="A2809" s="3" t="s">
        <v>370</v>
      </c>
      <c r="B2809" s="4" t="s">
        <v>44</v>
      </c>
      <c r="C2809" s="4" t="n">
        <v>4</v>
      </c>
      <c r="D2809" s="4" t="s">
        <v>140</v>
      </c>
      <c r="E2809" s="3" t="s">
        <v>187</v>
      </c>
      <c r="F2809" s="4" t="str">
        <f aca="false">IF(I2809&gt;J2809,"Y","N")</f>
        <v>N</v>
      </c>
      <c r="G2809" s="3" t="s">
        <v>164</v>
      </c>
      <c r="H2809" s="3" t="s">
        <v>34</v>
      </c>
      <c r="I2809" s="4" t="n">
        <v>4</v>
      </c>
      <c r="J2809" s="4" t="n">
        <f aca="false">LEN(E2809)-LEN(SUBSTITUTE(E2809,",",""))+1</f>
        <v>4</v>
      </c>
      <c r="K2809" s="3" t="str">
        <f aca="false">IFERROR(INDEX('Teacher Lookup'!$B$2:$B$200,MATCH(A2809,'Teacher Lookup'!$A$2:$A$200,0)),"")</f>
        <v>WONG Donald</v>
      </c>
    </row>
    <row r="2810" customFormat="false" ht="15" hidden="false" customHeight="false" outlineLevel="0" collapsed="false">
      <c r="A2810" s="3" t="s">
        <v>370</v>
      </c>
      <c r="B2810" s="4" t="s">
        <v>44</v>
      </c>
      <c r="C2810" s="4" t="n">
        <v>4</v>
      </c>
      <c r="D2810" s="4" t="s">
        <v>142</v>
      </c>
      <c r="E2810" s="3" t="s">
        <v>187</v>
      </c>
      <c r="F2810" s="4" t="str">
        <f aca="false">IF(I2810&gt;J2810,"Y","N")</f>
        <v>N</v>
      </c>
      <c r="G2810" s="3" t="s">
        <v>164</v>
      </c>
      <c r="H2810" s="3" t="s">
        <v>34</v>
      </c>
      <c r="I2810" s="4" t="n">
        <v>4</v>
      </c>
      <c r="J2810" s="4" t="n">
        <f aca="false">LEN(E2810)-LEN(SUBSTITUTE(E2810,",",""))+1</f>
        <v>4</v>
      </c>
      <c r="K2810" s="3" t="str">
        <f aca="false">IFERROR(INDEX('Teacher Lookup'!$B$2:$B$200,MATCH(A2810,'Teacher Lookup'!$A$2:$A$200,0)),"")</f>
        <v>WONG Donald</v>
      </c>
    </row>
    <row r="2811" customFormat="false" ht="15" hidden="false" customHeight="false" outlineLevel="0" collapsed="false">
      <c r="A2811" s="3" t="s">
        <v>370</v>
      </c>
      <c r="B2811" s="4" t="s">
        <v>44</v>
      </c>
      <c r="C2811" s="4" t="n">
        <v>4</v>
      </c>
      <c r="D2811" s="4" t="s">
        <v>127</v>
      </c>
      <c r="E2811" s="3" t="s">
        <v>187</v>
      </c>
      <c r="F2811" s="4" t="str">
        <f aca="false">IF(I2811&gt;J2811,"Y","N")</f>
        <v>N</v>
      </c>
      <c r="G2811" s="3" t="s">
        <v>164</v>
      </c>
      <c r="H2811" s="3" t="s">
        <v>34</v>
      </c>
      <c r="I2811" s="4" t="n">
        <v>4</v>
      </c>
      <c r="J2811" s="4" t="n">
        <f aca="false">LEN(E2811)-LEN(SUBSTITUTE(E2811,",",""))+1</f>
        <v>4</v>
      </c>
      <c r="K2811" s="3" t="str">
        <f aca="false">IFERROR(INDEX('Teacher Lookup'!$B$2:$B$200,MATCH(A2811,'Teacher Lookup'!$A$2:$A$200,0)),"")</f>
        <v>WONG Donald</v>
      </c>
    </row>
    <row r="2812" customFormat="false" ht="15" hidden="false" customHeight="false" outlineLevel="0" collapsed="false">
      <c r="A2812" s="3" t="s">
        <v>370</v>
      </c>
      <c r="B2812" s="4" t="s">
        <v>44</v>
      </c>
      <c r="C2812" s="4" t="n">
        <v>5</v>
      </c>
      <c r="D2812" s="4" t="s">
        <v>137</v>
      </c>
      <c r="E2812" s="3" t="s">
        <v>185</v>
      </c>
      <c r="F2812" s="4" t="str">
        <f aca="false">IF(I2812&gt;J2812,"Y","N")</f>
        <v>Y</v>
      </c>
      <c r="G2812" s="3" t="s">
        <v>36</v>
      </c>
      <c r="H2812" s="3" t="s">
        <v>37</v>
      </c>
      <c r="I2812" s="4" t="n">
        <v>21</v>
      </c>
      <c r="J2812" s="4" t="n">
        <f aca="false">LEN(E2812)-LEN(SUBSTITUTE(E2812,",",""))+1</f>
        <v>7</v>
      </c>
      <c r="K2812" s="3" t="str">
        <f aca="false">IFERROR(INDEX('Teacher Lookup'!$B$2:$B$200,MATCH(A2812,'Teacher Lookup'!$A$2:$A$200,0)),"")</f>
        <v>WONG Donald</v>
      </c>
    </row>
    <row r="2813" customFormat="false" ht="15" hidden="false" customHeight="false" outlineLevel="0" collapsed="false">
      <c r="A2813" s="3" t="s">
        <v>370</v>
      </c>
      <c r="B2813" s="4" t="s">
        <v>44</v>
      </c>
      <c r="C2813" s="4" t="n">
        <v>5</v>
      </c>
      <c r="D2813" s="4" t="s">
        <v>124</v>
      </c>
      <c r="E2813" s="3" t="s">
        <v>185</v>
      </c>
      <c r="F2813" s="4" t="str">
        <f aca="false">IF(I2813&gt;J2813,"Y","N")</f>
        <v>Y</v>
      </c>
      <c r="G2813" s="3" t="s">
        <v>36</v>
      </c>
      <c r="H2813" s="3" t="s">
        <v>37</v>
      </c>
      <c r="I2813" s="4" t="n">
        <v>21</v>
      </c>
      <c r="J2813" s="4" t="n">
        <f aca="false">LEN(E2813)-LEN(SUBSTITUTE(E2813,",",""))+1</f>
        <v>7</v>
      </c>
      <c r="K2813" s="3" t="str">
        <f aca="false">IFERROR(INDEX('Teacher Lookup'!$B$2:$B$200,MATCH(A2813,'Teacher Lookup'!$A$2:$A$200,0)),"")</f>
        <v>WONG Donald</v>
      </c>
    </row>
    <row r="2814" customFormat="false" ht="15" hidden="false" customHeight="false" outlineLevel="0" collapsed="false">
      <c r="A2814" s="3" t="s">
        <v>370</v>
      </c>
      <c r="B2814" s="4" t="s">
        <v>44</v>
      </c>
      <c r="C2814" s="4" t="n">
        <v>5</v>
      </c>
      <c r="D2814" s="4" t="s">
        <v>139</v>
      </c>
      <c r="E2814" s="3" t="s">
        <v>185</v>
      </c>
      <c r="F2814" s="4" t="str">
        <f aca="false">IF(I2814&gt;J2814,"Y","N")</f>
        <v>Y</v>
      </c>
      <c r="G2814" s="3" t="s">
        <v>36</v>
      </c>
      <c r="H2814" s="3" t="s">
        <v>37</v>
      </c>
      <c r="I2814" s="4" t="n">
        <v>21</v>
      </c>
      <c r="J2814" s="4" t="n">
        <f aca="false">LEN(E2814)-LEN(SUBSTITUTE(E2814,",",""))+1</f>
        <v>7</v>
      </c>
      <c r="K2814" s="3" t="str">
        <f aca="false">IFERROR(INDEX('Teacher Lookup'!$B$2:$B$200,MATCH(A2814,'Teacher Lookup'!$A$2:$A$200,0)),"")</f>
        <v>WONG Donald</v>
      </c>
    </row>
    <row r="2815" customFormat="false" ht="15" hidden="false" customHeight="false" outlineLevel="0" collapsed="false">
      <c r="A2815" s="3" t="s">
        <v>370</v>
      </c>
      <c r="B2815" s="4" t="s">
        <v>44</v>
      </c>
      <c r="C2815" s="4" t="n">
        <v>5</v>
      </c>
      <c r="D2815" s="4" t="s">
        <v>140</v>
      </c>
      <c r="E2815" s="3" t="s">
        <v>185</v>
      </c>
      <c r="F2815" s="4" t="str">
        <f aca="false">IF(I2815&gt;J2815,"Y","N")</f>
        <v>Y</v>
      </c>
      <c r="G2815" s="3" t="s">
        <v>36</v>
      </c>
      <c r="H2815" s="3" t="s">
        <v>37</v>
      </c>
      <c r="I2815" s="4" t="n">
        <v>21</v>
      </c>
      <c r="J2815" s="4" t="n">
        <f aca="false">LEN(E2815)-LEN(SUBSTITUTE(E2815,",",""))+1</f>
        <v>7</v>
      </c>
      <c r="K2815" s="3" t="str">
        <f aca="false">IFERROR(INDEX('Teacher Lookup'!$B$2:$B$200,MATCH(A2815,'Teacher Lookup'!$A$2:$A$200,0)),"")</f>
        <v>WONG Donald</v>
      </c>
    </row>
    <row r="2816" customFormat="false" ht="15" hidden="false" customHeight="false" outlineLevel="0" collapsed="false">
      <c r="A2816" s="3" t="s">
        <v>370</v>
      </c>
      <c r="B2816" s="4" t="s">
        <v>44</v>
      </c>
      <c r="C2816" s="4" t="n">
        <v>5</v>
      </c>
      <c r="D2816" s="4" t="s">
        <v>142</v>
      </c>
      <c r="E2816" s="3" t="s">
        <v>185</v>
      </c>
      <c r="F2816" s="4" t="str">
        <f aca="false">IF(I2816&gt;J2816,"Y","N")</f>
        <v>Y</v>
      </c>
      <c r="G2816" s="3" t="s">
        <v>36</v>
      </c>
      <c r="H2816" s="3" t="s">
        <v>37</v>
      </c>
      <c r="I2816" s="4" t="n">
        <v>21</v>
      </c>
      <c r="J2816" s="4" t="n">
        <f aca="false">LEN(E2816)-LEN(SUBSTITUTE(E2816,",",""))+1</f>
        <v>7</v>
      </c>
      <c r="K2816" s="3" t="str">
        <f aca="false">IFERROR(INDEX('Teacher Lookup'!$B$2:$B$200,MATCH(A2816,'Teacher Lookup'!$A$2:$A$200,0)),"")</f>
        <v>WONG Donald</v>
      </c>
    </row>
    <row r="2817" customFormat="false" ht="15" hidden="false" customHeight="false" outlineLevel="0" collapsed="false">
      <c r="A2817" s="3" t="s">
        <v>370</v>
      </c>
      <c r="B2817" s="4" t="s">
        <v>44</v>
      </c>
      <c r="C2817" s="4" t="n">
        <v>5</v>
      </c>
      <c r="D2817" s="4" t="s">
        <v>127</v>
      </c>
      <c r="E2817" s="3" t="s">
        <v>185</v>
      </c>
      <c r="F2817" s="4" t="str">
        <f aca="false">IF(I2817&gt;J2817,"Y","N")</f>
        <v>Y</v>
      </c>
      <c r="G2817" s="3" t="s">
        <v>36</v>
      </c>
      <c r="H2817" s="3" t="s">
        <v>37</v>
      </c>
      <c r="I2817" s="4" t="n">
        <v>21</v>
      </c>
      <c r="J2817" s="4" t="n">
        <f aca="false">LEN(E2817)-LEN(SUBSTITUTE(E2817,",",""))+1</f>
        <v>7</v>
      </c>
      <c r="K2817" s="3" t="str">
        <f aca="false">IFERROR(INDEX('Teacher Lookup'!$B$2:$B$200,MATCH(A2817,'Teacher Lookup'!$A$2:$A$200,0)),"")</f>
        <v>WONG Donald</v>
      </c>
    </row>
    <row r="2818" customFormat="false" ht="15" hidden="false" customHeight="false" outlineLevel="0" collapsed="false">
      <c r="A2818" s="3" t="s">
        <v>370</v>
      </c>
      <c r="B2818" s="4" t="s">
        <v>44</v>
      </c>
      <c r="C2818" s="4" t="n">
        <v>6</v>
      </c>
      <c r="D2818" s="4" t="s">
        <v>70</v>
      </c>
      <c r="E2818" s="3" t="s">
        <v>372</v>
      </c>
      <c r="F2818" s="4" t="str">
        <f aca="false">IF(I2818&gt;J2818,"Y","N")</f>
        <v>N</v>
      </c>
      <c r="G2818" s="3" t="s">
        <v>164</v>
      </c>
      <c r="H2818" s="3" t="s">
        <v>42</v>
      </c>
      <c r="I2818" s="4" t="n">
        <v>4</v>
      </c>
      <c r="J2818" s="4" t="n">
        <f aca="false">LEN(E2818)-LEN(SUBSTITUTE(E2818,",",""))+1</f>
        <v>4</v>
      </c>
      <c r="K2818" s="3" t="str">
        <f aca="false">IFERROR(INDEX('Teacher Lookup'!$B$2:$B$200,MATCH(A2818,'Teacher Lookup'!$A$2:$A$200,0)),"")</f>
        <v>WONG Donald</v>
      </c>
    </row>
    <row r="2819" customFormat="false" ht="15" hidden="false" customHeight="false" outlineLevel="0" collapsed="false">
      <c r="A2819" s="3" t="s">
        <v>370</v>
      </c>
      <c r="B2819" s="4" t="s">
        <v>44</v>
      </c>
      <c r="C2819" s="4" t="n">
        <v>6</v>
      </c>
      <c r="D2819" s="4" t="s">
        <v>73</v>
      </c>
      <c r="E2819" s="3" t="s">
        <v>372</v>
      </c>
      <c r="F2819" s="4" t="str">
        <f aca="false">IF(I2819&gt;J2819,"Y","N")</f>
        <v>N</v>
      </c>
      <c r="G2819" s="3" t="s">
        <v>164</v>
      </c>
      <c r="H2819" s="3" t="s">
        <v>42</v>
      </c>
      <c r="I2819" s="4" t="n">
        <v>4</v>
      </c>
      <c r="J2819" s="4" t="n">
        <f aca="false">LEN(E2819)-LEN(SUBSTITUTE(E2819,",",""))+1</f>
        <v>4</v>
      </c>
      <c r="K2819" s="3" t="str">
        <f aca="false">IFERROR(INDEX('Teacher Lookup'!$B$2:$B$200,MATCH(A2819,'Teacher Lookup'!$A$2:$A$200,0)),"")</f>
        <v>WONG Donald</v>
      </c>
    </row>
    <row r="2820" customFormat="false" ht="15" hidden="false" customHeight="false" outlineLevel="0" collapsed="false">
      <c r="A2820" s="3" t="s">
        <v>370</v>
      </c>
      <c r="B2820" s="4" t="s">
        <v>44</v>
      </c>
      <c r="C2820" s="4" t="n">
        <v>6</v>
      </c>
      <c r="D2820" s="4" t="s">
        <v>74</v>
      </c>
      <c r="E2820" s="3" t="s">
        <v>372</v>
      </c>
      <c r="F2820" s="4" t="str">
        <f aca="false">IF(I2820&gt;J2820,"Y","N")</f>
        <v>N</v>
      </c>
      <c r="G2820" s="3" t="s">
        <v>164</v>
      </c>
      <c r="H2820" s="3" t="s">
        <v>42</v>
      </c>
      <c r="I2820" s="4" t="n">
        <v>4</v>
      </c>
      <c r="J2820" s="4" t="n">
        <f aca="false">LEN(E2820)-LEN(SUBSTITUTE(E2820,",",""))+1</f>
        <v>4</v>
      </c>
      <c r="K2820" s="3" t="str">
        <f aca="false">IFERROR(INDEX('Teacher Lookup'!$B$2:$B$200,MATCH(A2820,'Teacher Lookup'!$A$2:$A$200,0)),"")</f>
        <v>WONG Donald</v>
      </c>
    </row>
    <row r="2821" customFormat="false" ht="15" hidden="false" customHeight="false" outlineLevel="0" collapsed="false">
      <c r="A2821" s="3" t="s">
        <v>370</v>
      </c>
      <c r="B2821" s="4" t="s">
        <v>44</v>
      </c>
      <c r="C2821" s="4" t="n">
        <v>7</v>
      </c>
      <c r="D2821" s="4" t="s">
        <v>137</v>
      </c>
      <c r="E2821" s="3" t="s">
        <v>146</v>
      </c>
      <c r="F2821" s="4" t="str">
        <f aca="false">IF(I2821&gt;J2821,"Y","N")</f>
        <v>N</v>
      </c>
      <c r="G2821" s="3" t="s">
        <v>164</v>
      </c>
      <c r="H2821" s="3" t="s">
        <v>39</v>
      </c>
      <c r="I2821" s="4" t="n">
        <v>4</v>
      </c>
      <c r="J2821" s="4" t="n">
        <f aca="false">LEN(E2821)-LEN(SUBSTITUTE(E2821,",",""))+1</f>
        <v>4</v>
      </c>
      <c r="K2821" s="3" t="str">
        <f aca="false">IFERROR(INDEX('Teacher Lookup'!$B$2:$B$200,MATCH(A2821,'Teacher Lookup'!$A$2:$A$200,0)),"")</f>
        <v>WONG Donald</v>
      </c>
    </row>
    <row r="2822" customFormat="false" ht="15" hidden="false" customHeight="false" outlineLevel="0" collapsed="false">
      <c r="A2822" s="3" t="s">
        <v>370</v>
      </c>
      <c r="B2822" s="4" t="s">
        <v>44</v>
      </c>
      <c r="C2822" s="4" t="n">
        <v>7</v>
      </c>
      <c r="D2822" s="4" t="s">
        <v>124</v>
      </c>
      <c r="E2822" s="3" t="s">
        <v>146</v>
      </c>
      <c r="F2822" s="4" t="str">
        <f aca="false">IF(I2822&gt;J2822,"Y","N")</f>
        <v>N</v>
      </c>
      <c r="G2822" s="3" t="s">
        <v>164</v>
      </c>
      <c r="H2822" s="3" t="s">
        <v>39</v>
      </c>
      <c r="I2822" s="4" t="n">
        <v>4</v>
      </c>
      <c r="J2822" s="4" t="n">
        <f aca="false">LEN(E2822)-LEN(SUBSTITUTE(E2822,",",""))+1</f>
        <v>4</v>
      </c>
      <c r="K2822" s="3" t="str">
        <f aca="false">IFERROR(INDEX('Teacher Lookup'!$B$2:$B$200,MATCH(A2822,'Teacher Lookup'!$A$2:$A$200,0)),"")</f>
        <v>WONG Donald</v>
      </c>
    </row>
    <row r="2823" customFormat="false" ht="15" hidden="false" customHeight="false" outlineLevel="0" collapsed="false">
      <c r="A2823" s="3" t="s">
        <v>370</v>
      </c>
      <c r="B2823" s="4" t="s">
        <v>44</v>
      </c>
      <c r="C2823" s="4" t="n">
        <v>7</v>
      </c>
      <c r="D2823" s="4" t="s">
        <v>139</v>
      </c>
      <c r="E2823" s="3" t="s">
        <v>146</v>
      </c>
      <c r="F2823" s="4" t="str">
        <f aca="false">IF(I2823&gt;J2823,"Y","N")</f>
        <v>N</v>
      </c>
      <c r="G2823" s="3" t="s">
        <v>164</v>
      </c>
      <c r="H2823" s="3" t="s">
        <v>39</v>
      </c>
      <c r="I2823" s="4" t="n">
        <v>4</v>
      </c>
      <c r="J2823" s="4" t="n">
        <f aca="false">LEN(E2823)-LEN(SUBSTITUTE(E2823,",",""))+1</f>
        <v>4</v>
      </c>
      <c r="K2823" s="3" t="str">
        <f aca="false">IFERROR(INDEX('Teacher Lookup'!$B$2:$B$200,MATCH(A2823,'Teacher Lookup'!$A$2:$A$200,0)),"")</f>
        <v>WONG Donald</v>
      </c>
    </row>
    <row r="2824" customFormat="false" ht="15" hidden="false" customHeight="false" outlineLevel="0" collapsed="false">
      <c r="A2824" s="3" t="s">
        <v>370</v>
      </c>
      <c r="B2824" s="4" t="s">
        <v>47</v>
      </c>
      <c r="C2824" s="4" t="n">
        <v>1</v>
      </c>
      <c r="D2824" s="4" t="s">
        <v>70</v>
      </c>
      <c r="E2824" s="3" t="s">
        <v>371</v>
      </c>
      <c r="F2824" s="4" t="str">
        <f aca="false">IF(I2824&gt;J2824,"Y","N")</f>
        <v>N</v>
      </c>
      <c r="G2824" s="3" t="s">
        <v>164</v>
      </c>
      <c r="H2824" s="3" t="s">
        <v>16</v>
      </c>
      <c r="I2824" s="4" t="n">
        <v>4</v>
      </c>
      <c r="J2824" s="4" t="n">
        <f aca="false">LEN(E2824)-LEN(SUBSTITUTE(E2824,",",""))+1</f>
        <v>4</v>
      </c>
      <c r="K2824" s="3" t="str">
        <f aca="false">IFERROR(INDEX('Teacher Lookup'!$B$2:$B$200,MATCH(A2824,'Teacher Lookup'!$A$2:$A$200,0)),"")</f>
        <v>WONG Donald</v>
      </c>
    </row>
    <row r="2825" customFormat="false" ht="15" hidden="false" customHeight="false" outlineLevel="0" collapsed="false">
      <c r="A2825" s="3" t="s">
        <v>370</v>
      </c>
      <c r="B2825" s="4" t="s">
        <v>47</v>
      </c>
      <c r="C2825" s="4" t="n">
        <v>1</v>
      </c>
      <c r="D2825" s="4" t="s">
        <v>73</v>
      </c>
      <c r="E2825" s="3" t="s">
        <v>371</v>
      </c>
      <c r="F2825" s="4" t="str">
        <f aca="false">IF(I2825&gt;J2825,"Y","N")</f>
        <v>N</v>
      </c>
      <c r="G2825" s="3" t="s">
        <v>164</v>
      </c>
      <c r="H2825" s="3" t="s">
        <v>16</v>
      </c>
      <c r="I2825" s="4" t="n">
        <v>4</v>
      </c>
      <c r="J2825" s="4" t="n">
        <f aca="false">LEN(E2825)-LEN(SUBSTITUTE(E2825,",",""))+1</f>
        <v>4</v>
      </c>
      <c r="K2825" s="3" t="str">
        <f aca="false">IFERROR(INDEX('Teacher Lookup'!$B$2:$B$200,MATCH(A2825,'Teacher Lookup'!$A$2:$A$200,0)),"")</f>
        <v>WONG Donald</v>
      </c>
    </row>
    <row r="2826" customFormat="false" ht="15" hidden="false" customHeight="false" outlineLevel="0" collapsed="false">
      <c r="A2826" s="3" t="s">
        <v>370</v>
      </c>
      <c r="B2826" s="4" t="s">
        <v>47</v>
      </c>
      <c r="C2826" s="4" t="n">
        <v>1</v>
      </c>
      <c r="D2826" s="4" t="s">
        <v>74</v>
      </c>
      <c r="E2826" s="3" t="s">
        <v>371</v>
      </c>
      <c r="F2826" s="4" t="str">
        <f aca="false">IF(I2826&gt;J2826,"Y","N")</f>
        <v>N</v>
      </c>
      <c r="G2826" s="3" t="s">
        <v>164</v>
      </c>
      <c r="H2826" s="3" t="s">
        <v>16</v>
      </c>
      <c r="I2826" s="4" t="n">
        <v>4</v>
      </c>
      <c r="J2826" s="4" t="n">
        <f aca="false">LEN(E2826)-LEN(SUBSTITUTE(E2826,",",""))+1</f>
        <v>4</v>
      </c>
      <c r="K2826" s="3" t="str">
        <f aca="false">IFERROR(INDEX('Teacher Lookup'!$B$2:$B$200,MATCH(A2826,'Teacher Lookup'!$A$2:$A$200,0)),"")</f>
        <v>WONG Donald</v>
      </c>
    </row>
    <row r="2827" customFormat="false" ht="15" hidden="false" customHeight="false" outlineLevel="0" collapsed="false">
      <c r="A2827" s="3" t="s">
        <v>370</v>
      </c>
      <c r="B2827" s="4" t="s">
        <v>47</v>
      </c>
      <c r="C2827" s="4" t="n">
        <v>5</v>
      </c>
      <c r="D2827" s="4" t="s">
        <v>137</v>
      </c>
      <c r="E2827" s="3" t="s">
        <v>188</v>
      </c>
      <c r="F2827" s="4" t="str">
        <f aca="false">IF(I2827&gt;J2827,"Y","N")</f>
        <v>N</v>
      </c>
      <c r="G2827" s="3" t="s">
        <v>164</v>
      </c>
      <c r="H2827" s="3" t="s">
        <v>37</v>
      </c>
      <c r="I2827" s="4" t="n">
        <v>4</v>
      </c>
      <c r="J2827" s="4" t="n">
        <f aca="false">LEN(E2827)-LEN(SUBSTITUTE(E2827,",",""))+1</f>
        <v>4</v>
      </c>
      <c r="K2827" s="3" t="str">
        <f aca="false">IFERROR(INDEX('Teacher Lookup'!$B$2:$B$200,MATCH(A2827,'Teacher Lookup'!$A$2:$A$200,0)),"")</f>
        <v>WONG Donald</v>
      </c>
    </row>
    <row r="2828" customFormat="false" ht="15" hidden="false" customHeight="false" outlineLevel="0" collapsed="false">
      <c r="A2828" s="3" t="s">
        <v>370</v>
      </c>
      <c r="B2828" s="4" t="s">
        <v>47</v>
      </c>
      <c r="C2828" s="4" t="n">
        <v>5</v>
      </c>
      <c r="D2828" s="4" t="s">
        <v>124</v>
      </c>
      <c r="E2828" s="3" t="s">
        <v>188</v>
      </c>
      <c r="F2828" s="4" t="str">
        <f aca="false">IF(I2828&gt;J2828,"Y","N")</f>
        <v>N</v>
      </c>
      <c r="G2828" s="3" t="s">
        <v>164</v>
      </c>
      <c r="H2828" s="3" t="s">
        <v>37</v>
      </c>
      <c r="I2828" s="4" t="n">
        <v>4</v>
      </c>
      <c r="J2828" s="4" t="n">
        <f aca="false">LEN(E2828)-LEN(SUBSTITUTE(E2828,",",""))+1</f>
        <v>4</v>
      </c>
      <c r="K2828" s="3" t="str">
        <f aca="false">IFERROR(INDEX('Teacher Lookup'!$B$2:$B$200,MATCH(A2828,'Teacher Lookup'!$A$2:$A$200,0)),"")</f>
        <v>WONG Donald</v>
      </c>
    </row>
    <row r="2829" customFormat="false" ht="15" hidden="false" customHeight="false" outlineLevel="0" collapsed="false">
      <c r="A2829" s="3" t="s">
        <v>370</v>
      </c>
      <c r="B2829" s="4" t="s">
        <v>47</v>
      </c>
      <c r="C2829" s="4" t="n">
        <v>5</v>
      </c>
      <c r="D2829" s="4" t="s">
        <v>139</v>
      </c>
      <c r="E2829" s="3" t="s">
        <v>188</v>
      </c>
      <c r="F2829" s="4" t="str">
        <f aca="false">IF(I2829&gt;J2829,"Y","N")</f>
        <v>N</v>
      </c>
      <c r="G2829" s="3" t="s">
        <v>164</v>
      </c>
      <c r="H2829" s="3" t="s">
        <v>37</v>
      </c>
      <c r="I2829" s="4" t="n">
        <v>4</v>
      </c>
      <c r="J2829" s="4" t="n">
        <f aca="false">LEN(E2829)-LEN(SUBSTITUTE(E2829,",",""))+1</f>
        <v>4</v>
      </c>
      <c r="K2829" s="3" t="str">
        <f aca="false">IFERROR(INDEX('Teacher Lookup'!$B$2:$B$200,MATCH(A2829,'Teacher Lookup'!$A$2:$A$200,0)),"")</f>
        <v>WONG Donald</v>
      </c>
    </row>
    <row r="2830" customFormat="false" ht="15" hidden="false" customHeight="false" outlineLevel="0" collapsed="false">
      <c r="A2830" s="3" t="s">
        <v>370</v>
      </c>
      <c r="B2830" s="4" t="s">
        <v>47</v>
      </c>
      <c r="C2830" s="4" t="n">
        <v>6</v>
      </c>
      <c r="D2830" s="4" t="s">
        <v>140</v>
      </c>
      <c r="E2830" s="3" t="s">
        <v>157</v>
      </c>
      <c r="F2830" s="4" t="str">
        <f aca="false">IF(I2830&gt;J2830,"Y","N")</f>
        <v>N</v>
      </c>
      <c r="G2830" s="3" t="s">
        <v>164</v>
      </c>
      <c r="H2830" s="3" t="s">
        <v>42</v>
      </c>
      <c r="I2830" s="4" t="n">
        <v>4</v>
      </c>
      <c r="J2830" s="4" t="n">
        <f aca="false">LEN(E2830)-LEN(SUBSTITUTE(E2830,",",""))+1</f>
        <v>4</v>
      </c>
      <c r="K2830" s="3" t="str">
        <f aca="false">IFERROR(INDEX('Teacher Lookup'!$B$2:$B$200,MATCH(A2830,'Teacher Lookup'!$A$2:$A$200,0)),"")</f>
        <v>WONG Donald</v>
      </c>
    </row>
    <row r="2831" customFormat="false" ht="15" hidden="false" customHeight="false" outlineLevel="0" collapsed="false">
      <c r="A2831" s="3" t="s">
        <v>370</v>
      </c>
      <c r="B2831" s="4" t="s">
        <v>47</v>
      </c>
      <c r="C2831" s="4" t="n">
        <v>6</v>
      </c>
      <c r="D2831" s="4" t="s">
        <v>142</v>
      </c>
      <c r="E2831" s="3" t="s">
        <v>157</v>
      </c>
      <c r="F2831" s="4" t="str">
        <f aca="false">IF(I2831&gt;J2831,"Y","N")</f>
        <v>N</v>
      </c>
      <c r="G2831" s="3" t="s">
        <v>164</v>
      </c>
      <c r="H2831" s="3" t="s">
        <v>42</v>
      </c>
      <c r="I2831" s="4" t="n">
        <v>4</v>
      </c>
      <c r="J2831" s="4" t="n">
        <f aca="false">LEN(E2831)-LEN(SUBSTITUTE(E2831,",",""))+1</f>
        <v>4</v>
      </c>
      <c r="K2831" s="3" t="str">
        <f aca="false">IFERROR(INDEX('Teacher Lookup'!$B$2:$B$200,MATCH(A2831,'Teacher Lookup'!$A$2:$A$200,0)),"")</f>
        <v>WONG Donald</v>
      </c>
    </row>
    <row r="2832" customFormat="false" ht="15" hidden="false" customHeight="false" outlineLevel="0" collapsed="false">
      <c r="A2832" s="3" t="s">
        <v>370</v>
      </c>
      <c r="B2832" s="4" t="s">
        <v>47</v>
      </c>
      <c r="C2832" s="4" t="n">
        <v>6</v>
      </c>
      <c r="D2832" s="4" t="s">
        <v>127</v>
      </c>
      <c r="E2832" s="3" t="s">
        <v>157</v>
      </c>
      <c r="F2832" s="4" t="str">
        <f aca="false">IF(I2832&gt;J2832,"Y","N")</f>
        <v>N</v>
      </c>
      <c r="G2832" s="3" t="s">
        <v>164</v>
      </c>
      <c r="H2832" s="3" t="s">
        <v>42</v>
      </c>
      <c r="I2832" s="4" t="n">
        <v>4</v>
      </c>
      <c r="J2832" s="4" t="n">
        <f aca="false">LEN(E2832)-LEN(SUBSTITUTE(E2832,",",""))+1</f>
        <v>4</v>
      </c>
      <c r="K2832" s="3" t="str">
        <f aca="false">IFERROR(INDEX('Teacher Lookup'!$B$2:$B$200,MATCH(A2832,'Teacher Lookup'!$A$2:$A$200,0)),"")</f>
        <v>WONG Donald</v>
      </c>
    </row>
    <row r="2833" customFormat="false" ht="15" hidden="false" customHeight="false" outlineLevel="0" collapsed="false">
      <c r="A2833" s="3" t="s">
        <v>370</v>
      </c>
      <c r="B2833" s="4" t="s">
        <v>47</v>
      </c>
      <c r="C2833" s="4" t="n">
        <v>7</v>
      </c>
      <c r="D2833" s="4" t="s">
        <v>140</v>
      </c>
      <c r="E2833" s="3" t="s">
        <v>157</v>
      </c>
      <c r="F2833" s="4" t="str">
        <f aca="false">IF(I2833&gt;J2833,"Y","N")</f>
        <v>N</v>
      </c>
      <c r="G2833" s="3" t="s">
        <v>164</v>
      </c>
      <c r="H2833" s="3" t="s">
        <v>39</v>
      </c>
      <c r="I2833" s="4" t="n">
        <v>4</v>
      </c>
      <c r="J2833" s="4" t="n">
        <f aca="false">LEN(E2833)-LEN(SUBSTITUTE(E2833,",",""))+1</f>
        <v>4</v>
      </c>
      <c r="K2833" s="3" t="str">
        <f aca="false">IFERROR(INDEX('Teacher Lookup'!$B$2:$B$200,MATCH(A2833,'Teacher Lookup'!$A$2:$A$200,0)),"")</f>
        <v>WONG Donald</v>
      </c>
    </row>
    <row r="2834" customFormat="false" ht="15" hidden="false" customHeight="false" outlineLevel="0" collapsed="false">
      <c r="A2834" s="3" t="s">
        <v>370</v>
      </c>
      <c r="B2834" s="4" t="s">
        <v>47</v>
      </c>
      <c r="C2834" s="4" t="n">
        <v>7</v>
      </c>
      <c r="D2834" s="4" t="s">
        <v>142</v>
      </c>
      <c r="E2834" s="3" t="s">
        <v>157</v>
      </c>
      <c r="F2834" s="4" t="str">
        <f aca="false">IF(I2834&gt;J2834,"Y","N")</f>
        <v>N</v>
      </c>
      <c r="G2834" s="3" t="s">
        <v>164</v>
      </c>
      <c r="H2834" s="3" t="s">
        <v>39</v>
      </c>
      <c r="I2834" s="4" t="n">
        <v>4</v>
      </c>
      <c r="J2834" s="4" t="n">
        <f aca="false">LEN(E2834)-LEN(SUBSTITUTE(E2834,",",""))+1</f>
        <v>4</v>
      </c>
      <c r="K2834" s="3" t="str">
        <f aca="false">IFERROR(INDEX('Teacher Lookup'!$B$2:$B$200,MATCH(A2834,'Teacher Lookup'!$A$2:$A$200,0)),"")</f>
        <v>WONG Donald</v>
      </c>
    </row>
    <row r="2835" customFormat="false" ht="15" hidden="false" customHeight="false" outlineLevel="0" collapsed="false">
      <c r="A2835" s="3" t="s">
        <v>370</v>
      </c>
      <c r="B2835" s="4" t="s">
        <v>47</v>
      </c>
      <c r="C2835" s="4" t="n">
        <v>7</v>
      </c>
      <c r="D2835" s="4" t="s">
        <v>127</v>
      </c>
      <c r="E2835" s="3" t="s">
        <v>157</v>
      </c>
      <c r="F2835" s="4" t="str">
        <f aca="false">IF(I2835&gt;J2835,"Y","N")</f>
        <v>N</v>
      </c>
      <c r="G2835" s="3" t="s">
        <v>164</v>
      </c>
      <c r="H2835" s="3" t="s">
        <v>39</v>
      </c>
      <c r="I2835" s="4" t="n">
        <v>4</v>
      </c>
      <c r="J2835" s="4" t="n">
        <f aca="false">LEN(E2835)-LEN(SUBSTITUTE(E2835,",",""))+1</f>
        <v>4</v>
      </c>
      <c r="K2835" s="3" t="str">
        <f aca="false">IFERROR(INDEX('Teacher Lookup'!$B$2:$B$200,MATCH(A2835,'Teacher Lookup'!$A$2:$A$200,0)),"")</f>
        <v>WONG Donald</v>
      </c>
    </row>
    <row r="2836" customFormat="false" ht="15" hidden="false" customHeight="false" outlineLevel="0" collapsed="false">
      <c r="A2836" s="3" t="s">
        <v>370</v>
      </c>
      <c r="B2836" s="4" t="s">
        <v>50</v>
      </c>
      <c r="C2836" s="4" t="n">
        <v>1</v>
      </c>
      <c r="D2836" s="4" t="s">
        <v>70</v>
      </c>
      <c r="E2836" s="3" t="s">
        <v>373</v>
      </c>
      <c r="F2836" s="4" t="str">
        <f aca="false">IF(I2836&gt;J2836,"Y","N")</f>
        <v>N</v>
      </c>
      <c r="G2836" s="3" t="s">
        <v>164</v>
      </c>
      <c r="H2836" s="3" t="s">
        <v>16</v>
      </c>
      <c r="I2836" s="4" t="n">
        <v>4</v>
      </c>
      <c r="J2836" s="4" t="n">
        <f aca="false">LEN(E2836)-LEN(SUBSTITUTE(E2836,",",""))+1</f>
        <v>4</v>
      </c>
      <c r="K2836" s="3" t="str">
        <f aca="false">IFERROR(INDEX('Teacher Lookup'!$B$2:$B$200,MATCH(A2836,'Teacher Lookup'!$A$2:$A$200,0)),"")</f>
        <v>WONG Donald</v>
      </c>
    </row>
    <row r="2837" customFormat="false" ht="15" hidden="false" customHeight="false" outlineLevel="0" collapsed="false">
      <c r="A2837" s="3" t="s">
        <v>370</v>
      </c>
      <c r="B2837" s="4" t="s">
        <v>50</v>
      </c>
      <c r="C2837" s="4" t="n">
        <v>1</v>
      </c>
      <c r="D2837" s="4" t="s">
        <v>73</v>
      </c>
      <c r="E2837" s="3" t="s">
        <v>373</v>
      </c>
      <c r="F2837" s="4" t="str">
        <f aca="false">IF(I2837&gt;J2837,"Y","N")</f>
        <v>N</v>
      </c>
      <c r="G2837" s="3" t="s">
        <v>164</v>
      </c>
      <c r="H2837" s="3" t="s">
        <v>16</v>
      </c>
      <c r="I2837" s="4" t="n">
        <v>4</v>
      </c>
      <c r="J2837" s="4" t="n">
        <f aca="false">LEN(E2837)-LEN(SUBSTITUTE(E2837,",",""))+1</f>
        <v>4</v>
      </c>
      <c r="K2837" s="3" t="str">
        <f aca="false">IFERROR(INDEX('Teacher Lookup'!$B$2:$B$200,MATCH(A2837,'Teacher Lookup'!$A$2:$A$200,0)),"")</f>
        <v>WONG Donald</v>
      </c>
    </row>
    <row r="2838" customFormat="false" ht="15" hidden="false" customHeight="false" outlineLevel="0" collapsed="false">
      <c r="A2838" s="3" t="s">
        <v>370</v>
      </c>
      <c r="B2838" s="4" t="s">
        <v>50</v>
      </c>
      <c r="C2838" s="4" t="n">
        <v>1</v>
      </c>
      <c r="D2838" s="4" t="s">
        <v>74</v>
      </c>
      <c r="E2838" s="3" t="s">
        <v>373</v>
      </c>
      <c r="F2838" s="4" t="str">
        <f aca="false">IF(I2838&gt;J2838,"Y","N")</f>
        <v>N</v>
      </c>
      <c r="G2838" s="3" t="s">
        <v>164</v>
      </c>
      <c r="H2838" s="3" t="s">
        <v>16</v>
      </c>
      <c r="I2838" s="4" t="n">
        <v>4</v>
      </c>
      <c r="J2838" s="4" t="n">
        <f aca="false">LEN(E2838)-LEN(SUBSTITUTE(E2838,",",""))+1</f>
        <v>4</v>
      </c>
      <c r="K2838" s="3" t="str">
        <f aca="false">IFERROR(INDEX('Teacher Lookup'!$B$2:$B$200,MATCH(A2838,'Teacher Lookup'!$A$2:$A$200,0)),"")</f>
        <v>WONG Donald</v>
      </c>
    </row>
    <row r="2839" customFormat="false" ht="15" hidden="false" customHeight="false" outlineLevel="0" collapsed="false">
      <c r="A2839" s="3" t="s">
        <v>370</v>
      </c>
      <c r="B2839" s="4" t="s">
        <v>50</v>
      </c>
      <c r="C2839" s="4" t="n">
        <v>6</v>
      </c>
      <c r="D2839" s="4" t="s">
        <v>137</v>
      </c>
      <c r="E2839" s="3" t="s">
        <v>146</v>
      </c>
      <c r="F2839" s="4" t="str">
        <f aca="false">IF(I2839&gt;J2839,"Y","N")</f>
        <v>N</v>
      </c>
      <c r="G2839" s="3" t="s">
        <v>164</v>
      </c>
      <c r="H2839" s="3" t="s">
        <v>42</v>
      </c>
      <c r="I2839" s="4" t="n">
        <v>4</v>
      </c>
      <c r="J2839" s="4" t="n">
        <f aca="false">LEN(E2839)-LEN(SUBSTITUTE(E2839,",",""))+1</f>
        <v>4</v>
      </c>
      <c r="K2839" s="3" t="str">
        <f aca="false">IFERROR(INDEX('Teacher Lookup'!$B$2:$B$200,MATCH(A2839,'Teacher Lookup'!$A$2:$A$200,0)),"")</f>
        <v>WONG Donald</v>
      </c>
    </row>
    <row r="2840" customFormat="false" ht="15" hidden="false" customHeight="false" outlineLevel="0" collapsed="false">
      <c r="A2840" s="3" t="s">
        <v>370</v>
      </c>
      <c r="B2840" s="4" t="s">
        <v>50</v>
      </c>
      <c r="C2840" s="4" t="n">
        <v>6</v>
      </c>
      <c r="D2840" s="4" t="s">
        <v>124</v>
      </c>
      <c r="E2840" s="3" t="s">
        <v>146</v>
      </c>
      <c r="F2840" s="4" t="str">
        <f aca="false">IF(I2840&gt;J2840,"Y","N")</f>
        <v>N</v>
      </c>
      <c r="G2840" s="3" t="s">
        <v>164</v>
      </c>
      <c r="H2840" s="3" t="s">
        <v>42</v>
      </c>
      <c r="I2840" s="4" t="n">
        <v>4</v>
      </c>
      <c r="J2840" s="4" t="n">
        <f aca="false">LEN(E2840)-LEN(SUBSTITUTE(E2840,",",""))+1</f>
        <v>4</v>
      </c>
      <c r="K2840" s="3" t="str">
        <f aca="false">IFERROR(INDEX('Teacher Lookup'!$B$2:$B$200,MATCH(A2840,'Teacher Lookup'!$A$2:$A$200,0)),"")</f>
        <v>WONG Donald</v>
      </c>
    </row>
    <row r="2841" customFormat="false" ht="15" hidden="false" customHeight="false" outlineLevel="0" collapsed="false">
      <c r="A2841" s="3" t="s">
        <v>370</v>
      </c>
      <c r="B2841" s="4" t="s">
        <v>50</v>
      </c>
      <c r="C2841" s="4" t="n">
        <v>6</v>
      </c>
      <c r="D2841" s="4" t="s">
        <v>139</v>
      </c>
      <c r="E2841" s="3" t="s">
        <v>146</v>
      </c>
      <c r="F2841" s="4" t="str">
        <f aca="false">IF(I2841&gt;J2841,"Y","N")</f>
        <v>N</v>
      </c>
      <c r="G2841" s="3" t="s">
        <v>164</v>
      </c>
      <c r="H2841" s="3" t="s">
        <v>42</v>
      </c>
      <c r="I2841" s="4" t="n">
        <v>4</v>
      </c>
      <c r="J2841" s="4" t="n">
        <f aca="false">LEN(E2841)-LEN(SUBSTITUTE(E2841,",",""))+1</f>
        <v>4</v>
      </c>
      <c r="K2841" s="3" t="str">
        <f aca="false">IFERROR(INDEX('Teacher Lookup'!$B$2:$B$200,MATCH(A2841,'Teacher Lookup'!$A$2:$A$200,0)),"")</f>
        <v>WONG Donald</v>
      </c>
    </row>
    <row r="2842" customFormat="false" ht="15" hidden="false" customHeight="false" outlineLevel="0" collapsed="false">
      <c r="A2842" s="3" t="s">
        <v>370</v>
      </c>
      <c r="B2842" s="4" t="s">
        <v>50</v>
      </c>
      <c r="C2842" s="4" t="n">
        <v>7</v>
      </c>
      <c r="D2842" s="4" t="s">
        <v>140</v>
      </c>
      <c r="E2842" s="3" t="s">
        <v>144</v>
      </c>
      <c r="F2842" s="4" t="str">
        <f aca="false">IF(I2842&gt;J2842,"Y","N")</f>
        <v>N</v>
      </c>
      <c r="G2842" s="3" t="s">
        <v>164</v>
      </c>
      <c r="H2842" s="3" t="s">
        <v>39</v>
      </c>
      <c r="I2842" s="4" t="n">
        <v>4</v>
      </c>
      <c r="J2842" s="4" t="n">
        <f aca="false">LEN(E2842)-LEN(SUBSTITUTE(E2842,",",""))+1</f>
        <v>4</v>
      </c>
      <c r="K2842" s="3" t="str">
        <f aca="false">IFERROR(INDEX('Teacher Lookup'!$B$2:$B$200,MATCH(A2842,'Teacher Lookup'!$A$2:$A$200,0)),"")</f>
        <v>WONG Donald</v>
      </c>
    </row>
    <row r="2843" customFormat="false" ht="15" hidden="false" customHeight="false" outlineLevel="0" collapsed="false">
      <c r="A2843" s="3" t="s">
        <v>370</v>
      </c>
      <c r="B2843" s="4" t="s">
        <v>50</v>
      </c>
      <c r="C2843" s="4" t="n">
        <v>7</v>
      </c>
      <c r="D2843" s="4" t="s">
        <v>142</v>
      </c>
      <c r="E2843" s="3" t="s">
        <v>144</v>
      </c>
      <c r="F2843" s="4" t="str">
        <f aca="false">IF(I2843&gt;J2843,"Y","N")</f>
        <v>N</v>
      </c>
      <c r="G2843" s="3" t="s">
        <v>164</v>
      </c>
      <c r="H2843" s="3" t="s">
        <v>39</v>
      </c>
      <c r="I2843" s="4" t="n">
        <v>4</v>
      </c>
      <c r="J2843" s="4" t="n">
        <f aca="false">LEN(E2843)-LEN(SUBSTITUTE(E2843,",",""))+1</f>
        <v>4</v>
      </c>
      <c r="K2843" s="3" t="str">
        <f aca="false">IFERROR(INDEX('Teacher Lookup'!$B$2:$B$200,MATCH(A2843,'Teacher Lookup'!$A$2:$A$200,0)),"")</f>
        <v>WONG Donald</v>
      </c>
    </row>
    <row r="2844" customFormat="false" ht="15" hidden="false" customHeight="false" outlineLevel="0" collapsed="false">
      <c r="A2844" s="3" t="s">
        <v>370</v>
      </c>
      <c r="B2844" s="4" t="s">
        <v>50</v>
      </c>
      <c r="C2844" s="4" t="n">
        <v>7</v>
      </c>
      <c r="D2844" s="4" t="s">
        <v>127</v>
      </c>
      <c r="E2844" s="3" t="s">
        <v>144</v>
      </c>
      <c r="F2844" s="4" t="str">
        <f aca="false">IF(I2844&gt;J2844,"Y","N")</f>
        <v>N</v>
      </c>
      <c r="G2844" s="3" t="s">
        <v>164</v>
      </c>
      <c r="H2844" s="3" t="s">
        <v>39</v>
      </c>
      <c r="I2844" s="4" t="n">
        <v>4</v>
      </c>
      <c r="J2844" s="4" t="n">
        <f aca="false">LEN(E2844)-LEN(SUBSTITUTE(E2844,",",""))+1</f>
        <v>4</v>
      </c>
      <c r="K2844" s="3" t="str">
        <f aca="false">IFERROR(INDEX('Teacher Lookup'!$B$2:$B$200,MATCH(A2844,'Teacher Lookup'!$A$2:$A$200,0)),"")</f>
        <v>WONG Donald</v>
      </c>
    </row>
    <row r="2845" customFormat="false" ht="15" hidden="false" customHeight="false" outlineLevel="0" collapsed="false">
      <c r="A2845" s="3" t="s">
        <v>370</v>
      </c>
      <c r="B2845" s="4" t="s">
        <v>60</v>
      </c>
      <c r="C2845" s="4" t="n">
        <v>3</v>
      </c>
      <c r="D2845" s="4" t="s">
        <v>137</v>
      </c>
      <c r="E2845" s="3" t="s">
        <v>189</v>
      </c>
      <c r="F2845" s="4" t="str">
        <f aca="false">IF(I2845&gt;J2845,"Y","N")</f>
        <v>N</v>
      </c>
      <c r="G2845" s="3" t="s">
        <v>164</v>
      </c>
      <c r="H2845" s="3" t="s">
        <v>26</v>
      </c>
      <c r="I2845" s="4" t="n">
        <v>4</v>
      </c>
      <c r="J2845" s="4" t="n">
        <f aca="false">LEN(E2845)-LEN(SUBSTITUTE(E2845,",",""))+1</f>
        <v>4</v>
      </c>
      <c r="K2845" s="3" t="str">
        <f aca="false">IFERROR(INDEX('Teacher Lookup'!$B$2:$B$200,MATCH(A2845,'Teacher Lookup'!$A$2:$A$200,0)),"")</f>
        <v>WONG Donald</v>
      </c>
    </row>
    <row r="2846" customFormat="false" ht="15" hidden="false" customHeight="false" outlineLevel="0" collapsed="false">
      <c r="A2846" s="3" t="s">
        <v>370</v>
      </c>
      <c r="B2846" s="4" t="s">
        <v>60</v>
      </c>
      <c r="C2846" s="4" t="n">
        <v>3</v>
      </c>
      <c r="D2846" s="4" t="s">
        <v>124</v>
      </c>
      <c r="E2846" s="3" t="s">
        <v>189</v>
      </c>
      <c r="F2846" s="4" t="str">
        <f aca="false">IF(I2846&gt;J2846,"Y","N")</f>
        <v>N</v>
      </c>
      <c r="G2846" s="3" t="s">
        <v>164</v>
      </c>
      <c r="H2846" s="3" t="s">
        <v>26</v>
      </c>
      <c r="I2846" s="4" t="n">
        <v>4</v>
      </c>
      <c r="J2846" s="4" t="n">
        <f aca="false">LEN(E2846)-LEN(SUBSTITUTE(E2846,",",""))+1</f>
        <v>4</v>
      </c>
      <c r="K2846" s="3" t="str">
        <f aca="false">IFERROR(INDEX('Teacher Lookup'!$B$2:$B$200,MATCH(A2846,'Teacher Lookup'!$A$2:$A$200,0)),"")</f>
        <v>WONG Donald</v>
      </c>
    </row>
    <row r="2847" customFormat="false" ht="15" hidden="false" customHeight="false" outlineLevel="0" collapsed="false">
      <c r="A2847" s="3" t="s">
        <v>370</v>
      </c>
      <c r="B2847" s="4" t="s">
        <v>60</v>
      </c>
      <c r="C2847" s="4" t="n">
        <v>3</v>
      </c>
      <c r="D2847" s="4" t="s">
        <v>139</v>
      </c>
      <c r="E2847" s="3" t="s">
        <v>189</v>
      </c>
      <c r="F2847" s="4" t="str">
        <f aca="false">IF(I2847&gt;J2847,"Y","N")</f>
        <v>N</v>
      </c>
      <c r="G2847" s="3" t="s">
        <v>164</v>
      </c>
      <c r="H2847" s="3" t="s">
        <v>26</v>
      </c>
      <c r="I2847" s="4" t="n">
        <v>4</v>
      </c>
      <c r="J2847" s="4" t="n">
        <f aca="false">LEN(E2847)-LEN(SUBSTITUTE(E2847,",",""))+1</f>
        <v>4</v>
      </c>
      <c r="K2847" s="3" t="str">
        <f aca="false">IFERROR(INDEX('Teacher Lookup'!$B$2:$B$200,MATCH(A2847,'Teacher Lookup'!$A$2:$A$200,0)),"")</f>
        <v>WONG Donald</v>
      </c>
    </row>
    <row r="2848" customFormat="false" ht="15" hidden="false" customHeight="false" outlineLevel="0" collapsed="false">
      <c r="A2848" s="3" t="s">
        <v>370</v>
      </c>
      <c r="B2848" s="4" t="s">
        <v>60</v>
      </c>
      <c r="C2848" s="4" t="n">
        <v>5</v>
      </c>
      <c r="D2848" s="4" t="s">
        <v>137</v>
      </c>
      <c r="E2848" s="3" t="s">
        <v>185</v>
      </c>
      <c r="F2848" s="4" t="str">
        <f aca="false">IF(I2848&gt;J2848,"Y","N")</f>
        <v>Y</v>
      </c>
      <c r="G2848" s="3" t="s">
        <v>36</v>
      </c>
      <c r="H2848" s="3" t="s">
        <v>37</v>
      </c>
      <c r="I2848" s="4" t="n">
        <v>21</v>
      </c>
      <c r="J2848" s="4" t="n">
        <f aca="false">LEN(E2848)-LEN(SUBSTITUTE(E2848,",",""))+1</f>
        <v>7</v>
      </c>
      <c r="K2848" s="3" t="str">
        <f aca="false">IFERROR(INDEX('Teacher Lookup'!$B$2:$B$200,MATCH(A2848,'Teacher Lookup'!$A$2:$A$200,0)),"")</f>
        <v>WONG Donald</v>
      </c>
    </row>
    <row r="2849" customFormat="false" ht="15" hidden="false" customHeight="false" outlineLevel="0" collapsed="false">
      <c r="A2849" s="3" t="s">
        <v>370</v>
      </c>
      <c r="B2849" s="4" t="s">
        <v>60</v>
      </c>
      <c r="C2849" s="4" t="n">
        <v>5</v>
      </c>
      <c r="D2849" s="4" t="s">
        <v>124</v>
      </c>
      <c r="E2849" s="3" t="s">
        <v>185</v>
      </c>
      <c r="F2849" s="4" t="str">
        <f aca="false">IF(I2849&gt;J2849,"Y","N")</f>
        <v>Y</v>
      </c>
      <c r="G2849" s="3" t="s">
        <v>36</v>
      </c>
      <c r="H2849" s="3" t="s">
        <v>37</v>
      </c>
      <c r="I2849" s="4" t="n">
        <v>21</v>
      </c>
      <c r="J2849" s="4" t="n">
        <f aca="false">LEN(E2849)-LEN(SUBSTITUTE(E2849,",",""))+1</f>
        <v>7</v>
      </c>
      <c r="K2849" s="3" t="str">
        <f aca="false">IFERROR(INDEX('Teacher Lookup'!$B$2:$B$200,MATCH(A2849,'Teacher Lookup'!$A$2:$A$200,0)),"")</f>
        <v>WONG Donald</v>
      </c>
    </row>
    <row r="2850" customFormat="false" ht="15" hidden="false" customHeight="false" outlineLevel="0" collapsed="false">
      <c r="A2850" s="3" t="s">
        <v>370</v>
      </c>
      <c r="B2850" s="4" t="s">
        <v>60</v>
      </c>
      <c r="C2850" s="4" t="n">
        <v>5</v>
      </c>
      <c r="D2850" s="4" t="s">
        <v>139</v>
      </c>
      <c r="E2850" s="3" t="s">
        <v>185</v>
      </c>
      <c r="F2850" s="4" t="str">
        <f aca="false">IF(I2850&gt;J2850,"Y","N")</f>
        <v>Y</v>
      </c>
      <c r="G2850" s="3" t="s">
        <v>36</v>
      </c>
      <c r="H2850" s="3" t="s">
        <v>37</v>
      </c>
      <c r="I2850" s="4" t="n">
        <v>21</v>
      </c>
      <c r="J2850" s="4" t="n">
        <f aca="false">LEN(E2850)-LEN(SUBSTITUTE(E2850,",",""))+1</f>
        <v>7</v>
      </c>
      <c r="K2850" s="3" t="str">
        <f aca="false">IFERROR(INDEX('Teacher Lookup'!$B$2:$B$200,MATCH(A2850,'Teacher Lookup'!$A$2:$A$200,0)),"")</f>
        <v>WONG Donald</v>
      </c>
    </row>
    <row r="2851" customFormat="false" ht="15" hidden="false" customHeight="false" outlineLevel="0" collapsed="false">
      <c r="A2851" s="3" t="s">
        <v>370</v>
      </c>
      <c r="B2851" s="4" t="s">
        <v>60</v>
      </c>
      <c r="C2851" s="4" t="n">
        <v>5</v>
      </c>
      <c r="D2851" s="4" t="s">
        <v>140</v>
      </c>
      <c r="E2851" s="3" t="s">
        <v>185</v>
      </c>
      <c r="F2851" s="4" t="str">
        <f aca="false">IF(I2851&gt;J2851,"Y","N")</f>
        <v>Y</v>
      </c>
      <c r="G2851" s="3" t="s">
        <v>36</v>
      </c>
      <c r="H2851" s="3" t="s">
        <v>37</v>
      </c>
      <c r="I2851" s="4" t="n">
        <v>21</v>
      </c>
      <c r="J2851" s="4" t="n">
        <f aca="false">LEN(E2851)-LEN(SUBSTITUTE(E2851,",",""))+1</f>
        <v>7</v>
      </c>
      <c r="K2851" s="3" t="str">
        <f aca="false">IFERROR(INDEX('Teacher Lookup'!$B$2:$B$200,MATCH(A2851,'Teacher Lookup'!$A$2:$A$200,0)),"")</f>
        <v>WONG Donald</v>
      </c>
    </row>
    <row r="2852" customFormat="false" ht="15" hidden="false" customHeight="false" outlineLevel="0" collapsed="false">
      <c r="A2852" s="3" t="s">
        <v>370</v>
      </c>
      <c r="B2852" s="4" t="s">
        <v>60</v>
      </c>
      <c r="C2852" s="4" t="n">
        <v>5</v>
      </c>
      <c r="D2852" s="4" t="s">
        <v>142</v>
      </c>
      <c r="E2852" s="3" t="s">
        <v>185</v>
      </c>
      <c r="F2852" s="4" t="str">
        <f aca="false">IF(I2852&gt;J2852,"Y","N")</f>
        <v>Y</v>
      </c>
      <c r="G2852" s="3" t="s">
        <v>36</v>
      </c>
      <c r="H2852" s="3" t="s">
        <v>37</v>
      </c>
      <c r="I2852" s="4" t="n">
        <v>21</v>
      </c>
      <c r="J2852" s="4" t="n">
        <f aca="false">LEN(E2852)-LEN(SUBSTITUTE(E2852,",",""))+1</f>
        <v>7</v>
      </c>
      <c r="K2852" s="3" t="str">
        <f aca="false">IFERROR(INDEX('Teacher Lookup'!$B$2:$B$200,MATCH(A2852,'Teacher Lookup'!$A$2:$A$200,0)),"")</f>
        <v>WONG Donald</v>
      </c>
    </row>
    <row r="2853" customFormat="false" ht="15" hidden="false" customHeight="false" outlineLevel="0" collapsed="false">
      <c r="A2853" s="3" t="s">
        <v>370</v>
      </c>
      <c r="B2853" s="4" t="s">
        <v>60</v>
      </c>
      <c r="C2853" s="4" t="n">
        <v>5</v>
      </c>
      <c r="D2853" s="4" t="s">
        <v>127</v>
      </c>
      <c r="E2853" s="3" t="s">
        <v>185</v>
      </c>
      <c r="F2853" s="4" t="str">
        <f aca="false">IF(I2853&gt;J2853,"Y","N")</f>
        <v>Y</v>
      </c>
      <c r="G2853" s="3" t="s">
        <v>36</v>
      </c>
      <c r="H2853" s="3" t="s">
        <v>37</v>
      </c>
      <c r="I2853" s="4" t="n">
        <v>21</v>
      </c>
      <c r="J2853" s="4" t="n">
        <f aca="false">LEN(E2853)-LEN(SUBSTITUTE(E2853,",",""))+1</f>
        <v>7</v>
      </c>
      <c r="K2853" s="3" t="str">
        <f aca="false">IFERROR(INDEX('Teacher Lookup'!$B$2:$B$200,MATCH(A2853,'Teacher Lookup'!$A$2:$A$200,0)),"")</f>
        <v>WONG Donald</v>
      </c>
    </row>
    <row r="2854" customFormat="false" ht="15" hidden="false" customHeight="false" outlineLevel="0" collapsed="false">
      <c r="A2854" s="3" t="s">
        <v>370</v>
      </c>
      <c r="B2854" s="4" t="s">
        <v>60</v>
      </c>
      <c r="C2854" s="4" t="n">
        <v>6</v>
      </c>
      <c r="D2854" s="4" t="s">
        <v>70</v>
      </c>
      <c r="E2854" s="3" t="s">
        <v>83</v>
      </c>
      <c r="F2854" s="4" t="str">
        <f aca="false">IF(I2854&gt;J2854,"Y","N")</f>
        <v>N</v>
      </c>
      <c r="G2854" s="3" t="s">
        <v>164</v>
      </c>
      <c r="H2854" s="3" t="s">
        <v>42</v>
      </c>
      <c r="I2854" s="4" t="n">
        <v>4</v>
      </c>
      <c r="J2854" s="4" t="n">
        <f aca="false">LEN(E2854)-LEN(SUBSTITUTE(E2854,",",""))+1</f>
        <v>4</v>
      </c>
      <c r="K2854" s="3" t="str">
        <f aca="false">IFERROR(INDEX('Teacher Lookup'!$B$2:$B$200,MATCH(A2854,'Teacher Lookup'!$A$2:$A$200,0)),"")</f>
        <v>WONG Donald</v>
      </c>
    </row>
    <row r="2855" customFormat="false" ht="15" hidden="false" customHeight="false" outlineLevel="0" collapsed="false">
      <c r="A2855" s="3" t="s">
        <v>370</v>
      </c>
      <c r="B2855" s="4" t="s">
        <v>60</v>
      </c>
      <c r="C2855" s="4" t="n">
        <v>6</v>
      </c>
      <c r="D2855" s="4" t="s">
        <v>73</v>
      </c>
      <c r="E2855" s="3" t="s">
        <v>83</v>
      </c>
      <c r="F2855" s="4" t="str">
        <f aca="false">IF(I2855&gt;J2855,"Y","N")</f>
        <v>N</v>
      </c>
      <c r="G2855" s="3" t="s">
        <v>164</v>
      </c>
      <c r="H2855" s="3" t="s">
        <v>42</v>
      </c>
      <c r="I2855" s="4" t="n">
        <v>4</v>
      </c>
      <c r="J2855" s="4" t="n">
        <f aca="false">LEN(E2855)-LEN(SUBSTITUTE(E2855,",",""))+1</f>
        <v>4</v>
      </c>
      <c r="K2855" s="3" t="str">
        <f aca="false">IFERROR(INDEX('Teacher Lookup'!$B$2:$B$200,MATCH(A2855,'Teacher Lookup'!$A$2:$A$200,0)),"")</f>
        <v>WONG Donald</v>
      </c>
    </row>
    <row r="2856" customFormat="false" ht="15" hidden="false" customHeight="false" outlineLevel="0" collapsed="false">
      <c r="A2856" s="3" t="s">
        <v>370</v>
      </c>
      <c r="B2856" s="4" t="s">
        <v>60</v>
      </c>
      <c r="C2856" s="4" t="n">
        <v>6</v>
      </c>
      <c r="D2856" s="4" t="s">
        <v>74</v>
      </c>
      <c r="E2856" s="3" t="s">
        <v>83</v>
      </c>
      <c r="F2856" s="4" t="str">
        <f aca="false">IF(I2856&gt;J2856,"Y","N")</f>
        <v>N</v>
      </c>
      <c r="G2856" s="3" t="s">
        <v>164</v>
      </c>
      <c r="H2856" s="3" t="s">
        <v>42</v>
      </c>
      <c r="I2856" s="4" t="n">
        <v>4</v>
      </c>
      <c r="J2856" s="4" t="n">
        <f aca="false">LEN(E2856)-LEN(SUBSTITUTE(E2856,",",""))+1</f>
        <v>4</v>
      </c>
      <c r="K2856" s="3" t="str">
        <f aca="false">IFERROR(INDEX('Teacher Lookup'!$B$2:$B$200,MATCH(A2856,'Teacher Lookup'!$A$2:$A$200,0)),"")</f>
        <v>WONG Donald</v>
      </c>
    </row>
    <row r="2857" customFormat="false" ht="15" hidden="false" customHeight="false" outlineLevel="0" collapsed="false">
      <c r="A2857" s="3" t="s">
        <v>370</v>
      </c>
      <c r="B2857" s="4" t="s">
        <v>60</v>
      </c>
      <c r="C2857" s="4" t="n">
        <v>7</v>
      </c>
      <c r="D2857" s="4" t="s">
        <v>140</v>
      </c>
      <c r="E2857" s="3" t="s">
        <v>141</v>
      </c>
      <c r="F2857" s="4" t="str">
        <f aca="false">IF(I2857&gt;J2857,"Y","N")</f>
        <v>N</v>
      </c>
      <c r="G2857" s="3" t="s">
        <v>164</v>
      </c>
      <c r="H2857" s="3" t="s">
        <v>39</v>
      </c>
      <c r="I2857" s="4" t="n">
        <v>4</v>
      </c>
      <c r="J2857" s="4" t="n">
        <f aca="false">LEN(E2857)-LEN(SUBSTITUTE(E2857,",",""))+1</f>
        <v>4</v>
      </c>
      <c r="K2857" s="3" t="str">
        <f aca="false">IFERROR(INDEX('Teacher Lookup'!$B$2:$B$200,MATCH(A2857,'Teacher Lookup'!$A$2:$A$200,0)),"")</f>
        <v>WONG Donald</v>
      </c>
    </row>
    <row r="2858" customFormat="false" ht="15" hidden="false" customHeight="false" outlineLevel="0" collapsed="false">
      <c r="A2858" s="3" t="s">
        <v>370</v>
      </c>
      <c r="B2858" s="4" t="s">
        <v>60</v>
      </c>
      <c r="C2858" s="4" t="n">
        <v>7</v>
      </c>
      <c r="D2858" s="4" t="s">
        <v>142</v>
      </c>
      <c r="E2858" s="3" t="s">
        <v>141</v>
      </c>
      <c r="F2858" s="4" t="str">
        <f aca="false">IF(I2858&gt;J2858,"Y","N")</f>
        <v>N</v>
      </c>
      <c r="G2858" s="3" t="s">
        <v>164</v>
      </c>
      <c r="H2858" s="3" t="s">
        <v>39</v>
      </c>
      <c r="I2858" s="4" t="n">
        <v>4</v>
      </c>
      <c r="J2858" s="4" t="n">
        <f aca="false">LEN(E2858)-LEN(SUBSTITUTE(E2858,",",""))+1</f>
        <v>4</v>
      </c>
      <c r="K2858" s="3" t="str">
        <f aca="false">IFERROR(INDEX('Teacher Lookup'!$B$2:$B$200,MATCH(A2858,'Teacher Lookup'!$A$2:$A$200,0)),"")</f>
        <v>WONG Donald</v>
      </c>
    </row>
    <row r="2859" customFormat="false" ht="15" hidden="false" customHeight="false" outlineLevel="0" collapsed="false">
      <c r="A2859" s="3" t="s">
        <v>370</v>
      </c>
      <c r="B2859" s="4" t="s">
        <v>60</v>
      </c>
      <c r="C2859" s="4" t="n">
        <v>7</v>
      </c>
      <c r="D2859" s="4" t="s">
        <v>127</v>
      </c>
      <c r="E2859" s="3" t="s">
        <v>141</v>
      </c>
      <c r="F2859" s="4" t="str">
        <f aca="false">IF(I2859&gt;J2859,"Y","N")</f>
        <v>N</v>
      </c>
      <c r="G2859" s="3" t="s">
        <v>164</v>
      </c>
      <c r="H2859" s="3" t="s">
        <v>39</v>
      </c>
      <c r="I2859" s="4" t="n">
        <v>4</v>
      </c>
      <c r="J2859" s="4" t="n">
        <f aca="false">LEN(E2859)-LEN(SUBSTITUTE(E2859,",",""))+1</f>
        <v>4</v>
      </c>
      <c r="K2859" s="3" t="str">
        <f aca="false">IFERROR(INDEX('Teacher Lookup'!$B$2:$B$200,MATCH(A2859,'Teacher Lookup'!$A$2:$A$200,0)),"")</f>
        <v>WONG Donald</v>
      </c>
    </row>
    <row r="2860" customFormat="false" ht="15" hidden="false" customHeight="false" outlineLevel="0" collapsed="false">
      <c r="A2860" s="3" t="s">
        <v>370</v>
      </c>
      <c r="B2860" s="4" t="s">
        <v>63</v>
      </c>
      <c r="C2860" s="4" t="n">
        <v>5</v>
      </c>
      <c r="D2860" s="4" t="s">
        <v>137</v>
      </c>
      <c r="E2860" s="3" t="s">
        <v>186</v>
      </c>
      <c r="F2860" s="4" t="str">
        <f aca="false">IF(I2860&gt;J2860,"Y","N")</f>
        <v>N</v>
      </c>
      <c r="G2860" s="3" t="s">
        <v>164</v>
      </c>
      <c r="H2860" s="3" t="s">
        <v>37</v>
      </c>
      <c r="I2860" s="4" t="n">
        <v>4</v>
      </c>
      <c r="J2860" s="4" t="n">
        <f aca="false">LEN(E2860)-LEN(SUBSTITUTE(E2860,",",""))+1</f>
        <v>4</v>
      </c>
      <c r="K2860" s="3" t="str">
        <f aca="false">IFERROR(INDEX('Teacher Lookup'!$B$2:$B$200,MATCH(A2860,'Teacher Lookup'!$A$2:$A$200,0)),"")</f>
        <v>WONG Donald</v>
      </c>
    </row>
    <row r="2861" customFormat="false" ht="15" hidden="false" customHeight="false" outlineLevel="0" collapsed="false">
      <c r="A2861" s="3" t="s">
        <v>370</v>
      </c>
      <c r="B2861" s="4" t="s">
        <v>63</v>
      </c>
      <c r="C2861" s="4" t="n">
        <v>5</v>
      </c>
      <c r="D2861" s="4" t="s">
        <v>124</v>
      </c>
      <c r="E2861" s="3" t="s">
        <v>186</v>
      </c>
      <c r="F2861" s="4" t="str">
        <f aca="false">IF(I2861&gt;J2861,"Y","N")</f>
        <v>N</v>
      </c>
      <c r="G2861" s="3" t="s">
        <v>164</v>
      </c>
      <c r="H2861" s="3" t="s">
        <v>37</v>
      </c>
      <c r="I2861" s="4" t="n">
        <v>4</v>
      </c>
      <c r="J2861" s="4" t="n">
        <f aca="false">LEN(E2861)-LEN(SUBSTITUTE(E2861,",",""))+1</f>
        <v>4</v>
      </c>
      <c r="K2861" s="3" t="str">
        <f aca="false">IFERROR(INDEX('Teacher Lookup'!$B$2:$B$200,MATCH(A2861,'Teacher Lookup'!$A$2:$A$200,0)),"")</f>
        <v>WONG Donald</v>
      </c>
    </row>
    <row r="2862" customFormat="false" ht="15" hidden="false" customHeight="false" outlineLevel="0" collapsed="false">
      <c r="A2862" s="3" t="s">
        <v>370</v>
      </c>
      <c r="B2862" s="4" t="s">
        <v>63</v>
      </c>
      <c r="C2862" s="4" t="n">
        <v>5</v>
      </c>
      <c r="D2862" s="4" t="s">
        <v>139</v>
      </c>
      <c r="E2862" s="3" t="s">
        <v>186</v>
      </c>
      <c r="F2862" s="4" t="str">
        <f aca="false">IF(I2862&gt;J2862,"Y","N")</f>
        <v>N</v>
      </c>
      <c r="G2862" s="3" t="s">
        <v>164</v>
      </c>
      <c r="H2862" s="3" t="s">
        <v>37</v>
      </c>
      <c r="I2862" s="4" t="n">
        <v>4</v>
      </c>
      <c r="J2862" s="4" t="n">
        <f aca="false">LEN(E2862)-LEN(SUBSTITUTE(E2862,",",""))+1</f>
        <v>4</v>
      </c>
      <c r="K2862" s="3" t="str">
        <f aca="false">IFERROR(INDEX('Teacher Lookup'!$B$2:$B$200,MATCH(A2862,'Teacher Lookup'!$A$2:$A$200,0)),"")</f>
        <v>WONG Donald</v>
      </c>
    </row>
    <row r="2863" customFormat="false" ht="15" hidden="false" customHeight="false" outlineLevel="0" collapsed="false">
      <c r="A2863" s="3" t="s">
        <v>370</v>
      </c>
      <c r="B2863" s="4" t="s">
        <v>63</v>
      </c>
      <c r="C2863" s="4" t="n">
        <v>6</v>
      </c>
      <c r="D2863" s="4" t="s">
        <v>70</v>
      </c>
      <c r="E2863" s="3" t="s">
        <v>85</v>
      </c>
      <c r="F2863" s="4" t="str">
        <f aca="false">IF(I2863&gt;J2863,"Y","N")</f>
        <v>N</v>
      </c>
      <c r="G2863" s="3" t="s">
        <v>164</v>
      </c>
      <c r="H2863" s="3" t="s">
        <v>42</v>
      </c>
      <c r="I2863" s="4" t="n">
        <v>4</v>
      </c>
      <c r="J2863" s="4" t="n">
        <f aca="false">LEN(E2863)-LEN(SUBSTITUTE(E2863,",",""))+1</f>
        <v>4</v>
      </c>
      <c r="K2863" s="3" t="str">
        <f aca="false">IFERROR(INDEX('Teacher Lookup'!$B$2:$B$200,MATCH(A2863,'Teacher Lookup'!$A$2:$A$200,0)),"")</f>
        <v>WONG Donald</v>
      </c>
    </row>
    <row r="2864" customFormat="false" ht="15" hidden="false" customHeight="false" outlineLevel="0" collapsed="false">
      <c r="A2864" s="3" t="s">
        <v>370</v>
      </c>
      <c r="B2864" s="4" t="s">
        <v>63</v>
      </c>
      <c r="C2864" s="4" t="n">
        <v>6</v>
      </c>
      <c r="D2864" s="4" t="s">
        <v>73</v>
      </c>
      <c r="E2864" s="3" t="s">
        <v>85</v>
      </c>
      <c r="F2864" s="4" t="str">
        <f aca="false">IF(I2864&gt;J2864,"Y","N")</f>
        <v>N</v>
      </c>
      <c r="G2864" s="3" t="s">
        <v>164</v>
      </c>
      <c r="H2864" s="3" t="s">
        <v>42</v>
      </c>
      <c r="I2864" s="4" t="n">
        <v>4</v>
      </c>
      <c r="J2864" s="4" t="n">
        <f aca="false">LEN(E2864)-LEN(SUBSTITUTE(E2864,",",""))+1</f>
        <v>4</v>
      </c>
      <c r="K2864" s="3" t="str">
        <f aca="false">IFERROR(INDEX('Teacher Lookup'!$B$2:$B$200,MATCH(A2864,'Teacher Lookup'!$A$2:$A$200,0)),"")</f>
        <v>WONG Donald</v>
      </c>
    </row>
    <row r="2865" customFormat="false" ht="15" hidden="false" customHeight="false" outlineLevel="0" collapsed="false">
      <c r="A2865" s="3" t="s">
        <v>370</v>
      </c>
      <c r="B2865" s="4" t="s">
        <v>63</v>
      </c>
      <c r="C2865" s="4" t="n">
        <v>6</v>
      </c>
      <c r="D2865" s="4" t="s">
        <v>74</v>
      </c>
      <c r="E2865" s="3" t="s">
        <v>85</v>
      </c>
      <c r="F2865" s="4" t="str">
        <f aca="false">IF(I2865&gt;J2865,"Y","N")</f>
        <v>N</v>
      </c>
      <c r="G2865" s="3" t="s">
        <v>164</v>
      </c>
      <c r="H2865" s="3" t="s">
        <v>42</v>
      </c>
      <c r="I2865" s="4" t="n">
        <v>4</v>
      </c>
      <c r="J2865" s="4" t="n">
        <f aca="false">LEN(E2865)-LEN(SUBSTITUTE(E2865,",",""))+1</f>
        <v>4</v>
      </c>
      <c r="K2865" s="3" t="str">
        <f aca="false">IFERROR(INDEX('Teacher Lookup'!$B$2:$B$200,MATCH(A2865,'Teacher Lookup'!$A$2:$A$200,0)),"")</f>
        <v>WONG Donald</v>
      </c>
    </row>
    <row r="2866" customFormat="false" ht="15" hidden="false" customHeight="false" outlineLevel="0" collapsed="false">
      <c r="A2866" s="3" t="s">
        <v>370</v>
      </c>
      <c r="B2866" s="4" t="s">
        <v>63</v>
      </c>
      <c r="C2866" s="4" t="n">
        <v>7</v>
      </c>
      <c r="D2866" s="4" t="s">
        <v>140</v>
      </c>
      <c r="E2866" s="3" t="s">
        <v>152</v>
      </c>
      <c r="F2866" s="4" t="str">
        <f aca="false">IF(I2866&gt;J2866,"Y","N")</f>
        <v>N</v>
      </c>
      <c r="G2866" s="3" t="s">
        <v>164</v>
      </c>
      <c r="H2866" s="3" t="s">
        <v>39</v>
      </c>
      <c r="I2866" s="4" t="n">
        <v>4</v>
      </c>
      <c r="J2866" s="4" t="n">
        <f aca="false">LEN(E2866)-LEN(SUBSTITUTE(E2866,",",""))+1</f>
        <v>4</v>
      </c>
      <c r="K2866" s="3" t="str">
        <f aca="false">IFERROR(INDEX('Teacher Lookup'!$B$2:$B$200,MATCH(A2866,'Teacher Lookup'!$A$2:$A$200,0)),"")</f>
        <v>WONG Donald</v>
      </c>
    </row>
    <row r="2867" customFormat="false" ht="15" hidden="false" customHeight="false" outlineLevel="0" collapsed="false">
      <c r="A2867" s="3" t="s">
        <v>370</v>
      </c>
      <c r="B2867" s="4" t="s">
        <v>63</v>
      </c>
      <c r="C2867" s="4" t="n">
        <v>7</v>
      </c>
      <c r="D2867" s="4" t="s">
        <v>142</v>
      </c>
      <c r="E2867" s="3" t="s">
        <v>152</v>
      </c>
      <c r="F2867" s="4" t="str">
        <f aca="false">IF(I2867&gt;J2867,"Y","N")</f>
        <v>N</v>
      </c>
      <c r="G2867" s="3" t="s">
        <v>164</v>
      </c>
      <c r="H2867" s="3" t="s">
        <v>39</v>
      </c>
      <c r="I2867" s="4" t="n">
        <v>4</v>
      </c>
      <c r="J2867" s="4" t="n">
        <f aca="false">LEN(E2867)-LEN(SUBSTITUTE(E2867,",",""))+1</f>
        <v>4</v>
      </c>
      <c r="K2867" s="3" t="str">
        <f aca="false">IFERROR(INDEX('Teacher Lookup'!$B$2:$B$200,MATCH(A2867,'Teacher Lookup'!$A$2:$A$200,0)),"")</f>
        <v>WONG Donald</v>
      </c>
    </row>
    <row r="2868" customFormat="false" ht="15" hidden="false" customHeight="false" outlineLevel="0" collapsed="false">
      <c r="A2868" s="3" t="s">
        <v>370</v>
      </c>
      <c r="B2868" s="4" t="s">
        <v>63</v>
      </c>
      <c r="C2868" s="4" t="n">
        <v>7</v>
      </c>
      <c r="D2868" s="4" t="s">
        <v>127</v>
      </c>
      <c r="E2868" s="3" t="s">
        <v>152</v>
      </c>
      <c r="F2868" s="4" t="str">
        <f aca="false">IF(I2868&gt;J2868,"Y","N")</f>
        <v>N</v>
      </c>
      <c r="G2868" s="3" t="s">
        <v>164</v>
      </c>
      <c r="H2868" s="3" t="s">
        <v>39</v>
      </c>
      <c r="I2868" s="4" t="n">
        <v>4</v>
      </c>
      <c r="J2868" s="4" t="n">
        <f aca="false">LEN(E2868)-LEN(SUBSTITUTE(E2868,",",""))+1</f>
        <v>4</v>
      </c>
      <c r="K2868" s="3" t="str">
        <f aca="false">IFERROR(INDEX('Teacher Lookup'!$B$2:$B$200,MATCH(A2868,'Teacher Lookup'!$A$2:$A$200,0)),"")</f>
        <v>WONG Donald</v>
      </c>
    </row>
    <row r="2869" customFormat="false" ht="15" hidden="false" customHeight="false" outlineLevel="0" collapsed="false">
      <c r="A2869" s="3" t="s">
        <v>370</v>
      </c>
      <c r="B2869" s="4" t="s">
        <v>65</v>
      </c>
      <c r="C2869" s="4" t="n">
        <v>2</v>
      </c>
      <c r="D2869" s="4" t="s">
        <v>137</v>
      </c>
      <c r="E2869" s="3" t="s">
        <v>146</v>
      </c>
      <c r="F2869" s="4" t="str">
        <f aca="false">IF(I2869&gt;J2869,"Y","N")</f>
        <v>N</v>
      </c>
      <c r="G2869" s="3" t="s">
        <v>164</v>
      </c>
      <c r="H2869" s="3" t="s">
        <v>21</v>
      </c>
      <c r="I2869" s="4" t="n">
        <v>4</v>
      </c>
      <c r="J2869" s="4" t="n">
        <f aca="false">LEN(E2869)-LEN(SUBSTITUTE(E2869,",",""))+1</f>
        <v>4</v>
      </c>
      <c r="K2869" s="3" t="str">
        <f aca="false">IFERROR(INDEX('Teacher Lookup'!$B$2:$B$200,MATCH(A2869,'Teacher Lookup'!$A$2:$A$200,0)),"")</f>
        <v>WONG Donald</v>
      </c>
    </row>
    <row r="2870" customFormat="false" ht="15" hidden="false" customHeight="false" outlineLevel="0" collapsed="false">
      <c r="A2870" s="3" t="s">
        <v>370</v>
      </c>
      <c r="B2870" s="4" t="s">
        <v>65</v>
      </c>
      <c r="C2870" s="4" t="n">
        <v>2</v>
      </c>
      <c r="D2870" s="4" t="s">
        <v>124</v>
      </c>
      <c r="E2870" s="3" t="s">
        <v>146</v>
      </c>
      <c r="F2870" s="4" t="str">
        <f aca="false">IF(I2870&gt;J2870,"Y","N")</f>
        <v>N</v>
      </c>
      <c r="G2870" s="3" t="s">
        <v>164</v>
      </c>
      <c r="H2870" s="3" t="s">
        <v>21</v>
      </c>
      <c r="I2870" s="4" t="n">
        <v>4</v>
      </c>
      <c r="J2870" s="4" t="n">
        <f aca="false">LEN(E2870)-LEN(SUBSTITUTE(E2870,",",""))+1</f>
        <v>4</v>
      </c>
      <c r="K2870" s="3" t="str">
        <f aca="false">IFERROR(INDEX('Teacher Lookup'!$B$2:$B$200,MATCH(A2870,'Teacher Lookup'!$A$2:$A$200,0)),"")</f>
        <v>WONG Donald</v>
      </c>
    </row>
    <row r="2871" customFormat="false" ht="15" hidden="false" customHeight="false" outlineLevel="0" collapsed="false">
      <c r="A2871" s="3" t="s">
        <v>370</v>
      </c>
      <c r="B2871" s="4" t="s">
        <v>65</v>
      </c>
      <c r="C2871" s="4" t="n">
        <v>2</v>
      </c>
      <c r="D2871" s="4" t="s">
        <v>139</v>
      </c>
      <c r="E2871" s="3" t="s">
        <v>146</v>
      </c>
      <c r="F2871" s="4" t="str">
        <f aca="false">IF(I2871&gt;J2871,"Y","N")</f>
        <v>N</v>
      </c>
      <c r="G2871" s="3" t="s">
        <v>164</v>
      </c>
      <c r="H2871" s="3" t="s">
        <v>21</v>
      </c>
      <c r="I2871" s="4" t="n">
        <v>4</v>
      </c>
      <c r="J2871" s="4" t="n">
        <f aca="false">LEN(E2871)-LEN(SUBSTITUTE(E2871,",",""))+1</f>
        <v>4</v>
      </c>
      <c r="K2871" s="3" t="str">
        <f aca="false">IFERROR(INDEX('Teacher Lookup'!$B$2:$B$200,MATCH(A2871,'Teacher Lookup'!$A$2:$A$200,0)),"")</f>
        <v>WONG Donald</v>
      </c>
    </row>
    <row r="2872" customFormat="false" ht="15" hidden="false" customHeight="false" outlineLevel="0" collapsed="false">
      <c r="A2872" s="3" t="s">
        <v>370</v>
      </c>
      <c r="B2872" s="4" t="s">
        <v>65</v>
      </c>
      <c r="C2872" s="4" t="n">
        <v>3</v>
      </c>
      <c r="D2872" s="4" t="s">
        <v>140</v>
      </c>
      <c r="E2872" s="3" t="s">
        <v>152</v>
      </c>
      <c r="F2872" s="4" t="str">
        <f aca="false">IF(I2872&gt;J2872,"Y","N")</f>
        <v>N</v>
      </c>
      <c r="G2872" s="3" t="s">
        <v>164</v>
      </c>
      <c r="H2872" s="3" t="s">
        <v>26</v>
      </c>
      <c r="I2872" s="4" t="n">
        <v>4</v>
      </c>
      <c r="J2872" s="4" t="n">
        <f aca="false">LEN(E2872)-LEN(SUBSTITUTE(E2872,",",""))+1</f>
        <v>4</v>
      </c>
      <c r="K2872" s="3" t="str">
        <f aca="false">IFERROR(INDEX('Teacher Lookup'!$B$2:$B$200,MATCH(A2872,'Teacher Lookup'!$A$2:$A$200,0)),"")</f>
        <v>WONG Donald</v>
      </c>
    </row>
    <row r="2873" customFormat="false" ht="15" hidden="false" customHeight="false" outlineLevel="0" collapsed="false">
      <c r="A2873" s="3" t="s">
        <v>370</v>
      </c>
      <c r="B2873" s="4" t="s">
        <v>65</v>
      </c>
      <c r="C2873" s="4" t="n">
        <v>3</v>
      </c>
      <c r="D2873" s="4" t="s">
        <v>142</v>
      </c>
      <c r="E2873" s="3" t="s">
        <v>152</v>
      </c>
      <c r="F2873" s="4" t="str">
        <f aca="false">IF(I2873&gt;J2873,"Y","N")</f>
        <v>N</v>
      </c>
      <c r="G2873" s="3" t="s">
        <v>164</v>
      </c>
      <c r="H2873" s="3" t="s">
        <v>26</v>
      </c>
      <c r="I2873" s="4" t="n">
        <v>4</v>
      </c>
      <c r="J2873" s="4" t="n">
        <f aca="false">LEN(E2873)-LEN(SUBSTITUTE(E2873,",",""))+1</f>
        <v>4</v>
      </c>
      <c r="K2873" s="3" t="str">
        <f aca="false">IFERROR(INDEX('Teacher Lookup'!$B$2:$B$200,MATCH(A2873,'Teacher Lookup'!$A$2:$A$200,0)),"")</f>
        <v>WONG Donald</v>
      </c>
    </row>
    <row r="2874" customFormat="false" ht="15" hidden="false" customHeight="false" outlineLevel="0" collapsed="false">
      <c r="A2874" s="3" t="s">
        <v>370</v>
      </c>
      <c r="B2874" s="4" t="s">
        <v>65</v>
      </c>
      <c r="C2874" s="4" t="n">
        <v>3</v>
      </c>
      <c r="D2874" s="4" t="s">
        <v>127</v>
      </c>
      <c r="E2874" s="3" t="s">
        <v>152</v>
      </c>
      <c r="F2874" s="4" t="str">
        <f aca="false">IF(I2874&gt;J2874,"Y","N")</f>
        <v>N</v>
      </c>
      <c r="G2874" s="3" t="s">
        <v>164</v>
      </c>
      <c r="H2874" s="3" t="s">
        <v>26</v>
      </c>
      <c r="I2874" s="4" t="n">
        <v>4</v>
      </c>
      <c r="J2874" s="4" t="n">
        <f aca="false">LEN(E2874)-LEN(SUBSTITUTE(E2874,",",""))+1</f>
        <v>4</v>
      </c>
      <c r="K2874" s="3" t="str">
        <f aca="false">IFERROR(INDEX('Teacher Lookup'!$B$2:$B$200,MATCH(A2874,'Teacher Lookup'!$A$2:$A$200,0)),"")</f>
        <v>WONG Donald</v>
      </c>
    </row>
    <row r="2875" customFormat="false" ht="15" hidden="false" customHeight="false" outlineLevel="0" collapsed="false">
      <c r="A2875" s="3" t="s">
        <v>370</v>
      </c>
      <c r="B2875" s="4" t="s">
        <v>65</v>
      </c>
      <c r="C2875" s="4" t="n">
        <v>5</v>
      </c>
      <c r="D2875" s="4" t="s">
        <v>137</v>
      </c>
      <c r="E2875" s="3" t="s">
        <v>185</v>
      </c>
      <c r="F2875" s="4" t="str">
        <f aca="false">IF(I2875&gt;J2875,"Y","N")</f>
        <v>Y</v>
      </c>
      <c r="G2875" s="3" t="s">
        <v>36</v>
      </c>
      <c r="H2875" s="3" t="s">
        <v>37</v>
      </c>
      <c r="I2875" s="4" t="n">
        <v>21</v>
      </c>
      <c r="J2875" s="4" t="n">
        <f aca="false">LEN(E2875)-LEN(SUBSTITUTE(E2875,",",""))+1</f>
        <v>7</v>
      </c>
      <c r="K2875" s="3" t="str">
        <f aca="false">IFERROR(INDEX('Teacher Lookup'!$B$2:$B$200,MATCH(A2875,'Teacher Lookup'!$A$2:$A$200,0)),"")</f>
        <v>WONG Donald</v>
      </c>
    </row>
    <row r="2876" customFormat="false" ht="15" hidden="false" customHeight="false" outlineLevel="0" collapsed="false">
      <c r="A2876" s="3" t="s">
        <v>370</v>
      </c>
      <c r="B2876" s="4" t="s">
        <v>65</v>
      </c>
      <c r="C2876" s="4" t="n">
        <v>5</v>
      </c>
      <c r="D2876" s="4" t="s">
        <v>124</v>
      </c>
      <c r="E2876" s="3" t="s">
        <v>185</v>
      </c>
      <c r="F2876" s="4" t="str">
        <f aca="false">IF(I2876&gt;J2876,"Y","N")</f>
        <v>Y</v>
      </c>
      <c r="G2876" s="3" t="s">
        <v>36</v>
      </c>
      <c r="H2876" s="3" t="s">
        <v>37</v>
      </c>
      <c r="I2876" s="4" t="n">
        <v>21</v>
      </c>
      <c r="J2876" s="4" t="n">
        <f aca="false">LEN(E2876)-LEN(SUBSTITUTE(E2876,",",""))+1</f>
        <v>7</v>
      </c>
      <c r="K2876" s="3" t="str">
        <f aca="false">IFERROR(INDEX('Teacher Lookup'!$B$2:$B$200,MATCH(A2876,'Teacher Lookup'!$A$2:$A$200,0)),"")</f>
        <v>WONG Donald</v>
      </c>
    </row>
    <row r="2877" customFormat="false" ht="15" hidden="false" customHeight="false" outlineLevel="0" collapsed="false">
      <c r="A2877" s="3" t="s">
        <v>370</v>
      </c>
      <c r="B2877" s="4" t="s">
        <v>65</v>
      </c>
      <c r="C2877" s="4" t="n">
        <v>5</v>
      </c>
      <c r="D2877" s="4" t="s">
        <v>139</v>
      </c>
      <c r="E2877" s="3" t="s">
        <v>185</v>
      </c>
      <c r="F2877" s="4" t="str">
        <f aca="false">IF(I2877&gt;J2877,"Y","N")</f>
        <v>Y</v>
      </c>
      <c r="G2877" s="3" t="s">
        <v>36</v>
      </c>
      <c r="H2877" s="3" t="s">
        <v>37</v>
      </c>
      <c r="I2877" s="4" t="n">
        <v>21</v>
      </c>
      <c r="J2877" s="4" t="n">
        <f aca="false">LEN(E2877)-LEN(SUBSTITUTE(E2877,",",""))+1</f>
        <v>7</v>
      </c>
      <c r="K2877" s="3" t="str">
        <f aca="false">IFERROR(INDEX('Teacher Lookup'!$B$2:$B$200,MATCH(A2877,'Teacher Lookup'!$A$2:$A$200,0)),"")</f>
        <v>WONG Donald</v>
      </c>
    </row>
    <row r="2878" customFormat="false" ht="15" hidden="false" customHeight="false" outlineLevel="0" collapsed="false">
      <c r="A2878" s="3" t="s">
        <v>370</v>
      </c>
      <c r="B2878" s="4" t="s">
        <v>65</v>
      </c>
      <c r="C2878" s="4" t="n">
        <v>5</v>
      </c>
      <c r="D2878" s="4" t="s">
        <v>140</v>
      </c>
      <c r="E2878" s="3" t="s">
        <v>185</v>
      </c>
      <c r="F2878" s="4" t="str">
        <f aca="false">IF(I2878&gt;J2878,"Y","N")</f>
        <v>Y</v>
      </c>
      <c r="G2878" s="3" t="s">
        <v>36</v>
      </c>
      <c r="H2878" s="3" t="s">
        <v>37</v>
      </c>
      <c r="I2878" s="4" t="n">
        <v>21</v>
      </c>
      <c r="J2878" s="4" t="n">
        <f aca="false">LEN(E2878)-LEN(SUBSTITUTE(E2878,",",""))+1</f>
        <v>7</v>
      </c>
      <c r="K2878" s="3" t="str">
        <f aca="false">IFERROR(INDEX('Teacher Lookup'!$B$2:$B$200,MATCH(A2878,'Teacher Lookup'!$A$2:$A$200,0)),"")</f>
        <v>WONG Donald</v>
      </c>
    </row>
    <row r="2879" customFormat="false" ht="15" hidden="false" customHeight="false" outlineLevel="0" collapsed="false">
      <c r="A2879" s="3" t="s">
        <v>370</v>
      </c>
      <c r="B2879" s="4" t="s">
        <v>65</v>
      </c>
      <c r="C2879" s="4" t="n">
        <v>5</v>
      </c>
      <c r="D2879" s="4" t="s">
        <v>142</v>
      </c>
      <c r="E2879" s="3" t="s">
        <v>185</v>
      </c>
      <c r="F2879" s="4" t="str">
        <f aca="false">IF(I2879&gt;J2879,"Y","N")</f>
        <v>Y</v>
      </c>
      <c r="G2879" s="3" t="s">
        <v>36</v>
      </c>
      <c r="H2879" s="3" t="s">
        <v>37</v>
      </c>
      <c r="I2879" s="4" t="n">
        <v>21</v>
      </c>
      <c r="J2879" s="4" t="n">
        <f aca="false">LEN(E2879)-LEN(SUBSTITUTE(E2879,",",""))+1</f>
        <v>7</v>
      </c>
      <c r="K2879" s="3" t="str">
        <f aca="false">IFERROR(INDEX('Teacher Lookup'!$B$2:$B$200,MATCH(A2879,'Teacher Lookup'!$A$2:$A$200,0)),"")</f>
        <v>WONG Donald</v>
      </c>
    </row>
    <row r="2880" customFormat="false" ht="15" hidden="false" customHeight="false" outlineLevel="0" collapsed="false">
      <c r="A2880" s="3" t="s">
        <v>370</v>
      </c>
      <c r="B2880" s="4" t="s">
        <v>65</v>
      </c>
      <c r="C2880" s="4" t="n">
        <v>5</v>
      </c>
      <c r="D2880" s="4" t="s">
        <v>127</v>
      </c>
      <c r="E2880" s="3" t="s">
        <v>185</v>
      </c>
      <c r="F2880" s="4" t="str">
        <f aca="false">IF(I2880&gt;J2880,"Y","N")</f>
        <v>Y</v>
      </c>
      <c r="G2880" s="3" t="s">
        <v>36</v>
      </c>
      <c r="H2880" s="3" t="s">
        <v>37</v>
      </c>
      <c r="I2880" s="4" t="n">
        <v>21</v>
      </c>
      <c r="J2880" s="4" t="n">
        <f aca="false">LEN(E2880)-LEN(SUBSTITUTE(E2880,",",""))+1</f>
        <v>7</v>
      </c>
      <c r="K2880" s="3" t="str">
        <f aca="false">IFERROR(INDEX('Teacher Lookup'!$B$2:$B$200,MATCH(A2880,'Teacher Lookup'!$A$2:$A$200,0)),"")</f>
        <v>WONG Donald</v>
      </c>
    </row>
    <row r="2881" customFormat="false" ht="15" hidden="false" customHeight="false" outlineLevel="0" collapsed="false">
      <c r="A2881" s="3" t="s">
        <v>370</v>
      </c>
      <c r="B2881" s="4" t="s">
        <v>65</v>
      </c>
      <c r="C2881" s="4" t="n">
        <v>6</v>
      </c>
      <c r="D2881" s="4" t="s">
        <v>70</v>
      </c>
      <c r="E2881" s="3" t="s">
        <v>218</v>
      </c>
      <c r="F2881" s="4" t="str">
        <f aca="false">IF(I2881&gt;J2881,"Y","N")</f>
        <v>N</v>
      </c>
      <c r="G2881" s="3" t="s">
        <v>164</v>
      </c>
      <c r="H2881" s="3" t="s">
        <v>42</v>
      </c>
      <c r="I2881" s="4" t="n">
        <v>4</v>
      </c>
      <c r="J2881" s="4" t="n">
        <f aca="false">LEN(E2881)-LEN(SUBSTITUTE(E2881,",",""))+1</f>
        <v>4</v>
      </c>
      <c r="K2881" s="3" t="str">
        <f aca="false">IFERROR(INDEX('Teacher Lookup'!$B$2:$B$200,MATCH(A2881,'Teacher Lookup'!$A$2:$A$200,0)),"")</f>
        <v>WONG Donald</v>
      </c>
    </row>
    <row r="2882" customFormat="false" ht="15" hidden="false" customHeight="false" outlineLevel="0" collapsed="false">
      <c r="A2882" s="3" t="s">
        <v>370</v>
      </c>
      <c r="B2882" s="4" t="s">
        <v>65</v>
      </c>
      <c r="C2882" s="4" t="n">
        <v>6</v>
      </c>
      <c r="D2882" s="4" t="s">
        <v>73</v>
      </c>
      <c r="E2882" s="3" t="s">
        <v>218</v>
      </c>
      <c r="F2882" s="4" t="str">
        <f aca="false">IF(I2882&gt;J2882,"Y","N")</f>
        <v>N</v>
      </c>
      <c r="G2882" s="3" t="s">
        <v>164</v>
      </c>
      <c r="H2882" s="3" t="s">
        <v>42</v>
      </c>
      <c r="I2882" s="4" t="n">
        <v>4</v>
      </c>
      <c r="J2882" s="4" t="n">
        <f aca="false">LEN(E2882)-LEN(SUBSTITUTE(E2882,",",""))+1</f>
        <v>4</v>
      </c>
      <c r="K2882" s="3" t="str">
        <f aca="false">IFERROR(INDEX('Teacher Lookup'!$B$2:$B$200,MATCH(A2882,'Teacher Lookup'!$A$2:$A$200,0)),"")</f>
        <v>WONG Donald</v>
      </c>
    </row>
    <row r="2883" customFormat="false" ht="15" hidden="false" customHeight="false" outlineLevel="0" collapsed="false">
      <c r="A2883" s="3" t="s">
        <v>370</v>
      </c>
      <c r="B2883" s="4" t="s">
        <v>65</v>
      </c>
      <c r="C2883" s="4" t="n">
        <v>6</v>
      </c>
      <c r="D2883" s="4" t="s">
        <v>74</v>
      </c>
      <c r="E2883" s="3" t="s">
        <v>218</v>
      </c>
      <c r="F2883" s="4" t="str">
        <f aca="false">IF(I2883&gt;J2883,"Y","N")</f>
        <v>N</v>
      </c>
      <c r="G2883" s="3" t="s">
        <v>164</v>
      </c>
      <c r="H2883" s="3" t="s">
        <v>42</v>
      </c>
      <c r="I2883" s="4" t="n">
        <v>4</v>
      </c>
      <c r="J2883" s="4" t="n">
        <f aca="false">LEN(E2883)-LEN(SUBSTITUTE(E2883,",",""))+1</f>
        <v>4</v>
      </c>
      <c r="K2883" s="3" t="str">
        <f aca="false">IFERROR(INDEX('Teacher Lookup'!$B$2:$B$200,MATCH(A2883,'Teacher Lookup'!$A$2:$A$200,0)),"")</f>
        <v>WONG Donald</v>
      </c>
    </row>
    <row r="2884" customFormat="false" ht="15" hidden="false" customHeight="false" outlineLevel="0" collapsed="false">
      <c r="A2884" s="3" t="s">
        <v>370</v>
      </c>
      <c r="B2884" s="4" t="s">
        <v>65</v>
      </c>
      <c r="C2884" s="4" t="n">
        <v>7</v>
      </c>
      <c r="D2884" s="4" t="s">
        <v>70</v>
      </c>
      <c r="E2884" s="3" t="s">
        <v>218</v>
      </c>
      <c r="F2884" s="4" t="str">
        <f aca="false">IF(I2884&gt;J2884,"Y","N")</f>
        <v>N</v>
      </c>
      <c r="G2884" s="3" t="s">
        <v>164</v>
      </c>
      <c r="H2884" s="3" t="s">
        <v>39</v>
      </c>
      <c r="I2884" s="4" t="n">
        <v>4</v>
      </c>
      <c r="J2884" s="4" t="n">
        <f aca="false">LEN(E2884)-LEN(SUBSTITUTE(E2884,",",""))+1</f>
        <v>4</v>
      </c>
      <c r="K2884" s="3" t="str">
        <f aca="false">IFERROR(INDEX('Teacher Lookup'!$B$2:$B$200,MATCH(A2884,'Teacher Lookup'!$A$2:$A$200,0)),"")</f>
        <v>WONG Donald</v>
      </c>
    </row>
    <row r="2885" customFormat="false" ht="15" hidden="false" customHeight="false" outlineLevel="0" collapsed="false">
      <c r="A2885" s="3" t="s">
        <v>370</v>
      </c>
      <c r="B2885" s="4" t="s">
        <v>65</v>
      </c>
      <c r="C2885" s="4" t="n">
        <v>7</v>
      </c>
      <c r="D2885" s="4" t="s">
        <v>73</v>
      </c>
      <c r="E2885" s="3" t="s">
        <v>218</v>
      </c>
      <c r="F2885" s="4" t="str">
        <f aca="false">IF(I2885&gt;J2885,"Y","N")</f>
        <v>N</v>
      </c>
      <c r="G2885" s="3" t="s">
        <v>164</v>
      </c>
      <c r="H2885" s="3" t="s">
        <v>39</v>
      </c>
      <c r="I2885" s="4" t="n">
        <v>4</v>
      </c>
      <c r="J2885" s="4" t="n">
        <f aca="false">LEN(E2885)-LEN(SUBSTITUTE(E2885,",",""))+1</f>
        <v>4</v>
      </c>
      <c r="K2885" s="3" t="str">
        <f aca="false">IFERROR(INDEX('Teacher Lookup'!$B$2:$B$200,MATCH(A2885,'Teacher Lookup'!$A$2:$A$200,0)),"")</f>
        <v>WONG Donald</v>
      </c>
    </row>
    <row r="2886" customFormat="false" ht="15" hidden="false" customHeight="false" outlineLevel="0" collapsed="false">
      <c r="A2886" s="3" t="s">
        <v>370</v>
      </c>
      <c r="B2886" s="4" t="s">
        <v>65</v>
      </c>
      <c r="C2886" s="4" t="n">
        <v>7</v>
      </c>
      <c r="D2886" s="4" t="s">
        <v>74</v>
      </c>
      <c r="E2886" s="3" t="s">
        <v>218</v>
      </c>
      <c r="F2886" s="4" t="str">
        <f aca="false">IF(I2886&gt;J2886,"Y","N")</f>
        <v>N</v>
      </c>
      <c r="G2886" s="3" t="s">
        <v>164</v>
      </c>
      <c r="H2886" s="3" t="s">
        <v>39</v>
      </c>
      <c r="I2886" s="4" t="n">
        <v>4</v>
      </c>
      <c r="J2886" s="4" t="n">
        <f aca="false">LEN(E2886)-LEN(SUBSTITUTE(E2886,",",""))+1</f>
        <v>4</v>
      </c>
      <c r="K2886" s="3" t="str">
        <f aca="false">IFERROR(INDEX('Teacher Lookup'!$B$2:$B$200,MATCH(A2886,'Teacher Lookup'!$A$2:$A$200,0)),"")</f>
        <v>WONG Donald</v>
      </c>
    </row>
    <row r="2887" customFormat="false" ht="15" hidden="false" customHeight="false" outlineLevel="0" collapsed="false">
      <c r="A2887" s="3" t="s">
        <v>370</v>
      </c>
      <c r="B2887" s="4" t="s">
        <v>66</v>
      </c>
      <c r="C2887" s="4" t="n">
        <v>2</v>
      </c>
      <c r="D2887" s="4" t="s">
        <v>70</v>
      </c>
      <c r="E2887" s="3" t="s">
        <v>91</v>
      </c>
      <c r="F2887" s="4" t="str">
        <f aca="false">IF(I2887&gt;J2887,"Y","N")</f>
        <v>N</v>
      </c>
      <c r="G2887" s="3" t="s">
        <v>164</v>
      </c>
      <c r="H2887" s="3" t="s">
        <v>21</v>
      </c>
      <c r="I2887" s="4" t="n">
        <v>4</v>
      </c>
      <c r="J2887" s="4" t="n">
        <f aca="false">LEN(E2887)-LEN(SUBSTITUTE(E2887,",",""))+1</f>
        <v>4</v>
      </c>
      <c r="K2887" s="3" t="str">
        <f aca="false">IFERROR(INDEX('Teacher Lookup'!$B$2:$B$200,MATCH(A2887,'Teacher Lookup'!$A$2:$A$200,0)),"")</f>
        <v>WONG Donald</v>
      </c>
    </row>
    <row r="2888" customFormat="false" ht="15" hidden="false" customHeight="false" outlineLevel="0" collapsed="false">
      <c r="A2888" s="3" t="s">
        <v>370</v>
      </c>
      <c r="B2888" s="4" t="s">
        <v>66</v>
      </c>
      <c r="C2888" s="4" t="n">
        <v>2</v>
      </c>
      <c r="D2888" s="4" t="s">
        <v>73</v>
      </c>
      <c r="E2888" s="3" t="s">
        <v>91</v>
      </c>
      <c r="F2888" s="4" t="str">
        <f aca="false">IF(I2888&gt;J2888,"Y","N")</f>
        <v>N</v>
      </c>
      <c r="G2888" s="3" t="s">
        <v>164</v>
      </c>
      <c r="H2888" s="3" t="s">
        <v>21</v>
      </c>
      <c r="I2888" s="4" t="n">
        <v>4</v>
      </c>
      <c r="J2888" s="4" t="n">
        <f aca="false">LEN(E2888)-LEN(SUBSTITUTE(E2888,",",""))+1</f>
        <v>4</v>
      </c>
      <c r="K2888" s="3" t="str">
        <f aca="false">IFERROR(INDEX('Teacher Lookup'!$B$2:$B$200,MATCH(A2888,'Teacher Lookup'!$A$2:$A$200,0)),"")</f>
        <v>WONG Donald</v>
      </c>
    </row>
    <row r="2889" customFormat="false" ht="15" hidden="false" customHeight="false" outlineLevel="0" collapsed="false">
      <c r="A2889" s="3" t="s">
        <v>370</v>
      </c>
      <c r="B2889" s="4" t="s">
        <v>66</v>
      </c>
      <c r="C2889" s="4" t="n">
        <v>2</v>
      </c>
      <c r="D2889" s="4" t="s">
        <v>74</v>
      </c>
      <c r="E2889" s="3" t="s">
        <v>91</v>
      </c>
      <c r="F2889" s="4" t="str">
        <f aca="false">IF(I2889&gt;J2889,"Y","N")</f>
        <v>N</v>
      </c>
      <c r="G2889" s="3" t="s">
        <v>164</v>
      </c>
      <c r="H2889" s="3" t="s">
        <v>21</v>
      </c>
      <c r="I2889" s="4" t="n">
        <v>4</v>
      </c>
      <c r="J2889" s="4" t="n">
        <f aca="false">LEN(E2889)-LEN(SUBSTITUTE(E2889,",",""))+1</f>
        <v>4</v>
      </c>
      <c r="K2889" s="3" t="str">
        <f aca="false">IFERROR(INDEX('Teacher Lookup'!$B$2:$B$200,MATCH(A2889,'Teacher Lookup'!$A$2:$A$200,0)),"")</f>
        <v>WONG Donald</v>
      </c>
    </row>
    <row r="2890" customFormat="false" ht="15" hidden="false" customHeight="false" outlineLevel="0" collapsed="false">
      <c r="A2890" s="3" t="s">
        <v>370</v>
      </c>
      <c r="B2890" s="4" t="s">
        <v>66</v>
      </c>
      <c r="C2890" s="4" t="n">
        <v>5</v>
      </c>
      <c r="D2890" s="4" t="s">
        <v>137</v>
      </c>
      <c r="E2890" s="3" t="s">
        <v>146</v>
      </c>
      <c r="F2890" s="4" t="str">
        <f aca="false">IF(I2890&gt;J2890,"Y","N")</f>
        <v>N</v>
      </c>
      <c r="G2890" s="3" t="s">
        <v>164</v>
      </c>
      <c r="H2890" s="3" t="s">
        <v>37</v>
      </c>
      <c r="I2890" s="4" t="n">
        <v>4</v>
      </c>
      <c r="J2890" s="4" t="n">
        <f aca="false">LEN(E2890)-LEN(SUBSTITUTE(E2890,",",""))+1</f>
        <v>4</v>
      </c>
      <c r="K2890" s="3" t="str">
        <f aca="false">IFERROR(INDEX('Teacher Lookup'!$B$2:$B$200,MATCH(A2890,'Teacher Lookup'!$A$2:$A$200,0)),"")</f>
        <v>WONG Donald</v>
      </c>
    </row>
    <row r="2891" customFormat="false" ht="15" hidden="false" customHeight="false" outlineLevel="0" collapsed="false">
      <c r="A2891" s="3" t="s">
        <v>370</v>
      </c>
      <c r="B2891" s="4" t="s">
        <v>66</v>
      </c>
      <c r="C2891" s="4" t="n">
        <v>5</v>
      </c>
      <c r="D2891" s="4" t="s">
        <v>124</v>
      </c>
      <c r="E2891" s="3" t="s">
        <v>146</v>
      </c>
      <c r="F2891" s="4" t="str">
        <f aca="false">IF(I2891&gt;J2891,"Y","N")</f>
        <v>N</v>
      </c>
      <c r="G2891" s="3" t="s">
        <v>164</v>
      </c>
      <c r="H2891" s="3" t="s">
        <v>37</v>
      </c>
      <c r="I2891" s="4" t="n">
        <v>4</v>
      </c>
      <c r="J2891" s="4" t="n">
        <f aca="false">LEN(E2891)-LEN(SUBSTITUTE(E2891,",",""))+1</f>
        <v>4</v>
      </c>
      <c r="K2891" s="3" t="str">
        <f aca="false">IFERROR(INDEX('Teacher Lookup'!$B$2:$B$200,MATCH(A2891,'Teacher Lookup'!$A$2:$A$200,0)),"")</f>
        <v>WONG Donald</v>
      </c>
    </row>
    <row r="2892" customFormat="false" ht="15" hidden="false" customHeight="false" outlineLevel="0" collapsed="false">
      <c r="A2892" s="3" t="s">
        <v>370</v>
      </c>
      <c r="B2892" s="4" t="s">
        <v>66</v>
      </c>
      <c r="C2892" s="4" t="n">
        <v>5</v>
      </c>
      <c r="D2892" s="4" t="s">
        <v>139</v>
      </c>
      <c r="E2892" s="3" t="s">
        <v>146</v>
      </c>
      <c r="F2892" s="4" t="str">
        <f aca="false">IF(I2892&gt;J2892,"Y","N")</f>
        <v>N</v>
      </c>
      <c r="G2892" s="3" t="s">
        <v>164</v>
      </c>
      <c r="H2892" s="3" t="s">
        <v>37</v>
      </c>
      <c r="I2892" s="4" t="n">
        <v>4</v>
      </c>
      <c r="J2892" s="4" t="n">
        <f aca="false">LEN(E2892)-LEN(SUBSTITUTE(E2892,",",""))+1</f>
        <v>4</v>
      </c>
      <c r="K2892" s="3" t="str">
        <f aca="false">IFERROR(INDEX('Teacher Lookup'!$B$2:$B$200,MATCH(A2892,'Teacher Lookup'!$A$2:$A$200,0)),"")</f>
        <v>WONG Donald</v>
      </c>
    </row>
    <row r="2893" customFormat="false" ht="15" hidden="false" customHeight="false" outlineLevel="0" collapsed="false">
      <c r="A2893" s="3" t="s">
        <v>370</v>
      </c>
      <c r="B2893" s="4" t="s">
        <v>66</v>
      </c>
      <c r="C2893" s="4" t="n">
        <v>6</v>
      </c>
      <c r="D2893" s="4" t="s">
        <v>140</v>
      </c>
      <c r="E2893" s="3" t="s">
        <v>152</v>
      </c>
      <c r="F2893" s="4" t="str">
        <f aca="false">IF(I2893&gt;J2893,"Y","N")</f>
        <v>N</v>
      </c>
      <c r="G2893" s="3" t="s">
        <v>164</v>
      </c>
      <c r="H2893" s="3" t="s">
        <v>42</v>
      </c>
      <c r="I2893" s="4" t="n">
        <v>4</v>
      </c>
      <c r="J2893" s="4" t="n">
        <f aca="false">LEN(E2893)-LEN(SUBSTITUTE(E2893,",",""))+1</f>
        <v>4</v>
      </c>
      <c r="K2893" s="3" t="str">
        <f aca="false">IFERROR(INDEX('Teacher Lookup'!$B$2:$B$200,MATCH(A2893,'Teacher Lookup'!$A$2:$A$200,0)),"")</f>
        <v>WONG Donald</v>
      </c>
    </row>
    <row r="2894" customFormat="false" ht="15" hidden="false" customHeight="false" outlineLevel="0" collapsed="false">
      <c r="A2894" s="3" t="s">
        <v>370</v>
      </c>
      <c r="B2894" s="4" t="s">
        <v>66</v>
      </c>
      <c r="C2894" s="4" t="n">
        <v>6</v>
      </c>
      <c r="D2894" s="4" t="s">
        <v>142</v>
      </c>
      <c r="E2894" s="3" t="s">
        <v>152</v>
      </c>
      <c r="F2894" s="4" t="str">
        <f aca="false">IF(I2894&gt;J2894,"Y","N")</f>
        <v>N</v>
      </c>
      <c r="G2894" s="3" t="s">
        <v>164</v>
      </c>
      <c r="H2894" s="3" t="s">
        <v>42</v>
      </c>
      <c r="I2894" s="4" t="n">
        <v>4</v>
      </c>
      <c r="J2894" s="4" t="n">
        <f aca="false">LEN(E2894)-LEN(SUBSTITUTE(E2894,",",""))+1</f>
        <v>4</v>
      </c>
      <c r="K2894" s="3" t="str">
        <f aca="false">IFERROR(INDEX('Teacher Lookup'!$B$2:$B$200,MATCH(A2894,'Teacher Lookup'!$A$2:$A$200,0)),"")</f>
        <v>WONG Donald</v>
      </c>
    </row>
    <row r="2895" customFormat="false" ht="15" hidden="false" customHeight="false" outlineLevel="0" collapsed="false">
      <c r="A2895" s="3" t="s">
        <v>370</v>
      </c>
      <c r="B2895" s="4" t="s">
        <v>66</v>
      </c>
      <c r="C2895" s="4" t="n">
        <v>6</v>
      </c>
      <c r="D2895" s="4" t="s">
        <v>127</v>
      </c>
      <c r="E2895" s="3" t="s">
        <v>152</v>
      </c>
      <c r="F2895" s="4" t="str">
        <f aca="false">IF(I2895&gt;J2895,"Y","N")</f>
        <v>N</v>
      </c>
      <c r="G2895" s="3" t="s">
        <v>164</v>
      </c>
      <c r="H2895" s="3" t="s">
        <v>42</v>
      </c>
      <c r="I2895" s="4" t="n">
        <v>4</v>
      </c>
      <c r="J2895" s="4" t="n">
        <f aca="false">LEN(E2895)-LEN(SUBSTITUTE(E2895,",",""))+1</f>
        <v>4</v>
      </c>
      <c r="K2895" s="3" t="str">
        <f aca="false">IFERROR(INDEX('Teacher Lookup'!$B$2:$B$200,MATCH(A2895,'Teacher Lookup'!$A$2:$A$200,0)),"")</f>
        <v>WONG Donald</v>
      </c>
    </row>
    <row r="2896" customFormat="false" ht="15" hidden="false" customHeight="false" outlineLevel="0" collapsed="false">
      <c r="A2896" s="3" t="s">
        <v>374</v>
      </c>
      <c r="B2896" s="4" t="s">
        <v>12</v>
      </c>
      <c r="C2896" s="4" t="n">
        <v>4</v>
      </c>
      <c r="D2896" s="4" t="s">
        <v>228</v>
      </c>
      <c r="E2896" s="3" t="s">
        <v>125</v>
      </c>
      <c r="F2896" s="4" t="str">
        <f aca="false">IF(I2896&gt;J2896,"Y","N")</f>
        <v>N</v>
      </c>
      <c r="G2896" s="3" t="s">
        <v>312</v>
      </c>
      <c r="H2896" s="3" t="s">
        <v>34</v>
      </c>
      <c r="I2896" s="4" t="n">
        <v>1</v>
      </c>
      <c r="J2896" s="4" t="n">
        <f aca="false">LEN(E2896)-LEN(SUBSTITUTE(E2896,",",""))+1</f>
        <v>1</v>
      </c>
      <c r="K2896" s="3" t="str">
        <f aca="false">IFERROR(INDEX('Teacher Lookup'!$B$2:$B$200,MATCH(A2896,'Teacher Lookup'!$A$2:$A$200,0)),"")</f>
        <v>SHUM Dorothy</v>
      </c>
    </row>
    <row r="2897" customFormat="false" ht="15" hidden="false" customHeight="false" outlineLevel="0" collapsed="false">
      <c r="A2897" s="3" t="s">
        <v>374</v>
      </c>
      <c r="B2897" s="4" t="s">
        <v>12</v>
      </c>
      <c r="C2897" s="4" t="n">
        <v>5</v>
      </c>
      <c r="D2897" s="4" t="s">
        <v>228</v>
      </c>
      <c r="E2897" s="3" t="s">
        <v>125</v>
      </c>
      <c r="F2897" s="4" t="str">
        <f aca="false">IF(I2897&gt;J2897,"Y","N")</f>
        <v>N</v>
      </c>
      <c r="G2897" s="3" t="s">
        <v>312</v>
      </c>
      <c r="H2897" s="3" t="s">
        <v>37</v>
      </c>
      <c r="I2897" s="4" t="n">
        <v>1</v>
      </c>
      <c r="J2897" s="4" t="n">
        <f aca="false">LEN(E2897)-LEN(SUBSTITUTE(E2897,",",""))+1</f>
        <v>1</v>
      </c>
      <c r="K2897" s="3" t="str">
        <f aca="false">IFERROR(INDEX('Teacher Lookup'!$B$2:$B$200,MATCH(A2897,'Teacher Lookup'!$A$2:$A$200,0)),"")</f>
        <v>SHUM Dorothy</v>
      </c>
    </row>
    <row r="2898" customFormat="false" ht="15" hidden="false" customHeight="false" outlineLevel="0" collapsed="false">
      <c r="A2898" s="3" t="s">
        <v>374</v>
      </c>
      <c r="B2898" s="4" t="s">
        <v>31</v>
      </c>
      <c r="C2898" s="4" t="n">
        <v>2</v>
      </c>
      <c r="D2898" s="4" t="s">
        <v>228</v>
      </c>
      <c r="E2898" s="3" t="s">
        <v>302</v>
      </c>
      <c r="F2898" s="4" t="str">
        <f aca="false">IF(I2898&gt;J2898,"Y","N")</f>
        <v>N</v>
      </c>
      <c r="G2898" s="3" t="s">
        <v>312</v>
      </c>
      <c r="H2898" s="3" t="s">
        <v>21</v>
      </c>
      <c r="I2898" s="4" t="n">
        <v>1</v>
      </c>
      <c r="J2898" s="4" t="n">
        <f aca="false">LEN(E2898)-LEN(SUBSTITUTE(E2898,",",""))+1</f>
        <v>1</v>
      </c>
      <c r="K2898" s="3" t="str">
        <f aca="false">IFERROR(INDEX('Teacher Lookup'!$B$2:$B$200,MATCH(A2898,'Teacher Lookup'!$A$2:$A$200,0)),"")</f>
        <v>SHUM Dorothy</v>
      </c>
    </row>
    <row r="2899" customFormat="false" ht="15" hidden="false" customHeight="false" outlineLevel="0" collapsed="false">
      <c r="A2899" s="3" t="s">
        <v>374</v>
      </c>
      <c r="B2899" s="4" t="s">
        <v>31</v>
      </c>
      <c r="C2899" s="4" t="n">
        <v>5</v>
      </c>
      <c r="D2899" s="4" t="s">
        <v>228</v>
      </c>
      <c r="E2899" s="3" t="s">
        <v>229</v>
      </c>
      <c r="F2899" s="4" t="str">
        <f aca="false">IF(I2899&gt;J2899,"Y","N")</f>
        <v>Y</v>
      </c>
      <c r="G2899" s="3" t="s">
        <v>36</v>
      </c>
      <c r="H2899" s="3" t="s">
        <v>37</v>
      </c>
      <c r="I2899" s="4" t="n">
        <v>14</v>
      </c>
      <c r="J2899" s="4" t="n">
        <f aca="false">LEN(E2899)-LEN(SUBSTITUTE(E2899,",",""))+1</f>
        <v>6</v>
      </c>
      <c r="K2899" s="3" t="str">
        <f aca="false">IFERROR(INDEX('Teacher Lookup'!$B$2:$B$200,MATCH(A2899,'Teacher Lookup'!$A$2:$A$200,0)),"")</f>
        <v>SHUM Dorothy</v>
      </c>
    </row>
    <row r="2900" customFormat="false" ht="15" hidden="false" customHeight="false" outlineLevel="0" collapsed="false">
      <c r="A2900" s="3" t="s">
        <v>374</v>
      </c>
      <c r="B2900" s="4" t="s">
        <v>31</v>
      </c>
      <c r="C2900" s="4" t="n">
        <v>5</v>
      </c>
      <c r="D2900" s="4" t="s">
        <v>102</v>
      </c>
      <c r="E2900" s="3" t="s">
        <v>229</v>
      </c>
      <c r="F2900" s="4" t="str">
        <f aca="false">IF(I2900&gt;J2900,"Y","N")</f>
        <v>Y</v>
      </c>
      <c r="G2900" s="3" t="s">
        <v>36</v>
      </c>
      <c r="H2900" s="3" t="s">
        <v>37</v>
      </c>
      <c r="I2900" s="4" t="n">
        <v>14</v>
      </c>
      <c r="J2900" s="4" t="n">
        <f aca="false">LEN(E2900)-LEN(SUBSTITUTE(E2900,",",""))+1</f>
        <v>6</v>
      </c>
      <c r="K2900" s="3" t="str">
        <f aca="false">IFERROR(INDEX('Teacher Lookup'!$B$2:$B$200,MATCH(A2900,'Teacher Lookup'!$A$2:$A$200,0)),"")</f>
        <v>SHUM Dorothy</v>
      </c>
    </row>
    <row r="2901" customFormat="false" ht="15" hidden="false" customHeight="false" outlineLevel="0" collapsed="false">
      <c r="A2901" s="3" t="s">
        <v>374</v>
      </c>
      <c r="B2901" s="4" t="s">
        <v>31</v>
      </c>
      <c r="C2901" s="4" t="n">
        <v>5</v>
      </c>
      <c r="D2901" s="4" t="s">
        <v>105</v>
      </c>
      <c r="E2901" s="3" t="s">
        <v>229</v>
      </c>
      <c r="F2901" s="4" t="str">
        <f aca="false">IF(I2901&gt;J2901,"Y","N")</f>
        <v>Y</v>
      </c>
      <c r="G2901" s="3" t="s">
        <v>36</v>
      </c>
      <c r="H2901" s="3" t="s">
        <v>37</v>
      </c>
      <c r="I2901" s="4" t="n">
        <v>14</v>
      </c>
      <c r="J2901" s="4" t="n">
        <f aca="false">LEN(E2901)-LEN(SUBSTITUTE(E2901,",",""))+1</f>
        <v>6</v>
      </c>
      <c r="K2901" s="3" t="str">
        <f aca="false">IFERROR(INDEX('Teacher Lookup'!$B$2:$B$200,MATCH(A2901,'Teacher Lookup'!$A$2:$A$200,0)),"")</f>
        <v>SHUM Dorothy</v>
      </c>
    </row>
    <row r="2902" customFormat="false" ht="15" hidden="false" customHeight="false" outlineLevel="0" collapsed="false">
      <c r="A2902" s="3" t="s">
        <v>374</v>
      </c>
      <c r="B2902" s="4" t="s">
        <v>31</v>
      </c>
      <c r="C2902" s="4" t="n">
        <v>5</v>
      </c>
      <c r="D2902" s="4" t="s">
        <v>106</v>
      </c>
      <c r="E2902" s="3" t="s">
        <v>229</v>
      </c>
      <c r="F2902" s="4" t="str">
        <f aca="false">IF(I2902&gt;J2902,"Y","N")</f>
        <v>Y</v>
      </c>
      <c r="G2902" s="3" t="s">
        <v>36</v>
      </c>
      <c r="H2902" s="3" t="s">
        <v>37</v>
      </c>
      <c r="I2902" s="4" t="n">
        <v>14</v>
      </c>
      <c r="J2902" s="4" t="n">
        <f aca="false">LEN(E2902)-LEN(SUBSTITUTE(E2902,",",""))+1</f>
        <v>6</v>
      </c>
      <c r="K2902" s="3" t="str">
        <f aca="false">IFERROR(INDEX('Teacher Lookup'!$B$2:$B$200,MATCH(A2902,'Teacher Lookup'!$A$2:$A$200,0)),"")</f>
        <v>SHUM Dorothy</v>
      </c>
    </row>
    <row r="2903" customFormat="false" ht="15" hidden="false" customHeight="false" outlineLevel="0" collapsed="false">
      <c r="A2903" s="3" t="s">
        <v>374</v>
      </c>
      <c r="B2903" s="4" t="s">
        <v>31</v>
      </c>
      <c r="C2903" s="4" t="n">
        <v>5</v>
      </c>
      <c r="D2903" s="4" t="s">
        <v>107</v>
      </c>
      <c r="E2903" s="3" t="s">
        <v>229</v>
      </c>
      <c r="F2903" s="4" t="str">
        <f aca="false">IF(I2903&gt;J2903,"Y","N")</f>
        <v>Y</v>
      </c>
      <c r="G2903" s="3" t="s">
        <v>36</v>
      </c>
      <c r="H2903" s="3" t="s">
        <v>37</v>
      </c>
      <c r="I2903" s="4" t="n">
        <v>14</v>
      </c>
      <c r="J2903" s="4" t="n">
        <f aca="false">LEN(E2903)-LEN(SUBSTITUTE(E2903,",",""))+1</f>
        <v>6</v>
      </c>
      <c r="K2903" s="3" t="str">
        <f aca="false">IFERROR(INDEX('Teacher Lookup'!$B$2:$B$200,MATCH(A2903,'Teacher Lookup'!$A$2:$A$200,0)),"")</f>
        <v>SHUM Dorothy</v>
      </c>
    </row>
    <row r="2904" customFormat="false" ht="15" hidden="false" customHeight="false" outlineLevel="0" collapsed="false">
      <c r="A2904" s="3" t="s">
        <v>374</v>
      </c>
      <c r="B2904" s="4" t="s">
        <v>31</v>
      </c>
      <c r="C2904" s="4" t="n">
        <v>6</v>
      </c>
      <c r="D2904" s="4" t="s">
        <v>52</v>
      </c>
      <c r="E2904" s="3" t="s">
        <v>238</v>
      </c>
      <c r="F2904" s="4" t="str">
        <f aca="false">IF(I2904&gt;J2904,"Y","N")</f>
        <v>N</v>
      </c>
      <c r="G2904" s="3" t="s">
        <v>239</v>
      </c>
      <c r="H2904" s="3" t="s">
        <v>42</v>
      </c>
      <c r="I2904" s="4" t="n">
        <v>7</v>
      </c>
      <c r="J2904" s="4" t="n">
        <f aca="false">LEN(E2904)-LEN(SUBSTITUTE(E2904,",",""))+1</f>
        <v>7</v>
      </c>
      <c r="K2904" s="3" t="str">
        <f aca="false">IFERROR(INDEX('Teacher Lookup'!$B$2:$B$200,MATCH(A2904,'Teacher Lookup'!$A$2:$A$200,0)),"")</f>
        <v>SHUM Dorothy</v>
      </c>
    </row>
    <row r="2905" customFormat="false" ht="15" hidden="false" customHeight="false" outlineLevel="0" collapsed="false">
      <c r="A2905" s="3" t="s">
        <v>374</v>
      </c>
      <c r="B2905" s="4" t="s">
        <v>31</v>
      </c>
      <c r="C2905" s="4" t="n">
        <v>6</v>
      </c>
      <c r="D2905" s="4" t="s">
        <v>55</v>
      </c>
      <c r="E2905" s="3" t="s">
        <v>238</v>
      </c>
      <c r="F2905" s="4" t="str">
        <f aca="false">IF(I2905&gt;J2905,"Y","N")</f>
        <v>N</v>
      </c>
      <c r="G2905" s="3" t="s">
        <v>239</v>
      </c>
      <c r="H2905" s="3" t="s">
        <v>42</v>
      </c>
      <c r="I2905" s="4" t="n">
        <v>7</v>
      </c>
      <c r="J2905" s="4" t="n">
        <f aca="false">LEN(E2905)-LEN(SUBSTITUTE(E2905,",",""))+1</f>
        <v>7</v>
      </c>
      <c r="K2905" s="3" t="str">
        <f aca="false">IFERROR(INDEX('Teacher Lookup'!$B$2:$B$200,MATCH(A2905,'Teacher Lookup'!$A$2:$A$200,0)),"")</f>
        <v>SHUM Dorothy</v>
      </c>
    </row>
    <row r="2906" customFormat="false" ht="15" hidden="false" customHeight="false" outlineLevel="0" collapsed="false">
      <c r="A2906" s="3" t="s">
        <v>374</v>
      </c>
      <c r="B2906" s="4" t="s">
        <v>31</v>
      </c>
      <c r="C2906" s="4" t="n">
        <v>6</v>
      </c>
      <c r="D2906" s="4" t="s">
        <v>56</v>
      </c>
      <c r="E2906" s="3" t="s">
        <v>238</v>
      </c>
      <c r="F2906" s="4" t="str">
        <f aca="false">IF(I2906&gt;J2906,"Y","N")</f>
        <v>N</v>
      </c>
      <c r="G2906" s="3" t="s">
        <v>239</v>
      </c>
      <c r="H2906" s="3" t="s">
        <v>42</v>
      </c>
      <c r="I2906" s="4" t="n">
        <v>7</v>
      </c>
      <c r="J2906" s="4" t="n">
        <f aca="false">LEN(E2906)-LEN(SUBSTITUTE(E2906,",",""))+1</f>
        <v>7</v>
      </c>
      <c r="K2906" s="3" t="str">
        <f aca="false">IFERROR(INDEX('Teacher Lookup'!$B$2:$B$200,MATCH(A2906,'Teacher Lookup'!$A$2:$A$200,0)),"")</f>
        <v>SHUM Dorothy</v>
      </c>
    </row>
    <row r="2907" customFormat="false" ht="15" hidden="false" customHeight="false" outlineLevel="0" collapsed="false">
      <c r="A2907" s="3" t="s">
        <v>374</v>
      </c>
      <c r="B2907" s="4" t="s">
        <v>31</v>
      </c>
      <c r="C2907" s="4" t="n">
        <v>6</v>
      </c>
      <c r="D2907" s="4" t="s">
        <v>57</v>
      </c>
      <c r="E2907" s="3" t="s">
        <v>238</v>
      </c>
      <c r="F2907" s="4" t="str">
        <f aca="false">IF(I2907&gt;J2907,"Y","N")</f>
        <v>N</v>
      </c>
      <c r="G2907" s="3" t="s">
        <v>239</v>
      </c>
      <c r="H2907" s="3" t="s">
        <v>42</v>
      </c>
      <c r="I2907" s="4" t="n">
        <v>7</v>
      </c>
      <c r="J2907" s="4" t="n">
        <f aca="false">LEN(E2907)-LEN(SUBSTITUTE(E2907,",",""))+1</f>
        <v>7</v>
      </c>
      <c r="K2907" s="3" t="str">
        <f aca="false">IFERROR(INDEX('Teacher Lookup'!$B$2:$B$200,MATCH(A2907,'Teacher Lookup'!$A$2:$A$200,0)),"")</f>
        <v>SHUM Dorothy</v>
      </c>
    </row>
    <row r="2908" customFormat="false" ht="15" hidden="false" customHeight="false" outlineLevel="0" collapsed="false">
      <c r="A2908" s="3" t="s">
        <v>374</v>
      </c>
      <c r="B2908" s="4" t="s">
        <v>31</v>
      </c>
      <c r="C2908" s="4" t="n">
        <v>6</v>
      </c>
      <c r="D2908" s="4" t="s">
        <v>58</v>
      </c>
      <c r="E2908" s="3" t="s">
        <v>238</v>
      </c>
      <c r="F2908" s="4" t="str">
        <f aca="false">IF(I2908&gt;J2908,"Y","N")</f>
        <v>N</v>
      </c>
      <c r="G2908" s="3" t="s">
        <v>239</v>
      </c>
      <c r="H2908" s="3" t="s">
        <v>42</v>
      </c>
      <c r="I2908" s="4" t="n">
        <v>7</v>
      </c>
      <c r="J2908" s="4" t="n">
        <f aca="false">LEN(E2908)-LEN(SUBSTITUTE(E2908,",",""))+1</f>
        <v>7</v>
      </c>
      <c r="K2908" s="3" t="str">
        <f aca="false">IFERROR(INDEX('Teacher Lookup'!$B$2:$B$200,MATCH(A2908,'Teacher Lookup'!$A$2:$A$200,0)),"")</f>
        <v>SHUM Dorothy</v>
      </c>
    </row>
    <row r="2909" customFormat="false" ht="15" hidden="false" customHeight="false" outlineLevel="0" collapsed="false">
      <c r="A2909" s="3" t="s">
        <v>374</v>
      </c>
      <c r="B2909" s="4" t="s">
        <v>31</v>
      </c>
      <c r="C2909" s="4" t="n">
        <v>6</v>
      </c>
      <c r="D2909" s="4" t="s">
        <v>59</v>
      </c>
      <c r="E2909" s="3" t="s">
        <v>238</v>
      </c>
      <c r="F2909" s="4" t="str">
        <f aca="false">IF(I2909&gt;J2909,"Y","N")</f>
        <v>N</v>
      </c>
      <c r="G2909" s="3" t="s">
        <v>239</v>
      </c>
      <c r="H2909" s="3" t="s">
        <v>42</v>
      </c>
      <c r="I2909" s="4" t="n">
        <v>7</v>
      </c>
      <c r="J2909" s="4" t="n">
        <f aca="false">LEN(E2909)-LEN(SUBSTITUTE(E2909,",",""))+1</f>
        <v>7</v>
      </c>
      <c r="K2909" s="3" t="str">
        <f aca="false">IFERROR(INDEX('Teacher Lookup'!$B$2:$B$200,MATCH(A2909,'Teacher Lookup'!$A$2:$A$200,0)),"")</f>
        <v>SHUM Dorothy</v>
      </c>
    </row>
    <row r="2910" customFormat="false" ht="15" hidden="false" customHeight="false" outlineLevel="0" collapsed="false">
      <c r="A2910" s="3" t="s">
        <v>374</v>
      </c>
      <c r="B2910" s="4" t="s">
        <v>40</v>
      </c>
      <c r="C2910" s="4" t="n">
        <v>2</v>
      </c>
      <c r="D2910" s="4" t="s">
        <v>52</v>
      </c>
      <c r="E2910" s="3" t="s">
        <v>240</v>
      </c>
      <c r="F2910" s="4" t="str">
        <f aca="false">IF(I2910&gt;J2910,"Y","N")</f>
        <v>N</v>
      </c>
      <c r="G2910" s="3" t="s">
        <v>239</v>
      </c>
      <c r="H2910" s="3" t="s">
        <v>21</v>
      </c>
      <c r="I2910" s="4" t="n">
        <v>7</v>
      </c>
      <c r="J2910" s="4" t="n">
        <f aca="false">LEN(E2910)-LEN(SUBSTITUTE(E2910,",",""))+1</f>
        <v>7</v>
      </c>
      <c r="K2910" s="3" t="str">
        <f aca="false">IFERROR(INDEX('Teacher Lookup'!$B$2:$B$200,MATCH(A2910,'Teacher Lookup'!$A$2:$A$200,0)),"")</f>
        <v>SHUM Dorothy</v>
      </c>
    </row>
    <row r="2911" customFormat="false" ht="15" hidden="false" customHeight="false" outlineLevel="0" collapsed="false">
      <c r="A2911" s="3" t="s">
        <v>374</v>
      </c>
      <c r="B2911" s="4" t="s">
        <v>40</v>
      </c>
      <c r="C2911" s="4" t="n">
        <v>2</v>
      </c>
      <c r="D2911" s="4" t="s">
        <v>55</v>
      </c>
      <c r="E2911" s="3" t="s">
        <v>240</v>
      </c>
      <c r="F2911" s="4" t="str">
        <f aca="false">IF(I2911&gt;J2911,"Y","N")</f>
        <v>N</v>
      </c>
      <c r="G2911" s="3" t="s">
        <v>239</v>
      </c>
      <c r="H2911" s="3" t="s">
        <v>21</v>
      </c>
      <c r="I2911" s="4" t="n">
        <v>7</v>
      </c>
      <c r="J2911" s="4" t="n">
        <f aca="false">LEN(E2911)-LEN(SUBSTITUTE(E2911,",",""))+1</f>
        <v>7</v>
      </c>
      <c r="K2911" s="3" t="str">
        <f aca="false">IFERROR(INDEX('Teacher Lookup'!$B$2:$B$200,MATCH(A2911,'Teacher Lookup'!$A$2:$A$200,0)),"")</f>
        <v>SHUM Dorothy</v>
      </c>
    </row>
    <row r="2912" customFormat="false" ht="15" hidden="false" customHeight="false" outlineLevel="0" collapsed="false">
      <c r="A2912" s="3" t="s">
        <v>374</v>
      </c>
      <c r="B2912" s="4" t="s">
        <v>40</v>
      </c>
      <c r="C2912" s="4" t="n">
        <v>2</v>
      </c>
      <c r="D2912" s="4" t="s">
        <v>56</v>
      </c>
      <c r="E2912" s="3" t="s">
        <v>240</v>
      </c>
      <c r="F2912" s="4" t="str">
        <f aca="false">IF(I2912&gt;J2912,"Y","N")</f>
        <v>N</v>
      </c>
      <c r="G2912" s="3" t="s">
        <v>239</v>
      </c>
      <c r="H2912" s="3" t="s">
        <v>21</v>
      </c>
      <c r="I2912" s="4" t="n">
        <v>7</v>
      </c>
      <c r="J2912" s="4" t="n">
        <f aca="false">LEN(E2912)-LEN(SUBSTITUTE(E2912,",",""))+1</f>
        <v>7</v>
      </c>
      <c r="K2912" s="3" t="str">
        <f aca="false">IFERROR(INDEX('Teacher Lookup'!$B$2:$B$200,MATCH(A2912,'Teacher Lookup'!$A$2:$A$200,0)),"")</f>
        <v>SHUM Dorothy</v>
      </c>
    </row>
    <row r="2913" customFormat="false" ht="15" hidden="false" customHeight="false" outlineLevel="0" collapsed="false">
      <c r="A2913" s="3" t="s">
        <v>374</v>
      </c>
      <c r="B2913" s="4" t="s">
        <v>40</v>
      </c>
      <c r="C2913" s="4" t="n">
        <v>2</v>
      </c>
      <c r="D2913" s="4" t="s">
        <v>57</v>
      </c>
      <c r="E2913" s="3" t="s">
        <v>240</v>
      </c>
      <c r="F2913" s="4" t="str">
        <f aca="false">IF(I2913&gt;J2913,"Y","N")</f>
        <v>N</v>
      </c>
      <c r="G2913" s="3" t="s">
        <v>239</v>
      </c>
      <c r="H2913" s="3" t="s">
        <v>21</v>
      </c>
      <c r="I2913" s="4" t="n">
        <v>7</v>
      </c>
      <c r="J2913" s="4" t="n">
        <f aca="false">LEN(E2913)-LEN(SUBSTITUTE(E2913,",",""))+1</f>
        <v>7</v>
      </c>
      <c r="K2913" s="3" t="str">
        <f aca="false">IFERROR(INDEX('Teacher Lookup'!$B$2:$B$200,MATCH(A2913,'Teacher Lookup'!$A$2:$A$200,0)),"")</f>
        <v>SHUM Dorothy</v>
      </c>
    </row>
    <row r="2914" customFormat="false" ht="15" hidden="false" customHeight="false" outlineLevel="0" collapsed="false">
      <c r="A2914" s="3" t="s">
        <v>374</v>
      </c>
      <c r="B2914" s="4" t="s">
        <v>40</v>
      </c>
      <c r="C2914" s="4" t="n">
        <v>2</v>
      </c>
      <c r="D2914" s="4" t="s">
        <v>58</v>
      </c>
      <c r="E2914" s="3" t="s">
        <v>240</v>
      </c>
      <c r="F2914" s="4" t="str">
        <f aca="false">IF(I2914&gt;J2914,"Y","N")</f>
        <v>N</v>
      </c>
      <c r="G2914" s="3" t="s">
        <v>239</v>
      </c>
      <c r="H2914" s="3" t="s">
        <v>21</v>
      </c>
      <c r="I2914" s="4" t="n">
        <v>7</v>
      </c>
      <c r="J2914" s="4" t="n">
        <f aca="false">LEN(E2914)-LEN(SUBSTITUTE(E2914,",",""))+1</f>
        <v>7</v>
      </c>
      <c r="K2914" s="3" t="str">
        <f aca="false">IFERROR(INDEX('Teacher Lookup'!$B$2:$B$200,MATCH(A2914,'Teacher Lookup'!$A$2:$A$200,0)),"")</f>
        <v>SHUM Dorothy</v>
      </c>
    </row>
    <row r="2915" customFormat="false" ht="15" hidden="false" customHeight="false" outlineLevel="0" collapsed="false">
      <c r="A2915" s="3" t="s">
        <v>374</v>
      </c>
      <c r="B2915" s="4" t="s">
        <v>40</v>
      </c>
      <c r="C2915" s="4" t="n">
        <v>2</v>
      </c>
      <c r="D2915" s="4" t="s">
        <v>59</v>
      </c>
      <c r="E2915" s="3" t="s">
        <v>240</v>
      </c>
      <c r="F2915" s="4" t="str">
        <f aca="false">IF(I2915&gt;J2915,"Y","N")</f>
        <v>N</v>
      </c>
      <c r="G2915" s="3" t="s">
        <v>239</v>
      </c>
      <c r="H2915" s="3" t="s">
        <v>21</v>
      </c>
      <c r="I2915" s="4" t="n">
        <v>7</v>
      </c>
      <c r="J2915" s="4" t="n">
        <f aca="false">LEN(E2915)-LEN(SUBSTITUTE(E2915,",",""))+1</f>
        <v>7</v>
      </c>
      <c r="K2915" s="3" t="str">
        <f aca="false">IFERROR(INDEX('Teacher Lookup'!$B$2:$B$200,MATCH(A2915,'Teacher Lookup'!$A$2:$A$200,0)),"")</f>
        <v>SHUM Dorothy</v>
      </c>
    </row>
    <row r="2916" customFormat="false" ht="15" hidden="false" customHeight="false" outlineLevel="0" collapsed="false">
      <c r="A2916" s="3" t="s">
        <v>374</v>
      </c>
      <c r="B2916" s="4" t="s">
        <v>40</v>
      </c>
      <c r="C2916" s="4" t="n">
        <v>3</v>
      </c>
      <c r="D2916" s="4" t="s">
        <v>228</v>
      </c>
      <c r="E2916" s="3" t="s">
        <v>302</v>
      </c>
      <c r="F2916" s="4" t="str">
        <f aca="false">IF(I2916&gt;J2916,"Y","N")</f>
        <v>N</v>
      </c>
      <c r="G2916" s="3" t="s">
        <v>312</v>
      </c>
      <c r="H2916" s="3" t="s">
        <v>26</v>
      </c>
      <c r="I2916" s="4" t="n">
        <v>1</v>
      </c>
      <c r="J2916" s="4" t="n">
        <f aca="false">LEN(E2916)-LEN(SUBSTITUTE(E2916,",",""))+1</f>
        <v>1</v>
      </c>
      <c r="K2916" s="3" t="str">
        <f aca="false">IFERROR(INDEX('Teacher Lookup'!$B$2:$B$200,MATCH(A2916,'Teacher Lookup'!$A$2:$A$200,0)),"")</f>
        <v>SHUM Dorothy</v>
      </c>
    </row>
    <row r="2917" customFormat="false" ht="15" hidden="false" customHeight="false" outlineLevel="0" collapsed="false">
      <c r="A2917" s="3" t="s">
        <v>374</v>
      </c>
      <c r="B2917" s="4" t="s">
        <v>44</v>
      </c>
      <c r="C2917" s="4" t="n">
        <v>1</v>
      </c>
      <c r="D2917" s="4" t="s">
        <v>228</v>
      </c>
      <c r="E2917" s="3" t="s">
        <v>134</v>
      </c>
      <c r="F2917" s="4" t="str">
        <f aca="false">IF(I2917&gt;J2917,"Y","N")</f>
        <v>N</v>
      </c>
      <c r="G2917" s="3" t="s">
        <v>312</v>
      </c>
      <c r="H2917" s="3" t="s">
        <v>16</v>
      </c>
      <c r="I2917" s="4" t="n">
        <v>1</v>
      </c>
      <c r="J2917" s="4" t="n">
        <f aca="false">LEN(E2917)-LEN(SUBSTITUTE(E2917,",",""))+1</f>
        <v>1</v>
      </c>
      <c r="K2917" s="3" t="str">
        <f aca="false">IFERROR(INDEX('Teacher Lookup'!$B$2:$B$200,MATCH(A2917,'Teacher Lookup'!$A$2:$A$200,0)),"")</f>
        <v>SHUM Dorothy</v>
      </c>
    </row>
    <row r="2918" customFormat="false" ht="15" hidden="false" customHeight="false" outlineLevel="0" collapsed="false">
      <c r="A2918" s="3" t="s">
        <v>374</v>
      </c>
      <c r="B2918" s="4" t="s">
        <v>44</v>
      </c>
      <c r="C2918" s="4" t="n">
        <v>2</v>
      </c>
      <c r="D2918" s="4" t="s">
        <v>228</v>
      </c>
      <c r="E2918" s="3" t="s">
        <v>134</v>
      </c>
      <c r="F2918" s="4" t="str">
        <f aca="false">IF(I2918&gt;J2918,"Y","N")</f>
        <v>N</v>
      </c>
      <c r="G2918" s="3" t="s">
        <v>312</v>
      </c>
      <c r="H2918" s="3" t="s">
        <v>21</v>
      </c>
      <c r="I2918" s="4" t="n">
        <v>1</v>
      </c>
      <c r="J2918" s="4" t="n">
        <f aca="false">LEN(E2918)-LEN(SUBSTITUTE(E2918,",",""))+1</f>
        <v>1</v>
      </c>
      <c r="K2918" s="3" t="str">
        <f aca="false">IFERROR(INDEX('Teacher Lookup'!$B$2:$B$200,MATCH(A2918,'Teacher Lookup'!$A$2:$A$200,0)),"")</f>
        <v>SHUM Dorothy</v>
      </c>
    </row>
    <row r="2919" customFormat="false" ht="15" hidden="false" customHeight="false" outlineLevel="0" collapsed="false">
      <c r="A2919" s="3" t="s">
        <v>374</v>
      </c>
      <c r="B2919" s="4" t="s">
        <v>44</v>
      </c>
      <c r="C2919" s="4" t="n">
        <v>5</v>
      </c>
      <c r="D2919" s="4" t="s">
        <v>228</v>
      </c>
      <c r="E2919" s="3" t="s">
        <v>229</v>
      </c>
      <c r="F2919" s="4" t="str">
        <f aca="false">IF(I2919&gt;J2919,"Y","N")</f>
        <v>Y</v>
      </c>
      <c r="G2919" s="3" t="s">
        <v>36</v>
      </c>
      <c r="H2919" s="3" t="s">
        <v>37</v>
      </c>
      <c r="I2919" s="4" t="n">
        <v>14</v>
      </c>
      <c r="J2919" s="4" t="n">
        <f aca="false">LEN(E2919)-LEN(SUBSTITUTE(E2919,",",""))+1</f>
        <v>6</v>
      </c>
      <c r="K2919" s="3" t="str">
        <f aca="false">IFERROR(INDEX('Teacher Lookup'!$B$2:$B$200,MATCH(A2919,'Teacher Lookup'!$A$2:$A$200,0)),"")</f>
        <v>SHUM Dorothy</v>
      </c>
    </row>
    <row r="2920" customFormat="false" ht="15" hidden="false" customHeight="false" outlineLevel="0" collapsed="false">
      <c r="A2920" s="3" t="s">
        <v>374</v>
      </c>
      <c r="B2920" s="4" t="s">
        <v>44</v>
      </c>
      <c r="C2920" s="4" t="n">
        <v>5</v>
      </c>
      <c r="D2920" s="4" t="s">
        <v>102</v>
      </c>
      <c r="E2920" s="3" t="s">
        <v>229</v>
      </c>
      <c r="F2920" s="4" t="str">
        <f aca="false">IF(I2920&gt;J2920,"Y","N")</f>
        <v>Y</v>
      </c>
      <c r="G2920" s="3" t="s">
        <v>36</v>
      </c>
      <c r="H2920" s="3" t="s">
        <v>37</v>
      </c>
      <c r="I2920" s="4" t="n">
        <v>14</v>
      </c>
      <c r="J2920" s="4" t="n">
        <f aca="false">LEN(E2920)-LEN(SUBSTITUTE(E2920,",",""))+1</f>
        <v>6</v>
      </c>
      <c r="K2920" s="3" t="str">
        <f aca="false">IFERROR(INDEX('Teacher Lookup'!$B$2:$B$200,MATCH(A2920,'Teacher Lookup'!$A$2:$A$200,0)),"")</f>
        <v>SHUM Dorothy</v>
      </c>
    </row>
    <row r="2921" customFormat="false" ht="15" hidden="false" customHeight="false" outlineLevel="0" collapsed="false">
      <c r="A2921" s="3" t="s">
        <v>374</v>
      </c>
      <c r="B2921" s="4" t="s">
        <v>44</v>
      </c>
      <c r="C2921" s="4" t="n">
        <v>5</v>
      </c>
      <c r="D2921" s="4" t="s">
        <v>105</v>
      </c>
      <c r="E2921" s="3" t="s">
        <v>229</v>
      </c>
      <c r="F2921" s="4" t="str">
        <f aca="false">IF(I2921&gt;J2921,"Y","N")</f>
        <v>Y</v>
      </c>
      <c r="G2921" s="3" t="s">
        <v>36</v>
      </c>
      <c r="H2921" s="3" t="s">
        <v>37</v>
      </c>
      <c r="I2921" s="4" t="n">
        <v>14</v>
      </c>
      <c r="J2921" s="4" t="n">
        <f aca="false">LEN(E2921)-LEN(SUBSTITUTE(E2921,",",""))+1</f>
        <v>6</v>
      </c>
      <c r="K2921" s="3" t="str">
        <f aca="false">IFERROR(INDEX('Teacher Lookup'!$B$2:$B$200,MATCH(A2921,'Teacher Lookup'!$A$2:$A$200,0)),"")</f>
        <v>SHUM Dorothy</v>
      </c>
    </row>
    <row r="2922" customFormat="false" ht="15" hidden="false" customHeight="false" outlineLevel="0" collapsed="false">
      <c r="A2922" s="3" t="s">
        <v>374</v>
      </c>
      <c r="B2922" s="4" t="s">
        <v>44</v>
      </c>
      <c r="C2922" s="4" t="n">
        <v>5</v>
      </c>
      <c r="D2922" s="4" t="s">
        <v>106</v>
      </c>
      <c r="E2922" s="3" t="s">
        <v>229</v>
      </c>
      <c r="F2922" s="4" t="str">
        <f aca="false">IF(I2922&gt;J2922,"Y","N")</f>
        <v>Y</v>
      </c>
      <c r="G2922" s="3" t="s">
        <v>36</v>
      </c>
      <c r="H2922" s="3" t="s">
        <v>37</v>
      </c>
      <c r="I2922" s="4" t="n">
        <v>14</v>
      </c>
      <c r="J2922" s="4" t="n">
        <f aca="false">LEN(E2922)-LEN(SUBSTITUTE(E2922,",",""))+1</f>
        <v>6</v>
      </c>
      <c r="K2922" s="3" t="str">
        <f aca="false">IFERROR(INDEX('Teacher Lookup'!$B$2:$B$200,MATCH(A2922,'Teacher Lookup'!$A$2:$A$200,0)),"")</f>
        <v>SHUM Dorothy</v>
      </c>
    </row>
    <row r="2923" customFormat="false" ht="15" hidden="false" customHeight="false" outlineLevel="0" collapsed="false">
      <c r="A2923" s="3" t="s">
        <v>374</v>
      </c>
      <c r="B2923" s="4" t="s">
        <v>44</v>
      </c>
      <c r="C2923" s="4" t="n">
        <v>5</v>
      </c>
      <c r="D2923" s="4" t="s">
        <v>107</v>
      </c>
      <c r="E2923" s="3" t="s">
        <v>229</v>
      </c>
      <c r="F2923" s="4" t="str">
        <f aca="false">IF(I2923&gt;J2923,"Y","N")</f>
        <v>Y</v>
      </c>
      <c r="G2923" s="3" t="s">
        <v>36</v>
      </c>
      <c r="H2923" s="3" t="s">
        <v>37</v>
      </c>
      <c r="I2923" s="4" t="n">
        <v>14</v>
      </c>
      <c r="J2923" s="4" t="n">
        <f aca="false">LEN(E2923)-LEN(SUBSTITUTE(E2923,",",""))+1</f>
        <v>6</v>
      </c>
      <c r="K2923" s="3" t="str">
        <f aca="false">IFERROR(INDEX('Teacher Lookup'!$B$2:$B$200,MATCH(A2923,'Teacher Lookup'!$A$2:$A$200,0)),"")</f>
        <v>SHUM Dorothy</v>
      </c>
    </row>
    <row r="2924" customFormat="false" ht="15" hidden="false" customHeight="false" outlineLevel="0" collapsed="false">
      <c r="A2924" s="3" t="s">
        <v>374</v>
      </c>
      <c r="B2924" s="4" t="s">
        <v>44</v>
      </c>
      <c r="C2924" s="4" t="n">
        <v>7</v>
      </c>
      <c r="D2924" s="4" t="s">
        <v>52</v>
      </c>
      <c r="E2924" s="3" t="s">
        <v>243</v>
      </c>
      <c r="F2924" s="4" t="str">
        <f aca="false">IF(I2924&gt;J2924,"Y","N")</f>
        <v>N</v>
      </c>
      <c r="G2924" s="3" t="s">
        <v>239</v>
      </c>
      <c r="H2924" s="3" t="s">
        <v>39</v>
      </c>
      <c r="I2924" s="4" t="n">
        <v>7</v>
      </c>
      <c r="J2924" s="4" t="n">
        <f aca="false">LEN(E2924)-LEN(SUBSTITUTE(E2924,",",""))+1</f>
        <v>7</v>
      </c>
      <c r="K2924" s="3" t="str">
        <f aca="false">IFERROR(INDEX('Teacher Lookup'!$B$2:$B$200,MATCH(A2924,'Teacher Lookup'!$A$2:$A$200,0)),"")</f>
        <v>SHUM Dorothy</v>
      </c>
    </row>
    <row r="2925" customFormat="false" ht="15" hidden="false" customHeight="false" outlineLevel="0" collapsed="false">
      <c r="A2925" s="3" t="s">
        <v>374</v>
      </c>
      <c r="B2925" s="4" t="s">
        <v>44</v>
      </c>
      <c r="C2925" s="4" t="n">
        <v>7</v>
      </c>
      <c r="D2925" s="4" t="s">
        <v>55</v>
      </c>
      <c r="E2925" s="3" t="s">
        <v>243</v>
      </c>
      <c r="F2925" s="4" t="str">
        <f aca="false">IF(I2925&gt;J2925,"Y","N")</f>
        <v>N</v>
      </c>
      <c r="G2925" s="3" t="s">
        <v>239</v>
      </c>
      <c r="H2925" s="3" t="s">
        <v>39</v>
      </c>
      <c r="I2925" s="4" t="n">
        <v>7</v>
      </c>
      <c r="J2925" s="4" t="n">
        <f aca="false">LEN(E2925)-LEN(SUBSTITUTE(E2925,",",""))+1</f>
        <v>7</v>
      </c>
      <c r="K2925" s="3" t="str">
        <f aca="false">IFERROR(INDEX('Teacher Lookup'!$B$2:$B$200,MATCH(A2925,'Teacher Lookup'!$A$2:$A$200,0)),"")</f>
        <v>SHUM Dorothy</v>
      </c>
    </row>
    <row r="2926" customFormat="false" ht="15" hidden="false" customHeight="false" outlineLevel="0" collapsed="false">
      <c r="A2926" s="3" t="s">
        <v>374</v>
      </c>
      <c r="B2926" s="4" t="s">
        <v>44</v>
      </c>
      <c r="C2926" s="4" t="n">
        <v>7</v>
      </c>
      <c r="D2926" s="4" t="s">
        <v>56</v>
      </c>
      <c r="E2926" s="3" t="s">
        <v>243</v>
      </c>
      <c r="F2926" s="4" t="str">
        <f aca="false">IF(I2926&gt;J2926,"Y","N")</f>
        <v>N</v>
      </c>
      <c r="G2926" s="3" t="s">
        <v>239</v>
      </c>
      <c r="H2926" s="3" t="s">
        <v>39</v>
      </c>
      <c r="I2926" s="4" t="n">
        <v>7</v>
      </c>
      <c r="J2926" s="4" t="n">
        <f aca="false">LEN(E2926)-LEN(SUBSTITUTE(E2926,",",""))+1</f>
        <v>7</v>
      </c>
      <c r="K2926" s="3" t="str">
        <f aca="false">IFERROR(INDEX('Teacher Lookup'!$B$2:$B$200,MATCH(A2926,'Teacher Lookup'!$A$2:$A$200,0)),"")</f>
        <v>SHUM Dorothy</v>
      </c>
    </row>
    <row r="2927" customFormat="false" ht="15" hidden="false" customHeight="false" outlineLevel="0" collapsed="false">
      <c r="A2927" s="3" t="s">
        <v>374</v>
      </c>
      <c r="B2927" s="4" t="s">
        <v>44</v>
      </c>
      <c r="C2927" s="4" t="n">
        <v>7</v>
      </c>
      <c r="D2927" s="4" t="s">
        <v>57</v>
      </c>
      <c r="E2927" s="3" t="s">
        <v>243</v>
      </c>
      <c r="F2927" s="4" t="str">
        <f aca="false">IF(I2927&gt;J2927,"Y","N")</f>
        <v>N</v>
      </c>
      <c r="G2927" s="3" t="s">
        <v>239</v>
      </c>
      <c r="H2927" s="3" t="s">
        <v>39</v>
      </c>
      <c r="I2927" s="4" t="n">
        <v>7</v>
      </c>
      <c r="J2927" s="4" t="n">
        <f aca="false">LEN(E2927)-LEN(SUBSTITUTE(E2927,",",""))+1</f>
        <v>7</v>
      </c>
      <c r="K2927" s="3" t="str">
        <f aca="false">IFERROR(INDEX('Teacher Lookup'!$B$2:$B$200,MATCH(A2927,'Teacher Lookup'!$A$2:$A$200,0)),"")</f>
        <v>SHUM Dorothy</v>
      </c>
    </row>
    <row r="2928" customFormat="false" ht="15" hidden="false" customHeight="false" outlineLevel="0" collapsed="false">
      <c r="A2928" s="3" t="s">
        <v>374</v>
      </c>
      <c r="B2928" s="4" t="s">
        <v>44</v>
      </c>
      <c r="C2928" s="4" t="n">
        <v>7</v>
      </c>
      <c r="D2928" s="4" t="s">
        <v>58</v>
      </c>
      <c r="E2928" s="3" t="s">
        <v>243</v>
      </c>
      <c r="F2928" s="4" t="str">
        <f aca="false">IF(I2928&gt;J2928,"Y","N")</f>
        <v>N</v>
      </c>
      <c r="G2928" s="3" t="s">
        <v>239</v>
      </c>
      <c r="H2928" s="3" t="s">
        <v>39</v>
      </c>
      <c r="I2928" s="4" t="n">
        <v>7</v>
      </c>
      <c r="J2928" s="4" t="n">
        <f aca="false">LEN(E2928)-LEN(SUBSTITUTE(E2928,",",""))+1</f>
        <v>7</v>
      </c>
      <c r="K2928" s="3" t="str">
        <f aca="false">IFERROR(INDEX('Teacher Lookup'!$B$2:$B$200,MATCH(A2928,'Teacher Lookup'!$A$2:$A$200,0)),"")</f>
        <v>SHUM Dorothy</v>
      </c>
    </row>
    <row r="2929" customFormat="false" ht="15" hidden="false" customHeight="false" outlineLevel="0" collapsed="false">
      <c r="A2929" s="3" t="s">
        <v>374</v>
      </c>
      <c r="B2929" s="4" t="s">
        <v>44</v>
      </c>
      <c r="C2929" s="4" t="n">
        <v>7</v>
      </c>
      <c r="D2929" s="4" t="s">
        <v>59</v>
      </c>
      <c r="E2929" s="3" t="s">
        <v>243</v>
      </c>
      <c r="F2929" s="4" t="str">
        <f aca="false">IF(I2929&gt;J2929,"Y","N")</f>
        <v>N</v>
      </c>
      <c r="G2929" s="3" t="s">
        <v>239</v>
      </c>
      <c r="H2929" s="3" t="s">
        <v>39</v>
      </c>
      <c r="I2929" s="4" t="n">
        <v>7</v>
      </c>
      <c r="J2929" s="4" t="n">
        <f aca="false">LEN(E2929)-LEN(SUBSTITUTE(E2929,",",""))+1</f>
        <v>7</v>
      </c>
      <c r="K2929" s="3" t="str">
        <f aca="false">IFERROR(INDEX('Teacher Lookup'!$B$2:$B$200,MATCH(A2929,'Teacher Lookup'!$A$2:$A$200,0)),"")</f>
        <v>SHUM Dorothy</v>
      </c>
    </row>
    <row r="2930" customFormat="false" ht="15" hidden="false" customHeight="false" outlineLevel="0" collapsed="false">
      <c r="A2930" s="3" t="s">
        <v>374</v>
      </c>
      <c r="B2930" s="4" t="s">
        <v>47</v>
      </c>
      <c r="C2930" s="4" t="n">
        <v>3</v>
      </c>
      <c r="D2930" s="4" t="s">
        <v>228</v>
      </c>
      <c r="E2930" s="3" t="s">
        <v>302</v>
      </c>
      <c r="F2930" s="4" t="str">
        <f aca="false">IF(I2930&gt;J2930,"Y","N")</f>
        <v>N</v>
      </c>
      <c r="G2930" s="3" t="s">
        <v>312</v>
      </c>
      <c r="H2930" s="3" t="s">
        <v>26</v>
      </c>
      <c r="I2930" s="4" t="n">
        <v>1</v>
      </c>
      <c r="J2930" s="4" t="n">
        <f aca="false">LEN(E2930)-LEN(SUBSTITUTE(E2930,",",""))+1</f>
        <v>1</v>
      </c>
      <c r="K2930" s="3" t="str">
        <f aca="false">IFERROR(INDEX('Teacher Lookup'!$B$2:$B$200,MATCH(A2930,'Teacher Lookup'!$A$2:$A$200,0)),"")</f>
        <v>SHUM Dorothy</v>
      </c>
    </row>
    <row r="2931" customFormat="false" ht="15" hidden="false" customHeight="false" outlineLevel="0" collapsed="false">
      <c r="A2931" s="3" t="s">
        <v>374</v>
      </c>
      <c r="B2931" s="4" t="s">
        <v>47</v>
      </c>
      <c r="C2931" s="4" t="n">
        <v>7</v>
      </c>
      <c r="D2931" s="4" t="s">
        <v>52</v>
      </c>
      <c r="E2931" s="3" t="s">
        <v>244</v>
      </c>
      <c r="F2931" s="4" t="str">
        <f aca="false">IF(I2931&gt;J2931,"Y","N")</f>
        <v>N</v>
      </c>
      <c r="G2931" s="3" t="s">
        <v>239</v>
      </c>
      <c r="H2931" s="3" t="s">
        <v>39</v>
      </c>
      <c r="I2931" s="4" t="n">
        <v>7</v>
      </c>
      <c r="J2931" s="4" t="n">
        <f aca="false">LEN(E2931)-LEN(SUBSTITUTE(E2931,",",""))+1</f>
        <v>7</v>
      </c>
      <c r="K2931" s="3" t="str">
        <f aca="false">IFERROR(INDEX('Teacher Lookup'!$B$2:$B$200,MATCH(A2931,'Teacher Lookup'!$A$2:$A$200,0)),"")</f>
        <v>SHUM Dorothy</v>
      </c>
    </row>
    <row r="2932" customFormat="false" ht="15" hidden="false" customHeight="false" outlineLevel="0" collapsed="false">
      <c r="A2932" s="3" t="s">
        <v>374</v>
      </c>
      <c r="B2932" s="4" t="s">
        <v>47</v>
      </c>
      <c r="C2932" s="4" t="n">
        <v>7</v>
      </c>
      <c r="D2932" s="4" t="s">
        <v>55</v>
      </c>
      <c r="E2932" s="3" t="s">
        <v>244</v>
      </c>
      <c r="F2932" s="4" t="str">
        <f aca="false">IF(I2932&gt;J2932,"Y","N")</f>
        <v>N</v>
      </c>
      <c r="G2932" s="3" t="s">
        <v>239</v>
      </c>
      <c r="H2932" s="3" t="s">
        <v>39</v>
      </c>
      <c r="I2932" s="4" t="n">
        <v>7</v>
      </c>
      <c r="J2932" s="4" t="n">
        <f aca="false">LEN(E2932)-LEN(SUBSTITUTE(E2932,",",""))+1</f>
        <v>7</v>
      </c>
      <c r="K2932" s="3" t="str">
        <f aca="false">IFERROR(INDEX('Teacher Lookup'!$B$2:$B$200,MATCH(A2932,'Teacher Lookup'!$A$2:$A$200,0)),"")</f>
        <v>SHUM Dorothy</v>
      </c>
    </row>
    <row r="2933" customFormat="false" ht="15" hidden="false" customHeight="false" outlineLevel="0" collapsed="false">
      <c r="A2933" s="3" t="s">
        <v>374</v>
      </c>
      <c r="B2933" s="4" t="s">
        <v>47</v>
      </c>
      <c r="C2933" s="4" t="n">
        <v>7</v>
      </c>
      <c r="D2933" s="4" t="s">
        <v>56</v>
      </c>
      <c r="E2933" s="3" t="s">
        <v>244</v>
      </c>
      <c r="F2933" s="4" t="str">
        <f aca="false">IF(I2933&gt;J2933,"Y","N")</f>
        <v>N</v>
      </c>
      <c r="G2933" s="3" t="s">
        <v>239</v>
      </c>
      <c r="H2933" s="3" t="s">
        <v>39</v>
      </c>
      <c r="I2933" s="4" t="n">
        <v>7</v>
      </c>
      <c r="J2933" s="4" t="n">
        <f aca="false">LEN(E2933)-LEN(SUBSTITUTE(E2933,",",""))+1</f>
        <v>7</v>
      </c>
      <c r="K2933" s="3" t="str">
        <f aca="false">IFERROR(INDEX('Teacher Lookup'!$B$2:$B$200,MATCH(A2933,'Teacher Lookup'!$A$2:$A$200,0)),"")</f>
        <v>SHUM Dorothy</v>
      </c>
    </row>
    <row r="2934" customFormat="false" ht="15" hidden="false" customHeight="false" outlineLevel="0" collapsed="false">
      <c r="A2934" s="3" t="s">
        <v>374</v>
      </c>
      <c r="B2934" s="4" t="s">
        <v>47</v>
      </c>
      <c r="C2934" s="4" t="n">
        <v>7</v>
      </c>
      <c r="D2934" s="4" t="s">
        <v>57</v>
      </c>
      <c r="E2934" s="3" t="s">
        <v>244</v>
      </c>
      <c r="F2934" s="4" t="str">
        <f aca="false">IF(I2934&gt;J2934,"Y","N")</f>
        <v>N</v>
      </c>
      <c r="G2934" s="3" t="s">
        <v>239</v>
      </c>
      <c r="H2934" s="3" t="s">
        <v>39</v>
      </c>
      <c r="I2934" s="4" t="n">
        <v>7</v>
      </c>
      <c r="J2934" s="4" t="n">
        <f aca="false">LEN(E2934)-LEN(SUBSTITUTE(E2934,",",""))+1</f>
        <v>7</v>
      </c>
      <c r="K2934" s="3" t="str">
        <f aca="false">IFERROR(INDEX('Teacher Lookup'!$B$2:$B$200,MATCH(A2934,'Teacher Lookup'!$A$2:$A$200,0)),"")</f>
        <v>SHUM Dorothy</v>
      </c>
    </row>
    <row r="2935" customFormat="false" ht="15" hidden="false" customHeight="false" outlineLevel="0" collapsed="false">
      <c r="A2935" s="3" t="s">
        <v>374</v>
      </c>
      <c r="B2935" s="4" t="s">
        <v>47</v>
      </c>
      <c r="C2935" s="4" t="n">
        <v>7</v>
      </c>
      <c r="D2935" s="4" t="s">
        <v>58</v>
      </c>
      <c r="E2935" s="3" t="s">
        <v>244</v>
      </c>
      <c r="F2935" s="4" t="str">
        <f aca="false">IF(I2935&gt;J2935,"Y","N")</f>
        <v>N</v>
      </c>
      <c r="G2935" s="3" t="s">
        <v>239</v>
      </c>
      <c r="H2935" s="3" t="s">
        <v>39</v>
      </c>
      <c r="I2935" s="4" t="n">
        <v>7</v>
      </c>
      <c r="J2935" s="4" t="n">
        <f aca="false">LEN(E2935)-LEN(SUBSTITUTE(E2935,",",""))+1</f>
        <v>7</v>
      </c>
      <c r="K2935" s="3" t="str">
        <f aca="false">IFERROR(INDEX('Teacher Lookup'!$B$2:$B$200,MATCH(A2935,'Teacher Lookup'!$A$2:$A$200,0)),"")</f>
        <v>SHUM Dorothy</v>
      </c>
    </row>
    <row r="2936" customFormat="false" ht="15" hidden="false" customHeight="false" outlineLevel="0" collapsed="false">
      <c r="A2936" s="3" t="s">
        <v>374</v>
      </c>
      <c r="B2936" s="4" t="s">
        <v>47</v>
      </c>
      <c r="C2936" s="4" t="n">
        <v>7</v>
      </c>
      <c r="D2936" s="4" t="s">
        <v>59</v>
      </c>
      <c r="E2936" s="3" t="s">
        <v>244</v>
      </c>
      <c r="F2936" s="4" t="str">
        <f aca="false">IF(I2936&gt;J2936,"Y","N")</f>
        <v>N</v>
      </c>
      <c r="G2936" s="3" t="s">
        <v>239</v>
      </c>
      <c r="H2936" s="3" t="s">
        <v>39</v>
      </c>
      <c r="I2936" s="4" t="n">
        <v>7</v>
      </c>
      <c r="J2936" s="4" t="n">
        <f aca="false">LEN(E2936)-LEN(SUBSTITUTE(E2936,",",""))+1</f>
        <v>7</v>
      </c>
      <c r="K2936" s="3" t="str">
        <f aca="false">IFERROR(INDEX('Teacher Lookup'!$B$2:$B$200,MATCH(A2936,'Teacher Lookup'!$A$2:$A$200,0)),"")</f>
        <v>SHUM Dorothy</v>
      </c>
    </row>
    <row r="2937" customFormat="false" ht="15" hidden="false" customHeight="false" outlineLevel="0" collapsed="false">
      <c r="A2937" s="3" t="s">
        <v>374</v>
      </c>
      <c r="B2937" s="4" t="s">
        <v>50</v>
      </c>
      <c r="C2937" s="4" t="n">
        <v>1</v>
      </c>
      <c r="D2937" s="4" t="s">
        <v>228</v>
      </c>
      <c r="E2937" s="3" t="s">
        <v>311</v>
      </c>
      <c r="F2937" s="4" t="str">
        <f aca="false">IF(I2937&gt;J2937,"Y","N")</f>
        <v>N</v>
      </c>
      <c r="G2937" s="3" t="s">
        <v>312</v>
      </c>
      <c r="H2937" s="3" t="s">
        <v>16</v>
      </c>
      <c r="I2937" s="4" t="n">
        <v>1</v>
      </c>
      <c r="J2937" s="4" t="n">
        <f aca="false">LEN(E2937)-LEN(SUBSTITUTE(E2937,",",""))+1</f>
        <v>1</v>
      </c>
      <c r="K2937" s="3" t="str">
        <f aca="false">IFERROR(INDEX('Teacher Lookup'!$B$2:$B$200,MATCH(A2937,'Teacher Lookup'!$A$2:$A$200,0)),"")</f>
        <v>SHUM Dorothy</v>
      </c>
    </row>
    <row r="2938" customFormat="false" ht="15" hidden="false" customHeight="false" outlineLevel="0" collapsed="false">
      <c r="A2938" s="3" t="s">
        <v>374</v>
      </c>
      <c r="B2938" s="4" t="s">
        <v>50</v>
      </c>
      <c r="C2938" s="4" t="n">
        <v>2</v>
      </c>
      <c r="D2938" s="4" t="s">
        <v>228</v>
      </c>
      <c r="E2938" s="3" t="s">
        <v>311</v>
      </c>
      <c r="F2938" s="4" t="str">
        <f aca="false">IF(I2938&gt;J2938,"Y","N")</f>
        <v>N</v>
      </c>
      <c r="G2938" s="3" t="s">
        <v>312</v>
      </c>
      <c r="H2938" s="3" t="s">
        <v>21</v>
      </c>
      <c r="I2938" s="4" t="n">
        <v>1</v>
      </c>
      <c r="J2938" s="4" t="n">
        <f aca="false">LEN(E2938)-LEN(SUBSTITUTE(E2938,",",""))+1</f>
        <v>1</v>
      </c>
      <c r="K2938" s="3" t="str">
        <f aca="false">IFERROR(INDEX('Teacher Lookup'!$B$2:$B$200,MATCH(A2938,'Teacher Lookup'!$A$2:$A$200,0)),"")</f>
        <v>SHUM Dorothy</v>
      </c>
    </row>
    <row r="2939" customFormat="false" ht="15" hidden="false" customHeight="false" outlineLevel="0" collapsed="false">
      <c r="A2939" s="3" t="s">
        <v>374</v>
      </c>
      <c r="B2939" s="4" t="s">
        <v>60</v>
      </c>
      <c r="C2939" s="4" t="n">
        <v>2</v>
      </c>
      <c r="D2939" s="4" t="s">
        <v>52</v>
      </c>
      <c r="E2939" s="3" t="s">
        <v>248</v>
      </c>
      <c r="F2939" s="4" t="str">
        <f aca="false">IF(I2939&gt;J2939,"Y","N")</f>
        <v>N</v>
      </c>
      <c r="G2939" s="3" t="s">
        <v>239</v>
      </c>
      <c r="H2939" s="3" t="s">
        <v>21</v>
      </c>
      <c r="I2939" s="4" t="n">
        <v>7</v>
      </c>
      <c r="J2939" s="4" t="n">
        <f aca="false">LEN(E2939)-LEN(SUBSTITUTE(E2939,",",""))+1</f>
        <v>7</v>
      </c>
      <c r="K2939" s="3" t="str">
        <f aca="false">IFERROR(INDEX('Teacher Lookup'!$B$2:$B$200,MATCH(A2939,'Teacher Lookup'!$A$2:$A$200,0)),"")</f>
        <v>SHUM Dorothy</v>
      </c>
    </row>
    <row r="2940" customFormat="false" ht="15" hidden="false" customHeight="false" outlineLevel="0" collapsed="false">
      <c r="A2940" s="3" t="s">
        <v>374</v>
      </c>
      <c r="B2940" s="4" t="s">
        <v>60</v>
      </c>
      <c r="C2940" s="4" t="n">
        <v>2</v>
      </c>
      <c r="D2940" s="4" t="s">
        <v>55</v>
      </c>
      <c r="E2940" s="3" t="s">
        <v>248</v>
      </c>
      <c r="F2940" s="4" t="str">
        <f aca="false">IF(I2940&gt;J2940,"Y","N")</f>
        <v>N</v>
      </c>
      <c r="G2940" s="3" t="s">
        <v>239</v>
      </c>
      <c r="H2940" s="3" t="s">
        <v>21</v>
      </c>
      <c r="I2940" s="4" t="n">
        <v>7</v>
      </c>
      <c r="J2940" s="4" t="n">
        <f aca="false">LEN(E2940)-LEN(SUBSTITUTE(E2940,",",""))+1</f>
        <v>7</v>
      </c>
      <c r="K2940" s="3" t="str">
        <f aca="false">IFERROR(INDEX('Teacher Lookup'!$B$2:$B$200,MATCH(A2940,'Teacher Lookup'!$A$2:$A$200,0)),"")</f>
        <v>SHUM Dorothy</v>
      </c>
    </row>
    <row r="2941" customFormat="false" ht="15" hidden="false" customHeight="false" outlineLevel="0" collapsed="false">
      <c r="A2941" s="3" t="s">
        <v>374</v>
      </c>
      <c r="B2941" s="4" t="s">
        <v>60</v>
      </c>
      <c r="C2941" s="4" t="n">
        <v>2</v>
      </c>
      <c r="D2941" s="4" t="s">
        <v>56</v>
      </c>
      <c r="E2941" s="3" t="s">
        <v>248</v>
      </c>
      <c r="F2941" s="4" t="str">
        <f aca="false">IF(I2941&gt;J2941,"Y","N")</f>
        <v>N</v>
      </c>
      <c r="G2941" s="3" t="s">
        <v>239</v>
      </c>
      <c r="H2941" s="3" t="s">
        <v>21</v>
      </c>
      <c r="I2941" s="4" t="n">
        <v>7</v>
      </c>
      <c r="J2941" s="4" t="n">
        <f aca="false">LEN(E2941)-LEN(SUBSTITUTE(E2941,",",""))+1</f>
        <v>7</v>
      </c>
      <c r="K2941" s="3" t="str">
        <f aca="false">IFERROR(INDEX('Teacher Lookup'!$B$2:$B$200,MATCH(A2941,'Teacher Lookup'!$A$2:$A$200,0)),"")</f>
        <v>SHUM Dorothy</v>
      </c>
    </row>
    <row r="2942" customFormat="false" ht="15" hidden="false" customHeight="false" outlineLevel="0" collapsed="false">
      <c r="A2942" s="3" t="s">
        <v>374</v>
      </c>
      <c r="B2942" s="4" t="s">
        <v>60</v>
      </c>
      <c r="C2942" s="4" t="n">
        <v>2</v>
      </c>
      <c r="D2942" s="4" t="s">
        <v>57</v>
      </c>
      <c r="E2942" s="3" t="s">
        <v>248</v>
      </c>
      <c r="F2942" s="4" t="str">
        <f aca="false">IF(I2942&gt;J2942,"Y","N")</f>
        <v>N</v>
      </c>
      <c r="G2942" s="3" t="s">
        <v>239</v>
      </c>
      <c r="H2942" s="3" t="s">
        <v>21</v>
      </c>
      <c r="I2942" s="4" t="n">
        <v>7</v>
      </c>
      <c r="J2942" s="4" t="n">
        <f aca="false">LEN(E2942)-LEN(SUBSTITUTE(E2942,",",""))+1</f>
        <v>7</v>
      </c>
      <c r="K2942" s="3" t="str">
        <f aca="false">IFERROR(INDEX('Teacher Lookup'!$B$2:$B$200,MATCH(A2942,'Teacher Lookup'!$A$2:$A$200,0)),"")</f>
        <v>SHUM Dorothy</v>
      </c>
    </row>
    <row r="2943" customFormat="false" ht="15" hidden="false" customHeight="false" outlineLevel="0" collapsed="false">
      <c r="A2943" s="3" t="s">
        <v>374</v>
      </c>
      <c r="B2943" s="4" t="s">
        <v>60</v>
      </c>
      <c r="C2943" s="4" t="n">
        <v>2</v>
      </c>
      <c r="D2943" s="4" t="s">
        <v>58</v>
      </c>
      <c r="E2943" s="3" t="s">
        <v>248</v>
      </c>
      <c r="F2943" s="4" t="str">
        <f aca="false">IF(I2943&gt;J2943,"Y","N")</f>
        <v>N</v>
      </c>
      <c r="G2943" s="3" t="s">
        <v>239</v>
      </c>
      <c r="H2943" s="3" t="s">
        <v>21</v>
      </c>
      <c r="I2943" s="4" t="n">
        <v>7</v>
      </c>
      <c r="J2943" s="4" t="n">
        <f aca="false">LEN(E2943)-LEN(SUBSTITUTE(E2943,",",""))+1</f>
        <v>7</v>
      </c>
      <c r="K2943" s="3" t="str">
        <f aca="false">IFERROR(INDEX('Teacher Lookup'!$B$2:$B$200,MATCH(A2943,'Teacher Lookup'!$A$2:$A$200,0)),"")</f>
        <v>SHUM Dorothy</v>
      </c>
    </row>
    <row r="2944" customFormat="false" ht="15" hidden="false" customHeight="false" outlineLevel="0" collapsed="false">
      <c r="A2944" s="3" t="s">
        <v>374</v>
      </c>
      <c r="B2944" s="4" t="s">
        <v>60</v>
      </c>
      <c r="C2944" s="4" t="n">
        <v>2</v>
      </c>
      <c r="D2944" s="4" t="s">
        <v>59</v>
      </c>
      <c r="E2944" s="3" t="s">
        <v>248</v>
      </c>
      <c r="F2944" s="4" t="str">
        <f aca="false">IF(I2944&gt;J2944,"Y","N")</f>
        <v>N</v>
      </c>
      <c r="G2944" s="3" t="s">
        <v>239</v>
      </c>
      <c r="H2944" s="3" t="s">
        <v>21</v>
      </c>
      <c r="I2944" s="4" t="n">
        <v>7</v>
      </c>
      <c r="J2944" s="4" t="n">
        <f aca="false">LEN(E2944)-LEN(SUBSTITUTE(E2944,",",""))+1</f>
        <v>7</v>
      </c>
      <c r="K2944" s="3" t="str">
        <f aca="false">IFERROR(INDEX('Teacher Lookup'!$B$2:$B$200,MATCH(A2944,'Teacher Lookup'!$A$2:$A$200,0)),"")</f>
        <v>SHUM Dorothy</v>
      </c>
    </row>
    <row r="2945" customFormat="false" ht="15" hidden="false" customHeight="false" outlineLevel="0" collapsed="false">
      <c r="A2945" s="3" t="s">
        <v>374</v>
      </c>
      <c r="B2945" s="4" t="s">
        <v>60</v>
      </c>
      <c r="C2945" s="4" t="n">
        <v>3</v>
      </c>
      <c r="D2945" s="4" t="s">
        <v>228</v>
      </c>
      <c r="E2945" s="3" t="s">
        <v>134</v>
      </c>
      <c r="F2945" s="4" t="str">
        <f aca="false">IF(I2945&gt;J2945,"Y","N")</f>
        <v>N</v>
      </c>
      <c r="G2945" s="3" t="s">
        <v>312</v>
      </c>
      <c r="H2945" s="3" t="s">
        <v>26</v>
      </c>
      <c r="I2945" s="4" t="n">
        <v>1</v>
      </c>
      <c r="J2945" s="4" t="n">
        <f aca="false">LEN(E2945)-LEN(SUBSTITUTE(E2945,",",""))+1</f>
        <v>1</v>
      </c>
      <c r="K2945" s="3" t="str">
        <f aca="false">IFERROR(INDEX('Teacher Lookup'!$B$2:$B$200,MATCH(A2945,'Teacher Lookup'!$A$2:$A$200,0)),"")</f>
        <v>SHUM Dorothy</v>
      </c>
    </row>
    <row r="2946" customFormat="false" ht="15" hidden="false" customHeight="false" outlineLevel="0" collapsed="false">
      <c r="A2946" s="3" t="s">
        <v>374</v>
      </c>
      <c r="B2946" s="4" t="s">
        <v>60</v>
      </c>
      <c r="C2946" s="4" t="n">
        <v>5</v>
      </c>
      <c r="D2946" s="4" t="s">
        <v>228</v>
      </c>
      <c r="E2946" s="3" t="s">
        <v>229</v>
      </c>
      <c r="F2946" s="4" t="str">
        <f aca="false">IF(I2946&gt;J2946,"Y","N")</f>
        <v>Y</v>
      </c>
      <c r="G2946" s="3" t="s">
        <v>36</v>
      </c>
      <c r="H2946" s="3" t="s">
        <v>37</v>
      </c>
      <c r="I2946" s="4" t="n">
        <v>14</v>
      </c>
      <c r="J2946" s="4" t="n">
        <f aca="false">LEN(E2946)-LEN(SUBSTITUTE(E2946,",",""))+1</f>
        <v>6</v>
      </c>
      <c r="K2946" s="3" t="str">
        <f aca="false">IFERROR(INDEX('Teacher Lookup'!$B$2:$B$200,MATCH(A2946,'Teacher Lookup'!$A$2:$A$200,0)),"")</f>
        <v>SHUM Dorothy</v>
      </c>
    </row>
    <row r="2947" customFormat="false" ht="15" hidden="false" customHeight="false" outlineLevel="0" collapsed="false">
      <c r="A2947" s="3" t="s">
        <v>374</v>
      </c>
      <c r="B2947" s="4" t="s">
        <v>60</v>
      </c>
      <c r="C2947" s="4" t="n">
        <v>5</v>
      </c>
      <c r="D2947" s="4" t="s">
        <v>102</v>
      </c>
      <c r="E2947" s="3" t="s">
        <v>229</v>
      </c>
      <c r="F2947" s="4" t="str">
        <f aca="false">IF(I2947&gt;J2947,"Y","N")</f>
        <v>Y</v>
      </c>
      <c r="G2947" s="3" t="s">
        <v>36</v>
      </c>
      <c r="H2947" s="3" t="s">
        <v>37</v>
      </c>
      <c r="I2947" s="4" t="n">
        <v>14</v>
      </c>
      <c r="J2947" s="4" t="n">
        <f aca="false">LEN(E2947)-LEN(SUBSTITUTE(E2947,",",""))+1</f>
        <v>6</v>
      </c>
      <c r="K2947" s="3" t="str">
        <f aca="false">IFERROR(INDEX('Teacher Lookup'!$B$2:$B$200,MATCH(A2947,'Teacher Lookup'!$A$2:$A$200,0)),"")</f>
        <v>SHUM Dorothy</v>
      </c>
    </row>
    <row r="2948" customFormat="false" ht="15" hidden="false" customHeight="false" outlineLevel="0" collapsed="false">
      <c r="A2948" s="3" t="s">
        <v>374</v>
      </c>
      <c r="B2948" s="4" t="s">
        <v>60</v>
      </c>
      <c r="C2948" s="4" t="n">
        <v>5</v>
      </c>
      <c r="D2948" s="4" t="s">
        <v>105</v>
      </c>
      <c r="E2948" s="3" t="s">
        <v>229</v>
      </c>
      <c r="F2948" s="4" t="str">
        <f aca="false">IF(I2948&gt;J2948,"Y","N")</f>
        <v>Y</v>
      </c>
      <c r="G2948" s="3" t="s">
        <v>36</v>
      </c>
      <c r="H2948" s="3" t="s">
        <v>37</v>
      </c>
      <c r="I2948" s="4" t="n">
        <v>14</v>
      </c>
      <c r="J2948" s="4" t="n">
        <f aca="false">LEN(E2948)-LEN(SUBSTITUTE(E2948,",",""))+1</f>
        <v>6</v>
      </c>
      <c r="K2948" s="3" t="str">
        <f aca="false">IFERROR(INDEX('Teacher Lookup'!$B$2:$B$200,MATCH(A2948,'Teacher Lookup'!$A$2:$A$200,0)),"")</f>
        <v>SHUM Dorothy</v>
      </c>
    </row>
    <row r="2949" customFormat="false" ht="15" hidden="false" customHeight="false" outlineLevel="0" collapsed="false">
      <c r="A2949" s="3" t="s">
        <v>374</v>
      </c>
      <c r="B2949" s="4" t="s">
        <v>60</v>
      </c>
      <c r="C2949" s="4" t="n">
        <v>5</v>
      </c>
      <c r="D2949" s="4" t="s">
        <v>106</v>
      </c>
      <c r="E2949" s="3" t="s">
        <v>229</v>
      </c>
      <c r="F2949" s="4" t="str">
        <f aca="false">IF(I2949&gt;J2949,"Y","N")</f>
        <v>Y</v>
      </c>
      <c r="G2949" s="3" t="s">
        <v>36</v>
      </c>
      <c r="H2949" s="3" t="s">
        <v>37</v>
      </c>
      <c r="I2949" s="4" t="n">
        <v>14</v>
      </c>
      <c r="J2949" s="4" t="n">
        <f aca="false">LEN(E2949)-LEN(SUBSTITUTE(E2949,",",""))+1</f>
        <v>6</v>
      </c>
      <c r="K2949" s="3" t="str">
        <f aca="false">IFERROR(INDEX('Teacher Lookup'!$B$2:$B$200,MATCH(A2949,'Teacher Lookup'!$A$2:$A$200,0)),"")</f>
        <v>SHUM Dorothy</v>
      </c>
    </row>
    <row r="2950" customFormat="false" ht="15" hidden="false" customHeight="false" outlineLevel="0" collapsed="false">
      <c r="A2950" s="3" t="s">
        <v>374</v>
      </c>
      <c r="B2950" s="4" t="s">
        <v>60</v>
      </c>
      <c r="C2950" s="4" t="n">
        <v>5</v>
      </c>
      <c r="D2950" s="4" t="s">
        <v>107</v>
      </c>
      <c r="E2950" s="3" t="s">
        <v>229</v>
      </c>
      <c r="F2950" s="4" t="str">
        <f aca="false">IF(I2950&gt;J2950,"Y","N")</f>
        <v>Y</v>
      </c>
      <c r="G2950" s="3" t="s">
        <v>36</v>
      </c>
      <c r="H2950" s="3" t="s">
        <v>37</v>
      </c>
      <c r="I2950" s="4" t="n">
        <v>14</v>
      </c>
      <c r="J2950" s="4" t="n">
        <f aca="false">LEN(E2950)-LEN(SUBSTITUTE(E2950,",",""))+1</f>
        <v>6</v>
      </c>
      <c r="K2950" s="3" t="str">
        <f aca="false">IFERROR(INDEX('Teacher Lookup'!$B$2:$B$200,MATCH(A2950,'Teacher Lookup'!$A$2:$A$200,0)),"")</f>
        <v>SHUM Dorothy</v>
      </c>
    </row>
    <row r="2951" customFormat="false" ht="15" hidden="false" customHeight="false" outlineLevel="0" collapsed="false">
      <c r="A2951" s="3" t="s">
        <v>374</v>
      </c>
      <c r="B2951" s="4" t="s">
        <v>63</v>
      </c>
      <c r="C2951" s="4" t="n">
        <v>5</v>
      </c>
      <c r="D2951" s="4" t="s">
        <v>228</v>
      </c>
      <c r="E2951" s="3" t="s">
        <v>134</v>
      </c>
      <c r="F2951" s="4" t="str">
        <f aca="false">IF(I2951&gt;J2951,"Y","N")</f>
        <v>N</v>
      </c>
      <c r="G2951" s="3" t="s">
        <v>312</v>
      </c>
      <c r="H2951" s="3" t="s">
        <v>37</v>
      </c>
      <c r="I2951" s="4" t="n">
        <v>1</v>
      </c>
      <c r="J2951" s="4" t="n">
        <f aca="false">LEN(E2951)-LEN(SUBSTITUTE(E2951,",",""))+1</f>
        <v>1</v>
      </c>
      <c r="K2951" s="3" t="str">
        <f aca="false">IFERROR(INDEX('Teacher Lookup'!$B$2:$B$200,MATCH(A2951,'Teacher Lookup'!$A$2:$A$200,0)),"")</f>
        <v>SHUM Dorothy</v>
      </c>
    </row>
    <row r="2952" customFormat="false" ht="15" hidden="false" customHeight="false" outlineLevel="0" collapsed="false">
      <c r="A2952" s="3" t="s">
        <v>374</v>
      </c>
      <c r="B2952" s="4" t="s">
        <v>63</v>
      </c>
      <c r="C2952" s="4" t="n">
        <v>6</v>
      </c>
      <c r="D2952" s="4" t="s">
        <v>52</v>
      </c>
      <c r="E2952" s="3" t="s">
        <v>249</v>
      </c>
      <c r="F2952" s="4" t="str">
        <f aca="false">IF(I2952&gt;J2952,"Y","N")</f>
        <v>N</v>
      </c>
      <c r="G2952" s="3" t="s">
        <v>239</v>
      </c>
      <c r="H2952" s="3" t="s">
        <v>42</v>
      </c>
      <c r="I2952" s="4" t="n">
        <v>7</v>
      </c>
      <c r="J2952" s="4" t="n">
        <f aca="false">LEN(E2952)-LEN(SUBSTITUTE(E2952,",",""))+1</f>
        <v>7</v>
      </c>
      <c r="K2952" s="3" t="str">
        <f aca="false">IFERROR(INDEX('Teacher Lookup'!$B$2:$B$200,MATCH(A2952,'Teacher Lookup'!$A$2:$A$200,0)),"")</f>
        <v>SHUM Dorothy</v>
      </c>
    </row>
    <row r="2953" customFormat="false" ht="15" hidden="false" customHeight="false" outlineLevel="0" collapsed="false">
      <c r="A2953" s="3" t="s">
        <v>374</v>
      </c>
      <c r="B2953" s="4" t="s">
        <v>63</v>
      </c>
      <c r="C2953" s="4" t="n">
        <v>6</v>
      </c>
      <c r="D2953" s="4" t="s">
        <v>55</v>
      </c>
      <c r="E2953" s="3" t="s">
        <v>249</v>
      </c>
      <c r="F2953" s="4" t="str">
        <f aca="false">IF(I2953&gt;J2953,"Y","N")</f>
        <v>N</v>
      </c>
      <c r="G2953" s="3" t="s">
        <v>239</v>
      </c>
      <c r="H2953" s="3" t="s">
        <v>42</v>
      </c>
      <c r="I2953" s="4" t="n">
        <v>7</v>
      </c>
      <c r="J2953" s="4" t="n">
        <f aca="false">LEN(E2953)-LEN(SUBSTITUTE(E2953,",",""))+1</f>
        <v>7</v>
      </c>
      <c r="K2953" s="3" t="str">
        <f aca="false">IFERROR(INDEX('Teacher Lookup'!$B$2:$B$200,MATCH(A2953,'Teacher Lookup'!$A$2:$A$200,0)),"")</f>
        <v>SHUM Dorothy</v>
      </c>
    </row>
    <row r="2954" customFormat="false" ht="15" hidden="false" customHeight="false" outlineLevel="0" collapsed="false">
      <c r="A2954" s="3" t="s">
        <v>374</v>
      </c>
      <c r="B2954" s="4" t="s">
        <v>63</v>
      </c>
      <c r="C2954" s="4" t="n">
        <v>6</v>
      </c>
      <c r="D2954" s="4" t="s">
        <v>56</v>
      </c>
      <c r="E2954" s="3" t="s">
        <v>249</v>
      </c>
      <c r="F2954" s="4" t="str">
        <f aca="false">IF(I2954&gt;J2954,"Y","N")</f>
        <v>N</v>
      </c>
      <c r="G2954" s="3" t="s">
        <v>239</v>
      </c>
      <c r="H2954" s="3" t="s">
        <v>42</v>
      </c>
      <c r="I2954" s="4" t="n">
        <v>7</v>
      </c>
      <c r="J2954" s="4" t="n">
        <f aca="false">LEN(E2954)-LEN(SUBSTITUTE(E2954,",",""))+1</f>
        <v>7</v>
      </c>
      <c r="K2954" s="3" t="str">
        <f aca="false">IFERROR(INDEX('Teacher Lookup'!$B$2:$B$200,MATCH(A2954,'Teacher Lookup'!$A$2:$A$200,0)),"")</f>
        <v>SHUM Dorothy</v>
      </c>
    </row>
    <row r="2955" customFormat="false" ht="15" hidden="false" customHeight="false" outlineLevel="0" collapsed="false">
      <c r="A2955" s="3" t="s">
        <v>374</v>
      </c>
      <c r="B2955" s="4" t="s">
        <v>63</v>
      </c>
      <c r="C2955" s="4" t="n">
        <v>6</v>
      </c>
      <c r="D2955" s="4" t="s">
        <v>57</v>
      </c>
      <c r="E2955" s="3" t="s">
        <v>249</v>
      </c>
      <c r="F2955" s="4" t="str">
        <f aca="false">IF(I2955&gt;J2955,"Y","N")</f>
        <v>N</v>
      </c>
      <c r="G2955" s="3" t="s">
        <v>239</v>
      </c>
      <c r="H2955" s="3" t="s">
        <v>42</v>
      </c>
      <c r="I2955" s="4" t="n">
        <v>7</v>
      </c>
      <c r="J2955" s="4" t="n">
        <f aca="false">LEN(E2955)-LEN(SUBSTITUTE(E2955,",",""))+1</f>
        <v>7</v>
      </c>
      <c r="K2955" s="3" t="str">
        <f aca="false">IFERROR(INDEX('Teacher Lookup'!$B$2:$B$200,MATCH(A2955,'Teacher Lookup'!$A$2:$A$200,0)),"")</f>
        <v>SHUM Dorothy</v>
      </c>
    </row>
    <row r="2956" customFormat="false" ht="15" hidden="false" customHeight="false" outlineLevel="0" collapsed="false">
      <c r="A2956" s="3" t="s">
        <v>374</v>
      </c>
      <c r="B2956" s="4" t="s">
        <v>63</v>
      </c>
      <c r="C2956" s="4" t="n">
        <v>6</v>
      </c>
      <c r="D2956" s="4" t="s">
        <v>58</v>
      </c>
      <c r="E2956" s="3" t="s">
        <v>249</v>
      </c>
      <c r="F2956" s="4" t="str">
        <f aca="false">IF(I2956&gt;J2956,"Y","N")</f>
        <v>N</v>
      </c>
      <c r="G2956" s="3" t="s">
        <v>239</v>
      </c>
      <c r="H2956" s="3" t="s">
        <v>42</v>
      </c>
      <c r="I2956" s="4" t="n">
        <v>7</v>
      </c>
      <c r="J2956" s="4" t="n">
        <f aca="false">LEN(E2956)-LEN(SUBSTITUTE(E2956,",",""))+1</f>
        <v>7</v>
      </c>
      <c r="K2956" s="3" t="str">
        <f aca="false">IFERROR(INDEX('Teacher Lookup'!$B$2:$B$200,MATCH(A2956,'Teacher Lookup'!$A$2:$A$200,0)),"")</f>
        <v>SHUM Dorothy</v>
      </c>
    </row>
    <row r="2957" customFormat="false" ht="15" hidden="false" customHeight="false" outlineLevel="0" collapsed="false">
      <c r="A2957" s="3" t="s">
        <v>374</v>
      </c>
      <c r="B2957" s="4" t="s">
        <v>63</v>
      </c>
      <c r="C2957" s="4" t="n">
        <v>6</v>
      </c>
      <c r="D2957" s="4" t="s">
        <v>59</v>
      </c>
      <c r="E2957" s="3" t="s">
        <v>249</v>
      </c>
      <c r="F2957" s="4" t="str">
        <f aca="false">IF(I2957&gt;J2957,"Y","N")</f>
        <v>N</v>
      </c>
      <c r="G2957" s="3" t="s">
        <v>239</v>
      </c>
      <c r="H2957" s="3" t="s">
        <v>42</v>
      </c>
      <c r="I2957" s="4" t="n">
        <v>7</v>
      </c>
      <c r="J2957" s="4" t="n">
        <f aca="false">LEN(E2957)-LEN(SUBSTITUTE(E2957,",",""))+1</f>
        <v>7</v>
      </c>
      <c r="K2957" s="3" t="str">
        <f aca="false">IFERROR(INDEX('Teacher Lookup'!$B$2:$B$200,MATCH(A2957,'Teacher Lookup'!$A$2:$A$200,0)),"")</f>
        <v>SHUM Dorothy</v>
      </c>
    </row>
    <row r="2958" customFormat="false" ht="15" hidden="false" customHeight="false" outlineLevel="0" collapsed="false">
      <c r="A2958" s="3" t="s">
        <v>374</v>
      </c>
      <c r="B2958" s="4" t="s">
        <v>65</v>
      </c>
      <c r="C2958" s="4" t="n">
        <v>1</v>
      </c>
      <c r="D2958" s="4" t="s">
        <v>228</v>
      </c>
      <c r="E2958" s="3" t="s">
        <v>134</v>
      </c>
      <c r="F2958" s="4" t="str">
        <f aca="false">IF(I2958&gt;J2958,"Y","N")</f>
        <v>N</v>
      </c>
      <c r="G2958" s="3" t="s">
        <v>312</v>
      </c>
      <c r="H2958" s="3" t="s">
        <v>16</v>
      </c>
      <c r="I2958" s="4" t="n">
        <v>1</v>
      </c>
      <c r="J2958" s="4" t="n">
        <f aca="false">LEN(E2958)-LEN(SUBSTITUTE(E2958,",",""))+1</f>
        <v>1</v>
      </c>
      <c r="K2958" s="3" t="str">
        <f aca="false">IFERROR(INDEX('Teacher Lookup'!$B$2:$B$200,MATCH(A2958,'Teacher Lookup'!$A$2:$A$200,0)),"")</f>
        <v>SHUM Dorothy</v>
      </c>
    </row>
    <row r="2959" customFormat="false" ht="15" hidden="false" customHeight="false" outlineLevel="0" collapsed="false">
      <c r="A2959" s="3" t="s">
        <v>374</v>
      </c>
      <c r="B2959" s="4" t="s">
        <v>65</v>
      </c>
      <c r="C2959" s="4" t="n">
        <v>5</v>
      </c>
      <c r="D2959" s="4" t="s">
        <v>228</v>
      </c>
      <c r="E2959" s="3" t="s">
        <v>229</v>
      </c>
      <c r="F2959" s="4" t="str">
        <f aca="false">IF(I2959&gt;J2959,"Y","N")</f>
        <v>Y</v>
      </c>
      <c r="G2959" s="3" t="s">
        <v>36</v>
      </c>
      <c r="H2959" s="3" t="s">
        <v>37</v>
      </c>
      <c r="I2959" s="4" t="n">
        <v>14</v>
      </c>
      <c r="J2959" s="4" t="n">
        <f aca="false">LEN(E2959)-LEN(SUBSTITUTE(E2959,",",""))+1</f>
        <v>6</v>
      </c>
      <c r="K2959" s="3" t="str">
        <f aca="false">IFERROR(INDEX('Teacher Lookup'!$B$2:$B$200,MATCH(A2959,'Teacher Lookup'!$A$2:$A$200,0)),"")</f>
        <v>SHUM Dorothy</v>
      </c>
    </row>
    <row r="2960" customFormat="false" ht="15" hidden="false" customHeight="false" outlineLevel="0" collapsed="false">
      <c r="A2960" s="3" t="s">
        <v>374</v>
      </c>
      <c r="B2960" s="4" t="s">
        <v>65</v>
      </c>
      <c r="C2960" s="4" t="n">
        <v>5</v>
      </c>
      <c r="D2960" s="4" t="s">
        <v>102</v>
      </c>
      <c r="E2960" s="3" t="s">
        <v>229</v>
      </c>
      <c r="F2960" s="4" t="str">
        <f aca="false">IF(I2960&gt;J2960,"Y","N")</f>
        <v>Y</v>
      </c>
      <c r="G2960" s="3" t="s">
        <v>36</v>
      </c>
      <c r="H2960" s="3" t="s">
        <v>37</v>
      </c>
      <c r="I2960" s="4" t="n">
        <v>14</v>
      </c>
      <c r="J2960" s="4" t="n">
        <f aca="false">LEN(E2960)-LEN(SUBSTITUTE(E2960,",",""))+1</f>
        <v>6</v>
      </c>
      <c r="K2960" s="3" t="str">
        <f aca="false">IFERROR(INDEX('Teacher Lookup'!$B$2:$B$200,MATCH(A2960,'Teacher Lookup'!$A$2:$A$200,0)),"")</f>
        <v>SHUM Dorothy</v>
      </c>
    </row>
    <row r="2961" customFormat="false" ht="15" hidden="false" customHeight="false" outlineLevel="0" collapsed="false">
      <c r="A2961" s="3" t="s">
        <v>374</v>
      </c>
      <c r="B2961" s="4" t="s">
        <v>65</v>
      </c>
      <c r="C2961" s="4" t="n">
        <v>5</v>
      </c>
      <c r="D2961" s="4" t="s">
        <v>105</v>
      </c>
      <c r="E2961" s="3" t="s">
        <v>229</v>
      </c>
      <c r="F2961" s="4" t="str">
        <f aca="false">IF(I2961&gt;J2961,"Y","N")</f>
        <v>Y</v>
      </c>
      <c r="G2961" s="3" t="s">
        <v>36</v>
      </c>
      <c r="H2961" s="3" t="s">
        <v>37</v>
      </c>
      <c r="I2961" s="4" t="n">
        <v>14</v>
      </c>
      <c r="J2961" s="4" t="n">
        <f aca="false">LEN(E2961)-LEN(SUBSTITUTE(E2961,",",""))+1</f>
        <v>6</v>
      </c>
      <c r="K2961" s="3" t="str">
        <f aca="false">IFERROR(INDEX('Teacher Lookup'!$B$2:$B$200,MATCH(A2961,'Teacher Lookup'!$A$2:$A$200,0)),"")</f>
        <v>SHUM Dorothy</v>
      </c>
    </row>
    <row r="2962" customFormat="false" ht="15" hidden="false" customHeight="false" outlineLevel="0" collapsed="false">
      <c r="A2962" s="3" t="s">
        <v>374</v>
      </c>
      <c r="B2962" s="4" t="s">
        <v>65</v>
      </c>
      <c r="C2962" s="4" t="n">
        <v>5</v>
      </c>
      <c r="D2962" s="4" t="s">
        <v>106</v>
      </c>
      <c r="E2962" s="3" t="s">
        <v>229</v>
      </c>
      <c r="F2962" s="4" t="str">
        <f aca="false">IF(I2962&gt;J2962,"Y","N")</f>
        <v>Y</v>
      </c>
      <c r="G2962" s="3" t="s">
        <v>36</v>
      </c>
      <c r="H2962" s="3" t="s">
        <v>37</v>
      </c>
      <c r="I2962" s="4" t="n">
        <v>14</v>
      </c>
      <c r="J2962" s="4" t="n">
        <f aca="false">LEN(E2962)-LEN(SUBSTITUTE(E2962,",",""))+1</f>
        <v>6</v>
      </c>
      <c r="K2962" s="3" t="str">
        <f aca="false">IFERROR(INDEX('Teacher Lookup'!$B$2:$B$200,MATCH(A2962,'Teacher Lookup'!$A$2:$A$200,0)),"")</f>
        <v>SHUM Dorothy</v>
      </c>
    </row>
    <row r="2963" customFormat="false" ht="15" hidden="false" customHeight="false" outlineLevel="0" collapsed="false">
      <c r="A2963" s="3" t="s">
        <v>374</v>
      </c>
      <c r="B2963" s="4" t="s">
        <v>65</v>
      </c>
      <c r="C2963" s="4" t="n">
        <v>5</v>
      </c>
      <c r="D2963" s="4" t="s">
        <v>107</v>
      </c>
      <c r="E2963" s="3" t="s">
        <v>229</v>
      </c>
      <c r="F2963" s="4" t="str">
        <f aca="false">IF(I2963&gt;J2963,"Y","N")</f>
        <v>Y</v>
      </c>
      <c r="G2963" s="3" t="s">
        <v>36</v>
      </c>
      <c r="H2963" s="3" t="s">
        <v>37</v>
      </c>
      <c r="I2963" s="4" t="n">
        <v>14</v>
      </c>
      <c r="J2963" s="4" t="n">
        <f aca="false">LEN(E2963)-LEN(SUBSTITUTE(E2963,",",""))+1</f>
        <v>6</v>
      </c>
      <c r="K2963" s="3" t="str">
        <f aca="false">IFERROR(INDEX('Teacher Lookup'!$B$2:$B$200,MATCH(A2963,'Teacher Lookup'!$A$2:$A$200,0)),"")</f>
        <v>SHUM Dorothy</v>
      </c>
    </row>
    <row r="2964" customFormat="false" ht="15" hidden="false" customHeight="false" outlineLevel="0" collapsed="false">
      <c r="A2964" s="3" t="s">
        <v>374</v>
      </c>
      <c r="B2964" s="4" t="s">
        <v>65</v>
      </c>
      <c r="C2964" s="4" t="n">
        <v>7</v>
      </c>
      <c r="D2964" s="4" t="s">
        <v>52</v>
      </c>
      <c r="E2964" s="3" t="s">
        <v>251</v>
      </c>
      <c r="F2964" s="4" t="str">
        <f aca="false">IF(I2964&gt;J2964,"Y","N")</f>
        <v>N</v>
      </c>
      <c r="G2964" s="3" t="s">
        <v>239</v>
      </c>
      <c r="H2964" s="3" t="s">
        <v>39</v>
      </c>
      <c r="I2964" s="4" t="n">
        <v>7</v>
      </c>
      <c r="J2964" s="4" t="n">
        <f aca="false">LEN(E2964)-LEN(SUBSTITUTE(E2964,",",""))+1</f>
        <v>7</v>
      </c>
      <c r="K2964" s="3" t="str">
        <f aca="false">IFERROR(INDEX('Teacher Lookup'!$B$2:$B$200,MATCH(A2964,'Teacher Lookup'!$A$2:$A$200,0)),"")</f>
        <v>SHUM Dorothy</v>
      </c>
    </row>
    <row r="2965" customFormat="false" ht="15" hidden="false" customHeight="false" outlineLevel="0" collapsed="false">
      <c r="A2965" s="3" t="s">
        <v>374</v>
      </c>
      <c r="B2965" s="4" t="s">
        <v>65</v>
      </c>
      <c r="C2965" s="4" t="n">
        <v>7</v>
      </c>
      <c r="D2965" s="4" t="s">
        <v>55</v>
      </c>
      <c r="E2965" s="3" t="s">
        <v>251</v>
      </c>
      <c r="F2965" s="4" t="str">
        <f aca="false">IF(I2965&gt;J2965,"Y","N")</f>
        <v>N</v>
      </c>
      <c r="G2965" s="3" t="s">
        <v>239</v>
      </c>
      <c r="H2965" s="3" t="s">
        <v>39</v>
      </c>
      <c r="I2965" s="4" t="n">
        <v>7</v>
      </c>
      <c r="J2965" s="4" t="n">
        <f aca="false">LEN(E2965)-LEN(SUBSTITUTE(E2965,",",""))+1</f>
        <v>7</v>
      </c>
      <c r="K2965" s="3" t="str">
        <f aca="false">IFERROR(INDEX('Teacher Lookup'!$B$2:$B$200,MATCH(A2965,'Teacher Lookup'!$A$2:$A$200,0)),"")</f>
        <v>SHUM Dorothy</v>
      </c>
    </row>
    <row r="2966" customFormat="false" ht="15" hidden="false" customHeight="false" outlineLevel="0" collapsed="false">
      <c r="A2966" s="3" t="s">
        <v>374</v>
      </c>
      <c r="B2966" s="4" t="s">
        <v>65</v>
      </c>
      <c r="C2966" s="4" t="n">
        <v>7</v>
      </c>
      <c r="D2966" s="4" t="s">
        <v>56</v>
      </c>
      <c r="E2966" s="3" t="s">
        <v>251</v>
      </c>
      <c r="F2966" s="4" t="str">
        <f aca="false">IF(I2966&gt;J2966,"Y","N")</f>
        <v>N</v>
      </c>
      <c r="G2966" s="3" t="s">
        <v>239</v>
      </c>
      <c r="H2966" s="3" t="s">
        <v>39</v>
      </c>
      <c r="I2966" s="4" t="n">
        <v>7</v>
      </c>
      <c r="J2966" s="4" t="n">
        <f aca="false">LEN(E2966)-LEN(SUBSTITUTE(E2966,",",""))+1</f>
        <v>7</v>
      </c>
      <c r="K2966" s="3" t="str">
        <f aca="false">IFERROR(INDEX('Teacher Lookup'!$B$2:$B$200,MATCH(A2966,'Teacher Lookup'!$A$2:$A$200,0)),"")</f>
        <v>SHUM Dorothy</v>
      </c>
    </row>
    <row r="2967" customFormat="false" ht="15" hidden="false" customHeight="false" outlineLevel="0" collapsed="false">
      <c r="A2967" s="3" t="s">
        <v>374</v>
      </c>
      <c r="B2967" s="4" t="s">
        <v>65</v>
      </c>
      <c r="C2967" s="4" t="n">
        <v>7</v>
      </c>
      <c r="D2967" s="4" t="s">
        <v>57</v>
      </c>
      <c r="E2967" s="3" t="s">
        <v>251</v>
      </c>
      <c r="F2967" s="4" t="str">
        <f aca="false">IF(I2967&gt;J2967,"Y","N")</f>
        <v>N</v>
      </c>
      <c r="G2967" s="3" t="s">
        <v>239</v>
      </c>
      <c r="H2967" s="3" t="s">
        <v>39</v>
      </c>
      <c r="I2967" s="4" t="n">
        <v>7</v>
      </c>
      <c r="J2967" s="4" t="n">
        <f aca="false">LEN(E2967)-LEN(SUBSTITUTE(E2967,",",""))+1</f>
        <v>7</v>
      </c>
      <c r="K2967" s="3" t="str">
        <f aca="false">IFERROR(INDEX('Teacher Lookup'!$B$2:$B$200,MATCH(A2967,'Teacher Lookup'!$A$2:$A$200,0)),"")</f>
        <v>SHUM Dorothy</v>
      </c>
    </row>
    <row r="2968" customFormat="false" ht="15" hidden="false" customHeight="false" outlineLevel="0" collapsed="false">
      <c r="A2968" s="3" t="s">
        <v>374</v>
      </c>
      <c r="B2968" s="4" t="s">
        <v>65</v>
      </c>
      <c r="C2968" s="4" t="n">
        <v>7</v>
      </c>
      <c r="D2968" s="4" t="s">
        <v>58</v>
      </c>
      <c r="E2968" s="3" t="s">
        <v>251</v>
      </c>
      <c r="F2968" s="4" t="str">
        <f aca="false">IF(I2968&gt;J2968,"Y","N")</f>
        <v>N</v>
      </c>
      <c r="G2968" s="3" t="s">
        <v>239</v>
      </c>
      <c r="H2968" s="3" t="s">
        <v>39</v>
      </c>
      <c r="I2968" s="4" t="n">
        <v>7</v>
      </c>
      <c r="J2968" s="4" t="n">
        <f aca="false">LEN(E2968)-LEN(SUBSTITUTE(E2968,",",""))+1</f>
        <v>7</v>
      </c>
      <c r="K2968" s="3" t="str">
        <f aca="false">IFERROR(INDEX('Teacher Lookup'!$B$2:$B$200,MATCH(A2968,'Teacher Lookup'!$A$2:$A$200,0)),"")</f>
        <v>SHUM Dorothy</v>
      </c>
    </row>
    <row r="2969" customFormat="false" ht="15" hidden="false" customHeight="false" outlineLevel="0" collapsed="false">
      <c r="A2969" s="3" t="s">
        <v>374</v>
      </c>
      <c r="B2969" s="4" t="s">
        <v>65</v>
      </c>
      <c r="C2969" s="4" t="n">
        <v>7</v>
      </c>
      <c r="D2969" s="4" t="s">
        <v>59</v>
      </c>
      <c r="E2969" s="3" t="s">
        <v>251</v>
      </c>
      <c r="F2969" s="4" t="str">
        <f aca="false">IF(I2969&gt;J2969,"Y","N")</f>
        <v>N</v>
      </c>
      <c r="G2969" s="3" t="s">
        <v>239</v>
      </c>
      <c r="H2969" s="3" t="s">
        <v>39</v>
      </c>
      <c r="I2969" s="4" t="n">
        <v>7</v>
      </c>
      <c r="J2969" s="4" t="n">
        <f aca="false">LEN(E2969)-LEN(SUBSTITUTE(E2969,",",""))+1</f>
        <v>7</v>
      </c>
      <c r="K2969" s="3" t="str">
        <f aca="false">IFERROR(INDEX('Teacher Lookup'!$B$2:$B$200,MATCH(A2969,'Teacher Lookup'!$A$2:$A$200,0)),"")</f>
        <v>SHUM Dorothy</v>
      </c>
    </row>
    <row r="2970" customFormat="false" ht="15" hidden="false" customHeight="false" outlineLevel="0" collapsed="false">
      <c r="A2970" s="3" t="s">
        <v>374</v>
      </c>
      <c r="B2970" s="4" t="s">
        <v>66</v>
      </c>
      <c r="C2970" s="4" t="n">
        <v>1</v>
      </c>
      <c r="D2970" s="4" t="s">
        <v>52</v>
      </c>
      <c r="E2970" s="3" t="s">
        <v>252</v>
      </c>
      <c r="F2970" s="4" t="str">
        <f aca="false">IF(I2970&gt;J2970,"Y","N")</f>
        <v>N</v>
      </c>
      <c r="G2970" s="3" t="s">
        <v>239</v>
      </c>
      <c r="H2970" s="3" t="s">
        <v>16</v>
      </c>
      <c r="I2970" s="4" t="n">
        <v>7</v>
      </c>
      <c r="J2970" s="4" t="n">
        <f aca="false">LEN(E2970)-LEN(SUBSTITUTE(E2970,",",""))+1</f>
        <v>7</v>
      </c>
      <c r="K2970" s="3" t="str">
        <f aca="false">IFERROR(INDEX('Teacher Lookup'!$B$2:$B$200,MATCH(A2970,'Teacher Lookup'!$A$2:$A$200,0)),"")</f>
        <v>SHUM Dorothy</v>
      </c>
    </row>
    <row r="2971" customFormat="false" ht="15" hidden="false" customHeight="false" outlineLevel="0" collapsed="false">
      <c r="A2971" s="3" t="s">
        <v>374</v>
      </c>
      <c r="B2971" s="4" t="s">
        <v>66</v>
      </c>
      <c r="C2971" s="4" t="n">
        <v>1</v>
      </c>
      <c r="D2971" s="4" t="s">
        <v>55</v>
      </c>
      <c r="E2971" s="3" t="s">
        <v>252</v>
      </c>
      <c r="F2971" s="4" t="str">
        <f aca="false">IF(I2971&gt;J2971,"Y","N")</f>
        <v>N</v>
      </c>
      <c r="G2971" s="3" t="s">
        <v>239</v>
      </c>
      <c r="H2971" s="3" t="s">
        <v>16</v>
      </c>
      <c r="I2971" s="4" t="n">
        <v>7</v>
      </c>
      <c r="J2971" s="4" t="n">
        <f aca="false">LEN(E2971)-LEN(SUBSTITUTE(E2971,",",""))+1</f>
        <v>7</v>
      </c>
      <c r="K2971" s="3" t="str">
        <f aca="false">IFERROR(INDEX('Teacher Lookup'!$B$2:$B$200,MATCH(A2971,'Teacher Lookup'!$A$2:$A$200,0)),"")</f>
        <v>SHUM Dorothy</v>
      </c>
    </row>
    <row r="2972" customFormat="false" ht="15" hidden="false" customHeight="false" outlineLevel="0" collapsed="false">
      <c r="A2972" s="3" t="s">
        <v>374</v>
      </c>
      <c r="B2972" s="4" t="s">
        <v>66</v>
      </c>
      <c r="C2972" s="4" t="n">
        <v>1</v>
      </c>
      <c r="D2972" s="4" t="s">
        <v>56</v>
      </c>
      <c r="E2972" s="3" t="s">
        <v>252</v>
      </c>
      <c r="F2972" s="4" t="str">
        <f aca="false">IF(I2972&gt;J2972,"Y","N")</f>
        <v>N</v>
      </c>
      <c r="G2972" s="3" t="s">
        <v>239</v>
      </c>
      <c r="H2972" s="3" t="s">
        <v>16</v>
      </c>
      <c r="I2972" s="4" t="n">
        <v>7</v>
      </c>
      <c r="J2972" s="4" t="n">
        <f aca="false">LEN(E2972)-LEN(SUBSTITUTE(E2972,",",""))+1</f>
        <v>7</v>
      </c>
      <c r="K2972" s="3" t="str">
        <f aca="false">IFERROR(INDEX('Teacher Lookup'!$B$2:$B$200,MATCH(A2972,'Teacher Lookup'!$A$2:$A$200,0)),"")</f>
        <v>SHUM Dorothy</v>
      </c>
    </row>
    <row r="2973" customFormat="false" ht="15" hidden="false" customHeight="false" outlineLevel="0" collapsed="false">
      <c r="A2973" s="3" t="s">
        <v>374</v>
      </c>
      <c r="B2973" s="4" t="s">
        <v>66</v>
      </c>
      <c r="C2973" s="4" t="n">
        <v>1</v>
      </c>
      <c r="D2973" s="4" t="s">
        <v>57</v>
      </c>
      <c r="E2973" s="3" t="s">
        <v>252</v>
      </c>
      <c r="F2973" s="4" t="str">
        <f aca="false">IF(I2973&gt;J2973,"Y","N")</f>
        <v>N</v>
      </c>
      <c r="G2973" s="3" t="s">
        <v>239</v>
      </c>
      <c r="H2973" s="3" t="s">
        <v>16</v>
      </c>
      <c r="I2973" s="4" t="n">
        <v>7</v>
      </c>
      <c r="J2973" s="4" t="n">
        <f aca="false">LEN(E2973)-LEN(SUBSTITUTE(E2973,",",""))+1</f>
        <v>7</v>
      </c>
      <c r="K2973" s="3" t="str">
        <f aca="false">IFERROR(INDEX('Teacher Lookup'!$B$2:$B$200,MATCH(A2973,'Teacher Lookup'!$A$2:$A$200,0)),"")</f>
        <v>SHUM Dorothy</v>
      </c>
    </row>
    <row r="2974" customFormat="false" ht="15" hidden="false" customHeight="false" outlineLevel="0" collapsed="false">
      <c r="A2974" s="3" t="s">
        <v>374</v>
      </c>
      <c r="B2974" s="4" t="s">
        <v>66</v>
      </c>
      <c r="C2974" s="4" t="n">
        <v>1</v>
      </c>
      <c r="D2974" s="4" t="s">
        <v>58</v>
      </c>
      <c r="E2974" s="3" t="s">
        <v>252</v>
      </c>
      <c r="F2974" s="4" t="str">
        <f aca="false">IF(I2974&gt;J2974,"Y","N")</f>
        <v>N</v>
      </c>
      <c r="G2974" s="3" t="s">
        <v>239</v>
      </c>
      <c r="H2974" s="3" t="s">
        <v>16</v>
      </c>
      <c r="I2974" s="4" t="n">
        <v>7</v>
      </c>
      <c r="J2974" s="4" t="n">
        <f aca="false">LEN(E2974)-LEN(SUBSTITUTE(E2974,",",""))+1</f>
        <v>7</v>
      </c>
      <c r="K2974" s="3" t="str">
        <f aca="false">IFERROR(INDEX('Teacher Lookup'!$B$2:$B$200,MATCH(A2974,'Teacher Lookup'!$A$2:$A$200,0)),"")</f>
        <v>SHUM Dorothy</v>
      </c>
    </row>
    <row r="2975" customFormat="false" ht="15" hidden="false" customHeight="false" outlineLevel="0" collapsed="false">
      <c r="A2975" s="3" t="s">
        <v>374</v>
      </c>
      <c r="B2975" s="4" t="s">
        <v>66</v>
      </c>
      <c r="C2975" s="4" t="n">
        <v>1</v>
      </c>
      <c r="D2975" s="4" t="s">
        <v>59</v>
      </c>
      <c r="E2975" s="3" t="s">
        <v>252</v>
      </c>
      <c r="F2975" s="4" t="str">
        <f aca="false">IF(I2975&gt;J2975,"Y","N")</f>
        <v>N</v>
      </c>
      <c r="G2975" s="3" t="s">
        <v>239</v>
      </c>
      <c r="H2975" s="3" t="s">
        <v>16</v>
      </c>
      <c r="I2975" s="4" t="n">
        <v>7</v>
      </c>
      <c r="J2975" s="4" t="n">
        <f aca="false">LEN(E2975)-LEN(SUBSTITUTE(E2975,",",""))+1</f>
        <v>7</v>
      </c>
      <c r="K2975" s="3" t="str">
        <f aca="false">IFERROR(INDEX('Teacher Lookup'!$B$2:$B$200,MATCH(A2975,'Teacher Lookup'!$A$2:$A$200,0)),"")</f>
        <v>SHUM Dorothy</v>
      </c>
    </row>
    <row r="2976" customFormat="false" ht="15" hidden="false" customHeight="false" outlineLevel="0" collapsed="false">
      <c r="A2976" s="3" t="s">
        <v>374</v>
      </c>
      <c r="B2976" s="4" t="s">
        <v>66</v>
      </c>
      <c r="C2976" s="4" t="n">
        <v>6</v>
      </c>
      <c r="D2976" s="4" t="s">
        <v>228</v>
      </c>
      <c r="E2976" s="3" t="s">
        <v>134</v>
      </c>
      <c r="F2976" s="4" t="str">
        <f aca="false">IF(I2976&gt;J2976,"Y","N")</f>
        <v>N</v>
      </c>
      <c r="G2976" s="3" t="s">
        <v>312</v>
      </c>
      <c r="H2976" s="3" t="s">
        <v>42</v>
      </c>
      <c r="I2976" s="4" t="n">
        <v>1</v>
      </c>
      <c r="J2976" s="4" t="n">
        <f aca="false">LEN(E2976)-LEN(SUBSTITUTE(E2976,",",""))+1</f>
        <v>1</v>
      </c>
      <c r="K2976" s="3" t="str">
        <f aca="false">IFERROR(INDEX('Teacher Lookup'!$B$2:$B$200,MATCH(A2976,'Teacher Lookup'!$A$2:$A$200,0)),"")</f>
        <v>SHUM Dorothy</v>
      </c>
    </row>
    <row r="2977" customFormat="false" ht="15" hidden="false" customHeight="false" outlineLevel="0" collapsed="false">
      <c r="A2977" s="3" t="s">
        <v>374</v>
      </c>
      <c r="B2977" s="4" t="s">
        <v>66</v>
      </c>
      <c r="C2977" s="4" t="n">
        <v>7</v>
      </c>
      <c r="D2977" s="4" t="s">
        <v>228</v>
      </c>
      <c r="E2977" s="3" t="s">
        <v>134</v>
      </c>
      <c r="F2977" s="4" t="str">
        <f aca="false">IF(I2977&gt;J2977,"Y","N")</f>
        <v>N</v>
      </c>
      <c r="G2977" s="3" t="s">
        <v>312</v>
      </c>
      <c r="H2977" s="3" t="s">
        <v>39</v>
      </c>
      <c r="I2977" s="4" t="n">
        <v>1</v>
      </c>
      <c r="J2977" s="4" t="n">
        <f aca="false">LEN(E2977)-LEN(SUBSTITUTE(E2977,",",""))+1</f>
        <v>1</v>
      </c>
      <c r="K2977" s="3" t="str">
        <f aca="false">IFERROR(INDEX('Teacher Lookup'!$B$2:$B$200,MATCH(A2977,'Teacher Lookup'!$A$2:$A$200,0)),"")</f>
        <v>SHUM Dorothy</v>
      </c>
    </row>
    <row r="2978" customFormat="false" ht="15" hidden="false" customHeight="false" outlineLevel="0" collapsed="false">
      <c r="A2978" s="3" t="s">
        <v>375</v>
      </c>
      <c r="B2978" s="4" t="s">
        <v>12</v>
      </c>
      <c r="C2978" s="4" t="n">
        <v>3</v>
      </c>
      <c r="D2978" s="4" t="s">
        <v>52</v>
      </c>
      <c r="E2978" s="3" t="s">
        <v>100</v>
      </c>
      <c r="F2978" s="4" t="str">
        <f aca="false">IF(I2978&gt;J2978,"Y","N")</f>
        <v>N</v>
      </c>
      <c r="G2978" s="3" t="s">
        <v>101</v>
      </c>
      <c r="H2978" s="3" t="s">
        <v>26</v>
      </c>
      <c r="I2978" s="4" t="n">
        <v>8</v>
      </c>
      <c r="J2978" s="4" t="n">
        <f aca="false">LEN(E2978)-LEN(SUBSTITUTE(E2978,",",""))+1</f>
        <v>8</v>
      </c>
      <c r="K2978" s="3" t="str">
        <f aca="false">IFERROR(INDEX('Teacher Lookup'!$B$2:$B$200,MATCH(A2978,'Teacher Lookup'!$A$2:$A$200,0)),"")</f>
        <v>WAN Damon</v>
      </c>
    </row>
    <row r="2979" customFormat="false" ht="15" hidden="false" customHeight="false" outlineLevel="0" collapsed="false">
      <c r="A2979" s="3" t="s">
        <v>375</v>
      </c>
      <c r="B2979" s="4" t="s">
        <v>12</v>
      </c>
      <c r="C2979" s="4" t="n">
        <v>3</v>
      </c>
      <c r="D2979" s="4" t="s">
        <v>55</v>
      </c>
      <c r="E2979" s="3" t="s">
        <v>100</v>
      </c>
      <c r="F2979" s="4" t="str">
        <f aca="false">IF(I2979&gt;J2979,"Y","N")</f>
        <v>N</v>
      </c>
      <c r="G2979" s="3" t="s">
        <v>101</v>
      </c>
      <c r="H2979" s="3" t="s">
        <v>26</v>
      </c>
      <c r="I2979" s="4" t="n">
        <v>8</v>
      </c>
      <c r="J2979" s="4" t="n">
        <f aca="false">LEN(E2979)-LEN(SUBSTITUTE(E2979,",",""))+1</f>
        <v>8</v>
      </c>
      <c r="K2979" s="3" t="str">
        <f aca="false">IFERROR(INDEX('Teacher Lookup'!$B$2:$B$200,MATCH(A2979,'Teacher Lookup'!$A$2:$A$200,0)),"")</f>
        <v>WAN Damon</v>
      </c>
    </row>
    <row r="2980" customFormat="false" ht="15" hidden="false" customHeight="false" outlineLevel="0" collapsed="false">
      <c r="A2980" s="3" t="s">
        <v>375</v>
      </c>
      <c r="B2980" s="4" t="s">
        <v>12</v>
      </c>
      <c r="C2980" s="4" t="n">
        <v>3</v>
      </c>
      <c r="D2980" s="4" t="s">
        <v>56</v>
      </c>
      <c r="E2980" s="3" t="s">
        <v>100</v>
      </c>
      <c r="F2980" s="4" t="str">
        <f aca="false">IF(I2980&gt;J2980,"Y","N")</f>
        <v>N</v>
      </c>
      <c r="G2980" s="3" t="s">
        <v>101</v>
      </c>
      <c r="H2980" s="3" t="s">
        <v>26</v>
      </c>
      <c r="I2980" s="4" t="n">
        <v>8</v>
      </c>
      <c r="J2980" s="4" t="n">
        <f aca="false">LEN(E2980)-LEN(SUBSTITUTE(E2980,",",""))+1</f>
        <v>8</v>
      </c>
      <c r="K2980" s="3" t="str">
        <f aca="false">IFERROR(INDEX('Teacher Lookup'!$B$2:$B$200,MATCH(A2980,'Teacher Lookup'!$A$2:$A$200,0)),"")</f>
        <v>WAN Damon</v>
      </c>
    </row>
    <row r="2981" customFormat="false" ht="15" hidden="false" customHeight="false" outlineLevel="0" collapsed="false">
      <c r="A2981" s="3" t="s">
        <v>375</v>
      </c>
      <c r="B2981" s="4" t="s">
        <v>12</v>
      </c>
      <c r="C2981" s="4" t="n">
        <v>3</v>
      </c>
      <c r="D2981" s="4" t="s">
        <v>57</v>
      </c>
      <c r="E2981" s="3" t="s">
        <v>100</v>
      </c>
      <c r="F2981" s="4" t="str">
        <f aca="false">IF(I2981&gt;J2981,"Y","N")</f>
        <v>N</v>
      </c>
      <c r="G2981" s="3" t="s">
        <v>101</v>
      </c>
      <c r="H2981" s="3" t="s">
        <v>26</v>
      </c>
      <c r="I2981" s="4" t="n">
        <v>8</v>
      </c>
      <c r="J2981" s="4" t="n">
        <f aca="false">LEN(E2981)-LEN(SUBSTITUTE(E2981,",",""))+1</f>
        <v>8</v>
      </c>
      <c r="K2981" s="3" t="str">
        <f aca="false">IFERROR(INDEX('Teacher Lookup'!$B$2:$B$200,MATCH(A2981,'Teacher Lookup'!$A$2:$A$200,0)),"")</f>
        <v>WAN Damon</v>
      </c>
    </row>
    <row r="2982" customFormat="false" ht="15" hidden="false" customHeight="false" outlineLevel="0" collapsed="false">
      <c r="A2982" s="3" t="s">
        <v>375</v>
      </c>
      <c r="B2982" s="4" t="s">
        <v>12</v>
      </c>
      <c r="C2982" s="4" t="n">
        <v>3</v>
      </c>
      <c r="D2982" s="4" t="s">
        <v>58</v>
      </c>
      <c r="E2982" s="3" t="s">
        <v>100</v>
      </c>
      <c r="F2982" s="4" t="str">
        <f aca="false">IF(I2982&gt;J2982,"Y","N")</f>
        <v>N</v>
      </c>
      <c r="G2982" s="3" t="s">
        <v>101</v>
      </c>
      <c r="H2982" s="3" t="s">
        <v>26</v>
      </c>
      <c r="I2982" s="4" t="n">
        <v>8</v>
      </c>
      <c r="J2982" s="4" t="n">
        <f aca="false">LEN(E2982)-LEN(SUBSTITUTE(E2982,",",""))+1</f>
        <v>8</v>
      </c>
      <c r="K2982" s="3" t="str">
        <f aca="false">IFERROR(INDEX('Teacher Lookup'!$B$2:$B$200,MATCH(A2982,'Teacher Lookup'!$A$2:$A$200,0)),"")</f>
        <v>WAN Damon</v>
      </c>
    </row>
    <row r="2983" customFormat="false" ht="15" hidden="false" customHeight="false" outlineLevel="0" collapsed="false">
      <c r="A2983" s="3" t="s">
        <v>375</v>
      </c>
      <c r="B2983" s="4" t="s">
        <v>12</v>
      </c>
      <c r="C2983" s="4" t="n">
        <v>3</v>
      </c>
      <c r="D2983" s="4" t="s">
        <v>59</v>
      </c>
      <c r="E2983" s="3" t="s">
        <v>100</v>
      </c>
      <c r="F2983" s="4" t="str">
        <f aca="false">IF(I2983&gt;J2983,"Y","N")</f>
        <v>N</v>
      </c>
      <c r="G2983" s="3" t="s">
        <v>101</v>
      </c>
      <c r="H2983" s="3" t="s">
        <v>26</v>
      </c>
      <c r="I2983" s="4" t="n">
        <v>8</v>
      </c>
      <c r="J2983" s="4" t="n">
        <f aca="false">LEN(E2983)-LEN(SUBSTITUTE(E2983,",",""))+1</f>
        <v>8</v>
      </c>
      <c r="K2983" s="3" t="str">
        <f aca="false">IFERROR(INDEX('Teacher Lookup'!$B$2:$B$200,MATCH(A2983,'Teacher Lookup'!$A$2:$A$200,0)),"")</f>
        <v>WAN Damon</v>
      </c>
    </row>
    <row r="2984" customFormat="false" ht="15" hidden="false" customHeight="false" outlineLevel="0" collapsed="false">
      <c r="A2984" s="3" t="s">
        <v>375</v>
      </c>
      <c r="B2984" s="4" t="s">
        <v>12</v>
      </c>
      <c r="C2984" s="4" t="n">
        <v>6</v>
      </c>
      <c r="D2984" s="4" t="s">
        <v>52</v>
      </c>
      <c r="E2984" s="3" t="s">
        <v>357</v>
      </c>
      <c r="F2984" s="4" t="str">
        <f aca="false">IF(I2984&gt;J2984,"Y","N")</f>
        <v>Y</v>
      </c>
      <c r="G2984" s="3" t="s">
        <v>358</v>
      </c>
      <c r="H2984" s="3" t="s">
        <v>42</v>
      </c>
      <c r="I2984" s="4" t="n">
        <v>9</v>
      </c>
      <c r="J2984" s="4" t="n">
        <f aca="false">LEN(E2984)-LEN(SUBSTITUTE(E2984,",",""))+1</f>
        <v>8</v>
      </c>
      <c r="K2984" s="3" t="str">
        <f aca="false">IFERROR(INDEX('Teacher Lookup'!$B$2:$B$200,MATCH(A2984,'Teacher Lookup'!$A$2:$A$200,0)),"")</f>
        <v>WAN Damon</v>
      </c>
    </row>
    <row r="2985" customFormat="false" ht="15" hidden="false" customHeight="false" outlineLevel="0" collapsed="false">
      <c r="A2985" s="3" t="s">
        <v>375</v>
      </c>
      <c r="B2985" s="4" t="s">
        <v>12</v>
      </c>
      <c r="C2985" s="4" t="n">
        <v>6</v>
      </c>
      <c r="D2985" s="4" t="s">
        <v>55</v>
      </c>
      <c r="E2985" s="3" t="s">
        <v>357</v>
      </c>
      <c r="F2985" s="4" t="str">
        <f aca="false">IF(I2985&gt;J2985,"Y","N")</f>
        <v>Y</v>
      </c>
      <c r="G2985" s="3" t="s">
        <v>358</v>
      </c>
      <c r="H2985" s="3" t="s">
        <v>42</v>
      </c>
      <c r="I2985" s="4" t="n">
        <v>9</v>
      </c>
      <c r="J2985" s="4" t="n">
        <f aca="false">LEN(E2985)-LEN(SUBSTITUTE(E2985,",",""))+1</f>
        <v>8</v>
      </c>
      <c r="K2985" s="3" t="str">
        <f aca="false">IFERROR(INDEX('Teacher Lookup'!$B$2:$B$200,MATCH(A2985,'Teacher Lookup'!$A$2:$A$200,0)),"")</f>
        <v>WAN Damon</v>
      </c>
    </row>
    <row r="2986" customFormat="false" ht="15" hidden="false" customHeight="false" outlineLevel="0" collapsed="false">
      <c r="A2986" s="3" t="s">
        <v>375</v>
      </c>
      <c r="B2986" s="4" t="s">
        <v>12</v>
      </c>
      <c r="C2986" s="4" t="n">
        <v>6</v>
      </c>
      <c r="D2986" s="4" t="s">
        <v>56</v>
      </c>
      <c r="E2986" s="3" t="s">
        <v>357</v>
      </c>
      <c r="F2986" s="4" t="str">
        <f aca="false">IF(I2986&gt;J2986,"Y","N")</f>
        <v>Y</v>
      </c>
      <c r="G2986" s="3" t="s">
        <v>358</v>
      </c>
      <c r="H2986" s="3" t="s">
        <v>42</v>
      </c>
      <c r="I2986" s="4" t="n">
        <v>9</v>
      </c>
      <c r="J2986" s="4" t="n">
        <f aca="false">LEN(E2986)-LEN(SUBSTITUTE(E2986,",",""))+1</f>
        <v>8</v>
      </c>
      <c r="K2986" s="3" t="str">
        <f aca="false">IFERROR(INDEX('Teacher Lookup'!$B$2:$B$200,MATCH(A2986,'Teacher Lookup'!$A$2:$A$200,0)),"")</f>
        <v>WAN Damon</v>
      </c>
    </row>
    <row r="2987" customFormat="false" ht="15" hidden="false" customHeight="false" outlineLevel="0" collapsed="false">
      <c r="A2987" s="3" t="s">
        <v>375</v>
      </c>
      <c r="B2987" s="4" t="s">
        <v>12</v>
      </c>
      <c r="C2987" s="4" t="n">
        <v>6</v>
      </c>
      <c r="D2987" s="4" t="s">
        <v>57</v>
      </c>
      <c r="E2987" s="3" t="s">
        <v>357</v>
      </c>
      <c r="F2987" s="4" t="str">
        <f aca="false">IF(I2987&gt;J2987,"Y","N")</f>
        <v>Y</v>
      </c>
      <c r="G2987" s="3" t="s">
        <v>358</v>
      </c>
      <c r="H2987" s="3" t="s">
        <v>42</v>
      </c>
      <c r="I2987" s="4" t="n">
        <v>9</v>
      </c>
      <c r="J2987" s="4" t="n">
        <f aca="false">LEN(E2987)-LEN(SUBSTITUTE(E2987,",",""))+1</f>
        <v>8</v>
      </c>
      <c r="K2987" s="3" t="str">
        <f aca="false">IFERROR(INDEX('Teacher Lookup'!$B$2:$B$200,MATCH(A2987,'Teacher Lookup'!$A$2:$A$200,0)),"")</f>
        <v>WAN Damon</v>
      </c>
    </row>
    <row r="2988" customFormat="false" ht="15" hidden="false" customHeight="false" outlineLevel="0" collapsed="false">
      <c r="A2988" s="3" t="s">
        <v>375</v>
      </c>
      <c r="B2988" s="4" t="s">
        <v>12</v>
      </c>
      <c r="C2988" s="4" t="n">
        <v>6</v>
      </c>
      <c r="D2988" s="4" t="s">
        <v>58</v>
      </c>
      <c r="E2988" s="3" t="s">
        <v>357</v>
      </c>
      <c r="F2988" s="4" t="str">
        <f aca="false">IF(I2988&gt;J2988,"Y","N")</f>
        <v>Y</v>
      </c>
      <c r="G2988" s="3" t="s">
        <v>358</v>
      </c>
      <c r="H2988" s="3" t="s">
        <v>42</v>
      </c>
      <c r="I2988" s="4" t="n">
        <v>9</v>
      </c>
      <c r="J2988" s="4" t="n">
        <f aca="false">LEN(E2988)-LEN(SUBSTITUTE(E2988,",",""))+1</f>
        <v>8</v>
      </c>
      <c r="K2988" s="3" t="str">
        <f aca="false">IFERROR(INDEX('Teacher Lookup'!$B$2:$B$200,MATCH(A2988,'Teacher Lookup'!$A$2:$A$200,0)),"")</f>
        <v>WAN Damon</v>
      </c>
    </row>
    <row r="2989" customFormat="false" ht="15" hidden="false" customHeight="false" outlineLevel="0" collapsed="false">
      <c r="A2989" s="3" t="s">
        <v>375</v>
      </c>
      <c r="B2989" s="4" t="s">
        <v>12</v>
      </c>
      <c r="C2989" s="4" t="n">
        <v>6</v>
      </c>
      <c r="D2989" s="4" t="s">
        <v>59</v>
      </c>
      <c r="E2989" s="3" t="s">
        <v>357</v>
      </c>
      <c r="F2989" s="4" t="str">
        <f aca="false">IF(I2989&gt;J2989,"Y","N")</f>
        <v>Y</v>
      </c>
      <c r="G2989" s="3" t="s">
        <v>358</v>
      </c>
      <c r="H2989" s="3" t="s">
        <v>42</v>
      </c>
      <c r="I2989" s="4" t="n">
        <v>9</v>
      </c>
      <c r="J2989" s="4" t="n">
        <f aca="false">LEN(E2989)-LEN(SUBSTITUTE(E2989,",",""))+1</f>
        <v>8</v>
      </c>
      <c r="K2989" s="3" t="str">
        <f aca="false">IFERROR(INDEX('Teacher Lookup'!$B$2:$B$200,MATCH(A2989,'Teacher Lookup'!$A$2:$A$200,0)),"")</f>
        <v>WAN Damon</v>
      </c>
    </row>
    <row r="2990" customFormat="false" ht="15" hidden="false" customHeight="false" outlineLevel="0" collapsed="false">
      <c r="A2990" s="3" t="s">
        <v>375</v>
      </c>
      <c r="B2990" s="4" t="s">
        <v>12</v>
      </c>
      <c r="C2990" s="4" t="n">
        <v>7</v>
      </c>
      <c r="D2990" s="4" t="s">
        <v>52</v>
      </c>
      <c r="E2990" s="3" t="s">
        <v>357</v>
      </c>
      <c r="F2990" s="4" t="str">
        <f aca="false">IF(I2990&gt;J2990,"Y","N")</f>
        <v>Y</v>
      </c>
      <c r="G2990" s="3" t="s">
        <v>358</v>
      </c>
      <c r="H2990" s="3" t="s">
        <v>39</v>
      </c>
      <c r="I2990" s="4" t="n">
        <v>9</v>
      </c>
      <c r="J2990" s="4" t="n">
        <f aca="false">LEN(E2990)-LEN(SUBSTITUTE(E2990,",",""))+1</f>
        <v>8</v>
      </c>
      <c r="K2990" s="3" t="str">
        <f aca="false">IFERROR(INDEX('Teacher Lookup'!$B$2:$B$200,MATCH(A2990,'Teacher Lookup'!$A$2:$A$200,0)),"")</f>
        <v>WAN Damon</v>
      </c>
    </row>
    <row r="2991" customFormat="false" ht="15" hidden="false" customHeight="false" outlineLevel="0" collapsed="false">
      <c r="A2991" s="3" t="s">
        <v>375</v>
      </c>
      <c r="B2991" s="4" t="s">
        <v>12</v>
      </c>
      <c r="C2991" s="4" t="n">
        <v>7</v>
      </c>
      <c r="D2991" s="4" t="s">
        <v>55</v>
      </c>
      <c r="E2991" s="3" t="s">
        <v>357</v>
      </c>
      <c r="F2991" s="4" t="str">
        <f aca="false">IF(I2991&gt;J2991,"Y","N")</f>
        <v>Y</v>
      </c>
      <c r="G2991" s="3" t="s">
        <v>358</v>
      </c>
      <c r="H2991" s="3" t="s">
        <v>39</v>
      </c>
      <c r="I2991" s="4" t="n">
        <v>9</v>
      </c>
      <c r="J2991" s="4" t="n">
        <f aca="false">LEN(E2991)-LEN(SUBSTITUTE(E2991,",",""))+1</f>
        <v>8</v>
      </c>
      <c r="K2991" s="3" t="str">
        <f aca="false">IFERROR(INDEX('Teacher Lookup'!$B$2:$B$200,MATCH(A2991,'Teacher Lookup'!$A$2:$A$200,0)),"")</f>
        <v>WAN Damon</v>
      </c>
    </row>
    <row r="2992" customFormat="false" ht="15" hidden="false" customHeight="false" outlineLevel="0" collapsed="false">
      <c r="A2992" s="3" t="s">
        <v>375</v>
      </c>
      <c r="B2992" s="4" t="s">
        <v>12</v>
      </c>
      <c r="C2992" s="4" t="n">
        <v>7</v>
      </c>
      <c r="D2992" s="4" t="s">
        <v>56</v>
      </c>
      <c r="E2992" s="3" t="s">
        <v>357</v>
      </c>
      <c r="F2992" s="4" t="str">
        <f aca="false">IF(I2992&gt;J2992,"Y","N")</f>
        <v>Y</v>
      </c>
      <c r="G2992" s="3" t="s">
        <v>358</v>
      </c>
      <c r="H2992" s="3" t="s">
        <v>39</v>
      </c>
      <c r="I2992" s="4" t="n">
        <v>9</v>
      </c>
      <c r="J2992" s="4" t="n">
        <f aca="false">LEN(E2992)-LEN(SUBSTITUTE(E2992,",",""))+1</f>
        <v>8</v>
      </c>
      <c r="K2992" s="3" t="str">
        <f aca="false">IFERROR(INDEX('Teacher Lookup'!$B$2:$B$200,MATCH(A2992,'Teacher Lookup'!$A$2:$A$200,0)),"")</f>
        <v>WAN Damon</v>
      </c>
    </row>
    <row r="2993" customFormat="false" ht="15" hidden="false" customHeight="false" outlineLevel="0" collapsed="false">
      <c r="A2993" s="3" t="s">
        <v>375</v>
      </c>
      <c r="B2993" s="4" t="s">
        <v>12</v>
      </c>
      <c r="C2993" s="4" t="n">
        <v>7</v>
      </c>
      <c r="D2993" s="4" t="s">
        <v>57</v>
      </c>
      <c r="E2993" s="3" t="s">
        <v>357</v>
      </c>
      <c r="F2993" s="4" t="str">
        <f aca="false">IF(I2993&gt;J2993,"Y","N")</f>
        <v>Y</v>
      </c>
      <c r="G2993" s="3" t="s">
        <v>358</v>
      </c>
      <c r="H2993" s="3" t="s">
        <v>39</v>
      </c>
      <c r="I2993" s="4" t="n">
        <v>9</v>
      </c>
      <c r="J2993" s="4" t="n">
        <f aca="false">LEN(E2993)-LEN(SUBSTITUTE(E2993,",",""))+1</f>
        <v>8</v>
      </c>
      <c r="K2993" s="3" t="str">
        <f aca="false">IFERROR(INDEX('Teacher Lookup'!$B$2:$B$200,MATCH(A2993,'Teacher Lookup'!$A$2:$A$200,0)),"")</f>
        <v>WAN Damon</v>
      </c>
    </row>
    <row r="2994" customFormat="false" ht="15" hidden="false" customHeight="false" outlineLevel="0" collapsed="false">
      <c r="A2994" s="3" t="s">
        <v>375</v>
      </c>
      <c r="B2994" s="4" t="s">
        <v>12</v>
      </c>
      <c r="C2994" s="4" t="n">
        <v>7</v>
      </c>
      <c r="D2994" s="4" t="s">
        <v>58</v>
      </c>
      <c r="E2994" s="3" t="s">
        <v>357</v>
      </c>
      <c r="F2994" s="4" t="str">
        <f aca="false">IF(I2994&gt;J2994,"Y","N")</f>
        <v>Y</v>
      </c>
      <c r="G2994" s="3" t="s">
        <v>358</v>
      </c>
      <c r="H2994" s="3" t="s">
        <v>39</v>
      </c>
      <c r="I2994" s="4" t="n">
        <v>9</v>
      </c>
      <c r="J2994" s="4" t="n">
        <f aca="false">LEN(E2994)-LEN(SUBSTITUTE(E2994,",",""))+1</f>
        <v>8</v>
      </c>
      <c r="K2994" s="3" t="str">
        <f aca="false">IFERROR(INDEX('Teacher Lookup'!$B$2:$B$200,MATCH(A2994,'Teacher Lookup'!$A$2:$A$200,0)),"")</f>
        <v>WAN Damon</v>
      </c>
    </row>
    <row r="2995" customFormat="false" ht="15" hidden="false" customHeight="false" outlineLevel="0" collapsed="false">
      <c r="A2995" s="3" t="s">
        <v>375</v>
      </c>
      <c r="B2995" s="4" t="s">
        <v>12</v>
      </c>
      <c r="C2995" s="4" t="n">
        <v>7</v>
      </c>
      <c r="D2995" s="4" t="s">
        <v>59</v>
      </c>
      <c r="E2995" s="3" t="s">
        <v>357</v>
      </c>
      <c r="F2995" s="4" t="str">
        <f aca="false">IF(I2995&gt;J2995,"Y","N")</f>
        <v>Y</v>
      </c>
      <c r="G2995" s="3" t="s">
        <v>358</v>
      </c>
      <c r="H2995" s="3" t="s">
        <v>39</v>
      </c>
      <c r="I2995" s="4" t="n">
        <v>9</v>
      </c>
      <c r="J2995" s="4" t="n">
        <f aca="false">LEN(E2995)-LEN(SUBSTITUTE(E2995,",",""))+1</f>
        <v>8</v>
      </c>
      <c r="K2995" s="3" t="str">
        <f aca="false">IFERROR(INDEX('Teacher Lookup'!$B$2:$B$200,MATCH(A2995,'Teacher Lookup'!$A$2:$A$200,0)),"")</f>
        <v>WAN Damon</v>
      </c>
    </row>
    <row r="2996" customFormat="false" ht="15" hidden="false" customHeight="false" outlineLevel="0" collapsed="false">
      <c r="A2996" s="3" t="s">
        <v>375</v>
      </c>
      <c r="B2996" s="4" t="s">
        <v>31</v>
      </c>
      <c r="C2996" s="4" t="n">
        <v>1</v>
      </c>
      <c r="D2996" s="4" t="s">
        <v>76</v>
      </c>
      <c r="E2996" s="3" t="s">
        <v>113</v>
      </c>
      <c r="F2996" s="4" t="str">
        <f aca="false">IF(I2996&gt;J2996,"Y","N")</f>
        <v>N</v>
      </c>
      <c r="G2996" s="3" t="s">
        <v>376</v>
      </c>
      <c r="H2996" s="3" t="s">
        <v>16</v>
      </c>
      <c r="I2996" s="4" t="n">
        <v>1</v>
      </c>
      <c r="J2996" s="4" t="n">
        <f aca="false">LEN(E2996)-LEN(SUBSTITUTE(E2996,",",""))+1</f>
        <v>1</v>
      </c>
      <c r="K2996" s="3" t="str">
        <f aca="false">IFERROR(INDEX('Teacher Lookup'!$B$2:$B$200,MATCH(A2996,'Teacher Lookup'!$A$2:$A$200,0)),"")</f>
        <v>WAN Damon</v>
      </c>
    </row>
    <row r="2997" customFormat="false" ht="15" hidden="false" customHeight="false" outlineLevel="0" collapsed="false">
      <c r="A2997" s="3" t="s">
        <v>375</v>
      </c>
      <c r="B2997" s="4" t="s">
        <v>31</v>
      </c>
      <c r="C2997" s="4" t="n">
        <v>2</v>
      </c>
      <c r="D2997" s="4" t="s">
        <v>24</v>
      </c>
      <c r="E2997" s="3" t="s">
        <v>377</v>
      </c>
      <c r="F2997" s="4" t="str">
        <f aca="false">IF(I2997&gt;J2997,"Y","N")</f>
        <v>N</v>
      </c>
      <c r="G2997" s="3" t="s">
        <v>378</v>
      </c>
      <c r="H2997" s="3" t="s">
        <v>21</v>
      </c>
      <c r="I2997" s="4" t="n">
        <v>8</v>
      </c>
      <c r="J2997" s="4" t="n">
        <f aca="false">LEN(E2997)-LEN(SUBSTITUTE(E2997,",",""))+1</f>
        <v>8</v>
      </c>
      <c r="K2997" s="3" t="str">
        <f aca="false">IFERROR(INDEX('Teacher Lookup'!$B$2:$B$200,MATCH(A2997,'Teacher Lookup'!$A$2:$A$200,0)),"")</f>
        <v>WAN Damon</v>
      </c>
    </row>
    <row r="2998" customFormat="false" ht="15" hidden="false" customHeight="false" outlineLevel="0" collapsed="false">
      <c r="A2998" s="3" t="s">
        <v>375</v>
      </c>
      <c r="B2998" s="4" t="s">
        <v>31</v>
      </c>
      <c r="C2998" s="4" t="n">
        <v>2</v>
      </c>
      <c r="D2998" s="4" t="s">
        <v>27</v>
      </c>
      <c r="E2998" s="3" t="s">
        <v>377</v>
      </c>
      <c r="F2998" s="4" t="str">
        <f aca="false">IF(I2998&gt;J2998,"Y","N")</f>
        <v>N</v>
      </c>
      <c r="G2998" s="3" t="s">
        <v>378</v>
      </c>
      <c r="H2998" s="3" t="s">
        <v>21</v>
      </c>
      <c r="I2998" s="4" t="n">
        <v>8</v>
      </c>
      <c r="J2998" s="4" t="n">
        <f aca="false">LEN(E2998)-LEN(SUBSTITUTE(E2998,",",""))+1</f>
        <v>8</v>
      </c>
      <c r="K2998" s="3" t="str">
        <f aca="false">IFERROR(INDEX('Teacher Lookup'!$B$2:$B$200,MATCH(A2998,'Teacher Lookup'!$A$2:$A$200,0)),"")</f>
        <v>WAN Damon</v>
      </c>
    </row>
    <row r="2999" customFormat="false" ht="15" hidden="false" customHeight="false" outlineLevel="0" collapsed="false">
      <c r="A2999" s="3" t="s">
        <v>375</v>
      </c>
      <c r="B2999" s="4" t="s">
        <v>31</v>
      </c>
      <c r="C2999" s="4" t="n">
        <v>2</v>
      </c>
      <c r="D2999" s="4" t="s">
        <v>28</v>
      </c>
      <c r="E2999" s="3" t="s">
        <v>377</v>
      </c>
      <c r="F2999" s="4" t="str">
        <f aca="false">IF(I2999&gt;J2999,"Y","N")</f>
        <v>N</v>
      </c>
      <c r="G2999" s="3" t="s">
        <v>378</v>
      </c>
      <c r="H2999" s="3" t="s">
        <v>21</v>
      </c>
      <c r="I2999" s="4" t="n">
        <v>8</v>
      </c>
      <c r="J2999" s="4" t="n">
        <f aca="false">LEN(E2999)-LEN(SUBSTITUTE(E2999,",",""))+1</f>
        <v>8</v>
      </c>
      <c r="K2999" s="3" t="str">
        <f aca="false">IFERROR(INDEX('Teacher Lookup'!$B$2:$B$200,MATCH(A2999,'Teacher Lookup'!$A$2:$A$200,0)),"")</f>
        <v>WAN Damon</v>
      </c>
    </row>
    <row r="3000" customFormat="false" ht="15" hidden="false" customHeight="false" outlineLevel="0" collapsed="false">
      <c r="A3000" s="3" t="s">
        <v>375</v>
      </c>
      <c r="B3000" s="4" t="s">
        <v>31</v>
      </c>
      <c r="C3000" s="4" t="n">
        <v>2</v>
      </c>
      <c r="D3000" s="4" t="s">
        <v>29</v>
      </c>
      <c r="E3000" s="3" t="s">
        <v>377</v>
      </c>
      <c r="F3000" s="4" t="str">
        <f aca="false">IF(I3000&gt;J3000,"Y","N")</f>
        <v>N</v>
      </c>
      <c r="G3000" s="3" t="s">
        <v>378</v>
      </c>
      <c r="H3000" s="3" t="s">
        <v>21</v>
      </c>
      <c r="I3000" s="4" t="n">
        <v>8</v>
      </c>
      <c r="J3000" s="4" t="n">
        <f aca="false">LEN(E3000)-LEN(SUBSTITUTE(E3000,",",""))+1</f>
        <v>8</v>
      </c>
      <c r="K3000" s="3" t="str">
        <f aca="false">IFERROR(INDEX('Teacher Lookup'!$B$2:$B$200,MATCH(A3000,'Teacher Lookup'!$A$2:$A$200,0)),"")</f>
        <v>WAN Damon</v>
      </c>
    </row>
    <row r="3001" customFormat="false" ht="15" hidden="false" customHeight="false" outlineLevel="0" collapsed="false">
      <c r="A3001" s="3" t="s">
        <v>375</v>
      </c>
      <c r="B3001" s="4" t="s">
        <v>31</v>
      </c>
      <c r="C3001" s="4" t="n">
        <v>2</v>
      </c>
      <c r="D3001" s="4" t="s">
        <v>30</v>
      </c>
      <c r="E3001" s="3" t="s">
        <v>377</v>
      </c>
      <c r="F3001" s="4" t="str">
        <f aca="false">IF(I3001&gt;J3001,"Y","N")</f>
        <v>N</v>
      </c>
      <c r="G3001" s="3" t="s">
        <v>378</v>
      </c>
      <c r="H3001" s="3" t="s">
        <v>21</v>
      </c>
      <c r="I3001" s="4" t="n">
        <v>8</v>
      </c>
      <c r="J3001" s="4" t="n">
        <f aca="false">LEN(E3001)-LEN(SUBSTITUTE(E3001,",",""))+1</f>
        <v>8</v>
      </c>
      <c r="K3001" s="3" t="str">
        <f aca="false">IFERROR(INDEX('Teacher Lookup'!$B$2:$B$200,MATCH(A3001,'Teacher Lookup'!$A$2:$A$200,0)),"")</f>
        <v>WAN Damon</v>
      </c>
    </row>
    <row r="3002" customFormat="false" ht="15" hidden="false" customHeight="false" outlineLevel="0" collapsed="false">
      <c r="A3002" s="3" t="s">
        <v>375</v>
      </c>
      <c r="B3002" s="4" t="s">
        <v>31</v>
      </c>
      <c r="C3002" s="4" t="n">
        <v>4</v>
      </c>
      <c r="D3002" s="4" t="s">
        <v>52</v>
      </c>
      <c r="E3002" s="3" t="s">
        <v>111</v>
      </c>
      <c r="F3002" s="4" t="str">
        <f aca="false">IF(I3002&gt;J3002,"Y","N")</f>
        <v>N</v>
      </c>
      <c r="G3002" s="3" t="s">
        <v>101</v>
      </c>
      <c r="H3002" s="3" t="s">
        <v>34</v>
      </c>
      <c r="I3002" s="4" t="n">
        <v>8</v>
      </c>
      <c r="J3002" s="4" t="n">
        <f aca="false">LEN(E3002)-LEN(SUBSTITUTE(E3002,",",""))+1</f>
        <v>8</v>
      </c>
      <c r="K3002" s="3" t="str">
        <f aca="false">IFERROR(INDEX('Teacher Lookup'!$B$2:$B$200,MATCH(A3002,'Teacher Lookup'!$A$2:$A$200,0)),"")</f>
        <v>WAN Damon</v>
      </c>
    </row>
    <row r="3003" customFormat="false" ht="15" hidden="false" customHeight="false" outlineLevel="0" collapsed="false">
      <c r="A3003" s="3" t="s">
        <v>375</v>
      </c>
      <c r="B3003" s="4" t="s">
        <v>31</v>
      </c>
      <c r="C3003" s="4" t="n">
        <v>4</v>
      </c>
      <c r="D3003" s="4" t="s">
        <v>55</v>
      </c>
      <c r="E3003" s="3" t="s">
        <v>111</v>
      </c>
      <c r="F3003" s="4" t="str">
        <f aca="false">IF(I3003&gt;J3003,"Y","N")</f>
        <v>N</v>
      </c>
      <c r="G3003" s="3" t="s">
        <v>101</v>
      </c>
      <c r="H3003" s="3" t="s">
        <v>34</v>
      </c>
      <c r="I3003" s="4" t="n">
        <v>8</v>
      </c>
      <c r="J3003" s="4" t="n">
        <f aca="false">LEN(E3003)-LEN(SUBSTITUTE(E3003,",",""))+1</f>
        <v>8</v>
      </c>
      <c r="K3003" s="3" t="str">
        <f aca="false">IFERROR(INDEX('Teacher Lookup'!$B$2:$B$200,MATCH(A3003,'Teacher Lookup'!$A$2:$A$200,0)),"")</f>
        <v>WAN Damon</v>
      </c>
    </row>
    <row r="3004" customFormat="false" ht="15" hidden="false" customHeight="false" outlineLevel="0" collapsed="false">
      <c r="A3004" s="3" t="s">
        <v>375</v>
      </c>
      <c r="B3004" s="4" t="s">
        <v>31</v>
      </c>
      <c r="C3004" s="4" t="n">
        <v>4</v>
      </c>
      <c r="D3004" s="4" t="s">
        <v>56</v>
      </c>
      <c r="E3004" s="3" t="s">
        <v>111</v>
      </c>
      <c r="F3004" s="4" t="str">
        <f aca="false">IF(I3004&gt;J3004,"Y","N")</f>
        <v>N</v>
      </c>
      <c r="G3004" s="3" t="s">
        <v>101</v>
      </c>
      <c r="H3004" s="3" t="s">
        <v>34</v>
      </c>
      <c r="I3004" s="4" t="n">
        <v>8</v>
      </c>
      <c r="J3004" s="4" t="n">
        <f aca="false">LEN(E3004)-LEN(SUBSTITUTE(E3004,",",""))+1</f>
        <v>8</v>
      </c>
      <c r="K3004" s="3" t="str">
        <f aca="false">IFERROR(INDEX('Teacher Lookup'!$B$2:$B$200,MATCH(A3004,'Teacher Lookup'!$A$2:$A$200,0)),"")</f>
        <v>WAN Damon</v>
      </c>
    </row>
    <row r="3005" customFormat="false" ht="15" hidden="false" customHeight="false" outlineLevel="0" collapsed="false">
      <c r="A3005" s="3" t="s">
        <v>375</v>
      </c>
      <c r="B3005" s="4" t="s">
        <v>31</v>
      </c>
      <c r="C3005" s="4" t="n">
        <v>4</v>
      </c>
      <c r="D3005" s="4" t="s">
        <v>57</v>
      </c>
      <c r="E3005" s="3" t="s">
        <v>111</v>
      </c>
      <c r="F3005" s="4" t="str">
        <f aca="false">IF(I3005&gt;J3005,"Y","N")</f>
        <v>N</v>
      </c>
      <c r="G3005" s="3" t="s">
        <v>101</v>
      </c>
      <c r="H3005" s="3" t="s">
        <v>34</v>
      </c>
      <c r="I3005" s="4" t="n">
        <v>8</v>
      </c>
      <c r="J3005" s="4" t="n">
        <f aca="false">LEN(E3005)-LEN(SUBSTITUTE(E3005,",",""))+1</f>
        <v>8</v>
      </c>
      <c r="K3005" s="3" t="str">
        <f aca="false">IFERROR(INDEX('Teacher Lookup'!$B$2:$B$200,MATCH(A3005,'Teacher Lookup'!$A$2:$A$200,0)),"")</f>
        <v>WAN Damon</v>
      </c>
    </row>
    <row r="3006" customFormat="false" ht="15" hidden="false" customHeight="false" outlineLevel="0" collapsed="false">
      <c r="A3006" s="3" t="s">
        <v>375</v>
      </c>
      <c r="B3006" s="4" t="s">
        <v>31</v>
      </c>
      <c r="C3006" s="4" t="n">
        <v>4</v>
      </c>
      <c r="D3006" s="4" t="s">
        <v>58</v>
      </c>
      <c r="E3006" s="3" t="s">
        <v>111</v>
      </c>
      <c r="F3006" s="4" t="str">
        <f aca="false">IF(I3006&gt;J3006,"Y","N")</f>
        <v>N</v>
      </c>
      <c r="G3006" s="3" t="s">
        <v>101</v>
      </c>
      <c r="H3006" s="3" t="s">
        <v>34</v>
      </c>
      <c r="I3006" s="4" t="n">
        <v>8</v>
      </c>
      <c r="J3006" s="4" t="n">
        <f aca="false">LEN(E3006)-LEN(SUBSTITUTE(E3006,",",""))+1</f>
        <v>8</v>
      </c>
      <c r="K3006" s="3" t="str">
        <f aca="false">IFERROR(INDEX('Teacher Lookup'!$B$2:$B$200,MATCH(A3006,'Teacher Lookup'!$A$2:$A$200,0)),"")</f>
        <v>WAN Damon</v>
      </c>
    </row>
    <row r="3007" customFormat="false" ht="15" hidden="false" customHeight="false" outlineLevel="0" collapsed="false">
      <c r="A3007" s="3" t="s">
        <v>375</v>
      </c>
      <c r="B3007" s="4" t="s">
        <v>31</v>
      </c>
      <c r="C3007" s="4" t="n">
        <v>4</v>
      </c>
      <c r="D3007" s="4" t="s">
        <v>59</v>
      </c>
      <c r="E3007" s="3" t="s">
        <v>111</v>
      </c>
      <c r="F3007" s="4" t="str">
        <f aca="false">IF(I3007&gt;J3007,"Y","N")</f>
        <v>N</v>
      </c>
      <c r="G3007" s="3" t="s">
        <v>101</v>
      </c>
      <c r="H3007" s="3" t="s">
        <v>34</v>
      </c>
      <c r="I3007" s="4" t="n">
        <v>8</v>
      </c>
      <c r="J3007" s="4" t="n">
        <f aca="false">LEN(E3007)-LEN(SUBSTITUTE(E3007,",",""))+1</f>
        <v>8</v>
      </c>
      <c r="K3007" s="3" t="str">
        <f aca="false">IFERROR(INDEX('Teacher Lookup'!$B$2:$B$200,MATCH(A3007,'Teacher Lookup'!$A$2:$A$200,0)),"")</f>
        <v>WAN Damon</v>
      </c>
    </row>
    <row r="3008" customFormat="false" ht="15" hidden="false" customHeight="false" outlineLevel="0" collapsed="false">
      <c r="A3008" s="3" t="s">
        <v>375</v>
      </c>
      <c r="B3008" s="4" t="s">
        <v>31</v>
      </c>
      <c r="C3008" s="4" t="n">
        <v>5</v>
      </c>
      <c r="D3008" s="4" t="s">
        <v>52</v>
      </c>
      <c r="E3008" s="3" t="s">
        <v>112</v>
      </c>
      <c r="F3008" s="4" t="str">
        <f aca="false">IF(I3008&gt;J3008,"Y","N")</f>
        <v>Y</v>
      </c>
      <c r="G3008" s="3" t="s">
        <v>36</v>
      </c>
      <c r="H3008" s="3" t="s">
        <v>37</v>
      </c>
      <c r="I3008" s="4" t="n">
        <v>16</v>
      </c>
      <c r="J3008" s="4" t="n">
        <f aca="false">LEN(E3008)-LEN(SUBSTITUTE(E3008,",",""))+1</f>
        <v>7</v>
      </c>
      <c r="K3008" s="3" t="str">
        <f aca="false">IFERROR(INDEX('Teacher Lookup'!$B$2:$B$200,MATCH(A3008,'Teacher Lookup'!$A$2:$A$200,0)),"")</f>
        <v>WAN Damon</v>
      </c>
    </row>
    <row r="3009" customFormat="false" ht="15" hidden="false" customHeight="false" outlineLevel="0" collapsed="false">
      <c r="A3009" s="3" t="s">
        <v>375</v>
      </c>
      <c r="B3009" s="4" t="s">
        <v>31</v>
      </c>
      <c r="C3009" s="4" t="n">
        <v>5</v>
      </c>
      <c r="D3009" s="4" t="s">
        <v>55</v>
      </c>
      <c r="E3009" s="3" t="s">
        <v>112</v>
      </c>
      <c r="F3009" s="4" t="str">
        <f aca="false">IF(I3009&gt;J3009,"Y","N")</f>
        <v>Y</v>
      </c>
      <c r="G3009" s="3" t="s">
        <v>36</v>
      </c>
      <c r="H3009" s="3" t="s">
        <v>37</v>
      </c>
      <c r="I3009" s="4" t="n">
        <v>16</v>
      </c>
      <c r="J3009" s="4" t="n">
        <f aca="false">LEN(E3009)-LEN(SUBSTITUTE(E3009,",",""))+1</f>
        <v>7</v>
      </c>
      <c r="K3009" s="3" t="str">
        <f aca="false">IFERROR(INDEX('Teacher Lookup'!$B$2:$B$200,MATCH(A3009,'Teacher Lookup'!$A$2:$A$200,0)),"")</f>
        <v>WAN Damon</v>
      </c>
    </row>
    <row r="3010" customFormat="false" ht="15" hidden="false" customHeight="false" outlineLevel="0" collapsed="false">
      <c r="A3010" s="3" t="s">
        <v>375</v>
      </c>
      <c r="B3010" s="4" t="s">
        <v>31</v>
      </c>
      <c r="C3010" s="4" t="n">
        <v>5</v>
      </c>
      <c r="D3010" s="4" t="s">
        <v>56</v>
      </c>
      <c r="E3010" s="3" t="s">
        <v>112</v>
      </c>
      <c r="F3010" s="4" t="str">
        <f aca="false">IF(I3010&gt;J3010,"Y","N")</f>
        <v>Y</v>
      </c>
      <c r="G3010" s="3" t="s">
        <v>36</v>
      </c>
      <c r="H3010" s="3" t="s">
        <v>37</v>
      </c>
      <c r="I3010" s="4" t="n">
        <v>16</v>
      </c>
      <c r="J3010" s="4" t="n">
        <f aca="false">LEN(E3010)-LEN(SUBSTITUTE(E3010,",",""))+1</f>
        <v>7</v>
      </c>
      <c r="K3010" s="3" t="str">
        <f aca="false">IFERROR(INDEX('Teacher Lookup'!$B$2:$B$200,MATCH(A3010,'Teacher Lookup'!$A$2:$A$200,0)),"")</f>
        <v>WAN Damon</v>
      </c>
    </row>
    <row r="3011" customFormat="false" ht="15" hidden="false" customHeight="false" outlineLevel="0" collapsed="false">
      <c r="A3011" s="3" t="s">
        <v>375</v>
      </c>
      <c r="B3011" s="4" t="s">
        <v>31</v>
      </c>
      <c r="C3011" s="4" t="n">
        <v>5</v>
      </c>
      <c r="D3011" s="4" t="s">
        <v>57</v>
      </c>
      <c r="E3011" s="3" t="s">
        <v>112</v>
      </c>
      <c r="F3011" s="4" t="str">
        <f aca="false">IF(I3011&gt;J3011,"Y","N")</f>
        <v>Y</v>
      </c>
      <c r="G3011" s="3" t="s">
        <v>36</v>
      </c>
      <c r="H3011" s="3" t="s">
        <v>37</v>
      </c>
      <c r="I3011" s="4" t="n">
        <v>16</v>
      </c>
      <c r="J3011" s="4" t="n">
        <f aca="false">LEN(E3011)-LEN(SUBSTITUTE(E3011,",",""))+1</f>
        <v>7</v>
      </c>
      <c r="K3011" s="3" t="str">
        <f aca="false">IFERROR(INDEX('Teacher Lookup'!$B$2:$B$200,MATCH(A3011,'Teacher Lookup'!$A$2:$A$200,0)),"")</f>
        <v>WAN Damon</v>
      </c>
    </row>
    <row r="3012" customFormat="false" ht="15" hidden="false" customHeight="false" outlineLevel="0" collapsed="false">
      <c r="A3012" s="3" t="s">
        <v>375</v>
      </c>
      <c r="B3012" s="4" t="s">
        <v>31</v>
      </c>
      <c r="C3012" s="4" t="n">
        <v>5</v>
      </c>
      <c r="D3012" s="4" t="s">
        <v>58</v>
      </c>
      <c r="E3012" s="3" t="s">
        <v>112</v>
      </c>
      <c r="F3012" s="4" t="str">
        <f aca="false">IF(I3012&gt;J3012,"Y","N")</f>
        <v>Y</v>
      </c>
      <c r="G3012" s="3" t="s">
        <v>36</v>
      </c>
      <c r="H3012" s="3" t="s">
        <v>37</v>
      </c>
      <c r="I3012" s="4" t="n">
        <v>16</v>
      </c>
      <c r="J3012" s="4" t="n">
        <f aca="false">LEN(E3012)-LEN(SUBSTITUTE(E3012,",",""))+1</f>
        <v>7</v>
      </c>
      <c r="K3012" s="3" t="str">
        <f aca="false">IFERROR(INDEX('Teacher Lookup'!$B$2:$B$200,MATCH(A3012,'Teacher Lookup'!$A$2:$A$200,0)),"")</f>
        <v>WAN Damon</v>
      </c>
    </row>
    <row r="3013" customFormat="false" ht="15" hidden="false" customHeight="false" outlineLevel="0" collapsed="false">
      <c r="A3013" s="3" t="s">
        <v>375</v>
      </c>
      <c r="B3013" s="4" t="s">
        <v>31</v>
      </c>
      <c r="C3013" s="4" t="n">
        <v>5</v>
      </c>
      <c r="D3013" s="4" t="s">
        <v>59</v>
      </c>
      <c r="E3013" s="3" t="s">
        <v>112</v>
      </c>
      <c r="F3013" s="4" t="str">
        <f aca="false">IF(I3013&gt;J3013,"Y","N")</f>
        <v>Y</v>
      </c>
      <c r="G3013" s="3" t="s">
        <v>36</v>
      </c>
      <c r="H3013" s="3" t="s">
        <v>37</v>
      </c>
      <c r="I3013" s="4" t="n">
        <v>16</v>
      </c>
      <c r="J3013" s="4" t="n">
        <f aca="false">LEN(E3013)-LEN(SUBSTITUTE(E3013,",",""))+1</f>
        <v>7</v>
      </c>
      <c r="K3013" s="3" t="str">
        <f aca="false">IFERROR(INDEX('Teacher Lookup'!$B$2:$B$200,MATCH(A3013,'Teacher Lookup'!$A$2:$A$200,0)),"")</f>
        <v>WAN Damon</v>
      </c>
    </row>
    <row r="3014" customFormat="false" ht="15" hidden="false" customHeight="false" outlineLevel="0" collapsed="false">
      <c r="A3014" s="3" t="s">
        <v>375</v>
      </c>
      <c r="B3014" s="4" t="s">
        <v>40</v>
      </c>
      <c r="C3014" s="4" t="n">
        <v>1</v>
      </c>
      <c r="D3014" s="4" t="s">
        <v>70</v>
      </c>
      <c r="E3014" s="3" t="s">
        <v>108</v>
      </c>
      <c r="F3014" s="4" t="str">
        <f aca="false">IF(I3014&gt;J3014,"Y","N")</f>
        <v>N</v>
      </c>
      <c r="G3014" s="3" t="s">
        <v>376</v>
      </c>
      <c r="H3014" s="3" t="s">
        <v>16</v>
      </c>
      <c r="I3014" s="4" t="n">
        <v>1</v>
      </c>
      <c r="J3014" s="4" t="n">
        <f aca="false">LEN(E3014)-LEN(SUBSTITUTE(E3014,",",""))+1</f>
        <v>1</v>
      </c>
      <c r="K3014" s="3" t="str">
        <f aca="false">IFERROR(INDEX('Teacher Lookup'!$B$2:$B$200,MATCH(A3014,'Teacher Lookup'!$A$2:$A$200,0)),"")</f>
        <v>WAN Damon</v>
      </c>
    </row>
    <row r="3015" customFormat="false" ht="15" hidden="false" customHeight="false" outlineLevel="0" collapsed="false">
      <c r="A3015" s="3" t="s">
        <v>375</v>
      </c>
      <c r="B3015" s="4" t="s">
        <v>40</v>
      </c>
      <c r="C3015" s="4" t="n">
        <v>4</v>
      </c>
      <c r="D3015" s="4" t="s">
        <v>24</v>
      </c>
      <c r="E3015" s="3" t="s">
        <v>379</v>
      </c>
      <c r="F3015" s="4" t="str">
        <f aca="false">IF(I3015&gt;J3015,"Y","N")</f>
        <v>Y</v>
      </c>
      <c r="G3015" s="3" t="s">
        <v>378</v>
      </c>
      <c r="H3015" s="3" t="s">
        <v>34</v>
      </c>
      <c r="I3015" s="4" t="n">
        <v>9</v>
      </c>
      <c r="J3015" s="4" t="n">
        <f aca="false">LEN(E3015)-LEN(SUBSTITUTE(E3015,",",""))+1</f>
        <v>8</v>
      </c>
      <c r="K3015" s="3" t="str">
        <f aca="false">IFERROR(INDEX('Teacher Lookup'!$B$2:$B$200,MATCH(A3015,'Teacher Lookup'!$A$2:$A$200,0)),"")</f>
        <v>WAN Damon</v>
      </c>
    </row>
    <row r="3016" customFormat="false" ht="15" hidden="false" customHeight="false" outlineLevel="0" collapsed="false">
      <c r="A3016" s="3" t="s">
        <v>375</v>
      </c>
      <c r="B3016" s="4" t="s">
        <v>40</v>
      </c>
      <c r="C3016" s="4" t="n">
        <v>4</v>
      </c>
      <c r="D3016" s="4" t="s">
        <v>27</v>
      </c>
      <c r="E3016" s="3" t="s">
        <v>379</v>
      </c>
      <c r="F3016" s="4" t="str">
        <f aca="false">IF(I3016&gt;J3016,"Y","N")</f>
        <v>Y</v>
      </c>
      <c r="G3016" s="3" t="s">
        <v>378</v>
      </c>
      <c r="H3016" s="3" t="s">
        <v>34</v>
      </c>
      <c r="I3016" s="4" t="n">
        <v>9</v>
      </c>
      <c r="J3016" s="4" t="n">
        <f aca="false">LEN(E3016)-LEN(SUBSTITUTE(E3016,",",""))+1</f>
        <v>8</v>
      </c>
      <c r="K3016" s="3" t="str">
        <f aca="false">IFERROR(INDEX('Teacher Lookup'!$B$2:$B$200,MATCH(A3016,'Teacher Lookup'!$A$2:$A$200,0)),"")</f>
        <v>WAN Damon</v>
      </c>
    </row>
    <row r="3017" customFormat="false" ht="15" hidden="false" customHeight="false" outlineLevel="0" collapsed="false">
      <c r="A3017" s="3" t="s">
        <v>375</v>
      </c>
      <c r="B3017" s="4" t="s">
        <v>40</v>
      </c>
      <c r="C3017" s="4" t="n">
        <v>4</v>
      </c>
      <c r="D3017" s="4" t="s">
        <v>28</v>
      </c>
      <c r="E3017" s="3" t="s">
        <v>379</v>
      </c>
      <c r="F3017" s="4" t="str">
        <f aca="false">IF(I3017&gt;J3017,"Y","N")</f>
        <v>Y</v>
      </c>
      <c r="G3017" s="3" t="s">
        <v>378</v>
      </c>
      <c r="H3017" s="3" t="s">
        <v>34</v>
      </c>
      <c r="I3017" s="4" t="n">
        <v>9</v>
      </c>
      <c r="J3017" s="4" t="n">
        <f aca="false">LEN(E3017)-LEN(SUBSTITUTE(E3017,",",""))+1</f>
        <v>8</v>
      </c>
      <c r="K3017" s="3" t="str">
        <f aca="false">IFERROR(INDEX('Teacher Lookup'!$B$2:$B$200,MATCH(A3017,'Teacher Lookup'!$A$2:$A$200,0)),"")</f>
        <v>WAN Damon</v>
      </c>
    </row>
    <row r="3018" customFormat="false" ht="15" hidden="false" customHeight="false" outlineLevel="0" collapsed="false">
      <c r="A3018" s="3" t="s">
        <v>375</v>
      </c>
      <c r="B3018" s="4" t="s">
        <v>40</v>
      </c>
      <c r="C3018" s="4" t="n">
        <v>4</v>
      </c>
      <c r="D3018" s="4" t="s">
        <v>29</v>
      </c>
      <c r="E3018" s="3" t="s">
        <v>379</v>
      </c>
      <c r="F3018" s="4" t="str">
        <f aca="false">IF(I3018&gt;J3018,"Y","N")</f>
        <v>Y</v>
      </c>
      <c r="G3018" s="3" t="s">
        <v>378</v>
      </c>
      <c r="H3018" s="3" t="s">
        <v>34</v>
      </c>
      <c r="I3018" s="4" t="n">
        <v>9</v>
      </c>
      <c r="J3018" s="4" t="n">
        <f aca="false">LEN(E3018)-LEN(SUBSTITUTE(E3018,",",""))+1</f>
        <v>8</v>
      </c>
      <c r="K3018" s="3" t="str">
        <f aca="false">IFERROR(INDEX('Teacher Lookup'!$B$2:$B$200,MATCH(A3018,'Teacher Lookup'!$A$2:$A$200,0)),"")</f>
        <v>WAN Damon</v>
      </c>
    </row>
    <row r="3019" customFormat="false" ht="15" hidden="false" customHeight="false" outlineLevel="0" collapsed="false">
      <c r="A3019" s="3" t="s">
        <v>375</v>
      </c>
      <c r="B3019" s="4" t="s">
        <v>40</v>
      </c>
      <c r="C3019" s="4" t="n">
        <v>4</v>
      </c>
      <c r="D3019" s="4" t="s">
        <v>30</v>
      </c>
      <c r="E3019" s="3" t="s">
        <v>379</v>
      </c>
      <c r="F3019" s="4" t="str">
        <f aca="false">IF(I3019&gt;J3019,"Y","N")</f>
        <v>Y</v>
      </c>
      <c r="G3019" s="3" t="s">
        <v>378</v>
      </c>
      <c r="H3019" s="3" t="s">
        <v>34</v>
      </c>
      <c r="I3019" s="4" t="n">
        <v>9</v>
      </c>
      <c r="J3019" s="4" t="n">
        <f aca="false">LEN(E3019)-LEN(SUBSTITUTE(E3019,",",""))+1</f>
        <v>8</v>
      </c>
      <c r="K3019" s="3" t="str">
        <f aca="false">IFERROR(INDEX('Teacher Lookup'!$B$2:$B$200,MATCH(A3019,'Teacher Lookup'!$A$2:$A$200,0)),"")</f>
        <v>WAN Damon</v>
      </c>
    </row>
    <row r="3020" customFormat="false" ht="15" hidden="false" customHeight="false" outlineLevel="0" collapsed="false">
      <c r="A3020" s="3" t="s">
        <v>375</v>
      </c>
      <c r="B3020" s="4" t="s">
        <v>44</v>
      </c>
      <c r="C3020" s="4" t="n">
        <v>1</v>
      </c>
      <c r="D3020" s="4" t="s">
        <v>24</v>
      </c>
      <c r="E3020" s="3" t="s">
        <v>380</v>
      </c>
      <c r="F3020" s="4" t="str">
        <f aca="false">IF(I3020&gt;J3020,"Y","N")</f>
        <v>Y</v>
      </c>
      <c r="G3020" s="3" t="s">
        <v>378</v>
      </c>
      <c r="H3020" s="3" t="s">
        <v>16</v>
      </c>
      <c r="I3020" s="4" t="n">
        <v>9</v>
      </c>
      <c r="J3020" s="4" t="n">
        <f aca="false">LEN(E3020)-LEN(SUBSTITUTE(E3020,",",""))+1</f>
        <v>8</v>
      </c>
      <c r="K3020" s="3" t="str">
        <f aca="false">IFERROR(INDEX('Teacher Lookup'!$B$2:$B$200,MATCH(A3020,'Teacher Lookup'!$A$2:$A$200,0)),"")</f>
        <v>WAN Damon</v>
      </c>
    </row>
    <row r="3021" customFormat="false" ht="15" hidden="false" customHeight="false" outlineLevel="0" collapsed="false">
      <c r="A3021" s="3" t="s">
        <v>375</v>
      </c>
      <c r="B3021" s="4" t="s">
        <v>44</v>
      </c>
      <c r="C3021" s="4" t="n">
        <v>1</v>
      </c>
      <c r="D3021" s="4" t="s">
        <v>27</v>
      </c>
      <c r="E3021" s="3" t="s">
        <v>380</v>
      </c>
      <c r="F3021" s="4" t="str">
        <f aca="false">IF(I3021&gt;J3021,"Y","N")</f>
        <v>Y</v>
      </c>
      <c r="G3021" s="3" t="s">
        <v>378</v>
      </c>
      <c r="H3021" s="3" t="s">
        <v>16</v>
      </c>
      <c r="I3021" s="4" t="n">
        <v>9</v>
      </c>
      <c r="J3021" s="4" t="n">
        <f aca="false">LEN(E3021)-LEN(SUBSTITUTE(E3021,",",""))+1</f>
        <v>8</v>
      </c>
      <c r="K3021" s="3" t="str">
        <f aca="false">IFERROR(INDEX('Teacher Lookup'!$B$2:$B$200,MATCH(A3021,'Teacher Lookup'!$A$2:$A$200,0)),"")</f>
        <v>WAN Damon</v>
      </c>
    </row>
    <row r="3022" customFormat="false" ht="15" hidden="false" customHeight="false" outlineLevel="0" collapsed="false">
      <c r="A3022" s="3" t="s">
        <v>375</v>
      </c>
      <c r="B3022" s="4" t="s">
        <v>44</v>
      </c>
      <c r="C3022" s="4" t="n">
        <v>1</v>
      </c>
      <c r="D3022" s="4" t="s">
        <v>28</v>
      </c>
      <c r="E3022" s="3" t="s">
        <v>380</v>
      </c>
      <c r="F3022" s="4" t="str">
        <f aca="false">IF(I3022&gt;J3022,"Y","N")</f>
        <v>Y</v>
      </c>
      <c r="G3022" s="3" t="s">
        <v>378</v>
      </c>
      <c r="H3022" s="3" t="s">
        <v>16</v>
      </c>
      <c r="I3022" s="4" t="n">
        <v>9</v>
      </c>
      <c r="J3022" s="4" t="n">
        <f aca="false">LEN(E3022)-LEN(SUBSTITUTE(E3022,",",""))+1</f>
        <v>8</v>
      </c>
      <c r="K3022" s="3" t="str">
        <f aca="false">IFERROR(INDEX('Teacher Lookup'!$B$2:$B$200,MATCH(A3022,'Teacher Lookup'!$A$2:$A$200,0)),"")</f>
        <v>WAN Damon</v>
      </c>
    </row>
    <row r="3023" customFormat="false" ht="15" hidden="false" customHeight="false" outlineLevel="0" collapsed="false">
      <c r="A3023" s="3" t="s">
        <v>375</v>
      </c>
      <c r="B3023" s="4" t="s">
        <v>44</v>
      </c>
      <c r="C3023" s="4" t="n">
        <v>1</v>
      </c>
      <c r="D3023" s="4" t="s">
        <v>29</v>
      </c>
      <c r="E3023" s="3" t="s">
        <v>380</v>
      </c>
      <c r="F3023" s="4" t="str">
        <f aca="false">IF(I3023&gt;J3023,"Y","N")</f>
        <v>Y</v>
      </c>
      <c r="G3023" s="3" t="s">
        <v>378</v>
      </c>
      <c r="H3023" s="3" t="s">
        <v>16</v>
      </c>
      <c r="I3023" s="4" t="n">
        <v>9</v>
      </c>
      <c r="J3023" s="4" t="n">
        <f aca="false">LEN(E3023)-LEN(SUBSTITUTE(E3023,",",""))+1</f>
        <v>8</v>
      </c>
      <c r="K3023" s="3" t="str">
        <f aca="false">IFERROR(INDEX('Teacher Lookup'!$B$2:$B$200,MATCH(A3023,'Teacher Lookup'!$A$2:$A$200,0)),"")</f>
        <v>WAN Damon</v>
      </c>
    </row>
    <row r="3024" customFormat="false" ht="15" hidden="false" customHeight="false" outlineLevel="0" collapsed="false">
      <c r="A3024" s="3" t="s">
        <v>375</v>
      </c>
      <c r="B3024" s="4" t="s">
        <v>44</v>
      </c>
      <c r="C3024" s="4" t="n">
        <v>1</v>
      </c>
      <c r="D3024" s="4" t="s">
        <v>30</v>
      </c>
      <c r="E3024" s="3" t="s">
        <v>380</v>
      </c>
      <c r="F3024" s="4" t="str">
        <f aca="false">IF(I3024&gt;J3024,"Y","N")</f>
        <v>Y</v>
      </c>
      <c r="G3024" s="3" t="s">
        <v>378</v>
      </c>
      <c r="H3024" s="3" t="s">
        <v>16</v>
      </c>
      <c r="I3024" s="4" t="n">
        <v>9</v>
      </c>
      <c r="J3024" s="4" t="n">
        <f aca="false">LEN(E3024)-LEN(SUBSTITUTE(E3024,",",""))+1</f>
        <v>8</v>
      </c>
      <c r="K3024" s="3" t="str">
        <f aca="false">IFERROR(INDEX('Teacher Lookup'!$B$2:$B$200,MATCH(A3024,'Teacher Lookup'!$A$2:$A$200,0)),"")</f>
        <v>WAN Damon</v>
      </c>
    </row>
    <row r="3025" customFormat="false" ht="15" hidden="false" customHeight="false" outlineLevel="0" collapsed="false">
      <c r="A3025" s="3" t="s">
        <v>375</v>
      </c>
      <c r="B3025" s="4" t="s">
        <v>44</v>
      </c>
      <c r="C3025" s="4" t="n">
        <v>4</v>
      </c>
      <c r="D3025" s="4" t="s">
        <v>52</v>
      </c>
      <c r="E3025" s="3" t="s">
        <v>115</v>
      </c>
      <c r="F3025" s="4" t="str">
        <f aca="false">IF(I3025&gt;J3025,"Y","N")</f>
        <v>Y</v>
      </c>
      <c r="G3025" s="3" t="s">
        <v>101</v>
      </c>
      <c r="H3025" s="3" t="s">
        <v>34</v>
      </c>
      <c r="I3025" s="4" t="n">
        <v>9</v>
      </c>
      <c r="J3025" s="4" t="n">
        <f aca="false">LEN(E3025)-LEN(SUBSTITUTE(E3025,",",""))+1</f>
        <v>8</v>
      </c>
      <c r="K3025" s="3" t="str">
        <f aca="false">IFERROR(INDEX('Teacher Lookup'!$B$2:$B$200,MATCH(A3025,'Teacher Lookup'!$A$2:$A$200,0)),"")</f>
        <v>WAN Damon</v>
      </c>
    </row>
    <row r="3026" customFormat="false" ht="15" hidden="false" customHeight="false" outlineLevel="0" collapsed="false">
      <c r="A3026" s="3" t="s">
        <v>375</v>
      </c>
      <c r="B3026" s="4" t="s">
        <v>44</v>
      </c>
      <c r="C3026" s="4" t="n">
        <v>4</v>
      </c>
      <c r="D3026" s="4" t="s">
        <v>55</v>
      </c>
      <c r="E3026" s="3" t="s">
        <v>115</v>
      </c>
      <c r="F3026" s="4" t="str">
        <f aca="false">IF(I3026&gt;J3026,"Y","N")</f>
        <v>Y</v>
      </c>
      <c r="G3026" s="3" t="s">
        <v>101</v>
      </c>
      <c r="H3026" s="3" t="s">
        <v>34</v>
      </c>
      <c r="I3026" s="4" t="n">
        <v>9</v>
      </c>
      <c r="J3026" s="4" t="n">
        <f aca="false">LEN(E3026)-LEN(SUBSTITUTE(E3026,",",""))+1</f>
        <v>8</v>
      </c>
      <c r="K3026" s="3" t="str">
        <f aca="false">IFERROR(INDEX('Teacher Lookup'!$B$2:$B$200,MATCH(A3026,'Teacher Lookup'!$A$2:$A$200,0)),"")</f>
        <v>WAN Damon</v>
      </c>
    </row>
    <row r="3027" customFormat="false" ht="15" hidden="false" customHeight="false" outlineLevel="0" collapsed="false">
      <c r="A3027" s="3" t="s">
        <v>375</v>
      </c>
      <c r="B3027" s="4" t="s">
        <v>44</v>
      </c>
      <c r="C3027" s="4" t="n">
        <v>4</v>
      </c>
      <c r="D3027" s="4" t="s">
        <v>56</v>
      </c>
      <c r="E3027" s="3" t="s">
        <v>115</v>
      </c>
      <c r="F3027" s="4" t="str">
        <f aca="false">IF(I3027&gt;J3027,"Y","N")</f>
        <v>Y</v>
      </c>
      <c r="G3027" s="3" t="s">
        <v>101</v>
      </c>
      <c r="H3027" s="3" t="s">
        <v>34</v>
      </c>
      <c r="I3027" s="4" t="n">
        <v>9</v>
      </c>
      <c r="J3027" s="4" t="n">
        <f aca="false">LEN(E3027)-LEN(SUBSTITUTE(E3027,",",""))+1</f>
        <v>8</v>
      </c>
      <c r="K3027" s="3" t="str">
        <f aca="false">IFERROR(INDEX('Teacher Lookup'!$B$2:$B$200,MATCH(A3027,'Teacher Lookup'!$A$2:$A$200,0)),"")</f>
        <v>WAN Damon</v>
      </c>
    </row>
    <row r="3028" customFormat="false" ht="15" hidden="false" customHeight="false" outlineLevel="0" collapsed="false">
      <c r="A3028" s="3" t="s">
        <v>375</v>
      </c>
      <c r="B3028" s="4" t="s">
        <v>44</v>
      </c>
      <c r="C3028" s="4" t="n">
        <v>4</v>
      </c>
      <c r="D3028" s="4" t="s">
        <v>57</v>
      </c>
      <c r="E3028" s="3" t="s">
        <v>115</v>
      </c>
      <c r="F3028" s="4" t="str">
        <f aca="false">IF(I3028&gt;J3028,"Y","N")</f>
        <v>Y</v>
      </c>
      <c r="G3028" s="3" t="s">
        <v>101</v>
      </c>
      <c r="H3028" s="3" t="s">
        <v>34</v>
      </c>
      <c r="I3028" s="4" t="n">
        <v>9</v>
      </c>
      <c r="J3028" s="4" t="n">
        <f aca="false">LEN(E3028)-LEN(SUBSTITUTE(E3028,",",""))+1</f>
        <v>8</v>
      </c>
      <c r="K3028" s="3" t="str">
        <f aca="false">IFERROR(INDEX('Teacher Lookup'!$B$2:$B$200,MATCH(A3028,'Teacher Lookup'!$A$2:$A$200,0)),"")</f>
        <v>WAN Damon</v>
      </c>
    </row>
    <row r="3029" customFormat="false" ht="15" hidden="false" customHeight="false" outlineLevel="0" collapsed="false">
      <c r="A3029" s="3" t="s">
        <v>375</v>
      </c>
      <c r="B3029" s="4" t="s">
        <v>44</v>
      </c>
      <c r="C3029" s="4" t="n">
        <v>4</v>
      </c>
      <c r="D3029" s="4" t="s">
        <v>58</v>
      </c>
      <c r="E3029" s="3" t="s">
        <v>115</v>
      </c>
      <c r="F3029" s="4" t="str">
        <f aca="false">IF(I3029&gt;J3029,"Y","N")</f>
        <v>Y</v>
      </c>
      <c r="G3029" s="3" t="s">
        <v>101</v>
      </c>
      <c r="H3029" s="3" t="s">
        <v>34</v>
      </c>
      <c r="I3029" s="4" t="n">
        <v>9</v>
      </c>
      <c r="J3029" s="4" t="n">
        <f aca="false">LEN(E3029)-LEN(SUBSTITUTE(E3029,",",""))+1</f>
        <v>8</v>
      </c>
      <c r="K3029" s="3" t="str">
        <f aca="false">IFERROR(INDEX('Teacher Lookup'!$B$2:$B$200,MATCH(A3029,'Teacher Lookup'!$A$2:$A$200,0)),"")</f>
        <v>WAN Damon</v>
      </c>
    </row>
    <row r="3030" customFormat="false" ht="15" hidden="false" customHeight="false" outlineLevel="0" collapsed="false">
      <c r="A3030" s="3" t="s">
        <v>375</v>
      </c>
      <c r="B3030" s="4" t="s">
        <v>44</v>
      </c>
      <c r="C3030" s="4" t="n">
        <v>4</v>
      </c>
      <c r="D3030" s="4" t="s">
        <v>59</v>
      </c>
      <c r="E3030" s="3" t="s">
        <v>115</v>
      </c>
      <c r="F3030" s="4" t="str">
        <f aca="false">IF(I3030&gt;J3030,"Y","N")</f>
        <v>Y</v>
      </c>
      <c r="G3030" s="3" t="s">
        <v>101</v>
      </c>
      <c r="H3030" s="3" t="s">
        <v>34</v>
      </c>
      <c r="I3030" s="4" t="n">
        <v>9</v>
      </c>
      <c r="J3030" s="4" t="n">
        <f aca="false">LEN(E3030)-LEN(SUBSTITUTE(E3030,",",""))+1</f>
        <v>8</v>
      </c>
      <c r="K3030" s="3" t="str">
        <f aca="false">IFERROR(INDEX('Teacher Lookup'!$B$2:$B$200,MATCH(A3030,'Teacher Lookup'!$A$2:$A$200,0)),"")</f>
        <v>WAN Damon</v>
      </c>
    </row>
    <row r="3031" customFormat="false" ht="15" hidden="false" customHeight="false" outlineLevel="0" collapsed="false">
      <c r="A3031" s="3" t="s">
        <v>375</v>
      </c>
      <c r="B3031" s="4" t="s">
        <v>44</v>
      </c>
      <c r="C3031" s="4" t="n">
        <v>5</v>
      </c>
      <c r="D3031" s="4" t="s">
        <v>52</v>
      </c>
      <c r="E3031" s="3" t="s">
        <v>112</v>
      </c>
      <c r="F3031" s="4" t="str">
        <f aca="false">IF(I3031&gt;J3031,"Y","N")</f>
        <v>Y</v>
      </c>
      <c r="G3031" s="3" t="s">
        <v>36</v>
      </c>
      <c r="H3031" s="3" t="s">
        <v>37</v>
      </c>
      <c r="I3031" s="4" t="n">
        <v>16</v>
      </c>
      <c r="J3031" s="4" t="n">
        <f aca="false">LEN(E3031)-LEN(SUBSTITUTE(E3031,",",""))+1</f>
        <v>7</v>
      </c>
      <c r="K3031" s="3" t="str">
        <f aca="false">IFERROR(INDEX('Teacher Lookup'!$B$2:$B$200,MATCH(A3031,'Teacher Lookup'!$A$2:$A$200,0)),"")</f>
        <v>WAN Damon</v>
      </c>
    </row>
    <row r="3032" customFormat="false" ht="15" hidden="false" customHeight="false" outlineLevel="0" collapsed="false">
      <c r="A3032" s="3" t="s">
        <v>375</v>
      </c>
      <c r="B3032" s="4" t="s">
        <v>44</v>
      </c>
      <c r="C3032" s="4" t="n">
        <v>5</v>
      </c>
      <c r="D3032" s="4" t="s">
        <v>55</v>
      </c>
      <c r="E3032" s="3" t="s">
        <v>112</v>
      </c>
      <c r="F3032" s="4" t="str">
        <f aca="false">IF(I3032&gt;J3032,"Y","N")</f>
        <v>Y</v>
      </c>
      <c r="G3032" s="3" t="s">
        <v>36</v>
      </c>
      <c r="H3032" s="3" t="s">
        <v>37</v>
      </c>
      <c r="I3032" s="4" t="n">
        <v>16</v>
      </c>
      <c r="J3032" s="4" t="n">
        <f aca="false">LEN(E3032)-LEN(SUBSTITUTE(E3032,",",""))+1</f>
        <v>7</v>
      </c>
      <c r="K3032" s="3" t="str">
        <f aca="false">IFERROR(INDEX('Teacher Lookup'!$B$2:$B$200,MATCH(A3032,'Teacher Lookup'!$A$2:$A$200,0)),"")</f>
        <v>WAN Damon</v>
      </c>
    </row>
    <row r="3033" customFormat="false" ht="15" hidden="false" customHeight="false" outlineLevel="0" collapsed="false">
      <c r="A3033" s="3" t="s">
        <v>375</v>
      </c>
      <c r="B3033" s="4" t="s">
        <v>44</v>
      </c>
      <c r="C3033" s="4" t="n">
        <v>5</v>
      </c>
      <c r="D3033" s="4" t="s">
        <v>56</v>
      </c>
      <c r="E3033" s="3" t="s">
        <v>112</v>
      </c>
      <c r="F3033" s="4" t="str">
        <f aca="false">IF(I3033&gt;J3033,"Y","N")</f>
        <v>Y</v>
      </c>
      <c r="G3033" s="3" t="s">
        <v>36</v>
      </c>
      <c r="H3033" s="3" t="s">
        <v>37</v>
      </c>
      <c r="I3033" s="4" t="n">
        <v>16</v>
      </c>
      <c r="J3033" s="4" t="n">
        <f aca="false">LEN(E3033)-LEN(SUBSTITUTE(E3033,",",""))+1</f>
        <v>7</v>
      </c>
      <c r="K3033" s="3" t="str">
        <f aca="false">IFERROR(INDEX('Teacher Lookup'!$B$2:$B$200,MATCH(A3033,'Teacher Lookup'!$A$2:$A$200,0)),"")</f>
        <v>WAN Damon</v>
      </c>
    </row>
    <row r="3034" customFormat="false" ht="15" hidden="false" customHeight="false" outlineLevel="0" collapsed="false">
      <c r="A3034" s="3" t="s">
        <v>375</v>
      </c>
      <c r="B3034" s="4" t="s">
        <v>44</v>
      </c>
      <c r="C3034" s="4" t="n">
        <v>5</v>
      </c>
      <c r="D3034" s="4" t="s">
        <v>57</v>
      </c>
      <c r="E3034" s="3" t="s">
        <v>112</v>
      </c>
      <c r="F3034" s="4" t="str">
        <f aca="false">IF(I3034&gt;J3034,"Y","N")</f>
        <v>Y</v>
      </c>
      <c r="G3034" s="3" t="s">
        <v>36</v>
      </c>
      <c r="H3034" s="3" t="s">
        <v>37</v>
      </c>
      <c r="I3034" s="4" t="n">
        <v>16</v>
      </c>
      <c r="J3034" s="4" t="n">
        <f aca="false">LEN(E3034)-LEN(SUBSTITUTE(E3034,",",""))+1</f>
        <v>7</v>
      </c>
      <c r="K3034" s="3" t="str">
        <f aca="false">IFERROR(INDEX('Teacher Lookup'!$B$2:$B$200,MATCH(A3034,'Teacher Lookup'!$A$2:$A$200,0)),"")</f>
        <v>WAN Damon</v>
      </c>
    </row>
    <row r="3035" customFormat="false" ht="15" hidden="false" customHeight="false" outlineLevel="0" collapsed="false">
      <c r="A3035" s="3" t="s">
        <v>375</v>
      </c>
      <c r="B3035" s="4" t="s">
        <v>44</v>
      </c>
      <c r="C3035" s="4" t="n">
        <v>5</v>
      </c>
      <c r="D3035" s="4" t="s">
        <v>58</v>
      </c>
      <c r="E3035" s="3" t="s">
        <v>112</v>
      </c>
      <c r="F3035" s="4" t="str">
        <f aca="false">IF(I3035&gt;J3035,"Y","N")</f>
        <v>Y</v>
      </c>
      <c r="G3035" s="3" t="s">
        <v>36</v>
      </c>
      <c r="H3035" s="3" t="s">
        <v>37</v>
      </c>
      <c r="I3035" s="4" t="n">
        <v>16</v>
      </c>
      <c r="J3035" s="4" t="n">
        <f aca="false">LEN(E3035)-LEN(SUBSTITUTE(E3035,",",""))+1</f>
        <v>7</v>
      </c>
      <c r="K3035" s="3" t="str">
        <f aca="false">IFERROR(INDEX('Teacher Lookup'!$B$2:$B$200,MATCH(A3035,'Teacher Lookup'!$A$2:$A$200,0)),"")</f>
        <v>WAN Damon</v>
      </c>
    </row>
    <row r="3036" customFormat="false" ht="15" hidden="false" customHeight="false" outlineLevel="0" collapsed="false">
      <c r="A3036" s="3" t="s">
        <v>375</v>
      </c>
      <c r="B3036" s="4" t="s">
        <v>44</v>
      </c>
      <c r="C3036" s="4" t="n">
        <v>5</v>
      </c>
      <c r="D3036" s="4" t="s">
        <v>59</v>
      </c>
      <c r="E3036" s="3" t="s">
        <v>112</v>
      </c>
      <c r="F3036" s="4" t="str">
        <f aca="false">IF(I3036&gt;J3036,"Y","N")</f>
        <v>Y</v>
      </c>
      <c r="G3036" s="3" t="s">
        <v>36</v>
      </c>
      <c r="H3036" s="3" t="s">
        <v>37</v>
      </c>
      <c r="I3036" s="4" t="n">
        <v>16</v>
      </c>
      <c r="J3036" s="4" t="n">
        <f aca="false">LEN(E3036)-LEN(SUBSTITUTE(E3036,",",""))+1</f>
        <v>7</v>
      </c>
      <c r="K3036" s="3" t="str">
        <f aca="false">IFERROR(INDEX('Teacher Lookup'!$B$2:$B$200,MATCH(A3036,'Teacher Lookup'!$A$2:$A$200,0)),"")</f>
        <v>WAN Damon</v>
      </c>
    </row>
    <row r="3037" customFormat="false" ht="15" hidden="false" customHeight="false" outlineLevel="0" collapsed="false">
      <c r="A3037" s="3" t="s">
        <v>375</v>
      </c>
      <c r="B3037" s="4" t="s">
        <v>47</v>
      </c>
      <c r="C3037" s="4" t="n">
        <v>3</v>
      </c>
      <c r="D3037" s="4" t="s">
        <v>24</v>
      </c>
      <c r="E3037" s="3" t="s">
        <v>381</v>
      </c>
      <c r="F3037" s="4" t="str">
        <f aca="false">IF(I3037&gt;J3037,"Y","N")</f>
        <v>N</v>
      </c>
      <c r="G3037" s="3" t="s">
        <v>378</v>
      </c>
      <c r="H3037" s="3" t="s">
        <v>26</v>
      </c>
      <c r="I3037" s="4" t="n">
        <v>8</v>
      </c>
      <c r="J3037" s="4" t="n">
        <f aca="false">LEN(E3037)-LEN(SUBSTITUTE(E3037,",",""))+1</f>
        <v>8</v>
      </c>
      <c r="K3037" s="3" t="str">
        <f aca="false">IFERROR(INDEX('Teacher Lookup'!$B$2:$B$200,MATCH(A3037,'Teacher Lookup'!$A$2:$A$200,0)),"")</f>
        <v>WAN Damon</v>
      </c>
    </row>
    <row r="3038" customFormat="false" ht="15" hidden="false" customHeight="false" outlineLevel="0" collapsed="false">
      <c r="A3038" s="3" t="s">
        <v>375</v>
      </c>
      <c r="B3038" s="4" t="s">
        <v>47</v>
      </c>
      <c r="C3038" s="4" t="n">
        <v>3</v>
      </c>
      <c r="D3038" s="4" t="s">
        <v>27</v>
      </c>
      <c r="E3038" s="3" t="s">
        <v>381</v>
      </c>
      <c r="F3038" s="4" t="str">
        <f aca="false">IF(I3038&gt;J3038,"Y","N")</f>
        <v>N</v>
      </c>
      <c r="G3038" s="3" t="s">
        <v>378</v>
      </c>
      <c r="H3038" s="3" t="s">
        <v>26</v>
      </c>
      <c r="I3038" s="4" t="n">
        <v>8</v>
      </c>
      <c r="J3038" s="4" t="n">
        <f aca="false">LEN(E3038)-LEN(SUBSTITUTE(E3038,",",""))+1</f>
        <v>8</v>
      </c>
      <c r="K3038" s="3" t="str">
        <f aca="false">IFERROR(INDEX('Teacher Lookup'!$B$2:$B$200,MATCH(A3038,'Teacher Lookup'!$A$2:$A$200,0)),"")</f>
        <v>WAN Damon</v>
      </c>
    </row>
    <row r="3039" customFormat="false" ht="15" hidden="false" customHeight="false" outlineLevel="0" collapsed="false">
      <c r="A3039" s="3" t="s">
        <v>375</v>
      </c>
      <c r="B3039" s="4" t="s">
        <v>47</v>
      </c>
      <c r="C3039" s="4" t="n">
        <v>3</v>
      </c>
      <c r="D3039" s="4" t="s">
        <v>28</v>
      </c>
      <c r="E3039" s="3" t="s">
        <v>381</v>
      </c>
      <c r="F3039" s="4" t="str">
        <f aca="false">IF(I3039&gt;J3039,"Y","N")</f>
        <v>N</v>
      </c>
      <c r="G3039" s="3" t="s">
        <v>378</v>
      </c>
      <c r="H3039" s="3" t="s">
        <v>26</v>
      </c>
      <c r="I3039" s="4" t="n">
        <v>8</v>
      </c>
      <c r="J3039" s="4" t="n">
        <f aca="false">LEN(E3039)-LEN(SUBSTITUTE(E3039,",",""))+1</f>
        <v>8</v>
      </c>
      <c r="K3039" s="3" t="str">
        <f aca="false">IFERROR(INDEX('Teacher Lookup'!$B$2:$B$200,MATCH(A3039,'Teacher Lookup'!$A$2:$A$200,0)),"")</f>
        <v>WAN Damon</v>
      </c>
    </row>
    <row r="3040" customFormat="false" ht="15" hidden="false" customHeight="false" outlineLevel="0" collapsed="false">
      <c r="A3040" s="3" t="s">
        <v>375</v>
      </c>
      <c r="B3040" s="4" t="s">
        <v>47</v>
      </c>
      <c r="C3040" s="4" t="n">
        <v>3</v>
      </c>
      <c r="D3040" s="4" t="s">
        <v>29</v>
      </c>
      <c r="E3040" s="3" t="s">
        <v>381</v>
      </c>
      <c r="F3040" s="4" t="str">
        <f aca="false">IF(I3040&gt;J3040,"Y","N")</f>
        <v>N</v>
      </c>
      <c r="G3040" s="3" t="s">
        <v>378</v>
      </c>
      <c r="H3040" s="3" t="s">
        <v>26</v>
      </c>
      <c r="I3040" s="4" t="n">
        <v>8</v>
      </c>
      <c r="J3040" s="4" t="n">
        <f aca="false">LEN(E3040)-LEN(SUBSTITUTE(E3040,",",""))+1</f>
        <v>8</v>
      </c>
      <c r="K3040" s="3" t="str">
        <f aca="false">IFERROR(INDEX('Teacher Lookup'!$B$2:$B$200,MATCH(A3040,'Teacher Lookup'!$A$2:$A$200,0)),"")</f>
        <v>WAN Damon</v>
      </c>
    </row>
    <row r="3041" customFormat="false" ht="15" hidden="false" customHeight="false" outlineLevel="0" collapsed="false">
      <c r="A3041" s="3" t="s">
        <v>375</v>
      </c>
      <c r="B3041" s="4" t="s">
        <v>47</v>
      </c>
      <c r="C3041" s="4" t="n">
        <v>3</v>
      </c>
      <c r="D3041" s="4" t="s">
        <v>30</v>
      </c>
      <c r="E3041" s="3" t="s">
        <v>381</v>
      </c>
      <c r="F3041" s="4" t="str">
        <f aca="false">IF(I3041&gt;J3041,"Y","N")</f>
        <v>N</v>
      </c>
      <c r="G3041" s="3" t="s">
        <v>378</v>
      </c>
      <c r="H3041" s="3" t="s">
        <v>26</v>
      </c>
      <c r="I3041" s="4" t="n">
        <v>8</v>
      </c>
      <c r="J3041" s="4" t="n">
        <f aca="false">LEN(E3041)-LEN(SUBSTITUTE(E3041,",",""))+1</f>
        <v>8</v>
      </c>
      <c r="K3041" s="3" t="str">
        <f aca="false">IFERROR(INDEX('Teacher Lookup'!$B$2:$B$200,MATCH(A3041,'Teacher Lookup'!$A$2:$A$200,0)),"")</f>
        <v>WAN Damon</v>
      </c>
    </row>
    <row r="3042" customFormat="false" ht="15" hidden="false" customHeight="false" outlineLevel="0" collapsed="false">
      <c r="A3042" s="3" t="s">
        <v>375</v>
      </c>
      <c r="B3042" s="4" t="s">
        <v>47</v>
      </c>
      <c r="C3042" s="4" t="n">
        <v>4</v>
      </c>
      <c r="D3042" s="4" t="s">
        <v>24</v>
      </c>
      <c r="E3042" s="3" t="s">
        <v>381</v>
      </c>
      <c r="F3042" s="4" t="str">
        <f aca="false">IF(I3042&gt;J3042,"Y","N")</f>
        <v>N</v>
      </c>
      <c r="G3042" s="3" t="s">
        <v>378</v>
      </c>
      <c r="H3042" s="3" t="s">
        <v>34</v>
      </c>
      <c r="I3042" s="4" t="n">
        <v>8</v>
      </c>
      <c r="J3042" s="4" t="n">
        <f aca="false">LEN(E3042)-LEN(SUBSTITUTE(E3042,",",""))+1</f>
        <v>8</v>
      </c>
      <c r="K3042" s="3" t="str">
        <f aca="false">IFERROR(INDEX('Teacher Lookup'!$B$2:$B$200,MATCH(A3042,'Teacher Lookup'!$A$2:$A$200,0)),"")</f>
        <v>WAN Damon</v>
      </c>
    </row>
    <row r="3043" customFormat="false" ht="15" hidden="false" customHeight="false" outlineLevel="0" collapsed="false">
      <c r="A3043" s="3" t="s">
        <v>375</v>
      </c>
      <c r="B3043" s="4" t="s">
        <v>47</v>
      </c>
      <c r="C3043" s="4" t="n">
        <v>4</v>
      </c>
      <c r="D3043" s="4" t="s">
        <v>27</v>
      </c>
      <c r="E3043" s="3" t="s">
        <v>381</v>
      </c>
      <c r="F3043" s="4" t="str">
        <f aca="false">IF(I3043&gt;J3043,"Y","N")</f>
        <v>N</v>
      </c>
      <c r="G3043" s="3" t="s">
        <v>378</v>
      </c>
      <c r="H3043" s="3" t="s">
        <v>34</v>
      </c>
      <c r="I3043" s="4" t="n">
        <v>8</v>
      </c>
      <c r="J3043" s="4" t="n">
        <f aca="false">LEN(E3043)-LEN(SUBSTITUTE(E3043,",",""))+1</f>
        <v>8</v>
      </c>
      <c r="K3043" s="3" t="str">
        <f aca="false">IFERROR(INDEX('Teacher Lookup'!$B$2:$B$200,MATCH(A3043,'Teacher Lookup'!$A$2:$A$200,0)),"")</f>
        <v>WAN Damon</v>
      </c>
    </row>
    <row r="3044" customFormat="false" ht="15" hidden="false" customHeight="false" outlineLevel="0" collapsed="false">
      <c r="A3044" s="3" t="s">
        <v>375</v>
      </c>
      <c r="B3044" s="4" t="s">
        <v>47</v>
      </c>
      <c r="C3044" s="4" t="n">
        <v>4</v>
      </c>
      <c r="D3044" s="4" t="s">
        <v>28</v>
      </c>
      <c r="E3044" s="3" t="s">
        <v>381</v>
      </c>
      <c r="F3044" s="4" t="str">
        <f aca="false">IF(I3044&gt;J3044,"Y","N")</f>
        <v>N</v>
      </c>
      <c r="G3044" s="3" t="s">
        <v>378</v>
      </c>
      <c r="H3044" s="3" t="s">
        <v>34</v>
      </c>
      <c r="I3044" s="4" t="n">
        <v>8</v>
      </c>
      <c r="J3044" s="4" t="n">
        <f aca="false">LEN(E3044)-LEN(SUBSTITUTE(E3044,",",""))+1</f>
        <v>8</v>
      </c>
      <c r="K3044" s="3" t="str">
        <f aca="false">IFERROR(INDEX('Teacher Lookup'!$B$2:$B$200,MATCH(A3044,'Teacher Lookup'!$A$2:$A$200,0)),"")</f>
        <v>WAN Damon</v>
      </c>
    </row>
    <row r="3045" customFormat="false" ht="15" hidden="false" customHeight="false" outlineLevel="0" collapsed="false">
      <c r="A3045" s="3" t="s">
        <v>375</v>
      </c>
      <c r="B3045" s="4" t="s">
        <v>47</v>
      </c>
      <c r="C3045" s="4" t="n">
        <v>4</v>
      </c>
      <c r="D3045" s="4" t="s">
        <v>29</v>
      </c>
      <c r="E3045" s="3" t="s">
        <v>381</v>
      </c>
      <c r="F3045" s="4" t="str">
        <f aca="false">IF(I3045&gt;J3045,"Y","N")</f>
        <v>N</v>
      </c>
      <c r="G3045" s="3" t="s">
        <v>378</v>
      </c>
      <c r="H3045" s="3" t="s">
        <v>34</v>
      </c>
      <c r="I3045" s="4" t="n">
        <v>8</v>
      </c>
      <c r="J3045" s="4" t="n">
        <f aca="false">LEN(E3045)-LEN(SUBSTITUTE(E3045,",",""))+1</f>
        <v>8</v>
      </c>
      <c r="K3045" s="3" t="str">
        <f aca="false">IFERROR(INDEX('Teacher Lookup'!$B$2:$B$200,MATCH(A3045,'Teacher Lookup'!$A$2:$A$200,0)),"")</f>
        <v>WAN Damon</v>
      </c>
    </row>
    <row r="3046" customFormat="false" ht="15" hidden="false" customHeight="false" outlineLevel="0" collapsed="false">
      <c r="A3046" s="3" t="s">
        <v>375</v>
      </c>
      <c r="B3046" s="4" t="s">
        <v>47</v>
      </c>
      <c r="C3046" s="4" t="n">
        <v>4</v>
      </c>
      <c r="D3046" s="4" t="s">
        <v>30</v>
      </c>
      <c r="E3046" s="3" t="s">
        <v>381</v>
      </c>
      <c r="F3046" s="4" t="str">
        <f aca="false">IF(I3046&gt;J3046,"Y","N")</f>
        <v>N</v>
      </c>
      <c r="G3046" s="3" t="s">
        <v>378</v>
      </c>
      <c r="H3046" s="3" t="s">
        <v>34</v>
      </c>
      <c r="I3046" s="4" t="n">
        <v>8</v>
      </c>
      <c r="J3046" s="4" t="n">
        <f aca="false">LEN(E3046)-LEN(SUBSTITUTE(E3046,",",""))+1</f>
        <v>8</v>
      </c>
      <c r="K3046" s="3" t="str">
        <f aca="false">IFERROR(INDEX('Teacher Lookup'!$B$2:$B$200,MATCH(A3046,'Teacher Lookup'!$A$2:$A$200,0)),"")</f>
        <v>WAN Damon</v>
      </c>
    </row>
    <row r="3047" customFormat="false" ht="15" hidden="false" customHeight="false" outlineLevel="0" collapsed="false">
      <c r="A3047" s="3" t="s">
        <v>375</v>
      </c>
      <c r="B3047" s="4" t="s">
        <v>47</v>
      </c>
      <c r="C3047" s="4" t="n">
        <v>6</v>
      </c>
      <c r="D3047" s="4" t="s">
        <v>52</v>
      </c>
      <c r="E3047" s="3" t="s">
        <v>117</v>
      </c>
      <c r="F3047" s="4" t="str">
        <f aca="false">IF(I3047&gt;J3047,"Y","N")</f>
        <v>N</v>
      </c>
      <c r="G3047" s="3" t="s">
        <v>101</v>
      </c>
      <c r="H3047" s="3" t="s">
        <v>42</v>
      </c>
      <c r="I3047" s="4" t="n">
        <v>8</v>
      </c>
      <c r="J3047" s="4" t="n">
        <f aca="false">LEN(E3047)-LEN(SUBSTITUTE(E3047,",",""))+1</f>
        <v>8</v>
      </c>
      <c r="K3047" s="3" t="str">
        <f aca="false">IFERROR(INDEX('Teacher Lookup'!$B$2:$B$200,MATCH(A3047,'Teacher Lookup'!$A$2:$A$200,0)),"")</f>
        <v>WAN Damon</v>
      </c>
    </row>
    <row r="3048" customFormat="false" ht="15" hidden="false" customHeight="false" outlineLevel="0" collapsed="false">
      <c r="A3048" s="3" t="s">
        <v>375</v>
      </c>
      <c r="B3048" s="4" t="s">
        <v>47</v>
      </c>
      <c r="C3048" s="4" t="n">
        <v>6</v>
      </c>
      <c r="D3048" s="4" t="s">
        <v>55</v>
      </c>
      <c r="E3048" s="3" t="s">
        <v>117</v>
      </c>
      <c r="F3048" s="4" t="str">
        <f aca="false">IF(I3048&gt;J3048,"Y","N")</f>
        <v>N</v>
      </c>
      <c r="G3048" s="3" t="s">
        <v>101</v>
      </c>
      <c r="H3048" s="3" t="s">
        <v>42</v>
      </c>
      <c r="I3048" s="4" t="n">
        <v>8</v>
      </c>
      <c r="J3048" s="4" t="n">
        <f aca="false">LEN(E3048)-LEN(SUBSTITUTE(E3048,",",""))+1</f>
        <v>8</v>
      </c>
      <c r="K3048" s="3" t="str">
        <f aca="false">IFERROR(INDEX('Teacher Lookup'!$B$2:$B$200,MATCH(A3048,'Teacher Lookup'!$A$2:$A$200,0)),"")</f>
        <v>WAN Damon</v>
      </c>
    </row>
    <row r="3049" customFormat="false" ht="15" hidden="false" customHeight="false" outlineLevel="0" collapsed="false">
      <c r="A3049" s="3" t="s">
        <v>375</v>
      </c>
      <c r="B3049" s="4" t="s">
        <v>47</v>
      </c>
      <c r="C3049" s="4" t="n">
        <v>6</v>
      </c>
      <c r="D3049" s="4" t="s">
        <v>56</v>
      </c>
      <c r="E3049" s="3" t="s">
        <v>117</v>
      </c>
      <c r="F3049" s="4" t="str">
        <f aca="false">IF(I3049&gt;J3049,"Y","N")</f>
        <v>N</v>
      </c>
      <c r="G3049" s="3" t="s">
        <v>101</v>
      </c>
      <c r="H3049" s="3" t="s">
        <v>42</v>
      </c>
      <c r="I3049" s="4" t="n">
        <v>8</v>
      </c>
      <c r="J3049" s="4" t="n">
        <f aca="false">LEN(E3049)-LEN(SUBSTITUTE(E3049,",",""))+1</f>
        <v>8</v>
      </c>
      <c r="K3049" s="3" t="str">
        <f aca="false">IFERROR(INDEX('Teacher Lookup'!$B$2:$B$200,MATCH(A3049,'Teacher Lookup'!$A$2:$A$200,0)),"")</f>
        <v>WAN Damon</v>
      </c>
    </row>
    <row r="3050" customFormat="false" ht="15" hidden="false" customHeight="false" outlineLevel="0" collapsed="false">
      <c r="A3050" s="3" t="s">
        <v>375</v>
      </c>
      <c r="B3050" s="4" t="s">
        <v>47</v>
      </c>
      <c r="C3050" s="4" t="n">
        <v>6</v>
      </c>
      <c r="D3050" s="4" t="s">
        <v>57</v>
      </c>
      <c r="E3050" s="3" t="s">
        <v>117</v>
      </c>
      <c r="F3050" s="4" t="str">
        <f aca="false">IF(I3050&gt;J3050,"Y","N")</f>
        <v>N</v>
      </c>
      <c r="G3050" s="3" t="s">
        <v>101</v>
      </c>
      <c r="H3050" s="3" t="s">
        <v>42</v>
      </c>
      <c r="I3050" s="4" t="n">
        <v>8</v>
      </c>
      <c r="J3050" s="4" t="n">
        <f aca="false">LEN(E3050)-LEN(SUBSTITUTE(E3050,",",""))+1</f>
        <v>8</v>
      </c>
      <c r="K3050" s="3" t="str">
        <f aca="false">IFERROR(INDEX('Teacher Lookup'!$B$2:$B$200,MATCH(A3050,'Teacher Lookup'!$A$2:$A$200,0)),"")</f>
        <v>WAN Damon</v>
      </c>
    </row>
    <row r="3051" customFormat="false" ht="15" hidden="false" customHeight="false" outlineLevel="0" collapsed="false">
      <c r="A3051" s="3" t="s">
        <v>375</v>
      </c>
      <c r="B3051" s="4" t="s">
        <v>47</v>
      </c>
      <c r="C3051" s="4" t="n">
        <v>6</v>
      </c>
      <c r="D3051" s="4" t="s">
        <v>58</v>
      </c>
      <c r="E3051" s="3" t="s">
        <v>117</v>
      </c>
      <c r="F3051" s="4" t="str">
        <f aca="false">IF(I3051&gt;J3051,"Y","N")</f>
        <v>N</v>
      </c>
      <c r="G3051" s="3" t="s">
        <v>101</v>
      </c>
      <c r="H3051" s="3" t="s">
        <v>42</v>
      </c>
      <c r="I3051" s="4" t="n">
        <v>8</v>
      </c>
      <c r="J3051" s="4" t="n">
        <f aca="false">LEN(E3051)-LEN(SUBSTITUTE(E3051,",",""))+1</f>
        <v>8</v>
      </c>
      <c r="K3051" s="3" t="str">
        <f aca="false">IFERROR(INDEX('Teacher Lookup'!$B$2:$B$200,MATCH(A3051,'Teacher Lookup'!$A$2:$A$200,0)),"")</f>
        <v>WAN Damon</v>
      </c>
    </row>
    <row r="3052" customFormat="false" ht="15" hidden="false" customHeight="false" outlineLevel="0" collapsed="false">
      <c r="A3052" s="3" t="s">
        <v>375</v>
      </c>
      <c r="B3052" s="4" t="s">
        <v>47</v>
      </c>
      <c r="C3052" s="4" t="n">
        <v>6</v>
      </c>
      <c r="D3052" s="4" t="s">
        <v>59</v>
      </c>
      <c r="E3052" s="3" t="s">
        <v>117</v>
      </c>
      <c r="F3052" s="4" t="str">
        <f aca="false">IF(I3052&gt;J3052,"Y","N")</f>
        <v>N</v>
      </c>
      <c r="G3052" s="3" t="s">
        <v>101</v>
      </c>
      <c r="H3052" s="3" t="s">
        <v>42</v>
      </c>
      <c r="I3052" s="4" t="n">
        <v>8</v>
      </c>
      <c r="J3052" s="4" t="n">
        <f aca="false">LEN(E3052)-LEN(SUBSTITUTE(E3052,",",""))+1</f>
        <v>8</v>
      </c>
      <c r="K3052" s="3" t="str">
        <f aca="false">IFERROR(INDEX('Teacher Lookup'!$B$2:$B$200,MATCH(A3052,'Teacher Lookup'!$A$2:$A$200,0)),"")</f>
        <v>WAN Damon</v>
      </c>
    </row>
    <row r="3053" customFormat="false" ht="15" hidden="false" customHeight="false" outlineLevel="0" collapsed="false">
      <c r="A3053" s="3" t="s">
        <v>375</v>
      </c>
      <c r="B3053" s="4" t="s">
        <v>50</v>
      </c>
      <c r="C3053" s="4" t="n">
        <v>3</v>
      </c>
      <c r="D3053" s="4" t="s">
        <v>52</v>
      </c>
      <c r="E3053" s="3" t="s">
        <v>115</v>
      </c>
      <c r="F3053" s="4" t="str">
        <f aca="false">IF(I3053&gt;J3053,"Y","N")</f>
        <v>Y</v>
      </c>
      <c r="G3053" s="3" t="s">
        <v>101</v>
      </c>
      <c r="H3053" s="3" t="s">
        <v>26</v>
      </c>
      <c r="I3053" s="4" t="n">
        <v>9</v>
      </c>
      <c r="J3053" s="4" t="n">
        <f aca="false">LEN(E3053)-LEN(SUBSTITUTE(E3053,",",""))+1</f>
        <v>8</v>
      </c>
      <c r="K3053" s="3" t="str">
        <f aca="false">IFERROR(INDEX('Teacher Lookup'!$B$2:$B$200,MATCH(A3053,'Teacher Lookup'!$A$2:$A$200,0)),"")</f>
        <v>WAN Damon</v>
      </c>
    </row>
    <row r="3054" customFormat="false" ht="15" hidden="false" customHeight="false" outlineLevel="0" collapsed="false">
      <c r="A3054" s="3" t="s">
        <v>375</v>
      </c>
      <c r="B3054" s="4" t="s">
        <v>50</v>
      </c>
      <c r="C3054" s="4" t="n">
        <v>3</v>
      </c>
      <c r="D3054" s="4" t="s">
        <v>55</v>
      </c>
      <c r="E3054" s="3" t="s">
        <v>115</v>
      </c>
      <c r="F3054" s="4" t="str">
        <f aca="false">IF(I3054&gt;J3054,"Y","N")</f>
        <v>Y</v>
      </c>
      <c r="G3054" s="3" t="s">
        <v>101</v>
      </c>
      <c r="H3054" s="3" t="s">
        <v>26</v>
      </c>
      <c r="I3054" s="4" t="n">
        <v>9</v>
      </c>
      <c r="J3054" s="4" t="n">
        <f aca="false">LEN(E3054)-LEN(SUBSTITUTE(E3054,",",""))+1</f>
        <v>8</v>
      </c>
      <c r="K3054" s="3" t="str">
        <f aca="false">IFERROR(INDEX('Teacher Lookup'!$B$2:$B$200,MATCH(A3054,'Teacher Lookup'!$A$2:$A$200,0)),"")</f>
        <v>WAN Damon</v>
      </c>
    </row>
    <row r="3055" customFormat="false" ht="15" hidden="false" customHeight="false" outlineLevel="0" collapsed="false">
      <c r="A3055" s="3" t="s">
        <v>375</v>
      </c>
      <c r="B3055" s="4" t="s">
        <v>50</v>
      </c>
      <c r="C3055" s="4" t="n">
        <v>3</v>
      </c>
      <c r="D3055" s="4" t="s">
        <v>56</v>
      </c>
      <c r="E3055" s="3" t="s">
        <v>115</v>
      </c>
      <c r="F3055" s="4" t="str">
        <f aca="false">IF(I3055&gt;J3055,"Y","N")</f>
        <v>Y</v>
      </c>
      <c r="G3055" s="3" t="s">
        <v>101</v>
      </c>
      <c r="H3055" s="3" t="s">
        <v>26</v>
      </c>
      <c r="I3055" s="4" t="n">
        <v>9</v>
      </c>
      <c r="J3055" s="4" t="n">
        <f aca="false">LEN(E3055)-LEN(SUBSTITUTE(E3055,",",""))+1</f>
        <v>8</v>
      </c>
      <c r="K3055" s="3" t="str">
        <f aca="false">IFERROR(INDEX('Teacher Lookup'!$B$2:$B$200,MATCH(A3055,'Teacher Lookup'!$A$2:$A$200,0)),"")</f>
        <v>WAN Damon</v>
      </c>
    </row>
    <row r="3056" customFormat="false" ht="15" hidden="false" customHeight="false" outlineLevel="0" collapsed="false">
      <c r="A3056" s="3" t="s">
        <v>375</v>
      </c>
      <c r="B3056" s="4" t="s">
        <v>50</v>
      </c>
      <c r="C3056" s="4" t="n">
        <v>3</v>
      </c>
      <c r="D3056" s="4" t="s">
        <v>57</v>
      </c>
      <c r="E3056" s="3" t="s">
        <v>115</v>
      </c>
      <c r="F3056" s="4" t="str">
        <f aca="false">IF(I3056&gt;J3056,"Y","N")</f>
        <v>Y</v>
      </c>
      <c r="G3056" s="3" t="s">
        <v>101</v>
      </c>
      <c r="H3056" s="3" t="s">
        <v>26</v>
      </c>
      <c r="I3056" s="4" t="n">
        <v>9</v>
      </c>
      <c r="J3056" s="4" t="n">
        <f aca="false">LEN(E3056)-LEN(SUBSTITUTE(E3056,",",""))+1</f>
        <v>8</v>
      </c>
      <c r="K3056" s="3" t="str">
        <f aca="false">IFERROR(INDEX('Teacher Lookup'!$B$2:$B$200,MATCH(A3056,'Teacher Lookup'!$A$2:$A$200,0)),"")</f>
        <v>WAN Damon</v>
      </c>
    </row>
    <row r="3057" customFormat="false" ht="15" hidden="false" customHeight="false" outlineLevel="0" collapsed="false">
      <c r="A3057" s="3" t="s">
        <v>375</v>
      </c>
      <c r="B3057" s="4" t="s">
        <v>50</v>
      </c>
      <c r="C3057" s="4" t="n">
        <v>3</v>
      </c>
      <c r="D3057" s="4" t="s">
        <v>58</v>
      </c>
      <c r="E3057" s="3" t="s">
        <v>115</v>
      </c>
      <c r="F3057" s="4" t="str">
        <f aca="false">IF(I3057&gt;J3057,"Y","N")</f>
        <v>Y</v>
      </c>
      <c r="G3057" s="3" t="s">
        <v>101</v>
      </c>
      <c r="H3057" s="3" t="s">
        <v>26</v>
      </c>
      <c r="I3057" s="4" t="n">
        <v>9</v>
      </c>
      <c r="J3057" s="4" t="n">
        <f aca="false">LEN(E3057)-LEN(SUBSTITUTE(E3057,",",""))+1</f>
        <v>8</v>
      </c>
      <c r="K3057" s="3" t="str">
        <f aca="false">IFERROR(INDEX('Teacher Lookup'!$B$2:$B$200,MATCH(A3057,'Teacher Lookup'!$A$2:$A$200,0)),"")</f>
        <v>WAN Damon</v>
      </c>
    </row>
    <row r="3058" customFormat="false" ht="15" hidden="false" customHeight="false" outlineLevel="0" collapsed="false">
      <c r="A3058" s="3" t="s">
        <v>375</v>
      </c>
      <c r="B3058" s="4" t="s">
        <v>50</v>
      </c>
      <c r="C3058" s="4" t="n">
        <v>3</v>
      </c>
      <c r="D3058" s="4" t="s">
        <v>59</v>
      </c>
      <c r="E3058" s="3" t="s">
        <v>115</v>
      </c>
      <c r="F3058" s="4" t="str">
        <f aca="false">IF(I3058&gt;J3058,"Y","N")</f>
        <v>Y</v>
      </c>
      <c r="G3058" s="3" t="s">
        <v>101</v>
      </c>
      <c r="H3058" s="3" t="s">
        <v>26</v>
      </c>
      <c r="I3058" s="4" t="n">
        <v>9</v>
      </c>
      <c r="J3058" s="4" t="n">
        <f aca="false">LEN(E3058)-LEN(SUBSTITUTE(E3058,",",""))+1</f>
        <v>8</v>
      </c>
      <c r="K3058" s="3" t="str">
        <f aca="false">IFERROR(INDEX('Teacher Lookup'!$B$2:$B$200,MATCH(A3058,'Teacher Lookup'!$A$2:$A$200,0)),"")</f>
        <v>WAN Damon</v>
      </c>
    </row>
    <row r="3059" customFormat="false" ht="15" hidden="false" customHeight="false" outlineLevel="0" collapsed="false">
      <c r="A3059" s="3" t="s">
        <v>375</v>
      </c>
      <c r="B3059" s="4" t="s">
        <v>50</v>
      </c>
      <c r="C3059" s="4" t="n">
        <v>7</v>
      </c>
      <c r="D3059" s="4" t="s">
        <v>24</v>
      </c>
      <c r="E3059" s="3" t="s">
        <v>382</v>
      </c>
      <c r="F3059" s="4" t="str">
        <f aca="false">IF(I3059&gt;J3059,"Y","N")</f>
        <v>N</v>
      </c>
      <c r="G3059" s="3" t="s">
        <v>378</v>
      </c>
      <c r="H3059" s="3" t="s">
        <v>39</v>
      </c>
      <c r="I3059" s="4" t="n">
        <v>8</v>
      </c>
      <c r="J3059" s="4" t="n">
        <f aca="false">LEN(E3059)-LEN(SUBSTITUTE(E3059,",",""))+1</f>
        <v>8</v>
      </c>
      <c r="K3059" s="3" t="str">
        <f aca="false">IFERROR(INDEX('Teacher Lookup'!$B$2:$B$200,MATCH(A3059,'Teacher Lookup'!$A$2:$A$200,0)),"")</f>
        <v>WAN Damon</v>
      </c>
    </row>
    <row r="3060" customFormat="false" ht="15" hidden="false" customHeight="false" outlineLevel="0" collapsed="false">
      <c r="A3060" s="3" t="s">
        <v>375</v>
      </c>
      <c r="B3060" s="4" t="s">
        <v>50</v>
      </c>
      <c r="C3060" s="4" t="n">
        <v>7</v>
      </c>
      <c r="D3060" s="4" t="s">
        <v>27</v>
      </c>
      <c r="E3060" s="3" t="s">
        <v>382</v>
      </c>
      <c r="F3060" s="4" t="str">
        <f aca="false">IF(I3060&gt;J3060,"Y","N")</f>
        <v>N</v>
      </c>
      <c r="G3060" s="3" t="s">
        <v>378</v>
      </c>
      <c r="H3060" s="3" t="s">
        <v>39</v>
      </c>
      <c r="I3060" s="4" t="n">
        <v>8</v>
      </c>
      <c r="J3060" s="4" t="n">
        <f aca="false">LEN(E3060)-LEN(SUBSTITUTE(E3060,",",""))+1</f>
        <v>8</v>
      </c>
      <c r="K3060" s="3" t="str">
        <f aca="false">IFERROR(INDEX('Teacher Lookup'!$B$2:$B$200,MATCH(A3060,'Teacher Lookup'!$A$2:$A$200,0)),"")</f>
        <v>WAN Damon</v>
      </c>
    </row>
    <row r="3061" customFormat="false" ht="15" hidden="false" customHeight="false" outlineLevel="0" collapsed="false">
      <c r="A3061" s="3" t="s">
        <v>375</v>
      </c>
      <c r="B3061" s="4" t="s">
        <v>50</v>
      </c>
      <c r="C3061" s="4" t="n">
        <v>7</v>
      </c>
      <c r="D3061" s="4" t="s">
        <v>28</v>
      </c>
      <c r="E3061" s="3" t="s">
        <v>382</v>
      </c>
      <c r="F3061" s="4" t="str">
        <f aca="false">IF(I3061&gt;J3061,"Y","N")</f>
        <v>N</v>
      </c>
      <c r="G3061" s="3" t="s">
        <v>378</v>
      </c>
      <c r="H3061" s="3" t="s">
        <v>39</v>
      </c>
      <c r="I3061" s="4" t="n">
        <v>8</v>
      </c>
      <c r="J3061" s="4" t="n">
        <f aca="false">LEN(E3061)-LEN(SUBSTITUTE(E3061,",",""))+1</f>
        <v>8</v>
      </c>
      <c r="K3061" s="3" t="str">
        <f aca="false">IFERROR(INDEX('Teacher Lookup'!$B$2:$B$200,MATCH(A3061,'Teacher Lookup'!$A$2:$A$200,0)),"")</f>
        <v>WAN Damon</v>
      </c>
    </row>
    <row r="3062" customFormat="false" ht="15" hidden="false" customHeight="false" outlineLevel="0" collapsed="false">
      <c r="A3062" s="3" t="s">
        <v>375</v>
      </c>
      <c r="B3062" s="4" t="s">
        <v>50</v>
      </c>
      <c r="C3062" s="4" t="n">
        <v>7</v>
      </c>
      <c r="D3062" s="4" t="s">
        <v>29</v>
      </c>
      <c r="E3062" s="3" t="s">
        <v>382</v>
      </c>
      <c r="F3062" s="4" t="str">
        <f aca="false">IF(I3062&gt;J3062,"Y","N")</f>
        <v>N</v>
      </c>
      <c r="G3062" s="3" t="s">
        <v>378</v>
      </c>
      <c r="H3062" s="3" t="s">
        <v>39</v>
      </c>
      <c r="I3062" s="4" t="n">
        <v>8</v>
      </c>
      <c r="J3062" s="4" t="n">
        <f aca="false">LEN(E3062)-LEN(SUBSTITUTE(E3062,",",""))+1</f>
        <v>8</v>
      </c>
      <c r="K3062" s="3" t="str">
        <f aca="false">IFERROR(INDEX('Teacher Lookup'!$B$2:$B$200,MATCH(A3062,'Teacher Lookup'!$A$2:$A$200,0)),"")</f>
        <v>WAN Damon</v>
      </c>
    </row>
    <row r="3063" customFormat="false" ht="15" hidden="false" customHeight="false" outlineLevel="0" collapsed="false">
      <c r="A3063" s="3" t="s">
        <v>375</v>
      </c>
      <c r="B3063" s="4" t="s">
        <v>50</v>
      </c>
      <c r="C3063" s="4" t="n">
        <v>7</v>
      </c>
      <c r="D3063" s="4" t="s">
        <v>30</v>
      </c>
      <c r="E3063" s="3" t="s">
        <v>382</v>
      </c>
      <c r="F3063" s="4" t="str">
        <f aca="false">IF(I3063&gt;J3063,"Y","N")</f>
        <v>N</v>
      </c>
      <c r="G3063" s="3" t="s">
        <v>378</v>
      </c>
      <c r="H3063" s="3" t="s">
        <v>39</v>
      </c>
      <c r="I3063" s="4" t="n">
        <v>8</v>
      </c>
      <c r="J3063" s="4" t="n">
        <f aca="false">LEN(E3063)-LEN(SUBSTITUTE(E3063,",",""))+1</f>
        <v>8</v>
      </c>
      <c r="K3063" s="3" t="str">
        <f aca="false">IFERROR(INDEX('Teacher Lookup'!$B$2:$B$200,MATCH(A3063,'Teacher Lookup'!$A$2:$A$200,0)),"")</f>
        <v>WAN Damon</v>
      </c>
    </row>
    <row r="3064" customFormat="false" ht="15" hidden="false" customHeight="false" outlineLevel="0" collapsed="false">
      <c r="A3064" s="3" t="s">
        <v>375</v>
      </c>
      <c r="B3064" s="4" t="s">
        <v>60</v>
      </c>
      <c r="C3064" s="4" t="n">
        <v>3</v>
      </c>
      <c r="D3064" s="4" t="s">
        <v>24</v>
      </c>
      <c r="E3064" s="3" t="s">
        <v>383</v>
      </c>
      <c r="F3064" s="4" t="str">
        <f aca="false">IF(I3064&gt;J3064,"Y","N")</f>
        <v>N</v>
      </c>
      <c r="G3064" s="3" t="s">
        <v>378</v>
      </c>
      <c r="H3064" s="3" t="s">
        <v>26</v>
      </c>
      <c r="I3064" s="4" t="n">
        <v>8</v>
      </c>
      <c r="J3064" s="4" t="n">
        <f aca="false">LEN(E3064)-LEN(SUBSTITUTE(E3064,",",""))+1</f>
        <v>8</v>
      </c>
      <c r="K3064" s="3" t="str">
        <f aca="false">IFERROR(INDEX('Teacher Lookup'!$B$2:$B$200,MATCH(A3064,'Teacher Lookup'!$A$2:$A$200,0)),"")</f>
        <v>WAN Damon</v>
      </c>
    </row>
    <row r="3065" customFormat="false" ht="15" hidden="false" customHeight="false" outlineLevel="0" collapsed="false">
      <c r="A3065" s="3" t="s">
        <v>375</v>
      </c>
      <c r="B3065" s="4" t="s">
        <v>60</v>
      </c>
      <c r="C3065" s="4" t="n">
        <v>3</v>
      </c>
      <c r="D3065" s="4" t="s">
        <v>27</v>
      </c>
      <c r="E3065" s="3" t="s">
        <v>383</v>
      </c>
      <c r="F3065" s="4" t="str">
        <f aca="false">IF(I3065&gt;J3065,"Y","N")</f>
        <v>N</v>
      </c>
      <c r="G3065" s="3" t="s">
        <v>378</v>
      </c>
      <c r="H3065" s="3" t="s">
        <v>26</v>
      </c>
      <c r="I3065" s="4" t="n">
        <v>8</v>
      </c>
      <c r="J3065" s="4" t="n">
        <f aca="false">LEN(E3065)-LEN(SUBSTITUTE(E3065,",",""))+1</f>
        <v>8</v>
      </c>
      <c r="K3065" s="3" t="str">
        <f aca="false">IFERROR(INDEX('Teacher Lookup'!$B$2:$B$200,MATCH(A3065,'Teacher Lookup'!$A$2:$A$200,0)),"")</f>
        <v>WAN Damon</v>
      </c>
    </row>
    <row r="3066" customFormat="false" ht="15" hidden="false" customHeight="false" outlineLevel="0" collapsed="false">
      <c r="A3066" s="3" t="s">
        <v>375</v>
      </c>
      <c r="B3066" s="4" t="s">
        <v>60</v>
      </c>
      <c r="C3066" s="4" t="n">
        <v>3</v>
      </c>
      <c r="D3066" s="4" t="s">
        <v>28</v>
      </c>
      <c r="E3066" s="3" t="s">
        <v>383</v>
      </c>
      <c r="F3066" s="4" t="str">
        <f aca="false">IF(I3066&gt;J3066,"Y","N")</f>
        <v>N</v>
      </c>
      <c r="G3066" s="3" t="s">
        <v>378</v>
      </c>
      <c r="H3066" s="3" t="s">
        <v>26</v>
      </c>
      <c r="I3066" s="4" t="n">
        <v>8</v>
      </c>
      <c r="J3066" s="4" t="n">
        <f aca="false">LEN(E3066)-LEN(SUBSTITUTE(E3066,",",""))+1</f>
        <v>8</v>
      </c>
      <c r="K3066" s="3" t="str">
        <f aca="false">IFERROR(INDEX('Teacher Lookup'!$B$2:$B$200,MATCH(A3066,'Teacher Lookup'!$A$2:$A$200,0)),"")</f>
        <v>WAN Damon</v>
      </c>
    </row>
    <row r="3067" customFormat="false" ht="15" hidden="false" customHeight="false" outlineLevel="0" collapsed="false">
      <c r="A3067" s="3" t="s">
        <v>375</v>
      </c>
      <c r="B3067" s="4" t="s">
        <v>60</v>
      </c>
      <c r="C3067" s="4" t="n">
        <v>3</v>
      </c>
      <c r="D3067" s="4" t="s">
        <v>29</v>
      </c>
      <c r="E3067" s="3" t="s">
        <v>383</v>
      </c>
      <c r="F3067" s="4" t="str">
        <f aca="false">IF(I3067&gt;J3067,"Y","N")</f>
        <v>N</v>
      </c>
      <c r="G3067" s="3" t="s">
        <v>378</v>
      </c>
      <c r="H3067" s="3" t="s">
        <v>26</v>
      </c>
      <c r="I3067" s="4" t="n">
        <v>8</v>
      </c>
      <c r="J3067" s="4" t="n">
        <f aca="false">LEN(E3067)-LEN(SUBSTITUTE(E3067,",",""))+1</f>
        <v>8</v>
      </c>
      <c r="K3067" s="3" t="str">
        <f aca="false">IFERROR(INDEX('Teacher Lookup'!$B$2:$B$200,MATCH(A3067,'Teacher Lookup'!$A$2:$A$200,0)),"")</f>
        <v>WAN Damon</v>
      </c>
    </row>
    <row r="3068" customFormat="false" ht="15" hidden="false" customHeight="false" outlineLevel="0" collapsed="false">
      <c r="A3068" s="3" t="s">
        <v>375</v>
      </c>
      <c r="B3068" s="4" t="s">
        <v>60</v>
      </c>
      <c r="C3068" s="4" t="n">
        <v>3</v>
      </c>
      <c r="D3068" s="4" t="s">
        <v>30</v>
      </c>
      <c r="E3068" s="3" t="s">
        <v>383</v>
      </c>
      <c r="F3068" s="4" t="str">
        <f aca="false">IF(I3068&gt;J3068,"Y","N")</f>
        <v>N</v>
      </c>
      <c r="G3068" s="3" t="s">
        <v>378</v>
      </c>
      <c r="H3068" s="3" t="s">
        <v>26</v>
      </c>
      <c r="I3068" s="4" t="n">
        <v>8</v>
      </c>
      <c r="J3068" s="4" t="n">
        <f aca="false">LEN(E3068)-LEN(SUBSTITUTE(E3068,",",""))+1</f>
        <v>8</v>
      </c>
      <c r="K3068" s="3" t="str">
        <f aca="false">IFERROR(INDEX('Teacher Lookup'!$B$2:$B$200,MATCH(A3068,'Teacher Lookup'!$A$2:$A$200,0)),"")</f>
        <v>WAN Damon</v>
      </c>
    </row>
    <row r="3069" customFormat="false" ht="15" hidden="false" customHeight="false" outlineLevel="0" collapsed="false">
      <c r="A3069" s="3" t="s">
        <v>375</v>
      </c>
      <c r="B3069" s="4" t="s">
        <v>60</v>
      </c>
      <c r="C3069" s="4" t="n">
        <v>4</v>
      </c>
      <c r="D3069" s="4" t="s">
        <v>52</v>
      </c>
      <c r="E3069" s="3" t="s">
        <v>119</v>
      </c>
      <c r="F3069" s="4" t="str">
        <f aca="false">IF(I3069&gt;J3069,"Y","N")</f>
        <v>N</v>
      </c>
      <c r="G3069" s="3" t="s">
        <v>101</v>
      </c>
      <c r="H3069" s="3" t="s">
        <v>34</v>
      </c>
      <c r="I3069" s="4" t="n">
        <v>8</v>
      </c>
      <c r="J3069" s="4" t="n">
        <f aca="false">LEN(E3069)-LEN(SUBSTITUTE(E3069,",",""))+1</f>
        <v>8</v>
      </c>
      <c r="K3069" s="3" t="str">
        <f aca="false">IFERROR(INDEX('Teacher Lookup'!$B$2:$B$200,MATCH(A3069,'Teacher Lookup'!$A$2:$A$200,0)),"")</f>
        <v>WAN Damon</v>
      </c>
    </row>
    <row r="3070" customFormat="false" ht="15" hidden="false" customHeight="false" outlineLevel="0" collapsed="false">
      <c r="A3070" s="3" t="s">
        <v>375</v>
      </c>
      <c r="B3070" s="4" t="s">
        <v>60</v>
      </c>
      <c r="C3070" s="4" t="n">
        <v>4</v>
      </c>
      <c r="D3070" s="4" t="s">
        <v>55</v>
      </c>
      <c r="E3070" s="3" t="s">
        <v>119</v>
      </c>
      <c r="F3070" s="4" t="str">
        <f aca="false">IF(I3070&gt;J3070,"Y","N")</f>
        <v>N</v>
      </c>
      <c r="G3070" s="3" t="s">
        <v>101</v>
      </c>
      <c r="H3070" s="3" t="s">
        <v>34</v>
      </c>
      <c r="I3070" s="4" t="n">
        <v>8</v>
      </c>
      <c r="J3070" s="4" t="n">
        <f aca="false">LEN(E3070)-LEN(SUBSTITUTE(E3070,",",""))+1</f>
        <v>8</v>
      </c>
      <c r="K3070" s="3" t="str">
        <f aca="false">IFERROR(INDEX('Teacher Lookup'!$B$2:$B$200,MATCH(A3070,'Teacher Lookup'!$A$2:$A$200,0)),"")</f>
        <v>WAN Damon</v>
      </c>
    </row>
    <row r="3071" customFormat="false" ht="15" hidden="false" customHeight="false" outlineLevel="0" collapsed="false">
      <c r="A3071" s="3" t="s">
        <v>375</v>
      </c>
      <c r="B3071" s="4" t="s">
        <v>60</v>
      </c>
      <c r="C3071" s="4" t="n">
        <v>4</v>
      </c>
      <c r="D3071" s="4" t="s">
        <v>56</v>
      </c>
      <c r="E3071" s="3" t="s">
        <v>119</v>
      </c>
      <c r="F3071" s="4" t="str">
        <f aca="false">IF(I3071&gt;J3071,"Y","N")</f>
        <v>N</v>
      </c>
      <c r="G3071" s="3" t="s">
        <v>101</v>
      </c>
      <c r="H3071" s="3" t="s">
        <v>34</v>
      </c>
      <c r="I3071" s="4" t="n">
        <v>8</v>
      </c>
      <c r="J3071" s="4" t="n">
        <f aca="false">LEN(E3071)-LEN(SUBSTITUTE(E3071,",",""))+1</f>
        <v>8</v>
      </c>
      <c r="K3071" s="3" t="str">
        <f aca="false">IFERROR(INDEX('Teacher Lookup'!$B$2:$B$200,MATCH(A3071,'Teacher Lookup'!$A$2:$A$200,0)),"")</f>
        <v>WAN Damon</v>
      </c>
    </row>
    <row r="3072" customFormat="false" ht="15" hidden="false" customHeight="false" outlineLevel="0" collapsed="false">
      <c r="A3072" s="3" t="s">
        <v>375</v>
      </c>
      <c r="B3072" s="4" t="s">
        <v>60</v>
      </c>
      <c r="C3072" s="4" t="n">
        <v>4</v>
      </c>
      <c r="D3072" s="4" t="s">
        <v>57</v>
      </c>
      <c r="E3072" s="3" t="s">
        <v>119</v>
      </c>
      <c r="F3072" s="4" t="str">
        <f aca="false">IF(I3072&gt;J3072,"Y","N")</f>
        <v>N</v>
      </c>
      <c r="G3072" s="3" t="s">
        <v>101</v>
      </c>
      <c r="H3072" s="3" t="s">
        <v>34</v>
      </c>
      <c r="I3072" s="4" t="n">
        <v>8</v>
      </c>
      <c r="J3072" s="4" t="n">
        <f aca="false">LEN(E3072)-LEN(SUBSTITUTE(E3072,",",""))+1</f>
        <v>8</v>
      </c>
      <c r="K3072" s="3" t="str">
        <f aca="false">IFERROR(INDEX('Teacher Lookup'!$B$2:$B$200,MATCH(A3072,'Teacher Lookup'!$A$2:$A$200,0)),"")</f>
        <v>WAN Damon</v>
      </c>
    </row>
    <row r="3073" customFormat="false" ht="15" hidden="false" customHeight="false" outlineLevel="0" collapsed="false">
      <c r="A3073" s="3" t="s">
        <v>375</v>
      </c>
      <c r="B3073" s="4" t="s">
        <v>60</v>
      </c>
      <c r="C3073" s="4" t="n">
        <v>4</v>
      </c>
      <c r="D3073" s="4" t="s">
        <v>58</v>
      </c>
      <c r="E3073" s="3" t="s">
        <v>119</v>
      </c>
      <c r="F3073" s="4" t="str">
        <f aca="false">IF(I3073&gt;J3073,"Y","N")</f>
        <v>N</v>
      </c>
      <c r="G3073" s="3" t="s">
        <v>101</v>
      </c>
      <c r="H3073" s="3" t="s">
        <v>34</v>
      </c>
      <c r="I3073" s="4" t="n">
        <v>8</v>
      </c>
      <c r="J3073" s="4" t="n">
        <f aca="false">LEN(E3073)-LEN(SUBSTITUTE(E3073,",",""))+1</f>
        <v>8</v>
      </c>
      <c r="K3073" s="3" t="str">
        <f aca="false">IFERROR(INDEX('Teacher Lookup'!$B$2:$B$200,MATCH(A3073,'Teacher Lookup'!$A$2:$A$200,0)),"")</f>
        <v>WAN Damon</v>
      </c>
    </row>
    <row r="3074" customFormat="false" ht="15" hidden="false" customHeight="false" outlineLevel="0" collapsed="false">
      <c r="A3074" s="3" t="s">
        <v>375</v>
      </c>
      <c r="B3074" s="4" t="s">
        <v>60</v>
      </c>
      <c r="C3074" s="4" t="n">
        <v>4</v>
      </c>
      <c r="D3074" s="4" t="s">
        <v>59</v>
      </c>
      <c r="E3074" s="3" t="s">
        <v>119</v>
      </c>
      <c r="F3074" s="4" t="str">
        <f aca="false">IF(I3074&gt;J3074,"Y","N")</f>
        <v>N</v>
      </c>
      <c r="G3074" s="3" t="s">
        <v>101</v>
      </c>
      <c r="H3074" s="3" t="s">
        <v>34</v>
      </c>
      <c r="I3074" s="4" t="n">
        <v>8</v>
      </c>
      <c r="J3074" s="4" t="n">
        <f aca="false">LEN(E3074)-LEN(SUBSTITUTE(E3074,",",""))+1</f>
        <v>8</v>
      </c>
      <c r="K3074" s="3" t="str">
        <f aca="false">IFERROR(INDEX('Teacher Lookup'!$B$2:$B$200,MATCH(A3074,'Teacher Lookup'!$A$2:$A$200,0)),"")</f>
        <v>WAN Damon</v>
      </c>
    </row>
    <row r="3075" customFormat="false" ht="15" hidden="false" customHeight="false" outlineLevel="0" collapsed="false">
      <c r="A3075" s="3" t="s">
        <v>375</v>
      </c>
      <c r="B3075" s="4" t="s">
        <v>60</v>
      </c>
      <c r="C3075" s="4" t="n">
        <v>5</v>
      </c>
      <c r="D3075" s="4" t="s">
        <v>52</v>
      </c>
      <c r="E3075" s="3" t="s">
        <v>112</v>
      </c>
      <c r="F3075" s="4" t="str">
        <f aca="false">IF(I3075&gt;J3075,"Y","N")</f>
        <v>Y</v>
      </c>
      <c r="G3075" s="3" t="s">
        <v>36</v>
      </c>
      <c r="H3075" s="3" t="s">
        <v>37</v>
      </c>
      <c r="I3075" s="4" t="n">
        <v>16</v>
      </c>
      <c r="J3075" s="4" t="n">
        <f aca="false">LEN(E3075)-LEN(SUBSTITUTE(E3075,",",""))+1</f>
        <v>7</v>
      </c>
      <c r="K3075" s="3" t="str">
        <f aca="false">IFERROR(INDEX('Teacher Lookup'!$B$2:$B$200,MATCH(A3075,'Teacher Lookup'!$A$2:$A$200,0)),"")</f>
        <v>WAN Damon</v>
      </c>
    </row>
    <row r="3076" customFormat="false" ht="15" hidden="false" customHeight="false" outlineLevel="0" collapsed="false">
      <c r="A3076" s="3" t="s">
        <v>375</v>
      </c>
      <c r="B3076" s="4" t="s">
        <v>60</v>
      </c>
      <c r="C3076" s="4" t="n">
        <v>5</v>
      </c>
      <c r="D3076" s="4" t="s">
        <v>55</v>
      </c>
      <c r="E3076" s="3" t="s">
        <v>112</v>
      </c>
      <c r="F3076" s="4" t="str">
        <f aca="false">IF(I3076&gt;J3076,"Y","N")</f>
        <v>Y</v>
      </c>
      <c r="G3076" s="3" t="s">
        <v>36</v>
      </c>
      <c r="H3076" s="3" t="s">
        <v>37</v>
      </c>
      <c r="I3076" s="4" t="n">
        <v>16</v>
      </c>
      <c r="J3076" s="4" t="n">
        <f aca="false">LEN(E3076)-LEN(SUBSTITUTE(E3076,",",""))+1</f>
        <v>7</v>
      </c>
      <c r="K3076" s="3" t="str">
        <f aca="false">IFERROR(INDEX('Teacher Lookup'!$B$2:$B$200,MATCH(A3076,'Teacher Lookup'!$A$2:$A$200,0)),"")</f>
        <v>WAN Damon</v>
      </c>
    </row>
    <row r="3077" customFormat="false" ht="15" hidden="false" customHeight="false" outlineLevel="0" collapsed="false">
      <c r="A3077" s="3" t="s">
        <v>375</v>
      </c>
      <c r="B3077" s="4" t="s">
        <v>60</v>
      </c>
      <c r="C3077" s="4" t="n">
        <v>5</v>
      </c>
      <c r="D3077" s="4" t="s">
        <v>56</v>
      </c>
      <c r="E3077" s="3" t="s">
        <v>112</v>
      </c>
      <c r="F3077" s="4" t="str">
        <f aca="false">IF(I3077&gt;J3077,"Y","N")</f>
        <v>Y</v>
      </c>
      <c r="G3077" s="3" t="s">
        <v>36</v>
      </c>
      <c r="H3077" s="3" t="s">
        <v>37</v>
      </c>
      <c r="I3077" s="4" t="n">
        <v>16</v>
      </c>
      <c r="J3077" s="4" t="n">
        <f aca="false">LEN(E3077)-LEN(SUBSTITUTE(E3077,",",""))+1</f>
        <v>7</v>
      </c>
      <c r="K3077" s="3" t="str">
        <f aca="false">IFERROR(INDEX('Teacher Lookup'!$B$2:$B$200,MATCH(A3077,'Teacher Lookup'!$A$2:$A$200,0)),"")</f>
        <v>WAN Damon</v>
      </c>
    </row>
    <row r="3078" customFormat="false" ht="15" hidden="false" customHeight="false" outlineLevel="0" collapsed="false">
      <c r="A3078" s="3" t="s">
        <v>375</v>
      </c>
      <c r="B3078" s="4" t="s">
        <v>60</v>
      </c>
      <c r="C3078" s="4" t="n">
        <v>5</v>
      </c>
      <c r="D3078" s="4" t="s">
        <v>57</v>
      </c>
      <c r="E3078" s="3" t="s">
        <v>112</v>
      </c>
      <c r="F3078" s="4" t="str">
        <f aca="false">IF(I3078&gt;J3078,"Y","N")</f>
        <v>Y</v>
      </c>
      <c r="G3078" s="3" t="s">
        <v>36</v>
      </c>
      <c r="H3078" s="3" t="s">
        <v>37</v>
      </c>
      <c r="I3078" s="4" t="n">
        <v>16</v>
      </c>
      <c r="J3078" s="4" t="n">
        <f aca="false">LEN(E3078)-LEN(SUBSTITUTE(E3078,",",""))+1</f>
        <v>7</v>
      </c>
      <c r="K3078" s="3" t="str">
        <f aca="false">IFERROR(INDEX('Teacher Lookup'!$B$2:$B$200,MATCH(A3078,'Teacher Lookup'!$A$2:$A$200,0)),"")</f>
        <v>WAN Damon</v>
      </c>
    </row>
    <row r="3079" customFormat="false" ht="15" hidden="false" customHeight="false" outlineLevel="0" collapsed="false">
      <c r="A3079" s="3" t="s">
        <v>375</v>
      </c>
      <c r="B3079" s="4" t="s">
        <v>60</v>
      </c>
      <c r="C3079" s="4" t="n">
        <v>5</v>
      </c>
      <c r="D3079" s="4" t="s">
        <v>58</v>
      </c>
      <c r="E3079" s="3" t="s">
        <v>112</v>
      </c>
      <c r="F3079" s="4" t="str">
        <f aca="false">IF(I3079&gt;J3079,"Y","N")</f>
        <v>Y</v>
      </c>
      <c r="G3079" s="3" t="s">
        <v>36</v>
      </c>
      <c r="H3079" s="3" t="s">
        <v>37</v>
      </c>
      <c r="I3079" s="4" t="n">
        <v>16</v>
      </c>
      <c r="J3079" s="4" t="n">
        <f aca="false">LEN(E3079)-LEN(SUBSTITUTE(E3079,",",""))+1</f>
        <v>7</v>
      </c>
      <c r="K3079" s="3" t="str">
        <f aca="false">IFERROR(INDEX('Teacher Lookup'!$B$2:$B$200,MATCH(A3079,'Teacher Lookup'!$A$2:$A$200,0)),"")</f>
        <v>WAN Damon</v>
      </c>
    </row>
    <row r="3080" customFormat="false" ht="15" hidden="false" customHeight="false" outlineLevel="0" collapsed="false">
      <c r="A3080" s="3" t="s">
        <v>375</v>
      </c>
      <c r="B3080" s="4" t="s">
        <v>60</v>
      </c>
      <c r="C3080" s="4" t="n">
        <v>5</v>
      </c>
      <c r="D3080" s="4" t="s">
        <v>59</v>
      </c>
      <c r="E3080" s="3" t="s">
        <v>112</v>
      </c>
      <c r="F3080" s="4" t="str">
        <f aca="false">IF(I3080&gt;J3080,"Y","N")</f>
        <v>Y</v>
      </c>
      <c r="G3080" s="3" t="s">
        <v>36</v>
      </c>
      <c r="H3080" s="3" t="s">
        <v>37</v>
      </c>
      <c r="I3080" s="4" t="n">
        <v>16</v>
      </c>
      <c r="J3080" s="4" t="n">
        <f aca="false">LEN(E3080)-LEN(SUBSTITUTE(E3080,",",""))+1</f>
        <v>7</v>
      </c>
      <c r="K3080" s="3" t="str">
        <f aca="false">IFERROR(INDEX('Teacher Lookup'!$B$2:$B$200,MATCH(A3080,'Teacher Lookup'!$A$2:$A$200,0)),"")</f>
        <v>WAN Damon</v>
      </c>
    </row>
    <row r="3081" customFormat="false" ht="15" hidden="false" customHeight="false" outlineLevel="0" collapsed="false">
      <c r="A3081" s="3" t="s">
        <v>375</v>
      </c>
      <c r="B3081" s="4" t="s">
        <v>60</v>
      </c>
      <c r="C3081" s="4" t="n">
        <v>6</v>
      </c>
      <c r="D3081" s="4" t="s">
        <v>76</v>
      </c>
      <c r="E3081" s="3" t="s">
        <v>113</v>
      </c>
      <c r="F3081" s="4" t="str">
        <f aca="false">IF(I3081&gt;J3081,"Y","N")</f>
        <v>N</v>
      </c>
      <c r="G3081" s="3" t="s">
        <v>376</v>
      </c>
      <c r="H3081" s="3" t="s">
        <v>42</v>
      </c>
      <c r="I3081" s="4" t="n">
        <v>1</v>
      </c>
      <c r="J3081" s="4" t="n">
        <f aca="false">LEN(E3081)-LEN(SUBSTITUTE(E3081,",",""))+1</f>
        <v>1</v>
      </c>
      <c r="K3081" s="3" t="str">
        <f aca="false">IFERROR(INDEX('Teacher Lookup'!$B$2:$B$200,MATCH(A3081,'Teacher Lookup'!$A$2:$A$200,0)),"")</f>
        <v>WAN Damon</v>
      </c>
    </row>
    <row r="3082" customFormat="false" ht="15" hidden="false" customHeight="false" outlineLevel="0" collapsed="false">
      <c r="A3082" s="3" t="s">
        <v>375</v>
      </c>
      <c r="B3082" s="4" t="s">
        <v>63</v>
      </c>
      <c r="C3082" s="4" t="n">
        <v>2</v>
      </c>
      <c r="D3082" s="4" t="s">
        <v>70</v>
      </c>
      <c r="E3082" s="3" t="s">
        <v>108</v>
      </c>
      <c r="F3082" s="4" t="str">
        <f aca="false">IF(I3082&gt;J3082,"Y","N")</f>
        <v>N</v>
      </c>
      <c r="G3082" s="3" t="s">
        <v>376</v>
      </c>
      <c r="H3082" s="3" t="s">
        <v>21</v>
      </c>
      <c r="I3082" s="4" t="n">
        <v>1</v>
      </c>
      <c r="J3082" s="4" t="n">
        <f aca="false">LEN(E3082)-LEN(SUBSTITUTE(E3082,",",""))+1</f>
        <v>1</v>
      </c>
      <c r="K3082" s="3" t="str">
        <f aca="false">IFERROR(INDEX('Teacher Lookup'!$B$2:$B$200,MATCH(A3082,'Teacher Lookup'!$A$2:$A$200,0)),"")</f>
        <v>WAN Damon</v>
      </c>
    </row>
    <row r="3083" customFormat="false" ht="15" hidden="false" customHeight="false" outlineLevel="0" collapsed="false">
      <c r="A3083" s="3" t="s">
        <v>375</v>
      </c>
      <c r="B3083" s="4" t="s">
        <v>63</v>
      </c>
      <c r="C3083" s="4" t="n">
        <v>4</v>
      </c>
      <c r="D3083" s="4" t="s">
        <v>70</v>
      </c>
      <c r="E3083" s="3" t="s">
        <v>213</v>
      </c>
      <c r="F3083" s="4" t="str">
        <f aca="false">IF(I3083&gt;J3083,"Y","N")</f>
        <v>Y</v>
      </c>
      <c r="G3083" s="3" t="s">
        <v>214</v>
      </c>
      <c r="H3083" s="3" t="s">
        <v>34</v>
      </c>
      <c r="I3083" s="4" t="n">
        <v>20</v>
      </c>
      <c r="J3083" s="4" t="n">
        <f aca="false">LEN(E3083)-LEN(SUBSTITUTE(E3083,",",""))+1</f>
        <v>6</v>
      </c>
      <c r="K3083" s="3" t="str">
        <f aca="false">IFERROR(INDEX('Teacher Lookup'!$B$2:$B$200,MATCH(A3083,'Teacher Lookup'!$A$2:$A$200,0)),"")</f>
        <v>WAN Damon</v>
      </c>
    </row>
    <row r="3084" customFormat="false" ht="15" hidden="false" customHeight="false" outlineLevel="0" collapsed="false">
      <c r="A3084" s="3" t="s">
        <v>375</v>
      </c>
      <c r="B3084" s="4" t="s">
        <v>63</v>
      </c>
      <c r="C3084" s="4" t="n">
        <v>4</v>
      </c>
      <c r="D3084" s="4" t="s">
        <v>73</v>
      </c>
      <c r="E3084" s="3" t="s">
        <v>213</v>
      </c>
      <c r="F3084" s="4" t="str">
        <f aca="false">IF(I3084&gt;J3084,"Y","N")</f>
        <v>Y</v>
      </c>
      <c r="G3084" s="3" t="s">
        <v>214</v>
      </c>
      <c r="H3084" s="3" t="s">
        <v>34</v>
      </c>
      <c r="I3084" s="4" t="n">
        <v>20</v>
      </c>
      <c r="J3084" s="4" t="n">
        <f aca="false">LEN(E3084)-LEN(SUBSTITUTE(E3084,",",""))+1</f>
        <v>6</v>
      </c>
      <c r="K3084" s="3" t="str">
        <f aca="false">IFERROR(INDEX('Teacher Lookup'!$B$2:$B$200,MATCH(A3084,'Teacher Lookup'!$A$2:$A$200,0)),"")</f>
        <v>WAN Damon</v>
      </c>
    </row>
    <row r="3085" customFormat="false" ht="15" hidden="false" customHeight="false" outlineLevel="0" collapsed="false">
      <c r="A3085" s="3" t="s">
        <v>375</v>
      </c>
      <c r="B3085" s="4" t="s">
        <v>63</v>
      </c>
      <c r="C3085" s="4" t="n">
        <v>4</v>
      </c>
      <c r="D3085" s="4" t="s">
        <v>74</v>
      </c>
      <c r="E3085" s="3" t="s">
        <v>213</v>
      </c>
      <c r="F3085" s="4" t="str">
        <f aca="false">IF(I3085&gt;J3085,"Y","N")</f>
        <v>Y</v>
      </c>
      <c r="G3085" s="3" t="s">
        <v>214</v>
      </c>
      <c r="H3085" s="3" t="s">
        <v>34</v>
      </c>
      <c r="I3085" s="4" t="n">
        <v>20</v>
      </c>
      <c r="J3085" s="4" t="n">
        <f aca="false">LEN(E3085)-LEN(SUBSTITUTE(E3085,",",""))+1</f>
        <v>6</v>
      </c>
      <c r="K3085" s="3" t="str">
        <f aca="false">IFERROR(INDEX('Teacher Lookup'!$B$2:$B$200,MATCH(A3085,'Teacher Lookup'!$A$2:$A$200,0)),"")</f>
        <v>WAN Damon</v>
      </c>
    </row>
    <row r="3086" customFormat="false" ht="15" hidden="false" customHeight="false" outlineLevel="0" collapsed="false">
      <c r="A3086" s="3" t="s">
        <v>375</v>
      </c>
      <c r="B3086" s="4" t="s">
        <v>63</v>
      </c>
      <c r="C3086" s="4" t="n">
        <v>4</v>
      </c>
      <c r="D3086" s="4" t="s">
        <v>76</v>
      </c>
      <c r="E3086" s="3" t="s">
        <v>213</v>
      </c>
      <c r="F3086" s="4" t="str">
        <f aca="false">IF(I3086&gt;J3086,"Y","N")</f>
        <v>Y</v>
      </c>
      <c r="G3086" s="3" t="s">
        <v>214</v>
      </c>
      <c r="H3086" s="3" t="s">
        <v>34</v>
      </c>
      <c r="I3086" s="4" t="n">
        <v>20</v>
      </c>
      <c r="J3086" s="4" t="n">
        <f aca="false">LEN(E3086)-LEN(SUBSTITUTE(E3086,",",""))+1</f>
        <v>6</v>
      </c>
      <c r="K3086" s="3" t="str">
        <f aca="false">IFERROR(INDEX('Teacher Lookup'!$B$2:$B$200,MATCH(A3086,'Teacher Lookup'!$A$2:$A$200,0)),"")</f>
        <v>WAN Damon</v>
      </c>
    </row>
    <row r="3087" customFormat="false" ht="15" hidden="false" customHeight="false" outlineLevel="0" collapsed="false">
      <c r="A3087" s="3" t="s">
        <v>375</v>
      </c>
      <c r="B3087" s="4" t="s">
        <v>63</v>
      </c>
      <c r="C3087" s="4" t="n">
        <v>4</v>
      </c>
      <c r="D3087" s="4" t="s">
        <v>78</v>
      </c>
      <c r="E3087" s="3" t="s">
        <v>213</v>
      </c>
      <c r="F3087" s="4" t="str">
        <f aca="false">IF(I3087&gt;J3087,"Y","N")</f>
        <v>Y</v>
      </c>
      <c r="G3087" s="3" t="s">
        <v>214</v>
      </c>
      <c r="H3087" s="3" t="s">
        <v>34</v>
      </c>
      <c r="I3087" s="4" t="n">
        <v>20</v>
      </c>
      <c r="J3087" s="4" t="n">
        <f aca="false">LEN(E3087)-LEN(SUBSTITUTE(E3087,",",""))+1</f>
        <v>6</v>
      </c>
      <c r="K3087" s="3" t="str">
        <f aca="false">IFERROR(INDEX('Teacher Lookup'!$B$2:$B$200,MATCH(A3087,'Teacher Lookup'!$A$2:$A$200,0)),"")</f>
        <v>WAN Damon</v>
      </c>
    </row>
    <row r="3088" customFormat="false" ht="15" hidden="false" customHeight="false" outlineLevel="0" collapsed="false">
      <c r="A3088" s="3" t="s">
        <v>375</v>
      </c>
      <c r="B3088" s="4" t="s">
        <v>63</v>
      </c>
      <c r="C3088" s="4" t="n">
        <v>4</v>
      </c>
      <c r="D3088" s="4" t="s">
        <v>79</v>
      </c>
      <c r="E3088" s="3" t="s">
        <v>213</v>
      </c>
      <c r="F3088" s="4" t="str">
        <f aca="false">IF(I3088&gt;J3088,"Y","N")</f>
        <v>Y</v>
      </c>
      <c r="G3088" s="3" t="s">
        <v>214</v>
      </c>
      <c r="H3088" s="3" t="s">
        <v>34</v>
      </c>
      <c r="I3088" s="4" t="n">
        <v>20</v>
      </c>
      <c r="J3088" s="4" t="n">
        <f aca="false">LEN(E3088)-LEN(SUBSTITUTE(E3088,",",""))+1</f>
        <v>6</v>
      </c>
      <c r="K3088" s="3" t="str">
        <f aca="false">IFERROR(INDEX('Teacher Lookup'!$B$2:$B$200,MATCH(A3088,'Teacher Lookup'!$A$2:$A$200,0)),"")</f>
        <v>WAN Damon</v>
      </c>
    </row>
    <row r="3089" customFormat="false" ht="15" hidden="false" customHeight="false" outlineLevel="0" collapsed="false">
      <c r="A3089" s="3" t="s">
        <v>375</v>
      </c>
      <c r="B3089" s="4" t="s">
        <v>63</v>
      </c>
      <c r="C3089" s="4" t="n">
        <v>5</v>
      </c>
      <c r="D3089" s="4" t="s">
        <v>70</v>
      </c>
      <c r="E3089" s="3" t="s">
        <v>213</v>
      </c>
      <c r="F3089" s="4" t="str">
        <f aca="false">IF(I3089&gt;J3089,"Y","N")</f>
        <v>Y</v>
      </c>
      <c r="G3089" s="3" t="s">
        <v>214</v>
      </c>
      <c r="H3089" s="3" t="s">
        <v>37</v>
      </c>
      <c r="I3089" s="4" t="n">
        <v>20</v>
      </c>
      <c r="J3089" s="4" t="n">
        <f aca="false">LEN(E3089)-LEN(SUBSTITUTE(E3089,",",""))+1</f>
        <v>6</v>
      </c>
      <c r="K3089" s="3" t="str">
        <f aca="false">IFERROR(INDEX('Teacher Lookup'!$B$2:$B$200,MATCH(A3089,'Teacher Lookup'!$A$2:$A$200,0)),"")</f>
        <v>WAN Damon</v>
      </c>
    </row>
    <row r="3090" customFormat="false" ht="15" hidden="false" customHeight="false" outlineLevel="0" collapsed="false">
      <c r="A3090" s="3" t="s">
        <v>375</v>
      </c>
      <c r="B3090" s="4" t="s">
        <v>63</v>
      </c>
      <c r="C3090" s="4" t="n">
        <v>5</v>
      </c>
      <c r="D3090" s="4" t="s">
        <v>73</v>
      </c>
      <c r="E3090" s="3" t="s">
        <v>213</v>
      </c>
      <c r="F3090" s="4" t="str">
        <f aca="false">IF(I3090&gt;J3090,"Y","N")</f>
        <v>Y</v>
      </c>
      <c r="G3090" s="3" t="s">
        <v>214</v>
      </c>
      <c r="H3090" s="3" t="s">
        <v>37</v>
      </c>
      <c r="I3090" s="4" t="n">
        <v>20</v>
      </c>
      <c r="J3090" s="4" t="n">
        <f aca="false">LEN(E3090)-LEN(SUBSTITUTE(E3090,",",""))+1</f>
        <v>6</v>
      </c>
      <c r="K3090" s="3" t="str">
        <f aca="false">IFERROR(INDEX('Teacher Lookup'!$B$2:$B$200,MATCH(A3090,'Teacher Lookup'!$A$2:$A$200,0)),"")</f>
        <v>WAN Damon</v>
      </c>
    </row>
    <row r="3091" customFormat="false" ht="15" hidden="false" customHeight="false" outlineLevel="0" collapsed="false">
      <c r="A3091" s="3" t="s">
        <v>375</v>
      </c>
      <c r="B3091" s="4" t="s">
        <v>63</v>
      </c>
      <c r="C3091" s="4" t="n">
        <v>5</v>
      </c>
      <c r="D3091" s="4" t="s">
        <v>74</v>
      </c>
      <c r="E3091" s="3" t="s">
        <v>213</v>
      </c>
      <c r="F3091" s="4" t="str">
        <f aca="false">IF(I3091&gt;J3091,"Y","N")</f>
        <v>Y</v>
      </c>
      <c r="G3091" s="3" t="s">
        <v>214</v>
      </c>
      <c r="H3091" s="3" t="s">
        <v>37</v>
      </c>
      <c r="I3091" s="4" t="n">
        <v>20</v>
      </c>
      <c r="J3091" s="4" t="n">
        <f aca="false">LEN(E3091)-LEN(SUBSTITUTE(E3091,",",""))+1</f>
        <v>6</v>
      </c>
      <c r="K3091" s="3" t="str">
        <f aca="false">IFERROR(INDEX('Teacher Lookup'!$B$2:$B$200,MATCH(A3091,'Teacher Lookup'!$A$2:$A$200,0)),"")</f>
        <v>WAN Damon</v>
      </c>
    </row>
    <row r="3092" customFormat="false" ht="15" hidden="false" customHeight="false" outlineLevel="0" collapsed="false">
      <c r="A3092" s="3" t="s">
        <v>375</v>
      </c>
      <c r="B3092" s="4" t="s">
        <v>63</v>
      </c>
      <c r="C3092" s="4" t="n">
        <v>5</v>
      </c>
      <c r="D3092" s="4" t="s">
        <v>76</v>
      </c>
      <c r="E3092" s="3" t="s">
        <v>213</v>
      </c>
      <c r="F3092" s="4" t="str">
        <f aca="false">IF(I3092&gt;J3092,"Y","N")</f>
        <v>Y</v>
      </c>
      <c r="G3092" s="3" t="s">
        <v>214</v>
      </c>
      <c r="H3092" s="3" t="s">
        <v>37</v>
      </c>
      <c r="I3092" s="4" t="n">
        <v>20</v>
      </c>
      <c r="J3092" s="4" t="n">
        <f aca="false">LEN(E3092)-LEN(SUBSTITUTE(E3092,",",""))+1</f>
        <v>6</v>
      </c>
      <c r="K3092" s="3" t="str">
        <f aca="false">IFERROR(INDEX('Teacher Lookup'!$B$2:$B$200,MATCH(A3092,'Teacher Lookup'!$A$2:$A$200,0)),"")</f>
        <v>WAN Damon</v>
      </c>
    </row>
    <row r="3093" customFormat="false" ht="15" hidden="false" customHeight="false" outlineLevel="0" collapsed="false">
      <c r="A3093" s="3" t="s">
        <v>375</v>
      </c>
      <c r="B3093" s="4" t="s">
        <v>63</v>
      </c>
      <c r="C3093" s="4" t="n">
        <v>5</v>
      </c>
      <c r="D3093" s="4" t="s">
        <v>78</v>
      </c>
      <c r="E3093" s="3" t="s">
        <v>213</v>
      </c>
      <c r="F3093" s="4" t="str">
        <f aca="false">IF(I3093&gt;J3093,"Y","N")</f>
        <v>Y</v>
      </c>
      <c r="G3093" s="3" t="s">
        <v>214</v>
      </c>
      <c r="H3093" s="3" t="s">
        <v>37</v>
      </c>
      <c r="I3093" s="4" t="n">
        <v>20</v>
      </c>
      <c r="J3093" s="4" t="n">
        <f aca="false">LEN(E3093)-LEN(SUBSTITUTE(E3093,",",""))+1</f>
        <v>6</v>
      </c>
      <c r="K3093" s="3" t="str">
        <f aca="false">IFERROR(INDEX('Teacher Lookup'!$B$2:$B$200,MATCH(A3093,'Teacher Lookup'!$A$2:$A$200,0)),"")</f>
        <v>WAN Damon</v>
      </c>
    </row>
    <row r="3094" customFormat="false" ht="15" hidden="false" customHeight="false" outlineLevel="0" collapsed="false">
      <c r="A3094" s="3" t="s">
        <v>375</v>
      </c>
      <c r="B3094" s="4" t="s">
        <v>63</v>
      </c>
      <c r="C3094" s="4" t="n">
        <v>5</v>
      </c>
      <c r="D3094" s="4" t="s">
        <v>79</v>
      </c>
      <c r="E3094" s="3" t="s">
        <v>213</v>
      </c>
      <c r="F3094" s="4" t="str">
        <f aca="false">IF(I3094&gt;J3094,"Y","N")</f>
        <v>Y</v>
      </c>
      <c r="G3094" s="3" t="s">
        <v>214</v>
      </c>
      <c r="H3094" s="3" t="s">
        <v>37</v>
      </c>
      <c r="I3094" s="4" t="n">
        <v>20</v>
      </c>
      <c r="J3094" s="4" t="n">
        <f aca="false">LEN(E3094)-LEN(SUBSTITUTE(E3094,",",""))+1</f>
        <v>6</v>
      </c>
      <c r="K3094" s="3" t="str">
        <f aca="false">IFERROR(INDEX('Teacher Lookup'!$B$2:$B$200,MATCH(A3094,'Teacher Lookup'!$A$2:$A$200,0)),"")</f>
        <v>WAN Damon</v>
      </c>
    </row>
    <row r="3095" customFormat="false" ht="15" hidden="false" customHeight="false" outlineLevel="0" collapsed="false">
      <c r="A3095" s="3" t="s">
        <v>375</v>
      </c>
      <c r="B3095" s="4" t="s">
        <v>65</v>
      </c>
      <c r="C3095" s="4" t="n">
        <v>3</v>
      </c>
      <c r="D3095" s="4" t="s">
        <v>52</v>
      </c>
      <c r="E3095" s="3" t="s">
        <v>121</v>
      </c>
      <c r="F3095" s="4" t="str">
        <f aca="false">IF(I3095&gt;J3095,"Y","N")</f>
        <v>Y</v>
      </c>
      <c r="G3095" s="3" t="s">
        <v>101</v>
      </c>
      <c r="H3095" s="3" t="s">
        <v>26</v>
      </c>
      <c r="I3095" s="4" t="n">
        <v>9</v>
      </c>
      <c r="J3095" s="4" t="n">
        <f aca="false">LEN(E3095)-LEN(SUBSTITUTE(E3095,",",""))+1</f>
        <v>8</v>
      </c>
      <c r="K3095" s="3" t="str">
        <f aca="false">IFERROR(INDEX('Teacher Lookup'!$B$2:$B$200,MATCH(A3095,'Teacher Lookup'!$A$2:$A$200,0)),"")</f>
        <v>WAN Damon</v>
      </c>
    </row>
    <row r="3096" customFormat="false" ht="15" hidden="false" customHeight="false" outlineLevel="0" collapsed="false">
      <c r="A3096" s="3" t="s">
        <v>375</v>
      </c>
      <c r="B3096" s="4" t="s">
        <v>65</v>
      </c>
      <c r="C3096" s="4" t="n">
        <v>3</v>
      </c>
      <c r="D3096" s="4" t="s">
        <v>55</v>
      </c>
      <c r="E3096" s="3" t="s">
        <v>121</v>
      </c>
      <c r="F3096" s="4" t="str">
        <f aca="false">IF(I3096&gt;J3096,"Y","N")</f>
        <v>Y</v>
      </c>
      <c r="G3096" s="3" t="s">
        <v>101</v>
      </c>
      <c r="H3096" s="3" t="s">
        <v>26</v>
      </c>
      <c r="I3096" s="4" t="n">
        <v>9</v>
      </c>
      <c r="J3096" s="4" t="n">
        <f aca="false">LEN(E3096)-LEN(SUBSTITUTE(E3096,",",""))+1</f>
        <v>8</v>
      </c>
      <c r="K3096" s="3" t="str">
        <f aca="false">IFERROR(INDEX('Teacher Lookup'!$B$2:$B$200,MATCH(A3096,'Teacher Lookup'!$A$2:$A$200,0)),"")</f>
        <v>WAN Damon</v>
      </c>
    </row>
    <row r="3097" customFormat="false" ht="15" hidden="false" customHeight="false" outlineLevel="0" collapsed="false">
      <c r="A3097" s="3" t="s">
        <v>375</v>
      </c>
      <c r="B3097" s="4" t="s">
        <v>65</v>
      </c>
      <c r="C3097" s="4" t="n">
        <v>3</v>
      </c>
      <c r="D3097" s="4" t="s">
        <v>56</v>
      </c>
      <c r="E3097" s="3" t="s">
        <v>121</v>
      </c>
      <c r="F3097" s="4" t="str">
        <f aca="false">IF(I3097&gt;J3097,"Y","N")</f>
        <v>Y</v>
      </c>
      <c r="G3097" s="3" t="s">
        <v>101</v>
      </c>
      <c r="H3097" s="3" t="s">
        <v>26</v>
      </c>
      <c r="I3097" s="4" t="n">
        <v>9</v>
      </c>
      <c r="J3097" s="4" t="n">
        <f aca="false">LEN(E3097)-LEN(SUBSTITUTE(E3097,",",""))+1</f>
        <v>8</v>
      </c>
      <c r="K3097" s="3" t="str">
        <f aca="false">IFERROR(INDEX('Teacher Lookup'!$B$2:$B$200,MATCH(A3097,'Teacher Lookup'!$A$2:$A$200,0)),"")</f>
        <v>WAN Damon</v>
      </c>
    </row>
    <row r="3098" customFormat="false" ht="15" hidden="false" customHeight="false" outlineLevel="0" collapsed="false">
      <c r="A3098" s="3" t="s">
        <v>375</v>
      </c>
      <c r="B3098" s="4" t="s">
        <v>65</v>
      </c>
      <c r="C3098" s="4" t="n">
        <v>3</v>
      </c>
      <c r="D3098" s="4" t="s">
        <v>57</v>
      </c>
      <c r="E3098" s="3" t="s">
        <v>121</v>
      </c>
      <c r="F3098" s="4" t="str">
        <f aca="false">IF(I3098&gt;J3098,"Y","N")</f>
        <v>Y</v>
      </c>
      <c r="G3098" s="3" t="s">
        <v>101</v>
      </c>
      <c r="H3098" s="3" t="s">
        <v>26</v>
      </c>
      <c r="I3098" s="4" t="n">
        <v>9</v>
      </c>
      <c r="J3098" s="4" t="n">
        <f aca="false">LEN(E3098)-LEN(SUBSTITUTE(E3098,",",""))+1</f>
        <v>8</v>
      </c>
      <c r="K3098" s="3" t="str">
        <f aca="false">IFERROR(INDEX('Teacher Lookup'!$B$2:$B$200,MATCH(A3098,'Teacher Lookup'!$A$2:$A$200,0)),"")</f>
        <v>WAN Damon</v>
      </c>
    </row>
    <row r="3099" customFormat="false" ht="15" hidden="false" customHeight="false" outlineLevel="0" collapsed="false">
      <c r="A3099" s="3" t="s">
        <v>375</v>
      </c>
      <c r="B3099" s="4" t="s">
        <v>65</v>
      </c>
      <c r="C3099" s="4" t="n">
        <v>3</v>
      </c>
      <c r="D3099" s="4" t="s">
        <v>58</v>
      </c>
      <c r="E3099" s="3" t="s">
        <v>121</v>
      </c>
      <c r="F3099" s="4" t="str">
        <f aca="false">IF(I3099&gt;J3099,"Y","N")</f>
        <v>Y</v>
      </c>
      <c r="G3099" s="3" t="s">
        <v>101</v>
      </c>
      <c r="H3099" s="3" t="s">
        <v>26</v>
      </c>
      <c r="I3099" s="4" t="n">
        <v>9</v>
      </c>
      <c r="J3099" s="4" t="n">
        <f aca="false">LEN(E3099)-LEN(SUBSTITUTE(E3099,",",""))+1</f>
        <v>8</v>
      </c>
      <c r="K3099" s="3" t="str">
        <f aca="false">IFERROR(INDEX('Teacher Lookup'!$B$2:$B$200,MATCH(A3099,'Teacher Lookup'!$A$2:$A$200,0)),"")</f>
        <v>WAN Damon</v>
      </c>
    </row>
    <row r="3100" customFormat="false" ht="15" hidden="false" customHeight="false" outlineLevel="0" collapsed="false">
      <c r="A3100" s="3" t="s">
        <v>375</v>
      </c>
      <c r="B3100" s="4" t="s">
        <v>65</v>
      </c>
      <c r="C3100" s="4" t="n">
        <v>3</v>
      </c>
      <c r="D3100" s="4" t="s">
        <v>59</v>
      </c>
      <c r="E3100" s="3" t="s">
        <v>121</v>
      </c>
      <c r="F3100" s="4" t="str">
        <f aca="false">IF(I3100&gt;J3100,"Y","N")</f>
        <v>Y</v>
      </c>
      <c r="G3100" s="3" t="s">
        <v>101</v>
      </c>
      <c r="H3100" s="3" t="s">
        <v>26</v>
      </c>
      <c r="I3100" s="4" t="n">
        <v>9</v>
      </c>
      <c r="J3100" s="4" t="n">
        <f aca="false">LEN(E3100)-LEN(SUBSTITUTE(E3100,",",""))+1</f>
        <v>8</v>
      </c>
      <c r="K3100" s="3" t="str">
        <f aca="false">IFERROR(INDEX('Teacher Lookup'!$B$2:$B$200,MATCH(A3100,'Teacher Lookup'!$A$2:$A$200,0)),"")</f>
        <v>WAN Damon</v>
      </c>
    </row>
    <row r="3101" customFormat="false" ht="15" hidden="false" customHeight="false" outlineLevel="0" collapsed="false">
      <c r="A3101" s="3" t="s">
        <v>375</v>
      </c>
      <c r="B3101" s="4" t="s">
        <v>65</v>
      </c>
      <c r="C3101" s="4" t="n">
        <v>5</v>
      </c>
      <c r="D3101" s="4" t="s">
        <v>52</v>
      </c>
      <c r="E3101" s="3" t="s">
        <v>112</v>
      </c>
      <c r="F3101" s="4" t="str">
        <f aca="false">IF(I3101&gt;J3101,"Y","N")</f>
        <v>Y</v>
      </c>
      <c r="G3101" s="3" t="s">
        <v>36</v>
      </c>
      <c r="H3101" s="3" t="s">
        <v>37</v>
      </c>
      <c r="I3101" s="4" t="n">
        <v>16</v>
      </c>
      <c r="J3101" s="4" t="n">
        <f aca="false">LEN(E3101)-LEN(SUBSTITUTE(E3101,",",""))+1</f>
        <v>7</v>
      </c>
      <c r="K3101" s="3" t="str">
        <f aca="false">IFERROR(INDEX('Teacher Lookup'!$B$2:$B$200,MATCH(A3101,'Teacher Lookup'!$A$2:$A$200,0)),"")</f>
        <v>WAN Damon</v>
      </c>
    </row>
    <row r="3102" customFormat="false" ht="15" hidden="false" customHeight="false" outlineLevel="0" collapsed="false">
      <c r="A3102" s="3" t="s">
        <v>375</v>
      </c>
      <c r="B3102" s="4" t="s">
        <v>65</v>
      </c>
      <c r="C3102" s="4" t="n">
        <v>5</v>
      </c>
      <c r="D3102" s="4" t="s">
        <v>55</v>
      </c>
      <c r="E3102" s="3" t="s">
        <v>112</v>
      </c>
      <c r="F3102" s="4" t="str">
        <f aca="false">IF(I3102&gt;J3102,"Y","N")</f>
        <v>Y</v>
      </c>
      <c r="G3102" s="3" t="s">
        <v>36</v>
      </c>
      <c r="H3102" s="3" t="s">
        <v>37</v>
      </c>
      <c r="I3102" s="4" t="n">
        <v>16</v>
      </c>
      <c r="J3102" s="4" t="n">
        <f aca="false">LEN(E3102)-LEN(SUBSTITUTE(E3102,",",""))+1</f>
        <v>7</v>
      </c>
      <c r="K3102" s="3" t="str">
        <f aca="false">IFERROR(INDEX('Teacher Lookup'!$B$2:$B$200,MATCH(A3102,'Teacher Lookup'!$A$2:$A$200,0)),"")</f>
        <v>WAN Damon</v>
      </c>
    </row>
    <row r="3103" customFormat="false" ht="15" hidden="false" customHeight="false" outlineLevel="0" collapsed="false">
      <c r="A3103" s="3" t="s">
        <v>375</v>
      </c>
      <c r="B3103" s="4" t="s">
        <v>65</v>
      </c>
      <c r="C3103" s="4" t="n">
        <v>5</v>
      </c>
      <c r="D3103" s="4" t="s">
        <v>56</v>
      </c>
      <c r="E3103" s="3" t="s">
        <v>112</v>
      </c>
      <c r="F3103" s="4" t="str">
        <f aca="false">IF(I3103&gt;J3103,"Y","N")</f>
        <v>Y</v>
      </c>
      <c r="G3103" s="3" t="s">
        <v>36</v>
      </c>
      <c r="H3103" s="3" t="s">
        <v>37</v>
      </c>
      <c r="I3103" s="4" t="n">
        <v>16</v>
      </c>
      <c r="J3103" s="4" t="n">
        <f aca="false">LEN(E3103)-LEN(SUBSTITUTE(E3103,",",""))+1</f>
        <v>7</v>
      </c>
      <c r="K3103" s="3" t="str">
        <f aca="false">IFERROR(INDEX('Teacher Lookup'!$B$2:$B$200,MATCH(A3103,'Teacher Lookup'!$A$2:$A$200,0)),"")</f>
        <v>WAN Damon</v>
      </c>
    </row>
    <row r="3104" customFormat="false" ht="15" hidden="false" customHeight="false" outlineLevel="0" collapsed="false">
      <c r="A3104" s="3" t="s">
        <v>375</v>
      </c>
      <c r="B3104" s="4" t="s">
        <v>65</v>
      </c>
      <c r="C3104" s="4" t="n">
        <v>5</v>
      </c>
      <c r="D3104" s="4" t="s">
        <v>57</v>
      </c>
      <c r="E3104" s="3" t="s">
        <v>112</v>
      </c>
      <c r="F3104" s="4" t="str">
        <f aca="false">IF(I3104&gt;J3104,"Y","N")</f>
        <v>Y</v>
      </c>
      <c r="G3104" s="3" t="s">
        <v>36</v>
      </c>
      <c r="H3104" s="3" t="s">
        <v>37</v>
      </c>
      <c r="I3104" s="4" t="n">
        <v>16</v>
      </c>
      <c r="J3104" s="4" t="n">
        <f aca="false">LEN(E3104)-LEN(SUBSTITUTE(E3104,",",""))+1</f>
        <v>7</v>
      </c>
      <c r="K3104" s="3" t="str">
        <f aca="false">IFERROR(INDEX('Teacher Lookup'!$B$2:$B$200,MATCH(A3104,'Teacher Lookup'!$A$2:$A$200,0)),"")</f>
        <v>WAN Damon</v>
      </c>
    </row>
    <row r="3105" customFormat="false" ht="15" hidden="false" customHeight="false" outlineLevel="0" collapsed="false">
      <c r="A3105" s="3" t="s">
        <v>375</v>
      </c>
      <c r="B3105" s="4" t="s">
        <v>65</v>
      </c>
      <c r="C3105" s="4" t="n">
        <v>5</v>
      </c>
      <c r="D3105" s="4" t="s">
        <v>58</v>
      </c>
      <c r="E3105" s="3" t="s">
        <v>112</v>
      </c>
      <c r="F3105" s="4" t="str">
        <f aca="false">IF(I3105&gt;J3105,"Y","N")</f>
        <v>Y</v>
      </c>
      <c r="G3105" s="3" t="s">
        <v>36</v>
      </c>
      <c r="H3105" s="3" t="s">
        <v>37</v>
      </c>
      <c r="I3105" s="4" t="n">
        <v>16</v>
      </c>
      <c r="J3105" s="4" t="n">
        <f aca="false">LEN(E3105)-LEN(SUBSTITUTE(E3105,",",""))+1</f>
        <v>7</v>
      </c>
      <c r="K3105" s="3" t="str">
        <f aca="false">IFERROR(INDEX('Teacher Lookup'!$B$2:$B$200,MATCH(A3105,'Teacher Lookup'!$A$2:$A$200,0)),"")</f>
        <v>WAN Damon</v>
      </c>
    </row>
    <row r="3106" customFormat="false" ht="15" hidden="false" customHeight="false" outlineLevel="0" collapsed="false">
      <c r="A3106" s="3" t="s">
        <v>375</v>
      </c>
      <c r="B3106" s="4" t="s">
        <v>65</v>
      </c>
      <c r="C3106" s="4" t="n">
        <v>5</v>
      </c>
      <c r="D3106" s="4" t="s">
        <v>59</v>
      </c>
      <c r="E3106" s="3" t="s">
        <v>112</v>
      </c>
      <c r="F3106" s="4" t="str">
        <f aca="false">IF(I3106&gt;J3106,"Y","N")</f>
        <v>Y</v>
      </c>
      <c r="G3106" s="3" t="s">
        <v>36</v>
      </c>
      <c r="H3106" s="3" t="s">
        <v>37</v>
      </c>
      <c r="I3106" s="4" t="n">
        <v>16</v>
      </c>
      <c r="J3106" s="4" t="n">
        <f aca="false">LEN(E3106)-LEN(SUBSTITUTE(E3106,",",""))+1</f>
        <v>7</v>
      </c>
      <c r="K3106" s="3" t="str">
        <f aca="false">IFERROR(INDEX('Teacher Lookup'!$B$2:$B$200,MATCH(A3106,'Teacher Lookup'!$A$2:$A$200,0)),"")</f>
        <v>WAN Damon</v>
      </c>
    </row>
    <row r="3107" customFormat="false" ht="15" hidden="false" customHeight="false" outlineLevel="0" collapsed="false">
      <c r="A3107" s="3" t="s">
        <v>375</v>
      </c>
      <c r="B3107" s="4" t="s">
        <v>65</v>
      </c>
      <c r="C3107" s="4" t="n">
        <v>6</v>
      </c>
      <c r="D3107" s="4" t="s">
        <v>24</v>
      </c>
      <c r="E3107" s="3" t="s">
        <v>384</v>
      </c>
      <c r="F3107" s="4" t="str">
        <f aca="false">IF(I3107&gt;J3107,"Y","N")</f>
        <v>Y</v>
      </c>
      <c r="G3107" s="3" t="s">
        <v>378</v>
      </c>
      <c r="H3107" s="3" t="s">
        <v>42</v>
      </c>
      <c r="I3107" s="4" t="n">
        <v>9</v>
      </c>
      <c r="J3107" s="4" t="n">
        <f aca="false">LEN(E3107)-LEN(SUBSTITUTE(E3107,",",""))+1</f>
        <v>8</v>
      </c>
      <c r="K3107" s="3" t="str">
        <f aca="false">IFERROR(INDEX('Teacher Lookup'!$B$2:$B$200,MATCH(A3107,'Teacher Lookup'!$A$2:$A$200,0)),"")</f>
        <v>WAN Damon</v>
      </c>
    </row>
    <row r="3108" customFormat="false" ht="15" hidden="false" customHeight="false" outlineLevel="0" collapsed="false">
      <c r="A3108" s="3" t="s">
        <v>375</v>
      </c>
      <c r="B3108" s="4" t="s">
        <v>65</v>
      </c>
      <c r="C3108" s="4" t="n">
        <v>6</v>
      </c>
      <c r="D3108" s="4" t="s">
        <v>27</v>
      </c>
      <c r="E3108" s="3" t="s">
        <v>384</v>
      </c>
      <c r="F3108" s="4" t="str">
        <f aca="false">IF(I3108&gt;J3108,"Y","N")</f>
        <v>Y</v>
      </c>
      <c r="G3108" s="3" t="s">
        <v>378</v>
      </c>
      <c r="H3108" s="3" t="s">
        <v>42</v>
      </c>
      <c r="I3108" s="4" t="n">
        <v>9</v>
      </c>
      <c r="J3108" s="4" t="n">
        <f aca="false">LEN(E3108)-LEN(SUBSTITUTE(E3108,",",""))+1</f>
        <v>8</v>
      </c>
      <c r="K3108" s="3" t="str">
        <f aca="false">IFERROR(INDEX('Teacher Lookup'!$B$2:$B$200,MATCH(A3108,'Teacher Lookup'!$A$2:$A$200,0)),"")</f>
        <v>WAN Damon</v>
      </c>
    </row>
    <row r="3109" customFormat="false" ht="15" hidden="false" customHeight="false" outlineLevel="0" collapsed="false">
      <c r="A3109" s="3" t="s">
        <v>375</v>
      </c>
      <c r="B3109" s="4" t="s">
        <v>65</v>
      </c>
      <c r="C3109" s="4" t="n">
        <v>6</v>
      </c>
      <c r="D3109" s="4" t="s">
        <v>28</v>
      </c>
      <c r="E3109" s="3" t="s">
        <v>384</v>
      </c>
      <c r="F3109" s="4" t="str">
        <f aca="false">IF(I3109&gt;J3109,"Y","N")</f>
        <v>Y</v>
      </c>
      <c r="G3109" s="3" t="s">
        <v>378</v>
      </c>
      <c r="H3109" s="3" t="s">
        <v>42</v>
      </c>
      <c r="I3109" s="4" t="n">
        <v>9</v>
      </c>
      <c r="J3109" s="4" t="n">
        <f aca="false">LEN(E3109)-LEN(SUBSTITUTE(E3109,",",""))+1</f>
        <v>8</v>
      </c>
      <c r="K3109" s="3" t="str">
        <f aca="false">IFERROR(INDEX('Teacher Lookup'!$B$2:$B$200,MATCH(A3109,'Teacher Lookup'!$A$2:$A$200,0)),"")</f>
        <v>WAN Damon</v>
      </c>
    </row>
    <row r="3110" customFormat="false" ht="15" hidden="false" customHeight="false" outlineLevel="0" collapsed="false">
      <c r="A3110" s="3" t="s">
        <v>375</v>
      </c>
      <c r="B3110" s="4" t="s">
        <v>65</v>
      </c>
      <c r="C3110" s="4" t="n">
        <v>6</v>
      </c>
      <c r="D3110" s="4" t="s">
        <v>29</v>
      </c>
      <c r="E3110" s="3" t="s">
        <v>384</v>
      </c>
      <c r="F3110" s="4" t="str">
        <f aca="false">IF(I3110&gt;J3110,"Y","N")</f>
        <v>Y</v>
      </c>
      <c r="G3110" s="3" t="s">
        <v>378</v>
      </c>
      <c r="H3110" s="3" t="s">
        <v>42</v>
      </c>
      <c r="I3110" s="4" t="n">
        <v>9</v>
      </c>
      <c r="J3110" s="4" t="n">
        <f aca="false">LEN(E3110)-LEN(SUBSTITUTE(E3110,",",""))+1</f>
        <v>8</v>
      </c>
      <c r="K3110" s="3" t="str">
        <f aca="false">IFERROR(INDEX('Teacher Lookup'!$B$2:$B$200,MATCH(A3110,'Teacher Lookup'!$A$2:$A$200,0)),"")</f>
        <v>WAN Damon</v>
      </c>
    </row>
    <row r="3111" customFormat="false" ht="15" hidden="false" customHeight="false" outlineLevel="0" collapsed="false">
      <c r="A3111" s="3" t="s">
        <v>375</v>
      </c>
      <c r="B3111" s="4" t="s">
        <v>65</v>
      </c>
      <c r="C3111" s="4" t="n">
        <v>6</v>
      </c>
      <c r="D3111" s="4" t="s">
        <v>30</v>
      </c>
      <c r="E3111" s="3" t="s">
        <v>384</v>
      </c>
      <c r="F3111" s="4" t="str">
        <f aca="false">IF(I3111&gt;J3111,"Y","N")</f>
        <v>Y</v>
      </c>
      <c r="G3111" s="3" t="s">
        <v>378</v>
      </c>
      <c r="H3111" s="3" t="s">
        <v>42</v>
      </c>
      <c r="I3111" s="4" t="n">
        <v>9</v>
      </c>
      <c r="J3111" s="4" t="n">
        <f aca="false">LEN(E3111)-LEN(SUBSTITUTE(E3111,",",""))+1</f>
        <v>8</v>
      </c>
      <c r="K3111" s="3" t="str">
        <f aca="false">IFERROR(INDEX('Teacher Lookup'!$B$2:$B$200,MATCH(A3111,'Teacher Lookup'!$A$2:$A$200,0)),"")</f>
        <v>WAN Damon</v>
      </c>
    </row>
    <row r="3112" customFormat="false" ht="15" hidden="false" customHeight="false" outlineLevel="0" collapsed="false">
      <c r="A3112" s="3" t="s">
        <v>375</v>
      </c>
      <c r="B3112" s="4" t="s">
        <v>66</v>
      </c>
      <c r="C3112" s="4" t="n">
        <v>5</v>
      </c>
      <c r="D3112" s="4" t="s">
        <v>52</v>
      </c>
      <c r="E3112" s="3" t="s">
        <v>122</v>
      </c>
      <c r="F3112" s="4" t="str">
        <f aca="false">IF(I3112&gt;J3112,"Y","N")</f>
        <v>N</v>
      </c>
      <c r="G3112" s="3" t="s">
        <v>101</v>
      </c>
      <c r="H3112" s="3" t="s">
        <v>37</v>
      </c>
      <c r="I3112" s="4" t="n">
        <v>8</v>
      </c>
      <c r="J3112" s="4" t="n">
        <f aca="false">LEN(E3112)-LEN(SUBSTITUTE(E3112,",",""))+1</f>
        <v>8</v>
      </c>
      <c r="K3112" s="3" t="str">
        <f aca="false">IFERROR(INDEX('Teacher Lookup'!$B$2:$B$200,MATCH(A3112,'Teacher Lookup'!$A$2:$A$200,0)),"")</f>
        <v>WAN Damon</v>
      </c>
    </row>
    <row r="3113" customFormat="false" ht="15" hidden="false" customHeight="false" outlineLevel="0" collapsed="false">
      <c r="A3113" s="3" t="s">
        <v>375</v>
      </c>
      <c r="B3113" s="4" t="s">
        <v>66</v>
      </c>
      <c r="C3113" s="4" t="n">
        <v>5</v>
      </c>
      <c r="D3113" s="4" t="s">
        <v>55</v>
      </c>
      <c r="E3113" s="3" t="s">
        <v>122</v>
      </c>
      <c r="F3113" s="4" t="str">
        <f aca="false">IF(I3113&gt;J3113,"Y","N")</f>
        <v>N</v>
      </c>
      <c r="G3113" s="3" t="s">
        <v>101</v>
      </c>
      <c r="H3113" s="3" t="s">
        <v>37</v>
      </c>
      <c r="I3113" s="4" t="n">
        <v>8</v>
      </c>
      <c r="J3113" s="4" t="n">
        <f aca="false">LEN(E3113)-LEN(SUBSTITUTE(E3113,",",""))+1</f>
        <v>8</v>
      </c>
      <c r="K3113" s="3" t="str">
        <f aca="false">IFERROR(INDEX('Teacher Lookup'!$B$2:$B$200,MATCH(A3113,'Teacher Lookup'!$A$2:$A$200,0)),"")</f>
        <v>WAN Damon</v>
      </c>
    </row>
    <row r="3114" customFormat="false" ht="15" hidden="false" customHeight="false" outlineLevel="0" collapsed="false">
      <c r="A3114" s="3" t="s">
        <v>375</v>
      </c>
      <c r="B3114" s="4" t="s">
        <v>66</v>
      </c>
      <c r="C3114" s="4" t="n">
        <v>5</v>
      </c>
      <c r="D3114" s="4" t="s">
        <v>56</v>
      </c>
      <c r="E3114" s="3" t="s">
        <v>122</v>
      </c>
      <c r="F3114" s="4" t="str">
        <f aca="false">IF(I3114&gt;J3114,"Y","N")</f>
        <v>N</v>
      </c>
      <c r="G3114" s="3" t="s">
        <v>101</v>
      </c>
      <c r="H3114" s="3" t="s">
        <v>37</v>
      </c>
      <c r="I3114" s="4" t="n">
        <v>8</v>
      </c>
      <c r="J3114" s="4" t="n">
        <f aca="false">LEN(E3114)-LEN(SUBSTITUTE(E3114,",",""))+1</f>
        <v>8</v>
      </c>
      <c r="K3114" s="3" t="str">
        <f aca="false">IFERROR(INDEX('Teacher Lookup'!$B$2:$B$200,MATCH(A3114,'Teacher Lookup'!$A$2:$A$200,0)),"")</f>
        <v>WAN Damon</v>
      </c>
    </row>
    <row r="3115" customFormat="false" ht="15" hidden="false" customHeight="false" outlineLevel="0" collapsed="false">
      <c r="A3115" s="3" t="s">
        <v>375</v>
      </c>
      <c r="B3115" s="4" t="s">
        <v>66</v>
      </c>
      <c r="C3115" s="4" t="n">
        <v>5</v>
      </c>
      <c r="D3115" s="4" t="s">
        <v>57</v>
      </c>
      <c r="E3115" s="3" t="s">
        <v>122</v>
      </c>
      <c r="F3115" s="4" t="str">
        <f aca="false">IF(I3115&gt;J3115,"Y","N")</f>
        <v>N</v>
      </c>
      <c r="G3115" s="3" t="s">
        <v>101</v>
      </c>
      <c r="H3115" s="3" t="s">
        <v>37</v>
      </c>
      <c r="I3115" s="4" t="n">
        <v>8</v>
      </c>
      <c r="J3115" s="4" t="n">
        <f aca="false">LEN(E3115)-LEN(SUBSTITUTE(E3115,",",""))+1</f>
        <v>8</v>
      </c>
      <c r="K3115" s="3" t="str">
        <f aca="false">IFERROR(INDEX('Teacher Lookup'!$B$2:$B$200,MATCH(A3115,'Teacher Lookup'!$A$2:$A$200,0)),"")</f>
        <v>WAN Damon</v>
      </c>
    </row>
    <row r="3116" customFormat="false" ht="15" hidden="false" customHeight="false" outlineLevel="0" collapsed="false">
      <c r="A3116" s="3" t="s">
        <v>375</v>
      </c>
      <c r="B3116" s="4" t="s">
        <v>66</v>
      </c>
      <c r="C3116" s="4" t="n">
        <v>5</v>
      </c>
      <c r="D3116" s="4" t="s">
        <v>58</v>
      </c>
      <c r="E3116" s="3" t="s">
        <v>122</v>
      </c>
      <c r="F3116" s="4" t="str">
        <f aca="false">IF(I3116&gt;J3116,"Y","N")</f>
        <v>N</v>
      </c>
      <c r="G3116" s="3" t="s">
        <v>101</v>
      </c>
      <c r="H3116" s="3" t="s">
        <v>37</v>
      </c>
      <c r="I3116" s="4" t="n">
        <v>8</v>
      </c>
      <c r="J3116" s="4" t="n">
        <f aca="false">LEN(E3116)-LEN(SUBSTITUTE(E3116,",",""))+1</f>
        <v>8</v>
      </c>
      <c r="K3116" s="3" t="str">
        <f aca="false">IFERROR(INDEX('Teacher Lookup'!$B$2:$B$200,MATCH(A3116,'Teacher Lookup'!$A$2:$A$200,0)),"")</f>
        <v>WAN Damon</v>
      </c>
    </row>
    <row r="3117" customFormat="false" ht="15" hidden="false" customHeight="false" outlineLevel="0" collapsed="false">
      <c r="A3117" s="3" t="s">
        <v>375</v>
      </c>
      <c r="B3117" s="4" t="s">
        <v>66</v>
      </c>
      <c r="C3117" s="4" t="n">
        <v>5</v>
      </c>
      <c r="D3117" s="4" t="s">
        <v>59</v>
      </c>
      <c r="E3117" s="3" t="s">
        <v>122</v>
      </c>
      <c r="F3117" s="4" t="str">
        <f aca="false">IF(I3117&gt;J3117,"Y","N")</f>
        <v>N</v>
      </c>
      <c r="G3117" s="3" t="s">
        <v>101</v>
      </c>
      <c r="H3117" s="3" t="s">
        <v>37</v>
      </c>
      <c r="I3117" s="4" t="n">
        <v>8</v>
      </c>
      <c r="J3117" s="4" t="n">
        <f aca="false">LEN(E3117)-LEN(SUBSTITUTE(E3117,",",""))+1</f>
        <v>8</v>
      </c>
      <c r="K3117" s="3" t="str">
        <f aca="false">IFERROR(INDEX('Teacher Lookup'!$B$2:$B$200,MATCH(A3117,'Teacher Lookup'!$A$2:$A$200,0)),"")</f>
        <v>WAN Damon</v>
      </c>
    </row>
    <row r="3118" customFormat="false" ht="15" hidden="false" customHeight="false" outlineLevel="0" collapsed="false">
      <c r="A3118" s="3" t="s">
        <v>375</v>
      </c>
      <c r="B3118" s="4" t="s">
        <v>66</v>
      </c>
      <c r="C3118" s="4" t="n">
        <v>6</v>
      </c>
      <c r="D3118" s="4" t="s">
        <v>24</v>
      </c>
      <c r="E3118" s="3" t="s">
        <v>385</v>
      </c>
      <c r="F3118" s="4" t="str">
        <f aca="false">IF(I3118&gt;J3118,"Y","N")</f>
        <v>N</v>
      </c>
      <c r="G3118" s="3" t="s">
        <v>378</v>
      </c>
      <c r="H3118" s="3" t="s">
        <v>42</v>
      </c>
      <c r="I3118" s="4" t="n">
        <v>8</v>
      </c>
      <c r="J3118" s="4" t="n">
        <f aca="false">LEN(E3118)-LEN(SUBSTITUTE(E3118,",",""))+1</f>
        <v>8</v>
      </c>
      <c r="K3118" s="3" t="str">
        <f aca="false">IFERROR(INDEX('Teacher Lookup'!$B$2:$B$200,MATCH(A3118,'Teacher Lookup'!$A$2:$A$200,0)),"")</f>
        <v>WAN Damon</v>
      </c>
    </row>
    <row r="3119" customFormat="false" ht="15" hidden="false" customHeight="false" outlineLevel="0" collapsed="false">
      <c r="A3119" s="3" t="s">
        <v>375</v>
      </c>
      <c r="B3119" s="4" t="s">
        <v>66</v>
      </c>
      <c r="C3119" s="4" t="n">
        <v>6</v>
      </c>
      <c r="D3119" s="4" t="s">
        <v>27</v>
      </c>
      <c r="E3119" s="3" t="s">
        <v>385</v>
      </c>
      <c r="F3119" s="4" t="str">
        <f aca="false">IF(I3119&gt;J3119,"Y","N")</f>
        <v>N</v>
      </c>
      <c r="G3119" s="3" t="s">
        <v>378</v>
      </c>
      <c r="H3119" s="3" t="s">
        <v>42</v>
      </c>
      <c r="I3119" s="4" t="n">
        <v>8</v>
      </c>
      <c r="J3119" s="4" t="n">
        <f aca="false">LEN(E3119)-LEN(SUBSTITUTE(E3119,",",""))+1</f>
        <v>8</v>
      </c>
      <c r="K3119" s="3" t="str">
        <f aca="false">IFERROR(INDEX('Teacher Lookup'!$B$2:$B$200,MATCH(A3119,'Teacher Lookup'!$A$2:$A$200,0)),"")</f>
        <v>WAN Damon</v>
      </c>
    </row>
    <row r="3120" customFormat="false" ht="15" hidden="false" customHeight="false" outlineLevel="0" collapsed="false">
      <c r="A3120" s="3" t="s">
        <v>375</v>
      </c>
      <c r="B3120" s="4" t="s">
        <v>66</v>
      </c>
      <c r="C3120" s="4" t="n">
        <v>6</v>
      </c>
      <c r="D3120" s="4" t="s">
        <v>28</v>
      </c>
      <c r="E3120" s="3" t="s">
        <v>385</v>
      </c>
      <c r="F3120" s="4" t="str">
        <f aca="false">IF(I3120&gt;J3120,"Y","N")</f>
        <v>N</v>
      </c>
      <c r="G3120" s="3" t="s">
        <v>378</v>
      </c>
      <c r="H3120" s="3" t="s">
        <v>42</v>
      </c>
      <c r="I3120" s="4" t="n">
        <v>8</v>
      </c>
      <c r="J3120" s="4" t="n">
        <f aca="false">LEN(E3120)-LEN(SUBSTITUTE(E3120,",",""))+1</f>
        <v>8</v>
      </c>
      <c r="K3120" s="3" t="str">
        <f aca="false">IFERROR(INDEX('Teacher Lookup'!$B$2:$B$200,MATCH(A3120,'Teacher Lookup'!$A$2:$A$200,0)),"")</f>
        <v>WAN Damon</v>
      </c>
    </row>
    <row r="3121" customFormat="false" ht="15" hidden="false" customHeight="false" outlineLevel="0" collapsed="false">
      <c r="A3121" s="3" t="s">
        <v>375</v>
      </c>
      <c r="B3121" s="4" t="s">
        <v>66</v>
      </c>
      <c r="C3121" s="4" t="n">
        <v>6</v>
      </c>
      <c r="D3121" s="4" t="s">
        <v>29</v>
      </c>
      <c r="E3121" s="3" t="s">
        <v>385</v>
      </c>
      <c r="F3121" s="4" t="str">
        <f aca="false">IF(I3121&gt;J3121,"Y","N")</f>
        <v>N</v>
      </c>
      <c r="G3121" s="3" t="s">
        <v>378</v>
      </c>
      <c r="H3121" s="3" t="s">
        <v>42</v>
      </c>
      <c r="I3121" s="4" t="n">
        <v>8</v>
      </c>
      <c r="J3121" s="4" t="n">
        <f aca="false">LEN(E3121)-LEN(SUBSTITUTE(E3121,",",""))+1</f>
        <v>8</v>
      </c>
      <c r="K3121" s="3" t="str">
        <f aca="false">IFERROR(INDEX('Teacher Lookup'!$B$2:$B$200,MATCH(A3121,'Teacher Lookup'!$A$2:$A$200,0)),"")</f>
        <v>WAN Damon</v>
      </c>
    </row>
    <row r="3122" customFormat="false" ht="15" hidden="false" customHeight="false" outlineLevel="0" collapsed="false">
      <c r="A3122" s="3" t="s">
        <v>375</v>
      </c>
      <c r="B3122" s="4" t="s">
        <v>66</v>
      </c>
      <c r="C3122" s="4" t="n">
        <v>6</v>
      </c>
      <c r="D3122" s="4" t="s">
        <v>30</v>
      </c>
      <c r="E3122" s="3" t="s">
        <v>385</v>
      </c>
      <c r="F3122" s="4" t="str">
        <f aca="false">IF(I3122&gt;J3122,"Y","N")</f>
        <v>N</v>
      </c>
      <c r="G3122" s="3" t="s">
        <v>378</v>
      </c>
      <c r="H3122" s="3" t="s">
        <v>42</v>
      </c>
      <c r="I3122" s="4" t="n">
        <v>8</v>
      </c>
      <c r="J3122" s="4" t="n">
        <f aca="false">LEN(E3122)-LEN(SUBSTITUTE(E3122,",",""))+1</f>
        <v>8</v>
      </c>
      <c r="K3122" s="3" t="str">
        <f aca="false">IFERROR(INDEX('Teacher Lookup'!$B$2:$B$200,MATCH(A3122,'Teacher Lookup'!$A$2:$A$200,0)),"")</f>
        <v>WAN Damon</v>
      </c>
    </row>
    <row r="3123" customFormat="false" ht="15" hidden="false" customHeight="false" outlineLevel="0" collapsed="false">
      <c r="A3123" s="3" t="s">
        <v>386</v>
      </c>
      <c r="B3123" s="4" t="s">
        <v>12</v>
      </c>
      <c r="C3123" s="4" t="n">
        <v>7</v>
      </c>
      <c r="D3123" s="4" t="s">
        <v>105</v>
      </c>
      <c r="E3123" s="3" t="s">
        <v>194</v>
      </c>
      <c r="F3123" s="4" t="str">
        <f aca="false">IF(I3123&gt;J3123,"Y","N")</f>
        <v>Y</v>
      </c>
      <c r="G3123" s="3" t="s">
        <v>195</v>
      </c>
      <c r="H3123" s="3" t="s">
        <v>39</v>
      </c>
      <c r="I3123" s="4" t="n">
        <v>3</v>
      </c>
      <c r="J3123" s="4" t="n">
        <f aca="false">LEN(E3123)-LEN(SUBSTITUTE(E3123,",",""))+1</f>
        <v>2</v>
      </c>
      <c r="K3123" s="3" t="str">
        <f aca="false">IFERROR(INDEX('Teacher Lookup'!$B$2:$B$200,MATCH(A3123,'Teacher Lookup'!$A$2:$A$200,0)),"")</f>
        <v>LI Esther</v>
      </c>
    </row>
    <row r="3124" customFormat="false" ht="15" hidden="false" customHeight="false" outlineLevel="0" collapsed="false">
      <c r="A3124" s="3" t="s">
        <v>386</v>
      </c>
      <c r="B3124" s="4" t="s">
        <v>31</v>
      </c>
      <c r="C3124" s="4" t="n">
        <v>1</v>
      </c>
      <c r="D3124" s="4" t="s">
        <v>74</v>
      </c>
      <c r="E3124" s="3" t="s">
        <v>387</v>
      </c>
      <c r="F3124" s="4" t="str">
        <f aca="false">IF(I3124&gt;J3124,"Y","N")</f>
        <v>N</v>
      </c>
      <c r="G3124" s="3" t="s">
        <v>388</v>
      </c>
      <c r="H3124" s="3" t="s">
        <v>16</v>
      </c>
      <c r="I3124" s="4" t="n">
        <v>2</v>
      </c>
      <c r="J3124" s="4" t="n">
        <f aca="false">LEN(E3124)-LEN(SUBSTITUTE(E3124,",",""))+1</f>
        <v>2</v>
      </c>
      <c r="K3124" s="3" t="str">
        <f aca="false">IFERROR(INDEX('Teacher Lookup'!$B$2:$B$200,MATCH(A3124,'Teacher Lookup'!$A$2:$A$200,0)),"")</f>
        <v>LI Esther</v>
      </c>
    </row>
    <row r="3125" customFormat="false" ht="15" hidden="false" customHeight="false" outlineLevel="0" collapsed="false">
      <c r="A3125" s="3" t="s">
        <v>386</v>
      </c>
      <c r="B3125" s="4" t="s">
        <v>31</v>
      </c>
      <c r="C3125" s="4" t="n">
        <v>1</v>
      </c>
      <c r="D3125" s="4" t="s">
        <v>79</v>
      </c>
      <c r="E3125" s="3" t="s">
        <v>387</v>
      </c>
      <c r="F3125" s="4" t="str">
        <f aca="false">IF(I3125&gt;J3125,"Y","N")</f>
        <v>N</v>
      </c>
      <c r="G3125" s="3" t="s">
        <v>388</v>
      </c>
      <c r="H3125" s="3" t="s">
        <v>16</v>
      </c>
      <c r="I3125" s="4" t="n">
        <v>2</v>
      </c>
      <c r="J3125" s="4" t="n">
        <f aca="false">LEN(E3125)-LEN(SUBSTITUTE(E3125,",",""))+1</f>
        <v>2</v>
      </c>
      <c r="K3125" s="3" t="str">
        <f aca="false">IFERROR(INDEX('Teacher Lookup'!$B$2:$B$200,MATCH(A3125,'Teacher Lookup'!$A$2:$A$200,0)),"")</f>
        <v>LI Esther</v>
      </c>
    </row>
    <row r="3126" customFormat="false" ht="15" hidden="false" customHeight="false" outlineLevel="0" collapsed="false">
      <c r="A3126" s="3" t="s">
        <v>386</v>
      </c>
      <c r="B3126" s="4" t="s">
        <v>31</v>
      </c>
      <c r="C3126" s="4" t="n">
        <v>2</v>
      </c>
      <c r="D3126" s="4" t="s">
        <v>74</v>
      </c>
      <c r="E3126" s="3" t="s">
        <v>387</v>
      </c>
      <c r="F3126" s="4" t="str">
        <f aca="false">IF(I3126&gt;J3126,"Y","N")</f>
        <v>N</v>
      </c>
      <c r="G3126" s="3" t="s">
        <v>388</v>
      </c>
      <c r="H3126" s="3" t="s">
        <v>21</v>
      </c>
      <c r="I3126" s="4" t="n">
        <v>2</v>
      </c>
      <c r="J3126" s="4" t="n">
        <f aca="false">LEN(E3126)-LEN(SUBSTITUTE(E3126,",",""))+1</f>
        <v>2</v>
      </c>
      <c r="K3126" s="3" t="str">
        <f aca="false">IFERROR(INDEX('Teacher Lookup'!$B$2:$B$200,MATCH(A3126,'Teacher Lookup'!$A$2:$A$200,0)),"")</f>
        <v>LI Esther</v>
      </c>
    </row>
    <row r="3127" customFormat="false" ht="15" hidden="false" customHeight="false" outlineLevel="0" collapsed="false">
      <c r="A3127" s="3" t="s">
        <v>386</v>
      </c>
      <c r="B3127" s="4" t="s">
        <v>31</v>
      </c>
      <c r="C3127" s="4" t="n">
        <v>2</v>
      </c>
      <c r="D3127" s="4" t="s">
        <v>79</v>
      </c>
      <c r="E3127" s="3" t="s">
        <v>387</v>
      </c>
      <c r="F3127" s="4" t="str">
        <f aca="false">IF(I3127&gt;J3127,"Y","N")</f>
        <v>N</v>
      </c>
      <c r="G3127" s="3" t="s">
        <v>388</v>
      </c>
      <c r="H3127" s="3" t="s">
        <v>21</v>
      </c>
      <c r="I3127" s="4" t="n">
        <v>2</v>
      </c>
      <c r="J3127" s="4" t="n">
        <f aca="false">LEN(E3127)-LEN(SUBSTITUTE(E3127,",",""))+1</f>
        <v>2</v>
      </c>
      <c r="K3127" s="3" t="str">
        <f aca="false">IFERROR(INDEX('Teacher Lookup'!$B$2:$B$200,MATCH(A3127,'Teacher Lookup'!$A$2:$A$200,0)),"")</f>
        <v>LI Esther</v>
      </c>
    </row>
    <row r="3128" customFormat="false" ht="15" hidden="false" customHeight="false" outlineLevel="0" collapsed="false">
      <c r="A3128" s="3" t="s">
        <v>386</v>
      </c>
      <c r="B3128" s="4" t="s">
        <v>31</v>
      </c>
      <c r="C3128" s="4" t="n">
        <v>5</v>
      </c>
      <c r="D3128" s="4" t="s">
        <v>70</v>
      </c>
      <c r="E3128" s="3" t="s">
        <v>81</v>
      </c>
      <c r="F3128" s="4" t="str">
        <f aca="false">IF(I3128&gt;J3128,"Y","N")</f>
        <v>Y</v>
      </c>
      <c r="G3128" s="3" t="s">
        <v>36</v>
      </c>
      <c r="H3128" s="3" t="s">
        <v>37</v>
      </c>
      <c r="I3128" s="4" t="n">
        <v>15</v>
      </c>
      <c r="J3128" s="4" t="n">
        <f aca="false">LEN(E3128)-LEN(SUBSTITUTE(E3128,",",""))+1</f>
        <v>7</v>
      </c>
      <c r="K3128" s="3" t="str">
        <f aca="false">IFERROR(INDEX('Teacher Lookup'!$B$2:$B$200,MATCH(A3128,'Teacher Lookup'!$A$2:$A$200,0)),"")</f>
        <v>LI Esther</v>
      </c>
    </row>
    <row r="3129" customFormat="false" ht="15" hidden="false" customHeight="false" outlineLevel="0" collapsed="false">
      <c r="A3129" s="3" t="s">
        <v>386</v>
      </c>
      <c r="B3129" s="4" t="s">
        <v>31</v>
      </c>
      <c r="C3129" s="4" t="n">
        <v>5</v>
      </c>
      <c r="D3129" s="4" t="s">
        <v>73</v>
      </c>
      <c r="E3129" s="3" t="s">
        <v>81</v>
      </c>
      <c r="F3129" s="4" t="str">
        <f aca="false">IF(I3129&gt;J3129,"Y","N")</f>
        <v>Y</v>
      </c>
      <c r="G3129" s="3" t="s">
        <v>36</v>
      </c>
      <c r="H3129" s="3" t="s">
        <v>37</v>
      </c>
      <c r="I3129" s="4" t="n">
        <v>15</v>
      </c>
      <c r="J3129" s="4" t="n">
        <f aca="false">LEN(E3129)-LEN(SUBSTITUTE(E3129,",",""))+1</f>
        <v>7</v>
      </c>
      <c r="K3129" s="3" t="str">
        <f aca="false">IFERROR(INDEX('Teacher Lookup'!$B$2:$B$200,MATCH(A3129,'Teacher Lookup'!$A$2:$A$200,0)),"")</f>
        <v>LI Esther</v>
      </c>
    </row>
    <row r="3130" customFormat="false" ht="15" hidden="false" customHeight="false" outlineLevel="0" collapsed="false">
      <c r="A3130" s="3" t="s">
        <v>386</v>
      </c>
      <c r="B3130" s="4" t="s">
        <v>31</v>
      </c>
      <c r="C3130" s="4" t="n">
        <v>5</v>
      </c>
      <c r="D3130" s="4" t="s">
        <v>74</v>
      </c>
      <c r="E3130" s="3" t="s">
        <v>81</v>
      </c>
      <c r="F3130" s="4" t="str">
        <f aca="false">IF(I3130&gt;J3130,"Y","N")</f>
        <v>Y</v>
      </c>
      <c r="G3130" s="3" t="s">
        <v>36</v>
      </c>
      <c r="H3130" s="3" t="s">
        <v>37</v>
      </c>
      <c r="I3130" s="4" t="n">
        <v>15</v>
      </c>
      <c r="J3130" s="4" t="n">
        <f aca="false">LEN(E3130)-LEN(SUBSTITUTE(E3130,",",""))+1</f>
        <v>7</v>
      </c>
      <c r="K3130" s="3" t="str">
        <f aca="false">IFERROR(INDEX('Teacher Lookup'!$B$2:$B$200,MATCH(A3130,'Teacher Lookup'!$A$2:$A$200,0)),"")</f>
        <v>LI Esther</v>
      </c>
    </row>
    <row r="3131" customFormat="false" ht="15" hidden="false" customHeight="false" outlineLevel="0" collapsed="false">
      <c r="A3131" s="3" t="s">
        <v>386</v>
      </c>
      <c r="B3131" s="4" t="s">
        <v>31</v>
      </c>
      <c r="C3131" s="4" t="n">
        <v>5</v>
      </c>
      <c r="D3131" s="4" t="s">
        <v>76</v>
      </c>
      <c r="E3131" s="3" t="s">
        <v>81</v>
      </c>
      <c r="F3131" s="4" t="str">
        <f aca="false">IF(I3131&gt;J3131,"Y","N")</f>
        <v>Y</v>
      </c>
      <c r="G3131" s="3" t="s">
        <v>36</v>
      </c>
      <c r="H3131" s="3" t="s">
        <v>37</v>
      </c>
      <c r="I3131" s="4" t="n">
        <v>15</v>
      </c>
      <c r="J3131" s="4" t="n">
        <f aca="false">LEN(E3131)-LEN(SUBSTITUTE(E3131,",",""))+1</f>
        <v>7</v>
      </c>
      <c r="K3131" s="3" t="str">
        <f aca="false">IFERROR(INDEX('Teacher Lookup'!$B$2:$B$200,MATCH(A3131,'Teacher Lookup'!$A$2:$A$200,0)),"")</f>
        <v>LI Esther</v>
      </c>
    </row>
    <row r="3132" customFormat="false" ht="15" hidden="false" customHeight="false" outlineLevel="0" collapsed="false">
      <c r="A3132" s="3" t="s">
        <v>386</v>
      </c>
      <c r="B3132" s="4" t="s">
        <v>31</v>
      </c>
      <c r="C3132" s="4" t="n">
        <v>5</v>
      </c>
      <c r="D3132" s="4" t="s">
        <v>78</v>
      </c>
      <c r="E3132" s="3" t="s">
        <v>81</v>
      </c>
      <c r="F3132" s="4" t="str">
        <f aca="false">IF(I3132&gt;J3132,"Y","N")</f>
        <v>Y</v>
      </c>
      <c r="G3132" s="3" t="s">
        <v>36</v>
      </c>
      <c r="H3132" s="3" t="s">
        <v>37</v>
      </c>
      <c r="I3132" s="4" t="n">
        <v>15</v>
      </c>
      <c r="J3132" s="4" t="n">
        <f aca="false">LEN(E3132)-LEN(SUBSTITUTE(E3132,",",""))+1</f>
        <v>7</v>
      </c>
      <c r="K3132" s="3" t="str">
        <f aca="false">IFERROR(INDEX('Teacher Lookup'!$B$2:$B$200,MATCH(A3132,'Teacher Lookup'!$A$2:$A$200,0)),"")</f>
        <v>LI Esther</v>
      </c>
    </row>
    <row r="3133" customFormat="false" ht="15" hidden="false" customHeight="false" outlineLevel="0" collapsed="false">
      <c r="A3133" s="3" t="s">
        <v>386</v>
      </c>
      <c r="B3133" s="4" t="s">
        <v>31</v>
      </c>
      <c r="C3133" s="4" t="n">
        <v>5</v>
      </c>
      <c r="D3133" s="4" t="s">
        <v>79</v>
      </c>
      <c r="E3133" s="3" t="s">
        <v>81</v>
      </c>
      <c r="F3133" s="4" t="str">
        <f aca="false">IF(I3133&gt;J3133,"Y","N")</f>
        <v>Y</v>
      </c>
      <c r="G3133" s="3" t="s">
        <v>36</v>
      </c>
      <c r="H3133" s="3" t="s">
        <v>37</v>
      </c>
      <c r="I3133" s="4" t="n">
        <v>15</v>
      </c>
      <c r="J3133" s="4" t="n">
        <f aca="false">LEN(E3133)-LEN(SUBSTITUTE(E3133,",",""))+1</f>
        <v>7</v>
      </c>
      <c r="K3133" s="3" t="str">
        <f aca="false">IFERROR(INDEX('Teacher Lookup'!$B$2:$B$200,MATCH(A3133,'Teacher Lookup'!$A$2:$A$200,0)),"")</f>
        <v>LI Esther</v>
      </c>
    </row>
    <row r="3134" customFormat="false" ht="15" hidden="false" customHeight="false" outlineLevel="0" collapsed="false">
      <c r="A3134" s="3" t="s">
        <v>386</v>
      </c>
      <c r="B3134" s="4" t="s">
        <v>40</v>
      </c>
      <c r="C3134" s="4" t="n">
        <v>3</v>
      </c>
      <c r="D3134" s="4" t="s">
        <v>105</v>
      </c>
      <c r="E3134" s="3" t="s">
        <v>194</v>
      </c>
      <c r="F3134" s="4" t="str">
        <f aca="false">IF(I3134&gt;J3134,"Y","N")</f>
        <v>N</v>
      </c>
      <c r="G3134" s="3" t="s">
        <v>195</v>
      </c>
      <c r="H3134" s="3" t="s">
        <v>26</v>
      </c>
      <c r="I3134" s="4" t="n">
        <v>2</v>
      </c>
      <c r="J3134" s="4" t="n">
        <f aca="false">LEN(E3134)-LEN(SUBSTITUTE(E3134,",",""))+1</f>
        <v>2</v>
      </c>
      <c r="K3134" s="3" t="str">
        <f aca="false">IFERROR(INDEX('Teacher Lookup'!$B$2:$B$200,MATCH(A3134,'Teacher Lookup'!$A$2:$A$200,0)),"")</f>
        <v>LI Esther</v>
      </c>
    </row>
    <row r="3135" customFormat="false" ht="15" hidden="false" customHeight="false" outlineLevel="0" collapsed="false">
      <c r="A3135" s="3" t="s">
        <v>386</v>
      </c>
      <c r="B3135" s="4" t="s">
        <v>40</v>
      </c>
      <c r="C3135" s="4" t="n">
        <v>4</v>
      </c>
      <c r="D3135" s="4" t="s">
        <v>24</v>
      </c>
      <c r="E3135" s="3" t="s">
        <v>379</v>
      </c>
      <c r="F3135" s="4" t="str">
        <f aca="false">IF(I3135&gt;J3135,"Y","N")</f>
        <v>Y</v>
      </c>
      <c r="G3135" s="3" t="s">
        <v>378</v>
      </c>
      <c r="H3135" s="3" t="s">
        <v>34</v>
      </c>
      <c r="I3135" s="4" t="n">
        <v>9</v>
      </c>
      <c r="J3135" s="4" t="n">
        <f aca="false">LEN(E3135)-LEN(SUBSTITUTE(E3135,",",""))+1</f>
        <v>8</v>
      </c>
      <c r="K3135" s="3" t="str">
        <f aca="false">IFERROR(INDEX('Teacher Lookup'!$B$2:$B$200,MATCH(A3135,'Teacher Lookup'!$A$2:$A$200,0)),"")</f>
        <v>LI Esther</v>
      </c>
    </row>
    <row r="3136" customFormat="false" ht="15" hidden="false" customHeight="false" outlineLevel="0" collapsed="false">
      <c r="A3136" s="3" t="s">
        <v>386</v>
      </c>
      <c r="B3136" s="4" t="s">
        <v>40</v>
      </c>
      <c r="C3136" s="4" t="n">
        <v>4</v>
      </c>
      <c r="D3136" s="4" t="s">
        <v>27</v>
      </c>
      <c r="E3136" s="3" t="s">
        <v>379</v>
      </c>
      <c r="F3136" s="4" t="str">
        <f aca="false">IF(I3136&gt;J3136,"Y","N")</f>
        <v>Y</v>
      </c>
      <c r="G3136" s="3" t="s">
        <v>378</v>
      </c>
      <c r="H3136" s="3" t="s">
        <v>34</v>
      </c>
      <c r="I3136" s="4" t="n">
        <v>9</v>
      </c>
      <c r="J3136" s="4" t="n">
        <f aca="false">LEN(E3136)-LEN(SUBSTITUTE(E3136,",",""))+1</f>
        <v>8</v>
      </c>
      <c r="K3136" s="3" t="str">
        <f aca="false">IFERROR(INDEX('Teacher Lookup'!$B$2:$B$200,MATCH(A3136,'Teacher Lookup'!$A$2:$A$200,0)),"")</f>
        <v>LI Esther</v>
      </c>
    </row>
    <row r="3137" customFormat="false" ht="15" hidden="false" customHeight="false" outlineLevel="0" collapsed="false">
      <c r="A3137" s="3" t="s">
        <v>386</v>
      </c>
      <c r="B3137" s="4" t="s">
        <v>40</v>
      </c>
      <c r="C3137" s="4" t="n">
        <v>4</v>
      </c>
      <c r="D3137" s="4" t="s">
        <v>28</v>
      </c>
      <c r="E3137" s="3" t="s">
        <v>379</v>
      </c>
      <c r="F3137" s="4" t="str">
        <f aca="false">IF(I3137&gt;J3137,"Y","N")</f>
        <v>Y</v>
      </c>
      <c r="G3137" s="3" t="s">
        <v>378</v>
      </c>
      <c r="H3137" s="3" t="s">
        <v>34</v>
      </c>
      <c r="I3137" s="4" t="n">
        <v>9</v>
      </c>
      <c r="J3137" s="4" t="n">
        <f aca="false">LEN(E3137)-LEN(SUBSTITUTE(E3137,",",""))+1</f>
        <v>8</v>
      </c>
      <c r="K3137" s="3" t="str">
        <f aca="false">IFERROR(INDEX('Teacher Lookup'!$B$2:$B$200,MATCH(A3137,'Teacher Lookup'!$A$2:$A$200,0)),"")</f>
        <v>LI Esther</v>
      </c>
    </row>
    <row r="3138" customFormat="false" ht="15" hidden="false" customHeight="false" outlineLevel="0" collapsed="false">
      <c r="A3138" s="3" t="s">
        <v>386</v>
      </c>
      <c r="B3138" s="4" t="s">
        <v>40</v>
      </c>
      <c r="C3138" s="4" t="n">
        <v>4</v>
      </c>
      <c r="D3138" s="4" t="s">
        <v>29</v>
      </c>
      <c r="E3138" s="3" t="s">
        <v>379</v>
      </c>
      <c r="F3138" s="4" t="str">
        <f aca="false">IF(I3138&gt;J3138,"Y","N")</f>
        <v>Y</v>
      </c>
      <c r="G3138" s="3" t="s">
        <v>378</v>
      </c>
      <c r="H3138" s="3" t="s">
        <v>34</v>
      </c>
      <c r="I3138" s="4" t="n">
        <v>9</v>
      </c>
      <c r="J3138" s="4" t="n">
        <f aca="false">LEN(E3138)-LEN(SUBSTITUTE(E3138,",",""))+1</f>
        <v>8</v>
      </c>
      <c r="K3138" s="3" t="str">
        <f aca="false">IFERROR(INDEX('Teacher Lookup'!$B$2:$B$200,MATCH(A3138,'Teacher Lookup'!$A$2:$A$200,0)),"")</f>
        <v>LI Esther</v>
      </c>
    </row>
    <row r="3139" customFormat="false" ht="15" hidden="false" customHeight="false" outlineLevel="0" collapsed="false">
      <c r="A3139" s="3" t="s">
        <v>386</v>
      </c>
      <c r="B3139" s="4" t="s">
        <v>40</v>
      </c>
      <c r="C3139" s="4" t="n">
        <v>4</v>
      </c>
      <c r="D3139" s="4" t="s">
        <v>30</v>
      </c>
      <c r="E3139" s="3" t="s">
        <v>379</v>
      </c>
      <c r="F3139" s="4" t="str">
        <f aca="false">IF(I3139&gt;J3139,"Y","N")</f>
        <v>Y</v>
      </c>
      <c r="G3139" s="3" t="s">
        <v>378</v>
      </c>
      <c r="H3139" s="3" t="s">
        <v>34</v>
      </c>
      <c r="I3139" s="4" t="n">
        <v>9</v>
      </c>
      <c r="J3139" s="4" t="n">
        <f aca="false">LEN(E3139)-LEN(SUBSTITUTE(E3139,",",""))+1</f>
        <v>8</v>
      </c>
      <c r="K3139" s="3" t="str">
        <f aca="false">IFERROR(INDEX('Teacher Lookup'!$B$2:$B$200,MATCH(A3139,'Teacher Lookup'!$A$2:$A$200,0)),"")</f>
        <v>LI Esther</v>
      </c>
    </row>
    <row r="3140" customFormat="false" ht="15" hidden="false" customHeight="false" outlineLevel="0" collapsed="false">
      <c r="A3140" s="3" t="s">
        <v>386</v>
      </c>
      <c r="B3140" s="4" t="s">
        <v>40</v>
      </c>
      <c r="C3140" s="4" t="n">
        <v>6</v>
      </c>
      <c r="D3140" s="4" t="s">
        <v>76</v>
      </c>
      <c r="E3140" s="3" t="s">
        <v>387</v>
      </c>
      <c r="F3140" s="4" t="str">
        <f aca="false">IF(I3140&gt;J3140,"Y","N")</f>
        <v>N</v>
      </c>
      <c r="G3140" s="3" t="s">
        <v>388</v>
      </c>
      <c r="H3140" s="3" t="s">
        <v>42</v>
      </c>
      <c r="I3140" s="4" t="n">
        <v>2</v>
      </c>
      <c r="J3140" s="4" t="n">
        <f aca="false">LEN(E3140)-LEN(SUBSTITUTE(E3140,",",""))+1</f>
        <v>2</v>
      </c>
      <c r="K3140" s="3" t="str">
        <f aca="false">IFERROR(INDEX('Teacher Lookup'!$B$2:$B$200,MATCH(A3140,'Teacher Lookup'!$A$2:$A$200,0)),"")</f>
        <v>LI Esther</v>
      </c>
    </row>
    <row r="3141" customFormat="false" ht="15" hidden="false" customHeight="false" outlineLevel="0" collapsed="false">
      <c r="A3141" s="3" t="s">
        <v>386</v>
      </c>
      <c r="B3141" s="4" t="s">
        <v>40</v>
      </c>
      <c r="C3141" s="4" t="n">
        <v>6</v>
      </c>
      <c r="D3141" s="4" t="s">
        <v>78</v>
      </c>
      <c r="E3141" s="3" t="s">
        <v>387</v>
      </c>
      <c r="F3141" s="4" t="str">
        <f aca="false">IF(I3141&gt;J3141,"Y","N")</f>
        <v>N</v>
      </c>
      <c r="G3141" s="3" t="s">
        <v>388</v>
      </c>
      <c r="H3141" s="3" t="s">
        <v>42</v>
      </c>
      <c r="I3141" s="4" t="n">
        <v>2</v>
      </c>
      <c r="J3141" s="4" t="n">
        <f aca="false">LEN(E3141)-LEN(SUBSTITUTE(E3141,",",""))+1</f>
        <v>2</v>
      </c>
      <c r="K3141" s="3" t="str">
        <f aca="false">IFERROR(INDEX('Teacher Lookup'!$B$2:$B$200,MATCH(A3141,'Teacher Lookup'!$A$2:$A$200,0)),"")</f>
        <v>LI Esther</v>
      </c>
    </row>
    <row r="3142" customFormat="false" ht="15" hidden="false" customHeight="false" outlineLevel="0" collapsed="false">
      <c r="A3142" s="3" t="s">
        <v>386</v>
      </c>
      <c r="B3142" s="4" t="s">
        <v>40</v>
      </c>
      <c r="C3142" s="4" t="n">
        <v>7</v>
      </c>
      <c r="D3142" s="4" t="s">
        <v>76</v>
      </c>
      <c r="E3142" s="3" t="s">
        <v>387</v>
      </c>
      <c r="F3142" s="4" t="str">
        <f aca="false">IF(I3142&gt;J3142,"Y","N")</f>
        <v>N</v>
      </c>
      <c r="G3142" s="3" t="s">
        <v>388</v>
      </c>
      <c r="H3142" s="3" t="s">
        <v>39</v>
      </c>
      <c r="I3142" s="4" t="n">
        <v>2</v>
      </c>
      <c r="J3142" s="4" t="n">
        <f aca="false">LEN(E3142)-LEN(SUBSTITUTE(E3142,",",""))+1</f>
        <v>2</v>
      </c>
      <c r="K3142" s="3" t="str">
        <f aca="false">IFERROR(INDEX('Teacher Lookup'!$B$2:$B$200,MATCH(A3142,'Teacher Lookup'!$A$2:$A$200,0)),"")</f>
        <v>LI Esther</v>
      </c>
    </row>
    <row r="3143" customFormat="false" ht="15" hidden="false" customHeight="false" outlineLevel="0" collapsed="false">
      <c r="A3143" s="3" t="s">
        <v>386</v>
      </c>
      <c r="B3143" s="4" t="s">
        <v>40</v>
      </c>
      <c r="C3143" s="4" t="n">
        <v>7</v>
      </c>
      <c r="D3143" s="4" t="s">
        <v>78</v>
      </c>
      <c r="E3143" s="3" t="s">
        <v>387</v>
      </c>
      <c r="F3143" s="4" t="str">
        <f aca="false">IF(I3143&gt;J3143,"Y","N")</f>
        <v>N</v>
      </c>
      <c r="G3143" s="3" t="s">
        <v>388</v>
      </c>
      <c r="H3143" s="3" t="s">
        <v>39</v>
      </c>
      <c r="I3143" s="4" t="n">
        <v>2</v>
      </c>
      <c r="J3143" s="4" t="n">
        <f aca="false">LEN(E3143)-LEN(SUBSTITUTE(E3143,",",""))+1</f>
        <v>2</v>
      </c>
      <c r="K3143" s="3" t="str">
        <f aca="false">IFERROR(INDEX('Teacher Lookup'!$B$2:$B$200,MATCH(A3143,'Teacher Lookup'!$A$2:$A$200,0)),"")</f>
        <v>LI Esther</v>
      </c>
    </row>
    <row r="3144" customFormat="false" ht="15" hidden="false" customHeight="false" outlineLevel="0" collapsed="false">
      <c r="A3144" s="3" t="s">
        <v>386</v>
      </c>
      <c r="B3144" s="4" t="s">
        <v>44</v>
      </c>
      <c r="C3144" s="4" t="n">
        <v>1</v>
      </c>
      <c r="D3144" s="4" t="s">
        <v>24</v>
      </c>
      <c r="E3144" s="3" t="s">
        <v>380</v>
      </c>
      <c r="F3144" s="4" t="str">
        <f aca="false">IF(I3144&gt;J3144,"Y","N")</f>
        <v>Y</v>
      </c>
      <c r="G3144" s="3" t="s">
        <v>378</v>
      </c>
      <c r="H3144" s="3" t="s">
        <v>16</v>
      </c>
      <c r="I3144" s="4" t="n">
        <v>9</v>
      </c>
      <c r="J3144" s="4" t="n">
        <f aca="false">LEN(E3144)-LEN(SUBSTITUTE(E3144,",",""))+1</f>
        <v>8</v>
      </c>
      <c r="K3144" s="3" t="str">
        <f aca="false">IFERROR(INDEX('Teacher Lookup'!$B$2:$B$200,MATCH(A3144,'Teacher Lookup'!$A$2:$A$200,0)),"")</f>
        <v>LI Esther</v>
      </c>
    </row>
    <row r="3145" customFormat="false" ht="15" hidden="false" customHeight="false" outlineLevel="0" collapsed="false">
      <c r="A3145" s="3" t="s">
        <v>386</v>
      </c>
      <c r="B3145" s="4" t="s">
        <v>44</v>
      </c>
      <c r="C3145" s="4" t="n">
        <v>1</v>
      </c>
      <c r="D3145" s="4" t="s">
        <v>27</v>
      </c>
      <c r="E3145" s="3" t="s">
        <v>380</v>
      </c>
      <c r="F3145" s="4" t="str">
        <f aca="false">IF(I3145&gt;J3145,"Y","N")</f>
        <v>Y</v>
      </c>
      <c r="G3145" s="3" t="s">
        <v>378</v>
      </c>
      <c r="H3145" s="3" t="s">
        <v>16</v>
      </c>
      <c r="I3145" s="4" t="n">
        <v>9</v>
      </c>
      <c r="J3145" s="4" t="n">
        <f aca="false">LEN(E3145)-LEN(SUBSTITUTE(E3145,",",""))+1</f>
        <v>8</v>
      </c>
      <c r="K3145" s="3" t="str">
        <f aca="false">IFERROR(INDEX('Teacher Lookup'!$B$2:$B$200,MATCH(A3145,'Teacher Lookup'!$A$2:$A$200,0)),"")</f>
        <v>LI Esther</v>
      </c>
    </row>
    <row r="3146" customFormat="false" ht="15" hidden="false" customHeight="false" outlineLevel="0" collapsed="false">
      <c r="A3146" s="3" t="s">
        <v>386</v>
      </c>
      <c r="B3146" s="4" t="s">
        <v>44</v>
      </c>
      <c r="C3146" s="4" t="n">
        <v>1</v>
      </c>
      <c r="D3146" s="4" t="s">
        <v>28</v>
      </c>
      <c r="E3146" s="3" t="s">
        <v>380</v>
      </c>
      <c r="F3146" s="4" t="str">
        <f aca="false">IF(I3146&gt;J3146,"Y","N")</f>
        <v>Y</v>
      </c>
      <c r="G3146" s="3" t="s">
        <v>378</v>
      </c>
      <c r="H3146" s="3" t="s">
        <v>16</v>
      </c>
      <c r="I3146" s="4" t="n">
        <v>9</v>
      </c>
      <c r="J3146" s="4" t="n">
        <f aca="false">LEN(E3146)-LEN(SUBSTITUTE(E3146,",",""))+1</f>
        <v>8</v>
      </c>
      <c r="K3146" s="3" t="str">
        <f aca="false">IFERROR(INDEX('Teacher Lookup'!$B$2:$B$200,MATCH(A3146,'Teacher Lookup'!$A$2:$A$200,0)),"")</f>
        <v>LI Esther</v>
      </c>
    </row>
    <row r="3147" customFormat="false" ht="15" hidden="false" customHeight="false" outlineLevel="0" collapsed="false">
      <c r="A3147" s="3" t="s">
        <v>386</v>
      </c>
      <c r="B3147" s="4" t="s">
        <v>44</v>
      </c>
      <c r="C3147" s="4" t="n">
        <v>1</v>
      </c>
      <c r="D3147" s="4" t="s">
        <v>29</v>
      </c>
      <c r="E3147" s="3" t="s">
        <v>380</v>
      </c>
      <c r="F3147" s="4" t="str">
        <f aca="false">IF(I3147&gt;J3147,"Y","N")</f>
        <v>Y</v>
      </c>
      <c r="G3147" s="3" t="s">
        <v>378</v>
      </c>
      <c r="H3147" s="3" t="s">
        <v>16</v>
      </c>
      <c r="I3147" s="4" t="n">
        <v>9</v>
      </c>
      <c r="J3147" s="4" t="n">
        <f aca="false">LEN(E3147)-LEN(SUBSTITUTE(E3147,",",""))+1</f>
        <v>8</v>
      </c>
      <c r="K3147" s="3" t="str">
        <f aca="false">IFERROR(INDEX('Teacher Lookup'!$B$2:$B$200,MATCH(A3147,'Teacher Lookup'!$A$2:$A$200,0)),"")</f>
        <v>LI Esther</v>
      </c>
    </row>
    <row r="3148" customFormat="false" ht="15" hidden="false" customHeight="false" outlineLevel="0" collapsed="false">
      <c r="A3148" s="3" t="s">
        <v>386</v>
      </c>
      <c r="B3148" s="4" t="s">
        <v>44</v>
      </c>
      <c r="C3148" s="4" t="n">
        <v>1</v>
      </c>
      <c r="D3148" s="4" t="s">
        <v>30</v>
      </c>
      <c r="E3148" s="3" t="s">
        <v>380</v>
      </c>
      <c r="F3148" s="4" t="str">
        <f aca="false">IF(I3148&gt;J3148,"Y","N")</f>
        <v>Y</v>
      </c>
      <c r="G3148" s="3" t="s">
        <v>378</v>
      </c>
      <c r="H3148" s="3" t="s">
        <v>16</v>
      </c>
      <c r="I3148" s="4" t="n">
        <v>9</v>
      </c>
      <c r="J3148" s="4" t="n">
        <f aca="false">LEN(E3148)-LEN(SUBSTITUTE(E3148,",",""))+1</f>
        <v>8</v>
      </c>
      <c r="K3148" s="3" t="str">
        <f aca="false">IFERROR(INDEX('Teacher Lookup'!$B$2:$B$200,MATCH(A3148,'Teacher Lookup'!$A$2:$A$200,0)),"")</f>
        <v>LI Esther</v>
      </c>
    </row>
    <row r="3149" customFormat="false" ht="15" hidden="false" customHeight="false" outlineLevel="0" collapsed="false">
      <c r="A3149" s="3" t="s">
        <v>386</v>
      </c>
      <c r="B3149" s="4" t="s">
        <v>44</v>
      </c>
      <c r="C3149" s="4" t="n">
        <v>4</v>
      </c>
      <c r="D3149" s="4" t="s">
        <v>52</v>
      </c>
      <c r="E3149" s="3" t="s">
        <v>115</v>
      </c>
      <c r="F3149" s="4" t="str">
        <f aca="false">IF(I3149&gt;J3149,"Y","N")</f>
        <v>Y</v>
      </c>
      <c r="G3149" s="3" t="s">
        <v>101</v>
      </c>
      <c r="H3149" s="3" t="s">
        <v>34</v>
      </c>
      <c r="I3149" s="4" t="n">
        <v>9</v>
      </c>
      <c r="J3149" s="4" t="n">
        <f aca="false">LEN(E3149)-LEN(SUBSTITUTE(E3149,",",""))+1</f>
        <v>8</v>
      </c>
      <c r="K3149" s="3" t="str">
        <f aca="false">IFERROR(INDEX('Teacher Lookup'!$B$2:$B$200,MATCH(A3149,'Teacher Lookup'!$A$2:$A$200,0)),"")</f>
        <v>LI Esther</v>
      </c>
    </row>
    <row r="3150" customFormat="false" ht="15" hidden="false" customHeight="false" outlineLevel="0" collapsed="false">
      <c r="A3150" s="3" t="s">
        <v>386</v>
      </c>
      <c r="B3150" s="4" t="s">
        <v>44</v>
      </c>
      <c r="C3150" s="4" t="n">
        <v>4</v>
      </c>
      <c r="D3150" s="4" t="s">
        <v>55</v>
      </c>
      <c r="E3150" s="3" t="s">
        <v>115</v>
      </c>
      <c r="F3150" s="4" t="str">
        <f aca="false">IF(I3150&gt;J3150,"Y","N")</f>
        <v>Y</v>
      </c>
      <c r="G3150" s="3" t="s">
        <v>101</v>
      </c>
      <c r="H3150" s="3" t="s">
        <v>34</v>
      </c>
      <c r="I3150" s="4" t="n">
        <v>9</v>
      </c>
      <c r="J3150" s="4" t="n">
        <f aca="false">LEN(E3150)-LEN(SUBSTITUTE(E3150,",",""))+1</f>
        <v>8</v>
      </c>
      <c r="K3150" s="3" t="str">
        <f aca="false">IFERROR(INDEX('Teacher Lookup'!$B$2:$B$200,MATCH(A3150,'Teacher Lookup'!$A$2:$A$200,0)),"")</f>
        <v>LI Esther</v>
      </c>
    </row>
    <row r="3151" customFormat="false" ht="15" hidden="false" customHeight="false" outlineLevel="0" collapsed="false">
      <c r="A3151" s="3" t="s">
        <v>386</v>
      </c>
      <c r="B3151" s="4" t="s">
        <v>44</v>
      </c>
      <c r="C3151" s="4" t="n">
        <v>4</v>
      </c>
      <c r="D3151" s="4" t="s">
        <v>56</v>
      </c>
      <c r="E3151" s="3" t="s">
        <v>115</v>
      </c>
      <c r="F3151" s="4" t="str">
        <f aca="false">IF(I3151&gt;J3151,"Y","N")</f>
        <v>Y</v>
      </c>
      <c r="G3151" s="3" t="s">
        <v>101</v>
      </c>
      <c r="H3151" s="3" t="s">
        <v>34</v>
      </c>
      <c r="I3151" s="4" t="n">
        <v>9</v>
      </c>
      <c r="J3151" s="4" t="n">
        <f aca="false">LEN(E3151)-LEN(SUBSTITUTE(E3151,",",""))+1</f>
        <v>8</v>
      </c>
      <c r="K3151" s="3" t="str">
        <f aca="false">IFERROR(INDEX('Teacher Lookup'!$B$2:$B$200,MATCH(A3151,'Teacher Lookup'!$A$2:$A$200,0)),"")</f>
        <v>LI Esther</v>
      </c>
    </row>
    <row r="3152" customFormat="false" ht="15" hidden="false" customHeight="false" outlineLevel="0" collapsed="false">
      <c r="A3152" s="3" t="s">
        <v>386</v>
      </c>
      <c r="B3152" s="4" t="s">
        <v>44</v>
      </c>
      <c r="C3152" s="4" t="n">
        <v>4</v>
      </c>
      <c r="D3152" s="4" t="s">
        <v>57</v>
      </c>
      <c r="E3152" s="3" t="s">
        <v>115</v>
      </c>
      <c r="F3152" s="4" t="str">
        <f aca="false">IF(I3152&gt;J3152,"Y","N")</f>
        <v>Y</v>
      </c>
      <c r="G3152" s="3" t="s">
        <v>101</v>
      </c>
      <c r="H3152" s="3" t="s">
        <v>34</v>
      </c>
      <c r="I3152" s="4" t="n">
        <v>9</v>
      </c>
      <c r="J3152" s="4" t="n">
        <f aca="false">LEN(E3152)-LEN(SUBSTITUTE(E3152,",",""))+1</f>
        <v>8</v>
      </c>
      <c r="K3152" s="3" t="str">
        <f aca="false">IFERROR(INDEX('Teacher Lookup'!$B$2:$B$200,MATCH(A3152,'Teacher Lookup'!$A$2:$A$200,0)),"")</f>
        <v>LI Esther</v>
      </c>
    </row>
    <row r="3153" customFormat="false" ht="15" hidden="false" customHeight="false" outlineLevel="0" collapsed="false">
      <c r="A3153" s="3" t="s">
        <v>386</v>
      </c>
      <c r="B3153" s="4" t="s">
        <v>44</v>
      </c>
      <c r="C3153" s="4" t="n">
        <v>4</v>
      </c>
      <c r="D3153" s="4" t="s">
        <v>58</v>
      </c>
      <c r="E3153" s="3" t="s">
        <v>115</v>
      </c>
      <c r="F3153" s="4" t="str">
        <f aca="false">IF(I3153&gt;J3153,"Y","N")</f>
        <v>Y</v>
      </c>
      <c r="G3153" s="3" t="s">
        <v>101</v>
      </c>
      <c r="H3153" s="3" t="s">
        <v>34</v>
      </c>
      <c r="I3153" s="4" t="n">
        <v>9</v>
      </c>
      <c r="J3153" s="4" t="n">
        <f aca="false">LEN(E3153)-LEN(SUBSTITUTE(E3153,",",""))+1</f>
        <v>8</v>
      </c>
      <c r="K3153" s="3" t="str">
        <f aca="false">IFERROR(INDEX('Teacher Lookup'!$B$2:$B$200,MATCH(A3153,'Teacher Lookup'!$A$2:$A$200,0)),"")</f>
        <v>LI Esther</v>
      </c>
    </row>
    <row r="3154" customFormat="false" ht="15" hidden="false" customHeight="false" outlineLevel="0" collapsed="false">
      <c r="A3154" s="3" t="s">
        <v>386</v>
      </c>
      <c r="B3154" s="4" t="s">
        <v>44</v>
      </c>
      <c r="C3154" s="4" t="n">
        <v>4</v>
      </c>
      <c r="D3154" s="4" t="s">
        <v>59</v>
      </c>
      <c r="E3154" s="3" t="s">
        <v>115</v>
      </c>
      <c r="F3154" s="4" t="str">
        <f aca="false">IF(I3154&gt;J3154,"Y","N")</f>
        <v>Y</v>
      </c>
      <c r="G3154" s="3" t="s">
        <v>101</v>
      </c>
      <c r="H3154" s="3" t="s">
        <v>34</v>
      </c>
      <c r="I3154" s="4" t="n">
        <v>9</v>
      </c>
      <c r="J3154" s="4" t="n">
        <f aca="false">LEN(E3154)-LEN(SUBSTITUTE(E3154,",",""))+1</f>
        <v>8</v>
      </c>
      <c r="K3154" s="3" t="str">
        <f aca="false">IFERROR(INDEX('Teacher Lookup'!$B$2:$B$200,MATCH(A3154,'Teacher Lookup'!$A$2:$A$200,0)),"")</f>
        <v>LI Esther</v>
      </c>
    </row>
    <row r="3155" customFormat="false" ht="15" hidden="false" customHeight="false" outlineLevel="0" collapsed="false">
      <c r="A3155" s="3" t="s">
        <v>386</v>
      </c>
      <c r="B3155" s="4" t="s">
        <v>44</v>
      </c>
      <c r="C3155" s="4" t="n">
        <v>5</v>
      </c>
      <c r="D3155" s="4" t="s">
        <v>70</v>
      </c>
      <c r="E3155" s="3" t="s">
        <v>81</v>
      </c>
      <c r="F3155" s="4" t="str">
        <f aca="false">IF(I3155&gt;J3155,"Y","N")</f>
        <v>Y</v>
      </c>
      <c r="G3155" s="3" t="s">
        <v>36</v>
      </c>
      <c r="H3155" s="3" t="s">
        <v>37</v>
      </c>
      <c r="I3155" s="4" t="n">
        <v>15</v>
      </c>
      <c r="J3155" s="4" t="n">
        <f aca="false">LEN(E3155)-LEN(SUBSTITUTE(E3155,",",""))+1</f>
        <v>7</v>
      </c>
      <c r="K3155" s="3" t="str">
        <f aca="false">IFERROR(INDEX('Teacher Lookup'!$B$2:$B$200,MATCH(A3155,'Teacher Lookup'!$A$2:$A$200,0)),"")</f>
        <v>LI Esther</v>
      </c>
    </row>
    <row r="3156" customFormat="false" ht="15" hidden="false" customHeight="false" outlineLevel="0" collapsed="false">
      <c r="A3156" s="3" t="s">
        <v>386</v>
      </c>
      <c r="B3156" s="4" t="s">
        <v>44</v>
      </c>
      <c r="C3156" s="4" t="n">
        <v>5</v>
      </c>
      <c r="D3156" s="4" t="s">
        <v>73</v>
      </c>
      <c r="E3156" s="3" t="s">
        <v>81</v>
      </c>
      <c r="F3156" s="4" t="str">
        <f aca="false">IF(I3156&gt;J3156,"Y","N")</f>
        <v>Y</v>
      </c>
      <c r="G3156" s="3" t="s">
        <v>36</v>
      </c>
      <c r="H3156" s="3" t="s">
        <v>37</v>
      </c>
      <c r="I3156" s="4" t="n">
        <v>15</v>
      </c>
      <c r="J3156" s="4" t="n">
        <f aca="false">LEN(E3156)-LEN(SUBSTITUTE(E3156,",",""))+1</f>
        <v>7</v>
      </c>
      <c r="K3156" s="3" t="str">
        <f aca="false">IFERROR(INDEX('Teacher Lookup'!$B$2:$B$200,MATCH(A3156,'Teacher Lookup'!$A$2:$A$200,0)),"")</f>
        <v>LI Esther</v>
      </c>
    </row>
    <row r="3157" customFormat="false" ht="15" hidden="false" customHeight="false" outlineLevel="0" collapsed="false">
      <c r="A3157" s="3" t="s">
        <v>386</v>
      </c>
      <c r="B3157" s="4" t="s">
        <v>44</v>
      </c>
      <c r="C3157" s="4" t="n">
        <v>5</v>
      </c>
      <c r="D3157" s="4" t="s">
        <v>74</v>
      </c>
      <c r="E3157" s="3" t="s">
        <v>81</v>
      </c>
      <c r="F3157" s="4" t="str">
        <f aca="false">IF(I3157&gt;J3157,"Y","N")</f>
        <v>Y</v>
      </c>
      <c r="G3157" s="3" t="s">
        <v>36</v>
      </c>
      <c r="H3157" s="3" t="s">
        <v>37</v>
      </c>
      <c r="I3157" s="4" t="n">
        <v>15</v>
      </c>
      <c r="J3157" s="4" t="n">
        <f aca="false">LEN(E3157)-LEN(SUBSTITUTE(E3157,",",""))+1</f>
        <v>7</v>
      </c>
      <c r="K3157" s="3" t="str">
        <f aca="false">IFERROR(INDEX('Teacher Lookup'!$B$2:$B$200,MATCH(A3157,'Teacher Lookup'!$A$2:$A$200,0)),"")</f>
        <v>LI Esther</v>
      </c>
    </row>
    <row r="3158" customFormat="false" ht="15" hidden="false" customHeight="false" outlineLevel="0" collapsed="false">
      <c r="A3158" s="3" t="s">
        <v>386</v>
      </c>
      <c r="B3158" s="4" t="s">
        <v>44</v>
      </c>
      <c r="C3158" s="4" t="n">
        <v>5</v>
      </c>
      <c r="D3158" s="4" t="s">
        <v>76</v>
      </c>
      <c r="E3158" s="3" t="s">
        <v>81</v>
      </c>
      <c r="F3158" s="4" t="str">
        <f aca="false">IF(I3158&gt;J3158,"Y","N")</f>
        <v>Y</v>
      </c>
      <c r="G3158" s="3" t="s">
        <v>36</v>
      </c>
      <c r="H3158" s="3" t="s">
        <v>37</v>
      </c>
      <c r="I3158" s="4" t="n">
        <v>15</v>
      </c>
      <c r="J3158" s="4" t="n">
        <f aca="false">LEN(E3158)-LEN(SUBSTITUTE(E3158,",",""))+1</f>
        <v>7</v>
      </c>
      <c r="K3158" s="3" t="str">
        <f aca="false">IFERROR(INDEX('Teacher Lookup'!$B$2:$B$200,MATCH(A3158,'Teacher Lookup'!$A$2:$A$200,0)),"")</f>
        <v>LI Esther</v>
      </c>
    </row>
    <row r="3159" customFormat="false" ht="15" hidden="false" customHeight="false" outlineLevel="0" collapsed="false">
      <c r="A3159" s="3" t="s">
        <v>386</v>
      </c>
      <c r="B3159" s="4" t="s">
        <v>44</v>
      </c>
      <c r="C3159" s="4" t="n">
        <v>5</v>
      </c>
      <c r="D3159" s="4" t="s">
        <v>78</v>
      </c>
      <c r="E3159" s="3" t="s">
        <v>81</v>
      </c>
      <c r="F3159" s="4" t="str">
        <f aca="false">IF(I3159&gt;J3159,"Y","N")</f>
        <v>Y</v>
      </c>
      <c r="G3159" s="3" t="s">
        <v>36</v>
      </c>
      <c r="H3159" s="3" t="s">
        <v>37</v>
      </c>
      <c r="I3159" s="4" t="n">
        <v>15</v>
      </c>
      <c r="J3159" s="4" t="n">
        <f aca="false">LEN(E3159)-LEN(SUBSTITUTE(E3159,",",""))+1</f>
        <v>7</v>
      </c>
      <c r="K3159" s="3" t="str">
        <f aca="false">IFERROR(INDEX('Teacher Lookup'!$B$2:$B$200,MATCH(A3159,'Teacher Lookup'!$A$2:$A$200,0)),"")</f>
        <v>LI Esther</v>
      </c>
    </row>
    <row r="3160" customFormat="false" ht="15" hidden="false" customHeight="false" outlineLevel="0" collapsed="false">
      <c r="A3160" s="3" t="s">
        <v>386</v>
      </c>
      <c r="B3160" s="4" t="s">
        <v>44</v>
      </c>
      <c r="C3160" s="4" t="n">
        <v>5</v>
      </c>
      <c r="D3160" s="4" t="s">
        <v>79</v>
      </c>
      <c r="E3160" s="3" t="s">
        <v>81</v>
      </c>
      <c r="F3160" s="4" t="str">
        <f aca="false">IF(I3160&gt;J3160,"Y","N")</f>
        <v>Y</v>
      </c>
      <c r="G3160" s="3" t="s">
        <v>36</v>
      </c>
      <c r="H3160" s="3" t="s">
        <v>37</v>
      </c>
      <c r="I3160" s="4" t="n">
        <v>15</v>
      </c>
      <c r="J3160" s="4" t="n">
        <f aca="false">LEN(E3160)-LEN(SUBSTITUTE(E3160,",",""))+1</f>
        <v>7</v>
      </c>
      <c r="K3160" s="3" t="str">
        <f aca="false">IFERROR(INDEX('Teacher Lookup'!$B$2:$B$200,MATCH(A3160,'Teacher Lookup'!$A$2:$A$200,0)),"")</f>
        <v>LI Esther</v>
      </c>
    </row>
    <row r="3161" customFormat="false" ht="15" hidden="false" customHeight="false" outlineLevel="0" collapsed="false">
      <c r="A3161" s="3" t="s">
        <v>386</v>
      </c>
      <c r="B3161" s="4" t="s">
        <v>44</v>
      </c>
      <c r="C3161" s="4" t="n">
        <v>7</v>
      </c>
      <c r="D3161" s="4" t="s">
        <v>105</v>
      </c>
      <c r="E3161" s="3" t="s">
        <v>194</v>
      </c>
      <c r="F3161" s="4" t="str">
        <f aca="false">IF(I3161&gt;J3161,"Y","N")</f>
        <v>N</v>
      </c>
      <c r="G3161" s="3" t="s">
        <v>195</v>
      </c>
      <c r="H3161" s="3" t="s">
        <v>39</v>
      </c>
      <c r="I3161" s="4" t="n">
        <v>2</v>
      </c>
      <c r="J3161" s="4" t="n">
        <f aca="false">LEN(E3161)-LEN(SUBSTITUTE(E3161,",",""))+1</f>
        <v>2</v>
      </c>
      <c r="K3161" s="3" t="str">
        <f aca="false">IFERROR(INDEX('Teacher Lookup'!$B$2:$B$200,MATCH(A3161,'Teacher Lookup'!$A$2:$A$200,0)),"")</f>
        <v>LI Esther</v>
      </c>
    </row>
    <row r="3162" customFormat="false" ht="15" hidden="false" customHeight="false" outlineLevel="0" collapsed="false">
      <c r="A3162" s="3" t="s">
        <v>386</v>
      </c>
      <c r="B3162" s="4" t="s">
        <v>47</v>
      </c>
      <c r="C3162" s="4" t="n">
        <v>1</v>
      </c>
      <c r="D3162" s="4" t="s">
        <v>23</v>
      </c>
      <c r="E3162" s="3" t="s">
        <v>387</v>
      </c>
      <c r="F3162" s="4" t="str">
        <f aca="false">IF(I3162&gt;J3162,"Y","N")</f>
        <v>N</v>
      </c>
      <c r="G3162" s="3" t="s">
        <v>388</v>
      </c>
      <c r="H3162" s="3" t="s">
        <v>16</v>
      </c>
      <c r="I3162" s="4" t="n">
        <v>2</v>
      </c>
      <c r="J3162" s="4" t="n">
        <f aca="false">LEN(E3162)-LEN(SUBSTITUTE(E3162,",",""))+1</f>
        <v>2</v>
      </c>
      <c r="K3162" s="3" t="str">
        <f aca="false">IFERROR(INDEX('Teacher Lookup'!$B$2:$B$200,MATCH(A3162,'Teacher Lookup'!$A$2:$A$200,0)),"")</f>
        <v>LI Esther</v>
      </c>
    </row>
    <row r="3163" customFormat="false" ht="15" hidden="false" customHeight="false" outlineLevel="0" collapsed="false">
      <c r="A3163" s="3" t="s">
        <v>386</v>
      </c>
      <c r="B3163" s="4" t="s">
        <v>47</v>
      </c>
      <c r="C3163" s="4" t="n">
        <v>1</v>
      </c>
      <c r="D3163" s="4" t="s">
        <v>18</v>
      </c>
      <c r="E3163" s="3" t="s">
        <v>387</v>
      </c>
      <c r="F3163" s="4" t="str">
        <f aca="false">IF(I3163&gt;J3163,"Y","N")</f>
        <v>N</v>
      </c>
      <c r="G3163" s="3" t="s">
        <v>388</v>
      </c>
      <c r="H3163" s="3" t="s">
        <v>16</v>
      </c>
      <c r="I3163" s="4" t="n">
        <v>2</v>
      </c>
      <c r="J3163" s="4" t="n">
        <f aca="false">LEN(E3163)-LEN(SUBSTITUTE(E3163,",",""))+1</f>
        <v>2</v>
      </c>
      <c r="K3163" s="3" t="str">
        <f aca="false">IFERROR(INDEX('Teacher Lookup'!$B$2:$B$200,MATCH(A3163,'Teacher Lookup'!$A$2:$A$200,0)),"")</f>
        <v>LI Esther</v>
      </c>
    </row>
    <row r="3164" customFormat="false" ht="15" hidden="false" customHeight="false" outlineLevel="0" collapsed="false">
      <c r="A3164" s="3" t="s">
        <v>386</v>
      </c>
      <c r="B3164" s="4" t="s">
        <v>47</v>
      </c>
      <c r="C3164" s="4" t="n">
        <v>2</v>
      </c>
      <c r="D3164" s="4" t="s">
        <v>23</v>
      </c>
      <c r="E3164" s="3" t="s">
        <v>387</v>
      </c>
      <c r="F3164" s="4" t="str">
        <f aca="false">IF(I3164&gt;J3164,"Y","N")</f>
        <v>N</v>
      </c>
      <c r="G3164" s="3" t="s">
        <v>388</v>
      </c>
      <c r="H3164" s="3" t="s">
        <v>21</v>
      </c>
      <c r="I3164" s="4" t="n">
        <v>2</v>
      </c>
      <c r="J3164" s="4" t="n">
        <f aca="false">LEN(E3164)-LEN(SUBSTITUTE(E3164,",",""))+1</f>
        <v>2</v>
      </c>
      <c r="K3164" s="3" t="str">
        <f aca="false">IFERROR(INDEX('Teacher Lookup'!$B$2:$B$200,MATCH(A3164,'Teacher Lookup'!$A$2:$A$200,0)),"")</f>
        <v>LI Esther</v>
      </c>
    </row>
    <row r="3165" customFormat="false" ht="15" hidden="false" customHeight="false" outlineLevel="0" collapsed="false">
      <c r="A3165" s="3" t="s">
        <v>386</v>
      </c>
      <c r="B3165" s="4" t="s">
        <v>47</v>
      </c>
      <c r="C3165" s="4" t="n">
        <v>2</v>
      </c>
      <c r="D3165" s="4" t="s">
        <v>18</v>
      </c>
      <c r="E3165" s="3" t="s">
        <v>387</v>
      </c>
      <c r="F3165" s="4" t="str">
        <f aca="false">IF(I3165&gt;J3165,"Y","N")</f>
        <v>N</v>
      </c>
      <c r="G3165" s="3" t="s">
        <v>388</v>
      </c>
      <c r="H3165" s="3" t="s">
        <v>21</v>
      </c>
      <c r="I3165" s="4" t="n">
        <v>2</v>
      </c>
      <c r="J3165" s="4" t="n">
        <f aca="false">LEN(E3165)-LEN(SUBSTITUTE(E3165,",",""))+1</f>
        <v>2</v>
      </c>
      <c r="K3165" s="3" t="str">
        <f aca="false">IFERROR(INDEX('Teacher Lookup'!$B$2:$B$200,MATCH(A3165,'Teacher Lookup'!$A$2:$A$200,0)),"")</f>
        <v>LI Esther</v>
      </c>
    </row>
    <row r="3166" customFormat="false" ht="15" hidden="false" customHeight="false" outlineLevel="0" collapsed="false">
      <c r="A3166" s="3" t="s">
        <v>386</v>
      </c>
      <c r="B3166" s="4" t="s">
        <v>47</v>
      </c>
      <c r="C3166" s="4" t="n">
        <v>4</v>
      </c>
      <c r="D3166" s="4" t="s">
        <v>105</v>
      </c>
      <c r="E3166" s="3" t="s">
        <v>194</v>
      </c>
      <c r="F3166" s="4" t="str">
        <f aca="false">IF(I3166&gt;J3166,"Y","N")</f>
        <v>N</v>
      </c>
      <c r="G3166" s="3" t="s">
        <v>195</v>
      </c>
      <c r="H3166" s="3" t="s">
        <v>34</v>
      </c>
      <c r="I3166" s="4" t="n">
        <v>2</v>
      </c>
      <c r="J3166" s="4" t="n">
        <f aca="false">LEN(E3166)-LEN(SUBSTITUTE(E3166,",",""))+1</f>
        <v>2</v>
      </c>
      <c r="K3166" s="3" t="str">
        <f aca="false">IFERROR(INDEX('Teacher Lookup'!$B$2:$B$200,MATCH(A3166,'Teacher Lookup'!$A$2:$A$200,0)),"")</f>
        <v>LI Esther</v>
      </c>
    </row>
    <row r="3167" customFormat="false" ht="15" hidden="false" customHeight="false" outlineLevel="0" collapsed="false">
      <c r="A3167" s="3" t="s">
        <v>386</v>
      </c>
      <c r="B3167" s="4" t="s">
        <v>50</v>
      </c>
      <c r="C3167" s="4" t="n">
        <v>3</v>
      </c>
      <c r="D3167" s="4" t="s">
        <v>52</v>
      </c>
      <c r="E3167" s="3" t="s">
        <v>115</v>
      </c>
      <c r="F3167" s="4" t="str">
        <f aca="false">IF(I3167&gt;J3167,"Y","N")</f>
        <v>Y</v>
      </c>
      <c r="G3167" s="3" t="s">
        <v>101</v>
      </c>
      <c r="H3167" s="3" t="s">
        <v>26</v>
      </c>
      <c r="I3167" s="4" t="n">
        <v>9</v>
      </c>
      <c r="J3167" s="4" t="n">
        <f aca="false">LEN(E3167)-LEN(SUBSTITUTE(E3167,",",""))+1</f>
        <v>8</v>
      </c>
      <c r="K3167" s="3" t="str">
        <f aca="false">IFERROR(INDEX('Teacher Lookup'!$B$2:$B$200,MATCH(A3167,'Teacher Lookup'!$A$2:$A$200,0)),"")</f>
        <v>LI Esther</v>
      </c>
    </row>
    <row r="3168" customFormat="false" ht="15" hidden="false" customHeight="false" outlineLevel="0" collapsed="false">
      <c r="A3168" s="3" t="s">
        <v>386</v>
      </c>
      <c r="B3168" s="4" t="s">
        <v>50</v>
      </c>
      <c r="C3168" s="4" t="n">
        <v>3</v>
      </c>
      <c r="D3168" s="4" t="s">
        <v>55</v>
      </c>
      <c r="E3168" s="3" t="s">
        <v>115</v>
      </c>
      <c r="F3168" s="4" t="str">
        <f aca="false">IF(I3168&gt;J3168,"Y","N")</f>
        <v>Y</v>
      </c>
      <c r="G3168" s="3" t="s">
        <v>101</v>
      </c>
      <c r="H3168" s="3" t="s">
        <v>26</v>
      </c>
      <c r="I3168" s="4" t="n">
        <v>9</v>
      </c>
      <c r="J3168" s="4" t="n">
        <f aca="false">LEN(E3168)-LEN(SUBSTITUTE(E3168,",",""))+1</f>
        <v>8</v>
      </c>
      <c r="K3168" s="3" t="str">
        <f aca="false">IFERROR(INDEX('Teacher Lookup'!$B$2:$B$200,MATCH(A3168,'Teacher Lookup'!$A$2:$A$200,0)),"")</f>
        <v>LI Esther</v>
      </c>
    </row>
    <row r="3169" customFormat="false" ht="15" hidden="false" customHeight="false" outlineLevel="0" collapsed="false">
      <c r="A3169" s="3" t="s">
        <v>386</v>
      </c>
      <c r="B3169" s="4" t="s">
        <v>50</v>
      </c>
      <c r="C3169" s="4" t="n">
        <v>3</v>
      </c>
      <c r="D3169" s="4" t="s">
        <v>56</v>
      </c>
      <c r="E3169" s="3" t="s">
        <v>115</v>
      </c>
      <c r="F3169" s="4" t="str">
        <f aca="false">IF(I3169&gt;J3169,"Y","N")</f>
        <v>Y</v>
      </c>
      <c r="G3169" s="3" t="s">
        <v>101</v>
      </c>
      <c r="H3169" s="3" t="s">
        <v>26</v>
      </c>
      <c r="I3169" s="4" t="n">
        <v>9</v>
      </c>
      <c r="J3169" s="4" t="n">
        <f aca="false">LEN(E3169)-LEN(SUBSTITUTE(E3169,",",""))+1</f>
        <v>8</v>
      </c>
      <c r="K3169" s="3" t="str">
        <f aca="false">IFERROR(INDEX('Teacher Lookup'!$B$2:$B$200,MATCH(A3169,'Teacher Lookup'!$A$2:$A$200,0)),"")</f>
        <v>LI Esther</v>
      </c>
    </row>
    <row r="3170" customFormat="false" ht="15" hidden="false" customHeight="false" outlineLevel="0" collapsed="false">
      <c r="A3170" s="3" t="s">
        <v>386</v>
      </c>
      <c r="B3170" s="4" t="s">
        <v>50</v>
      </c>
      <c r="C3170" s="4" t="n">
        <v>3</v>
      </c>
      <c r="D3170" s="4" t="s">
        <v>57</v>
      </c>
      <c r="E3170" s="3" t="s">
        <v>115</v>
      </c>
      <c r="F3170" s="4" t="str">
        <f aca="false">IF(I3170&gt;J3170,"Y","N")</f>
        <v>Y</v>
      </c>
      <c r="G3170" s="3" t="s">
        <v>101</v>
      </c>
      <c r="H3170" s="3" t="s">
        <v>26</v>
      </c>
      <c r="I3170" s="4" t="n">
        <v>9</v>
      </c>
      <c r="J3170" s="4" t="n">
        <f aca="false">LEN(E3170)-LEN(SUBSTITUTE(E3170,",",""))+1</f>
        <v>8</v>
      </c>
      <c r="K3170" s="3" t="str">
        <f aca="false">IFERROR(INDEX('Teacher Lookup'!$B$2:$B$200,MATCH(A3170,'Teacher Lookup'!$A$2:$A$200,0)),"")</f>
        <v>LI Esther</v>
      </c>
    </row>
    <row r="3171" customFormat="false" ht="15" hidden="false" customHeight="false" outlineLevel="0" collapsed="false">
      <c r="A3171" s="3" t="s">
        <v>386</v>
      </c>
      <c r="B3171" s="4" t="s">
        <v>50</v>
      </c>
      <c r="C3171" s="4" t="n">
        <v>3</v>
      </c>
      <c r="D3171" s="4" t="s">
        <v>58</v>
      </c>
      <c r="E3171" s="3" t="s">
        <v>115</v>
      </c>
      <c r="F3171" s="4" t="str">
        <f aca="false">IF(I3171&gt;J3171,"Y","N")</f>
        <v>Y</v>
      </c>
      <c r="G3171" s="3" t="s">
        <v>101</v>
      </c>
      <c r="H3171" s="3" t="s">
        <v>26</v>
      </c>
      <c r="I3171" s="4" t="n">
        <v>9</v>
      </c>
      <c r="J3171" s="4" t="n">
        <f aca="false">LEN(E3171)-LEN(SUBSTITUTE(E3171,",",""))+1</f>
        <v>8</v>
      </c>
      <c r="K3171" s="3" t="str">
        <f aca="false">IFERROR(INDEX('Teacher Lookup'!$B$2:$B$200,MATCH(A3171,'Teacher Lookup'!$A$2:$A$200,0)),"")</f>
        <v>LI Esther</v>
      </c>
    </row>
    <row r="3172" customFormat="false" ht="15" hidden="false" customHeight="false" outlineLevel="0" collapsed="false">
      <c r="A3172" s="3" t="s">
        <v>386</v>
      </c>
      <c r="B3172" s="4" t="s">
        <v>50</v>
      </c>
      <c r="C3172" s="4" t="n">
        <v>3</v>
      </c>
      <c r="D3172" s="4" t="s">
        <v>59</v>
      </c>
      <c r="E3172" s="3" t="s">
        <v>115</v>
      </c>
      <c r="F3172" s="4" t="str">
        <f aca="false">IF(I3172&gt;J3172,"Y","N")</f>
        <v>Y</v>
      </c>
      <c r="G3172" s="3" t="s">
        <v>101</v>
      </c>
      <c r="H3172" s="3" t="s">
        <v>26</v>
      </c>
      <c r="I3172" s="4" t="n">
        <v>9</v>
      </c>
      <c r="J3172" s="4" t="n">
        <f aca="false">LEN(E3172)-LEN(SUBSTITUTE(E3172,",",""))+1</f>
        <v>8</v>
      </c>
      <c r="K3172" s="3" t="str">
        <f aca="false">IFERROR(INDEX('Teacher Lookup'!$B$2:$B$200,MATCH(A3172,'Teacher Lookup'!$A$2:$A$200,0)),"")</f>
        <v>LI Esther</v>
      </c>
    </row>
    <row r="3173" customFormat="false" ht="15" hidden="false" customHeight="false" outlineLevel="0" collapsed="false">
      <c r="A3173" s="3" t="s">
        <v>386</v>
      </c>
      <c r="B3173" s="4" t="s">
        <v>50</v>
      </c>
      <c r="C3173" s="4" t="n">
        <v>4</v>
      </c>
      <c r="D3173" s="4" t="s">
        <v>105</v>
      </c>
      <c r="E3173" s="3" t="s">
        <v>194</v>
      </c>
      <c r="F3173" s="4" t="str">
        <f aca="false">IF(I3173&gt;J3173,"Y","N")</f>
        <v>N</v>
      </c>
      <c r="G3173" s="3" t="s">
        <v>195</v>
      </c>
      <c r="H3173" s="3" t="s">
        <v>34</v>
      </c>
      <c r="I3173" s="4" t="n">
        <v>2</v>
      </c>
      <c r="J3173" s="4" t="n">
        <f aca="false">LEN(E3173)-LEN(SUBSTITUTE(E3173,",",""))+1</f>
        <v>2</v>
      </c>
      <c r="K3173" s="3" t="str">
        <f aca="false">IFERROR(INDEX('Teacher Lookup'!$B$2:$B$200,MATCH(A3173,'Teacher Lookup'!$A$2:$A$200,0)),"")</f>
        <v>LI Esther</v>
      </c>
    </row>
    <row r="3174" customFormat="false" ht="15" hidden="false" customHeight="false" outlineLevel="0" collapsed="false">
      <c r="A3174" s="3" t="s">
        <v>386</v>
      </c>
      <c r="B3174" s="4" t="s">
        <v>50</v>
      </c>
      <c r="C3174" s="4" t="n">
        <v>5</v>
      </c>
      <c r="D3174" s="4" t="s">
        <v>105</v>
      </c>
      <c r="E3174" s="3" t="s">
        <v>194</v>
      </c>
      <c r="F3174" s="4" t="str">
        <f aca="false">IF(I3174&gt;J3174,"Y","N")</f>
        <v>N</v>
      </c>
      <c r="G3174" s="3" t="s">
        <v>195</v>
      </c>
      <c r="H3174" s="3" t="s">
        <v>37</v>
      </c>
      <c r="I3174" s="4" t="n">
        <v>2</v>
      </c>
      <c r="J3174" s="4" t="n">
        <f aca="false">LEN(E3174)-LEN(SUBSTITUTE(E3174,",",""))+1</f>
        <v>2</v>
      </c>
      <c r="K3174" s="3" t="str">
        <f aca="false">IFERROR(INDEX('Teacher Lookup'!$B$2:$B$200,MATCH(A3174,'Teacher Lookup'!$A$2:$A$200,0)),"")</f>
        <v>LI Esther</v>
      </c>
    </row>
    <row r="3175" customFormat="false" ht="15" hidden="false" customHeight="false" outlineLevel="0" collapsed="false">
      <c r="A3175" s="3" t="s">
        <v>386</v>
      </c>
      <c r="B3175" s="4" t="s">
        <v>60</v>
      </c>
      <c r="C3175" s="4" t="n">
        <v>2</v>
      </c>
      <c r="D3175" s="4" t="s">
        <v>23</v>
      </c>
      <c r="E3175" s="3" t="s">
        <v>387</v>
      </c>
      <c r="F3175" s="4" t="str">
        <f aca="false">IF(I3175&gt;J3175,"Y","N")</f>
        <v>N</v>
      </c>
      <c r="G3175" s="3" t="s">
        <v>388</v>
      </c>
      <c r="H3175" s="3" t="s">
        <v>21</v>
      </c>
      <c r="I3175" s="4" t="n">
        <v>2</v>
      </c>
      <c r="J3175" s="4" t="n">
        <f aca="false">LEN(E3175)-LEN(SUBSTITUTE(E3175,",",""))+1</f>
        <v>2</v>
      </c>
      <c r="K3175" s="3" t="str">
        <f aca="false">IFERROR(INDEX('Teacher Lookup'!$B$2:$B$200,MATCH(A3175,'Teacher Lookup'!$A$2:$A$200,0)),"")</f>
        <v>LI Esther</v>
      </c>
    </row>
    <row r="3176" customFormat="false" ht="15" hidden="false" customHeight="false" outlineLevel="0" collapsed="false">
      <c r="A3176" s="3" t="s">
        <v>386</v>
      </c>
      <c r="B3176" s="4" t="s">
        <v>60</v>
      </c>
      <c r="C3176" s="4" t="n">
        <v>2</v>
      </c>
      <c r="D3176" s="4" t="s">
        <v>18</v>
      </c>
      <c r="E3176" s="3" t="s">
        <v>387</v>
      </c>
      <c r="F3176" s="4" t="str">
        <f aca="false">IF(I3176&gt;J3176,"Y","N")</f>
        <v>N</v>
      </c>
      <c r="G3176" s="3" t="s">
        <v>388</v>
      </c>
      <c r="H3176" s="3" t="s">
        <v>21</v>
      </c>
      <c r="I3176" s="4" t="n">
        <v>2</v>
      </c>
      <c r="J3176" s="4" t="n">
        <f aca="false">LEN(E3176)-LEN(SUBSTITUTE(E3176,",",""))+1</f>
        <v>2</v>
      </c>
      <c r="K3176" s="3" t="str">
        <f aca="false">IFERROR(INDEX('Teacher Lookup'!$B$2:$B$200,MATCH(A3176,'Teacher Lookup'!$A$2:$A$200,0)),"")</f>
        <v>LI Esther</v>
      </c>
    </row>
    <row r="3177" customFormat="false" ht="15" hidden="false" customHeight="false" outlineLevel="0" collapsed="false">
      <c r="A3177" s="3" t="s">
        <v>386</v>
      </c>
      <c r="B3177" s="4" t="s">
        <v>60</v>
      </c>
      <c r="C3177" s="4" t="n">
        <v>5</v>
      </c>
      <c r="D3177" s="4" t="s">
        <v>70</v>
      </c>
      <c r="E3177" s="3" t="s">
        <v>81</v>
      </c>
      <c r="F3177" s="4" t="str">
        <f aca="false">IF(I3177&gt;J3177,"Y","N")</f>
        <v>Y</v>
      </c>
      <c r="G3177" s="3" t="s">
        <v>36</v>
      </c>
      <c r="H3177" s="3" t="s">
        <v>37</v>
      </c>
      <c r="I3177" s="4" t="n">
        <v>15</v>
      </c>
      <c r="J3177" s="4" t="n">
        <f aca="false">LEN(E3177)-LEN(SUBSTITUTE(E3177,",",""))+1</f>
        <v>7</v>
      </c>
      <c r="K3177" s="3" t="str">
        <f aca="false">IFERROR(INDEX('Teacher Lookup'!$B$2:$B$200,MATCH(A3177,'Teacher Lookup'!$A$2:$A$200,0)),"")</f>
        <v>LI Esther</v>
      </c>
    </row>
    <row r="3178" customFormat="false" ht="15" hidden="false" customHeight="false" outlineLevel="0" collapsed="false">
      <c r="A3178" s="3" t="s">
        <v>386</v>
      </c>
      <c r="B3178" s="4" t="s">
        <v>60</v>
      </c>
      <c r="C3178" s="4" t="n">
        <v>5</v>
      </c>
      <c r="D3178" s="4" t="s">
        <v>73</v>
      </c>
      <c r="E3178" s="3" t="s">
        <v>81</v>
      </c>
      <c r="F3178" s="4" t="str">
        <f aca="false">IF(I3178&gt;J3178,"Y","N")</f>
        <v>Y</v>
      </c>
      <c r="G3178" s="3" t="s">
        <v>36</v>
      </c>
      <c r="H3178" s="3" t="s">
        <v>37</v>
      </c>
      <c r="I3178" s="4" t="n">
        <v>15</v>
      </c>
      <c r="J3178" s="4" t="n">
        <f aca="false">LEN(E3178)-LEN(SUBSTITUTE(E3178,",",""))+1</f>
        <v>7</v>
      </c>
      <c r="K3178" s="3" t="str">
        <f aca="false">IFERROR(INDEX('Teacher Lookup'!$B$2:$B$200,MATCH(A3178,'Teacher Lookup'!$A$2:$A$200,0)),"")</f>
        <v>LI Esther</v>
      </c>
    </row>
    <row r="3179" customFormat="false" ht="15" hidden="false" customHeight="false" outlineLevel="0" collapsed="false">
      <c r="A3179" s="3" t="s">
        <v>386</v>
      </c>
      <c r="B3179" s="4" t="s">
        <v>60</v>
      </c>
      <c r="C3179" s="4" t="n">
        <v>5</v>
      </c>
      <c r="D3179" s="4" t="s">
        <v>74</v>
      </c>
      <c r="E3179" s="3" t="s">
        <v>81</v>
      </c>
      <c r="F3179" s="4" t="str">
        <f aca="false">IF(I3179&gt;J3179,"Y","N")</f>
        <v>Y</v>
      </c>
      <c r="G3179" s="3" t="s">
        <v>36</v>
      </c>
      <c r="H3179" s="3" t="s">
        <v>37</v>
      </c>
      <c r="I3179" s="4" t="n">
        <v>15</v>
      </c>
      <c r="J3179" s="4" t="n">
        <f aca="false">LEN(E3179)-LEN(SUBSTITUTE(E3179,",",""))+1</f>
        <v>7</v>
      </c>
      <c r="K3179" s="3" t="str">
        <f aca="false">IFERROR(INDEX('Teacher Lookup'!$B$2:$B$200,MATCH(A3179,'Teacher Lookup'!$A$2:$A$200,0)),"")</f>
        <v>LI Esther</v>
      </c>
    </row>
    <row r="3180" customFormat="false" ht="15" hidden="false" customHeight="false" outlineLevel="0" collapsed="false">
      <c r="A3180" s="3" t="s">
        <v>386</v>
      </c>
      <c r="B3180" s="4" t="s">
        <v>60</v>
      </c>
      <c r="C3180" s="4" t="n">
        <v>5</v>
      </c>
      <c r="D3180" s="4" t="s">
        <v>76</v>
      </c>
      <c r="E3180" s="3" t="s">
        <v>81</v>
      </c>
      <c r="F3180" s="4" t="str">
        <f aca="false">IF(I3180&gt;J3180,"Y","N")</f>
        <v>Y</v>
      </c>
      <c r="G3180" s="3" t="s">
        <v>36</v>
      </c>
      <c r="H3180" s="3" t="s">
        <v>37</v>
      </c>
      <c r="I3180" s="4" t="n">
        <v>15</v>
      </c>
      <c r="J3180" s="4" t="n">
        <f aca="false">LEN(E3180)-LEN(SUBSTITUTE(E3180,",",""))+1</f>
        <v>7</v>
      </c>
      <c r="K3180" s="3" t="str">
        <f aca="false">IFERROR(INDEX('Teacher Lookup'!$B$2:$B$200,MATCH(A3180,'Teacher Lookup'!$A$2:$A$200,0)),"")</f>
        <v>LI Esther</v>
      </c>
    </row>
    <row r="3181" customFormat="false" ht="15" hidden="false" customHeight="false" outlineLevel="0" collapsed="false">
      <c r="A3181" s="3" t="s">
        <v>386</v>
      </c>
      <c r="B3181" s="4" t="s">
        <v>60</v>
      </c>
      <c r="C3181" s="4" t="n">
        <v>5</v>
      </c>
      <c r="D3181" s="4" t="s">
        <v>78</v>
      </c>
      <c r="E3181" s="3" t="s">
        <v>81</v>
      </c>
      <c r="F3181" s="4" t="str">
        <f aca="false">IF(I3181&gt;J3181,"Y","N")</f>
        <v>Y</v>
      </c>
      <c r="G3181" s="3" t="s">
        <v>36</v>
      </c>
      <c r="H3181" s="3" t="s">
        <v>37</v>
      </c>
      <c r="I3181" s="4" t="n">
        <v>15</v>
      </c>
      <c r="J3181" s="4" t="n">
        <f aca="false">LEN(E3181)-LEN(SUBSTITUTE(E3181,",",""))+1</f>
        <v>7</v>
      </c>
      <c r="K3181" s="3" t="str">
        <f aca="false">IFERROR(INDEX('Teacher Lookup'!$B$2:$B$200,MATCH(A3181,'Teacher Lookup'!$A$2:$A$200,0)),"")</f>
        <v>LI Esther</v>
      </c>
    </row>
    <row r="3182" customFormat="false" ht="15" hidden="false" customHeight="false" outlineLevel="0" collapsed="false">
      <c r="A3182" s="3" t="s">
        <v>386</v>
      </c>
      <c r="B3182" s="4" t="s">
        <v>60</v>
      </c>
      <c r="C3182" s="4" t="n">
        <v>5</v>
      </c>
      <c r="D3182" s="4" t="s">
        <v>79</v>
      </c>
      <c r="E3182" s="3" t="s">
        <v>81</v>
      </c>
      <c r="F3182" s="4" t="str">
        <f aca="false">IF(I3182&gt;J3182,"Y","N")</f>
        <v>Y</v>
      </c>
      <c r="G3182" s="3" t="s">
        <v>36</v>
      </c>
      <c r="H3182" s="3" t="s">
        <v>37</v>
      </c>
      <c r="I3182" s="4" t="n">
        <v>15</v>
      </c>
      <c r="J3182" s="4" t="n">
        <f aca="false">LEN(E3182)-LEN(SUBSTITUTE(E3182,",",""))+1</f>
        <v>7</v>
      </c>
      <c r="K3182" s="3" t="str">
        <f aca="false">IFERROR(INDEX('Teacher Lookup'!$B$2:$B$200,MATCH(A3182,'Teacher Lookup'!$A$2:$A$200,0)),"")</f>
        <v>LI Esther</v>
      </c>
    </row>
    <row r="3183" customFormat="false" ht="15" hidden="false" customHeight="false" outlineLevel="0" collapsed="false">
      <c r="A3183" s="3" t="s">
        <v>386</v>
      </c>
      <c r="B3183" s="4" t="s">
        <v>63</v>
      </c>
      <c r="C3183" s="4" t="n">
        <v>1</v>
      </c>
      <c r="D3183" s="4" t="s">
        <v>74</v>
      </c>
      <c r="E3183" s="3" t="s">
        <v>387</v>
      </c>
      <c r="F3183" s="4" t="str">
        <f aca="false">IF(I3183&gt;J3183,"Y","N")</f>
        <v>N</v>
      </c>
      <c r="G3183" s="3" t="s">
        <v>388</v>
      </c>
      <c r="H3183" s="3" t="s">
        <v>16</v>
      </c>
      <c r="I3183" s="4" t="n">
        <v>2</v>
      </c>
      <c r="J3183" s="4" t="n">
        <f aca="false">LEN(E3183)-LEN(SUBSTITUTE(E3183,",",""))+1</f>
        <v>2</v>
      </c>
      <c r="K3183" s="3" t="str">
        <f aca="false">IFERROR(INDEX('Teacher Lookup'!$B$2:$B$200,MATCH(A3183,'Teacher Lookup'!$A$2:$A$200,0)),"")</f>
        <v>LI Esther</v>
      </c>
    </row>
    <row r="3184" customFormat="false" ht="15" hidden="false" customHeight="false" outlineLevel="0" collapsed="false">
      <c r="A3184" s="3" t="s">
        <v>386</v>
      </c>
      <c r="B3184" s="4" t="s">
        <v>63</v>
      </c>
      <c r="C3184" s="4" t="n">
        <v>1</v>
      </c>
      <c r="D3184" s="4" t="s">
        <v>79</v>
      </c>
      <c r="E3184" s="3" t="s">
        <v>387</v>
      </c>
      <c r="F3184" s="4" t="str">
        <f aca="false">IF(I3184&gt;J3184,"Y","N")</f>
        <v>N</v>
      </c>
      <c r="G3184" s="3" t="s">
        <v>388</v>
      </c>
      <c r="H3184" s="3" t="s">
        <v>16</v>
      </c>
      <c r="I3184" s="4" t="n">
        <v>2</v>
      </c>
      <c r="J3184" s="4" t="n">
        <f aca="false">LEN(E3184)-LEN(SUBSTITUTE(E3184,",",""))+1</f>
        <v>2</v>
      </c>
      <c r="K3184" s="3" t="str">
        <f aca="false">IFERROR(INDEX('Teacher Lookup'!$B$2:$B$200,MATCH(A3184,'Teacher Lookup'!$A$2:$A$200,0)),"")</f>
        <v>LI Esther</v>
      </c>
    </row>
    <row r="3185" customFormat="false" ht="15" hidden="false" customHeight="false" outlineLevel="0" collapsed="false">
      <c r="A3185" s="3" t="s">
        <v>386</v>
      </c>
      <c r="B3185" s="4" t="s">
        <v>63</v>
      </c>
      <c r="C3185" s="4" t="n">
        <v>2</v>
      </c>
      <c r="D3185" s="4" t="s">
        <v>74</v>
      </c>
      <c r="E3185" s="3" t="s">
        <v>387</v>
      </c>
      <c r="F3185" s="4" t="str">
        <f aca="false">IF(I3185&gt;J3185,"Y","N")</f>
        <v>N</v>
      </c>
      <c r="G3185" s="3" t="s">
        <v>388</v>
      </c>
      <c r="H3185" s="3" t="s">
        <v>21</v>
      </c>
      <c r="I3185" s="4" t="n">
        <v>2</v>
      </c>
      <c r="J3185" s="4" t="n">
        <f aca="false">LEN(E3185)-LEN(SUBSTITUTE(E3185,",",""))+1</f>
        <v>2</v>
      </c>
      <c r="K3185" s="3" t="str">
        <f aca="false">IFERROR(INDEX('Teacher Lookup'!$B$2:$B$200,MATCH(A3185,'Teacher Lookup'!$A$2:$A$200,0)),"")</f>
        <v>LI Esther</v>
      </c>
    </row>
    <row r="3186" customFormat="false" ht="15" hidden="false" customHeight="false" outlineLevel="0" collapsed="false">
      <c r="A3186" s="3" t="s">
        <v>386</v>
      </c>
      <c r="B3186" s="4" t="s">
        <v>63</v>
      </c>
      <c r="C3186" s="4" t="n">
        <v>2</v>
      </c>
      <c r="D3186" s="4" t="s">
        <v>79</v>
      </c>
      <c r="E3186" s="3" t="s">
        <v>387</v>
      </c>
      <c r="F3186" s="4" t="str">
        <f aca="false">IF(I3186&gt;J3186,"Y","N")</f>
        <v>N</v>
      </c>
      <c r="G3186" s="3" t="s">
        <v>388</v>
      </c>
      <c r="H3186" s="3" t="s">
        <v>21</v>
      </c>
      <c r="I3186" s="4" t="n">
        <v>2</v>
      </c>
      <c r="J3186" s="4" t="n">
        <f aca="false">LEN(E3186)-LEN(SUBSTITUTE(E3186,",",""))+1</f>
        <v>2</v>
      </c>
      <c r="K3186" s="3" t="str">
        <f aca="false">IFERROR(INDEX('Teacher Lookup'!$B$2:$B$200,MATCH(A3186,'Teacher Lookup'!$A$2:$A$200,0)),"")</f>
        <v>LI Esther</v>
      </c>
    </row>
    <row r="3187" customFormat="false" ht="15" hidden="false" customHeight="false" outlineLevel="0" collapsed="false">
      <c r="A3187" s="3" t="s">
        <v>386</v>
      </c>
      <c r="B3187" s="4" t="s">
        <v>63</v>
      </c>
      <c r="C3187" s="4" t="n">
        <v>3</v>
      </c>
      <c r="D3187" s="4" t="s">
        <v>105</v>
      </c>
      <c r="E3187" s="3" t="s">
        <v>194</v>
      </c>
      <c r="F3187" s="4" t="str">
        <f aca="false">IF(I3187&gt;J3187,"Y","N")</f>
        <v>Y</v>
      </c>
      <c r="G3187" s="3" t="s">
        <v>195</v>
      </c>
      <c r="H3187" s="3" t="s">
        <v>26</v>
      </c>
      <c r="I3187" s="4" t="n">
        <v>3</v>
      </c>
      <c r="J3187" s="4" t="n">
        <f aca="false">LEN(E3187)-LEN(SUBSTITUTE(E3187,",",""))+1</f>
        <v>2</v>
      </c>
      <c r="K3187" s="3" t="str">
        <f aca="false">IFERROR(INDEX('Teacher Lookup'!$B$2:$B$200,MATCH(A3187,'Teacher Lookup'!$A$2:$A$200,0)),"")</f>
        <v>LI Esther</v>
      </c>
    </row>
    <row r="3188" customFormat="false" ht="15" hidden="false" customHeight="false" outlineLevel="0" collapsed="false">
      <c r="A3188" s="3" t="s">
        <v>386</v>
      </c>
      <c r="B3188" s="4" t="s">
        <v>63</v>
      </c>
      <c r="C3188" s="4" t="n">
        <v>4</v>
      </c>
      <c r="D3188" s="4" t="s">
        <v>70</v>
      </c>
      <c r="E3188" s="3" t="s">
        <v>213</v>
      </c>
      <c r="F3188" s="4" t="str">
        <f aca="false">IF(I3188&gt;J3188,"Y","N")</f>
        <v>Y</v>
      </c>
      <c r="G3188" s="3" t="s">
        <v>214</v>
      </c>
      <c r="H3188" s="3" t="s">
        <v>34</v>
      </c>
      <c r="I3188" s="4" t="n">
        <v>20</v>
      </c>
      <c r="J3188" s="4" t="n">
        <f aca="false">LEN(E3188)-LEN(SUBSTITUTE(E3188,",",""))+1</f>
        <v>6</v>
      </c>
      <c r="K3188" s="3" t="str">
        <f aca="false">IFERROR(INDEX('Teacher Lookup'!$B$2:$B$200,MATCH(A3188,'Teacher Lookup'!$A$2:$A$200,0)),"")</f>
        <v>LI Esther</v>
      </c>
    </row>
    <row r="3189" customFormat="false" ht="15" hidden="false" customHeight="false" outlineLevel="0" collapsed="false">
      <c r="A3189" s="3" t="s">
        <v>386</v>
      </c>
      <c r="B3189" s="4" t="s">
        <v>63</v>
      </c>
      <c r="C3189" s="4" t="n">
        <v>4</v>
      </c>
      <c r="D3189" s="4" t="s">
        <v>73</v>
      </c>
      <c r="E3189" s="3" t="s">
        <v>213</v>
      </c>
      <c r="F3189" s="4" t="str">
        <f aca="false">IF(I3189&gt;J3189,"Y","N")</f>
        <v>Y</v>
      </c>
      <c r="G3189" s="3" t="s">
        <v>214</v>
      </c>
      <c r="H3189" s="3" t="s">
        <v>34</v>
      </c>
      <c r="I3189" s="4" t="n">
        <v>20</v>
      </c>
      <c r="J3189" s="4" t="n">
        <f aca="false">LEN(E3189)-LEN(SUBSTITUTE(E3189,",",""))+1</f>
        <v>6</v>
      </c>
      <c r="K3189" s="3" t="str">
        <f aca="false">IFERROR(INDEX('Teacher Lookup'!$B$2:$B$200,MATCH(A3189,'Teacher Lookup'!$A$2:$A$200,0)),"")</f>
        <v>LI Esther</v>
      </c>
    </row>
    <row r="3190" customFormat="false" ht="15" hidden="false" customHeight="false" outlineLevel="0" collapsed="false">
      <c r="A3190" s="3" t="s">
        <v>386</v>
      </c>
      <c r="B3190" s="4" t="s">
        <v>63</v>
      </c>
      <c r="C3190" s="4" t="n">
        <v>4</v>
      </c>
      <c r="D3190" s="4" t="s">
        <v>74</v>
      </c>
      <c r="E3190" s="3" t="s">
        <v>213</v>
      </c>
      <c r="F3190" s="4" t="str">
        <f aca="false">IF(I3190&gt;J3190,"Y","N")</f>
        <v>Y</v>
      </c>
      <c r="G3190" s="3" t="s">
        <v>214</v>
      </c>
      <c r="H3190" s="3" t="s">
        <v>34</v>
      </c>
      <c r="I3190" s="4" t="n">
        <v>20</v>
      </c>
      <c r="J3190" s="4" t="n">
        <f aca="false">LEN(E3190)-LEN(SUBSTITUTE(E3190,",",""))+1</f>
        <v>6</v>
      </c>
      <c r="K3190" s="3" t="str">
        <f aca="false">IFERROR(INDEX('Teacher Lookup'!$B$2:$B$200,MATCH(A3190,'Teacher Lookup'!$A$2:$A$200,0)),"")</f>
        <v>LI Esther</v>
      </c>
    </row>
    <row r="3191" customFormat="false" ht="15" hidden="false" customHeight="false" outlineLevel="0" collapsed="false">
      <c r="A3191" s="3" t="s">
        <v>386</v>
      </c>
      <c r="B3191" s="4" t="s">
        <v>63</v>
      </c>
      <c r="C3191" s="4" t="n">
        <v>4</v>
      </c>
      <c r="D3191" s="4" t="s">
        <v>76</v>
      </c>
      <c r="E3191" s="3" t="s">
        <v>213</v>
      </c>
      <c r="F3191" s="4" t="str">
        <f aca="false">IF(I3191&gt;J3191,"Y","N")</f>
        <v>Y</v>
      </c>
      <c r="G3191" s="3" t="s">
        <v>214</v>
      </c>
      <c r="H3191" s="3" t="s">
        <v>34</v>
      </c>
      <c r="I3191" s="4" t="n">
        <v>20</v>
      </c>
      <c r="J3191" s="4" t="n">
        <f aca="false">LEN(E3191)-LEN(SUBSTITUTE(E3191,",",""))+1</f>
        <v>6</v>
      </c>
      <c r="K3191" s="3" t="str">
        <f aca="false">IFERROR(INDEX('Teacher Lookup'!$B$2:$B$200,MATCH(A3191,'Teacher Lookup'!$A$2:$A$200,0)),"")</f>
        <v>LI Esther</v>
      </c>
    </row>
    <row r="3192" customFormat="false" ht="15" hidden="false" customHeight="false" outlineLevel="0" collapsed="false">
      <c r="A3192" s="3" t="s">
        <v>386</v>
      </c>
      <c r="B3192" s="4" t="s">
        <v>63</v>
      </c>
      <c r="C3192" s="4" t="n">
        <v>4</v>
      </c>
      <c r="D3192" s="4" t="s">
        <v>78</v>
      </c>
      <c r="E3192" s="3" t="s">
        <v>213</v>
      </c>
      <c r="F3192" s="4" t="str">
        <f aca="false">IF(I3192&gt;J3192,"Y","N")</f>
        <v>Y</v>
      </c>
      <c r="G3192" s="3" t="s">
        <v>214</v>
      </c>
      <c r="H3192" s="3" t="s">
        <v>34</v>
      </c>
      <c r="I3192" s="4" t="n">
        <v>20</v>
      </c>
      <c r="J3192" s="4" t="n">
        <f aca="false">LEN(E3192)-LEN(SUBSTITUTE(E3192,",",""))+1</f>
        <v>6</v>
      </c>
      <c r="K3192" s="3" t="str">
        <f aca="false">IFERROR(INDEX('Teacher Lookup'!$B$2:$B$200,MATCH(A3192,'Teacher Lookup'!$A$2:$A$200,0)),"")</f>
        <v>LI Esther</v>
      </c>
    </row>
    <row r="3193" customFormat="false" ht="15" hidden="false" customHeight="false" outlineLevel="0" collapsed="false">
      <c r="A3193" s="3" t="s">
        <v>386</v>
      </c>
      <c r="B3193" s="4" t="s">
        <v>63</v>
      </c>
      <c r="C3193" s="4" t="n">
        <v>4</v>
      </c>
      <c r="D3193" s="4" t="s">
        <v>79</v>
      </c>
      <c r="E3193" s="3" t="s">
        <v>213</v>
      </c>
      <c r="F3193" s="4" t="str">
        <f aca="false">IF(I3193&gt;J3193,"Y","N")</f>
        <v>Y</v>
      </c>
      <c r="G3193" s="3" t="s">
        <v>214</v>
      </c>
      <c r="H3193" s="3" t="s">
        <v>34</v>
      </c>
      <c r="I3193" s="4" t="n">
        <v>20</v>
      </c>
      <c r="J3193" s="4" t="n">
        <f aca="false">LEN(E3193)-LEN(SUBSTITUTE(E3193,",",""))+1</f>
        <v>6</v>
      </c>
      <c r="K3193" s="3" t="str">
        <f aca="false">IFERROR(INDEX('Teacher Lookup'!$B$2:$B$200,MATCH(A3193,'Teacher Lookup'!$A$2:$A$200,0)),"")</f>
        <v>LI Esther</v>
      </c>
    </row>
    <row r="3194" customFormat="false" ht="15" hidden="false" customHeight="false" outlineLevel="0" collapsed="false">
      <c r="A3194" s="3" t="s">
        <v>386</v>
      </c>
      <c r="B3194" s="4" t="s">
        <v>63</v>
      </c>
      <c r="C3194" s="4" t="n">
        <v>5</v>
      </c>
      <c r="D3194" s="4" t="s">
        <v>70</v>
      </c>
      <c r="E3194" s="3" t="s">
        <v>213</v>
      </c>
      <c r="F3194" s="4" t="str">
        <f aca="false">IF(I3194&gt;J3194,"Y","N")</f>
        <v>Y</v>
      </c>
      <c r="G3194" s="3" t="s">
        <v>214</v>
      </c>
      <c r="H3194" s="3" t="s">
        <v>37</v>
      </c>
      <c r="I3194" s="4" t="n">
        <v>20</v>
      </c>
      <c r="J3194" s="4" t="n">
        <f aca="false">LEN(E3194)-LEN(SUBSTITUTE(E3194,",",""))+1</f>
        <v>6</v>
      </c>
      <c r="K3194" s="3" t="str">
        <f aca="false">IFERROR(INDEX('Teacher Lookup'!$B$2:$B$200,MATCH(A3194,'Teacher Lookup'!$A$2:$A$200,0)),"")</f>
        <v>LI Esther</v>
      </c>
    </row>
    <row r="3195" customFormat="false" ht="15" hidden="false" customHeight="false" outlineLevel="0" collapsed="false">
      <c r="A3195" s="3" t="s">
        <v>386</v>
      </c>
      <c r="B3195" s="4" t="s">
        <v>63</v>
      </c>
      <c r="C3195" s="4" t="n">
        <v>5</v>
      </c>
      <c r="D3195" s="4" t="s">
        <v>73</v>
      </c>
      <c r="E3195" s="3" t="s">
        <v>213</v>
      </c>
      <c r="F3195" s="4" t="str">
        <f aca="false">IF(I3195&gt;J3195,"Y","N")</f>
        <v>Y</v>
      </c>
      <c r="G3195" s="3" t="s">
        <v>214</v>
      </c>
      <c r="H3195" s="3" t="s">
        <v>37</v>
      </c>
      <c r="I3195" s="4" t="n">
        <v>20</v>
      </c>
      <c r="J3195" s="4" t="n">
        <f aca="false">LEN(E3195)-LEN(SUBSTITUTE(E3195,",",""))+1</f>
        <v>6</v>
      </c>
      <c r="K3195" s="3" t="str">
        <f aca="false">IFERROR(INDEX('Teacher Lookup'!$B$2:$B$200,MATCH(A3195,'Teacher Lookup'!$A$2:$A$200,0)),"")</f>
        <v>LI Esther</v>
      </c>
    </row>
    <row r="3196" customFormat="false" ht="15" hidden="false" customHeight="false" outlineLevel="0" collapsed="false">
      <c r="A3196" s="3" t="s">
        <v>386</v>
      </c>
      <c r="B3196" s="4" t="s">
        <v>63</v>
      </c>
      <c r="C3196" s="4" t="n">
        <v>5</v>
      </c>
      <c r="D3196" s="4" t="s">
        <v>74</v>
      </c>
      <c r="E3196" s="3" t="s">
        <v>213</v>
      </c>
      <c r="F3196" s="4" t="str">
        <f aca="false">IF(I3196&gt;J3196,"Y","N")</f>
        <v>Y</v>
      </c>
      <c r="G3196" s="3" t="s">
        <v>214</v>
      </c>
      <c r="H3196" s="3" t="s">
        <v>37</v>
      </c>
      <c r="I3196" s="4" t="n">
        <v>20</v>
      </c>
      <c r="J3196" s="4" t="n">
        <f aca="false">LEN(E3196)-LEN(SUBSTITUTE(E3196,",",""))+1</f>
        <v>6</v>
      </c>
      <c r="K3196" s="3" t="str">
        <f aca="false">IFERROR(INDEX('Teacher Lookup'!$B$2:$B$200,MATCH(A3196,'Teacher Lookup'!$A$2:$A$200,0)),"")</f>
        <v>LI Esther</v>
      </c>
    </row>
    <row r="3197" customFormat="false" ht="15" hidden="false" customHeight="false" outlineLevel="0" collapsed="false">
      <c r="A3197" s="3" t="s">
        <v>386</v>
      </c>
      <c r="B3197" s="4" t="s">
        <v>63</v>
      </c>
      <c r="C3197" s="4" t="n">
        <v>5</v>
      </c>
      <c r="D3197" s="4" t="s">
        <v>76</v>
      </c>
      <c r="E3197" s="3" t="s">
        <v>213</v>
      </c>
      <c r="F3197" s="4" t="str">
        <f aca="false">IF(I3197&gt;J3197,"Y","N")</f>
        <v>Y</v>
      </c>
      <c r="G3197" s="3" t="s">
        <v>214</v>
      </c>
      <c r="H3197" s="3" t="s">
        <v>37</v>
      </c>
      <c r="I3197" s="4" t="n">
        <v>20</v>
      </c>
      <c r="J3197" s="4" t="n">
        <f aca="false">LEN(E3197)-LEN(SUBSTITUTE(E3197,",",""))+1</f>
        <v>6</v>
      </c>
      <c r="K3197" s="3" t="str">
        <f aca="false">IFERROR(INDEX('Teacher Lookup'!$B$2:$B$200,MATCH(A3197,'Teacher Lookup'!$A$2:$A$200,0)),"")</f>
        <v>LI Esther</v>
      </c>
    </row>
    <row r="3198" customFormat="false" ht="15" hidden="false" customHeight="false" outlineLevel="0" collapsed="false">
      <c r="A3198" s="3" t="s">
        <v>386</v>
      </c>
      <c r="B3198" s="4" t="s">
        <v>63</v>
      </c>
      <c r="C3198" s="4" t="n">
        <v>5</v>
      </c>
      <c r="D3198" s="4" t="s">
        <v>78</v>
      </c>
      <c r="E3198" s="3" t="s">
        <v>213</v>
      </c>
      <c r="F3198" s="4" t="str">
        <f aca="false">IF(I3198&gt;J3198,"Y","N")</f>
        <v>Y</v>
      </c>
      <c r="G3198" s="3" t="s">
        <v>214</v>
      </c>
      <c r="H3198" s="3" t="s">
        <v>37</v>
      </c>
      <c r="I3198" s="4" t="n">
        <v>20</v>
      </c>
      <c r="J3198" s="4" t="n">
        <f aca="false">LEN(E3198)-LEN(SUBSTITUTE(E3198,",",""))+1</f>
        <v>6</v>
      </c>
      <c r="K3198" s="3" t="str">
        <f aca="false">IFERROR(INDEX('Teacher Lookup'!$B$2:$B$200,MATCH(A3198,'Teacher Lookup'!$A$2:$A$200,0)),"")</f>
        <v>LI Esther</v>
      </c>
    </row>
    <row r="3199" customFormat="false" ht="15" hidden="false" customHeight="false" outlineLevel="0" collapsed="false">
      <c r="A3199" s="3" t="s">
        <v>386</v>
      </c>
      <c r="B3199" s="4" t="s">
        <v>63</v>
      </c>
      <c r="C3199" s="4" t="n">
        <v>5</v>
      </c>
      <c r="D3199" s="4" t="s">
        <v>79</v>
      </c>
      <c r="E3199" s="3" t="s">
        <v>213</v>
      </c>
      <c r="F3199" s="4" t="str">
        <f aca="false">IF(I3199&gt;J3199,"Y","N")</f>
        <v>Y</v>
      </c>
      <c r="G3199" s="3" t="s">
        <v>214</v>
      </c>
      <c r="H3199" s="3" t="s">
        <v>37</v>
      </c>
      <c r="I3199" s="4" t="n">
        <v>20</v>
      </c>
      <c r="J3199" s="4" t="n">
        <f aca="false">LEN(E3199)-LEN(SUBSTITUTE(E3199,",",""))+1</f>
        <v>6</v>
      </c>
      <c r="K3199" s="3" t="str">
        <f aca="false">IFERROR(INDEX('Teacher Lookup'!$B$2:$B$200,MATCH(A3199,'Teacher Lookup'!$A$2:$A$200,0)),"")</f>
        <v>LI Esther</v>
      </c>
    </row>
    <row r="3200" customFormat="false" ht="15" hidden="false" customHeight="false" outlineLevel="0" collapsed="false">
      <c r="A3200" s="3" t="s">
        <v>386</v>
      </c>
      <c r="B3200" s="4" t="s">
        <v>65</v>
      </c>
      <c r="C3200" s="4" t="n">
        <v>1</v>
      </c>
      <c r="D3200" s="4" t="s">
        <v>76</v>
      </c>
      <c r="E3200" s="3" t="s">
        <v>387</v>
      </c>
      <c r="F3200" s="4" t="str">
        <f aca="false">IF(I3200&gt;J3200,"Y","N")</f>
        <v>N</v>
      </c>
      <c r="G3200" s="3" t="s">
        <v>388</v>
      </c>
      <c r="H3200" s="3" t="s">
        <v>16</v>
      </c>
      <c r="I3200" s="4" t="n">
        <v>2</v>
      </c>
      <c r="J3200" s="4" t="n">
        <f aca="false">LEN(E3200)-LEN(SUBSTITUTE(E3200,",",""))+1</f>
        <v>2</v>
      </c>
      <c r="K3200" s="3" t="str">
        <f aca="false">IFERROR(INDEX('Teacher Lookup'!$B$2:$B$200,MATCH(A3200,'Teacher Lookup'!$A$2:$A$200,0)),"")</f>
        <v>LI Esther</v>
      </c>
    </row>
    <row r="3201" customFormat="false" ht="15" hidden="false" customHeight="false" outlineLevel="0" collapsed="false">
      <c r="A3201" s="3" t="s">
        <v>386</v>
      </c>
      <c r="B3201" s="4" t="s">
        <v>65</v>
      </c>
      <c r="C3201" s="4" t="n">
        <v>1</v>
      </c>
      <c r="D3201" s="4" t="s">
        <v>78</v>
      </c>
      <c r="E3201" s="3" t="s">
        <v>387</v>
      </c>
      <c r="F3201" s="4" t="str">
        <f aca="false">IF(I3201&gt;J3201,"Y","N")</f>
        <v>N</v>
      </c>
      <c r="G3201" s="3" t="s">
        <v>388</v>
      </c>
      <c r="H3201" s="3" t="s">
        <v>16</v>
      </c>
      <c r="I3201" s="4" t="n">
        <v>2</v>
      </c>
      <c r="J3201" s="4" t="n">
        <f aca="false">LEN(E3201)-LEN(SUBSTITUTE(E3201,",",""))+1</f>
        <v>2</v>
      </c>
      <c r="K3201" s="3" t="str">
        <f aca="false">IFERROR(INDEX('Teacher Lookup'!$B$2:$B$200,MATCH(A3201,'Teacher Lookup'!$A$2:$A$200,0)),"")</f>
        <v>LI Esther</v>
      </c>
    </row>
    <row r="3202" customFormat="false" ht="15" hidden="false" customHeight="false" outlineLevel="0" collapsed="false">
      <c r="A3202" s="3" t="s">
        <v>386</v>
      </c>
      <c r="B3202" s="4" t="s">
        <v>65</v>
      </c>
      <c r="C3202" s="4" t="n">
        <v>2</v>
      </c>
      <c r="D3202" s="4" t="s">
        <v>76</v>
      </c>
      <c r="E3202" s="3" t="s">
        <v>387</v>
      </c>
      <c r="F3202" s="4" t="str">
        <f aca="false">IF(I3202&gt;J3202,"Y","N")</f>
        <v>N</v>
      </c>
      <c r="G3202" s="3" t="s">
        <v>388</v>
      </c>
      <c r="H3202" s="3" t="s">
        <v>21</v>
      </c>
      <c r="I3202" s="4" t="n">
        <v>2</v>
      </c>
      <c r="J3202" s="4" t="n">
        <f aca="false">LEN(E3202)-LEN(SUBSTITUTE(E3202,",",""))+1</f>
        <v>2</v>
      </c>
      <c r="K3202" s="3" t="str">
        <f aca="false">IFERROR(INDEX('Teacher Lookup'!$B$2:$B$200,MATCH(A3202,'Teacher Lookup'!$A$2:$A$200,0)),"")</f>
        <v>LI Esther</v>
      </c>
    </row>
    <row r="3203" customFormat="false" ht="15" hidden="false" customHeight="false" outlineLevel="0" collapsed="false">
      <c r="A3203" s="3" t="s">
        <v>386</v>
      </c>
      <c r="B3203" s="4" t="s">
        <v>65</v>
      </c>
      <c r="C3203" s="4" t="n">
        <v>2</v>
      </c>
      <c r="D3203" s="4" t="s">
        <v>78</v>
      </c>
      <c r="E3203" s="3" t="s">
        <v>387</v>
      </c>
      <c r="F3203" s="4" t="str">
        <f aca="false">IF(I3203&gt;J3203,"Y","N")</f>
        <v>N</v>
      </c>
      <c r="G3203" s="3" t="s">
        <v>388</v>
      </c>
      <c r="H3203" s="3" t="s">
        <v>21</v>
      </c>
      <c r="I3203" s="4" t="n">
        <v>2</v>
      </c>
      <c r="J3203" s="4" t="n">
        <f aca="false">LEN(E3203)-LEN(SUBSTITUTE(E3203,",",""))+1</f>
        <v>2</v>
      </c>
      <c r="K3203" s="3" t="str">
        <f aca="false">IFERROR(INDEX('Teacher Lookup'!$B$2:$B$200,MATCH(A3203,'Teacher Lookup'!$A$2:$A$200,0)),"")</f>
        <v>LI Esther</v>
      </c>
    </row>
    <row r="3204" customFormat="false" ht="15" hidden="false" customHeight="false" outlineLevel="0" collapsed="false">
      <c r="A3204" s="3" t="s">
        <v>386</v>
      </c>
      <c r="B3204" s="4" t="s">
        <v>65</v>
      </c>
      <c r="C3204" s="4" t="n">
        <v>3</v>
      </c>
      <c r="D3204" s="4" t="s">
        <v>52</v>
      </c>
      <c r="E3204" s="3" t="s">
        <v>121</v>
      </c>
      <c r="F3204" s="4" t="str">
        <f aca="false">IF(I3204&gt;J3204,"Y","N")</f>
        <v>Y</v>
      </c>
      <c r="G3204" s="3" t="s">
        <v>101</v>
      </c>
      <c r="H3204" s="3" t="s">
        <v>26</v>
      </c>
      <c r="I3204" s="4" t="n">
        <v>9</v>
      </c>
      <c r="J3204" s="4" t="n">
        <f aca="false">LEN(E3204)-LEN(SUBSTITUTE(E3204,",",""))+1</f>
        <v>8</v>
      </c>
      <c r="K3204" s="3" t="str">
        <f aca="false">IFERROR(INDEX('Teacher Lookup'!$B$2:$B$200,MATCH(A3204,'Teacher Lookup'!$A$2:$A$200,0)),"")</f>
        <v>LI Esther</v>
      </c>
    </row>
    <row r="3205" customFormat="false" ht="15" hidden="false" customHeight="false" outlineLevel="0" collapsed="false">
      <c r="A3205" s="3" t="s">
        <v>386</v>
      </c>
      <c r="B3205" s="4" t="s">
        <v>65</v>
      </c>
      <c r="C3205" s="4" t="n">
        <v>3</v>
      </c>
      <c r="D3205" s="4" t="s">
        <v>55</v>
      </c>
      <c r="E3205" s="3" t="s">
        <v>121</v>
      </c>
      <c r="F3205" s="4" t="str">
        <f aca="false">IF(I3205&gt;J3205,"Y","N")</f>
        <v>Y</v>
      </c>
      <c r="G3205" s="3" t="s">
        <v>101</v>
      </c>
      <c r="H3205" s="3" t="s">
        <v>26</v>
      </c>
      <c r="I3205" s="4" t="n">
        <v>9</v>
      </c>
      <c r="J3205" s="4" t="n">
        <f aca="false">LEN(E3205)-LEN(SUBSTITUTE(E3205,",",""))+1</f>
        <v>8</v>
      </c>
      <c r="K3205" s="3" t="str">
        <f aca="false">IFERROR(INDEX('Teacher Lookup'!$B$2:$B$200,MATCH(A3205,'Teacher Lookup'!$A$2:$A$200,0)),"")</f>
        <v>LI Esther</v>
      </c>
    </row>
    <row r="3206" customFormat="false" ht="15" hidden="false" customHeight="false" outlineLevel="0" collapsed="false">
      <c r="A3206" s="3" t="s">
        <v>386</v>
      </c>
      <c r="B3206" s="4" t="s">
        <v>65</v>
      </c>
      <c r="C3206" s="4" t="n">
        <v>3</v>
      </c>
      <c r="D3206" s="4" t="s">
        <v>56</v>
      </c>
      <c r="E3206" s="3" t="s">
        <v>121</v>
      </c>
      <c r="F3206" s="4" t="str">
        <f aca="false">IF(I3206&gt;J3206,"Y","N")</f>
        <v>Y</v>
      </c>
      <c r="G3206" s="3" t="s">
        <v>101</v>
      </c>
      <c r="H3206" s="3" t="s">
        <v>26</v>
      </c>
      <c r="I3206" s="4" t="n">
        <v>9</v>
      </c>
      <c r="J3206" s="4" t="n">
        <f aca="false">LEN(E3206)-LEN(SUBSTITUTE(E3206,",",""))+1</f>
        <v>8</v>
      </c>
      <c r="K3206" s="3" t="str">
        <f aca="false">IFERROR(INDEX('Teacher Lookup'!$B$2:$B$200,MATCH(A3206,'Teacher Lookup'!$A$2:$A$200,0)),"")</f>
        <v>LI Esther</v>
      </c>
    </row>
    <row r="3207" customFormat="false" ht="15" hidden="false" customHeight="false" outlineLevel="0" collapsed="false">
      <c r="A3207" s="3" t="s">
        <v>386</v>
      </c>
      <c r="B3207" s="4" t="s">
        <v>65</v>
      </c>
      <c r="C3207" s="4" t="n">
        <v>3</v>
      </c>
      <c r="D3207" s="4" t="s">
        <v>57</v>
      </c>
      <c r="E3207" s="3" t="s">
        <v>121</v>
      </c>
      <c r="F3207" s="4" t="str">
        <f aca="false">IF(I3207&gt;J3207,"Y","N")</f>
        <v>Y</v>
      </c>
      <c r="G3207" s="3" t="s">
        <v>101</v>
      </c>
      <c r="H3207" s="3" t="s">
        <v>26</v>
      </c>
      <c r="I3207" s="4" t="n">
        <v>9</v>
      </c>
      <c r="J3207" s="4" t="n">
        <f aca="false">LEN(E3207)-LEN(SUBSTITUTE(E3207,",",""))+1</f>
        <v>8</v>
      </c>
      <c r="K3207" s="3" t="str">
        <f aca="false">IFERROR(INDEX('Teacher Lookup'!$B$2:$B$200,MATCH(A3207,'Teacher Lookup'!$A$2:$A$200,0)),"")</f>
        <v>LI Esther</v>
      </c>
    </row>
    <row r="3208" customFormat="false" ht="15" hidden="false" customHeight="false" outlineLevel="0" collapsed="false">
      <c r="A3208" s="3" t="s">
        <v>386</v>
      </c>
      <c r="B3208" s="4" t="s">
        <v>65</v>
      </c>
      <c r="C3208" s="4" t="n">
        <v>3</v>
      </c>
      <c r="D3208" s="4" t="s">
        <v>58</v>
      </c>
      <c r="E3208" s="3" t="s">
        <v>121</v>
      </c>
      <c r="F3208" s="4" t="str">
        <f aca="false">IF(I3208&gt;J3208,"Y","N")</f>
        <v>Y</v>
      </c>
      <c r="G3208" s="3" t="s">
        <v>101</v>
      </c>
      <c r="H3208" s="3" t="s">
        <v>26</v>
      </c>
      <c r="I3208" s="4" t="n">
        <v>9</v>
      </c>
      <c r="J3208" s="4" t="n">
        <f aca="false">LEN(E3208)-LEN(SUBSTITUTE(E3208,",",""))+1</f>
        <v>8</v>
      </c>
      <c r="K3208" s="3" t="str">
        <f aca="false">IFERROR(INDEX('Teacher Lookup'!$B$2:$B$200,MATCH(A3208,'Teacher Lookup'!$A$2:$A$200,0)),"")</f>
        <v>LI Esther</v>
      </c>
    </row>
    <row r="3209" customFormat="false" ht="15" hidden="false" customHeight="false" outlineLevel="0" collapsed="false">
      <c r="A3209" s="3" t="s">
        <v>386</v>
      </c>
      <c r="B3209" s="4" t="s">
        <v>65</v>
      </c>
      <c r="C3209" s="4" t="n">
        <v>3</v>
      </c>
      <c r="D3209" s="4" t="s">
        <v>59</v>
      </c>
      <c r="E3209" s="3" t="s">
        <v>121</v>
      </c>
      <c r="F3209" s="4" t="str">
        <f aca="false">IF(I3209&gt;J3209,"Y","N")</f>
        <v>Y</v>
      </c>
      <c r="G3209" s="3" t="s">
        <v>101</v>
      </c>
      <c r="H3209" s="3" t="s">
        <v>26</v>
      </c>
      <c r="I3209" s="4" t="n">
        <v>9</v>
      </c>
      <c r="J3209" s="4" t="n">
        <f aca="false">LEN(E3209)-LEN(SUBSTITUTE(E3209,",",""))+1</f>
        <v>8</v>
      </c>
      <c r="K3209" s="3" t="str">
        <f aca="false">IFERROR(INDEX('Teacher Lookup'!$B$2:$B$200,MATCH(A3209,'Teacher Lookup'!$A$2:$A$200,0)),"")</f>
        <v>LI Esther</v>
      </c>
    </row>
    <row r="3210" customFormat="false" ht="15" hidden="false" customHeight="false" outlineLevel="0" collapsed="false">
      <c r="A3210" s="3" t="s">
        <v>386</v>
      </c>
      <c r="B3210" s="4" t="s">
        <v>65</v>
      </c>
      <c r="C3210" s="4" t="n">
        <v>4</v>
      </c>
      <c r="D3210" s="4" t="s">
        <v>105</v>
      </c>
      <c r="E3210" s="3" t="s">
        <v>194</v>
      </c>
      <c r="F3210" s="4" t="str">
        <f aca="false">IF(I3210&gt;J3210,"Y","N")</f>
        <v>Y</v>
      </c>
      <c r="G3210" s="3" t="s">
        <v>195</v>
      </c>
      <c r="H3210" s="3" t="s">
        <v>34</v>
      </c>
      <c r="I3210" s="4" t="n">
        <v>3</v>
      </c>
      <c r="J3210" s="4" t="n">
        <f aca="false">LEN(E3210)-LEN(SUBSTITUTE(E3210,",",""))+1</f>
        <v>2</v>
      </c>
      <c r="K3210" s="3" t="str">
        <f aca="false">IFERROR(INDEX('Teacher Lookup'!$B$2:$B$200,MATCH(A3210,'Teacher Lookup'!$A$2:$A$200,0)),"")</f>
        <v>LI Esther</v>
      </c>
    </row>
    <row r="3211" customFormat="false" ht="15" hidden="false" customHeight="false" outlineLevel="0" collapsed="false">
      <c r="A3211" s="3" t="s">
        <v>386</v>
      </c>
      <c r="B3211" s="4" t="s">
        <v>65</v>
      </c>
      <c r="C3211" s="4" t="n">
        <v>5</v>
      </c>
      <c r="D3211" s="4" t="s">
        <v>70</v>
      </c>
      <c r="E3211" s="3" t="s">
        <v>81</v>
      </c>
      <c r="F3211" s="4" t="str">
        <f aca="false">IF(I3211&gt;J3211,"Y","N")</f>
        <v>Y</v>
      </c>
      <c r="G3211" s="3" t="s">
        <v>36</v>
      </c>
      <c r="H3211" s="3" t="s">
        <v>37</v>
      </c>
      <c r="I3211" s="4" t="n">
        <v>15</v>
      </c>
      <c r="J3211" s="4" t="n">
        <f aca="false">LEN(E3211)-LEN(SUBSTITUTE(E3211,",",""))+1</f>
        <v>7</v>
      </c>
      <c r="K3211" s="3" t="str">
        <f aca="false">IFERROR(INDEX('Teacher Lookup'!$B$2:$B$200,MATCH(A3211,'Teacher Lookup'!$A$2:$A$200,0)),"")</f>
        <v>LI Esther</v>
      </c>
    </row>
    <row r="3212" customFormat="false" ht="15" hidden="false" customHeight="false" outlineLevel="0" collapsed="false">
      <c r="A3212" s="3" t="s">
        <v>386</v>
      </c>
      <c r="B3212" s="4" t="s">
        <v>65</v>
      </c>
      <c r="C3212" s="4" t="n">
        <v>5</v>
      </c>
      <c r="D3212" s="4" t="s">
        <v>73</v>
      </c>
      <c r="E3212" s="3" t="s">
        <v>81</v>
      </c>
      <c r="F3212" s="4" t="str">
        <f aca="false">IF(I3212&gt;J3212,"Y","N")</f>
        <v>Y</v>
      </c>
      <c r="G3212" s="3" t="s">
        <v>36</v>
      </c>
      <c r="H3212" s="3" t="s">
        <v>37</v>
      </c>
      <c r="I3212" s="4" t="n">
        <v>15</v>
      </c>
      <c r="J3212" s="4" t="n">
        <f aca="false">LEN(E3212)-LEN(SUBSTITUTE(E3212,",",""))+1</f>
        <v>7</v>
      </c>
      <c r="K3212" s="3" t="str">
        <f aca="false">IFERROR(INDEX('Teacher Lookup'!$B$2:$B$200,MATCH(A3212,'Teacher Lookup'!$A$2:$A$200,0)),"")</f>
        <v>LI Esther</v>
      </c>
    </row>
    <row r="3213" customFormat="false" ht="15" hidden="false" customHeight="false" outlineLevel="0" collapsed="false">
      <c r="A3213" s="3" t="s">
        <v>386</v>
      </c>
      <c r="B3213" s="4" t="s">
        <v>65</v>
      </c>
      <c r="C3213" s="4" t="n">
        <v>5</v>
      </c>
      <c r="D3213" s="4" t="s">
        <v>74</v>
      </c>
      <c r="E3213" s="3" t="s">
        <v>81</v>
      </c>
      <c r="F3213" s="4" t="str">
        <f aca="false">IF(I3213&gt;J3213,"Y","N")</f>
        <v>Y</v>
      </c>
      <c r="G3213" s="3" t="s">
        <v>36</v>
      </c>
      <c r="H3213" s="3" t="s">
        <v>37</v>
      </c>
      <c r="I3213" s="4" t="n">
        <v>15</v>
      </c>
      <c r="J3213" s="4" t="n">
        <f aca="false">LEN(E3213)-LEN(SUBSTITUTE(E3213,",",""))+1</f>
        <v>7</v>
      </c>
      <c r="K3213" s="3" t="str">
        <f aca="false">IFERROR(INDEX('Teacher Lookup'!$B$2:$B$200,MATCH(A3213,'Teacher Lookup'!$A$2:$A$200,0)),"")</f>
        <v>LI Esther</v>
      </c>
    </row>
    <row r="3214" customFormat="false" ht="15" hidden="false" customHeight="false" outlineLevel="0" collapsed="false">
      <c r="A3214" s="3" t="s">
        <v>386</v>
      </c>
      <c r="B3214" s="4" t="s">
        <v>65</v>
      </c>
      <c r="C3214" s="4" t="n">
        <v>5</v>
      </c>
      <c r="D3214" s="4" t="s">
        <v>76</v>
      </c>
      <c r="E3214" s="3" t="s">
        <v>81</v>
      </c>
      <c r="F3214" s="4" t="str">
        <f aca="false">IF(I3214&gt;J3214,"Y","N")</f>
        <v>Y</v>
      </c>
      <c r="G3214" s="3" t="s">
        <v>36</v>
      </c>
      <c r="H3214" s="3" t="s">
        <v>37</v>
      </c>
      <c r="I3214" s="4" t="n">
        <v>15</v>
      </c>
      <c r="J3214" s="4" t="n">
        <f aca="false">LEN(E3214)-LEN(SUBSTITUTE(E3214,",",""))+1</f>
        <v>7</v>
      </c>
      <c r="K3214" s="3" t="str">
        <f aca="false">IFERROR(INDEX('Teacher Lookup'!$B$2:$B$200,MATCH(A3214,'Teacher Lookup'!$A$2:$A$200,0)),"")</f>
        <v>LI Esther</v>
      </c>
    </row>
    <row r="3215" customFormat="false" ht="15" hidden="false" customHeight="false" outlineLevel="0" collapsed="false">
      <c r="A3215" s="3" t="s">
        <v>386</v>
      </c>
      <c r="B3215" s="4" t="s">
        <v>65</v>
      </c>
      <c r="C3215" s="4" t="n">
        <v>5</v>
      </c>
      <c r="D3215" s="4" t="s">
        <v>78</v>
      </c>
      <c r="E3215" s="3" t="s">
        <v>81</v>
      </c>
      <c r="F3215" s="4" t="str">
        <f aca="false">IF(I3215&gt;J3215,"Y","N")</f>
        <v>Y</v>
      </c>
      <c r="G3215" s="3" t="s">
        <v>36</v>
      </c>
      <c r="H3215" s="3" t="s">
        <v>37</v>
      </c>
      <c r="I3215" s="4" t="n">
        <v>15</v>
      </c>
      <c r="J3215" s="4" t="n">
        <f aca="false">LEN(E3215)-LEN(SUBSTITUTE(E3215,",",""))+1</f>
        <v>7</v>
      </c>
      <c r="K3215" s="3" t="str">
        <f aca="false">IFERROR(INDEX('Teacher Lookup'!$B$2:$B$200,MATCH(A3215,'Teacher Lookup'!$A$2:$A$200,0)),"")</f>
        <v>LI Esther</v>
      </c>
    </row>
    <row r="3216" customFormat="false" ht="15" hidden="false" customHeight="false" outlineLevel="0" collapsed="false">
      <c r="A3216" s="3" t="s">
        <v>386</v>
      </c>
      <c r="B3216" s="4" t="s">
        <v>65</v>
      </c>
      <c r="C3216" s="4" t="n">
        <v>5</v>
      </c>
      <c r="D3216" s="4" t="s">
        <v>79</v>
      </c>
      <c r="E3216" s="3" t="s">
        <v>81</v>
      </c>
      <c r="F3216" s="4" t="str">
        <f aca="false">IF(I3216&gt;J3216,"Y","N")</f>
        <v>Y</v>
      </c>
      <c r="G3216" s="3" t="s">
        <v>36</v>
      </c>
      <c r="H3216" s="3" t="s">
        <v>37</v>
      </c>
      <c r="I3216" s="4" t="n">
        <v>15</v>
      </c>
      <c r="J3216" s="4" t="n">
        <f aca="false">LEN(E3216)-LEN(SUBSTITUTE(E3216,",",""))+1</f>
        <v>7</v>
      </c>
      <c r="K3216" s="3" t="str">
        <f aca="false">IFERROR(INDEX('Teacher Lookup'!$B$2:$B$200,MATCH(A3216,'Teacher Lookup'!$A$2:$A$200,0)),"")</f>
        <v>LI Esther</v>
      </c>
    </row>
    <row r="3217" customFormat="false" ht="15" hidden="false" customHeight="false" outlineLevel="0" collapsed="false">
      <c r="A3217" s="3" t="s">
        <v>386</v>
      </c>
      <c r="B3217" s="4" t="s">
        <v>65</v>
      </c>
      <c r="C3217" s="4" t="n">
        <v>6</v>
      </c>
      <c r="D3217" s="4" t="s">
        <v>24</v>
      </c>
      <c r="E3217" s="3" t="s">
        <v>384</v>
      </c>
      <c r="F3217" s="4" t="str">
        <f aca="false">IF(I3217&gt;J3217,"Y","N")</f>
        <v>Y</v>
      </c>
      <c r="G3217" s="3" t="s">
        <v>378</v>
      </c>
      <c r="H3217" s="3" t="s">
        <v>42</v>
      </c>
      <c r="I3217" s="4" t="n">
        <v>9</v>
      </c>
      <c r="J3217" s="4" t="n">
        <f aca="false">LEN(E3217)-LEN(SUBSTITUTE(E3217,",",""))+1</f>
        <v>8</v>
      </c>
      <c r="K3217" s="3" t="str">
        <f aca="false">IFERROR(INDEX('Teacher Lookup'!$B$2:$B$200,MATCH(A3217,'Teacher Lookup'!$A$2:$A$200,0)),"")</f>
        <v>LI Esther</v>
      </c>
    </row>
    <row r="3218" customFormat="false" ht="15" hidden="false" customHeight="false" outlineLevel="0" collapsed="false">
      <c r="A3218" s="3" t="s">
        <v>386</v>
      </c>
      <c r="B3218" s="4" t="s">
        <v>65</v>
      </c>
      <c r="C3218" s="4" t="n">
        <v>6</v>
      </c>
      <c r="D3218" s="4" t="s">
        <v>27</v>
      </c>
      <c r="E3218" s="3" t="s">
        <v>384</v>
      </c>
      <c r="F3218" s="4" t="str">
        <f aca="false">IF(I3218&gt;J3218,"Y","N")</f>
        <v>Y</v>
      </c>
      <c r="G3218" s="3" t="s">
        <v>378</v>
      </c>
      <c r="H3218" s="3" t="s">
        <v>42</v>
      </c>
      <c r="I3218" s="4" t="n">
        <v>9</v>
      </c>
      <c r="J3218" s="4" t="n">
        <f aca="false">LEN(E3218)-LEN(SUBSTITUTE(E3218,",",""))+1</f>
        <v>8</v>
      </c>
      <c r="K3218" s="3" t="str">
        <f aca="false">IFERROR(INDEX('Teacher Lookup'!$B$2:$B$200,MATCH(A3218,'Teacher Lookup'!$A$2:$A$200,0)),"")</f>
        <v>LI Esther</v>
      </c>
    </row>
    <row r="3219" customFormat="false" ht="15" hidden="false" customHeight="false" outlineLevel="0" collapsed="false">
      <c r="A3219" s="3" t="s">
        <v>386</v>
      </c>
      <c r="B3219" s="4" t="s">
        <v>65</v>
      </c>
      <c r="C3219" s="4" t="n">
        <v>6</v>
      </c>
      <c r="D3219" s="4" t="s">
        <v>28</v>
      </c>
      <c r="E3219" s="3" t="s">
        <v>384</v>
      </c>
      <c r="F3219" s="4" t="str">
        <f aca="false">IF(I3219&gt;J3219,"Y","N")</f>
        <v>Y</v>
      </c>
      <c r="G3219" s="3" t="s">
        <v>378</v>
      </c>
      <c r="H3219" s="3" t="s">
        <v>42</v>
      </c>
      <c r="I3219" s="4" t="n">
        <v>9</v>
      </c>
      <c r="J3219" s="4" t="n">
        <f aca="false">LEN(E3219)-LEN(SUBSTITUTE(E3219,",",""))+1</f>
        <v>8</v>
      </c>
      <c r="K3219" s="3" t="str">
        <f aca="false">IFERROR(INDEX('Teacher Lookup'!$B$2:$B$200,MATCH(A3219,'Teacher Lookup'!$A$2:$A$200,0)),"")</f>
        <v>LI Esther</v>
      </c>
    </row>
    <row r="3220" customFormat="false" ht="15" hidden="false" customHeight="false" outlineLevel="0" collapsed="false">
      <c r="A3220" s="3" t="s">
        <v>386</v>
      </c>
      <c r="B3220" s="4" t="s">
        <v>65</v>
      </c>
      <c r="C3220" s="4" t="n">
        <v>6</v>
      </c>
      <c r="D3220" s="4" t="s">
        <v>29</v>
      </c>
      <c r="E3220" s="3" t="s">
        <v>384</v>
      </c>
      <c r="F3220" s="4" t="str">
        <f aca="false">IF(I3220&gt;J3220,"Y","N")</f>
        <v>Y</v>
      </c>
      <c r="G3220" s="3" t="s">
        <v>378</v>
      </c>
      <c r="H3220" s="3" t="s">
        <v>42</v>
      </c>
      <c r="I3220" s="4" t="n">
        <v>9</v>
      </c>
      <c r="J3220" s="4" t="n">
        <f aca="false">LEN(E3220)-LEN(SUBSTITUTE(E3220,",",""))+1</f>
        <v>8</v>
      </c>
      <c r="K3220" s="3" t="str">
        <f aca="false">IFERROR(INDEX('Teacher Lookup'!$B$2:$B$200,MATCH(A3220,'Teacher Lookup'!$A$2:$A$200,0)),"")</f>
        <v>LI Esther</v>
      </c>
    </row>
    <row r="3221" customFormat="false" ht="15" hidden="false" customHeight="false" outlineLevel="0" collapsed="false">
      <c r="A3221" s="3" t="s">
        <v>386</v>
      </c>
      <c r="B3221" s="4" t="s">
        <v>65</v>
      </c>
      <c r="C3221" s="4" t="n">
        <v>6</v>
      </c>
      <c r="D3221" s="4" t="s">
        <v>30</v>
      </c>
      <c r="E3221" s="3" t="s">
        <v>384</v>
      </c>
      <c r="F3221" s="4" t="str">
        <f aca="false">IF(I3221&gt;J3221,"Y","N")</f>
        <v>Y</v>
      </c>
      <c r="G3221" s="3" t="s">
        <v>378</v>
      </c>
      <c r="H3221" s="3" t="s">
        <v>42</v>
      </c>
      <c r="I3221" s="4" t="n">
        <v>9</v>
      </c>
      <c r="J3221" s="4" t="n">
        <f aca="false">LEN(E3221)-LEN(SUBSTITUTE(E3221,",",""))+1</f>
        <v>8</v>
      </c>
      <c r="K3221" s="3" t="str">
        <f aca="false">IFERROR(INDEX('Teacher Lookup'!$B$2:$B$200,MATCH(A3221,'Teacher Lookup'!$A$2:$A$200,0)),"")</f>
        <v>LI Esther</v>
      </c>
    </row>
    <row r="3222" customFormat="false" ht="15" hidden="false" customHeight="false" outlineLevel="0" collapsed="false">
      <c r="A3222" s="3" t="s">
        <v>386</v>
      </c>
      <c r="B3222" s="4" t="s">
        <v>66</v>
      </c>
      <c r="C3222" s="4" t="n">
        <v>3</v>
      </c>
      <c r="D3222" s="4" t="s">
        <v>105</v>
      </c>
      <c r="E3222" s="3" t="s">
        <v>194</v>
      </c>
      <c r="F3222" s="4" t="str">
        <f aca="false">IF(I3222&gt;J3222,"Y","N")</f>
        <v>N</v>
      </c>
      <c r="G3222" s="3" t="s">
        <v>195</v>
      </c>
      <c r="H3222" s="3" t="s">
        <v>26</v>
      </c>
      <c r="I3222" s="4" t="n">
        <v>2</v>
      </c>
      <c r="J3222" s="4" t="n">
        <f aca="false">LEN(E3222)-LEN(SUBSTITUTE(E3222,",",""))+1</f>
        <v>2</v>
      </c>
      <c r="K3222" s="3" t="str">
        <f aca="false">IFERROR(INDEX('Teacher Lookup'!$B$2:$B$200,MATCH(A3222,'Teacher Lookup'!$A$2:$A$200,0)),"")</f>
        <v>LI Esther</v>
      </c>
    </row>
    <row r="3223" customFormat="false" ht="15" hidden="false" customHeight="false" outlineLevel="0" collapsed="false">
      <c r="A3223" s="3" t="s">
        <v>389</v>
      </c>
      <c r="B3223" s="4" t="s">
        <v>12</v>
      </c>
      <c r="C3223" s="4" t="n">
        <v>3</v>
      </c>
      <c r="D3223" s="4" t="s">
        <v>52</v>
      </c>
      <c r="E3223" s="3" t="s">
        <v>100</v>
      </c>
      <c r="F3223" s="4" t="str">
        <f aca="false">IF(I3223&gt;J3223,"Y","N")</f>
        <v>N</v>
      </c>
      <c r="G3223" s="3" t="s">
        <v>101</v>
      </c>
      <c r="H3223" s="3" t="s">
        <v>26</v>
      </c>
      <c r="I3223" s="4" t="n">
        <v>8</v>
      </c>
      <c r="J3223" s="4" t="n">
        <f aca="false">LEN(E3223)-LEN(SUBSTITUTE(E3223,",",""))+1</f>
        <v>8</v>
      </c>
      <c r="K3223" s="3" t="str">
        <f aca="false">IFERROR(INDEX('Teacher Lookup'!$B$2:$B$200,MATCH(A3223,'Teacher Lookup'!$A$2:$A$200,0)),"")</f>
        <v>LAM Eunice</v>
      </c>
    </row>
    <row r="3224" customFormat="false" ht="15" hidden="false" customHeight="false" outlineLevel="0" collapsed="false">
      <c r="A3224" s="3" t="s">
        <v>389</v>
      </c>
      <c r="B3224" s="4" t="s">
        <v>12</v>
      </c>
      <c r="C3224" s="4" t="n">
        <v>3</v>
      </c>
      <c r="D3224" s="4" t="s">
        <v>55</v>
      </c>
      <c r="E3224" s="3" t="s">
        <v>100</v>
      </c>
      <c r="F3224" s="4" t="str">
        <f aca="false">IF(I3224&gt;J3224,"Y","N")</f>
        <v>N</v>
      </c>
      <c r="G3224" s="3" t="s">
        <v>101</v>
      </c>
      <c r="H3224" s="3" t="s">
        <v>26</v>
      </c>
      <c r="I3224" s="4" t="n">
        <v>8</v>
      </c>
      <c r="J3224" s="4" t="n">
        <f aca="false">LEN(E3224)-LEN(SUBSTITUTE(E3224,",",""))+1</f>
        <v>8</v>
      </c>
      <c r="K3224" s="3" t="str">
        <f aca="false">IFERROR(INDEX('Teacher Lookup'!$B$2:$B$200,MATCH(A3224,'Teacher Lookup'!$A$2:$A$200,0)),"")</f>
        <v>LAM Eunice</v>
      </c>
    </row>
    <row r="3225" customFormat="false" ht="15" hidden="false" customHeight="false" outlineLevel="0" collapsed="false">
      <c r="A3225" s="3" t="s">
        <v>389</v>
      </c>
      <c r="B3225" s="4" t="s">
        <v>12</v>
      </c>
      <c r="C3225" s="4" t="n">
        <v>3</v>
      </c>
      <c r="D3225" s="4" t="s">
        <v>56</v>
      </c>
      <c r="E3225" s="3" t="s">
        <v>100</v>
      </c>
      <c r="F3225" s="4" t="str">
        <f aca="false">IF(I3225&gt;J3225,"Y","N")</f>
        <v>N</v>
      </c>
      <c r="G3225" s="3" t="s">
        <v>101</v>
      </c>
      <c r="H3225" s="3" t="s">
        <v>26</v>
      </c>
      <c r="I3225" s="4" t="n">
        <v>8</v>
      </c>
      <c r="J3225" s="4" t="n">
        <f aca="false">LEN(E3225)-LEN(SUBSTITUTE(E3225,",",""))+1</f>
        <v>8</v>
      </c>
      <c r="K3225" s="3" t="str">
        <f aca="false">IFERROR(INDEX('Teacher Lookup'!$B$2:$B$200,MATCH(A3225,'Teacher Lookup'!$A$2:$A$200,0)),"")</f>
        <v>LAM Eunice</v>
      </c>
    </row>
    <row r="3226" customFormat="false" ht="15" hidden="false" customHeight="false" outlineLevel="0" collapsed="false">
      <c r="A3226" s="3" t="s">
        <v>389</v>
      </c>
      <c r="B3226" s="4" t="s">
        <v>12</v>
      </c>
      <c r="C3226" s="4" t="n">
        <v>3</v>
      </c>
      <c r="D3226" s="4" t="s">
        <v>57</v>
      </c>
      <c r="E3226" s="3" t="s">
        <v>100</v>
      </c>
      <c r="F3226" s="4" t="str">
        <f aca="false">IF(I3226&gt;J3226,"Y","N")</f>
        <v>N</v>
      </c>
      <c r="G3226" s="3" t="s">
        <v>101</v>
      </c>
      <c r="H3226" s="3" t="s">
        <v>26</v>
      </c>
      <c r="I3226" s="4" t="n">
        <v>8</v>
      </c>
      <c r="J3226" s="4" t="n">
        <f aca="false">LEN(E3226)-LEN(SUBSTITUTE(E3226,",",""))+1</f>
        <v>8</v>
      </c>
      <c r="K3226" s="3" t="str">
        <f aca="false">IFERROR(INDEX('Teacher Lookup'!$B$2:$B$200,MATCH(A3226,'Teacher Lookup'!$A$2:$A$200,0)),"")</f>
        <v>LAM Eunice</v>
      </c>
    </row>
    <row r="3227" customFormat="false" ht="15" hidden="false" customHeight="false" outlineLevel="0" collapsed="false">
      <c r="A3227" s="3" t="s">
        <v>389</v>
      </c>
      <c r="B3227" s="4" t="s">
        <v>12</v>
      </c>
      <c r="C3227" s="4" t="n">
        <v>3</v>
      </c>
      <c r="D3227" s="4" t="s">
        <v>58</v>
      </c>
      <c r="E3227" s="3" t="s">
        <v>100</v>
      </c>
      <c r="F3227" s="4" t="str">
        <f aca="false">IF(I3227&gt;J3227,"Y","N")</f>
        <v>N</v>
      </c>
      <c r="G3227" s="3" t="s">
        <v>101</v>
      </c>
      <c r="H3227" s="3" t="s">
        <v>26</v>
      </c>
      <c r="I3227" s="4" t="n">
        <v>8</v>
      </c>
      <c r="J3227" s="4" t="n">
        <f aca="false">LEN(E3227)-LEN(SUBSTITUTE(E3227,",",""))+1</f>
        <v>8</v>
      </c>
      <c r="K3227" s="3" t="str">
        <f aca="false">IFERROR(INDEX('Teacher Lookup'!$B$2:$B$200,MATCH(A3227,'Teacher Lookup'!$A$2:$A$200,0)),"")</f>
        <v>LAM Eunice</v>
      </c>
    </row>
    <row r="3228" customFormat="false" ht="15" hidden="false" customHeight="false" outlineLevel="0" collapsed="false">
      <c r="A3228" s="3" t="s">
        <v>389</v>
      </c>
      <c r="B3228" s="4" t="s">
        <v>12</v>
      </c>
      <c r="C3228" s="4" t="n">
        <v>3</v>
      </c>
      <c r="D3228" s="4" t="s">
        <v>59</v>
      </c>
      <c r="E3228" s="3" t="s">
        <v>100</v>
      </c>
      <c r="F3228" s="4" t="str">
        <f aca="false">IF(I3228&gt;J3228,"Y","N")</f>
        <v>N</v>
      </c>
      <c r="G3228" s="3" t="s">
        <v>101</v>
      </c>
      <c r="H3228" s="3" t="s">
        <v>26</v>
      </c>
      <c r="I3228" s="4" t="n">
        <v>8</v>
      </c>
      <c r="J3228" s="4" t="n">
        <f aca="false">LEN(E3228)-LEN(SUBSTITUTE(E3228,",",""))+1</f>
        <v>8</v>
      </c>
      <c r="K3228" s="3" t="str">
        <f aca="false">IFERROR(INDEX('Teacher Lookup'!$B$2:$B$200,MATCH(A3228,'Teacher Lookup'!$A$2:$A$200,0)),"")</f>
        <v>LAM Eunice</v>
      </c>
    </row>
    <row r="3229" customFormat="false" ht="15" hidden="false" customHeight="false" outlineLevel="0" collapsed="false">
      <c r="A3229" s="3" t="s">
        <v>389</v>
      </c>
      <c r="B3229" s="4" t="s">
        <v>12</v>
      </c>
      <c r="C3229" s="4" t="n">
        <v>4</v>
      </c>
      <c r="D3229" s="4" t="s">
        <v>19</v>
      </c>
      <c r="E3229" s="3" t="s">
        <v>390</v>
      </c>
      <c r="F3229" s="4" t="str">
        <f aca="false">IF(I3229&gt;J3229,"Y","N")</f>
        <v>Y</v>
      </c>
      <c r="G3229" s="3" t="s">
        <v>222</v>
      </c>
      <c r="H3229" s="3" t="s">
        <v>34</v>
      </c>
      <c r="I3229" s="4" t="n">
        <v>14</v>
      </c>
      <c r="J3229" s="4" t="n">
        <f aca="false">LEN(E3229)-LEN(SUBSTITUTE(E3229,",",""))+1</f>
        <v>7</v>
      </c>
      <c r="K3229" s="3" t="str">
        <f aca="false">IFERROR(INDEX('Teacher Lookup'!$B$2:$B$200,MATCH(A3229,'Teacher Lookup'!$A$2:$A$200,0)),"")</f>
        <v>LAM Eunice</v>
      </c>
    </row>
    <row r="3230" customFormat="false" ht="15" hidden="false" customHeight="false" outlineLevel="0" collapsed="false">
      <c r="A3230" s="3" t="s">
        <v>389</v>
      </c>
      <c r="B3230" s="4" t="s">
        <v>12</v>
      </c>
      <c r="C3230" s="4" t="n">
        <v>4</v>
      </c>
      <c r="D3230" s="4" t="s">
        <v>22</v>
      </c>
      <c r="E3230" s="3" t="s">
        <v>390</v>
      </c>
      <c r="F3230" s="4" t="str">
        <f aca="false">IF(I3230&gt;J3230,"Y","N")</f>
        <v>Y</v>
      </c>
      <c r="G3230" s="3" t="s">
        <v>222</v>
      </c>
      <c r="H3230" s="3" t="s">
        <v>34</v>
      </c>
      <c r="I3230" s="4" t="n">
        <v>14</v>
      </c>
      <c r="J3230" s="4" t="n">
        <f aca="false">LEN(E3230)-LEN(SUBSTITUTE(E3230,",",""))+1</f>
        <v>7</v>
      </c>
      <c r="K3230" s="3" t="str">
        <f aca="false">IFERROR(INDEX('Teacher Lookup'!$B$2:$B$200,MATCH(A3230,'Teacher Lookup'!$A$2:$A$200,0)),"")</f>
        <v>LAM Eunice</v>
      </c>
    </row>
    <row r="3231" customFormat="false" ht="15" hidden="false" customHeight="false" outlineLevel="0" collapsed="false">
      <c r="A3231" s="3" t="s">
        <v>389</v>
      </c>
      <c r="B3231" s="4" t="s">
        <v>12</v>
      </c>
      <c r="C3231" s="4" t="n">
        <v>4</v>
      </c>
      <c r="D3231" s="4" t="s">
        <v>23</v>
      </c>
      <c r="E3231" s="3" t="s">
        <v>390</v>
      </c>
      <c r="F3231" s="4" t="str">
        <f aca="false">IF(I3231&gt;J3231,"Y","N")</f>
        <v>Y</v>
      </c>
      <c r="G3231" s="3" t="s">
        <v>222</v>
      </c>
      <c r="H3231" s="3" t="s">
        <v>34</v>
      </c>
      <c r="I3231" s="4" t="n">
        <v>14</v>
      </c>
      <c r="J3231" s="4" t="n">
        <f aca="false">LEN(E3231)-LEN(SUBSTITUTE(E3231,",",""))+1</f>
        <v>7</v>
      </c>
      <c r="K3231" s="3" t="str">
        <f aca="false">IFERROR(INDEX('Teacher Lookup'!$B$2:$B$200,MATCH(A3231,'Teacher Lookup'!$A$2:$A$200,0)),"")</f>
        <v>LAM Eunice</v>
      </c>
    </row>
    <row r="3232" customFormat="false" ht="15" hidden="false" customHeight="false" outlineLevel="0" collapsed="false">
      <c r="A3232" s="3" t="s">
        <v>389</v>
      </c>
      <c r="B3232" s="4" t="s">
        <v>12</v>
      </c>
      <c r="C3232" s="4" t="n">
        <v>4</v>
      </c>
      <c r="D3232" s="4" t="s">
        <v>13</v>
      </c>
      <c r="E3232" s="3" t="s">
        <v>390</v>
      </c>
      <c r="F3232" s="4" t="str">
        <f aca="false">IF(I3232&gt;J3232,"Y","N")</f>
        <v>Y</v>
      </c>
      <c r="G3232" s="3" t="s">
        <v>222</v>
      </c>
      <c r="H3232" s="3" t="s">
        <v>34</v>
      </c>
      <c r="I3232" s="4" t="n">
        <v>14</v>
      </c>
      <c r="J3232" s="4" t="n">
        <f aca="false">LEN(E3232)-LEN(SUBSTITUTE(E3232,",",""))+1</f>
        <v>7</v>
      </c>
      <c r="K3232" s="3" t="str">
        <f aca="false">IFERROR(INDEX('Teacher Lookup'!$B$2:$B$200,MATCH(A3232,'Teacher Lookup'!$A$2:$A$200,0)),"")</f>
        <v>LAM Eunice</v>
      </c>
    </row>
    <row r="3233" customFormat="false" ht="15" hidden="false" customHeight="false" outlineLevel="0" collapsed="false">
      <c r="A3233" s="3" t="s">
        <v>389</v>
      </c>
      <c r="B3233" s="4" t="s">
        <v>12</v>
      </c>
      <c r="C3233" s="4" t="n">
        <v>4</v>
      </c>
      <c r="D3233" s="4" t="s">
        <v>17</v>
      </c>
      <c r="E3233" s="3" t="s">
        <v>390</v>
      </c>
      <c r="F3233" s="4" t="str">
        <f aca="false">IF(I3233&gt;J3233,"Y","N")</f>
        <v>Y</v>
      </c>
      <c r="G3233" s="3" t="s">
        <v>222</v>
      </c>
      <c r="H3233" s="3" t="s">
        <v>34</v>
      </c>
      <c r="I3233" s="4" t="n">
        <v>14</v>
      </c>
      <c r="J3233" s="4" t="n">
        <f aca="false">LEN(E3233)-LEN(SUBSTITUTE(E3233,",",""))+1</f>
        <v>7</v>
      </c>
      <c r="K3233" s="3" t="str">
        <f aca="false">IFERROR(INDEX('Teacher Lookup'!$B$2:$B$200,MATCH(A3233,'Teacher Lookup'!$A$2:$A$200,0)),"")</f>
        <v>LAM Eunice</v>
      </c>
    </row>
    <row r="3234" customFormat="false" ht="15" hidden="false" customHeight="false" outlineLevel="0" collapsed="false">
      <c r="A3234" s="3" t="s">
        <v>389</v>
      </c>
      <c r="B3234" s="4" t="s">
        <v>12</v>
      </c>
      <c r="C3234" s="4" t="n">
        <v>4</v>
      </c>
      <c r="D3234" s="4" t="s">
        <v>18</v>
      </c>
      <c r="E3234" s="3" t="s">
        <v>390</v>
      </c>
      <c r="F3234" s="4" t="str">
        <f aca="false">IF(I3234&gt;J3234,"Y","N")</f>
        <v>Y</v>
      </c>
      <c r="G3234" s="3" t="s">
        <v>222</v>
      </c>
      <c r="H3234" s="3" t="s">
        <v>34</v>
      </c>
      <c r="I3234" s="4" t="n">
        <v>14</v>
      </c>
      <c r="J3234" s="4" t="n">
        <f aca="false">LEN(E3234)-LEN(SUBSTITUTE(E3234,",",""))+1</f>
        <v>7</v>
      </c>
      <c r="K3234" s="3" t="str">
        <f aca="false">IFERROR(INDEX('Teacher Lookup'!$B$2:$B$200,MATCH(A3234,'Teacher Lookup'!$A$2:$A$200,0)),"")</f>
        <v>LAM Eunice</v>
      </c>
    </row>
    <row r="3235" customFormat="false" ht="15" hidden="false" customHeight="false" outlineLevel="0" collapsed="false">
      <c r="A3235" s="3" t="s">
        <v>389</v>
      </c>
      <c r="B3235" s="4" t="s">
        <v>12</v>
      </c>
      <c r="C3235" s="4" t="n">
        <v>5</v>
      </c>
      <c r="D3235" s="4" t="s">
        <v>19</v>
      </c>
      <c r="E3235" s="3" t="s">
        <v>390</v>
      </c>
      <c r="F3235" s="4" t="str">
        <f aca="false">IF(I3235&gt;J3235,"Y","N")</f>
        <v>Y</v>
      </c>
      <c r="G3235" s="3" t="s">
        <v>222</v>
      </c>
      <c r="H3235" s="3" t="s">
        <v>37</v>
      </c>
      <c r="I3235" s="4" t="n">
        <v>14</v>
      </c>
      <c r="J3235" s="4" t="n">
        <f aca="false">LEN(E3235)-LEN(SUBSTITUTE(E3235,",",""))+1</f>
        <v>7</v>
      </c>
      <c r="K3235" s="3" t="str">
        <f aca="false">IFERROR(INDEX('Teacher Lookup'!$B$2:$B$200,MATCH(A3235,'Teacher Lookup'!$A$2:$A$200,0)),"")</f>
        <v>LAM Eunice</v>
      </c>
    </row>
    <row r="3236" customFormat="false" ht="15" hidden="false" customHeight="false" outlineLevel="0" collapsed="false">
      <c r="A3236" s="3" t="s">
        <v>389</v>
      </c>
      <c r="B3236" s="4" t="s">
        <v>12</v>
      </c>
      <c r="C3236" s="4" t="n">
        <v>5</v>
      </c>
      <c r="D3236" s="4" t="s">
        <v>22</v>
      </c>
      <c r="E3236" s="3" t="s">
        <v>390</v>
      </c>
      <c r="F3236" s="4" t="str">
        <f aca="false">IF(I3236&gt;J3236,"Y","N")</f>
        <v>Y</v>
      </c>
      <c r="G3236" s="3" t="s">
        <v>222</v>
      </c>
      <c r="H3236" s="3" t="s">
        <v>37</v>
      </c>
      <c r="I3236" s="4" t="n">
        <v>14</v>
      </c>
      <c r="J3236" s="4" t="n">
        <f aca="false">LEN(E3236)-LEN(SUBSTITUTE(E3236,",",""))+1</f>
        <v>7</v>
      </c>
      <c r="K3236" s="3" t="str">
        <f aca="false">IFERROR(INDEX('Teacher Lookup'!$B$2:$B$200,MATCH(A3236,'Teacher Lookup'!$A$2:$A$200,0)),"")</f>
        <v>LAM Eunice</v>
      </c>
    </row>
    <row r="3237" customFormat="false" ht="15" hidden="false" customHeight="false" outlineLevel="0" collapsed="false">
      <c r="A3237" s="3" t="s">
        <v>389</v>
      </c>
      <c r="B3237" s="4" t="s">
        <v>12</v>
      </c>
      <c r="C3237" s="4" t="n">
        <v>5</v>
      </c>
      <c r="D3237" s="4" t="s">
        <v>23</v>
      </c>
      <c r="E3237" s="3" t="s">
        <v>390</v>
      </c>
      <c r="F3237" s="4" t="str">
        <f aca="false">IF(I3237&gt;J3237,"Y","N")</f>
        <v>Y</v>
      </c>
      <c r="G3237" s="3" t="s">
        <v>222</v>
      </c>
      <c r="H3237" s="3" t="s">
        <v>37</v>
      </c>
      <c r="I3237" s="4" t="n">
        <v>14</v>
      </c>
      <c r="J3237" s="4" t="n">
        <f aca="false">LEN(E3237)-LEN(SUBSTITUTE(E3237,",",""))+1</f>
        <v>7</v>
      </c>
      <c r="K3237" s="3" t="str">
        <f aca="false">IFERROR(INDEX('Teacher Lookup'!$B$2:$B$200,MATCH(A3237,'Teacher Lookup'!$A$2:$A$200,0)),"")</f>
        <v>LAM Eunice</v>
      </c>
    </row>
    <row r="3238" customFormat="false" ht="15" hidden="false" customHeight="false" outlineLevel="0" collapsed="false">
      <c r="A3238" s="3" t="s">
        <v>389</v>
      </c>
      <c r="B3238" s="4" t="s">
        <v>12</v>
      </c>
      <c r="C3238" s="4" t="n">
        <v>5</v>
      </c>
      <c r="D3238" s="4" t="s">
        <v>13</v>
      </c>
      <c r="E3238" s="3" t="s">
        <v>390</v>
      </c>
      <c r="F3238" s="4" t="str">
        <f aca="false">IF(I3238&gt;J3238,"Y","N")</f>
        <v>Y</v>
      </c>
      <c r="G3238" s="3" t="s">
        <v>222</v>
      </c>
      <c r="H3238" s="3" t="s">
        <v>37</v>
      </c>
      <c r="I3238" s="4" t="n">
        <v>14</v>
      </c>
      <c r="J3238" s="4" t="n">
        <f aca="false">LEN(E3238)-LEN(SUBSTITUTE(E3238,",",""))+1</f>
        <v>7</v>
      </c>
      <c r="K3238" s="3" t="str">
        <f aca="false">IFERROR(INDEX('Teacher Lookup'!$B$2:$B$200,MATCH(A3238,'Teacher Lookup'!$A$2:$A$200,0)),"")</f>
        <v>LAM Eunice</v>
      </c>
    </row>
    <row r="3239" customFormat="false" ht="15" hidden="false" customHeight="false" outlineLevel="0" collapsed="false">
      <c r="A3239" s="3" t="s">
        <v>389</v>
      </c>
      <c r="B3239" s="4" t="s">
        <v>12</v>
      </c>
      <c r="C3239" s="4" t="n">
        <v>5</v>
      </c>
      <c r="D3239" s="4" t="s">
        <v>17</v>
      </c>
      <c r="E3239" s="3" t="s">
        <v>390</v>
      </c>
      <c r="F3239" s="4" t="str">
        <f aca="false">IF(I3239&gt;J3239,"Y","N")</f>
        <v>Y</v>
      </c>
      <c r="G3239" s="3" t="s">
        <v>222</v>
      </c>
      <c r="H3239" s="3" t="s">
        <v>37</v>
      </c>
      <c r="I3239" s="4" t="n">
        <v>14</v>
      </c>
      <c r="J3239" s="4" t="n">
        <f aca="false">LEN(E3239)-LEN(SUBSTITUTE(E3239,",",""))+1</f>
        <v>7</v>
      </c>
      <c r="K3239" s="3" t="str">
        <f aca="false">IFERROR(INDEX('Teacher Lookup'!$B$2:$B$200,MATCH(A3239,'Teacher Lookup'!$A$2:$A$200,0)),"")</f>
        <v>LAM Eunice</v>
      </c>
    </row>
    <row r="3240" customFormat="false" ht="15" hidden="false" customHeight="false" outlineLevel="0" collapsed="false">
      <c r="A3240" s="3" t="s">
        <v>389</v>
      </c>
      <c r="B3240" s="4" t="s">
        <v>12</v>
      </c>
      <c r="C3240" s="4" t="n">
        <v>5</v>
      </c>
      <c r="D3240" s="4" t="s">
        <v>18</v>
      </c>
      <c r="E3240" s="3" t="s">
        <v>390</v>
      </c>
      <c r="F3240" s="4" t="str">
        <f aca="false">IF(I3240&gt;J3240,"Y","N")</f>
        <v>Y</v>
      </c>
      <c r="G3240" s="3" t="s">
        <v>222</v>
      </c>
      <c r="H3240" s="3" t="s">
        <v>37</v>
      </c>
      <c r="I3240" s="4" t="n">
        <v>14</v>
      </c>
      <c r="J3240" s="4" t="n">
        <f aca="false">LEN(E3240)-LEN(SUBSTITUTE(E3240,",",""))+1</f>
        <v>7</v>
      </c>
      <c r="K3240" s="3" t="str">
        <f aca="false">IFERROR(INDEX('Teacher Lookup'!$B$2:$B$200,MATCH(A3240,'Teacher Lookup'!$A$2:$A$200,0)),"")</f>
        <v>LAM Eunice</v>
      </c>
    </row>
    <row r="3241" customFormat="false" ht="15" hidden="false" customHeight="false" outlineLevel="0" collapsed="false">
      <c r="A3241" s="3" t="s">
        <v>389</v>
      </c>
      <c r="B3241" s="4" t="s">
        <v>31</v>
      </c>
      <c r="C3241" s="4" t="n">
        <v>2</v>
      </c>
      <c r="D3241" s="4" t="s">
        <v>24</v>
      </c>
      <c r="E3241" s="3" t="s">
        <v>377</v>
      </c>
      <c r="F3241" s="4" t="str">
        <f aca="false">IF(I3241&gt;J3241,"Y","N")</f>
        <v>N</v>
      </c>
      <c r="G3241" s="3" t="s">
        <v>378</v>
      </c>
      <c r="H3241" s="3" t="s">
        <v>21</v>
      </c>
      <c r="I3241" s="4" t="n">
        <v>8</v>
      </c>
      <c r="J3241" s="4" t="n">
        <f aca="false">LEN(E3241)-LEN(SUBSTITUTE(E3241,",",""))+1</f>
        <v>8</v>
      </c>
      <c r="K3241" s="3" t="str">
        <f aca="false">IFERROR(INDEX('Teacher Lookup'!$B$2:$B$200,MATCH(A3241,'Teacher Lookup'!$A$2:$A$200,0)),"")</f>
        <v>LAM Eunice</v>
      </c>
    </row>
    <row r="3242" customFormat="false" ht="15" hidden="false" customHeight="false" outlineLevel="0" collapsed="false">
      <c r="A3242" s="3" t="s">
        <v>389</v>
      </c>
      <c r="B3242" s="4" t="s">
        <v>31</v>
      </c>
      <c r="C3242" s="4" t="n">
        <v>2</v>
      </c>
      <c r="D3242" s="4" t="s">
        <v>27</v>
      </c>
      <c r="E3242" s="3" t="s">
        <v>377</v>
      </c>
      <c r="F3242" s="4" t="str">
        <f aca="false">IF(I3242&gt;J3242,"Y","N")</f>
        <v>N</v>
      </c>
      <c r="G3242" s="3" t="s">
        <v>378</v>
      </c>
      <c r="H3242" s="3" t="s">
        <v>21</v>
      </c>
      <c r="I3242" s="4" t="n">
        <v>8</v>
      </c>
      <c r="J3242" s="4" t="n">
        <f aca="false">LEN(E3242)-LEN(SUBSTITUTE(E3242,",",""))+1</f>
        <v>8</v>
      </c>
      <c r="K3242" s="3" t="str">
        <f aca="false">IFERROR(INDEX('Teacher Lookup'!$B$2:$B$200,MATCH(A3242,'Teacher Lookup'!$A$2:$A$200,0)),"")</f>
        <v>LAM Eunice</v>
      </c>
    </row>
    <row r="3243" customFormat="false" ht="15" hidden="false" customHeight="false" outlineLevel="0" collapsed="false">
      <c r="A3243" s="3" t="s">
        <v>389</v>
      </c>
      <c r="B3243" s="4" t="s">
        <v>31</v>
      </c>
      <c r="C3243" s="4" t="n">
        <v>2</v>
      </c>
      <c r="D3243" s="4" t="s">
        <v>28</v>
      </c>
      <c r="E3243" s="3" t="s">
        <v>377</v>
      </c>
      <c r="F3243" s="4" t="str">
        <f aca="false">IF(I3243&gt;J3243,"Y","N")</f>
        <v>N</v>
      </c>
      <c r="G3243" s="3" t="s">
        <v>378</v>
      </c>
      <c r="H3243" s="3" t="s">
        <v>21</v>
      </c>
      <c r="I3243" s="4" t="n">
        <v>8</v>
      </c>
      <c r="J3243" s="4" t="n">
        <f aca="false">LEN(E3243)-LEN(SUBSTITUTE(E3243,",",""))+1</f>
        <v>8</v>
      </c>
      <c r="K3243" s="3" t="str">
        <f aca="false">IFERROR(INDEX('Teacher Lookup'!$B$2:$B$200,MATCH(A3243,'Teacher Lookup'!$A$2:$A$200,0)),"")</f>
        <v>LAM Eunice</v>
      </c>
    </row>
    <row r="3244" customFormat="false" ht="15" hidden="false" customHeight="false" outlineLevel="0" collapsed="false">
      <c r="A3244" s="3" t="s">
        <v>389</v>
      </c>
      <c r="B3244" s="4" t="s">
        <v>31</v>
      </c>
      <c r="C3244" s="4" t="n">
        <v>2</v>
      </c>
      <c r="D3244" s="4" t="s">
        <v>29</v>
      </c>
      <c r="E3244" s="3" t="s">
        <v>377</v>
      </c>
      <c r="F3244" s="4" t="str">
        <f aca="false">IF(I3244&gt;J3244,"Y","N")</f>
        <v>N</v>
      </c>
      <c r="G3244" s="3" t="s">
        <v>378</v>
      </c>
      <c r="H3244" s="3" t="s">
        <v>21</v>
      </c>
      <c r="I3244" s="4" t="n">
        <v>8</v>
      </c>
      <c r="J3244" s="4" t="n">
        <f aca="false">LEN(E3244)-LEN(SUBSTITUTE(E3244,",",""))+1</f>
        <v>8</v>
      </c>
      <c r="K3244" s="3" t="str">
        <f aca="false">IFERROR(INDEX('Teacher Lookup'!$B$2:$B$200,MATCH(A3244,'Teacher Lookup'!$A$2:$A$200,0)),"")</f>
        <v>LAM Eunice</v>
      </c>
    </row>
    <row r="3245" customFormat="false" ht="15" hidden="false" customHeight="false" outlineLevel="0" collapsed="false">
      <c r="A3245" s="3" t="s">
        <v>389</v>
      </c>
      <c r="B3245" s="4" t="s">
        <v>31</v>
      </c>
      <c r="C3245" s="4" t="n">
        <v>2</v>
      </c>
      <c r="D3245" s="4" t="s">
        <v>30</v>
      </c>
      <c r="E3245" s="3" t="s">
        <v>377</v>
      </c>
      <c r="F3245" s="4" t="str">
        <f aca="false">IF(I3245&gt;J3245,"Y","N")</f>
        <v>N</v>
      </c>
      <c r="G3245" s="3" t="s">
        <v>378</v>
      </c>
      <c r="H3245" s="3" t="s">
        <v>21</v>
      </c>
      <c r="I3245" s="4" t="n">
        <v>8</v>
      </c>
      <c r="J3245" s="4" t="n">
        <f aca="false">LEN(E3245)-LEN(SUBSTITUTE(E3245,",",""))+1</f>
        <v>8</v>
      </c>
      <c r="K3245" s="3" t="str">
        <f aca="false">IFERROR(INDEX('Teacher Lookup'!$B$2:$B$200,MATCH(A3245,'Teacher Lookup'!$A$2:$A$200,0)),"")</f>
        <v>LAM Eunice</v>
      </c>
    </row>
    <row r="3246" customFormat="false" ht="15" hidden="false" customHeight="false" outlineLevel="0" collapsed="false">
      <c r="A3246" s="3" t="s">
        <v>389</v>
      </c>
      <c r="B3246" s="4" t="s">
        <v>31</v>
      </c>
      <c r="C3246" s="4" t="n">
        <v>4</v>
      </c>
      <c r="D3246" s="4" t="s">
        <v>52</v>
      </c>
      <c r="E3246" s="3" t="s">
        <v>111</v>
      </c>
      <c r="F3246" s="4" t="str">
        <f aca="false">IF(I3246&gt;J3246,"Y","N")</f>
        <v>N</v>
      </c>
      <c r="G3246" s="3" t="s">
        <v>101</v>
      </c>
      <c r="H3246" s="3" t="s">
        <v>34</v>
      </c>
      <c r="I3246" s="4" t="n">
        <v>8</v>
      </c>
      <c r="J3246" s="4" t="n">
        <f aca="false">LEN(E3246)-LEN(SUBSTITUTE(E3246,",",""))+1</f>
        <v>8</v>
      </c>
      <c r="K3246" s="3" t="str">
        <f aca="false">IFERROR(INDEX('Teacher Lookup'!$B$2:$B$200,MATCH(A3246,'Teacher Lookup'!$A$2:$A$200,0)),"")</f>
        <v>LAM Eunice</v>
      </c>
    </row>
    <row r="3247" customFormat="false" ht="15" hidden="false" customHeight="false" outlineLevel="0" collapsed="false">
      <c r="A3247" s="3" t="s">
        <v>389</v>
      </c>
      <c r="B3247" s="4" t="s">
        <v>31</v>
      </c>
      <c r="C3247" s="4" t="n">
        <v>4</v>
      </c>
      <c r="D3247" s="4" t="s">
        <v>55</v>
      </c>
      <c r="E3247" s="3" t="s">
        <v>111</v>
      </c>
      <c r="F3247" s="4" t="str">
        <f aca="false">IF(I3247&gt;J3247,"Y","N")</f>
        <v>N</v>
      </c>
      <c r="G3247" s="3" t="s">
        <v>101</v>
      </c>
      <c r="H3247" s="3" t="s">
        <v>34</v>
      </c>
      <c r="I3247" s="4" t="n">
        <v>8</v>
      </c>
      <c r="J3247" s="4" t="n">
        <f aca="false">LEN(E3247)-LEN(SUBSTITUTE(E3247,",",""))+1</f>
        <v>8</v>
      </c>
      <c r="K3247" s="3" t="str">
        <f aca="false">IFERROR(INDEX('Teacher Lookup'!$B$2:$B$200,MATCH(A3247,'Teacher Lookup'!$A$2:$A$200,0)),"")</f>
        <v>LAM Eunice</v>
      </c>
    </row>
    <row r="3248" customFormat="false" ht="15" hidden="false" customHeight="false" outlineLevel="0" collapsed="false">
      <c r="A3248" s="3" t="s">
        <v>389</v>
      </c>
      <c r="B3248" s="4" t="s">
        <v>31</v>
      </c>
      <c r="C3248" s="4" t="n">
        <v>4</v>
      </c>
      <c r="D3248" s="4" t="s">
        <v>56</v>
      </c>
      <c r="E3248" s="3" t="s">
        <v>111</v>
      </c>
      <c r="F3248" s="4" t="str">
        <f aca="false">IF(I3248&gt;J3248,"Y","N")</f>
        <v>N</v>
      </c>
      <c r="G3248" s="3" t="s">
        <v>101</v>
      </c>
      <c r="H3248" s="3" t="s">
        <v>34</v>
      </c>
      <c r="I3248" s="4" t="n">
        <v>8</v>
      </c>
      <c r="J3248" s="4" t="n">
        <f aca="false">LEN(E3248)-LEN(SUBSTITUTE(E3248,",",""))+1</f>
        <v>8</v>
      </c>
      <c r="K3248" s="3" t="str">
        <f aca="false">IFERROR(INDEX('Teacher Lookup'!$B$2:$B$200,MATCH(A3248,'Teacher Lookup'!$A$2:$A$200,0)),"")</f>
        <v>LAM Eunice</v>
      </c>
    </row>
    <row r="3249" customFormat="false" ht="15" hidden="false" customHeight="false" outlineLevel="0" collapsed="false">
      <c r="A3249" s="3" t="s">
        <v>389</v>
      </c>
      <c r="B3249" s="4" t="s">
        <v>31</v>
      </c>
      <c r="C3249" s="4" t="n">
        <v>4</v>
      </c>
      <c r="D3249" s="4" t="s">
        <v>57</v>
      </c>
      <c r="E3249" s="3" t="s">
        <v>111</v>
      </c>
      <c r="F3249" s="4" t="str">
        <f aca="false">IF(I3249&gt;J3249,"Y","N")</f>
        <v>N</v>
      </c>
      <c r="G3249" s="3" t="s">
        <v>101</v>
      </c>
      <c r="H3249" s="3" t="s">
        <v>34</v>
      </c>
      <c r="I3249" s="4" t="n">
        <v>8</v>
      </c>
      <c r="J3249" s="4" t="n">
        <f aca="false">LEN(E3249)-LEN(SUBSTITUTE(E3249,",",""))+1</f>
        <v>8</v>
      </c>
      <c r="K3249" s="3" t="str">
        <f aca="false">IFERROR(INDEX('Teacher Lookup'!$B$2:$B$200,MATCH(A3249,'Teacher Lookup'!$A$2:$A$200,0)),"")</f>
        <v>LAM Eunice</v>
      </c>
    </row>
    <row r="3250" customFormat="false" ht="15" hidden="false" customHeight="false" outlineLevel="0" collapsed="false">
      <c r="A3250" s="3" t="s">
        <v>389</v>
      </c>
      <c r="B3250" s="4" t="s">
        <v>31</v>
      </c>
      <c r="C3250" s="4" t="n">
        <v>4</v>
      </c>
      <c r="D3250" s="4" t="s">
        <v>58</v>
      </c>
      <c r="E3250" s="3" t="s">
        <v>111</v>
      </c>
      <c r="F3250" s="4" t="str">
        <f aca="false">IF(I3250&gt;J3250,"Y","N")</f>
        <v>N</v>
      </c>
      <c r="G3250" s="3" t="s">
        <v>101</v>
      </c>
      <c r="H3250" s="3" t="s">
        <v>34</v>
      </c>
      <c r="I3250" s="4" t="n">
        <v>8</v>
      </c>
      <c r="J3250" s="4" t="n">
        <f aca="false">LEN(E3250)-LEN(SUBSTITUTE(E3250,",",""))+1</f>
        <v>8</v>
      </c>
      <c r="K3250" s="3" t="str">
        <f aca="false">IFERROR(INDEX('Teacher Lookup'!$B$2:$B$200,MATCH(A3250,'Teacher Lookup'!$A$2:$A$200,0)),"")</f>
        <v>LAM Eunice</v>
      </c>
    </row>
    <row r="3251" customFormat="false" ht="15" hidden="false" customHeight="false" outlineLevel="0" collapsed="false">
      <c r="A3251" s="3" t="s">
        <v>389</v>
      </c>
      <c r="B3251" s="4" t="s">
        <v>31</v>
      </c>
      <c r="C3251" s="4" t="n">
        <v>4</v>
      </c>
      <c r="D3251" s="4" t="s">
        <v>59</v>
      </c>
      <c r="E3251" s="3" t="s">
        <v>111</v>
      </c>
      <c r="F3251" s="4" t="str">
        <f aca="false">IF(I3251&gt;J3251,"Y","N")</f>
        <v>N</v>
      </c>
      <c r="G3251" s="3" t="s">
        <v>101</v>
      </c>
      <c r="H3251" s="3" t="s">
        <v>34</v>
      </c>
      <c r="I3251" s="4" t="n">
        <v>8</v>
      </c>
      <c r="J3251" s="4" t="n">
        <f aca="false">LEN(E3251)-LEN(SUBSTITUTE(E3251,",",""))+1</f>
        <v>8</v>
      </c>
      <c r="K3251" s="3" t="str">
        <f aca="false">IFERROR(INDEX('Teacher Lookup'!$B$2:$B$200,MATCH(A3251,'Teacher Lookup'!$A$2:$A$200,0)),"")</f>
        <v>LAM Eunice</v>
      </c>
    </row>
    <row r="3252" customFormat="false" ht="15" hidden="false" customHeight="false" outlineLevel="0" collapsed="false">
      <c r="A3252" s="3" t="s">
        <v>389</v>
      </c>
      <c r="B3252" s="4" t="s">
        <v>47</v>
      </c>
      <c r="C3252" s="4" t="n">
        <v>1</v>
      </c>
      <c r="D3252" s="4" t="s">
        <v>23</v>
      </c>
      <c r="E3252" s="3" t="s">
        <v>387</v>
      </c>
      <c r="F3252" s="4" t="str">
        <f aca="false">IF(I3252&gt;J3252,"Y","N")</f>
        <v>N</v>
      </c>
      <c r="G3252" s="3" t="s">
        <v>388</v>
      </c>
      <c r="H3252" s="3" t="s">
        <v>16</v>
      </c>
      <c r="I3252" s="4" t="n">
        <v>2</v>
      </c>
      <c r="J3252" s="4" t="n">
        <f aca="false">LEN(E3252)-LEN(SUBSTITUTE(E3252,",",""))+1</f>
        <v>2</v>
      </c>
      <c r="K3252" s="3" t="str">
        <f aca="false">IFERROR(INDEX('Teacher Lookup'!$B$2:$B$200,MATCH(A3252,'Teacher Lookup'!$A$2:$A$200,0)),"")</f>
        <v>LAM Eunice</v>
      </c>
    </row>
    <row r="3253" customFormat="false" ht="15" hidden="false" customHeight="false" outlineLevel="0" collapsed="false">
      <c r="A3253" s="3" t="s">
        <v>389</v>
      </c>
      <c r="B3253" s="4" t="s">
        <v>47</v>
      </c>
      <c r="C3253" s="4" t="n">
        <v>1</v>
      </c>
      <c r="D3253" s="4" t="s">
        <v>18</v>
      </c>
      <c r="E3253" s="3" t="s">
        <v>387</v>
      </c>
      <c r="F3253" s="4" t="str">
        <f aca="false">IF(I3253&gt;J3253,"Y","N")</f>
        <v>N</v>
      </c>
      <c r="G3253" s="3" t="s">
        <v>388</v>
      </c>
      <c r="H3253" s="3" t="s">
        <v>16</v>
      </c>
      <c r="I3253" s="4" t="n">
        <v>2</v>
      </c>
      <c r="J3253" s="4" t="n">
        <f aca="false">LEN(E3253)-LEN(SUBSTITUTE(E3253,",",""))+1</f>
        <v>2</v>
      </c>
      <c r="K3253" s="3" t="str">
        <f aca="false">IFERROR(INDEX('Teacher Lookup'!$B$2:$B$200,MATCH(A3253,'Teacher Lookup'!$A$2:$A$200,0)),"")</f>
        <v>LAM Eunice</v>
      </c>
    </row>
    <row r="3254" customFormat="false" ht="15" hidden="false" customHeight="false" outlineLevel="0" collapsed="false">
      <c r="A3254" s="3" t="s">
        <v>389</v>
      </c>
      <c r="B3254" s="4" t="s">
        <v>47</v>
      </c>
      <c r="C3254" s="4" t="n">
        <v>2</v>
      </c>
      <c r="D3254" s="4" t="s">
        <v>23</v>
      </c>
      <c r="E3254" s="3" t="s">
        <v>387</v>
      </c>
      <c r="F3254" s="4" t="str">
        <f aca="false">IF(I3254&gt;J3254,"Y","N")</f>
        <v>N</v>
      </c>
      <c r="G3254" s="3" t="s">
        <v>388</v>
      </c>
      <c r="H3254" s="3" t="s">
        <v>21</v>
      </c>
      <c r="I3254" s="4" t="n">
        <v>2</v>
      </c>
      <c r="J3254" s="4" t="n">
        <f aca="false">LEN(E3254)-LEN(SUBSTITUTE(E3254,",",""))+1</f>
        <v>2</v>
      </c>
      <c r="K3254" s="3" t="str">
        <f aca="false">IFERROR(INDEX('Teacher Lookup'!$B$2:$B$200,MATCH(A3254,'Teacher Lookup'!$A$2:$A$200,0)),"")</f>
        <v>LAM Eunice</v>
      </c>
    </row>
    <row r="3255" customFormat="false" ht="15" hidden="false" customHeight="false" outlineLevel="0" collapsed="false">
      <c r="A3255" s="3" t="s">
        <v>389</v>
      </c>
      <c r="B3255" s="4" t="s">
        <v>47</v>
      </c>
      <c r="C3255" s="4" t="n">
        <v>2</v>
      </c>
      <c r="D3255" s="4" t="s">
        <v>18</v>
      </c>
      <c r="E3255" s="3" t="s">
        <v>387</v>
      </c>
      <c r="F3255" s="4" t="str">
        <f aca="false">IF(I3255&gt;J3255,"Y","N")</f>
        <v>N</v>
      </c>
      <c r="G3255" s="3" t="s">
        <v>388</v>
      </c>
      <c r="H3255" s="3" t="s">
        <v>21</v>
      </c>
      <c r="I3255" s="4" t="n">
        <v>2</v>
      </c>
      <c r="J3255" s="4" t="n">
        <f aca="false">LEN(E3255)-LEN(SUBSTITUTE(E3255,",",""))+1</f>
        <v>2</v>
      </c>
      <c r="K3255" s="3" t="str">
        <f aca="false">IFERROR(INDEX('Teacher Lookup'!$B$2:$B$200,MATCH(A3255,'Teacher Lookup'!$A$2:$A$200,0)),"")</f>
        <v>LAM Eunice</v>
      </c>
    </row>
    <row r="3256" customFormat="false" ht="15" hidden="false" customHeight="false" outlineLevel="0" collapsed="false">
      <c r="A3256" s="3" t="s">
        <v>389</v>
      </c>
      <c r="B3256" s="4" t="s">
        <v>47</v>
      </c>
      <c r="C3256" s="4" t="n">
        <v>3</v>
      </c>
      <c r="D3256" s="4" t="s">
        <v>24</v>
      </c>
      <c r="E3256" s="3" t="s">
        <v>381</v>
      </c>
      <c r="F3256" s="4" t="str">
        <f aca="false">IF(I3256&gt;J3256,"Y","N")</f>
        <v>N</v>
      </c>
      <c r="G3256" s="3" t="s">
        <v>378</v>
      </c>
      <c r="H3256" s="3" t="s">
        <v>26</v>
      </c>
      <c r="I3256" s="4" t="n">
        <v>8</v>
      </c>
      <c r="J3256" s="4" t="n">
        <f aca="false">LEN(E3256)-LEN(SUBSTITUTE(E3256,",",""))+1</f>
        <v>8</v>
      </c>
      <c r="K3256" s="3" t="str">
        <f aca="false">IFERROR(INDEX('Teacher Lookup'!$B$2:$B$200,MATCH(A3256,'Teacher Lookup'!$A$2:$A$200,0)),"")</f>
        <v>LAM Eunice</v>
      </c>
    </row>
    <row r="3257" customFormat="false" ht="15" hidden="false" customHeight="false" outlineLevel="0" collapsed="false">
      <c r="A3257" s="3" t="s">
        <v>389</v>
      </c>
      <c r="B3257" s="4" t="s">
        <v>47</v>
      </c>
      <c r="C3257" s="4" t="n">
        <v>3</v>
      </c>
      <c r="D3257" s="4" t="s">
        <v>27</v>
      </c>
      <c r="E3257" s="3" t="s">
        <v>381</v>
      </c>
      <c r="F3257" s="4" t="str">
        <f aca="false">IF(I3257&gt;J3257,"Y","N")</f>
        <v>N</v>
      </c>
      <c r="G3257" s="3" t="s">
        <v>378</v>
      </c>
      <c r="H3257" s="3" t="s">
        <v>26</v>
      </c>
      <c r="I3257" s="4" t="n">
        <v>8</v>
      </c>
      <c r="J3257" s="4" t="n">
        <f aca="false">LEN(E3257)-LEN(SUBSTITUTE(E3257,",",""))+1</f>
        <v>8</v>
      </c>
      <c r="K3257" s="3" t="str">
        <f aca="false">IFERROR(INDEX('Teacher Lookup'!$B$2:$B$200,MATCH(A3257,'Teacher Lookup'!$A$2:$A$200,0)),"")</f>
        <v>LAM Eunice</v>
      </c>
    </row>
    <row r="3258" customFormat="false" ht="15" hidden="false" customHeight="false" outlineLevel="0" collapsed="false">
      <c r="A3258" s="3" t="s">
        <v>389</v>
      </c>
      <c r="B3258" s="4" t="s">
        <v>47</v>
      </c>
      <c r="C3258" s="4" t="n">
        <v>3</v>
      </c>
      <c r="D3258" s="4" t="s">
        <v>28</v>
      </c>
      <c r="E3258" s="3" t="s">
        <v>381</v>
      </c>
      <c r="F3258" s="4" t="str">
        <f aca="false">IF(I3258&gt;J3258,"Y","N")</f>
        <v>N</v>
      </c>
      <c r="G3258" s="3" t="s">
        <v>378</v>
      </c>
      <c r="H3258" s="3" t="s">
        <v>26</v>
      </c>
      <c r="I3258" s="4" t="n">
        <v>8</v>
      </c>
      <c r="J3258" s="4" t="n">
        <f aca="false">LEN(E3258)-LEN(SUBSTITUTE(E3258,",",""))+1</f>
        <v>8</v>
      </c>
      <c r="K3258" s="3" t="str">
        <f aca="false">IFERROR(INDEX('Teacher Lookup'!$B$2:$B$200,MATCH(A3258,'Teacher Lookup'!$A$2:$A$200,0)),"")</f>
        <v>LAM Eunice</v>
      </c>
    </row>
    <row r="3259" customFormat="false" ht="15" hidden="false" customHeight="false" outlineLevel="0" collapsed="false">
      <c r="A3259" s="3" t="s">
        <v>389</v>
      </c>
      <c r="B3259" s="4" t="s">
        <v>47</v>
      </c>
      <c r="C3259" s="4" t="n">
        <v>3</v>
      </c>
      <c r="D3259" s="4" t="s">
        <v>29</v>
      </c>
      <c r="E3259" s="3" t="s">
        <v>381</v>
      </c>
      <c r="F3259" s="4" t="str">
        <f aca="false">IF(I3259&gt;J3259,"Y","N")</f>
        <v>N</v>
      </c>
      <c r="G3259" s="3" t="s">
        <v>378</v>
      </c>
      <c r="H3259" s="3" t="s">
        <v>26</v>
      </c>
      <c r="I3259" s="4" t="n">
        <v>8</v>
      </c>
      <c r="J3259" s="4" t="n">
        <f aca="false">LEN(E3259)-LEN(SUBSTITUTE(E3259,",",""))+1</f>
        <v>8</v>
      </c>
      <c r="K3259" s="3" t="str">
        <f aca="false">IFERROR(INDEX('Teacher Lookup'!$B$2:$B$200,MATCH(A3259,'Teacher Lookup'!$A$2:$A$200,0)),"")</f>
        <v>LAM Eunice</v>
      </c>
    </row>
    <row r="3260" customFormat="false" ht="15" hidden="false" customHeight="false" outlineLevel="0" collapsed="false">
      <c r="A3260" s="3" t="s">
        <v>389</v>
      </c>
      <c r="B3260" s="4" t="s">
        <v>47</v>
      </c>
      <c r="C3260" s="4" t="n">
        <v>3</v>
      </c>
      <c r="D3260" s="4" t="s">
        <v>30</v>
      </c>
      <c r="E3260" s="3" t="s">
        <v>381</v>
      </c>
      <c r="F3260" s="4" t="str">
        <f aca="false">IF(I3260&gt;J3260,"Y","N")</f>
        <v>N</v>
      </c>
      <c r="G3260" s="3" t="s">
        <v>378</v>
      </c>
      <c r="H3260" s="3" t="s">
        <v>26</v>
      </c>
      <c r="I3260" s="4" t="n">
        <v>8</v>
      </c>
      <c r="J3260" s="4" t="n">
        <f aca="false">LEN(E3260)-LEN(SUBSTITUTE(E3260,",",""))+1</f>
        <v>8</v>
      </c>
      <c r="K3260" s="3" t="str">
        <f aca="false">IFERROR(INDEX('Teacher Lookup'!$B$2:$B$200,MATCH(A3260,'Teacher Lookup'!$A$2:$A$200,0)),"")</f>
        <v>LAM Eunice</v>
      </c>
    </row>
    <row r="3261" customFormat="false" ht="15" hidden="false" customHeight="false" outlineLevel="0" collapsed="false">
      <c r="A3261" s="3" t="s">
        <v>389</v>
      </c>
      <c r="B3261" s="4" t="s">
        <v>47</v>
      </c>
      <c r="C3261" s="4" t="n">
        <v>4</v>
      </c>
      <c r="D3261" s="4" t="s">
        <v>24</v>
      </c>
      <c r="E3261" s="3" t="s">
        <v>381</v>
      </c>
      <c r="F3261" s="4" t="str">
        <f aca="false">IF(I3261&gt;J3261,"Y","N")</f>
        <v>N</v>
      </c>
      <c r="G3261" s="3" t="s">
        <v>378</v>
      </c>
      <c r="H3261" s="3" t="s">
        <v>34</v>
      </c>
      <c r="I3261" s="4" t="n">
        <v>8</v>
      </c>
      <c r="J3261" s="4" t="n">
        <f aca="false">LEN(E3261)-LEN(SUBSTITUTE(E3261,",",""))+1</f>
        <v>8</v>
      </c>
      <c r="K3261" s="3" t="str">
        <f aca="false">IFERROR(INDEX('Teacher Lookup'!$B$2:$B$200,MATCH(A3261,'Teacher Lookup'!$A$2:$A$200,0)),"")</f>
        <v>LAM Eunice</v>
      </c>
    </row>
    <row r="3262" customFormat="false" ht="15" hidden="false" customHeight="false" outlineLevel="0" collapsed="false">
      <c r="A3262" s="3" t="s">
        <v>389</v>
      </c>
      <c r="B3262" s="4" t="s">
        <v>47</v>
      </c>
      <c r="C3262" s="4" t="n">
        <v>4</v>
      </c>
      <c r="D3262" s="4" t="s">
        <v>27</v>
      </c>
      <c r="E3262" s="3" t="s">
        <v>381</v>
      </c>
      <c r="F3262" s="4" t="str">
        <f aca="false">IF(I3262&gt;J3262,"Y","N")</f>
        <v>N</v>
      </c>
      <c r="G3262" s="3" t="s">
        <v>378</v>
      </c>
      <c r="H3262" s="3" t="s">
        <v>34</v>
      </c>
      <c r="I3262" s="4" t="n">
        <v>8</v>
      </c>
      <c r="J3262" s="4" t="n">
        <f aca="false">LEN(E3262)-LEN(SUBSTITUTE(E3262,",",""))+1</f>
        <v>8</v>
      </c>
      <c r="K3262" s="3" t="str">
        <f aca="false">IFERROR(INDEX('Teacher Lookup'!$B$2:$B$200,MATCH(A3262,'Teacher Lookup'!$A$2:$A$200,0)),"")</f>
        <v>LAM Eunice</v>
      </c>
    </row>
    <row r="3263" customFormat="false" ht="15" hidden="false" customHeight="false" outlineLevel="0" collapsed="false">
      <c r="A3263" s="3" t="s">
        <v>389</v>
      </c>
      <c r="B3263" s="4" t="s">
        <v>47</v>
      </c>
      <c r="C3263" s="4" t="n">
        <v>4</v>
      </c>
      <c r="D3263" s="4" t="s">
        <v>28</v>
      </c>
      <c r="E3263" s="3" t="s">
        <v>381</v>
      </c>
      <c r="F3263" s="4" t="str">
        <f aca="false">IF(I3263&gt;J3263,"Y","N")</f>
        <v>N</v>
      </c>
      <c r="G3263" s="3" t="s">
        <v>378</v>
      </c>
      <c r="H3263" s="3" t="s">
        <v>34</v>
      </c>
      <c r="I3263" s="4" t="n">
        <v>8</v>
      </c>
      <c r="J3263" s="4" t="n">
        <f aca="false">LEN(E3263)-LEN(SUBSTITUTE(E3263,",",""))+1</f>
        <v>8</v>
      </c>
      <c r="K3263" s="3" t="str">
        <f aca="false">IFERROR(INDEX('Teacher Lookup'!$B$2:$B$200,MATCH(A3263,'Teacher Lookup'!$A$2:$A$200,0)),"")</f>
        <v>LAM Eunice</v>
      </c>
    </row>
    <row r="3264" customFormat="false" ht="15" hidden="false" customHeight="false" outlineLevel="0" collapsed="false">
      <c r="A3264" s="3" t="s">
        <v>389</v>
      </c>
      <c r="B3264" s="4" t="s">
        <v>47</v>
      </c>
      <c r="C3264" s="4" t="n">
        <v>4</v>
      </c>
      <c r="D3264" s="4" t="s">
        <v>29</v>
      </c>
      <c r="E3264" s="3" t="s">
        <v>381</v>
      </c>
      <c r="F3264" s="4" t="str">
        <f aca="false">IF(I3264&gt;J3264,"Y","N")</f>
        <v>N</v>
      </c>
      <c r="G3264" s="3" t="s">
        <v>378</v>
      </c>
      <c r="H3264" s="3" t="s">
        <v>34</v>
      </c>
      <c r="I3264" s="4" t="n">
        <v>8</v>
      </c>
      <c r="J3264" s="4" t="n">
        <f aca="false">LEN(E3264)-LEN(SUBSTITUTE(E3264,",",""))+1</f>
        <v>8</v>
      </c>
      <c r="K3264" s="3" t="str">
        <f aca="false">IFERROR(INDEX('Teacher Lookup'!$B$2:$B$200,MATCH(A3264,'Teacher Lookup'!$A$2:$A$200,0)),"")</f>
        <v>LAM Eunice</v>
      </c>
    </row>
    <row r="3265" customFormat="false" ht="15" hidden="false" customHeight="false" outlineLevel="0" collapsed="false">
      <c r="A3265" s="3" t="s">
        <v>389</v>
      </c>
      <c r="B3265" s="4" t="s">
        <v>47</v>
      </c>
      <c r="C3265" s="4" t="n">
        <v>4</v>
      </c>
      <c r="D3265" s="4" t="s">
        <v>30</v>
      </c>
      <c r="E3265" s="3" t="s">
        <v>381</v>
      </c>
      <c r="F3265" s="4" t="str">
        <f aca="false">IF(I3265&gt;J3265,"Y","N")</f>
        <v>N</v>
      </c>
      <c r="G3265" s="3" t="s">
        <v>378</v>
      </c>
      <c r="H3265" s="3" t="s">
        <v>34</v>
      </c>
      <c r="I3265" s="4" t="n">
        <v>8</v>
      </c>
      <c r="J3265" s="4" t="n">
        <f aca="false">LEN(E3265)-LEN(SUBSTITUTE(E3265,",",""))+1</f>
        <v>8</v>
      </c>
      <c r="K3265" s="3" t="str">
        <f aca="false">IFERROR(INDEX('Teacher Lookup'!$B$2:$B$200,MATCH(A3265,'Teacher Lookup'!$A$2:$A$200,0)),"")</f>
        <v>LAM Eunice</v>
      </c>
    </row>
    <row r="3266" customFormat="false" ht="15" hidden="false" customHeight="false" outlineLevel="0" collapsed="false">
      <c r="A3266" s="3" t="s">
        <v>389</v>
      </c>
      <c r="B3266" s="4" t="s">
        <v>47</v>
      </c>
      <c r="C3266" s="4" t="n">
        <v>6</v>
      </c>
      <c r="D3266" s="4" t="s">
        <v>52</v>
      </c>
      <c r="E3266" s="3" t="s">
        <v>117</v>
      </c>
      <c r="F3266" s="4" t="str">
        <f aca="false">IF(I3266&gt;J3266,"Y","N")</f>
        <v>N</v>
      </c>
      <c r="G3266" s="3" t="s">
        <v>101</v>
      </c>
      <c r="H3266" s="3" t="s">
        <v>42</v>
      </c>
      <c r="I3266" s="4" t="n">
        <v>8</v>
      </c>
      <c r="J3266" s="4" t="n">
        <f aca="false">LEN(E3266)-LEN(SUBSTITUTE(E3266,",",""))+1</f>
        <v>8</v>
      </c>
      <c r="K3266" s="3" t="str">
        <f aca="false">IFERROR(INDEX('Teacher Lookup'!$B$2:$B$200,MATCH(A3266,'Teacher Lookup'!$A$2:$A$200,0)),"")</f>
        <v>LAM Eunice</v>
      </c>
    </row>
    <row r="3267" customFormat="false" ht="15" hidden="false" customHeight="false" outlineLevel="0" collapsed="false">
      <c r="A3267" s="3" t="s">
        <v>389</v>
      </c>
      <c r="B3267" s="4" t="s">
        <v>47</v>
      </c>
      <c r="C3267" s="4" t="n">
        <v>6</v>
      </c>
      <c r="D3267" s="4" t="s">
        <v>55</v>
      </c>
      <c r="E3267" s="3" t="s">
        <v>117</v>
      </c>
      <c r="F3267" s="4" t="str">
        <f aca="false">IF(I3267&gt;J3267,"Y","N")</f>
        <v>N</v>
      </c>
      <c r="G3267" s="3" t="s">
        <v>101</v>
      </c>
      <c r="H3267" s="3" t="s">
        <v>42</v>
      </c>
      <c r="I3267" s="4" t="n">
        <v>8</v>
      </c>
      <c r="J3267" s="4" t="n">
        <f aca="false">LEN(E3267)-LEN(SUBSTITUTE(E3267,",",""))+1</f>
        <v>8</v>
      </c>
      <c r="K3267" s="3" t="str">
        <f aca="false">IFERROR(INDEX('Teacher Lookup'!$B$2:$B$200,MATCH(A3267,'Teacher Lookup'!$A$2:$A$200,0)),"")</f>
        <v>LAM Eunice</v>
      </c>
    </row>
    <row r="3268" customFormat="false" ht="15" hidden="false" customHeight="false" outlineLevel="0" collapsed="false">
      <c r="A3268" s="3" t="s">
        <v>389</v>
      </c>
      <c r="B3268" s="4" t="s">
        <v>47</v>
      </c>
      <c r="C3268" s="4" t="n">
        <v>6</v>
      </c>
      <c r="D3268" s="4" t="s">
        <v>56</v>
      </c>
      <c r="E3268" s="3" t="s">
        <v>117</v>
      </c>
      <c r="F3268" s="4" t="str">
        <f aca="false">IF(I3268&gt;J3268,"Y","N")</f>
        <v>N</v>
      </c>
      <c r="G3268" s="3" t="s">
        <v>101</v>
      </c>
      <c r="H3268" s="3" t="s">
        <v>42</v>
      </c>
      <c r="I3268" s="4" t="n">
        <v>8</v>
      </c>
      <c r="J3268" s="4" t="n">
        <f aca="false">LEN(E3268)-LEN(SUBSTITUTE(E3268,",",""))+1</f>
        <v>8</v>
      </c>
      <c r="K3268" s="3" t="str">
        <f aca="false">IFERROR(INDEX('Teacher Lookup'!$B$2:$B$200,MATCH(A3268,'Teacher Lookup'!$A$2:$A$200,0)),"")</f>
        <v>LAM Eunice</v>
      </c>
    </row>
    <row r="3269" customFormat="false" ht="15" hidden="false" customHeight="false" outlineLevel="0" collapsed="false">
      <c r="A3269" s="3" t="s">
        <v>389</v>
      </c>
      <c r="B3269" s="4" t="s">
        <v>47</v>
      </c>
      <c r="C3269" s="4" t="n">
        <v>6</v>
      </c>
      <c r="D3269" s="4" t="s">
        <v>57</v>
      </c>
      <c r="E3269" s="3" t="s">
        <v>117</v>
      </c>
      <c r="F3269" s="4" t="str">
        <f aca="false">IF(I3269&gt;J3269,"Y","N")</f>
        <v>N</v>
      </c>
      <c r="G3269" s="3" t="s">
        <v>101</v>
      </c>
      <c r="H3269" s="3" t="s">
        <v>42</v>
      </c>
      <c r="I3269" s="4" t="n">
        <v>8</v>
      </c>
      <c r="J3269" s="4" t="n">
        <f aca="false">LEN(E3269)-LEN(SUBSTITUTE(E3269,",",""))+1</f>
        <v>8</v>
      </c>
      <c r="K3269" s="3" t="str">
        <f aca="false">IFERROR(INDEX('Teacher Lookup'!$B$2:$B$200,MATCH(A3269,'Teacher Lookup'!$A$2:$A$200,0)),"")</f>
        <v>LAM Eunice</v>
      </c>
    </row>
    <row r="3270" customFormat="false" ht="15" hidden="false" customHeight="false" outlineLevel="0" collapsed="false">
      <c r="A3270" s="3" t="s">
        <v>389</v>
      </c>
      <c r="B3270" s="4" t="s">
        <v>47</v>
      </c>
      <c r="C3270" s="4" t="n">
        <v>6</v>
      </c>
      <c r="D3270" s="4" t="s">
        <v>58</v>
      </c>
      <c r="E3270" s="3" t="s">
        <v>117</v>
      </c>
      <c r="F3270" s="4" t="str">
        <f aca="false">IF(I3270&gt;J3270,"Y","N")</f>
        <v>N</v>
      </c>
      <c r="G3270" s="3" t="s">
        <v>101</v>
      </c>
      <c r="H3270" s="3" t="s">
        <v>42</v>
      </c>
      <c r="I3270" s="4" t="n">
        <v>8</v>
      </c>
      <c r="J3270" s="4" t="n">
        <f aca="false">LEN(E3270)-LEN(SUBSTITUTE(E3270,",",""))+1</f>
        <v>8</v>
      </c>
      <c r="K3270" s="3" t="str">
        <f aca="false">IFERROR(INDEX('Teacher Lookup'!$B$2:$B$200,MATCH(A3270,'Teacher Lookup'!$A$2:$A$200,0)),"")</f>
        <v>LAM Eunice</v>
      </c>
    </row>
    <row r="3271" customFormat="false" ht="15" hidden="false" customHeight="false" outlineLevel="0" collapsed="false">
      <c r="A3271" s="3" t="s">
        <v>389</v>
      </c>
      <c r="B3271" s="4" t="s">
        <v>47</v>
      </c>
      <c r="C3271" s="4" t="n">
        <v>6</v>
      </c>
      <c r="D3271" s="4" t="s">
        <v>59</v>
      </c>
      <c r="E3271" s="3" t="s">
        <v>117</v>
      </c>
      <c r="F3271" s="4" t="str">
        <f aca="false">IF(I3271&gt;J3271,"Y","N")</f>
        <v>N</v>
      </c>
      <c r="G3271" s="3" t="s">
        <v>101</v>
      </c>
      <c r="H3271" s="3" t="s">
        <v>42</v>
      </c>
      <c r="I3271" s="4" t="n">
        <v>8</v>
      </c>
      <c r="J3271" s="4" t="n">
        <f aca="false">LEN(E3271)-LEN(SUBSTITUTE(E3271,",",""))+1</f>
        <v>8</v>
      </c>
      <c r="K3271" s="3" t="str">
        <f aca="false">IFERROR(INDEX('Teacher Lookup'!$B$2:$B$200,MATCH(A3271,'Teacher Lookup'!$A$2:$A$200,0)),"")</f>
        <v>LAM Eunice</v>
      </c>
    </row>
    <row r="3272" customFormat="false" ht="15" hidden="false" customHeight="false" outlineLevel="0" collapsed="false">
      <c r="A3272" s="3" t="s">
        <v>389</v>
      </c>
      <c r="B3272" s="4" t="s">
        <v>50</v>
      </c>
      <c r="C3272" s="4" t="n">
        <v>4</v>
      </c>
      <c r="D3272" s="4" t="s">
        <v>137</v>
      </c>
      <c r="E3272" s="3" t="s">
        <v>221</v>
      </c>
      <c r="F3272" s="4" t="str">
        <f aca="false">IF(I3272&gt;J3272,"Y","N")</f>
        <v>Y</v>
      </c>
      <c r="G3272" s="3" t="s">
        <v>222</v>
      </c>
      <c r="H3272" s="3" t="s">
        <v>34</v>
      </c>
      <c r="I3272" s="4" t="n">
        <v>15</v>
      </c>
      <c r="J3272" s="4" t="n">
        <f aca="false">LEN(E3272)-LEN(SUBSTITUTE(E3272,",",""))+1</f>
        <v>7</v>
      </c>
      <c r="K3272" s="3" t="str">
        <f aca="false">IFERROR(INDEX('Teacher Lookup'!$B$2:$B$200,MATCH(A3272,'Teacher Lookup'!$A$2:$A$200,0)),"")</f>
        <v>LAM Eunice</v>
      </c>
    </row>
    <row r="3273" customFormat="false" ht="15" hidden="false" customHeight="false" outlineLevel="0" collapsed="false">
      <c r="A3273" s="3" t="s">
        <v>389</v>
      </c>
      <c r="B3273" s="4" t="s">
        <v>50</v>
      </c>
      <c r="C3273" s="4" t="n">
        <v>4</v>
      </c>
      <c r="D3273" s="4" t="s">
        <v>124</v>
      </c>
      <c r="E3273" s="3" t="s">
        <v>221</v>
      </c>
      <c r="F3273" s="4" t="str">
        <f aca="false">IF(I3273&gt;J3273,"Y","N")</f>
        <v>Y</v>
      </c>
      <c r="G3273" s="3" t="s">
        <v>222</v>
      </c>
      <c r="H3273" s="3" t="s">
        <v>34</v>
      </c>
      <c r="I3273" s="4" t="n">
        <v>15</v>
      </c>
      <c r="J3273" s="4" t="n">
        <f aca="false">LEN(E3273)-LEN(SUBSTITUTE(E3273,",",""))+1</f>
        <v>7</v>
      </c>
      <c r="K3273" s="3" t="str">
        <f aca="false">IFERROR(INDEX('Teacher Lookup'!$B$2:$B$200,MATCH(A3273,'Teacher Lookup'!$A$2:$A$200,0)),"")</f>
        <v>LAM Eunice</v>
      </c>
    </row>
    <row r="3274" customFormat="false" ht="15" hidden="false" customHeight="false" outlineLevel="0" collapsed="false">
      <c r="A3274" s="3" t="s">
        <v>389</v>
      </c>
      <c r="B3274" s="4" t="s">
        <v>50</v>
      </c>
      <c r="C3274" s="4" t="n">
        <v>4</v>
      </c>
      <c r="D3274" s="4" t="s">
        <v>139</v>
      </c>
      <c r="E3274" s="3" t="s">
        <v>221</v>
      </c>
      <c r="F3274" s="4" t="str">
        <f aca="false">IF(I3274&gt;J3274,"Y","N")</f>
        <v>Y</v>
      </c>
      <c r="G3274" s="3" t="s">
        <v>222</v>
      </c>
      <c r="H3274" s="3" t="s">
        <v>34</v>
      </c>
      <c r="I3274" s="4" t="n">
        <v>15</v>
      </c>
      <c r="J3274" s="4" t="n">
        <f aca="false">LEN(E3274)-LEN(SUBSTITUTE(E3274,",",""))+1</f>
        <v>7</v>
      </c>
      <c r="K3274" s="3" t="str">
        <f aca="false">IFERROR(INDEX('Teacher Lookup'!$B$2:$B$200,MATCH(A3274,'Teacher Lookup'!$A$2:$A$200,0)),"")</f>
        <v>LAM Eunice</v>
      </c>
    </row>
    <row r="3275" customFormat="false" ht="15" hidden="false" customHeight="false" outlineLevel="0" collapsed="false">
      <c r="A3275" s="3" t="s">
        <v>389</v>
      </c>
      <c r="B3275" s="4" t="s">
        <v>50</v>
      </c>
      <c r="C3275" s="4" t="n">
        <v>4</v>
      </c>
      <c r="D3275" s="4" t="s">
        <v>140</v>
      </c>
      <c r="E3275" s="3" t="s">
        <v>221</v>
      </c>
      <c r="F3275" s="4" t="str">
        <f aca="false">IF(I3275&gt;J3275,"Y","N")</f>
        <v>Y</v>
      </c>
      <c r="G3275" s="3" t="s">
        <v>222</v>
      </c>
      <c r="H3275" s="3" t="s">
        <v>34</v>
      </c>
      <c r="I3275" s="4" t="n">
        <v>15</v>
      </c>
      <c r="J3275" s="4" t="n">
        <f aca="false">LEN(E3275)-LEN(SUBSTITUTE(E3275,",",""))+1</f>
        <v>7</v>
      </c>
      <c r="K3275" s="3" t="str">
        <f aca="false">IFERROR(INDEX('Teacher Lookup'!$B$2:$B$200,MATCH(A3275,'Teacher Lookup'!$A$2:$A$200,0)),"")</f>
        <v>LAM Eunice</v>
      </c>
    </row>
    <row r="3276" customFormat="false" ht="15" hidden="false" customHeight="false" outlineLevel="0" collapsed="false">
      <c r="A3276" s="3" t="s">
        <v>389</v>
      </c>
      <c r="B3276" s="4" t="s">
        <v>50</v>
      </c>
      <c r="C3276" s="4" t="n">
        <v>4</v>
      </c>
      <c r="D3276" s="4" t="s">
        <v>142</v>
      </c>
      <c r="E3276" s="3" t="s">
        <v>221</v>
      </c>
      <c r="F3276" s="4" t="str">
        <f aca="false">IF(I3276&gt;J3276,"Y","N")</f>
        <v>Y</v>
      </c>
      <c r="G3276" s="3" t="s">
        <v>222</v>
      </c>
      <c r="H3276" s="3" t="s">
        <v>34</v>
      </c>
      <c r="I3276" s="4" t="n">
        <v>15</v>
      </c>
      <c r="J3276" s="4" t="n">
        <f aca="false">LEN(E3276)-LEN(SUBSTITUTE(E3276,",",""))+1</f>
        <v>7</v>
      </c>
      <c r="K3276" s="3" t="str">
        <f aca="false">IFERROR(INDEX('Teacher Lookup'!$B$2:$B$200,MATCH(A3276,'Teacher Lookup'!$A$2:$A$200,0)),"")</f>
        <v>LAM Eunice</v>
      </c>
    </row>
    <row r="3277" customFormat="false" ht="15" hidden="false" customHeight="false" outlineLevel="0" collapsed="false">
      <c r="A3277" s="3" t="s">
        <v>389</v>
      </c>
      <c r="B3277" s="4" t="s">
        <v>50</v>
      </c>
      <c r="C3277" s="4" t="n">
        <v>4</v>
      </c>
      <c r="D3277" s="4" t="s">
        <v>127</v>
      </c>
      <c r="E3277" s="3" t="s">
        <v>221</v>
      </c>
      <c r="F3277" s="4" t="str">
        <f aca="false">IF(I3277&gt;J3277,"Y","N")</f>
        <v>Y</v>
      </c>
      <c r="G3277" s="3" t="s">
        <v>222</v>
      </c>
      <c r="H3277" s="3" t="s">
        <v>34</v>
      </c>
      <c r="I3277" s="4" t="n">
        <v>15</v>
      </c>
      <c r="J3277" s="4" t="n">
        <f aca="false">LEN(E3277)-LEN(SUBSTITUTE(E3277,",",""))+1</f>
        <v>7</v>
      </c>
      <c r="K3277" s="3" t="str">
        <f aca="false">IFERROR(INDEX('Teacher Lookup'!$B$2:$B$200,MATCH(A3277,'Teacher Lookup'!$A$2:$A$200,0)),"")</f>
        <v>LAM Eunice</v>
      </c>
    </row>
    <row r="3278" customFormat="false" ht="15" hidden="false" customHeight="false" outlineLevel="0" collapsed="false">
      <c r="A3278" s="3" t="s">
        <v>389</v>
      </c>
      <c r="B3278" s="4" t="s">
        <v>50</v>
      </c>
      <c r="C3278" s="4" t="n">
        <v>5</v>
      </c>
      <c r="D3278" s="4" t="s">
        <v>137</v>
      </c>
      <c r="E3278" s="3" t="s">
        <v>221</v>
      </c>
      <c r="F3278" s="4" t="str">
        <f aca="false">IF(I3278&gt;J3278,"Y","N")</f>
        <v>Y</v>
      </c>
      <c r="G3278" s="3" t="s">
        <v>222</v>
      </c>
      <c r="H3278" s="3" t="s">
        <v>37</v>
      </c>
      <c r="I3278" s="4" t="n">
        <v>15</v>
      </c>
      <c r="J3278" s="4" t="n">
        <f aca="false">LEN(E3278)-LEN(SUBSTITUTE(E3278,",",""))+1</f>
        <v>7</v>
      </c>
      <c r="K3278" s="3" t="str">
        <f aca="false">IFERROR(INDEX('Teacher Lookup'!$B$2:$B$200,MATCH(A3278,'Teacher Lookup'!$A$2:$A$200,0)),"")</f>
        <v>LAM Eunice</v>
      </c>
    </row>
    <row r="3279" customFormat="false" ht="15" hidden="false" customHeight="false" outlineLevel="0" collapsed="false">
      <c r="A3279" s="3" t="s">
        <v>389</v>
      </c>
      <c r="B3279" s="4" t="s">
        <v>50</v>
      </c>
      <c r="C3279" s="4" t="n">
        <v>5</v>
      </c>
      <c r="D3279" s="4" t="s">
        <v>124</v>
      </c>
      <c r="E3279" s="3" t="s">
        <v>221</v>
      </c>
      <c r="F3279" s="4" t="str">
        <f aca="false">IF(I3279&gt;J3279,"Y","N")</f>
        <v>Y</v>
      </c>
      <c r="G3279" s="3" t="s">
        <v>222</v>
      </c>
      <c r="H3279" s="3" t="s">
        <v>37</v>
      </c>
      <c r="I3279" s="4" t="n">
        <v>15</v>
      </c>
      <c r="J3279" s="4" t="n">
        <f aca="false">LEN(E3279)-LEN(SUBSTITUTE(E3279,",",""))+1</f>
        <v>7</v>
      </c>
      <c r="K3279" s="3" t="str">
        <f aca="false">IFERROR(INDEX('Teacher Lookup'!$B$2:$B$200,MATCH(A3279,'Teacher Lookup'!$A$2:$A$200,0)),"")</f>
        <v>LAM Eunice</v>
      </c>
    </row>
    <row r="3280" customFormat="false" ht="15" hidden="false" customHeight="false" outlineLevel="0" collapsed="false">
      <c r="A3280" s="3" t="s">
        <v>389</v>
      </c>
      <c r="B3280" s="4" t="s">
        <v>50</v>
      </c>
      <c r="C3280" s="4" t="n">
        <v>5</v>
      </c>
      <c r="D3280" s="4" t="s">
        <v>139</v>
      </c>
      <c r="E3280" s="3" t="s">
        <v>221</v>
      </c>
      <c r="F3280" s="4" t="str">
        <f aca="false">IF(I3280&gt;J3280,"Y","N")</f>
        <v>Y</v>
      </c>
      <c r="G3280" s="3" t="s">
        <v>222</v>
      </c>
      <c r="H3280" s="3" t="s">
        <v>37</v>
      </c>
      <c r="I3280" s="4" t="n">
        <v>15</v>
      </c>
      <c r="J3280" s="4" t="n">
        <f aca="false">LEN(E3280)-LEN(SUBSTITUTE(E3280,",",""))+1</f>
        <v>7</v>
      </c>
      <c r="K3280" s="3" t="str">
        <f aca="false">IFERROR(INDEX('Teacher Lookup'!$B$2:$B$200,MATCH(A3280,'Teacher Lookup'!$A$2:$A$200,0)),"")</f>
        <v>LAM Eunice</v>
      </c>
    </row>
    <row r="3281" customFormat="false" ht="15" hidden="false" customHeight="false" outlineLevel="0" collapsed="false">
      <c r="A3281" s="3" t="s">
        <v>389</v>
      </c>
      <c r="B3281" s="4" t="s">
        <v>50</v>
      </c>
      <c r="C3281" s="4" t="n">
        <v>5</v>
      </c>
      <c r="D3281" s="4" t="s">
        <v>140</v>
      </c>
      <c r="E3281" s="3" t="s">
        <v>221</v>
      </c>
      <c r="F3281" s="4" t="str">
        <f aca="false">IF(I3281&gt;J3281,"Y","N")</f>
        <v>Y</v>
      </c>
      <c r="G3281" s="3" t="s">
        <v>222</v>
      </c>
      <c r="H3281" s="3" t="s">
        <v>37</v>
      </c>
      <c r="I3281" s="4" t="n">
        <v>15</v>
      </c>
      <c r="J3281" s="4" t="n">
        <f aca="false">LEN(E3281)-LEN(SUBSTITUTE(E3281,",",""))+1</f>
        <v>7</v>
      </c>
      <c r="K3281" s="3" t="str">
        <f aca="false">IFERROR(INDEX('Teacher Lookup'!$B$2:$B$200,MATCH(A3281,'Teacher Lookup'!$A$2:$A$200,0)),"")</f>
        <v>LAM Eunice</v>
      </c>
    </row>
    <row r="3282" customFormat="false" ht="15" hidden="false" customHeight="false" outlineLevel="0" collapsed="false">
      <c r="A3282" s="3" t="s">
        <v>389</v>
      </c>
      <c r="B3282" s="4" t="s">
        <v>50</v>
      </c>
      <c r="C3282" s="4" t="n">
        <v>5</v>
      </c>
      <c r="D3282" s="4" t="s">
        <v>142</v>
      </c>
      <c r="E3282" s="3" t="s">
        <v>221</v>
      </c>
      <c r="F3282" s="4" t="str">
        <f aca="false">IF(I3282&gt;J3282,"Y","N")</f>
        <v>Y</v>
      </c>
      <c r="G3282" s="3" t="s">
        <v>222</v>
      </c>
      <c r="H3282" s="3" t="s">
        <v>37</v>
      </c>
      <c r="I3282" s="4" t="n">
        <v>15</v>
      </c>
      <c r="J3282" s="4" t="n">
        <f aca="false">LEN(E3282)-LEN(SUBSTITUTE(E3282,",",""))+1</f>
        <v>7</v>
      </c>
      <c r="K3282" s="3" t="str">
        <f aca="false">IFERROR(INDEX('Teacher Lookup'!$B$2:$B$200,MATCH(A3282,'Teacher Lookup'!$A$2:$A$200,0)),"")</f>
        <v>LAM Eunice</v>
      </c>
    </row>
    <row r="3283" customFormat="false" ht="15" hidden="false" customHeight="false" outlineLevel="0" collapsed="false">
      <c r="A3283" s="3" t="s">
        <v>389</v>
      </c>
      <c r="B3283" s="4" t="s">
        <v>50</v>
      </c>
      <c r="C3283" s="4" t="n">
        <v>5</v>
      </c>
      <c r="D3283" s="4" t="s">
        <v>127</v>
      </c>
      <c r="E3283" s="3" t="s">
        <v>221</v>
      </c>
      <c r="F3283" s="4" t="str">
        <f aca="false">IF(I3283&gt;J3283,"Y","N")</f>
        <v>Y</v>
      </c>
      <c r="G3283" s="3" t="s">
        <v>222</v>
      </c>
      <c r="H3283" s="3" t="s">
        <v>37</v>
      </c>
      <c r="I3283" s="4" t="n">
        <v>15</v>
      </c>
      <c r="J3283" s="4" t="n">
        <f aca="false">LEN(E3283)-LEN(SUBSTITUTE(E3283,",",""))+1</f>
        <v>7</v>
      </c>
      <c r="K3283" s="3" t="str">
        <f aca="false">IFERROR(INDEX('Teacher Lookup'!$B$2:$B$200,MATCH(A3283,'Teacher Lookup'!$A$2:$A$200,0)),"")</f>
        <v>LAM Eunice</v>
      </c>
    </row>
    <row r="3284" customFormat="false" ht="15" hidden="false" customHeight="false" outlineLevel="0" collapsed="false">
      <c r="A3284" s="3" t="s">
        <v>389</v>
      </c>
      <c r="B3284" s="4" t="s">
        <v>50</v>
      </c>
      <c r="C3284" s="4" t="n">
        <v>7</v>
      </c>
      <c r="D3284" s="4" t="s">
        <v>24</v>
      </c>
      <c r="E3284" s="3" t="s">
        <v>382</v>
      </c>
      <c r="F3284" s="4" t="str">
        <f aca="false">IF(I3284&gt;J3284,"Y","N")</f>
        <v>N</v>
      </c>
      <c r="G3284" s="3" t="s">
        <v>378</v>
      </c>
      <c r="H3284" s="3" t="s">
        <v>39</v>
      </c>
      <c r="I3284" s="4" t="n">
        <v>8</v>
      </c>
      <c r="J3284" s="4" t="n">
        <f aca="false">LEN(E3284)-LEN(SUBSTITUTE(E3284,",",""))+1</f>
        <v>8</v>
      </c>
      <c r="K3284" s="3" t="str">
        <f aca="false">IFERROR(INDEX('Teacher Lookup'!$B$2:$B$200,MATCH(A3284,'Teacher Lookup'!$A$2:$A$200,0)),"")</f>
        <v>LAM Eunice</v>
      </c>
    </row>
    <row r="3285" customFormat="false" ht="15" hidden="false" customHeight="false" outlineLevel="0" collapsed="false">
      <c r="A3285" s="3" t="s">
        <v>389</v>
      </c>
      <c r="B3285" s="4" t="s">
        <v>50</v>
      </c>
      <c r="C3285" s="4" t="n">
        <v>7</v>
      </c>
      <c r="D3285" s="4" t="s">
        <v>27</v>
      </c>
      <c r="E3285" s="3" t="s">
        <v>382</v>
      </c>
      <c r="F3285" s="4" t="str">
        <f aca="false">IF(I3285&gt;J3285,"Y","N")</f>
        <v>N</v>
      </c>
      <c r="G3285" s="3" t="s">
        <v>378</v>
      </c>
      <c r="H3285" s="3" t="s">
        <v>39</v>
      </c>
      <c r="I3285" s="4" t="n">
        <v>8</v>
      </c>
      <c r="J3285" s="4" t="n">
        <f aca="false">LEN(E3285)-LEN(SUBSTITUTE(E3285,",",""))+1</f>
        <v>8</v>
      </c>
      <c r="K3285" s="3" t="str">
        <f aca="false">IFERROR(INDEX('Teacher Lookup'!$B$2:$B$200,MATCH(A3285,'Teacher Lookup'!$A$2:$A$200,0)),"")</f>
        <v>LAM Eunice</v>
      </c>
    </row>
    <row r="3286" customFormat="false" ht="15" hidden="false" customHeight="false" outlineLevel="0" collapsed="false">
      <c r="A3286" s="3" t="s">
        <v>389</v>
      </c>
      <c r="B3286" s="4" t="s">
        <v>50</v>
      </c>
      <c r="C3286" s="4" t="n">
        <v>7</v>
      </c>
      <c r="D3286" s="4" t="s">
        <v>28</v>
      </c>
      <c r="E3286" s="3" t="s">
        <v>382</v>
      </c>
      <c r="F3286" s="4" t="str">
        <f aca="false">IF(I3286&gt;J3286,"Y","N")</f>
        <v>N</v>
      </c>
      <c r="G3286" s="3" t="s">
        <v>378</v>
      </c>
      <c r="H3286" s="3" t="s">
        <v>39</v>
      </c>
      <c r="I3286" s="4" t="n">
        <v>8</v>
      </c>
      <c r="J3286" s="4" t="n">
        <f aca="false">LEN(E3286)-LEN(SUBSTITUTE(E3286,",",""))+1</f>
        <v>8</v>
      </c>
      <c r="K3286" s="3" t="str">
        <f aca="false">IFERROR(INDEX('Teacher Lookup'!$B$2:$B$200,MATCH(A3286,'Teacher Lookup'!$A$2:$A$200,0)),"")</f>
        <v>LAM Eunice</v>
      </c>
    </row>
    <row r="3287" customFormat="false" ht="15" hidden="false" customHeight="false" outlineLevel="0" collapsed="false">
      <c r="A3287" s="3" t="s">
        <v>389</v>
      </c>
      <c r="B3287" s="4" t="s">
        <v>50</v>
      </c>
      <c r="C3287" s="4" t="n">
        <v>7</v>
      </c>
      <c r="D3287" s="4" t="s">
        <v>29</v>
      </c>
      <c r="E3287" s="3" t="s">
        <v>382</v>
      </c>
      <c r="F3287" s="4" t="str">
        <f aca="false">IF(I3287&gt;J3287,"Y","N")</f>
        <v>N</v>
      </c>
      <c r="G3287" s="3" t="s">
        <v>378</v>
      </c>
      <c r="H3287" s="3" t="s">
        <v>39</v>
      </c>
      <c r="I3287" s="4" t="n">
        <v>8</v>
      </c>
      <c r="J3287" s="4" t="n">
        <f aca="false">LEN(E3287)-LEN(SUBSTITUTE(E3287,",",""))+1</f>
        <v>8</v>
      </c>
      <c r="K3287" s="3" t="str">
        <f aca="false">IFERROR(INDEX('Teacher Lookup'!$B$2:$B$200,MATCH(A3287,'Teacher Lookup'!$A$2:$A$200,0)),"")</f>
        <v>LAM Eunice</v>
      </c>
    </row>
    <row r="3288" customFormat="false" ht="15" hidden="false" customHeight="false" outlineLevel="0" collapsed="false">
      <c r="A3288" s="3" t="s">
        <v>389</v>
      </c>
      <c r="B3288" s="4" t="s">
        <v>50</v>
      </c>
      <c r="C3288" s="4" t="n">
        <v>7</v>
      </c>
      <c r="D3288" s="4" t="s">
        <v>30</v>
      </c>
      <c r="E3288" s="3" t="s">
        <v>382</v>
      </c>
      <c r="F3288" s="4" t="str">
        <f aca="false">IF(I3288&gt;J3288,"Y","N")</f>
        <v>N</v>
      </c>
      <c r="G3288" s="3" t="s">
        <v>378</v>
      </c>
      <c r="H3288" s="3" t="s">
        <v>39</v>
      </c>
      <c r="I3288" s="4" t="n">
        <v>8</v>
      </c>
      <c r="J3288" s="4" t="n">
        <f aca="false">LEN(E3288)-LEN(SUBSTITUTE(E3288,",",""))+1</f>
        <v>8</v>
      </c>
      <c r="K3288" s="3" t="str">
        <f aca="false">IFERROR(INDEX('Teacher Lookup'!$B$2:$B$200,MATCH(A3288,'Teacher Lookup'!$A$2:$A$200,0)),"")</f>
        <v>LAM Eunice</v>
      </c>
    </row>
    <row r="3289" customFormat="false" ht="15" hidden="false" customHeight="false" outlineLevel="0" collapsed="false">
      <c r="A3289" s="3" t="s">
        <v>389</v>
      </c>
      <c r="B3289" s="4" t="s">
        <v>60</v>
      </c>
      <c r="C3289" s="4" t="n">
        <v>2</v>
      </c>
      <c r="D3289" s="4" t="s">
        <v>23</v>
      </c>
      <c r="E3289" s="3" t="s">
        <v>387</v>
      </c>
      <c r="F3289" s="4" t="str">
        <f aca="false">IF(I3289&gt;J3289,"Y","N")</f>
        <v>N</v>
      </c>
      <c r="G3289" s="3" t="s">
        <v>388</v>
      </c>
      <c r="H3289" s="3" t="s">
        <v>21</v>
      </c>
      <c r="I3289" s="4" t="n">
        <v>2</v>
      </c>
      <c r="J3289" s="4" t="n">
        <f aca="false">LEN(E3289)-LEN(SUBSTITUTE(E3289,",",""))+1</f>
        <v>2</v>
      </c>
      <c r="K3289" s="3" t="str">
        <f aca="false">IFERROR(INDEX('Teacher Lookup'!$B$2:$B$200,MATCH(A3289,'Teacher Lookup'!$A$2:$A$200,0)),"")</f>
        <v>LAM Eunice</v>
      </c>
    </row>
    <row r="3290" customFormat="false" ht="15" hidden="false" customHeight="false" outlineLevel="0" collapsed="false">
      <c r="A3290" s="3" t="s">
        <v>389</v>
      </c>
      <c r="B3290" s="4" t="s">
        <v>60</v>
      </c>
      <c r="C3290" s="4" t="n">
        <v>2</v>
      </c>
      <c r="D3290" s="4" t="s">
        <v>18</v>
      </c>
      <c r="E3290" s="3" t="s">
        <v>387</v>
      </c>
      <c r="F3290" s="4" t="str">
        <f aca="false">IF(I3290&gt;J3290,"Y","N")</f>
        <v>N</v>
      </c>
      <c r="G3290" s="3" t="s">
        <v>388</v>
      </c>
      <c r="H3290" s="3" t="s">
        <v>21</v>
      </c>
      <c r="I3290" s="4" t="n">
        <v>2</v>
      </c>
      <c r="J3290" s="4" t="n">
        <f aca="false">LEN(E3290)-LEN(SUBSTITUTE(E3290,",",""))+1</f>
        <v>2</v>
      </c>
      <c r="K3290" s="3" t="str">
        <f aca="false">IFERROR(INDEX('Teacher Lookup'!$B$2:$B$200,MATCH(A3290,'Teacher Lookup'!$A$2:$A$200,0)),"")</f>
        <v>LAM Eunice</v>
      </c>
    </row>
    <row r="3291" customFormat="false" ht="15" hidden="false" customHeight="false" outlineLevel="0" collapsed="false">
      <c r="A3291" s="3" t="s">
        <v>389</v>
      </c>
      <c r="B3291" s="4" t="s">
        <v>60</v>
      </c>
      <c r="C3291" s="4" t="n">
        <v>3</v>
      </c>
      <c r="D3291" s="4" t="s">
        <v>24</v>
      </c>
      <c r="E3291" s="3" t="s">
        <v>383</v>
      </c>
      <c r="F3291" s="4" t="str">
        <f aca="false">IF(I3291&gt;J3291,"Y","N")</f>
        <v>N</v>
      </c>
      <c r="G3291" s="3" t="s">
        <v>378</v>
      </c>
      <c r="H3291" s="3" t="s">
        <v>26</v>
      </c>
      <c r="I3291" s="4" t="n">
        <v>8</v>
      </c>
      <c r="J3291" s="4" t="n">
        <f aca="false">LEN(E3291)-LEN(SUBSTITUTE(E3291,",",""))+1</f>
        <v>8</v>
      </c>
      <c r="K3291" s="3" t="str">
        <f aca="false">IFERROR(INDEX('Teacher Lookup'!$B$2:$B$200,MATCH(A3291,'Teacher Lookup'!$A$2:$A$200,0)),"")</f>
        <v>LAM Eunice</v>
      </c>
    </row>
    <row r="3292" customFormat="false" ht="15" hidden="false" customHeight="false" outlineLevel="0" collapsed="false">
      <c r="A3292" s="3" t="s">
        <v>389</v>
      </c>
      <c r="B3292" s="4" t="s">
        <v>60</v>
      </c>
      <c r="C3292" s="4" t="n">
        <v>3</v>
      </c>
      <c r="D3292" s="4" t="s">
        <v>27</v>
      </c>
      <c r="E3292" s="3" t="s">
        <v>383</v>
      </c>
      <c r="F3292" s="4" t="str">
        <f aca="false">IF(I3292&gt;J3292,"Y","N")</f>
        <v>N</v>
      </c>
      <c r="G3292" s="3" t="s">
        <v>378</v>
      </c>
      <c r="H3292" s="3" t="s">
        <v>26</v>
      </c>
      <c r="I3292" s="4" t="n">
        <v>8</v>
      </c>
      <c r="J3292" s="4" t="n">
        <f aca="false">LEN(E3292)-LEN(SUBSTITUTE(E3292,",",""))+1</f>
        <v>8</v>
      </c>
      <c r="K3292" s="3" t="str">
        <f aca="false">IFERROR(INDEX('Teacher Lookup'!$B$2:$B$200,MATCH(A3292,'Teacher Lookup'!$A$2:$A$200,0)),"")</f>
        <v>LAM Eunice</v>
      </c>
    </row>
    <row r="3293" customFormat="false" ht="15" hidden="false" customHeight="false" outlineLevel="0" collapsed="false">
      <c r="A3293" s="3" t="s">
        <v>389</v>
      </c>
      <c r="B3293" s="4" t="s">
        <v>60</v>
      </c>
      <c r="C3293" s="4" t="n">
        <v>3</v>
      </c>
      <c r="D3293" s="4" t="s">
        <v>28</v>
      </c>
      <c r="E3293" s="3" t="s">
        <v>383</v>
      </c>
      <c r="F3293" s="4" t="str">
        <f aca="false">IF(I3293&gt;J3293,"Y","N")</f>
        <v>N</v>
      </c>
      <c r="G3293" s="3" t="s">
        <v>378</v>
      </c>
      <c r="H3293" s="3" t="s">
        <v>26</v>
      </c>
      <c r="I3293" s="4" t="n">
        <v>8</v>
      </c>
      <c r="J3293" s="4" t="n">
        <f aca="false">LEN(E3293)-LEN(SUBSTITUTE(E3293,",",""))+1</f>
        <v>8</v>
      </c>
      <c r="K3293" s="3" t="str">
        <f aca="false">IFERROR(INDEX('Teacher Lookup'!$B$2:$B$200,MATCH(A3293,'Teacher Lookup'!$A$2:$A$200,0)),"")</f>
        <v>LAM Eunice</v>
      </c>
    </row>
    <row r="3294" customFormat="false" ht="15" hidden="false" customHeight="false" outlineLevel="0" collapsed="false">
      <c r="A3294" s="3" t="s">
        <v>389</v>
      </c>
      <c r="B3294" s="4" t="s">
        <v>60</v>
      </c>
      <c r="C3294" s="4" t="n">
        <v>3</v>
      </c>
      <c r="D3294" s="4" t="s">
        <v>29</v>
      </c>
      <c r="E3294" s="3" t="s">
        <v>383</v>
      </c>
      <c r="F3294" s="4" t="str">
        <f aca="false">IF(I3294&gt;J3294,"Y","N")</f>
        <v>N</v>
      </c>
      <c r="G3294" s="3" t="s">
        <v>378</v>
      </c>
      <c r="H3294" s="3" t="s">
        <v>26</v>
      </c>
      <c r="I3294" s="4" t="n">
        <v>8</v>
      </c>
      <c r="J3294" s="4" t="n">
        <f aca="false">LEN(E3294)-LEN(SUBSTITUTE(E3294,",",""))+1</f>
        <v>8</v>
      </c>
      <c r="K3294" s="3" t="str">
        <f aca="false">IFERROR(INDEX('Teacher Lookup'!$B$2:$B$200,MATCH(A3294,'Teacher Lookup'!$A$2:$A$200,0)),"")</f>
        <v>LAM Eunice</v>
      </c>
    </row>
    <row r="3295" customFormat="false" ht="15" hidden="false" customHeight="false" outlineLevel="0" collapsed="false">
      <c r="A3295" s="3" t="s">
        <v>389</v>
      </c>
      <c r="B3295" s="4" t="s">
        <v>60</v>
      </c>
      <c r="C3295" s="4" t="n">
        <v>3</v>
      </c>
      <c r="D3295" s="4" t="s">
        <v>30</v>
      </c>
      <c r="E3295" s="3" t="s">
        <v>383</v>
      </c>
      <c r="F3295" s="4" t="str">
        <f aca="false">IF(I3295&gt;J3295,"Y","N")</f>
        <v>N</v>
      </c>
      <c r="G3295" s="3" t="s">
        <v>378</v>
      </c>
      <c r="H3295" s="3" t="s">
        <v>26</v>
      </c>
      <c r="I3295" s="4" t="n">
        <v>8</v>
      </c>
      <c r="J3295" s="4" t="n">
        <f aca="false">LEN(E3295)-LEN(SUBSTITUTE(E3295,",",""))+1</f>
        <v>8</v>
      </c>
      <c r="K3295" s="3" t="str">
        <f aca="false">IFERROR(INDEX('Teacher Lookup'!$B$2:$B$200,MATCH(A3295,'Teacher Lookup'!$A$2:$A$200,0)),"")</f>
        <v>LAM Eunice</v>
      </c>
    </row>
    <row r="3296" customFormat="false" ht="15" hidden="false" customHeight="false" outlineLevel="0" collapsed="false">
      <c r="A3296" s="3" t="s">
        <v>389</v>
      </c>
      <c r="B3296" s="4" t="s">
        <v>60</v>
      </c>
      <c r="C3296" s="4" t="n">
        <v>4</v>
      </c>
      <c r="D3296" s="4" t="s">
        <v>52</v>
      </c>
      <c r="E3296" s="3" t="s">
        <v>119</v>
      </c>
      <c r="F3296" s="4" t="str">
        <f aca="false">IF(I3296&gt;J3296,"Y","N")</f>
        <v>N</v>
      </c>
      <c r="G3296" s="3" t="s">
        <v>101</v>
      </c>
      <c r="H3296" s="3" t="s">
        <v>34</v>
      </c>
      <c r="I3296" s="4" t="n">
        <v>8</v>
      </c>
      <c r="J3296" s="4" t="n">
        <f aca="false">LEN(E3296)-LEN(SUBSTITUTE(E3296,",",""))+1</f>
        <v>8</v>
      </c>
      <c r="K3296" s="3" t="str">
        <f aca="false">IFERROR(INDEX('Teacher Lookup'!$B$2:$B$200,MATCH(A3296,'Teacher Lookup'!$A$2:$A$200,0)),"")</f>
        <v>LAM Eunice</v>
      </c>
    </row>
    <row r="3297" customFormat="false" ht="15" hidden="false" customHeight="false" outlineLevel="0" collapsed="false">
      <c r="A3297" s="3" t="s">
        <v>389</v>
      </c>
      <c r="B3297" s="4" t="s">
        <v>60</v>
      </c>
      <c r="C3297" s="4" t="n">
        <v>4</v>
      </c>
      <c r="D3297" s="4" t="s">
        <v>55</v>
      </c>
      <c r="E3297" s="3" t="s">
        <v>119</v>
      </c>
      <c r="F3297" s="4" t="str">
        <f aca="false">IF(I3297&gt;J3297,"Y","N")</f>
        <v>N</v>
      </c>
      <c r="G3297" s="3" t="s">
        <v>101</v>
      </c>
      <c r="H3297" s="3" t="s">
        <v>34</v>
      </c>
      <c r="I3297" s="4" t="n">
        <v>8</v>
      </c>
      <c r="J3297" s="4" t="n">
        <f aca="false">LEN(E3297)-LEN(SUBSTITUTE(E3297,",",""))+1</f>
        <v>8</v>
      </c>
      <c r="K3297" s="3" t="str">
        <f aca="false">IFERROR(INDEX('Teacher Lookup'!$B$2:$B$200,MATCH(A3297,'Teacher Lookup'!$A$2:$A$200,0)),"")</f>
        <v>LAM Eunice</v>
      </c>
    </row>
    <row r="3298" customFormat="false" ht="15" hidden="false" customHeight="false" outlineLevel="0" collapsed="false">
      <c r="A3298" s="3" t="s">
        <v>389</v>
      </c>
      <c r="B3298" s="4" t="s">
        <v>60</v>
      </c>
      <c r="C3298" s="4" t="n">
        <v>4</v>
      </c>
      <c r="D3298" s="4" t="s">
        <v>56</v>
      </c>
      <c r="E3298" s="3" t="s">
        <v>119</v>
      </c>
      <c r="F3298" s="4" t="str">
        <f aca="false">IF(I3298&gt;J3298,"Y","N")</f>
        <v>N</v>
      </c>
      <c r="G3298" s="3" t="s">
        <v>101</v>
      </c>
      <c r="H3298" s="3" t="s">
        <v>34</v>
      </c>
      <c r="I3298" s="4" t="n">
        <v>8</v>
      </c>
      <c r="J3298" s="4" t="n">
        <f aca="false">LEN(E3298)-LEN(SUBSTITUTE(E3298,",",""))+1</f>
        <v>8</v>
      </c>
      <c r="K3298" s="3" t="str">
        <f aca="false">IFERROR(INDEX('Teacher Lookup'!$B$2:$B$200,MATCH(A3298,'Teacher Lookup'!$A$2:$A$200,0)),"")</f>
        <v>LAM Eunice</v>
      </c>
    </row>
    <row r="3299" customFormat="false" ht="15" hidden="false" customHeight="false" outlineLevel="0" collapsed="false">
      <c r="A3299" s="3" t="s">
        <v>389</v>
      </c>
      <c r="B3299" s="4" t="s">
        <v>60</v>
      </c>
      <c r="C3299" s="4" t="n">
        <v>4</v>
      </c>
      <c r="D3299" s="4" t="s">
        <v>57</v>
      </c>
      <c r="E3299" s="3" t="s">
        <v>119</v>
      </c>
      <c r="F3299" s="4" t="str">
        <f aca="false">IF(I3299&gt;J3299,"Y","N")</f>
        <v>N</v>
      </c>
      <c r="G3299" s="3" t="s">
        <v>101</v>
      </c>
      <c r="H3299" s="3" t="s">
        <v>34</v>
      </c>
      <c r="I3299" s="4" t="n">
        <v>8</v>
      </c>
      <c r="J3299" s="4" t="n">
        <f aca="false">LEN(E3299)-LEN(SUBSTITUTE(E3299,",",""))+1</f>
        <v>8</v>
      </c>
      <c r="K3299" s="3" t="str">
        <f aca="false">IFERROR(INDEX('Teacher Lookup'!$B$2:$B$200,MATCH(A3299,'Teacher Lookup'!$A$2:$A$200,0)),"")</f>
        <v>LAM Eunice</v>
      </c>
    </row>
    <row r="3300" customFormat="false" ht="15" hidden="false" customHeight="false" outlineLevel="0" collapsed="false">
      <c r="A3300" s="3" t="s">
        <v>389</v>
      </c>
      <c r="B3300" s="4" t="s">
        <v>60</v>
      </c>
      <c r="C3300" s="4" t="n">
        <v>4</v>
      </c>
      <c r="D3300" s="4" t="s">
        <v>58</v>
      </c>
      <c r="E3300" s="3" t="s">
        <v>119</v>
      </c>
      <c r="F3300" s="4" t="str">
        <f aca="false">IF(I3300&gt;J3300,"Y","N")</f>
        <v>N</v>
      </c>
      <c r="G3300" s="3" t="s">
        <v>101</v>
      </c>
      <c r="H3300" s="3" t="s">
        <v>34</v>
      </c>
      <c r="I3300" s="4" t="n">
        <v>8</v>
      </c>
      <c r="J3300" s="4" t="n">
        <f aca="false">LEN(E3300)-LEN(SUBSTITUTE(E3300,",",""))+1</f>
        <v>8</v>
      </c>
      <c r="K3300" s="3" t="str">
        <f aca="false">IFERROR(INDEX('Teacher Lookup'!$B$2:$B$200,MATCH(A3300,'Teacher Lookup'!$A$2:$A$200,0)),"")</f>
        <v>LAM Eunice</v>
      </c>
    </row>
    <row r="3301" customFormat="false" ht="15" hidden="false" customHeight="false" outlineLevel="0" collapsed="false">
      <c r="A3301" s="3" t="s">
        <v>389</v>
      </c>
      <c r="B3301" s="4" t="s">
        <v>60</v>
      </c>
      <c r="C3301" s="4" t="n">
        <v>4</v>
      </c>
      <c r="D3301" s="4" t="s">
        <v>59</v>
      </c>
      <c r="E3301" s="3" t="s">
        <v>119</v>
      </c>
      <c r="F3301" s="4" t="str">
        <f aca="false">IF(I3301&gt;J3301,"Y","N")</f>
        <v>N</v>
      </c>
      <c r="G3301" s="3" t="s">
        <v>101</v>
      </c>
      <c r="H3301" s="3" t="s">
        <v>34</v>
      </c>
      <c r="I3301" s="4" t="n">
        <v>8</v>
      </c>
      <c r="J3301" s="4" t="n">
        <f aca="false">LEN(E3301)-LEN(SUBSTITUTE(E3301,",",""))+1</f>
        <v>8</v>
      </c>
      <c r="K3301" s="3" t="str">
        <f aca="false">IFERROR(INDEX('Teacher Lookup'!$B$2:$B$200,MATCH(A3301,'Teacher Lookup'!$A$2:$A$200,0)),"")</f>
        <v>LAM Eunice</v>
      </c>
    </row>
    <row r="3302" customFormat="false" ht="15" hidden="false" customHeight="false" outlineLevel="0" collapsed="false">
      <c r="A3302" s="3" t="s">
        <v>389</v>
      </c>
      <c r="B3302" s="4" t="s">
        <v>66</v>
      </c>
      <c r="C3302" s="4" t="n">
        <v>3</v>
      </c>
      <c r="D3302" s="4" t="s">
        <v>139</v>
      </c>
      <c r="E3302" s="3" t="s">
        <v>387</v>
      </c>
      <c r="F3302" s="4" t="str">
        <f aca="false">IF(I3302&gt;J3302,"Y","N")</f>
        <v>N</v>
      </c>
      <c r="G3302" s="3" t="s">
        <v>388</v>
      </c>
      <c r="H3302" s="3" t="s">
        <v>26</v>
      </c>
      <c r="I3302" s="4" t="n">
        <v>2</v>
      </c>
      <c r="J3302" s="4" t="n">
        <f aca="false">LEN(E3302)-LEN(SUBSTITUTE(E3302,",",""))+1</f>
        <v>2</v>
      </c>
      <c r="K3302" s="3" t="str">
        <f aca="false">IFERROR(INDEX('Teacher Lookup'!$B$2:$B$200,MATCH(A3302,'Teacher Lookup'!$A$2:$A$200,0)),"")</f>
        <v>LAM Eunice</v>
      </c>
    </row>
    <row r="3303" customFormat="false" ht="15" hidden="false" customHeight="false" outlineLevel="0" collapsed="false">
      <c r="A3303" s="3" t="s">
        <v>389</v>
      </c>
      <c r="B3303" s="4" t="s">
        <v>66</v>
      </c>
      <c r="C3303" s="4" t="n">
        <v>3</v>
      </c>
      <c r="D3303" s="4" t="s">
        <v>127</v>
      </c>
      <c r="E3303" s="3" t="s">
        <v>387</v>
      </c>
      <c r="F3303" s="4" t="str">
        <f aca="false">IF(I3303&gt;J3303,"Y","N")</f>
        <v>N</v>
      </c>
      <c r="G3303" s="3" t="s">
        <v>388</v>
      </c>
      <c r="H3303" s="3" t="s">
        <v>26</v>
      </c>
      <c r="I3303" s="4" t="n">
        <v>2</v>
      </c>
      <c r="J3303" s="4" t="n">
        <f aca="false">LEN(E3303)-LEN(SUBSTITUTE(E3303,",",""))+1</f>
        <v>2</v>
      </c>
      <c r="K3303" s="3" t="str">
        <f aca="false">IFERROR(INDEX('Teacher Lookup'!$B$2:$B$200,MATCH(A3303,'Teacher Lookup'!$A$2:$A$200,0)),"")</f>
        <v>LAM Eunice</v>
      </c>
    </row>
    <row r="3304" customFormat="false" ht="15" hidden="false" customHeight="false" outlineLevel="0" collapsed="false">
      <c r="A3304" s="3" t="s">
        <v>389</v>
      </c>
      <c r="B3304" s="4" t="s">
        <v>66</v>
      </c>
      <c r="C3304" s="4" t="n">
        <v>4</v>
      </c>
      <c r="D3304" s="4" t="s">
        <v>139</v>
      </c>
      <c r="E3304" s="3" t="s">
        <v>387</v>
      </c>
      <c r="F3304" s="4" t="str">
        <f aca="false">IF(I3304&gt;J3304,"Y","N")</f>
        <v>N</v>
      </c>
      <c r="G3304" s="3" t="s">
        <v>388</v>
      </c>
      <c r="H3304" s="3" t="s">
        <v>34</v>
      </c>
      <c r="I3304" s="4" t="n">
        <v>2</v>
      </c>
      <c r="J3304" s="4" t="n">
        <f aca="false">LEN(E3304)-LEN(SUBSTITUTE(E3304,",",""))+1</f>
        <v>2</v>
      </c>
      <c r="K3304" s="3" t="str">
        <f aca="false">IFERROR(INDEX('Teacher Lookup'!$B$2:$B$200,MATCH(A3304,'Teacher Lookup'!$A$2:$A$200,0)),"")</f>
        <v>LAM Eunice</v>
      </c>
    </row>
    <row r="3305" customFormat="false" ht="15" hidden="false" customHeight="false" outlineLevel="0" collapsed="false">
      <c r="A3305" s="3" t="s">
        <v>389</v>
      </c>
      <c r="B3305" s="4" t="s">
        <v>66</v>
      </c>
      <c r="C3305" s="4" t="n">
        <v>4</v>
      </c>
      <c r="D3305" s="4" t="s">
        <v>127</v>
      </c>
      <c r="E3305" s="3" t="s">
        <v>387</v>
      </c>
      <c r="F3305" s="4" t="str">
        <f aca="false">IF(I3305&gt;J3305,"Y","N")</f>
        <v>N</v>
      </c>
      <c r="G3305" s="3" t="s">
        <v>388</v>
      </c>
      <c r="H3305" s="3" t="s">
        <v>34</v>
      </c>
      <c r="I3305" s="4" t="n">
        <v>2</v>
      </c>
      <c r="J3305" s="4" t="n">
        <f aca="false">LEN(E3305)-LEN(SUBSTITUTE(E3305,",",""))+1</f>
        <v>2</v>
      </c>
      <c r="K3305" s="3" t="str">
        <f aca="false">IFERROR(INDEX('Teacher Lookup'!$B$2:$B$200,MATCH(A3305,'Teacher Lookup'!$A$2:$A$200,0)),"")</f>
        <v>LAM Eunice</v>
      </c>
    </row>
    <row r="3306" customFormat="false" ht="15" hidden="false" customHeight="false" outlineLevel="0" collapsed="false">
      <c r="A3306" s="3" t="s">
        <v>389</v>
      </c>
      <c r="B3306" s="4" t="s">
        <v>66</v>
      </c>
      <c r="C3306" s="4" t="n">
        <v>5</v>
      </c>
      <c r="D3306" s="4" t="s">
        <v>52</v>
      </c>
      <c r="E3306" s="3" t="s">
        <v>122</v>
      </c>
      <c r="F3306" s="4" t="str">
        <f aca="false">IF(I3306&gt;J3306,"Y","N")</f>
        <v>N</v>
      </c>
      <c r="G3306" s="3" t="s">
        <v>101</v>
      </c>
      <c r="H3306" s="3" t="s">
        <v>37</v>
      </c>
      <c r="I3306" s="4" t="n">
        <v>8</v>
      </c>
      <c r="J3306" s="4" t="n">
        <f aca="false">LEN(E3306)-LEN(SUBSTITUTE(E3306,",",""))+1</f>
        <v>8</v>
      </c>
      <c r="K3306" s="3" t="str">
        <f aca="false">IFERROR(INDEX('Teacher Lookup'!$B$2:$B$200,MATCH(A3306,'Teacher Lookup'!$A$2:$A$200,0)),"")</f>
        <v>LAM Eunice</v>
      </c>
    </row>
    <row r="3307" customFormat="false" ht="15" hidden="false" customHeight="false" outlineLevel="0" collapsed="false">
      <c r="A3307" s="3" t="s">
        <v>389</v>
      </c>
      <c r="B3307" s="4" t="s">
        <v>66</v>
      </c>
      <c r="C3307" s="4" t="n">
        <v>5</v>
      </c>
      <c r="D3307" s="4" t="s">
        <v>55</v>
      </c>
      <c r="E3307" s="3" t="s">
        <v>122</v>
      </c>
      <c r="F3307" s="4" t="str">
        <f aca="false">IF(I3307&gt;J3307,"Y","N")</f>
        <v>N</v>
      </c>
      <c r="G3307" s="3" t="s">
        <v>101</v>
      </c>
      <c r="H3307" s="3" t="s">
        <v>37</v>
      </c>
      <c r="I3307" s="4" t="n">
        <v>8</v>
      </c>
      <c r="J3307" s="4" t="n">
        <f aca="false">LEN(E3307)-LEN(SUBSTITUTE(E3307,",",""))+1</f>
        <v>8</v>
      </c>
      <c r="K3307" s="3" t="str">
        <f aca="false">IFERROR(INDEX('Teacher Lookup'!$B$2:$B$200,MATCH(A3307,'Teacher Lookup'!$A$2:$A$200,0)),"")</f>
        <v>LAM Eunice</v>
      </c>
    </row>
    <row r="3308" customFormat="false" ht="15" hidden="false" customHeight="false" outlineLevel="0" collapsed="false">
      <c r="A3308" s="3" t="s">
        <v>389</v>
      </c>
      <c r="B3308" s="4" t="s">
        <v>66</v>
      </c>
      <c r="C3308" s="4" t="n">
        <v>5</v>
      </c>
      <c r="D3308" s="4" t="s">
        <v>56</v>
      </c>
      <c r="E3308" s="3" t="s">
        <v>122</v>
      </c>
      <c r="F3308" s="4" t="str">
        <f aca="false">IF(I3308&gt;J3308,"Y","N")</f>
        <v>N</v>
      </c>
      <c r="G3308" s="3" t="s">
        <v>101</v>
      </c>
      <c r="H3308" s="3" t="s">
        <v>37</v>
      </c>
      <c r="I3308" s="4" t="n">
        <v>8</v>
      </c>
      <c r="J3308" s="4" t="n">
        <f aca="false">LEN(E3308)-LEN(SUBSTITUTE(E3308,",",""))+1</f>
        <v>8</v>
      </c>
      <c r="K3308" s="3" t="str">
        <f aca="false">IFERROR(INDEX('Teacher Lookup'!$B$2:$B$200,MATCH(A3308,'Teacher Lookup'!$A$2:$A$200,0)),"")</f>
        <v>LAM Eunice</v>
      </c>
    </row>
    <row r="3309" customFormat="false" ht="15" hidden="false" customHeight="false" outlineLevel="0" collapsed="false">
      <c r="A3309" s="3" t="s">
        <v>389</v>
      </c>
      <c r="B3309" s="4" t="s">
        <v>66</v>
      </c>
      <c r="C3309" s="4" t="n">
        <v>5</v>
      </c>
      <c r="D3309" s="4" t="s">
        <v>57</v>
      </c>
      <c r="E3309" s="3" t="s">
        <v>122</v>
      </c>
      <c r="F3309" s="4" t="str">
        <f aca="false">IF(I3309&gt;J3309,"Y","N")</f>
        <v>N</v>
      </c>
      <c r="G3309" s="3" t="s">
        <v>101</v>
      </c>
      <c r="H3309" s="3" t="s">
        <v>37</v>
      </c>
      <c r="I3309" s="4" t="n">
        <v>8</v>
      </c>
      <c r="J3309" s="4" t="n">
        <f aca="false">LEN(E3309)-LEN(SUBSTITUTE(E3309,",",""))+1</f>
        <v>8</v>
      </c>
      <c r="K3309" s="3" t="str">
        <f aca="false">IFERROR(INDEX('Teacher Lookup'!$B$2:$B$200,MATCH(A3309,'Teacher Lookup'!$A$2:$A$200,0)),"")</f>
        <v>LAM Eunice</v>
      </c>
    </row>
    <row r="3310" customFormat="false" ht="15" hidden="false" customHeight="false" outlineLevel="0" collapsed="false">
      <c r="A3310" s="3" t="s">
        <v>389</v>
      </c>
      <c r="B3310" s="4" t="s">
        <v>66</v>
      </c>
      <c r="C3310" s="4" t="n">
        <v>5</v>
      </c>
      <c r="D3310" s="4" t="s">
        <v>58</v>
      </c>
      <c r="E3310" s="3" t="s">
        <v>122</v>
      </c>
      <c r="F3310" s="4" t="str">
        <f aca="false">IF(I3310&gt;J3310,"Y","N")</f>
        <v>N</v>
      </c>
      <c r="G3310" s="3" t="s">
        <v>101</v>
      </c>
      <c r="H3310" s="3" t="s">
        <v>37</v>
      </c>
      <c r="I3310" s="4" t="n">
        <v>8</v>
      </c>
      <c r="J3310" s="4" t="n">
        <f aca="false">LEN(E3310)-LEN(SUBSTITUTE(E3310,",",""))+1</f>
        <v>8</v>
      </c>
      <c r="K3310" s="3" t="str">
        <f aca="false">IFERROR(INDEX('Teacher Lookup'!$B$2:$B$200,MATCH(A3310,'Teacher Lookup'!$A$2:$A$200,0)),"")</f>
        <v>LAM Eunice</v>
      </c>
    </row>
    <row r="3311" customFormat="false" ht="15" hidden="false" customHeight="false" outlineLevel="0" collapsed="false">
      <c r="A3311" s="3" t="s">
        <v>389</v>
      </c>
      <c r="B3311" s="4" t="s">
        <v>66</v>
      </c>
      <c r="C3311" s="4" t="n">
        <v>5</v>
      </c>
      <c r="D3311" s="4" t="s">
        <v>59</v>
      </c>
      <c r="E3311" s="3" t="s">
        <v>122</v>
      </c>
      <c r="F3311" s="4" t="str">
        <f aca="false">IF(I3311&gt;J3311,"Y","N")</f>
        <v>N</v>
      </c>
      <c r="G3311" s="3" t="s">
        <v>101</v>
      </c>
      <c r="H3311" s="3" t="s">
        <v>37</v>
      </c>
      <c r="I3311" s="4" t="n">
        <v>8</v>
      </c>
      <c r="J3311" s="4" t="n">
        <f aca="false">LEN(E3311)-LEN(SUBSTITUTE(E3311,",",""))+1</f>
        <v>8</v>
      </c>
      <c r="K3311" s="3" t="str">
        <f aca="false">IFERROR(INDEX('Teacher Lookup'!$B$2:$B$200,MATCH(A3311,'Teacher Lookup'!$A$2:$A$200,0)),"")</f>
        <v>LAM Eunice</v>
      </c>
    </row>
    <row r="3312" customFormat="false" ht="15" hidden="false" customHeight="false" outlineLevel="0" collapsed="false">
      <c r="A3312" s="3" t="s">
        <v>389</v>
      </c>
      <c r="B3312" s="4" t="s">
        <v>66</v>
      </c>
      <c r="C3312" s="4" t="n">
        <v>6</v>
      </c>
      <c r="D3312" s="4" t="s">
        <v>24</v>
      </c>
      <c r="E3312" s="3" t="s">
        <v>385</v>
      </c>
      <c r="F3312" s="4" t="str">
        <f aca="false">IF(I3312&gt;J3312,"Y","N")</f>
        <v>N</v>
      </c>
      <c r="G3312" s="3" t="s">
        <v>378</v>
      </c>
      <c r="H3312" s="3" t="s">
        <v>42</v>
      </c>
      <c r="I3312" s="4" t="n">
        <v>8</v>
      </c>
      <c r="J3312" s="4" t="n">
        <f aca="false">LEN(E3312)-LEN(SUBSTITUTE(E3312,",",""))+1</f>
        <v>8</v>
      </c>
      <c r="K3312" s="3" t="str">
        <f aca="false">IFERROR(INDEX('Teacher Lookup'!$B$2:$B$200,MATCH(A3312,'Teacher Lookup'!$A$2:$A$200,0)),"")</f>
        <v>LAM Eunice</v>
      </c>
    </row>
    <row r="3313" customFormat="false" ht="15" hidden="false" customHeight="false" outlineLevel="0" collapsed="false">
      <c r="A3313" s="3" t="s">
        <v>389</v>
      </c>
      <c r="B3313" s="4" t="s">
        <v>66</v>
      </c>
      <c r="C3313" s="4" t="n">
        <v>6</v>
      </c>
      <c r="D3313" s="4" t="s">
        <v>27</v>
      </c>
      <c r="E3313" s="3" t="s">
        <v>385</v>
      </c>
      <c r="F3313" s="4" t="str">
        <f aca="false">IF(I3313&gt;J3313,"Y","N")</f>
        <v>N</v>
      </c>
      <c r="G3313" s="3" t="s">
        <v>378</v>
      </c>
      <c r="H3313" s="3" t="s">
        <v>42</v>
      </c>
      <c r="I3313" s="4" t="n">
        <v>8</v>
      </c>
      <c r="J3313" s="4" t="n">
        <f aca="false">LEN(E3313)-LEN(SUBSTITUTE(E3313,",",""))+1</f>
        <v>8</v>
      </c>
      <c r="K3313" s="3" t="str">
        <f aca="false">IFERROR(INDEX('Teacher Lookup'!$B$2:$B$200,MATCH(A3313,'Teacher Lookup'!$A$2:$A$200,0)),"")</f>
        <v>LAM Eunice</v>
      </c>
    </row>
    <row r="3314" customFormat="false" ht="15" hidden="false" customHeight="false" outlineLevel="0" collapsed="false">
      <c r="A3314" s="3" t="s">
        <v>389</v>
      </c>
      <c r="B3314" s="4" t="s">
        <v>66</v>
      </c>
      <c r="C3314" s="4" t="n">
        <v>6</v>
      </c>
      <c r="D3314" s="4" t="s">
        <v>28</v>
      </c>
      <c r="E3314" s="3" t="s">
        <v>385</v>
      </c>
      <c r="F3314" s="4" t="str">
        <f aca="false">IF(I3314&gt;J3314,"Y","N")</f>
        <v>N</v>
      </c>
      <c r="G3314" s="3" t="s">
        <v>378</v>
      </c>
      <c r="H3314" s="3" t="s">
        <v>42</v>
      </c>
      <c r="I3314" s="4" t="n">
        <v>8</v>
      </c>
      <c r="J3314" s="4" t="n">
        <f aca="false">LEN(E3314)-LEN(SUBSTITUTE(E3314,",",""))+1</f>
        <v>8</v>
      </c>
      <c r="K3314" s="3" t="str">
        <f aca="false">IFERROR(INDEX('Teacher Lookup'!$B$2:$B$200,MATCH(A3314,'Teacher Lookup'!$A$2:$A$200,0)),"")</f>
        <v>LAM Eunice</v>
      </c>
    </row>
    <row r="3315" customFormat="false" ht="15" hidden="false" customHeight="false" outlineLevel="0" collapsed="false">
      <c r="A3315" s="3" t="s">
        <v>389</v>
      </c>
      <c r="B3315" s="4" t="s">
        <v>66</v>
      </c>
      <c r="C3315" s="4" t="n">
        <v>6</v>
      </c>
      <c r="D3315" s="4" t="s">
        <v>29</v>
      </c>
      <c r="E3315" s="3" t="s">
        <v>385</v>
      </c>
      <c r="F3315" s="4" t="str">
        <f aca="false">IF(I3315&gt;J3315,"Y","N")</f>
        <v>N</v>
      </c>
      <c r="G3315" s="3" t="s">
        <v>378</v>
      </c>
      <c r="H3315" s="3" t="s">
        <v>42</v>
      </c>
      <c r="I3315" s="4" t="n">
        <v>8</v>
      </c>
      <c r="J3315" s="4" t="n">
        <f aca="false">LEN(E3315)-LEN(SUBSTITUTE(E3315,",",""))+1</f>
        <v>8</v>
      </c>
      <c r="K3315" s="3" t="str">
        <f aca="false">IFERROR(INDEX('Teacher Lookup'!$B$2:$B$200,MATCH(A3315,'Teacher Lookup'!$A$2:$A$200,0)),"")</f>
        <v>LAM Eunice</v>
      </c>
    </row>
    <row r="3316" customFormat="false" ht="15" hidden="false" customHeight="false" outlineLevel="0" collapsed="false">
      <c r="A3316" s="3" t="s">
        <v>389</v>
      </c>
      <c r="B3316" s="4" t="s">
        <v>66</v>
      </c>
      <c r="C3316" s="4" t="n">
        <v>6</v>
      </c>
      <c r="D3316" s="4" t="s">
        <v>30</v>
      </c>
      <c r="E3316" s="3" t="s">
        <v>385</v>
      </c>
      <c r="F3316" s="4" t="str">
        <f aca="false">IF(I3316&gt;J3316,"Y","N")</f>
        <v>N</v>
      </c>
      <c r="G3316" s="3" t="s">
        <v>378</v>
      </c>
      <c r="H3316" s="3" t="s">
        <v>42</v>
      </c>
      <c r="I3316" s="4" t="n">
        <v>8</v>
      </c>
      <c r="J3316" s="4" t="n">
        <f aca="false">LEN(E3316)-LEN(SUBSTITUTE(E3316,",",""))+1</f>
        <v>8</v>
      </c>
      <c r="K3316" s="3" t="str">
        <f aca="false">IFERROR(INDEX('Teacher Lookup'!$B$2:$B$200,MATCH(A3316,'Teacher Lookup'!$A$2:$A$200,0)),"")</f>
        <v>LAM Eunice</v>
      </c>
    </row>
    <row r="3317" customFormat="false" ht="15" hidden="false" customHeight="false" outlineLevel="0" collapsed="false">
      <c r="A3317" s="3" t="s">
        <v>391</v>
      </c>
      <c r="B3317" s="4" t="s">
        <v>12</v>
      </c>
      <c r="C3317" s="4" t="n">
        <v>1</v>
      </c>
      <c r="D3317" s="4" t="s">
        <v>52</v>
      </c>
      <c r="E3317" s="3" t="s">
        <v>301</v>
      </c>
      <c r="F3317" s="4" t="str">
        <f aca="false">IF(I3317&gt;J3317,"Y","N")</f>
        <v>N</v>
      </c>
      <c r="G3317" s="3" t="s">
        <v>15</v>
      </c>
      <c r="H3317" s="3" t="s">
        <v>16</v>
      </c>
      <c r="I3317" s="4" t="n">
        <v>7</v>
      </c>
      <c r="J3317" s="4" t="n">
        <f aca="false">LEN(E3317)-LEN(SUBSTITUTE(E3317,",",""))+1</f>
        <v>7</v>
      </c>
      <c r="K3317" s="3" t="str">
        <f aca="false">IFERROR(INDEX('Teacher Lookup'!$B$2:$B$200,MATCH(A3317,'Teacher Lookup'!$A$2:$A$200,0)),"")</f>
        <v>LI Eunice</v>
      </c>
    </row>
    <row r="3318" customFormat="false" ht="15" hidden="false" customHeight="false" outlineLevel="0" collapsed="false">
      <c r="A3318" s="3" t="s">
        <v>391</v>
      </c>
      <c r="B3318" s="4" t="s">
        <v>12</v>
      </c>
      <c r="C3318" s="4" t="n">
        <v>1</v>
      </c>
      <c r="D3318" s="4" t="s">
        <v>55</v>
      </c>
      <c r="E3318" s="3" t="s">
        <v>301</v>
      </c>
      <c r="F3318" s="4" t="str">
        <f aca="false">IF(I3318&gt;J3318,"Y","N")</f>
        <v>N</v>
      </c>
      <c r="G3318" s="3" t="s">
        <v>15</v>
      </c>
      <c r="H3318" s="3" t="s">
        <v>16</v>
      </c>
      <c r="I3318" s="4" t="n">
        <v>7</v>
      </c>
      <c r="J3318" s="4" t="n">
        <f aca="false">LEN(E3318)-LEN(SUBSTITUTE(E3318,",",""))+1</f>
        <v>7</v>
      </c>
      <c r="K3318" s="3" t="str">
        <f aca="false">IFERROR(INDEX('Teacher Lookup'!$B$2:$B$200,MATCH(A3318,'Teacher Lookup'!$A$2:$A$200,0)),"")</f>
        <v>LI Eunice</v>
      </c>
    </row>
    <row r="3319" customFormat="false" ht="15" hidden="false" customHeight="false" outlineLevel="0" collapsed="false">
      <c r="A3319" s="3" t="s">
        <v>391</v>
      </c>
      <c r="B3319" s="4" t="s">
        <v>12</v>
      </c>
      <c r="C3319" s="4" t="n">
        <v>1</v>
      </c>
      <c r="D3319" s="4" t="s">
        <v>56</v>
      </c>
      <c r="E3319" s="3" t="s">
        <v>301</v>
      </c>
      <c r="F3319" s="4" t="str">
        <f aca="false">IF(I3319&gt;J3319,"Y","N")</f>
        <v>N</v>
      </c>
      <c r="G3319" s="3" t="s">
        <v>15</v>
      </c>
      <c r="H3319" s="3" t="s">
        <v>16</v>
      </c>
      <c r="I3319" s="4" t="n">
        <v>7</v>
      </c>
      <c r="J3319" s="4" t="n">
        <f aca="false">LEN(E3319)-LEN(SUBSTITUTE(E3319,",",""))+1</f>
        <v>7</v>
      </c>
      <c r="K3319" s="3" t="str">
        <f aca="false">IFERROR(INDEX('Teacher Lookup'!$B$2:$B$200,MATCH(A3319,'Teacher Lookup'!$A$2:$A$200,0)),"")</f>
        <v>LI Eunice</v>
      </c>
    </row>
    <row r="3320" customFormat="false" ht="15" hidden="false" customHeight="false" outlineLevel="0" collapsed="false">
      <c r="A3320" s="3" t="s">
        <v>391</v>
      </c>
      <c r="B3320" s="4" t="s">
        <v>12</v>
      </c>
      <c r="C3320" s="4" t="n">
        <v>1</v>
      </c>
      <c r="D3320" s="4" t="s">
        <v>57</v>
      </c>
      <c r="E3320" s="3" t="s">
        <v>301</v>
      </c>
      <c r="F3320" s="4" t="str">
        <f aca="false">IF(I3320&gt;J3320,"Y","N")</f>
        <v>N</v>
      </c>
      <c r="G3320" s="3" t="s">
        <v>15</v>
      </c>
      <c r="H3320" s="3" t="s">
        <v>16</v>
      </c>
      <c r="I3320" s="4" t="n">
        <v>7</v>
      </c>
      <c r="J3320" s="4" t="n">
        <f aca="false">LEN(E3320)-LEN(SUBSTITUTE(E3320,",",""))+1</f>
        <v>7</v>
      </c>
      <c r="K3320" s="3" t="str">
        <f aca="false">IFERROR(INDEX('Teacher Lookup'!$B$2:$B$200,MATCH(A3320,'Teacher Lookup'!$A$2:$A$200,0)),"")</f>
        <v>LI Eunice</v>
      </c>
    </row>
    <row r="3321" customFormat="false" ht="15" hidden="false" customHeight="false" outlineLevel="0" collapsed="false">
      <c r="A3321" s="3" t="s">
        <v>391</v>
      </c>
      <c r="B3321" s="4" t="s">
        <v>12</v>
      </c>
      <c r="C3321" s="4" t="n">
        <v>1</v>
      </c>
      <c r="D3321" s="4" t="s">
        <v>58</v>
      </c>
      <c r="E3321" s="3" t="s">
        <v>301</v>
      </c>
      <c r="F3321" s="4" t="str">
        <f aca="false">IF(I3321&gt;J3321,"Y","N")</f>
        <v>N</v>
      </c>
      <c r="G3321" s="3" t="s">
        <v>15</v>
      </c>
      <c r="H3321" s="3" t="s">
        <v>16</v>
      </c>
      <c r="I3321" s="4" t="n">
        <v>7</v>
      </c>
      <c r="J3321" s="4" t="n">
        <f aca="false">LEN(E3321)-LEN(SUBSTITUTE(E3321,",",""))+1</f>
        <v>7</v>
      </c>
      <c r="K3321" s="3" t="str">
        <f aca="false">IFERROR(INDEX('Teacher Lookup'!$B$2:$B$200,MATCH(A3321,'Teacher Lookup'!$A$2:$A$200,0)),"")</f>
        <v>LI Eunice</v>
      </c>
    </row>
    <row r="3322" customFormat="false" ht="15" hidden="false" customHeight="false" outlineLevel="0" collapsed="false">
      <c r="A3322" s="3" t="s">
        <v>391</v>
      </c>
      <c r="B3322" s="4" t="s">
        <v>12</v>
      </c>
      <c r="C3322" s="4" t="n">
        <v>1</v>
      </c>
      <c r="D3322" s="4" t="s">
        <v>59</v>
      </c>
      <c r="E3322" s="3" t="s">
        <v>301</v>
      </c>
      <c r="F3322" s="4" t="str">
        <f aca="false">IF(I3322&gt;J3322,"Y","N")</f>
        <v>N</v>
      </c>
      <c r="G3322" s="3" t="s">
        <v>15</v>
      </c>
      <c r="H3322" s="3" t="s">
        <v>16</v>
      </c>
      <c r="I3322" s="4" t="n">
        <v>7</v>
      </c>
      <c r="J3322" s="4" t="n">
        <f aca="false">LEN(E3322)-LEN(SUBSTITUTE(E3322,",",""))+1</f>
        <v>7</v>
      </c>
      <c r="K3322" s="3" t="str">
        <f aca="false">IFERROR(INDEX('Teacher Lookup'!$B$2:$B$200,MATCH(A3322,'Teacher Lookup'!$A$2:$A$200,0)),"")</f>
        <v>LI Eunice</v>
      </c>
    </row>
    <row r="3323" customFormat="false" ht="15" hidden="false" customHeight="false" outlineLevel="0" collapsed="false">
      <c r="A3323" s="3" t="s">
        <v>391</v>
      </c>
      <c r="B3323" s="4" t="s">
        <v>12</v>
      </c>
      <c r="C3323" s="4" t="n">
        <v>3</v>
      </c>
      <c r="D3323" s="4" t="s">
        <v>24</v>
      </c>
      <c r="E3323" s="3" t="s">
        <v>25</v>
      </c>
      <c r="F3323" s="4" t="str">
        <f aca="false">IF(I3323&gt;J3323,"Y","N")</f>
        <v>N</v>
      </c>
      <c r="G3323" s="3" t="s">
        <v>15</v>
      </c>
      <c r="H3323" s="3" t="s">
        <v>26</v>
      </c>
      <c r="I3323" s="4" t="n">
        <v>6</v>
      </c>
      <c r="J3323" s="4" t="n">
        <f aca="false">LEN(E3323)-LEN(SUBSTITUTE(E3323,",",""))+1</f>
        <v>6</v>
      </c>
      <c r="K3323" s="3" t="str">
        <f aca="false">IFERROR(INDEX('Teacher Lookup'!$B$2:$B$200,MATCH(A3323,'Teacher Lookup'!$A$2:$A$200,0)),"")</f>
        <v>LI Eunice</v>
      </c>
    </row>
    <row r="3324" customFormat="false" ht="15" hidden="false" customHeight="false" outlineLevel="0" collapsed="false">
      <c r="A3324" s="3" t="s">
        <v>391</v>
      </c>
      <c r="B3324" s="4" t="s">
        <v>12</v>
      </c>
      <c r="C3324" s="4" t="n">
        <v>3</v>
      </c>
      <c r="D3324" s="4" t="s">
        <v>27</v>
      </c>
      <c r="E3324" s="3" t="s">
        <v>25</v>
      </c>
      <c r="F3324" s="4" t="str">
        <f aca="false">IF(I3324&gt;J3324,"Y","N")</f>
        <v>N</v>
      </c>
      <c r="G3324" s="3" t="s">
        <v>15</v>
      </c>
      <c r="H3324" s="3" t="s">
        <v>26</v>
      </c>
      <c r="I3324" s="4" t="n">
        <v>6</v>
      </c>
      <c r="J3324" s="4" t="n">
        <f aca="false">LEN(E3324)-LEN(SUBSTITUTE(E3324,",",""))+1</f>
        <v>6</v>
      </c>
      <c r="K3324" s="3" t="str">
        <f aca="false">IFERROR(INDEX('Teacher Lookup'!$B$2:$B$200,MATCH(A3324,'Teacher Lookup'!$A$2:$A$200,0)),"")</f>
        <v>LI Eunice</v>
      </c>
    </row>
    <row r="3325" customFormat="false" ht="15" hidden="false" customHeight="false" outlineLevel="0" collapsed="false">
      <c r="A3325" s="3" t="s">
        <v>391</v>
      </c>
      <c r="B3325" s="4" t="s">
        <v>12</v>
      </c>
      <c r="C3325" s="4" t="n">
        <v>3</v>
      </c>
      <c r="D3325" s="4" t="s">
        <v>28</v>
      </c>
      <c r="E3325" s="3" t="s">
        <v>25</v>
      </c>
      <c r="F3325" s="4" t="str">
        <f aca="false">IF(I3325&gt;J3325,"Y","N")</f>
        <v>N</v>
      </c>
      <c r="G3325" s="3" t="s">
        <v>15</v>
      </c>
      <c r="H3325" s="3" t="s">
        <v>26</v>
      </c>
      <c r="I3325" s="4" t="n">
        <v>6</v>
      </c>
      <c r="J3325" s="4" t="n">
        <f aca="false">LEN(E3325)-LEN(SUBSTITUTE(E3325,",",""))+1</f>
        <v>6</v>
      </c>
      <c r="K3325" s="3" t="str">
        <f aca="false">IFERROR(INDEX('Teacher Lookup'!$B$2:$B$200,MATCH(A3325,'Teacher Lookup'!$A$2:$A$200,0)),"")</f>
        <v>LI Eunice</v>
      </c>
    </row>
    <row r="3326" customFormat="false" ht="15" hidden="false" customHeight="false" outlineLevel="0" collapsed="false">
      <c r="A3326" s="3" t="s">
        <v>391</v>
      </c>
      <c r="B3326" s="4" t="s">
        <v>12</v>
      </c>
      <c r="C3326" s="4" t="n">
        <v>3</v>
      </c>
      <c r="D3326" s="4" t="s">
        <v>29</v>
      </c>
      <c r="E3326" s="3" t="s">
        <v>25</v>
      </c>
      <c r="F3326" s="4" t="str">
        <f aca="false">IF(I3326&gt;J3326,"Y","N")</f>
        <v>N</v>
      </c>
      <c r="G3326" s="3" t="s">
        <v>15</v>
      </c>
      <c r="H3326" s="3" t="s">
        <v>26</v>
      </c>
      <c r="I3326" s="4" t="n">
        <v>6</v>
      </c>
      <c r="J3326" s="4" t="n">
        <f aca="false">LEN(E3326)-LEN(SUBSTITUTE(E3326,",",""))+1</f>
        <v>6</v>
      </c>
      <c r="K3326" s="3" t="str">
        <f aca="false">IFERROR(INDEX('Teacher Lookup'!$B$2:$B$200,MATCH(A3326,'Teacher Lookup'!$A$2:$A$200,0)),"")</f>
        <v>LI Eunice</v>
      </c>
    </row>
    <row r="3327" customFormat="false" ht="15" hidden="false" customHeight="false" outlineLevel="0" collapsed="false">
      <c r="A3327" s="3" t="s">
        <v>391</v>
      </c>
      <c r="B3327" s="4" t="s">
        <v>12</v>
      </c>
      <c r="C3327" s="4" t="n">
        <v>3</v>
      </c>
      <c r="D3327" s="4" t="s">
        <v>30</v>
      </c>
      <c r="E3327" s="3" t="s">
        <v>25</v>
      </c>
      <c r="F3327" s="4" t="str">
        <f aca="false">IF(I3327&gt;J3327,"Y","N")</f>
        <v>N</v>
      </c>
      <c r="G3327" s="3" t="s">
        <v>15</v>
      </c>
      <c r="H3327" s="3" t="s">
        <v>26</v>
      </c>
      <c r="I3327" s="4" t="n">
        <v>6</v>
      </c>
      <c r="J3327" s="4" t="n">
        <f aca="false">LEN(E3327)-LEN(SUBSTITUTE(E3327,",",""))+1</f>
        <v>6</v>
      </c>
      <c r="K3327" s="3" t="str">
        <f aca="false">IFERROR(INDEX('Teacher Lookup'!$B$2:$B$200,MATCH(A3327,'Teacher Lookup'!$A$2:$A$200,0)),"")</f>
        <v>LI Eunice</v>
      </c>
    </row>
    <row r="3328" customFormat="false" ht="15" hidden="false" customHeight="false" outlineLevel="0" collapsed="false">
      <c r="A3328" s="3" t="s">
        <v>391</v>
      </c>
      <c r="B3328" s="4" t="s">
        <v>12</v>
      </c>
      <c r="C3328" s="4" t="n">
        <v>4</v>
      </c>
      <c r="D3328" s="4" t="s">
        <v>19</v>
      </c>
      <c r="E3328" s="3" t="s">
        <v>390</v>
      </c>
      <c r="F3328" s="4" t="str">
        <f aca="false">IF(I3328&gt;J3328,"Y","N")</f>
        <v>Y</v>
      </c>
      <c r="G3328" s="3" t="s">
        <v>222</v>
      </c>
      <c r="H3328" s="3" t="s">
        <v>34</v>
      </c>
      <c r="I3328" s="4" t="n">
        <v>14</v>
      </c>
      <c r="J3328" s="4" t="n">
        <f aca="false">LEN(E3328)-LEN(SUBSTITUTE(E3328,",",""))+1</f>
        <v>7</v>
      </c>
      <c r="K3328" s="3" t="str">
        <f aca="false">IFERROR(INDEX('Teacher Lookup'!$B$2:$B$200,MATCH(A3328,'Teacher Lookup'!$A$2:$A$200,0)),"")</f>
        <v>LI Eunice</v>
      </c>
    </row>
    <row r="3329" customFormat="false" ht="15" hidden="false" customHeight="false" outlineLevel="0" collapsed="false">
      <c r="A3329" s="3" t="s">
        <v>391</v>
      </c>
      <c r="B3329" s="4" t="s">
        <v>12</v>
      </c>
      <c r="C3329" s="4" t="n">
        <v>4</v>
      </c>
      <c r="D3329" s="4" t="s">
        <v>22</v>
      </c>
      <c r="E3329" s="3" t="s">
        <v>390</v>
      </c>
      <c r="F3329" s="4" t="str">
        <f aca="false">IF(I3329&gt;J3329,"Y","N")</f>
        <v>Y</v>
      </c>
      <c r="G3329" s="3" t="s">
        <v>222</v>
      </c>
      <c r="H3329" s="3" t="s">
        <v>34</v>
      </c>
      <c r="I3329" s="4" t="n">
        <v>14</v>
      </c>
      <c r="J3329" s="4" t="n">
        <f aca="false">LEN(E3329)-LEN(SUBSTITUTE(E3329,",",""))+1</f>
        <v>7</v>
      </c>
      <c r="K3329" s="3" t="str">
        <f aca="false">IFERROR(INDEX('Teacher Lookup'!$B$2:$B$200,MATCH(A3329,'Teacher Lookup'!$A$2:$A$200,0)),"")</f>
        <v>LI Eunice</v>
      </c>
    </row>
    <row r="3330" customFormat="false" ht="15" hidden="false" customHeight="false" outlineLevel="0" collapsed="false">
      <c r="A3330" s="3" t="s">
        <v>391</v>
      </c>
      <c r="B3330" s="4" t="s">
        <v>12</v>
      </c>
      <c r="C3330" s="4" t="n">
        <v>4</v>
      </c>
      <c r="D3330" s="4" t="s">
        <v>23</v>
      </c>
      <c r="E3330" s="3" t="s">
        <v>390</v>
      </c>
      <c r="F3330" s="4" t="str">
        <f aca="false">IF(I3330&gt;J3330,"Y","N")</f>
        <v>Y</v>
      </c>
      <c r="G3330" s="3" t="s">
        <v>222</v>
      </c>
      <c r="H3330" s="3" t="s">
        <v>34</v>
      </c>
      <c r="I3330" s="4" t="n">
        <v>14</v>
      </c>
      <c r="J3330" s="4" t="n">
        <f aca="false">LEN(E3330)-LEN(SUBSTITUTE(E3330,",",""))+1</f>
        <v>7</v>
      </c>
      <c r="K3330" s="3" t="str">
        <f aca="false">IFERROR(INDEX('Teacher Lookup'!$B$2:$B$200,MATCH(A3330,'Teacher Lookup'!$A$2:$A$200,0)),"")</f>
        <v>LI Eunice</v>
      </c>
    </row>
    <row r="3331" customFormat="false" ht="15" hidden="false" customHeight="false" outlineLevel="0" collapsed="false">
      <c r="A3331" s="3" t="s">
        <v>391</v>
      </c>
      <c r="B3331" s="4" t="s">
        <v>12</v>
      </c>
      <c r="C3331" s="4" t="n">
        <v>4</v>
      </c>
      <c r="D3331" s="4" t="s">
        <v>13</v>
      </c>
      <c r="E3331" s="3" t="s">
        <v>390</v>
      </c>
      <c r="F3331" s="4" t="str">
        <f aca="false">IF(I3331&gt;J3331,"Y","N")</f>
        <v>Y</v>
      </c>
      <c r="G3331" s="3" t="s">
        <v>222</v>
      </c>
      <c r="H3331" s="3" t="s">
        <v>34</v>
      </c>
      <c r="I3331" s="4" t="n">
        <v>14</v>
      </c>
      <c r="J3331" s="4" t="n">
        <f aca="false">LEN(E3331)-LEN(SUBSTITUTE(E3331,",",""))+1</f>
        <v>7</v>
      </c>
      <c r="K3331" s="3" t="str">
        <f aca="false">IFERROR(INDEX('Teacher Lookup'!$B$2:$B$200,MATCH(A3331,'Teacher Lookup'!$A$2:$A$200,0)),"")</f>
        <v>LI Eunice</v>
      </c>
    </row>
    <row r="3332" customFormat="false" ht="15" hidden="false" customHeight="false" outlineLevel="0" collapsed="false">
      <c r="A3332" s="3" t="s">
        <v>391</v>
      </c>
      <c r="B3332" s="4" t="s">
        <v>12</v>
      </c>
      <c r="C3332" s="4" t="n">
        <v>4</v>
      </c>
      <c r="D3332" s="4" t="s">
        <v>17</v>
      </c>
      <c r="E3332" s="3" t="s">
        <v>390</v>
      </c>
      <c r="F3332" s="4" t="str">
        <f aca="false">IF(I3332&gt;J3332,"Y","N")</f>
        <v>Y</v>
      </c>
      <c r="G3332" s="3" t="s">
        <v>222</v>
      </c>
      <c r="H3332" s="3" t="s">
        <v>34</v>
      </c>
      <c r="I3332" s="4" t="n">
        <v>14</v>
      </c>
      <c r="J3332" s="4" t="n">
        <f aca="false">LEN(E3332)-LEN(SUBSTITUTE(E3332,",",""))+1</f>
        <v>7</v>
      </c>
      <c r="K3332" s="3" t="str">
        <f aca="false">IFERROR(INDEX('Teacher Lookup'!$B$2:$B$200,MATCH(A3332,'Teacher Lookup'!$A$2:$A$200,0)),"")</f>
        <v>LI Eunice</v>
      </c>
    </row>
    <row r="3333" customFormat="false" ht="15" hidden="false" customHeight="false" outlineLevel="0" collapsed="false">
      <c r="A3333" s="3" t="s">
        <v>391</v>
      </c>
      <c r="B3333" s="4" t="s">
        <v>12</v>
      </c>
      <c r="C3333" s="4" t="n">
        <v>4</v>
      </c>
      <c r="D3333" s="4" t="s">
        <v>18</v>
      </c>
      <c r="E3333" s="3" t="s">
        <v>390</v>
      </c>
      <c r="F3333" s="4" t="str">
        <f aca="false">IF(I3333&gt;J3333,"Y","N")</f>
        <v>Y</v>
      </c>
      <c r="G3333" s="3" t="s">
        <v>222</v>
      </c>
      <c r="H3333" s="3" t="s">
        <v>34</v>
      </c>
      <c r="I3333" s="4" t="n">
        <v>14</v>
      </c>
      <c r="J3333" s="4" t="n">
        <f aca="false">LEN(E3333)-LEN(SUBSTITUTE(E3333,",",""))+1</f>
        <v>7</v>
      </c>
      <c r="K3333" s="3" t="str">
        <f aca="false">IFERROR(INDEX('Teacher Lookup'!$B$2:$B$200,MATCH(A3333,'Teacher Lookup'!$A$2:$A$200,0)),"")</f>
        <v>LI Eunice</v>
      </c>
    </row>
    <row r="3334" customFormat="false" ht="15" hidden="false" customHeight="false" outlineLevel="0" collapsed="false">
      <c r="A3334" s="3" t="s">
        <v>391</v>
      </c>
      <c r="B3334" s="4" t="s">
        <v>12</v>
      </c>
      <c r="C3334" s="4" t="n">
        <v>5</v>
      </c>
      <c r="D3334" s="4" t="s">
        <v>19</v>
      </c>
      <c r="E3334" s="3" t="s">
        <v>390</v>
      </c>
      <c r="F3334" s="4" t="str">
        <f aca="false">IF(I3334&gt;J3334,"Y","N")</f>
        <v>Y</v>
      </c>
      <c r="G3334" s="3" t="s">
        <v>222</v>
      </c>
      <c r="H3334" s="3" t="s">
        <v>37</v>
      </c>
      <c r="I3334" s="4" t="n">
        <v>14</v>
      </c>
      <c r="J3334" s="4" t="n">
        <f aca="false">LEN(E3334)-LEN(SUBSTITUTE(E3334,",",""))+1</f>
        <v>7</v>
      </c>
      <c r="K3334" s="3" t="str">
        <f aca="false">IFERROR(INDEX('Teacher Lookup'!$B$2:$B$200,MATCH(A3334,'Teacher Lookup'!$A$2:$A$200,0)),"")</f>
        <v>LI Eunice</v>
      </c>
    </row>
    <row r="3335" customFormat="false" ht="15" hidden="false" customHeight="false" outlineLevel="0" collapsed="false">
      <c r="A3335" s="3" t="s">
        <v>391</v>
      </c>
      <c r="B3335" s="4" t="s">
        <v>12</v>
      </c>
      <c r="C3335" s="4" t="n">
        <v>5</v>
      </c>
      <c r="D3335" s="4" t="s">
        <v>22</v>
      </c>
      <c r="E3335" s="3" t="s">
        <v>390</v>
      </c>
      <c r="F3335" s="4" t="str">
        <f aca="false">IF(I3335&gt;J3335,"Y","N")</f>
        <v>Y</v>
      </c>
      <c r="G3335" s="3" t="s">
        <v>222</v>
      </c>
      <c r="H3335" s="3" t="s">
        <v>37</v>
      </c>
      <c r="I3335" s="4" t="n">
        <v>14</v>
      </c>
      <c r="J3335" s="4" t="n">
        <f aca="false">LEN(E3335)-LEN(SUBSTITUTE(E3335,",",""))+1</f>
        <v>7</v>
      </c>
      <c r="K3335" s="3" t="str">
        <f aca="false">IFERROR(INDEX('Teacher Lookup'!$B$2:$B$200,MATCH(A3335,'Teacher Lookup'!$A$2:$A$200,0)),"")</f>
        <v>LI Eunice</v>
      </c>
    </row>
    <row r="3336" customFormat="false" ht="15" hidden="false" customHeight="false" outlineLevel="0" collapsed="false">
      <c r="A3336" s="3" t="s">
        <v>391</v>
      </c>
      <c r="B3336" s="4" t="s">
        <v>12</v>
      </c>
      <c r="C3336" s="4" t="n">
        <v>5</v>
      </c>
      <c r="D3336" s="4" t="s">
        <v>23</v>
      </c>
      <c r="E3336" s="3" t="s">
        <v>390</v>
      </c>
      <c r="F3336" s="4" t="str">
        <f aca="false">IF(I3336&gt;J3336,"Y","N")</f>
        <v>Y</v>
      </c>
      <c r="G3336" s="3" t="s">
        <v>222</v>
      </c>
      <c r="H3336" s="3" t="s">
        <v>37</v>
      </c>
      <c r="I3336" s="4" t="n">
        <v>14</v>
      </c>
      <c r="J3336" s="4" t="n">
        <f aca="false">LEN(E3336)-LEN(SUBSTITUTE(E3336,",",""))+1</f>
        <v>7</v>
      </c>
      <c r="K3336" s="3" t="str">
        <f aca="false">IFERROR(INDEX('Teacher Lookup'!$B$2:$B$200,MATCH(A3336,'Teacher Lookup'!$A$2:$A$200,0)),"")</f>
        <v>LI Eunice</v>
      </c>
    </row>
    <row r="3337" customFormat="false" ht="15" hidden="false" customHeight="false" outlineLevel="0" collapsed="false">
      <c r="A3337" s="3" t="s">
        <v>391</v>
      </c>
      <c r="B3337" s="4" t="s">
        <v>12</v>
      </c>
      <c r="C3337" s="4" t="n">
        <v>5</v>
      </c>
      <c r="D3337" s="4" t="s">
        <v>13</v>
      </c>
      <c r="E3337" s="3" t="s">
        <v>390</v>
      </c>
      <c r="F3337" s="4" t="str">
        <f aca="false">IF(I3337&gt;J3337,"Y","N")</f>
        <v>Y</v>
      </c>
      <c r="G3337" s="3" t="s">
        <v>222</v>
      </c>
      <c r="H3337" s="3" t="s">
        <v>37</v>
      </c>
      <c r="I3337" s="4" t="n">
        <v>14</v>
      </c>
      <c r="J3337" s="4" t="n">
        <f aca="false">LEN(E3337)-LEN(SUBSTITUTE(E3337,",",""))+1</f>
        <v>7</v>
      </c>
      <c r="K3337" s="3" t="str">
        <f aca="false">IFERROR(INDEX('Teacher Lookup'!$B$2:$B$200,MATCH(A3337,'Teacher Lookup'!$A$2:$A$200,0)),"")</f>
        <v>LI Eunice</v>
      </c>
    </row>
    <row r="3338" customFormat="false" ht="15" hidden="false" customHeight="false" outlineLevel="0" collapsed="false">
      <c r="A3338" s="3" t="s">
        <v>391</v>
      </c>
      <c r="B3338" s="4" t="s">
        <v>12</v>
      </c>
      <c r="C3338" s="4" t="n">
        <v>5</v>
      </c>
      <c r="D3338" s="4" t="s">
        <v>17</v>
      </c>
      <c r="E3338" s="3" t="s">
        <v>390</v>
      </c>
      <c r="F3338" s="4" t="str">
        <f aca="false">IF(I3338&gt;J3338,"Y","N")</f>
        <v>Y</v>
      </c>
      <c r="G3338" s="3" t="s">
        <v>222</v>
      </c>
      <c r="H3338" s="3" t="s">
        <v>37</v>
      </c>
      <c r="I3338" s="4" t="n">
        <v>14</v>
      </c>
      <c r="J3338" s="4" t="n">
        <f aca="false">LEN(E3338)-LEN(SUBSTITUTE(E3338,",",""))+1</f>
        <v>7</v>
      </c>
      <c r="K3338" s="3" t="str">
        <f aca="false">IFERROR(INDEX('Teacher Lookup'!$B$2:$B$200,MATCH(A3338,'Teacher Lookup'!$A$2:$A$200,0)),"")</f>
        <v>LI Eunice</v>
      </c>
    </row>
    <row r="3339" customFormat="false" ht="15" hidden="false" customHeight="false" outlineLevel="0" collapsed="false">
      <c r="A3339" s="3" t="s">
        <v>391</v>
      </c>
      <c r="B3339" s="4" t="s">
        <v>12</v>
      </c>
      <c r="C3339" s="4" t="n">
        <v>5</v>
      </c>
      <c r="D3339" s="4" t="s">
        <v>18</v>
      </c>
      <c r="E3339" s="3" t="s">
        <v>390</v>
      </c>
      <c r="F3339" s="4" t="str">
        <f aca="false">IF(I3339&gt;J3339,"Y","N")</f>
        <v>Y</v>
      </c>
      <c r="G3339" s="3" t="s">
        <v>222</v>
      </c>
      <c r="H3339" s="3" t="s">
        <v>37</v>
      </c>
      <c r="I3339" s="4" t="n">
        <v>14</v>
      </c>
      <c r="J3339" s="4" t="n">
        <f aca="false">LEN(E3339)-LEN(SUBSTITUTE(E3339,",",""))+1</f>
        <v>7</v>
      </c>
      <c r="K3339" s="3" t="str">
        <f aca="false">IFERROR(INDEX('Teacher Lookup'!$B$2:$B$200,MATCH(A3339,'Teacher Lookup'!$A$2:$A$200,0)),"")</f>
        <v>LI Eunice</v>
      </c>
    </row>
    <row r="3340" customFormat="false" ht="15" hidden="false" customHeight="false" outlineLevel="0" collapsed="false">
      <c r="A3340" s="3" t="s">
        <v>391</v>
      </c>
      <c r="B3340" s="4" t="s">
        <v>31</v>
      </c>
      <c r="C3340" s="4" t="n">
        <v>2</v>
      </c>
      <c r="D3340" s="4" t="s">
        <v>52</v>
      </c>
      <c r="E3340" s="3" t="s">
        <v>303</v>
      </c>
      <c r="F3340" s="4" t="str">
        <f aca="false">IF(I3340&gt;J3340,"Y","N")</f>
        <v>N</v>
      </c>
      <c r="G3340" s="3" t="s">
        <v>15</v>
      </c>
      <c r="H3340" s="3" t="s">
        <v>21</v>
      </c>
      <c r="I3340" s="4" t="n">
        <v>7</v>
      </c>
      <c r="J3340" s="4" t="n">
        <f aca="false">LEN(E3340)-LEN(SUBSTITUTE(E3340,",",""))+1</f>
        <v>7</v>
      </c>
      <c r="K3340" s="3" t="str">
        <f aca="false">IFERROR(INDEX('Teacher Lookup'!$B$2:$B$200,MATCH(A3340,'Teacher Lookup'!$A$2:$A$200,0)),"")</f>
        <v>LI Eunice</v>
      </c>
    </row>
    <row r="3341" customFormat="false" ht="15" hidden="false" customHeight="false" outlineLevel="0" collapsed="false">
      <c r="A3341" s="3" t="s">
        <v>391</v>
      </c>
      <c r="B3341" s="4" t="s">
        <v>31</v>
      </c>
      <c r="C3341" s="4" t="n">
        <v>2</v>
      </c>
      <c r="D3341" s="4" t="s">
        <v>55</v>
      </c>
      <c r="E3341" s="3" t="s">
        <v>303</v>
      </c>
      <c r="F3341" s="4" t="str">
        <f aca="false">IF(I3341&gt;J3341,"Y","N")</f>
        <v>N</v>
      </c>
      <c r="G3341" s="3" t="s">
        <v>15</v>
      </c>
      <c r="H3341" s="3" t="s">
        <v>21</v>
      </c>
      <c r="I3341" s="4" t="n">
        <v>7</v>
      </c>
      <c r="J3341" s="4" t="n">
        <f aca="false">LEN(E3341)-LEN(SUBSTITUTE(E3341,",",""))+1</f>
        <v>7</v>
      </c>
      <c r="K3341" s="3" t="str">
        <f aca="false">IFERROR(INDEX('Teacher Lookup'!$B$2:$B$200,MATCH(A3341,'Teacher Lookup'!$A$2:$A$200,0)),"")</f>
        <v>LI Eunice</v>
      </c>
    </row>
    <row r="3342" customFormat="false" ht="15" hidden="false" customHeight="false" outlineLevel="0" collapsed="false">
      <c r="A3342" s="3" t="s">
        <v>391</v>
      </c>
      <c r="B3342" s="4" t="s">
        <v>31</v>
      </c>
      <c r="C3342" s="4" t="n">
        <v>2</v>
      </c>
      <c r="D3342" s="4" t="s">
        <v>56</v>
      </c>
      <c r="E3342" s="3" t="s">
        <v>303</v>
      </c>
      <c r="F3342" s="4" t="str">
        <f aca="false">IF(I3342&gt;J3342,"Y","N")</f>
        <v>N</v>
      </c>
      <c r="G3342" s="3" t="s">
        <v>15</v>
      </c>
      <c r="H3342" s="3" t="s">
        <v>21</v>
      </c>
      <c r="I3342" s="4" t="n">
        <v>7</v>
      </c>
      <c r="J3342" s="4" t="n">
        <f aca="false">LEN(E3342)-LEN(SUBSTITUTE(E3342,",",""))+1</f>
        <v>7</v>
      </c>
      <c r="K3342" s="3" t="str">
        <f aca="false">IFERROR(INDEX('Teacher Lookup'!$B$2:$B$200,MATCH(A3342,'Teacher Lookup'!$A$2:$A$200,0)),"")</f>
        <v>LI Eunice</v>
      </c>
    </row>
    <row r="3343" customFormat="false" ht="15" hidden="false" customHeight="false" outlineLevel="0" collapsed="false">
      <c r="A3343" s="3" t="s">
        <v>391</v>
      </c>
      <c r="B3343" s="4" t="s">
        <v>31</v>
      </c>
      <c r="C3343" s="4" t="n">
        <v>2</v>
      </c>
      <c r="D3343" s="4" t="s">
        <v>57</v>
      </c>
      <c r="E3343" s="3" t="s">
        <v>303</v>
      </c>
      <c r="F3343" s="4" t="str">
        <f aca="false">IF(I3343&gt;J3343,"Y","N")</f>
        <v>N</v>
      </c>
      <c r="G3343" s="3" t="s">
        <v>15</v>
      </c>
      <c r="H3343" s="3" t="s">
        <v>21</v>
      </c>
      <c r="I3343" s="4" t="n">
        <v>7</v>
      </c>
      <c r="J3343" s="4" t="n">
        <f aca="false">LEN(E3343)-LEN(SUBSTITUTE(E3343,",",""))+1</f>
        <v>7</v>
      </c>
      <c r="K3343" s="3" t="str">
        <f aca="false">IFERROR(INDEX('Teacher Lookup'!$B$2:$B$200,MATCH(A3343,'Teacher Lookup'!$A$2:$A$200,0)),"")</f>
        <v>LI Eunice</v>
      </c>
    </row>
    <row r="3344" customFormat="false" ht="15" hidden="false" customHeight="false" outlineLevel="0" collapsed="false">
      <c r="A3344" s="3" t="s">
        <v>391</v>
      </c>
      <c r="B3344" s="4" t="s">
        <v>31</v>
      </c>
      <c r="C3344" s="4" t="n">
        <v>2</v>
      </c>
      <c r="D3344" s="4" t="s">
        <v>58</v>
      </c>
      <c r="E3344" s="3" t="s">
        <v>303</v>
      </c>
      <c r="F3344" s="4" t="str">
        <f aca="false">IF(I3344&gt;J3344,"Y","N")</f>
        <v>N</v>
      </c>
      <c r="G3344" s="3" t="s">
        <v>15</v>
      </c>
      <c r="H3344" s="3" t="s">
        <v>21</v>
      </c>
      <c r="I3344" s="4" t="n">
        <v>7</v>
      </c>
      <c r="J3344" s="4" t="n">
        <f aca="false">LEN(E3344)-LEN(SUBSTITUTE(E3344,",",""))+1</f>
        <v>7</v>
      </c>
      <c r="K3344" s="3" t="str">
        <f aca="false">IFERROR(INDEX('Teacher Lookup'!$B$2:$B$200,MATCH(A3344,'Teacher Lookup'!$A$2:$A$200,0)),"")</f>
        <v>LI Eunice</v>
      </c>
    </row>
    <row r="3345" customFormat="false" ht="15" hidden="false" customHeight="false" outlineLevel="0" collapsed="false">
      <c r="A3345" s="3" t="s">
        <v>391</v>
      </c>
      <c r="B3345" s="4" t="s">
        <v>31</v>
      </c>
      <c r="C3345" s="4" t="n">
        <v>2</v>
      </c>
      <c r="D3345" s="4" t="s">
        <v>59</v>
      </c>
      <c r="E3345" s="3" t="s">
        <v>303</v>
      </c>
      <c r="F3345" s="4" t="str">
        <f aca="false">IF(I3345&gt;J3345,"Y","N")</f>
        <v>N</v>
      </c>
      <c r="G3345" s="3" t="s">
        <v>15</v>
      </c>
      <c r="H3345" s="3" t="s">
        <v>21</v>
      </c>
      <c r="I3345" s="4" t="n">
        <v>7</v>
      </c>
      <c r="J3345" s="4" t="n">
        <f aca="false">LEN(E3345)-LEN(SUBSTITUTE(E3345,",",""))+1</f>
        <v>7</v>
      </c>
      <c r="K3345" s="3" t="str">
        <f aca="false">IFERROR(INDEX('Teacher Lookup'!$B$2:$B$200,MATCH(A3345,'Teacher Lookup'!$A$2:$A$200,0)),"")</f>
        <v>LI Eunice</v>
      </c>
    </row>
    <row r="3346" customFormat="false" ht="15" hidden="false" customHeight="false" outlineLevel="0" collapsed="false">
      <c r="A3346" s="3" t="s">
        <v>391</v>
      </c>
      <c r="B3346" s="4" t="s">
        <v>31</v>
      </c>
      <c r="C3346" s="4" t="n">
        <v>5</v>
      </c>
      <c r="D3346" s="4" t="s">
        <v>52</v>
      </c>
      <c r="E3346" s="3" t="s">
        <v>112</v>
      </c>
      <c r="F3346" s="4" t="str">
        <f aca="false">IF(I3346&gt;J3346,"Y","N")</f>
        <v>Y</v>
      </c>
      <c r="G3346" s="3" t="s">
        <v>36</v>
      </c>
      <c r="H3346" s="3" t="s">
        <v>37</v>
      </c>
      <c r="I3346" s="4" t="n">
        <v>16</v>
      </c>
      <c r="J3346" s="4" t="n">
        <f aca="false">LEN(E3346)-LEN(SUBSTITUTE(E3346,",",""))+1</f>
        <v>7</v>
      </c>
      <c r="K3346" s="3" t="str">
        <f aca="false">IFERROR(INDEX('Teacher Lookup'!$B$2:$B$200,MATCH(A3346,'Teacher Lookup'!$A$2:$A$200,0)),"")</f>
        <v>LI Eunice</v>
      </c>
    </row>
    <row r="3347" customFormat="false" ht="15" hidden="false" customHeight="false" outlineLevel="0" collapsed="false">
      <c r="A3347" s="3" t="s">
        <v>391</v>
      </c>
      <c r="B3347" s="4" t="s">
        <v>31</v>
      </c>
      <c r="C3347" s="4" t="n">
        <v>5</v>
      </c>
      <c r="D3347" s="4" t="s">
        <v>55</v>
      </c>
      <c r="E3347" s="3" t="s">
        <v>112</v>
      </c>
      <c r="F3347" s="4" t="str">
        <f aca="false">IF(I3347&gt;J3347,"Y","N")</f>
        <v>Y</v>
      </c>
      <c r="G3347" s="3" t="s">
        <v>36</v>
      </c>
      <c r="H3347" s="3" t="s">
        <v>37</v>
      </c>
      <c r="I3347" s="4" t="n">
        <v>16</v>
      </c>
      <c r="J3347" s="4" t="n">
        <f aca="false">LEN(E3347)-LEN(SUBSTITUTE(E3347,",",""))+1</f>
        <v>7</v>
      </c>
      <c r="K3347" s="3" t="str">
        <f aca="false">IFERROR(INDEX('Teacher Lookup'!$B$2:$B$200,MATCH(A3347,'Teacher Lookup'!$A$2:$A$200,0)),"")</f>
        <v>LI Eunice</v>
      </c>
    </row>
    <row r="3348" customFormat="false" ht="15" hidden="false" customHeight="false" outlineLevel="0" collapsed="false">
      <c r="A3348" s="3" t="s">
        <v>391</v>
      </c>
      <c r="B3348" s="4" t="s">
        <v>31</v>
      </c>
      <c r="C3348" s="4" t="n">
        <v>5</v>
      </c>
      <c r="D3348" s="4" t="s">
        <v>56</v>
      </c>
      <c r="E3348" s="3" t="s">
        <v>112</v>
      </c>
      <c r="F3348" s="4" t="str">
        <f aca="false">IF(I3348&gt;J3348,"Y","N")</f>
        <v>Y</v>
      </c>
      <c r="G3348" s="3" t="s">
        <v>36</v>
      </c>
      <c r="H3348" s="3" t="s">
        <v>37</v>
      </c>
      <c r="I3348" s="4" t="n">
        <v>16</v>
      </c>
      <c r="J3348" s="4" t="n">
        <f aca="false">LEN(E3348)-LEN(SUBSTITUTE(E3348,",",""))+1</f>
        <v>7</v>
      </c>
      <c r="K3348" s="3" t="str">
        <f aca="false">IFERROR(INDEX('Teacher Lookup'!$B$2:$B$200,MATCH(A3348,'Teacher Lookup'!$A$2:$A$200,0)),"")</f>
        <v>LI Eunice</v>
      </c>
    </row>
    <row r="3349" customFormat="false" ht="15" hidden="false" customHeight="false" outlineLevel="0" collapsed="false">
      <c r="A3349" s="3" t="s">
        <v>391</v>
      </c>
      <c r="B3349" s="4" t="s">
        <v>31</v>
      </c>
      <c r="C3349" s="4" t="n">
        <v>5</v>
      </c>
      <c r="D3349" s="4" t="s">
        <v>57</v>
      </c>
      <c r="E3349" s="3" t="s">
        <v>112</v>
      </c>
      <c r="F3349" s="4" t="str">
        <f aca="false">IF(I3349&gt;J3349,"Y","N")</f>
        <v>Y</v>
      </c>
      <c r="G3349" s="3" t="s">
        <v>36</v>
      </c>
      <c r="H3349" s="3" t="s">
        <v>37</v>
      </c>
      <c r="I3349" s="4" t="n">
        <v>16</v>
      </c>
      <c r="J3349" s="4" t="n">
        <f aca="false">LEN(E3349)-LEN(SUBSTITUTE(E3349,",",""))+1</f>
        <v>7</v>
      </c>
      <c r="K3349" s="3" t="str">
        <f aca="false">IFERROR(INDEX('Teacher Lookup'!$B$2:$B$200,MATCH(A3349,'Teacher Lookup'!$A$2:$A$200,0)),"")</f>
        <v>LI Eunice</v>
      </c>
    </row>
    <row r="3350" customFormat="false" ht="15" hidden="false" customHeight="false" outlineLevel="0" collapsed="false">
      <c r="A3350" s="3" t="s">
        <v>391</v>
      </c>
      <c r="B3350" s="4" t="s">
        <v>31</v>
      </c>
      <c r="C3350" s="4" t="n">
        <v>5</v>
      </c>
      <c r="D3350" s="4" t="s">
        <v>58</v>
      </c>
      <c r="E3350" s="3" t="s">
        <v>112</v>
      </c>
      <c r="F3350" s="4" t="str">
        <f aca="false">IF(I3350&gt;J3350,"Y","N")</f>
        <v>Y</v>
      </c>
      <c r="G3350" s="3" t="s">
        <v>36</v>
      </c>
      <c r="H3350" s="3" t="s">
        <v>37</v>
      </c>
      <c r="I3350" s="4" t="n">
        <v>16</v>
      </c>
      <c r="J3350" s="4" t="n">
        <f aca="false">LEN(E3350)-LEN(SUBSTITUTE(E3350,",",""))+1</f>
        <v>7</v>
      </c>
      <c r="K3350" s="3" t="str">
        <f aca="false">IFERROR(INDEX('Teacher Lookup'!$B$2:$B$200,MATCH(A3350,'Teacher Lookup'!$A$2:$A$200,0)),"")</f>
        <v>LI Eunice</v>
      </c>
    </row>
    <row r="3351" customFormat="false" ht="15" hidden="false" customHeight="false" outlineLevel="0" collapsed="false">
      <c r="A3351" s="3" t="s">
        <v>391</v>
      </c>
      <c r="B3351" s="4" t="s">
        <v>31</v>
      </c>
      <c r="C3351" s="4" t="n">
        <v>5</v>
      </c>
      <c r="D3351" s="4" t="s">
        <v>59</v>
      </c>
      <c r="E3351" s="3" t="s">
        <v>112</v>
      </c>
      <c r="F3351" s="4" t="str">
        <f aca="false">IF(I3351&gt;J3351,"Y","N")</f>
        <v>Y</v>
      </c>
      <c r="G3351" s="3" t="s">
        <v>36</v>
      </c>
      <c r="H3351" s="3" t="s">
        <v>37</v>
      </c>
      <c r="I3351" s="4" t="n">
        <v>16</v>
      </c>
      <c r="J3351" s="4" t="n">
        <f aca="false">LEN(E3351)-LEN(SUBSTITUTE(E3351,",",""))+1</f>
        <v>7</v>
      </c>
      <c r="K3351" s="3" t="str">
        <f aca="false">IFERROR(INDEX('Teacher Lookup'!$B$2:$B$200,MATCH(A3351,'Teacher Lookup'!$A$2:$A$200,0)),"")</f>
        <v>LI Eunice</v>
      </c>
    </row>
    <row r="3352" customFormat="false" ht="15" hidden="false" customHeight="false" outlineLevel="0" collapsed="false">
      <c r="A3352" s="3" t="s">
        <v>391</v>
      </c>
      <c r="B3352" s="4" t="s">
        <v>31</v>
      </c>
      <c r="C3352" s="4" t="n">
        <v>7</v>
      </c>
      <c r="D3352" s="4" t="s">
        <v>24</v>
      </c>
      <c r="E3352" s="3" t="s">
        <v>38</v>
      </c>
      <c r="F3352" s="4" t="str">
        <f aca="false">IF(I3352&gt;J3352,"Y","N")</f>
        <v>N</v>
      </c>
      <c r="G3352" s="3" t="s">
        <v>15</v>
      </c>
      <c r="H3352" s="3" t="s">
        <v>39</v>
      </c>
      <c r="I3352" s="4" t="n">
        <v>6</v>
      </c>
      <c r="J3352" s="4" t="n">
        <f aca="false">LEN(E3352)-LEN(SUBSTITUTE(E3352,",",""))+1</f>
        <v>6</v>
      </c>
      <c r="K3352" s="3" t="str">
        <f aca="false">IFERROR(INDEX('Teacher Lookup'!$B$2:$B$200,MATCH(A3352,'Teacher Lookup'!$A$2:$A$200,0)),"")</f>
        <v>LI Eunice</v>
      </c>
    </row>
    <row r="3353" customFormat="false" ht="15" hidden="false" customHeight="false" outlineLevel="0" collapsed="false">
      <c r="A3353" s="3" t="s">
        <v>391</v>
      </c>
      <c r="B3353" s="4" t="s">
        <v>31</v>
      </c>
      <c r="C3353" s="4" t="n">
        <v>7</v>
      </c>
      <c r="D3353" s="4" t="s">
        <v>27</v>
      </c>
      <c r="E3353" s="3" t="s">
        <v>38</v>
      </c>
      <c r="F3353" s="4" t="str">
        <f aca="false">IF(I3353&gt;J3353,"Y","N")</f>
        <v>N</v>
      </c>
      <c r="G3353" s="3" t="s">
        <v>15</v>
      </c>
      <c r="H3353" s="3" t="s">
        <v>39</v>
      </c>
      <c r="I3353" s="4" t="n">
        <v>6</v>
      </c>
      <c r="J3353" s="4" t="n">
        <f aca="false">LEN(E3353)-LEN(SUBSTITUTE(E3353,",",""))+1</f>
        <v>6</v>
      </c>
      <c r="K3353" s="3" t="str">
        <f aca="false">IFERROR(INDEX('Teacher Lookup'!$B$2:$B$200,MATCH(A3353,'Teacher Lookup'!$A$2:$A$200,0)),"")</f>
        <v>LI Eunice</v>
      </c>
    </row>
    <row r="3354" customFormat="false" ht="15" hidden="false" customHeight="false" outlineLevel="0" collapsed="false">
      <c r="A3354" s="3" t="s">
        <v>391</v>
      </c>
      <c r="B3354" s="4" t="s">
        <v>31</v>
      </c>
      <c r="C3354" s="4" t="n">
        <v>7</v>
      </c>
      <c r="D3354" s="4" t="s">
        <v>28</v>
      </c>
      <c r="E3354" s="3" t="s">
        <v>38</v>
      </c>
      <c r="F3354" s="4" t="str">
        <f aca="false">IF(I3354&gt;J3354,"Y","N")</f>
        <v>N</v>
      </c>
      <c r="G3354" s="3" t="s">
        <v>15</v>
      </c>
      <c r="H3354" s="3" t="s">
        <v>39</v>
      </c>
      <c r="I3354" s="4" t="n">
        <v>6</v>
      </c>
      <c r="J3354" s="4" t="n">
        <f aca="false">LEN(E3354)-LEN(SUBSTITUTE(E3354,",",""))+1</f>
        <v>6</v>
      </c>
      <c r="K3354" s="3" t="str">
        <f aca="false">IFERROR(INDEX('Teacher Lookup'!$B$2:$B$200,MATCH(A3354,'Teacher Lookup'!$A$2:$A$200,0)),"")</f>
        <v>LI Eunice</v>
      </c>
    </row>
    <row r="3355" customFormat="false" ht="15" hidden="false" customHeight="false" outlineLevel="0" collapsed="false">
      <c r="A3355" s="3" t="s">
        <v>391</v>
      </c>
      <c r="B3355" s="4" t="s">
        <v>31</v>
      </c>
      <c r="C3355" s="4" t="n">
        <v>7</v>
      </c>
      <c r="D3355" s="4" t="s">
        <v>29</v>
      </c>
      <c r="E3355" s="3" t="s">
        <v>38</v>
      </c>
      <c r="F3355" s="4" t="str">
        <f aca="false">IF(I3355&gt;J3355,"Y","N")</f>
        <v>N</v>
      </c>
      <c r="G3355" s="3" t="s">
        <v>15</v>
      </c>
      <c r="H3355" s="3" t="s">
        <v>39</v>
      </c>
      <c r="I3355" s="4" t="n">
        <v>6</v>
      </c>
      <c r="J3355" s="4" t="n">
        <f aca="false">LEN(E3355)-LEN(SUBSTITUTE(E3355,",",""))+1</f>
        <v>6</v>
      </c>
      <c r="K3355" s="3" t="str">
        <f aca="false">IFERROR(INDEX('Teacher Lookup'!$B$2:$B$200,MATCH(A3355,'Teacher Lookup'!$A$2:$A$200,0)),"")</f>
        <v>LI Eunice</v>
      </c>
    </row>
    <row r="3356" customFormat="false" ht="15" hidden="false" customHeight="false" outlineLevel="0" collapsed="false">
      <c r="A3356" s="3" t="s">
        <v>391</v>
      </c>
      <c r="B3356" s="4" t="s">
        <v>31</v>
      </c>
      <c r="C3356" s="4" t="n">
        <v>7</v>
      </c>
      <c r="D3356" s="4" t="s">
        <v>30</v>
      </c>
      <c r="E3356" s="3" t="s">
        <v>38</v>
      </c>
      <c r="F3356" s="4" t="str">
        <f aca="false">IF(I3356&gt;J3356,"Y","N")</f>
        <v>N</v>
      </c>
      <c r="G3356" s="3" t="s">
        <v>15</v>
      </c>
      <c r="H3356" s="3" t="s">
        <v>39</v>
      </c>
      <c r="I3356" s="4" t="n">
        <v>6</v>
      </c>
      <c r="J3356" s="4" t="n">
        <f aca="false">LEN(E3356)-LEN(SUBSTITUTE(E3356,",",""))+1</f>
        <v>6</v>
      </c>
      <c r="K3356" s="3" t="str">
        <f aca="false">IFERROR(INDEX('Teacher Lookup'!$B$2:$B$200,MATCH(A3356,'Teacher Lookup'!$A$2:$A$200,0)),"")</f>
        <v>LI Eunice</v>
      </c>
    </row>
    <row r="3357" customFormat="false" ht="15" hidden="false" customHeight="false" outlineLevel="0" collapsed="false">
      <c r="A3357" s="3" t="s">
        <v>391</v>
      </c>
      <c r="B3357" s="4" t="s">
        <v>40</v>
      </c>
      <c r="C3357" s="4" t="n">
        <v>2</v>
      </c>
      <c r="D3357" s="4" t="s">
        <v>24</v>
      </c>
      <c r="E3357" s="3" t="s">
        <v>41</v>
      </c>
      <c r="F3357" s="4" t="str">
        <f aca="false">IF(I3357&gt;J3357,"Y","N")</f>
        <v>N</v>
      </c>
      <c r="G3357" s="3" t="s">
        <v>15</v>
      </c>
      <c r="H3357" s="3" t="s">
        <v>21</v>
      </c>
      <c r="I3357" s="4" t="n">
        <v>6</v>
      </c>
      <c r="J3357" s="4" t="n">
        <f aca="false">LEN(E3357)-LEN(SUBSTITUTE(E3357,",",""))+1</f>
        <v>6</v>
      </c>
      <c r="K3357" s="3" t="str">
        <f aca="false">IFERROR(INDEX('Teacher Lookup'!$B$2:$B$200,MATCH(A3357,'Teacher Lookup'!$A$2:$A$200,0)),"")</f>
        <v>LI Eunice</v>
      </c>
    </row>
    <row r="3358" customFormat="false" ht="15" hidden="false" customHeight="false" outlineLevel="0" collapsed="false">
      <c r="A3358" s="3" t="s">
        <v>391</v>
      </c>
      <c r="B3358" s="4" t="s">
        <v>40</v>
      </c>
      <c r="C3358" s="4" t="n">
        <v>2</v>
      </c>
      <c r="D3358" s="4" t="s">
        <v>27</v>
      </c>
      <c r="E3358" s="3" t="s">
        <v>41</v>
      </c>
      <c r="F3358" s="4" t="str">
        <f aca="false">IF(I3358&gt;J3358,"Y","N")</f>
        <v>N</v>
      </c>
      <c r="G3358" s="3" t="s">
        <v>15</v>
      </c>
      <c r="H3358" s="3" t="s">
        <v>21</v>
      </c>
      <c r="I3358" s="4" t="n">
        <v>6</v>
      </c>
      <c r="J3358" s="4" t="n">
        <f aca="false">LEN(E3358)-LEN(SUBSTITUTE(E3358,",",""))+1</f>
        <v>6</v>
      </c>
      <c r="K3358" s="3" t="str">
        <f aca="false">IFERROR(INDEX('Teacher Lookup'!$B$2:$B$200,MATCH(A3358,'Teacher Lookup'!$A$2:$A$200,0)),"")</f>
        <v>LI Eunice</v>
      </c>
    </row>
    <row r="3359" customFormat="false" ht="15" hidden="false" customHeight="false" outlineLevel="0" collapsed="false">
      <c r="A3359" s="3" t="s">
        <v>391</v>
      </c>
      <c r="B3359" s="4" t="s">
        <v>40</v>
      </c>
      <c r="C3359" s="4" t="n">
        <v>2</v>
      </c>
      <c r="D3359" s="4" t="s">
        <v>28</v>
      </c>
      <c r="E3359" s="3" t="s">
        <v>41</v>
      </c>
      <c r="F3359" s="4" t="str">
        <f aca="false">IF(I3359&gt;J3359,"Y","N")</f>
        <v>N</v>
      </c>
      <c r="G3359" s="3" t="s">
        <v>15</v>
      </c>
      <c r="H3359" s="3" t="s">
        <v>21</v>
      </c>
      <c r="I3359" s="4" t="n">
        <v>6</v>
      </c>
      <c r="J3359" s="4" t="n">
        <f aca="false">LEN(E3359)-LEN(SUBSTITUTE(E3359,",",""))+1</f>
        <v>6</v>
      </c>
      <c r="K3359" s="3" t="str">
        <f aca="false">IFERROR(INDEX('Teacher Lookup'!$B$2:$B$200,MATCH(A3359,'Teacher Lookup'!$A$2:$A$200,0)),"")</f>
        <v>LI Eunice</v>
      </c>
    </row>
    <row r="3360" customFormat="false" ht="15" hidden="false" customHeight="false" outlineLevel="0" collapsed="false">
      <c r="A3360" s="3" t="s">
        <v>391</v>
      </c>
      <c r="B3360" s="4" t="s">
        <v>40</v>
      </c>
      <c r="C3360" s="4" t="n">
        <v>2</v>
      </c>
      <c r="D3360" s="4" t="s">
        <v>29</v>
      </c>
      <c r="E3360" s="3" t="s">
        <v>41</v>
      </c>
      <c r="F3360" s="4" t="str">
        <f aca="false">IF(I3360&gt;J3360,"Y","N")</f>
        <v>N</v>
      </c>
      <c r="G3360" s="3" t="s">
        <v>15</v>
      </c>
      <c r="H3360" s="3" t="s">
        <v>21</v>
      </c>
      <c r="I3360" s="4" t="n">
        <v>6</v>
      </c>
      <c r="J3360" s="4" t="n">
        <f aca="false">LEN(E3360)-LEN(SUBSTITUTE(E3360,",",""))+1</f>
        <v>6</v>
      </c>
      <c r="K3360" s="3" t="str">
        <f aca="false">IFERROR(INDEX('Teacher Lookup'!$B$2:$B$200,MATCH(A3360,'Teacher Lookup'!$A$2:$A$200,0)),"")</f>
        <v>LI Eunice</v>
      </c>
    </row>
    <row r="3361" customFormat="false" ht="15" hidden="false" customHeight="false" outlineLevel="0" collapsed="false">
      <c r="A3361" s="3" t="s">
        <v>391</v>
      </c>
      <c r="B3361" s="4" t="s">
        <v>40</v>
      </c>
      <c r="C3361" s="4" t="n">
        <v>2</v>
      </c>
      <c r="D3361" s="4" t="s">
        <v>30</v>
      </c>
      <c r="E3361" s="3" t="s">
        <v>41</v>
      </c>
      <c r="F3361" s="4" t="str">
        <f aca="false">IF(I3361&gt;J3361,"Y","N")</f>
        <v>N</v>
      </c>
      <c r="G3361" s="3" t="s">
        <v>15</v>
      </c>
      <c r="H3361" s="3" t="s">
        <v>21</v>
      </c>
      <c r="I3361" s="4" t="n">
        <v>6</v>
      </c>
      <c r="J3361" s="4" t="n">
        <f aca="false">LEN(E3361)-LEN(SUBSTITUTE(E3361,",",""))+1</f>
        <v>6</v>
      </c>
      <c r="K3361" s="3" t="str">
        <f aca="false">IFERROR(INDEX('Teacher Lookup'!$B$2:$B$200,MATCH(A3361,'Teacher Lookup'!$A$2:$A$200,0)),"")</f>
        <v>LI Eunice</v>
      </c>
    </row>
    <row r="3362" customFormat="false" ht="15" hidden="false" customHeight="false" outlineLevel="0" collapsed="false">
      <c r="A3362" s="3" t="s">
        <v>391</v>
      </c>
      <c r="B3362" s="4" t="s">
        <v>40</v>
      </c>
      <c r="C3362" s="4" t="n">
        <v>5</v>
      </c>
      <c r="D3362" s="4" t="s">
        <v>52</v>
      </c>
      <c r="E3362" s="3" t="s">
        <v>304</v>
      </c>
      <c r="F3362" s="4" t="str">
        <f aca="false">IF(I3362&gt;J3362,"Y","N")</f>
        <v>N</v>
      </c>
      <c r="G3362" s="3" t="s">
        <v>15</v>
      </c>
      <c r="H3362" s="3" t="s">
        <v>37</v>
      </c>
      <c r="I3362" s="4" t="n">
        <v>7</v>
      </c>
      <c r="J3362" s="4" t="n">
        <f aca="false">LEN(E3362)-LEN(SUBSTITUTE(E3362,",",""))+1</f>
        <v>7</v>
      </c>
      <c r="K3362" s="3" t="str">
        <f aca="false">IFERROR(INDEX('Teacher Lookup'!$B$2:$B$200,MATCH(A3362,'Teacher Lookup'!$A$2:$A$200,0)),"")</f>
        <v>LI Eunice</v>
      </c>
    </row>
    <row r="3363" customFormat="false" ht="15" hidden="false" customHeight="false" outlineLevel="0" collapsed="false">
      <c r="A3363" s="3" t="s">
        <v>391</v>
      </c>
      <c r="B3363" s="4" t="s">
        <v>40</v>
      </c>
      <c r="C3363" s="4" t="n">
        <v>5</v>
      </c>
      <c r="D3363" s="4" t="s">
        <v>55</v>
      </c>
      <c r="E3363" s="3" t="s">
        <v>304</v>
      </c>
      <c r="F3363" s="4" t="str">
        <f aca="false">IF(I3363&gt;J3363,"Y","N")</f>
        <v>N</v>
      </c>
      <c r="G3363" s="3" t="s">
        <v>15</v>
      </c>
      <c r="H3363" s="3" t="s">
        <v>37</v>
      </c>
      <c r="I3363" s="4" t="n">
        <v>7</v>
      </c>
      <c r="J3363" s="4" t="n">
        <f aca="false">LEN(E3363)-LEN(SUBSTITUTE(E3363,",",""))+1</f>
        <v>7</v>
      </c>
      <c r="K3363" s="3" t="str">
        <f aca="false">IFERROR(INDEX('Teacher Lookup'!$B$2:$B$200,MATCH(A3363,'Teacher Lookup'!$A$2:$A$200,0)),"")</f>
        <v>LI Eunice</v>
      </c>
    </row>
    <row r="3364" customFormat="false" ht="15" hidden="false" customHeight="false" outlineLevel="0" collapsed="false">
      <c r="A3364" s="3" t="s">
        <v>391</v>
      </c>
      <c r="B3364" s="4" t="s">
        <v>40</v>
      </c>
      <c r="C3364" s="4" t="n">
        <v>5</v>
      </c>
      <c r="D3364" s="4" t="s">
        <v>56</v>
      </c>
      <c r="E3364" s="3" t="s">
        <v>304</v>
      </c>
      <c r="F3364" s="4" t="str">
        <f aca="false">IF(I3364&gt;J3364,"Y","N")</f>
        <v>N</v>
      </c>
      <c r="G3364" s="3" t="s">
        <v>15</v>
      </c>
      <c r="H3364" s="3" t="s">
        <v>37</v>
      </c>
      <c r="I3364" s="4" t="n">
        <v>7</v>
      </c>
      <c r="J3364" s="4" t="n">
        <f aca="false">LEN(E3364)-LEN(SUBSTITUTE(E3364,",",""))+1</f>
        <v>7</v>
      </c>
      <c r="K3364" s="3" t="str">
        <f aca="false">IFERROR(INDEX('Teacher Lookup'!$B$2:$B$200,MATCH(A3364,'Teacher Lookup'!$A$2:$A$200,0)),"")</f>
        <v>LI Eunice</v>
      </c>
    </row>
    <row r="3365" customFormat="false" ht="15" hidden="false" customHeight="false" outlineLevel="0" collapsed="false">
      <c r="A3365" s="3" t="s">
        <v>391</v>
      </c>
      <c r="B3365" s="4" t="s">
        <v>40</v>
      </c>
      <c r="C3365" s="4" t="n">
        <v>5</v>
      </c>
      <c r="D3365" s="4" t="s">
        <v>57</v>
      </c>
      <c r="E3365" s="3" t="s">
        <v>304</v>
      </c>
      <c r="F3365" s="4" t="str">
        <f aca="false">IF(I3365&gt;J3365,"Y","N")</f>
        <v>N</v>
      </c>
      <c r="G3365" s="3" t="s">
        <v>15</v>
      </c>
      <c r="H3365" s="3" t="s">
        <v>37</v>
      </c>
      <c r="I3365" s="4" t="n">
        <v>7</v>
      </c>
      <c r="J3365" s="4" t="n">
        <f aca="false">LEN(E3365)-LEN(SUBSTITUTE(E3365,",",""))+1</f>
        <v>7</v>
      </c>
      <c r="K3365" s="3" t="str">
        <f aca="false">IFERROR(INDEX('Teacher Lookup'!$B$2:$B$200,MATCH(A3365,'Teacher Lookup'!$A$2:$A$200,0)),"")</f>
        <v>LI Eunice</v>
      </c>
    </row>
    <row r="3366" customFormat="false" ht="15" hidden="false" customHeight="false" outlineLevel="0" collapsed="false">
      <c r="A3366" s="3" t="s">
        <v>391</v>
      </c>
      <c r="B3366" s="4" t="s">
        <v>40</v>
      </c>
      <c r="C3366" s="4" t="n">
        <v>5</v>
      </c>
      <c r="D3366" s="4" t="s">
        <v>58</v>
      </c>
      <c r="E3366" s="3" t="s">
        <v>304</v>
      </c>
      <c r="F3366" s="4" t="str">
        <f aca="false">IF(I3366&gt;J3366,"Y","N")</f>
        <v>N</v>
      </c>
      <c r="G3366" s="3" t="s">
        <v>15</v>
      </c>
      <c r="H3366" s="3" t="s">
        <v>37</v>
      </c>
      <c r="I3366" s="4" t="n">
        <v>7</v>
      </c>
      <c r="J3366" s="4" t="n">
        <f aca="false">LEN(E3366)-LEN(SUBSTITUTE(E3366,",",""))+1</f>
        <v>7</v>
      </c>
      <c r="K3366" s="3" t="str">
        <f aca="false">IFERROR(INDEX('Teacher Lookup'!$B$2:$B$200,MATCH(A3366,'Teacher Lookup'!$A$2:$A$200,0)),"")</f>
        <v>LI Eunice</v>
      </c>
    </row>
    <row r="3367" customFormat="false" ht="15" hidden="false" customHeight="false" outlineLevel="0" collapsed="false">
      <c r="A3367" s="3" t="s">
        <v>391</v>
      </c>
      <c r="B3367" s="4" t="s">
        <v>40</v>
      </c>
      <c r="C3367" s="4" t="n">
        <v>5</v>
      </c>
      <c r="D3367" s="4" t="s">
        <v>59</v>
      </c>
      <c r="E3367" s="3" t="s">
        <v>304</v>
      </c>
      <c r="F3367" s="4" t="str">
        <f aca="false">IF(I3367&gt;J3367,"Y","N")</f>
        <v>N</v>
      </c>
      <c r="G3367" s="3" t="s">
        <v>15</v>
      </c>
      <c r="H3367" s="3" t="s">
        <v>37</v>
      </c>
      <c r="I3367" s="4" t="n">
        <v>7</v>
      </c>
      <c r="J3367" s="4" t="n">
        <f aca="false">LEN(E3367)-LEN(SUBSTITUTE(E3367,",",""))+1</f>
        <v>7</v>
      </c>
      <c r="K3367" s="3" t="str">
        <f aca="false">IFERROR(INDEX('Teacher Lookup'!$B$2:$B$200,MATCH(A3367,'Teacher Lookup'!$A$2:$A$200,0)),"")</f>
        <v>LI Eunice</v>
      </c>
    </row>
    <row r="3368" customFormat="false" ht="15" hidden="false" customHeight="false" outlineLevel="0" collapsed="false">
      <c r="A3368" s="3" t="s">
        <v>391</v>
      </c>
      <c r="B3368" s="4" t="s">
        <v>44</v>
      </c>
      <c r="C3368" s="4" t="n">
        <v>1</v>
      </c>
      <c r="D3368" s="4" t="s">
        <v>52</v>
      </c>
      <c r="E3368" s="3" t="s">
        <v>305</v>
      </c>
      <c r="F3368" s="4" t="str">
        <f aca="false">IF(I3368&gt;J3368,"Y","N")</f>
        <v>N</v>
      </c>
      <c r="G3368" s="3" t="s">
        <v>15</v>
      </c>
      <c r="H3368" s="3" t="s">
        <v>16</v>
      </c>
      <c r="I3368" s="4" t="n">
        <v>7</v>
      </c>
      <c r="J3368" s="4" t="n">
        <f aca="false">LEN(E3368)-LEN(SUBSTITUTE(E3368,",",""))+1</f>
        <v>7</v>
      </c>
      <c r="K3368" s="3" t="str">
        <f aca="false">IFERROR(INDEX('Teacher Lookup'!$B$2:$B$200,MATCH(A3368,'Teacher Lookup'!$A$2:$A$200,0)),"")</f>
        <v>LI Eunice</v>
      </c>
    </row>
    <row r="3369" customFormat="false" ht="15" hidden="false" customHeight="false" outlineLevel="0" collapsed="false">
      <c r="A3369" s="3" t="s">
        <v>391</v>
      </c>
      <c r="B3369" s="4" t="s">
        <v>44</v>
      </c>
      <c r="C3369" s="4" t="n">
        <v>1</v>
      </c>
      <c r="D3369" s="4" t="s">
        <v>55</v>
      </c>
      <c r="E3369" s="3" t="s">
        <v>305</v>
      </c>
      <c r="F3369" s="4" t="str">
        <f aca="false">IF(I3369&gt;J3369,"Y","N")</f>
        <v>N</v>
      </c>
      <c r="G3369" s="3" t="s">
        <v>15</v>
      </c>
      <c r="H3369" s="3" t="s">
        <v>16</v>
      </c>
      <c r="I3369" s="4" t="n">
        <v>7</v>
      </c>
      <c r="J3369" s="4" t="n">
        <f aca="false">LEN(E3369)-LEN(SUBSTITUTE(E3369,",",""))+1</f>
        <v>7</v>
      </c>
      <c r="K3369" s="3" t="str">
        <f aca="false">IFERROR(INDEX('Teacher Lookup'!$B$2:$B$200,MATCH(A3369,'Teacher Lookup'!$A$2:$A$200,0)),"")</f>
        <v>LI Eunice</v>
      </c>
    </row>
    <row r="3370" customFormat="false" ht="15" hidden="false" customHeight="false" outlineLevel="0" collapsed="false">
      <c r="A3370" s="3" t="s">
        <v>391</v>
      </c>
      <c r="B3370" s="4" t="s">
        <v>44</v>
      </c>
      <c r="C3370" s="4" t="n">
        <v>1</v>
      </c>
      <c r="D3370" s="4" t="s">
        <v>56</v>
      </c>
      <c r="E3370" s="3" t="s">
        <v>305</v>
      </c>
      <c r="F3370" s="4" t="str">
        <f aca="false">IF(I3370&gt;J3370,"Y","N")</f>
        <v>N</v>
      </c>
      <c r="G3370" s="3" t="s">
        <v>15</v>
      </c>
      <c r="H3370" s="3" t="s">
        <v>16</v>
      </c>
      <c r="I3370" s="4" t="n">
        <v>7</v>
      </c>
      <c r="J3370" s="4" t="n">
        <f aca="false">LEN(E3370)-LEN(SUBSTITUTE(E3370,",",""))+1</f>
        <v>7</v>
      </c>
      <c r="K3370" s="3" t="str">
        <f aca="false">IFERROR(INDEX('Teacher Lookup'!$B$2:$B$200,MATCH(A3370,'Teacher Lookup'!$A$2:$A$200,0)),"")</f>
        <v>LI Eunice</v>
      </c>
    </row>
    <row r="3371" customFormat="false" ht="15" hidden="false" customHeight="false" outlineLevel="0" collapsed="false">
      <c r="A3371" s="3" t="s">
        <v>391</v>
      </c>
      <c r="B3371" s="4" t="s">
        <v>44</v>
      </c>
      <c r="C3371" s="4" t="n">
        <v>1</v>
      </c>
      <c r="D3371" s="4" t="s">
        <v>57</v>
      </c>
      <c r="E3371" s="3" t="s">
        <v>305</v>
      </c>
      <c r="F3371" s="4" t="str">
        <f aca="false">IF(I3371&gt;J3371,"Y","N")</f>
        <v>N</v>
      </c>
      <c r="G3371" s="3" t="s">
        <v>15</v>
      </c>
      <c r="H3371" s="3" t="s">
        <v>16</v>
      </c>
      <c r="I3371" s="4" t="n">
        <v>7</v>
      </c>
      <c r="J3371" s="4" t="n">
        <f aca="false">LEN(E3371)-LEN(SUBSTITUTE(E3371,",",""))+1</f>
        <v>7</v>
      </c>
      <c r="K3371" s="3" t="str">
        <f aca="false">IFERROR(INDEX('Teacher Lookup'!$B$2:$B$200,MATCH(A3371,'Teacher Lookup'!$A$2:$A$200,0)),"")</f>
        <v>LI Eunice</v>
      </c>
    </row>
    <row r="3372" customFormat="false" ht="15" hidden="false" customHeight="false" outlineLevel="0" collapsed="false">
      <c r="A3372" s="3" t="s">
        <v>391</v>
      </c>
      <c r="B3372" s="4" t="s">
        <v>44</v>
      </c>
      <c r="C3372" s="4" t="n">
        <v>1</v>
      </c>
      <c r="D3372" s="4" t="s">
        <v>58</v>
      </c>
      <c r="E3372" s="3" t="s">
        <v>305</v>
      </c>
      <c r="F3372" s="4" t="str">
        <f aca="false">IF(I3372&gt;J3372,"Y","N")</f>
        <v>N</v>
      </c>
      <c r="G3372" s="3" t="s">
        <v>15</v>
      </c>
      <c r="H3372" s="3" t="s">
        <v>16</v>
      </c>
      <c r="I3372" s="4" t="n">
        <v>7</v>
      </c>
      <c r="J3372" s="4" t="n">
        <f aca="false">LEN(E3372)-LEN(SUBSTITUTE(E3372,",",""))+1</f>
        <v>7</v>
      </c>
      <c r="K3372" s="3" t="str">
        <f aca="false">IFERROR(INDEX('Teacher Lookup'!$B$2:$B$200,MATCH(A3372,'Teacher Lookup'!$A$2:$A$200,0)),"")</f>
        <v>LI Eunice</v>
      </c>
    </row>
    <row r="3373" customFormat="false" ht="15" hidden="false" customHeight="false" outlineLevel="0" collapsed="false">
      <c r="A3373" s="3" t="s">
        <v>391</v>
      </c>
      <c r="B3373" s="4" t="s">
        <v>44</v>
      </c>
      <c r="C3373" s="4" t="n">
        <v>1</v>
      </c>
      <c r="D3373" s="4" t="s">
        <v>59</v>
      </c>
      <c r="E3373" s="3" t="s">
        <v>305</v>
      </c>
      <c r="F3373" s="4" t="str">
        <f aca="false">IF(I3373&gt;J3373,"Y","N")</f>
        <v>N</v>
      </c>
      <c r="G3373" s="3" t="s">
        <v>15</v>
      </c>
      <c r="H3373" s="3" t="s">
        <v>16</v>
      </c>
      <c r="I3373" s="4" t="n">
        <v>7</v>
      </c>
      <c r="J3373" s="4" t="n">
        <f aca="false">LEN(E3373)-LEN(SUBSTITUTE(E3373,",",""))+1</f>
        <v>7</v>
      </c>
      <c r="K3373" s="3" t="str">
        <f aca="false">IFERROR(INDEX('Teacher Lookup'!$B$2:$B$200,MATCH(A3373,'Teacher Lookup'!$A$2:$A$200,0)),"")</f>
        <v>LI Eunice</v>
      </c>
    </row>
    <row r="3374" customFormat="false" ht="15" hidden="false" customHeight="false" outlineLevel="0" collapsed="false">
      <c r="A3374" s="3" t="s">
        <v>391</v>
      </c>
      <c r="B3374" s="4" t="s">
        <v>44</v>
      </c>
      <c r="C3374" s="4" t="n">
        <v>2</v>
      </c>
      <c r="D3374" s="4" t="s">
        <v>24</v>
      </c>
      <c r="E3374" s="3" t="s">
        <v>45</v>
      </c>
      <c r="F3374" s="4" t="str">
        <f aca="false">IF(I3374&gt;J3374,"Y","N")</f>
        <v>N</v>
      </c>
      <c r="G3374" s="3" t="s">
        <v>15</v>
      </c>
      <c r="H3374" s="3" t="s">
        <v>21</v>
      </c>
      <c r="I3374" s="4" t="n">
        <v>6</v>
      </c>
      <c r="J3374" s="4" t="n">
        <f aca="false">LEN(E3374)-LEN(SUBSTITUTE(E3374,",",""))+1</f>
        <v>6</v>
      </c>
      <c r="K3374" s="3" t="str">
        <f aca="false">IFERROR(INDEX('Teacher Lookup'!$B$2:$B$200,MATCH(A3374,'Teacher Lookup'!$A$2:$A$200,0)),"")</f>
        <v>LI Eunice</v>
      </c>
    </row>
    <row r="3375" customFormat="false" ht="15" hidden="false" customHeight="false" outlineLevel="0" collapsed="false">
      <c r="A3375" s="3" t="s">
        <v>391</v>
      </c>
      <c r="B3375" s="4" t="s">
        <v>44</v>
      </c>
      <c r="C3375" s="4" t="n">
        <v>2</v>
      </c>
      <c r="D3375" s="4" t="s">
        <v>27</v>
      </c>
      <c r="E3375" s="3" t="s">
        <v>45</v>
      </c>
      <c r="F3375" s="4" t="str">
        <f aca="false">IF(I3375&gt;J3375,"Y","N")</f>
        <v>N</v>
      </c>
      <c r="G3375" s="3" t="s">
        <v>15</v>
      </c>
      <c r="H3375" s="3" t="s">
        <v>21</v>
      </c>
      <c r="I3375" s="4" t="n">
        <v>6</v>
      </c>
      <c r="J3375" s="4" t="n">
        <f aca="false">LEN(E3375)-LEN(SUBSTITUTE(E3375,",",""))+1</f>
        <v>6</v>
      </c>
      <c r="K3375" s="3" t="str">
        <f aca="false">IFERROR(INDEX('Teacher Lookup'!$B$2:$B$200,MATCH(A3375,'Teacher Lookup'!$A$2:$A$200,0)),"")</f>
        <v>LI Eunice</v>
      </c>
    </row>
    <row r="3376" customFormat="false" ht="15" hidden="false" customHeight="false" outlineLevel="0" collapsed="false">
      <c r="A3376" s="3" t="s">
        <v>391</v>
      </c>
      <c r="B3376" s="4" t="s">
        <v>44</v>
      </c>
      <c r="C3376" s="4" t="n">
        <v>2</v>
      </c>
      <c r="D3376" s="4" t="s">
        <v>28</v>
      </c>
      <c r="E3376" s="3" t="s">
        <v>45</v>
      </c>
      <c r="F3376" s="4" t="str">
        <f aca="false">IF(I3376&gt;J3376,"Y","N")</f>
        <v>N</v>
      </c>
      <c r="G3376" s="3" t="s">
        <v>15</v>
      </c>
      <c r="H3376" s="3" t="s">
        <v>21</v>
      </c>
      <c r="I3376" s="4" t="n">
        <v>6</v>
      </c>
      <c r="J3376" s="4" t="n">
        <f aca="false">LEN(E3376)-LEN(SUBSTITUTE(E3376,",",""))+1</f>
        <v>6</v>
      </c>
      <c r="K3376" s="3" t="str">
        <f aca="false">IFERROR(INDEX('Teacher Lookup'!$B$2:$B$200,MATCH(A3376,'Teacher Lookup'!$A$2:$A$200,0)),"")</f>
        <v>LI Eunice</v>
      </c>
    </row>
    <row r="3377" customFormat="false" ht="15" hidden="false" customHeight="false" outlineLevel="0" collapsed="false">
      <c r="A3377" s="3" t="s">
        <v>391</v>
      </c>
      <c r="B3377" s="4" t="s">
        <v>44</v>
      </c>
      <c r="C3377" s="4" t="n">
        <v>2</v>
      </c>
      <c r="D3377" s="4" t="s">
        <v>29</v>
      </c>
      <c r="E3377" s="3" t="s">
        <v>45</v>
      </c>
      <c r="F3377" s="4" t="str">
        <f aca="false">IF(I3377&gt;J3377,"Y","N")</f>
        <v>N</v>
      </c>
      <c r="G3377" s="3" t="s">
        <v>15</v>
      </c>
      <c r="H3377" s="3" t="s">
        <v>21</v>
      </c>
      <c r="I3377" s="4" t="n">
        <v>6</v>
      </c>
      <c r="J3377" s="4" t="n">
        <f aca="false">LEN(E3377)-LEN(SUBSTITUTE(E3377,",",""))+1</f>
        <v>6</v>
      </c>
      <c r="K3377" s="3" t="str">
        <f aca="false">IFERROR(INDEX('Teacher Lookup'!$B$2:$B$200,MATCH(A3377,'Teacher Lookup'!$A$2:$A$200,0)),"")</f>
        <v>LI Eunice</v>
      </c>
    </row>
    <row r="3378" customFormat="false" ht="15" hidden="false" customHeight="false" outlineLevel="0" collapsed="false">
      <c r="A3378" s="3" t="s">
        <v>391</v>
      </c>
      <c r="B3378" s="4" t="s">
        <v>44</v>
      </c>
      <c r="C3378" s="4" t="n">
        <v>2</v>
      </c>
      <c r="D3378" s="4" t="s">
        <v>30</v>
      </c>
      <c r="E3378" s="3" t="s">
        <v>45</v>
      </c>
      <c r="F3378" s="4" t="str">
        <f aca="false">IF(I3378&gt;J3378,"Y","N")</f>
        <v>N</v>
      </c>
      <c r="G3378" s="3" t="s">
        <v>15</v>
      </c>
      <c r="H3378" s="3" t="s">
        <v>21</v>
      </c>
      <c r="I3378" s="4" t="n">
        <v>6</v>
      </c>
      <c r="J3378" s="4" t="n">
        <f aca="false">LEN(E3378)-LEN(SUBSTITUTE(E3378,",",""))+1</f>
        <v>6</v>
      </c>
      <c r="K3378" s="3" t="str">
        <f aca="false">IFERROR(INDEX('Teacher Lookup'!$B$2:$B$200,MATCH(A3378,'Teacher Lookup'!$A$2:$A$200,0)),"")</f>
        <v>LI Eunice</v>
      </c>
    </row>
    <row r="3379" customFormat="false" ht="15" hidden="false" customHeight="false" outlineLevel="0" collapsed="false">
      <c r="A3379" s="3" t="s">
        <v>391</v>
      </c>
      <c r="B3379" s="4" t="s">
        <v>44</v>
      </c>
      <c r="C3379" s="4" t="n">
        <v>5</v>
      </c>
      <c r="D3379" s="4" t="s">
        <v>52</v>
      </c>
      <c r="E3379" s="3" t="s">
        <v>112</v>
      </c>
      <c r="F3379" s="4" t="str">
        <f aca="false">IF(I3379&gt;J3379,"Y","N")</f>
        <v>Y</v>
      </c>
      <c r="G3379" s="3" t="s">
        <v>36</v>
      </c>
      <c r="H3379" s="3" t="s">
        <v>37</v>
      </c>
      <c r="I3379" s="4" t="n">
        <v>16</v>
      </c>
      <c r="J3379" s="4" t="n">
        <f aca="false">LEN(E3379)-LEN(SUBSTITUTE(E3379,",",""))+1</f>
        <v>7</v>
      </c>
      <c r="K3379" s="3" t="str">
        <f aca="false">IFERROR(INDEX('Teacher Lookup'!$B$2:$B$200,MATCH(A3379,'Teacher Lookup'!$A$2:$A$200,0)),"")</f>
        <v>LI Eunice</v>
      </c>
    </row>
    <row r="3380" customFormat="false" ht="15" hidden="false" customHeight="false" outlineLevel="0" collapsed="false">
      <c r="A3380" s="3" t="s">
        <v>391</v>
      </c>
      <c r="B3380" s="4" t="s">
        <v>44</v>
      </c>
      <c r="C3380" s="4" t="n">
        <v>5</v>
      </c>
      <c r="D3380" s="4" t="s">
        <v>55</v>
      </c>
      <c r="E3380" s="3" t="s">
        <v>112</v>
      </c>
      <c r="F3380" s="4" t="str">
        <f aca="false">IF(I3380&gt;J3380,"Y","N")</f>
        <v>Y</v>
      </c>
      <c r="G3380" s="3" t="s">
        <v>36</v>
      </c>
      <c r="H3380" s="3" t="s">
        <v>37</v>
      </c>
      <c r="I3380" s="4" t="n">
        <v>16</v>
      </c>
      <c r="J3380" s="4" t="n">
        <f aca="false">LEN(E3380)-LEN(SUBSTITUTE(E3380,",",""))+1</f>
        <v>7</v>
      </c>
      <c r="K3380" s="3" t="str">
        <f aca="false">IFERROR(INDEX('Teacher Lookup'!$B$2:$B$200,MATCH(A3380,'Teacher Lookup'!$A$2:$A$200,0)),"")</f>
        <v>LI Eunice</v>
      </c>
    </row>
    <row r="3381" customFormat="false" ht="15" hidden="false" customHeight="false" outlineLevel="0" collapsed="false">
      <c r="A3381" s="3" t="s">
        <v>391</v>
      </c>
      <c r="B3381" s="4" t="s">
        <v>44</v>
      </c>
      <c r="C3381" s="4" t="n">
        <v>5</v>
      </c>
      <c r="D3381" s="4" t="s">
        <v>56</v>
      </c>
      <c r="E3381" s="3" t="s">
        <v>112</v>
      </c>
      <c r="F3381" s="4" t="str">
        <f aca="false">IF(I3381&gt;J3381,"Y","N")</f>
        <v>Y</v>
      </c>
      <c r="G3381" s="3" t="s">
        <v>36</v>
      </c>
      <c r="H3381" s="3" t="s">
        <v>37</v>
      </c>
      <c r="I3381" s="4" t="n">
        <v>16</v>
      </c>
      <c r="J3381" s="4" t="n">
        <f aca="false">LEN(E3381)-LEN(SUBSTITUTE(E3381,",",""))+1</f>
        <v>7</v>
      </c>
      <c r="K3381" s="3" t="str">
        <f aca="false">IFERROR(INDEX('Teacher Lookup'!$B$2:$B$200,MATCH(A3381,'Teacher Lookup'!$A$2:$A$200,0)),"")</f>
        <v>LI Eunice</v>
      </c>
    </row>
    <row r="3382" customFormat="false" ht="15" hidden="false" customHeight="false" outlineLevel="0" collapsed="false">
      <c r="A3382" s="3" t="s">
        <v>391</v>
      </c>
      <c r="B3382" s="4" t="s">
        <v>44</v>
      </c>
      <c r="C3382" s="4" t="n">
        <v>5</v>
      </c>
      <c r="D3382" s="4" t="s">
        <v>57</v>
      </c>
      <c r="E3382" s="3" t="s">
        <v>112</v>
      </c>
      <c r="F3382" s="4" t="str">
        <f aca="false">IF(I3382&gt;J3382,"Y","N")</f>
        <v>Y</v>
      </c>
      <c r="G3382" s="3" t="s">
        <v>36</v>
      </c>
      <c r="H3382" s="3" t="s">
        <v>37</v>
      </c>
      <c r="I3382" s="4" t="n">
        <v>16</v>
      </c>
      <c r="J3382" s="4" t="n">
        <f aca="false">LEN(E3382)-LEN(SUBSTITUTE(E3382,",",""))+1</f>
        <v>7</v>
      </c>
      <c r="K3382" s="3" t="str">
        <f aca="false">IFERROR(INDEX('Teacher Lookup'!$B$2:$B$200,MATCH(A3382,'Teacher Lookup'!$A$2:$A$200,0)),"")</f>
        <v>LI Eunice</v>
      </c>
    </row>
    <row r="3383" customFormat="false" ht="15" hidden="false" customHeight="false" outlineLevel="0" collapsed="false">
      <c r="A3383" s="3" t="s">
        <v>391</v>
      </c>
      <c r="B3383" s="4" t="s">
        <v>44</v>
      </c>
      <c r="C3383" s="4" t="n">
        <v>5</v>
      </c>
      <c r="D3383" s="4" t="s">
        <v>58</v>
      </c>
      <c r="E3383" s="3" t="s">
        <v>112</v>
      </c>
      <c r="F3383" s="4" t="str">
        <f aca="false">IF(I3383&gt;J3383,"Y","N")</f>
        <v>Y</v>
      </c>
      <c r="G3383" s="3" t="s">
        <v>36</v>
      </c>
      <c r="H3383" s="3" t="s">
        <v>37</v>
      </c>
      <c r="I3383" s="4" t="n">
        <v>16</v>
      </c>
      <c r="J3383" s="4" t="n">
        <f aca="false">LEN(E3383)-LEN(SUBSTITUTE(E3383,",",""))+1</f>
        <v>7</v>
      </c>
      <c r="K3383" s="3" t="str">
        <f aca="false">IFERROR(INDEX('Teacher Lookup'!$B$2:$B$200,MATCH(A3383,'Teacher Lookup'!$A$2:$A$200,0)),"")</f>
        <v>LI Eunice</v>
      </c>
    </row>
    <row r="3384" customFormat="false" ht="15" hidden="false" customHeight="false" outlineLevel="0" collapsed="false">
      <c r="A3384" s="3" t="s">
        <v>391</v>
      </c>
      <c r="B3384" s="4" t="s">
        <v>44</v>
      </c>
      <c r="C3384" s="4" t="n">
        <v>5</v>
      </c>
      <c r="D3384" s="4" t="s">
        <v>59</v>
      </c>
      <c r="E3384" s="3" t="s">
        <v>112</v>
      </c>
      <c r="F3384" s="4" t="str">
        <f aca="false">IF(I3384&gt;J3384,"Y","N")</f>
        <v>Y</v>
      </c>
      <c r="G3384" s="3" t="s">
        <v>36</v>
      </c>
      <c r="H3384" s="3" t="s">
        <v>37</v>
      </c>
      <c r="I3384" s="4" t="n">
        <v>16</v>
      </c>
      <c r="J3384" s="4" t="n">
        <f aca="false">LEN(E3384)-LEN(SUBSTITUTE(E3384,",",""))+1</f>
        <v>7</v>
      </c>
      <c r="K3384" s="3" t="str">
        <f aca="false">IFERROR(INDEX('Teacher Lookup'!$B$2:$B$200,MATCH(A3384,'Teacher Lookup'!$A$2:$A$200,0)),"")</f>
        <v>LI Eunice</v>
      </c>
    </row>
    <row r="3385" customFormat="false" ht="15" hidden="false" customHeight="false" outlineLevel="0" collapsed="false">
      <c r="A3385" s="3" t="s">
        <v>391</v>
      </c>
      <c r="B3385" s="4" t="s">
        <v>47</v>
      </c>
      <c r="C3385" s="4" t="n">
        <v>2</v>
      </c>
      <c r="D3385" s="4" t="s">
        <v>52</v>
      </c>
      <c r="E3385" s="3" t="s">
        <v>306</v>
      </c>
      <c r="F3385" s="4" t="str">
        <f aca="false">IF(I3385&gt;J3385,"Y","N")</f>
        <v>N</v>
      </c>
      <c r="G3385" s="3" t="s">
        <v>15</v>
      </c>
      <c r="H3385" s="3" t="s">
        <v>21</v>
      </c>
      <c r="I3385" s="4" t="n">
        <v>7</v>
      </c>
      <c r="J3385" s="4" t="n">
        <f aca="false">LEN(E3385)-LEN(SUBSTITUTE(E3385,",",""))+1</f>
        <v>7</v>
      </c>
      <c r="K3385" s="3" t="str">
        <f aca="false">IFERROR(INDEX('Teacher Lookup'!$B$2:$B$200,MATCH(A3385,'Teacher Lookup'!$A$2:$A$200,0)),"")</f>
        <v>LI Eunice</v>
      </c>
    </row>
    <row r="3386" customFormat="false" ht="15" hidden="false" customHeight="false" outlineLevel="0" collapsed="false">
      <c r="A3386" s="3" t="s">
        <v>391</v>
      </c>
      <c r="B3386" s="4" t="s">
        <v>47</v>
      </c>
      <c r="C3386" s="4" t="n">
        <v>2</v>
      </c>
      <c r="D3386" s="4" t="s">
        <v>55</v>
      </c>
      <c r="E3386" s="3" t="s">
        <v>306</v>
      </c>
      <c r="F3386" s="4" t="str">
        <f aca="false">IF(I3386&gt;J3386,"Y","N")</f>
        <v>N</v>
      </c>
      <c r="G3386" s="3" t="s">
        <v>15</v>
      </c>
      <c r="H3386" s="3" t="s">
        <v>21</v>
      </c>
      <c r="I3386" s="4" t="n">
        <v>7</v>
      </c>
      <c r="J3386" s="4" t="n">
        <f aca="false">LEN(E3386)-LEN(SUBSTITUTE(E3386,",",""))+1</f>
        <v>7</v>
      </c>
      <c r="K3386" s="3" t="str">
        <f aca="false">IFERROR(INDEX('Teacher Lookup'!$B$2:$B$200,MATCH(A3386,'Teacher Lookup'!$A$2:$A$200,0)),"")</f>
        <v>LI Eunice</v>
      </c>
    </row>
    <row r="3387" customFormat="false" ht="15" hidden="false" customHeight="false" outlineLevel="0" collapsed="false">
      <c r="A3387" s="3" t="s">
        <v>391</v>
      </c>
      <c r="B3387" s="4" t="s">
        <v>47</v>
      </c>
      <c r="C3387" s="4" t="n">
        <v>2</v>
      </c>
      <c r="D3387" s="4" t="s">
        <v>56</v>
      </c>
      <c r="E3387" s="3" t="s">
        <v>306</v>
      </c>
      <c r="F3387" s="4" t="str">
        <f aca="false">IF(I3387&gt;J3387,"Y","N")</f>
        <v>N</v>
      </c>
      <c r="G3387" s="3" t="s">
        <v>15</v>
      </c>
      <c r="H3387" s="3" t="s">
        <v>21</v>
      </c>
      <c r="I3387" s="4" t="n">
        <v>7</v>
      </c>
      <c r="J3387" s="4" t="n">
        <f aca="false">LEN(E3387)-LEN(SUBSTITUTE(E3387,",",""))+1</f>
        <v>7</v>
      </c>
      <c r="K3387" s="3" t="str">
        <f aca="false">IFERROR(INDEX('Teacher Lookup'!$B$2:$B$200,MATCH(A3387,'Teacher Lookup'!$A$2:$A$200,0)),"")</f>
        <v>LI Eunice</v>
      </c>
    </row>
    <row r="3388" customFormat="false" ht="15" hidden="false" customHeight="false" outlineLevel="0" collapsed="false">
      <c r="A3388" s="3" t="s">
        <v>391</v>
      </c>
      <c r="B3388" s="4" t="s">
        <v>47</v>
      </c>
      <c r="C3388" s="4" t="n">
        <v>2</v>
      </c>
      <c r="D3388" s="4" t="s">
        <v>57</v>
      </c>
      <c r="E3388" s="3" t="s">
        <v>306</v>
      </c>
      <c r="F3388" s="4" t="str">
        <f aca="false">IF(I3388&gt;J3388,"Y","N")</f>
        <v>N</v>
      </c>
      <c r="G3388" s="3" t="s">
        <v>15</v>
      </c>
      <c r="H3388" s="3" t="s">
        <v>21</v>
      </c>
      <c r="I3388" s="4" t="n">
        <v>7</v>
      </c>
      <c r="J3388" s="4" t="n">
        <f aca="false">LEN(E3388)-LEN(SUBSTITUTE(E3388,",",""))+1</f>
        <v>7</v>
      </c>
      <c r="K3388" s="3" t="str">
        <f aca="false">IFERROR(INDEX('Teacher Lookup'!$B$2:$B$200,MATCH(A3388,'Teacher Lookup'!$A$2:$A$200,0)),"")</f>
        <v>LI Eunice</v>
      </c>
    </row>
    <row r="3389" customFormat="false" ht="15" hidden="false" customHeight="false" outlineLevel="0" collapsed="false">
      <c r="A3389" s="3" t="s">
        <v>391</v>
      </c>
      <c r="B3389" s="4" t="s">
        <v>47</v>
      </c>
      <c r="C3389" s="4" t="n">
        <v>2</v>
      </c>
      <c r="D3389" s="4" t="s">
        <v>58</v>
      </c>
      <c r="E3389" s="3" t="s">
        <v>306</v>
      </c>
      <c r="F3389" s="4" t="str">
        <f aca="false">IF(I3389&gt;J3389,"Y","N")</f>
        <v>N</v>
      </c>
      <c r="G3389" s="3" t="s">
        <v>15</v>
      </c>
      <c r="H3389" s="3" t="s">
        <v>21</v>
      </c>
      <c r="I3389" s="4" t="n">
        <v>7</v>
      </c>
      <c r="J3389" s="4" t="n">
        <f aca="false">LEN(E3389)-LEN(SUBSTITUTE(E3389,",",""))+1</f>
        <v>7</v>
      </c>
      <c r="K3389" s="3" t="str">
        <f aca="false">IFERROR(INDEX('Teacher Lookup'!$B$2:$B$200,MATCH(A3389,'Teacher Lookup'!$A$2:$A$200,0)),"")</f>
        <v>LI Eunice</v>
      </c>
    </row>
    <row r="3390" customFormat="false" ht="15" hidden="false" customHeight="false" outlineLevel="0" collapsed="false">
      <c r="A3390" s="3" t="s">
        <v>391</v>
      </c>
      <c r="B3390" s="4" t="s">
        <v>47</v>
      </c>
      <c r="C3390" s="4" t="n">
        <v>2</v>
      </c>
      <c r="D3390" s="4" t="s">
        <v>59</v>
      </c>
      <c r="E3390" s="3" t="s">
        <v>306</v>
      </c>
      <c r="F3390" s="4" t="str">
        <f aca="false">IF(I3390&gt;J3390,"Y","N")</f>
        <v>N</v>
      </c>
      <c r="G3390" s="3" t="s">
        <v>15</v>
      </c>
      <c r="H3390" s="3" t="s">
        <v>21</v>
      </c>
      <c r="I3390" s="4" t="n">
        <v>7</v>
      </c>
      <c r="J3390" s="4" t="n">
        <f aca="false">LEN(E3390)-LEN(SUBSTITUTE(E3390,",",""))+1</f>
        <v>7</v>
      </c>
      <c r="K3390" s="3" t="str">
        <f aca="false">IFERROR(INDEX('Teacher Lookup'!$B$2:$B$200,MATCH(A3390,'Teacher Lookup'!$A$2:$A$200,0)),"")</f>
        <v>LI Eunice</v>
      </c>
    </row>
    <row r="3391" customFormat="false" ht="15" hidden="false" customHeight="false" outlineLevel="0" collapsed="false">
      <c r="A3391" s="3" t="s">
        <v>391</v>
      </c>
      <c r="B3391" s="4" t="s">
        <v>47</v>
      </c>
      <c r="C3391" s="4" t="n">
        <v>5</v>
      </c>
      <c r="D3391" s="4" t="s">
        <v>24</v>
      </c>
      <c r="E3391" s="3" t="s">
        <v>49</v>
      </c>
      <c r="F3391" s="4" t="str">
        <f aca="false">IF(I3391&gt;J3391,"Y","N")</f>
        <v>N</v>
      </c>
      <c r="G3391" s="3" t="s">
        <v>15</v>
      </c>
      <c r="H3391" s="3" t="s">
        <v>37</v>
      </c>
      <c r="I3391" s="4" t="n">
        <v>6</v>
      </c>
      <c r="J3391" s="4" t="n">
        <f aca="false">LEN(E3391)-LEN(SUBSTITUTE(E3391,",",""))+1</f>
        <v>6</v>
      </c>
      <c r="K3391" s="3" t="str">
        <f aca="false">IFERROR(INDEX('Teacher Lookup'!$B$2:$B$200,MATCH(A3391,'Teacher Lookup'!$A$2:$A$200,0)),"")</f>
        <v>LI Eunice</v>
      </c>
    </row>
    <row r="3392" customFormat="false" ht="15" hidden="false" customHeight="false" outlineLevel="0" collapsed="false">
      <c r="A3392" s="3" t="s">
        <v>391</v>
      </c>
      <c r="B3392" s="4" t="s">
        <v>47</v>
      </c>
      <c r="C3392" s="4" t="n">
        <v>5</v>
      </c>
      <c r="D3392" s="4" t="s">
        <v>27</v>
      </c>
      <c r="E3392" s="3" t="s">
        <v>49</v>
      </c>
      <c r="F3392" s="4" t="str">
        <f aca="false">IF(I3392&gt;J3392,"Y","N")</f>
        <v>N</v>
      </c>
      <c r="G3392" s="3" t="s">
        <v>15</v>
      </c>
      <c r="H3392" s="3" t="s">
        <v>37</v>
      </c>
      <c r="I3392" s="4" t="n">
        <v>6</v>
      </c>
      <c r="J3392" s="4" t="n">
        <f aca="false">LEN(E3392)-LEN(SUBSTITUTE(E3392,",",""))+1</f>
        <v>6</v>
      </c>
      <c r="K3392" s="3" t="str">
        <f aca="false">IFERROR(INDEX('Teacher Lookup'!$B$2:$B$200,MATCH(A3392,'Teacher Lookup'!$A$2:$A$200,0)),"")</f>
        <v>LI Eunice</v>
      </c>
    </row>
    <row r="3393" customFormat="false" ht="15" hidden="false" customHeight="false" outlineLevel="0" collapsed="false">
      <c r="A3393" s="3" t="s">
        <v>391</v>
      </c>
      <c r="B3393" s="4" t="s">
        <v>47</v>
      </c>
      <c r="C3393" s="4" t="n">
        <v>5</v>
      </c>
      <c r="D3393" s="4" t="s">
        <v>28</v>
      </c>
      <c r="E3393" s="3" t="s">
        <v>49</v>
      </c>
      <c r="F3393" s="4" t="str">
        <f aca="false">IF(I3393&gt;J3393,"Y","N")</f>
        <v>N</v>
      </c>
      <c r="G3393" s="3" t="s">
        <v>15</v>
      </c>
      <c r="H3393" s="3" t="s">
        <v>37</v>
      </c>
      <c r="I3393" s="4" t="n">
        <v>6</v>
      </c>
      <c r="J3393" s="4" t="n">
        <f aca="false">LEN(E3393)-LEN(SUBSTITUTE(E3393,",",""))+1</f>
        <v>6</v>
      </c>
      <c r="K3393" s="3" t="str">
        <f aca="false">IFERROR(INDEX('Teacher Lookup'!$B$2:$B$200,MATCH(A3393,'Teacher Lookup'!$A$2:$A$200,0)),"")</f>
        <v>LI Eunice</v>
      </c>
    </row>
    <row r="3394" customFormat="false" ht="15" hidden="false" customHeight="false" outlineLevel="0" collapsed="false">
      <c r="A3394" s="3" t="s">
        <v>391</v>
      </c>
      <c r="B3394" s="4" t="s">
        <v>47</v>
      </c>
      <c r="C3394" s="4" t="n">
        <v>5</v>
      </c>
      <c r="D3394" s="4" t="s">
        <v>29</v>
      </c>
      <c r="E3394" s="3" t="s">
        <v>49</v>
      </c>
      <c r="F3394" s="4" t="str">
        <f aca="false">IF(I3394&gt;J3394,"Y","N")</f>
        <v>N</v>
      </c>
      <c r="G3394" s="3" t="s">
        <v>15</v>
      </c>
      <c r="H3394" s="3" t="s">
        <v>37</v>
      </c>
      <c r="I3394" s="4" t="n">
        <v>6</v>
      </c>
      <c r="J3394" s="4" t="n">
        <f aca="false">LEN(E3394)-LEN(SUBSTITUTE(E3394,",",""))+1</f>
        <v>6</v>
      </c>
      <c r="K3394" s="3" t="str">
        <f aca="false">IFERROR(INDEX('Teacher Lookup'!$B$2:$B$200,MATCH(A3394,'Teacher Lookup'!$A$2:$A$200,0)),"")</f>
        <v>LI Eunice</v>
      </c>
    </row>
    <row r="3395" customFormat="false" ht="15" hidden="false" customHeight="false" outlineLevel="0" collapsed="false">
      <c r="A3395" s="3" t="s">
        <v>391</v>
      </c>
      <c r="B3395" s="4" t="s">
        <v>47</v>
      </c>
      <c r="C3395" s="4" t="n">
        <v>5</v>
      </c>
      <c r="D3395" s="4" t="s">
        <v>30</v>
      </c>
      <c r="E3395" s="3" t="s">
        <v>49</v>
      </c>
      <c r="F3395" s="4" t="str">
        <f aca="false">IF(I3395&gt;J3395,"Y","N")</f>
        <v>N</v>
      </c>
      <c r="G3395" s="3" t="s">
        <v>15</v>
      </c>
      <c r="H3395" s="3" t="s">
        <v>37</v>
      </c>
      <c r="I3395" s="4" t="n">
        <v>6</v>
      </c>
      <c r="J3395" s="4" t="n">
        <f aca="false">LEN(E3395)-LEN(SUBSTITUTE(E3395,",",""))+1</f>
        <v>6</v>
      </c>
      <c r="K3395" s="3" t="str">
        <f aca="false">IFERROR(INDEX('Teacher Lookup'!$B$2:$B$200,MATCH(A3395,'Teacher Lookup'!$A$2:$A$200,0)),"")</f>
        <v>LI Eunice</v>
      </c>
    </row>
    <row r="3396" customFormat="false" ht="15" hidden="false" customHeight="false" outlineLevel="0" collapsed="false">
      <c r="A3396" s="3" t="s">
        <v>391</v>
      </c>
      <c r="B3396" s="4" t="s">
        <v>50</v>
      </c>
      <c r="C3396" s="4" t="n">
        <v>2</v>
      </c>
      <c r="D3396" s="4" t="s">
        <v>52</v>
      </c>
      <c r="E3396" s="3" t="s">
        <v>307</v>
      </c>
      <c r="F3396" s="4" t="str">
        <f aca="false">IF(I3396&gt;J3396,"Y","N")</f>
        <v>N</v>
      </c>
      <c r="G3396" s="3" t="s">
        <v>15</v>
      </c>
      <c r="H3396" s="3" t="s">
        <v>21</v>
      </c>
      <c r="I3396" s="4" t="n">
        <v>7</v>
      </c>
      <c r="J3396" s="4" t="n">
        <f aca="false">LEN(E3396)-LEN(SUBSTITUTE(E3396,",",""))+1</f>
        <v>7</v>
      </c>
      <c r="K3396" s="3" t="str">
        <f aca="false">IFERROR(INDEX('Teacher Lookup'!$B$2:$B$200,MATCH(A3396,'Teacher Lookup'!$A$2:$A$200,0)),"")</f>
        <v>LI Eunice</v>
      </c>
    </row>
    <row r="3397" customFormat="false" ht="15" hidden="false" customHeight="false" outlineLevel="0" collapsed="false">
      <c r="A3397" s="3" t="s">
        <v>391</v>
      </c>
      <c r="B3397" s="4" t="s">
        <v>50</v>
      </c>
      <c r="C3397" s="4" t="n">
        <v>2</v>
      </c>
      <c r="D3397" s="4" t="s">
        <v>55</v>
      </c>
      <c r="E3397" s="3" t="s">
        <v>307</v>
      </c>
      <c r="F3397" s="4" t="str">
        <f aca="false">IF(I3397&gt;J3397,"Y","N")</f>
        <v>N</v>
      </c>
      <c r="G3397" s="3" t="s">
        <v>15</v>
      </c>
      <c r="H3397" s="3" t="s">
        <v>21</v>
      </c>
      <c r="I3397" s="4" t="n">
        <v>7</v>
      </c>
      <c r="J3397" s="4" t="n">
        <f aca="false">LEN(E3397)-LEN(SUBSTITUTE(E3397,",",""))+1</f>
        <v>7</v>
      </c>
      <c r="K3397" s="3" t="str">
        <f aca="false">IFERROR(INDEX('Teacher Lookup'!$B$2:$B$200,MATCH(A3397,'Teacher Lookup'!$A$2:$A$200,0)),"")</f>
        <v>LI Eunice</v>
      </c>
    </row>
    <row r="3398" customFormat="false" ht="15" hidden="false" customHeight="false" outlineLevel="0" collapsed="false">
      <c r="A3398" s="3" t="s">
        <v>391</v>
      </c>
      <c r="B3398" s="4" t="s">
        <v>50</v>
      </c>
      <c r="C3398" s="4" t="n">
        <v>2</v>
      </c>
      <c r="D3398" s="4" t="s">
        <v>56</v>
      </c>
      <c r="E3398" s="3" t="s">
        <v>307</v>
      </c>
      <c r="F3398" s="4" t="str">
        <f aca="false">IF(I3398&gt;J3398,"Y","N")</f>
        <v>N</v>
      </c>
      <c r="G3398" s="3" t="s">
        <v>15</v>
      </c>
      <c r="H3398" s="3" t="s">
        <v>21</v>
      </c>
      <c r="I3398" s="4" t="n">
        <v>7</v>
      </c>
      <c r="J3398" s="4" t="n">
        <f aca="false">LEN(E3398)-LEN(SUBSTITUTE(E3398,",",""))+1</f>
        <v>7</v>
      </c>
      <c r="K3398" s="3" t="str">
        <f aca="false">IFERROR(INDEX('Teacher Lookup'!$B$2:$B$200,MATCH(A3398,'Teacher Lookup'!$A$2:$A$200,0)),"")</f>
        <v>LI Eunice</v>
      </c>
    </row>
    <row r="3399" customFormat="false" ht="15" hidden="false" customHeight="false" outlineLevel="0" collapsed="false">
      <c r="A3399" s="3" t="s">
        <v>391</v>
      </c>
      <c r="B3399" s="4" t="s">
        <v>50</v>
      </c>
      <c r="C3399" s="4" t="n">
        <v>2</v>
      </c>
      <c r="D3399" s="4" t="s">
        <v>57</v>
      </c>
      <c r="E3399" s="3" t="s">
        <v>307</v>
      </c>
      <c r="F3399" s="4" t="str">
        <f aca="false">IF(I3399&gt;J3399,"Y","N")</f>
        <v>N</v>
      </c>
      <c r="G3399" s="3" t="s">
        <v>15</v>
      </c>
      <c r="H3399" s="3" t="s">
        <v>21</v>
      </c>
      <c r="I3399" s="4" t="n">
        <v>7</v>
      </c>
      <c r="J3399" s="4" t="n">
        <f aca="false">LEN(E3399)-LEN(SUBSTITUTE(E3399,",",""))+1</f>
        <v>7</v>
      </c>
      <c r="K3399" s="3" t="str">
        <f aca="false">IFERROR(INDEX('Teacher Lookup'!$B$2:$B$200,MATCH(A3399,'Teacher Lookup'!$A$2:$A$200,0)),"")</f>
        <v>LI Eunice</v>
      </c>
    </row>
    <row r="3400" customFormat="false" ht="15" hidden="false" customHeight="false" outlineLevel="0" collapsed="false">
      <c r="A3400" s="3" t="s">
        <v>391</v>
      </c>
      <c r="B3400" s="4" t="s">
        <v>50</v>
      </c>
      <c r="C3400" s="4" t="n">
        <v>2</v>
      </c>
      <c r="D3400" s="4" t="s">
        <v>58</v>
      </c>
      <c r="E3400" s="3" t="s">
        <v>307</v>
      </c>
      <c r="F3400" s="4" t="str">
        <f aca="false">IF(I3400&gt;J3400,"Y","N")</f>
        <v>N</v>
      </c>
      <c r="G3400" s="3" t="s">
        <v>15</v>
      </c>
      <c r="H3400" s="3" t="s">
        <v>21</v>
      </c>
      <c r="I3400" s="4" t="n">
        <v>7</v>
      </c>
      <c r="J3400" s="4" t="n">
        <f aca="false">LEN(E3400)-LEN(SUBSTITUTE(E3400,",",""))+1</f>
        <v>7</v>
      </c>
      <c r="K3400" s="3" t="str">
        <f aca="false">IFERROR(INDEX('Teacher Lookup'!$B$2:$B$200,MATCH(A3400,'Teacher Lookup'!$A$2:$A$200,0)),"")</f>
        <v>LI Eunice</v>
      </c>
    </row>
    <row r="3401" customFormat="false" ht="15" hidden="false" customHeight="false" outlineLevel="0" collapsed="false">
      <c r="A3401" s="3" t="s">
        <v>391</v>
      </c>
      <c r="B3401" s="4" t="s">
        <v>50</v>
      </c>
      <c r="C3401" s="4" t="n">
        <v>2</v>
      </c>
      <c r="D3401" s="4" t="s">
        <v>59</v>
      </c>
      <c r="E3401" s="3" t="s">
        <v>307</v>
      </c>
      <c r="F3401" s="4" t="str">
        <f aca="false">IF(I3401&gt;J3401,"Y","N")</f>
        <v>N</v>
      </c>
      <c r="G3401" s="3" t="s">
        <v>15</v>
      </c>
      <c r="H3401" s="3" t="s">
        <v>21</v>
      </c>
      <c r="I3401" s="4" t="n">
        <v>7</v>
      </c>
      <c r="J3401" s="4" t="n">
        <f aca="false">LEN(E3401)-LEN(SUBSTITUTE(E3401,",",""))+1</f>
        <v>7</v>
      </c>
      <c r="K3401" s="3" t="str">
        <f aca="false">IFERROR(INDEX('Teacher Lookup'!$B$2:$B$200,MATCH(A3401,'Teacher Lookup'!$A$2:$A$200,0)),"")</f>
        <v>LI Eunice</v>
      </c>
    </row>
    <row r="3402" customFormat="false" ht="15" hidden="false" customHeight="false" outlineLevel="0" collapsed="false">
      <c r="A3402" s="3" t="s">
        <v>391</v>
      </c>
      <c r="B3402" s="4" t="s">
        <v>50</v>
      </c>
      <c r="C3402" s="4" t="n">
        <v>3</v>
      </c>
      <c r="D3402" s="4" t="s">
        <v>24</v>
      </c>
      <c r="E3402" s="3" t="s">
        <v>41</v>
      </c>
      <c r="F3402" s="4" t="str">
        <f aca="false">IF(I3402&gt;J3402,"Y","N")</f>
        <v>N</v>
      </c>
      <c r="G3402" s="3" t="s">
        <v>15</v>
      </c>
      <c r="H3402" s="3" t="s">
        <v>26</v>
      </c>
      <c r="I3402" s="4" t="n">
        <v>6</v>
      </c>
      <c r="J3402" s="4" t="n">
        <f aca="false">LEN(E3402)-LEN(SUBSTITUTE(E3402,",",""))+1</f>
        <v>6</v>
      </c>
      <c r="K3402" s="3" t="str">
        <f aca="false">IFERROR(INDEX('Teacher Lookup'!$B$2:$B$200,MATCH(A3402,'Teacher Lookup'!$A$2:$A$200,0)),"")</f>
        <v>LI Eunice</v>
      </c>
    </row>
    <row r="3403" customFormat="false" ht="15" hidden="false" customHeight="false" outlineLevel="0" collapsed="false">
      <c r="A3403" s="3" t="s">
        <v>391</v>
      </c>
      <c r="B3403" s="4" t="s">
        <v>50</v>
      </c>
      <c r="C3403" s="4" t="n">
        <v>3</v>
      </c>
      <c r="D3403" s="4" t="s">
        <v>27</v>
      </c>
      <c r="E3403" s="3" t="s">
        <v>41</v>
      </c>
      <c r="F3403" s="4" t="str">
        <f aca="false">IF(I3403&gt;J3403,"Y","N")</f>
        <v>N</v>
      </c>
      <c r="G3403" s="3" t="s">
        <v>15</v>
      </c>
      <c r="H3403" s="3" t="s">
        <v>26</v>
      </c>
      <c r="I3403" s="4" t="n">
        <v>6</v>
      </c>
      <c r="J3403" s="4" t="n">
        <f aca="false">LEN(E3403)-LEN(SUBSTITUTE(E3403,",",""))+1</f>
        <v>6</v>
      </c>
      <c r="K3403" s="3" t="str">
        <f aca="false">IFERROR(INDEX('Teacher Lookup'!$B$2:$B$200,MATCH(A3403,'Teacher Lookup'!$A$2:$A$200,0)),"")</f>
        <v>LI Eunice</v>
      </c>
    </row>
    <row r="3404" customFormat="false" ht="15" hidden="false" customHeight="false" outlineLevel="0" collapsed="false">
      <c r="A3404" s="3" t="s">
        <v>391</v>
      </c>
      <c r="B3404" s="4" t="s">
        <v>50</v>
      </c>
      <c r="C3404" s="4" t="n">
        <v>3</v>
      </c>
      <c r="D3404" s="4" t="s">
        <v>28</v>
      </c>
      <c r="E3404" s="3" t="s">
        <v>41</v>
      </c>
      <c r="F3404" s="4" t="str">
        <f aca="false">IF(I3404&gt;J3404,"Y","N")</f>
        <v>N</v>
      </c>
      <c r="G3404" s="3" t="s">
        <v>15</v>
      </c>
      <c r="H3404" s="3" t="s">
        <v>26</v>
      </c>
      <c r="I3404" s="4" t="n">
        <v>6</v>
      </c>
      <c r="J3404" s="4" t="n">
        <f aca="false">LEN(E3404)-LEN(SUBSTITUTE(E3404,",",""))+1</f>
        <v>6</v>
      </c>
      <c r="K3404" s="3" t="str">
        <f aca="false">IFERROR(INDEX('Teacher Lookup'!$B$2:$B$200,MATCH(A3404,'Teacher Lookup'!$A$2:$A$200,0)),"")</f>
        <v>LI Eunice</v>
      </c>
    </row>
    <row r="3405" customFormat="false" ht="15" hidden="false" customHeight="false" outlineLevel="0" collapsed="false">
      <c r="A3405" s="3" t="s">
        <v>391</v>
      </c>
      <c r="B3405" s="4" t="s">
        <v>50</v>
      </c>
      <c r="C3405" s="4" t="n">
        <v>3</v>
      </c>
      <c r="D3405" s="4" t="s">
        <v>29</v>
      </c>
      <c r="E3405" s="3" t="s">
        <v>41</v>
      </c>
      <c r="F3405" s="4" t="str">
        <f aca="false">IF(I3405&gt;J3405,"Y","N")</f>
        <v>N</v>
      </c>
      <c r="G3405" s="3" t="s">
        <v>15</v>
      </c>
      <c r="H3405" s="3" t="s">
        <v>26</v>
      </c>
      <c r="I3405" s="4" t="n">
        <v>6</v>
      </c>
      <c r="J3405" s="4" t="n">
        <f aca="false">LEN(E3405)-LEN(SUBSTITUTE(E3405,",",""))+1</f>
        <v>6</v>
      </c>
      <c r="K3405" s="3" t="str">
        <f aca="false">IFERROR(INDEX('Teacher Lookup'!$B$2:$B$200,MATCH(A3405,'Teacher Lookup'!$A$2:$A$200,0)),"")</f>
        <v>LI Eunice</v>
      </c>
    </row>
    <row r="3406" customFormat="false" ht="15" hidden="false" customHeight="false" outlineLevel="0" collapsed="false">
      <c r="A3406" s="3" t="s">
        <v>391</v>
      </c>
      <c r="B3406" s="4" t="s">
        <v>50</v>
      </c>
      <c r="C3406" s="4" t="n">
        <v>3</v>
      </c>
      <c r="D3406" s="4" t="s">
        <v>30</v>
      </c>
      <c r="E3406" s="3" t="s">
        <v>41</v>
      </c>
      <c r="F3406" s="4" t="str">
        <f aca="false">IF(I3406&gt;J3406,"Y","N")</f>
        <v>N</v>
      </c>
      <c r="G3406" s="3" t="s">
        <v>15</v>
      </c>
      <c r="H3406" s="3" t="s">
        <v>26</v>
      </c>
      <c r="I3406" s="4" t="n">
        <v>6</v>
      </c>
      <c r="J3406" s="4" t="n">
        <f aca="false">LEN(E3406)-LEN(SUBSTITUTE(E3406,",",""))+1</f>
        <v>6</v>
      </c>
      <c r="K3406" s="3" t="str">
        <f aca="false">IFERROR(INDEX('Teacher Lookup'!$B$2:$B$200,MATCH(A3406,'Teacher Lookup'!$A$2:$A$200,0)),"")</f>
        <v>LI Eunice</v>
      </c>
    </row>
    <row r="3407" customFormat="false" ht="15" hidden="false" customHeight="false" outlineLevel="0" collapsed="false">
      <c r="A3407" s="3" t="s">
        <v>391</v>
      </c>
      <c r="B3407" s="4" t="s">
        <v>50</v>
      </c>
      <c r="C3407" s="4" t="n">
        <v>4</v>
      </c>
      <c r="D3407" s="4" t="s">
        <v>137</v>
      </c>
      <c r="E3407" s="3" t="s">
        <v>221</v>
      </c>
      <c r="F3407" s="4" t="str">
        <f aca="false">IF(I3407&gt;J3407,"Y","N")</f>
        <v>Y</v>
      </c>
      <c r="G3407" s="3" t="s">
        <v>222</v>
      </c>
      <c r="H3407" s="3" t="s">
        <v>34</v>
      </c>
      <c r="I3407" s="4" t="n">
        <v>15</v>
      </c>
      <c r="J3407" s="4" t="n">
        <f aca="false">LEN(E3407)-LEN(SUBSTITUTE(E3407,",",""))+1</f>
        <v>7</v>
      </c>
      <c r="K3407" s="3" t="str">
        <f aca="false">IFERROR(INDEX('Teacher Lookup'!$B$2:$B$200,MATCH(A3407,'Teacher Lookup'!$A$2:$A$200,0)),"")</f>
        <v>LI Eunice</v>
      </c>
    </row>
    <row r="3408" customFormat="false" ht="15" hidden="false" customHeight="false" outlineLevel="0" collapsed="false">
      <c r="A3408" s="3" t="s">
        <v>391</v>
      </c>
      <c r="B3408" s="4" t="s">
        <v>50</v>
      </c>
      <c r="C3408" s="4" t="n">
        <v>4</v>
      </c>
      <c r="D3408" s="4" t="s">
        <v>124</v>
      </c>
      <c r="E3408" s="3" t="s">
        <v>221</v>
      </c>
      <c r="F3408" s="4" t="str">
        <f aca="false">IF(I3408&gt;J3408,"Y","N")</f>
        <v>Y</v>
      </c>
      <c r="G3408" s="3" t="s">
        <v>222</v>
      </c>
      <c r="H3408" s="3" t="s">
        <v>34</v>
      </c>
      <c r="I3408" s="4" t="n">
        <v>15</v>
      </c>
      <c r="J3408" s="4" t="n">
        <f aca="false">LEN(E3408)-LEN(SUBSTITUTE(E3408,",",""))+1</f>
        <v>7</v>
      </c>
      <c r="K3408" s="3" t="str">
        <f aca="false">IFERROR(INDEX('Teacher Lookup'!$B$2:$B$200,MATCH(A3408,'Teacher Lookup'!$A$2:$A$200,0)),"")</f>
        <v>LI Eunice</v>
      </c>
    </row>
    <row r="3409" customFormat="false" ht="15" hidden="false" customHeight="false" outlineLevel="0" collapsed="false">
      <c r="A3409" s="3" t="s">
        <v>391</v>
      </c>
      <c r="B3409" s="4" t="s">
        <v>50</v>
      </c>
      <c r="C3409" s="4" t="n">
        <v>4</v>
      </c>
      <c r="D3409" s="4" t="s">
        <v>139</v>
      </c>
      <c r="E3409" s="3" t="s">
        <v>221</v>
      </c>
      <c r="F3409" s="4" t="str">
        <f aca="false">IF(I3409&gt;J3409,"Y","N")</f>
        <v>Y</v>
      </c>
      <c r="G3409" s="3" t="s">
        <v>222</v>
      </c>
      <c r="H3409" s="3" t="s">
        <v>34</v>
      </c>
      <c r="I3409" s="4" t="n">
        <v>15</v>
      </c>
      <c r="J3409" s="4" t="n">
        <f aca="false">LEN(E3409)-LEN(SUBSTITUTE(E3409,",",""))+1</f>
        <v>7</v>
      </c>
      <c r="K3409" s="3" t="str">
        <f aca="false">IFERROR(INDEX('Teacher Lookup'!$B$2:$B$200,MATCH(A3409,'Teacher Lookup'!$A$2:$A$200,0)),"")</f>
        <v>LI Eunice</v>
      </c>
    </row>
    <row r="3410" customFormat="false" ht="15" hidden="false" customHeight="false" outlineLevel="0" collapsed="false">
      <c r="A3410" s="3" t="s">
        <v>391</v>
      </c>
      <c r="B3410" s="4" t="s">
        <v>50</v>
      </c>
      <c r="C3410" s="4" t="n">
        <v>4</v>
      </c>
      <c r="D3410" s="4" t="s">
        <v>140</v>
      </c>
      <c r="E3410" s="3" t="s">
        <v>221</v>
      </c>
      <c r="F3410" s="4" t="str">
        <f aca="false">IF(I3410&gt;J3410,"Y","N")</f>
        <v>Y</v>
      </c>
      <c r="G3410" s="3" t="s">
        <v>222</v>
      </c>
      <c r="H3410" s="3" t="s">
        <v>34</v>
      </c>
      <c r="I3410" s="4" t="n">
        <v>15</v>
      </c>
      <c r="J3410" s="4" t="n">
        <f aca="false">LEN(E3410)-LEN(SUBSTITUTE(E3410,",",""))+1</f>
        <v>7</v>
      </c>
      <c r="K3410" s="3" t="str">
        <f aca="false">IFERROR(INDEX('Teacher Lookup'!$B$2:$B$200,MATCH(A3410,'Teacher Lookup'!$A$2:$A$200,0)),"")</f>
        <v>LI Eunice</v>
      </c>
    </row>
    <row r="3411" customFormat="false" ht="15" hidden="false" customHeight="false" outlineLevel="0" collapsed="false">
      <c r="A3411" s="3" t="s">
        <v>391</v>
      </c>
      <c r="B3411" s="4" t="s">
        <v>50</v>
      </c>
      <c r="C3411" s="4" t="n">
        <v>4</v>
      </c>
      <c r="D3411" s="4" t="s">
        <v>142</v>
      </c>
      <c r="E3411" s="3" t="s">
        <v>221</v>
      </c>
      <c r="F3411" s="4" t="str">
        <f aca="false">IF(I3411&gt;J3411,"Y","N")</f>
        <v>Y</v>
      </c>
      <c r="G3411" s="3" t="s">
        <v>222</v>
      </c>
      <c r="H3411" s="3" t="s">
        <v>34</v>
      </c>
      <c r="I3411" s="4" t="n">
        <v>15</v>
      </c>
      <c r="J3411" s="4" t="n">
        <f aca="false">LEN(E3411)-LEN(SUBSTITUTE(E3411,",",""))+1</f>
        <v>7</v>
      </c>
      <c r="K3411" s="3" t="str">
        <f aca="false">IFERROR(INDEX('Teacher Lookup'!$B$2:$B$200,MATCH(A3411,'Teacher Lookup'!$A$2:$A$200,0)),"")</f>
        <v>LI Eunice</v>
      </c>
    </row>
    <row r="3412" customFormat="false" ht="15" hidden="false" customHeight="false" outlineLevel="0" collapsed="false">
      <c r="A3412" s="3" t="s">
        <v>391</v>
      </c>
      <c r="B3412" s="4" t="s">
        <v>50</v>
      </c>
      <c r="C3412" s="4" t="n">
        <v>4</v>
      </c>
      <c r="D3412" s="4" t="s">
        <v>127</v>
      </c>
      <c r="E3412" s="3" t="s">
        <v>221</v>
      </c>
      <c r="F3412" s="4" t="str">
        <f aca="false">IF(I3412&gt;J3412,"Y","N")</f>
        <v>Y</v>
      </c>
      <c r="G3412" s="3" t="s">
        <v>222</v>
      </c>
      <c r="H3412" s="3" t="s">
        <v>34</v>
      </c>
      <c r="I3412" s="4" t="n">
        <v>15</v>
      </c>
      <c r="J3412" s="4" t="n">
        <f aca="false">LEN(E3412)-LEN(SUBSTITUTE(E3412,",",""))+1</f>
        <v>7</v>
      </c>
      <c r="K3412" s="3" t="str">
        <f aca="false">IFERROR(INDEX('Teacher Lookup'!$B$2:$B$200,MATCH(A3412,'Teacher Lookup'!$A$2:$A$200,0)),"")</f>
        <v>LI Eunice</v>
      </c>
    </row>
    <row r="3413" customFormat="false" ht="15" hidden="false" customHeight="false" outlineLevel="0" collapsed="false">
      <c r="A3413" s="3" t="s">
        <v>391</v>
      </c>
      <c r="B3413" s="4" t="s">
        <v>50</v>
      </c>
      <c r="C3413" s="4" t="n">
        <v>5</v>
      </c>
      <c r="D3413" s="4" t="s">
        <v>137</v>
      </c>
      <c r="E3413" s="3" t="s">
        <v>221</v>
      </c>
      <c r="F3413" s="4" t="str">
        <f aca="false">IF(I3413&gt;J3413,"Y","N")</f>
        <v>Y</v>
      </c>
      <c r="G3413" s="3" t="s">
        <v>222</v>
      </c>
      <c r="H3413" s="3" t="s">
        <v>37</v>
      </c>
      <c r="I3413" s="4" t="n">
        <v>15</v>
      </c>
      <c r="J3413" s="4" t="n">
        <f aca="false">LEN(E3413)-LEN(SUBSTITUTE(E3413,",",""))+1</f>
        <v>7</v>
      </c>
      <c r="K3413" s="3" t="str">
        <f aca="false">IFERROR(INDEX('Teacher Lookup'!$B$2:$B$200,MATCH(A3413,'Teacher Lookup'!$A$2:$A$200,0)),"")</f>
        <v>LI Eunice</v>
      </c>
    </row>
    <row r="3414" customFormat="false" ht="15" hidden="false" customHeight="false" outlineLevel="0" collapsed="false">
      <c r="A3414" s="3" t="s">
        <v>391</v>
      </c>
      <c r="B3414" s="4" t="s">
        <v>50</v>
      </c>
      <c r="C3414" s="4" t="n">
        <v>5</v>
      </c>
      <c r="D3414" s="4" t="s">
        <v>124</v>
      </c>
      <c r="E3414" s="3" t="s">
        <v>221</v>
      </c>
      <c r="F3414" s="4" t="str">
        <f aca="false">IF(I3414&gt;J3414,"Y","N")</f>
        <v>Y</v>
      </c>
      <c r="G3414" s="3" t="s">
        <v>222</v>
      </c>
      <c r="H3414" s="3" t="s">
        <v>37</v>
      </c>
      <c r="I3414" s="4" t="n">
        <v>15</v>
      </c>
      <c r="J3414" s="4" t="n">
        <f aca="false">LEN(E3414)-LEN(SUBSTITUTE(E3414,",",""))+1</f>
        <v>7</v>
      </c>
      <c r="K3414" s="3" t="str">
        <f aca="false">IFERROR(INDEX('Teacher Lookup'!$B$2:$B$200,MATCH(A3414,'Teacher Lookup'!$A$2:$A$200,0)),"")</f>
        <v>LI Eunice</v>
      </c>
    </row>
    <row r="3415" customFormat="false" ht="15" hidden="false" customHeight="false" outlineLevel="0" collapsed="false">
      <c r="A3415" s="3" t="s">
        <v>391</v>
      </c>
      <c r="B3415" s="4" t="s">
        <v>50</v>
      </c>
      <c r="C3415" s="4" t="n">
        <v>5</v>
      </c>
      <c r="D3415" s="4" t="s">
        <v>139</v>
      </c>
      <c r="E3415" s="3" t="s">
        <v>221</v>
      </c>
      <c r="F3415" s="4" t="str">
        <f aca="false">IF(I3415&gt;J3415,"Y","N")</f>
        <v>Y</v>
      </c>
      <c r="G3415" s="3" t="s">
        <v>222</v>
      </c>
      <c r="H3415" s="3" t="s">
        <v>37</v>
      </c>
      <c r="I3415" s="4" t="n">
        <v>15</v>
      </c>
      <c r="J3415" s="4" t="n">
        <f aca="false">LEN(E3415)-LEN(SUBSTITUTE(E3415,",",""))+1</f>
        <v>7</v>
      </c>
      <c r="K3415" s="3" t="str">
        <f aca="false">IFERROR(INDEX('Teacher Lookup'!$B$2:$B$200,MATCH(A3415,'Teacher Lookup'!$A$2:$A$200,0)),"")</f>
        <v>LI Eunice</v>
      </c>
    </row>
    <row r="3416" customFormat="false" ht="15" hidden="false" customHeight="false" outlineLevel="0" collapsed="false">
      <c r="A3416" s="3" t="s">
        <v>391</v>
      </c>
      <c r="B3416" s="4" t="s">
        <v>50</v>
      </c>
      <c r="C3416" s="4" t="n">
        <v>5</v>
      </c>
      <c r="D3416" s="4" t="s">
        <v>140</v>
      </c>
      <c r="E3416" s="3" t="s">
        <v>221</v>
      </c>
      <c r="F3416" s="4" t="str">
        <f aca="false">IF(I3416&gt;J3416,"Y","N")</f>
        <v>Y</v>
      </c>
      <c r="G3416" s="3" t="s">
        <v>222</v>
      </c>
      <c r="H3416" s="3" t="s">
        <v>37</v>
      </c>
      <c r="I3416" s="4" t="n">
        <v>15</v>
      </c>
      <c r="J3416" s="4" t="n">
        <f aca="false">LEN(E3416)-LEN(SUBSTITUTE(E3416,",",""))+1</f>
        <v>7</v>
      </c>
      <c r="K3416" s="3" t="str">
        <f aca="false">IFERROR(INDEX('Teacher Lookup'!$B$2:$B$200,MATCH(A3416,'Teacher Lookup'!$A$2:$A$200,0)),"")</f>
        <v>LI Eunice</v>
      </c>
    </row>
    <row r="3417" customFormat="false" ht="15" hidden="false" customHeight="false" outlineLevel="0" collapsed="false">
      <c r="A3417" s="3" t="s">
        <v>391</v>
      </c>
      <c r="B3417" s="4" t="s">
        <v>50</v>
      </c>
      <c r="C3417" s="4" t="n">
        <v>5</v>
      </c>
      <c r="D3417" s="4" t="s">
        <v>142</v>
      </c>
      <c r="E3417" s="3" t="s">
        <v>221</v>
      </c>
      <c r="F3417" s="4" t="str">
        <f aca="false">IF(I3417&gt;J3417,"Y","N")</f>
        <v>Y</v>
      </c>
      <c r="G3417" s="3" t="s">
        <v>222</v>
      </c>
      <c r="H3417" s="3" t="s">
        <v>37</v>
      </c>
      <c r="I3417" s="4" t="n">
        <v>15</v>
      </c>
      <c r="J3417" s="4" t="n">
        <f aca="false">LEN(E3417)-LEN(SUBSTITUTE(E3417,",",""))+1</f>
        <v>7</v>
      </c>
      <c r="K3417" s="3" t="str">
        <f aca="false">IFERROR(INDEX('Teacher Lookup'!$B$2:$B$200,MATCH(A3417,'Teacher Lookup'!$A$2:$A$200,0)),"")</f>
        <v>LI Eunice</v>
      </c>
    </row>
    <row r="3418" customFormat="false" ht="15" hidden="false" customHeight="false" outlineLevel="0" collapsed="false">
      <c r="A3418" s="3" t="s">
        <v>391</v>
      </c>
      <c r="B3418" s="4" t="s">
        <v>50</v>
      </c>
      <c r="C3418" s="4" t="n">
        <v>5</v>
      </c>
      <c r="D3418" s="4" t="s">
        <v>127</v>
      </c>
      <c r="E3418" s="3" t="s">
        <v>221</v>
      </c>
      <c r="F3418" s="4" t="str">
        <f aca="false">IF(I3418&gt;J3418,"Y","N")</f>
        <v>Y</v>
      </c>
      <c r="G3418" s="3" t="s">
        <v>222</v>
      </c>
      <c r="H3418" s="3" t="s">
        <v>37</v>
      </c>
      <c r="I3418" s="4" t="n">
        <v>15</v>
      </c>
      <c r="J3418" s="4" t="n">
        <f aca="false">LEN(E3418)-LEN(SUBSTITUTE(E3418,",",""))+1</f>
        <v>7</v>
      </c>
      <c r="K3418" s="3" t="str">
        <f aca="false">IFERROR(INDEX('Teacher Lookup'!$B$2:$B$200,MATCH(A3418,'Teacher Lookup'!$A$2:$A$200,0)),"")</f>
        <v>LI Eunice</v>
      </c>
    </row>
    <row r="3419" customFormat="false" ht="15" hidden="false" customHeight="false" outlineLevel="0" collapsed="false">
      <c r="A3419" s="3" t="s">
        <v>391</v>
      </c>
      <c r="B3419" s="4" t="s">
        <v>60</v>
      </c>
      <c r="C3419" s="4" t="n">
        <v>3</v>
      </c>
      <c r="D3419" s="4" t="s">
        <v>52</v>
      </c>
      <c r="E3419" s="3" t="s">
        <v>306</v>
      </c>
      <c r="F3419" s="4" t="str">
        <f aca="false">IF(I3419&gt;J3419,"Y","N")</f>
        <v>N</v>
      </c>
      <c r="G3419" s="3" t="s">
        <v>15</v>
      </c>
      <c r="H3419" s="3" t="s">
        <v>26</v>
      </c>
      <c r="I3419" s="4" t="n">
        <v>7</v>
      </c>
      <c r="J3419" s="4" t="n">
        <f aca="false">LEN(E3419)-LEN(SUBSTITUTE(E3419,",",""))+1</f>
        <v>7</v>
      </c>
      <c r="K3419" s="3" t="str">
        <f aca="false">IFERROR(INDEX('Teacher Lookup'!$B$2:$B$200,MATCH(A3419,'Teacher Lookup'!$A$2:$A$200,0)),"")</f>
        <v>LI Eunice</v>
      </c>
    </row>
    <row r="3420" customFormat="false" ht="15" hidden="false" customHeight="false" outlineLevel="0" collapsed="false">
      <c r="A3420" s="3" t="s">
        <v>391</v>
      </c>
      <c r="B3420" s="4" t="s">
        <v>60</v>
      </c>
      <c r="C3420" s="4" t="n">
        <v>3</v>
      </c>
      <c r="D3420" s="4" t="s">
        <v>55</v>
      </c>
      <c r="E3420" s="3" t="s">
        <v>306</v>
      </c>
      <c r="F3420" s="4" t="str">
        <f aca="false">IF(I3420&gt;J3420,"Y","N")</f>
        <v>N</v>
      </c>
      <c r="G3420" s="3" t="s">
        <v>15</v>
      </c>
      <c r="H3420" s="3" t="s">
        <v>26</v>
      </c>
      <c r="I3420" s="4" t="n">
        <v>7</v>
      </c>
      <c r="J3420" s="4" t="n">
        <f aca="false">LEN(E3420)-LEN(SUBSTITUTE(E3420,",",""))+1</f>
        <v>7</v>
      </c>
      <c r="K3420" s="3" t="str">
        <f aca="false">IFERROR(INDEX('Teacher Lookup'!$B$2:$B$200,MATCH(A3420,'Teacher Lookup'!$A$2:$A$200,0)),"")</f>
        <v>LI Eunice</v>
      </c>
    </row>
    <row r="3421" customFormat="false" ht="15" hidden="false" customHeight="false" outlineLevel="0" collapsed="false">
      <c r="A3421" s="3" t="s">
        <v>391</v>
      </c>
      <c r="B3421" s="4" t="s">
        <v>60</v>
      </c>
      <c r="C3421" s="4" t="n">
        <v>3</v>
      </c>
      <c r="D3421" s="4" t="s">
        <v>56</v>
      </c>
      <c r="E3421" s="3" t="s">
        <v>306</v>
      </c>
      <c r="F3421" s="4" t="str">
        <f aca="false">IF(I3421&gt;J3421,"Y","N")</f>
        <v>N</v>
      </c>
      <c r="G3421" s="3" t="s">
        <v>15</v>
      </c>
      <c r="H3421" s="3" t="s">
        <v>26</v>
      </c>
      <c r="I3421" s="4" t="n">
        <v>7</v>
      </c>
      <c r="J3421" s="4" t="n">
        <f aca="false">LEN(E3421)-LEN(SUBSTITUTE(E3421,",",""))+1</f>
        <v>7</v>
      </c>
      <c r="K3421" s="3" t="str">
        <f aca="false">IFERROR(INDEX('Teacher Lookup'!$B$2:$B$200,MATCH(A3421,'Teacher Lookup'!$A$2:$A$200,0)),"")</f>
        <v>LI Eunice</v>
      </c>
    </row>
    <row r="3422" customFormat="false" ht="15" hidden="false" customHeight="false" outlineLevel="0" collapsed="false">
      <c r="A3422" s="3" t="s">
        <v>391</v>
      </c>
      <c r="B3422" s="4" t="s">
        <v>60</v>
      </c>
      <c r="C3422" s="4" t="n">
        <v>3</v>
      </c>
      <c r="D3422" s="4" t="s">
        <v>57</v>
      </c>
      <c r="E3422" s="3" t="s">
        <v>306</v>
      </c>
      <c r="F3422" s="4" t="str">
        <f aca="false">IF(I3422&gt;J3422,"Y","N")</f>
        <v>N</v>
      </c>
      <c r="G3422" s="3" t="s">
        <v>15</v>
      </c>
      <c r="H3422" s="3" t="s">
        <v>26</v>
      </c>
      <c r="I3422" s="4" t="n">
        <v>7</v>
      </c>
      <c r="J3422" s="4" t="n">
        <f aca="false">LEN(E3422)-LEN(SUBSTITUTE(E3422,",",""))+1</f>
        <v>7</v>
      </c>
      <c r="K3422" s="3" t="str">
        <f aca="false">IFERROR(INDEX('Teacher Lookup'!$B$2:$B$200,MATCH(A3422,'Teacher Lookup'!$A$2:$A$200,0)),"")</f>
        <v>LI Eunice</v>
      </c>
    </row>
    <row r="3423" customFormat="false" ht="15" hidden="false" customHeight="false" outlineLevel="0" collapsed="false">
      <c r="A3423" s="3" t="s">
        <v>391</v>
      </c>
      <c r="B3423" s="4" t="s">
        <v>60</v>
      </c>
      <c r="C3423" s="4" t="n">
        <v>3</v>
      </c>
      <c r="D3423" s="4" t="s">
        <v>58</v>
      </c>
      <c r="E3423" s="3" t="s">
        <v>306</v>
      </c>
      <c r="F3423" s="4" t="str">
        <f aca="false">IF(I3423&gt;J3423,"Y","N")</f>
        <v>N</v>
      </c>
      <c r="G3423" s="3" t="s">
        <v>15</v>
      </c>
      <c r="H3423" s="3" t="s">
        <v>26</v>
      </c>
      <c r="I3423" s="4" t="n">
        <v>7</v>
      </c>
      <c r="J3423" s="4" t="n">
        <f aca="false">LEN(E3423)-LEN(SUBSTITUTE(E3423,",",""))+1</f>
        <v>7</v>
      </c>
      <c r="K3423" s="3" t="str">
        <f aca="false">IFERROR(INDEX('Teacher Lookup'!$B$2:$B$200,MATCH(A3423,'Teacher Lookup'!$A$2:$A$200,0)),"")</f>
        <v>LI Eunice</v>
      </c>
    </row>
    <row r="3424" customFormat="false" ht="15" hidden="false" customHeight="false" outlineLevel="0" collapsed="false">
      <c r="A3424" s="3" t="s">
        <v>391</v>
      </c>
      <c r="B3424" s="4" t="s">
        <v>60</v>
      </c>
      <c r="C3424" s="4" t="n">
        <v>3</v>
      </c>
      <c r="D3424" s="4" t="s">
        <v>59</v>
      </c>
      <c r="E3424" s="3" t="s">
        <v>306</v>
      </c>
      <c r="F3424" s="4" t="str">
        <f aca="false">IF(I3424&gt;J3424,"Y","N")</f>
        <v>N</v>
      </c>
      <c r="G3424" s="3" t="s">
        <v>15</v>
      </c>
      <c r="H3424" s="3" t="s">
        <v>26</v>
      </c>
      <c r="I3424" s="4" t="n">
        <v>7</v>
      </c>
      <c r="J3424" s="4" t="n">
        <f aca="false">LEN(E3424)-LEN(SUBSTITUTE(E3424,",",""))+1</f>
        <v>7</v>
      </c>
      <c r="K3424" s="3" t="str">
        <f aca="false">IFERROR(INDEX('Teacher Lookup'!$B$2:$B$200,MATCH(A3424,'Teacher Lookup'!$A$2:$A$200,0)),"")</f>
        <v>LI Eunice</v>
      </c>
    </row>
    <row r="3425" customFormat="false" ht="15" hidden="false" customHeight="false" outlineLevel="0" collapsed="false">
      <c r="A3425" s="3" t="s">
        <v>391</v>
      </c>
      <c r="B3425" s="4" t="s">
        <v>60</v>
      </c>
      <c r="C3425" s="4" t="n">
        <v>5</v>
      </c>
      <c r="D3425" s="4" t="s">
        <v>52</v>
      </c>
      <c r="E3425" s="3" t="s">
        <v>112</v>
      </c>
      <c r="F3425" s="4" t="str">
        <f aca="false">IF(I3425&gt;J3425,"Y","N")</f>
        <v>Y</v>
      </c>
      <c r="G3425" s="3" t="s">
        <v>36</v>
      </c>
      <c r="H3425" s="3" t="s">
        <v>37</v>
      </c>
      <c r="I3425" s="4" t="n">
        <v>16</v>
      </c>
      <c r="J3425" s="4" t="n">
        <f aca="false">LEN(E3425)-LEN(SUBSTITUTE(E3425,",",""))+1</f>
        <v>7</v>
      </c>
      <c r="K3425" s="3" t="str">
        <f aca="false">IFERROR(INDEX('Teacher Lookup'!$B$2:$B$200,MATCH(A3425,'Teacher Lookup'!$A$2:$A$200,0)),"")</f>
        <v>LI Eunice</v>
      </c>
    </row>
    <row r="3426" customFormat="false" ht="15" hidden="false" customHeight="false" outlineLevel="0" collapsed="false">
      <c r="A3426" s="3" t="s">
        <v>391</v>
      </c>
      <c r="B3426" s="4" t="s">
        <v>60</v>
      </c>
      <c r="C3426" s="4" t="n">
        <v>5</v>
      </c>
      <c r="D3426" s="4" t="s">
        <v>55</v>
      </c>
      <c r="E3426" s="3" t="s">
        <v>112</v>
      </c>
      <c r="F3426" s="4" t="str">
        <f aca="false">IF(I3426&gt;J3426,"Y","N")</f>
        <v>Y</v>
      </c>
      <c r="G3426" s="3" t="s">
        <v>36</v>
      </c>
      <c r="H3426" s="3" t="s">
        <v>37</v>
      </c>
      <c r="I3426" s="4" t="n">
        <v>16</v>
      </c>
      <c r="J3426" s="4" t="n">
        <f aca="false">LEN(E3426)-LEN(SUBSTITUTE(E3426,",",""))+1</f>
        <v>7</v>
      </c>
      <c r="K3426" s="3" t="str">
        <f aca="false">IFERROR(INDEX('Teacher Lookup'!$B$2:$B$200,MATCH(A3426,'Teacher Lookup'!$A$2:$A$200,0)),"")</f>
        <v>LI Eunice</v>
      </c>
    </row>
    <row r="3427" customFormat="false" ht="15" hidden="false" customHeight="false" outlineLevel="0" collapsed="false">
      <c r="A3427" s="3" t="s">
        <v>391</v>
      </c>
      <c r="B3427" s="4" t="s">
        <v>60</v>
      </c>
      <c r="C3427" s="4" t="n">
        <v>5</v>
      </c>
      <c r="D3427" s="4" t="s">
        <v>56</v>
      </c>
      <c r="E3427" s="3" t="s">
        <v>112</v>
      </c>
      <c r="F3427" s="4" t="str">
        <f aca="false">IF(I3427&gt;J3427,"Y","N")</f>
        <v>Y</v>
      </c>
      <c r="G3427" s="3" t="s">
        <v>36</v>
      </c>
      <c r="H3427" s="3" t="s">
        <v>37</v>
      </c>
      <c r="I3427" s="4" t="n">
        <v>16</v>
      </c>
      <c r="J3427" s="4" t="n">
        <f aca="false">LEN(E3427)-LEN(SUBSTITUTE(E3427,",",""))+1</f>
        <v>7</v>
      </c>
      <c r="K3427" s="3" t="str">
        <f aca="false">IFERROR(INDEX('Teacher Lookup'!$B$2:$B$200,MATCH(A3427,'Teacher Lookup'!$A$2:$A$200,0)),"")</f>
        <v>LI Eunice</v>
      </c>
    </row>
    <row r="3428" customFormat="false" ht="15" hidden="false" customHeight="false" outlineLevel="0" collapsed="false">
      <c r="A3428" s="3" t="s">
        <v>391</v>
      </c>
      <c r="B3428" s="4" t="s">
        <v>60</v>
      </c>
      <c r="C3428" s="4" t="n">
        <v>5</v>
      </c>
      <c r="D3428" s="4" t="s">
        <v>57</v>
      </c>
      <c r="E3428" s="3" t="s">
        <v>112</v>
      </c>
      <c r="F3428" s="4" t="str">
        <f aca="false">IF(I3428&gt;J3428,"Y","N")</f>
        <v>Y</v>
      </c>
      <c r="G3428" s="3" t="s">
        <v>36</v>
      </c>
      <c r="H3428" s="3" t="s">
        <v>37</v>
      </c>
      <c r="I3428" s="4" t="n">
        <v>16</v>
      </c>
      <c r="J3428" s="4" t="n">
        <f aca="false">LEN(E3428)-LEN(SUBSTITUTE(E3428,",",""))+1</f>
        <v>7</v>
      </c>
      <c r="K3428" s="3" t="str">
        <f aca="false">IFERROR(INDEX('Teacher Lookup'!$B$2:$B$200,MATCH(A3428,'Teacher Lookup'!$A$2:$A$200,0)),"")</f>
        <v>LI Eunice</v>
      </c>
    </row>
    <row r="3429" customFormat="false" ht="15" hidden="false" customHeight="false" outlineLevel="0" collapsed="false">
      <c r="A3429" s="3" t="s">
        <v>391</v>
      </c>
      <c r="B3429" s="4" t="s">
        <v>60</v>
      </c>
      <c r="C3429" s="4" t="n">
        <v>5</v>
      </c>
      <c r="D3429" s="4" t="s">
        <v>58</v>
      </c>
      <c r="E3429" s="3" t="s">
        <v>112</v>
      </c>
      <c r="F3429" s="4" t="str">
        <f aca="false">IF(I3429&gt;J3429,"Y","N")</f>
        <v>Y</v>
      </c>
      <c r="G3429" s="3" t="s">
        <v>36</v>
      </c>
      <c r="H3429" s="3" t="s">
        <v>37</v>
      </c>
      <c r="I3429" s="4" t="n">
        <v>16</v>
      </c>
      <c r="J3429" s="4" t="n">
        <f aca="false">LEN(E3429)-LEN(SUBSTITUTE(E3429,",",""))+1</f>
        <v>7</v>
      </c>
      <c r="K3429" s="3" t="str">
        <f aca="false">IFERROR(INDEX('Teacher Lookup'!$B$2:$B$200,MATCH(A3429,'Teacher Lookup'!$A$2:$A$200,0)),"")</f>
        <v>LI Eunice</v>
      </c>
    </row>
    <row r="3430" customFormat="false" ht="15" hidden="false" customHeight="false" outlineLevel="0" collapsed="false">
      <c r="A3430" s="3" t="s">
        <v>391</v>
      </c>
      <c r="B3430" s="4" t="s">
        <v>60</v>
      </c>
      <c r="C3430" s="4" t="n">
        <v>5</v>
      </c>
      <c r="D3430" s="4" t="s">
        <v>59</v>
      </c>
      <c r="E3430" s="3" t="s">
        <v>112</v>
      </c>
      <c r="F3430" s="4" t="str">
        <f aca="false">IF(I3430&gt;J3430,"Y","N")</f>
        <v>Y</v>
      </c>
      <c r="G3430" s="3" t="s">
        <v>36</v>
      </c>
      <c r="H3430" s="3" t="s">
        <v>37</v>
      </c>
      <c r="I3430" s="4" t="n">
        <v>16</v>
      </c>
      <c r="J3430" s="4" t="n">
        <f aca="false">LEN(E3430)-LEN(SUBSTITUTE(E3430,",",""))+1</f>
        <v>7</v>
      </c>
      <c r="K3430" s="3" t="str">
        <f aca="false">IFERROR(INDEX('Teacher Lookup'!$B$2:$B$200,MATCH(A3430,'Teacher Lookup'!$A$2:$A$200,0)),"")</f>
        <v>LI Eunice</v>
      </c>
    </row>
    <row r="3431" customFormat="false" ht="15" hidden="false" customHeight="false" outlineLevel="0" collapsed="false">
      <c r="A3431" s="3" t="s">
        <v>391</v>
      </c>
      <c r="B3431" s="4" t="s">
        <v>60</v>
      </c>
      <c r="C3431" s="4" t="n">
        <v>6</v>
      </c>
      <c r="D3431" s="4" t="s">
        <v>24</v>
      </c>
      <c r="E3431" s="3" t="s">
        <v>61</v>
      </c>
      <c r="F3431" s="4" t="str">
        <f aca="false">IF(I3431&gt;J3431,"Y","N")</f>
        <v>N</v>
      </c>
      <c r="G3431" s="3" t="s">
        <v>15</v>
      </c>
      <c r="H3431" s="3" t="s">
        <v>42</v>
      </c>
      <c r="I3431" s="4" t="n">
        <v>6</v>
      </c>
      <c r="J3431" s="4" t="n">
        <f aca="false">LEN(E3431)-LEN(SUBSTITUTE(E3431,",",""))+1</f>
        <v>6</v>
      </c>
      <c r="K3431" s="3" t="str">
        <f aca="false">IFERROR(INDEX('Teacher Lookup'!$B$2:$B$200,MATCH(A3431,'Teacher Lookup'!$A$2:$A$200,0)),"")</f>
        <v>LI Eunice</v>
      </c>
    </row>
    <row r="3432" customFormat="false" ht="15" hidden="false" customHeight="false" outlineLevel="0" collapsed="false">
      <c r="A3432" s="3" t="s">
        <v>391</v>
      </c>
      <c r="B3432" s="4" t="s">
        <v>60</v>
      </c>
      <c r="C3432" s="4" t="n">
        <v>6</v>
      </c>
      <c r="D3432" s="4" t="s">
        <v>27</v>
      </c>
      <c r="E3432" s="3" t="s">
        <v>61</v>
      </c>
      <c r="F3432" s="4" t="str">
        <f aca="false">IF(I3432&gt;J3432,"Y","N")</f>
        <v>N</v>
      </c>
      <c r="G3432" s="3" t="s">
        <v>15</v>
      </c>
      <c r="H3432" s="3" t="s">
        <v>42</v>
      </c>
      <c r="I3432" s="4" t="n">
        <v>6</v>
      </c>
      <c r="J3432" s="4" t="n">
        <f aca="false">LEN(E3432)-LEN(SUBSTITUTE(E3432,",",""))+1</f>
        <v>6</v>
      </c>
      <c r="K3432" s="3" t="str">
        <f aca="false">IFERROR(INDEX('Teacher Lookup'!$B$2:$B$200,MATCH(A3432,'Teacher Lookup'!$A$2:$A$200,0)),"")</f>
        <v>LI Eunice</v>
      </c>
    </row>
    <row r="3433" customFormat="false" ht="15" hidden="false" customHeight="false" outlineLevel="0" collapsed="false">
      <c r="A3433" s="3" t="s">
        <v>391</v>
      </c>
      <c r="B3433" s="4" t="s">
        <v>60</v>
      </c>
      <c r="C3433" s="4" t="n">
        <v>6</v>
      </c>
      <c r="D3433" s="4" t="s">
        <v>28</v>
      </c>
      <c r="E3433" s="3" t="s">
        <v>61</v>
      </c>
      <c r="F3433" s="4" t="str">
        <f aca="false">IF(I3433&gt;J3433,"Y","N")</f>
        <v>N</v>
      </c>
      <c r="G3433" s="3" t="s">
        <v>15</v>
      </c>
      <c r="H3433" s="3" t="s">
        <v>42</v>
      </c>
      <c r="I3433" s="4" t="n">
        <v>6</v>
      </c>
      <c r="J3433" s="4" t="n">
        <f aca="false">LEN(E3433)-LEN(SUBSTITUTE(E3433,",",""))+1</f>
        <v>6</v>
      </c>
      <c r="K3433" s="3" t="str">
        <f aca="false">IFERROR(INDEX('Teacher Lookup'!$B$2:$B$200,MATCH(A3433,'Teacher Lookup'!$A$2:$A$200,0)),"")</f>
        <v>LI Eunice</v>
      </c>
    </row>
    <row r="3434" customFormat="false" ht="15" hidden="false" customHeight="false" outlineLevel="0" collapsed="false">
      <c r="A3434" s="3" t="s">
        <v>391</v>
      </c>
      <c r="B3434" s="4" t="s">
        <v>60</v>
      </c>
      <c r="C3434" s="4" t="n">
        <v>6</v>
      </c>
      <c r="D3434" s="4" t="s">
        <v>29</v>
      </c>
      <c r="E3434" s="3" t="s">
        <v>61</v>
      </c>
      <c r="F3434" s="4" t="str">
        <f aca="false">IF(I3434&gt;J3434,"Y","N")</f>
        <v>N</v>
      </c>
      <c r="G3434" s="3" t="s">
        <v>15</v>
      </c>
      <c r="H3434" s="3" t="s">
        <v>42</v>
      </c>
      <c r="I3434" s="4" t="n">
        <v>6</v>
      </c>
      <c r="J3434" s="4" t="n">
        <f aca="false">LEN(E3434)-LEN(SUBSTITUTE(E3434,",",""))+1</f>
        <v>6</v>
      </c>
      <c r="K3434" s="3" t="str">
        <f aca="false">IFERROR(INDEX('Teacher Lookup'!$B$2:$B$200,MATCH(A3434,'Teacher Lookup'!$A$2:$A$200,0)),"")</f>
        <v>LI Eunice</v>
      </c>
    </row>
    <row r="3435" customFormat="false" ht="15" hidden="false" customHeight="false" outlineLevel="0" collapsed="false">
      <c r="A3435" s="3" t="s">
        <v>391</v>
      </c>
      <c r="B3435" s="4" t="s">
        <v>60</v>
      </c>
      <c r="C3435" s="4" t="n">
        <v>6</v>
      </c>
      <c r="D3435" s="4" t="s">
        <v>30</v>
      </c>
      <c r="E3435" s="3" t="s">
        <v>61</v>
      </c>
      <c r="F3435" s="4" t="str">
        <f aca="false">IF(I3435&gt;J3435,"Y","N")</f>
        <v>N</v>
      </c>
      <c r="G3435" s="3" t="s">
        <v>15</v>
      </c>
      <c r="H3435" s="3" t="s">
        <v>42</v>
      </c>
      <c r="I3435" s="4" t="n">
        <v>6</v>
      </c>
      <c r="J3435" s="4" t="n">
        <f aca="false">LEN(E3435)-LEN(SUBSTITUTE(E3435,",",""))+1</f>
        <v>6</v>
      </c>
      <c r="K3435" s="3" t="str">
        <f aca="false">IFERROR(INDEX('Teacher Lookup'!$B$2:$B$200,MATCH(A3435,'Teacher Lookup'!$A$2:$A$200,0)),"")</f>
        <v>LI Eunice</v>
      </c>
    </row>
    <row r="3436" customFormat="false" ht="15" hidden="false" customHeight="false" outlineLevel="0" collapsed="false">
      <c r="A3436" s="3" t="s">
        <v>391</v>
      </c>
      <c r="B3436" s="4" t="s">
        <v>63</v>
      </c>
      <c r="C3436" s="4" t="n">
        <v>1</v>
      </c>
      <c r="D3436" s="4" t="s">
        <v>24</v>
      </c>
      <c r="E3436" s="3" t="s">
        <v>64</v>
      </c>
      <c r="F3436" s="4" t="str">
        <f aca="false">IF(I3436&gt;J3436,"Y","N")</f>
        <v>N</v>
      </c>
      <c r="G3436" s="3" t="s">
        <v>15</v>
      </c>
      <c r="H3436" s="3" t="s">
        <v>16</v>
      </c>
      <c r="I3436" s="4" t="n">
        <v>6</v>
      </c>
      <c r="J3436" s="4" t="n">
        <f aca="false">LEN(E3436)-LEN(SUBSTITUTE(E3436,",",""))+1</f>
        <v>6</v>
      </c>
      <c r="K3436" s="3" t="str">
        <f aca="false">IFERROR(INDEX('Teacher Lookup'!$B$2:$B$200,MATCH(A3436,'Teacher Lookup'!$A$2:$A$200,0)),"")</f>
        <v>LI Eunice</v>
      </c>
    </row>
    <row r="3437" customFormat="false" ht="15" hidden="false" customHeight="false" outlineLevel="0" collapsed="false">
      <c r="A3437" s="3" t="s">
        <v>391</v>
      </c>
      <c r="B3437" s="4" t="s">
        <v>63</v>
      </c>
      <c r="C3437" s="4" t="n">
        <v>1</v>
      </c>
      <c r="D3437" s="4" t="s">
        <v>27</v>
      </c>
      <c r="E3437" s="3" t="s">
        <v>64</v>
      </c>
      <c r="F3437" s="4" t="str">
        <f aca="false">IF(I3437&gt;J3437,"Y","N")</f>
        <v>N</v>
      </c>
      <c r="G3437" s="3" t="s">
        <v>15</v>
      </c>
      <c r="H3437" s="3" t="s">
        <v>16</v>
      </c>
      <c r="I3437" s="4" t="n">
        <v>6</v>
      </c>
      <c r="J3437" s="4" t="n">
        <f aca="false">LEN(E3437)-LEN(SUBSTITUTE(E3437,",",""))+1</f>
        <v>6</v>
      </c>
      <c r="K3437" s="3" t="str">
        <f aca="false">IFERROR(INDEX('Teacher Lookup'!$B$2:$B$200,MATCH(A3437,'Teacher Lookup'!$A$2:$A$200,0)),"")</f>
        <v>LI Eunice</v>
      </c>
    </row>
    <row r="3438" customFormat="false" ht="15" hidden="false" customHeight="false" outlineLevel="0" collapsed="false">
      <c r="A3438" s="3" t="s">
        <v>391</v>
      </c>
      <c r="B3438" s="4" t="s">
        <v>63</v>
      </c>
      <c r="C3438" s="4" t="n">
        <v>1</v>
      </c>
      <c r="D3438" s="4" t="s">
        <v>28</v>
      </c>
      <c r="E3438" s="3" t="s">
        <v>64</v>
      </c>
      <c r="F3438" s="4" t="str">
        <f aca="false">IF(I3438&gt;J3438,"Y","N")</f>
        <v>N</v>
      </c>
      <c r="G3438" s="3" t="s">
        <v>15</v>
      </c>
      <c r="H3438" s="3" t="s">
        <v>16</v>
      </c>
      <c r="I3438" s="4" t="n">
        <v>6</v>
      </c>
      <c r="J3438" s="4" t="n">
        <f aca="false">LEN(E3438)-LEN(SUBSTITUTE(E3438,",",""))+1</f>
        <v>6</v>
      </c>
      <c r="K3438" s="3" t="str">
        <f aca="false">IFERROR(INDEX('Teacher Lookup'!$B$2:$B$200,MATCH(A3438,'Teacher Lookup'!$A$2:$A$200,0)),"")</f>
        <v>LI Eunice</v>
      </c>
    </row>
    <row r="3439" customFormat="false" ht="15" hidden="false" customHeight="false" outlineLevel="0" collapsed="false">
      <c r="A3439" s="3" t="s">
        <v>391</v>
      </c>
      <c r="B3439" s="4" t="s">
        <v>63</v>
      </c>
      <c r="C3439" s="4" t="n">
        <v>1</v>
      </c>
      <c r="D3439" s="4" t="s">
        <v>29</v>
      </c>
      <c r="E3439" s="3" t="s">
        <v>64</v>
      </c>
      <c r="F3439" s="4" t="str">
        <f aca="false">IF(I3439&gt;J3439,"Y","N")</f>
        <v>N</v>
      </c>
      <c r="G3439" s="3" t="s">
        <v>15</v>
      </c>
      <c r="H3439" s="3" t="s">
        <v>16</v>
      </c>
      <c r="I3439" s="4" t="n">
        <v>6</v>
      </c>
      <c r="J3439" s="4" t="n">
        <f aca="false">LEN(E3439)-LEN(SUBSTITUTE(E3439,",",""))+1</f>
        <v>6</v>
      </c>
      <c r="K3439" s="3" t="str">
        <f aca="false">IFERROR(INDEX('Teacher Lookup'!$B$2:$B$200,MATCH(A3439,'Teacher Lookup'!$A$2:$A$200,0)),"")</f>
        <v>LI Eunice</v>
      </c>
    </row>
    <row r="3440" customFormat="false" ht="15" hidden="false" customHeight="false" outlineLevel="0" collapsed="false">
      <c r="A3440" s="3" t="s">
        <v>391</v>
      </c>
      <c r="B3440" s="4" t="s">
        <v>63</v>
      </c>
      <c r="C3440" s="4" t="n">
        <v>1</v>
      </c>
      <c r="D3440" s="4" t="s">
        <v>30</v>
      </c>
      <c r="E3440" s="3" t="s">
        <v>64</v>
      </c>
      <c r="F3440" s="4" t="str">
        <f aca="false">IF(I3440&gt;J3440,"Y","N")</f>
        <v>N</v>
      </c>
      <c r="G3440" s="3" t="s">
        <v>15</v>
      </c>
      <c r="H3440" s="3" t="s">
        <v>16</v>
      </c>
      <c r="I3440" s="4" t="n">
        <v>6</v>
      </c>
      <c r="J3440" s="4" t="n">
        <f aca="false">LEN(E3440)-LEN(SUBSTITUTE(E3440,",",""))+1</f>
        <v>6</v>
      </c>
      <c r="K3440" s="3" t="str">
        <f aca="false">IFERROR(INDEX('Teacher Lookup'!$B$2:$B$200,MATCH(A3440,'Teacher Lookup'!$A$2:$A$200,0)),"")</f>
        <v>LI Eunice</v>
      </c>
    </row>
    <row r="3441" customFormat="false" ht="15" hidden="false" customHeight="false" outlineLevel="0" collapsed="false">
      <c r="A3441" s="3" t="s">
        <v>391</v>
      </c>
      <c r="B3441" s="4" t="s">
        <v>63</v>
      </c>
      <c r="C3441" s="4" t="n">
        <v>7</v>
      </c>
      <c r="D3441" s="4" t="s">
        <v>52</v>
      </c>
      <c r="E3441" s="3" t="s">
        <v>304</v>
      </c>
      <c r="F3441" s="4" t="str">
        <f aca="false">IF(I3441&gt;J3441,"Y","N")</f>
        <v>N</v>
      </c>
      <c r="G3441" s="3" t="s">
        <v>15</v>
      </c>
      <c r="H3441" s="3" t="s">
        <v>39</v>
      </c>
      <c r="I3441" s="4" t="n">
        <v>7</v>
      </c>
      <c r="J3441" s="4" t="n">
        <f aca="false">LEN(E3441)-LEN(SUBSTITUTE(E3441,",",""))+1</f>
        <v>7</v>
      </c>
      <c r="K3441" s="3" t="str">
        <f aca="false">IFERROR(INDEX('Teacher Lookup'!$B$2:$B$200,MATCH(A3441,'Teacher Lookup'!$A$2:$A$200,0)),"")</f>
        <v>LI Eunice</v>
      </c>
    </row>
    <row r="3442" customFormat="false" ht="15" hidden="false" customHeight="false" outlineLevel="0" collapsed="false">
      <c r="A3442" s="3" t="s">
        <v>391</v>
      </c>
      <c r="B3442" s="4" t="s">
        <v>63</v>
      </c>
      <c r="C3442" s="4" t="n">
        <v>7</v>
      </c>
      <c r="D3442" s="4" t="s">
        <v>55</v>
      </c>
      <c r="E3442" s="3" t="s">
        <v>304</v>
      </c>
      <c r="F3442" s="4" t="str">
        <f aca="false">IF(I3442&gt;J3442,"Y","N")</f>
        <v>N</v>
      </c>
      <c r="G3442" s="3" t="s">
        <v>15</v>
      </c>
      <c r="H3442" s="3" t="s">
        <v>39</v>
      </c>
      <c r="I3442" s="4" t="n">
        <v>7</v>
      </c>
      <c r="J3442" s="4" t="n">
        <f aca="false">LEN(E3442)-LEN(SUBSTITUTE(E3442,",",""))+1</f>
        <v>7</v>
      </c>
      <c r="K3442" s="3" t="str">
        <f aca="false">IFERROR(INDEX('Teacher Lookup'!$B$2:$B$200,MATCH(A3442,'Teacher Lookup'!$A$2:$A$200,0)),"")</f>
        <v>LI Eunice</v>
      </c>
    </row>
    <row r="3443" customFormat="false" ht="15" hidden="false" customHeight="false" outlineLevel="0" collapsed="false">
      <c r="A3443" s="3" t="s">
        <v>391</v>
      </c>
      <c r="B3443" s="4" t="s">
        <v>63</v>
      </c>
      <c r="C3443" s="4" t="n">
        <v>7</v>
      </c>
      <c r="D3443" s="4" t="s">
        <v>56</v>
      </c>
      <c r="E3443" s="3" t="s">
        <v>304</v>
      </c>
      <c r="F3443" s="4" t="str">
        <f aca="false">IF(I3443&gt;J3443,"Y","N")</f>
        <v>N</v>
      </c>
      <c r="G3443" s="3" t="s">
        <v>15</v>
      </c>
      <c r="H3443" s="3" t="s">
        <v>39</v>
      </c>
      <c r="I3443" s="4" t="n">
        <v>7</v>
      </c>
      <c r="J3443" s="4" t="n">
        <f aca="false">LEN(E3443)-LEN(SUBSTITUTE(E3443,",",""))+1</f>
        <v>7</v>
      </c>
      <c r="K3443" s="3" t="str">
        <f aca="false">IFERROR(INDEX('Teacher Lookup'!$B$2:$B$200,MATCH(A3443,'Teacher Lookup'!$A$2:$A$200,0)),"")</f>
        <v>LI Eunice</v>
      </c>
    </row>
    <row r="3444" customFormat="false" ht="15" hidden="false" customHeight="false" outlineLevel="0" collapsed="false">
      <c r="A3444" s="3" t="s">
        <v>391</v>
      </c>
      <c r="B3444" s="4" t="s">
        <v>63</v>
      </c>
      <c r="C3444" s="4" t="n">
        <v>7</v>
      </c>
      <c r="D3444" s="4" t="s">
        <v>57</v>
      </c>
      <c r="E3444" s="3" t="s">
        <v>304</v>
      </c>
      <c r="F3444" s="4" t="str">
        <f aca="false">IF(I3444&gt;J3444,"Y","N")</f>
        <v>N</v>
      </c>
      <c r="G3444" s="3" t="s">
        <v>15</v>
      </c>
      <c r="H3444" s="3" t="s">
        <v>39</v>
      </c>
      <c r="I3444" s="4" t="n">
        <v>7</v>
      </c>
      <c r="J3444" s="4" t="n">
        <f aca="false">LEN(E3444)-LEN(SUBSTITUTE(E3444,",",""))+1</f>
        <v>7</v>
      </c>
      <c r="K3444" s="3" t="str">
        <f aca="false">IFERROR(INDEX('Teacher Lookup'!$B$2:$B$200,MATCH(A3444,'Teacher Lookup'!$A$2:$A$200,0)),"")</f>
        <v>LI Eunice</v>
      </c>
    </row>
    <row r="3445" customFormat="false" ht="15" hidden="false" customHeight="false" outlineLevel="0" collapsed="false">
      <c r="A3445" s="3" t="s">
        <v>391</v>
      </c>
      <c r="B3445" s="4" t="s">
        <v>63</v>
      </c>
      <c r="C3445" s="4" t="n">
        <v>7</v>
      </c>
      <c r="D3445" s="4" t="s">
        <v>58</v>
      </c>
      <c r="E3445" s="3" t="s">
        <v>304</v>
      </c>
      <c r="F3445" s="4" t="str">
        <f aca="false">IF(I3445&gt;J3445,"Y","N")</f>
        <v>N</v>
      </c>
      <c r="G3445" s="3" t="s">
        <v>15</v>
      </c>
      <c r="H3445" s="3" t="s">
        <v>39</v>
      </c>
      <c r="I3445" s="4" t="n">
        <v>7</v>
      </c>
      <c r="J3445" s="4" t="n">
        <f aca="false">LEN(E3445)-LEN(SUBSTITUTE(E3445,",",""))+1</f>
        <v>7</v>
      </c>
      <c r="K3445" s="3" t="str">
        <f aca="false">IFERROR(INDEX('Teacher Lookup'!$B$2:$B$200,MATCH(A3445,'Teacher Lookup'!$A$2:$A$200,0)),"")</f>
        <v>LI Eunice</v>
      </c>
    </row>
    <row r="3446" customFormat="false" ht="15" hidden="false" customHeight="false" outlineLevel="0" collapsed="false">
      <c r="A3446" s="3" t="s">
        <v>391</v>
      </c>
      <c r="B3446" s="4" t="s">
        <v>63</v>
      </c>
      <c r="C3446" s="4" t="n">
        <v>7</v>
      </c>
      <c r="D3446" s="4" t="s">
        <v>59</v>
      </c>
      <c r="E3446" s="3" t="s">
        <v>304</v>
      </c>
      <c r="F3446" s="4" t="str">
        <f aca="false">IF(I3446&gt;J3446,"Y","N")</f>
        <v>N</v>
      </c>
      <c r="G3446" s="3" t="s">
        <v>15</v>
      </c>
      <c r="H3446" s="3" t="s">
        <v>39</v>
      </c>
      <c r="I3446" s="4" t="n">
        <v>7</v>
      </c>
      <c r="J3446" s="4" t="n">
        <f aca="false">LEN(E3446)-LEN(SUBSTITUTE(E3446,",",""))+1</f>
        <v>7</v>
      </c>
      <c r="K3446" s="3" t="str">
        <f aca="false">IFERROR(INDEX('Teacher Lookup'!$B$2:$B$200,MATCH(A3446,'Teacher Lookup'!$A$2:$A$200,0)),"")</f>
        <v>LI Eunice</v>
      </c>
    </row>
    <row r="3447" customFormat="false" ht="15" hidden="false" customHeight="false" outlineLevel="0" collapsed="false">
      <c r="A3447" s="3" t="s">
        <v>391</v>
      </c>
      <c r="B3447" s="4" t="s">
        <v>65</v>
      </c>
      <c r="C3447" s="4" t="n">
        <v>2</v>
      </c>
      <c r="D3447" s="4" t="s">
        <v>24</v>
      </c>
      <c r="E3447" s="3" t="s">
        <v>64</v>
      </c>
      <c r="F3447" s="4" t="str">
        <f aca="false">IF(I3447&gt;J3447,"Y","N")</f>
        <v>N</v>
      </c>
      <c r="G3447" s="3" t="s">
        <v>15</v>
      </c>
      <c r="H3447" s="3" t="s">
        <v>21</v>
      </c>
      <c r="I3447" s="4" t="n">
        <v>6</v>
      </c>
      <c r="J3447" s="4" t="n">
        <f aca="false">LEN(E3447)-LEN(SUBSTITUTE(E3447,",",""))+1</f>
        <v>6</v>
      </c>
      <c r="K3447" s="3" t="str">
        <f aca="false">IFERROR(INDEX('Teacher Lookup'!$B$2:$B$200,MATCH(A3447,'Teacher Lookup'!$A$2:$A$200,0)),"")</f>
        <v>LI Eunice</v>
      </c>
    </row>
    <row r="3448" customFormat="false" ht="15" hidden="false" customHeight="false" outlineLevel="0" collapsed="false">
      <c r="A3448" s="3" t="s">
        <v>391</v>
      </c>
      <c r="B3448" s="4" t="s">
        <v>65</v>
      </c>
      <c r="C3448" s="4" t="n">
        <v>2</v>
      </c>
      <c r="D3448" s="4" t="s">
        <v>27</v>
      </c>
      <c r="E3448" s="3" t="s">
        <v>64</v>
      </c>
      <c r="F3448" s="4" t="str">
        <f aca="false">IF(I3448&gt;J3448,"Y","N")</f>
        <v>N</v>
      </c>
      <c r="G3448" s="3" t="s">
        <v>15</v>
      </c>
      <c r="H3448" s="3" t="s">
        <v>21</v>
      </c>
      <c r="I3448" s="4" t="n">
        <v>6</v>
      </c>
      <c r="J3448" s="4" t="n">
        <f aca="false">LEN(E3448)-LEN(SUBSTITUTE(E3448,",",""))+1</f>
        <v>6</v>
      </c>
      <c r="K3448" s="3" t="str">
        <f aca="false">IFERROR(INDEX('Teacher Lookup'!$B$2:$B$200,MATCH(A3448,'Teacher Lookup'!$A$2:$A$200,0)),"")</f>
        <v>LI Eunice</v>
      </c>
    </row>
    <row r="3449" customFormat="false" ht="15" hidden="false" customHeight="false" outlineLevel="0" collapsed="false">
      <c r="A3449" s="3" t="s">
        <v>391</v>
      </c>
      <c r="B3449" s="4" t="s">
        <v>65</v>
      </c>
      <c r="C3449" s="4" t="n">
        <v>2</v>
      </c>
      <c r="D3449" s="4" t="s">
        <v>28</v>
      </c>
      <c r="E3449" s="3" t="s">
        <v>64</v>
      </c>
      <c r="F3449" s="4" t="str">
        <f aca="false">IF(I3449&gt;J3449,"Y","N")</f>
        <v>N</v>
      </c>
      <c r="G3449" s="3" t="s">
        <v>15</v>
      </c>
      <c r="H3449" s="3" t="s">
        <v>21</v>
      </c>
      <c r="I3449" s="4" t="n">
        <v>6</v>
      </c>
      <c r="J3449" s="4" t="n">
        <f aca="false">LEN(E3449)-LEN(SUBSTITUTE(E3449,",",""))+1</f>
        <v>6</v>
      </c>
      <c r="K3449" s="3" t="str">
        <f aca="false">IFERROR(INDEX('Teacher Lookup'!$B$2:$B$200,MATCH(A3449,'Teacher Lookup'!$A$2:$A$200,0)),"")</f>
        <v>LI Eunice</v>
      </c>
    </row>
    <row r="3450" customFormat="false" ht="15" hidden="false" customHeight="false" outlineLevel="0" collapsed="false">
      <c r="A3450" s="3" t="s">
        <v>391</v>
      </c>
      <c r="B3450" s="4" t="s">
        <v>65</v>
      </c>
      <c r="C3450" s="4" t="n">
        <v>2</v>
      </c>
      <c r="D3450" s="4" t="s">
        <v>29</v>
      </c>
      <c r="E3450" s="3" t="s">
        <v>64</v>
      </c>
      <c r="F3450" s="4" t="str">
        <f aca="false">IF(I3450&gt;J3450,"Y","N")</f>
        <v>N</v>
      </c>
      <c r="G3450" s="3" t="s">
        <v>15</v>
      </c>
      <c r="H3450" s="3" t="s">
        <v>21</v>
      </c>
      <c r="I3450" s="4" t="n">
        <v>6</v>
      </c>
      <c r="J3450" s="4" t="n">
        <f aca="false">LEN(E3450)-LEN(SUBSTITUTE(E3450,",",""))+1</f>
        <v>6</v>
      </c>
      <c r="K3450" s="3" t="str">
        <f aca="false">IFERROR(INDEX('Teacher Lookup'!$B$2:$B$200,MATCH(A3450,'Teacher Lookup'!$A$2:$A$200,0)),"")</f>
        <v>LI Eunice</v>
      </c>
    </row>
    <row r="3451" customFormat="false" ht="15" hidden="false" customHeight="false" outlineLevel="0" collapsed="false">
      <c r="A3451" s="3" t="s">
        <v>391</v>
      </c>
      <c r="B3451" s="4" t="s">
        <v>65</v>
      </c>
      <c r="C3451" s="4" t="n">
        <v>2</v>
      </c>
      <c r="D3451" s="4" t="s">
        <v>30</v>
      </c>
      <c r="E3451" s="3" t="s">
        <v>64</v>
      </c>
      <c r="F3451" s="4" t="str">
        <f aca="false">IF(I3451&gt;J3451,"Y","N")</f>
        <v>N</v>
      </c>
      <c r="G3451" s="3" t="s">
        <v>15</v>
      </c>
      <c r="H3451" s="3" t="s">
        <v>21</v>
      </c>
      <c r="I3451" s="4" t="n">
        <v>6</v>
      </c>
      <c r="J3451" s="4" t="n">
        <f aca="false">LEN(E3451)-LEN(SUBSTITUTE(E3451,",",""))+1</f>
        <v>6</v>
      </c>
      <c r="K3451" s="3" t="str">
        <f aca="false">IFERROR(INDEX('Teacher Lookup'!$B$2:$B$200,MATCH(A3451,'Teacher Lookup'!$A$2:$A$200,0)),"")</f>
        <v>LI Eunice</v>
      </c>
    </row>
    <row r="3452" customFormat="false" ht="15" hidden="false" customHeight="false" outlineLevel="0" collapsed="false">
      <c r="A3452" s="3" t="s">
        <v>391</v>
      </c>
      <c r="B3452" s="4" t="s">
        <v>65</v>
      </c>
      <c r="C3452" s="4" t="n">
        <v>4</v>
      </c>
      <c r="D3452" s="4" t="s">
        <v>52</v>
      </c>
      <c r="E3452" s="3" t="s">
        <v>306</v>
      </c>
      <c r="F3452" s="4" t="str">
        <f aca="false">IF(I3452&gt;J3452,"Y","N")</f>
        <v>N</v>
      </c>
      <c r="G3452" s="3" t="s">
        <v>15</v>
      </c>
      <c r="H3452" s="3" t="s">
        <v>34</v>
      </c>
      <c r="I3452" s="4" t="n">
        <v>7</v>
      </c>
      <c r="J3452" s="4" t="n">
        <f aca="false">LEN(E3452)-LEN(SUBSTITUTE(E3452,",",""))+1</f>
        <v>7</v>
      </c>
      <c r="K3452" s="3" t="str">
        <f aca="false">IFERROR(INDEX('Teacher Lookup'!$B$2:$B$200,MATCH(A3452,'Teacher Lookup'!$A$2:$A$200,0)),"")</f>
        <v>LI Eunice</v>
      </c>
    </row>
    <row r="3453" customFormat="false" ht="15" hidden="false" customHeight="false" outlineLevel="0" collapsed="false">
      <c r="A3453" s="3" t="s">
        <v>391</v>
      </c>
      <c r="B3453" s="4" t="s">
        <v>65</v>
      </c>
      <c r="C3453" s="4" t="n">
        <v>4</v>
      </c>
      <c r="D3453" s="4" t="s">
        <v>55</v>
      </c>
      <c r="E3453" s="3" t="s">
        <v>306</v>
      </c>
      <c r="F3453" s="4" t="str">
        <f aca="false">IF(I3453&gt;J3453,"Y","N")</f>
        <v>N</v>
      </c>
      <c r="G3453" s="3" t="s">
        <v>15</v>
      </c>
      <c r="H3453" s="3" t="s">
        <v>34</v>
      </c>
      <c r="I3453" s="4" t="n">
        <v>7</v>
      </c>
      <c r="J3453" s="4" t="n">
        <f aca="false">LEN(E3453)-LEN(SUBSTITUTE(E3453,",",""))+1</f>
        <v>7</v>
      </c>
      <c r="K3453" s="3" t="str">
        <f aca="false">IFERROR(INDEX('Teacher Lookup'!$B$2:$B$200,MATCH(A3453,'Teacher Lookup'!$A$2:$A$200,0)),"")</f>
        <v>LI Eunice</v>
      </c>
    </row>
    <row r="3454" customFormat="false" ht="15" hidden="false" customHeight="false" outlineLevel="0" collapsed="false">
      <c r="A3454" s="3" t="s">
        <v>391</v>
      </c>
      <c r="B3454" s="4" t="s">
        <v>65</v>
      </c>
      <c r="C3454" s="4" t="n">
        <v>4</v>
      </c>
      <c r="D3454" s="4" t="s">
        <v>56</v>
      </c>
      <c r="E3454" s="3" t="s">
        <v>306</v>
      </c>
      <c r="F3454" s="4" t="str">
        <f aca="false">IF(I3454&gt;J3454,"Y","N")</f>
        <v>N</v>
      </c>
      <c r="G3454" s="3" t="s">
        <v>15</v>
      </c>
      <c r="H3454" s="3" t="s">
        <v>34</v>
      </c>
      <c r="I3454" s="4" t="n">
        <v>7</v>
      </c>
      <c r="J3454" s="4" t="n">
        <f aca="false">LEN(E3454)-LEN(SUBSTITUTE(E3454,",",""))+1</f>
        <v>7</v>
      </c>
      <c r="K3454" s="3" t="str">
        <f aca="false">IFERROR(INDEX('Teacher Lookup'!$B$2:$B$200,MATCH(A3454,'Teacher Lookup'!$A$2:$A$200,0)),"")</f>
        <v>LI Eunice</v>
      </c>
    </row>
    <row r="3455" customFormat="false" ht="15" hidden="false" customHeight="false" outlineLevel="0" collapsed="false">
      <c r="A3455" s="3" t="s">
        <v>391</v>
      </c>
      <c r="B3455" s="4" t="s">
        <v>65</v>
      </c>
      <c r="C3455" s="4" t="n">
        <v>4</v>
      </c>
      <c r="D3455" s="4" t="s">
        <v>57</v>
      </c>
      <c r="E3455" s="3" t="s">
        <v>306</v>
      </c>
      <c r="F3455" s="4" t="str">
        <f aca="false">IF(I3455&gt;J3455,"Y","N")</f>
        <v>N</v>
      </c>
      <c r="G3455" s="3" t="s">
        <v>15</v>
      </c>
      <c r="H3455" s="3" t="s">
        <v>34</v>
      </c>
      <c r="I3455" s="4" t="n">
        <v>7</v>
      </c>
      <c r="J3455" s="4" t="n">
        <f aca="false">LEN(E3455)-LEN(SUBSTITUTE(E3455,",",""))+1</f>
        <v>7</v>
      </c>
      <c r="K3455" s="3" t="str">
        <f aca="false">IFERROR(INDEX('Teacher Lookup'!$B$2:$B$200,MATCH(A3455,'Teacher Lookup'!$A$2:$A$200,0)),"")</f>
        <v>LI Eunice</v>
      </c>
    </row>
    <row r="3456" customFormat="false" ht="15" hidden="false" customHeight="false" outlineLevel="0" collapsed="false">
      <c r="A3456" s="3" t="s">
        <v>391</v>
      </c>
      <c r="B3456" s="4" t="s">
        <v>65</v>
      </c>
      <c r="C3456" s="4" t="n">
        <v>4</v>
      </c>
      <c r="D3456" s="4" t="s">
        <v>58</v>
      </c>
      <c r="E3456" s="3" t="s">
        <v>306</v>
      </c>
      <c r="F3456" s="4" t="str">
        <f aca="false">IF(I3456&gt;J3456,"Y","N")</f>
        <v>N</v>
      </c>
      <c r="G3456" s="3" t="s">
        <v>15</v>
      </c>
      <c r="H3456" s="3" t="s">
        <v>34</v>
      </c>
      <c r="I3456" s="4" t="n">
        <v>7</v>
      </c>
      <c r="J3456" s="4" t="n">
        <f aca="false">LEN(E3456)-LEN(SUBSTITUTE(E3456,",",""))+1</f>
        <v>7</v>
      </c>
      <c r="K3456" s="3" t="str">
        <f aca="false">IFERROR(INDEX('Teacher Lookup'!$B$2:$B$200,MATCH(A3456,'Teacher Lookup'!$A$2:$A$200,0)),"")</f>
        <v>LI Eunice</v>
      </c>
    </row>
    <row r="3457" customFormat="false" ht="15" hidden="false" customHeight="false" outlineLevel="0" collapsed="false">
      <c r="A3457" s="3" t="s">
        <v>391</v>
      </c>
      <c r="B3457" s="4" t="s">
        <v>65</v>
      </c>
      <c r="C3457" s="4" t="n">
        <v>4</v>
      </c>
      <c r="D3457" s="4" t="s">
        <v>59</v>
      </c>
      <c r="E3457" s="3" t="s">
        <v>306</v>
      </c>
      <c r="F3457" s="4" t="str">
        <f aca="false">IF(I3457&gt;J3457,"Y","N")</f>
        <v>N</v>
      </c>
      <c r="G3457" s="3" t="s">
        <v>15</v>
      </c>
      <c r="H3457" s="3" t="s">
        <v>34</v>
      </c>
      <c r="I3457" s="4" t="n">
        <v>7</v>
      </c>
      <c r="J3457" s="4" t="n">
        <f aca="false">LEN(E3457)-LEN(SUBSTITUTE(E3457,",",""))+1</f>
        <v>7</v>
      </c>
      <c r="K3457" s="3" t="str">
        <f aca="false">IFERROR(INDEX('Teacher Lookup'!$B$2:$B$200,MATCH(A3457,'Teacher Lookup'!$A$2:$A$200,0)),"")</f>
        <v>LI Eunice</v>
      </c>
    </row>
    <row r="3458" customFormat="false" ht="15" hidden="false" customHeight="false" outlineLevel="0" collapsed="false">
      <c r="A3458" s="3" t="s">
        <v>391</v>
      </c>
      <c r="B3458" s="4" t="s">
        <v>65</v>
      </c>
      <c r="C3458" s="4" t="n">
        <v>5</v>
      </c>
      <c r="D3458" s="4" t="s">
        <v>52</v>
      </c>
      <c r="E3458" s="3" t="s">
        <v>112</v>
      </c>
      <c r="F3458" s="4" t="str">
        <f aca="false">IF(I3458&gt;J3458,"Y","N")</f>
        <v>Y</v>
      </c>
      <c r="G3458" s="3" t="s">
        <v>36</v>
      </c>
      <c r="H3458" s="3" t="s">
        <v>37</v>
      </c>
      <c r="I3458" s="4" t="n">
        <v>16</v>
      </c>
      <c r="J3458" s="4" t="n">
        <f aca="false">LEN(E3458)-LEN(SUBSTITUTE(E3458,",",""))+1</f>
        <v>7</v>
      </c>
      <c r="K3458" s="3" t="str">
        <f aca="false">IFERROR(INDEX('Teacher Lookup'!$B$2:$B$200,MATCH(A3458,'Teacher Lookup'!$A$2:$A$200,0)),"")</f>
        <v>LI Eunice</v>
      </c>
    </row>
    <row r="3459" customFormat="false" ht="15" hidden="false" customHeight="false" outlineLevel="0" collapsed="false">
      <c r="A3459" s="3" t="s">
        <v>391</v>
      </c>
      <c r="B3459" s="4" t="s">
        <v>65</v>
      </c>
      <c r="C3459" s="4" t="n">
        <v>5</v>
      </c>
      <c r="D3459" s="4" t="s">
        <v>55</v>
      </c>
      <c r="E3459" s="3" t="s">
        <v>112</v>
      </c>
      <c r="F3459" s="4" t="str">
        <f aca="false">IF(I3459&gt;J3459,"Y","N")</f>
        <v>Y</v>
      </c>
      <c r="G3459" s="3" t="s">
        <v>36</v>
      </c>
      <c r="H3459" s="3" t="s">
        <v>37</v>
      </c>
      <c r="I3459" s="4" t="n">
        <v>16</v>
      </c>
      <c r="J3459" s="4" t="n">
        <f aca="false">LEN(E3459)-LEN(SUBSTITUTE(E3459,",",""))+1</f>
        <v>7</v>
      </c>
      <c r="K3459" s="3" t="str">
        <f aca="false">IFERROR(INDEX('Teacher Lookup'!$B$2:$B$200,MATCH(A3459,'Teacher Lookup'!$A$2:$A$200,0)),"")</f>
        <v>LI Eunice</v>
      </c>
    </row>
    <row r="3460" customFormat="false" ht="15" hidden="false" customHeight="false" outlineLevel="0" collapsed="false">
      <c r="A3460" s="3" t="s">
        <v>391</v>
      </c>
      <c r="B3460" s="4" t="s">
        <v>65</v>
      </c>
      <c r="C3460" s="4" t="n">
        <v>5</v>
      </c>
      <c r="D3460" s="4" t="s">
        <v>56</v>
      </c>
      <c r="E3460" s="3" t="s">
        <v>112</v>
      </c>
      <c r="F3460" s="4" t="str">
        <f aca="false">IF(I3460&gt;J3460,"Y","N")</f>
        <v>Y</v>
      </c>
      <c r="G3460" s="3" t="s">
        <v>36</v>
      </c>
      <c r="H3460" s="3" t="s">
        <v>37</v>
      </c>
      <c r="I3460" s="4" t="n">
        <v>16</v>
      </c>
      <c r="J3460" s="4" t="n">
        <f aca="false">LEN(E3460)-LEN(SUBSTITUTE(E3460,",",""))+1</f>
        <v>7</v>
      </c>
      <c r="K3460" s="3" t="str">
        <f aca="false">IFERROR(INDEX('Teacher Lookup'!$B$2:$B$200,MATCH(A3460,'Teacher Lookup'!$A$2:$A$200,0)),"")</f>
        <v>LI Eunice</v>
      </c>
    </row>
    <row r="3461" customFormat="false" ht="15" hidden="false" customHeight="false" outlineLevel="0" collapsed="false">
      <c r="A3461" s="3" t="s">
        <v>391</v>
      </c>
      <c r="B3461" s="4" t="s">
        <v>65</v>
      </c>
      <c r="C3461" s="4" t="n">
        <v>5</v>
      </c>
      <c r="D3461" s="4" t="s">
        <v>57</v>
      </c>
      <c r="E3461" s="3" t="s">
        <v>112</v>
      </c>
      <c r="F3461" s="4" t="str">
        <f aca="false">IF(I3461&gt;J3461,"Y","N")</f>
        <v>Y</v>
      </c>
      <c r="G3461" s="3" t="s">
        <v>36</v>
      </c>
      <c r="H3461" s="3" t="s">
        <v>37</v>
      </c>
      <c r="I3461" s="4" t="n">
        <v>16</v>
      </c>
      <c r="J3461" s="4" t="n">
        <f aca="false">LEN(E3461)-LEN(SUBSTITUTE(E3461,",",""))+1</f>
        <v>7</v>
      </c>
      <c r="K3461" s="3" t="str">
        <f aca="false">IFERROR(INDEX('Teacher Lookup'!$B$2:$B$200,MATCH(A3461,'Teacher Lookup'!$A$2:$A$200,0)),"")</f>
        <v>LI Eunice</v>
      </c>
    </row>
    <row r="3462" customFormat="false" ht="15" hidden="false" customHeight="false" outlineLevel="0" collapsed="false">
      <c r="A3462" s="3" t="s">
        <v>391</v>
      </c>
      <c r="B3462" s="4" t="s">
        <v>65</v>
      </c>
      <c r="C3462" s="4" t="n">
        <v>5</v>
      </c>
      <c r="D3462" s="4" t="s">
        <v>58</v>
      </c>
      <c r="E3462" s="3" t="s">
        <v>112</v>
      </c>
      <c r="F3462" s="4" t="str">
        <f aca="false">IF(I3462&gt;J3462,"Y","N")</f>
        <v>Y</v>
      </c>
      <c r="G3462" s="3" t="s">
        <v>36</v>
      </c>
      <c r="H3462" s="3" t="s">
        <v>37</v>
      </c>
      <c r="I3462" s="4" t="n">
        <v>16</v>
      </c>
      <c r="J3462" s="4" t="n">
        <f aca="false">LEN(E3462)-LEN(SUBSTITUTE(E3462,",",""))+1</f>
        <v>7</v>
      </c>
      <c r="K3462" s="3" t="str">
        <f aca="false">IFERROR(INDEX('Teacher Lookup'!$B$2:$B$200,MATCH(A3462,'Teacher Lookup'!$A$2:$A$200,0)),"")</f>
        <v>LI Eunice</v>
      </c>
    </row>
    <row r="3463" customFormat="false" ht="15" hidden="false" customHeight="false" outlineLevel="0" collapsed="false">
      <c r="A3463" s="3" t="s">
        <v>391</v>
      </c>
      <c r="B3463" s="4" t="s">
        <v>65</v>
      </c>
      <c r="C3463" s="4" t="n">
        <v>5</v>
      </c>
      <c r="D3463" s="4" t="s">
        <v>59</v>
      </c>
      <c r="E3463" s="3" t="s">
        <v>112</v>
      </c>
      <c r="F3463" s="4" t="str">
        <f aca="false">IF(I3463&gt;J3463,"Y","N")</f>
        <v>Y</v>
      </c>
      <c r="G3463" s="3" t="s">
        <v>36</v>
      </c>
      <c r="H3463" s="3" t="s">
        <v>37</v>
      </c>
      <c r="I3463" s="4" t="n">
        <v>16</v>
      </c>
      <c r="J3463" s="4" t="n">
        <f aca="false">LEN(E3463)-LEN(SUBSTITUTE(E3463,",",""))+1</f>
        <v>7</v>
      </c>
      <c r="K3463" s="3" t="str">
        <f aca="false">IFERROR(INDEX('Teacher Lookup'!$B$2:$B$200,MATCH(A3463,'Teacher Lookup'!$A$2:$A$200,0)),"")</f>
        <v>LI Eunice</v>
      </c>
    </row>
    <row r="3464" customFormat="false" ht="15" hidden="false" customHeight="false" outlineLevel="0" collapsed="false">
      <c r="A3464" s="3" t="s">
        <v>391</v>
      </c>
      <c r="B3464" s="4" t="s">
        <v>66</v>
      </c>
      <c r="C3464" s="4" t="n">
        <v>3</v>
      </c>
      <c r="D3464" s="4" t="s">
        <v>24</v>
      </c>
      <c r="E3464" s="3" t="s">
        <v>67</v>
      </c>
      <c r="F3464" s="4" t="str">
        <f aca="false">IF(I3464&gt;J3464,"Y","N")</f>
        <v>N</v>
      </c>
      <c r="G3464" s="3" t="s">
        <v>15</v>
      </c>
      <c r="H3464" s="3" t="s">
        <v>26</v>
      </c>
      <c r="I3464" s="4" t="n">
        <v>6</v>
      </c>
      <c r="J3464" s="4" t="n">
        <f aca="false">LEN(E3464)-LEN(SUBSTITUTE(E3464,",",""))+1</f>
        <v>6</v>
      </c>
      <c r="K3464" s="3" t="str">
        <f aca="false">IFERROR(INDEX('Teacher Lookup'!$B$2:$B$200,MATCH(A3464,'Teacher Lookup'!$A$2:$A$200,0)),"")</f>
        <v>LI Eunice</v>
      </c>
    </row>
    <row r="3465" customFormat="false" ht="15" hidden="false" customHeight="false" outlineLevel="0" collapsed="false">
      <c r="A3465" s="3" t="s">
        <v>391</v>
      </c>
      <c r="B3465" s="4" t="s">
        <v>66</v>
      </c>
      <c r="C3465" s="4" t="n">
        <v>3</v>
      </c>
      <c r="D3465" s="4" t="s">
        <v>27</v>
      </c>
      <c r="E3465" s="3" t="s">
        <v>67</v>
      </c>
      <c r="F3465" s="4" t="str">
        <f aca="false">IF(I3465&gt;J3465,"Y","N")</f>
        <v>N</v>
      </c>
      <c r="G3465" s="3" t="s">
        <v>15</v>
      </c>
      <c r="H3465" s="3" t="s">
        <v>26</v>
      </c>
      <c r="I3465" s="4" t="n">
        <v>6</v>
      </c>
      <c r="J3465" s="4" t="n">
        <f aca="false">LEN(E3465)-LEN(SUBSTITUTE(E3465,",",""))+1</f>
        <v>6</v>
      </c>
      <c r="K3465" s="3" t="str">
        <f aca="false">IFERROR(INDEX('Teacher Lookup'!$B$2:$B$200,MATCH(A3465,'Teacher Lookup'!$A$2:$A$200,0)),"")</f>
        <v>LI Eunice</v>
      </c>
    </row>
    <row r="3466" customFormat="false" ht="15" hidden="false" customHeight="false" outlineLevel="0" collapsed="false">
      <c r="A3466" s="3" t="s">
        <v>391</v>
      </c>
      <c r="B3466" s="4" t="s">
        <v>66</v>
      </c>
      <c r="C3466" s="4" t="n">
        <v>3</v>
      </c>
      <c r="D3466" s="4" t="s">
        <v>28</v>
      </c>
      <c r="E3466" s="3" t="s">
        <v>67</v>
      </c>
      <c r="F3466" s="4" t="str">
        <f aca="false">IF(I3466&gt;J3466,"Y","N")</f>
        <v>N</v>
      </c>
      <c r="G3466" s="3" t="s">
        <v>15</v>
      </c>
      <c r="H3466" s="3" t="s">
        <v>26</v>
      </c>
      <c r="I3466" s="4" t="n">
        <v>6</v>
      </c>
      <c r="J3466" s="4" t="n">
        <f aca="false">LEN(E3466)-LEN(SUBSTITUTE(E3466,",",""))+1</f>
        <v>6</v>
      </c>
      <c r="K3466" s="3" t="str">
        <f aca="false">IFERROR(INDEX('Teacher Lookup'!$B$2:$B$200,MATCH(A3466,'Teacher Lookup'!$A$2:$A$200,0)),"")</f>
        <v>LI Eunice</v>
      </c>
    </row>
    <row r="3467" customFormat="false" ht="15" hidden="false" customHeight="false" outlineLevel="0" collapsed="false">
      <c r="A3467" s="3" t="s">
        <v>391</v>
      </c>
      <c r="B3467" s="4" t="s">
        <v>66</v>
      </c>
      <c r="C3467" s="4" t="n">
        <v>3</v>
      </c>
      <c r="D3467" s="4" t="s">
        <v>29</v>
      </c>
      <c r="E3467" s="3" t="s">
        <v>67</v>
      </c>
      <c r="F3467" s="4" t="str">
        <f aca="false">IF(I3467&gt;J3467,"Y","N")</f>
        <v>N</v>
      </c>
      <c r="G3467" s="3" t="s">
        <v>15</v>
      </c>
      <c r="H3467" s="3" t="s">
        <v>26</v>
      </c>
      <c r="I3467" s="4" t="n">
        <v>6</v>
      </c>
      <c r="J3467" s="4" t="n">
        <f aca="false">LEN(E3467)-LEN(SUBSTITUTE(E3467,",",""))+1</f>
        <v>6</v>
      </c>
      <c r="K3467" s="3" t="str">
        <f aca="false">IFERROR(INDEX('Teacher Lookup'!$B$2:$B$200,MATCH(A3467,'Teacher Lookup'!$A$2:$A$200,0)),"")</f>
        <v>LI Eunice</v>
      </c>
    </row>
    <row r="3468" customFormat="false" ht="15" hidden="false" customHeight="false" outlineLevel="0" collapsed="false">
      <c r="A3468" s="3" t="s">
        <v>391</v>
      </c>
      <c r="B3468" s="4" t="s">
        <v>66</v>
      </c>
      <c r="C3468" s="4" t="n">
        <v>3</v>
      </c>
      <c r="D3468" s="4" t="s">
        <v>30</v>
      </c>
      <c r="E3468" s="3" t="s">
        <v>67</v>
      </c>
      <c r="F3468" s="4" t="str">
        <f aca="false">IF(I3468&gt;J3468,"Y","N")</f>
        <v>N</v>
      </c>
      <c r="G3468" s="3" t="s">
        <v>15</v>
      </c>
      <c r="H3468" s="3" t="s">
        <v>26</v>
      </c>
      <c r="I3468" s="4" t="n">
        <v>6</v>
      </c>
      <c r="J3468" s="4" t="n">
        <f aca="false">LEN(E3468)-LEN(SUBSTITUTE(E3468,",",""))+1</f>
        <v>6</v>
      </c>
      <c r="K3468" s="3" t="str">
        <f aca="false">IFERROR(INDEX('Teacher Lookup'!$B$2:$B$200,MATCH(A3468,'Teacher Lookup'!$A$2:$A$200,0)),"")</f>
        <v>LI Eunice</v>
      </c>
    </row>
    <row r="3469" customFormat="false" ht="15" hidden="false" customHeight="false" outlineLevel="0" collapsed="false">
      <c r="A3469" s="3" t="s">
        <v>391</v>
      </c>
      <c r="B3469" s="4" t="s">
        <v>66</v>
      </c>
      <c r="C3469" s="4" t="n">
        <v>6</v>
      </c>
      <c r="D3469" s="4" t="s">
        <v>52</v>
      </c>
      <c r="E3469" s="3" t="s">
        <v>306</v>
      </c>
      <c r="F3469" s="4" t="str">
        <f aca="false">IF(I3469&gt;J3469,"Y","N")</f>
        <v>N</v>
      </c>
      <c r="G3469" s="3" t="s">
        <v>15</v>
      </c>
      <c r="H3469" s="3" t="s">
        <v>42</v>
      </c>
      <c r="I3469" s="4" t="n">
        <v>7</v>
      </c>
      <c r="J3469" s="4" t="n">
        <f aca="false">LEN(E3469)-LEN(SUBSTITUTE(E3469,",",""))+1</f>
        <v>7</v>
      </c>
      <c r="K3469" s="3" t="str">
        <f aca="false">IFERROR(INDEX('Teacher Lookup'!$B$2:$B$200,MATCH(A3469,'Teacher Lookup'!$A$2:$A$200,0)),"")</f>
        <v>LI Eunice</v>
      </c>
    </row>
    <row r="3470" customFormat="false" ht="15" hidden="false" customHeight="false" outlineLevel="0" collapsed="false">
      <c r="A3470" s="3" t="s">
        <v>391</v>
      </c>
      <c r="B3470" s="4" t="s">
        <v>66</v>
      </c>
      <c r="C3470" s="4" t="n">
        <v>6</v>
      </c>
      <c r="D3470" s="4" t="s">
        <v>55</v>
      </c>
      <c r="E3470" s="3" t="s">
        <v>306</v>
      </c>
      <c r="F3470" s="4" t="str">
        <f aca="false">IF(I3470&gt;J3470,"Y","N")</f>
        <v>N</v>
      </c>
      <c r="G3470" s="3" t="s">
        <v>15</v>
      </c>
      <c r="H3470" s="3" t="s">
        <v>42</v>
      </c>
      <c r="I3470" s="4" t="n">
        <v>7</v>
      </c>
      <c r="J3470" s="4" t="n">
        <f aca="false">LEN(E3470)-LEN(SUBSTITUTE(E3470,",",""))+1</f>
        <v>7</v>
      </c>
      <c r="K3470" s="3" t="str">
        <f aca="false">IFERROR(INDEX('Teacher Lookup'!$B$2:$B$200,MATCH(A3470,'Teacher Lookup'!$A$2:$A$200,0)),"")</f>
        <v>LI Eunice</v>
      </c>
    </row>
    <row r="3471" customFormat="false" ht="15" hidden="false" customHeight="false" outlineLevel="0" collapsed="false">
      <c r="A3471" s="3" t="s">
        <v>391</v>
      </c>
      <c r="B3471" s="4" t="s">
        <v>66</v>
      </c>
      <c r="C3471" s="4" t="n">
        <v>6</v>
      </c>
      <c r="D3471" s="4" t="s">
        <v>56</v>
      </c>
      <c r="E3471" s="3" t="s">
        <v>306</v>
      </c>
      <c r="F3471" s="4" t="str">
        <f aca="false">IF(I3471&gt;J3471,"Y","N")</f>
        <v>N</v>
      </c>
      <c r="G3471" s="3" t="s">
        <v>15</v>
      </c>
      <c r="H3471" s="3" t="s">
        <v>42</v>
      </c>
      <c r="I3471" s="4" t="n">
        <v>7</v>
      </c>
      <c r="J3471" s="4" t="n">
        <f aca="false">LEN(E3471)-LEN(SUBSTITUTE(E3471,",",""))+1</f>
        <v>7</v>
      </c>
      <c r="K3471" s="3" t="str">
        <f aca="false">IFERROR(INDEX('Teacher Lookup'!$B$2:$B$200,MATCH(A3471,'Teacher Lookup'!$A$2:$A$200,0)),"")</f>
        <v>LI Eunice</v>
      </c>
    </row>
    <row r="3472" customFormat="false" ht="15" hidden="false" customHeight="false" outlineLevel="0" collapsed="false">
      <c r="A3472" s="3" t="s">
        <v>391</v>
      </c>
      <c r="B3472" s="4" t="s">
        <v>66</v>
      </c>
      <c r="C3472" s="4" t="n">
        <v>6</v>
      </c>
      <c r="D3472" s="4" t="s">
        <v>57</v>
      </c>
      <c r="E3472" s="3" t="s">
        <v>306</v>
      </c>
      <c r="F3472" s="4" t="str">
        <f aca="false">IF(I3472&gt;J3472,"Y","N")</f>
        <v>N</v>
      </c>
      <c r="G3472" s="3" t="s">
        <v>15</v>
      </c>
      <c r="H3472" s="3" t="s">
        <v>42</v>
      </c>
      <c r="I3472" s="4" t="n">
        <v>7</v>
      </c>
      <c r="J3472" s="4" t="n">
        <f aca="false">LEN(E3472)-LEN(SUBSTITUTE(E3472,",",""))+1</f>
        <v>7</v>
      </c>
      <c r="K3472" s="3" t="str">
        <f aca="false">IFERROR(INDEX('Teacher Lookup'!$B$2:$B$200,MATCH(A3472,'Teacher Lookup'!$A$2:$A$200,0)),"")</f>
        <v>LI Eunice</v>
      </c>
    </row>
    <row r="3473" customFormat="false" ht="15" hidden="false" customHeight="false" outlineLevel="0" collapsed="false">
      <c r="A3473" s="3" t="s">
        <v>391</v>
      </c>
      <c r="B3473" s="4" t="s">
        <v>66</v>
      </c>
      <c r="C3473" s="4" t="n">
        <v>6</v>
      </c>
      <c r="D3473" s="4" t="s">
        <v>58</v>
      </c>
      <c r="E3473" s="3" t="s">
        <v>306</v>
      </c>
      <c r="F3473" s="4" t="str">
        <f aca="false">IF(I3473&gt;J3473,"Y","N")</f>
        <v>N</v>
      </c>
      <c r="G3473" s="3" t="s">
        <v>15</v>
      </c>
      <c r="H3473" s="3" t="s">
        <v>42</v>
      </c>
      <c r="I3473" s="4" t="n">
        <v>7</v>
      </c>
      <c r="J3473" s="4" t="n">
        <f aca="false">LEN(E3473)-LEN(SUBSTITUTE(E3473,",",""))+1</f>
        <v>7</v>
      </c>
      <c r="K3473" s="3" t="str">
        <f aca="false">IFERROR(INDEX('Teacher Lookup'!$B$2:$B$200,MATCH(A3473,'Teacher Lookup'!$A$2:$A$200,0)),"")</f>
        <v>LI Eunice</v>
      </c>
    </row>
    <row r="3474" customFormat="false" ht="15" hidden="false" customHeight="false" outlineLevel="0" collapsed="false">
      <c r="A3474" s="3" t="s">
        <v>391</v>
      </c>
      <c r="B3474" s="4" t="s">
        <v>66</v>
      </c>
      <c r="C3474" s="4" t="n">
        <v>6</v>
      </c>
      <c r="D3474" s="4" t="s">
        <v>59</v>
      </c>
      <c r="E3474" s="3" t="s">
        <v>306</v>
      </c>
      <c r="F3474" s="4" t="str">
        <f aca="false">IF(I3474&gt;J3474,"Y","N")</f>
        <v>N</v>
      </c>
      <c r="G3474" s="3" t="s">
        <v>15</v>
      </c>
      <c r="H3474" s="3" t="s">
        <v>42</v>
      </c>
      <c r="I3474" s="4" t="n">
        <v>7</v>
      </c>
      <c r="J3474" s="4" t="n">
        <f aca="false">LEN(E3474)-LEN(SUBSTITUTE(E3474,",",""))+1</f>
        <v>7</v>
      </c>
      <c r="K3474" s="3" t="str">
        <f aca="false">IFERROR(INDEX('Teacher Lookup'!$B$2:$B$200,MATCH(A3474,'Teacher Lookup'!$A$2:$A$200,0)),"")</f>
        <v>LI Eunice</v>
      </c>
    </row>
    <row r="3475" customFormat="false" ht="15" hidden="false" customHeight="false" outlineLevel="0" collapsed="false">
      <c r="A3475" s="3" t="s">
        <v>392</v>
      </c>
      <c r="B3475" s="4" t="s">
        <v>12</v>
      </c>
      <c r="C3475" s="4" t="n">
        <v>4</v>
      </c>
      <c r="D3475" s="4" t="s">
        <v>57</v>
      </c>
      <c r="E3475" s="3" t="s">
        <v>393</v>
      </c>
      <c r="F3475" s="4" t="str">
        <f aca="false">IF(I3475&gt;J3475,"Y","N")</f>
        <v>N</v>
      </c>
      <c r="G3475" s="3" t="s">
        <v>72</v>
      </c>
      <c r="H3475" s="3" t="s">
        <v>34</v>
      </c>
      <c r="I3475" s="4" t="n">
        <v>4</v>
      </c>
      <c r="J3475" s="4" t="n">
        <f aca="false">LEN(E3475)-LEN(SUBSTITUTE(E3475,",",""))+1</f>
        <v>4</v>
      </c>
      <c r="K3475" s="3" t="str">
        <f aca="false">IFERROR(INDEX('Teacher Lookup'!$B$2:$B$200,MATCH(A3475,'Teacher Lookup'!$A$2:$A$200,0)),"")</f>
        <v>CHIU Esther</v>
      </c>
    </row>
    <row r="3476" customFormat="false" ht="15" hidden="false" customHeight="false" outlineLevel="0" collapsed="false">
      <c r="A3476" s="3" t="s">
        <v>392</v>
      </c>
      <c r="B3476" s="4" t="s">
        <v>12</v>
      </c>
      <c r="C3476" s="4" t="n">
        <v>4</v>
      </c>
      <c r="D3476" s="4" t="s">
        <v>58</v>
      </c>
      <c r="E3476" s="3" t="s">
        <v>393</v>
      </c>
      <c r="F3476" s="4" t="str">
        <f aca="false">IF(I3476&gt;J3476,"Y","N")</f>
        <v>N</v>
      </c>
      <c r="G3476" s="3" t="s">
        <v>72</v>
      </c>
      <c r="H3476" s="3" t="s">
        <v>34</v>
      </c>
      <c r="I3476" s="4" t="n">
        <v>4</v>
      </c>
      <c r="J3476" s="4" t="n">
        <f aca="false">LEN(E3476)-LEN(SUBSTITUTE(E3476,",",""))+1</f>
        <v>4</v>
      </c>
      <c r="K3476" s="3" t="str">
        <f aca="false">IFERROR(INDEX('Teacher Lookup'!$B$2:$B$200,MATCH(A3476,'Teacher Lookup'!$A$2:$A$200,0)),"")</f>
        <v>CHIU Esther</v>
      </c>
    </row>
    <row r="3477" customFormat="false" ht="15" hidden="false" customHeight="false" outlineLevel="0" collapsed="false">
      <c r="A3477" s="3" t="s">
        <v>392</v>
      </c>
      <c r="B3477" s="4" t="s">
        <v>12</v>
      </c>
      <c r="C3477" s="4" t="n">
        <v>4</v>
      </c>
      <c r="D3477" s="4" t="s">
        <v>59</v>
      </c>
      <c r="E3477" s="3" t="s">
        <v>393</v>
      </c>
      <c r="F3477" s="4" t="str">
        <f aca="false">IF(I3477&gt;J3477,"Y","N")</f>
        <v>N</v>
      </c>
      <c r="G3477" s="3" t="s">
        <v>72</v>
      </c>
      <c r="H3477" s="3" t="s">
        <v>34</v>
      </c>
      <c r="I3477" s="4" t="n">
        <v>4</v>
      </c>
      <c r="J3477" s="4" t="n">
        <f aca="false">LEN(E3477)-LEN(SUBSTITUTE(E3477,",",""))+1</f>
        <v>4</v>
      </c>
      <c r="K3477" s="3" t="str">
        <f aca="false">IFERROR(INDEX('Teacher Lookup'!$B$2:$B$200,MATCH(A3477,'Teacher Lookup'!$A$2:$A$200,0)),"")</f>
        <v>CHIU Esther</v>
      </c>
    </row>
    <row r="3478" customFormat="false" ht="15" hidden="false" customHeight="false" outlineLevel="0" collapsed="false">
      <c r="A3478" s="3" t="s">
        <v>392</v>
      </c>
      <c r="B3478" s="4" t="s">
        <v>12</v>
      </c>
      <c r="C3478" s="4" t="n">
        <v>5</v>
      </c>
      <c r="D3478" s="4" t="s">
        <v>52</v>
      </c>
      <c r="E3478" s="3" t="s">
        <v>169</v>
      </c>
      <c r="F3478" s="4" t="str">
        <f aca="false">IF(I3478&gt;J3478,"Y","N")</f>
        <v>N</v>
      </c>
      <c r="G3478" s="3" t="s">
        <v>72</v>
      </c>
      <c r="H3478" s="3" t="s">
        <v>37</v>
      </c>
      <c r="I3478" s="4" t="n">
        <v>4</v>
      </c>
      <c r="J3478" s="4" t="n">
        <f aca="false">LEN(E3478)-LEN(SUBSTITUTE(E3478,",",""))+1</f>
        <v>4</v>
      </c>
      <c r="K3478" s="3" t="str">
        <f aca="false">IFERROR(INDEX('Teacher Lookup'!$B$2:$B$200,MATCH(A3478,'Teacher Lookup'!$A$2:$A$200,0)),"")</f>
        <v>CHIU Esther</v>
      </c>
    </row>
    <row r="3479" customFormat="false" ht="15" hidden="false" customHeight="false" outlineLevel="0" collapsed="false">
      <c r="A3479" s="3" t="s">
        <v>392</v>
      </c>
      <c r="B3479" s="4" t="s">
        <v>12</v>
      </c>
      <c r="C3479" s="4" t="n">
        <v>5</v>
      </c>
      <c r="D3479" s="4" t="s">
        <v>55</v>
      </c>
      <c r="E3479" s="3" t="s">
        <v>169</v>
      </c>
      <c r="F3479" s="4" t="str">
        <f aca="false">IF(I3479&gt;J3479,"Y","N")</f>
        <v>N</v>
      </c>
      <c r="G3479" s="3" t="s">
        <v>72</v>
      </c>
      <c r="H3479" s="3" t="s">
        <v>37</v>
      </c>
      <c r="I3479" s="4" t="n">
        <v>4</v>
      </c>
      <c r="J3479" s="4" t="n">
        <f aca="false">LEN(E3479)-LEN(SUBSTITUTE(E3479,",",""))+1</f>
        <v>4</v>
      </c>
      <c r="K3479" s="3" t="str">
        <f aca="false">IFERROR(INDEX('Teacher Lookup'!$B$2:$B$200,MATCH(A3479,'Teacher Lookup'!$A$2:$A$200,0)),"")</f>
        <v>CHIU Esther</v>
      </c>
    </row>
    <row r="3480" customFormat="false" ht="15" hidden="false" customHeight="false" outlineLevel="0" collapsed="false">
      <c r="A3480" s="3" t="s">
        <v>392</v>
      </c>
      <c r="B3480" s="4" t="s">
        <v>12</v>
      </c>
      <c r="C3480" s="4" t="n">
        <v>5</v>
      </c>
      <c r="D3480" s="4" t="s">
        <v>56</v>
      </c>
      <c r="E3480" s="3" t="s">
        <v>169</v>
      </c>
      <c r="F3480" s="4" t="str">
        <f aca="false">IF(I3480&gt;J3480,"Y","N")</f>
        <v>N</v>
      </c>
      <c r="G3480" s="3" t="s">
        <v>72</v>
      </c>
      <c r="H3480" s="3" t="s">
        <v>37</v>
      </c>
      <c r="I3480" s="4" t="n">
        <v>4</v>
      </c>
      <c r="J3480" s="4" t="n">
        <f aca="false">LEN(E3480)-LEN(SUBSTITUTE(E3480,",",""))+1</f>
        <v>4</v>
      </c>
      <c r="K3480" s="3" t="str">
        <f aca="false">IFERROR(INDEX('Teacher Lookup'!$B$2:$B$200,MATCH(A3480,'Teacher Lookup'!$A$2:$A$200,0)),"")</f>
        <v>CHIU Esther</v>
      </c>
    </row>
    <row r="3481" customFormat="false" ht="15" hidden="false" customHeight="false" outlineLevel="0" collapsed="false">
      <c r="A3481" s="3" t="s">
        <v>392</v>
      </c>
      <c r="B3481" s="4" t="s">
        <v>12</v>
      </c>
      <c r="C3481" s="4" t="n">
        <v>6</v>
      </c>
      <c r="D3481" s="4" t="s">
        <v>105</v>
      </c>
      <c r="E3481" s="3" t="s">
        <v>324</v>
      </c>
      <c r="F3481" s="4" t="str">
        <f aca="false">IF(I3481&gt;J3481,"Y","N")</f>
        <v>N</v>
      </c>
      <c r="G3481" s="3" t="s">
        <v>72</v>
      </c>
      <c r="H3481" s="3" t="s">
        <v>42</v>
      </c>
      <c r="I3481" s="4" t="n">
        <v>3</v>
      </c>
      <c r="J3481" s="4" t="n">
        <f aca="false">LEN(E3481)-LEN(SUBSTITUTE(E3481,",",""))+1</f>
        <v>3</v>
      </c>
      <c r="K3481" s="3" t="str">
        <f aca="false">IFERROR(INDEX('Teacher Lookup'!$B$2:$B$200,MATCH(A3481,'Teacher Lookup'!$A$2:$A$200,0)),"")</f>
        <v>CHIU Esther</v>
      </c>
    </row>
    <row r="3482" customFormat="false" ht="15" hidden="false" customHeight="false" outlineLevel="0" collapsed="false">
      <c r="A3482" s="3" t="s">
        <v>392</v>
      </c>
      <c r="B3482" s="4" t="s">
        <v>12</v>
      </c>
      <c r="C3482" s="4" t="n">
        <v>6</v>
      </c>
      <c r="D3482" s="4" t="s">
        <v>106</v>
      </c>
      <c r="E3482" s="3" t="s">
        <v>324</v>
      </c>
      <c r="F3482" s="4" t="str">
        <f aca="false">IF(I3482&gt;J3482,"Y","N")</f>
        <v>N</v>
      </c>
      <c r="G3482" s="3" t="s">
        <v>72</v>
      </c>
      <c r="H3482" s="3" t="s">
        <v>42</v>
      </c>
      <c r="I3482" s="4" t="n">
        <v>3</v>
      </c>
      <c r="J3482" s="4" t="n">
        <f aca="false">LEN(E3482)-LEN(SUBSTITUTE(E3482,",",""))+1</f>
        <v>3</v>
      </c>
      <c r="K3482" s="3" t="str">
        <f aca="false">IFERROR(INDEX('Teacher Lookup'!$B$2:$B$200,MATCH(A3482,'Teacher Lookup'!$A$2:$A$200,0)),"")</f>
        <v>CHIU Esther</v>
      </c>
    </row>
    <row r="3483" customFormat="false" ht="15" hidden="false" customHeight="false" outlineLevel="0" collapsed="false">
      <c r="A3483" s="3" t="s">
        <v>392</v>
      </c>
      <c r="B3483" s="4" t="s">
        <v>31</v>
      </c>
      <c r="C3483" s="4" t="n">
        <v>1</v>
      </c>
      <c r="D3483" s="4" t="s">
        <v>105</v>
      </c>
      <c r="E3483" s="3" t="s">
        <v>325</v>
      </c>
      <c r="F3483" s="4" t="str">
        <f aca="false">IF(I3483&gt;J3483,"Y","N")</f>
        <v>N</v>
      </c>
      <c r="G3483" s="3" t="s">
        <v>72</v>
      </c>
      <c r="H3483" s="3" t="s">
        <v>16</v>
      </c>
      <c r="I3483" s="4" t="n">
        <v>3</v>
      </c>
      <c r="J3483" s="4" t="n">
        <f aca="false">LEN(E3483)-LEN(SUBSTITUTE(E3483,",",""))+1</f>
        <v>3</v>
      </c>
      <c r="K3483" s="3" t="str">
        <f aca="false">IFERROR(INDEX('Teacher Lookup'!$B$2:$B$200,MATCH(A3483,'Teacher Lookup'!$A$2:$A$200,0)),"")</f>
        <v>CHIU Esther</v>
      </c>
    </row>
    <row r="3484" customFormat="false" ht="15" hidden="false" customHeight="false" outlineLevel="0" collapsed="false">
      <c r="A3484" s="3" t="s">
        <v>392</v>
      </c>
      <c r="B3484" s="4" t="s">
        <v>31</v>
      </c>
      <c r="C3484" s="4" t="n">
        <v>1</v>
      </c>
      <c r="D3484" s="4" t="s">
        <v>106</v>
      </c>
      <c r="E3484" s="3" t="s">
        <v>325</v>
      </c>
      <c r="F3484" s="4" t="str">
        <f aca="false">IF(I3484&gt;J3484,"Y","N")</f>
        <v>N</v>
      </c>
      <c r="G3484" s="3" t="s">
        <v>72</v>
      </c>
      <c r="H3484" s="3" t="s">
        <v>16</v>
      </c>
      <c r="I3484" s="4" t="n">
        <v>3</v>
      </c>
      <c r="J3484" s="4" t="n">
        <f aca="false">LEN(E3484)-LEN(SUBSTITUTE(E3484,",",""))+1</f>
        <v>3</v>
      </c>
      <c r="K3484" s="3" t="str">
        <f aca="false">IFERROR(INDEX('Teacher Lookup'!$B$2:$B$200,MATCH(A3484,'Teacher Lookup'!$A$2:$A$200,0)),"")</f>
        <v>CHIU Esther</v>
      </c>
    </row>
    <row r="3485" customFormat="false" ht="15" hidden="false" customHeight="false" outlineLevel="0" collapsed="false">
      <c r="A3485" s="3" t="s">
        <v>392</v>
      </c>
      <c r="B3485" s="4" t="s">
        <v>31</v>
      </c>
      <c r="C3485" s="4" t="n">
        <v>3</v>
      </c>
      <c r="D3485" s="4" t="s">
        <v>52</v>
      </c>
      <c r="E3485" s="3" t="s">
        <v>176</v>
      </c>
      <c r="F3485" s="4" t="str">
        <f aca="false">IF(I3485&gt;J3485,"Y","N")</f>
        <v>N</v>
      </c>
      <c r="G3485" s="3" t="s">
        <v>72</v>
      </c>
      <c r="H3485" s="3" t="s">
        <v>26</v>
      </c>
      <c r="I3485" s="4" t="n">
        <v>4</v>
      </c>
      <c r="J3485" s="4" t="n">
        <f aca="false">LEN(E3485)-LEN(SUBSTITUTE(E3485,",",""))+1</f>
        <v>4</v>
      </c>
      <c r="K3485" s="3" t="str">
        <f aca="false">IFERROR(INDEX('Teacher Lookup'!$B$2:$B$200,MATCH(A3485,'Teacher Lookup'!$A$2:$A$200,0)),"")</f>
        <v>CHIU Esther</v>
      </c>
    </row>
    <row r="3486" customFormat="false" ht="15" hidden="false" customHeight="false" outlineLevel="0" collapsed="false">
      <c r="A3486" s="3" t="s">
        <v>392</v>
      </c>
      <c r="B3486" s="4" t="s">
        <v>31</v>
      </c>
      <c r="C3486" s="4" t="n">
        <v>3</v>
      </c>
      <c r="D3486" s="4" t="s">
        <v>55</v>
      </c>
      <c r="E3486" s="3" t="s">
        <v>176</v>
      </c>
      <c r="F3486" s="4" t="str">
        <f aca="false">IF(I3486&gt;J3486,"Y","N")</f>
        <v>N</v>
      </c>
      <c r="G3486" s="3" t="s">
        <v>72</v>
      </c>
      <c r="H3486" s="3" t="s">
        <v>26</v>
      </c>
      <c r="I3486" s="4" t="n">
        <v>4</v>
      </c>
      <c r="J3486" s="4" t="n">
        <f aca="false">LEN(E3486)-LEN(SUBSTITUTE(E3486,",",""))+1</f>
        <v>4</v>
      </c>
      <c r="K3486" s="3" t="str">
        <f aca="false">IFERROR(INDEX('Teacher Lookup'!$B$2:$B$200,MATCH(A3486,'Teacher Lookup'!$A$2:$A$200,0)),"")</f>
        <v>CHIU Esther</v>
      </c>
    </row>
    <row r="3487" customFormat="false" ht="15" hidden="false" customHeight="false" outlineLevel="0" collapsed="false">
      <c r="A3487" s="3" t="s">
        <v>392</v>
      </c>
      <c r="B3487" s="4" t="s">
        <v>31</v>
      </c>
      <c r="C3487" s="4" t="n">
        <v>3</v>
      </c>
      <c r="D3487" s="4" t="s">
        <v>56</v>
      </c>
      <c r="E3487" s="3" t="s">
        <v>176</v>
      </c>
      <c r="F3487" s="4" t="str">
        <f aca="false">IF(I3487&gt;J3487,"Y","N")</f>
        <v>N</v>
      </c>
      <c r="G3487" s="3" t="s">
        <v>72</v>
      </c>
      <c r="H3487" s="3" t="s">
        <v>26</v>
      </c>
      <c r="I3487" s="4" t="n">
        <v>4</v>
      </c>
      <c r="J3487" s="4" t="n">
        <f aca="false">LEN(E3487)-LEN(SUBSTITUTE(E3487,",",""))+1</f>
        <v>4</v>
      </c>
      <c r="K3487" s="3" t="str">
        <f aca="false">IFERROR(INDEX('Teacher Lookup'!$B$2:$B$200,MATCH(A3487,'Teacher Lookup'!$A$2:$A$200,0)),"")</f>
        <v>CHIU Esther</v>
      </c>
    </row>
    <row r="3488" customFormat="false" ht="15" hidden="false" customHeight="false" outlineLevel="0" collapsed="false">
      <c r="A3488" s="3" t="s">
        <v>392</v>
      </c>
      <c r="B3488" s="4" t="s">
        <v>31</v>
      </c>
      <c r="C3488" s="4" t="n">
        <v>5</v>
      </c>
      <c r="D3488" s="4" t="s">
        <v>228</v>
      </c>
      <c r="E3488" s="3" t="s">
        <v>229</v>
      </c>
      <c r="F3488" s="4" t="str">
        <f aca="false">IF(I3488&gt;J3488,"Y","N")</f>
        <v>Y</v>
      </c>
      <c r="G3488" s="3" t="s">
        <v>36</v>
      </c>
      <c r="H3488" s="3" t="s">
        <v>37</v>
      </c>
      <c r="I3488" s="4" t="n">
        <v>14</v>
      </c>
      <c r="J3488" s="4" t="n">
        <f aca="false">LEN(E3488)-LEN(SUBSTITUTE(E3488,",",""))+1</f>
        <v>6</v>
      </c>
      <c r="K3488" s="3" t="str">
        <f aca="false">IFERROR(INDEX('Teacher Lookup'!$B$2:$B$200,MATCH(A3488,'Teacher Lookup'!$A$2:$A$200,0)),"")</f>
        <v>CHIU Esther</v>
      </c>
    </row>
    <row r="3489" customFormat="false" ht="15" hidden="false" customHeight="false" outlineLevel="0" collapsed="false">
      <c r="A3489" s="3" t="s">
        <v>392</v>
      </c>
      <c r="B3489" s="4" t="s">
        <v>31</v>
      </c>
      <c r="C3489" s="4" t="n">
        <v>5</v>
      </c>
      <c r="D3489" s="4" t="s">
        <v>102</v>
      </c>
      <c r="E3489" s="3" t="s">
        <v>229</v>
      </c>
      <c r="F3489" s="4" t="str">
        <f aca="false">IF(I3489&gt;J3489,"Y","N")</f>
        <v>Y</v>
      </c>
      <c r="G3489" s="3" t="s">
        <v>36</v>
      </c>
      <c r="H3489" s="3" t="s">
        <v>37</v>
      </c>
      <c r="I3489" s="4" t="n">
        <v>14</v>
      </c>
      <c r="J3489" s="4" t="n">
        <f aca="false">LEN(E3489)-LEN(SUBSTITUTE(E3489,",",""))+1</f>
        <v>6</v>
      </c>
      <c r="K3489" s="3" t="str">
        <f aca="false">IFERROR(INDEX('Teacher Lookup'!$B$2:$B$200,MATCH(A3489,'Teacher Lookup'!$A$2:$A$200,0)),"")</f>
        <v>CHIU Esther</v>
      </c>
    </row>
    <row r="3490" customFormat="false" ht="15" hidden="false" customHeight="false" outlineLevel="0" collapsed="false">
      <c r="A3490" s="3" t="s">
        <v>392</v>
      </c>
      <c r="B3490" s="4" t="s">
        <v>31</v>
      </c>
      <c r="C3490" s="4" t="n">
        <v>5</v>
      </c>
      <c r="D3490" s="4" t="s">
        <v>105</v>
      </c>
      <c r="E3490" s="3" t="s">
        <v>229</v>
      </c>
      <c r="F3490" s="4" t="str">
        <f aca="false">IF(I3490&gt;J3490,"Y","N")</f>
        <v>Y</v>
      </c>
      <c r="G3490" s="3" t="s">
        <v>36</v>
      </c>
      <c r="H3490" s="3" t="s">
        <v>37</v>
      </c>
      <c r="I3490" s="4" t="n">
        <v>14</v>
      </c>
      <c r="J3490" s="4" t="n">
        <f aca="false">LEN(E3490)-LEN(SUBSTITUTE(E3490,",",""))+1</f>
        <v>6</v>
      </c>
      <c r="K3490" s="3" t="str">
        <f aca="false">IFERROR(INDEX('Teacher Lookup'!$B$2:$B$200,MATCH(A3490,'Teacher Lookup'!$A$2:$A$200,0)),"")</f>
        <v>CHIU Esther</v>
      </c>
    </row>
    <row r="3491" customFormat="false" ht="15" hidden="false" customHeight="false" outlineLevel="0" collapsed="false">
      <c r="A3491" s="3" t="s">
        <v>392</v>
      </c>
      <c r="B3491" s="4" t="s">
        <v>31</v>
      </c>
      <c r="C3491" s="4" t="n">
        <v>5</v>
      </c>
      <c r="D3491" s="4" t="s">
        <v>106</v>
      </c>
      <c r="E3491" s="3" t="s">
        <v>229</v>
      </c>
      <c r="F3491" s="4" t="str">
        <f aca="false">IF(I3491&gt;J3491,"Y","N")</f>
        <v>Y</v>
      </c>
      <c r="G3491" s="3" t="s">
        <v>36</v>
      </c>
      <c r="H3491" s="3" t="s">
        <v>37</v>
      </c>
      <c r="I3491" s="4" t="n">
        <v>14</v>
      </c>
      <c r="J3491" s="4" t="n">
        <f aca="false">LEN(E3491)-LEN(SUBSTITUTE(E3491,",",""))+1</f>
        <v>6</v>
      </c>
      <c r="K3491" s="3" t="str">
        <f aca="false">IFERROR(INDEX('Teacher Lookup'!$B$2:$B$200,MATCH(A3491,'Teacher Lookup'!$A$2:$A$200,0)),"")</f>
        <v>CHIU Esther</v>
      </c>
    </row>
    <row r="3492" customFormat="false" ht="15" hidden="false" customHeight="false" outlineLevel="0" collapsed="false">
      <c r="A3492" s="3" t="s">
        <v>392</v>
      </c>
      <c r="B3492" s="4" t="s">
        <v>31</v>
      </c>
      <c r="C3492" s="4" t="n">
        <v>5</v>
      </c>
      <c r="D3492" s="4" t="s">
        <v>107</v>
      </c>
      <c r="E3492" s="3" t="s">
        <v>229</v>
      </c>
      <c r="F3492" s="4" t="str">
        <f aca="false">IF(I3492&gt;J3492,"Y","N")</f>
        <v>Y</v>
      </c>
      <c r="G3492" s="3" t="s">
        <v>36</v>
      </c>
      <c r="H3492" s="3" t="s">
        <v>37</v>
      </c>
      <c r="I3492" s="4" t="n">
        <v>14</v>
      </c>
      <c r="J3492" s="4" t="n">
        <f aca="false">LEN(E3492)-LEN(SUBSTITUTE(E3492,",",""))+1</f>
        <v>6</v>
      </c>
      <c r="K3492" s="3" t="str">
        <f aca="false">IFERROR(INDEX('Teacher Lookup'!$B$2:$B$200,MATCH(A3492,'Teacher Lookup'!$A$2:$A$200,0)),"")</f>
        <v>CHIU Esther</v>
      </c>
    </row>
    <row r="3493" customFormat="false" ht="15" hidden="false" customHeight="false" outlineLevel="0" collapsed="false">
      <c r="A3493" s="3" t="s">
        <v>392</v>
      </c>
      <c r="B3493" s="4" t="s">
        <v>31</v>
      </c>
      <c r="C3493" s="4" t="n">
        <v>7</v>
      </c>
      <c r="D3493" s="4" t="s">
        <v>57</v>
      </c>
      <c r="E3493" s="3" t="s">
        <v>393</v>
      </c>
      <c r="F3493" s="4" t="str">
        <f aca="false">IF(I3493&gt;J3493,"Y","N")</f>
        <v>N</v>
      </c>
      <c r="G3493" s="3" t="s">
        <v>72</v>
      </c>
      <c r="H3493" s="3" t="s">
        <v>39</v>
      </c>
      <c r="I3493" s="4" t="n">
        <v>4</v>
      </c>
      <c r="J3493" s="4" t="n">
        <f aca="false">LEN(E3493)-LEN(SUBSTITUTE(E3493,",",""))+1</f>
        <v>4</v>
      </c>
      <c r="K3493" s="3" t="str">
        <f aca="false">IFERROR(INDEX('Teacher Lookup'!$B$2:$B$200,MATCH(A3493,'Teacher Lookup'!$A$2:$A$200,0)),"")</f>
        <v>CHIU Esther</v>
      </c>
    </row>
    <row r="3494" customFormat="false" ht="15" hidden="false" customHeight="false" outlineLevel="0" collapsed="false">
      <c r="A3494" s="3" t="s">
        <v>392</v>
      </c>
      <c r="B3494" s="4" t="s">
        <v>31</v>
      </c>
      <c r="C3494" s="4" t="n">
        <v>7</v>
      </c>
      <c r="D3494" s="4" t="s">
        <v>58</v>
      </c>
      <c r="E3494" s="3" t="s">
        <v>393</v>
      </c>
      <c r="F3494" s="4" t="str">
        <f aca="false">IF(I3494&gt;J3494,"Y","N")</f>
        <v>N</v>
      </c>
      <c r="G3494" s="3" t="s">
        <v>72</v>
      </c>
      <c r="H3494" s="3" t="s">
        <v>39</v>
      </c>
      <c r="I3494" s="4" t="n">
        <v>4</v>
      </c>
      <c r="J3494" s="4" t="n">
        <f aca="false">LEN(E3494)-LEN(SUBSTITUTE(E3494,",",""))+1</f>
        <v>4</v>
      </c>
      <c r="K3494" s="3" t="str">
        <f aca="false">IFERROR(INDEX('Teacher Lookup'!$B$2:$B$200,MATCH(A3494,'Teacher Lookup'!$A$2:$A$200,0)),"")</f>
        <v>CHIU Esther</v>
      </c>
    </row>
    <row r="3495" customFormat="false" ht="15" hidden="false" customHeight="false" outlineLevel="0" collapsed="false">
      <c r="A3495" s="3" t="s">
        <v>392</v>
      </c>
      <c r="B3495" s="4" t="s">
        <v>31</v>
      </c>
      <c r="C3495" s="4" t="n">
        <v>7</v>
      </c>
      <c r="D3495" s="4" t="s">
        <v>59</v>
      </c>
      <c r="E3495" s="3" t="s">
        <v>393</v>
      </c>
      <c r="F3495" s="4" t="str">
        <f aca="false">IF(I3495&gt;J3495,"Y","N")</f>
        <v>N</v>
      </c>
      <c r="G3495" s="3" t="s">
        <v>72</v>
      </c>
      <c r="H3495" s="3" t="s">
        <v>39</v>
      </c>
      <c r="I3495" s="4" t="n">
        <v>4</v>
      </c>
      <c r="J3495" s="4" t="n">
        <f aca="false">LEN(E3495)-LEN(SUBSTITUTE(E3495,",",""))+1</f>
        <v>4</v>
      </c>
      <c r="K3495" s="3" t="str">
        <f aca="false">IFERROR(INDEX('Teacher Lookup'!$B$2:$B$200,MATCH(A3495,'Teacher Lookup'!$A$2:$A$200,0)),"")</f>
        <v>CHIU Esther</v>
      </c>
    </row>
    <row r="3496" customFormat="false" ht="15" hidden="false" customHeight="false" outlineLevel="0" collapsed="false">
      <c r="A3496" s="3" t="s">
        <v>392</v>
      </c>
      <c r="B3496" s="4" t="s">
        <v>40</v>
      </c>
      <c r="C3496" s="4" t="n">
        <v>1</v>
      </c>
      <c r="D3496" s="4" t="s">
        <v>52</v>
      </c>
      <c r="E3496" s="3" t="s">
        <v>177</v>
      </c>
      <c r="F3496" s="4" t="str">
        <f aca="false">IF(I3496&gt;J3496,"Y","N")</f>
        <v>N</v>
      </c>
      <c r="G3496" s="3" t="s">
        <v>72</v>
      </c>
      <c r="H3496" s="3" t="s">
        <v>16</v>
      </c>
      <c r="I3496" s="4" t="n">
        <v>4</v>
      </c>
      <c r="J3496" s="4" t="n">
        <f aca="false">LEN(E3496)-LEN(SUBSTITUTE(E3496,",",""))+1</f>
        <v>4</v>
      </c>
      <c r="K3496" s="3" t="str">
        <f aca="false">IFERROR(INDEX('Teacher Lookup'!$B$2:$B$200,MATCH(A3496,'Teacher Lookup'!$A$2:$A$200,0)),"")</f>
        <v>CHIU Esther</v>
      </c>
    </row>
    <row r="3497" customFormat="false" ht="15" hidden="false" customHeight="false" outlineLevel="0" collapsed="false">
      <c r="A3497" s="3" t="s">
        <v>392</v>
      </c>
      <c r="B3497" s="4" t="s">
        <v>40</v>
      </c>
      <c r="C3497" s="4" t="n">
        <v>1</v>
      </c>
      <c r="D3497" s="4" t="s">
        <v>55</v>
      </c>
      <c r="E3497" s="3" t="s">
        <v>177</v>
      </c>
      <c r="F3497" s="4" t="str">
        <f aca="false">IF(I3497&gt;J3497,"Y","N")</f>
        <v>N</v>
      </c>
      <c r="G3497" s="3" t="s">
        <v>72</v>
      </c>
      <c r="H3497" s="3" t="s">
        <v>16</v>
      </c>
      <c r="I3497" s="4" t="n">
        <v>4</v>
      </c>
      <c r="J3497" s="4" t="n">
        <f aca="false">LEN(E3497)-LEN(SUBSTITUTE(E3497,",",""))+1</f>
        <v>4</v>
      </c>
      <c r="K3497" s="3" t="str">
        <f aca="false">IFERROR(INDEX('Teacher Lookup'!$B$2:$B$200,MATCH(A3497,'Teacher Lookup'!$A$2:$A$200,0)),"")</f>
        <v>CHIU Esther</v>
      </c>
    </row>
    <row r="3498" customFormat="false" ht="15" hidden="false" customHeight="false" outlineLevel="0" collapsed="false">
      <c r="A3498" s="3" t="s">
        <v>392</v>
      </c>
      <c r="B3498" s="4" t="s">
        <v>40</v>
      </c>
      <c r="C3498" s="4" t="n">
        <v>1</v>
      </c>
      <c r="D3498" s="4" t="s">
        <v>56</v>
      </c>
      <c r="E3498" s="3" t="s">
        <v>177</v>
      </c>
      <c r="F3498" s="4" t="str">
        <f aca="false">IF(I3498&gt;J3498,"Y","N")</f>
        <v>N</v>
      </c>
      <c r="G3498" s="3" t="s">
        <v>72</v>
      </c>
      <c r="H3498" s="3" t="s">
        <v>16</v>
      </c>
      <c r="I3498" s="4" t="n">
        <v>4</v>
      </c>
      <c r="J3498" s="4" t="n">
        <f aca="false">LEN(E3498)-LEN(SUBSTITUTE(E3498,",",""))+1</f>
        <v>4</v>
      </c>
      <c r="K3498" s="3" t="str">
        <f aca="false">IFERROR(INDEX('Teacher Lookup'!$B$2:$B$200,MATCH(A3498,'Teacher Lookup'!$A$2:$A$200,0)),"")</f>
        <v>CHIU Esther</v>
      </c>
    </row>
    <row r="3499" customFormat="false" ht="15" hidden="false" customHeight="false" outlineLevel="0" collapsed="false">
      <c r="A3499" s="3" t="s">
        <v>392</v>
      </c>
      <c r="B3499" s="4" t="s">
        <v>40</v>
      </c>
      <c r="C3499" s="4" t="n">
        <v>5</v>
      </c>
      <c r="D3499" s="4" t="s">
        <v>105</v>
      </c>
      <c r="E3499" s="3" t="s">
        <v>254</v>
      </c>
      <c r="F3499" s="4" t="str">
        <f aca="false">IF(I3499&gt;J3499,"Y","N")</f>
        <v>N</v>
      </c>
      <c r="G3499" s="3" t="s">
        <v>72</v>
      </c>
      <c r="H3499" s="3" t="s">
        <v>37</v>
      </c>
      <c r="I3499" s="4" t="n">
        <v>3</v>
      </c>
      <c r="J3499" s="4" t="n">
        <f aca="false">LEN(E3499)-LEN(SUBSTITUTE(E3499,",",""))+1</f>
        <v>3</v>
      </c>
      <c r="K3499" s="3" t="str">
        <f aca="false">IFERROR(INDEX('Teacher Lookup'!$B$2:$B$200,MATCH(A3499,'Teacher Lookup'!$A$2:$A$200,0)),"")</f>
        <v>CHIU Esther</v>
      </c>
    </row>
    <row r="3500" customFormat="false" ht="15" hidden="false" customHeight="false" outlineLevel="0" collapsed="false">
      <c r="A3500" s="3" t="s">
        <v>392</v>
      </c>
      <c r="B3500" s="4" t="s">
        <v>40</v>
      </c>
      <c r="C3500" s="4" t="n">
        <v>5</v>
      </c>
      <c r="D3500" s="4" t="s">
        <v>106</v>
      </c>
      <c r="E3500" s="3" t="s">
        <v>254</v>
      </c>
      <c r="F3500" s="4" t="str">
        <f aca="false">IF(I3500&gt;J3500,"Y","N")</f>
        <v>N</v>
      </c>
      <c r="G3500" s="3" t="s">
        <v>72</v>
      </c>
      <c r="H3500" s="3" t="s">
        <v>37</v>
      </c>
      <c r="I3500" s="4" t="n">
        <v>3</v>
      </c>
      <c r="J3500" s="4" t="n">
        <f aca="false">LEN(E3500)-LEN(SUBSTITUTE(E3500,",",""))+1</f>
        <v>3</v>
      </c>
      <c r="K3500" s="3" t="str">
        <f aca="false">IFERROR(INDEX('Teacher Lookup'!$B$2:$B$200,MATCH(A3500,'Teacher Lookup'!$A$2:$A$200,0)),"")</f>
        <v>CHIU Esther</v>
      </c>
    </row>
    <row r="3501" customFormat="false" ht="15" hidden="false" customHeight="false" outlineLevel="0" collapsed="false">
      <c r="A3501" s="3" t="s">
        <v>392</v>
      </c>
      <c r="B3501" s="4" t="s">
        <v>40</v>
      </c>
      <c r="C3501" s="4" t="n">
        <v>6</v>
      </c>
      <c r="D3501" s="4" t="s">
        <v>57</v>
      </c>
      <c r="E3501" s="3" t="s">
        <v>166</v>
      </c>
      <c r="F3501" s="4" t="str">
        <f aca="false">IF(I3501&gt;J3501,"Y","N")</f>
        <v>N</v>
      </c>
      <c r="G3501" s="3" t="s">
        <v>72</v>
      </c>
      <c r="H3501" s="3" t="s">
        <v>42</v>
      </c>
      <c r="I3501" s="4" t="n">
        <v>4</v>
      </c>
      <c r="J3501" s="4" t="n">
        <f aca="false">LEN(E3501)-LEN(SUBSTITUTE(E3501,",",""))+1</f>
        <v>4</v>
      </c>
      <c r="K3501" s="3" t="str">
        <f aca="false">IFERROR(INDEX('Teacher Lookup'!$B$2:$B$200,MATCH(A3501,'Teacher Lookup'!$A$2:$A$200,0)),"")</f>
        <v>CHIU Esther</v>
      </c>
    </row>
    <row r="3502" customFormat="false" ht="15" hidden="false" customHeight="false" outlineLevel="0" collapsed="false">
      <c r="A3502" s="3" t="s">
        <v>392</v>
      </c>
      <c r="B3502" s="4" t="s">
        <v>40</v>
      </c>
      <c r="C3502" s="4" t="n">
        <v>6</v>
      </c>
      <c r="D3502" s="4" t="s">
        <v>58</v>
      </c>
      <c r="E3502" s="3" t="s">
        <v>166</v>
      </c>
      <c r="F3502" s="4" t="str">
        <f aca="false">IF(I3502&gt;J3502,"Y","N")</f>
        <v>N</v>
      </c>
      <c r="G3502" s="3" t="s">
        <v>72</v>
      </c>
      <c r="H3502" s="3" t="s">
        <v>42</v>
      </c>
      <c r="I3502" s="4" t="n">
        <v>4</v>
      </c>
      <c r="J3502" s="4" t="n">
        <f aca="false">LEN(E3502)-LEN(SUBSTITUTE(E3502,",",""))+1</f>
        <v>4</v>
      </c>
      <c r="K3502" s="3" t="str">
        <f aca="false">IFERROR(INDEX('Teacher Lookup'!$B$2:$B$200,MATCH(A3502,'Teacher Lookup'!$A$2:$A$200,0)),"")</f>
        <v>CHIU Esther</v>
      </c>
    </row>
    <row r="3503" customFormat="false" ht="15" hidden="false" customHeight="false" outlineLevel="0" collapsed="false">
      <c r="A3503" s="3" t="s">
        <v>392</v>
      </c>
      <c r="B3503" s="4" t="s">
        <v>40</v>
      </c>
      <c r="C3503" s="4" t="n">
        <v>6</v>
      </c>
      <c r="D3503" s="4" t="s">
        <v>59</v>
      </c>
      <c r="E3503" s="3" t="s">
        <v>166</v>
      </c>
      <c r="F3503" s="4" t="str">
        <f aca="false">IF(I3503&gt;J3503,"Y","N")</f>
        <v>N</v>
      </c>
      <c r="G3503" s="3" t="s">
        <v>72</v>
      </c>
      <c r="H3503" s="3" t="s">
        <v>42</v>
      </c>
      <c r="I3503" s="4" t="n">
        <v>4</v>
      </c>
      <c r="J3503" s="4" t="n">
        <f aca="false">LEN(E3503)-LEN(SUBSTITUTE(E3503,",",""))+1</f>
        <v>4</v>
      </c>
      <c r="K3503" s="3" t="str">
        <f aca="false">IFERROR(INDEX('Teacher Lookup'!$B$2:$B$200,MATCH(A3503,'Teacher Lookup'!$A$2:$A$200,0)),"")</f>
        <v>CHIU Esther</v>
      </c>
    </row>
    <row r="3504" customFormat="false" ht="15" hidden="false" customHeight="false" outlineLevel="0" collapsed="false">
      <c r="A3504" s="3" t="s">
        <v>392</v>
      </c>
      <c r="B3504" s="4" t="s">
        <v>40</v>
      </c>
      <c r="C3504" s="4" t="n">
        <v>7</v>
      </c>
      <c r="D3504" s="4" t="s">
        <v>57</v>
      </c>
      <c r="E3504" s="3" t="s">
        <v>166</v>
      </c>
      <c r="F3504" s="4" t="str">
        <f aca="false">IF(I3504&gt;J3504,"Y","N")</f>
        <v>N</v>
      </c>
      <c r="G3504" s="3" t="s">
        <v>72</v>
      </c>
      <c r="H3504" s="3" t="s">
        <v>39</v>
      </c>
      <c r="I3504" s="4" t="n">
        <v>4</v>
      </c>
      <c r="J3504" s="4" t="n">
        <f aca="false">LEN(E3504)-LEN(SUBSTITUTE(E3504,",",""))+1</f>
        <v>4</v>
      </c>
      <c r="K3504" s="3" t="str">
        <f aca="false">IFERROR(INDEX('Teacher Lookup'!$B$2:$B$200,MATCH(A3504,'Teacher Lookup'!$A$2:$A$200,0)),"")</f>
        <v>CHIU Esther</v>
      </c>
    </row>
    <row r="3505" customFormat="false" ht="15" hidden="false" customHeight="false" outlineLevel="0" collapsed="false">
      <c r="A3505" s="3" t="s">
        <v>392</v>
      </c>
      <c r="B3505" s="4" t="s">
        <v>40</v>
      </c>
      <c r="C3505" s="4" t="n">
        <v>7</v>
      </c>
      <c r="D3505" s="4" t="s">
        <v>58</v>
      </c>
      <c r="E3505" s="3" t="s">
        <v>166</v>
      </c>
      <c r="F3505" s="4" t="str">
        <f aca="false">IF(I3505&gt;J3505,"Y","N")</f>
        <v>N</v>
      </c>
      <c r="G3505" s="3" t="s">
        <v>72</v>
      </c>
      <c r="H3505" s="3" t="s">
        <v>39</v>
      </c>
      <c r="I3505" s="4" t="n">
        <v>4</v>
      </c>
      <c r="J3505" s="4" t="n">
        <f aca="false">LEN(E3505)-LEN(SUBSTITUTE(E3505,",",""))+1</f>
        <v>4</v>
      </c>
      <c r="K3505" s="3" t="str">
        <f aca="false">IFERROR(INDEX('Teacher Lookup'!$B$2:$B$200,MATCH(A3505,'Teacher Lookup'!$A$2:$A$200,0)),"")</f>
        <v>CHIU Esther</v>
      </c>
    </row>
    <row r="3506" customFormat="false" ht="15" hidden="false" customHeight="false" outlineLevel="0" collapsed="false">
      <c r="A3506" s="3" t="s">
        <v>392</v>
      </c>
      <c r="B3506" s="4" t="s">
        <v>40</v>
      </c>
      <c r="C3506" s="4" t="n">
        <v>7</v>
      </c>
      <c r="D3506" s="4" t="s">
        <v>59</v>
      </c>
      <c r="E3506" s="3" t="s">
        <v>166</v>
      </c>
      <c r="F3506" s="4" t="str">
        <f aca="false">IF(I3506&gt;J3506,"Y","N")</f>
        <v>N</v>
      </c>
      <c r="G3506" s="3" t="s">
        <v>72</v>
      </c>
      <c r="H3506" s="3" t="s">
        <v>39</v>
      </c>
      <c r="I3506" s="4" t="n">
        <v>4</v>
      </c>
      <c r="J3506" s="4" t="n">
        <f aca="false">LEN(E3506)-LEN(SUBSTITUTE(E3506,",",""))+1</f>
        <v>4</v>
      </c>
      <c r="K3506" s="3" t="str">
        <f aca="false">IFERROR(INDEX('Teacher Lookup'!$B$2:$B$200,MATCH(A3506,'Teacher Lookup'!$A$2:$A$200,0)),"")</f>
        <v>CHIU Esther</v>
      </c>
    </row>
    <row r="3507" customFormat="false" ht="15" hidden="false" customHeight="false" outlineLevel="0" collapsed="false">
      <c r="A3507" s="3" t="s">
        <v>392</v>
      </c>
      <c r="B3507" s="4" t="s">
        <v>44</v>
      </c>
      <c r="C3507" s="4" t="n">
        <v>1</v>
      </c>
      <c r="D3507" s="4" t="s">
        <v>105</v>
      </c>
      <c r="E3507" s="3" t="s">
        <v>257</v>
      </c>
      <c r="F3507" s="4" t="str">
        <f aca="false">IF(I3507&gt;J3507,"Y","N")</f>
        <v>N</v>
      </c>
      <c r="G3507" s="3" t="s">
        <v>72</v>
      </c>
      <c r="H3507" s="3" t="s">
        <v>16</v>
      </c>
      <c r="I3507" s="4" t="n">
        <v>3</v>
      </c>
      <c r="J3507" s="4" t="n">
        <f aca="false">LEN(E3507)-LEN(SUBSTITUTE(E3507,",",""))+1</f>
        <v>3</v>
      </c>
      <c r="K3507" s="3" t="str">
        <f aca="false">IFERROR(INDEX('Teacher Lookup'!$B$2:$B$200,MATCH(A3507,'Teacher Lookup'!$A$2:$A$200,0)),"")</f>
        <v>CHIU Esther</v>
      </c>
    </row>
    <row r="3508" customFormat="false" ht="15" hidden="false" customHeight="false" outlineLevel="0" collapsed="false">
      <c r="A3508" s="3" t="s">
        <v>392</v>
      </c>
      <c r="B3508" s="4" t="s">
        <v>44</v>
      </c>
      <c r="C3508" s="4" t="n">
        <v>1</v>
      </c>
      <c r="D3508" s="4" t="s">
        <v>106</v>
      </c>
      <c r="E3508" s="3" t="s">
        <v>257</v>
      </c>
      <c r="F3508" s="4" t="str">
        <f aca="false">IF(I3508&gt;J3508,"Y","N")</f>
        <v>N</v>
      </c>
      <c r="G3508" s="3" t="s">
        <v>72</v>
      </c>
      <c r="H3508" s="3" t="s">
        <v>16</v>
      </c>
      <c r="I3508" s="4" t="n">
        <v>3</v>
      </c>
      <c r="J3508" s="4" t="n">
        <f aca="false">LEN(E3508)-LEN(SUBSTITUTE(E3508,",",""))+1</f>
        <v>3</v>
      </c>
      <c r="K3508" s="3" t="str">
        <f aca="false">IFERROR(INDEX('Teacher Lookup'!$B$2:$B$200,MATCH(A3508,'Teacher Lookup'!$A$2:$A$200,0)),"")</f>
        <v>CHIU Esther</v>
      </c>
    </row>
    <row r="3509" customFormat="false" ht="15" hidden="false" customHeight="false" outlineLevel="0" collapsed="false">
      <c r="A3509" s="3" t="s">
        <v>392</v>
      </c>
      <c r="B3509" s="4" t="s">
        <v>44</v>
      </c>
      <c r="C3509" s="4" t="n">
        <v>2</v>
      </c>
      <c r="D3509" s="4" t="s">
        <v>57</v>
      </c>
      <c r="E3509" s="3" t="s">
        <v>394</v>
      </c>
      <c r="F3509" s="4" t="str">
        <f aca="false">IF(I3509&gt;J3509,"Y","N")</f>
        <v>N</v>
      </c>
      <c r="G3509" s="3" t="s">
        <v>72</v>
      </c>
      <c r="H3509" s="3" t="s">
        <v>21</v>
      </c>
      <c r="I3509" s="4" t="n">
        <v>4</v>
      </c>
      <c r="J3509" s="4" t="n">
        <f aca="false">LEN(E3509)-LEN(SUBSTITUTE(E3509,",",""))+1</f>
        <v>4</v>
      </c>
      <c r="K3509" s="3" t="str">
        <f aca="false">IFERROR(INDEX('Teacher Lookup'!$B$2:$B$200,MATCH(A3509,'Teacher Lookup'!$A$2:$A$200,0)),"")</f>
        <v>CHIU Esther</v>
      </c>
    </row>
    <row r="3510" customFormat="false" ht="15" hidden="false" customHeight="false" outlineLevel="0" collapsed="false">
      <c r="A3510" s="3" t="s">
        <v>392</v>
      </c>
      <c r="B3510" s="4" t="s">
        <v>44</v>
      </c>
      <c r="C3510" s="4" t="n">
        <v>2</v>
      </c>
      <c r="D3510" s="4" t="s">
        <v>58</v>
      </c>
      <c r="E3510" s="3" t="s">
        <v>394</v>
      </c>
      <c r="F3510" s="4" t="str">
        <f aca="false">IF(I3510&gt;J3510,"Y","N")</f>
        <v>N</v>
      </c>
      <c r="G3510" s="3" t="s">
        <v>72</v>
      </c>
      <c r="H3510" s="3" t="s">
        <v>21</v>
      </c>
      <c r="I3510" s="4" t="n">
        <v>4</v>
      </c>
      <c r="J3510" s="4" t="n">
        <f aca="false">LEN(E3510)-LEN(SUBSTITUTE(E3510,",",""))+1</f>
        <v>4</v>
      </c>
      <c r="K3510" s="3" t="str">
        <f aca="false">IFERROR(INDEX('Teacher Lookup'!$B$2:$B$200,MATCH(A3510,'Teacher Lookup'!$A$2:$A$200,0)),"")</f>
        <v>CHIU Esther</v>
      </c>
    </row>
    <row r="3511" customFormat="false" ht="15" hidden="false" customHeight="false" outlineLevel="0" collapsed="false">
      <c r="A3511" s="3" t="s">
        <v>392</v>
      </c>
      <c r="B3511" s="4" t="s">
        <v>44</v>
      </c>
      <c r="C3511" s="4" t="n">
        <v>2</v>
      </c>
      <c r="D3511" s="4" t="s">
        <v>59</v>
      </c>
      <c r="E3511" s="3" t="s">
        <v>394</v>
      </c>
      <c r="F3511" s="4" t="str">
        <f aca="false">IF(I3511&gt;J3511,"Y","N")</f>
        <v>N</v>
      </c>
      <c r="G3511" s="3" t="s">
        <v>72</v>
      </c>
      <c r="H3511" s="3" t="s">
        <v>21</v>
      </c>
      <c r="I3511" s="4" t="n">
        <v>4</v>
      </c>
      <c r="J3511" s="4" t="n">
        <f aca="false">LEN(E3511)-LEN(SUBSTITUTE(E3511,",",""))+1</f>
        <v>4</v>
      </c>
      <c r="K3511" s="3" t="str">
        <f aca="false">IFERROR(INDEX('Teacher Lookup'!$B$2:$B$200,MATCH(A3511,'Teacher Lookup'!$A$2:$A$200,0)),"")</f>
        <v>CHIU Esther</v>
      </c>
    </row>
    <row r="3512" customFormat="false" ht="15" hidden="false" customHeight="false" outlineLevel="0" collapsed="false">
      <c r="A3512" s="3" t="s">
        <v>392</v>
      </c>
      <c r="B3512" s="4" t="s">
        <v>44</v>
      </c>
      <c r="C3512" s="4" t="n">
        <v>3</v>
      </c>
      <c r="D3512" s="4" t="s">
        <v>52</v>
      </c>
      <c r="E3512" s="3" t="s">
        <v>395</v>
      </c>
      <c r="F3512" s="4" t="str">
        <f aca="false">IF(I3512&gt;J3512,"Y","N")</f>
        <v>N</v>
      </c>
      <c r="G3512" s="3" t="s">
        <v>72</v>
      </c>
      <c r="H3512" s="3" t="s">
        <v>26</v>
      </c>
      <c r="I3512" s="4" t="n">
        <v>4</v>
      </c>
      <c r="J3512" s="4" t="n">
        <f aca="false">LEN(E3512)-LEN(SUBSTITUTE(E3512,",",""))+1</f>
        <v>4</v>
      </c>
      <c r="K3512" s="3" t="str">
        <f aca="false">IFERROR(INDEX('Teacher Lookup'!$B$2:$B$200,MATCH(A3512,'Teacher Lookup'!$A$2:$A$200,0)),"")</f>
        <v>CHIU Esther</v>
      </c>
    </row>
    <row r="3513" customFormat="false" ht="15" hidden="false" customHeight="false" outlineLevel="0" collapsed="false">
      <c r="A3513" s="3" t="s">
        <v>392</v>
      </c>
      <c r="B3513" s="4" t="s">
        <v>44</v>
      </c>
      <c r="C3513" s="4" t="n">
        <v>3</v>
      </c>
      <c r="D3513" s="4" t="s">
        <v>55</v>
      </c>
      <c r="E3513" s="3" t="s">
        <v>395</v>
      </c>
      <c r="F3513" s="4" t="str">
        <f aca="false">IF(I3513&gt;J3513,"Y","N")</f>
        <v>N</v>
      </c>
      <c r="G3513" s="3" t="s">
        <v>72</v>
      </c>
      <c r="H3513" s="3" t="s">
        <v>26</v>
      </c>
      <c r="I3513" s="4" t="n">
        <v>4</v>
      </c>
      <c r="J3513" s="4" t="n">
        <f aca="false">LEN(E3513)-LEN(SUBSTITUTE(E3513,",",""))+1</f>
        <v>4</v>
      </c>
      <c r="K3513" s="3" t="str">
        <f aca="false">IFERROR(INDEX('Teacher Lookup'!$B$2:$B$200,MATCH(A3513,'Teacher Lookup'!$A$2:$A$200,0)),"")</f>
        <v>CHIU Esther</v>
      </c>
    </row>
    <row r="3514" customFormat="false" ht="15" hidden="false" customHeight="false" outlineLevel="0" collapsed="false">
      <c r="A3514" s="3" t="s">
        <v>392</v>
      </c>
      <c r="B3514" s="4" t="s">
        <v>44</v>
      </c>
      <c r="C3514" s="4" t="n">
        <v>3</v>
      </c>
      <c r="D3514" s="4" t="s">
        <v>56</v>
      </c>
      <c r="E3514" s="3" t="s">
        <v>395</v>
      </c>
      <c r="F3514" s="4" t="str">
        <f aca="false">IF(I3514&gt;J3514,"Y","N")</f>
        <v>N</v>
      </c>
      <c r="G3514" s="3" t="s">
        <v>72</v>
      </c>
      <c r="H3514" s="3" t="s">
        <v>26</v>
      </c>
      <c r="I3514" s="4" t="n">
        <v>4</v>
      </c>
      <c r="J3514" s="4" t="n">
        <f aca="false">LEN(E3514)-LEN(SUBSTITUTE(E3514,",",""))+1</f>
        <v>4</v>
      </c>
      <c r="K3514" s="3" t="str">
        <f aca="false">IFERROR(INDEX('Teacher Lookup'!$B$2:$B$200,MATCH(A3514,'Teacher Lookup'!$A$2:$A$200,0)),"")</f>
        <v>CHIU Esther</v>
      </c>
    </row>
    <row r="3515" customFormat="false" ht="15" hidden="false" customHeight="false" outlineLevel="0" collapsed="false">
      <c r="A3515" s="3" t="s">
        <v>392</v>
      </c>
      <c r="B3515" s="4" t="s">
        <v>44</v>
      </c>
      <c r="C3515" s="4" t="n">
        <v>5</v>
      </c>
      <c r="D3515" s="4" t="s">
        <v>228</v>
      </c>
      <c r="E3515" s="3" t="s">
        <v>229</v>
      </c>
      <c r="F3515" s="4" t="str">
        <f aca="false">IF(I3515&gt;J3515,"Y","N")</f>
        <v>Y</v>
      </c>
      <c r="G3515" s="3" t="s">
        <v>36</v>
      </c>
      <c r="H3515" s="3" t="s">
        <v>37</v>
      </c>
      <c r="I3515" s="4" t="n">
        <v>14</v>
      </c>
      <c r="J3515" s="4" t="n">
        <f aca="false">LEN(E3515)-LEN(SUBSTITUTE(E3515,",",""))+1</f>
        <v>6</v>
      </c>
      <c r="K3515" s="3" t="str">
        <f aca="false">IFERROR(INDEX('Teacher Lookup'!$B$2:$B$200,MATCH(A3515,'Teacher Lookup'!$A$2:$A$200,0)),"")</f>
        <v>CHIU Esther</v>
      </c>
    </row>
    <row r="3516" customFormat="false" ht="15" hidden="false" customHeight="false" outlineLevel="0" collapsed="false">
      <c r="A3516" s="3" t="s">
        <v>392</v>
      </c>
      <c r="B3516" s="4" t="s">
        <v>44</v>
      </c>
      <c r="C3516" s="4" t="n">
        <v>5</v>
      </c>
      <c r="D3516" s="4" t="s">
        <v>102</v>
      </c>
      <c r="E3516" s="3" t="s">
        <v>229</v>
      </c>
      <c r="F3516" s="4" t="str">
        <f aca="false">IF(I3516&gt;J3516,"Y","N")</f>
        <v>Y</v>
      </c>
      <c r="G3516" s="3" t="s">
        <v>36</v>
      </c>
      <c r="H3516" s="3" t="s">
        <v>37</v>
      </c>
      <c r="I3516" s="4" t="n">
        <v>14</v>
      </c>
      <c r="J3516" s="4" t="n">
        <f aca="false">LEN(E3516)-LEN(SUBSTITUTE(E3516,",",""))+1</f>
        <v>6</v>
      </c>
      <c r="K3516" s="3" t="str">
        <f aca="false">IFERROR(INDEX('Teacher Lookup'!$B$2:$B$200,MATCH(A3516,'Teacher Lookup'!$A$2:$A$200,0)),"")</f>
        <v>CHIU Esther</v>
      </c>
    </row>
    <row r="3517" customFormat="false" ht="15" hidden="false" customHeight="false" outlineLevel="0" collapsed="false">
      <c r="A3517" s="3" t="s">
        <v>392</v>
      </c>
      <c r="B3517" s="4" t="s">
        <v>44</v>
      </c>
      <c r="C3517" s="4" t="n">
        <v>5</v>
      </c>
      <c r="D3517" s="4" t="s">
        <v>105</v>
      </c>
      <c r="E3517" s="3" t="s">
        <v>229</v>
      </c>
      <c r="F3517" s="4" t="str">
        <f aca="false">IF(I3517&gt;J3517,"Y","N")</f>
        <v>Y</v>
      </c>
      <c r="G3517" s="3" t="s">
        <v>36</v>
      </c>
      <c r="H3517" s="3" t="s">
        <v>37</v>
      </c>
      <c r="I3517" s="4" t="n">
        <v>14</v>
      </c>
      <c r="J3517" s="4" t="n">
        <f aca="false">LEN(E3517)-LEN(SUBSTITUTE(E3517,",",""))+1</f>
        <v>6</v>
      </c>
      <c r="K3517" s="3" t="str">
        <f aca="false">IFERROR(INDEX('Teacher Lookup'!$B$2:$B$200,MATCH(A3517,'Teacher Lookup'!$A$2:$A$200,0)),"")</f>
        <v>CHIU Esther</v>
      </c>
    </row>
    <row r="3518" customFormat="false" ht="15" hidden="false" customHeight="false" outlineLevel="0" collapsed="false">
      <c r="A3518" s="3" t="s">
        <v>392</v>
      </c>
      <c r="B3518" s="4" t="s">
        <v>44</v>
      </c>
      <c r="C3518" s="4" t="n">
        <v>5</v>
      </c>
      <c r="D3518" s="4" t="s">
        <v>106</v>
      </c>
      <c r="E3518" s="3" t="s">
        <v>229</v>
      </c>
      <c r="F3518" s="4" t="str">
        <f aca="false">IF(I3518&gt;J3518,"Y","N")</f>
        <v>Y</v>
      </c>
      <c r="G3518" s="3" t="s">
        <v>36</v>
      </c>
      <c r="H3518" s="3" t="s">
        <v>37</v>
      </c>
      <c r="I3518" s="4" t="n">
        <v>14</v>
      </c>
      <c r="J3518" s="4" t="n">
        <f aca="false">LEN(E3518)-LEN(SUBSTITUTE(E3518,",",""))+1</f>
        <v>6</v>
      </c>
      <c r="K3518" s="3" t="str">
        <f aca="false">IFERROR(INDEX('Teacher Lookup'!$B$2:$B$200,MATCH(A3518,'Teacher Lookup'!$A$2:$A$200,0)),"")</f>
        <v>CHIU Esther</v>
      </c>
    </row>
    <row r="3519" customFormat="false" ht="15" hidden="false" customHeight="false" outlineLevel="0" collapsed="false">
      <c r="A3519" s="3" t="s">
        <v>392</v>
      </c>
      <c r="B3519" s="4" t="s">
        <v>44</v>
      </c>
      <c r="C3519" s="4" t="n">
        <v>5</v>
      </c>
      <c r="D3519" s="4" t="s">
        <v>107</v>
      </c>
      <c r="E3519" s="3" t="s">
        <v>229</v>
      </c>
      <c r="F3519" s="4" t="str">
        <f aca="false">IF(I3519&gt;J3519,"Y","N")</f>
        <v>Y</v>
      </c>
      <c r="G3519" s="3" t="s">
        <v>36</v>
      </c>
      <c r="H3519" s="3" t="s">
        <v>37</v>
      </c>
      <c r="I3519" s="4" t="n">
        <v>14</v>
      </c>
      <c r="J3519" s="4" t="n">
        <f aca="false">LEN(E3519)-LEN(SUBSTITUTE(E3519,",",""))+1</f>
        <v>6</v>
      </c>
      <c r="K3519" s="3" t="str">
        <f aca="false">IFERROR(INDEX('Teacher Lookup'!$B$2:$B$200,MATCH(A3519,'Teacher Lookup'!$A$2:$A$200,0)),"")</f>
        <v>CHIU Esther</v>
      </c>
    </row>
    <row r="3520" customFormat="false" ht="15" hidden="false" customHeight="false" outlineLevel="0" collapsed="false">
      <c r="A3520" s="3" t="s">
        <v>392</v>
      </c>
      <c r="B3520" s="4" t="s">
        <v>47</v>
      </c>
      <c r="C3520" s="4" t="n">
        <v>1</v>
      </c>
      <c r="D3520" s="4" t="s">
        <v>57</v>
      </c>
      <c r="E3520" s="3" t="s">
        <v>394</v>
      </c>
      <c r="F3520" s="4" t="str">
        <f aca="false">IF(I3520&gt;J3520,"Y","N")</f>
        <v>N</v>
      </c>
      <c r="G3520" s="3" t="s">
        <v>72</v>
      </c>
      <c r="H3520" s="3" t="s">
        <v>16</v>
      </c>
      <c r="I3520" s="4" t="n">
        <v>4</v>
      </c>
      <c r="J3520" s="4" t="n">
        <f aca="false">LEN(E3520)-LEN(SUBSTITUTE(E3520,",",""))+1</f>
        <v>4</v>
      </c>
      <c r="K3520" s="3" t="str">
        <f aca="false">IFERROR(INDEX('Teacher Lookup'!$B$2:$B$200,MATCH(A3520,'Teacher Lookup'!$A$2:$A$200,0)),"")</f>
        <v>CHIU Esther</v>
      </c>
    </row>
    <row r="3521" customFormat="false" ht="15" hidden="false" customHeight="false" outlineLevel="0" collapsed="false">
      <c r="A3521" s="3" t="s">
        <v>392</v>
      </c>
      <c r="B3521" s="4" t="s">
        <v>47</v>
      </c>
      <c r="C3521" s="4" t="n">
        <v>1</v>
      </c>
      <c r="D3521" s="4" t="s">
        <v>58</v>
      </c>
      <c r="E3521" s="3" t="s">
        <v>394</v>
      </c>
      <c r="F3521" s="4" t="str">
        <f aca="false">IF(I3521&gt;J3521,"Y","N")</f>
        <v>N</v>
      </c>
      <c r="G3521" s="3" t="s">
        <v>72</v>
      </c>
      <c r="H3521" s="3" t="s">
        <v>16</v>
      </c>
      <c r="I3521" s="4" t="n">
        <v>4</v>
      </c>
      <c r="J3521" s="4" t="n">
        <f aca="false">LEN(E3521)-LEN(SUBSTITUTE(E3521,",",""))+1</f>
        <v>4</v>
      </c>
      <c r="K3521" s="3" t="str">
        <f aca="false">IFERROR(INDEX('Teacher Lookup'!$B$2:$B$200,MATCH(A3521,'Teacher Lookup'!$A$2:$A$200,0)),"")</f>
        <v>CHIU Esther</v>
      </c>
    </row>
    <row r="3522" customFormat="false" ht="15" hidden="false" customHeight="false" outlineLevel="0" collapsed="false">
      <c r="A3522" s="3" t="s">
        <v>392</v>
      </c>
      <c r="B3522" s="4" t="s">
        <v>47</v>
      </c>
      <c r="C3522" s="4" t="n">
        <v>1</v>
      </c>
      <c r="D3522" s="4" t="s">
        <v>59</v>
      </c>
      <c r="E3522" s="3" t="s">
        <v>394</v>
      </c>
      <c r="F3522" s="4" t="str">
        <f aca="false">IF(I3522&gt;J3522,"Y","N")</f>
        <v>N</v>
      </c>
      <c r="G3522" s="3" t="s">
        <v>72</v>
      </c>
      <c r="H3522" s="3" t="s">
        <v>16</v>
      </c>
      <c r="I3522" s="4" t="n">
        <v>4</v>
      </c>
      <c r="J3522" s="4" t="n">
        <f aca="false">LEN(E3522)-LEN(SUBSTITUTE(E3522,",",""))+1</f>
        <v>4</v>
      </c>
      <c r="K3522" s="3" t="str">
        <f aca="false">IFERROR(INDEX('Teacher Lookup'!$B$2:$B$200,MATCH(A3522,'Teacher Lookup'!$A$2:$A$200,0)),"")</f>
        <v>CHIU Esther</v>
      </c>
    </row>
    <row r="3523" customFormat="false" ht="15" hidden="false" customHeight="false" outlineLevel="0" collapsed="false">
      <c r="A3523" s="3" t="s">
        <v>392</v>
      </c>
      <c r="B3523" s="4" t="s">
        <v>47</v>
      </c>
      <c r="C3523" s="4" t="n">
        <v>3</v>
      </c>
      <c r="D3523" s="4" t="s">
        <v>52</v>
      </c>
      <c r="E3523" s="3" t="s">
        <v>163</v>
      </c>
      <c r="F3523" s="4" t="str">
        <f aca="false">IF(I3523&gt;J3523,"Y","N")</f>
        <v>N</v>
      </c>
      <c r="G3523" s="3" t="s">
        <v>72</v>
      </c>
      <c r="H3523" s="3" t="s">
        <v>26</v>
      </c>
      <c r="I3523" s="4" t="n">
        <v>4</v>
      </c>
      <c r="J3523" s="4" t="n">
        <f aca="false">LEN(E3523)-LEN(SUBSTITUTE(E3523,",",""))+1</f>
        <v>4</v>
      </c>
      <c r="K3523" s="3" t="str">
        <f aca="false">IFERROR(INDEX('Teacher Lookup'!$B$2:$B$200,MATCH(A3523,'Teacher Lookup'!$A$2:$A$200,0)),"")</f>
        <v>CHIU Esther</v>
      </c>
    </row>
    <row r="3524" customFormat="false" ht="15" hidden="false" customHeight="false" outlineLevel="0" collapsed="false">
      <c r="A3524" s="3" t="s">
        <v>392</v>
      </c>
      <c r="B3524" s="4" t="s">
        <v>47</v>
      </c>
      <c r="C3524" s="4" t="n">
        <v>3</v>
      </c>
      <c r="D3524" s="4" t="s">
        <v>55</v>
      </c>
      <c r="E3524" s="3" t="s">
        <v>163</v>
      </c>
      <c r="F3524" s="4" t="str">
        <f aca="false">IF(I3524&gt;J3524,"Y","N")</f>
        <v>N</v>
      </c>
      <c r="G3524" s="3" t="s">
        <v>72</v>
      </c>
      <c r="H3524" s="3" t="s">
        <v>26</v>
      </c>
      <c r="I3524" s="4" t="n">
        <v>4</v>
      </c>
      <c r="J3524" s="4" t="n">
        <f aca="false">LEN(E3524)-LEN(SUBSTITUTE(E3524,",",""))+1</f>
        <v>4</v>
      </c>
      <c r="K3524" s="3" t="str">
        <f aca="false">IFERROR(INDEX('Teacher Lookup'!$B$2:$B$200,MATCH(A3524,'Teacher Lookup'!$A$2:$A$200,0)),"")</f>
        <v>CHIU Esther</v>
      </c>
    </row>
    <row r="3525" customFormat="false" ht="15" hidden="false" customHeight="false" outlineLevel="0" collapsed="false">
      <c r="A3525" s="3" t="s">
        <v>392</v>
      </c>
      <c r="B3525" s="4" t="s">
        <v>47</v>
      </c>
      <c r="C3525" s="4" t="n">
        <v>3</v>
      </c>
      <c r="D3525" s="4" t="s">
        <v>56</v>
      </c>
      <c r="E3525" s="3" t="s">
        <v>163</v>
      </c>
      <c r="F3525" s="4" t="str">
        <f aca="false">IF(I3525&gt;J3525,"Y","N")</f>
        <v>N</v>
      </c>
      <c r="G3525" s="3" t="s">
        <v>72</v>
      </c>
      <c r="H3525" s="3" t="s">
        <v>26</v>
      </c>
      <c r="I3525" s="4" t="n">
        <v>4</v>
      </c>
      <c r="J3525" s="4" t="n">
        <f aca="false">LEN(E3525)-LEN(SUBSTITUTE(E3525,",",""))+1</f>
        <v>4</v>
      </c>
      <c r="K3525" s="3" t="str">
        <f aca="false">IFERROR(INDEX('Teacher Lookup'!$B$2:$B$200,MATCH(A3525,'Teacher Lookup'!$A$2:$A$200,0)),"")</f>
        <v>CHIU Esther</v>
      </c>
    </row>
    <row r="3526" customFormat="false" ht="15" hidden="false" customHeight="false" outlineLevel="0" collapsed="false">
      <c r="A3526" s="3" t="s">
        <v>392</v>
      </c>
      <c r="B3526" s="4" t="s">
        <v>47</v>
      </c>
      <c r="C3526" s="4" t="n">
        <v>6</v>
      </c>
      <c r="D3526" s="4" t="s">
        <v>105</v>
      </c>
      <c r="E3526" s="3" t="s">
        <v>328</v>
      </c>
      <c r="F3526" s="4" t="str">
        <f aca="false">IF(I3526&gt;J3526,"Y","N")</f>
        <v>N</v>
      </c>
      <c r="G3526" s="3" t="s">
        <v>72</v>
      </c>
      <c r="H3526" s="3" t="s">
        <v>42</v>
      </c>
      <c r="I3526" s="4" t="n">
        <v>3</v>
      </c>
      <c r="J3526" s="4" t="n">
        <f aca="false">LEN(E3526)-LEN(SUBSTITUTE(E3526,",",""))+1</f>
        <v>3</v>
      </c>
      <c r="K3526" s="3" t="str">
        <f aca="false">IFERROR(INDEX('Teacher Lookup'!$B$2:$B$200,MATCH(A3526,'Teacher Lookup'!$A$2:$A$200,0)),"")</f>
        <v>CHIU Esther</v>
      </c>
    </row>
    <row r="3527" customFormat="false" ht="15" hidden="false" customHeight="false" outlineLevel="0" collapsed="false">
      <c r="A3527" s="3" t="s">
        <v>392</v>
      </c>
      <c r="B3527" s="4" t="s">
        <v>47</v>
      </c>
      <c r="C3527" s="4" t="n">
        <v>6</v>
      </c>
      <c r="D3527" s="4" t="s">
        <v>106</v>
      </c>
      <c r="E3527" s="3" t="s">
        <v>328</v>
      </c>
      <c r="F3527" s="4" t="str">
        <f aca="false">IF(I3527&gt;J3527,"Y","N")</f>
        <v>N</v>
      </c>
      <c r="G3527" s="3" t="s">
        <v>72</v>
      </c>
      <c r="H3527" s="3" t="s">
        <v>42</v>
      </c>
      <c r="I3527" s="4" t="n">
        <v>3</v>
      </c>
      <c r="J3527" s="4" t="n">
        <f aca="false">LEN(E3527)-LEN(SUBSTITUTE(E3527,",",""))+1</f>
        <v>3</v>
      </c>
      <c r="K3527" s="3" t="str">
        <f aca="false">IFERROR(INDEX('Teacher Lookup'!$B$2:$B$200,MATCH(A3527,'Teacher Lookup'!$A$2:$A$200,0)),"")</f>
        <v>CHIU Esther</v>
      </c>
    </row>
    <row r="3528" customFormat="false" ht="15" hidden="false" customHeight="false" outlineLevel="0" collapsed="false">
      <c r="A3528" s="3" t="s">
        <v>392</v>
      </c>
      <c r="B3528" s="4" t="s">
        <v>47</v>
      </c>
      <c r="C3528" s="4" t="n">
        <v>7</v>
      </c>
      <c r="D3528" s="4" t="s">
        <v>105</v>
      </c>
      <c r="E3528" s="3" t="s">
        <v>328</v>
      </c>
      <c r="F3528" s="4" t="str">
        <f aca="false">IF(I3528&gt;J3528,"Y","N")</f>
        <v>N</v>
      </c>
      <c r="G3528" s="3" t="s">
        <v>72</v>
      </c>
      <c r="H3528" s="3" t="s">
        <v>39</v>
      </c>
      <c r="I3528" s="4" t="n">
        <v>3</v>
      </c>
      <c r="J3528" s="4" t="n">
        <f aca="false">LEN(E3528)-LEN(SUBSTITUTE(E3528,",",""))+1</f>
        <v>3</v>
      </c>
      <c r="K3528" s="3" t="str">
        <f aca="false">IFERROR(INDEX('Teacher Lookup'!$B$2:$B$200,MATCH(A3528,'Teacher Lookup'!$A$2:$A$200,0)),"")</f>
        <v>CHIU Esther</v>
      </c>
    </row>
    <row r="3529" customFormat="false" ht="15" hidden="false" customHeight="false" outlineLevel="0" collapsed="false">
      <c r="A3529" s="3" t="s">
        <v>392</v>
      </c>
      <c r="B3529" s="4" t="s">
        <v>47</v>
      </c>
      <c r="C3529" s="4" t="n">
        <v>7</v>
      </c>
      <c r="D3529" s="4" t="s">
        <v>106</v>
      </c>
      <c r="E3529" s="3" t="s">
        <v>328</v>
      </c>
      <c r="F3529" s="4" t="str">
        <f aca="false">IF(I3529&gt;J3529,"Y","N")</f>
        <v>N</v>
      </c>
      <c r="G3529" s="3" t="s">
        <v>72</v>
      </c>
      <c r="H3529" s="3" t="s">
        <v>39</v>
      </c>
      <c r="I3529" s="4" t="n">
        <v>3</v>
      </c>
      <c r="J3529" s="4" t="n">
        <f aca="false">LEN(E3529)-LEN(SUBSTITUTE(E3529,",",""))+1</f>
        <v>3</v>
      </c>
      <c r="K3529" s="3" t="str">
        <f aca="false">IFERROR(INDEX('Teacher Lookup'!$B$2:$B$200,MATCH(A3529,'Teacher Lookup'!$A$2:$A$200,0)),"")</f>
        <v>CHIU Esther</v>
      </c>
    </row>
    <row r="3530" customFormat="false" ht="15" hidden="false" customHeight="false" outlineLevel="0" collapsed="false">
      <c r="A3530" s="3" t="s">
        <v>392</v>
      </c>
      <c r="B3530" s="4" t="s">
        <v>50</v>
      </c>
      <c r="C3530" s="4" t="n">
        <v>4</v>
      </c>
      <c r="D3530" s="4" t="s">
        <v>57</v>
      </c>
      <c r="E3530" s="3" t="s">
        <v>396</v>
      </c>
      <c r="F3530" s="4" t="str">
        <f aca="false">IF(I3530&gt;J3530,"Y","N")</f>
        <v>N</v>
      </c>
      <c r="G3530" s="3" t="s">
        <v>72</v>
      </c>
      <c r="H3530" s="3" t="s">
        <v>34</v>
      </c>
      <c r="I3530" s="4" t="n">
        <v>4</v>
      </c>
      <c r="J3530" s="4" t="n">
        <f aca="false">LEN(E3530)-LEN(SUBSTITUTE(E3530,",",""))+1</f>
        <v>4</v>
      </c>
      <c r="K3530" s="3" t="str">
        <f aca="false">IFERROR(INDEX('Teacher Lookup'!$B$2:$B$200,MATCH(A3530,'Teacher Lookup'!$A$2:$A$200,0)),"")</f>
        <v>CHIU Esther</v>
      </c>
    </row>
    <row r="3531" customFormat="false" ht="15" hidden="false" customHeight="false" outlineLevel="0" collapsed="false">
      <c r="A3531" s="3" t="s">
        <v>392</v>
      </c>
      <c r="B3531" s="4" t="s">
        <v>50</v>
      </c>
      <c r="C3531" s="4" t="n">
        <v>4</v>
      </c>
      <c r="D3531" s="4" t="s">
        <v>58</v>
      </c>
      <c r="E3531" s="3" t="s">
        <v>396</v>
      </c>
      <c r="F3531" s="4" t="str">
        <f aca="false">IF(I3531&gt;J3531,"Y","N")</f>
        <v>N</v>
      </c>
      <c r="G3531" s="3" t="s">
        <v>72</v>
      </c>
      <c r="H3531" s="3" t="s">
        <v>34</v>
      </c>
      <c r="I3531" s="4" t="n">
        <v>4</v>
      </c>
      <c r="J3531" s="4" t="n">
        <f aca="false">LEN(E3531)-LEN(SUBSTITUTE(E3531,",",""))+1</f>
        <v>4</v>
      </c>
      <c r="K3531" s="3" t="str">
        <f aca="false">IFERROR(INDEX('Teacher Lookup'!$B$2:$B$200,MATCH(A3531,'Teacher Lookup'!$A$2:$A$200,0)),"")</f>
        <v>CHIU Esther</v>
      </c>
    </row>
    <row r="3532" customFormat="false" ht="15" hidden="false" customHeight="false" outlineLevel="0" collapsed="false">
      <c r="A3532" s="3" t="s">
        <v>392</v>
      </c>
      <c r="B3532" s="4" t="s">
        <v>50</v>
      </c>
      <c r="C3532" s="4" t="n">
        <v>4</v>
      </c>
      <c r="D3532" s="4" t="s">
        <v>59</v>
      </c>
      <c r="E3532" s="3" t="s">
        <v>396</v>
      </c>
      <c r="F3532" s="4" t="str">
        <f aca="false">IF(I3532&gt;J3532,"Y","N")</f>
        <v>N</v>
      </c>
      <c r="G3532" s="3" t="s">
        <v>72</v>
      </c>
      <c r="H3532" s="3" t="s">
        <v>34</v>
      </c>
      <c r="I3532" s="4" t="n">
        <v>4</v>
      </c>
      <c r="J3532" s="4" t="n">
        <f aca="false">LEN(E3532)-LEN(SUBSTITUTE(E3532,",",""))+1</f>
        <v>4</v>
      </c>
      <c r="K3532" s="3" t="str">
        <f aca="false">IFERROR(INDEX('Teacher Lookup'!$B$2:$B$200,MATCH(A3532,'Teacher Lookup'!$A$2:$A$200,0)),"")</f>
        <v>CHIU Esther</v>
      </c>
    </row>
    <row r="3533" customFormat="false" ht="15" hidden="false" customHeight="false" outlineLevel="0" collapsed="false">
      <c r="A3533" s="3" t="s">
        <v>392</v>
      </c>
      <c r="B3533" s="4" t="s">
        <v>50</v>
      </c>
      <c r="C3533" s="4" t="n">
        <v>5</v>
      </c>
      <c r="D3533" s="4" t="s">
        <v>52</v>
      </c>
      <c r="E3533" s="3" t="s">
        <v>180</v>
      </c>
      <c r="F3533" s="4" t="str">
        <f aca="false">IF(I3533&gt;J3533,"Y","N")</f>
        <v>N</v>
      </c>
      <c r="G3533" s="3" t="s">
        <v>72</v>
      </c>
      <c r="H3533" s="3" t="s">
        <v>37</v>
      </c>
      <c r="I3533" s="4" t="n">
        <v>4</v>
      </c>
      <c r="J3533" s="4" t="n">
        <f aca="false">LEN(E3533)-LEN(SUBSTITUTE(E3533,",",""))+1</f>
        <v>4</v>
      </c>
      <c r="K3533" s="3" t="str">
        <f aca="false">IFERROR(INDEX('Teacher Lookup'!$B$2:$B$200,MATCH(A3533,'Teacher Lookup'!$A$2:$A$200,0)),"")</f>
        <v>CHIU Esther</v>
      </c>
    </row>
    <row r="3534" customFormat="false" ht="15" hidden="false" customHeight="false" outlineLevel="0" collapsed="false">
      <c r="A3534" s="3" t="s">
        <v>392</v>
      </c>
      <c r="B3534" s="4" t="s">
        <v>50</v>
      </c>
      <c r="C3534" s="4" t="n">
        <v>5</v>
      </c>
      <c r="D3534" s="4" t="s">
        <v>55</v>
      </c>
      <c r="E3534" s="3" t="s">
        <v>180</v>
      </c>
      <c r="F3534" s="4" t="str">
        <f aca="false">IF(I3534&gt;J3534,"Y","N")</f>
        <v>N</v>
      </c>
      <c r="G3534" s="3" t="s">
        <v>72</v>
      </c>
      <c r="H3534" s="3" t="s">
        <v>37</v>
      </c>
      <c r="I3534" s="4" t="n">
        <v>4</v>
      </c>
      <c r="J3534" s="4" t="n">
        <f aca="false">LEN(E3534)-LEN(SUBSTITUTE(E3534,",",""))+1</f>
        <v>4</v>
      </c>
      <c r="K3534" s="3" t="str">
        <f aca="false">IFERROR(INDEX('Teacher Lookup'!$B$2:$B$200,MATCH(A3534,'Teacher Lookup'!$A$2:$A$200,0)),"")</f>
        <v>CHIU Esther</v>
      </c>
    </row>
    <row r="3535" customFormat="false" ht="15" hidden="false" customHeight="false" outlineLevel="0" collapsed="false">
      <c r="A3535" s="3" t="s">
        <v>392</v>
      </c>
      <c r="B3535" s="4" t="s">
        <v>50</v>
      </c>
      <c r="C3535" s="4" t="n">
        <v>5</v>
      </c>
      <c r="D3535" s="4" t="s">
        <v>56</v>
      </c>
      <c r="E3535" s="3" t="s">
        <v>180</v>
      </c>
      <c r="F3535" s="4" t="str">
        <f aca="false">IF(I3535&gt;J3535,"Y","N")</f>
        <v>N</v>
      </c>
      <c r="G3535" s="3" t="s">
        <v>72</v>
      </c>
      <c r="H3535" s="3" t="s">
        <v>37</v>
      </c>
      <c r="I3535" s="4" t="n">
        <v>4</v>
      </c>
      <c r="J3535" s="4" t="n">
        <f aca="false">LEN(E3535)-LEN(SUBSTITUTE(E3535,",",""))+1</f>
        <v>4</v>
      </c>
      <c r="K3535" s="3" t="str">
        <f aca="false">IFERROR(INDEX('Teacher Lookup'!$B$2:$B$200,MATCH(A3535,'Teacher Lookup'!$A$2:$A$200,0)),"")</f>
        <v>CHIU Esther</v>
      </c>
    </row>
    <row r="3536" customFormat="false" ht="15" hidden="false" customHeight="false" outlineLevel="0" collapsed="false">
      <c r="A3536" s="3" t="s">
        <v>392</v>
      </c>
      <c r="B3536" s="4" t="s">
        <v>50</v>
      </c>
      <c r="C3536" s="4" t="n">
        <v>7</v>
      </c>
      <c r="D3536" s="4" t="s">
        <v>105</v>
      </c>
      <c r="E3536" s="3" t="s">
        <v>331</v>
      </c>
      <c r="F3536" s="4" t="str">
        <f aca="false">IF(I3536&gt;J3536,"Y","N")</f>
        <v>N</v>
      </c>
      <c r="G3536" s="3" t="s">
        <v>72</v>
      </c>
      <c r="H3536" s="3" t="s">
        <v>39</v>
      </c>
      <c r="I3536" s="4" t="n">
        <v>3</v>
      </c>
      <c r="J3536" s="4" t="n">
        <f aca="false">LEN(E3536)-LEN(SUBSTITUTE(E3536,",",""))+1</f>
        <v>3</v>
      </c>
      <c r="K3536" s="3" t="str">
        <f aca="false">IFERROR(INDEX('Teacher Lookup'!$B$2:$B$200,MATCH(A3536,'Teacher Lookup'!$A$2:$A$200,0)),"")</f>
        <v>CHIU Esther</v>
      </c>
    </row>
    <row r="3537" customFormat="false" ht="15" hidden="false" customHeight="false" outlineLevel="0" collapsed="false">
      <c r="A3537" s="3" t="s">
        <v>392</v>
      </c>
      <c r="B3537" s="4" t="s">
        <v>50</v>
      </c>
      <c r="C3537" s="4" t="n">
        <v>7</v>
      </c>
      <c r="D3537" s="4" t="s">
        <v>106</v>
      </c>
      <c r="E3537" s="3" t="s">
        <v>331</v>
      </c>
      <c r="F3537" s="4" t="str">
        <f aca="false">IF(I3537&gt;J3537,"Y","N")</f>
        <v>N</v>
      </c>
      <c r="G3537" s="3" t="s">
        <v>72</v>
      </c>
      <c r="H3537" s="3" t="s">
        <v>39</v>
      </c>
      <c r="I3537" s="4" t="n">
        <v>3</v>
      </c>
      <c r="J3537" s="4" t="n">
        <f aca="false">LEN(E3537)-LEN(SUBSTITUTE(E3537,",",""))+1</f>
        <v>3</v>
      </c>
      <c r="K3537" s="3" t="str">
        <f aca="false">IFERROR(INDEX('Teacher Lookup'!$B$2:$B$200,MATCH(A3537,'Teacher Lookup'!$A$2:$A$200,0)),"")</f>
        <v>CHIU Esther</v>
      </c>
    </row>
    <row r="3538" customFormat="false" ht="15" hidden="false" customHeight="false" outlineLevel="0" collapsed="false">
      <c r="A3538" s="3" t="s">
        <v>392</v>
      </c>
      <c r="B3538" s="4" t="s">
        <v>60</v>
      </c>
      <c r="C3538" s="4" t="n">
        <v>3</v>
      </c>
      <c r="D3538" s="4" t="s">
        <v>105</v>
      </c>
      <c r="E3538" s="3" t="s">
        <v>332</v>
      </c>
      <c r="F3538" s="4" t="str">
        <f aca="false">IF(I3538&gt;J3538,"Y","N")</f>
        <v>N</v>
      </c>
      <c r="G3538" s="3" t="s">
        <v>72</v>
      </c>
      <c r="H3538" s="3" t="s">
        <v>26</v>
      </c>
      <c r="I3538" s="4" t="n">
        <v>3</v>
      </c>
      <c r="J3538" s="4" t="n">
        <f aca="false">LEN(E3538)-LEN(SUBSTITUTE(E3538,",",""))+1</f>
        <v>3</v>
      </c>
      <c r="K3538" s="3" t="str">
        <f aca="false">IFERROR(INDEX('Teacher Lookup'!$B$2:$B$200,MATCH(A3538,'Teacher Lookup'!$A$2:$A$200,0)),"")</f>
        <v>CHIU Esther</v>
      </c>
    </row>
    <row r="3539" customFormat="false" ht="15" hidden="false" customHeight="false" outlineLevel="0" collapsed="false">
      <c r="A3539" s="3" t="s">
        <v>392</v>
      </c>
      <c r="B3539" s="4" t="s">
        <v>60</v>
      </c>
      <c r="C3539" s="4" t="n">
        <v>3</v>
      </c>
      <c r="D3539" s="4" t="s">
        <v>106</v>
      </c>
      <c r="E3539" s="3" t="s">
        <v>332</v>
      </c>
      <c r="F3539" s="4" t="str">
        <f aca="false">IF(I3539&gt;J3539,"Y","N")</f>
        <v>N</v>
      </c>
      <c r="G3539" s="3" t="s">
        <v>72</v>
      </c>
      <c r="H3539" s="3" t="s">
        <v>26</v>
      </c>
      <c r="I3539" s="4" t="n">
        <v>3</v>
      </c>
      <c r="J3539" s="4" t="n">
        <f aca="false">LEN(E3539)-LEN(SUBSTITUTE(E3539,",",""))+1</f>
        <v>3</v>
      </c>
      <c r="K3539" s="3" t="str">
        <f aca="false">IFERROR(INDEX('Teacher Lookup'!$B$2:$B$200,MATCH(A3539,'Teacher Lookup'!$A$2:$A$200,0)),"")</f>
        <v>CHIU Esther</v>
      </c>
    </row>
    <row r="3540" customFormat="false" ht="15" hidden="false" customHeight="false" outlineLevel="0" collapsed="false">
      <c r="A3540" s="3" t="s">
        <v>392</v>
      </c>
      <c r="B3540" s="4" t="s">
        <v>60</v>
      </c>
      <c r="C3540" s="4" t="n">
        <v>5</v>
      </c>
      <c r="D3540" s="4" t="s">
        <v>228</v>
      </c>
      <c r="E3540" s="3" t="s">
        <v>229</v>
      </c>
      <c r="F3540" s="4" t="str">
        <f aca="false">IF(I3540&gt;J3540,"Y","N")</f>
        <v>Y</v>
      </c>
      <c r="G3540" s="3" t="s">
        <v>36</v>
      </c>
      <c r="H3540" s="3" t="s">
        <v>37</v>
      </c>
      <c r="I3540" s="4" t="n">
        <v>14</v>
      </c>
      <c r="J3540" s="4" t="n">
        <f aca="false">LEN(E3540)-LEN(SUBSTITUTE(E3540,",",""))+1</f>
        <v>6</v>
      </c>
      <c r="K3540" s="3" t="str">
        <f aca="false">IFERROR(INDEX('Teacher Lookup'!$B$2:$B$200,MATCH(A3540,'Teacher Lookup'!$A$2:$A$200,0)),"")</f>
        <v>CHIU Esther</v>
      </c>
    </row>
    <row r="3541" customFormat="false" ht="15" hidden="false" customHeight="false" outlineLevel="0" collapsed="false">
      <c r="A3541" s="3" t="s">
        <v>392</v>
      </c>
      <c r="B3541" s="4" t="s">
        <v>60</v>
      </c>
      <c r="C3541" s="4" t="n">
        <v>5</v>
      </c>
      <c r="D3541" s="4" t="s">
        <v>102</v>
      </c>
      <c r="E3541" s="3" t="s">
        <v>229</v>
      </c>
      <c r="F3541" s="4" t="str">
        <f aca="false">IF(I3541&gt;J3541,"Y","N")</f>
        <v>Y</v>
      </c>
      <c r="G3541" s="3" t="s">
        <v>36</v>
      </c>
      <c r="H3541" s="3" t="s">
        <v>37</v>
      </c>
      <c r="I3541" s="4" t="n">
        <v>14</v>
      </c>
      <c r="J3541" s="4" t="n">
        <f aca="false">LEN(E3541)-LEN(SUBSTITUTE(E3541,",",""))+1</f>
        <v>6</v>
      </c>
      <c r="K3541" s="3" t="str">
        <f aca="false">IFERROR(INDEX('Teacher Lookup'!$B$2:$B$200,MATCH(A3541,'Teacher Lookup'!$A$2:$A$200,0)),"")</f>
        <v>CHIU Esther</v>
      </c>
    </row>
    <row r="3542" customFormat="false" ht="15" hidden="false" customHeight="false" outlineLevel="0" collapsed="false">
      <c r="A3542" s="3" t="s">
        <v>392</v>
      </c>
      <c r="B3542" s="4" t="s">
        <v>60</v>
      </c>
      <c r="C3542" s="4" t="n">
        <v>5</v>
      </c>
      <c r="D3542" s="4" t="s">
        <v>105</v>
      </c>
      <c r="E3542" s="3" t="s">
        <v>229</v>
      </c>
      <c r="F3542" s="4" t="str">
        <f aca="false">IF(I3542&gt;J3542,"Y","N")</f>
        <v>Y</v>
      </c>
      <c r="G3542" s="3" t="s">
        <v>36</v>
      </c>
      <c r="H3542" s="3" t="s">
        <v>37</v>
      </c>
      <c r="I3542" s="4" t="n">
        <v>14</v>
      </c>
      <c r="J3542" s="4" t="n">
        <f aca="false">LEN(E3542)-LEN(SUBSTITUTE(E3542,",",""))+1</f>
        <v>6</v>
      </c>
      <c r="K3542" s="3" t="str">
        <f aca="false">IFERROR(INDEX('Teacher Lookup'!$B$2:$B$200,MATCH(A3542,'Teacher Lookup'!$A$2:$A$200,0)),"")</f>
        <v>CHIU Esther</v>
      </c>
    </row>
    <row r="3543" customFormat="false" ht="15" hidden="false" customHeight="false" outlineLevel="0" collapsed="false">
      <c r="A3543" s="3" t="s">
        <v>392</v>
      </c>
      <c r="B3543" s="4" t="s">
        <v>60</v>
      </c>
      <c r="C3543" s="4" t="n">
        <v>5</v>
      </c>
      <c r="D3543" s="4" t="s">
        <v>106</v>
      </c>
      <c r="E3543" s="3" t="s">
        <v>229</v>
      </c>
      <c r="F3543" s="4" t="str">
        <f aca="false">IF(I3543&gt;J3543,"Y","N")</f>
        <v>Y</v>
      </c>
      <c r="G3543" s="3" t="s">
        <v>36</v>
      </c>
      <c r="H3543" s="3" t="s">
        <v>37</v>
      </c>
      <c r="I3543" s="4" t="n">
        <v>14</v>
      </c>
      <c r="J3543" s="4" t="n">
        <f aca="false">LEN(E3543)-LEN(SUBSTITUTE(E3543,",",""))+1</f>
        <v>6</v>
      </c>
      <c r="K3543" s="3" t="str">
        <f aca="false">IFERROR(INDEX('Teacher Lookup'!$B$2:$B$200,MATCH(A3543,'Teacher Lookup'!$A$2:$A$200,0)),"")</f>
        <v>CHIU Esther</v>
      </c>
    </row>
    <row r="3544" customFormat="false" ht="15" hidden="false" customHeight="false" outlineLevel="0" collapsed="false">
      <c r="A3544" s="3" t="s">
        <v>392</v>
      </c>
      <c r="B3544" s="4" t="s">
        <v>60</v>
      </c>
      <c r="C3544" s="4" t="n">
        <v>5</v>
      </c>
      <c r="D3544" s="4" t="s">
        <v>107</v>
      </c>
      <c r="E3544" s="3" t="s">
        <v>229</v>
      </c>
      <c r="F3544" s="4" t="str">
        <f aca="false">IF(I3544&gt;J3544,"Y","N")</f>
        <v>Y</v>
      </c>
      <c r="G3544" s="3" t="s">
        <v>36</v>
      </c>
      <c r="H3544" s="3" t="s">
        <v>37</v>
      </c>
      <c r="I3544" s="4" t="n">
        <v>14</v>
      </c>
      <c r="J3544" s="4" t="n">
        <f aca="false">LEN(E3544)-LEN(SUBSTITUTE(E3544,",",""))+1</f>
        <v>6</v>
      </c>
      <c r="K3544" s="3" t="str">
        <f aca="false">IFERROR(INDEX('Teacher Lookup'!$B$2:$B$200,MATCH(A3544,'Teacher Lookup'!$A$2:$A$200,0)),"")</f>
        <v>CHIU Esther</v>
      </c>
    </row>
    <row r="3545" customFormat="false" ht="15" hidden="false" customHeight="false" outlineLevel="0" collapsed="false">
      <c r="A3545" s="3" t="s">
        <v>392</v>
      </c>
      <c r="B3545" s="4" t="s">
        <v>60</v>
      </c>
      <c r="C3545" s="4" t="n">
        <v>6</v>
      </c>
      <c r="D3545" s="4" t="s">
        <v>57</v>
      </c>
      <c r="E3545" s="3" t="s">
        <v>397</v>
      </c>
      <c r="F3545" s="4" t="str">
        <f aca="false">IF(I3545&gt;J3545,"Y","N")</f>
        <v>N</v>
      </c>
      <c r="G3545" s="3" t="s">
        <v>72</v>
      </c>
      <c r="H3545" s="3" t="s">
        <v>42</v>
      </c>
      <c r="I3545" s="4" t="n">
        <v>4</v>
      </c>
      <c r="J3545" s="4" t="n">
        <f aca="false">LEN(E3545)-LEN(SUBSTITUTE(E3545,",",""))+1</f>
        <v>4</v>
      </c>
      <c r="K3545" s="3" t="str">
        <f aca="false">IFERROR(INDEX('Teacher Lookup'!$B$2:$B$200,MATCH(A3545,'Teacher Lookup'!$A$2:$A$200,0)),"")</f>
        <v>CHIU Esther</v>
      </c>
    </row>
    <row r="3546" customFormat="false" ht="15" hidden="false" customHeight="false" outlineLevel="0" collapsed="false">
      <c r="A3546" s="3" t="s">
        <v>392</v>
      </c>
      <c r="B3546" s="4" t="s">
        <v>60</v>
      </c>
      <c r="C3546" s="4" t="n">
        <v>6</v>
      </c>
      <c r="D3546" s="4" t="s">
        <v>58</v>
      </c>
      <c r="E3546" s="3" t="s">
        <v>397</v>
      </c>
      <c r="F3546" s="4" t="str">
        <f aca="false">IF(I3546&gt;J3546,"Y","N")</f>
        <v>N</v>
      </c>
      <c r="G3546" s="3" t="s">
        <v>72</v>
      </c>
      <c r="H3546" s="3" t="s">
        <v>42</v>
      </c>
      <c r="I3546" s="4" t="n">
        <v>4</v>
      </c>
      <c r="J3546" s="4" t="n">
        <f aca="false">LEN(E3546)-LEN(SUBSTITUTE(E3546,",",""))+1</f>
        <v>4</v>
      </c>
      <c r="K3546" s="3" t="str">
        <f aca="false">IFERROR(INDEX('Teacher Lookup'!$B$2:$B$200,MATCH(A3546,'Teacher Lookup'!$A$2:$A$200,0)),"")</f>
        <v>CHIU Esther</v>
      </c>
    </row>
    <row r="3547" customFormat="false" ht="15" hidden="false" customHeight="false" outlineLevel="0" collapsed="false">
      <c r="A3547" s="3" t="s">
        <v>392</v>
      </c>
      <c r="B3547" s="4" t="s">
        <v>60</v>
      </c>
      <c r="C3547" s="4" t="n">
        <v>6</v>
      </c>
      <c r="D3547" s="4" t="s">
        <v>59</v>
      </c>
      <c r="E3547" s="3" t="s">
        <v>397</v>
      </c>
      <c r="F3547" s="4" t="str">
        <f aca="false">IF(I3547&gt;J3547,"Y","N")</f>
        <v>N</v>
      </c>
      <c r="G3547" s="3" t="s">
        <v>72</v>
      </c>
      <c r="H3547" s="3" t="s">
        <v>42</v>
      </c>
      <c r="I3547" s="4" t="n">
        <v>4</v>
      </c>
      <c r="J3547" s="4" t="n">
        <f aca="false">LEN(E3547)-LEN(SUBSTITUTE(E3547,",",""))+1</f>
        <v>4</v>
      </c>
      <c r="K3547" s="3" t="str">
        <f aca="false">IFERROR(INDEX('Teacher Lookup'!$B$2:$B$200,MATCH(A3547,'Teacher Lookup'!$A$2:$A$200,0)),"")</f>
        <v>CHIU Esther</v>
      </c>
    </row>
    <row r="3548" customFormat="false" ht="15" hidden="false" customHeight="false" outlineLevel="0" collapsed="false">
      <c r="A3548" s="3" t="s">
        <v>392</v>
      </c>
      <c r="B3548" s="4" t="s">
        <v>60</v>
      </c>
      <c r="C3548" s="4" t="n">
        <v>7</v>
      </c>
      <c r="D3548" s="4" t="s">
        <v>52</v>
      </c>
      <c r="E3548" s="3" t="s">
        <v>176</v>
      </c>
      <c r="F3548" s="4" t="str">
        <f aca="false">IF(I3548&gt;J3548,"Y","N")</f>
        <v>N</v>
      </c>
      <c r="G3548" s="3" t="s">
        <v>72</v>
      </c>
      <c r="H3548" s="3" t="s">
        <v>39</v>
      </c>
      <c r="I3548" s="4" t="n">
        <v>4</v>
      </c>
      <c r="J3548" s="4" t="n">
        <f aca="false">LEN(E3548)-LEN(SUBSTITUTE(E3548,",",""))+1</f>
        <v>4</v>
      </c>
      <c r="K3548" s="3" t="str">
        <f aca="false">IFERROR(INDEX('Teacher Lookup'!$B$2:$B$200,MATCH(A3548,'Teacher Lookup'!$A$2:$A$200,0)),"")</f>
        <v>CHIU Esther</v>
      </c>
    </row>
    <row r="3549" customFormat="false" ht="15" hidden="false" customHeight="false" outlineLevel="0" collapsed="false">
      <c r="A3549" s="3" t="s">
        <v>392</v>
      </c>
      <c r="B3549" s="4" t="s">
        <v>60</v>
      </c>
      <c r="C3549" s="4" t="n">
        <v>7</v>
      </c>
      <c r="D3549" s="4" t="s">
        <v>55</v>
      </c>
      <c r="E3549" s="3" t="s">
        <v>176</v>
      </c>
      <c r="F3549" s="4" t="str">
        <f aca="false">IF(I3549&gt;J3549,"Y","N")</f>
        <v>N</v>
      </c>
      <c r="G3549" s="3" t="s">
        <v>72</v>
      </c>
      <c r="H3549" s="3" t="s">
        <v>39</v>
      </c>
      <c r="I3549" s="4" t="n">
        <v>4</v>
      </c>
      <c r="J3549" s="4" t="n">
        <f aca="false">LEN(E3549)-LEN(SUBSTITUTE(E3549,",",""))+1</f>
        <v>4</v>
      </c>
      <c r="K3549" s="3" t="str">
        <f aca="false">IFERROR(INDEX('Teacher Lookup'!$B$2:$B$200,MATCH(A3549,'Teacher Lookup'!$A$2:$A$200,0)),"")</f>
        <v>CHIU Esther</v>
      </c>
    </row>
    <row r="3550" customFormat="false" ht="15" hidden="false" customHeight="false" outlineLevel="0" collapsed="false">
      <c r="A3550" s="3" t="s">
        <v>392</v>
      </c>
      <c r="B3550" s="4" t="s">
        <v>60</v>
      </c>
      <c r="C3550" s="4" t="n">
        <v>7</v>
      </c>
      <c r="D3550" s="4" t="s">
        <v>56</v>
      </c>
      <c r="E3550" s="3" t="s">
        <v>176</v>
      </c>
      <c r="F3550" s="4" t="str">
        <f aca="false">IF(I3550&gt;J3550,"Y","N")</f>
        <v>N</v>
      </c>
      <c r="G3550" s="3" t="s">
        <v>72</v>
      </c>
      <c r="H3550" s="3" t="s">
        <v>39</v>
      </c>
      <c r="I3550" s="4" t="n">
        <v>4</v>
      </c>
      <c r="J3550" s="4" t="n">
        <f aca="false">LEN(E3550)-LEN(SUBSTITUTE(E3550,",",""))+1</f>
        <v>4</v>
      </c>
      <c r="K3550" s="3" t="str">
        <f aca="false">IFERROR(INDEX('Teacher Lookup'!$B$2:$B$200,MATCH(A3550,'Teacher Lookup'!$A$2:$A$200,0)),"")</f>
        <v>CHIU Esther</v>
      </c>
    </row>
    <row r="3551" customFormat="false" ht="15" hidden="false" customHeight="false" outlineLevel="0" collapsed="false">
      <c r="A3551" s="3" t="s">
        <v>392</v>
      </c>
      <c r="B3551" s="4" t="s">
        <v>63</v>
      </c>
      <c r="C3551" s="4" t="n">
        <v>1</v>
      </c>
      <c r="D3551" s="4" t="s">
        <v>52</v>
      </c>
      <c r="E3551" s="3" t="s">
        <v>398</v>
      </c>
      <c r="F3551" s="4" t="str">
        <f aca="false">IF(I3551&gt;J3551,"Y","N")</f>
        <v>N</v>
      </c>
      <c r="G3551" s="3" t="s">
        <v>72</v>
      </c>
      <c r="H3551" s="3" t="s">
        <v>16</v>
      </c>
      <c r="I3551" s="4" t="n">
        <v>4</v>
      </c>
      <c r="J3551" s="4" t="n">
        <f aca="false">LEN(E3551)-LEN(SUBSTITUTE(E3551,",",""))+1</f>
        <v>4</v>
      </c>
      <c r="K3551" s="3" t="str">
        <f aca="false">IFERROR(INDEX('Teacher Lookup'!$B$2:$B$200,MATCH(A3551,'Teacher Lookup'!$A$2:$A$200,0)),"")</f>
        <v>CHIU Esther</v>
      </c>
    </row>
    <row r="3552" customFormat="false" ht="15" hidden="false" customHeight="false" outlineLevel="0" collapsed="false">
      <c r="A3552" s="3" t="s">
        <v>392</v>
      </c>
      <c r="B3552" s="4" t="s">
        <v>63</v>
      </c>
      <c r="C3552" s="4" t="n">
        <v>1</v>
      </c>
      <c r="D3552" s="4" t="s">
        <v>55</v>
      </c>
      <c r="E3552" s="3" t="s">
        <v>398</v>
      </c>
      <c r="F3552" s="4" t="str">
        <f aca="false">IF(I3552&gt;J3552,"Y","N")</f>
        <v>N</v>
      </c>
      <c r="G3552" s="3" t="s">
        <v>72</v>
      </c>
      <c r="H3552" s="3" t="s">
        <v>16</v>
      </c>
      <c r="I3552" s="4" t="n">
        <v>4</v>
      </c>
      <c r="J3552" s="4" t="n">
        <f aca="false">LEN(E3552)-LEN(SUBSTITUTE(E3552,",",""))+1</f>
        <v>4</v>
      </c>
      <c r="K3552" s="3" t="str">
        <f aca="false">IFERROR(INDEX('Teacher Lookup'!$B$2:$B$200,MATCH(A3552,'Teacher Lookup'!$A$2:$A$200,0)),"")</f>
        <v>CHIU Esther</v>
      </c>
    </row>
    <row r="3553" customFormat="false" ht="15" hidden="false" customHeight="false" outlineLevel="0" collapsed="false">
      <c r="A3553" s="3" t="s">
        <v>392</v>
      </c>
      <c r="B3553" s="4" t="s">
        <v>63</v>
      </c>
      <c r="C3553" s="4" t="n">
        <v>1</v>
      </c>
      <c r="D3553" s="4" t="s">
        <v>56</v>
      </c>
      <c r="E3553" s="3" t="s">
        <v>398</v>
      </c>
      <c r="F3553" s="4" t="str">
        <f aca="false">IF(I3553&gt;J3553,"Y","N")</f>
        <v>N</v>
      </c>
      <c r="G3553" s="3" t="s">
        <v>72</v>
      </c>
      <c r="H3553" s="3" t="s">
        <v>16</v>
      </c>
      <c r="I3553" s="4" t="n">
        <v>4</v>
      </c>
      <c r="J3553" s="4" t="n">
        <f aca="false">LEN(E3553)-LEN(SUBSTITUTE(E3553,",",""))+1</f>
        <v>4</v>
      </c>
      <c r="K3553" s="3" t="str">
        <f aca="false">IFERROR(INDEX('Teacher Lookup'!$B$2:$B$200,MATCH(A3553,'Teacher Lookup'!$A$2:$A$200,0)),"")</f>
        <v>CHIU Esther</v>
      </c>
    </row>
    <row r="3554" customFormat="false" ht="15" hidden="false" customHeight="false" outlineLevel="0" collapsed="false">
      <c r="A3554" s="3" t="s">
        <v>392</v>
      </c>
      <c r="B3554" s="4" t="s">
        <v>63</v>
      </c>
      <c r="C3554" s="4" t="n">
        <v>2</v>
      </c>
      <c r="D3554" s="4" t="s">
        <v>52</v>
      </c>
      <c r="E3554" s="3" t="s">
        <v>398</v>
      </c>
      <c r="F3554" s="4" t="str">
        <f aca="false">IF(I3554&gt;J3554,"Y","N")</f>
        <v>N</v>
      </c>
      <c r="G3554" s="3" t="s">
        <v>72</v>
      </c>
      <c r="H3554" s="3" t="s">
        <v>21</v>
      </c>
      <c r="I3554" s="4" t="n">
        <v>4</v>
      </c>
      <c r="J3554" s="4" t="n">
        <f aca="false">LEN(E3554)-LEN(SUBSTITUTE(E3554,",",""))+1</f>
        <v>4</v>
      </c>
      <c r="K3554" s="3" t="str">
        <f aca="false">IFERROR(INDEX('Teacher Lookup'!$B$2:$B$200,MATCH(A3554,'Teacher Lookup'!$A$2:$A$200,0)),"")</f>
        <v>CHIU Esther</v>
      </c>
    </row>
    <row r="3555" customFormat="false" ht="15" hidden="false" customHeight="false" outlineLevel="0" collapsed="false">
      <c r="A3555" s="3" t="s">
        <v>392</v>
      </c>
      <c r="B3555" s="4" t="s">
        <v>63</v>
      </c>
      <c r="C3555" s="4" t="n">
        <v>2</v>
      </c>
      <c r="D3555" s="4" t="s">
        <v>55</v>
      </c>
      <c r="E3555" s="3" t="s">
        <v>398</v>
      </c>
      <c r="F3555" s="4" t="str">
        <f aca="false">IF(I3555&gt;J3555,"Y","N")</f>
        <v>N</v>
      </c>
      <c r="G3555" s="3" t="s">
        <v>72</v>
      </c>
      <c r="H3555" s="3" t="s">
        <v>21</v>
      </c>
      <c r="I3555" s="4" t="n">
        <v>4</v>
      </c>
      <c r="J3555" s="4" t="n">
        <f aca="false">LEN(E3555)-LEN(SUBSTITUTE(E3555,",",""))+1</f>
        <v>4</v>
      </c>
      <c r="K3555" s="3" t="str">
        <f aca="false">IFERROR(INDEX('Teacher Lookup'!$B$2:$B$200,MATCH(A3555,'Teacher Lookup'!$A$2:$A$200,0)),"")</f>
        <v>CHIU Esther</v>
      </c>
    </row>
    <row r="3556" customFormat="false" ht="15" hidden="false" customHeight="false" outlineLevel="0" collapsed="false">
      <c r="A3556" s="3" t="s">
        <v>392</v>
      </c>
      <c r="B3556" s="4" t="s">
        <v>63</v>
      </c>
      <c r="C3556" s="4" t="n">
        <v>2</v>
      </c>
      <c r="D3556" s="4" t="s">
        <v>56</v>
      </c>
      <c r="E3556" s="3" t="s">
        <v>398</v>
      </c>
      <c r="F3556" s="4" t="str">
        <f aca="false">IF(I3556&gt;J3556,"Y","N")</f>
        <v>N</v>
      </c>
      <c r="G3556" s="3" t="s">
        <v>72</v>
      </c>
      <c r="H3556" s="3" t="s">
        <v>21</v>
      </c>
      <c r="I3556" s="4" t="n">
        <v>4</v>
      </c>
      <c r="J3556" s="4" t="n">
        <f aca="false">LEN(E3556)-LEN(SUBSTITUTE(E3556,",",""))+1</f>
        <v>4</v>
      </c>
      <c r="K3556" s="3" t="str">
        <f aca="false">IFERROR(INDEX('Teacher Lookup'!$B$2:$B$200,MATCH(A3556,'Teacher Lookup'!$A$2:$A$200,0)),"")</f>
        <v>CHIU Esther</v>
      </c>
    </row>
    <row r="3557" customFormat="false" ht="15" hidden="false" customHeight="false" outlineLevel="0" collapsed="false">
      <c r="A3557" s="3" t="s">
        <v>392</v>
      </c>
      <c r="B3557" s="4" t="s">
        <v>63</v>
      </c>
      <c r="C3557" s="4" t="n">
        <v>4</v>
      </c>
      <c r="D3557" s="4" t="s">
        <v>105</v>
      </c>
      <c r="E3557" s="3" t="s">
        <v>331</v>
      </c>
      <c r="F3557" s="4" t="str">
        <f aca="false">IF(I3557&gt;J3557,"Y","N")</f>
        <v>N</v>
      </c>
      <c r="G3557" s="3" t="s">
        <v>72</v>
      </c>
      <c r="H3557" s="3" t="s">
        <v>34</v>
      </c>
      <c r="I3557" s="4" t="n">
        <v>3</v>
      </c>
      <c r="J3557" s="4" t="n">
        <f aca="false">LEN(E3557)-LEN(SUBSTITUTE(E3557,",",""))+1</f>
        <v>3</v>
      </c>
      <c r="K3557" s="3" t="str">
        <f aca="false">IFERROR(INDEX('Teacher Lookup'!$B$2:$B$200,MATCH(A3557,'Teacher Lookup'!$A$2:$A$200,0)),"")</f>
        <v>CHIU Esther</v>
      </c>
    </row>
    <row r="3558" customFormat="false" ht="15" hidden="false" customHeight="false" outlineLevel="0" collapsed="false">
      <c r="A3558" s="3" t="s">
        <v>392</v>
      </c>
      <c r="B3558" s="4" t="s">
        <v>63</v>
      </c>
      <c r="C3558" s="4" t="n">
        <v>4</v>
      </c>
      <c r="D3558" s="4" t="s">
        <v>106</v>
      </c>
      <c r="E3558" s="3" t="s">
        <v>331</v>
      </c>
      <c r="F3558" s="4" t="str">
        <f aca="false">IF(I3558&gt;J3558,"Y","N")</f>
        <v>N</v>
      </c>
      <c r="G3558" s="3" t="s">
        <v>72</v>
      </c>
      <c r="H3558" s="3" t="s">
        <v>34</v>
      </c>
      <c r="I3558" s="4" t="n">
        <v>3</v>
      </c>
      <c r="J3558" s="4" t="n">
        <f aca="false">LEN(E3558)-LEN(SUBSTITUTE(E3558,",",""))+1</f>
        <v>3</v>
      </c>
      <c r="K3558" s="3" t="str">
        <f aca="false">IFERROR(INDEX('Teacher Lookup'!$B$2:$B$200,MATCH(A3558,'Teacher Lookup'!$A$2:$A$200,0)),"")</f>
        <v>CHIU Esther</v>
      </c>
    </row>
    <row r="3559" customFormat="false" ht="15" hidden="false" customHeight="false" outlineLevel="0" collapsed="false">
      <c r="A3559" s="3" t="s">
        <v>392</v>
      </c>
      <c r="B3559" s="4" t="s">
        <v>63</v>
      </c>
      <c r="C3559" s="4" t="n">
        <v>5</v>
      </c>
      <c r="D3559" s="4" t="s">
        <v>57</v>
      </c>
      <c r="E3559" s="3" t="s">
        <v>183</v>
      </c>
      <c r="F3559" s="4" t="str">
        <f aca="false">IF(I3559&gt;J3559,"Y","N")</f>
        <v>N</v>
      </c>
      <c r="G3559" s="3" t="s">
        <v>72</v>
      </c>
      <c r="H3559" s="3" t="s">
        <v>37</v>
      </c>
      <c r="I3559" s="4" t="n">
        <v>4</v>
      </c>
      <c r="J3559" s="4" t="n">
        <f aca="false">LEN(E3559)-LEN(SUBSTITUTE(E3559,",",""))+1</f>
        <v>4</v>
      </c>
      <c r="K3559" s="3" t="str">
        <f aca="false">IFERROR(INDEX('Teacher Lookup'!$B$2:$B$200,MATCH(A3559,'Teacher Lookup'!$A$2:$A$200,0)),"")</f>
        <v>CHIU Esther</v>
      </c>
    </row>
    <row r="3560" customFormat="false" ht="15" hidden="false" customHeight="false" outlineLevel="0" collapsed="false">
      <c r="A3560" s="3" t="s">
        <v>392</v>
      </c>
      <c r="B3560" s="4" t="s">
        <v>63</v>
      </c>
      <c r="C3560" s="4" t="n">
        <v>5</v>
      </c>
      <c r="D3560" s="4" t="s">
        <v>58</v>
      </c>
      <c r="E3560" s="3" t="s">
        <v>183</v>
      </c>
      <c r="F3560" s="4" t="str">
        <f aca="false">IF(I3560&gt;J3560,"Y","N")</f>
        <v>N</v>
      </c>
      <c r="G3560" s="3" t="s">
        <v>72</v>
      </c>
      <c r="H3560" s="3" t="s">
        <v>37</v>
      </c>
      <c r="I3560" s="4" t="n">
        <v>4</v>
      </c>
      <c r="J3560" s="4" t="n">
        <f aca="false">LEN(E3560)-LEN(SUBSTITUTE(E3560,",",""))+1</f>
        <v>4</v>
      </c>
      <c r="K3560" s="3" t="str">
        <f aca="false">IFERROR(INDEX('Teacher Lookup'!$B$2:$B$200,MATCH(A3560,'Teacher Lookup'!$A$2:$A$200,0)),"")</f>
        <v>CHIU Esther</v>
      </c>
    </row>
    <row r="3561" customFormat="false" ht="15" hidden="false" customHeight="false" outlineLevel="0" collapsed="false">
      <c r="A3561" s="3" t="s">
        <v>392</v>
      </c>
      <c r="B3561" s="4" t="s">
        <v>63</v>
      </c>
      <c r="C3561" s="4" t="n">
        <v>5</v>
      </c>
      <c r="D3561" s="4" t="s">
        <v>59</v>
      </c>
      <c r="E3561" s="3" t="s">
        <v>183</v>
      </c>
      <c r="F3561" s="4" t="str">
        <f aca="false">IF(I3561&gt;J3561,"Y","N")</f>
        <v>N</v>
      </c>
      <c r="G3561" s="3" t="s">
        <v>72</v>
      </c>
      <c r="H3561" s="3" t="s">
        <v>37</v>
      </c>
      <c r="I3561" s="4" t="n">
        <v>4</v>
      </c>
      <c r="J3561" s="4" t="n">
        <f aca="false">LEN(E3561)-LEN(SUBSTITUTE(E3561,",",""))+1</f>
        <v>4</v>
      </c>
      <c r="K3561" s="3" t="str">
        <f aca="false">IFERROR(INDEX('Teacher Lookup'!$B$2:$B$200,MATCH(A3561,'Teacher Lookup'!$A$2:$A$200,0)),"")</f>
        <v>CHIU Esther</v>
      </c>
    </row>
    <row r="3562" customFormat="false" ht="15" hidden="false" customHeight="false" outlineLevel="0" collapsed="false">
      <c r="A3562" s="3" t="s">
        <v>392</v>
      </c>
      <c r="B3562" s="4" t="s">
        <v>65</v>
      </c>
      <c r="C3562" s="4" t="n">
        <v>2</v>
      </c>
      <c r="D3562" s="4" t="s">
        <v>57</v>
      </c>
      <c r="E3562" s="3" t="s">
        <v>166</v>
      </c>
      <c r="F3562" s="4" t="str">
        <f aca="false">IF(I3562&gt;J3562,"Y","N")</f>
        <v>N</v>
      </c>
      <c r="G3562" s="3" t="s">
        <v>72</v>
      </c>
      <c r="H3562" s="3" t="s">
        <v>21</v>
      </c>
      <c r="I3562" s="4" t="n">
        <v>4</v>
      </c>
      <c r="J3562" s="4" t="n">
        <f aca="false">LEN(E3562)-LEN(SUBSTITUTE(E3562,",",""))+1</f>
        <v>4</v>
      </c>
      <c r="K3562" s="3" t="str">
        <f aca="false">IFERROR(INDEX('Teacher Lookup'!$B$2:$B$200,MATCH(A3562,'Teacher Lookup'!$A$2:$A$200,0)),"")</f>
        <v>CHIU Esther</v>
      </c>
    </row>
    <row r="3563" customFormat="false" ht="15" hidden="false" customHeight="false" outlineLevel="0" collapsed="false">
      <c r="A3563" s="3" t="s">
        <v>392</v>
      </c>
      <c r="B3563" s="4" t="s">
        <v>65</v>
      </c>
      <c r="C3563" s="4" t="n">
        <v>2</v>
      </c>
      <c r="D3563" s="4" t="s">
        <v>58</v>
      </c>
      <c r="E3563" s="3" t="s">
        <v>166</v>
      </c>
      <c r="F3563" s="4" t="str">
        <f aca="false">IF(I3563&gt;J3563,"Y","N")</f>
        <v>N</v>
      </c>
      <c r="G3563" s="3" t="s">
        <v>72</v>
      </c>
      <c r="H3563" s="3" t="s">
        <v>21</v>
      </c>
      <c r="I3563" s="4" t="n">
        <v>4</v>
      </c>
      <c r="J3563" s="4" t="n">
        <f aca="false">LEN(E3563)-LEN(SUBSTITUTE(E3563,",",""))+1</f>
        <v>4</v>
      </c>
      <c r="K3563" s="3" t="str">
        <f aca="false">IFERROR(INDEX('Teacher Lookup'!$B$2:$B$200,MATCH(A3563,'Teacher Lookup'!$A$2:$A$200,0)),"")</f>
        <v>CHIU Esther</v>
      </c>
    </row>
    <row r="3564" customFormat="false" ht="15" hidden="false" customHeight="false" outlineLevel="0" collapsed="false">
      <c r="A3564" s="3" t="s">
        <v>392</v>
      </c>
      <c r="B3564" s="4" t="s">
        <v>65</v>
      </c>
      <c r="C3564" s="4" t="n">
        <v>2</v>
      </c>
      <c r="D3564" s="4" t="s">
        <v>59</v>
      </c>
      <c r="E3564" s="3" t="s">
        <v>166</v>
      </c>
      <c r="F3564" s="4" t="str">
        <f aca="false">IF(I3564&gt;J3564,"Y","N")</f>
        <v>N</v>
      </c>
      <c r="G3564" s="3" t="s">
        <v>72</v>
      </c>
      <c r="H3564" s="3" t="s">
        <v>21</v>
      </c>
      <c r="I3564" s="4" t="n">
        <v>4</v>
      </c>
      <c r="J3564" s="4" t="n">
        <f aca="false">LEN(E3564)-LEN(SUBSTITUTE(E3564,",",""))+1</f>
        <v>4</v>
      </c>
      <c r="K3564" s="3" t="str">
        <f aca="false">IFERROR(INDEX('Teacher Lookup'!$B$2:$B$200,MATCH(A3564,'Teacher Lookup'!$A$2:$A$200,0)),"")</f>
        <v>CHIU Esther</v>
      </c>
    </row>
    <row r="3565" customFormat="false" ht="15" hidden="false" customHeight="false" outlineLevel="0" collapsed="false">
      <c r="A3565" s="3" t="s">
        <v>392</v>
      </c>
      <c r="B3565" s="4" t="s">
        <v>65</v>
      </c>
      <c r="C3565" s="4" t="n">
        <v>3</v>
      </c>
      <c r="D3565" s="4" t="s">
        <v>105</v>
      </c>
      <c r="E3565" s="3" t="s">
        <v>335</v>
      </c>
      <c r="F3565" s="4" t="str">
        <f aca="false">IF(I3565&gt;J3565,"Y","N")</f>
        <v>N</v>
      </c>
      <c r="G3565" s="3" t="s">
        <v>72</v>
      </c>
      <c r="H3565" s="3" t="s">
        <v>26</v>
      </c>
      <c r="I3565" s="4" t="n">
        <v>3</v>
      </c>
      <c r="J3565" s="4" t="n">
        <f aca="false">LEN(E3565)-LEN(SUBSTITUTE(E3565,",",""))+1</f>
        <v>3</v>
      </c>
      <c r="K3565" s="3" t="str">
        <f aca="false">IFERROR(INDEX('Teacher Lookup'!$B$2:$B$200,MATCH(A3565,'Teacher Lookup'!$A$2:$A$200,0)),"")</f>
        <v>CHIU Esther</v>
      </c>
    </row>
    <row r="3566" customFormat="false" ht="15" hidden="false" customHeight="false" outlineLevel="0" collapsed="false">
      <c r="A3566" s="3" t="s">
        <v>392</v>
      </c>
      <c r="B3566" s="4" t="s">
        <v>65</v>
      </c>
      <c r="C3566" s="4" t="n">
        <v>3</v>
      </c>
      <c r="D3566" s="4" t="s">
        <v>106</v>
      </c>
      <c r="E3566" s="3" t="s">
        <v>335</v>
      </c>
      <c r="F3566" s="4" t="str">
        <f aca="false">IF(I3566&gt;J3566,"Y","N")</f>
        <v>N</v>
      </c>
      <c r="G3566" s="3" t="s">
        <v>72</v>
      </c>
      <c r="H3566" s="3" t="s">
        <v>26</v>
      </c>
      <c r="I3566" s="4" t="n">
        <v>3</v>
      </c>
      <c r="J3566" s="4" t="n">
        <f aca="false">LEN(E3566)-LEN(SUBSTITUTE(E3566,",",""))+1</f>
        <v>3</v>
      </c>
      <c r="K3566" s="3" t="str">
        <f aca="false">IFERROR(INDEX('Teacher Lookup'!$B$2:$B$200,MATCH(A3566,'Teacher Lookup'!$A$2:$A$200,0)),"")</f>
        <v>CHIU Esther</v>
      </c>
    </row>
    <row r="3567" customFormat="false" ht="15" hidden="false" customHeight="false" outlineLevel="0" collapsed="false">
      <c r="A3567" s="3" t="s">
        <v>392</v>
      </c>
      <c r="B3567" s="4" t="s">
        <v>65</v>
      </c>
      <c r="C3567" s="4" t="n">
        <v>5</v>
      </c>
      <c r="D3567" s="4" t="s">
        <v>228</v>
      </c>
      <c r="E3567" s="3" t="s">
        <v>229</v>
      </c>
      <c r="F3567" s="4" t="str">
        <f aca="false">IF(I3567&gt;J3567,"Y","N")</f>
        <v>Y</v>
      </c>
      <c r="G3567" s="3" t="s">
        <v>36</v>
      </c>
      <c r="H3567" s="3" t="s">
        <v>37</v>
      </c>
      <c r="I3567" s="4" t="n">
        <v>14</v>
      </c>
      <c r="J3567" s="4" t="n">
        <f aca="false">LEN(E3567)-LEN(SUBSTITUTE(E3567,",",""))+1</f>
        <v>6</v>
      </c>
      <c r="K3567" s="3" t="str">
        <f aca="false">IFERROR(INDEX('Teacher Lookup'!$B$2:$B$200,MATCH(A3567,'Teacher Lookup'!$A$2:$A$200,0)),"")</f>
        <v>CHIU Esther</v>
      </c>
    </row>
    <row r="3568" customFormat="false" ht="15" hidden="false" customHeight="false" outlineLevel="0" collapsed="false">
      <c r="A3568" s="3" t="s">
        <v>392</v>
      </c>
      <c r="B3568" s="4" t="s">
        <v>65</v>
      </c>
      <c r="C3568" s="4" t="n">
        <v>5</v>
      </c>
      <c r="D3568" s="4" t="s">
        <v>102</v>
      </c>
      <c r="E3568" s="3" t="s">
        <v>229</v>
      </c>
      <c r="F3568" s="4" t="str">
        <f aca="false">IF(I3568&gt;J3568,"Y","N")</f>
        <v>Y</v>
      </c>
      <c r="G3568" s="3" t="s">
        <v>36</v>
      </c>
      <c r="H3568" s="3" t="s">
        <v>37</v>
      </c>
      <c r="I3568" s="4" t="n">
        <v>14</v>
      </c>
      <c r="J3568" s="4" t="n">
        <f aca="false">LEN(E3568)-LEN(SUBSTITUTE(E3568,",",""))+1</f>
        <v>6</v>
      </c>
      <c r="K3568" s="3" t="str">
        <f aca="false">IFERROR(INDEX('Teacher Lookup'!$B$2:$B$200,MATCH(A3568,'Teacher Lookup'!$A$2:$A$200,0)),"")</f>
        <v>CHIU Esther</v>
      </c>
    </row>
    <row r="3569" customFormat="false" ht="15" hidden="false" customHeight="false" outlineLevel="0" collapsed="false">
      <c r="A3569" s="3" t="s">
        <v>392</v>
      </c>
      <c r="B3569" s="4" t="s">
        <v>65</v>
      </c>
      <c r="C3569" s="4" t="n">
        <v>5</v>
      </c>
      <c r="D3569" s="4" t="s">
        <v>105</v>
      </c>
      <c r="E3569" s="3" t="s">
        <v>229</v>
      </c>
      <c r="F3569" s="4" t="str">
        <f aca="false">IF(I3569&gt;J3569,"Y","N")</f>
        <v>Y</v>
      </c>
      <c r="G3569" s="3" t="s">
        <v>36</v>
      </c>
      <c r="H3569" s="3" t="s">
        <v>37</v>
      </c>
      <c r="I3569" s="4" t="n">
        <v>14</v>
      </c>
      <c r="J3569" s="4" t="n">
        <f aca="false">LEN(E3569)-LEN(SUBSTITUTE(E3569,",",""))+1</f>
        <v>6</v>
      </c>
      <c r="K3569" s="3" t="str">
        <f aca="false">IFERROR(INDEX('Teacher Lookup'!$B$2:$B$200,MATCH(A3569,'Teacher Lookup'!$A$2:$A$200,0)),"")</f>
        <v>CHIU Esther</v>
      </c>
    </row>
    <row r="3570" customFormat="false" ht="15" hidden="false" customHeight="false" outlineLevel="0" collapsed="false">
      <c r="A3570" s="3" t="s">
        <v>392</v>
      </c>
      <c r="B3570" s="4" t="s">
        <v>65</v>
      </c>
      <c r="C3570" s="4" t="n">
        <v>5</v>
      </c>
      <c r="D3570" s="4" t="s">
        <v>106</v>
      </c>
      <c r="E3570" s="3" t="s">
        <v>229</v>
      </c>
      <c r="F3570" s="4" t="str">
        <f aca="false">IF(I3570&gt;J3570,"Y","N")</f>
        <v>Y</v>
      </c>
      <c r="G3570" s="3" t="s">
        <v>36</v>
      </c>
      <c r="H3570" s="3" t="s">
        <v>37</v>
      </c>
      <c r="I3570" s="4" t="n">
        <v>14</v>
      </c>
      <c r="J3570" s="4" t="n">
        <f aca="false">LEN(E3570)-LEN(SUBSTITUTE(E3570,",",""))+1</f>
        <v>6</v>
      </c>
      <c r="K3570" s="3" t="str">
        <f aca="false">IFERROR(INDEX('Teacher Lookup'!$B$2:$B$200,MATCH(A3570,'Teacher Lookup'!$A$2:$A$200,0)),"")</f>
        <v>CHIU Esther</v>
      </c>
    </row>
    <row r="3571" customFormat="false" ht="15" hidden="false" customHeight="false" outlineLevel="0" collapsed="false">
      <c r="A3571" s="3" t="s">
        <v>392</v>
      </c>
      <c r="B3571" s="4" t="s">
        <v>65</v>
      </c>
      <c r="C3571" s="4" t="n">
        <v>5</v>
      </c>
      <c r="D3571" s="4" t="s">
        <v>107</v>
      </c>
      <c r="E3571" s="3" t="s">
        <v>229</v>
      </c>
      <c r="F3571" s="4" t="str">
        <f aca="false">IF(I3571&gt;J3571,"Y","N")</f>
        <v>Y</v>
      </c>
      <c r="G3571" s="3" t="s">
        <v>36</v>
      </c>
      <c r="H3571" s="3" t="s">
        <v>37</v>
      </c>
      <c r="I3571" s="4" t="n">
        <v>14</v>
      </c>
      <c r="J3571" s="4" t="n">
        <f aca="false">LEN(E3571)-LEN(SUBSTITUTE(E3571,",",""))+1</f>
        <v>6</v>
      </c>
      <c r="K3571" s="3" t="str">
        <f aca="false">IFERROR(INDEX('Teacher Lookup'!$B$2:$B$200,MATCH(A3571,'Teacher Lookup'!$A$2:$A$200,0)),"")</f>
        <v>CHIU Esther</v>
      </c>
    </row>
    <row r="3572" customFormat="false" ht="15" hidden="false" customHeight="false" outlineLevel="0" collapsed="false">
      <c r="A3572" s="3" t="s">
        <v>392</v>
      </c>
      <c r="B3572" s="4" t="s">
        <v>65</v>
      </c>
      <c r="C3572" s="4" t="n">
        <v>6</v>
      </c>
      <c r="D3572" s="4" t="s">
        <v>52</v>
      </c>
      <c r="E3572" s="3" t="s">
        <v>163</v>
      </c>
      <c r="F3572" s="4" t="str">
        <f aca="false">IF(I3572&gt;J3572,"Y","N")</f>
        <v>N</v>
      </c>
      <c r="G3572" s="3" t="s">
        <v>72</v>
      </c>
      <c r="H3572" s="3" t="s">
        <v>42</v>
      </c>
      <c r="I3572" s="4" t="n">
        <v>4</v>
      </c>
      <c r="J3572" s="4" t="n">
        <f aca="false">LEN(E3572)-LEN(SUBSTITUTE(E3572,",",""))+1</f>
        <v>4</v>
      </c>
      <c r="K3572" s="3" t="str">
        <f aca="false">IFERROR(INDEX('Teacher Lookup'!$B$2:$B$200,MATCH(A3572,'Teacher Lookup'!$A$2:$A$200,0)),"")</f>
        <v>CHIU Esther</v>
      </c>
    </row>
    <row r="3573" customFormat="false" ht="15" hidden="false" customHeight="false" outlineLevel="0" collapsed="false">
      <c r="A3573" s="3" t="s">
        <v>392</v>
      </c>
      <c r="B3573" s="4" t="s">
        <v>65</v>
      </c>
      <c r="C3573" s="4" t="n">
        <v>6</v>
      </c>
      <c r="D3573" s="4" t="s">
        <v>55</v>
      </c>
      <c r="E3573" s="3" t="s">
        <v>163</v>
      </c>
      <c r="F3573" s="4" t="str">
        <f aca="false">IF(I3573&gt;J3573,"Y","N")</f>
        <v>N</v>
      </c>
      <c r="G3573" s="3" t="s">
        <v>72</v>
      </c>
      <c r="H3573" s="3" t="s">
        <v>42</v>
      </c>
      <c r="I3573" s="4" t="n">
        <v>4</v>
      </c>
      <c r="J3573" s="4" t="n">
        <f aca="false">LEN(E3573)-LEN(SUBSTITUTE(E3573,",",""))+1</f>
        <v>4</v>
      </c>
      <c r="K3573" s="3" t="str">
        <f aca="false">IFERROR(INDEX('Teacher Lookup'!$B$2:$B$200,MATCH(A3573,'Teacher Lookup'!$A$2:$A$200,0)),"")</f>
        <v>CHIU Esther</v>
      </c>
    </row>
    <row r="3574" customFormat="false" ht="15" hidden="false" customHeight="false" outlineLevel="0" collapsed="false">
      <c r="A3574" s="3" t="s">
        <v>392</v>
      </c>
      <c r="B3574" s="4" t="s">
        <v>65</v>
      </c>
      <c r="C3574" s="4" t="n">
        <v>6</v>
      </c>
      <c r="D3574" s="4" t="s">
        <v>56</v>
      </c>
      <c r="E3574" s="3" t="s">
        <v>163</v>
      </c>
      <c r="F3574" s="4" t="str">
        <f aca="false">IF(I3574&gt;J3574,"Y","N")</f>
        <v>N</v>
      </c>
      <c r="G3574" s="3" t="s">
        <v>72</v>
      </c>
      <c r="H3574" s="3" t="s">
        <v>42</v>
      </c>
      <c r="I3574" s="4" t="n">
        <v>4</v>
      </c>
      <c r="J3574" s="4" t="n">
        <f aca="false">LEN(E3574)-LEN(SUBSTITUTE(E3574,",",""))+1</f>
        <v>4</v>
      </c>
      <c r="K3574" s="3" t="str">
        <f aca="false">IFERROR(INDEX('Teacher Lookup'!$B$2:$B$200,MATCH(A3574,'Teacher Lookup'!$A$2:$A$200,0)),"")</f>
        <v>CHIU Esther</v>
      </c>
    </row>
    <row r="3575" customFormat="false" ht="15" hidden="false" customHeight="false" outlineLevel="0" collapsed="false">
      <c r="A3575" s="3" t="s">
        <v>392</v>
      </c>
      <c r="B3575" s="4" t="s">
        <v>66</v>
      </c>
      <c r="C3575" s="4" t="n">
        <v>2</v>
      </c>
      <c r="D3575" s="4" t="s">
        <v>52</v>
      </c>
      <c r="E3575" s="3" t="s">
        <v>177</v>
      </c>
      <c r="F3575" s="4" t="str">
        <f aca="false">IF(I3575&gt;J3575,"Y","N")</f>
        <v>N</v>
      </c>
      <c r="G3575" s="3" t="s">
        <v>72</v>
      </c>
      <c r="H3575" s="3" t="s">
        <v>21</v>
      </c>
      <c r="I3575" s="4" t="n">
        <v>4</v>
      </c>
      <c r="J3575" s="4" t="n">
        <f aca="false">LEN(E3575)-LEN(SUBSTITUTE(E3575,",",""))+1</f>
        <v>4</v>
      </c>
      <c r="K3575" s="3" t="str">
        <f aca="false">IFERROR(INDEX('Teacher Lookup'!$B$2:$B$200,MATCH(A3575,'Teacher Lookup'!$A$2:$A$200,0)),"")</f>
        <v>CHIU Esther</v>
      </c>
    </row>
    <row r="3576" customFormat="false" ht="15" hidden="false" customHeight="false" outlineLevel="0" collapsed="false">
      <c r="A3576" s="3" t="s">
        <v>392</v>
      </c>
      <c r="B3576" s="4" t="s">
        <v>66</v>
      </c>
      <c r="C3576" s="4" t="n">
        <v>2</v>
      </c>
      <c r="D3576" s="4" t="s">
        <v>55</v>
      </c>
      <c r="E3576" s="3" t="s">
        <v>177</v>
      </c>
      <c r="F3576" s="4" t="str">
        <f aca="false">IF(I3576&gt;J3576,"Y","N")</f>
        <v>N</v>
      </c>
      <c r="G3576" s="3" t="s">
        <v>72</v>
      </c>
      <c r="H3576" s="3" t="s">
        <v>21</v>
      </c>
      <c r="I3576" s="4" t="n">
        <v>4</v>
      </c>
      <c r="J3576" s="4" t="n">
        <f aca="false">LEN(E3576)-LEN(SUBSTITUTE(E3576,",",""))+1</f>
        <v>4</v>
      </c>
      <c r="K3576" s="3" t="str">
        <f aca="false">IFERROR(INDEX('Teacher Lookup'!$B$2:$B$200,MATCH(A3576,'Teacher Lookup'!$A$2:$A$200,0)),"")</f>
        <v>CHIU Esther</v>
      </c>
    </row>
    <row r="3577" customFormat="false" ht="15" hidden="false" customHeight="false" outlineLevel="0" collapsed="false">
      <c r="A3577" s="3" t="s">
        <v>392</v>
      </c>
      <c r="B3577" s="4" t="s">
        <v>66</v>
      </c>
      <c r="C3577" s="4" t="n">
        <v>2</v>
      </c>
      <c r="D3577" s="4" t="s">
        <v>56</v>
      </c>
      <c r="E3577" s="3" t="s">
        <v>177</v>
      </c>
      <c r="F3577" s="4" t="str">
        <f aca="false">IF(I3577&gt;J3577,"Y","N")</f>
        <v>N</v>
      </c>
      <c r="G3577" s="3" t="s">
        <v>72</v>
      </c>
      <c r="H3577" s="3" t="s">
        <v>21</v>
      </c>
      <c r="I3577" s="4" t="n">
        <v>4</v>
      </c>
      <c r="J3577" s="4" t="n">
        <f aca="false">LEN(E3577)-LEN(SUBSTITUTE(E3577,",",""))+1</f>
        <v>4</v>
      </c>
      <c r="K3577" s="3" t="str">
        <f aca="false">IFERROR(INDEX('Teacher Lookup'!$B$2:$B$200,MATCH(A3577,'Teacher Lookup'!$A$2:$A$200,0)),"")</f>
        <v>CHIU Esther</v>
      </c>
    </row>
    <row r="3578" customFormat="false" ht="15" hidden="false" customHeight="false" outlineLevel="0" collapsed="false">
      <c r="A3578" s="3" t="s">
        <v>392</v>
      </c>
      <c r="B3578" s="4" t="s">
        <v>66</v>
      </c>
      <c r="C3578" s="4" t="n">
        <v>4</v>
      </c>
      <c r="D3578" s="4" t="s">
        <v>57</v>
      </c>
      <c r="E3578" s="3" t="s">
        <v>399</v>
      </c>
      <c r="F3578" s="4" t="str">
        <f aca="false">IF(I3578&gt;J3578,"Y","N")</f>
        <v>N</v>
      </c>
      <c r="G3578" s="3" t="s">
        <v>72</v>
      </c>
      <c r="H3578" s="3" t="s">
        <v>34</v>
      </c>
      <c r="I3578" s="4" t="n">
        <v>4</v>
      </c>
      <c r="J3578" s="4" t="n">
        <f aca="false">LEN(E3578)-LEN(SUBSTITUTE(E3578,",",""))+1</f>
        <v>4</v>
      </c>
      <c r="K3578" s="3" t="str">
        <f aca="false">IFERROR(INDEX('Teacher Lookup'!$B$2:$B$200,MATCH(A3578,'Teacher Lookup'!$A$2:$A$200,0)),"")</f>
        <v>CHIU Esther</v>
      </c>
    </row>
    <row r="3579" customFormat="false" ht="15" hidden="false" customHeight="false" outlineLevel="0" collapsed="false">
      <c r="A3579" s="3" t="s">
        <v>392</v>
      </c>
      <c r="B3579" s="4" t="s">
        <v>66</v>
      </c>
      <c r="C3579" s="4" t="n">
        <v>4</v>
      </c>
      <c r="D3579" s="4" t="s">
        <v>58</v>
      </c>
      <c r="E3579" s="3" t="s">
        <v>399</v>
      </c>
      <c r="F3579" s="4" t="str">
        <f aca="false">IF(I3579&gt;J3579,"Y","N")</f>
        <v>N</v>
      </c>
      <c r="G3579" s="3" t="s">
        <v>72</v>
      </c>
      <c r="H3579" s="3" t="s">
        <v>34</v>
      </c>
      <c r="I3579" s="4" t="n">
        <v>4</v>
      </c>
      <c r="J3579" s="4" t="n">
        <f aca="false">LEN(E3579)-LEN(SUBSTITUTE(E3579,",",""))+1</f>
        <v>4</v>
      </c>
      <c r="K3579" s="3" t="str">
        <f aca="false">IFERROR(INDEX('Teacher Lookup'!$B$2:$B$200,MATCH(A3579,'Teacher Lookup'!$A$2:$A$200,0)),"")</f>
        <v>CHIU Esther</v>
      </c>
    </row>
    <row r="3580" customFormat="false" ht="15" hidden="false" customHeight="false" outlineLevel="0" collapsed="false">
      <c r="A3580" s="3" t="s">
        <v>392</v>
      </c>
      <c r="B3580" s="4" t="s">
        <v>66</v>
      </c>
      <c r="C3580" s="4" t="n">
        <v>4</v>
      </c>
      <c r="D3580" s="4" t="s">
        <v>59</v>
      </c>
      <c r="E3580" s="3" t="s">
        <v>399</v>
      </c>
      <c r="F3580" s="4" t="str">
        <f aca="false">IF(I3580&gt;J3580,"Y","N")</f>
        <v>N</v>
      </c>
      <c r="G3580" s="3" t="s">
        <v>72</v>
      </c>
      <c r="H3580" s="3" t="s">
        <v>34</v>
      </c>
      <c r="I3580" s="4" t="n">
        <v>4</v>
      </c>
      <c r="J3580" s="4" t="n">
        <f aca="false">LEN(E3580)-LEN(SUBSTITUTE(E3580,",",""))+1</f>
        <v>4</v>
      </c>
      <c r="K3580" s="3" t="str">
        <f aca="false">IFERROR(INDEX('Teacher Lookup'!$B$2:$B$200,MATCH(A3580,'Teacher Lookup'!$A$2:$A$200,0)),"")</f>
        <v>CHIU Esther</v>
      </c>
    </row>
    <row r="3581" customFormat="false" ht="15" hidden="false" customHeight="false" outlineLevel="0" collapsed="false">
      <c r="A3581" s="3" t="s">
        <v>392</v>
      </c>
      <c r="B3581" s="4" t="s">
        <v>66</v>
      </c>
      <c r="C3581" s="4" t="n">
        <v>6</v>
      </c>
      <c r="D3581" s="4" t="s">
        <v>105</v>
      </c>
      <c r="E3581" s="3" t="s">
        <v>331</v>
      </c>
      <c r="F3581" s="4" t="str">
        <f aca="false">IF(I3581&gt;J3581,"Y","N")</f>
        <v>N</v>
      </c>
      <c r="G3581" s="3" t="s">
        <v>72</v>
      </c>
      <c r="H3581" s="3" t="s">
        <v>42</v>
      </c>
      <c r="I3581" s="4" t="n">
        <v>3</v>
      </c>
      <c r="J3581" s="4" t="n">
        <f aca="false">LEN(E3581)-LEN(SUBSTITUTE(E3581,",",""))+1</f>
        <v>3</v>
      </c>
      <c r="K3581" s="3" t="str">
        <f aca="false">IFERROR(INDEX('Teacher Lookup'!$B$2:$B$200,MATCH(A3581,'Teacher Lookup'!$A$2:$A$200,0)),"")</f>
        <v>CHIU Esther</v>
      </c>
    </row>
    <row r="3582" customFormat="false" ht="15" hidden="false" customHeight="false" outlineLevel="0" collapsed="false">
      <c r="A3582" s="3" t="s">
        <v>392</v>
      </c>
      <c r="B3582" s="4" t="s">
        <v>66</v>
      </c>
      <c r="C3582" s="4" t="n">
        <v>6</v>
      </c>
      <c r="D3582" s="4" t="s">
        <v>106</v>
      </c>
      <c r="E3582" s="3" t="s">
        <v>331</v>
      </c>
      <c r="F3582" s="4" t="str">
        <f aca="false">IF(I3582&gt;J3582,"Y","N")</f>
        <v>N</v>
      </c>
      <c r="G3582" s="3" t="s">
        <v>72</v>
      </c>
      <c r="H3582" s="3" t="s">
        <v>42</v>
      </c>
      <c r="I3582" s="4" t="n">
        <v>3</v>
      </c>
      <c r="J3582" s="4" t="n">
        <f aca="false">LEN(E3582)-LEN(SUBSTITUTE(E3582,",",""))+1</f>
        <v>3</v>
      </c>
      <c r="K3582" s="3" t="str">
        <f aca="false">IFERROR(INDEX('Teacher Lookup'!$B$2:$B$200,MATCH(A3582,'Teacher Lookup'!$A$2:$A$200,0)),"")</f>
        <v>CHIU Esther</v>
      </c>
    </row>
    <row r="3583" customFormat="false" ht="15" hidden="false" customHeight="false" outlineLevel="0" collapsed="false">
      <c r="A3583" s="3" t="s">
        <v>392</v>
      </c>
      <c r="B3583" s="4" t="s">
        <v>66</v>
      </c>
      <c r="C3583" s="4" t="n">
        <v>7</v>
      </c>
      <c r="D3583" s="4" t="s">
        <v>105</v>
      </c>
      <c r="E3583" s="3" t="s">
        <v>331</v>
      </c>
      <c r="F3583" s="4" t="str">
        <f aca="false">IF(I3583&gt;J3583,"Y","N")</f>
        <v>N</v>
      </c>
      <c r="G3583" s="3" t="s">
        <v>72</v>
      </c>
      <c r="H3583" s="3" t="s">
        <v>39</v>
      </c>
      <c r="I3583" s="4" t="n">
        <v>3</v>
      </c>
      <c r="J3583" s="4" t="n">
        <f aca="false">LEN(E3583)-LEN(SUBSTITUTE(E3583,",",""))+1</f>
        <v>3</v>
      </c>
      <c r="K3583" s="3" t="str">
        <f aca="false">IFERROR(INDEX('Teacher Lookup'!$B$2:$B$200,MATCH(A3583,'Teacher Lookup'!$A$2:$A$200,0)),"")</f>
        <v>CHIU Esther</v>
      </c>
    </row>
    <row r="3584" customFormat="false" ht="15" hidden="false" customHeight="false" outlineLevel="0" collapsed="false">
      <c r="A3584" s="3" t="s">
        <v>392</v>
      </c>
      <c r="B3584" s="4" t="s">
        <v>66</v>
      </c>
      <c r="C3584" s="4" t="n">
        <v>7</v>
      </c>
      <c r="D3584" s="4" t="s">
        <v>106</v>
      </c>
      <c r="E3584" s="3" t="s">
        <v>331</v>
      </c>
      <c r="F3584" s="4" t="str">
        <f aca="false">IF(I3584&gt;J3584,"Y","N")</f>
        <v>N</v>
      </c>
      <c r="G3584" s="3" t="s">
        <v>72</v>
      </c>
      <c r="H3584" s="3" t="s">
        <v>39</v>
      </c>
      <c r="I3584" s="4" t="n">
        <v>3</v>
      </c>
      <c r="J3584" s="4" t="n">
        <f aca="false">LEN(E3584)-LEN(SUBSTITUTE(E3584,",",""))+1</f>
        <v>3</v>
      </c>
      <c r="K3584" s="3" t="str">
        <f aca="false">IFERROR(INDEX('Teacher Lookup'!$B$2:$B$200,MATCH(A3584,'Teacher Lookup'!$A$2:$A$200,0)),"")</f>
        <v>CHIU Esther</v>
      </c>
    </row>
    <row r="3585" customFormat="false" ht="15" hidden="false" customHeight="false" outlineLevel="0" collapsed="false">
      <c r="A3585" s="3" t="s">
        <v>400</v>
      </c>
      <c r="B3585" s="4" t="s">
        <v>12</v>
      </c>
      <c r="C3585" s="4" t="n">
        <v>1</v>
      </c>
      <c r="D3585" s="4" t="s">
        <v>13</v>
      </c>
      <c r="E3585" s="3" t="s">
        <v>14</v>
      </c>
      <c r="F3585" s="4" t="str">
        <f aca="false">IF(I3585&gt;J3585,"Y","N")</f>
        <v>N</v>
      </c>
      <c r="G3585" s="3" t="s">
        <v>15</v>
      </c>
      <c r="H3585" s="3" t="s">
        <v>16</v>
      </c>
      <c r="I3585" s="4" t="n">
        <v>4</v>
      </c>
      <c r="J3585" s="4" t="n">
        <f aca="false">LEN(E3585)-LEN(SUBSTITUTE(E3585,",",""))+1</f>
        <v>4</v>
      </c>
      <c r="K3585" s="3" t="str">
        <f aca="false">IFERROR(INDEX('Teacher Lookup'!$B$2:$B$200,MATCH(A3585,'Teacher Lookup'!$A$2:$A$200,0)),"")</f>
        <v>LI Emily</v>
      </c>
    </row>
    <row r="3586" customFormat="false" ht="15" hidden="false" customHeight="false" outlineLevel="0" collapsed="false">
      <c r="A3586" s="3" t="s">
        <v>400</v>
      </c>
      <c r="B3586" s="4" t="s">
        <v>12</v>
      </c>
      <c r="C3586" s="4" t="n">
        <v>1</v>
      </c>
      <c r="D3586" s="4" t="s">
        <v>17</v>
      </c>
      <c r="E3586" s="3" t="s">
        <v>14</v>
      </c>
      <c r="F3586" s="4" t="str">
        <f aca="false">IF(I3586&gt;J3586,"Y","N")</f>
        <v>N</v>
      </c>
      <c r="G3586" s="3" t="s">
        <v>15</v>
      </c>
      <c r="H3586" s="3" t="s">
        <v>16</v>
      </c>
      <c r="I3586" s="4" t="n">
        <v>4</v>
      </c>
      <c r="J3586" s="4" t="n">
        <f aca="false">LEN(E3586)-LEN(SUBSTITUTE(E3586,",",""))+1</f>
        <v>4</v>
      </c>
      <c r="K3586" s="3" t="str">
        <f aca="false">IFERROR(INDEX('Teacher Lookup'!$B$2:$B$200,MATCH(A3586,'Teacher Lookup'!$A$2:$A$200,0)),"")</f>
        <v>LI Emily</v>
      </c>
    </row>
    <row r="3587" customFormat="false" ht="15" hidden="false" customHeight="false" outlineLevel="0" collapsed="false">
      <c r="A3587" s="3" t="s">
        <v>400</v>
      </c>
      <c r="B3587" s="4" t="s">
        <v>12</v>
      </c>
      <c r="C3587" s="4" t="n">
        <v>1</v>
      </c>
      <c r="D3587" s="4" t="s">
        <v>18</v>
      </c>
      <c r="E3587" s="3" t="s">
        <v>14</v>
      </c>
      <c r="F3587" s="4" t="str">
        <f aca="false">IF(I3587&gt;J3587,"Y","N")</f>
        <v>N</v>
      </c>
      <c r="G3587" s="3" t="s">
        <v>15</v>
      </c>
      <c r="H3587" s="3" t="s">
        <v>16</v>
      </c>
      <c r="I3587" s="4" t="n">
        <v>4</v>
      </c>
      <c r="J3587" s="4" t="n">
        <f aca="false">LEN(E3587)-LEN(SUBSTITUTE(E3587,",",""))+1</f>
        <v>4</v>
      </c>
      <c r="K3587" s="3" t="str">
        <f aca="false">IFERROR(INDEX('Teacher Lookup'!$B$2:$B$200,MATCH(A3587,'Teacher Lookup'!$A$2:$A$200,0)),"")</f>
        <v>LI Emily</v>
      </c>
    </row>
    <row r="3588" customFormat="false" ht="15" hidden="false" customHeight="false" outlineLevel="0" collapsed="false">
      <c r="A3588" s="3" t="s">
        <v>400</v>
      </c>
      <c r="B3588" s="4" t="s">
        <v>12</v>
      </c>
      <c r="C3588" s="4" t="n">
        <v>2</v>
      </c>
      <c r="D3588" s="4" t="s">
        <v>19</v>
      </c>
      <c r="E3588" s="3" t="s">
        <v>20</v>
      </c>
      <c r="F3588" s="4" t="str">
        <f aca="false">IF(I3588&gt;J3588,"Y","N")</f>
        <v>N</v>
      </c>
      <c r="G3588" s="3" t="s">
        <v>15</v>
      </c>
      <c r="H3588" s="3" t="s">
        <v>21</v>
      </c>
      <c r="I3588" s="4" t="n">
        <v>4</v>
      </c>
      <c r="J3588" s="4" t="n">
        <f aca="false">LEN(E3588)-LEN(SUBSTITUTE(E3588,",",""))+1</f>
        <v>4</v>
      </c>
      <c r="K3588" s="3" t="str">
        <f aca="false">IFERROR(INDEX('Teacher Lookup'!$B$2:$B$200,MATCH(A3588,'Teacher Lookup'!$A$2:$A$200,0)),"")</f>
        <v>LI Emily</v>
      </c>
    </row>
    <row r="3589" customFormat="false" ht="15" hidden="false" customHeight="false" outlineLevel="0" collapsed="false">
      <c r="A3589" s="3" t="s">
        <v>400</v>
      </c>
      <c r="B3589" s="4" t="s">
        <v>12</v>
      </c>
      <c r="C3589" s="4" t="n">
        <v>2</v>
      </c>
      <c r="D3589" s="4" t="s">
        <v>22</v>
      </c>
      <c r="E3589" s="3" t="s">
        <v>20</v>
      </c>
      <c r="F3589" s="4" t="str">
        <f aca="false">IF(I3589&gt;J3589,"Y","N")</f>
        <v>N</v>
      </c>
      <c r="G3589" s="3" t="s">
        <v>15</v>
      </c>
      <c r="H3589" s="3" t="s">
        <v>21</v>
      </c>
      <c r="I3589" s="4" t="n">
        <v>4</v>
      </c>
      <c r="J3589" s="4" t="n">
        <f aca="false">LEN(E3589)-LEN(SUBSTITUTE(E3589,",",""))+1</f>
        <v>4</v>
      </c>
      <c r="K3589" s="3" t="str">
        <f aca="false">IFERROR(INDEX('Teacher Lookup'!$B$2:$B$200,MATCH(A3589,'Teacher Lookup'!$A$2:$A$200,0)),"")</f>
        <v>LI Emily</v>
      </c>
    </row>
    <row r="3590" customFormat="false" ht="15" hidden="false" customHeight="false" outlineLevel="0" collapsed="false">
      <c r="A3590" s="3" t="s">
        <v>400</v>
      </c>
      <c r="B3590" s="4" t="s">
        <v>12</v>
      </c>
      <c r="C3590" s="4" t="n">
        <v>2</v>
      </c>
      <c r="D3590" s="4" t="s">
        <v>23</v>
      </c>
      <c r="E3590" s="3" t="s">
        <v>20</v>
      </c>
      <c r="F3590" s="4" t="str">
        <f aca="false">IF(I3590&gt;J3590,"Y","N")</f>
        <v>N</v>
      </c>
      <c r="G3590" s="3" t="s">
        <v>15</v>
      </c>
      <c r="H3590" s="3" t="s">
        <v>21</v>
      </c>
      <c r="I3590" s="4" t="n">
        <v>4</v>
      </c>
      <c r="J3590" s="4" t="n">
        <f aca="false">LEN(E3590)-LEN(SUBSTITUTE(E3590,",",""))+1</f>
        <v>4</v>
      </c>
      <c r="K3590" s="3" t="str">
        <f aca="false">IFERROR(INDEX('Teacher Lookup'!$B$2:$B$200,MATCH(A3590,'Teacher Lookup'!$A$2:$A$200,0)),"")</f>
        <v>LI Emily</v>
      </c>
    </row>
    <row r="3591" customFormat="false" ht="15" hidden="false" customHeight="false" outlineLevel="0" collapsed="false">
      <c r="A3591" s="3" t="s">
        <v>400</v>
      </c>
      <c r="B3591" s="4" t="s">
        <v>12</v>
      </c>
      <c r="C3591" s="4" t="n">
        <v>3</v>
      </c>
      <c r="D3591" s="4" t="s">
        <v>24</v>
      </c>
      <c r="E3591" s="3" t="s">
        <v>25</v>
      </c>
      <c r="F3591" s="4" t="str">
        <f aca="false">IF(I3591&gt;J3591,"Y","N")</f>
        <v>N</v>
      </c>
      <c r="G3591" s="3" t="s">
        <v>15</v>
      </c>
      <c r="H3591" s="3" t="s">
        <v>26</v>
      </c>
      <c r="I3591" s="4" t="n">
        <v>6</v>
      </c>
      <c r="J3591" s="4" t="n">
        <f aca="false">LEN(E3591)-LEN(SUBSTITUTE(E3591,",",""))+1</f>
        <v>6</v>
      </c>
      <c r="K3591" s="3" t="str">
        <f aca="false">IFERROR(INDEX('Teacher Lookup'!$B$2:$B$200,MATCH(A3591,'Teacher Lookup'!$A$2:$A$200,0)),"")</f>
        <v>LI Emily</v>
      </c>
    </row>
    <row r="3592" customFormat="false" ht="15" hidden="false" customHeight="false" outlineLevel="0" collapsed="false">
      <c r="A3592" s="3" t="s">
        <v>400</v>
      </c>
      <c r="B3592" s="4" t="s">
        <v>12</v>
      </c>
      <c r="C3592" s="4" t="n">
        <v>3</v>
      </c>
      <c r="D3592" s="4" t="s">
        <v>27</v>
      </c>
      <c r="E3592" s="3" t="s">
        <v>25</v>
      </c>
      <c r="F3592" s="4" t="str">
        <f aca="false">IF(I3592&gt;J3592,"Y","N")</f>
        <v>N</v>
      </c>
      <c r="G3592" s="3" t="s">
        <v>15</v>
      </c>
      <c r="H3592" s="3" t="s">
        <v>26</v>
      </c>
      <c r="I3592" s="4" t="n">
        <v>6</v>
      </c>
      <c r="J3592" s="4" t="n">
        <f aca="false">LEN(E3592)-LEN(SUBSTITUTE(E3592,",",""))+1</f>
        <v>6</v>
      </c>
      <c r="K3592" s="3" t="str">
        <f aca="false">IFERROR(INDEX('Teacher Lookup'!$B$2:$B$200,MATCH(A3592,'Teacher Lookup'!$A$2:$A$200,0)),"")</f>
        <v>LI Emily</v>
      </c>
    </row>
    <row r="3593" customFormat="false" ht="15" hidden="false" customHeight="false" outlineLevel="0" collapsed="false">
      <c r="A3593" s="3" t="s">
        <v>400</v>
      </c>
      <c r="B3593" s="4" t="s">
        <v>12</v>
      </c>
      <c r="C3593" s="4" t="n">
        <v>3</v>
      </c>
      <c r="D3593" s="4" t="s">
        <v>28</v>
      </c>
      <c r="E3593" s="3" t="s">
        <v>25</v>
      </c>
      <c r="F3593" s="4" t="str">
        <f aca="false">IF(I3593&gt;J3593,"Y","N")</f>
        <v>N</v>
      </c>
      <c r="G3593" s="3" t="s">
        <v>15</v>
      </c>
      <c r="H3593" s="3" t="s">
        <v>26</v>
      </c>
      <c r="I3593" s="4" t="n">
        <v>6</v>
      </c>
      <c r="J3593" s="4" t="n">
        <f aca="false">LEN(E3593)-LEN(SUBSTITUTE(E3593,",",""))+1</f>
        <v>6</v>
      </c>
      <c r="K3593" s="3" t="str">
        <f aca="false">IFERROR(INDEX('Teacher Lookup'!$B$2:$B$200,MATCH(A3593,'Teacher Lookup'!$A$2:$A$200,0)),"")</f>
        <v>LI Emily</v>
      </c>
    </row>
    <row r="3594" customFormat="false" ht="15" hidden="false" customHeight="false" outlineLevel="0" collapsed="false">
      <c r="A3594" s="3" t="s">
        <v>400</v>
      </c>
      <c r="B3594" s="4" t="s">
        <v>12</v>
      </c>
      <c r="C3594" s="4" t="n">
        <v>3</v>
      </c>
      <c r="D3594" s="4" t="s">
        <v>29</v>
      </c>
      <c r="E3594" s="3" t="s">
        <v>25</v>
      </c>
      <c r="F3594" s="4" t="str">
        <f aca="false">IF(I3594&gt;J3594,"Y","N")</f>
        <v>N</v>
      </c>
      <c r="G3594" s="3" t="s">
        <v>15</v>
      </c>
      <c r="H3594" s="3" t="s">
        <v>26</v>
      </c>
      <c r="I3594" s="4" t="n">
        <v>6</v>
      </c>
      <c r="J3594" s="4" t="n">
        <f aca="false">LEN(E3594)-LEN(SUBSTITUTE(E3594,",",""))+1</f>
        <v>6</v>
      </c>
      <c r="K3594" s="3" t="str">
        <f aca="false">IFERROR(INDEX('Teacher Lookup'!$B$2:$B$200,MATCH(A3594,'Teacher Lookup'!$A$2:$A$200,0)),"")</f>
        <v>LI Emily</v>
      </c>
    </row>
    <row r="3595" customFormat="false" ht="15" hidden="false" customHeight="false" outlineLevel="0" collapsed="false">
      <c r="A3595" s="3" t="s">
        <v>400</v>
      </c>
      <c r="B3595" s="4" t="s">
        <v>12</v>
      </c>
      <c r="C3595" s="4" t="n">
        <v>3</v>
      </c>
      <c r="D3595" s="4" t="s">
        <v>30</v>
      </c>
      <c r="E3595" s="3" t="s">
        <v>25</v>
      </c>
      <c r="F3595" s="4" t="str">
        <f aca="false">IF(I3595&gt;J3595,"Y","N")</f>
        <v>N</v>
      </c>
      <c r="G3595" s="3" t="s">
        <v>15</v>
      </c>
      <c r="H3595" s="3" t="s">
        <v>26</v>
      </c>
      <c r="I3595" s="4" t="n">
        <v>6</v>
      </c>
      <c r="J3595" s="4" t="n">
        <f aca="false">LEN(E3595)-LEN(SUBSTITUTE(E3595,",",""))+1</f>
        <v>6</v>
      </c>
      <c r="K3595" s="3" t="str">
        <f aca="false">IFERROR(INDEX('Teacher Lookup'!$B$2:$B$200,MATCH(A3595,'Teacher Lookup'!$A$2:$A$200,0)),"")</f>
        <v>LI Emily</v>
      </c>
    </row>
    <row r="3596" customFormat="false" ht="15" hidden="false" customHeight="false" outlineLevel="0" collapsed="false">
      <c r="A3596" s="3" t="s">
        <v>400</v>
      </c>
      <c r="B3596" s="4" t="s">
        <v>31</v>
      </c>
      <c r="C3596" s="4" t="n">
        <v>3</v>
      </c>
      <c r="D3596" s="4" t="s">
        <v>13</v>
      </c>
      <c r="E3596" s="3" t="s">
        <v>32</v>
      </c>
      <c r="F3596" s="4" t="str">
        <f aca="false">IF(I3596&gt;J3596,"Y","N")</f>
        <v>N</v>
      </c>
      <c r="G3596" s="3" t="s">
        <v>15</v>
      </c>
      <c r="H3596" s="3" t="s">
        <v>26</v>
      </c>
      <c r="I3596" s="4" t="n">
        <v>4</v>
      </c>
      <c r="J3596" s="4" t="n">
        <f aca="false">LEN(E3596)-LEN(SUBSTITUTE(E3596,",",""))+1</f>
        <v>4</v>
      </c>
      <c r="K3596" s="3" t="str">
        <f aca="false">IFERROR(INDEX('Teacher Lookup'!$B$2:$B$200,MATCH(A3596,'Teacher Lookup'!$A$2:$A$200,0)),"")</f>
        <v>LI Emily</v>
      </c>
    </row>
    <row r="3597" customFormat="false" ht="15" hidden="false" customHeight="false" outlineLevel="0" collapsed="false">
      <c r="A3597" s="3" t="s">
        <v>400</v>
      </c>
      <c r="B3597" s="4" t="s">
        <v>31</v>
      </c>
      <c r="C3597" s="4" t="n">
        <v>3</v>
      </c>
      <c r="D3597" s="4" t="s">
        <v>17</v>
      </c>
      <c r="E3597" s="3" t="s">
        <v>32</v>
      </c>
      <c r="F3597" s="4" t="str">
        <f aca="false">IF(I3597&gt;J3597,"Y","N")</f>
        <v>N</v>
      </c>
      <c r="G3597" s="3" t="s">
        <v>15</v>
      </c>
      <c r="H3597" s="3" t="s">
        <v>26</v>
      </c>
      <c r="I3597" s="4" t="n">
        <v>4</v>
      </c>
      <c r="J3597" s="4" t="n">
        <f aca="false">LEN(E3597)-LEN(SUBSTITUTE(E3597,",",""))+1</f>
        <v>4</v>
      </c>
      <c r="K3597" s="3" t="str">
        <f aca="false">IFERROR(INDEX('Teacher Lookup'!$B$2:$B$200,MATCH(A3597,'Teacher Lookup'!$A$2:$A$200,0)),"")</f>
        <v>LI Emily</v>
      </c>
    </row>
    <row r="3598" customFormat="false" ht="15" hidden="false" customHeight="false" outlineLevel="0" collapsed="false">
      <c r="A3598" s="3" t="s">
        <v>400</v>
      </c>
      <c r="B3598" s="4" t="s">
        <v>31</v>
      </c>
      <c r="C3598" s="4" t="n">
        <v>3</v>
      </c>
      <c r="D3598" s="4" t="s">
        <v>18</v>
      </c>
      <c r="E3598" s="3" t="s">
        <v>32</v>
      </c>
      <c r="F3598" s="4" t="str">
        <f aca="false">IF(I3598&gt;J3598,"Y","N")</f>
        <v>N</v>
      </c>
      <c r="G3598" s="3" t="s">
        <v>15</v>
      </c>
      <c r="H3598" s="3" t="s">
        <v>26</v>
      </c>
      <c r="I3598" s="4" t="n">
        <v>4</v>
      </c>
      <c r="J3598" s="4" t="n">
        <f aca="false">LEN(E3598)-LEN(SUBSTITUTE(E3598,",",""))+1</f>
        <v>4</v>
      </c>
      <c r="K3598" s="3" t="str">
        <f aca="false">IFERROR(INDEX('Teacher Lookup'!$B$2:$B$200,MATCH(A3598,'Teacher Lookup'!$A$2:$A$200,0)),"")</f>
        <v>LI Emily</v>
      </c>
    </row>
    <row r="3599" customFormat="false" ht="15" hidden="false" customHeight="false" outlineLevel="0" collapsed="false">
      <c r="A3599" s="3" t="s">
        <v>400</v>
      </c>
      <c r="B3599" s="4" t="s">
        <v>31</v>
      </c>
      <c r="C3599" s="4" t="n">
        <v>4</v>
      </c>
      <c r="D3599" s="4" t="s">
        <v>19</v>
      </c>
      <c r="E3599" s="3" t="s">
        <v>33</v>
      </c>
      <c r="F3599" s="4" t="str">
        <f aca="false">IF(I3599&gt;J3599,"Y","N")</f>
        <v>N</v>
      </c>
      <c r="G3599" s="3" t="s">
        <v>15</v>
      </c>
      <c r="H3599" s="3" t="s">
        <v>34</v>
      </c>
      <c r="I3599" s="4" t="n">
        <v>4</v>
      </c>
      <c r="J3599" s="4" t="n">
        <f aca="false">LEN(E3599)-LEN(SUBSTITUTE(E3599,",",""))+1</f>
        <v>4</v>
      </c>
      <c r="K3599" s="3" t="str">
        <f aca="false">IFERROR(INDEX('Teacher Lookup'!$B$2:$B$200,MATCH(A3599,'Teacher Lookup'!$A$2:$A$200,0)),"")</f>
        <v>LI Emily</v>
      </c>
    </row>
    <row r="3600" customFormat="false" ht="15" hidden="false" customHeight="false" outlineLevel="0" collapsed="false">
      <c r="A3600" s="3" t="s">
        <v>400</v>
      </c>
      <c r="B3600" s="4" t="s">
        <v>31</v>
      </c>
      <c r="C3600" s="4" t="n">
        <v>4</v>
      </c>
      <c r="D3600" s="4" t="s">
        <v>22</v>
      </c>
      <c r="E3600" s="3" t="s">
        <v>33</v>
      </c>
      <c r="F3600" s="4" t="str">
        <f aca="false">IF(I3600&gt;J3600,"Y","N")</f>
        <v>N</v>
      </c>
      <c r="G3600" s="3" t="s">
        <v>15</v>
      </c>
      <c r="H3600" s="3" t="s">
        <v>34</v>
      </c>
      <c r="I3600" s="4" t="n">
        <v>4</v>
      </c>
      <c r="J3600" s="4" t="n">
        <f aca="false">LEN(E3600)-LEN(SUBSTITUTE(E3600,",",""))+1</f>
        <v>4</v>
      </c>
      <c r="K3600" s="3" t="str">
        <f aca="false">IFERROR(INDEX('Teacher Lookup'!$B$2:$B$200,MATCH(A3600,'Teacher Lookup'!$A$2:$A$200,0)),"")</f>
        <v>LI Emily</v>
      </c>
    </row>
    <row r="3601" customFormat="false" ht="15" hidden="false" customHeight="false" outlineLevel="0" collapsed="false">
      <c r="A3601" s="3" t="s">
        <v>400</v>
      </c>
      <c r="B3601" s="4" t="s">
        <v>31</v>
      </c>
      <c r="C3601" s="4" t="n">
        <v>4</v>
      </c>
      <c r="D3601" s="4" t="s">
        <v>23</v>
      </c>
      <c r="E3601" s="3" t="s">
        <v>33</v>
      </c>
      <c r="F3601" s="4" t="str">
        <f aca="false">IF(I3601&gt;J3601,"Y","N")</f>
        <v>N</v>
      </c>
      <c r="G3601" s="3" t="s">
        <v>15</v>
      </c>
      <c r="H3601" s="3" t="s">
        <v>34</v>
      </c>
      <c r="I3601" s="4" t="n">
        <v>4</v>
      </c>
      <c r="J3601" s="4" t="n">
        <f aca="false">LEN(E3601)-LEN(SUBSTITUTE(E3601,",",""))+1</f>
        <v>4</v>
      </c>
      <c r="K3601" s="3" t="str">
        <f aca="false">IFERROR(INDEX('Teacher Lookup'!$B$2:$B$200,MATCH(A3601,'Teacher Lookup'!$A$2:$A$200,0)),"")</f>
        <v>LI Emily</v>
      </c>
    </row>
    <row r="3602" customFormat="false" ht="15" hidden="false" customHeight="false" outlineLevel="0" collapsed="false">
      <c r="A3602" s="3" t="s">
        <v>400</v>
      </c>
      <c r="B3602" s="4" t="s">
        <v>31</v>
      </c>
      <c r="C3602" s="4" t="n">
        <v>5</v>
      </c>
      <c r="D3602" s="4" t="s">
        <v>24</v>
      </c>
      <c r="E3602" s="3" t="s">
        <v>131</v>
      </c>
      <c r="F3602" s="4" t="str">
        <f aca="false">IF(I3602&gt;J3602,"Y","N")</f>
        <v>Y</v>
      </c>
      <c r="G3602" s="3" t="s">
        <v>36</v>
      </c>
      <c r="H3602" s="3" t="s">
        <v>37</v>
      </c>
      <c r="I3602" s="4" t="n">
        <v>15</v>
      </c>
      <c r="J3602" s="4" t="n">
        <f aca="false">LEN(E3602)-LEN(SUBSTITUTE(E3602,",",""))+1</f>
        <v>7</v>
      </c>
      <c r="K3602" s="3" t="str">
        <f aca="false">IFERROR(INDEX('Teacher Lookup'!$B$2:$B$200,MATCH(A3602,'Teacher Lookup'!$A$2:$A$200,0)),"")</f>
        <v>LI Emily</v>
      </c>
    </row>
    <row r="3603" customFormat="false" ht="15" hidden="false" customHeight="false" outlineLevel="0" collapsed="false">
      <c r="A3603" s="3" t="s">
        <v>400</v>
      </c>
      <c r="B3603" s="4" t="s">
        <v>31</v>
      </c>
      <c r="C3603" s="4" t="n">
        <v>5</v>
      </c>
      <c r="D3603" s="4" t="s">
        <v>132</v>
      </c>
      <c r="E3603" s="3" t="s">
        <v>131</v>
      </c>
      <c r="F3603" s="4" t="str">
        <f aca="false">IF(I3603&gt;J3603,"Y","N")</f>
        <v>Y</v>
      </c>
      <c r="G3603" s="3" t="s">
        <v>36</v>
      </c>
      <c r="H3603" s="3" t="s">
        <v>37</v>
      </c>
      <c r="I3603" s="4" t="n">
        <v>15</v>
      </c>
      <c r="J3603" s="4" t="n">
        <f aca="false">LEN(E3603)-LEN(SUBSTITUTE(E3603,",",""))+1</f>
        <v>7</v>
      </c>
      <c r="K3603" s="3" t="str">
        <f aca="false">IFERROR(INDEX('Teacher Lookup'!$B$2:$B$200,MATCH(A3603,'Teacher Lookup'!$A$2:$A$200,0)),"")</f>
        <v>LI Emily</v>
      </c>
    </row>
    <row r="3604" customFormat="false" ht="15" hidden="false" customHeight="false" outlineLevel="0" collapsed="false">
      <c r="A3604" s="3" t="s">
        <v>400</v>
      </c>
      <c r="B3604" s="4" t="s">
        <v>31</v>
      </c>
      <c r="C3604" s="4" t="n">
        <v>5</v>
      </c>
      <c r="D3604" s="4" t="s">
        <v>27</v>
      </c>
      <c r="E3604" s="3" t="s">
        <v>131</v>
      </c>
      <c r="F3604" s="4" t="str">
        <f aca="false">IF(I3604&gt;J3604,"Y","N")</f>
        <v>Y</v>
      </c>
      <c r="G3604" s="3" t="s">
        <v>36</v>
      </c>
      <c r="H3604" s="3" t="s">
        <v>37</v>
      </c>
      <c r="I3604" s="4" t="n">
        <v>15</v>
      </c>
      <c r="J3604" s="4" t="n">
        <f aca="false">LEN(E3604)-LEN(SUBSTITUTE(E3604,",",""))+1</f>
        <v>7</v>
      </c>
      <c r="K3604" s="3" t="str">
        <f aca="false">IFERROR(INDEX('Teacher Lookup'!$B$2:$B$200,MATCH(A3604,'Teacher Lookup'!$A$2:$A$200,0)),"")</f>
        <v>LI Emily</v>
      </c>
    </row>
    <row r="3605" customFormat="false" ht="15" hidden="false" customHeight="false" outlineLevel="0" collapsed="false">
      <c r="A3605" s="3" t="s">
        <v>400</v>
      </c>
      <c r="B3605" s="4" t="s">
        <v>31</v>
      </c>
      <c r="C3605" s="4" t="n">
        <v>5</v>
      </c>
      <c r="D3605" s="4" t="s">
        <v>28</v>
      </c>
      <c r="E3605" s="3" t="s">
        <v>131</v>
      </c>
      <c r="F3605" s="4" t="str">
        <f aca="false">IF(I3605&gt;J3605,"Y","N")</f>
        <v>Y</v>
      </c>
      <c r="G3605" s="3" t="s">
        <v>36</v>
      </c>
      <c r="H3605" s="3" t="s">
        <v>37</v>
      </c>
      <c r="I3605" s="4" t="n">
        <v>15</v>
      </c>
      <c r="J3605" s="4" t="n">
        <f aca="false">LEN(E3605)-LEN(SUBSTITUTE(E3605,",",""))+1</f>
        <v>7</v>
      </c>
      <c r="K3605" s="3" t="str">
        <f aca="false">IFERROR(INDEX('Teacher Lookup'!$B$2:$B$200,MATCH(A3605,'Teacher Lookup'!$A$2:$A$200,0)),"")</f>
        <v>LI Emily</v>
      </c>
    </row>
    <row r="3606" customFormat="false" ht="15" hidden="false" customHeight="false" outlineLevel="0" collapsed="false">
      <c r="A3606" s="3" t="s">
        <v>400</v>
      </c>
      <c r="B3606" s="4" t="s">
        <v>31</v>
      </c>
      <c r="C3606" s="4" t="n">
        <v>5</v>
      </c>
      <c r="D3606" s="4" t="s">
        <v>29</v>
      </c>
      <c r="E3606" s="3" t="s">
        <v>131</v>
      </c>
      <c r="F3606" s="4" t="str">
        <f aca="false">IF(I3606&gt;J3606,"Y","N")</f>
        <v>Y</v>
      </c>
      <c r="G3606" s="3" t="s">
        <v>36</v>
      </c>
      <c r="H3606" s="3" t="s">
        <v>37</v>
      </c>
      <c r="I3606" s="4" t="n">
        <v>15</v>
      </c>
      <c r="J3606" s="4" t="n">
        <f aca="false">LEN(E3606)-LEN(SUBSTITUTE(E3606,",",""))+1</f>
        <v>7</v>
      </c>
      <c r="K3606" s="3" t="str">
        <f aca="false">IFERROR(INDEX('Teacher Lookup'!$B$2:$B$200,MATCH(A3606,'Teacher Lookup'!$A$2:$A$200,0)),"")</f>
        <v>LI Emily</v>
      </c>
    </row>
    <row r="3607" customFormat="false" ht="15" hidden="false" customHeight="false" outlineLevel="0" collapsed="false">
      <c r="A3607" s="3" t="s">
        <v>400</v>
      </c>
      <c r="B3607" s="4" t="s">
        <v>31</v>
      </c>
      <c r="C3607" s="4" t="n">
        <v>5</v>
      </c>
      <c r="D3607" s="4" t="s">
        <v>30</v>
      </c>
      <c r="E3607" s="3" t="s">
        <v>131</v>
      </c>
      <c r="F3607" s="4" t="str">
        <f aca="false">IF(I3607&gt;J3607,"Y","N")</f>
        <v>Y</v>
      </c>
      <c r="G3607" s="3" t="s">
        <v>36</v>
      </c>
      <c r="H3607" s="3" t="s">
        <v>37</v>
      </c>
      <c r="I3607" s="4" t="n">
        <v>15</v>
      </c>
      <c r="J3607" s="4" t="n">
        <f aca="false">LEN(E3607)-LEN(SUBSTITUTE(E3607,",",""))+1</f>
        <v>7</v>
      </c>
      <c r="K3607" s="3" t="str">
        <f aca="false">IFERROR(INDEX('Teacher Lookup'!$B$2:$B$200,MATCH(A3607,'Teacher Lookup'!$A$2:$A$200,0)),"")</f>
        <v>LI Emily</v>
      </c>
    </row>
    <row r="3608" customFormat="false" ht="15" hidden="false" customHeight="false" outlineLevel="0" collapsed="false">
      <c r="A3608" s="3" t="s">
        <v>400</v>
      </c>
      <c r="B3608" s="4" t="s">
        <v>31</v>
      </c>
      <c r="C3608" s="4" t="n">
        <v>7</v>
      </c>
      <c r="D3608" s="4" t="s">
        <v>24</v>
      </c>
      <c r="E3608" s="3" t="s">
        <v>38</v>
      </c>
      <c r="F3608" s="4" t="str">
        <f aca="false">IF(I3608&gt;J3608,"Y","N")</f>
        <v>N</v>
      </c>
      <c r="G3608" s="3" t="s">
        <v>15</v>
      </c>
      <c r="H3608" s="3" t="s">
        <v>39</v>
      </c>
      <c r="I3608" s="4" t="n">
        <v>6</v>
      </c>
      <c r="J3608" s="4" t="n">
        <f aca="false">LEN(E3608)-LEN(SUBSTITUTE(E3608,",",""))+1</f>
        <v>6</v>
      </c>
      <c r="K3608" s="3" t="str">
        <f aca="false">IFERROR(INDEX('Teacher Lookup'!$B$2:$B$200,MATCH(A3608,'Teacher Lookup'!$A$2:$A$200,0)),"")</f>
        <v>LI Emily</v>
      </c>
    </row>
    <row r="3609" customFormat="false" ht="15" hidden="false" customHeight="false" outlineLevel="0" collapsed="false">
      <c r="A3609" s="3" t="s">
        <v>400</v>
      </c>
      <c r="B3609" s="4" t="s">
        <v>31</v>
      </c>
      <c r="C3609" s="4" t="n">
        <v>7</v>
      </c>
      <c r="D3609" s="4" t="s">
        <v>27</v>
      </c>
      <c r="E3609" s="3" t="s">
        <v>38</v>
      </c>
      <c r="F3609" s="4" t="str">
        <f aca="false">IF(I3609&gt;J3609,"Y","N")</f>
        <v>N</v>
      </c>
      <c r="G3609" s="3" t="s">
        <v>15</v>
      </c>
      <c r="H3609" s="3" t="s">
        <v>39</v>
      </c>
      <c r="I3609" s="4" t="n">
        <v>6</v>
      </c>
      <c r="J3609" s="4" t="n">
        <f aca="false">LEN(E3609)-LEN(SUBSTITUTE(E3609,",",""))+1</f>
        <v>6</v>
      </c>
      <c r="K3609" s="3" t="str">
        <f aca="false">IFERROR(INDEX('Teacher Lookup'!$B$2:$B$200,MATCH(A3609,'Teacher Lookup'!$A$2:$A$200,0)),"")</f>
        <v>LI Emily</v>
      </c>
    </row>
    <row r="3610" customFormat="false" ht="15" hidden="false" customHeight="false" outlineLevel="0" collapsed="false">
      <c r="A3610" s="3" t="s">
        <v>400</v>
      </c>
      <c r="B3610" s="4" t="s">
        <v>31</v>
      </c>
      <c r="C3610" s="4" t="n">
        <v>7</v>
      </c>
      <c r="D3610" s="4" t="s">
        <v>28</v>
      </c>
      <c r="E3610" s="3" t="s">
        <v>38</v>
      </c>
      <c r="F3610" s="4" t="str">
        <f aca="false">IF(I3610&gt;J3610,"Y","N")</f>
        <v>N</v>
      </c>
      <c r="G3610" s="3" t="s">
        <v>15</v>
      </c>
      <c r="H3610" s="3" t="s">
        <v>39</v>
      </c>
      <c r="I3610" s="4" t="n">
        <v>6</v>
      </c>
      <c r="J3610" s="4" t="n">
        <f aca="false">LEN(E3610)-LEN(SUBSTITUTE(E3610,",",""))+1</f>
        <v>6</v>
      </c>
      <c r="K3610" s="3" t="str">
        <f aca="false">IFERROR(INDEX('Teacher Lookup'!$B$2:$B$200,MATCH(A3610,'Teacher Lookup'!$A$2:$A$200,0)),"")</f>
        <v>LI Emily</v>
      </c>
    </row>
    <row r="3611" customFormat="false" ht="15" hidden="false" customHeight="false" outlineLevel="0" collapsed="false">
      <c r="A3611" s="3" t="s">
        <v>400</v>
      </c>
      <c r="B3611" s="4" t="s">
        <v>31</v>
      </c>
      <c r="C3611" s="4" t="n">
        <v>7</v>
      </c>
      <c r="D3611" s="4" t="s">
        <v>29</v>
      </c>
      <c r="E3611" s="3" t="s">
        <v>38</v>
      </c>
      <c r="F3611" s="4" t="str">
        <f aca="false">IF(I3611&gt;J3611,"Y","N")</f>
        <v>N</v>
      </c>
      <c r="G3611" s="3" t="s">
        <v>15</v>
      </c>
      <c r="H3611" s="3" t="s">
        <v>39</v>
      </c>
      <c r="I3611" s="4" t="n">
        <v>6</v>
      </c>
      <c r="J3611" s="4" t="n">
        <f aca="false">LEN(E3611)-LEN(SUBSTITUTE(E3611,",",""))+1</f>
        <v>6</v>
      </c>
      <c r="K3611" s="3" t="str">
        <f aca="false">IFERROR(INDEX('Teacher Lookup'!$B$2:$B$200,MATCH(A3611,'Teacher Lookup'!$A$2:$A$200,0)),"")</f>
        <v>LI Emily</v>
      </c>
    </row>
    <row r="3612" customFormat="false" ht="15" hidden="false" customHeight="false" outlineLevel="0" collapsed="false">
      <c r="A3612" s="3" t="s">
        <v>400</v>
      </c>
      <c r="B3612" s="4" t="s">
        <v>31</v>
      </c>
      <c r="C3612" s="4" t="n">
        <v>7</v>
      </c>
      <c r="D3612" s="4" t="s">
        <v>30</v>
      </c>
      <c r="E3612" s="3" t="s">
        <v>38</v>
      </c>
      <c r="F3612" s="4" t="str">
        <f aca="false">IF(I3612&gt;J3612,"Y","N")</f>
        <v>N</v>
      </c>
      <c r="G3612" s="3" t="s">
        <v>15</v>
      </c>
      <c r="H3612" s="3" t="s">
        <v>39</v>
      </c>
      <c r="I3612" s="4" t="n">
        <v>6</v>
      </c>
      <c r="J3612" s="4" t="n">
        <f aca="false">LEN(E3612)-LEN(SUBSTITUTE(E3612,",",""))+1</f>
        <v>6</v>
      </c>
      <c r="K3612" s="3" t="str">
        <f aca="false">IFERROR(INDEX('Teacher Lookup'!$B$2:$B$200,MATCH(A3612,'Teacher Lookup'!$A$2:$A$200,0)),"")</f>
        <v>LI Emily</v>
      </c>
    </row>
    <row r="3613" customFormat="false" ht="15" hidden="false" customHeight="false" outlineLevel="0" collapsed="false">
      <c r="A3613" s="3" t="s">
        <v>400</v>
      </c>
      <c r="B3613" s="4" t="s">
        <v>40</v>
      </c>
      <c r="C3613" s="4" t="n">
        <v>2</v>
      </c>
      <c r="D3613" s="4" t="s">
        <v>24</v>
      </c>
      <c r="E3613" s="3" t="s">
        <v>41</v>
      </c>
      <c r="F3613" s="4" t="str">
        <f aca="false">IF(I3613&gt;J3613,"Y","N")</f>
        <v>N</v>
      </c>
      <c r="G3613" s="3" t="s">
        <v>15</v>
      </c>
      <c r="H3613" s="3" t="s">
        <v>21</v>
      </c>
      <c r="I3613" s="4" t="n">
        <v>6</v>
      </c>
      <c r="J3613" s="4" t="n">
        <f aca="false">LEN(E3613)-LEN(SUBSTITUTE(E3613,",",""))+1</f>
        <v>6</v>
      </c>
      <c r="K3613" s="3" t="str">
        <f aca="false">IFERROR(INDEX('Teacher Lookup'!$B$2:$B$200,MATCH(A3613,'Teacher Lookup'!$A$2:$A$200,0)),"")</f>
        <v>LI Emily</v>
      </c>
    </row>
    <row r="3614" customFormat="false" ht="15" hidden="false" customHeight="false" outlineLevel="0" collapsed="false">
      <c r="A3614" s="3" t="s">
        <v>400</v>
      </c>
      <c r="B3614" s="4" t="s">
        <v>40</v>
      </c>
      <c r="C3614" s="4" t="n">
        <v>2</v>
      </c>
      <c r="D3614" s="4" t="s">
        <v>27</v>
      </c>
      <c r="E3614" s="3" t="s">
        <v>41</v>
      </c>
      <c r="F3614" s="4" t="str">
        <f aca="false">IF(I3614&gt;J3614,"Y","N")</f>
        <v>N</v>
      </c>
      <c r="G3614" s="3" t="s">
        <v>15</v>
      </c>
      <c r="H3614" s="3" t="s">
        <v>21</v>
      </c>
      <c r="I3614" s="4" t="n">
        <v>6</v>
      </c>
      <c r="J3614" s="4" t="n">
        <f aca="false">LEN(E3614)-LEN(SUBSTITUTE(E3614,",",""))+1</f>
        <v>6</v>
      </c>
      <c r="K3614" s="3" t="str">
        <f aca="false">IFERROR(INDEX('Teacher Lookup'!$B$2:$B$200,MATCH(A3614,'Teacher Lookup'!$A$2:$A$200,0)),"")</f>
        <v>LI Emily</v>
      </c>
    </row>
    <row r="3615" customFormat="false" ht="15" hidden="false" customHeight="false" outlineLevel="0" collapsed="false">
      <c r="A3615" s="3" t="s">
        <v>400</v>
      </c>
      <c r="B3615" s="4" t="s">
        <v>40</v>
      </c>
      <c r="C3615" s="4" t="n">
        <v>2</v>
      </c>
      <c r="D3615" s="4" t="s">
        <v>28</v>
      </c>
      <c r="E3615" s="3" t="s">
        <v>41</v>
      </c>
      <c r="F3615" s="4" t="str">
        <f aca="false">IF(I3615&gt;J3615,"Y","N")</f>
        <v>N</v>
      </c>
      <c r="G3615" s="3" t="s">
        <v>15</v>
      </c>
      <c r="H3615" s="3" t="s">
        <v>21</v>
      </c>
      <c r="I3615" s="4" t="n">
        <v>6</v>
      </c>
      <c r="J3615" s="4" t="n">
        <f aca="false">LEN(E3615)-LEN(SUBSTITUTE(E3615,",",""))+1</f>
        <v>6</v>
      </c>
      <c r="K3615" s="3" t="str">
        <f aca="false">IFERROR(INDEX('Teacher Lookup'!$B$2:$B$200,MATCH(A3615,'Teacher Lookup'!$A$2:$A$200,0)),"")</f>
        <v>LI Emily</v>
      </c>
    </row>
    <row r="3616" customFormat="false" ht="15" hidden="false" customHeight="false" outlineLevel="0" collapsed="false">
      <c r="A3616" s="3" t="s">
        <v>400</v>
      </c>
      <c r="B3616" s="4" t="s">
        <v>40</v>
      </c>
      <c r="C3616" s="4" t="n">
        <v>2</v>
      </c>
      <c r="D3616" s="4" t="s">
        <v>29</v>
      </c>
      <c r="E3616" s="3" t="s">
        <v>41</v>
      </c>
      <c r="F3616" s="4" t="str">
        <f aca="false">IF(I3616&gt;J3616,"Y","N")</f>
        <v>N</v>
      </c>
      <c r="G3616" s="3" t="s">
        <v>15</v>
      </c>
      <c r="H3616" s="3" t="s">
        <v>21</v>
      </c>
      <c r="I3616" s="4" t="n">
        <v>6</v>
      </c>
      <c r="J3616" s="4" t="n">
        <f aca="false">LEN(E3616)-LEN(SUBSTITUTE(E3616,",",""))+1</f>
        <v>6</v>
      </c>
      <c r="K3616" s="3" t="str">
        <f aca="false">IFERROR(INDEX('Teacher Lookup'!$B$2:$B$200,MATCH(A3616,'Teacher Lookup'!$A$2:$A$200,0)),"")</f>
        <v>LI Emily</v>
      </c>
    </row>
    <row r="3617" customFormat="false" ht="15" hidden="false" customHeight="false" outlineLevel="0" collapsed="false">
      <c r="A3617" s="3" t="s">
        <v>400</v>
      </c>
      <c r="B3617" s="4" t="s">
        <v>40</v>
      </c>
      <c r="C3617" s="4" t="n">
        <v>2</v>
      </c>
      <c r="D3617" s="4" t="s">
        <v>30</v>
      </c>
      <c r="E3617" s="3" t="s">
        <v>41</v>
      </c>
      <c r="F3617" s="4" t="str">
        <f aca="false">IF(I3617&gt;J3617,"Y","N")</f>
        <v>N</v>
      </c>
      <c r="G3617" s="3" t="s">
        <v>15</v>
      </c>
      <c r="H3617" s="3" t="s">
        <v>21</v>
      </c>
      <c r="I3617" s="4" t="n">
        <v>6</v>
      </c>
      <c r="J3617" s="4" t="n">
        <f aca="false">LEN(E3617)-LEN(SUBSTITUTE(E3617,",",""))+1</f>
        <v>6</v>
      </c>
      <c r="K3617" s="3" t="str">
        <f aca="false">IFERROR(INDEX('Teacher Lookup'!$B$2:$B$200,MATCH(A3617,'Teacher Lookup'!$A$2:$A$200,0)),"")</f>
        <v>LI Emily</v>
      </c>
    </row>
    <row r="3618" customFormat="false" ht="15" hidden="false" customHeight="false" outlineLevel="0" collapsed="false">
      <c r="A3618" s="3" t="s">
        <v>400</v>
      </c>
      <c r="B3618" s="4" t="s">
        <v>40</v>
      </c>
      <c r="C3618" s="4" t="n">
        <v>6</v>
      </c>
      <c r="D3618" s="4" t="s">
        <v>19</v>
      </c>
      <c r="E3618" s="3" t="s">
        <v>33</v>
      </c>
      <c r="F3618" s="4" t="str">
        <f aca="false">IF(I3618&gt;J3618,"Y","N")</f>
        <v>N</v>
      </c>
      <c r="G3618" s="3" t="s">
        <v>15</v>
      </c>
      <c r="H3618" s="3" t="s">
        <v>42</v>
      </c>
      <c r="I3618" s="4" t="n">
        <v>4</v>
      </c>
      <c r="J3618" s="4" t="n">
        <f aca="false">LEN(E3618)-LEN(SUBSTITUTE(E3618,",",""))+1</f>
        <v>4</v>
      </c>
      <c r="K3618" s="3" t="str">
        <f aca="false">IFERROR(INDEX('Teacher Lookup'!$B$2:$B$200,MATCH(A3618,'Teacher Lookup'!$A$2:$A$200,0)),"")</f>
        <v>LI Emily</v>
      </c>
    </row>
    <row r="3619" customFormat="false" ht="15" hidden="false" customHeight="false" outlineLevel="0" collapsed="false">
      <c r="A3619" s="3" t="s">
        <v>400</v>
      </c>
      <c r="B3619" s="4" t="s">
        <v>40</v>
      </c>
      <c r="C3619" s="4" t="n">
        <v>6</v>
      </c>
      <c r="D3619" s="4" t="s">
        <v>22</v>
      </c>
      <c r="E3619" s="3" t="s">
        <v>33</v>
      </c>
      <c r="F3619" s="4" t="str">
        <f aca="false">IF(I3619&gt;J3619,"Y","N")</f>
        <v>N</v>
      </c>
      <c r="G3619" s="3" t="s">
        <v>15</v>
      </c>
      <c r="H3619" s="3" t="s">
        <v>42</v>
      </c>
      <c r="I3619" s="4" t="n">
        <v>4</v>
      </c>
      <c r="J3619" s="4" t="n">
        <f aca="false">LEN(E3619)-LEN(SUBSTITUTE(E3619,",",""))+1</f>
        <v>4</v>
      </c>
      <c r="K3619" s="3" t="str">
        <f aca="false">IFERROR(INDEX('Teacher Lookup'!$B$2:$B$200,MATCH(A3619,'Teacher Lookup'!$A$2:$A$200,0)),"")</f>
        <v>LI Emily</v>
      </c>
    </row>
    <row r="3620" customFormat="false" ht="15" hidden="false" customHeight="false" outlineLevel="0" collapsed="false">
      <c r="A3620" s="3" t="s">
        <v>400</v>
      </c>
      <c r="B3620" s="4" t="s">
        <v>40</v>
      </c>
      <c r="C3620" s="4" t="n">
        <v>6</v>
      </c>
      <c r="D3620" s="4" t="s">
        <v>23</v>
      </c>
      <c r="E3620" s="3" t="s">
        <v>33</v>
      </c>
      <c r="F3620" s="4" t="str">
        <f aca="false">IF(I3620&gt;J3620,"Y","N")</f>
        <v>N</v>
      </c>
      <c r="G3620" s="3" t="s">
        <v>15</v>
      </c>
      <c r="H3620" s="3" t="s">
        <v>42</v>
      </c>
      <c r="I3620" s="4" t="n">
        <v>4</v>
      </c>
      <c r="J3620" s="4" t="n">
        <f aca="false">LEN(E3620)-LEN(SUBSTITUTE(E3620,",",""))+1</f>
        <v>4</v>
      </c>
      <c r="K3620" s="3" t="str">
        <f aca="false">IFERROR(INDEX('Teacher Lookup'!$B$2:$B$200,MATCH(A3620,'Teacher Lookup'!$A$2:$A$200,0)),"")</f>
        <v>LI Emily</v>
      </c>
    </row>
    <row r="3621" customFormat="false" ht="15" hidden="false" customHeight="false" outlineLevel="0" collapsed="false">
      <c r="A3621" s="3" t="s">
        <v>400</v>
      </c>
      <c r="B3621" s="4" t="s">
        <v>40</v>
      </c>
      <c r="C3621" s="4" t="n">
        <v>7</v>
      </c>
      <c r="D3621" s="4" t="s">
        <v>13</v>
      </c>
      <c r="E3621" s="3" t="s">
        <v>43</v>
      </c>
      <c r="F3621" s="4" t="str">
        <f aca="false">IF(I3621&gt;J3621,"Y","N")</f>
        <v>N</v>
      </c>
      <c r="G3621" s="3" t="s">
        <v>15</v>
      </c>
      <c r="H3621" s="3" t="s">
        <v>39</v>
      </c>
      <c r="I3621" s="4" t="n">
        <v>4</v>
      </c>
      <c r="J3621" s="4" t="n">
        <f aca="false">LEN(E3621)-LEN(SUBSTITUTE(E3621,",",""))+1</f>
        <v>4</v>
      </c>
      <c r="K3621" s="3" t="str">
        <f aca="false">IFERROR(INDEX('Teacher Lookup'!$B$2:$B$200,MATCH(A3621,'Teacher Lookup'!$A$2:$A$200,0)),"")</f>
        <v>LI Emily</v>
      </c>
    </row>
    <row r="3622" customFormat="false" ht="15" hidden="false" customHeight="false" outlineLevel="0" collapsed="false">
      <c r="A3622" s="3" t="s">
        <v>400</v>
      </c>
      <c r="B3622" s="4" t="s">
        <v>40</v>
      </c>
      <c r="C3622" s="4" t="n">
        <v>7</v>
      </c>
      <c r="D3622" s="4" t="s">
        <v>17</v>
      </c>
      <c r="E3622" s="3" t="s">
        <v>43</v>
      </c>
      <c r="F3622" s="4" t="str">
        <f aca="false">IF(I3622&gt;J3622,"Y","N")</f>
        <v>N</v>
      </c>
      <c r="G3622" s="3" t="s">
        <v>15</v>
      </c>
      <c r="H3622" s="3" t="s">
        <v>39</v>
      </c>
      <c r="I3622" s="4" t="n">
        <v>4</v>
      </c>
      <c r="J3622" s="4" t="n">
        <f aca="false">LEN(E3622)-LEN(SUBSTITUTE(E3622,",",""))+1</f>
        <v>4</v>
      </c>
      <c r="K3622" s="3" t="str">
        <f aca="false">IFERROR(INDEX('Teacher Lookup'!$B$2:$B$200,MATCH(A3622,'Teacher Lookup'!$A$2:$A$200,0)),"")</f>
        <v>LI Emily</v>
      </c>
    </row>
    <row r="3623" customFormat="false" ht="15" hidden="false" customHeight="false" outlineLevel="0" collapsed="false">
      <c r="A3623" s="3" t="s">
        <v>400</v>
      </c>
      <c r="B3623" s="4" t="s">
        <v>40</v>
      </c>
      <c r="C3623" s="4" t="n">
        <v>7</v>
      </c>
      <c r="D3623" s="4" t="s">
        <v>18</v>
      </c>
      <c r="E3623" s="3" t="s">
        <v>43</v>
      </c>
      <c r="F3623" s="4" t="str">
        <f aca="false">IF(I3623&gt;J3623,"Y","N")</f>
        <v>N</v>
      </c>
      <c r="G3623" s="3" t="s">
        <v>15</v>
      </c>
      <c r="H3623" s="3" t="s">
        <v>39</v>
      </c>
      <c r="I3623" s="4" t="n">
        <v>4</v>
      </c>
      <c r="J3623" s="4" t="n">
        <f aca="false">LEN(E3623)-LEN(SUBSTITUTE(E3623,",",""))+1</f>
        <v>4</v>
      </c>
      <c r="K3623" s="3" t="str">
        <f aca="false">IFERROR(INDEX('Teacher Lookup'!$B$2:$B$200,MATCH(A3623,'Teacher Lookup'!$A$2:$A$200,0)),"")</f>
        <v>LI Emily</v>
      </c>
    </row>
    <row r="3624" customFormat="false" ht="15" hidden="false" customHeight="false" outlineLevel="0" collapsed="false">
      <c r="A3624" s="3" t="s">
        <v>400</v>
      </c>
      <c r="B3624" s="4" t="s">
        <v>44</v>
      </c>
      <c r="C3624" s="4" t="n">
        <v>1</v>
      </c>
      <c r="D3624" s="4" t="s">
        <v>19</v>
      </c>
      <c r="E3624" s="3" t="s">
        <v>33</v>
      </c>
      <c r="F3624" s="4" t="str">
        <f aca="false">IF(I3624&gt;J3624,"Y","N")</f>
        <v>N</v>
      </c>
      <c r="G3624" s="3" t="s">
        <v>15</v>
      </c>
      <c r="H3624" s="3" t="s">
        <v>16</v>
      </c>
      <c r="I3624" s="4" t="n">
        <v>4</v>
      </c>
      <c r="J3624" s="4" t="n">
        <f aca="false">LEN(E3624)-LEN(SUBSTITUTE(E3624,",",""))+1</f>
        <v>4</v>
      </c>
      <c r="K3624" s="3" t="str">
        <f aca="false">IFERROR(INDEX('Teacher Lookup'!$B$2:$B$200,MATCH(A3624,'Teacher Lookup'!$A$2:$A$200,0)),"")</f>
        <v>LI Emily</v>
      </c>
    </row>
    <row r="3625" customFormat="false" ht="15" hidden="false" customHeight="false" outlineLevel="0" collapsed="false">
      <c r="A3625" s="3" t="s">
        <v>400</v>
      </c>
      <c r="B3625" s="4" t="s">
        <v>44</v>
      </c>
      <c r="C3625" s="4" t="n">
        <v>1</v>
      </c>
      <c r="D3625" s="4" t="s">
        <v>22</v>
      </c>
      <c r="E3625" s="3" t="s">
        <v>33</v>
      </c>
      <c r="F3625" s="4" t="str">
        <f aca="false">IF(I3625&gt;J3625,"Y","N")</f>
        <v>N</v>
      </c>
      <c r="G3625" s="3" t="s">
        <v>15</v>
      </c>
      <c r="H3625" s="3" t="s">
        <v>16</v>
      </c>
      <c r="I3625" s="4" t="n">
        <v>4</v>
      </c>
      <c r="J3625" s="4" t="n">
        <f aca="false">LEN(E3625)-LEN(SUBSTITUTE(E3625,",",""))+1</f>
        <v>4</v>
      </c>
      <c r="K3625" s="3" t="str">
        <f aca="false">IFERROR(INDEX('Teacher Lookup'!$B$2:$B$200,MATCH(A3625,'Teacher Lookup'!$A$2:$A$200,0)),"")</f>
        <v>LI Emily</v>
      </c>
    </row>
    <row r="3626" customFormat="false" ht="15" hidden="false" customHeight="false" outlineLevel="0" collapsed="false">
      <c r="A3626" s="3" t="s">
        <v>400</v>
      </c>
      <c r="B3626" s="4" t="s">
        <v>44</v>
      </c>
      <c r="C3626" s="4" t="n">
        <v>1</v>
      </c>
      <c r="D3626" s="4" t="s">
        <v>23</v>
      </c>
      <c r="E3626" s="3" t="s">
        <v>33</v>
      </c>
      <c r="F3626" s="4" t="str">
        <f aca="false">IF(I3626&gt;J3626,"Y","N")</f>
        <v>N</v>
      </c>
      <c r="G3626" s="3" t="s">
        <v>15</v>
      </c>
      <c r="H3626" s="3" t="s">
        <v>16</v>
      </c>
      <c r="I3626" s="4" t="n">
        <v>4</v>
      </c>
      <c r="J3626" s="4" t="n">
        <f aca="false">LEN(E3626)-LEN(SUBSTITUTE(E3626,",",""))+1</f>
        <v>4</v>
      </c>
      <c r="K3626" s="3" t="str">
        <f aca="false">IFERROR(INDEX('Teacher Lookup'!$B$2:$B$200,MATCH(A3626,'Teacher Lookup'!$A$2:$A$200,0)),"")</f>
        <v>LI Emily</v>
      </c>
    </row>
    <row r="3627" customFormat="false" ht="15" hidden="false" customHeight="false" outlineLevel="0" collapsed="false">
      <c r="A3627" s="3" t="s">
        <v>400</v>
      </c>
      <c r="B3627" s="4" t="s">
        <v>44</v>
      </c>
      <c r="C3627" s="4" t="n">
        <v>2</v>
      </c>
      <c r="D3627" s="4" t="s">
        <v>24</v>
      </c>
      <c r="E3627" s="3" t="s">
        <v>45</v>
      </c>
      <c r="F3627" s="4" t="str">
        <f aca="false">IF(I3627&gt;J3627,"Y","N")</f>
        <v>N</v>
      </c>
      <c r="G3627" s="3" t="s">
        <v>15</v>
      </c>
      <c r="H3627" s="3" t="s">
        <v>21</v>
      </c>
      <c r="I3627" s="4" t="n">
        <v>6</v>
      </c>
      <c r="J3627" s="4" t="n">
        <f aca="false">LEN(E3627)-LEN(SUBSTITUTE(E3627,",",""))+1</f>
        <v>6</v>
      </c>
      <c r="K3627" s="3" t="str">
        <f aca="false">IFERROR(INDEX('Teacher Lookup'!$B$2:$B$200,MATCH(A3627,'Teacher Lookup'!$A$2:$A$200,0)),"")</f>
        <v>LI Emily</v>
      </c>
    </row>
    <row r="3628" customFormat="false" ht="15" hidden="false" customHeight="false" outlineLevel="0" collapsed="false">
      <c r="A3628" s="3" t="s">
        <v>400</v>
      </c>
      <c r="B3628" s="4" t="s">
        <v>44</v>
      </c>
      <c r="C3628" s="4" t="n">
        <v>2</v>
      </c>
      <c r="D3628" s="4" t="s">
        <v>27</v>
      </c>
      <c r="E3628" s="3" t="s">
        <v>45</v>
      </c>
      <c r="F3628" s="4" t="str">
        <f aca="false">IF(I3628&gt;J3628,"Y","N")</f>
        <v>N</v>
      </c>
      <c r="G3628" s="3" t="s">
        <v>15</v>
      </c>
      <c r="H3628" s="3" t="s">
        <v>21</v>
      </c>
      <c r="I3628" s="4" t="n">
        <v>6</v>
      </c>
      <c r="J3628" s="4" t="n">
        <f aca="false">LEN(E3628)-LEN(SUBSTITUTE(E3628,",",""))+1</f>
        <v>6</v>
      </c>
      <c r="K3628" s="3" t="str">
        <f aca="false">IFERROR(INDEX('Teacher Lookup'!$B$2:$B$200,MATCH(A3628,'Teacher Lookup'!$A$2:$A$200,0)),"")</f>
        <v>LI Emily</v>
      </c>
    </row>
    <row r="3629" customFormat="false" ht="15" hidden="false" customHeight="false" outlineLevel="0" collapsed="false">
      <c r="A3629" s="3" t="s">
        <v>400</v>
      </c>
      <c r="B3629" s="4" t="s">
        <v>44</v>
      </c>
      <c r="C3629" s="4" t="n">
        <v>2</v>
      </c>
      <c r="D3629" s="4" t="s">
        <v>28</v>
      </c>
      <c r="E3629" s="3" t="s">
        <v>45</v>
      </c>
      <c r="F3629" s="4" t="str">
        <f aca="false">IF(I3629&gt;J3629,"Y","N")</f>
        <v>N</v>
      </c>
      <c r="G3629" s="3" t="s">
        <v>15</v>
      </c>
      <c r="H3629" s="3" t="s">
        <v>21</v>
      </c>
      <c r="I3629" s="4" t="n">
        <v>6</v>
      </c>
      <c r="J3629" s="4" t="n">
        <f aca="false">LEN(E3629)-LEN(SUBSTITUTE(E3629,",",""))+1</f>
        <v>6</v>
      </c>
      <c r="K3629" s="3" t="str">
        <f aca="false">IFERROR(INDEX('Teacher Lookup'!$B$2:$B$200,MATCH(A3629,'Teacher Lookup'!$A$2:$A$200,0)),"")</f>
        <v>LI Emily</v>
      </c>
    </row>
    <row r="3630" customFormat="false" ht="15" hidden="false" customHeight="false" outlineLevel="0" collapsed="false">
      <c r="A3630" s="3" t="s">
        <v>400</v>
      </c>
      <c r="B3630" s="4" t="s">
        <v>44</v>
      </c>
      <c r="C3630" s="4" t="n">
        <v>2</v>
      </c>
      <c r="D3630" s="4" t="s">
        <v>29</v>
      </c>
      <c r="E3630" s="3" t="s">
        <v>45</v>
      </c>
      <c r="F3630" s="4" t="str">
        <f aca="false">IF(I3630&gt;J3630,"Y","N")</f>
        <v>N</v>
      </c>
      <c r="G3630" s="3" t="s">
        <v>15</v>
      </c>
      <c r="H3630" s="3" t="s">
        <v>21</v>
      </c>
      <c r="I3630" s="4" t="n">
        <v>6</v>
      </c>
      <c r="J3630" s="4" t="n">
        <f aca="false">LEN(E3630)-LEN(SUBSTITUTE(E3630,",",""))+1</f>
        <v>6</v>
      </c>
      <c r="K3630" s="3" t="str">
        <f aca="false">IFERROR(INDEX('Teacher Lookup'!$B$2:$B$200,MATCH(A3630,'Teacher Lookup'!$A$2:$A$200,0)),"")</f>
        <v>LI Emily</v>
      </c>
    </row>
    <row r="3631" customFormat="false" ht="15" hidden="false" customHeight="false" outlineLevel="0" collapsed="false">
      <c r="A3631" s="3" t="s">
        <v>400</v>
      </c>
      <c r="B3631" s="4" t="s">
        <v>44</v>
      </c>
      <c r="C3631" s="4" t="n">
        <v>2</v>
      </c>
      <c r="D3631" s="4" t="s">
        <v>30</v>
      </c>
      <c r="E3631" s="3" t="s">
        <v>45</v>
      </c>
      <c r="F3631" s="4" t="str">
        <f aca="false">IF(I3631&gt;J3631,"Y","N")</f>
        <v>N</v>
      </c>
      <c r="G3631" s="3" t="s">
        <v>15</v>
      </c>
      <c r="H3631" s="3" t="s">
        <v>21</v>
      </c>
      <c r="I3631" s="4" t="n">
        <v>6</v>
      </c>
      <c r="J3631" s="4" t="n">
        <f aca="false">LEN(E3631)-LEN(SUBSTITUTE(E3631,",",""))+1</f>
        <v>6</v>
      </c>
      <c r="K3631" s="3" t="str">
        <f aca="false">IFERROR(INDEX('Teacher Lookup'!$B$2:$B$200,MATCH(A3631,'Teacher Lookup'!$A$2:$A$200,0)),"")</f>
        <v>LI Emily</v>
      </c>
    </row>
    <row r="3632" customFormat="false" ht="15" hidden="false" customHeight="false" outlineLevel="0" collapsed="false">
      <c r="A3632" s="3" t="s">
        <v>400</v>
      </c>
      <c r="B3632" s="4" t="s">
        <v>44</v>
      </c>
      <c r="C3632" s="4" t="n">
        <v>5</v>
      </c>
      <c r="D3632" s="4" t="s">
        <v>24</v>
      </c>
      <c r="E3632" s="3" t="s">
        <v>131</v>
      </c>
      <c r="F3632" s="4" t="str">
        <f aca="false">IF(I3632&gt;J3632,"Y","N")</f>
        <v>Y</v>
      </c>
      <c r="G3632" s="3" t="s">
        <v>36</v>
      </c>
      <c r="H3632" s="3" t="s">
        <v>37</v>
      </c>
      <c r="I3632" s="4" t="n">
        <v>15</v>
      </c>
      <c r="J3632" s="4" t="n">
        <f aca="false">LEN(E3632)-LEN(SUBSTITUTE(E3632,",",""))+1</f>
        <v>7</v>
      </c>
      <c r="K3632" s="3" t="str">
        <f aca="false">IFERROR(INDEX('Teacher Lookup'!$B$2:$B$200,MATCH(A3632,'Teacher Lookup'!$A$2:$A$200,0)),"")</f>
        <v>LI Emily</v>
      </c>
    </row>
    <row r="3633" customFormat="false" ht="15" hidden="false" customHeight="false" outlineLevel="0" collapsed="false">
      <c r="A3633" s="3" t="s">
        <v>400</v>
      </c>
      <c r="B3633" s="4" t="s">
        <v>44</v>
      </c>
      <c r="C3633" s="4" t="n">
        <v>5</v>
      </c>
      <c r="D3633" s="4" t="s">
        <v>132</v>
      </c>
      <c r="E3633" s="3" t="s">
        <v>131</v>
      </c>
      <c r="F3633" s="4" t="str">
        <f aca="false">IF(I3633&gt;J3633,"Y","N")</f>
        <v>Y</v>
      </c>
      <c r="G3633" s="3" t="s">
        <v>36</v>
      </c>
      <c r="H3633" s="3" t="s">
        <v>37</v>
      </c>
      <c r="I3633" s="4" t="n">
        <v>15</v>
      </c>
      <c r="J3633" s="4" t="n">
        <f aca="false">LEN(E3633)-LEN(SUBSTITUTE(E3633,",",""))+1</f>
        <v>7</v>
      </c>
      <c r="K3633" s="3" t="str">
        <f aca="false">IFERROR(INDEX('Teacher Lookup'!$B$2:$B$200,MATCH(A3633,'Teacher Lookup'!$A$2:$A$200,0)),"")</f>
        <v>LI Emily</v>
      </c>
    </row>
    <row r="3634" customFormat="false" ht="15" hidden="false" customHeight="false" outlineLevel="0" collapsed="false">
      <c r="A3634" s="3" t="s">
        <v>400</v>
      </c>
      <c r="B3634" s="4" t="s">
        <v>44</v>
      </c>
      <c r="C3634" s="4" t="n">
        <v>5</v>
      </c>
      <c r="D3634" s="4" t="s">
        <v>27</v>
      </c>
      <c r="E3634" s="3" t="s">
        <v>131</v>
      </c>
      <c r="F3634" s="4" t="str">
        <f aca="false">IF(I3634&gt;J3634,"Y","N")</f>
        <v>Y</v>
      </c>
      <c r="G3634" s="3" t="s">
        <v>36</v>
      </c>
      <c r="H3634" s="3" t="s">
        <v>37</v>
      </c>
      <c r="I3634" s="4" t="n">
        <v>15</v>
      </c>
      <c r="J3634" s="4" t="n">
        <f aca="false">LEN(E3634)-LEN(SUBSTITUTE(E3634,",",""))+1</f>
        <v>7</v>
      </c>
      <c r="K3634" s="3" t="str">
        <f aca="false">IFERROR(INDEX('Teacher Lookup'!$B$2:$B$200,MATCH(A3634,'Teacher Lookup'!$A$2:$A$200,0)),"")</f>
        <v>LI Emily</v>
      </c>
    </row>
    <row r="3635" customFormat="false" ht="15" hidden="false" customHeight="false" outlineLevel="0" collapsed="false">
      <c r="A3635" s="3" t="s">
        <v>400</v>
      </c>
      <c r="B3635" s="4" t="s">
        <v>44</v>
      </c>
      <c r="C3635" s="4" t="n">
        <v>5</v>
      </c>
      <c r="D3635" s="4" t="s">
        <v>28</v>
      </c>
      <c r="E3635" s="3" t="s">
        <v>131</v>
      </c>
      <c r="F3635" s="4" t="str">
        <f aca="false">IF(I3635&gt;J3635,"Y","N")</f>
        <v>Y</v>
      </c>
      <c r="G3635" s="3" t="s">
        <v>36</v>
      </c>
      <c r="H3635" s="3" t="s">
        <v>37</v>
      </c>
      <c r="I3635" s="4" t="n">
        <v>15</v>
      </c>
      <c r="J3635" s="4" t="n">
        <f aca="false">LEN(E3635)-LEN(SUBSTITUTE(E3635,",",""))+1</f>
        <v>7</v>
      </c>
      <c r="K3635" s="3" t="str">
        <f aca="false">IFERROR(INDEX('Teacher Lookup'!$B$2:$B$200,MATCH(A3635,'Teacher Lookup'!$A$2:$A$200,0)),"")</f>
        <v>LI Emily</v>
      </c>
    </row>
    <row r="3636" customFormat="false" ht="15" hidden="false" customHeight="false" outlineLevel="0" collapsed="false">
      <c r="A3636" s="3" t="s">
        <v>400</v>
      </c>
      <c r="B3636" s="4" t="s">
        <v>44</v>
      </c>
      <c r="C3636" s="4" t="n">
        <v>5</v>
      </c>
      <c r="D3636" s="4" t="s">
        <v>29</v>
      </c>
      <c r="E3636" s="3" t="s">
        <v>131</v>
      </c>
      <c r="F3636" s="4" t="str">
        <f aca="false">IF(I3636&gt;J3636,"Y","N")</f>
        <v>Y</v>
      </c>
      <c r="G3636" s="3" t="s">
        <v>36</v>
      </c>
      <c r="H3636" s="3" t="s">
        <v>37</v>
      </c>
      <c r="I3636" s="4" t="n">
        <v>15</v>
      </c>
      <c r="J3636" s="4" t="n">
        <f aca="false">LEN(E3636)-LEN(SUBSTITUTE(E3636,",",""))+1</f>
        <v>7</v>
      </c>
      <c r="K3636" s="3" t="str">
        <f aca="false">IFERROR(INDEX('Teacher Lookup'!$B$2:$B$200,MATCH(A3636,'Teacher Lookup'!$A$2:$A$200,0)),"")</f>
        <v>LI Emily</v>
      </c>
    </row>
    <row r="3637" customFormat="false" ht="15" hidden="false" customHeight="false" outlineLevel="0" collapsed="false">
      <c r="A3637" s="3" t="s">
        <v>400</v>
      </c>
      <c r="B3637" s="4" t="s">
        <v>44</v>
      </c>
      <c r="C3637" s="4" t="n">
        <v>5</v>
      </c>
      <c r="D3637" s="4" t="s">
        <v>30</v>
      </c>
      <c r="E3637" s="3" t="s">
        <v>131</v>
      </c>
      <c r="F3637" s="4" t="str">
        <f aca="false">IF(I3637&gt;J3637,"Y","N")</f>
        <v>Y</v>
      </c>
      <c r="G3637" s="3" t="s">
        <v>36</v>
      </c>
      <c r="H3637" s="3" t="s">
        <v>37</v>
      </c>
      <c r="I3637" s="4" t="n">
        <v>15</v>
      </c>
      <c r="J3637" s="4" t="n">
        <f aca="false">LEN(E3637)-LEN(SUBSTITUTE(E3637,",",""))+1</f>
        <v>7</v>
      </c>
      <c r="K3637" s="3" t="str">
        <f aca="false">IFERROR(INDEX('Teacher Lookup'!$B$2:$B$200,MATCH(A3637,'Teacher Lookup'!$A$2:$A$200,0)),"")</f>
        <v>LI Emily</v>
      </c>
    </row>
    <row r="3638" customFormat="false" ht="15" hidden="false" customHeight="false" outlineLevel="0" collapsed="false">
      <c r="A3638" s="3" t="s">
        <v>400</v>
      </c>
      <c r="B3638" s="4" t="s">
        <v>44</v>
      </c>
      <c r="C3638" s="4" t="n">
        <v>7</v>
      </c>
      <c r="D3638" s="4" t="s">
        <v>13</v>
      </c>
      <c r="E3638" s="3" t="s">
        <v>46</v>
      </c>
      <c r="F3638" s="4" t="str">
        <f aca="false">IF(I3638&gt;J3638,"Y","N")</f>
        <v>N</v>
      </c>
      <c r="G3638" s="3" t="s">
        <v>15</v>
      </c>
      <c r="H3638" s="3" t="s">
        <v>39</v>
      </c>
      <c r="I3638" s="4" t="n">
        <v>4</v>
      </c>
      <c r="J3638" s="4" t="n">
        <f aca="false">LEN(E3638)-LEN(SUBSTITUTE(E3638,",",""))+1</f>
        <v>4</v>
      </c>
      <c r="K3638" s="3" t="str">
        <f aca="false">IFERROR(INDEX('Teacher Lookup'!$B$2:$B$200,MATCH(A3638,'Teacher Lookup'!$A$2:$A$200,0)),"")</f>
        <v>LI Emily</v>
      </c>
    </row>
    <row r="3639" customFormat="false" ht="15" hidden="false" customHeight="false" outlineLevel="0" collapsed="false">
      <c r="A3639" s="3" t="s">
        <v>400</v>
      </c>
      <c r="B3639" s="4" t="s">
        <v>44</v>
      </c>
      <c r="C3639" s="4" t="n">
        <v>7</v>
      </c>
      <c r="D3639" s="4" t="s">
        <v>17</v>
      </c>
      <c r="E3639" s="3" t="s">
        <v>46</v>
      </c>
      <c r="F3639" s="4" t="str">
        <f aca="false">IF(I3639&gt;J3639,"Y","N")</f>
        <v>N</v>
      </c>
      <c r="G3639" s="3" t="s">
        <v>15</v>
      </c>
      <c r="H3639" s="3" t="s">
        <v>39</v>
      </c>
      <c r="I3639" s="4" t="n">
        <v>4</v>
      </c>
      <c r="J3639" s="4" t="n">
        <f aca="false">LEN(E3639)-LEN(SUBSTITUTE(E3639,",",""))+1</f>
        <v>4</v>
      </c>
      <c r="K3639" s="3" t="str">
        <f aca="false">IFERROR(INDEX('Teacher Lookup'!$B$2:$B$200,MATCH(A3639,'Teacher Lookup'!$A$2:$A$200,0)),"")</f>
        <v>LI Emily</v>
      </c>
    </row>
    <row r="3640" customFormat="false" ht="15" hidden="false" customHeight="false" outlineLevel="0" collapsed="false">
      <c r="A3640" s="3" t="s">
        <v>400</v>
      </c>
      <c r="B3640" s="4" t="s">
        <v>44</v>
      </c>
      <c r="C3640" s="4" t="n">
        <v>7</v>
      </c>
      <c r="D3640" s="4" t="s">
        <v>18</v>
      </c>
      <c r="E3640" s="3" t="s">
        <v>46</v>
      </c>
      <c r="F3640" s="4" t="str">
        <f aca="false">IF(I3640&gt;J3640,"Y","N")</f>
        <v>N</v>
      </c>
      <c r="G3640" s="3" t="s">
        <v>15</v>
      </c>
      <c r="H3640" s="3" t="s">
        <v>39</v>
      </c>
      <c r="I3640" s="4" t="n">
        <v>4</v>
      </c>
      <c r="J3640" s="4" t="n">
        <f aca="false">LEN(E3640)-LEN(SUBSTITUTE(E3640,",",""))+1</f>
        <v>4</v>
      </c>
      <c r="K3640" s="3" t="str">
        <f aca="false">IFERROR(INDEX('Teacher Lookup'!$B$2:$B$200,MATCH(A3640,'Teacher Lookup'!$A$2:$A$200,0)),"")</f>
        <v>LI Emily</v>
      </c>
    </row>
    <row r="3641" customFormat="false" ht="15" hidden="false" customHeight="false" outlineLevel="0" collapsed="false">
      <c r="A3641" s="3" t="s">
        <v>400</v>
      </c>
      <c r="B3641" s="4" t="s">
        <v>47</v>
      </c>
      <c r="C3641" s="4" t="n">
        <v>3</v>
      </c>
      <c r="D3641" s="4" t="s">
        <v>19</v>
      </c>
      <c r="E3641" s="3" t="s">
        <v>48</v>
      </c>
      <c r="F3641" s="4" t="str">
        <f aca="false">IF(I3641&gt;J3641,"Y","N")</f>
        <v>N</v>
      </c>
      <c r="G3641" s="3" t="s">
        <v>15</v>
      </c>
      <c r="H3641" s="3" t="s">
        <v>26</v>
      </c>
      <c r="I3641" s="4" t="n">
        <v>4</v>
      </c>
      <c r="J3641" s="4" t="n">
        <f aca="false">LEN(E3641)-LEN(SUBSTITUTE(E3641,",",""))+1</f>
        <v>4</v>
      </c>
      <c r="K3641" s="3" t="str">
        <f aca="false">IFERROR(INDEX('Teacher Lookup'!$B$2:$B$200,MATCH(A3641,'Teacher Lookup'!$A$2:$A$200,0)),"")</f>
        <v>LI Emily</v>
      </c>
    </row>
    <row r="3642" customFormat="false" ht="15" hidden="false" customHeight="false" outlineLevel="0" collapsed="false">
      <c r="A3642" s="3" t="s">
        <v>400</v>
      </c>
      <c r="B3642" s="4" t="s">
        <v>47</v>
      </c>
      <c r="C3642" s="4" t="n">
        <v>3</v>
      </c>
      <c r="D3642" s="4" t="s">
        <v>22</v>
      </c>
      <c r="E3642" s="3" t="s">
        <v>48</v>
      </c>
      <c r="F3642" s="4" t="str">
        <f aca="false">IF(I3642&gt;J3642,"Y","N")</f>
        <v>N</v>
      </c>
      <c r="G3642" s="3" t="s">
        <v>15</v>
      </c>
      <c r="H3642" s="3" t="s">
        <v>26</v>
      </c>
      <c r="I3642" s="4" t="n">
        <v>4</v>
      </c>
      <c r="J3642" s="4" t="n">
        <f aca="false">LEN(E3642)-LEN(SUBSTITUTE(E3642,",",""))+1</f>
        <v>4</v>
      </c>
      <c r="K3642" s="3" t="str">
        <f aca="false">IFERROR(INDEX('Teacher Lookup'!$B$2:$B$200,MATCH(A3642,'Teacher Lookup'!$A$2:$A$200,0)),"")</f>
        <v>LI Emily</v>
      </c>
    </row>
    <row r="3643" customFormat="false" ht="15" hidden="false" customHeight="false" outlineLevel="0" collapsed="false">
      <c r="A3643" s="3" t="s">
        <v>400</v>
      </c>
      <c r="B3643" s="4" t="s">
        <v>47</v>
      </c>
      <c r="C3643" s="4" t="n">
        <v>3</v>
      </c>
      <c r="D3643" s="4" t="s">
        <v>23</v>
      </c>
      <c r="E3643" s="3" t="s">
        <v>48</v>
      </c>
      <c r="F3643" s="4" t="str">
        <f aca="false">IF(I3643&gt;J3643,"Y","N")</f>
        <v>N</v>
      </c>
      <c r="G3643" s="3" t="s">
        <v>15</v>
      </c>
      <c r="H3643" s="3" t="s">
        <v>26</v>
      </c>
      <c r="I3643" s="4" t="n">
        <v>4</v>
      </c>
      <c r="J3643" s="4" t="n">
        <f aca="false">LEN(E3643)-LEN(SUBSTITUTE(E3643,",",""))+1</f>
        <v>4</v>
      </c>
      <c r="K3643" s="3" t="str">
        <f aca="false">IFERROR(INDEX('Teacher Lookup'!$B$2:$B$200,MATCH(A3643,'Teacher Lookup'!$A$2:$A$200,0)),"")</f>
        <v>LI Emily</v>
      </c>
    </row>
    <row r="3644" customFormat="false" ht="15" hidden="false" customHeight="false" outlineLevel="0" collapsed="false">
      <c r="A3644" s="3" t="s">
        <v>400</v>
      </c>
      <c r="B3644" s="4" t="s">
        <v>47</v>
      </c>
      <c r="C3644" s="4" t="n">
        <v>5</v>
      </c>
      <c r="D3644" s="4" t="s">
        <v>24</v>
      </c>
      <c r="E3644" s="3" t="s">
        <v>49</v>
      </c>
      <c r="F3644" s="4" t="str">
        <f aca="false">IF(I3644&gt;J3644,"Y","N")</f>
        <v>N</v>
      </c>
      <c r="G3644" s="3" t="s">
        <v>15</v>
      </c>
      <c r="H3644" s="3" t="s">
        <v>37</v>
      </c>
      <c r="I3644" s="4" t="n">
        <v>6</v>
      </c>
      <c r="J3644" s="4" t="n">
        <f aca="false">LEN(E3644)-LEN(SUBSTITUTE(E3644,",",""))+1</f>
        <v>6</v>
      </c>
      <c r="K3644" s="3" t="str">
        <f aca="false">IFERROR(INDEX('Teacher Lookup'!$B$2:$B$200,MATCH(A3644,'Teacher Lookup'!$A$2:$A$200,0)),"")</f>
        <v>LI Emily</v>
      </c>
    </row>
    <row r="3645" customFormat="false" ht="15" hidden="false" customHeight="false" outlineLevel="0" collapsed="false">
      <c r="A3645" s="3" t="s">
        <v>400</v>
      </c>
      <c r="B3645" s="4" t="s">
        <v>47</v>
      </c>
      <c r="C3645" s="4" t="n">
        <v>5</v>
      </c>
      <c r="D3645" s="4" t="s">
        <v>27</v>
      </c>
      <c r="E3645" s="3" t="s">
        <v>49</v>
      </c>
      <c r="F3645" s="4" t="str">
        <f aca="false">IF(I3645&gt;J3645,"Y","N")</f>
        <v>N</v>
      </c>
      <c r="G3645" s="3" t="s">
        <v>15</v>
      </c>
      <c r="H3645" s="3" t="s">
        <v>37</v>
      </c>
      <c r="I3645" s="4" t="n">
        <v>6</v>
      </c>
      <c r="J3645" s="4" t="n">
        <f aca="false">LEN(E3645)-LEN(SUBSTITUTE(E3645,",",""))+1</f>
        <v>6</v>
      </c>
      <c r="K3645" s="3" t="str">
        <f aca="false">IFERROR(INDEX('Teacher Lookup'!$B$2:$B$200,MATCH(A3645,'Teacher Lookup'!$A$2:$A$200,0)),"")</f>
        <v>LI Emily</v>
      </c>
    </row>
    <row r="3646" customFormat="false" ht="15" hidden="false" customHeight="false" outlineLevel="0" collapsed="false">
      <c r="A3646" s="3" t="s">
        <v>400</v>
      </c>
      <c r="B3646" s="4" t="s">
        <v>47</v>
      </c>
      <c r="C3646" s="4" t="n">
        <v>5</v>
      </c>
      <c r="D3646" s="4" t="s">
        <v>28</v>
      </c>
      <c r="E3646" s="3" t="s">
        <v>49</v>
      </c>
      <c r="F3646" s="4" t="str">
        <f aca="false">IF(I3646&gt;J3646,"Y","N")</f>
        <v>N</v>
      </c>
      <c r="G3646" s="3" t="s">
        <v>15</v>
      </c>
      <c r="H3646" s="3" t="s">
        <v>37</v>
      </c>
      <c r="I3646" s="4" t="n">
        <v>6</v>
      </c>
      <c r="J3646" s="4" t="n">
        <f aca="false">LEN(E3646)-LEN(SUBSTITUTE(E3646,",",""))+1</f>
        <v>6</v>
      </c>
      <c r="K3646" s="3" t="str">
        <f aca="false">IFERROR(INDEX('Teacher Lookup'!$B$2:$B$200,MATCH(A3646,'Teacher Lookup'!$A$2:$A$200,0)),"")</f>
        <v>LI Emily</v>
      </c>
    </row>
    <row r="3647" customFormat="false" ht="15" hidden="false" customHeight="false" outlineLevel="0" collapsed="false">
      <c r="A3647" s="3" t="s">
        <v>400</v>
      </c>
      <c r="B3647" s="4" t="s">
        <v>47</v>
      </c>
      <c r="C3647" s="4" t="n">
        <v>5</v>
      </c>
      <c r="D3647" s="4" t="s">
        <v>29</v>
      </c>
      <c r="E3647" s="3" t="s">
        <v>49</v>
      </c>
      <c r="F3647" s="4" t="str">
        <f aca="false">IF(I3647&gt;J3647,"Y","N")</f>
        <v>N</v>
      </c>
      <c r="G3647" s="3" t="s">
        <v>15</v>
      </c>
      <c r="H3647" s="3" t="s">
        <v>37</v>
      </c>
      <c r="I3647" s="4" t="n">
        <v>6</v>
      </c>
      <c r="J3647" s="4" t="n">
        <f aca="false">LEN(E3647)-LEN(SUBSTITUTE(E3647,",",""))+1</f>
        <v>6</v>
      </c>
      <c r="K3647" s="3" t="str">
        <f aca="false">IFERROR(INDEX('Teacher Lookup'!$B$2:$B$200,MATCH(A3647,'Teacher Lookup'!$A$2:$A$200,0)),"")</f>
        <v>LI Emily</v>
      </c>
    </row>
    <row r="3648" customFormat="false" ht="15" hidden="false" customHeight="false" outlineLevel="0" collapsed="false">
      <c r="A3648" s="3" t="s">
        <v>400</v>
      </c>
      <c r="B3648" s="4" t="s">
        <v>47</v>
      </c>
      <c r="C3648" s="4" t="n">
        <v>5</v>
      </c>
      <c r="D3648" s="4" t="s">
        <v>30</v>
      </c>
      <c r="E3648" s="3" t="s">
        <v>49</v>
      </c>
      <c r="F3648" s="4" t="str">
        <f aca="false">IF(I3648&gt;J3648,"Y","N")</f>
        <v>N</v>
      </c>
      <c r="G3648" s="3" t="s">
        <v>15</v>
      </c>
      <c r="H3648" s="3" t="s">
        <v>37</v>
      </c>
      <c r="I3648" s="4" t="n">
        <v>6</v>
      </c>
      <c r="J3648" s="4" t="n">
        <f aca="false">LEN(E3648)-LEN(SUBSTITUTE(E3648,",",""))+1</f>
        <v>6</v>
      </c>
      <c r="K3648" s="3" t="str">
        <f aca="false">IFERROR(INDEX('Teacher Lookup'!$B$2:$B$200,MATCH(A3648,'Teacher Lookup'!$A$2:$A$200,0)),"")</f>
        <v>LI Emily</v>
      </c>
    </row>
    <row r="3649" customFormat="false" ht="15" hidden="false" customHeight="false" outlineLevel="0" collapsed="false">
      <c r="A3649" s="3" t="s">
        <v>400</v>
      </c>
      <c r="B3649" s="4" t="s">
        <v>47</v>
      </c>
      <c r="C3649" s="4" t="n">
        <v>6</v>
      </c>
      <c r="D3649" s="4" t="s">
        <v>13</v>
      </c>
      <c r="E3649" s="3" t="s">
        <v>14</v>
      </c>
      <c r="F3649" s="4" t="str">
        <f aca="false">IF(I3649&gt;J3649,"Y","N")</f>
        <v>N</v>
      </c>
      <c r="G3649" s="3" t="s">
        <v>15</v>
      </c>
      <c r="H3649" s="3" t="s">
        <v>42</v>
      </c>
      <c r="I3649" s="4" t="n">
        <v>4</v>
      </c>
      <c r="J3649" s="4" t="n">
        <f aca="false">LEN(E3649)-LEN(SUBSTITUTE(E3649,",",""))+1</f>
        <v>4</v>
      </c>
      <c r="K3649" s="3" t="str">
        <f aca="false">IFERROR(INDEX('Teacher Lookup'!$B$2:$B$200,MATCH(A3649,'Teacher Lookup'!$A$2:$A$200,0)),"")</f>
        <v>LI Emily</v>
      </c>
    </row>
    <row r="3650" customFormat="false" ht="15" hidden="false" customHeight="false" outlineLevel="0" collapsed="false">
      <c r="A3650" s="3" t="s">
        <v>400</v>
      </c>
      <c r="B3650" s="4" t="s">
        <v>47</v>
      </c>
      <c r="C3650" s="4" t="n">
        <v>6</v>
      </c>
      <c r="D3650" s="4" t="s">
        <v>17</v>
      </c>
      <c r="E3650" s="3" t="s">
        <v>14</v>
      </c>
      <c r="F3650" s="4" t="str">
        <f aca="false">IF(I3650&gt;J3650,"Y","N")</f>
        <v>N</v>
      </c>
      <c r="G3650" s="3" t="s">
        <v>15</v>
      </c>
      <c r="H3650" s="3" t="s">
        <v>42</v>
      </c>
      <c r="I3650" s="4" t="n">
        <v>4</v>
      </c>
      <c r="J3650" s="4" t="n">
        <f aca="false">LEN(E3650)-LEN(SUBSTITUTE(E3650,",",""))+1</f>
        <v>4</v>
      </c>
      <c r="K3650" s="3" t="str">
        <f aca="false">IFERROR(INDEX('Teacher Lookup'!$B$2:$B$200,MATCH(A3650,'Teacher Lookup'!$A$2:$A$200,0)),"")</f>
        <v>LI Emily</v>
      </c>
    </row>
    <row r="3651" customFormat="false" ht="15" hidden="false" customHeight="false" outlineLevel="0" collapsed="false">
      <c r="A3651" s="3" t="s">
        <v>400</v>
      </c>
      <c r="B3651" s="4" t="s">
        <v>47</v>
      </c>
      <c r="C3651" s="4" t="n">
        <v>6</v>
      </c>
      <c r="D3651" s="4" t="s">
        <v>18</v>
      </c>
      <c r="E3651" s="3" t="s">
        <v>14</v>
      </c>
      <c r="F3651" s="4" t="str">
        <f aca="false">IF(I3651&gt;J3651,"Y","N")</f>
        <v>N</v>
      </c>
      <c r="G3651" s="3" t="s">
        <v>15</v>
      </c>
      <c r="H3651" s="3" t="s">
        <v>42</v>
      </c>
      <c r="I3651" s="4" t="n">
        <v>4</v>
      </c>
      <c r="J3651" s="4" t="n">
        <f aca="false">LEN(E3651)-LEN(SUBSTITUTE(E3651,",",""))+1</f>
        <v>4</v>
      </c>
      <c r="K3651" s="3" t="str">
        <f aca="false">IFERROR(INDEX('Teacher Lookup'!$B$2:$B$200,MATCH(A3651,'Teacher Lookup'!$A$2:$A$200,0)),"")</f>
        <v>LI Emily</v>
      </c>
    </row>
    <row r="3652" customFormat="false" ht="15" hidden="false" customHeight="false" outlineLevel="0" collapsed="false">
      <c r="A3652" s="3" t="s">
        <v>400</v>
      </c>
      <c r="B3652" s="4" t="s">
        <v>50</v>
      </c>
      <c r="C3652" s="4" t="n">
        <v>2</v>
      </c>
      <c r="D3652" s="4" t="s">
        <v>19</v>
      </c>
      <c r="E3652" s="3" t="s">
        <v>51</v>
      </c>
      <c r="F3652" s="4" t="str">
        <f aca="false">IF(I3652&gt;J3652,"Y","N")</f>
        <v>N</v>
      </c>
      <c r="G3652" s="3" t="s">
        <v>15</v>
      </c>
      <c r="H3652" s="3" t="s">
        <v>21</v>
      </c>
      <c r="I3652" s="4" t="n">
        <v>4</v>
      </c>
      <c r="J3652" s="4" t="n">
        <f aca="false">LEN(E3652)-LEN(SUBSTITUTE(E3652,",",""))+1</f>
        <v>4</v>
      </c>
      <c r="K3652" s="3" t="str">
        <f aca="false">IFERROR(INDEX('Teacher Lookup'!$B$2:$B$200,MATCH(A3652,'Teacher Lookup'!$A$2:$A$200,0)),"")</f>
        <v>LI Emily</v>
      </c>
    </row>
    <row r="3653" customFormat="false" ht="15" hidden="false" customHeight="false" outlineLevel="0" collapsed="false">
      <c r="A3653" s="3" t="s">
        <v>400</v>
      </c>
      <c r="B3653" s="4" t="s">
        <v>50</v>
      </c>
      <c r="C3653" s="4" t="n">
        <v>2</v>
      </c>
      <c r="D3653" s="4" t="s">
        <v>22</v>
      </c>
      <c r="E3653" s="3" t="s">
        <v>51</v>
      </c>
      <c r="F3653" s="4" t="str">
        <f aca="false">IF(I3653&gt;J3653,"Y","N")</f>
        <v>N</v>
      </c>
      <c r="G3653" s="3" t="s">
        <v>15</v>
      </c>
      <c r="H3653" s="3" t="s">
        <v>21</v>
      </c>
      <c r="I3653" s="4" t="n">
        <v>4</v>
      </c>
      <c r="J3653" s="4" t="n">
        <f aca="false">LEN(E3653)-LEN(SUBSTITUTE(E3653,",",""))+1</f>
        <v>4</v>
      </c>
      <c r="K3653" s="3" t="str">
        <f aca="false">IFERROR(INDEX('Teacher Lookup'!$B$2:$B$200,MATCH(A3653,'Teacher Lookup'!$A$2:$A$200,0)),"")</f>
        <v>LI Emily</v>
      </c>
    </row>
    <row r="3654" customFormat="false" ht="15" hidden="false" customHeight="false" outlineLevel="0" collapsed="false">
      <c r="A3654" s="3" t="s">
        <v>400</v>
      </c>
      <c r="B3654" s="4" t="s">
        <v>50</v>
      </c>
      <c r="C3654" s="4" t="n">
        <v>2</v>
      </c>
      <c r="D3654" s="4" t="s">
        <v>23</v>
      </c>
      <c r="E3654" s="3" t="s">
        <v>51</v>
      </c>
      <c r="F3654" s="4" t="str">
        <f aca="false">IF(I3654&gt;J3654,"Y","N")</f>
        <v>N</v>
      </c>
      <c r="G3654" s="3" t="s">
        <v>15</v>
      </c>
      <c r="H3654" s="3" t="s">
        <v>21</v>
      </c>
      <c r="I3654" s="4" t="n">
        <v>4</v>
      </c>
      <c r="J3654" s="4" t="n">
        <f aca="false">LEN(E3654)-LEN(SUBSTITUTE(E3654,",",""))+1</f>
        <v>4</v>
      </c>
      <c r="K3654" s="3" t="str">
        <f aca="false">IFERROR(INDEX('Teacher Lookup'!$B$2:$B$200,MATCH(A3654,'Teacher Lookup'!$A$2:$A$200,0)),"")</f>
        <v>LI Emily</v>
      </c>
    </row>
    <row r="3655" customFormat="false" ht="15" hidden="false" customHeight="false" outlineLevel="0" collapsed="false">
      <c r="A3655" s="3" t="s">
        <v>400</v>
      </c>
      <c r="B3655" s="4" t="s">
        <v>50</v>
      </c>
      <c r="C3655" s="4" t="n">
        <v>3</v>
      </c>
      <c r="D3655" s="4" t="s">
        <v>24</v>
      </c>
      <c r="E3655" s="3" t="s">
        <v>41</v>
      </c>
      <c r="F3655" s="4" t="str">
        <f aca="false">IF(I3655&gt;J3655,"Y","N")</f>
        <v>N</v>
      </c>
      <c r="G3655" s="3" t="s">
        <v>15</v>
      </c>
      <c r="H3655" s="3" t="s">
        <v>26</v>
      </c>
      <c r="I3655" s="4" t="n">
        <v>6</v>
      </c>
      <c r="J3655" s="4" t="n">
        <f aca="false">LEN(E3655)-LEN(SUBSTITUTE(E3655,",",""))+1</f>
        <v>6</v>
      </c>
      <c r="K3655" s="3" t="str">
        <f aca="false">IFERROR(INDEX('Teacher Lookup'!$B$2:$B$200,MATCH(A3655,'Teacher Lookup'!$A$2:$A$200,0)),"")</f>
        <v>LI Emily</v>
      </c>
    </row>
    <row r="3656" customFormat="false" ht="15" hidden="false" customHeight="false" outlineLevel="0" collapsed="false">
      <c r="A3656" s="3" t="s">
        <v>400</v>
      </c>
      <c r="B3656" s="4" t="s">
        <v>50</v>
      </c>
      <c r="C3656" s="4" t="n">
        <v>3</v>
      </c>
      <c r="D3656" s="4" t="s">
        <v>27</v>
      </c>
      <c r="E3656" s="3" t="s">
        <v>41</v>
      </c>
      <c r="F3656" s="4" t="str">
        <f aca="false">IF(I3656&gt;J3656,"Y","N")</f>
        <v>N</v>
      </c>
      <c r="G3656" s="3" t="s">
        <v>15</v>
      </c>
      <c r="H3656" s="3" t="s">
        <v>26</v>
      </c>
      <c r="I3656" s="4" t="n">
        <v>6</v>
      </c>
      <c r="J3656" s="4" t="n">
        <f aca="false">LEN(E3656)-LEN(SUBSTITUTE(E3656,",",""))+1</f>
        <v>6</v>
      </c>
      <c r="K3656" s="3" t="str">
        <f aca="false">IFERROR(INDEX('Teacher Lookup'!$B$2:$B$200,MATCH(A3656,'Teacher Lookup'!$A$2:$A$200,0)),"")</f>
        <v>LI Emily</v>
      </c>
    </row>
    <row r="3657" customFormat="false" ht="15" hidden="false" customHeight="false" outlineLevel="0" collapsed="false">
      <c r="A3657" s="3" t="s">
        <v>400</v>
      </c>
      <c r="B3657" s="4" t="s">
        <v>50</v>
      </c>
      <c r="C3657" s="4" t="n">
        <v>3</v>
      </c>
      <c r="D3657" s="4" t="s">
        <v>28</v>
      </c>
      <c r="E3657" s="3" t="s">
        <v>41</v>
      </c>
      <c r="F3657" s="4" t="str">
        <f aca="false">IF(I3657&gt;J3657,"Y","N")</f>
        <v>N</v>
      </c>
      <c r="G3657" s="3" t="s">
        <v>15</v>
      </c>
      <c r="H3657" s="3" t="s">
        <v>26</v>
      </c>
      <c r="I3657" s="4" t="n">
        <v>6</v>
      </c>
      <c r="J3657" s="4" t="n">
        <f aca="false">LEN(E3657)-LEN(SUBSTITUTE(E3657,",",""))+1</f>
        <v>6</v>
      </c>
      <c r="K3657" s="3" t="str">
        <f aca="false">IFERROR(INDEX('Teacher Lookup'!$B$2:$B$200,MATCH(A3657,'Teacher Lookup'!$A$2:$A$200,0)),"")</f>
        <v>LI Emily</v>
      </c>
    </row>
    <row r="3658" customFormat="false" ht="15" hidden="false" customHeight="false" outlineLevel="0" collapsed="false">
      <c r="A3658" s="3" t="s">
        <v>400</v>
      </c>
      <c r="B3658" s="4" t="s">
        <v>50</v>
      </c>
      <c r="C3658" s="4" t="n">
        <v>3</v>
      </c>
      <c r="D3658" s="4" t="s">
        <v>29</v>
      </c>
      <c r="E3658" s="3" t="s">
        <v>41</v>
      </c>
      <c r="F3658" s="4" t="str">
        <f aca="false">IF(I3658&gt;J3658,"Y","N")</f>
        <v>N</v>
      </c>
      <c r="G3658" s="3" t="s">
        <v>15</v>
      </c>
      <c r="H3658" s="3" t="s">
        <v>26</v>
      </c>
      <c r="I3658" s="4" t="n">
        <v>6</v>
      </c>
      <c r="J3658" s="4" t="n">
        <f aca="false">LEN(E3658)-LEN(SUBSTITUTE(E3658,",",""))+1</f>
        <v>6</v>
      </c>
      <c r="K3658" s="3" t="str">
        <f aca="false">IFERROR(INDEX('Teacher Lookup'!$B$2:$B$200,MATCH(A3658,'Teacher Lookup'!$A$2:$A$200,0)),"")</f>
        <v>LI Emily</v>
      </c>
    </row>
    <row r="3659" customFormat="false" ht="15" hidden="false" customHeight="false" outlineLevel="0" collapsed="false">
      <c r="A3659" s="3" t="s">
        <v>400</v>
      </c>
      <c r="B3659" s="4" t="s">
        <v>50</v>
      </c>
      <c r="C3659" s="4" t="n">
        <v>3</v>
      </c>
      <c r="D3659" s="4" t="s">
        <v>30</v>
      </c>
      <c r="E3659" s="3" t="s">
        <v>41</v>
      </c>
      <c r="F3659" s="4" t="str">
        <f aca="false">IF(I3659&gt;J3659,"Y","N")</f>
        <v>N</v>
      </c>
      <c r="G3659" s="3" t="s">
        <v>15</v>
      </c>
      <c r="H3659" s="3" t="s">
        <v>26</v>
      </c>
      <c r="I3659" s="4" t="n">
        <v>6</v>
      </c>
      <c r="J3659" s="4" t="n">
        <f aca="false">LEN(E3659)-LEN(SUBSTITUTE(E3659,",",""))+1</f>
        <v>6</v>
      </c>
      <c r="K3659" s="3" t="str">
        <f aca="false">IFERROR(INDEX('Teacher Lookup'!$B$2:$B$200,MATCH(A3659,'Teacher Lookup'!$A$2:$A$200,0)),"")</f>
        <v>LI Emily</v>
      </c>
    </row>
    <row r="3660" customFormat="false" ht="15" hidden="false" customHeight="false" outlineLevel="0" collapsed="false">
      <c r="A3660" s="3" t="s">
        <v>400</v>
      </c>
      <c r="B3660" s="4" t="s">
        <v>50</v>
      </c>
      <c r="C3660" s="4" t="n">
        <v>4</v>
      </c>
      <c r="D3660" s="4" t="s">
        <v>13</v>
      </c>
      <c r="E3660" s="3" t="s">
        <v>32</v>
      </c>
      <c r="F3660" s="4" t="str">
        <f aca="false">IF(I3660&gt;J3660,"Y","N")</f>
        <v>N</v>
      </c>
      <c r="G3660" s="3" t="s">
        <v>15</v>
      </c>
      <c r="H3660" s="3" t="s">
        <v>34</v>
      </c>
      <c r="I3660" s="4" t="n">
        <v>4</v>
      </c>
      <c r="J3660" s="4" t="n">
        <f aca="false">LEN(E3660)-LEN(SUBSTITUTE(E3660,",",""))+1</f>
        <v>4</v>
      </c>
      <c r="K3660" s="3" t="str">
        <f aca="false">IFERROR(INDEX('Teacher Lookup'!$B$2:$B$200,MATCH(A3660,'Teacher Lookup'!$A$2:$A$200,0)),"")</f>
        <v>LI Emily</v>
      </c>
    </row>
    <row r="3661" customFormat="false" ht="15" hidden="false" customHeight="false" outlineLevel="0" collapsed="false">
      <c r="A3661" s="3" t="s">
        <v>400</v>
      </c>
      <c r="B3661" s="4" t="s">
        <v>50</v>
      </c>
      <c r="C3661" s="4" t="n">
        <v>4</v>
      </c>
      <c r="D3661" s="4" t="s">
        <v>17</v>
      </c>
      <c r="E3661" s="3" t="s">
        <v>32</v>
      </c>
      <c r="F3661" s="4" t="str">
        <f aca="false">IF(I3661&gt;J3661,"Y","N")</f>
        <v>N</v>
      </c>
      <c r="G3661" s="3" t="s">
        <v>15</v>
      </c>
      <c r="H3661" s="3" t="s">
        <v>34</v>
      </c>
      <c r="I3661" s="4" t="n">
        <v>4</v>
      </c>
      <c r="J3661" s="4" t="n">
        <f aca="false">LEN(E3661)-LEN(SUBSTITUTE(E3661,",",""))+1</f>
        <v>4</v>
      </c>
      <c r="K3661" s="3" t="str">
        <f aca="false">IFERROR(INDEX('Teacher Lookup'!$B$2:$B$200,MATCH(A3661,'Teacher Lookup'!$A$2:$A$200,0)),"")</f>
        <v>LI Emily</v>
      </c>
    </row>
    <row r="3662" customFormat="false" ht="15" hidden="false" customHeight="false" outlineLevel="0" collapsed="false">
      <c r="A3662" s="3" t="s">
        <v>400</v>
      </c>
      <c r="B3662" s="4" t="s">
        <v>50</v>
      </c>
      <c r="C3662" s="4" t="n">
        <v>4</v>
      </c>
      <c r="D3662" s="4" t="s">
        <v>18</v>
      </c>
      <c r="E3662" s="3" t="s">
        <v>32</v>
      </c>
      <c r="F3662" s="4" t="str">
        <f aca="false">IF(I3662&gt;J3662,"Y","N")</f>
        <v>N</v>
      </c>
      <c r="G3662" s="3" t="s">
        <v>15</v>
      </c>
      <c r="H3662" s="3" t="s">
        <v>34</v>
      </c>
      <c r="I3662" s="4" t="n">
        <v>4</v>
      </c>
      <c r="J3662" s="4" t="n">
        <f aca="false">LEN(E3662)-LEN(SUBSTITUTE(E3662,",",""))+1</f>
        <v>4</v>
      </c>
      <c r="K3662" s="3" t="str">
        <f aca="false">IFERROR(INDEX('Teacher Lookup'!$B$2:$B$200,MATCH(A3662,'Teacher Lookup'!$A$2:$A$200,0)),"")</f>
        <v>LI Emily</v>
      </c>
    </row>
    <row r="3663" customFormat="false" ht="15" hidden="false" customHeight="false" outlineLevel="0" collapsed="false">
      <c r="A3663" s="3" t="s">
        <v>400</v>
      </c>
      <c r="B3663" s="4" t="s">
        <v>60</v>
      </c>
      <c r="C3663" s="4" t="n">
        <v>5</v>
      </c>
      <c r="D3663" s="4" t="s">
        <v>24</v>
      </c>
      <c r="E3663" s="3" t="s">
        <v>131</v>
      </c>
      <c r="F3663" s="4" t="str">
        <f aca="false">IF(I3663&gt;J3663,"Y","N")</f>
        <v>Y</v>
      </c>
      <c r="G3663" s="3" t="s">
        <v>36</v>
      </c>
      <c r="H3663" s="3" t="s">
        <v>37</v>
      </c>
      <c r="I3663" s="4" t="n">
        <v>15</v>
      </c>
      <c r="J3663" s="4" t="n">
        <f aca="false">LEN(E3663)-LEN(SUBSTITUTE(E3663,",",""))+1</f>
        <v>7</v>
      </c>
      <c r="K3663" s="3" t="str">
        <f aca="false">IFERROR(INDEX('Teacher Lookup'!$B$2:$B$200,MATCH(A3663,'Teacher Lookup'!$A$2:$A$200,0)),"")</f>
        <v>LI Emily</v>
      </c>
    </row>
    <row r="3664" customFormat="false" ht="15" hidden="false" customHeight="false" outlineLevel="0" collapsed="false">
      <c r="A3664" s="3" t="s">
        <v>400</v>
      </c>
      <c r="B3664" s="4" t="s">
        <v>60</v>
      </c>
      <c r="C3664" s="4" t="n">
        <v>5</v>
      </c>
      <c r="D3664" s="4" t="s">
        <v>132</v>
      </c>
      <c r="E3664" s="3" t="s">
        <v>131</v>
      </c>
      <c r="F3664" s="4" t="str">
        <f aca="false">IF(I3664&gt;J3664,"Y","N")</f>
        <v>Y</v>
      </c>
      <c r="G3664" s="3" t="s">
        <v>36</v>
      </c>
      <c r="H3664" s="3" t="s">
        <v>37</v>
      </c>
      <c r="I3664" s="4" t="n">
        <v>15</v>
      </c>
      <c r="J3664" s="4" t="n">
        <f aca="false">LEN(E3664)-LEN(SUBSTITUTE(E3664,",",""))+1</f>
        <v>7</v>
      </c>
      <c r="K3664" s="3" t="str">
        <f aca="false">IFERROR(INDEX('Teacher Lookup'!$B$2:$B$200,MATCH(A3664,'Teacher Lookup'!$A$2:$A$200,0)),"")</f>
        <v>LI Emily</v>
      </c>
    </row>
    <row r="3665" customFormat="false" ht="15" hidden="false" customHeight="false" outlineLevel="0" collapsed="false">
      <c r="A3665" s="3" t="s">
        <v>400</v>
      </c>
      <c r="B3665" s="4" t="s">
        <v>60</v>
      </c>
      <c r="C3665" s="4" t="n">
        <v>5</v>
      </c>
      <c r="D3665" s="4" t="s">
        <v>27</v>
      </c>
      <c r="E3665" s="3" t="s">
        <v>131</v>
      </c>
      <c r="F3665" s="4" t="str">
        <f aca="false">IF(I3665&gt;J3665,"Y","N")</f>
        <v>Y</v>
      </c>
      <c r="G3665" s="3" t="s">
        <v>36</v>
      </c>
      <c r="H3665" s="3" t="s">
        <v>37</v>
      </c>
      <c r="I3665" s="4" t="n">
        <v>15</v>
      </c>
      <c r="J3665" s="4" t="n">
        <f aca="false">LEN(E3665)-LEN(SUBSTITUTE(E3665,",",""))+1</f>
        <v>7</v>
      </c>
      <c r="K3665" s="3" t="str">
        <f aca="false">IFERROR(INDEX('Teacher Lookup'!$B$2:$B$200,MATCH(A3665,'Teacher Lookup'!$A$2:$A$200,0)),"")</f>
        <v>LI Emily</v>
      </c>
    </row>
    <row r="3666" customFormat="false" ht="15" hidden="false" customHeight="false" outlineLevel="0" collapsed="false">
      <c r="A3666" s="3" t="s">
        <v>400</v>
      </c>
      <c r="B3666" s="4" t="s">
        <v>60</v>
      </c>
      <c r="C3666" s="4" t="n">
        <v>5</v>
      </c>
      <c r="D3666" s="4" t="s">
        <v>28</v>
      </c>
      <c r="E3666" s="3" t="s">
        <v>131</v>
      </c>
      <c r="F3666" s="4" t="str">
        <f aca="false">IF(I3666&gt;J3666,"Y","N")</f>
        <v>Y</v>
      </c>
      <c r="G3666" s="3" t="s">
        <v>36</v>
      </c>
      <c r="H3666" s="3" t="s">
        <v>37</v>
      </c>
      <c r="I3666" s="4" t="n">
        <v>15</v>
      </c>
      <c r="J3666" s="4" t="n">
        <f aca="false">LEN(E3666)-LEN(SUBSTITUTE(E3666,",",""))+1</f>
        <v>7</v>
      </c>
      <c r="K3666" s="3" t="str">
        <f aca="false">IFERROR(INDEX('Teacher Lookup'!$B$2:$B$200,MATCH(A3666,'Teacher Lookup'!$A$2:$A$200,0)),"")</f>
        <v>LI Emily</v>
      </c>
    </row>
    <row r="3667" customFormat="false" ht="15" hidden="false" customHeight="false" outlineLevel="0" collapsed="false">
      <c r="A3667" s="3" t="s">
        <v>400</v>
      </c>
      <c r="B3667" s="4" t="s">
        <v>60</v>
      </c>
      <c r="C3667" s="4" t="n">
        <v>5</v>
      </c>
      <c r="D3667" s="4" t="s">
        <v>29</v>
      </c>
      <c r="E3667" s="3" t="s">
        <v>131</v>
      </c>
      <c r="F3667" s="4" t="str">
        <f aca="false">IF(I3667&gt;J3667,"Y","N")</f>
        <v>Y</v>
      </c>
      <c r="G3667" s="3" t="s">
        <v>36</v>
      </c>
      <c r="H3667" s="3" t="s">
        <v>37</v>
      </c>
      <c r="I3667" s="4" t="n">
        <v>15</v>
      </c>
      <c r="J3667" s="4" t="n">
        <f aca="false">LEN(E3667)-LEN(SUBSTITUTE(E3667,",",""))+1</f>
        <v>7</v>
      </c>
      <c r="K3667" s="3" t="str">
        <f aca="false">IFERROR(INDEX('Teacher Lookup'!$B$2:$B$200,MATCH(A3667,'Teacher Lookup'!$A$2:$A$200,0)),"")</f>
        <v>LI Emily</v>
      </c>
    </row>
    <row r="3668" customFormat="false" ht="15" hidden="false" customHeight="false" outlineLevel="0" collapsed="false">
      <c r="A3668" s="3" t="s">
        <v>400</v>
      </c>
      <c r="B3668" s="4" t="s">
        <v>60</v>
      </c>
      <c r="C3668" s="4" t="n">
        <v>5</v>
      </c>
      <c r="D3668" s="4" t="s">
        <v>30</v>
      </c>
      <c r="E3668" s="3" t="s">
        <v>131</v>
      </c>
      <c r="F3668" s="4" t="str">
        <f aca="false">IF(I3668&gt;J3668,"Y","N")</f>
        <v>Y</v>
      </c>
      <c r="G3668" s="3" t="s">
        <v>36</v>
      </c>
      <c r="H3668" s="3" t="s">
        <v>37</v>
      </c>
      <c r="I3668" s="4" t="n">
        <v>15</v>
      </c>
      <c r="J3668" s="4" t="n">
        <f aca="false">LEN(E3668)-LEN(SUBSTITUTE(E3668,",",""))+1</f>
        <v>7</v>
      </c>
      <c r="K3668" s="3" t="str">
        <f aca="false">IFERROR(INDEX('Teacher Lookup'!$B$2:$B$200,MATCH(A3668,'Teacher Lookup'!$A$2:$A$200,0)),"")</f>
        <v>LI Emily</v>
      </c>
    </row>
    <row r="3669" customFormat="false" ht="15" hidden="false" customHeight="false" outlineLevel="0" collapsed="false">
      <c r="A3669" s="3" t="s">
        <v>400</v>
      </c>
      <c r="B3669" s="4" t="s">
        <v>60</v>
      </c>
      <c r="C3669" s="4" t="n">
        <v>6</v>
      </c>
      <c r="D3669" s="4" t="s">
        <v>24</v>
      </c>
      <c r="E3669" s="3" t="s">
        <v>61</v>
      </c>
      <c r="F3669" s="4" t="str">
        <f aca="false">IF(I3669&gt;J3669,"Y","N")</f>
        <v>N</v>
      </c>
      <c r="G3669" s="3" t="s">
        <v>15</v>
      </c>
      <c r="H3669" s="3" t="s">
        <v>42</v>
      </c>
      <c r="I3669" s="4" t="n">
        <v>6</v>
      </c>
      <c r="J3669" s="4" t="n">
        <f aca="false">LEN(E3669)-LEN(SUBSTITUTE(E3669,",",""))+1</f>
        <v>6</v>
      </c>
      <c r="K3669" s="3" t="str">
        <f aca="false">IFERROR(INDEX('Teacher Lookup'!$B$2:$B$200,MATCH(A3669,'Teacher Lookup'!$A$2:$A$200,0)),"")</f>
        <v>LI Emily</v>
      </c>
    </row>
    <row r="3670" customFormat="false" ht="15" hidden="false" customHeight="false" outlineLevel="0" collapsed="false">
      <c r="A3670" s="3" t="s">
        <v>400</v>
      </c>
      <c r="B3670" s="4" t="s">
        <v>60</v>
      </c>
      <c r="C3670" s="4" t="n">
        <v>6</v>
      </c>
      <c r="D3670" s="4" t="s">
        <v>27</v>
      </c>
      <c r="E3670" s="3" t="s">
        <v>61</v>
      </c>
      <c r="F3670" s="4" t="str">
        <f aca="false">IF(I3670&gt;J3670,"Y","N")</f>
        <v>N</v>
      </c>
      <c r="G3670" s="3" t="s">
        <v>15</v>
      </c>
      <c r="H3670" s="3" t="s">
        <v>42</v>
      </c>
      <c r="I3670" s="4" t="n">
        <v>6</v>
      </c>
      <c r="J3670" s="4" t="n">
        <f aca="false">LEN(E3670)-LEN(SUBSTITUTE(E3670,",",""))+1</f>
        <v>6</v>
      </c>
      <c r="K3670" s="3" t="str">
        <f aca="false">IFERROR(INDEX('Teacher Lookup'!$B$2:$B$200,MATCH(A3670,'Teacher Lookup'!$A$2:$A$200,0)),"")</f>
        <v>LI Emily</v>
      </c>
    </row>
    <row r="3671" customFormat="false" ht="15" hidden="false" customHeight="false" outlineLevel="0" collapsed="false">
      <c r="A3671" s="3" t="s">
        <v>400</v>
      </c>
      <c r="B3671" s="4" t="s">
        <v>60</v>
      </c>
      <c r="C3671" s="4" t="n">
        <v>6</v>
      </c>
      <c r="D3671" s="4" t="s">
        <v>28</v>
      </c>
      <c r="E3671" s="3" t="s">
        <v>61</v>
      </c>
      <c r="F3671" s="4" t="str">
        <f aca="false">IF(I3671&gt;J3671,"Y","N")</f>
        <v>N</v>
      </c>
      <c r="G3671" s="3" t="s">
        <v>15</v>
      </c>
      <c r="H3671" s="3" t="s">
        <v>42</v>
      </c>
      <c r="I3671" s="4" t="n">
        <v>6</v>
      </c>
      <c r="J3671" s="4" t="n">
        <f aca="false">LEN(E3671)-LEN(SUBSTITUTE(E3671,",",""))+1</f>
        <v>6</v>
      </c>
      <c r="K3671" s="3" t="str">
        <f aca="false">IFERROR(INDEX('Teacher Lookup'!$B$2:$B$200,MATCH(A3671,'Teacher Lookup'!$A$2:$A$200,0)),"")</f>
        <v>LI Emily</v>
      </c>
    </row>
    <row r="3672" customFormat="false" ht="15" hidden="false" customHeight="false" outlineLevel="0" collapsed="false">
      <c r="A3672" s="3" t="s">
        <v>400</v>
      </c>
      <c r="B3672" s="4" t="s">
        <v>60</v>
      </c>
      <c r="C3672" s="4" t="n">
        <v>6</v>
      </c>
      <c r="D3672" s="4" t="s">
        <v>29</v>
      </c>
      <c r="E3672" s="3" t="s">
        <v>61</v>
      </c>
      <c r="F3672" s="4" t="str">
        <f aca="false">IF(I3672&gt;J3672,"Y","N")</f>
        <v>N</v>
      </c>
      <c r="G3672" s="3" t="s">
        <v>15</v>
      </c>
      <c r="H3672" s="3" t="s">
        <v>42</v>
      </c>
      <c r="I3672" s="4" t="n">
        <v>6</v>
      </c>
      <c r="J3672" s="4" t="n">
        <f aca="false">LEN(E3672)-LEN(SUBSTITUTE(E3672,",",""))+1</f>
        <v>6</v>
      </c>
      <c r="K3672" s="3" t="str">
        <f aca="false">IFERROR(INDEX('Teacher Lookup'!$B$2:$B$200,MATCH(A3672,'Teacher Lookup'!$A$2:$A$200,0)),"")</f>
        <v>LI Emily</v>
      </c>
    </row>
    <row r="3673" customFormat="false" ht="15" hidden="false" customHeight="false" outlineLevel="0" collapsed="false">
      <c r="A3673" s="3" t="s">
        <v>400</v>
      </c>
      <c r="B3673" s="4" t="s">
        <v>60</v>
      </c>
      <c r="C3673" s="4" t="n">
        <v>6</v>
      </c>
      <c r="D3673" s="4" t="s">
        <v>30</v>
      </c>
      <c r="E3673" s="3" t="s">
        <v>61</v>
      </c>
      <c r="F3673" s="4" t="str">
        <f aca="false">IF(I3673&gt;J3673,"Y","N")</f>
        <v>N</v>
      </c>
      <c r="G3673" s="3" t="s">
        <v>15</v>
      </c>
      <c r="H3673" s="3" t="s">
        <v>42</v>
      </c>
      <c r="I3673" s="4" t="n">
        <v>6</v>
      </c>
      <c r="J3673" s="4" t="n">
        <f aca="false">LEN(E3673)-LEN(SUBSTITUTE(E3673,",",""))+1</f>
        <v>6</v>
      </c>
      <c r="K3673" s="3" t="str">
        <f aca="false">IFERROR(INDEX('Teacher Lookup'!$B$2:$B$200,MATCH(A3673,'Teacher Lookup'!$A$2:$A$200,0)),"")</f>
        <v>LI Emily</v>
      </c>
    </row>
    <row r="3674" customFormat="false" ht="15" hidden="false" customHeight="false" outlineLevel="0" collapsed="false">
      <c r="A3674" s="3" t="s">
        <v>400</v>
      </c>
      <c r="B3674" s="4" t="s">
        <v>60</v>
      </c>
      <c r="C3674" s="4" t="n">
        <v>7</v>
      </c>
      <c r="D3674" s="4" t="s">
        <v>19</v>
      </c>
      <c r="E3674" s="3" t="s">
        <v>62</v>
      </c>
      <c r="F3674" s="4" t="str">
        <f aca="false">IF(I3674&gt;J3674,"Y","N")</f>
        <v>N</v>
      </c>
      <c r="G3674" s="3" t="s">
        <v>15</v>
      </c>
      <c r="H3674" s="3" t="s">
        <v>39</v>
      </c>
      <c r="I3674" s="4" t="n">
        <v>4</v>
      </c>
      <c r="J3674" s="4" t="n">
        <f aca="false">LEN(E3674)-LEN(SUBSTITUTE(E3674,",",""))+1</f>
        <v>4</v>
      </c>
      <c r="K3674" s="3" t="str">
        <f aca="false">IFERROR(INDEX('Teacher Lookup'!$B$2:$B$200,MATCH(A3674,'Teacher Lookup'!$A$2:$A$200,0)),"")</f>
        <v>LI Emily</v>
      </c>
    </row>
    <row r="3675" customFormat="false" ht="15" hidden="false" customHeight="false" outlineLevel="0" collapsed="false">
      <c r="A3675" s="3" t="s">
        <v>400</v>
      </c>
      <c r="B3675" s="4" t="s">
        <v>60</v>
      </c>
      <c r="C3675" s="4" t="n">
        <v>7</v>
      </c>
      <c r="D3675" s="4" t="s">
        <v>22</v>
      </c>
      <c r="E3675" s="3" t="s">
        <v>62</v>
      </c>
      <c r="F3675" s="4" t="str">
        <f aca="false">IF(I3675&gt;J3675,"Y","N")</f>
        <v>N</v>
      </c>
      <c r="G3675" s="3" t="s">
        <v>15</v>
      </c>
      <c r="H3675" s="3" t="s">
        <v>39</v>
      </c>
      <c r="I3675" s="4" t="n">
        <v>4</v>
      </c>
      <c r="J3675" s="4" t="n">
        <f aca="false">LEN(E3675)-LEN(SUBSTITUTE(E3675,",",""))+1</f>
        <v>4</v>
      </c>
      <c r="K3675" s="3" t="str">
        <f aca="false">IFERROR(INDEX('Teacher Lookup'!$B$2:$B$200,MATCH(A3675,'Teacher Lookup'!$A$2:$A$200,0)),"")</f>
        <v>LI Emily</v>
      </c>
    </row>
    <row r="3676" customFormat="false" ht="15" hidden="false" customHeight="false" outlineLevel="0" collapsed="false">
      <c r="A3676" s="3" t="s">
        <v>400</v>
      </c>
      <c r="B3676" s="4" t="s">
        <v>60</v>
      </c>
      <c r="C3676" s="4" t="n">
        <v>7</v>
      </c>
      <c r="D3676" s="4" t="s">
        <v>23</v>
      </c>
      <c r="E3676" s="3" t="s">
        <v>62</v>
      </c>
      <c r="F3676" s="4" t="str">
        <f aca="false">IF(I3676&gt;J3676,"Y","N")</f>
        <v>N</v>
      </c>
      <c r="G3676" s="3" t="s">
        <v>15</v>
      </c>
      <c r="H3676" s="3" t="s">
        <v>39</v>
      </c>
      <c r="I3676" s="4" t="n">
        <v>4</v>
      </c>
      <c r="J3676" s="4" t="n">
        <f aca="false">LEN(E3676)-LEN(SUBSTITUTE(E3676,",",""))+1</f>
        <v>4</v>
      </c>
      <c r="K3676" s="3" t="str">
        <f aca="false">IFERROR(INDEX('Teacher Lookup'!$B$2:$B$200,MATCH(A3676,'Teacher Lookup'!$A$2:$A$200,0)),"")</f>
        <v>LI Emily</v>
      </c>
    </row>
    <row r="3677" customFormat="false" ht="15" hidden="false" customHeight="false" outlineLevel="0" collapsed="false">
      <c r="A3677" s="3" t="s">
        <v>400</v>
      </c>
      <c r="B3677" s="4" t="s">
        <v>63</v>
      </c>
      <c r="C3677" s="4" t="n">
        <v>1</v>
      </c>
      <c r="D3677" s="4" t="s">
        <v>24</v>
      </c>
      <c r="E3677" s="3" t="s">
        <v>64</v>
      </c>
      <c r="F3677" s="4" t="str">
        <f aca="false">IF(I3677&gt;J3677,"Y","N")</f>
        <v>N</v>
      </c>
      <c r="G3677" s="3" t="s">
        <v>15</v>
      </c>
      <c r="H3677" s="3" t="s">
        <v>16</v>
      </c>
      <c r="I3677" s="4" t="n">
        <v>6</v>
      </c>
      <c r="J3677" s="4" t="n">
        <f aca="false">LEN(E3677)-LEN(SUBSTITUTE(E3677,",",""))+1</f>
        <v>6</v>
      </c>
      <c r="K3677" s="3" t="str">
        <f aca="false">IFERROR(INDEX('Teacher Lookup'!$B$2:$B$200,MATCH(A3677,'Teacher Lookup'!$A$2:$A$200,0)),"")</f>
        <v>LI Emily</v>
      </c>
    </row>
    <row r="3678" customFormat="false" ht="15" hidden="false" customHeight="false" outlineLevel="0" collapsed="false">
      <c r="A3678" s="3" t="s">
        <v>400</v>
      </c>
      <c r="B3678" s="4" t="s">
        <v>63</v>
      </c>
      <c r="C3678" s="4" t="n">
        <v>1</v>
      </c>
      <c r="D3678" s="4" t="s">
        <v>27</v>
      </c>
      <c r="E3678" s="3" t="s">
        <v>64</v>
      </c>
      <c r="F3678" s="4" t="str">
        <f aca="false">IF(I3678&gt;J3678,"Y","N")</f>
        <v>N</v>
      </c>
      <c r="G3678" s="3" t="s">
        <v>15</v>
      </c>
      <c r="H3678" s="3" t="s">
        <v>16</v>
      </c>
      <c r="I3678" s="4" t="n">
        <v>6</v>
      </c>
      <c r="J3678" s="4" t="n">
        <f aca="false">LEN(E3678)-LEN(SUBSTITUTE(E3678,",",""))+1</f>
        <v>6</v>
      </c>
      <c r="K3678" s="3" t="str">
        <f aca="false">IFERROR(INDEX('Teacher Lookup'!$B$2:$B$200,MATCH(A3678,'Teacher Lookup'!$A$2:$A$200,0)),"")</f>
        <v>LI Emily</v>
      </c>
    </row>
    <row r="3679" customFormat="false" ht="15" hidden="false" customHeight="false" outlineLevel="0" collapsed="false">
      <c r="A3679" s="3" t="s">
        <v>400</v>
      </c>
      <c r="B3679" s="4" t="s">
        <v>63</v>
      </c>
      <c r="C3679" s="4" t="n">
        <v>1</v>
      </c>
      <c r="D3679" s="4" t="s">
        <v>28</v>
      </c>
      <c r="E3679" s="3" t="s">
        <v>64</v>
      </c>
      <c r="F3679" s="4" t="str">
        <f aca="false">IF(I3679&gt;J3679,"Y","N")</f>
        <v>N</v>
      </c>
      <c r="G3679" s="3" t="s">
        <v>15</v>
      </c>
      <c r="H3679" s="3" t="s">
        <v>16</v>
      </c>
      <c r="I3679" s="4" t="n">
        <v>6</v>
      </c>
      <c r="J3679" s="4" t="n">
        <f aca="false">LEN(E3679)-LEN(SUBSTITUTE(E3679,",",""))+1</f>
        <v>6</v>
      </c>
      <c r="K3679" s="3" t="str">
        <f aca="false">IFERROR(INDEX('Teacher Lookup'!$B$2:$B$200,MATCH(A3679,'Teacher Lookup'!$A$2:$A$200,0)),"")</f>
        <v>LI Emily</v>
      </c>
    </row>
    <row r="3680" customFormat="false" ht="15" hidden="false" customHeight="false" outlineLevel="0" collapsed="false">
      <c r="A3680" s="3" t="s">
        <v>400</v>
      </c>
      <c r="B3680" s="4" t="s">
        <v>63</v>
      </c>
      <c r="C3680" s="4" t="n">
        <v>1</v>
      </c>
      <c r="D3680" s="4" t="s">
        <v>29</v>
      </c>
      <c r="E3680" s="3" t="s">
        <v>64</v>
      </c>
      <c r="F3680" s="4" t="str">
        <f aca="false">IF(I3680&gt;J3680,"Y","N")</f>
        <v>N</v>
      </c>
      <c r="G3680" s="3" t="s">
        <v>15</v>
      </c>
      <c r="H3680" s="3" t="s">
        <v>16</v>
      </c>
      <c r="I3680" s="4" t="n">
        <v>6</v>
      </c>
      <c r="J3680" s="4" t="n">
        <f aca="false">LEN(E3680)-LEN(SUBSTITUTE(E3680,",",""))+1</f>
        <v>6</v>
      </c>
      <c r="K3680" s="3" t="str">
        <f aca="false">IFERROR(INDEX('Teacher Lookup'!$B$2:$B$200,MATCH(A3680,'Teacher Lookup'!$A$2:$A$200,0)),"")</f>
        <v>LI Emily</v>
      </c>
    </row>
    <row r="3681" customFormat="false" ht="15" hidden="false" customHeight="false" outlineLevel="0" collapsed="false">
      <c r="A3681" s="3" t="s">
        <v>400</v>
      </c>
      <c r="B3681" s="4" t="s">
        <v>63</v>
      </c>
      <c r="C3681" s="4" t="n">
        <v>1</v>
      </c>
      <c r="D3681" s="4" t="s">
        <v>30</v>
      </c>
      <c r="E3681" s="3" t="s">
        <v>64</v>
      </c>
      <c r="F3681" s="4" t="str">
        <f aca="false">IF(I3681&gt;J3681,"Y","N")</f>
        <v>N</v>
      </c>
      <c r="G3681" s="3" t="s">
        <v>15</v>
      </c>
      <c r="H3681" s="3" t="s">
        <v>16</v>
      </c>
      <c r="I3681" s="4" t="n">
        <v>6</v>
      </c>
      <c r="J3681" s="4" t="n">
        <f aca="false">LEN(E3681)-LEN(SUBSTITUTE(E3681,",",""))+1</f>
        <v>6</v>
      </c>
      <c r="K3681" s="3" t="str">
        <f aca="false">IFERROR(INDEX('Teacher Lookup'!$B$2:$B$200,MATCH(A3681,'Teacher Lookup'!$A$2:$A$200,0)),"")</f>
        <v>LI Emily</v>
      </c>
    </row>
    <row r="3682" customFormat="false" ht="15" hidden="false" customHeight="false" outlineLevel="0" collapsed="false">
      <c r="A3682" s="3" t="s">
        <v>400</v>
      </c>
      <c r="B3682" s="4" t="s">
        <v>63</v>
      </c>
      <c r="C3682" s="4" t="n">
        <v>2</v>
      </c>
      <c r="D3682" s="4" t="s">
        <v>19</v>
      </c>
      <c r="E3682" s="3" t="s">
        <v>48</v>
      </c>
      <c r="F3682" s="4" t="str">
        <f aca="false">IF(I3682&gt;J3682,"Y","N")</f>
        <v>N</v>
      </c>
      <c r="G3682" s="3" t="s">
        <v>15</v>
      </c>
      <c r="H3682" s="3" t="s">
        <v>21</v>
      </c>
      <c r="I3682" s="4" t="n">
        <v>4</v>
      </c>
      <c r="J3682" s="4" t="n">
        <f aca="false">LEN(E3682)-LEN(SUBSTITUTE(E3682,",",""))+1</f>
        <v>4</v>
      </c>
      <c r="K3682" s="3" t="str">
        <f aca="false">IFERROR(INDEX('Teacher Lookup'!$B$2:$B$200,MATCH(A3682,'Teacher Lookup'!$A$2:$A$200,0)),"")</f>
        <v>LI Emily</v>
      </c>
    </row>
    <row r="3683" customFormat="false" ht="15" hidden="false" customHeight="false" outlineLevel="0" collapsed="false">
      <c r="A3683" s="3" t="s">
        <v>400</v>
      </c>
      <c r="B3683" s="4" t="s">
        <v>63</v>
      </c>
      <c r="C3683" s="4" t="n">
        <v>2</v>
      </c>
      <c r="D3683" s="4" t="s">
        <v>22</v>
      </c>
      <c r="E3683" s="3" t="s">
        <v>48</v>
      </c>
      <c r="F3683" s="4" t="str">
        <f aca="false">IF(I3683&gt;J3683,"Y","N")</f>
        <v>N</v>
      </c>
      <c r="G3683" s="3" t="s">
        <v>15</v>
      </c>
      <c r="H3683" s="3" t="s">
        <v>21</v>
      </c>
      <c r="I3683" s="4" t="n">
        <v>4</v>
      </c>
      <c r="J3683" s="4" t="n">
        <f aca="false">LEN(E3683)-LEN(SUBSTITUTE(E3683,",",""))+1</f>
        <v>4</v>
      </c>
      <c r="K3683" s="3" t="str">
        <f aca="false">IFERROR(INDEX('Teacher Lookup'!$B$2:$B$200,MATCH(A3683,'Teacher Lookup'!$A$2:$A$200,0)),"")</f>
        <v>LI Emily</v>
      </c>
    </row>
    <row r="3684" customFormat="false" ht="15" hidden="false" customHeight="false" outlineLevel="0" collapsed="false">
      <c r="A3684" s="3" t="s">
        <v>400</v>
      </c>
      <c r="B3684" s="4" t="s">
        <v>63</v>
      </c>
      <c r="C3684" s="4" t="n">
        <v>2</v>
      </c>
      <c r="D3684" s="4" t="s">
        <v>23</v>
      </c>
      <c r="E3684" s="3" t="s">
        <v>48</v>
      </c>
      <c r="F3684" s="4" t="str">
        <f aca="false">IF(I3684&gt;J3684,"Y","N")</f>
        <v>N</v>
      </c>
      <c r="G3684" s="3" t="s">
        <v>15</v>
      </c>
      <c r="H3684" s="3" t="s">
        <v>21</v>
      </c>
      <c r="I3684" s="4" t="n">
        <v>4</v>
      </c>
      <c r="J3684" s="4" t="n">
        <f aca="false">LEN(E3684)-LEN(SUBSTITUTE(E3684,",",""))+1</f>
        <v>4</v>
      </c>
      <c r="K3684" s="3" t="str">
        <f aca="false">IFERROR(INDEX('Teacher Lookup'!$B$2:$B$200,MATCH(A3684,'Teacher Lookup'!$A$2:$A$200,0)),"")</f>
        <v>LI Emily</v>
      </c>
    </row>
    <row r="3685" customFormat="false" ht="15" hidden="false" customHeight="false" outlineLevel="0" collapsed="false">
      <c r="A3685" s="3" t="s">
        <v>400</v>
      </c>
      <c r="B3685" s="4" t="s">
        <v>63</v>
      </c>
      <c r="C3685" s="4" t="n">
        <v>4</v>
      </c>
      <c r="D3685" s="4" t="s">
        <v>70</v>
      </c>
      <c r="E3685" s="3" t="s">
        <v>213</v>
      </c>
      <c r="F3685" s="4" t="str">
        <f aca="false">IF(I3685&gt;J3685,"Y","N")</f>
        <v>Y</v>
      </c>
      <c r="G3685" s="3" t="s">
        <v>214</v>
      </c>
      <c r="H3685" s="3" t="s">
        <v>34</v>
      </c>
      <c r="I3685" s="4" t="n">
        <v>20</v>
      </c>
      <c r="J3685" s="4" t="n">
        <f aca="false">LEN(E3685)-LEN(SUBSTITUTE(E3685,",",""))+1</f>
        <v>6</v>
      </c>
      <c r="K3685" s="3" t="str">
        <f aca="false">IFERROR(INDEX('Teacher Lookup'!$B$2:$B$200,MATCH(A3685,'Teacher Lookup'!$A$2:$A$200,0)),"")</f>
        <v>LI Emily</v>
      </c>
    </row>
    <row r="3686" customFormat="false" ht="15" hidden="false" customHeight="false" outlineLevel="0" collapsed="false">
      <c r="A3686" s="3" t="s">
        <v>400</v>
      </c>
      <c r="B3686" s="4" t="s">
        <v>63</v>
      </c>
      <c r="C3686" s="4" t="n">
        <v>4</v>
      </c>
      <c r="D3686" s="4" t="s">
        <v>73</v>
      </c>
      <c r="E3686" s="3" t="s">
        <v>213</v>
      </c>
      <c r="F3686" s="4" t="str">
        <f aca="false">IF(I3686&gt;J3686,"Y","N")</f>
        <v>Y</v>
      </c>
      <c r="G3686" s="3" t="s">
        <v>214</v>
      </c>
      <c r="H3686" s="3" t="s">
        <v>34</v>
      </c>
      <c r="I3686" s="4" t="n">
        <v>20</v>
      </c>
      <c r="J3686" s="4" t="n">
        <f aca="false">LEN(E3686)-LEN(SUBSTITUTE(E3686,",",""))+1</f>
        <v>6</v>
      </c>
      <c r="K3686" s="3" t="str">
        <f aca="false">IFERROR(INDEX('Teacher Lookup'!$B$2:$B$200,MATCH(A3686,'Teacher Lookup'!$A$2:$A$200,0)),"")</f>
        <v>LI Emily</v>
      </c>
    </row>
    <row r="3687" customFormat="false" ht="15" hidden="false" customHeight="false" outlineLevel="0" collapsed="false">
      <c r="A3687" s="3" t="s">
        <v>400</v>
      </c>
      <c r="B3687" s="4" t="s">
        <v>63</v>
      </c>
      <c r="C3687" s="4" t="n">
        <v>4</v>
      </c>
      <c r="D3687" s="4" t="s">
        <v>74</v>
      </c>
      <c r="E3687" s="3" t="s">
        <v>213</v>
      </c>
      <c r="F3687" s="4" t="str">
        <f aca="false">IF(I3687&gt;J3687,"Y","N")</f>
        <v>Y</v>
      </c>
      <c r="G3687" s="3" t="s">
        <v>214</v>
      </c>
      <c r="H3687" s="3" t="s">
        <v>34</v>
      </c>
      <c r="I3687" s="4" t="n">
        <v>20</v>
      </c>
      <c r="J3687" s="4" t="n">
        <f aca="false">LEN(E3687)-LEN(SUBSTITUTE(E3687,",",""))+1</f>
        <v>6</v>
      </c>
      <c r="K3687" s="3" t="str">
        <f aca="false">IFERROR(INDEX('Teacher Lookup'!$B$2:$B$200,MATCH(A3687,'Teacher Lookup'!$A$2:$A$200,0)),"")</f>
        <v>LI Emily</v>
      </c>
    </row>
    <row r="3688" customFormat="false" ht="15" hidden="false" customHeight="false" outlineLevel="0" collapsed="false">
      <c r="A3688" s="3" t="s">
        <v>400</v>
      </c>
      <c r="B3688" s="4" t="s">
        <v>63</v>
      </c>
      <c r="C3688" s="4" t="n">
        <v>4</v>
      </c>
      <c r="D3688" s="4" t="s">
        <v>76</v>
      </c>
      <c r="E3688" s="3" t="s">
        <v>213</v>
      </c>
      <c r="F3688" s="4" t="str">
        <f aca="false">IF(I3688&gt;J3688,"Y","N")</f>
        <v>Y</v>
      </c>
      <c r="G3688" s="3" t="s">
        <v>214</v>
      </c>
      <c r="H3688" s="3" t="s">
        <v>34</v>
      </c>
      <c r="I3688" s="4" t="n">
        <v>20</v>
      </c>
      <c r="J3688" s="4" t="n">
        <f aca="false">LEN(E3688)-LEN(SUBSTITUTE(E3688,",",""))+1</f>
        <v>6</v>
      </c>
      <c r="K3688" s="3" t="str">
        <f aca="false">IFERROR(INDEX('Teacher Lookup'!$B$2:$B$200,MATCH(A3688,'Teacher Lookup'!$A$2:$A$200,0)),"")</f>
        <v>LI Emily</v>
      </c>
    </row>
    <row r="3689" customFormat="false" ht="15" hidden="false" customHeight="false" outlineLevel="0" collapsed="false">
      <c r="A3689" s="3" t="s">
        <v>400</v>
      </c>
      <c r="B3689" s="4" t="s">
        <v>63</v>
      </c>
      <c r="C3689" s="4" t="n">
        <v>4</v>
      </c>
      <c r="D3689" s="4" t="s">
        <v>78</v>
      </c>
      <c r="E3689" s="3" t="s">
        <v>213</v>
      </c>
      <c r="F3689" s="4" t="str">
        <f aca="false">IF(I3689&gt;J3689,"Y","N")</f>
        <v>Y</v>
      </c>
      <c r="G3689" s="3" t="s">
        <v>214</v>
      </c>
      <c r="H3689" s="3" t="s">
        <v>34</v>
      </c>
      <c r="I3689" s="4" t="n">
        <v>20</v>
      </c>
      <c r="J3689" s="4" t="n">
        <f aca="false">LEN(E3689)-LEN(SUBSTITUTE(E3689,",",""))+1</f>
        <v>6</v>
      </c>
      <c r="K3689" s="3" t="str">
        <f aca="false">IFERROR(INDEX('Teacher Lookup'!$B$2:$B$200,MATCH(A3689,'Teacher Lookup'!$A$2:$A$200,0)),"")</f>
        <v>LI Emily</v>
      </c>
    </row>
    <row r="3690" customFormat="false" ht="15" hidden="false" customHeight="false" outlineLevel="0" collapsed="false">
      <c r="A3690" s="3" t="s">
        <v>400</v>
      </c>
      <c r="B3690" s="4" t="s">
        <v>63</v>
      </c>
      <c r="C3690" s="4" t="n">
        <v>4</v>
      </c>
      <c r="D3690" s="4" t="s">
        <v>79</v>
      </c>
      <c r="E3690" s="3" t="s">
        <v>213</v>
      </c>
      <c r="F3690" s="4" t="str">
        <f aca="false">IF(I3690&gt;J3690,"Y","N")</f>
        <v>Y</v>
      </c>
      <c r="G3690" s="3" t="s">
        <v>214</v>
      </c>
      <c r="H3690" s="3" t="s">
        <v>34</v>
      </c>
      <c r="I3690" s="4" t="n">
        <v>20</v>
      </c>
      <c r="J3690" s="4" t="n">
        <f aca="false">LEN(E3690)-LEN(SUBSTITUTE(E3690,",",""))+1</f>
        <v>6</v>
      </c>
      <c r="K3690" s="3" t="str">
        <f aca="false">IFERROR(INDEX('Teacher Lookup'!$B$2:$B$200,MATCH(A3690,'Teacher Lookup'!$A$2:$A$200,0)),"")</f>
        <v>LI Emily</v>
      </c>
    </row>
    <row r="3691" customFormat="false" ht="15" hidden="false" customHeight="false" outlineLevel="0" collapsed="false">
      <c r="A3691" s="3" t="s">
        <v>400</v>
      </c>
      <c r="B3691" s="4" t="s">
        <v>63</v>
      </c>
      <c r="C3691" s="4" t="n">
        <v>5</v>
      </c>
      <c r="D3691" s="4" t="s">
        <v>70</v>
      </c>
      <c r="E3691" s="3" t="s">
        <v>213</v>
      </c>
      <c r="F3691" s="4" t="str">
        <f aca="false">IF(I3691&gt;J3691,"Y","N")</f>
        <v>Y</v>
      </c>
      <c r="G3691" s="3" t="s">
        <v>214</v>
      </c>
      <c r="H3691" s="3" t="s">
        <v>37</v>
      </c>
      <c r="I3691" s="4" t="n">
        <v>20</v>
      </c>
      <c r="J3691" s="4" t="n">
        <f aca="false">LEN(E3691)-LEN(SUBSTITUTE(E3691,",",""))+1</f>
        <v>6</v>
      </c>
      <c r="K3691" s="3" t="str">
        <f aca="false">IFERROR(INDEX('Teacher Lookup'!$B$2:$B$200,MATCH(A3691,'Teacher Lookup'!$A$2:$A$200,0)),"")</f>
        <v>LI Emily</v>
      </c>
    </row>
    <row r="3692" customFormat="false" ht="15" hidden="false" customHeight="false" outlineLevel="0" collapsed="false">
      <c r="A3692" s="3" t="s">
        <v>400</v>
      </c>
      <c r="B3692" s="4" t="s">
        <v>63</v>
      </c>
      <c r="C3692" s="4" t="n">
        <v>5</v>
      </c>
      <c r="D3692" s="4" t="s">
        <v>73</v>
      </c>
      <c r="E3692" s="3" t="s">
        <v>213</v>
      </c>
      <c r="F3692" s="4" t="str">
        <f aca="false">IF(I3692&gt;J3692,"Y","N")</f>
        <v>Y</v>
      </c>
      <c r="G3692" s="3" t="s">
        <v>214</v>
      </c>
      <c r="H3692" s="3" t="s">
        <v>37</v>
      </c>
      <c r="I3692" s="4" t="n">
        <v>20</v>
      </c>
      <c r="J3692" s="4" t="n">
        <f aca="false">LEN(E3692)-LEN(SUBSTITUTE(E3692,",",""))+1</f>
        <v>6</v>
      </c>
      <c r="K3692" s="3" t="str">
        <f aca="false">IFERROR(INDEX('Teacher Lookup'!$B$2:$B$200,MATCH(A3692,'Teacher Lookup'!$A$2:$A$200,0)),"")</f>
        <v>LI Emily</v>
      </c>
    </row>
    <row r="3693" customFormat="false" ht="15" hidden="false" customHeight="false" outlineLevel="0" collapsed="false">
      <c r="A3693" s="3" t="s">
        <v>400</v>
      </c>
      <c r="B3693" s="4" t="s">
        <v>63</v>
      </c>
      <c r="C3693" s="4" t="n">
        <v>5</v>
      </c>
      <c r="D3693" s="4" t="s">
        <v>74</v>
      </c>
      <c r="E3693" s="3" t="s">
        <v>213</v>
      </c>
      <c r="F3693" s="4" t="str">
        <f aca="false">IF(I3693&gt;J3693,"Y","N")</f>
        <v>Y</v>
      </c>
      <c r="G3693" s="3" t="s">
        <v>214</v>
      </c>
      <c r="H3693" s="3" t="s">
        <v>37</v>
      </c>
      <c r="I3693" s="4" t="n">
        <v>20</v>
      </c>
      <c r="J3693" s="4" t="n">
        <f aca="false">LEN(E3693)-LEN(SUBSTITUTE(E3693,",",""))+1</f>
        <v>6</v>
      </c>
      <c r="K3693" s="3" t="str">
        <f aca="false">IFERROR(INDEX('Teacher Lookup'!$B$2:$B$200,MATCH(A3693,'Teacher Lookup'!$A$2:$A$200,0)),"")</f>
        <v>LI Emily</v>
      </c>
    </row>
    <row r="3694" customFormat="false" ht="15" hidden="false" customHeight="false" outlineLevel="0" collapsed="false">
      <c r="A3694" s="3" t="s">
        <v>400</v>
      </c>
      <c r="B3694" s="4" t="s">
        <v>63</v>
      </c>
      <c r="C3694" s="4" t="n">
        <v>5</v>
      </c>
      <c r="D3694" s="4" t="s">
        <v>76</v>
      </c>
      <c r="E3694" s="3" t="s">
        <v>213</v>
      </c>
      <c r="F3694" s="4" t="str">
        <f aca="false">IF(I3694&gt;J3694,"Y","N")</f>
        <v>Y</v>
      </c>
      <c r="G3694" s="3" t="s">
        <v>214</v>
      </c>
      <c r="H3694" s="3" t="s">
        <v>37</v>
      </c>
      <c r="I3694" s="4" t="n">
        <v>20</v>
      </c>
      <c r="J3694" s="4" t="n">
        <f aca="false">LEN(E3694)-LEN(SUBSTITUTE(E3694,",",""))+1</f>
        <v>6</v>
      </c>
      <c r="K3694" s="3" t="str">
        <f aca="false">IFERROR(INDEX('Teacher Lookup'!$B$2:$B$200,MATCH(A3694,'Teacher Lookup'!$A$2:$A$200,0)),"")</f>
        <v>LI Emily</v>
      </c>
    </row>
    <row r="3695" customFormat="false" ht="15" hidden="false" customHeight="false" outlineLevel="0" collapsed="false">
      <c r="A3695" s="3" t="s">
        <v>400</v>
      </c>
      <c r="B3695" s="4" t="s">
        <v>63</v>
      </c>
      <c r="C3695" s="4" t="n">
        <v>5</v>
      </c>
      <c r="D3695" s="4" t="s">
        <v>78</v>
      </c>
      <c r="E3695" s="3" t="s">
        <v>213</v>
      </c>
      <c r="F3695" s="4" t="str">
        <f aca="false">IF(I3695&gt;J3695,"Y","N")</f>
        <v>Y</v>
      </c>
      <c r="G3695" s="3" t="s">
        <v>214</v>
      </c>
      <c r="H3695" s="3" t="s">
        <v>37</v>
      </c>
      <c r="I3695" s="4" t="n">
        <v>20</v>
      </c>
      <c r="J3695" s="4" t="n">
        <f aca="false">LEN(E3695)-LEN(SUBSTITUTE(E3695,",",""))+1</f>
        <v>6</v>
      </c>
      <c r="K3695" s="3" t="str">
        <f aca="false">IFERROR(INDEX('Teacher Lookup'!$B$2:$B$200,MATCH(A3695,'Teacher Lookup'!$A$2:$A$200,0)),"")</f>
        <v>LI Emily</v>
      </c>
    </row>
    <row r="3696" customFormat="false" ht="15" hidden="false" customHeight="false" outlineLevel="0" collapsed="false">
      <c r="A3696" s="3" t="s">
        <v>400</v>
      </c>
      <c r="B3696" s="4" t="s">
        <v>63</v>
      </c>
      <c r="C3696" s="4" t="n">
        <v>5</v>
      </c>
      <c r="D3696" s="4" t="s">
        <v>79</v>
      </c>
      <c r="E3696" s="3" t="s">
        <v>213</v>
      </c>
      <c r="F3696" s="4" t="str">
        <f aca="false">IF(I3696&gt;J3696,"Y","N")</f>
        <v>Y</v>
      </c>
      <c r="G3696" s="3" t="s">
        <v>214</v>
      </c>
      <c r="H3696" s="3" t="s">
        <v>37</v>
      </c>
      <c r="I3696" s="4" t="n">
        <v>20</v>
      </c>
      <c r="J3696" s="4" t="n">
        <f aca="false">LEN(E3696)-LEN(SUBSTITUTE(E3696,",",""))+1</f>
        <v>6</v>
      </c>
      <c r="K3696" s="3" t="str">
        <f aca="false">IFERROR(INDEX('Teacher Lookup'!$B$2:$B$200,MATCH(A3696,'Teacher Lookup'!$A$2:$A$200,0)),"")</f>
        <v>LI Emily</v>
      </c>
    </row>
    <row r="3697" customFormat="false" ht="15" hidden="false" customHeight="false" outlineLevel="0" collapsed="false">
      <c r="A3697" s="3" t="s">
        <v>400</v>
      </c>
      <c r="B3697" s="4" t="s">
        <v>63</v>
      </c>
      <c r="C3697" s="4" t="n">
        <v>6</v>
      </c>
      <c r="D3697" s="4" t="s">
        <v>13</v>
      </c>
      <c r="E3697" s="3" t="s">
        <v>43</v>
      </c>
      <c r="F3697" s="4" t="str">
        <f aca="false">IF(I3697&gt;J3697,"Y","N")</f>
        <v>N</v>
      </c>
      <c r="G3697" s="3" t="s">
        <v>15</v>
      </c>
      <c r="H3697" s="3" t="s">
        <v>42</v>
      </c>
      <c r="I3697" s="4" t="n">
        <v>4</v>
      </c>
      <c r="J3697" s="4" t="n">
        <f aca="false">LEN(E3697)-LEN(SUBSTITUTE(E3697,",",""))+1</f>
        <v>4</v>
      </c>
      <c r="K3697" s="3" t="str">
        <f aca="false">IFERROR(INDEX('Teacher Lookup'!$B$2:$B$200,MATCH(A3697,'Teacher Lookup'!$A$2:$A$200,0)),"")</f>
        <v>LI Emily</v>
      </c>
    </row>
    <row r="3698" customFormat="false" ht="15" hidden="false" customHeight="false" outlineLevel="0" collapsed="false">
      <c r="A3698" s="3" t="s">
        <v>400</v>
      </c>
      <c r="B3698" s="4" t="s">
        <v>63</v>
      </c>
      <c r="C3698" s="4" t="n">
        <v>6</v>
      </c>
      <c r="D3698" s="4" t="s">
        <v>17</v>
      </c>
      <c r="E3698" s="3" t="s">
        <v>43</v>
      </c>
      <c r="F3698" s="4" t="str">
        <f aca="false">IF(I3698&gt;J3698,"Y","N")</f>
        <v>N</v>
      </c>
      <c r="G3698" s="3" t="s">
        <v>15</v>
      </c>
      <c r="H3698" s="3" t="s">
        <v>42</v>
      </c>
      <c r="I3698" s="4" t="n">
        <v>4</v>
      </c>
      <c r="J3698" s="4" t="n">
        <f aca="false">LEN(E3698)-LEN(SUBSTITUTE(E3698,",",""))+1</f>
        <v>4</v>
      </c>
      <c r="K3698" s="3" t="str">
        <f aca="false">IFERROR(INDEX('Teacher Lookup'!$B$2:$B$200,MATCH(A3698,'Teacher Lookup'!$A$2:$A$200,0)),"")</f>
        <v>LI Emily</v>
      </c>
    </row>
    <row r="3699" customFormat="false" ht="15" hidden="false" customHeight="false" outlineLevel="0" collapsed="false">
      <c r="A3699" s="3" t="s">
        <v>400</v>
      </c>
      <c r="B3699" s="4" t="s">
        <v>63</v>
      </c>
      <c r="C3699" s="4" t="n">
        <v>6</v>
      </c>
      <c r="D3699" s="4" t="s">
        <v>18</v>
      </c>
      <c r="E3699" s="3" t="s">
        <v>43</v>
      </c>
      <c r="F3699" s="4" t="str">
        <f aca="false">IF(I3699&gt;J3699,"Y","N")</f>
        <v>N</v>
      </c>
      <c r="G3699" s="3" t="s">
        <v>15</v>
      </c>
      <c r="H3699" s="3" t="s">
        <v>42</v>
      </c>
      <c r="I3699" s="4" t="n">
        <v>4</v>
      </c>
      <c r="J3699" s="4" t="n">
        <f aca="false">LEN(E3699)-LEN(SUBSTITUTE(E3699,",",""))+1</f>
        <v>4</v>
      </c>
      <c r="K3699" s="3" t="str">
        <f aca="false">IFERROR(INDEX('Teacher Lookup'!$B$2:$B$200,MATCH(A3699,'Teacher Lookup'!$A$2:$A$200,0)),"")</f>
        <v>LI Emily</v>
      </c>
    </row>
    <row r="3700" customFormat="false" ht="15" hidden="false" customHeight="false" outlineLevel="0" collapsed="false">
      <c r="A3700" s="3" t="s">
        <v>400</v>
      </c>
      <c r="B3700" s="4" t="s">
        <v>65</v>
      </c>
      <c r="C3700" s="4" t="n">
        <v>2</v>
      </c>
      <c r="D3700" s="4" t="s">
        <v>24</v>
      </c>
      <c r="E3700" s="3" t="s">
        <v>64</v>
      </c>
      <c r="F3700" s="4" t="str">
        <f aca="false">IF(I3700&gt;J3700,"Y","N")</f>
        <v>N</v>
      </c>
      <c r="G3700" s="3" t="s">
        <v>15</v>
      </c>
      <c r="H3700" s="3" t="s">
        <v>21</v>
      </c>
      <c r="I3700" s="4" t="n">
        <v>6</v>
      </c>
      <c r="J3700" s="4" t="n">
        <f aca="false">LEN(E3700)-LEN(SUBSTITUTE(E3700,",",""))+1</f>
        <v>6</v>
      </c>
      <c r="K3700" s="3" t="str">
        <f aca="false">IFERROR(INDEX('Teacher Lookup'!$B$2:$B$200,MATCH(A3700,'Teacher Lookup'!$A$2:$A$200,0)),"")</f>
        <v>LI Emily</v>
      </c>
    </row>
    <row r="3701" customFormat="false" ht="15" hidden="false" customHeight="false" outlineLevel="0" collapsed="false">
      <c r="A3701" s="3" t="s">
        <v>400</v>
      </c>
      <c r="B3701" s="4" t="s">
        <v>65</v>
      </c>
      <c r="C3701" s="4" t="n">
        <v>2</v>
      </c>
      <c r="D3701" s="4" t="s">
        <v>27</v>
      </c>
      <c r="E3701" s="3" t="s">
        <v>64</v>
      </c>
      <c r="F3701" s="4" t="str">
        <f aca="false">IF(I3701&gt;J3701,"Y","N")</f>
        <v>N</v>
      </c>
      <c r="G3701" s="3" t="s">
        <v>15</v>
      </c>
      <c r="H3701" s="3" t="s">
        <v>21</v>
      </c>
      <c r="I3701" s="4" t="n">
        <v>6</v>
      </c>
      <c r="J3701" s="4" t="n">
        <f aca="false">LEN(E3701)-LEN(SUBSTITUTE(E3701,",",""))+1</f>
        <v>6</v>
      </c>
      <c r="K3701" s="3" t="str">
        <f aca="false">IFERROR(INDEX('Teacher Lookup'!$B$2:$B$200,MATCH(A3701,'Teacher Lookup'!$A$2:$A$200,0)),"")</f>
        <v>LI Emily</v>
      </c>
    </row>
    <row r="3702" customFormat="false" ht="15" hidden="false" customHeight="false" outlineLevel="0" collapsed="false">
      <c r="A3702" s="3" t="s">
        <v>400</v>
      </c>
      <c r="B3702" s="4" t="s">
        <v>65</v>
      </c>
      <c r="C3702" s="4" t="n">
        <v>2</v>
      </c>
      <c r="D3702" s="4" t="s">
        <v>28</v>
      </c>
      <c r="E3702" s="3" t="s">
        <v>64</v>
      </c>
      <c r="F3702" s="4" t="str">
        <f aca="false">IF(I3702&gt;J3702,"Y","N")</f>
        <v>N</v>
      </c>
      <c r="G3702" s="3" t="s">
        <v>15</v>
      </c>
      <c r="H3702" s="3" t="s">
        <v>21</v>
      </c>
      <c r="I3702" s="4" t="n">
        <v>6</v>
      </c>
      <c r="J3702" s="4" t="n">
        <f aca="false">LEN(E3702)-LEN(SUBSTITUTE(E3702,",",""))+1</f>
        <v>6</v>
      </c>
      <c r="K3702" s="3" t="str">
        <f aca="false">IFERROR(INDEX('Teacher Lookup'!$B$2:$B$200,MATCH(A3702,'Teacher Lookup'!$A$2:$A$200,0)),"")</f>
        <v>LI Emily</v>
      </c>
    </row>
    <row r="3703" customFormat="false" ht="15" hidden="false" customHeight="false" outlineLevel="0" collapsed="false">
      <c r="A3703" s="3" t="s">
        <v>400</v>
      </c>
      <c r="B3703" s="4" t="s">
        <v>65</v>
      </c>
      <c r="C3703" s="4" t="n">
        <v>2</v>
      </c>
      <c r="D3703" s="4" t="s">
        <v>29</v>
      </c>
      <c r="E3703" s="3" t="s">
        <v>64</v>
      </c>
      <c r="F3703" s="4" t="str">
        <f aca="false">IF(I3703&gt;J3703,"Y","N")</f>
        <v>N</v>
      </c>
      <c r="G3703" s="3" t="s">
        <v>15</v>
      </c>
      <c r="H3703" s="3" t="s">
        <v>21</v>
      </c>
      <c r="I3703" s="4" t="n">
        <v>6</v>
      </c>
      <c r="J3703" s="4" t="n">
        <f aca="false">LEN(E3703)-LEN(SUBSTITUTE(E3703,",",""))+1</f>
        <v>6</v>
      </c>
      <c r="K3703" s="3" t="str">
        <f aca="false">IFERROR(INDEX('Teacher Lookup'!$B$2:$B$200,MATCH(A3703,'Teacher Lookup'!$A$2:$A$200,0)),"")</f>
        <v>LI Emily</v>
      </c>
    </row>
    <row r="3704" customFormat="false" ht="15" hidden="false" customHeight="false" outlineLevel="0" collapsed="false">
      <c r="A3704" s="3" t="s">
        <v>400</v>
      </c>
      <c r="B3704" s="4" t="s">
        <v>65</v>
      </c>
      <c r="C3704" s="4" t="n">
        <v>2</v>
      </c>
      <c r="D3704" s="4" t="s">
        <v>30</v>
      </c>
      <c r="E3704" s="3" t="s">
        <v>64</v>
      </c>
      <c r="F3704" s="4" t="str">
        <f aca="false">IF(I3704&gt;J3704,"Y","N")</f>
        <v>N</v>
      </c>
      <c r="G3704" s="3" t="s">
        <v>15</v>
      </c>
      <c r="H3704" s="3" t="s">
        <v>21</v>
      </c>
      <c r="I3704" s="4" t="n">
        <v>6</v>
      </c>
      <c r="J3704" s="4" t="n">
        <f aca="false">LEN(E3704)-LEN(SUBSTITUTE(E3704,",",""))+1</f>
        <v>6</v>
      </c>
      <c r="K3704" s="3" t="str">
        <f aca="false">IFERROR(INDEX('Teacher Lookup'!$B$2:$B$200,MATCH(A3704,'Teacher Lookup'!$A$2:$A$200,0)),"")</f>
        <v>LI Emily</v>
      </c>
    </row>
    <row r="3705" customFormat="false" ht="15" hidden="false" customHeight="false" outlineLevel="0" collapsed="false">
      <c r="A3705" s="3" t="s">
        <v>400</v>
      </c>
      <c r="B3705" s="4" t="s">
        <v>65</v>
      </c>
      <c r="C3705" s="4" t="n">
        <v>4</v>
      </c>
      <c r="D3705" s="4" t="s">
        <v>13</v>
      </c>
      <c r="E3705" s="3" t="s">
        <v>14</v>
      </c>
      <c r="F3705" s="4" t="str">
        <f aca="false">IF(I3705&gt;J3705,"Y","N")</f>
        <v>N</v>
      </c>
      <c r="G3705" s="3" t="s">
        <v>15</v>
      </c>
      <c r="H3705" s="3" t="s">
        <v>34</v>
      </c>
      <c r="I3705" s="4" t="n">
        <v>4</v>
      </c>
      <c r="J3705" s="4" t="n">
        <f aca="false">LEN(E3705)-LEN(SUBSTITUTE(E3705,",",""))+1</f>
        <v>4</v>
      </c>
      <c r="K3705" s="3" t="str">
        <f aca="false">IFERROR(INDEX('Teacher Lookup'!$B$2:$B$200,MATCH(A3705,'Teacher Lookup'!$A$2:$A$200,0)),"")</f>
        <v>LI Emily</v>
      </c>
    </row>
    <row r="3706" customFormat="false" ht="15" hidden="false" customHeight="false" outlineLevel="0" collapsed="false">
      <c r="A3706" s="3" t="s">
        <v>400</v>
      </c>
      <c r="B3706" s="4" t="s">
        <v>65</v>
      </c>
      <c r="C3706" s="4" t="n">
        <v>4</v>
      </c>
      <c r="D3706" s="4" t="s">
        <v>17</v>
      </c>
      <c r="E3706" s="3" t="s">
        <v>14</v>
      </c>
      <c r="F3706" s="4" t="str">
        <f aca="false">IF(I3706&gt;J3706,"Y","N")</f>
        <v>N</v>
      </c>
      <c r="G3706" s="3" t="s">
        <v>15</v>
      </c>
      <c r="H3706" s="3" t="s">
        <v>34</v>
      </c>
      <c r="I3706" s="4" t="n">
        <v>4</v>
      </c>
      <c r="J3706" s="4" t="n">
        <f aca="false">LEN(E3706)-LEN(SUBSTITUTE(E3706,",",""))+1</f>
        <v>4</v>
      </c>
      <c r="K3706" s="3" t="str">
        <f aca="false">IFERROR(INDEX('Teacher Lookup'!$B$2:$B$200,MATCH(A3706,'Teacher Lookup'!$A$2:$A$200,0)),"")</f>
        <v>LI Emily</v>
      </c>
    </row>
    <row r="3707" customFormat="false" ht="15" hidden="false" customHeight="false" outlineLevel="0" collapsed="false">
      <c r="A3707" s="3" t="s">
        <v>400</v>
      </c>
      <c r="B3707" s="4" t="s">
        <v>65</v>
      </c>
      <c r="C3707" s="4" t="n">
        <v>4</v>
      </c>
      <c r="D3707" s="4" t="s">
        <v>18</v>
      </c>
      <c r="E3707" s="3" t="s">
        <v>14</v>
      </c>
      <c r="F3707" s="4" t="str">
        <f aca="false">IF(I3707&gt;J3707,"Y","N")</f>
        <v>N</v>
      </c>
      <c r="G3707" s="3" t="s">
        <v>15</v>
      </c>
      <c r="H3707" s="3" t="s">
        <v>34</v>
      </c>
      <c r="I3707" s="4" t="n">
        <v>4</v>
      </c>
      <c r="J3707" s="4" t="n">
        <f aca="false">LEN(E3707)-LEN(SUBSTITUTE(E3707,",",""))+1</f>
        <v>4</v>
      </c>
      <c r="K3707" s="3" t="str">
        <f aca="false">IFERROR(INDEX('Teacher Lookup'!$B$2:$B$200,MATCH(A3707,'Teacher Lookup'!$A$2:$A$200,0)),"")</f>
        <v>LI Emily</v>
      </c>
    </row>
    <row r="3708" customFormat="false" ht="15" hidden="false" customHeight="false" outlineLevel="0" collapsed="false">
      <c r="A3708" s="3" t="s">
        <v>400</v>
      </c>
      <c r="B3708" s="4" t="s">
        <v>65</v>
      </c>
      <c r="C3708" s="4" t="n">
        <v>5</v>
      </c>
      <c r="D3708" s="4" t="s">
        <v>24</v>
      </c>
      <c r="E3708" s="3" t="s">
        <v>131</v>
      </c>
      <c r="F3708" s="4" t="str">
        <f aca="false">IF(I3708&gt;J3708,"Y","N")</f>
        <v>Y</v>
      </c>
      <c r="G3708" s="3" t="s">
        <v>36</v>
      </c>
      <c r="H3708" s="3" t="s">
        <v>37</v>
      </c>
      <c r="I3708" s="4" t="n">
        <v>15</v>
      </c>
      <c r="J3708" s="4" t="n">
        <f aca="false">LEN(E3708)-LEN(SUBSTITUTE(E3708,",",""))+1</f>
        <v>7</v>
      </c>
      <c r="K3708" s="3" t="str">
        <f aca="false">IFERROR(INDEX('Teacher Lookup'!$B$2:$B$200,MATCH(A3708,'Teacher Lookup'!$A$2:$A$200,0)),"")</f>
        <v>LI Emily</v>
      </c>
    </row>
    <row r="3709" customFormat="false" ht="15" hidden="false" customHeight="false" outlineLevel="0" collapsed="false">
      <c r="A3709" s="3" t="s">
        <v>400</v>
      </c>
      <c r="B3709" s="4" t="s">
        <v>65</v>
      </c>
      <c r="C3709" s="4" t="n">
        <v>5</v>
      </c>
      <c r="D3709" s="4" t="s">
        <v>132</v>
      </c>
      <c r="E3709" s="3" t="s">
        <v>131</v>
      </c>
      <c r="F3709" s="4" t="str">
        <f aca="false">IF(I3709&gt;J3709,"Y","N")</f>
        <v>Y</v>
      </c>
      <c r="G3709" s="3" t="s">
        <v>36</v>
      </c>
      <c r="H3709" s="3" t="s">
        <v>37</v>
      </c>
      <c r="I3709" s="4" t="n">
        <v>15</v>
      </c>
      <c r="J3709" s="4" t="n">
        <f aca="false">LEN(E3709)-LEN(SUBSTITUTE(E3709,",",""))+1</f>
        <v>7</v>
      </c>
      <c r="K3709" s="3" t="str">
        <f aca="false">IFERROR(INDEX('Teacher Lookup'!$B$2:$B$200,MATCH(A3709,'Teacher Lookup'!$A$2:$A$200,0)),"")</f>
        <v>LI Emily</v>
      </c>
    </row>
    <row r="3710" customFormat="false" ht="15" hidden="false" customHeight="false" outlineLevel="0" collapsed="false">
      <c r="A3710" s="3" t="s">
        <v>400</v>
      </c>
      <c r="B3710" s="4" t="s">
        <v>65</v>
      </c>
      <c r="C3710" s="4" t="n">
        <v>5</v>
      </c>
      <c r="D3710" s="4" t="s">
        <v>27</v>
      </c>
      <c r="E3710" s="3" t="s">
        <v>131</v>
      </c>
      <c r="F3710" s="4" t="str">
        <f aca="false">IF(I3710&gt;J3710,"Y","N")</f>
        <v>Y</v>
      </c>
      <c r="G3710" s="3" t="s">
        <v>36</v>
      </c>
      <c r="H3710" s="3" t="s">
        <v>37</v>
      </c>
      <c r="I3710" s="4" t="n">
        <v>15</v>
      </c>
      <c r="J3710" s="4" t="n">
        <f aca="false">LEN(E3710)-LEN(SUBSTITUTE(E3710,",",""))+1</f>
        <v>7</v>
      </c>
      <c r="K3710" s="3" t="str">
        <f aca="false">IFERROR(INDEX('Teacher Lookup'!$B$2:$B$200,MATCH(A3710,'Teacher Lookup'!$A$2:$A$200,0)),"")</f>
        <v>LI Emily</v>
      </c>
    </row>
    <row r="3711" customFormat="false" ht="15" hidden="false" customHeight="false" outlineLevel="0" collapsed="false">
      <c r="A3711" s="3" t="s">
        <v>400</v>
      </c>
      <c r="B3711" s="4" t="s">
        <v>65</v>
      </c>
      <c r="C3711" s="4" t="n">
        <v>5</v>
      </c>
      <c r="D3711" s="4" t="s">
        <v>28</v>
      </c>
      <c r="E3711" s="3" t="s">
        <v>131</v>
      </c>
      <c r="F3711" s="4" t="str">
        <f aca="false">IF(I3711&gt;J3711,"Y","N")</f>
        <v>Y</v>
      </c>
      <c r="G3711" s="3" t="s">
        <v>36</v>
      </c>
      <c r="H3711" s="3" t="s">
        <v>37</v>
      </c>
      <c r="I3711" s="4" t="n">
        <v>15</v>
      </c>
      <c r="J3711" s="4" t="n">
        <f aca="false">LEN(E3711)-LEN(SUBSTITUTE(E3711,",",""))+1</f>
        <v>7</v>
      </c>
      <c r="K3711" s="3" t="str">
        <f aca="false">IFERROR(INDEX('Teacher Lookup'!$B$2:$B$200,MATCH(A3711,'Teacher Lookup'!$A$2:$A$200,0)),"")</f>
        <v>LI Emily</v>
      </c>
    </row>
    <row r="3712" customFormat="false" ht="15" hidden="false" customHeight="false" outlineLevel="0" collapsed="false">
      <c r="A3712" s="3" t="s">
        <v>400</v>
      </c>
      <c r="B3712" s="4" t="s">
        <v>65</v>
      </c>
      <c r="C3712" s="4" t="n">
        <v>5</v>
      </c>
      <c r="D3712" s="4" t="s">
        <v>29</v>
      </c>
      <c r="E3712" s="3" t="s">
        <v>131</v>
      </c>
      <c r="F3712" s="4" t="str">
        <f aca="false">IF(I3712&gt;J3712,"Y","N")</f>
        <v>Y</v>
      </c>
      <c r="G3712" s="3" t="s">
        <v>36</v>
      </c>
      <c r="H3712" s="3" t="s">
        <v>37</v>
      </c>
      <c r="I3712" s="4" t="n">
        <v>15</v>
      </c>
      <c r="J3712" s="4" t="n">
        <f aca="false">LEN(E3712)-LEN(SUBSTITUTE(E3712,",",""))+1</f>
        <v>7</v>
      </c>
      <c r="K3712" s="3" t="str">
        <f aca="false">IFERROR(INDEX('Teacher Lookup'!$B$2:$B$200,MATCH(A3712,'Teacher Lookup'!$A$2:$A$200,0)),"")</f>
        <v>LI Emily</v>
      </c>
    </row>
    <row r="3713" customFormat="false" ht="15" hidden="false" customHeight="false" outlineLevel="0" collapsed="false">
      <c r="A3713" s="3" t="s">
        <v>400</v>
      </c>
      <c r="B3713" s="4" t="s">
        <v>65</v>
      </c>
      <c r="C3713" s="4" t="n">
        <v>5</v>
      </c>
      <c r="D3713" s="4" t="s">
        <v>30</v>
      </c>
      <c r="E3713" s="3" t="s">
        <v>131</v>
      </c>
      <c r="F3713" s="4" t="str">
        <f aca="false">IF(I3713&gt;J3713,"Y","N")</f>
        <v>Y</v>
      </c>
      <c r="G3713" s="3" t="s">
        <v>36</v>
      </c>
      <c r="H3713" s="3" t="s">
        <v>37</v>
      </c>
      <c r="I3713" s="4" t="n">
        <v>15</v>
      </c>
      <c r="J3713" s="4" t="n">
        <f aca="false">LEN(E3713)-LEN(SUBSTITUTE(E3713,",",""))+1</f>
        <v>7</v>
      </c>
      <c r="K3713" s="3" t="str">
        <f aca="false">IFERROR(INDEX('Teacher Lookup'!$B$2:$B$200,MATCH(A3713,'Teacher Lookup'!$A$2:$A$200,0)),"")</f>
        <v>LI Emily</v>
      </c>
    </row>
    <row r="3714" customFormat="false" ht="15" hidden="false" customHeight="false" outlineLevel="0" collapsed="false">
      <c r="A3714" s="3" t="s">
        <v>400</v>
      </c>
      <c r="B3714" s="4" t="s">
        <v>66</v>
      </c>
      <c r="C3714" s="4" t="n">
        <v>3</v>
      </c>
      <c r="D3714" s="4" t="s">
        <v>24</v>
      </c>
      <c r="E3714" s="3" t="s">
        <v>67</v>
      </c>
      <c r="F3714" s="4" t="str">
        <f aca="false">IF(I3714&gt;J3714,"Y","N")</f>
        <v>N</v>
      </c>
      <c r="G3714" s="3" t="s">
        <v>15</v>
      </c>
      <c r="H3714" s="3" t="s">
        <v>26</v>
      </c>
      <c r="I3714" s="4" t="n">
        <v>6</v>
      </c>
      <c r="J3714" s="4" t="n">
        <f aca="false">LEN(E3714)-LEN(SUBSTITUTE(E3714,",",""))+1</f>
        <v>6</v>
      </c>
      <c r="K3714" s="3" t="str">
        <f aca="false">IFERROR(INDEX('Teacher Lookup'!$B$2:$B$200,MATCH(A3714,'Teacher Lookup'!$A$2:$A$200,0)),"")</f>
        <v>LI Emily</v>
      </c>
    </row>
    <row r="3715" customFormat="false" ht="15" hidden="false" customHeight="false" outlineLevel="0" collapsed="false">
      <c r="A3715" s="3" t="s">
        <v>400</v>
      </c>
      <c r="B3715" s="4" t="s">
        <v>66</v>
      </c>
      <c r="C3715" s="4" t="n">
        <v>3</v>
      </c>
      <c r="D3715" s="4" t="s">
        <v>27</v>
      </c>
      <c r="E3715" s="3" t="s">
        <v>67</v>
      </c>
      <c r="F3715" s="4" t="str">
        <f aca="false">IF(I3715&gt;J3715,"Y","N")</f>
        <v>N</v>
      </c>
      <c r="G3715" s="3" t="s">
        <v>15</v>
      </c>
      <c r="H3715" s="3" t="s">
        <v>26</v>
      </c>
      <c r="I3715" s="4" t="n">
        <v>6</v>
      </c>
      <c r="J3715" s="4" t="n">
        <f aca="false">LEN(E3715)-LEN(SUBSTITUTE(E3715,",",""))+1</f>
        <v>6</v>
      </c>
      <c r="K3715" s="3" t="str">
        <f aca="false">IFERROR(INDEX('Teacher Lookup'!$B$2:$B$200,MATCH(A3715,'Teacher Lookup'!$A$2:$A$200,0)),"")</f>
        <v>LI Emily</v>
      </c>
    </row>
    <row r="3716" customFormat="false" ht="15" hidden="false" customHeight="false" outlineLevel="0" collapsed="false">
      <c r="A3716" s="3" t="s">
        <v>400</v>
      </c>
      <c r="B3716" s="4" t="s">
        <v>66</v>
      </c>
      <c r="C3716" s="4" t="n">
        <v>3</v>
      </c>
      <c r="D3716" s="4" t="s">
        <v>28</v>
      </c>
      <c r="E3716" s="3" t="s">
        <v>67</v>
      </c>
      <c r="F3716" s="4" t="str">
        <f aca="false">IF(I3716&gt;J3716,"Y","N")</f>
        <v>N</v>
      </c>
      <c r="G3716" s="3" t="s">
        <v>15</v>
      </c>
      <c r="H3716" s="3" t="s">
        <v>26</v>
      </c>
      <c r="I3716" s="4" t="n">
        <v>6</v>
      </c>
      <c r="J3716" s="4" t="n">
        <f aca="false">LEN(E3716)-LEN(SUBSTITUTE(E3716,",",""))+1</f>
        <v>6</v>
      </c>
      <c r="K3716" s="3" t="str">
        <f aca="false">IFERROR(INDEX('Teacher Lookup'!$B$2:$B$200,MATCH(A3716,'Teacher Lookup'!$A$2:$A$200,0)),"")</f>
        <v>LI Emily</v>
      </c>
    </row>
    <row r="3717" customFormat="false" ht="15" hidden="false" customHeight="false" outlineLevel="0" collapsed="false">
      <c r="A3717" s="3" t="s">
        <v>400</v>
      </c>
      <c r="B3717" s="4" t="s">
        <v>66</v>
      </c>
      <c r="C3717" s="4" t="n">
        <v>3</v>
      </c>
      <c r="D3717" s="4" t="s">
        <v>29</v>
      </c>
      <c r="E3717" s="3" t="s">
        <v>67</v>
      </c>
      <c r="F3717" s="4" t="str">
        <f aca="false">IF(I3717&gt;J3717,"Y","N")</f>
        <v>N</v>
      </c>
      <c r="G3717" s="3" t="s">
        <v>15</v>
      </c>
      <c r="H3717" s="3" t="s">
        <v>26</v>
      </c>
      <c r="I3717" s="4" t="n">
        <v>6</v>
      </c>
      <c r="J3717" s="4" t="n">
        <f aca="false">LEN(E3717)-LEN(SUBSTITUTE(E3717,",",""))+1</f>
        <v>6</v>
      </c>
      <c r="K3717" s="3" t="str">
        <f aca="false">IFERROR(INDEX('Teacher Lookup'!$B$2:$B$200,MATCH(A3717,'Teacher Lookup'!$A$2:$A$200,0)),"")</f>
        <v>LI Emily</v>
      </c>
    </row>
    <row r="3718" customFormat="false" ht="15" hidden="false" customHeight="false" outlineLevel="0" collapsed="false">
      <c r="A3718" s="3" t="s">
        <v>400</v>
      </c>
      <c r="B3718" s="4" t="s">
        <v>66</v>
      </c>
      <c r="C3718" s="4" t="n">
        <v>3</v>
      </c>
      <c r="D3718" s="4" t="s">
        <v>30</v>
      </c>
      <c r="E3718" s="3" t="s">
        <v>67</v>
      </c>
      <c r="F3718" s="4" t="str">
        <f aca="false">IF(I3718&gt;J3718,"Y","N")</f>
        <v>N</v>
      </c>
      <c r="G3718" s="3" t="s">
        <v>15</v>
      </c>
      <c r="H3718" s="3" t="s">
        <v>26</v>
      </c>
      <c r="I3718" s="4" t="n">
        <v>6</v>
      </c>
      <c r="J3718" s="4" t="n">
        <f aca="false">LEN(E3718)-LEN(SUBSTITUTE(E3718,",",""))+1</f>
        <v>6</v>
      </c>
      <c r="K3718" s="3" t="str">
        <f aca="false">IFERROR(INDEX('Teacher Lookup'!$B$2:$B$200,MATCH(A3718,'Teacher Lookup'!$A$2:$A$200,0)),"")</f>
        <v>LI Emily</v>
      </c>
    </row>
    <row r="3719" customFormat="false" ht="15" hidden="false" customHeight="false" outlineLevel="0" collapsed="false">
      <c r="A3719" s="3" t="s">
        <v>400</v>
      </c>
      <c r="B3719" s="4" t="s">
        <v>66</v>
      </c>
      <c r="C3719" s="4" t="n">
        <v>6</v>
      </c>
      <c r="D3719" s="4" t="s">
        <v>19</v>
      </c>
      <c r="E3719" s="3" t="s">
        <v>51</v>
      </c>
      <c r="F3719" s="4" t="str">
        <f aca="false">IF(I3719&gt;J3719,"Y","N")</f>
        <v>N</v>
      </c>
      <c r="G3719" s="3" t="s">
        <v>15</v>
      </c>
      <c r="H3719" s="3" t="s">
        <v>42</v>
      </c>
      <c r="I3719" s="4" t="n">
        <v>4</v>
      </c>
      <c r="J3719" s="4" t="n">
        <f aca="false">LEN(E3719)-LEN(SUBSTITUTE(E3719,",",""))+1</f>
        <v>4</v>
      </c>
      <c r="K3719" s="3" t="str">
        <f aca="false">IFERROR(INDEX('Teacher Lookup'!$B$2:$B$200,MATCH(A3719,'Teacher Lookup'!$A$2:$A$200,0)),"")</f>
        <v>LI Emily</v>
      </c>
    </row>
    <row r="3720" customFormat="false" ht="15" hidden="false" customHeight="false" outlineLevel="0" collapsed="false">
      <c r="A3720" s="3" t="s">
        <v>400</v>
      </c>
      <c r="B3720" s="4" t="s">
        <v>66</v>
      </c>
      <c r="C3720" s="4" t="n">
        <v>6</v>
      </c>
      <c r="D3720" s="4" t="s">
        <v>22</v>
      </c>
      <c r="E3720" s="3" t="s">
        <v>51</v>
      </c>
      <c r="F3720" s="4" t="str">
        <f aca="false">IF(I3720&gt;J3720,"Y","N")</f>
        <v>N</v>
      </c>
      <c r="G3720" s="3" t="s">
        <v>15</v>
      </c>
      <c r="H3720" s="3" t="s">
        <v>42</v>
      </c>
      <c r="I3720" s="4" t="n">
        <v>4</v>
      </c>
      <c r="J3720" s="4" t="n">
        <f aca="false">LEN(E3720)-LEN(SUBSTITUTE(E3720,",",""))+1</f>
        <v>4</v>
      </c>
      <c r="K3720" s="3" t="str">
        <f aca="false">IFERROR(INDEX('Teacher Lookup'!$B$2:$B$200,MATCH(A3720,'Teacher Lookup'!$A$2:$A$200,0)),"")</f>
        <v>LI Emily</v>
      </c>
    </row>
    <row r="3721" customFormat="false" ht="15" hidden="false" customHeight="false" outlineLevel="0" collapsed="false">
      <c r="A3721" s="3" t="s">
        <v>400</v>
      </c>
      <c r="B3721" s="4" t="s">
        <v>66</v>
      </c>
      <c r="C3721" s="4" t="n">
        <v>6</v>
      </c>
      <c r="D3721" s="4" t="s">
        <v>23</v>
      </c>
      <c r="E3721" s="3" t="s">
        <v>51</v>
      </c>
      <c r="F3721" s="4" t="str">
        <f aca="false">IF(I3721&gt;J3721,"Y","N")</f>
        <v>N</v>
      </c>
      <c r="G3721" s="3" t="s">
        <v>15</v>
      </c>
      <c r="H3721" s="3" t="s">
        <v>42</v>
      </c>
      <c r="I3721" s="4" t="n">
        <v>4</v>
      </c>
      <c r="J3721" s="4" t="n">
        <f aca="false">LEN(E3721)-LEN(SUBSTITUTE(E3721,",",""))+1</f>
        <v>4</v>
      </c>
      <c r="K3721" s="3" t="str">
        <f aca="false">IFERROR(INDEX('Teacher Lookup'!$B$2:$B$200,MATCH(A3721,'Teacher Lookup'!$A$2:$A$200,0)),"")</f>
        <v>LI Emily</v>
      </c>
    </row>
    <row r="3722" customFormat="false" ht="15" hidden="false" customHeight="false" outlineLevel="0" collapsed="false">
      <c r="A3722" s="3" t="s">
        <v>400</v>
      </c>
      <c r="B3722" s="4" t="s">
        <v>66</v>
      </c>
      <c r="C3722" s="4" t="n">
        <v>7</v>
      </c>
      <c r="D3722" s="4" t="s">
        <v>13</v>
      </c>
      <c r="E3722" s="3" t="s">
        <v>68</v>
      </c>
      <c r="F3722" s="4" t="str">
        <f aca="false">IF(I3722&gt;J3722,"Y","N")</f>
        <v>N</v>
      </c>
      <c r="G3722" s="3" t="s">
        <v>15</v>
      </c>
      <c r="H3722" s="3" t="s">
        <v>39</v>
      </c>
      <c r="I3722" s="4" t="n">
        <v>4</v>
      </c>
      <c r="J3722" s="4" t="n">
        <f aca="false">LEN(E3722)-LEN(SUBSTITUTE(E3722,",",""))+1</f>
        <v>4</v>
      </c>
      <c r="K3722" s="3" t="str">
        <f aca="false">IFERROR(INDEX('Teacher Lookup'!$B$2:$B$200,MATCH(A3722,'Teacher Lookup'!$A$2:$A$200,0)),"")</f>
        <v>LI Emily</v>
      </c>
    </row>
    <row r="3723" customFormat="false" ht="15" hidden="false" customHeight="false" outlineLevel="0" collapsed="false">
      <c r="A3723" s="3" t="s">
        <v>400</v>
      </c>
      <c r="B3723" s="4" t="s">
        <v>66</v>
      </c>
      <c r="C3723" s="4" t="n">
        <v>7</v>
      </c>
      <c r="D3723" s="4" t="s">
        <v>17</v>
      </c>
      <c r="E3723" s="3" t="s">
        <v>68</v>
      </c>
      <c r="F3723" s="4" t="str">
        <f aca="false">IF(I3723&gt;J3723,"Y","N")</f>
        <v>N</v>
      </c>
      <c r="G3723" s="3" t="s">
        <v>15</v>
      </c>
      <c r="H3723" s="3" t="s">
        <v>39</v>
      </c>
      <c r="I3723" s="4" t="n">
        <v>4</v>
      </c>
      <c r="J3723" s="4" t="n">
        <f aca="false">LEN(E3723)-LEN(SUBSTITUTE(E3723,",",""))+1</f>
        <v>4</v>
      </c>
      <c r="K3723" s="3" t="str">
        <f aca="false">IFERROR(INDEX('Teacher Lookup'!$B$2:$B$200,MATCH(A3723,'Teacher Lookup'!$A$2:$A$200,0)),"")</f>
        <v>LI Emily</v>
      </c>
    </row>
    <row r="3724" customFormat="false" ht="15" hidden="false" customHeight="false" outlineLevel="0" collapsed="false">
      <c r="A3724" s="3" t="s">
        <v>400</v>
      </c>
      <c r="B3724" s="4" t="s">
        <v>66</v>
      </c>
      <c r="C3724" s="4" t="n">
        <v>7</v>
      </c>
      <c r="D3724" s="4" t="s">
        <v>18</v>
      </c>
      <c r="E3724" s="3" t="s">
        <v>68</v>
      </c>
      <c r="F3724" s="4" t="str">
        <f aca="false">IF(I3724&gt;J3724,"Y","N")</f>
        <v>N</v>
      </c>
      <c r="G3724" s="3" t="s">
        <v>15</v>
      </c>
      <c r="H3724" s="3" t="s">
        <v>39</v>
      </c>
      <c r="I3724" s="4" t="n">
        <v>4</v>
      </c>
      <c r="J3724" s="4" t="n">
        <f aca="false">LEN(E3724)-LEN(SUBSTITUTE(E3724,",",""))+1</f>
        <v>4</v>
      </c>
      <c r="K3724" s="3" t="str">
        <f aca="false">IFERROR(INDEX('Teacher Lookup'!$B$2:$B$200,MATCH(A3724,'Teacher Lookup'!$A$2:$A$200,0)),"")</f>
        <v>LI Emily</v>
      </c>
    </row>
    <row r="3725" customFormat="false" ht="15" hidden="false" customHeight="false" outlineLevel="0" collapsed="false">
      <c r="A3725" s="3" t="s">
        <v>401</v>
      </c>
      <c r="B3725" s="4" t="s">
        <v>12</v>
      </c>
      <c r="C3725" s="4" t="n">
        <v>1</v>
      </c>
      <c r="D3725" s="4" t="s">
        <v>24</v>
      </c>
      <c r="E3725" s="3" t="s">
        <v>402</v>
      </c>
      <c r="F3725" s="4" t="str">
        <f aca="false">IF(I3725&gt;J3725,"Y","N")</f>
        <v>N</v>
      </c>
      <c r="G3725" s="3" t="s">
        <v>164</v>
      </c>
      <c r="H3725" s="3" t="s">
        <v>16</v>
      </c>
      <c r="I3725" s="4" t="n">
        <v>3</v>
      </c>
      <c r="J3725" s="4" t="n">
        <f aca="false">LEN(E3725)-LEN(SUBSTITUTE(E3725,",",""))+1</f>
        <v>3</v>
      </c>
      <c r="K3725" s="3" t="str">
        <f aca="false">IFERROR(INDEX('Teacher Lookup'!$B$2:$B$200,MATCH(A3725,'Teacher Lookup'!$A$2:$A$200,0)),"")</f>
        <v>LIU Fiona</v>
      </c>
    </row>
    <row r="3726" customFormat="false" ht="15" hidden="false" customHeight="false" outlineLevel="0" collapsed="false">
      <c r="A3726" s="3" t="s">
        <v>401</v>
      </c>
      <c r="B3726" s="4" t="s">
        <v>12</v>
      </c>
      <c r="C3726" s="4" t="n">
        <v>1</v>
      </c>
      <c r="D3726" s="4" t="s">
        <v>27</v>
      </c>
      <c r="E3726" s="3" t="s">
        <v>402</v>
      </c>
      <c r="F3726" s="4" t="str">
        <f aca="false">IF(I3726&gt;J3726,"Y","N")</f>
        <v>N</v>
      </c>
      <c r="G3726" s="3" t="s">
        <v>164</v>
      </c>
      <c r="H3726" s="3" t="s">
        <v>16</v>
      </c>
      <c r="I3726" s="4" t="n">
        <v>3</v>
      </c>
      <c r="J3726" s="4" t="n">
        <f aca="false">LEN(E3726)-LEN(SUBSTITUTE(E3726,",",""))+1</f>
        <v>3</v>
      </c>
      <c r="K3726" s="3" t="str">
        <f aca="false">IFERROR(INDEX('Teacher Lookup'!$B$2:$B$200,MATCH(A3726,'Teacher Lookup'!$A$2:$A$200,0)),"")</f>
        <v>LIU Fiona</v>
      </c>
    </row>
    <row r="3727" customFormat="false" ht="15" hidden="false" customHeight="false" outlineLevel="0" collapsed="false">
      <c r="A3727" s="3" t="s">
        <v>401</v>
      </c>
      <c r="B3727" s="4" t="s">
        <v>12</v>
      </c>
      <c r="C3727" s="4" t="n">
        <v>4</v>
      </c>
      <c r="D3727" s="4" t="s">
        <v>28</v>
      </c>
      <c r="E3727" s="3" t="s">
        <v>143</v>
      </c>
      <c r="F3727" s="4" t="str">
        <f aca="false">IF(I3727&gt;J3727,"Y","N")</f>
        <v>N</v>
      </c>
      <c r="G3727" s="3" t="s">
        <v>164</v>
      </c>
      <c r="H3727" s="3" t="s">
        <v>34</v>
      </c>
      <c r="I3727" s="4" t="n">
        <v>4</v>
      </c>
      <c r="J3727" s="4" t="n">
        <f aca="false">LEN(E3727)-LEN(SUBSTITUTE(E3727,",",""))+1</f>
        <v>4</v>
      </c>
      <c r="K3727" s="3" t="str">
        <f aca="false">IFERROR(INDEX('Teacher Lookup'!$B$2:$B$200,MATCH(A3727,'Teacher Lookup'!$A$2:$A$200,0)),"")</f>
        <v>LIU Fiona</v>
      </c>
    </row>
    <row r="3728" customFormat="false" ht="15" hidden="false" customHeight="false" outlineLevel="0" collapsed="false">
      <c r="A3728" s="3" t="s">
        <v>401</v>
      </c>
      <c r="B3728" s="4" t="s">
        <v>12</v>
      </c>
      <c r="C3728" s="4" t="n">
        <v>4</v>
      </c>
      <c r="D3728" s="4" t="s">
        <v>29</v>
      </c>
      <c r="E3728" s="3" t="s">
        <v>143</v>
      </c>
      <c r="F3728" s="4" t="str">
        <f aca="false">IF(I3728&gt;J3728,"Y","N")</f>
        <v>N</v>
      </c>
      <c r="G3728" s="3" t="s">
        <v>164</v>
      </c>
      <c r="H3728" s="3" t="s">
        <v>34</v>
      </c>
      <c r="I3728" s="4" t="n">
        <v>4</v>
      </c>
      <c r="J3728" s="4" t="n">
        <f aca="false">LEN(E3728)-LEN(SUBSTITUTE(E3728,",",""))+1</f>
        <v>4</v>
      </c>
      <c r="K3728" s="3" t="str">
        <f aca="false">IFERROR(INDEX('Teacher Lookup'!$B$2:$B$200,MATCH(A3728,'Teacher Lookup'!$A$2:$A$200,0)),"")</f>
        <v>LIU Fiona</v>
      </c>
    </row>
    <row r="3729" customFormat="false" ht="15" hidden="false" customHeight="false" outlineLevel="0" collapsed="false">
      <c r="A3729" s="3" t="s">
        <v>401</v>
      </c>
      <c r="B3729" s="4" t="s">
        <v>12</v>
      </c>
      <c r="C3729" s="4" t="n">
        <v>4</v>
      </c>
      <c r="D3729" s="4" t="s">
        <v>30</v>
      </c>
      <c r="E3729" s="3" t="s">
        <v>143</v>
      </c>
      <c r="F3729" s="4" t="str">
        <f aca="false">IF(I3729&gt;J3729,"Y","N")</f>
        <v>N</v>
      </c>
      <c r="G3729" s="3" t="s">
        <v>164</v>
      </c>
      <c r="H3729" s="3" t="s">
        <v>34</v>
      </c>
      <c r="I3729" s="4" t="n">
        <v>4</v>
      </c>
      <c r="J3729" s="4" t="n">
        <f aca="false">LEN(E3729)-LEN(SUBSTITUTE(E3729,",",""))+1</f>
        <v>4</v>
      </c>
      <c r="K3729" s="3" t="str">
        <f aca="false">IFERROR(INDEX('Teacher Lookup'!$B$2:$B$200,MATCH(A3729,'Teacher Lookup'!$A$2:$A$200,0)),"")</f>
        <v>LIU Fiona</v>
      </c>
    </row>
    <row r="3730" customFormat="false" ht="15" hidden="false" customHeight="false" outlineLevel="0" collapsed="false">
      <c r="A3730" s="3" t="s">
        <v>401</v>
      </c>
      <c r="B3730" s="4" t="s">
        <v>12</v>
      </c>
      <c r="C3730" s="4" t="n">
        <v>6</v>
      </c>
      <c r="D3730" s="4" t="s">
        <v>102</v>
      </c>
      <c r="E3730" s="3" t="s">
        <v>255</v>
      </c>
      <c r="F3730" s="4" t="str">
        <f aca="false">IF(I3730&gt;J3730,"Y","N")</f>
        <v>N</v>
      </c>
      <c r="G3730" s="3" t="s">
        <v>164</v>
      </c>
      <c r="H3730" s="3" t="s">
        <v>42</v>
      </c>
      <c r="I3730" s="4" t="n">
        <v>3</v>
      </c>
      <c r="J3730" s="4" t="n">
        <f aca="false">LEN(E3730)-LEN(SUBSTITUTE(E3730,",",""))+1</f>
        <v>3</v>
      </c>
      <c r="K3730" s="3" t="str">
        <f aca="false">IFERROR(INDEX('Teacher Lookup'!$B$2:$B$200,MATCH(A3730,'Teacher Lookup'!$A$2:$A$200,0)),"")</f>
        <v>LIU Fiona</v>
      </c>
    </row>
    <row r="3731" customFormat="false" ht="15" hidden="false" customHeight="false" outlineLevel="0" collapsed="false">
      <c r="A3731" s="3" t="s">
        <v>401</v>
      </c>
      <c r="B3731" s="4" t="s">
        <v>12</v>
      </c>
      <c r="C3731" s="4" t="n">
        <v>6</v>
      </c>
      <c r="D3731" s="4" t="s">
        <v>107</v>
      </c>
      <c r="E3731" s="3" t="s">
        <v>255</v>
      </c>
      <c r="F3731" s="4" t="str">
        <f aca="false">IF(I3731&gt;J3731,"Y","N")</f>
        <v>N</v>
      </c>
      <c r="G3731" s="3" t="s">
        <v>164</v>
      </c>
      <c r="H3731" s="3" t="s">
        <v>42</v>
      </c>
      <c r="I3731" s="4" t="n">
        <v>3</v>
      </c>
      <c r="J3731" s="4" t="n">
        <f aca="false">LEN(E3731)-LEN(SUBSTITUTE(E3731,",",""))+1</f>
        <v>3</v>
      </c>
      <c r="K3731" s="3" t="str">
        <f aca="false">IFERROR(INDEX('Teacher Lookup'!$B$2:$B$200,MATCH(A3731,'Teacher Lookup'!$A$2:$A$200,0)),"")</f>
        <v>LIU Fiona</v>
      </c>
    </row>
    <row r="3732" customFormat="false" ht="15" hidden="false" customHeight="false" outlineLevel="0" collapsed="false">
      <c r="A3732" s="3" t="s">
        <v>401</v>
      </c>
      <c r="B3732" s="4" t="s">
        <v>31</v>
      </c>
      <c r="C3732" s="4" t="n">
        <v>1</v>
      </c>
      <c r="D3732" s="4" t="s">
        <v>102</v>
      </c>
      <c r="E3732" s="3" t="s">
        <v>256</v>
      </c>
      <c r="F3732" s="4" t="str">
        <f aca="false">IF(I3732&gt;J3732,"Y","N")</f>
        <v>N</v>
      </c>
      <c r="G3732" s="3" t="s">
        <v>164</v>
      </c>
      <c r="H3732" s="3" t="s">
        <v>16</v>
      </c>
      <c r="I3732" s="4" t="n">
        <v>3</v>
      </c>
      <c r="J3732" s="4" t="n">
        <f aca="false">LEN(E3732)-LEN(SUBSTITUTE(E3732,",",""))+1</f>
        <v>3</v>
      </c>
      <c r="K3732" s="3" t="str">
        <f aca="false">IFERROR(INDEX('Teacher Lookup'!$B$2:$B$200,MATCH(A3732,'Teacher Lookup'!$A$2:$A$200,0)),"")</f>
        <v>LIU Fiona</v>
      </c>
    </row>
    <row r="3733" customFormat="false" ht="15" hidden="false" customHeight="false" outlineLevel="0" collapsed="false">
      <c r="A3733" s="3" t="s">
        <v>401</v>
      </c>
      <c r="B3733" s="4" t="s">
        <v>31</v>
      </c>
      <c r="C3733" s="4" t="n">
        <v>1</v>
      </c>
      <c r="D3733" s="4" t="s">
        <v>107</v>
      </c>
      <c r="E3733" s="3" t="s">
        <v>256</v>
      </c>
      <c r="F3733" s="4" t="str">
        <f aca="false">IF(I3733&gt;J3733,"Y","N")</f>
        <v>N</v>
      </c>
      <c r="G3733" s="3" t="s">
        <v>164</v>
      </c>
      <c r="H3733" s="3" t="s">
        <v>16</v>
      </c>
      <c r="I3733" s="4" t="n">
        <v>3</v>
      </c>
      <c r="J3733" s="4" t="n">
        <f aca="false">LEN(E3733)-LEN(SUBSTITUTE(E3733,",",""))+1</f>
        <v>3</v>
      </c>
      <c r="K3733" s="3" t="str">
        <f aca="false">IFERROR(INDEX('Teacher Lookup'!$B$2:$B$200,MATCH(A3733,'Teacher Lookup'!$A$2:$A$200,0)),"")</f>
        <v>LIU Fiona</v>
      </c>
    </row>
    <row r="3734" customFormat="false" ht="15" hidden="false" customHeight="false" outlineLevel="0" collapsed="false">
      <c r="A3734" s="3" t="s">
        <v>401</v>
      </c>
      <c r="B3734" s="4" t="s">
        <v>31</v>
      </c>
      <c r="C3734" s="4" t="n">
        <v>3</v>
      </c>
      <c r="D3734" s="4" t="s">
        <v>28</v>
      </c>
      <c r="E3734" s="3" t="s">
        <v>159</v>
      </c>
      <c r="F3734" s="4" t="str">
        <f aca="false">IF(I3734&gt;J3734,"Y","N")</f>
        <v>N</v>
      </c>
      <c r="G3734" s="3" t="s">
        <v>164</v>
      </c>
      <c r="H3734" s="3" t="s">
        <v>26</v>
      </c>
      <c r="I3734" s="4" t="n">
        <v>4</v>
      </c>
      <c r="J3734" s="4" t="n">
        <f aca="false">LEN(E3734)-LEN(SUBSTITUTE(E3734,",",""))+1</f>
        <v>4</v>
      </c>
      <c r="K3734" s="3" t="str">
        <f aca="false">IFERROR(INDEX('Teacher Lookup'!$B$2:$B$200,MATCH(A3734,'Teacher Lookup'!$A$2:$A$200,0)),"")</f>
        <v>LIU Fiona</v>
      </c>
    </row>
    <row r="3735" customFormat="false" ht="15" hidden="false" customHeight="false" outlineLevel="0" collapsed="false">
      <c r="A3735" s="3" t="s">
        <v>401</v>
      </c>
      <c r="B3735" s="4" t="s">
        <v>31</v>
      </c>
      <c r="C3735" s="4" t="n">
        <v>3</v>
      </c>
      <c r="D3735" s="4" t="s">
        <v>29</v>
      </c>
      <c r="E3735" s="3" t="s">
        <v>159</v>
      </c>
      <c r="F3735" s="4" t="str">
        <f aca="false">IF(I3735&gt;J3735,"Y","N")</f>
        <v>N</v>
      </c>
      <c r="G3735" s="3" t="s">
        <v>164</v>
      </c>
      <c r="H3735" s="3" t="s">
        <v>26</v>
      </c>
      <c r="I3735" s="4" t="n">
        <v>4</v>
      </c>
      <c r="J3735" s="4" t="n">
        <f aca="false">LEN(E3735)-LEN(SUBSTITUTE(E3735,",",""))+1</f>
        <v>4</v>
      </c>
      <c r="K3735" s="3" t="str">
        <f aca="false">IFERROR(INDEX('Teacher Lookup'!$B$2:$B$200,MATCH(A3735,'Teacher Lookup'!$A$2:$A$200,0)),"")</f>
        <v>LIU Fiona</v>
      </c>
    </row>
    <row r="3736" customFormat="false" ht="15" hidden="false" customHeight="false" outlineLevel="0" collapsed="false">
      <c r="A3736" s="3" t="s">
        <v>401</v>
      </c>
      <c r="B3736" s="4" t="s">
        <v>31</v>
      </c>
      <c r="C3736" s="4" t="n">
        <v>3</v>
      </c>
      <c r="D3736" s="4" t="s">
        <v>30</v>
      </c>
      <c r="E3736" s="3" t="s">
        <v>159</v>
      </c>
      <c r="F3736" s="4" t="str">
        <f aca="false">IF(I3736&gt;J3736,"Y","N")</f>
        <v>N</v>
      </c>
      <c r="G3736" s="3" t="s">
        <v>164</v>
      </c>
      <c r="H3736" s="3" t="s">
        <v>26</v>
      </c>
      <c r="I3736" s="4" t="n">
        <v>4</v>
      </c>
      <c r="J3736" s="4" t="n">
        <f aca="false">LEN(E3736)-LEN(SUBSTITUTE(E3736,",",""))+1</f>
        <v>4</v>
      </c>
      <c r="K3736" s="3" t="str">
        <f aca="false">IFERROR(INDEX('Teacher Lookup'!$B$2:$B$200,MATCH(A3736,'Teacher Lookup'!$A$2:$A$200,0)),"")</f>
        <v>LIU Fiona</v>
      </c>
    </row>
    <row r="3737" customFormat="false" ht="15" hidden="false" customHeight="false" outlineLevel="0" collapsed="false">
      <c r="A3737" s="3" t="s">
        <v>401</v>
      </c>
      <c r="B3737" s="4" t="s">
        <v>31</v>
      </c>
      <c r="C3737" s="4" t="n">
        <v>4</v>
      </c>
      <c r="D3737" s="4" t="s">
        <v>24</v>
      </c>
      <c r="E3737" s="3" t="s">
        <v>403</v>
      </c>
      <c r="F3737" s="4" t="str">
        <f aca="false">IF(I3737&gt;J3737,"Y","N")</f>
        <v>N</v>
      </c>
      <c r="G3737" s="3" t="s">
        <v>164</v>
      </c>
      <c r="H3737" s="3" t="s">
        <v>34</v>
      </c>
      <c r="I3737" s="4" t="n">
        <v>3</v>
      </c>
      <c r="J3737" s="4" t="n">
        <f aca="false">LEN(E3737)-LEN(SUBSTITUTE(E3737,",",""))+1</f>
        <v>3</v>
      </c>
      <c r="K3737" s="3" t="str">
        <f aca="false">IFERROR(INDEX('Teacher Lookup'!$B$2:$B$200,MATCH(A3737,'Teacher Lookup'!$A$2:$A$200,0)),"")</f>
        <v>LIU Fiona</v>
      </c>
    </row>
    <row r="3738" customFormat="false" ht="15" hidden="false" customHeight="false" outlineLevel="0" collapsed="false">
      <c r="A3738" s="3" t="s">
        <v>401</v>
      </c>
      <c r="B3738" s="4" t="s">
        <v>31</v>
      </c>
      <c r="C3738" s="4" t="n">
        <v>4</v>
      </c>
      <c r="D3738" s="4" t="s">
        <v>27</v>
      </c>
      <c r="E3738" s="3" t="s">
        <v>403</v>
      </c>
      <c r="F3738" s="4" t="str">
        <f aca="false">IF(I3738&gt;J3738,"Y","N")</f>
        <v>N</v>
      </c>
      <c r="G3738" s="3" t="s">
        <v>164</v>
      </c>
      <c r="H3738" s="3" t="s">
        <v>34</v>
      </c>
      <c r="I3738" s="4" t="n">
        <v>3</v>
      </c>
      <c r="J3738" s="4" t="n">
        <f aca="false">LEN(E3738)-LEN(SUBSTITUTE(E3738,",",""))+1</f>
        <v>3</v>
      </c>
      <c r="K3738" s="3" t="str">
        <f aca="false">IFERROR(INDEX('Teacher Lookup'!$B$2:$B$200,MATCH(A3738,'Teacher Lookup'!$A$2:$A$200,0)),"")</f>
        <v>LIU Fiona</v>
      </c>
    </row>
    <row r="3739" customFormat="false" ht="15" hidden="false" customHeight="false" outlineLevel="0" collapsed="false">
      <c r="A3739" s="3" t="s">
        <v>401</v>
      </c>
      <c r="B3739" s="4" t="s">
        <v>31</v>
      </c>
      <c r="C3739" s="4" t="n">
        <v>5</v>
      </c>
      <c r="D3739" s="4" t="s">
        <v>24</v>
      </c>
      <c r="E3739" s="3" t="s">
        <v>131</v>
      </c>
      <c r="F3739" s="4" t="str">
        <f aca="false">IF(I3739&gt;J3739,"Y","N")</f>
        <v>Y</v>
      </c>
      <c r="G3739" s="3" t="s">
        <v>36</v>
      </c>
      <c r="H3739" s="3" t="s">
        <v>37</v>
      </c>
      <c r="I3739" s="4" t="n">
        <v>15</v>
      </c>
      <c r="J3739" s="4" t="n">
        <f aca="false">LEN(E3739)-LEN(SUBSTITUTE(E3739,",",""))+1</f>
        <v>7</v>
      </c>
      <c r="K3739" s="3" t="str">
        <f aca="false">IFERROR(INDEX('Teacher Lookup'!$B$2:$B$200,MATCH(A3739,'Teacher Lookup'!$A$2:$A$200,0)),"")</f>
        <v>LIU Fiona</v>
      </c>
    </row>
    <row r="3740" customFormat="false" ht="15" hidden="false" customHeight="false" outlineLevel="0" collapsed="false">
      <c r="A3740" s="3" t="s">
        <v>401</v>
      </c>
      <c r="B3740" s="4" t="s">
        <v>31</v>
      </c>
      <c r="C3740" s="4" t="n">
        <v>5</v>
      </c>
      <c r="D3740" s="4" t="s">
        <v>132</v>
      </c>
      <c r="E3740" s="3" t="s">
        <v>131</v>
      </c>
      <c r="F3740" s="4" t="str">
        <f aca="false">IF(I3740&gt;J3740,"Y","N")</f>
        <v>Y</v>
      </c>
      <c r="G3740" s="3" t="s">
        <v>36</v>
      </c>
      <c r="H3740" s="3" t="s">
        <v>37</v>
      </c>
      <c r="I3740" s="4" t="n">
        <v>15</v>
      </c>
      <c r="J3740" s="4" t="n">
        <f aca="false">LEN(E3740)-LEN(SUBSTITUTE(E3740,",",""))+1</f>
        <v>7</v>
      </c>
      <c r="K3740" s="3" t="str">
        <f aca="false">IFERROR(INDEX('Teacher Lookup'!$B$2:$B$200,MATCH(A3740,'Teacher Lookup'!$A$2:$A$200,0)),"")</f>
        <v>LIU Fiona</v>
      </c>
    </row>
    <row r="3741" customFormat="false" ht="15" hidden="false" customHeight="false" outlineLevel="0" collapsed="false">
      <c r="A3741" s="3" t="s">
        <v>401</v>
      </c>
      <c r="B3741" s="4" t="s">
        <v>31</v>
      </c>
      <c r="C3741" s="4" t="n">
        <v>5</v>
      </c>
      <c r="D3741" s="4" t="s">
        <v>27</v>
      </c>
      <c r="E3741" s="3" t="s">
        <v>131</v>
      </c>
      <c r="F3741" s="4" t="str">
        <f aca="false">IF(I3741&gt;J3741,"Y","N")</f>
        <v>Y</v>
      </c>
      <c r="G3741" s="3" t="s">
        <v>36</v>
      </c>
      <c r="H3741" s="3" t="s">
        <v>37</v>
      </c>
      <c r="I3741" s="4" t="n">
        <v>15</v>
      </c>
      <c r="J3741" s="4" t="n">
        <f aca="false">LEN(E3741)-LEN(SUBSTITUTE(E3741,",",""))+1</f>
        <v>7</v>
      </c>
      <c r="K3741" s="3" t="str">
        <f aca="false">IFERROR(INDEX('Teacher Lookup'!$B$2:$B$200,MATCH(A3741,'Teacher Lookup'!$A$2:$A$200,0)),"")</f>
        <v>LIU Fiona</v>
      </c>
    </row>
    <row r="3742" customFormat="false" ht="15" hidden="false" customHeight="false" outlineLevel="0" collapsed="false">
      <c r="A3742" s="3" t="s">
        <v>401</v>
      </c>
      <c r="B3742" s="4" t="s">
        <v>31</v>
      </c>
      <c r="C3742" s="4" t="n">
        <v>5</v>
      </c>
      <c r="D3742" s="4" t="s">
        <v>28</v>
      </c>
      <c r="E3742" s="3" t="s">
        <v>131</v>
      </c>
      <c r="F3742" s="4" t="str">
        <f aca="false">IF(I3742&gt;J3742,"Y","N")</f>
        <v>Y</v>
      </c>
      <c r="G3742" s="3" t="s">
        <v>36</v>
      </c>
      <c r="H3742" s="3" t="s">
        <v>37</v>
      </c>
      <c r="I3742" s="4" t="n">
        <v>15</v>
      </c>
      <c r="J3742" s="4" t="n">
        <f aca="false">LEN(E3742)-LEN(SUBSTITUTE(E3742,",",""))+1</f>
        <v>7</v>
      </c>
      <c r="K3742" s="3" t="str">
        <f aca="false">IFERROR(INDEX('Teacher Lookup'!$B$2:$B$200,MATCH(A3742,'Teacher Lookup'!$A$2:$A$200,0)),"")</f>
        <v>LIU Fiona</v>
      </c>
    </row>
    <row r="3743" customFormat="false" ht="15" hidden="false" customHeight="false" outlineLevel="0" collapsed="false">
      <c r="A3743" s="3" t="s">
        <v>401</v>
      </c>
      <c r="B3743" s="4" t="s">
        <v>31</v>
      </c>
      <c r="C3743" s="4" t="n">
        <v>5</v>
      </c>
      <c r="D3743" s="4" t="s">
        <v>29</v>
      </c>
      <c r="E3743" s="3" t="s">
        <v>131</v>
      </c>
      <c r="F3743" s="4" t="str">
        <f aca="false">IF(I3743&gt;J3743,"Y","N")</f>
        <v>Y</v>
      </c>
      <c r="G3743" s="3" t="s">
        <v>36</v>
      </c>
      <c r="H3743" s="3" t="s">
        <v>37</v>
      </c>
      <c r="I3743" s="4" t="n">
        <v>15</v>
      </c>
      <c r="J3743" s="4" t="n">
        <f aca="false">LEN(E3743)-LEN(SUBSTITUTE(E3743,",",""))+1</f>
        <v>7</v>
      </c>
      <c r="K3743" s="3" t="str">
        <f aca="false">IFERROR(INDEX('Teacher Lookup'!$B$2:$B$200,MATCH(A3743,'Teacher Lookup'!$A$2:$A$200,0)),"")</f>
        <v>LIU Fiona</v>
      </c>
    </row>
    <row r="3744" customFormat="false" ht="15" hidden="false" customHeight="false" outlineLevel="0" collapsed="false">
      <c r="A3744" s="3" t="s">
        <v>401</v>
      </c>
      <c r="B3744" s="4" t="s">
        <v>31</v>
      </c>
      <c r="C3744" s="4" t="n">
        <v>5</v>
      </c>
      <c r="D3744" s="4" t="s">
        <v>30</v>
      </c>
      <c r="E3744" s="3" t="s">
        <v>131</v>
      </c>
      <c r="F3744" s="4" t="str">
        <f aca="false">IF(I3744&gt;J3744,"Y","N")</f>
        <v>Y</v>
      </c>
      <c r="G3744" s="3" t="s">
        <v>36</v>
      </c>
      <c r="H3744" s="3" t="s">
        <v>37</v>
      </c>
      <c r="I3744" s="4" t="n">
        <v>15</v>
      </c>
      <c r="J3744" s="4" t="n">
        <f aca="false">LEN(E3744)-LEN(SUBSTITUTE(E3744,",",""))+1</f>
        <v>7</v>
      </c>
      <c r="K3744" s="3" t="str">
        <f aca="false">IFERROR(INDEX('Teacher Lookup'!$B$2:$B$200,MATCH(A3744,'Teacher Lookup'!$A$2:$A$200,0)),"")</f>
        <v>LIU Fiona</v>
      </c>
    </row>
    <row r="3745" customFormat="false" ht="15" hidden="false" customHeight="false" outlineLevel="0" collapsed="false">
      <c r="A3745" s="3" t="s">
        <v>401</v>
      </c>
      <c r="B3745" s="4" t="s">
        <v>40</v>
      </c>
      <c r="C3745" s="4" t="n">
        <v>1</v>
      </c>
      <c r="D3745" s="4" t="s">
        <v>28</v>
      </c>
      <c r="E3745" s="3" t="s">
        <v>404</v>
      </c>
      <c r="F3745" s="4" t="str">
        <f aca="false">IF(I3745&gt;J3745,"Y","N")</f>
        <v>N</v>
      </c>
      <c r="G3745" s="3" t="s">
        <v>164</v>
      </c>
      <c r="H3745" s="3" t="s">
        <v>16</v>
      </c>
      <c r="I3745" s="4" t="n">
        <v>4</v>
      </c>
      <c r="J3745" s="4" t="n">
        <f aca="false">LEN(E3745)-LEN(SUBSTITUTE(E3745,",",""))+1</f>
        <v>4</v>
      </c>
      <c r="K3745" s="3" t="str">
        <f aca="false">IFERROR(INDEX('Teacher Lookup'!$B$2:$B$200,MATCH(A3745,'Teacher Lookup'!$A$2:$A$200,0)),"")</f>
        <v>LIU Fiona</v>
      </c>
    </row>
    <row r="3746" customFormat="false" ht="15" hidden="false" customHeight="false" outlineLevel="0" collapsed="false">
      <c r="A3746" s="3" t="s">
        <v>401</v>
      </c>
      <c r="B3746" s="4" t="s">
        <v>40</v>
      </c>
      <c r="C3746" s="4" t="n">
        <v>1</v>
      </c>
      <c r="D3746" s="4" t="s">
        <v>29</v>
      </c>
      <c r="E3746" s="3" t="s">
        <v>404</v>
      </c>
      <c r="F3746" s="4" t="str">
        <f aca="false">IF(I3746&gt;J3746,"Y","N")</f>
        <v>N</v>
      </c>
      <c r="G3746" s="3" t="s">
        <v>164</v>
      </c>
      <c r="H3746" s="3" t="s">
        <v>16</v>
      </c>
      <c r="I3746" s="4" t="n">
        <v>4</v>
      </c>
      <c r="J3746" s="4" t="n">
        <f aca="false">LEN(E3746)-LEN(SUBSTITUTE(E3746,",",""))+1</f>
        <v>4</v>
      </c>
      <c r="K3746" s="3" t="str">
        <f aca="false">IFERROR(INDEX('Teacher Lookup'!$B$2:$B$200,MATCH(A3746,'Teacher Lookup'!$A$2:$A$200,0)),"")</f>
        <v>LIU Fiona</v>
      </c>
    </row>
    <row r="3747" customFormat="false" ht="15" hidden="false" customHeight="false" outlineLevel="0" collapsed="false">
      <c r="A3747" s="3" t="s">
        <v>401</v>
      </c>
      <c r="B3747" s="4" t="s">
        <v>40</v>
      </c>
      <c r="C3747" s="4" t="n">
        <v>1</v>
      </c>
      <c r="D3747" s="4" t="s">
        <v>30</v>
      </c>
      <c r="E3747" s="3" t="s">
        <v>404</v>
      </c>
      <c r="F3747" s="4" t="str">
        <f aca="false">IF(I3747&gt;J3747,"Y","N")</f>
        <v>N</v>
      </c>
      <c r="G3747" s="3" t="s">
        <v>164</v>
      </c>
      <c r="H3747" s="3" t="s">
        <v>16</v>
      </c>
      <c r="I3747" s="4" t="n">
        <v>4</v>
      </c>
      <c r="J3747" s="4" t="n">
        <f aca="false">LEN(E3747)-LEN(SUBSTITUTE(E3747,",",""))+1</f>
        <v>4</v>
      </c>
      <c r="K3747" s="3" t="str">
        <f aca="false">IFERROR(INDEX('Teacher Lookup'!$B$2:$B$200,MATCH(A3747,'Teacher Lookup'!$A$2:$A$200,0)),"")</f>
        <v>LIU Fiona</v>
      </c>
    </row>
    <row r="3748" customFormat="false" ht="15" hidden="false" customHeight="false" outlineLevel="0" collapsed="false">
      <c r="A3748" s="3" t="s">
        <v>401</v>
      </c>
      <c r="B3748" s="4" t="s">
        <v>40</v>
      </c>
      <c r="C3748" s="4" t="n">
        <v>3</v>
      </c>
      <c r="D3748" s="4" t="s">
        <v>102</v>
      </c>
      <c r="E3748" s="3" t="s">
        <v>259</v>
      </c>
      <c r="F3748" s="4" t="str">
        <f aca="false">IF(I3748&gt;J3748,"Y","N")</f>
        <v>N</v>
      </c>
      <c r="G3748" s="3" t="s">
        <v>164</v>
      </c>
      <c r="H3748" s="3" t="s">
        <v>26</v>
      </c>
      <c r="I3748" s="4" t="n">
        <v>3</v>
      </c>
      <c r="J3748" s="4" t="n">
        <f aca="false">LEN(E3748)-LEN(SUBSTITUTE(E3748,",",""))+1</f>
        <v>3</v>
      </c>
      <c r="K3748" s="3" t="str">
        <f aca="false">IFERROR(INDEX('Teacher Lookup'!$B$2:$B$200,MATCH(A3748,'Teacher Lookup'!$A$2:$A$200,0)),"")</f>
        <v>LIU Fiona</v>
      </c>
    </row>
    <row r="3749" customFormat="false" ht="15" hidden="false" customHeight="false" outlineLevel="0" collapsed="false">
      <c r="A3749" s="3" t="s">
        <v>401</v>
      </c>
      <c r="B3749" s="4" t="s">
        <v>40</v>
      </c>
      <c r="C3749" s="4" t="n">
        <v>3</v>
      </c>
      <c r="D3749" s="4" t="s">
        <v>107</v>
      </c>
      <c r="E3749" s="3" t="s">
        <v>259</v>
      </c>
      <c r="F3749" s="4" t="str">
        <f aca="false">IF(I3749&gt;J3749,"Y","N")</f>
        <v>N</v>
      </c>
      <c r="G3749" s="3" t="s">
        <v>164</v>
      </c>
      <c r="H3749" s="3" t="s">
        <v>26</v>
      </c>
      <c r="I3749" s="4" t="n">
        <v>3</v>
      </c>
      <c r="J3749" s="4" t="n">
        <f aca="false">LEN(E3749)-LEN(SUBSTITUTE(E3749,",",""))+1</f>
        <v>3</v>
      </c>
      <c r="K3749" s="3" t="str">
        <f aca="false">IFERROR(INDEX('Teacher Lookup'!$B$2:$B$200,MATCH(A3749,'Teacher Lookup'!$A$2:$A$200,0)),"")</f>
        <v>LIU Fiona</v>
      </c>
    </row>
    <row r="3750" customFormat="false" ht="15" hidden="false" customHeight="false" outlineLevel="0" collapsed="false">
      <c r="A3750" s="3" t="s">
        <v>401</v>
      </c>
      <c r="B3750" s="4" t="s">
        <v>40</v>
      </c>
      <c r="C3750" s="4" t="n">
        <v>5</v>
      </c>
      <c r="D3750" s="4" t="s">
        <v>24</v>
      </c>
      <c r="E3750" s="3" t="s">
        <v>405</v>
      </c>
      <c r="F3750" s="4" t="str">
        <f aca="false">IF(I3750&gt;J3750,"Y","N")</f>
        <v>N</v>
      </c>
      <c r="G3750" s="3" t="s">
        <v>164</v>
      </c>
      <c r="H3750" s="3" t="s">
        <v>37</v>
      </c>
      <c r="I3750" s="4" t="n">
        <v>3</v>
      </c>
      <c r="J3750" s="4" t="n">
        <f aca="false">LEN(E3750)-LEN(SUBSTITUTE(E3750,",",""))+1</f>
        <v>3</v>
      </c>
      <c r="K3750" s="3" t="str">
        <f aca="false">IFERROR(INDEX('Teacher Lookup'!$B$2:$B$200,MATCH(A3750,'Teacher Lookup'!$A$2:$A$200,0)),"")</f>
        <v>LIU Fiona</v>
      </c>
    </row>
    <row r="3751" customFormat="false" ht="15" hidden="false" customHeight="false" outlineLevel="0" collapsed="false">
      <c r="A3751" s="3" t="s">
        <v>401</v>
      </c>
      <c r="B3751" s="4" t="s">
        <v>40</v>
      </c>
      <c r="C3751" s="4" t="n">
        <v>5</v>
      </c>
      <c r="D3751" s="4" t="s">
        <v>27</v>
      </c>
      <c r="E3751" s="3" t="s">
        <v>405</v>
      </c>
      <c r="F3751" s="4" t="str">
        <f aca="false">IF(I3751&gt;J3751,"Y","N")</f>
        <v>N</v>
      </c>
      <c r="G3751" s="3" t="s">
        <v>164</v>
      </c>
      <c r="H3751" s="3" t="s">
        <v>37</v>
      </c>
      <c r="I3751" s="4" t="n">
        <v>3</v>
      </c>
      <c r="J3751" s="4" t="n">
        <f aca="false">LEN(E3751)-LEN(SUBSTITUTE(E3751,",",""))+1</f>
        <v>3</v>
      </c>
      <c r="K3751" s="3" t="str">
        <f aca="false">IFERROR(INDEX('Teacher Lookup'!$B$2:$B$200,MATCH(A3751,'Teacher Lookup'!$A$2:$A$200,0)),"")</f>
        <v>LIU Fiona</v>
      </c>
    </row>
    <row r="3752" customFormat="false" ht="15" hidden="false" customHeight="false" outlineLevel="0" collapsed="false">
      <c r="A3752" s="3" t="s">
        <v>401</v>
      </c>
      <c r="B3752" s="4" t="s">
        <v>44</v>
      </c>
      <c r="C3752" s="4" t="n">
        <v>1</v>
      </c>
      <c r="D3752" s="4" t="s">
        <v>102</v>
      </c>
      <c r="E3752" s="3" t="s">
        <v>256</v>
      </c>
      <c r="F3752" s="4" t="str">
        <f aca="false">IF(I3752&gt;J3752,"Y","N")</f>
        <v>N</v>
      </c>
      <c r="G3752" s="3" t="s">
        <v>164</v>
      </c>
      <c r="H3752" s="3" t="s">
        <v>16</v>
      </c>
      <c r="I3752" s="4" t="n">
        <v>3</v>
      </c>
      <c r="J3752" s="4" t="n">
        <f aca="false">LEN(E3752)-LEN(SUBSTITUTE(E3752,",",""))+1</f>
        <v>3</v>
      </c>
      <c r="K3752" s="3" t="str">
        <f aca="false">IFERROR(INDEX('Teacher Lookup'!$B$2:$B$200,MATCH(A3752,'Teacher Lookup'!$A$2:$A$200,0)),"")</f>
        <v>LIU Fiona</v>
      </c>
    </row>
    <row r="3753" customFormat="false" ht="15" hidden="false" customHeight="false" outlineLevel="0" collapsed="false">
      <c r="A3753" s="3" t="s">
        <v>401</v>
      </c>
      <c r="B3753" s="4" t="s">
        <v>44</v>
      </c>
      <c r="C3753" s="4" t="n">
        <v>1</v>
      </c>
      <c r="D3753" s="4" t="s">
        <v>107</v>
      </c>
      <c r="E3753" s="3" t="s">
        <v>256</v>
      </c>
      <c r="F3753" s="4" t="str">
        <f aca="false">IF(I3753&gt;J3753,"Y","N")</f>
        <v>N</v>
      </c>
      <c r="G3753" s="3" t="s">
        <v>164</v>
      </c>
      <c r="H3753" s="3" t="s">
        <v>16</v>
      </c>
      <c r="I3753" s="4" t="n">
        <v>3</v>
      </c>
      <c r="J3753" s="4" t="n">
        <f aca="false">LEN(E3753)-LEN(SUBSTITUTE(E3753,",",""))+1</f>
        <v>3</v>
      </c>
      <c r="K3753" s="3" t="str">
        <f aca="false">IFERROR(INDEX('Teacher Lookup'!$B$2:$B$200,MATCH(A3753,'Teacher Lookup'!$A$2:$A$200,0)),"")</f>
        <v>LIU Fiona</v>
      </c>
    </row>
    <row r="3754" customFormat="false" ht="15" hidden="false" customHeight="false" outlineLevel="0" collapsed="false">
      <c r="A3754" s="3" t="s">
        <v>401</v>
      </c>
      <c r="B3754" s="4" t="s">
        <v>44</v>
      </c>
      <c r="C3754" s="4" t="n">
        <v>4</v>
      </c>
      <c r="D3754" s="4" t="s">
        <v>28</v>
      </c>
      <c r="E3754" s="3" t="s">
        <v>406</v>
      </c>
      <c r="F3754" s="4" t="str">
        <f aca="false">IF(I3754&gt;J3754,"Y","N")</f>
        <v>N</v>
      </c>
      <c r="G3754" s="3" t="s">
        <v>164</v>
      </c>
      <c r="H3754" s="3" t="s">
        <v>34</v>
      </c>
      <c r="I3754" s="4" t="n">
        <v>4</v>
      </c>
      <c r="J3754" s="4" t="n">
        <f aca="false">LEN(E3754)-LEN(SUBSTITUTE(E3754,",",""))+1</f>
        <v>4</v>
      </c>
      <c r="K3754" s="3" t="str">
        <f aca="false">IFERROR(INDEX('Teacher Lookup'!$B$2:$B$200,MATCH(A3754,'Teacher Lookup'!$A$2:$A$200,0)),"")</f>
        <v>LIU Fiona</v>
      </c>
    </row>
    <row r="3755" customFormat="false" ht="15" hidden="false" customHeight="false" outlineLevel="0" collapsed="false">
      <c r="A3755" s="3" t="s">
        <v>401</v>
      </c>
      <c r="B3755" s="4" t="s">
        <v>44</v>
      </c>
      <c r="C3755" s="4" t="n">
        <v>4</v>
      </c>
      <c r="D3755" s="4" t="s">
        <v>29</v>
      </c>
      <c r="E3755" s="3" t="s">
        <v>406</v>
      </c>
      <c r="F3755" s="4" t="str">
        <f aca="false">IF(I3755&gt;J3755,"Y","N")</f>
        <v>N</v>
      </c>
      <c r="G3755" s="3" t="s">
        <v>164</v>
      </c>
      <c r="H3755" s="3" t="s">
        <v>34</v>
      </c>
      <c r="I3755" s="4" t="n">
        <v>4</v>
      </c>
      <c r="J3755" s="4" t="n">
        <f aca="false">LEN(E3755)-LEN(SUBSTITUTE(E3755,",",""))+1</f>
        <v>4</v>
      </c>
      <c r="K3755" s="3" t="str">
        <f aca="false">IFERROR(INDEX('Teacher Lookup'!$B$2:$B$200,MATCH(A3755,'Teacher Lookup'!$A$2:$A$200,0)),"")</f>
        <v>LIU Fiona</v>
      </c>
    </row>
    <row r="3756" customFormat="false" ht="15" hidden="false" customHeight="false" outlineLevel="0" collapsed="false">
      <c r="A3756" s="3" t="s">
        <v>401</v>
      </c>
      <c r="B3756" s="4" t="s">
        <v>44</v>
      </c>
      <c r="C3756" s="4" t="n">
        <v>4</v>
      </c>
      <c r="D3756" s="4" t="s">
        <v>30</v>
      </c>
      <c r="E3756" s="3" t="s">
        <v>406</v>
      </c>
      <c r="F3756" s="4" t="str">
        <f aca="false">IF(I3756&gt;J3756,"Y","N")</f>
        <v>N</v>
      </c>
      <c r="G3756" s="3" t="s">
        <v>164</v>
      </c>
      <c r="H3756" s="3" t="s">
        <v>34</v>
      </c>
      <c r="I3756" s="4" t="n">
        <v>4</v>
      </c>
      <c r="J3756" s="4" t="n">
        <f aca="false">LEN(E3756)-LEN(SUBSTITUTE(E3756,",",""))+1</f>
        <v>4</v>
      </c>
      <c r="K3756" s="3" t="str">
        <f aca="false">IFERROR(INDEX('Teacher Lookup'!$B$2:$B$200,MATCH(A3756,'Teacher Lookup'!$A$2:$A$200,0)),"")</f>
        <v>LIU Fiona</v>
      </c>
    </row>
    <row r="3757" customFormat="false" ht="15" hidden="false" customHeight="false" outlineLevel="0" collapsed="false">
      <c r="A3757" s="3" t="s">
        <v>401</v>
      </c>
      <c r="B3757" s="4" t="s">
        <v>44</v>
      </c>
      <c r="C3757" s="4" t="n">
        <v>5</v>
      </c>
      <c r="D3757" s="4" t="s">
        <v>24</v>
      </c>
      <c r="E3757" s="3" t="s">
        <v>131</v>
      </c>
      <c r="F3757" s="4" t="str">
        <f aca="false">IF(I3757&gt;J3757,"Y","N")</f>
        <v>Y</v>
      </c>
      <c r="G3757" s="3" t="s">
        <v>36</v>
      </c>
      <c r="H3757" s="3" t="s">
        <v>37</v>
      </c>
      <c r="I3757" s="4" t="n">
        <v>15</v>
      </c>
      <c r="J3757" s="4" t="n">
        <f aca="false">LEN(E3757)-LEN(SUBSTITUTE(E3757,",",""))+1</f>
        <v>7</v>
      </c>
      <c r="K3757" s="3" t="str">
        <f aca="false">IFERROR(INDEX('Teacher Lookup'!$B$2:$B$200,MATCH(A3757,'Teacher Lookup'!$A$2:$A$200,0)),"")</f>
        <v>LIU Fiona</v>
      </c>
    </row>
    <row r="3758" customFormat="false" ht="15" hidden="false" customHeight="false" outlineLevel="0" collapsed="false">
      <c r="A3758" s="3" t="s">
        <v>401</v>
      </c>
      <c r="B3758" s="4" t="s">
        <v>44</v>
      </c>
      <c r="C3758" s="4" t="n">
        <v>5</v>
      </c>
      <c r="D3758" s="4" t="s">
        <v>132</v>
      </c>
      <c r="E3758" s="3" t="s">
        <v>131</v>
      </c>
      <c r="F3758" s="4" t="str">
        <f aca="false">IF(I3758&gt;J3758,"Y","N")</f>
        <v>Y</v>
      </c>
      <c r="G3758" s="3" t="s">
        <v>36</v>
      </c>
      <c r="H3758" s="3" t="s">
        <v>37</v>
      </c>
      <c r="I3758" s="4" t="n">
        <v>15</v>
      </c>
      <c r="J3758" s="4" t="n">
        <f aca="false">LEN(E3758)-LEN(SUBSTITUTE(E3758,",",""))+1</f>
        <v>7</v>
      </c>
      <c r="K3758" s="3" t="str">
        <f aca="false">IFERROR(INDEX('Teacher Lookup'!$B$2:$B$200,MATCH(A3758,'Teacher Lookup'!$A$2:$A$200,0)),"")</f>
        <v>LIU Fiona</v>
      </c>
    </row>
    <row r="3759" customFormat="false" ht="15" hidden="false" customHeight="false" outlineLevel="0" collapsed="false">
      <c r="A3759" s="3" t="s">
        <v>401</v>
      </c>
      <c r="B3759" s="4" t="s">
        <v>44</v>
      </c>
      <c r="C3759" s="4" t="n">
        <v>5</v>
      </c>
      <c r="D3759" s="4" t="s">
        <v>27</v>
      </c>
      <c r="E3759" s="3" t="s">
        <v>131</v>
      </c>
      <c r="F3759" s="4" t="str">
        <f aca="false">IF(I3759&gt;J3759,"Y","N")</f>
        <v>Y</v>
      </c>
      <c r="G3759" s="3" t="s">
        <v>36</v>
      </c>
      <c r="H3759" s="3" t="s">
        <v>37</v>
      </c>
      <c r="I3759" s="4" t="n">
        <v>15</v>
      </c>
      <c r="J3759" s="4" t="n">
        <f aca="false">LEN(E3759)-LEN(SUBSTITUTE(E3759,",",""))+1</f>
        <v>7</v>
      </c>
      <c r="K3759" s="3" t="str">
        <f aca="false">IFERROR(INDEX('Teacher Lookup'!$B$2:$B$200,MATCH(A3759,'Teacher Lookup'!$A$2:$A$200,0)),"")</f>
        <v>LIU Fiona</v>
      </c>
    </row>
    <row r="3760" customFormat="false" ht="15" hidden="false" customHeight="false" outlineLevel="0" collapsed="false">
      <c r="A3760" s="3" t="s">
        <v>401</v>
      </c>
      <c r="B3760" s="4" t="s">
        <v>44</v>
      </c>
      <c r="C3760" s="4" t="n">
        <v>5</v>
      </c>
      <c r="D3760" s="4" t="s">
        <v>28</v>
      </c>
      <c r="E3760" s="3" t="s">
        <v>131</v>
      </c>
      <c r="F3760" s="4" t="str">
        <f aca="false">IF(I3760&gt;J3760,"Y","N")</f>
        <v>Y</v>
      </c>
      <c r="G3760" s="3" t="s">
        <v>36</v>
      </c>
      <c r="H3760" s="3" t="s">
        <v>37</v>
      </c>
      <c r="I3760" s="4" t="n">
        <v>15</v>
      </c>
      <c r="J3760" s="4" t="n">
        <f aca="false">LEN(E3760)-LEN(SUBSTITUTE(E3760,",",""))+1</f>
        <v>7</v>
      </c>
      <c r="K3760" s="3" t="str">
        <f aca="false">IFERROR(INDEX('Teacher Lookup'!$B$2:$B$200,MATCH(A3760,'Teacher Lookup'!$A$2:$A$200,0)),"")</f>
        <v>LIU Fiona</v>
      </c>
    </row>
    <row r="3761" customFormat="false" ht="15" hidden="false" customHeight="false" outlineLevel="0" collapsed="false">
      <c r="A3761" s="3" t="s">
        <v>401</v>
      </c>
      <c r="B3761" s="4" t="s">
        <v>44</v>
      </c>
      <c r="C3761" s="4" t="n">
        <v>5</v>
      </c>
      <c r="D3761" s="4" t="s">
        <v>29</v>
      </c>
      <c r="E3761" s="3" t="s">
        <v>131</v>
      </c>
      <c r="F3761" s="4" t="str">
        <f aca="false">IF(I3761&gt;J3761,"Y","N")</f>
        <v>Y</v>
      </c>
      <c r="G3761" s="3" t="s">
        <v>36</v>
      </c>
      <c r="H3761" s="3" t="s">
        <v>37</v>
      </c>
      <c r="I3761" s="4" t="n">
        <v>15</v>
      </c>
      <c r="J3761" s="4" t="n">
        <f aca="false">LEN(E3761)-LEN(SUBSTITUTE(E3761,",",""))+1</f>
        <v>7</v>
      </c>
      <c r="K3761" s="3" t="str">
        <f aca="false">IFERROR(INDEX('Teacher Lookup'!$B$2:$B$200,MATCH(A3761,'Teacher Lookup'!$A$2:$A$200,0)),"")</f>
        <v>LIU Fiona</v>
      </c>
    </row>
    <row r="3762" customFormat="false" ht="15" hidden="false" customHeight="false" outlineLevel="0" collapsed="false">
      <c r="A3762" s="3" t="s">
        <v>401</v>
      </c>
      <c r="B3762" s="4" t="s">
        <v>44</v>
      </c>
      <c r="C3762" s="4" t="n">
        <v>5</v>
      </c>
      <c r="D3762" s="4" t="s">
        <v>30</v>
      </c>
      <c r="E3762" s="3" t="s">
        <v>131</v>
      </c>
      <c r="F3762" s="4" t="str">
        <f aca="false">IF(I3762&gt;J3762,"Y","N")</f>
        <v>Y</v>
      </c>
      <c r="G3762" s="3" t="s">
        <v>36</v>
      </c>
      <c r="H3762" s="3" t="s">
        <v>37</v>
      </c>
      <c r="I3762" s="4" t="n">
        <v>15</v>
      </c>
      <c r="J3762" s="4" t="n">
        <f aca="false">LEN(E3762)-LEN(SUBSTITUTE(E3762,",",""))+1</f>
        <v>7</v>
      </c>
      <c r="K3762" s="3" t="str">
        <f aca="false">IFERROR(INDEX('Teacher Lookup'!$B$2:$B$200,MATCH(A3762,'Teacher Lookup'!$A$2:$A$200,0)),"")</f>
        <v>LIU Fiona</v>
      </c>
    </row>
    <row r="3763" customFormat="false" ht="15" hidden="false" customHeight="false" outlineLevel="0" collapsed="false">
      <c r="A3763" s="3" t="s">
        <v>401</v>
      </c>
      <c r="B3763" s="4" t="s">
        <v>44</v>
      </c>
      <c r="C3763" s="4" t="n">
        <v>6</v>
      </c>
      <c r="D3763" s="4" t="s">
        <v>24</v>
      </c>
      <c r="E3763" s="3" t="s">
        <v>407</v>
      </c>
      <c r="F3763" s="4" t="str">
        <f aca="false">IF(I3763&gt;J3763,"Y","N")</f>
        <v>N</v>
      </c>
      <c r="G3763" s="3" t="s">
        <v>164</v>
      </c>
      <c r="H3763" s="3" t="s">
        <v>42</v>
      </c>
      <c r="I3763" s="4" t="n">
        <v>3</v>
      </c>
      <c r="J3763" s="4" t="n">
        <f aca="false">LEN(E3763)-LEN(SUBSTITUTE(E3763,",",""))+1</f>
        <v>3</v>
      </c>
      <c r="K3763" s="3" t="str">
        <f aca="false">IFERROR(INDEX('Teacher Lookup'!$B$2:$B$200,MATCH(A3763,'Teacher Lookup'!$A$2:$A$200,0)),"")</f>
        <v>LIU Fiona</v>
      </c>
    </row>
    <row r="3764" customFormat="false" ht="15" hidden="false" customHeight="false" outlineLevel="0" collapsed="false">
      <c r="A3764" s="3" t="s">
        <v>401</v>
      </c>
      <c r="B3764" s="4" t="s">
        <v>44</v>
      </c>
      <c r="C3764" s="4" t="n">
        <v>6</v>
      </c>
      <c r="D3764" s="4" t="s">
        <v>27</v>
      </c>
      <c r="E3764" s="3" t="s">
        <v>407</v>
      </c>
      <c r="F3764" s="4" t="str">
        <f aca="false">IF(I3764&gt;J3764,"Y","N")</f>
        <v>N</v>
      </c>
      <c r="G3764" s="3" t="s">
        <v>164</v>
      </c>
      <c r="H3764" s="3" t="s">
        <v>42</v>
      </c>
      <c r="I3764" s="4" t="n">
        <v>3</v>
      </c>
      <c r="J3764" s="4" t="n">
        <f aca="false">LEN(E3764)-LEN(SUBSTITUTE(E3764,",",""))+1</f>
        <v>3</v>
      </c>
      <c r="K3764" s="3" t="str">
        <f aca="false">IFERROR(INDEX('Teacher Lookup'!$B$2:$B$200,MATCH(A3764,'Teacher Lookup'!$A$2:$A$200,0)),"")</f>
        <v>LIU Fiona</v>
      </c>
    </row>
    <row r="3765" customFormat="false" ht="15" hidden="false" customHeight="false" outlineLevel="0" collapsed="false">
      <c r="A3765" s="3" t="s">
        <v>401</v>
      </c>
      <c r="B3765" s="4" t="s">
        <v>47</v>
      </c>
      <c r="C3765" s="4" t="n">
        <v>4</v>
      </c>
      <c r="D3765" s="4" t="s">
        <v>102</v>
      </c>
      <c r="E3765" s="3" t="s">
        <v>261</v>
      </c>
      <c r="F3765" s="4" t="str">
        <f aca="false">IF(I3765&gt;J3765,"Y","N")</f>
        <v>N</v>
      </c>
      <c r="G3765" s="3" t="s">
        <v>164</v>
      </c>
      <c r="H3765" s="3" t="s">
        <v>34</v>
      </c>
      <c r="I3765" s="4" t="n">
        <v>3</v>
      </c>
      <c r="J3765" s="4" t="n">
        <f aca="false">LEN(E3765)-LEN(SUBSTITUTE(E3765,",",""))+1</f>
        <v>3</v>
      </c>
      <c r="K3765" s="3" t="str">
        <f aca="false">IFERROR(INDEX('Teacher Lookup'!$B$2:$B$200,MATCH(A3765,'Teacher Lookup'!$A$2:$A$200,0)),"")</f>
        <v>LIU Fiona</v>
      </c>
    </row>
    <row r="3766" customFormat="false" ht="15" hidden="false" customHeight="false" outlineLevel="0" collapsed="false">
      <c r="A3766" s="3" t="s">
        <v>401</v>
      </c>
      <c r="B3766" s="4" t="s">
        <v>47</v>
      </c>
      <c r="C3766" s="4" t="n">
        <v>4</v>
      </c>
      <c r="D3766" s="4" t="s">
        <v>107</v>
      </c>
      <c r="E3766" s="3" t="s">
        <v>261</v>
      </c>
      <c r="F3766" s="4" t="str">
        <f aca="false">IF(I3766&gt;J3766,"Y","N")</f>
        <v>N</v>
      </c>
      <c r="G3766" s="3" t="s">
        <v>164</v>
      </c>
      <c r="H3766" s="3" t="s">
        <v>34</v>
      </c>
      <c r="I3766" s="4" t="n">
        <v>3</v>
      </c>
      <c r="J3766" s="4" t="n">
        <f aca="false">LEN(E3766)-LEN(SUBSTITUTE(E3766,",",""))+1</f>
        <v>3</v>
      </c>
      <c r="K3766" s="3" t="str">
        <f aca="false">IFERROR(INDEX('Teacher Lookup'!$B$2:$B$200,MATCH(A3766,'Teacher Lookup'!$A$2:$A$200,0)),"")</f>
        <v>LIU Fiona</v>
      </c>
    </row>
    <row r="3767" customFormat="false" ht="15" hidden="false" customHeight="false" outlineLevel="0" collapsed="false">
      <c r="A3767" s="3" t="s">
        <v>401</v>
      </c>
      <c r="B3767" s="4" t="s">
        <v>47</v>
      </c>
      <c r="C3767" s="4" t="n">
        <v>6</v>
      </c>
      <c r="D3767" s="4" t="s">
        <v>24</v>
      </c>
      <c r="E3767" s="3" t="s">
        <v>408</v>
      </c>
      <c r="F3767" s="4" t="str">
        <f aca="false">IF(I3767&gt;J3767,"Y","N")</f>
        <v>N</v>
      </c>
      <c r="G3767" s="3" t="s">
        <v>164</v>
      </c>
      <c r="H3767" s="3" t="s">
        <v>42</v>
      </c>
      <c r="I3767" s="4" t="n">
        <v>3</v>
      </c>
      <c r="J3767" s="4" t="n">
        <f aca="false">LEN(E3767)-LEN(SUBSTITUTE(E3767,",",""))+1</f>
        <v>3</v>
      </c>
      <c r="K3767" s="3" t="str">
        <f aca="false">IFERROR(INDEX('Teacher Lookup'!$B$2:$B$200,MATCH(A3767,'Teacher Lookup'!$A$2:$A$200,0)),"")</f>
        <v>LIU Fiona</v>
      </c>
    </row>
    <row r="3768" customFormat="false" ht="15" hidden="false" customHeight="false" outlineLevel="0" collapsed="false">
      <c r="A3768" s="3" t="s">
        <v>401</v>
      </c>
      <c r="B3768" s="4" t="s">
        <v>47</v>
      </c>
      <c r="C3768" s="4" t="n">
        <v>6</v>
      </c>
      <c r="D3768" s="4" t="s">
        <v>27</v>
      </c>
      <c r="E3768" s="3" t="s">
        <v>408</v>
      </c>
      <c r="F3768" s="4" t="str">
        <f aca="false">IF(I3768&gt;J3768,"Y","N")</f>
        <v>N</v>
      </c>
      <c r="G3768" s="3" t="s">
        <v>164</v>
      </c>
      <c r="H3768" s="3" t="s">
        <v>42</v>
      </c>
      <c r="I3768" s="4" t="n">
        <v>3</v>
      </c>
      <c r="J3768" s="4" t="n">
        <f aca="false">LEN(E3768)-LEN(SUBSTITUTE(E3768,",",""))+1</f>
        <v>3</v>
      </c>
      <c r="K3768" s="3" t="str">
        <f aca="false">IFERROR(INDEX('Teacher Lookup'!$B$2:$B$200,MATCH(A3768,'Teacher Lookup'!$A$2:$A$200,0)),"")</f>
        <v>LIU Fiona</v>
      </c>
    </row>
    <row r="3769" customFormat="false" ht="15" hidden="false" customHeight="false" outlineLevel="0" collapsed="false">
      <c r="A3769" s="3" t="s">
        <v>401</v>
      </c>
      <c r="B3769" s="4" t="s">
        <v>47</v>
      </c>
      <c r="C3769" s="4" t="n">
        <v>7</v>
      </c>
      <c r="D3769" s="4" t="s">
        <v>28</v>
      </c>
      <c r="E3769" s="3" t="s">
        <v>159</v>
      </c>
      <c r="F3769" s="4" t="str">
        <f aca="false">IF(I3769&gt;J3769,"Y","N")</f>
        <v>N</v>
      </c>
      <c r="G3769" s="3" t="s">
        <v>164</v>
      </c>
      <c r="H3769" s="3" t="s">
        <v>39</v>
      </c>
      <c r="I3769" s="4" t="n">
        <v>4</v>
      </c>
      <c r="J3769" s="4" t="n">
        <f aca="false">LEN(E3769)-LEN(SUBSTITUTE(E3769,",",""))+1</f>
        <v>4</v>
      </c>
      <c r="K3769" s="3" t="str">
        <f aca="false">IFERROR(INDEX('Teacher Lookup'!$B$2:$B$200,MATCH(A3769,'Teacher Lookup'!$A$2:$A$200,0)),"")</f>
        <v>LIU Fiona</v>
      </c>
    </row>
    <row r="3770" customFormat="false" ht="15" hidden="false" customHeight="false" outlineLevel="0" collapsed="false">
      <c r="A3770" s="3" t="s">
        <v>401</v>
      </c>
      <c r="B3770" s="4" t="s">
        <v>47</v>
      </c>
      <c r="C3770" s="4" t="n">
        <v>7</v>
      </c>
      <c r="D3770" s="4" t="s">
        <v>29</v>
      </c>
      <c r="E3770" s="3" t="s">
        <v>159</v>
      </c>
      <c r="F3770" s="4" t="str">
        <f aca="false">IF(I3770&gt;J3770,"Y","N")</f>
        <v>N</v>
      </c>
      <c r="G3770" s="3" t="s">
        <v>164</v>
      </c>
      <c r="H3770" s="3" t="s">
        <v>39</v>
      </c>
      <c r="I3770" s="4" t="n">
        <v>4</v>
      </c>
      <c r="J3770" s="4" t="n">
        <f aca="false">LEN(E3770)-LEN(SUBSTITUTE(E3770,",",""))+1</f>
        <v>4</v>
      </c>
      <c r="K3770" s="3" t="str">
        <f aca="false">IFERROR(INDEX('Teacher Lookup'!$B$2:$B$200,MATCH(A3770,'Teacher Lookup'!$A$2:$A$200,0)),"")</f>
        <v>LIU Fiona</v>
      </c>
    </row>
    <row r="3771" customFormat="false" ht="15" hidden="false" customHeight="false" outlineLevel="0" collapsed="false">
      <c r="A3771" s="3" t="s">
        <v>401</v>
      </c>
      <c r="B3771" s="4" t="s">
        <v>47</v>
      </c>
      <c r="C3771" s="4" t="n">
        <v>7</v>
      </c>
      <c r="D3771" s="4" t="s">
        <v>30</v>
      </c>
      <c r="E3771" s="3" t="s">
        <v>159</v>
      </c>
      <c r="F3771" s="4" t="str">
        <f aca="false">IF(I3771&gt;J3771,"Y","N")</f>
        <v>N</v>
      </c>
      <c r="G3771" s="3" t="s">
        <v>164</v>
      </c>
      <c r="H3771" s="3" t="s">
        <v>39</v>
      </c>
      <c r="I3771" s="4" t="n">
        <v>4</v>
      </c>
      <c r="J3771" s="4" t="n">
        <f aca="false">LEN(E3771)-LEN(SUBSTITUTE(E3771,",",""))+1</f>
        <v>4</v>
      </c>
      <c r="K3771" s="3" t="str">
        <f aca="false">IFERROR(INDEX('Teacher Lookup'!$B$2:$B$200,MATCH(A3771,'Teacher Lookup'!$A$2:$A$200,0)),"")</f>
        <v>LIU Fiona</v>
      </c>
    </row>
    <row r="3772" customFormat="false" ht="15" hidden="false" customHeight="false" outlineLevel="0" collapsed="false">
      <c r="A3772" s="3" t="s">
        <v>401</v>
      </c>
      <c r="B3772" s="4" t="s">
        <v>50</v>
      </c>
      <c r="C3772" s="4" t="n">
        <v>1</v>
      </c>
      <c r="D3772" s="4" t="s">
        <v>24</v>
      </c>
      <c r="E3772" s="3" t="s">
        <v>409</v>
      </c>
      <c r="F3772" s="4" t="str">
        <f aca="false">IF(I3772&gt;J3772,"Y","N")</f>
        <v>N</v>
      </c>
      <c r="G3772" s="3" t="s">
        <v>164</v>
      </c>
      <c r="H3772" s="3" t="s">
        <v>16</v>
      </c>
      <c r="I3772" s="4" t="n">
        <v>3</v>
      </c>
      <c r="J3772" s="4" t="n">
        <f aca="false">LEN(E3772)-LEN(SUBSTITUTE(E3772,",",""))+1</f>
        <v>3</v>
      </c>
      <c r="K3772" s="3" t="str">
        <f aca="false">IFERROR(INDEX('Teacher Lookup'!$B$2:$B$200,MATCH(A3772,'Teacher Lookup'!$A$2:$A$200,0)),"")</f>
        <v>LIU Fiona</v>
      </c>
    </row>
    <row r="3773" customFormat="false" ht="15" hidden="false" customHeight="false" outlineLevel="0" collapsed="false">
      <c r="A3773" s="3" t="s">
        <v>401</v>
      </c>
      <c r="B3773" s="4" t="s">
        <v>50</v>
      </c>
      <c r="C3773" s="4" t="n">
        <v>1</v>
      </c>
      <c r="D3773" s="4" t="s">
        <v>27</v>
      </c>
      <c r="E3773" s="3" t="s">
        <v>409</v>
      </c>
      <c r="F3773" s="4" t="str">
        <f aca="false">IF(I3773&gt;J3773,"Y","N")</f>
        <v>N</v>
      </c>
      <c r="G3773" s="3" t="s">
        <v>164</v>
      </c>
      <c r="H3773" s="3" t="s">
        <v>16</v>
      </c>
      <c r="I3773" s="4" t="n">
        <v>3</v>
      </c>
      <c r="J3773" s="4" t="n">
        <f aca="false">LEN(E3773)-LEN(SUBSTITUTE(E3773,",",""))+1</f>
        <v>3</v>
      </c>
      <c r="K3773" s="3" t="str">
        <f aca="false">IFERROR(INDEX('Teacher Lookup'!$B$2:$B$200,MATCH(A3773,'Teacher Lookup'!$A$2:$A$200,0)),"")</f>
        <v>LIU Fiona</v>
      </c>
    </row>
    <row r="3774" customFormat="false" ht="15" hidden="false" customHeight="false" outlineLevel="0" collapsed="false">
      <c r="A3774" s="3" t="s">
        <v>401</v>
      </c>
      <c r="B3774" s="4" t="s">
        <v>50</v>
      </c>
      <c r="C3774" s="4" t="n">
        <v>2</v>
      </c>
      <c r="D3774" s="4" t="s">
        <v>28</v>
      </c>
      <c r="E3774" s="3" t="s">
        <v>410</v>
      </c>
      <c r="F3774" s="4" t="str">
        <f aca="false">IF(I3774&gt;J3774,"Y","N")</f>
        <v>N</v>
      </c>
      <c r="G3774" s="3" t="s">
        <v>164</v>
      </c>
      <c r="H3774" s="3" t="s">
        <v>21</v>
      </c>
      <c r="I3774" s="4" t="n">
        <v>4</v>
      </c>
      <c r="J3774" s="4" t="n">
        <f aca="false">LEN(E3774)-LEN(SUBSTITUTE(E3774,",",""))+1</f>
        <v>4</v>
      </c>
      <c r="K3774" s="3" t="str">
        <f aca="false">IFERROR(INDEX('Teacher Lookup'!$B$2:$B$200,MATCH(A3774,'Teacher Lookup'!$A$2:$A$200,0)),"")</f>
        <v>LIU Fiona</v>
      </c>
    </row>
    <row r="3775" customFormat="false" ht="15" hidden="false" customHeight="false" outlineLevel="0" collapsed="false">
      <c r="A3775" s="3" t="s">
        <v>401</v>
      </c>
      <c r="B3775" s="4" t="s">
        <v>50</v>
      </c>
      <c r="C3775" s="4" t="n">
        <v>2</v>
      </c>
      <c r="D3775" s="4" t="s">
        <v>29</v>
      </c>
      <c r="E3775" s="3" t="s">
        <v>410</v>
      </c>
      <c r="F3775" s="4" t="str">
        <f aca="false">IF(I3775&gt;J3775,"Y","N")</f>
        <v>N</v>
      </c>
      <c r="G3775" s="3" t="s">
        <v>164</v>
      </c>
      <c r="H3775" s="3" t="s">
        <v>21</v>
      </c>
      <c r="I3775" s="4" t="n">
        <v>4</v>
      </c>
      <c r="J3775" s="4" t="n">
        <f aca="false">LEN(E3775)-LEN(SUBSTITUTE(E3775,",",""))+1</f>
        <v>4</v>
      </c>
      <c r="K3775" s="3" t="str">
        <f aca="false">IFERROR(INDEX('Teacher Lookup'!$B$2:$B$200,MATCH(A3775,'Teacher Lookup'!$A$2:$A$200,0)),"")</f>
        <v>LIU Fiona</v>
      </c>
    </row>
    <row r="3776" customFormat="false" ht="15" hidden="false" customHeight="false" outlineLevel="0" collapsed="false">
      <c r="A3776" s="3" t="s">
        <v>401</v>
      </c>
      <c r="B3776" s="4" t="s">
        <v>50</v>
      </c>
      <c r="C3776" s="4" t="n">
        <v>2</v>
      </c>
      <c r="D3776" s="4" t="s">
        <v>30</v>
      </c>
      <c r="E3776" s="3" t="s">
        <v>410</v>
      </c>
      <c r="F3776" s="4" t="str">
        <f aca="false">IF(I3776&gt;J3776,"Y","N")</f>
        <v>N</v>
      </c>
      <c r="G3776" s="3" t="s">
        <v>164</v>
      </c>
      <c r="H3776" s="3" t="s">
        <v>21</v>
      </c>
      <c r="I3776" s="4" t="n">
        <v>4</v>
      </c>
      <c r="J3776" s="4" t="n">
        <f aca="false">LEN(E3776)-LEN(SUBSTITUTE(E3776,",",""))+1</f>
        <v>4</v>
      </c>
      <c r="K3776" s="3" t="str">
        <f aca="false">IFERROR(INDEX('Teacher Lookup'!$B$2:$B$200,MATCH(A3776,'Teacher Lookup'!$A$2:$A$200,0)),"")</f>
        <v>LIU Fiona</v>
      </c>
    </row>
    <row r="3777" customFormat="false" ht="15" hidden="false" customHeight="false" outlineLevel="0" collapsed="false">
      <c r="A3777" s="3" t="s">
        <v>401</v>
      </c>
      <c r="B3777" s="4" t="s">
        <v>50</v>
      </c>
      <c r="C3777" s="4" t="n">
        <v>4</v>
      </c>
      <c r="D3777" s="4" t="s">
        <v>102</v>
      </c>
      <c r="E3777" s="3" t="s">
        <v>262</v>
      </c>
      <c r="F3777" s="4" t="str">
        <f aca="false">IF(I3777&gt;J3777,"Y","N")</f>
        <v>N</v>
      </c>
      <c r="G3777" s="3" t="s">
        <v>164</v>
      </c>
      <c r="H3777" s="3" t="s">
        <v>34</v>
      </c>
      <c r="I3777" s="4" t="n">
        <v>3</v>
      </c>
      <c r="J3777" s="4" t="n">
        <f aca="false">LEN(E3777)-LEN(SUBSTITUTE(E3777,",",""))+1</f>
        <v>3</v>
      </c>
      <c r="K3777" s="3" t="str">
        <f aca="false">IFERROR(INDEX('Teacher Lookup'!$B$2:$B$200,MATCH(A3777,'Teacher Lookup'!$A$2:$A$200,0)),"")</f>
        <v>LIU Fiona</v>
      </c>
    </row>
    <row r="3778" customFormat="false" ht="15" hidden="false" customHeight="false" outlineLevel="0" collapsed="false">
      <c r="A3778" s="3" t="s">
        <v>401</v>
      </c>
      <c r="B3778" s="4" t="s">
        <v>50</v>
      </c>
      <c r="C3778" s="4" t="n">
        <v>4</v>
      </c>
      <c r="D3778" s="4" t="s">
        <v>107</v>
      </c>
      <c r="E3778" s="3" t="s">
        <v>262</v>
      </c>
      <c r="F3778" s="4" t="str">
        <f aca="false">IF(I3778&gt;J3778,"Y","N")</f>
        <v>N</v>
      </c>
      <c r="G3778" s="3" t="s">
        <v>164</v>
      </c>
      <c r="H3778" s="3" t="s">
        <v>34</v>
      </c>
      <c r="I3778" s="4" t="n">
        <v>3</v>
      </c>
      <c r="J3778" s="4" t="n">
        <f aca="false">LEN(E3778)-LEN(SUBSTITUTE(E3778,",",""))+1</f>
        <v>3</v>
      </c>
      <c r="K3778" s="3" t="str">
        <f aca="false">IFERROR(INDEX('Teacher Lookup'!$B$2:$B$200,MATCH(A3778,'Teacher Lookup'!$A$2:$A$200,0)),"")</f>
        <v>LIU Fiona</v>
      </c>
    </row>
    <row r="3779" customFormat="false" ht="15" hidden="false" customHeight="false" outlineLevel="0" collapsed="false">
      <c r="A3779" s="3" t="s">
        <v>401</v>
      </c>
      <c r="B3779" s="4" t="s">
        <v>50</v>
      </c>
      <c r="C3779" s="4" t="n">
        <v>5</v>
      </c>
      <c r="D3779" s="4" t="s">
        <v>102</v>
      </c>
      <c r="E3779" s="3" t="s">
        <v>262</v>
      </c>
      <c r="F3779" s="4" t="str">
        <f aca="false">IF(I3779&gt;J3779,"Y","N")</f>
        <v>N</v>
      </c>
      <c r="G3779" s="3" t="s">
        <v>164</v>
      </c>
      <c r="H3779" s="3" t="s">
        <v>37</v>
      </c>
      <c r="I3779" s="4" t="n">
        <v>3</v>
      </c>
      <c r="J3779" s="4" t="n">
        <f aca="false">LEN(E3779)-LEN(SUBSTITUTE(E3779,",",""))+1</f>
        <v>3</v>
      </c>
      <c r="K3779" s="3" t="str">
        <f aca="false">IFERROR(INDEX('Teacher Lookup'!$B$2:$B$200,MATCH(A3779,'Teacher Lookup'!$A$2:$A$200,0)),"")</f>
        <v>LIU Fiona</v>
      </c>
    </row>
    <row r="3780" customFormat="false" ht="15" hidden="false" customHeight="false" outlineLevel="0" collapsed="false">
      <c r="A3780" s="3" t="s">
        <v>401</v>
      </c>
      <c r="B3780" s="4" t="s">
        <v>50</v>
      </c>
      <c r="C3780" s="4" t="n">
        <v>5</v>
      </c>
      <c r="D3780" s="4" t="s">
        <v>107</v>
      </c>
      <c r="E3780" s="3" t="s">
        <v>262</v>
      </c>
      <c r="F3780" s="4" t="str">
        <f aca="false">IF(I3780&gt;J3780,"Y","N")</f>
        <v>N</v>
      </c>
      <c r="G3780" s="3" t="s">
        <v>164</v>
      </c>
      <c r="H3780" s="3" t="s">
        <v>37</v>
      </c>
      <c r="I3780" s="4" t="n">
        <v>3</v>
      </c>
      <c r="J3780" s="4" t="n">
        <f aca="false">LEN(E3780)-LEN(SUBSTITUTE(E3780,",",""))+1</f>
        <v>3</v>
      </c>
      <c r="K3780" s="3" t="str">
        <f aca="false">IFERROR(INDEX('Teacher Lookup'!$B$2:$B$200,MATCH(A3780,'Teacher Lookup'!$A$2:$A$200,0)),"")</f>
        <v>LIU Fiona</v>
      </c>
    </row>
    <row r="3781" customFormat="false" ht="15" hidden="false" customHeight="false" outlineLevel="0" collapsed="false">
      <c r="A3781" s="3" t="s">
        <v>401</v>
      </c>
      <c r="B3781" s="4" t="s">
        <v>60</v>
      </c>
      <c r="C3781" s="4" t="n">
        <v>2</v>
      </c>
      <c r="D3781" s="4" t="s">
        <v>102</v>
      </c>
      <c r="E3781" s="3" t="s">
        <v>264</v>
      </c>
      <c r="F3781" s="4" t="str">
        <f aca="false">IF(I3781&gt;J3781,"Y","N")</f>
        <v>N</v>
      </c>
      <c r="G3781" s="3" t="s">
        <v>164</v>
      </c>
      <c r="H3781" s="3" t="s">
        <v>21</v>
      </c>
      <c r="I3781" s="4" t="n">
        <v>3</v>
      </c>
      <c r="J3781" s="4" t="n">
        <f aca="false">LEN(E3781)-LEN(SUBSTITUTE(E3781,",",""))+1</f>
        <v>3</v>
      </c>
      <c r="K3781" s="3" t="str">
        <f aca="false">IFERROR(INDEX('Teacher Lookup'!$B$2:$B$200,MATCH(A3781,'Teacher Lookup'!$A$2:$A$200,0)),"")</f>
        <v>LIU Fiona</v>
      </c>
    </row>
    <row r="3782" customFormat="false" ht="15" hidden="false" customHeight="false" outlineLevel="0" collapsed="false">
      <c r="A3782" s="3" t="s">
        <v>401</v>
      </c>
      <c r="B3782" s="4" t="s">
        <v>60</v>
      </c>
      <c r="C3782" s="4" t="n">
        <v>2</v>
      </c>
      <c r="D3782" s="4" t="s">
        <v>107</v>
      </c>
      <c r="E3782" s="3" t="s">
        <v>264</v>
      </c>
      <c r="F3782" s="4" t="str">
        <f aca="false">IF(I3782&gt;J3782,"Y","N")</f>
        <v>N</v>
      </c>
      <c r="G3782" s="3" t="s">
        <v>164</v>
      </c>
      <c r="H3782" s="3" t="s">
        <v>21</v>
      </c>
      <c r="I3782" s="4" t="n">
        <v>3</v>
      </c>
      <c r="J3782" s="4" t="n">
        <f aca="false">LEN(E3782)-LEN(SUBSTITUTE(E3782,",",""))+1</f>
        <v>3</v>
      </c>
      <c r="K3782" s="3" t="str">
        <f aca="false">IFERROR(INDEX('Teacher Lookup'!$B$2:$B$200,MATCH(A3782,'Teacher Lookup'!$A$2:$A$200,0)),"")</f>
        <v>LIU Fiona</v>
      </c>
    </row>
    <row r="3783" customFormat="false" ht="15" hidden="false" customHeight="false" outlineLevel="0" collapsed="false">
      <c r="A3783" s="3" t="s">
        <v>401</v>
      </c>
      <c r="B3783" s="4" t="s">
        <v>60</v>
      </c>
      <c r="C3783" s="4" t="n">
        <v>4</v>
      </c>
      <c r="D3783" s="4" t="s">
        <v>28</v>
      </c>
      <c r="E3783" s="3" t="s">
        <v>411</v>
      </c>
      <c r="F3783" s="4" t="str">
        <f aca="false">IF(I3783&gt;J3783,"Y","N")</f>
        <v>N</v>
      </c>
      <c r="G3783" s="3" t="s">
        <v>164</v>
      </c>
      <c r="H3783" s="3" t="s">
        <v>34</v>
      </c>
      <c r="I3783" s="4" t="n">
        <v>4</v>
      </c>
      <c r="J3783" s="4" t="n">
        <f aca="false">LEN(E3783)-LEN(SUBSTITUTE(E3783,",",""))+1</f>
        <v>4</v>
      </c>
      <c r="K3783" s="3" t="str">
        <f aca="false">IFERROR(INDEX('Teacher Lookup'!$B$2:$B$200,MATCH(A3783,'Teacher Lookup'!$A$2:$A$200,0)),"")</f>
        <v>LIU Fiona</v>
      </c>
    </row>
    <row r="3784" customFormat="false" ht="15" hidden="false" customHeight="false" outlineLevel="0" collapsed="false">
      <c r="A3784" s="3" t="s">
        <v>401</v>
      </c>
      <c r="B3784" s="4" t="s">
        <v>60</v>
      </c>
      <c r="C3784" s="4" t="n">
        <v>4</v>
      </c>
      <c r="D3784" s="4" t="s">
        <v>29</v>
      </c>
      <c r="E3784" s="3" t="s">
        <v>411</v>
      </c>
      <c r="F3784" s="4" t="str">
        <f aca="false">IF(I3784&gt;J3784,"Y","N")</f>
        <v>N</v>
      </c>
      <c r="G3784" s="3" t="s">
        <v>164</v>
      </c>
      <c r="H3784" s="3" t="s">
        <v>34</v>
      </c>
      <c r="I3784" s="4" t="n">
        <v>4</v>
      </c>
      <c r="J3784" s="4" t="n">
        <f aca="false">LEN(E3784)-LEN(SUBSTITUTE(E3784,",",""))+1</f>
        <v>4</v>
      </c>
      <c r="K3784" s="3" t="str">
        <f aca="false">IFERROR(INDEX('Teacher Lookup'!$B$2:$B$200,MATCH(A3784,'Teacher Lookup'!$A$2:$A$200,0)),"")</f>
        <v>LIU Fiona</v>
      </c>
    </row>
    <row r="3785" customFormat="false" ht="15" hidden="false" customHeight="false" outlineLevel="0" collapsed="false">
      <c r="A3785" s="3" t="s">
        <v>401</v>
      </c>
      <c r="B3785" s="4" t="s">
        <v>60</v>
      </c>
      <c r="C3785" s="4" t="n">
        <v>4</v>
      </c>
      <c r="D3785" s="4" t="s">
        <v>30</v>
      </c>
      <c r="E3785" s="3" t="s">
        <v>411</v>
      </c>
      <c r="F3785" s="4" t="str">
        <f aca="false">IF(I3785&gt;J3785,"Y","N")</f>
        <v>N</v>
      </c>
      <c r="G3785" s="3" t="s">
        <v>164</v>
      </c>
      <c r="H3785" s="3" t="s">
        <v>34</v>
      </c>
      <c r="I3785" s="4" t="n">
        <v>4</v>
      </c>
      <c r="J3785" s="4" t="n">
        <f aca="false">LEN(E3785)-LEN(SUBSTITUTE(E3785,",",""))+1</f>
        <v>4</v>
      </c>
      <c r="K3785" s="3" t="str">
        <f aca="false">IFERROR(INDEX('Teacher Lookup'!$B$2:$B$200,MATCH(A3785,'Teacher Lookup'!$A$2:$A$200,0)),"")</f>
        <v>LIU Fiona</v>
      </c>
    </row>
    <row r="3786" customFormat="false" ht="15" hidden="false" customHeight="false" outlineLevel="0" collapsed="false">
      <c r="A3786" s="3" t="s">
        <v>401</v>
      </c>
      <c r="B3786" s="4" t="s">
        <v>60</v>
      </c>
      <c r="C3786" s="4" t="n">
        <v>5</v>
      </c>
      <c r="D3786" s="4" t="s">
        <v>24</v>
      </c>
      <c r="E3786" s="3" t="s">
        <v>131</v>
      </c>
      <c r="F3786" s="4" t="str">
        <f aca="false">IF(I3786&gt;J3786,"Y","N")</f>
        <v>Y</v>
      </c>
      <c r="G3786" s="3" t="s">
        <v>36</v>
      </c>
      <c r="H3786" s="3" t="s">
        <v>37</v>
      </c>
      <c r="I3786" s="4" t="n">
        <v>15</v>
      </c>
      <c r="J3786" s="4" t="n">
        <f aca="false">LEN(E3786)-LEN(SUBSTITUTE(E3786,",",""))+1</f>
        <v>7</v>
      </c>
      <c r="K3786" s="3" t="str">
        <f aca="false">IFERROR(INDEX('Teacher Lookup'!$B$2:$B$200,MATCH(A3786,'Teacher Lookup'!$A$2:$A$200,0)),"")</f>
        <v>LIU Fiona</v>
      </c>
    </row>
    <row r="3787" customFormat="false" ht="15" hidden="false" customHeight="false" outlineLevel="0" collapsed="false">
      <c r="A3787" s="3" t="s">
        <v>401</v>
      </c>
      <c r="B3787" s="4" t="s">
        <v>60</v>
      </c>
      <c r="C3787" s="4" t="n">
        <v>5</v>
      </c>
      <c r="D3787" s="4" t="s">
        <v>132</v>
      </c>
      <c r="E3787" s="3" t="s">
        <v>131</v>
      </c>
      <c r="F3787" s="4" t="str">
        <f aca="false">IF(I3787&gt;J3787,"Y","N")</f>
        <v>Y</v>
      </c>
      <c r="G3787" s="3" t="s">
        <v>36</v>
      </c>
      <c r="H3787" s="3" t="s">
        <v>37</v>
      </c>
      <c r="I3787" s="4" t="n">
        <v>15</v>
      </c>
      <c r="J3787" s="4" t="n">
        <f aca="false">LEN(E3787)-LEN(SUBSTITUTE(E3787,",",""))+1</f>
        <v>7</v>
      </c>
      <c r="K3787" s="3" t="str">
        <f aca="false">IFERROR(INDEX('Teacher Lookup'!$B$2:$B$200,MATCH(A3787,'Teacher Lookup'!$A$2:$A$200,0)),"")</f>
        <v>LIU Fiona</v>
      </c>
    </row>
    <row r="3788" customFormat="false" ht="15" hidden="false" customHeight="false" outlineLevel="0" collapsed="false">
      <c r="A3788" s="3" t="s">
        <v>401</v>
      </c>
      <c r="B3788" s="4" t="s">
        <v>60</v>
      </c>
      <c r="C3788" s="4" t="n">
        <v>5</v>
      </c>
      <c r="D3788" s="4" t="s">
        <v>27</v>
      </c>
      <c r="E3788" s="3" t="s">
        <v>131</v>
      </c>
      <c r="F3788" s="4" t="str">
        <f aca="false">IF(I3788&gt;J3788,"Y","N")</f>
        <v>Y</v>
      </c>
      <c r="G3788" s="3" t="s">
        <v>36</v>
      </c>
      <c r="H3788" s="3" t="s">
        <v>37</v>
      </c>
      <c r="I3788" s="4" t="n">
        <v>15</v>
      </c>
      <c r="J3788" s="4" t="n">
        <f aca="false">LEN(E3788)-LEN(SUBSTITUTE(E3788,",",""))+1</f>
        <v>7</v>
      </c>
      <c r="K3788" s="3" t="str">
        <f aca="false">IFERROR(INDEX('Teacher Lookup'!$B$2:$B$200,MATCH(A3788,'Teacher Lookup'!$A$2:$A$200,0)),"")</f>
        <v>LIU Fiona</v>
      </c>
    </row>
    <row r="3789" customFormat="false" ht="15" hidden="false" customHeight="false" outlineLevel="0" collapsed="false">
      <c r="A3789" s="3" t="s">
        <v>401</v>
      </c>
      <c r="B3789" s="4" t="s">
        <v>60</v>
      </c>
      <c r="C3789" s="4" t="n">
        <v>5</v>
      </c>
      <c r="D3789" s="4" t="s">
        <v>28</v>
      </c>
      <c r="E3789" s="3" t="s">
        <v>131</v>
      </c>
      <c r="F3789" s="4" t="str">
        <f aca="false">IF(I3789&gt;J3789,"Y","N")</f>
        <v>Y</v>
      </c>
      <c r="G3789" s="3" t="s">
        <v>36</v>
      </c>
      <c r="H3789" s="3" t="s">
        <v>37</v>
      </c>
      <c r="I3789" s="4" t="n">
        <v>15</v>
      </c>
      <c r="J3789" s="4" t="n">
        <f aca="false">LEN(E3789)-LEN(SUBSTITUTE(E3789,",",""))+1</f>
        <v>7</v>
      </c>
      <c r="K3789" s="3" t="str">
        <f aca="false">IFERROR(INDEX('Teacher Lookup'!$B$2:$B$200,MATCH(A3789,'Teacher Lookup'!$A$2:$A$200,0)),"")</f>
        <v>LIU Fiona</v>
      </c>
    </row>
    <row r="3790" customFormat="false" ht="15" hidden="false" customHeight="false" outlineLevel="0" collapsed="false">
      <c r="A3790" s="3" t="s">
        <v>401</v>
      </c>
      <c r="B3790" s="4" t="s">
        <v>60</v>
      </c>
      <c r="C3790" s="4" t="n">
        <v>5</v>
      </c>
      <c r="D3790" s="4" t="s">
        <v>29</v>
      </c>
      <c r="E3790" s="3" t="s">
        <v>131</v>
      </c>
      <c r="F3790" s="4" t="str">
        <f aca="false">IF(I3790&gt;J3790,"Y","N")</f>
        <v>Y</v>
      </c>
      <c r="G3790" s="3" t="s">
        <v>36</v>
      </c>
      <c r="H3790" s="3" t="s">
        <v>37</v>
      </c>
      <c r="I3790" s="4" t="n">
        <v>15</v>
      </c>
      <c r="J3790" s="4" t="n">
        <f aca="false">LEN(E3790)-LEN(SUBSTITUTE(E3790,",",""))+1</f>
        <v>7</v>
      </c>
      <c r="K3790" s="3" t="str">
        <f aca="false">IFERROR(INDEX('Teacher Lookup'!$B$2:$B$200,MATCH(A3790,'Teacher Lookup'!$A$2:$A$200,0)),"")</f>
        <v>LIU Fiona</v>
      </c>
    </row>
    <row r="3791" customFormat="false" ht="15" hidden="false" customHeight="false" outlineLevel="0" collapsed="false">
      <c r="A3791" s="3" t="s">
        <v>401</v>
      </c>
      <c r="B3791" s="4" t="s">
        <v>60</v>
      </c>
      <c r="C3791" s="4" t="n">
        <v>5</v>
      </c>
      <c r="D3791" s="4" t="s">
        <v>30</v>
      </c>
      <c r="E3791" s="3" t="s">
        <v>131</v>
      </c>
      <c r="F3791" s="4" t="str">
        <f aca="false">IF(I3791&gt;J3791,"Y","N")</f>
        <v>Y</v>
      </c>
      <c r="G3791" s="3" t="s">
        <v>36</v>
      </c>
      <c r="H3791" s="3" t="s">
        <v>37</v>
      </c>
      <c r="I3791" s="4" t="n">
        <v>15</v>
      </c>
      <c r="J3791" s="4" t="n">
        <f aca="false">LEN(E3791)-LEN(SUBSTITUTE(E3791,",",""))+1</f>
        <v>7</v>
      </c>
      <c r="K3791" s="3" t="str">
        <f aca="false">IFERROR(INDEX('Teacher Lookup'!$B$2:$B$200,MATCH(A3791,'Teacher Lookup'!$A$2:$A$200,0)),"")</f>
        <v>LIU Fiona</v>
      </c>
    </row>
    <row r="3792" customFormat="false" ht="15" hidden="false" customHeight="false" outlineLevel="0" collapsed="false">
      <c r="A3792" s="3" t="s">
        <v>401</v>
      </c>
      <c r="B3792" s="4" t="s">
        <v>60</v>
      </c>
      <c r="C3792" s="4" t="n">
        <v>7</v>
      </c>
      <c r="D3792" s="4" t="s">
        <v>24</v>
      </c>
      <c r="E3792" s="3" t="s">
        <v>408</v>
      </c>
      <c r="F3792" s="4" t="str">
        <f aca="false">IF(I3792&gt;J3792,"Y","N")</f>
        <v>N</v>
      </c>
      <c r="G3792" s="3" t="s">
        <v>164</v>
      </c>
      <c r="H3792" s="3" t="s">
        <v>39</v>
      </c>
      <c r="I3792" s="4" t="n">
        <v>3</v>
      </c>
      <c r="J3792" s="4" t="n">
        <f aca="false">LEN(E3792)-LEN(SUBSTITUTE(E3792,",",""))+1</f>
        <v>3</v>
      </c>
      <c r="K3792" s="3" t="str">
        <f aca="false">IFERROR(INDEX('Teacher Lookup'!$B$2:$B$200,MATCH(A3792,'Teacher Lookup'!$A$2:$A$200,0)),"")</f>
        <v>LIU Fiona</v>
      </c>
    </row>
    <row r="3793" customFormat="false" ht="15" hidden="false" customHeight="false" outlineLevel="0" collapsed="false">
      <c r="A3793" s="3" t="s">
        <v>401</v>
      </c>
      <c r="B3793" s="4" t="s">
        <v>60</v>
      </c>
      <c r="C3793" s="4" t="n">
        <v>7</v>
      </c>
      <c r="D3793" s="4" t="s">
        <v>27</v>
      </c>
      <c r="E3793" s="3" t="s">
        <v>408</v>
      </c>
      <c r="F3793" s="4" t="str">
        <f aca="false">IF(I3793&gt;J3793,"Y","N")</f>
        <v>N</v>
      </c>
      <c r="G3793" s="3" t="s">
        <v>164</v>
      </c>
      <c r="H3793" s="3" t="s">
        <v>39</v>
      </c>
      <c r="I3793" s="4" t="n">
        <v>3</v>
      </c>
      <c r="J3793" s="4" t="n">
        <f aca="false">LEN(E3793)-LEN(SUBSTITUTE(E3793,",",""))+1</f>
        <v>3</v>
      </c>
      <c r="K3793" s="3" t="str">
        <f aca="false">IFERROR(INDEX('Teacher Lookup'!$B$2:$B$200,MATCH(A3793,'Teacher Lookup'!$A$2:$A$200,0)),"")</f>
        <v>LIU Fiona</v>
      </c>
    </row>
    <row r="3794" customFormat="false" ht="15" hidden="false" customHeight="false" outlineLevel="0" collapsed="false">
      <c r="A3794" s="3" t="s">
        <v>401</v>
      </c>
      <c r="B3794" s="4" t="s">
        <v>63</v>
      </c>
      <c r="C3794" s="4" t="n">
        <v>2</v>
      </c>
      <c r="D3794" s="4" t="s">
        <v>102</v>
      </c>
      <c r="E3794" s="3" t="s">
        <v>266</v>
      </c>
      <c r="F3794" s="4" t="str">
        <f aca="false">IF(I3794&gt;J3794,"Y","N")</f>
        <v>N</v>
      </c>
      <c r="G3794" s="3" t="s">
        <v>164</v>
      </c>
      <c r="H3794" s="3" t="s">
        <v>21</v>
      </c>
      <c r="I3794" s="4" t="n">
        <v>3</v>
      </c>
      <c r="J3794" s="4" t="n">
        <f aca="false">LEN(E3794)-LEN(SUBSTITUTE(E3794,",",""))+1</f>
        <v>3</v>
      </c>
      <c r="K3794" s="3" t="str">
        <f aca="false">IFERROR(INDEX('Teacher Lookup'!$B$2:$B$200,MATCH(A3794,'Teacher Lookup'!$A$2:$A$200,0)),"")</f>
        <v>LIU Fiona</v>
      </c>
    </row>
    <row r="3795" customFormat="false" ht="15" hidden="false" customHeight="false" outlineLevel="0" collapsed="false">
      <c r="A3795" s="3" t="s">
        <v>401</v>
      </c>
      <c r="B3795" s="4" t="s">
        <v>63</v>
      </c>
      <c r="C3795" s="4" t="n">
        <v>2</v>
      </c>
      <c r="D3795" s="4" t="s">
        <v>107</v>
      </c>
      <c r="E3795" s="3" t="s">
        <v>266</v>
      </c>
      <c r="F3795" s="4" t="str">
        <f aca="false">IF(I3795&gt;J3795,"Y","N")</f>
        <v>N</v>
      </c>
      <c r="G3795" s="3" t="s">
        <v>164</v>
      </c>
      <c r="H3795" s="3" t="s">
        <v>21</v>
      </c>
      <c r="I3795" s="4" t="n">
        <v>3</v>
      </c>
      <c r="J3795" s="4" t="n">
        <f aca="false">LEN(E3795)-LEN(SUBSTITUTE(E3795,",",""))+1</f>
        <v>3</v>
      </c>
      <c r="K3795" s="3" t="str">
        <f aca="false">IFERROR(INDEX('Teacher Lookup'!$B$2:$B$200,MATCH(A3795,'Teacher Lookup'!$A$2:$A$200,0)),"")</f>
        <v>LIU Fiona</v>
      </c>
    </row>
    <row r="3796" customFormat="false" ht="15" hidden="false" customHeight="false" outlineLevel="0" collapsed="false">
      <c r="A3796" s="3" t="s">
        <v>401</v>
      </c>
      <c r="B3796" s="4" t="s">
        <v>63</v>
      </c>
      <c r="C3796" s="4" t="n">
        <v>4</v>
      </c>
      <c r="D3796" s="4" t="s">
        <v>28</v>
      </c>
      <c r="E3796" s="3" t="s">
        <v>411</v>
      </c>
      <c r="F3796" s="4" t="str">
        <f aca="false">IF(I3796&gt;J3796,"Y","N")</f>
        <v>N</v>
      </c>
      <c r="G3796" s="3" t="s">
        <v>164</v>
      </c>
      <c r="H3796" s="3" t="s">
        <v>34</v>
      </c>
      <c r="I3796" s="4" t="n">
        <v>4</v>
      </c>
      <c r="J3796" s="4" t="n">
        <f aca="false">LEN(E3796)-LEN(SUBSTITUTE(E3796,",",""))+1</f>
        <v>4</v>
      </c>
      <c r="K3796" s="3" t="str">
        <f aca="false">IFERROR(INDEX('Teacher Lookup'!$B$2:$B$200,MATCH(A3796,'Teacher Lookup'!$A$2:$A$200,0)),"")</f>
        <v>LIU Fiona</v>
      </c>
    </row>
    <row r="3797" customFormat="false" ht="15" hidden="false" customHeight="false" outlineLevel="0" collapsed="false">
      <c r="A3797" s="3" t="s">
        <v>401</v>
      </c>
      <c r="B3797" s="4" t="s">
        <v>63</v>
      </c>
      <c r="C3797" s="4" t="n">
        <v>4</v>
      </c>
      <c r="D3797" s="4" t="s">
        <v>29</v>
      </c>
      <c r="E3797" s="3" t="s">
        <v>411</v>
      </c>
      <c r="F3797" s="4" t="str">
        <f aca="false">IF(I3797&gt;J3797,"Y","N")</f>
        <v>N</v>
      </c>
      <c r="G3797" s="3" t="s">
        <v>164</v>
      </c>
      <c r="H3797" s="3" t="s">
        <v>34</v>
      </c>
      <c r="I3797" s="4" t="n">
        <v>4</v>
      </c>
      <c r="J3797" s="4" t="n">
        <f aca="false">LEN(E3797)-LEN(SUBSTITUTE(E3797,",",""))+1</f>
        <v>4</v>
      </c>
      <c r="K3797" s="3" t="str">
        <f aca="false">IFERROR(INDEX('Teacher Lookup'!$B$2:$B$200,MATCH(A3797,'Teacher Lookup'!$A$2:$A$200,0)),"")</f>
        <v>LIU Fiona</v>
      </c>
    </row>
    <row r="3798" customFormat="false" ht="15" hidden="false" customHeight="false" outlineLevel="0" collapsed="false">
      <c r="A3798" s="3" t="s">
        <v>401</v>
      </c>
      <c r="B3798" s="4" t="s">
        <v>63</v>
      </c>
      <c r="C3798" s="4" t="n">
        <v>4</v>
      </c>
      <c r="D3798" s="4" t="s">
        <v>30</v>
      </c>
      <c r="E3798" s="3" t="s">
        <v>411</v>
      </c>
      <c r="F3798" s="4" t="str">
        <f aca="false">IF(I3798&gt;J3798,"Y","N")</f>
        <v>N</v>
      </c>
      <c r="G3798" s="3" t="s">
        <v>164</v>
      </c>
      <c r="H3798" s="3" t="s">
        <v>34</v>
      </c>
      <c r="I3798" s="4" t="n">
        <v>4</v>
      </c>
      <c r="J3798" s="4" t="n">
        <f aca="false">LEN(E3798)-LEN(SUBSTITUTE(E3798,",",""))+1</f>
        <v>4</v>
      </c>
      <c r="K3798" s="3" t="str">
        <f aca="false">IFERROR(INDEX('Teacher Lookup'!$B$2:$B$200,MATCH(A3798,'Teacher Lookup'!$A$2:$A$200,0)),"")</f>
        <v>LIU Fiona</v>
      </c>
    </row>
    <row r="3799" customFormat="false" ht="15" hidden="false" customHeight="false" outlineLevel="0" collapsed="false">
      <c r="A3799" s="3" t="s">
        <v>401</v>
      </c>
      <c r="B3799" s="4" t="s">
        <v>63</v>
      </c>
      <c r="C3799" s="4" t="n">
        <v>5</v>
      </c>
      <c r="D3799" s="4" t="s">
        <v>28</v>
      </c>
      <c r="E3799" s="3" t="s">
        <v>411</v>
      </c>
      <c r="F3799" s="4" t="str">
        <f aca="false">IF(I3799&gt;J3799,"Y","N")</f>
        <v>N</v>
      </c>
      <c r="G3799" s="3" t="s">
        <v>164</v>
      </c>
      <c r="H3799" s="3" t="s">
        <v>37</v>
      </c>
      <c r="I3799" s="4" t="n">
        <v>4</v>
      </c>
      <c r="J3799" s="4" t="n">
        <f aca="false">LEN(E3799)-LEN(SUBSTITUTE(E3799,",",""))+1</f>
        <v>4</v>
      </c>
      <c r="K3799" s="3" t="str">
        <f aca="false">IFERROR(INDEX('Teacher Lookup'!$B$2:$B$200,MATCH(A3799,'Teacher Lookup'!$A$2:$A$200,0)),"")</f>
        <v>LIU Fiona</v>
      </c>
    </row>
    <row r="3800" customFormat="false" ht="15" hidden="false" customHeight="false" outlineLevel="0" collapsed="false">
      <c r="A3800" s="3" t="s">
        <v>401</v>
      </c>
      <c r="B3800" s="4" t="s">
        <v>63</v>
      </c>
      <c r="C3800" s="4" t="n">
        <v>5</v>
      </c>
      <c r="D3800" s="4" t="s">
        <v>29</v>
      </c>
      <c r="E3800" s="3" t="s">
        <v>411</v>
      </c>
      <c r="F3800" s="4" t="str">
        <f aca="false">IF(I3800&gt;J3800,"Y","N")</f>
        <v>N</v>
      </c>
      <c r="G3800" s="3" t="s">
        <v>164</v>
      </c>
      <c r="H3800" s="3" t="s">
        <v>37</v>
      </c>
      <c r="I3800" s="4" t="n">
        <v>4</v>
      </c>
      <c r="J3800" s="4" t="n">
        <f aca="false">LEN(E3800)-LEN(SUBSTITUTE(E3800,",",""))+1</f>
        <v>4</v>
      </c>
      <c r="K3800" s="3" t="str">
        <f aca="false">IFERROR(INDEX('Teacher Lookup'!$B$2:$B$200,MATCH(A3800,'Teacher Lookup'!$A$2:$A$200,0)),"")</f>
        <v>LIU Fiona</v>
      </c>
    </row>
    <row r="3801" customFormat="false" ht="15" hidden="false" customHeight="false" outlineLevel="0" collapsed="false">
      <c r="A3801" s="3" t="s">
        <v>401</v>
      </c>
      <c r="B3801" s="4" t="s">
        <v>63</v>
      </c>
      <c r="C3801" s="4" t="n">
        <v>5</v>
      </c>
      <c r="D3801" s="4" t="s">
        <v>30</v>
      </c>
      <c r="E3801" s="3" t="s">
        <v>411</v>
      </c>
      <c r="F3801" s="4" t="str">
        <f aca="false">IF(I3801&gt;J3801,"Y","N")</f>
        <v>N</v>
      </c>
      <c r="G3801" s="3" t="s">
        <v>164</v>
      </c>
      <c r="H3801" s="3" t="s">
        <v>37</v>
      </c>
      <c r="I3801" s="4" t="n">
        <v>4</v>
      </c>
      <c r="J3801" s="4" t="n">
        <f aca="false">LEN(E3801)-LEN(SUBSTITUTE(E3801,",",""))+1</f>
        <v>4</v>
      </c>
      <c r="K3801" s="3" t="str">
        <f aca="false">IFERROR(INDEX('Teacher Lookup'!$B$2:$B$200,MATCH(A3801,'Teacher Lookup'!$A$2:$A$200,0)),"")</f>
        <v>LIU Fiona</v>
      </c>
    </row>
    <row r="3802" customFormat="false" ht="15" hidden="false" customHeight="false" outlineLevel="0" collapsed="false">
      <c r="A3802" s="3" t="s">
        <v>401</v>
      </c>
      <c r="B3802" s="4" t="s">
        <v>63</v>
      </c>
      <c r="C3802" s="4" t="n">
        <v>6</v>
      </c>
      <c r="D3802" s="4" t="s">
        <v>24</v>
      </c>
      <c r="E3802" s="3" t="s">
        <v>86</v>
      </c>
      <c r="F3802" s="4" t="str">
        <f aca="false">IF(I3802&gt;J3802,"Y","N")</f>
        <v>N</v>
      </c>
      <c r="G3802" s="3" t="s">
        <v>164</v>
      </c>
      <c r="H3802" s="3" t="s">
        <v>42</v>
      </c>
      <c r="I3802" s="4" t="n">
        <v>3</v>
      </c>
      <c r="J3802" s="4" t="n">
        <f aca="false">LEN(E3802)-LEN(SUBSTITUTE(E3802,",",""))+1</f>
        <v>3</v>
      </c>
      <c r="K3802" s="3" t="str">
        <f aca="false">IFERROR(INDEX('Teacher Lookup'!$B$2:$B$200,MATCH(A3802,'Teacher Lookup'!$A$2:$A$200,0)),"")</f>
        <v>LIU Fiona</v>
      </c>
    </row>
    <row r="3803" customFormat="false" ht="15" hidden="false" customHeight="false" outlineLevel="0" collapsed="false">
      <c r="A3803" s="3" t="s">
        <v>401</v>
      </c>
      <c r="B3803" s="4" t="s">
        <v>63</v>
      </c>
      <c r="C3803" s="4" t="n">
        <v>6</v>
      </c>
      <c r="D3803" s="4" t="s">
        <v>27</v>
      </c>
      <c r="E3803" s="3" t="s">
        <v>86</v>
      </c>
      <c r="F3803" s="4" t="str">
        <f aca="false">IF(I3803&gt;J3803,"Y","N")</f>
        <v>N</v>
      </c>
      <c r="G3803" s="3" t="s">
        <v>164</v>
      </c>
      <c r="H3803" s="3" t="s">
        <v>42</v>
      </c>
      <c r="I3803" s="4" t="n">
        <v>3</v>
      </c>
      <c r="J3803" s="4" t="n">
        <f aca="false">LEN(E3803)-LEN(SUBSTITUTE(E3803,",",""))+1</f>
        <v>3</v>
      </c>
      <c r="K3803" s="3" t="str">
        <f aca="false">IFERROR(INDEX('Teacher Lookup'!$B$2:$B$200,MATCH(A3803,'Teacher Lookup'!$A$2:$A$200,0)),"")</f>
        <v>LIU Fiona</v>
      </c>
    </row>
    <row r="3804" customFormat="false" ht="15" hidden="false" customHeight="false" outlineLevel="0" collapsed="false">
      <c r="A3804" s="3" t="s">
        <v>401</v>
      </c>
      <c r="B3804" s="4" t="s">
        <v>63</v>
      </c>
      <c r="C3804" s="4" t="n">
        <v>7</v>
      </c>
      <c r="D3804" s="4" t="s">
        <v>24</v>
      </c>
      <c r="E3804" s="3" t="s">
        <v>86</v>
      </c>
      <c r="F3804" s="4" t="str">
        <f aca="false">IF(I3804&gt;J3804,"Y","N")</f>
        <v>N</v>
      </c>
      <c r="G3804" s="3" t="s">
        <v>164</v>
      </c>
      <c r="H3804" s="3" t="s">
        <v>39</v>
      </c>
      <c r="I3804" s="4" t="n">
        <v>3</v>
      </c>
      <c r="J3804" s="4" t="n">
        <f aca="false">LEN(E3804)-LEN(SUBSTITUTE(E3804,",",""))+1</f>
        <v>3</v>
      </c>
      <c r="K3804" s="3" t="str">
        <f aca="false">IFERROR(INDEX('Teacher Lookup'!$B$2:$B$200,MATCH(A3804,'Teacher Lookup'!$A$2:$A$200,0)),"")</f>
        <v>LIU Fiona</v>
      </c>
    </row>
    <row r="3805" customFormat="false" ht="15" hidden="false" customHeight="false" outlineLevel="0" collapsed="false">
      <c r="A3805" s="3" t="s">
        <v>401</v>
      </c>
      <c r="B3805" s="4" t="s">
        <v>63</v>
      </c>
      <c r="C3805" s="4" t="n">
        <v>7</v>
      </c>
      <c r="D3805" s="4" t="s">
        <v>27</v>
      </c>
      <c r="E3805" s="3" t="s">
        <v>86</v>
      </c>
      <c r="F3805" s="4" t="str">
        <f aca="false">IF(I3805&gt;J3805,"Y","N")</f>
        <v>N</v>
      </c>
      <c r="G3805" s="3" t="s">
        <v>164</v>
      </c>
      <c r="H3805" s="3" t="s">
        <v>39</v>
      </c>
      <c r="I3805" s="4" t="n">
        <v>3</v>
      </c>
      <c r="J3805" s="4" t="n">
        <f aca="false">LEN(E3805)-LEN(SUBSTITUTE(E3805,",",""))+1</f>
        <v>3</v>
      </c>
      <c r="K3805" s="3" t="str">
        <f aca="false">IFERROR(INDEX('Teacher Lookup'!$B$2:$B$200,MATCH(A3805,'Teacher Lookup'!$A$2:$A$200,0)),"")</f>
        <v>LIU Fiona</v>
      </c>
    </row>
    <row r="3806" customFormat="false" ht="15" hidden="false" customHeight="false" outlineLevel="0" collapsed="false">
      <c r="A3806" s="3" t="s">
        <v>401</v>
      </c>
      <c r="B3806" s="4" t="s">
        <v>65</v>
      </c>
      <c r="C3806" s="4" t="n">
        <v>1</v>
      </c>
      <c r="D3806" s="4" t="s">
        <v>24</v>
      </c>
      <c r="E3806" s="3" t="s">
        <v>408</v>
      </c>
      <c r="F3806" s="4" t="str">
        <f aca="false">IF(I3806&gt;J3806,"Y","N")</f>
        <v>N</v>
      </c>
      <c r="G3806" s="3" t="s">
        <v>164</v>
      </c>
      <c r="H3806" s="3" t="s">
        <v>16</v>
      </c>
      <c r="I3806" s="4" t="n">
        <v>3</v>
      </c>
      <c r="J3806" s="4" t="n">
        <f aca="false">LEN(E3806)-LEN(SUBSTITUTE(E3806,",",""))+1</f>
        <v>3</v>
      </c>
      <c r="K3806" s="3" t="str">
        <f aca="false">IFERROR(INDEX('Teacher Lookup'!$B$2:$B$200,MATCH(A3806,'Teacher Lookup'!$A$2:$A$200,0)),"")</f>
        <v>LIU Fiona</v>
      </c>
    </row>
    <row r="3807" customFormat="false" ht="15" hidden="false" customHeight="false" outlineLevel="0" collapsed="false">
      <c r="A3807" s="3" t="s">
        <v>401</v>
      </c>
      <c r="B3807" s="4" t="s">
        <v>65</v>
      </c>
      <c r="C3807" s="4" t="n">
        <v>1</v>
      </c>
      <c r="D3807" s="4" t="s">
        <v>27</v>
      </c>
      <c r="E3807" s="3" t="s">
        <v>408</v>
      </c>
      <c r="F3807" s="4" t="str">
        <f aca="false">IF(I3807&gt;J3807,"Y","N")</f>
        <v>N</v>
      </c>
      <c r="G3807" s="3" t="s">
        <v>164</v>
      </c>
      <c r="H3807" s="3" t="s">
        <v>16</v>
      </c>
      <c r="I3807" s="4" t="n">
        <v>3</v>
      </c>
      <c r="J3807" s="4" t="n">
        <f aca="false">LEN(E3807)-LEN(SUBSTITUTE(E3807,",",""))+1</f>
        <v>3</v>
      </c>
      <c r="K3807" s="3" t="str">
        <f aca="false">IFERROR(INDEX('Teacher Lookup'!$B$2:$B$200,MATCH(A3807,'Teacher Lookup'!$A$2:$A$200,0)),"")</f>
        <v>LIU Fiona</v>
      </c>
    </row>
    <row r="3808" customFormat="false" ht="15" hidden="false" customHeight="false" outlineLevel="0" collapsed="false">
      <c r="A3808" s="3" t="s">
        <v>401</v>
      </c>
      <c r="B3808" s="4" t="s">
        <v>65</v>
      </c>
      <c r="C3808" s="4" t="n">
        <v>3</v>
      </c>
      <c r="D3808" s="4" t="s">
        <v>28</v>
      </c>
      <c r="E3808" s="3" t="s">
        <v>156</v>
      </c>
      <c r="F3808" s="4" t="str">
        <f aca="false">IF(I3808&gt;J3808,"Y","N")</f>
        <v>N</v>
      </c>
      <c r="G3808" s="3" t="s">
        <v>164</v>
      </c>
      <c r="H3808" s="3" t="s">
        <v>26</v>
      </c>
      <c r="I3808" s="4" t="n">
        <v>4</v>
      </c>
      <c r="J3808" s="4" t="n">
        <f aca="false">LEN(E3808)-LEN(SUBSTITUTE(E3808,",",""))+1</f>
        <v>4</v>
      </c>
      <c r="K3808" s="3" t="str">
        <f aca="false">IFERROR(INDEX('Teacher Lookup'!$B$2:$B$200,MATCH(A3808,'Teacher Lookup'!$A$2:$A$200,0)),"")</f>
        <v>LIU Fiona</v>
      </c>
    </row>
    <row r="3809" customFormat="false" ht="15" hidden="false" customHeight="false" outlineLevel="0" collapsed="false">
      <c r="A3809" s="3" t="s">
        <v>401</v>
      </c>
      <c r="B3809" s="4" t="s">
        <v>65</v>
      </c>
      <c r="C3809" s="4" t="n">
        <v>3</v>
      </c>
      <c r="D3809" s="4" t="s">
        <v>29</v>
      </c>
      <c r="E3809" s="3" t="s">
        <v>156</v>
      </c>
      <c r="F3809" s="4" t="str">
        <f aca="false">IF(I3809&gt;J3809,"Y","N")</f>
        <v>N</v>
      </c>
      <c r="G3809" s="3" t="s">
        <v>164</v>
      </c>
      <c r="H3809" s="3" t="s">
        <v>26</v>
      </c>
      <c r="I3809" s="4" t="n">
        <v>4</v>
      </c>
      <c r="J3809" s="4" t="n">
        <f aca="false">LEN(E3809)-LEN(SUBSTITUTE(E3809,",",""))+1</f>
        <v>4</v>
      </c>
      <c r="K3809" s="3" t="str">
        <f aca="false">IFERROR(INDEX('Teacher Lookup'!$B$2:$B$200,MATCH(A3809,'Teacher Lookup'!$A$2:$A$200,0)),"")</f>
        <v>LIU Fiona</v>
      </c>
    </row>
    <row r="3810" customFormat="false" ht="15" hidden="false" customHeight="false" outlineLevel="0" collapsed="false">
      <c r="A3810" s="3" t="s">
        <v>401</v>
      </c>
      <c r="B3810" s="4" t="s">
        <v>65</v>
      </c>
      <c r="C3810" s="4" t="n">
        <v>3</v>
      </c>
      <c r="D3810" s="4" t="s">
        <v>30</v>
      </c>
      <c r="E3810" s="3" t="s">
        <v>156</v>
      </c>
      <c r="F3810" s="4" t="str">
        <f aca="false">IF(I3810&gt;J3810,"Y","N")</f>
        <v>N</v>
      </c>
      <c r="G3810" s="3" t="s">
        <v>164</v>
      </c>
      <c r="H3810" s="3" t="s">
        <v>26</v>
      </c>
      <c r="I3810" s="4" t="n">
        <v>4</v>
      </c>
      <c r="J3810" s="4" t="n">
        <f aca="false">LEN(E3810)-LEN(SUBSTITUTE(E3810,",",""))+1</f>
        <v>4</v>
      </c>
      <c r="K3810" s="3" t="str">
        <f aca="false">IFERROR(INDEX('Teacher Lookup'!$B$2:$B$200,MATCH(A3810,'Teacher Lookup'!$A$2:$A$200,0)),"")</f>
        <v>LIU Fiona</v>
      </c>
    </row>
    <row r="3811" customFormat="false" ht="15" hidden="false" customHeight="false" outlineLevel="0" collapsed="false">
      <c r="A3811" s="3" t="s">
        <v>401</v>
      </c>
      <c r="B3811" s="4" t="s">
        <v>65</v>
      </c>
      <c r="C3811" s="4" t="n">
        <v>5</v>
      </c>
      <c r="D3811" s="4" t="s">
        <v>24</v>
      </c>
      <c r="E3811" s="3" t="s">
        <v>131</v>
      </c>
      <c r="F3811" s="4" t="str">
        <f aca="false">IF(I3811&gt;J3811,"Y","N")</f>
        <v>Y</v>
      </c>
      <c r="G3811" s="3" t="s">
        <v>36</v>
      </c>
      <c r="H3811" s="3" t="s">
        <v>37</v>
      </c>
      <c r="I3811" s="4" t="n">
        <v>15</v>
      </c>
      <c r="J3811" s="4" t="n">
        <f aca="false">LEN(E3811)-LEN(SUBSTITUTE(E3811,",",""))+1</f>
        <v>7</v>
      </c>
      <c r="K3811" s="3" t="str">
        <f aca="false">IFERROR(INDEX('Teacher Lookup'!$B$2:$B$200,MATCH(A3811,'Teacher Lookup'!$A$2:$A$200,0)),"")</f>
        <v>LIU Fiona</v>
      </c>
    </row>
    <row r="3812" customFormat="false" ht="15" hidden="false" customHeight="false" outlineLevel="0" collapsed="false">
      <c r="A3812" s="3" t="s">
        <v>401</v>
      </c>
      <c r="B3812" s="4" t="s">
        <v>65</v>
      </c>
      <c r="C3812" s="4" t="n">
        <v>5</v>
      </c>
      <c r="D3812" s="4" t="s">
        <v>132</v>
      </c>
      <c r="E3812" s="3" t="s">
        <v>131</v>
      </c>
      <c r="F3812" s="4" t="str">
        <f aca="false">IF(I3812&gt;J3812,"Y","N")</f>
        <v>Y</v>
      </c>
      <c r="G3812" s="3" t="s">
        <v>36</v>
      </c>
      <c r="H3812" s="3" t="s">
        <v>37</v>
      </c>
      <c r="I3812" s="4" t="n">
        <v>15</v>
      </c>
      <c r="J3812" s="4" t="n">
        <f aca="false">LEN(E3812)-LEN(SUBSTITUTE(E3812,",",""))+1</f>
        <v>7</v>
      </c>
      <c r="K3812" s="3" t="str">
        <f aca="false">IFERROR(INDEX('Teacher Lookup'!$B$2:$B$200,MATCH(A3812,'Teacher Lookup'!$A$2:$A$200,0)),"")</f>
        <v>LIU Fiona</v>
      </c>
    </row>
    <row r="3813" customFormat="false" ht="15" hidden="false" customHeight="false" outlineLevel="0" collapsed="false">
      <c r="A3813" s="3" t="s">
        <v>401</v>
      </c>
      <c r="B3813" s="4" t="s">
        <v>65</v>
      </c>
      <c r="C3813" s="4" t="n">
        <v>5</v>
      </c>
      <c r="D3813" s="4" t="s">
        <v>27</v>
      </c>
      <c r="E3813" s="3" t="s">
        <v>131</v>
      </c>
      <c r="F3813" s="4" t="str">
        <f aca="false">IF(I3813&gt;J3813,"Y","N")</f>
        <v>Y</v>
      </c>
      <c r="G3813" s="3" t="s">
        <v>36</v>
      </c>
      <c r="H3813" s="3" t="s">
        <v>37</v>
      </c>
      <c r="I3813" s="4" t="n">
        <v>15</v>
      </c>
      <c r="J3813" s="4" t="n">
        <f aca="false">LEN(E3813)-LEN(SUBSTITUTE(E3813,",",""))+1</f>
        <v>7</v>
      </c>
      <c r="K3813" s="3" t="str">
        <f aca="false">IFERROR(INDEX('Teacher Lookup'!$B$2:$B$200,MATCH(A3813,'Teacher Lookup'!$A$2:$A$200,0)),"")</f>
        <v>LIU Fiona</v>
      </c>
    </row>
    <row r="3814" customFormat="false" ht="15" hidden="false" customHeight="false" outlineLevel="0" collapsed="false">
      <c r="A3814" s="3" t="s">
        <v>401</v>
      </c>
      <c r="B3814" s="4" t="s">
        <v>65</v>
      </c>
      <c r="C3814" s="4" t="n">
        <v>5</v>
      </c>
      <c r="D3814" s="4" t="s">
        <v>28</v>
      </c>
      <c r="E3814" s="3" t="s">
        <v>131</v>
      </c>
      <c r="F3814" s="4" t="str">
        <f aca="false">IF(I3814&gt;J3814,"Y","N")</f>
        <v>Y</v>
      </c>
      <c r="G3814" s="3" t="s">
        <v>36</v>
      </c>
      <c r="H3814" s="3" t="s">
        <v>37</v>
      </c>
      <c r="I3814" s="4" t="n">
        <v>15</v>
      </c>
      <c r="J3814" s="4" t="n">
        <f aca="false">LEN(E3814)-LEN(SUBSTITUTE(E3814,",",""))+1</f>
        <v>7</v>
      </c>
      <c r="K3814" s="3" t="str">
        <f aca="false">IFERROR(INDEX('Teacher Lookup'!$B$2:$B$200,MATCH(A3814,'Teacher Lookup'!$A$2:$A$200,0)),"")</f>
        <v>LIU Fiona</v>
      </c>
    </row>
    <row r="3815" customFormat="false" ht="15" hidden="false" customHeight="false" outlineLevel="0" collapsed="false">
      <c r="A3815" s="3" t="s">
        <v>401</v>
      </c>
      <c r="B3815" s="4" t="s">
        <v>65</v>
      </c>
      <c r="C3815" s="4" t="n">
        <v>5</v>
      </c>
      <c r="D3815" s="4" t="s">
        <v>29</v>
      </c>
      <c r="E3815" s="3" t="s">
        <v>131</v>
      </c>
      <c r="F3815" s="4" t="str">
        <f aca="false">IF(I3815&gt;J3815,"Y","N")</f>
        <v>Y</v>
      </c>
      <c r="G3815" s="3" t="s">
        <v>36</v>
      </c>
      <c r="H3815" s="3" t="s">
        <v>37</v>
      </c>
      <c r="I3815" s="4" t="n">
        <v>15</v>
      </c>
      <c r="J3815" s="4" t="n">
        <f aca="false">LEN(E3815)-LEN(SUBSTITUTE(E3815,",",""))+1</f>
        <v>7</v>
      </c>
      <c r="K3815" s="3" t="str">
        <f aca="false">IFERROR(INDEX('Teacher Lookup'!$B$2:$B$200,MATCH(A3815,'Teacher Lookup'!$A$2:$A$200,0)),"")</f>
        <v>LIU Fiona</v>
      </c>
    </row>
    <row r="3816" customFormat="false" ht="15" hidden="false" customHeight="false" outlineLevel="0" collapsed="false">
      <c r="A3816" s="3" t="s">
        <v>401</v>
      </c>
      <c r="B3816" s="4" t="s">
        <v>65</v>
      </c>
      <c r="C3816" s="4" t="n">
        <v>5</v>
      </c>
      <c r="D3816" s="4" t="s">
        <v>30</v>
      </c>
      <c r="E3816" s="3" t="s">
        <v>131</v>
      </c>
      <c r="F3816" s="4" t="str">
        <f aca="false">IF(I3816&gt;J3816,"Y","N")</f>
        <v>Y</v>
      </c>
      <c r="G3816" s="3" t="s">
        <v>36</v>
      </c>
      <c r="H3816" s="3" t="s">
        <v>37</v>
      </c>
      <c r="I3816" s="4" t="n">
        <v>15</v>
      </c>
      <c r="J3816" s="4" t="n">
        <f aca="false">LEN(E3816)-LEN(SUBSTITUTE(E3816,",",""))+1</f>
        <v>7</v>
      </c>
      <c r="K3816" s="3" t="str">
        <f aca="false">IFERROR(INDEX('Teacher Lookup'!$B$2:$B$200,MATCH(A3816,'Teacher Lookup'!$A$2:$A$200,0)),"")</f>
        <v>LIU Fiona</v>
      </c>
    </row>
    <row r="3817" customFormat="false" ht="15" hidden="false" customHeight="false" outlineLevel="0" collapsed="false">
      <c r="A3817" s="3" t="s">
        <v>401</v>
      </c>
      <c r="B3817" s="4" t="s">
        <v>65</v>
      </c>
      <c r="C3817" s="4" t="n">
        <v>6</v>
      </c>
      <c r="D3817" s="4" t="s">
        <v>102</v>
      </c>
      <c r="E3817" s="3" t="s">
        <v>268</v>
      </c>
      <c r="F3817" s="4" t="str">
        <f aca="false">IF(I3817&gt;J3817,"Y","N")</f>
        <v>N</v>
      </c>
      <c r="G3817" s="3" t="s">
        <v>164</v>
      </c>
      <c r="H3817" s="3" t="s">
        <v>42</v>
      </c>
      <c r="I3817" s="4" t="n">
        <v>3</v>
      </c>
      <c r="J3817" s="4" t="n">
        <f aca="false">LEN(E3817)-LEN(SUBSTITUTE(E3817,",",""))+1</f>
        <v>3</v>
      </c>
      <c r="K3817" s="3" t="str">
        <f aca="false">IFERROR(INDEX('Teacher Lookup'!$B$2:$B$200,MATCH(A3817,'Teacher Lookup'!$A$2:$A$200,0)),"")</f>
        <v>LIU Fiona</v>
      </c>
    </row>
    <row r="3818" customFormat="false" ht="15" hidden="false" customHeight="false" outlineLevel="0" collapsed="false">
      <c r="A3818" s="3" t="s">
        <v>401</v>
      </c>
      <c r="B3818" s="4" t="s">
        <v>65</v>
      </c>
      <c r="C3818" s="4" t="n">
        <v>6</v>
      </c>
      <c r="D3818" s="4" t="s">
        <v>107</v>
      </c>
      <c r="E3818" s="3" t="s">
        <v>268</v>
      </c>
      <c r="F3818" s="4" t="str">
        <f aca="false">IF(I3818&gt;J3818,"Y","N")</f>
        <v>N</v>
      </c>
      <c r="G3818" s="3" t="s">
        <v>164</v>
      </c>
      <c r="H3818" s="3" t="s">
        <v>42</v>
      </c>
      <c r="I3818" s="4" t="n">
        <v>3</v>
      </c>
      <c r="J3818" s="4" t="n">
        <f aca="false">LEN(E3818)-LEN(SUBSTITUTE(E3818,",",""))+1</f>
        <v>3</v>
      </c>
      <c r="K3818" s="3" t="str">
        <f aca="false">IFERROR(INDEX('Teacher Lookup'!$B$2:$B$200,MATCH(A3818,'Teacher Lookup'!$A$2:$A$200,0)),"")</f>
        <v>LIU Fiona</v>
      </c>
    </row>
    <row r="3819" customFormat="false" ht="15" hidden="false" customHeight="false" outlineLevel="0" collapsed="false">
      <c r="A3819" s="3" t="s">
        <v>401</v>
      </c>
      <c r="B3819" s="4" t="s">
        <v>66</v>
      </c>
      <c r="C3819" s="4" t="n">
        <v>3</v>
      </c>
      <c r="D3819" s="4" t="s">
        <v>102</v>
      </c>
      <c r="E3819" s="3" t="s">
        <v>269</v>
      </c>
      <c r="F3819" s="4" t="str">
        <f aca="false">IF(I3819&gt;J3819,"Y","N")</f>
        <v>N</v>
      </c>
      <c r="G3819" s="3" t="s">
        <v>164</v>
      </c>
      <c r="H3819" s="3" t="s">
        <v>26</v>
      </c>
      <c r="I3819" s="4" t="n">
        <v>3</v>
      </c>
      <c r="J3819" s="4" t="n">
        <f aca="false">LEN(E3819)-LEN(SUBSTITUTE(E3819,",",""))+1</f>
        <v>3</v>
      </c>
      <c r="K3819" s="3" t="str">
        <f aca="false">IFERROR(INDEX('Teacher Lookup'!$B$2:$B$200,MATCH(A3819,'Teacher Lookup'!$A$2:$A$200,0)),"")</f>
        <v>LIU Fiona</v>
      </c>
    </row>
    <row r="3820" customFormat="false" ht="15" hidden="false" customHeight="false" outlineLevel="0" collapsed="false">
      <c r="A3820" s="3" t="s">
        <v>401</v>
      </c>
      <c r="B3820" s="4" t="s">
        <v>66</v>
      </c>
      <c r="C3820" s="4" t="n">
        <v>3</v>
      </c>
      <c r="D3820" s="4" t="s">
        <v>107</v>
      </c>
      <c r="E3820" s="3" t="s">
        <v>269</v>
      </c>
      <c r="F3820" s="4" t="str">
        <f aca="false">IF(I3820&gt;J3820,"Y","N")</f>
        <v>N</v>
      </c>
      <c r="G3820" s="3" t="s">
        <v>164</v>
      </c>
      <c r="H3820" s="3" t="s">
        <v>26</v>
      </c>
      <c r="I3820" s="4" t="n">
        <v>3</v>
      </c>
      <c r="J3820" s="4" t="n">
        <f aca="false">LEN(E3820)-LEN(SUBSTITUTE(E3820,",",""))+1</f>
        <v>3</v>
      </c>
      <c r="K3820" s="3" t="str">
        <f aca="false">IFERROR(INDEX('Teacher Lookup'!$B$2:$B$200,MATCH(A3820,'Teacher Lookup'!$A$2:$A$200,0)),"")</f>
        <v>LIU Fiona</v>
      </c>
    </row>
    <row r="3821" customFormat="false" ht="15" hidden="false" customHeight="false" outlineLevel="0" collapsed="false">
      <c r="A3821" s="3" t="s">
        <v>401</v>
      </c>
      <c r="B3821" s="4" t="s">
        <v>66</v>
      </c>
      <c r="C3821" s="4" t="n">
        <v>5</v>
      </c>
      <c r="D3821" s="4" t="s">
        <v>28</v>
      </c>
      <c r="E3821" s="3" t="s">
        <v>412</v>
      </c>
      <c r="F3821" s="4" t="str">
        <f aca="false">IF(I3821&gt;J3821,"Y","N")</f>
        <v>N</v>
      </c>
      <c r="G3821" s="3" t="s">
        <v>164</v>
      </c>
      <c r="H3821" s="3" t="s">
        <v>37</v>
      </c>
      <c r="I3821" s="4" t="n">
        <v>4</v>
      </c>
      <c r="J3821" s="4" t="n">
        <f aca="false">LEN(E3821)-LEN(SUBSTITUTE(E3821,",",""))+1</f>
        <v>4</v>
      </c>
      <c r="K3821" s="3" t="str">
        <f aca="false">IFERROR(INDEX('Teacher Lookup'!$B$2:$B$200,MATCH(A3821,'Teacher Lookup'!$A$2:$A$200,0)),"")</f>
        <v>LIU Fiona</v>
      </c>
    </row>
    <row r="3822" customFormat="false" ht="15" hidden="false" customHeight="false" outlineLevel="0" collapsed="false">
      <c r="A3822" s="3" t="s">
        <v>401</v>
      </c>
      <c r="B3822" s="4" t="s">
        <v>66</v>
      </c>
      <c r="C3822" s="4" t="n">
        <v>5</v>
      </c>
      <c r="D3822" s="4" t="s">
        <v>29</v>
      </c>
      <c r="E3822" s="3" t="s">
        <v>412</v>
      </c>
      <c r="F3822" s="4" t="str">
        <f aca="false">IF(I3822&gt;J3822,"Y","N")</f>
        <v>N</v>
      </c>
      <c r="G3822" s="3" t="s">
        <v>164</v>
      </c>
      <c r="H3822" s="3" t="s">
        <v>37</v>
      </c>
      <c r="I3822" s="4" t="n">
        <v>4</v>
      </c>
      <c r="J3822" s="4" t="n">
        <f aca="false">LEN(E3822)-LEN(SUBSTITUTE(E3822,",",""))+1</f>
        <v>4</v>
      </c>
      <c r="K3822" s="3" t="str">
        <f aca="false">IFERROR(INDEX('Teacher Lookup'!$B$2:$B$200,MATCH(A3822,'Teacher Lookup'!$A$2:$A$200,0)),"")</f>
        <v>LIU Fiona</v>
      </c>
    </row>
    <row r="3823" customFormat="false" ht="15" hidden="false" customHeight="false" outlineLevel="0" collapsed="false">
      <c r="A3823" s="3" t="s">
        <v>401</v>
      </c>
      <c r="B3823" s="4" t="s">
        <v>66</v>
      </c>
      <c r="C3823" s="4" t="n">
        <v>5</v>
      </c>
      <c r="D3823" s="4" t="s">
        <v>30</v>
      </c>
      <c r="E3823" s="3" t="s">
        <v>412</v>
      </c>
      <c r="F3823" s="4" t="str">
        <f aca="false">IF(I3823&gt;J3823,"Y","N")</f>
        <v>N</v>
      </c>
      <c r="G3823" s="3" t="s">
        <v>164</v>
      </c>
      <c r="H3823" s="3" t="s">
        <v>37</v>
      </c>
      <c r="I3823" s="4" t="n">
        <v>4</v>
      </c>
      <c r="J3823" s="4" t="n">
        <f aca="false">LEN(E3823)-LEN(SUBSTITUTE(E3823,",",""))+1</f>
        <v>4</v>
      </c>
      <c r="K3823" s="3" t="str">
        <f aca="false">IFERROR(INDEX('Teacher Lookup'!$B$2:$B$200,MATCH(A3823,'Teacher Lookup'!$A$2:$A$200,0)),"")</f>
        <v>LIU Fiona</v>
      </c>
    </row>
    <row r="3824" customFormat="false" ht="15" hidden="false" customHeight="false" outlineLevel="0" collapsed="false">
      <c r="A3824" s="3" t="s">
        <v>401</v>
      </c>
      <c r="B3824" s="4" t="s">
        <v>66</v>
      </c>
      <c r="C3824" s="4" t="n">
        <v>7</v>
      </c>
      <c r="D3824" s="4" t="s">
        <v>24</v>
      </c>
      <c r="E3824" s="3" t="s">
        <v>413</v>
      </c>
      <c r="F3824" s="4" t="str">
        <f aca="false">IF(I3824&gt;J3824,"Y","N")</f>
        <v>N</v>
      </c>
      <c r="G3824" s="3" t="s">
        <v>164</v>
      </c>
      <c r="H3824" s="3" t="s">
        <v>39</v>
      </c>
      <c r="I3824" s="4" t="n">
        <v>3</v>
      </c>
      <c r="J3824" s="4" t="n">
        <f aca="false">LEN(E3824)-LEN(SUBSTITUTE(E3824,",",""))+1</f>
        <v>3</v>
      </c>
      <c r="K3824" s="3" t="str">
        <f aca="false">IFERROR(INDEX('Teacher Lookup'!$B$2:$B$200,MATCH(A3824,'Teacher Lookup'!$A$2:$A$200,0)),"")</f>
        <v>LIU Fiona</v>
      </c>
    </row>
    <row r="3825" customFormat="false" ht="15" hidden="false" customHeight="false" outlineLevel="0" collapsed="false">
      <c r="A3825" s="3" t="s">
        <v>401</v>
      </c>
      <c r="B3825" s="4" t="s">
        <v>66</v>
      </c>
      <c r="C3825" s="4" t="n">
        <v>7</v>
      </c>
      <c r="D3825" s="4" t="s">
        <v>27</v>
      </c>
      <c r="E3825" s="3" t="s">
        <v>413</v>
      </c>
      <c r="F3825" s="4" t="str">
        <f aca="false">IF(I3825&gt;J3825,"Y","N")</f>
        <v>N</v>
      </c>
      <c r="G3825" s="3" t="s">
        <v>164</v>
      </c>
      <c r="H3825" s="3" t="s">
        <v>39</v>
      </c>
      <c r="I3825" s="4" t="n">
        <v>3</v>
      </c>
      <c r="J3825" s="4" t="n">
        <f aca="false">LEN(E3825)-LEN(SUBSTITUTE(E3825,",",""))+1</f>
        <v>3</v>
      </c>
      <c r="K3825" s="3" t="str">
        <f aca="false">IFERROR(INDEX('Teacher Lookup'!$B$2:$B$200,MATCH(A3825,'Teacher Lookup'!$A$2:$A$200,0)),"")</f>
        <v>LIU Fiona</v>
      </c>
    </row>
    <row r="3826" customFormat="false" ht="15" hidden="false" customHeight="false" outlineLevel="0" collapsed="false">
      <c r="A3826" s="3" t="s">
        <v>414</v>
      </c>
      <c r="B3826" s="4" t="s">
        <v>12</v>
      </c>
      <c r="C3826" s="4" t="n">
        <v>4</v>
      </c>
      <c r="D3826" s="4" t="s">
        <v>28</v>
      </c>
      <c r="E3826" s="3" t="s">
        <v>143</v>
      </c>
      <c r="F3826" s="4" t="str">
        <f aca="false">IF(I3826&gt;J3826,"Y","N")</f>
        <v>N</v>
      </c>
      <c r="G3826" s="3" t="s">
        <v>164</v>
      </c>
      <c r="H3826" s="3" t="s">
        <v>34</v>
      </c>
      <c r="I3826" s="4" t="n">
        <v>4</v>
      </c>
      <c r="J3826" s="4" t="n">
        <f aca="false">LEN(E3826)-LEN(SUBSTITUTE(E3826,",",""))+1</f>
        <v>4</v>
      </c>
      <c r="K3826" s="3" t="str">
        <f aca="false">IFERROR(INDEX('Teacher Lookup'!$B$2:$B$200,MATCH(A3826,'Teacher Lookup'!$A$2:$A$200,0)),"")</f>
        <v>SUM Freddie</v>
      </c>
    </row>
    <row r="3827" customFormat="false" ht="15" hidden="false" customHeight="false" outlineLevel="0" collapsed="false">
      <c r="A3827" s="3" t="s">
        <v>414</v>
      </c>
      <c r="B3827" s="4" t="s">
        <v>12</v>
      </c>
      <c r="C3827" s="4" t="n">
        <v>4</v>
      </c>
      <c r="D3827" s="4" t="s">
        <v>29</v>
      </c>
      <c r="E3827" s="3" t="s">
        <v>143</v>
      </c>
      <c r="F3827" s="4" t="str">
        <f aca="false">IF(I3827&gt;J3827,"Y","N")</f>
        <v>N</v>
      </c>
      <c r="G3827" s="3" t="s">
        <v>164</v>
      </c>
      <c r="H3827" s="3" t="s">
        <v>34</v>
      </c>
      <c r="I3827" s="4" t="n">
        <v>4</v>
      </c>
      <c r="J3827" s="4" t="n">
        <f aca="false">LEN(E3827)-LEN(SUBSTITUTE(E3827,",",""))+1</f>
        <v>4</v>
      </c>
      <c r="K3827" s="3" t="str">
        <f aca="false">IFERROR(INDEX('Teacher Lookup'!$B$2:$B$200,MATCH(A3827,'Teacher Lookup'!$A$2:$A$200,0)),"")</f>
        <v>SUM Freddie</v>
      </c>
    </row>
    <row r="3828" customFormat="false" ht="15" hidden="false" customHeight="false" outlineLevel="0" collapsed="false">
      <c r="A3828" s="3" t="s">
        <v>414</v>
      </c>
      <c r="B3828" s="4" t="s">
        <v>12</v>
      </c>
      <c r="C3828" s="4" t="n">
        <v>4</v>
      </c>
      <c r="D3828" s="4" t="s">
        <v>30</v>
      </c>
      <c r="E3828" s="3" t="s">
        <v>143</v>
      </c>
      <c r="F3828" s="4" t="str">
        <f aca="false">IF(I3828&gt;J3828,"Y","N")</f>
        <v>N</v>
      </c>
      <c r="G3828" s="3" t="s">
        <v>164</v>
      </c>
      <c r="H3828" s="3" t="s">
        <v>34</v>
      </c>
      <c r="I3828" s="4" t="n">
        <v>4</v>
      </c>
      <c r="J3828" s="4" t="n">
        <f aca="false">LEN(E3828)-LEN(SUBSTITUTE(E3828,",",""))+1</f>
        <v>4</v>
      </c>
      <c r="K3828" s="3" t="str">
        <f aca="false">IFERROR(INDEX('Teacher Lookup'!$B$2:$B$200,MATCH(A3828,'Teacher Lookup'!$A$2:$A$200,0)),"")</f>
        <v>SUM Freddie</v>
      </c>
    </row>
    <row r="3829" customFormat="false" ht="15" hidden="false" customHeight="false" outlineLevel="0" collapsed="false">
      <c r="A3829" s="3" t="s">
        <v>414</v>
      </c>
      <c r="B3829" s="4" t="s">
        <v>12</v>
      </c>
      <c r="C3829" s="4" t="n">
        <v>6</v>
      </c>
      <c r="D3829" s="4" t="s">
        <v>102</v>
      </c>
      <c r="E3829" s="3" t="s">
        <v>255</v>
      </c>
      <c r="F3829" s="4" t="str">
        <f aca="false">IF(I3829&gt;J3829,"Y","N")</f>
        <v>N</v>
      </c>
      <c r="G3829" s="3" t="s">
        <v>164</v>
      </c>
      <c r="H3829" s="3" t="s">
        <v>42</v>
      </c>
      <c r="I3829" s="4" t="n">
        <v>3</v>
      </c>
      <c r="J3829" s="4" t="n">
        <f aca="false">LEN(E3829)-LEN(SUBSTITUTE(E3829,",",""))+1</f>
        <v>3</v>
      </c>
      <c r="K3829" s="3" t="str">
        <f aca="false">IFERROR(INDEX('Teacher Lookup'!$B$2:$B$200,MATCH(A3829,'Teacher Lookup'!$A$2:$A$200,0)),"")</f>
        <v>SUM Freddie</v>
      </c>
    </row>
    <row r="3830" customFormat="false" ht="15" hidden="false" customHeight="false" outlineLevel="0" collapsed="false">
      <c r="A3830" s="3" t="s">
        <v>414</v>
      </c>
      <c r="B3830" s="4" t="s">
        <v>12</v>
      </c>
      <c r="C3830" s="4" t="n">
        <v>6</v>
      </c>
      <c r="D3830" s="4" t="s">
        <v>107</v>
      </c>
      <c r="E3830" s="3" t="s">
        <v>255</v>
      </c>
      <c r="F3830" s="4" t="str">
        <f aca="false">IF(I3830&gt;J3830,"Y","N")</f>
        <v>N</v>
      </c>
      <c r="G3830" s="3" t="s">
        <v>164</v>
      </c>
      <c r="H3830" s="3" t="s">
        <v>42</v>
      </c>
      <c r="I3830" s="4" t="n">
        <v>3</v>
      </c>
      <c r="J3830" s="4" t="n">
        <f aca="false">LEN(E3830)-LEN(SUBSTITUTE(E3830,",",""))+1</f>
        <v>3</v>
      </c>
      <c r="K3830" s="3" t="str">
        <f aca="false">IFERROR(INDEX('Teacher Lookup'!$B$2:$B$200,MATCH(A3830,'Teacher Lookup'!$A$2:$A$200,0)),"")</f>
        <v>SUM Freddie</v>
      </c>
    </row>
    <row r="3831" customFormat="false" ht="15" hidden="false" customHeight="false" outlineLevel="0" collapsed="false">
      <c r="A3831" s="3" t="s">
        <v>414</v>
      </c>
      <c r="B3831" s="4" t="s">
        <v>31</v>
      </c>
      <c r="C3831" s="4" t="n">
        <v>1</v>
      </c>
      <c r="D3831" s="4" t="s">
        <v>102</v>
      </c>
      <c r="E3831" s="3" t="s">
        <v>256</v>
      </c>
      <c r="F3831" s="4" t="str">
        <f aca="false">IF(I3831&gt;J3831,"Y","N")</f>
        <v>N</v>
      </c>
      <c r="G3831" s="3" t="s">
        <v>164</v>
      </c>
      <c r="H3831" s="3" t="s">
        <v>16</v>
      </c>
      <c r="I3831" s="4" t="n">
        <v>3</v>
      </c>
      <c r="J3831" s="4" t="n">
        <f aca="false">LEN(E3831)-LEN(SUBSTITUTE(E3831,",",""))+1</f>
        <v>3</v>
      </c>
      <c r="K3831" s="3" t="str">
        <f aca="false">IFERROR(INDEX('Teacher Lookup'!$B$2:$B$200,MATCH(A3831,'Teacher Lookup'!$A$2:$A$200,0)),"")</f>
        <v>SUM Freddie</v>
      </c>
    </row>
    <row r="3832" customFormat="false" ht="15" hidden="false" customHeight="false" outlineLevel="0" collapsed="false">
      <c r="A3832" s="3" t="s">
        <v>414</v>
      </c>
      <c r="B3832" s="4" t="s">
        <v>31</v>
      </c>
      <c r="C3832" s="4" t="n">
        <v>1</v>
      </c>
      <c r="D3832" s="4" t="s">
        <v>107</v>
      </c>
      <c r="E3832" s="3" t="s">
        <v>256</v>
      </c>
      <c r="F3832" s="4" t="str">
        <f aca="false">IF(I3832&gt;J3832,"Y","N")</f>
        <v>N</v>
      </c>
      <c r="G3832" s="3" t="s">
        <v>164</v>
      </c>
      <c r="H3832" s="3" t="s">
        <v>16</v>
      </c>
      <c r="I3832" s="4" t="n">
        <v>3</v>
      </c>
      <c r="J3832" s="4" t="n">
        <f aca="false">LEN(E3832)-LEN(SUBSTITUTE(E3832,",",""))+1</f>
        <v>3</v>
      </c>
      <c r="K3832" s="3" t="str">
        <f aca="false">IFERROR(INDEX('Teacher Lookup'!$B$2:$B$200,MATCH(A3832,'Teacher Lookup'!$A$2:$A$200,0)),"")</f>
        <v>SUM Freddie</v>
      </c>
    </row>
    <row r="3833" customFormat="false" ht="15" hidden="false" customHeight="false" outlineLevel="0" collapsed="false">
      <c r="A3833" s="3" t="s">
        <v>414</v>
      </c>
      <c r="B3833" s="4" t="s">
        <v>31</v>
      </c>
      <c r="C3833" s="4" t="n">
        <v>3</v>
      </c>
      <c r="D3833" s="4" t="s">
        <v>28</v>
      </c>
      <c r="E3833" s="3" t="s">
        <v>159</v>
      </c>
      <c r="F3833" s="4" t="str">
        <f aca="false">IF(I3833&gt;J3833,"Y","N")</f>
        <v>N</v>
      </c>
      <c r="G3833" s="3" t="s">
        <v>164</v>
      </c>
      <c r="H3833" s="3" t="s">
        <v>26</v>
      </c>
      <c r="I3833" s="4" t="n">
        <v>4</v>
      </c>
      <c r="J3833" s="4" t="n">
        <f aca="false">LEN(E3833)-LEN(SUBSTITUTE(E3833,",",""))+1</f>
        <v>4</v>
      </c>
      <c r="K3833" s="3" t="str">
        <f aca="false">IFERROR(INDEX('Teacher Lookup'!$B$2:$B$200,MATCH(A3833,'Teacher Lookup'!$A$2:$A$200,0)),"")</f>
        <v>SUM Freddie</v>
      </c>
    </row>
    <row r="3834" customFormat="false" ht="15" hidden="false" customHeight="false" outlineLevel="0" collapsed="false">
      <c r="A3834" s="3" t="s">
        <v>414</v>
      </c>
      <c r="B3834" s="4" t="s">
        <v>31</v>
      </c>
      <c r="C3834" s="4" t="n">
        <v>3</v>
      </c>
      <c r="D3834" s="4" t="s">
        <v>29</v>
      </c>
      <c r="E3834" s="3" t="s">
        <v>159</v>
      </c>
      <c r="F3834" s="4" t="str">
        <f aca="false">IF(I3834&gt;J3834,"Y","N")</f>
        <v>N</v>
      </c>
      <c r="G3834" s="3" t="s">
        <v>164</v>
      </c>
      <c r="H3834" s="3" t="s">
        <v>26</v>
      </c>
      <c r="I3834" s="4" t="n">
        <v>4</v>
      </c>
      <c r="J3834" s="4" t="n">
        <f aca="false">LEN(E3834)-LEN(SUBSTITUTE(E3834,",",""))+1</f>
        <v>4</v>
      </c>
      <c r="K3834" s="3" t="str">
        <f aca="false">IFERROR(INDEX('Teacher Lookup'!$B$2:$B$200,MATCH(A3834,'Teacher Lookup'!$A$2:$A$200,0)),"")</f>
        <v>SUM Freddie</v>
      </c>
    </row>
    <row r="3835" customFormat="false" ht="15" hidden="false" customHeight="false" outlineLevel="0" collapsed="false">
      <c r="A3835" s="3" t="s">
        <v>414</v>
      </c>
      <c r="B3835" s="4" t="s">
        <v>31</v>
      </c>
      <c r="C3835" s="4" t="n">
        <v>3</v>
      </c>
      <c r="D3835" s="4" t="s">
        <v>30</v>
      </c>
      <c r="E3835" s="3" t="s">
        <v>159</v>
      </c>
      <c r="F3835" s="4" t="str">
        <f aca="false">IF(I3835&gt;J3835,"Y","N")</f>
        <v>N</v>
      </c>
      <c r="G3835" s="3" t="s">
        <v>164</v>
      </c>
      <c r="H3835" s="3" t="s">
        <v>26</v>
      </c>
      <c r="I3835" s="4" t="n">
        <v>4</v>
      </c>
      <c r="J3835" s="4" t="n">
        <f aca="false">LEN(E3835)-LEN(SUBSTITUTE(E3835,",",""))+1</f>
        <v>4</v>
      </c>
      <c r="K3835" s="3" t="str">
        <f aca="false">IFERROR(INDEX('Teacher Lookup'!$B$2:$B$200,MATCH(A3835,'Teacher Lookup'!$A$2:$A$200,0)),"")</f>
        <v>SUM Freddie</v>
      </c>
    </row>
    <row r="3836" customFormat="false" ht="15" hidden="false" customHeight="false" outlineLevel="0" collapsed="false">
      <c r="A3836" s="3" t="s">
        <v>414</v>
      </c>
      <c r="B3836" s="4" t="s">
        <v>31</v>
      </c>
      <c r="C3836" s="4" t="n">
        <v>5</v>
      </c>
      <c r="D3836" s="4" t="s">
        <v>52</v>
      </c>
      <c r="E3836" s="3" t="s">
        <v>112</v>
      </c>
      <c r="F3836" s="4" t="str">
        <f aca="false">IF(I3836&gt;J3836,"Y","N")</f>
        <v>Y</v>
      </c>
      <c r="G3836" s="3" t="s">
        <v>36</v>
      </c>
      <c r="H3836" s="3" t="s">
        <v>37</v>
      </c>
      <c r="I3836" s="4" t="n">
        <v>16</v>
      </c>
      <c r="J3836" s="4" t="n">
        <f aca="false">LEN(E3836)-LEN(SUBSTITUTE(E3836,",",""))+1</f>
        <v>7</v>
      </c>
      <c r="K3836" s="3" t="str">
        <f aca="false">IFERROR(INDEX('Teacher Lookup'!$B$2:$B$200,MATCH(A3836,'Teacher Lookup'!$A$2:$A$200,0)),"")</f>
        <v>SUM Freddie</v>
      </c>
    </row>
    <row r="3837" customFormat="false" ht="15" hidden="false" customHeight="false" outlineLevel="0" collapsed="false">
      <c r="A3837" s="3" t="s">
        <v>414</v>
      </c>
      <c r="B3837" s="4" t="s">
        <v>31</v>
      </c>
      <c r="C3837" s="4" t="n">
        <v>5</v>
      </c>
      <c r="D3837" s="4" t="s">
        <v>55</v>
      </c>
      <c r="E3837" s="3" t="s">
        <v>112</v>
      </c>
      <c r="F3837" s="4" t="str">
        <f aca="false">IF(I3837&gt;J3837,"Y","N")</f>
        <v>Y</v>
      </c>
      <c r="G3837" s="3" t="s">
        <v>36</v>
      </c>
      <c r="H3837" s="3" t="s">
        <v>37</v>
      </c>
      <c r="I3837" s="4" t="n">
        <v>16</v>
      </c>
      <c r="J3837" s="4" t="n">
        <f aca="false">LEN(E3837)-LEN(SUBSTITUTE(E3837,",",""))+1</f>
        <v>7</v>
      </c>
      <c r="K3837" s="3" t="str">
        <f aca="false">IFERROR(INDEX('Teacher Lookup'!$B$2:$B$200,MATCH(A3837,'Teacher Lookup'!$A$2:$A$200,0)),"")</f>
        <v>SUM Freddie</v>
      </c>
    </row>
    <row r="3838" customFormat="false" ht="15" hidden="false" customHeight="false" outlineLevel="0" collapsed="false">
      <c r="A3838" s="3" t="s">
        <v>414</v>
      </c>
      <c r="B3838" s="4" t="s">
        <v>31</v>
      </c>
      <c r="C3838" s="4" t="n">
        <v>5</v>
      </c>
      <c r="D3838" s="4" t="s">
        <v>56</v>
      </c>
      <c r="E3838" s="3" t="s">
        <v>112</v>
      </c>
      <c r="F3838" s="4" t="str">
        <f aca="false">IF(I3838&gt;J3838,"Y","N")</f>
        <v>Y</v>
      </c>
      <c r="G3838" s="3" t="s">
        <v>36</v>
      </c>
      <c r="H3838" s="3" t="s">
        <v>37</v>
      </c>
      <c r="I3838" s="4" t="n">
        <v>16</v>
      </c>
      <c r="J3838" s="4" t="n">
        <f aca="false">LEN(E3838)-LEN(SUBSTITUTE(E3838,",",""))+1</f>
        <v>7</v>
      </c>
      <c r="K3838" s="3" t="str">
        <f aca="false">IFERROR(INDEX('Teacher Lookup'!$B$2:$B$200,MATCH(A3838,'Teacher Lookup'!$A$2:$A$200,0)),"")</f>
        <v>SUM Freddie</v>
      </c>
    </row>
    <row r="3839" customFormat="false" ht="15" hidden="false" customHeight="false" outlineLevel="0" collapsed="false">
      <c r="A3839" s="3" t="s">
        <v>414</v>
      </c>
      <c r="B3839" s="4" t="s">
        <v>31</v>
      </c>
      <c r="C3839" s="4" t="n">
        <v>5</v>
      </c>
      <c r="D3839" s="4" t="s">
        <v>57</v>
      </c>
      <c r="E3839" s="3" t="s">
        <v>112</v>
      </c>
      <c r="F3839" s="4" t="str">
        <f aca="false">IF(I3839&gt;J3839,"Y","N")</f>
        <v>Y</v>
      </c>
      <c r="G3839" s="3" t="s">
        <v>36</v>
      </c>
      <c r="H3839" s="3" t="s">
        <v>37</v>
      </c>
      <c r="I3839" s="4" t="n">
        <v>16</v>
      </c>
      <c r="J3839" s="4" t="n">
        <f aca="false">LEN(E3839)-LEN(SUBSTITUTE(E3839,",",""))+1</f>
        <v>7</v>
      </c>
      <c r="K3839" s="3" t="str">
        <f aca="false">IFERROR(INDEX('Teacher Lookup'!$B$2:$B$200,MATCH(A3839,'Teacher Lookup'!$A$2:$A$200,0)),"")</f>
        <v>SUM Freddie</v>
      </c>
    </row>
    <row r="3840" customFormat="false" ht="15" hidden="false" customHeight="false" outlineLevel="0" collapsed="false">
      <c r="A3840" s="3" t="s">
        <v>414</v>
      </c>
      <c r="B3840" s="4" t="s">
        <v>31</v>
      </c>
      <c r="C3840" s="4" t="n">
        <v>5</v>
      </c>
      <c r="D3840" s="4" t="s">
        <v>58</v>
      </c>
      <c r="E3840" s="3" t="s">
        <v>112</v>
      </c>
      <c r="F3840" s="4" t="str">
        <f aca="false">IF(I3840&gt;J3840,"Y","N")</f>
        <v>Y</v>
      </c>
      <c r="G3840" s="3" t="s">
        <v>36</v>
      </c>
      <c r="H3840" s="3" t="s">
        <v>37</v>
      </c>
      <c r="I3840" s="4" t="n">
        <v>16</v>
      </c>
      <c r="J3840" s="4" t="n">
        <f aca="false">LEN(E3840)-LEN(SUBSTITUTE(E3840,",",""))+1</f>
        <v>7</v>
      </c>
      <c r="K3840" s="3" t="str">
        <f aca="false">IFERROR(INDEX('Teacher Lookup'!$B$2:$B$200,MATCH(A3840,'Teacher Lookup'!$A$2:$A$200,0)),"")</f>
        <v>SUM Freddie</v>
      </c>
    </row>
    <row r="3841" customFormat="false" ht="15" hidden="false" customHeight="false" outlineLevel="0" collapsed="false">
      <c r="A3841" s="3" t="s">
        <v>414</v>
      </c>
      <c r="B3841" s="4" t="s">
        <v>31</v>
      </c>
      <c r="C3841" s="4" t="n">
        <v>5</v>
      </c>
      <c r="D3841" s="4" t="s">
        <v>59</v>
      </c>
      <c r="E3841" s="3" t="s">
        <v>112</v>
      </c>
      <c r="F3841" s="4" t="str">
        <f aca="false">IF(I3841&gt;J3841,"Y","N")</f>
        <v>Y</v>
      </c>
      <c r="G3841" s="3" t="s">
        <v>36</v>
      </c>
      <c r="H3841" s="3" t="s">
        <v>37</v>
      </c>
      <c r="I3841" s="4" t="n">
        <v>16</v>
      </c>
      <c r="J3841" s="4" t="n">
        <f aca="false">LEN(E3841)-LEN(SUBSTITUTE(E3841,",",""))+1</f>
        <v>7</v>
      </c>
      <c r="K3841" s="3" t="str">
        <f aca="false">IFERROR(INDEX('Teacher Lookup'!$B$2:$B$200,MATCH(A3841,'Teacher Lookup'!$A$2:$A$200,0)),"")</f>
        <v>SUM Freddie</v>
      </c>
    </row>
    <row r="3842" customFormat="false" ht="15" hidden="false" customHeight="false" outlineLevel="0" collapsed="false">
      <c r="A3842" s="3" t="s">
        <v>414</v>
      </c>
      <c r="B3842" s="4" t="s">
        <v>40</v>
      </c>
      <c r="C3842" s="4" t="n">
        <v>1</v>
      </c>
      <c r="D3842" s="4" t="s">
        <v>28</v>
      </c>
      <c r="E3842" s="3" t="s">
        <v>404</v>
      </c>
      <c r="F3842" s="4" t="str">
        <f aca="false">IF(I3842&gt;J3842,"Y","N")</f>
        <v>N</v>
      </c>
      <c r="G3842" s="3" t="s">
        <v>164</v>
      </c>
      <c r="H3842" s="3" t="s">
        <v>16</v>
      </c>
      <c r="I3842" s="4" t="n">
        <v>4</v>
      </c>
      <c r="J3842" s="4" t="n">
        <f aca="false">LEN(E3842)-LEN(SUBSTITUTE(E3842,",",""))+1</f>
        <v>4</v>
      </c>
      <c r="K3842" s="3" t="str">
        <f aca="false">IFERROR(INDEX('Teacher Lookup'!$B$2:$B$200,MATCH(A3842,'Teacher Lookup'!$A$2:$A$200,0)),"")</f>
        <v>SUM Freddie</v>
      </c>
    </row>
    <row r="3843" customFormat="false" ht="15" hidden="false" customHeight="false" outlineLevel="0" collapsed="false">
      <c r="A3843" s="3" t="s">
        <v>414</v>
      </c>
      <c r="B3843" s="4" t="s">
        <v>40</v>
      </c>
      <c r="C3843" s="4" t="n">
        <v>1</v>
      </c>
      <c r="D3843" s="4" t="s">
        <v>29</v>
      </c>
      <c r="E3843" s="3" t="s">
        <v>404</v>
      </c>
      <c r="F3843" s="4" t="str">
        <f aca="false">IF(I3843&gt;J3843,"Y","N")</f>
        <v>N</v>
      </c>
      <c r="G3843" s="3" t="s">
        <v>164</v>
      </c>
      <c r="H3843" s="3" t="s">
        <v>16</v>
      </c>
      <c r="I3843" s="4" t="n">
        <v>4</v>
      </c>
      <c r="J3843" s="4" t="n">
        <f aca="false">LEN(E3843)-LEN(SUBSTITUTE(E3843,",",""))+1</f>
        <v>4</v>
      </c>
      <c r="K3843" s="3" t="str">
        <f aca="false">IFERROR(INDEX('Teacher Lookup'!$B$2:$B$200,MATCH(A3843,'Teacher Lookup'!$A$2:$A$200,0)),"")</f>
        <v>SUM Freddie</v>
      </c>
    </row>
    <row r="3844" customFormat="false" ht="15" hidden="false" customHeight="false" outlineLevel="0" collapsed="false">
      <c r="A3844" s="3" t="s">
        <v>414</v>
      </c>
      <c r="B3844" s="4" t="s">
        <v>40</v>
      </c>
      <c r="C3844" s="4" t="n">
        <v>1</v>
      </c>
      <c r="D3844" s="4" t="s">
        <v>30</v>
      </c>
      <c r="E3844" s="3" t="s">
        <v>404</v>
      </c>
      <c r="F3844" s="4" t="str">
        <f aca="false">IF(I3844&gt;J3844,"Y","N")</f>
        <v>N</v>
      </c>
      <c r="G3844" s="3" t="s">
        <v>164</v>
      </c>
      <c r="H3844" s="3" t="s">
        <v>16</v>
      </c>
      <c r="I3844" s="4" t="n">
        <v>4</v>
      </c>
      <c r="J3844" s="4" t="n">
        <f aca="false">LEN(E3844)-LEN(SUBSTITUTE(E3844,",",""))+1</f>
        <v>4</v>
      </c>
      <c r="K3844" s="3" t="str">
        <f aca="false">IFERROR(INDEX('Teacher Lookup'!$B$2:$B$200,MATCH(A3844,'Teacher Lookup'!$A$2:$A$200,0)),"")</f>
        <v>SUM Freddie</v>
      </c>
    </row>
    <row r="3845" customFormat="false" ht="15" hidden="false" customHeight="false" outlineLevel="0" collapsed="false">
      <c r="A3845" s="3" t="s">
        <v>414</v>
      </c>
      <c r="B3845" s="4" t="s">
        <v>40</v>
      </c>
      <c r="C3845" s="4" t="n">
        <v>3</v>
      </c>
      <c r="D3845" s="4" t="s">
        <v>102</v>
      </c>
      <c r="E3845" s="3" t="s">
        <v>259</v>
      </c>
      <c r="F3845" s="4" t="str">
        <f aca="false">IF(I3845&gt;J3845,"Y","N")</f>
        <v>N</v>
      </c>
      <c r="G3845" s="3" t="s">
        <v>164</v>
      </c>
      <c r="H3845" s="3" t="s">
        <v>26</v>
      </c>
      <c r="I3845" s="4" t="n">
        <v>3</v>
      </c>
      <c r="J3845" s="4" t="n">
        <f aca="false">LEN(E3845)-LEN(SUBSTITUTE(E3845,",",""))+1</f>
        <v>3</v>
      </c>
      <c r="K3845" s="3" t="str">
        <f aca="false">IFERROR(INDEX('Teacher Lookup'!$B$2:$B$200,MATCH(A3845,'Teacher Lookup'!$A$2:$A$200,0)),"")</f>
        <v>SUM Freddie</v>
      </c>
    </row>
    <row r="3846" customFormat="false" ht="15" hidden="false" customHeight="false" outlineLevel="0" collapsed="false">
      <c r="A3846" s="3" t="s">
        <v>414</v>
      </c>
      <c r="B3846" s="4" t="s">
        <v>40</v>
      </c>
      <c r="C3846" s="4" t="n">
        <v>3</v>
      </c>
      <c r="D3846" s="4" t="s">
        <v>107</v>
      </c>
      <c r="E3846" s="3" t="s">
        <v>259</v>
      </c>
      <c r="F3846" s="4" t="str">
        <f aca="false">IF(I3846&gt;J3846,"Y","N")</f>
        <v>N</v>
      </c>
      <c r="G3846" s="3" t="s">
        <v>164</v>
      </c>
      <c r="H3846" s="3" t="s">
        <v>26</v>
      </c>
      <c r="I3846" s="4" t="n">
        <v>3</v>
      </c>
      <c r="J3846" s="4" t="n">
        <f aca="false">LEN(E3846)-LEN(SUBSTITUTE(E3846,",",""))+1</f>
        <v>3</v>
      </c>
      <c r="K3846" s="3" t="str">
        <f aca="false">IFERROR(INDEX('Teacher Lookup'!$B$2:$B$200,MATCH(A3846,'Teacher Lookup'!$A$2:$A$200,0)),"")</f>
        <v>SUM Freddie</v>
      </c>
    </row>
    <row r="3847" customFormat="false" ht="15" hidden="false" customHeight="false" outlineLevel="0" collapsed="false">
      <c r="A3847" s="3" t="s">
        <v>414</v>
      </c>
      <c r="B3847" s="4" t="s">
        <v>44</v>
      </c>
      <c r="C3847" s="4" t="n">
        <v>1</v>
      </c>
      <c r="D3847" s="4" t="s">
        <v>102</v>
      </c>
      <c r="E3847" s="3" t="s">
        <v>256</v>
      </c>
      <c r="F3847" s="4" t="str">
        <f aca="false">IF(I3847&gt;J3847,"Y","N")</f>
        <v>N</v>
      </c>
      <c r="G3847" s="3" t="s">
        <v>164</v>
      </c>
      <c r="H3847" s="3" t="s">
        <v>16</v>
      </c>
      <c r="I3847" s="4" t="n">
        <v>3</v>
      </c>
      <c r="J3847" s="4" t="n">
        <f aca="false">LEN(E3847)-LEN(SUBSTITUTE(E3847,",",""))+1</f>
        <v>3</v>
      </c>
      <c r="K3847" s="3" t="str">
        <f aca="false">IFERROR(INDEX('Teacher Lookup'!$B$2:$B$200,MATCH(A3847,'Teacher Lookup'!$A$2:$A$200,0)),"")</f>
        <v>SUM Freddie</v>
      </c>
    </row>
    <row r="3848" customFormat="false" ht="15" hidden="false" customHeight="false" outlineLevel="0" collapsed="false">
      <c r="A3848" s="3" t="s">
        <v>414</v>
      </c>
      <c r="B3848" s="4" t="s">
        <v>44</v>
      </c>
      <c r="C3848" s="4" t="n">
        <v>1</v>
      </c>
      <c r="D3848" s="4" t="s">
        <v>107</v>
      </c>
      <c r="E3848" s="3" t="s">
        <v>256</v>
      </c>
      <c r="F3848" s="4" t="str">
        <f aca="false">IF(I3848&gt;J3848,"Y","N")</f>
        <v>N</v>
      </c>
      <c r="G3848" s="3" t="s">
        <v>164</v>
      </c>
      <c r="H3848" s="3" t="s">
        <v>16</v>
      </c>
      <c r="I3848" s="4" t="n">
        <v>3</v>
      </c>
      <c r="J3848" s="4" t="n">
        <f aca="false">LEN(E3848)-LEN(SUBSTITUTE(E3848,",",""))+1</f>
        <v>3</v>
      </c>
      <c r="K3848" s="3" t="str">
        <f aca="false">IFERROR(INDEX('Teacher Lookup'!$B$2:$B$200,MATCH(A3848,'Teacher Lookup'!$A$2:$A$200,0)),"")</f>
        <v>SUM Freddie</v>
      </c>
    </row>
    <row r="3849" customFormat="false" ht="15" hidden="false" customHeight="false" outlineLevel="0" collapsed="false">
      <c r="A3849" s="3" t="s">
        <v>414</v>
      </c>
      <c r="B3849" s="4" t="s">
        <v>44</v>
      </c>
      <c r="C3849" s="4" t="n">
        <v>4</v>
      </c>
      <c r="D3849" s="4" t="s">
        <v>28</v>
      </c>
      <c r="E3849" s="3" t="s">
        <v>406</v>
      </c>
      <c r="F3849" s="4" t="str">
        <f aca="false">IF(I3849&gt;J3849,"Y","N")</f>
        <v>N</v>
      </c>
      <c r="G3849" s="3" t="s">
        <v>164</v>
      </c>
      <c r="H3849" s="3" t="s">
        <v>34</v>
      </c>
      <c r="I3849" s="4" t="n">
        <v>4</v>
      </c>
      <c r="J3849" s="4" t="n">
        <f aca="false">LEN(E3849)-LEN(SUBSTITUTE(E3849,",",""))+1</f>
        <v>4</v>
      </c>
      <c r="K3849" s="3" t="str">
        <f aca="false">IFERROR(INDEX('Teacher Lookup'!$B$2:$B$200,MATCH(A3849,'Teacher Lookup'!$A$2:$A$200,0)),"")</f>
        <v>SUM Freddie</v>
      </c>
    </row>
    <row r="3850" customFormat="false" ht="15" hidden="false" customHeight="false" outlineLevel="0" collapsed="false">
      <c r="A3850" s="3" t="s">
        <v>414</v>
      </c>
      <c r="B3850" s="4" t="s">
        <v>44</v>
      </c>
      <c r="C3850" s="4" t="n">
        <v>4</v>
      </c>
      <c r="D3850" s="4" t="s">
        <v>29</v>
      </c>
      <c r="E3850" s="3" t="s">
        <v>406</v>
      </c>
      <c r="F3850" s="4" t="str">
        <f aca="false">IF(I3850&gt;J3850,"Y","N")</f>
        <v>N</v>
      </c>
      <c r="G3850" s="3" t="s">
        <v>164</v>
      </c>
      <c r="H3850" s="3" t="s">
        <v>34</v>
      </c>
      <c r="I3850" s="4" t="n">
        <v>4</v>
      </c>
      <c r="J3850" s="4" t="n">
        <f aca="false">LEN(E3850)-LEN(SUBSTITUTE(E3850,",",""))+1</f>
        <v>4</v>
      </c>
      <c r="K3850" s="3" t="str">
        <f aca="false">IFERROR(INDEX('Teacher Lookup'!$B$2:$B$200,MATCH(A3850,'Teacher Lookup'!$A$2:$A$200,0)),"")</f>
        <v>SUM Freddie</v>
      </c>
    </row>
    <row r="3851" customFormat="false" ht="15" hidden="false" customHeight="false" outlineLevel="0" collapsed="false">
      <c r="A3851" s="3" t="s">
        <v>414</v>
      </c>
      <c r="B3851" s="4" t="s">
        <v>44</v>
      </c>
      <c r="C3851" s="4" t="n">
        <v>4</v>
      </c>
      <c r="D3851" s="4" t="s">
        <v>30</v>
      </c>
      <c r="E3851" s="3" t="s">
        <v>406</v>
      </c>
      <c r="F3851" s="4" t="str">
        <f aca="false">IF(I3851&gt;J3851,"Y","N")</f>
        <v>N</v>
      </c>
      <c r="G3851" s="3" t="s">
        <v>164</v>
      </c>
      <c r="H3851" s="3" t="s">
        <v>34</v>
      </c>
      <c r="I3851" s="4" t="n">
        <v>4</v>
      </c>
      <c r="J3851" s="4" t="n">
        <f aca="false">LEN(E3851)-LEN(SUBSTITUTE(E3851,",",""))+1</f>
        <v>4</v>
      </c>
      <c r="K3851" s="3" t="str">
        <f aca="false">IFERROR(INDEX('Teacher Lookup'!$B$2:$B$200,MATCH(A3851,'Teacher Lookup'!$A$2:$A$200,0)),"")</f>
        <v>SUM Freddie</v>
      </c>
    </row>
    <row r="3852" customFormat="false" ht="15" hidden="false" customHeight="false" outlineLevel="0" collapsed="false">
      <c r="A3852" s="3" t="s">
        <v>414</v>
      </c>
      <c r="B3852" s="4" t="s">
        <v>44</v>
      </c>
      <c r="C3852" s="4" t="n">
        <v>5</v>
      </c>
      <c r="D3852" s="4" t="s">
        <v>52</v>
      </c>
      <c r="E3852" s="3" t="s">
        <v>112</v>
      </c>
      <c r="F3852" s="4" t="str">
        <f aca="false">IF(I3852&gt;J3852,"Y","N")</f>
        <v>Y</v>
      </c>
      <c r="G3852" s="3" t="s">
        <v>36</v>
      </c>
      <c r="H3852" s="3" t="s">
        <v>37</v>
      </c>
      <c r="I3852" s="4" t="n">
        <v>16</v>
      </c>
      <c r="J3852" s="4" t="n">
        <f aca="false">LEN(E3852)-LEN(SUBSTITUTE(E3852,",",""))+1</f>
        <v>7</v>
      </c>
      <c r="K3852" s="3" t="str">
        <f aca="false">IFERROR(INDEX('Teacher Lookup'!$B$2:$B$200,MATCH(A3852,'Teacher Lookup'!$A$2:$A$200,0)),"")</f>
        <v>SUM Freddie</v>
      </c>
    </row>
    <row r="3853" customFormat="false" ht="15" hidden="false" customHeight="false" outlineLevel="0" collapsed="false">
      <c r="A3853" s="3" t="s">
        <v>414</v>
      </c>
      <c r="B3853" s="4" t="s">
        <v>44</v>
      </c>
      <c r="C3853" s="4" t="n">
        <v>5</v>
      </c>
      <c r="D3853" s="4" t="s">
        <v>55</v>
      </c>
      <c r="E3853" s="3" t="s">
        <v>112</v>
      </c>
      <c r="F3853" s="4" t="str">
        <f aca="false">IF(I3853&gt;J3853,"Y","N")</f>
        <v>Y</v>
      </c>
      <c r="G3853" s="3" t="s">
        <v>36</v>
      </c>
      <c r="H3853" s="3" t="s">
        <v>37</v>
      </c>
      <c r="I3853" s="4" t="n">
        <v>16</v>
      </c>
      <c r="J3853" s="4" t="n">
        <f aca="false">LEN(E3853)-LEN(SUBSTITUTE(E3853,",",""))+1</f>
        <v>7</v>
      </c>
      <c r="K3853" s="3" t="str">
        <f aca="false">IFERROR(INDEX('Teacher Lookup'!$B$2:$B$200,MATCH(A3853,'Teacher Lookup'!$A$2:$A$200,0)),"")</f>
        <v>SUM Freddie</v>
      </c>
    </row>
    <row r="3854" customFormat="false" ht="15" hidden="false" customHeight="false" outlineLevel="0" collapsed="false">
      <c r="A3854" s="3" t="s">
        <v>414</v>
      </c>
      <c r="B3854" s="4" t="s">
        <v>44</v>
      </c>
      <c r="C3854" s="4" t="n">
        <v>5</v>
      </c>
      <c r="D3854" s="4" t="s">
        <v>56</v>
      </c>
      <c r="E3854" s="3" t="s">
        <v>112</v>
      </c>
      <c r="F3854" s="4" t="str">
        <f aca="false">IF(I3854&gt;J3854,"Y","N")</f>
        <v>Y</v>
      </c>
      <c r="G3854" s="3" t="s">
        <v>36</v>
      </c>
      <c r="H3854" s="3" t="s">
        <v>37</v>
      </c>
      <c r="I3854" s="4" t="n">
        <v>16</v>
      </c>
      <c r="J3854" s="4" t="n">
        <f aca="false">LEN(E3854)-LEN(SUBSTITUTE(E3854,",",""))+1</f>
        <v>7</v>
      </c>
      <c r="K3854" s="3" t="str">
        <f aca="false">IFERROR(INDEX('Teacher Lookup'!$B$2:$B$200,MATCH(A3854,'Teacher Lookup'!$A$2:$A$200,0)),"")</f>
        <v>SUM Freddie</v>
      </c>
    </row>
    <row r="3855" customFormat="false" ht="15" hidden="false" customHeight="false" outlineLevel="0" collapsed="false">
      <c r="A3855" s="3" t="s">
        <v>414</v>
      </c>
      <c r="B3855" s="4" t="s">
        <v>44</v>
      </c>
      <c r="C3855" s="4" t="n">
        <v>5</v>
      </c>
      <c r="D3855" s="4" t="s">
        <v>57</v>
      </c>
      <c r="E3855" s="3" t="s">
        <v>112</v>
      </c>
      <c r="F3855" s="4" t="str">
        <f aca="false">IF(I3855&gt;J3855,"Y","N")</f>
        <v>Y</v>
      </c>
      <c r="G3855" s="3" t="s">
        <v>36</v>
      </c>
      <c r="H3855" s="3" t="s">
        <v>37</v>
      </c>
      <c r="I3855" s="4" t="n">
        <v>16</v>
      </c>
      <c r="J3855" s="4" t="n">
        <f aca="false">LEN(E3855)-LEN(SUBSTITUTE(E3855,",",""))+1</f>
        <v>7</v>
      </c>
      <c r="K3855" s="3" t="str">
        <f aca="false">IFERROR(INDEX('Teacher Lookup'!$B$2:$B$200,MATCH(A3855,'Teacher Lookup'!$A$2:$A$200,0)),"")</f>
        <v>SUM Freddie</v>
      </c>
    </row>
    <row r="3856" customFormat="false" ht="15" hidden="false" customHeight="false" outlineLevel="0" collapsed="false">
      <c r="A3856" s="3" t="s">
        <v>414</v>
      </c>
      <c r="B3856" s="4" t="s">
        <v>44</v>
      </c>
      <c r="C3856" s="4" t="n">
        <v>5</v>
      </c>
      <c r="D3856" s="4" t="s">
        <v>58</v>
      </c>
      <c r="E3856" s="3" t="s">
        <v>112</v>
      </c>
      <c r="F3856" s="4" t="str">
        <f aca="false">IF(I3856&gt;J3856,"Y","N")</f>
        <v>Y</v>
      </c>
      <c r="G3856" s="3" t="s">
        <v>36</v>
      </c>
      <c r="H3856" s="3" t="s">
        <v>37</v>
      </c>
      <c r="I3856" s="4" t="n">
        <v>16</v>
      </c>
      <c r="J3856" s="4" t="n">
        <f aca="false">LEN(E3856)-LEN(SUBSTITUTE(E3856,",",""))+1</f>
        <v>7</v>
      </c>
      <c r="K3856" s="3" t="str">
        <f aca="false">IFERROR(INDEX('Teacher Lookup'!$B$2:$B$200,MATCH(A3856,'Teacher Lookup'!$A$2:$A$200,0)),"")</f>
        <v>SUM Freddie</v>
      </c>
    </row>
    <row r="3857" customFormat="false" ht="15" hidden="false" customHeight="false" outlineLevel="0" collapsed="false">
      <c r="A3857" s="3" t="s">
        <v>414</v>
      </c>
      <c r="B3857" s="4" t="s">
        <v>44</v>
      </c>
      <c r="C3857" s="4" t="n">
        <v>5</v>
      </c>
      <c r="D3857" s="4" t="s">
        <v>59</v>
      </c>
      <c r="E3857" s="3" t="s">
        <v>112</v>
      </c>
      <c r="F3857" s="4" t="str">
        <f aca="false">IF(I3857&gt;J3857,"Y","N")</f>
        <v>Y</v>
      </c>
      <c r="G3857" s="3" t="s">
        <v>36</v>
      </c>
      <c r="H3857" s="3" t="s">
        <v>37</v>
      </c>
      <c r="I3857" s="4" t="n">
        <v>16</v>
      </c>
      <c r="J3857" s="4" t="n">
        <f aca="false">LEN(E3857)-LEN(SUBSTITUTE(E3857,",",""))+1</f>
        <v>7</v>
      </c>
      <c r="K3857" s="3" t="str">
        <f aca="false">IFERROR(INDEX('Teacher Lookup'!$B$2:$B$200,MATCH(A3857,'Teacher Lookup'!$A$2:$A$200,0)),"")</f>
        <v>SUM Freddie</v>
      </c>
    </row>
    <row r="3858" customFormat="false" ht="15" hidden="false" customHeight="false" outlineLevel="0" collapsed="false">
      <c r="A3858" s="3" t="s">
        <v>414</v>
      </c>
      <c r="B3858" s="4" t="s">
        <v>47</v>
      </c>
      <c r="C3858" s="4" t="n">
        <v>4</v>
      </c>
      <c r="D3858" s="4" t="s">
        <v>102</v>
      </c>
      <c r="E3858" s="3" t="s">
        <v>261</v>
      </c>
      <c r="F3858" s="4" t="str">
        <f aca="false">IF(I3858&gt;J3858,"Y","N")</f>
        <v>N</v>
      </c>
      <c r="G3858" s="3" t="s">
        <v>164</v>
      </c>
      <c r="H3858" s="3" t="s">
        <v>34</v>
      </c>
      <c r="I3858" s="4" t="n">
        <v>3</v>
      </c>
      <c r="J3858" s="4" t="n">
        <f aca="false">LEN(E3858)-LEN(SUBSTITUTE(E3858,",",""))+1</f>
        <v>3</v>
      </c>
      <c r="K3858" s="3" t="str">
        <f aca="false">IFERROR(INDEX('Teacher Lookup'!$B$2:$B$200,MATCH(A3858,'Teacher Lookup'!$A$2:$A$200,0)),"")</f>
        <v>SUM Freddie</v>
      </c>
    </row>
    <row r="3859" customFormat="false" ht="15" hidden="false" customHeight="false" outlineLevel="0" collapsed="false">
      <c r="A3859" s="3" t="s">
        <v>414</v>
      </c>
      <c r="B3859" s="4" t="s">
        <v>47</v>
      </c>
      <c r="C3859" s="4" t="n">
        <v>4</v>
      </c>
      <c r="D3859" s="4" t="s">
        <v>107</v>
      </c>
      <c r="E3859" s="3" t="s">
        <v>261</v>
      </c>
      <c r="F3859" s="4" t="str">
        <f aca="false">IF(I3859&gt;J3859,"Y","N")</f>
        <v>N</v>
      </c>
      <c r="G3859" s="3" t="s">
        <v>164</v>
      </c>
      <c r="H3859" s="3" t="s">
        <v>34</v>
      </c>
      <c r="I3859" s="4" t="n">
        <v>3</v>
      </c>
      <c r="J3859" s="4" t="n">
        <f aca="false">LEN(E3859)-LEN(SUBSTITUTE(E3859,",",""))+1</f>
        <v>3</v>
      </c>
      <c r="K3859" s="3" t="str">
        <f aca="false">IFERROR(INDEX('Teacher Lookup'!$B$2:$B$200,MATCH(A3859,'Teacher Lookup'!$A$2:$A$200,0)),"")</f>
        <v>SUM Freddie</v>
      </c>
    </row>
    <row r="3860" customFormat="false" ht="15" hidden="false" customHeight="false" outlineLevel="0" collapsed="false">
      <c r="A3860" s="3" t="s">
        <v>414</v>
      </c>
      <c r="B3860" s="4" t="s">
        <v>47</v>
      </c>
      <c r="C3860" s="4" t="n">
        <v>7</v>
      </c>
      <c r="D3860" s="4" t="s">
        <v>28</v>
      </c>
      <c r="E3860" s="3" t="s">
        <v>159</v>
      </c>
      <c r="F3860" s="4" t="str">
        <f aca="false">IF(I3860&gt;J3860,"Y","N")</f>
        <v>N</v>
      </c>
      <c r="G3860" s="3" t="s">
        <v>164</v>
      </c>
      <c r="H3860" s="3" t="s">
        <v>39</v>
      </c>
      <c r="I3860" s="4" t="n">
        <v>4</v>
      </c>
      <c r="J3860" s="4" t="n">
        <f aca="false">LEN(E3860)-LEN(SUBSTITUTE(E3860,",",""))+1</f>
        <v>4</v>
      </c>
      <c r="K3860" s="3" t="str">
        <f aca="false">IFERROR(INDEX('Teacher Lookup'!$B$2:$B$200,MATCH(A3860,'Teacher Lookup'!$A$2:$A$200,0)),"")</f>
        <v>SUM Freddie</v>
      </c>
    </row>
    <row r="3861" customFormat="false" ht="15" hidden="false" customHeight="false" outlineLevel="0" collapsed="false">
      <c r="A3861" s="3" t="s">
        <v>414</v>
      </c>
      <c r="B3861" s="4" t="s">
        <v>47</v>
      </c>
      <c r="C3861" s="4" t="n">
        <v>7</v>
      </c>
      <c r="D3861" s="4" t="s">
        <v>29</v>
      </c>
      <c r="E3861" s="3" t="s">
        <v>159</v>
      </c>
      <c r="F3861" s="4" t="str">
        <f aca="false">IF(I3861&gt;J3861,"Y","N")</f>
        <v>N</v>
      </c>
      <c r="G3861" s="3" t="s">
        <v>164</v>
      </c>
      <c r="H3861" s="3" t="s">
        <v>39</v>
      </c>
      <c r="I3861" s="4" t="n">
        <v>4</v>
      </c>
      <c r="J3861" s="4" t="n">
        <f aca="false">LEN(E3861)-LEN(SUBSTITUTE(E3861,",",""))+1</f>
        <v>4</v>
      </c>
      <c r="K3861" s="3" t="str">
        <f aca="false">IFERROR(INDEX('Teacher Lookup'!$B$2:$B$200,MATCH(A3861,'Teacher Lookup'!$A$2:$A$200,0)),"")</f>
        <v>SUM Freddie</v>
      </c>
    </row>
    <row r="3862" customFormat="false" ht="15" hidden="false" customHeight="false" outlineLevel="0" collapsed="false">
      <c r="A3862" s="3" t="s">
        <v>414</v>
      </c>
      <c r="B3862" s="4" t="s">
        <v>47</v>
      </c>
      <c r="C3862" s="4" t="n">
        <v>7</v>
      </c>
      <c r="D3862" s="4" t="s">
        <v>30</v>
      </c>
      <c r="E3862" s="3" t="s">
        <v>159</v>
      </c>
      <c r="F3862" s="4" t="str">
        <f aca="false">IF(I3862&gt;J3862,"Y","N")</f>
        <v>N</v>
      </c>
      <c r="G3862" s="3" t="s">
        <v>164</v>
      </c>
      <c r="H3862" s="3" t="s">
        <v>39</v>
      </c>
      <c r="I3862" s="4" t="n">
        <v>4</v>
      </c>
      <c r="J3862" s="4" t="n">
        <f aca="false">LEN(E3862)-LEN(SUBSTITUTE(E3862,",",""))+1</f>
        <v>4</v>
      </c>
      <c r="K3862" s="3" t="str">
        <f aca="false">IFERROR(INDEX('Teacher Lookup'!$B$2:$B$200,MATCH(A3862,'Teacher Lookup'!$A$2:$A$200,0)),"")</f>
        <v>SUM Freddie</v>
      </c>
    </row>
    <row r="3863" customFormat="false" ht="15" hidden="false" customHeight="false" outlineLevel="0" collapsed="false">
      <c r="A3863" s="3" t="s">
        <v>414</v>
      </c>
      <c r="B3863" s="4" t="s">
        <v>50</v>
      </c>
      <c r="C3863" s="4" t="n">
        <v>2</v>
      </c>
      <c r="D3863" s="4" t="s">
        <v>28</v>
      </c>
      <c r="E3863" s="3" t="s">
        <v>410</v>
      </c>
      <c r="F3863" s="4" t="str">
        <f aca="false">IF(I3863&gt;J3863,"Y","N")</f>
        <v>N</v>
      </c>
      <c r="G3863" s="3" t="s">
        <v>164</v>
      </c>
      <c r="H3863" s="3" t="s">
        <v>21</v>
      </c>
      <c r="I3863" s="4" t="n">
        <v>4</v>
      </c>
      <c r="J3863" s="4" t="n">
        <f aca="false">LEN(E3863)-LEN(SUBSTITUTE(E3863,",",""))+1</f>
        <v>4</v>
      </c>
      <c r="K3863" s="3" t="str">
        <f aca="false">IFERROR(INDEX('Teacher Lookup'!$B$2:$B$200,MATCH(A3863,'Teacher Lookup'!$A$2:$A$200,0)),"")</f>
        <v>SUM Freddie</v>
      </c>
    </row>
    <row r="3864" customFormat="false" ht="15" hidden="false" customHeight="false" outlineLevel="0" collapsed="false">
      <c r="A3864" s="3" t="s">
        <v>414</v>
      </c>
      <c r="B3864" s="4" t="s">
        <v>50</v>
      </c>
      <c r="C3864" s="4" t="n">
        <v>2</v>
      </c>
      <c r="D3864" s="4" t="s">
        <v>29</v>
      </c>
      <c r="E3864" s="3" t="s">
        <v>410</v>
      </c>
      <c r="F3864" s="4" t="str">
        <f aca="false">IF(I3864&gt;J3864,"Y","N")</f>
        <v>N</v>
      </c>
      <c r="G3864" s="3" t="s">
        <v>164</v>
      </c>
      <c r="H3864" s="3" t="s">
        <v>21</v>
      </c>
      <c r="I3864" s="4" t="n">
        <v>4</v>
      </c>
      <c r="J3864" s="4" t="n">
        <f aca="false">LEN(E3864)-LEN(SUBSTITUTE(E3864,",",""))+1</f>
        <v>4</v>
      </c>
      <c r="K3864" s="3" t="str">
        <f aca="false">IFERROR(INDEX('Teacher Lookup'!$B$2:$B$200,MATCH(A3864,'Teacher Lookup'!$A$2:$A$200,0)),"")</f>
        <v>SUM Freddie</v>
      </c>
    </row>
    <row r="3865" customFormat="false" ht="15" hidden="false" customHeight="false" outlineLevel="0" collapsed="false">
      <c r="A3865" s="3" t="s">
        <v>414</v>
      </c>
      <c r="B3865" s="4" t="s">
        <v>50</v>
      </c>
      <c r="C3865" s="4" t="n">
        <v>2</v>
      </c>
      <c r="D3865" s="4" t="s">
        <v>30</v>
      </c>
      <c r="E3865" s="3" t="s">
        <v>410</v>
      </c>
      <c r="F3865" s="4" t="str">
        <f aca="false">IF(I3865&gt;J3865,"Y","N")</f>
        <v>N</v>
      </c>
      <c r="G3865" s="3" t="s">
        <v>164</v>
      </c>
      <c r="H3865" s="3" t="s">
        <v>21</v>
      </c>
      <c r="I3865" s="4" t="n">
        <v>4</v>
      </c>
      <c r="J3865" s="4" t="n">
        <f aca="false">LEN(E3865)-LEN(SUBSTITUTE(E3865,",",""))+1</f>
        <v>4</v>
      </c>
      <c r="K3865" s="3" t="str">
        <f aca="false">IFERROR(INDEX('Teacher Lookup'!$B$2:$B$200,MATCH(A3865,'Teacher Lookup'!$A$2:$A$200,0)),"")</f>
        <v>SUM Freddie</v>
      </c>
    </row>
    <row r="3866" customFormat="false" ht="15" hidden="false" customHeight="false" outlineLevel="0" collapsed="false">
      <c r="A3866" s="3" t="s">
        <v>414</v>
      </c>
      <c r="B3866" s="4" t="s">
        <v>50</v>
      </c>
      <c r="C3866" s="4" t="n">
        <v>4</v>
      </c>
      <c r="D3866" s="4" t="s">
        <v>102</v>
      </c>
      <c r="E3866" s="3" t="s">
        <v>262</v>
      </c>
      <c r="F3866" s="4" t="str">
        <f aca="false">IF(I3866&gt;J3866,"Y","N")</f>
        <v>N</v>
      </c>
      <c r="G3866" s="3" t="s">
        <v>164</v>
      </c>
      <c r="H3866" s="3" t="s">
        <v>34</v>
      </c>
      <c r="I3866" s="4" t="n">
        <v>3</v>
      </c>
      <c r="J3866" s="4" t="n">
        <f aca="false">LEN(E3866)-LEN(SUBSTITUTE(E3866,",",""))+1</f>
        <v>3</v>
      </c>
      <c r="K3866" s="3" t="str">
        <f aca="false">IFERROR(INDEX('Teacher Lookup'!$B$2:$B$200,MATCH(A3866,'Teacher Lookup'!$A$2:$A$200,0)),"")</f>
        <v>SUM Freddie</v>
      </c>
    </row>
    <row r="3867" customFormat="false" ht="15" hidden="false" customHeight="false" outlineLevel="0" collapsed="false">
      <c r="A3867" s="3" t="s">
        <v>414</v>
      </c>
      <c r="B3867" s="4" t="s">
        <v>50</v>
      </c>
      <c r="C3867" s="4" t="n">
        <v>4</v>
      </c>
      <c r="D3867" s="4" t="s">
        <v>107</v>
      </c>
      <c r="E3867" s="3" t="s">
        <v>262</v>
      </c>
      <c r="F3867" s="4" t="str">
        <f aca="false">IF(I3867&gt;J3867,"Y","N")</f>
        <v>N</v>
      </c>
      <c r="G3867" s="3" t="s">
        <v>164</v>
      </c>
      <c r="H3867" s="3" t="s">
        <v>34</v>
      </c>
      <c r="I3867" s="4" t="n">
        <v>3</v>
      </c>
      <c r="J3867" s="4" t="n">
        <f aca="false">LEN(E3867)-LEN(SUBSTITUTE(E3867,",",""))+1</f>
        <v>3</v>
      </c>
      <c r="K3867" s="3" t="str">
        <f aca="false">IFERROR(INDEX('Teacher Lookup'!$B$2:$B$200,MATCH(A3867,'Teacher Lookup'!$A$2:$A$200,0)),"")</f>
        <v>SUM Freddie</v>
      </c>
    </row>
    <row r="3868" customFormat="false" ht="15" hidden="false" customHeight="false" outlineLevel="0" collapsed="false">
      <c r="A3868" s="3" t="s">
        <v>414</v>
      </c>
      <c r="B3868" s="4" t="s">
        <v>50</v>
      </c>
      <c r="C3868" s="4" t="n">
        <v>5</v>
      </c>
      <c r="D3868" s="4" t="s">
        <v>102</v>
      </c>
      <c r="E3868" s="3" t="s">
        <v>262</v>
      </c>
      <c r="F3868" s="4" t="str">
        <f aca="false">IF(I3868&gt;J3868,"Y","N")</f>
        <v>N</v>
      </c>
      <c r="G3868" s="3" t="s">
        <v>164</v>
      </c>
      <c r="H3868" s="3" t="s">
        <v>37</v>
      </c>
      <c r="I3868" s="4" t="n">
        <v>3</v>
      </c>
      <c r="J3868" s="4" t="n">
        <f aca="false">LEN(E3868)-LEN(SUBSTITUTE(E3868,",",""))+1</f>
        <v>3</v>
      </c>
      <c r="K3868" s="3" t="str">
        <f aca="false">IFERROR(INDEX('Teacher Lookup'!$B$2:$B$200,MATCH(A3868,'Teacher Lookup'!$A$2:$A$200,0)),"")</f>
        <v>SUM Freddie</v>
      </c>
    </row>
    <row r="3869" customFormat="false" ht="15" hidden="false" customHeight="false" outlineLevel="0" collapsed="false">
      <c r="A3869" s="3" t="s">
        <v>414</v>
      </c>
      <c r="B3869" s="4" t="s">
        <v>50</v>
      </c>
      <c r="C3869" s="4" t="n">
        <v>5</v>
      </c>
      <c r="D3869" s="4" t="s">
        <v>107</v>
      </c>
      <c r="E3869" s="3" t="s">
        <v>262</v>
      </c>
      <c r="F3869" s="4" t="str">
        <f aca="false">IF(I3869&gt;J3869,"Y","N")</f>
        <v>N</v>
      </c>
      <c r="G3869" s="3" t="s">
        <v>164</v>
      </c>
      <c r="H3869" s="3" t="s">
        <v>37</v>
      </c>
      <c r="I3869" s="4" t="n">
        <v>3</v>
      </c>
      <c r="J3869" s="4" t="n">
        <f aca="false">LEN(E3869)-LEN(SUBSTITUTE(E3869,",",""))+1</f>
        <v>3</v>
      </c>
      <c r="K3869" s="3" t="str">
        <f aca="false">IFERROR(INDEX('Teacher Lookup'!$B$2:$B$200,MATCH(A3869,'Teacher Lookup'!$A$2:$A$200,0)),"")</f>
        <v>SUM Freddie</v>
      </c>
    </row>
    <row r="3870" customFormat="false" ht="15" hidden="false" customHeight="false" outlineLevel="0" collapsed="false">
      <c r="A3870" s="3" t="s">
        <v>414</v>
      </c>
      <c r="B3870" s="4" t="s">
        <v>60</v>
      </c>
      <c r="C3870" s="4" t="n">
        <v>2</v>
      </c>
      <c r="D3870" s="4" t="s">
        <v>102</v>
      </c>
      <c r="E3870" s="3" t="s">
        <v>264</v>
      </c>
      <c r="F3870" s="4" t="str">
        <f aca="false">IF(I3870&gt;J3870,"Y","N")</f>
        <v>N</v>
      </c>
      <c r="G3870" s="3" t="s">
        <v>164</v>
      </c>
      <c r="H3870" s="3" t="s">
        <v>21</v>
      </c>
      <c r="I3870" s="4" t="n">
        <v>3</v>
      </c>
      <c r="J3870" s="4" t="n">
        <f aca="false">LEN(E3870)-LEN(SUBSTITUTE(E3870,",",""))+1</f>
        <v>3</v>
      </c>
      <c r="K3870" s="3" t="str">
        <f aca="false">IFERROR(INDEX('Teacher Lookup'!$B$2:$B$200,MATCH(A3870,'Teacher Lookup'!$A$2:$A$200,0)),"")</f>
        <v>SUM Freddie</v>
      </c>
    </row>
    <row r="3871" customFormat="false" ht="15" hidden="false" customHeight="false" outlineLevel="0" collapsed="false">
      <c r="A3871" s="3" t="s">
        <v>414</v>
      </c>
      <c r="B3871" s="4" t="s">
        <v>60</v>
      </c>
      <c r="C3871" s="4" t="n">
        <v>2</v>
      </c>
      <c r="D3871" s="4" t="s">
        <v>107</v>
      </c>
      <c r="E3871" s="3" t="s">
        <v>264</v>
      </c>
      <c r="F3871" s="4" t="str">
        <f aca="false">IF(I3871&gt;J3871,"Y","N")</f>
        <v>N</v>
      </c>
      <c r="G3871" s="3" t="s">
        <v>164</v>
      </c>
      <c r="H3871" s="3" t="s">
        <v>21</v>
      </c>
      <c r="I3871" s="4" t="n">
        <v>3</v>
      </c>
      <c r="J3871" s="4" t="n">
        <f aca="false">LEN(E3871)-LEN(SUBSTITUTE(E3871,",",""))+1</f>
        <v>3</v>
      </c>
      <c r="K3871" s="3" t="str">
        <f aca="false">IFERROR(INDEX('Teacher Lookup'!$B$2:$B$200,MATCH(A3871,'Teacher Lookup'!$A$2:$A$200,0)),"")</f>
        <v>SUM Freddie</v>
      </c>
    </row>
    <row r="3872" customFormat="false" ht="15" hidden="false" customHeight="false" outlineLevel="0" collapsed="false">
      <c r="A3872" s="3" t="s">
        <v>414</v>
      </c>
      <c r="B3872" s="4" t="s">
        <v>60</v>
      </c>
      <c r="C3872" s="4" t="n">
        <v>4</v>
      </c>
      <c r="D3872" s="4" t="s">
        <v>28</v>
      </c>
      <c r="E3872" s="3" t="s">
        <v>411</v>
      </c>
      <c r="F3872" s="4" t="str">
        <f aca="false">IF(I3872&gt;J3872,"Y","N")</f>
        <v>N</v>
      </c>
      <c r="G3872" s="3" t="s">
        <v>164</v>
      </c>
      <c r="H3872" s="3" t="s">
        <v>34</v>
      </c>
      <c r="I3872" s="4" t="n">
        <v>4</v>
      </c>
      <c r="J3872" s="4" t="n">
        <f aca="false">LEN(E3872)-LEN(SUBSTITUTE(E3872,",",""))+1</f>
        <v>4</v>
      </c>
      <c r="K3872" s="3" t="str">
        <f aca="false">IFERROR(INDEX('Teacher Lookup'!$B$2:$B$200,MATCH(A3872,'Teacher Lookup'!$A$2:$A$200,0)),"")</f>
        <v>SUM Freddie</v>
      </c>
    </row>
    <row r="3873" customFormat="false" ht="15" hidden="false" customHeight="false" outlineLevel="0" collapsed="false">
      <c r="A3873" s="3" t="s">
        <v>414</v>
      </c>
      <c r="B3873" s="4" t="s">
        <v>60</v>
      </c>
      <c r="C3873" s="4" t="n">
        <v>4</v>
      </c>
      <c r="D3873" s="4" t="s">
        <v>29</v>
      </c>
      <c r="E3873" s="3" t="s">
        <v>411</v>
      </c>
      <c r="F3873" s="4" t="str">
        <f aca="false">IF(I3873&gt;J3873,"Y","N")</f>
        <v>N</v>
      </c>
      <c r="G3873" s="3" t="s">
        <v>164</v>
      </c>
      <c r="H3873" s="3" t="s">
        <v>34</v>
      </c>
      <c r="I3873" s="4" t="n">
        <v>4</v>
      </c>
      <c r="J3873" s="4" t="n">
        <f aca="false">LEN(E3873)-LEN(SUBSTITUTE(E3873,",",""))+1</f>
        <v>4</v>
      </c>
      <c r="K3873" s="3" t="str">
        <f aca="false">IFERROR(INDEX('Teacher Lookup'!$B$2:$B$200,MATCH(A3873,'Teacher Lookup'!$A$2:$A$200,0)),"")</f>
        <v>SUM Freddie</v>
      </c>
    </row>
    <row r="3874" customFormat="false" ht="15" hidden="false" customHeight="false" outlineLevel="0" collapsed="false">
      <c r="A3874" s="3" t="s">
        <v>414</v>
      </c>
      <c r="B3874" s="4" t="s">
        <v>60</v>
      </c>
      <c r="C3874" s="4" t="n">
        <v>4</v>
      </c>
      <c r="D3874" s="4" t="s">
        <v>30</v>
      </c>
      <c r="E3874" s="3" t="s">
        <v>411</v>
      </c>
      <c r="F3874" s="4" t="str">
        <f aca="false">IF(I3874&gt;J3874,"Y","N")</f>
        <v>N</v>
      </c>
      <c r="G3874" s="3" t="s">
        <v>164</v>
      </c>
      <c r="H3874" s="3" t="s">
        <v>34</v>
      </c>
      <c r="I3874" s="4" t="n">
        <v>4</v>
      </c>
      <c r="J3874" s="4" t="n">
        <f aca="false">LEN(E3874)-LEN(SUBSTITUTE(E3874,",",""))+1</f>
        <v>4</v>
      </c>
      <c r="K3874" s="3" t="str">
        <f aca="false">IFERROR(INDEX('Teacher Lookup'!$B$2:$B$200,MATCH(A3874,'Teacher Lookup'!$A$2:$A$200,0)),"")</f>
        <v>SUM Freddie</v>
      </c>
    </row>
    <row r="3875" customFormat="false" ht="15" hidden="false" customHeight="false" outlineLevel="0" collapsed="false">
      <c r="A3875" s="3" t="s">
        <v>414</v>
      </c>
      <c r="B3875" s="4" t="s">
        <v>60</v>
      </c>
      <c r="C3875" s="4" t="n">
        <v>5</v>
      </c>
      <c r="D3875" s="4" t="s">
        <v>52</v>
      </c>
      <c r="E3875" s="3" t="s">
        <v>112</v>
      </c>
      <c r="F3875" s="4" t="str">
        <f aca="false">IF(I3875&gt;J3875,"Y","N")</f>
        <v>Y</v>
      </c>
      <c r="G3875" s="3" t="s">
        <v>36</v>
      </c>
      <c r="H3875" s="3" t="s">
        <v>37</v>
      </c>
      <c r="I3875" s="4" t="n">
        <v>16</v>
      </c>
      <c r="J3875" s="4" t="n">
        <f aca="false">LEN(E3875)-LEN(SUBSTITUTE(E3875,",",""))+1</f>
        <v>7</v>
      </c>
      <c r="K3875" s="3" t="str">
        <f aca="false">IFERROR(INDEX('Teacher Lookup'!$B$2:$B$200,MATCH(A3875,'Teacher Lookup'!$A$2:$A$200,0)),"")</f>
        <v>SUM Freddie</v>
      </c>
    </row>
    <row r="3876" customFormat="false" ht="15" hidden="false" customHeight="false" outlineLevel="0" collapsed="false">
      <c r="A3876" s="3" t="s">
        <v>414</v>
      </c>
      <c r="B3876" s="4" t="s">
        <v>60</v>
      </c>
      <c r="C3876" s="4" t="n">
        <v>5</v>
      </c>
      <c r="D3876" s="4" t="s">
        <v>55</v>
      </c>
      <c r="E3876" s="3" t="s">
        <v>112</v>
      </c>
      <c r="F3876" s="4" t="str">
        <f aca="false">IF(I3876&gt;J3876,"Y","N")</f>
        <v>Y</v>
      </c>
      <c r="G3876" s="3" t="s">
        <v>36</v>
      </c>
      <c r="H3876" s="3" t="s">
        <v>37</v>
      </c>
      <c r="I3876" s="4" t="n">
        <v>16</v>
      </c>
      <c r="J3876" s="4" t="n">
        <f aca="false">LEN(E3876)-LEN(SUBSTITUTE(E3876,",",""))+1</f>
        <v>7</v>
      </c>
      <c r="K3876" s="3" t="str">
        <f aca="false">IFERROR(INDEX('Teacher Lookup'!$B$2:$B$200,MATCH(A3876,'Teacher Lookup'!$A$2:$A$200,0)),"")</f>
        <v>SUM Freddie</v>
      </c>
    </row>
    <row r="3877" customFormat="false" ht="15" hidden="false" customHeight="false" outlineLevel="0" collapsed="false">
      <c r="A3877" s="3" t="s">
        <v>414</v>
      </c>
      <c r="B3877" s="4" t="s">
        <v>60</v>
      </c>
      <c r="C3877" s="4" t="n">
        <v>5</v>
      </c>
      <c r="D3877" s="4" t="s">
        <v>56</v>
      </c>
      <c r="E3877" s="3" t="s">
        <v>112</v>
      </c>
      <c r="F3877" s="4" t="str">
        <f aca="false">IF(I3877&gt;J3877,"Y","N")</f>
        <v>Y</v>
      </c>
      <c r="G3877" s="3" t="s">
        <v>36</v>
      </c>
      <c r="H3877" s="3" t="s">
        <v>37</v>
      </c>
      <c r="I3877" s="4" t="n">
        <v>16</v>
      </c>
      <c r="J3877" s="4" t="n">
        <f aca="false">LEN(E3877)-LEN(SUBSTITUTE(E3877,",",""))+1</f>
        <v>7</v>
      </c>
      <c r="K3877" s="3" t="str">
        <f aca="false">IFERROR(INDEX('Teacher Lookup'!$B$2:$B$200,MATCH(A3877,'Teacher Lookup'!$A$2:$A$200,0)),"")</f>
        <v>SUM Freddie</v>
      </c>
    </row>
    <row r="3878" customFormat="false" ht="15" hidden="false" customHeight="false" outlineLevel="0" collapsed="false">
      <c r="A3878" s="3" t="s">
        <v>414</v>
      </c>
      <c r="B3878" s="4" t="s">
        <v>60</v>
      </c>
      <c r="C3878" s="4" t="n">
        <v>5</v>
      </c>
      <c r="D3878" s="4" t="s">
        <v>57</v>
      </c>
      <c r="E3878" s="3" t="s">
        <v>112</v>
      </c>
      <c r="F3878" s="4" t="str">
        <f aca="false">IF(I3878&gt;J3878,"Y","N")</f>
        <v>Y</v>
      </c>
      <c r="G3878" s="3" t="s">
        <v>36</v>
      </c>
      <c r="H3878" s="3" t="s">
        <v>37</v>
      </c>
      <c r="I3878" s="4" t="n">
        <v>16</v>
      </c>
      <c r="J3878" s="4" t="n">
        <f aca="false">LEN(E3878)-LEN(SUBSTITUTE(E3878,",",""))+1</f>
        <v>7</v>
      </c>
      <c r="K3878" s="3" t="str">
        <f aca="false">IFERROR(INDEX('Teacher Lookup'!$B$2:$B$200,MATCH(A3878,'Teacher Lookup'!$A$2:$A$200,0)),"")</f>
        <v>SUM Freddie</v>
      </c>
    </row>
    <row r="3879" customFormat="false" ht="15" hidden="false" customHeight="false" outlineLevel="0" collapsed="false">
      <c r="A3879" s="3" t="s">
        <v>414</v>
      </c>
      <c r="B3879" s="4" t="s">
        <v>60</v>
      </c>
      <c r="C3879" s="4" t="n">
        <v>5</v>
      </c>
      <c r="D3879" s="4" t="s">
        <v>58</v>
      </c>
      <c r="E3879" s="3" t="s">
        <v>112</v>
      </c>
      <c r="F3879" s="4" t="str">
        <f aca="false">IF(I3879&gt;J3879,"Y","N")</f>
        <v>Y</v>
      </c>
      <c r="G3879" s="3" t="s">
        <v>36</v>
      </c>
      <c r="H3879" s="3" t="s">
        <v>37</v>
      </c>
      <c r="I3879" s="4" t="n">
        <v>16</v>
      </c>
      <c r="J3879" s="4" t="n">
        <f aca="false">LEN(E3879)-LEN(SUBSTITUTE(E3879,",",""))+1</f>
        <v>7</v>
      </c>
      <c r="K3879" s="3" t="str">
        <f aca="false">IFERROR(INDEX('Teacher Lookup'!$B$2:$B$200,MATCH(A3879,'Teacher Lookup'!$A$2:$A$200,0)),"")</f>
        <v>SUM Freddie</v>
      </c>
    </row>
    <row r="3880" customFormat="false" ht="15" hidden="false" customHeight="false" outlineLevel="0" collapsed="false">
      <c r="A3880" s="3" t="s">
        <v>414</v>
      </c>
      <c r="B3880" s="4" t="s">
        <v>60</v>
      </c>
      <c r="C3880" s="4" t="n">
        <v>5</v>
      </c>
      <c r="D3880" s="4" t="s">
        <v>59</v>
      </c>
      <c r="E3880" s="3" t="s">
        <v>112</v>
      </c>
      <c r="F3880" s="4" t="str">
        <f aca="false">IF(I3880&gt;J3880,"Y","N")</f>
        <v>Y</v>
      </c>
      <c r="G3880" s="3" t="s">
        <v>36</v>
      </c>
      <c r="H3880" s="3" t="s">
        <v>37</v>
      </c>
      <c r="I3880" s="4" t="n">
        <v>16</v>
      </c>
      <c r="J3880" s="4" t="n">
        <f aca="false">LEN(E3880)-LEN(SUBSTITUTE(E3880,",",""))+1</f>
        <v>7</v>
      </c>
      <c r="K3880" s="3" t="str">
        <f aca="false">IFERROR(INDEX('Teacher Lookup'!$B$2:$B$200,MATCH(A3880,'Teacher Lookup'!$A$2:$A$200,0)),"")</f>
        <v>SUM Freddie</v>
      </c>
    </row>
    <row r="3881" customFormat="false" ht="15" hidden="false" customHeight="false" outlineLevel="0" collapsed="false">
      <c r="A3881" s="3" t="s">
        <v>414</v>
      </c>
      <c r="B3881" s="4" t="s">
        <v>63</v>
      </c>
      <c r="C3881" s="4" t="n">
        <v>2</v>
      </c>
      <c r="D3881" s="4" t="s">
        <v>102</v>
      </c>
      <c r="E3881" s="3" t="s">
        <v>266</v>
      </c>
      <c r="F3881" s="4" t="str">
        <f aca="false">IF(I3881&gt;J3881,"Y","N")</f>
        <v>N</v>
      </c>
      <c r="G3881" s="3" t="s">
        <v>164</v>
      </c>
      <c r="H3881" s="3" t="s">
        <v>21</v>
      </c>
      <c r="I3881" s="4" t="n">
        <v>3</v>
      </c>
      <c r="J3881" s="4" t="n">
        <f aca="false">LEN(E3881)-LEN(SUBSTITUTE(E3881,",",""))+1</f>
        <v>3</v>
      </c>
      <c r="K3881" s="3" t="str">
        <f aca="false">IFERROR(INDEX('Teacher Lookup'!$B$2:$B$200,MATCH(A3881,'Teacher Lookup'!$A$2:$A$200,0)),"")</f>
        <v>SUM Freddie</v>
      </c>
    </row>
    <row r="3882" customFormat="false" ht="15" hidden="false" customHeight="false" outlineLevel="0" collapsed="false">
      <c r="A3882" s="3" t="s">
        <v>414</v>
      </c>
      <c r="B3882" s="4" t="s">
        <v>63</v>
      </c>
      <c r="C3882" s="4" t="n">
        <v>2</v>
      </c>
      <c r="D3882" s="4" t="s">
        <v>107</v>
      </c>
      <c r="E3882" s="3" t="s">
        <v>266</v>
      </c>
      <c r="F3882" s="4" t="str">
        <f aca="false">IF(I3882&gt;J3882,"Y","N")</f>
        <v>N</v>
      </c>
      <c r="G3882" s="3" t="s">
        <v>164</v>
      </c>
      <c r="H3882" s="3" t="s">
        <v>21</v>
      </c>
      <c r="I3882" s="4" t="n">
        <v>3</v>
      </c>
      <c r="J3882" s="4" t="n">
        <f aca="false">LEN(E3882)-LEN(SUBSTITUTE(E3882,",",""))+1</f>
        <v>3</v>
      </c>
      <c r="K3882" s="3" t="str">
        <f aca="false">IFERROR(INDEX('Teacher Lookup'!$B$2:$B$200,MATCH(A3882,'Teacher Lookup'!$A$2:$A$200,0)),"")</f>
        <v>SUM Freddie</v>
      </c>
    </row>
    <row r="3883" customFormat="false" ht="15" hidden="false" customHeight="false" outlineLevel="0" collapsed="false">
      <c r="A3883" s="3" t="s">
        <v>414</v>
      </c>
      <c r="B3883" s="4" t="s">
        <v>63</v>
      </c>
      <c r="C3883" s="4" t="n">
        <v>4</v>
      </c>
      <c r="D3883" s="4" t="s">
        <v>28</v>
      </c>
      <c r="E3883" s="3" t="s">
        <v>411</v>
      </c>
      <c r="F3883" s="4" t="str">
        <f aca="false">IF(I3883&gt;J3883,"Y","N")</f>
        <v>N</v>
      </c>
      <c r="G3883" s="3" t="s">
        <v>164</v>
      </c>
      <c r="H3883" s="3" t="s">
        <v>34</v>
      </c>
      <c r="I3883" s="4" t="n">
        <v>4</v>
      </c>
      <c r="J3883" s="4" t="n">
        <f aca="false">LEN(E3883)-LEN(SUBSTITUTE(E3883,",",""))+1</f>
        <v>4</v>
      </c>
      <c r="K3883" s="3" t="str">
        <f aca="false">IFERROR(INDEX('Teacher Lookup'!$B$2:$B$200,MATCH(A3883,'Teacher Lookup'!$A$2:$A$200,0)),"")</f>
        <v>SUM Freddie</v>
      </c>
    </row>
    <row r="3884" customFormat="false" ht="15" hidden="false" customHeight="false" outlineLevel="0" collapsed="false">
      <c r="A3884" s="3" t="s">
        <v>414</v>
      </c>
      <c r="B3884" s="4" t="s">
        <v>63</v>
      </c>
      <c r="C3884" s="4" t="n">
        <v>4</v>
      </c>
      <c r="D3884" s="4" t="s">
        <v>29</v>
      </c>
      <c r="E3884" s="3" t="s">
        <v>411</v>
      </c>
      <c r="F3884" s="4" t="str">
        <f aca="false">IF(I3884&gt;J3884,"Y","N")</f>
        <v>N</v>
      </c>
      <c r="G3884" s="3" t="s">
        <v>164</v>
      </c>
      <c r="H3884" s="3" t="s">
        <v>34</v>
      </c>
      <c r="I3884" s="4" t="n">
        <v>4</v>
      </c>
      <c r="J3884" s="4" t="n">
        <f aca="false">LEN(E3884)-LEN(SUBSTITUTE(E3884,",",""))+1</f>
        <v>4</v>
      </c>
      <c r="K3884" s="3" t="str">
        <f aca="false">IFERROR(INDEX('Teacher Lookup'!$B$2:$B$200,MATCH(A3884,'Teacher Lookup'!$A$2:$A$200,0)),"")</f>
        <v>SUM Freddie</v>
      </c>
    </row>
    <row r="3885" customFormat="false" ht="15" hidden="false" customHeight="false" outlineLevel="0" collapsed="false">
      <c r="A3885" s="3" t="s">
        <v>414</v>
      </c>
      <c r="B3885" s="4" t="s">
        <v>63</v>
      </c>
      <c r="C3885" s="4" t="n">
        <v>4</v>
      </c>
      <c r="D3885" s="4" t="s">
        <v>30</v>
      </c>
      <c r="E3885" s="3" t="s">
        <v>411</v>
      </c>
      <c r="F3885" s="4" t="str">
        <f aca="false">IF(I3885&gt;J3885,"Y","N")</f>
        <v>N</v>
      </c>
      <c r="G3885" s="3" t="s">
        <v>164</v>
      </c>
      <c r="H3885" s="3" t="s">
        <v>34</v>
      </c>
      <c r="I3885" s="4" t="n">
        <v>4</v>
      </c>
      <c r="J3885" s="4" t="n">
        <f aca="false">LEN(E3885)-LEN(SUBSTITUTE(E3885,",",""))+1</f>
        <v>4</v>
      </c>
      <c r="K3885" s="3" t="str">
        <f aca="false">IFERROR(INDEX('Teacher Lookup'!$B$2:$B$200,MATCH(A3885,'Teacher Lookup'!$A$2:$A$200,0)),"")</f>
        <v>SUM Freddie</v>
      </c>
    </row>
    <row r="3886" customFormat="false" ht="15" hidden="false" customHeight="false" outlineLevel="0" collapsed="false">
      <c r="A3886" s="3" t="s">
        <v>414</v>
      </c>
      <c r="B3886" s="4" t="s">
        <v>63</v>
      </c>
      <c r="C3886" s="4" t="n">
        <v>5</v>
      </c>
      <c r="D3886" s="4" t="s">
        <v>28</v>
      </c>
      <c r="E3886" s="3" t="s">
        <v>411</v>
      </c>
      <c r="F3886" s="4" t="str">
        <f aca="false">IF(I3886&gt;J3886,"Y","N")</f>
        <v>N</v>
      </c>
      <c r="G3886" s="3" t="s">
        <v>164</v>
      </c>
      <c r="H3886" s="3" t="s">
        <v>37</v>
      </c>
      <c r="I3886" s="4" t="n">
        <v>4</v>
      </c>
      <c r="J3886" s="4" t="n">
        <f aca="false">LEN(E3886)-LEN(SUBSTITUTE(E3886,",",""))+1</f>
        <v>4</v>
      </c>
      <c r="K3886" s="3" t="str">
        <f aca="false">IFERROR(INDEX('Teacher Lookup'!$B$2:$B$200,MATCH(A3886,'Teacher Lookup'!$A$2:$A$200,0)),"")</f>
        <v>SUM Freddie</v>
      </c>
    </row>
    <row r="3887" customFormat="false" ht="15" hidden="false" customHeight="false" outlineLevel="0" collapsed="false">
      <c r="A3887" s="3" t="s">
        <v>414</v>
      </c>
      <c r="B3887" s="4" t="s">
        <v>63</v>
      </c>
      <c r="C3887" s="4" t="n">
        <v>5</v>
      </c>
      <c r="D3887" s="4" t="s">
        <v>29</v>
      </c>
      <c r="E3887" s="3" t="s">
        <v>411</v>
      </c>
      <c r="F3887" s="4" t="str">
        <f aca="false">IF(I3887&gt;J3887,"Y","N")</f>
        <v>N</v>
      </c>
      <c r="G3887" s="3" t="s">
        <v>164</v>
      </c>
      <c r="H3887" s="3" t="s">
        <v>37</v>
      </c>
      <c r="I3887" s="4" t="n">
        <v>4</v>
      </c>
      <c r="J3887" s="4" t="n">
        <f aca="false">LEN(E3887)-LEN(SUBSTITUTE(E3887,",",""))+1</f>
        <v>4</v>
      </c>
      <c r="K3887" s="3" t="str">
        <f aca="false">IFERROR(INDEX('Teacher Lookup'!$B$2:$B$200,MATCH(A3887,'Teacher Lookup'!$A$2:$A$200,0)),"")</f>
        <v>SUM Freddie</v>
      </c>
    </row>
    <row r="3888" customFormat="false" ht="15" hidden="false" customHeight="false" outlineLevel="0" collapsed="false">
      <c r="A3888" s="3" t="s">
        <v>414</v>
      </c>
      <c r="B3888" s="4" t="s">
        <v>63</v>
      </c>
      <c r="C3888" s="4" t="n">
        <v>5</v>
      </c>
      <c r="D3888" s="4" t="s">
        <v>30</v>
      </c>
      <c r="E3888" s="3" t="s">
        <v>411</v>
      </c>
      <c r="F3888" s="4" t="str">
        <f aca="false">IF(I3888&gt;J3888,"Y","N")</f>
        <v>N</v>
      </c>
      <c r="G3888" s="3" t="s">
        <v>164</v>
      </c>
      <c r="H3888" s="3" t="s">
        <v>37</v>
      </c>
      <c r="I3888" s="4" t="n">
        <v>4</v>
      </c>
      <c r="J3888" s="4" t="n">
        <f aca="false">LEN(E3888)-LEN(SUBSTITUTE(E3888,",",""))+1</f>
        <v>4</v>
      </c>
      <c r="K3888" s="3" t="str">
        <f aca="false">IFERROR(INDEX('Teacher Lookup'!$B$2:$B$200,MATCH(A3888,'Teacher Lookup'!$A$2:$A$200,0)),"")</f>
        <v>SUM Freddie</v>
      </c>
    </row>
    <row r="3889" customFormat="false" ht="15" hidden="false" customHeight="false" outlineLevel="0" collapsed="false">
      <c r="A3889" s="3" t="s">
        <v>414</v>
      </c>
      <c r="B3889" s="4" t="s">
        <v>65</v>
      </c>
      <c r="C3889" s="4" t="n">
        <v>3</v>
      </c>
      <c r="D3889" s="4" t="s">
        <v>28</v>
      </c>
      <c r="E3889" s="3" t="s">
        <v>156</v>
      </c>
      <c r="F3889" s="4" t="str">
        <f aca="false">IF(I3889&gt;J3889,"Y","N")</f>
        <v>N</v>
      </c>
      <c r="G3889" s="3" t="s">
        <v>164</v>
      </c>
      <c r="H3889" s="3" t="s">
        <v>26</v>
      </c>
      <c r="I3889" s="4" t="n">
        <v>4</v>
      </c>
      <c r="J3889" s="4" t="n">
        <f aca="false">LEN(E3889)-LEN(SUBSTITUTE(E3889,",",""))+1</f>
        <v>4</v>
      </c>
      <c r="K3889" s="3" t="str">
        <f aca="false">IFERROR(INDEX('Teacher Lookup'!$B$2:$B$200,MATCH(A3889,'Teacher Lookup'!$A$2:$A$200,0)),"")</f>
        <v>SUM Freddie</v>
      </c>
    </row>
    <row r="3890" customFormat="false" ht="15" hidden="false" customHeight="false" outlineLevel="0" collapsed="false">
      <c r="A3890" s="3" t="s">
        <v>414</v>
      </c>
      <c r="B3890" s="4" t="s">
        <v>65</v>
      </c>
      <c r="C3890" s="4" t="n">
        <v>3</v>
      </c>
      <c r="D3890" s="4" t="s">
        <v>29</v>
      </c>
      <c r="E3890" s="3" t="s">
        <v>156</v>
      </c>
      <c r="F3890" s="4" t="str">
        <f aca="false">IF(I3890&gt;J3890,"Y","N")</f>
        <v>N</v>
      </c>
      <c r="G3890" s="3" t="s">
        <v>164</v>
      </c>
      <c r="H3890" s="3" t="s">
        <v>26</v>
      </c>
      <c r="I3890" s="4" t="n">
        <v>4</v>
      </c>
      <c r="J3890" s="4" t="n">
        <f aca="false">LEN(E3890)-LEN(SUBSTITUTE(E3890,",",""))+1</f>
        <v>4</v>
      </c>
      <c r="K3890" s="3" t="str">
        <f aca="false">IFERROR(INDEX('Teacher Lookup'!$B$2:$B$200,MATCH(A3890,'Teacher Lookup'!$A$2:$A$200,0)),"")</f>
        <v>SUM Freddie</v>
      </c>
    </row>
    <row r="3891" customFormat="false" ht="15" hidden="false" customHeight="false" outlineLevel="0" collapsed="false">
      <c r="A3891" s="3" t="s">
        <v>414</v>
      </c>
      <c r="B3891" s="4" t="s">
        <v>65</v>
      </c>
      <c r="C3891" s="4" t="n">
        <v>3</v>
      </c>
      <c r="D3891" s="4" t="s">
        <v>30</v>
      </c>
      <c r="E3891" s="3" t="s">
        <v>156</v>
      </c>
      <c r="F3891" s="4" t="str">
        <f aca="false">IF(I3891&gt;J3891,"Y","N")</f>
        <v>N</v>
      </c>
      <c r="G3891" s="3" t="s">
        <v>164</v>
      </c>
      <c r="H3891" s="3" t="s">
        <v>26</v>
      </c>
      <c r="I3891" s="4" t="n">
        <v>4</v>
      </c>
      <c r="J3891" s="4" t="n">
        <f aca="false">LEN(E3891)-LEN(SUBSTITUTE(E3891,",",""))+1</f>
        <v>4</v>
      </c>
      <c r="K3891" s="3" t="str">
        <f aca="false">IFERROR(INDEX('Teacher Lookup'!$B$2:$B$200,MATCH(A3891,'Teacher Lookup'!$A$2:$A$200,0)),"")</f>
        <v>SUM Freddie</v>
      </c>
    </row>
    <row r="3892" customFormat="false" ht="15" hidden="false" customHeight="false" outlineLevel="0" collapsed="false">
      <c r="A3892" s="3" t="s">
        <v>414</v>
      </c>
      <c r="B3892" s="4" t="s">
        <v>65</v>
      </c>
      <c r="C3892" s="4" t="n">
        <v>5</v>
      </c>
      <c r="D3892" s="4" t="s">
        <v>52</v>
      </c>
      <c r="E3892" s="3" t="s">
        <v>112</v>
      </c>
      <c r="F3892" s="4" t="str">
        <f aca="false">IF(I3892&gt;J3892,"Y","N")</f>
        <v>Y</v>
      </c>
      <c r="G3892" s="3" t="s">
        <v>36</v>
      </c>
      <c r="H3892" s="3" t="s">
        <v>37</v>
      </c>
      <c r="I3892" s="4" t="n">
        <v>16</v>
      </c>
      <c r="J3892" s="4" t="n">
        <f aca="false">LEN(E3892)-LEN(SUBSTITUTE(E3892,",",""))+1</f>
        <v>7</v>
      </c>
      <c r="K3892" s="3" t="str">
        <f aca="false">IFERROR(INDEX('Teacher Lookup'!$B$2:$B$200,MATCH(A3892,'Teacher Lookup'!$A$2:$A$200,0)),"")</f>
        <v>SUM Freddie</v>
      </c>
    </row>
    <row r="3893" customFormat="false" ht="15" hidden="false" customHeight="false" outlineLevel="0" collapsed="false">
      <c r="A3893" s="3" t="s">
        <v>414</v>
      </c>
      <c r="B3893" s="4" t="s">
        <v>65</v>
      </c>
      <c r="C3893" s="4" t="n">
        <v>5</v>
      </c>
      <c r="D3893" s="4" t="s">
        <v>55</v>
      </c>
      <c r="E3893" s="3" t="s">
        <v>112</v>
      </c>
      <c r="F3893" s="4" t="str">
        <f aca="false">IF(I3893&gt;J3893,"Y","N")</f>
        <v>Y</v>
      </c>
      <c r="G3893" s="3" t="s">
        <v>36</v>
      </c>
      <c r="H3893" s="3" t="s">
        <v>37</v>
      </c>
      <c r="I3893" s="4" t="n">
        <v>16</v>
      </c>
      <c r="J3893" s="4" t="n">
        <f aca="false">LEN(E3893)-LEN(SUBSTITUTE(E3893,",",""))+1</f>
        <v>7</v>
      </c>
      <c r="K3893" s="3" t="str">
        <f aca="false">IFERROR(INDEX('Teacher Lookup'!$B$2:$B$200,MATCH(A3893,'Teacher Lookup'!$A$2:$A$200,0)),"")</f>
        <v>SUM Freddie</v>
      </c>
    </row>
    <row r="3894" customFormat="false" ht="15" hidden="false" customHeight="false" outlineLevel="0" collapsed="false">
      <c r="A3894" s="3" t="s">
        <v>414</v>
      </c>
      <c r="B3894" s="4" t="s">
        <v>65</v>
      </c>
      <c r="C3894" s="4" t="n">
        <v>5</v>
      </c>
      <c r="D3894" s="4" t="s">
        <v>56</v>
      </c>
      <c r="E3894" s="3" t="s">
        <v>112</v>
      </c>
      <c r="F3894" s="4" t="str">
        <f aca="false">IF(I3894&gt;J3894,"Y","N")</f>
        <v>Y</v>
      </c>
      <c r="G3894" s="3" t="s">
        <v>36</v>
      </c>
      <c r="H3894" s="3" t="s">
        <v>37</v>
      </c>
      <c r="I3894" s="4" t="n">
        <v>16</v>
      </c>
      <c r="J3894" s="4" t="n">
        <f aca="false">LEN(E3894)-LEN(SUBSTITUTE(E3894,",",""))+1</f>
        <v>7</v>
      </c>
      <c r="K3894" s="3" t="str">
        <f aca="false">IFERROR(INDEX('Teacher Lookup'!$B$2:$B$200,MATCH(A3894,'Teacher Lookup'!$A$2:$A$200,0)),"")</f>
        <v>SUM Freddie</v>
      </c>
    </row>
    <row r="3895" customFormat="false" ht="15" hidden="false" customHeight="false" outlineLevel="0" collapsed="false">
      <c r="A3895" s="3" t="s">
        <v>414</v>
      </c>
      <c r="B3895" s="4" t="s">
        <v>65</v>
      </c>
      <c r="C3895" s="4" t="n">
        <v>5</v>
      </c>
      <c r="D3895" s="4" t="s">
        <v>57</v>
      </c>
      <c r="E3895" s="3" t="s">
        <v>112</v>
      </c>
      <c r="F3895" s="4" t="str">
        <f aca="false">IF(I3895&gt;J3895,"Y","N")</f>
        <v>Y</v>
      </c>
      <c r="G3895" s="3" t="s">
        <v>36</v>
      </c>
      <c r="H3895" s="3" t="s">
        <v>37</v>
      </c>
      <c r="I3895" s="4" t="n">
        <v>16</v>
      </c>
      <c r="J3895" s="4" t="n">
        <f aca="false">LEN(E3895)-LEN(SUBSTITUTE(E3895,",",""))+1</f>
        <v>7</v>
      </c>
      <c r="K3895" s="3" t="str">
        <f aca="false">IFERROR(INDEX('Teacher Lookup'!$B$2:$B$200,MATCH(A3895,'Teacher Lookup'!$A$2:$A$200,0)),"")</f>
        <v>SUM Freddie</v>
      </c>
    </row>
    <row r="3896" customFormat="false" ht="15" hidden="false" customHeight="false" outlineLevel="0" collapsed="false">
      <c r="A3896" s="3" t="s">
        <v>414</v>
      </c>
      <c r="B3896" s="4" t="s">
        <v>65</v>
      </c>
      <c r="C3896" s="4" t="n">
        <v>5</v>
      </c>
      <c r="D3896" s="4" t="s">
        <v>58</v>
      </c>
      <c r="E3896" s="3" t="s">
        <v>112</v>
      </c>
      <c r="F3896" s="4" t="str">
        <f aca="false">IF(I3896&gt;J3896,"Y","N")</f>
        <v>Y</v>
      </c>
      <c r="G3896" s="3" t="s">
        <v>36</v>
      </c>
      <c r="H3896" s="3" t="s">
        <v>37</v>
      </c>
      <c r="I3896" s="4" t="n">
        <v>16</v>
      </c>
      <c r="J3896" s="4" t="n">
        <f aca="false">LEN(E3896)-LEN(SUBSTITUTE(E3896,",",""))+1</f>
        <v>7</v>
      </c>
      <c r="K3896" s="3" t="str">
        <f aca="false">IFERROR(INDEX('Teacher Lookup'!$B$2:$B$200,MATCH(A3896,'Teacher Lookup'!$A$2:$A$200,0)),"")</f>
        <v>SUM Freddie</v>
      </c>
    </row>
    <row r="3897" customFormat="false" ht="15" hidden="false" customHeight="false" outlineLevel="0" collapsed="false">
      <c r="A3897" s="3" t="s">
        <v>414</v>
      </c>
      <c r="B3897" s="4" t="s">
        <v>65</v>
      </c>
      <c r="C3897" s="4" t="n">
        <v>5</v>
      </c>
      <c r="D3897" s="4" t="s">
        <v>59</v>
      </c>
      <c r="E3897" s="3" t="s">
        <v>112</v>
      </c>
      <c r="F3897" s="4" t="str">
        <f aca="false">IF(I3897&gt;J3897,"Y","N")</f>
        <v>Y</v>
      </c>
      <c r="G3897" s="3" t="s">
        <v>36</v>
      </c>
      <c r="H3897" s="3" t="s">
        <v>37</v>
      </c>
      <c r="I3897" s="4" t="n">
        <v>16</v>
      </c>
      <c r="J3897" s="4" t="n">
        <f aca="false">LEN(E3897)-LEN(SUBSTITUTE(E3897,",",""))+1</f>
        <v>7</v>
      </c>
      <c r="K3897" s="3" t="str">
        <f aca="false">IFERROR(INDEX('Teacher Lookup'!$B$2:$B$200,MATCH(A3897,'Teacher Lookup'!$A$2:$A$200,0)),"")</f>
        <v>SUM Freddie</v>
      </c>
    </row>
    <row r="3898" customFormat="false" ht="15" hidden="false" customHeight="false" outlineLevel="0" collapsed="false">
      <c r="A3898" s="3" t="s">
        <v>414</v>
      </c>
      <c r="B3898" s="4" t="s">
        <v>65</v>
      </c>
      <c r="C3898" s="4" t="n">
        <v>6</v>
      </c>
      <c r="D3898" s="4" t="s">
        <v>102</v>
      </c>
      <c r="E3898" s="3" t="s">
        <v>268</v>
      </c>
      <c r="F3898" s="4" t="str">
        <f aca="false">IF(I3898&gt;J3898,"Y","N")</f>
        <v>N</v>
      </c>
      <c r="G3898" s="3" t="s">
        <v>164</v>
      </c>
      <c r="H3898" s="3" t="s">
        <v>42</v>
      </c>
      <c r="I3898" s="4" t="n">
        <v>3</v>
      </c>
      <c r="J3898" s="4" t="n">
        <f aca="false">LEN(E3898)-LEN(SUBSTITUTE(E3898,",",""))+1</f>
        <v>3</v>
      </c>
      <c r="K3898" s="3" t="str">
        <f aca="false">IFERROR(INDEX('Teacher Lookup'!$B$2:$B$200,MATCH(A3898,'Teacher Lookup'!$A$2:$A$200,0)),"")</f>
        <v>SUM Freddie</v>
      </c>
    </row>
    <row r="3899" customFormat="false" ht="15" hidden="false" customHeight="false" outlineLevel="0" collapsed="false">
      <c r="A3899" s="3" t="s">
        <v>414</v>
      </c>
      <c r="B3899" s="4" t="s">
        <v>65</v>
      </c>
      <c r="C3899" s="4" t="n">
        <v>6</v>
      </c>
      <c r="D3899" s="4" t="s">
        <v>107</v>
      </c>
      <c r="E3899" s="3" t="s">
        <v>268</v>
      </c>
      <c r="F3899" s="4" t="str">
        <f aca="false">IF(I3899&gt;J3899,"Y","N")</f>
        <v>N</v>
      </c>
      <c r="G3899" s="3" t="s">
        <v>164</v>
      </c>
      <c r="H3899" s="3" t="s">
        <v>42</v>
      </c>
      <c r="I3899" s="4" t="n">
        <v>3</v>
      </c>
      <c r="J3899" s="4" t="n">
        <f aca="false">LEN(E3899)-LEN(SUBSTITUTE(E3899,",",""))+1</f>
        <v>3</v>
      </c>
      <c r="K3899" s="3" t="str">
        <f aca="false">IFERROR(INDEX('Teacher Lookup'!$B$2:$B$200,MATCH(A3899,'Teacher Lookup'!$A$2:$A$200,0)),"")</f>
        <v>SUM Freddie</v>
      </c>
    </row>
    <row r="3900" customFormat="false" ht="15" hidden="false" customHeight="false" outlineLevel="0" collapsed="false">
      <c r="A3900" s="3" t="s">
        <v>414</v>
      </c>
      <c r="B3900" s="4" t="s">
        <v>66</v>
      </c>
      <c r="C3900" s="4" t="n">
        <v>3</v>
      </c>
      <c r="D3900" s="4" t="s">
        <v>102</v>
      </c>
      <c r="E3900" s="3" t="s">
        <v>269</v>
      </c>
      <c r="F3900" s="4" t="str">
        <f aca="false">IF(I3900&gt;J3900,"Y","N")</f>
        <v>N</v>
      </c>
      <c r="G3900" s="3" t="s">
        <v>164</v>
      </c>
      <c r="H3900" s="3" t="s">
        <v>26</v>
      </c>
      <c r="I3900" s="4" t="n">
        <v>3</v>
      </c>
      <c r="J3900" s="4" t="n">
        <f aca="false">LEN(E3900)-LEN(SUBSTITUTE(E3900,",",""))+1</f>
        <v>3</v>
      </c>
      <c r="K3900" s="3" t="str">
        <f aca="false">IFERROR(INDEX('Teacher Lookup'!$B$2:$B$200,MATCH(A3900,'Teacher Lookup'!$A$2:$A$200,0)),"")</f>
        <v>SUM Freddie</v>
      </c>
    </row>
    <row r="3901" customFormat="false" ht="15" hidden="false" customHeight="false" outlineLevel="0" collapsed="false">
      <c r="A3901" s="3" t="s">
        <v>414</v>
      </c>
      <c r="B3901" s="4" t="s">
        <v>66</v>
      </c>
      <c r="C3901" s="4" t="n">
        <v>3</v>
      </c>
      <c r="D3901" s="4" t="s">
        <v>107</v>
      </c>
      <c r="E3901" s="3" t="s">
        <v>269</v>
      </c>
      <c r="F3901" s="4" t="str">
        <f aca="false">IF(I3901&gt;J3901,"Y","N")</f>
        <v>N</v>
      </c>
      <c r="G3901" s="3" t="s">
        <v>164</v>
      </c>
      <c r="H3901" s="3" t="s">
        <v>26</v>
      </c>
      <c r="I3901" s="4" t="n">
        <v>3</v>
      </c>
      <c r="J3901" s="4" t="n">
        <f aca="false">LEN(E3901)-LEN(SUBSTITUTE(E3901,",",""))+1</f>
        <v>3</v>
      </c>
      <c r="K3901" s="3" t="str">
        <f aca="false">IFERROR(INDEX('Teacher Lookup'!$B$2:$B$200,MATCH(A3901,'Teacher Lookup'!$A$2:$A$200,0)),"")</f>
        <v>SUM Freddie</v>
      </c>
    </row>
    <row r="3902" customFormat="false" ht="15" hidden="false" customHeight="false" outlineLevel="0" collapsed="false">
      <c r="A3902" s="3" t="s">
        <v>414</v>
      </c>
      <c r="B3902" s="4" t="s">
        <v>66</v>
      </c>
      <c r="C3902" s="4" t="n">
        <v>5</v>
      </c>
      <c r="D3902" s="4" t="s">
        <v>28</v>
      </c>
      <c r="E3902" s="3" t="s">
        <v>412</v>
      </c>
      <c r="F3902" s="4" t="str">
        <f aca="false">IF(I3902&gt;J3902,"Y","N")</f>
        <v>N</v>
      </c>
      <c r="G3902" s="3" t="s">
        <v>164</v>
      </c>
      <c r="H3902" s="3" t="s">
        <v>37</v>
      </c>
      <c r="I3902" s="4" t="n">
        <v>4</v>
      </c>
      <c r="J3902" s="4" t="n">
        <f aca="false">LEN(E3902)-LEN(SUBSTITUTE(E3902,",",""))+1</f>
        <v>4</v>
      </c>
      <c r="K3902" s="3" t="str">
        <f aca="false">IFERROR(INDEX('Teacher Lookup'!$B$2:$B$200,MATCH(A3902,'Teacher Lookup'!$A$2:$A$200,0)),"")</f>
        <v>SUM Freddie</v>
      </c>
    </row>
    <row r="3903" customFormat="false" ht="15" hidden="false" customHeight="false" outlineLevel="0" collapsed="false">
      <c r="A3903" s="3" t="s">
        <v>414</v>
      </c>
      <c r="B3903" s="4" t="s">
        <v>66</v>
      </c>
      <c r="C3903" s="4" t="n">
        <v>5</v>
      </c>
      <c r="D3903" s="4" t="s">
        <v>29</v>
      </c>
      <c r="E3903" s="3" t="s">
        <v>412</v>
      </c>
      <c r="F3903" s="4" t="str">
        <f aca="false">IF(I3903&gt;J3903,"Y","N")</f>
        <v>N</v>
      </c>
      <c r="G3903" s="3" t="s">
        <v>164</v>
      </c>
      <c r="H3903" s="3" t="s">
        <v>37</v>
      </c>
      <c r="I3903" s="4" t="n">
        <v>4</v>
      </c>
      <c r="J3903" s="4" t="n">
        <f aca="false">LEN(E3903)-LEN(SUBSTITUTE(E3903,",",""))+1</f>
        <v>4</v>
      </c>
      <c r="K3903" s="3" t="str">
        <f aca="false">IFERROR(INDEX('Teacher Lookup'!$B$2:$B$200,MATCH(A3903,'Teacher Lookup'!$A$2:$A$200,0)),"")</f>
        <v>SUM Freddie</v>
      </c>
    </row>
    <row r="3904" customFormat="false" ht="15" hidden="false" customHeight="false" outlineLevel="0" collapsed="false">
      <c r="A3904" s="3" t="s">
        <v>414</v>
      </c>
      <c r="B3904" s="4" t="s">
        <v>66</v>
      </c>
      <c r="C3904" s="4" t="n">
        <v>5</v>
      </c>
      <c r="D3904" s="4" t="s">
        <v>30</v>
      </c>
      <c r="E3904" s="3" t="s">
        <v>412</v>
      </c>
      <c r="F3904" s="4" t="str">
        <f aca="false">IF(I3904&gt;J3904,"Y","N")</f>
        <v>N</v>
      </c>
      <c r="G3904" s="3" t="s">
        <v>164</v>
      </c>
      <c r="H3904" s="3" t="s">
        <v>37</v>
      </c>
      <c r="I3904" s="4" t="n">
        <v>4</v>
      </c>
      <c r="J3904" s="4" t="n">
        <f aca="false">LEN(E3904)-LEN(SUBSTITUTE(E3904,",",""))+1</f>
        <v>4</v>
      </c>
      <c r="K3904" s="3" t="str">
        <f aca="false">IFERROR(INDEX('Teacher Lookup'!$B$2:$B$200,MATCH(A3904,'Teacher Lookup'!$A$2:$A$200,0)),"")</f>
        <v>SUM Freddie</v>
      </c>
    </row>
    <row r="3905" customFormat="false" ht="15" hidden="false" customHeight="false" outlineLevel="0" collapsed="false">
      <c r="A3905" s="3" t="s">
        <v>415</v>
      </c>
      <c r="B3905" s="4" t="s">
        <v>12</v>
      </c>
      <c r="C3905" s="4" t="n">
        <v>3</v>
      </c>
      <c r="D3905" s="4" t="s">
        <v>19</v>
      </c>
      <c r="E3905" s="3" t="s">
        <v>387</v>
      </c>
      <c r="F3905" s="4" t="str">
        <f aca="false">IF(I3905&gt;J3905,"Y","N")</f>
        <v>N</v>
      </c>
      <c r="G3905" s="3" t="s">
        <v>388</v>
      </c>
      <c r="H3905" s="3" t="s">
        <v>26</v>
      </c>
      <c r="I3905" s="4" t="n">
        <v>2</v>
      </c>
      <c r="J3905" s="4" t="n">
        <f aca="false">LEN(E3905)-LEN(SUBSTITUTE(E3905,",",""))+1</f>
        <v>2</v>
      </c>
      <c r="K3905" s="3" t="str">
        <f aca="false">IFERROR(INDEX('Teacher Lookup'!$B$2:$B$200,MATCH(A3905,'Teacher Lookup'!$A$2:$A$200,0)),"")</f>
        <v>LEE Feliz</v>
      </c>
    </row>
    <row r="3906" customFormat="false" ht="15" hidden="false" customHeight="false" outlineLevel="0" collapsed="false">
      <c r="A3906" s="3" t="s">
        <v>415</v>
      </c>
      <c r="B3906" s="4" t="s">
        <v>12</v>
      </c>
      <c r="C3906" s="4" t="n">
        <v>3</v>
      </c>
      <c r="D3906" s="4" t="s">
        <v>22</v>
      </c>
      <c r="E3906" s="3" t="s">
        <v>387</v>
      </c>
      <c r="F3906" s="4" t="str">
        <f aca="false">IF(I3906&gt;J3906,"Y","N")</f>
        <v>N</v>
      </c>
      <c r="G3906" s="3" t="s">
        <v>388</v>
      </c>
      <c r="H3906" s="3" t="s">
        <v>26</v>
      </c>
      <c r="I3906" s="4" t="n">
        <v>2</v>
      </c>
      <c r="J3906" s="4" t="n">
        <f aca="false">LEN(E3906)-LEN(SUBSTITUTE(E3906,",",""))+1</f>
        <v>2</v>
      </c>
      <c r="K3906" s="3" t="str">
        <f aca="false">IFERROR(INDEX('Teacher Lookup'!$B$2:$B$200,MATCH(A3906,'Teacher Lookup'!$A$2:$A$200,0)),"")</f>
        <v>LEE Feliz</v>
      </c>
    </row>
    <row r="3907" customFormat="false" ht="15" hidden="false" customHeight="false" outlineLevel="0" collapsed="false">
      <c r="A3907" s="3" t="s">
        <v>415</v>
      </c>
      <c r="B3907" s="4" t="s">
        <v>12</v>
      </c>
      <c r="C3907" s="4" t="n">
        <v>4</v>
      </c>
      <c r="D3907" s="4" t="s">
        <v>19</v>
      </c>
      <c r="E3907" s="3" t="s">
        <v>390</v>
      </c>
      <c r="F3907" s="4" t="str">
        <f aca="false">IF(I3907&gt;J3907,"Y","N")</f>
        <v>Y</v>
      </c>
      <c r="G3907" s="3" t="s">
        <v>222</v>
      </c>
      <c r="H3907" s="3" t="s">
        <v>34</v>
      </c>
      <c r="I3907" s="4" t="n">
        <v>14</v>
      </c>
      <c r="J3907" s="4" t="n">
        <f aca="false">LEN(E3907)-LEN(SUBSTITUTE(E3907,",",""))+1</f>
        <v>7</v>
      </c>
      <c r="K3907" s="3" t="str">
        <f aca="false">IFERROR(INDEX('Teacher Lookup'!$B$2:$B$200,MATCH(A3907,'Teacher Lookup'!$A$2:$A$200,0)),"")</f>
        <v>LEE Feliz</v>
      </c>
    </row>
    <row r="3908" customFormat="false" ht="15" hidden="false" customHeight="false" outlineLevel="0" collapsed="false">
      <c r="A3908" s="3" t="s">
        <v>415</v>
      </c>
      <c r="B3908" s="4" t="s">
        <v>12</v>
      </c>
      <c r="C3908" s="4" t="n">
        <v>4</v>
      </c>
      <c r="D3908" s="4" t="s">
        <v>22</v>
      </c>
      <c r="E3908" s="3" t="s">
        <v>390</v>
      </c>
      <c r="F3908" s="4" t="str">
        <f aca="false">IF(I3908&gt;J3908,"Y","N")</f>
        <v>Y</v>
      </c>
      <c r="G3908" s="3" t="s">
        <v>222</v>
      </c>
      <c r="H3908" s="3" t="s">
        <v>34</v>
      </c>
      <c r="I3908" s="4" t="n">
        <v>14</v>
      </c>
      <c r="J3908" s="4" t="n">
        <f aca="false">LEN(E3908)-LEN(SUBSTITUTE(E3908,",",""))+1</f>
        <v>7</v>
      </c>
      <c r="K3908" s="3" t="str">
        <f aca="false">IFERROR(INDEX('Teacher Lookup'!$B$2:$B$200,MATCH(A3908,'Teacher Lookup'!$A$2:$A$200,0)),"")</f>
        <v>LEE Feliz</v>
      </c>
    </row>
    <row r="3909" customFormat="false" ht="15" hidden="false" customHeight="false" outlineLevel="0" collapsed="false">
      <c r="A3909" s="3" t="s">
        <v>415</v>
      </c>
      <c r="B3909" s="4" t="s">
        <v>12</v>
      </c>
      <c r="C3909" s="4" t="n">
        <v>4</v>
      </c>
      <c r="D3909" s="4" t="s">
        <v>23</v>
      </c>
      <c r="E3909" s="3" t="s">
        <v>390</v>
      </c>
      <c r="F3909" s="4" t="str">
        <f aca="false">IF(I3909&gt;J3909,"Y","N")</f>
        <v>Y</v>
      </c>
      <c r="G3909" s="3" t="s">
        <v>222</v>
      </c>
      <c r="H3909" s="3" t="s">
        <v>34</v>
      </c>
      <c r="I3909" s="4" t="n">
        <v>14</v>
      </c>
      <c r="J3909" s="4" t="n">
        <f aca="false">LEN(E3909)-LEN(SUBSTITUTE(E3909,",",""))+1</f>
        <v>7</v>
      </c>
      <c r="K3909" s="3" t="str">
        <f aca="false">IFERROR(INDEX('Teacher Lookup'!$B$2:$B$200,MATCH(A3909,'Teacher Lookup'!$A$2:$A$200,0)),"")</f>
        <v>LEE Feliz</v>
      </c>
    </row>
    <row r="3910" customFormat="false" ht="15" hidden="false" customHeight="false" outlineLevel="0" collapsed="false">
      <c r="A3910" s="3" t="s">
        <v>415</v>
      </c>
      <c r="B3910" s="4" t="s">
        <v>12</v>
      </c>
      <c r="C3910" s="4" t="n">
        <v>4</v>
      </c>
      <c r="D3910" s="4" t="s">
        <v>13</v>
      </c>
      <c r="E3910" s="3" t="s">
        <v>390</v>
      </c>
      <c r="F3910" s="4" t="str">
        <f aca="false">IF(I3910&gt;J3910,"Y","N")</f>
        <v>Y</v>
      </c>
      <c r="G3910" s="3" t="s">
        <v>222</v>
      </c>
      <c r="H3910" s="3" t="s">
        <v>34</v>
      </c>
      <c r="I3910" s="4" t="n">
        <v>14</v>
      </c>
      <c r="J3910" s="4" t="n">
        <f aca="false">LEN(E3910)-LEN(SUBSTITUTE(E3910,",",""))+1</f>
        <v>7</v>
      </c>
      <c r="K3910" s="3" t="str">
        <f aca="false">IFERROR(INDEX('Teacher Lookup'!$B$2:$B$200,MATCH(A3910,'Teacher Lookup'!$A$2:$A$200,0)),"")</f>
        <v>LEE Feliz</v>
      </c>
    </row>
    <row r="3911" customFormat="false" ht="15" hidden="false" customHeight="false" outlineLevel="0" collapsed="false">
      <c r="A3911" s="3" t="s">
        <v>415</v>
      </c>
      <c r="B3911" s="4" t="s">
        <v>12</v>
      </c>
      <c r="C3911" s="4" t="n">
        <v>4</v>
      </c>
      <c r="D3911" s="4" t="s">
        <v>17</v>
      </c>
      <c r="E3911" s="3" t="s">
        <v>390</v>
      </c>
      <c r="F3911" s="4" t="str">
        <f aca="false">IF(I3911&gt;J3911,"Y","N")</f>
        <v>Y</v>
      </c>
      <c r="G3911" s="3" t="s">
        <v>222</v>
      </c>
      <c r="H3911" s="3" t="s">
        <v>34</v>
      </c>
      <c r="I3911" s="4" t="n">
        <v>14</v>
      </c>
      <c r="J3911" s="4" t="n">
        <f aca="false">LEN(E3911)-LEN(SUBSTITUTE(E3911,",",""))+1</f>
        <v>7</v>
      </c>
      <c r="K3911" s="3" t="str">
        <f aca="false">IFERROR(INDEX('Teacher Lookup'!$B$2:$B$200,MATCH(A3911,'Teacher Lookup'!$A$2:$A$200,0)),"")</f>
        <v>LEE Feliz</v>
      </c>
    </row>
    <row r="3912" customFormat="false" ht="15" hidden="false" customHeight="false" outlineLevel="0" collapsed="false">
      <c r="A3912" s="3" t="s">
        <v>415</v>
      </c>
      <c r="B3912" s="4" t="s">
        <v>12</v>
      </c>
      <c r="C3912" s="4" t="n">
        <v>4</v>
      </c>
      <c r="D3912" s="4" t="s">
        <v>18</v>
      </c>
      <c r="E3912" s="3" t="s">
        <v>390</v>
      </c>
      <c r="F3912" s="4" t="str">
        <f aca="false">IF(I3912&gt;J3912,"Y","N")</f>
        <v>Y</v>
      </c>
      <c r="G3912" s="3" t="s">
        <v>222</v>
      </c>
      <c r="H3912" s="3" t="s">
        <v>34</v>
      </c>
      <c r="I3912" s="4" t="n">
        <v>14</v>
      </c>
      <c r="J3912" s="4" t="n">
        <f aca="false">LEN(E3912)-LEN(SUBSTITUTE(E3912,",",""))+1</f>
        <v>7</v>
      </c>
      <c r="K3912" s="3" t="str">
        <f aca="false">IFERROR(INDEX('Teacher Lookup'!$B$2:$B$200,MATCH(A3912,'Teacher Lookup'!$A$2:$A$200,0)),"")</f>
        <v>LEE Feliz</v>
      </c>
    </row>
    <row r="3913" customFormat="false" ht="15" hidden="false" customHeight="false" outlineLevel="0" collapsed="false">
      <c r="A3913" s="3" t="s">
        <v>415</v>
      </c>
      <c r="B3913" s="4" t="s">
        <v>12</v>
      </c>
      <c r="C3913" s="4" t="n">
        <v>5</v>
      </c>
      <c r="D3913" s="4" t="s">
        <v>19</v>
      </c>
      <c r="E3913" s="3" t="s">
        <v>390</v>
      </c>
      <c r="F3913" s="4" t="str">
        <f aca="false">IF(I3913&gt;J3913,"Y","N")</f>
        <v>Y</v>
      </c>
      <c r="G3913" s="3" t="s">
        <v>222</v>
      </c>
      <c r="H3913" s="3" t="s">
        <v>37</v>
      </c>
      <c r="I3913" s="4" t="n">
        <v>14</v>
      </c>
      <c r="J3913" s="4" t="n">
        <f aca="false">LEN(E3913)-LEN(SUBSTITUTE(E3913,",",""))+1</f>
        <v>7</v>
      </c>
      <c r="K3913" s="3" t="str">
        <f aca="false">IFERROR(INDEX('Teacher Lookup'!$B$2:$B$200,MATCH(A3913,'Teacher Lookup'!$A$2:$A$200,0)),"")</f>
        <v>LEE Feliz</v>
      </c>
    </row>
    <row r="3914" customFormat="false" ht="15" hidden="false" customHeight="false" outlineLevel="0" collapsed="false">
      <c r="A3914" s="3" t="s">
        <v>415</v>
      </c>
      <c r="B3914" s="4" t="s">
        <v>12</v>
      </c>
      <c r="C3914" s="4" t="n">
        <v>5</v>
      </c>
      <c r="D3914" s="4" t="s">
        <v>22</v>
      </c>
      <c r="E3914" s="3" t="s">
        <v>390</v>
      </c>
      <c r="F3914" s="4" t="str">
        <f aca="false">IF(I3914&gt;J3914,"Y","N")</f>
        <v>Y</v>
      </c>
      <c r="G3914" s="3" t="s">
        <v>222</v>
      </c>
      <c r="H3914" s="3" t="s">
        <v>37</v>
      </c>
      <c r="I3914" s="4" t="n">
        <v>14</v>
      </c>
      <c r="J3914" s="4" t="n">
        <f aca="false">LEN(E3914)-LEN(SUBSTITUTE(E3914,",",""))+1</f>
        <v>7</v>
      </c>
      <c r="K3914" s="3" t="str">
        <f aca="false">IFERROR(INDEX('Teacher Lookup'!$B$2:$B$200,MATCH(A3914,'Teacher Lookup'!$A$2:$A$200,0)),"")</f>
        <v>LEE Feliz</v>
      </c>
    </row>
    <row r="3915" customFormat="false" ht="15" hidden="false" customHeight="false" outlineLevel="0" collapsed="false">
      <c r="A3915" s="3" t="s">
        <v>415</v>
      </c>
      <c r="B3915" s="4" t="s">
        <v>12</v>
      </c>
      <c r="C3915" s="4" t="n">
        <v>5</v>
      </c>
      <c r="D3915" s="4" t="s">
        <v>23</v>
      </c>
      <c r="E3915" s="3" t="s">
        <v>390</v>
      </c>
      <c r="F3915" s="4" t="str">
        <f aca="false">IF(I3915&gt;J3915,"Y","N")</f>
        <v>Y</v>
      </c>
      <c r="G3915" s="3" t="s">
        <v>222</v>
      </c>
      <c r="H3915" s="3" t="s">
        <v>37</v>
      </c>
      <c r="I3915" s="4" t="n">
        <v>14</v>
      </c>
      <c r="J3915" s="4" t="n">
        <f aca="false">LEN(E3915)-LEN(SUBSTITUTE(E3915,",",""))+1</f>
        <v>7</v>
      </c>
      <c r="K3915" s="3" t="str">
        <f aca="false">IFERROR(INDEX('Teacher Lookup'!$B$2:$B$200,MATCH(A3915,'Teacher Lookup'!$A$2:$A$200,0)),"")</f>
        <v>LEE Feliz</v>
      </c>
    </row>
    <row r="3916" customFormat="false" ht="15" hidden="false" customHeight="false" outlineLevel="0" collapsed="false">
      <c r="A3916" s="3" t="s">
        <v>415</v>
      </c>
      <c r="B3916" s="4" t="s">
        <v>12</v>
      </c>
      <c r="C3916" s="4" t="n">
        <v>5</v>
      </c>
      <c r="D3916" s="4" t="s">
        <v>13</v>
      </c>
      <c r="E3916" s="3" t="s">
        <v>390</v>
      </c>
      <c r="F3916" s="4" t="str">
        <f aca="false">IF(I3916&gt;J3916,"Y","N")</f>
        <v>Y</v>
      </c>
      <c r="G3916" s="3" t="s">
        <v>222</v>
      </c>
      <c r="H3916" s="3" t="s">
        <v>37</v>
      </c>
      <c r="I3916" s="4" t="n">
        <v>14</v>
      </c>
      <c r="J3916" s="4" t="n">
        <f aca="false">LEN(E3916)-LEN(SUBSTITUTE(E3916,",",""))+1</f>
        <v>7</v>
      </c>
      <c r="K3916" s="3" t="str">
        <f aca="false">IFERROR(INDEX('Teacher Lookup'!$B$2:$B$200,MATCH(A3916,'Teacher Lookup'!$A$2:$A$200,0)),"")</f>
        <v>LEE Feliz</v>
      </c>
    </row>
    <row r="3917" customFormat="false" ht="15" hidden="false" customHeight="false" outlineLevel="0" collapsed="false">
      <c r="A3917" s="3" t="s">
        <v>415</v>
      </c>
      <c r="B3917" s="4" t="s">
        <v>12</v>
      </c>
      <c r="C3917" s="4" t="n">
        <v>5</v>
      </c>
      <c r="D3917" s="4" t="s">
        <v>17</v>
      </c>
      <c r="E3917" s="3" t="s">
        <v>390</v>
      </c>
      <c r="F3917" s="4" t="str">
        <f aca="false">IF(I3917&gt;J3917,"Y","N")</f>
        <v>Y</v>
      </c>
      <c r="G3917" s="3" t="s">
        <v>222</v>
      </c>
      <c r="H3917" s="3" t="s">
        <v>37</v>
      </c>
      <c r="I3917" s="4" t="n">
        <v>14</v>
      </c>
      <c r="J3917" s="4" t="n">
        <f aca="false">LEN(E3917)-LEN(SUBSTITUTE(E3917,",",""))+1</f>
        <v>7</v>
      </c>
      <c r="K3917" s="3" t="str">
        <f aca="false">IFERROR(INDEX('Teacher Lookup'!$B$2:$B$200,MATCH(A3917,'Teacher Lookup'!$A$2:$A$200,0)),"")</f>
        <v>LEE Feliz</v>
      </c>
    </row>
    <row r="3918" customFormat="false" ht="15" hidden="false" customHeight="false" outlineLevel="0" collapsed="false">
      <c r="A3918" s="3" t="s">
        <v>415</v>
      </c>
      <c r="B3918" s="4" t="s">
        <v>12</v>
      </c>
      <c r="C3918" s="4" t="n">
        <v>5</v>
      </c>
      <c r="D3918" s="4" t="s">
        <v>18</v>
      </c>
      <c r="E3918" s="3" t="s">
        <v>390</v>
      </c>
      <c r="F3918" s="4" t="str">
        <f aca="false">IF(I3918&gt;J3918,"Y","N")</f>
        <v>Y</v>
      </c>
      <c r="G3918" s="3" t="s">
        <v>222</v>
      </c>
      <c r="H3918" s="3" t="s">
        <v>37</v>
      </c>
      <c r="I3918" s="4" t="n">
        <v>14</v>
      </c>
      <c r="J3918" s="4" t="n">
        <f aca="false">LEN(E3918)-LEN(SUBSTITUTE(E3918,",",""))+1</f>
        <v>7</v>
      </c>
      <c r="K3918" s="3" t="str">
        <f aca="false">IFERROR(INDEX('Teacher Lookup'!$B$2:$B$200,MATCH(A3918,'Teacher Lookup'!$A$2:$A$200,0)),"")</f>
        <v>LEE Feliz</v>
      </c>
    </row>
    <row r="3919" customFormat="false" ht="15" hidden="false" customHeight="false" outlineLevel="0" collapsed="false">
      <c r="A3919" s="3" t="s">
        <v>415</v>
      </c>
      <c r="B3919" s="4" t="s">
        <v>12</v>
      </c>
      <c r="C3919" s="4" t="n">
        <v>6</v>
      </c>
      <c r="D3919" s="4" t="s">
        <v>27</v>
      </c>
      <c r="E3919" s="3" t="s">
        <v>387</v>
      </c>
      <c r="F3919" s="4" t="str">
        <f aca="false">IF(I3919&gt;J3919,"Y","N")</f>
        <v>N</v>
      </c>
      <c r="G3919" s="3" t="s">
        <v>388</v>
      </c>
      <c r="H3919" s="3" t="s">
        <v>42</v>
      </c>
      <c r="I3919" s="4" t="n">
        <v>2</v>
      </c>
      <c r="J3919" s="4" t="n">
        <f aca="false">LEN(E3919)-LEN(SUBSTITUTE(E3919,",",""))+1</f>
        <v>2</v>
      </c>
      <c r="K3919" s="3" t="str">
        <f aca="false">IFERROR(INDEX('Teacher Lookup'!$B$2:$B$200,MATCH(A3919,'Teacher Lookup'!$A$2:$A$200,0)),"")</f>
        <v>LEE Feliz</v>
      </c>
    </row>
    <row r="3920" customFormat="false" ht="15" hidden="false" customHeight="false" outlineLevel="0" collapsed="false">
      <c r="A3920" s="3" t="s">
        <v>415</v>
      </c>
      <c r="B3920" s="4" t="s">
        <v>12</v>
      </c>
      <c r="C3920" s="4" t="n">
        <v>6</v>
      </c>
      <c r="D3920" s="4" t="s">
        <v>28</v>
      </c>
      <c r="E3920" s="3" t="s">
        <v>387</v>
      </c>
      <c r="F3920" s="4" t="str">
        <f aca="false">IF(I3920&gt;J3920,"Y","N")</f>
        <v>N</v>
      </c>
      <c r="G3920" s="3" t="s">
        <v>388</v>
      </c>
      <c r="H3920" s="3" t="s">
        <v>42</v>
      </c>
      <c r="I3920" s="4" t="n">
        <v>2</v>
      </c>
      <c r="J3920" s="4" t="n">
        <f aca="false">LEN(E3920)-LEN(SUBSTITUTE(E3920,",",""))+1</f>
        <v>2</v>
      </c>
      <c r="K3920" s="3" t="str">
        <f aca="false">IFERROR(INDEX('Teacher Lookup'!$B$2:$B$200,MATCH(A3920,'Teacher Lookup'!$A$2:$A$200,0)),"")</f>
        <v>LEE Feliz</v>
      </c>
    </row>
    <row r="3921" customFormat="false" ht="15" hidden="false" customHeight="false" outlineLevel="0" collapsed="false">
      <c r="A3921" s="3" t="s">
        <v>415</v>
      </c>
      <c r="B3921" s="4" t="s">
        <v>12</v>
      </c>
      <c r="C3921" s="4" t="n">
        <v>7</v>
      </c>
      <c r="D3921" s="4" t="s">
        <v>27</v>
      </c>
      <c r="E3921" s="3" t="s">
        <v>387</v>
      </c>
      <c r="F3921" s="4" t="str">
        <f aca="false">IF(I3921&gt;J3921,"Y","N")</f>
        <v>N</v>
      </c>
      <c r="G3921" s="3" t="s">
        <v>388</v>
      </c>
      <c r="H3921" s="3" t="s">
        <v>39</v>
      </c>
      <c r="I3921" s="4" t="n">
        <v>2</v>
      </c>
      <c r="J3921" s="4" t="n">
        <f aca="false">LEN(E3921)-LEN(SUBSTITUTE(E3921,",",""))+1</f>
        <v>2</v>
      </c>
      <c r="K3921" s="3" t="str">
        <f aca="false">IFERROR(INDEX('Teacher Lookup'!$B$2:$B$200,MATCH(A3921,'Teacher Lookup'!$A$2:$A$200,0)),"")</f>
        <v>LEE Feliz</v>
      </c>
    </row>
    <row r="3922" customFormat="false" ht="15" hidden="false" customHeight="false" outlineLevel="0" collapsed="false">
      <c r="A3922" s="3" t="s">
        <v>415</v>
      </c>
      <c r="B3922" s="4" t="s">
        <v>12</v>
      </c>
      <c r="C3922" s="4" t="n">
        <v>7</v>
      </c>
      <c r="D3922" s="4" t="s">
        <v>28</v>
      </c>
      <c r="E3922" s="3" t="s">
        <v>387</v>
      </c>
      <c r="F3922" s="4" t="str">
        <f aca="false">IF(I3922&gt;J3922,"Y","N")</f>
        <v>N</v>
      </c>
      <c r="G3922" s="3" t="s">
        <v>388</v>
      </c>
      <c r="H3922" s="3" t="s">
        <v>39</v>
      </c>
      <c r="I3922" s="4" t="n">
        <v>2</v>
      </c>
      <c r="J3922" s="4" t="n">
        <f aca="false">LEN(E3922)-LEN(SUBSTITUTE(E3922,",",""))+1</f>
        <v>2</v>
      </c>
      <c r="K3922" s="3" t="str">
        <f aca="false">IFERROR(INDEX('Teacher Lookup'!$B$2:$B$200,MATCH(A3922,'Teacher Lookup'!$A$2:$A$200,0)),"")</f>
        <v>LEE Feliz</v>
      </c>
    </row>
    <row r="3923" customFormat="false" ht="15" hidden="false" customHeight="false" outlineLevel="0" collapsed="false">
      <c r="A3923" s="3" t="s">
        <v>415</v>
      </c>
      <c r="B3923" s="4" t="s">
        <v>31</v>
      </c>
      <c r="C3923" s="4" t="n">
        <v>1</v>
      </c>
      <c r="D3923" s="4" t="s">
        <v>74</v>
      </c>
      <c r="E3923" s="3" t="s">
        <v>387</v>
      </c>
      <c r="F3923" s="4" t="str">
        <f aca="false">IF(I3923&gt;J3923,"Y","N")</f>
        <v>N</v>
      </c>
      <c r="G3923" s="3" t="s">
        <v>388</v>
      </c>
      <c r="H3923" s="3" t="s">
        <v>16</v>
      </c>
      <c r="I3923" s="4" t="n">
        <v>2</v>
      </c>
      <c r="J3923" s="4" t="n">
        <f aca="false">LEN(E3923)-LEN(SUBSTITUTE(E3923,",",""))+1</f>
        <v>2</v>
      </c>
      <c r="K3923" s="3" t="str">
        <f aca="false">IFERROR(INDEX('Teacher Lookup'!$B$2:$B$200,MATCH(A3923,'Teacher Lookup'!$A$2:$A$200,0)),"")</f>
        <v>LEE Feliz</v>
      </c>
    </row>
    <row r="3924" customFormat="false" ht="15" hidden="false" customHeight="false" outlineLevel="0" collapsed="false">
      <c r="A3924" s="3" t="s">
        <v>415</v>
      </c>
      <c r="B3924" s="4" t="s">
        <v>31</v>
      </c>
      <c r="C3924" s="4" t="n">
        <v>1</v>
      </c>
      <c r="D3924" s="4" t="s">
        <v>79</v>
      </c>
      <c r="E3924" s="3" t="s">
        <v>387</v>
      </c>
      <c r="F3924" s="4" t="str">
        <f aca="false">IF(I3924&gt;J3924,"Y","N")</f>
        <v>N</v>
      </c>
      <c r="G3924" s="3" t="s">
        <v>388</v>
      </c>
      <c r="H3924" s="3" t="s">
        <v>16</v>
      </c>
      <c r="I3924" s="4" t="n">
        <v>2</v>
      </c>
      <c r="J3924" s="4" t="n">
        <f aca="false">LEN(E3924)-LEN(SUBSTITUTE(E3924,",",""))+1</f>
        <v>2</v>
      </c>
      <c r="K3924" s="3" t="str">
        <f aca="false">IFERROR(INDEX('Teacher Lookup'!$B$2:$B$200,MATCH(A3924,'Teacher Lookup'!$A$2:$A$200,0)),"")</f>
        <v>LEE Feliz</v>
      </c>
    </row>
    <row r="3925" customFormat="false" ht="15" hidden="false" customHeight="false" outlineLevel="0" collapsed="false">
      <c r="A3925" s="3" t="s">
        <v>415</v>
      </c>
      <c r="B3925" s="4" t="s">
        <v>31</v>
      </c>
      <c r="C3925" s="4" t="n">
        <v>2</v>
      </c>
      <c r="D3925" s="4" t="s">
        <v>74</v>
      </c>
      <c r="E3925" s="3" t="s">
        <v>387</v>
      </c>
      <c r="F3925" s="4" t="str">
        <f aca="false">IF(I3925&gt;J3925,"Y","N")</f>
        <v>N</v>
      </c>
      <c r="G3925" s="3" t="s">
        <v>388</v>
      </c>
      <c r="H3925" s="3" t="s">
        <v>21</v>
      </c>
      <c r="I3925" s="4" t="n">
        <v>2</v>
      </c>
      <c r="J3925" s="4" t="n">
        <f aca="false">LEN(E3925)-LEN(SUBSTITUTE(E3925,",",""))+1</f>
        <v>2</v>
      </c>
      <c r="K3925" s="3" t="str">
        <f aca="false">IFERROR(INDEX('Teacher Lookup'!$B$2:$B$200,MATCH(A3925,'Teacher Lookup'!$A$2:$A$200,0)),"")</f>
        <v>LEE Feliz</v>
      </c>
    </row>
    <row r="3926" customFormat="false" ht="15" hidden="false" customHeight="false" outlineLevel="0" collapsed="false">
      <c r="A3926" s="3" t="s">
        <v>415</v>
      </c>
      <c r="B3926" s="4" t="s">
        <v>31</v>
      </c>
      <c r="C3926" s="4" t="n">
        <v>2</v>
      </c>
      <c r="D3926" s="4" t="s">
        <v>79</v>
      </c>
      <c r="E3926" s="3" t="s">
        <v>387</v>
      </c>
      <c r="F3926" s="4" t="str">
        <f aca="false">IF(I3926&gt;J3926,"Y","N")</f>
        <v>N</v>
      </c>
      <c r="G3926" s="3" t="s">
        <v>388</v>
      </c>
      <c r="H3926" s="3" t="s">
        <v>21</v>
      </c>
      <c r="I3926" s="4" t="n">
        <v>2</v>
      </c>
      <c r="J3926" s="4" t="n">
        <f aca="false">LEN(E3926)-LEN(SUBSTITUTE(E3926,",",""))+1</f>
        <v>2</v>
      </c>
      <c r="K3926" s="3" t="str">
        <f aca="false">IFERROR(INDEX('Teacher Lookup'!$B$2:$B$200,MATCH(A3926,'Teacher Lookup'!$A$2:$A$200,0)),"")</f>
        <v>LEE Feliz</v>
      </c>
    </row>
    <row r="3927" customFormat="false" ht="15" hidden="false" customHeight="false" outlineLevel="0" collapsed="false">
      <c r="A3927" s="3" t="s">
        <v>415</v>
      </c>
      <c r="B3927" s="4" t="s">
        <v>31</v>
      </c>
      <c r="C3927" s="4" t="n">
        <v>5</v>
      </c>
      <c r="D3927" s="4" t="s">
        <v>70</v>
      </c>
      <c r="E3927" s="3" t="s">
        <v>81</v>
      </c>
      <c r="F3927" s="4" t="str">
        <f aca="false">IF(I3927&gt;J3927,"Y","N")</f>
        <v>Y</v>
      </c>
      <c r="G3927" s="3" t="s">
        <v>36</v>
      </c>
      <c r="H3927" s="3" t="s">
        <v>37</v>
      </c>
      <c r="I3927" s="4" t="n">
        <v>15</v>
      </c>
      <c r="J3927" s="4" t="n">
        <f aca="false">LEN(E3927)-LEN(SUBSTITUTE(E3927,",",""))+1</f>
        <v>7</v>
      </c>
      <c r="K3927" s="3" t="str">
        <f aca="false">IFERROR(INDEX('Teacher Lookup'!$B$2:$B$200,MATCH(A3927,'Teacher Lookup'!$A$2:$A$200,0)),"")</f>
        <v>LEE Feliz</v>
      </c>
    </row>
    <row r="3928" customFormat="false" ht="15" hidden="false" customHeight="false" outlineLevel="0" collapsed="false">
      <c r="A3928" s="3" t="s">
        <v>415</v>
      </c>
      <c r="B3928" s="4" t="s">
        <v>31</v>
      </c>
      <c r="C3928" s="4" t="n">
        <v>5</v>
      </c>
      <c r="D3928" s="4" t="s">
        <v>73</v>
      </c>
      <c r="E3928" s="3" t="s">
        <v>81</v>
      </c>
      <c r="F3928" s="4" t="str">
        <f aca="false">IF(I3928&gt;J3928,"Y","N")</f>
        <v>Y</v>
      </c>
      <c r="G3928" s="3" t="s">
        <v>36</v>
      </c>
      <c r="H3928" s="3" t="s">
        <v>37</v>
      </c>
      <c r="I3928" s="4" t="n">
        <v>15</v>
      </c>
      <c r="J3928" s="4" t="n">
        <f aca="false">LEN(E3928)-LEN(SUBSTITUTE(E3928,",",""))+1</f>
        <v>7</v>
      </c>
      <c r="K3928" s="3" t="str">
        <f aca="false">IFERROR(INDEX('Teacher Lookup'!$B$2:$B$200,MATCH(A3928,'Teacher Lookup'!$A$2:$A$200,0)),"")</f>
        <v>LEE Feliz</v>
      </c>
    </row>
    <row r="3929" customFormat="false" ht="15" hidden="false" customHeight="false" outlineLevel="0" collapsed="false">
      <c r="A3929" s="3" t="s">
        <v>415</v>
      </c>
      <c r="B3929" s="4" t="s">
        <v>31</v>
      </c>
      <c r="C3929" s="4" t="n">
        <v>5</v>
      </c>
      <c r="D3929" s="4" t="s">
        <v>74</v>
      </c>
      <c r="E3929" s="3" t="s">
        <v>81</v>
      </c>
      <c r="F3929" s="4" t="str">
        <f aca="false">IF(I3929&gt;J3929,"Y","N")</f>
        <v>Y</v>
      </c>
      <c r="G3929" s="3" t="s">
        <v>36</v>
      </c>
      <c r="H3929" s="3" t="s">
        <v>37</v>
      </c>
      <c r="I3929" s="4" t="n">
        <v>15</v>
      </c>
      <c r="J3929" s="4" t="n">
        <f aca="false">LEN(E3929)-LEN(SUBSTITUTE(E3929,",",""))+1</f>
        <v>7</v>
      </c>
      <c r="K3929" s="3" t="str">
        <f aca="false">IFERROR(INDEX('Teacher Lookup'!$B$2:$B$200,MATCH(A3929,'Teacher Lookup'!$A$2:$A$200,0)),"")</f>
        <v>LEE Feliz</v>
      </c>
    </row>
    <row r="3930" customFormat="false" ht="15" hidden="false" customHeight="false" outlineLevel="0" collapsed="false">
      <c r="A3930" s="3" t="s">
        <v>415</v>
      </c>
      <c r="B3930" s="4" t="s">
        <v>31</v>
      </c>
      <c r="C3930" s="4" t="n">
        <v>5</v>
      </c>
      <c r="D3930" s="4" t="s">
        <v>76</v>
      </c>
      <c r="E3930" s="3" t="s">
        <v>81</v>
      </c>
      <c r="F3930" s="4" t="str">
        <f aca="false">IF(I3930&gt;J3930,"Y","N")</f>
        <v>Y</v>
      </c>
      <c r="G3930" s="3" t="s">
        <v>36</v>
      </c>
      <c r="H3930" s="3" t="s">
        <v>37</v>
      </c>
      <c r="I3930" s="4" t="n">
        <v>15</v>
      </c>
      <c r="J3930" s="4" t="n">
        <f aca="false">LEN(E3930)-LEN(SUBSTITUTE(E3930,",",""))+1</f>
        <v>7</v>
      </c>
      <c r="K3930" s="3" t="str">
        <f aca="false">IFERROR(INDEX('Teacher Lookup'!$B$2:$B$200,MATCH(A3930,'Teacher Lookup'!$A$2:$A$200,0)),"")</f>
        <v>LEE Feliz</v>
      </c>
    </row>
    <row r="3931" customFormat="false" ht="15" hidden="false" customHeight="false" outlineLevel="0" collapsed="false">
      <c r="A3931" s="3" t="s">
        <v>415</v>
      </c>
      <c r="B3931" s="4" t="s">
        <v>31</v>
      </c>
      <c r="C3931" s="4" t="n">
        <v>5</v>
      </c>
      <c r="D3931" s="4" t="s">
        <v>78</v>
      </c>
      <c r="E3931" s="3" t="s">
        <v>81</v>
      </c>
      <c r="F3931" s="4" t="str">
        <f aca="false">IF(I3931&gt;J3931,"Y","N")</f>
        <v>Y</v>
      </c>
      <c r="G3931" s="3" t="s">
        <v>36</v>
      </c>
      <c r="H3931" s="3" t="s">
        <v>37</v>
      </c>
      <c r="I3931" s="4" t="n">
        <v>15</v>
      </c>
      <c r="J3931" s="4" t="n">
        <f aca="false">LEN(E3931)-LEN(SUBSTITUTE(E3931,",",""))+1</f>
        <v>7</v>
      </c>
      <c r="K3931" s="3" t="str">
        <f aca="false">IFERROR(INDEX('Teacher Lookup'!$B$2:$B$200,MATCH(A3931,'Teacher Lookup'!$A$2:$A$200,0)),"")</f>
        <v>LEE Feliz</v>
      </c>
    </row>
    <row r="3932" customFormat="false" ht="15" hidden="false" customHeight="false" outlineLevel="0" collapsed="false">
      <c r="A3932" s="3" t="s">
        <v>415</v>
      </c>
      <c r="B3932" s="4" t="s">
        <v>31</v>
      </c>
      <c r="C3932" s="4" t="n">
        <v>5</v>
      </c>
      <c r="D3932" s="4" t="s">
        <v>79</v>
      </c>
      <c r="E3932" s="3" t="s">
        <v>81</v>
      </c>
      <c r="F3932" s="4" t="str">
        <f aca="false">IF(I3932&gt;J3932,"Y","N")</f>
        <v>Y</v>
      </c>
      <c r="G3932" s="3" t="s">
        <v>36</v>
      </c>
      <c r="H3932" s="3" t="s">
        <v>37</v>
      </c>
      <c r="I3932" s="4" t="n">
        <v>15</v>
      </c>
      <c r="J3932" s="4" t="n">
        <f aca="false">LEN(E3932)-LEN(SUBSTITUTE(E3932,",",""))+1</f>
        <v>7</v>
      </c>
      <c r="K3932" s="3" t="str">
        <f aca="false">IFERROR(INDEX('Teacher Lookup'!$B$2:$B$200,MATCH(A3932,'Teacher Lookup'!$A$2:$A$200,0)),"")</f>
        <v>LEE Feliz</v>
      </c>
    </row>
    <row r="3933" customFormat="false" ht="15" hidden="false" customHeight="false" outlineLevel="0" collapsed="false">
      <c r="A3933" s="3" t="s">
        <v>415</v>
      </c>
      <c r="B3933" s="4" t="s">
        <v>31</v>
      </c>
      <c r="C3933" s="4" t="n">
        <v>6</v>
      </c>
      <c r="D3933" s="4" t="s">
        <v>105</v>
      </c>
      <c r="E3933" s="3" t="s">
        <v>387</v>
      </c>
      <c r="F3933" s="4" t="str">
        <f aca="false">IF(I3933&gt;J3933,"Y","N")</f>
        <v>N</v>
      </c>
      <c r="G3933" s="3" t="s">
        <v>388</v>
      </c>
      <c r="H3933" s="3" t="s">
        <v>42</v>
      </c>
      <c r="I3933" s="4" t="n">
        <v>2</v>
      </c>
      <c r="J3933" s="4" t="n">
        <f aca="false">LEN(E3933)-LEN(SUBSTITUTE(E3933,",",""))+1</f>
        <v>2</v>
      </c>
      <c r="K3933" s="3" t="str">
        <f aca="false">IFERROR(INDEX('Teacher Lookup'!$B$2:$B$200,MATCH(A3933,'Teacher Lookup'!$A$2:$A$200,0)),"")</f>
        <v>LEE Feliz</v>
      </c>
    </row>
    <row r="3934" customFormat="false" ht="15" hidden="false" customHeight="false" outlineLevel="0" collapsed="false">
      <c r="A3934" s="3" t="s">
        <v>415</v>
      </c>
      <c r="B3934" s="4" t="s">
        <v>31</v>
      </c>
      <c r="C3934" s="4" t="n">
        <v>6</v>
      </c>
      <c r="D3934" s="4" t="s">
        <v>106</v>
      </c>
      <c r="E3934" s="3" t="s">
        <v>387</v>
      </c>
      <c r="F3934" s="4" t="str">
        <f aca="false">IF(I3934&gt;J3934,"Y","N")</f>
        <v>N</v>
      </c>
      <c r="G3934" s="3" t="s">
        <v>388</v>
      </c>
      <c r="H3934" s="3" t="s">
        <v>42</v>
      </c>
      <c r="I3934" s="4" t="n">
        <v>2</v>
      </c>
      <c r="J3934" s="4" t="n">
        <f aca="false">LEN(E3934)-LEN(SUBSTITUTE(E3934,",",""))+1</f>
        <v>2</v>
      </c>
      <c r="K3934" s="3" t="str">
        <f aca="false">IFERROR(INDEX('Teacher Lookup'!$B$2:$B$200,MATCH(A3934,'Teacher Lookup'!$A$2:$A$200,0)),"")</f>
        <v>LEE Feliz</v>
      </c>
    </row>
    <row r="3935" customFormat="false" ht="15" hidden="false" customHeight="false" outlineLevel="0" collapsed="false">
      <c r="A3935" s="3" t="s">
        <v>415</v>
      </c>
      <c r="B3935" s="4" t="s">
        <v>31</v>
      </c>
      <c r="C3935" s="4" t="n">
        <v>7</v>
      </c>
      <c r="D3935" s="4" t="s">
        <v>105</v>
      </c>
      <c r="E3935" s="3" t="s">
        <v>387</v>
      </c>
      <c r="F3935" s="4" t="str">
        <f aca="false">IF(I3935&gt;J3935,"Y","N")</f>
        <v>N</v>
      </c>
      <c r="G3935" s="3" t="s">
        <v>388</v>
      </c>
      <c r="H3935" s="3" t="s">
        <v>39</v>
      </c>
      <c r="I3935" s="4" t="n">
        <v>2</v>
      </c>
      <c r="J3935" s="4" t="n">
        <f aca="false">LEN(E3935)-LEN(SUBSTITUTE(E3935,",",""))+1</f>
        <v>2</v>
      </c>
      <c r="K3935" s="3" t="str">
        <f aca="false">IFERROR(INDEX('Teacher Lookup'!$B$2:$B$200,MATCH(A3935,'Teacher Lookup'!$A$2:$A$200,0)),"")</f>
        <v>LEE Feliz</v>
      </c>
    </row>
    <row r="3936" customFormat="false" ht="15" hidden="false" customHeight="false" outlineLevel="0" collapsed="false">
      <c r="A3936" s="3" t="s">
        <v>415</v>
      </c>
      <c r="B3936" s="4" t="s">
        <v>31</v>
      </c>
      <c r="C3936" s="4" t="n">
        <v>7</v>
      </c>
      <c r="D3936" s="4" t="s">
        <v>106</v>
      </c>
      <c r="E3936" s="3" t="s">
        <v>387</v>
      </c>
      <c r="F3936" s="4" t="str">
        <f aca="false">IF(I3936&gt;J3936,"Y","N")</f>
        <v>N</v>
      </c>
      <c r="G3936" s="3" t="s">
        <v>388</v>
      </c>
      <c r="H3936" s="3" t="s">
        <v>39</v>
      </c>
      <c r="I3936" s="4" t="n">
        <v>2</v>
      </c>
      <c r="J3936" s="4" t="n">
        <f aca="false">LEN(E3936)-LEN(SUBSTITUTE(E3936,",",""))+1</f>
        <v>2</v>
      </c>
      <c r="K3936" s="3" t="str">
        <f aca="false">IFERROR(INDEX('Teacher Lookup'!$B$2:$B$200,MATCH(A3936,'Teacher Lookup'!$A$2:$A$200,0)),"")</f>
        <v>LEE Feliz</v>
      </c>
    </row>
    <row r="3937" customFormat="false" ht="15" hidden="false" customHeight="false" outlineLevel="0" collapsed="false">
      <c r="A3937" s="3" t="s">
        <v>415</v>
      </c>
      <c r="B3937" s="4" t="s">
        <v>40</v>
      </c>
      <c r="C3937" s="4" t="n">
        <v>3</v>
      </c>
      <c r="D3937" s="4" t="s">
        <v>56</v>
      </c>
      <c r="E3937" s="3" t="s">
        <v>387</v>
      </c>
      <c r="F3937" s="4" t="str">
        <f aca="false">IF(I3937&gt;J3937,"Y","N")</f>
        <v>N</v>
      </c>
      <c r="G3937" s="3" t="s">
        <v>388</v>
      </c>
      <c r="H3937" s="3" t="s">
        <v>26</v>
      </c>
      <c r="I3937" s="4" t="n">
        <v>2</v>
      </c>
      <c r="J3937" s="4" t="n">
        <f aca="false">LEN(E3937)-LEN(SUBSTITUTE(E3937,",",""))+1</f>
        <v>2</v>
      </c>
      <c r="K3937" s="3" t="str">
        <f aca="false">IFERROR(INDEX('Teacher Lookup'!$B$2:$B$200,MATCH(A3937,'Teacher Lookup'!$A$2:$A$200,0)),"")</f>
        <v>LEE Feliz</v>
      </c>
    </row>
    <row r="3938" customFormat="false" ht="15" hidden="false" customHeight="false" outlineLevel="0" collapsed="false">
      <c r="A3938" s="3" t="s">
        <v>415</v>
      </c>
      <c r="B3938" s="4" t="s">
        <v>40</v>
      </c>
      <c r="C3938" s="4" t="n">
        <v>3</v>
      </c>
      <c r="D3938" s="4" t="s">
        <v>59</v>
      </c>
      <c r="E3938" s="3" t="s">
        <v>387</v>
      </c>
      <c r="F3938" s="4" t="str">
        <f aca="false">IF(I3938&gt;J3938,"Y","N")</f>
        <v>N</v>
      </c>
      <c r="G3938" s="3" t="s">
        <v>388</v>
      </c>
      <c r="H3938" s="3" t="s">
        <v>26</v>
      </c>
      <c r="I3938" s="4" t="n">
        <v>2</v>
      </c>
      <c r="J3938" s="4" t="n">
        <f aca="false">LEN(E3938)-LEN(SUBSTITUTE(E3938,",",""))+1</f>
        <v>2</v>
      </c>
      <c r="K3938" s="3" t="str">
        <f aca="false">IFERROR(INDEX('Teacher Lookup'!$B$2:$B$200,MATCH(A3938,'Teacher Lookup'!$A$2:$A$200,0)),"")</f>
        <v>LEE Feliz</v>
      </c>
    </row>
    <row r="3939" customFormat="false" ht="15" hidden="false" customHeight="false" outlineLevel="0" collapsed="false">
      <c r="A3939" s="3" t="s">
        <v>415</v>
      </c>
      <c r="B3939" s="4" t="s">
        <v>40</v>
      </c>
      <c r="C3939" s="4" t="n">
        <v>4</v>
      </c>
      <c r="D3939" s="4" t="s">
        <v>56</v>
      </c>
      <c r="E3939" s="3" t="s">
        <v>387</v>
      </c>
      <c r="F3939" s="4" t="str">
        <f aca="false">IF(I3939&gt;J3939,"Y","N")</f>
        <v>N</v>
      </c>
      <c r="G3939" s="3" t="s">
        <v>388</v>
      </c>
      <c r="H3939" s="3" t="s">
        <v>34</v>
      </c>
      <c r="I3939" s="4" t="n">
        <v>2</v>
      </c>
      <c r="J3939" s="4" t="n">
        <f aca="false">LEN(E3939)-LEN(SUBSTITUTE(E3939,",",""))+1</f>
        <v>2</v>
      </c>
      <c r="K3939" s="3" t="str">
        <f aca="false">IFERROR(INDEX('Teacher Lookup'!$B$2:$B$200,MATCH(A3939,'Teacher Lookup'!$A$2:$A$200,0)),"")</f>
        <v>LEE Feliz</v>
      </c>
    </row>
    <row r="3940" customFormat="false" ht="15" hidden="false" customHeight="false" outlineLevel="0" collapsed="false">
      <c r="A3940" s="3" t="s">
        <v>415</v>
      </c>
      <c r="B3940" s="4" t="s">
        <v>40</v>
      </c>
      <c r="C3940" s="4" t="n">
        <v>4</v>
      </c>
      <c r="D3940" s="4" t="s">
        <v>59</v>
      </c>
      <c r="E3940" s="3" t="s">
        <v>387</v>
      </c>
      <c r="F3940" s="4" t="str">
        <f aca="false">IF(I3940&gt;J3940,"Y","N")</f>
        <v>N</v>
      </c>
      <c r="G3940" s="3" t="s">
        <v>388</v>
      </c>
      <c r="H3940" s="3" t="s">
        <v>34</v>
      </c>
      <c r="I3940" s="4" t="n">
        <v>2</v>
      </c>
      <c r="J3940" s="4" t="n">
        <f aca="false">LEN(E3940)-LEN(SUBSTITUTE(E3940,",",""))+1</f>
        <v>2</v>
      </c>
      <c r="K3940" s="3" t="str">
        <f aca="false">IFERROR(INDEX('Teacher Lookup'!$B$2:$B$200,MATCH(A3940,'Teacher Lookup'!$A$2:$A$200,0)),"")</f>
        <v>LEE Feliz</v>
      </c>
    </row>
    <row r="3941" customFormat="false" ht="15" hidden="false" customHeight="false" outlineLevel="0" collapsed="false">
      <c r="A3941" s="3" t="s">
        <v>415</v>
      </c>
      <c r="B3941" s="4" t="s">
        <v>40</v>
      </c>
      <c r="C3941" s="4" t="n">
        <v>5</v>
      </c>
      <c r="D3941" s="4" t="s">
        <v>13</v>
      </c>
      <c r="E3941" s="3" t="s">
        <v>387</v>
      </c>
      <c r="F3941" s="4" t="str">
        <f aca="false">IF(I3941&gt;J3941,"Y","N")</f>
        <v>N</v>
      </c>
      <c r="G3941" s="3" t="s">
        <v>388</v>
      </c>
      <c r="H3941" s="3" t="s">
        <v>37</v>
      </c>
      <c r="I3941" s="4" t="n">
        <v>2</v>
      </c>
      <c r="J3941" s="4" t="n">
        <f aca="false">LEN(E3941)-LEN(SUBSTITUTE(E3941,",",""))+1</f>
        <v>2</v>
      </c>
      <c r="K3941" s="3" t="str">
        <f aca="false">IFERROR(INDEX('Teacher Lookup'!$B$2:$B$200,MATCH(A3941,'Teacher Lookup'!$A$2:$A$200,0)),"")</f>
        <v>LEE Feliz</v>
      </c>
    </row>
    <row r="3942" customFormat="false" ht="15" hidden="false" customHeight="false" outlineLevel="0" collapsed="false">
      <c r="A3942" s="3" t="s">
        <v>415</v>
      </c>
      <c r="B3942" s="4" t="s">
        <v>40</v>
      </c>
      <c r="C3942" s="4" t="n">
        <v>5</v>
      </c>
      <c r="D3942" s="4" t="s">
        <v>17</v>
      </c>
      <c r="E3942" s="3" t="s">
        <v>387</v>
      </c>
      <c r="F3942" s="4" t="str">
        <f aca="false">IF(I3942&gt;J3942,"Y","N")</f>
        <v>N</v>
      </c>
      <c r="G3942" s="3" t="s">
        <v>388</v>
      </c>
      <c r="H3942" s="3" t="s">
        <v>37</v>
      </c>
      <c r="I3942" s="4" t="n">
        <v>2</v>
      </c>
      <c r="J3942" s="4" t="n">
        <f aca="false">LEN(E3942)-LEN(SUBSTITUTE(E3942,",",""))+1</f>
        <v>2</v>
      </c>
      <c r="K3942" s="3" t="str">
        <f aca="false">IFERROR(INDEX('Teacher Lookup'!$B$2:$B$200,MATCH(A3942,'Teacher Lookup'!$A$2:$A$200,0)),"")</f>
        <v>LEE Feliz</v>
      </c>
    </row>
    <row r="3943" customFormat="false" ht="15" hidden="false" customHeight="false" outlineLevel="0" collapsed="false">
      <c r="A3943" s="3" t="s">
        <v>415</v>
      </c>
      <c r="B3943" s="4" t="s">
        <v>40</v>
      </c>
      <c r="C3943" s="4" t="n">
        <v>6</v>
      </c>
      <c r="D3943" s="4" t="s">
        <v>76</v>
      </c>
      <c r="E3943" s="3" t="s">
        <v>387</v>
      </c>
      <c r="F3943" s="4" t="str">
        <f aca="false">IF(I3943&gt;J3943,"Y","N")</f>
        <v>N</v>
      </c>
      <c r="G3943" s="3" t="s">
        <v>388</v>
      </c>
      <c r="H3943" s="3" t="s">
        <v>42</v>
      </c>
      <c r="I3943" s="4" t="n">
        <v>2</v>
      </c>
      <c r="J3943" s="4" t="n">
        <f aca="false">LEN(E3943)-LEN(SUBSTITUTE(E3943,",",""))+1</f>
        <v>2</v>
      </c>
      <c r="K3943" s="3" t="str">
        <f aca="false">IFERROR(INDEX('Teacher Lookup'!$B$2:$B$200,MATCH(A3943,'Teacher Lookup'!$A$2:$A$200,0)),"")</f>
        <v>LEE Feliz</v>
      </c>
    </row>
    <row r="3944" customFormat="false" ht="15" hidden="false" customHeight="false" outlineLevel="0" collapsed="false">
      <c r="A3944" s="3" t="s">
        <v>415</v>
      </c>
      <c r="B3944" s="4" t="s">
        <v>40</v>
      </c>
      <c r="C3944" s="4" t="n">
        <v>6</v>
      </c>
      <c r="D3944" s="4" t="s">
        <v>78</v>
      </c>
      <c r="E3944" s="3" t="s">
        <v>387</v>
      </c>
      <c r="F3944" s="4" t="str">
        <f aca="false">IF(I3944&gt;J3944,"Y","N")</f>
        <v>N</v>
      </c>
      <c r="G3944" s="3" t="s">
        <v>388</v>
      </c>
      <c r="H3944" s="3" t="s">
        <v>42</v>
      </c>
      <c r="I3944" s="4" t="n">
        <v>2</v>
      </c>
      <c r="J3944" s="4" t="n">
        <f aca="false">LEN(E3944)-LEN(SUBSTITUTE(E3944,",",""))+1</f>
        <v>2</v>
      </c>
      <c r="K3944" s="3" t="str">
        <f aca="false">IFERROR(INDEX('Teacher Lookup'!$B$2:$B$200,MATCH(A3944,'Teacher Lookup'!$A$2:$A$200,0)),"")</f>
        <v>LEE Feliz</v>
      </c>
    </row>
    <row r="3945" customFormat="false" ht="15" hidden="false" customHeight="false" outlineLevel="0" collapsed="false">
      <c r="A3945" s="3" t="s">
        <v>415</v>
      </c>
      <c r="B3945" s="4" t="s">
        <v>40</v>
      </c>
      <c r="C3945" s="4" t="n">
        <v>7</v>
      </c>
      <c r="D3945" s="4" t="s">
        <v>76</v>
      </c>
      <c r="E3945" s="3" t="s">
        <v>387</v>
      </c>
      <c r="F3945" s="4" t="str">
        <f aca="false">IF(I3945&gt;J3945,"Y","N")</f>
        <v>N</v>
      </c>
      <c r="G3945" s="3" t="s">
        <v>388</v>
      </c>
      <c r="H3945" s="3" t="s">
        <v>39</v>
      </c>
      <c r="I3945" s="4" t="n">
        <v>2</v>
      </c>
      <c r="J3945" s="4" t="n">
        <f aca="false">LEN(E3945)-LEN(SUBSTITUTE(E3945,",",""))+1</f>
        <v>2</v>
      </c>
      <c r="K3945" s="3" t="str">
        <f aca="false">IFERROR(INDEX('Teacher Lookup'!$B$2:$B$200,MATCH(A3945,'Teacher Lookup'!$A$2:$A$200,0)),"")</f>
        <v>LEE Feliz</v>
      </c>
    </row>
    <row r="3946" customFormat="false" ht="15" hidden="false" customHeight="false" outlineLevel="0" collapsed="false">
      <c r="A3946" s="3" t="s">
        <v>415</v>
      </c>
      <c r="B3946" s="4" t="s">
        <v>40</v>
      </c>
      <c r="C3946" s="4" t="n">
        <v>7</v>
      </c>
      <c r="D3946" s="4" t="s">
        <v>78</v>
      </c>
      <c r="E3946" s="3" t="s">
        <v>387</v>
      </c>
      <c r="F3946" s="4" t="str">
        <f aca="false">IF(I3946&gt;J3946,"Y","N")</f>
        <v>N</v>
      </c>
      <c r="G3946" s="3" t="s">
        <v>388</v>
      </c>
      <c r="H3946" s="3" t="s">
        <v>39</v>
      </c>
      <c r="I3946" s="4" t="n">
        <v>2</v>
      </c>
      <c r="J3946" s="4" t="n">
        <f aca="false">LEN(E3946)-LEN(SUBSTITUTE(E3946,",",""))+1</f>
        <v>2</v>
      </c>
      <c r="K3946" s="3" t="str">
        <f aca="false">IFERROR(INDEX('Teacher Lookup'!$B$2:$B$200,MATCH(A3946,'Teacher Lookup'!$A$2:$A$200,0)),"")</f>
        <v>LEE Feliz</v>
      </c>
    </row>
    <row r="3947" customFormat="false" ht="15" hidden="false" customHeight="false" outlineLevel="0" collapsed="false">
      <c r="A3947" s="3" t="s">
        <v>415</v>
      </c>
      <c r="B3947" s="4" t="s">
        <v>44</v>
      </c>
      <c r="C3947" s="4" t="n">
        <v>3</v>
      </c>
      <c r="D3947" s="4" t="s">
        <v>24</v>
      </c>
      <c r="E3947" s="3" t="s">
        <v>416</v>
      </c>
      <c r="F3947" s="4" t="str">
        <f aca="false">IF(I3947&gt;J3947,"Y","N")</f>
        <v>Y</v>
      </c>
      <c r="G3947" s="3" t="s">
        <v>388</v>
      </c>
      <c r="H3947" s="3" t="s">
        <v>26</v>
      </c>
      <c r="I3947" s="4" t="n">
        <v>2</v>
      </c>
      <c r="J3947" s="4" t="n">
        <f aca="false">LEN(E3947)-LEN(SUBSTITUTE(E3947,",",""))+1</f>
        <v>1</v>
      </c>
      <c r="K3947" s="3" t="str">
        <f aca="false">IFERROR(INDEX('Teacher Lookup'!$B$2:$B$200,MATCH(A3947,'Teacher Lookup'!$A$2:$A$200,0)),"")</f>
        <v>LEE Feliz</v>
      </c>
    </row>
    <row r="3948" customFormat="false" ht="15" hidden="false" customHeight="false" outlineLevel="0" collapsed="false">
      <c r="A3948" s="3" t="s">
        <v>415</v>
      </c>
      <c r="B3948" s="4" t="s">
        <v>44</v>
      </c>
      <c r="C3948" s="4" t="n">
        <v>3</v>
      </c>
      <c r="D3948" s="4" t="s">
        <v>132</v>
      </c>
      <c r="E3948" s="3" t="s">
        <v>416</v>
      </c>
      <c r="F3948" s="4" t="str">
        <f aca="false">IF(I3948&gt;J3948,"Y","N")</f>
        <v>Y</v>
      </c>
      <c r="G3948" s="3" t="s">
        <v>388</v>
      </c>
      <c r="H3948" s="3" t="s">
        <v>26</v>
      </c>
      <c r="I3948" s="4" t="n">
        <v>2</v>
      </c>
      <c r="J3948" s="4" t="n">
        <f aca="false">LEN(E3948)-LEN(SUBSTITUTE(E3948,",",""))+1</f>
        <v>1</v>
      </c>
      <c r="K3948" s="3" t="str">
        <f aca="false">IFERROR(INDEX('Teacher Lookup'!$B$2:$B$200,MATCH(A3948,'Teacher Lookup'!$A$2:$A$200,0)),"")</f>
        <v>LEE Feliz</v>
      </c>
    </row>
    <row r="3949" customFormat="false" ht="15" hidden="false" customHeight="false" outlineLevel="0" collapsed="false">
      <c r="A3949" s="3" t="s">
        <v>415</v>
      </c>
      <c r="B3949" s="4" t="s">
        <v>44</v>
      </c>
      <c r="C3949" s="4" t="n">
        <v>4</v>
      </c>
      <c r="D3949" s="4" t="s">
        <v>24</v>
      </c>
      <c r="E3949" s="3" t="s">
        <v>416</v>
      </c>
      <c r="F3949" s="4" t="str">
        <f aca="false">IF(I3949&gt;J3949,"Y","N")</f>
        <v>Y</v>
      </c>
      <c r="G3949" s="3" t="s">
        <v>388</v>
      </c>
      <c r="H3949" s="3" t="s">
        <v>34</v>
      </c>
      <c r="I3949" s="4" t="n">
        <v>2</v>
      </c>
      <c r="J3949" s="4" t="n">
        <f aca="false">LEN(E3949)-LEN(SUBSTITUTE(E3949,",",""))+1</f>
        <v>1</v>
      </c>
      <c r="K3949" s="3" t="str">
        <f aca="false">IFERROR(INDEX('Teacher Lookup'!$B$2:$B$200,MATCH(A3949,'Teacher Lookup'!$A$2:$A$200,0)),"")</f>
        <v>LEE Feliz</v>
      </c>
    </row>
    <row r="3950" customFormat="false" ht="15" hidden="false" customHeight="false" outlineLevel="0" collapsed="false">
      <c r="A3950" s="3" t="s">
        <v>415</v>
      </c>
      <c r="B3950" s="4" t="s">
        <v>44</v>
      </c>
      <c r="C3950" s="4" t="n">
        <v>4</v>
      </c>
      <c r="D3950" s="4" t="s">
        <v>132</v>
      </c>
      <c r="E3950" s="3" t="s">
        <v>416</v>
      </c>
      <c r="F3950" s="4" t="str">
        <f aca="false">IF(I3950&gt;J3950,"Y","N")</f>
        <v>Y</v>
      </c>
      <c r="G3950" s="3" t="s">
        <v>388</v>
      </c>
      <c r="H3950" s="3" t="s">
        <v>34</v>
      </c>
      <c r="I3950" s="4" t="n">
        <v>2</v>
      </c>
      <c r="J3950" s="4" t="n">
        <f aca="false">LEN(E3950)-LEN(SUBSTITUTE(E3950,",",""))+1</f>
        <v>1</v>
      </c>
      <c r="K3950" s="3" t="str">
        <f aca="false">IFERROR(INDEX('Teacher Lookup'!$B$2:$B$200,MATCH(A3950,'Teacher Lookup'!$A$2:$A$200,0)),"")</f>
        <v>LEE Feliz</v>
      </c>
    </row>
    <row r="3951" customFormat="false" ht="15" hidden="false" customHeight="false" outlineLevel="0" collapsed="false">
      <c r="A3951" s="3" t="s">
        <v>415</v>
      </c>
      <c r="B3951" s="4" t="s">
        <v>44</v>
      </c>
      <c r="C3951" s="4" t="n">
        <v>5</v>
      </c>
      <c r="D3951" s="4" t="s">
        <v>70</v>
      </c>
      <c r="E3951" s="3" t="s">
        <v>81</v>
      </c>
      <c r="F3951" s="4" t="str">
        <f aca="false">IF(I3951&gt;J3951,"Y","N")</f>
        <v>Y</v>
      </c>
      <c r="G3951" s="3" t="s">
        <v>36</v>
      </c>
      <c r="H3951" s="3" t="s">
        <v>37</v>
      </c>
      <c r="I3951" s="4" t="n">
        <v>15</v>
      </c>
      <c r="J3951" s="4" t="n">
        <f aca="false">LEN(E3951)-LEN(SUBSTITUTE(E3951,",",""))+1</f>
        <v>7</v>
      </c>
      <c r="K3951" s="3" t="str">
        <f aca="false">IFERROR(INDEX('Teacher Lookup'!$B$2:$B$200,MATCH(A3951,'Teacher Lookup'!$A$2:$A$200,0)),"")</f>
        <v>LEE Feliz</v>
      </c>
    </row>
    <row r="3952" customFormat="false" ht="15" hidden="false" customHeight="false" outlineLevel="0" collapsed="false">
      <c r="A3952" s="3" t="s">
        <v>415</v>
      </c>
      <c r="B3952" s="4" t="s">
        <v>44</v>
      </c>
      <c r="C3952" s="4" t="n">
        <v>5</v>
      </c>
      <c r="D3952" s="4" t="s">
        <v>73</v>
      </c>
      <c r="E3952" s="3" t="s">
        <v>81</v>
      </c>
      <c r="F3952" s="4" t="str">
        <f aca="false">IF(I3952&gt;J3952,"Y","N")</f>
        <v>Y</v>
      </c>
      <c r="G3952" s="3" t="s">
        <v>36</v>
      </c>
      <c r="H3952" s="3" t="s">
        <v>37</v>
      </c>
      <c r="I3952" s="4" t="n">
        <v>15</v>
      </c>
      <c r="J3952" s="4" t="n">
        <f aca="false">LEN(E3952)-LEN(SUBSTITUTE(E3952,",",""))+1</f>
        <v>7</v>
      </c>
      <c r="K3952" s="3" t="str">
        <f aca="false">IFERROR(INDEX('Teacher Lookup'!$B$2:$B$200,MATCH(A3952,'Teacher Lookup'!$A$2:$A$200,0)),"")</f>
        <v>LEE Feliz</v>
      </c>
    </row>
    <row r="3953" customFormat="false" ht="15" hidden="false" customHeight="false" outlineLevel="0" collapsed="false">
      <c r="A3953" s="3" t="s">
        <v>415</v>
      </c>
      <c r="B3953" s="4" t="s">
        <v>44</v>
      </c>
      <c r="C3953" s="4" t="n">
        <v>5</v>
      </c>
      <c r="D3953" s="4" t="s">
        <v>74</v>
      </c>
      <c r="E3953" s="3" t="s">
        <v>81</v>
      </c>
      <c r="F3953" s="4" t="str">
        <f aca="false">IF(I3953&gt;J3953,"Y","N")</f>
        <v>Y</v>
      </c>
      <c r="G3953" s="3" t="s">
        <v>36</v>
      </c>
      <c r="H3953" s="3" t="s">
        <v>37</v>
      </c>
      <c r="I3953" s="4" t="n">
        <v>15</v>
      </c>
      <c r="J3953" s="4" t="n">
        <f aca="false">LEN(E3953)-LEN(SUBSTITUTE(E3953,",",""))+1</f>
        <v>7</v>
      </c>
      <c r="K3953" s="3" t="str">
        <f aca="false">IFERROR(INDEX('Teacher Lookup'!$B$2:$B$200,MATCH(A3953,'Teacher Lookup'!$A$2:$A$200,0)),"")</f>
        <v>LEE Feliz</v>
      </c>
    </row>
    <row r="3954" customFormat="false" ht="15" hidden="false" customHeight="false" outlineLevel="0" collapsed="false">
      <c r="A3954" s="3" t="s">
        <v>415</v>
      </c>
      <c r="B3954" s="4" t="s">
        <v>44</v>
      </c>
      <c r="C3954" s="4" t="n">
        <v>5</v>
      </c>
      <c r="D3954" s="4" t="s">
        <v>76</v>
      </c>
      <c r="E3954" s="3" t="s">
        <v>81</v>
      </c>
      <c r="F3954" s="4" t="str">
        <f aca="false">IF(I3954&gt;J3954,"Y","N")</f>
        <v>Y</v>
      </c>
      <c r="G3954" s="3" t="s">
        <v>36</v>
      </c>
      <c r="H3954" s="3" t="s">
        <v>37</v>
      </c>
      <c r="I3954" s="4" t="n">
        <v>15</v>
      </c>
      <c r="J3954" s="4" t="n">
        <f aca="false">LEN(E3954)-LEN(SUBSTITUTE(E3954,",",""))+1</f>
        <v>7</v>
      </c>
      <c r="K3954" s="3" t="str">
        <f aca="false">IFERROR(INDEX('Teacher Lookup'!$B$2:$B$200,MATCH(A3954,'Teacher Lookup'!$A$2:$A$200,0)),"")</f>
        <v>LEE Feliz</v>
      </c>
    </row>
    <row r="3955" customFormat="false" ht="15" hidden="false" customHeight="false" outlineLevel="0" collapsed="false">
      <c r="A3955" s="3" t="s">
        <v>415</v>
      </c>
      <c r="B3955" s="4" t="s">
        <v>44</v>
      </c>
      <c r="C3955" s="4" t="n">
        <v>5</v>
      </c>
      <c r="D3955" s="4" t="s">
        <v>78</v>
      </c>
      <c r="E3955" s="3" t="s">
        <v>81</v>
      </c>
      <c r="F3955" s="4" t="str">
        <f aca="false">IF(I3955&gt;J3955,"Y","N")</f>
        <v>Y</v>
      </c>
      <c r="G3955" s="3" t="s">
        <v>36</v>
      </c>
      <c r="H3955" s="3" t="s">
        <v>37</v>
      </c>
      <c r="I3955" s="4" t="n">
        <v>15</v>
      </c>
      <c r="J3955" s="4" t="n">
        <f aca="false">LEN(E3955)-LEN(SUBSTITUTE(E3955,",",""))+1</f>
        <v>7</v>
      </c>
      <c r="K3955" s="3" t="str">
        <f aca="false">IFERROR(INDEX('Teacher Lookup'!$B$2:$B$200,MATCH(A3955,'Teacher Lookup'!$A$2:$A$200,0)),"")</f>
        <v>LEE Feliz</v>
      </c>
    </row>
    <row r="3956" customFormat="false" ht="15" hidden="false" customHeight="false" outlineLevel="0" collapsed="false">
      <c r="A3956" s="3" t="s">
        <v>415</v>
      </c>
      <c r="B3956" s="4" t="s">
        <v>44</v>
      </c>
      <c r="C3956" s="4" t="n">
        <v>5</v>
      </c>
      <c r="D3956" s="4" t="s">
        <v>79</v>
      </c>
      <c r="E3956" s="3" t="s">
        <v>81</v>
      </c>
      <c r="F3956" s="4" t="str">
        <f aca="false">IF(I3956&gt;J3956,"Y","N")</f>
        <v>Y</v>
      </c>
      <c r="G3956" s="3" t="s">
        <v>36</v>
      </c>
      <c r="H3956" s="3" t="s">
        <v>37</v>
      </c>
      <c r="I3956" s="4" t="n">
        <v>15</v>
      </c>
      <c r="J3956" s="4" t="n">
        <f aca="false">LEN(E3956)-LEN(SUBSTITUTE(E3956,",",""))+1</f>
        <v>7</v>
      </c>
      <c r="K3956" s="3" t="str">
        <f aca="false">IFERROR(INDEX('Teacher Lookup'!$B$2:$B$200,MATCH(A3956,'Teacher Lookup'!$A$2:$A$200,0)),"")</f>
        <v>LEE Feliz</v>
      </c>
    </row>
    <row r="3957" customFormat="false" ht="15" hidden="false" customHeight="false" outlineLevel="0" collapsed="false">
      <c r="A3957" s="3" t="s">
        <v>415</v>
      </c>
      <c r="B3957" s="4" t="s">
        <v>47</v>
      </c>
      <c r="C3957" s="4" t="n">
        <v>4</v>
      </c>
      <c r="D3957" s="4" t="s">
        <v>57</v>
      </c>
      <c r="E3957" s="3" t="s">
        <v>387</v>
      </c>
      <c r="F3957" s="4" t="str">
        <f aca="false">IF(I3957&gt;J3957,"Y","N")</f>
        <v>N</v>
      </c>
      <c r="G3957" s="3" t="s">
        <v>388</v>
      </c>
      <c r="H3957" s="3" t="s">
        <v>34</v>
      </c>
      <c r="I3957" s="4" t="n">
        <v>2</v>
      </c>
      <c r="J3957" s="4" t="n">
        <f aca="false">LEN(E3957)-LEN(SUBSTITUTE(E3957,",",""))+1</f>
        <v>2</v>
      </c>
      <c r="K3957" s="3" t="str">
        <f aca="false">IFERROR(INDEX('Teacher Lookup'!$B$2:$B$200,MATCH(A3957,'Teacher Lookup'!$A$2:$A$200,0)),"")</f>
        <v>LEE Feliz</v>
      </c>
    </row>
    <row r="3958" customFormat="false" ht="15" hidden="false" customHeight="false" outlineLevel="0" collapsed="false">
      <c r="A3958" s="3" t="s">
        <v>415</v>
      </c>
      <c r="B3958" s="4" t="s">
        <v>47</v>
      </c>
      <c r="C3958" s="4" t="n">
        <v>4</v>
      </c>
      <c r="D3958" s="4" t="s">
        <v>58</v>
      </c>
      <c r="E3958" s="3" t="s">
        <v>387</v>
      </c>
      <c r="F3958" s="4" t="str">
        <f aca="false">IF(I3958&gt;J3958,"Y","N")</f>
        <v>N</v>
      </c>
      <c r="G3958" s="3" t="s">
        <v>388</v>
      </c>
      <c r="H3958" s="3" t="s">
        <v>34</v>
      </c>
      <c r="I3958" s="4" t="n">
        <v>2</v>
      </c>
      <c r="J3958" s="4" t="n">
        <f aca="false">LEN(E3958)-LEN(SUBSTITUTE(E3958,",",""))+1</f>
        <v>2</v>
      </c>
      <c r="K3958" s="3" t="str">
        <f aca="false">IFERROR(INDEX('Teacher Lookup'!$B$2:$B$200,MATCH(A3958,'Teacher Lookup'!$A$2:$A$200,0)),"")</f>
        <v>LEE Feliz</v>
      </c>
    </row>
    <row r="3959" customFormat="false" ht="15" hidden="false" customHeight="false" outlineLevel="0" collapsed="false">
      <c r="A3959" s="3" t="s">
        <v>415</v>
      </c>
      <c r="B3959" s="4" t="s">
        <v>47</v>
      </c>
      <c r="C3959" s="4" t="n">
        <v>5</v>
      </c>
      <c r="D3959" s="4" t="s">
        <v>57</v>
      </c>
      <c r="E3959" s="3" t="s">
        <v>387</v>
      </c>
      <c r="F3959" s="4" t="str">
        <f aca="false">IF(I3959&gt;J3959,"Y","N")</f>
        <v>N</v>
      </c>
      <c r="G3959" s="3" t="s">
        <v>388</v>
      </c>
      <c r="H3959" s="3" t="s">
        <v>37</v>
      </c>
      <c r="I3959" s="4" t="n">
        <v>2</v>
      </c>
      <c r="J3959" s="4" t="n">
        <f aca="false">LEN(E3959)-LEN(SUBSTITUTE(E3959,",",""))+1</f>
        <v>2</v>
      </c>
      <c r="K3959" s="3" t="str">
        <f aca="false">IFERROR(INDEX('Teacher Lookup'!$B$2:$B$200,MATCH(A3959,'Teacher Lookup'!$A$2:$A$200,0)),"")</f>
        <v>LEE Feliz</v>
      </c>
    </row>
    <row r="3960" customFormat="false" ht="15" hidden="false" customHeight="false" outlineLevel="0" collapsed="false">
      <c r="A3960" s="3" t="s">
        <v>415</v>
      </c>
      <c r="B3960" s="4" t="s">
        <v>47</v>
      </c>
      <c r="C3960" s="4" t="n">
        <v>5</v>
      </c>
      <c r="D3960" s="4" t="s">
        <v>58</v>
      </c>
      <c r="E3960" s="3" t="s">
        <v>387</v>
      </c>
      <c r="F3960" s="4" t="str">
        <f aca="false">IF(I3960&gt;J3960,"Y","N")</f>
        <v>N</v>
      </c>
      <c r="G3960" s="3" t="s">
        <v>388</v>
      </c>
      <c r="H3960" s="3" t="s">
        <v>37</v>
      </c>
      <c r="I3960" s="4" t="n">
        <v>2</v>
      </c>
      <c r="J3960" s="4" t="n">
        <f aca="false">LEN(E3960)-LEN(SUBSTITUTE(E3960,",",""))+1</f>
        <v>2</v>
      </c>
      <c r="K3960" s="3" t="str">
        <f aca="false">IFERROR(INDEX('Teacher Lookup'!$B$2:$B$200,MATCH(A3960,'Teacher Lookup'!$A$2:$A$200,0)),"")</f>
        <v>LEE Feliz</v>
      </c>
    </row>
    <row r="3961" customFormat="false" ht="15" hidden="false" customHeight="false" outlineLevel="0" collapsed="false">
      <c r="A3961" s="3" t="s">
        <v>415</v>
      </c>
      <c r="B3961" s="4" t="s">
        <v>47</v>
      </c>
      <c r="C3961" s="4" t="n">
        <v>6</v>
      </c>
      <c r="D3961" s="4" t="s">
        <v>70</v>
      </c>
      <c r="E3961" s="3" t="s">
        <v>387</v>
      </c>
      <c r="F3961" s="4" t="str">
        <f aca="false">IF(I3961&gt;J3961,"Y","N")</f>
        <v>N</v>
      </c>
      <c r="G3961" s="3" t="s">
        <v>388</v>
      </c>
      <c r="H3961" s="3" t="s">
        <v>42</v>
      </c>
      <c r="I3961" s="4" t="n">
        <v>2</v>
      </c>
      <c r="J3961" s="4" t="n">
        <f aca="false">LEN(E3961)-LEN(SUBSTITUTE(E3961,",",""))+1</f>
        <v>2</v>
      </c>
      <c r="K3961" s="3" t="str">
        <f aca="false">IFERROR(INDEX('Teacher Lookup'!$B$2:$B$200,MATCH(A3961,'Teacher Lookup'!$A$2:$A$200,0)),"")</f>
        <v>LEE Feliz</v>
      </c>
    </row>
    <row r="3962" customFormat="false" ht="15" hidden="false" customHeight="false" outlineLevel="0" collapsed="false">
      <c r="A3962" s="3" t="s">
        <v>415</v>
      </c>
      <c r="B3962" s="4" t="s">
        <v>47</v>
      </c>
      <c r="C3962" s="4" t="n">
        <v>6</v>
      </c>
      <c r="D3962" s="4" t="s">
        <v>73</v>
      </c>
      <c r="E3962" s="3" t="s">
        <v>387</v>
      </c>
      <c r="F3962" s="4" t="str">
        <f aca="false">IF(I3962&gt;J3962,"Y","N")</f>
        <v>N</v>
      </c>
      <c r="G3962" s="3" t="s">
        <v>388</v>
      </c>
      <c r="H3962" s="3" t="s">
        <v>42</v>
      </c>
      <c r="I3962" s="4" t="n">
        <v>2</v>
      </c>
      <c r="J3962" s="4" t="n">
        <f aca="false">LEN(E3962)-LEN(SUBSTITUTE(E3962,",",""))+1</f>
        <v>2</v>
      </c>
      <c r="K3962" s="3" t="str">
        <f aca="false">IFERROR(INDEX('Teacher Lookup'!$B$2:$B$200,MATCH(A3962,'Teacher Lookup'!$A$2:$A$200,0)),"")</f>
        <v>LEE Feliz</v>
      </c>
    </row>
    <row r="3963" customFormat="false" ht="15" hidden="false" customHeight="false" outlineLevel="0" collapsed="false">
      <c r="A3963" s="3" t="s">
        <v>415</v>
      </c>
      <c r="B3963" s="4" t="s">
        <v>47</v>
      </c>
      <c r="C3963" s="4" t="n">
        <v>7</v>
      </c>
      <c r="D3963" s="4" t="s">
        <v>70</v>
      </c>
      <c r="E3963" s="3" t="s">
        <v>387</v>
      </c>
      <c r="F3963" s="4" t="str">
        <f aca="false">IF(I3963&gt;J3963,"Y","N")</f>
        <v>N</v>
      </c>
      <c r="G3963" s="3" t="s">
        <v>388</v>
      </c>
      <c r="H3963" s="3" t="s">
        <v>39</v>
      </c>
      <c r="I3963" s="4" t="n">
        <v>2</v>
      </c>
      <c r="J3963" s="4" t="n">
        <f aca="false">LEN(E3963)-LEN(SUBSTITUTE(E3963,",",""))+1</f>
        <v>2</v>
      </c>
      <c r="K3963" s="3" t="str">
        <f aca="false">IFERROR(INDEX('Teacher Lookup'!$B$2:$B$200,MATCH(A3963,'Teacher Lookup'!$A$2:$A$200,0)),"")</f>
        <v>LEE Feliz</v>
      </c>
    </row>
    <row r="3964" customFormat="false" ht="15" hidden="false" customHeight="false" outlineLevel="0" collapsed="false">
      <c r="A3964" s="3" t="s">
        <v>415</v>
      </c>
      <c r="B3964" s="4" t="s">
        <v>47</v>
      </c>
      <c r="C3964" s="4" t="n">
        <v>7</v>
      </c>
      <c r="D3964" s="4" t="s">
        <v>73</v>
      </c>
      <c r="E3964" s="3" t="s">
        <v>387</v>
      </c>
      <c r="F3964" s="4" t="str">
        <f aca="false">IF(I3964&gt;J3964,"Y","N")</f>
        <v>N</v>
      </c>
      <c r="G3964" s="3" t="s">
        <v>388</v>
      </c>
      <c r="H3964" s="3" t="s">
        <v>39</v>
      </c>
      <c r="I3964" s="4" t="n">
        <v>2</v>
      </c>
      <c r="J3964" s="4" t="n">
        <f aca="false">LEN(E3964)-LEN(SUBSTITUTE(E3964,",",""))+1</f>
        <v>2</v>
      </c>
      <c r="K3964" s="3" t="str">
        <f aca="false">IFERROR(INDEX('Teacher Lookup'!$B$2:$B$200,MATCH(A3964,'Teacher Lookup'!$A$2:$A$200,0)),"")</f>
        <v>LEE Feliz</v>
      </c>
    </row>
    <row r="3965" customFormat="false" ht="15" hidden="false" customHeight="false" outlineLevel="0" collapsed="false">
      <c r="A3965" s="3" t="s">
        <v>415</v>
      </c>
      <c r="B3965" s="4" t="s">
        <v>50</v>
      </c>
      <c r="C3965" s="4" t="n">
        <v>4</v>
      </c>
      <c r="D3965" s="4" t="s">
        <v>137</v>
      </c>
      <c r="E3965" s="3" t="s">
        <v>221</v>
      </c>
      <c r="F3965" s="4" t="str">
        <f aca="false">IF(I3965&gt;J3965,"Y","N")</f>
        <v>Y</v>
      </c>
      <c r="G3965" s="3" t="s">
        <v>222</v>
      </c>
      <c r="H3965" s="3" t="s">
        <v>34</v>
      </c>
      <c r="I3965" s="4" t="n">
        <v>15</v>
      </c>
      <c r="J3965" s="4" t="n">
        <f aca="false">LEN(E3965)-LEN(SUBSTITUTE(E3965,",",""))+1</f>
        <v>7</v>
      </c>
      <c r="K3965" s="3" t="str">
        <f aca="false">IFERROR(INDEX('Teacher Lookup'!$B$2:$B$200,MATCH(A3965,'Teacher Lookup'!$A$2:$A$200,0)),"")</f>
        <v>LEE Feliz</v>
      </c>
    </row>
    <row r="3966" customFormat="false" ht="15" hidden="false" customHeight="false" outlineLevel="0" collapsed="false">
      <c r="A3966" s="3" t="s">
        <v>415</v>
      </c>
      <c r="B3966" s="4" t="s">
        <v>50</v>
      </c>
      <c r="C3966" s="4" t="n">
        <v>4</v>
      </c>
      <c r="D3966" s="4" t="s">
        <v>124</v>
      </c>
      <c r="E3966" s="3" t="s">
        <v>221</v>
      </c>
      <c r="F3966" s="4" t="str">
        <f aca="false">IF(I3966&gt;J3966,"Y","N")</f>
        <v>Y</v>
      </c>
      <c r="G3966" s="3" t="s">
        <v>222</v>
      </c>
      <c r="H3966" s="3" t="s">
        <v>34</v>
      </c>
      <c r="I3966" s="4" t="n">
        <v>15</v>
      </c>
      <c r="J3966" s="4" t="n">
        <f aca="false">LEN(E3966)-LEN(SUBSTITUTE(E3966,",",""))+1</f>
        <v>7</v>
      </c>
      <c r="K3966" s="3" t="str">
        <f aca="false">IFERROR(INDEX('Teacher Lookup'!$B$2:$B$200,MATCH(A3966,'Teacher Lookup'!$A$2:$A$200,0)),"")</f>
        <v>LEE Feliz</v>
      </c>
    </row>
    <row r="3967" customFormat="false" ht="15" hidden="false" customHeight="false" outlineLevel="0" collapsed="false">
      <c r="A3967" s="3" t="s">
        <v>415</v>
      </c>
      <c r="B3967" s="4" t="s">
        <v>50</v>
      </c>
      <c r="C3967" s="4" t="n">
        <v>4</v>
      </c>
      <c r="D3967" s="4" t="s">
        <v>139</v>
      </c>
      <c r="E3967" s="3" t="s">
        <v>221</v>
      </c>
      <c r="F3967" s="4" t="str">
        <f aca="false">IF(I3967&gt;J3967,"Y","N")</f>
        <v>Y</v>
      </c>
      <c r="G3967" s="3" t="s">
        <v>222</v>
      </c>
      <c r="H3967" s="3" t="s">
        <v>34</v>
      </c>
      <c r="I3967" s="4" t="n">
        <v>15</v>
      </c>
      <c r="J3967" s="4" t="n">
        <f aca="false">LEN(E3967)-LEN(SUBSTITUTE(E3967,",",""))+1</f>
        <v>7</v>
      </c>
      <c r="K3967" s="3" t="str">
        <f aca="false">IFERROR(INDEX('Teacher Lookup'!$B$2:$B$200,MATCH(A3967,'Teacher Lookup'!$A$2:$A$200,0)),"")</f>
        <v>LEE Feliz</v>
      </c>
    </row>
    <row r="3968" customFormat="false" ht="15" hidden="false" customHeight="false" outlineLevel="0" collapsed="false">
      <c r="A3968" s="3" t="s">
        <v>415</v>
      </c>
      <c r="B3968" s="4" t="s">
        <v>50</v>
      </c>
      <c r="C3968" s="4" t="n">
        <v>4</v>
      </c>
      <c r="D3968" s="4" t="s">
        <v>140</v>
      </c>
      <c r="E3968" s="3" t="s">
        <v>221</v>
      </c>
      <c r="F3968" s="4" t="str">
        <f aca="false">IF(I3968&gt;J3968,"Y","N")</f>
        <v>Y</v>
      </c>
      <c r="G3968" s="3" t="s">
        <v>222</v>
      </c>
      <c r="H3968" s="3" t="s">
        <v>34</v>
      </c>
      <c r="I3968" s="4" t="n">
        <v>15</v>
      </c>
      <c r="J3968" s="4" t="n">
        <f aca="false">LEN(E3968)-LEN(SUBSTITUTE(E3968,",",""))+1</f>
        <v>7</v>
      </c>
      <c r="K3968" s="3" t="str">
        <f aca="false">IFERROR(INDEX('Teacher Lookup'!$B$2:$B$200,MATCH(A3968,'Teacher Lookup'!$A$2:$A$200,0)),"")</f>
        <v>LEE Feliz</v>
      </c>
    </row>
    <row r="3969" customFormat="false" ht="15" hidden="false" customHeight="false" outlineLevel="0" collapsed="false">
      <c r="A3969" s="3" t="s">
        <v>415</v>
      </c>
      <c r="B3969" s="4" t="s">
        <v>50</v>
      </c>
      <c r="C3969" s="4" t="n">
        <v>4</v>
      </c>
      <c r="D3969" s="4" t="s">
        <v>142</v>
      </c>
      <c r="E3969" s="3" t="s">
        <v>221</v>
      </c>
      <c r="F3969" s="4" t="str">
        <f aca="false">IF(I3969&gt;J3969,"Y","N")</f>
        <v>Y</v>
      </c>
      <c r="G3969" s="3" t="s">
        <v>222</v>
      </c>
      <c r="H3969" s="3" t="s">
        <v>34</v>
      </c>
      <c r="I3969" s="4" t="n">
        <v>15</v>
      </c>
      <c r="J3969" s="4" t="n">
        <f aca="false">LEN(E3969)-LEN(SUBSTITUTE(E3969,",",""))+1</f>
        <v>7</v>
      </c>
      <c r="K3969" s="3" t="str">
        <f aca="false">IFERROR(INDEX('Teacher Lookup'!$B$2:$B$200,MATCH(A3969,'Teacher Lookup'!$A$2:$A$200,0)),"")</f>
        <v>LEE Feliz</v>
      </c>
    </row>
    <row r="3970" customFormat="false" ht="15" hidden="false" customHeight="false" outlineLevel="0" collapsed="false">
      <c r="A3970" s="3" t="s">
        <v>415</v>
      </c>
      <c r="B3970" s="4" t="s">
        <v>50</v>
      </c>
      <c r="C3970" s="4" t="n">
        <v>4</v>
      </c>
      <c r="D3970" s="4" t="s">
        <v>127</v>
      </c>
      <c r="E3970" s="3" t="s">
        <v>221</v>
      </c>
      <c r="F3970" s="4" t="str">
        <f aca="false">IF(I3970&gt;J3970,"Y","N")</f>
        <v>Y</v>
      </c>
      <c r="G3970" s="3" t="s">
        <v>222</v>
      </c>
      <c r="H3970" s="3" t="s">
        <v>34</v>
      </c>
      <c r="I3970" s="4" t="n">
        <v>15</v>
      </c>
      <c r="J3970" s="4" t="n">
        <f aca="false">LEN(E3970)-LEN(SUBSTITUTE(E3970,",",""))+1</f>
        <v>7</v>
      </c>
      <c r="K3970" s="3" t="str">
        <f aca="false">IFERROR(INDEX('Teacher Lookup'!$B$2:$B$200,MATCH(A3970,'Teacher Lookup'!$A$2:$A$200,0)),"")</f>
        <v>LEE Feliz</v>
      </c>
    </row>
    <row r="3971" customFormat="false" ht="15" hidden="false" customHeight="false" outlineLevel="0" collapsed="false">
      <c r="A3971" s="3" t="s">
        <v>415</v>
      </c>
      <c r="B3971" s="4" t="s">
        <v>50</v>
      </c>
      <c r="C3971" s="4" t="n">
        <v>5</v>
      </c>
      <c r="D3971" s="4" t="s">
        <v>137</v>
      </c>
      <c r="E3971" s="3" t="s">
        <v>221</v>
      </c>
      <c r="F3971" s="4" t="str">
        <f aca="false">IF(I3971&gt;J3971,"Y","N")</f>
        <v>Y</v>
      </c>
      <c r="G3971" s="3" t="s">
        <v>222</v>
      </c>
      <c r="H3971" s="3" t="s">
        <v>37</v>
      </c>
      <c r="I3971" s="4" t="n">
        <v>15</v>
      </c>
      <c r="J3971" s="4" t="n">
        <f aca="false">LEN(E3971)-LEN(SUBSTITUTE(E3971,",",""))+1</f>
        <v>7</v>
      </c>
      <c r="K3971" s="3" t="str">
        <f aca="false">IFERROR(INDEX('Teacher Lookup'!$B$2:$B$200,MATCH(A3971,'Teacher Lookup'!$A$2:$A$200,0)),"")</f>
        <v>LEE Feliz</v>
      </c>
    </row>
    <row r="3972" customFormat="false" ht="15" hidden="false" customHeight="false" outlineLevel="0" collapsed="false">
      <c r="A3972" s="3" t="s">
        <v>415</v>
      </c>
      <c r="B3972" s="4" t="s">
        <v>50</v>
      </c>
      <c r="C3972" s="4" t="n">
        <v>5</v>
      </c>
      <c r="D3972" s="4" t="s">
        <v>124</v>
      </c>
      <c r="E3972" s="3" t="s">
        <v>221</v>
      </c>
      <c r="F3972" s="4" t="str">
        <f aca="false">IF(I3972&gt;J3972,"Y","N")</f>
        <v>Y</v>
      </c>
      <c r="G3972" s="3" t="s">
        <v>222</v>
      </c>
      <c r="H3972" s="3" t="s">
        <v>37</v>
      </c>
      <c r="I3972" s="4" t="n">
        <v>15</v>
      </c>
      <c r="J3972" s="4" t="n">
        <f aca="false">LEN(E3972)-LEN(SUBSTITUTE(E3972,",",""))+1</f>
        <v>7</v>
      </c>
      <c r="K3972" s="3" t="str">
        <f aca="false">IFERROR(INDEX('Teacher Lookup'!$B$2:$B$200,MATCH(A3972,'Teacher Lookup'!$A$2:$A$200,0)),"")</f>
        <v>LEE Feliz</v>
      </c>
    </row>
    <row r="3973" customFormat="false" ht="15" hidden="false" customHeight="false" outlineLevel="0" collapsed="false">
      <c r="A3973" s="3" t="s">
        <v>415</v>
      </c>
      <c r="B3973" s="4" t="s">
        <v>50</v>
      </c>
      <c r="C3973" s="4" t="n">
        <v>5</v>
      </c>
      <c r="D3973" s="4" t="s">
        <v>139</v>
      </c>
      <c r="E3973" s="3" t="s">
        <v>221</v>
      </c>
      <c r="F3973" s="4" t="str">
        <f aca="false">IF(I3973&gt;J3973,"Y","N")</f>
        <v>Y</v>
      </c>
      <c r="G3973" s="3" t="s">
        <v>222</v>
      </c>
      <c r="H3973" s="3" t="s">
        <v>37</v>
      </c>
      <c r="I3973" s="4" t="n">
        <v>15</v>
      </c>
      <c r="J3973" s="4" t="n">
        <f aca="false">LEN(E3973)-LEN(SUBSTITUTE(E3973,",",""))+1</f>
        <v>7</v>
      </c>
      <c r="K3973" s="3" t="str">
        <f aca="false">IFERROR(INDEX('Teacher Lookup'!$B$2:$B$200,MATCH(A3973,'Teacher Lookup'!$A$2:$A$200,0)),"")</f>
        <v>LEE Feliz</v>
      </c>
    </row>
    <row r="3974" customFormat="false" ht="15" hidden="false" customHeight="false" outlineLevel="0" collapsed="false">
      <c r="A3974" s="3" t="s">
        <v>415</v>
      </c>
      <c r="B3974" s="4" t="s">
        <v>50</v>
      </c>
      <c r="C3974" s="4" t="n">
        <v>5</v>
      </c>
      <c r="D3974" s="4" t="s">
        <v>140</v>
      </c>
      <c r="E3974" s="3" t="s">
        <v>221</v>
      </c>
      <c r="F3974" s="4" t="str">
        <f aca="false">IF(I3974&gt;J3974,"Y","N")</f>
        <v>Y</v>
      </c>
      <c r="G3974" s="3" t="s">
        <v>222</v>
      </c>
      <c r="H3974" s="3" t="s">
        <v>37</v>
      </c>
      <c r="I3974" s="4" t="n">
        <v>15</v>
      </c>
      <c r="J3974" s="4" t="n">
        <f aca="false">LEN(E3974)-LEN(SUBSTITUTE(E3974,",",""))+1</f>
        <v>7</v>
      </c>
      <c r="K3974" s="3" t="str">
        <f aca="false">IFERROR(INDEX('Teacher Lookup'!$B$2:$B$200,MATCH(A3974,'Teacher Lookup'!$A$2:$A$200,0)),"")</f>
        <v>LEE Feliz</v>
      </c>
    </row>
    <row r="3975" customFormat="false" ht="15" hidden="false" customHeight="false" outlineLevel="0" collapsed="false">
      <c r="A3975" s="3" t="s">
        <v>415</v>
      </c>
      <c r="B3975" s="4" t="s">
        <v>50</v>
      </c>
      <c r="C3975" s="4" t="n">
        <v>5</v>
      </c>
      <c r="D3975" s="4" t="s">
        <v>142</v>
      </c>
      <c r="E3975" s="3" t="s">
        <v>221</v>
      </c>
      <c r="F3975" s="4" t="str">
        <f aca="false">IF(I3975&gt;J3975,"Y","N")</f>
        <v>Y</v>
      </c>
      <c r="G3975" s="3" t="s">
        <v>222</v>
      </c>
      <c r="H3975" s="3" t="s">
        <v>37</v>
      </c>
      <c r="I3975" s="4" t="n">
        <v>15</v>
      </c>
      <c r="J3975" s="4" t="n">
        <f aca="false">LEN(E3975)-LEN(SUBSTITUTE(E3975,",",""))+1</f>
        <v>7</v>
      </c>
      <c r="K3975" s="3" t="str">
        <f aca="false">IFERROR(INDEX('Teacher Lookup'!$B$2:$B$200,MATCH(A3975,'Teacher Lookup'!$A$2:$A$200,0)),"")</f>
        <v>LEE Feliz</v>
      </c>
    </row>
    <row r="3976" customFormat="false" ht="15" hidden="false" customHeight="false" outlineLevel="0" collapsed="false">
      <c r="A3976" s="3" t="s">
        <v>415</v>
      </c>
      <c r="B3976" s="4" t="s">
        <v>50</v>
      </c>
      <c r="C3976" s="4" t="n">
        <v>5</v>
      </c>
      <c r="D3976" s="4" t="s">
        <v>127</v>
      </c>
      <c r="E3976" s="3" t="s">
        <v>221</v>
      </c>
      <c r="F3976" s="4" t="str">
        <f aca="false">IF(I3976&gt;J3976,"Y","N")</f>
        <v>Y</v>
      </c>
      <c r="G3976" s="3" t="s">
        <v>222</v>
      </c>
      <c r="H3976" s="3" t="s">
        <v>37</v>
      </c>
      <c r="I3976" s="4" t="n">
        <v>15</v>
      </c>
      <c r="J3976" s="4" t="n">
        <f aca="false">LEN(E3976)-LEN(SUBSTITUTE(E3976,",",""))+1</f>
        <v>7</v>
      </c>
      <c r="K3976" s="3" t="str">
        <f aca="false">IFERROR(INDEX('Teacher Lookup'!$B$2:$B$200,MATCH(A3976,'Teacher Lookup'!$A$2:$A$200,0)),"")</f>
        <v>LEE Feliz</v>
      </c>
    </row>
    <row r="3977" customFormat="false" ht="15" hidden="false" customHeight="false" outlineLevel="0" collapsed="false">
      <c r="A3977" s="3" t="s">
        <v>415</v>
      </c>
      <c r="B3977" s="4" t="s">
        <v>60</v>
      </c>
      <c r="C3977" s="4" t="n">
        <v>3</v>
      </c>
      <c r="D3977" s="4" t="s">
        <v>70</v>
      </c>
      <c r="E3977" s="3" t="s">
        <v>387</v>
      </c>
      <c r="F3977" s="4" t="str">
        <f aca="false">IF(I3977&gt;J3977,"Y","N")</f>
        <v>N</v>
      </c>
      <c r="G3977" s="3" t="s">
        <v>388</v>
      </c>
      <c r="H3977" s="3" t="s">
        <v>26</v>
      </c>
      <c r="I3977" s="4" t="n">
        <v>2</v>
      </c>
      <c r="J3977" s="4" t="n">
        <f aca="false">LEN(E3977)-LEN(SUBSTITUTE(E3977,",",""))+1</f>
        <v>2</v>
      </c>
      <c r="K3977" s="3" t="str">
        <f aca="false">IFERROR(INDEX('Teacher Lookup'!$B$2:$B$200,MATCH(A3977,'Teacher Lookup'!$A$2:$A$200,0)),"")</f>
        <v>LEE Feliz</v>
      </c>
    </row>
    <row r="3978" customFormat="false" ht="15" hidden="false" customHeight="false" outlineLevel="0" collapsed="false">
      <c r="A3978" s="3" t="s">
        <v>415</v>
      </c>
      <c r="B3978" s="4" t="s">
        <v>60</v>
      </c>
      <c r="C3978" s="4" t="n">
        <v>3</v>
      </c>
      <c r="D3978" s="4" t="s">
        <v>73</v>
      </c>
      <c r="E3978" s="3" t="s">
        <v>387</v>
      </c>
      <c r="F3978" s="4" t="str">
        <f aca="false">IF(I3978&gt;J3978,"Y","N")</f>
        <v>N</v>
      </c>
      <c r="G3978" s="3" t="s">
        <v>388</v>
      </c>
      <c r="H3978" s="3" t="s">
        <v>26</v>
      </c>
      <c r="I3978" s="4" t="n">
        <v>2</v>
      </c>
      <c r="J3978" s="4" t="n">
        <f aca="false">LEN(E3978)-LEN(SUBSTITUTE(E3978,",",""))+1</f>
        <v>2</v>
      </c>
      <c r="K3978" s="3" t="str">
        <f aca="false">IFERROR(INDEX('Teacher Lookup'!$B$2:$B$200,MATCH(A3978,'Teacher Lookup'!$A$2:$A$200,0)),"")</f>
        <v>LEE Feliz</v>
      </c>
    </row>
    <row r="3979" customFormat="false" ht="15" hidden="false" customHeight="false" outlineLevel="0" collapsed="false">
      <c r="A3979" s="3" t="s">
        <v>415</v>
      </c>
      <c r="B3979" s="4" t="s">
        <v>60</v>
      </c>
      <c r="C3979" s="4" t="n">
        <v>4</v>
      </c>
      <c r="D3979" s="4" t="s">
        <v>70</v>
      </c>
      <c r="E3979" s="3" t="s">
        <v>387</v>
      </c>
      <c r="F3979" s="4" t="str">
        <f aca="false">IF(I3979&gt;J3979,"Y","N")</f>
        <v>N</v>
      </c>
      <c r="G3979" s="3" t="s">
        <v>388</v>
      </c>
      <c r="H3979" s="3" t="s">
        <v>34</v>
      </c>
      <c r="I3979" s="4" t="n">
        <v>2</v>
      </c>
      <c r="J3979" s="4" t="n">
        <f aca="false">LEN(E3979)-LEN(SUBSTITUTE(E3979,",",""))+1</f>
        <v>2</v>
      </c>
      <c r="K3979" s="3" t="str">
        <f aca="false">IFERROR(INDEX('Teacher Lookup'!$B$2:$B$200,MATCH(A3979,'Teacher Lookup'!$A$2:$A$200,0)),"")</f>
        <v>LEE Feliz</v>
      </c>
    </row>
    <row r="3980" customFormat="false" ht="15" hidden="false" customHeight="false" outlineLevel="0" collapsed="false">
      <c r="A3980" s="3" t="s">
        <v>415</v>
      </c>
      <c r="B3980" s="4" t="s">
        <v>60</v>
      </c>
      <c r="C3980" s="4" t="n">
        <v>4</v>
      </c>
      <c r="D3980" s="4" t="s">
        <v>73</v>
      </c>
      <c r="E3980" s="3" t="s">
        <v>387</v>
      </c>
      <c r="F3980" s="4" t="str">
        <f aca="false">IF(I3980&gt;J3980,"Y","N")</f>
        <v>N</v>
      </c>
      <c r="G3980" s="3" t="s">
        <v>388</v>
      </c>
      <c r="H3980" s="3" t="s">
        <v>34</v>
      </c>
      <c r="I3980" s="4" t="n">
        <v>2</v>
      </c>
      <c r="J3980" s="4" t="n">
        <f aca="false">LEN(E3980)-LEN(SUBSTITUTE(E3980,",",""))+1</f>
        <v>2</v>
      </c>
      <c r="K3980" s="3" t="str">
        <f aca="false">IFERROR(INDEX('Teacher Lookup'!$B$2:$B$200,MATCH(A3980,'Teacher Lookup'!$A$2:$A$200,0)),"")</f>
        <v>LEE Feliz</v>
      </c>
    </row>
    <row r="3981" customFormat="false" ht="15" hidden="false" customHeight="false" outlineLevel="0" collapsed="false">
      <c r="A3981" s="3" t="s">
        <v>415</v>
      </c>
      <c r="B3981" s="4" t="s">
        <v>60</v>
      </c>
      <c r="C3981" s="4" t="n">
        <v>5</v>
      </c>
      <c r="D3981" s="4" t="s">
        <v>70</v>
      </c>
      <c r="E3981" s="3" t="s">
        <v>81</v>
      </c>
      <c r="F3981" s="4" t="str">
        <f aca="false">IF(I3981&gt;J3981,"Y","N")</f>
        <v>Y</v>
      </c>
      <c r="G3981" s="3" t="s">
        <v>36</v>
      </c>
      <c r="H3981" s="3" t="s">
        <v>37</v>
      </c>
      <c r="I3981" s="4" t="n">
        <v>15</v>
      </c>
      <c r="J3981" s="4" t="n">
        <f aca="false">LEN(E3981)-LEN(SUBSTITUTE(E3981,",",""))+1</f>
        <v>7</v>
      </c>
      <c r="K3981" s="3" t="str">
        <f aca="false">IFERROR(INDEX('Teacher Lookup'!$B$2:$B$200,MATCH(A3981,'Teacher Lookup'!$A$2:$A$200,0)),"")</f>
        <v>LEE Feliz</v>
      </c>
    </row>
    <row r="3982" customFormat="false" ht="15" hidden="false" customHeight="false" outlineLevel="0" collapsed="false">
      <c r="A3982" s="3" t="s">
        <v>415</v>
      </c>
      <c r="B3982" s="4" t="s">
        <v>60</v>
      </c>
      <c r="C3982" s="4" t="n">
        <v>5</v>
      </c>
      <c r="D3982" s="4" t="s">
        <v>73</v>
      </c>
      <c r="E3982" s="3" t="s">
        <v>81</v>
      </c>
      <c r="F3982" s="4" t="str">
        <f aca="false">IF(I3982&gt;J3982,"Y","N")</f>
        <v>Y</v>
      </c>
      <c r="G3982" s="3" t="s">
        <v>36</v>
      </c>
      <c r="H3982" s="3" t="s">
        <v>37</v>
      </c>
      <c r="I3982" s="4" t="n">
        <v>15</v>
      </c>
      <c r="J3982" s="4" t="n">
        <f aca="false">LEN(E3982)-LEN(SUBSTITUTE(E3982,",",""))+1</f>
        <v>7</v>
      </c>
      <c r="K3982" s="3" t="str">
        <f aca="false">IFERROR(INDEX('Teacher Lookup'!$B$2:$B$200,MATCH(A3982,'Teacher Lookup'!$A$2:$A$200,0)),"")</f>
        <v>LEE Feliz</v>
      </c>
    </row>
    <row r="3983" customFormat="false" ht="15" hidden="false" customHeight="false" outlineLevel="0" collapsed="false">
      <c r="A3983" s="3" t="s">
        <v>415</v>
      </c>
      <c r="B3983" s="4" t="s">
        <v>60</v>
      </c>
      <c r="C3983" s="4" t="n">
        <v>5</v>
      </c>
      <c r="D3983" s="4" t="s">
        <v>74</v>
      </c>
      <c r="E3983" s="3" t="s">
        <v>81</v>
      </c>
      <c r="F3983" s="4" t="str">
        <f aca="false">IF(I3983&gt;J3983,"Y","N")</f>
        <v>Y</v>
      </c>
      <c r="G3983" s="3" t="s">
        <v>36</v>
      </c>
      <c r="H3983" s="3" t="s">
        <v>37</v>
      </c>
      <c r="I3983" s="4" t="n">
        <v>15</v>
      </c>
      <c r="J3983" s="4" t="n">
        <f aca="false">LEN(E3983)-LEN(SUBSTITUTE(E3983,",",""))+1</f>
        <v>7</v>
      </c>
      <c r="K3983" s="3" t="str">
        <f aca="false">IFERROR(INDEX('Teacher Lookup'!$B$2:$B$200,MATCH(A3983,'Teacher Lookup'!$A$2:$A$200,0)),"")</f>
        <v>LEE Feliz</v>
      </c>
    </row>
    <row r="3984" customFormat="false" ht="15" hidden="false" customHeight="false" outlineLevel="0" collapsed="false">
      <c r="A3984" s="3" t="s">
        <v>415</v>
      </c>
      <c r="B3984" s="4" t="s">
        <v>60</v>
      </c>
      <c r="C3984" s="4" t="n">
        <v>5</v>
      </c>
      <c r="D3984" s="4" t="s">
        <v>76</v>
      </c>
      <c r="E3984" s="3" t="s">
        <v>81</v>
      </c>
      <c r="F3984" s="4" t="str">
        <f aca="false">IF(I3984&gt;J3984,"Y","N")</f>
        <v>Y</v>
      </c>
      <c r="G3984" s="3" t="s">
        <v>36</v>
      </c>
      <c r="H3984" s="3" t="s">
        <v>37</v>
      </c>
      <c r="I3984" s="4" t="n">
        <v>15</v>
      </c>
      <c r="J3984" s="4" t="n">
        <f aca="false">LEN(E3984)-LEN(SUBSTITUTE(E3984,",",""))+1</f>
        <v>7</v>
      </c>
      <c r="K3984" s="3" t="str">
        <f aca="false">IFERROR(INDEX('Teacher Lookup'!$B$2:$B$200,MATCH(A3984,'Teacher Lookup'!$A$2:$A$200,0)),"")</f>
        <v>LEE Feliz</v>
      </c>
    </row>
    <row r="3985" customFormat="false" ht="15" hidden="false" customHeight="false" outlineLevel="0" collapsed="false">
      <c r="A3985" s="3" t="s">
        <v>415</v>
      </c>
      <c r="B3985" s="4" t="s">
        <v>60</v>
      </c>
      <c r="C3985" s="4" t="n">
        <v>5</v>
      </c>
      <c r="D3985" s="4" t="s">
        <v>78</v>
      </c>
      <c r="E3985" s="3" t="s">
        <v>81</v>
      </c>
      <c r="F3985" s="4" t="str">
        <f aca="false">IF(I3985&gt;J3985,"Y","N")</f>
        <v>Y</v>
      </c>
      <c r="G3985" s="3" t="s">
        <v>36</v>
      </c>
      <c r="H3985" s="3" t="s">
        <v>37</v>
      </c>
      <c r="I3985" s="4" t="n">
        <v>15</v>
      </c>
      <c r="J3985" s="4" t="n">
        <f aca="false">LEN(E3985)-LEN(SUBSTITUTE(E3985,",",""))+1</f>
        <v>7</v>
      </c>
      <c r="K3985" s="3" t="str">
        <f aca="false">IFERROR(INDEX('Teacher Lookup'!$B$2:$B$200,MATCH(A3985,'Teacher Lookup'!$A$2:$A$200,0)),"")</f>
        <v>LEE Feliz</v>
      </c>
    </row>
    <row r="3986" customFormat="false" ht="15" hidden="false" customHeight="false" outlineLevel="0" collapsed="false">
      <c r="A3986" s="3" t="s">
        <v>415</v>
      </c>
      <c r="B3986" s="4" t="s">
        <v>60</v>
      </c>
      <c r="C3986" s="4" t="n">
        <v>5</v>
      </c>
      <c r="D3986" s="4" t="s">
        <v>79</v>
      </c>
      <c r="E3986" s="3" t="s">
        <v>81</v>
      </c>
      <c r="F3986" s="4" t="str">
        <f aca="false">IF(I3986&gt;J3986,"Y","N")</f>
        <v>Y</v>
      </c>
      <c r="G3986" s="3" t="s">
        <v>36</v>
      </c>
      <c r="H3986" s="3" t="s">
        <v>37</v>
      </c>
      <c r="I3986" s="4" t="n">
        <v>15</v>
      </c>
      <c r="J3986" s="4" t="n">
        <f aca="false">LEN(E3986)-LEN(SUBSTITUTE(E3986,",",""))+1</f>
        <v>7</v>
      </c>
      <c r="K3986" s="3" t="str">
        <f aca="false">IFERROR(INDEX('Teacher Lookup'!$B$2:$B$200,MATCH(A3986,'Teacher Lookup'!$A$2:$A$200,0)),"")</f>
        <v>LEE Feliz</v>
      </c>
    </row>
    <row r="3987" customFormat="false" ht="15" hidden="false" customHeight="false" outlineLevel="0" collapsed="false">
      <c r="A3987" s="3" t="s">
        <v>415</v>
      </c>
      <c r="B3987" s="4" t="s">
        <v>60</v>
      </c>
      <c r="C3987" s="4" t="n">
        <v>6</v>
      </c>
      <c r="D3987" s="4" t="s">
        <v>102</v>
      </c>
      <c r="E3987" s="3" t="s">
        <v>387</v>
      </c>
      <c r="F3987" s="4" t="str">
        <f aca="false">IF(I3987&gt;J3987,"Y","N")</f>
        <v>N</v>
      </c>
      <c r="G3987" s="3" t="s">
        <v>388</v>
      </c>
      <c r="H3987" s="3" t="s">
        <v>42</v>
      </c>
      <c r="I3987" s="4" t="n">
        <v>2</v>
      </c>
      <c r="J3987" s="4" t="n">
        <f aca="false">LEN(E3987)-LEN(SUBSTITUTE(E3987,",",""))+1</f>
        <v>2</v>
      </c>
      <c r="K3987" s="3" t="str">
        <f aca="false">IFERROR(INDEX('Teacher Lookup'!$B$2:$B$200,MATCH(A3987,'Teacher Lookup'!$A$2:$A$200,0)),"")</f>
        <v>LEE Feliz</v>
      </c>
    </row>
    <row r="3988" customFormat="false" ht="15" hidden="false" customHeight="false" outlineLevel="0" collapsed="false">
      <c r="A3988" s="3" t="s">
        <v>415</v>
      </c>
      <c r="B3988" s="4" t="s">
        <v>60</v>
      </c>
      <c r="C3988" s="4" t="n">
        <v>6</v>
      </c>
      <c r="D3988" s="4" t="s">
        <v>107</v>
      </c>
      <c r="E3988" s="3" t="s">
        <v>387</v>
      </c>
      <c r="F3988" s="4" t="str">
        <f aca="false">IF(I3988&gt;J3988,"Y","N")</f>
        <v>N</v>
      </c>
      <c r="G3988" s="3" t="s">
        <v>388</v>
      </c>
      <c r="H3988" s="3" t="s">
        <v>42</v>
      </c>
      <c r="I3988" s="4" t="n">
        <v>2</v>
      </c>
      <c r="J3988" s="4" t="n">
        <f aca="false">LEN(E3988)-LEN(SUBSTITUTE(E3988,",",""))+1</f>
        <v>2</v>
      </c>
      <c r="K3988" s="3" t="str">
        <f aca="false">IFERROR(INDEX('Teacher Lookup'!$B$2:$B$200,MATCH(A3988,'Teacher Lookup'!$A$2:$A$200,0)),"")</f>
        <v>LEE Feliz</v>
      </c>
    </row>
    <row r="3989" customFormat="false" ht="15" hidden="false" customHeight="false" outlineLevel="0" collapsed="false">
      <c r="A3989" s="3" t="s">
        <v>415</v>
      </c>
      <c r="B3989" s="4" t="s">
        <v>60</v>
      </c>
      <c r="C3989" s="4" t="n">
        <v>7</v>
      </c>
      <c r="D3989" s="4" t="s">
        <v>102</v>
      </c>
      <c r="E3989" s="3" t="s">
        <v>387</v>
      </c>
      <c r="F3989" s="4" t="str">
        <f aca="false">IF(I3989&gt;J3989,"Y","N")</f>
        <v>N</v>
      </c>
      <c r="G3989" s="3" t="s">
        <v>388</v>
      </c>
      <c r="H3989" s="3" t="s">
        <v>39</v>
      </c>
      <c r="I3989" s="4" t="n">
        <v>2</v>
      </c>
      <c r="J3989" s="4" t="n">
        <f aca="false">LEN(E3989)-LEN(SUBSTITUTE(E3989,",",""))+1</f>
        <v>2</v>
      </c>
      <c r="K3989" s="3" t="str">
        <f aca="false">IFERROR(INDEX('Teacher Lookup'!$B$2:$B$200,MATCH(A3989,'Teacher Lookup'!$A$2:$A$200,0)),"")</f>
        <v>LEE Feliz</v>
      </c>
    </row>
    <row r="3990" customFormat="false" ht="15" hidden="false" customHeight="false" outlineLevel="0" collapsed="false">
      <c r="A3990" s="3" t="s">
        <v>415</v>
      </c>
      <c r="B3990" s="4" t="s">
        <v>60</v>
      </c>
      <c r="C3990" s="4" t="n">
        <v>7</v>
      </c>
      <c r="D3990" s="4" t="s">
        <v>107</v>
      </c>
      <c r="E3990" s="3" t="s">
        <v>387</v>
      </c>
      <c r="F3990" s="4" t="str">
        <f aca="false">IF(I3990&gt;J3990,"Y","N")</f>
        <v>N</v>
      </c>
      <c r="G3990" s="3" t="s">
        <v>388</v>
      </c>
      <c r="H3990" s="3" t="s">
        <v>39</v>
      </c>
      <c r="I3990" s="4" t="n">
        <v>2</v>
      </c>
      <c r="J3990" s="4" t="n">
        <f aca="false">LEN(E3990)-LEN(SUBSTITUTE(E3990,",",""))+1</f>
        <v>2</v>
      </c>
      <c r="K3990" s="3" t="str">
        <f aca="false">IFERROR(INDEX('Teacher Lookup'!$B$2:$B$200,MATCH(A3990,'Teacher Lookup'!$A$2:$A$200,0)),"")</f>
        <v>LEE Feliz</v>
      </c>
    </row>
    <row r="3991" customFormat="false" ht="15" hidden="false" customHeight="false" outlineLevel="0" collapsed="false">
      <c r="A3991" s="3" t="s">
        <v>415</v>
      </c>
      <c r="B3991" s="4" t="s">
        <v>63</v>
      </c>
      <c r="C3991" s="4" t="n">
        <v>1</v>
      </c>
      <c r="D3991" s="4" t="s">
        <v>74</v>
      </c>
      <c r="E3991" s="3" t="s">
        <v>387</v>
      </c>
      <c r="F3991" s="4" t="str">
        <f aca="false">IF(I3991&gt;J3991,"Y","N")</f>
        <v>N</v>
      </c>
      <c r="G3991" s="3" t="s">
        <v>388</v>
      </c>
      <c r="H3991" s="3" t="s">
        <v>16</v>
      </c>
      <c r="I3991" s="4" t="n">
        <v>2</v>
      </c>
      <c r="J3991" s="4" t="n">
        <f aca="false">LEN(E3991)-LEN(SUBSTITUTE(E3991,",",""))+1</f>
        <v>2</v>
      </c>
      <c r="K3991" s="3" t="str">
        <f aca="false">IFERROR(INDEX('Teacher Lookup'!$B$2:$B$200,MATCH(A3991,'Teacher Lookup'!$A$2:$A$200,0)),"")</f>
        <v>LEE Feliz</v>
      </c>
    </row>
    <row r="3992" customFormat="false" ht="15" hidden="false" customHeight="false" outlineLevel="0" collapsed="false">
      <c r="A3992" s="3" t="s">
        <v>415</v>
      </c>
      <c r="B3992" s="4" t="s">
        <v>63</v>
      </c>
      <c r="C3992" s="4" t="n">
        <v>1</v>
      </c>
      <c r="D3992" s="4" t="s">
        <v>79</v>
      </c>
      <c r="E3992" s="3" t="s">
        <v>387</v>
      </c>
      <c r="F3992" s="4" t="str">
        <f aca="false">IF(I3992&gt;J3992,"Y","N")</f>
        <v>N</v>
      </c>
      <c r="G3992" s="3" t="s">
        <v>388</v>
      </c>
      <c r="H3992" s="3" t="s">
        <v>16</v>
      </c>
      <c r="I3992" s="4" t="n">
        <v>2</v>
      </c>
      <c r="J3992" s="4" t="n">
        <f aca="false">LEN(E3992)-LEN(SUBSTITUTE(E3992,",",""))+1</f>
        <v>2</v>
      </c>
      <c r="K3992" s="3" t="str">
        <f aca="false">IFERROR(INDEX('Teacher Lookup'!$B$2:$B$200,MATCH(A3992,'Teacher Lookup'!$A$2:$A$200,0)),"")</f>
        <v>LEE Feliz</v>
      </c>
    </row>
    <row r="3993" customFormat="false" ht="15" hidden="false" customHeight="false" outlineLevel="0" collapsed="false">
      <c r="A3993" s="3" t="s">
        <v>415</v>
      </c>
      <c r="B3993" s="4" t="s">
        <v>63</v>
      </c>
      <c r="C3993" s="4" t="n">
        <v>2</v>
      </c>
      <c r="D3993" s="4" t="s">
        <v>74</v>
      </c>
      <c r="E3993" s="3" t="s">
        <v>387</v>
      </c>
      <c r="F3993" s="4" t="str">
        <f aca="false">IF(I3993&gt;J3993,"Y","N")</f>
        <v>N</v>
      </c>
      <c r="G3993" s="3" t="s">
        <v>388</v>
      </c>
      <c r="H3993" s="3" t="s">
        <v>21</v>
      </c>
      <c r="I3993" s="4" t="n">
        <v>2</v>
      </c>
      <c r="J3993" s="4" t="n">
        <f aca="false">LEN(E3993)-LEN(SUBSTITUTE(E3993,",",""))+1</f>
        <v>2</v>
      </c>
      <c r="K3993" s="3" t="str">
        <f aca="false">IFERROR(INDEX('Teacher Lookup'!$B$2:$B$200,MATCH(A3993,'Teacher Lookup'!$A$2:$A$200,0)),"")</f>
        <v>LEE Feliz</v>
      </c>
    </row>
    <row r="3994" customFormat="false" ht="15" hidden="false" customHeight="false" outlineLevel="0" collapsed="false">
      <c r="A3994" s="3" t="s">
        <v>415</v>
      </c>
      <c r="B3994" s="4" t="s">
        <v>63</v>
      </c>
      <c r="C3994" s="4" t="n">
        <v>2</v>
      </c>
      <c r="D3994" s="4" t="s">
        <v>79</v>
      </c>
      <c r="E3994" s="3" t="s">
        <v>387</v>
      </c>
      <c r="F3994" s="4" t="str">
        <f aca="false">IF(I3994&gt;J3994,"Y","N")</f>
        <v>N</v>
      </c>
      <c r="G3994" s="3" t="s">
        <v>388</v>
      </c>
      <c r="H3994" s="3" t="s">
        <v>21</v>
      </c>
      <c r="I3994" s="4" t="n">
        <v>2</v>
      </c>
      <c r="J3994" s="4" t="n">
        <f aca="false">LEN(E3994)-LEN(SUBSTITUTE(E3994,",",""))+1</f>
        <v>2</v>
      </c>
      <c r="K3994" s="3" t="str">
        <f aca="false">IFERROR(INDEX('Teacher Lookup'!$B$2:$B$200,MATCH(A3994,'Teacher Lookup'!$A$2:$A$200,0)),"")</f>
        <v>LEE Feliz</v>
      </c>
    </row>
    <row r="3995" customFormat="false" ht="15" hidden="false" customHeight="false" outlineLevel="0" collapsed="false">
      <c r="A3995" s="3" t="s">
        <v>415</v>
      </c>
      <c r="B3995" s="4" t="s">
        <v>63</v>
      </c>
      <c r="C3995" s="4" t="n">
        <v>6</v>
      </c>
      <c r="D3995" s="4" t="s">
        <v>19</v>
      </c>
      <c r="E3995" s="3" t="s">
        <v>387</v>
      </c>
      <c r="F3995" s="4" t="str">
        <f aca="false">IF(I3995&gt;J3995,"Y","N")</f>
        <v>N</v>
      </c>
      <c r="G3995" s="3" t="s">
        <v>388</v>
      </c>
      <c r="H3995" s="3" t="s">
        <v>42</v>
      </c>
      <c r="I3995" s="4" t="n">
        <v>2</v>
      </c>
      <c r="J3995" s="4" t="n">
        <f aca="false">LEN(E3995)-LEN(SUBSTITUTE(E3995,",",""))+1</f>
        <v>2</v>
      </c>
      <c r="K3995" s="3" t="str">
        <f aca="false">IFERROR(INDEX('Teacher Lookup'!$B$2:$B$200,MATCH(A3995,'Teacher Lookup'!$A$2:$A$200,0)),"")</f>
        <v>LEE Feliz</v>
      </c>
    </row>
    <row r="3996" customFormat="false" ht="15" hidden="false" customHeight="false" outlineLevel="0" collapsed="false">
      <c r="A3996" s="3" t="s">
        <v>415</v>
      </c>
      <c r="B3996" s="4" t="s">
        <v>63</v>
      </c>
      <c r="C3996" s="4" t="n">
        <v>6</v>
      </c>
      <c r="D3996" s="4" t="s">
        <v>22</v>
      </c>
      <c r="E3996" s="3" t="s">
        <v>387</v>
      </c>
      <c r="F3996" s="4" t="str">
        <f aca="false">IF(I3996&gt;J3996,"Y","N")</f>
        <v>N</v>
      </c>
      <c r="G3996" s="3" t="s">
        <v>388</v>
      </c>
      <c r="H3996" s="3" t="s">
        <v>42</v>
      </c>
      <c r="I3996" s="4" t="n">
        <v>2</v>
      </c>
      <c r="J3996" s="4" t="n">
        <f aca="false">LEN(E3996)-LEN(SUBSTITUTE(E3996,",",""))+1</f>
        <v>2</v>
      </c>
      <c r="K3996" s="3" t="str">
        <f aca="false">IFERROR(INDEX('Teacher Lookup'!$B$2:$B$200,MATCH(A3996,'Teacher Lookup'!$A$2:$A$200,0)),"")</f>
        <v>LEE Feliz</v>
      </c>
    </row>
    <row r="3997" customFormat="false" ht="15" hidden="false" customHeight="false" outlineLevel="0" collapsed="false">
      <c r="A3997" s="3" t="s">
        <v>415</v>
      </c>
      <c r="B3997" s="4" t="s">
        <v>63</v>
      </c>
      <c r="C3997" s="4" t="n">
        <v>7</v>
      </c>
      <c r="D3997" s="4" t="s">
        <v>19</v>
      </c>
      <c r="E3997" s="3" t="s">
        <v>387</v>
      </c>
      <c r="F3997" s="4" t="str">
        <f aca="false">IF(I3997&gt;J3997,"Y","N")</f>
        <v>N</v>
      </c>
      <c r="G3997" s="3" t="s">
        <v>388</v>
      </c>
      <c r="H3997" s="3" t="s">
        <v>39</v>
      </c>
      <c r="I3997" s="4" t="n">
        <v>2</v>
      </c>
      <c r="J3997" s="4" t="n">
        <f aca="false">LEN(E3997)-LEN(SUBSTITUTE(E3997,",",""))+1</f>
        <v>2</v>
      </c>
      <c r="K3997" s="3" t="str">
        <f aca="false">IFERROR(INDEX('Teacher Lookup'!$B$2:$B$200,MATCH(A3997,'Teacher Lookup'!$A$2:$A$200,0)),"")</f>
        <v>LEE Feliz</v>
      </c>
    </row>
    <row r="3998" customFormat="false" ht="15" hidden="false" customHeight="false" outlineLevel="0" collapsed="false">
      <c r="A3998" s="3" t="s">
        <v>415</v>
      </c>
      <c r="B3998" s="4" t="s">
        <v>63</v>
      </c>
      <c r="C3998" s="4" t="n">
        <v>7</v>
      </c>
      <c r="D3998" s="4" t="s">
        <v>22</v>
      </c>
      <c r="E3998" s="3" t="s">
        <v>387</v>
      </c>
      <c r="F3998" s="4" t="str">
        <f aca="false">IF(I3998&gt;J3998,"Y","N")</f>
        <v>N</v>
      </c>
      <c r="G3998" s="3" t="s">
        <v>388</v>
      </c>
      <c r="H3998" s="3" t="s">
        <v>39</v>
      </c>
      <c r="I3998" s="4" t="n">
        <v>2</v>
      </c>
      <c r="J3998" s="4" t="n">
        <f aca="false">LEN(E3998)-LEN(SUBSTITUTE(E3998,",",""))+1</f>
        <v>2</v>
      </c>
      <c r="K3998" s="3" t="str">
        <f aca="false">IFERROR(INDEX('Teacher Lookup'!$B$2:$B$200,MATCH(A3998,'Teacher Lookup'!$A$2:$A$200,0)),"")</f>
        <v>LEE Feliz</v>
      </c>
    </row>
    <row r="3999" customFormat="false" ht="15" hidden="false" customHeight="false" outlineLevel="0" collapsed="false">
      <c r="A3999" s="3" t="s">
        <v>415</v>
      </c>
      <c r="B3999" s="4" t="s">
        <v>65</v>
      </c>
      <c r="C3999" s="4" t="n">
        <v>1</v>
      </c>
      <c r="D3999" s="4" t="s">
        <v>76</v>
      </c>
      <c r="E3999" s="3" t="s">
        <v>387</v>
      </c>
      <c r="F3999" s="4" t="str">
        <f aca="false">IF(I3999&gt;J3999,"Y","N")</f>
        <v>N</v>
      </c>
      <c r="G3999" s="3" t="s">
        <v>388</v>
      </c>
      <c r="H3999" s="3" t="s">
        <v>16</v>
      </c>
      <c r="I3999" s="4" t="n">
        <v>2</v>
      </c>
      <c r="J3999" s="4" t="n">
        <f aca="false">LEN(E3999)-LEN(SUBSTITUTE(E3999,",",""))+1</f>
        <v>2</v>
      </c>
      <c r="K3999" s="3" t="str">
        <f aca="false">IFERROR(INDEX('Teacher Lookup'!$B$2:$B$200,MATCH(A3999,'Teacher Lookup'!$A$2:$A$200,0)),"")</f>
        <v>LEE Feliz</v>
      </c>
    </row>
    <row r="4000" customFormat="false" ht="15" hidden="false" customHeight="false" outlineLevel="0" collapsed="false">
      <c r="A4000" s="3" t="s">
        <v>415</v>
      </c>
      <c r="B4000" s="4" t="s">
        <v>65</v>
      </c>
      <c r="C4000" s="4" t="n">
        <v>1</v>
      </c>
      <c r="D4000" s="4" t="s">
        <v>78</v>
      </c>
      <c r="E4000" s="3" t="s">
        <v>387</v>
      </c>
      <c r="F4000" s="4" t="str">
        <f aca="false">IF(I4000&gt;J4000,"Y","N")</f>
        <v>N</v>
      </c>
      <c r="G4000" s="3" t="s">
        <v>388</v>
      </c>
      <c r="H4000" s="3" t="s">
        <v>16</v>
      </c>
      <c r="I4000" s="4" t="n">
        <v>2</v>
      </c>
      <c r="J4000" s="4" t="n">
        <f aca="false">LEN(E4000)-LEN(SUBSTITUTE(E4000,",",""))+1</f>
        <v>2</v>
      </c>
      <c r="K4000" s="3" t="str">
        <f aca="false">IFERROR(INDEX('Teacher Lookup'!$B$2:$B$200,MATCH(A4000,'Teacher Lookup'!$A$2:$A$200,0)),"")</f>
        <v>LEE Feliz</v>
      </c>
    </row>
    <row r="4001" customFormat="false" ht="15" hidden="false" customHeight="false" outlineLevel="0" collapsed="false">
      <c r="A4001" s="3" t="s">
        <v>415</v>
      </c>
      <c r="B4001" s="4" t="s">
        <v>65</v>
      </c>
      <c r="C4001" s="4" t="n">
        <v>2</v>
      </c>
      <c r="D4001" s="4" t="s">
        <v>76</v>
      </c>
      <c r="E4001" s="3" t="s">
        <v>387</v>
      </c>
      <c r="F4001" s="4" t="str">
        <f aca="false">IF(I4001&gt;J4001,"Y","N")</f>
        <v>N</v>
      </c>
      <c r="G4001" s="3" t="s">
        <v>388</v>
      </c>
      <c r="H4001" s="3" t="s">
        <v>21</v>
      </c>
      <c r="I4001" s="4" t="n">
        <v>2</v>
      </c>
      <c r="J4001" s="4" t="n">
        <f aca="false">LEN(E4001)-LEN(SUBSTITUTE(E4001,",",""))+1</f>
        <v>2</v>
      </c>
      <c r="K4001" s="3" t="str">
        <f aca="false">IFERROR(INDEX('Teacher Lookup'!$B$2:$B$200,MATCH(A4001,'Teacher Lookup'!$A$2:$A$200,0)),"")</f>
        <v>LEE Feliz</v>
      </c>
    </row>
    <row r="4002" customFormat="false" ht="15" hidden="false" customHeight="false" outlineLevel="0" collapsed="false">
      <c r="A4002" s="3" t="s">
        <v>415</v>
      </c>
      <c r="B4002" s="4" t="s">
        <v>65</v>
      </c>
      <c r="C4002" s="4" t="n">
        <v>2</v>
      </c>
      <c r="D4002" s="4" t="s">
        <v>78</v>
      </c>
      <c r="E4002" s="3" t="s">
        <v>387</v>
      </c>
      <c r="F4002" s="4" t="str">
        <f aca="false">IF(I4002&gt;J4002,"Y","N")</f>
        <v>N</v>
      </c>
      <c r="G4002" s="3" t="s">
        <v>388</v>
      </c>
      <c r="H4002" s="3" t="s">
        <v>21</v>
      </c>
      <c r="I4002" s="4" t="n">
        <v>2</v>
      </c>
      <c r="J4002" s="4" t="n">
        <f aca="false">LEN(E4002)-LEN(SUBSTITUTE(E4002,",",""))+1</f>
        <v>2</v>
      </c>
      <c r="K4002" s="3" t="str">
        <f aca="false">IFERROR(INDEX('Teacher Lookup'!$B$2:$B$200,MATCH(A4002,'Teacher Lookup'!$A$2:$A$200,0)),"")</f>
        <v>LEE Feliz</v>
      </c>
    </row>
    <row r="4003" customFormat="false" ht="15" hidden="false" customHeight="false" outlineLevel="0" collapsed="false">
      <c r="A4003" s="3" t="s">
        <v>415</v>
      </c>
      <c r="B4003" s="4" t="s">
        <v>65</v>
      </c>
      <c r="C4003" s="4" t="n">
        <v>5</v>
      </c>
      <c r="D4003" s="4" t="s">
        <v>70</v>
      </c>
      <c r="E4003" s="3" t="s">
        <v>81</v>
      </c>
      <c r="F4003" s="4" t="str">
        <f aca="false">IF(I4003&gt;J4003,"Y","N")</f>
        <v>Y</v>
      </c>
      <c r="G4003" s="3" t="s">
        <v>36</v>
      </c>
      <c r="H4003" s="3" t="s">
        <v>37</v>
      </c>
      <c r="I4003" s="4" t="n">
        <v>15</v>
      </c>
      <c r="J4003" s="4" t="n">
        <f aca="false">LEN(E4003)-LEN(SUBSTITUTE(E4003,",",""))+1</f>
        <v>7</v>
      </c>
      <c r="K4003" s="3" t="str">
        <f aca="false">IFERROR(INDEX('Teacher Lookup'!$B$2:$B$200,MATCH(A4003,'Teacher Lookup'!$A$2:$A$200,0)),"")</f>
        <v>LEE Feliz</v>
      </c>
    </row>
    <row r="4004" customFormat="false" ht="15" hidden="false" customHeight="false" outlineLevel="0" collapsed="false">
      <c r="A4004" s="3" t="s">
        <v>415</v>
      </c>
      <c r="B4004" s="4" t="s">
        <v>65</v>
      </c>
      <c r="C4004" s="4" t="n">
        <v>5</v>
      </c>
      <c r="D4004" s="4" t="s">
        <v>73</v>
      </c>
      <c r="E4004" s="3" t="s">
        <v>81</v>
      </c>
      <c r="F4004" s="4" t="str">
        <f aca="false">IF(I4004&gt;J4004,"Y","N")</f>
        <v>Y</v>
      </c>
      <c r="G4004" s="3" t="s">
        <v>36</v>
      </c>
      <c r="H4004" s="3" t="s">
        <v>37</v>
      </c>
      <c r="I4004" s="4" t="n">
        <v>15</v>
      </c>
      <c r="J4004" s="4" t="n">
        <f aca="false">LEN(E4004)-LEN(SUBSTITUTE(E4004,",",""))+1</f>
        <v>7</v>
      </c>
      <c r="K4004" s="3" t="str">
        <f aca="false">IFERROR(INDEX('Teacher Lookup'!$B$2:$B$200,MATCH(A4004,'Teacher Lookup'!$A$2:$A$200,0)),"")</f>
        <v>LEE Feliz</v>
      </c>
    </row>
    <row r="4005" customFormat="false" ht="15" hidden="false" customHeight="false" outlineLevel="0" collapsed="false">
      <c r="A4005" s="3" t="s">
        <v>415</v>
      </c>
      <c r="B4005" s="4" t="s">
        <v>65</v>
      </c>
      <c r="C4005" s="4" t="n">
        <v>5</v>
      </c>
      <c r="D4005" s="4" t="s">
        <v>74</v>
      </c>
      <c r="E4005" s="3" t="s">
        <v>81</v>
      </c>
      <c r="F4005" s="4" t="str">
        <f aca="false">IF(I4005&gt;J4005,"Y","N")</f>
        <v>Y</v>
      </c>
      <c r="G4005" s="3" t="s">
        <v>36</v>
      </c>
      <c r="H4005" s="3" t="s">
        <v>37</v>
      </c>
      <c r="I4005" s="4" t="n">
        <v>15</v>
      </c>
      <c r="J4005" s="4" t="n">
        <f aca="false">LEN(E4005)-LEN(SUBSTITUTE(E4005,",",""))+1</f>
        <v>7</v>
      </c>
      <c r="K4005" s="3" t="str">
        <f aca="false">IFERROR(INDEX('Teacher Lookup'!$B$2:$B$200,MATCH(A4005,'Teacher Lookup'!$A$2:$A$200,0)),"")</f>
        <v>LEE Feliz</v>
      </c>
    </row>
    <row r="4006" customFormat="false" ht="15" hidden="false" customHeight="false" outlineLevel="0" collapsed="false">
      <c r="A4006" s="3" t="s">
        <v>415</v>
      </c>
      <c r="B4006" s="4" t="s">
        <v>65</v>
      </c>
      <c r="C4006" s="4" t="n">
        <v>5</v>
      </c>
      <c r="D4006" s="4" t="s">
        <v>76</v>
      </c>
      <c r="E4006" s="3" t="s">
        <v>81</v>
      </c>
      <c r="F4006" s="4" t="str">
        <f aca="false">IF(I4006&gt;J4006,"Y","N")</f>
        <v>Y</v>
      </c>
      <c r="G4006" s="3" t="s">
        <v>36</v>
      </c>
      <c r="H4006" s="3" t="s">
        <v>37</v>
      </c>
      <c r="I4006" s="4" t="n">
        <v>15</v>
      </c>
      <c r="J4006" s="4" t="n">
        <f aca="false">LEN(E4006)-LEN(SUBSTITUTE(E4006,",",""))+1</f>
        <v>7</v>
      </c>
      <c r="K4006" s="3" t="str">
        <f aca="false">IFERROR(INDEX('Teacher Lookup'!$B$2:$B$200,MATCH(A4006,'Teacher Lookup'!$A$2:$A$200,0)),"")</f>
        <v>LEE Feliz</v>
      </c>
    </row>
    <row r="4007" customFormat="false" ht="15" hidden="false" customHeight="false" outlineLevel="0" collapsed="false">
      <c r="A4007" s="3" t="s">
        <v>415</v>
      </c>
      <c r="B4007" s="4" t="s">
        <v>65</v>
      </c>
      <c r="C4007" s="4" t="n">
        <v>5</v>
      </c>
      <c r="D4007" s="4" t="s">
        <v>78</v>
      </c>
      <c r="E4007" s="3" t="s">
        <v>81</v>
      </c>
      <c r="F4007" s="4" t="str">
        <f aca="false">IF(I4007&gt;J4007,"Y","N")</f>
        <v>Y</v>
      </c>
      <c r="G4007" s="3" t="s">
        <v>36</v>
      </c>
      <c r="H4007" s="3" t="s">
        <v>37</v>
      </c>
      <c r="I4007" s="4" t="n">
        <v>15</v>
      </c>
      <c r="J4007" s="4" t="n">
        <f aca="false">LEN(E4007)-LEN(SUBSTITUTE(E4007,",",""))+1</f>
        <v>7</v>
      </c>
      <c r="K4007" s="3" t="str">
        <f aca="false">IFERROR(INDEX('Teacher Lookup'!$B$2:$B$200,MATCH(A4007,'Teacher Lookup'!$A$2:$A$200,0)),"")</f>
        <v>LEE Feliz</v>
      </c>
    </row>
    <row r="4008" customFormat="false" ht="15" hidden="false" customHeight="false" outlineLevel="0" collapsed="false">
      <c r="A4008" s="3" t="s">
        <v>415</v>
      </c>
      <c r="B4008" s="4" t="s">
        <v>65</v>
      </c>
      <c r="C4008" s="4" t="n">
        <v>5</v>
      </c>
      <c r="D4008" s="4" t="s">
        <v>79</v>
      </c>
      <c r="E4008" s="3" t="s">
        <v>81</v>
      </c>
      <c r="F4008" s="4" t="str">
        <f aca="false">IF(I4008&gt;J4008,"Y","N")</f>
        <v>Y</v>
      </c>
      <c r="G4008" s="3" t="s">
        <v>36</v>
      </c>
      <c r="H4008" s="3" t="s">
        <v>37</v>
      </c>
      <c r="I4008" s="4" t="n">
        <v>15</v>
      </c>
      <c r="J4008" s="4" t="n">
        <f aca="false">LEN(E4008)-LEN(SUBSTITUTE(E4008,",",""))+1</f>
        <v>7</v>
      </c>
      <c r="K4008" s="3" t="str">
        <f aca="false">IFERROR(INDEX('Teacher Lookup'!$B$2:$B$200,MATCH(A4008,'Teacher Lookup'!$A$2:$A$200,0)),"")</f>
        <v>LEE Feliz</v>
      </c>
    </row>
    <row r="4009" customFormat="false" ht="15" hidden="false" customHeight="false" outlineLevel="0" collapsed="false">
      <c r="A4009" s="3" t="s">
        <v>415</v>
      </c>
      <c r="B4009" s="4" t="s">
        <v>66</v>
      </c>
      <c r="C4009" s="4" t="n">
        <v>1</v>
      </c>
      <c r="D4009" s="4" t="s">
        <v>29</v>
      </c>
      <c r="E4009" s="3" t="s">
        <v>387</v>
      </c>
      <c r="F4009" s="4" t="str">
        <f aca="false">IF(I4009&gt;J4009,"Y","N")</f>
        <v>N</v>
      </c>
      <c r="G4009" s="3" t="s">
        <v>388</v>
      </c>
      <c r="H4009" s="3" t="s">
        <v>16</v>
      </c>
      <c r="I4009" s="4" t="n">
        <v>2</v>
      </c>
      <c r="J4009" s="4" t="n">
        <f aca="false">LEN(E4009)-LEN(SUBSTITUTE(E4009,",",""))+1</f>
        <v>2</v>
      </c>
      <c r="K4009" s="3" t="str">
        <f aca="false">IFERROR(INDEX('Teacher Lookup'!$B$2:$B$200,MATCH(A4009,'Teacher Lookup'!$A$2:$A$200,0)),"")</f>
        <v>LEE Feliz</v>
      </c>
    </row>
    <row r="4010" customFormat="false" ht="15" hidden="false" customHeight="false" outlineLevel="0" collapsed="false">
      <c r="A4010" s="3" t="s">
        <v>415</v>
      </c>
      <c r="B4010" s="4" t="s">
        <v>66</v>
      </c>
      <c r="C4010" s="4" t="n">
        <v>1</v>
      </c>
      <c r="D4010" s="4" t="s">
        <v>30</v>
      </c>
      <c r="E4010" s="3" t="s">
        <v>387</v>
      </c>
      <c r="F4010" s="4" t="str">
        <f aca="false">IF(I4010&gt;J4010,"Y","N")</f>
        <v>N</v>
      </c>
      <c r="G4010" s="3" t="s">
        <v>388</v>
      </c>
      <c r="H4010" s="3" t="s">
        <v>16</v>
      </c>
      <c r="I4010" s="4" t="n">
        <v>2</v>
      </c>
      <c r="J4010" s="4" t="n">
        <f aca="false">LEN(E4010)-LEN(SUBSTITUTE(E4010,",",""))+1</f>
        <v>2</v>
      </c>
      <c r="K4010" s="3" t="str">
        <f aca="false">IFERROR(INDEX('Teacher Lookup'!$B$2:$B$200,MATCH(A4010,'Teacher Lookup'!$A$2:$A$200,0)),"")</f>
        <v>LEE Feliz</v>
      </c>
    </row>
    <row r="4011" customFormat="false" ht="15" hidden="false" customHeight="false" outlineLevel="0" collapsed="false">
      <c r="A4011" s="3" t="s">
        <v>415</v>
      </c>
      <c r="B4011" s="4" t="s">
        <v>66</v>
      </c>
      <c r="C4011" s="4" t="n">
        <v>2</v>
      </c>
      <c r="D4011" s="4" t="s">
        <v>29</v>
      </c>
      <c r="E4011" s="3" t="s">
        <v>387</v>
      </c>
      <c r="F4011" s="4" t="str">
        <f aca="false">IF(I4011&gt;J4011,"Y","N")</f>
        <v>N</v>
      </c>
      <c r="G4011" s="3" t="s">
        <v>388</v>
      </c>
      <c r="H4011" s="3" t="s">
        <v>21</v>
      </c>
      <c r="I4011" s="4" t="n">
        <v>2</v>
      </c>
      <c r="J4011" s="4" t="n">
        <f aca="false">LEN(E4011)-LEN(SUBSTITUTE(E4011,",",""))+1</f>
        <v>2</v>
      </c>
      <c r="K4011" s="3" t="str">
        <f aca="false">IFERROR(INDEX('Teacher Lookup'!$B$2:$B$200,MATCH(A4011,'Teacher Lookup'!$A$2:$A$200,0)),"")</f>
        <v>LEE Feliz</v>
      </c>
    </row>
    <row r="4012" customFormat="false" ht="15" hidden="false" customHeight="false" outlineLevel="0" collapsed="false">
      <c r="A4012" s="3" t="s">
        <v>415</v>
      </c>
      <c r="B4012" s="4" t="s">
        <v>66</v>
      </c>
      <c r="C4012" s="4" t="n">
        <v>2</v>
      </c>
      <c r="D4012" s="4" t="s">
        <v>30</v>
      </c>
      <c r="E4012" s="3" t="s">
        <v>387</v>
      </c>
      <c r="F4012" s="4" t="str">
        <f aca="false">IF(I4012&gt;J4012,"Y","N")</f>
        <v>N</v>
      </c>
      <c r="G4012" s="3" t="s">
        <v>388</v>
      </c>
      <c r="H4012" s="3" t="s">
        <v>21</v>
      </c>
      <c r="I4012" s="4" t="n">
        <v>2</v>
      </c>
      <c r="J4012" s="4" t="n">
        <f aca="false">LEN(E4012)-LEN(SUBSTITUTE(E4012,",",""))+1</f>
        <v>2</v>
      </c>
      <c r="K4012" s="3" t="str">
        <f aca="false">IFERROR(INDEX('Teacher Lookup'!$B$2:$B$200,MATCH(A4012,'Teacher Lookup'!$A$2:$A$200,0)),"")</f>
        <v>LEE Feliz</v>
      </c>
    </row>
    <row r="4013" customFormat="false" ht="15" hidden="false" customHeight="false" outlineLevel="0" collapsed="false">
      <c r="A4013" s="3" t="s">
        <v>417</v>
      </c>
      <c r="B4013" s="4" t="s">
        <v>12</v>
      </c>
      <c r="C4013" s="4" t="n">
        <v>4</v>
      </c>
      <c r="D4013" s="4" t="s">
        <v>19</v>
      </c>
      <c r="E4013" s="3" t="s">
        <v>390</v>
      </c>
      <c r="F4013" s="4" t="str">
        <f aca="false">IF(I4013&gt;J4013,"Y","N")</f>
        <v>Y</v>
      </c>
      <c r="G4013" s="3" t="s">
        <v>222</v>
      </c>
      <c r="H4013" s="3" t="s">
        <v>34</v>
      </c>
      <c r="I4013" s="4" t="n">
        <v>14</v>
      </c>
      <c r="J4013" s="4" t="n">
        <f aca="false">LEN(E4013)-LEN(SUBSTITUTE(E4013,",",""))+1</f>
        <v>7</v>
      </c>
      <c r="K4013" s="3" t="str">
        <f aca="false">IFERROR(INDEX('Teacher Lookup'!$B$2:$B$200,MATCH(A4013,'Teacher Lookup'!$A$2:$A$200,0)),"")</f>
        <v>LEE Frances</v>
      </c>
    </row>
    <row r="4014" customFormat="false" ht="15" hidden="false" customHeight="false" outlineLevel="0" collapsed="false">
      <c r="A4014" s="3" t="s">
        <v>417</v>
      </c>
      <c r="B4014" s="4" t="s">
        <v>12</v>
      </c>
      <c r="C4014" s="4" t="n">
        <v>4</v>
      </c>
      <c r="D4014" s="4" t="s">
        <v>22</v>
      </c>
      <c r="E4014" s="3" t="s">
        <v>390</v>
      </c>
      <c r="F4014" s="4" t="str">
        <f aca="false">IF(I4014&gt;J4014,"Y","N")</f>
        <v>Y</v>
      </c>
      <c r="G4014" s="3" t="s">
        <v>222</v>
      </c>
      <c r="H4014" s="3" t="s">
        <v>34</v>
      </c>
      <c r="I4014" s="4" t="n">
        <v>14</v>
      </c>
      <c r="J4014" s="4" t="n">
        <f aca="false">LEN(E4014)-LEN(SUBSTITUTE(E4014,",",""))+1</f>
        <v>7</v>
      </c>
      <c r="K4014" s="3" t="str">
        <f aca="false">IFERROR(INDEX('Teacher Lookup'!$B$2:$B$200,MATCH(A4014,'Teacher Lookup'!$A$2:$A$200,0)),"")</f>
        <v>LEE Frances</v>
      </c>
    </row>
    <row r="4015" customFormat="false" ht="15" hidden="false" customHeight="false" outlineLevel="0" collapsed="false">
      <c r="A4015" s="3" t="s">
        <v>417</v>
      </c>
      <c r="B4015" s="4" t="s">
        <v>12</v>
      </c>
      <c r="C4015" s="4" t="n">
        <v>4</v>
      </c>
      <c r="D4015" s="4" t="s">
        <v>23</v>
      </c>
      <c r="E4015" s="3" t="s">
        <v>390</v>
      </c>
      <c r="F4015" s="4" t="str">
        <f aca="false">IF(I4015&gt;J4015,"Y","N")</f>
        <v>Y</v>
      </c>
      <c r="G4015" s="3" t="s">
        <v>222</v>
      </c>
      <c r="H4015" s="3" t="s">
        <v>34</v>
      </c>
      <c r="I4015" s="4" t="n">
        <v>14</v>
      </c>
      <c r="J4015" s="4" t="n">
        <f aca="false">LEN(E4015)-LEN(SUBSTITUTE(E4015,",",""))+1</f>
        <v>7</v>
      </c>
      <c r="K4015" s="3" t="str">
        <f aca="false">IFERROR(INDEX('Teacher Lookup'!$B$2:$B$200,MATCH(A4015,'Teacher Lookup'!$A$2:$A$200,0)),"")</f>
        <v>LEE Frances</v>
      </c>
    </row>
    <row r="4016" customFormat="false" ht="15" hidden="false" customHeight="false" outlineLevel="0" collapsed="false">
      <c r="A4016" s="3" t="s">
        <v>417</v>
      </c>
      <c r="B4016" s="4" t="s">
        <v>12</v>
      </c>
      <c r="C4016" s="4" t="n">
        <v>4</v>
      </c>
      <c r="D4016" s="4" t="s">
        <v>13</v>
      </c>
      <c r="E4016" s="3" t="s">
        <v>390</v>
      </c>
      <c r="F4016" s="4" t="str">
        <f aca="false">IF(I4016&gt;J4016,"Y","N")</f>
        <v>Y</v>
      </c>
      <c r="G4016" s="3" t="s">
        <v>222</v>
      </c>
      <c r="H4016" s="3" t="s">
        <v>34</v>
      </c>
      <c r="I4016" s="4" t="n">
        <v>14</v>
      </c>
      <c r="J4016" s="4" t="n">
        <f aca="false">LEN(E4016)-LEN(SUBSTITUTE(E4016,",",""))+1</f>
        <v>7</v>
      </c>
      <c r="K4016" s="3" t="str">
        <f aca="false">IFERROR(INDEX('Teacher Lookup'!$B$2:$B$200,MATCH(A4016,'Teacher Lookup'!$A$2:$A$200,0)),"")</f>
        <v>LEE Frances</v>
      </c>
    </row>
    <row r="4017" customFormat="false" ht="15" hidden="false" customHeight="false" outlineLevel="0" collapsed="false">
      <c r="A4017" s="3" t="s">
        <v>417</v>
      </c>
      <c r="B4017" s="4" t="s">
        <v>12</v>
      </c>
      <c r="C4017" s="4" t="n">
        <v>4</v>
      </c>
      <c r="D4017" s="4" t="s">
        <v>17</v>
      </c>
      <c r="E4017" s="3" t="s">
        <v>390</v>
      </c>
      <c r="F4017" s="4" t="str">
        <f aca="false">IF(I4017&gt;J4017,"Y","N")</f>
        <v>Y</v>
      </c>
      <c r="G4017" s="3" t="s">
        <v>222</v>
      </c>
      <c r="H4017" s="3" t="s">
        <v>34</v>
      </c>
      <c r="I4017" s="4" t="n">
        <v>14</v>
      </c>
      <c r="J4017" s="4" t="n">
        <f aca="false">LEN(E4017)-LEN(SUBSTITUTE(E4017,",",""))+1</f>
        <v>7</v>
      </c>
      <c r="K4017" s="3" t="str">
        <f aca="false">IFERROR(INDEX('Teacher Lookup'!$B$2:$B$200,MATCH(A4017,'Teacher Lookup'!$A$2:$A$200,0)),"")</f>
        <v>LEE Frances</v>
      </c>
    </row>
    <row r="4018" customFormat="false" ht="15" hidden="false" customHeight="false" outlineLevel="0" collapsed="false">
      <c r="A4018" s="3" t="s">
        <v>417</v>
      </c>
      <c r="B4018" s="4" t="s">
        <v>12</v>
      </c>
      <c r="C4018" s="4" t="n">
        <v>4</v>
      </c>
      <c r="D4018" s="4" t="s">
        <v>18</v>
      </c>
      <c r="E4018" s="3" t="s">
        <v>390</v>
      </c>
      <c r="F4018" s="4" t="str">
        <f aca="false">IF(I4018&gt;J4018,"Y","N")</f>
        <v>Y</v>
      </c>
      <c r="G4018" s="3" t="s">
        <v>222</v>
      </c>
      <c r="H4018" s="3" t="s">
        <v>34</v>
      </c>
      <c r="I4018" s="4" t="n">
        <v>14</v>
      </c>
      <c r="J4018" s="4" t="n">
        <f aca="false">LEN(E4018)-LEN(SUBSTITUTE(E4018,",",""))+1</f>
        <v>7</v>
      </c>
      <c r="K4018" s="3" t="str">
        <f aca="false">IFERROR(INDEX('Teacher Lookup'!$B$2:$B$200,MATCH(A4018,'Teacher Lookup'!$A$2:$A$200,0)),"")</f>
        <v>LEE Frances</v>
      </c>
    </row>
    <row r="4019" customFormat="false" ht="15" hidden="false" customHeight="false" outlineLevel="0" collapsed="false">
      <c r="A4019" s="3" t="s">
        <v>417</v>
      </c>
      <c r="B4019" s="4" t="s">
        <v>12</v>
      </c>
      <c r="C4019" s="4" t="n">
        <v>5</v>
      </c>
      <c r="D4019" s="4" t="s">
        <v>19</v>
      </c>
      <c r="E4019" s="3" t="s">
        <v>390</v>
      </c>
      <c r="F4019" s="4" t="str">
        <f aca="false">IF(I4019&gt;J4019,"Y","N")</f>
        <v>Y</v>
      </c>
      <c r="G4019" s="3" t="s">
        <v>222</v>
      </c>
      <c r="H4019" s="3" t="s">
        <v>37</v>
      </c>
      <c r="I4019" s="4" t="n">
        <v>14</v>
      </c>
      <c r="J4019" s="4" t="n">
        <f aca="false">LEN(E4019)-LEN(SUBSTITUTE(E4019,",",""))+1</f>
        <v>7</v>
      </c>
      <c r="K4019" s="3" t="str">
        <f aca="false">IFERROR(INDEX('Teacher Lookup'!$B$2:$B$200,MATCH(A4019,'Teacher Lookup'!$A$2:$A$200,0)),"")</f>
        <v>LEE Frances</v>
      </c>
    </row>
    <row r="4020" customFormat="false" ht="15" hidden="false" customHeight="false" outlineLevel="0" collapsed="false">
      <c r="A4020" s="3" t="s">
        <v>417</v>
      </c>
      <c r="B4020" s="4" t="s">
        <v>12</v>
      </c>
      <c r="C4020" s="4" t="n">
        <v>5</v>
      </c>
      <c r="D4020" s="4" t="s">
        <v>22</v>
      </c>
      <c r="E4020" s="3" t="s">
        <v>390</v>
      </c>
      <c r="F4020" s="4" t="str">
        <f aca="false">IF(I4020&gt;J4020,"Y","N")</f>
        <v>Y</v>
      </c>
      <c r="G4020" s="3" t="s">
        <v>222</v>
      </c>
      <c r="H4020" s="3" t="s">
        <v>37</v>
      </c>
      <c r="I4020" s="4" t="n">
        <v>14</v>
      </c>
      <c r="J4020" s="4" t="n">
        <f aca="false">LEN(E4020)-LEN(SUBSTITUTE(E4020,",",""))+1</f>
        <v>7</v>
      </c>
      <c r="K4020" s="3" t="str">
        <f aca="false">IFERROR(INDEX('Teacher Lookup'!$B$2:$B$200,MATCH(A4020,'Teacher Lookup'!$A$2:$A$200,0)),"")</f>
        <v>LEE Frances</v>
      </c>
    </row>
    <row r="4021" customFormat="false" ht="15" hidden="false" customHeight="false" outlineLevel="0" collapsed="false">
      <c r="A4021" s="3" t="s">
        <v>417</v>
      </c>
      <c r="B4021" s="4" t="s">
        <v>12</v>
      </c>
      <c r="C4021" s="4" t="n">
        <v>5</v>
      </c>
      <c r="D4021" s="4" t="s">
        <v>23</v>
      </c>
      <c r="E4021" s="3" t="s">
        <v>390</v>
      </c>
      <c r="F4021" s="4" t="str">
        <f aca="false">IF(I4021&gt;J4021,"Y","N")</f>
        <v>Y</v>
      </c>
      <c r="G4021" s="3" t="s">
        <v>222</v>
      </c>
      <c r="H4021" s="3" t="s">
        <v>37</v>
      </c>
      <c r="I4021" s="4" t="n">
        <v>14</v>
      </c>
      <c r="J4021" s="4" t="n">
        <f aca="false">LEN(E4021)-LEN(SUBSTITUTE(E4021,",",""))+1</f>
        <v>7</v>
      </c>
      <c r="K4021" s="3" t="str">
        <f aca="false">IFERROR(INDEX('Teacher Lookup'!$B$2:$B$200,MATCH(A4021,'Teacher Lookup'!$A$2:$A$200,0)),"")</f>
        <v>LEE Frances</v>
      </c>
    </row>
    <row r="4022" customFormat="false" ht="15" hidden="false" customHeight="false" outlineLevel="0" collapsed="false">
      <c r="A4022" s="3" t="s">
        <v>417</v>
      </c>
      <c r="B4022" s="4" t="s">
        <v>12</v>
      </c>
      <c r="C4022" s="4" t="n">
        <v>5</v>
      </c>
      <c r="D4022" s="4" t="s">
        <v>13</v>
      </c>
      <c r="E4022" s="3" t="s">
        <v>390</v>
      </c>
      <c r="F4022" s="4" t="str">
        <f aca="false">IF(I4022&gt;J4022,"Y","N")</f>
        <v>Y</v>
      </c>
      <c r="G4022" s="3" t="s">
        <v>222</v>
      </c>
      <c r="H4022" s="3" t="s">
        <v>37</v>
      </c>
      <c r="I4022" s="4" t="n">
        <v>14</v>
      </c>
      <c r="J4022" s="4" t="n">
        <f aca="false">LEN(E4022)-LEN(SUBSTITUTE(E4022,",",""))+1</f>
        <v>7</v>
      </c>
      <c r="K4022" s="3" t="str">
        <f aca="false">IFERROR(INDEX('Teacher Lookup'!$B$2:$B$200,MATCH(A4022,'Teacher Lookup'!$A$2:$A$200,0)),"")</f>
        <v>LEE Frances</v>
      </c>
    </row>
    <row r="4023" customFormat="false" ht="15" hidden="false" customHeight="false" outlineLevel="0" collapsed="false">
      <c r="A4023" s="3" t="s">
        <v>417</v>
      </c>
      <c r="B4023" s="4" t="s">
        <v>12</v>
      </c>
      <c r="C4023" s="4" t="n">
        <v>5</v>
      </c>
      <c r="D4023" s="4" t="s">
        <v>17</v>
      </c>
      <c r="E4023" s="3" t="s">
        <v>390</v>
      </c>
      <c r="F4023" s="4" t="str">
        <f aca="false">IF(I4023&gt;J4023,"Y","N")</f>
        <v>Y</v>
      </c>
      <c r="G4023" s="3" t="s">
        <v>222</v>
      </c>
      <c r="H4023" s="3" t="s">
        <v>37</v>
      </c>
      <c r="I4023" s="4" t="n">
        <v>14</v>
      </c>
      <c r="J4023" s="4" t="n">
        <f aca="false">LEN(E4023)-LEN(SUBSTITUTE(E4023,",",""))+1</f>
        <v>7</v>
      </c>
      <c r="K4023" s="3" t="str">
        <f aca="false">IFERROR(INDEX('Teacher Lookup'!$B$2:$B$200,MATCH(A4023,'Teacher Lookup'!$A$2:$A$200,0)),"")</f>
        <v>LEE Frances</v>
      </c>
    </row>
    <row r="4024" customFormat="false" ht="15" hidden="false" customHeight="false" outlineLevel="0" collapsed="false">
      <c r="A4024" s="3" t="s">
        <v>417</v>
      </c>
      <c r="B4024" s="4" t="s">
        <v>12</v>
      </c>
      <c r="C4024" s="4" t="n">
        <v>5</v>
      </c>
      <c r="D4024" s="4" t="s">
        <v>18</v>
      </c>
      <c r="E4024" s="3" t="s">
        <v>390</v>
      </c>
      <c r="F4024" s="4" t="str">
        <f aca="false">IF(I4024&gt;J4024,"Y","N")</f>
        <v>Y</v>
      </c>
      <c r="G4024" s="3" t="s">
        <v>222</v>
      </c>
      <c r="H4024" s="3" t="s">
        <v>37</v>
      </c>
      <c r="I4024" s="4" t="n">
        <v>14</v>
      </c>
      <c r="J4024" s="4" t="n">
        <f aca="false">LEN(E4024)-LEN(SUBSTITUTE(E4024,",",""))+1</f>
        <v>7</v>
      </c>
      <c r="K4024" s="3" t="str">
        <f aca="false">IFERROR(INDEX('Teacher Lookup'!$B$2:$B$200,MATCH(A4024,'Teacher Lookup'!$A$2:$A$200,0)),"")</f>
        <v>LEE Frances</v>
      </c>
    </row>
    <row r="4025" customFormat="false" ht="15" hidden="false" customHeight="false" outlineLevel="0" collapsed="false">
      <c r="A4025" s="3" t="s">
        <v>417</v>
      </c>
      <c r="B4025" s="4" t="s">
        <v>12</v>
      </c>
      <c r="C4025" s="4" t="n">
        <v>6</v>
      </c>
      <c r="D4025" s="4" t="s">
        <v>52</v>
      </c>
      <c r="E4025" s="3" t="s">
        <v>357</v>
      </c>
      <c r="F4025" s="4" t="str">
        <f aca="false">IF(I4025&gt;J4025,"Y","N")</f>
        <v>Y</v>
      </c>
      <c r="G4025" s="3" t="s">
        <v>358</v>
      </c>
      <c r="H4025" s="3" t="s">
        <v>42</v>
      </c>
      <c r="I4025" s="4" t="n">
        <v>9</v>
      </c>
      <c r="J4025" s="4" t="n">
        <f aca="false">LEN(E4025)-LEN(SUBSTITUTE(E4025,",",""))+1</f>
        <v>8</v>
      </c>
      <c r="K4025" s="3" t="str">
        <f aca="false">IFERROR(INDEX('Teacher Lookup'!$B$2:$B$200,MATCH(A4025,'Teacher Lookup'!$A$2:$A$200,0)),"")</f>
        <v>LEE Frances</v>
      </c>
    </row>
    <row r="4026" customFormat="false" ht="15" hidden="false" customHeight="false" outlineLevel="0" collapsed="false">
      <c r="A4026" s="3" t="s">
        <v>417</v>
      </c>
      <c r="B4026" s="4" t="s">
        <v>12</v>
      </c>
      <c r="C4026" s="4" t="n">
        <v>6</v>
      </c>
      <c r="D4026" s="4" t="s">
        <v>55</v>
      </c>
      <c r="E4026" s="3" t="s">
        <v>357</v>
      </c>
      <c r="F4026" s="4" t="str">
        <f aca="false">IF(I4026&gt;J4026,"Y","N")</f>
        <v>Y</v>
      </c>
      <c r="G4026" s="3" t="s">
        <v>358</v>
      </c>
      <c r="H4026" s="3" t="s">
        <v>42</v>
      </c>
      <c r="I4026" s="4" t="n">
        <v>9</v>
      </c>
      <c r="J4026" s="4" t="n">
        <f aca="false">LEN(E4026)-LEN(SUBSTITUTE(E4026,",",""))+1</f>
        <v>8</v>
      </c>
      <c r="K4026" s="3" t="str">
        <f aca="false">IFERROR(INDEX('Teacher Lookup'!$B$2:$B$200,MATCH(A4026,'Teacher Lookup'!$A$2:$A$200,0)),"")</f>
        <v>LEE Frances</v>
      </c>
    </row>
    <row r="4027" customFormat="false" ht="15" hidden="false" customHeight="false" outlineLevel="0" collapsed="false">
      <c r="A4027" s="3" t="s">
        <v>417</v>
      </c>
      <c r="B4027" s="4" t="s">
        <v>12</v>
      </c>
      <c r="C4027" s="4" t="n">
        <v>6</v>
      </c>
      <c r="D4027" s="4" t="s">
        <v>56</v>
      </c>
      <c r="E4027" s="3" t="s">
        <v>357</v>
      </c>
      <c r="F4027" s="4" t="str">
        <f aca="false">IF(I4027&gt;J4027,"Y","N")</f>
        <v>Y</v>
      </c>
      <c r="G4027" s="3" t="s">
        <v>358</v>
      </c>
      <c r="H4027" s="3" t="s">
        <v>42</v>
      </c>
      <c r="I4027" s="4" t="n">
        <v>9</v>
      </c>
      <c r="J4027" s="4" t="n">
        <f aca="false">LEN(E4027)-LEN(SUBSTITUTE(E4027,",",""))+1</f>
        <v>8</v>
      </c>
      <c r="K4027" s="3" t="str">
        <f aca="false">IFERROR(INDEX('Teacher Lookup'!$B$2:$B$200,MATCH(A4027,'Teacher Lookup'!$A$2:$A$200,0)),"")</f>
        <v>LEE Frances</v>
      </c>
    </row>
    <row r="4028" customFormat="false" ht="15" hidden="false" customHeight="false" outlineLevel="0" collapsed="false">
      <c r="A4028" s="3" t="s">
        <v>417</v>
      </c>
      <c r="B4028" s="4" t="s">
        <v>12</v>
      </c>
      <c r="C4028" s="4" t="n">
        <v>6</v>
      </c>
      <c r="D4028" s="4" t="s">
        <v>57</v>
      </c>
      <c r="E4028" s="3" t="s">
        <v>357</v>
      </c>
      <c r="F4028" s="4" t="str">
        <f aca="false">IF(I4028&gt;J4028,"Y","N")</f>
        <v>Y</v>
      </c>
      <c r="G4028" s="3" t="s">
        <v>358</v>
      </c>
      <c r="H4028" s="3" t="s">
        <v>42</v>
      </c>
      <c r="I4028" s="4" t="n">
        <v>9</v>
      </c>
      <c r="J4028" s="4" t="n">
        <f aca="false">LEN(E4028)-LEN(SUBSTITUTE(E4028,",",""))+1</f>
        <v>8</v>
      </c>
      <c r="K4028" s="3" t="str">
        <f aca="false">IFERROR(INDEX('Teacher Lookup'!$B$2:$B$200,MATCH(A4028,'Teacher Lookup'!$A$2:$A$200,0)),"")</f>
        <v>LEE Frances</v>
      </c>
    </row>
    <row r="4029" customFormat="false" ht="15" hidden="false" customHeight="false" outlineLevel="0" collapsed="false">
      <c r="A4029" s="3" t="s">
        <v>417</v>
      </c>
      <c r="B4029" s="4" t="s">
        <v>12</v>
      </c>
      <c r="C4029" s="4" t="n">
        <v>6</v>
      </c>
      <c r="D4029" s="4" t="s">
        <v>58</v>
      </c>
      <c r="E4029" s="3" t="s">
        <v>357</v>
      </c>
      <c r="F4029" s="4" t="str">
        <f aca="false">IF(I4029&gt;J4029,"Y","N")</f>
        <v>Y</v>
      </c>
      <c r="G4029" s="3" t="s">
        <v>358</v>
      </c>
      <c r="H4029" s="3" t="s">
        <v>42</v>
      </c>
      <c r="I4029" s="4" t="n">
        <v>9</v>
      </c>
      <c r="J4029" s="4" t="n">
        <f aca="false">LEN(E4029)-LEN(SUBSTITUTE(E4029,",",""))+1</f>
        <v>8</v>
      </c>
      <c r="K4029" s="3" t="str">
        <f aca="false">IFERROR(INDEX('Teacher Lookup'!$B$2:$B$200,MATCH(A4029,'Teacher Lookup'!$A$2:$A$200,0)),"")</f>
        <v>LEE Frances</v>
      </c>
    </row>
    <row r="4030" customFormat="false" ht="15" hidden="false" customHeight="false" outlineLevel="0" collapsed="false">
      <c r="A4030" s="3" t="s">
        <v>417</v>
      </c>
      <c r="B4030" s="4" t="s">
        <v>12</v>
      </c>
      <c r="C4030" s="4" t="n">
        <v>6</v>
      </c>
      <c r="D4030" s="4" t="s">
        <v>59</v>
      </c>
      <c r="E4030" s="3" t="s">
        <v>357</v>
      </c>
      <c r="F4030" s="4" t="str">
        <f aca="false">IF(I4030&gt;J4030,"Y","N")</f>
        <v>Y</v>
      </c>
      <c r="G4030" s="3" t="s">
        <v>358</v>
      </c>
      <c r="H4030" s="3" t="s">
        <v>42</v>
      </c>
      <c r="I4030" s="4" t="n">
        <v>9</v>
      </c>
      <c r="J4030" s="4" t="n">
        <f aca="false">LEN(E4030)-LEN(SUBSTITUTE(E4030,",",""))+1</f>
        <v>8</v>
      </c>
      <c r="K4030" s="3" t="str">
        <f aca="false">IFERROR(INDEX('Teacher Lookup'!$B$2:$B$200,MATCH(A4030,'Teacher Lookup'!$A$2:$A$200,0)),"")</f>
        <v>LEE Frances</v>
      </c>
    </row>
    <row r="4031" customFormat="false" ht="15" hidden="false" customHeight="false" outlineLevel="0" collapsed="false">
      <c r="A4031" s="3" t="s">
        <v>417</v>
      </c>
      <c r="B4031" s="4" t="s">
        <v>12</v>
      </c>
      <c r="C4031" s="4" t="n">
        <v>7</v>
      </c>
      <c r="D4031" s="4" t="s">
        <v>52</v>
      </c>
      <c r="E4031" s="3" t="s">
        <v>357</v>
      </c>
      <c r="F4031" s="4" t="str">
        <f aca="false">IF(I4031&gt;J4031,"Y","N")</f>
        <v>Y</v>
      </c>
      <c r="G4031" s="3" t="s">
        <v>358</v>
      </c>
      <c r="H4031" s="3" t="s">
        <v>39</v>
      </c>
      <c r="I4031" s="4" t="n">
        <v>9</v>
      </c>
      <c r="J4031" s="4" t="n">
        <f aca="false">LEN(E4031)-LEN(SUBSTITUTE(E4031,",",""))+1</f>
        <v>8</v>
      </c>
      <c r="K4031" s="3" t="str">
        <f aca="false">IFERROR(INDEX('Teacher Lookup'!$B$2:$B$200,MATCH(A4031,'Teacher Lookup'!$A$2:$A$200,0)),"")</f>
        <v>LEE Frances</v>
      </c>
    </row>
    <row r="4032" customFormat="false" ht="15" hidden="false" customHeight="false" outlineLevel="0" collapsed="false">
      <c r="A4032" s="3" t="s">
        <v>417</v>
      </c>
      <c r="B4032" s="4" t="s">
        <v>12</v>
      </c>
      <c r="C4032" s="4" t="n">
        <v>7</v>
      </c>
      <c r="D4032" s="4" t="s">
        <v>55</v>
      </c>
      <c r="E4032" s="3" t="s">
        <v>357</v>
      </c>
      <c r="F4032" s="4" t="str">
        <f aca="false">IF(I4032&gt;J4032,"Y","N")</f>
        <v>Y</v>
      </c>
      <c r="G4032" s="3" t="s">
        <v>358</v>
      </c>
      <c r="H4032" s="3" t="s">
        <v>39</v>
      </c>
      <c r="I4032" s="4" t="n">
        <v>9</v>
      </c>
      <c r="J4032" s="4" t="n">
        <f aca="false">LEN(E4032)-LEN(SUBSTITUTE(E4032,",",""))+1</f>
        <v>8</v>
      </c>
      <c r="K4032" s="3" t="str">
        <f aca="false">IFERROR(INDEX('Teacher Lookup'!$B$2:$B$200,MATCH(A4032,'Teacher Lookup'!$A$2:$A$200,0)),"")</f>
        <v>LEE Frances</v>
      </c>
    </row>
    <row r="4033" customFormat="false" ht="15" hidden="false" customHeight="false" outlineLevel="0" collapsed="false">
      <c r="A4033" s="3" t="s">
        <v>417</v>
      </c>
      <c r="B4033" s="4" t="s">
        <v>12</v>
      </c>
      <c r="C4033" s="4" t="n">
        <v>7</v>
      </c>
      <c r="D4033" s="4" t="s">
        <v>56</v>
      </c>
      <c r="E4033" s="3" t="s">
        <v>357</v>
      </c>
      <c r="F4033" s="4" t="str">
        <f aca="false">IF(I4033&gt;J4033,"Y","N")</f>
        <v>Y</v>
      </c>
      <c r="G4033" s="3" t="s">
        <v>358</v>
      </c>
      <c r="H4033" s="3" t="s">
        <v>39</v>
      </c>
      <c r="I4033" s="4" t="n">
        <v>9</v>
      </c>
      <c r="J4033" s="4" t="n">
        <f aca="false">LEN(E4033)-LEN(SUBSTITUTE(E4033,",",""))+1</f>
        <v>8</v>
      </c>
      <c r="K4033" s="3" t="str">
        <f aca="false">IFERROR(INDEX('Teacher Lookup'!$B$2:$B$200,MATCH(A4033,'Teacher Lookup'!$A$2:$A$200,0)),"")</f>
        <v>LEE Frances</v>
      </c>
    </row>
    <row r="4034" customFormat="false" ht="15" hidden="false" customHeight="false" outlineLevel="0" collapsed="false">
      <c r="A4034" s="3" t="s">
        <v>417</v>
      </c>
      <c r="B4034" s="4" t="s">
        <v>12</v>
      </c>
      <c r="C4034" s="4" t="n">
        <v>7</v>
      </c>
      <c r="D4034" s="4" t="s">
        <v>57</v>
      </c>
      <c r="E4034" s="3" t="s">
        <v>357</v>
      </c>
      <c r="F4034" s="4" t="str">
        <f aca="false">IF(I4034&gt;J4034,"Y","N")</f>
        <v>Y</v>
      </c>
      <c r="G4034" s="3" t="s">
        <v>358</v>
      </c>
      <c r="H4034" s="3" t="s">
        <v>39</v>
      </c>
      <c r="I4034" s="4" t="n">
        <v>9</v>
      </c>
      <c r="J4034" s="4" t="n">
        <f aca="false">LEN(E4034)-LEN(SUBSTITUTE(E4034,",",""))+1</f>
        <v>8</v>
      </c>
      <c r="K4034" s="3" t="str">
        <f aca="false">IFERROR(INDEX('Teacher Lookup'!$B$2:$B$200,MATCH(A4034,'Teacher Lookup'!$A$2:$A$200,0)),"")</f>
        <v>LEE Frances</v>
      </c>
    </row>
    <row r="4035" customFormat="false" ht="15" hidden="false" customHeight="false" outlineLevel="0" collapsed="false">
      <c r="A4035" s="3" t="s">
        <v>417</v>
      </c>
      <c r="B4035" s="4" t="s">
        <v>12</v>
      </c>
      <c r="C4035" s="4" t="n">
        <v>7</v>
      </c>
      <c r="D4035" s="4" t="s">
        <v>58</v>
      </c>
      <c r="E4035" s="3" t="s">
        <v>357</v>
      </c>
      <c r="F4035" s="4" t="str">
        <f aca="false">IF(I4035&gt;J4035,"Y","N")</f>
        <v>Y</v>
      </c>
      <c r="G4035" s="3" t="s">
        <v>358</v>
      </c>
      <c r="H4035" s="3" t="s">
        <v>39</v>
      </c>
      <c r="I4035" s="4" t="n">
        <v>9</v>
      </c>
      <c r="J4035" s="4" t="n">
        <f aca="false">LEN(E4035)-LEN(SUBSTITUTE(E4035,",",""))+1</f>
        <v>8</v>
      </c>
      <c r="K4035" s="3" t="str">
        <f aca="false">IFERROR(INDEX('Teacher Lookup'!$B$2:$B$200,MATCH(A4035,'Teacher Lookup'!$A$2:$A$200,0)),"")</f>
        <v>LEE Frances</v>
      </c>
    </row>
    <row r="4036" customFormat="false" ht="15" hidden="false" customHeight="false" outlineLevel="0" collapsed="false">
      <c r="A4036" s="3" t="s">
        <v>417</v>
      </c>
      <c r="B4036" s="4" t="s">
        <v>12</v>
      </c>
      <c r="C4036" s="4" t="n">
        <v>7</v>
      </c>
      <c r="D4036" s="4" t="s">
        <v>59</v>
      </c>
      <c r="E4036" s="3" t="s">
        <v>357</v>
      </c>
      <c r="F4036" s="4" t="str">
        <f aca="false">IF(I4036&gt;J4036,"Y","N")</f>
        <v>Y</v>
      </c>
      <c r="G4036" s="3" t="s">
        <v>358</v>
      </c>
      <c r="H4036" s="3" t="s">
        <v>39</v>
      </c>
      <c r="I4036" s="4" t="n">
        <v>9</v>
      </c>
      <c r="J4036" s="4" t="n">
        <f aca="false">LEN(E4036)-LEN(SUBSTITUTE(E4036,",",""))+1</f>
        <v>8</v>
      </c>
      <c r="K4036" s="3" t="str">
        <f aca="false">IFERROR(INDEX('Teacher Lookup'!$B$2:$B$200,MATCH(A4036,'Teacher Lookup'!$A$2:$A$200,0)),"")</f>
        <v>LEE Frances</v>
      </c>
    </row>
    <row r="4037" customFormat="false" ht="15" hidden="false" customHeight="false" outlineLevel="0" collapsed="false">
      <c r="A4037" s="3" t="s">
        <v>417</v>
      </c>
      <c r="B4037" s="4" t="s">
        <v>31</v>
      </c>
      <c r="C4037" s="4" t="n">
        <v>3</v>
      </c>
      <c r="D4037" s="4" t="s">
        <v>124</v>
      </c>
      <c r="E4037" s="3" t="s">
        <v>368</v>
      </c>
      <c r="F4037" s="4" t="str">
        <f aca="false">IF(I4037&gt;J4037,"Y","N")</f>
        <v>N</v>
      </c>
      <c r="G4037" s="3" t="s">
        <v>369</v>
      </c>
      <c r="H4037" s="3" t="s">
        <v>26</v>
      </c>
      <c r="I4037" s="4" t="n">
        <v>1</v>
      </c>
      <c r="J4037" s="4" t="n">
        <f aca="false">LEN(E4037)-LEN(SUBSTITUTE(E4037,",",""))+1</f>
        <v>1</v>
      </c>
      <c r="K4037" s="3" t="str">
        <f aca="false">IFERROR(INDEX('Teacher Lookup'!$B$2:$B$200,MATCH(A4037,'Teacher Lookup'!$A$2:$A$200,0)),"")</f>
        <v>LEE Frances</v>
      </c>
    </row>
    <row r="4038" customFormat="false" ht="15" hidden="false" customHeight="false" outlineLevel="0" collapsed="false">
      <c r="A4038" s="3" t="s">
        <v>417</v>
      </c>
      <c r="B4038" s="4" t="s">
        <v>31</v>
      </c>
      <c r="C4038" s="4" t="n">
        <v>6</v>
      </c>
      <c r="D4038" s="4" t="s">
        <v>23</v>
      </c>
      <c r="E4038" s="3" t="s">
        <v>368</v>
      </c>
      <c r="F4038" s="4" t="str">
        <f aca="false">IF(I4038&gt;J4038,"Y","N")</f>
        <v>N</v>
      </c>
      <c r="G4038" s="3" t="s">
        <v>369</v>
      </c>
      <c r="H4038" s="3" t="s">
        <v>42</v>
      </c>
      <c r="I4038" s="4" t="n">
        <v>1</v>
      </c>
      <c r="J4038" s="4" t="n">
        <f aca="false">LEN(E4038)-LEN(SUBSTITUTE(E4038,",",""))+1</f>
        <v>1</v>
      </c>
      <c r="K4038" s="3" t="str">
        <f aca="false">IFERROR(INDEX('Teacher Lookup'!$B$2:$B$200,MATCH(A4038,'Teacher Lookup'!$A$2:$A$200,0)),"")</f>
        <v>LEE Frances</v>
      </c>
    </row>
    <row r="4039" customFormat="false" ht="15" hidden="false" customHeight="false" outlineLevel="0" collapsed="false">
      <c r="A4039" s="3" t="s">
        <v>417</v>
      </c>
      <c r="B4039" s="4" t="s">
        <v>31</v>
      </c>
      <c r="C4039" s="4" t="n">
        <v>7</v>
      </c>
      <c r="D4039" s="4" t="s">
        <v>79</v>
      </c>
      <c r="E4039" s="3" t="s">
        <v>368</v>
      </c>
      <c r="F4039" s="4" t="str">
        <f aca="false">IF(I4039&gt;J4039,"Y","N")</f>
        <v>N</v>
      </c>
      <c r="G4039" s="3" t="s">
        <v>369</v>
      </c>
      <c r="H4039" s="3" t="s">
        <v>39</v>
      </c>
      <c r="I4039" s="4" t="n">
        <v>1</v>
      </c>
      <c r="J4039" s="4" t="n">
        <f aca="false">LEN(E4039)-LEN(SUBSTITUTE(E4039,",",""))+1</f>
        <v>1</v>
      </c>
      <c r="K4039" s="3" t="str">
        <f aca="false">IFERROR(INDEX('Teacher Lookup'!$B$2:$B$200,MATCH(A4039,'Teacher Lookup'!$A$2:$A$200,0)),"")</f>
        <v>LEE Frances</v>
      </c>
    </row>
    <row r="4040" customFormat="false" ht="15" hidden="false" customHeight="false" outlineLevel="0" collapsed="false">
      <c r="A4040" s="3" t="s">
        <v>417</v>
      </c>
      <c r="B4040" s="4" t="s">
        <v>44</v>
      </c>
      <c r="C4040" s="4" t="n">
        <v>4</v>
      </c>
      <c r="D4040" s="4" t="s">
        <v>22</v>
      </c>
      <c r="E4040" s="3" t="s">
        <v>368</v>
      </c>
      <c r="F4040" s="4" t="str">
        <f aca="false">IF(I4040&gt;J4040,"Y","N")</f>
        <v>N</v>
      </c>
      <c r="G4040" s="3" t="s">
        <v>369</v>
      </c>
      <c r="H4040" s="3" t="s">
        <v>34</v>
      </c>
      <c r="I4040" s="4" t="n">
        <v>1</v>
      </c>
      <c r="J4040" s="4" t="n">
        <f aca="false">LEN(E4040)-LEN(SUBSTITUTE(E4040,",",""))+1</f>
        <v>1</v>
      </c>
      <c r="K4040" s="3" t="str">
        <f aca="false">IFERROR(INDEX('Teacher Lookup'!$B$2:$B$200,MATCH(A4040,'Teacher Lookup'!$A$2:$A$200,0)),"")</f>
        <v>LEE Frances</v>
      </c>
    </row>
    <row r="4041" customFormat="false" ht="15" hidden="false" customHeight="false" outlineLevel="0" collapsed="false">
      <c r="A4041" s="3" t="s">
        <v>417</v>
      </c>
      <c r="B4041" s="4" t="s">
        <v>44</v>
      </c>
      <c r="C4041" s="4" t="n">
        <v>6</v>
      </c>
      <c r="D4041" s="4" t="s">
        <v>137</v>
      </c>
      <c r="E4041" s="3" t="s">
        <v>368</v>
      </c>
      <c r="F4041" s="4" t="str">
        <f aca="false">IF(I4041&gt;J4041,"Y","N")</f>
        <v>N</v>
      </c>
      <c r="G4041" s="3" t="s">
        <v>369</v>
      </c>
      <c r="H4041" s="3" t="s">
        <v>42</v>
      </c>
      <c r="I4041" s="4" t="n">
        <v>1</v>
      </c>
      <c r="J4041" s="4" t="n">
        <f aca="false">LEN(E4041)-LEN(SUBSTITUTE(E4041,",",""))+1</f>
        <v>1</v>
      </c>
      <c r="K4041" s="3" t="str">
        <f aca="false">IFERROR(INDEX('Teacher Lookup'!$B$2:$B$200,MATCH(A4041,'Teacher Lookup'!$A$2:$A$200,0)),"")</f>
        <v>LEE Frances</v>
      </c>
    </row>
    <row r="4042" customFormat="false" ht="15" hidden="false" customHeight="false" outlineLevel="0" collapsed="false">
      <c r="A4042" s="3" t="s">
        <v>417</v>
      </c>
      <c r="B4042" s="4" t="s">
        <v>47</v>
      </c>
      <c r="C4042" s="4" t="n">
        <v>1</v>
      </c>
      <c r="D4042" s="4" t="s">
        <v>17</v>
      </c>
      <c r="E4042" s="3" t="s">
        <v>368</v>
      </c>
      <c r="F4042" s="4" t="str">
        <f aca="false">IF(I4042&gt;J4042,"Y","N")</f>
        <v>N</v>
      </c>
      <c r="G4042" s="3" t="s">
        <v>369</v>
      </c>
      <c r="H4042" s="3" t="s">
        <v>16</v>
      </c>
      <c r="I4042" s="4" t="n">
        <v>1</v>
      </c>
      <c r="J4042" s="4" t="n">
        <f aca="false">LEN(E4042)-LEN(SUBSTITUTE(E4042,",",""))+1</f>
        <v>1</v>
      </c>
      <c r="K4042" s="3" t="str">
        <f aca="false">IFERROR(INDEX('Teacher Lookup'!$B$2:$B$200,MATCH(A4042,'Teacher Lookup'!$A$2:$A$200,0)),"")</f>
        <v>LEE Frances</v>
      </c>
    </row>
    <row r="4043" customFormat="false" ht="15" hidden="false" customHeight="false" outlineLevel="0" collapsed="false">
      <c r="A4043" s="3" t="s">
        <v>417</v>
      </c>
      <c r="B4043" s="4" t="s">
        <v>47</v>
      </c>
      <c r="C4043" s="4" t="n">
        <v>2</v>
      </c>
      <c r="D4043" s="4" t="s">
        <v>127</v>
      </c>
      <c r="E4043" s="3" t="s">
        <v>368</v>
      </c>
      <c r="F4043" s="4" t="str">
        <f aca="false">IF(I4043&gt;J4043,"Y","N")</f>
        <v>N</v>
      </c>
      <c r="G4043" s="3" t="s">
        <v>369</v>
      </c>
      <c r="H4043" s="3" t="s">
        <v>21</v>
      </c>
      <c r="I4043" s="4" t="n">
        <v>1</v>
      </c>
      <c r="J4043" s="4" t="n">
        <f aca="false">LEN(E4043)-LEN(SUBSTITUTE(E4043,",",""))+1</f>
        <v>1</v>
      </c>
      <c r="K4043" s="3" t="str">
        <f aca="false">IFERROR(INDEX('Teacher Lookup'!$B$2:$B$200,MATCH(A4043,'Teacher Lookup'!$A$2:$A$200,0)),"")</f>
        <v>LEE Frances</v>
      </c>
    </row>
    <row r="4044" customFormat="false" ht="15" hidden="false" customHeight="false" outlineLevel="0" collapsed="false">
      <c r="A4044" s="3" t="s">
        <v>417</v>
      </c>
      <c r="B4044" s="4" t="s">
        <v>47</v>
      </c>
      <c r="C4044" s="4" t="n">
        <v>3</v>
      </c>
      <c r="D4044" s="4" t="s">
        <v>142</v>
      </c>
      <c r="E4044" s="3" t="s">
        <v>368</v>
      </c>
      <c r="F4044" s="4" t="str">
        <f aca="false">IF(I4044&gt;J4044,"Y","N")</f>
        <v>N</v>
      </c>
      <c r="G4044" s="3" t="s">
        <v>369</v>
      </c>
      <c r="H4044" s="3" t="s">
        <v>26</v>
      </c>
      <c r="I4044" s="4" t="n">
        <v>1</v>
      </c>
      <c r="J4044" s="4" t="n">
        <f aca="false">LEN(E4044)-LEN(SUBSTITUTE(E4044,",",""))+1</f>
        <v>1</v>
      </c>
      <c r="K4044" s="3" t="str">
        <f aca="false">IFERROR(INDEX('Teacher Lookup'!$B$2:$B$200,MATCH(A4044,'Teacher Lookup'!$A$2:$A$200,0)),"")</f>
        <v>LEE Frances</v>
      </c>
    </row>
    <row r="4045" customFormat="false" ht="15" hidden="false" customHeight="false" outlineLevel="0" collapsed="false">
      <c r="A4045" s="3" t="s">
        <v>417</v>
      </c>
      <c r="B4045" s="4" t="s">
        <v>50</v>
      </c>
      <c r="C4045" s="4" t="n">
        <v>4</v>
      </c>
      <c r="D4045" s="4" t="s">
        <v>137</v>
      </c>
      <c r="E4045" s="3" t="s">
        <v>221</v>
      </c>
      <c r="F4045" s="4" t="str">
        <f aca="false">IF(I4045&gt;J4045,"Y","N")</f>
        <v>Y</v>
      </c>
      <c r="G4045" s="3" t="s">
        <v>222</v>
      </c>
      <c r="H4045" s="3" t="s">
        <v>34</v>
      </c>
      <c r="I4045" s="4" t="n">
        <v>15</v>
      </c>
      <c r="J4045" s="4" t="n">
        <f aca="false">LEN(E4045)-LEN(SUBSTITUTE(E4045,",",""))+1</f>
        <v>7</v>
      </c>
      <c r="K4045" s="3" t="str">
        <f aca="false">IFERROR(INDEX('Teacher Lookup'!$B$2:$B$200,MATCH(A4045,'Teacher Lookup'!$A$2:$A$200,0)),"")</f>
        <v>LEE Frances</v>
      </c>
    </row>
    <row r="4046" customFormat="false" ht="15" hidden="false" customHeight="false" outlineLevel="0" collapsed="false">
      <c r="A4046" s="3" t="s">
        <v>417</v>
      </c>
      <c r="B4046" s="4" t="s">
        <v>50</v>
      </c>
      <c r="C4046" s="4" t="n">
        <v>4</v>
      </c>
      <c r="D4046" s="4" t="s">
        <v>124</v>
      </c>
      <c r="E4046" s="3" t="s">
        <v>221</v>
      </c>
      <c r="F4046" s="4" t="str">
        <f aca="false">IF(I4046&gt;J4046,"Y","N")</f>
        <v>Y</v>
      </c>
      <c r="G4046" s="3" t="s">
        <v>222</v>
      </c>
      <c r="H4046" s="3" t="s">
        <v>34</v>
      </c>
      <c r="I4046" s="4" t="n">
        <v>15</v>
      </c>
      <c r="J4046" s="4" t="n">
        <f aca="false">LEN(E4046)-LEN(SUBSTITUTE(E4046,",",""))+1</f>
        <v>7</v>
      </c>
      <c r="K4046" s="3" t="str">
        <f aca="false">IFERROR(INDEX('Teacher Lookup'!$B$2:$B$200,MATCH(A4046,'Teacher Lookup'!$A$2:$A$200,0)),"")</f>
        <v>LEE Frances</v>
      </c>
    </row>
    <row r="4047" customFormat="false" ht="15" hidden="false" customHeight="false" outlineLevel="0" collapsed="false">
      <c r="A4047" s="3" t="s">
        <v>417</v>
      </c>
      <c r="B4047" s="4" t="s">
        <v>50</v>
      </c>
      <c r="C4047" s="4" t="n">
        <v>4</v>
      </c>
      <c r="D4047" s="4" t="s">
        <v>139</v>
      </c>
      <c r="E4047" s="3" t="s">
        <v>221</v>
      </c>
      <c r="F4047" s="4" t="str">
        <f aca="false">IF(I4047&gt;J4047,"Y","N")</f>
        <v>Y</v>
      </c>
      <c r="G4047" s="3" t="s">
        <v>222</v>
      </c>
      <c r="H4047" s="3" t="s">
        <v>34</v>
      </c>
      <c r="I4047" s="4" t="n">
        <v>15</v>
      </c>
      <c r="J4047" s="4" t="n">
        <f aca="false">LEN(E4047)-LEN(SUBSTITUTE(E4047,",",""))+1</f>
        <v>7</v>
      </c>
      <c r="K4047" s="3" t="str">
        <f aca="false">IFERROR(INDEX('Teacher Lookup'!$B$2:$B$200,MATCH(A4047,'Teacher Lookup'!$A$2:$A$200,0)),"")</f>
        <v>LEE Frances</v>
      </c>
    </row>
    <row r="4048" customFormat="false" ht="15" hidden="false" customHeight="false" outlineLevel="0" collapsed="false">
      <c r="A4048" s="3" t="s">
        <v>417</v>
      </c>
      <c r="B4048" s="4" t="s">
        <v>50</v>
      </c>
      <c r="C4048" s="4" t="n">
        <v>4</v>
      </c>
      <c r="D4048" s="4" t="s">
        <v>140</v>
      </c>
      <c r="E4048" s="3" t="s">
        <v>221</v>
      </c>
      <c r="F4048" s="4" t="str">
        <f aca="false">IF(I4048&gt;J4048,"Y","N")</f>
        <v>Y</v>
      </c>
      <c r="G4048" s="3" t="s">
        <v>222</v>
      </c>
      <c r="H4048" s="3" t="s">
        <v>34</v>
      </c>
      <c r="I4048" s="4" t="n">
        <v>15</v>
      </c>
      <c r="J4048" s="4" t="n">
        <f aca="false">LEN(E4048)-LEN(SUBSTITUTE(E4048,",",""))+1</f>
        <v>7</v>
      </c>
      <c r="K4048" s="3" t="str">
        <f aca="false">IFERROR(INDEX('Teacher Lookup'!$B$2:$B$200,MATCH(A4048,'Teacher Lookup'!$A$2:$A$200,0)),"")</f>
        <v>LEE Frances</v>
      </c>
    </row>
    <row r="4049" customFormat="false" ht="15" hidden="false" customHeight="false" outlineLevel="0" collapsed="false">
      <c r="A4049" s="3" t="s">
        <v>417</v>
      </c>
      <c r="B4049" s="4" t="s">
        <v>50</v>
      </c>
      <c r="C4049" s="4" t="n">
        <v>4</v>
      </c>
      <c r="D4049" s="4" t="s">
        <v>142</v>
      </c>
      <c r="E4049" s="3" t="s">
        <v>221</v>
      </c>
      <c r="F4049" s="4" t="str">
        <f aca="false">IF(I4049&gt;J4049,"Y","N")</f>
        <v>Y</v>
      </c>
      <c r="G4049" s="3" t="s">
        <v>222</v>
      </c>
      <c r="H4049" s="3" t="s">
        <v>34</v>
      </c>
      <c r="I4049" s="4" t="n">
        <v>15</v>
      </c>
      <c r="J4049" s="4" t="n">
        <f aca="false">LEN(E4049)-LEN(SUBSTITUTE(E4049,",",""))+1</f>
        <v>7</v>
      </c>
      <c r="K4049" s="3" t="str">
        <f aca="false">IFERROR(INDEX('Teacher Lookup'!$B$2:$B$200,MATCH(A4049,'Teacher Lookup'!$A$2:$A$200,0)),"")</f>
        <v>LEE Frances</v>
      </c>
    </row>
    <row r="4050" customFormat="false" ht="15" hidden="false" customHeight="false" outlineLevel="0" collapsed="false">
      <c r="A4050" s="3" t="s">
        <v>417</v>
      </c>
      <c r="B4050" s="4" t="s">
        <v>50</v>
      </c>
      <c r="C4050" s="4" t="n">
        <v>4</v>
      </c>
      <c r="D4050" s="4" t="s">
        <v>127</v>
      </c>
      <c r="E4050" s="3" t="s">
        <v>221</v>
      </c>
      <c r="F4050" s="4" t="str">
        <f aca="false">IF(I4050&gt;J4050,"Y","N")</f>
        <v>Y</v>
      </c>
      <c r="G4050" s="3" t="s">
        <v>222</v>
      </c>
      <c r="H4050" s="3" t="s">
        <v>34</v>
      </c>
      <c r="I4050" s="4" t="n">
        <v>15</v>
      </c>
      <c r="J4050" s="4" t="n">
        <f aca="false">LEN(E4050)-LEN(SUBSTITUTE(E4050,",",""))+1</f>
        <v>7</v>
      </c>
      <c r="K4050" s="3" t="str">
        <f aca="false">IFERROR(INDEX('Teacher Lookup'!$B$2:$B$200,MATCH(A4050,'Teacher Lookup'!$A$2:$A$200,0)),"")</f>
        <v>LEE Frances</v>
      </c>
    </row>
    <row r="4051" customFormat="false" ht="15" hidden="false" customHeight="false" outlineLevel="0" collapsed="false">
      <c r="A4051" s="3" t="s">
        <v>417</v>
      </c>
      <c r="B4051" s="4" t="s">
        <v>50</v>
      </c>
      <c r="C4051" s="4" t="n">
        <v>5</v>
      </c>
      <c r="D4051" s="4" t="s">
        <v>137</v>
      </c>
      <c r="E4051" s="3" t="s">
        <v>221</v>
      </c>
      <c r="F4051" s="4" t="str">
        <f aca="false">IF(I4051&gt;J4051,"Y","N")</f>
        <v>Y</v>
      </c>
      <c r="G4051" s="3" t="s">
        <v>222</v>
      </c>
      <c r="H4051" s="3" t="s">
        <v>37</v>
      </c>
      <c r="I4051" s="4" t="n">
        <v>15</v>
      </c>
      <c r="J4051" s="4" t="n">
        <f aca="false">LEN(E4051)-LEN(SUBSTITUTE(E4051,",",""))+1</f>
        <v>7</v>
      </c>
      <c r="K4051" s="3" t="str">
        <f aca="false">IFERROR(INDEX('Teacher Lookup'!$B$2:$B$200,MATCH(A4051,'Teacher Lookup'!$A$2:$A$200,0)),"")</f>
        <v>LEE Frances</v>
      </c>
    </row>
    <row r="4052" customFormat="false" ht="15" hidden="false" customHeight="false" outlineLevel="0" collapsed="false">
      <c r="A4052" s="3" t="s">
        <v>417</v>
      </c>
      <c r="B4052" s="4" t="s">
        <v>50</v>
      </c>
      <c r="C4052" s="4" t="n">
        <v>5</v>
      </c>
      <c r="D4052" s="4" t="s">
        <v>124</v>
      </c>
      <c r="E4052" s="3" t="s">
        <v>221</v>
      </c>
      <c r="F4052" s="4" t="str">
        <f aca="false">IF(I4052&gt;J4052,"Y","N")</f>
        <v>Y</v>
      </c>
      <c r="G4052" s="3" t="s">
        <v>222</v>
      </c>
      <c r="H4052" s="3" t="s">
        <v>37</v>
      </c>
      <c r="I4052" s="4" t="n">
        <v>15</v>
      </c>
      <c r="J4052" s="4" t="n">
        <f aca="false">LEN(E4052)-LEN(SUBSTITUTE(E4052,",",""))+1</f>
        <v>7</v>
      </c>
      <c r="K4052" s="3" t="str">
        <f aca="false">IFERROR(INDEX('Teacher Lookup'!$B$2:$B$200,MATCH(A4052,'Teacher Lookup'!$A$2:$A$200,0)),"")</f>
        <v>LEE Frances</v>
      </c>
    </row>
    <row r="4053" customFormat="false" ht="15" hidden="false" customHeight="false" outlineLevel="0" collapsed="false">
      <c r="A4053" s="3" t="s">
        <v>417</v>
      </c>
      <c r="B4053" s="4" t="s">
        <v>50</v>
      </c>
      <c r="C4053" s="4" t="n">
        <v>5</v>
      </c>
      <c r="D4053" s="4" t="s">
        <v>139</v>
      </c>
      <c r="E4053" s="3" t="s">
        <v>221</v>
      </c>
      <c r="F4053" s="4" t="str">
        <f aca="false">IF(I4053&gt;J4053,"Y","N")</f>
        <v>Y</v>
      </c>
      <c r="G4053" s="3" t="s">
        <v>222</v>
      </c>
      <c r="H4053" s="3" t="s">
        <v>37</v>
      </c>
      <c r="I4053" s="4" t="n">
        <v>15</v>
      </c>
      <c r="J4053" s="4" t="n">
        <f aca="false">LEN(E4053)-LEN(SUBSTITUTE(E4053,",",""))+1</f>
        <v>7</v>
      </c>
      <c r="K4053" s="3" t="str">
        <f aca="false">IFERROR(INDEX('Teacher Lookup'!$B$2:$B$200,MATCH(A4053,'Teacher Lookup'!$A$2:$A$200,0)),"")</f>
        <v>LEE Frances</v>
      </c>
    </row>
    <row r="4054" customFormat="false" ht="15" hidden="false" customHeight="false" outlineLevel="0" collapsed="false">
      <c r="A4054" s="3" t="s">
        <v>417</v>
      </c>
      <c r="B4054" s="4" t="s">
        <v>50</v>
      </c>
      <c r="C4054" s="4" t="n">
        <v>5</v>
      </c>
      <c r="D4054" s="4" t="s">
        <v>140</v>
      </c>
      <c r="E4054" s="3" t="s">
        <v>221</v>
      </c>
      <c r="F4054" s="4" t="str">
        <f aca="false">IF(I4054&gt;J4054,"Y","N")</f>
        <v>Y</v>
      </c>
      <c r="G4054" s="3" t="s">
        <v>222</v>
      </c>
      <c r="H4054" s="3" t="s">
        <v>37</v>
      </c>
      <c r="I4054" s="4" t="n">
        <v>15</v>
      </c>
      <c r="J4054" s="4" t="n">
        <f aca="false">LEN(E4054)-LEN(SUBSTITUTE(E4054,",",""))+1</f>
        <v>7</v>
      </c>
      <c r="K4054" s="3" t="str">
        <f aca="false">IFERROR(INDEX('Teacher Lookup'!$B$2:$B$200,MATCH(A4054,'Teacher Lookup'!$A$2:$A$200,0)),"")</f>
        <v>LEE Frances</v>
      </c>
    </row>
    <row r="4055" customFormat="false" ht="15" hidden="false" customHeight="false" outlineLevel="0" collapsed="false">
      <c r="A4055" s="3" t="s">
        <v>417</v>
      </c>
      <c r="B4055" s="4" t="s">
        <v>50</v>
      </c>
      <c r="C4055" s="4" t="n">
        <v>5</v>
      </c>
      <c r="D4055" s="4" t="s">
        <v>142</v>
      </c>
      <c r="E4055" s="3" t="s">
        <v>221</v>
      </c>
      <c r="F4055" s="4" t="str">
        <f aca="false">IF(I4055&gt;J4055,"Y","N")</f>
        <v>Y</v>
      </c>
      <c r="G4055" s="3" t="s">
        <v>222</v>
      </c>
      <c r="H4055" s="3" t="s">
        <v>37</v>
      </c>
      <c r="I4055" s="4" t="n">
        <v>15</v>
      </c>
      <c r="J4055" s="4" t="n">
        <f aca="false">LEN(E4055)-LEN(SUBSTITUTE(E4055,",",""))+1</f>
        <v>7</v>
      </c>
      <c r="K4055" s="3" t="str">
        <f aca="false">IFERROR(INDEX('Teacher Lookup'!$B$2:$B$200,MATCH(A4055,'Teacher Lookup'!$A$2:$A$200,0)),"")</f>
        <v>LEE Frances</v>
      </c>
    </row>
    <row r="4056" customFormat="false" ht="15" hidden="false" customHeight="false" outlineLevel="0" collapsed="false">
      <c r="A4056" s="3" t="s">
        <v>417</v>
      </c>
      <c r="B4056" s="4" t="s">
        <v>50</v>
      </c>
      <c r="C4056" s="4" t="n">
        <v>5</v>
      </c>
      <c r="D4056" s="4" t="s">
        <v>127</v>
      </c>
      <c r="E4056" s="3" t="s">
        <v>221</v>
      </c>
      <c r="F4056" s="4" t="str">
        <f aca="false">IF(I4056&gt;J4056,"Y","N")</f>
        <v>Y</v>
      </c>
      <c r="G4056" s="3" t="s">
        <v>222</v>
      </c>
      <c r="H4056" s="3" t="s">
        <v>37</v>
      </c>
      <c r="I4056" s="4" t="n">
        <v>15</v>
      </c>
      <c r="J4056" s="4" t="n">
        <f aca="false">LEN(E4056)-LEN(SUBSTITUTE(E4056,",",""))+1</f>
        <v>7</v>
      </c>
      <c r="K4056" s="3" t="str">
        <f aca="false">IFERROR(INDEX('Teacher Lookup'!$B$2:$B$200,MATCH(A4056,'Teacher Lookup'!$A$2:$A$200,0)),"")</f>
        <v>LEE Frances</v>
      </c>
    </row>
    <row r="4057" customFormat="false" ht="15" hidden="false" customHeight="false" outlineLevel="0" collapsed="false">
      <c r="A4057" s="3" t="s">
        <v>417</v>
      </c>
      <c r="B4057" s="4" t="s">
        <v>50</v>
      </c>
      <c r="C4057" s="4" t="n">
        <v>6</v>
      </c>
      <c r="D4057" s="4" t="s">
        <v>52</v>
      </c>
      <c r="E4057" s="3" t="s">
        <v>53</v>
      </c>
      <c r="F4057" s="4" t="str">
        <f aca="false">IF(I4057&gt;J4057,"Y","N")</f>
        <v>N</v>
      </c>
      <c r="G4057" s="3" t="s">
        <v>54</v>
      </c>
      <c r="H4057" s="3" t="s">
        <v>42</v>
      </c>
      <c r="I4057" s="4" t="n">
        <v>7</v>
      </c>
      <c r="J4057" s="4" t="n">
        <f aca="false">LEN(E4057)-LEN(SUBSTITUTE(E4057,",",""))+1</f>
        <v>7</v>
      </c>
      <c r="K4057" s="3" t="str">
        <f aca="false">IFERROR(INDEX('Teacher Lookup'!$B$2:$B$200,MATCH(A4057,'Teacher Lookup'!$A$2:$A$200,0)),"")</f>
        <v>LEE Frances</v>
      </c>
    </row>
    <row r="4058" customFormat="false" ht="15" hidden="false" customHeight="false" outlineLevel="0" collapsed="false">
      <c r="A4058" s="3" t="s">
        <v>417</v>
      </c>
      <c r="B4058" s="4" t="s">
        <v>50</v>
      </c>
      <c r="C4058" s="4" t="n">
        <v>6</v>
      </c>
      <c r="D4058" s="4" t="s">
        <v>55</v>
      </c>
      <c r="E4058" s="3" t="s">
        <v>53</v>
      </c>
      <c r="F4058" s="4" t="str">
        <f aca="false">IF(I4058&gt;J4058,"Y","N")</f>
        <v>N</v>
      </c>
      <c r="G4058" s="3" t="s">
        <v>54</v>
      </c>
      <c r="H4058" s="3" t="s">
        <v>42</v>
      </c>
      <c r="I4058" s="4" t="n">
        <v>7</v>
      </c>
      <c r="J4058" s="4" t="n">
        <f aca="false">LEN(E4058)-LEN(SUBSTITUTE(E4058,",",""))+1</f>
        <v>7</v>
      </c>
      <c r="K4058" s="3" t="str">
        <f aca="false">IFERROR(INDEX('Teacher Lookup'!$B$2:$B$200,MATCH(A4058,'Teacher Lookup'!$A$2:$A$200,0)),"")</f>
        <v>LEE Frances</v>
      </c>
    </row>
    <row r="4059" customFormat="false" ht="15" hidden="false" customHeight="false" outlineLevel="0" collapsed="false">
      <c r="A4059" s="3" t="s">
        <v>417</v>
      </c>
      <c r="B4059" s="4" t="s">
        <v>50</v>
      </c>
      <c r="C4059" s="4" t="n">
        <v>6</v>
      </c>
      <c r="D4059" s="4" t="s">
        <v>56</v>
      </c>
      <c r="E4059" s="3" t="s">
        <v>53</v>
      </c>
      <c r="F4059" s="4" t="str">
        <f aca="false">IF(I4059&gt;J4059,"Y","N")</f>
        <v>N</v>
      </c>
      <c r="G4059" s="3" t="s">
        <v>54</v>
      </c>
      <c r="H4059" s="3" t="s">
        <v>42</v>
      </c>
      <c r="I4059" s="4" t="n">
        <v>7</v>
      </c>
      <c r="J4059" s="4" t="n">
        <f aca="false">LEN(E4059)-LEN(SUBSTITUTE(E4059,",",""))+1</f>
        <v>7</v>
      </c>
      <c r="K4059" s="3" t="str">
        <f aca="false">IFERROR(INDEX('Teacher Lookup'!$B$2:$B$200,MATCH(A4059,'Teacher Lookup'!$A$2:$A$200,0)),"")</f>
        <v>LEE Frances</v>
      </c>
    </row>
    <row r="4060" customFormat="false" ht="15" hidden="false" customHeight="false" outlineLevel="0" collapsed="false">
      <c r="A4060" s="3" t="s">
        <v>417</v>
      </c>
      <c r="B4060" s="4" t="s">
        <v>50</v>
      </c>
      <c r="C4060" s="4" t="n">
        <v>6</v>
      </c>
      <c r="D4060" s="4" t="s">
        <v>57</v>
      </c>
      <c r="E4060" s="3" t="s">
        <v>53</v>
      </c>
      <c r="F4060" s="4" t="str">
        <f aca="false">IF(I4060&gt;J4060,"Y","N")</f>
        <v>N</v>
      </c>
      <c r="G4060" s="3" t="s">
        <v>54</v>
      </c>
      <c r="H4060" s="3" t="s">
        <v>42</v>
      </c>
      <c r="I4060" s="4" t="n">
        <v>7</v>
      </c>
      <c r="J4060" s="4" t="n">
        <f aca="false">LEN(E4060)-LEN(SUBSTITUTE(E4060,",",""))+1</f>
        <v>7</v>
      </c>
      <c r="K4060" s="3" t="str">
        <f aca="false">IFERROR(INDEX('Teacher Lookup'!$B$2:$B$200,MATCH(A4060,'Teacher Lookup'!$A$2:$A$200,0)),"")</f>
        <v>LEE Frances</v>
      </c>
    </row>
    <row r="4061" customFormat="false" ht="15" hidden="false" customHeight="false" outlineLevel="0" collapsed="false">
      <c r="A4061" s="3" t="s">
        <v>417</v>
      </c>
      <c r="B4061" s="4" t="s">
        <v>50</v>
      </c>
      <c r="C4061" s="4" t="n">
        <v>6</v>
      </c>
      <c r="D4061" s="4" t="s">
        <v>58</v>
      </c>
      <c r="E4061" s="3" t="s">
        <v>53</v>
      </c>
      <c r="F4061" s="4" t="str">
        <f aca="false">IF(I4061&gt;J4061,"Y","N")</f>
        <v>N</v>
      </c>
      <c r="G4061" s="3" t="s">
        <v>54</v>
      </c>
      <c r="H4061" s="3" t="s">
        <v>42</v>
      </c>
      <c r="I4061" s="4" t="n">
        <v>7</v>
      </c>
      <c r="J4061" s="4" t="n">
        <f aca="false">LEN(E4061)-LEN(SUBSTITUTE(E4061,",",""))+1</f>
        <v>7</v>
      </c>
      <c r="K4061" s="3" t="str">
        <f aca="false">IFERROR(INDEX('Teacher Lookup'!$B$2:$B$200,MATCH(A4061,'Teacher Lookup'!$A$2:$A$200,0)),"")</f>
        <v>LEE Frances</v>
      </c>
    </row>
    <row r="4062" customFormat="false" ht="15" hidden="false" customHeight="false" outlineLevel="0" collapsed="false">
      <c r="A4062" s="3" t="s">
        <v>417</v>
      </c>
      <c r="B4062" s="4" t="s">
        <v>50</v>
      </c>
      <c r="C4062" s="4" t="n">
        <v>6</v>
      </c>
      <c r="D4062" s="4" t="s">
        <v>59</v>
      </c>
      <c r="E4062" s="3" t="s">
        <v>53</v>
      </c>
      <c r="F4062" s="4" t="str">
        <f aca="false">IF(I4062&gt;J4062,"Y","N")</f>
        <v>N</v>
      </c>
      <c r="G4062" s="3" t="s">
        <v>54</v>
      </c>
      <c r="H4062" s="3" t="s">
        <v>42</v>
      </c>
      <c r="I4062" s="4" t="n">
        <v>7</v>
      </c>
      <c r="J4062" s="4" t="n">
        <f aca="false">LEN(E4062)-LEN(SUBSTITUTE(E4062,",",""))+1</f>
        <v>7</v>
      </c>
      <c r="K4062" s="3" t="str">
        <f aca="false">IFERROR(INDEX('Teacher Lookup'!$B$2:$B$200,MATCH(A4062,'Teacher Lookup'!$A$2:$A$200,0)),"")</f>
        <v>LEE Frances</v>
      </c>
    </row>
    <row r="4063" customFormat="false" ht="15" hidden="false" customHeight="false" outlineLevel="0" collapsed="false">
      <c r="A4063" s="3" t="s">
        <v>417</v>
      </c>
      <c r="B4063" s="4" t="s">
        <v>50</v>
      </c>
      <c r="C4063" s="4" t="n">
        <v>7</v>
      </c>
      <c r="D4063" s="4" t="s">
        <v>52</v>
      </c>
      <c r="E4063" s="3" t="s">
        <v>53</v>
      </c>
      <c r="F4063" s="4" t="str">
        <f aca="false">IF(I4063&gt;J4063,"Y","N")</f>
        <v>N</v>
      </c>
      <c r="G4063" s="3" t="s">
        <v>54</v>
      </c>
      <c r="H4063" s="3" t="s">
        <v>39</v>
      </c>
      <c r="I4063" s="4" t="n">
        <v>7</v>
      </c>
      <c r="J4063" s="4" t="n">
        <f aca="false">LEN(E4063)-LEN(SUBSTITUTE(E4063,",",""))+1</f>
        <v>7</v>
      </c>
      <c r="K4063" s="3" t="str">
        <f aca="false">IFERROR(INDEX('Teacher Lookup'!$B$2:$B$200,MATCH(A4063,'Teacher Lookup'!$A$2:$A$200,0)),"")</f>
        <v>LEE Frances</v>
      </c>
    </row>
    <row r="4064" customFormat="false" ht="15" hidden="false" customHeight="false" outlineLevel="0" collapsed="false">
      <c r="A4064" s="3" t="s">
        <v>417</v>
      </c>
      <c r="B4064" s="4" t="s">
        <v>50</v>
      </c>
      <c r="C4064" s="4" t="n">
        <v>7</v>
      </c>
      <c r="D4064" s="4" t="s">
        <v>55</v>
      </c>
      <c r="E4064" s="3" t="s">
        <v>53</v>
      </c>
      <c r="F4064" s="4" t="str">
        <f aca="false">IF(I4064&gt;J4064,"Y","N")</f>
        <v>N</v>
      </c>
      <c r="G4064" s="3" t="s">
        <v>54</v>
      </c>
      <c r="H4064" s="3" t="s">
        <v>39</v>
      </c>
      <c r="I4064" s="4" t="n">
        <v>7</v>
      </c>
      <c r="J4064" s="4" t="n">
        <f aca="false">LEN(E4064)-LEN(SUBSTITUTE(E4064,",",""))+1</f>
        <v>7</v>
      </c>
      <c r="K4064" s="3" t="str">
        <f aca="false">IFERROR(INDEX('Teacher Lookup'!$B$2:$B$200,MATCH(A4064,'Teacher Lookup'!$A$2:$A$200,0)),"")</f>
        <v>LEE Frances</v>
      </c>
    </row>
    <row r="4065" customFormat="false" ht="15" hidden="false" customHeight="false" outlineLevel="0" collapsed="false">
      <c r="A4065" s="3" t="s">
        <v>417</v>
      </c>
      <c r="B4065" s="4" t="s">
        <v>50</v>
      </c>
      <c r="C4065" s="4" t="n">
        <v>7</v>
      </c>
      <c r="D4065" s="4" t="s">
        <v>56</v>
      </c>
      <c r="E4065" s="3" t="s">
        <v>53</v>
      </c>
      <c r="F4065" s="4" t="str">
        <f aca="false">IF(I4065&gt;J4065,"Y","N")</f>
        <v>N</v>
      </c>
      <c r="G4065" s="3" t="s">
        <v>54</v>
      </c>
      <c r="H4065" s="3" t="s">
        <v>39</v>
      </c>
      <c r="I4065" s="4" t="n">
        <v>7</v>
      </c>
      <c r="J4065" s="4" t="n">
        <f aca="false">LEN(E4065)-LEN(SUBSTITUTE(E4065,",",""))+1</f>
        <v>7</v>
      </c>
      <c r="K4065" s="3" t="str">
        <f aca="false">IFERROR(INDEX('Teacher Lookup'!$B$2:$B$200,MATCH(A4065,'Teacher Lookup'!$A$2:$A$200,0)),"")</f>
        <v>LEE Frances</v>
      </c>
    </row>
    <row r="4066" customFormat="false" ht="15" hidden="false" customHeight="false" outlineLevel="0" collapsed="false">
      <c r="A4066" s="3" t="s">
        <v>417</v>
      </c>
      <c r="B4066" s="4" t="s">
        <v>50</v>
      </c>
      <c r="C4066" s="4" t="n">
        <v>7</v>
      </c>
      <c r="D4066" s="4" t="s">
        <v>57</v>
      </c>
      <c r="E4066" s="3" t="s">
        <v>53</v>
      </c>
      <c r="F4066" s="4" t="str">
        <f aca="false">IF(I4066&gt;J4066,"Y","N")</f>
        <v>N</v>
      </c>
      <c r="G4066" s="3" t="s">
        <v>54</v>
      </c>
      <c r="H4066" s="3" t="s">
        <v>39</v>
      </c>
      <c r="I4066" s="4" t="n">
        <v>7</v>
      </c>
      <c r="J4066" s="4" t="n">
        <f aca="false">LEN(E4066)-LEN(SUBSTITUTE(E4066,",",""))+1</f>
        <v>7</v>
      </c>
      <c r="K4066" s="3" t="str">
        <f aca="false">IFERROR(INDEX('Teacher Lookup'!$B$2:$B$200,MATCH(A4066,'Teacher Lookup'!$A$2:$A$200,0)),"")</f>
        <v>LEE Frances</v>
      </c>
    </row>
    <row r="4067" customFormat="false" ht="15" hidden="false" customHeight="false" outlineLevel="0" collapsed="false">
      <c r="A4067" s="3" t="s">
        <v>417</v>
      </c>
      <c r="B4067" s="4" t="s">
        <v>50</v>
      </c>
      <c r="C4067" s="4" t="n">
        <v>7</v>
      </c>
      <c r="D4067" s="4" t="s">
        <v>58</v>
      </c>
      <c r="E4067" s="3" t="s">
        <v>53</v>
      </c>
      <c r="F4067" s="4" t="str">
        <f aca="false">IF(I4067&gt;J4067,"Y","N")</f>
        <v>N</v>
      </c>
      <c r="G4067" s="3" t="s">
        <v>54</v>
      </c>
      <c r="H4067" s="3" t="s">
        <v>39</v>
      </c>
      <c r="I4067" s="4" t="n">
        <v>7</v>
      </c>
      <c r="J4067" s="4" t="n">
        <f aca="false">LEN(E4067)-LEN(SUBSTITUTE(E4067,",",""))+1</f>
        <v>7</v>
      </c>
      <c r="K4067" s="3" t="str">
        <f aca="false">IFERROR(INDEX('Teacher Lookup'!$B$2:$B$200,MATCH(A4067,'Teacher Lookup'!$A$2:$A$200,0)),"")</f>
        <v>LEE Frances</v>
      </c>
    </row>
    <row r="4068" customFormat="false" ht="15" hidden="false" customHeight="false" outlineLevel="0" collapsed="false">
      <c r="A4068" s="3" t="s">
        <v>417</v>
      </c>
      <c r="B4068" s="4" t="s">
        <v>50</v>
      </c>
      <c r="C4068" s="4" t="n">
        <v>7</v>
      </c>
      <c r="D4068" s="4" t="s">
        <v>59</v>
      </c>
      <c r="E4068" s="3" t="s">
        <v>53</v>
      </c>
      <c r="F4068" s="4" t="str">
        <f aca="false">IF(I4068&gt;J4068,"Y","N")</f>
        <v>N</v>
      </c>
      <c r="G4068" s="3" t="s">
        <v>54</v>
      </c>
      <c r="H4068" s="3" t="s">
        <v>39</v>
      </c>
      <c r="I4068" s="4" t="n">
        <v>7</v>
      </c>
      <c r="J4068" s="4" t="n">
        <f aca="false">LEN(E4068)-LEN(SUBSTITUTE(E4068,",",""))+1</f>
        <v>7</v>
      </c>
      <c r="K4068" s="3" t="str">
        <f aca="false">IFERROR(INDEX('Teacher Lookup'!$B$2:$B$200,MATCH(A4068,'Teacher Lookup'!$A$2:$A$200,0)),"")</f>
        <v>LEE Frances</v>
      </c>
    </row>
    <row r="4069" customFormat="false" ht="15" hidden="false" customHeight="false" outlineLevel="0" collapsed="false">
      <c r="A4069" s="3" t="s">
        <v>417</v>
      </c>
      <c r="B4069" s="4" t="s">
        <v>60</v>
      </c>
      <c r="C4069" s="4" t="n">
        <v>2</v>
      </c>
      <c r="D4069" s="4" t="s">
        <v>22</v>
      </c>
      <c r="E4069" s="3" t="s">
        <v>368</v>
      </c>
      <c r="F4069" s="4" t="str">
        <f aca="false">IF(I4069&gt;J4069,"Y","N")</f>
        <v>N</v>
      </c>
      <c r="G4069" s="3" t="s">
        <v>369</v>
      </c>
      <c r="H4069" s="3" t="s">
        <v>21</v>
      </c>
      <c r="I4069" s="4" t="n">
        <v>1</v>
      </c>
      <c r="J4069" s="4" t="n">
        <f aca="false">LEN(E4069)-LEN(SUBSTITUTE(E4069,",",""))+1</f>
        <v>1</v>
      </c>
      <c r="K4069" s="3" t="str">
        <f aca="false">IFERROR(INDEX('Teacher Lookup'!$B$2:$B$200,MATCH(A4069,'Teacher Lookup'!$A$2:$A$200,0)),"")</f>
        <v>LEE Frances</v>
      </c>
    </row>
    <row r="4070" customFormat="false" ht="15" hidden="false" customHeight="false" outlineLevel="0" collapsed="false">
      <c r="A4070" s="3" t="s">
        <v>417</v>
      </c>
      <c r="B4070" s="4" t="s">
        <v>60</v>
      </c>
      <c r="C4070" s="4" t="n">
        <v>3</v>
      </c>
      <c r="D4070" s="4" t="s">
        <v>17</v>
      </c>
      <c r="E4070" s="3" t="s">
        <v>368</v>
      </c>
      <c r="F4070" s="4" t="str">
        <f aca="false">IF(I4070&gt;J4070,"Y","N")</f>
        <v>N</v>
      </c>
      <c r="G4070" s="3" t="s">
        <v>369</v>
      </c>
      <c r="H4070" s="3" t="s">
        <v>26</v>
      </c>
      <c r="I4070" s="4" t="n">
        <v>1</v>
      </c>
      <c r="J4070" s="4" t="n">
        <f aca="false">LEN(E4070)-LEN(SUBSTITUTE(E4070,",",""))+1</f>
        <v>1</v>
      </c>
      <c r="K4070" s="3" t="str">
        <f aca="false">IFERROR(INDEX('Teacher Lookup'!$B$2:$B$200,MATCH(A4070,'Teacher Lookup'!$A$2:$A$200,0)),"")</f>
        <v>LEE Frances</v>
      </c>
    </row>
    <row r="4071" customFormat="false" ht="15" hidden="false" customHeight="false" outlineLevel="0" collapsed="false">
      <c r="A4071" s="3" t="s">
        <v>417</v>
      </c>
      <c r="B4071" s="4" t="s">
        <v>60</v>
      </c>
      <c r="C4071" s="4" t="n">
        <v>4</v>
      </c>
      <c r="D4071" s="4" t="s">
        <v>142</v>
      </c>
      <c r="E4071" s="3" t="s">
        <v>368</v>
      </c>
      <c r="F4071" s="4" t="str">
        <f aca="false">IF(I4071&gt;J4071,"Y","N")</f>
        <v>N</v>
      </c>
      <c r="G4071" s="3" t="s">
        <v>369</v>
      </c>
      <c r="H4071" s="3" t="s">
        <v>34</v>
      </c>
      <c r="I4071" s="4" t="n">
        <v>1</v>
      </c>
      <c r="J4071" s="4" t="n">
        <f aca="false">LEN(E4071)-LEN(SUBSTITUTE(E4071,",",""))+1</f>
        <v>1</v>
      </c>
      <c r="K4071" s="3" t="str">
        <f aca="false">IFERROR(INDEX('Teacher Lookup'!$B$2:$B$200,MATCH(A4071,'Teacher Lookup'!$A$2:$A$200,0)),"")</f>
        <v>LEE Frances</v>
      </c>
    </row>
    <row r="4072" customFormat="false" ht="15" hidden="false" customHeight="false" outlineLevel="0" collapsed="false">
      <c r="A4072" s="3" t="s">
        <v>417</v>
      </c>
      <c r="B4072" s="4" t="s">
        <v>65</v>
      </c>
      <c r="C4072" s="4" t="n">
        <v>2</v>
      </c>
      <c r="D4072" s="4" t="s">
        <v>23</v>
      </c>
      <c r="E4072" s="3" t="s">
        <v>368</v>
      </c>
      <c r="F4072" s="4" t="str">
        <f aca="false">IF(I4072&gt;J4072,"Y","N")</f>
        <v>N</v>
      </c>
      <c r="G4072" s="3" t="s">
        <v>369</v>
      </c>
      <c r="H4072" s="3" t="s">
        <v>21</v>
      </c>
      <c r="I4072" s="4" t="n">
        <v>1</v>
      </c>
      <c r="J4072" s="4" t="n">
        <f aca="false">LEN(E4072)-LEN(SUBSTITUTE(E4072,",",""))+1</f>
        <v>1</v>
      </c>
      <c r="K4072" s="3" t="str">
        <f aca="false">IFERROR(INDEX('Teacher Lookup'!$B$2:$B$200,MATCH(A4072,'Teacher Lookup'!$A$2:$A$200,0)),"")</f>
        <v>LEE Frances</v>
      </c>
    </row>
    <row r="4073" customFormat="false" ht="15" hidden="false" customHeight="false" outlineLevel="0" collapsed="false">
      <c r="A4073" s="3" t="s">
        <v>417</v>
      </c>
      <c r="B4073" s="4" t="s">
        <v>65</v>
      </c>
      <c r="C4073" s="4" t="n">
        <v>3</v>
      </c>
      <c r="D4073" s="4" t="s">
        <v>124</v>
      </c>
      <c r="E4073" s="3" t="s">
        <v>368</v>
      </c>
      <c r="F4073" s="4" t="str">
        <f aca="false">IF(I4073&gt;J4073,"Y","N")</f>
        <v>N</v>
      </c>
      <c r="G4073" s="3" t="s">
        <v>369</v>
      </c>
      <c r="H4073" s="3" t="s">
        <v>26</v>
      </c>
      <c r="I4073" s="4" t="n">
        <v>1</v>
      </c>
      <c r="J4073" s="4" t="n">
        <f aca="false">LEN(E4073)-LEN(SUBSTITUTE(E4073,",",""))+1</f>
        <v>1</v>
      </c>
      <c r="K4073" s="3" t="str">
        <f aca="false">IFERROR(INDEX('Teacher Lookup'!$B$2:$B$200,MATCH(A4073,'Teacher Lookup'!$A$2:$A$200,0)),"")</f>
        <v>LEE Frances</v>
      </c>
    </row>
    <row r="4074" customFormat="false" ht="15" hidden="false" customHeight="false" outlineLevel="0" collapsed="false">
      <c r="A4074" s="3" t="s">
        <v>417</v>
      </c>
      <c r="B4074" s="4" t="s">
        <v>66</v>
      </c>
      <c r="C4074" s="4" t="n">
        <v>3</v>
      </c>
      <c r="D4074" s="4" t="s">
        <v>137</v>
      </c>
      <c r="E4074" s="3" t="s">
        <v>368</v>
      </c>
      <c r="F4074" s="4" t="str">
        <f aca="false">IF(I4074&gt;J4074,"Y","N")</f>
        <v>N</v>
      </c>
      <c r="G4074" s="3" t="s">
        <v>369</v>
      </c>
      <c r="H4074" s="3" t="s">
        <v>26</v>
      </c>
      <c r="I4074" s="4" t="n">
        <v>1</v>
      </c>
      <c r="J4074" s="4" t="n">
        <f aca="false">LEN(E4074)-LEN(SUBSTITUTE(E4074,",",""))+1</f>
        <v>1</v>
      </c>
      <c r="K4074" s="3" t="str">
        <f aca="false">IFERROR(INDEX('Teacher Lookup'!$B$2:$B$200,MATCH(A4074,'Teacher Lookup'!$A$2:$A$200,0)),"")</f>
        <v>LEE Frances</v>
      </c>
    </row>
    <row r="4075" customFormat="false" ht="15" hidden="false" customHeight="false" outlineLevel="0" collapsed="false">
      <c r="A4075" s="3" t="s">
        <v>417</v>
      </c>
      <c r="B4075" s="4" t="s">
        <v>66</v>
      </c>
      <c r="C4075" s="4" t="n">
        <v>5</v>
      </c>
      <c r="D4075" s="4" t="s">
        <v>127</v>
      </c>
      <c r="E4075" s="3" t="s">
        <v>368</v>
      </c>
      <c r="F4075" s="4" t="str">
        <f aca="false">IF(I4075&gt;J4075,"Y","N")</f>
        <v>N</v>
      </c>
      <c r="G4075" s="3" t="s">
        <v>369</v>
      </c>
      <c r="H4075" s="3" t="s">
        <v>37</v>
      </c>
      <c r="I4075" s="4" t="n">
        <v>1</v>
      </c>
      <c r="J4075" s="4" t="n">
        <f aca="false">LEN(E4075)-LEN(SUBSTITUTE(E4075,",",""))+1</f>
        <v>1</v>
      </c>
      <c r="K4075" s="3" t="str">
        <f aca="false">IFERROR(INDEX('Teacher Lookup'!$B$2:$B$200,MATCH(A4075,'Teacher Lookup'!$A$2:$A$200,0)),"")</f>
        <v>LEE Frances</v>
      </c>
    </row>
    <row r="4076" customFormat="false" ht="15" hidden="false" customHeight="false" outlineLevel="0" collapsed="false">
      <c r="A4076" s="3" t="s">
        <v>417</v>
      </c>
      <c r="B4076" s="4" t="s">
        <v>66</v>
      </c>
      <c r="C4076" s="4" t="n">
        <v>6</v>
      </c>
      <c r="D4076" s="4" t="s">
        <v>79</v>
      </c>
      <c r="E4076" s="3" t="s">
        <v>368</v>
      </c>
      <c r="F4076" s="4" t="str">
        <f aca="false">IF(I4076&gt;J4076,"Y","N")</f>
        <v>N</v>
      </c>
      <c r="G4076" s="3" t="s">
        <v>369</v>
      </c>
      <c r="H4076" s="3" t="s">
        <v>42</v>
      </c>
      <c r="I4076" s="4" t="n">
        <v>1</v>
      </c>
      <c r="J4076" s="4" t="n">
        <f aca="false">LEN(E4076)-LEN(SUBSTITUTE(E4076,",",""))+1</f>
        <v>1</v>
      </c>
      <c r="K4076" s="3" t="str">
        <f aca="false">IFERROR(INDEX('Teacher Lookup'!$B$2:$B$200,MATCH(A4076,'Teacher Lookup'!$A$2:$A$200,0)),"")</f>
        <v>LEE Frances</v>
      </c>
    </row>
    <row r="4077" customFormat="false" ht="15" hidden="false" customHeight="false" outlineLevel="0" collapsed="false">
      <c r="A4077" s="3" t="s">
        <v>418</v>
      </c>
      <c r="B4077" s="4" t="s">
        <v>12</v>
      </c>
      <c r="C4077" s="4" t="n">
        <v>5</v>
      </c>
      <c r="D4077" s="4" t="s">
        <v>70</v>
      </c>
      <c r="E4077" s="3" t="s">
        <v>71</v>
      </c>
      <c r="F4077" s="4" t="str">
        <f aca="false">IF(I4077&gt;J4077,"Y","N")</f>
        <v>N</v>
      </c>
      <c r="G4077" s="3" t="s">
        <v>164</v>
      </c>
      <c r="H4077" s="3" t="s">
        <v>37</v>
      </c>
      <c r="I4077" s="4" t="n">
        <v>4</v>
      </c>
      <c r="J4077" s="4" t="n">
        <f aca="false">LEN(E4077)-LEN(SUBSTITUTE(E4077,",",""))+1</f>
        <v>4</v>
      </c>
      <c r="K4077" s="3" t="str">
        <f aca="false">IFERROR(INDEX('Teacher Lookup'!$B$2:$B$200,MATCH(A4077,'Teacher Lookup'!$A$2:$A$200,0)),"")</f>
        <v>LIU Flora</v>
      </c>
    </row>
    <row r="4078" customFormat="false" ht="15" hidden="false" customHeight="false" outlineLevel="0" collapsed="false">
      <c r="A4078" s="3" t="s">
        <v>418</v>
      </c>
      <c r="B4078" s="4" t="s">
        <v>12</v>
      </c>
      <c r="C4078" s="4" t="n">
        <v>5</v>
      </c>
      <c r="D4078" s="4" t="s">
        <v>73</v>
      </c>
      <c r="E4078" s="3" t="s">
        <v>71</v>
      </c>
      <c r="F4078" s="4" t="str">
        <f aca="false">IF(I4078&gt;J4078,"Y","N")</f>
        <v>N</v>
      </c>
      <c r="G4078" s="3" t="s">
        <v>164</v>
      </c>
      <c r="H4078" s="3" t="s">
        <v>37</v>
      </c>
      <c r="I4078" s="4" t="n">
        <v>4</v>
      </c>
      <c r="J4078" s="4" t="n">
        <f aca="false">LEN(E4078)-LEN(SUBSTITUTE(E4078,",",""))+1</f>
        <v>4</v>
      </c>
      <c r="K4078" s="3" t="str">
        <f aca="false">IFERROR(INDEX('Teacher Lookup'!$B$2:$B$200,MATCH(A4078,'Teacher Lookup'!$A$2:$A$200,0)),"")</f>
        <v>LIU Flora</v>
      </c>
    </row>
    <row r="4079" customFormat="false" ht="15" hidden="false" customHeight="false" outlineLevel="0" collapsed="false">
      <c r="A4079" s="3" t="s">
        <v>418</v>
      </c>
      <c r="B4079" s="4" t="s">
        <v>12</v>
      </c>
      <c r="C4079" s="4" t="n">
        <v>5</v>
      </c>
      <c r="D4079" s="4" t="s">
        <v>74</v>
      </c>
      <c r="E4079" s="3" t="s">
        <v>71</v>
      </c>
      <c r="F4079" s="4" t="str">
        <f aca="false">IF(I4079&gt;J4079,"Y","N")</f>
        <v>N</v>
      </c>
      <c r="G4079" s="3" t="s">
        <v>164</v>
      </c>
      <c r="H4079" s="3" t="s">
        <v>37</v>
      </c>
      <c r="I4079" s="4" t="n">
        <v>4</v>
      </c>
      <c r="J4079" s="4" t="n">
        <f aca="false">LEN(E4079)-LEN(SUBSTITUTE(E4079,",",""))+1</f>
        <v>4</v>
      </c>
      <c r="K4079" s="3" t="str">
        <f aca="false">IFERROR(INDEX('Teacher Lookup'!$B$2:$B$200,MATCH(A4079,'Teacher Lookup'!$A$2:$A$200,0)),"")</f>
        <v>LIU Flora</v>
      </c>
    </row>
    <row r="4080" customFormat="false" ht="15" hidden="false" customHeight="false" outlineLevel="0" collapsed="false">
      <c r="A4080" s="3" t="s">
        <v>418</v>
      </c>
      <c r="B4080" s="4" t="s">
        <v>12</v>
      </c>
      <c r="C4080" s="4" t="n">
        <v>6</v>
      </c>
      <c r="D4080" s="4" t="s">
        <v>13</v>
      </c>
      <c r="E4080" s="3" t="s">
        <v>323</v>
      </c>
      <c r="F4080" s="4" t="str">
        <f aca="false">IF(I4080&gt;J4080,"Y","N")</f>
        <v>N</v>
      </c>
      <c r="G4080" s="3" t="s">
        <v>164</v>
      </c>
      <c r="H4080" s="3" t="s">
        <v>42</v>
      </c>
      <c r="I4080" s="4" t="n">
        <v>4</v>
      </c>
      <c r="J4080" s="4" t="n">
        <f aca="false">LEN(E4080)-LEN(SUBSTITUTE(E4080,",",""))+1</f>
        <v>4</v>
      </c>
      <c r="K4080" s="3" t="str">
        <f aca="false">IFERROR(INDEX('Teacher Lookup'!$B$2:$B$200,MATCH(A4080,'Teacher Lookup'!$A$2:$A$200,0)),"")</f>
        <v>LIU Flora</v>
      </c>
    </row>
    <row r="4081" customFormat="false" ht="15" hidden="false" customHeight="false" outlineLevel="0" collapsed="false">
      <c r="A4081" s="3" t="s">
        <v>418</v>
      </c>
      <c r="B4081" s="4" t="s">
        <v>12</v>
      </c>
      <c r="C4081" s="4" t="n">
        <v>6</v>
      </c>
      <c r="D4081" s="4" t="s">
        <v>17</v>
      </c>
      <c r="E4081" s="3" t="s">
        <v>323</v>
      </c>
      <c r="F4081" s="4" t="str">
        <f aca="false">IF(I4081&gt;J4081,"Y","N")</f>
        <v>N</v>
      </c>
      <c r="G4081" s="3" t="s">
        <v>164</v>
      </c>
      <c r="H4081" s="3" t="s">
        <v>42</v>
      </c>
      <c r="I4081" s="4" t="n">
        <v>4</v>
      </c>
      <c r="J4081" s="4" t="n">
        <f aca="false">LEN(E4081)-LEN(SUBSTITUTE(E4081,",",""))+1</f>
        <v>4</v>
      </c>
      <c r="K4081" s="3" t="str">
        <f aca="false">IFERROR(INDEX('Teacher Lookup'!$B$2:$B$200,MATCH(A4081,'Teacher Lookup'!$A$2:$A$200,0)),"")</f>
        <v>LIU Flora</v>
      </c>
    </row>
    <row r="4082" customFormat="false" ht="15" hidden="false" customHeight="false" outlineLevel="0" collapsed="false">
      <c r="A4082" s="3" t="s">
        <v>418</v>
      </c>
      <c r="B4082" s="4" t="s">
        <v>12</v>
      </c>
      <c r="C4082" s="4" t="n">
        <v>6</v>
      </c>
      <c r="D4082" s="4" t="s">
        <v>18</v>
      </c>
      <c r="E4082" s="3" t="s">
        <v>323</v>
      </c>
      <c r="F4082" s="4" t="str">
        <f aca="false">IF(I4082&gt;J4082,"Y","N")</f>
        <v>N</v>
      </c>
      <c r="G4082" s="3" t="s">
        <v>164</v>
      </c>
      <c r="H4082" s="3" t="s">
        <v>42</v>
      </c>
      <c r="I4082" s="4" t="n">
        <v>4</v>
      </c>
      <c r="J4082" s="4" t="n">
        <f aca="false">LEN(E4082)-LEN(SUBSTITUTE(E4082,",",""))+1</f>
        <v>4</v>
      </c>
      <c r="K4082" s="3" t="str">
        <f aca="false">IFERROR(INDEX('Teacher Lookup'!$B$2:$B$200,MATCH(A4082,'Teacher Lookup'!$A$2:$A$200,0)),"")</f>
        <v>LIU Flora</v>
      </c>
    </row>
    <row r="4083" customFormat="false" ht="15" hidden="false" customHeight="false" outlineLevel="0" collapsed="false">
      <c r="A4083" s="3" t="s">
        <v>418</v>
      </c>
      <c r="B4083" s="4" t="s">
        <v>12</v>
      </c>
      <c r="C4083" s="4" t="n">
        <v>7</v>
      </c>
      <c r="D4083" s="4" t="s">
        <v>19</v>
      </c>
      <c r="E4083" s="3" t="s">
        <v>33</v>
      </c>
      <c r="F4083" s="4" t="str">
        <f aca="false">IF(I4083&gt;J4083,"Y","N")</f>
        <v>N</v>
      </c>
      <c r="G4083" s="3" t="s">
        <v>164</v>
      </c>
      <c r="H4083" s="3" t="s">
        <v>39</v>
      </c>
      <c r="I4083" s="4" t="n">
        <v>4</v>
      </c>
      <c r="J4083" s="4" t="n">
        <f aca="false">LEN(E4083)-LEN(SUBSTITUTE(E4083,",",""))+1</f>
        <v>4</v>
      </c>
      <c r="K4083" s="3" t="str">
        <f aca="false">IFERROR(INDEX('Teacher Lookup'!$B$2:$B$200,MATCH(A4083,'Teacher Lookup'!$A$2:$A$200,0)),"")</f>
        <v>LIU Flora</v>
      </c>
    </row>
    <row r="4084" customFormat="false" ht="15" hidden="false" customHeight="false" outlineLevel="0" collapsed="false">
      <c r="A4084" s="3" t="s">
        <v>418</v>
      </c>
      <c r="B4084" s="4" t="s">
        <v>12</v>
      </c>
      <c r="C4084" s="4" t="n">
        <v>7</v>
      </c>
      <c r="D4084" s="4" t="s">
        <v>22</v>
      </c>
      <c r="E4084" s="3" t="s">
        <v>33</v>
      </c>
      <c r="F4084" s="4" t="str">
        <f aca="false">IF(I4084&gt;J4084,"Y","N")</f>
        <v>N</v>
      </c>
      <c r="G4084" s="3" t="s">
        <v>164</v>
      </c>
      <c r="H4084" s="3" t="s">
        <v>39</v>
      </c>
      <c r="I4084" s="4" t="n">
        <v>4</v>
      </c>
      <c r="J4084" s="4" t="n">
        <f aca="false">LEN(E4084)-LEN(SUBSTITUTE(E4084,",",""))+1</f>
        <v>4</v>
      </c>
      <c r="K4084" s="3" t="str">
        <f aca="false">IFERROR(INDEX('Teacher Lookup'!$B$2:$B$200,MATCH(A4084,'Teacher Lookup'!$A$2:$A$200,0)),"")</f>
        <v>LIU Flora</v>
      </c>
    </row>
    <row r="4085" customFormat="false" ht="15" hidden="false" customHeight="false" outlineLevel="0" collapsed="false">
      <c r="A4085" s="3" t="s">
        <v>418</v>
      </c>
      <c r="B4085" s="4" t="s">
        <v>12</v>
      </c>
      <c r="C4085" s="4" t="n">
        <v>7</v>
      </c>
      <c r="D4085" s="4" t="s">
        <v>23</v>
      </c>
      <c r="E4085" s="3" t="s">
        <v>33</v>
      </c>
      <c r="F4085" s="4" t="str">
        <f aca="false">IF(I4085&gt;J4085,"Y","N")</f>
        <v>N</v>
      </c>
      <c r="G4085" s="3" t="s">
        <v>164</v>
      </c>
      <c r="H4085" s="3" t="s">
        <v>39</v>
      </c>
      <c r="I4085" s="4" t="n">
        <v>4</v>
      </c>
      <c r="J4085" s="4" t="n">
        <f aca="false">LEN(E4085)-LEN(SUBSTITUTE(E4085,",",""))+1</f>
        <v>4</v>
      </c>
      <c r="K4085" s="3" t="str">
        <f aca="false">IFERROR(INDEX('Teacher Lookup'!$B$2:$B$200,MATCH(A4085,'Teacher Lookup'!$A$2:$A$200,0)),"")</f>
        <v>LIU Flora</v>
      </c>
    </row>
    <row r="4086" customFormat="false" ht="15" hidden="false" customHeight="false" outlineLevel="0" collapsed="false">
      <c r="A4086" s="3" t="s">
        <v>418</v>
      </c>
      <c r="B4086" s="4" t="s">
        <v>31</v>
      </c>
      <c r="C4086" s="4" t="n">
        <v>2</v>
      </c>
      <c r="D4086" s="4" t="s">
        <v>19</v>
      </c>
      <c r="E4086" s="3" t="s">
        <v>33</v>
      </c>
      <c r="F4086" s="4" t="str">
        <f aca="false">IF(I4086&gt;J4086,"Y","N")</f>
        <v>N</v>
      </c>
      <c r="G4086" s="3" t="s">
        <v>164</v>
      </c>
      <c r="H4086" s="3" t="s">
        <v>21</v>
      </c>
      <c r="I4086" s="4" t="n">
        <v>4</v>
      </c>
      <c r="J4086" s="4" t="n">
        <f aca="false">LEN(E4086)-LEN(SUBSTITUTE(E4086,",",""))+1</f>
        <v>4</v>
      </c>
      <c r="K4086" s="3" t="str">
        <f aca="false">IFERROR(INDEX('Teacher Lookup'!$B$2:$B$200,MATCH(A4086,'Teacher Lookup'!$A$2:$A$200,0)),"")</f>
        <v>LIU Flora</v>
      </c>
    </row>
    <row r="4087" customFormat="false" ht="15" hidden="false" customHeight="false" outlineLevel="0" collapsed="false">
      <c r="A4087" s="3" t="s">
        <v>418</v>
      </c>
      <c r="B4087" s="4" t="s">
        <v>31</v>
      </c>
      <c r="C4087" s="4" t="n">
        <v>2</v>
      </c>
      <c r="D4087" s="4" t="s">
        <v>22</v>
      </c>
      <c r="E4087" s="3" t="s">
        <v>33</v>
      </c>
      <c r="F4087" s="4" t="str">
        <f aca="false">IF(I4087&gt;J4087,"Y","N")</f>
        <v>N</v>
      </c>
      <c r="G4087" s="3" t="s">
        <v>164</v>
      </c>
      <c r="H4087" s="3" t="s">
        <v>21</v>
      </c>
      <c r="I4087" s="4" t="n">
        <v>4</v>
      </c>
      <c r="J4087" s="4" t="n">
        <f aca="false">LEN(E4087)-LEN(SUBSTITUTE(E4087,",",""))+1</f>
        <v>4</v>
      </c>
      <c r="K4087" s="3" t="str">
        <f aca="false">IFERROR(INDEX('Teacher Lookup'!$B$2:$B$200,MATCH(A4087,'Teacher Lookup'!$A$2:$A$200,0)),"")</f>
        <v>LIU Flora</v>
      </c>
    </row>
    <row r="4088" customFormat="false" ht="15" hidden="false" customHeight="false" outlineLevel="0" collapsed="false">
      <c r="A4088" s="3" t="s">
        <v>418</v>
      </c>
      <c r="B4088" s="4" t="s">
        <v>31</v>
      </c>
      <c r="C4088" s="4" t="n">
        <v>2</v>
      </c>
      <c r="D4088" s="4" t="s">
        <v>23</v>
      </c>
      <c r="E4088" s="3" t="s">
        <v>33</v>
      </c>
      <c r="F4088" s="4" t="str">
        <f aca="false">IF(I4088&gt;J4088,"Y","N")</f>
        <v>N</v>
      </c>
      <c r="G4088" s="3" t="s">
        <v>164</v>
      </c>
      <c r="H4088" s="3" t="s">
        <v>21</v>
      </c>
      <c r="I4088" s="4" t="n">
        <v>4</v>
      </c>
      <c r="J4088" s="4" t="n">
        <f aca="false">LEN(E4088)-LEN(SUBSTITUTE(E4088,",",""))+1</f>
        <v>4</v>
      </c>
      <c r="K4088" s="3" t="str">
        <f aca="false">IFERROR(INDEX('Teacher Lookup'!$B$2:$B$200,MATCH(A4088,'Teacher Lookup'!$A$2:$A$200,0)),"")</f>
        <v>LIU Flora</v>
      </c>
    </row>
    <row r="4089" customFormat="false" ht="15" hidden="false" customHeight="false" outlineLevel="0" collapsed="false">
      <c r="A4089" s="3" t="s">
        <v>418</v>
      </c>
      <c r="B4089" s="4" t="s">
        <v>31</v>
      </c>
      <c r="C4089" s="4" t="n">
        <v>5</v>
      </c>
      <c r="D4089" s="4" t="s">
        <v>19</v>
      </c>
      <c r="E4089" s="3" t="s">
        <v>35</v>
      </c>
      <c r="F4089" s="4" t="str">
        <f aca="false">IF(I4089&gt;J4089,"Y","N")</f>
        <v>Y</v>
      </c>
      <c r="G4089" s="3" t="s">
        <v>36</v>
      </c>
      <c r="H4089" s="3" t="s">
        <v>37</v>
      </c>
      <c r="I4089" s="4" t="n">
        <v>17</v>
      </c>
      <c r="J4089" s="4" t="n">
        <f aca="false">LEN(E4089)-LEN(SUBSTITUTE(E4089,",",""))+1</f>
        <v>7</v>
      </c>
      <c r="K4089" s="3" t="str">
        <f aca="false">IFERROR(INDEX('Teacher Lookup'!$B$2:$B$200,MATCH(A4089,'Teacher Lookup'!$A$2:$A$200,0)),"")</f>
        <v>LIU Flora</v>
      </c>
    </row>
    <row r="4090" customFormat="false" ht="15" hidden="false" customHeight="false" outlineLevel="0" collapsed="false">
      <c r="A4090" s="3" t="s">
        <v>418</v>
      </c>
      <c r="B4090" s="4" t="s">
        <v>31</v>
      </c>
      <c r="C4090" s="4" t="n">
        <v>5</v>
      </c>
      <c r="D4090" s="4" t="s">
        <v>22</v>
      </c>
      <c r="E4090" s="3" t="s">
        <v>35</v>
      </c>
      <c r="F4090" s="4" t="str">
        <f aca="false">IF(I4090&gt;J4090,"Y","N")</f>
        <v>Y</v>
      </c>
      <c r="G4090" s="3" t="s">
        <v>36</v>
      </c>
      <c r="H4090" s="3" t="s">
        <v>37</v>
      </c>
      <c r="I4090" s="4" t="n">
        <v>17</v>
      </c>
      <c r="J4090" s="4" t="n">
        <f aca="false">LEN(E4090)-LEN(SUBSTITUTE(E4090,",",""))+1</f>
        <v>7</v>
      </c>
      <c r="K4090" s="3" t="str">
        <f aca="false">IFERROR(INDEX('Teacher Lookup'!$B$2:$B$200,MATCH(A4090,'Teacher Lookup'!$A$2:$A$200,0)),"")</f>
        <v>LIU Flora</v>
      </c>
    </row>
    <row r="4091" customFormat="false" ht="15" hidden="false" customHeight="false" outlineLevel="0" collapsed="false">
      <c r="A4091" s="3" t="s">
        <v>418</v>
      </c>
      <c r="B4091" s="4" t="s">
        <v>31</v>
      </c>
      <c r="C4091" s="4" t="n">
        <v>5</v>
      </c>
      <c r="D4091" s="4" t="s">
        <v>23</v>
      </c>
      <c r="E4091" s="3" t="s">
        <v>35</v>
      </c>
      <c r="F4091" s="4" t="str">
        <f aca="false">IF(I4091&gt;J4091,"Y","N")</f>
        <v>Y</v>
      </c>
      <c r="G4091" s="3" t="s">
        <v>36</v>
      </c>
      <c r="H4091" s="3" t="s">
        <v>37</v>
      </c>
      <c r="I4091" s="4" t="n">
        <v>17</v>
      </c>
      <c r="J4091" s="4" t="n">
        <f aca="false">LEN(E4091)-LEN(SUBSTITUTE(E4091,",",""))+1</f>
        <v>7</v>
      </c>
      <c r="K4091" s="3" t="str">
        <f aca="false">IFERROR(INDEX('Teacher Lookup'!$B$2:$B$200,MATCH(A4091,'Teacher Lookup'!$A$2:$A$200,0)),"")</f>
        <v>LIU Flora</v>
      </c>
    </row>
    <row r="4092" customFormat="false" ht="15" hidden="false" customHeight="false" outlineLevel="0" collapsed="false">
      <c r="A4092" s="3" t="s">
        <v>418</v>
      </c>
      <c r="B4092" s="4" t="s">
        <v>31</v>
      </c>
      <c r="C4092" s="4" t="n">
        <v>5</v>
      </c>
      <c r="D4092" s="4" t="s">
        <v>13</v>
      </c>
      <c r="E4092" s="3" t="s">
        <v>35</v>
      </c>
      <c r="F4092" s="4" t="str">
        <f aca="false">IF(I4092&gt;J4092,"Y","N")</f>
        <v>Y</v>
      </c>
      <c r="G4092" s="3" t="s">
        <v>36</v>
      </c>
      <c r="H4092" s="3" t="s">
        <v>37</v>
      </c>
      <c r="I4092" s="4" t="n">
        <v>17</v>
      </c>
      <c r="J4092" s="4" t="n">
        <f aca="false">LEN(E4092)-LEN(SUBSTITUTE(E4092,",",""))+1</f>
        <v>7</v>
      </c>
      <c r="K4092" s="3" t="str">
        <f aca="false">IFERROR(INDEX('Teacher Lookup'!$B$2:$B$200,MATCH(A4092,'Teacher Lookup'!$A$2:$A$200,0)),"")</f>
        <v>LIU Flora</v>
      </c>
    </row>
    <row r="4093" customFormat="false" ht="15" hidden="false" customHeight="false" outlineLevel="0" collapsed="false">
      <c r="A4093" s="3" t="s">
        <v>418</v>
      </c>
      <c r="B4093" s="4" t="s">
        <v>31</v>
      </c>
      <c r="C4093" s="4" t="n">
        <v>5</v>
      </c>
      <c r="D4093" s="4" t="s">
        <v>17</v>
      </c>
      <c r="E4093" s="3" t="s">
        <v>35</v>
      </c>
      <c r="F4093" s="4" t="str">
        <f aca="false">IF(I4093&gt;J4093,"Y","N")</f>
        <v>Y</v>
      </c>
      <c r="G4093" s="3" t="s">
        <v>36</v>
      </c>
      <c r="H4093" s="3" t="s">
        <v>37</v>
      </c>
      <c r="I4093" s="4" t="n">
        <v>17</v>
      </c>
      <c r="J4093" s="4" t="n">
        <f aca="false">LEN(E4093)-LEN(SUBSTITUTE(E4093,",",""))+1</f>
        <v>7</v>
      </c>
      <c r="K4093" s="3" t="str">
        <f aca="false">IFERROR(INDEX('Teacher Lookup'!$B$2:$B$200,MATCH(A4093,'Teacher Lookup'!$A$2:$A$200,0)),"")</f>
        <v>LIU Flora</v>
      </c>
    </row>
    <row r="4094" customFormat="false" ht="15" hidden="false" customHeight="false" outlineLevel="0" collapsed="false">
      <c r="A4094" s="3" t="s">
        <v>418</v>
      </c>
      <c r="B4094" s="4" t="s">
        <v>31</v>
      </c>
      <c r="C4094" s="4" t="n">
        <v>5</v>
      </c>
      <c r="D4094" s="4" t="s">
        <v>18</v>
      </c>
      <c r="E4094" s="3" t="s">
        <v>35</v>
      </c>
      <c r="F4094" s="4" t="str">
        <f aca="false">IF(I4094&gt;J4094,"Y","N")</f>
        <v>Y</v>
      </c>
      <c r="G4094" s="3" t="s">
        <v>36</v>
      </c>
      <c r="H4094" s="3" t="s">
        <v>37</v>
      </c>
      <c r="I4094" s="4" t="n">
        <v>17</v>
      </c>
      <c r="J4094" s="4" t="n">
        <f aca="false">LEN(E4094)-LEN(SUBSTITUTE(E4094,",",""))+1</f>
        <v>7</v>
      </c>
      <c r="K4094" s="3" t="str">
        <f aca="false">IFERROR(INDEX('Teacher Lookup'!$B$2:$B$200,MATCH(A4094,'Teacher Lookup'!$A$2:$A$200,0)),"")</f>
        <v>LIU Flora</v>
      </c>
    </row>
    <row r="4095" customFormat="false" ht="15" hidden="false" customHeight="false" outlineLevel="0" collapsed="false">
      <c r="A4095" s="3" t="s">
        <v>418</v>
      </c>
      <c r="B4095" s="4" t="s">
        <v>31</v>
      </c>
      <c r="C4095" s="4" t="n">
        <v>6</v>
      </c>
      <c r="D4095" s="4" t="s">
        <v>70</v>
      </c>
      <c r="E4095" s="3" t="s">
        <v>371</v>
      </c>
      <c r="F4095" s="4" t="str">
        <f aca="false">IF(I4095&gt;J4095,"Y","N")</f>
        <v>N</v>
      </c>
      <c r="G4095" s="3" t="s">
        <v>164</v>
      </c>
      <c r="H4095" s="3" t="s">
        <v>42</v>
      </c>
      <c r="I4095" s="4" t="n">
        <v>4</v>
      </c>
      <c r="J4095" s="4" t="n">
        <f aca="false">LEN(E4095)-LEN(SUBSTITUTE(E4095,",",""))+1</f>
        <v>4</v>
      </c>
      <c r="K4095" s="3" t="str">
        <f aca="false">IFERROR(INDEX('Teacher Lookup'!$B$2:$B$200,MATCH(A4095,'Teacher Lookup'!$A$2:$A$200,0)),"")</f>
        <v>LIU Flora</v>
      </c>
    </row>
    <row r="4096" customFormat="false" ht="15" hidden="false" customHeight="false" outlineLevel="0" collapsed="false">
      <c r="A4096" s="3" t="s">
        <v>418</v>
      </c>
      <c r="B4096" s="4" t="s">
        <v>31</v>
      </c>
      <c r="C4096" s="4" t="n">
        <v>6</v>
      </c>
      <c r="D4096" s="4" t="s">
        <v>73</v>
      </c>
      <c r="E4096" s="3" t="s">
        <v>371</v>
      </c>
      <c r="F4096" s="4" t="str">
        <f aca="false">IF(I4096&gt;J4096,"Y","N")</f>
        <v>N</v>
      </c>
      <c r="G4096" s="3" t="s">
        <v>164</v>
      </c>
      <c r="H4096" s="3" t="s">
        <v>42</v>
      </c>
      <c r="I4096" s="4" t="n">
        <v>4</v>
      </c>
      <c r="J4096" s="4" t="n">
        <f aca="false">LEN(E4096)-LEN(SUBSTITUTE(E4096,",",""))+1</f>
        <v>4</v>
      </c>
      <c r="K4096" s="3" t="str">
        <f aca="false">IFERROR(INDEX('Teacher Lookup'!$B$2:$B$200,MATCH(A4096,'Teacher Lookup'!$A$2:$A$200,0)),"")</f>
        <v>LIU Flora</v>
      </c>
    </row>
    <row r="4097" customFormat="false" ht="15" hidden="false" customHeight="false" outlineLevel="0" collapsed="false">
      <c r="A4097" s="3" t="s">
        <v>418</v>
      </c>
      <c r="B4097" s="4" t="s">
        <v>31</v>
      </c>
      <c r="C4097" s="4" t="n">
        <v>6</v>
      </c>
      <c r="D4097" s="4" t="s">
        <v>74</v>
      </c>
      <c r="E4097" s="3" t="s">
        <v>371</v>
      </c>
      <c r="F4097" s="4" t="str">
        <f aca="false">IF(I4097&gt;J4097,"Y","N")</f>
        <v>N</v>
      </c>
      <c r="G4097" s="3" t="s">
        <v>164</v>
      </c>
      <c r="H4097" s="3" t="s">
        <v>42</v>
      </c>
      <c r="I4097" s="4" t="n">
        <v>4</v>
      </c>
      <c r="J4097" s="4" t="n">
        <f aca="false">LEN(E4097)-LEN(SUBSTITUTE(E4097,",",""))+1</f>
        <v>4</v>
      </c>
      <c r="K4097" s="3" t="str">
        <f aca="false">IFERROR(INDEX('Teacher Lookup'!$B$2:$B$200,MATCH(A4097,'Teacher Lookup'!$A$2:$A$200,0)),"")</f>
        <v>LIU Flora</v>
      </c>
    </row>
    <row r="4098" customFormat="false" ht="15" hidden="false" customHeight="false" outlineLevel="0" collapsed="false">
      <c r="A4098" s="3" t="s">
        <v>418</v>
      </c>
      <c r="B4098" s="4" t="s">
        <v>40</v>
      </c>
      <c r="C4098" s="4" t="n">
        <v>2</v>
      </c>
      <c r="D4098" s="4" t="s">
        <v>19</v>
      </c>
      <c r="E4098" s="3" t="s">
        <v>419</v>
      </c>
      <c r="F4098" s="4" t="str">
        <f aca="false">IF(I4098&gt;J4098,"Y","N")</f>
        <v>N</v>
      </c>
      <c r="G4098" s="3" t="s">
        <v>164</v>
      </c>
      <c r="H4098" s="3" t="s">
        <v>21</v>
      </c>
      <c r="I4098" s="4" t="n">
        <v>4</v>
      </c>
      <c r="J4098" s="4" t="n">
        <f aca="false">LEN(E4098)-LEN(SUBSTITUTE(E4098,",",""))+1</f>
        <v>4</v>
      </c>
      <c r="K4098" s="3" t="str">
        <f aca="false">IFERROR(INDEX('Teacher Lookup'!$B$2:$B$200,MATCH(A4098,'Teacher Lookup'!$A$2:$A$200,0)),"")</f>
        <v>LIU Flora</v>
      </c>
    </row>
    <row r="4099" customFormat="false" ht="15" hidden="false" customHeight="false" outlineLevel="0" collapsed="false">
      <c r="A4099" s="3" t="s">
        <v>418</v>
      </c>
      <c r="B4099" s="4" t="s">
        <v>40</v>
      </c>
      <c r="C4099" s="4" t="n">
        <v>2</v>
      </c>
      <c r="D4099" s="4" t="s">
        <v>22</v>
      </c>
      <c r="E4099" s="3" t="s">
        <v>419</v>
      </c>
      <c r="F4099" s="4" t="str">
        <f aca="false">IF(I4099&gt;J4099,"Y","N")</f>
        <v>N</v>
      </c>
      <c r="G4099" s="3" t="s">
        <v>164</v>
      </c>
      <c r="H4099" s="3" t="s">
        <v>21</v>
      </c>
      <c r="I4099" s="4" t="n">
        <v>4</v>
      </c>
      <c r="J4099" s="4" t="n">
        <f aca="false">LEN(E4099)-LEN(SUBSTITUTE(E4099,",",""))+1</f>
        <v>4</v>
      </c>
      <c r="K4099" s="3" t="str">
        <f aca="false">IFERROR(INDEX('Teacher Lookup'!$B$2:$B$200,MATCH(A4099,'Teacher Lookup'!$A$2:$A$200,0)),"")</f>
        <v>LIU Flora</v>
      </c>
    </row>
    <row r="4100" customFormat="false" ht="15" hidden="false" customHeight="false" outlineLevel="0" collapsed="false">
      <c r="A4100" s="3" t="s">
        <v>418</v>
      </c>
      <c r="B4100" s="4" t="s">
        <v>40</v>
      </c>
      <c r="C4100" s="4" t="n">
        <v>2</v>
      </c>
      <c r="D4100" s="4" t="s">
        <v>23</v>
      </c>
      <c r="E4100" s="3" t="s">
        <v>419</v>
      </c>
      <c r="F4100" s="4" t="str">
        <f aca="false">IF(I4100&gt;J4100,"Y","N")</f>
        <v>N</v>
      </c>
      <c r="G4100" s="3" t="s">
        <v>164</v>
      </c>
      <c r="H4100" s="3" t="s">
        <v>21</v>
      </c>
      <c r="I4100" s="4" t="n">
        <v>4</v>
      </c>
      <c r="J4100" s="4" t="n">
        <f aca="false">LEN(E4100)-LEN(SUBSTITUTE(E4100,",",""))+1</f>
        <v>4</v>
      </c>
      <c r="K4100" s="3" t="str">
        <f aca="false">IFERROR(INDEX('Teacher Lookup'!$B$2:$B$200,MATCH(A4100,'Teacher Lookup'!$A$2:$A$200,0)),"")</f>
        <v>LIU Flora</v>
      </c>
    </row>
    <row r="4101" customFormat="false" ht="15" hidden="false" customHeight="false" outlineLevel="0" collapsed="false">
      <c r="A4101" s="3" t="s">
        <v>418</v>
      </c>
      <c r="B4101" s="4" t="s">
        <v>40</v>
      </c>
      <c r="C4101" s="4" t="n">
        <v>3</v>
      </c>
      <c r="D4101" s="4" t="s">
        <v>13</v>
      </c>
      <c r="E4101" s="3" t="s">
        <v>323</v>
      </c>
      <c r="F4101" s="4" t="str">
        <f aca="false">IF(I4101&gt;J4101,"Y","N")</f>
        <v>N</v>
      </c>
      <c r="G4101" s="3" t="s">
        <v>164</v>
      </c>
      <c r="H4101" s="3" t="s">
        <v>26</v>
      </c>
      <c r="I4101" s="4" t="n">
        <v>4</v>
      </c>
      <c r="J4101" s="4" t="n">
        <f aca="false">LEN(E4101)-LEN(SUBSTITUTE(E4101,",",""))+1</f>
        <v>4</v>
      </c>
      <c r="K4101" s="3" t="str">
        <f aca="false">IFERROR(INDEX('Teacher Lookup'!$B$2:$B$200,MATCH(A4101,'Teacher Lookup'!$A$2:$A$200,0)),"")</f>
        <v>LIU Flora</v>
      </c>
    </row>
    <row r="4102" customFormat="false" ht="15" hidden="false" customHeight="false" outlineLevel="0" collapsed="false">
      <c r="A4102" s="3" t="s">
        <v>418</v>
      </c>
      <c r="B4102" s="4" t="s">
        <v>40</v>
      </c>
      <c r="C4102" s="4" t="n">
        <v>3</v>
      </c>
      <c r="D4102" s="4" t="s">
        <v>17</v>
      </c>
      <c r="E4102" s="3" t="s">
        <v>323</v>
      </c>
      <c r="F4102" s="4" t="str">
        <f aca="false">IF(I4102&gt;J4102,"Y","N")</f>
        <v>N</v>
      </c>
      <c r="G4102" s="3" t="s">
        <v>164</v>
      </c>
      <c r="H4102" s="3" t="s">
        <v>26</v>
      </c>
      <c r="I4102" s="4" t="n">
        <v>4</v>
      </c>
      <c r="J4102" s="4" t="n">
        <f aca="false">LEN(E4102)-LEN(SUBSTITUTE(E4102,",",""))+1</f>
        <v>4</v>
      </c>
      <c r="K4102" s="3" t="str">
        <f aca="false">IFERROR(INDEX('Teacher Lookup'!$B$2:$B$200,MATCH(A4102,'Teacher Lookup'!$A$2:$A$200,0)),"")</f>
        <v>LIU Flora</v>
      </c>
    </row>
    <row r="4103" customFormat="false" ht="15" hidden="false" customHeight="false" outlineLevel="0" collapsed="false">
      <c r="A4103" s="3" t="s">
        <v>418</v>
      </c>
      <c r="B4103" s="4" t="s">
        <v>40</v>
      </c>
      <c r="C4103" s="4" t="n">
        <v>3</v>
      </c>
      <c r="D4103" s="4" t="s">
        <v>18</v>
      </c>
      <c r="E4103" s="3" t="s">
        <v>323</v>
      </c>
      <c r="F4103" s="4" t="str">
        <f aca="false">IF(I4103&gt;J4103,"Y","N")</f>
        <v>N</v>
      </c>
      <c r="G4103" s="3" t="s">
        <v>164</v>
      </c>
      <c r="H4103" s="3" t="s">
        <v>26</v>
      </c>
      <c r="I4103" s="4" t="n">
        <v>4</v>
      </c>
      <c r="J4103" s="4" t="n">
        <f aca="false">LEN(E4103)-LEN(SUBSTITUTE(E4103,",",""))+1</f>
        <v>4</v>
      </c>
      <c r="K4103" s="3" t="str">
        <f aca="false">IFERROR(INDEX('Teacher Lookup'!$B$2:$B$200,MATCH(A4103,'Teacher Lookup'!$A$2:$A$200,0)),"")</f>
        <v>LIU Flora</v>
      </c>
    </row>
    <row r="4104" customFormat="false" ht="15" hidden="false" customHeight="false" outlineLevel="0" collapsed="false">
      <c r="A4104" s="3" t="s">
        <v>418</v>
      </c>
      <c r="B4104" s="4" t="s">
        <v>40</v>
      </c>
      <c r="C4104" s="4" t="n">
        <v>4</v>
      </c>
      <c r="D4104" s="4" t="s">
        <v>13</v>
      </c>
      <c r="E4104" s="3" t="s">
        <v>323</v>
      </c>
      <c r="F4104" s="4" t="str">
        <f aca="false">IF(I4104&gt;J4104,"Y","N")</f>
        <v>N</v>
      </c>
      <c r="G4104" s="3" t="s">
        <v>164</v>
      </c>
      <c r="H4104" s="3" t="s">
        <v>34</v>
      </c>
      <c r="I4104" s="4" t="n">
        <v>4</v>
      </c>
      <c r="J4104" s="4" t="n">
        <f aca="false">LEN(E4104)-LEN(SUBSTITUTE(E4104,",",""))+1</f>
        <v>4</v>
      </c>
      <c r="K4104" s="3" t="str">
        <f aca="false">IFERROR(INDEX('Teacher Lookup'!$B$2:$B$200,MATCH(A4104,'Teacher Lookup'!$A$2:$A$200,0)),"")</f>
        <v>LIU Flora</v>
      </c>
    </row>
    <row r="4105" customFormat="false" ht="15" hidden="false" customHeight="false" outlineLevel="0" collapsed="false">
      <c r="A4105" s="3" t="s">
        <v>418</v>
      </c>
      <c r="B4105" s="4" t="s">
        <v>40</v>
      </c>
      <c r="C4105" s="4" t="n">
        <v>4</v>
      </c>
      <c r="D4105" s="4" t="s">
        <v>17</v>
      </c>
      <c r="E4105" s="3" t="s">
        <v>323</v>
      </c>
      <c r="F4105" s="4" t="str">
        <f aca="false">IF(I4105&gt;J4105,"Y","N")</f>
        <v>N</v>
      </c>
      <c r="G4105" s="3" t="s">
        <v>164</v>
      </c>
      <c r="H4105" s="3" t="s">
        <v>34</v>
      </c>
      <c r="I4105" s="4" t="n">
        <v>4</v>
      </c>
      <c r="J4105" s="4" t="n">
        <f aca="false">LEN(E4105)-LEN(SUBSTITUTE(E4105,",",""))+1</f>
        <v>4</v>
      </c>
      <c r="K4105" s="3" t="str">
        <f aca="false">IFERROR(INDEX('Teacher Lookup'!$B$2:$B$200,MATCH(A4105,'Teacher Lookup'!$A$2:$A$200,0)),"")</f>
        <v>LIU Flora</v>
      </c>
    </row>
    <row r="4106" customFormat="false" ht="15" hidden="false" customHeight="false" outlineLevel="0" collapsed="false">
      <c r="A4106" s="3" t="s">
        <v>418</v>
      </c>
      <c r="B4106" s="4" t="s">
        <v>40</v>
      </c>
      <c r="C4106" s="4" t="n">
        <v>4</v>
      </c>
      <c r="D4106" s="4" t="s">
        <v>18</v>
      </c>
      <c r="E4106" s="3" t="s">
        <v>323</v>
      </c>
      <c r="F4106" s="4" t="str">
        <f aca="false">IF(I4106&gt;J4106,"Y","N")</f>
        <v>N</v>
      </c>
      <c r="G4106" s="3" t="s">
        <v>164</v>
      </c>
      <c r="H4106" s="3" t="s">
        <v>34</v>
      </c>
      <c r="I4106" s="4" t="n">
        <v>4</v>
      </c>
      <c r="J4106" s="4" t="n">
        <f aca="false">LEN(E4106)-LEN(SUBSTITUTE(E4106,",",""))+1</f>
        <v>4</v>
      </c>
      <c r="K4106" s="3" t="str">
        <f aca="false">IFERROR(INDEX('Teacher Lookup'!$B$2:$B$200,MATCH(A4106,'Teacher Lookup'!$A$2:$A$200,0)),"")</f>
        <v>LIU Flora</v>
      </c>
    </row>
    <row r="4107" customFormat="false" ht="15" hidden="false" customHeight="false" outlineLevel="0" collapsed="false">
      <c r="A4107" s="3" t="s">
        <v>418</v>
      </c>
      <c r="B4107" s="4" t="s">
        <v>40</v>
      </c>
      <c r="C4107" s="4" t="n">
        <v>6</v>
      </c>
      <c r="D4107" s="4" t="s">
        <v>70</v>
      </c>
      <c r="E4107" s="3" t="s">
        <v>225</v>
      </c>
      <c r="F4107" s="4" t="str">
        <f aca="false">IF(I4107&gt;J4107,"Y","N")</f>
        <v>N</v>
      </c>
      <c r="G4107" s="3" t="s">
        <v>164</v>
      </c>
      <c r="H4107" s="3" t="s">
        <v>42</v>
      </c>
      <c r="I4107" s="4" t="n">
        <v>4</v>
      </c>
      <c r="J4107" s="4" t="n">
        <f aca="false">LEN(E4107)-LEN(SUBSTITUTE(E4107,",",""))+1</f>
        <v>4</v>
      </c>
      <c r="K4107" s="3" t="str">
        <f aca="false">IFERROR(INDEX('Teacher Lookup'!$B$2:$B$200,MATCH(A4107,'Teacher Lookup'!$A$2:$A$200,0)),"")</f>
        <v>LIU Flora</v>
      </c>
    </row>
    <row r="4108" customFormat="false" ht="15" hidden="false" customHeight="false" outlineLevel="0" collapsed="false">
      <c r="A4108" s="3" t="s">
        <v>418</v>
      </c>
      <c r="B4108" s="4" t="s">
        <v>40</v>
      </c>
      <c r="C4108" s="4" t="n">
        <v>6</v>
      </c>
      <c r="D4108" s="4" t="s">
        <v>73</v>
      </c>
      <c r="E4108" s="3" t="s">
        <v>225</v>
      </c>
      <c r="F4108" s="4" t="str">
        <f aca="false">IF(I4108&gt;J4108,"Y","N")</f>
        <v>N</v>
      </c>
      <c r="G4108" s="3" t="s">
        <v>164</v>
      </c>
      <c r="H4108" s="3" t="s">
        <v>42</v>
      </c>
      <c r="I4108" s="4" t="n">
        <v>4</v>
      </c>
      <c r="J4108" s="4" t="n">
        <f aca="false">LEN(E4108)-LEN(SUBSTITUTE(E4108,",",""))+1</f>
        <v>4</v>
      </c>
      <c r="K4108" s="3" t="str">
        <f aca="false">IFERROR(INDEX('Teacher Lookup'!$B$2:$B$200,MATCH(A4108,'Teacher Lookup'!$A$2:$A$200,0)),"")</f>
        <v>LIU Flora</v>
      </c>
    </row>
    <row r="4109" customFormat="false" ht="15" hidden="false" customHeight="false" outlineLevel="0" collapsed="false">
      <c r="A4109" s="3" t="s">
        <v>418</v>
      </c>
      <c r="B4109" s="4" t="s">
        <v>40</v>
      </c>
      <c r="C4109" s="4" t="n">
        <v>6</v>
      </c>
      <c r="D4109" s="4" t="s">
        <v>74</v>
      </c>
      <c r="E4109" s="3" t="s">
        <v>225</v>
      </c>
      <c r="F4109" s="4" t="str">
        <f aca="false">IF(I4109&gt;J4109,"Y","N")</f>
        <v>N</v>
      </c>
      <c r="G4109" s="3" t="s">
        <v>164</v>
      </c>
      <c r="H4109" s="3" t="s">
        <v>42</v>
      </c>
      <c r="I4109" s="4" t="n">
        <v>4</v>
      </c>
      <c r="J4109" s="4" t="n">
        <f aca="false">LEN(E4109)-LEN(SUBSTITUTE(E4109,",",""))+1</f>
        <v>4</v>
      </c>
      <c r="K4109" s="3" t="str">
        <f aca="false">IFERROR(INDEX('Teacher Lookup'!$B$2:$B$200,MATCH(A4109,'Teacher Lookup'!$A$2:$A$200,0)),"")</f>
        <v>LIU Flora</v>
      </c>
    </row>
    <row r="4110" customFormat="false" ht="15" hidden="false" customHeight="false" outlineLevel="0" collapsed="false">
      <c r="A4110" s="3" t="s">
        <v>418</v>
      </c>
      <c r="B4110" s="4" t="s">
        <v>44</v>
      </c>
      <c r="C4110" s="4" t="n">
        <v>4</v>
      </c>
      <c r="D4110" s="4" t="s">
        <v>13</v>
      </c>
      <c r="E4110" s="3" t="s">
        <v>43</v>
      </c>
      <c r="F4110" s="4" t="str">
        <f aca="false">IF(I4110&gt;J4110,"Y","N")</f>
        <v>N</v>
      </c>
      <c r="G4110" s="3" t="s">
        <v>164</v>
      </c>
      <c r="H4110" s="3" t="s">
        <v>34</v>
      </c>
      <c r="I4110" s="4" t="n">
        <v>4</v>
      </c>
      <c r="J4110" s="4" t="n">
        <f aca="false">LEN(E4110)-LEN(SUBSTITUTE(E4110,",",""))+1</f>
        <v>4</v>
      </c>
      <c r="K4110" s="3" t="str">
        <f aca="false">IFERROR(INDEX('Teacher Lookup'!$B$2:$B$200,MATCH(A4110,'Teacher Lookup'!$A$2:$A$200,0)),"")</f>
        <v>LIU Flora</v>
      </c>
    </row>
    <row r="4111" customFormat="false" ht="15" hidden="false" customHeight="false" outlineLevel="0" collapsed="false">
      <c r="A4111" s="3" t="s">
        <v>418</v>
      </c>
      <c r="B4111" s="4" t="s">
        <v>44</v>
      </c>
      <c r="C4111" s="4" t="n">
        <v>4</v>
      </c>
      <c r="D4111" s="4" t="s">
        <v>17</v>
      </c>
      <c r="E4111" s="3" t="s">
        <v>43</v>
      </c>
      <c r="F4111" s="4" t="str">
        <f aca="false">IF(I4111&gt;J4111,"Y","N")</f>
        <v>N</v>
      </c>
      <c r="G4111" s="3" t="s">
        <v>164</v>
      </c>
      <c r="H4111" s="3" t="s">
        <v>34</v>
      </c>
      <c r="I4111" s="4" t="n">
        <v>4</v>
      </c>
      <c r="J4111" s="4" t="n">
        <f aca="false">LEN(E4111)-LEN(SUBSTITUTE(E4111,",",""))+1</f>
        <v>4</v>
      </c>
      <c r="K4111" s="3" t="str">
        <f aca="false">IFERROR(INDEX('Teacher Lookup'!$B$2:$B$200,MATCH(A4111,'Teacher Lookup'!$A$2:$A$200,0)),"")</f>
        <v>LIU Flora</v>
      </c>
    </row>
    <row r="4112" customFormat="false" ht="15" hidden="false" customHeight="false" outlineLevel="0" collapsed="false">
      <c r="A4112" s="3" t="s">
        <v>418</v>
      </c>
      <c r="B4112" s="4" t="s">
        <v>44</v>
      </c>
      <c r="C4112" s="4" t="n">
        <v>4</v>
      </c>
      <c r="D4112" s="4" t="s">
        <v>18</v>
      </c>
      <c r="E4112" s="3" t="s">
        <v>43</v>
      </c>
      <c r="F4112" s="4" t="str">
        <f aca="false">IF(I4112&gt;J4112,"Y","N")</f>
        <v>N</v>
      </c>
      <c r="G4112" s="3" t="s">
        <v>164</v>
      </c>
      <c r="H4112" s="3" t="s">
        <v>34</v>
      </c>
      <c r="I4112" s="4" t="n">
        <v>4</v>
      </c>
      <c r="J4112" s="4" t="n">
        <f aca="false">LEN(E4112)-LEN(SUBSTITUTE(E4112,",",""))+1</f>
        <v>4</v>
      </c>
      <c r="K4112" s="3" t="str">
        <f aca="false">IFERROR(INDEX('Teacher Lookup'!$B$2:$B$200,MATCH(A4112,'Teacher Lookup'!$A$2:$A$200,0)),"")</f>
        <v>LIU Flora</v>
      </c>
    </row>
    <row r="4113" customFormat="false" ht="15" hidden="false" customHeight="false" outlineLevel="0" collapsed="false">
      <c r="A4113" s="3" t="s">
        <v>418</v>
      </c>
      <c r="B4113" s="4" t="s">
        <v>44</v>
      </c>
      <c r="C4113" s="4" t="n">
        <v>5</v>
      </c>
      <c r="D4113" s="4" t="s">
        <v>19</v>
      </c>
      <c r="E4113" s="3" t="s">
        <v>35</v>
      </c>
      <c r="F4113" s="4" t="str">
        <f aca="false">IF(I4113&gt;J4113,"Y","N")</f>
        <v>Y</v>
      </c>
      <c r="G4113" s="3" t="s">
        <v>36</v>
      </c>
      <c r="H4113" s="3" t="s">
        <v>37</v>
      </c>
      <c r="I4113" s="4" t="n">
        <v>17</v>
      </c>
      <c r="J4113" s="4" t="n">
        <f aca="false">LEN(E4113)-LEN(SUBSTITUTE(E4113,",",""))+1</f>
        <v>7</v>
      </c>
      <c r="K4113" s="3" t="str">
        <f aca="false">IFERROR(INDEX('Teacher Lookup'!$B$2:$B$200,MATCH(A4113,'Teacher Lookup'!$A$2:$A$200,0)),"")</f>
        <v>LIU Flora</v>
      </c>
    </row>
    <row r="4114" customFormat="false" ht="15" hidden="false" customHeight="false" outlineLevel="0" collapsed="false">
      <c r="A4114" s="3" t="s">
        <v>418</v>
      </c>
      <c r="B4114" s="4" t="s">
        <v>44</v>
      </c>
      <c r="C4114" s="4" t="n">
        <v>5</v>
      </c>
      <c r="D4114" s="4" t="s">
        <v>22</v>
      </c>
      <c r="E4114" s="3" t="s">
        <v>35</v>
      </c>
      <c r="F4114" s="4" t="str">
        <f aca="false">IF(I4114&gt;J4114,"Y","N")</f>
        <v>Y</v>
      </c>
      <c r="G4114" s="3" t="s">
        <v>36</v>
      </c>
      <c r="H4114" s="3" t="s">
        <v>37</v>
      </c>
      <c r="I4114" s="4" t="n">
        <v>17</v>
      </c>
      <c r="J4114" s="4" t="n">
        <f aca="false">LEN(E4114)-LEN(SUBSTITUTE(E4114,",",""))+1</f>
        <v>7</v>
      </c>
      <c r="K4114" s="3" t="str">
        <f aca="false">IFERROR(INDEX('Teacher Lookup'!$B$2:$B$200,MATCH(A4114,'Teacher Lookup'!$A$2:$A$200,0)),"")</f>
        <v>LIU Flora</v>
      </c>
    </row>
    <row r="4115" customFormat="false" ht="15" hidden="false" customHeight="false" outlineLevel="0" collapsed="false">
      <c r="A4115" s="3" t="s">
        <v>418</v>
      </c>
      <c r="B4115" s="4" t="s">
        <v>44</v>
      </c>
      <c r="C4115" s="4" t="n">
        <v>5</v>
      </c>
      <c r="D4115" s="4" t="s">
        <v>23</v>
      </c>
      <c r="E4115" s="3" t="s">
        <v>35</v>
      </c>
      <c r="F4115" s="4" t="str">
        <f aca="false">IF(I4115&gt;J4115,"Y","N")</f>
        <v>Y</v>
      </c>
      <c r="G4115" s="3" t="s">
        <v>36</v>
      </c>
      <c r="H4115" s="3" t="s">
        <v>37</v>
      </c>
      <c r="I4115" s="4" t="n">
        <v>17</v>
      </c>
      <c r="J4115" s="4" t="n">
        <f aca="false">LEN(E4115)-LEN(SUBSTITUTE(E4115,",",""))+1</f>
        <v>7</v>
      </c>
      <c r="K4115" s="3" t="str">
        <f aca="false">IFERROR(INDEX('Teacher Lookup'!$B$2:$B$200,MATCH(A4115,'Teacher Lookup'!$A$2:$A$200,0)),"")</f>
        <v>LIU Flora</v>
      </c>
    </row>
    <row r="4116" customFormat="false" ht="15" hidden="false" customHeight="false" outlineLevel="0" collapsed="false">
      <c r="A4116" s="3" t="s">
        <v>418</v>
      </c>
      <c r="B4116" s="4" t="s">
        <v>44</v>
      </c>
      <c r="C4116" s="4" t="n">
        <v>5</v>
      </c>
      <c r="D4116" s="4" t="s">
        <v>13</v>
      </c>
      <c r="E4116" s="3" t="s">
        <v>35</v>
      </c>
      <c r="F4116" s="4" t="str">
        <f aca="false">IF(I4116&gt;J4116,"Y","N")</f>
        <v>Y</v>
      </c>
      <c r="G4116" s="3" t="s">
        <v>36</v>
      </c>
      <c r="H4116" s="3" t="s">
        <v>37</v>
      </c>
      <c r="I4116" s="4" t="n">
        <v>17</v>
      </c>
      <c r="J4116" s="4" t="n">
        <f aca="false">LEN(E4116)-LEN(SUBSTITUTE(E4116,",",""))+1</f>
        <v>7</v>
      </c>
      <c r="K4116" s="3" t="str">
        <f aca="false">IFERROR(INDEX('Teacher Lookup'!$B$2:$B$200,MATCH(A4116,'Teacher Lookup'!$A$2:$A$200,0)),"")</f>
        <v>LIU Flora</v>
      </c>
    </row>
    <row r="4117" customFormat="false" ht="15" hidden="false" customHeight="false" outlineLevel="0" collapsed="false">
      <c r="A4117" s="3" t="s">
        <v>418</v>
      </c>
      <c r="B4117" s="4" t="s">
        <v>44</v>
      </c>
      <c r="C4117" s="4" t="n">
        <v>5</v>
      </c>
      <c r="D4117" s="4" t="s">
        <v>17</v>
      </c>
      <c r="E4117" s="3" t="s">
        <v>35</v>
      </c>
      <c r="F4117" s="4" t="str">
        <f aca="false">IF(I4117&gt;J4117,"Y","N")</f>
        <v>Y</v>
      </c>
      <c r="G4117" s="3" t="s">
        <v>36</v>
      </c>
      <c r="H4117" s="3" t="s">
        <v>37</v>
      </c>
      <c r="I4117" s="4" t="n">
        <v>17</v>
      </c>
      <c r="J4117" s="4" t="n">
        <f aca="false">LEN(E4117)-LEN(SUBSTITUTE(E4117,",",""))+1</f>
        <v>7</v>
      </c>
      <c r="K4117" s="3" t="str">
        <f aca="false">IFERROR(INDEX('Teacher Lookup'!$B$2:$B$200,MATCH(A4117,'Teacher Lookup'!$A$2:$A$200,0)),"")</f>
        <v>LIU Flora</v>
      </c>
    </row>
    <row r="4118" customFormat="false" ht="15" hidden="false" customHeight="false" outlineLevel="0" collapsed="false">
      <c r="A4118" s="3" t="s">
        <v>418</v>
      </c>
      <c r="B4118" s="4" t="s">
        <v>44</v>
      </c>
      <c r="C4118" s="4" t="n">
        <v>5</v>
      </c>
      <c r="D4118" s="4" t="s">
        <v>18</v>
      </c>
      <c r="E4118" s="3" t="s">
        <v>35</v>
      </c>
      <c r="F4118" s="4" t="str">
        <f aca="false">IF(I4118&gt;J4118,"Y","N")</f>
        <v>Y</v>
      </c>
      <c r="G4118" s="3" t="s">
        <v>36</v>
      </c>
      <c r="H4118" s="3" t="s">
        <v>37</v>
      </c>
      <c r="I4118" s="4" t="n">
        <v>17</v>
      </c>
      <c r="J4118" s="4" t="n">
        <f aca="false">LEN(E4118)-LEN(SUBSTITUTE(E4118,",",""))+1</f>
        <v>7</v>
      </c>
      <c r="K4118" s="3" t="str">
        <f aca="false">IFERROR(INDEX('Teacher Lookup'!$B$2:$B$200,MATCH(A4118,'Teacher Lookup'!$A$2:$A$200,0)),"")</f>
        <v>LIU Flora</v>
      </c>
    </row>
    <row r="4119" customFormat="false" ht="15" hidden="false" customHeight="false" outlineLevel="0" collapsed="false">
      <c r="A4119" s="3" t="s">
        <v>418</v>
      </c>
      <c r="B4119" s="4" t="s">
        <v>44</v>
      </c>
      <c r="C4119" s="4" t="n">
        <v>6</v>
      </c>
      <c r="D4119" s="4" t="s">
        <v>70</v>
      </c>
      <c r="E4119" s="3" t="s">
        <v>372</v>
      </c>
      <c r="F4119" s="4" t="str">
        <f aca="false">IF(I4119&gt;J4119,"Y","N")</f>
        <v>N</v>
      </c>
      <c r="G4119" s="3" t="s">
        <v>164</v>
      </c>
      <c r="H4119" s="3" t="s">
        <v>42</v>
      </c>
      <c r="I4119" s="4" t="n">
        <v>4</v>
      </c>
      <c r="J4119" s="4" t="n">
        <f aca="false">LEN(E4119)-LEN(SUBSTITUTE(E4119,",",""))+1</f>
        <v>4</v>
      </c>
      <c r="K4119" s="3" t="str">
        <f aca="false">IFERROR(INDEX('Teacher Lookup'!$B$2:$B$200,MATCH(A4119,'Teacher Lookup'!$A$2:$A$200,0)),"")</f>
        <v>LIU Flora</v>
      </c>
    </row>
    <row r="4120" customFormat="false" ht="15" hidden="false" customHeight="false" outlineLevel="0" collapsed="false">
      <c r="A4120" s="3" t="s">
        <v>418</v>
      </c>
      <c r="B4120" s="4" t="s">
        <v>44</v>
      </c>
      <c r="C4120" s="4" t="n">
        <v>6</v>
      </c>
      <c r="D4120" s="4" t="s">
        <v>73</v>
      </c>
      <c r="E4120" s="3" t="s">
        <v>372</v>
      </c>
      <c r="F4120" s="4" t="str">
        <f aca="false">IF(I4120&gt;J4120,"Y","N")</f>
        <v>N</v>
      </c>
      <c r="G4120" s="3" t="s">
        <v>164</v>
      </c>
      <c r="H4120" s="3" t="s">
        <v>42</v>
      </c>
      <c r="I4120" s="4" t="n">
        <v>4</v>
      </c>
      <c r="J4120" s="4" t="n">
        <f aca="false">LEN(E4120)-LEN(SUBSTITUTE(E4120,",",""))+1</f>
        <v>4</v>
      </c>
      <c r="K4120" s="3" t="str">
        <f aca="false">IFERROR(INDEX('Teacher Lookup'!$B$2:$B$200,MATCH(A4120,'Teacher Lookup'!$A$2:$A$200,0)),"")</f>
        <v>LIU Flora</v>
      </c>
    </row>
    <row r="4121" customFormat="false" ht="15" hidden="false" customHeight="false" outlineLevel="0" collapsed="false">
      <c r="A4121" s="3" t="s">
        <v>418</v>
      </c>
      <c r="B4121" s="4" t="s">
        <v>44</v>
      </c>
      <c r="C4121" s="4" t="n">
        <v>6</v>
      </c>
      <c r="D4121" s="4" t="s">
        <v>74</v>
      </c>
      <c r="E4121" s="3" t="s">
        <v>372</v>
      </c>
      <c r="F4121" s="4" t="str">
        <f aca="false">IF(I4121&gt;J4121,"Y","N")</f>
        <v>N</v>
      </c>
      <c r="G4121" s="3" t="s">
        <v>164</v>
      </c>
      <c r="H4121" s="3" t="s">
        <v>42</v>
      </c>
      <c r="I4121" s="4" t="n">
        <v>4</v>
      </c>
      <c r="J4121" s="4" t="n">
        <f aca="false">LEN(E4121)-LEN(SUBSTITUTE(E4121,",",""))+1</f>
        <v>4</v>
      </c>
      <c r="K4121" s="3" t="str">
        <f aca="false">IFERROR(INDEX('Teacher Lookup'!$B$2:$B$200,MATCH(A4121,'Teacher Lookup'!$A$2:$A$200,0)),"")</f>
        <v>LIU Flora</v>
      </c>
    </row>
    <row r="4122" customFormat="false" ht="15" hidden="false" customHeight="false" outlineLevel="0" collapsed="false">
      <c r="A4122" s="3" t="s">
        <v>418</v>
      </c>
      <c r="B4122" s="4" t="s">
        <v>44</v>
      </c>
      <c r="C4122" s="4" t="n">
        <v>7</v>
      </c>
      <c r="D4122" s="4" t="s">
        <v>19</v>
      </c>
      <c r="E4122" s="3" t="s">
        <v>420</v>
      </c>
      <c r="F4122" s="4" t="str">
        <f aca="false">IF(I4122&gt;J4122,"Y","N")</f>
        <v>N</v>
      </c>
      <c r="G4122" s="3" t="s">
        <v>164</v>
      </c>
      <c r="H4122" s="3" t="s">
        <v>39</v>
      </c>
      <c r="I4122" s="4" t="n">
        <v>4</v>
      </c>
      <c r="J4122" s="4" t="n">
        <f aca="false">LEN(E4122)-LEN(SUBSTITUTE(E4122,",",""))+1</f>
        <v>4</v>
      </c>
      <c r="K4122" s="3" t="str">
        <f aca="false">IFERROR(INDEX('Teacher Lookup'!$B$2:$B$200,MATCH(A4122,'Teacher Lookup'!$A$2:$A$200,0)),"")</f>
        <v>LIU Flora</v>
      </c>
    </row>
    <row r="4123" customFormat="false" ht="15" hidden="false" customHeight="false" outlineLevel="0" collapsed="false">
      <c r="A4123" s="3" t="s">
        <v>418</v>
      </c>
      <c r="B4123" s="4" t="s">
        <v>44</v>
      </c>
      <c r="C4123" s="4" t="n">
        <v>7</v>
      </c>
      <c r="D4123" s="4" t="s">
        <v>22</v>
      </c>
      <c r="E4123" s="3" t="s">
        <v>420</v>
      </c>
      <c r="F4123" s="4" t="str">
        <f aca="false">IF(I4123&gt;J4123,"Y","N")</f>
        <v>N</v>
      </c>
      <c r="G4123" s="3" t="s">
        <v>164</v>
      </c>
      <c r="H4123" s="3" t="s">
        <v>39</v>
      </c>
      <c r="I4123" s="4" t="n">
        <v>4</v>
      </c>
      <c r="J4123" s="4" t="n">
        <f aca="false">LEN(E4123)-LEN(SUBSTITUTE(E4123,",",""))+1</f>
        <v>4</v>
      </c>
      <c r="K4123" s="3" t="str">
        <f aca="false">IFERROR(INDEX('Teacher Lookup'!$B$2:$B$200,MATCH(A4123,'Teacher Lookup'!$A$2:$A$200,0)),"")</f>
        <v>LIU Flora</v>
      </c>
    </row>
    <row r="4124" customFormat="false" ht="15" hidden="false" customHeight="false" outlineLevel="0" collapsed="false">
      <c r="A4124" s="3" t="s">
        <v>418</v>
      </c>
      <c r="B4124" s="4" t="s">
        <v>44</v>
      </c>
      <c r="C4124" s="4" t="n">
        <v>7</v>
      </c>
      <c r="D4124" s="4" t="s">
        <v>23</v>
      </c>
      <c r="E4124" s="3" t="s">
        <v>420</v>
      </c>
      <c r="F4124" s="4" t="str">
        <f aca="false">IF(I4124&gt;J4124,"Y","N")</f>
        <v>N</v>
      </c>
      <c r="G4124" s="3" t="s">
        <v>164</v>
      </c>
      <c r="H4124" s="3" t="s">
        <v>39</v>
      </c>
      <c r="I4124" s="4" t="n">
        <v>4</v>
      </c>
      <c r="J4124" s="4" t="n">
        <f aca="false">LEN(E4124)-LEN(SUBSTITUTE(E4124,",",""))+1</f>
        <v>4</v>
      </c>
      <c r="K4124" s="3" t="str">
        <f aca="false">IFERROR(INDEX('Teacher Lookup'!$B$2:$B$200,MATCH(A4124,'Teacher Lookup'!$A$2:$A$200,0)),"")</f>
        <v>LIU Flora</v>
      </c>
    </row>
    <row r="4125" customFormat="false" ht="15" hidden="false" customHeight="false" outlineLevel="0" collapsed="false">
      <c r="A4125" s="3" t="s">
        <v>418</v>
      </c>
      <c r="B4125" s="4" t="s">
        <v>47</v>
      </c>
      <c r="C4125" s="4" t="n">
        <v>1</v>
      </c>
      <c r="D4125" s="4" t="s">
        <v>70</v>
      </c>
      <c r="E4125" s="3" t="s">
        <v>371</v>
      </c>
      <c r="F4125" s="4" t="str">
        <f aca="false">IF(I4125&gt;J4125,"Y","N")</f>
        <v>N</v>
      </c>
      <c r="G4125" s="3" t="s">
        <v>164</v>
      </c>
      <c r="H4125" s="3" t="s">
        <v>16</v>
      </c>
      <c r="I4125" s="4" t="n">
        <v>4</v>
      </c>
      <c r="J4125" s="4" t="n">
        <f aca="false">LEN(E4125)-LEN(SUBSTITUTE(E4125,",",""))+1</f>
        <v>4</v>
      </c>
      <c r="K4125" s="3" t="str">
        <f aca="false">IFERROR(INDEX('Teacher Lookup'!$B$2:$B$200,MATCH(A4125,'Teacher Lookup'!$A$2:$A$200,0)),"")</f>
        <v>LIU Flora</v>
      </c>
    </row>
    <row r="4126" customFormat="false" ht="15" hidden="false" customHeight="false" outlineLevel="0" collapsed="false">
      <c r="A4126" s="3" t="s">
        <v>418</v>
      </c>
      <c r="B4126" s="4" t="s">
        <v>47</v>
      </c>
      <c r="C4126" s="4" t="n">
        <v>1</v>
      </c>
      <c r="D4126" s="4" t="s">
        <v>73</v>
      </c>
      <c r="E4126" s="3" t="s">
        <v>371</v>
      </c>
      <c r="F4126" s="4" t="str">
        <f aca="false">IF(I4126&gt;J4126,"Y","N")</f>
        <v>N</v>
      </c>
      <c r="G4126" s="3" t="s">
        <v>164</v>
      </c>
      <c r="H4126" s="3" t="s">
        <v>16</v>
      </c>
      <c r="I4126" s="4" t="n">
        <v>4</v>
      </c>
      <c r="J4126" s="4" t="n">
        <f aca="false">LEN(E4126)-LEN(SUBSTITUTE(E4126,",",""))+1</f>
        <v>4</v>
      </c>
      <c r="K4126" s="3" t="str">
        <f aca="false">IFERROR(INDEX('Teacher Lookup'!$B$2:$B$200,MATCH(A4126,'Teacher Lookup'!$A$2:$A$200,0)),"")</f>
        <v>LIU Flora</v>
      </c>
    </row>
    <row r="4127" customFormat="false" ht="15" hidden="false" customHeight="false" outlineLevel="0" collapsed="false">
      <c r="A4127" s="3" t="s">
        <v>418</v>
      </c>
      <c r="B4127" s="4" t="s">
        <v>47</v>
      </c>
      <c r="C4127" s="4" t="n">
        <v>1</v>
      </c>
      <c r="D4127" s="4" t="s">
        <v>74</v>
      </c>
      <c r="E4127" s="3" t="s">
        <v>371</v>
      </c>
      <c r="F4127" s="4" t="str">
        <f aca="false">IF(I4127&gt;J4127,"Y","N")</f>
        <v>N</v>
      </c>
      <c r="G4127" s="3" t="s">
        <v>164</v>
      </c>
      <c r="H4127" s="3" t="s">
        <v>16</v>
      </c>
      <c r="I4127" s="4" t="n">
        <v>4</v>
      </c>
      <c r="J4127" s="4" t="n">
        <f aca="false">LEN(E4127)-LEN(SUBSTITUTE(E4127,",",""))+1</f>
        <v>4</v>
      </c>
      <c r="K4127" s="3" t="str">
        <f aca="false">IFERROR(INDEX('Teacher Lookup'!$B$2:$B$200,MATCH(A4127,'Teacher Lookup'!$A$2:$A$200,0)),"")</f>
        <v>LIU Flora</v>
      </c>
    </row>
    <row r="4128" customFormat="false" ht="15" hidden="false" customHeight="false" outlineLevel="0" collapsed="false">
      <c r="A4128" s="3" t="s">
        <v>418</v>
      </c>
      <c r="B4128" s="4" t="s">
        <v>47</v>
      </c>
      <c r="C4128" s="4" t="n">
        <v>5</v>
      </c>
      <c r="D4128" s="4" t="s">
        <v>13</v>
      </c>
      <c r="E4128" s="3" t="s">
        <v>14</v>
      </c>
      <c r="F4128" s="4" t="str">
        <f aca="false">IF(I4128&gt;J4128,"Y","N")</f>
        <v>N</v>
      </c>
      <c r="G4128" s="3" t="s">
        <v>164</v>
      </c>
      <c r="H4128" s="3" t="s">
        <v>37</v>
      </c>
      <c r="I4128" s="4" t="n">
        <v>4</v>
      </c>
      <c r="J4128" s="4" t="n">
        <f aca="false">LEN(E4128)-LEN(SUBSTITUTE(E4128,",",""))+1</f>
        <v>4</v>
      </c>
      <c r="K4128" s="3" t="str">
        <f aca="false">IFERROR(INDEX('Teacher Lookup'!$B$2:$B$200,MATCH(A4128,'Teacher Lookup'!$A$2:$A$200,0)),"")</f>
        <v>LIU Flora</v>
      </c>
    </row>
    <row r="4129" customFormat="false" ht="15" hidden="false" customHeight="false" outlineLevel="0" collapsed="false">
      <c r="A4129" s="3" t="s">
        <v>418</v>
      </c>
      <c r="B4129" s="4" t="s">
        <v>47</v>
      </c>
      <c r="C4129" s="4" t="n">
        <v>5</v>
      </c>
      <c r="D4129" s="4" t="s">
        <v>17</v>
      </c>
      <c r="E4129" s="3" t="s">
        <v>14</v>
      </c>
      <c r="F4129" s="4" t="str">
        <f aca="false">IF(I4129&gt;J4129,"Y","N")</f>
        <v>N</v>
      </c>
      <c r="G4129" s="3" t="s">
        <v>164</v>
      </c>
      <c r="H4129" s="3" t="s">
        <v>37</v>
      </c>
      <c r="I4129" s="4" t="n">
        <v>4</v>
      </c>
      <c r="J4129" s="4" t="n">
        <f aca="false">LEN(E4129)-LEN(SUBSTITUTE(E4129,",",""))+1</f>
        <v>4</v>
      </c>
      <c r="K4129" s="3" t="str">
        <f aca="false">IFERROR(INDEX('Teacher Lookup'!$B$2:$B$200,MATCH(A4129,'Teacher Lookup'!$A$2:$A$200,0)),"")</f>
        <v>LIU Flora</v>
      </c>
    </row>
    <row r="4130" customFormat="false" ht="15" hidden="false" customHeight="false" outlineLevel="0" collapsed="false">
      <c r="A4130" s="3" t="s">
        <v>418</v>
      </c>
      <c r="B4130" s="4" t="s">
        <v>47</v>
      </c>
      <c r="C4130" s="4" t="n">
        <v>5</v>
      </c>
      <c r="D4130" s="4" t="s">
        <v>18</v>
      </c>
      <c r="E4130" s="3" t="s">
        <v>14</v>
      </c>
      <c r="F4130" s="4" t="str">
        <f aca="false">IF(I4130&gt;J4130,"Y","N")</f>
        <v>N</v>
      </c>
      <c r="G4130" s="3" t="s">
        <v>164</v>
      </c>
      <c r="H4130" s="3" t="s">
        <v>37</v>
      </c>
      <c r="I4130" s="4" t="n">
        <v>4</v>
      </c>
      <c r="J4130" s="4" t="n">
        <f aca="false">LEN(E4130)-LEN(SUBSTITUTE(E4130,",",""))+1</f>
        <v>4</v>
      </c>
      <c r="K4130" s="3" t="str">
        <f aca="false">IFERROR(INDEX('Teacher Lookup'!$B$2:$B$200,MATCH(A4130,'Teacher Lookup'!$A$2:$A$200,0)),"")</f>
        <v>LIU Flora</v>
      </c>
    </row>
    <row r="4131" customFormat="false" ht="15" hidden="false" customHeight="false" outlineLevel="0" collapsed="false">
      <c r="A4131" s="3" t="s">
        <v>418</v>
      </c>
      <c r="B4131" s="4" t="s">
        <v>47</v>
      </c>
      <c r="C4131" s="4" t="n">
        <v>6</v>
      </c>
      <c r="D4131" s="4" t="s">
        <v>19</v>
      </c>
      <c r="E4131" s="3" t="s">
        <v>421</v>
      </c>
      <c r="F4131" s="4" t="str">
        <f aca="false">IF(I4131&gt;J4131,"Y","N")</f>
        <v>N</v>
      </c>
      <c r="G4131" s="3" t="s">
        <v>164</v>
      </c>
      <c r="H4131" s="3" t="s">
        <v>42</v>
      </c>
      <c r="I4131" s="4" t="n">
        <v>4</v>
      </c>
      <c r="J4131" s="4" t="n">
        <f aca="false">LEN(E4131)-LEN(SUBSTITUTE(E4131,",",""))+1</f>
        <v>4</v>
      </c>
      <c r="K4131" s="3" t="str">
        <f aca="false">IFERROR(INDEX('Teacher Lookup'!$B$2:$B$200,MATCH(A4131,'Teacher Lookup'!$A$2:$A$200,0)),"")</f>
        <v>LIU Flora</v>
      </c>
    </row>
    <row r="4132" customFormat="false" ht="15" hidden="false" customHeight="false" outlineLevel="0" collapsed="false">
      <c r="A4132" s="3" t="s">
        <v>418</v>
      </c>
      <c r="B4132" s="4" t="s">
        <v>47</v>
      </c>
      <c r="C4132" s="4" t="n">
        <v>6</v>
      </c>
      <c r="D4132" s="4" t="s">
        <v>22</v>
      </c>
      <c r="E4132" s="3" t="s">
        <v>421</v>
      </c>
      <c r="F4132" s="4" t="str">
        <f aca="false">IF(I4132&gt;J4132,"Y","N")</f>
        <v>N</v>
      </c>
      <c r="G4132" s="3" t="s">
        <v>164</v>
      </c>
      <c r="H4132" s="3" t="s">
        <v>42</v>
      </c>
      <c r="I4132" s="4" t="n">
        <v>4</v>
      </c>
      <c r="J4132" s="4" t="n">
        <f aca="false">LEN(E4132)-LEN(SUBSTITUTE(E4132,",",""))+1</f>
        <v>4</v>
      </c>
      <c r="K4132" s="3" t="str">
        <f aca="false">IFERROR(INDEX('Teacher Lookup'!$B$2:$B$200,MATCH(A4132,'Teacher Lookup'!$A$2:$A$200,0)),"")</f>
        <v>LIU Flora</v>
      </c>
    </row>
    <row r="4133" customFormat="false" ht="15" hidden="false" customHeight="false" outlineLevel="0" collapsed="false">
      <c r="A4133" s="3" t="s">
        <v>418</v>
      </c>
      <c r="B4133" s="4" t="s">
        <v>47</v>
      </c>
      <c r="C4133" s="4" t="n">
        <v>6</v>
      </c>
      <c r="D4133" s="4" t="s">
        <v>23</v>
      </c>
      <c r="E4133" s="3" t="s">
        <v>421</v>
      </c>
      <c r="F4133" s="4" t="str">
        <f aca="false">IF(I4133&gt;J4133,"Y","N")</f>
        <v>N</v>
      </c>
      <c r="G4133" s="3" t="s">
        <v>164</v>
      </c>
      <c r="H4133" s="3" t="s">
        <v>42</v>
      </c>
      <c r="I4133" s="4" t="n">
        <v>4</v>
      </c>
      <c r="J4133" s="4" t="n">
        <f aca="false">LEN(E4133)-LEN(SUBSTITUTE(E4133,",",""))+1</f>
        <v>4</v>
      </c>
      <c r="K4133" s="3" t="str">
        <f aca="false">IFERROR(INDEX('Teacher Lookup'!$B$2:$B$200,MATCH(A4133,'Teacher Lookup'!$A$2:$A$200,0)),"")</f>
        <v>LIU Flora</v>
      </c>
    </row>
    <row r="4134" customFormat="false" ht="15" hidden="false" customHeight="false" outlineLevel="0" collapsed="false">
      <c r="A4134" s="3" t="s">
        <v>418</v>
      </c>
      <c r="B4134" s="4" t="s">
        <v>47</v>
      </c>
      <c r="C4134" s="4" t="n">
        <v>7</v>
      </c>
      <c r="D4134" s="4" t="s">
        <v>19</v>
      </c>
      <c r="E4134" s="3" t="s">
        <v>421</v>
      </c>
      <c r="F4134" s="4" t="str">
        <f aca="false">IF(I4134&gt;J4134,"Y","N")</f>
        <v>N</v>
      </c>
      <c r="G4134" s="3" t="s">
        <v>164</v>
      </c>
      <c r="H4134" s="3" t="s">
        <v>39</v>
      </c>
      <c r="I4134" s="4" t="n">
        <v>4</v>
      </c>
      <c r="J4134" s="4" t="n">
        <f aca="false">LEN(E4134)-LEN(SUBSTITUTE(E4134,",",""))+1</f>
        <v>4</v>
      </c>
      <c r="K4134" s="3" t="str">
        <f aca="false">IFERROR(INDEX('Teacher Lookup'!$B$2:$B$200,MATCH(A4134,'Teacher Lookup'!$A$2:$A$200,0)),"")</f>
        <v>LIU Flora</v>
      </c>
    </row>
    <row r="4135" customFormat="false" ht="15" hidden="false" customHeight="false" outlineLevel="0" collapsed="false">
      <c r="A4135" s="3" t="s">
        <v>418</v>
      </c>
      <c r="B4135" s="4" t="s">
        <v>47</v>
      </c>
      <c r="C4135" s="4" t="n">
        <v>7</v>
      </c>
      <c r="D4135" s="4" t="s">
        <v>22</v>
      </c>
      <c r="E4135" s="3" t="s">
        <v>421</v>
      </c>
      <c r="F4135" s="4" t="str">
        <f aca="false">IF(I4135&gt;J4135,"Y","N")</f>
        <v>N</v>
      </c>
      <c r="G4135" s="3" t="s">
        <v>164</v>
      </c>
      <c r="H4135" s="3" t="s">
        <v>39</v>
      </c>
      <c r="I4135" s="4" t="n">
        <v>4</v>
      </c>
      <c r="J4135" s="4" t="n">
        <f aca="false">LEN(E4135)-LEN(SUBSTITUTE(E4135,",",""))+1</f>
        <v>4</v>
      </c>
      <c r="K4135" s="3" t="str">
        <f aca="false">IFERROR(INDEX('Teacher Lookup'!$B$2:$B$200,MATCH(A4135,'Teacher Lookup'!$A$2:$A$200,0)),"")</f>
        <v>LIU Flora</v>
      </c>
    </row>
    <row r="4136" customFormat="false" ht="15" hidden="false" customHeight="false" outlineLevel="0" collapsed="false">
      <c r="A4136" s="3" t="s">
        <v>418</v>
      </c>
      <c r="B4136" s="4" t="s">
        <v>47</v>
      </c>
      <c r="C4136" s="4" t="n">
        <v>7</v>
      </c>
      <c r="D4136" s="4" t="s">
        <v>23</v>
      </c>
      <c r="E4136" s="3" t="s">
        <v>421</v>
      </c>
      <c r="F4136" s="4" t="str">
        <f aca="false">IF(I4136&gt;J4136,"Y","N")</f>
        <v>N</v>
      </c>
      <c r="G4136" s="3" t="s">
        <v>164</v>
      </c>
      <c r="H4136" s="3" t="s">
        <v>39</v>
      </c>
      <c r="I4136" s="4" t="n">
        <v>4</v>
      </c>
      <c r="J4136" s="4" t="n">
        <f aca="false">LEN(E4136)-LEN(SUBSTITUTE(E4136,",",""))+1</f>
        <v>4</v>
      </c>
      <c r="K4136" s="3" t="str">
        <f aca="false">IFERROR(INDEX('Teacher Lookup'!$B$2:$B$200,MATCH(A4136,'Teacher Lookup'!$A$2:$A$200,0)),"")</f>
        <v>LIU Flora</v>
      </c>
    </row>
    <row r="4137" customFormat="false" ht="15" hidden="false" customHeight="false" outlineLevel="0" collapsed="false">
      <c r="A4137" s="3" t="s">
        <v>418</v>
      </c>
      <c r="B4137" s="4" t="s">
        <v>50</v>
      </c>
      <c r="C4137" s="4" t="n">
        <v>1</v>
      </c>
      <c r="D4137" s="4" t="s">
        <v>70</v>
      </c>
      <c r="E4137" s="3" t="s">
        <v>373</v>
      </c>
      <c r="F4137" s="4" t="str">
        <f aca="false">IF(I4137&gt;J4137,"Y","N")</f>
        <v>N</v>
      </c>
      <c r="G4137" s="3" t="s">
        <v>164</v>
      </c>
      <c r="H4137" s="3" t="s">
        <v>16</v>
      </c>
      <c r="I4137" s="4" t="n">
        <v>4</v>
      </c>
      <c r="J4137" s="4" t="n">
        <f aca="false">LEN(E4137)-LEN(SUBSTITUTE(E4137,",",""))+1</f>
        <v>4</v>
      </c>
      <c r="K4137" s="3" t="str">
        <f aca="false">IFERROR(INDEX('Teacher Lookup'!$B$2:$B$200,MATCH(A4137,'Teacher Lookup'!$A$2:$A$200,0)),"")</f>
        <v>LIU Flora</v>
      </c>
    </row>
    <row r="4138" customFormat="false" ht="15" hidden="false" customHeight="false" outlineLevel="0" collapsed="false">
      <c r="A4138" s="3" t="s">
        <v>418</v>
      </c>
      <c r="B4138" s="4" t="s">
        <v>50</v>
      </c>
      <c r="C4138" s="4" t="n">
        <v>1</v>
      </c>
      <c r="D4138" s="4" t="s">
        <v>73</v>
      </c>
      <c r="E4138" s="3" t="s">
        <v>373</v>
      </c>
      <c r="F4138" s="4" t="str">
        <f aca="false">IF(I4138&gt;J4138,"Y","N")</f>
        <v>N</v>
      </c>
      <c r="G4138" s="3" t="s">
        <v>164</v>
      </c>
      <c r="H4138" s="3" t="s">
        <v>16</v>
      </c>
      <c r="I4138" s="4" t="n">
        <v>4</v>
      </c>
      <c r="J4138" s="4" t="n">
        <f aca="false">LEN(E4138)-LEN(SUBSTITUTE(E4138,",",""))+1</f>
        <v>4</v>
      </c>
      <c r="K4138" s="3" t="str">
        <f aca="false">IFERROR(INDEX('Teacher Lookup'!$B$2:$B$200,MATCH(A4138,'Teacher Lookup'!$A$2:$A$200,0)),"")</f>
        <v>LIU Flora</v>
      </c>
    </row>
    <row r="4139" customFormat="false" ht="15" hidden="false" customHeight="false" outlineLevel="0" collapsed="false">
      <c r="A4139" s="3" t="s">
        <v>418</v>
      </c>
      <c r="B4139" s="4" t="s">
        <v>50</v>
      </c>
      <c r="C4139" s="4" t="n">
        <v>1</v>
      </c>
      <c r="D4139" s="4" t="s">
        <v>74</v>
      </c>
      <c r="E4139" s="3" t="s">
        <v>373</v>
      </c>
      <c r="F4139" s="4" t="str">
        <f aca="false">IF(I4139&gt;J4139,"Y","N")</f>
        <v>N</v>
      </c>
      <c r="G4139" s="3" t="s">
        <v>164</v>
      </c>
      <c r="H4139" s="3" t="s">
        <v>16</v>
      </c>
      <c r="I4139" s="4" t="n">
        <v>4</v>
      </c>
      <c r="J4139" s="4" t="n">
        <f aca="false">LEN(E4139)-LEN(SUBSTITUTE(E4139,",",""))+1</f>
        <v>4</v>
      </c>
      <c r="K4139" s="3" t="str">
        <f aca="false">IFERROR(INDEX('Teacher Lookup'!$B$2:$B$200,MATCH(A4139,'Teacher Lookup'!$A$2:$A$200,0)),"")</f>
        <v>LIU Flora</v>
      </c>
    </row>
    <row r="4140" customFormat="false" ht="15" hidden="false" customHeight="false" outlineLevel="0" collapsed="false">
      <c r="A4140" s="3" t="s">
        <v>418</v>
      </c>
      <c r="B4140" s="4" t="s">
        <v>50</v>
      </c>
      <c r="C4140" s="4" t="n">
        <v>3</v>
      </c>
      <c r="D4140" s="4" t="s">
        <v>13</v>
      </c>
      <c r="E4140" s="3" t="s">
        <v>360</v>
      </c>
      <c r="F4140" s="4" t="str">
        <f aca="false">IF(I4140&gt;J4140,"Y","N")</f>
        <v>N</v>
      </c>
      <c r="G4140" s="3" t="s">
        <v>164</v>
      </c>
      <c r="H4140" s="3" t="s">
        <v>26</v>
      </c>
      <c r="I4140" s="4" t="n">
        <v>4</v>
      </c>
      <c r="J4140" s="4" t="n">
        <f aca="false">LEN(E4140)-LEN(SUBSTITUTE(E4140,",",""))+1</f>
        <v>4</v>
      </c>
      <c r="K4140" s="3" t="str">
        <f aca="false">IFERROR(INDEX('Teacher Lookup'!$B$2:$B$200,MATCH(A4140,'Teacher Lookup'!$A$2:$A$200,0)),"")</f>
        <v>LIU Flora</v>
      </c>
    </row>
    <row r="4141" customFormat="false" ht="15" hidden="false" customHeight="false" outlineLevel="0" collapsed="false">
      <c r="A4141" s="3" t="s">
        <v>418</v>
      </c>
      <c r="B4141" s="4" t="s">
        <v>50</v>
      </c>
      <c r="C4141" s="4" t="n">
        <v>3</v>
      </c>
      <c r="D4141" s="4" t="s">
        <v>17</v>
      </c>
      <c r="E4141" s="3" t="s">
        <v>360</v>
      </c>
      <c r="F4141" s="4" t="str">
        <f aca="false">IF(I4141&gt;J4141,"Y","N")</f>
        <v>N</v>
      </c>
      <c r="G4141" s="3" t="s">
        <v>164</v>
      </c>
      <c r="H4141" s="3" t="s">
        <v>26</v>
      </c>
      <c r="I4141" s="4" t="n">
        <v>4</v>
      </c>
      <c r="J4141" s="4" t="n">
        <f aca="false">LEN(E4141)-LEN(SUBSTITUTE(E4141,",",""))+1</f>
        <v>4</v>
      </c>
      <c r="K4141" s="3" t="str">
        <f aca="false">IFERROR(INDEX('Teacher Lookup'!$B$2:$B$200,MATCH(A4141,'Teacher Lookup'!$A$2:$A$200,0)),"")</f>
        <v>LIU Flora</v>
      </c>
    </row>
    <row r="4142" customFormat="false" ht="15" hidden="false" customHeight="false" outlineLevel="0" collapsed="false">
      <c r="A4142" s="3" t="s">
        <v>418</v>
      </c>
      <c r="B4142" s="4" t="s">
        <v>50</v>
      </c>
      <c r="C4142" s="4" t="n">
        <v>3</v>
      </c>
      <c r="D4142" s="4" t="s">
        <v>18</v>
      </c>
      <c r="E4142" s="3" t="s">
        <v>360</v>
      </c>
      <c r="F4142" s="4" t="str">
        <f aca="false">IF(I4142&gt;J4142,"Y","N")</f>
        <v>N</v>
      </c>
      <c r="G4142" s="3" t="s">
        <v>164</v>
      </c>
      <c r="H4142" s="3" t="s">
        <v>26</v>
      </c>
      <c r="I4142" s="4" t="n">
        <v>4</v>
      </c>
      <c r="J4142" s="4" t="n">
        <f aca="false">LEN(E4142)-LEN(SUBSTITUTE(E4142,",",""))+1</f>
        <v>4</v>
      </c>
      <c r="K4142" s="3" t="str">
        <f aca="false">IFERROR(INDEX('Teacher Lookup'!$B$2:$B$200,MATCH(A4142,'Teacher Lookup'!$A$2:$A$200,0)),"")</f>
        <v>LIU Flora</v>
      </c>
    </row>
    <row r="4143" customFormat="false" ht="15" hidden="false" customHeight="false" outlineLevel="0" collapsed="false">
      <c r="A4143" s="3" t="s">
        <v>418</v>
      </c>
      <c r="B4143" s="4" t="s">
        <v>50</v>
      </c>
      <c r="C4143" s="4" t="n">
        <v>5</v>
      </c>
      <c r="D4143" s="4" t="s">
        <v>19</v>
      </c>
      <c r="E4143" s="3" t="s">
        <v>422</v>
      </c>
      <c r="F4143" s="4" t="str">
        <f aca="false">IF(I4143&gt;J4143,"Y","N")</f>
        <v>N</v>
      </c>
      <c r="G4143" s="3" t="s">
        <v>164</v>
      </c>
      <c r="H4143" s="3" t="s">
        <v>37</v>
      </c>
      <c r="I4143" s="4" t="n">
        <v>4</v>
      </c>
      <c r="J4143" s="4" t="n">
        <f aca="false">LEN(E4143)-LEN(SUBSTITUTE(E4143,",",""))+1</f>
        <v>4</v>
      </c>
      <c r="K4143" s="3" t="str">
        <f aca="false">IFERROR(INDEX('Teacher Lookup'!$B$2:$B$200,MATCH(A4143,'Teacher Lookup'!$A$2:$A$200,0)),"")</f>
        <v>LIU Flora</v>
      </c>
    </row>
    <row r="4144" customFormat="false" ht="15" hidden="false" customHeight="false" outlineLevel="0" collapsed="false">
      <c r="A4144" s="3" t="s">
        <v>418</v>
      </c>
      <c r="B4144" s="4" t="s">
        <v>50</v>
      </c>
      <c r="C4144" s="4" t="n">
        <v>5</v>
      </c>
      <c r="D4144" s="4" t="s">
        <v>22</v>
      </c>
      <c r="E4144" s="3" t="s">
        <v>422</v>
      </c>
      <c r="F4144" s="4" t="str">
        <f aca="false">IF(I4144&gt;J4144,"Y","N")</f>
        <v>N</v>
      </c>
      <c r="G4144" s="3" t="s">
        <v>164</v>
      </c>
      <c r="H4144" s="3" t="s">
        <v>37</v>
      </c>
      <c r="I4144" s="4" t="n">
        <v>4</v>
      </c>
      <c r="J4144" s="4" t="n">
        <f aca="false">LEN(E4144)-LEN(SUBSTITUTE(E4144,",",""))+1</f>
        <v>4</v>
      </c>
      <c r="K4144" s="3" t="str">
        <f aca="false">IFERROR(INDEX('Teacher Lookup'!$B$2:$B$200,MATCH(A4144,'Teacher Lookup'!$A$2:$A$200,0)),"")</f>
        <v>LIU Flora</v>
      </c>
    </row>
    <row r="4145" customFormat="false" ht="15" hidden="false" customHeight="false" outlineLevel="0" collapsed="false">
      <c r="A4145" s="3" t="s">
        <v>418</v>
      </c>
      <c r="B4145" s="4" t="s">
        <v>50</v>
      </c>
      <c r="C4145" s="4" t="n">
        <v>5</v>
      </c>
      <c r="D4145" s="4" t="s">
        <v>23</v>
      </c>
      <c r="E4145" s="3" t="s">
        <v>422</v>
      </c>
      <c r="F4145" s="4" t="str">
        <f aca="false">IF(I4145&gt;J4145,"Y","N")</f>
        <v>N</v>
      </c>
      <c r="G4145" s="3" t="s">
        <v>164</v>
      </c>
      <c r="H4145" s="3" t="s">
        <v>37</v>
      </c>
      <c r="I4145" s="4" t="n">
        <v>4</v>
      </c>
      <c r="J4145" s="4" t="n">
        <f aca="false">LEN(E4145)-LEN(SUBSTITUTE(E4145,",",""))+1</f>
        <v>4</v>
      </c>
      <c r="K4145" s="3" t="str">
        <f aca="false">IFERROR(INDEX('Teacher Lookup'!$B$2:$B$200,MATCH(A4145,'Teacher Lookup'!$A$2:$A$200,0)),"")</f>
        <v>LIU Flora</v>
      </c>
    </row>
    <row r="4146" customFormat="false" ht="15" hidden="false" customHeight="false" outlineLevel="0" collapsed="false">
      <c r="A4146" s="3" t="s">
        <v>418</v>
      </c>
      <c r="B4146" s="4" t="s">
        <v>60</v>
      </c>
      <c r="C4146" s="4" t="n">
        <v>4</v>
      </c>
      <c r="D4146" s="4" t="s">
        <v>19</v>
      </c>
      <c r="E4146" s="3" t="s">
        <v>423</v>
      </c>
      <c r="F4146" s="4" t="str">
        <f aca="false">IF(I4146&gt;J4146,"Y","N")</f>
        <v>N</v>
      </c>
      <c r="G4146" s="3" t="s">
        <v>164</v>
      </c>
      <c r="H4146" s="3" t="s">
        <v>34</v>
      </c>
      <c r="I4146" s="4" t="n">
        <v>4</v>
      </c>
      <c r="J4146" s="4" t="n">
        <f aca="false">LEN(E4146)-LEN(SUBSTITUTE(E4146,",",""))+1</f>
        <v>4</v>
      </c>
      <c r="K4146" s="3" t="str">
        <f aca="false">IFERROR(INDEX('Teacher Lookup'!$B$2:$B$200,MATCH(A4146,'Teacher Lookup'!$A$2:$A$200,0)),"")</f>
        <v>LIU Flora</v>
      </c>
    </row>
    <row r="4147" customFormat="false" ht="15" hidden="false" customHeight="false" outlineLevel="0" collapsed="false">
      <c r="A4147" s="3" t="s">
        <v>418</v>
      </c>
      <c r="B4147" s="4" t="s">
        <v>60</v>
      </c>
      <c r="C4147" s="4" t="n">
        <v>4</v>
      </c>
      <c r="D4147" s="4" t="s">
        <v>22</v>
      </c>
      <c r="E4147" s="3" t="s">
        <v>423</v>
      </c>
      <c r="F4147" s="4" t="str">
        <f aca="false">IF(I4147&gt;J4147,"Y","N")</f>
        <v>N</v>
      </c>
      <c r="G4147" s="3" t="s">
        <v>164</v>
      </c>
      <c r="H4147" s="3" t="s">
        <v>34</v>
      </c>
      <c r="I4147" s="4" t="n">
        <v>4</v>
      </c>
      <c r="J4147" s="4" t="n">
        <f aca="false">LEN(E4147)-LEN(SUBSTITUTE(E4147,",",""))+1</f>
        <v>4</v>
      </c>
      <c r="K4147" s="3" t="str">
        <f aca="false">IFERROR(INDEX('Teacher Lookup'!$B$2:$B$200,MATCH(A4147,'Teacher Lookup'!$A$2:$A$200,0)),"")</f>
        <v>LIU Flora</v>
      </c>
    </row>
    <row r="4148" customFormat="false" ht="15" hidden="false" customHeight="false" outlineLevel="0" collapsed="false">
      <c r="A4148" s="3" t="s">
        <v>418</v>
      </c>
      <c r="B4148" s="4" t="s">
        <v>60</v>
      </c>
      <c r="C4148" s="4" t="n">
        <v>4</v>
      </c>
      <c r="D4148" s="4" t="s">
        <v>23</v>
      </c>
      <c r="E4148" s="3" t="s">
        <v>423</v>
      </c>
      <c r="F4148" s="4" t="str">
        <f aca="false">IF(I4148&gt;J4148,"Y","N")</f>
        <v>N</v>
      </c>
      <c r="G4148" s="3" t="s">
        <v>164</v>
      </c>
      <c r="H4148" s="3" t="s">
        <v>34</v>
      </c>
      <c r="I4148" s="4" t="n">
        <v>4</v>
      </c>
      <c r="J4148" s="4" t="n">
        <f aca="false">LEN(E4148)-LEN(SUBSTITUTE(E4148,",",""))+1</f>
        <v>4</v>
      </c>
      <c r="K4148" s="3" t="str">
        <f aca="false">IFERROR(INDEX('Teacher Lookup'!$B$2:$B$200,MATCH(A4148,'Teacher Lookup'!$A$2:$A$200,0)),"")</f>
        <v>LIU Flora</v>
      </c>
    </row>
    <row r="4149" customFormat="false" ht="15" hidden="false" customHeight="false" outlineLevel="0" collapsed="false">
      <c r="A4149" s="3" t="s">
        <v>418</v>
      </c>
      <c r="B4149" s="4" t="s">
        <v>60</v>
      </c>
      <c r="C4149" s="4" t="n">
        <v>5</v>
      </c>
      <c r="D4149" s="4" t="s">
        <v>19</v>
      </c>
      <c r="E4149" s="3" t="s">
        <v>35</v>
      </c>
      <c r="F4149" s="4" t="str">
        <f aca="false">IF(I4149&gt;J4149,"Y","N")</f>
        <v>Y</v>
      </c>
      <c r="G4149" s="3" t="s">
        <v>36</v>
      </c>
      <c r="H4149" s="3" t="s">
        <v>37</v>
      </c>
      <c r="I4149" s="4" t="n">
        <v>17</v>
      </c>
      <c r="J4149" s="4" t="n">
        <f aca="false">LEN(E4149)-LEN(SUBSTITUTE(E4149,",",""))+1</f>
        <v>7</v>
      </c>
      <c r="K4149" s="3" t="str">
        <f aca="false">IFERROR(INDEX('Teacher Lookup'!$B$2:$B$200,MATCH(A4149,'Teacher Lookup'!$A$2:$A$200,0)),"")</f>
        <v>LIU Flora</v>
      </c>
    </row>
    <row r="4150" customFormat="false" ht="15" hidden="false" customHeight="false" outlineLevel="0" collapsed="false">
      <c r="A4150" s="3" t="s">
        <v>418</v>
      </c>
      <c r="B4150" s="4" t="s">
        <v>60</v>
      </c>
      <c r="C4150" s="4" t="n">
        <v>5</v>
      </c>
      <c r="D4150" s="4" t="s">
        <v>22</v>
      </c>
      <c r="E4150" s="3" t="s">
        <v>35</v>
      </c>
      <c r="F4150" s="4" t="str">
        <f aca="false">IF(I4150&gt;J4150,"Y","N")</f>
        <v>Y</v>
      </c>
      <c r="G4150" s="3" t="s">
        <v>36</v>
      </c>
      <c r="H4150" s="3" t="s">
        <v>37</v>
      </c>
      <c r="I4150" s="4" t="n">
        <v>17</v>
      </c>
      <c r="J4150" s="4" t="n">
        <f aca="false">LEN(E4150)-LEN(SUBSTITUTE(E4150,",",""))+1</f>
        <v>7</v>
      </c>
      <c r="K4150" s="3" t="str">
        <f aca="false">IFERROR(INDEX('Teacher Lookup'!$B$2:$B$200,MATCH(A4150,'Teacher Lookup'!$A$2:$A$200,0)),"")</f>
        <v>LIU Flora</v>
      </c>
    </row>
    <row r="4151" customFormat="false" ht="15" hidden="false" customHeight="false" outlineLevel="0" collapsed="false">
      <c r="A4151" s="3" t="s">
        <v>418</v>
      </c>
      <c r="B4151" s="4" t="s">
        <v>60</v>
      </c>
      <c r="C4151" s="4" t="n">
        <v>5</v>
      </c>
      <c r="D4151" s="4" t="s">
        <v>23</v>
      </c>
      <c r="E4151" s="3" t="s">
        <v>35</v>
      </c>
      <c r="F4151" s="4" t="str">
        <f aca="false">IF(I4151&gt;J4151,"Y","N")</f>
        <v>Y</v>
      </c>
      <c r="G4151" s="3" t="s">
        <v>36</v>
      </c>
      <c r="H4151" s="3" t="s">
        <v>37</v>
      </c>
      <c r="I4151" s="4" t="n">
        <v>17</v>
      </c>
      <c r="J4151" s="4" t="n">
        <f aca="false">LEN(E4151)-LEN(SUBSTITUTE(E4151,",",""))+1</f>
        <v>7</v>
      </c>
      <c r="K4151" s="3" t="str">
        <f aca="false">IFERROR(INDEX('Teacher Lookup'!$B$2:$B$200,MATCH(A4151,'Teacher Lookup'!$A$2:$A$200,0)),"")</f>
        <v>LIU Flora</v>
      </c>
    </row>
    <row r="4152" customFormat="false" ht="15" hidden="false" customHeight="false" outlineLevel="0" collapsed="false">
      <c r="A4152" s="3" t="s">
        <v>418</v>
      </c>
      <c r="B4152" s="4" t="s">
        <v>60</v>
      </c>
      <c r="C4152" s="4" t="n">
        <v>5</v>
      </c>
      <c r="D4152" s="4" t="s">
        <v>13</v>
      </c>
      <c r="E4152" s="3" t="s">
        <v>35</v>
      </c>
      <c r="F4152" s="4" t="str">
        <f aca="false">IF(I4152&gt;J4152,"Y","N")</f>
        <v>Y</v>
      </c>
      <c r="G4152" s="3" t="s">
        <v>36</v>
      </c>
      <c r="H4152" s="3" t="s">
        <v>37</v>
      </c>
      <c r="I4152" s="4" t="n">
        <v>17</v>
      </c>
      <c r="J4152" s="4" t="n">
        <f aca="false">LEN(E4152)-LEN(SUBSTITUTE(E4152,",",""))+1</f>
        <v>7</v>
      </c>
      <c r="K4152" s="3" t="str">
        <f aca="false">IFERROR(INDEX('Teacher Lookup'!$B$2:$B$200,MATCH(A4152,'Teacher Lookup'!$A$2:$A$200,0)),"")</f>
        <v>LIU Flora</v>
      </c>
    </row>
    <row r="4153" customFormat="false" ht="15" hidden="false" customHeight="false" outlineLevel="0" collapsed="false">
      <c r="A4153" s="3" t="s">
        <v>418</v>
      </c>
      <c r="B4153" s="4" t="s">
        <v>60</v>
      </c>
      <c r="C4153" s="4" t="n">
        <v>5</v>
      </c>
      <c r="D4153" s="4" t="s">
        <v>17</v>
      </c>
      <c r="E4153" s="3" t="s">
        <v>35</v>
      </c>
      <c r="F4153" s="4" t="str">
        <f aca="false">IF(I4153&gt;J4153,"Y","N")</f>
        <v>Y</v>
      </c>
      <c r="G4153" s="3" t="s">
        <v>36</v>
      </c>
      <c r="H4153" s="3" t="s">
        <v>37</v>
      </c>
      <c r="I4153" s="4" t="n">
        <v>17</v>
      </c>
      <c r="J4153" s="4" t="n">
        <f aca="false">LEN(E4153)-LEN(SUBSTITUTE(E4153,",",""))+1</f>
        <v>7</v>
      </c>
      <c r="K4153" s="3" t="str">
        <f aca="false">IFERROR(INDEX('Teacher Lookup'!$B$2:$B$200,MATCH(A4153,'Teacher Lookup'!$A$2:$A$200,0)),"")</f>
        <v>LIU Flora</v>
      </c>
    </row>
    <row r="4154" customFormat="false" ht="15" hidden="false" customHeight="false" outlineLevel="0" collapsed="false">
      <c r="A4154" s="3" t="s">
        <v>418</v>
      </c>
      <c r="B4154" s="4" t="s">
        <v>60</v>
      </c>
      <c r="C4154" s="4" t="n">
        <v>5</v>
      </c>
      <c r="D4154" s="4" t="s">
        <v>18</v>
      </c>
      <c r="E4154" s="3" t="s">
        <v>35</v>
      </c>
      <c r="F4154" s="4" t="str">
        <f aca="false">IF(I4154&gt;J4154,"Y","N")</f>
        <v>Y</v>
      </c>
      <c r="G4154" s="3" t="s">
        <v>36</v>
      </c>
      <c r="H4154" s="3" t="s">
        <v>37</v>
      </c>
      <c r="I4154" s="4" t="n">
        <v>17</v>
      </c>
      <c r="J4154" s="4" t="n">
        <f aca="false">LEN(E4154)-LEN(SUBSTITUTE(E4154,",",""))+1</f>
        <v>7</v>
      </c>
      <c r="K4154" s="3" t="str">
        <f aca="false">IFERROR(INDEX('Teacher Lookup'!$B$2:$B$200,MATCH(A4154,'Teacher Lookup'!$A$2:$A$200,0)),"")</f>
        <v>LIU Flora</v>
      </c>
    </row>
    <row r="4155" customFormat="false" ht="15" hidden="false" customHeight="false" outlineLevel="0" collapsed="false">
      <c r="A4155" s="3" t="s">
        <v>418</v>
      </c>
      <c r="B4155" s="4" t="s">
        <v>60</v>
      </c>
      <c r="C4155" s="4" t="n">
        <v>6</v>
      </c>
      <c r="D4155" s="4" t="s">
        <v>70</v>
      </c>
      <c r="E4155" s="3" t="s">
        <v>83</v>
      </c>
      <c r="F4155" s="4" t="str">
        <f aca="false">IF(I4155&gt;J4155,"Y","N")</f>
        <v>N</v>
      </c>
      <c r="G4155" s="3" t="s">
        <v>164</v>
      </c>
      <c r="H4155" s="3" t="s">
        <v>42</v>
      </c>
      <c r="I4155" s="4" t="n">
        <v>4</v>
      </c>
      <c r="J4155" s="4" t="n">
        <f aca="false">LEN(E4155)-LEN(SUBSTITUTE(E4155,",",""))+1</f>
        <v>4</v>
      </c>
      <c r="K4155" s="3" t="str">
        <f aca="false">IFERROR(INDEX('Teacher Lookup'!$B$2:$B$200,MATCH(A4155,'Teacher Lookup'!$A$2:$A$200,0)),"")</f>
        <v>LIU Flora</v>
      </c>
    </row>
    <row r="4156" customFormat="false" ht="15" hidden="false" customHeight="false" outlineLevel="0" collapsed="false">
      <c r="A4156" s="3" t="s">
        <v>418</v>
      </c>
      <c r="B4156" s="4" t="s">
        <v>60</v>
      </c>
      <c r="C4156" s="4" t="n">
        <v>6</v>
      </c>
      <c r="D4156" s="4" t="s">
        <v>73</v>
      </c>
      <c r="E4156" s="3" t="s">
        <v>83</v>
      </c>
      <c r="F4156" s="4" t="str">
        <f aca="false">IF(I4156&gt;J4156,"Y","N")</f>
        <v>N</v>
      </c>
      <c r="G4156" s="3" t="s">
        <v>164</v>
      </c>
      <c r="H4156" s="3" t="s">
        <v>42</v>
      </c>
      <c r="I4156" s="4" t="n">
        <v>4</v>
      </c>
      <c r="J4156" s="4" t="n">
        <f aca="false">LEN(E4156)-LEN(SUBSTITUTE(E4156,",",""))+1</f>
        <v>4</v>
      </c>
      <c r="K4156" s="3" t="str">
        <f aca="false">IFERROR(INDEX('Teacher Lookup'!$B$2:$B$200,MATCH(A4156,'Teacher Lookup'!$A$2:$A$200,0)),"")</f>
        <v>LIU Flora</v>
      </c>
    </row>
    <row r="4157" customFormat="false" ht="15" hidden="false" customHeight="false" outlineLevel="0" collapsed="false">
      <c r="A4157" s="3" t="s">
        <v>418</v>
      </c>
      <c r="B4157" s="4" t="s">
        <v>60</v>
      </c>
      <c r="C4157" s="4" t="n">
        <v>6</v>
      </c>
      <c r="D4157" s="4" t="s">
        <v>74</v>
      </c>
      <c r="E4157" s="3" t="s">
        <v>83</v>
      </c>
      <c r="F4157" s="4" t="str">
        <f aca="false">IF(I4157&gt;J4157,"Y","N")</f>
        <v>N</v>
      </c>
      <c r="G4157" s="3" t="s">
        <v>164</v>
      </c>
      <c r="H4157" s="3" t="s">
        <v>42</v>
      </c>
      <c r="I4157" s="4" t="n">
        <v>4</v>
      </c>
      <c r="J4157" s="4" t="n">
        <f aca="false">LEN(E4157)-LEN(SUBSTITUTE(E4157,",",""))+1</f>
        <v>4</v>
      </c>
      <c r="K4157" s="3" t="str">
        <f aca="false">IFERROR(INDEX('Teacher Lookup'!$B$2:$B$200,MATCH(A4157,'Teacher Lookup'!$A$2:$A$200,0)),"")</f>
        <v>LIU Flora</v>
      </c>
    </row>
    <row r="4158" customFormat="false" ht="15" hidden="false" customHeight="false" outlineLevel="0" collapsed="false">
      <c r="A4158" s="3" t="s">
        <v>418</v>
      </c>
      <c r="B4158" s="4" t="s">
        <v>60</v>
      </c>
      <c r="C4158" s="4" t="n">
        <v>7</v>
      </c>
      <c r="D4158" s="4" t="s">
        <v>13</v>
      </c>
      <c r="E4158" s="3" t="s">
        <v>333</v>
      </c>
      <c r="F4158" s="4" t="str">
        <f aca="false">IF(I4158&gt;J4158,"Y","N")</f>
        <v>N</v>
      </c>
      <c r="G4158" s="3" t="s">
        <v>164</v>
      </c>
      <c r="H4158" s="3" t="s">
        <v>39</v>
      </c>
      <c r="I4158" s="4" t="n">
        <v>4</v>
      </c>
      <c r="J4158" s="4" t="n">
        <f aca="false">LEN(E4158)-LEN(SUBSTITUTE(E4158,",",""))+1</f>
        <v>4</v>
      </c>
      <c r="K4158" s="3" t="str">
        <f aca="false">IFERROR(INDEX('Teacher Lookup'!$B$2:$B$200,MATCH(A4158,'Teacher Lookup'!$A$2:$A$200,0)),"")</f>
        <v>LIU Flora</v>
      </c>
    </row>
    <row r="4159" customFormat="false" ht="15" hidden="false" customHeight="false" outlineLevel="0" collapsed="false">
      <c r="A4159" s="3" t="s">
        <v>418</v>
      </c>
      <c r="B4159" s="4" t="s">
        <v>60</v>
      </c>
      <c r="C4159" s="4" t="n">
        <v>7</v>
      </c>
      <c r="D4159" s="4" t="s">
        <v>17</v>
      </c>
      <c r="E4159" s="3" t="s">
        <v>333</v>
      </c>
      <c r="F4159" s="4" t="str">
        <f aca="false">IF(I4159&gt;J4159,"Y","N")</f>
        <v>N</v>
      </c>
      <c r="G4159" s="3" t="s">
        <v>164</v>
      </c>
      <c r="H4159" s="3" t="s">
        <v>39</v>
      </c>
      <c r="I4159" s="4" t="n">
        <v>4</v>
      </c>
      <c r="J4159" s="4" t="n">
        <f aca="false">LEN(E4159)-LEN(SUBSTITUTE(E4159,",",""))+1</f>
        <v>4</v>
      </c>
      <c r="K4159" s="3" t="str">
        <f aca="false">IFERROR(INDEX('Teacher Lookup'!$B$2:$B$200,MATCH(A4159,'Teacher Lookup'!$A$2:$A$200,0)),"")</f>
        <v>LIU Flora</v>
      </c>
    </row>
    <row r="4160" customFormat="false" ht="15" hidden="false" customHeight="false" outlineLevel="0" collapsed="false">
      <c r="A4160" s="3" t="s">
        <v>418</v>
      </c>
      <c r="B4160" s="4" t="s">
        <v>60</v>
      </c>
      <c r="C4160" s="4" t="n">
        <v>7</v>
      </c>
      <c r="D4160" s="4" t="s">
        <v>18</v>
      </c>
      <c r="E4160" s="3" t="s">
        <v>333</v>
      </c>
      <c r="F4160" s="4" t="str">
        <f aca="false">IF(I4160&gt;J4160,"Y","N")</f>
        <v>N</v>
      </c>
      <c r="G4160" s="3" t="s">
        <v>164</v>
      </c>
      <c r="H4160" s="3" t="s">
        <v>39</v>
      </c>
      <c r="I4160" s="4" t="n">
        <v>4</v>
      </c>
      <c r="J4160" s="4" t="n">
        <f aca="false">LEN(E4160)-LEN(SUBSTITUTE(E4160,",",""))+1</f>
        <v>4</v>
      </c>
      <c r="K4160" s="3" t="str">
        <f aca="false">IFERROR(INDEX('Teacher Lookup'!$B$2:$B$200,MATCH(A4160,'Teacher Lookup'!$A$2:$A$200,0)),"")</f>
        <v>LIU Flora</v>
      </c>
    </row>
    <row r="4161" customFormat="false" ht="15" hidden="false" customHeight="false" outlineLevel="0" collapsed="false">
      <c r="A4161" s="3" t="s">
        <v>418</v>
      </c>
      <c r="B4161" s="4" t="s">
        <v>63</v>
      </c>
      <c r="C4161" s="4" t="n">
        <v>5</v>
      </c>
      <c r="D4161" s="4" t="s">
        <v>13</v>
      </c>
      <c r="E4161" s="3" t="s">
        <v>323</v>
      </c>
      <c r="F4161" s="4" t="str">
        <f aca="false">IF(I4161&gt;J4161,"Y","N")</f>
        <v>N</v>
      </c>
      <c r="G4161" s="3" t="s">
        <v>164</v>
      </c>
      <c r="H4161" s="3" t="s">
        <v>37</v>
      </c>
      <c r="I4161" s="4" t="n">
        <v>4</v>
      </c>
      <c r="J4161" s="4" t="n">
        <f aca="false">LEN(E4161)-LEN(SUBSTITUTE(E4161,",",""))+1</f>
        <v>4</v>
      </c>
      <c r="K4161" s="3" t="str">
        <f aca="false">IFERROR(INDEX('Teacher Lookup'!$B$2:$B$200,MATCH(A4161,'Teacher Lookup'!$A$2:$A$200,0)),"")</f>
        <v>LIU Flora</v>
      </c>
    </row>
    <row r="4162" customFormat="false" ht="15" hidden="false" customHeight="false" outlineLevel="0" collapsed="false">
      <c r="A4162" s="3" t="s">
        <v>418</v>
      </c>
      <c r="B4162" s="4" t="s">
        <v>63</v>
      </c>
      <c r="C4162" s="4" t="n">
        <v>5</v>
      </c>
      <c r="D4162" s="4" t="s">
        <v>17</v>
      </c>
      <c r="E4162" s="3" t="s">
        <v>323</v>
      </c>
      <c r="F4162" s="4" t="str">
        <f aca="false">IF(I4162&gt;J4162,"Y","N")</f>
        <v>N</v>
      </c>
      <c r="G4162" s="3" t="s">
        <v>164</v>
      </c>
      <c r="H4162" s="3" t="s">
        <v>37</v>
      </c>
      <c r="I4162" s="4" t="n">
        <v>4</v>
      </c>
      <c r="J4162" s="4" t="n">
        <f aca="false">LEN(E4162)-LEN(SUBSTITUTE(E4162,",",""))+1</f>
        <v>4</v>
      </c>
      <c r="K4162" s="3" t="str">
        <f aca="false">IFERROR(INDEX('Teacher Lookup'!$B$2:$B$200,MATCH(A4162,'Teacher Lookup'!$A$2:$A$200,0)),"")</f>
        <v>LIU Flora</v>
      </c>
    </row>
    <row r="4163" customFormat="false" ht="15" hidden="false" customHeight="false" outlineLevel="0" collapsed="false">
      <c r="A4163" s="3" t="s">
        <v>418</v>
      </c>
      <c r="B4163" s="4" t="s">
        <v>63</v>
      </c>
      <c r="C4163" s="4" t="n">
        <v>5</v>
      </c>
      <c r="D4163" s="4" t="s">
        <v>18</v>
      </c>
      <c r="E4163" s="3" t="s">
        <v>323</v>
      </c>
      <c r="F4163" s="4" t="str">
        <f aca="false">IF(I4163&gt;J4163,"Y","N")</f>
        <v>N</v>
      </c>
      <c r="G4163" s="3" t="s">
        <v>164</v>
      </c>
      <c r="H4163" s="3" t="s">
        <v>37</v>
      </c>
      <c r="I4163" s="4" t="n">
        <v>4</v>
      </c>
      <c r="J4163" s="4" t="n">
        <f aca="false">LEN(E4163)-LEN(SUBSTITUTE(E4163,",",""))+1</f>
        <v>4</v>
      </c>
      <c r="K4163" s="3" t="str">
        <f aca="false">IFERROR(INDEX('Teacher Lookup'!$B$2:$B$200,MATCH(A4163,'Teacher Lookup'!$A$2:$A$200,0)),"")</f>
        <v>LIU Flora</v>
      </c>
    </row>
    <row r="4164" customFormat="false" ht="15" hidden="false" customHeight="false" outlineLevel="0" collapsed="false">
      <c r="A4164" s="3" t="s">
        <v>418</v>
      </c>
      <c r="B4164" s="4" t="s">
        <v>63</v>
      </c>
      <c r="C4164" s="4" t="n">
        <v>6</v>
      </c>
      <c r="D4164" s="4" t="s">
        <v>70</v>
      </c>
      <c r="E4164" s="3" t="s">
        <v>85</v>
      </c>
      <c r="F4164" s="4" t="str">
        <f aca="false">IF(I4164&gt;J4164,"Y","N")</f>
        <v>N</v>
      </c>
      <c r="G4164" s="3" t="s">
        <v>164</v>
      </c>
      <c r="H4164" s="3" t="s">
        <v>42</v>
      </c>
      <c r="I4164" s="4" t="n">
        <v>4</v>
      </c>
      <c r="J4164" s="4" t="n">
        <f aca="false">LEN(E4164)-LEN(SUBSTITUTE(E4164,",",""))+1</f>
        <v>4</v>
      </c>
      <c r="K4164" s="3" t="str">
        <f aca="false">IFERROR(INDEX('Teacher Lookup'!$B$2:$B$200,MATCH(A4164,'Teacher Lookup'!$A$2:$A$200,0)),"")</f>
        <v>LIU Flora</v>
      </c>
    </row>
    <row r="4165" customFormat="false" ht="15" hidden="false" customHeight="false" outlineLevel="0" collapsed="false">
      <c r="A4165" s="3" t="s">
        <v>418</v>
      </c>
      <c r="B4165" s="4" t="s">
        <v>63</v>
      </c>
      <c r="C4165" s="4" t="n">
        <v>6</v>
      </c>
      <c r="D4165" s="4" t="s">
        <v>73</v>
      </c>
      <c r="E4165" s="3" t="s">
        <v>85</v>
      </c>
      <c r="F4165" s="4" t="str">
        <f aca="false">IF(I4165&gt;J4165,"Y","N")</f>
        <v>N</v>
      </c>
      <c r="G4165" s="3" t="s">
        <v>164</v>
      </c>
      <c r="H4165" s="3" t="s">
        <v>42</v>
      </c>
      <c r="I4165" s="4" t="n">
        <v>4</v>
      </c>
      <c r="J4165" s="4" t="n">
        <f aca="false">LEN(E4165)-LEN(SUBSTITUTE(E4165,",",""))+1</f>
        <v>4</v>
      </c>
      <c r="K4165" s="3" t="str">
        <f aca="false">IFERROR(INDEX('Teacher Lookup'!$B$2:$B$200,MATCH(A4165,'Teacher Lookup'!$A$2:$A$200,0)),"")</f>
        <v>LIU Flora</v>
      </c>
    </row>
    <row r="4166" customFormat="false" ht="15" hidden="false" customHeight="false" outlineLevel="0" collapsed="false">
      <c r="A4166" s="3" t="s">
        <v>418</v>
      </c>
      <c r="B4166" s="4" t="s">
        <v>63</v>
      </c>
      <c r="C4166" s="4" t="n">
        <v>6</v>
      </c>
      <c r="D4166" s="4" t="s">
        <v>74</v>
      </c>
      <c r="E4166" s="3" t="s">
        <v>85</v>
      </c>
      <c r="F4166" s="4" t="str">
        <f aca="false">IF(I4166&gt;J4166,"Y","N")</f>
        <v>N</v>
      </c>
      <c r="G4166" s="3" t="s">
        <v>164</v>
      </c>
      <c r="H4166" s="3" t="s">
        <v>42</v>
      </c>
      <c r="I4166" s="4" t="n">
        <v>4</v>
      </c>
      <c r="J4166" s="4" t="n">
        <f aca="false">LEN(E4166)-LEN(SUBSTITUTE(E4166,",",""))+1</f>
        <v>4</v>
      </c>
      <c r="K4166" s="3" t="str">
        <f aca="false">IFERROR(INDEX('Teacher Lookup'!$B$2:$B$200,MATCH(A4166,'Teacher Lookup'!$A$2:$A$200,0)),"")</f>
        <v>LIU Flora</v>
      </c>
    </row>
    <row r="4167" customFormat="false" ht="15" hidden="false" customHeight="false" outlineLevel="0" collapsed="false">
      <c r="A4167" s="3" t="s">
        <v>418</v>
      </c>
      <c r="B4167" s="4" t="s">
        <v>65</v>
      </c>
      <c r="C4167" s="4" t="n">
        <v>1</v>
      </c>
      <c r="D4167" s="4" t="s">
        <v>13</v>
      </c>
      <c r="E4167" s="3" t="s">
        <v>14</v>
      </c>
      <c r="F4167" s="4" t="str">
        <f aca="false">IF(I4167&gt;J4167,"Y","N")</f>
        <v>N</v>
      </c>
      <c r="G4167" s="3" t="s">
        <v>164</v>
      </c>
      <c r="H4167" s="3" t="s">
        <v>16</v>
      </c>
      <c r="I4167" s="4" t="n">
        <v>4</v>
      </c>
      <c r="J4167" s="4" t="n">
        <f aca="false">LEN(E4167)-LEN(SUBSTITUTE(E4167,",",""))+1</f>
        <v>4</v>
      </c>
      <c r="K4167" s="3" t="str">
        <f aca="false">IFERROR(INDEX('Teacher Lookup'!$B$2:$B$200,MATCH(A4167,'Teacher Lookup'!$A$2:$A$200,0)),"")</f>
        <v>LIU Flora</v>
      </c>
    </row>
    <row r="4168" customFormat="false" ht="15" hidden="false" customHeight="false" outlineLevel="0" collapsed="false">
      <c r="A4168" s="3" t="s">
        <v>418</v>
      </c>
      <c r="B4168" s="4" t="s">
        <v>65</v>
      </c>
      <c r="C4168" s="4" t="n">
        <v>1</v>
      </c>
      <c r="D4168" s="4" t="s">
        <v>17</v>
      </c>
      <c r="E4168" s="3" t="s">
        <v>14</v>
      </c>
      <c r="F4168" s="4" t="str">
        <f aca="false">IF(I4168&gt;J4168,"Y","N")</f>
        <v>N</v>
      </c>
      <c r="G4168" s="3" t="s">
        <v>164</v>
      </c>
      <c r="H4168" s="3" t="s">
        <v>16</v>
      </c>
      <c r="I4168" s="4" t="n">
        <v>4</v>
      </c>
      <c r="J4168" s="4" t="n">
        <f aca="false">LEN(E4168)-LEN(SUBSTITUTE(E4168,",",""))+1</f>
        <v>4</v>
      </c>
      <c r="K4168" s="3" t="str">
        <f aca="false">IFERROR(INDEX('Teacher Lookup'!$B$2:$B$200,MATCH(A4168,'Teacher Lookup'!$A$2:$A$200,0)),"")</f>
        <v>LIU Flora</v>
      </c>
    </row>
    <row r="4169" customFormat="false" ht="15" hidden="false" customHeight="false" outlineLevel="0" collapsed="false">
      <c r="A4169" s="3" t="s">
        <v>418</v>
      </c>
      <c r="B4169" s="4" t="s">
        <v>65</v>
      </c>
      <c r="C4169" s="4" t="n">
        <v>1</v>
      </c>
      <c r="D4169" s="4" t="s">
        <v>18</v>
      </c>
      <c r="E4169" s="3" t="s">
        <v>14</v>
      </c>
      <c r="F4169" s="4" t="str">
        <f aca="false">IF(I4169&gt;J4169,"Y","N")</f>
        <v>N</v>
      </c>
      <c r="G4169" s="3" t="s">
        <v>164</v>
      </c>
      <c r="H4169" s="3" t="s">
        <v>16</v>
      </c>
      <c r="I4169" s="4" t="n">
        <v>4</v>
      </c>
      <c r="J4169" s="4" t="n">
        <f aca="false">LEN(E4169)-LEN(SUBSTITUTE(E4169,",",""))+1</f>
        <v>4</v>
      </c>
      <c r="K4169" s="3" t="str">
        <f aca="false">IFERROR(INDEX('Teacher Lookup'!$B$2:$B$200,MATCH(A4169,'Teacher Lookup'!$A$2:$A$200,0)),"")</f>
        <v>LIU Flora</v>
      </c>
    </row>
    <row r="4170" customFormat="false" ht="15" hidden="false" customHeight="false" outlineLevel="0" collapsed="false">
      <c r="A4170" s="3" t="s">
        <v>418</v>
      </c>
      <c r="B4170" s="4" t="s">
        <v>65</v>
      </c>
      <c r="C4170" s="4" t="n">
        <v>4</v>
      </c>
      <c r="D4170" s="4" t="s">
        <v>19</v>
      </c>
      <c r="E4170" s="3" t="s">
        <v>322</v>
      </c>
      <c r="F4170" s="4" t="str">
        <f aca="false">IF(I4170&gt;J4170,"Y","N")</f>
        <v>N</v>
      </c>
      <c r="G4170" s="3" t="s">
        <v>164</v>
      </c>
      <c r="H4170" s="3" t="s">
        <v>34</v>
      </c>
      <c r="I4170" s="4" t="n">
        <v>4</v>
      </c>
      <c r="J4170" s="4" t="n">
        <f aca="false">LEN(E4170)-LEN(SUBSTITUTE(E4170,",",""))+1</f>
        <v>4</v>
      </c>
      <c r="K4170" s="3" t="str">
        <f aca="false">IFERROR(INDEX('Teacher Lookup'!$B$2:$B$200,MATCH(A4170,'Teacher Lookup'!$A$2:$A$200,0)),"")</f>
        <v>LIU Flora</v>
      </c>
    </row>
    <row r="4171" customFormat="false" ht="15" hidden="false" customHeight="false" outlineLevel="0" collapsed="false">
      <c r="A4171" s="3" t="s">
        <v>418</v>
      </c>
      <c r="B4171" s="4" t="s">
        <v>65</v>
      </c>
      <c r="C4171" s="4" t="n">
        <v>4</v>
      </c>
      <c r="D4171" s="4" t="s">
        <v>22</v>
      </c>
      <c r="E4171" s="3" t="s">
        <v>322</v>
      </c>
      <c r="F4171" s="4" t="str">
        <f aca="false">IF(I4171&gt;J4171,"Y","N")</f>
        <v>N</v>
      </c>
      <c r="G4171" s="3" t="s">
        <v>164</v>
      </c>
      <c r="H4171" s="3" t="s">
        <v>34</v>
      </c>
      <c r="I4171" s="4" t="n">
        <v>4</v>
      </c>
      <c r="J4171" s="4" t="n">
        <f aca="false">LEN(E4171)-LEN(SUBSTITUTE(E4171,",",""))+1</f>
        <v>4</v>
      </c>
      <c r="K4171" s="3" t="str">
        <f aca="false">IFERROR(INDEX('Teacher Lookup'!$B$2:$B$200,MATCH(A4171,'Teacher Lookup'!$A$2:$A$200,0)),"")</f>
        <v>LIU Flora</v>
      </c>
    </row>
    <row r="4172" customFormat="false" ht="15" hidden="false" customHeight="false" outlineLevel="0" collapsed="false">
      <c r="A4172" s="3" t="s">
        <v>418</v>
      </c>
      <c r="B4172" s="4" t="s">
        <v>65</v>
      </c>
      <c r="C4172" s="4" t="n">
        <v>4</v>
      </c>
      <c r="D4172" s="4" t="s">
        <v>23</v>
      </c>
      <c r="E4172" s="3" t="s">
        <v>322</v>
      </c>
      <c r="F4172" s="4" t="str">
        <f aca="false">IF(I4172&gt;J4172,"Y","N")</f>
        <v>N</v>
      </c>
      <c r="G4172" s="3" t="s">
        <v>164</v>
      </c>
      <c r="H4172" s="3" t="s">
        <v>34</v>
      </c>
      <c r="I4172" s="4" t="n">
        <v>4</v>
      </c>
      <c r="J4172" s="4" t="n">
        <f aca="false">LEN(E4172)-LEN(SUBSTITUTE(E4172,",",""))+1</f>
        <v>4</v>
      </c>
      <c r="K4172" s="3" t="str">
        <f aca="false">IFERROR(INDEX('Teacher Lookup'!$B$2:$B$200,MATCH(A4172,'Teacher Lookup'!$A$2:$A$200,0)),"")</f>
        <v>LIU Flora</v>
      </c>
    </row>
    <row r="4173" customFormat="false" ht="15" hidden="false" customHeight="false" outlineLevel="0" collapsed="false">
      <c r="A4173" s="3" t="s">
        <v>418</v>
      </c>
      <c r="B4173" s="4" t="s">
        <v>65</v>
      </c>
      <c r="C4173" s="4" t="n">
        <v>5</v>
      </c>
      <c r="D4173" s="4" t="s">
        <v>19</v>
      </c>
      <c r="E4173" s="3" t="s">
        <v>35</v>
      </c>
      <c r="F4173" s="4" t="str">
        <f aca="false">IF(I4173&gt;J4173,"Y","N")</f>
        <v>Y</v>
      </c>
      <c r="G4173" s="3" t="s">
        <v>36</v>
      </c>
      <c r="H4173" s="3" t="s">
        <v>37</v>
      </c>
      <c r="I4173" s="4" t="n">
        <v>17</v>
      </c>
      <c r="J4173" s="4" t="n">
        <f aca="false">LEN(E4173)-LEN(SUBSTITUTE(E4173,",",""))+1</f>
        <v>7</v>
      </c>
      <c r="K4173" s="3" t="str">
        <f aca="false">IFERROR(INDEX('Teacher Lookup'!$B$2:$B$200,MATCH(A4173,'Teacher Lookup'!$A$2:$A$200,0)),"")</f>
        <v>LIU Flora</v>
      </c>
    </row>
    <row r="4174" customFormat="false" ht="15" hidden="false" customHeight="false" outlineLevel="0" collapsed="false">
      <c r="A4174" s="3" t="s">
        <v>418</v>
      </c>
      <c r="B4174" s="4" t="s">
        <v>65</v>
      </c>
      <c r="C4174" s="4" t="n">
        <v>5</v>
      </c>
      <c r="D4174" s="4" t="s">
        <v>22</v>
      </c>
      <c r="E4174" s="3" t="s">
        <v>35</v>
      </c>
      <c r="F4174" s="4" t="str">
        <f aca="false">IF(I4174&gt;J4174,"Y","N")</f>
        <v>Y</v>
      </c>
      <c r="G4174" s="3" t="s">
        <v>36</v>
      </c>
      <c r="H4174" s="3" t="s">
        <v>37</v>
      </c>
      <c r="I4174" s="4" t="n">
        <v>17</v>
      </c>
      <c r="J4174" s="4" t="n">
        <f aca="false">LEN(E4174)-LEN(SUBSTITUTE(E4174,",",""))+1</f>
        <v>7</v>
      </c>
      <c r="K4174" s="3" t="str">
        <f aca="false">IFERROR(INDEX('Teacher Lookup'!$B$2:$B$200,MATCH(A4174,'Teacher Lookup'!$A$2:$A$200,0)),"")</f>
        <v>LIU Flora</v>
      </c>
    </row>
    <row r="4175" customFormat="false" ht="15" hidden="false" customHeight="false" outlineLevel="0" collapsed="false">
      <c r="A4175" s="3" t="s">
        <v>418</v>
      </c>
      <c r="B4175" s="4" t="s">
        <v>65</v>
      </c>
      <c r="C4175" s="4" t="n">
        <v>5</v>
      </c>
      <c r="D4175" s="4" t="s">
        <v>23</v>
      </c>
      <c r="E4175" s="3" t="s">
        <v>35</v>
      </c>
      <c r="F4175" s="4" t="str">
        <f aca="false">IF(I4175&gt;J4175,"Y","N")</f>
        <v>Y</v>
      </c>
      <c r="G4175" s="3" t="s">
        <v>36</v>
      </c>
      <c r="H4175" s="3" t="s">
        <v>37</v>
      </c>
      <c r="I4175" s="4" t="n">
        <v>17</v>
      </c>
      <c r="J4175" s="4" t="n">
        <f aca="false">LEN(E4175)-LEN(SUBSTITUTE(E4175,",",""))+1</f>
        <v>7</v>
      </c>
      <c r="K4175" s="3" t="str">
        <f aca="false">IFERROR(INDEX('Teacher Lookup'!$B$2:$B$200,MATCH(A4175,'Teacher Lookup'!$A$2:$A$200,0)),"")</f>
        <v>LIU Flora</v>
      </c>
    </row>
    <row r="4176" customFormat="false" ht="15" hidden="false" customHeight="false" outlineLevel="0" collapsed="false">
      <c r="A4176" s="3" t="s">
        <v>418</v>
      </c>
      <c r="B4176" s="4" t="s">
        <v>65</v>
      </c>
      <c r="C4176" s="4" t="n">
        <v>5</v>
      </c>
      <c r="D4176" s="4" t="s">
        <v>13</v>
      </c>
      <c r="E4176" s="3" t="s">
        <v>35</v>
      </c>
      <c r="F4176" s="4" t="str">
        <f aca="false">IF(I4176&gt;J4176,"Y","N")</f>
        <v>Y</v>
      </c>
      <c r="G4176" s="3" t="s">
        <v>36</v>
      </c>
      <c r="H4176" s="3" t="s">
        <v>37</v>
      </c>
      <c r="I4176" s="4" t="n">
        <v>17</v>
      </c>
      <c r="J4176" s="4" t="n">
        <f aca="false">LEN(E4176)-LEN(SUBSTITUTE(E4176,",",""))+1</f>
        <v>7</v>
      </c>
      <c r="K4176" s="3" t="str">
        <f aca="false">IFERROR(INDEX('Teacher Lookup'!$B$2:$B$200,MATCH(A4176,'Teacher Lookup'!$A$2:$A$200,0)),"")</f>
        <v>LIU Flora</v>
      </c>
    </row>
    <row r="4177" customFormat="false" ht="15" hidden="false" customHeight="false" outlineLevel="0" collapsed="false">
      <c r="A4177" s="3" t="s">
        <v>418</v>
      </c>
      <c r="B4177" s="4" t="s">
        <v>65</v>
      </c>
      <c r="C4177" s="4" t="n">
        <v>5</v>
      </c>
      <c r="D4177" s="4" t="s">
        <v>17</v>
      </c>
      <c r="E4177" s="3" t="s">
        <v>35</v>
      </c>
      <c r="F4177" s="4" t="str">
        <f aca="false">IF(I4177&gt;J4177,"Y","N")</f>
        <v>Y</v>
      </c>
      <c r="G4177" s="3" t="s">
        <v>36</v>
      </c>
      <c r="H4177" s="3" t="s">
        <v>37</v>
      </c>
      <c r="I4177" s="4" t="n">
        <v>17</v>
      </c>
      <c r="J4177" s="4" t="n">
        <f aca="false">LEN(E4177)-LEN(SUBSTITUTE(E4177,",",""))+1</f>
        <v>7</v>
      </c>
      <c r="K4177" s="3" t="str">
        <f aca="false">IFERROR(INDEX('Teacher Lookup'!$B$2:$B$200,MATCH(A4177,'Teacher Lookup'!$A$2:$A$200,0)),"")</f>
        <v>LIU Flora</v>
      </c>
    </row>
    <row r="4178" customFormat="false" ht="15" hidden="false" customHeight="false" outlineLevel="0" collapsed="false">
      <c r="A4178" s="3" t="s">
        <v>418</v>
      </c>
      <c r="B4178" s="4" t="s">
        <v>65</v>
      </c>
      <c r="C4178" s="4" t="n">
        <v>5</v>
      </c>
      <c r="D4178" s="4" t="s">
        <v>18</v>
      </c>
      <c r="E4178" s="3" t="s">
        <v>35</v>
      </c>
      <c r="F4178" s="4" t="str">
        <f aca="false">IF(I4178&gt;J4178,"Y","N")</f>
        <v>Y</v>
      </c>
      <c r="G4178" s="3" t="s">
        <v>36</v>
      </c>
      <c r="H4178" s="3" t="s">
        <v>37</v>
      </c>
      <c r="I4178" s="4" t="n">
        <v>17</v>
      </c>
      <c r="J4178" s="4" t="n">
        <f aca="false">LEN(E4178)-LEN(SUBSTITUTE(E4178,",",""))+1</f>
        <v>7</v>
      </c>
      <c r="K4178" s="3" t="str">
        <f aca="false">IFERROR(INDEX('Teacher Lookup'!$B$2:$B$200,MATCH(A4178,'Teacher Lookup'!$A$2:$A$200,0)),"")</f>
        <v>LIU Flora</v>
      </c>
    </row>
    <row r="4179" customFormat="false" ht="15" hidden="false" customHeight="false" outlineLevel="0" collapsed="false">
      <c r="A4179" s="3" t="s">
        <v>418</v>
      </c>
      <c r="B4179" s="4" t="s">
        <v>65</v>
      </c>
      <c r="C4179" s="4" t="n">
        <v>6</v>
      </c>
      <c r="D4179" s="4" t="s">
        <v>70</v>
      </c>
      <c r="E4179" s="3" t="s">
        <v>218</v>
      </c>
      <c r="F4179" s="4" t="str">
        <f aca="false">IF(I4179&gt;J4179,"Y","N")</f>
        <v>N</v>
      </c>
      <c r="G4179" s="3" t="s">
        <v>164</v>
      </c>
      <c r="H4179" s="3" t="s">
        <v>42</v>
      </c>
      <c r="I4179" s="4" t="n">
        <v>4</v>
      </c>
      <c r="J4179" s="4" t="n">
        <f aca="false">LEN(E4179)-LEN(SUBSTITUTE(E4179,",",""))+1</f>
        <v>4</v>
      </c>
      <c r="K4179" s="3" t="str">
        <f aca="false">IFERROR(INDEX('Teacher Lookup'!$B$2:$B$200,MATCH(A4179,'Teacher Lookup'!$A$2:$A$200,0)),"")</f>
        <v>LIU Flora</v>
      </c>
    </row>
    <row r="4180" customFormat="false" ht="15" hidden="false" customHeight="false" outlineLevel="0" collapsed="false">
      <c r="A4180" s="3" t="s">
        <v>418</v>
      </c>
      <c r="B4180" s="4" t="s">
        <v>65</v>
      </c>
      <c r="C4180" s="4" t="n">
        <v>6</v>
      </c>
      <c r="D4180" s="4" t="s">
        <v>73</v>
      </c>
      <c r="E4180" s="3" t="s">
        <v>218</v>
      </c>
      <c r="F4180" s="4" t="str">
        <f aca="false">IF(I4180&gt;J4180,"Y","N")</f>
        <v>N</v>
      </c>
      <c r="G4180" s="3" t="s">
        <v>164</v>
      </c>
      <c r="H4180" s="3" t="s">
        <v>42</v>
      </c>
      <c r="I4180" s="4" t="n">
        <v>4</v>
      </c>
      <c r="J4180" s="4" t="n">
        <f aca="false">LEN(E4180)-LEN(SUBSTITUTE(E4180,",",""))+1</f>
        <v>4</v>
      </c>
      <c r="K4180" s="3" t="str">
        <f aca="false">IFERROR(INDEX('Teacher Lookup'!$B$2:$B$200,MATCH(A4180,'Teacher Lookup'!$A$2:$A$200,0)),"")</f>
        <v>LIU Flora</v>
      </c>
    </row>
    <row r="4181" customFormat="false" ht="15" hidden="false" customHeight="false" outlineLevel="0" collapsed="false">
      <c r="A4181" s="3" t="s">
        <v>418</v>
      </c>
      <c r="B4181" s="4" t="s">
        <v>65</v>
      </c>
      <c r="C4181" s="4" t="n">
        <v>6</v>
      </c>
      <c r="D4181" s="4" t="s">
        <v>74</v>
      </c>
      <c r="E4181" s="3" t="s">
        <v>218</v>
      </c>
      <c r="F4181" s="4" t="str">
        <f aca="false">IF(I4181&gt;J4181,"Y","N")</f>
        <v>N</v>
      </c>
      <c r="G4181" s="3" t="s">
        <v>164</v>
      </c>
      <c r="H4181" s="3" t="s">
        <v>42</v>
      </c>
      <c r="I4181" s="4" t="n">
        <v>4</v>
      </c>
      <c r="J4181" s="4" t="n">
        <f aca="false">LEN(E4181)-LEN(SUBSTITUTE(E4181,",",""))+1</f>
        <v>4</v>
      </c>
      <c r="K4181" s="3" t="str">
        <f aca="false">IFERROR(INDEX('Teacher Lookup'!$B$2:$B$200,MATCH(A4181,'Teacher Lookup'!$A$2:$A$200,0)),"")</f>
        <v>LIU Flora</v>
      </c>
    </row>
    <row r="4182" customFormat="false" ht="15" hidden="false" customHeight="false" outlineLevel="0" collapsed="false">
      <c r="A4182" s="3" t="s">
        <v>418</v>
      </c>
      <c r="B4182" s="4" t="s">
        <v>65</v>
      </c>
      <c r="C4182" s="4" t="n">
        <v>7</v>
      </c>
      <c r="D4182" s="4" t="s">
        <v>70</v>
      </c>
      <c r="E4182" s="3" t="s">
        <v>218</v>
      </c>
      <c r="F4182" s="4" t="str">
        <f aca="false">IF(I4182&gt;J4182,"Y","N")</f>
        <v>N</v>
      </c>
      <c r="G4182" s="3" t="s">
        <v>164</v>
      </c>
      <c r="H4182" s="3" t="s">
        <v>39</v>
      </c>
      <c r="I4182" s="4" t="n">
        <v>4</v>
      </c>
      <c r="J4182" s="4" t="n">
        <f aca="false">LEN(E4182)-LEN(SUBSTITUTE(E4182,",",""))+1</f>
        <v>4</v>
      </c>
      <c r="K4182" s="3" t="str">
        <f aca="false">IFERROR(INDEX('Teacher Lookup'!$B$2:$B$200,MATCH(A4182,'Teacher Lookup'!$A$2:$A$200,0)),"")</f>
        <v>LIU Flora</v>
      </c>
    </row>
    <row r="4183" customFormat="false" ht="15" hidden="false" customHeight="false" outlineLevel="0" collapsed="false">
      <c r="A4183" s="3" t="s">
        <v>418</v>
      </c>
      <c r="B4183" s="4" t="s">
        <v>65</v>
      </c>
      <c r="C4183" s="4" t="n">
        <v>7</v>
      </c>
      <c r="D4183" s="4" t="s">
        <v>73</v>
      </c>
      <c r="E4183" s="3" t="s">
        <v>218</v>
      </c>
      <c r="F4183" s="4" t="str">
        <f aca="false">IF(I4183&gt;J4183,"Y","N")</f>
        <v>N</v>
      </c>
      <c r="G4183" s="3" t="s">
        <v>164</v>
      </c>
      <c r="H4183" s="3" t="s">
        <v>39</v>
      </c>
      <c r="I4183" s="4" t="n">
        <v>4</v>
      </c>
      <c r="J4183" s="4" t="n">
        <f aca="false">LEN(E4183)-LEN(SUBSTITUTE(E4183,",",""))+1</f>
        <v>4</v>
      </c>
      <c r="K4183" s="3" t="str">
        <f aca="false">IFERROR(INDEX('Teacher Lookup'!$B$2:$B$200,MATCH(A4183,'Teacher Lookup'!$A$2:$A$200,0)),"")</f>
        <v>LIU Flora</v>
      </c>
    </row>
    <row r="4184" customFormat="false" ht="15" hidden="false" customHeight="false" outlineLevel="0" collapsed="false">
      <c r="A4184" s="3" t="s">
        <v>418</v>
      </c>
      <c r="B4184" s="4" t="s">
        <v>65</v>
      </c>
      <c r="C4184" s="4" t="n">
        <v>7</v>
      </c>
      <c r="D4184" s="4" t="s">
        <v>74</v>
      </c>
      <c r="E4184" s="3" t="s">
        <v>218</v>
      </c>
      <c r="F4184" s="4" t="str">
        <f aca="false">IF(I4184&gt;J4184,"Y","N")</f>
        <v>N</v>
      </c>
      <c r="G4184" s="3" t="s">
        <v>164</v>
      </c>
      <c r="H4184" s="3" t="s">
        <v>39</v>
      </c>
      <c r="I4184" s="4" t="n">
        <v>4</v>
      </c>
      <c r="J4184" s="4" t="n">
        <f aca="false">LEN(E4184)-LEN(SUBSTITUTE(E4184,",",""))+1</f>
        <v>4</v>
      </c>
      <c r="K4184" s="3" t="str">
        <f aca="false">IFERROR(INDEX('Teacher Lookup'!$B$2:$B$200,MATCH(A4184,'Teacher Lookup'!$A$2:$A$200,0)),"")</f>
        <v>LIU Flora</v>
      </c>
    </row>
    <row r="4185" customFormat="false" ht="15" hidden="false" customHeight="false" outlineLevel="0" collapsed="false">
      <c r="A4185" s="3" t="s">
        <v>418</v>
      </c>
      <c r="B4185" s="4" t="s">
        <v>66</v>
      </c>
      <c r="C4185" s="4" t="n">
        <v>2</v>
      </c>
      <c r="D4185" s="4" t="s">
        <v>70</v>
      </c>
      <c r="E4185" s="3" t="s">
        <v>91</v>
      </c>
      <c r="F4185" s="4" t="str">
        <f aca="false">IF(I4185&gt;J4185,"Y","N")</f>
        <v>N</v>
      </c>
      <c r="G4185" s="3" t="s">
        <v>164</v>
      </c>
      <c r="H4185" s="3" t="s">
        <v>21</v>
      </c>
      <c r="I4185" s="4" t="n">
        <v>4</v>
      </c>
      <c r="J4185" s="4" t="n">
        <f aca="false">LEN(E4185)-LEN(SUBSTITUTE(E4185,",",""))+1</f>
        <v>4</v>
      </c>
      <c r="K4185" s="3" t="str">
        <f aca="false">IFERROR(INDEX('Teacher Lookup'!$B$2:$B$200,MATCH(A4185,'Teacher Lookup'!$A$2:$A$200,0)),"")</f>
        <v>LIU Flora</v>
      </c>
    </row>
    <row r="4186" customFormat="false" ht="15" hidden="false" customHeight="false" outlineLevel="0" collapsed="false">
      <c r="A4186" s="3" t="s">
        <v>418</v>
      </c>
      <c r="B4186" s="4" t="s">
        <v>66</v>
      </c>
      <c r="C4186" s="4" t="n">
        <v>2</v>
      </c>
      <c r="D4186" s="4" t="s">
        <v>73</v>
      </c>
      <c r="E4186" s="3" t="s">
        <v>91</v>
      </c>
      <c r="F4186" s="4" t="str">
        <f aca="false">IF(I4186&gt;J4186,"Y","N")</f>
        <v>N</v>
      </c>
      <c r="G4186" s="3" t="s">
        <v>164</v>
      </c>
      <c r="H4186" s="3" t="s">
        <v>21</v>
      </c>
      <c r="I4186" s="4" t="n">
        <v>4</v>
      </c>
      <c r="J4186" s="4" t="n">
        <f aca="false">LEN(E4186)-LEN(SUBSTITUTE(E4186,",",""))+1</f>
        <v>4</v>
      </c>
      <c r="K4186" s="3" t="str">
        <f aca="false">IFERROR(INDEX('Teacher Lookup'!$B$2:$B$200,MATCH(A4186,'Teacher Lookup'!$A$2:$A$200,0)),"")</f>
        <v>LIU Flora</v>
      </c>
    </row>
    <row r="4187" customFormat="false" ht="15" hidden="false" customHeight="false" outlineLevel="0" collapsed="false">
      <c r="A4187" s="3" t="s">
        <v>418</v>
      </c>
      <c r="B4187" s="4" t="s">
        <v>66</v>
      </c>
      <c r="C4187" s="4" t="n">
        <v>2</v>
      </c>
      <c r="D4187" s="4" t="s">
        <v>74</v>
      </c>
      <c r="E4187" s="3" t="s">
        <v>91</v>
      </c>
      <c r="F4187" s="4" t="str">
        <f aca="false">IF(I4187&gt;J4187,"Y","N")</f>
        <v>N</v>
      </c>
      <c r="G4187" s="3" t="s">
        <v>164</v>
      </c>
      <c r="H4187" s="3" t="s">
        <v>21</v>
      </c>
      <c r="I4187" s="4" t="n">
        <v>4</v>
      </c>
      <c r="J4187" s="4" t="n">
        <f aca="false">LEN(E4187)-LEN(SUBSTITUTE(E4187,",",""))+1</f>
        <v>4</v>
      </c>
      <c r="K4187" s="3" t="str">
        <f aca="false">IFERROR(INDEX('Teacher Lookup'!$B$2:$B$200,MATCH(A4187,'Teacher Lookup'!$A$2:$A$200,0)),"")</f>
        <v>LIU Flora</v>
      </c>
    </row>
    <row r="4188" customFormat="false" ht="15" hidden="false" customHeight="false" outlineLevel="0" collapsed="false">
      <c r="A4188" s="3" t="s">
        <v>418</v>
      </c>
      <c r="B4188" s="4" t="s">
        <v>66</v>
      </c>
      <c r="C4188" s="4" t="n">
        <v>6</v>
      </c>
      <c r="D4188" s="4" t="s">
        <v>13</v>
      </c>
      <c r="E4188" s="3" t="s">
        <v>360</v>
      </c>
      <c r="F4188" s="4" t="str">
        <f aca="false">IF(I4188&gt;J4188,"Y","N")</f>
        <v>N</v>
      </c>
      <c r="G4188" s="3" t="s">
        <v>164</v>
      </c>
      <c r="H4188" s="3" t="s">
        <v>42</v>
      </c>
      <c r="I4188" s="4" t="n">
        <v>4</v>
      </c>
      <c r="J4188" s="4" t="n">
        <f aca="false">LEN(E4188)-LEN(SUBSTITUTE(E4188,",",""))+1</f>
        <v>4</v>
      </c>
      <c r="K4188" s="3" t="str">
        <f aca="false">IFERROR(INDEX('Teacher Lookup'!$B$2:$B$200,MATCH(A4188,'Teacher Lookup'!$A$2:$A$200,0)),"")</f>
        <v>LIU Flora</v>
      </c>
    </row>
    <row r="4189" customFormat="false" ht="15" hidden="false" customHeight="false" outlineLevel="0" collapsed="false">
      <c r="A4189" s="3" t="s">
        <v>418</v>
      </c>
      <c r="B4189" s="4" t="s">
        <v>66</v>
      </c>
      <c r="C4189" s="4" t="n">
        <v>6</v>
      </c>
      <c r="D4189" s="4" t="s">
        <v>17</v>
      </c>
      <c r="E4189" s="3" t="s">
        <v>360</v>
      </c>
      <c r="F4189" s="4" t="str">
        <f aca="false">IF(I4189&gt;J4189,"Y","N")</f>
        <v>N</v>
      </c>
      <c r="G4189" s="3" t="s">
        <v>164</v>
      </c>
      <c r="H4189" s="3" t="s">
        <v>42</v>
      </c>
      <c r="I4189" s="4" t="n">
        <v>4</v>
      </c>
      <c r="J4189" s="4" t="n">
        <f aca="false">LEN(E4189)-LEN(SUBSTITUTE(E4189,",",""))+1</f>
        <v>4</v>
      </c>
      <c r="K4189" s="3" t="str">
        <f aca="false">IFERROR(INDEX('Teacher Lookup'!$B$2:$B$200,MATCH(A4189,'Teacher Lookup'!$A$2:$A$200,0)),"")</f>
        <v>LIU Flora</v>
      </c>
    </row>
    <row r="4190" customFormat="false" ht="15" hidden="false" customHeight="false" outlineLevel="0" collapsed="false">
      <c r="A4190" s="3" t="s">
        <v>418</v>
      </c>
      <c r="B4190" s="4" t="s">
        <v>66</v>
      </c>
      <c r="C4190" s="4" t="n">
        <v>6</v>
      </c>
      <c r="D4190" s="4" t="s">
        <v>18</v>
      </c>
      <c r="E4190" s="3" t="s">
        <v>360</v>
      </c>
      <c r="F4190" s="4" t="str">
        <f aca="false">IF(I4190&gt;J4190,"Y","N")</f>
        <v>N</v>
      </c>
      <c r="G4190" s="3" t="s">
        <v>164</v>
      </c>
      <c r="H4190" s="3" t="s">
        <v>42</v>
      </c>
      <c r="I4190" s="4" t="n">
        <v>4</v>
      </c>
      <c r="J4190" s="4" t="n">
        <f aca="false">LEN(E4190)-LEN(SUBSTITUTE(E4190,",",""))+1</f>
        <v>4</v>
      </c>
      <c r="K4190" s="3" t="str">
        <f aca="false">IFERROR(INDEX('Teacher Lookup'!$B$2:$B$200,MATCH(A4190,'Teacher Lookup'!$A$2:$A$200,0)),"")</f>
        <v>LIU Flora</v>
      </c>
    </row>
    <row r="4191" customFormat="false" ht="15" hidden="false" customHeight="false" outlineLevel="0" collapsed="false">
      <c r="A4191" s="3" t="s">
        <v>418</v>
      </c>
      <c r="B4191" s="4" t="s">
        <v>66</v>
      </c>
      <c r="C4191" s="4" t="n">
        <v>7</v>
      </c>
      <c r="D4191" s="4" t="s">
        <v>19</v>
      </c>
      <c r="E4191" s="3" t="s">
        <v>329</v>
      </c>
      <c r="F4191" s="4" t="str">
        <f aca="false">IF(I4191&gt;J4191,"Y","N")</f>
        <v>N</v>
      </c>
      <c r="G4191" s="3" t="s">
        <v>164</v>
      </c>
      <c r="H4191" s="3" t="s">
        <v>39</v>
      </c>
      <c r="I4191" s="4" t="n">
        <v>4</v>
      </c>
      <c r="J4191" s="4" t="n">
        <f aca="false">LEN(E4191)-LEN(SUBSTITUTE(E4191,",",""))+1</f>
        <v>4</v>
      </c>
      <c r="K4191" s="3" t="str">
        <f aca="false">IFERROR(INDEX('Teacher Lookup'!$B$2:$B$200,MATCH(A4191,'Teacher Lookup'!$A$2:$A$200,0)),"")</f>
        <v>LIU Flora</v>
      </c>
    </row>
    <row r="4192" customFormat="false" ht="15" hidden="false" customHeight="false" outlineLevel="0" collapsed="false">
      <c r="A4192" s="3" t="s">
        <v>418</v>
      </c>
      <c r="B4192" s="4" t="s">
        <v>66</v>
      </c>
      <c r="C4192" s="4" t="n">
        <v>7</v>
      </c>
      <c r="D4192" s="4" t="s">
        <v>22</v>
      </c>
      <c r="E4192" s="3" t="s">
        <v>329</v>
      </c>
      <c r="F4192" s="4" t="str">
        <f aca="false">IF(I4192&gt;J4192,"Y","N")</f>
        <v>N</v>
      </c>
      <c r="G4192" s="3" t="s">
        <v>164</v>
      </c>
      <c r="H4192" s="3" t="s">
        <v>39</v>
      </c>
      <c r="I4192" s="4" t="n">
        <v>4</v>
      </c>
      <c r="J4192" s="4" t="n">
        <f aca="false">LEN(E4192)-LEN(SUBSTITUTE(E4192,",",""))+1</f>
        <v>4</v>
      </c>
      <c r="K4192" s="3" t="str">
        <f aca="false">IFERROR(INDEX('Teacher Lookup'!$B$2:$B$200,MATCH(A4192,'Teacher Lookup'!$A$2:$A$200,0)),"")</f>
        <v>LIU Flora</v>
      </c>
    </row>
    <row r="4193" customFormat="false" ht="15" hidden="false" customHeight="false" outlineLevel="0" collapsed="false">
      <c r="A4193" s="3" t="s">
        <v>418</v>
      </c>
      <c r="B4193" s="4" t="s">
        <v>66</v>
      </c>
      <c r="C4193" s="4" t="n">
        <v>7</v>
      </c>
      <c r="D4193" s="4" t="s">
        <v>23</v>
      </c>
      <c r="E4193" s="3" t="s">
        <v>329</v>
      </c>
      <c r="F4193" s="4" t="str">
        <f aca="false">IF(I4193&gt;J4193,"Y","N")</f>
        <v>N</v>
      </c>
      <c r="G4193" s="3" t="s">
        <v>164</v>
      </c>
      <c r="H4193" s="3" t="s">
        <v>39</v>
      </c>
      <c r="I4193" s="4" t="n">
        <v>4</v>
      </c>
      <c r="J4193" s="4" t="n">
        <f aca="false">LEN(E4193)-LEN(SUBSTITUTE(E4193,",",""))+1</f>
        <v>4</v>
      </c>
      <c r="K4193" s="3" t="str">
        <f aca="false">IFERROR(INDEX('Teacher Lookup'!$B$2:$B$200,MATCH(A4193,'Teacher Lookup'!$A$2:$A$200,0)),"")</f>
        <v>LIU Flora</v>
      </c>
    </row>
    <row r="4194" customFormat="false" ht="15" hidden="false" customHeight="false" outlineLevel="0" collapsed="false">
      <c r="A4194" s="3" t="s">
        <v>424</v>
      </c>
      <c r="B4194" s="4" t="s">
        <v>31</v>
      </c>
      <c r="C4194" s="4" t="n">
        <v>2</v>
      </c>
      <c r="D4194" s="4" t="s">
        <v>24</v>
      </c>
      <c r="E4194" s="3" t="s">
        <v>377</v>
      </c>
      <c r="F4194" s="4" t="str">
        <f aca="false">IF(I4194&gt;J4194,"Y","N")</f>
        <v>N</v>
      </c>
      <c r="G4194" s="3" t="s">
        <v>378</v>
      </c>
      <c r="H4194" s="3" t="s">
        <v>21</v>
      </c>
      <c r="I4194" s="4" t="n">
        <v>8</v>
      </c>
      <c r="J4194" s="4" t="n">
        <f aca="false">LEN(E4194)-LEN(SUBSTITUTE(E4194,",",""))+1</f>
        <v>8</v>
      </c>
      <c r="K4194" s="3" t="str">
        <f aca="false">IFERROR(INDEX('Teacher Lookup'!$B$2:$B$200,MATCH(A4194,'Teacher Lookup'!$A$2:$A$200,0)),"")</f>
        <v>LAM Gary</v>
      </c>
    </row>
    <row r="4195" customFormat="false" ht="15" hidden="false" customHeight="false" outlineLevel="0" collapsed="false">
      <c r="A4195" s="3" t="s">
        <v>424</v>
      </c>
      <c r="B4195" s="4" t="s">
        <v>31</v>
      </c>
      <c r="C4195" s="4" t="n">
        <v>2</v>
      </c>
      <c r="D4195" s="4" t="s">
        <v>27</v>
      </c>
      <c r="E4195" s="3" t="s">
        <v>377</v>
      </c>
      <c r="F4195" s="4" t="str">
        <f aca="false">IF(I4195&gt;J4195,"Y","N")</f>
        <v>N</v>
      </c>
      <c r="G4195" s="3" t="s">
        <v>378</v>
      </c>
      <c r="H4195" s="3" t="s">
        <v>21</v>
      </c>
      <c r="I4195" s="4" t="n">
        <v>8</v>
      </c>
      <c r="J4195" s="4" t="n">
        <f aca="false">LEN(E4195)-LEN(SUBSTITUTE(E4195,",",""))+1</f>
        <v>8</v>
      </c>
      <c r="K4195" s="3" t="str">
        <f aca="false">IFERROR(INDEX('Teacher Lookup'!$B$2:$B$200,MATCH(A4195,'Teacher Lookup'!$A$2:$A$200,0)),"")</f>
        <v>LAM Gary</v>
      </c>
    </row>
    <row r="4196" customFormat="false" ht="15" hidden="false" customHeight="false" outlineLevel="0" collapsed="false">
      <c r="A4196" s="3" t="s">
        <v>424</v>
      </c>
      <c r="B4196" s="4" t="s">
        <v>31</v>
      </c>
      <c r="C4196" s="4" t="n">
        <v>2</v>
      </c>
      <c r="D4196" s="4" t="s">
        <v>28</v>
      </c>
      <c r="E4196" s="3" t="s">
        <v>377</v>
      </c>
      <c r="F4196" s="4" t="str">
        <f aca="false">IF(I4196&gt;J4196,"Y","N")</f>
        <v>N</v>
      </c>
      <c r="G4196" s="3" t="s">
        <v>378</v>
      </c>
      <c r="H4196" s="3" t="s">
        <v>21</v>
      </c>
      <c r="I4196" s="4" t="n">
        <v>8</v>
      </c>
      <c r="J4196" s="4" t="n">
        <f aca="false">LEN(E4196)-LEN(SUBSTITUTE(E4196,",",""))+1</f>
        <v>8</v>
      </c>
      <c r="K4196" s="3" t="str">
        <f aca="false">IFERROR(INDEX('Teacher Lookup'!$B$2:$B$200,MATCH(A4196,'Teacher Lookup'!$A$2:$A$200,0)),"")</f>
        <v>LAM Gary</v>
      </c>
    </row>
    <row r="4197" customFormat="false" ht="15" hidden="false" customHeight="false" outlineLevel="0" collapsed="false">
      <c r="A4197" s="3" t="s">
        <v>424</v>
      </c>
      <c r="B4197" s="4" t="s">
        <v>31</v>
      </c>
      <c r="C4197" s="4" t="n">
        <v>2</v>
      </c>
      <c r="D4197" s="4" t="s">
        <v>29</v>
      </c>
      <c r="E4197" s="3" t="s">
        <v>377</v>
      </c>
      <c r="F4197" s="4" t="str">
        <f aca="false">IF(I4197&gt;J4197,"Y","N")</f>
        <v>N</v>
      </c>
      <c r="G4197" s="3" t="s">
        <v>378</v>
      </c>
      <c r="H4197" s="3" t="s">
        <v>21</v>
      </c>
      <c r="I4197" s="4" t="n">
        <v>8</v>
      </c>
      <c r="J4197" s="4" t="n">
        <f aca="false">LEN(E4197)-LEN(SUBSTITUTE(E4197,",",""))+1</f>
        <v>8</v>
      </c>
      <c r="K4197" s="3" t="str">
        <f aca="false">IFERROR(INDEX('Teacher Lookup'!$B$2:$B$200,MATCH(A4197,'Teacher Lookup'!$A$2:$A$200,0)),"")</f>
        <v>LAM Gary</v>
      </c>
    </row>
    <row r="4198" customFormat="false" ht="15" hidden="false" customHeight="false" outlineLevel="0" collapsed="false">
      <c r="A4198" s="3" t="s">
        <v>424</v>
      </c>
      <c r="B4198" s="4" t="s">
        <v>31</v>
      </c>
      <c r="C4198" s="4" t="n">
        <v>2</v>
      </c>
      <c r="D4198" s="4" t="s">
        <v>30</v>
      </c>
      <c r="E4198" s="3" t="s">
        <v>377</v>
      </c>
      <c r="F4198" s="4" t="str">
        <f aca="false">IF(I4198&gt;J4198,"Y","N")</f>
        <v>N</v>
      </c>
      <c r="G4198" s="3" t="s">
        <v>378</v>
      </c>
      <c r="H4198" s="3" t="s">
        <v>21</v>
      </c>
      <c r="I4198" s="4" t="n">
        <v>8</v>
      </c>
      <c r="J4198" s="4" t="n">
        <f aca="false">LEN(E4198)-LEN(SUBSTITUTE(E4198,",",""))+1</f>
        <v>8</v>
      </c>
      <c r="K4198" s="3" t="str">
        <f aca="false">IFERROR(INDEX('Teacher Lookup'!$B$2:$B$200,MATCH(A4198,'Teacher Lookup'!$A$2:$A$200,0)),"")</f>
        <v>LAM Gary</v>
      </c>
    </row>
    <row r="4199" customFormat="false" ht="15" hidden="false" customHeight="false" outlineLevel="0" collapsed="false">
      <c r="A4199" s="3" t="s">
        <v>424</v>
      </c>
      <c r="B4199" s="4" t="s">
        <v>31</v>
      </c>
      <c r="C4199" s="4" t="n">
        <v>5</v>
      </c>
      <c r="D4199" s="4" t="s">
        <v>24</v>
      </c>
      <c r="E4199" s="3" t="s">
        <v>131</v>
      </c>
      <c r="F4199" s="4" t="str">
        <f aca="false">IF(I4199&gt;J4199,"Y","N")</f>
        <v>Y</v>
      </c>
      <c r="G4199" s="3" t="s">
        <v>36</v>
      </c>
      <c r="H4199" s="3" t="s">
        <v>37</v>
      </c>
      <c r="I4199" s="4" t="n">
        <v>15</v>
      </c>
      <c r="J4199" s="4" t="n">
        <f aca="false">LEN(E4199)-LEN(SUBSTITUTE(E4199,",",""))+1</f>
        <v>7</v>
      </c>
      <c r="K4199" s="3" t="str">
        <f aca="false">IFERROR(INDEX('Teacher Lookup'!$B$2:$B$200,MATCH(A4199,'Teacher Lookup'!$A$2:$A$200,0)),"")</f>
        <v>LAM Gary</v>
      </c>
    </row>
    <row r="4200" customFormat="false" ht="15" hidden="false" customHeight="false" outlineLevel="0" collapsed="false">
      <c r="A4200" s="3" t="s">
        <v>424</v>
      </c>
      <c r="B4200" s="4" t="s">
        <v>31</v>
      </c>
      <c r="C4200" s="4" t="n">
        <v>5</v>
      </c>
      <c r="D4200" s="4" t="s">
        <v>132</v>
      </c>
      <c r="E4200" s="3" t="s">
        <v>131</v>
      </c>
      <c r="F4200" s="4" t="str">
        <f aca="false">IF(I4200&gt;J4200,"Y","N")</f>
        <v>Y</v>
      </c>
      <c r="G4200" s="3" t="s">
        <v>36</v>
      </c>
      <c r="H4200" s="3" t="s">
        <v>37</v>
      </c>
      <c r="I4200" s="4" t="n">
        <v>15</v>
      </c>
      <c r="J4200" s="4" t="n">
        <f aca="false">LEN(E4200)-LEN(SUBSTITUTE(E4200,",",""))+1</f>
        <v>7</v>
      </c>
      <c r="K4200" s="3" t="str">
        <f aca="false">IFERROR(INDEX('Teacher Lookup'!$B$2:$B$200,MATCH(A4200,'Teacher Lookup'!$A$2:$A$200,0)),"")</f>
        <v>LAM Gary</v>
      </c>
    </row>
    <row r="4201" customFormat="false" ht="15" hidden="false" customHeight="false" outlineLevel="0" collapsed="false">
      <c r="A4201" s="3" t="s">
        <v>424</v>
      </c>
      <c r="B4201" s="4" t="s">
        <v>31</v>
      </c>
      <c r="C4201" s="4" t="n">
        <v>5</v>
      </c>
      <c r="D4201" s="4" t="s">
        <v>27</v>
      </c>
      <c r="E4201" s="3" t="s">
        <v>131</v>
      </c>
      <c r="F4201" s="4" t="str">
        <f aca="false">IF(I4201&gt;J4201,"Y","N")</f>
        <v>Y</v>
      </c>
      <c r="G4201" s="3" t="s">
        <v>36</v>
      </c>
      <c r="H4201" s="3" t="s">
        <v>37</v>
      </c>
      <c r="I4201" s="4" t="n">
        <v>15</v>
      </c>
      <c r="J4201" s="4" t="n">
        <f aca="false">LEN(E4201)-LEN(SUBSTITUTE(E4201,",",""))+1</f>
        <v>7</v>
      </c>
      <c r="K4201" s="3" t="str">
        <f aca="false">IFERROR(INDEX('Teacher Lookup'!$B$2:$B$200,MATCH(A4201,'Teacher Lookup'!$A$2:$A$200,0)),"")</f>
        <v>LAM Gary</v>
      </c>
    </row>
    <row r="4202" customFormat="false" ht="15" hidden="false" customHeight="false" outlineLevel="0" collapsed="false">
      <c r="A4202" s="3" t="s">
        <v>424</v>
      </c>
      <c r="B4202" s="4" t="s">
        <v>31</v>
      </c>
      <c r="C4202" s="4" t="n">
        <v>5</v>
      </c>
      <c r="D4202" s="4" t="s">
        <v>28</v>
      </c>
      <c r="E4202" s="3" t="s">
        <v>131</v>
      </c>
      <c r="F4202" s="4" t="str">
        <f aca="false">IF(I4202&gt;J4202,"Y","N")</f>
        <v>Y</v>
      </c>
      <c r="G4202" s="3" t="s">
        <v>36</v>
      </c>
      <c r="H4202" s="3" t="s">
        <v>37</v>
      </c>
      <c r="I4202" s="4" t="n">
        <v>15</v>
      </c>
      <c r="J4202" s="4" t="n">
        <f aca="false">LEN(E4202)-LEN(SUBSTITUTE(E4202,",",""))+1</f>
        <v>7</v>
      </c>
      <c r="K4202" s="3" t="str">
        <f aca="false">IFERROR(INDEX('Teacher Lookup'!$B$2:$B$200,MATCH(A4202,'Teacher Lookup'!$A$2:$A$200,0)),"")</f>
        <v>LAM Gary</v>
      </c>
    </row>
    <row r="4203" customFormat="false" ht="15" hidden="false" customHeight="false" outlineLevel="0" collapsed="false">
      <c r="A4203" s="3" t="s">
        <v>424</v>
      </c>
      <c r="B4203" s="4" t="s">
        <v>31</v>
      </c>
      <c r="C4203" s="4" t="n">
        <v>5</v>
      </c>
      <c r="D4203" s="4" t="s">
        <v>29</v>
      </c>
      <c r="E4203" s="3" t="s">
        <v>131</v>
      </c>
      <c r="F4203" s="4" t="str">
        <f aca="false">IF(I4203&gt;J4203,"Y","N")</f>
        <v>Y</v>
      </c>
      <c r="G4203" s="3" t="s">
        <v>36</v>
      </c>
      <c r="H4203" s="3" t="s">
        <v>37</v>
      </c>
      <c r="I4203" s="4" t="n">
        <v>15</v>
      </c>
      <c r="J4203" s="4" t="n">
        <f aca="false">LEN(E4203)-LEN(SUBSTITUTE(E4203,",",""))+1</f>
        <v>7</v>
      </c>
      <c r="K4203" s="3" t="str">
        <f aca="false">IFERROR(INDEX('Teacher Lookup'!$B$2:$B$200,MATCH(A4203,'Teacher Lookup'!$A$2:$A$200,0)),"")</f>
        <v>LAM Gary</v>
      </c>
    </row>
    <row r="4204" customFormat="false" ht="15" hidden="false" customHeight="false" outlineLevel="0" collapsed="false">
      <c r="A4204" s="3" t="s">
        <v>424</v>
      </c>
      <c r="B4204" s="4" t="s">
        <v>31</v>
      </c>
      <c r="C4204" s="4" t="n">
        <v>5</v>
      </c>
      <c r="D4204" s="4" t="s">
        <v>30</v>
      </c>
      <c r="E4204" s="3" t="s">
        <v>131</v>
      </c>
      <c r="F4204" s="4" t="str">
        <f aca="false">IF(I4204&gt;J4204,"Y","N")</f>
        <v>Y</v>
      </c>
      <c r="G4204" s="3" t="s">
        <v>36</v>
      </c>
      <c r="H4204" s="3" t="s">
        <v>37</v>
      </c>
      <c r="I4204" s="4" t="n">
        <v>15</v>
      </c>
      <c r="J4204" s="4" t="n">
        <f aca="false">LEN(E4204)-LEN(SUBSTITUTE(E4204,",",""))+1</f>
        <v>7</v>
      </c>
      <c r="K4204" s="3" t="str">
        <f aca="false">IFERROR(INDEX('Teacher Lookup'!$B$2:$B$200,MATCH(A4204,'Teacher Lookup'!$A$2:$A$200,0)),"")</f>
        <v>LAM Gary</v>
      </c>
    </row>
    <row r="4205" customFormat="false" ht="15" hidden="false" customHeight="false" outlineLevel="0" collapsed="false">
      <c r="A4205" s="3" t="s">
        <v>424</v>
      </c>
      <c r="B4205" s="4" t="s">
        <v>40</v>
      </c>
      <c r="C4205" s="4" t="n">
        <v>4</v>
      </c>
      <c r="D4205" s="4" t="s">
        <v>24</v>
      </c>
      <c r="E4205" s="3" t="s">
        <v>379</v>
      </c>
      <c r="F4205" s="4" t="str">
        <f aca="false">IF(I4205&gt;J4205,"Y","N")</f>
        <v>Y</v>
      </c>
      <c r="G4205" s="3" t="s">
        <v>378</v>
      </c>
      <c r="H4205" s="3" t="s">
        <v>34</v>
      </c>
      <c r="I4205" s="4" t="n">
        <v>9</v>
      </c>
      <c r="J4205" s="4" t="n">
        <f aca="false">LEN(E4205)-LEN(SUBSTITUTE(E4205,",",""))+1</f>
        <v>8</v>
      </c>
      <c r="K4205" s="3" t="str">
        <f aca="false">IFERROR(INDEX('Teacher Lookup'!$B$2:$B$200,MATCH(A4205,'Teacher Lookup'!$A$2:$A$200,0)),"")</f>
        <v>LAM Gary</v>
      </c>
    </row>
    <row r="4206" customFormat="false" ht="15" hidden="false" customHeight="false" outlineLevel="0" collapsed="false">
      <c r="A4206" s="3" t="s">
        <v>424</v>
      </c>
      <c r="B4206" s="4" t="s">
        <v>40</v>
      </c>
      <c r="C4206" s="4" t="n">
        <v>4</v>
      </c>
      <c r="D4206" s="4" t="s">
        <v>27</v>
      </c>
      <c r="E4206" s="3" t="s">
        <v>379</v>
      </c>
      <c r="F4206" s="4" t="str">
        <f aca="false">IF(I4206&gt;J4206,"Y","N")</f>
        <v>Y</v>
      </c>
      <c r="G4206" s="3" t="s">
        <v>378</v>
      </c>
      <c r="H4206" s="3" t="s">
        <v>34</v>
      </c>
      <c r="I4206" s="4" t="n">
        <v>9</v>
      </c>
      <c r="J4206" s="4" t="n">
        <f aca="false">LEN(E4206)-LEN(SUBSTITUTE(E4206,",",""))+1</f>
        <v>8</v>
      </c>
      <c r="K4206" s="3" t="str">
        <f aca="false">IFERROR(INDEX('Teacher Lookup'!$B$2:$B$200,MATCH(A4206,'Teacher Lookup'!$A$2:$A$200,0)),"")</f>
        <v>LAM Gary</v>
      </c>
    </row>
    <row r="4207" customFormat="false" ht="15" hidden="false" customHeight="false" outlineLevel="0" collapsed="false">
      <c r="A4207" s="3" t="s">
        <v>424</v>
      </c>
      <c r="B4207" s="4" t="s">
        <v>40</v>
      </c>
      <c r="C4207" s="4" t="n">
        <v>4</v>
      </c>
      <c r="D4207" s="4" t="s">
        <v>28</v>
      </c>
      <c r="E4207" s="3" t="s">
        <v>379</v>
      </c>
      <c r="F4207" s="4" t="str">
        <f aca="false">IF(I4207&gt;J4207,"Y","N")</f>
        <v>Y</v>
      </c>
      <c r="G4207" s="3" t="s">
        <v>378</v>
      </c>
      <c r="H4207" s="3" t="s">
        <v>34</v>
      </c>
      <c r="I4207" s="4" t="n">
        <v>9</v>
      </c>
      <c r="J4207" s="4" t="n">
        <f aca="false">LEN(E4207)-LEN(SUBSTITUTE(E4207,",",""))+1</f>
        <v>8</v>
      </c>
      <c r="K4207" s="3" t="str">
        <f aca="false">IFERROR(INDEX('Teacher Lookup'!$B$2:$B$200,MATCH(A4207,'Teacher Lookup'!$A$2:$A$200,0)),"")</f>
        <v>LAM Gary</v>
      </c>
    </row>
    <row r="4208" customFormat="false" ht="15" hidden="false" customHeight="false" outlineLevel="0" collapsed="false">
      <c r="A4208" s="3" t="s">
        <v>424</v>
      </c>
      <c r="B4208" s="4" t="s">
        <v>40</v>
      </c>
      <c r="C4208" s="4" t="n">
        <v>4</v>
      </c>
      <c r="D4208" s="4" t="s">
        <v>29</v>
      </c>
      <c r="E4208" s="3" t="s">
        <v>379</v>
      </c>
      <c r="F4208" s="4" t="str">
        <f aca="false">IF(I4208&gt;J4208,"Y","N")</f>
        <v>Y</v>
      </c>
      <c r="G4208" s="3" t="s">
        <v>378</v>
      </c>
      <c r="H4208" s="3" t="s">
        <v>34</v>
      </c>
      <c r="I4208" s="4" t="n">
        <v>9</v>
      </c>
      <c r="J4208" s="4" t="n">
        <f aca="false">LEN(E4208)-LEN(SUBSTITUTE(E4208,",",""))+1</f>
        <v>8</v>
      </c>
      <c r="K4208" s="3" t="str">
        <f aca="false">IFERROR(INDEX('Teacher Lookup'!$B$2:$B$200,MATCH(A4208,'Teacher Lookup'!$A$2:$A$200,0)),"")</f>
        <v>LAM Gary</v>
      </c>
    </row>
    <row r="4209" customFormat="false" ht="15" hidden="false" customHeight="false" outlineLevel="0" collapsed="false">
      <c r="A4209" s="3" t="s">
        <v>424</v>
      </c>
      <c r="B4209" s="4" t="s">
        <v>40</v>
      </c>
      <c r="C4209" s="4" t="n">
        <v>4</v>
      </c>
      <c r="D4209" s="4" t="s">
        <v>30</v>
      </c>
      <c r="E4209" s="3" t="s">
        <v>379</v>
      </c>
      <c r="F4209" s="4" t="str">
        <f aca="false">IF(I4209&gt;J4209,"Y","N")</f>
        <v>Y</v>
      </c>
      <c r="G4209" s="3" t="s">
        <v>378</v>
      </c>
      <c r="H4209" s="3" t="s">
        <v>34</v>
      </c>
      <c r="I4209" s="4" t="n">
        <v>9</v>
      </c>
      <c r="J4209" s="4" t="n">
        <f aca="false">LEN(E4209)-LEN(SUBSTITUTE(E4209,",",""))+1</f>
        <v>8</v>
      </c>
      <c r="K4209" s="3" t="str">
        <f aca="false">IFERROR(INDEX('Teacher Lookup'!$B$2:$B$200,MATCH(A4209,'Teacher Lookup'!$A$2:$A$200,0)),"")</f>
        <v>LAM Gary</v>
      </c>
    </row>
    <row r="4210" customFormat="false" ht="15" hidden="false" customHeight="false" outlineLevel="0" collapsed="false">
      <c r="A4210" s="3" t="s">
        <v>424</v>
      </c>
      <c r="B4210" s="4" t="s">
        <v>44</v>
      </c>
      <c r="C4210" s="4" t="n">
        <v>1</v>
      </c>
      <c r="D4210" s="4" t="s">
        <v>24</v>
      </c>
      <c r="E4210" s="3" t="s">
        <v>380</v>
      </c>
      <c r="F4210" s="4" t="str">
        <f aca="false">IF(I4210&gt;J4210,"Y","N")</f>
        <v>Y</v>
      </c>
      <c r="G4210" s="3" t="s">
        <v>378</v>
      </c>
      <c r="H4210" s="3" t="s">
        <v>16</v>
      </c>
      <c r="I4210" s="4" t="n">
        <v>9</v>
      </c>
      <c r="J4210" s="4" t="n">
        <f aca="false">LEN(E4210)-LEN(SUBSTITUTE(E4210,",",""))+1</f>
        <v>8</v>
      </c>
      <c r="K4210" s="3" t="str">
        <f aca="false">IFERROR(INDEX('Teacher Lookup'!$B$2:$B$200,MATCH(A4210,'Teacher Lookup'!$A$2:$A$200,0)),"")</f>
        <v>LAM Gary</v>
      </c>
    </row>
    <row r="4211" customFormat="false" ht="15" hidden="false" customHeight="false" outlineLevel="0" collapsed="false">
      <c r="A4211" s="3" t="s">
        <v>424</v>
      </c>
      <c r="B4211" s="4" t="s">
        <v>44</v>
      </c>
      <c r="C4211" s="4" t="n">
        <v>1</v>
      </c>
      <c r="D4211" s="4" t="s">
        <v>27</v>
      </c>
      <c r="E4211" s="3" t="s">
        <v>380</v>
      </c>
      <c r="F4211" s="4" t="str">
        <f aca="false">IF(I4211&gt;J4211,"Y","N")</f>
        <v>Y</v>
      </c>
      <c r="G4211" s="3" t="s">
        <v>378</v>
      </c>
      <c r="H4211" s="3" t="s">
        <v>16</v>
      </c>
      <c r="I4211" s="4" t="n">
        <v>9</v>
      </c>
      <c r="J4211" s="4" t="n">
        <f aca="false">LEN(E4211)-LEN(SUBSTITUTE(E4211,",",""))+1</f>
        <v>8</v>
      </c>
      <c r="K4211" s="3" t="str">
        <f aca="false">IFERROR(INDEX('Teacher Lookup'!$B$2:$B$200,MATCH(A4211,'Teacher Lookup'!$A$2:$A$200,0)),"")</f>
        <v>LAM Gary</v>
      </c>
    </row>
    <row r="4212" customFormat="false" ht="15" hidden="false" customHeight="false" outlineLevel="0" collapsed="false">
      <c r="A4212" s="3" t="s">
        <v>424</v>
      </c>
      <c r="B4212" s="4" t="s">
        <v>44</v>
      </c>
      <c r="C4212" s="4" t="n">
        <v>1</v>
      </c>
      <c r="D4212" s="4" t="s">
        <v>28</v>
      </c>
      <c r="E4212" s="3" t="s">
        <v>380</v>
      </c>
      <c r="F4212" s="4" t="str">
        <f aca="false">IF(I4212&gt;J4212,"Y","N")</f>
        <v>Y</v>
      </c>
      <c r="G4212" s="3" t="s">
        <v>378</v>
      </c>
      <c r="H4212" s="3" t="s">
        <v>16</v>
      </c>
      <c r="I4212" s="4" t="n">
        <v>9</v>
      </c>
      <c r="J4212" s="4" t="n">
        <f aca="false">LEN(E4212)-LEN(SUBSTITUTE(E4212,",",""))+1</f>
        <v>8</v>
      </c>
      <c r="K4212" s="3" t="str">
        <f aca="false">IFERROR(INDEX('Teacher Lookup'!$B$2:$B$200,MATCH(A4212,'Teacher Lookup'!$A$2:$A$200,0)),"")</f>
        <v>LAM Gary</v>
      </c>
    </row>
    <row r="4213" customFormat="false" ht="15" hidden="false" customHeight="false" outlineLevel="0" collapsed="false">
      <c r="A4213" s="3" t="s">
        <v>424</v>
      </c>
      <c r="B4213" s="4" t="s">
        <v>44</v>
      </c>
      <c r="C4213" s="4" t="n">
        <v>1</v>
      </c>
      <c r="D4213" s="4" t="s">
        <v>29</v>
      </c>
      <c r="E4213" s="3" t="s">
        <v>380</v>
      </c>
      <c r="F4213" s="4" t="str">
        <f aca="false">IF(I4213&gt;J4213,"Y","N")</f>
        <v>Y</v>
      </c>
      <c r="G4213" s="3" t="s">
        <v>378</v>
      </c>
      <c r="H4213" s="3" t="s">
        <v>16</v>
      </c>
      <c r="I4213" s="4" t="n">
        <v>9</v>
      </c>
      <c r="J4213" s="4" t="n">
        <f aca="false">LEN(E4213)-LEN(SUBSTITUTE(E4213,",",""))+1</f>
        <v>8</v>
      </c>
      <c r="K4213" s="3" t="str">
        <f aca="false">IFERROR(INDEX('Teacher Lookup'!$B$2:$B$200,MATCH(A4213,'Teacher Lookup'!$A$2:$A$200,0)),"")</f>
        <v>LAM Gary</v>
      </c>
    </row>
    <row r="4214" customFormat="false" ht="15" hidden="false" customHeight="false" outlineLevel="0" collapsed="false">
      <c r="A4214" s="3" t="s">
        <v>424</v>
      </c>
      <c r="B4214" s="4" t="s">
        <v>44</v>
      </c>
      <c r="C4214" s="4" t="n">
        <v>1</v>
      </c>
      <c r="D4214" s="4" t="s">
        <v>30</v>
      </c>
      <c r="E4214" s="3" t="s">
        <v>380</v>
      </c>
      <c r="F4214" s="4" t="str">
        <f aca="false">IF(I4214&gt;J4214,"Y","N")</f>
        <v>Y</v>
      </c>
      <c r="G4214" s="3" t="s">
        <v>378</v>
      </c>
      <c r="H4214" s="3" t="s">
        <v>16</v>
      </c>
      <c r="I4214" s="4" t="n">
        <v>9</v>
      </c>
      <c r="J4214" s="4" t="n">
        <f aca="false">LEN(E4214)-LEN(SUBSTITUTE(E4214,",",""))+1</f>
        <v>8</v>
      </c>
      <c r="K4214" s="3" t="str">
        <f aca="false">IFERROR(INDEX('Teacher Lookup'!$B$2:$B$200,MATCH(A4214,'Teacher Lookup'!$A$2:$A$200,0)),"")</f>
        <v>LAM Gary</v>
      </c>
    </row>
    <row r="4215" customFormat="false" ht="15" hidden="false" customHeight="false" outlineLevel="0" collapsed="false">
      <c r="A4215" s="3" t="s">
        <v>424</v>
      </c>
      <c r="B4215" s="4" t="s">
        <v>44</v>
      </c>
      <c r="C4215" s="4" t="n">
        <v>5</v>
      </c>
      <c r="D4215" s="4" t="s">
        <v>24</v>
      </c>
      <c r="E4215" s="3" t="s">
        <v>131</v>
      </c>
      <c r="F4215" s="4" t="str">
        <f aca="false">IF(I4215&gt;J4215,"Y","N")</f>
        <v>Y</v>
      </c>
      <c r="G4215" s="3" t="s">
        <v>36</v>
      </c>
      <c r="H4215" s="3" t="s">
        <v>37</v>
      </c>
      <c r="I4215" s="4" t="n">
        <v>15</v>
      </c>
      <c r="J4215" s="4" t="n">
        <f aca="false">LEN(E4215)-LEN(SUBSTITUTE(E4215,",",""))+1</f>
        <v>7</v>
      </c>
      <c r="K4215" s="3" t="str">
        <f aca="false">IFERROR(INDEX('Teacher Lookup'!$B$2:$B$200,MATCH(A4215,'Teacher Lookup'!$A$2:$A$200,0)),"")</f>
        <v>LAM Gary</v>
      </c>
    </row>
    <row r="4216" customFormat="false" ht="15" hidden="false" customHeight="false" outlineLevel="0" collapsed="false">
      <c r="A4216" s="3" t="s">
        <v>424</v>
      </c>
      <c r="B4216" s="4" t="s">
        <v>44</v>
      </c>
      <c r="C4216" s="4" t="n">
        <v>5</v>
      </c>
      <c r="D4216" s="4" t="s">
        <v>132</v>
      </c>
      <c r="E4216" s="3" t="s">
        <v>131</v>
      </c>
      <c r="F4216" s="4" t="str">
        <f aca="false">IF(I4216&gt;J4216,"Y","N")</f>
        <v>Y</v>
      </c>
      <c r="G4216" s="3" t="s">
        <v>36</v>
      </c>
      <c r="H4216" s="3" t="s">
        <v>37</v>
      </c>
      <c r="I4216" s="4" t="n">
        <v>15</v>
      </c>
      <c r="J4216" s="4" t="n">
        <f aca="false">LEN(E4216)-LEN(SUBSTITUTE(E4216,",",""))+1</f>
        <v>7</v>
      </c>
      <c r="K4216" s="3" t="str">
        <f aca="false">IFERROR(INDEX('Teacher Lookup'!$B$2:$B$200,MATCH(A4216,'Teacher Lookup'!$A$2:$A$200,0)),"")</f>
        <v>LAM Gary</v>
      </c>
    </row>
    <row r="4217" customFormat="false" ht="15" hidden="false" customHeight="false" outlineLevel="0" collapsed="false">
      <c r="A4217" s="3" t="s">
        <v>424</v>
      </c>
      <c r="B4217" s="4" t="s">
        <v>44</v>
      </c>
      <c r="C4217" s="4" t="n">
        <v>5</v>
      </c>
      <c r="D4217" s="4" t="s">
        <v>27</v>
      </c>
      <c r="E4217" s="3" t="s">
        <v>131</v>
      </c>
      <c r="F4217" s="4" t="str">
        <f aca="false">IF(I4217&gt;J4217,"Y","N")</f>
        <v>Y</v>
      </c>
      <c r="G4217" s="3" t="s">
        <v>36</v>
      </c>
      <c r="H4217" s="3" t="s">
        <v>37</v>
      </c>
      <c r="I4217" s="4" t="n">
        <v>15</v>
      </c>
      <c r="J4217" s="4" t="n">
        <f aca="false">LEN(E4217)-LEN(SUBSTITUTE(E4217,",",""))+1</f>
        <v>7</v>
      </c>
      <c r="K4217" s="3" t="str">
        <f aca="false">IFERROR(INDEX('Teacher Lookup'!$B$2:$B$200,MATCH(A4217,'Teacher Lookup'!$A$2:$A$200,0)),"")</f>
        <v>LAM Gary</v>
      </c>
    </row>
    <row r="4218" customFormat="false" ht="15" hidden="false" customHeight="false" outlineLevel="0" collapsed="false">
      <c r="A4218" s="3" t="s">
        <v>424</v>
      </c>
      <c r="B4218" s="4" t="s">
        <v>44</v>
      </c>
      <c r="C4218" s="4" t="n">
        <v>5</v>
      </c>
      <c r="D4218" s="4" t="s">
        <v>28</v>
      </c>
      <c r="E4218" s="3" t="s">
        <v>131</v>
      </c>
      <c r="F4218" s="4" t="str">
        <f aca="false">IF(I4218&gt;J4218,"Y","N")</f>
        <v>Y</v>
      </c>
      <c r="G4218" s="3" t="s">
        <v>36</v>
      </c>
      <c r="H4218" s="3" t="s">
        <v>37</v>
      </c>
      <c r="I4218" s="4" t="n">
        <v>15</v>
      </c>
      <c r="J4218" s="4" t="n">
        <f aca="false">LEN(E4218)-LEN(SUBSTITUTE(E4218,",",""))+1</f>
        <v>7</v>
      </c>
      <c r="K4218" s="3" t="str">
        <f aca="false">IFERROR(INDEX('Teacher Lookup'!$B$2:$B$200,MATCH(A4218,'Teacher Lookup'!$A$2:$A$200,0)),"")</f>
        <v>LAM Gary</v>
      </c>
    </row>
    <row r="4219" customFormat="false" ht="15" hidden="false" customHeight="false" outlineLevel="0" collapsed="false">
      <c r="A4219" s="3" t="s">
        <v>424</v>
      </c>
      <c r="B4219" s="4" t="s">
        <v>44</v>
      </c>
      <c r="C4219" s="4" t="n">
        <v>5</v>
      </c>
      <c r="D4219" s="4" t="s">
        <v>29</v>
      </c>
      <c r="E4219" s="3" t="s">
        <v>131</v>
      </c>
      <c r="F4219" s="4" t="str">
        <f aca="false">IF(I4219&gt;J4219,"Y","N")</f>
        <v>Y</v>
      </c>
      <c r="G4219" s="3" t="s">
        <v>36</v>
      </c>
      <c r="H4219" s="3" t="s">
        <v>37</v>
      </c>
      <c r="I4219" s="4" t="n">
        <v>15</v>
      </c>
      <c r="J4219" s="4" t="n">
        <f aca="false">LEN(E4219)-LEN(SUBSTITUTE(E4219,",",""))+1</f>
        <v>7</v>
      </c>
      <c r="K4219" s="3" t="str">
        <f aca="false">IFERROR(INDEX('Teacher Lookup'!$B$2:$B$200,MATCH(A4219,'Teacher Lookup'!$A$2:$A$200,0)),"")</f>
        <v>LAM Gary</v>
      </c>
    </row>
    <row r="4220" customFormat="false" ht="15" hidden="false" customHeight="false" outlineLevel="0" collapsed="false">
      <c r="A4220" s="3" t="s">
        <v>424</v>
      </c>
      <c r="B4220" s="4" t="s">
        <v>44</v>
      </c>
      <c r="C4220" s="4" t="n">
        <v>5</v>
      </c>
      <c r="D4220" s="4" t="s">
        <v>30</v>
      </c>
      <c r="E4220" s="3" t="s">
        <v>131</v>
      </c>
      <c r="F4220" s="4" t="str">
        <f aca="false">IF(I4220&gt;J4220,"Y","N")</f>
        <v>Y</v>
      </c>
      <c r="G4220" s="3" t="s">
        <v>36</v>
      </c>
      <c r="H4220" s="3" t="s">
        <v>37</v>
      </c>
      <c r="I4220" s="4" t="n">
        <v>15</v>
      </c>
      <c r="J4220" s="4" t="n">
        <f aca="false">LEN(E4220)-LEN(SUBSTITUTE(E4220,",",""))+1</f>
        <v>7</v>
      </c>
      <c r="K4220" s="3" t="str">
        <f aca="false">IFERROR(INDEX('Teacher Lookup'!$B$2:$B$200,MATCH(A4220,'Teacher Lookup'!$A$2:$A$200,0)),"")</f>
        <v>LAM Gary</v>
      </c>
    </row>
    <row r="4221" customFormat="false" ht="15" hidden="false" customHeight="false" outlineLevel="0" collapsed="false">
      <c r="A4221" s="3" t="s">
        <v>424</v>
      </c>
      <c r="B4221" s="4" t="s">
        <v>47</v>
      </c>
      <c r="C4221" s="4" t="n">
        <v>3</v>
      </c>
      <c r="D4221" s="4" t="s">
        <v>24</v>
      </c>
      <c r="E4221" s="3" t="s">
        <v>381</v>
      </c>
      <c r="F4221" s="4" t="str">
        <f aca="false">IF(I4221&gt;J4221,"Y","N")</f>
        <v>N</v>
      </c>
      <c r="G4221" s="3" t="s">
        <v>378</v>
      </c>
      <c r="H4221" s="3" t="s">
        <v>26</v>
      </c>
      <c r="I4221" s="4" t="n">
        <v>8</v>
      </c>
      <c r="J4221" s="4" t="n">
        <f aca="false">LEN(E4221)-LEN(SUBSTITUTE(E4221,",",""))+1</f>
        <v>8</v>
      </c>
      <c r="K4221" s="3" t="str">
        <f aca="false">IFERROR(INDEX('Teacher Lookup'!$B$2:$B$200,MATCH(A4221,'Teacher Lookup'!$A$2:$A$200,0)),"")</f>
        <v>LAM Gary</v>
      </c>
    </row>
    <row r="4222" customFormat="false" ht="15" hidden="false" customHeight="false" outlineLevel="0" collapsed="false">
      <c r="A4222" s="3" t="s">
        <v>424</v>
      </c>
      <c r="B4222" s="4" t="s">
        <v>47</v>
      </c>
      <c r="C4222" s="4" t="n">
        <v>3</v>
      </c>
      <c r="D4222" s="4" t="s">
        <v>27</v>
      </c>
      <c r="E4222" s="3" t="s">
        <v>381</v>
      </c>
      <c r="F4222" s="4" t="str">
        <f aca="false">IF(I4222&gt;J4222,"Y","N")</f>
        <v>N</v>
      </c>
      <c r="G4222" s="3" t="s">
        <v>378</v>
      </c>
      <c r="H4222" s="3" t="s">
        <v>26</v>
      </c>
      <c r="I4222" s="4" t="n">
        <v>8</v>
      </c>
      <c r="J4222" s="4" t="n">
        <f aca="false">LEN(E4222)-LEN(SUBSTITUTE(E4222,",",""))+1</f>
        <v>8</v>
      </c>
      <c r="K4222" s="3" t="str">
        <f aca="false">IFERROR(INDEX('Teacher Lookup'!$B$2:$B$200,MATCH(A4222,'Teacher Lookup'!$A$2:$A$200,0)),"")</f>
        <v>LAM Gary</v>
      </c>
    </row>
    <row r="4223" customFormat="false" ht="15" hidden="false" customHeight="false" outlineLevel="0" collapsed="false">
      <c r="A4223" s="3" t="s">
        <v>424</v>
      </c>
      <c r="B4223" s="4" t="s">
        <v>47</v>
      </c>
      <c r="C4223" s="4" t="n">
        <v>3</v>
      </c>
      <c r="D4223" s="4" t="s">
        <v>28</v>
      </c>
      <c r="E4223" s="3" t="s">
        <v>381</v>
      </c>
      <c r="F4223" s="4" t="str">
        <f aca="false">IF(I4223&gt;J4223,"Y","N")</f>
        <v>N</v>
      </c>
      <c r="G4223" s="3" t="s">
        <v>378</v>
      </c>
      <c r="H4223" s="3" t="s">
        <v>26</v>
      </c>
      <c r="I4223" s="4" t="n">
        <v>8</v>
      </c>
      <c r="J4223" s="4" t="n">
        <f aca="false">LEN(E4223)-LEN(SUBSTITUTE(E4223,",",""))+1</f>
        <v>8</v>
      </c>
      <c r="K4223" s="3" t="str">
        <f aca="false">IFERROR(INDEX('Teacher Lookup'!$B$2:$B$200,MATCH(A4223,'Teacher Lookup'!$A$2:$A$200,0)),"")</f>
        <v>LAM Gary</v>
      </c>
    </row>
    <row r="4224" customFormat="false" ht="15" hidden="false" customHeight="false" outlineLevel="0" collapsed="false">
      <c r="A4224" s="3" t="s">
        <v>424</v>
      </c>
      <c r="B4224" s="4" t="s">
        <v>47</v>
      </c>
      <c r="C4224" s="4" t="n">
        <v>3</v>
      </c>
      <c r="D4224" s="4" t="s">
        <v>29</v>
      </c>
      <c r="E4224" s="3" t="s">
        <v>381</v>
      </c>
      <c r="F4224" s="4" t="str">
        <f aca="false">IF(I4224&gt;J4224,"Y","N")</f>
        <v>N</v>
      </c>
      <c r="G4224" s="3" t="s">
        <v>378</v>
      </c>
      <c r="H4224" s="3" t="s">
        <v>26</v>
      </c>
      <c r="I4224" s="4" t="n">
        <v>8</v>
      </c>
      <c r="J4224" s="4" t="n">
        <f aca="false">LEN(E4224)-LEN(SUBSTITUTE(E4224,",",""))+1</f>
        <v>8</v>
      </c>
      <c r="K4224" s="3" t="str">
        <f aca="false">IFERROR(INDEX('Teacher Lookup'!$B$2:$B$200,MATCH(A4224,'Teacher Lookup'!$A$2:$A$200,0)),"")</f>
        <v>LAM Gary</v>
      </c>
    </row>
    <row r="4225" customFormat="false" ht="15" hidden="false" customHeight="false" outlineLevel="0" collapsed="false">
      <c r="A4225" s="3" t="s">
        <v>424</v>
      </c>
      <c r="B4225" s="4" t="s">
        <v>47</v>
      </c>
      <c r="C4225" s="4" t="n">
        <v>3</v>
      </c>
      <c r="D4225" s="4" t="s">
        <v>30</v>
      </c>
      <c r="E4225" s="3" t="s">
        <v>381</v>
      </c>
      <c r="F4225" s="4" t="str">
        <f aca="false">IF(I4225&gt;J4225,"Y","N")</f>
        <v>N</v>
      </c>
      <c r="G4225" s="3" t="s">
        <v>378</v>
      </c>
      <c r="H4225" s="3" t="s">
        <v>26</v>
      </c>
      <c r="I4225" s="4" t="n">
        <v>8</v>
      </c>
      <c r="J4225" s="4" t="n">
        <f aca="false">LEN(E4225)-LEN(SUBSTITUTE(E4225,",",""))+1</f>
        <v>8</v>
      </c>
      <c r="K4225" s="3" t="str">
        <f aca="false">IFERROR(INDEX('Teacher Lookup'!$B$2:$B$200,MATCH(A4225,'Teacher Lookup'!$A$2:$A$200,0)),"")</f>
        <v>LAM Gary</v>
      </c>
    </row>
    <row r="4226" customFormat="false" ht="15" hidden="false" customHeight="false" outlineLevel="0" collapsed="false">
      <c r="A4226" s="3" t="s">
        <v>424</v>
      </c>
      <c r="B4226" s="4" t="s">
        <v>47</v>
      </c>
      <c r="C4226" s="4" t="n">
        <v>4</v>
      </c>
      <c r="D4226" s="4" t="s">
        <v>24</v>
      </c>
      <c r="E4226" s="3" t="s">
        <v>381</v>
      </c>
      <c r="F4226" s="4" t="str">
        <f aca="false">IF(I4226&gt;J4226,"Y","N")</f>
        <v>N</v>
      </c>
      <c r="G4226" s="3" t="s">
        <v>378</v>
      </c>
      <c r="H4226" s="3" t="s">
        <v>34</v>
      </c>
      <c r="I4226" s="4" t="n">
        <v>8</v>
      </c>
      <c r="J4226" s="4" t="n">
        <f aca="false">LEN(E4226)-LEN(SUBSTITUTE(E4226,",",""))+1</f>
        <v>8</v>
      </c>
      <c r="K4226" s="3" t="str">
        <f aca="false">IFERROR(INDEX('Teacher Lookup'!$B$2:$B$200,MATCH(A4226,'Teacher Lookup'!$A$2:$A$200,0)),"")</f>
        <v>LAM Gary</v>
      </c>
    </row>
    <row r="4227" customFormat="false" ht="15" hidden="false" customHeight="false" outlineLevel="0" collapsed="false">
      <c r="A4227" s="3" t="s">
        <v>424</v>
      </c>
      <c r="B4227" s="4" t="s">
        <v>47</v>
      </c>
      <c r="C4227" s="4" t="n">
        <v>4</v>
      </c>
      <c r="D4227" s="4" t="s">
        <v>27</v>
      </c>
      <c r="E4227" s="3" t="s">
        <v>381</v>
      </c>
      <c r="F4227" s="4" t="str">
        <f aca="false">IF(I4227&gt;J4227,"Y","N")</f>
        <v>N</v>
      </c>
      <c r="G4227" s="3" t="s">
        <v>378</v>
      </c>
      <c r="H4227" s="3" t="s">
        <v>34</v>
      </c>
      <c r="I4227" s="4" t="n">
        <v>8</v>
      </c>
      <c r="J4227" s="4" t="n">
        <f aca="false">LEN(E4227)-LEN(SUBSTITUTE(E4227,",",""))+1</f>
        <v>8</v>
      </c>
      <c r="K4227" s="3" t="str">
        <f aca="false">IFERROR(INDEX('Teacher Lookup'!$B$2:$B$200,MATCH(A4227,'Teacher Lookup'!$A$2:$A$200,0)),"")</f>
        <v>LAM Gary</v>
      </c>
    </row>
    <row r="4228" customFormat="false" ht="15" hidden="false" customHeight="false" outlineLevel="0" collapsed="false">
      <c r="A4228" s="3" t="s">
        <v>424</v>
      </c>
      <c r="B4228" s="4" t="s">
        <v>47</v>
      </c>
      <c r="C4228" s="4" t="n">
        <v>4</v>
      </c>
      <c r="D4228" s="4" t="s">
        <v>28</v>
      </c>
      <c r="E4228" s="3" t="s">
        <v>381</v>
      </c>
      <c r="F4228" s="4" t="str">
        <f aca="false">IF(I4228&gt;J4228,"Y","N")</f>
        <v>N</v>
      </c>
      <c r="G4228" s="3" t="s">
        <v>378</v>
      </c>
      <c r="H4228" s="3" t="s">
        <v>34</v>
      </c>
      <c r="I4228" s="4" t="n">
        <v>8</v>
      </c>
      <c r="J4228" s="4" t="n">
        <f aca="false">LEN(E4228)-LEN(SUBSTITUTE(E4228,",",""))+1</f>
        <v>8</v>
      </c>
      <c r="K4228" s="3" t="str">
        <f aca="false">IFERROR(INDEX('Teacher Lookup'!$B$2:$B$200,MATCH(A4228,'Teacher Lookup'!$A$2:$A$200,0)),"")</f>
        <v>LAM Gary</v>
      </c>
    </row>
    <row r="4229" customFormat="false" ht="15" hidden="false" customHeight="false" outlineLevel="0" collapsed="false">
      <c r="A4229" s="3" t="s">
        <v>424</v>
      </c>
      <c r="B4229" s="4" t="s">
        <v>47</v>
      </c>
      <c r="C4229" s="4" t="n">
        <v>4</v>
      </c>
      <c r="D4229" s="4" t="s">
        <v>29</v>
      </c>
      <c r="E4229" s="3" t="s">
        <v>381</v>
      </c>
      <c r="F4229" s="4" t="str">
        <f aca="false">IF(I4229&gt;J4229,"Y","N")</f>
        <v>N</v>
      </c>
      <c r="G4229" s="3" t="s">
        <v>378</v>
      </c>
      <c r="H4229" s="3" t="s">
        <v>34</v>
      </c>
      <c r="I4229" s="4" t="n">
        <v>8</v>
      </c>
      <c r="J4229" s="4" t="n">
        <f aca="false">LEN(E4229)-LEN(SUBSTITUTE(E4229,",",""))+1</f>
        <v>8</v>
      </c>
      <c r="K4229" s="3" t="str">
        <f aca="false">IFERROR(INDEX('Teacher Lookup'!$B$2:$B$200,MATCH(A4229,'Teacher Lookup'!$A$2:$A$200,0)),"")</f>
        <v>LAM Gary</v>
      </c>
    </row>
    <row r="4230" customFormat="false" ht="15" hidden="false" customHeight="false" outlineLevel="0" collapsed="false">
      <c r="A4230" s="3" t="s">
        <v>424</v>
      </c>
      <c r="B4230" s="4" t="s">
        <v>47</v>
      </c>
      <c r="C4230" s="4" t="n">
        <v>4</v>
      </c>
      <c r="D4230" s="4" t="s">
        <v>30</v>
      </c>
      <c r="E4230" s="3" t="s">
        <v>381</v>
      </c>
      <c r="F4230" s="4" t="str">
        <f aca="false">IF(I4230&gt;J4230,"Y","N")</f>
        <v>N</v>
      </c>
      <c r="G4230" s="3" t="s">
        <v>378</v>
      </c>
      <c r="H4230" s="3" t="s">
        <v>34</v>
      </c>
      <c r="I4230" s="4" t="n">
        <v>8</v>
      </c>
      <c r="J4230" s="4" t="n">
        <f aca="false">LEN(E4230)-LEN(SUBSTITUTE(E4230,",",""))+1</f>
        <v>8</v>
      </c>
      <c r="K4230" s="3" t="str">
        <f aca="false">IFERROR(INDEX('Teacher Lookup'!$B$2:$B$200,MATCH(A4230,'Teacher Lookup'!$A$2:$A$200,0)),"")</f>
        <v>LAM Gary</v>
      </c>
    </row>
    <row r="4231" customFormat="false" ht="15" hidden="false" customHeight="false" outlineLevel="0" collapsed="false">
      <c r="A4231" s="3" t="s">
        <v>424</v>
      </c>
      <c r="B4231" s="4" t="s">
        <v>50</v>
      </c>
      <c r="C4231" s="4" t="n">
        <v>7</v>
      </c>
      <c r="D4231" s="4" t="s">
        <v>24</v>
      </c>
      <c r="E4231" s="3" t="s">
        <v>382</v>
      </c>
      <c r="F4231" s="4" t="str">
        <f aca="false">IF(I4231&gt;J4231,"Y","N")</f>
        <v>N</v>
      </c>
      <c r="G4231" s="3" t="s">
        <v>378</v>
      </c>
      <c r="H4231" s="3" t="s">
        <v>39</v>
      </c>
      <c r="I4231" s="4" t="n">
        <v>8</v>
      </c>
      <c r="J4231" s="4" t="n">
        <f aca="false">LEN(E4231)-LEN(SUBSTITUTE(E4231,",",""))+1</f>
        <v>8</v>
      </c>
      <c r="K4231" s="3" t="str">
        <f aca="false">IFERROR(INDEX('Teacher Lookup'!$B$2:$B$200,MATCH(A4231,'Teacher Lookup'!$A$2:$A$200,0)),"")</f>
        <v>LAM Gary</v>
      </c>
    </row>
    <row r="4232" customFormat="false" ht="15" hidden="false" customHeight="false" outlineLevel="0" collapsed="false">
      <c r="A4232" s="3" t="s">
        <v>424</v>
      </c>
      <c r="B4232" s="4" t="s">
        <v>50</v>
      </c>
      <c r="C4232" s="4" t="n">
        <v>7</v>
      </c>
      <c r="D4232" s="4" t="s">
        <v>27</v>
      </c>
      <c r="E4232" s="3" t="s">
        <v>382</v>
      </c>
      <c r="F4232" s="4" t="str">
        <f aca="false">IF(I4232&gt;J4232,"Y","N")</f>
        <v>N</v>
      </c>
      <c r="G4232" s="3" t="s">
        <v>378</v>
      </c>
      <c r="H4232" s="3" t="s">
        <v>39</v>
      </c>
      <c r="I4232" s="4" t="n">
        <v>8</v>
      </c>
      <c r="J4232" s="4" t="n">
        <f aca="false">LEN(E4232)-LEN(SUBSTITUTE(E4232,",",""))+1</f>
        <v>8</v>
      </c>
      <c r="K4232" s="3" t="str">
        <f aca="false">IFERROR(INDEX('Teacher Lookup'!$B$2:$B$200,MATCH(A4232,'Teacher Lookup'!$A$2:$A$200,0)),"")</f>
        <v>LAM Gary</v>
      </c>
    </row>
    <row r="4233" customFormat="false" ht="15" hidden="false" customHeight="false" outlineLevel="0" collapsed="false">
      <c r="A4233" s="3" t="s">
        <v>424</v>
      </c>
      <c r="B4233" s="4" t="s">
        <v>50</v>
      </c>
      <c r="C4233" s="4" t="n">
        <v>7</v>
      </c>
      <c r="D4233" s="4" t="s">
        <v>28</v>
      </c>
      <c r="E4233" s="3" t="s">
        <v>382</v>
      </c>
      <c r="F4233" s="4" t="str">
        <f aca="false">IF(I4233&gt;J4233,"Y","N")</f>
        <v>N</v>
      </c>
      <c r="G4233" s="3" t="s">
        <v>378</v>
      </c>
      <c r="H4233" s="3" t="s">
        <v>39</v>
      </c>
      <c r="I4233" s="4" t="n">
        <v>8</v>
      </c>
      <c r="J4233" s="4" t="n">
        <f aca="false">LEN(E4233)-LEN(SUBSTITUTE(E4233,",",""))+1</f>
        <v>8</v>
      </c>
      <c r="K4233" s="3" t="str">
        <f aca="false">IFERROR(INDEX('Teacher Lookup'!$B$2:$B$200,MATCH(A4233,'Teacher Lookup'!$A$2:$A$200,0)),"")</f>
        <v>LAM Gary</v>
      </c>
    </row>
    <row r="4234" customFormat="false" ht="15" hidden="false" customHeight="false" outlineLevel="0" collapsed="false">
      <c r="A4234" s="3" t="s">
        <v>424</v>
      </c>
      <c r="B4234" s="4" t="s">
        <v>50</v>
      </c>
      <c r="C4234" s="4" t="n">
        <v>7</v>
      </c>
      <c r="D4234" s="4" t="s">
        <v>29</v>
      </c>
      <c r="E4234" s="3" t="s">
        <v>382</v>
      </c>
      <c r="F4234" s="4" t="str">
        <f aca="false">IF(I4234&gt;J4234,"Y","N")</f>
        <v>N</v>
      </c>
      <c r="G4234" s="3" t="s">
        <v>378</v>
      </c>
      <c r="H4234" s="3" t="s">
        <v>39</v>
      </c>
      <c r="I4234" s="4" t="n">
        <v>8</v>
      </c>
      <c r="J4234" s="4" t="n">
        <f aca="false">LEN(E4234)-LEN(SUBSTITUTE(E4234,",",""))+1</f>
        <v>8</v>
      </c>
      <c r="K4234" s="3" t="str">
        <f aca="false">IFERROR(INDEX('Teacher Lookup'!$B$2:$B$200,MATCH(A4234,'Teacher Lookup'!$A$2:$A$200,0)),"")</f>
        <v>LAM Gary</v>
      </c>
    </row>
    <row r="4235" customFormat="false" ht="15" hidden="false" customHeight="false" outlineLevel="0" collapsed="false">
      <c r="A4235" s="3" t="s">
        <v>424</v>
      </c>
      <c r="B4235" s="4" t="s">
        <v>50</v>
      </c>
      <c r="C4235" s="4" t="n">
        <v>7</v>
      </c>
      <c r="D4235" s="4" t="s">
        <v>30</v>
      </c>
      <c r="E4235" s="3" t="s">
        <v>382</v>
      </c>
      <c r="F4235" s="4" t="str">
        <f aca="false">IF(I4235&gt;J4235,"Y","N")</f>
        <v>N</v>
      </c>
      <c r="G4235" s="3" t="s">
        <v>378</v>
      </c>
      <c r="H4235" s="3" t="s">
        <v>39</v>
      </c>
      <c r="I4235" s="4" t="n">
        <v>8</v>
      </c>
      <c r="J4235" s="4" t="n">
        <f aca="false">LEN(E4235)-LEN(SUBSTITUTE(E4235,",",""))+1</f>
        <v>8</v>
      </c>
      <c r="K4235" s="3" t="str">
        <f aca="false">IFERROR(INDEX('Teacher Lookup'!$B$2:$B$200,MATCH(A4235,'Teacher Lookup'!$A$2:$A$200,0)),"")</f>
        <v>LAM Gary</v>
      </c>
    </row>
    <row r="4236" customFormat="false" ht="15" hidden="false" customHeight="false" outlineLevel="0" collapsed="false">
      <c r="A4236" s="3" t="s">
        <v>424</v>
      </c>
      <c r="B4236" s="4" t="s">
        <v>60</v>
      </c>
      <c r="C4236" s="4" t="n">
        <v>3</v>
      </c>
      <c r="D4236" s="4" t="s">
        <v>24</v>
      </c>
      <c r="E4236" s="3" t="s">
        <v>383</v>
      </c>
      <c r="F4236" s="4" t="str">
        <f aca="false">IF(I4236&gt;J4236,"Y","N")</f>
        <v>N</v>
      </c>
      <c r="G4236" s="3" t="s">
        <v>378</v>
      </c>
      <c r="H4236" s="3" t="s">
        <v>26</v>
      </c>
      <c r="I4236" s="4" t="n">
        <v>8</v>
      </c>
      <c r="J4236" s="4" t="n">
        <f aca="false">LEN(E4236)-LEN(SUBSTITUTE(E4236,",",""))+1</f>
        <v>8</v>
      </c>
      <c r="K4236" s="3" t="str">
        <f aca="false">IFERROR(INDEX('Teacher Lookup'!$B$2:$B$200,MATCH(A4236,'Teacher Lookup'!$A$2:$A$200,0)),"")</f>
        <v>LAM Gary</v>
      </c>
    </row>
    <row r="4237" customFormat="false" ht="15" hidden="false" customHeight="false" outlineLevel="0" collapsed="false">
      <c r="A4237" s="3" t="s">
        <v>424</v>
      </c>
      <c r="B4237" s="4" t="s">
        <v>60</v>
      </c>
      <c r="C4237" s="4" t="n">
        <v>3</v>
      </c>
      <c r="D4237" s="4" t="s">
        <v>27</v>
      </c>
      <c r="E4237" s="3" t="s">
        <v>383</v>
      </c>
      <c r="F4237" s="4" t="str">
        <f aca="false">IF(I4237&gt;J4237,"Y","N")</f>
        <v>N</v>
      </c>
      <c r="G4237" s="3" t="s">
        <v>378</v>
      </c>
      <c r="H4237" s="3" t="s">
        <v>26</v>
      </c>
      <c r="I4237" s="4" t="n">
        <v>8</v>
      </c>
      <c r="J4237" s="4" t="n">
        <f aca="false">LEN(E4237)-LEN(SUBSTITUTE(E4237,",",""))+1</f>
        <v>8</v>
      </c>
      <c r="K4237" s="3" t="str">
        <f aca="false">IFERROR(INDEX('Teacher Lookup'!$B$2:$B$200,MATCH(A4237,'Teacher Lookup'!$A$2:$A$200,0)),"")</f>
        <v>LAM Gary</v>
      </c>
    </row>
    <row r="4238" customFormat="false" ht="15" hidden="false" customHeight="false" outlineLevel="0" collapsed="false">
      <c r="A4238" s="3" t="s">
        <v>424</v>
      </c>
      <c r="B4238" s="4" t="s">
        <v>60</v>
      </c>
      <c r="C4238" s="4" t="n">
        <v>3</v>
      </c>
      <c r="D4238" s="4" t="s">
        <v>28</v>
      </c>
      <c r="E4238" s="3" t="s">
        <v>383</v>
      </c>
      <c r="F4238" s="4" t="str">
        <f aca="false">IF(I4238&gt;J4238,"Y","N")</f>
        <v>N</v>
      </c>
      <c r="G4238" s="3" t="s">
        <v>378</v>
      </c>
      <c r="H4238" s="3" t="s">
        <v>26</v>
      </c>
      <c r="I4238" s="4" t="n">
        <v>8</v>
      </c>
      <c r="J4238" s="4" t="n">
        <f aca="false">LEN(E4238)-LEN(SUBSTITUTE(E4238,",",""))+1</f>
        <v>8</v>
      </c>
      <c r="K4238" s="3" t="str">
        <f aca="false">IFERROR(INDEX('Teacher Lookup'!$B$2:$B$200,MATCH(A4238,'Teacher Lookup'!$A$2:$A$200,0)),"")</f>
        <v>LAM Gary</v>
      </c>
    </row>
    <row r="4239" customFormat="false" ht="15" hidden="false" customHeight="false" outlineLevel="0" collapsed="false">
      <c r="A4239" s="3" t="s">
        <v>424</v>
      </c>
      <c r="B4239" s="4" t="s">
        <v>60</v>
      </c>
      <c r="C4239" s="4" t="n">
        <v>3</v>
      </c>
      <c r="D4239" s="4" t="s">
        <v>29</v>
      </c>
      <c r="E4239" s="3" t="s">
        <v>383</v>
      </c>
      <c r="F4239" s="4" t="str">
        <f aca="false">IF(I4239&gt;J4239,"Y","N")</f>
        <v>N</v>
      </c>
      <c r="G4239" s="3" t="s">
        <v>378</v>
      </c>
      <c r="H4239" s="3" t="s">
        <v>26</v>
      </c>
      <c r="I4239" s="4" t="n">
        <v>8</v>
      </c>
      <c r="J4239" s="4" t="n">
        <f aca="false">LEN(E4239)-LEN(SUBSTITUTE(E4239,",",""))+1</f>
        <v>8</v>
      </c>
      <c r="K4239" s="3" t="str">
        <f aca="false">IFERROR(INDEX('Teacher Lookup'!$B$2:$B$200,MATCH(A4239,'Teacher Lookup'!$A$2:$A$200,0)),"")</f>
        <v>LAM Gary</v>
      </c>
    </row>
    <row r="4240" customFormat="false" ht="15" hidden="false" customHeight="false" outlineLevel="0" collapsed="false">
      <c r="A4240" s="3" t="s">
        <v>424</v>
      </c>
      <c r="B4240" s="4" t="s">
        <v>60</v>
      </c>
      <c r="C4240" s="4" t="n">
        <v>3</v>
      </c>
      <c r="D4240" s="4" t="s">
        <v>30</v>
      </c>
      <c r="E4240" s="3" t="s">
        <v>383</v>
      </c>
      <c r="F4240" s="4" t="str">
        <f aca="false">IF(I4240&gt;J4240,"Y","N")</f>
        <v>N</v>
      </c>
      <c r="G4240" s="3" t="s">
        <v>378</v>
      </c>
      <c r="H4240" s="3" t="s">
        <v>26</v>
      </c>
      <c r="I4240" s="4" t="n">
        <v>8</v>
      </c>
      <c r="J4240" s="4" t="n">
        <f aca="false">LEN(E4240)-LEN(SUBSTITUTE(E4240,",",""))+1</f>
        <v>8</v>
      </c>
      <c r="K4240" s="3" t="str">
        <f aca="false">IFERROR(INDEX('Teacher Lookup'!$B$2:$B$200,MATCH(A4240,'Teacher Lookup'!$A$2:$A$200,0)),"")</f>
        <v>LAM Gary</v>
      </c>
    </row>
    <row r="4241" customFormat="false" ht="15" hidden="false" customHeight="false" outlineLevel="0" collapsed="false">
      <c r="A4241" s="3" t="s">
        <v>424</v>
      </c>
      <c r="B4241" s="4" t="s">
        <v>60</v>
      </c>
      <c r="C4241" s="4" t="n">
        <v>5</v>
      </c>
      <c r="D4241" s="4" t="s">
        <v>24</v>
      </c>
      <c r="E4241" s="3" t="s">
        <v>131</v>
      </c>
      <c r="F4241" s="4" t="str">
        <f aca="false">IF(I4241&gt;J4241,"Y","N")</f>
        <v>Y</v>
      </c>
      <c r="G4241" s="3" t="s">
        <v>36</v>
      </c>
      <c r="H4241" s="3" t="s">
        <v>37</v>
      </c>
      <c r="I4241" s="4" t="n">
        <v>15</v>
      </c>
      <c r="J4241" s="4" t="n">
        <f aca="false">LEN(E4241)-LEN(SUBSTITUTE(E4241,",",""))+1</f>
        <v>7</v>
      </c>
      <c r="K4241" s="3" t="str">
        <f aca="false">IFERROR(INDEX('Teacher Lookup'!$B$2:$B$200,MATCH(A4241,'Teacher Lookup'!$A$2:$A$200,0)),"")</f>
        <v>LAM Gary</v>
      </c>
    </row>
    <row r="4242" customFormat="false" ht="15" hidden="false" customHeight="false" outlineLevel="0" collapsed="false">
      <c r="A4242" s="3" t="s">
        <v>424</v>
      </c>
      <c r="B4242" s="4" t="s">
        <v>60</v>
      </c>
      <c r="C4242" s="4" t="n">
        <v>5</v>
      </c>
      <c r="D4242" s="4" t="s">
        <v>132</v>
      </c>
      <c r="E4242" s="3" t="s">
        <v>131</v>
      </c>
      <c r="F4242" s="4" t="str">
        <f aca="false">IF(I4242&gt;J4242,"Y","N")</f>
        <v>Y</v>
      </c>
      <c r="G4242" s="3" t="s">
        <v>36</v>
      </c>
      <c r="H4242" s="3" t="s">
        <v>37</v>
      </c>
      <c r="I4242" s="4" t="n">
        <v>15</v>
      </c>
      <c r="J4242" s="4" t="n">
        <f aca="false">LEN(E4242)-LEN(SUBSTITUTE(E4242,",",""))+1</f>
        <v>7</v>
      </c>
      <c r="K4242" s="3" t="str">
        <f aca="false">IFERROR(INDEX('Teacher Lookup'!$B$2:$B$200,MATCH(A4242,'Teacher Lookup'!$A$2:$A$200,0)),"")</f>
        <v>LAM Gary</v>
      </c>
    </row>
    <row r="4243" customFormat="false" ht="15" hidden="false" customHeight="false" outlineLevel="0" collapsed="false">
      <c r="A4243" s="3" t="s">
        <v>424</v>
      </c>
      <c r="B4243" s="4" t="s">
        <v>60</v>
      </c>
      <c r="C4243" s="4" t="n">
        <v>5</v>
      </c>
      <c r="D4243" s="4" t="s">
        <v>27</v>
      </c>
      <c r="E4243" s="3" t="s">
        <v>131</v>
      </c>
      <c r="F4243" s="4" t="str">
        <f aca="false">IF(I4243&gt;J4243,"Y","N")</f>
        <v>Y</v>
      </c>
      <c r="G4243" s="3" t="s">
        <v>36</v>
      </c>
      <c r="H4243" s="3" t="s">
        <v>37</v>
      </c>
      <c r="I4243" s="4" t="n">
        <v>15</v>
      </c>
      <c r="J4243" s="4" t="n">
        <f aca="false">LEN(E4243)-LEN(SUBSTITUTE(E4243,",",""))+1</f>
        <v>7</v>
      </c>
      <c r="K4243" s="3" t="str">
        <f aca="false">IFERROR(INDEX('Teacher Lookup'!$B$2:$B$200,MATCH(A4243,'Teacher Lookup'!$A$2:$A$200,0)),"")</f>
        <v>LAM Gary</v>
      </c>
    </row>
    <row r="4244" customFormat="false" ht="15" hidden="false" customHeight="false" outlineLevel="0" collapsed="false">
      <c r="A4244" s="3" t="s">
        <v>424</v>
      </c>
      <c r="B4244" s="4" t="s">
        <v>60</v>
      </c>
      <c r="C4244" s="4" t="n">
        <v>5</v>
      </c>
      <c r="D4244" s="4" t="s">
        <v>28</v>
      </c>
      <c r="E4244" s="3" t="s">
        <v>131</v>
      </c>
      <c r="F4244" s="4" t="str">
        <f aca="false">IF(I4244&gt;J4244,"Y","N")</f>
        <v>Y</v>
      </c>
      <c r="G4244" s="3" t="s">
        <v>36</v>
      </c>
      <c r="H4244" s="3" t="s">
        <v>37</v>
      </c>
      <c r="I4244" s="4" t="n">
        <v>15</v>
      </c>
      <c r="J4244" s="4" t="n">
        <f aca="false">LEN(E4244)-LEN(SUBSTITUTE(E4244,",",""))+1</f>
        <v>7</v>
      </c>
      <c r="K4244" s="3" t="str">
        <f aca="false">IFERROR(INDEX('Teacher Lookup'!$B$2:$B$200,MATCH(A4244,'Teacher Lookup'!$A$2:$A$200,0)),"")</f>
        <v>LAM Gary</v>
      </c>
    </row>
    <row r="4245" customFormat="false" ht="15" hidden="false" customHeight="false" outlineLevel="0" collapsed="false">
      <c r="A4245" s="3" t="s">
        <v>424</v>
      </c>
      <c r="B4245" s="4" t="s">
        <v>60</v>
      </c>
      <c r="C4245" s="4" t="n">
        <v>5</v>
      </c>
      <c r="D4245" s="4" t="s">
        <v>29</v>
      </c>
      <c r="E4245" s="3" t="s">
        <v>131</v>
      </c>
      <c r="F4245" s="4" t="str">
        <f aca="false">IF(I4245&gt;J4245,"Y","N")</f>
        <v>Y</v>
      </c>
      <c r="G4245" s="3" t="s">
        <v>36</v>
      </c>
      <c r="H4245" s="3" t="s">
        <v>37</v>
      </c>
      <c r="I4245" s="4" t="n">
        <v>15</v>
      </c>
      <c r="J4245" s="4" t="n">
        <f aca="false">LEN(E4245)-LEN(SUBSTITUTE(E4245,",",""))+1</f>
        <v>7</v>
      </c>
      <c r="K4245" s="3" t="str">
        <f aca="false">IFERROR(INDEX('Teacher Lookup'!$B$2:$B$200,MATCH(A4245,'Teacher Lookup'!$A$2:$A$200,0)),"")</f>
        <v>LAM Gary</v>
      </c>
    </row>
    <row r="4246" customFormat="false" ht="15" hidden="false" customHeight="false" outlineLevel="0" collapsed="false">
      <c r="A4246" s="3" t="s">
        <v>424</v>
      </c>
      <c r="B4246" s="4" t="s">
        <v>60</v>
      </c>
      <c r="C4246" s="4" t="n">
        <v>5</v>
      </c>
      <c r="D4246" s="4" t="s">
        <v>30</v>
      </c>
      <c r="E4246" s="3" t="s">
        <v>131</v>
      </c>
      <c r="F4246" s="4" t="str">
        <f aca="false">IF(I4246&gt;J4246,"Y","N")</f>
        <v>Y</v>
      </c>
      <c r="G4246" s="3" t="s">
        <v>36</v>
      </c>
      <c r="H4246" s="3" t="s">
        <v>37</v>
      </c>
      <c r="I4246" s="4" t="n">
        <v>15</v>
      </c>
      <c r="J4246" s="4" t="n">
        <f aca="false">LEN(E4246)-LEN(SUBSTITUTE(E4246,",",""))+1</f>
        <v>7</v>
      </c>
      <c r="K4246" s="3" t="str">
        <f aca="false">IFERROR(INDEX('Teacher Lookup'!$B$2:$B$200,MATCH(A4246,'Teacher Lookup'!$A$2:$A$200,0)),"")</f>
        <v>LAM Gary</v>
      </c>
    </row>
    <row r="4247" customFormat="false" ht="15" hidden="false" customHeight="false" outlineLevel="0" collapsed="false">
      <c r="A4247" s="3" t="s">
        <v>424</v>
      </c>
      <c r="B4247" s="4" t="s">
        <v>65</v>
      </c>
      <c r="C4247" s="4" t="n">
        <v>5</v>
      </c>
      <c r="D4247" s="4" t="s">
        <v>24</v>
      </c>
      <c r="E4247" s="3" t="s">
        <v>131</v>
      </c>
      <c r="F4247" s="4" t="str">
        <f aca="false">IF(I4247&gt;J4247,"Y","N")</f>
        <v>Y</v>
      </c>
      <c r="G4247" s="3" t="s">
        <v>36</v>
      </c>
      <c r="H4247" s="3" t="s">
        <v>37</v>
      </c>
      <c r="I4247" s="4" t="n">
        <v>15</v>
      </c>
      <c r="J4247" s="4" t="n">
        <f aca="false">LEN(E4247)-LEN(SUBSTITUTE(E4247,",",""))+1</f>
        <v>7</v>
      </c>
      <c r="K4247" s="3" t="str">
        <f aca="false">IFERROR(INDEX('Teacher Lookup'!$B$2:$B$200,MATCH(A4247,'Teacher Lookup'!$A$2:$A$200,0)),"")</f>
        <v>LAM Gary</v>
      </c>
    </row>
    <row r="4248" customFormat="false" ht="15" hidden="false" customHeight="false" outlineLevel="0" collapsed="false">
      <c r="A4248" s="3" t="s">
        <v>424</v>
      </c>
      <c r="B4248" s="4" t="s">
        <v>65</v>
      </c>
      <c r="C4248" s="4" t="n">
        <v>5</v>
      </c>
      <c r="D4248" s="4" t="s">
        <v>132</v>
      </c>
      <c r="E4248" s="3" t="s">
        <v>131</v>
      </c>
      <c r="F4248" s="4" t="str">
        <f aca="false">IF(I4248&gt;J4248,"Y","N")</f>
        <v>Y</v>
      </c>
      <c r="G4248" s="3" t="s">
        <v>36</v>
      </c>
      <c r="H4248" s="3" t="s">
        <v>37</v>
      </c>
      <c r="I4248" s="4" t="n">
        <v>15</v>
      </c>
      <c r="J4248" s="4" t="n">
        <f aca="false">LEN(E4248)-LEN(SUBSTITUTE(E4248,",",""))+1</f>
        <v>7</v>
      </c>
      <c r="K4248" s="3" t="str">
        <f aca="false">IFERROR(INDEX('Teacher Lookup'!$B$2:$B$200,MATCH(A4248,'Teacher Lookup'!$A$2:$A$200,0)),"")</f>
        <v>LAM Gary</v>
      </c>
    </row>
    <row r="4249" customFormat="false" ht="15" hidden="false" customHeight="false" outlineLevel="0" collapsed="false">
      <c r="A4249" s="3" t="s">
        <v>424</v>
      </c>
      <c r="B4249" s="4" t="s">
        <v>65</v>
      </c>
      <c r="C4249" s="4" t="n">
        <v>5</v>
      </c>
      <c r="D4249" s="4" t="s">
        <v>27</v>
      </c>
      <c r="E4249" s="3" t="s">
        <v>131</v>
      </c>
      <c r="F4249" s="4" t="str">
        <f aca="false">IF(I4249&gt;J4249,"Y","N")</f>
        <v>Y</v>
      </c>
      <c r="G4249" s="3" t="s">
        <v>36</v>
      </c>
      <c r="H4249" s="3" t="s">
        <v>37</v>
      </c>
      <c r="I4249" s="4" t="n">
        <v>15</v>
      </c>
      <c r="J4249" s="4" t="n">
        <f aca="false">LEN(E4249)-LEN(SUBSTITUTE(E4249,",",""))+1</f>
        <v>7</v>
      </c>
      <c r="K4249" s="3" t="str">
        <f aca="false">IFERROR(INDEX('Teacher Lookup'!$B$2:$B$200,MATCH(A4249,'Teacher Lookup'!$A$2:$A$200,0)),"")</f>
        <v>LAM Gary</v>
      </c>
    </row>
    <row r="4250" customFormat="false" ht="15" hidden="false" customHeight="false" outlineLevel="0" collapsed="false">
      <c r="A4250" s="3" t="s">
        <v>424</v>
      </c>
      <c r="B4250" s="4" t="s">
        <v>65</v>
      </c>
      <c r="C4250" s="4" t="n">
        <v>5</v>
      </c>
      <c r="D4250" s="4" t="s">
        <v>28</v>
      </c>
      <c r="E4250" s="3" t="s">
        <v>131</v>
      </c>
      <c r="F4250" s="4" t="str">
        <f aca="false">IF(I4250&gt;J4250,"Y","N")</f>
        <v>Y</v>
      </c>
      <c r="G4250" s="3" t="s">
        <v>36</v>
      </c>
      <c r="H4250" s="3" t="s">
        <v>37</v>
      </c>
      <c r="I4250" s="4" t="n">
        <v>15</v>
      </c>
      <c r="J4250" s="4" t="n">
        <f aca="false">LEN(E4250)-LEN(SUBSTITUTE(E4250,",",""))+1</f>
        <v>7</v>
      </c>
      <c r="K4250" s="3" t="str">
        <f aca="false">IFERROR(INDEX('Teacher Lookup'!$B$2:$B$200,MATCH(A4250,'Teacher Lookup'!$A$2:$A$200,0)),"")</f>
        <v>LAM Gary</v>
      </c>
    </row>
    <row r="4251" customFormat="false" ht="15" hidden="false" customHeight="false" outlineLevel="0" collapsed="false">
      <c r="A4251" s="3" t="s">
        <v>424</v>
      </c>
      <c r="B4251" s="4" t="s">
        <v>65</v>
      </c>
      <c r="C4251" s="4" t="n">
        <v>5</v>
      </c>
      <c r="D4251" s="4" t="s">
        <v>29</v>
      </c>
      <c r="E4251" s="3" t="s">
        <v>131</v>
      </c>
      <c r="F4251" s="4" t="str">
        <f aca="false">IF(I4251&gt;J4251,"Y","N")</f>
        <v>Y</v>
      </c>
      <c r="G4251" s="3" t="s">
        <v>36</v>
      </c>
      <c r="H4251" s="3" t="s">
        <v>37</v>
      </c>
      <c r="I4251" s="4" t="n">
        <v>15</v>
      </c>
      <c r="J4251" s="4" t="n">
        <f aca="false">LEN(E4251)-LEN(SUBSTITUTE(E4251,",",""))+1</f>
        <v>7</v>
      </c>
      <c r="K4251" s="3" t="str">
        <f aca="false">IFERROR(INDEX('Teacher Lookup'!$B$2:$B$200,MATCH(A4251,'Teacher Lookup'!$A$2:$A$200,0)),"")</f>
        <v>LAM Gary</v>
      </c>
    </row>
    <row r="4252" customFormat="false" ht="15" hidden="false" customHeight="false" outlineLevel="0" collapsed="false">
      <c r="A4252" s="3" t="s">
        <v>424</v>
      </c>
      <c r="B4252" s="4" t="s">
        <v>65</v>
      </c>
      <c r="C4252" s="4" t="n">
        <v>5</v>
      </c>
      <c r="D4252" s="4" t="s">
        <v>30</v>
      </c>
      <c r="E4252" s="3" t="s">
        <v>131</v>
      </c>
      <c r="F4252" s="4" t="str">
        <f aca="false">IF(I4252&gt;J4252,"Y","N")</f>
        <v>Y</v>
      </c>
      <c r="G4252" s="3" t="s">
        <v>36</v>
      </c>
      <c r="H4252" s="3" t="s">
        <v>37</v>
      </c>
      <c r="I4252" s="4" t="n">
        <v>15</v>
      </c>
      <c r="J4252" s="4" t="n">
        <f aca="false">LEN(E4252)-LEN(SUBSTITUTE(E4252,",",""))+1</f>
        <v>7</v>
      </c>
      <c r="K4252" s="3" t="str">
        <f aca="false">IFERROR(INDEX('Teacher Lookup'!$B$2:$B$200,MATCH(A4252,'Teacher Lookup'!$A$2:$A$200,0)),"")</f>
        <v>LAM Gary</v>
      </c>
    </row>
    <row r="4253" customFormat="false" ht="15" hidden="false" customHeight="false" outlineLevel="0" collapsed="false">
      <c r="A4253" s="3" t="s">
        <v>424</v>
      </c>
      <c r="B4253" s="4" t="s">
        <v>65</v>
      </c>
      <c r="C4253" s="4" t="n">
        <v>6</v>
      </c>
      <c r="D4253" s="4" t="s">
        <v>24</v>
      </c>
      <c r="E4253" s="3" t="s">
        <v>384</v>
      </c>
      <c r="F4253" s="4" t="str">
        <f aca="false">IF(I4253&gt;J4253,"Y","N")</f>
        <v>Y</v>
      </c>
      <c r="G4253" s="3" t="s">
        <v>378</v>
      </c>
      <c r="H4253" s="3" t="s">
        <v>42</v>
      </c>
      <c r="I4253" s="4" t="n">
        <v>9</v>
      </c>
      <c r="J4253" s="4" t="n">
        <f aca="false">LEN(E4253)-LEN(SUBSTITUTE(E4253,",",""))+1</f>
        <v>8</v>
      </c>
      <c r="K4253" s="3" t="str">
        <f aca="false">IFERROR(INDEX('Teacher Lookup'!$B$2:$B$200,MATCH(A4253,'Teacher Lookup'!$A$2:$A$200,0)),"")</f>
        <v>LAM Gary</v>
      </c>
    </row>
    <row r="4254" customFormat="false" ht="15" hidden="false" customHeight="false" outlineLevel="0" collapsed="false">
      <c r="A4254" s="3" t="s">
        <v>424</v>
      </c>
      <c r="B4254" s="4" t="s">
        <v>65</v>
      </c>
      <c r="C4254" s="4" t="n">
        <v>6</v>
      </c>
      <c r="D4254" s="4" t="s">
        <v>27</v>
      </c>
      <c r="E4254" s="3" t="s">
        <v>384</v>
      </c>
      <c r="F4254" s="4" t="str">
        <f aca="false">IF(I4254&gt;J4254,"Y","N")</f>
        <v>Y</v>
      </c>
      <c r="G4254" s="3" t="s">
        <v>378</v>
      </c>
      <c r="H4254" s="3" t="s">
        <v>42</v>
      </c>
      <c r="I4254" s="4" t="n">
        <v>9</v>
      </c>
      <c r="J4254" s="4" t="n">
        <f aca="false">LEN(E4254)-LEN(SUBSTITUTE(E4254,",",""))+1</f>
        <v>8</v>
      </c>
      <c r="K4254" s="3" t="str">
        <f aca="false">IFERROR(INDEX('Teacher Lookup'!$B$2:$B$200,MATCH(A4254,'Teacher Lookup'!$A$2:$A$200,0)),"")</f>
        <v>LAM Gary</v>
      </c>
    </row>
    <row r="4255" customFormat="false" ht="15" hidden="false" customHeight="false" outlineLevel="0" collapsed="false">
      <c r="A4255" s="3" t="s">
        <v>424</v>
      </c>
      <c r="B4255" s="4" t="s">
        <v>65</v>
      </c>
      <c r="C4255" s="4" t="n">
        <v>6</v>
      </c>
      <c r="D4255" s="4" t="s">
        <v>28</v>
      </c>
      <c r="E4255" s="3" t="s">
        <v>384</v>
      </c>
      <c r="F4255" s="4" t="str">
        <f aca="false">IF(I4255&gt;J4255,"Y","N")</f>
        <v>Y</v>
      </c>
      <c r="G4255" s="3" t="s">
        <v>378</v>
      </c>
      <c r="H4255" s="3" t="s">
        <v>42</v>
      </c>
      <c r="I4255" s="4" t="n">
        <v>9</v>
      </c>
      <c r="J4255" s="4" t="n">
        <f aca="false">LEN(E4255)-LEN(SUBSTITUTE(E4255,",",""))+1</f>
        <v>8</v>
      </c>
      <c r="K4255" s="3" t="str">
        <f aca="false">IFERROR(INDEX('Teacher Lookup'!$B$2:$B$200,MATCH(A4255,'Teacher Lookup'!$A$2:$A$200,0)),"")</f>
        <v>LAM Gary</v>
      </c>
    </row>
    <row r="4256" customFormat="false" ht="15" hidden="false" customHeight="false" outlineLevel="0" collapsed="false">
      <c r="A4256" s="3" t="s">
        <v>424</v>
      </c>
      <c r="B4256" s="4" t="s">
        <v>65</v>
      </c>
      <c r="C4256" s="4" t="n">
        <v>6</v>
      </c>
      <c r="D4256" s="4" t="s">
        <v>29</v>
      </c>
      <c r="E4256" s="3" t="s">
        <v>384</v>
      </c>
      <c r="F4256" s="4" t="str">
        <f aca="false">IF(I4256&gt;J4256,"Y","N")</f>
        <v>Y</v>
      </c>
      <c r="G4256" s="3" t="s">
        <v>378</v>
      </c>
      <c r="H4256" s="3" t="s">
        <v>42</v>
      </c>
      <c r="I4256" s="4" t="n">
        <v>9</v>
      </c>
      <c r="J4256" s="4" t="n">
        <f aca="false">LEN(E4256)-LEN(SUBSTITUTE(E4256,",",""))+1</f>
        <v>8</v>
      </c>
      <c r="K4256" s="3" t="str">
        <f aca="false">IFERROR(INDEX('Teacher Lookup'!$B$2:$B$200,MATCH(A4256,'Teacher Lookup'!$A$2:$A$200,0)),"")</f>
        <v>LAM Gary</v>
      </c>
    </row>
    <row r="4257" customFormat="false" ht="15" hidden="false" customHeight="false" outlineLevel="0" collapsed="false">
      <c r="A4257" s="3" t="s">
        <v>424</v>
      </c>
      <c r="B4257" s="4" t="s">
        <v>65</v>
      </c>
      <c r="C4257" s="4" t="n">
        <v>6</v>
      </c>
      <c r="D4257" s="4" t="s">
        <v>30</v>
      </c>
      <c r="E4257" s="3" t="s">
        <v>384</v>
      </c>
      <c r="F4257" s="4" t="str">
        <f aca="false">IF(I4257&gt;J4257,"Y","N")</f>
        <v>Y</v>
      </c>
      <c r="G4257" s="3" t="s">
        <v>378</v>
      </c>
      <c r="H4257" s="3" t="s">
        <v>42</v>
      </c>
      <c r="I4257" s="4" t="n">
        <v>9</v>
      </c>
      <c r="J4257" s="4" t="n">
        <f aca="false">LEN(E4257)-LEN(SUBSTITUTE(E4257,",",""))+1</f>
        <v>8</v>
      </c>
      <c r="K4257" s="3" t="str">
        <f aca="false">IFERROR(INDEX('Teacher Lookup'!$B$2:$B$200,MATCH(A4257,'Teacher Lookup'!$A$2:$A$200,0)),"")</f>
        <v>LAM Gary</v>
      </c>
    </row>
    <row r="4258" customFormat="false" ht="15" hidden="false" customHeight="false" outlineLevel="0" collapsed="false">
      <c r="A4258" s="3" t="s">
        <v>424</v>
      </c>
      <c r="B4258" s="4" t="s">
        <v>66</v>
      </c>
      <c r="C4258" s="4" t="n">
        <v>6</v>
      </c>
      <c r="D4258" s="4" t="s">
        <v>24</v>
      </c>
      <c r="E4258" s="3" t="s">
        <v>385</v>
      </c>
      <c r="F4258" s="4" t="str">
        <f aca="false">IF(I4258&gt;J4258,"Y","N")</f>
        <v>N</v>
      </c>
      <c r="G4258" s="3" t="s">
        <v>378</v>
      </c>
      <c r="H4258" s="3" t="s">
        <v>42</v>
      </c>
      <c r="I4258" s="4" t="n">
        <v>8</v>
      </c>
      <c r="J4258" s="4" t="n">
        <f aca="false">LEN(E4258)-LEN(SUBSTITUTE(E4258,",",""))+1</f>
        <v>8</v>
      </c>
      <c r="K4258" s="3" t="str">
        <f aca="false">IFERROR(INDEX('Teacher Lookup'!$B$2:$B$200,MATCH(A4258,'Teacher Lookup'!$A$2:$A$200,0)),"")</f>
        <v>LAM Gary</v>
      </c>
    </row>
    <row r="4259" customFormat="false" ht="15" hidden="false" customHeight="false" outlineLevel="0" collapsed="false">
      <c r="A4259" s="3" t="s">
        <v>424</v>
      </c>
      <c r="B4259" s="4" t="s">
        <v>66</v>
      </c>
      <c r="C4259" s="4" t="n">
        <v>6</v>
      </c>
      <c r="D4259" s="4" t="s">
        <v>27</v>
      </c>
      <c r="E4259" s="3" t="s">
        <v>385</v>
      </c>
      <c r="F4259" s="4" t="str">
        <f aca="false">IF(I4259&gt;J4259,"Y","N")</f>
        <v>N</v>
      </c>
      <c r="G4259" s="3" t="s">
        <v>378</v>
      </c>
      <c r="H4259" s="3" t="s">
        <v>42</v>
      </c>
      <c r="I4259" s="4" t="n">
        <v>8</v>
      </c>
      <c r="J4259" s="4" t="n">
        <f aca="false">LEN(E4259)-LEN(SUBSTITUTE(E4259,",",""))+1</f>
        <v>8</v>
      </c>
      <c r="K4259" s="3" t="str">
        <f aca="false">IFERROR(INDEX('Teacher Lookup'!$B$2:$B$200,MATCH(A4259,'Teacher Lookup'!$A$2:$A$200,0)),"")</f>
        <v>LAM Gary</v>
      </c>
    </row>
    <row r="4260" customFormat="false" ht="15" hidden="false" customHeight="false" outlineLevel="0" collapsed="false">
      <c r="A4260" s="3" t="s">
        <v>424</v>
      </c>
      <c r="B4260" s="4" t="s">
        <v>66</v>
      </c>
      <c r="C4260" s="4" t="n">
        <v>6</v>
      </c>
      <c r="D4260" s="4" t="s">
        <v>28</v>
      </c>
      <c r="E4260" s="3" t="s">
        <v>385</v>
      </c>
      <c r="F4260" s="4" t="str">
        <f aca="false">IF(I4260&gt;J4260,"Y","N")</f>
        <v>N</v>
      </c>
      <c r="G4260" s="3" t="s">
        <v>378</v>
      </c>
      <c r="H4260" s="3" t="s">
        <v>42</v>
      </c>
      <c r="I4260" s="4" t="n">
        <v>8</v>
      </c>
      <c r="J4260" s="4" t="n">
        <f aca="false">LEN(E4260)-LEN(SUBSTITUTE(E4260,",",""))+1</f>
        <v>8</v>
      </c>
      <c r="K4260" s="3" t="str">
        <f aca="false">IFERROR(INDEX('Teacher Lookup'!$B$2:$B$200,MATCH(A4260,'Teacher Lookup'!$A$2:$A$200,0)),"")</f>
        <v>LAM Gary</v>
      </c>
    </row>
    <row r="4261" customFormat="false" ht="15" hidden="false" customHeight="false" outlineLevel="0" collapsed="false">
      <c r="A4261" s="3" t="s">
        <v>424</v>
      </c>
      <c r="B4261" s="4" t="s">
        <v>66</v>
      </c>
      <c r="C4261" s="4" t="n">
        <v>6</v>
      </c>
      <c r="D4261" s="4" t="s">
        <v>29</v>
      </c>
      <c r="E4261" s="3" t="s">
        <v>385</v>
      </c>
      <c r="F4261" s="4" t="str">
        <f aca="false">IF(I4261&gt;J4261,"Y","N")</f>
        <v>N</v>
      </c>
      <c r="G4261" s="3" t="s">
        <v>378</v>
      </c>
      <c r="H4261" s="3" t="s">
        <v>42</v>
      </c>
      <c r="I4261" s="4" t="n">
        <v>8</v>
      </c>
      <c r="J4261" s="4" t="n">
        <f aca="false">LEN(E4261)-LEN(SUBSTITUTE(E4261,",",""))+1</f>
        <v>8</v>
      </c>
      <c r="K4261" s="3" t="str">
        <f aca="false">IFERROR(INDEX('Teacher Lookup'!$B$2:$B$200,MATCH(A4261,'Teacher Lookup'!$A$2:$A$200,0)),"")</f>
        <v>LAM Gary</v>
      </c>
    </row>
    <row r="4262" customFormat="false" ht="15" hidden="false" customHeight="false" outlineLevel="0" collapsed="false">
      <c r="A4262" s="3" t="s">
        <v>424</v>
      </c>
      <c r="B4262" s="4" t="s">
        <v>66</v>
      </c>
      <c r="C4262" s="4" t="n">
        <v>6</v>
      </c>
      <c r="D4262" s="4" t="s">
        <v>30</v>
      </c>
      <c r="E4262" s="3" t="s">
        <v>385</v>
      </c>
      <c r="F4262" s="4" t="str">
        <f aca="false">IF(I4262&gt;J4262,"Y","N")</f>
        <v>N</v>
      </c>
      <c r="G4262" s="3" t="s">
        <v>378</v>
      </c>
      <c r="H4262" s="3" t="s">
        <v>42</v>
      </c>
      <c r="I4262" s="4" t="n">
        <v>8</v>
      </c>
      <c r="J4262" s="4" t="n">
        <f aca="false">LEN(E4262)-LEN(SUBSTITUTE(E4262,",",""))+1</f>
        <v>8</v>
      </c>
      <c r="K4262" s="3" t="str">
        <f aca="false">IFERROR(INDEX('Teacher Lookup'!$B$2:$B$200,MATCH(A4262,'Teacher Lookup'!$A$2:$A$200,0)),"")</f>
        <v>LAM Gary</v>
      </c>
    </row>
    <row r="4263" customFormat="false" ht="15" hidden="false" customHeight="false" outlineLevel="0" collapsed="false">
      <c r="A4263" s="3" t="s">
        <v>425</v>
      </c>
      <c r="B4263" s="4" t="s">
        <v>12</v>
      </c>
      <c r="C4263" s="4" t="n">
        <v>4</v>
      </c>
      <c r="D4263" s="4" t="s">
        <v>76</v>
      </c>
      <c r="E4263" s="3" t="s">
        <v>165</v>
      </c>
      <c r="F4263" s="4" t="str">
        <f aca="false">IF(I4263&gt;J4263,"Y","N")</f>
        <v>N</v>
      </c>
      <c r="G4263" s="3" t="s">
        <v>164</v>
      </c>
      <c r="H4263" s="3" t="s">
        <v>34</v>
      </c>
      <c r="I4263" s="4" t="n">
        <v>4</v>
      </c>
      <c r="J4263" s="4" t="n">
        <f aca="false">LEN(E4263)-LEN(SUBSTITUTE(E4263,",",""))+1</f>
        <v>4</v>
      </c>
      <c r="K4263" s="3" t="str">
        <f aca="false">IFERROR(INDEX('Teacher Lookup'!$B$2:$B$200,MATCH(A4263,'Teacher Lookup'!$A$2:$A$200,0)),"")</f>
        <v>POW Grace</v>
      </c>
    </row>
    <row r="4264" customFormat="false" ht="15" hidden="false" customHeight="false" outlineLevel="0" collapsed="false">
      <c r="A4264" s="3" t="s">
        <v>425</v>
      </c>
      <c r="B4264" s="4" t="s">
        <v>12</v>
      </c>
      <c r="C4264" s="4" t="n">
        <v>4</v>
      </c>
      <c r="D4264" s="4" t="s">
        <v>78</v>
      </c>
      <c r="E4264" s="3" t="s">
        <v>165</v>
      </c>
      <c r="F4264" s="4" t="str">
        <f aca="false">IF(I4264&gt;J4264,"Y","N")</f>
        <v>N</v>
      </c>
      <c r="G4264" s="3" t="s">
        <v>164</v>
      </c>
      <c r="H4264" s="3" t="s">
        <v>34</v>
      </c>
      <c r="I4264" s="4" t="n">
        <v>4</v>
      </c>
      <c r="J4264" s="4" t="n">
        <f aca="false">LEN(E4264)-LEN(SUBSTITUTE(E4264,",",""))+1</f>
        <v>4</v>
      </c>
      <c r="K4264" s="3" t="str">
        <f aca="false">IFERROR(INDEX('Teacher Lookup'!$B$2:$B$200,MATCH(A4264,'Teacher Lookup'!$A$2:$A$200,0)),"")</f>
        <v>POW Grace</v>
      </c>
    </row>
    <row r="4265" customFormat="false" ht="15" hidden="false" customHeight="false" outlineLevel="0" collapsed="false">
      <c r="A4265" s="3" t="s">
        <v>425</v>
      </c>
      <c r="B4265" s="4" t="s">
        <v>12</v>
      </c>
      <c r="C4265" s="4" t="n">
        <v>4</v>
      </c>
      <c r="D4265" s="4" t="s">
        <v>79</v>
      </c>
      <c r="E4265" s="3" t="s">
        <v>165</v>
      </c>
      <c r="F4265" s="4" t="str">
        <f aca="false">IF(I4265&gt;J4265,"Y","N")</f>
        <v>N</v>
      </c>
      <c r="G4265" s="3" t="s">
        <v>164</v>
      </c>
      <c r="H4265" s="3" t="s">
        <v>34</v>
      </c>
      <c r="I4265" s="4" t="n">
        <v>4</v>
      </c>
      <c r="J4265" s="4" t="n">
        <f aca="false">LEN(E4265)-LEN(SUBSTITUTE(E4265,",",""))+1</f>
        <v>4</v>
      </c>
      <c r="K4265" s="3" t="str">
        <f aca="false">IFERROR(INDEX('Teacher Lookup'!$B$2:$B$200,MATCH(A4265,'Teacher Lookup'!$A$2:$A$200,0)),"")</f>
        <v>POW Grace</v>
      </c>
    </row>
    <row r="4266" customFormat="false" ht="15" hidden="false" customHeight="false" outlineLevel="0" collapsed="false">
      <c r="A4266" s="3" t="s">
        <v>425</v>
      </c>
      <c r="B4266" s="4" t="s">
        <v>31</v>
      </c>
      <c r="C4266" s="4" t="n">
        <v>3</v>
      </c>
      <c r="D4266" s="4" t="s">
        <v>76</v>
      </c>
      <c r="E4266" s="3" t="s">
        <v>168</v>
      </c>
      <c r="F4266" s="4" t="str">
        <f aca="false">IF(I4266&gt;J4266,"Y","N")</f>
        <v>N</v>
      </c>
      <c r="G4266" s="3" t="s">
        <v>164</v>
      </c>
      <c r="H4266" s="3" t="s">
        <v>26</v>
      </c>
      <c r="I4266" s="4" t="n">
        <v>4</v>
      </c>
      <c r="J4266" s="4" t="n">
        <f aca="false">LEN(E4266)-LEN(SUBSTITUTE(E4266,",",""))+1</f>
        <v>4</v>
      </c>
      <c r="K4266" s="3" t="str">
        <f aca="false">IFERROR(INDEX('Teacher Lookup'!$B$2:$B$200,MATCH(A4266,'Teacher Lookup'!$A$2:$A$200,0)),"")</f>
        <v>POW Grace</v>
      </c>
    </row>
    <row r="4267" customFormat="false" ht="15" hidden="false" customHeight="false" outlineLevel="0" collapsed="false">
      <c r="A4267" s="3" t="s">
        <v>425</v>
      </c>
      <c r="B4267" s="4" t="s">
        <v>31</v>
      </c>
      <c r="C4267" s="4" t="n">
        <v>3</v>
      </c>
      <c r="D4267" s="4" t="s">
        <v>78</v>
      </c>
      <c r="E4267" s="3" t="s">
        <v>168</v>
      </c>
      <c r="F4267" s="4" t="str">
        <f aca="false">IF(I4267&gt;J4267,"Y","N")</f>
        <v>N</v>
      </c>
      <c r="G4267" s="3" t="s">
        <v>164</v>
      </c>
      <c r="H4267" s="3" t="s">
        <v>26</v>
      </c>
      <c r="I4267" s="4" t="n">
        <v>4</v>
      </c>
      <c r="J4267" s="4" t="n">
        <f aca="false">LEN(E4267)-LEN(SUBSTITUTE(E4267,",",""))+1</f>
        <v>4</v>
      </c>
      <c r="K4267" s="3" t="str">
        <f aca="false">IFERROR(INDEX('Teacher Lookup'!$B$2:$B$200,MATCH(A4267,'Teacher Lookup'!$A$2:$A$200,0)),"")</f>
        <v>POW Grace</v>
      </c>
    </row>
    <row r="4268" customFormat="false" ht="15" hidden="false" customHeight="false" outlineLevel="0" collapsed="false">
      <c r="A4268" s="3" t="s">
        <v>425</v>
      </c>
      <c r="B4268" s="4" t="s">
        <v>31</v>
      </c>
      <c r="C4268" s="4" t="n">
        <v>3</v>
      </c>
      <c r="D4268" s="4" t="s">
        <v>79</v>
      </c>
      <c r="E4268" s="3" t="s">
        <v>168</v>
      </c>
      <c r="F4268" s="4" t="str">
        <f aca="false">IF(I4268&gt;J4268,"Y","N")</f>
        <v>N</v>
      </c>
      <c r="G4268" s="3" t="s">
        <v>164</v>
      </c>
      <c r="H4268" s="3" t="s">
        <v>26</v>
      </c>
      <c r="I4268" s="4" t="n">
        <v>4</v>
      </c>
      <c r="J4268" s="4" t="n">
        <f aca="false">LEN(E4268)-LEN(SUBSTITUTE(E4268,",",""))+1</f>
        <v>4</v>
      </c>
      <c r="K4268" s="3" t="str">
        <f aca="false">IFERROR(INDEX('Teacher Lookup'!$B$2:$B$200,MATCH(A4268,'Teacher Lookup'!$A$2:$A$200,0)),"")</f>
        <v>POW Grace</v>
      </c>
    </row>
    <row r="4269" customFormat="false" ht="15" hidden="false" customHeight="false" outlineLevel="0" collapsed="false">
      <c r="A4269" s="3" t="s">
        <v>425</v>
      </c>
      <c r="B4269" s="4" t="s">
        <v>40</v>
      </c>
      <c r="C4269" s="4" t="n">
        <v>5</v>
      </c>
      <c r="D4269" s="4" t="s">
        <v>76</v>
      </c>
      <c r="E4269" s="3" t="s">
        <v>84</v>
      </c>
      <c r="F4269" s="4" t="str">
        <f aca="false">IF(I4269&gt;J4269,"Y","N")</f>
        <v>N</v>
      </c>
      <c r="G4269" s="3" t="s">
        <v>164</v>
      </c>
      <c r="H4269" s="3" t="s">
        <v>37</v>
      </c>
      <c r="I4269" s="4" t="n">
        <v>4</v>
      </c>
      <c r="J4269" s="4" t="n">
        <f aca="false">LEN(E4269)-LEN(SUBSTITUTE(E4269,",",""))+1</f>
        <v>4</v>
      </c>
      <c r="K4269" s="3" t="str">
        <f aca="false">IFERROR(INDEX('Teacher Lookup'!$B$2:$B$200,MATCH(A4269,'Teacher Lookup'!$A$2:$A$200,0)),"")</f>
        <v>POW Grace</v>
      </c>
    </row>
    <row r="4270" customFormat="false" ht="15" hidden="false" customHeight="false" outlineLevel="0" collapsed="false">
      <c r="A4270" s="3" t="s">
        <v>425</v>
      </c>
      <c r="B4270" s="4" t="s">
        <v>40</v>
      </c>
      <c r="C4270" s="4" t="n">
        <v>5</v>
      </c>
      <c r="D4270" s="4" t="s">
        <v>78</v>
      </c>
      <c r="E4270" s="3" t="s">
        <v>84</v>
      </c>
      <c r="F4270" s="4" t="str">
        <f aca="false">IF(I4270&gt;J4270,"Y","N")</f>
        <v>N</v>
      </c>
      <c r="G4270" s="3" t="s">
        <v>164</v>
      </c>
      <c r="H4270" s="3" t="s">
        <v>37</v>
      </c>
      <c r="I4270" s="4" t="n">
        <v>4</v>
      </c>
      <c r="J4270" s="4" t="n">
        <f aca="false">LEN(E4270)-LEN(SUBSTITUTE(E4270,",",""))+1</f>
        <v>4</v>
      </c>
      <c r="K4270" s="3" t="str">
        <f aca="false">IFERROR(INDEX('Teacher Lookup'!$B$2:$B$200,MATCH(A4270,'Teacher Lookup'!$A$2:$A$200,0)),"")</f>
        <v>POW Grace</v>
      </c>
    </row>
    <row r="4271" customFormat="false" ht="15" hidden="false" customHeight="false" outlineLevel="0" collapsed="false">
      <c r="A4271" s="3" t="s">
        <v>425</v>
      </c>
      <c r="B4271" s="4" t="s">
        <v>40</v>
      </c>
      <c r="C4271" s="4" t="n">
        <v>5</v>
      </c>
      <c r="D4271" s="4" t="s">
        <v>79</v>
      </c>
      <c r="E4271" s="3" t="s">
        <v>84</v>
      </c>
      <c r="F4271" s="4" t="str">
        <f aca="false">IF(I4271&gt;J4271,"Y","N")</f>
        <v>N</v>
      </c>
      <c r="G4271" s="3" t="s">
        <v>164</v>
      </c>
      <c r="H4271" s="3" t="s">
        <v>37</v>
      </c>
      <c r="I4271" s="4" t="n">
        <v>4</v>
      </c>
      <c r="J4271" s="4" t="n">
        <f aca="false">LEN(E4271)-LEN(SUBSTITUTE(E4271,",",""))+1</f>
        <v>4</v>
      </c>
      <c r="K4271" s="3" t="str">
        <f aca="false">IFERROR(INDEX('Teacher Lookup'!$B$2:$B$200,MATCH(A4271,'Teacher Lookup'!$A$2:$A$200,0)),"")</f>
        <v>POW Grace</v>
      </c>
    </row>
    <row r="4272" customFormat="false" ht="15" hidden="false" customHeight="false" outlineLevel="0" collapsed="false">
      <c r="A4272" s="3" t="s">
        <v>425</v>
      </c>
      <c r="B4272" s="4" t="s">
        <v>44</v>
      </c>
      <c r="C4272" s="4" t="n">
        <v>1</v>
      </c>
      <c r="D4272" s="4" t="s">
        <v>76</v>
      </c>
      <c r="E4272" s="3" t="s">
        <v>90</v>
      </c>
      <c r="F4272" s="4" t="str">
        <f aca="false">IF(I4272&gt;J4272,"Y","N")</f>
        <v>N</v>
      </c>
      <c r="G4272" s="3" t="s">
        <v>164</v>
      </c>
      <c r="H4272" s="3" t="s">
        <v>16</v>
      </c>
      <c r="I4272" s="4" t="n">
        <v>4</v>
      </c>
      <c r="J4272" s="4" t="n">
        <f aca="false">LEN(E4272)-LEN(SUBSTITUTE(E4272,",",""))+1</f>
        <v>4</v>
      </c>
      <c r="K4272" s="3" t="str">
        <f aca="false">IFERROR(INDEX('Teacher Lookup'!$B$2:$B$200,MATCH(A4272,'Teacher Lookup'!$A$2:$A$200,0)),"")</f>
        <v>POW Grace</v>
      </c>
    </row>
    <row r="4273" customFormat="false" ht="15" hidden="false" customHeight="false" outlineLevel="0" collapsed="false">
      <c r="A4273" s="3" t="s">
        <v>425</v>
      </c>
      <c r="B4273" s="4" t="s">
        <v>44</v>
      </c>
      <c r="C4273" s="4" t="n">
        <v>1</v>
      </c>
      <c r="D4273" s="4" t="s">
        <v>78</v>
      </c>
      <c r="E4273" s="3" t="s">
        <v>90</v>
      </c>
      <c r="F4273" s="4" t="str">
        <f aca="false">IF(I4273&gt;J4273,"Y","N")</f>
        <v>N</v>
      </c>
      <c r="G4273" s="3" t="s">
        <v>164</v>
      </c>
      <c r="H4273" s="3" t="s">
        <v>16</v>
      </c>
      <c r="I4273" s="4" t="n">
        <v>4</v>
      </c>
      <c r="J4273" s="4" t="n">
        <f aca="false">LEN(E4273)-LEN(SUBSTITUTE(E4273,",",""))+1</f>
        <v>4</v>
      </c>
      <c r="K4273" s="3" t="str">
        <f aca="false">IFERROR(INDEX('Teacher Lookup'!$B$2:$B$200,MATCH(A4273,'Teacher Lookup'!$A$2:$A$200,0)),"")</f>
        <v>POW Grace</v>
      </c>
    </row>
    <row r="4274" customFormat="false" ht="15" hidden="false" customHeight="false" outlineLevel="0" collapsed="false">
      <c r="A4274" s="3" t="s">
        <v>425</v>
      </c>
      <c r="B4274" s="4" t="s">
        <v>44</v>
      </c>
      <c r="C4274" s="4" t="n">
        <v>1</v>
      </c>
      <c r="D4274" s="4" t="s">
        <v>79</v>
      </c>
      <c r="E4274" s="3" t="s">
        <v>90</v>
      </c>
      <c r="F4274" s="4" t="str">
        <f aca="false">IF(I4274&gt;J4274,"Y","N")</f>
        <v>N</v>
      </c>
      <c r="G4274" s="3" t="s">
        <v>164</v>
      </c>
      <c r="H4274" s="3" t="s">
        <v>16</v>
      </c>
      <c r="I4274" s="4" t="n">
        <v>4</v>
      </c>
      <c r="J4274" s="4" t="n">
        <f aca="false">LEN(E4274)-LEN(SUBSTITUTE(E4274,",",""))+1</f>
        <v>4</v>
      </c>
      <c r="K4274" s="3" t="str">
        <f aca="false">IFERROR(INDEX('Teacher Lookup'!$B$2:$B$200,MATCH(A4274,'Teacher Lookup'!$A$2:$A$200,0)),"")</f>
        <v>POW Grace</v>
      </c>
    </row>
    <row r="4275" customFormat="false" ht="15" hidden="false" customHeight="false" outlineLevel="0" collapsed="false">
      <c r="A4275" s="3" t="s">
        <v>425</v>
      </c>
      <c r="B4275" s="4" t="s">
        <v>47</v>
      </c>
      <c r="C4275" s="4" t="n">
        <v>2</v>
      </c>
      <c r="D4275" s="4" t="s">
        <v>76</v>
      </c>
      <c r="E4275" s="3" t="s">
        <v>174</v>
      </c>
      <c r="F4275" s="4" t="str">
        <f aca="false">IF(I4275&gt;J4275,"Y","N")</f>
        <v>N</v>
      </c>
      <c r="G4275" s="3" t="s">
        <v>164</v>
      </c>
      <c r="H4275" s="3" t="s">
        <v>21</v>
      </c>
      <c r="I4275" s="4" t="n">
        <v>4</v>
      </c>
      <c r="J4275" s="4" t="n">
        <f aca="false">LEN(E4275)-LEN(SUBSTITUTE(E4275,",",""))+1</f>
        <v>4</v>
      </c>
      <c r="K4275" s="3" t="str">
        <f aca="false">IFERROR(INDEX('Teacher Lookup'!$B$2:$B$200,MATCH(A4275,'Teacher Lookup'!$A$2:$A$200,0)),"")</f>
        <v>POW Grace</v>
      </c>
    </row>
    <row r="4276" customFormat="false" ht="15" hidden="false" customHeight="false" outlineLevel="0" collapsed="false">
      <c r="A4276" s="3" t="s">
        <v>425</v>
      </c>
      <c r="B4276" s="4" t="s">
        <v>47</v>
      </c>
      <c r="C4276" s="4" t="n">
        <v>2</v>
      </c>
      <c r="D4276" s="4" t="s">
        <v>78</v>
      </c>
      <c r="E4276" s="3" t="s">
        <v>174</v>
      </c>
      <c r="F4276" s="4" t="str">
        <f aca="false">IF(I4276&gt;J4276,"Y","N")</f>
        <v>N</v>
      </c>
      <c r="G4276" s="3" t="s">
        <v>164</v>
      </c>
      <c r="H4276" s="3" t="s">
        <v>21</v>
      </c>
      <c r="I4276" s="4" t="n">
        <v>4</v>
      </c>
      <c r="J4276" s="4" t="n">
        <f aca="false">LEN(E4276)-LEN(SUBSTITUTE(E4276,",",""))+1</f>
        <v>4</v>
      </c>
      <c r="K4276" s="3" t="str">
        <f aca="false">IFERROR(INDEX('Teacher Lookup'!$B$2:$B$200,MATCH(A4276,'Teacher Lookup'!$A$2:$A$200,0)),"")</f>
        <v>POW Grace</v>
      </c>
    </row>
    <row r="4277" customFormat="false" ht="15" hidden="false" customHeight="false" outlineLevel="0" collapsed="false">
      <c r="A4277" s="3" t="s">
        <v>425</v>
      </c>
      <c r="B4277" s="4" t="s">
        <v>47</v>
      </c>
      <c r="C4277" s="4" t="n">
        <v>2</v>
      </c>
      <c r="D4277" s="4" t="s">
        <v>79</v>
      </c>
      <c r="E4277" s="3" t="s">
        <v>174</v>
      </c>
      <c r="F4277" s="4" t="str">
        <f aca="false">IF(I4277&gt;J4277,"Y","N")</f>
        <v>N</v>
      </c>
      <c r="G4277" s="3" t="s">
        <v>164</v>
      </c>
      <c r="H4277" s="3" t="s">
        <v>21</v>
      </c>
      <c r="I4277" s="4" t="n">
        <v>4</v>
      </c>
      <c r="J4277" s="4" t="n">
        <f aca="false">LEN(E4277)-LEN(SUBSTITUTE(E4277,",",""))+1</f>
        <v>4</v>
      </c>
      <c r="K4277" s="3" t="str">
        <f aca="false">IFERROR(INDEX('Teacher Lookup'!$B$2:$B$200,MATCH(A4277,'Teacher Lookup'!$A$2:$A$200,0)),"")</f>
        <v>POW Grace</v>
      </c>
    </row>
    <row r="4278" customFormat="false" ht="15" hidden="false" customHeight="false" outlineLevel="0" collapsed="false">
      <c r="A4278" s="3" t="s">
        <v>425</v>
      </c>
      <c r="B4278" s="4" t="s">
        <v>50</v>
      </c>
      <c r="C4278" s="4" t="n">
        <v>2</v>
      </c>
      <c r="D4278" s="4" t="s">
        <v>76</v>
      </c>
      <c r="E4278" s="3" t="s">
        <v>90</v>
      </c>
      <c r="F4278" s="4" t="str">
        <f aca="false">IF(I4278&gt;J4278,"Y","N")</f>
        <v>N</v>
      </c>
      <c r="G4278" s="3" t="s">
        <v>164</v>
      </c>
      <c r="H4278" s="3" t="s">
        <v>21</v>
      </c>
      <c r="I4278" s="4" t="n">
        <v>4</v>
      </c>
      <c r="J4278" s="4" t="n">
        <f aca="false">LEN(E4278)-LEN(SUBSTITUTE(E4278,",",""))+1</f>
        <v>4</v>
      </c>
      <c r="K4278" s="3" t="str">
        <f aca="false">IFERROR(INDEX('Teacher Lookup'!$B$2:$B$200,MATCH(A4278,'Teacher Lookup'!$A$2:$A$200,0)),"")</f>
        <v>POW Grace</v>
      </c>
    </row>
    <row r="4279" customFormat="false" ht="15" hidden="false" customHeight="false" outlineLevel="0" collapsed="false">
      <c r="A4279" s="3" t="s">
        <v>425</v>
      </c>
      <c r="B4279" s="4" t="s">
        <v>50</v>
      </c>
      <c r="C4279" s="4" t="n">
        <v>2</v>
      </c>
      <c r="D4279" s="4" t="s">
        <v>78</v>
      </c>
      <c r="E4279" s="3" t="s">
        <v>90</v>
      </c>
      <c r="F4279" s="4" t="str">
        <f aca="false">IF(I4279&gt;J4279,"Y","N")</f>
        <v>N</v>
      </c>
      <c r="G4279" s="3" t="s">
        <v>164</v>
      </c>
      <c r="H4279" s="3" t="s">
        <v>21</v>
      </c>
      <c r="I4279" s="4" t="n">
        <v>4</v>
      </c>
      <c r="J4279" s="4" t="n">
        <f aca="false">LEN(E4279)-LEN(SUBSTITUTE(E4279,",",""))+1</f>
        <v>4</v>
      </c>
      <c r="K4279" s="3" t="str">
        <f aca="false">IFERROR(INDEX('Teacher Lookup'!$B$2:$B$200,MATCH(A4279,'Teacher Lookup'!$A$2:$A$200,0)),"")</f>
        <v>POW Grace</v>
      </c>
    </row>
    <row r="4280" customFormat="false" ht="15" hidden="false" customHeight="false" outlineLevel="0" collapsed="false">
      <c r="A4280" s="3" t="s">
        <v>425</v>
      </c>
      <c r="B4280" s="4" t="s">
        <v>50</v>
      </c>
      <c r="C4280" s="4" t="n">
        <v>2</v>
      </c>
      <c r="D4280" s="4" t="s">
        <v>79</v>
      </c>
      <c r="E4280" s="3" t="s">
        <v>90</v>
      </c>
      <c r="F4280" s="4" t="str">
        <f aca="false">IF(I4280&gt;J4280,"Y","N")</f>
        <v>N</v>
      </c>
      <c r="G4280" s="3" t="s">
        <v>164</v>
      </c>
      <c r="H4280" s="3" t="s">
        <v>21</v>
      </c>
      <c r="I4280" s="4" t="n">
        <v>4</v>
      </c>
      <c r="J4280" s="4" t="n">
        <f aca="false">LEN(E4280)-LEN(SUBSTITUTE(E4280,",",""))+1</f>
        <v>4</v>
      </c>
      <c r="K4280" s="3" t="str">
        <f aca="false">IFERROR(INDEX('Teacher Lookup'!$B$2:$B$200,MATCH(A4280,'Teacher Lookup'!$A$2:$A$200,0)),"")</f>
        <v>POW Grace</v>
      </c>
    </row>
    <row r="4281" customFormat="false" ht="15" hidden="false" customHeight="false" outlineLevel="0" collapsed="false">
      <c r="A4281" s="3" t="s">
        <v>425</v>
      </c>
      <c r="B4281" s="4" t="s">
        <v>60</v>
      </c>
      <c r="C4281" s="4" t="n">
        <v>3</v>
      </c>
      <c r="D4281" s="4" t="s">
        <v>76</v>
      </c>
      <c r="E4281" s="3" t="s">
        <v>80</v>
      </c>
      <c r="F4281" s="4" t="str">
        <f aca="false">IF(I4281&gt;J4281,"Y","N")</f>
        <v>N</v>
      </c>
      <c r="G4281" s="3" t="s">
        <v>164</v>
      </c>
      <c r="H4281" s="3" t="s">
        <v>26</v>
      </c>
      <c r="I4281" s="4" t="n">
        <v>4</v>
      </c>
      <c r="J4281" s="4" t="n">
        <f aca="false">LEN(E4281)-LEN(SUBSTITUTE(E4281,",",""))+1</f>
        <v>4</v>
      </c>
      <c r="K4281" s="3" t="str">
        <f aca="false">IFERROR(INDEX('Teacher Lookup'!$B$2:$B$200,MATCH(A4281,'Teacher Lookup'!$A$2:$A$200,0)),"")</f>
        <v>POW Grace</v>
      </c>
    </row>
    <row r="4282" customFormat="false" ht="15" hidden="false" customHeight="false" outlineLevel="0" collapsed="false">
      <c r="A4282" s="3" t="s">
        <v>425</v>
      </c>
      <c r="B4282" s="4" t="s">
        <v>60</v>
      </c>
      <c r="C4282" s="4" t="n">
        <v>3</v>
      </c>
      <c r="D4282" s="4" t="s">
        <v>78</v>
      </c>
      <c r="E4282" s="3" t="s">
        <v>80</v>
      </c>
      <c r="F4282" s="4" t="str">
        <f aca="false">IF(I4282&gt;J4282,"Y","N")</f>
        <v>N</v>
      </c>
      <c r="G4282" s="3" t="s">
        <v>164</v>
      </c>
      <c r="H4282" s="3" t="s">
        <v>26</v>
      </c>
      <c r="I4282" s="4" t="n">
        <v>4</v>
      </c>
      <c r="J4282" s="4" t="n">
        <f aca="false">LEN(E4282)-LEN(SUBSTITUTE(E4282,",",""))+1</f>
        <v>4</v>
      </c>
      <c r="K4282" s="3" t="str">
        <f aca="false">IFERROR(INDEX('Teacher Lookup'!$B$2:$B$200,MATCH(A4282,'Teacher Lookup'!$A$2:$A$200,0)),"")</f>
        <v>POW Grace</v>
      </c>
    </row>
    <row r="4283" customFormat="false" ht="15" hidden="false" customHeight="false" outlineLevel="0" collapsed="false">
      <c r="A4283" s="3" t="s">
        <v>425</v>
      </c>
      <c r="B4283" s="4" t="s">
        <v>60</v>
      </c>
      <c r="C4283" s="4" t="n">
        <v>3</v>
      </c>
      <c r="D4283" s="4" t="s">
        <v>79</v>
      </c>
      <c r="E4283" s="3" t="s">
        <v>80</v>
      </c>
      <c r="F4283" s="4" t="str">
        <f aca="false">IF(I4283&gt;J4283,"Y","N")</f>
        <v>N</v>
      </c>
      <c r="G4283" s="3" t="s">
        <v>164</v>
      </c>
      <c r="H4283" s="3" t="s">
        <v>26</v>
      </c>
      <c r="I4283" s="4" t="n">
        <v>4</v>
      </c>
      <c r="J4283" s="4" t="n">
        <f aca="false">LEN(E4283)-LEN(SUBSTITUTE(E4283,",",""))+1</f>
        <v>4</v>
      </c>
      <c r="K4283" s="3" t="str">
        <f aca="false">IFERROR(INDEX('Teacher Lookup'!$B$2:$B$200,MATCH(A4283,'Teacher Lookup'!$A$2:$A$200,0)),"")</f>
        <v>POW Grace</v>
      </c>
    </row>
    <row r="4284" customFormat="false" ht="15" hidden="false" customHeight="false" outlineLevel="0" collapsed="false">
      <c r="A4284" s="3" t="s">
        <v>425</v>
      </c>
      <c r="B4284" s="4" t="s">
        <v>63</v>
      </c>
      <c r="C4284" s="4" t="n">
        <v>7</v>
      </c>
      <c r="D4284" s="4" t="s">
        <v>76</v>
      </c>
      <c r="E4284" s="3" t="s">
        <v>88</v>
      </c>
      <c r="F4284" s="4" t="str">
        <f aca="false">IF(I4284&gt;J4284,"Y","N")</f>
        <v>N</v>
      </c>
      <c r="G4284" s="3" t="s">
        <v>164</v>
      </c>
      <c r="H4284" s="3" t="s">
        <v>39</v>
      </c>
      <c r="I4284" s="4" t="n">
        <v>4</v>
      </c>
      <c r="J4284" s="4" t="n">
        <f aca="false">LEN(E4284)-LEN(SUBSTITUTE(E4284,",",""))+1</f>
        <v>4</v>
      </c>
      <c r="K4284" s="3" t="str">
        <f aca="false">IFERROR(INDEX('Teacher Lookup'!$B$2:$B$200,MATCH(A4284,'Teacher Lookup'!$A$2:$A$200,0)),"")</f>
        <v>POW Grace</v>
      </c>
    </row>
    <row r="4285" customFormat="false" ht="15" hidden="false" customHeight="false" outlineLevel="0" collapsed="false">
      <c r="A4285" s="3" t="s">
        <v>425</v>
      </c>
      <c r="B4285" s="4" t="s">
        <v>63</v>
      </c>
      <c r="C4285" s="4" t="n">
        <v>7</v>
      </c>
      <c r="D4285" s="4" t="s">
        <v>78</v>
      </c>
      <c r="E4285" s="3" t="s">
        <v>88</v>
      </c>
      <c r="F4285" s="4" t="str">
        <f aca="false">IF(I4285&gt;J4285,"Y","N")</f>
        <v>N</v>
      </c>
      <c r="G4285" s="3" t="s">
        <v>164</v>
      </c>
      <c r="H4285" s="3" t="s">
        <v>39</v>
      </c>
      <c r="I4285" s="4" t="n">
        <v>4</v>
      </c>
      <c r="J4285" s="4" t="n">
        <f aca="false">LEN(E4285)-LEN(SUBSTITUTE(E4285,",",""))+1</f>
        <v>4</v>
      </c>
      <c r="K4285" s="3" t="str">
        <f aca="false">IFERROR(INDEX('Teacher Lookup'!$B$2:$B$200,MATCH(A4285,'Teacher Lookup'!$A$2:$A$200,0)),"")</f>
        <v>POW Grace</v>
      </c>
    </row>
    <row r="4286" customFormat="false" ht="15" hidden="false" customHeight="false" outlineLevel="0" collapsed="false">
      <c r="A4286" s="3" t="s">
        <v>425</v>
      </c>
      <c r="B4286" s="4" t="s">
        <v>63</v>
      </c>
      <c r="C4286" s="4" t="n">
        <v>7</v>
      </c>
      <c r="D4286" s="4" t="s">
        <v>79</v>
      </c>
      <c r="E4286" s="3" t="s">
        <v>88</v>
      </c>
      <c r="F4286" s="4" t="str">
        <f aca="false">IF(I4286&gt;J4286,"Y","N")</f>
        <v>N</v>
      </c>
      <c r="G4286" s="3" t="s">
        <v>164</v>
      </c>
      <c r="H4286" s="3" t="s">
        <v>39</v>
      </c>
      <c r="I4286" s="4" t="n">
        <v>4</v>
      </c>
      <c r="J4286" s="4" t="n">
        <f aca="false">LEN(E4286)-LEN(SUBSTITUTE(E4286,",",""))+1</f>
        <v>4</v>
      </c>
      <c r="K4286" s="3" t="str">
        <f aca="false">IFERROR(INDEX('Teacher Lookup'!$B$2:$B$200,MATCH(A4286,'Teacher Lookup'!$A$2:$A$200,0)),"")</f>
        <v>POW Grace</v>
      </c>
    </row>
    <row r="4287" customFormat="false" ht="15" hidden="false" customHeight="false" outlineLevel="0" collapsed="false">
      <c r="A4287" s="3" t="s">
        <v>425</v>
      </c>
      <c r="B4287" s="4" t="s">
        <v>65</v>
      </c>
      <c r="C4287" s="4" t="n">
        <v>3</v>
      </c>
      <c r="D4287" s="4" t="s">
        <v>76</v>
      </c>
      <c r="E4287" s="3" t="s">
        <v>181</v>
      </c>
      <c r="F4287" s="4" t="str">
        <f aca="false">IF(I4287&gt;J4287,"Y","N")</f>
        <v>N</v>
      </c>
      <c r="G4287" s="3" t="s">
        <v>164</v>
      </c>
      <c r="H4287" s="3" t="s">
        <v>26</v>
      </c>
      <c r="I4287" s="4" t="n">
        <v>4</v>
      </c>
      <c r="J4287" s="4" t="n">
        <f aca="false">LEN(E4287)-LEN(SUBSTITUTE(E4287,",",""))+1</f>
        <v>4</v>
      </c>
      <c r="K4287" s="3" t="str">
        <f aca="false">IFERROR(INDEX('Teacher Lookup'!$B$2:$B$200,MATCH(A4287,'Teacher Lookup'!$A$2:$A$200,0)),"")</f>
        <v>POW Grace</v>
      </c>
    </row>
    <row r="4288" customFormat="false" ht="15" hidden="false" customHeight="false" outlineLevel="0" collapsed="false">
      <c r="A4288" s="3" t="s">
        <v>425</v>
      </c>
      <c r="B4288" s="4" t="s">
        <v>65</v>
      </c>
      <c r="C4288" s="4" t="n">
        <v>3</v>
      </c>
      <c r="D4288" s="4" t="s">
        <v>78</v>
      </c>
      <c r="E4288" s="3" t="s">
        <v>181</v>
      </c>
      <c r="F4288" s="4" t="str">
        <f aca="false">IF(I4288&gt;J4288,"Y","N")</f>
        <v>N</v>
      </c>
      <c r="G4288" s="3" t="s">
        <v>164</v>
      </c>
      <c r="H4288" s="3" t="s">
        <v>26</v>
      </c>
      <c r="I4288" s="4" t="n">
        <v>4</v>
      </c>
      <c r="J4288" s="4" t="n">
        <f aca="false">LEN(E4288)-LEN(SUBSTITUTE(E4288,",",""))+1</f>
        <v>4</v>
      </c>
      <c r="K4288" s="3" t="str">
        <f aca="false">IFERROR(INDEX('Teacher Lookup'!$B$2:$B$200,MATCH(A4288,'Teacher Lookup'!$A$2:$A$200,0)),"")</f>
        <v>POW Grace</v>
      </c>
    </row>
    <row r="4289" customFormat="false" ht="15" hidden="false" customHeight="false" outlineLevel="0" collapsed="false">
      <c r="A4289" s="3" t="s">
        <v>425</v>
      </c>
      <c r="B4289" s="4" t="s">
        <v>65</v>
      </c>
      <c r="C4289" s="4" t="n">
        <v>3</v>
      </c>
      <c r="D4289" s="4" t="s">
        <v>79</v>
      </c>
      <c r="E4289" s="3" t="s">
        <v>181</v>
      </c>
      <c r="F4289" s="4" t="str">
        <f aca="false">IF(I4289&gt;J4289,"Y","N")</f>
        <v>N</v>
      </c>
      <c r="G4289" s="3" t="s">
        <v>164</v>
      </c>
      <c r="H4289" s="3" t="s">
        <v>26</v>
      </c>
      <c r="I4289" s="4" t="n">
        <v>4</v>
      </c>
      <c r="J4289" s="4" t="n">
        <f aca="false">LEN(E4289)-LEN(SUBSTITUTE(E4289,",",""))+1</f>
        <v>4</v>
      </c>
      <c r="K4289" s="3" t="str">
        <f aca="false">IFERROR(INDEX('Teacher Lookup'!$B$2:$B$200,MATCH(A4289,'Teacher Lookup'!$A$2:$A$200,0)),"")</f>
        <v>POW Grace</v>
      </c>
    </row>
    <row r="4290" customFormat="false" ht="15" hidden="false" customHeight="false" outlineLevel="0" collapsed="false">
      <c r="A4290" s="3" t="s">
        <v>425</v>
      </c>
      <c r="B4290" s="4" t="s">
        <v>66</v>
      </c>
      <c r="C4290" s="4" t="n">
        <v>4</v>
      </c>
      <c r="D4290" s="4" t="s">
        <v>76</v>
      </c>
      <c r="E4290" s="3" t="s">
        <v>182</v>
      </c>
      <c r="F4290" s="4" t="str">
        <f aca="false">IF(I4290&gt;J4290,"Y","N")</f>
        <v>N</v>
      </c>
      <c r="G4290" s="3" t="s">
        <v>164</v>
      </c>
      <c r="H4290" s="3" t="s">
        <v>34</v>
      </c>
      <c r="I4290" s="4" t="n">
        <v>4</v>
      </c>
      <c r="J4290" s="4" t="n">
        <f aca="false">LEN(E4290)-LEN(SUBSTITUTE(E4290,",",""))+1</f>
        <v>4</v>
      </c>
      <c r="K4290" s="3" t="str">
        <f aca="false">IFERROR(INDEX('Teacher Lookup'!$B$2:$B$200,MATCH(A4290,'Teacher Lookup'!$A$2:$A$200,0)),"")</f>
        <v>POW Grace</v>
      </c>
    </row>
    <row r="4291" customFormat="false" ht="15" hidden="false" customHeight="false" outlineLevel="0" collapsed="false">
      <c r="A4291" s="3" t="s">
        <v>425</v>
      </c>
      <c r="B4291" s="4" t="s">
        <v>66</v>
      </c>
      <c r="C4291" s="4" t="n">
        <v>4</v>
      </c>
      <c r="D4291" s="4" t="s">
        <v>78</v>
      </c>
      <c r="E4291" s="3" t="s">
        <v>182</v>
      </c>
      <c r="F4291" s="4" t="str">
        <f aca="false">IF(I4291&gt;J4291,"Y","N")</f>
        <v>N</v>
      </c>
      <c r="G4291" s="3" t="s">
        <v>164</v>
      </c>
      <c r="H4291" s="3" t="s">
        <v>34</v>
      </c>
      <c r="I4291" s="4" t="n">
        <v>4</v>
      </c>
      <c r="J4291" s="4" t="n">
        <f aca="false">LEN(E4291)-LEN(SUBSTITUTE(E4291,",",""))+1</f>
        <v>4</v>
      </c>
      <c r="K4291" s="3" t="str">
        <f aca="false">IFERROR(INDEX('Teacher Lookup'!$B$2:$B$200,MATCH(A4291,'Teacher Lookup'!$A$2:$A$200,0)),"")</f>
        <v>POW Grace</v>
      </c>
    </row>
    <row r="4292" customFormat="false" ht="15" hidden="false" customHeight="false" outlineLevel="0" collapsed="false">
      <c r="A4292" s="3" t="s">
        <v>425</v>
      </c>
      <c r="B4292" s="4" t="s">
        <v>66</v>
      </c>
      <c r="C4292" s="4" t="n">
        <v>4</v>
      </c>
      <c r="D4292" s="4" t="s">
        <v>79</v>
      </c>
      <c r="E4292" s="3" t="s">
        <v>182</v>
      </c>
      <c r="F4292" s="4" t="str">
        <f aca="false">IF(I4292&gt;J4292,"Y","N")</f>
        <v>N</v>
      </c>
      <c r="G4292" s="3" t="s">
        <v>164</v>
      </c>
      <c r="H4292" s="3" t="s">
        <v>34</v>
      </c>
      <c r="I4292" s="4" t="n">
        <v>4</v>
      </c>
      <c r="J4292" s="4" t="n">
        <f aca="false">LEN(E4292)-LEN(SUBSTITUTE(E4292,",",""))+1</f>
        <v>4</v>
      </c>
      <c r="K4292" s="3" t="str">
        <f aca="false">IFERROR(INDEX('Teacher Lookup'!$B$2:$B$200,MATCH(A4292,'Teacher Lookup'!$A$2:$A$200,0)),"")</f>
        <v>POW Grace</v>
      </c>
    </row>
    <row r="4293" customFormat="false" ht="15" hidden="false" customHeight="false" outlineLevel="0" collapsed="false">
      <c r="A4293" s="3" t="s">
        <v>425</v>
      </c>
      <c r="B4293" s="4" t="s">
        <v>66</v>
      </c>
      <c r="C4293" s="4" t="n">
        <v>5</v>
      </c>
      <c r="D4293" s="4" t="s">
        <v>76</v>
      </c>
      <c r="E4293" s="3" t="s">
        <v>182</v>
      </c>
      <c r="F4293" s="4" t="str">
        <f aca="false">IF(I4293&gt;J4293,"Y","N")</f>
        <v>N</v>
      </c>
      <c r="G4293" s="3" t="s">
        <v>164</v>
      </c>
      <c r="H4293" s="3" t="s">
        <v>37</v>
      </c>
      <c r="I4293" s="4" t="n">
        <v>4</v>
      </c>
      <c r="J4293" s="4" t="n">
        <f aca="false">LEN(E4293)-LEN(SUBSTITUTE(E4293,",",""))+1</f>
        <v>4</v>
      </c>
      <c r="K4293" s="3" t="str">
        <f aca="false">IFERROR(INDEX('Teacher Lookup'!$B$2:$B$200,MATCH(A4293,'Teacher Lookup'!$A$2:$A$200,0)),"")</f>
        <v>POW Grace</v>
      </c>
    </row>
    <row r="4294" customFormat="false" ht="15" hidden="false" customHeight="false" outlineLevel="0" collapsed="false">
      <c r="A4294" s="3" t="s">
        <v>425</v>
      </c>
      <c r="B4294" s="4" t="s">
        <v>66</v>
      </c>
      <c r="C4294" s="4" t="n">
        <v>5</v>
      </c>
      <c r="D4294" s="4" t="s">
        <v>78</v>
      </c>
      <c r="E4294" s="3" t="s">
        <v>182</v>
      </c>
      <c r="F4294" s="4" t="str">
        <f aca="false">IF(I4294&gt;J4294,"Y","N")</f>
        <v>N</v>
      </c>
      <c r="G4294" s="3" t="s">
        <v>164</v>
      </c>
      <c r="H4294" s="3" t="s">
        <v>37</v>
      </c>
      <c r="I4294" s="4" t="n">
        <v>4</v>
      </c>
      <c r="J4294" s="4" t="n">
        <f aca="false">LEN(E4294)-LEN(SUBSTITUTE(E4294,",",""))+1</f>
        <v>4</v>
      </c>
      <c r="K4294" s="3" t="str">
        <f aca="false">IFERROR(INDEX('Teacher Lookup'!$B$2:$B$200,MATCH(A4294,'Teacher Lookup'!$A$2:$A$200,0)),"")</f>
        <v>POW Grace</v>
      </c>
    </row>
    <row r="4295" customFormat="false" ht="15" hidden="false" customHeight="false" outlineLevel="0" collapsed="false">
      <c r="A4295" s="3" t="s">
        <v>425</v>
      </c>
      <c r="B4295" s="4" t="s">
        <v>66</v>
      </c>
      <c r="C4295" s="4" t="n">
        <v>5</v>
      </c>
      <c r="D4295" s="4" t="s">
        <v>79</v>
      </c>
      <c r="E4295" s="3" t="s">
        <v>182</v>
      </c>
      <c r="F4295" s="4" t="str">
        <f aca="false">IF(I4295&gt;J4295,"Y","N")</f>
        <v>N</v>
      </c>
      <c r="G4295" s="3" t="s">
        <v>164</v>
      </c>
      <c r="H4295" s="3" t="s">
        <v>37</v>
      </c>
      <c r="I4295" s="4" t="n">
        <v>4</v>
      </c>
      <c r="J4295" s="4" t="n">
        <f aca="false">LEN(E4295)-LEN(SUBSTITUTE(E4295,",",""))+1</f>
        <v>4</v>
      </c>
      <c r="K4295" s="3" t="str">
        <f aca="false">IFERROR(INDEX('Teacher Lookup'!$B$2:$B$200,MATCH(A4295,'Teacher Lookup'!$A$2:$A$200,0)),"")</f>
        <v>POW Grace</v>
      </c>
    </row>
    <row r="4296" customFormat="false" ht="15" hidden="false" customHeight="false" outlineLevel="0" collapsed="false">
      <c r="A4296" s="3" t="s">
        <v>426</v>
      </c>
      <c r="B4296" s="4" t="s">
        <v>12</v>
      </c>
      <c r="C4296" s="4" t="n">
        <v>1</v>
      </c>
      <c r="D4296" s="4" t="s">
        <v>52</v>
      </c>
      <c r="E4296" s="3" t="s">
        <v>301</v>
      </c>
      <c r="F4296" s="4" t="str">
        <f aca="false">IF(I4296&gt;J4296,"Y","N")</f>
        <v>N</v>
      </c>
      <c r="G4296" s="3" t="s">
        <v>15</v>
      </c>
      <c r="H4296" s="3" t="s">
        <v>16</v>
      </c>
      <c r="I4296" s="4" t="n">
        <v>7</v>
      </c>
      <c r="J4296" s="4" t="n">
        <f aca="false">LEN(E4296)-LEN(SUBSTITUTE(E4296,",",""))+1</f>
        <v>7</v>
      </c>
      <c r="K4296" s="3" t="str">
        <f aca="false">IFERROR(INDEX('Teacher Lookup'!$B$2:$B$200,MATCH(A4296,'Teacher Lookup'!$A$2:$A$200,0)),"")</f>
        <v>CHENG Horace</v>
      </c>
    </row>
    <row r="4297" customFormat="false" ht="15" hidden="false" customHeight="false" outlineLevel="0" collapsed="false">
      <c r="A4297" s="3" t="s">
        <v>426</v>
      </c>
      <c r="B4297" s="4" t="s">
        <v>12</v>
      </c>
      <c r="C4297" s="4" t="n">
        <v>1</v>
      </c>
      <c r="D4297" s="4" t="s">
        <v>55</v>
      </c>
      <c r="E4297" s="3" t="s">
        <v>301</v>
      </c>
      <c r="F4297" s="4" t="str">
        <f aca="false">IF(I4297&gt;J4297,"Y","N")</f>
        <v>N</v>
      </c>
      <c r="G4297" s="3" t="s">
        <v>15</v>
      </c>
      <c r="H4297" s="3" t="s">
        <v>16</v>
      </c>
      <c r="I4297" s="4" t="n">
        <v>7</v>
      </c>
      <c r="J4297" s="4" t="n">
        <f aca="false">LEN(E4297)-LEN(SUBSTITUTE(E4297,",",""))+1</f>
        <v>7</v>
      </c>
      <c r="K4297" s="3" t="str">
        <f aca="false">IFERROR(INDEX('Teacher Lookup'!$B$2:$B$200,MATCH(A4297,'Teacher Lookup'!$A$2:$A$200,0)),"")</f>
        <v>CHENG Horace</v>
      </c>
    </row>
    <row r="4298" customFormat="false" ht="15" hidden="false" customHeight="false" outlineLevel="0" collapsed="false">
      <c r="A4298" s="3" t="s">
        <v>426</v>
      </c>
      <c r="B4298" s="4" t="s">
        <v>12</v>
      </c>
      <c r="C4298" s="4" t="n">
        <v>1</v>
      </c>
      <c r="D4298" s="4" t="s">
        <v>56</v>
      </c>
      <c r="E4298" s="3" t="s">
        <v>301</v>
      </c>
      <c r="F4298" s="4" t="str">
        <f aca="false">IF(I4298&gt;J4298,"Y","N")</f>
        <v>N</v>
      </c>
      <c r="G4298" s="3" t="s">
        <v>15</v>
      </c>
      <c r="H4298" s="3" t="s">
        <v>16</v>
      </c>
      <c r="I4298" s="4" t="n">
        <v>7</v>
      </c>
      <c r="J4298" s="4" t="n">
        <f aca="false">LEN(E4298)-LEN(SUBSTITUTE(E4298,",",""))+1</f>
        <v>7</v>
      </c>
      <c r="K4298" s="3" t="str">
        <f aca="false">IFERROR(INDEX('Teacher Lookup'!$B$2:$B$200,MATCH(A4298,'Teacher Lookup'!$A$2:$A$200,0)),"")</f>
        <v>CHENG Horace</v>
      </c>
    </row>
    <row r="4299" customFormat="false" ht="15" hidden="false" customHeight="false" outlineLevel="0" collapsed="false">
      <c r="A4299" s="3" t="s">
        <v>426</v>
      </c>
      <c r="B4299" s="4" t="s">
        <v>12</v>
      </c>
      <c r="C4299" s="4" t="n">
        <v>1</v>
      </c>
      <c r="D4299" s="4" t="s">
        <v>57</v>
      </c>
      <c r="E4299" s="3" t="s">
        <v>301</v>
      </c>
      <c r="F4299" s="4" t="str">
        <f aca="false">IF(I4299&gt;J4299,"Y","N")</f>
        <v>N</v>
      </c>
      <c r="G4299" s="3" t="s">
        <v>15</v>
      </c>
      <c r="H4299" s="3" t="s">
        <v>16</v>
      </c>
      <c r="I4299" s="4" t="n">
        <v>7</v>
      </c>
      <c r="J4299" s="4" t="n">
        <f aca="false">LEN(E4299)-LEN(SUBSTITUTE(E4299,",",""))+1</f>
        <v>7</v>
      </c>
      <c r="K4299" s="3" t="str">
        <f aca="false">IFERROR(INDEX('Teacher Lookup'!$B$2:$B$200,MATCH(A4299,'Teacher Lookup'!$A$2:$A$200,0)),"")</f>
        <v>CHENG Horace</v>
      </c>
    </row>
    <row r="4300" customFormat="false" ht="15" hidden="false" customHeight="false" outlineLevel="0" collapsed="false">
      <c r="A4300" s="3" t="s">
        <v>426</v>
      </c>
      <c r="B4300" s="4" t="s">
        <v>12</v>
      </c>
      <c r="C4300" s="4" t="n">
        <v>1</v>
      </c>
      <c r="D4300" s="4" t="s">
        <v>58</v>
      </c>
      <c r="E4300" s="3" t="s">
        <v>301</v>
      </c>
      <c r="F4300" s="4" t="str">
        <f aca="false">IF(I4300&gt;J4300,"Y","N")</f>
        <v>N</v>
      </c>
      <c r="G4300" s="3" t="s">
        <v>15</v>
      </c>
      <c r="H4300" s="3" t="s">
        <v>16</v>
      </c>
      <c r="I4300" s="4" t="n">
        <v>7</v>
      </c>
      <c r="J4300" s="4" t="n">
        <f aca="false">LEN(E4300)-LEN(SUBSTITUTE(E4300,",",""))+1</f>
        <v>7</v>
      </c>
      <c r="K4300" s="3" t="str">
        <f aca="false">IFERROR(INDEX('Teacher Lookup'!$B$2:$B$200,MATCH(A4300,'Teacher Lookup'!$A$2:$A$200,0)),"")</f>
        <v>CHENG Horace</v>
      </c>
    </row>
    <row r="4301" customFormat="false" ht="15" hidden="false" customHeight="false" outlineLevel="0" collapsed="false">
      <c r="A4301" s="3" t="s">
        <v>426</v>
      </c>
      <c r="B4301" s="4" t="s">
        <v>12</v>
      </c>
      <c r="C4301" s="4" t="n">
        <v>1</v>
      </c>
      <c r="D4301" s="4" t="s">
        <v>59</v>
      </c>
      <c r="E4301" s="3" t="s">
        <v>301</v>
      </c>
      <c r="F4301" s="4" t="str">
        <f aca="false">IF(I4301&gt;J4301,"Y","N")</f>
        <v>N</v>
      </c>
      <c r="G4301" s="3" t="s">
        <v>15</v>
      </c>
      <c r="H4301" s="3" t="s">
        <v>16</v>
      </c>
      <c r="I4301" s="4" t="n">
        <v>7</v>
      </c>
      <c r="J4301" s="4" t="n">
        <f aca="false">LEN(E4301)-LEN(SUBSTITUTE(E4301,",",""))+1</f>
        <v>7</v>
      </c>
      <c r="K4301" s="3" t="str">
        <f aca="false">IFERROR(INDEX('Teacher Lookup'!$B$2:$B$200,MATCH(A4301,'Teacher Lookup'!$A$2:$A$200,0)),"")</f>
        <v>CHENG Horace</v>
      </c>
    </row>
    <row r="4302" customFormat="false" ht="15" hidden="false" customHeight="false" outlineLevel="0" collapsed="false">
      <c r="A4302" s="3" t="s">
        <v>426</v>
      </c>
      <c r="B4302" s="4" t="s">
        <v>12</v>
      </c>
      <c r="C4302" s="4" t="n">
        <v>2</v>
      </c>
      <c r="D4302" s="4" t="s">
        <v>76</v>
      </c>
      <c r="E4302" s="3" t="s">
        <v>80</v>
      </c>
      <c r="F4302" s="4" t="str">
        <f aca="false">IF(I4302&gt;J4302,"Y","N")</f>
        <v>N</v>
      </c>
      <c r="G4302" s="3" t="s">
        <v>15</v>
      </c>
      <c r="H4302" s="3" t="s">
        <v>21</v>
      </c>
      <c r="I4302" s="4" t="n">
        <v>4</v>
      </c>
      <c r="J4302" s="4" t="n">
        <f aca="false">LEN(E4302)-LEN(SUBSTITUTE(E4302,",",""))+1</f>
        <v>4</v>
      </c>
      <c r="K4302" s="3" t="str">
        <f aca="false">IFERROR(INDEX('Teacher Lookup'!$B$2:$B$200,MATCH(A4302,'Teacher Lookup'!$A$2:$A$200,0)),"")</f>
        <v>CHENG Horace</v>
      </c>
    </row>
    <row r="4303" customFormat="false" ht="15" hidden="false" customHeight="false" outlineLevel="0" collapsed="false">
      <c r="A4303" s="3" t="s">
        <v>426</v>
      </c>
      <c r="B4303" s="4" t="s">
        <v>12</v>
      </c>
      <c r="C4303" s="4" t="n">
        <v>2</v>
      </c>
      <c r="D4303" s="4" t="s">
        <v>78</v>
      </c>
      <c r="E4303" s="3" t="s">
        <v>80</v>
      </c>
      <c r="F4303" s="4" t="str">
        <f aca="false">IF(I4303&gt;J4303,"Y","N")</f>
        <v>N</v>
      </c>
      <c r="G4303" s="3" t="s">
        <v>15</v>
      </c>
      <c r="H4303" s="3" t="s">
        <v>21</v>
      </c>
      <c r="I4303" s="4" t="n">
        <v>4</v>
      </c>
      <c r="J4303" s="4" t="n">
        <f aca="false">LEN(E4303)-LEN(SUBSTITUTE(E4303,",",""))+1</f>
        <v>4</v>
      </c>
      <c r="K4303" s="3" t="str">
        <f aca="false">IFERROR(INDEX('Teacher Lookup'!$B$2:$B$200,MATCH(A4303,'Teacher Lookup'!$A$2:$A$200,0)),"")</f>
        <v>CHENG Horace</v>
      </c>
    </row>
    <row r="4304" customFormat="false" ht="15" hidden="false" customHeight="false" outlineLevel="0" collapsed="false">
      <c r="A4304" s="3" t="s">
        <v>426</v>
      </c>
      <c r="B4304" s="4" t="s">
        <v>12</v>
      </c>
      <c r="C4304" s="4" t="n">
        <v>2</v>
      </c>
      <c r="D4304" s="4" t="s">
        <v>79</v>
      </c>
      <c r="E4304" s="3" t="s">
        <v>80</v>
      </c>
      <c r="F4304" s="4" t="str">
        <f aca="false">IF(I4304&gt;J4304,"Y","N")</f>
        <v>N</v>
      </c>
      <c r="G4304" s="3" t="s">
        <v>15</v>
      </c>
      <c r="H4304" s="3" t="s">
        <v>21</v>
      </c>
      <c r="I4304" s="4" t="n">
        <v>4</v>
      </c>
      <c r="J4304" s="4" t="n">
        <f aca="false">LEN(E4304)-LEN(SUBSTITUTE(E4304,",",""))+1</f>
        <v>4</v>
      </c>
      <c r="K4304" s="3" t="str">
        <f aca="false">IFERROR(INDEX('Teacher Lookup'!$B$2:$B$200,MATCH(A4304,'Teacher Lookup'!$A$2:$A$200,0)),"")</f>
        <v>CHENG Horace</v>
      </c>
    </row>
    <row r="4305" customFormat="false" ht="15" hidden="false" customHeight="false" outlineLevel="0" collapsed="false">
      <c r="A4305" s="3" t="s">
        <v>426</v>
      </c>
      <c r="B4305" s="4" t="s">
        <v>12</v>
      </c>
      <c r="C4305" s="4" t="n">
        <v>3</v>
      </c>
      <c r="D4305" s="4" t="s">
        <v>102</v>
      </c>
      <c r="E4305" s="3" t="s">
        <v>227</v>
      </c>
      <c r="F4305" s="4" t="str">
        <f aca="false">IF(I4305&gt;J4305,"Y","N")</f>
        <v>N</v>
      </c>
      <c r="G4305" s="3" t="s">
        <v>15</v>
      </c>
      <c r="H4305" s="3" t="s">
        <v>26</v>
      </c>
      <c r="I4305" s="4" t="n">
        <v>5</v>
      </c>
      <c r="J4305" s="4" t="n">
        <f aca="false">LEN(E4305)-LEN(SUBSTITUTE(E4305,",",""))+1</f>
        <v>5</v>
      </c>
      <c r="K4305" s="3" t="str">
        <f aca="false">IFERROR(INDEX('Teacher Lookup'!$B$2:$B$200,MATCH(A4305,'Teacher Lookup'!$A$2:$A$200,0)),"")</f>
        <v>CHENG Horace</v>
      </c>
    </row>
    <row r="4306" customFormat="false" ht="15" hidden="false" customHeight="false" outlineLevel="0" collapsed="false">
      <c r="A4306" s="3" t="s">
        <v>426</v>
      </c>
      <c r="B4306" s="4" t="s">
        <v>12</v>
      </c>
      <c r="C4306" s="4" t="n">
        <v>3</v>
      </c>
      <c r="D4306" s="4" t="s">
        <v>105</v>
      </c>
      <c r="E4306" s="3" t="s">
        <v>227</v>
      </c>
      <c r="F4306" s="4" t="str">
        <f aca="false">IF(I4306&gt;J4306,"Y","N")</f>
        <v>N</v>
      </c>
      <c r="G4306" s="3" t="s">
        <v>15</v>
      </c>
      <c r="H4306" s="3" t="s">
        <v>26</v>
      </c>
      <c r="I4306" s="4" t="n">
        <v>5</v>
      </c>
      <c r="J4306" s="4" t="n">
        <f aca="false">LEN(E4306)-LEN(SUBSTITUTE(E4306,",",""))+1</f>
        <v>5</v>
      </c>
      <c r="K4306" s="3" t="str">
        <f aca="false">IFERROR(INDEX('Teacher Lookup'!$B$2:$B$200,MATCH(A4306,'Teacher Lookup'!$A$2:$A$200,0)),"")</f>
        <v>CHENG Horace</v>
      </c>
    </row>
    <row r="4307" customFormat="false" ht="15" hidden="false" customHeight="false" outlineLevel="0" collapsed="false">
      <c r="A4307" s="3" t="s">
        <v>426</v>
      </c>
      <c r="B4307" s="4" t="s">
        <v>12</v>
      </c>
      <c r="C4307" s="4" t="n">
        <v>3</v>
      </c>
      <c r="D4307" s="4" t="s">
        <v>106</v>
      </c>
      <c r="E4307" s="3" t="s">
        <v>227</v>
      </c>
      <c r="F4307" s="4" t="str">
        <f aca="false">IF(I4307&gt;J4307,"Y","N")</f>
        <v>N</v>
      </c>
      <c r="G4307" s="3" t="s">
        <v>15</v>
      </c>
      <c r="H4307" s="3" t="s">
        <v>26</v>
      </c>
      <c r="I4307" s="4" t="n">
        <v>5</v>
      </c>
      <c r="J4307" s="4" t="n">
        <f aca="false">LEN(E4307)-LEN(SUBSTITUTE(E4307,",",""))+1</f>
        <v>5</v>
      </c>
      <c r="K4307" s="3" t="str">
        <f aca="false">IFERROR(INDEX('Teacher Lookup'!$B$2:$B$200,MATCH(A4307,'Teacher Lookup'!$A$2:$A$200,0)),"")</f>
        <v>CHENG Horace</v>
      </c>
    </row>
    <row r="4308" customFormat="false" ht="15" hidden="false" customHeight="false" outlineLevel="0" collapsed="false">
      <c r="A4308" s="3" t="s">
        <v>426</v>
      </c>
      <c r="B4308" s="4" t="s">
        <v>12</v>
      </c>
      <c r="C4308" s="4" t="n">
        <v>3</v>
      </c>
      <c r="D4308" s="4" t="s">
        <v>107</v>
      </c>
      <c r="E4308" s="3" t="s">
        <v>227</v>
      </c>
      <c r="F4308" s="4" t="str">
        <f aca="false">IF(I4308&gt;J4308,"Y","N")</f>
        <v>N</v>
      </c>
      <c r="G4308" s="3" t="s">
        <v>15</v>
      </c>
      <c r="H4308" s="3" t="s">
        <v>26</v>
      </c>
      <c r="I4308" s="4" t="n">
        <v>5</v>
      </c>
      <c r="J4308" s="4" t="n">
        <f aca="false">LEN(E4308)-LEN(SUBSTITUTE(E4308,",",""))+1</f>
        <v>5</v>
      </c>
      <c r="K4308" s="3" t="str">
        <f aca="false">IFERROR(INDEX('Teacher Lookup'!$B$2:$B$200,MATCH(A4308,'Teacher Lookup'!$A$2:$A$200,0)),"")</f>
        <v>CHENG Horace</v>
      </c>
    </row>
    <row r="4309" customFormat="false" ht="15" hidden="false" customHeight="false" outlineLevel="0" collapsed="false">
      <c r="A4309" s="3" t="s">
        <v>426</v>
      </c>
      <c r="B4309" s="4" t="s">
        <v>31</v>
      </c>
      <c r="C4309" s="4" t="n">
        <v>2</v>
      </c>
      <c r="D4309" s="4" t="s">
        <v>52</v>
      </c>
      <c r="E4309" s="3" t="s">
        <v>303</v>
      </c>
      <c r="F4309" s="4" t="str">
        <f aca="false">IF(I4309&gt;J4309,"Y","N")</f>
        <v>N</v>
      </c>
      <c r="G4309" s="3" t="s">
        <v>15</v>
      </c>
      <c r="H4309" s="3" t="s">
        <v>21</v>
      </c>
      <c r="I4309" s="4" t="n">
        <v>7</v>
      </c>
      <c r="J4309" s="4" t="n">
        <f aca="false">LEN(E4309)-LEN(SUBSTITUTE(E4309,",",""))+1</f>
        <v>7</v>
      </c>
      <c r="K4309" s="3" t="str">
        <f aca="false">IFERROR(INDEX('Teacher Lookup'!$B$2:$B$200,MATCH(A4309,'Teacher Lookup'!$A$2:$A$200,0)),"")</f>
        <v>CHENG Horace</v>
      </c>
    </row>
    <row r="4310" customFormat="false" ht="15" hidden="false" customHeight="false" outlineLevel="0" collapsed="false">
      <c r="A4310" s="3" t="s">
        <v>426</v>
      </c>
      <c r="B4310" s="4" t="s">
        <v>31</v>
      </c>
      <c r="C4310" s="4" t="n">
        <v>2</v>
      </c>
      <c r="D4310" s="4" t="s">
        <v>55</v>
      </c>
      <c r="E4310" s="3" t="s">
        <v>303</v>
      </c>
      <c r="F4310" s="4" t="str">
        <f aca="false">IF(I4310&gt;J4310,"Y","N")</f>
        <v>N</v>
      </c>
      <c r="G4310" s="3" t="s">
        <v>15</v>
      </c>
      <c r="H4310" s="3" t="s">
        <v>21</v>
      </c>
      <c r="I4310" s="4" t="n">
        <v>7</v>
      </c>
      <c r="J4310" s="4" t="n">
        <f aca="false">LEN(E4310)-LEN(SUBSTITUTE(E4310,",",""))+1</f>
        <v>7</v>
      </c>
      <c r="K4310" s="3" t="str">
        <f aca="false">IFERROR(INDEX('Teacher Lookup'!$B$2:$B$200,MATCH(A4310,'Teacher Lookup'!$A$2:$A$200,0)),"")</f>
        <v>CHENG Horace</v>
      </c>
    </row>
    <row r="4311" customFormat="false" ht="15" hidden="false" customHeight="false" outlineLevel="0" collapsed="false">
      <c r="A4311" s="3" t="s">
        <v>426</v>
      </c>
      <c r="B4311" s="4" t="s">
        <v>31</v>
      </c>
      <c r="C4311" s="4" t="n">
        <v>2</v>
      </c>
      <c r="D4311" s="4" t="s">
        <v>56</v>
      </c>
      <c r="E4311" s="3" t="s">
        <v>303</v>
      </c>
      <c r="F4311" s="4" t="str">
        <f aca="false">IF(I4311&gt;J4311,"Y","N")</f>
        <v>N</v>
      </c>
      <c r="G4311" s="3" t="s">
        <v>15</v>
      </c>
      <c r="H4311" s="3" t="s">
        <v>21</v>
      </c>
      <c r="I4311" s="4" t="n">
        <v>7</v>
      </c>
      <c r="J4311" s="4" t="n">
        <f aca="false">LEN(E4311)-LEN(SUBSTITUTE(E4311,",",""))+1</f>
        <v>7</v>
      </c>
      <c r="K4311" s="3" t="str">
        <f aca="false">IFERROR(INDEX('Teacher Lookup'!$B$2:$B$200,MATCH(A4311,'Teacher Lookup'!$A$2:$A$200,0)),"")</f>
        <v>CHENG Horace</v>
      </c>
    </row>
    <row r="4312" customFormat="false" ht="15" hidden="false" customHeight="false" outlineLevel="0" collapsed="false">
      <c r="A4312" s="3" t="s">
        <v>426</v>
      </c>
      <c r="B4312" s="4" t="s">
        <v>31</v>
      </c>
      <c r="C4312" s="4" t="n">
        <v>2</v>
      </c>
      <c r="D4312" s="4" t="s">
        <v>57</v>
      </c>
      <c r="E4312" s="3" t="s">
        <v>303</v>
      </c>
      <c r="F4312" s="4" t="str">
        <f aca="false">IF(I4312&gt;J4312,"Y","N")</f>
        <v>N</v>
      </c>
      <c r="G4312" s="3" t="s">
        <v>15</v>
      </c>
      <c r="H4312" s="3" t="s">
        <v>21</v>
      </c>
      <c r="I4312" s="4" t="n">
        <v>7</v>
      </c>
      <c r="J4312" s="4" t="n">
        <f aca="false">LEN(E4312)-LEN(SUBSTITUTE(E4312,",",""))+1</f>
        <v>7</v>
      </c>
      <c r="K4312" s="3" t="str">
        <f aca="false">IFERROR(INDEX('Teacher Lookup'!$B$2:$B$200,MATCH(A4312,'Teacher Lookup'!$A$2:$A$200,0)),"")</f>
        <v>CHENG Horace</v>
      </c>
    </row>
    <row r="4313" customFormat="false" ht="15" hidden="false" customHeight="false" outlineLevel="0" collapsed="false">
      <c r="A4313" s="3" t="s">
        <v>426</v>
      </c>
      <c r="B4313" s="4" t="s">
        <v>31</v>
      </c>
      <c r="C4313" s="4" t="n">
        <v>2</v>
      </c>
      <c r="D4313" s="4" t="s">
        <v>58</v>
      </c>
      <c r="E4313" s="3" t="s">
        <v>303</v>
      </c>
      <c r="F4313" s="4" t="str">
        <f aca="false">IF(I4313&gt;J4313,"Y","N")</f>
        <v>N</v>
      </c>
      <c r="G4313" s="3" t="s">
        <v>15</v>
      </c>
      <c r="H4313" s="3" t="s">
        <v>21</v>
      </c>
      <c r="I4313" s="4" t="n">
        <v>7</v>
      </c>
      <c r="J4313" s="4" t="n">
        <f aca="false">LEN(E4313)-LEN(SUBSTITUTE(E4313,",",""))+1</f>
        <v>7</v>
      </c>
      <c r="K4313" s="3" t="str">
        <f aca="false">IFERROR(INDEX('Teacher Lookup'!$B$2:$B$200,MATCH(A4313,'Teacher Lookup'!$A$2:$A$200,0)),"")</f>
        <v>CHENG Horace</v>
      </c>
    </row>
    <row r="4314" customFormat="false" ht="15" hidden="false" customHeight="false" outlineLevel="0" collapsed="false">
      <c r="A4314" s="3" t="s">
        <v>426</v>
      </c>
      <c r="B4314" s="4" t="s">
        <v>31</v>
      </c>
      <c r="C4314" s="4" t="n">
        <v>2</v>
      </c>
      <c r="D4314" s="4" t="s">
        <v>59</v>
      </c>
      <c r="E4314" s="3" t="s">
        <v>303</v>
      </c>
      <c r="F4314" s="4" t="str">
        <f aca="false">IF(I4314&gt;J4314,"Y","N")</f>
        <v>N</v>
      </c>
      <c r="G4314" s="3" t="s">
        <v>15</v>
      </c>
      <c r="H4314" s="3" t="s">
        <v>21</v>
      </c>
      <c r="I4314" s="4" t="n">
        <v>7</v>
      </c>
      <c r="J4314" s="4" t="n">
        <f aca="false">LEN(E4314)-LEN(SUBSTITUTE(E4314,",",""))+1</f>
        <v>7</v>
      </c>
      <c r="K4314" s="3" t="str">
        <f aca="false">IFERROR(INDEX('Teacher Lookup'!$B$2:$B$200,MATCH(A4314,'Teacher Lookup'!$A$2:$A$200,0)),"")</f>
        <v>CHENG Horace</v>
      </c>
    </row>
    <row r="4315" customFormat="false" ht="15" hidden="false" customHeight="false" outlineLevel="0" collapsed="false">
      <c r="A4315" s="3" t="s">
        <v>426</v>
      </c>
      <c r="B4315" s="4" t="s">
        <v>31</v>
      </c>
      <c r="C4315" s="4" t="n">
        <v>5</v>
      </c>
      <c r="D4315" s="4" t="s">
        <v>70</v>
      </c>
      <c r="E4315" s="3" t="s">
        <v>81</v>
      </c>
      <c r="F4315" s="4" t="str">
        <f aca="false">IF(I4315&gt;J4315,"Y","N")</f>
        <v>Y</v>
      </c>
      <c r="G4315" s="3" t="s">
        <v>36</v>
      </c>
      <c r="H4315" s="3" t="s">
        <v>37</v>
      </c>
      <c r="I4315" s="4" t="n">
        <v>15</v>
      </c>
      <c r="J4315" s="4" t="n">
        <f aca="false">LEN(E4315)-LEN(SUBSTITUTE(E4315,",",""))+1</f>
        <v>7</v>
      </c>
      <c r="K4315" s="3" t="str">
        <f aca="false">IFERROR(INDEX('Teacher Lookup'!$B$2:$B$200,MATCH(A4315,'Teacher Lookup'!$A$2:$A$200,0)),"")</f>
        <v>CHENG Horace</v>
      </c>
    </row>
    <row r="4316" customFormat="false" ht="15" hidden="false" customHeight="false" outlineLevel="0" collapsed="false">
      <c r="A4316" s="3" t="s">
        <v>426</v>
      </c>
      <c r="B4316" s="4" t="s">
        <v>31</v>
      </c>
      <c r="C4316" s="4" t="n">
        <v>5</v>
      </c>
      <c r="D4316" s="4" t="s">
        <v>73</v>
      </c>
      <c r="E4316" s="3" t="s">
        <v>81</v>
      </c>
      <c r="F4316" s="4" t="str">
        <f aca="false">IF(I4316&gt;J4316,"Y","N")</f>
        <v>Y</v>
      </c>
      <c r="G4316" s="3" t="s">
        <v>36</v>
      </c>
      <c r="H4316" s="3" t="s">
        <v>37</v>
      </c>
      <c r="I4316" s="4" t="n">
        <v>15</v>
      </c>
      <c r="J4316" s="4" t="n">
        <f aca="false">LEN(E4316)-LEN(SUBSTITUTE(E4316,",",""))+1</f>
        <v>7</v>
      </c>
      <c r="K4316" s="3" t="str">
        <f aca="false">IFERROR(INDEX('Teacher Lookup'!$B$2:$B$200,MATCH(A4316,'Teacher Lookup'!$A$2:$A$200,0)),"")</f>
        <v>CHENG Horace</v>
      </c>
    </row>
    <row r="4317" customFormat="false" ht="15" hidden="false" customHeight="false" outlineLevel="0" collapsed="false">
      <c r="A4317" s="3" t="s">
        <v>426</v>
      </c>
      <c r="B4317" s="4" t="s">
        <v>31</v>
      </c>
      <c r="C4317" s="4" t="n">
        <v>5</v>
      </c>
      <c r="D4317" s="4" t="s">
        <v>74</v>
      </c>
      <c r="E4317" s="3" t="s">
        <v>81</v>
      </c>
      <c r="F4317" s="4" t="str">
        <f aca="false">IF(I4317&gt;J4317,"Y","N")</f>
        <v>Y</v>
      </c>
      <c r="G4317" s="3" t="s">
        <v>36</v>
      </c>
      <c r="H4317" s="3" t="s">
        <v>37</v>
      </c>
      <c r="I4317" s="4" t="n">
        <v>15</v>
      </c>
      <c r="J4317" s="4" t="n">
        <f aca="false">LEN(E4317)-LEN(SUBSTITUTE(E4317,",",""))+1</f>
        <v>7</v>
      </c>
      <c r="K4317" s="3" t="str">
        <f aca="false">IFERROR(INDEX('Teacher Lookup'!$B$2:$B$200,MATCH(A4317,'Teacher Lookup'!$A$2:$A$200,0)),"")</f>
        <v>CHENG Horace</v>
      </c>
    </row>
    <row r="4318" customFormat="false" ht="15" hidden="false" customHeight="false" outlineLevel="0" collapsed="false">
      <c r="A4318" s="3" t="s">
        <v>426</v>
      </c>
      <c r="B4318" s="4" t="s">
        <v>31</v>
      </c>
      <c r="C4318" s="4" t="n">
        <v>5</v>
      </c>
      <c r="D4318" s="4" t="s">
        <v>76</v>
      </c>
      <c r="E4318" s="3" t="s">
        <v>81</v>
      </c>
      <c r="F4318" s="4" t="str">
        <f aca="false">IF(I4318&gt;J4318,"Y","N")</f>
        <v>Y</v>
      </c>
      <c r="G4318" s="3" t="s">
        <v>36</v>
      </c>
      <c r="H4318" s="3" t="s">
        <v>37</v>
      </c>
      <c r="I4318" s="4" t="n">
        <v>15</v>
      </c>
      <c r="J4318" s="4" t="n">
        <f aca="false">LEN(E4318)-LEN(SUBSTITUTE(E4318,",",""))+1</f>
        <v>7</v>
      </c>
      <c r="K4318" s="3" t="str">
        <f aca="false">IFERROR(INDEX('Teacher Lookup'!$B$2:$B$200,MATCH(A4318,'Teacher Lookup'!$A$2:$A$200,0)),"")</f>
        <v>CHENG Horace</v>
      </c>
    </row>
    <row r="4319" customFormat="false" ht="15" hidden="false" customHeight="false" outlineLevel="0" collapsed="false">
      <c r="A4319" s="3" t="s">
        <v>426</v>
      </c>
      <c r="B4319" s="4" t="s">
        <v>31</v>
      </c>
      <c r="C4319" s="4" t="n">
        <v>5</v>
      </c>
      <c r="D4319" s="4" t="s">
        <v>78</v>
      </c>
      <c r="E4319" s="3" t="s">
        <v>81</v>
      </c>
      <c r="F4319" s="4" t="str">
        <f aca="false">IF(I4319&gt;J4319,"Y","N")</f>
        <v>Y</v>
      </c>
      <c r="G4319" s="3" t="s">
        <v>36</v>
      </c>
      <c r="H4319" s="3" t="s">
        <v>37</v>
      </c>
      <c r="I4319" s="4" t="n">
        <v>15</v>
      </c>
      <c r="J4319" s="4" t="n">
        <f aca="false">LEN(E4319)-LEN(SUBSTITUTE(E4319,",",""))+1</f>
        <v>7</v>
      </c>
      <c r="K4319" s="3" t="str">
        <f aca="false">IFERROR(INDEX('Teacher Lookup'!$B$2:$B$200,MATCH(A4319,'Teacher Lookup'!$A$2:$A$200,0)),"")</f>
        <v>CHENG Horace</v>
      </c>
    </row>
    <row r="4320" customFormat="false" ht="15" hidden="false" customHeight="false" outlineLevel="0" collapsed="false">
      <c r="A4320" s="3" t="s">
        <v>426</v>
      </c>
      <c r="B4320" s="4" t="s">
        <v>31</v>
      </c>
      <c r="C4320" s="4" t="n">
        <v>5</v>
      </c>
      <c r="D4320" s="4" t="s">
        <v>79</v>
      </c>
      <c r="E4320" s="3" t="s">
        <v>81</v>
      </c>
      <c r="F4320" s="4" t="str">
        <f aca="false">IF(I4320&gt;J4320,"Y","N")</f>
        <v>Y</v>
      </c>
      <c r="G4320" s="3" t="s">
        <v>36</v>
      </c>
      <c r="H4320" s="3" t="s">
        <v>37</v>
      </c>
      <c r="I4320" s="4" t="n">
        <v>15</v>
      </c>
      <c r="J4320" s="4" t="n">
        <f aca="false">LEN(E4320)-LEN(SUBSTITUTE(E4320,",",""))+1</f>
        <v>7</v>
      </c>
      <c r="K4320" s="3" t="str">
        <f aca="false">IFERROR(INDEX('Teacher Lookup'!$B$2:$B$200,MATCH(A4320,'Teacher Lookup'!$A$2:$A$200,0)),"")</f>
        <v>CHENG Horace</v>
      </c>
    </row>
    <row r="4321" customFormat="false" ht="15" hidden="false" customHeight="false" outlineLevel="0" collapsed="false">
      <c r="A4321" s="3" t="s">
        <v>426</v>
      </c>
      <c r="B4321" s="4" t="s">
        <v>31</v>
      </c>
      <c r="C4321" s="4" t="n">
        <v>6</v>
      </c>
      <c r="D4321" s="4" t="s">
        <v>76</v>
      </c>
      <c r="E4321" s="3" t="s">
        <v>204</v>
      </c>
      <c r="F4321" s="4" t="str">
        <f aca="false">IF(I4321&gt;J4321,"Y","N")</f>
        <v>N</v>
      </c>
      <c r="G4321" s="3" t="s">
        <v>15</v>
      </c>
      <c r="H4321" s="3" t="s">
        <v>42</v>
      </c>
      <c r="I4321" s="4" t="n">
        <v>4</v>
      </c>
      <c r="J4321" s="4" t="n">
        <f aca="false">LEN(E4321)-LEN(SUBSTITUTE(E4321,",",""))+1</f>
        <v>4</v>
      </c>
      <c r="K4321" s="3" t="str">
        <f aca="false">IFERROR(INDEX('Teacher Lookup'!$B$2:$B$200,MATCH(A4321,'Teacher Lookup'!$A$2:$A$200,0)),"")</f>
        <v>CHENG Horace</v>
      </c>
    </row>
    <row r="4322" customFormat="false" ht="15" hidden="false" customHeight="false" outlineLevel="0" collapsed="false">
      <c r="A4322" s="3" t="s">
        <v>426</v>
      </c>
      <c r="B4322" s="4" t="s">
        <v>31</v>
      </c>
      <c r="C4322" s="4" t="n">
        <v>6</v>
      </c>
      <c r="D4322" s="4" t="s">
        <v>78</v>
      </c>
      <c r="E4322" s="3" t="s">
        <v>204</v>
      </c>
      <c r="F4322" s="4" t="str">
        <f aca="false">IF(I4322&gt;J4322,"Y","N")</f>
        <v>N</v>
      </c>
      <c r="G4322" s="3" t="s">
        <v>15</v>
      </c>
      <c r="H4322" s="3" t="s">
        <v>42</v>
      </c>
      <c r="I4322" s="4" t="n">
        <v>4</v>
      </c>
      <c r="J4322" s="4" t="n">
        <f aca="false">LEN(E4322)-LEN(SUBSTITUTE(E4322,",",""))+1</f>
        <v>4</v>
      </c>
      <c r="K4322" s="3" t="str">
        <f aca="false">IFERROR(INDEX('Teacher Lookup'!$B$2:$B$200,MATCH(A4322,'Teacher Lookup'!$A$2:$A$200,0)),"")</f>
        <v>CHENG Horace</v>
      </c>
    </row>
    <row r="4323" customFormat="false" ht="15" hidden="false" customHeight="false" outlineLevel="0" collapsed="false">
      <c r="A4323" s="3" t="s">
        <v>426</v>
      </c>
      <c r="B4323" s="4" t="s">
        <v>31</v>
      </c>
      <c r="C4323" s="4" t="n">
        <v>6</v>
      </c>
      <c r="D4323" s="4" t="s">
        <v>79</v>
      </c>
      <c r="E4323" s="3" t="s">
        <v>204</v>
      </c>
      <c r="F4323" s="4" t="str">
        <f aca="false">IF(I4323&gt;J4323,"Y","N")</f>
        <v>N</v>
      </c>
      <c r="G4323" s="3" t="s">
        <v>15</v>
      </c>
      <c r="H4323" s="3" t="s">
        <v>42</v>
      </c>
      <c r="I4323" s="4" t="n">
        <v>4</v>
      </c>
      <c r="J4323" s="4" t="n">
        <f aca="false">LEN(E4323)-LEN(SUBSTITUTE(E4323,",",""))+1</f>
        <v>4</v>
      </c>
      <c r="K4323" s="3" t="str">
        <f aca="false">IFERROR(INDEX('Teacher Lookup'!$B$2:$B$200,MATCH(A4323,'Teacher Lookup'!$A$2:$A$200,0)),"")</f>
        <v>CHENG Horace</v>
      </c>
    </row>
    <row r="4324" customFormat="false" ht="15" hidden="false" customHeight="false" outlineLevel="0" collapsed="false">
      <c r="A4324" s="3" t="s">
        <v>426</v>
      </c>
      <c r="B4324" s="4" t="s">
        <v>40</v>
      </c>
      <c r="C4324" s="4" t="n">
        <v>3</v>
      </c>
      <c r="D4324" s="4" t="s">
        <v>76</v>
      </c>
      <c r="E4324" s="3" t="s">
        <v>206</v>
      </c>
      <c r="F4324" s="4" t="str">
        <f aca="false">IF(I4324&gt;J4324,"Y","N")</f>
        <v>N</v>
      </c>
      <c r="G4324" s="3" t="s">
        <v>15</v>
      </c>
      <c r="H4324" s="3" t="s">
        <v>26</v>
      </c>
      <c r="I4324" s="4" t="n">
        <v>4</v>
      </c>
      <c r="J4324" s="4" t="n">
        <f aca="false">LEN(E4324)-LEN(SUBSTITUTE(E4324,",",""))+1</f>
        <v>4</v>
      </c>
      <c r="K4324" s="3" t="str">
        <f aca="false">IFERROR(INDEX('Teacher Lookup'!$B$2:$B$200,MATCH(A4324,'Teacher Lookup'!$A$2:$A$200,0)),"")</f>
        <v>CHENG Horace</v>
      </c>
    </row>
    <row r="4325" customFormat="false" ht="15" hidden="false" customHeight="false" outlineLevel="0" collapsed="false">
      <c r="A4325" s="3" t="s">
        <v>426</v>
      </c>
      <c r="B4325" s="4" t="s">
        <v>40</v>
      </c>
      <c r="C4325" s="4" t="n">
        <v>3</v>
      </c>
      <c r="D4325" s="4" t="s">
        <v>78</v>
      </c>
      <c r="E4325" s="3" t="s">
        <v>206</v>
      </c>
      <c r="F4325" s="4" t="str">
        <f aca="false">IF(I4325&gt;J4325,"Y","N")</f>
        <v>N</v>
      </c>
      <c r="G4325" s="3" t="s">
        <v>15</v>
      </c>
      <c r="H4325" s="3" t="s">
        <v>26</v>
      </c>
      <c r="I4325" s="4" t="n">
        <v>4</v>
      </c>
      <c r="J4325" s="4" t="n">
        <f aca="false">LEN(E4325)-LEN(SUBSTITUTE(E4325,",",""))+1</f>
        <v>4</v>
      </c>
      <c r="K4325" s="3" t="str">
        <f aca="false">IFERROR(INDEX('Teacher Lookup'!$B$2:$B$200,MATCH(A4325,'Teacher Lookup'!$A$2:$A$200,0)),"")</f>
        <v>CHENG Horace</v>
      </c>
    </row>
    <row r="4326" customFormat="false" ht="15" hidden="false" customHeight="false" outlineLevel="0" collapsed="false">
      <c r="A4326" s="3" t="s">
        <v>426</v>
      </c>
      <c r="B4326" s="4" t="s">
        <v>40</v>
      </c>
      <c r="C4326" s="4" t="n">
        <v>3</v>
      </c>
      <c r="D4326" s="4" t="s">
        <v>79</v>
      </c>
      <c r="E4326" s="3" t="s">
        <v>206</v>
      </c>
      <c r="F4326" s="4" t="str">
        <f aca="false">IF(I4326&gt;J4326,"Y","N")</f>
        <v>N</v>
      </c>
      <c r="G4326" s="3" t="s">
        <v>15</v>
      </c>
      <c r="H4326" s="3" t="s">
        <v>26</v>
      </c>
      <c r="I4326" s="4" t="n">
        <v>4</v>
      </c>
      <c r="J4326" s="4" t="n">
        <f aca="false">LEN(E4326)-LEN(SUBSTITUTE(E4326,",",""))+1</f>
        <v>4</v>
      </c>
      <c r="K4326" s="3" t="str">
        <f aca="false">IFERROR(INDEX('Teacher Lookup'!$B$2:$B$200,MATCH(A4326,'Teacher Lookup'!$A$2:$A$200,0)),"")</f>
        <v>CHENG Horace</v>
      </c>
    </row>
    <row r="4327" customFormat="false" ht="15" hidden="false" customHeight="false" outlineLevel="0" collapsed="false">
      <c r="A4327" s="3" t="s">
        <v>426</v>
      </c>
      <c r="B4327" s="4" t="s">
        <v>40</v>
      </c>
      <c r="C4327" s="4" t="n">
        <v>4</v>
      </c>
      <c r="D4327" s="4" t="s">
        <v>102</v>
      </c>
      <c r="E4327" s="3" t="s">
        <v>230</v>
      </c>
      <c r="F4327" s="4" t="str">
        <f aca="false">IF(I4327&gt;J4327,"Y","N")</f>
        <v>N</v>
      </c>
      <c r="G4327" s="3" t="s">
        <v>15</v>
      </c>
      <c r="H4327" s="3" t="s">
        <v>34</v>
      </c>
      <c r="I4327" s="4" t="n">
        <v>5</v>
      </c>
      <c r="J4327" s="4" t="n">
        <f aca="false">LEN(E4327)-LEN(SUBSTITUTE(E4327,",",""))+1</f>
        <v>5</v>
      </c>
      <c r="K4327" s="3" t="str">
        <f aca="false">IFERROR(INDEX('Teacher Lookup'!$B$2:$B$200,MATCH(A4327,'Teacher Lookup'!$A$2:$A$200,0)),"")</f>
        <v>CHENG Horace</v>
      </c>
    </row>
    <row r="4328" customFormat="false" ht="15" hidden="false" customHeight="false" outlineLevel="0" collapsed="false">
      <c r="A4328" s="3" t="s">
        <v>426</v>
      </c>
      <c r="B4328" s="4" t="s">
        <v>40</v>
      </c>
      <c r="C4328" s="4" t="n">
        <v>4</v>
      </c>
      <c r="D4328" s="4" t="s">
        <v>105</v>
      </c>
      <c r="E4328" s="3" t="s">
        <v>230</v>
      </c>
      <c r="F4328" s="4" t="str">
        <f aca="false">IF(I4328&gt;J4328,"Y","N")</f>
        <v>N</v>
      </c>
      <c r="G4328" s="3" t="s">
        <v>15</v>
      </c>
      <c r="H4328" s="3" t="s">
        <v>34</v>
      </c>
      <c r="I4328" s="4" t="n">
        <v>5</v>
      </c>
      <c r="J4328" s="4" t="n">
        <f aca="false">LEN(E4328)-LEN(SUBSTITUTE(E4328,",",""))+1</f>
        <v>5</v>
      </c>
      <c r="K4328" s="3" t="str">
        <f aca="false">IFERROR(INDEX('Teacher Lookup'!$B$2:$B$200,MATCH(A4328,'Teacher Lookup'!$A$2:$A$200,0)),"")</f>
        <v>CHENG Horace</v>
      </c>
    </row>
    <row r="4329" customFormat="false" ht="15" hidden="false" customHeight="false" outlineLevel="0" collapsed="false">
      <c r="A4329" s="3" t="s">
        <v>426</v>
      </c>
      <c r="B4329" s="4" t="s">
        <v>40</v>
      </c>
      <c r="C4329" s="4" t="n">
        <v>4</v>
      </c>
      <c r="D4329" s="4" t="s">
        <v>106</v>
      </c>
      <c r="E4329" s="3" t="s">
        <v>230</v>
      </c>
      <c r="F4329" s="4" t="str">
        <f aca="false">IF(I4329&gt;J4329,"Y","N")</f>
        <v>N</v>
      </c>
      <c r="G4329" s="3" t="s">
        <v>15</v>
      </c>
      <c r="H4329" s="3" t="s">
        <v>34</v>
      </c>
      <c r="I4329" s="4" t="n">
        <v>5</v>
      </c>
      <c r="J4329" s="4" t="n">
        <f aca="false">LEN(E4329)-LEN(SUBSTITUTE(E4329,",",""))+1</f>
        <v>5</v>
      </c>
      <c r="K4329" s="3" t="str">
        <f aca="false">IFERROR(INDEX('Teacher Lookup'!$B$2:$B$200,MATCH(A4329,'Teacher Lookup'!$A$2:$A$200,0)),"")</f>
        <v>CHENG Horace</v>
      </c>
    </row>
    <row r="4330" customFormat="false" ht="15" hidden="false" customHeight="false" outlineLevel="0" collapsed="false">
      <c r="A4330" s="3" t="s">
        <v>426</v>
      </c>
      <c r="B4330" s="4" t="s">
        <v>40</v>
      </c>
      <c r="C4330" s="4" t="n">
        <v>4</v>
      </c>
      <c r="D4330" s="4" t="s">
        <v>107</v>
      </c>
      <c r="E4330" s="3" t="s">
        <v>230</v>
      </c>
      <c r="F4330" s="4" t="str">
        <f aca="false">IF(I4330&gt;J4330,"Y","N")</f>
        <v>N</v>
      </c>
      <c r="G4330" s="3" t="s">
        <v>15</v>
      </c>
      <c r="H4330" s="3" t="s">
        <v>34</v>
      </c>
      <c r="I4330" s="4" t="n">
        <v>5</v>
      </c>
      <c r="J4330" s="4" t="n">
        <f aca="false">LEN(E4330)-LEN(SUBSTITUTE(E4330,",",""))+1</f>
        <v>5</v>
      </c>
      <c r="K4330" s="3" t="str">
        <f aca="false">IFERROR(INDEX('Teacher Lookup'!$B$2:$B$200,MATCH(A4330,'Teacher Lookup'!$A$2:$A$200,0)),"")</f>
        <v>CHENG Horace</v>
      </c>
    </row>
    <row r="4331" customFormat="false" ht="15" hidden="false" customHeight="false" outlineLevel="0" collapsed="false">
      <c r="A4331" s="3" t="s">
        <v>426</v>
      </c>
      <c r="B4331" s="4" t="s">
        <v>40</v>
      </c>
      <c r="C4331" s="4" t="n">
        <v>5</v>
      </c>
      <c r="D4331" s="4" t="s">
        <v>52</v>
      </c>
      <c r="E4331" s="3" t="s">
        <v>304</v>
      </c>
      <c r="F4331" s="4" t="str">
        <f aca="false">IF(I4331&gt;J4331,"Y","N")</f>
        <v>N</v>
      </c>
      <c r="G4331" s="3" t="s">
        <v>15</v>
      </c>
      <c r="H4331" s="3" t="s">
        <v>37</v>
      </c>
      <c r="I4331" s="4" t="n">
        <v>7</v>
      </c>
      <c r="J4331" s="4" t="n">
        <f aca="false">LEN(E4331)-LEN(SUBSTITUTE(E4331,",",""))+1</f>
        <v>7</v>
      </c>
      <c r="K4331" s="3" t="str">
        <f aca="false">IFERROR(INDEX('Teacher Lookup'!$B$2:$B$200,MATCH(A4331,'Teacher Lookup'!$A$2:$A$200,0)),"")</f>
        <v>CHENG Horace</v>
      </c>
    </row>
    <row r="4332" customFormat="false" ht="15" hidden="false" customHeight="false" outlineLevel="0" collapsed="false">
      <c r="A4332" s="3" t="s">
        <v>426</v>
      </c>
      <c r="B4332" s="4" t="s">
        <v>40</v>
      </c>
      <c r="C4332" s="4" t="n">
        <v>5</v>
      </c>
      <c r="D4332" s="4" t="s">
        <v>55</v>
      </c>
      <c r="E4332" s="3" t="s">
        <v>304</v>
      </c>
      <c r="F4332" s="4" t="str">
        <f aca="false">IF(I4332&gt;J4332,"Y","N")</f>
        <v>N</v>
      </c>
      <c r="G4332" s="3" t="s">
        <v>15</v>
      </c>
      <c r="H4332" s="3" t="s">
        <v>37</v>
      </c>
      <c r="I4332" s="4" t="n">
        <v>7</v>
      </c>
      <c r="J4332" s="4" t="n">
        <f aca="false">LEN(E4332)-LEN(SUBSTITUTE(E4332,",",""))+1</f>
        <v>7</v>
      </c>
      <c r="K4332" s="3" t="str">
        <f aca="false">IFERROR(INDEX('Teacher Lookup'!$B$2:$B$200,MATCH(A4332,'Teacher Lookup'!$A$2:$A$200,0)),"")</f>
        <v>CHENG Horace</v>
      </c>
    </row>
    <row r="4333" customFormat="false" ht="15" hidden="false" customHeight="false" outlineLevel="0" collapsed="false">
      <c r="A4333" s="3" t="s">
        <v>426</v>
      </c>
      <c r="B4333" s="4" t="s">
        <v>40</v>
      </c>
      <c r="C4333" s="4" t="n">
        <v>5</v>
      </c>
      <c r="D4333" s="4" t="s">
        <v>56</v>
      </c>
      <c r="E4333" s="3" t="s">
        <v>304</v>
      </c>
      <c r="F4333" s="4" t="str">
        <f aca="false">IF(I4333&gt;J4333,"Y","N")</f>
        <v>N</v>
      </c>
      <c r="G4333" s="3" t="s">
        <v>15</v>
      </c>
      <c r="H4333" s="3" t="s">
        <v>37</v>
      </c>
      <c r="I4333" s="4" t="n">
        <v>7</v>
      </c>
      <c r="J4333" s="4" t="n">
        <f aca="false">LEN(E4333)-LEN(SUBSTITUTE(E4333,",",""))+1</f>
        <v>7</v>
      </c>
      <c r="K4333" s="3" t="str">
        <f aca="false">IFERROR(INDEX('Teacher Lookup'!$B$2:$B$200,MATCH(A4333,'Teacher Lookup'!$A$2:$A$200,0)),"")</f>
        <v>CHENG Horace</v>
      </c>
    </row>
    <row r="4334" customFormat="false" ht="15" hidden="false" customHeight="false" outlineLevel="0" collapsed="false">
      <c r="A4334" s="3" t="s">
        <v>426</v>
      </c>
      <c r="B4334" s="4" t="s">
        <v>40</v>
      </c>
      <c r="C4334" s="4" t="n">
        <v>5</v>
      </c>
      <c r="D4334" s="4" t="s">
        <v>57</v>
      </c>
      <c r="E4334" s="3" t="s">
        <v>304</v>
      </c>
      <c r="F4334" s="4" t="str">
        <f aca="false">IF(I4334&gt;J4334,"Y","N")</f>
        <v>N</v>
      </c>
      <c r="G4334" s="3" t="s">
        <v>15</v>
      </c>
      <c r="H4334" s="3" t="s">
        <v>37</v>
      </c>
      <c r="I4334" s="4" t="n">
        <v>7</v>
      </c>
      <c r="J4334" s="4" t="n">
        <f aca="false">LEN(E4334)-LEN(SUBSTITUTE(E4334,",",""))+1</f>
        <v>7</v>
      </c>
      <c r="K4334" s="3" t="str">
        <f aca="false">IFERROR(INDEX('Teacher Lookup'!$B$2:$B$200,MATCH(A4334,'Teacher Lookup'!$A$2:$A$200,0)),"")</f>
        <v>CHENG Horace</v>
      </c>
    </row>
    <row r="4335" customFormat="false" ht="15" hidden="false" customHeight="false" outlineLevel="0" collapsed="false">
      <c r="A4335" s="3" t="s">
        <v>426</v>
      </c>
      <c r="B4335" s="4" t="s">
        <v>40</v>
      </c>
      <c r="C4335" s="4" t="n">
        <v>5</v>
      </c>
      <c r="D4335" s="4" t="s">
        <v>58</v>
      </c>
      <c r="E4335" s="3" t="s">
        <v>304</v>
      </c>
      <c r="F4335" s="4" t="str">
        <f aca="false">IF(I4335&gt;J4335,"Y","N")</f>
        <v>N</v>
      </c>
      <c r="G4335" s="3" t="s">
        <v>15</v>
      </c>
      <c r="H4335" s="3" t="s">
        <v>37</v>
      </c>
      <c r="I4335" s="4" t="n">
        <v>7</v>
      </c>
      <c r="J4335" s="4" t="n">
        <f aca="false">LEN(E4335)-LEN(SUBSTITUTE(E4335,",",""))+1</f>
        <v>7</v>
      </c>
      <c r="K4335" s="3" t="str">
        <f aca="false">IFERROR(INDEX('Teacher Lookup'!$B$2:$B$200,MATCH(A4335,'Teacher Lookup'!$A$2:$A$200,0)),"")</f>
        <v>CHENG Horace</v>
      </c>
    </row>
    <row r="4336" customFormat="false" ht="15" hidden="false" customHeight="false" outlineLevel="0" collapsed="false">
      <c r="A4336" s="3" t="s">
        <v>426</v>
      </c>
      <c r="B4336" s="4" t="s">
        <v>40</v>
      </c>
      <c r="C4336" s="4" t="n">
        <v>5</v>
      </c>
      <c r="D4336" s="4" t="s">
        <v>59</v>
      </c>
      <c r="E4336" s="3" t="s">
        <v>304</v>
      </c>
      <c r="F4336" s="4" t="str">
        <f aca="false">IF(I4336&gt;J4336,"Y","N")</f>
        <v>N</v>
      </c>
      <c r="G4336" s="3" t="s">
        <v>15</v>
      </c>
      <c r="H4336" s="3" t="s">
        <v>37</v>
      </c>
      <c r="I4336" s="4" t="n">
        <v>7</v>
      </c>
      <c r="J4336" s="4" t="n">
        <f aca="false">LEN(E4336)-LEN(SUBSTITUTE(E4336,",",""))+1</f>
        <v>7</v>
      </c>
      <c r="K4336" s="3" t="str">
        <f aca="false">IFERROR(INDEX('Teacher Lookup'!$B$2:$B$200,MATCH(A4336,'Teacher Lookup'!$A$2:$A$200,0)),"")</f>
        <v>CHENG Horace</v>
      </c>
    </row>
    <row r="4337" customFormat="false" ht="15" hidden="false" customHeight="false" outlineLevel="0" collapsed="false">
      <c r="A4337" s="3" t="s">
        <v>426</v>
      </c>
      <c r="B4337" s="4" t="s">
        <v>44</v>
      </c>
      <c r="C4337" s="4" t="n">
        <v>1</v>
      </c>
      <c r="D4337" s="4" t="s">
        <v>52</v>
      </c>
      <c r="E4337" s="3" t="s">
        <v>305</v>
      </c>
      <c r="F4337" s="4" t="str">
        <f aca="false">IF(I4337&gt;J4337,"Y","N")</f>
        <v>N</v>
      </c>
      <c r="G4337" s="3" t="s">
        <v>15</v>
      </c>
      <c r="H4337" s="3" t="s">
        <v>16</v>
      </c>
      <c r="I4337" s="4" t="n">
        <v>7</v>
      </c>
      <c r="J4337" s="4" t="n">
        <f aca="false">LEN(E4337)-LEN(SUBSTITUTE(E4337,",",""))+1</f>
        <v>7</v>
      </c>
      <c r="K4337" s="3" t="str">
        <f aca="false">IFERROR(INDEX('Teacher Lookup'!$B$2:$B$200,MATCH(A4337,'Teacher Lookup'!$A$2:$A$200,0)),"")</f>
        <v>CHENG Horace</v>
      </c>
    </row>
    <row r="4338" customFormat="false" ht="15" hidden="false" customHeight="false" outlineLevel="0" collapsed="false">
      <c r="A4338" s="3" t="s">
        <v>426</v>
      </c>
      <c r="B4338" s="4" t="s">
        <v>44</v>
      </c>
      <c r="C4338" s="4" t="n">
        <v>1</v>
      </c>
      <c r="D4338" s="4" t="s">
        <v>55</v>
      </c>
      <c r="E4338" s="3" t="s">
        <v>305</v>
      </c>
      <c r="F4338" s="4" t="str">
        <f aca="false">IF(I4338&gt;J4338,"Y","N")</f>
        <v>N</v>
      </c>
      <c r="G4338" s="3" t="s">
        <v>15</v>
      </c>
      <c r="H4338" s="3" t="s">
        <v>16</v>
      </c>
      <c r="I4338" s="4" t="n">
        <v>7</v>
      </c>
      <c r="J4338" s="4" t="n">
        <f aca="false">LEN(E4338)-LEN(SUBSTITUTE(E4338,",",""))+1</f>
        <v>7</v>
      </c>
      <c r="K4338" s="3" t="str">
        <f aca="false">IFERROR(INDEX('Teacher Lookup'!$B$2:$B$200,MATCH(A4338,'Teacher Lookup'!$A$2:$A$200,0)),"")</f>
        <v>CHENG Horace</v>
      </c>
    </row>
    <row r="4339" customFormat="false" ht="15" hidden="false" customHeight="false" outlineLevel="0" collapsed="false">
      <c r="A4339" s="3" t="s">
        <v>426</v>
      </c>
      <c r="B4339" s="4" t="s">
        <v>44</v>
      </c>
      <c r="C4339" s="4" t="n">
        <v>1</v>
      </c>
      <c r="D4339" s="4" t="s">
        <v>56</v>
      </c>
      <c r="E4339" s="3" t="s">
        <v>305</v>
      </c>
      <c r="F4339" s="4" t="str">
        <f aca="false">IF(I4339&gt;J4339,"Y","N")</f>
        <v>N</v>
      </c>
      <c r="G4339" s="3" t="s">
        <v>15</v>
      </c>
      <c r="H4339" s="3" t="s">
        <v>16</v>
      </c>
      <c r="I4339" s="4" t="n">
        <v>7</v>
      </c>
      <c r="J4339" s="4" t="n">
        <f aca="false">LEN(E4339)-LEN(SUBSTITUTE(E4339,",",""))+1</f>
        <v>7</v>
      </c>
      <c r="K4339" s="3" t="str">
        <f aca="false">IFERROR(INDEX('Teacher Lookup'!$B$2:$B$200,MATCH(A4339,'Teacher Lookup'!$A$2:$A$200,0)),"")</f>
        <v>CHENG Horace</v>
      </c>
    </row>
    <row r="4340" customFormat="false" ht="15" hidden="false" customHeight="false" outlineLevel="0" collapsed="false">
      <c r="A4340" s="3" t="s">
        <v>426</v>
      </c>
      <c r="B4340" s="4" t="s">
        <v>44</v>
      </c>
      <c r="C4340" s="4" t="n">
        <v>1</v>
      </c>
      <c r="D4340" s="4" t="s">
        <v>57</v>
      </c>
      <c r="E4340" s="3" t="s">
        <v>305</v>
      </c>
      <c r="F4340" s="4" t="str">
        <f aca="false">IF(I4340&gt;J4340,"Y","N")</f>
        <v>N</v>
      </c>
      <c r="G4340" s="3" t="s">
        <v>15</v>
      </c>
      <c r="H4340" s="3" t="s">
        <v>16</v>
      </c>
      <c r="I4340" s="4" t="n">
        <v>7</v>
      </c>
      <c r="J4340" s="4" t="n">
        <f aca="false">LEN(E4340)-LEN(SUBSTITUTE(E4340,",",""))+1</f>
        <v>7</v>
      </c>
      <c r="K4340" s="3" t="str">
        <f aca="false">IFERROR(INDEX('Teacher Lookup'!$B$2:$B$200,MATCH(A4340,'Teacher Lookup'!$A$2:$A$200,0)),"")</f>
        <v>CHENG Horace</v>
      </c>
    </row>
    <row r="4341" customFormat="false" ht="15" hidden="false" customHeight="false" outlineLevel="0" collapsed="false">
      <c r="A4341" s="3" t="s">
        <v>426</v>
      </c>
      <c r="B4341" s="4" t="s">
        <v>44</v>
      </c>
      <c r="C4341" s="4" t="n">
        <v>1</v>
      </c>
      <c r="D4341" s="4" t="s">
        <v>58</v>
      </c>
      <c r="E4341" s="3" t="s">
        <v>305</v>
      </c>
      <c r="F4341" s="4" t="str">
        <f aca="false">IF(I4341&gt;J4341,"Y","N")</f>
        <v>N</v>
      </c>
      <c r="G4341" s="3" t="s">
        <v>15</v>
      </c>
      <c r="H4341" s="3" t="s">
        <v>16</v>
      </c>
      <c r="I4341" s="4" t="n">
        <v>7</v>
      </c>
      <c r="J4341" s="4" t="n">
        <f aca="false">LEN(E4341)-LEN(SUBSTITUTE(E4341,",",""))+1</f>
        <v>7</v>
      </c>
      <c r="K4341" s="3" t="str">
        <f aca="false">IFERROR(INDEX('Teacher Lookup'!$B$2:$B$200,MATCH(A4341,'Teacher Lookup'!$A$2:$A$200,0)),"")</f>
        <v>CHENG Horace</v>
      </c>
    </row>
    <row r="4342" customFormat="false" ht="15" hidden="false" customHeight="false" outlineLevel="0" collapsed="false">
      <c r="A4342" s="3" t="s">
        <v>426</v>
      </c>
      <c r="B4342" s="4" t="s">
        <v>44</v>
      </c>
      <c r="C4342" s="4" t="n">
        <v>1</v>
      </c>
      <c r="D4342" s="4" t="s">
        <v>59</v>
      </c>
      <c r="E4342" s="3" t="s">
        <v>305</v>
      </c>
      <c r="F4342" s="4" t="str">
        <f aca="false">IF(I4342&gt;J4342,"Y","N")</f>
        <v>N</v>
      </c>
      <c r="G4342" s="3" t="s">
        <v>15</v>
      </c>
      <c r="H4342" s="3" t="s">
        <v>16</v>
      </c>
      <c r="I4342" s="4" t="n">
        <v>7</v>
      </c>
      <c r="J4342" s="4" t="n">
        <f aca="false">LEN(E4342)-LEN(SUBSTITUTE(E4342,",",""))+1</f>
        <v>7</v>
      </c>
      <c r="K4342" s="3" t="str">
        <f aca="false">IFERROR(INDEX('Teacher Lookup'!$B$2:$B$200,MATCH(A4342,'Teacher Lookup'!$A$2:$A$200,0)),"")</f>
        <v>CHENG Horace</v>
      </c>
    </row>
    <row r="4343" customFormat="false" ht="15" hidden="false" customHeight="false" outlineLevel="0" collapsed="false">
      <c r="A4343" s="3" t="s">
        <v>426</v>
      </c>
      <c r="B4343" s="4" t="s">
        <v>44</v>
      </c>
      <c r="C4343" s="4" t="n">
        <v>3</v>
      </c>
      <c r="D4343" s="4" t="s">
        <v>102</v>
      </c>
      <c r="E4343" s="3" t="s">
        <v>227</v>
      </c>
      <c r="F4343" s="4" t="str">
        <f aca="false">IF(I4343&gt;J4343,"Y","N")</f>
        <v>N</v>
      </c>
      <c r="G4343" s="3" t="s">
        <v>15</v>
      </c>
      <c r="H4343" s="3" t="s">
        <v>26</v>
      </c>
      <c r="I4343" s="4" t="n">
        <v>5</v>
      </c>
      <c r="J4343" s="4" t="n">
        <f aca="false">LEN(E4343)-LEN(SUBSTITUTE(E4343,",",""))+1</f>
        <v>5</v>
      </c>
      <c r="K4343" s="3" t="str">
        <f aca="false">IFERROR(INDEX('Teacher Lookup'!$B$2:$B$200,MATCH(A4343,'Teacher Lookup'!$A$2:$A$200,0)),"")</f>
        <v>CHENG Horace</v>
      </c>
    </row>
    <row r="4344" customFormat="false" ht="15" hidden="false" customHeight="false" outlineLevel="0" collapsed="false">
      <c r="A4344" s="3" t="s">
        <v>426</v>
      </c>
      <c r="B4344" s="4" t="s">
        <v>44</v>
      </c>
      <c r="C4344" s="4" t="n">
        <v>3</v>
      </c>
      <c r="D4344" s="4" t="s">
        <v>105</v>
      </c>
      <c r="E4344" s="3" t="s">
        <v>227</v>
      </c>
      <c r="F4344" s="4" t="str">
        <f aca="false">IF(I4344&gt;J4344,"Y","N")</f>
        <v>N</v>
      </c>
      <c r="G4344" s="3" t="s">
        <v>15</v>
      </c>
      <c r="H4344" s="3" t="s">
        <v>26</v>
      </c>
      <c r="I4344" s="4" t="n">
        <v>5</v>
      </c>
      <c r="J4344" s="4" t="n">
        <f aca="false">LEN(E4344)-LEN(SUBSTITUTE(E4344,",",""))+1</f>
        <v>5</v>
      </c>
      <c r="K4344" s="3" t="str">
        <f aca="false">IFERROR(INDEX('Teacher Lookup'!$B$2:$B$200,MATCH(A4344,'Teacher Lookup'!$A$2:$A$200,0)),"")</f>
        <v>CHENG Horace</v>
      </c>
    </row>
    <row r="4345" customFormat="false" ht="15" hidden="false" customHeight="false" outlineLevel="0" collapsed="false">
      <c r="A4345" s="3" t="s">
        <v>426</v>
      </c>
      <c r="B4345" s="4" t="s">
        <v>44</v>
      </c>
      <c r="C4345" s="4" t="n">
        <v>3</v>
      </c>
      <c r="D4345" s="4" t="s">
        <v>106</v>
      </c>
      <c r="E4345" s="3" t="s">
        <v>227</v>
      </c>
      <c r="F4345" s="4" t="str">
        <f aca="false">IF(I4345&gt;J4345,"Y","N")</f>
        <v>N</v>
      </c>
      <c r="G4345" s="3" t="s">
        <v>15</v>
      </c>
      <c r="H4345" s="3" t="s">
        <v>26</v>
      </c>
      <c r="I4345" s="4" t="n">
        <v>5</v>
      </c>
      <c r="J4345" s="4" t="n">
        <f aca="false">LEN(E4345)-LEN(SUBSTITUTE(E4345,",",""))+1</f>
        <v>5</v>
      </c>
      <c r="K4345" s="3" t="str">
        <f aca="false">IFERROR(INDEX('Teacher Lookup'!$B$2:$B$200,MATCH(A4345,'Teacher Lookup'!$A$2:$A$200,0)),"")</f>
        <v>CHENG Horace</v>
      </c>
    </row>
    <row r="4346" customFormat="false" ht="15" hidden="false" customHeight="false" outlineLevel="0" collapsed="false">
      <c r="A4346" s="3" t="s">
        <v>426</v>
      </c>
      <c r="B4346" s="4" t="s">
        <v>44</v>
      </c>
      <c r="C4346" s="4" t="n">
        <v>3</v>
      </c>
      <c r="D4346" s="4" t="s">
        <v>107</v>
      </c>
      <c r="E4346" s="3" t="s">
        <v>227</v>
      </c>
      <c r="F4346" s="4" t="str">
        <f aca="false">IF(I4346&gt;J4346,"Y","N")</f>
        <v>N</v>
      </c>
      <c r="G4346" s="3" t="s">
        <v>15</v>
      </c>
      <c r="H4346" s="3" t="s">
        <v>26</v>
      </c>
      <c r="I4346" s="4" t="n">
        <v>5</v>
      </c>
      <c r="J4346" s="4" t="n">
        <f aca="false">LEN(E4346)-LEN(SUBSTITUTE(E4346,",",""))+1</f>
        <v>5</v>
      </c>
      <c r="K4346" s="3" t="str">
        <f aca="false">IFERROR(INDEX('Teacher Lookup'!$B$2:$B$200,MATCH(A4346,'Teacher Lookup'!$A$2:$A$200,0)),"")</f>
        <v>CHENG Horace</v>
      </c>
    </row>
    <row r="4347" customFormat="false" ht="15" hidden="false" customHeight="false" outlineLevel="0" collapsed="false">
      <c r="A4347" s="3" t="s">
        <v>426</v>
      </c>
      <c r="B4347" s="4" t="s">
        <v>44</v>
      </c>
      <c r="C4347" s="4" t="n">
        <v>5</v>
      </c>
      <c r="D4347" s="4" t="s">
        <v>70</v>
      </c>
      <c r="E4347" s="3" t="s">
        <v>81</v>
      </c>
      <c r="F4347" s="4" t="str">
        <f aca="false">IF(I4347&gt;J4347,"Y","N")</f>
        <v>Y</v>
      </c>
      <c r="G4347" s="3" t="s">
        <v>36</v>
      </c>
      <c r="H4347" s="3" t="s">
        <v>37</v>
      </c>
      <c r="I4347" s="4" t="n">
        <v>15</v>
      </c>
      <c r="J4347" s="4" t="n">
        <f aca="false">LEN(E4347)-LEN(SUBSTITUTE(E4347,",",""))+1</f>
        <v>7</v>
      </c>
      <c r="K4347" s="3" t="str">
        <f aca="false">IFERROR(INDEX('Teacher Lookup'!$B$2:$B$200,MATCH(A4347,'Teacher Lookup'!$A$2:$A$200,0)),"")</f>
        <v>CHENG Horace</v>
      </c>
    </row>
    <row r="4348" customFormat="false" ht="15" hidden="false" customHeight="false" outlineLevel="0" collapsed="false">
      <c r="A4348" s="3" t="s">
        <v>426</v>
      </c>
      <c r="B4348" s="4" t="s">
        <v>44</v>
      </c>
      <c r="C4348" s="4" t="n">
        <v>5</v>
      </c>
      <c r="D4348" s="4" t="s">
        <v>73</v>
      </c>
      <c r="E4348" s="3" t="s">
        <v>81</v>
      </c>
      <c r="F4348" s="4" t="str">
        <f aca="false">IF(I4348&gt;J4348,"Y","N")</f>
        <v>Y</v>
      </c>
      <c r="G4348" s="3" t="s">
        <v>36</v>
      </c>
      <c r="H4348" s="3" t="s">
        <v>37</v>
      </c>
      <c r="I4348" s="4" t="n">
        <v>15</v>
      </c>
      <c r="J4348" s="4" t="n">
        <f aca="false">LEN(E4348)-LEN(SUBSTITUTE(E4348,",",""))+1</f>
        <v>7</v>
      </c>
      <c r="K4348" s="3" t="str">
        <f aca="false">IFERROR(INDEX('Teacher Lookup'!$B$2:$B$200,MATCH(A4348,'Teacher Lookup'!$A$2:$A$200,0)),"")</f>
        <v>CHENG Horace</v>
      </c>
    </row>
    <row r="4349" customFormat="false" ht="15" hidden="false" customHeight="false" outlineLevel="0" collapsed="false">
      <c r="A4349" s="3" t="s">
        <v>426</v>
      </c>
      <c r="B4349" s="4" t="s">
        <v>44</v>
      </c>
      <c r="C4349" s="4" t="n">
        <v>5</v>
      </c>
      <c r="D4349" s="4" t="s">
        <v>74</v>
      </c>
      <c r="E4349" s="3" t="s">
        <v>81</v>
      </c>
      <c r="F4349" s="4" t="str">
        <f aca="false">IF(I4349&gt;J4349,"Y","N")</f>
        <v>Y</v>
      </c>
      <c r="G4349" s="3" t="s">
        <v>36</v>
      </c>
      <c r="H4349" s="3" t="s">
        <v>37</v>
      </c>
      <c r="I4349" s="4" t="n">
        <v>15</v>
      </c>
      <c r="J4349" s="4" t="n">
        <f aca="false">LEN(E4349)-LEN(SUBSTITUTE(E4349,",",""))+1</f>
        <v>7</v>
      </c>
      <c r="K4349" s="3" t="str">
        <f aca="false">IFERROR(INDEX('Teacher Lookup'!$B$2:$B$200,MATCH(A4349,'Teacher Lookup'!$A$2:$A$200,0)),"")</f>
        <v>CHENG Horace</v>
      </c>
    </row>
    <row r="4350" customFormat="false" ht="15" hidden="false" customHeight="false" outlineLevel="0" collapsed="false">
      <c r="A4350" s="3" t="s">
        <v>426</v>
      </c>
      <c r="B4350" s="4" t="s">
        <v>44</v>
      </c>
      <c r="C4350" s="4" t="n">
        <v>5</v>
      </c>
      <c r="D4350" s="4" t="s">
        <v>76</v>
      </c>
      <c r="E4350" s="3" t="s">
        <v>81</v>
      </c>
      <c r="F4350" s="4" t="str">
        <f aca="false">IF(I4350&gt;J4350,"Y","N")</f>
        <v>Y</v>
      </c>
      <c r="G4350" s="3" t="s">
        <v>36</v>
      </c>
      <c r="H4350" s="3" t="s">
        <v>37</v>
      </c>
      <c r="I4350" s="4" t="n">
        <v>15</v>
      </c>
      <c r="J4350" s="4" t="n">
        <f aca="false">LEN(E4350)-LEN(SUBSTITUTE(E4350,",",""))+1</f>
        <v>7</v>
      </c>
      <c r="K4350" s="3" t="str">
        <f aca="false">IFERROR(INDEX('Teacher Lookup'!$B$2:$B$200,MATCH(A4350,'Teacher Lookup'!$A$2:$A$200,0)),"")</f>
        <v>CHENG Horace</v>
      </c>
    </row>
    <row r="4351" customFormat="false" ht="15" hidden="false" customHeight="false" outlineLevel="0" collapsed="false">
      <c r="A4351" s="3" t="s">
        <v>426</v>
      </c>
      <c r="B4351" s="4" t="s">
        <v>44</v>
      </c>
      <c r="C4351" s="4" t="n">
        <v>5</v>
      </c>
      <c r="D4351" s="4" t="s">
        <v>78</v>
      </c>
      <c r="E4351" s="3" t="s">
        <v>81</v>
      </c>
      <c r="F4351" s="4" t="str">
        <f aca="false">IF(I4351&gt;J4351,"Y","N")</f>
        <v>Y</v>
      </c>
      <c r="G4351" s="3" t="s">
        <v>36</v>
      </c>
      <c r="H4351" s="3" t="s">
        <v>37</v>
      </c>
      <c r="I4351" s="4" t="n">
        <v>15</v>
      </c>
      <c r="J4351" s="4" t="n">
        <f aca="false">LEN(E4351)-LEN(SUBSTITUTE(E4351,",",""))+1</f>
        <v>7</v>
      </c>
      <c r="K4351" s="3" t="str">
        <f aca="false">IFERROR(INDEX('Teacher Lookup'!$B$2:$B$200,MATCH(A4351,'Teacher Lookup'!$A$2:$A$200,0)),"")</f>
        <v>CHENG Horace</v>
      </c>
    </row>
    <row r="4352" customFormat="false" ht="15" hidden="false" customHeight="false" outlineLevel="0" collapsed="false">
      <c r="A4352" s="3" t="s">
        <v>426</v>
      </c>
      <c r="B4352" s="4" t="s">
        <v>44</v>
      </c>
      <c r="C4352" s="4" t="n">
        <v>5</v>
      </c>
      <c r="D4352" s="4" t="s">
        <v>79</v>
      </c>
      <c r="E4352" s="3" t="s">
        <v>81</v>
      </c>
      <c r="F4352" s="4" t="str">
        <f aca="false">IF(I4352&gt;J4352,"Y","N")</f>
        <v>Y</v>
      </c>
      <c r="G4352" s="3" t="s">
        <v>36</v>
      </c>
      <c r="H4352" s="3" t="s">
        <v>37</v>
      </c>
      <c r="I4352" s="4" t="n">
        <v>15</v>
      </c>
      <c r="J4352" s="4" t="n">
        <f aca="false">LEN(E4352)-LEN(SUBSTITUTE(E4352,",",""))+1</f>
        <v>7</v>
      </c>
      <c r="K4352" s="3" t="str">
        <f aca="false">IFERROR(INDEX('Teacher Lookup'!$B$2:$B$200,MATCH(A4352,'Teacher Lookup'!$A$2:$A$200,0)),"")</f>
        <v>CHENG Horace</v>
      </c>
    </row>
    <row r="4353" customFormat="false" ht="15" hidden="false" customHeight="false" outlineLevel="0" collapsed="false">
      <c r="A4353" s="3" t="s">
        <v>426</v>
      </c>
      <c r="B4353" s="4" t="s">
        <v>44</v>
      </c>
      <c r="C4353" s="4" t="n">
        <v>6</v>
      </c>
      <c r="D4353" s="4" t="s">
        <v>76</v>
      </c>
      <c r="E4353" s="3" t="s">
        <v>209</v>
      </c>
      <c r="F4353" s="4" t="str">
        <f aca="false">IF(I4353&gt;J4353,"Y","N")</f>
        <v>N</v>
      </c>
      <c r="G4353" s="3" t="s">
        <v>15</v>
      </c>
      <c r="H4353" s="3" t="s">
        <v>42</v>
      </c>
      <c r="I4353" s="4" t="n">
        <v>4</v>
      </c>
      <c r="J4353" s="4" t="n">
        <f aca="false">LEN(E4353)-LEN(SUBSTITUTE(E4353,",",""))+1</f>
        <v>4</v>
      </c>
      <c r="K4353" s="3" t="str">
        <f aca="false">IFERROR(INDEX('Teacher Lookup'!$B$2:$B$200,MATCH(A4353,'Teacher Lookup'!$A$2:$A$200,0)),"")</f>
        <v>CHENG Horace</v>
      </c>
    </row>
    <row r="4354" customFormat="false" ht="15" hidden="false" customHeight="false" outlineLevel="0" collapsed="false">
      <c r="A4354" s="3" t="s">
        <v>426</v>
      </c>
      <c r="B4354" s="4" t="s">
        <v>44</v>
      </c>
      <c r="C4354" s="4" t="n">
        <v>6</v>
      </c>
      <c r="D4354" s="4" t="s">
        <v>78</v>
      </c>
      <c r="E4354" s="3" t="s">
        <v>209</v>
      </c>
      <c r="F4354" s="4" t="str">
        <f aca="false">IF(I4354&gt;J4354,"Y","N")</f>
        <v>N</v>
      </c>
      <c r="G4354" s="3" t="s">
        <v>15</v>
      </c>
      <c r="H4354" s="3" t="s">
        <v>42</v>
      </c>
      <c r="I4354" s="4" t="n">
        <v>4</v>
      </c>
      <c r="J4354" s="4" t="n">
        <f aca="false">LEN(E4354)-LEN(SUBSTITUTE(E4354,",",""))+1</f>
        <v>4</v>
      </c>
      <c r="K4354" s="3" t="str">
        <f aca="false">IFERROR(INDEX('Teacher Lookup'!$B$2:$B$200,MATCH(A4354,'Teacher Lookup'!$A$2:$A$200,0)),"")</f>
        <v>CHENG Horace</v>
      </c>
    </row>
    <row r="4355" customFormat="false" ht="15" hidden="false" customHeight="false" outlineLevel="0" collapsed="false">
      <c r="A4355" s="3" t="s">
        <v>426</v>
      </c>
      <c r="B4355" s="4" t="s">
        <v>44</v>
      </c>
      <c r="C4355" s="4" t="n">
        <v>6</v>
      </c>
      <c r="D4355" s="4" t="s">
        <v>79</v>
      </c>
      <c r="E4355" s="3" t="s">
        <v>209</v>
      </c>
      <c r="F4355" s="4" t="str">
        <f aca="false">IF(I4355&gt;J4355,"Y","N")</f>
        <v>N</v>
      </c>
      <c r="G4355" s="3" t="s">
        <v>15</v>
      </c>
      <c r="H4355" s="3" t="s">
        <v>42</v>
      </c>
      <c r="I4355" s="4" t="n">
        <v>4</v>
      </c>
      <c r="J4355" s="4" t="n">
        <f aca="false">LEN(E4355)-LEN(SUBSTITUTE(E4355,",",""))+1</f>
        <v>4</v>
      </c>
      <c r="K4355" s="3" t="str">
        <f aca="false">IFERROR(INDEX('Teacher Lookup'!$B$2:$B$200,MATCH(A4355,'Teacher Lookup'!$A$2:$A$200,0)),"")</f>
        <v>CHENG Horace</v>
      </c>
    </row>
    <row r="4356" customFormat="false" ht="15" hidden="false" customHeight="false" outlineLevel="0" collapsed="false">
      <c r="A4356" s="3" t="s">
        <v>426</v>
      </c>
      <c r="B4356" s="4" t="s">
        <v>47</v>
      </c>
      <c r="C4356" s="4" t="n">
        <v>1</v>
      </c>
      <c r="D4356" s="4" t="s">
        <v>76</v>
      </c>
      <c r="E4356" s="3" t="s">
        <v>88</v>
      </c>
      <c r="F4356" s="4" t="str">
        <f aca="false">IF(I4356&gt;J4356,"Y","N")</f>
        <v>N</v>
      </c>
      <c r="G4356" s="3" t="s">
        <v>15</v>
      </c>
      <c r="H4356" s="3" t="s">
        <v>16</v>
      </c>
      <c r="I4356" s="4" t="n">
        <v>4</v>
      </c>
      <c r="J4356" s="4" t="n">
        <f aca="false">LEN(E4356)-LEN(SUBSTITUTE(E4356,",",""))+1</f>
        <v>4</v>
      </c>
      <c r="K4356" s="3" t="str">
        <f aca="false">IFERROR(INDEX('Teacher Lookup'!$B$2:$B$200,MATCH(A4356,'Teacher Lookup'!$A$2:$A$200,0)),"")</f>
        <v>CHENG Horace</v>
      </c>
    </row>
    <row r="4357" customFormat="false" ht="15" hidden="false" customHeight="false" outlineLevel="0" collapsed="false">
      <c r="A4357" s="3" t="s">
        <v>426</v>
      </c>
      <c r="B4357" s="4" t="s">
        <v>47</v>
      </c>
      <c r="C4357" s="4" t="n">
        <v>1</v>
      </c>
      <c r="D4357" s="4" t="s">
        <v>78</v>
      </c>
      <c r="E4357" s="3" t="s">
        <v>88</v>
      </c>
      <c r="F4357" s="4" t="str">
        <f aca="false">IF(I4357&gt;J4357,"Y","N")</f>
        <v>N</v>
      </c>
      <c r="G4357" s="3" t="s">
        <v>15</v>
      </c>
      <c r="H4357" s="3" t="s">
        <v>16</v>
      </c>
      <c r="I4357" s="4" t="n">
        <v>4</v>
      </c>
      <c r="J4357" s="4" t="n">
        <f aca="false">LEN(E4357)-LEN(SUBSTITUTE(E4357,",",""))+1</f>
        <v>4</v>
      </c>
      <c r="K4357" s="3" t="str">
        <f aca="false">IFERROR(INDEX('Teacher Lookup'!$B$2:$B$200,MATCH(A4357,'Teacher Lookup'!$A$2:$A$200,0)),"")</f>
        <v>CHENG Horace</v>
      </c>
    </row>
    <row r="4358" customFormat="false" ht="15" hidden="false" customHeight="false" outlineLevel="0" collapsed="false">
      <c r="A4358" s="3" t="s">
        <v>426</v>
      </c>
      <c r="B4358" s="4" t="s">
        <v>47</v>
      </c>
      <c r="C4358" s="4" t="n">
        <v>1</v>
      </c>
      <c r="D4358" s="4" t="s">
        <v>79</v>
      </c>
      <c r="E4358" s="3" t="s">
        <v>88</v>
      </c>
      <c r="F4358" s="4" t="str">
        <f aca="false">IF(I4358&gt;J4358,"Y","N")</f>
        <v>N</v>
      </c>
      <c r="G4358" s="3" t="s">
        <v>15</v>
      </c>
      <c r="H4358" s="3" t="s">
        <v>16</v>
      </c>
      <c r="I4358" s="4" t="n">
        <v>4</v>
      </c>
      <c r="J4358" s="4" t="n">
        <f aca="false">LEN(E4358)-LEN(SUBSTITUTE(E4358,",",""))+1</f>
        <v>4</v>
      </c>
      <c r="K4358" s="3" t="str">
        <f aca="false">IFERROR(INDEX('Teacher Lookup'!$B$2:$B$200,MATCH(A4358,'Teacher Lookup'!$A$2:$A$200,0)),"")</f>
        <v>CHENG Horace</v>
      </c>
    </row>
    <row r="4359" customFormat="false" ht="15" hidden="false" customHeight="false" outlineLevel="0" collapsed="false">
      <c r="A4359" s="3" t="s">
        <v>426</v>
      </c>
      <c r="B4359" s="4" t="s">
        <v>47</v>
      </c>
      <c r="C4359" s="4" t="n">
        <v>2</v>
      </c>
      <c r="D4359" s="4" t="s">
        <v>52</v>
      </c>
      <c r="E4359" s="3" t="s">
        <v>306</v>
      </c>
      <c r="F4359" s="4" t="str">
        <f aca="false">IF(I4359&gt;J4359,"Y","N")</f>
        <v>N</v>
      </c>
      <c r="G4359" s="3" t="s">
        <v>15</v>
      </c>
      <c r="H4359" s="3" t="s">
        <v>21</v>
      </c>
      <c r="I4359" s="4" t="n">
        <v>7</v>
      </c>
      <c r="J4359" s="4" t="n">
        <f aca="false">LEN(E4359)-LEN(SUBSTITUTE(E4359,",",""))+1</f>
        <v>7</v>
      </c>
      <c r="K4359" s="3" t="str">
        <f aca="false">IFERROR(INDEX('Teacher Lookup'!$B$2:$B$200,MATCH(A4359,'Teacher Lookup'!$A$2:$A$200,0)),"")</f>
        <v>CHENG Horace</v>
      </c>
    </row>
    <row r="4360" customFormat="false" ht="15" hidden="false" customHeight="false" outlineLevel="0" collapsed="false">
      <c r="A4360" s="3" t="s">
        <v>426</v>
      </c>
      <c r="B4360" s="4" t="s">
        <v>47</v>
      </c>
      <c r="C4360" s="4" t="n">
        <v>2</v>
      </c>
      <c r="D4360" s="4" t="s">
        <v>55</v>
      </c>
      <c r="E4360" s="3" t="s">
        <v>306</v>
      </c>
      <c r="F4360" s="4" t="str">
        <f aca="false">IF(I4360&gt;J4360,"Y","N")</f>
        <v>N</v>
      </c>
      <c r="G4360" s="3" t="s">
        <v>15</v>
      </c>
      <c r="H4360" s="3" t="s">
        <v>21</v>
      </c>
      <c r="I4360" s="4" t="n">
        <v>7</v>
      </c>
      <c r="J4360" s="4" t="n">
        <f aca="false">LEN(E4360)-LEN(SUBSTITUTE(E4360,",",""))+1</f>
        <v>7</v>
      </c>
      <c r="K4360" s="3" t="str">
        <f aca="false">IFERROR(INDEX('Teacher Lookup'!$B$2:$B$200,MATCH(A4360,'Teacher Lookup'!$A$2:$A$200,0)),"")</f>
        <v>CHENG Horace</v>
      </c>
    </row>
    <row r="4361" customFormat="false" ht="15" hidden="false" customHeight="false" outlineLevel="0" collapsed="false">
      <c r="A4361" s="3" t="s">
        <v>426</v>
      </c>
      <c r="B4361" s="4" t="s">
        <v>47</v>
      </c>
      <c r="C4361" s="4" t="n">
        <v>2</v>
      </c>
      <c r="D4361" s="4" t="s">
        <v>56</v>
      </c>
      <c r="E4361" s="3" t="s">
        <v>306</v>
      </c>
      <c r="F4361" s="4" t="str">
        <f aca="false">IF(I4361&gt;J4361,"Y","N")</f>
        <v>N</v>
      </c>
      <c r="G4361" s="3" t="s">
        <v>15</v>
      </c>
      <c r="H4361" s="3" t="s">
        <v>21</v>
      </c>
      <c r="I4361" s="4" t="n">
        <v>7</v>
      </c>
      <c r="J4361" s="4" t="n">
        <f aca="false">LEN(E4361)-LEN(SUBSTITUTE(E4361,",",""))+1</f>
        <v>7</v>
      </c>
      <c r="K4361" s="3" t="str">
        <f aca="false">IFERROR(INDEX('Teacher Lookup'!$B$2:$B$200,MATCH(A4361,'Teacher Lookup'!$A$2:$A$200,0)),"")</f>
        <v>CHENG Horace</v>
      </c>
    </row>
    <row r="4362" customFormat="false" ht="15" hidden="false" customHeight="false" outlineLevel="0" collapsed="false">
      <c r="A4362" s="3" t="s">
        <v>426</v>
      </c>
      <c r="B4362" s="4" t="s">
        <v>47</v>
      </c>
      <c r="C4362" s="4" t="n">
        <v>2</v>
      </c>
      <c r="D4362" s="4" t="s">
        <v>57</v>
      </c>
      <c r="E4362" s="3" t="s">
        <v>306</v>
      </c>
      <c r="F4362" s="4" t="str">
        <f aca="false">IF(I4362&gt;J4362,"Y","N")</f>
        <v>N</v>
      </c>
      <c r="G4362" s="3" t="s">
        <v>15</v>
      </c>
      <c r="H4362" s="3" t="s">
        <v>21</v>
      </c>
      <c r="I4362" s="4" t="n">
        <v>7</v>
      </c>
      <c r="J4362" s="4" t="n">
        <f aca="false">LEN(E4362)-LEN(SUBSTITUTE(E4362,",",""))+1</f>
        <v>7</v>
      </c>
      <c r="K4362" s="3" t="str">
        <f aca="false">IFERROR(INDEX('Teacher Lookup'!$B$2:$B$200,MATCH(A4362,'Teacher Lookup'!$A$2:$A$200,0)),"")</f>
        <v>CHENG Horace</v>
      </c>
    </row>
    <row r="4363" customFormat="false" ht="15" hidden="false" customHeight="false" outlineLevel="0" collapsed="false">
      <c r="A4363" s="3" t="s">
        <v>426</v>
      </c>
      <c r="B4363" s="4" t="s">
        <v>47</v>
      </c>
      <c r="C4363" s="4" t="n">
        <v>2</v>
      </c>
      <c r="D4363" s="4" t="s">
        <v>58</v>
      </c>
      <c r="E4363" s="3" t="s">
        <v>306</v>
      </c>
      <c r="F4363" s="4" t="str">
        <f aca="false">IF(I4363&gt;J4363,"Y","N")</f>
        <v>N</v>
      </c>
      <c r="G4363" s="3" t="s">
        <v>15</v>
      </c>
      <c r="H4363" s="3" t="s">
        <v>21</v>
      </c>
      <c r="I4363" s="4" t="n">
        <v>7</v>
      </c>
      <c r="J4363" s="4" t="n">
        <f aca="false">LEN(E4363)-LEN(SUBSTITUTE(E4363,",",""))+1</f>
        <v>7</v>
      </c>
      <c r="K4363" s="3" t="str">
        <f aca="false">IFERROR(INDEX('Teacher Lookup'!$B$2:$B$200,MATCH(A4363,'Teacher Lookup'!$A$2:$A$200,0)),"")</f>
        <v>CHENG Horace</v>
      </c>
    </row>
    <row r="4364" customFormat="false" ht="15" hidden="false" customHeight="false" outlineLevel="0" collapsed="false">
      <c r="A4364" s="3" t="s">
        <v>426</v>
      </c>
      <c r="B4364" s="4" t="s">
        <v>47</v>
      </c>
      <c r="C4364" s="4" t="n">
        <v>2</v>
      </c>
      <c r="D4364" s="4" t="s">
        <v>59</v>
      </c>
      <c r="E4364" s="3" t="s">
        <v>306</v>
      </c>
      <c r="F4364" s="4" t="str">
        <f aca="false">IF(I4364&gt;J4364,"Y","N")</f>
        <v>N</v>
      </c>
      <c r="G4364" s="3" t="s">
        <v>15</v>
      </c>
      <c r="H4364" s="3" t="s">
        <v>21</v>
      </c>
      <c r="I4364" s="4" t="n">
        <v>7</v>
      </c>
      <c r="J4364" s="4" t="n">
        <f aca="false">LEN(E4364)-LEN(SUBSTITUTE(E4364,",",""))+1</f>
        <v>7</v>
      </c>
      <c r="K4364" s="3" t="str">
        <f aca="false">IFERROR(INDEX('Teacher Lookup'!$B$2:$B$200,MATCH(A4364,'Teacher Lookup'!$A$2:$A$200,0)),"")</f>
        <v>CHENG Horace</v>
      </c>
    </row>
    <row r="4365" customFormat="false" ht="15" hidden="false" customHeight="false" outlineLevel="0" collapsed="false">
      <c r="A4365" s="3" t="s">
        <v>426</v>
      </c>
      <c r="B4365" s="4" t="s">
        <v>47</v>
      </c>
      <c r="C4365" s="4" t="n">
        <v>3</v>
      </c>
      <c r="D4365" s="4" t="s">
        <v>102</v>
      </c>
      <c r="E4365" s="3" t="s">
        <v>231</v>
      </c>
      <c r="F4365" s="4" t="str">
        <f aca="false">IF(I4365&gt;J4365,"Y","N")</f>
        <v>N</v>
      </c>
      <c r="G4365" s="3" t="s">
        <v>15</v>
      </c>
      <c r="H4365" s="3" t="s">
        <v>26</v>
      </c>
      <c r="I4365" s="4" t="n">
        <v>5</v>
      </c>
      <c r="J4365" s="4" t="n">
        <f aca="false">LEN(E4365)-LEN(SUBSTITUTE(E4365,",",""))+1</f>
        <v>5</v>
      </c>
      <c r="K4365" s="3" t="str">
        <f aca="false">IFERROR(INDEX('Teacher Lookup'!$B$2:$B$200,MATCH(A4365,'Teacher Lookup'!$A$2:$A$200,0)),"")</f>
        <v>CHENG Horace</v>
      </c>
    </row>
    <row r="4366" customFormat="false" ht="15" hidden="false" customHeight="false" outlineLevel="0" collapsed="false">
      <c r="A4366" s="3" t="s">
        <v>426</v>
      </c>
      <c r="B4366" s="4" t="s">
        <v>47</v>
      </c>
      <c r="C4366" s="4" t="n">
        <v>3</v>
      </c>
      <c r="D4366" s="4" t="s">
        <v>105</v>
      </c>
      <c r="E4366" s="3" t="s">
        <v>231</v>
      </c>
      <c r="F4366" s="4" t="str">
        <f aca="false">IF(I4366&gt;J4366,"Y","N")</f>
        <v>N</v>
      </c>
      <c r="G4366" s="3" t="s">
        <v>15</v>
      </c>
      <c r="H4366" s="3" t="s">
        <v>26</v>
      </c>
      <c r="I4366" s="4" t="n">
        <v>5</v>
      </c>
      <c r="J4366" s="4" t="n">
        <f aca="false">LEN(E4366)-LEN(SUBSTITUTE(E4366,",",""))+1</f>
        <v>5</v>
      </c>
      <c r="K4366" s="3" t="str">
        <f aca="false">IFERROR(INDEX('Teacher Lookup'!$B$2:$B$200,MATCH(A4366,'Teacher Lookup'!$A$2:$A$200,0)),"")</f>
        <v>CHENG Horace</v>
      </c>
    </row>
    <row r="4367" customFormat="false" ht="15" hidden="false" customHeight="false" outlineLevel="0" collapsed="false">
      <c r="A4367" s="3" t="s">
        <v>426</v>
      </c>
      <c r="B4367" s="4" t="s">
        <v>47</v>
      </c>
      <c r="C4367" s="4" t="n">
        <v>3</v>
      </c>
      <c r="D4367" s="4" t="s">
        <v>106</v>
      </c>
      <c r="E4367" s="3" t="s">
        <v>231</v>
      </c>
      <c r="F4367" s="4" t="str">
        <f aca="false">IF(I4367&gt;J4367,"Y","N")</f>
        <v>N</v>
      </c>
      <c r="G4367" s="3" t="s">
        <v>15</v>
      </c>
      <c r="H4367" s="3" t="s">
        <v>26</v>
      </c>
      <c r="I4367" s="4" t="n">
        <v>5</v>
      </c>
      <c r="J4367" s="4" t="n">
        <f aca="false">LEN(E4367)-LEN(SUBSTITUTE(E4367,",",""))+1</f>
        <v>5</v>
      </c>
      <c r="K4367" s="3" t="str">
        <f aca="false">IFERROR(INDEX('Teacher Lookup'!$B$2:$B$200,MATCH(A4367,'Teacher Lookup'!$A$2:$A$200,0)),"")</f>
        <v>CHENG Horace</v>
      </c>
    </row>
    <row r="4368" customFormat="false" ht="15" hidden="false" customHeight="false" outlineLevel="0" collapsed="false">
      <c r="A4368" s="3" t="s">
        <v>426</v>
      </c>
      <c r="B4368" s="4" t="s">
        <v>47</v>
      </c>
      <c r="C4368" s="4" t="n">
        <v>3</v>
      </c>
      <c r="D4368" s="4" t="s">
        <v>107</v>
      </c>
      <c r="E4368" s="3" t="s">
        <v>231</v>
      </c>
      <c r="F4368" s="4" t="str">
        <f aca="false">IF(I4368&gt;J4368,"Y","N")</f>
        <v>N</v>
      </c>
      <c r="G4368" s="3" t="s">
        <v>15</v>
      </c>
      <c r="H4368" s="3" t="s">
        <v>26</v>
      </c>
      <c r="I4368" s="4" t="n">
        <v>5</v>
      </c>
      <c r="J4368" s="4" t="n">
        <f aca="false">LEN(E4368)-LEN(SUBSTITUTE(E4368,",",""))+1</f>
        <v>5</v>
      </c>
      <c r="K4368" s="3" t="str">
        <f aca="false">IFERROR(INDEX('Teacher Lookup'!$B$2:$B$200,MATCH(A4368,'Teacher Lookup'!$A$2:$A$200,0)),"")</f>
        <v>CHENG Horace</v>
      </c>
    </row>
    <row r="4369" customFormat="false" ht="15" hidden="false" customHeight="false" outlineLevel="0" collapsed="false">
      <c r="A4369" s="3" t="s">
        <v>426</v>
      </c>
      <c r="B4369" s="4" t="s">
        <v>50</v>
      </c>
      <c r="C4369" s="4" t="n">
        <v>1</v>
      </c>
      <c r="D4369" s="4" t="s">
        <v>102</v>
      </c>
      <c r="E4369" s="3" t="s">
        <v>227</v>
      </c>
      <c r="F4369" s="4" t="str">
        <f aca="false">IF(I4369&gt;J4369,"Y","N")</f>
        <v>N</v>
      </c>
      <c r="G4369" s="3" t="s">
        <v>15</v>
      </c>
      <c r="H4369" s="3" t="s">
        <v>16</v>
      </c>
      <c r="I4369" s="4" t="n">
        <v>5</v>
      </c>
      <c r="J4369" s="4" t="n">
        <f aca="false">LEN(E4369)-LEN(SUBSTITUTE(E4369,",",""))+1</f>
        <v>5</v>
      </c>
      <c r="K4369" s="3" t="str">
        <f aca="false">IFERROR(INDEX('Teacher Lookup'!$B$2:$B$200,MATCH(A4369,'Teacher Lookup'!$A$2:$A$200,0)),"")</f>
        <v>CHENG Horace</v>
      </c>
    </row>
    <row r="4370" customFormat="false" ht="15" hidden="false" customHeight="false" outlineLevel="0" collapsed="false">
      <c r="A4370" s="3" t="s">
        <v>426</v>
      </c>
      <c r="B4370" s="4" t="s">
        <v>50</v>
      </c>
      <c r="C4370" s="4" t="n">
        <v>1</v>
      </c>
      <c r="D4370" s="4" t="s">
        <v>105</v>
      </c>
      <c r="E4370" s="3" t="s">
        <v>227</v>
      </c>
      <c r="F4370" s="4" t="str">
        <f aca="false">IF(I4370&gt;J4370,"Y","N")</f>
        <v>N</v>
      </c>
      <c r="G4370" s="3" t="s">
        <v>15</v>
      </c>
      <c r="H4370" s="3" t="s">
        <v>16</v>
      </c>
      <c r="I4370" s="4" t="n">
        <v>5</v>
      </c>
      <c r="J4370" s="4" t="n">
        <f aca="false">LEN(E4370)-LEN(SUBSTITUTE(E4370,",",""))+1</f>
        <v>5</v>
      </c>
      <c r="K4370" s="3" t="str">
        <f aca="false">IFERROR(INDEX('Teacher Lookup'!$B$2:$B$200,MATCH(A4370,'Teacher Lookup'!$A$2:$A$200,0)),"")</f>
        <v>CHENG Horace</v>
      </c>
    </row>
    <row r="4371" customFormat="false" ht="15" hidden="false" customHeight="false" outlineLevel="0" collapsed="false">
      <c r="A4371" s="3" t="s">
        <v>426</v>
      </c>
      <c r="B4371" s="4" t="s">
        <v>50</v>
      </c>
      <c r="C4371" s="4" t="n">
        <v>1</v>
      </c>
      <c r="D4371" s="4" t="s">
        <v>106</v>
      </c>
      <c r="E4371" s="3" t="s">
        <v>227</v>
      </c>
      <c r="F4371" s="4" t="str">
        <f aca="false">IF(I4371&gt;J4371,"Y","N")</f>
        <v>N</v>
      </c>
      <c r="G4371" s="3" t="s">
        <v>15</v>
      </c>
      <c r="H4371" s="3" t="s">
        <v>16</v>
      </c>
      <c r="I4371" s="4" t="n">
        <v>5</v>
      </c>
      <c r="J4371" s="4" t="n">
        <f aca="false">LEN(E4371)-LEN(SUBSTITUTE(E4371,",",""))+1</f>
        <v>5</v>
      </c>
      <c r="K4371" s="3" t="str">
        <f aca="false">IFERROR(INDEX('Teacher Lookup'!$B$2:$B$200,MATCH(A4371,'Teacher Lookup'!$A$2:$A$200,0)),"")</f>
        <v>CHENG Horace</v>
      </c>
    </row>
    <row r="4372" customFormat="false" ht="15" hidden="false" customHeight="false" outlineLevel="0" collapsed="false">
      <c r="A4372" s="3" t="s">
        <v>426</v>
      </c>
      <c r="B4372" s="4" t="s">
        <v>50</v>
      </c>
      <c r="C4372" s="4" t="n">
        <v>1</v>
      </c>
      <c r="D4372" s="4" t="s">
        <v>107</v>
      </c>
      <c r="E4372" s="3" t="s">
        <v>227</v>
      </c>
      <c r="F4372" s="4" t="str">
        <f aca="false">IF(I4372&gt;J4372,"Y","N")</f>
        <v>N</v>
      </c>
      <c r="G4372" s="3" t="s">
        <v>15</v>
      </c>
      <c r="H4372" s="3" t="s">
        <v>16</v>
      </c>
      <c r="I4372" s="4" t="n">
        <v>5</v>
      </c>
      <c r="J4372" s="4" t="n">
        <f aca="false">LEN(E4372)-LEN(SUBSTITUTE(E4372,",",""))+1</f>
        <v>5</v>
      </c>
      <c r="K4372" s="3" t="str">
        <f aca="false">IFERROR(INDEX('Teacher Lookup'!$B$2:$B$200,MATCH(A4372,'Teacher Lookup'!$A$2:$A$200,0)),"")</f>
        <v>CHENG Horace</v>
      </c>
    </row>
    <row r="4373" customFormat="false" ht="15" hidden="false" customHeight="false" outlineLevel="0" collapsed="false">
      <c r="A4373" s="3" t="s">
        <v>426</v>
      </c>
      <c r="B4373" s="4" t="s">
        <v>50</v>
      </c>
      <c r="C4373" s="4" t="n">
        <v>2</v>
      </c>
      <c r="D4373" s="4" t="s">
        <v>52</v>
      </c>
      <c r="E4373" s="3" t="s">
        <v>307</v>
      </c>
      <c r="F4373" s="4" t="str">
        <f aca="false">IF(I4373&gt;J4373,"Y","N")</f>
        <v>N</v>
      </c>
      <c r="G4373" s="3" t="s">
        <v>15</v>
      </c>
      <c r="H4373" s="3" t="s">
        <v>21</v>
      </c>
      <c r="I4373" s="4" t="n">
        <v>7</v>
      </c>
      <c r="J4373" s="4" t="n">
        <f aca="false">LEN(E4373)-LEN(SUBSTITUTE(E4373,",",""))+1</f>
        <v>7</v>
      </c>
      <c r="K4373" s="3" t="str">
        <f aca="false">IFERROR(INDEX('Teacher Lookup'!$B$2:$B$200,MATCH(A4373,'Teacher Lookup'!$A$2:$A$200,0)),"")</f>
        <v>CHENG Horace</v>
      </c>
    </row>
    <row r="4374" customFormat="false" ht="15" hidden="false" customHeight="false" outlineLevel="0" collapsed="false">
      <c r="A4374" s="3" t="s">
        <v>426</v>
      </c>
      <c r="B4374" s="4" t="s">
        <v>50</v>
      </c>
      <c r="C4374" s="4" t="n">
        <v>2</v>
      </c>
      <c r="D4374" s="4" t="s">
        <v>55</v>
      </c>
      <c r="E4374" s="3" t="s">
        <v>307</v>
      </c>
      <c r="F4374" s="4" t="str">
        <f aca="false">IF(I4374&gt;J4374,"Y","N")</f>
        <v>N</v>
      </c>
      <c r="G4374" s="3" t="s">
        <v>15</v>
      </c>
      <c r="H4374" s="3" t="s">
        <v>21</v>
      </c>
      <c r="I4374" s="4" t="n">
        <v>7</v>
      </c>
      <c r="J4374" s="4" t="n">
        <f aca="false">LEN(E4374)-LEN(SUBSTITUTE(E4374,",",""))+1</f>
        <v>7</v>
      </c>
      <c r="K4374" s="3" t="str">
        <f aca="false">IFERROR(INDEX('Teacher Lookup'!$B$2:$B$200,MATCH(A4374,'Teacher Lookup'!$A$2:$A$200,0)),"")</f>
        <v>CHENG Horace</v>
      </c>
    </row>
    <row r="4375" customFormat="false" ht="15" hidden="false" customHeight="false" outlineLevel="0" collapsed="false">
      <c r="A4375" s="3" t="s">
        <v>426</v>
      </c>
      <c r="B4375" s="4" t="s">
        <v>50</v>
      </c>
      <c r="C4375" s="4" t="n">
        <v>2</v>
      </c>
      <c r="D4375" s="4" t="s">
        <v>56</v>
      </c>
      <c r="E4375" s="3" t="s">
        <v>307</v>
      </c>
      <c r="F4375" s="4" t="str">
        <f aca="false">IF(I4375&gt;J4375,"Y","N")</f>
        <v>N</v>
      </c>
      <c r="G4375" s="3" t="s">
        <v>15</v>
      </c>
      <c r="H4375" s="3" t="s">
        <v>21</v>
      </c>
      <c r="I4375" s="4" t="n">
        <v>7</v>
      </c>
      <c r="J4375" s="4" t="n">
        <f aca="false">LEN(E4375)-LEN(SUBSTITUTE(E4375,",",""))+1</f>
        <v>7</v>
      </c>
      <c r="K4375" s="3" t="str">
        <f aca="false">IFERROR(INDEX('Teacher Lookup'!$B$2:$B$200,MATCH(A4375,'Teacher Lookup'!$A$2:$A$200,0)),"")</f>
        <v>CHENG Horace</v>
      </c>
    </row>
    <row r="4376" customFormat="false" ht="15" hidden="false" customHeight="false" outlineLevel="0" collapsed="false">
      <c r="A4376" s="3" t="s">
        <v>426</v>
      </c>
      <c r="B4376" s="4" t="s">
        <v>50</v>
      </c>
      <c r="C4376" s="4" t="n">
        <v>2</v>
      </c>
      <c r="D4376" s="4" t="s">
        <v>57</v>
      </c>
      <c r="E4376" s="3" t="s">
        <v>307</v>
      </c>
      <c r="F4376" s="4" t="str">
        <f aca="false">IF(I4376&gt;J4376,"Y","N")</f>
        <v>N</v>
      </c>
      <c r="G4376" s="3" t="s">
        <v>15</v>
      </c>
      <c r="H4376" s="3" t="s">
        <v>21</v>
      </c>
      <c r="I4376" s="4" t="n">
        <v>7</v>
      </c>
      <c r="J4376" s="4" t="n">
        <f aca="false">LEN(E4376)-LEN(SUBSTITUTE(E4376,",",""))+1</f>
        <v>7</v>
      </c>
      <c r="K4376" s="3" t="str">
        <f aca="false">IFERROR(INDEX('Teacher Lookup'!$B$2:$B$200,MATCH(A4376,'Teacher Lookup'!$A$2:$A$200,0)),"")</f>
        <v>CHENG Horace</v>
      </c>
    </row>
    <row r="4377" customFormat="false" ht="15" hidden="false" customHeight="false" outlineLevel="0" collapsed="false">
      <c r="A4377" s="3" t="s">
        <v>426</v>
      </c>
      <c r="B4377" s="4" t="s">
        <v>50</v>
      </c>
      <c r="C4377" s="4" t="n">
        <v>2</v>
      </c>
      <c r="D4377" s="4" t="s">
        <v>58</v>
      </c>
      <c r="E4377" s="3" t="s">
        <v>307</v>
      </c>
      <c r="F4377" s="4" t="str">
        <f aca="false">IF(I4377&gt;J4377,"Y","N")</f>
        <v>N</v>
      </c>
      <c r="G4377" s="3" t="s">
        <v>15</v>
      </c>
      <c r="H4377" s="3" t="s">
        <v>21</v>
      </c>
      <c r="I4377" s="4" t="n">
        <v>7</v>
      </c>
      <c r="J4377" s="4" t="n">
        <f aca="false">LEN(E4377)-LEN(SUBSTITUTE(E4377,",",""))+1</f>
        <v>7</v>
      </c>
      <c r="K4377" s="3" t="str">
        <f aca="false">IFERROR(INDEX('Teacher Lookup'!$B$2:$B$200,MATCH(A4377,'Teacher Lookup'!$A$2:$A$200,0)),"")</f>
        <v>CHENG Horace</v>
      </c>
    </row>
    <row r="4378" customFormat="false" ht="15" hidden="false" customHeight="false" outlineLevel="0" collapsed="false">
      <c r="A4378" s="3" t="s">
        <v>426</v>
      </c>
      <c r="B4378" s="4" t="s">
        <v>50</v>
      </c>
      <c r="C4378" s="4" t="n">
        <v>2</v>
      </c>
      <c r="D4378" s="4" t="s">
        <v>59</v>
      </c>
      <c r="E4378" s="3" t="s">
        <v>307</v>
      </c>
      <c r="F4378" s="4" t="str">
        <f aca="false">IF(I4378&gt;J4378,"Y","N")</f>
        <v>N</v>
      </c>
      <c r="G4378" s="3" t="s">
        <v>15</v>
      </c>
      <c r="H4378" s="3" t="s">
        <v>21</v>
      </c>
      <c r="I4378" s="4" t="n">
        <v>7</v>
      </c>
      <c r="J4378" s="4" t="n">
        <f aca="false">LEN(E4378)-LEN(SUBSTITUTE(E4378,",",""))+1</f>
        <v>7</v>
      </c>
      <c r="K4378" s="3" t="str">
        <f aca="false">IFERROR(INDEX('Teacher Lookup'!$B$2:$B$200,MATCH(A4378,'Teacher Lookup'!$A$2:$A$200,0)),"")</f>
        <v>CHENG Horace</v>
      </c>
    </row>
    <row r="4379" customFormat="false" ht="15" hidden="false" customHeight="false" outlineLevel="0" collapsed="false">
      <c r="A4379" s="3" t="s">
        <v>426</v>
      </c>
      <c r="B4379" s="4" t="s">
        <v>50</v>
      </c>
      <c r="C4379" s="4" t="n">
        <v>6</v>
      </c>
      <c r="D4379" s="4" t="s">
        <v>76</v>
      </c>
      <c r="E4379" s="3" t="s">
        <v>165</v>
      </c>
      <c r="F4379" s="4" t="str">
        <f aca="false">IF(I4379&gt;J4379,"Y","N")</f>
        <v>N</v>
      </c>
      <c r="G4379" s="3" t="s">
        <v>15</v>
      </c>
      <c r="H4379" s="3" t="s">
        <v>42</v>
      </c>
      <c r="I4379" s="4" t="n">
        <v>4</v>
      </c>
      <c r="J4379" s="4" t="n">
        <f aca="false">LEN(E4379)-LEN(SUBSTITUTE(E4379,",",""))+1</f>
        <v>4</v>
      </c>
      <c r="K4379" s="3" t="str">
        <f aca="false">IFERROR(INDEX('Teacher Lookup'!$B$2:$B$200,MATCH(A4379,'Teacher Lookup'!$A$2:$A$200,0)),"")</f>
        <v>CHENG Horace</v>
      </c>
    </row>
    <row r="4380" customFormat="false" ht="15" hidden="false" customHeight="false" outlineLevel="0" collapsed="false">
      <c r="A4380" s="3" t="s">
        <v>426</v>
      </c>
      <c r="B4380" s="4" t="s">
        <v>50</v>
      </c>
      <c r="C4380" s="4" t="n">
        <v>6</v>
      </c>
      <c r="D4380" s="4" t="s">
        <v>78</v>
      </c>
      <c r="E4380" s="3" t="s">
        <v>165</v>
      </c>
      <c r="F4380" s="4" t="str">
        <f aca="false">IF(I4380&gt;J4380,"Y","N")</f>
        <v>N</v>
      </c>
      <c r="G4380" s="3" t="s">
        <v>15</v>
      </c>
      <c r="H4380" s="3" t="s">
        <v>42</v>
      </c>
      <c r="I4380" s="4" t="n">
        <v>4</v>
      </c>
      <c r="J4380" s="4" t="n">
        <f aca="false">LEN(E4380)-LEN(SUBSTITUTE(E4380,",",""))+1</f>
        <v>4</v>
      </c>
      <c r="K4380" s="3" t="str">
        <f aca="false">IFERROR(INDEX('Teacher Lookup'!$B$2:$B$200,MATCH(A4380,'Teacher Lookup'!$A$2:$A$200,0)),"")</f>
        <v>CHENG Horace</v>
      </c>
    </row>
    <row r="4381" customFormat="false" ht="15" hidden="false" customHeight="false" outlineLevel="0" collapsed="false">
      <c r="A4381" s="3" t="s">
        <v>426</v>
      </c>
      <c r="B4381" s="4" t="s">
        <v>50</v>
      </c>
      <c r="C4381" s="4" t="n">
        <v>6</v>
      </c>
      <c r="D4381" s="4" t="s">
        <v>79</v>
      </c>
      <c r="E4381" s="3" t="s">
        <v>165</v>
      </c>
      <c r="F4381" s="4" t="str">
        <f aca="false">IF(I4381&gt;J4381,"Y","N")</f>
        <v>N</v>
      </c>
      <c r="G4381" s="3" t="s">
        <v>15</v>
      </c>
      <c r="H4381" s="3" t="s">
        <v>42</v>
      </c>
      <c r="I4381" s="4" t="n">
        <v>4</v>
      </c>
      <c r="J4381" s="4" t="n">
        <f aca="false">LEN(E4381)-LEN(SUBSTITUTE(E4381,",",""))+1</f>
        <v>4</v>
      </c>
      <c r="K4381" s="3" t="str">
        <f aca="false">IFERROR(INDEX('Teacher Lookup'!$B$2:$B$200,MATCH(A4381,'Teacher Lookup'!$A$2:$A$200,0)),"")</f>
        <v>CHENG Horace</v>
      </c>
    </row>
    <row r="4382" customFormat="false" ht="15" hidden="false" customHeight="false" outlineLevel="0" collapsed="false">
      <c r="A4382" s="3" t="s">
        <v>426</v>
      </c>
      <c r="B4382" s="4" t="s">
        <v>60</v>
      </c>
      <c r="C4382" s="4" t="n">
        <v>1</v>
      </c>
      <c r="D4382" s="4" t="s">
        <v>102</v>
      </c>
      <c r="E4382" s="3" t="s">
        <v>227</v>
      </c>
      <c r="F4382" s="4" t="str">
        <f aca="false">IF(I4382&gt;J4382,"Y","N")</f>
        <v>N</v>
      </c>
      <c r="G4382" s="3" t="s">
        <v>15</v>
      </c>
      <c r="H4382" s="3" t="s">
        <v>16</v>
      </c>
      <c r="I4382" s="4" t="n">
        <v>5</v>
      </c>
      <c r="J4382" s="4" t="n">
        <f aca="false">LEN(E4382)-LEN(SUBSTITUTE(E4382,",",""))+1</f>
        <v>5</v>
      </c>
      <c r="K4382" s="3" t="str">
        <f aca="false">IFERROR(INDEX('Teacher Lookup'!$B$2:$B$200,MATCH(A4382,'Teacher Lookup'!$A$2:$A$200,0)),"")</f>
        <v>CHENG Horace</v>
      </c>
    </row>
    <row r="4383" customFormat="false" ht="15" hidden="false" customHeight="false" outlineLevel="0" collapsed="false">
      <c r="A4383" s="3" t="s">
        <v>426</v>
      </c>
      <c r="B4383" s="4" t="s">
        <v>60</v>
      </c>
      <c r="C4383" s="4" t="n">
        <v>1</v>
      </c>
      <c r="D4383" s="4" t="s">
        <v>105</v>
      </c>
      <c r="E4383" s="3" t="s">
        <v>227</v>
      </c>
      <c r="F4383" s="4" t="str">
        <f aca="false">IF(I4383&gt;J4383,"Y","N")</f>
        <v>N</v>
      </c>
      <c r="G4383" s="3" t="s">
        <v>15</v>
      </c>
      <c r="H4383" s="3" t="s">
        <v>16</v>
      </c>
      <c r="I4383" s="4" t="n">
        <v>5</v>
      </c>
      <c r="J4383" s="4" t="n">
        <f aca="false">LEN(E4383)-LEN(SUBSTITUTE(E4383,",",""))+1</f>
        <v>5</v>
      </c>
      <c r="K4383" s="3" t="str">
        <f aca="false">IFERROR(INDEX('Teacher Lookup'!$B$2:$B$200,MATCH(A4383,'Teacher Lookup'!$A$2:$A$200,0)),"")</f>
        <v>CHENG Horace</v>
      </c>
    </row>
    <row r="4384" customFormat="false" ht="15" hidden="false" customHeight="false" outlineLevel="0" collapsed="false">
      <c r="A4384" s="3" t="s">
        <v>426</v>
      </c>
      <c r="B4384" s="4" t="s">
        <v>60</v>
      </c>
      <c r="C4384" s="4" t="n">
        <v>1</v>
      </c>
      <c r="D4384" s="4" t="s">
        <v>106</v>
      </c>
      <c r="E4384" s="3" t="s">
        <v>227</v>
      </c>
      <c r="F4384" s="4" t="str">
        <f aca="false">IF(I4384&gt;J4384,"Y","N")</f>
        <v>N</v>
      </c>
      <c r="G4384" s="3" t="s">
        <v>15</v>
      </c>
      <c r="H4384" s="3" t="s">
        <v>16</v>
      </c>
      <c r="I4384" s="4" t="n">
        <v>5</v>
      </c>
      <c r="J4384" s="4" t="n">
        <f aca="false">LEN(E4384)-LEN(SUBSTITUTE(E4384,",",""))+1</f>
        <v>5</v>
      </c>
      <c r="K4384" s="3" t="str">
        <f aca="false">IFERROR(INDEX('Teacher Lookup'!$B$2:$B$200,MATCH(A4384,'Teacher Lookup'!$A$2:$A$200,0)),"")</f>
        <v>CHENG Horace</v>
      </c>
    </row>
    <row r="4385" customFormat="false" ht="15" hidden="false" customHeight="false" outlineLevel="0" collapsed="false">
      <c r="A4385" s="3" t="s">
        <v>426</v>
      </c>
      <c r="B4385" s="4" t="s">
        <v>60</v>
      </c>
      <c r="C4385" s="4" t="n">
        <v>1</v>
      </c>
      <c r="D4385" s="4" t="s">
        <v>107</v>
      </c>
      <c r="E4385" s="3" t="s">
        <v>227</v>
      </c>
      <c r="F4385" s="4" t="str">
        <f aca="false">IF(I4385&gt;J4385,"Y","N")</f>
        <v>N</v>
      </c>
      <c r="G4385" s="3" t="s">
        <v>15</v>
      </c>
      <c r="H4385" s="3" t="s">
        <v>16</v>
      </c>
      <c r="I4385" s="4" t="n">
        <v>5</v>
      </c>
      <c r="J4385" s="4" t="n">
        <f aca="false">LEN(E4385)-LEN(SUBSTITUTE(E4385,",",""))+1</f>
        <v>5</v>
      </c>
      <c r="K4385" s="3" t="str">
        <f aca="false">IFERROR(INDEX('Teacher Lookup'!$B$2:$B$200,MATCH(A4385,'Teacher Lookup'!$A$2:$A$200,0)),"")</f>
        <v>CHENG Horace</v>
      </c>
    </row>
    <row r="4386" customFormat="false" ht="15" hidden="false" customHeight="false" outlineLevel="0" collapsed="false">
      <c r="A4386" s="3" t="s">
        <v>426</v>
      </c>
      <c r="B4386" s="4" t="s">
        <v>60</v>
      </c>
      <c r="C4386" s="4" t="n">
        <v>3</v>
      </c>
      <c r="D4386" s="4" t="s">
        <v>52</v>
      </c>
      <c r="E4386" s="3" t="s">
        <v>306</v>
      </c>
      <c r="F4386" s="4" t="str">
        <f aca="false">IF(I4386&gt;J4386,"Y","N")</f>
        <v>N</v>
      </c>
      <c r="G4386" s="3" t="s">
        <v>15</v>
      </c>
      <c r="H4386" s="3" t="s">
        <v>26</v>
      </c>
      <c r="I4386" s="4" t="n">
        <v>7</v>
      </c>
      <c r="J4386" s="4" t="n">
        <f aca="false">LEN(E4386)-LEN(SUBSTITUTE(E4386,",",""))+1</f>
        <v>7</v>
      </c>
      <c r="K4386" s="3" t="str">
        <f aca="false">IFERROR(INDEX('Teacher Lookup'!$B$2:$B$200,MATCH(A4386,'Teacher Lookup'!$A$2:$A$200,0)),"")</f>
        <v>CHENG Horace</v>
      </c>
    </row>
    <row r="4387" customFormat="false" ht="15" hidden="false" customHeight="false" outlineLevel="0" collapsed="false">
      <c r="A4387" s="3" t="s">
        <v>426</v>
      </c>
      <c r="B4387" s="4" t="s">
        <v>60</v>
      </c>
      <c r="C4387" s="4" t="n">
        <v>3</v>
      </c>
      <c r="D4387" s="4" t="s">
        <v>55</v>
      </c>
      <c r="E4387" s="3" t="s">
        <v>306</v>
      </c>
      <c r="F4387" s="4" t="str">
        <f aca="false">IF(I4387&gt;J4387,"Y","N")</f>
        <v>N</v>
      </c>
      <c r="G4387" s="3" t="s">
        <v>15</v>
      </c>
      <c r="H4387" s="3" t="s">
        <v>26</v>
      </c>
      <c r="I4387" s="4" t="n">
        <v>7</v>
      </c>
      <c r="J4387" s="4" t="n">
        <f aca="false">LEN(E4387)-LEN(SUBSTITUTE(E4387,",",""))+1</f>
        <v>7</v>
      </c>
      <c r="K4387" s="3" t="str">
        <f aca="false">IFERROR(INDEX('Teacher Lookup'!$B$2:$B$200,MATCH(A4387,'Teacher Lookup'!$A$2:$A$200,0)),"")</f>
        <v>CHENG Horace</v>
      </c>
    </row>
    <row r="4388" customFormat="false" ht="15" hidden="false" customHeight="false" outlineLevel="0" collapsed="false">
      <c r="A4388" s="3" t="s">
        <v>426</v>
      </c>
      <c r="B4388" s="4" t="s">
        <v>60</v>
      </c>
      <c r="C4388" s="4" t="n">
        <v>3</v>
      </c>
      <c r="D4388" s="4" t="s">
        <v>56</v>
      </c>
      <c r="E4388" s="3" t="s">
        <v>306</v>
      </c>
      <c r="F4388" s="4" t="str">
        <f aca="false">IF(I4388&gt;J4388,"Y","N")</f>
        <v>N</v>
      </c>
      <c r="G4388" s="3" t="s">
        <v>15</v>
      </c>
      <c r="H4388" s="3" t="s">
        <v>26</v>
      </c>
      <c r="I4388" s="4" t="n">
        <v>7</v>
      </c>
      <c r="J4388" s="4" t="n">
        <f aca="false">LEN(E4388)-LEN(SUBSTITUTE(E4388,",",""))+1</f>
        <v>7</v>
      </c>
      <c r="K4388" s="3" t="str">
        <f aca="false">IFERROR(INDEX('Teacher Lookup'!$B$2:$B$200,MATCH(A4388,'Teacher Lookup'!$A$2:$A$200,0)),"")</f>
        <v>CHENG Horace</v>
      </c>
    </row>
    <row r="4389" customFormat="false" ht="15" hidden="false" customHeight="false" outlineLevel="0" collapsed="false">
      <c r="A4389" s="3" t="s">
        <v>426</v>
      </c>
      <c r="B4389" s="4" t="s">
        <v>60</v>
      </c>
      <c r="C4389" s="4" t="n">
        <v>3</v>
      </c>
      <c r="D4389" s="4" t="s">
        <v>57</v>
      </c>
      <c r="E4389" s="3" t="s">
        <v>306</v>
      </c>
      <c r="F4389" s="4" t="str">
        <f aca="false">IF(I4389&gt;J4389,"Y","N")</f>
        <v>N</v>
      </c>
      <c r="G4389" s="3" t="s">
        <v>15</v>
      </c>
      <c r="H4389" s="3" t="s">
        <v>26</v>
      </c>
      <c r="I4389" s="4" t="n">
        <v>7</v>
      </c>
      <c r="J4389" s="4" t="n">
        <f aca="false">LEN(E4389)-LEN(SUBSTITUTE(E4389,",",""))+1</f>
        <v>7</v>
      </c>
      <c r="K4389" s="3" t="str">
        <f aca="false">IFERROR(INDEX('Teacher Lookup'!$B$2:$B$200,MATCH(A4389,'Teacher Lookup'!$A$2:$A$200,0)),"")</f>
        <v>CHENG Horace</v>
      </c>
    </row>
    <row r="4390" customFormat="false" ht="15" hidden="false" customHeight="false" outlineLevel="0" collapsed="false">
      <c r="A4390" s="3" t="s">
        <v>426</v>
      </c>
      <c r="B4390" s="4" t="s">
        <v>60</v>
      </c>
      <c r="C4390" s="4" t="n">
        <v>3</v>
      </c>
      <c r="D4390" s="4" t="s">
        <v>58</v>
      </c>
      <c r="E4390" s="3" t="s">
        <v>306</v>
      </c>
      <c r="F4390" s="4" t="str">
        <f aca="false">IF(I4390&gt;J4390,"Y","N")</f>
        <v>N</v>
      </c>
      <c r="G4390" s="3" t="s">
        <v>15</v>
      </c>
      <c r="H4390" s="3" t="s">
        <v>26</v>
      </c>
      <c r="I4390" s="4" t="n">
        <v>7</v>
      </c>
      <c r="J4390" s="4" t="n">
        <f aca="false">LEN(E4390)-LEN(SUBSTITUTE(E4390,",",""))+1</f>
        <v>7</v>
      </c>
      <c r="K4390" s="3" t="str">
        <f aca="false">IFERROR(INDEX('Teacher Lookup'!$B$2:$B$200,MATCH(A4390,'Teacher Lookup'!$A$2:$A$200,0)),"")</f>
        <v>CHENG Horace</v>
      </c>
    </row>
    <row r="4391" customFormat="false" ht="15" hidden="false" customHeight="false" outlineLevel="0" collapsed="false">
      <c r="A4391" s="3" t="s">
        <v>426</v>
      </c>
      <c r="B4391" s="4" t="s">
        <v>60</v>
      </c>
      <c r="C4391" s="4" t="n">
        <v>3</v>
      </c>
      <c r="D4391" s="4" t="s">
        <v>59</v>
      </c>
      <c r="E4391" s="3" t="s">
        <v>306</v>
      </c>
      <c r="F4391" s="4" t="str">
        <f aca="false">IF(I4391&gt;J4391,"Y","N")</f>
        <v>N</v>
      </c>
      <c r="G4391" s="3" t="s">
        <v>15</v>
      </c>
      <c r="H4391" s="3" t="s">
        <v>26</v>
      </c>
      <c r="I4391" s="4" t="n">
        <v>7</v>
      </c>
      <c r="J4391" s="4" t="n">
        <f aca="false">LEN(E4391)-LEN(SUBSTITUTE(E4391,",",""))+1</f>
        <v>7</v>
      </c>
      <c r="K4391" s="3" t="str">
        <f aca="false">IFERROR(INDEX('Teacher Lookup'!$B$2:$B$200,MATCH(A4391,'Teacher Lookup'!$A$2:$A$200,0)),"")</f>
        <v>CHENG Horace</v>
      </c>
    </row>
    <row r="4392" customFormat="false" ht="15" hidden="false" customHeight="false" outlineLevel="0" collapsed="false">
      <c r="A4392" s="3" t="s">
        <v>426</v>
      </c>
      <c r="B4392" s="4" t="s">
        <v>60</v>
      </c>
      <c r="C4392" s="4" t="n">
        <v>4</v>
      </c>
      <c r="D4392" s="4" t="s">
        <v>76</v>
      </c>
      <c r="E4392" s="3" t="s">
        <v>80</v>
      </c>
      <c r="F4392" s="4" t="str">
        <f aca="false">IF(I4392&gt;J4392,"Y","N")</f>
        <v>N</v>
      </c>
      <c r="G4392" s="3" t="s">
        <v>15</v>
      </c>
      <c r="H4392" s="3" t="s">
        <v>34</v>
      </c>
      <c r="I4392" s="4" t="n">
        <v>4</v>
      </c>
      <c r="J4392" s="4" t="n">
        <f aca="false">LEN(E4392)-LEN(SUBSTITUTE(E4392,",",""))+1</f>
        <v>4</v>
      </c>
      <c r="K4392" s="3" t="str">
        <f aca="false">IFERROR(INDEX('Teacher Lookup'!$B$2:$B$200,MATCH(A4392,'Teacher Lookup'!$A$2:$A$200,0)),"")</f>
        <v>CHENG Horace</v>
      </c>
    </row>
    <row r="4393" customFormat="false" ht="15" hidden="false" customHeight="false" outlineLevel="0" collapsed="false">
      <c r="A4393" s="3" t="s">
        <v>426</v>
      </c>
      <c r="B4393" s="4" t="s">
        <v>60</v>
      </c>
      <c r="C4393" s="4" t="n">
        <v>4</v>
      </c>
      <c r="D4393" s="4" t="s">
        <v>78</v>
      </c>
      <c r="E4393" s="3" t="s">
        <v>80</v>
      </c>
      <c r="F4393" s="4" t="str">
        <f aca="false">IF(I4393&gt;J4393,"Y","N")</f>
        <v>N</v>
      </c>
      <c r="G4393" s="3" t="s">
        <v>15</v>
      </c>
      <c r="H4393" s="3" t="s">
        <v>34</v>
      </c>
      <c r="I4393" s="4" t="n">
        <v>4</v>
      </c>
      <c r="J4393" s="4" t="n">
        <f aca="false">LEN(E4393)-LEN(SUBSTITUTE(E4393,",",""))+1</f>
        <v>4</v>
      </c>
      <c r="K4393" s="3" t="str">
        <f aca="false">IFERROR(INDEX('Teacher Lookup'!$B$2:$B$200,MATCH(A4393,'Teacher Lookup'!$A$2:$A$200,0)),"")</f>
        <v>CHENG Horace</v>
      </c>
    </row>
    <row r="4394" customFormat="false" ht="15" hidden="false" customHeight="false" outlineLevel="0" collapsed="false">
      <c r="A4394" s="3" t="s">
        <v>426</v>
      </c>
      <c r="B4394" s="4" t="s">
        <v>60</v>
      </c>
      <c r="C4394" s="4" t="n">
        <v>4</v>
      </c>
      <c r="D4394" s="4" t="s">
        <v>79</v>
      </c>
      <c r="E4394" s="3" t="s">
        <v>80</v>
      </c>
      <c r="F4394" s="4" t="str">
        <f aca="false">IF(I4394&gt;J4394,"Y","N")</f>
        <v>N</v>
      </c>
      <c r="G4394" s="3" t="s">
        <v>15</v>
      </c>
      <c r="H4394" s="3" t="s">
        <v>34</v>
      </c>
      <c r="I4394" s="4" t="n">
        <v>4</v>
      </c>
      <c r="J4394" s="4" t="n">
        <f aca="false">LEN(E4394)-LEN(SUBSTITUTE(E4394,",",""))+1</f>
        <v>4</v>
      </c>
      <c r="K4394" s="3" t="str">
        <f aca="false">IFERROR(INDEX('Teacher Lookup'!$B$2:$B$200,MATCH(A4394,'Teacher Lookup'!$A$2:$A$200,0)),"")</f>
        <v>CHENG Horace</v>
      </c>
    </row>
    <row r="4395" customFormat="false" ht="15" hidden="false" customHeight="false" outlineLevel="0" collapsed="false">
      <c r="A4395" s="3" t="s">
        <v>426</v>
      </c>
      <c r="B4395" s="4" t="s">
        <v>60</v>
      </c>
      <c r="C4395" s="4" t="n">
        <v>5</v>
      </c>
      <c r="D4395" s="4" t="s">
        <v>70</v>
      </c>
      <c r="E4395" s="3" t="s">
        <v>81</v>
      </c>
      <c r="F4395" s="4" t="str">
        <f aca="false">IF(I4395&gt;J4395,"Y","N")</f>
        <v>Y</v>
      </c>
      <c r="G4395" s="3" t="s">
        <v>36</v>
      </c>
      <c r="H4395" s="3" t="s">
        <v>37</v>
      </c>
      <c r="I4395" s="4" t="n">
        <v>15</v>
      </c>
      <c r="J4395" s="4" t="n">
        <f aca="false">LEN(E4395)-LEN(SUBSTITUTE(E4395,",",""))+1</f>
        <v>7</v>
      </c>
      <c r="K4395" s="3" t="str">
        <f aca="false">IFERROR(INDEX('Teacher Lookup'!$B$2:$B$200,MATCH(A4395,'Teacher Lookup'!$A$2:$A$200,0)),"")</f>
        <v>CHENG Horace</v>
      </c>
    </row>
    <row r="4396" customFormat="false" ht="15" hidden="false" customHeight="false" outlineLevel="0" collapsed="false">
      <c r="A4396" s="3" t="s">
        <v>426</v>
      </c>
      <c r="B4396" s="4" t="s">
        <v>60</v>
      </c>
      <c r="C4396" s="4" t="n">
        <v>5</v>
      </c>
      <c r="D4396" s="4" t="s">
        <v>73</v>
      </c>
      <c r="E4396" s="3" t="s">
        <v>81</v>
      </c>
      <c r="F4396" s="4" t="str">
        <f aca="false">IF(I4396&gt;J4396,"Y","N")</f>
        <v>Y</v>
      </c>
      <c r="G4396" s="3" t="s">
        <v>36</v>
      </c>
      <c r="H4396" s="3" t="s">
        <v>37</v>
      </c>
      <c r="I4396" s="4" t="n">
        <v>15</v>
      </c>
      <c r="J4396" s="4" t="n">
        <f aca="false">LEN(E4396)-LEN(SUBSTITUTE(E4396,",",""))+1</f>
        <v>7</v>
      </c>
      <c r="K4396" s="3" t="str">
        <f aca="false">IFERROR(INDEX('Teacher Lookup'!$B$2:$B$200,MATCH(A4396,'Teacher Lookup'!$A$2:$A$200,0)),"")</f>
        <v>CHENG Horace</v>
      </c>
    </row>
    <row r="4397" customFormat="false" ht="15" hidden="false" customHeight="false" outlineLevel="0" collapsed="false">
      <c r="A4397" s="3" t="s">
        <v>426</v>
      </c>
      <c r="B4397" s="4" t="s">
        <v>60</v>
      </c>
      <c r="C4397" s="4" t="n">
        <v>5</v>
      </c>
      <c r="D4397" s="4" t="s">
        <v>74</v>
      </c>
      <c r="E4397" s="3" t="s">
        <v>81</v>
      </c>
      <c r="F4397" s="4" t="str">
        <f aca="false">IF(I4397&gt;J4397,"Y","N")</f>
        <v>Y</v>
      </c>
      <c r="G4397" s="3" t="s">
        <v>36</v>
      </c>
      <c r="H4397" s="3" t="s">
        <v>37</v>
      </c>
      <c r="I4397" s="4" t="n">
        <v>15</v>
      </c>
      <c r="J4397" s="4" t="n">
        <f aca="false">LEN(E4397)-LEN(SUBSTITUTE(E4397,",",""))+1</f>
        <v>7</v>
      </c>
      <c r="K4397" s="3" t="str">
        <f aca="false">IFERROR(INDEX('Teacher Lookup'!$B$2:$B$200,MATCH(A4397,'Teacher Lookup'!$A$2:$A$200,0)),"")</f>
        <v>CHENG Horace</v>
      </c>
    </row>
    <row r="4398" customFormat="false" ht="15" hidden="false" customHeight="false" outlineLevel="0" collapsed="false">
      <c r="A4398" s="3" t="s">
        <v>426</v>
      </c>
      <c r="B4398" s="4" t="s">
        <v>60</v>
      </c>
      <c r="C4398" s="4" t="n">
        <v>5</v>
      </c>
      <c r="D4398" s="4" t="s">
        <v>76</v>
      </c>
      <c r="E4398" s="3" t="s">
        <v>81</v>
      </c>
      <c r="F4398" s="4" t="str">
        <f aca="false">IF(I4398&gt;J4398,"Y","N")</f>
        <v>Y</v>
      </c>
      <c r="G4398" s="3" t="s">
        <v>36</v>
      </c>
      <c r="H4398" s="3" t="s">
        <v>37</v>
      </c>
      <c r="I4398" s="4" t="n">
        <v>15</v>
      </c>
      <c r="J4398" s="4" t="n">
        <f aca="false">LEN(E4398)-LEN(SUBSTITUTE(E4398,",",""))+1</f>
        <v>7</v>
      </c>
      <c r="K4398" s="3" t="str">
        <f aca="false">IFERROR(INDEX('Teacher Lookup'!$B$2:$B$200,MATCH(A4398,'Teacher Lookup'!$A$2:$A$200,0)),"")</f>
        <v>CHENG Horace</v>
      </c>
    </row>
    <row r="4399" customFormat="false" ht="15" hidden="false" customHeight="false" outlineLevel="0" collapsed="false">
      <c r="A4399" s="3" t="s">
        <v>426</v>
      </c>
      <c r="B4399" s="4" t="s">
        <v>60</v>
      </c>
      <c r="C4399" s="4" t="n">
        <v>5</v>
      </c>
      <c r="D4399" s="4" t="s">
        <v>78</v>
      </c>
      <c r="E4399" s="3" t="s">
        <v>81</v>
      </c>
      <c r="F4399" s="4" t="str">
        <f aca="false">IF(I4399&gt;J4399,"Y","N")</f>
        <v>Y</v>
      </c>
      <c r="G4399" s="3" t="s">
        <v>36</v>
      </c>
      <c r="H4399" s="3" t="s">
        <v>37</v>
      </c>
      <c r="I4399" s="4" t="n">
        <v>15</v>
      </c>
      <c r="J4399" s="4" t="n">
        <f aca="false">LEN(E4399)-LEN(SUBSTITUTE(E4399,",",""))+1</f>
        <v>7</v>
      </c>
      <c r="K4399" s="3" t="str">
        <f aca="false">IFERROR(INDEX('Teacher Lookup'!$B$2:$B$200,MATCH(A4399,'Teacher Lookup'!$A$2:$A$200,0)),"")</f>
        <v>CHENG Horace</v>
      </c>
    </row>
    <row r="4400" customFormat="false" ht="15" hidden="false" customHeight="false" outlineLevel="0" collapsed="false">
      <c r="A4400" s="3" t="s">
        <v>426</v>
      </c>
      <c r="B4400" s="4" t="s">
        <v>60</v>
      </c>
      <c r="C4400" s="4" t="n">
        <v>5</v>
      </c>
      <c r="D4400" s="4" t="s">
        <v>79</v>
      </c>
      <c r="E4400" s="3" t="s">
        <v>81</v>
      </c>
      <c r="F4400" s="4" t="str">
        <f aca="false">IF(I4400&gt;J4400,"Y","N")</f>
        <v>Y</v>
      </c>
      <c r="G4400" s="3" t="s">
        <v>36</v>
      </c>
      <c r="H4400" s="3" t="s">
        <v>37</v>
      </c>
      <c r="I4400" s="4" t="n">
        <v>15</v>
      </c>
      <c r="J4400" s="4" t="n">
        <f aca="false">LEN(E4400)-LEN(SUBSTITUTE(E4400,",",""))+1</f>
        <v>7</v>
      </c>
      <c r="K4400" s="3" t="str">
        <f aca="false">IFERROR(INDEX('Teacher Lookup'!$B$2:$B$200,MATCH(A4400,'Teacher Lookup'!$A$2:$A$200,0)),"")</f>
        <v>CHENG Horace</v>
      </c>
    </row>
    <row r="4401" customFormat="false" ht="15" hidden="false" customHeight="false" outlineLevel="0" collapsed="false">
      <c r="A4401" s="3" t="s">
        <v>426</v>
      </c>
      <c r="B4401" s="4" t="s">
        <v>63</v>
      </c>
      <c r="C4401" s="4" t="n">
        <v>5</v>
      </c>
      <c r="D4401" s="4" t="s">
        <v>102</v>
      </c>
      <c r="E4401" s="3" t="s">
        <v>232</v>
      </c>
      <c r="F4401" s="4" t="str">
        <f aca="false">IF(I4401&gt;J4401,"Y","N")</f>
        <v>N</v>
      </c>
      <c r="G4401" s="3" t="s">
        <v>15</v>
      </c>
      <c r="H4401" s="3" t="s">
        <v>37</v>
      </c>
      <c r="I4401" s="4" t="n">
        <v>5</v>
      </c>
      <c r="J4401" s="4" t="n">
        <f aca="false">LEN(E4401)-LEN(SUBSTITUTE(E4401,",",""))+1</f>
        <v>5</v>
      </c>
      <c r="K4401" s="3" t="str">
        <f aca="false">IFERROR(INDEX('Teacher Lookup'!$B$2:$B$200,MATCH(A4401,'Teacher Lookup'!$A$2:$A$200,0)),"")</f>
        <v>CHENG Horace</v>
      </c>
    </row>
    <row r="4402" customFormat="false" ht="15" hidden="false" customHeight="false" outlineLevel="0" collapsed="false">
      <c r="A4402" s="3" t="s">
        <v>426</v>
      </c>
      <c r="B4402" s="4" t="s">
        <v>63</v>
      </c>
      <c r="C4402" s="4" t="n">
        <v>5</v>
      </c>
      <c r="D4402" s="4" t="s">
        <v>105</v>
      </c>
      <c r="E4402" s="3" t="s">
        <v>232</v>
      </c>
      <c r="F4402" s="4" t="str">
        <f aca="false">IF(I4402&gt;J4402,"Y","N")</f>
        <v>N</v>
      </c>
      <c r="G4402" s="3" t="s">
        <v>15</v>
      </c>
      <c r="H4402" s="3" t="s">
        <v>37</v>
      </c>
      <c r="I4402" s="4" t="n">
        <v>5</v>
      </c>
      <c r="J4402" s="4" t="n">
        <f aca="false">LEN(E4402)-LEN(SUBSTITUTE(E4402,",",""))+1</f>
        <v>5</v>
      </c>
      <c r="K4402" s="3" t="str">
        <f aca="false">IFERROR(INDEX('Teacher Lookup'!$B$2:$B$200,MATCH(A4402,'Teacher Lookup'!$A$2:$A$200,0)),"")</f>
        <v>CHENG Horace</v>
      </c>
    </row>
    <row r="4403" customFormat="false" ht="15" hidden="false" customHeight="false" outlineLevel="0" collapsed="false">
      <c r="A4403" s="3" t="s">
        <v>426</v>
      </c>
      <c r="B4403" s="4" t="s">
        <v>63</v>
      </c>
      <c r="C4403" s="4" t="n">
        <v>5</v>
      </c>
      <c r="D4403" s="4" t="s">
        <v>106</v>
      </c>
      <c r="E4403" s="3" t="s">
        <v>232</v>
      </c>
      <c r="F4403" s="4" t="str">
        <f aca="false">IF(I4403&gt;J4403,"Y","N")</f>
        <v>N</v>
      </c>
      <c r="G4403" s="3" t="s">
        <v>15</v>
      </c>
      <c r="H4403" s="3" t="s">
        <v>37</v>
      </c>
      <c r="I4403" s="4" t="n">
        <v>5</v>
      </c>
      <c r="J4403" s="4" t="n">
        <f aca="false">LEN(E4403)-LEN(SUBSTITUTE(E4403,",",""))+1</f>
        <v>5</v>
      </c>
      <c r="K4403" s="3" t="str">
        <f aca="false">IFERROR(INDEX('Teacher Lookup'!$B$2:$B$200,MATCH(A4403,'Teacher Lookup'!$A$2:$A$200,0)),"")</f>
        <v>CHENG Horace</v>
      </c>
    </row>
    <row r="4404" customFormat="false" ht="15" hidden="false" customHeight="false" outlineLevel="0" collapsed="false">
      <c r="A4404" s="3" t="s">
        <v>426</v>
      </c>
      <c r="B4404" s="4" t="s">
        <v>63</v>
      </c>
      <c r="C4404" s="4" t="n">
        <v>5</v>
      </c>
      <c r="D4404" s="4" t="s">
        <v>107</v>
      </c>
      <c r="E4404" s="3" t="s">
        <v>232</v>
      </c>
      <c r="F4404" s="4" t="str">
        <f aca="false">IF(I4404&gt;J4404,"Y","N")</f>
        <v>N</v>
      </c>
      <c r="G4404" s="3" t="s">
        <v>15</v>
      </c>
      <c r="H4404" s="3" t="s">
        <v>37</v>
      </c>
      <c r="I4404" s="4" t="n">
        <v>5</v>
      </c>
      <c r="J4404" s="4" t="n">
        <f aca="false">LEN(E4404)-LEN(SUBSTITUTE(E4404,",",""))+1</f>
        <v>5</v>
      </c>
      <c r="K4404" s="3" t="str">
        <f aca="false">IFERROR(INDEX('Teacher Lookup'!$B$2:$B$200,MATCH(A4404,'Teacher Lookup'!$A$2:$A$200,0)),"")</f>
        <v>CHENG Horace</v>
      </c>
    </row>
    <row r="4405" customFormat="false" ht="15" hidden="false" customHeight="false" outlineLevel="0" collapsed="false">
      <c r="A4405" s="3" t="s">
        <v>426</v>
      </c>
      <c r="B4405" s="4" t="s">
        <v>63</v>
      </c>
      <c r="C4405" s="4" t="n">
        <v>6</v>
      </c>
      <c r="D4405" s="4" t="s">
        <v>76</v>
      </c>
      <c r="E4405" s="3" t="s">
        <v>77</v>
      </c>
      <c r="F4405" s="4" t="str">
        <f aca="false">IF(I4405&gt;J4405,"Y","N")</f>
        <v>N</v>
      </c>
      <c r="G4405" s="3" t="s">
        <v>15</v>
      </c>
      <c r="H4405" s="3" t="s">
        <v>42</v>
      </c>
      <c r="I4405" s="4" t="n">
        <v>4</v>
      </c>
      <c r="J4405" s="4" t="n">
        <f aca="false">LEN(E4405)-LEN(SUBSTITUTE(E4405,",",""))+1</f>
        <v>4</v>
      </c>
      <c r="K4405" s="3" t="str">
        <f aca="false">IFERROR(INDEX('Teacher Lookup'!$B$2:$B$200,MATCH(A4405,'Teacher Lookup'!$A$2:$A$200,0)),"")</f>
        <v>CHENG Horace</v>
      </c>
    </row>
    <row r="4406" customFormat="false" ht="15" hidden="false" customHeight="false" outlineLevel="0" collapsed="false">
      <c r="A4406" s="3" t="s">
        <v>426</v>
      </c>
      <c r="B4406" s="4" t="s">
        <v>63</v>
      </c>
      <c r="C4406" s="4" t="n">
        <v>6</v>
      </c>
      <c r="D4406" s="4" t="s">
        <v>78</v>
      </c>
      <c r="E4406" s="3" t="s">
        <v>77</v>
      </c>
      <c r="F4406" s="4" t="str">
        <f aca="false">IF(I4406&gt;J4406,"Y","N")</f>
        <v>N</v>
      </c>
      <c r="G4406" s="3" t="s">
        <v>15</v>
      </c>
      <c r="H4406" s="3" t="s">
        <v>42</v>
      </c>
      <c r="I4406" s="4" t="n">
        <v>4</v>
      </c>
      <c r="J4406" s="4" t="n">
        <f aca="false">LEN(E4406)-LEN(SUBSTITUTE(E4406,",",""))+1</f>
        <v>4</v>
      </c>
      <c r="K4406" s="3" t="str">
        <f aca="false">IFERROR(INDEX('Teacher Lookup'!$B$2:$B$200,MATCH(A4406,'Teacher Lookup'!$A$2:$A$200,0)),"")</f>
        <v>CHENG Horace</v>
      </c>
    </row>
    <row r="4407" customFormat="false" ht="15" hidden="false" customHeight="false" outlineLevel="0" collapsed="false">
      <c r="A4407" s="3" t="s">
        <v>426</v>
      </c>
      <c r="B4407" s="4" t="s">
        <v>63</v>
      </c>
      <c r="C4407" s="4" t="n">
        <v>6</v>
      </c>
      <c r="D4407" s="4" t="s">
        <v>79</v>
      </c>
      <c r="E4407" s="3" t="s">
        <v>77</v>
      </c>
      <c r="F4407" s="4" t="str">
        <f aca="false">IF(I4407&gt;J4407,"Y","N")</f>
        <v>N</v>
      </c>
      <c r="G4407" s="3" t="s">
        <v>15</v>
      </c>
      <c r="H4407" s="3" t="s">
        <v>42</v>
      </c>
      <c r="I4407" s="4" t="n">
        <v>4</v>
      </c>
      <c r="J4407" s="4" t="n">
        <f aca="false">LEN(E4407)-LEN(SUBSTITUTE(E4407,",",""))+1</f>
        <v>4</v>
      </c>
      <c r="K4407" s="3" t="str">
        <f aca="false">IFERROR(INDEX('Teacher Lookup'!$B$2:$B$200,MATCH(A4407,'Teacher Lookup'!$A$2:$A$200,0)),"")</f>
        <v>CHENG Horace</v>
      </c>
    </row>
    <row r="4408" customFormat="false" ht="15" hidden="false" customHeight="false" outlineLevel="0" collapsed="false">
      <c r="A4408" s="3" t="s">
        <v>426</v>
      </c>
      <c r="B4408" s="4" t="s">
        <v>63</v>
      </c>
      <c r="C4408" s="4" t="n">
        <v>7</v>
      </c>
      <c r="D4408" s="4" t="s">
        <v>52</v>
      </c>
      <c r="E4408" s="3" t="s">
        <v>304</v>
      </c>
      <c r="F4408" s="4" t="str">
        <f aca="false">IF(I4408&gt;J4408,"Y","N")</f>
        <v>N</v>
      </c>
      <c r="G4408" s="3" t="s">
        <v>15</v>
      </c>
      <c r="H4408" s="3" t="s">
        <v>39</v>
      </c>
      <c r="I4408" s="4" t="n">
        <v>7</v>
      </c>
      <c r="J4408" s="4" t="n">
        <f aca="false">LEN(E4408)-LEN(SUBSTITUTE(E4408,",",""))+1</f>
        <v>7</v>
      </c>
      <c r="K4408" s="3" t="str">
        <f aca="false">IFERROR(INDEX('Teacher Lookup'!$B$2:$B$200,MATCH(A4408,'Teacher Lookup'!$A$2:$A$200,0)),"")</f>
        <v>CHENG Horace</v>
      </c>
    </row>
    <row r="4409" customFormat="false" ht="15" hidden="false" customHeight="false" outlineLevel="0" collapsed="false">
      <c r="A4409" s="3" t="s">
        <v>426</v>
      </c>
      <c r="B4409" s="4" t="s">
        <v>63</v>
      </c>
      <c r="C4409" s="4" t="n">
        <v>7</v>
      </c>
      <c r="D4409" s="4" t="s">
        <v>55</v>
      </c>
      <c r="E4409" s="3" t="s">
        <v>304</v>
      </c>
      <c r="F4409" s="4" t="str">
        <f aca="false">IF(I4409&gt;J4409,"Y","N")</f>
        <v>N</v>
      </c>
      <c r="G4409" s="3" t="s">
        <v>15</v>
      </c>
      <c r="H4409" s="3" t="s">
        <v>39</v>
      </c>
      <c r="I4409" s="4" t="n">
        <v>7</v>
      </c>
      <c r="J4409" s="4" t="n">
        <f aca="false">LEN(E4409)-LEN(SUBSTITUTE(E4409,",",""))+1</f>
        <v>7</v>
      </c>
      <c r="K4409" s="3" t="str">
        <f aca="false">IFERROR(INDEX('Teacher Lookup'!$B$2:$B$200,MATCH(A4409,'Teacher Lookup'!$A$2:$A$200,0)),"")</f>
        <v>CHENG Horace</v>
      </c>
    </row>
    <row r="4410" customFormat="false" ht="15" hidden="false" customHeight="false" outlineLevel="0" collapsed="false">
      <c r="A4410" s="3" t="s">
        <v>426</v>
      </c>
      <c r="B4410" s="4" t="s">
        <v>63</v>
      </c>
      <c r="C4410" s="4" t="n">
        <v>7</v>
      </c>
      <c r="D4410" s="4" t="s">
        <v>56</v>
      </c>
      <c r="E4410" s="3" t="s">
        <v>304</v>
      </c>
      <c r="F4410" s="4" t="str">
        <f aca="false">IF(I4410&gt;J4410,"Y","N")</f>
        <v>N</v>
      </c>
      <c r="G4410" s="3" t="s">
        <v>15</v>
      </c>
      <c r="H4410" s="3" t="s">
        <v>39</v>
      </c>
      <c r="I4410" s="4" t="n">
        <v>7</v>
      </c>
      <c r="J4410" s="4" t="n">
        <f aca="false">LEN(E4410)-LEN(SUBSTITUTE(E4410,",",""))+1</f>
        <v>7</v>
      </c>
      <c r="K4410" s="3" t="str">
        <f aca="false">IFERROR(INDEX('Teacher Lookup'!$B$2:$B$200,MATCH(A4410,'Teacher Lookup'!$A$2:$A$200,0)),"")</f>
        <v>CHENG Horace</v>
      </c>
    </row>
    <row r="4411" customFormat="false" ht="15" hidden="false" customHeight="false" outlineLevel="0" collapsed="false">
      <c r="A4411" s="3" t="s">
        <v>426</v>
      </c>
      <c r="B4411" s="4" t="s">
        <v>63</v>
      </c>
      <c r="C4411" s="4" t="n">
        <v>7</v>
      </c>
      <c r="D4411" s="4" t="s">
        <v>57</v>
      </c>
      <c r="E4411" s="3" t="s">
        <v>304</v>
      </c>
      <c r="F4411" s="4" t="str">
        <f aca="false">IF(I4411&gt;J4411,"Y","N")</f>
        <v>N</v>
      </c>
      <c r="G4411" s="3" t="s">
        <v>15</v>
      </c>
      <c r="H4411" s="3" t="s">
        <v>39</v>
      </c>
      <c r="I4411" s="4" t="n">
        <v>7</v>
      </c>
      <c r="J4411" s="4" t="n">
        <f aca="false">LEN(E4411)-LEN(SUBSTITUTE(E4411,",",""))+1</f>
        <v>7</v>
      </c>
      <c r="K4411" s="3" t="str">
        <f aca="false">IFERROR(INDEX('Teacher Lookup'!$B$2:$B$200,MATCH(A4411,'Teacher Lookup'!$A$2:$A$200,0)),"")</f>
        <v>CHENG Horace</v>
      </c>
    </row>
    <row r="4412" customFormat="false" ht="15" hidden="false" customHeight="false" outlineLevel="0" collapsed="false">
      <c r="A4412" s="3" t="s">
        <v>426</v>
      </c>
      <c r="B4412" s="4" t="s">
        <v>63</v>
      </c>
      <c r="C4412" s="4" t="n">
        <v>7</v>
      </c>
      <c r="D4412" s="4" t="s">
        <v>58</v>
      </c>
      <c r="E4412" s="3" t="s">
        <v>304</v>
      </c>
      <c r="F4412" s="4" t="str">
        <f aca="false">IF(I4412&gt;J4412,"Y","N")</f>
        <v>N</v>
      </c>
      <c r="G4412" s="3" t="s">
        <v>15</v>
      </c>
      <c r="H4412" s="3" t="s">
        <v>39</v>
      </c>
      <c r="I4412" s="4" t="n">
        <v>7</v>
      </c>
      <c r="J4412" s="4" t="n">
        <f aca="false">LEN(E4412)-LEN(SUBSTITUTE(E4412,",",""))+1</f>
        <v>7</v>
      </c>
      <c r="K4412" s="3" t="str">
        <f aca="false">IFERROR(INDEX('Teacher Lookup'!$B$2:$B$200,MATCH(A4412,'Teacher Lookup'!$A$2:$A$200,0)),"")</f>
        <v>CHENG Horace</v>
      </c>
    </row>
    <row r="4413" customFormat="false" ht="15" hidden="false" customHeight="false" outlineLevel="0" collapsed="false">
      <c r="A4413" s="3" t="s">
        <v>426</v>
      </c>
      <c r="B4413" s="4" t="s">
        <v>63</v>
      </c>
      <c r="C4413" s="4" t="n">
        <v>7</v>
      </c>
      <c r="D4413" s="4" t="s">
        <v>59</v>
      </c>
      <c r="E4413" s="3" t="s">
        <v>304</v>
      </c>
      <c r="F4413" s="4" t="str">
        <f aca="false">IF(I4413&gt;J4413,"Y","N")</f>
        <v>N</v>
      </c>
      <c r="G4413" s="3" t="s">
        <v>15</v>
      </c>
      <c r="H4413" s="3" t="s">
        <v>39</v>
      </c>
      <c r="I4413" s="4" t="n">
        <v>7</v>
      </c>
      <c r="J4413" s="4" t="n">
        <f aca="false">LEN(E4413)-LEN(SUBSTITUTE(E4413,",",""))+1</f>
        <v>7</v>
      </c>
      <c r="K4413" s="3" t="str">
        <f aca="false">IFERROR(INDEX('Teacher Lookup'!$B$2:$B$200,MATCH(A4413,'Teacher Lookup'!$A$2:$A$200,0)),"")</f>
        <v>CHENG Horace</v>
      </c>
    </row>
    <row r="4414" customFormat="false" ht="15" hidden="false" customHeight="false" outlineLevel="0" collapsed="false">
      <c r="A4414" s="3" t="s">
        <v>426</v>
      </c>
      <c r="B4414" s="4" t="s">
        <v>65</v>
      </c>
      <c r="C4414" s="4" t="n">
        <v>1</v>
      </c>
      <c r="D4414" s="4" t="s">
        <v>102</v>
      </c>
      <c r="E4414" s="3" t="s">
        <v>227</v>
      </c>
      <c r="F4414" s="4" t="str">
        <f aca="false">IF(I4414&gt;J4414,"Y","N")</f>
        <v>N</v>
      </c>
      <c r="G4414" s="3" t="s">
        <v>15</v>
      </c>
      <c r="H4414" s="3" t="s">
        <v>16</v>
      </c>
      <c r="I4414" s="4" t="n">
        <v>5</v>
      </c>
      <c r="J4414" s="4" t="n">
        <f aca="false">LEN(E4414)-LEN(SUBSTITUTE(E4414,",",""))+1</f>
        <v>5</v>
      </c>
      <c r="K4414" s="3" t="str">
        <f aca="false">IFERROR(INDEX('Teacher Lookup'!$B$2:$B$200,MATCH(A4414,'Teacher Lookup'!$A$2:$A$200,0)),"")</f>
        <v>CHENG Horace</v>
      </c>
    </row>
    <row r="4415" customFormat="false" ht="15" hidden="false" customHeight="false" outlineLevel="0" collapsed="false">
      <c r="A4415" s="3" t="s">
        <v>426</v>
      </c>
      <c r="B4415" s="4" t="s">
        <v>65</v>
      </c>
      <c r="C4415" s="4" t="n">
        <v>1</v>
      </c>
      <c r="D4415" s="4" t="s">
        <v>105</v>
      </c>
      <c r="E4415" s="3" t="s">
        <v>227</v>
      </c>
      <c r="F4415" s="4" t="str">
        <f aca="false">IF(I4415&gt;J4415,"Y","N")</f>
        <v>N</v>
      </c>
      <c r="G4415" s="3" t="s">
        <v>15</v>
      </c>
      <c r="H4415" s="3" t="s">
        <v>16</v>
      </c>
      <c r="I4415" s="4" t="n">
        <v>5</v>
      </c>
      <c r="J4415" s="4" t="n">
        <f aca="false">LEN(E4415)-LEN(SUBSTITUTE(E4415,",",""))+1</f>
        <v>5</v>
      </c>
      <c r="K4415" s="3" t="str">
        <f aca="false">IFERROR(INDEX('Teacher Lookup'!$B$2:$B$200,MATCH(A4415,'Teacher Lookup'!$A$2:$A$200,0)),"")</f>
        <v>CHENG Horace</v>
      </c>
    </row>
    <row r="4416" customFormat="false" ht="15" hidden="false" customHeight="false" outlineLevel="0" collapsed="false">
      <c r="A4416" s="3" t="s">
        <v>426</v>
      </c>
      <c r="B4416" s="4" t="s">
        <v>65</v>
      </c>
      <c r="C4416" s="4" t="n">
        <v>1</v>
      </c>
      <c r="D4416" s="4" t="s">
        <v>106</v>
      </c>
      <c r="E4416" s="3" t="s">
        <v>227</v>
      </c>
      <c r="F4416" s="4" t="str">
        <f aca="false">IF(I4416&gt;J4416,"Y","N")</f>
        <v>N</v>
      </c>
      <c r="G4416" s="3" t="s">
        <v>15</v>
      </c>
      <c r="H4416" s="3" t="s">
        <v>16</v>
      </c>
      <c r="I4416" s="4" t="n">
        <v>5</v>
      </c>
      <c r="J4416" s="4" t="n">
        <f aca="false">LEN(E4416)-LEN(SUBSTITUTE(E4416,",",""))+1</f>
        <v>5</v>
      </c>
      <c r="K4416" s="3" t="str">
        <f aca="false">IFERROR(INDEX('Teacher Lookup'!$B$2:$B$200,MATCH(A4416,'Teacher Lookup'!$A$2:$A$200,0)),"")</f>
        <v>CHENG Horace</v>
      </c>
    </row>
    <row r="4417" customFormat="false" ht="15" hidden="false" customHeight="false" outlineLevel="0" collapsed="false">
      <c r="A4417" s="3" t="s">
        <v>426</v>
      </c>
      <c r="B4417" s="4" t="s">
        <v>65</v>
      </c>
      <c r="C4417" s="4" t="n">
        <v>1</v>
      </c>
      <c r="D4417" s="4" t="s">
        <v>107</v>
      </c>
      <c r="E4417" s="3" t="s">
        <v>227</v>
      </c>
      <c r="F4417" s="4" t="str">
        <f aca="false">IF(I4417&gt;J4417,"Y","N")</f>
        <v>N</v>
      </c>
      <c r="G4417" s="3" t="s">
        <v>15</v>
      </c>
      <c r="H4417" s="3" t="s">
        <v>16</v>
      </c>
      <c r="I4417" s="4" t="n">
        <v>5</v>
      </c>
      <c r="J4417" s="4" t="n">
        <f aca="false">LEN(E4417)-LEN(SUBSTITUTE(E4417,",",""))+1</f>
        <v>5</v>
      </c>
      <c r="K4417" s="3" t="str">
        <f aca="false">IFERROR(INDEX('Teacher Lookup'!$B$2:$B$200,MATCH(A4417,'Teacher Lookup'!$A$2:$A$200,0)),"")</f>
        <v>CHENG Horace</v>
      </c>
    </row>
    <row r="4418" customFormat="false" ht="15" hidden="false" customHeight="false" outlineLevel="0" collapsed="false">
      <c r="A4418" s="3" t="s">
        <v>426</v>
      </c>
      <c r="B4418" s="4" t="s">
        <v>65</v>
      </c>
      <c r="C4418" s="4" t="n">
        <v>2</v>
      </c>
      <c r="D4418" s="4" t="s">
        <v>102</v>
      </c>
      <c r="E4418" s="3" t="s">
        <v>227</v>
      </c>
      <c r="F4418" s="4" t="str">
        <f aca="false">IF(I4418&gt;J4418,"Y","N")</f>
        <v>N</v>
      </c>
      <c r="G4418" s="3" t="s">
        <v>15</v>
      </c>
      <c r="H4418" s="3" t="s">
        <v>21</v>
      </c>
      <c r="I4418" s="4" t="n">
        <v>5</v>
      </c>
      <c r="J4418" s="4" t="n">
        <f aca="false">LEN(E4418)-LEN(SUBSTITUTE(E4418,",",""))+1</f>
        <v>5</v>
      </c>
      <c r="K4418" s="3" t="str">
        <f aca="false">IFERROR(INDEX('Teacher Lookup'!$B$2:$B$200,MATCH(A4418,'Teacher Lookup'!$A$2:$A$200,0)),"")</f>
        <v>CHENG Horace</v>
      </c>
    </row>
    <row r="4419" customFormat="false" ht="15" hidden="false" customHeight="false" outlineLevel="0" collapsed="false">
      <c r="A4419" s="3" t="s">
        <v>426</v>
      </c>
      <c r="B4419" s="4" t="s">
        <v>65</v>
      </c>
      <c r="C4419" s="4" t="n">
        <v>2</v>
      </c>
      <c r="D4419" s="4" t="s">
        <v>105</v>
      </c>
      <c r="E4419" s="3" t="s">
        <v>227</v>
      </c>
      <c r="F4419" s="4" t="str">
        <f aca="false">IF(I4419&gt;J4419,"Y","N")</f>
        <v>N</v>
      </c>
      <c r="G4419" s="3" t="s">
        <v>15</v>
      </c>
      <c r="H4419" s="3" t="s">
        <v>21</v>
      </c>
      <c r="I4419" s="4" t="n">
        <v>5</v>
      </c>
      <c r="J4419" s="4" t="n">
        <f aca="false">LEN(E4419)-LEN(SUBSTITUTE(E4419,",",""))+1</f>
        <v>5</v>
      </c>
      <c r="K4419" s="3" t="str">
        <f aca="false">IFERROR(INDEX('Teacher Lookup'!$B$2:$B$200,MATCH(A4419,'Teacher Lookup'!$A$2:$A$200,0)),"")</f>
        <v>CHENG Horace</v>
      </c>
    </row>
    <row r="4420" customFormat="false" ht="15" hidden="false" customHeight="false" outlineLevel="0" collapsed="false">
      <c r="A4420" s="3" t="s">
        <v>426</v>
      </c>
      <c r="B4420" s="4" t="s">
        <v>65</v>
      </c>
      <c r="C4420" s="4" t="n">
        <v>2</v>
      </c>
      <c r="D4420" s="4" t="s">
        <v>106</v>
      </c>
      <c r="E4420" s="3" t="s">
        <v>227</v>
      </c>
      <c r="F4420" s="4" t="str">
        <f aca="false">IF(I4420&gt;J4420,"Y","N")</f>
        <v>N</v>
      </c>
      <c r="G4420" s="3" t="s">
        <v>15</v>
      </c>
      <c r="H4420" s="3" t="s">
        <v>21</v>
      </c>
      <c r="I4420" s="4" t="n">
        <v>5</v>
      </c>
      <c r="J4420" s="4" t="n">
        <f aca="false">LEN(E4420)-LEN(SUBSTITUTE(E4420,",",""))+1</f>
        <v>5</v>
      </c>
      <c r="K4420" s="3" t="str">
        <f aca="false">IFERROR(INDEX('Teacher Lookup'!$B$2:$B$200,MATCH(A4420,'Teacher Lookup'!$A$2:$A$200,0)),"")</f>
        <v>CHENG Horace</v>
      </c>
    </row>
    <row r="4421" customFormat="false" ht="15" hidden="false" customHeight="false" outlineLevel="0" collapsed="false">
      <c r="A4421" s="3" t="s">
        <v>426</v>
      </c>
      <c r="B4421" s="4" t="s">
        <v>65</v>
      </c>
      <c r="C4421" s="4" t="n">
        <v>2</v>
      </c>
      <c r="D4421" s="4" t="s">
        <v>107</v>
      </c>
      <c r="E4421" s="3" t="s">
        <v>227</v>
      </c>
      <c r="F4421" s="4" t="str">
        <f aca="false">IF(I4421&gt;J4421,"Y","N")</f>
        <v>N</v>
      </c>
      <c r="G4421" s="3" t="s">
        <v>15</v>
      </c>
      <c r="H4421" s="3" t="s">
        <v>21</v>
      </c>
      <c r="I4421" s="4" t="n">
        <v>5</v>
      </c>
      <c r="J4421" s="4" t="n">
        <f aca="false">LEN(E4421)-LEN(SUBSTITUTE(E4421,",",""))+1</f>
        <v>5</v>
      </c>
      <c r="K4421" s="3" t="str">
        <f aca="false">IFERROR(INDEX('Teacher Lookup'!$B$2:$B$200,MATCH(A4421,'Teacher Lookup'!$A$2:$A$200,0)),"")</f>
        <v>CHENG Horace</v>
      </c>
    </row>
    <row r="4422" customFormat="false" ht="15" hidden="false" customHeight="false" outlineLevel="0" collapsed="false">
      <c r="A4422" s="3" t="s">
        <v>426</v>
      </c>
      <c r="B4422" s="4" t="s">
        <v>65</v>
      </c>
      <c r="C4422" s="4" t="n">
        <v>4</v>
      </c>
      <c r="D4422" s="4" t="s">
        <v>52</v>
      </c>
      <c r="E4422" s="3" t="s">
        <v>306</v>
      </c>
      <c r="F4422" s="4" t="str">
        <f aca="false">IF(I4422&gt;J4422,"Y","N")</f>
        <v>N</v>
      </c>
      <c r="G4422" s="3" t="s">
        <v>15</v>
      </c>
      <c r="H4422" s="3" t="s">
        <v>34</v>
      </c>
      <c r="I4422" s="4" t="n">
        <v>7</v>
      </c>
      <c r="J4422" s="4" t="n">
        <f aca="false">LEN(E4422)-LEN(SUBSTITUTE(E4422,",",""))+1</f>
        <v>7</v>
      </c>
      <c r="K4422" s="3" t="str">
        <f aca="false">IFERROR(INDEX('Teacher Lookup'!$B$2:$B$200,MATCH(A4422,'Teacher Lookup'!$A$2:$A$200,0)),"")</f>
        <v>CHENG Horace</v>
      </c>
    </row>
    <row r="4423" customFormat="false" ht="15" hidden="false" customHeight="false" outlineLevel="0" collapsed="false">
      <c r="A4423" s="3" t="s">
        <v>426</v>
      </c>
      <c r="B4423" s="4" t="s">
        <v>65</v>
      </c>
      <c r="C4423" s="4" t="n">
        <v>4</v>
      </c>
      <c r="D4423" s="4" t="s">
        <v>55</v>
      </c>
      <c r="E4423" s="3" t="s">
        <v>306</v>
      </c>
      <c r="F4423" s="4" t="str">
        <f aca="false">IF(I4423&gt;J4423,"Y","N")</f>
        <v>N</v>
      </c>
      <c r="G4423" s="3" t="s">
        <v>15</v>
      </c>
      <c r="H4423" s="3" t="s">
        <v>34</v>
      </c>
      <c r="I4423" s="4" t="n">
        <v>7</v>
      </c>
      <c r="J4423" s="4" t="n">
        <f aca="false">LEN(E4423)-LEN(SUBSTITUTE(E4423,",",""))+1</f>
        <v>7</v>
      </c>
      <c r="K4423" s="3" t="str">
        <f aca="false">IFERROR(INDEX('Teacher Lookup'!$B$2:$B$200,MATCH(A4423,'Teacher Lookup'!$A$2:$A$200,0)),"")</f>
        <v>CHENG Horace</v>
      </c>
    </row>
    <row r="4424" customFormat="false" ht="15" hidden="false" customHeight="false" outlineLevel="0" collapsed="false">
      <c r="A4424" s="3" t="s">
        <v>426</v>
      </c>
      <c r="B4424" s="4" t="s">
        <v>65</v>
      </c>
      <c r="C4424" s="4" t="n">
        <v>4</v>
      </c>
      <c r="D4424" s="4" t="s">
        <v>56</v>
      </c>
      <c r="E4424" s="3" t="s">
        <v>306</v>
      </c>
      <c r="F4424" s="4" t="str">
        <f aca="false">IF(I4424&gt;J4424,"Y","N")</f>
        <v>N</v>
      </c>
      <c r="G4424" s="3" t="s">
        <v>15</v>
      </c>
      <c r="H4424" s="3" t="s">
        <v>34</v>
      </c>
      <c r="I4424" s="4" t="n">
        <v>7</v>
      </c>
      <c r="J4424" s="4" t="n">
        <f aca="false">LEN(E4424)-LEN(SUBSTITUTE(E4424,",",""))+1</f>
        <v>7</v>
      </c>
      <c r="K4424" s="3" t="str">
        <f aca="false">IFERROR(INDEX('Teacher Lookup'!$B$2:$B$200,MATCH(A4424,'Teacher Lookup'!$A$2:$A$200,0)),"")</f>
        <v>CHENG Horace</v>
      </c>
    </row>
    <row r="4425" customFormat="false" ht="15" hidden="false" customHeight="false" outlineLevel="0" collapsed="false">
      <c r="A4425" s="3" t="s">
        <v>426</v>
      </c>
      <c r="B4425" s="4" t="s">
        <v>65</v>
      </c>
      <c r="C4425" s="4" t="n">
        <v>4</v>
      </c>
      <c r="D4425" s="4" t="s">
        <v>57</v>
      </c>
      <c r="E4425" s="3" t="s">
        <v>306</v>
      </c>
      <c r="F4425" s="4" t="str">
        <f aca="false">IF(I4425&gt;J4425,"Y","N")</f>
        <v>N</v>
      </c>
      <c r="G4425" s="3" t="s">
        <v>15</v>
      </c>
      <c r="H4425" s="3" t="s">
        <v>34</v>
      </c>
      <c r="I4425" s="4" t="n">
        <v>7</v>
      </c>
      <c r="J4425" s="4" t="n">
        <f aca="false">LEN(E4425)-LEN(SUBSTITUTE(E4425,",",""))+1</f>
        <v>7</v>
      </c>
      <c r="K4425" s="3" t="str">
        <f aca="false">IFERROR(INDEX('Teacher Lookup'!$B$2:$B$200,MATCH(A4425,'Teacher Lookup'!$A$2:$A$200,0)),"")</f>
        <v>CHENG Horace</v>
      </c>
    </row>
    <row r="4426" customFormat="false" ht="15" hidden="false" customHeight="false" outlineLevel="0" collapsed="false">
      <c r="A4426" s="3" t="s">
        <v>426</v>
      </c>
      <c r="B4426" s="4" t="s">
        <v>65</v>
      </c>
      <c r="C4426" s="4" t="n">
        <v>4</v>
      </c>
      <c r="D4426" s="4" t="s">
        <v>58</v>
      </c>
      <c r="E4426" s="3" t="s">
        <v>306</v>
      </c>
      <c r="F4426" s="4" t="str">
        <f aca="false">IF(I4426&gt;J4426,"Y","N")</f>
        <v>N</v>
      </c>
      <c r="G4426" s="3" t="s">
        <v>15</v>
      </c>
      <c r="H4426" s="3" t="s">
        <v>34</v>
      </c>
      <c r="I4426" s="4" t="n">
        <v>7</v>
      </c>
      <c r="J4426" s="4" t="n">
        <f aca="false">LEN(E4426)-LEN(SUBSTITUTE(E4426,",",""))+1</f>
        <v>7</v>
      </c>
      <c r="K4426" s="3" t="str">
        <f aca="false">IFERROR(INDEX('Teacher Lookup'!$B$2:$B$200,MATCH(A4426,'Teacher Lookup'!$A$2:$A$200,0)),"")</f>
        <v>CHENG Horace</v>
      </c>
    </row>
    <row r="4427" customFormat="false" ht="15" hidden="false" customHeight="false" outlineLevel="0" collapsed="false">
      <c r="A4427" s="3" t="s">
        <v>426</v>
      </c>
      <c r="B4427" s="4" t="s">
        <v>65</v>
      </c>
      <c r="C4427" s="4" t="n">
        <v>4</v>
      </c>
      <c r="D4427" s="4" t="s">
        <v>59</v>
      </c>
      <c r="E4427" s="3" t="s">
        <v>306</v>
      </c>
      <c r="F4427" s="4" t="str">
        <f aca="false">IF(I4427&gt;J4427,"Y","N")</f>
        <v>N</v>
      </c>
      <c r="G4427" s="3" t="s">
        <v>15</v>
      </c>
      <c r="H4427" s="3" t="s">
        <v>34</v>
      </c>
      <c r="I4427" s="4" t="n">
        <v>7</v>
      </c>
      <c r="J4427" s="4" t="n">
        <f aca="false">LEN(E4427)-LEN(SUBSTITUTE(E4427,",",""))+1</f>
        <v>7</v>
      </c>
      <c r="K4427" s="3" t="str">
        <f aca="false">IFERROR(INDEX('Teacher Lookup'!$B$2:$B$200,MATCH(A4427,'Teacher Lookup'!$A$2:$A$200,0)),"")</f>
        <v>CHENG Horace</v>
      </c>
    </row>
    <row r="4428" customFormat="false" ht="15" hidden="false" customHeight="false" outlineLevel="0" collapsed="false">
      <c r="A4428" s="3" t="s">
        <v>426</v>
      </c>
      <c r="B4428" s="4" t="s">
        <v>65</v>
      </c>
      <c r="C4428" s="4" t="n">
        <v>5</v>
      </c>
      <c r="D4428" s="4" t="s">
        <v>70</v>
      </c>
      <c r="E4428" s="3" t="s">
        <v>81</v>
      </c>
      <c r="F4428" s="4" t="str">
        <f aca="false">IF(I4428&gt;J4428,"Y","N")</f>
        <v>Y</v>
      </c>
      <c r="G4428" s="3" t="s">
        <v>36</v>
      </c>
      <c r="H4428" s="3" t="s">
        <v>37</v>
      </c>
      <c r="I4428" s="4" t="n">
        <v>15</v>
      </c>
      <c r="J4428" s="4" t="n">
        <f aca="false">LEN(E4428)-LEN(SUBSTITUTE(E4428,",",""))+1</f>
        <v>7</v>
      </c>
      <c r="K4428" s="3" t="str">
        <f aca="false">IFERROR(INDEX('Teacher Lookup'!$B$2:$B$200,MATCH(A4428,'Teacher Lookup'!$A$2:$A$200,0)),"")</f>
        <v>CHENG Horace</v>
      </c>
    </row>
    <row r="4429" customFormat="false" ht="15" hidden="false" customHeight="false" outlineLevel="0" collapsed="false">
      <c r="A4429" s="3" t="s">
        <v>426</v>
      </c>
      <c r="B4429" s="4" t="s">
        <v>65</v>
      </c>
      <c r="C4429" s="4" t="n">
        <v>5</v>
      </c>
      <c r="D4429" s="4" t="s">
        <v>73</v>
      </c>
      <c r="E4429" s="3" t="s">
        <v>81</v>
      </c>
      <c r="F4429" s="4" t="str">
        <f aca="false">IF(I4429&gt;J4429,"Y","N")</f>
        <v>Y</v>
      </c>
      <c r="G4429" s="3" t="s">
        <v>36</v>
      </c>
      <c r="H4429" s="3" t="s">
        <v>37</v>
      </c>
      <c r="I4429" s="4" t="n">
        <v>15</v>
      </c>
      <c r="J4429" s="4" t="n">
        <f aca="false">LEN(E4429)-LEN(SUBSTITUTE(E4429,",",""))+1</f>
        <v>7</v>
      </c>
      <c r="K4429" s="3" t="str">
        <f aca="false">IFERROR(INDEX('Teacher Lookup'!$B$2:$B$200,MATCH(A4429,'Teacher Lookup'!$A$2:$A$200,0)),"")</f>
        <v>CHENG Horace</v>
      </c>
    </row>
    <row r="4430" customFormat="false" ht="15" hidden="false" customHeight="false" outlineLevel="0" collapsed="false">
      <c r="A4430" s="3" t="s">
        <v>426</v>
      </c>
      <c r="B4430" s="4" t="s">
        <v>65</v>
      </c>
      <c r="C4430" s="4" t="n">
        <v>5</v>
      </c>
      <c r="D4430" s="4" t="s">
        <v>74</v>
      </c>
      <c r="E4430" s="3" t="s">
        <v>81</v>
      </c>
      <c r="F4430" s="4" t="str">
        <f aca="false">IF(I4430&gt;J4430,"Y","N")</f>
        <v>Y</v>
      </c>
      <c r="G4430" s="3" t="s">
        <v>36</v>
      </c>
      <c r="H4430" s="3" t="s">
        <v>37</v>
      </c>
      <c r="I4430" s="4" t="n">
        <v>15</v>
      </c>
      <c r="J4430" s="4" t="n">
        <f aca="false">LEN(E4430)-LEN(SUBSTITUTE(E4430,",",""))+1</f>
        <v>7</v>
      </c>
      <c r="K4430" s="3" t="str">
        <f aca="false">IFERROR(INDEX('Teacher Lookup'!$B$2:$B$200,MATCH(A4430,'Teacher Lookup'!$A$2:$A$200,0)),"")</f>
        <v>CHENG Horace</v>
      </c>
    </row>
    <row r="4431" customFormat="false" ht="15" hidden="false" customHeight="false" outlineLevel="0" collapsed="false">
      <c r="A4431" s="3" t="s">
        <v>426</v>
      </c>
      <c r="B4431" s="4" t="s">
        <v>65</v>
      </c>
      <c r="C4431" s="4" t="n">
        <v>5</v>
      </c>
      <c r="D4431" s="4" t="s">
        <v>76</v>
      </c>
      <c r="E4431" s="3" t="s">
        <v>81</v>
      </c>
      <c r="F4431" s="4" t="str">
        <f aca="false">IF(I4431&gt;J4431,"Y","N")</f>
        <v>Y</v>
      </c>
      <c r="G4431" s="3" t="s">
        <v>36</v>
      </c>
      <c r="H4431" s="3" t="s">
        <v>37</v>
      </c>
      <c r="I4431" s="4" t="n">
        <v>15</v>
      </c>
      <c r="J4431" s="4" t="n">
        <f aca="false">LEN(E4431)-LEN(SUBSTITUTE(E4431,",",""))+1</f>
        <v>7</v>
      </c>
      <c r="K4431" s="3" t="str">
        <f aca="false">IFERROR(INDEX('Teacher Lookup'!$B$2:$B$200,MATCH(A4431,'Teacher Lookup'!$A$2:$A$200,0)),"")</f>
        <v>CHENG Horace</v>
      </c>
    </row>
    <row r="4432" customFormat="false" ht="15" hidden="false" customHeight="false" outlineLevel="0" collapsed="false">
      <c r="A4432" s="3" t="s">
        <v>426</v>
      </c>
      <c r="B4432" s="4" t="s">
        <v>65</v>
      </c>
      <c r="C4432" s="4" t="n">
        <v>5</v>
      </c>
      <c r="D4432" s="4" t="s">
        <v>78</v>
      </c>
      <c r="E4432" s="3" t="s">
        <v>81</v>
      </c>
      <c r="F4432" s="4" t="str">
        <f aca="false">IF(I4432&gt;J4432,"Y","N")</f>
        <v>Y</v>
      </c>
      <c r="G4432" s="3" t="s">
        <v>36</v>
      </c>
      <c r="H4432" s="3" t="s">
        <v>37</v>
      </c>
      <c r="I4432" s="4" t="n">
        <v>15</v>
      </c>
      <c r="J4432" s="4" t="n">
        <f aca="false">LEN(E4432)-LEN(SUBSTITUTE(E4432,",",""))+1</f>
        <v>7</v>
      </c>
      <c r="K4432" s="3" t="str">
        <f aca="false">IFERROR(INDEX('Teacher Lookup'!$B$2:$B$200,MATCH(A4432,'Teacher Lookup'!$A$2:$A$200,0)),"")</f>
        <v>CHENG Horace</v>
      </c>
    </row>
    <row r="4433" customFormat="false" ht="15" hidden="false" customHeight="false" outlineLevel="0" collapsed="false">
      <c r="A4433" s="3" t="s">
        <v>426</v>
      </c>
      <c r="B4433" s="4" t="s">
        <v>65</v>
      </c>
      <c r="C4433" s="4" t="n">
        <v>5</v>
      </c>
      <c r="D4433" s="4" t="s">
        <v>79</v>
      </c>
      <c r="E4433" s="3" t="s">
        <v>81</v>
      </c>
      <c r="F4433" s="4" t="str">
        <f aca="false">IF(I4433&gt;J4433,"Y","N")</f>
        <v>Y</v>
      </c>
      <c r="G4433" s="3" t="s">
        <v>36</v>
      </c>
      <c r="H4433" s="3" t="s">
        <v>37</v>
      </c>
      <c r="I4433" s="4" t="n">
        <v>15</v>
      </c>
      <c r="J4433" s="4" t="n">
        <f aca="false">LEN(E4433)-LEN(SUBSTITUTE(E4433,",",""))+1</f>
        <v>7</v>
      </c>
      <c r="K4433" s="3" t="str">
        <f aca="false">IFERROR(INDEX('Teacher Lookup'!$B$2:$B$200,MATCH(A4433,'Teacher Lookup'!$A$2:$A$200,0)),"")</f>
        <v>CHENG Horace</v>
      </c>
    </row>
    <row r="4434" customFormat="false" ht="15" hidden="false" customHeight="false" outlineLevel="0" collapsed="false">
      <c r="A4434" s="3" t="s">
        <v>426</v>
      </c>
      <c r="B4434" s="4" t="s">
        <v>65</v>
      </c>
      <c r="C4434" s="4" t="n">
        <v>6</v>
      </c>
      <c r="D4434" s="4" t="s">
        <v>76</v>
      </c>
      <c r="E4434" s="3" t="s">
        <v>93</v>
      </c>
      <c r="F4434" s="4" t="str">
        <f aca="false">IF(I4434&gt;J4434,"Y","N")</f>
        <v>N</v>
      </c>
      <c r="G4434" s="3" t="s">
        <v>15</v>
      </c>
      <c r="H4434" s="3" t="s">
        <v>42</v>
      </c>
      <c r="I4434" s="4" t="n">
        <v>4</v>
      </c>
      <c r="J4434" s="4" t="n">
        <f aca="false">LEN(E4434)-LEN(SUBSTITUTE(E4434,",",""))+1</f>
        <v>4</v>
      </c>
      <c r="K4434" s="3" t="str">
        <f aca="false">IFERROR(INDEX('Teacher Lookup'!$B$2:$B$200,MATCH(A4434,'Teacher Lookup'!$A$2:$A$200,0)),"")</f>
        <v>CHENG Horace</v>
      </c>
    </row>
    <row r="4435" customFormat="false" ht="15" hidden="false" customHeight="false" outlineLevel="0" collapsed="false">
      <c r="A4435" s="3" t="s">
        <v>426</v>
      </c>
      <c r="B4435" s="4" t="s">
        <v>65</v>
      </c>
      <c r="C4435" s="4" t="n">
        <v>6</v>
      </c>
      <c r="D4435" s="4" t="s">
        <v>78</v>
      </c>
      <c r="E4435" s="3" t="s">
        <v>93</v>
      </c>
      <c r="F4435" s="4" t="str">
        <f aca="false">IF(I4435&gt;J4435,"Y","N")</f>
        <v>N</v>
      </c>
      <c r="G4435" s="3" t="s">
        <v>15</v>
      </c>
      <c r="H4435" s="3" t="s">
        <v>42</v>
      </c>
      <c r="I4435" s="4" t="n">
        <v>4</v>
      </c>
      <c r="J4435" s="4" t="n">
        <f aca="false">LEN(E4435)-LEN(SUBSTITUTE(E4435,",",""))+1</f>
        <v>4</v>
      </c>
      <c r="K4435" s="3" t="str">
        <f aca="false">IFERROR(INDEX('Teacher Lookup'!$B$2:$B$200,MATCH(A4435,'Teacher Lookup'!$A$2:$A$200,0)),"")</f>
        <v>CHENG Horace</v>
      </c>
    </row>
    <row r="4436" customFormat="false" ht="15" hidden="false" customHeight="false" outlineLevel="0" collapsed="false">
      <c r="A4436" s="3" t="s">
        <v>426</v>
      </c>
      <c r="B4436" s="4" t="s">
        <v>65</v>
      </c>
      <c r="C4436" s="4" t="n">
        <v>6</v>
      </c>
      <c r="D4436" s="4" t="s">
        <v>79</v>
      </c>
      <c r="E4436" s="3" t="s">
        <v>93</v>
      </c>
      <c r="F4436" s="4" t="str">
        <f aca="false">IF(I4436&gt;J4436,"Y","N")</f>
        <v>N</v>
      </c>
      <c r="G4436" s="3" t="s">
        <v>15</v>
      </c>
      <c r="H4436" s="3" t="s">
        <v>42</v>
      </c>
      <c r="I4436" s="4" t="n">
        <v>4</v>
      </c>
      <c r="J4436" s="4" t="n">
        <f aca="false">LEN(E4436)-LEN(SUBSTITUTE(E4436,",",""))+1</f>
        <v>4</v>
      </c>
      <c r="K4436" s="3" t="str">
        <f aca="false">IFERROR(INDEX('Teacher Lookup'!$B$2:$B$200,MATCH(A4436,'Teacher Lookup'!$A$2:$A$200,0)),"")</f>
        <v>CHENG Horace</v>
      </c>
    </row>
    <row r="4437" customFormat="false" ht="15" hidden="false" customHeight="false" outlineLevel="0" collapsed="false">
      <c r="A4437" s="3" t="s">
        <v>426</v>
      </c>
      <c r="B4437" s="4" t="s">
        <v>66</v>
      </c>
      <c r="C4437" s="4" t="n">
        <v>1</v>
      </c>
      <c r="D4437" s="4" t="s">
        <v>102</v>
      </c>
      <c r="E4437" s="3" t="s">
        <v>227</v>
      </c>
      <c r="F4437" s="4" t="str">
        <f aca="false">IF(I4437&gt;J4437,"Y","N")</f>
        <v>N</v>
      </c>
      <c r="G4437" s="3" t="s">
        <v>15</v>
      </c>
      <c r="H4437" s="3" t="s">
        <v>16</v>
      </c>
      <c r="I4437" s="4" t="n">
        <v>5</v>
      </c>
      <c r="J4437" s="4" t="n">
        <f aca="false">LEN(E4437)-LEN(SUBSTITUTE(E4437,",",""))+1</f>
        <v>5</v>
      </c>
      <c r="K4437" s="3" t="str">
        <f aca="false">IFERROR(INDEX('Teacher Lookup'!$B$2:$B$200,MATCH(A4437,'Teacher Lookup'!$A$2:$A$200,0)),"")</f>
        <v>CHENG Horace</v>
      </c>
    </row>
    <row r="4438" customFormat="false" ht="15" hidden="false" customHeight="false" outlineLevel="0" collapsed="false">
      <c r="A4438" s="3" t="s">
        <v>426</v>
      </c>
      <c r="B4438" s="4" t="s">
        <v>66</v>
      </c>
      <c r="C4438" s="4" t="n">
        <v>1</v>
      </c>
      <c r="D4438" s="4" t="s">
        <v>105</v>
      </c>
      <c r="E4438" s="3" t="s">
        <v>227</v>
      </c>
      <c r="F4438" s="4" t="str">
        <f aca="false">IF(I4438&gt;J4438,"Y","N")</f>
        <v>N</v>
      </c>
      <c r="G4438" s="3" t="s">
        <v>15</v>
      </c>
      <c r="H4438" s="3" t="s">
        <v>16</v>
      </c>
      <c r="I4438" s="4" t="n">
        <v>5</v>
      </c>
      <c r="J4438" s="4" t="n">
        <f aca="false">LEN(E4438)-LEN(SUBSTITUTE(E4438,",",""))+1</f>
        <v>5</v>
      </c>
      <c r="K4438" s="3" t="str">
        <f aca="false">IFERROR(INDEX('Teacher Lookup'!$B$2:$B$200,MATCH(A4438,'Teacher Lookup'!$A$2:$A$200,0)),"")</f>
        <v>CHENG Horace</v>
      </c>
    </row>
    <row r="4439" customFormat="false" ht="15" hidden="false" customHeight="false" outlineLevel="0" collapsed="false">
      <c r="A4439" s="3" t="s">
        <v>426</v>
      </c>
      <c r="B4439" s="4" t="s">
        <v>66</v>
      </c>
      <c r="C4439" s="4" t="n">
        <v>1</v>
      </c>
      <c r="D4439" s="4" t="s">
        <v>106</v>
      </c>
      <c r="E4439" s="3" t="s">
        <v>227</v>
      </c>
      <c r="F4439" s="4" t="str">
        <f aca="false">IF(I4439&gt;J4439,"Y","N")</f>
        <v>N</v>
      </c>
      <c r="G4439" s="3" t="s">
        <v>15</v>
      </c>
      <c r="H4439" s="3" t="s">
        <v>16</v>
      </c>
      <c r="I4439" s="4" t="n">
        <v>5</v>
      </c>
      <c r="J4439" s="4" t="n">
        <f aca="false">LEN(E4439)-LEN(SUBSTITUTE(E4439,",",""))+1</f>
        <v>5</v>
      </c>
      <c r="K4439" s="3" t="str">
        <f aca="false">IFERROR(INDEX('Teacher Lookup'!$B$2:$B$200,MATCH(A4439,'Teacher Lookup'!$A$2:$A$200,0)),"")</f>
        <v>CHENG Horace</v>
      </c>
    </row>
    <row r="4440" customFormat="false" ht="15" hidden="false" customHeight="false" outlineLevel="0" collapsed="false">
      <c r="A4440" s="3" t="s">
        <v>426</v>
      </c>
      <c r="B4440" s="4" t="s">
        <v>66</v>
      </c>
      <c r="C4440" s="4" t="n">
        <v>1</v>
      </c>
      <c r="D4440" s="4" t="s">
        <v>107</v>
      </c>
      <c r="E4440" s="3" t="s">
        <v>227</v>
      </c>
      <c r="F4440" s="4" t="str">
        <f aca="false">IF(I4440&gt;J4440,"Y","N")</f>
        <v>N</v>
      </c>
      <c r="G4440" s="3" t="s">
        <v>15</v>
      </c>
      <c r="H4440" s="3" t="s">
        <v>16</v>
      </c>
      <c r="I4440" s="4" t="n">
        <v>5</v>
      </c>
      <c r="J4440" s="4" t="n">
        <f aca="false">LEN(E4440)-LEN(SUBSTITUTE(E4440,",",""))+1</f>
        <v>5</v>
      </c>
      <c r="K4440" s="3" t="str">
        <f aca="false">IFERROR(INDEX('Teacher Lookup'!$B$2:$B$200,MATCH(A4440,'Teacher Lookup'!$A$2:$A$200,0)),"")</f>
        <v>CHENG Horace</v>
      </c>
    </row>
    <row r="4441" customFormat="false" ht="15" hidden="false" customHeight="false" outlineLevel="0" collapsed="false">
      <c r="A4441" s="3" t="s">
        <v>426</v>
      </c>
      <c r="B4441" s="4" t="s">
        <v>66</v>
      </c>
      <c r="C4441" s="4" t="n">
        <v>6</v>
      </c>
      <c r="D4441" s="4" t="s">
        <v>52</v>
      </c>
      <c r="E4441" s="3" t="s">
        <v>306</v>
      </c>
      <c r="F4441" s="4" t="str">
        <f aca="false">IF(I4441&gt;J4441,"Y","N")</f>
        <v>N</v>
      </c>
      <c r="G4441" s="3" t="s">
        <v>15</v>
      </c>
      <c r="H4441" s="3" t="s">
        <v>42</v>
      </c>
      <c r="I4441" s="4" t="n">
        <v>7</v>
      </c>
      <c r="J4441" s="4" t="n">
        <f aca="false">LEN(E4441)-LEN(SUBSTITUTE(E4441,",",""))+1</f>
        <v>7</v>
      </c>
      <c r="K4441" s="3" t="str">
        <f aca="false">IFERROR(INDEX('Teacher Lookup'!$B$2:$B$200,MATCH(A4441,'Teacher Lookup'!$A$2:$A$200,0)),"")</f>
        <v>CHENG Horace</v>
      </c>
    </row>
    <row r="4442" customFormat="false" ht="15" hidden="false" customHeight="false" outlineLevel="0" collapsed="false">
      <c r="A4442" s="3" t="s">
        <v>426</v>
      </c>
      <c r="B4442" s="4" t="s">
        <v>66</v>
      </c>
      <c r="C4442" s="4" t="n">
        <v>6</v>
      </c>
      <c r="D4442" s="4" t="s">
        <v>55</v>
      </c>
      <c r="E4442" s="3" t="s">
        <v>306</v>
      </c>
      <c r="F4442" s="4" t="str">
        <f aca="false">IF(I4442&gt;J4442,"Y","N")</f>
        <v>N</v>
      </c>
      <c r="G4442" s="3" t="s">
        <v>15</v>
      </c>
      <c r="H4442" s="3" t="s">
        <v>42</v>
      </c>
      <c r="I4442" s="4" t="n">
        <v>7</v>
      </c>
      <c r="J4442" s="4" t="n">
        <f aca="false">LEN(E4442)-LEN(SUBSTITUTE(E4442,",",""))+1</f>
        <v>7</v>
      </c>
      <c r="K4442" s="3" t="str">
        <f aca="false">IFERROR(INDEX('Teacher Lookup'!$B$2:$B$200,MATCH(A4442,'Teacher Lookup'!$A$2:$A$200,0)),"")</f>
        <v>CHENG Horace</v>
      </c>
    </row>
    <row r="4443" customFormat="false" ht="15" hidden="false" customHeight="false" outlineLevel="0" collapsed="false">
      <c r="A4443" s="3" t="s">
        <v>426</v>
      </c>
      <c r="B4443" s="4" t="s">
        <v>66</v>
      </c>
      <c r="C4443" s="4" t="n">
        <v>6</v>
      </c>
      <c r="D4443" s="4" t="s">
        <v>56</v>
      </c>
      <c r="E4443" s="3" t="s">
        <v>306</v>
      </c>
      <c r="F4443" s="4" t="str">
        <f aca="false">IF(I4443&gt;J4443,"Y","N")</f>
        <v>N</v>
      </c>
      <c r="G4443" s="3" t="s">
        <v>15</v>
      </c>
      <c r="H4443" s="3" t="s">
        <v>42</v>
      </c>
      <c r="I4443" s="4" t="n">
        <v>7</v>
      </c>
      <c r="J4443" s="4" t="n">
        <f aca="false">LEN(E4443)-LEN(SUBSTITUTE(E4443,",",""))+1</f>
        <v>7</v>
      </c>
      <c r="K4443" s="3" t="str">
        <f aca="false">IFERROR(INDEX('Teacher Lookup'!$B$2:$B$200,MATCH(A4443,'Teacher Lookup'!$A$2:$A$200,0)),"")</f>
        <v>CHENG Horace</v>
      </c>
    </row>
    <row r="4444" customFormat="false" ht="15" hidden="false" customHeight="false" outlineLevel="0" collapsed="false">
      <c r="A4444" s="3" t="s">
        <v>426</v>
      </c>
      <c r="B4444" s="4" t="s">
        <v>66</v>
      </c>
      <c r="C4444" s="4" t="n">
        <v>6</v>
      </c>
      <c r="D4444" s="4" t="s">
        <v>57</v>
      </c>
      <c r="E4444" s="3" t="s">
        <v>306</v>
      </c>
      <c r="F4444" s="4" t="str">
        <f aca="false">IF(I4444&gt;J4444,"Y","N")</f>
        <v>N</v>
      </c>
      <c r="G4444" s="3" t="s">
        <v>15</v>
      </c>
      <c r="H4444" s="3" t="s">
        <v>42</v>
      </c>
      <c r="I4444" s="4" t="n">
        <v>7</v>
      </c>
      <c r="J4444" s="4" t="n">
        <f aca="false">LEN(E4444)-LEN(SUBSTITUTE(E4444,",",""))+1</f>
        <v>7</v>
      </c>
      <c r="K4444" s="3" t="str">
        <f aca="false">IFERROR(INDEX('Teacher Lookup'!$B$2:$B$200,MATCH(A4444,'Teacher Lookup'!$A$2:$A$200,0)),"")</f>
        <v>CHENG Horace</v>
      </c>
    </row>
    <row r="4445" customFormat="false" ht="15" hidden="false" customHeight="false" outlineLevel="0" collapsed="false">
      <c r="A4445" s="3" t="s">
        <v>426</v>
      </c>
      <c r="B4445" s="4" t="s">
        <v>66</v>
      </c>
      <c r="C4445" s="4" t="n">
        <v>6</v>
      </c>
      <c r="D4445" s="4" t="s">
        <v>58</v>
      </c>
      <c r="E4445" s="3" t="s">
        <v>306</v>
      </c>
      <c r="F4445" s="4" t="str">
        <f aca="false">IF(I4445&gt;J4445,"Y","N")</f>
        <v>N</v>
      </c>
      <c r="G4445" s="3" t="s">
        <v>15</v>
      </c>
      <c r="H4445" s="3" t="s">
        <v>42</v>
      </c>
      <c r="I4445" s="4" t="n">
        <v>7</v>
      </c>
      <c r="J4445" s="4" t="n">
        <f aca="false">LEN(E4445)-LEN(SUBSTITUTE(E4445,",",""))+1</f>
        <v>7</v>
      </c>
      <c r="K4445" s="3" t="str">
        <f aca="false">IFERROR(INDEX('Teacher Lookup'!$B$2:$B$200,MATCH(A4445,'Teacher Lookup'!$A$2:$A$200,0)),"")</f>
        <v>CHENG Horace</v>
      </c>
    </row>
    <row r="4446" customFormat="false" ht="15" hidden="false" customHeight="false" outlineLevel="0" collapsed="false">
      <c r="A4446" s="3" t="s">
        <v>426</v>
      </c>
      <c r="B4446" s="4" t="s">
        <v>66</v>
      </c>
      <c r="C4446" s="4" t="n">
        <v>6</v>
      </c>
      <c r="D4446" s="4" t="s">
        <v>59</v>
      </c>
      <c r="E4446" s="3" t="s">
        <v>306</v>
      </c>
      <c r="F4446" s="4" t="str">
        <f aca="false">IF(I4446&gt;J4446,"Y","N")</f>
        <v>N</v>
      </c>
      <c r="G4446" s="3" t="s">
        <v>15</v>
      </c>
      <c r="H4446" s="3" t="s">
        <v>42</v>
      </c>
      <c r="I4446" s="4" t="n">
        <v>7</v>
      </c>
      <c r="J4446" s="4" t="n">
        <f aca="false">LEN(E4446)-LEN(SUBSTITUTE(E4446,",",""))+1</f>
        <v>7</v>
      </c>
      <c r="K4446" s="3" t="str">
        <f aca="false">IFERROR(INDEX('Teacher Lookup'!$B$2:$B$200,MATCH(A4446,'Teacher Lookup'!$A$2:$A$200,0)),"")</f>
        <v>CHENG Horace</v>
      </c>
    </row>
    <row r="4447" customFormat="false" ht="15" hidden="false" customHeight="false" outlineLevel="0" collapsed="false">
      <c r="A4447" s="3" t="s">
        <v>426</v>
      </c>
      <c r="B4447" s="4" t="s">
        <v>66</v>
      </c>
      <c r="C4447" s="4" t="n">
        <v>7</v>
      </c>
      <c r="D4447" s="4" t="s">
        <v>76</v>
      </c>
      <c r="E4447" s="3" t="s">
        <v>84</v>
      </c>
      <c r="F4447" s="4" t="str">
        <f aca="false">IF(I4447&gt;J4447,"Y","N")</f>
        <v>N</v>
      </c>
      <c r="G4447" s="3" t="s">
        <v>15</v>
      </c>
      <c r="H4447" s="3" t="s">
        <v>39</v>
      </c>
      <c r="I4447" s="4" t="n">
        <v>4</v>
      </c>
      <c r="J4447" s="4" t="n">
        <f aca="false">LEN(E4447)-LEN(SUBSTITUTE(E4447,",",""))+1</f>
        <v>4</v>
      </c>
      <c r="K4447" s="3" t="str">
        <f aca="false">IFERROR(INDEX('Teacher Lookup'!$B$2:$B$200,MATCH(A4447,'Teacher Lookup'!$A$2:$A$200,0)),"")</f>
        <v>CHENG Horace</v>
      </c>
    </row>
    <row r="4448" customFormat="false" ht="15" hidden="false" customHeight="false" outlineLevel="0" collapsed="false">
      <c r="A4448" s="3" t="s">
        <v>426</v>
      </c>
      <c r="B4448" s="4" t="s">
        <v>66</v>
      </c>
      <c r="C4448" s="4" t="n">
        <v>7</v>
      </c>
      <c r="D4448" s="4" t="s">
        <v>78</v>
      </c>
      <c r="E4448" s="3" t="s">
        <v>84</v>
      </c>
      <c r="F4448" s="4" t="str">
        <f aca="false">IF(I4448&gt;J4448,"Y","N")</f>
        <v>N</v>
      </c>
      <c r="G4448" s="3" t="s">
        <v>15</v>
      </c>
      <c r="H4448" s="3" t="s">
        <v>39</v>
      </c>
      <c r="I4448" s="4" t="n">
        <v>4</v>
      </c>
      <c r="J4448" s="4" t="n">
        <f aca="false">LEN(E4448)-LEN(SUBSTITUTE(E4448,",",""))+1</f>
        <v>4</v>
      </c>
      <c r="K4448" s="3" t="str">
        <f aca="false">IFERROR(INDEX('Teacher Lookup'!$B$2:$B$200,MATCH(A4448,'Teacher Lookup'!$A$2:$A$200,0)),"")</f>
        <v>CHENG Horace</v>
      </c>
    </row>
    <row r="4449" customFormat="false" ht="15" hidden="false" customHeight="false" outlineLevel="0" collapsed="false">
      <c r="A4449" s="3" t="s">
        <v>426</v>
      </c>
      <c r="B4449" s="4" t="s">
        <v>66</v>
      </c>
      <c r="C4449" s="4" t="n">
        <v>7</v>
      </c>
      <c r="D4449" s="4" t="s">
        <v>79</v>
      </c>
      <c r="E4449" s="3" t="s">
        <v>84</v>
      </c>
      <c r="F4449" s="4" t="str">
        <f aca="false">IF(I4449&gt;J4449,"Y","N")</f>
        <v>N</v>
      </c>
      <c r="G4449" s="3" t="s">
        <v>15</v>
      </c>
      <c r="H4449" s="3" t="s">
        <v>39</v>
      </c>
      <c r="I4449" s="4" t="n">
        <v>4</v>
      </c>
      <c r="J4449" s="4" t="n">
        <f aca="false">LEN(E4449)-LEN(SUBSTITUTE(E4449,",",""))+1</f>
        <v>4</v>
      </c>
      <c r="K4449" s="3" t="str">
        <f aca="false">IFERROR(INDEX('Teacher Lookup'!$B$2:$B$200,MATCH(A4449,'Teacher Lookup'!$A$2:$A$200,0)),"")</f>
        <v>CHENG Horace</v>
      </c>
    </row>
    <row r="4450" customFormat="false" ht="15" hidden="false" customHeight="false" outlineLevel="0" collapsed="false">
      <c r="A4450" s="3" t="s">
        <v>427</v>
      </c>
      <c r="B4450" s="4" t="s">
        <v>12</v>
      </c>
      <c r="C4450" s="4" t="n">
        <v>3</v>
      </c>
      <c r="D4450" s="4" t="s">
        <v>19</v>
      </c>
      <c r="E4450" s="3" t="s">
        <v>387</v>
      </c>
      <c r="F4450" s="4" t="str">
        <f aca="false">IF(I4450&gt;J4450,"Y","N")</f>
        <v>N</v>
      </c>
      <c r="G4450" s="3" t="s">
        <v>388</v>
      </c>
      <c r="H4450" s="3" t="s">
        <v>26</v>
      </c>
      <c r="I4450" s="4" t="n">
        <v>2</v>
      </c>
      <c r="J4450" s="4" t="n">
        <f aca="false">LEN(E4450)-LEN(SUBSTITUTE(E4450,",",""))+1</f>
        <v>2</v>
      </c>
      <c r="K4450" s="3" t="str">
        <f aca="false">IFERROR(INDEX('Teacher Lookup'!$B$2:$B$200,MATCH(A4450,'Teacher Lookup'!$A$2:$A$200,0)),"")</f>
        <v>HUI Hyman</v>
      </c>
    </row>
    <row r="4451" customFormat="false" ht="15" hidden="false" customHeight="false" outlineLevel="0" collapsed="false">
      <c r="A4451" s="3" t="s">
        <v>427</v>
      </c>
      <c r="B4451" s="4" t="s">
        <v>12</v>
      </c>
      <c r="C4451" s="4" t="n">
        <v>3</v>
      </c>
      <c r="D4451" s="4" t="s">
        <v>22</v>
      </c>
      <c r="E4451" s="3" t="s">
        <v>387</v>
      </c>
      <c r="F4451" s="4" t="str">
        <f aca="false">IF(I4451&gt;J4451,"Y","N")</f>
        <v>N</v>
      </c>
      <c r="G4451" s="3" t="s">
        <v>388</v>
      </c>
      <c r="H4451" s="3" t="s">
        <v>26</v>
      </c>
      <c r="I4451" s="4" t="n">
        <v>2</v>
      </c>
      <c r="J4451" s="4" t="n">
        <f aca="false">LEN(E4451)-LEN(SUBSTITUTE(E4451,",",""))+1</f>
        <v>2</v>
      </c>
      <c r="K4451" s="3" t="str">
        <f aca="false">IFERROR(INDEX('Teacher Lookup'!$B$2:$B$200,MATCH(A4451,'Teacher Lookup'!$A$2:$A$200,0)),"")</f>
        <v>HUI Hyman</v>
      </c>
    </row>
    <row r="4452" customFormat="false" ht="15" hidden="false" customHeight="false" outlineLevel="0" collapsed="false">
      <c r="A4452" s="3" t="s">
        <v>427</v>
      </c>
      <c r="B4452" s="4" t="s">
        <v>12</v>
      </c>
      <c r="C4452" s="4" t="n">
        <v>4</v>
      </c>
      <c r="D4452" s="4" t="s">
        <v>19</v>
      </c>
      <c r="E4452" s="3" t="s">
        <v>390</v>
      </c>
      <c r="F4452" s="4" t="str">
        <f aca="false">IF(I4452&gt;J4452,"Y","N")</f>
        <v>Y</v>
      </c>
      <c r="G4452" s="3" t="s">
        <v>222</v>
      </c>
      <c r="H4452" s="3" t="s">
        <v>34</v>
      </c>
      <c r="I4452" s="4" t="n">
        <v>14</v>
      </c>
      <c r="J4452" s="4" t="n">
        <f aca="false">LEN(E4452)-LEN(SUBSTITUTE(E4452,",",""))+1</f>
        <v>7</v>
      </c>
      <c r="K4452" s="3" t="str">
        <f aca="false">IFERROR(INDEX('Teacher Lookup'!$B$2:$B$200,MATCH(A4452,'Teacher Lookup'!$A$2:$A$200,0)),"")</f>
        <v>HUI Hyman</v>
      </c>
    </row>
    <row r="4453" customFormat="false" ht="15" hidden="false" customHeight="false" outlineLevel="0" collapsed="false">
      <c r="A4453" s="3" t="s">
        <v>427</v>
      </c>
      <c r="B4453" s="4" t="s">
        <v>12</v>
      </c>
      <c r="C4453" s="4" t="n">
        <v>4</v>
      </c>
      <c r="D4453" s="4" t="s">
        <v>22</v>
      </c>
      <c r="E4453" s="3" t="s">
        <v>390</v>
      </c>
      <c r="F4453" s="4" t="str">
        <f aca="false">IF(I4453&gt;J4453,"Y","N")</f>
        <v>Y</v>
      </c>
      <c r="G4453" s="3" t="s">
        <v>222</v>
      </c>
      <c r="H4453" s="3" t="s">
        <v>34</v>
      </c>
      <c r="I4453" s="4" t="n">
        <v>14</v>
      </c>
      <c r="J4453" s="4" t="n">
        <f aca="false">LEN(E4453)-LEN(SUBSTITUTE(E4453,",",""))+1</f>
        <v>7</v>
      </c>
      <c r="K4453" s="3" t="str">
        <f aca="false">IFERROR(INDEX('Teacher Lookup'!$B$2:$B$200,MATCH(A4453,'Teacher Lookup'!$A$2:$A$200,0)),"")</f>
        <v>HUI Hyman</v>
      </c>
    </row>
    <row r="4454" customFormat="false" ht="15" hidden="false" customHeight="false" outlineLevel="0" collapsed="false">
      <c r="A4454" s="3" t="s">
        <v>427</v>
      </c>
      <c r="B4454" s="4" t="s">
        <v>12</v>
      </c>
      <c r="C4454" s="4" t="n">
        <v>4</v>
      </c>
      <c r="D4454" s="4" t="s">
        <v>23</v>
      </c>
      <c r="E4454" s="3" t="s">
        <v>390</v>
      </c>
      <c r="F4454" s="4" t="str">
        <f aca="false">IF(I4454&gt;J4454,"Y","N")</f>
        <v>Y</v>
      </c>
      <c r="G4454" s="3" t="s">
        <v>222</v>
      </c>
      <c r="H4454" s="3" t="s">
        <v>34</v>
      </c>
      <c r="I4454" s="4" t="n">
        <v>14</v>
      </c>
      <c r="J4454" s="4" t="n">
        <f aca="false">LEN(E4454)-LEN(SUBSTITUTE(E4454,",",""))+1</f>
        <v>7</v>
      </c>
      <c r="K4454" s="3" t="str">
        <f aca="false">IFERROR(INDEX('Teacher Lookup'!$B$2:$B$200,MATCH(A4454,'Teacher Lookup'!$A$2:$A$200,0)),"")</f>
        <v>HUI Hyman</v>
      </c>
    </row>
    <row r="4455" customFormat="false" ht="15" hidden="false" customHeight="false" outlineLevel="0" collapsed="false">
      <c r="A4455" s="3" t="s">
        <v>427</v>
      </c>
      <c r="B4455" s="4" t="s">
        <v>12</v>
      </c>
      <c r="C4455" s="4" t="n">
        <v>4</v>
      </c>
      <c r="D4455" s="4" t="s">
        <v>13</v>
      </c>
      <c r="E4455" s="3" t="s">
        <v>390</v>
      </c>
      <c r="F4455" s="4" t="str">
        <f aca="false">IF(I4455&gt;J4455,"Y","N")</f>
        <v>Y</v>
      </c>
      <c r="G4455" s="3" t="s">
        <v>222</v>
      </c>
      <c r="H4455" s="3" t="s">
        <v>34</v>
      </c>
      <c r="I4455" s="4" t="n">
        <v>14</v>
      </c>
      <c r="J4455" s="4" t="n">
        <f aca="false">LEN(E4455)-LEN(SUBSTITUTE(E4455,",",""))+1</f>
        <v>7</v>
      </c>
      <c r="K4455" s="3" t="str">
        <f aca="false">IFERROR(INDEX('Teacher Lookup'!$B$2:$B$200,MATCH(A4455,'Teacher Lookup'!$A$2:$A$200,0)),"")</f>
        <v>HUI Hyman</v>
      </c>
    </row>
    <row r="4456" customFormat="false" ht="15" hidden="false" customHeight="false" outlineLevel="0" collapsed="false">
      <c r="A4456" s="3" t="s">
        <v>427</v>
      </c>
      <c r="B4456" s="4" t="s">
        <v>12</v>
      </c>
      <c r="C4456" s="4" t="n">
        <v>4</v>
      </c>
      <c r="D4456" s="4" t="s">
        <v>17</v>
      </c>
      <c r="E4456" s="3" t="s">
        <v>390</v>
      </c>
      <c r="F4456" s="4" t="str">
        <f aca="false">IF(I4456&gt;J4456,"Y","N")</f>
        <v>Y</v>
      </c>
      <c r="G4456" s="3" t="s">
        <v>222</v>
      </c>
      <c r="H4456" s="3" t="s">
        <v>34</v>
      </c>
      <c r="I4456" s="4" t="n">
        <v>14</v>
      </c>
      <c r="J4456" s="4" t="n">
        <f aca="false">LEN(E4456)-LEN(SUBSTITUTE(E4456,",",""))+1</f>
        <v>7</v>
      </c>
      <c r="K4456" s="3" t="str">
        <f aca="false">IFERROR(INDEX('Teacher Lookup'!$B$2:$B$200,MATCH(A4456,'Teacher Lookup'!$A$2:$A$200,0)),"")</f>
        <v>HUI Hyman</v>
      </c>
    </row>
    <row r="4457" customFormat="false" ht="15" hidden="false" customHeight="false" outlineLevel="0" collapsed="false">
      <c r="A4457" s="3" t="s">
        <v>427</v>
      </c>
      <c r="B4457" s="4" t="s">
        <v>12</v>
      </c>
      <c r="C4457" s="4" t="n">
        <v>4</v>
      </c>
      <c r="D4457" s="4" t="s">
        <v>18</v>
      </c>
      <c r="E4457" s="3" t="s">
        <v>390</v>
      </c>
      <c r="F4457" s="4" t="str">
        <f aca="false">IF(I4457&gt;J4457,"Y","N")</f>
        <v>Y</v>
      </c>
      <c r="G4457" s="3" t="s">
        <v>222</v>
      </c>
      <c r="H4457" s="3" t="s">
        <v>34</v>
      </c>
      <c r="I4457" s="4" t="n">
        <v>14</v>
      </c>
      <c r="J4457" s="4" t="n">
        <f aca="false">LEN(E4457)-LEN(SUBSTITUTE(E4457,",",""))+1</f>
        <v>7</v>
      </c>
      <c r="K4457" s="3" t="str">
        <f aca="false">IFERROR(INDEX('Teacher Lookup'!$B$2:$B$200,MATCH(A4457,'Teacher Lookup'!$A$2:$A$200,0)),"")</f>
        <v>HUI Hyman</v>
      </c>
    </row>
    <row r="4458" customFormat="false" ht="15" hidden="false" customHeight="false" outlineLevel="0" collapsed="false">
      <c r="A4458" s="3" t="s">
        <v>427</v>
      </c>
      <c r="B4458" s="4" t="s">
        <v>12</v>
      </c>
      <c r="C4458" s="4" t="n">
        <v>5</v>
      </c>
      <c r="D4458" s="4" t="s">
        <v>19</v>
      </c>
      <c r="E4458" s="3" t="s">
        <v>390</v>
      </c>
      <c r="F4458" s="4" t="str">
        <f aca="false">IF(I4458&gt;J4458,"Y","N")</f>
        <v>Y</v>
      </c>
      <c r="G4458" s="3" t="s">
        <v>222</v>
      </c>
      <c r="H4458" s="3" t="s">
        <v>37</v>
      </c>
      <c r="I4458" s="4" t="n">
        <v>14</v>
      </c>
      <c r="J4458" s="4" t="n">
        <f aca="false">LEN(E4458)-LEN(SUBSTITUTE(E4458,",",""))+1</f>
        <v>7</v>
      </c>
      <c r="K4458" s="3" t="str">
        <f aca="false">IFERROR(INDEX('Teacher Lookup'!$B$2:$B$200,MATCH(A4458,'Teacher Lookup'!$A$2:$A$200,0)),"")</f>
        <v>HUI Hyman</v>
      </c>
    </row>
    <row r="4459" customFormat="false" ht="15" hidden="false" customHeight="false" outlineLevel="0" collapsed="false">
      <c r="A4459" s="3" t="s">
        <v>427</v>
      </c>
      <c r="B4459" s="4" t="s">
        <v>12</v>
      </c>
      <c r="C4459" s="4" t="n">
        <v>5</v>
      </c>
      <c r="D4459" s="4" t="s">
        <v>22</v>
      </c>
      <c r="E4459" s="3" t="s">
        <v>390</v>
      </c>
      <c r="F4459" s="4" t="str">
        <f aca="false">IF(I4459&gt;J4459,"Y","N")</f>
        <v>Y</v>
      </c>
      <c r="G4459" s="3" t="s">
        <v>222</v>
      </c>
      <c r="H4459" s="3" t="s">
        <v>37</v>
      </c>
      <c r="I4459" s="4" t="n">
        <v>14</v>
      </c>
      <c r="J4459" s="4" t="n">
        <f aca="false">LEN(E4459)-LEN(SUBSTITUTE(E4459,",",""))+1</f>
        <v>7</v>
      </c>
      <c r="K4459" s="3" t="str">
        <f aca="false">IFERROR(INDEX('Teacher Lookup'!$B$2:$B$200,MATCH(A4459,'Teacher Lookup'!$A$2:$A$200,0)),"")</f>
        <v>HUI Hyman</v>
      </c>
    </row>
    <row r="4460" customFormat="false" ht="15" hidden="false" customHeight="false" outlineLevel="0" collapsed="false">
      <c r="A4460" s="3" t="s">
        <v>427</v>
      </c>
      <c r="B4460" s="4" t="s">
        <v>12</v>
      </c>
      <c r="C4460" s="4" t="n">
        <v>5</v>
      </c>
      <c r="D4460" s="4" t="s">
        <v>23</v>
      </c>
      <c r="E4460" s="3" t="s">
        <v>390</v>
      </c>
      <c r="F4460" s="4" t="str">
        <f aca="false">IF(I4460&gt;J4460,"Y","N")</f>
        <v>Y</v>
      </c>
      <c r="G4460" s="3" t="s">
        <v>222</v>
      </c>
      <c r="H4460" s="3" t="s">
        <v>37</v>
      </c>
      <c r="I4460" s="4" t="n">
        <v>14</v>
      </c>
      <c r="J4460" s="4" t="n">
        <f aca="false">LEN(E4460)-LEN(SUBSTITUTE(E4460,",",""))+1</f>
        <v>7</v>
      </c>
      <c r="K4460" s="3" t="str">
        <f aca="false">IFERROR(INDEX('Teacher Lookup'!$B$2:$B$200,MATCH(A4460,'Teacher Lookup'!$A$2:$A$200,0)),"")</f>
        <v>HUI Hyman</v>
      </c>
    </row>
    <row r="4461" customFormat="false" ht="15" hidden="false" customHeight="false" outlineLevel="0" collapsed="false">
      <c r="A4461" s="3" t="s">
        <v>427</v>
      </c>
      <c r="B4461" s="4" t="s">
        <v>12</v>
      </c>
      <c r="C4461" s="4" t="n">
        <v>5</v>
      </c>
      <c r="D4461" s="4" t="s">
        <v>13</v>
      </c>
      <c r="E4461" s="3" t="s">
        <v>390</v>
      </c>
      <c r="F4461" s="4" t="str">
        <f aca="false">IF(I4461&gt;J4461,"Y","N")</f>
        <v>Y</v>
      </c>
      <c r="G4461" s="3" t="s">
        <v>222</v>
      </c>
      <c r="H4461" s="3" t="s">
        <v>37</v>
      </c>
      <c r="I4461" s="4" t="n">
        <v>14</v>
      </c>
      <c r="J4461" s="4" t="n">
        <f aca="false">LEN(E4461)-LEN(SUBSTITUTE(E4461,",",""))+1</f>
        <v>7</v>
      </c>
      <c r="K4461" s="3" t="str">
        <f aca="false">IFERROR(INDEX('Teacher Lookup'!$B$2:$B$200,MATCH(A4461,'Teacher Lookup'!$A$2:$A$200,0)),"")</f>
        <v>HUI Hyman</v>
      </c>
    </row>
    <row r="4462" customFormat="false" ht="15" hidden="false" customHeight="false" outlineLevel="0" collapsed="false">
      <c r="A4462" s="3" t="s">
        <v>427</v>
      </c>
      <c r="B4462" s="4" t="s">
        <v>12</v>
      </c>
      <c r="C4462" s="4" t="n">
        <v>5</v>
      </c>
      <c r="D4462" s="4" t="s">
        <v>17</v>
      </c>
      <c r="E4462" s="3" t="s">
        <v>390</v>
      </c>
      <c r="F4462" s="4" t="str">
        <f aca="false">IF(I4462&gt;J4462,"Y","N")</f>
        <v>Y</v>
      </c>
      <c r="G4462" s="3" t="s">
        <v>222</v>
      </c>
      <c r="H4462" s="3" t="s">
        <v>37</v>
      </c>
      <c r="I4462" s="4" t="n">
        <v>14</v>
      </c>
      <c r="J4462" s="4" t="n">
        <f aca="false">LEN(E4462)-LEN(SUBSTITUTE(E4462,",",""))+1</f>
        <v>7</v>
      </c>
      <c r="K4462" s="3" t="str">
        <f aca="false">IFERROR(INDEX('Teacher Lookup'!$B$2:$B$200,MATCH(A4462,'Teacher Lookup'!$A$2:$A$200,0)),"")</f>
        <v>HUI Hyman</v>
      </c>
    </row>
    <row r="4463" customFormat="false" ht="15" hidden="false" customHeight="false" outlineLevel="0" collapsed="false">
      <c r="A4463" s="3" t="s">
        <v>427</v>
      </c>
      <c r="B4463" s="4" t="s">
        <v>12</v>
      </c>
      <c r="C4463" s="4" t="n">
        <v>5</v>
      </c>
      <c r="D4463" s="4" t="s">
        <v>18</v>
      </c>
      <c r="E4463" s="3" t="s">
        <v>390</v>
      </c>
      <c r="F4463" s="4" t="str">
        <f aca="false">IF(I4463&gt;J4463,"Y","N")</f>
        <v>Y</v>
      </c>
      <c r="G4463" s="3" t="s">
        <v>222</v>
      </c>
      <c r="H4463" s="3" t="s">
        <v>37</v>
      </c>
      <c r="I4463" s="4" t="n">
        <v>14</v>
      </c>
      <c r="J4463" s="4" t="n">
        <f aca="false">LEN(E4463)-LEN(SUBSTITUTE(E4463,",",""))+1</f>
        <v>7</v>
      </c>
      <c r="K4463" s="3" t="str">
        <f aca="false">IFERROR(INDEX('Teacher Lookup'!$B$2:$B$200,MATCH(A4463,'Teacher Lookup'!$A$2:$A$200,0)),"")</f>
        <v>HUI Hyman</v>
      </c>
    </row>
    <row r="4464" customFormat="false" ht="15" hidden="false" customHeight="false" outlineLevel="0" collapsed="false">
      <c r="A4464" s="3" t="s">
        <v>427</v>
      </c>
      <c r="B4464" s="4" t="s">
        <v>12</v>
      </c>
      <c r="C4464" s="4" t="n">
        <v>7</v>
      </c>
      <c r="D4464" s="4" t="s">
        <v>105</v>
      </c>
      <c r="E4464" s="3" t="s">
        <v>194</v>
      </c>
      <c r="F4464" s="4" t="str">
        <f aca="false">IF(I4464&gt;J4464,"Y","N")</f>
        <v>Y</v>
      </c>
      <c r="G4464" s="3" t="s">
        <v>195</v>
      </c>
      <c r="H4464" s="3" t="s">
        <v>39</v>
      </c>
      <c r="I4464" s="4" t="n">
        <v>3</v>
      </c>
      <c r="J4464" s="4" t="n">
        <f aca="false">LEN(E4464)-LEN(SUBSTITUTE(E4464,",",""))+1</f>
        <v>2</v>
      </c>
      <c r="K4464" s="3" t="str">
        <f aca="false">IFERROR(INDEX('Teacher Lookup'!$B$2:$B$200,MATCH(A4464,'Teacher Lookup'!$A$2:$A$200,0)),"")</f>
        <v>HUI Hyman</v>
      </c>
    </row>
    <row r="4465" customFormat="false" ht="15" hidden="false" customHeight="false" outlineLevel="0" collapsed="false">
      <c r="A4465" s="3" t="s">
        <v>427</v>
      </c>
      <c r="B4465" s="4" t="s">
        <v>40</v>
      </c>
      <c r="C4465" s="4" t="n">
        <v>3</v>
      </c>
      <c r="D4465" s="4" t="s">
        <v>56</v>
      </c>
      <c r="E4465" s="3" t="s">
        <v>387</v>
      </c>
      <c r="F4465" s="4" t="str">
        <f aca="false">IF(I4465&gt;J4465,"Y","N")</f>
        <v>N</v>
      </c>
      <c r="G4465" s="3" t="s">
        <v>388</v>
      </c>
      <c r="H4465" s="3" t="s">
        <v>26</v>
      </c>
      <c r="I4465" s="4" t="n">
        <v>2</v>
      </c>
      <c r="J4465" s="4" t="n">
        <f aca="false">LEN(E4465)-LEN(SUBSTITUTE(E4465,",",""))+1</f>
        <v>2</v>
      </c>
      <c r="K4465" s="3" t="str">
        <f aca="false">IFERROR(INDEX('Teacher Lookup'!$B$2:$B$200,MATCH(A4465,'Teacher Lookup'!$A$2:$A$200,0)),"")</f>
        <v>HUI Hyman</v>
      </c>
    </row>
    <row r="4466" customFormat="false" ht="15" hidden="false" customHeight="false" outlineLevel="0" collapsed="false">
      <c r="A4466" s="3" t="s">
        <v>427</v>
      </c>
      <c r="B4466" s="4" t="s">
        <v>40</v>
      </c>
      <c r="C4466" s="4" t="n">
        <v>3</v>
      </c>
      <c r="D4466" s="4" t="s">
        <v>59</v>
      </c>
      <c r="E4466" s="3" t="s">
        <v>387</v>
      </c>
      <c r="F4466" s="4" t="str">
        <f aca="false">IF(I4466&gt;J4466,"Y","N")</f>
        <v>N</v>
      </c>
      <c r="G4466" s="3" t="s">
        <v>388</v>
      </c>
      <c r="H4466" s="3" t="s">
        <v>26</v>
      </c>
      <c r="I4466" s="4" t="n">
        <v>2</v>
      </c>
      <c r="J4466" s="4" t="n">
        <f aca="false">LEN(E4466)-LEN(SUBSTITUTE(E4466,",",""))+1</f>
        <v>2</v>
      </c>
      <c r="K4466" s="3" t="str">
        <f aca="false">IFERROR(INDEX('Teacher Lookup'!$B$2:$B$200,MATCH(A4466,'Teacher Lookup'!$A$2:$A$200,0)),"")</f>
        <v>HUI Hyman</v>
      </c>
    </row>
    <row r="4467" customFormat="false" ht="15" hidden="false" customHeight="false" outlineLevel="0" collapsed="false">
      <c r="A4467" s="3" t="s">
        <v>427</v>
      </c>
      <c r="B4467" s="4" t="s">
        <v>40</v>
      </c>
      <c r="C4467" s="4" t="n">
        <v>4</v>
      </c>
      <c r="D4467" s="4" t="s">
        <v>56</v>
      </c>
      <c r="E4467" s="3" t="s">
        <v>387</v>
      </c>
      <c r="F4467" s="4" t="str">
        <f aca="false">IF(I4467&gt;J4467,"Y","N")</f>
        <v>N</v>
      </c>
      <c r="G4467" s="3" t="s">
        <v>388</v>
      </c>
      <c r="H4467" s="3" t="s">
        <v>34</v>
      </c>
      <c r="I4467" s="4" t="n">
        <v>2</v>
      </c>
      <c r="J4467" s="4" t="n">
        <f aca="false">LEN(E4467)-LEN(SUBSTITUTE(E4467,",",""))+1</f>
        <v>2</v>
      </c>
      <c r="K4467" s="3" t="str">
        <f aca="false">IFERROR(INDEX('Teacher Lookup'!$B$2:$B$200,MATCH(A4467,'Teacher Lookup'!$A$2:$A$200,0)),"")</f>
        <v>HUI Hyman</v>
      </c>
    </row>
    <row r="4468" customFormat="false" ht="15" hidden="false" customHeight="false" outlineLevel="0" collapsed="false">
      <c r="A4468" s="3" t="s">
        <v>427</v>
      </c>
      <c r="B4468" s="4" t="s">
        <v>40</v>
      </c>
      <c r="C4468" s="4" t="n">
        <v>4</v>
      </c>
      <c r="D4468" s="4" t="s">
        <v>59</v>
      </c>
      <c r="E4468" s="3" t="s">
        <v>387</v>
      </c>
      <c r="F4468" s="4" t="str">
        <f aca="false">IF(I4468&gt;J4468,"Y","N")</f>
        <v>N</v>
      </c>
      <c r="G4468" s="3" t="s">
        <v>388</v>
      </c>
      <c r="H4468" s="3" t="s">
        <v>34</v>
      </c>
      <c r="I4468" s="4" t="n">
        <v>2</v>
      </c>
      <c r="J4468" s="4" t="n">
        <f aca="false">LEN(E4468)-LEN(SUBSTITUTE(E4468,",",""))+1</f>
        <v>2</v>
      </c>
      <c r="K4468" s="3" t="str">
        <f aca="false">IFERROR(INDEX('Teacher Lookup'!$B$2:$B$200,MATCH(A4468,'Teacher Lookup'!$A$2:$A$200,0)),"")</f>
        <v>HUI Hyman</v>
      </c>
    </row>
    <row r="4469" customFormat="false" ht="15" hidden="false" customHeight="false" outlineLevel="0" collapsed="false">
      <c r="A4469" s="3" t="s">
        <v>427</v>
      </c>
      <c r="B4469" s="4" t="s">
        <v>40</v>
      </c>
      <c r="C4469" s="4" t="n">
        <v>5</v>
      </c>
      <c r="D4469" s="4" t="s">
        <v>13</v>
      </c>
      <c r="E4469" s="3" t="s">
        <v>387</v>
      </c>
      <c r="F4469" s="4" t="str">
        <f aca="false">IF(I4469&gt;J4469,"Y","N")</f>
        <v>N</v>
      </c>
      <c r="G4469" s="3" t="s">
        <v>388</v>
      </c>
      <c r="H4469" s="3" t="s">
        <v>37</v>
      </c>
      <c r="I4469" s="4" t="n">
        <v>2</v>
      </c>
      <c r="J4469" s="4" t="n">
        <f aca="false">LEN(E4469)-LEN(SUBSTITUTE(E4469,",",""))+1</f>
        <v>2</v>
      </c>
      <c r="K4469" s="3" t="str">
        <f aca="false">IFERROR(INDEX('Teacher Lookup'!$B$2:$B$200,MATCH(A4469,'Teacher Lookup'!$A$2:$A$200,0)),"")</f>
        <v>HUI Hyman</v>
      </c>
    </row>
    <row r="4470" customFormat="false" ht="15" hidden="false" customHeight="false" outlineLevel="0" collapsed="false">
      <c r="A4470" s="3" t="s">
        <v>427</v>
      </c>
      <c r="B4470" s="4" t="s">
        <v>40</v>
      </c>
      <c r="C4470" s="4" t="n">
        <v>5</v>
      </c>
      <c r="D4470" s="4" t="s">
        <v>17</v>
      </c>
      <c r="E4470" s="3" t="s">
        <v>387</v>
      </c>
      <c r="F4470" s="4" t="str">
        <f aca="false">IF(I4470&gt;J4470,"Y","N")</f>
        <v>N</v>
      </c>
      <c r="G4470" s="3" t="s">
        <v>388</v>
      </c>
      <c r="H4470" s="3" t="s">
        <v>37</v>
      </c>
      <c r="I4470" s="4" t="n">
        <v>2</v>
      </c>
      <c r="J4470" s="4" t="n">
        <f aca="false">LEN(E4470)-LEN(SUBSTITUTE(E4470,",",""))+1</f>
        <v>2</v>
      </c>
      <c r="K4470" s="3" t="str">
        <f aca="false">IFERROR(INDEX('Teacher Lookup'!$B$2:$B$200,MATCH(A4470,'Teacher Lookup'!$A$2:$A$200,0)),"")</f>
        <v>HUI Hyman</v>
      </c>
    </row>
    <row r="4471" customFormat="false" ht="15" hidden="false" customHeight="false" outlineLevel="0" collapsed="false">
      <c r="A4471" s="3" t="s">
        <v>427</v>
      </c>
      <c r="B4471" s="4" t="s">
        <v>44</v>
      </c>
      <c r="C4471" s="4" t="n">
        <v>4</v>
      </c>
      <c r="D4471" s="4" t="s">
        <v>52</v>
      </c>
      <c r="E4471" s="3" t="s">
        <v>115</v>
      </c>
      <c r="F4471" s="4" t="str">
        <f aca="false">IF(I4471&gt;J4471,"Y","N")</f>
        <v>Y</v>
      </c>
      <c r="G4471" s="3" t="s">
        <v>101</v>
      </c>
      <c r="H4471" s="3" t="s">
        <v>34</v>
      </c>
      <c r="I4471" s="4" t="n">
        <v>9</v>
      </c>
      <c r="J4471" s="4" t="n">
        <f aca="false">LEN(E4471)-LEN(SUBSTITUTE(E4471,",",""))+1</f>
        <v>8</v>
      </c>
      <c r="K4471" s="3" t="str">
        <f aca="false">IFERROR(INDEX('Teacher Lookup'!$B$2:$B$200,MATCH(A4471,'Teacher Lookup'!$A$2:$A$200,0)),"")</f>
        <v>HUI Hyman</v>
      </c>
    </row>
    <row r="4472" customFormat="false" ht="15" hidden="false" customHeight="false" outlineLevel="0" collapsed="false">
      <c r="A4472" s="3" t="s">
        <v>427</v>
      </c>
      <c r="B4472" s="4" t="s">
        <v>44</v>
      </c>
      <c r="C4472" s="4" t="n">
        <v>4</v>
      </c>
      <c r="D4472" s="4" t="s">
        <v>55</v>
      </c>
      <c r="E4472" s="3" t="s">
        <v>115</v>
      </c>
      <c r="F4472" s="4" t="str">
        <f aca="false">IF(I4472&gt;J4472,"Y","N")</f>
        <v>Y</v>
      </c>
      <c r="G4472" s="3" t="s">
        <v>101</v>
      </c>
      <c r="H4472" s="3" t="s">
        <v>34</v>
      </c>
      <c r="I4472" s="4" t="n">
        <v>9</v>
      </c>
      <c r="J4472" s="4" t="n">
        <f aca="false">LEN(E4472)-LEN(SUBSTITUTE(E4472,",",""))+1</f>
        <v>8</v>
      </c>
      <c r="K4472" s="3" t="str">
        <f aca="false">IFERROR(INDEX('Teacher Lookup'!$B$2:$B$200,MATCH(A4472,'Teacher Lookup'!$A$2:$A$200,0)),"")</f>
        <v>HUI Hyman</v>
      </c>
    </row>
    <row r="4473" customFormat="false" ht="15" hidden="false" customHeight="false" outlineLevel="0" collapsed="false">
      <c r="A4473" s="3" t="s">
        <v>427</v>
      </c>
      <c r="B4473" s="4" t="s">
        <v>44</v>
      </c>
      <c r="C4473" s="4" t="n">
        <v>4</v>
      </c>
      <c r="D4473" s="4" t="s">
        <v>56</v>
      </c>
      <c r="E4473" s="3" t="s">
        <v>115</v>
      </c>
      <c r="F4473" s="4" t="str">
        <f aca="false">IF(I4473&gt;J4473,"Y","N")</f>
        <v>Y</v>
      </c>
      <c r="G4473" s="3" t="s">
        <v>101</v>
      </c>
      <c r="H4473" s="3" t="s">
        <v>34</v>
      </c>
      <c r="I4473" s="4" t="n">
        <v>9</v>
      </c>
      <c r="J4473" s="4" t="n">
        <f aca="false">LEN(E4473)-LEN(SUBSTITUTE(E4473,",",""))+1</f>
        <v>8</v>
      </c>
      <c r="K4473" s="3" t="str">
        <f aca="false">IFERROR(INDEX('Teacher Lookup'!$B$2:$B$200,MATCH(A4473,'Teacher Lookup'!$A$2:$A$200,0)),"")</f>
        <v>HUI Hyman</v>
      </c>
    </row>
    <row r="4474" customFormat="false" ht="15" hidden="false" customHeight="false" outlineLevel="0" collapsed="false">
      <c r="A4474" s="3" t="s">
        <v>427</v>
      </c>
      <c r="B4474" s="4" t="s">
        <v>44</v>
      </c>
      <c r="C4474" s="4" t="n">
        <v>4</v>
      </c>
      <c r="D4474" s="4" t="s">
        <v>57</v>
      </c>
      <c r="E4474" s="3" t="s">
        <v>115</v>
      </c>
      <c r="F4474" s="4" t="str">
        <f aca="false">IF(I4474&gt;J4474,"Y","N")</f>
        <v>Y</v>
      </c>
      <c r="G4474" s="3" t="s">
        <v>101</v>
      </c>
      <c r="H4474" s="3" t="s">
        <v>34</v>
      </c>
      <c r="I4474" s="4" t="n">
        <v>9</v>
      </c>
      <c r="J4474" s="4" t="n">
        <f aca="false">LEN(E4474)-LEN(SUBSTITUTE(E4474,",",""))+1</f>
        <v>8</v>
      </c>
      <c r="K4474" s="3" t="str">
        <f aca="false">IFERROR(INDEX('Teacher Lookup'!$B$2:$B$200,MATCH(A4474,'Teacher Lookup'!$A$2:$A$200,0)),"")</f>
        <v>HUI Hyman</v>
      </c>
    </row>
    <row r="4475" customFormat="false" ht="15" hidden="false" customHeight="false" outlineLevel="0" collapsed="false">
      <c r="A4475" s="3" t="s">
        <v>427</v>
      </c>
      <c r="B4475" s="4" t="s">
        <v>44</v>
      </c>
      <c r="C4475" s="4" t="n">
        <v>4</v>
      </c>
      <c r="D4475" s="4" t="s">
        <v>58</v>
      </c>
      <c r="E4475" s="3" t="s">
        <v>115</v>
      </c>
      <c r="F4475" s="4" t="str">
        <f aca="false">IF(I4475&gt;J4475,"Y","N")</f>
        <v>Y</v>
      </c>
      <c r="G4475" s="3" t="s">
        <v>101</v>
      </c>
      <c r="H4475" s="3" t="s">
        <v>34</v>
      </c>
      <c r="I4475" s="4" t="n">
        <v>9</v>
      </c>
      <c r="J4475" s="4" t="n">
        <f aca="false">LEN(E4475)-LEN(SUBSTITUTE(E4475,",",""))+1</f>
        <v>8</v>
      </c>
      <c r="K4475" s="3" t="str">
        <f aca="false">IFERROR(INDEX('Teacher Lookup'!$B$2:$B$200,MATCH(A4475,'Teacher Lookup'!$A$2:$A$200,0)),"")</f>
        <v>HUI Hyman</v>
      </c>
    </row>
    <row r="4476" customFormat="false" ht="15" hidden="false" customHeight="false" outlineLevel="0" collapsed="false">
      <c r="A4476" s="3" t="s">
        <v>427</v>
      </c>
      <c r="B4476" s="4" t="s">
        <v>44</v>
      </c>
      <c r="C4476" s="4" t="n">
        <v>4</v>
      </c>
      <c r="D4476" s="4" t="s">
        <v>59</v>
      </c>
      <c r="E4476" s="3" t="s">
        <v>115</v>
      </c>
      <c r="F4476" s="4" t="str">
        <f aca="false">IF(I4476&gt;J4476,"Y","N")</f>
        <v>Y</v>
      </c>
      <c r="G4476" s="3" t="s">
        <v>101</v>
      </c>
      <c r="H4476" s="3" t="s">
        <v>34</v>
      </c>
      <c r="I4476" s="4" t="n">
        <v>9</v>
      </c>
      <c r="J4476" s="4" t="n">
        <f aca="false">LEN(E4476)-LEN(SUBSTITUTE(E4476,",",""))+1</f>
        <v>8</v>
      </c>
      <c r="K4476" s="3" t="str">
        <f aca="false">IFERROR(INDEX('Teacher Lookup'!$B$2:$B$200,MATCH(A4476,'Teacher Lookup'!$A$2:$A$200,0)),"")</f>
        <v>HUI Hyman</v>
      </c>
    </row>
    <row r="4477" customFormat="false" ht="15" hidden="false" customHeight="false" outlineLevel="0" collapsed="false">
      <c r="A4477" s="3" t="s">
        <v>427</v>
      </c>
      <c r="B4477" s="4" t="s">
        <v>44</v>
      </c>
      <c r="C4477" s="4" t="n">
        <v>6</v>
      </c>
      <c r="D4477" s="4" t="s">
        <v>140</v>
      </c>
      <c r="E4477" s="3" t="s">
        <v>387</v>
      </c>
      <c r="F4477" s="4" t="str">
        <f aca="false">IF(I4477&gt;J4477,"Y","N")</f>
        <v>N</v>
      </c>
      <c r="G4477" s="3" t="s">
        <v>388</v>
      </c>
      <c r="H4477" s="3" t="s">
        <v>42</v>
      </c>
      <c r="I4477" s="4" t="n">
        <v>2</v>
      </c>
      <c r="J4477" s="4" t="n">
        <f aca="false">LEN(E4477)-LEN(SUBSTITUTE(E4477,",",""))+1</f>
        <v>2</v>
      </c>
      <c r="K4477" s="3" t="str">
        <f aca="false">IFERROR(INDEX('Teacher Lookup'!$B$2:$B$200,MATCH(A4477,'Teacher Lookup'!$A$2:$A$200,0)),"")</f>
        <v>HUI Hyman</v>
      </c>
    </row>
    <row r="4478" customFormat="false" ht="15" hidden="false" customHeight="false" outlineLevel="0" collapsed="false">
      <c r="A4478" s="3" t="s">
        <v>427</v>
      </c>
      <c r="B4478" s="4" t="s">
        <v>44</v>
      </c>
      <c r="C4478" s="4" t="n">
        <v>6</v>
      </c>
      <c r="D4478" s="4" t="s">
        <v>142</v>
      </c>
      <c r="E4478" s="3" t="s">
        <v>387</v>
      </c>
      <c r="F4478" s="4" t="str">
        <f aca="false">IF(I4478&gt;J4478,"Y","N")</f>
        <v>N</v>
      </c>
      <c r="G4478" s="3" t="s">
        <v>388</v>
      </c>
      <c r="H4478" s="3" t="s">
        <v>42</v>
      </c>
      <c r="I4478" s="4" t="n">
        <v>2</v>
      </c>
      <c r="J4478" s="4" t="n">
        <f aca="false">LEN(E4478)-LEN(SUBSTITUTE(E4478,",",""))+1</f>
        <v>2</v>
      </c>
      <c r="K4478" s="3" t="str">
        <f aca="false">IFERROR(INDEX('Teacher Lookup'!$B$2:$B$200,MATCH(A4478,'Teacher Lookup'!$A$2:$A$200,0)),"")</f>
        <v>HUI Hyman</v>
      </c>
    </row>
    <row r="4479" customFormat="false" ht="15" hidden="false" customHeight="false" outlineLevel="0" collapsed="false">
      <c r="A4479" s="3" t="s">
        <v>427</v>
      </c>
      <c r="B4479" s="4" t="s">
        <v>44</v>
      </c>
      <c r="C4479" s="4" t="n">
        <v>7</v>
      </c>
      <c r="D4479" s="4" t="s">
        <v>140</v>
      </c>
      <c r="E4479" s="3" t="s">
        <v>387</v>
      </c>
      <c r="F4479" s="4" t="str">
        <f aca="false">IF(I4479&gt;J4479,"Y","N")</f>
        <v>N</v>
      </c>
      <c r="G4479" s="3" t="s">
        <v>388</v>
      </c>
      <c r="H4479" s="3" t="s">
        <v>39</v>
      </c>
      <c r="I4479" s="4" t="n">
        <v>2</v>
      </c>
      <c r="J4479" s="4" t="n">
        <f aca="false">LEN(E4479)-LEN(SUBSTITUTE(E4479,",",""))+1</f>
        <v>2</v>
      </c>
      <c r="K4479" s="3" t="str">
        <f aca="false">IFERROR(INDEX('Teacher Lookup'!$B$2:$B$200,MATCH(A4479,'Teacher Lookup'!$A$2:$A$200,0)),"")</f>
        <v>HUI Hyman</v>
      </c>
    </row>
    <row r="4480" customFormat="false" ht="15" hidden="false" customHeight="false" outlineLevel="0" collapsed="false">
      <c r="A4480" s="3" t="s">
        <v>427</v>
      </c>
      <c r="B4480" s="4" t="s">
        <v>44</v>
      </c>
      <c r="C4480" s="4" t="n">
        <v>7</v>
      </c>
      <c r="D4480" s="4" t="s">
        <v>142</v>
      </c>
      <c r="E4480" s="3" t="s">
        <v>387</v>
      </c>
      <c r="F4480" s="4" t="str">
        <f aca="false">IF(I4480&gt;J4480,"Y","N")</f>
        <v>N</v>
      </c>
      <c r="G4480" s="3" t="s">
        <v>388</v>
      </c>
      <c r="H4480" s="3" t="s">
        <v>39</v>
      </c>
      <c r="I4480" s="4" t="n">
        <v>2</v>
      </c>
      <c r="J4480" s="4" t="n">
        <f aca="false">LEN(E4480)-LEN(SUBSTITUTE(E4480,",",""))+1</f>
        <v>2</v>
      </c>
      <c r="K4480" s="3" t="str">
        <f aca="false">IFERROR(INDEX('Teacher Lookup'!$B$2:$B$200,MATCH(A4480,'Teacher Lookup'!$A$2:$A$200,0)),"")</f>
        <v>HUI Hyman</v>
      </c>
    </row>
    <row r="4481" customFormat="false" ht="15" hidden="false" customHeight="false" outlineLevel="0" collapsed="false">
      <c r="A4481" s="3" t="s">
        <v>427</v>
      </c>
      <c r="B4481" s="4" t="s">
        <v>50</v>
      </c>
      <c r="C4481" s="4" t="n">
        <v>3</v>
      </c>
      <c r="D4481" s="4" t="s">
        <v>52</v>
      </c>
      <c r="E4481" s="3" t="s">
        <v>115</v>
      </c>
      <c r="F4481" s="4" t="str">
        <f aca="false">IF(I4481&gt;J4481,"Y","N")</f>
        <v>Y</v>
      </c>
      <c r="G4481" s="3" t="s">
        <v>101</v>
      </c>
      <c r="H4481" s="3" t="s">
        <v>26</v>
      </c>
      <c r="I4481" s="4" t="n">
        <v>9</v>
      </c>
      <c r="J4481" s="4" t="n">
        <f aca="false">LEN(E4481)-LEN(SUBSTITUTE(E4481,",",""))+1</f>
        <v>8</v>
      </c>
      <c r="K4481" s="3" t="str">
        <f aca="false">IFERROR(INDEX('Teacher Lookup'!$B$2:$B$200,MATCH(A4481,'Teacher Lookup'!$A$2:$A$200,0)),"")</f>
        <v>HUI Hyman</v>
      </c>
    </row>
    <row r="4482" customFormat="false" ht="15" hidden="false" customHeight="false" outlineLevel="0" collapsed="false">
      <c r="A4482" s="3" t="s">
        <v>427</v>
      </c>
      <c r="B4482" s="4" t="s">
        <v>50</v>
      </c>
      <c r="C4482" s="4" t="n">
        <v>3</v>
      </c>
      <c r="D4482" s="4" t="s">
        <v>55</v>
      </c>
      <c r="E4482" s="3" t="s">
        <v>115</v>
      </c>
      <c r="F4482" s="4" t="str">
        <f aca="false">IF(I4482&gt;J4482,"Y","N")</f>
        <v>Y</v>
      </c>
      <c r="G4482" s="3" t="s">
        <v>101</v>
      </c>
      <c r="H4482" s="3" t="s">
        <v>26</v>
      </c>
      <c r="I4482" s="4" t="n">
        <v>9</v>
      </c>
      <c r="J4482" s="4" t="n">
        <f aca="false">LEN(E4482)-LEN(SUBSTITUTE(E4482,",",""))+1</f>
        <v>8</v>
      </c>
      <c r="K4482" s="3" t="str">
        <f aca="false">IFERROR(INDEX('Teacher Lookup'!$B$2:$B$200,MATCH(A4482,'Teacher Lookup'!$A$2:$A$200,0)),"")</f>
        <v>HUI Hyman</v>
      </c>
    </row>
    <row r="4483" customFormat="false" ht="15" hidden="false" customHeight="false" outlineLevel="0" collapsed="false">
      <c r="A4483" s="3" t="s">
        <v>427</v>
      </c>
      <c r="B4483" s="4" t="s">
        <v>50</v>
      </c>
      <c r="C4483" s="4" t="n">
        <v>3</v>
      </c>
      <c r="D4483" s="4" t="s">
        <v>56</v>
      </c>
      <c r="E4483" s="3" t="s">
        <v>115</v>
      </c>
      <c r="F4483" s="4" t="str">
        <f aca="false">IF(I4483&gt;J4483,"Y","N")</f>
        <v>Y</v>
      </c>
      <c r="G4483" s="3" t="s">
        <v>101</v>
      </c>
      <c r="H4483" s="3" t="s">
        <v>26</v>
      </c>
      <c r="I4483" s="4" t="n">
        <v>9</v>
      </c>
      <c r="J4483" s="4" t="n">
        <f aca="false">LEN(E4483)-LEN(SUBSTITUTE(E4483,",",""))+1</f>
        <v>8</v>
      </c>
      <c r="K4483" s="3" t="str">
        <f aca="false">IFERROR(INDEX('Teacher Lookup'!$B$2:$B$200,MATCH(A4483,'Teacher Lookup'!$A$2:$A$200,0)),"")</f>
        <v>HUI Hyman</v>
      </c>
    </row>
    <row r="4484" customFormat="false" ht="15" hidden="false" customHeight="false" outlineLevel="0" collapsed="false">
      <c r="A4484" s="3" t="s">
        <v>427</v>
      </c>
      <c r="B4484" s="4" t="s">
        <v>50</v>
      </c>
      <c r="C4484" s="4" t="n">
        <v>3</v>
      </c>
      <c r="D4484" s="4" t="s">
        <v>57</v>
      </c>
      <c r="E4484" s="3" t="s">
        <v>115</v>
      </c>
      <c r="F4484" s="4" t="str">
        <f aca="false">IF(I4484&gt;J4484,"Y","N")</f>
        <v>Y</v>
      </c>
      <c r="G4484" s="3" t="s">
        <v>101</v>
      </c>
      <c r="H4484" s="3" t="s">
        <v>26</v>
      </c>
      <c r="I4484" s="4" t="n">
        <v>9</v>
      </c>
      <c r="J4484" s="4" t="n">
        <f aca="false">LEN(E4484)-LEN(SUBSTITUTE(E4484,",",""))+1</f>
        <v>8</v>
      </c>
      <c r="K4484" s="3" t="str">
        <f aca="false">IFERROR(INDEX('Teacher Lookup'!$B$2:$B$200,MATCH(A4484,'Teacher Lookup'!$A$2:$A$200,0)),"")</f>
        <v>HUI Hyman</v>
      </c>
    </row>
    <row r="4485" customFormat="false" ht="15" hidden="false" customHeight="false" outlineLevel="0" collapsed="false">
      <c r="A4485" s="3" t="s">
        <v>427</v>
      </c>
      <c r="B4485" s="4" t="s">
        <v>50</v>
      </c>
      <c r="C4485" s="4" t="n">
        <v>3</v>
      </c>
      <c r="D4485" s="4" t="s">
        <v>58</v>
      </c>
      <c r="E4485" s="3" t="s">
        <v>115</v>
      </c>
      <c r="F4485" s="4" t="str">
        <f aca="false">IF(I4485&gt;J4485,"Y","N")</f>
        <v>Y</v>
      </c>
      <c r="G4485" s="3" t="s">
        <v>101</v>
      </c>
      <c r="H4485" s="3" t="s">
        <v>26</v>
      </c>
      <c r="I4485" s="4" t="n">
        <v>9</v>
      </c>
      <c r="J4485" s="4" t="n">
        <f aca="false">LEN(E4485)-LEN(SUBSTITUTE(E4485,",",""))+1</f>
        <v>8</v>
      </c>
      <c r="K4485" s="3" t="str">
        <f aca="false">IFERROR(INDEX('Teacher Lookup'!$B$2:$B$200,MATCH(A4485,'Teacher Lookup'!$A$2:$A$200,0)),"")</f>
        <v>HUI Hyman</v>
      </c>
    </row>
    <row r="4486" customFormat="false" ht="15" hidden="false" customHeight="false" outlineLevel="0" collapsed="false">
      <c r="A4486" s="3" t="s">
        <v>427</v>
      </c>
      <c r="B4486" s="4" t="s">
        <v>50</v>
      </c>
      <c r="C4486" s="4" t="n">
        <v>3</v>
      </c>
      <c r="D4486" s="4" t="s">
        <v>59</v>
      </c>
      <c r="E4486" s="3" t="s">
        <v>115</v>
      </c>
      <c r="F4486" s="4" t="str">
        <f aca="false">IF(I4486&gt;J4486,"Y","N")</f>
        <v>Y</v>
      </c>
      <c r="G4486" s="3" t="s">
        <v>101</v>
      </c>
      <c r="H4486" s="3" t="s">
        <v>26</v>
      </c>
      <c r="I4486" s="4" t="n">
        <v>9</v>
      </c>
      <c r="J4486" s="4" t="n">
        <f aca="false">LEN(E4486)-LEN(SUBSTITUTE(E4486,",",""))+1</f>
        <v>8</v>
      </c>
      <c r="K4486" s="3" t="str">
        <f aca="false">IFERROR(INDEX('Teacher Lookup'!$B$2:$B$200,MATCH(A4486,'Teacher Lookup'!$A$2:$A$200,0)),"")</f>
        <v>HUI Hyman</v>
      </c>
    </row>
    <row r="4487" customFormat="false" ht="15" hidden="false" customHeight="false" outlineLevel="0" collapsed="false">
      <c r="A4487" s="3" t="s">
        <v>427</v>
      </c>
      <c r="B4487" s="4" t="s">
        <v>50</v>
      </c>
      <c r="C4487" s="4" t="n">
        <v>4</v>
      </c>
      <c r="D4487" s="4" t="s">
        <v>137</v>
      </c>
      <c r="E4487" s="3" t="s">
        <v>221</v>
      </c>
      <c r="F4487" s="4" t="str">
        <f aca="false">IF(I4487&gt;J4487,"Y","N")</f>
        <v>Y</v>
      </c>
      <c r="G4487" s="3" t="s">
        <v>222</v>
      </c>
      <c r="H4487" s="3" t="s">
        <v>34</v>
      </c>
      <c r="I4487" s="4" t="n">
        <v>15</v>
      </c>
      <c r="J4487" s="4" t="n">
        <f aca="false">LEN(E4487)-LEN(SUBSTITUTE(E4487,",",""))+1</f>
        <v>7</v>
      </c>
      <c r="K4487" s="3" t="str">
        <f aca="false">IFERROR(INDEX('Teacher Lookup'!$B$2:$B$200,MATCH(A4487,'Teacher Lookup'!$A$2:$A$200,0)),"")</f>
        <v>HUI Hyman</v>
      </c>
    </row>
    <row r="4488" customFormat="false" ht="15" hidden="false" customHeight="false" outlineLevel="0" collapsed="false">
      <c r="A4488" s="3" t="s">
        <v>427</v>
      </c>
      <c r="B4488" s="4" t="s">
        <v>50</v>
      </c>
      <c r="C4488" s="4" t="n">
        <v>4</v>
      </c>
      <c r="D4488" s="4" t="s">
        <v>124</v>
      </c>
      <c r="E4488" s="3" t="s">
        <v>221</v>
      </c>
      <c r="F4488" s="4" t="str">
        <f aca="false">IF(I4488&gt;J4488,"Y","N")</f>
        <v>Y</v>
      </c>
      <c r="G4488" s="3" t="s">
        <v>222</v>
      </c>
      <c r="H4488" s="3" t="s">
        <v>34</v>
      </c>
      <c r="I4488" s="4" t="n">
        <v>15</v>
      </c>
      <c r="J4488" s="4" t="n">
        <f aca="false">LEN(E4488)-LEN(SUBSTITUTE(E4488,",",""))+1</f>
        <v>7</v>
      </c>
      <c r="K4488" s="3" t="str">
        <f aca="false">IFERROR(INDEX('Teacher Lookup'!$B$2:$B$200,MATCH(A4488,'Teacher Lookup'!$A$2:$A$200,0)),"")</f>
        <v>HUI Hyman</v>
      </c>
    </row>
    <row r="4489" customFormat="false" ht="15" hidden="false" customHeight="false" outlineLevel="0" collapsed="false">
      <c r="A4489" s="3" t="s">
        <v>427</v>
      </c>
      <c r="B4489" s="4" t="s">
        <v>50</v>
      </c>
      <c r="C4489" s="4" t="n">
        <v>4</v>
      </c>
      <c r="D4489" s="4" t="s">
        <v>139</v>
      </c>
      <c r="E4489" s="3" t="s">
        <v>221</v>
      </c>
      <c r="F4489" s="4" t="str">
        <f aca="false">IF(I4489&gt;J4489,"Y","N")</f>
        <v>Y</v>
      </c>
      <c r="G4489" s="3" t="s">
        <v>222</v>
      </c>
      <c r="H4489" s="3" t="s">
        <v>34</v>
      </c>
      <c r="I4489" s="4" t="n">
        <v>15</v>
      </c>
      <c r="J4489" s="4" t="n">
        <f aca="false">LEN(E4489)-LEN(SUBSTITUTE(E4489,",",""))+1</f>
        <v>7</v>
      </c>
      <c r="K4489" s="3" t="str">
        <f aca="false">IFERROR(INDEX('Teacher Lookup'!$B$2:$B$200,MATCH(A4489,'Teacher Lookup'!$A$2:$A$200,0)),"")</f>
        <v>HUI Hyman</v>
      </c>
    </row>
    <row r="4490" customFormat="false" ht="15" hidden="false" customHeight="false" outlineLevel="0" collapsed="false">
      <c r="A4490" s="3" t="s">
        <v>427</v>
      </c>
      <c r="B4490" s="4" t="s">
        <v>50</v>
      </c>
      <c r="C4490" s="4" t="n">
        <v>4</v>
      </c>
      <c r="D4490" s="4" t="s">
        <v>140</v>
      </c>
      <c r="E4490" s="3" t="s">
        <v>221</v>
      </c>
      <c r="F4490" s="4" t="str">
        <f aca="false">IF(I4490&gt;J4490,"Y","N")</f>
        <v>Y</v>
      </c>
      <c r="G4490" s="3" t="s">
        <v>222</v>
      </c>
      <c r="H4490" s="3" t="s">
        <v>34</v>
      </c>
      <c r="I4490" s="4" t="n">
        <v>15</v>
      </c>
      <c r="J4490" s="4" t="n">
        <f aca="false">LEN(E4490)-LEN(SUBSTITUTE(E4490,",",""))+1</f>
        <v>7</v>
      </c>
      <c r="K4490" s="3" t="str">
        <f aca="false">IFERROR(INDEX('Teacher Lookup'!$B$2:$B$200,MATCH(A4490,'Teacher Lookup'!$A$2:$A$200,0)),"")</f>
        <v>HUI Hyman</v>
      </c>
    </row>
    <row r="4491" customFormat="false" ht="15" hidden="false" customHeight="false" outlineLevel="0" collapsed="false">
      <c r="A4491" s="3" t="s">
        <v>427</v>
      </c>
      <c r="B4491" s="4" t="s">
        <v>50</v>
      </c>
      <c r="C4491" s="4" t="n">
        <v>4</v>
      </c>
      <c r="D4491" s="4" t="s">
        <v>142</v>
      </c>
      <c r="E4491" s="3" t="s">
        <v>221</v>
      </c>
      <c r="F4491" s="4" t="str">
        <f aca="false">IF(I4491&gt;J4491,"Y","N")</f>
        <v>Y</v>
      </c>
      <c r="G4491" s="3" t="s">
        <v>222</v>
      </c>
      <c r="H4491" s="3" t="s">
        <v>34</v>
      </c>
      <c r="I4491" s="4" t="n">
        <v>15</v>
      </c>
      <c r="J4491" s="4" t="n">
        <f aca="false">LEN(E4491)-LEN(SUBSTITUTE(E4491,",",""))+1</f>
        <v>7</v>
      </c>
      <c r="K4491" s="3" t="str">
        <f aca="false">IFERROR(INDEX('Teacher Lookup'!$B$2:$B$200,MATCH(A4491,'Teacher Lookup'!$A$2:$A$200,0)),"")</f>
        <v>HUI Hyman</v>
      </c>
    </row>
    <row r="4492" customFormat="false" ht="15" hidden="false" customHeight="false" outlineLevel="0" collapsed="false">
      <c r="A4492" s="3" t="s">
        <v>427</v>
      </c>
      <c r="B4492" s="4" t="s">
        <v>50</v>
      </c>
      <c r="C4492" s="4" t="n">
        <v>4</v>
      </c>
      <c r="D4492" s="4" t="s">
        <v>127</v>
      </c>
      <c r="E4492" s="3" t="s">
        <v>221</v>
      </c>
      <c r="F4492" s="4" t="str">
        <f aca="false">IF(I4492&gt;J4492,"Y","N")</f>
        <v>Y</v>
      </c>
      <c r="G4492" s="3" t="s">
        <v>222</v>
      </c>
      <c r="H4492" s="3" t="s">
        <v>34</v>
      </c>
      <c r="I4492" s="4" t="n">
        <v>15</v>
      </c>
      <c r="J4492" s="4" t="n">
        <f aca="false">LEN(E4492)-LEN(SUBSTITUTE(E4492,",",""))+1</f>
        <v>7</v>
      </c>
      <c r="K4492" s="3" t="str">
        <f aca="false">IFERROR(INDEX('Teacher Lookup'!$B$2:$B$200,MATCH(A4492,'Teacher Lookup'!$A$2:$A$200,0)),"")</f>
        <v>HUI Hyman</v>
      </c>
    </row>
    <row r="4493" customFormat="false" ht="15" hidden="false" customHeight="false" outlineLevel="0" collapsed="false">
      <c r="A4493" s="3" t="s">
        <v>427</v>
      </c>
      <c r="B4493" s="4" t="s">
        <v>50</v>
      </c>
      <c r="C4493" s="4" t="n">
        <v>5</v>
      </c>
      <c r="D4493" s="4" t="s">
        <v>137</v>
      </c>
      <c r="E4493" s="3" t="s">
        <v>221</v>
      </c>
      <c r="F4493" s="4" t="str">
        <f aca="false">IF(I4493&gt;J4493,"Y","N")</f>
        <v>Y</v>
      </c>
      <c r="G4493" s="3" t="s">
        <v>222</v>
      </c>
      <c r="H4493" s="3" t="s">
        <v>37</v>
      </c>
      <c r="I4493" s="4" t="n">
        <v>15</v>
      </c>
      <c r="J4493" s="4" t="n">
        <f aca="false">LEN(E4493)-LEN(SUBSTITUTE(E4493,",",""))+1</f>
        <v>7</v>
      </c>
      <c r="K4493" s="3" t="str">
        <f aca="false">IFERROR(INDEX('Teacher Lookup'!$B$2:$B$200,MATCH(A4493,'Teacher Lookup'!$A$2:$A$200,0)),"")</f>
        <v>HUI Hyman</v>
      </c>
    </row>
    <row r="4494" customFormat="false" ht="15" hidden="false" customHeight="false" outlineLevel="0" collapsed="false">
      <c r="A4494" s="3" t="s">
        <v>427</v>
      </c>
      <c r="B4494" s="4" t="s">
        <v>50</v>
      </c>
      <c r="C4494" s="4" t="n">
        <v>5</v>
      </c>
      <c r="D4494" s="4" t="s">
        <v>124</v>
      </c>
      <c r="E4494" s="3" t="s">
        <v>221</v>
      </c>
      <c r="F4494" s="4" t="str">
        <f aca="false">IF(I4494&gt;J4494,"Y","N")</f>
        <v>Y</v>
      </c>
      <c r="G4494" s="3" t="s">
        <v>222</v>
      </c>
      <c r="H4494" s="3" t="s">
        <v>37</v>
      </c>
      <c r="I4494" s="4" t="n">
        <v>15</v>
      </c>
      <c r="J4494" s="4" t="n">
        <f aca="false">LEN(E4494)-LEN(SUBSTITUTE(E4494,",",""))+1</f>
        <v>7</v>
      </c>
      <c r="K4494" s="3" t="str">
        <f aca="false">IFERROR(INDEX('Teacher Lookup'!$B$2:$B$200,MATCH(A4494,'Teacher Lookup'!$A$2:$A$200,0)),"")</f>
        <v>HUI Hyman</v>
      </c>
    </row>
    <row r="4495" customFormat="false" ht="15" hidden="false" customHeight="false" outlineLevel="0" collapsed="false">
      <c r="A4495" s="3" t="s">
        <v>427</v>
      </c>
      <c r="B4495" s="4" t="s">
        <v>50</v>
      </c>
      <c r="C4495" s="4" t="n">
        <v>5</v>
      </c>
      <c r="D4495" s="4" t="s">
        <v>139</v>
      </c>
      <c r="E4495" s="3" t="s">
        <v>221</v>
      </c>
      <c r="F4495" s="4" t="str">
        <f aca="false">IF(I4495&gt;J4495,"Y","N")</f>
        <v>Y</v>
      </c>
      <c r="G4495" s="3" t="s">
        <v>222</v>
      </c>
      <c r="H4495" s="3" t="s">
        <v>37</v>
      </c>
      <c r="I4495" s="4" t="n">
        <v>15</v>
      </c>
      <c r="J4495" s="4" t="n">
        <f aca="false">LEN(E4495)-LEN(SUBSTITUTE(E4495,",",""))+1</f>
        <v>7</v>
      </c>
      <c r="K4495" s="3" t="str">
        <f aca="false">IFERROR(INDEX('Teacher Lookup'!$B$2:$B$200,MATCH(A4495,'Teacher Lookup'!$A$2:$A$200,0)),"")</f>
        <v>HUI Hyman</v>
      </c>
    </row>
    <row r="4496" customFormat="false" ht="15" hidden="false" customHeight="false" outlineLevel="0" collapsed="false">
      <c r="A4496" s="3" t="s">
        <v>427</v>
      </c>
      <c r="B4496" s="4" t="s">
        <v>50</v>
      </c>
      <c r="C4496" s="4" t="n">
        <v>5</v>
      </c>
      <c r="D4496" s="4" t="s">
        <v>140</v>
      </c>
      <c r="E4496" s="3" t="s">
        <v>221</v>
      </c>
      <c r="F4496" s="4" t="str">
        <f aca="false">IF(I4496&gt;J4496,"Y","N")</f>
        <v>Y</v>
      </c>
      <c r="G4496" s="3" t="s">
        <v>222</v>
      </c>
      <c r="H4496" s="3" t="s">
        <v>37</v>
      </c>
      <c r="I4496" s="4" t="n">
        <v>15</v>
      </c>
      <c r="J4496" s="4" t="n">
        <f aca="false">LEN(E4496)-LEN(SUBSTITUTE(E4496,",",""))+1</f>
        <v>7</v>
      </c>
      <c r="K4496" s="3" t="str">
        <f aca="false">IFERROR(INDEX('Teacher Lookup'!$B$2:$B$200,MATCH(A4496,'Teacher Lookup'!$A$2:$A$200,0)),"")</f>
        <v>HUI Hyman</v>
      </c>
    </row>
    <row r="4497" customFormat="false" ht="15" hidden="false" customHeight="false" outlineLevel="0" collapsed="false">
      <c r="A4497" s="3" t="s">
        <v>427</v>
      </c>
      <c r="B4497" s="4" t="s">
        <v>50</v>
      </c>
      <c r="C4497" s="4" t="n">
        <v>5</v>
      </c>
      <c r="D4497" s="4" t="s">
        <v>142</v>
      </c>
      <c r="E4497" s="3" t="s">
        <v>221</v>
      </c>
      <c r="F4497" s="4" t="str">
        <f aca="false">IF(I4497&gt;J4497,"Y","N")</f>
        <v>Y</v>
      </c>
      <c r="G4497" s="3" t="s">
        <v>222</v>
      </c>
      <c r="H4497" s="3" t="s">
        <v>37</v>
      </c>
      <c r="I4497" s="4" t="n">
        <v>15</v>
      </c>
      <c r="J4497" s="4" t="n">
        <f aca="false">LEN(E4497)-LEN(SUBSTITUTE(E4497,",",""))+1</f>
        <v>7</v>
      </c>
      <c r="K4497" s="3" t="str">
        <f aca="false">IFERROR(INDEX('Teacher Lookup'!$B$2:$B$200,MATCH(A4497,'Teacher Lookup'!$A$2:$A$200,0)),"")</f>
        <v>HUI Hyman</v>
      </c>
    </row>
    <row r="4498" customFormat="false" ht="15" hidden="false" customHeight="false" outlineLevel="0" collapsed="false">
      <c r="A4498" s="3" t="s">
        <v>427</v>
      </c>
      <c r="B4498" s="4" t="s">
        <v>50</v>
      </c>
      <c r="C4498" s="4" t="n">
        <v>5</v>
      </c>
      <c r="D4498" s="4" t="s">
        <v>127</v>
      </c>
      <c r="E4498" s="3" t="s">
        <v>221</v>
      </c>
      <c r="F4498" s="4" t="str">
        <f aca="false">IF(I4498&gt;J4498,"Y","N")</f>
        <v>Y</v>
      </c>
      <c r="G4498" s="3" t="s">
        <v>222</v>
      </c>
      <c r="H4498" s="3" t="s">
        <v>37</v>
      </c>
      <c r="I4498" s="4" t="n">
        <v>15</v>
      </c>
      <c r="J4498" s="4" t="n">
        <f aca="false">LEN(E4498)-LEN(SUBSTITUTE(E4498,",",""))+1</f>
        <v>7</v>
      </c>
      <c r="K4498" s="3" t="str">
        <f aca="false">IFERROR(INDEX('Teacher Lookup'!$B$2:$B$200,MATCH(A4498,'Teacher Lookup'!$A$2:$A$200,0)),"")</f>
        <v>HUI Hyman</v>
      </c>
    </row>
    <row r="4499" customFormat="false" ht="15" hidden="false" customHeight="false" outlineLevel="0" collapsed="false">
      <c r="A4499" s="3" t="s">
        <v>427</v>
      </c>
      <c r="B4499" s="4" t="s">
        <v>50</v>
      </c>
      <c r="C4499" s="4" t="n">
        <v>6</v>
      </c>
      <c r="D4499" s="4" t="s">
        <v>13</v>
      </c>
      <c r="E4499" s="3" t="s">
        <v>387</v>
      </c>
      <c r="F4499" s="4" t="str">
        <f aca="false">IF(I4499&gt;J4499,"Y","N")</f>
        <v>N</v>
      </c>
      <c r="G4499" s="3" t="s">
        <v>388</v>
      </c>
      <c r="H4499" s="3" t="s">
        <v>42</v>
      </c>
      <c r="I4499" s="4" t="n">
        <v>2</v>
      </c>
      <c r="J4499" s="4" t="n">
        <f aca="false">LEN(E4499)-LEN(SUBSTITUTE(E4499,",",""))+1</f>
        <v>2</v>
      </c>
      <c r="K4499" s="3" t="str">
        <f aca="false">IFERROR(INDEX('Teacher Lookup'!$B$2:$B$200,MATCH(A4499,'Teacher Lookup'!$A$2:$A$200,0)),"")</f>
        <v>HUI Hyman</v>
      </c>
    </row>
    <row r="4500" customFormat="false" ht="15" hidden="false" customHeight="false" outlineLevel="0" collapsed="false">
      <c r="A4500" s="3" t="s">
        <v>427</v>
      </c>
      <c r="B4500" s="4" t="s">
        <v>50</v>
      </c>
      <c r="C4500" s="4" t="n">
        <v>6</v>
      </c>
      <c r="D4500" s="4" t="s">
        <v>17</v>
      </c>
      <c r="E4500" s="3" t="s">
        <v>387</v>
      </c>
      <c r="F4500" s="4" t="str">
        <f aca="false">IF(I4500&gt;J4500,"Y","N")</f>
        <v>N</v>
      </c>
      <c r="G4500" s="3" t="s">
        <v>388</v>
      </c>
      <c r="H4500" s="3" t="s">
        <v>42</v>
      </c>
      <c r="I4500" s="4" t="n">
        <v>2</v>
      </c>
      <c r="J4500" s="4" t="n">
        <f aca="false">LEN(E4500)-LEN(SUBSTITUTE(E4500,",",""))+1</f>
        <v>2</v>
      </c>
      <c r="K4500" s="3" t="str">
        <f aca="false">IFERROR(INDEX('Teacher Lookup'!$B$2:$B$200,MATCH(A4500,'Teacher Lookup'!$A$2:$A$200,0)),"")</f>
        <v>HUI Hyman</v>
      </c>
    </row>
    <row r="4501" customFormat="false" ht="15" hidden="false" customHeight="false" outlineLevel="0" collapsed="false">
      <c r="A4501" s="3" t="s">
        <v>427</v>
      </c>
      <c r="B4501" s="4" t="s">
        <v>50</v>
      </c>
      <c r="C4501" s="4" t="n">
        <v>7</v>
      </c>
      <c r="D4501" s="4" t="s">
        <v>13</v>
      </c>
      <c r="E4501" s="3" t="s">
        <v>387</v>
      </c>
      <c r="F4501" s="4" t="str">
        <f aca="false">IF(I4501&gt;J4501,"Y","N")</f>
        <v>N</v>
      </c>
      <c r="G4501" s="3" t="s">
        <v>388</v>
      </c>
      <c r="H4501" s="3" t="s">
        <v>39</v>
      </c>
      <c r="I4501" s="4" t="n">
        <v>2</v>
      </c>
      <c r="J4501" s="4" t="n">
        <f aca="false">LEN(E4501)-LEN(SUBSTITUTE(E4501,",",""))+1</f>
        <v>2</v>
      </c>
      <c r="K4501" s="3" t="str">
        <f aca="false">IFERROR(INDEX('Teacher Lookup'!$B$2:$B$200,MATCH(A4501,'Teacher Lookup'!$A$2:$A$200,0)),"")</f>
        <v>HUI Hyman</v>
      </c>
    </row>
    <row r="4502" customFormat="false" ht="15" hidden="false" customHeight="false" outlineLevel="0" collapsed="false">
      <c r="A4502" s="3" t="s">
        <v>427</v>
      </c>
      <c r="B4502" s="4" t="s">
        <v>50</v>
      </c>
      <c r="C4502" s="4" t="n">
        <v>7</v>
      </c>
      <c r="D4502" s="4" t="s">
        <v>17</v>
      </c>
      <c r="E4502" s="3" t="s">
        <v>387</v>
      </c>
      <c r="F4502" s="4" t="str">
        <f aca="false">IF(I4502&gt;J4502,"Y","N")</f>
        <v>N</v>
      </c>
      <c r="G4502" s="3" t="s">
        <v>388</v>
      </c>
      <c r="H4502" s="3" t="s">
        <v>39</v>
      </c>
      <c r="I4502" s="4" t="n">
        <v>2</v>
      </c>
      <c r="J4502" s="4" t="n">
        <f aca="false">LEN(E4502)-LEN(SUBSTITUTE(E4502,",",""))+1</f>
        <v>2</v>
      </c>
      <c r="K4502" s="3" t="str">
        <f aca="false">IFERROR(INDEX('Teacher Lookup'!$B$2:$B$200,MATCH(A4502,'Teacher Lookup'!$A$2:$A$200,0)),"")</f>
        <v>HUI Hyman</v>
      </c>
    </row>
    <row r="4503" customFormat="false" ht="15" hidden="false" customHeight="false" outlineLevel="0" collapsed="false">
      <c r="A4503" s="3" t="s">
        <v>427</v>
      </c>
      <c r="B4503" s="4" t="s">
        <v>63</v>
      </c>
      <c r="C4503" s="4" t="n">
        <v>3</v>
      </c>
      <c r="D4503" s="4" t="s">
        <v>105</v>
      </c>
      <c r="E4503" s="3" t="s">
        <v>194</v>
      </c>
      <c r="F4503" s="4" t="str">
        <f aca="false">IF(I4503&gt;J4503,"Y","N")</f>
        <v>Y</v>
      </c>
      <c r="G4503" s="3" t="s">
        <v>195</v>
      </c>
      <c r="H4503" s="3" t="s">
        <v>26</v>
      </c>
      <c r="I4503" s="4" t="n">
        <v>3</v>
      </c>
      <c r="J4503" s="4" t="n">
        <f aca="false">LEN(E4503)-LEN(SUBSTITUTE(E4503,",",""))+1</f>
        <v>2</v>
      </c>
      <c r="K4503" s="3" t="str">
        <f aca="false">IFERROR(INDEX('Teacher Lookup'!$B$2:$B$200,MATCH(A4503,'Teacher Lookup'!$A$2:$A$200,0)),"")</f>
        <v>HUI Hyman</v>
      </c>
    </row>
    <row r="4504" customFormat="false" ht="15" hidden="false" customHeight="false" outlineLevel="0" collapsed="false">
      <c r="A4504" s="3" t="s">
        <v>427</v>
      </c>
      <c r="B4504" s="4" t="s">
        <v>63</v>
      </c>
      <c r="C4504" s="4" t="n">
        <v>4</v>
      </c>
      <c r="D4504" s="4" t="s">
        <v>52</v>
      </c>
      <c r="E4504" s="3" t="s">
        <v>387</v>
      </c>
      <c r="F4504" s="4" t="str">
        <f aca="false">IF(I4504&gt;J4504,"Y","N")</f>
        <v>N</v>
      </c>
      <c r="G4504" s="3" t="s">
        <v>388</v>
      </c>
      <c r="H4504" s="3" t="s">
        <v>34</v>
      </c>
      <c r="I4504" s="4" t="n">
        <v>2</v>
      </c>
      <c r="J4504" s="4" t="n">
        <f aca="false">LEN(E4504)-LEN(SUBSTITUTE(E4504,",",""))+1</f>
        <v>2</v>
      </c>
      <c r="K4504" s="3" t="str">
        <f aca="false">IFERROR(INDEX('Teacher Lookup'!$B$2:$B$200,MATCH(A4504,'Teacher Lookup'!$A$2:$A$200,0)),"")</f>
        <v>HUI Hyman</v>
      </c>
    </row>
    <row r="4505" customFormat="false" ht="15" hidden="false" customHeight="false" outlineLevel="0" collapsed="false">
      <c r="A4505" s="3" t="s">
        <v>427</v>
      </c>
      <c r="B4505" s="4" t="s">
        <v>63</v>
      </c>
      <c r="C4505" s="4" t="n">
        <v>4</v>
      </c>
      <c r="D4505" s="4" t="s">
        <v>55</v>
      </c>
      <c r="E4505" s="3" t="s">
        <v>387</v>
      </c>
      <c r="F4505" s="4" t="str">
        <f aca="false">IF(I4505&gt;J4505,"Y","N")</f>
        <v>N</v>
      </c>
      <c r="G4505" s="3" t="s">
        <v>388</v>
      </c>
      <c r="H4505" s="3" t="s">
        <v>34</v>
      </c>
      <c r="I4505" s="4" t="n">
        <v>2</v>
      </c>
      <c r="J4505" s="4" t="n">
        <f aca="false">LEN(E4505)-LEN(SUBSTITUTE(E4505,",",""))+1</f>
        <v>2</v>
      </c>
      <c r="K4505" s="3" t="str">
        <f aca="false">IFERROR(INDEX('Teacher Lookup'!$B$2:$B$200,MATCH(A4505,'Teacher Lookup'!$A$2:$A$200,0)),"")</f>
        <v>HUI Hyman</v>
      </c>
    </row>
    <row r="4506" customFormat="false" ht="15" hidden="false" customHeight="false" outlineLevel="0" collapsed="false">
      <c r="A4506" s="3" t="s">
        <v>427</v>
      </c>
      <c r="B4506" s="4" t="s">
        <v>63</v>
      </c>
      <c r="C4506" s="4" t="n">
        <v>5</v>
      </c>
      <c r="D4506" s="4" t="s">
        <v>52</v>
      </c>
      <c r="E4506" s="3" t="s">
        <v>387</v>
      </c>
      <c r="F4506" s="4" t="str">
        <f aca="false">IF(I4506&gt;J4506,"Y","N")</f>
        <v>N</v>
      </c>
      <c r="G4506" s="3" t="s">
        <v>388</v>
      </c>
      <c r="H4506" s="3" t="s">
        <v>37</v>
      </c>
      <c r="I4506" s="4" t="n">
        <v>2</v>
      </c>
      <c r="J4506" s="4" t="n">
        <f aca="false">LEN(E4506)-LEN(SUBSTITUTE(E4506,",",""))+1</f>
        <v>2</v>
      </c>
      <c r="K4506" s="3" t="str">
        <f aca="false">IFERROR(INDEX('Teacher Lookup'!$B$2:$B$200,MATCH(A4506,'Teacher Lookup'!$A$2:$A$200,0)),"")</f>
        <v>HUI Hyman</v>
      </c>
    </row>
    <row r="4507" customFormat="false" ht="15" hidden="false" customHeight="false" outlineLevel="0" collapsed="false">
      <c r="A4507" s="3" t="s">
        <v>427</v>
      </c>
      <c r="B4507" s="4" t="s">
        <v>63</v>
      </c>
      <c r="C4507" s="4" t="n">
        <v>5</v>
      </c>
      <c r="D4507" s="4" t="s">
        <v>55</v>
      </c>
      <c r="E4507" s="3" t="s">
        <v>387</v>
      </c>
      <c r="F4507" s="4" t="str">
        <f aca="false">IF(I4507&gt;J4507,"Y","N")</f>
        <v>N</v>
      </c>
      <c r="G4507" s="3" t="s">
        <v>388</v>
      </c>
      <c r="H4507" s="3" t="s">
        <v>37</v>
      </c>
      <c r="I4507" s="4" t="n">
        <v>2</v>
      </c>
      <c r="J4507" s="4" t="n">
        <f aca="false">LEN(E4507)-LEN(SUBSTITUTE(E4507,",",""))+1</f>
        <v>2</v>
      </c>
      <c r="K4507" s="3" t="str">
        <f aca="false">IFERROR(INDEX('Teacher Lookup'!$B$2:$B$200,MATCH(A4507,'Teacher Lookup'!$A$2:$A$200,0)),"")</f>
        <v>HUI Hyman</v>
      </c>
    </row>
    <row r="4508" customFormat="false" ht="15" hidden="false" customHeight="false" outlineLevel="0" collapsed="false">
      <c r="A4508" s="3" t="s">
        <v>427</v>
      </c>
      <c r="B4508" s="4" t="s">
        <v>63</v>
      </c>
      <c r="C4508" s="4" t="n">
        <v>6</v>
      </c>
      <c r="D4508" s="4" t="s">
        <v>19</v>
      </c>
      <c r="E4508" s="3" t="s">
        <v>387</v>
      </c>
      <c r="F4508" s="4" t="str">
        <f aca="false">IF(I4508&gt;J4508,"Y","N")</f>
        <v>N</v>
      </c>
      <c r="G4508" s="3" t="s">
        <v>388</v>
      </c>
      <c r="H4508" s="3" t="s">
        <v>42</v>
      </c>
      <c r="I4508" s="4" t="n">
        <v>2</v>
      </c>
      <c r="J4508" s="4" t="n">
        <f aca="false">LEN(E4508)-LEN(SUBSTITUTE(E4508,",",""))+1</f>
        <v>2</v>
      </c>
      <c r="K4508" s="3" t="str">
        <f aca="false">IFERROR(INDEX('Teacher Lookup'!$B$2:$B$200,MATCH(A4508,'Teacher Lookup'!$A$2:$A$200,0)),"")</f>
        <v>HUI Hyman</v>
      </c>
    </row>
    <row r="4509" customFormat="false" ht="15" hidden="false" customHeight="false" outlineLevel="0" collapsed="false">
      <c r="A4509" s="3" t="s">
        <v>427</v>
      </c>
      <c r="B4509" s="4" t="s">
        <v>63</v>
      </c>
      <c r="C4509" s="4" t="n">
        <v>6</v>
      </c>
      <c r="D4509" s="4" t="s">
        <v>22</v>
      </c>
      <c r="E4509" s="3" t="s">
        <v>387</v>
      </c>
      <c r="F4509" s="4" t="str">
        <f aca="false">IF(I4509&gt;J4509,"Y","N")</f>
        <v>N</v>
      </c>
      <c r="G4509" s="3" t="s">
        <v>388</v>
      </c>
      <c r="H4509" s="3" t="s">
        <v>42</v>
      </c>
      <c r="I4509" s="4" t="n">
        <v>2</v>
      </c>
      <c r="J4509" s="4" t="n">
        <f aca="false">LEN(E4509)-LEN(SUBSTITUTE(E4509,",",""))+1</f>
        <v>2</v>
      </c>
      <c r="K4509" s="3" t="str">
        <f aca="false">IFERROR(INDEX('Teacher Lookup'!$B$2:$B$200,MATCH(A4509,'Teacher Lookup'!$A$2:$A$200,0)),"")</f>
        <v>HUI Hyman</v>
      </c>
    </row>
    <row r="4510" customFormat="false" ht="15" hidden="false" customHeight="false" outlineLevel="0" collapsed="false">
      <c r="A4510" s="3" t="s">
        <v>427</v>
      </c>
      <c r="B4510" s="4" t="s">
        <v>63</v>
      </c>
      <c r="C4510" s="4" t="n">
        <v>7</v>
      </c>
      <c r="D4510" s="4" t="s">
        <v>19</v>
      </c>
      <c r="E4510" s="3" t="s">
        <v>387</v>
      </c>
      <c r="F4510" s="4" t="str">
        <f aca="false">IF(I4510&gt;J4510,"Y","N")</f>
        <v>N</v>
      </c>
      <c r="G4510" s="3" t="s">
        <v>388</v>
      </c>
      <c r="H4510" s="3" t="s">
        <v>39</v>
      </c>
      <c r="I4510" s="4" t="n">
        <v>2</v>
      </c>
      <c r="J4510" s="4" t="n">
        <f aca="false">LEN(E4510)-LEN(SUBSTITUTE(E4510,",",""))+1</f>
        <v>2</v>
      </c>
      <c r="K4510" s="3" t="str">
        <f aca="false">IFERROR(INDEX('Teacher Lookup'!$B$2:$B$200,MATCH(A4510,'Teacher Lookup'!$A$2:$A$200,0)),"")</f>
        <v>HUI Hyman</v>
      </c>
    </row>
    <row r="4511" customFormat="false" ht="15" hidden="false" customHeight="false" outlineLevel="0" collapsed="false">
      <c r="A4511" s="3" t="s">
        <v>427</v>
      </c>
      <c r="B4511" s="4" t="s">
        <v>63</v>
      </c>
      <c r="C4511" s="4" t="n">
        <v>7</v>
      </c>
      <c r="D4511" s="4" t="s">
        <v>22</v>
      </c>
      <c r="E4511" s="3" t="s">
        <v>387</v>
      </c>
      <c r="F4511" s="4" t="str">
        <f aca="false">IF(I4511&gt;J4511,"Y","N")</f>
        <v>N</v>
      </c>
      <c r="G4511" s="3" t="s">
        <v>388</v>
      </c>
      <c r="H4511" s="3" t="s">
        <v>39</v>
      </c>
      <c r="I4511" s="4" t="n">
        <v>2</v>
      </c>
      <c r="J4511" s="4" t="n">
        <f aca="false">LEN(E4511)-LEN(SUBSTITUTE(E4511,",",""))+1</f>
        <v>2</v>
      </c>
      <c r="K4511" s="3" t="str">
        <f aca="false">IFERROR(INDEX('Teacher Lookup'!$B$2:$B$200,MATCH(A4511,'Teacher Lookup'!$A$2:$A$200,0)),"")</f>
        <v>HUI Hyman</v>
      </c>
    </row>
    <row r="4512" customFormat="false" ht="15" hidden="false" customHeight="false" outlineLevel="0" collapsed="false">
      <c r="A4512" s="3" t="s">
        <v>427</v>
      </c>
      <c r="B4512" s="4" t="s">
        <v>65</v>
      </c>
      <c r="C4512" s="4" t="n">
        <v>3</v>
      </c>
      <c r="D4512" s="4" t="s">
        <v>52</v>
      </c>
      <c r="E4512" s="3" t="s">
        <v>121</v>
      </c>
      <c r="F4512" s="4" t="str">
        <f aca="false">IF(I4512&gt;J4512,"Y","N")</f>
        <v>Y</v>
      </c>
      <c r="G4512" s="3" t="s">
        <v>101</v>
      </c>
      <c r="H4512" s="3" t="s">
        <v>26</v>
      </c>
      <c r="I4512" s="4" t="n">
        <v>9</v>
      </c>
      <c r="J4512" s="4" t="n">
        <f aca="false">LEN(E4512)-LEN(SUBSTITUTE(E4512,",",""))+1</f>
        <v>8</v>
      </c>
      <c r="K4512" s="3" t="str">
        <f aca="false">IFERROR(INDEX('Teacher Lookup'!$B$2:$B$200,MATCH(A4512,'Teacher Lookup'!$A$2:$A$200,0)),"")</f>
        <v>HUI Hyman</v>
      </c>
    </row>
    <row r="4513" customFormat="false" ht="15" hidden="false" customHeight="false" outlineLevel="0" collapsed="false">
      <c r="A4513" s="3" t="s">
        <v>427</v>
      </c>
      <c r="B4513" s="4" t="s">
        <v>65</v>
      </c>
      <c r="C4513" s="4" t="n">
        <v>3</v>
      </c>
      <c r="D4513" s="4" t="s">
        <v>55</v>
      </c>
      <c r="E4513" s="3" t="s">
        <v>121</v>
      </c>
      <c r="F4513" s="4" t="str">
        <f aca="false">IF(I4513&gt;J4513,"Y","N")</f>
        <v>Y</v>
      </c>
      <c r="G4513" s="3" t="s">
        <v>101</v>
      </c>
      <c r="H4513" s="3" t="s">
        <v>26</v>
      </c>
      <c r="I4513" s="4" t="n">
        <v>9</v>
      </c>
      <c r="J4513" s="4" t="n">
        <f aca="false">LEN(E4513)-LEN(SUBSTITUTE(E4513,",",""))+1</f>
        <v>8</v>
      </c>
      <c r="K4513" s="3" t="str">
        <f aca="false">IFERROR(INDEX('Teacher Lookup'!$B$2:$B$200,MATCH(A4513,'Teacher Lookup'!$A$2:$A$200,0)),"")</f>
        <v>HUI Hyman</v>
      </c>
    </row>
    <row r="4514" customFormat="false" ht="15" hidden="false" customHeight="false" outlineLevel="0" collapsed="false">
      <c r="A4514" s="3" t="s">
        <v>427</v>
      </c>
      <c r="B4514" s="4" t="s">
        <v>65</v>
      </c>
      <c r="C4514" s="4" t="n">
        <v>3</v>
      </c>
      <c r="D4514" s="4" t="s">
        <v>56</v>
      </c>
      <c r="E4514" s="3" t="s">
        <v>121</v>
      </c>
      <c r="F4514" s="4" t="str">
        <f aca="false">IF(I4514&gt;J4514,"Y","N")</f>
        <v>Y</v>
      </c>
      <c r="G4514" s="3" t="s">
        <v>101</v>
      </c>
      <c r="H4514" s="3" t="s">
        <v>26</v>
      </c>
      <c r="I4514" s="4" t="n">
        <v>9</v>
      </c>
      <c r="J4514" s="4" t="n">
        <f aca="false">LEN(E4514)-LEN(SUBSTITUTE(E4514,",",""))+1</f>
        <v>8</v>
      </c>
      <c r="K4514" s="3" t="str">
        <f aca="false">IFERROR(INDEX('Teacher Lookup'!$B$2:$B$200,MATCH(A4514,'Teacher Lookup'!$A$2:$A$200,0)),"")</f>
        <v>HUI Hyman</v>
      </c>
    </row>
    <row r="4515" customFormat="false" ht="15" hidden="false" customHeight="false" outlineLevel="0" collapsed="false">
      <c r="A4515" s="3" t="s">
        <v>427</v>
      </c>
      <c r="B4515" s="4" t="s">
        <v>65</v>
      </c>
      <c r="C4515" s="4" t="n">
        <v>3</v>
      </c>
      <c r="D4515" s="4" t="s">
        <v>57</v>
      </c>
      <c r="E4515" s="3" t="s">
        <v>121</v>
      </c>
      <c r="F4515" s="4" t="str">
        <f aca="false">IF(I4515&gt;J4515,"Y","N")</f>
        <v>Y</v>
      </c>
      <c r="G4515" s="3" t="s">
        <v>101</v>
      </c>
      <c r="H4515" s="3" t="s">
        <v>26</v>
      </c>
      <c r="I4515" s="4" t="n">
        <v>9</v>
      </c>
      <c r="J4515" s="4" t="n">
        <f aca="false">LEN(E4515)-LEN(SUBSTITUTE(E4515,",",""))+1</f>
        <v>8</v>
      </c>
      <c r="K4515" s="3" t="str">
        <f aca="false">IFERROR(INDEX('Teacher Lookup'!$B$2:$B$200,MATCH(A4515,'Teacher Lookup'!$A$2:$A$200,0)),"")</f>
        <v>HUI Hyman</v>
      </c>
    </row>
    <row r="4516" customFormat="false" ht="15" hidden="false" customHeight="false" outlineLevel="0" collapsed="false">
      <c r="A4516" s="3" t="s">
        <v>427</v>
      </c>
      <c r="B4516" s="4" t="s">
        <v>65</v>
      </c>
      <c r="C4516" s="4" t="n">
        <v>3</v>
      </c>
      <c r="D4516" s="4" t="s">
        <v>58</v>
      </c>
      <c r="E4516" s="3" t="s">
        <v>121</v>
      </c>
      <c r="F4516" s="4" t="str">
        <f aca="false">IF(I4516&gt;J4516,"Y","N")</f>
        <v>Y</v>
      </c>
      <c r="G4516" s="3" t="s">
        <v>101</v>
      </c>
      <c r="H4516" s="3" t="s">
        <v>26</v>
      </c>
      <c r="I4516" s="4" t="n">
        <v>9</v>
      </c>
      <c r="J4516" s="4" t="n">
        <f aca="false">LEN(E4516)-LEN(SUBSTITUTE(E4516,",",""))+1</f>
        <v>8</v>
      </c>
      <c r="K4516" s="3" t="str">
        <f aca="false">IFERROR(INDEX('Teacher Lookup'!$B$2:$B$200,MATCH(A4516,'Teacher Lookup'!$A$2:$A$200,0)),"")</f>
        <v>HUI Hyman</v>
      </c>
    </row>
    <row r="4517" customFormat="false" ht="15" hidden="false" customHeight="false" outlineLevel="0" collapsed="false">
      <c r="A4517" s="3" t="s">
        <v>427</v>
      </c>
      <c r="B4517" s="4" t="s">
        <v>65</v>
      </c>
      <c r="C4517" s="4" t="n">
        <v>3</v>
      </c>
      <c r="D4517" s="4" t="s">
        <v>59</v>
      </c>
      <c r="E4517" s="3" t="s">
        <v>121</v>
      </c>
      <c r="F4517" s="4" t="str">
        <f aca="false">IF(I4517&gt;J4517,"Y","N")</f>
        <v>Y</v>
      </c>
      <c r="G4517" s="3" t="s">
        <v>101</v>
      </c>
      <c r="H4517" s="3" t="s">
        <v>26</v>
      </c>
      <c r="I4517" s="4" t="n">
        <v>9</v>
      </c>
      <c r="J4517" s="4" t="n">
        <f aca="false">LEN(E4517)-LEN(SUBSTITUTE(E4517,",",""))+1</f>
        <v>8</v>
      </c>
      <c r="K4517" s="3" t="str">
        <f aca="false">IFERROR(INDEX('Teacher Lookup'!$B$2:$B$200,MATCH(A4517,'Teacher Lookup'!$A$2:$A$200,0)),"")</f>
        <v>HUI Hyman</v>
      </c>
    </row>
    <row r="4518" customFormat="false" ht="15" hidden="false" customHeight="false" outlineLevel="0" collapsed="false">
      <c r="A4518" s="3" t="s">
        <v>427</v>
      </c>
      <c r="B4518" s="4" t="s">
        <v>65</v>
      </c>
      <c r="C4518" s="4" t="n">
        <v>4</v>
      </c>
      <c r="D4518" s="4" t="s">
        <v>105</v>
      </c>
      <c r="E4518" s="3" t="s">
        <v>194</v>
      </c>
      <c r="F4518" s="4" t="str">
        <f aca="false">IF(I4518&gt;J4518,"Y","N")</f>
        <v>Y</v>
      </c>
      <c r="G4518" s="3" t="s">
        <v>195</v>
      </c>
      <c r="H4518" s="3" t="s">
        <v>34</v>
      </c>
      <c r="I4518" s="4" t="n">
        <v>3</v>
      </c>
      <c r="J4518" s="4" t="n">
        <f aca="false">LEN(E4518)-LEN(SUBSTITUTE(E4518,",",""))+1</f>
        <v>2</v>
      </c>
      <c r="K4518" s="3" t="str">
        <f aca="false">IFERROR(INDEX('Teacher Lookup'!$B$2:$B$200,MATCH(A4518,'Teacher Lookup'!$A$2:$A$200,0)),"")</f>
        <v>HUI Hyman</v>
      </c>
    </row>
    <row r="4519" customFormat="false" ht="15" hidden="false" customHeight="false" outlineLevel="0" collapsed="false">
      <c r="A4519" s="3" t="s">
        <v>427</v>
      </c>
      <c r="B4519" s="4" t="s">
        <v>65</v>
      </c>
      <c r="C4519" s="4" t="n">
        <v>6</v>
      </c>
      <c r="D4519" s="4" t="s">
        <v>137</v>
      </c>
      <c r="E4519" s="3" t="s">
        <v>387</v>
      </c>
      <c r="F4519" s="4" t="str">
        <f aca="false">IF(I4519&gt;J4519,"Y","N")</f>
        <v>N</v>
      </c>
      <c r="G4519" s="3" t="s">
        <v>388</v>
      </c>
      <c r="H4519" s="3" t="s">
        <v>42</v>
      </c>
      <c r="I4519" s="4" t="n">
        <v>2</v>
      </c>
      <c r="J4519" s="4" t="n">
        <f aca="false">LEN(E4519)-LEN(SUBSTITUTE(E4519,",",""))+1</f>
        <v>2</v>
      </c>
      <c r="K4519" s="3" t="str">
        <f aca="false">IFERROR(INDEX('Teacher Lookup'!$B$2:$B$200,MATCH(A4519,'Teacher Lookup'!$A$2:$A$200,0)),"")</f>
        <v>HUI Hyman</v>
      </c>
    </row>
    <row r="4520" customFormat="false" ht="15" hidden="false" customHeight="false" outlineLevel="0" collapsed="false">
      <c r="A4520" s="3" t="s">
        <v>427</v>
      </c>
      <c r="B4520" s="4" t="s">
        <v>65</v>
      </c>
      <c r="C4520" s="4" t="n">
        <v>6</v>
      </c>
      <c r="D4520" s="4" t="s">
        <v>124</v>
      </c>
      <c r="E4520" s="3" t="s">
        <v>387</v>
      </c>
      <c r="F4520" s="4" t="str">
        <f aca="false">IF(I4520&gt;J4520,"Y","N")</f>
        <v>N</v>
      </c>
      <c r="G4520" s="3" t="s">
        <v>388</v>
      </c>
      <c r="H4520" s="3" t="s">
        <v>42</v>
      </c>
      <c r="I4520" s="4" t="n">
        <v>2</v>
      </c>
      <c r="J4520" s="4" t="n">
        <f aca="false">LEN(E4520)-LEN(SUBSTITUTE(E4520,",",""))+1</f>
        <v>2</v>
      </c>
      <c r="K4520" s="3" t="str">
        <f aca="false">IFERROR(INDEX('Teacher Lookup'!$B$2:$B$200,MATCH(A4520,'Teacher Lookup'!$A$2:$A$200,0)),"")</f>
        <v>HUI Hyman</v>
      </c>
    </row>
    <row r="4521" customFormat="false" ht="15" hidden="false" customHeight="false" outlineLevel="0" collapsed="false">
      <c r="A4521" s="3" t="s">
        <v>427</v>
      </c>
      <c r="B4521" s="4" t="s">
        <v>65</v>
      </c>
      <c r="C4521" s="4" t="n">
        <v>7</v>
      </c>
      <c r="D4521" s="4" t="s">
        <v>137</v>
      </c>
      <c r="E4521" s="3" t="s">
        <v>387</v>
      </c>
      <c r="F4521" s="4" t="str">
        <f aca="false">IF(I4521&gt;J4521,"Y","N")</f>
        <v>N</v>
      </c>
      <c r="G4521" s="3" t="s">
        <v>388</v>
      </c>
      <c r="H4521" s="3" t="s">
        <v>39</v>
      </c>
      <c r="I4521" s="4" t="n">
        <v>2</v>
      </c>
      <c r="J4521" s="4" t="n">
        <f aca="false">LEN(E4521)-LEN(SUBSTITUTE(E4521,",",""))+1</f>
        <v>2</v>
      </c>
      <c r="K4521" s="3" t="str">
        <f aca="false">IFERROR(INDEX('Teacher Lookup'!$B$2:$B$200,MATCH(A4521,'Teacher Lookup'!$A$2:$A$200,0)),"")</f>
        <v>HUI Hyman</v>
      </c>
    </row>
    <row r="4522" customFormat="false" ht="15" hidden="false" customHeight="false" outlineLevel="0" collapsed="false">
      <c r="A4522" s="3" t="s">
        <v>427</v>
      </c>
      <c r="B4522" s="4" t="s">
        <v>65</v>
      </c>
      <c r="C4522" s="4" t="n">
        <v>7</v>
      </c>
      <c r="D4522" s="4" t="s">
        <v>124</v>
      </c>
      <c r="E4522" s="3" t="s">
        <v>387</v>
      </c>
      <c r="F4522" s="4" t="str">
        <f aca="false">IF(I4522&gt;J4522,"Y","N")</f>
        <v>N</v>
      </c>
      <c r="G4522" s="3" t="s">
        <v>388</v>
      </c>
      <c r="H4522" s="3" t="s">
        <v>39</v>
      </c>
      <c r="I4522" s="4" t="n">
        <v>2</v>
      </c>
      <c r="J4522" s="4" t="n">
        <f aca="false">LEN(E4522)-LEN(SUBSTITUTE(E4522,",",""))+1</f>
        <v>2</v>
      </c>
      <c r="K4522" s="3" t="str">
        <f aca="false">IFERROR(INDEX('Teacher Lookup'!$B$2:$B$200,MATCH(A4522,'Teacher Lookup'!$A$2:$A$200,0)),"")</f>
        <v>HUI Hyman</v>
      </c>
    </row>
    <row r="4523" customFormat="false" ht="15" hidden="false" customHeight="false" outlineLevel="0" collapsed="false">
      <c r="A4523" s="3" t="s">
        <v>428</v>
      </c>
      <c r="B4523" s="4" t="s">
        <v>12</v>
      </c>
      <c r="C4523" s="4" t="n">
        <v>1</v>
      </c>
      <c r="D4523" s="4" t="s">
        <v>19</v>
      </c>
      <c r="E4523" s="3" t="s">
        <v>322</v>
      </c>
      <c r="F4523" s="4" t="str">
        <f aca="false">IF(I4523&gt;J4523,"Y","N")</f>
        <v>N</v>
      </c>
      <c r="G4523" s="3" t="s">
        <v>72</v>
      </c>
      <c r="H4523" s="3" t="s">
        <v>16</v>
      </c>
      <c r="I4523" s="4" t="n">
        <v>4</v>
      </c>
      <c r="J4523" s="4" t="n">
        <f aca="false">LEN(E4523)-LEN(SUBSTITUTE(E4523,",",""))+1</f>
        <v>4</v>
      </c>
      <c r="K4523" s="3" t="str">
        <f aca="false">IFERROR(INDEX('Teacher Lookup'!$B$2:$B$200,MATCH(A4523,'Teacher Lookup'!$A$2:$A$200,0)),"")</f>
        <v>LAW Him</v>
      </c>
    </row>
    <row r="4524" customFormat="false" ht="15" hidden="false" customHeight="false" outlineLevel="0" collapsed="false">
      <c r="A4524" s="3" t="s">
        <v>428</v>
      </c>
      <c r="B4524" s="4" t="s">
        <v>12</v>
      </c>
      <c r="C4524" s="4" t="n">
        <v>1</v>
      </c>
      <c r="D4524" s="4" t="s">
        <v>22</v>
      </c>
      <c r="E4524" s="3" t="s">
        <v>322</v>
      </c>
      <c r="F4524" s="4" t="str">
        <f aca="false">IF(I4524&gt;J4524,"Y","N")</f>
        <v>N</v>
      </c>
      <c r="G4524" s="3" t="s">
        <v>72</v>
      </c>
      <c r="H4524" s="3" t="s">
        <v>16</v>
      </c>
      <c r="I4524" s="4" t="n">
        <v>4</v>
      </c>
      <c r="J4524" s="4" t="n">
        <f aca="false">LEN(E4524)-LEN(SUBSTITUTE(E4524,",",""))+1</f>
        <v>4</v>
      </c>
      <c r="K4524" s="3" t="str">
        <f aca="false">IFERROR(INDEX('Teacher Lookup'!$B$2:$B$200,MATCH(A4524,'Teacher Lookup'!$A$2:$A$200,0)),"")</f>
        <v>LAW Him</v>
      </c>
    </row>
    <row r="4525" customFormat="false" ht="15" hidden="false" customHeight="false" outlineLevel="0" collapsed="false">
      <c r="A4525" s="3" t="s">
        <v>428</v>
      </c>
      <c r="B4525" s="4" t="s">
        <v>12</v>
      </c>
      <c r="C4525" s="4" t="n">
        <v>1</v>
      </c>
      <c r="D4525" s="4" t="s">
        <v>23</v>
      </c>
      <c r="E4525" s="3" t="s">
        <v>322</v>
      </c>
      <c r="F4525" s="4" t="str">
        <f aca="false">IF(I4525&gt;J4525,"Y","N")</f>
        <v>N</v>
      </c>
      <c r="G4525" s="3" t="s">
        <v>72</v>
      </c>
      <c r="H4525" s="3" t="s">
        <v>16</v>
      </c>
      <c r="I4525" s="4" t="n">
        <v>4</v>
      </c>
      <c r="J4525" s="4" t="n">
        <f aca="false">LEN(E4525)-LEN(SUBSTITUTE(E4525,",",""))+1</f>
        <v>4</v>
      </c>
      <c r="K4525" s="3" t="str">
        <f aca="false">IFERROR(INDEX('Teacher Lookup'!$B$2:$B$200,MATCH(A4525,'Teacher Lookup'!$A$2:$A$200,0)),"")</f>
        <v>LAW Him</v>
      </c>
    </row>
    <row r="4526" customFormat="false" ht="15" hidden="false" customHeight="false" outlineLevel="0" collapsed="false">
      <c r="A4526" s="3" t="s">
        <v>428</v>
      </c>
      <c r="B4526" s="4" t="s">
        <v>12</v>
      </c>
      <c r="C4526" s="4" t="n">
        <v>3</v>
      </c>
      <c r="D4526" s="4" t="s">
        <v>13</v>
      </c>
      <c r="E4526" s="3" t="s">
        <v>323</v>
      </c>
      <c r="F4526" s="4" t="str">
        <f aca="false">IF(I4526&gt;J4526,"Y","N")</f>
        <v>N</v>
      </c>
      <c r="G4526" s="3" t="s">
        <v>72</v>
      </c>
      <c r="H4526" s="3" t="s">
        <v>26</v>
      </c>
      <c r="I4526" s="4" t="n">
        <v>4</v>
      </c>
      <c r="J4526" s="4" t="n">
        <f aca="false">LEN(E4526)-LEN(SUBSTITUTE(E4526,",",""))+1</f>
        <v>4</v>
      </c>
      <c r="K4526" s="3" t="str">
        <f aca="false">IFERROR(INDEX('Teacher Lookup'!$B$2:$B$200,MATCH(A4526,'Teacher Lookup'!$A$2:$A$200,0)),"")</f>
        <v>LAW Him</v>
      </c>
    </row>
    <row r="4527" customFormat="false" ht="15" hidden="false" customHeight="false" outlineLevel="0" collapsed="false">
      <c r="A4527" s="3" t="s">
        <v>428</v>
      </c>
      <c r="B4527" s="4" t="s">
        <v>12</v>
      </c>
      <c r="C4527" s="4" t="n">
        <v>3</v>
      </c>
      <c r="D4527" s="4" t="s">
        <v>17</v>
      </c>
      <c r="E4527" s="3" t="s">
        <v>323</v>
      </c>
      <c r="F4527" s="4" t="str">
        <f aca="false">IF(I4527&gt;J4527,"Y","N")</f>
        <v>N</v>
      </c>
      <c r="G4527" s="3" t="s">
        <v>72</v>
      </c>
      <c r="H4527" s="3" t="s">
        <v>26</v>
      </c>
      <c r="I4527" s="4" t="n">
        <v>4</v>
      </c>
      <c r="J4527" s="4" t="n">
        <f aca="false">LEN(E4527)-LEN(SUBSTITUTE(E4527,",",""))+1</f>
        <v>4</v>
      </c>
      <c r="K4527" s="3" t="str">
        <f aca="false">IFERROR(INDEX('Teacher Lookup'!$B$2:$B$200,MATCH(A4527,'Teacher Lookup'!$A$2:$A$200,0)),"")</f>
        <v>LAW Him</v>
      </c>
    </row>
    <row r="4528" customFormat="false" ht="15" hidden="false" customHeight="false" outlineLevel="0" collapsed="false">
      <c r="A4528" s="3" t="s">
        <v>428</v>
      </c>
      <c r="B4528" s="4" t="s">
        <v>12</v>
      </c>
      <c r="C4528" s="4" t="n">
        <v>3</v>
      </c>
      <c r="D4528" s="4" t="s">
        <v>18</v>
      </c>
      <c r="E4528" s="3" t="s">
        <v>323</v>
      </c>
      <c r="F4528" s="4" t="str">
        <f aca="false">IF(I4528&gt;J4528,"Y","N")</f>
        <v>N</v>
      </c>
      <c r="G4528" s="3" t="s">
        <v>72</v>
      </c>
      <c r="H4528" s="3" t="s">
        <v>26</v>
      </c>
      <c r="I4528" s="4" t="n">
        <v>4</v>
      </c>
      <c r="J4528" s="4" t="n">
        <f aca="false">LEN(E4528)-LEN(SUBSTITUTE(E4528,",",""))+1</f>
        <v>4</v>
      </c>
      <c r="K4528" s="3" t="str">
        <f aca="false">IFERROR(INDEX('Teacher Lookup'!$B$2:$B$200,MATCH(A4528,'Teacher Lookup'!$A$2:$A$200,0)),"")</f>
        <v>LAW Him</v>
      </c>
    </row>
    <row r="4529" customFormat="false" ht="15" hidden="false" customHeight="false" outlineLevel="0" collapsed="false">
      <c r="A4529" s="3" t="s">
        <v>428</v>
      </c>
      <c r="B4529" s="4" t="s">
        <v>12</v>
      </c>
      <c r="C4529" s="4" t="n">
        <v>5</v>
      </c>
      <c r="D4529" s="4" t="s">
        <v>28</v>
      </c>
      <c r="E4529" s="3" t="s">
        <v>143</v>
      </c>
      <c r="F4529" s="4" t="str">
        <f aca="false">IF(I4529&gt;J4529,"Y","N")</f>
        <v>N</v>
      </c>
      <c r="G4529" s="3" t="s">
        <v>72</v>
      </c>
      <c r="H4529" s="3" t="s">
        <v>37</v>
      </c>
      <c r="I4529" s="4" t="n">
        <v>4</v>
      </c>
      <c r="J4529" s="4" t="n">
        <f aca="false">LEN(E4529)-LEN(SUBSTITUTE(E4529,",",""))+1</f>
        <v>4</v>
      </c>
      <c r="K4529" s="3" t="str">
        <f aca="false">IFERROR(INDEX('Teacher Lookup'!$B$2:$B$200,MATCH(A4529,'Teacher Lookup'!$A$2:$A$200,0)),"")</f>
        <v>LAW Him</v>
      </c>
    </row>
    <row r="4530" customFormat="false" ht="15" hidden="false" customHeight="false" outlineLevel="0" collapsed="false">
      <c r="A4530" s="3" t="s">
        <v>428</v>
      </c>
      <c r="B4530" s="4" t="s">
        <v>12</v>
      </c>
      <c r="C4530" s="4" t="n">
        <v>5</v>
      </c>
      <c r="D4530" s="4" t="s">
        <v>29</v>
      </c>
      <c r="E4530" s="3" t="s">
        <v>143</v>
      </c>
      <c r="F4530" s="4" t="str">
        <f aca="false">IF(I4530&gt;J4530,"Y","N")</f>
        <v>N</v>
      </c>
      <c r="G4530" s="3" t="s">
        <v>72</v>
      </c>
      <c r="H4530" s="3" t="s">
        <v>37</v>
      </c>
      <c r="I4530" s="4" t="n">
        <v>4</v>
      </c>
      <c r="J4530" s="4" t="n">
        <f aca="false">LEN(E4530)-LEN(SUBSTITUTE(E4530,",",""))+1</f>
        <v>4</v>
      </c>
      <c r="K4530" s="3" t="str">
        <f aca="false">IFERROR(INDEX('Teacher Lookup'!$B$2:$B$200,MATCH(A4530,'Teacher Lookup'!$A$2:$A$200,0)),"")</f>
        <v>LAW Him</v>
      </c>
    </row>
    <row r="4531" customFormat="false" ht="15" hidden="false" customHeight="false" outlineLevel="0" collapsed="false">
      <c r="A4531" s="3" t="s">
        <v>428</v>
      </c>
      <c r="B4531" s="4" t="s">
        <v>12</v>
      </c>
      <c r="C4531" s="4" t="n">
        <v>5</v>
      </c>
      <c r="D4531" s="4" t="s">
        <v>30</v>
      </c>
      <c r="E4531" s="3" t="s">
        <v>143</v>
      </c>
      <c r="F4531" s="4" t="str">
        <f aca="false">IF(I4531&gt;J4531,"Y","N")</f>
        <v>N</v>
      </c>
      <c r="G4531" s="3" t="s">
        <v>72</v>
      </c>
      <c r="H4531" s="3" t="s">
        <v>37</v>
      </c>
      <c r="I4531" s="4" t="n">
        <v>4</v>
      </c>
      <c r="J4531" s="4" t="n">
        <f aca="false">LEN(E4531)-LEN(SUBSTITUTE(E4531,",",""))+1</f>
        <v>4</v>
      </c>
      <c r="K4531" s="3" t="str">
        <f aca="false">IFERROR(INDEX('Teacher Lookup'!$B$2:$B$200,MATCH(A4531,'Teacher Lookup'!$A$2:$A$200,0)),"")</f>
        <v>LAW Him</v>
      </c>
    </row>
    <row r="4532" customFormat="false" ht="15" hidden="false" customHeight="false" outlineLevel="0" collapsed="false">
      <c r="A4532" s="3" t="s">
        <v>428</v>
      </c>
      <c r="B4532" s="4" t="s">
        <v>31</v>
      </c>
      <c r="C4532" s="4" t="n">
        <v>3</v>
      </c>
      <c r="D4532" s="4" t="s">
        <v>19</v>
      </c>
      <c r="E4532" s="3" t="s">
        <v>326</v>
      </c>
      <c r="F4532" s="4" t="str">
        <f aca="false">IF(I4532&gt;J4532,"Y","N")</f>
        <v>N</v>
      </c>
      <c r="G4532" s="3" t="s">
        <v>72</v>
      </c>
      <c r="H4532" s="3" t="s">
        <v>26</v>
      </c>
      <c r="I4532" s="4" t="n">
        <v>4</v>
      </c>
      <c r="J4532" s="4" t="n">
        <f aca="false">LEN(E4532)-LEN(SUBSTITUTE(E4532,",",""))+1</f>
        <v>4</v>
      </c>
      <c r="K4532" s="3" t="str">
        <f aca="false">IFERROR(INDEX('Teacher Lookup'!$B$2:$B$200,MATCH(A4532,'Teacher Lookup'!$A$2:$A$200,0)),"")</f>
        <v>LAW Him</v>
      </c>
    </row>
    <row r="4533" customFormat="false" ht="15" hidden="false" customHeight="false" outlineLevel="0" collapsed="false">
      <c r="A4533" s="3" t="s">
        <v>428</v>
      </c>
      <c r="B4533" s="4" t="s">
        <v>31</v>
      </c>
      <c r="C4533" s="4" t="n">
        <v>3</v>
      </c>
      <c r="D4533" s="4" t="s">
        <v>22</v>
      </c>
      <c r="E4533" s="3" t="s">
        <v>326</v>
      </c>
      <c r="F4533" s="4" t="str">
        <f aca="false">IF(I4533&gt;J4533,"Y","N")</f>
        <v>N</v>
      </c>
      <c r="G4533" s="3" t="s">
        <v>72</v>
      </c>
      <c r="H4533" s="3" t="s">
        <v>26</v>
      </c>
      <c r="I4533" s="4" t="n">
        <v>4</v>
      </c>
      <c r="J4533" s="4" t="n">
        <f aca="false">LEN(E4533)-LEN(SUBSTITUTE(E4533,",",""))+1</f>
        <v>4</v>
      </c>
      <c r="K4533" s="3" t="str">
        <f aca="false">IFERROR(INDEX('Teacher Lookup'!$B$2:$B$200,MATCH(A4533,'Teacher Lookup'!$A$2:$A$200,0)),"")</f>
        <v>LAW Him</v>
      </c>
    </row>
    <row r="4534" customFormat="false" ht="15" hidden="false" customHeight="false" outlineLevel="0" collapsed="false">
      <c r="A4534" s="3" t="s">
        <v>428</v>
      </c>
      <c r="B4534" s="4" t="s">
        <v>31</v>
      </c>
      <c r="C4534" s="4" t="n">
        <v>3</v>
      </c>
      <c r="D4534" s="4" t="s">
        <v>23</v>
      </c>
      <c r="E4534" s="3" t="s">
        <v>326</v>
      </c>
      <c r="F4534" s="4" t="str">
        <f aca="false">IF(I4534&gt;J4534,"Y","N")</f>
        <v>N</v>
      </c>
      <c r="G4534" s="3" t="s">
        <v>72</v>
      </c>
      <c r="H4534" s="3" t="s">
        <v>26</v>
      </c>
      <c r="I4534" s="4" t="n">
        <v>4</v>
      </c>
      <c r="J4534" s="4" t="n">
        <f aca="false">LEN(E4534)-LEN(SUBSTITUTE(E4534,",",""))+1</f>
        <v>4</v>
      </c>
      <c r="K4534" s="3" t="str">
        <f aca="false">IFERROR(INDEX('Teacher Lookup'!$B$2:$B$200,MATCH(A4534,'Teacher Lookup'!$A$2:$A$200,0)),"")</f>
        <v>LAW Him</v>
      </c>
    </row>
    <row r="4535" customFormat="false" ht="15" hidden="false" customHeight="false" outlineLevel="0" collapsed="false">
      <c r="A4535" s="3" t="s">
        <v>428</v>
      </c>
      <c r="B4535" s="4" t="s">
        <v>31</v>
      </c>
      <c r="C4535" s="4" t="n">
        <v>4</v>
      </c>
      <c r="D4535" s="4" t="s">
        <v>28</v>
      </c>
      <c r="E4535" s="3" t="s">
        <v>145</v>
      </c>
      <c r="F4535" s="4" t="str">
        <f aca="false">IF(I4535&gt;J4535,"Y","N")</f>
        <v>N</v>
      </c>
      <c r="G4535" s="3" t="s">
        <v>72</v>
      </c>
      <c r="H4535" s="3" t="s">
        <v>34</v>
      </c>
      <c r="I4535" s="4" t="n">
        <v>4</v>
      </c>
      <c r="J4535" s="4" t="n">
        <f aca="false">LEN(E4535)-LEN(SUBSTITUTE(E4535,",",""))+1</f>
        <v>4</v>
      </c>
      <c r="K4535" s="3" t="str">
        <f aca="false">IFERROR(INDEX('Teacher Lookup'!$B$2:$B$200,MATCH(A4535,'Teacher Lookup'!$A$2:$A$200,0)),"")</f>
        <v>LAW Him</v>
      </c>
    </row>
    <row r="4536" customFormat="false" ht="15" hidden="false" customHeight="false" outlineLevel="0" collapsed="false">
      <c r="A4536" s="3" t="s">
        <v>428</v>
      </c>
      <c r="B4536" s="4" t="s">
        <v>31</v>
      </c>
      <c r="C4536" s="4" t="n">
        <v>4</v>
      </c>
      <c r="D4536" s="4" t="s">
        <v>29</v>
      </c>
      <c r="E4536" s="3" t="s">
        <v>145</v>
      </c>
      <c r="F4536" s="4" t="str">
        <f aca="false">IF(I4536&gt;J4536,"Y","N")</f>
        <v>N</v>
      </c>
      <c r="G4536" s="3" t="s">
        <v>72</v>
      </c>
      <c r="H4536" s="3" t="s">
        <v>34</v>
      </c>
      <c r="I4536" s="4" t="n">
        <v>4</v>
      </c>
      <c r="J4536" s="4" t="n">
        <f aca="false">LEN(E4536)-LEN(SUBSTITUTE(E4536,",",""))+1</f>
        <v>4</v>
      </c>
      <c r="K4536" s="3" t="str">
        <f aca="false">IFERROR(INDEX('Teacher Lookup'!$B$2:$B$200,MATCH(A4536,'Teacher Lookup'!$A$2:$A$200,0)),"")</f>
        <v>LAW Him</v>
      </c>
    </row>
    <row r="4537" customFormat="false" ht="15" hidden="false" customHeight="false" outlineLevel="0" collapsed="false">
      <c r="A4537" s="3" t="s">
        <v>428</v>
      </c>
      <c r="B4537" s="4" t="s">
        <v>31</v>
      </c>
      <c r="C4537" s="4" t="n">
        <v>4</v>
      </c>
      <c r="D4537" s="4" t="s">
        <v>30</v>
      </c>
      <c r="E4537" s="3" t="s">
        <v>145</v>
      </c>
      <c r="F4537" s="4" t="str">
        <f aca="false">IF(I4537&gt;J4537,"Y","N")</f>
        <v>N</v>
      </c>
      <c r="G4537" s="3" t="s">
        <v>72</v>
      </c>
      <c r="H4537" s="3" t="s">
        <v>34</v>
      </c>
      <c r="I4537" s="4" t="n">
        <v>4</v>
      </c>
      <c r="J4537" s="4" t="n">
        <f aca="false">LEN(E4537)-LEN(SUBSTITUTE(E4537,",",""))+1</f>
        <v>4</v>
      </c>
      <c r="K4537" s="3" t="str">
        <f aca="false">IFERROR(INDEX('Teacher Lookup'!$B$2:$B$200,MATCH(A4537,'Teacher Lookup'!$A$2:$A$200,0)),"")</f>
        <v>LAW Him</v>
      </c>
    </row>
    <row r="4538" customFormat="false" ht="15" hidden="false" customHeight="false" outlineLevel="0" collapsed="false">
      <c r="A4538" s="3" t="s">
        <v>428</v>
      </c>
      <c r="B4538" s="4" t="s">
        <v>31</v>
      </c>
      <c r="C4538" s="4" t="n">
        <v>5</v>
      </c>
      <c r="D4538" s="4" t="s">
        <v>19</v>
      </c>
      <c r="E4538" s="3" t="s">
        <v>35</v>
      </c>
      <c r="F4538" s="4" t="str">
        <f aca="false">IF(I4538&gt;J4538,"Y","N")</f>
        <v>Y</v>
      </c>
      <c r="G4538" s="3" t="s">
        <v>36</v>
      </c>
      <c r="H4538" s="3" t="s">
        <v>37</v>
      </c>
      <c r="I4538" s="4" t="n">
        <v>17</v>
      </c>
      <c r="J4538" s="4" t="n">
        <f aca="false">LEN(E4538)-LEN(SUBSTITUTE(E4538,",",""))+1</f>
        <v>7</v>
      </c>
      <c r="K4538" s="3" t="str">
        <f aca="false">IFERROR(INDEX('Teacher Lookup'!$B$2:$B$200,MATCH(A4538,'Teacher Lookup'!$A$2:$A$200,0)),"")</f>
        <v>LAW Him</v>
      </c>
    </row>
    <row r="4539" customFormat="false" ht="15" hidden="false" customHeight="false" outlineLevel="0" collapsed="false">
      <c r="A4539" s="3" t="s">
        <v>428</v>
      </c>
      <c r="B4539" s="4" t="s">
        <v>31</v>
      </c>
      <c r="C4539" s="4" t="n">
        <v>5</v>
      </c>
      <c r="D4539" s="4" t="s">
        <v>22</v>
      </c>
      <c r="E4539" s="3" t="s">
        <v>35</v>
      </c>
      <c r="F4539" s="4" t="str">
        <f aca="false">IF(I4539&gt;J4539,"Y","N")</f>
        <v>Y</v>
      </c>
      <c r="G4539" s="3" t="s">
        <v>36</v>
      </c>
      <c r="H4539" s="3" t="s">
        <v>37</v>
      </c>
      <c r="I4539" s="4" t="n">
        <v>17</v>
      </c>
      <c r="J4539" s="4" t="n">
        <f aca="false">LEN(E4539)-LEN(SUBSTITUTE(E4539,",",""))+1</f>
        <v>7</v>
      </c>
      <c r="K4539" s="3" t="str">
        <f aca="false">IFERROR(INDEX('Teacher Lookup'!$B$2:$B$200,MATCH(A4539,'Teacher Lookup'!$A$2:$A$200,0)),"")</f>
        <v>LAW Him</v>
      </c>
    </row>
    <row r="4540" customFormat="false" ht="15" hidden="false" customHeight="false" outlineLevel="0" collapsed="false">
      <c r="A4540" s="3" t="s">
        <v>428</v>
      </c>
      <c r="B4540" s="4" t="s">
        <v>31</v>
      </c>
      <c r="C4540" s="4" t="n">
        <v>5</v>
      </c>
      <c r="D4540" s="4" t="s">
        <v>23</v>
      </c>
      <c r="E4540" s="3" t="s">
        <v>35</v>
      </c>
      <c r="F4540" s="4" t="str">
        <f aca="false">IF(I4540&gt;J4540,"Y","N")</f>
        <v>Y</v>
      </c>
      <c r="G4540" s="3" t="s">
        <v>36</v>
      </c>
      <c r="H4540" s="3" t="s">
        <v>37</v>
      </c>
      <c r="I4540" s="4" t="n">
        <v>17</v>
      </c>
      <c r="J4540" s="4" t="n">
        <f aca="false">LEN(E4540)-LEN(SUBSTITUTE(E4540,",",""))+1</f>
        <v>7</v>
      </c>
      <c r="K4540" s="3" t="str">
        <f aca="false">IFERROR(INDEX('Teacher Lookup'!$B$2:$B$200,MATCH(A4540,'Teacher Lookup'!$A$2:$A$200,0)),"")</f>
        <v>LAW Him</v>
      </c>
    </row>
    <row r="4541" customFormat="false" ht="15" hidden="false" customHeight="false" outlineLevel="0" collapsed="false">
      <c r="A4541" s="3" t="s">
        <v>428</v>
      </c>
      <c r="B4541" s="4" t="s">
        <v>31</v>
      </c>
      <c r="C4541" s="4" t="n">
        <v>5</v>
      </c>
      <c r="D4541" s="4" t="s">
        <v>13</v>
      </c>
      <c r="E4541" s="3" t="s">
        <v>35</v>
      </c>
      <c r="F4541" s="4" t="str">
        <f aca="false">IF(I4541&gt;J4541,"Y","N")</f>
        <v>Y</v>
      </c>
      <c r="G4541" s="3" t="s">
        <v>36</v>
      </c>
      <c r="H4541" s="3" t="s">
        <v>37</v>
      </c>
      <c r="I4541" s="4" t="n">
        <v>17</v>
      </c>
      <c r="J4541" s="4" t="n">
        <f aca="false">LEN(E4541)-LEN(SUBSTITUTE(E4541,",",""))+1</f>
        <v>7</v>
      </c>
      <c r="K4541" s="3" t="str">
        <f aca="false">IFERROR(INDEX('Teacher Lookup'!$B$2:$B$200,MATCH(A4541,'Teacher Lookup'!$A$2:$A$200,0)),"")</f>
        <v>LAW Him</v>
      </c>
    </row>
    <row r="4542" customFormat="false" ht="15" hidden="false" customHeight="false" outlineLevel="0" collapsed="false">
      <c r="A4542" s="3" t="s">
        <v>428</v>
      </c>
      <c r="B4542" s="4" t="s">
        <v>31</v>
      </c>
      <c r="C4542" s="4" t="n">
        <v>5</v>
      </c>
      <c r="D4542" s="4" t="s">
        <v>17</v>
      </c>
      <c r="E4542" s="3" t="s">
        <v>35</v>
      </c>
      <c r="F4542" s="4" t="str">
        <f aca="false">IF(I4542&gt;J4542,"Y","N")</f>
        <v>Y</v>
      </c>
      <c r="G4542" s="3" t="s">
        <v>36</v>
      </c>
      <c r="H4542" s="3" t="s">
        <v>37</v>
      </c>
      <c r="I4542" s="4" t="n">
        <v>17</v>
      </c>
      <c r="J4542" s="4" t="n">
        <f aca="false">LEN(E4542)-LEN(SUBSTITUTE(E4542,",",""))+1</f>
        <v>7</v>
      </c>
      <c r="K4542" s="3" t="str">
        <f aca="false">IFERROR(INDEX('Teacher Lookup'!$B$2:$B$200,MATCH(A4542,'Teacher Lookup'!$A$2:$A$200,0)),"")</f>
        <v>LAW Him</v>
      </c>
    </row>
    <row r="4543" customFormat="false" ht="15" hidden="false" customHeight="false" outlineLevel="0" collapsed="false">
      <c r="A4543" s="3" t="s">
        <v>428</v>
      </c>
      <c r="B4543" s="4" t="s">
        <v>31</v>
      </c>
      <c r="C4543" s="4" t="n">
        <v>5</v>
      </c>
      <c r="D4543" s="4" t="s">
        <v>18</v>
      </c>
      <c r="E4543" s="3" t="s">
        <v>35</v>
      </c>
      <c r="F4543" s="4" t="str">
        <f aca="false">IF(I4543&gt;J4543,"Y","N")</f>
        <v>Y</v>
      </c>
      <c r="G4543" s="3" t="s">
        <v>36</v>
      </c>
      <c r="H4543" s="3" t="s">
        <v>37</v>
      </c>
      <c r="I4543" s="4" t="n">
        <v>17</v>
      </c>
      <c r="J4543" s="4" t="n">
        <f aca="false">LEN(E4543)-LEN(SUBSTITUTE(E4543,",",""))+1</f>
        <v>7</v>
      </c>
      <c r="K4543" s="3" t="str">
        <f aca="false">IFERROR(INDEX('Teacher Lookup'!$B$2:$B$200,MATCH(A4543,'Teacher Lookup'!$A$2:$A$200,0)),"")</f>
        <v>LAW Him</v>
      </c>
    </row>
    <row r="4544" customFormat="false" ht="15" hidden="false" customHeight="false" outlineLevel="0" collapsed="false">
      <c r="A4544" s="3" t="s">
        <v>428</v>
      </c>
      <c r="B4544" s="4" t="s">
        <v>31</v>
      </c>
      <c r="C4544" s="4" t="n">
        <v>6</v>
      </c>
      <c r="D4544" s="4" t="s">
        <v>13</v>
      </c>
      <c r="E4544" s="3" t="s">
        <v>323</v>
      </c>
      <c r="F4544" s="4" t="str">
        <f aca="false">IF(I4544&gt;J4544,"Y","N")</f>
        <v>N</v>
      </c>
      <c r="G4544" s="3" t="s">
        <v>72</v>
      </c>
      <c r="H4544" s="3" t="s">
        <v>42</v>
      </c>
      <c r="I4544" s="4" t="n">
        <v>4</v>
      </c>
      <c r="J4544" s="4" t="n">
        <f aca="false">LEN(E4544)-LEN(SUBSTITUTE(E4544,",",""))+1</f>
        <v>4</v>
      </c>
      <c r="K4544" s="3" t="str">
        <f aca="false">IFERROR(INDEX('Teacher Lookup'!$B$2:$B$200,MATCH(A4544,'Teacher Lookup'!$A$2:$A$200,0)),"")</f>
        <v>LAW Him</v>
      </c>
    </row>
    <row r="4545" customFormat="false" ht="15" hidden="false" customHeight="false" outlineLevel="0" collapsed="false">
      <c r="A4545" s="3" t="s">
        <v>428</v>
      </c>
      <c r="B4545" s="4" t="s">
        <v>31</v>
      </c>
      <c r="C4545" s="4" t="n">
        <v>6</v>
      </c>
      <c r="D4545" s="4" t="s">
        <v>17</v>
      </c>
      <c r="E4545" s="3" t="s">
        <v>323</v>
      </c>
      <c r="F4545" s="4" t="str">
        <f aca="false">IF(I4545&gt;J4545,"Y","N")</f>
        <v>N</v>
      </c>
      <c r="G4545" s="3" t="s">
        <v>72</v>
      </c>
      <c r="H4545" s="3" t="s">
        <v>42</v>
      </c>
      <c r="I4545" s="4" t="n">
        <v>4</v>
      </c>
      <c r="J4545" s="4" t="n">
        <f aca="false">LEN(E4545)-LEN(SUBSTITUTE(E4545,",",""))+1</f>
        <v>4</v>
      </c>
      <c r="K4545" s="3" t="str">
        <f aca="false">IFERROR(INDEX('Teacher Lookup'!$B$2:$B$200,MATCH(A4545,'Teacher Lookup'!$A$2:$A$200,0)),"")</f>
        <v>LAW Him</v>
      </c>
    </row>
    <row r="4546" customFormat="false" ht="15" hidden="false" customHeight="false" outlineLevel="0" collapsed="false">
      <c r="A4546" s="3" t="s">
        <v>428</v>
      </c>
      <c r="B4546" s="4" t="s">
        <v>31</v>
      </c>
      <c r="C4546" s="4" t="n">
        <v>6</v>
      </c>
      <c r="D4546" s="4" t="s">
        <v>18</v>
      </c>
      <c r="E4546" s="3" t="s">
        <v>323</v>
      </c>
      <c r="F4546" s="4" t="str">
        <f aca="false">IF(I4546&gt;J4546,"Y","N")</f>
        <v>N</v>
      </c>
      <c r="G4546" s="3" t="s">
        <v>72</v>
      </c>
      <c r="H4546" s="3" t="s">
        <v>42</v>
      </c>
      <c r="I4546" s="4" t="n">
        <v>4</v>
      </c>
      <c r="J4546" s="4" t="n">
        <f aca="false">LEN(E4546)-LEN(SUBSTITUTE(E4546,",",""))+1</f>
        <v>4</v>
      </c>
      <c r="K4546" s="3" t="str">
        <f aca="false">IFERROR(INDEX('Teacher Lookup'!$B$2:$B$200,MATCH(A4546,'Teacher Lookup'!$A$2:$A$200,0)),"")</f>
        <v>LAW Him</v>
      </c>
    </row>
    <row r="4547" customFormat="false" ht="15" hidden="false" customHeight="false" outlineLevel="0" collapsed="false">
      <c r="A4547" s="3" t="s">
        <v>428</v>
      </c>
      <c r="B4547" s="4" t="s">
        <v>40</v>
      </c>
      <c r="C4547" s="4" t="n">
        <v>1</v>
      </c>
      <c r="D4547" s="4" t="s">
        <v>19</v>
      </c>
      <c r="E4547" s="3" t="s">
        <v>33</v>
      </c>
      <c r="F4547" s="4" t="str">
        <f aca="false">IF(I4547&gt;J4547,"Y","N")</f>
        <v>N</v>
      </c>
      <c r="G4547" s="3" t="s">
        <v>72</v>
      </c>
      <c r="H4547" s="3" t="s">
        <v>16</v>
      </c>
      <c r="I4547" s="4" t="n">
        <v>4</v>
      </c>
      <c r="J4547" s="4" t="n">
        <f aca="false">LEN(E4547)-LEN(SUBSTITUTE(E4547,",",""))+1</f>
        <v>4</v>
      </c>
      <c r="K4547" s="3" t="str">
        <f aca="false">IFERROR(INDEX('Teacher Lookup'!$B$2:$B$200,MATCH(A4547,'Teacher Lookup'!$A$2:$A$200,0)),"")</f>
        <v>LAW Him</v>
      </c>
    </row>
    <row r="4548" customFormat="false" ht="15" hidden="false" customHeight="false" outlineLevel="0" collapsed="false">
      <c r="A4548" s="3" t="s">
        <v>428</v>
      </c>
      <c r="B4548" s="4" t="s">
        <v>40</v>
      </c>
      <c r="C4548" s="4" t="n">
        <v>1</v>
      </c>
      <c r="D4548" s="4" t="s">
        <v>22</v>
      </c>
      <c r="E4548" s="3" t="s">
        <v>33</v>
      </c>
      <c r="F4548" s="4" t="str">
        <f aca="false">IF(I4548&gt;J4548,"Y","N")</f>
        <v>N</v>
      </c>
      <c r="G4548" s="3" t="s">
        <v>72</v>
      </c>
      <c r="H4548" s="3" t="s">
        <v>16</v>
      </c>
      <c r="I4548" s="4" t="n">
        <v>4</v>
      </c>
      <c r="J4548" s="4" t="n">
        <f aca="false">LEN(E4548)-LEN(SUBSTITUTE(E4548,",",""))+1</f>
        <v>4</v>
      </c>
      <c r="K4548" s="3" t="str">
        <f aca="false">IFERROR(INDEX('Teacher Lookup'!$B$2:$B$200,MATCH(A4548,'Teacher Lookup'!$A$2:$A$200,0)),"")</f>
        <v>LAW Him</v>
      </c>
    </row>
    <row r="4549" customFormat="false" ht="15" hidden="false" customHeight="false" outlineLevel="0" collapsed="false">
      <c r="A4549" s="3" t="s">
        <v>428</v>
      </c>
      <c r="B4549" s="4" t="s">
        <v>40</v>
      </c>
      <c r="C4549" s="4" t="n">
        <v>1</v>
      </c>
      <c r="D4549" s="4" t="s">
        <v>23</v>
      </c>
      <c r="E4549" s="3" t="s">
        <v>33</v>
      </c>
      <c r="F4549" s="4" t="str">
        <f aca="false">IF(I4549&gt;J4549,"Y","N")</f>
        <v>N</v>
      </c>
      <c r="G4549" s="3" t="s">
        <v>72</v>
      </c>
      <c r="H4549" s="3" t="s">
        <v>16</v>
      </c>
      <c r="I4549" s="4" t="n">
        <v>4</v>
      </c>
      <c r="J4549" s="4" t="n">
        <f aca="false">LEN(E4549)-LEN(SUBSTITUTE(E4549,",",""))+1</f>
        <v>4</v>
      </c>
      <c r="K4549" s="3" t="str">
        <f aca="false">IFERROR(INDEX('Teacher Lookup'!$B$2:$B$200,MATCH(A4549,'Teacher Lookup'!$A$2:$A$200,0)),"")</f>
        <v>LAW Him</v>
      </c>
    </row>
    <row r="4550" customFormat="false" ht="15" hidden="false" customHeight="false" outlineLevel="0" collapsed="false">
      <c r="A4550" s="3" t="s">
        <v>428</v>
      </c>
      <c r="B4550" s="4" t="s">
        <v>40</v>
      </c>
      <c r="C4550" s="4" t="n">
        <v>2</v>
      </c>
      <c r="D4550" s="4" t="s">
        <v>13</v>
      </c>
      <c r="E4550" s="3" t="s">
        <v>46</v>
      </c>
      <c r="F4550" s="4" t="str">
        <f aca="false">IF(I4550&gt;J4550,"Y","N")</f>
        <v>N</v>
      </c>
      <c r="G4550" s="3" t="s">
        <v>72</v>
      </c>
      <c r="H4550" s="3" t="s">
        <v>21</v>
      </c>
      <c r="I4550" s="4" t="n">
        <v>4</v>
      </c>
      <c r="J4550" s="4" t="n">
        <f aca="false">LEN(E4550)-LEN(SUBSTITUTE(E4550,",",""))+1</f>
        <v>4</v>
      </c>
      <c r="K4550" s="3" t="str">
        <f aca="false">IFERROR(INDEX('Teacher Lookup'!$B$2:$B$200,MATCH(A4550,'Teacher Lookup'!$A$2:$A$200,0)),"")</f>
        <v>LAW Him</v>
      </c>
    </row>
    <row r="4551" customFormat="false" ht="15" hidden="false" customHeight="false" outlineLevel="0" collapsed="false">
      <c r="A4551" s="3" t="s">
        <v>428</v>
      </c>
      <c r="B4551" s="4" t="s">
        <v>40</v>
      </c>
      <c r="C4551" s="4" t="n">
        <v>2</v>
      </c>
      <c r="D4551" s="4" t="s">
        <v>17</v>
      </c>
      <c r="E4551" s="3" t="s">
        <v>46</v>
      </c>
      <c r="F4551" s="4" t="str">
        <f aca="false">IF(I4551&gt;J4551,"Y","N")</f>
        <v>N</v>
      </c>
      <c r="G4551" s="3" t="s">
        <v>72</v>
      </c>
      <c r="H4551" s="3" t="s">
        <v>21</v>
      </c>
      <c r="I4551" s="4" t="n">
        <v>4</v>
      </c>
      <c r="J4551" s="4" t="n">
        <f aca="false">LEN(E4551)-LEN(SUBSTITUTE(E4551,",",""))+1</f>
        <v>4</v>
      </c>
      <c r="K4551" s="3" t="str">
        <f aca="false">IFERROR(INDEX('Teacher Lookup'!$B$2:$B$200,MATCH(A4551,'Teacher Lookup'!$A$2:$A$200,0)),"")</f>
        <v>LAW Him</v>
      </c>
    </row>
    <row r="4552" customFormat="false" ht="15" hidden="false" customHeight="false" outlineLevel="0" collapsed="false">
      <c r="A4552" s="3" t="s">
        <v>428</v>
      </c>
      <c r="B4552" s="4" t="s">
        <v>40</v>
      </c>
      <c r="C4552" s="4" t="n">
        <v>2</v>
      </c>
      <c r="D4552" s="4" t="s">
        <v>18</v>
      </c>
      <c r="E4552" s="3" t="s">
        <v>46</v>
      </c>
      <c r="F4552" s="4" t="str">
        <f aca="false">IF(I4552&gt;J4552,"Y","N")</f>
        <v>N</v>
      </c>
      <c r="G4552" s="3" t="s">
        <v>72</v>
      </c>
      <c r="H4552" s="3" t="s">
        <v>21</v>
      </c>
      <c r="I4552" s="4" t="n">
        <v>4</v>
      </c>
      <c r="J4552" s="4" t="n">
        <f aca="false">LEN(E4552)-LEN(SUBSTITUTE(E4552,",",""))+1</f>
        <v>4</v>
      </c>
      <c r="K4552" s="3" t="str">
        <f aca="false">IFERROR(INDEX('Teacher Lookup'!$B$2:$B$200,MATCH(A4552,'Teacher Lookup'!$A$2:$A$200,0)),"")</f>
        <v>LAW Him</v>
      </c>
    </row>
    <row r="4553" customFormat="false" ht="15" hidden="false" customHeight="false" outlineLevel="0" collapsed="false">
      <c r="A4553" s="3" t="s">
        <v>428</v>
      </c>
      <c r="B4553" s="4" t="s">
        <v>40</v>
      </c>
      <c r="C4553" s="4" t="n">
        <v>6</v>
      </c>
      <c r="D4553" s="4" t="s">
        <v>28</v>
      </c>
      <c r="E4553" s="3" t="s">
        <v>149</v>
      </c>
      <c r="F4553" s="4" t="str">
        <f aca="false">IF(I4553&gt;J4553,"Y","N")</f>
        <v>N</v>
      </c>
      <c r="G4553" s="3" t="s">
        <v>72</v>
      </c>
      <c r="H4553" s="3" t="s">
        <v>42</v>
      </c>
      <c r="I4553" s="4" t="n">
        <v>4</v>
      </c>
      <c r="J4553" s="4" t="n">
        <f aca="false">LEN(E4553)-LEN(SUBSTITUTE(E4553,",",""))+1</f>
        <v>4</v>
      </c>
      <c r="K4553" s="3" t="str">
        <f aca="false">IFERROR(INDEX('Teacher Lookup'!$B$2:$B$200,MATCH(A4553,'Teacher Lookup'!$A$2:$A$200,0)),"")</f>
        <v>LAW Him</v>
      </c>
    </row>
    <row r="4554" customFormat="false" ht="15" hidden="false" customHeight="false" outlineLevel="0" collapsed="false">
      <c r="A4554" s="3" t="s">
        <v>428</v>
      </c>
      <c r="B4554" s="4" t="s">
        <v>40</v>
      </c>
      <c r="C4554" s="4" t="n">
        <v>6</v>
      </c>
      <c r="D4554" s="4" t="s">
        <v>29</v>
      </c>
      <c r="E4554" s="3" t="s">
        <v>149</v>
      </c>
      <c r="F4554" s="4" t="str">
        <f aca="false">IF(I4554&gt;J4554,"Y","N")</f>
        <v>N</v>
      </c>
      <c r="G4554" s="3" t="s">
        <v>72</v>
      </c>
      <c r="H4554" s="3" t="s">
        <v>42</v>
      </c>
      <c r="I4554" s="4" t="n">
        <v>4</v>
      </c>
      <c r="J4554" s="4" t="n">
        <f aca="false">LEN(E4554)-LEN(SUBSTITUTE(E4554,",",""))+1</f>
        <v>4</v>
      </c>
      <c r="K4554" s="3" t="str">
        <f aca="false">IFERROR(INDEX('Teacher Lookup'!$B$2:$B$200,MATCH(A4554,'Teacher Lookup'!$A$2:$A$200,0)),"")</f>
        <v>LAW Him</v>
      </c>
    </row>
    <row r="4555" customFormat="false" ht="15" hidden="false" customHeight="false" outlineLevel="0" collapsed="false">
      <c r="A4555" s="3" t="s">
        <v>428</v>
      </c>
      <c r="B4555" s="4" t="s">
        <v>40</v>
      </c>
      <c r="C4555" s="4" t="n">
        <v>6</v>
      </c>
      <c r="D4555" s="4" t="s">
        <v>30</v>
      </c>
      <c r="E4555" s="3" t="s">
        <v>149</v>
      </c>
      <c r="F4555" s="4" t="str">
        <f aca="false">IF(I4555&gt;J4555,"Y","N")</f>
        <v>N</v>
      </c>
      <c r="G4555" s="3" t="s">
        <v>72</v>
      </c>
      <c r="H4555" s="3" t="s">
        <v>42</v>
      </c>
      <c r="I4555" s="4" t="n">
        <v>4</v>
      </c>
      <c r="J4555" s="4" t="n">
        <f aca="false">LEN(E4555)-LEN(SUBSTITUTE(E4555,",",""))+1</f>
        <v>4</v>
      </c>
      <c r="K4555" s="3" t="str">
        <f aca="false">IFERROR(INDEX('Teacher Lookup'!$B$2:$B$200,MATCH(A4555,'Teacher Lookup'!$A$2:$A$200,0)),"")</f>
        <v>LAW Him</v>
      </c>
    </row>
    <row r="4556" customFormat="false" ht="15" hidden="false" customHeight="false" outlineLevel="0" collapsed="false">
      <c r="A4556" s="3" t="s">
        <v>428</v>
      </c>
      <c r="B4556" s="4" t="s">
        <v>40</v>
      </c>
      <c r="C4556" s="4" t="n">
        <v>7</v>
      </c>
      <c r="D4556" s="4" t="s">
        <v>28</v>
      </c>
      <c r="E4556" s="3" t="s">
        <v>149</v>
      </c>
      <c r="F4556" s="4" t="str">
        <f aca="false">IF(I4556&gt;J4556,"Y","N")</f>
        <v>N</v>
      </c>
      <c r="G4556" s="3" t="s">
        <v>72</v>
      </c>
      <c r="H4556" s="3" t="s">
        <v>39</v>
      </c>
      <c r="I4556" s="4" t="n">
        <v>4</v>
      </c>
      <c r="J4556" s="4" t="n">
        <f aca="false">LEN(E4556)-LEN(SUBSTITUTE(E4556,",",""))+1</f>
        <v>4</v>
      </c>
      <c r="K4556" s="3" t="str">
        <f aca="false">IFERROR(INDEX('Teacher Lookup'!$B$2:$B$200,MATCH(A4556,'Teacher Lookup'!$A$2:$A$200,0)),"")</f>
        <v>LAW Him</v>
      </c>
    </row>
    <row r="4557" customFormat="false" ht="15" hidden="false" customHeight="false" outlineLevel="0" collapsed="false">
      <c r="A4557" s="3" t="s">
        <v>428</v>
      </c>
      <c r="B4557" s="4" t="s">
        <v>40</v>
      </c>
      <c r="C4557" s="4" t="n">
        <v>7</v>
      </c>
      <c r="D4557" s="4" t="s">
        <v>29</v>
      </c>
      <c r="E4557" s="3" t="s">
        <v>149</v>
      </c>
      <c r="F4557" s="4" t="str">
        <f aca="false">IF(I4557&gt;J4557,"Y","N")</f>
        <v>N</v>
      </c>
      <c r="G4557" s="3" t="s">
        <v>72</v>
      </c>
      <c r="H4557" s="3" t="s">
        <v>39</v>
      </c>
      <c r="I4557" s="4" t="n">
        <v>4</v>
      </c>
      <c r="J4557" s="4" t="n">
        <f aca="false">LEN(E4557)-LEN(SUBSTITUTE(E4557,",",""))+1</f>
        <v>4</v>
      </c>
      <c r="K4557" s="3" t="str">
        <f aca="false">IFERROR(INDEX('Teacher Lookup'!$B$2:$B$200,MATCH(A4557,'Teacher Lookup'!$A$2:$A$200,0)),"")</f>
        <v>LAW Him</v>
      </c>
    </row>
    <row r="4558" customFormat="false" ht="15" hidden="false" customHeight="false" outlineLevel="0" collapsed="false">
      <c r="A4558" s="3" t="s">
        <v>428</v>
      </c>
      <c r="B4558" s="4" t="s">
        <v>40</v>
      </c>
      <c r="C4558" s="4" t="n">
        <v>7</v>
      </c>
      <c r="D4558" s="4" t="s">
        <v>30</v>
      </c>
      <c r="E4558" s="3" t="s">
        <v>149</v>
      </c>
      <c r="F4558" s="4" t="str">
        <f aca="false">IF(I4558&gt;J4558,"Y","N")</f>
        <v>N</v>
      </c>
      <c r="G4558" s="3" t="s">
        <v>72</v>
      </c>
      <c r="H4558" s="3" t="s">
        <v>39</v>
      </c>
      <c r="I4558" s="4" t="n">
        <v>4</v>
      </c>
      <c r="J4558" s="4" t="n">
        <f aca="false">LEN(E4558)-LEN(SUBSTITUTE(E4558,",",""))+1</f>
        <v>4</v>
      </c>
      <c r="K4558" s="3" t="str">
        <f aca="false">IFERROR(INDEX('Teacher Lookup'!$B$2:$B$200,MATCH(A4558,'Teacher Lookup'!$A$2:$A$200,0)),"")</f>
        <v>LAW Him</v>
      </c>
    </row>
    <row r="4559" customFormat="false" ht="15" hidden="false" customHeight="false" outlineLevel="0" collapsed="false">
      <c r="A4559" s="3" t="s">
        <v>428</v>
      </c>
      <c r="B4559" s="4" t="s">
        <v>44</v>
      </c>
      <c r="C4559" s="4" t="n">
        <v>3</v>
      </c>
      <c r="D4559" s="4" t="s">
        <v>19</v>
      </c>
      <c r="E4559" s="3" t="s">
        <v>33</v>
      </c>
      <c r="F4559" s="4" t="str">
        <f aca="false">IF(I4559&gt;J4559,"Y","N")</f>
        <v>N</v>
      </c>
      <c r="G4559" s="3" t="s">
        <v>72</v>
      </c>
      <c r="H4559" s="3" t="s">
        <v>26</v>
      </c>
      <c r="I4559" s="4" t="n">
        <v>4</v>
      </c>
      <c r="J4559" s="4" t="n">
        <f aca="false">LEN(E4559)-LEN(SUBSTITUTE(E4559,",",""))+1</f>
        <v>4</v>
      </c>
      <c r="K4559" s="3" t="str">
        <f aca="false">IFERROR(INDEX('Teacher Lookup'!$B$2:$B$200,MATCH(A4559,'Teacher Lookup'!$A$2:$A$200,0)),"")</f>
        <v>LAW Him</v>
      </c>
    </row>
    <row r="4560" customFormat="false" ht="15" hidden="false" customHeight="false" outlineLevel="0" collapsed="false">
      <c r="A4560" s="3" t="s">
        <v>428</v>
      </c>
      <c r="B4560" s="4" t="s">
        <v>44</v>
      </c>
      <c r="C4560" s="4" t="n">
        <v>3</v>
      </c>
      <c r="D4560" s="4" t="s">
        <v>22</v>
      </c>
      <c r="E4560" s="3" t="s">
        <v>33</v>
      </c>
      <c r="F4560" s="4" t="str">
        <f aca="false">IF(I4560&gt;J4560,"Y","N")</f>
        <v>N</v>
      </c>
      <c r="G4560" s="3" t="s">
        <v>72</v>
      </c>
      <c r="H4560" s="3" t="s">
        <v>26</v>
      </c>
      <c r="I4560" s="4" t="n">
        <v>4</v>
      </c>
      <c r="J4560" s="4" t="n">
        <f aca="false">LEN(E4560)-LEN(SUBSTITUTE(E4560,",",""))+1</f>
        <v>4</v>
      </c>
      <c r="K4560" s="3" t="str">
        <f aca="false">IFERROR(INDEX('Teacher Lookup'!$B$2:$B$200,MATCH(A4560,'Teacher Lookup'!$A$2:$A$200,0)),"")</f>
        <v>LAW Him</v>
      </c>
    </row>
    <row r="4561" customFormat="false" ht="15" hidden="false" customHeight="false" outlineLevel="0" collapsed="false">
      <c r="A4561" s="3" t="s">
        <v>428</v>
      </c>
      <c r="B4561" s="4" t="s">
        <v>44</v>
      </c>
      <c r="C4561" s="4" t="n">
        <v>3</v>
      </c>
      <c r="D4561" s="4" t="s">
        <v>23</v>
      </c>
      <c r="E4561" s="3" t="s">
        <v>33</v>
      </c>
      <c r="F4561" s="4" t="str">
        <f aca="false">IF(I4561&gt;J4561,"Y","N")</f>
        <v>N</v>
      </c>
      <c r="G4561" s="3" t="s">
        <v>72</v>
      </c>
      <c r="H4561" s="3" t="s">
        <v>26</v>
      </c>
      <c r="I4561" s="4" t="n">
        <v>4</v>
      </c>
      <c r="J4561" s="4" t="n">
        <f aca="false">LEN(E4561)-LEN(SUBSTITUTE(E4561,",",""))+1</f>
        <v>4</v>
      </c>
      <c r="K4561" s="3" t="str">
        <f aca="false">IFERROR(INDEX('Teacher Lookup'!$B$2:$B$200,MATCH(A4561,'Teacher Lookup'!$A$2:$A$200,0)),"")</f>
        <v>LAW Him</v>
      </c>
    </row>
    <row r="4562" customFormat="false" ht="15" hidden="false" customHeight="false" outlineLevel="0" collapsed="false">
      <c r="A4562" s="3" t="s">
        <v>428</v>
      </c>
      <c r="B4562" s="4" t="s">
        <v>44</v>
      </c>
      <c r="C4562" s="4" t="n">
        <v>5</v>
      </c>
      <c r="D4562" s="4" t="s">
        <v>19</v>
      </c>
      <c r="E4562" s="3" t="s">
        <v>35</v>
      </c>
      <c r="F4562" s="4" t="str">
        <f aca="false">IF(I4562&gt;J4562,"Y","N")</f>
        <v>Y</v>
      </c>
      <c r="G4562" s="3" t="s">
        <v>36</v>
      </c>
      <c r="H4562" s="3" t="s">
        <v>37</v>
      </c>
      <c r="I4562" s="4" t="n">
        <v>17</v>
      </c>
      <c r="J4562" s="4" t="n">
        <f aca="false">LEN(E4562)-LEN(SUBSTITUTE(E4562,",",""))+1</f>
        <v>7</v>
      </c>
      <c r="K4562" s="3" t="str">
        <f aca="false">IFERROR(INDEX('Teacher Lookup'!$B$2:$B$200,MATCH(A4562,'Teacher Lookup'!$A$2:$A$200,0)),"")</f>
        <v>LAW Him</v>
      </c>
    </row>
    <row r="4563" customFormat="false" ht="15" hidden="false" customHeight="false" outlineLevel="0" collapsed="false">
      <c r="A4563" s="3" t="s">
        <v>428</v>
      </c>
      <c r="B4563" s="4" t="s">
        <v>44</v>
      </c>
      <c r="C4563" s="4" t="n">
        <v>5</v>
      </c>
      <c r="D4563" s="4" t="s">
        <v>22</v>
      </c>
      <c r="E4563" s="3" t="s">
        <v>35</v>
      </c>
      <c r="F4563" s="4" t="str">
        <f aca="false">IF(I4563&gt;J4563,"Y","N")</f>
        <v>Y</v>
      </c>
      <c r="G4563" s="3" t="s">
        <v>36</v>
      </c>
      <c r="H4563" s="3" t="s">
        <v>37</v>
      </c>
      <c r="I4563" s="4" t="n">
        <v>17</v>
      </c>
      <c r="J4563" s="4" t="n">
        <f aca="false">LEN(E4563)-LEN(SUBSTITUTE(E4563,",",""))+1</f>
        <v>7</v>
      </c>
      <c r="K4563" s="3" t="str">
        <f aca="false">IFERROR(INDEX('Teacher Lookup'!$B$2:$B$200,MATCH(A4563,'Teacher Lookup'!$A$2:$A$200,0)),"")</f>
        <v>LAW Him</v>
      </c>
    </row>
    <row r="4564" customFormat="false" ht="15" hidden="false" customHeight="false" outlineLevel="0" collapsed="false">
      <c r="A4564" s="3" t="s">
        <v>428</v>
      </c>
      <c r="B4564" s="4" t="s">
        <v>44</v>
      </c>
      <c r="C4564" s="4" t="n">
        <v>5</v>
      </c>
      <c r="D4564" s="4" t="s">
        <v>23</v>
      </c>
      <c r="E4564" s="3" t="s">
        <v>35</v>
      </c>
      <c r="F4564" s="4" t="str">
        <f aca="false">IF(I4564&gt;J4564,"Y","N")</f>
        <v>Y</v>
      </c>
      <c r="G4564" s="3" t="s">
        <v>36</v>
      </c>
      <c r="H4564" s="3" t="s">
        <v>37</v>
      </c>
      <c r="I4564" s="4" t="n">
        <v>17</v>
      </c>
      <c r="J4564" s="4" t="n">
        <f aca="false">LEN(E4564)-LEN(SUBSTITUTE(E4564,",",""))+1</f>
        <v>7</v>
      </c>
      <c r="K4564" s="3" t="str">
        <f aca="false">IFERROR(INDEX('Teacher Lookup'!$B$2:$B$200,MATCH(A4564,'Teacher Lookup'!$A$2:$A$200,0)),"")</f>
        <v>LAW Him</v>
      </c>
    </row>
    <row r="4565" customFormat="false" ht="15" hidden="false" customHeight="false" outlineLevel="0" collapsed="false">
      <c r="A4565" s="3" t="s">
        <v>428</v>
      </c>
      <c r="B4565" s="4" t="s">
        <v>44</v>
      </c>
      <c r="C4565" s="4" t="n">
        <v>5</v>
      </c>
      <c r="D4565" s="4" t="s">
        <v>13</v>
      </c>
      <c r="E4565" s="3" t="s">
        <v>35</v>
      </c>
      <c r="F4565" s="4" t="str">
        <f aca="false">IF(I4565&gt;J4565,"Y","N")</f>
        <v>Y</v>
      </c>
      <c r="G4565" s="3" t="s">
        <v>36</v>
      </c>
      <c r="H4565" s="3" t="s">
        <v>37</v>
      </c>
      <c r="I4565" s="4" t="n">
        <v>17</v>
      </c>
      <c r="J4565" s="4" t="n">
        <f aca="false">LEN(E4565)-LEN(SUBSTITUTE(E4565,",",""))+1</f>
        <v>7</v>
      </c>
      <c r="K4565" s="3" t="str">
        <f aca="false">IFERROR(INDEX('Teacher Lookup'!$B$2:$B$200,MATCH(A4565,'Teacher Lookup'!$A$2:$A$200,0)),"")</f>
        <v>LAW Him</v>
      </c>
    </row>
    <row r="4566" customFormat="false" ht="15" hidden="false" customHeight="false" outlineLevel="0" collapsed="false">
      <c r="A4566" s="3" t="s">
        <v>428</v>
      </c>
      <c r="B4566" s="4" t="s">
        <v>44</v>
      </c>
      <c r="C4566" s="4" t="n">
        <v>5</v>
      </c>
      <c r="D4566" s="4" t="s">
        <v>17</v>
      </c>
      <c r="E4566" s="3" t="s">
        <v>35</v>
      </c>
      <c r="F4566" s="4" t="str">
        <f aca="false">IF(I4566&gt;J4566,"Y","N")</f>
        <v>Y</v>
      </c>
      <c r="G4566" s="3" t="s">
        <v>36</v>
      </c>
      <c r="H4566" s="3" t="s">
        <v>37</v>
      </c>
      <c r="I4566" s="4" t="n">
        <v>17</v>
      </c>
      <c r="J4566" s="4" t="n">
        <f aca="false">LEN(E4566)-LEN(SUBSTITUTE(E4566,",",""))+1</f>
        <v>7</v>
      </c>
      <c r="K4566" s="3" t="str">
        <f aca="false">IFERROR(INDEX('Teacher Lookup'!$B$2:$B$200,MATCH(A4566,'Teacher Lookup'!$A$2:$A$200,0)),"")</f>
        <v>LAW Him</v>
      </c>
    </row>
    <row r="4567" customFormat="false" ht="15" hidden="false" customHeight="false" outlineLevel="0" collapsed="false">
      <c r="A4567" s="3" t="s">
        <v>428</v>
      </c>
      <c r="B4567" s="4" t="s">
        <v>44</v>
      </c>
      <c r="C4567" s="4" t="n">
        <v>5</v>
      </c>
      <c r="D4567" s="4" t="s">
        <v>18</v>
      </c>
      <c r="E4567" s="3" t="s">
        <v>35</v>
      </c>
      <c r="F4567" s="4" t="str">
        <f aca="false">IF(I4567&gt;J4567,"Y","N")</f>
        <v>Y</v>
      </c>
      <c r="G4567" s="3" t="s">
        <v>36</v>
      </c>
      <c r="H4567" s="3" t="s">
        <v>37</v>
      </c>
      <c r="I4567" s="4" t="n">
        <v>17</v>
      </c>
      <c r="J4567" s="4" t="n">
        <f aca="false">LEN(E4567)-LEN(SUBSTITUTE(E4567,",",""))+1</f>
        <v>7</v>
      </c>
      <c r="K4567" s="3" t="str">
        <f aca="false">IFERROR(INDEX('Teacher Lookup'!$B$2:$B$200,MATCH(A4567,'Teacher Lookup'!$A$2:$A$200,0)),"")</f>
        <v>LAW Him</v>
      </c>
    </row>
    <row r="4568" customFormat="false" ht="15" hidden="false" customHeight="false" outlineLevel="0" collapsed="false">
      <c r="A4568" s="3" t="s">
        <v>428</v>
      </c>
      <c r="B4568" s="4" t="s">
        <v>44</v>
      </c>
      <c r="C4568" s="4" t="n">
        <v>6</v>
      </c>
      <c r="D4568" s="4" t="s">
        <v>13</v>
      </c>
      <c r="E4568" s="3" t="s">
        <v>323</v>
      </c>
      <c r="F4568" s="4" t="str">
        <f aca="false">IF(I4568&gt;J4568,"Y","N")</f>
        <v>N</v>
      </c>
      <c r="G4568" s="3" t="s">
        <v>72</v>
      </c>
      <c r="H4568" s="3" t="s">
        <v>42</v>
      </c>
      <c r="I4568" s="4" t="n">
        <v>4</v>
      </c>
      <c r="J4568" s="4" t="n">
        <f aca="false">LEN(E4568)-LEN(SUBSTITUTE(E4568,",",""))+1</f>
        <v>4</v>
      </c>
      <c r="K4568" s="3" t="str">
        <f aca="false">IFERROR(INDEX('Teacher Lookup'!$B$2:$B$200,MATCH(A4568,'Teacher Lookup'!$A$2:$A$200,0)),"")</f>
        <v>LAW Him</v>
      </c>
    </row>
    <row r="4569" customFormat="false" ht="15" hidden="false" customHeight="false" outlineLevel="0" collapsed="false">
      <c r="A4569" s="3" t="s">
        <v>428</v>
      </c>
      <c r="B4569" s="4" t="s">
        <v>44</v>
      </c>
      <c r="C4569" s="4" t="n">
        <v>6</v>
      </c>
      <c r="D4569" s="4" t="s">
        <v>17</v>
      </c>
      <c r="E4569" s="3" t="s">
        <v>323</v>
      </c>
      <c r="F4569" s="4" t="str">
        <f aca="false">IF(I4569&gt;J4569,"Y","N")</f>
        <v>N</v>
      </c>
      <c r="G4569" s="3" t="s">
        <v>72</v>
      </c>
      <c r="H4569" s="3" t="s">
        <v>42</v>
      </c>
      <c r="I4569" s="4" t="n">
        <v>4</v>
      </c>
      <c r="J4569" s="4" t="n">
        <f aca="false">LEN(E4569)-LEN(SUBSTITUTE(E4569,",",""))+1</f>
        <v>4</v>
      </c>
      <c r="K4569" s="3" t="str">
        <f aca="false">IFERROR(INDEX('Teacher Lookup'!$B$2:$B$200,MATCH(A4569,'Teacher Lookup'!$A$2:$A$200,0)),"")</f>
        <v>LAW Him</v>
      </c>
    </row>
    <row r="4570" customFormat="false" ht="15" hidden="false" customHeight="false" outlineLevel="0" collapsed="false">
      <c r="A4570" s="3" t="s">
        <v>428</v>
      </c>
      <c r="B4570" s="4" t="s">
        <v>44</v>
      </c>
      <c r="C4570" s="4" t="n">
        <v>6</v>
      </c>
      <c r="D4570" s="4" t="s">
        <v>18</v>
      </c>
      <c r="E4570" s="3" t="s">
        <v>323</v>
      </c>
      <c r="F4570" s="4" t="str">
        <f aca="false">IF(I4570&gt;J4570,"Y","N")</f>
        <v>N</v>
      </c>
      <c r="G4570" s="3" t="s">
        <v>72</v>
      </c>
      <c r="H4570" s="3" t="s">
        <v>42</v>
      </c>
      <c r="I4570" s="4" t="n">
        <v>4</v>
      </c>
      <c r="J4570" s="4" t="n">
        <f aca="false">LEN(E4570)-LEN(SUBSTITUTE(E4570,",",""))+1</f>
        <v>4</v>
      </c>
      <c r="K4570" s="3" t="str">
        <f aca="false">IFERROR(INDEX('Teacher Lookup'!$B$2:$B$200,MATCH(A4570,'Teacher Lookup'!$A$2:$A$200,0)),"")</f>
        <v>LAW Him</v>
      </c>
    </row>
    <row r="4571" customFormat="false" ht="15" hidden="false" customHeight="false" outlineLevel="0" collapsed="false">
      <c r="A4571" s="3" t="s">
        <v>428</v>
      </c>
      <c r="B4571" s="4" t="s">
        <v>44</v>
      </c>
      <c r="C4571" s="4" t="n">
        <v>7</v>
      </c>
      <c r="D4571" s="4" t="s">
        <v>28</v>
      </c>
      <c r="E4571" s="3" t="s">
        <v>143</v>
      </c>
      <c r="F4571" s="4" t="str">
        <f aca="false">IF(I4571&gt;J4571,"Y","N")</f>
        <v>N</v>
      </c>
      <c r="G4571" s="3" t="s">
        <v>72</v>
      </c>
      <c r="H4571" s="3" t="s">
        <v>39</v>
      </c>
      <c r="I4571" s="4" t="n">
        <v>4</v>
      </c>
      <c r="J4571" s="4" t="n">
        <f aca="false">LEN(E4571)-LEN(SUBSTITUTE(E4571,",",""))+1</f>
        <v>4</v>
      </c>
      <c r="K4571" s="3" t="str">
        <f aca="false">IFERROR(INDEX('Teacher Lookup'!$B$2:$B$200,MATCH(A4571,'Teacher Lookup'!$A$2:$A$200,0)),"")</f>
        <v>LAW Him</v>
      </c>
    </row>
    <row r="4572" customFormat="false" ht="15" hidden="false" customHeight="false" outlineLevel="0" collapsed="false">
      <c r="A4572" s="3" t="s">
        <v>428</v>
      </c>
      <c r="B4572" s="4" t="s">
        <v>44</v>
      </c>
      <c r="C4572" s="4" t="n">
        <v>7</v>
      </c>
      <c r="D4572" s="4" t="s">
        <v>29</v>
      </c>
      <c r="E4572" s="3" t="s">
        <v>143</v>
      </c>
      <c r="F4572" s="4" t="str">
        <f aca="false">IF(I4572&gt;J4572,"Y","N")</f>
        <v>N</v>
      </c>
      <c r="G4572" s="3" t="s">
        <v>72</v>
      </c>
      <c r="H4572" s="3" t="s">
        <v>39</v>
      </c>
      <c r="I4572" s="4" t="n">
        <v>4</v>
      </c>
      <c r="J4572" s="4" t="n">
        <f aca="false">LEN(E4572)-LEN(SUBSTITUTE(E4572,",",""))+1</f>
        <v>4</v>
      </c>
      <c r="K4572" s="3" t="str">
        <f aca="false">IFERROR(INDEX('Teacher Lookup'!$B$2:$B$200,MATCH(A4572,'Teacher Lookup'!$A$2:$A$200,0)),"")</f>
        <v>LAW Him</v>
      </c>
    </row>
    <row r="4573" customFormat="false" ht="15" hidden="false" customHeight="false" outlineLevel="0" collapsed="false">
      <c r="A4573" s="3" t="s">
        <v>428</v>
      </c>
      <c r="B4573" s="4" t="s">
        <v>44</v>
      </c>
      <c r="C4573" s="4" t="n">
        <v>7</v>
      </c>
      <c r="D4573" s="4" t="s">
        <v>30</v>
      </c>
      <c r="E4573" s="3" t="s">
        <v>143</v>
      </c>
      <c r="F4573" s="4" t="str">
        <f aca="false">IF(I4573&gt;J4573,"Y","N")</f>
        <v>N</v>
      </c>
      <c r="G4573" s="3" t="s">
        <v>72</v>
      </c>
      <c r="H4573" s="3" t="s">
        <v>39</v>
      </c>
      <c r="I4573" s="4" t="n">
        <v>4</v>
      </c>
      <c r="J4573" s="4" t="n">
        <f aca="false">LEN(E4573)-LEN(SUBSTITUTE(E4573,",",""))+1</f>
        <v>4</v>
      </c>
      <c r="K4573" s="3" t="str">
        <f aca="false">IFERROR(INDEX('Teacher Lookup'!$B$2:$B$200,MATCH(A4573,'Teacher Lookup'!$A$2:$A$200,0)),"")</f>
        <v>LAW Him</v>
      </c>
    </row>
    <row r="4574" customFormat="false" ht="15" hidden="false" customHeight="false" outlineLevel="0" collapsed="false">
      <c r="A4574" s="3" t="s">
        <v>428</v>
      </c>
      <c r="B4574" s="4" t="s">
        <v>47</v>
      </c>
      <c r="C4574" s="4" t="n">
        <v>3</v>
      </c>
      <c r="D4574" s="4" t="s">
        <v>13</v>
      </c>
      <c r="E4574" s="3" t="s">
        <v>327</v>
      </c>
      <c r="F4574" s="4" t="str">
        <f aca="false">IF(I4574&gt;J4574,"Y","N")</f>
        <v>N</v>
      </c>
      <c r="G4574" s="3" t="s">
        <v>72</v>
      </c>
      <c r="H4574" s="3" t="s">
        <v>26</v>
      </c>
      <c r="I4574" s="4" t="n">
        <v>4</v>
      </c>
      <c r="J4574" s="4" t="n">
        <f aca="false">LEN(E4574)-LEN(SUBSTITUTE(E4574,",",""))+1</f>
        <v>4</v>
      </c>
      <c r="K4574" s="3" t="str">
        <f aca="false">IFERROR(INDEX('Teacher Lookup'!$B$2:$B$200,MATCH(A4574,'Teacher Lookup'!$A$2:$A$200,0)),"")</f>
        <v>LAW Him</v>
      </c>
    </row>
    <row r="4575" customFormat="false" ht="15" hidden="false" customHeight="false" outlineLevel="0" collapsed="false">
      <c r="A4575" s="3" t="s">
        <v>428</v>
      </c>
      <c r="B4575" s="4" t="s">
        <v>47</v>
      </c>
      <c r="C4575" s="4" t="n">
        <v>3</v>
      </c>
      <c r="D4575" s="4" t="s">
        <v>17</v>
      </c>
      <c r="E4575" s="3" t="s">
        <v>327</v>
      </c>
      <c r="F4575" s="4" t="str">
        <f aca="false">IF(I4575&gt;J4575,"Y","N")</f>
        <v>N</v>
      </c>
      <c r="G4575" s="3" t="s">
        <v>72</v>
      </c>
      <c r="H4575" s="3" t="s">
        <v>26</v>
      </c>
      <c r="I4575" s="4" t="n">
        <v>4</v>
      </c>
      <c r="J4575" s="4" t="n">
        <f aca="false">LEN(E4575)-LEN(SUBSTITUTE(E4575,",",""))+1</f>
        <v>4</v>
      </c>
      <c r="K4575" s="3" t="str">
        <f aca="false">IFERROR(INDEX('Teacher Lookup'!$B$2:$B$200,MATCH(A4575,'Teacher Lookup'!$A$2:$A$200,0)),"")</f>
        <v>LAW Him</v>
      </c>
    </row>
    <row r="4576" customFormat="false" ht="15" hidden="false" customHeight="false" outlineLevel="0" collapsed="false">
      <c r="A4576" s="3" t="s">
        <v>428</v>
      </c>
      <c r="B4576" s="4" t="s">
        <v>47</v>
      </c>
      <c r="C4576" s="4" t="n">
        <v>3</v>
      </c>
      <c r="D4576" s="4" t="s">
        <v>18</v>
      </c>
      <c r="E4576" s="3" t="s">
        <v>327</v>
      </c>
      <c r="F4576" s="4" t="str">
        <f aca="false">IF(I4576&gt;J4576,"Y","N")</f>
        <v>N</v>
      </c>
      <c r="G4576" s="3" t="s">
        <v>72</v>
      </c>
      <c r="H4576" s="3" t="s">
        <v>26</v>
      </c>
      <c r="I4576" s="4" t="n">
        <v>4</v>
      </c>
      <c r="J4576" s="4" t="n">
        <f aca="false">LEN(E4576)-LEN(SUBSTITUTE(E4576,",",""))+1</f>
        <v>4</v>
      </c>
      <c r="K4576" s="3" t="str">
        <f aca="false">IFERROR(INDEX('Teacher Lookup'!$B$2:$B$200,MATCH(A4576,'Teacher Lookup'!$A$2:$A$200,0)),"")</f>
        <v>LAW Him</v>
      </c>
    </row>
    <row r="4577" customFormat="false" ht="15" hidden="false" customHeight="false" outlineLevel="0" collapsed="false">
      <c r="A4577" s="3" t="s">
        <v>428</v>
      </c>
      <c r="B4577" s="4" t="s">
        <v>47</v>
      </c>
      <c r="C4577" s="4" t="n">
        <v>4</v>
      </c>
      <c r="D4577" s="4" t="s">
        <v>19</v>
      </c>
      <c r="E4577" s="3" t="s">
        <v>33</v>
      </c>
      <c r="F4577" s="4" t="str">
        <f aca="false">IF(I4577&gt;J4577,"Y","N")</f>
        <v>N</v>
      </c>
      <c r="G4577" s="3" t="s">
        <v>72</v>
      </c>
      <c r="H4577" s="3" t="s">
        <v>34</v>
      </c>
      <c r="I4577" s="4" t="n">
        <v>4</v>
      </c>
      <c r="J4577" s="4" t="n">
        <f aca="false">LEN(E4577)-LEN(SUBSTITUTE(E4577,",",""))+1</f>
        <v>4</v>
      </c>
      <c r="K4577" s="3" t="str">
        <f aca="false">IFERROR(INDEX('Teacher Lookup'!$B$2:$B$200,MATCH(A4577,'Teacher Lookup'!$A$2:$A$200,0)),"")</f>
        <v>LAW Him</v>
      </c>
    </row>
    <row r="4578" customFormat="false" ht="15" hidden="false" customHeight="false" outlineLevel="0" collapsed="false">
      <c r="A4578" s="3" t="s">
        <v>428</v>
      </c>
      <c r="B4578" s="4" t="s">
        <v>47</v>
      </c>
      <c r="C4578" s="4" t="n">
        <v>4</v>
      </c>
      <c r="D4578" s="4" t="s">
        <v>22</v>
      </c>
      <c r="E4578" s="3" t="s">
        <v>33</v>
      </c>
      <c r="F4578" s="4" t="str">
        <f aca="false">IF(I4578&gt;J4578,"Y","N")</f>
        <v>N</v>
      </c>
      <c r="G4578" s="3" t="s">
        <v>72</v>
      </c>
      <c r="H4578" s="3" t="s">
        <v>34</v>
      </c>
      <c r="I4578" s="4" t="n">
        <v>4</v>
      </c>
      <c r="J4578" s="4" t="n">
        <f aca="false">LEN(E4578)-LEN(SUBSTITUTE(E4578,",",""))+1</f>
        <v>4</v>
      </c>
      <c r="K4578" s="3" t="str">
        <f aca="false">IFERROR(INDEX('Teacher Lookup'!$B$2:$B$200,MATCH(A4578,'Teacher Lookup'!$A$2:$A$200,0)),"")</f>
        <v>LAW Him</v>
      </c>
    </row>
    <row r="4579" customFormat="false" ht="15" hidden="false" customHeight="false" outlineLevel="0" collapsed="false">
      <c r="A4579" s="3" t="s">
        <v>428</v>
      </c>
      <c r="B4579" s="4" t="s">
        <v>47</v>
      </c>
      <c r="C4579" s="4" t="n">
        <v>4</v>
      </c>
      <c r="D4579" s="4" t="s">
        <v>23</v>
      </c>
      <c r="E4579" s="3" t="s">
        <v>33</v>
      </c>
      <c r="F4579" s="4" t="str">
        <f aca="false">IF(I4579&gt;J4579,"Y","N")</f>
        <v>N</v>
      </c>
      <c r="G4579" s="3" t="s">
        <v>72</v>
      </c>
      <c r="H4579" s="3" t="s">
        <v>34</v>
      </c>
      <c r="I4579" s="4" t="n">
        <v>4</v>
      </c>
      <c r="J4579" s="4" t="n">
        <f aca="false">LEN(E4579)-LEN(SUBSTITUTE(E4579,",",""))+1</f>
        <v>4</v>
      </c>
      <c r="K4579" s="3" t="str">
        <f aca="false">IFERROR(INDEX('Teacher Lookup'!$B$2:$B$200,MATCH(A4579,'Teacher Lookup'!$A$2:$A$200,0)),"")</f>
        <v>LAW Him</v>
      </c>
    </row>
    <row r="4580" customFormat="false" ht="15" hidden="false" customHeight="false" outlineLevel="0" collapsed="false">
      <c r="A4580" s="3" t="s">
        <v>428</v>
      </c>
      <c r="B4580" s="4" t="s">
        <v>47</v>
      </c>
      <c r="C4580" s="4" t="n">
        <v>6</v>
      </c>
      <c r="D4580" s="4" t="s">
        <v>28</v>
      </c>
      <c r="E4580" s="3" t="s">
        <v>153</v>
      </c>
      <c r="F4580" s="4" t="str">
        <f aca="false">IF(I4580&gt;J4580,"Y","N")</f>
        <v>N</v>
      </c>
      <c r="G4580" s="3" t="s">
        <v>72</v>
      </c>
      <c r="H4580" s="3" t="s">
        <v>42</v>
      </c>
      <c r="I4580" s="4" t="n">
        <v>4</v>
      </c>
      <c r="J4580" s="4" t="n">
        <f aca="false">LEN(E4580)-LEN(SUBSTITUTE(E4580,",",""))+1</f>
        <v>4</v>
      </c>
      <c r="K4580" s="3" t="str">
        <f aca="false">IFERROR(INDEX('Teacher Lookup'!$B$2:$B$200,MATCH(A4580,'Teacher Lookup'!$A$2:$A$200,0)),"")</f>
        <v>LAW Him</v>
      </c>
    </row>
    <row r="4581" customFormat="false" ht="15" hidden="false" customHeight="false" outlineLevel="0" collapsed="false">
      <c r="A4581" s="3" t="s">
        <v>428</v>
      </c>
      <c r="B4581" s="4" t="s">
        <v>47</v>
      </c>
      <c r="C4581" s="4" t="n">
        <v>6</v>
      </c>
      <c r="D4581" s="4" t="s">
        <v>29</v>
      </c>
      <c r="E4581" s="3" t="s">
        <v>153</v>
      </c>
      <c r="F4581" s="4" t="str">
        <f aca="false">IF(I4581&gt;J4581,"Y","N")</f>
        <v>N</v>
      </c>
      <c r="G4581" s="3" t="s">
        <v>72</v>
      </c>
      <c r="H4581" s="3" t="s">
        <v>42</v>
      </c>
      <c r="I4581" s="4" t="n">
        <v>4</v>
      </c>
      <c r="J4581" s="4" t="n">
        <f aca="false">LEN(E4581)-LEN(SUBSTITUTE(E4581,",",""))+1</f>
        <v>4</v>
      </c>
      <c r="K4581" s="3" t="str">
        <f aca="false">IFERROR(INDEX('Teacher Lookup'!$B$2:$B$200,MATCH(A4581,'Teacher Lookup'!$A$2:$A$200,0)),"")</f>
        <v>LAW Him</v>
      </c>
    </row>
    <row r="4582" customFormat="false" ht="15" hidden="false" customHeight="false" outlineLevel="0" collapsed="false">
      <c r="A4582" s="3" t="s">
        <v>428</v>
      </c>
      <c r="B4582" s="4" t="s">
        <v>47</v>
      </c>
      <c r="C4582" s="4" t="n">
        <v>6</v>
      </c>
      <c r="D4582" s="4" t="s">
        <v>30</v>
      </c>
      <c r="E4582" s="3" t="s">
        <v>153</v>
      </c>
      <c r="F4582" s="4" t="str">
        <f aca="false">IF(I4582&gt;J4582,"Y","N")</f>
        <v>N</v>
      </c>
      <c r="G4582" s="3" t="s">
        <v>72</v>
      </c>
      <c r="H4582" s="3" t="s">
        <v>42</v>
      </c>
      <c r="I4582" s="4" t="n">
        <v>4</v>
      </c>
      <c r="J4582" s="4" t="n">
        <f aca="false">LEN(E4582)-LEN(SUBSTITUTE(E4582,",",""))+1</f>
        <v>4</v>
      </c>
      <c r="K4582" s="3" t="str">
        <f aca="false">IFERROR(INDEX('Teacher Lookup'!$B$2:$B$200,MATCH(A4582,'Teacher Lookup'!$A$2:$A$200,0)),"")</f>
        <v>LAW Him</v>
      </c>
    </row>
    <row r="4583" customFormat="false" ht="15" hidden="false" customHeight="false" outlineLevel="0" collapsed="false">
      <c r="A4583" s="3" t="s">
        <v>428</v>
      </c>
      <c r="B4583" s="4" t="s">
        <v>50</v>
      </c>
      <c r="C4583" s="4" t="n">
        <v>3</v>
      </c>
      <c r="D4583" s="4" t="s">
        <v>19</v>
      </c>
      <c r="E4583" s="3" t="s">
        <v>329</v>
      </c>
      <c r="F4583" s="4" t="str">
        <f aca="false">IF(I4583&gt;J4583,"Y","N")</f>
        <v>N</v>
      </c>
      <c r="G4583" s="3" t="s">
        <v>72</v>
      </c>
      <c r="H4583" s="3" t="s">
        <v>26</v>
      </c>
      <c r="I4583" s="4" t="n">
        <v>4</v>
      </c>
      <c r="J4583" s="4" t="n">
        <f aca="false">LEN(E4583)-LEN(SUBSTITUTE(E4583,",",""))+1</f>
        <v>4</v>
      </c>
      <c r="K4583" s="3" t="str">
        <f aca="false">IFERROR(INDEX('Teacher Lookup'!$B$2:$B$200,MATCH(A4583,'Teacher Lookup'!$A$2:$A$200,0)),"")</f>
        <v>LAW Him</v>
      </c>
    </row>
    <row r="4584" customFormat="false" ht="15" hidden="false" customHeight="false" outlineLevel="0" collapsed="false">
      <c r="A4584" s="3" t="s">
        <v>428</v>
      </c>
      <c r="B4584" s="4" t="s">
        <v>50</v>
      </c>
      <c r="C4584" s="4" t="n">
        <v>3</v>
      </c>
      <c r="D4584" s="4" t="s">
        <v>22</v>
      </c>
      <c r="E4584" s="3" t="s">
        <v>329</v>
      </c>
      <c r="F4584" s="4" t="str">
        <f aca="false">IF(I4584&gt;J4584,"Y","N")</f>
        <v>N</v>
      </c>
      <c r="G4584" s="3" t="s">
        <v>72</v>
      </c>
      <c r="H4584" s="3" t="s">
        <v>26</v>
      </c>
      <c r="I4584" s="4" t="n">
        <v>4</v>
      </c>
      <c r="J4584" s="4" t="n">
        <f aca="false">LEN(E4584)-LEN(SUBSTITUTE(E4584,",",""))+1</f>
        <v>4</v>
      </c>
      <c r="K4584" s="3" t="str">
        <f aca="false">IFERROR(INDEX('Teacher Lookup'!$B$2:$B$200,MATCH(A4584,'Teacher Lookup'!$A$2:$A$200,0)),"")</f>
        <v>LAW Him</v>
      </c>
    </row>
    <row r="4585" customFormat="false" ht="15" hidden="false" customHeight="false" outlineLevel="0" collapsed="false">
      <c r="A4585" s="3" t="s">
        <v>428</v>
      </c>
      <c r="B4585" s="4" t="s">
        <v>50</v>
      </c>
      <c r="C4585" s="4" t="n">
        <v>3</v>
      </c>
      <c r="D4585" s="4" t="s">
        <v>23</v>
      </c>
      <c r="E4585" s="3" t="s">
        <v>329</v>
      </c>
      <c r="F4585" s="4" t="str">
        <f aca="false">IF(I4585&gt;J4585,"Y","N")</f>
        <v>N</v>
      </c>
      <c r="G4585" s="3" t="s">
        <v>72</v>
      </c>
      <c r="H4585" s="3" t="s">
        <v>26</v>
      </c>
      <c r="I4585" s="4" t="n">
        <v>4</v>
      </c>
      <c r="J4585" s="4" t="n">
        <f aca="false">LEN(E4585)-LEN(SUBSTITUTE(E4585,",",""))+1</f>
        <v>4</v>
      </c>
      <c r="K4585" s="3" t="str">
        <f aca="false">IFERROR(INDEX('Teacher Lookup'!$B$2:$B$200,MATCH(A4585,'Teacher Lookup'!$A$2:$A$200,0)),"")</f>
        <v>LAW Him</v>
      </c>
    </row>
    <row r="4586" customFormat="false" ht="15" hidden="false" customHeight="false" outlineLevel="0" collapsed="false">
      <c r="A4586" s="3" t="s">
        <v>428</v>
      </c>
      <c r="B4586" s="4" t="s">
        <v>50</v>
      </c>
      <c r="C4586" s="4" t="n">
        <v>5</v>
      </c>
      <c r="D4586" s="4" t="s">
        <v>13</v>
      </c>
      <c r="E4586" s="3" t="s">
        <v>330</v>
      </c>
      <c r="F4586" s="4" t="str">
        <f aca="false">IF(I4586&gt;J4586,"Y","N")</f>
        <v>N</v>
      </c>
      <c r="G4586" s="3" t="s">
        <v>72</v>
      </c>
      <c r="H4586" s="3" t="s">
        <v>37</v>
      </c>
      <c r="I4586" s="4" t="n">
        <v>4</v>
      </c>
      <c r="J4586" s="4" t="n">
        <f aca="false">LEN(E4586)-LEN(SUBSTITUTE(E4586,",",""))+1</f>
        <v>4</v>
      </c>
      <c r="K4586" s="3" t="str">
        <f aca="false">IFERROR(INDEX('Teacher Lookup'!$B$2:$B$200,MATCH(A4586,'Teacher Lookup'!$A$2:$A$200,0)),"")</f>
        <v>LAW Him</v>
      </c>
    </row>
    <row r="4587" customFormat="false" ht="15" hidden="false" customHeight="false" outlineLevel="0" collapsed="false">
      <c r="A4587" s="3" t="s">
        <v>428</v>
      </c>
      <c r="B4587" s="4" t="s">
        <v>50</v>
      </c>
      <c r="C4587" s="4" t="n">
        <v>5</v>
      </c>
      <c r="D4587" s="4" t="s">
        <v>17</v>
      </c>
      <c r="E4587" s="3" t="s">
        <v>330</v>
      </c>
      <c r="F4587" s="4" t="str">
        <f aca="false">IF(I4587&gt;J4587,"Y","N")</f>
        <v>N</v>
      </c>
      <c r="G4587" s="3" t="s">
        <v>72</v>
      </c>
      <c r="H4587" s="3" t="s">
        <v>37</v>
      </c>
      <c r="I4587" s="4" t="n">
        <v>4</v>
      </c>
      <c r="J4587" s="4" t="n">
        <f aca="false">LEN(E4587)-LEN(SUBSTITUTE(E4587,",",""))+1</f>
        <v>4</v>
      </c>
      <c r="K4587" s="3" t="str">
        <f aca="false">IFERROR(INDEX('Teacher Lookup'!$B$2:$B$200,MATCH(A4587,'Teacher Lookup'!$A$2:$A$200,0)),"")</f>
        <v>LAW Him</v>
      </c>
    </row>
    <row r="4588" customFormat="false" ht="15" hidden="false" customHeight="false" outlineLevel="0" collapsed="false">
      <c r="A4588" s="3" t="s">
        <v>428</v>
      </c>
      <c r="B4588" s="4" t="s">
        <v>50</v>
      </c>
      <c r="C4588" s="4" t="n">
        <v>5</v>
      </c>
      <c r="D4588" s="4" t="s">
        <v>18</v>
      </c>
      <c r="E4588" s="3" t="s">
        <v>330</v>
      </c>
      <c r="F4588" s="4" t="str">
        <f aca="false">IF(I4588&gt;J4588,"Y","N")</f>
        <v>N</v>
      </c>
      <c r="G4588" s="3" t="s">
        <v>72</v>
      </c>
      <c r="H4588" s="3" t="s">
        <v>37</v>
      </c>
      <c r="I4588" s="4" t="n">
        <v>4</v>
      </c>
      <c r="J4588" s="4" t="n">
        <f aca="false">LEN(E4588)-LEN(SUBSTITUTE(E4588,",",""))+1</f>
        <v>4</v>
      </c>
      <c r="K4588" s="3" t="str">
        <f aca="false">IFERROR(INDEX('Teacher Lookup'!$B$2:$B$200,MATCH(A4588,'Teacher Lookup'!$A$2:$A$200,0)),"")</f>
        <v>LAW Him</v>
      </c>
    </row>
    <row r="4589" customFormat="false" ht="15" hidden="false" customHeight="false" outlineLevel="0" collapsed="false">
      <c r="A4589" s="3" t="s">
        <v>428</v>
      </c>
      <c r="B4589" s="4" t="s">
        <v>50</v>
      </c>
      <c r="C4589" s="4" t="n">
        <v>6</v>
      </c>
      <c r="D4589" s="4" t="s">
        <v>28</v>
      </c>
      <c r="E4589" s="3" t="s">
        <v>156</v>
      </c>
      <c r="F4589" s="4" t="str">
        <f aca="false">IF(I4589&gt;J4589,"Y","N")</f>
        <v>N</v>
      </c>
      <c r="G4589" s="3" t="s">
        <v>72</v>
      </c>
      <c r="H4589" s="3" t="s">
        <v>42</v>
      </c>
      <c r="I4589" s="4" t="n">
        <v>4</v>
      </c>
      <c r="J4589" s="4" t="n">
        <f aca="false">LEN(E4589)-LEN(SUBSTITUTE(E4589,",",""))+1</f>
        <v>4</v>
      </c>
      <c r="K4589" s="3" t="str">
        <f aca="false">IFERROR(INDEX('Teacher Lookup'!$B$2:$B$200,MATCH(A4589,'Teacher Lookup'!$A$2:$A$200,0)),"")</f>
        <v>LAW Him</v>
      </c>
    </row>
    <row r="4590" customFormat="false" ht="15" hidden="false" customHeight="false" outlineLevel="0" collapsed="false">
      <c r="A4590" s="3" t="s">
        <v>428</v>
      </c>
      <c r="B4590" s="4" t="s">
        <v>50</v>
      </c>
      <c r="C4590" s="4" t="n">
        <v>6</v>
      </c>
      <c r="D4590" s="4" t="s">
        <v>29</v>
      </c>
      <c r="E4590" s="3" t="s">
        <v>156</v>
      </c>
      <c r="F4590" s="4" t="str">
        <f aca="false">IF(I4590&gt;J4590,"Y","N")</f>
        <v>N</v>
      </c>
      <c r="G4590" s="3" t="s">
        <v>72</v>
      </c>
      <c r="H4590" s="3" t="s">
        <v>42</v>
      </c>
      <c r="I4590" s="4" t="n">
        <v>4</v>
      </c>
      <c r="J4590" s="4" t="n">
        <f aca="false">LEN(E4590)-LEN(SUBSTITUTE(E4590,",",""))+1</f>
        <v>4</v>
      </c>
      <c r="K4590" s="3" t="str">
        <f aca="false">IFERROR(INDEX('Teacher Lookup'!$B$2:$B$200,MATCH(A4590,'Teacher Lookup'!$A$2:$A$200,0)),"")</f>
        <v>LAW Him</v>
      </c>
    </row>
    <row r="4591" customFormat="false" ht="15" hidden="false" customHeight="false" outlineLevel="0" collapsed="false">
      <c r="A4591" s="3" t="s">
        <v>428</v>
      </c>
      <c r="B4591" s="4" t="s">
        <v>50</v>
      </c>
      <c r="C4591" s="4" t="n">
        <v>6</v>
      </c>
      <c r="D4591" s="4" t="s">
        <v>30</v>
      </c>
      <c r="E4591" s="3" t="s">
        <v>156</v>
      </c>
      <c r="F4591" s="4" t="str">
        <f aca="false">IF(I4591&gt;J4591,"Y","N")</f>
        <v>N</v>
      </c>
      <c r="G4591" s="3" t="s">
        <v>72</v>
      </c>
      <c r="H4591" s="3" t="s">
        <v>42</v>
      </c>
      <c r="I4591" s="4" t="n">
        <v>4</v>
      </c>
      <c r="J4591" s="4" t="n">
        <f aca="false">LEN(E4591)-LEN(SUBSTITUTE(E4591,",",""))+1</f>
        <v>4</v>
      </c>
      <c r="K4591" s="3" t="str">
        <f aca="false">IFERROR(INDEX('Teacher Lookup'!$B$2:$B$200,MATCH(A4591,'Teacher Lookup'!$A$2:$A$200,0)),"")</f>
        <v>LAW Him</v>
      </c>
    </row>
    <row r="4592" customFormat="false" ht="15" hidden="false" customHeight="false" outlineLevel="0" collapsed="false">
      <c r="A4592" s="3" t="s">
        <v>428</v>
      </c>
      <c r="B4592" s="4" t="s">
        <v>60</v>
      </c>
      <c r="C4592" s="4" t="n">
        <v>1</v>
      </c>
      <c r="D4592" s="4" t="s">
        <v>19</v>
      </c>
      <c r="E4592" s="3" t="s">
        <v>20</v>
      </c>
      <c r="F4592" s="4" t="str">
        <f aca="false">IF(I4592&gt;J4592,"Y","N")</f>
        <v>N</v>
      </c>
      <c r="G4592" s="3" t="s">
        <v>72</v>
      </c>
      <c r="H4592" s="3" t="s">
        <v>16</v>
      </c>
      <c r="I4592" s="4" t="n">
        <v>4</v>
      </c>
      <c r="J4592" s="4" t="n">
        <f aca="false">LEN(E4592)-LEN(SUBSTITUTE(E4592,",",""))+1</f>
        <v>4</v>
      </c>
      <c r="K4592" s="3" t="str">
        <f aca="false">IFERROR(INDEX('Teacher Lookup'!$B$2:$B$200,MATCH(A4592,'Teacher Lookup'!$A$2:$A$200,0)),"")</f>
        <v>LAW Him</v>
      </c>
    </row>
    <row r="4593" customFormat="false" ht="15" hidden="false" customHeight="false" outlineLevel="0" collapsed="false">
      <c r="A4593" s="3" t="s">
        <v>428</v>
      </c>
      <c r="B4593" s="4" t="s">
        <v>60</v>
      </c>
      <c r="C4593" s="4" t="n">
        <v>1</v>
      </c>
      <c r="D4593" s="4" t="s">
        <v>22</v>
      </c>
      <c r="E4593" s="3" t="s">
        <v>20</v>
      </c>
      <c r="F4593" s="4" t="str">
        <f aca="false">IF(I4593&gt;J4593,"Y","N")</f>
        <v>N</v>
      </c>
      <c r="G4593" s="3" t="s">
        <v>72</v>
      </c>
      <c r="H4593" s="3" t="s">
        <v>16</v>
      </c>
      <c r="I4593" s="4" t="n">
        <v>4</v>
      </c>
      <c r="J4593" s="4" t="n">
        <f aca="false">LEN(E4593)-LEN(SUBSTITUTE(E4593,",",""))+1</f>
        <v>4</v>
      </c>
      <c r="K4593" s="3" t="str">
        <f aca="false">IFERROR(INDEX('Teacher Lookup'!$B$2:$B$200,MATCH(A4593,'Teacher Lookup'!$A$2:$A$200,0)),"")</f>
        <v>LAW Him</v>
      </c>
    </row>
    <row r="4594" customFormat="false" ht="15" hidden="false" customHeight="false" outlineLevel="0" collapsed="false">
      <c r="A4594" s="3" t="s">
        <v>428</v>
      </c>
      <c r="B4594" s="4" t="s">
        <v>60</v>
      </c>
      <c r="C4594" s="4" t="n">
        <v>1</v>
      </c>
      <c r="D4594" s="4" t="s">
        <v>23</v>
      </c>
      <c r="E4594" s="3" t="s">
        <v>20</v>
      </c>
      <c r="F4594" s="4" t="str">
        <f aca="false">IF(I4594&gt;J4594,"Y","N")</f>
        <v>N</v>
      </c>
      <c r="G4594" s="3" t="s">
        <v>72</v>
      </c>
      <c r="H4594" s="3" t="s">
        <v>16</v>
      </c>
      <c r="I4594" s="4" t="n">
        <v>4</v>
      </c>
      <c r="J4594" s="4" t="n">
        <f aca="false">LEN(E4594)-LEN(SUBSTITUTE(E4594,",",""))+1</f>
        <v>4</v>
      </c>
      <c r="K4594" s="3" t="str">
        <f aca="false">IFERROR(INDEX('Teacher Lookup'!$B$2:$B$200,MATCH(A4594,'Teacher Lookup'!$A$2:$A$200,0)),"")</f>
        <v>LAW Him</v>
      </c>
    </row>
    <row r="4595" customFormat="false" ht="15" hidden="false" customHeight="false" outlineLevel="0" collapsed="false">
      <c r="A4595" s="3" t="s">
        <v>428</v>
      </c>
      <c r="B4595" s="4" t="s">
        <v>60</v>
      </c>
      <c r="C4595" s="4" t="n">
        <v>4</v>
      </c>
      <c r="D4595" s="4" t="s">
        <v>13</v>
      </c>
      <c r="E4595" s="3" t="s">
        <v>333</v>
      </c>
      <c r="F4595" s="4" t="str">
        <f aca="false">IF(I4595&gt;J4595,"Y","N")</f>
        <v>N</v>
      </c>
      <c r="G4595" s="3" t="s">
        <v>72</v>
      </c>
      <c r="H4595" s="3" t="s">
        <v>34</v>
      </c>
      <c r="I4595" s="4" t="n">
        <v>4</v>
      </c>
      <c r="J4595" s="4" t="n">
        <f aca="false">LEN(E4595)-LEN(SUBSTITUTE(E4595,",",""))+1</f>
        <v>4</v>
      </c>
      <c r="K4595" s="3" t="str">
        <f aca="false">IFERROR(INDEX('Teacher Lookup'!$B$2:$B$200,MATCH(A4595,'Teacher Lookup'!$A$2:$A$200,0)),"")</f>
        <v>LAW Him</v>
      </c>
    </row>
    <row r="4596" customFormat="false" ht="15" hidden="false" customHeight="false" outlineLevel="0" collapsed="false">
      <c r="A4596" s="3" t="s">
        <v>428</v>
      </c>
      <c r="B4596" s="4" t="s">
        <v>60</v>
      </c>
      <c r="C4596" s="4" t="n">
        <v>4</v>
      </c>
      <c r="D4596" s="4" t="s">
        <v>17</v>
      </c>
      <c r="E4596" s="3" t="s">
        <v>333</v>
      </c>
      <c r="F4596" s="4" t="str">
        <f aca="false">IF(I4596&gt;J4596,"Y","N")</f>
        <v>N</v>
      </c>
      <c r="G4596" s="3" t="s">
        <v>72</v>
      </c>
      <c r="H4596" s="3" t="s">
        <v>34</v>
      </c>
      <c r="I4596" s="4" t="n">
        <v>4</v>
      </c>
      <c r="J4596" s="4" t="n">
        <f aca="false">LEN(E4596)-LEN(SUBSTITUTE(E4596,",",""))+1</f>
        <v>4</v>
      </c>
      <c r="K4596" s="3" t="str">
        <f aca="false">IFERROR(INDEX('Teacher Lookup'!$B$2:$B$200,MATCH(A4596,'Teacher Lookup'!$A$2:$A$200,0)),"")</f>
        <v>LAW Him</v>
      </c>
    </row>
    <row r="4597" customFormat="false" ht="15" hidden="false" customHeight="false" outlineLevel="0" collapsed="false">
      <c r="A4597" s="3" t="s">
        <v>428</v>
      </c>
      <c r="B4597" s="4" t="s">
        <v>60</v>
      </c>
      <c r="C4597" s="4" t="n">
        <v>4</v>
      </c>
      <c r="D4597" s="4" t="s">
        <v>18</v>
      </c>
      <c r="E4597" s="3" t="s">
        <v>333</v>
      </c>
      <c r="F4597" s="4" t="str">
        <f aca="false">IF(I4597&gt;J4597,"Y","N")</f>
        <v>N</v>
      </c>
      <c r="G4597" s="3" t="s">
        <v>72</v>
      </c>
      <c r="H4597" s="3" t="s">
        <v>34</v>
      </c>
      <c r="I4597" s="4" t="n">
        <v>4</v>
      </c>
      <c r="J4597" s="4" t="n">
        <f aca="false">LEN(E4597)-LEN(SUBSTITUTE(E4597,",",""))+1</f>
        <v>4</v>
      </c>
      <c r="K4597" s="3" t="str">
        <f aca="false">IFERROR(INDEX('Teacher Lookup'!$B$2:$B$200,MATCH(A4597,'Teacher Lookup'!$A$2:$A$200,0)),"")</f>
        <v>LAW Him</v>
      </c>
    </row>
    <row r="4598" customFormat="false" ht="15" hidden="false" customHeight="false" outlineLevel="0" collapsed="false">
      <c r="A4598" s="3" t="s">
        <v>428</v>
      </c>
      <c r="B4598" s="4" t="s">
        <v>60</v>
      </c>
      <c r="C4598" s="4" t="n">
        <v>5</v>
      </c>
      <c r="D4598" s="4" t="s">
        <v>19</v>
      </c>
      <c r="E4598" s="3" t="s">
        <v>35</v>
      </c>
      <c r="F4598" s="4" t="str">
        <f aca="false">IF(I4598&gt;J4598,"Y","N")</f>
        <v>Y</v>
      </c>
      <c r="G4598" s="3" t="s">
        <v>36</v>
      </c>
      <c r="H4598" s="3" t="s">
        <v>37</v>
      </c>
      <c r="I4598" s="4" t="n">
        <v>17</v>
      </c>
      <c r="J4598" s="4" t="n">
        <f aca="false">LEN(E4598)-LEN(SUBSTITUTE(E4598,",",""))+1</f>
        <v>7</v>
      </c>
      <c r="K4598" s="3" t="str">
        <f aca="false">IFERROR(INDEX('Teacher Lookup'!$B$2:$B$200,MATCH(A4598,'Teacher Lookup'!$A$2:$A$200,0)),"")</f>
        <v>LAW Him</v>
      </c>
    </row>
    <row r="4599" customFormat="false" ht="15" hidden="false" customHeight="false" outlineLevel="0" collapsed="false">
      <c r="A4599" s="3" t="s">
        <v>428</v>
      </c>
      <c r="B4599" s="4" t="s">
        <v>60</v>
      </c>
      <c r="C4599" s="4" t="n">
        <v>5</v>
      </c>
      <c r="D4599" s="4" t="s">
        <v>22</v>
      </c>
      <c r="E4599" s="3" t="s">
        <v>35</v>
      </c>
      <c r="F4599" s="4" t="str">
        <f aca="false">IF(I4599&gt;J4599,"Y","N")</f>
        <v>Y</v>
      </c>
      <c r="G4599" s="3" t="s">
        <v>36</v>
      </c>
      <c r="H4599" s="3" t="s">
        <v>37</v>
      </c>
      <c r="I4599" s="4" t="n">
        <v>17</v>
      </c>
      <c r="J4599" s="4" t="n">
        <f aca="false">LEN(E4599)-LEN(SUBSTITUTE(E4599,",",""))+1</f>
        <v>7</v>
      </c>
      <c r="K4599" s="3" t="str">
        <f aca="false">IFERROR(INDEX('Teacher Lookup'!$B$2:$B$200,MATCH(A4599,'Teacher Lookup'!$A$2:$A$200,0)),"")</f>
        <v>LAW Him</v>
      </c>
    </row>
    <row r="4600" customFormat="false" ht="15" hidden="false" customHeight="false" outlineLevel="0" collapsed="false">
      <c r="A4600" s="3" t="s">
        <v>428</v>
      </c>
      <c r="B4600" s="4" t="s">
        <v>60</v>
      </c>
      <c r="C4600" s="4" t="n">
        <v>5</v>
      </c>
      <c r="D4600" s="4" t="s">
        <v>23</v>
      </c>
      <c r="E4600" s="3" t="s">
        <v>35</v>
      </c>
      <c r="F4600" s="4" t="str">
        <f aca="false">IF(I4600&gt;J4600,"Y","N")</f>
        <v>Y</v>
      </c>
      <c r="G4600" s="3" t="s">
        <v>36</v>
      </c>
      <c r="H4600" s="3" t="s">
        <v>37</v>
      </c>
      <c r="I4600" s="4" t="n">
        <v>17</v>
      </c>
      <c r="J4600" s="4" t="n">
        <f aca="false">LEN(E4600)-LEN(SUBSTITUTE(E4600,",",""))+1</f>
        <v>7</v>
      </c>
      <c r="K4600" s="3" t="str">
        <f aca="false">IFERROR(INDEX('Teacher Lookup'!$B$2:$B$200,MATCH(A4600,'Teacher Lookup'!$A$2:$A$200,0)),"")</f>
        <v>LAW Him</v>
      </c>
    </row>
    <row r="4601" customFormat="false" ht="15" hidden="false" customHeight="false" outlineLevel="0" collapsed="false">
      <c r="A4601" s="3" t="s">
        <v>428</v>
      </c>
      <c r="B4601" s="4" t="s">
        <v>60</v>
      </c>
      <c r="C4601" s="4" t="n">
        <v>5</v>
      </c>
      <c r="D4601" s="4" t="s">
        <v>13</v>
      </c>
      <c r="E4601" s="3" t="s">
        <v>35</v>
      </c>
      <c r="F4601" s="4" t="str">
        <f aca="false">IF(I4601&gt;J4601,"Y","N")</f>
        <v>Y</v>
      </c>
      <c r="G4601" s="3" t="s">
        <v>36</v>
      </c>
      <c r="H4601" s="3" t="s">
        <v>37</v>
      </c>
      <c r="I4601" s="4" t="n">
        <v>17</v>
      </c>
      <c r="J4601" s="4" t="n">
        <f aca="false">LEN(E4601)-LEN(SUBSTITUTE(E4601,",",""))+1</f>
        <v>7</v>
      </c>
      <c r="K4601" s="3" t="str">
        <f aca="false">IFERROR(INDEX('Teacher Lookup'!$B$2:$B$200,MATCH(A4601,'Teacher Lookup'!$A$2:$A$200,0)),"")</f>
        <v>LAW Him</v>
      </c>
    </row>
    <row r="4602" customFormat="false" ht="15" hidden="false" customHeight="false" outlineLevel="0" collapsed="false">
      <c r="A4602" s="3" t="s">
        <v>428</v>
      </c>
      <c r="B4602" s="4" t="s">
        <v>60</v>
      </c>
      <c r="C4602" s="4" t="n">
        <v>5</v>
      </c>
      <c r="D4602" s="4" t="s">
        <v>17</v>
      </c>
      <c r="E4602" s="3" t="s">
        <v>35</v>
      </c>
      <c r="F4602" s="4" t="str">
        <f aca="false">IF(I4602&gt;J4602,"Y","N")</f>
        <v>Y</v>
      </c>
      <c r="G4602" s="3" t="s">
        <v>36</v>
      </c>
      <c r="H4602" s="3" t="s">
        <v>37</v>
      </c>
      <c r="I4602" s="4" t="n">
        <v>17</v>
      </c>
      <c r="J4602" s="4" t="n">
        <f aca="false">LEN(E4602)-LEN(SUBSTITUTE(E4602,",",""))+1</f>
        <v>7</v>
      </c>
      <c r="K4602" s="3" t="str">
        <f aca="false">IFERROR(INDEX('Teacher Lookup'!$B$2:$B$200,MATCH(A4602,'Teacher Lookup'!$A$2:$A$200,0)),"")</f>
        <v>LAW Him</v>
      </c>
    </row>
    <row r="4603" customFormat="false" ht="15" hidden="false" customHeight="false" outlineLevel="0" collapsed="false">
      <c r="A4603" s="3" t="s">
        <v>428</v>
      </c>
      <c r="B4603" s="4" t="s">
        <v>60</v>
      </c>
      <c r="C4603" s="4" t="n">
        <v>5</v>
      </c>
      <c r="D4603" s="4" t="s">
        <v>18</v>
      </c>
      <c r="E4603" s="3" t="s">
        <v>35</v>
      </c>
      <c r="F4603" s="4" t="str">
        <f aca="false">IF(I4603&gt;J4603,"Y","N")</f>
        <v>Y</v>
      </c>
      <c r="G4603" s="3" t="s">
        <v>36</v>
      </c>
      <c r="H4603" s="3" t="s">
        <v>37</v>
      </c>
      <c r="I4603" s="4" t="n">
        <v>17</v>
      </c>
      <c r="J4603" s="4" t="n">
        <f aca="false">LEN(E4603)-LEN(SUBSTITUTE(E4603,",",""))+1</f>
        <v>7</v>
      </c>
      <c r="K4603" s="3" t="str">
        <f aca="false">IFERROR(INDEX('Teacher Lookup'!$B$2:$B$200,MATCH(A4603,'Teacher Lookup'!$A$2:$A$200,0)),"")</f>
        <v>LAW Him</v>
      </c>
    </row>
    <row r="4604" customFormat="false" ht="15" hidden="false" customHeight="false" outlineLevel="0" collapsed="false">
      <c r="A4604" s="3" t="s">
        <v>428</v>
      </c>
      <c r="B4604" s="4" t="s">
        <v>60</v>
      </c>
      <c r="C4604" s="4" t="n">
        <v>7</v>
      </c>
      <c r="D4604" s="4" t="s">
        <v>28</v>
      </c>
      <c r="E4604" s="3" t="s">
        <v>153</v>
      </c>
      <c r="F4604" s="4" t="str">
        <f aca="false">IF(I4604&gt;J4604,"Y","N")</f>
        <v>N</v>
      </c>
      <c r="G4604" s="3" t="s">
        <v>72</v>
      </c>
      <c r="H4604" s="3" t="s">
        <v>39</v>
      </c>
      <c r="I4604" s="4" t="n">
        <v>4</v>
      </c>
      <c r="J4604" s="4" t="n">
        <f aca="false">LEN(E4604)-LEN(SUBSTITUTE(E4604,",",""))+1</f>
        <v>4</v>
      </c>
      <c r="K4604" s="3" t="str">
        <f aca="false">IFERROR(INDEX('Teacher Lookup'!$B$2:$B$200,MATCH(A4604,'Teacher Lookup'!$A$2:$A$200,0)),"")</f>
        <v>LAW Him</v>
      </c>
    </row>
    <row r="4605" customFormat="false" ht="15" hidden="false" customHeight="false" outlineLevel="0" collapsed="false">
      <c r="A4605" s="3" t="s">
        <v>428</v>
      </c>
      <c r="B4605" s="4" t="s">
        <v>60</v>
      </c>
      <c r="C4605" s="4" t="n">
        <v>7</v>
      </c>
      <c r="D4605" s="4" t="s">
        <v>29</v>
      </c>
      <c r="E4605" s="3" t="s">
        <v>153</v>
      </c>
      <c r="F4605" s="4" t="str">
        <f aca="false">IF(I4605&gt;J4605,"Y","N")</f>
        <v>N</v>
      </c>
      <c r="G4605" s="3" t="s">
        <v>72</v>
      </c>
      <c r="H4605" s="3" t="s">
        <v>39</v>
      </c>
      <c r="I4605" s="4" t="n">
        <v>4</v>
      </c>
      <c r="J4605" s="4" t="n">
        <f aca="false">LEN(E4605)-LEN(SUBSTITUTE(E4605,",",""))+1</f>
        <v>4</v>
      </c>
      <c r="K4605" s="3" t="str">
        <f aca="false">IFERROR(INDEX('Teacher Lookup'!$B$2:$B$200,MATCH(A4605,'Teacher Lookup'!$A$2:$A$200,0)),"")</f>
        <v>LAW Him</v>
      </c>
    </row>
    <row r="4606" customFormat="false" ht="15" hidden="false" customHeight="false" outlineLevel="0" collapsed="false">
      <c r="A4606" s="3" t="s">
        <v>428</v>
      </c>
      <c r="B4606" s="4" t="s">
        <v>60</v>
      </c>
      <c r="C4606" s="4" t="n">
        <v>7</v>
      </c>
      <c r="D4606" s="4" t="s">
        <v>30</v>
      </c>
      <c r="E4606" s="3" t="s">
        <v>153</v>
      </c>
      <c r="F4606" s="4" t="str">
        <f aca="false">IF(I4606&gt;J4606,"Y","N")</f>
        <v>N</v>
      </c>
      <c r="G4606" s="3" t="s">
        <v>72</v>
      </c>
      <c r="H4606" s="3" t="s">
        <v>39</v>
      </c>
      <c r="I4606" s="4" t="n">
        <v>4</v>
      </c>
      <c r="J4606" s="4" t="n">
        <f aca="false">LEN(E4606)-LEN(SUBSTITUTE(E4606,",",""))+1</f>
        <v>4</v>
      </c>
      <c r="K4606" s="3" t="str">
        <f aca="false">IFERROR(INDEX('Teacher Lookup'!$B$2:$B$200,MATCH(A4606,'Teacher Lookup'!$A$2:$A$200,0)),"")</f>
        <v>LAW Him</v>
      </c>
    </row>
    <row r="4607" customFormat="false" ht="15" hidden="false" customHeight="false" outlineLevel="0" collapsed="false">
      <c r="A4607" s="3" t="s">
        <v>428</v>
      </c>
      <c r="B4607" s="4" t="s">
        <v>63</v>
      </c>
      <c r="C4607" s="4" t="n">
        <v>1</v>
      </c>
      <c r="D4607" s="4" t="s">
        <v>13</v>
      </c>
      <c r="E4607" s="3" t="s">
        <v>327</v>
      </c>
      <c r="F4607" s="4" t="str">
        <f aca="false">IF(I4607&gt;J4607,"Y","N")</f>
        <v>N</v>
      </c>
      <c r="G4607" s="3" t="s">
        <v>72</v>
      </c>
      <c r="H4607" s="3" t="s">
        <v>16</v>
      </c>
      <c r="I4607" s="4" t="n">
        <v>4</v>
      </c>
      <c r="J4607" s="4" t="n">
        <f aca="false">LEN(E4607)-LEN(SUBSTITUTE(E4607,",",""))+1</f>
        <v>4</v>
      </c>
      <c r="K4607" s="3" t="str">
        <f aca="false">IFERROR(INDEX('Teacher Lookup'!$B$2:$B$200,MATCH(A4607,'Teacher Lookup'!$A$2:$A$200,0)),"")</f>
        <v>LAW Him</v>
      </c>
    </row>
    <row r="4608" customFormat="false" ht="15" hidden="false" customHeight="false" outlineLevel="0" collapsed="false">
      <c r="A4608" s="3" t="s">
        <v>428</v>
      </c>
      <c r="B4608" s="4" t="s">
        <v>63</v>
      </c>
      <c r="C4608" s="4" t="n">
        <v>1</v>
      </c>
      <c r="D4608" s="4" t="s">
        <v>17</v>
      </c>
      <c r="E4608" s="3" t="s">
        <v>327</v>
      </c>
      <c r="F4608" s="4" t="str">
        <f aca="false">IF(I4608&gt;J4608,"Y","N")</f>
        <v>N</v>
      </c>
      <c r="G4608" s="3" t="s">
        <v>72</v>
      </c>
      <c r="H4608" s="3" t="s">
        <v>16</v>
      </c>
      <c r="I4608" s="4" t="n">
        <v>4</v>
      </c>
      <c r="J4608" s="4" t="n">
        <f aca="false">LEN(E4608)-LEN(SUBSTITUTE(E4608,",",""))+1</f>
        <v>4</v>
      </c>
      <c r="K4608" s="3" t="str">
        <f aca="false">IFERROR(INDEX('Teacher Lookup'!$B$2:$B$200,MATCH(A4608,'Teacher Lookup'!$A$2:$A$200,0)),"")</f>
        <v>LAW Him</v>
      </c>
    </row>
    <row r="4609" customFormat="false" ht="15" hidden="false" customHeight="false" outlineLevel="0" collapsed="false">
      <c r="A4609" s="3" t="s">
        <v>428</v>
      </c>
      <c r="B4609" s="4" t="s">
        <v>63</v>
      </c>
      <c r="C4609" s="4" t="n">
        <v>1</v>
      </c>
      <c r="D4609" s="4" t="s">
        <v>18</v>
      </c>
      <c r="E4609" s="3" t="s">
        <v>327</v>
      </c>
      <c r="F4609" s="4" t="str">
        <f aca="false">IF(I4609&gt;J4609,"Y","N")</f>
        <v>N</v>
      </c>
      <c r="G4609" s="3" t="s">
        <v>72</v>
      </c>
      <c r="H4609" s="3" t="s">
        <v>16</v>
      </c>
      <c r="I4609" s="4" t="n">
        <v>4</v>
      </c>
      <c r="J4609" s="4" t="n">
        <f aca="false">LEN(E4609)-LEN(SUBSTITUTE(E4609,",",""))+1</f>
        <v>4</v>
      </c>
      <c r="K4609" s="3" t="str">
        <f aca="false">IFERROR(INDEX('Teacher Lookup'!$B$2:$B$200,MATCH(A4609,'Teacher Lookup'!$A$2:$A$200,0)),"")</f>
        <v>LAW Him</v>
      </c>
    </row>
    <row r="4610" customFormat="false" ht="15" hidden="false" customHeight="false" outlineLevel="0" collapsed="false">
      <c r="A4610" s="3" t="s">
        <v>428</v>
      </c>
      <c r="B4610" s="4" t="s">
        <v>63</v>
      </c>
      <c r="C4610" s="4" t="n">
        <v>2</v>
      </c>
      <c r="D4610" s="4" t="s">
        <v>13</v>
      </c>
      <c r="E4610" s="3" t="s">
        <v>327</v>
      </c>
      <c r="F4610" s="4" t="str">
        <f aca="false">IF(I4610&gt;J4610,"Y","N")</f>
        <v>N</v>
      </c>
      <c r="G4610" s="3" t="s">
        <v>72</v>
      </c>
      <c r="H4610" s="3" t="s">
        <v>21</v>
      </c>
      <c r="I4610" s="4" t="n">
        <v>4</v>
      </c>
      <c r="J4610" s="4" t="n">
        <f aca="false">LEN(E4610)-LEN(SUBSTITUTE(E4610,",",""))+1</f>
        <v>4</v>
      </c>
      <c r="K4610" s="3" t="str">
        <f aca="false">IFERROR(INDEX('Teacher Lookup'!$B$2:$B$200,MATCH(A4610,'Teacher Lookup'!$A$2:$A$200,0)),"")</f>
        <v>LAW Him</v>
      </c>
    </row>
    <row r="4611" customFormat="false" ht="15" hidden="false" customHeight="false" outlineLevel="0" collapsed="false">
      <c r="A4611" s="3" t="s">
        <v>428</v>
      </c>
      <c r="B4611" s="4" t="s">
        <v>63</v>
      </c>
      <c r="C4611" s="4" t="n">
        <v>2</v>
      </c>
      <c r="D4611" s="4" t="s">
        <v>17</v>
      </c>
      <c r="E4611" s="3" t="s">
        <v>327</v>
      </c>
      <c r="F4611" s="4" t="str">
        <f aca="false">IF(I4611&gt;J4611,"Y","N")</f>
        <v>N</v>
      </c>
      <c r="G4611" s="3" t="s">
        <v>72</v>
      </c>
      <c r="H4611" s="3" t="s">
        <v>21</v>
      </c>
      <c r="I4611" s="4" t="n">
        <v>4</v>
      </c>
      <c r="J4611" s="4" t="n">
        <f aca="false">LEN(E4611)-LEN(SUBSTITUTE(E4611,",",""))+1</f>
        <v>4</v>
      </c>
      <c r="K4611" s="3" t="str">
        <f aca="false">IFERROR(INDEX('Teacher Lookup'!$B$2:$B$200,MATCH(A4611,'Teacher Lookup'!$A$2:$A$200,0)),"")</f>
        <v>LAW Him</v>
      </c>
    </row>
    <row r="4612" customFormat="false" ht="15" hidden="false" customHeight="false" outlineLevel="0" collapsed="false">
      <c r="A4612" s="3" t="s">
        <v>428</v>
      </c>
      <c r="B4612" s="4" t="s">
        <v>63</v>
      </c>
      <c r="C4612" s="4" t="n">
        <v>2</v>
      </c>
      <c r="D4612" s="4" t="s">
        <v>18</v>
      </c>
      <c r="E4612" s="3" t="s">
        <v>327</v>
      </c>
      <c r="F4612" s="4" t="str">
        <f aca="false">IF(I4612&gt;J4612,"Y","N")</f>
        <v>N</v>
      </c>
      <c r="G4612" s="3" t="s">
        <v>72</v>
      </c>
      <c r="H4612" s="3" t="s">
        <v>21</v>
      </c>
      <c r="I4612" s="4" t="n">
        <v>4</v>
      </c>
      <c r="J4612" s="4" t="n">
        <f aca="false">LEN(E4612)-LEN(SUBSTITUTE(E4612,",",""))+1</f>
        <v>4</v>
      </c>
      <c r="K4612" s="3" t="str">
        <f aca="false">IFERROR(INDEX('Teacher Lookup'!$B$2:$B$200,MATCH(A4612,'Teacher Lookup'!$A$2:$A$200,0)),"")</f>
        <v>LAW Him</v>
      </c>
    </row>
    <row r="4613" customFormat="false" ht="15" hidden="false" customHeight="false" outlineLevel="0" collapsed="false">
      <c r="A4613" s="3" t="s">
        <v>428</v>
      </c>
      <c r="B4613" s="4" t="s">
        <v>63</v>
      </c>
      <c r="C4613" s="4" t="n">
        <v>3</v>
      </c>
      <c r="D4613" s="4" t="s">
        <v>19</v>
      </c>
      <c r="E4613" s="3" t="s">
        <v>334</v>
      </c>
      <c r="F4613" s="4" t="str">
        <f aca="false">IF(I4613&gt;J4613,"Y","N")</f>
        <v>N</v>
      </c>
      <c r="G4613" s="3" t="s">
        <v>72</v>
      </c>
      <c r="H4613" s="3" t="s">
        <v>26</v>
      </c>
      <c r="I4613" s="4" t="n">
        <v>4</v>
      </c>
      <c r="J4613" s="4" t="n">
        <f aca="false">LEN(E4613)-LEN(SUBSTITUTE(E4613,",",""))+1</f>
        <v>4</v>
      </c>
      <c r="K4613" s="3" t="str">
        <f aca="false">IFERROR(INDEX('Teacher Lookup'!$B$2:$B$200,MATCH(A4613,'Teacher Lookup'!$A$2:$A$200,0)),"")</f>
        <v>LAW Him</v>
      </c>
    </row>
    <row r="4614" customFormat="false" ht="15" hidden="false" customHeight="false" outlineLevel="0" collapsed="false">
      <c r="A4614" s="3" t="s">
        <v>428</v>
      </c>
      <c r="B4614" s="4" t="s">
        <v>63</v>
      </c>
      <c r="C4614" s="4" t="n">
        <v>3</v>
      </c>
      <c r="D4614" s="4" t="s">
        <v>22</v>
      </c>
      <c r="E4614" s="3" t="s">
        <v>334</v>
      </c>
      <c r="F4614" s="4" t="str">
        <f aca="false">IF(I4614&gt;J4614,"Y","N")</f>
        <v>N</v>
      </c>
      <c r="G4614" s="3" t="s">
        <v>72</v>
      </c>
      <c r="H4614" s="3" t="s">
        <v>26</v>
      </c>
      <c r="I4614" s="4" t="n">
        <v>4</v>
      </c>
      <c r="J4614" s="4" t="n">
        <f aca="false">LEN(E4614)-LEN(SUBSTITUTE(E4614,",",""))+1</f>
        <v>4</v>
      </c>
      <c r="K4614" s="3" t="str">
        <f aca="false">IFERROR(INDEX('Teacher Lookup'!$B$2:$B$200,MATCH(A4614,'Teacher Lookup'!$A$2:$A$200,0)),"")</f>
        <v>LAW Him</v>
      </c>
    </row>
    <row r="4615" customFormat="false" ht="15" hidden="false" customHeight="false" outlineLevel="0" collapsed="false">
      <c r="A4615" s="3" t="s">
        <v>428</v>
      </c>
      <c r="B4615" s="4" t="s">
        <v>63</v>
      </c>
      <c r="C4615" s="4" t="n">
        <v>3</v>
      </c>
      <c r="D4615" s="4" t="s">
        <v>23</v>
      </c>
      <c r="E4615" s="3" t="s">
        <v>334</v>
      </c>
      <c r="F4615" s="4" t="str">
        <f aca="false">IF(I4615&gt;J4615,"Y","N")</f>
        <v>N</v>
      </c>
      <c r="G4615" s="3" t="s">
        <v>72</v>
      </c>
      <c r="H4615" s="3" t="s">
        <v>26</v>
      </c>
      <c r="I4615" s="4" t="n">
        <v>4</v>
      </c>
      <c r="J4615" s="4" t="n">
        <f aca="false">LEN(E4615)-LEN(SUBSTITUTE(E4615,",",""))+1</f>
        <v>4</v>
      </c>
      <c r="K4615" s="3" t="str">
        <f aca="false">IFERROR(INDEX('Teacher Lookup'!$B$2:$B$200,MATCH(A4615,'Teacher Lookup'!$A$2:$A$200,0)),"")</f>
        <v>LAW Him</v>
      </c>
    </row>
    <row r="4616" customFormat="false" ht="15" hidden="false" customHeight="false" outlineLevel="0" collapsed="false">
      <c r="A4616" s="3" t="s">
        <v>428</v>
      </c>
      <c r="B4616" s="4" t="s">
        <v>63</v>
      </c>
      <c r="C4616" s="4" t="n">
        <v>6</v>
      </c>
      <c r="D4616" s="4" t="s">
        <v>28</v>
      </c>
      <c r="E4616" s="3" t="s">
        <v>158</v>
      </c>
      <c r="F4616" s="4" t="str">
        <f aca="false">IF(I4616&gt;J4616,"Y","N")</f>
        <v>N</v>
      </c>
      <c r="G4616" s="3" t="s">
        <v>72</v>
      </c>
      <c r="H4616" s="3" t="s">
        <v>42</v>
      </c>
      <c r="I4616" s="4" t="n">
        <v>4</v>
      </c>
      <c r="J4616" s="4" t="n">
        <f aca="false">LEN(E4616)-LEN(SUBSTITUTE(E4616,",",""))+1</f>
        <v>4</v>
      </c>
      <c r="K4616" s="3" t="str">
        <f aca="false">IFERROR(INDEX('Teacher Lookup'!$B$2:$B$200,MATCH(A4616,'Teacher Lookup'!$A$2:$A$200,0)),"")</f>
        <v>LAW Him</v>
      </c>
    </row>
    <row r="4617" customFormat="false" ht="15" hidden="false" customHeight="false" outlineLevel="0" collapsed="false">
      <c r="A4617" s="3" t="s">
        <v>428</v>
      </c>
      <c r="B4617" s="4" t="s">
        <v>63</v>
      </c>
      <c r="C4617" s="4" t="n">
        <v>6</v>
      </c>
      <c r="D4617" s="4" t="s">
        <v>29</v>
      </c>
      <c r="E4617" s="3" t="s">
        <v>158</v>
      </c>
      <c r="F4617" s="4" t="str">
        <f aca="false">IF(I4617&gt;J4617,"Y","N")</f>
        <v>N</v>
      </c>
      <c r="G4617" s="3" t="s">
        <v>72</v>
      </c>
      <c r="H4617" s="3" t="s">
        <v>42</v>
      </c>
      <c r="I4617" s="4" t="n">
        <v>4</v>
      </c>
      <c r="J4617" s="4" t="n">
        <f aca="false">LEN(E4617)-LEN(SUBSTITUTE(E4617,",",""))+1</f>
        <v>4</v>
      </c>
      <c r="K4617" s="3" t="str">
        <f aca="false">IFERROR(INDEX('Teacher Lookup'!$B$2:$B$200,MATCH(A4617,'Teacher Lookup'!$A$2:$A$200,0)),"")</f>
        <v>LAW Him</v>
      </c>
    </row>
    <row r="4618" customFormat="false" ht="15" hidden="false" customHeight="false" outlineLevel="0" collapsed="false">
      <c r="A4618" s="3" t="s">
        <v>428</v>
      </c>
      <c r="B4618" s="4" t="s">
        <v>63</v>
      </c>
      <c r="C4618" s="4" t="n">
        <v>6</v>
      </c>
      <c r="D4618" s="4" t="s">
        <v>30</v>
      </c>
      <c r="E4618" s="3" t="s">
        <v>158</v>
      </c>
      <c r="F4618" s="4" t="str">
        <f aca="false">IF(I4618&gt;J4618,"Y","N")</f>
        <v>N</v>
      </c>
      <c r="G4618" s="3" t="s">
        <v>72</v>
      </c>
      <c r="H4618" s="3" t="s">
        <v>42</v>
      </c>
      <c r="I4618" s="4" t="n">
        <v>4</v>
      </c>
      <c r="J4618" s="4" t="n">
        <f aca="false">LEN(E4618)-LEN(SUBSTITUTE(E4618,",",""))+1</f>
        <v>4</v>
      </c>
      <c r="K4618" s="3" t="str">
        <f aca="false">IFERROR(INDEX('Teacher Lookup'!$B$2:$B$200,MATCH(A4618,'Teacher Lookup'!$A$2:$A$200,0)),"")</f>
        <v>LAW Him</v>
      </c>
    </row>
    <row r="4619" customFormat="false" ht="15" hidden="false" customHeight="false" outlineLevel="0" collapsed="false">
      <c r="A4619" s="3" t="s">
        <v>428</v>
      </c>
      <c r="B4619" s="4" t="s">
        <v>65</v>
      </c>
      <c r="C4619" s="4" t="n">
        <v>1</v>
      </c>
      <c r="D4619" s="4" t="s">
        <v>19</v>
      </c>
      <c r="E4619" s="3" t="s">
        <v>51</v>
      </c>
      <c r="F4619" s="4" t="str">
        <f aca="false">IF(I4619&gt;J4619,"Y","N")</f>
        <v>N</v>
      </c>
      <c r="G4619" s="3" t="s">
        <v>72</v>
      </c>
      <c r="H4619" s="3" t="s">
        <v>16</v>
      </c>
      <c r="I4619" s="4" t="n">
        <v>4</v>
      </c>
      <c r="J4619" s="4" t="n">
        <f aca="false">LEN(E4619)-LEN(SUBSTITUTE(E4619,",",""))+1</f>
        <v>4</v>
      </c>
      <c r="K4619" s="3" t="str">
        <f aca="false">IFERROR(INDEX('Teacher Lookup'!$B$2:$B$200,MATCH(A4619,'Teacher Lookup'!$A$2:$A$200,0)),"")</f>
        <v>LAW Him</v>
      </c>
    </row>
    <row r="4620" customFormat="false" ht="15" hidden="false" customHeight="false" outlineLevel="0" collapsed="false">
      <c r="A4620" s="3" t="s">
        <v>428</v>
      </c>
      <c r="B4620" s="4" t="s">
        <v>65</v>
      </c>
      <c r="C4620" s="4" t="n">
        <v>1</v>
      </c>
      <c r="D4620" s="4" t="s">
        <v>22</v>
      </c>
      <c r="E4620" s="3" t="s">
        <v>51</v>
      </c>
      <c r="F4620" s="4" t="str">
        <f aca="false">IF(I4620&gt;J4620,"Y","N")</f>
        <v>N</v>
      </c>
      <c r="G4620" s="3" t="s">
        <v>72</v>
      </c>
      <c r="H4620" s="3" t="s">
        <v>16</v>
      </c>
      <c r="I4620" s="4" t="n">
        <v>4</v>
      </c>
      <c r="J4620" s="4" t="n">
        <f aca="false">LEN(E4620)-LEN(SUBSTITUTE(E4620,",",""))+1</f>
        <v>4</v>
      </c>
      <c r="K4620" s="3" t="str">
        <f aca="false">IFERROR(INDEX('Teacher Lookup'!$B$2:$B$200,MATCH(A4620,'Teacher Lookup'!$A$2:$A$200,0)),"")</f>
        <v>LAW Him</v>
      </c>
    </row>
    <row r="4621" customFormat="false" ht="15" hidden="false" customHeight="false" outlineLevel="0" collapsed="false">
      <c r="A4621" s="3" t="s">
        <v>428</v>
      </c>
      <c r="B4621" s="4" t="s">
        <v>65</v>
      </c>
      <c r="C4621" s="4" t="n">
        <v>1</v>
      </c>
      <c r="D4621" s="4" t="s">
        <v>23</v>
      </c>
      <c r="E4621" s="3" t="s">
        <v>51</v>
      </c>
      <c r="F4621" s="4" t="str">
        <f aca="false">IF(I4621&gt;J4621,"Y","N")</f>
        <v>N</v>
      </c>
      <c r="G4621" s="3" t="s">
        <v>72</v>
      </c>
      <c r="H4621" s="3" t="s">
        <v>16</v>
      </c>
      <c r="I4621" s="4" t="n">
        <v>4</v>
      </c>
      <c r="J4621" s="4" t="n">
        <f aca="false">LEN(E4621)-LEN(SUBSTITUTE(E4621,",",""))+1</f>
        <v>4</v>
      </c>
      <c r="K4621" s="3" t="str">
        <f aca="false">IFERROR(INDEX('Teacher Lookup'!$B$2:$B$200,MATCH(A4621,'Teacher Lookup'!$A$2:$A$200,0)),"")</f>
        <v>LAW Him</v>
      </c>
    </row>
    <row r="4622" customFormat="false" ht="15" hidden="false" customHeight="false" outlineLevel="0" collapsed="false">
      <c r="A4622" s="3" t="s">
        <v>428</v>
      </c>
      <c r="B4622" s="4" t="s">
        <v>65</v>
      </c>
      <c r="C4622" s="4" t="n">
        <v>5</v>
      </c>
      <c r="D4622" s="4" t="s">
        <v>19</v>
      </c>
      <c r="E4622" s="3" t="s">
        <v>35</v>
      </c>
      <c r="F4622" s="4" t="str">
        <f aca="false">IF(I4622&gt;J4622,"Y","N")</f>
        <v>Y</v>
      </c>
      <c r="G4622" s="3" t="s">
        <v>36</v>
      </c>
      <c r="H4622" s="3" t="s">
        <v>37</v>
      </c>
      <c r="I4622" s="4" t="n">
        <v>17</v>
      </c>
      <c r="J4622" s="4" t="n">
        <f aca="false">LEN(E4622)-LEN(SUBSTITUTE(E4622,",",""))+1</f>
        <v>7</v>
      </c>
      <c r="K4622" s="3" t="str">
        <f aca="false">IFERROR(INDEX('Teacher Lookup'!$B$2:$B$200,MATCH(A4622,'Teacher Lookup'!$A$2:$A$200,0)),"")</f>
        <v>LAW Him</v>
      </c>
    </row>
    <row r="4623" customFormat="false" ht="15" hidden="false" customHeight="false" outlineLevel="0" collapsed="false">
      <c r="A4623" s="3" t="s">
        <v>428</v>
      </c>
      <c r="B4623" s="4" t="s">
        <v>65</v>
      </c>
      <c r="C4623" s="4" t="n">
        <v>5</v>
      </c>
      <c r="D4623" s="4" t="s">
        <v>22</v>
      </c>
      <c r="E4623" s="3" t="s">
        <v>35</v>
      </c>
      <c r="F4623" s="4" t="str">
        <f aca="false">IF(I4623&gt;J4623,"Y","N")</f>
        <v>Y</v>
      </c>
      <c r="G4623" s="3" t="s">
        <v>36</v>
      </c>
      <c r="H4623" s="3" t="s">
        <v>37</v>
      </c>
      <c r="I4623" s="4" t="n">
        <v>17</v>
      </c>
      <c r="J4623" s="4" t="n">
        <f aca="false">LEN(E4623)-LEN(SUBSTITUTE(E4623,",",""))+1</f>
        <v>7</v>
      </c>
      <c r="K4623" s="3" t="str">
        <f aca="false">IFERROR(INDEX('Teacher Lookup'!$B$2:$B$200,MATCH(A4623,'Teacher Lookup'!$A$2:$A$200,0)),"")</f>
        <v>LAW Him</v>
      </c>
    </row>
    <row r="4624" customFormat="false" ht="15" hidden="false" customHeight="false" outlineLevel="0" collapsed="false">
      <c r="A4624" s="3" t="s">
        <v>428</v>
      </c>
      <c r="B4624" s="4" t="s">
        <v>65</v>
      </c>
      <c r="C4624" s="4" t="n">
        <v>5</v>
      </c>
      <c r="D4624" s="4" t="s">
        <v>23</v>
      </c>
      <c r="E4624" s="3" t="s">
        <v>35</v>
      </c>
      <c r="F4624" s="4" t="str">
        <f aca="false">IF(I4624&gt;J4624,"Y","N")</f>
        <v>Y</v>
      </c>
      <c r="G4624" s="3" t="s">
        <v>36</v>
      </c>
      <c r="H4624" s="3" t="s">
        <v>37</v>
      </c>
      <c r="I4624" s="4" t="n">
        <v>17</v>
      </c>
      <c r="J4624" s="4" t="n">
        <f aca="false">LEN(E4624)-LEN(SUBSTITUTE(E4624,",",""))+1</f>
        <v>7</v>
      </c>
      <c r="K4624" s="3" t="str">
        <f aca="false">IFERROR(INDEX('Teacher Lookup'!$B$2:$B$200,MATCH(A4624,'Teacher Lookup'!$A$2:$A$200,0)),"")</f>
        <v>LAW Him</v>
      </c>
    </row>
    <row r="4625" customFormat="false" ht="15" hidden="false" customHeight="false" outlineLevel="0" collapsed="false">
      <c r="A4625" s="3" t="s">
        <v>428</v>
      </c>
      <c r="B4625" s="4" t="s">
        <v>65</v>
      </c>
      <c r="C4625" s="4" t="n">
        <v>5</v>
      </c>
      <c r="D4625" s="4" t="s">
        <v>13</v>
      </c>
      <c r="E4625" s="3" t="s">
        <v>35</v>
      </c>
      <c r="F4625" s="4" t="str">
        <f aca="false">IF(I4625&gt;J4625,"Y","N")</f>
        <v>Y</v>
      </c>
      <c r="G4625" s="3" t="s">
        <v>36</v>
      </c>
      <c r="H4625" s="3" t="s">
        <v>37</v>
      </c>
      <c r="I4625" s="4" t="n">
        <v>17</v>
      </c>
      <c r="J4625" s="4" t="n">
        <f aca="false">LEN(E4625)-LEN(SUBSTITUTE(E4625,",",""))+1</f>
        <v>7</v>
      </c>
      <c r="K4625" s="3" t="str">
        <f aca="false">IFERROR(INDEX('Teacher Lookup'!$B$2:$B$200,MATCH(A4625,'Teacher Lookup'!$A$2:$A$200,0)),"")</f>
        <v>LAW Him</v>
      </c>
    </row>
    <row r="4626" customFormat="false" ht="15" hidden="false" customHeight="false" outlineLevel="0" collapsed="false">
      <c r="A4626" s="3" t="s">
        <v>428</v>
      </c>
      <c r="B4626" s="4" t="s">
        <v>65</v>
      </c>
      <c r="C4626" s="4" t="n">
        <v>5</v>
      </c>
      <c r="D4626" s="4" t="s">
        <v>17</v>
      </c>
      <c r="E4626" s="3" t="s">
        <v>35</v>
      </c>
      <c r="F4626" s="4" t="str">
        <f aca="false">IF(I4626&gt;J4626,"Y","N")</f>
        <v>Y</v>
      </c>
      <c r="G4626" s="3" t="s">
        <v>36</v>
      </c>
      <c r="H4626" s="3" t="s">
        <v>37</v>
      </c>
      <c r="I4626" s="4" t="n">
        <v>17</v>
      </c>
      <c r="J4626" s="4" t="n">
        <f aca="false">LEN(E4626)-LEN(SUBSTITUTE(E4626,",",""))+1</f>
        <v>7</v>
      </c>
      <c r="K4626" s="3" t="str">
        <f aca="false">IFERROR(INDEX('Teacher Lookup'!$B$2:$B$200,MATCH(A4626,'Teacher Lookup'!$A$2:$A$200,0)),"")</f>
        <v>LAW Him</v>
      </c>
    </row>
    <row r="4627" customFormat="false" ht="15" hidden="false" customHeight="false" outlineLevel="0" collapsed="false">
      <c r="A4627" s="3" t="s">
        <v>428</v>
      </c>
      <c r="B4627" s="4" t="s">
        <v>65</v>
      </c>
      <c r="C4627" s="4" t="n">
        <v>5</v>
      </c>
      <c r="D4627" s="4" t="s">
        <v>18</v>
      </c>
      <c r="E4627" s="3" t="s">
        <v>35</v>
      </c>
      <c r="F4627" s="4" t="str">
        <f aca="false">IF(I4627&gt;J4627,"Y","N")</f>
        <v>Y</v>
      </c>
      <c r="G4627" s="3" t="s">
        <v>36</v>
      </c>
      <c r="H4627" s="3" t="s">
        <v>37</v>
      </c>
      <c r="I4627" s="4" t="n">
        <v>17</v>
      </c>
      <c r="J4627" s="4" t="n">
        <f aca="false">LEN(E4627)-LEN(SUBSTITUTE(E4627,",",""))+1</f>
        <v>7</v>
      </c>
      <c r="K4627" s="3" t="str">
        <f aca="false">IFERROR(INDEX('Teacher Lookup'!$B$2:$B$200,MATCH(A4627,'Teacher Lookup'!$A$2:$A$200,0)),"")</f>
        <v>LAW Him</v>
      </c>
    </row>
    <row r="4628" customFormat="false" ht="15" hidden="false" customHeight="false" outlineLevel="0" collapsed="false">
      <c r="A4628" s="3" t="s">
        <v>428</v>
      </c>
      <c r="B4628" s="4" t="s">
        <v>65</v>
      </c>
      <c r="C4628" s="4" t="n">
        <v>6</v>
      </c>
      <c r="D4628" s="4" t="s">
        <v>13</v>
      </c>
      <c r="E4628" s="3" t="s">
        <v>336</v>
      </c>
      <c r="F4628" s="4" t="str">
        <f aca="false">IF(I4628&gt;J4628,"Y","N")</f>
        <v>N</v>
      </c>
      <c r="G4628" s="3" t="s">
        <v>72</v>
      </c>
      <c r="H4628" s="3" t="s">
        <v>42</v>
      </c>
      <c r="I4628" s="4" t="n">
        <v>4</v>
      </c>
      <c r="J4628" s="4" t="n">
        <f aca="false">LEN(E4628)-LEN(SUBSTITUTE(E4628,",",""))+1</f>
        <v>4</v>
      </c>
      <c r="K4628" s="3" t="str">
        <f aca="false">IFERROR(INDEX('Teacher Lookup'!$B$2:$B$200,MATCH(A4628,'Teacher Lookup'!$A$2:$A$200,0)),"")</f>
        <v>LAW Him</v>
      </c>
    </row>
    <row r="4629" customFormat="false" ht="15" hidden="false" customHeight="false" outlineLevel="0" collapsed="false">
      <c r="A4629" s="3" t="s">
        <v>428</v>
      </c>
      <c r="B4629" s="4" t="s">
        <v>65</v>
      </c>
      <c r="C4629" s="4" t="n">
        <v>6</v>
      </c>
      <c r="D4629" s="4" t="s">
        <v>17</v>
      </c>
      <c r="E4629" s="3" t="s">
        <v>336</v>
      </c>
      <c r="F4629" s="4" t="str">
        <f aca="false">IF(I4629&gt;J4629,"Y","N")</f>
        <v>N</v>
      </c>
      <c r="G4629" s="3" t="s">
        <v>72</v>
      </c>
      <c r="H4629" s="3" t="s">
        <v>42</v>
      </c>
      <c r="I4629" s="4" t="n">
        <v>4</v>
      </c>
      <c r="J4629" s="4" t="n">
        <f aca="false">LEN(E4629)-LEN(SUBSTITUTE(E4629,",",""))+1</f>
        <v>4</v>
      </c>
      <c r="K4629" s="3" t="str">
        <f aca="false">IFERROR(INDEX('Teacher Lookup'!$B$2:$B$200,MATCH(A4629,'Teacher Lookup'!$A$2:$A$200,0)),"")</f>
        <v>LAW Him</v>
      </c>
    </row>
    <row r="4630" customFormat="false" ht="15" hidden="false" customHeight="false" outlineLevel="0" collapsed="false">
      <c r="A4630" s="3" t="s">
        <v>428</v>
      </c>
      <c r="B4630" s="4" t="s">
        <v>65</v>
      </c>
      <c r="C4630" s="4" t="n">
        <v>6</v>
      </c>
      <c r="D4630" s="4" t="s">
        <v>18</v>
      </c>
      <c r="E4630" s="3" t="s">
        <v>336</v>
      </c>
      <c r="F4630" s="4" t="str">
        <f aca="false">IF(I4630&gt;J4630,"Y","N")</f>
        <v>N</v>
      </c>
      <c r="G4630" s="3" t="s">
        <v>72</v>
      </c>
      <c r="H4630" s="3" t="s">
        <v>42</v>
      </c>
      <c r="I4630" s="4" t="n">
        <v>4</v>
      </c>
      <c r="J4630" s="4" t="n">
        <f aca="false">LEN(E4630)-LEN(SUBSTITUTE(E4630,",",""))+1</f>
        <v>4</v>
      </c>
      <c r="K4630" s="3" t="str">
        <f aca="false">IFERROR(INDEX('Teacher Lookup'!$B$2:$B$200,MATCH(A4630,'Teacher Lookup'!$A$2:$A$200,0)),"")</f>
        <v>LAW Him</v>
      </c>
    </row>
    <row r="4631" customFormat="false" ht="15" hidden="false" customHeight="false" outlineLevel="0" collapsed="false">
      <c r="A4631" s="3" t="s">
        <v>428</v>
      </c>
      <c r="B4631" s="4" t="s">
        <v>65</v>
      </c>
      <c r="C4631" s="4" t="n">
        <v>7</v>
      </c>
      <c r="D4631" s="4" t="s">
        <v>28</v>
      </c>
      <c r="E4631" s="3" t="s">
        <v>159</v>
      </c>
      <c r="F4631" s="4" t="str">
        <f aca="false">IF(I4631&gt;J4631,"Y","N")</f>
        <v>N</v>
      </c>
      <c r="G4631" s="3" t="s">
        <v>72</v>
      </c>
      <c r="H4631" s="3" t="s">
        <v>39</v>
      </c>
      <c r="I4631" s="4" t="n">
        <v>4</v>
      </c>
      <c r="J4631" s="4" t="n">
        <f aca="false">LEN(E4631)-LEN(SUBSTITUTE(E4631,",",""))+1</f>
        <v>4</v>
      </c>
      <c r="K4631" s="3" t="str">
        <f aca="false">IFERROR(INDEX('Teacher Lookup'!$B$2:$B$200,MATCH(A4631,'Teacher Lookup'!$A$2:$A$200,0)),"")</f>
        <v>LAW Him</v>
      </c>
    </row>
    <row r="4632" customFormat="false" ht="15" hidden="false" customHeight="false" outlineLevel="0" collapsed="false">
      <c r="A4632" s="3" t="s">
        <v>428</v>
      </c>
      <c r="B4632" s="4" t="s">
        <v>65</v>
      </c>
      <c r="C4632" s="4" t="n">
        <v>7</v>
      </c>
      <c r="D4632" s="4" t="s">
        <v>29</v>
      </c>
      <c r="E4632" s="3" t="s">
        <v>159</v>
      </c>
      <c r="F4632" s="4" t="str">
        <f aca="false">IF(I4632&gt;J4632,"Y","N")</f>
        <v>N</v>
      </c>
      <c r="G4632" s="3" t="s">
        <v>72</v>
      </c>
      <c r="H4632" s="3" t="s">
        <v>39</v>
      </c>
      <c r="I4632" s="4" t="n">
        <v>4</v>
      </c>
      <c r="J4632" s="4" t="n">
        <f aca="false">LEN(E4632)-LEN(SUBSTITUTE(E4632,",",""))+1</f>
        <v>4</v>
      </c>
      <c r="K4632" s="3" t="str">
        <f aca="false">IFERROR(INDEX('Teacher Lookup'!$B$2:$B$200,MATCH(A4632,'Teacher Lookup'!$A$2:$A$200,0)),"")</f>
        <v>LAW Him</v>
      </c>
    </row>
    <row r="4633" customFormat="false" ht="15" hidden="false" customHeight="false" outlineLevel="0" collapsed="false">
      <c r="A4633" s="3" t="s">
        <v>428</v>
      </c>
      <c r="B4633" s="4" t="s">
        <v>65</v>
      </c>
      <c r="C4633" s="4" t="n">
        <v>7</v>
      </c>
      <c r="D4633" s="4" t="s">
        <v>30</v>
      </c>
      <c r="E4633" s="3" t="s">
        <v>159</v>
      </c>
      <c r="F4633" s="4" t="str">
        <f aca="false">IF(I4633&gt;J4633,"Y","N")</f>
        <v>N</v>
      </c>
      <c r="G4633" s="3" t="s">
        <v>72</v>
      </c>
      <c r="H4633" s="3" t="s">
        <v>39</v>
      </c>
      <c r="I4633" s="4" t="n">
        <v>4</v>
      </c>
      <c r="J4633" s="4" t="n">
        <f aca="false">LEN(E4633)-LEN(SUBSTITUTE(E4633,",",""))+1</f>
        <v>4</v>
      </c>
      <c r="K4633" s="3" t="str">
        <f aca="false">IFERROR(INDEX('Teacher Lookup'!$B$2:$B$200,MATCH(A4633,'Teacher Lookup'!$A$2:$A$200,0)),"")</f>
        <v>LAW Him</v>
      </c>
    </row>
    <row r="4634" customFormat="false" ht="15" hidden="false" customHeight="false" outlineLevel="0" collapsed="false">
      <c r="A4634" s="3" t="s">
        <v>428</v>
      </c>
      <c r="B4634" s="4" t="s">
        <v>66</v>
      </c>
      <c r="C4634" s="4" t="n">
        <v>1</v>
      </c>
      <c r="D4634" s="4" t="s">
        <v>19</v>
      </c>
      <c r="E4634" s="3" t="s">
        <v>33</v>
      </c>
      <c r="F4634" s="4" t="str">
        <f aca="false">IF(I4634&gt;J4634,"Y","N")</f>
        <v>N</v>
      </c>
      <c r="G4634" s="3" t="s">
        <v>72</v>
      </c>
      <c r="H4634" s="3" t="s">
        <v>16</v>
      </c>
      <c r="I4634" s="4" t="n">
        <v>4</v>
      </c>
      <c r="J4634" s="4" t="n">
        <f aca="false">LEN(E4634)-LEN(SUBSTITUTE(E4634,",",""))+1</f>
        <v>4</v>
      </c>
      <c r="K4634" s="3" t="str">
        <f aca="false">IFERROR(INDEX('Teacher Lookup'!$B$2:$B$200,MATCH(A4634,'Teacher Lookup'!$A$2:$A$200,0)),"")</f>
        <v>LAW Him</v>
      </c>
    </row>
    <row r="4635" customFormat="false" ht="15" hidden="false" customHeight="false" outlineLevel="0" collapsed="false">
      <c r="A4635" s="3" t="s">
        <v>428</v>
      </c>
      <c r="B4635" s="4" t="s">
        <v>66</v>
      </c>
      <c r="C4635" s="4" t="n">
        <v>1</v>
      </c>
      <c r="D4635" s="4" t="s">
        <v>22</v>
      </c>
      <c r="E4635" s="3" t="s">
        <v>33</v>
      </c>
      <c r="F4635" s="4" t="str">
        <f aca="false">IF(I4635&gt;J4635,"Y","N")</f>
        <v>N</v>
      </c>
      <c r="G4635" s="3" t="s">
        <v>72</v>
      </c>
      <c r="H4635" s="3" t="s">
        <v>16</v>
      </c>
      <c r="I4635" s="4" t="n">
        <v>4</v>
      </c>
      <c r="J4635" s="4" t="n">
        <f aca="false">LEN(E4635)-LEN(SUBSTITUTE(E4635,",",""))+1</f>
        <v>4</v>
      </c>
      <c r="K4635" s="3" t="str">
        <f aca="false">IFERROR(INDEX('Teacher Lookup'!$B$2:$B$200,MATCH(A4635,'Teacher Lookup'!$A$2:$A$200,0)),"")</f>
        <v>LAW Him</v>
      </c>
    </row>
    <row r="4636" customFormat="false" ht="15" hidden="false" customHeight="false" outlineLevel="0" collapsed="false">
      <c r="A4636" s="3" t="s">
        <v>428</v>
      </c>
      <c r="B4636" s="4" t="s">
        <v>66</v>
      </c>
      <c r="C4636" s="4" t="n">
        <v>1</v>
      </c>
      <c r="D4636" s="4" t="s">
        <v>23</v>
      </c>
      <c r="E4636" s="3" t="s">
        <v>33</v>
      </c>
      <c r="F4636" s="4" t="str">
        <f aca="false">IF(I4636&gt;J4636,"Y","N")</f>
        <v>N</v>
      </c>
      <c r="G4636" s="3" t="s">
        <v>72</v>
      </c>
      <c r="H4636" s="3" t="s">
        <v>16</v>
      </c>
      <c r="I4636" s="4" t="n">
        <v>4</v>
      </c>
      <c r="J4636" s="4" t="n">
        <f aca="false">LEN(E4636)-LEN(SUBSTITUTE(E4636,",",""))+1</f>
        <v>4</v>
      </c>
      <c r="K4636" s="3" t="str">
        <f aca="false">IFERROR(INDEX('Teacher Lookup'!$B$2:$B$200,MATCH(A4636,'Teacher Lookup'!$A$2:$A$200,0)),"")</f>
        <v>LAW Him</v>
      </c>
    </row>
    <row r="4637" customFormat="false" ht="15" hidden="false" customHeight="false" outlineLevel="0" collapsed="false">
      <c r="A4637" s="3" t="s">
        <v>428</v>
      </c>
      <c r="B4637" s="4" t="s">
        <v>66</v>
      </c>
      <c r="C4637" s="4" t="n">
        <v>2</v>
      </c>
      <c r="D4637" s="4" t="s">
        <v>19</v>
      </c>
      <c r="E4637" s="3" t="s">
        <v>33</v>
      </c>
      <c r="F4637" s="4" t="str">
        <f aca="false">IF(I4637&gt;J4637,"Y","N")</f>
        <v>N</v>
      </c>
      <c r="G4637" s="3" t="s">
        <v>72</v>
      </c>
      <c r="H4637" s="3" t="s">
        <v>21</v>
      </c>
      <c r="I4637" s="4" t="n">
        <v>4</v>
      </c>
      <c r="J4637" s="4" t="n">
        <f aca="false">LEN(E4637)-LEN(SUBSTITUTE(E4637,",",""))+1</f>
        <v>4</v>
      </c>
      <c r="K4637" s="3" t="str">
        <f aca="false">IFERROR(INDEX('Teacher Lookup'!$B$2:$B$200,MATCH(A4637,'Teacher Lookup'!$A$2:$A$200,0)),"")</f>
        <v>LAW Him</v>
      </c>
    </row>
    <row r="4638" customFormat="false" ht="15" hidden="false" customHeight="false" outlineLevel="0" collapsed="false">
      <c r="A4638" s="3" t="s">
        <v>428</v>
      </c>
      <c r="B4638" s="4" t="s">
        <v>66</v>
      </c>
      <c r="C4638" s="4" t="n">
        <v>2</v>
      </c>
      <c r="D4638" s="4" t="s">
        <v>22</v>
      </c>
      <c r="E4638" s="3" t="s">
        <v>33</v>
      </c>
      <c r="F4638" s="4" t="str">
        <f aca="false">IF(I4638&gt;J4638,"Y","N")</f>
        <v>N</v>
      </c>
      <c r="G4638" s="3" t="s">
        <v>72</v>
      </c>
      <c r="H4638" s="3" t="s">
        <v>21</v>
      </c>
      <c r="I4638" s="4" t="n">
        <v>4</v>
      </c>
      <c r="J4638" s="4" t="n">
        <f aca="false">LEN(E4638)-LEN(SUBSTITUTE(E4638,",",""))+1</f>
        <v>4</v>
      </c>
      <c r="K4638" s="3" t="str">
        <f aca="false">IFERROR(INDEX('Teacher Lookup'!$B$2:$B$200,MATCH(A4638,'Teacher Lookup'!$A$2:$A$200,0)),"")</f>
        <v>LAW Him</v>
      </c>
    </row>
    <row r="4639" customFormat="false" ht="15" hidden="false" customHeight="false" outlineLevel="0" collapsed="false">
      <c r="A4639" s="3" t="s">
        <v>428</v>
      </c>
      <c r="B4639" s="4" t="s">
        <v>66</v>
      </c>
      <c r="C4639" s="4" t="n">
        <v>2</v>
      </c>
      <c r="D4639" s="4" t="s">
        <v>23</v>
      </c>
      <c r="E4639" s="3" t="s">
        <v>33</v>
      </c>
      <c r="F4639" s="4" t="str">
        <f aca="false">IF(I4639&gt;J4639,"Y","N")</f>
        <v>N</v>
      </c>
      <c r="G4639" s="3" t="s">
        <v>72</v>
      </c>
      <c r="H4639" s="3" t="s">
        <v>21</v>
      </c>
      <c r="I4639" s="4" t="n">
        <v>4</v>
      </c>
      <c r="J4639" s="4" t="n">
        <f aca="false">LEN(E4639)-LEN(SUBSTITUTE(E4639,",",""))+1</f>
        <v>4</v>
      </c>
      <c r="K4639" s="3" t="str">
        <f aca="false">IFERROR(INDEX('Teacher Lookup'!$B$2:$B$200,MATCH(A4639,'Teacher Lookup'!$A$2:$A$200,0)),"")</f>
        <v>LAW Him</v>
      </c>
    </row>
    <row r="4640" customFormat="false" ht="15" hidden="false" customHeight="false" outlineLevel="0" collapsed="false">
      <c r="A4640" s="3" t="s">
        <v>428</v>
      </c>
      <c r="B4640" s="4" t="s">
        <v>66</v>
      </c>
      <c r="C4640" s="4" t="n">
        <v>5</v>
      </c>
      <c r="D4640" s="4" t="s">
        <v>13</v>
      </c>
      <c r="E4640" s="3" t="s">
        <v>337</v>
      </c>
      <c r="F4640" s="4" t="str">
        <f aca="false">IF(I4640&gt;J4640,"Y","N")</f>
        <v>N</v>
      </c>
      <c r="G4640" s="3" t="s">
        <v>72</v>
      </c>
      <c r="H4640" s="3" t="s">
        <v>37</v>
      </c>
      <c r="I4640" s="4" t="n">
        <v>4</v>
      </c>
      <c r="J4640" s="4" t="n">
        <f aca="false">LEN(E4640)-LEN(SUBSTITUTE(E4640,",",""))+1</f>
        <v>4</v>
      </c>
      <c r="K4640" s="3" t="str">
        <f aca="false">IFERROR(INDEX('Teacher Lookup'!$B$2:$B$200,MATCH(A4640,'Teacher Lookup'!$A$2:$A$200,0)),"")</f>
        <v>LAW Him</v>
      </c>
    </row>
    <row r="4641" customFormat="false" ht="15" hidden="false" customHeight="false" outlineLevel="0" collapsed="false">
      <c r="A4641" s="3" t="s">
        <v>428</v>
      </c>
      <c r="B4641" s="4" t="s">
        <v>66</v>
      </c>
      <c r="C4641" s="4" t="n">
        <v>5</v>
      </c>
      <c r="D4641" s="4" t="s">
        <v>17</v>
      </c>
      <c r="E4641" s="3" t="s">
        <v>337</v>
      </c>
      <c r="F4641" s="4" t="str">
        <f aca="false">IF(I4641&gt;J4641,"Y","N")</f>
        <v>N</v>
      </c>
      <c r="G4641" s="3" t="s">
        <v>72</v>
      </c>
      <c r="H4641" s="3" t="s">
        <v>37</v>
      </c>
      <c r="I4641" s="4" t="n">
        <v>4</v>
      </c>
      <c r="J4641" s="4" t="n">
        <f aca="false">LEN(E4641)-LEN(SUBSTITUTE(E4641,",",""))+1</f>
        <v>4</v>
      </c>
      <c r="K4641" s="3" t="str">
        <f aca="false">IFERROR(INDEX('Teacher Lookup'!$B$2:$B$200,MATCH(A4641,'Teacher Lookup'!$A$2:$A$200,0)),"")</f>
        <v>LAW Him</v>
      </c>
    </row>
    <row r="4642" customFormat="false" ht="15" hidden="false" customHeight="false" outlineLevel="0" collapsed="false">
      <c r="A4642" s="3" t="s">
        <v>428</v>
      </c>
      <c r="B4642" s="4" t="s">
        <v>66</v>
      </c>
      <c r="C4642" s="4" t="n">
        <v>5</v>
      </c>
      <c r="D4642" s="4" t="s">
        <v>18</v>
      </c>
      <c r="E4642" s="3" t="s">
        <v>337</v>
      </c>
      <c r="F4642" s="4" t="str">
        <f aca="false">IF(I4642&gt;J4642,"Y","N")</f>
        <v>N</v>
      </c>
      <c r="G4642" s="3" t="s">
        <v>72</v>
      </c>
      <c r="H4642" s="3" t="s">
        <v>37</v>
      </c>
      <c r="I4642" s="4" t="n">
        <v>4</v>
      </c>
      <c r="J4642" s="4" t="n">
        <f aca="false">LEN(E4642)-LEN(SUBSTITUTE(E4642,",",""))+1</f>
        <v>4</v>
      </c>
      <c r="K4642" s="3" t="str">
        <f aca="false">IFERROR(INDEX('Teacher Lookup'!$B$2:$B$200,MATCH(A4642,'Teacher Lookup'!$A$2:$A$200,0)),"")</f>
        <v>LAW Him</v>
      </c>
    </row>
    <row r="4643" customFormat="false" ht="15" hidden="false" customHeight="false" outlineLevel="0" collapsed="false">
      <c r="A4643" s="3" t="s">
        <v>428</v>
      </c>
      <c r="B4643" s="4" t="s">
        <v>66</v>
      </c>
      <c r="C4643" s="4" t="n">
        <v>7</v>
      </c>
      <c r="D4643" s="4" t="s">
        <v>28</v>
      </c>
      <c r="E4643" s="3" t="s">
        <v>149</v>
      </c>
      <c r="F4643" s="4" t="str">
        <f aca="false">IF(I4643&gt;J4643,"Y","N")</f>
        <v>N</v>
      </c>
      <c r="G4643" s="3" t="s">
        <v>72</v>
      </c>
      <c r="H4643" s="3" t="s">
        <v>39</v>
      </c>
      <c r="I4643" s="4" t="n">
        <v>4</v>
      </c>
      <c r="J4643" s="4" t="n">
        <f aca="false">LEN(E4643)-LEN(SUBSTITUTE(E4643,",",""))+1</f>
        <v>4</v>
      </c>
      <c r="K4643" s="3" t="str">
        <f aca="false">IFERROR(INDEX('Teacher Lookup'!$B$2:$B$200,MATCH(A4643,'Teacher Lookup'!$A$2:$A$200,0)),"")</f>
        <v>LAW Him</v>
      </c>
    </row>
    <row r="4644" customFormat="false" ht="15" hidden="false" customHeight="false" outlineLevel="0" collapsed="false">
      <c r="A4644" s="3" t="s">
        <v>428</v>
      </c>
      <c r="B4644" s="4" t="s">
        <v>66</v>
      </c>
      <c r="C4644" s="4" t="n">
        <v>7</v>
      </c>
      <c r="D4644" s="4" t="s">
        <v>29</v>
      </c>
      <c r="E4644" s="3" t="s">
        <v>149</v>
      </c>
      <c r="F4644" s="4" t="str">
        <f aca="false">IF(I4644&gt;J4644,"Y","N")</f>
        <v>N</v>
      </c>
      <c r="G4644" s="3" t="s">
        <v>72</v>
      </c>
      <c r="H4644" s="3" t="s">
        <v>39</v>
      </c>
      <c r="I4644" s="4" t="n">
        <v>4</v>
      </c>
      <c r="J4644" s="4" t="n">
        <f aca="false">LEN(E4644)-LEN(SUBSTITUTE(E4644,",",""))+1</f>
        <v>4</v>
      </c>
      <c r="K4644" s="3" t="str">
        <f aca="false">IFERROR(INDEX('Teacher Lookup'!$B$2:$B$200,MATCH(A4644,'Teacher Lookup'!$A$2:$A$200,0)),"")</f>
        <v>LAW Him</v>
      </c>
    </row>
    <row r="4645" customFormat="false" ht="15" hidden="false" customHeight="false" outlineLevel="0" collapsed="false">
      <c r="A4645" s="3" t="s">
        <v>428</v>
      </c>
      <c r="B4645" s="4" t="s">
        <v>66</v>
      </c>
      <c r="C4645" s="4" t="n">
        <v>7</v>
      </c>
      <c r="D4645" s="4" t="s">
        <v>30</v>
      </c>
      <c r="E4645" s="3" t="s">
        <v>149</v>
      </c>
      <c r="F4645" s="4" t="str">
        <f aca="false">IF(I4645&gt;J4645,"Y","N")</f>
        <v>N</v>
      </c>
      <c r="G4645" s="3" t="s">
        <v>72</v>
      </c>
      <c r="H4645" s="3" t="s">
        <v>39</v>
      </c>
      <c r="I4645" s="4" t="n">
        <v>4</v>
      </c>
      <c r="J4645" s="4" t="n">
        <f aca="false">LEN(E4645)-LEN(SUBSTITUTE(E4645,",",""))+1</f>
        <v>4</v>
      </c>
      <c r="K4645" s="3" t="str">
        <f aca="false">IFERROR(INDEX('Teacher Lookup'!$B$2:$B$200,MATCH(A4645,'Teacher Lookup'!$A$2:$A$200,0)),"")</f>
        <v>LAW Him</v>
      </c>
    </row>
    <row r="4646" customFormat="false" ht="15" hidden="false" customHeight="false" outlineLevel="0" collapsed="false">
      <c r="A4646" s="3" t="s">
        <v>429</v>
      </c>
      <c r="B4646" s="4" t="s">
        <v>12</v>
      </c>
      <c r="C4646" s="4" t="n">
        <v>4</v>
      </c>
      <c r="D4646" s="4" t="s">
        <v>57</v>
      </c>
      <c r="E4646" s="3" t="s">
        <v>393</v>
      </c>
      <c r="F4646" s="4" t="str">
        <f aca="false">IF(I4646&gt;J4646,"Y","N")</f>
        <v>N</v>
      </c>
      <c r="G4646" s="3" t="s">
        <v>72</v>
      </c>
      <c r="H4646" s="3" t="s">
        <v>34</v>
      </c>
      <c r="I4646" s="4" t="n">
        <v>4</v>
      </c>
      <c r="J4646" s="4" t="n">
        <f aca="false">LEN(E4646)-LEN(SUBSTITUTE(E4646,",",""))+1</f>
        <v>4</v>
      </c>
      <c r="K4646" s="3" t="str">
        <f aca="false">IFERROR(INDEX('Teacher Lookup'!$B$2:$B$200,MATCH(A4646,'Teacher Lookup'!$A$2:$A$200,0)),"")</f>
        <v>CHAN Jessica</v>
      </c>
    </row>
    <row r="4647" customFormat="false" ht="15" hidden="false" customHeight="false" outlineLevel="0" collapsed="false">
      <c r="A4647" s="3" t="s">
        <v>429</v>
      </c>
      <c r="B4647" s="4" t="s">
        <v>12</v>
      </c>
      <c r="C4647" s="4" t="n">
        <v>4</v>
      </c>
      <c r="D4647" s="4" t="s">
        <v>58</v>
      </c>
      <c r="E4647" s="3" t="s">
        <v>393</v>
      </c>
      <c r="F4647" s="4" t="str">
        <f aca="false">IF(I4647&gt;J4647,"Y","N")</f>
        <v>N</v>
      </c>
      <c r="G4647" s="3" t="s">
        <v>72</v>
      </c>
      <c r="H4647" s="3" t="s">
        <v>34</v>
      </c>
      <c r="I4647" s="4" t="n">
        <v>4</v>
      </c>
      <c r="J4647" s="4" t="n">
        <f aca="false">LEN(E4647)-LEN(SUBSTITUTE(E4647,",",""))+1</f>
        <v>4</v>
      </c>
      <c r="K4647" s="3" t="str">
        <f aca="false">IFERROR(INDEX('Teacher Lookup'!$B$2:$B$200,MATCH(A4647,'Teacher Lookup'!$A$2:$A$200,0)),"")</f>
        <v>CHAN Jessica</v>
      </c>
    </row>
    <row r="4648" customFormat="false" ht="15" hidden="false" customHeight="false" outlineLevel="0" collapsed="false">
      <c r="A4648" s="3" t="s">
        <v>429</v>
      </c>
      <c r="B4648" s="4" t="s">
        <v>12</v>
      </c>
      <c r="C4648" s="4" t="n">
        <v>4</v>
      </c>
      <c r="D4648" s="4" t="s">
        <v>59</v>
      </c>
      <c r="E4648" s="3" t="s">
        <v>393</v>
      </c>
      <c r="F4648" s="4" t="str">
        <f aca="false">IF(I4648&gt;J4648,"Y","N")</f>
        <v>N</v>
      </c>
      <c r="G4648" s="3" t="s">
        <v>72</v>
      </c>
      <c r="H4648" s="3" t="s">
        <v>34</v>
      </c>
      <c r="I4648" s="4" t="n">
        <v>4</v>
      </c>
      <c r="J4648" s="4" t="n">
        <f aca="false">LEN(E4648)-LEN(SUBSTITUTE(E4648,",",""))+1</f>
        <v>4</v>
      </c>
      <c r="K4648" s="3" t="str">
        <f aca="false">IFERROR(INDEX('Teacher Lookup'!$B$2:$B$200,MATCH(A4648,'Teacher Lookup'!$A$2:$A$200,0)),"")</f>
        <v>CHAN Jessica</v>
      </c>
    </row>
    <row r="4649" customFormat="false" ht="15" hidden="false" customHeight="false" outlineLevel="0" collapsed="false">
      <c r="A4649" s="3" t="s">
        <v>429</v>
      </c>
      <c r="B4649" s="4" t="s">
        <v>12</v>
      </c>
      <c r="C4649" s="4" t="n">
        <v>5</v>
      </c>
      <c r="D4649" s="4" t="s">
        <v>52</v>
      </c>
      <c r="E4649" s="3" t="s">
        <v>169</v>
      </c>
      <c r="F4649" s="4" t="str">
        <f aca="false">IF(I4649&gt;J4649,"Y","N")</f>
        <v>N</v>
      </c>
      <c r="G4649" s="3" t="s">
        <v>72</v>
      </c>
      <c r="H4649" s="3" t="s">
        <v>37</v>
      </c>
      <c r="I4649" s="4" t="n">
        <v>4</v>
      </c>
      <c r="J4649" s="4" t="n">
        <f aca="false">LEN(E4649)-LEN(SUBSTITUTE(E4649,",",""))+1</f>
        <v>4</v>
      </c>
      <c r="K4649" s="3" t="str">
        <f aca="false">IFERROR(INDEX('Teacher Lookup'!$B$2:$B$200,MATCH(A4649,'Teacher Lookup'!$A$2:$A$200,0)),"")</f>
        <v>CHAN Jessica</v>
      </c>
    </row>
    <row r="4650" customFormat="false" ht="15" hidden="false" customHeight="false" outlineLevel="0" collapsed="false">
      <c r="A4650" s="3" t="s">
        <v>429</v>
      </c>
      <c r="B4650" s="4" t="s">
        <v>12</v>
      </c>
      <c r="C4650" s="4" t="n">
        <v>5</v>
      </c>
      <c r="D4650" s="4" t="s">
        <v>55</v>
      </c>
      <c r="E4650" s="3" t="s">
        <v>169</v>
      </c>
      <c r="F4650" s="4" t="str">
        <f aca="false">IF(I4650&gt;J4650,"Y","N")</f>
        <v>N</v>
      </c>
      <c r="G4650" s="3" t="s">
        <v>72</v>
      </c>
      <c r="H4650" s="3" t="s">
        <v>37</v>
      </c>
      <c r="I4650" s="4" t="n">
        <v>4</v>
      </c>
      <c r="J4650" s="4" t="n">
        <f aca="false">LEN(E4650)-LEN(SUBSTITUTE(E4650,",",""))+1</f>
        <v>4</v>
      </c>
      <c r="K4650" s="3" t="str">
        <f aca="false">IFERROR(INDEX('Teacher Lookup'!$B$2:$B$200,MATCH(A4650,'Teacher Lookup'!$A$2:$A$200,0)),"")</f>
        <v>CHAN Jessica</v>
      </c>
    </row>
    <row r="4651" customFormat="false" ht="15" hidden="false" customHeight="false" outlineLevel="0" collapsed="false">
      <c r="A4651" s="3" t="s">
        <v>429</v>
      </c>
      <c r="B4651" s="4" t="s">
        <v>12</v>
      </c>
      <c r="C4651" s="4" t="n">
        <v>5</v>
      </c>
      <c r="D4651" s="4" t="s">
        <v>56</v>
      </c>
      <c r="E4651" s="3" t="s">
        <v>169</v>
      </c>
      <c r="F4651" s="4" t="str">
        <f aca="false">IF(I4651&gt;J4651,"Y","N")</f>
        <v>N</v>
      </c>
      <c r="G4651" s="3" t="s">
        <v>72</v>
      </c>
      <c r="H4651" s="3" t="s">
        <v>37</v>
      </c>
      <c r="I4651" s="4" t="n">
        <v>4</v>
      </c>
      <c r="J4651" s="4" t="n">
        <f aca="false">LEN(E4651)-LEN(SUBSTITUTE(E4651,",",""))+1</f>
        <v>4</v>
      </c>
      <c r="K4651" s="3" t="str">
        <f aca="false">IFERROR(INDEX('Teacher Lookup'!$B$2:$B$200,MATCH(A4651,'Teacher Lookup'!$A$2:$A$200,0)),"")</f>
        <v>CHAN Jessica</v>
      </c>
    </row>
    <row r="4652" customFormat="false" ht="15" hidden="false" customHeight="false" outlineLevel="0" collapsed="false">
      <c r="A4652" s="3" t="s">
        <v>429</v>
      </c>
      <c r="B4652" s="4" t="s">
        <v>12</v>
      </c>
      <c r="C4652" s="4" t="n">
        <v>6</v>
      </c>
      <c r="D4652" s="4" t="s">
        <v>76</v>
      </c>
      <c r="E4652" s="3" t="s">
        <v>77</v>
      </c>
      <c r="F4652" s="4" t="str">
        <f aca="false">IF(I4652&gt;J4652,"Y","N")</f>
        <v>N</v>
      </c>
      <c r="G4652" s="3" t="s">
        <v>72</v>
      </c>
      <c r="H4652" s="3" t="s">
        <v>42</v>
      </c>
      <c r="I4652" s="4" t="n">
        <v>4</v>
      </c>
      <c r="J4652" s="4" t="n">
        <f aca="false">LEN(E4652)-LEN(SUBSTITUTE(E4652,",",""))+1</f>
        <v>4</v>
      </c>
      <c r="K4652" s="3" t="str">
        <f aca="false">IFERROR(INDEX('Teacher Lookup'!$B$2:$B$200,MATCH(A4652,'Teacher Lookup'!$A$2:$A$200,0)),"")</f>
        <v>CHAN Jessica</v>
      </c>
    </row>
    <row r="4653" customFormat="false" ht="15" hidden="false" customHeight="false" outlineLevel="0" collapsed="false">
      <c r="A4653" s="3" t="s">
        <v>429</v>
      </c>
      <c r="B4653" s="4" t="s">
        <v>12</v>
      </c>
      <c r="C4653" s="4" t="n">
        <v>6</v>
      </c>
      <c r="D4653" s="4" t="s">
        <v>78</v>
      </c>
      <c r="E4653" s="3" t="s">
        <v>77</v>
      </c>
      <c r="F4653" s="4" t="str">
        <f aca="false">IF(I4653&gt;J4653,"Y","N")</f>
        <v>N</v>
      </c>
      <c r="G4653" s="3" t="s">
        <v>72</v>
      </c>
      <c r="H4653" s="3" t="s">
        <v>42</v>
      </c>
      <c r="I4653" s="4" t="n">
        <v>4</v>
      </c>
      <c r="J4653" s="4" t="n">
        <f aca="false">LEN(E4653)-LEN(SUBSTITUTE(E4653,",",""))+1</f>
        <v>4</v>
      </c>
      <c r="K4653" s="3" t="str">
        <f aca="false">IFERROR(INDEX('Teacher Lookup'!$B$2:$B$200,MATCH(A4653,'Teacher Lookup'!$A$2:$A$200,0)),"")</f>
        <v>CHAN Jessica</v>
      </c>
    </row>
    <row r="4654" customFormat="false" ht="15" hidden="false" customHeight="false" outlineLevel="0" collapsed="false">
      <c r="A4654" s="3" t="s">
        <v>429</v>
      </c>
      <c r="B4654" s="4" t="s">
        <v>12</v>
      </c>
      <c r="C4654" s="4" t="n">
        <v>6</v>
      </c>
      <c r="D4654" s="4" t="s">
        <v>79</v>
      </c>
      <c r="E4654" s="3" t="s">
        <v>77</v>
      </c>
      <c r="F4654" s="4" t="str">
        <f aca="false">IF(I4654&gt;J4654,"Y","N")</f>
        <v>N</v>
      </c>
      <c r="G4654" s="3" t="s">
        <v>72</v>
      </c>
      <c r="H4654" s="3" t="s">
        <v>42</v>
      </c>
      <c r="I4654" s="4" t="n">
        <v>4</v>
      </c>
      <c r="J4654" s="4" t="n">
        <f aca="false">LEN(E4654)-LEN(SUBSTITUTE(E4654,",",""))+1</f>
        <v>4</v>
      </c>
      <c r="K4654" s="3" t="str">
        <f aca="false">IFERROR(INDEX('Teacher Lookup'!$B$2:$B$200,MATCH(A4654,'Teacher Lookup'!$A$2:$A$200,0)),"")</f>
        <v>CHAN Jessica</v>
      </c>
    </row>
    <row r="4655" customFormat="false" ht="15" hidden="false" customHeight="false" outlineLevel="0" collapsed="false">
      <c r="A4655" s="3" t="s">
        <v>429</v>
      </c>
      <c r="B4655" s="4" t="s">
        <v>12</v>
      </c>
      <c r="C4655" s="4" t="n">
        <v>7</v>
      </c>
      <c r="D4655" s="4" t="s">
        <v>76</v>
      </c>
      <c r="E4655" s="3" t="s">
        <v>77</v>
      </c>
      <c r="F4655" s="4" t="str">
        <f aca="false">IF(I4655&gt;J4655,"Y","N")</f>
        <v>N</v>
      </c>
      <c r="G4655" s="3" t="s">
        <v>72</v>
      </c>
      <c r="H4655" s="3" t="s">
        <v>39</v>
      </c>
      <c r="I4655" s="4" t="n">
        <v>4</v>
      </c>
      <c r="J4655" s="4" t="n">
        <f aca="false">LEN(E4655)-LEN(SUBSTITUTE(E4655,",",""))+1</f>
        <v>4</v>
      </c>
      <c r="K4655" s="3" t="str">
        <f aca="false">IFERROR(INDEX('Teacher Lookup'!$B$2:$B$200,MATCH(A4655,'Teacher Lookup'!$A$2:$A$200,0)),"")</f>
        <v>CHAN Jessica</v>
      </c>
    </row>
    <row r="4656" customFormat="false" ht="15" hidden="false" customHeight="false" outlineLevel="0" collapsed="false">
      <c r="A4656" s="3" t="s">
        <v>429</v>
      </c>
      <c r="B4656" s="4" t="s">
        <v>12</v>
      </c>
      <c r="C4656" s="4" t="n">
        <v>7</v>
      </c>
      <c r="D4656" s="4" t="s">
        <v>78</v>
      </c>
      <c r="E4656" s="3" t="s">
        <v>77</v>
      </c>
      <c r="F4656" s="4" t="str">
        <f aca="false">IF(I4656&gt;J4656,"Y","N")</f>
        <v>N</v>
      </c>
      <c r="G4656" s="3" t="s">
        <v>72</v>
      </c>
      <c r="H4656" s="3" t="s">
        <v>39</v>
      </c>
      <c r="I4656" s="4" t="n">
        <v>4</v>
      </c>
      <c r="J4656" s="4" t="n">
        <f aca="false">LEN(E4656)-LEN(SUBSTITUTE(E4656,",",""))+1</f>
        <v>4</v>
      </c>
      <c r="K4656" s="3" t="str">
        <f aca="false">IFERROR(INDEX('Teacher Lookup'!$B$2:$B$200,MATCH(A4656,'Teacher Lookup'!$A$2:$A$200,0)),"")</f>
        <v>CHAN Jessica</v>
      </c>
    </row>
    <row r="4657" customFormat="false" ht="15" hidden="false" customHeight="false" outlineLevel="0" collapsed="false">
      <c r="A4657" s="3" t="s">
        <v>429</v>
      </c>
      <c r="B4657" s="4" t="s">
        <v>12</v>
      </c>
      <c r="C4657" s="4" t="n">
        <v>7</v>
      </c>
      <c r="D4657" s="4" t="s">
        <v>79</v>
      </c>
      <c r="E4657" s="3" t="s">
        <v>77</v>
      </c>
      <c r="F4657" s="4" t="str">
        <f aca="false">IF(I4657&gt;J4657,"Y","N")</f>
        <v>N</v>
      </c>
      <c r="G4657" s="3" t="s">
        <v>72</v>
      </c>
      <c r="H4657" s="3" t="s">
        <v>39</v>
      </c>
      <c r="I4657" s="4" t="n">
        <v>4</v>
      </c>
      <c r="J4657" s="4" t="n">
        <f aca="false">LEN(E4657)-LEN(SUBSTITUTE(E4657,",",""))+1</f>
        <v>4</v>
      </c>
      <c r="K4657" s="3" t="str">
        <f aca="false">IFERROR(INDEX('Teacher Lookup'!$B$2:$B$200,MATCH(A4657,'Teacher Lookup'!$A$2:$A$200,0)),"")</f>
        <v>CHAN Jessica</v>
      </c>
    </row>
    <row r="4658" customFormat="false" ht="15" hidden="false" customHeight="false" outlineLevel="0" collapsed="false">
      <c r="A4658" s="3" t="s">
        <v>429</v>
      </c>
      <c r="B4658" s="4" t="s">
        <v>31</v>
      </c>
      <c r="C4658" s="4" t="n">
        <v>3</v>
      </c>
      <c r="D4658" s="4" t="s">
        <v>52</v>
      </c>
      <c r="E4658" s="3" t="s">
        <v>176</v>
      </c>
      <c r="F4658" s="4" t="str">
        <f aca="false">IF(I4658&gt;J4658,"Y","N")</f>
        <v>N</v>
      </c>
      <c r="G4658" s="3" t="s">
        <v>72</v>
      </c>
      <c r="H4658" s="3" t="s">
        <v>26</v>
      </c>
      <c r="I4658" s="4" t="n">
        <v>4</v>
      </c>
      <c r="J4658" s="4" t="n">
        <f aca="false">LEN(E4658)-LEN(SUBSTITUTE(E4658,",",""))+1</f>
        <v>4</v>
      </c>
      <c r="K4658" s="3" t="str">
        <f aca="false">IFERROR(INDEX('Teacher Lookup'!$B$2:$B$200,MATCH(A4658,'Teacher Lookup'!$A$2:$A$200,0)),"")</f>
        <v>CHAN Jessica</v>
      </c>
    </row>
    <row r="4659" customFormat="false" ht="15" hidden="false" customHeight="false" outlineLevel="0" collapsed="false">
      <c r="A4659" s="3" t="s">
        <v>429</v>
      </c>
      <c r="B4659" s="4" t="s">
        <v>31</v>
      </c>
      <c r="C4659" s="4" t="n">
        <v>3</v>
      </c>
      <c r="D4659" s="4" t="s">
        <v>55</v>
      </c>
      <c r="E4659" s="3" t="s">
        <v>176</v>
      </c>
      <c r="F4659" s="4" t="str">
        <f aca="false">IF(I4659&gt;J4659,"Y","N")</f>
        <v>N</v>
      </c>
      <c r="G4659" s="3" t="s">
        <v>72</v>
      </c>
      <c r="H4659" s="3" t="s">
        <v>26</v>
      </c>
      <c r="I4659" s="4" t="n">
        <v>4</v>
      </c>
      <c r="J4659" s="4" t="n">
        <f aca="false">LEN(E4659)-LEN(SUBSTITUTE(E4659,",",""))+1</f>
        <v>4</v>
      </c>
      <c r="K4659" s="3" t="str">
        <f aca="false">IFERROR(INDEX('Teacher Lookup'!$B$2:$B$200,MATCH(A4659,'Teacher Lookup'!$A$2:$A$200,0)),"")</f>
        <v>CHAN Jessica</v>
      </c>
    </row>
    <row r="4660" customFormat="false" ht="15" hidden="false" customHeight="false" outlineLevel="0" collapsed="false">
      <c r="A4660" s="3" t="s">
        <v>429</v>
      </c>
      <c r="B4660" s="4" t="s">
        <v>31</v>
      </c>
      <c r="C4660" s="4" t="n">
        <v>3</v>
      </c>
      <c r="D4660" s="4" t="s">
        <v>56</v>
      </c>
      <c r="E4660" s="3" t="s">
        <v>176</v>
      </c>
      <c r="F4660" s="4" t="str">
        <f aca="false">IF(I4660&gt;J4660,"Y","N")</f>
        <v>N</v>
      </c>
      <c r="G4660" s="3" t="s">
        <v>72</v>
      </c>
      <c r="H4660" s="3" t="s">
        <v>26</v>
      </c>
      <c r="I4660" s="4" t="n">
        <v>4</v>
      </c>
      <c r="J4660" s="4" t="n">
        <f aca="false">LEN(E4660)-LEN(SUBSTITUTE(E4660,",",""))+1</f>
        <v>4</v>
      </c>
      <c r="K4660" s="3" t="str">
        <f aca="false">IFERROR(INDEX('Teacher Lookup'!$B$2:$B$200,MATCH(A4660,'Teacher Lookup'!$A$2:$A$200,0)),"")</f>
        <v>CHAN Jessica</v>
      </c>
    </row>
    <row r="4661" customFormat="false" ht="15" hidden="false" customHeight="false" outlineLevel="0" collapsed="false">
      <c r="A4661" s="3" t="s">
        <v>429</v>
      </c>
      <c r="B4661" s="4" t="s">
        <v>31</v>
      </c>
      <c r="C4661" s="4" t="n">
        <v>4</v>
      </c>
      <c r="D4661" s="4" t="s">
        <v>76</v>
      </c>
      <c r="E4661" s="3" t="s">
        <v>80</v>
      </c>
      <c r="F4661" s="4" t="str">
        <f aca="false">IF(I4661&gt;J4661,"Y","N")</f>
        <v>N</v>
      </c>
      <c r="G4661" s="3" t="s">
        <v>72</v>
      </c>
      <c r="H4661" s="3" t="s">
        <v>34</v>
      </c>
      <c r="I4661" s="4" t="n">
        <v>4</v>
      </c>
      <c r="J4661" s="4" t="n">
        <f aca="false">LEN(E4661)-LEN(SUBSTITUTE(E4661,",",""))+1</f>
        <v>4</v>
      </c>
      <c r="K4661" s="3" t="str">
        <f aca="false">IFERROR(INDEX('Teacher Lookup'!$B$2:$B$200,MATCH(A4661,'Teacher Lookup'!$A$2:$A$200,0)),"")</f>
        <v>CHAN Jessica</v>
      </c>
    </row>
    <row r="4662" customFormat="false" ht="15" hidden="false" customHeight="false" outlineLevel="0" collapsed="false">
      <c r="A4662" s="3" t="s">
        <v>429</v>
      </c>
      <c r="B4662" s="4" t="s">
        <v>31</v>
      </c>
      <c r="C4662" s="4" t="n">
        <v>4</v>
      </c>
      <c r="D4662" s="4" t="s">
        <v>78</v>
      </c>
      <c r="E4662" s="3" t="s">
        <v>80</v>
      </c>
      <c r="F4662" s="4" t="str">
        <f aca="false">IF(I4662&gt;J4662,"Y","N")</f>
        <v>N</v>
      </c>
      <c r="G4662" s="3" t="s">
        <v>72</v>
      </c>
      <c r="H4662" s="3" t="s">
        <v>34</v>
      </c>
      <c r="I4662" s="4" t="n">
        <v>4</v>
      </c>
      <c r="J4662" s="4" t="n">
        <f aca="false">LEN(E4662)-LEN(SUBSTITUTE(E4662,",",""))+1</f>
        <v>4</v>
      </c>
      <c r="K4662" s="3" t="str">
        <f aca="false">IFERROR(INDEX('Teacher Lookup'!$B$2:$B$200,MATCH(A4662,'Teacher Lookup'!$A$2:$A$200,0)),"")</f>
        <v>CHAN Jessica</v>
      </c>
    </row>
    <row r="4663" customFormat="false" ht="15" hidden="false" customHeight="false" outlineLevel="0" collapsed="false">
      <c r="A4663" s="3" t="s">
        <v>429</v>
      </c>
      <c r="B4663" s="4" t="s">
        <v>31</v>
      </c>
      <c r="C4663" s="4" t="n">
        <v>4</v>
      </c>
      <c r="D4663" s="4" t="s">
        <v>79</v>
      </c>
      <c r="E4663" s="3" t="s">
        <v>80</v>
      </c>
      <c r="F4663" s="4" t="str">
        <f aca="false">IF(I4663&gt;J4663,"Y","N")</f>
        <v>N</v>
      </c>
      <c r="G4663" s="3" t="s">
        <v>72</v>
      </c>
      <c r="H4663" s="3" t="s">
        <v>34</v>
      </c>
      <c r="I4663" s="4" t="n">
        <v>4</v>
      </c>
      <c r="J4663" s="4" t="n">
        <f aca="false">LEN(E4663)-LEN(SUBSTITUTE(E4663,",",""))+1</f>
        <v>4</v>
      </c>
      <c r="K4663" s="3" t="str">
        <f aca="false">IFERROR(INDEX('Teacher Lookup'!$B$2:$B$200,MATCH(A4663,'Teacher Lookup'!$A$2:$A$200,0)),"")</f>
        <v>CHAN Jessica</v>
      </c>
    </row>
    <row r="4664" customFormat="false" ht="15" hidden="false" customHeight="false" outlineLevel="0" collapsed="false">
      <c r="A4664" s="3" t="s">
        <v>429</v>
      </c>
      <c r="B4664" s="4" t="s">
        <v>31</v>
      </c>
      <c r="C4664" s="4" t="n">
        <v>5</v>
      </c>
      <c r="D4664" s="4" t="s">
        <v>70</v>
      </c>
      <c r="E4664" s="3" t="s">
        <v>81</v>
      </c>
      <c r="F4664" s="4" t="str">
        <f aca="false">IF(I4664&gt;J4664,"Y","N")</f>
        <v>Y</v>
      </c>
      <c r="G4664" s="3" t="s">
        <v>36</v>
      </c>
      <c r="H4664" s="3" t="s">
        <v>37</v>
      </c>
      <c r="I4664" s="4" t="n">
        <v>15</v>
      </c>
      <c r="J4664" s="4" t="n">
        <f aca="false">LEN(E4664)-LEN(SUBSTITUTE(E4664,",",""))+1</f>
        <v>7</v>
      </c>
      <c r="K4664" s="3" t="str">
        <f aca="false">IFERROR(INDEX('Teacher Lookup'!$B$2:$B$200,MATCH(A4664,'Teacher Lookup'!$A$2:$A$200,0)),"")</f>
        <v>CHAN Jessica</v>
      </c>
    </row>
    <row r="4665" customFormat="false" ht="15" hidden="false" customHeight="false" outlineLevel="0" collapsed="false">
      <c r="A4665" s="3" t="s">
        <v>429</v>
      </c>
      <c r="B4665" s="4" t="s">
        <v>31</v>
      </c>
      <c r="C4665" s="4" t="n">
        <v>5</v>
      </c>
      <c r="D4665" s="4" t="s">
        <v>73</v>
      </c>
      <c r="E4665" s="3" t="s">
        <v>81</v>
      </c>
      <c r="F4665" s="4" t="str">
        <f aca="false">IF(I4665&gt;J4665,"Y","N")</f>
        <v>Y</v>
      </c>
      <c r="G4665" s="3" t="s">
        <v>36</v>
      </c>
      <c r="H4665" s="3" t="s">
        <v>37</v>
      </c>
      <c r="I4665" s="4" t="n">
        <v>15</v>
      </c>
      <c r="J4665" s="4" t="n">
        <f aca="false">LEN(E4665)-LEN(SUBSTITUTE(E4665,",",""))+1</f>
        <v>7</v>
      </c>
      <c r="K4665" s="3" t="str">
        <f aca="false">IFERROR(INDEX('Teacher Lookup'!$B$2:$B$200,MATCH(A4665,'Teacher Lookup'!$A$2:$A$200,0)),"")</f>
        <v>CHAN Jessica</v>
      </c>
    </row>
    <row r="4666" customFormat="false" ht="15" hidden="false" customHeight="false" outlineLevel="0" collapsed="false">
      <c r="A4666" s="3" t="s">
        <v>429</v>
      </c>
      <c r="B4666" s="4" t="s">
        <v>31</v>
      </c>
      <c r="C4666" s="4" t="n">
        <v>5</v>
      </c>
      <c r="D4666" s="4" t="s">
        <v>74</v>
      </c>
      <c r="E4666" s="3" t="s">
        <v>81</v>
      </c>
      <c r="F4666" s="4" t="str">
        <f aca="false">IF(I4666&gt;J4666,"Y","N")</f>
        <v>Y</v>
      </c>
      <c r="G4666" s="3" t="s">
        <v>36</v>
      </c>
      <c r="H4666" s="3" t="s">
        <v>37</v>
      </c>
      <c r="I4666" s="4" t="n">
        <v>15</v>
      </c>
      <c r="J4666" s="4" t="n">
        <f aca="false">LEN(E4666)-LEN(SUBSTITUTE(E4666,",",""))+1</f>
        <v>7</v>
      </c>
      <c r="K4666" s="3" t="str">
        <f aca="false">IFERROR(INDEX('Teacher Lookup'!$B$2:$B$200,MATCH(A4666,'Teacher Lookup'!$A$2:$A$200,0)),"")</f>
        <v>CHAN Jessica</v>
      </c>
    </row>
    <row r="4667" customFormat="false" ht="15" hidden="false" customHeight="false" outlineLevel="0" collapsed="false">
      <c r="A4667" s="3" t="s">
        <v>429</v>
      </c>
      <c r="B4667" s="4" t="s">
        <v>31</v>
      </c>
      <c r="C4667" s="4" t="n">
        <v>5</v>
      </c>
      <c r="D4667" s="4" t="s">
        <v>76</v>
      </c>
      <c r="E4667" s="3" t="s">
        <v>81</v>
      </c>
      <c r="F4667" s="4" t="str">
        <f aca="false">IF(I4667&gt;J4667,"Y","N")</f>
        <v>Y</v>
      </c>
      <c r="G4667" s="3" t="s">
        <v>36</v>
      </c>
      <c r="H4667" s="3" t="s">
        <v>37</v>
      </c>
      <c r="I4667" s="4" t="n">
        <v>15</v>
      </c>
      <c r="J4667" s="4" t="n">
        <f aca="false">LEN(E4667)-LEN(SUBSTITUTE(E4667,",",""))+1</f>
        <v>7</v>
      </c>
      <c r="K4667" s="3" t="str">
        <f aca="false">IFERROR(INDEX('Teacher Lookup'!$B$2:$B$200,MATCH(A4667,'Teacher Lookup'!$A$2:$A$200,0)),"")</f>
        <v>CHAN Jessica</v>
      </c>
    </row>
    <row r="4668" customFormat="false" ht="15" hidden="false" customHeight="false" outlineLevel="0" collapsed="false">
      <c r="A4668" s="3" t="s">
        <v>429</v>
      </c>
      <c r="B4668" s="4" t="s">
        <v>31</v>
      </c>
      <c r="C4668" s="4" t="n">
        <v>5</v>
      </c>
      <c r="D4668" s="4" t="s">
        <v>78</v>
      </c>
      <c r="E4668" s="3" t="s">
        <v>81</v>
      </c>
      <c r="F4668" s="4" t="str">
        <f aca="false">IF(I4668&gt;J4668,"Y","N")</f>
        <v>Y</v>
      </c>
      <c r="G4668" s="3" t="s">
        <v>36</v>
      </c>
      <c r="H4668" s="3" t="s">
        <v>37</v>
      </c>
      <c r="I4668" s="4" t="n">
        <v>15</v>
      </c>
      <c r="J4668" s="4" t="n">
        <f aca="false">LEN(E4668)-LEN(SUBSTITUTE(E4668,",",""))+1</f>
        <v>7</v>
      </c>
      <c r="K4668" s="3" t="str">
        <f aca="false">IFERROR(INDEX('Teacher Lookup'!$B$2:$B$200,MATCH(A4668,'Teacher Lookup'!$A$2:$A$200,0)),"")</f>
        <v>CHAN Jessica</v>
      </c>
    </row>
    <row r="4669" customFormat="false" ht="15" hidden="false" customHeight="false" outlineLevel="0" collapsed="false">
      <c r="A4669" s="3" t="s">
        <v>429</v>
      </c>
      <c r="B4669" s="4" t="s">
        <v>31</v>
      </c>
      <c r="C4669" s="4" t="n">
        <v>5</v>
      </c>
      <c r="D4669" s="4" t="s">
        <v>79</v>
      </c>
      <c r="E4669" s="3" t="s">
        <v>81</v>
      </c>
      <c r="F4669" s="4" t="str">
        <f aca="false">IF(I4669&gt;J4669,"Y","N")</f>
        <v>Y</v>
      </c>
      <c r="G4669" s="3" t="s">
        <v>36</v>
      </c>
      <c r="H4669" s="3" t="s">
        <v>37</v>
      </c>
      <c r="I4669" s="4" t="n">
        <v>15</v>
      </c>
      <c r="J4669" s="4" t="n">
        <f aca="false">LEN(E4669)-LEN(SUBSTITUTE(E4669,",",""))+1</f>
        <v>7</v>
      </c>
      <c r="K4669" s="3" t="str">
        <f aca="false">IFERROR(INDEX('Teacher Lookup'!$B$2:$B$200,MATCH(A4669,'Teacher Lookup'!$A$2:$A$200,0)),"")</f>
        <v>CHAN Jessica</v>
      </c>
    </row>
    <row r="4670" customFormat="false" ht="15" hidden="false" customHeight="false" outlineLevel="0" collapsed="false">
      <c r="A4670" s="3" t="s">
        <v>429</v>
      </c>
      <c r="B4670" s="4" t="s">
        <v>31</v>
      </c>
      <c r="C4670" s="4" t="n">
        <v>7</v>
      </c>
      <c r="D4670" s="4" t="s">
        <v>57</v>
      </c>
      <c r="E4670" s="3" t="s">
        <v>393</v>
      </c>
      <c r="F4670" s="4" t="str">
        <f aca="false">IF(I4670&gt;J4670,"Y","N")</f>
        <v>N</v>
      </c>
      <c r="G4670" s="3" t="s">
        <v>72</v>
      </c>
      <c r="H4670" s="3" t="s">
        <v>39</v>
      </c>
      <c r="I4670" s="4" t="n">
        <v>4</v>
      </c>
      <c r="J4670" s="4" t="n">
        <f aca="false">LEN(E4670)-LEN(SUBSTITUTE(E4670,",",""))+1</f>
        <v>4</v>
      </c>
      <c r="K4670" s="3" t="str">
        <f aca="false">IFERROR(INDEX('Teacher Lookup'!$B$2:$B$200,MATCH(A4670,'Teacher Lookup'!$A$2:$A$200,0)),"")</f>
        <v>CHAN Jessica</v>
      </c>
    </row>
    <row r="4671" customFormat="false" ht="15" hidden="false" customHeight="false" outlineLevel="0" collapsed="false">
      <c r="A4671" s="3" t="s">
        <v>429</v>
      </c>
      <c r="B4671" s="4" t="s">
        <v>31</v>
      </c>
      <c r="C4671" s="4" t="n">
        <v>7</v>
      </c>
      <c r="D4671" s="4" t="s">
        <v>58</v>
      </c>
      <c r="E4671" s="3" t="s">
        <v>393</v>
      </c>
      <c r="F4671" s="4" t="str">
        <f aca="false">IF(I4671&gt;J4671,"Y","N")</f>
        <v>N</v>
      </c>
      <c r="G4671" s="3" t="s">
        <v>72</v>
      </c>
      <c r="H4671" s="3" t="s">
        <v>39</v>
      </c>
      <c r="I4671" s="4" t="n">
        <v>4</v>
      </c>
      <c r="J4671" s="4" t="n">
        <f aca="false">LEN(E4671)-LEN(SUBSTITUTE(E4671,",",""))+1</f>
        <v>4</v>
      </c>
      <c r="K4671" s="3" t="str">
        <f aca="false">IFERROR(INDEX('Teacher Lookup'!$B$2:$B$200,MATCH(A4671,'Teacher Lookup'!$A$2:$A$200,0)),"")</f>
        <v>CHAN Jessica</v>
      </c>
    </row>
    <row r="4672" customFormat="false" ht="15" hidden="false" customHeight="false" outlineLevel="0" collapsed="false">
      <c r="A4672" s="3" t="s">
        <v>429</v>
      </c>
      <c r="B4672" s="4" t="s">
        <v>31</v>
      </c>
      <c r="C4672" s="4" t="n">
        <v>7</v>
      </c>
      <c r="D4672" s="4" t="s">
        <v>59</v>
      </c>
      <c r="E4672" s="3" t="s">
        <v>393</v>
      </c>
      <c r="F4672" s="4" t="str">
        <f aca="false">IF(I4672&gt;J4672,"Y","N")</f>
        <v>N</v>
      </c>
      <c r="G4672" s="3" t="s">
        <v>72</v>
      </c>
      <c r="H4672" s="3" t="s">
        <v>39</v>
      </c>
      <c r="I4672" s="4" t="n">
        <v>4</v>
      </c>
      <c r="J4672" s="4" t="n">
        <f aca="false">LEN(E4672)-LEN(SUBSTITUTE(E4672,",",""))+1</f>
        <v>4</v>
      </c>
      <c r="K4672" s="3" t="str">
        <f aca="false">IFERROR(INDEX('Teacher Lookup'!$B$2:$B$200,MATCH(A4672,'Teacher Lookup'!$A$2:$A$200,0)),"")</f>
        <v>CHAN Jessica</v>
      </c>
    </row>
    <row r="4673" customFormat="false" ht="15" hidden="false" customHeight="false" outlineLevel="0" collapsed="false">
      <c r="A4673" s="3" t="s">
        <v>429</v>
      </c>
      <c r="B4673" s="4" t="s">
        <v>40</v>
      </c>
      <c r="C4673" s="4" t="n">
        <v>1</v>
      </c>
      <c r="D4673" s="4" t="s">
        <v>52</v>
      </c>
      <c r="E4673" s="3" t="s">
        <v>177</v>
      </c>
      <c r="F4673" s="4" t="str">
        <f aca="false">IF(I4673&gt;J4673,"Y","N")</f>
        <v>N</v>
      </c>
      <c r="G4673" s="3" t="s">
        <v>72</v>
      </c>
      <c r="H4673" s="3" t="s">
        <v>16</v>
      </c>
      <c r="I4673" s="4" t="n">
        <v>4</v>
      </c>
      <c r="J4673" s="4" t="n">
        <f aca="false">LEN(E4673)-LEN(SUBSTITUTE(E4673,",",""))+1</f>
        <v>4</v>
      </c>
      <c r="K4673" s="3" t="str">
        <f aca="false">IFERROR(INDEX('Teacher Lookup'!$B$2:$B$200,MATCH(A4673,'Teacher Lookup'!$A$2:$A$200,0)),"")</f>
        <v>CHAN Jessica</v>
      </c>
    </row>
    <row r="4674" customFormat="false" ht="15" hidden="false" customHeight="false" outlineLevel="0" collapsed="false">
      <c r="A4674" s="3" t="s">
        <v>429</v>
      </c>
      <c r="B4674" s="4" t="s">
        <v>40</v>
      </c>
      <c r="C4674" s="4" t="n">
        <v>1</v>
      </c>
      <c r="D4674" s="4" t="s">
        <v>55</v>
      </c>
      <c r="E4674" s="3" t="s">
        <v>177</v>
      </c>
      <c r="F4674" s="4" t="str">
        <f aca="false">IF(I4674&gt;J4674,"Y","N")</f>
        <v>N</v>
      </c>
      <c r="G4674" s="3" t="s">
        <v>72</v>
      </c>
      <c r="H4674" s="3" t="s">
        <v>16</v>
      </c>
      <c r="I4674" s="4" t="n">
        <v>4</v>
      </c>
      <c r="J4674" s="4" t="n">
        <f aca="false">LEN(E4674)-LEN(SUBSTITUTE(E4674,",",""))+1</f>
        <v>4</v>
      </c>
      <c r="K4674" s="3" t="str">
        <f aca="false">IFERROR(INDEX('Teacher Lookup'!$B$2:$B$200,MATCH(A4674,'Teacher Lookup'!$A$2:$A$200,0)),"")</f>
        <v>CHAN Jessica</v>
      </c>
    </row>
    <row r="4675" customFormat="false" ht="15" hidden="false" customHeight="false" outlineLevel="0" collapsed="false">
      <c r="A4675" s="3" t="s">
        <v>429</v>
      </c>
      <c r="B4675" s="4" t="s">
        <v>40</v>
      </c>
      <c r="C4675" s="4" t="n">
        <v>1</v>
      </c>
      <c r="D4675" s="4" t="s">
        <v>56</v>
      </c>
      <c r="E4675" s="3" t="s">
        <v>177</v>
      </c>
      <c r="F4675" s="4" t="str">
        <f aca="false">IF(I4675&gt;J4675,"Y","N")</f>
        <v>N</v>
      </c>
      <c r="G4675" s="3" t="s">
        <v>72</v>
      </c>
      <c r="H4675" s="3" t="s">
        <v>16</v>
      </c>
      <c r="I4675" s="4" t="n">
        <v>4</v>
      </c>
      <c r="J4675" s="4" t="n">
        <f aca="false">LEN(E4675)-LEN(SUBSTITUTE(E4675,",",""))+1</f>
        <v>4</v>
      </c>
      <c r="K4675" s="3" t="str">
        <f aca="false">IFERROR(INDEX('Teacher Lookup'!$B$2:$B$200,MATCH(A4675,'Teacher Lookup'!$A$2:$A$200,0)),"")</f>
        <v>CHAN Jessica</v>
      </c>
    </row>
    <row r="4676" customFormat="false" ht="15" hidden="false" customHeight="false" outlineLevel="0" collapsed="false">
      <c r="A4676" s="3" t="s">
        <v>429</v>
      </c>
      <c r="B4676" s="4" t="s">
        <v>40</v>
      </c>
      <c r="C4676" s="4" t="n">
        <v>2</v>
      </c>
      <c r="D4676" s="4" t="s">
        <v>76</v>
      </c>
      <c r="E4676" s="3" t="s">
        <v>84</v>
      </c>
      <c r="F4676" s="4" t="str">
        <f aca="false">IF(I4676&gt;J4676,"Y","N")</f>
        <v>N</v>
      </c>
      <c r="G4676" s="3" t="s">
        <v>72</v>
      </c>
      <c r="H4676" s="3" t="s">
        <v>21</v>
      </c>
      <c r="I4676" s="4" t="n">
        <v>4</v>
      </c>
      <c r="J4676" s="4" t="n">
        <f aca="false">LEN(E4676)-LEN(SUBSTITUTE(E4676,",",""))+1</f>
        <v>4</v>
      </c>
      <c r="K4676" s="3" t="str">
        <f aca="false">IFERROR(INDEX('Teacher Lookup'!$B$2:$B$200,MATCH(A4676,'Teacher Lookup'!$A$2:$A$200,0)),"")</f>
        <v>CHAN Jessica</v>
      </c>
    </row>
    <row r="4677" customFormat="false" ht="15" hidden="false" customHeight="false" outlineLevel="0" collapsed="false">
      <c r="A4677" s="3" t="s">
        <v>429</v>
      </c>
      <c r="B4677" s="4" t="s">
        <v>40</v>
      </c>
      <c r="C4677" s="4" t="n">
        <v>2</v>
      </c>
      <c r="D4677" s="4" t="s">
        <v>78</v>
      </c>
      <c r="E4677" s="3" t="s">
        <v>84</v>
      </c>
      <c r="F4677" s="4" t="str">
        <f aca="false">IF(I4677&gt;J4677,"Y","N")</f>
        <v>N</v>
      </c>
      <c r="G4677" s="3" t="s">
        <v>72</v>
      </c>
      <c r="H4677" s="3" t="s">
        <v>21</v>
      </c>
      <c r="I4677" s="4" t="n">
        <v>4</v>
      </c>
      <c r="J4677" s="4" t="n">
        <f aca="false">LEN(E4677)-LEN(SUBSTITUTE(E4677,",",""))+1</f>
        <v>4</v>
      </c>
      <c r="K4677" s="3" t="str">
        <f aca="false">IFERROR(INDEX('Teacher Lookup'!$B$2:$B$200,MATCH(A4677,'Teacher Lookup'!$A$2:$A$200,0)),"")</f>
        <v>CHAN Jessica</v>
      </c>
    </row>
    <row r="4678" customFormat="false" ht="15" hidden="false" customHeight="false" outlineLevel="0" collapsed="false">
      <c r="A4678" s="3" t="s">
        <v>429</v>
      </c>
      <c r="B4678" s="4" t="s">
        <v>40</v>
      </c>
      <c r="C4678" s="4" t="n">
        <v>2</v>
      </c>
      <c r="D4678" s="4" t="s">
        <v>79</v>
      </c>
      <c r="E4678" s="3" t="s">
        <v>84</v>
      </c>
      <c r="F4678" s="4" t="str">
        <f aca="false">IF(I4678&gt;J4678,"Y","N")</f>
        <v>N</v>
      </c>
      <c r="G4678" s="3" t="s">
        <v>72</v>
      </c>
      <c r="H4678" s="3" t="s">
        <v>21</v>
      </c>
      <c r="I4678" s="4" t="n">
        <v>4</v>
      </c>
      <c r="J4678" s="4" t="n">
        <f aca="false">LEN(E4678)-LEN(SUBSTITUTE(E4678,",",""))+1</f>
        <v>4</v>
      </c>
      <c r="K4678" s="3" t="str">
        <f aca="false">IFERROR(INDEX('Teacher Lookup'!$B$2:$B$200,MATCH(A4678,'Teacher Lookup'!$A$2:$A$200,0)),"")</f>
        <v>CHAN Jessica</v>
      </c>
    </row>
    <row r="4679" customFormat="false" ht="15" hidden="false" customHeight="false" outlineLevel="0" collapsed="false">
      <c r="A4679" s="3" t="s">
        <v>429</v>
      </c>
      <c r="B4679" s="4" t="s">
        <v>40</v>
      </c>
      <c r="C4679" s="4" t="n">
        <v>6</v>
      </c>
      <c r="D4679" s="4" t="s">
        <v>57</v>
      </c>
      <c r="E4679" s="3" t="s">
        <v>166</v>
      </c>
      <c r="F4679" s="4" t="str">
        <f aca="false">IF(I4679&gt;J4679,"Y","N")</f>
        <v>N</v>
      </c>
      <c r="G4679" s="3" t="s">
        <v>72</v>
      </c>
      <c r="H4679" s="3" t="s">
        <v>42</v>
      </c>
      <c r="I4679" s="4" t="n">
        <v>4</v>
      </c>
      <c r="J4679" s="4" t="n">
        <f aca="false">LEN(E4679)-LEN(SUBSTITUTE(E4679,",",""))+1</f>
        <v>4</v>
      </c>
      <c r="K4679" s="3" t="str">
        <f aca="false">IFERROR(INDEX('Teacher Lookup'!$B$2:$B$200,MATCH(A4679,'Teacher Lookup'!$A$2:$A$200,0)),"")</f>
        <v>CHAN Jessica</v>
      </c>
    </row>
    <row r="4680" customFormat="false" ht="15" hidden="false" customHeight="false" outlineLevel="0" collapsed="false">
      <c r="A4680" s="3" t="s">
        <v>429</v>
      </c>
      <c r="B4680" s="4" t="s">
        <v>40</v>
      </c>
      <c r="C4680" s="4" t="n">
        <v>6</v>
      </c>
      <c r="D4680" s="4" t="s">
        <v>58</v>
      </c>
      <c r="E4680" s="3" t="s">
        <v>166</v>
      </c>
      <c r="F4680" s="4" t="str">
        <f aca="false">IF(I4680&gt;J4680,"Y","N")</f>
        <v>N</v>
      </c>
      <c r="G4680" s="3" t="s">
        <v>72</v>
      </c>
      <c r="H4680" s="3" t="s">
        <v>42</v>
      </c>
      <c r="I4680" s="4" t="n">
        <v>4</v>
      </c>
      <c r="J4680" s="4" t="n">
        <f aca="false">LEN(E4680)-LEN(SUBSTITUTE(E4680,",",""))+1</f>
        <v>4</v>
      </c>
      <c r="K4680" s="3" t="str">
        <f aca="false">IFERROR(INDEX('Teacher Lookup'!$B$2:$B$200,MATCH(A4680,'Teacher Lookup'!$A$2:$A$200,0)),"")</f>
        <v>CHAN Jessica</v>
      </c>
    </row>
    <row r="4681" customFormat="false" ht="15" hidden="false" customHeight="false" outlineLevel="0" collapsed="false">
      <c r="A4681" s="3" t="s">
        <v>429</v>
      </c>
      <c r="B4681" s="4" t="s">
        <v>40</v>
      </c>
      <c r="C4681" s="4" t="n">
        <v>6</v>
      </c>
      <c r="D4681" s="4" t="s">
        <v>59</v>
      </c>
      <c r="E4681" s="3" t="s">
        <v>166</v>
      </c>
      <c r="F4681" s="4" t="str">
        <f aca="false">IF(I4681&gt;J4681,"Y","N")</f>
        <v>N</v>
      </c>
      <c r="G4681" s="3" t="s">
        <v>72</v>
      </c>
      <c r="H4681" s="3" t="s">
        <v>42</v>
      </c>
      <c r="I4681" s="4" t="n">
        <v>4</v>
      </c>
      <c r="J4681" s="4" t="n">
        <f aca="false">LEN(E4681)-LEN(SUBSTITUTE(E4681,",",""))+1</f>
        <v>4</v>
      </c>
      <c r="K4681" s="3" t="str">
        <f aca="false">IFERROR(INDEX('Teacher Lookup'!$B$2:$B$200,MATCH(A4681,'Teacher Lookup'!$A$2:$A$200,0)),"")</f>
        <v>CHAN Jessica</v>
      </c>
    </row>
    <row r="4682" customFormat="false" ht="15" hidden="false" customHeight="false" outlineLevel="0" collapsed="false">
      <c r="A4682" s="3" t="s">
        <v>429</v>
      </c>
      <c r="B4682" s="4" t="s">
        <v>40</v>
      </c>
      <c r="C4682" s="4" t="n">
        <v>7</v>
      </c>
      <c r="D4682" s="4" t="s">
        <v>57</v>
      </c>
      <c r="E4682" s="3" t="s">
        <v>166</v>
      </c>
      <c r="F4682" s="4" t="str">
        <f aca="false">IF(I4682&gt;J4682,"Y","N")</f>
        <v>N</v>
      </c>
      <c r="G4682" s="3" t="s">
        <v>72</v>
      </c>
      <c r="H4682" s="3" t="s">
        <v>39</v>
      </c>
      <c r="I4682" s="4" t="n">
        <v>4</v>
      </c>
      <c r="J4682" s="4" t="n">
        <f aca="false">LEN(E4682)-LEN(SUBSTITUTE(E4682,",",""))+1</f>
        <v>4</v>
      </c>
      <c r="K4682" s="3" t="str">
        <f aca="false">IFERROR(INDEX('Teacher Lookup'!$B$2:$B$200,MATCH(A4682,'Teacher Lookup'!$A$2:$A$200,0)),"")</f>
        <v>CHAN Jessica</v>
      </c>
    </row>
    <row r="4683" customFormat="false" ht="15" hidden="false" customHeight="false" outlineLevel="0" collapsed="false">
      <c r="A4683" s="3" t="s">
        <v>429</v>
      </c>
      <c r="B4683" s="4" t="s">
        <v>40</v>
      </c>
      <c r="C4683" s="4" t="n">
        <v>7</v>
      </c>
      <c r="D4683" s="4" t="s">
        <v>58</v>
      </c>
      <c r="E4683" s="3" t="s">
        <v>166</v>
      </c>
      <c r="F4683" s="4" t="str">
        <f aca="false">IF(I4683&gt;J4683,"Y","N")</f>
        <v>N</v>
      </c>
      <c r="G4683" s="3" t="s">
        <v>72</v>
      </c>
      <c r="H4683" s="3" t="s">
        <v>39</v>
      </c>
      <c r="I4683" s="4" t="n">
        <v>4</v>
      </c>
      <c r="J4683" s="4" t="n">
        <f aca="false">LEN(E4683)-LEN(SUBSTITUTE(E4683,",",""))+1</f>
        <v>4</v>
      </c>
      <c r="K4683" s="3" t="str">
        <f aca="false">IFERROR(INDEX('Teacher Lookup'!$B$2:$B$200,MATCH(A4683,'Teacher Lookup'!$A$2:$A$200,0)),"")</f>
        <v>CHAN Jessica</v>
      </c>
    </row>
    <row r="4684" customFormat="false" ht="15" hidden="false" customHeight="false" outlineLevel="0" collapsed="false">
      <c r="A4684" s="3" t="s">
        <v>429</v>
      </c>
      <c r="B4684" s="4" t="s">
        <v>40</v>
      </c>
      <c r="C4684" s="4" t="n">
        <v>7</v>
      </c>
      <c r="D4684" s="4" t="s">
        <v>59</v>
      </c>
      <c r="E4684" s="3" t="s">
        <v>166</v>
      </c>
      <c r="F4684" s="4" t="str">
        <f aca="false">IF(I4684&gt;J4684,"Y","N")</f>
        <v>N</v>
      </c>
      <c r="G4684" s="3" t="s">
        <v>72</v>
      </c>
      <c r="H4684" s="3" t="s">
        <v>39</v>
      </c>
      <c r="I4684" s="4" t="n">
        <v>4</v>
      </c>
      <c r="J4684" s="4" t="n">
        <f aca="false">LEN(E4684)-LEN(SUBSTITUTE(E4684,",",""))+1</f>
        <v>4</v>
      </c>
      <c r="K4684" s="3" t="str">
        <f aca="false">IFERROR(INDEX('Teacher Lookup'!$B$2:$B$200,MATCH(A4684,'Teacher Lookup'!$A$2:$A$200,0)),"")</f>
        <v>CHAN Jessica</v>
      </c>
    </row>
    <row r="4685" customFormat="false" ht="15" hidden="false" customHeight="false" outlineLevel="0" collapsed="false">
      <c r="A4685" s="3" t="s">
        <v>429</v>
      </c>
      <c r="B4685" s="4" t="s">
        <v>44</v>
      </c>
      <c r="C4685" s="4" t="n">
        <v>2</v>
      </c>
      <c r="D4685" s="4" t="s">
        <v>57</v>
      </c>
      <c r="E4685" s="3" t="s">
        <v>394</v>
      </c>
      <c r="F4685" s="4" t="str">
        <f aca="false">IF(I4685&gt;J4685,"Y","N")</f>
        <v>N</v>
      </c>
      <c r="G4685" s="3" t="s">
        <v>72</v>
      </c>
      <c r="H4685" s="3" t="s">
        <v>21</v>
      </c>
      <c r="I4685" s="4" t="n">
        <v>4</v>
      </c>
      <c r="J4685" s="4" t="n">
        <f aca="false">LEN(E4685)-LEN(SUBSTITUTE(E4685,",",""))+1</f>
        <v>4</v>
      </c>
      <c r="K4685" s="3" t="str">
        <f aca="false">IFERROR(INDEX('Teacher Lookup'!$B$2:$B$200,MATCH(A4685,'Teacher Lookup'!$A$2:$A$200,0)),"")</f>
        <v>CHAN Jessica</v>
      </c>
    </row>
    <row r="4686" customFormat="false" ht="15" hidden="false" customHeight="false" outlineLevel="0" collapsed="false">
      <c r="A4686" s="3" t="s">
        <v>429</v>
      </c>
      <c r="B4686" s="4" t="s">
        <v>44</v>
      </c>
      <c r="C4686" s="4" t="n">
        <v>2</v>
      </c>
      <c r="D4686" s="4" t="s">
        <v>58</v>
      </c>
      <c r="E4686" s="3" t="s">
        <v>394</v>
      </c>
      <c r="F4686" s="4" t="str">
        <f aca="false">IF(I4686&gt;J4686,"Y","N")</f>
        <v>N</v>
      </c>
      <c r="G4686" s="3" t="s">
        <v>72</v>
      </c>
      <c r="H4686" s="3" t="s">
        <v>21</v>
      </c>
      <c r="I4686" s="4" t="n">
        <v>4</v>
      </c>
      <c r="J4686" s="4" t="n">
        <f aca="false">LEN(E4686)-LEN(SUBSTITUTE(E4686,",",""))+1</f>
        <v>4</v>
      </c>
      <c r="K4686" s="3" t="str">
        <f aca="false">IFERROR(INDEX('Teacher Lookup'!$B$2:$B$200,MATCH(A4686,'Teacher Lookup'!$A$2:$A$200,0)),"")</f>
        <v>CHAN Jessica</v>
      </c>
    </row>
    <row r="4687" customFormat="false" ht="15" hidden="false" customHeight="false" outlineLevel="0" collapsed="false">
      <c r="A4687" s="3" t="s">
        <v>429</v>
      </c>
      <c r="B4687" s="4" t="s">
        <v>44</v>
      </c>
      <c r="C4687" s="4" t="n">
        <v>2</v>
      </c>
      <c r="D4687" s="4" t="s">
        <v>59</v>
      </c>
      <c r="E4687" s="3" t="s">
        <v>394</v>
      </c>
      <c r="F4687" s="4" t="str">
        <f aca="false">IF(I4687&gt;J4687,"Y","N")</f>
        <v>N</v>
      </c>
      <c r="G4687" s="3" t="s">
        <v>72</v>
      </c>
      <c r="H4687" s="3" t="s">
        <v>21</v>
      </c>
      <c r="I4687" s="4" t="n">
        <v>4</v>
      </c>
      <c r="J4687" s="4" t="n">
        <f aca="false">LEN(E4687)-LEN(SUBSTITUTE(E4687,",",""))+1</f>
        <v>4</v>
      </c>
      <c r="K4687" s="3" t="str">
        <f aca="false">IFERROR(INDEX('Teacher Lookup'!$B$2:$B$200,MATCH(A4687,'Teacher Lookup'!$A$2:$A$200,0)),"")</f>
        <v>CHAN Jessica</v>
      </c>
    </row>
    <row r="4688" customFormat="false" ht="15" hidden="false" customHeight="false" outlineLevel="0" collapsed="false">
      <c r="A4688" s="3" t="s">
        <v>429</v>
      </c>
      <c r="B4688" s="4" t="s">
        <v>44</v>
      </c>
      <c r="C4688" s="4" t="n">
        <v>3</v>
      </c>
      <c r="D4688" s="4" t="s">
        <v>52</v>
      </c>
      <c r="E4688" s="3" t="s">
        <v>395</v>
      </c>
      <c r="F4688" s="4" t="str">
        <f aca="false">IF(I4688&gt;J4688,"Y","N")</f>
        <v>N</v>
      </c>
      <c r="G4688" s="3" t="s">
        <v>72</v>
      </c>
      <c r="H4688" s="3" t="s">
        <v>26</v>
      </c>
      <c r="I4688" s="4" t="n">
        <v>4</v>
      </c>
      <c r="J4688" s="4" t="n">
        <f aca="false">LEN(E4688)-LEN(SUBSTITUTE(E4688,",",""))+1</f>
        <v>4</v>
      </c>
      <c r="K4688" s="3" t="str">
        <f aca="false">IFERROR(INDEX('Teacher Lookup'!$B$2:$B$200,MATCH(A4688,'Teacher Lookup'!$A$2:$A$200,0)),"")</f>
        <v>CHAN Jessica</v>
      </c>
    </row>
    <row r="4689" customFormat="false" ht="15" hidden="false" customHeight="false" outlineLevel="0" collapsed="false">
      <c r="A4689" s="3" t="s">
        <v>429</v>
      </c>
      <c r="B4689" s="4" t="s">
        <v>44</v>
      </c>
      <c r="C4689" s="4" t="n">
        <v>3</v>
      </c>
      <c r="D4689" s="4" t="s">
        <v>55</v>
      </c>
      <c r="E4689" s="3" t="s">
        <v>395</v>
      </c>
      <c r="F4689" s="4" t="str">
        <f aca="false">IF(I4689&gt;J4689,"Y","N")</f>
        <v>N</v>
      </c>
      <c r="G4689" s="3" t="s">
        <v>72</v>
      </c>
      <c r="H4689" s="3" t="s">
        <v>26</v>
      </c>
      <c r="I4689" s="4" t="n">
        <v>4</v>
      </c>
      <c r="J4689" s="4" t="n">
        <f aca="false">LEN(E4689)-LEN(SUBSTITUTE(E4689,",",""))+1</f>
        <v>4</v>
      </c>
      <c r="K4689" s="3" t="str">
        <f aca="false">IFERROR(INDEX('Teacher Lookup'!$B$2:$B$200,MATCH(A4689,'Teacher Lookup'!$A$2:$A$200,0)),"")</f>
        <v>CHAN Jessica</v>
      </c>
    </row>
    <row r="4690" customFormat="false" ht="15" hidden="false" customHeight="false" outlineLevel="0" collapsed="false">
      <c r="A4690" s="3" t="s">
        <v>429</v>
      </c>
      <c r="B4690" s="4" t="s">
        <v>44</v>
      </c>
      <c r="C4690" s="4" t="n">
        <v>3</v>
      </c>
      <c r="D4690" s="4" t="s">
        <v>56</v>
      </c>
      <c r="E4690" s="3" t="s">
        <v>395</v>
      </c>
      <c r="F4690" s="4" t="str">
        <f aca="false">IF(I4690&gt;J4690,"Y","N")</f>
        <v>N</v>
      </c>
      <c r="G4690" s="3" t="s">
        <v>72</v>
      </c>
      <c r="H4690" s="3" t="s">
        <v>26</v>
      </c>
      <c r="I4690" s="4" t="n">
        <v>4</v>
      </c>
      <c r="J4690" s="4" t="n">
        <f aca="false">LEN(E4690)-LEN(SUBSTITUTE(E4690,",",""))+1</f>
        <v>4</v>
      </c>
      <c r="K4690" s="3" t="str">
        <f aca="false">IFERROR(INDEX('Teacher Lookup'!$B$2:$B$200,MATCH(A4690,'Teacher Lookup'!$A$2:$A$200,0)),"")</f>
        <v>CHAN Jessica</v>
      </c>
    </row>
    <row r="4691" customFormat="false" ht="15" hidden="false" customHeight="false" outlineLevel="0" collapsed="false">
      <c r="A4691" s="3" t="s">
        <v>429</v>
      </c>
      <c r="B4691" s="4" t="s">
        <v>44</v>
      </c>
      <c r="C4691" s="4" t="n">
        <v>4</v>
      </c>
      <c r="D4691" s="4" t="s">
        <v>76</v>
      </c>
      <c r="E4691" s="3" t="s">
        <v>84</v>
      </c>
      <c r="F4691" s="4" t="str">
        <f aca="false">IF(I4691&gt;J4691,"Y","N")</f>
        <v>N</v>
      </c>
      <c r="G4691" s="3" t="s">
        <v>72</v>
      </c>
      <c r="H4691" s="3" t="s">
        <v>34</v>
      </c>
      <c r="I4691" s="4" t="n">
        <v>4</v>
      </c>
      <c r="J4691" s="4" t="n">
        <f aca="false">LEN(E4691)-LEN(SUBSTITUTE(E4691,",",""))+1</f>
        <v>4</v>
      </c>
      <c r="K4691" s="3" t="str">
        <f aca="false">IFERROR(INDEX('Teacher Lookup'!$B$2:$B$200,MATCH(A4691,'Teacher Lookup'!$A$2:$A$200,0)),"")</f>
        <v>CHAN Jessica</v>
      </c>
    </row>
    <row r="4692" customFormat="false" ht="15" hidden="false" customHeight="false" outlineLevel="0" collapsed="false">
      <c r="A4692" s="3" t="s">
        <v>429</v>
      </c>
      <c r="B4692" s="4" t="s">
        <v>44</v>
      </c>
      <c r="C4692" s="4" t="n">
        <v>4</v>
      </c>
      <c r="D4692" s="4" t="s">
        <v>78</v>
      </c>
      <c r="E4692" s="3" t="s">
        <v>84</v>
      </c>
      <c r="F4692" s="4" t="str">
        <f aca="false">IF(I4692&gt;J4692,"Y","N")</f>
        <v>N</v>
      </c>
      <c r="G4692" s="3" t="s">
        <v>72</v>
      </c>
      <c r="H4692" s="3" t="s">
        <v>34</v>
      </c>
      <c r="I4692" s="4" t="n">
        <v>4</v>
      </c>
      <c r="J4692" s="4" t="n">
        <f aca="false">LEN(E4692)-LEN(SUBSTITUTE(E4692,",",""))+1</f>
        <v>4</v>
      </c>
      <c r="K4692" s="3" t="str">
        <f aca="false">IFERROR(INDEX('Teacher Lookup'!$B$2:$B$200,MATCH(A4692,'Teacher Lookup'!$A$2:$A$200,0)),"")</f>
        <v>CHAN Jessica</v>
      </c>
    </row>
    <row r="4693" customFormat="false" ht="15" hidden="false" customHeight="false" outlineLevel="0" collapsed="false">
      <c r="A4693" s="3" t="s">
        <v>429</v>
      </c>
      <c r="B4693" s="4" t="s">
        <v>44</v>
      </c>
      <c r="C4693" s="4" t="n">
        <v>4</v>
      </c>
      <c r="D4693" s="4" t="s">
        <v>79</v>
      </c>
      <c r="E4693" s="3" t="s">
        <v>84</v>
      </c>
      <c r="F4693" s="4" t="str">
        <f aca="false">IF(I4693&gt;J4693,"Y","N")</f>
        <v>N</v>
      </c>
      <c r="G4693" s="3" t="s">
        <v>72</v>
      </c>
      <c r="H4693" s="3" t="s">
        <v>34</v>
      </c>
      <c r="I4693" s="4" t="n">
        <v>4</v>
      </c>
      <c r="J4693" s="4" t="n">
        <f aca="false">LEN(E4693)-LEN(SUBSTITUTE(E4693,",",""))+1</f>
        <v>4</v>
      </c>
      <c r="K4693" s="3" t="str">
        <f aca="false">IFERROR(INDEX('Teacher Lookup'!$B$2:$B$200,MATCH(A4693,'Teacher Lookup'!$A$2:$A$200,0)),"")</f>
        <v>CHAN Jessica</v>
      </c>
    </row>
    <row r="4694" customFormat="false" ht="15" hidden="false" customHeight="false" outlineLevel="0" collapsed="false">
      <c r="A4694" s="3" t="s">
        <v>429</v>
      </c>
      <c r="B4694" s="4" t="s">
        <v>44</v>
      </c>
      <c r="C4694" s="4" t="n">
        <v>5</v>
      </c>
      <c r="D4694" s="4" t="s">
        <v>70</v>
      </c>
      <c r="E4694" s="3" t="s">
        <v>81</v>
      </c>
      <c r="F4694" s="4" t="str">
        <f aca="false">IF(I4694&gt;J4694,"Y","N")</f>
        <v>Y</v>
      </c>
      <c r="G4694" s="3" t="s">
        <v>36</v>
      </c>
      <c r="H4694" s="3" t="s">
        <v>37</v>
      </c>
      <c r="I4694" s="4" t="n">
        <v>15</v>
      </c>
      <c r="J4694" s="4" t="n">
        <f aca="false">LEN(E4694)-LEN(SUBSTITUTE(E4694,",",""))+1</f>
        <v>7</v>
      </c>
      <c r="K4694" s="3" t="str">
        <f aca="false">IFERROR(INDEX('Teacher Lookup'!$B$2:$B$200,MATCH(A4694,'Teacher Lookup'!$A$2:$A$200,0)),"")</f>
        <v>CHAN Jessica</v>
      </c>
    </row>
    <row r="4695" customFormat="false" ht="15" hidden="false" customHeight="false" outlineLevel="0" collapsed="false">
      <c r="A4695" s="3" t="s">
        <v>429</v>
      </c>
      <c r="B4695" s="4" t="s">
        <v>44</v>
      </c>
      <c r="C4695" s="4" t="n">
        <v>5</v>
      </c>
      <c r="D4695" s="4" t="s">
        <v>73</v>
      </c>
      <c r="E4695" s="3" t="s">
        <v>81</v>
      </c>
      <c r="F4695" s="4" t="str">
        <f aca="false">IF(I4695&gt;J4695,"Y","N")</f>
        <v>Y</v>
      </c>
      <c r="G4695" s="3" t="s">
        <v>36</v>
      </c>
      <c r="H4695" s="3" t="s">
        <v>37</v>
      </c>
      <c r="I4695" s="4" t="n">
        <v>15</v>
      </c>
      <c r="J4695" s="4" t="n">
        <f aca="false">LEN(E4695)-LEN(SUBSTITUTE(E4695,",",""))+1</f>
        <v>7</v>
      </c>
      <c r="K4695" s="3" t="str">
        <f aca="false">IFERROR(INDEX('Teacher Lookup'!$B$2:$B$200,MATCH(A4695,'Teacher Lookup'!$A$2:$A$200,0)),"")</f>
        <v>CHAN Jessica</v>
      </c>
    </row>
    <row r="4696" customFormat="false" ht="15" hidden="false" customHeight="false" outlineLevel="0" collapsed="false">
      <c r="A4696" s="3" t="s">
        <v>429</v>
      </c>
      <c r="B4696" s="4" t="s">
        <v>44</v>
      </c>
      <c r="C4696" s="4" t="n">
        <v>5</v>
      </c>
      <c r="D4696" s="4" t="s">
        <v>74</v>
      </c>
      <c r="E4696" s="3" t="s">
        <v>81</v>
      </c>
      <c r="F4696" s="4" t="str">
        <f aca="false">IF(I4696&gt;J4696,"Y","N")</f>
        <v>Y</v>
      </c>
      <c r="G4696" s="3" t="s">
        <v>36</v>
      </c>
      <c r="H4696" s="3" t="s">
        <v>37</v>
      </c>
      <c r="I4696" s="4" t="n">
        <v>15</v>
      </c>
      <c r="J4696" s="4" t="n">
        <f aca="false">LEN(E4696)-LEN(SUBSTITUTE(E4696,",",""))+1</f>
        <v>7</v>
      </c>
      <c r="K4696" s="3" t="str">
        <f aca="false">IFERROR(INDEX('Teacher Lookup'!$B$2:$B$200,MATCH(A4696,'Teacher Lookup'!$A$2:$A$200,0)),"")</f>
        <v>CHAN Jessica</v>
      </c>
    </row>
    <row r="4697" customFormat="false" ht="15" hidden="false" customHeight="false" outlineLevel="0" collapsed="false">
      <c r="A4697" s="3" t="s">
        <v>429</v>
      </c>
      <c r="B4697" s="4" t="s">
        <v>44</v>
      </c>
      <c r="C4697" s="4" t="n">
        <v>5</v>
      </c>
      <c r="D4697" s="4" t="s">
        <v>76</v>
      </c>
      <c r="E4697" s="3" t="s">
        <v>81</v>
      </c>
      <c r="F4697" s="4" t="str">
        <f aca="false">IF(I4697&gt;J4697,"Y","N")</f>
        <v>Y</v>
      </c>
      <c r="G4697" s="3" t="s">
        <v>36</v>
      </c>
      <c r="H4697" s="3" t="s">
        <v>37</v>
      </c>
      <c r="I4697" s="4" t="n">
        <v>15</v>
      </c>
      <c r="J4697" s="4" t="n">
        <f aca="false">LEN(E4697)-LEN(SUBSTITUTE(E4697,",",""))+1</f>
        <v>7</v>
      </c>
      <c r="K4697" s="3" t="str">
        <f aca="false">IFERROR(INDEX('Teacher Lookup'!$B$2:$B$200,MATCH(A4697,'Teacher Lookup'!$A$2:$A$200,0)),"")</f>
        <v>CHAN Jessica</v>
      </c>
    </row>
    <row r="4698" customFormat="false" ht="15" hidden="false" customHeight="false" outlineLevel="0" collapsed="false">
      <c r="A4698" s="3" t="s">
        <v>429</v>
      </c>
      <c r="B4698" s="4" t="s">
        <v>44</v>
      </c>
      <c r="C4698" s="4" t="n">
        <v>5</v>
      </c>
      <c r="D4698" s="4" t="s">
        <v>78</v>
      </c>
      <c r="E4698" s="3" t="s">
        <v>81</v>
      </c>
      <c r="F4698" s="4" t="str">
        <f aca="false">IF(I4698&gt;J4698,"Y","N")</f>
        <v>Y</v>
      </c>
      <c r="G4698" s="3" t="s">
        <v>36</v>
      </c>
      <c r="H4698" s="3" t="s">
        <v>37</v>
      </c>
      <c r="I4698" s="4" t="n">
        <v>15</v>
      </c>
      <c r="J4698" s="4" t="n">
        <f aca="false">LEN(E4698)-LEN(SUBSTITUTE(E4698,",",""))+1</f>
        <v>7</v>
      </c>
      <c r="K4698" s="3" t="str">
        <f aca="false">IFERROR(INDEX('Teacher Lookup'!$B$2:$B$200,MATCH(A4698,'Teacher Lookup'!$A$2:$A$200,0)),"")</f>
        <v>CHAN Jessica</v>
      </c>
    </row>
    <row r="4699" customFormat="false" ht="15" hidden="false" customHeight="false" outlineLevel="0" collapsed="false">
      <c r="A4699" s="3" t="s">
        <v>429</v>
      </c>
      <c r="B4699" s="4" t="s">
        <v>44</v>
      </c>
      <c r="C4699" s="4" t="n">
        <v>5</v>
      </c>
      <c r="D4699" s="4" t="s">
        <v>79</v>
      </c>
      <c r="E4699" s="3" t="s">
        <v>81</v>
      </c>
      <c r="F4699" s="4" t="str">
        <f aca="false">IF(I4699&gt;J4699,"Y","N")</f>
        <v>Y</v>
      </c>
      <c r="G4699" s="3" t="s">
        <v>36</v>
      </c>
      <c r="H4699" s="3" t="s">
        <v>37</v>
      </c>
      <c r="I4699" s="4" t="n">
        <v>15</v>
      </c>
      <c r="J4699" s="4" t="n">
        <f aca="false">LEN(E4699)-LEN(SUBSTITUTE(E4699,",",""))+1</f>
        <v>7</v>
      </c>
      <c r="K4699" s="3" t="str">
        <f aca="false">IFERROR(INDEX('Teacher Lookup'!$B$2:$B$200,MATCH(A4699,'Teacher Lookup'!$A$2:$A$200,0)),"")</f>
        <v>CHAN Jessica</v>
      </c>
    </row>
    <row r="4700" customFormat="false" ht="15" hidden="false" customHeight="false" outlineLevel="0" collapsed="false">
      <c r="A4700" s="3" t="s">
        <v>429</v>
      </c>
      <c r="B4700" s="4" t="s">
        <v>47</v>
      </c>
      <c r="C4700" s="4" t="n">
        <v>1</v>
      </c>
      <c r="D4700" s="4" t="s">
        <v>57</v>
      </c>
      <c r="E4700" s="3" t="s">
        <v>394</v>
      </c>
      <c r="F4700" s="4" t="str">
        <f aca="false">IF(I4700&gt;J4700,"Y","N")</f>
        <v>N</v>
      </c>
      <c r="G4700" s="3" t="s">
        <v>72</v>
      </c>
      <c r="H4700" s="3" t="s">
        <v>16</v>
      </c>
      <c r="I4700" s="4" t="n">
        <v>4</v>
      </c>
      <c r="J4700" s="4" t="n">
        <f aca="false">LEN(E4700)-LEN(SUBSTITUTE(E4700,",",""))+1</f>
        <v>4</v>
      </c>
      <c r="K4700" s="3" t="str">
        <f aca="false">IFERROR(INDEX('Teacher Lookup'!$B$2:$B$200,MATCH(A4700,'Teacher Lookup'!$A$2:$A$200,0)),"")</f>
        <v>CHAN Jessica</v>
      </c>
    </row>
    <row r="4701" customFormat="false" ht="15" hidden="false" customHeight="false" outlineLevel="0" collapsed="false">
      <c r="A4701" s="3" t="s">
        <v>429</v>
      </c>
      <c r="B4701" s="4" t="s">
        <v>47</v>
      </c>
      <c r="C4701" s="4" t="n">
        <v>1</v>
      </c>
      <c r="D4701" s="4" t="s">
        <v>58</v>
      </c>
      <c r="E4701" s="3" t="s">
        <v>394</v>
      </c>
      <c r="F4701" s="4" t="str">
        <f aca="false">IF(I4701&gt;J4701,"Y","N")</f>
        <v>N</v>
      </c>
      <c r="G4701" s="3" t="s">
        <v>72</v>
      </c>
      <c r="H4701" s="3" t="s">
        <v>16</v>
      </c>
      <c r="I4701" s="4" t="n">
        <v>4</v>
      </c>
      <c r="J4701" s="4" t="n">
        <f aca="false">LEN(E4701)-LEN(SUBSTITUTE(E4701,",",""))+1</f>
        <v>4</v>
      </c>
      <c r="K4701" s="3" t="str">
        <f aca="false">IFERROR(INDEX('Teacher Lookup'!$B$2:$B$200,MATCH(A4701,'Teacher Lookup'!$A$2:$A$200,0)),"")</f>
        <v>CHAN Jessica</v>
      </c>
    </row>
    <row r="4702" customFormat="false" ht="15" hidden="false" customHeight="false" outlineLevel="0" collapsed="false">
      <c r="A4702" s="3" t="s">
        <v>429</v>
      </c>
      <c r="B4702" s="4" t="s">
        <v>47</v>
      </c>
      <c r="C4702" s="4" t="n">
        <v>1</v>
      </c>
      <c r="D4702" s="4" t="s">
        <v>59</v>
      </c>
      <c r="E4702" s="3" t="s">
        <v>394</v>
      </c>
      <c r="F4702" s="4" t="str">
        <f aca="false">IF(I4702&gt;J4702,"Y","N")</f>
        <v>N</v>
      </c>
      <c r="G4702" s="3" t="s">
        <v>72</v>
      </c>
      <c r="H4702" s="3" t="s">
        <v>16</v>
      </c>
      <c r="I4702" s="4" t="n">
        <v>4</v>
      </c>
      <c r="J4702" s="4" t="n">
        <f aca="false">LEN(E4702)-LEN(SUBSTITUTE(E4702,",",""))+1</f>
        <v>4</v>
      </c>
      <c r="K4702" s="3" t="str">
        <f aca="false">IFERROR(INDEX('Teacher Lookup'!$B$2:$B$200,MATCH(A4702,'Teacher Lookup'!$A$2:$A$200,0)),"")</f>
        <v>CHAN Jessica</v>
      </c>
    </row>
    <row r="4703" customFormat="false" ht="15" hidden="false" customHeight="false" outlineLevel="0" collapsed="false">
      <c r="A4703" s="3" t="s">
        <v>429</v>
      </c>
      <c r="B4703" s="4" t="s">
        <v>47</v>
      </c>
      <c r="C4703" s="4" t="n">
        <v>3</v>
      </c>
      <c r="D4703" s="4" t="s">
        <v>52</v>
      </c>
      <c r="E4703" s="3" t="s">
        <v>163</v>
      </c>
      <c r="F4703" s="4" t="str">
        <f aca="false">IF(I4703&gt;J4703,"Y","N")</f>
        <v>N</v>
      </c>
      <c r="G4703" s="3" t="s">
        <v>72</v>
      </c>
      <c r="H4703" s="3" t="s">
        <v>26</v>
      </c>
      <c r="I4703" s="4" t="n">
        <v>4</v>
      </c>
      <c r="J4703" s="4" t="n">
        <f aca="false">LEN(E4703)-LEN(SUBSTITUTE(E4703,",",""))+1</f>
        <v>4</v>
      </c>
      <c r="K4703" s="3" t="str">
        <f aca="false">IFERROR(INDEX('Teacher Lookup'!$B$2:$B$200,MATCH(A4703,'Teacher Lookup'!$A$2:$A$200,0)),"")</f>
        <v>CHAN Jessica</v>
      </c>
    </row>
    <row r="4704" customFormat="false" ht="15" hidden="false" customHeight="false" outlineLevel="0" collapsed="false">
      <c r="A4704" s="3" t="s">
        <v>429</v>
      </c>
      <c r="B4704" s="4" t="s">
        <v>47</v>
      </c>
      <c r="C4704" s="4" t="n">
        <v>3</v>
      </c>
      <c r="D4704" s="4" t="s">
        <v>55</v>
      </c>
      <c r="E4704" s="3" t="s">
        <v>163</v>
      </c>
      <c r="F4704" s="4" t="str">
        <f aca="false">IF(I4704&gt;J4704,"Y","N")</f>
        <v>N</v>
      </c>
      <c r="G4704" s="3" t="s">
        <v>72</v>
      </c>
      <c r="H4704" s="3" t="s">
        <v>26</v>
      </c>
      <c r="I4704" s="4" t="n">
        <v>4</v>
      </c>
      <c r="J4704" s="4" t="n">
        <f aca="false">LEN(E4704)-LEN(SUBSTITUTE(E4704,",",""))+1</f>
        <v>4</v>
      </c>
      <c r="K4704" s="3" t="str">
        <f aca="false">IFERROR(INDEX('Teacher Lookup'!$B$2:$B$200,MATCH(A4704,'Teacher Lookup'!$A$2:$A$200,0)),"")</f>
        <v>CHAN Jessica</v>
      </c>
    </row>
    <row r="4705" customFormat="false" ht="15" hidden="false" customHeight="false" outlineLevel="0" collapsed="false">
      <c r="A4705" s="3" t="s">
        <v>429</v>
      </c>
      <c r="B4705" s="4" t="s">
        <v>47</v>
      </c>
      <c r="C4705" s="4" t="n">
        <v>3</v>
      </c>
      <c r="D4705" s="4" t="s">
        <v>56</v>
      </c>
      <c r="E4705" s="3" t="s">
        <v>163</v>
      </c>
      <c r="F4705" s="4" t="str">
        <f aca="false">IF(I4705&gt;J4705,"Y","N")</f>
        <v>N</v>
      </c>
      <c r="G4705" s="3" t="s">
        <v>72</v>
      </c>
      <c r="H4705" s="3" t="s">
        <v>26</v>
      </c>
      <c r="I4705" s="4" t="n">
        <v>4</v>
      </c>
      <c r="J4705" s="4" t="n">
        <f aca="false">LEN(E4705)-LEN(SUBSTITUTE(E4705,",",""))+1</f>
        <v>4</v>
      </c>
      <c r="K4705" s="3" t="str">
        <f aca="false">IFERROR(INDEX('Teacher Lookup'!$B$2:$B$200,MATCH(A4705,'Teacher Lookup'!$A$2:$A$200,0)),"")</f>
        <v>CHAN Jessica</v>
      </c>
    </row>
    <row r="4706" customFormat="false" ht="15" hidden="false" customHeight="false" outlineLevel="0" collapsed="false">
      <c r="A4706" s="3" t="s">
        <v>429</v>
      </c>
      <c r="B4706" s="4" t="s">
        <v>47</v>
      </c>
      <c r="C4706" s="4" t="n">
        <v>4</v>
      </c>
      <c r="D4706" s="4" t="s">
        <v>76</v>
      </c>
      <c r="E4706" s="3" t="s">
        <v>87</v>
      </c>
      <c r="F4706" s="4" t="str">
        <f aca="false">IF(I4706&gt;J4706,"Y","N")</f>
        <v>N</v>
      </c>
      <c r="G4706" s="3" t="s">
        <v>72</v>
      </c>
      <c r="H4706" s="3" t="s">
        <v>34</v>
      </c>
      <c r="I4706" s="4" t="n">
        <v>4</v>
      </c>
      <c r="J4706" s="4" t="n">
        <f aca="false">LEN(E4706)-LEN(SUBSTITUTE(E4706,",",""))+1</f>
        <v>4</v>
      </c>
      <c r="K4706" s="3" t="str">
        <f aca="false">IFERROR(INDEX('Teacher Lookup'!$B$2:$B$200,MATCH(A4706,'Teacher Lookup'!$A$2:$A$200,0)),"")</f>
        <v>CHAN Jessica</v>
      </c>
    </row>
    <row r="4707" customFormat="false" ht="15" hidden="false" customHeight="false" outlineLevel="0" collapsed="false">
      <c r="A4707" s="3" t="s">
        <v>429</v>
      </c>
      <c r="B4707" s="4" t="s">
        <v>47</v>
      </c>
      <c r="C4707" s="4" t="n">
        <v>4</v>
      </c>
      <c r="D4707" s="4" t="s">
        <v>78</v>
      </c>
      <c r="E4707" s="3" t="s">
        <v>87</v>
      </c>
      <c r="F4707" s="4" t="str">
        <f aca="false">IF(I4707&gt;J4707,"Y","N")</f>
        <v>N</v>
      </c>
      <c r="G4707" s="3" t="s">
        <v>72</v>
      </c>
      <c r="H4707" s="3" t="s">
        <v>34</v>
      </c>
      <c r="I4707" s="4" t="n">
        <v>4</v>
      </c>
      <c r="J4707" s="4" t="n">
        <f aca="false">LEN(E4707)-LEN(SUBSTITUTE(E4707,",",""))+1</f>
        <v>4</v>
      </c>
      <c r="K4707" s="3" t="str">
        <f aca="false">IFERROR(INDEX('Teacher Lookup'!$B$2:$B$200,MATCH(A4707,'Teacher Lookup'!$A$2:$A$200,0)),"")</f>
        <v>CHAN Jessica</v>
      </c>
    </row>
    <row r="4708" customFormat="false" ht="15" hidden="false" customHeight="false" outlineLevel="0" collapsed="false">
      <c r="A4708" s="3" t="s">
        <v>429</v>
      </c>
      <c r="B4708" s="4" t="s">
        <v>47</v>
      </c>
      <c r="C4708" s="4" t="n">
        <v>4</v>
      </c>
      <c r="D4708" s="4" t="s">
        <v>79</v>
      </c>
      <c r="E4708" s="3" t="s">
        <v>87</v>
      </c>
      <c r="F4708" s="4" t="str">
        <f aca="false">IF(I4708&gt;J4708,"Y","N")</f>
        <v>N</v>
      </c>
      <c r="G4708" s="3" t="s">
        <v>72</v>
      </c>
      <c r="H4708" s="3" t="s">
        <v>34</v>
      </c>
      <c r="I4708" s="4" t="n">
        <v>4</v>
      </c>
      <c r="J4708" s="4" t="n">
        <f aca="false">LEN(E4708)-LEN(SUBSTITUTE(E4708,",",""))+1</f>
        <v>4</v>
      </c>
      <c r="K4708" s="3" t="str">
        <f aca="false">IFERROR(INDEX('Teacher Lookup'!$B$2:$B$200,MATCH(A4708,'Teacher Lookup'!$A$2:$A$200,0)),"")</f>
        <v>CHAN Jessica</v>
      </c>
    </row>
    <row r="4709" customFormat="false" ht="15" hidden="false" customHeight="false" outlineLevel="0" collapsed="false">
      <c r="A4709" s="3" t="s">
        <v>429</v>
      </c>
      <c r="B4709" s="4" t="s">
        <v>50</v>
      </c>
      <c r="C4709" s="4" t="n">
        <v>1</v>
      </c>
      <c r="D4709" s="4" t="s">
        <v>76</v>
      </c>
      <c r="E4709" s="3" t="s">
        <v>88</v>
      </c>
      <c r="F4709" s="4" t="str">
        <f aca="false">IF(I4709&gt;J4709,"Y","N")</f>
        <v>N</v>
      </c>
      <c r="G4709" s="3" t="s">
        <v>72</v>
      </c>
      <c r="H4709" s="3" t="s">
        <v>16</v>
      </c>
      <c r="I4709" s="4" t="n">
        <v>4</v>
      </c>
      <c r="J4709" s="4" t="n">
        <f aca="false">LEN(E4709)-LEN(SUBSTITUTE(E4709,",",""))+1</f>
        <v>4</v>
      </c>
      <c r="K4709" s="3" t="str">
        <f aca="false">IFERROR(INDEX('Teacher Lookup'!$B$2:$B$200,MATCH(A4709,'Teacher Lookup'!$A$2:$A$200,0)),"")</f>
        <v>CHAN Jessica</v>
      </c>
    </row>
    <row r="4710" customFormat="false" ht="15" hidden="false" customHeight="false" outlineLevel="0" collapsed="false">
      <c r="A4710" s="3" t="s">
        <v>429</v>
      </c>
      <c r="B4710" s="4" t="s">
        <v>50</v>
      </c>
      <c r="C4710" s="4" t="n">
        <v>1</v>
      </c>
      <c r="D4710" s="4" t="s">
        <v>78</v>
      </c>
      <c r="E4710" s="3" t="s">
        <v>88</v>
      </c>
      <c r="F4710" s="4" t="str">
        <f aca="false">IF(I4710&gt;J4710,"Y","N")</f>
        <v>N</v>
      </c>
      <c r="G4710" s="3" t="s">
        <v>72</v>
      </c>
      <c r="H4710" s="3" t="s">
        <v>16</v>
      </c>
      <c r="I4710" s="4" t="n">
        <v>4</v>
      </c>
      <c r="J4710" s="4" t="n">
        <f aca="false">LEN(E4710)-LEN(SUBSTITUTE(E4710,",",""))+1</f>
        <v>4</v>
      </c>
      <c r="K4710" s="3" t="str">
        <f aca="false">IFERROR(INDEX('Teacher Lookup'!$B$2:$B$200,MATCH(A4710,'Teacher Lookup'!$A$2:$A$200,0)),"")</f>
        <v>CHAN Jessica</v>
      </c>
    </row>
    <row r="4711" customFormat="false" ht="15" hidden="false" customHeight="false" outlineLevel="0" collapsed="false">
      <c r="A4711" s="3" t="s">
        <v>429</v>
      </c>
      <c r="B4711" s="4" t="s">
        <v>50</v>
      </c>
      <c r="C4711" s="4" t="n">
        <v>1</v>
      </c>
      <c r="D4711" s="4" t="s">
        <v>79</v>
      </c>
      <c r="E4711" s="3" t="s">
        <v>88</v>
      </c>
      <c r="F4711" s="4" t="str">
        <f aca="false">IF(I4711&gt;J4711,"Y","N")</f>
        <v>N</v>
      </c>
      <c r="G4711" s="3" t="s">
        <v>72</v>
      </c>
      <c r="H4711" s="3" t="s">
        <v>16</v>
      </c>
      <c r="I4711" s="4" t="n">
        <v>4</v>
      </c>
      <c r="J4711" s="4" t="n">
        <f aca="false">LEN(E4711)-LEN(SUBSTITUTE(E4711,",",""))+1</f>
        <v>4</v>
      </c>
      <c r="K4711" s="3" t="str">
        <f aca="false">IFERROR(INDEX('Teacher Lookup'!$B$2:$B$200,MATCH(A4711,'Teacher Lookup'!$A$2:$A$200,0)),"")</f>
        <v>CHAN Jessica</v>
      </c>
    </row>
    <row r="4712" customFormat="false" ht="15" hidden="false" customHeight="false" outlineLevel="0" collapsed="false">
      <c r="A4712" s="3" t="s">
        <v>429</v>
      </c>
      <c r="B4712" s="4" t="s">
        <v>50</v>
      </c>
      <c r="C4712" s="4" t="n">
        <v>4</v>
      </c>
      <c r="D4712" s="4" t="s">
        <v>57</v>
      </c>
      <c r="E4712" s="3" t="s">
        <v>396</v>
      </c>
      <c r="F4712" s="4" t="str">
        <f aca="false">IF(I4712&gt;J4712,"Y","N")</f>
        <v>N</v>
      </c>
      <c r="G4712" s="3" t="s">
        <v>72</v>
      </c>
      <c r="H4712" s="3" t="s">
        <v>34</v>
      </c>
      <c r="I4712" s="4" t="n">
        <v>4</v>
      </c>
      <c r="J4712" s="4" t="n">
        <f aca="false">LEN(E4712)-LEN(SUBSTITUTE(E4712,",",""))+1</f>
        <v>4</v>
      </c>
      <c r="K4712" s="3" t="str">
        <f aca="false">IFERROR(INDEX('Teacher Lookup'!$B$2:$B$200,MATCH(A4712,'Teacher Lookup'!$A$2:$A$200,0)),"")</f>
        <v>CHAN Jessica</v>
      </c>
    </row>
    <row r="4713" customFormat="false" ht="15" hidden="false" customHeight="false" outlineLevel="0" collapsed="false">
      <c r="A4713" s="3" t="s">
        <v>429</v>
      </c>
      <c r="B4713" s="4" t="s">
        <v>50</v>
      </c>
      <c r="C4713" s="4" t="n">
        <v>4</v>
      </c>
      <c r="D4713" s="4" t="s">
        <v>58</v>
      </c>
      <c r="E4713" s="3" t="s">
        <v>396</v>
      </c>
      <c r="F4713" s="4" t="str">
        <f aca="false">IF(I4713&gt;J4713,"Y","N")</f>
        <v>N</v>
      </c>
      <c r="G4713" s="3" t="s">
        <v>72</v>
      </c>
      <c r="H4713" s="3" t="s">
        <v>34</v>
      </c>
      <c r="I4713" s="4" t="n">
        <v>4</v>
      </c>
      <c r="J4713" s="4" t="n">
        <f aca="false">LEN(E4713)-LEN(SUBSTITUTE(E4713,",",""))+1</f>
        <v>4</v>
      </c>
      <c r="K4713" s="3" t="str">
        <f aca="false">IFERROR(INDEX('Teacher Lookup'!$B$2:$B$200,MATCH(A4713,'Teacher Lookup'!$A$2:$A$200,0)),"")</f>
        <v>CHAN Jessica</v>
      </c>
    </row>
    <row r="4714" customFormat="false" ht="15" hidden="false" customHeight="false" outlineLevel="0" collapsed="false">
      <c r="A4714" s="3" t="s">
        <v>429</v>
      </c>
      <c r="B4714" s="4" t="s">
        <v>50</v>
      </c>
      <c r="C4714" s="4" t="n">
        <v>4</v>
      </c>
      <c r="D4714" s="4" t="s">
        <v>59</v>
      </c>
      <c r="E4714" s="3" t="s">
        <v>396</v>
      </c>
      <c r="F4714" s="4" t="str">
        <f aca="false">IF(I4714&gt;J4714,"Y","N")</f>
        <v>N</v>
      </c>
      <c r="G4714" s="3" t="s">
        <v>72</v>
      </c>
      <c r="H4714" s="3" t="s">
        <v>34</v>
      </c>
      <c r="I4714" s="4" t="n">
        <v>4</v>
      </c>
      <c r="J4714" s="4" t="n">
        <f aca="false">LEN(E4714)-LEN(SUBSTITUTE(E4714,",",""))+1</f>
        <v>4</v>
      </c>
      <c r="K4714" s="3" t="str">
        <f aca="false">IFERROR(INDEX('Teacher Lookup'!$B$2:$B$200,MATCH(A4714,'Teacher Lookup'!$A$2:$A$200,0)),"")</f>
        <v>CHAN Jessica</v>
      </c>
    </row>
    <row r="4715" customFormat="false" ht="15" hidden="false" customHeight="false" outlineLevel="0" collapsed="false">
      <c r="A4715" s="3" t="s">
        <v>429</v>
      </c>
      <c r="B4715" s="4" t="s">
        <v>50</v>
      </c>
      <c r="C4715" s="4" t="n">
        <v>5</v>
      </c>
      <c r="D4715" s="4" t="s">
        <v>52</v>
      </c>
      <c r="E4715" s="3" t="s">
        <v>180</v>
      </c>
      <c r="F4715" s="4" t="str">
        <f aca="false">IF(I4715&gt;J4715,"Y","N")</f>
        <v>N</v>
      </c>
      <c r="G4715" s="3" t="s">
        <v>72</v>
      </c>
      <c r="H4715" s="3" t="s">
        <v>37</v>
      </c>
      <c r="I4715" s="4" t="n">
        <v>4</v>
      </c>
      <c r="J4715" s="4" t="n">
        <f aca="false">LEN(E4715)-LEN(SUBSTITUTE(E4715,",",""))+1</f>
        <v>4</v>
      </c>
      <c r="K4715" s="3" t="str">
        <f aca="false">IFERROR(INDEX('Teacher Lookup'!$B$2:$B$200,MATCH(A4715,'Teacher Lookup'!$A$2:$A$200,0)),"")</f>
        <v>CHAN Jessica</v>
      </c>
    </row>
    <row r="4716" customFormat="false" ht="15" hidden="false" customHeight="false" outlineLevel="0" collapsed="false">
      <c r="A4716" s="3" t="s">
        <v>429</v>
      </c>
      <c r="B4716" s="4" t="s">
        <v>50</v>
      </c>
      <c r="C4716" s="4" t="n">
        <v>5</v>
      </c>
      <c r="D4716" s="4" t="s">
        <v>55</v>
      </c>
      <c r="E4716" s="3" t="s">
        <v>180</v>
      </c>
      <c r="F4716" s="4" t="str">
        <f aca="false">IF(I4716&gt;J4716,"Y","N")</f>
        <v>N</v>
      </c>
      <c r="G4716" s="3" t="s">
        <v>72</v>
      </c>
      <c r="H4716" s="3" t="s">
        <v>37</v>
      </c>
      <c r="I4716" s="4" t="n">
        <v>4</v>
      </c>
      <c r="J4716" s="4" t="n">
        <f aca="false">LEN(E4716)-LEN(SUBSTITUTE(E4716,",",""))+1</f>
        <v>4</v>
      </c>
      <c r="K4716" s="3" t="str">
        <f aca="false">IFERROR(INDEX('Teacher Lookup'!$B$2:$B$200,MATCH(A4716,'Teacher Lookup'!$A$2:$A$200,0)),"")</f>
        <v>CHAN Jessica</v>
      </c>
    </row>
    <row r="4717" customFormat="false" ht="15" hidden="false" customHeight="false" outlineLevel="0" collapsed="false">
      <c r="A4717" s="3" t="s">
        <v>429</v>
      </c>
      <c r="B4717" s="4" t="s">
        <v>50</v>
      </c>
      <c r="C4717" s="4" t="n">
        <v>5</v>
      </c>
      <c r="D4717" s="4" t="s">
        <v>56</v>
      </c>
      <c r="E4717" s="3" t="s">
        <v>180</v>
      </c>
      <c r="F4717" s="4" t="str">
        <f aca="false">IF(I4717&gt;J4717,"Y","N")</f>
        <v>N</v>
      </c>
      <c r="G4717" s="3" t="s">
        <v>72</v>
      </c>
      <c r="H4717" s="3" t="s">
        <v>37</v>
      </c>
      <c r="I4717" s="4" t="n">
        <v>4</v>
      </c>
      <c r="J4717" s="4" t="n">
        <f aca="false">LEN(E4717)-LEN(SUBSTITUTE(E4717,",",""))+1</f>
        <v>4</v>
      </c>
      <c r="K4717" s="3" t="str">
        <f aca="false">IFERROR(INDEX('Teacher Lookup'!$B$2:$B$200,MATCH(A4717,'Teacher Lookup'!$A$2:$A$200,0)),"")</f>
        <v>CHAN Jessica</v>
      </c>
    </row>
    <row r="4718" customFormat="false" ht="15" hidden="false" customHeight="false" outlineLevel="0" collapsed="false">
      <c r="A4718" s="3" t="s">
        <v>429</v>
      </c>
      <c r="B4718" s="4" t="s">
        <v>60</v>
      </c>
      <c r="C4718" s="4" t="n">
        <v>1</v>
      </c>
      <c r="D4718" s="4" t="s">
        <v>76</v>
      </c>
      <c r="E4718" s="3" t="s">
        <v>90</v>
      </c>
      <c r="F4718" s="4" t="str">
        <f aca="false">IF(I4718&gt;J4718,"Y","N")</f>
        <v>N</v>
      </c>
      <c r="G4718" s="3" t="s">
        <v>72</v>
      </c>
      <c r="H4718" s="3" t="s">
        <v>16</v>
      </c>
      <c r="I4718" s="4" t="n">
        <v>4</v>
      </c>
      <c r="J4718" s="4" t="n">
        <f aca="false">LEN(E4718)-LEN(SUBSTITUTE(E4718,",",""))+1</f>
        <v>4</v>
      </c>
      <c r="K4718" s="3" t="str">
        <f aca="false">IFERROR(INDEX('Teacher Lookup'!$B$2:$B$200,MATCH(A4718,'Teacher Lookup'!$A$2:$A$200,0)),"")</f>
        <v>CHAN Jessica</v>
      </c>
    </row>
    <row r="4719" customFormat="false" ht="15" hidden="false" customHeight="false" outlineLevel="0" collapsed="false">
      <c r="A4719" s="3" t="s">
        <v>429</v>
      </c>
      <c r="B4719" s="4" t="s">
        <v>60</v>
      </c>
      <c r="C4719" s="4" t="n">
        <v>1</v>
      </c>
      <c r="D4719" s="4" t="s">
        <v>78</v>
      </c>
      <c r="E4719" s="3" t="s">
        <v>90</v>
      </c>
      <c r="F4719" s="4" t="str">
        <f aca="false">IF(I4719&gt;J4719,"Y","N")</f>
        <v>N</v>
      </c>
      <c r="G4719" s="3" t="s">
        <v>72</v>
      </c>
      <c r="H4719" s="3" t="s">
        <v>16</v>
      </c>
      <c r="I4719" s="4" t="n">
        <v>4</v>
      </c>
      <c r="J4719" s="4" t="n">
        <f aca="false">LEN(E4719)-LEN(SUBSTITUTE(E4719,",",""))+1</f>
        <v>4</v>
      </c>
      <c r="K4719" s="3" t="str">
        <f aca="false">IFERROR(INDEX('Teacher Lookup'!$B$2:$B$200,MATCH(A4719,'Teacher Lookup'!$A$2:$A$200,0)),"")</f>
        <v>CHAN Jessica</v>
      </c>
    </row>
    <row r="4720" customFormat="false" ht="15" hidden="false" customHeight="false" outlineLevel="0" collapsed="false">
      <c r="A4720" s="3" t="s">
        <v>429</v>
      </c>
      <c r="B4720" s="4" t="s">
        <v>60</v>
      </c>
      <c r="C4720" s="4" t="n">
        <v>1</v>
      </c>
      <c r="D4720" s="4" t="s">
        <v>79</v>
      </c>
      <c r="E4720" s="3" t="s">
        <v>90</v>
      </c>
      <c r="F4720" s="4" t="str">
        <f aca="false">IF(I4720&gt;J4720,"Y","N")</f>
        <v>N</v>
      </c>
      <c r="G4720" s="3" t="s">
        <v>72</v>
      </c>
      <c r="H4720" s="3" t="s">
        <v>16</v>
      </c>
      <c r="I4720" s="4" t="n">
        <v>4</v>
      </c>
      <c r="J4720" s="4" t="n">
        <f aca="false">LEN(E4720)-LEN(SUBSTITUTE(E4720,",",""))+1</f>
        <v>4</v>
      </c>
      <c r="K4720" s="3" t="str">
        <f aca="false">IFERROR(INDEX('Teacher Lookup'!$B$2:$B$200,MATCH(A4720,'Teacher Lookup'!$A$2:$A$200,0)),"")</f>
        <v>CHAN Jessica</v>
      </c>
    </row>
    <row r="4721" customFormat="false" ht="15" hidden="false" customHeight="false" outlineLevel="0" collapsed="false">
      <c r="A4721" s="3" t="s">
        <v>429</v>
      </c>
      <c r="B4721" s="4" t="s">
        <v>60</v>
      </c>
      <c r="C4721" s="4" t="n">
        <v>5</v>
      </c>
      <c r="D4721" s="4" t="s">
        <v>70</v>
      </c>
      <c r="E4721" s="3" t="s">
        <v>81</v>
      </c>
      <c r="F4721" s="4" t="str">
        <f aca="false">IF(I4721&gt;J4721,"Y","N")</f>
        <v>Y</v>
      </c>
      <c r="G4721" s="3" t="s">
        <v>36</v>
      </c>
      <c r="H4721" s="3" t="s">
        <v>37</v>
      </c>
      <c r="I4721" s="4" t="n">
        <v>15</v>
      </c>
      <c r="J4721" s="4" t="n">
        <f aca="false">LEN(E4721)-LEN(SUBSTITUTE(E4721,",",""))+1</f>
        <v>7</v>
      </c>
      <c r="K4721" s="3" t="str">
        <f aca="false">IFERROR(INDEX('Teacher Lookup'!$B$2:$B$200,MATCH(A4721,'Teacher Lookup'!$A$2:$A$200,0)),"")</f>
        <v>CHAN Jessica</v>
      </c>
    </row>
    <row r="4722" customFormat="false" ht="15" hidden="false" customHeight="false" outlineLevel="0" collapsed="false">
      <c r="A4722" s="3" t="s">
        <v>429</v>
      </c>
      <c r="B4722" s="4" t="s">
        <v>60</v>
      </c>
      <c r="C4722" s="4" t="n">
        <v>5</v>
      </c>
      <c r="D4722" s="4" t="s">
        <v>73</v>
      </c>
      <c r="E4722" s="3" t="s">
        <v>81</v>
      </c>
      <c r="F4722" s="4" t="str">
        <f aca="false">IF(I4722&gt;J4722,"Y","N")</f>
        <v>Y</v>
      </c>
      <c r="G4722" s="3" t="s">
        <v>36</v>
      </c>
      <c r="H4722" s="3" t="s">
        <v>37</v>
      </c>
      <c r="I4722" s="4" t="n">
        <v>15</v>
      </c>
      <c r="J4722" s="4" t="n">
        <f aca="false">LEN(E4722)-LEN(SUBSTITUTE(E4722,",",""))+1</f>
        <v>7</v>
      </c>
      <c r="K4722" s="3" t="str">
        <f aca="false">IFERROR(INDEX('Teacher Lookup'!$B$2:$B$200,MATCH(A4722,'Teacher Lookup'!$A$2:$A$200,0)),"")</f>
        <v>CHAN Jessica</v>
      </c>
    </row>
    <row r="4723" customFormat="false" ht="15" hidden="false" customHeight="false" outlineLevel="0" collapsed="false">
      <c r="A4723" s="3" t="s">
        <v>429</v>
      </c>
      <c r="B4723" s="4" t="s">
        <v>60</v>
      </c>
      <c r="C4723" s="4" t="n">
        <v>5</v>
      </c>
      <c r="D4723" s="4" t="s">
        <v>74</v>
      </c>
      <c r="E4723" s="3" t="s">
        <v>81</v>
      </c>
      <c r="F4723" s="4" t="str">
        <f aca="false">IF(I4723&gt;J4723,"Y","N")</f>
        <v>Y</v>
      </c>
      <c r="G4723" s="3" t="s">
        <v>36</v>
      </c>
      <c r="H4723" s="3" t="s">
        <v>37</v>
      </c>
      <c r="I4723" s="4" t="n">
        <v>15</v>
      </c>
      <c r="J4723" s="4" t="n">
        <f aca="false">LEN(E4723)-LEN(SUBSTITUTE(E4723,",",""))+1</f>
        <v>7</v>
      </c>
      <c r="K4723" s="3" t="str">
        <f aca="false">IFERROR(INDEX('Teacher Lookup'!$B$2:$B$200,MATCH(A4723,'Teacher Lookup'!$A$2:$A$200,0)),"")</f>
        <v>CHAN Jessica</v>
      </c>
    </row>
    <row r="4724" customFormat="false" ht="15" hidden="false" customHeight="false" outlineLevel="0" collapsed="false">
      <c r="A4724" s="3" t="s">
        <v>429</v>
      </c>
      <c r="B4724" s="4" t="s">
        <v>60</v>
      </c>
      <c r="C4724" s="4" t="n">
        <v>5</v>
      </c>
      <c r="D4724" s="4" t="s">
        <v>76</v>
      </c>
      <c r="E4724" s="3" t="s">
        <v>81</v>
      </c>
      <c r="F4724" s="4" t="str">
        <f aca="false">IF(I4724&gt;J4724,"Y","N")</f>
        <v>Y</v>
      </c>
      <c r="G4724" s="3" t="s">
        <v>36</v>
      </c>
      <c r="H4724" s="3" t="s">
        <v>37</v>
      </c>
      <c r="I4724" s="4" t="n">
        <v>15</v>
      </c>
      <c r="J4724" s="4" t="n">
        <f aca="false">LEN(E4724)-LEN(SUBSTITUTE(E4724,",",""))+1</f>
        <v>7</v>
      </c>
      <c r="K4724" s="3" t="str">
        <f aca="false">IFERROR(INDEX('Teacher Lookup'!$B$2:$B$200,MATCH(A4724,'Teacher Lookup'!$A$2:$A$200,0)),"")</f>
        <v>CHAN Jessica</v>
      </c>
    </row>
    <row r="4725" customFormat="false" ht="15" hidden="false" customHeight="false" outlineLevel="0" collapsed="false">
      <c r="A4725" s="3" t="s">
        <v>429</v>
      </c>
      <c r="B4725" s="4" t="s">
        <v>60</v>
      </c>
      <c r="C4725" s="4" t="n">
        <v>5</v>
      </c>
      <c r="D4725" s="4" t="s">
        <v>78</v>
      </c>
      <c r="E4725" s="3" t="s">
        <v>81</v>
      </c>
      <c r="F4725" s="4" t="str">
        <f aca="false">IF(I4725&gt;J4725,"Y","N")</f>
        <v>Y</v>
      </c>
      <c r="G4725" s="3" t="s">
        <v>36</v>
      </c>
      <c r="H4725" s="3" t="s">
        <v>37</v>
      </c>
      <c r="I4725" s="4" t="n">
        <v>15</v>
      </c>
      <c r="J4725" s="4" t="n">
        <f aca="false">LEN(E4725)-LEN(SUBSTITUTE(E4725,",",""))+1</f>
        <v>7</v>
      </c>
      <c r="K4725" s="3" t="str">
        <f aca="false">IFERROR(INDEX('Teacher Lookup'!$B$2:$B$200,MATCH(A4725,'Teacher Lookup'!$A$2:$A$200,0)),"")</f>
        <v>CHAN Jessica</v>
      </c>
    </row>
    <row r="4726" customFormat="false" ht="15" hidden="false" customHeight="false" outlineLevel="0" collapsed="false">
      <c r="A4726" s="3" t="s">
        <v>429</v>
      </c>
      <c r="B4726" s="4" t="s">
        <v>60</v>
      </c>
      <c r="C4726" s="4" t="n">
        <v>5</v>
      </c>
      <c r="D4726" s="4" t="s">
        <v>79</v>
      </c>
      <c r="E4726" s="3" t="s">
        <v>81</v>
      </c>
      <c r="F4726" s="4" t="str">
        <f aca="false">IF(I4726&gt;J4726,"Y","N")</f>
        <v>Y</v>
      </c>
      <c r="G4726" s="3" t="s">
        <v>36</v>
      </c>
      <c r="H4726" s="3" t="s">
        <v>37</v>
      </c>
      <c r="I4726" s="4" t="n">
        <v>15</v>
      </c>
      <c r="J4726" s="4" t="n">
        <f aca="false">LEN(E4726)-LEN(SUBSTITUTE(E4726,",",""))+1</f>
        <v>7</v>
      </c>
      <c r="K4726" s="3" t="str">
        <f aca="false">IFERROR(INDEX('Teacher Lookup'!$B$2:$B$200,MATCH(A4726,'Teacher Lookup'!$A$2:$A$200,0)),"")</f>
        <v>CHAN Jessica</v>
      </c>
    </row>
    <row r="4727" customFormat="false" ht="15" hidden="false" customHeight="false" outlineLevel="0" collapsed="false">
      <c r="A4727" s="3" t="s">
        <v>429</v>
      </c>
      <c r="B4727" s="4" t="s">
        <v>60</v>
      </c>
      <c r="C4727" s="4" t="n">
        <v>6</v>
      </c>
      <c r="D4727" s="4" t="s">
        <v>57</v>
      </c>
      <c r="E4727" s="3" t="s">
        <v>397</v>
      </c>
      <c r="F4727" s="4" t="str">
        <f aca="false">IF(I4727&gt;J4727,"Y","N")</f>
        <v>N</v>
      </c>
      <c r="G4727" s="3" t="s">
        <v>72</v>
      </c>
      <c r="H4727" s="3" t="s">
        <v>42</v>
      </c>
      <c r="I4727" s="4" t="n">
        <v>4</v>
      </c>
      <c r="J4727" s="4" t="n">
        <f aca="false">LEN(E4727)-LEN(SUBSTITUTE(E4727,",",""))+1</f>
        <v>4</v>
      </c>
      <c r="K4727" s="3" t="str">
        <f aca="false">IFERROR(INDEX('Teacher Lookup'!$B$2:$B$200,MATCH(A4727,'Teacher Lookup'!$A$2:$A$200,0)),"")</f>
        <v>CHAN Jessica</v>
      </c>
    </row>
    <row r="4728" customFormat="false" ht="15" hidden="false" customHeight="false" outlineLevel="0" collapsed="false">
      <c r="A4728" s="3" t="s">
        <v>429</v>
      </c>
      <c r="B4728" s="4" t="s">
        <v>60</v>
      </c>
      <c r="C4728" s="4" t="n">
        <v>6</v>
      </c>
      <c r="D4728" s="4" t="s">
        <v>58</v>
      </c>
      <c r="E4728" s="3" t="s">
        <v>397</v>
      </c>
      <c r="F4728" s="4" t="str">
        <f aca="false">IF(I4728&gt;J4728,"Y","N")</f>
        <v>N</v>
      </c>
      <c r="G4728" s="3" t="s">
        <v>72</v>
      </c>
      <c r="H4728" s="3" t="s">
        <v>42</v>
      </c>
      <c r="I4728" s="4" t="n">
        <v>4</v>
      </c>
      <c r="J4728" s="4" t="n">
        <f aca="false">LEN(E4728)-LEN(SUBSTITUTE(E4728,",",""))+1</f>
        <v>4</v>
      </c>
      <c r="K4728" s="3" t="str">
        <f aca="false">IFERROR(INDEX('Teacher Lookup'!$B$2:$B$200,MATCH(A4728,'Teacher Lookup'!$A$2:$A$200,0)),"")</f>
        <v>CHAN Jessica</v>
      </c>
    </row>
    <row r="4729" customFormat="false" ht="15" hidden="false" customHeight="false" outlineLevel="0" collapsed="false">
      <c r="A4729" s="3" t="s">
        <v>429</v>
      </c>
      <c r="B4729" s="4" t="s">
        <v>60</v>
      </c>
      <c r="C4729" s="4" t="n">
        <v>6</v>
      </c>
      <c r="D4729" s="4" t="s">
        <v>59</v>
      </c>
      <c r="E4729" s="3" t="s">
        <v>397</v>
      </c>
      <c r="F4729" s="4" t="str">
        <f aca="false">IF(I4729&gt;J4729,"Y","N")</f>
        <v>N</v>
      </c>
      <c r="G4729" s="3" t="s">
        <v>72</v>
      </c>
      <c r="H4729" s="3" t="s">
        <v>42</v>
      </c>
      <c r="I4729" s="4" t="n">
        <v>4</v>
      </c>
      <c r="J4729" s="4" t="n">
        <f aca="false">LEN(E4729)-LEN(SUBSTITUTE(E4729,",",""))+1</f>
        <v>4</v>
      </c>
      <c r="K4729" s="3" t="str">
        <f aca="false">IFERROR(INDEX('Teacher Lookup'!$B$2:$B$200,MATCH(A4729,'Teacher Lookup'!$A$2:$A$200,0)),"")</f>
        <v>CHAN Jessica</v>
      </c>
    </row>
    <row r="4730" customFormat="false" ht="15" hidden="false" customHeight="false" outlineLevel="0" collapsed="false">
      <c r="A4730" s="3" t="s">
        <v>429</v>
      </c>
      <c r="B4730" s="4" t="s">
        <v>60</v>
      </c>
      <c r="C4730" s="4" t="n">
        <v>7</v>
      </c>
      <c r="D4730" s="4" t="s">
        <v>52</v>
      </c>
      <c r="E4730" s="3" t="s">
        <v>176</v>
      </c>
      <c r="F4730" s="4" t="str">
        <f aca="false">IF(I4730&gt;J4730,"Y","N")</f>
        <v>N</v>
      </c>
      <c r="G4730" s="3" t="s">
        <v>72</v>
      </c>
      <c r="H4730" s="3" t="s">
        <v>39</v>
      </c>
      <c r="I4730" s="4" t="n">
        <v>4</v>
      </c>
      <c r="J4730" s="4" t="n">
        <f aca="false">LEN(E4730)-LEN(SUBSTITUTE(E4730,",",""))+1</f>
        <v>4</v>
      </c>
      <c r="K4730" s="3" t="str">
        <f aca="false">IFERROR(INDEX('Teacher Lookup'!$B$2:$B$200,MATCH(A4730,'Teacher Lookup'!$A$2:$A$200,0)),"")</f>
        <v>CHAN Jessica</v>
      </c>
    </row>
    <row r="4731" customFormat="false" ht="15" hidden="false" customHeight="false" outlineLevel="0" collapsed="false">
      <c r="A4731" s="3" t="s">
        <v>429</v>
      </c>
      <c r="B4731" s="4" t="s">
        <v>60</v>
      </c>
      <c r="C4731" s="4" t="n">
        <v>7</v>
      </c>
      <c r="D4731" s="4" t="s">
        <v>55</v>
      </c>
      <c r="E4731" s="3" t="s">
        <v>176</v>
      </c>
      <c r="F4731" s="4" t="str">
        <f aca="false">IF(I4731&gt;J4731,"Y","N")</f>
        <v>N</v>
      </c>
      <c r="G4731" s="3" t="s">
        <v>72</v>
      </c>
      <c r="H4731" s="3" t="s">
        <v>39</v>
      </c>
      <c r="I4731" s="4" t="n">
        <v>4</v>
      </c>
      <c r="J4731" s="4" t="n">
        <f aca="false">LEN(E4731)-LEN(SUBSTITUTE(E4731,",",""))+1</f>
        <v>4</v>
      </c>
      <c r="K4731" s="3" t="str">
        <f aca="false">IFERROR(INDEX('Teacher Lookup'!$B$2:$B$200,MATCH(A4731,'Teacher Lookup'!$A$2:$A$200,0)),"")</f>
        <v>CHAN Jessica</v>
      </c>
    </row>
    <row r="4732" customFormat="false" ht="15" hidden="false" customHeight="false" outlineLevel="0" collapsed="false">
      <c r="A4732" s="3" t="s">
        <v>429</v>
      </c>
      <c r="B4732" s="4" t="s">
        <v>60</v>
      </c>
      <c r="C4732" s="4" t="n">
        <v>7</v>
      </c>
      <c r="D4732" s="4" t="s">
        <v>56</v>
      </c>
      <c r="E4732" s="3" t="s">
        <v>176</v>
      </c>
      <c r="F4732" s="4" t="str">
        <f aca="false">IF(I4732&gt;J4732,"Y","N")</f>
        <v>N</v>
      </c>
      <c r="G4732" s="3" t="s">
        <v>72</v>
      </c>
      <c r="H4732" s="3" t="s">
        <v>39</v>
      </c>
      <c r="I4732" s="4" t="n">
        <v>4</v>
      </c>
      <c r="J4732" s="4" t="n">
        <f aca="false">LEN(E4732)-LEN(SUBSTITUTE(E4732,",",""))+1</f>
        <v>4</v>
      </c>
      <c r="K4732" s="3" t="str">
        <f aca="false">IFERROR(INDEX('Teacher Lookup'!$B$2:$B$200,MATCH(A4732,'Teacher Lookup'!$A$2:$A$200,0)),"")</f>
        <v>CHAN Jessica</v>
      </c>
    </row>
    <row r="4733" customFormat="false" ht="15" hidden="false" customHeight="false" outlineLevel="0" collapsed="false">
      <c r="A4733" s="3" t="s">
        <v>429</v>
      </c>
      <c r="B4733" s="4" t="s">
        <v>63</v>
      </c>
      <c r="C4733" s="4" t="n">
        <v>1</v>
      </c>
      <c r="D4733" s="4" t="s">
        <v>52</v>
      </c>
      <c r="E4733" s="3" t="s">
        <v>398</v>
      </c>
      <c r="F4733" s="4" t="str">
        <f aca="false">IF(I4733&gt;J4733,"Y","N")</f>
        <v>N</v>
      </c>
      <c r="G4733" s="3" t="s">
        <v>72</v>
      </c>
      <c r="H4733" s="3" t="s">
        <v>16</v>
      </c>
      <c r="I4733" s="4" t="n">
        <v>4</v>
      </c>
      <c r="J4733" s="4" t="n">
        <f aca="false">LEN(E4733)-LEN(SUBSTITUTE(E4733,",",""))+1</f>
        <v>4</v>
      </c>
      <c r="K4733" s="3" t="str">
        <f aca="false">IFERROR(INDEX('Teacher Lookup'!$B$2:$B$200,MATCH(A4733,'Teacher Lookup'!$A$2:$A$200,0)),"")</f>
        <v>CHAN Jessica</v>
      </c>
    </row>
    <row r="4734" customFormat="false" ht="15" hidden="false" customHeight="false" outlineLevel="0" collapsed="false">
      <c r="A4734" s="3" t="s">
        <v>429</v>
      </c>
      <c r="B4734" s="4" t="s">
        <v>63</v>
      </c>
      <c r="C4734" s="4" t="n">
        <v>1</v>
      </c>
      <c r="D4734" s="4" t="s">
        <v>55</v>
      </c>
      <c r="E4734" s="3" t="s">
        <v>398</v>
      </c>
      <c r="F4734" s="4" t="str">
        <f aca="false">IF(I4734&gt;J4734,"Y","N")</f>
        <v>N</v>
      </c>
      <c r="G4734" s="3" t="s">
        <v>72</v>
      </c>
      <c r="H4734" s="3" t="s">
        <v>16</v>
      </c>
      <c r="I4734" s="4" t="n">
        <v>4</v>
      </c>
      <c r="J4734" s="4" t="n">
        <f aca="false">LEN(E4734)-LEN(SUBSTITUTE(E4734,",",""))+1</f>
        <v>4</v>
      </c>
      <c r="K4734" s="3" t="str">
        <f aca="false">IFERROR(INDEX('Teacher Lookup'!$B$2:$B$200,MATCH(A4734,'Teacher Lookup'!$A$2:$A$200,0)),"")</f>
        <v>CHAN Jessica</v>
      </c>
    </row>
    <row r="4735" customFormat="false" ht="15" hidden="false" customHeight="false" outlineLevel="0" collapsed="false">
      <c r="A4735" s="3" t="s">
        <v>429</v>
      </c>
      <c r="B4735" s="4" t="s">
        <v>63</v>
      </c>
      <c r="C4735" s="4" t="n">
        <v>1</v>
      </c>
      <c r="D4735" s="4" t="s">
        <v>56</v>
      </c>
      <c r="E4735" s="3" t="s">
        <v>398</v>
      </c>
      <c r="F4735" s="4" t="str">
        <f aca="false">IF(I4735&gt;J4735,"Y","N")</f>
        <v>N</v>
      </c>
      <c r="G4735" s="3" t="s">
        <v>72</v>
      </c>
      <c r="H4735" s="3" t="s">
        <v>16</v>
      </c>
      <c r="I4735" s="4" t="n">
        <v>4</v>
      </c>
      <c r="J4735" s="4" t="n">
        <f aca="false">LEN(E4735)-LEN(SUBSTITUTE(E4735,",",""))+1</f>
        <v>4</v>
      </c>
      <c r="K4735" s="3" t="str">
        <f aca="false">IFERROR(INDEX('Teacher Lookup'!$B$2:$B$200,MATCH(A4735,'Teacher Lookup'!$A$2:$A$200,0)),"")</f>
        <v>CHAN Jessica</v>
      </c>
    </row>
    <row r="4736" customFormat="false" ht="15" hidden="false" customHeight="false" outlineLevel="0" collapsed="false">
      <c r="A4736" s="3" t="s">
        <v>429</v>
      </c>
      <c r="B4736" s="4" t="s">
        <v>63</v>
      </c>
      <c r="C4736" s="4" t="n">
        <v>2</v>
      </c>
      <c r="D4736" s="4" t="s">
        <v>52</v>
      </c>
      <c r="E4736" s="3" t="s">
        <v>398</v>
      </c>
      <c r="F4736" s="4" t="str">
        <f aca="false">IF(I4736&gt;J4736,"Y","N")</f>
        <v>N</v>
      </c>
      <c r="G4736" s="3" t="s">
        <v>72</v>
      </c>
      <c r="H4736" s="3" t="s">
        <v>21</v>
      </c>
      <c r="I4736" s="4" t="n">
        <v>4</v>
      </c>
      <c r="J4736" s="4" t="n">
        <f aca="false">LEN(E4736)-LEN(SUBSTITUTE(E4736,",",""))+1</f>
        <v>4</v>
      </c>
      <c r="K4736" s="3" t="str">
        <f aca="false">IFERROR(INDEX('Teacher Lookup'!$B$2:$B$200,MATCH(A4736,'Teacher Lookup'!$A$2:$A$200,0)),"")</f>
        <v>CHAN Jessica</v>
      </c>
    </row>
    <row r="4737" customFormat="false" ht="15" hidden="false" customHeight="false" outlineLevel="0" collapsed="false">
      <c r="A4737" s="3" t="s">
        <v>429</v>
      </c>
      <c r="B4737" s="4" t="s">
        <v>63</v>
      </c>
      <c r="C4737" s="4" t="n">
        <v>2</v>
      </c>
      <c r="D4737" s="4" t="s">
        <v>55</v>
      </c>
      <c r="E4737" s="3" t="s">
        <v>398</v>
      </c>
      <c r="F4737" s="4" t="str">
        <f aca="false">IF(I4737&gt;J4737,"Y","N")</f>
        <v>N</v>
      </c>
      <c r="G4737" s="3" t="s">
        <v>72</v>
      </c>
      <c r="H4737" s="3" t="s">
        <v>21</v>
      </c>
      <c r="I4737" s="4" t="n">
        <v>4</v>
      </c>
      <c r="J4737" s="4" t="n">
        <f aca="false">LEN(E4737)-LEN(SUBSTITUTE(E4737,",",""))+1</f>
        <v>4</v>
      </c>
      <c r="K4737" s="3" t="str">
        <f aca="false">IFERROR(INDEX('Teacher Lookup'!$B$2:$B$200,MATCH(A4737,'Teacher Lookup'!$A$2:$A$200,0)),"")</f>
        <v>CHAN Jessica</v>
      </c>
    </row>
    <row r="4738" customFormat="false" ht="15" hidden="false" customHeight="false" outlineLevel="0" collapsed="false">
      <c r="A4738" s="3" t="s">
        <v>429</v>
      </c>
      <c r="B4738" s="4" t="s">
        <v>63</v>
      </c>
      <c r="C4738" s="4" t="n">
        <v>2</v>
      </c>
      <c r="D4738" s="4" t="s">
        <v>56</v>
      </c>
      <c r="E4738" s="3" t="s">
        <v>398</v>
      </c>
      <c r="F4738" s="4" t="str">
        <f aca="false">IF(I4738&gt;J4738,"Y","N")</f>
        <v>N</v>
      </c>
      <c r="G4738" s="3" t="s">
        <v>72</v>
      </c>
      <c r="H4738" s="3" t="s">
        <v>21</v>
      </c>
      <c r="I4738" s="4" t="n">
        <v>4</v>
      </c>
      <c r="J4738" s="4" t="n">
        <f aca="false">LEN(E4738)-LEN(SUBSTITUTE(E4738,",",""))+1</f>
        <v>4</v>
      </c>
      <c r="K4738" s="3" t="str">
        <f aca="false">IFERROR(INDEX('Teacher Lookup'!$B$2:$B$200,MATCH(A4738,'Teacher Lookup'!$A$2:$A$200,0)),"")</f>
        <v>CHAN Jessica</v>
      </c>
    </row>
    <row r="4739" customFormat="false" ht="15" hidden="false" customHeight="false" outlineLevel="0" collapsed="false">
      <c r="A4739" s="3" t="s">
        <v>429</v>
      </c>
      <c r="B4739" s="4" t="s">
        <v>63</v>
      </c>
      <c r="C4739" s="4" t="n">
        <v>3</v>
      </c>
      <c r="D4739" s="4" t="s">
        <v>76</v>
      </c>
      <c r="E4739" s="3" t="s">
        <v>93</v>
      </c>
      <c r="F4739" s="4" t="str">
        <f aca="false">IF(I4739&gt;J4739,"Y","N")</f>
        <v>N</v>
      </c>
      <c r="G4739" s="3" t="s">
        <v>72</v>
      </c>
      <c r="H4739" s="3" t="s">
        <v>26</v>
      </c>
      <c r="I4739" s="4" t="n">
        <v>4</v>
      </c>
      <c r="J4739" s="4" t="n">
        <f aca="false">LEN(E4739)-LEN(SUBSTITUTE(E4739,",",""))+1</f>
        <v>4</v>
      </c>
      <c r="K4739" s="3" t="str">
        <f aca="false">IFERROR(INDEX('Teacher Lookup'!$B$2:$B$200,MATCH(A4739,'Teacher Lookup'!$A$2:$A$200,0)),"")</f>
        <v>CHAN Jessica</v>
      </c>
    </row>
    <row r="4740" customFormat="false" ht="15" hidden="false" customHeight="false" outlineLevel="0" collapsed="false">
      <c r="A4740" s="3" t="s">
        <v>429</v>
      </c>
      <c r="B4740" s="4" t="s">
        <v>63</v>
      </c>
      <c r="C4740" s="4" t="n">
        <v>3</v>
      </c>
      <c r="D4740" s="4" t="s">
        <v>78</v>
      </c>
      <c r="E4740" s="3" t="s">
        <v>93</v>
      </c>
      <c r="F4740" s="4" t="str">
        <f aca="false">IF(I4740&gt;J4740,"Y","N")</f>
        <v>N</v>
      </c>
      <c r="G4740" s="3" t="s">
        <v>72</v>
      </c>
      <c r="H4740" s="3" t="s">
        <v>26</v>
      </c>
      <c r="I4740" s="4" t="n">
        <v>4</v>
      </c>
      <c r="J4740" s="4" t="n">
        <f aca="false">LEN(E4740)-LEN(SUBSTITUTE(E4740,",",""))+1</f>
        <v>4</v>
      </c>
      <c r="K4740" s="3" t="str">
        <f aca="false">IFERROR(INDEX('Teacher Lookup'!$B$2:$B$200,MATCH(A4740,'Teacher Lookup'!$A$2:$A$200,0)),"")</f>
        <v>CHAN Jessica</v>
      </c>
    </row>
    <row r="4741" customFormat="false" ht="15" hidden="false" customHeight="false" outlineLevel="0" collapsed="false">
      <c r="A4741" s="3" t="s">
        <v>429</v>
      </c>
      <c r="B4741" s="4" t="s">
        <v>63</v>
      </c>
      <c r="C4741" s="4" t="n">
        <v>3</v>
      </c>
      <c r="D4741" s="4" t="s">
        <v>79</v>
      </c>
      <c r="E4741" s="3" t="s">
        <v>93</v>
      </c>
      <c r="F4741" s="4" t="str">
        <f aca="false">IF(I4741&gt;J4741,"Y","N")</f>
        <v>N</v>
      </c>
      <c r="G4741" s="3" t="s">
        <v>72</v>
      </c>
      <c r="H4741" s="3" t="s">
        <v>26</v>
      </c>
      <c r="I4741" s="4" t="n">
        <v>4</v>
      </c>
      <c r="J4741" s="4" t="n">
        <f aca="false">LEN(E4741)-LEN(SUBSTITUTE(E4741,",",""))+1</f>
        <v>4</v>
      </c>
      <c r="K4741" s="3" t="str">
        <f aca="false">IFERROR(INDEX('Teacher Lookup'!$B$2:$B$200,MATCH(A4741,'Teacher Lookup'!$A$2:$A$200,0)),"")</f>
        <v>CHAN Jessica</v>
      </c>
    </row>
    <row r="4742" customFormat="false" ht="15" hidden="false" customHeight="false" outlineLevel="0" collapsed="false">
      <c r="A4742" s="3" t="s">
        <v>429</v>
      </c>
      <c r="B4742" s="4" t="s">
        <v>63</v>
      </c>
      <c r="C4742" s="4" t="n">
        <v>5</v>
      </c>
      <c r="D4742" s="4" t="s">
        <v>57</v>
      </c>
      <c r="E4742" s="3" t="s">
        <v>183</v>
      </c>
      <c r="F4742" s="4" t="str">
        <f aca="false">IF(I4742&gt;J4742,"Y","N")</f>
        <v>N</v>
      </c>
      <c r="G4742" s="3" t="s">
        <v>72</v>
      </c>
      <c r="H4742" s="3" t="s">
        <v>37</v>
      </c>
      <c r="I4742" s="4" t="n">
        <v>4</v>
      </c>
      <c r="J4742" s="4" t="n">
        <f aca="false">LEN(E4742)-LEN(SUBSTITUTE(E4742,",",""))+1</f>
        <v>4</v>
      </c>
      <c r="K4742" s="3" t="str">
        <f aca="false">IFERROR(INDEX('Teacher Lookup'!$B$2:$B$200,MATCH(A4742,'Teacher Lookup'!$A$2:$A$200,0)),"")</f>
        <v>CHAN Jessica</v>
      </c>
    </row>
    <row r="4743" customFormat="false" ht="15" hidden="false" customHeight="false" outlineLevel="0" collapsed="false">
      <c r="A4743" s="3" t="s">
        <v>429</v>
      </c>
      <c r="B4743" s="4" t="s">
        <v>63</v>
      </c>
      <c r="C4743" s="4" t="n">
        <v>5</v>
      </c>
      <c r="D4743" s="4" t="s">
        <v>58</v>
      </c>
      <c r="E4743" s="3" t="s">
        <v>183</v>
      </c>
      <c r="F4743" s="4" t="str">
        <f aca="false">IF(I4743&gt;J4743,"Y","N")</f>
        <v>N</v>
      </c>
      <c r="G4743" s="3" t="s">
        <v>72</v>
      </c>
      <c r="H4743" s="3" t="s">
        <v>37</v>
      </c>
      <c r="I4743" s="4" t="n">
        <v>4</v>
      </c>
      <c r="J4743" s="4" t="n">
        <f aca="false">LEN(E4743)-LEN(SUBSTITUTE(E4743,",",""))+1</f>
        <v>4</v>
      </c>
      <c r="K4743" s="3" t="str">
        <f aca="false">IFERROR(INDEX('Teacher Lookup'!$B$2:$B$200,MATCH(A4743,'Teacher Lookup'!$A$2:$A$200,0)),"")</f>
        <v>CHAN Jessica</v>
      </c>
    </row>
    <row r="4744" customFormat="false" ht="15" hidden="false" customHeight="false" outlineLevel="0" collapsed="false">
      <c r="A4744" s="3" t="s">
        <v>429</v>
      </c>
      <c r="B4744" s="4" t="s">
        <v>63</v>
      </c>
      <c r="C4744" s="4" t="n">
        <v>5</v>
      </c>
      <c r="D4744" s="4" t="s">
        <v>59</v>
      </c>
      <c r="E4744" s="3" t="s">
        <v>183</v>
      </c>
      <c r="F4744" s="4" t="str">
        <f aca="false">IF(I4744&gt;J4744,"Y","N")</f>
        <v>N</v>
      </c>
      <c r="G4744" s="3" t="s">
        <v>72</v>
      </c>
      <c r="H4744" s="3" t="s">
        <v>37</v>
      </c>
      <c r="I4744" s="4" t="n">
        <v>4</v>
      </c>
      <c r="J4744" s="4" t="n">
        <f aca="false">LEN(E4744)-LEN(SUBSTITUTE(E4744,",",""))+1</f>
        <v>4</v>
      </c>
      <c r="K4744" s="3" t="str">
        <f aca="false">IFERROR(INDEX('Teacher Lookup'!$B$2:$B$200,MATCH(A4744,'Teacher Lookup'!$A$2:$A$200,0)),"")</f>
        <v>CHAN Jessica</v>
      </c>
    </row>
    <row r="4745" customFormat="false" ht="15" hidden="false" customHeight="false" outlineLevel="0" collapsed="false">
      <c r="A4745" s="3" t="s">
        <v>429</v>
      </c>
      <c r="B4745" s="4" t="s">
        <v>65</v>
      </c>
      <c r="C4745" s="4" t="n">
        <v>2</v>
      </c>
      <c r="D4745" s="4" t="s">
        <v>57</v>
      </c>
      <c r="E4745" s="3" t="s">
        <v>166</v>
      </c>
      <c r="F4745" s="4" t="str">
        <f aca="false">IF(I4745&gt;J4745,"Y","N")</f>
        <v>N</v>
      </c>
      <c r="G4745" s="3" t="s">
        <v>72</v>
      </c>
      <c r="H4745" s="3" t="s">
        <v>21</v>
      </c>
      <c r="I4745" s="4" t="n">
        <v>4</v>
      </c>
      <c r="J4745" s="4" t="n">
        <f aca="false">LEN(E4745)-LEN(SUBSTITUTE(E4745,",",""))+1</f>
        <v>4</v>
      </c>
      <c r="K4745" s="3" t="str">
        <f aca="false">IFERROR(INDEX('Teacher Lookup'!$B$2:$B$200,MATCH(A4745,'Teacher Lookup'!$A$2:$A$200,0)),"")</f>
        <v>CHAN Jessica</v>
      </c>
    </row>
    <row r="4746" customFormat="false" ht="15" hidden="false" customHeight="false" outlineLevel="0" collapsed="false">
      <c r="A4746" s="3" t="s">
        <v>429</v>
      </c>
      <c r="B4746" s="4" t="s">
        <v>65</v>
      </c>
      <c r="C4746" s="4" t="n">
        <v>2</v>
      </c>
      <c r="D4746" s="4" t="s">
        <v>58</v>
      </c>
      <c r="E4746" s="3" t="s">
        <v>166</v>
      </c>
      <c r="F4746" s="4" t="str">
        <f aca="false">IF(I4746&gt;J4746,"Y","N")</f>
        <v>N</v>
      </c>
      <c r="G4746" s="3" t="s">
        <v>72</v>
      </c>
      <c r="H4746" s="3" t="s">
        <v>21</v>
      </c>
      <c r="I4746" s="4" t="n">
        <v>4</v>
      </c>
      <c r="J4746" s="4" t="n">
        <f aca="false">LEN(E4746)-LEN(SUBSTITUTE(E4746,",",""))+1</f>
        <v>4</v>
      </c>
      <c r="K4746" s="3" t="str">
        <f aca="false">IFERROR(INDEX('Teacher Lookup'!$B$2:$B$200,MATCH(A4746,'Teacher Lookup'!$A$2:$A$200,0)),"")</f>
        <v>CHAN Jessica</v>
      </c>
    </row>
    <row r="4747" customFormat="false" ht="15" hidden="false" customHeight="false" outlineLevel="0" collapsed="false">
      <c r="A4747" s="3" t="s">
        <v>429</v>
      </c>
      <c r="B4747" s="4" t="s">
        <v>65</v>
      </c>
      <c r="C4747" s="4" t="n">
        <v>2</v>
      </c>
      <c r="D4747" s="4" t="s">
        <v>59</v>
      </c>
      <c r="E4747" s="3" t="s">
        <v>166</v>
      </c>
      <c r="F4747" s="4" t="str">
        <f aca="false">IF(I4747&gt;J4747,"Y","N")</f>
        <v>N</v>
      </c>
      <c r="G4747" s="3" t="s">
        <v>72</v>
      </c>
      <c r="H4747" s="3" t="s">
        <v>21</v>
      </c>
      <c r="I4747" s="4" t="n">
        <v>4</v>
      </c>
      <c r="J4747" s="4" t="n">
        <f aca="false">LEN(E4747)-LEN(SUBSTITUTE(E4747,",",""))+1</f>
        <v>4</v>
      </c>
      <c r="K4747" s="3" t="str">
        <f aca="false">IFERROR(INDEX('Teacher Lookup'!$B$2:$B$200,MATCH(A4747,'Teacher Lookup'!$A$2:$A$200,0)),"")</f>
        <v>CHAN Jessica</v>
      </c>
    </row>
    <row r="4748" customFormat="false" ht="15" hidden="false" customHeight="false" outlineLevel="0" collapsed="false">
      <c r="A4748" s="3" t="s">
        <v>429</v>
      </c>
      <c r="B4748" s="4" t="s">
        <v>65</v>
      </c>
      <c r="C4748" s="4" t="n">
        <v>5</v>
      </c>
      <c r="D4748" s="4" t="s">
        <v>70</v>
      </c>
      <c r="E4748" s="3" t="s">
        <v>81</v>
      </c>
      <c r="F4748" s="4" t="str">
        <f aca="false">IF(I4748&gt;J4748,"Y","N")</f>
        <v>Y</v>
      </c>
      <c r="G4748" s="3" t="s">
        <v>36</v>
      </c>
      <c r="H4748" s="3" t="s">
        <v>37</v>
      </c>
      <c r="I4748" s="4" t="n">
        <v>15</v>
      </c>
      <c r="J4748" s="4" t="n">
        <f aca="false">LEN(E4748)-LEN(SUBSTITUTE(E4748,",",""))+1</f>
        <v>7</v>
      </c>
      <c r="K4748" s="3" t="str">
        <f aca="false">IFERROR(INDEX('Teacher Lookup'!$B$2:$B$200,MATCH(A4748,'Teacher Lookup'!$A$2:$A$200,0)),"")</f>
        <v>CHAN Jessica</v>
      </c>
    </row>
    <row r="4749" customFormat="false" ht="15" hidden="false" customHeight="false" outlineLevel="0" collapsed="false">
      <c r="A4749" s="3" t="s">
        <v>429</v>
      </c>
      <c r="B4749" s="4" t="s">
        <v>65</v>
      </c>
      <c r="C4749" s="4" t="n">
        <v>5</v>
      </c>
      <c r="D4749" s="4" t="s">
        <v>73</v>
      </c>
      <c r="E4749" s="3" t="s">
        <v>81</v>
      </c>
      <c r="F4749" s="4" t="str">
        <f aca="false">IF(I4749&gt;J4749,"Y","N")</f>
        <v>Y</v>
      </c>
      <c r="G4749" s="3" t="s">
        <v>36</v>
      </c>
      <c r="H4749" s="3" t="s">
        <v>37</v>
      </c>
      <c r="I4749" s="4" t="n">
        <v>15</v>
      </c>
      <c r="J4749" s="4" t="n">
        <f aca="false">LEN(E4749)-LEN(SUBSTITUTE(E4749,",",""))+1</f>
        <v>7</v>
      </c>
      <c r="K4749" s="3" t="str">
        <f aca="false">IFERROR(INDEX('Teacher Lookup'!$B$2:$B$200,MATCH(A4749,'Teacher Lookup'!$A$2:$A$200,0)),"")</f>
        <v>CHAN Jessica</v>
      </c>
    </row>
    <row r="4750" customFormat="false" ht="15" hidden="false" customHeight="false" outlineLevel="0" collapsed="false">
      <c r="A4750" s="3" t="s">
        <v>429</v>
      </c>
      <c r="B4750" s="4" t="s">
        <v>65</v>
      </c>
      <c r="C4750" s="4" t="n">
        <v>5</v>
      </c>
      <c r="D4750" s="4" t="s">
        <v>74</v>
      </c>
      <c r="E4750" s="3" t="s">
        <v>81</v>
      </c>
      <c r="F4750" s="4" t="str">
        <f aca="false">IF(I4750&gt;J4750,"Y","N")</f>
        <v>Y</v>
      </c>
      <c r="G4750" s="3" t="s">
        <v>36</v>
      </c>
      <c r="H4750" s="3" t="s">
        <v>37</v>
      </c>
      <c r="I4750" s="4" t="n">
        <v>15</v>
      </c>
      <c r="J4750" s="4" t="n">
        <f aca="false">LEN(E4750)-LEN(SUBSTITUTE(E4750,",",""))+1</f>
        <v>7</v>
      </c>
      <c r="K4750" s="3" t="str">
        <f aca="false">IFERROR(INDEX('Teacher Lookup'!$B$2:$B$200,MATCH(A4750,'Teacher Lookup'!$A$2:$A$200,0)),"")</f>
        <v>CHAN Jessica</v>
      </c>
    </row>
    <row r="4751" customFormat="false" ht="15" hidden="false" customHeight="false" outlineLevel="0" collapsed="false">
      <c r="A4751" s="3" t="s">
        <v>429</v>
      </c>
      <c r="B4751" s="4" t="s">
        <v>65</v>
      </c>
      <c r="C4751" s="4" t="n">
        <v>5</v>
      </c>
      <c r="D4751" s="4" t="s">
        <v>76</v>
      </c>
      <c r="E4751" s="3" t="s">
        <v>81</v>
      </c>
      <c r="F4751" s="4" t="str">
        <f aca="false">IF(I4751&gt;J4751,"Y","N")</f>
        <v>Y</v>
      </c>
      <c r="G4751" s="3" t="s">
        <v>36</v>
      </c>
      <c r="H4751" s="3" t="s">
        <v>37</v>
      </c>
      <c r="I4751" s="4" t="n">
        <v>15</v>
      </c>
      <c r="J4751" s="4" t="n">
        <f aca="false">LEN(E4751)-LEN(SUBSTITUTE(E4751,",",""))+1</f>
        <v>7</v>
      </c>
      <c r="K4751" s="3" t="str">
        <f aca="false">IFERROR(INDEX('Teacher Lookup'!$B$2:$B$200,MATCH(A4751,'Teacher Lookup'!$A$2:$A$200,0)),"")</f>
        <v>CHAN Jessica</v>
      </c>
    </row>
    <row r="4752" customFormat="false" ht="15" hidden="false" customHeight="false" outlineLevel="0" collapsed="false">
      <c r="A4752" s="3" t="s">
        <v>429</v>
      </c>
      <c r="B4752" s="4" t="s">
        <v>65</v>
      </c>
      <c r="C4752" s="4" t="n">
        <v>5</v>
      </c>
      <c r="D4752" s="4" t="s">
        <v>78</v>
      </c>
      <c r="E4752" s="3" t="s">
        <v>81</v>
      </c>
      <c r="F4752" s="4" t="str">
        <f aca="false">IF(I4752&gt;J4752,"Y","N")</f>
        <v>Y</v>
      </c>
      <c r="G4752" s="3" t="s">
        <v>36</v>
      </c>
      <c r="H4752" s="3" t="s">
        <v>37</v>
      </c>
      <c r="I4752" s="4" t="n">
        <v>15</v>
      </c>
      <c r="J4752" s="4" t="n">
        <f aca="false">LEN(E4752)-LEN(SUBSTITUTE(E4752,",",""))+1</f>
        <v>7</v>
      </c>
      <c r="K4752" s="3" t="str">
        <f aca="false">IFERROR(INDEX('Teacher Lookup'!$B$2:$B$200,MATCH(A4752,'Teacher Lookup'!$A$2:$A$200,0)),"")</f>
        <v>CHAN Jessica</v>
      </c>
    </row>
    <row r="4753" customFormat="false" ht="15" hidden="false" customHeight="false" outlineLevel="0" collapsed="false">
      <c r="A4753" s="3" t="s">
        <v>429</v>
      </c>
      <c r="B4753" s="4" t="s">
        <v>65</v>
      </c>
      <c r="C4753" s="4" t="n">
        <v>5</v>
      </c>
      <c r="D4753" s="4" t="s">
        <v>79</v>
      </c>
      <c r="E4753" s="3" t="s">
        <v>81</v>
      </c>
      <c r="F4753" s="4" t="str">
        <f aca="false">IF(I4753&gt;J4753,"Y","N")</f>
        <v>Y</v>
      </c>
      <c r="G4753" s="3" t="s">
        <v>36</v>
      </c>
      <c r="H4753" s="3" t="s">
        <v>37</v>
      </c>
      <c r="I4753" s="4" t="n">
        <v>15</v>
      </c>
      <c r="J4753" s="4" t="n">
        <f aca="false">LEN(E4753)-LEN(SUBSTITUTE(E4753,",",""))+1</f>
        <v>7</v>
      </c>
      <c r="K4753" s="3" t="str">
        <f aca="false">IFERROR(INDEX('Teacher Lookup'!$B$2:$B$200,MATCH(A4753,'Teacher Lookup'!$A$2:$A$200,0)),"")</f>
        <v>CHAN Jessica</v>
      </c>
    </row>
    <row r="4754" customFormat="false" ht="15" hidden="false" customHeight="false" outlineLevel="0" collapsed="false">
      <c r="A4754" s="3" t="s">
        <v>429</v>
      </c>
      <c r="B4754" s="4" t="s">
        <v>65</v>
      </c>
      <c r="C4754" s="4" t="n">
        <v>6</v>
      </c>
      <c r="D4754" s="4" t="s">
        <v>52</v>
      </c>
      <c r="E4754" s="3" t="s">
        <v>163</v>
      </c>
      <c r="F4754" s="4" t="str">
        <f aca="false">IF(I4754&gt;J4754,"Y","N")</f>
        <v>N</v>
      </c>
      <c r="G4754" s="3" t="s">
        <v>72</v>
      </c>
      <c r="H4754" s="3" t="s">
        <v>42</v>
      </c>
      <c r="I4754" s="4" t="n">
        <v>4</v>
      </c>
      <c r="J4754" s="4" t="n">
        <f aca="false">LEN(E4754)-LEN(SUBSTITUTE(E4754,",",""))+1</f>
        <v>4</v>
      </c>
      <c r="K4754" s="3" t="str">
        <f aca="false">IFERROR(INDEX('Teacher Lookup'!$B$2:$B$200,MATCH(A4754,'Teacher Lookup'!$A$2:$A$200,0)),"")</f>
        <v>CHAN Jessica</v>
      </c>
    </row>
    <row r="4755" customFormat="false" ht="15" hidden="false" customHeight="false" outlineLevel="0" collapsed="false">
      <c r="A4755" s="3" t="s">
        <v>429</v>
      </c>
      <c r="B4755" s="4" t="s">
        <v>65</v>
      </c>
      <c r="C4755" s="4" t="n">
        <v>6</v>
      </c>
      <c r="D4755" s="4" t="s">
        <v>55</v>
      </c>
      <c r="E4755" s="3" t="s">
        <v>163</v>
      </c>
      <c r="F4755" s="4" t="str">
        <f aca="false">IF(I4755&gt;J4755,"Y","N")</f>
        <v>N</v>
      </c>
      <c r="G4755" s="3" t="s">
        <v>72</v>
      </c>
      <c r="H4755" s="3" t="s">
        <v>42</v>
      </c>
      <c r="I4755" s="4" t="n">
        <v>4</v>
      </c>
      <c r="J4755" s="4" t="n">
        <f aca="false">LEN(E4755)-LEN(SUBSTITUTE(E4755,",",""))+1</f>
        <v>4</v>
      </c>
      <c r="K4755" s="3" t="str">
        <f aca="false">IFERROR(INDEX('Teacher Lookup'!$B$2:$B$200,MATCH(A4755,'Teacher Lookup'!$A$2:$A$200,0)),"")</f>
        <v>CHAN Jessica</v>
      </c>
    </row>
    <row r="4756" customFormat="false" ht="15" hidden="false" customHeight="false" outlineLevel="0" collapsed="false">
      <c r="A4756" s="3" t="s">
        <v>429</v>
      </c>
      <c r="B4756" s="4" t="s">
        <v>65</v>
      </c>
      <c r="C4756" s="4" t="n">
        <v>6</v>
      </c>
      <c r="D4756" s="4" t="s">
        <v>56</v>
      </c>
      <c r="E4756" s="3" t="s">
        <v>163</v>
      </c>
      <c r="F4756" s="4" t="str">
        <f aca="false">IF(I4756&gt;J4756,"Y","N")</f>
        <v>N</v>
      </c>
      <c r="G4756" s="3" t="s">
        <v>72</v>
      </c>
      <c r="H4756" s="3" t="s">
        <v>42</v>
      </c>
      <c r="I4756" s="4" t="n">
        <v>4</v>
      </c>
      <c r="J4756" s="4" t="n">
        <f aca="false">LEN(E4756)-LEN(SUBSTITUTE(E4756,",",""))+1</f>
        <v>4</v>
      </c>
      <c r="K4756" s="3" t="str">
        <f aca="false">IFERROR(INDEX('Teacher Lookup'!$B$2:$B$200,MATCH(A4756,'Teacher Lookup'!$A$2:$A$200,0)),"")</f>
        <v>CHAN Jessica</v>
      </c>
    </row>
    <row r="4757" customFormat="false" ht="15" hidden="false" customHeight="false" outlineLevel="0" collapsed="false">
      <c r="A4757" s="3" t="s">
        <v>429</v>
      </c>
      <c r="B4757" s="4" t="s">
        <v>65</v>
      </c>
      <c r="C4757" s="4" t="n">
        <v>7</v>
      </c>
      <c r="D4757" s="4" t="s">
        <v>76</v>
      </c>
      <c r="E4757" s="3" t="s">
        <v>77</v>
      </c>
      <c r="F4757" s="4" t="str">
        <f aca="false">IF(I4757&gt;J4757,"Y","N")</f>
        <v>N</v>
      </c>
      <c r="G4757" s="3" t="s">
        <v>72</v>
      </c>
      <c r="H4757" s="3" t="s">
        <v>39</v>
      </c>
      <c r="I4757" s="4" t="n">
        <v>4</v>
      </c>
      <c r="J4757" s="4" t="n">
        <f aca="false">LEN(E4757)-LEN(SUBSTITUTE(E4757,",",""))+1</f>
        <v>4</v>
      </c>
      <c r="K4757" s="3" t="str">
        <f aca="false">IFERROR(INDEX('Teacher Lookup'!$B$2:$B$200,MATCH(A4757,'Teacher Lookup'!$A$2:$A$200,0)),"")</f>
        <v>CHAN Jessica</v>
      </c>
    </row>
    <row r="4758" customFormat="false" ht="15" hidden="false" customHeight="false" outlineLevel="0" collapsed="false">
      <c r="A4758" s="3" t="s">
        <v>429</v>
      </c>
      <c r="B4758" s="4" t="s">
        <v>65</v>
      </c>
      <c r="C4758" s="4" t="n">
        <v>7</v>
      </c>
      <c r="D4758" s="4" t="s">
        <v>78</v>
      </c>
      <c r="E4758" s="3" t="s">
        <v>77</v>
      </c>
      <c r="F4758" s="4" t="str">
        <f aca="false">IF(I4758&gt;J4758,"Y","N")</f>
        <v>N</v>
      </c>
      <c r="G4758" s="3" t="s">
        <v>72</v>
      </c>
      <c r="H4758" s="3" t="s">
        <v>39</v>
      </c>
      <c r="I4758" s="4" t="n">
        <v>4</v>
      </c>
      <c r="J4758" s="4" t="n">
        <f aca="false">LEN(E4758)-LEN(SUBSTITUTE(E4758,",",""))+1</f>
        <v>4</v>
      </c>
      <c r="K4758" s="3" t="str">
        <f aca="false">IFERROR(INDEX('Teacher Lookup'!$B$2:$B$200,MATCH(A4758,'Teacher Lookup'!$A$2:$A$200,0)),"")</f>
        <v>CHAN Jessica</v>
      </c>
    </row>
    <row r="4759" customFormat="false" ht="15" hidden="false" customHeight="false" outlineLevel="0" collapsed="false">
      <c r="A4759" s="3" t="s">
        <v>429</v>
      </c>
      <c r="B4759" s="4" t="s">
        <v>65</v>
      </c>
      <c r="C4759" s="4" t="n">
        <v>7</v>
      </c>
      <c r="D4759" s="4" t="s">
        <v>79</v>
      </c>
      <c r="E4759" s="3" t="s">
        <v>77</v>
      </c>
      <c r="F4759" s="4" t="str">
        <f aca="false">IF(I4759&gt;J4759,"Y","N")</f>
        <v>N</v>
      </c>
      <c r="G4759" s="3" t="s">
        <v>72</v>
      </c>
      <c r="H4759" s="3" t="s">
        <v>39</v>
      </c>
      <c r="I4759" s="4" t="n">
        <v>4</v>
      </c>
      <c r="J4759" s="4" t="n">
        <f aca="false">LEN(E4759)-LEN(SUBSTITUTE(E4759,",",""))+1</f>
        <v>4</v>
      </c>
      <c r="K4759" s="3" t="str">
        <f aca="false">IFERROR(INDEX('Teacher Lookup'!$B$2:$B$200,MATCH(A4759,'Teacher Lookup'!$A$2:$A$200,0)),"")</f>
        <v>CHAN Jessica</v>
      </c>
    </row>
    <row r="4760" customFormat="false" ht="15" hidden="false" customHeight="false" outlineLevel="0" collapsed="false">
      <c r="A4760" s="3" t="s">
        <v>429</v>
      </c>
      <c r="B4760" s="4" t="s">
        <v>66</v>
      </c>
      <c r="C4760" s="4" t="n">
        <v>1</v>
      </c>
      <c r="D4760" s="4" t="s">
        <v>76</v>
      </c>
      <c r="E4760" s="3" t="s">
        <v>84</v>
      </c>
      <c r="F4760" s="4" t="str">
        <f aca="false">IF(I4760&gt;J4760,"Y","N")</f>
        <v>N</v>
      </c>
      <c r="G4760" s="3" t="s">
        <v>72</v>
      </c>
      <c r="H4760" s="3" t="s">
        <v>16</v>
      </c>
      <c r="I4760" s="4" t="n">
        <v>4</v>
      </c>
      <c r="J4760" s="4" t="n">
        <f aca="false">LEN(E4760)-LEN(SUBSTITUTE(E4760,",",""))+1</f>
        <v>4</v>
      </c>
      <c r="K4760" s="3" t="str">
        <f aca="false">IFERROR(INDEX('Teacher Lookup'!$B$2:$B$200,MATCH(A4760,'Teacher Lookup'!$A$2:$A$200,0)),"")</f>
        <v>CHAN Jessica</v>
      </c>
    </row>
    <row r="4761" customFormat="false" ht="15" hidden="false" customHeight="false" outlineLevel="0" collapsed="false">
      <c r="A4761" s="3" t="s">
        <v>429</v>
      </c>
      <c r="B4761" s="4" t="s">
        <v>66</v>
      </c>
      <c r="C4761" s="4" t="n">
        <v>1</v>
      </c>
      <c r="D4761" s="4" t="s">
        <v>78</v>
      </c>
      <c r="E4761" s="3" t="s">
        <v>84</v>
      </c>
      <c r="F4761" s="4" t="str">
        <f aca="false">IF(I4761&gt;J4761,"Y","N")</f>
        <v>N</v>
      </c>
      <c r="G4761" s="3" t="s">
        <v>72</v>
      </c>
      <c r="H4761" s="3" t="s">
        <v>16</v>
      </c>
      <c r="I4761" s="4" t="n">
        <v>4</v>
      </c>
      <c r="J4761" s="4" t="n">
        <f aca="false">LEN(E4761)-LEN(SUBSTITUTE(E4761,",",""))+1</f>
        <v>4</v>
      </c>
      <c r="K4761" s="3" t="str">
        <f aca="false">IFERROR(INDEX('Teacher Lookup'!$B$2:$B$200,MATCH(A4761,'Teacher Lookup'!$A$2:$A$200,0)),"")</f>
        <v>CHAN Jessica</v>
      </c>
    </row>
    <row r="4762" customFormat="false" ht="15" hidden="false" customHeight="false" outlineLevel="0" collapsed="false">
      <c r="A4762" s="3" t="s">
        <v>429</v>
      </c>
      <c r="B4762" s="4" t="s">
        <v>66</v>
      </c>
      <c r="C4762" s="4" t="n">
        <v>1</v>
      </c>
      <c r="D4762" s="4" t="s">
        <v>79</v>
      </c>
      <c r="E4762" s="3" t="s">
        <v>84</v>
      </c>
      <c r="F4762" s="4" t="str">
        <f aca="false">IF(I4762&gt;J4762,"Y","N")</f>
        <v>N</v>
      </c>
      <c r="G4762" s="3" t="s">
        <v>72</v>
      </c>
      <c r="H4762" s="3" t="s">
        <v>16</v>
      </c>
      <c r="I4762" s="4" t="n">
        <v>4</v>
      </c>
      <c r="J4762" s="4" t="n">
        <f aca="false">LEN(E4762)-LEN(SUBSTITUTE(E4762,",",""))+1</f>
        <v>4</v>
      </c>
      <c r="K4762" s="3" t="str">
        <f aca="false">IFERROR(INDEX('Teacher Lookup'!$B$2:$B$200,MATCH(A4762,'Teacher Lookup'!$A$2:$A$200,0)),"")</f>
        <v>CHAN Jessica</v>
      </c>
    </row>
    <row r="4763" customFormat="false" ht="15" hidden="false" customHeight="false" outlineLevel="0" collapsed="false">
      <c r="A4763" s="3" t="s">
        <v>429</v>
      </c>
      <c r="B4763" s="4" t="s">
        <v>66</v>
      </c>
      <c r="C4763" s="4" t="n">
        <v>2</v>
      </c>
      <c r="D4763" s="4" t="s">
        <v>52</v>
      </c>
      <c r="E4763" s="3" t="s">
        <v>177</v>
      </c>
      <c r="F4763" s="4" t="str">
        <f aca="false">IF(I4763&gt;J4763,"Y","N")</f>
        <v>N</v>
      </c>
      <c r="G4763" s="3" t="s">
        <v>72</v>
      </c>
      <c r="H4763" s="3" t="s">
        <v>21</v>
      </c>
      <c r="I4763" s="4" t="n">
        <v>4</v>
      </c>
      <c r="J4763" s="4" t="n">
        <f aca="false">LEN(E4763)-LEN(SUBSTITUTE(E4763,",",""))+1</f>
        <v>4</v>
      </c>
      <c r="K4763" s="3" t="str">
        <f aca="false">IFERROR(INDEX('Teacher Lookup'!$B$2:$B$200,MATCH(A4763,'Teacher Lookup'!$A$2:$A$200,0)),"")</f>
        <v>CHAN Jessica</v>
      </c>
    </row>
    <row r="4764" customFormat="false" ht="15" hidden="false" customHeight="false" outlineLevel="0" collapsed="false">
      <c r="A4764" s="3" t="s">
        <v>429</v>
      </c>
      <c r="B4764" s="4" t="s">
        <v>66</v>
      </c>
      <c r="C4764" s="4" t="n">
        <v>2</v>
      </c>
      <c r="D4764" s="4" t="s">
        <v>55</v>
      </c>
      <c r="E4764" s="3" t="s">
        <v>177</v>
      </c>
      <c r="F4764" s="4" t="str">
        <f aca="false">IF(I4764&gt;J4764,"Y","N")</f>
        <v>N</v>
      </c>
      <c r="G4764" s="3" t="s">
        <v>72</v>
      </c>
      <c r="H4764" s="3" t="s">
        <v>21</v>
      </c>
      <c r="I4764" s="4" t="n">
        <v>4</v>
      </c>
      <c r="J4764" s="4" t="n">
        <f aca="false">LEN(E4764)-LEN(SUBSTITUTE(E4764,",",""))+1</f>
        <v>4</v>
      </c>
      <c r="K4764" s="3" t="str">
        <f aca="false">IFERROR(INDEX('Teacher Lookup'!$B$2:$B$200,MATCH(A4764,'Teacher Lookup'!$A$2:$A$200,0)),"")</f>
        <v>CHAN Jessica</v>
      </c>
    </row>
    <row r="4765" customFormat="false" ht="15" hidden="false" customHeight="false" outlineLevel="0" collapsed="false">
      <c r="A4765" s="3" t="s">
        <v>429</v>
      </c>
      <c r="B4765" s="4" t="s">
        <v>66</v>
      </c>
      <c r="C4765" s="4" t="n">
        <v>2</v>
      </c>
      <c r="D4765" s="4" t="s">
        <v>56</v>
      </c>
      <c r="E4765" s="3" t="s">
        <v>177</v>
      </c>
      <c r="F4765" s="4" t="str">
        <f aca="false">IF(I4765&gt;J4765,"Y","N")</f>
        <v>N</v>
      </c>
      <c r="G4765" s="3" t="s">
        <v>72</v>
      </c>
      <c r="H4765" s="3" t="s">
        <v>21</v>
      </c>
      <c r="I4765" s="4" t="n">
        <v>4</v>
      </c>
      <c r="J4765" s="4" t="n">
        <f aca="false">LEN(E4765)-LEN(SUBSTITUTE(E4765,",",""))+1</f>
        <v>4</v>
      </c>
      <c r="K4765" s="3" t="str">
        <f aca="false">IFERROR(INDEX('Teacher Lookup'!$B$2:$B$200,MATCH(A4765,'Teacher Lookup'!$A$2:$A$200,0)),"")</f>
        <v>CHAN Jessica</v>
      </c>
    </row>
    <row r="4766" customFormat="false" ht="15" hidden="false" customHeight="false" outlineLevel="0" collapsed="false">
      <c r="A4766" s="3" t="s">
        <v>429</v>
      </c>
      <c r="B4766" s="4" t="s">
        <v>66</v>
      </c>
      <c r="C4766" s="4" t="n">
        <v>4</v>
      </c>
      <c r="D4766" s="4" t="s">
        <v>57</v>
      </c>
      <c r="E4766" s="3" t="s">
        <v>399</v>
      </c>
      <c r="F4766" s="4" t="str">
        <f aca="false">IF(I4766&gt;J4766,"Y","N")</f>
        <v>N</v>
      </c>
      <c r="G4766" s="3" t="s">
        <v>72</v>
      </c>
      <c r="H4766" s="3" t="s">
        <v>34</v>
      </c>
      <c r="I4766" s="4" t="n">
        <v>4</v>
      </c>
      <c r="J4766" s="4" t="n">
        <f aca="false">LEN(E4766)-LEN(SUBSTITUTE(E4766,",",""))+1</f>
        <v>4</v>
      </c>
      <c r="K4766" s="3" t="str">
        <f aca="false">IFERROR(INDEX('Teacher Lookup'!$B$2:$B$200,MATCH(A4766,'Teacher Lookup'!$A$2:$A$200,0)),"")</f>
        <v>CHAN Jessica</v>
      </c>
    </row>
    <row r="4767" customFormat="false" ht="15" hidden="false" customHeight="false" outlineLevel="0" collapsed="false">
      <c r="A4767" s="3" t="s">
        <v>429</v>
      </c>
      <c r="B4767" s="4" t="s">
        <v>66</v>
      </c>
      <c r="C4767" s="4" t="n">
        <v>4</v>
      </c>
      <c r="D4767" s="4" t="s">
        <v>58</v>
      </c>
      <c r="E4767" s="3" t="s">
        <v>399</v>
      </c>
      <c r="F4767" s="4" t="str">
        <f aca="false">IF(I4767&gt;J4767,"Y","N")</f>
        <v>N</v>
      </c>
      <c r="G4767" s="3" t="s">
        <v>72</v>
      </c>
      <c r="H4767" s="3" t="s">
        <v>34</v>
      </c>
      <c r="I4767" s="4" t="n">
        <v>4</v>
      </c>
      <c r="J4767" s="4" t="n">
        <f aca="false">LEN(E4767)-LEN(SUBSTITUTE(E4767,",",""))+1</f>
        <v>4</v>
      </c>
      <c r="K4767" s="3" t="str">
        <f aca="false">IFERROR(INDEX('Teacher Lookup'!$B$2:$B$200,MATCH(A4767,'Teacher Lookup'!$A$2:$A$200,0)),"")</f>
        <v>CHAN Jessica</v>
      </c>
    </row>
    <row r="4768" customFormat="false" ht="15" hidden="false" customHeight="false" outlineLevel="0" collapsed="false">
      <c r="A4768" s="3" t="s">
        <v>429</v>
      </c>
      <c r="B4768" s="4" t="s">
        <v>66</v>
      </c>
      <c r="C4768" s="4" t="n">
        <v>4</v>
      </c>
      <c r="D4768" s="4" t="s">
        <v>59</v>
      </c>
      <c r="E4768" s="3" t="s">
        <v>399</v>
      </c>
      <c r="F4768" s="4" t="str">
        <f aca="false">IF(I4768&gt;J4768,"Y","N")</f>
        <v>N</v>
      </c>
      <c r="G4768" s="3" t="s">
        <v>72</v>
      </c>
      <c r="H4768" s="3" t="s">
        <v>34</v>
      </c>
      <c r="I4768" s="4" t="n">
        <v>4</v>
      </c>
      <c r="J4768" s="4" t="n">
        <f aca="false">LEN(E4768)-LEN(SUBSTITUTE(E4768,",",""))+1</f>
        <v>4</v>
      </c>
      <c r="K4768" s="3" t="str">
        <f aca="false">IFERROR(INDEX('Teacher Lookup'!$B$2:$B$200,MATCH(A4768,'Teacher Lookup'!$A$2:$A$200,0)),"")</f>
        <v>CHAN Jessica</v>
      </c>
    </row>
    <row r="4769" customFormat="false" ht="15" hidden="false" customHeight="false" outlineLevel="0" collapsed="false">
      <c r="A4769" s="3" t="s">
        <v>430</v>
      </c>
      <c r="B4769" s="4" t="s">
        <v>12</v>
      </c>
      <c r="C4769" s="4" t="n">
        <v>4</v>
      </c>
      <c r="D4769" s="4" t="s">
        <v>140</v>
      </c>
      <c r="E4769" s="3" t="s">
        <v>431</v>
      </c>
      <c r="F4769" s="4" t="str">
        <f aca="false">IF(I4769&gt;J4769,"Y","N")</f>
        <v>N</v>
      </c>
      <c r="G4769" s="3" t="s">
        <v>432</v>
      </c>
      <c r="H4769" s="3" t="s">
        <v>34</v>
      </c>
      <c r="I4769" s="4" t="n">
        <v>1</v>
      </c>
      <c r="J4769" s="4" t="n">
        <f aca="false">LEN(E4769)-LEN(SUBSTITUTE(E4769,",",""))+1</f>
        <v>1</v>
      </c>
      <c r="K4769" s="3" t="str">
        <f aca="false">IFERROR(INDEX('Teacher Lookup'!$B$2:$B$200,MATCH(A4769,'Teacher Lookup'!$A$2:$A$200,0)),"")</f>
        <v>CHENG Jenny</v>
      </c>
    </row>
    <row r="4770" customFormat="false" ht="15" hidden="false" customHeight="false" outlineLevel="0" collapsed="false">
      <c r="A4770" s="3" t="s">
        <v>430</v>
      </c>
      <c r="B4770" s="4" t="s">
        <v>12</v>
      </c>
      <c r="C4770" s="4" t="n">
        <v>5</v>
      </c>
      <c r="D4770" s="4" t="s">
        <v>140</v>
      </c>
      <c r="E4770" s="3" t="s">
        <v>431</v>
      </c>
      <c r="F4770" s="4" t="str">
        <f aca="false">IF(I4770&gt;J4770,"Y","N")</f>
        <v>N</v>
      </c>
      <c r="G4770" s="3" t="s">
        <v>432</v>
      </c>
      <c r="H4770" s="3" t="s">
        <v>37</v>
      </c>
      <c r="I4770" s="4" t="n">
        <v>1</v>
      </c>
      <c r="J4770" s="4" t="n">
        <f aca="false">LEN(E4770)-LEN(SUBSTITUTE(E4770,",",""))+1</f>
        <v>1</v>
      </c>
      <c r="K4770" s="3" t="str">
        <f aca="false">IFERROR(INDEX('Teacher Lookup'!$B$2:$B$200,MATCH(A4770,'Teacher Lookup'!$A$2:$A$200,0)),"")</f>
        <v>CHENG Jenny</v>
      </c>
    </row>
    <row r="4771" customFormat="false" ht="15" hidden="false" customHeight="false" outlineLevel="0" collapsed="false">
      <c r="A4771" s="3" t="s">
        <v>430</v>
      </c>
      <c r="B4771" s="4" t="s">
        <v>12</v>
      </c>
      <c r="C4771" s="4" t="n">
        <v>6</v>
      </c>
      <c r="D4771" s="4" t="s">
        <v>52</v>
      </c>
      <c r="E4771" s="3" t="s">
        <v>357</v>
      </c>
      <c r="F4771" s="4" t="str">
        <f aca="false">IF(I4771&gt;J4771,"Y","N")</f>
        <v>Y</v>
      </c>
      <c r="G4771" s="3" t="s">
        <v>358</v>
      </c>
      <c r="H4771" s="3" t="s">
        <v>42</v>
      </c>
      <c r="I4771" s="4" t="n">
        <v>9</v>
      </c>
      <c r="J4771" s="4" t="n">
        <f aca="false">LEN(E4771)-LEN(SUBSTITUTE(E4771,",",""))+1</f>
        <v>8</v>
      </c>
      <c r="K4771" s="3" t="str">
        <f aca="false">IFERROR(INDEX('Teacher Lookup'!$B$2:$B$200,MATCH(A4771,'Teacher Lookup'!$A$2:$A$200,0)),"")</f>
        <v>CHENG Jenny</v>
      </c>
    </row>
    <row r="4772" customFormat="false" ht="15" hidden="false" customHeight="false" outlineLevel="0" collapsed="false">
      <c r="A4772" s="3" t="s">
        <v>430</v>
      </c>
      <c r="B4772" s="4" t="s">
        <v>12</v>
      </c>
      <c r="C4772" s="4" t="n">
        <v>6</v>
      </c>
      <c r="D4772" s="4" t="s">
        <v>55</v>
      </c>
      <c r="E4772" s="3" t="s">
        <v>357</v>
      </c>
      <c r="F4772" s="4" t="str">
        <f aca="false">IF(I4772&gt;J4772,"Y","N")</f>
        <v>Y</v>
      </c>
      <c r="G4772" s="3" t="s">
        <v>358</v>
      </c>
      <c r="H4772" s="3" t="s">
        <v>42</v>
      </c>
      <c r="I4772" s="4" t="n">
        <v>9</v>
      </c>
      <c r="J4772" s="4" t="n">
        <f aca="false">LEN(E4772)-LEN(SUBSTITUTE(E4772,",",""))+1</f>
        <v>8</v>
      </c>
      <c r="K4772" s="3" t="str">
        <f aca="false">IFERROR(INDEX('Teacher Lookup'!$B$2:$B$200,MATCH(A4772,'Teacher Lookup'!$A$2:$A$200,0)),"")</f>
        <v>CHENG Jenny</v>
      </c>
    </row>
    <row r="4773" customFormat="false" ht="15" hidden="false" customHeight="false" outlineLevel="0" collapsed="false">
      <c r="A4773" s="3" t="s">
        <v>430</v>
      </c>
      <c r="B4773" s="4" t="s">
        <v>12</v>
      </c>
      <c r="C4773" s="4" t="n">
        <v>6</v>
      </c>
      <c r="D4773" s="4" t="s">
        <v>56</v>
      </c>
      <c r="E4773" s="3" t="s">
        <v>357</v>
      </c>
      <c r="F4773" s="4" t="str">
        <f aca="false">IF(I4773&gt;J4773,"Y","N")</f>
        <v>Y</v>
      </c>
      <c r="G4773" s="3" t="s">
        <v>358</v>
      </c>
      <c r="H4773" s="3" t="s">
        <v>42</v>
      </c>
      <c r="I4773" s="4" t="n">
        <v>9</v>
      </c>
      <c r="J4773" s="4" t="n">
        <f aca="false">LEN(E4773)-LEN(SUBSTITUTE(E4773,",",""))+1</f>
        <v>8</v>
      </c>
      <c r="K4773" s="3" t="str">
        <f aca="false">IFERROR(INDEX('Teacher Lookup'!$B$2:$B$200,MATCH(A4773,'Teacher Lookup'!$A$2:$A$200,0)),"")</f>
        <v>CHENG Jenny</v>
      </c>
    </row>
    <row r="4774" customFormat="false" ht="15" hidden="false" customHeight="false" outlineLevel="0" collapsed="false">
      <c r="A4774" s="3" t="s">
        <v>430</v>
      </c>
      <c r="B4774" s="4" t="s">
        <v>12</v>
      </c>
      <c r="C4774" s="4" t="n">
        <v>6</v>
      </c>
      <c r="D4774" s="4" t="s">
        <v>57</v>
      </c>
      <c r="E4774" s="3" t="s">
        <v>357</v>
      </c>
      <c r="F4774" s="4" t="str">
        <f aca="false">IF(I4774&gt;J4774,"Y","N")</f>
        <v>Y</v>
      </c>
      <c r="G4774" s="3" t="s">
        <v>358</v>
      </c>
      <c r="H4774" s="3" t="s">
        <v>42</v>
      </c>
      <c r="I4774" s="4" t="n">
        <v>9</v>
      </c>
      <c r="J4774" s="4" t="n">
        <f aca="false">LEN(E4774)-LEN(SUBSTITUTE(E4774,",",""))+1</f>
        <v>8</v>
      </c>
      <c r="K4774" s="3" t="str">
        <f aca="false">IFERROR(INDEX('Teacher Lookup'!$B$2:$B$200,MATCH(A4774,'Teacher Lookup'!$A$2:$A$200,0)),"")</f>
        <v>CHENG Jenny</v>
      </c>
    </row>
    <row r="4775" customFormat="false" ht="15" hidden="false" customHeight="false" outlineLevel="0" collapsed="false">
      <c r="A4775" s="3" t="s">
        <v>430</v>
      </c>
      <c r="B4775" s="4" t="s">
        <v>12</v>
      </c>
      <c r="C4775" s="4" t="n">
        <v>6</v>
      </c>
      <c r="D4775" s="4" t="s">
        <v>58</v>
      </c>
      <c r="E4775" s="3" t="s">
        <v>357</v>
      </c>
      <c r="F4775" s="4" t="str">
        <f aca="false">IF(I4775&gt;J4775,"Y","N")</f>
        <v>Y</v>
      </c>
      <c r="G4775" s="3" t="s">
        <v>358</v>
      </c>
      <c r="H4775" s="3" t="s">
        <v>42</v>
      </c>
      <c r="I4775" s="4" t="n">
        <v>9</v>
      </c>
      <c r="J4775" s="4" t="n">
        <f aca="false">LEN(E4775)-LEN(SUBSTITUTE(E4775,",",""))+1</f>
        <v>8</v>
      </c>
      <c r="K4775" s="3" t="str">
        <f aca="false">IFERROR(INDEX('Teacher Lookup'!$B$2:$B$200,MATCH(A4775,'Teacher Lookup'!$A$2:$A$200,0)),"")</f>
        <v>CHENG Jenny</v>
      </c>
    </row>
    <row r="4776" customFormat="false" ht="15" hidden="false" customHeight="false" outlineLevel="0" collapsed="false">
      <c r="A4776" s="3" t="s">
        <v>430</v>
      </c>
      <c r="B4776" s="4" t="s">
        <v>12</v>
      </c>
      <c r="C4776" s="4" t="n">
        <v>6</v>
      </c>
      <c r="D4776" s="4" t="s">
        <v>59</v>
      </c>
      <c r="E4776" s="3" t="s">
        <v>357</v>
      </c>
      <c r="F4776" s="4" t="str">
        <f aca="false">IF(I4776&gt;J4776,"Y","N")</f>
        <v>Y</v>
      </c>
      <c r="G4776" s="3" t="s">
        <v>358</v>
      </c>
      <c r="H4776" s="3" t="s">
        <v>42</v>
      </c>
      <c r="I4776" s="4" t="n">
        <v>9</v>
      </c>
      <c r="J4776" s="4" t="n">
        <f aca="false">LEN(E4776)-LEN(SUBSTITUTE(E4776,",",""))+1</f>
        <v>8</v>
      </c>
      <c r="K4776" s="3" t="str">
        <f aca="false">IFERROR(INDEX('Teacher Lookup'!$B$2:$B$200,MATCH(A4776,'Teacher Lookup'!$A$2:$A$200,0)),"")</f>
        <v>CHENG Jenny</v>
      </c>
    </row>
    <row r="4777" customFormat="false" ht="15" hidden="false" customHeight="false" outlineLevel="0" collapsed="false">
      <c r="A4777" s="3" t="s">
        <v>430</v>
      </c>
      <c r="B4777" s="4" t="s">
        <v>12</v>
      </c>
      <c r="C4777" s="4" t="n">
        <v>7</v>
      </c>
      <c r="D4777" s="4" t="s">
        <v>52</v>
      </c>
      <c r="E4777" s="3" t="s">
        <v>357</v>
      </c>
      <c r="F4777" s="4" t="str">
        <f aca="false">IF(I4777&gt;J4777,"Y","N")</f>
        <v>Y</v>
      </c>
      <c r="G4777" s="3" t="s">
        <v>358</v>
      </c>
      <c r="H4777" s="3" t="s">
        <v>39</v>
      </c>
      <c r="I4777" s="4" t="n">
        <v>9</v>
      </c>
      <c r="J4777" s="4" t="n">
        <f aca="false">LEN(E4777)-LEN(SUBSTITUTE(E4777,",",""))+1</f>
        <v>8</v>
      </c>
      <c r="K4777" s="3" t="str">
        <f aca="false">IFERROR(INDEX('Teacher Lookup'!$B$2:$B$200,MATCH(A4777,'Teacher Lookup'!$A$2:$A$200,0)),"")</f>
        <v>CHENG Jenny</v>
      </c>
    </row>
    <row r="4778" customFormat="false" ht="15" hidden="false" customHeight="false" outlineLevel="0" collapsed="false">
      <c r="A4778" s="3" t="s">
        <v>430</v>
      </c>
      <c r="B4778" s="4" t="s">
        <v>12</v>
      </c>
      <c r="C4778" s="4" t="n">
        <v>7</v>
      </c>
      <c r="D4778" s="4" t="s">
        <v>55</v>
      </c>
      <c r="E4778" s="3" t="s">
        <v>357</v>
      </c>
      <c r="F4778" s="4" t="str">
        <f aca="false">IF(I4778&gt;J4778,"Y","N")</f>
        <v>Y</v>
      </c>
      <c r="G4778" s="3" t="s">
        <v>358</v>
      </c>
      <c r="H4778" s="3" t="s">
        <v>39</v>
      </c>
      <c r="I4778" s="4" t="n">
        <v>9</v>
      </c>
      <c r="J4778" s="4" t="n">
        <f aca="false">LEN(E4778)-LEN(SUBSTITUTE(E4778,",",""))+1</f>
        <v>8</v>
      </c>
      <c r="K4778" s="3" t="str">
        <f aca="false">IFERROR(INDEX('Teacher Lookup'!$B$2:$B$200,MATCH(A4778,'Teacher Lookup'!$A$2:$A$200,0)),"")</f>
        <v>CHENG Jenny</v>
      </c>
    </row>
    <row r="4779" customFormat="false" ht="15" hidden="false" customHeight="false" outlineLevel="0" collapsed="false">
      <c r="A4779" s="3" t="s">
        <v>430</v>
      </c>
      <c r="B4779" s="4" t="s">
        <v>12</v>
      </c>
      <c r="C4779" s="4" t="n">
        <v>7</v>
      </c>
      <c r="D4779" s="4" t="s">
        <v>56</v>
      </c>
      <c r="E4779" s="3" t="s">
        <v>357</v>
      </c>
      <c r="F4779" s="4" t="str">
        <f aca="false">IF(I4779&gt;J4779,"Y","N")</f>
        <v>Y</v>
      </c>
      <c r="G4779" s="3" t="s">
        <v>358</v>
      </c>
      <c r="H4779" s="3" t="s">
        <v>39</v>
      </c>
      <c r="I4779" s="4" t="n">
        <v>9</v>
      </c>
      <c r="J4779" s="4" t="n">
        <f aca="false">LEN(E4779)-LEN(SUBSTITUTE(E4779,",",""))+1</f>
        <v>8</v>
      </c>
      <c r="K4779" s="3" t="str">
        <f aca="false">IFERROR(INDEX('Teacher Lookup'!$B$2:$B$200,MATCH(A4779,'Teacher Lookup'!$A$2:$A$200,0)),"")</f>
        <v>CHENG Jenny</v>
      </c>
    </row>
    <row r="4780" customFormat="false" ht="15" hidden="false" customHeight="false" outlineLevel="0" collapsed="false">
      <c r="A4780" s="3" t="s">
        <v>430</v>
      </c>
      <c r="B4780" s="4" t="s">
        <v>12</v>
      </c>
      <c r="C4780" s="4" t="n">
        <v>7</v>
      </c>
      <c r="D4780" s="4" t="s">
        <v>57</v>
      </c>
      <c r="E4780" s="3" t="s">
        <v>357</v>
      </c>
      <c r="F4780" s="4" t="str">
        <f aca="false">IF(I4780&gt;J4780,"Y","N")</f>
        <v>Y</v>
      </c>
      <c r="G4780" s="3" t="s">
        <v>358</v>
      </c>
      <c r="H4780" s="3" t="s">
        <v>39</v>
      </c>
      <c r="I4780" s="4" t="n">
        <v>9</v>
      </c>
      <c r="J4780" s="4" t="n">
        <f aca="false">LEN(E4780)-LEN(SUBSTITUTE(E4780,",",""))+1</f>
        <v>8</v>
      </c>
      <c r="K4780" s="3" t="str">
        <f aca="false">IFERROR(INDEX('Teacher Lookup'!$B$2:$B$200,MATCH(A4780,'Teacher Lookup'!$A$2:$A$200,0)),"")</f>
        <v>CHENG Jenny</v>
      </c>
    </row>
    <row r="4781" customFormat="false" ht="15" hidden="false" customHeight="false" outlineLevel="0" collapsed="false">
      <c r="A4781" s="3" t="s">
        <v>430</v>
      </c>
      <c r="B4781" s="4" t="s">
        <v>12</v>
      </c>
      <c r="C4781" s="4" t="n">
        <v>7</v>
      </c>
      <c r="D4781" s="4" t="s">
        <v>58</v>
      </c>
      <c r="E4781" s="3" t="s">
        <v>357</v>
      </c>
      <c r="F4781" s="4" t="str">
        <f aca="false">IF(I4781&gt;J4781,"Y","N")</f>
        <v>Y</v>
      </c>
      <c r="G4781" s="3" t="s">
        <v>358</v>
      </c>
      <c r="H4781" s="3" t="s">
        <v>39</v>
      </c>
      <c r="I4781" s="4" t="n">
        <v>9</v>
      </c>
      <c r="J4781" s="4" t="n">
        <f aca="false">LEN(E4781)-LEN(SUBSTITUTE(E4781,",",""))+1</f>
        <v>8</v>
      </c>
      <c r="K4781" s="3" t="str">
        <f aca="false">IFERROR(INDEX('Teacher Lookup'!$B$2:$B$200,MATCH(A4781,'Teacher Lookup'!$A$2:$A$200,0)),"")</f>
        <v>CHENG Jenny</v>
      </c>
    </row>
    <row r="4782" customFormat="false" ht="15" hidden="false" customHeight="false" outlineLevel="0" collapsed="false">
      <c r="A4782" s="3" t="s">
        <v>430</v>
      </c>
      <c r="B4782" s="4" t="s">
        <v>12</v>
      </c>
      <c r="C4782" s="4" t="n">
        <v>7</v>
      </c>
      <c r="D4782" s="4" t="s">
        <v>59</v>
      </c>
      <c r="E4782" s="3" t="s">
        <v>357</v>
      </c>
      <c r="F4782" s="4" t="str">
        <f aca="false">IF(I4782&gt;J4782,"Y","N")</f>
        <v>Y</v>
      </c>
      <c r="G4782" s="3" t="s">
        <v>358</v>
      </c>
      <c r="H4782" s="3" t="s">
        <v>39</v>
      </c>
      <c r="I4782" s="4" t="n">
        <v>9</v>
      </c>
      <c r="J4782" s="4" t="n">
        <f aca="false">LEN(E4782)-LEN(SUBSTITUTE(E4782,",",""))+1</f>
        <v>8</v>
      </c>
      <c r="K4782" s="3" t="str">
        <f aca="false">IFERROR(INDEX('Teacher Lookup'!$B$2:$B$200,MATCH(A4782,'Teacher Lookup'!$A$2:$A$200,0)),"")</f>
        <v>CHENG Jenny</v>
      </c>
    </row>
    <row r="4783" customFormat="false" ht="15" hidden="false" customHeight="false" outlineLevel="0" collapsed="false">
      <c r="A4783" s="3" t="s">
        <v>430</v>
      </c>
      <c r="B4783" s="4" t="s">
        <v>31</v>
      </c>
      <c r="C4783" s="4" t="n">
        <v>1</v>
      </c>
      <c r="D4783" s="4" t="s">
        <v>127</v>
      </c>
      <c r="E4783" s="3" t="s">
        <v>431</v>
      </c>
      <c r="F4783" s="4" t="str">
        <f aca="false">IF(I4783&gt;J4783,"Y","N")</f>
        <v>N</v>
      </c>
      <c r="G4783" s="3" t="s">
        <v>432</v>
      </c>
      <c r="H4783" s="3" t="s">
        <v>16</v>
      </c>
      <c r="I4783" s="4" t="n">
        <v>1</v>
      </c>
      <c r="J4783" s="4" t="n">
        <f aca="false">LEN(E4783)-LEN(SUBSTITUTE(E4783,",",""))+1</f>
        <v>1</v>
      </c>
      <c r="K4783" s="3" t="str">
        <f aca="false">IFERROR(INDEX('Teacher Lookup'!$B$2:$B$200,MATCH(A4783,'Teacher Lookup'!$A$2:$A$200,0)),"")</f>
        <v>CHENG Jenny</v>
      </c>
    </row>
    <row r="4784" customFormat="false" ht="15" hidden="false" customHeight="false" outlineLevel="0" collapsed="false">
      <c r="A4784" s="3" t="s">
        <v>430</v>
      </c>
      <c r="B4784" s="4" t="s">
        <v>31</v>
      </c>
      <c r="C4784" s="4" t="n">
        <v>2</v>
      </c>
      <c r="D4784" s="4" t="s">
        <v>127</v>
      </c>
      <c r="E4784" s="3" t="s">
        <v>431</v>
      </c>
      <c r="F4784" s="4" t="str">
        <f aca="false">IF(I4784&gt;J4784,"Y","N")</f>
        <v>N</v>
      </c>
      <c r="G4784" s="3" t="s">
        <v>432</v>
      </c>
      <c r="H4784" s="3" t="s">
        <v>21</v>
      </c>
      <c r="I4784" s="4" t="n">
        <v>1</v>
      </c>
      <c r="J4784" s="4" t="n">
        <f aca="false">LEN(E4784)-LEN(SUBSTITUTE(E4784,",",""))+1</f>
        <v>1</v>
      </c>
      <c r="K4784" s="3" t="str">
        <f aca="false">IFERROR(INDEX('Teacher Lookup'!$B$2:$B$200,MATCH(A4784,'Teacher Lookup'!$A$2:$A$200,0)),"")</f>
        <v>CHENG Jenny</v>
      </c>
    </row>
    <row r="4785" customFormat="false" ht="15" hidden="false" customHeight="false" outlineLevel="0" collapsed="false">
      <c r="A4785" s="3" t="s">
        <v>430</v>
      </c>
      <c r="B4785" s="4" t="s">
        <v>31</v>
      </c>
      <c r="C4785" s="4" t="n">
        <v>5</v>
      </c>
      <c r="D4785" s="4" t="s">
        <v>19</v>
      </c>
      <c r="E4785" s="3" t="s">
        <v>35</v>
      </c>
      <c r="F4785" s="4" t="str">
        <f aca="false">IF(I4785&gt;J4785,"Y","N")</f>
        <v>Y</v>
      </c>
      <c r="G4785" s="3" t="s">
        <v>36</v>
      </c>
      <c r="H4785" s="3" t="s">
        <v>37</v>
      </c>
      <c r="I4785" s="4" t="n">
        <v>17</v>
      </c>
      <c r="J4785" s="4" t="n">
        <f aca="false">LEN(E4785)-LEN(SUBSTITUTE(E4785,",",""))+1</f>
        <v>7</v>
      </c>
      <c r="K4785" s="3" t="str">
        <f aca="false">IFERROR(INDEX('Teacher Lookup'!$B$2:$B$200,MATCH(A4785,'Teacher Lookup'!$A$2:$A$200,0)),"")</f>
        <v>CHENG Jenny</v>
      </c>
    </row>
    <row r="4786" customFormat="false" ht="15" hidden="false" customHeight="false" outlineLevel="0" collapsed="false">
      <c r="A4786" s="3" t="s">
        <v>430</v>
      </c>
      <c r="B4786" s="4" t="s">
        <v>31</v>
      </c>
      <c r="C4786" s="4" t="n">
        <v>5</v>
      </c>
      <c r="D4786" s="4" t="s">
        <v>22</v>
      </c>
      <c r="E4786" s="3" t="s">
        <v>35</v>
      </c>
      <c r="F4786" s="4" t="str">
        <f aca="false">IF(I4786&gt;J4786,"Y","N")</f>
        <v>Y</v>
      </c>
      <c r="G4786" s="3" t="s">
        <v>36</v>
      </c>
      <c r="H4786" s="3" t="s">
        <v>37</v>
      </c>
      <c r="I4786" s="4" t="n">
        <v>17</v>
      </c>
      <c r="J4786" s="4" t="n">
        <f aca="false">LEN(E4786)-LEN(SUBSTITUTE(E4786,",",""))+1</f>
        <v>7</v>
      </c>
      <c r="K4786" s="3" t="str">
        <f aca="false">IFERROR(INDEX('Teacher Lookup'!$B$2:$B$200,MATCH(A4786,'Teacher Lookup'!$A$2:$A$200,0)),"")</f>
        <v>CHENG Jenny</v>
      </c>
    </row>
    <row r="4787" customFormat="false" ht="15" hidden="false" customHeight="false" outlineLevel="0" collapsed="false">
      <c r="A4787" s="3" t="s">
        <v>430</v>
      </c>
      <c r="B4787" s="4" t="s">
        <v>31</v>
      </c>
      <c r="C4787" s="4" t="n">
        <v>5</v>
      </c>
      <c r="D4787" s="4" t="s">
        <v>23</v>
      </c>
      <c r="E4787" s="3" t="s">
        <v>35</v>
      </c>
      <c r="F4787" s="4" t="str">
        <f aca="false">IF(I4787&gt;J4787,"Y","N")</f>
        <v>Y</v>
      </c>
      <c r="G4787" s="3" t="s">
        <v>36</v>
      </c>
      <c r="H4787" s="3" t="s">
        <v>37</v>
      </c>
      <c r="I4787" s="4" t="n">
        <v>17</v>
      </c>
      <c r="J4787" s="4" t="n">
        <f aca="false">LEN(E4787)-LEN(SUBSTITUTE(E4787,",",""))+1</f>
        <v>7</v>
      </c>
      <c r="K4787" s="3" t="str">
        <f aca="false">IFERROR(INDEX('Teacher Lookup'!$B$2:$B$200,MATCH(A4787,'Teacher Lookup'!$A$2:$A$200,0)),"")</f>
        <v>CHENG Jenny</v>
      </c>
    </row>
    <row r="4788" customFormat="false" ht="15" hidden="false" customHeight="false" outlineLevel="0" collapsed="false">
      <c r="A4788" s="3" t="s">
        <v>430</v>
      </c>
      <c r="B4788" s="4" t="s">
        <v>31</v>
      </c>
      <c r="C4788" s="4" t="n">
        <v>5</v>
      </c>
      <c r="D4788" s="4" t="s">
        <v>13</v>
      </c>
      <c r="E4788" s="3" t="s">
        <v>35</v>
      </c>
      <c r="F4788" s="4" t="str">
        <f aca="false">IF(I4788&gt;J4788,"Y","N")</f>
        <v>Y</v>
      </c>
      <c r="G4788" s="3" t="s">
        <v>36</v>
      </c>
      <c r="H4788" s="3" t="s">
        <v>37</v>
      </c>
      <c r="I4788" s="4" t="n">
        <v>17</v>
      </c>
      <c r="J4788" s="4" t="n">
        <f aca="false">LEN(E4788)-LEN(SUBSTITUTE(E4788,",",""))+1</f>
        <v>7</v>
      </c>
      <c r="K4788" s="3" t="str">
        <f aca="false">IFERROR(INDEX('Teacher Lookup'!$B$2:$B$200,MATCH(A4788,'Teacher Lookup'!$A$2:$A$200,0)),"")</f>
        <v>CHENG Jenny</v>
      </c>
    </row>
    <row r="4789" customFormat="false" ht="15" hidden="false" customHeight="false" outlineLevel="0" collapsed="false">
      <c r="A4789" s="3" t="s">
        <v>430</v>
      </c>
      <c r="B4789" s="4" t="s">
        <v>31</v>
      </c>
      <c r="C4789" s="4" t="n">
        <v>5</v>
      </c>
      <c r="D4789" s="4" t="s">
        <v>17</v>
      </c>
      <c r="E4789" s="3" t="s">
        <v>35</v>
      </c>
      <c r="F4789" s="4" t="str">
        <f aca="false">IF(I4789&gt;J4789,"Y","N")</f>
        <v>Y</v>
      </c>
      <c r="G4789" s="3" t="s">
        <v>36</v>
      </c>
      <c r="H4789" s="3" t="s">
        <v>37</v>
      </c>
      <c r="I4789" s="4" t="n">
        <v>17</v>
      </c>
      <c r="J4789" s="4" t="n">
        <f aca="false">LEN(E4789)-LEN(SUBSTITUTE(E4789,",",""))+1</f>
        <v>7</v>
      </c>
      <c r="K4789" s="3" t="str">
        <f aca="false">IFERROR(INDEX('Teacher Lookup'!$B$2:$B$200,MATCH(A4789,'Teacher Lookup'!$A$2:$A$200,0)),"")</f>
        <v>CHENG Jenny</v>
      </c>
    </row>
    <row r="4790" customFormat="false" ht="15" hidden="false" customHeight="false" outlineLevel="0" collapsed="false">
      <c r="A4790" s="3" t="s">
        <v>430</v>
      </c>
      <c r="B4790" s="4" t="s">
        <v>31</v>
      </c>
      <c r="C4790" s="4" t="n">
        <v>5</v>
      </c>
      <c r="D4790" s="4" t="s">
        <v>18</v>
      </c>
      <c r="E4790" s="3" t="s">
        <v>35</v>
      </c>
      <c r="F4790" s="4" t="str">
        <f aca="false">IF(I4790&gt;J4790,"Y","N")</f>
        <v>Y</v>
      </c>
      <c r="G4790" s="3" t="s">
        <v>36</v>
      </c>
      <c r="H4790" s="3" t="s">
        <v>37</v>
      </c>
      <c r="I4790" s="4" t="n">
        <v>17</v>
      </c>
      <c r="J4790" s="4" t="n">
        <f aca="false">LEN(E4790)-LEN(SUBSTITUTE(E4790,",",""))+1</f>
        <v>7</v>
      </c>
      <c r="K4790" s="3" t="str">
        <f aca="false">IFERROR(INDEX('Teacher Lookup'!$B$2:$B$200,MATCH(A4790,'Teacher Lookup'!$A$2:$A$200,0)),"")</f>
        <v>CHENG Jenny</v>
      </c>
    </row>
    <row r="4791" customFormat="false" ht="15" hidden="false" customHeight="false" outlineLevel="0" collapsed="false">
      <c r="A4791" s="3" t="s">
        <v>430</v>
      </c>
      <c r="B4791" s="4" t="s">
        <v>40</v>
      </c>
      <c r="C4791" s="4" t="n">
        <v>4</v>
      </c>
      <c r="D4791" s="4" t="s">
        <v>19</v>
      </c>
      <c r="E4791" s="3" t="s">
        <v>431</v>
      </c>
      <c r="F4791" s="4" t="str">
        <f aca="false">IF(I4791&gt;J4791,"Y","N")</f>
        <v>N</v>
      </c>
      <c r="G4791" s="3" t="s">
        <v>432</v>
      </c>
      <c r="H4791" s="3" t="s">
        <v>34</v>
      </c>
      <c r="I4791" s="4" t="n">
        <v>1</v>
      </c>
      <c r="J4791" s="4" t="n">
        <f aca="false">LEN(E4791)-LEN(SUBSTITUTE(E4791,",",""))+1</f>
        <v>1</v>
      </c>
      <c r="K4791" s="3" t="str">
        <f aca="false">IFERROR(INDEX('Teacher Lookup'!$B$2:$B$200,MATCH(A4791,'Teacher Lookup'!$A$2:$A$200,0)),"")</f>
        <v>CHENG Jenny</v>
      </c>
    </row>
    <row r="4792" customFormat="false" ht="15" hidden="false" customHeight="false" outlineLevel="0" collapsed="false">
      <c r="A4792" s="3" t="s">
        <v>430</v>
      </c>
      <c r="B4792" s="4" t="s">
        <v>40</v>
      </c>
      <c r="C4792" s="4" t="n">
        <v>5</v>
      </c>
      <c r="D4792" s="4" t="s">
        <v>19</v>
      </c>
      <c r="E4792" s="3" t="s">
        <v>431</v>
      </c>
      <c r="F4792" s="4" t="str">
        <f aca="false">IF(I4792&gt;J4792,"Y","N")</f>
        <v>N</v>
      </c>
      <c r="G4792" s="3" t="s">
        <v>432</v>
      </c>
      <c r="H4792" s="3" t="s">
        <v>37</v>
      </c>
      <c r="I4792" s="4" t="n">
        <v>1</v>
      </c>
      <c r="J4792" s="4" t="n">
        <f aca="false">LEN(E4792)-LEN(SUBSTITUTE(E4792,",",""))+1</f>
        <v>1</v>
      </c>
      <c r="K4792" s="3" t="str">
        <f aca="false">IFERROR(INDEX('Teacher Lookup'!$B$2:$B$200,MATCH(A4792,'Teacher Lookup'!$A$2:$A$200,0)),"")</f>
        <v>CHENG Jenny</v>
      </c>
    </row>
    <row r="4793" customFormat="false" ht="15" hidden="false" customHeight="false" outlineLevel="0" collapsed="false">
      <c r="A4793" s="3" t="s">
        <v>430</v>
      </c>
      <c r="B4793" s="4" t="s">
        <v>40</v>
      </c>
      <c r="C4793" s="4" t="n">
        <v>6</v>
      </c>
      <c r="D4793" s="4" t="s">
        <v>137</v>
      </c>
      <c r="E4793" s="3" t="s">
        <v>431</v>
      </c>
      <c r="F4793" s="4" t="str">
        <f aca="false">IF(I4793&gt;J4793,"Y","N")</f>
        <v>N</v>
      </c>
      <c r="G4793" s="3" t="s">
        <v>432</v>
      </c>
      <c r="H4793" s="3" t="s">
        <v>42</v>
      </c>
      <c r="I4793" s="4" t="n">
        <v>1</v>
      </c>
      <c r="J4793" s="4" t="n">
        <f aca="false">LEN(E4793)-LEN(SUBSTITUTE(E4793,",",""))+1</f>
        <v>1</v>
      </c>
      <c r="K4793" s="3" t="str">
        <f aca="false">IFERROR(INDEX('Teacher Lookup'!$B$2:$B$200,MATCH(A4793,'Teacher Lookup'!$A$2:$A$200,0)),"")</f>
        <v>CHENG Jenny</v>
      </c>
    </row>
    <row r="4794" customFormat="false" ht="15" hidden="false" customHeight="false" outlineLevel="0" collapsed="false">
      <c r="A4794" s="3" t="s">
        <v>430</v>
      </c>
      <c r="B4794" s="4" t="s">
        <v>40</v>
      </c>
      <c r="C4794" s="4" t="n">
        <v>7</v>
      </c>
      <c r="D4794" s="4" t="s">
        <v>137</v>
      </c>
      <c r="E4794" s="3" t="s">
        <v>431</v>
      </c>
      <c r="F4794" s="4" t="str">
        <f aca="false">IF(I4794&gt;J4794,"Y","N")</f>
        <v>N</v>
      </c>
      <c r="G4794" s="3" t="s">
        <v>432</v>
      </c>
      <c r="H4794" s="3" t="s">
        <v>39</v>
      </c>
      <c r="I4794" s="4" t="n">
        <v>1</v>
      </c>
      <c r="J4794" s="4" t="n">
        <f aca="false">LEN(E4794)-LEN(SUBSTITUTE(E4794,",",""))+1</f>
        <v>1</v>
      </c>
      <c r="K4794" s="3" t="str">
        <f aca="false">IFERROR(INDEX('Teacher Lookup'!$B$2:$B$200,MATCH(A4794,'Teacher Lookup'!$A$2:$A$200,0)),"")</f>
        <v>CHENG Jenny</v>
      </c>
    </row>
    <row r="4795" customFormat="false" ht="15" hidden="false" customHeight="false" outlineLevel="0" collapsed="false">
      <c r="A4795" s="3" t="s">
        <v>430</v>
      </c>
      <c r="B4795" s="4" t="s">
        <v>44</v>
      </c>
      <c r="C4795" s="4" t="n">
        <v>1</v>
      </c>
      <c r="D4795" s="4" t="s">
        <v>18</v>
      </c>
      <c r="E4795" s="3" t="s">
        <v>431</v>
      </c>
      <c r="F4795" s="4" t="str">
        <f aca="false">IF(I4795&gt;J4795,"Y","N")</f>
        <v>N</v>
      </c>
      <c r="G4795" s="3" t="s">
        <v>432</v>
      </c>
      <c r="H4795" s="3" t="s">
        <v>16</v>
      </c>
      <c r="I4795" s="4" t="n">
        <v>1</v>
      </c>
      <c r="J4795" s="4" t="n">
        <f aca="false">LEN(E4795)-LEN(SUBSTITUTE(E4795,",",""))+1</f>
        <v>1</v>
      </c>
      <c r="K4795" s="3" t="str">
        <f aca="false">IFERROR(INDEX('Teacher Lookup'!$B$2:$B$200,MATCH(A4795,'Teacher Lookup'!$A$2:$A$200,0)),"")</f>
        <v>CHENG Jenny</v>
      </c>
    </row>
    <row r="4796" customFormat="false" ht="15" hidden="false" customHeight="false" outlineLevel="0" collapsed="false">
      <c r="A4796" s="3" t="s">
        <v>430</v>
      </c>
      <c r="B4796" s="4" t="s">
        <v>44</v>
      </c>
      <c r="C4796" s="4" t="n">
        <v>2</v>
      </c>
      <c r="D4796" s="4" t="s">
        <v>18</v>
      </c>
      <c r="E4796" s="3" t="s">
        <v>431</v>
      </c>
      <c r="F4796" s="4" t="str">
        <f aca="false">IF(I4796&gt;J4796,"Y","N")</f>
        <v>N</v>
      </c>
      <c r="G4796" s="3" t="s">
        <v>432</v>
      </c>
      <c r="H4796" s="3" t="s">
        <v>21</v>
      </c>
      <c r="I4796" s="4" t="n">
        <v>1</v>
      </c>
      <c r="J4796" s="4" t="n">
        <f aca="false">LEN(E4796)-LEN(SUBSTITUTE(E4796,",",""))+1</f>
        <v>1</v>
      </c>
      <c r="K4796" s="3" t="str">
        <f aca="false">IFERROR(INDEX('Teacher Lookup'!$B$2:$B$200,MATCH(A4796,'Teacher Lookup'!$A$2:$A$200,0)),"")</f>
        <v>CHENG Jenny</v>
      </c>
    </row>
    <row r="4797" customFormat="false" ht="15" hidden="false" customHeight="false" outlineLevel="0" collapsed="false">
      <c r="A4797" s="3" t="s">
        <v>430</v>
      </c>
      <c r="B4797" s="4" t="s">
        <v>44</v>
      </c>
      <c r="C4797" s="4" t="n">
        <v>5</v>
      </c>
      <c r="D4797" s="4" t="s">
        <v>19</v>
      </c>
      <c r="E4797" s="3" t="s">
        <v>35</v>
      </c>
      <c r="F4797" s="4" t="str">
        <f aca="false">IF(I4797&gt;J4797,"Y","N")</f>
        <v>Y</v>
      </c>
      <c r="G4797" s="3" t="s">
        <v>36</v>
      </c>
      <c r="H4797" s="3" t="s">
        <v>37</v>
      </c>
      <c r="I4797" s="4" t="n">
        <v>17</v>
      </c>
      <c r="J4797" s="4" t="n">
        <f aca="false">LEN(E4797)-LEN(SUBSTITUTE(E4797,",",""))+1</f>
        <v>7</v>
      </c>
      <c r="K4797" s="3" t="str">
        <f aca="false">IFERROR(INDEX('Teacher Lookup'!$B$2:$B$200,MATCH(A4797,'Teacher Lookup'!$A$2:$A$200,0)),"")</f>
        <v>CHENG Jenny</v>
      </c>
    </row>
    <row r="4798" customFormat="false" ht="15" hidden="false" customHeight="false" outlineLevel="0" collapsed="false">
      <c r="A4798" s="3" t="s">
        <v>430</v>
      </c>
      <c r="B4798" s="4" t="s">
        <v>44</v>
      </c>
      <c r="C4798" s="4" t="n">
        <v>5</v>
      </c>
      <c r="D4798" s="4" t="s">
        <v>22</v>
      </c>
      <c r="E4798" s="3" t="s">
        <v>35</v>
      </c>
      <c r="F4798" s="4" t="str">
        <f aca="false">IF(I4798&gt;J4798,"Y","N")</f>
        <v>Y</v>
      </c>
      <c r="G4798" s="3" t="s">
        <v>36</v>
      </c>
      <c r="H4798" s="3" t="s">
        <v>37</v>
      </c>
      <c r="I4798" s="4" t="n">
        <v>17</v>
      </c>
      <c r="J4798" s="4" t="n">
        <f aca="false">LEN(E4798)-LEN(SUBSTITUTE(E4798,",",""))+1</f>
        <v>7</v>
      </c>
      <c r="K4798" s="3" t="str">
        <f aca="false">IFERROR(INDEX('Teacher Lookup'!$B$2:$B$200,MATCH(A4798,'Teacher Lookup'!$A$2:$A$200,0)),"")</f>
        <v>CHENG Jenny</v>
      </c>
    </row>
    <row r="4799" customFormat="false" ht="15" hidden="false" customHeight="false" outlineLevel="0" collapsed="false">
      <c r="A4799" s="3" t="s">
        <v>430</v>
      </c>
      <c r="B4799" s="4" t="s">
        <v>44</v>
      </c>
      <c r="C4799" s="4" t="n">
        <v>5</v>
      </c>
      <c r="D4799" s="4" t="s">
        <v>23</v>
      </c>
      <c r="E4799" s="3" t="s">
        <v>35</v>
      </c>
      <c r="F4799" s="4" t="str">
        <f aca="false">IF(I4799&gt;J4799,"Y","N")</f>
        <v>Y</v>
      </c>
      <c r="G4799" s="3" t="s">
        <v>36</v>
      </c>
      <c r="H4799" s="3" t="s">
        <v>37</v>
      </c>
      <c r="I4799" s="4" t="n">
        <v>17</v>
      </c>
      <c r="J4799" s="4" t="n">
        <f aca="false">LEN(E4799)-LEN(SUBSTITUTE(E4799,",",""))+1</f>
        <v>7</v>
      </c>
      <c r="K4799" s="3" t="str">
        <f aca="false">IFERROR(INDEX('Teacher Lookup'!$B$2:$B$200,MATCH(A4799,'Teacher Lookup'!$A$2:$A$200,0)),"")</f>
        <v>CHENG Jenny</v>
      </c>
    </row>
    <row r="4800" customFormat="false" ht="15" hidden="false" customHeight="false" outlineLevel="0" collapsed="false">
      <c r="A4800" s="3" t="s">
        <v>430</v>
      </c>
      <c r="B4800" s="4" t="s">
        <v>44</v>
      </c>
      <c r="C4800" s="4" t="n">
        <v>5</v>
      </c>
      <c r="D4800" s="4" t="s">
        <v>13</v>
      </c>
      <c r="E4800" s="3" t="s">
        <v>35</v>
      </c>
      <c r="F4800" s="4" t="str">
        <f aca="false">IF(I4800&gt;J4800,"Y","N")</f>
        <v>Y</v>
      </c>
      <c r="G4800" s="3" t="s">
        <v>36</v>
      </c>
      <c r="H4800" s="3" t="s">
        <v>37</v>
      </c>
      <c r="I4800" s="4" t="n">
        <v>17</v>
      </c>
      <c r="J4800" s="4" t="n">
        <f aca="false">LEN(E4800)-LEN(SUBSTITUTE(E4800,",",""))+1</f>
        <v>7</v>
      </c>
      <c r="K4800" s="3" t="str">
        <f aca="false">IFERROR(INDEX('Teacher Lookup'!$B$2:$B$200,MATCH(A4800,'Teacher Lookup'!$A$2:$A$200,0)),"")</f>
        <v>CHENG Jenny</v>
      </c>
    </row>
    <row r="4801" customFormat="false" ht="15" hidden="false" customHeight="false" outlineLevel="0" collapsed="false">
      <c r="A4801" s="3" t="s">
        <v>430</v>
      </c>
      <c r="B4801" s="4" t="s">
        <v>44</v>
      </c>
      <c r="C4801" s="4" t="n">
        <v>5</v>
      </c>
      <c r="D4801" s="4" t="s">
        <v>17</v>
      </c>
      <c r="E4801" s="3" t="s">
        <v>35</v>
      </c>
      <c r="F4801" s="4" t="str">
        <f aca="false">IF(I4801&gt;J4801,"Y","N")</f>
        <v>Y</v>
      </c>
      <c r="G4801" s="3" t="s">
        <v>36</v>
      </c>
      <c r="H4801" s="3" t="s">
        <v>37</v>
      </c>
      <c r="I4801" s="4" t="n">
        <v>17</v>
      </c>
      <c r="J4801" s="4" t="n">
        <f aca="false">LEN(E4801)-LEN(SUBSTITUTE(E4801,",",""))+1</f>
        <v>7</v>
      </c>
      <c r="K4801" s="3" t="str">
        <f aca="false">IFERROR(INDEX('Teacher Lookup'!$B$2:$B$200,MATCH(A4801,'Teacher Lookup'!$A$2:$A$200,0)),"")</f>
        <v>CHENG Jenny</v>
      </c>
    </row>
    <row r="4802" customFormat="false" ht="15" hidden="false" customHeight="false" outlineLevel="0" collapsed="false">
      <c r="A4802" s="3" t="s">
        <v>430</v>
      </c>
      <c r="B4802" s="4" t="s">
        <v>44</v>
      </c>
      <c r="C4802" s="4" t="n">
        <v>5</v>
      </c>
      <c r="D4802" s="4" t="s">
        <v>18</v>
      </c>
      <c r="E4802" s="3" t="s">
        <v>35</v>
      </c>
      <c r="F4802" s="4" t="str">
        <f aca="false">IF(I4802&gt;J4802,"Y","N")</f>
        <v>Y</v>
      </c>
      <c r="G4802" s="3" t="s">
        <v>36</v>
      </c>
      <c r="H4802" s="3" t="s">
        <v>37</v>
      </c>
      <c r="I4802" s="4" t="n">
        <v>17</v>
      </c>
      <c r="J4802" s="4" t="n">
        <f aca="false">LEN(E4802)-LEN(SUBSTITUTE(E4802,",",""))+1</f>
        <v>7</v>
      </c>
      <c r="K4802" s="3" t="str">
        <f aca="false">IFERROR(INDEX('Teacher Lookup'!$B$2:$B$200,MATCH(A4802,'Teacher Lookup'!$A$2:$A$200,0)),"")</f>
        <v>CHENG Jenny</v>
      </c>
    </row>
    <row r="4803" customFormat="false" ht="15" hidden="false" customHeight="false" outlineLevel="0" collapsed="false">
      <c r="A4803" s="3" t="s">
        <v>430</v>
      </c>
      <c r="B4803" s="4" t="s">
        <v>47</v>
      </c>
      <c r="C4803" s="4" t="n">
        <v>1</v>
      </c>
      <c r="D4803" s="4" t="s">
        <v>13</v>
      </c>
      <c r="E4803" s="3" t="s">
        <v>431</v>
      </c>
      <c r="F4803" s="4" t="str">
        <f aca="false">IF(I4803&gt;J4803,"Y","N")</f>
        <v>N</v>
      </c>
      <c r="G4803" s="3" t="s">
        <v>432</v>
      </c>
      <c r="H4803" s="3" t="s">
        <v>16</v>
      </c>
      <c r="I4803" s="4" t="n">
        <v>1</v>
      </c>
      <c r="J4803" s="4" t="n">
        <f aca="false">LEN(E4803)-LEN(SUBSTITUTE(E4803,",",""))+1</f>
        <v>1</v>
      </c>
      <c r="K4803" s="3" t="str">
        <f aca="false">IFERROR(INDEX('Teacher Lookup'!$B$2:$B$200,MATCH(A4803,'Teacher Lookup'!$A$2:$A$200,0)),"")</f>
        <v>CHENG Jenny</v>
      </c>
    </row>
    <row r="4804" customFormat="false" ht="15" hidden="false" customHeight="false" outlineLevel="0" collapsed="false">
      <c r="A4804" s="3" t="s">
        <v>430</v>
      </c>
      <c r="B4804" s="4" t="s">
        <v>47</v>
      </c>
      <c r="C4804" s="4" t="n">
        <v>2</v>
      </c>
      <c r="D4804" s="4" t="s">
        <v>13</v>
      </c>
      <c r="E4804" s="3" t="s">
        <v>431</v>
      </c>
      <c r="F4804" s="4" t="str">
        <f aca="false">IF(I4804&gt;J4804,"Y","N")</f>
        <v>N</v>
      </c>
      <c r="G4804" s="3" t="s">
        <v>432</v>
      </c>
      <c r="H4804" s="3" t="s">
        <v>21</v>
      </c>
      <c r="I4804" s="4" t="n">
        <v>1</v>
      </c>
      <c r="J4804" s="4" t="n">
        <f aca="false">LEN(E4804)-LEN(SUBSTITUTE(E4804,",",""))+1</f>
        <v>1</v>
      </c>
      <c r="K4804" s="3" t="str">
        <f aca="false">IFERROR(INDEX('Teacher Lookup'!$B$2:$B$200,MATCH(A4804,'Teacher Lookup'!$A$2:$A$200,0)),"")</f>
        <v>CHENG Jenny</v>
      </c>
    </row>
    <row r="4805" customFormat="false" ht="15" hidden="false" customHeight="false" outlineLevel="0" collapsed="false">
      <c r="A4805" s="3" t="s">
        <v>430</v>
      </c>
      <c r="B4805" s="4" t="s">
        <v>50</v>
      </c>
      <c r="C4805" s="4" t="n">
        <v>1</v>
      </c>
      <c r="D4805" s="4" t="s">
        <v>18</v>
      </c>
      <c r="E4805" s="3" t="s">
        <v>431</v>
      </c>
      <c r="F4805" s="4" t="str">
        <f aca="false">IF(I4805&gt;J4805,"Y","N")</f>
        <v>N</v>
      </c>
      <c r="G4805" s="3" t="s">
        <v>432</v>
      </c>
      <c r="H4805" s="3" t="s">
        <v>16</v>
      </c>
      <c r="I4805" s="4" t="n">
        <v>1</v>
      </c>
      <c r="J4805" s="4" t="n">
        <f aca="false">LEN(E4805)-LEN(SUBSTITUTE(E4805,",",""))+1</f>
        <v>1</v>
      </c>
      <c r="K4805" s="3" t="str">
        <f aca="false">IFERROR(INDEX('Teacher Lookup'!$B$2:$B$200,MATCH(A4805,'Teacher Lookup'!$A$2:$A$200,0)),"")</f>
        <v>CHENG Jenny</v>
      </c>
    </row>
    <row r="4806" customFormat="false" ht="15" hidden="false" customHeight="false" outlineLevel="0" collapsed="false">
      <c r="A4806" s="3" t="s">
        <v>430</v>
      </c>
      <c r="B4806" s="4" t="s">
        <v>50</v>
      </c>
      <c r="C4806" s="4" t="n">
        <v>2</v>
      </c>
      <c r="D4806" s="4" t="s">
        <v>18</v>
      </c>
      <c r="E4806" s="3" t="s">
        <v>431</v>
      </c>
      <c r="F4806" s="4" t="str">
        <f aca="false">IF(I4806&gt;J4806,"Y","N")</f>
        <v>N</v>
      </c>
      <c r="G4806" s="3" t="s">
        <v>432</v>
      </c>
      <c r="H4806" s="3" t="s">
        <v>21</v>
      </c>
      <c r="I4806" s="4" t="n">
        <v>1</v>
      </c>
      <c r="J4806" s="4" t="n">
        <f aca="false">LEN(E4806)-LEN(SUBSTITUTE(E4806,",",""))+1</f>
        <v>1</v>
      </c>
      <c r="K4806" s="3" t="str">
        <f aca="false">IFERROR(INDEX('Teacher Lookup'!$B$2:$B$200,MATCH(A4806,'Teacher Lookup'!$A$2:$A$200,0)),"")</f>
        <v>CHENG Jenny</v>
      </c>
    </row>
    <row r="4807" customFormat="false" ht="15" hidden="false" customHeight="false" outlineLevel="0" collapsed="false">
      <c r="A4807" s="3" t="s">
        <v>430</v>
      </c>
      <c r="B4807" s="4" t="s">
        <v>50</v>
      </c>
      <c r="C4807" s="4" t="n">
        <v>6</v>
      </c>
      <c r="D4807" s="4" t="s">
        <v>52</v>
      </c>
      <c r="E4807" s="3" t="s">
        <v>53</v>
      </c>
      <c r="F4807" s="4" t="str">
        <f aca="false">IF(I4807&gt;J4807,"Y","N")</f>
        <v>N</v>
      </c>
      <c r="G4807" s="3" t="s">
        <v>54</v>
      </c>
      <c r="H4807" s="3" t="s">
        <v>42</v>
      </c>
      <c r="I4807" s="4" t="n">
        <v>7</v>
      </c>
      <c r="J4807" s="4" t="n">
        <f aca="false">LEN(E4807)-LEN(SUBSTITUTE(E4807,",",""))+1</f>
        <v>7</v>
      </c>
      <c r="K4807" s="3" t="str">
        <f aca="false">IFERROR(INDEX('Teacher Lookup'!$B$2:$B$200,MATCH(A4807,'Teacher Lookup'!$A$2:$A$200,0)),"")</f>
        <v>CHENG Jenny</v>
      </c>
    </row>
    <row r="4808" customFormat="false" ht="15" hidden="false" customHeight="false" outlineLevel="0" collapsed="false">
      <c r="A4808" s="3" t="s">
        <v>430</v>
      </c>
      <c r="B4808" s="4" t="s">
        <v>50</v>
      </c>
      <c r="C4808" s="4" t="n">
        <v>6</v>
      </c>
      <c r="D4808" s="4" t="s">
        <v>55</v>
      </c>
      <c r="E4808" s="3" t="s">
        <v>53</v>
      </c>
      <c r="F4808" s="4" t="str">
        <f aca="false">IF(I4808&gt;J4808,"Y","N")</f>
        <v>N</v>
      </c>
      <c r="G4808" s="3" t="s">
        <v>54</v>
      </c>
      <c r="H4808" s="3" t="s">
        <v>42</v>
      </c>
      <c r="I4808" s="4" t="n">
        <v>7</v>
      </c>
      <c r="J4808" s="4" t="n">
        <f aca="false">LEN(E4808)-LEN(SUBSTITUTE(E4808,",",""))+1</f>
        <v>7</v>
      </c>
      <c r="K4808" s="3" t="str">
        <f aca="false">IFERROR(INDEX('Teacher Lookup'!$B$2:$B$200,MATCH(A4808,'Teacher Lookup'!$A$2:$A$200,0)),"")</f>
        <v>CHENG Jenny</v>
      </c>
    </row>
    <row r="4809" customFormat="false" ht="15" hidden="false" customHeight="false" outlineLevel="0" collapsed="false">
      <c r="A4809" s="3" t="s">
        <v>430</v>
      </c>
      <c r="B4809" s="4" t="s">
        <v>50</v>
      </c>
      <c r="C4809" s="4" t="n">
        <v>6</v>
      </c>
      <c r="D4809" s="4" t="s">
        <v>56</v>
      </c>
      <c r="E4809" s="3" t="s">
        <v>53</v>
      </c>
      <c r="F4809" s="4" t="str">
        <f aca="false">IF(I4809&gt;J4809,"Y","N")</f>
        <v>N</v>
      </c>
      <c r="G4809" s="3" t="s">
        <v>54</v>
      </c>
      <c r="H4809" s="3" t="s">
        <v>42</v>
      </c>
      <c r="I4809" s="4" t="n">
        <v>7</v>
      </c>
      <c r="J4809" s="4" t="n">
        <f aca="false">LEN(E4809)-LEN(SUBSTITUTE(E4809,",",""))+1</f>
        <v>7</v>
      </c>
      <c r="K4809" s="3" t="str">
        <f aca="false">IFERROR(INDEX('Teacher Lookup'!$B$2:$B$200,MATCH(A4809,'Teacher Lookup'!$A$2:$A$200,0)),"")</f>
        <v>CHENG Jenny</v>
      </c>
    </row>
    <row r="4810" customFormat="false" ht="15" hidden="false" customHeight="false" outlineLevel="0" collapsed="false">
      <c r="A4810" s="3" t="s">
        <v>430</v>
      </c>
      <c r="B4810" s="4" t="s">
        <v>50</v>
      </c>
      <c r="C4810" s="4" t="n">
        <v>6</v>
      </c>
      <c r="D4810" s="4" t="s">
        <v>57</v>
      </c>
      <c r="E4810" s="3" t="s">
        <v>53</v>
      </c>
      <c r="F4810" s="4" t="str">
        <f aca="false">IF(I4810&gt;J4810,"Y","N")</f>
        <v>N</v>
      </c>
      <c r="G4810" s="3" t="s">
        <v>54</v>
      </c>
      <c r="H4810" s="3" t="s">
        <v>42</v>
      </c>
      <c r="I4810" s="4" t="n">
        <v>7</v>
      </c>
      <c r="J4810" s="4" t="n">
        <f aca="false">LEN(E4810)-LEN(SUBSTITUTE(E4810,",",""))+1</f>
        <v>7</v>
      </c>
      <c r="K4810" s="3" t="str">
        <f aca="false">IFERROR(INDEX('Teacher Lookup'!$B$2:$B$200,MATCH(A4810,'Teacher Lookup'!$A$2:$A$200,0)),"")</f>
        <v>CHENG Jenny</v>
      </c>
    </row>
    <row r="4811" customFormat="false" ht="15" hidden="false" customHeight="false" outlineLevel="0" collapsed="false">
      <c r="A4811" s="3" t="s">
        <v>430</v>
      </c>
      <c r="B4811" s="4" t="s">
        <v>50</v>
      </c>
      <c r="C4811" s="4" t="n">
        <v>6</v>
      </c>
      <c r="D4811" s="4" t="s">
        <v>58</v>
      </c>
      <c r="E4811" s="3" t="s">
        <v>53</v>
      </c>
      <c r="F4811" s="4" t="str">
        <f aca="false">IF(I4811&gt;J4811,"Y","N")</f>
        <v>N</v>
      </c>
      <c r="G4811" s="3" t="s">
        <v>54</v>
      </c>
      <c r="H4811" s="3" t="s">
        <v>42</v>
      </c>
      <c r="I4811" s="4" t="n">
        <v>7</v>
      </c>
      <c r="J4811" s="4" t="n">
        <f aca="false">LEN(E4811)-LEN(SUBSTITUTE(E4811,",",""))+1</f>
        <v>7</v>
      </c>
      <c r="K4811" s="3" t="str">
        <f aca="false">IFERROR(INDEX('Teacher Lookup'!$B$2:$B$200,MATCH(A4811,'Teacher Lookup'!$A$2:$A$200,0)),"")</f>
        <v>CHENG Jenny</v>
      </c>
    </row>
    <row r="4812" customFormat="false" ht="15" hidden="false" customHeight="false" outlineLevel="0" collapsed="false">
      <c r="A4812" s="3" t="s">
        <v>430</v>
      </c>
      <c r="B4812" s="4" t="s">
        <v>50</v>
      </c>
      <c r="C4812" s="4" t="n">
        <v>6</v>
      </c>
      <c r="D4812" s="4" t="s">
        <v>59</v>
      </c>
      <c r="E4812" s="3" t="s">
        <v>53</v>
      </c>
      <c r="F4812" s="4" t="str">
        <f aca="false">IF(I4812&gt;J4812,"Y","N")</f>
        <v>N</v>
      </c>
      <c r="G4812" s="3" t="s">
        <v>54</v>
      </c>
      <c r="H4812" s="3" t="s">
        <v>42</v>
      </c>
      <c r="I4812" s="4" t="n">
        <v>7</v>
      </c>
      <c r="J4812" s="4" t="n">
        <f aca="false">LEN(E4812)-LEN(SUBSTITUTE(E4812,",",""))+1</f>
        <v>7</v>
      </c>
      <c r="K4812" s="3" t="str">
        <f aca="false">IFERROR(INDEX('Teacher Lookup'!$B$2:$B$200,MATCH(A4812,'Teacher Lookup'!$A$2:$A$200,0)),"")</f>
        <v>CHENG Jenny</v>
      </c>
    </row>
    <row r="4813" customFormat="false" ht="15" hidden="false" customHeight="false" outlineLevel="0" collapsed="false">
      <c r="A4813" s="3" t="s">
        <v>430</v>
      </c>
      <c r="B4813" s="4" t="s">
        <v>50</v>
      </c>
      <c r="C4813" s="4" t="n">
        <v>7</v>
      </c>
      <c r="D4813" s="4" t="s">
        <v>52</v>
      </c>
      <c r="E4813" s="3" t="s">
        <v>53</v>
      </c>
      <c r="F4813" s="4" t="str">
        <f aca="false">IF(I4813&gt;J4813,"Y","N")</f>
        <v>N</v>
      </c>
      <c r="G4813" s="3" t="s">
        <v>54</v>
      </c>
      <c r="H4813" s="3" t="s">
        <v>39</v>
      </c>
      <c r="I4813" s="4" t="n">
        <v>7</v>
      </c>
      <c r="J4813" s="4" t="n">
        <f aca="false">LEN(E4813)-LEN(SUBSTITUTE(E4813,",",""))+1</f>
        <v>7</v>
      </c>
      <c r="K4813" s="3" t="str">
        <f aca="false">IFERROR(INDEX('Teacher Lookup'!$B$2:$B$200,MATCH(A4813,'Teacher Lookup'!$A$2:$A$200,0)),"")</f>
        <v>CHENG Jenny</v>
      </c>
    </row>
    <row r="4814" customFormat="false" ht="15" hidden="false" customHeight="false" outlineLevel="0" collapsed="false">
      <c r="A4814" s="3" t="s">
        <v>430</v>
      </c>
      <c r="B4814" s="4" t="s">
        <v>50</v>
      </c>
      <c r="C4814" s="4" t="n">
        <v>7</v>
      </c>
      <c r="D4814" s="4" t="s">
        <v>55</v>
      </c>
      <c r="E4814" s="3" t="s">
        <v>53</v>
      </c>
      <c r="F4814" s="4" t="str">
        <f aca="false">IF(I4814&gt;J4814,"Y","N")</f>
        <v>N</v>
      </c>
      <c r="G4814" s="3" t="s">
        <v>54</v>
      </c>
      <c r="H4814" s="3" t="s">
        <v>39</v>
      </c>
      <c r="I4814" s="4" t="n">
        <v>7</v>
      </c>
      <c r="J4814" s="4" t="n">
        <f aca="false">LEN(E4814)-LEN(SUBSTITUTE(E4814,",",""))+1</f>
        <v>7</v>
      </c>
      <c r="K4814" s="3" t="str">
        <f aca="false">IFERROR(INDEX('Teacher Lookup'!$B$2:$B$200,MATCH(A4814,'Teacher Lookup'!$A$2:$A$200,0)),"")</f>
        <v>CHENG Jenny</v>
      </c>
    </row>
    <row r="4815" customFormat="false" ht="15" hidden="false" customHeight="false" outlineLevel="0" collapsed="false">
      <c r="A4815" s="3" t="s">
        <v>430</v>
      </c>
      <c r="B4815" s="4" t="s">
        <v>50</v>
      </c>
      <c r="C4815" s="4" t="n">
        <v>7</v>
      </c>
      <c r="D4815" s="4" t="s">
        <v>56</v>
      </c>
      <c r="E4815" s="3" t="s">
        <v>53</v>
      </c>
      <c r="F4815" s="4" t="str">
        <f aca="false">IF(I4815&gt;J4815,"Y","N")</f>
        <v>N</v>
      </c>
      <c r="G4815" s="3" t="s">
        <v>54</v>
      </c>
      <c r="H4815" s="3" t="s">
        <v>39</v>
      </c>
      <c r="I4815" s="4" t="n">
        <v>7</v>
      </c>
      <c r="J4815" s="4" t="n">
        <f aca="false">LEN(E4815)-LEN(SUBSTITUTE(E4815,",",""))+1</f>
        <v>7</v>
      </c>
      <c r="K4815" s="3" t="str">
        <f aca="false">IFERROR(INDEX('Teacher Lookup'!$B$2:$B$200,MATCH(A4815,'Teacher Lookup'!$A$2:$A$200,0)),"")</f>
        <v>CHENG Jenny</v>
      </c>
    </row>
    <row r="4816" customFormat="false" ht="15" hidden="false" customHeight="false" outlineLevel="0" collapsed="false">
      <c r="A4816" s="3" t="s">
        <v>430</v>
      </c>
      <c r="B4816" s="4" t="s">
        <v>50</v>
      </c>
      <c r="C4816" s="4" t="n">
        <v>7</v>
      </c>
      <c r="D4816" s="4" t="s">
        <v>57</v>
      </c>
      <c r="E4816" s="3" t="s">
        <v>53</v>
      </c>
      <c r="F4816" s="4" t="str">
        <f aca="false">IF(I4816&gt;J4816,"Y","N")</f>
        <v>N</v>
      </c>
      <c r="G4816" s="3" t="s">
        <v>54</v>
      </c>
      <c r="H4816" s="3" t="s">
        <v>39</v>
      </c>
      <c r="I4816" s="4" t="n">
        <v>7</v>
      </c>
      <c r="J4816" s="4" t="n">
        <f aca="false">LEN(E4816)-LEN(SUBSTITUTE(E4816,",",""))+1</f>
        <v>7</v>
      </c>
      <c r="K4816" s="3" t="str">
        <f aca="false">IFERROR(INDEX('Teacher Lookup'!$B$2:$B$200,MATCH(A4816,'Teacher Lookup'!$A$2:$A$200,0)),"")</f>
        <v>CHENG Jenny</v>
      </c>
    </row>
    <row r="4817" customFormat="false" ht="15" hidden="false" customHeight="false" outlineLevel="0" collapsed="false">
      <c r="A4817" s="3" t="s">
        <v>430</v>
      </c>
      <c r="B4817" s="4" t="s">
        <v>50</v>
      </c>
      <c r="C4817" s="4" t="n">
        <v>7</v>
      </c>
      <c r="D4817" s="4" t="s">
        <v>58</v>
      </c>
      <c r="E4817" s="3" t="s">
        <v>53</v>
      </c>
      <c r="F4817" s="4" t="str">
        <f aca="false">IF(I4817&gt;J4817,"Y","N")</f>
        <v>N</v>
      </c>
      <c r="G4817" s="3" t="s">
        <v>54</v>
      </c>
      <c r="H4817" s="3" t="s">
        <v>39</v>
      </c>
      <c r="I4817" s="4" t="n">
        <v>7</v>
      </c>
      <c r="J4817" s="4" t="n">
        <f aca="false">LEN(E4817)-LEN(SUBSTITUTE(E4817,",",""))+1</f>
        <v>7</v>
      </c>
      <c r="K4817" s="3" t="str">
        <f aca="false">IFERROR(INDEX('Teacher Lookup'!$B$2:$B$200,MATCH(A4817,'Teacher Lookup'!$A$2:$A$200,0)),"")</f>
        <v>CHENG Jenny</v>
      </c>
    </row>
    <row r="4818" customFormat="false" ht="15" hidden="false" customHeight="false" outlineLevel="0" collapsed="false">
      <c r="A4818" s="3" t="s">
        <v>430</v>
      </c>
      <c r="B4818" s="4" t="s">
        <v>50</v>
      </c>
      <c r="C4818" s="4" t="n">
        <v>7</v>
      </c>
      <c r="D4818" s="4" t="s">
        <v>59</v>
      </c>
      <c r="E4818" s="3" t="s">
        <v>53</v>
      </c>
      <c r="F4818" s="4" t="str">
        <f aca="false">IF(I4818&gt;J4818,"Y","N")</f>
        <v>N</v>
      </c>
      <c r="G4818" s="3" t="s">
        <v>54</v>
      </c>
      <c r="H4818" s="3" t="s">
        <v>39</v>
      </c>
      <c r="I4818" s="4" t="n">
        <v>7</v>
      </c>
      <c r="J4818" s="4" t="n">
        <f aca="false">LEN(E4818)-LEN(SUBSTITUTE(E4818,",",""))+1</f>
        <v>7</v>
      </c>
      <c r="K4818" s="3" t="str">
        <f aca="false">IFERROR(INDEX('Teacher Lookup'!$B$2:$B$200,MATCH(A4818,'Teacher Lookup'!$A$2:$A$200,0)),"")</f>
        <v>CHENG Jenny</v>
      </c>
    </row>
    <row r="4819" customFormat="false" ht="15" hidden="false" customHeight="false" outlineLevel="0" collapsed="false">
      <c r="A4819" s="3" t="s">
        <v>430</v>
      </c>
      <c r="B4819" s="4" t="s">
        <v>60</v>
      </c>
      <c r="C4819" s="4" t="n">
        <v>1</v>
      </c>
      <c r="D4819" s="4" t="s">
        <v>137</v>
      </c>
      <c r="E4819" s="3" t="s">
        <v>431</v>
      </c>
      <c r="F4819" s="4" t="str">
        <f aca="false">IF(I4819&gt;J4819,"Y","N")</f>
        <v>N</v>
      </c>
      <c r="G4819" s="3" t="s">
        <v>432</v>
      </c>
      <c r="H4819" s="3" t="s">
        <v>16</v>
      </c>
      <c r="I4819" s="4" t="n">
        <v>1</v>
      </c>
      <c r="J4819" s="4" t="n">
        <f aca="false">LEN(E4819)-LEN(SUBSTITUTE(E4819,",",""))+1</f>
        <v>1</v>
      </c>
      <c r="K4819" s="3" t="str">
        <f aca="false">IFERROR(INDEX('Teacher Lookup'!$B$2:$B$200,MATCH(A4819,'Teacher Lookup'!$A$2:$A$200,0)),"")</f>
        <v>CHENG Jenny</v>
      </c>
    </row>
    <row r="4820" customFormat="false" ht="15" hidden="false" customHeight="false" outlineLevel="0" collapsed="false">
      <c r="A4820" s="3" t="s">
        <v>430</v>
      </c>
      <c r="B4820" s="4" t="s">
        <v>60</v>
      </c>
      <c r="C4820" s="4" t="n">
        <v>2</v>
      </c>
      <c r="D4820" s="4" t="s">
        <v>137</v>
      </c>
      <c r="E4820" s="3" t="s">
        <v>431</v>
      </c>
      <c r="F4820" s="4" t="str">
        <f aca="false">IF(I4820&gt;J4820,"Y","N")</f>
        <v>N</v>
      </c>
      <c r="G4820" s="3" t="s">
        <v>432</v>
      </c>
      <c r="H4820" s="3" t="s">
        <v>21</v>
      </c>
      <c r="I4820" s="4" t="n">
        <v>1</v>
      </c>
      <c r="J4820" s="4" t="n">
        <f aca="false">LEN(E4820)-LEN(SUBSTITUTE(E4820,",",""))+1</f>
        <v>1</v>
      </c>
      <c r="K4820" s="3" t="str">
        <f aca="false">IFERROR(INDEX('Teacher Lookup'!$B$2:$B$200,MATCH(A4820,'Teacher Lookup'!$A$2:$A$200,0)),"")</f>
        <v>CHENG Jenny</v>
      </c>
    </row>
    <row r="4821" customFormat="false" ht="15" hidden="false" customHeight="false" outlineLevel="0" collapsed="false">
      <c r="A4821" s="3" t="s">
        <v>430</v>
      </c>
      <c r="B4821" s="4" t="s">
        <v>60</v>
      </c>
      <c r="C4821" s="4" t="n">
        <v>5</v>
      </c>
      <c r="D4821" s="4" t="s">
        <v>19</v>
      </c>
      <c r="E4821" s="3" t="s">
        <v>35</v>
      </c>
      <c r="F4821" s="4" t="str">
        <f aca="false">IF(I4821&gt;J4821,"Y","N")</f>
        <v>Y</v>
      </c>
      <c r="G4821" s="3" t="s">
        <v>36</v>
      </c>
      <c r="H4821" s="3" t="s">
        <v>37</v>
      </c>
      <c r="I4821" s="4" t="n">
        <v>17</v>
      </c>
      <c r="J4821" s="4" t="n">
        <f aca="false">LEN(E4821)-LEN(SUBSTITUTE(E4821,",",""))+1</f>
        <v>7</v>
      </c>
      <c r="K4821" s="3" t="str">
        <f aca="false">IFERROR(INDEX('Teacher Lookup'!$B$2:$B$200,MATCH(A4821,'Teacher Lookup'!$A$2:$A$200,0)),"")</f>
        <v>CHENG Jenny</v>
      </c>
    </row>
    <row r="4822" customFormat="false" ht="15" hidden="false" customHeight="false" outlineLevel="0" collapsed="false">
      <c r="A4822" s="3" t="s">
        <v>430</v>
      </c>
      <c r="B4822" s="4" t="s">
        <v>60</v>
      </c>
      <c r="C4822" s="4" t="n">
        <v>5</v>
      </c>
      <c r="D4822" s="4" t="s">
        <v>22</v>
      </c>
      <c r="E4822" s="3" t="s">
        <v>35</v>
      </c>
      <c r="F4822" s="4" t="str">
        <f aca="false">IF(I4822&gt;J4822,"Y","N")</f>
        <v>Y</v>
      </c>
      <c r="G4822" s="3" t="s">
        <v>36</v>
      </c>
      <c r="H4822" s="3" t="s">
        <v>37</v>
      </c>
      <c r="I4822" s="4" t="n">
        <v>17</v>
      </c>
      <c r="J4822" s="4" t="n">
        <f aca="false">LEN(E4822)-LEN(SUBSTITUTE(E4822,",",""))+1</f>
        <v>7</v>
      </c>
      <c r="K4822" s="3" t="str">
        <f aca="false">IFERROR(INDEX('Teacher Lookup'!$B$2:$B$200,MATCH(A4822,'Teacher Lookup'!$A$2:$A$200,0)),"")</f>
        <v>CHENG Jenny</v>
      </c>
    </row>
    <row r="4823" customFormat="false" ht="15" hidden="false" customHeight="false" outlineLevel="0" collapsed="false">
      <c r="A4823" s="3" t="s">
        <v>430</v>
      </c>
      <c r="B4823" s="4" t="s">
        <v>60</v>
      </c>
      <c r="C4823" s="4" t="n">
        <v>5</v>
      </c>
      <c r="D4823" s="4" t="s">
        <v>23</v>
      </c>
      <c r="E4823" s="3" t="s">
        <v>35</v>
      </c>
      <c r="F4823" s="4" t="str">
        <f aca="false">IF(I4823&gt;J4823,"Y","N")</f>
        <v>Y</v>
      </c>
      <c r="G4823" s="3" t="s">
        <v>36</v>
      </c>
      <c r="H4823" s="3" t="s">
        <v>37</v>
      </c>
      <c r="I4823" s="4" t="n">
        <v>17</v>
      </c>
      <c r="J4823" s="4" t="n">
        <f aca="false">LEN(E4823)-LEN(SUBSTITUTE(E4823,",",""))+1</f>
        <v>7</v>
      </c>
      <c r="K4823" s="3" t="str">
        <f aca="false">IFERROR(INDEX('Teacher Lookup'!$B$2:$B$200,MATCH(A4823,'Teacher Lookup'!$A$2:$A$200,0)),"")</f>
        <v>CHENG Jenny</v>
      </c>
    </row>
    <row r="4824" customFormat="false" ht="15" hidden="false" customHeight="false" outlineLevel="0" collapsed="false">
      <c r="A4824" s="3" t="s">
        <v>430</v>
      </c>
      <c r="B4824" s="4" t="s">
        <v>60</v>
      </c>
      <c r="C4824" s="4" t="n">
        <v>5</v>
      </c>
      <c r="D4824" s="4" t="s">
        <v>13</v>
      </c>
      <c r="E4824" s="3" t="s">
        <v>35</v>
      </c>
      <c r="F4824" s="4" t="str">
        <f aca="false">IF(I4824&gt;J4824,"Y","N")</f>
        <v>Y</v>
      </c>
      <c r="G4824" s="3" t="s">
        <v>36</v>
      </c>
      <c r="H4824" s="3" t="s">
        <v>37</v>
      </c>
      <c r="I4824" s="4" t="n">
        <v>17</v>
      </c>
      <c r="J4824" s="4" t="n">
        <f aca="false">LEN(E4824)-LEN(SUBSTITUTE(E4824,",",""))+1</f>
        <v>7</v>
      </c>
      <c r="K4824" s="3" t="str">
        <f aca="false">IFERROR(INDEX('Teacher Lookup'!$B$2:$B$200,MATCH(A4824,'Teacher Lookup'!$A$2:$A$200,0)),"")</f>
        <v>CHENG Jenny</v>
      </c>
    </row>
    <row r="4825" customFormat="false" ht="15" hidden="false" customHeight="false" outlineLevel="0" collapsed="false">
      <c r="A4825" s="3" t="s">
        <v>430</v>
      </c>
      <c r="B4825" s="4" t="s">
        <v>60</v>
      </c>
      <c r="C4825" s="4" t="n">
        <v>5</v>
      </c>
      <c r="D4825" s="4" t="s">
        <v>17</v>
      </c>
      <c r="E4825" s="3" t="s">
        <v>35</v>
      </c>
      <c r="F4825" s="4" t="str">
        <f aca="false">IF(I4825&gt;J4825,"Y","N")</f>
        <v>Y</v>
      </c>
      <c r="G4825" s="3" t="s">
        <v>36</v>
      </c>
      <c r="H4825" s="3" t="s">
        <v>37</v>
      </c>
      <c r="I4825" s="4" t="n">
        <v>17</v>
      </c>
      <c r="J4825" s="4" t="n">
        <f aca="false">LEN(E4825)-LEN(SUBSTITUTE(E4825,",",""))+1</f>
        <v>7</v>
      </c>
      <c r="K4825" s="3" t="str">
        <f aca="false">IFERROR(INDEX('Teacher Lookup'!$B$2:$B$200,MATCH(A4825,'Teacher Lookup'!$A$2:$A$200,0)),"")</f>
        <v>CHENG Jenny</v>
      </c>
    </row>
    <row r="4826" customFormat="false" ht="15" hidden="false" customHeight="false" outlineLevel="0" collapsed="false">
      <c r="A4826" s="3" t="s">
        <v>430</v>
      </c>
      <c r="B4826" s="4" t="s">
        <v>60</v>
      </c>
      <c r="C4826" s="4" t="n">
        <v>5</v>
      </c>
      <c r="D4826" s="4" t="s">
        <v>18</v>
      </c>
      <c r="E4826" s="3" t="s">
        <v>35</v>
      </c>
      <c r="F4826" s="4" t="str">
        <f aca="false">IF(I4826&gt;J4826,"Y","N")</f>
        <v>Y</v>
      </c>
      <c r="G4826" s="3" t="s">
        <v>36</v>
      </c>
      <c r="H4826" s="3" t="s">
        <v>37</v>
      </c>
      <c r="I4826" s="4" t="n">
        <v>17</v>
      </c>
      <c r="J4826" s="4" t="n">
        <f aca="false">LEN(E4826)-LEN(SUBSTITUTE(E4826,",",""))+1</f>
        <v>7</v>
      </c>
      <c r="K4826" s="3" t="str">
        <f aca="false">IFERROR(INDEX('Teacher Lookup'!$B$2:$B$200,MATCH(A4826,'Teacher Lookup'!$A$2:$A$200,0)),"")</f>
        <v>CHENG Jenny</v>
      </c>
    </row>
    <row r="4827" customFormat="false" ht="15" hidden="false" customHeight="false" outlineLevel="0" collapsed="false">
      <c r="A4827" s="3" t="s">
        <v>430</v>
      </c>
      <c r="B4827" s="4" t="s">
        <v>63</v>
      </c>
      <c r="C4827" s="4" t="n">
        <v>4</v>
      </c>
      <c r="D4827" s="4" t="s">
        <v>19</v>
      </c>
      <c r="E4827" s="3" t="s">
        <v>431</v>
      </c>
      <c r="F4827" s="4" t="str">
        <f aca="false">IF(I4827&gt;J4827,"Y","N")</f>
        <v>N</v>
      </c>
      <c r="G4827" s="3" t="s">
        <v>432</v>
      </c>
      <c r="H4827" s="3" t="s">
        <v>34</v>
      </c>
      <c r="I4827" s="4" t="n">
        <v>1</v>
      </c>
      <c r="J4827" s="4" t="n">
        <f aca="false">LEN(E4827)-LEN(SUBSTITUTE(E4827,",",""))+1</f>
        <v>1</v>
      </c>
      <c r="K4827" s="3" t="str">
        <f aca="false">IFERROR(INDEX('Teacher Lookup'!$B$2:$B$200,MATCH(A4827,'Teacher Lookup'!$A$2:$A$200,0)),"")</f>
        <v>CHENG Jenny</v>
      </c>
    </row>
    <row r="4828" customFormat="false" ht="15" hidden="false" customHeight="false" outlineLevel="0" collapsed="false">
      <c r="A4828" s="3" t="s">
        <v>430</v>
      </c>
      <c r="B4828" s="4" t="s">
        <v>63</v>
      </c>
      <c r="C4828" s="4" t="n">
        <v>5</v>
      </c>
      <c r="D4828" s="4" t="s">
        <v>19</v>
      </c>
      <c r="E4828" s="3" t="s">
        <v>431</v>
      </c>
      <c r="F4828" s="4" t="str">
        <f aca="false">IF(I4828&gt;J4828,"Y","N")</f>
        <v>N</v>
      </c>
      <c r="G4828" s="3" t="s">
        <v>432</v>
      </c>
      <c r="H4828" s="3" t="s">
        <v>37</v>
      </c>
      <c r="I4828" s="4" t="n">
        <v>1</v>
      </c>
      <c r="J4828" s="4" t="n">
        <f aca="false">LEN(E4828)-LEN(SUBSTITUTE(E4828,",",""))+1</f>
        <v>1</v>
      </c>
      <c r="K4828" s="3" t="str">
        <f aca="false">IFERROR(INDEX('Teacher Lookup'!$B$2:$B$200,MATCH(A4828,'Teacher Lookup'!$A$2:$A$200,0)),"")</f>
        <v>CHENG Jenny</v>
      </c>
    </row>
    <row r="4829" customFormat="false" ht="15" hidden="false" customHeight="false" outlineLevel="0" collapsed="false">
      <c r="A4829" s="3" t="s">
        <v>430</v>
      </c>
      <c r="B4829" s="4" t="s">
        <v>65</v>
      </c>
      <c r="C4829" s="4" t="n">
        <v>1</v>
      </c>
      <c r="D4829" s="4" t="s">
        <v>127</v>
      </c>
      <c r="E4829" s="3" t="s">
        <v>431</v>
      </c>
      <c r="F4829" s="4" t="str">
        <f aca="false">IF(I4829&gt;J4829,"Y","N")</f>
        <v>N</v>
      </c>
      <c r="G4829" s="3" t="s">
        <v>432</v>
      </c>
      <c r="H4829" s="3" t="s">
        <v>16</v>
      </c>
      <c r="I4829" s="4" t="n">
        <v>1</v>
      </c>
      <c r="J4829" s="4" t="n">
        <f aca="false">LEN(E4829)-LEN(SUBSTITUTE(E4829,",",""))+1</f>
        <v>1</v>
      </c>
      <c r="K4829" s="3" t="str">
        <f aca="false">IFERROR(INDEX('Teacher Lookup'!$B$2:$B$200,MATCH(A4829,'Teacher Lookup'!$A$2:$A$200,0)),"")</f>
        <v>CHENG Jenny</v>
      </c>
    </row>
    <row r="4830" customFormat="false" ht="15" hidden="false" customHeight="false" outlineLevel="0" collapsed="false">
      <c r="A4830" s="3" t="s">
        <v>430</v>
      </c>
      <c r="B4830" s="4" t="s">
        <v>65</v>
      </c>
      <c r="C4830" s="4" t="n">
        <v>2</v>
      </c>
      <c r="D4830" s="4" t="s">
        <v>127</v>
      </c>
      <c r="E4830" s="3" t="s">
        <v>431</v>
      </c>
      <c r="F4830" s="4" t="str">
        <f aca="false">IF(I4830&gt;J4830,"Y","N")</f>
        <v>N</v>
      </c>
      <c r="G4830" s="3" t="s">
        <v>432</v>
      </c>
      <c r="H4830" s="3" t="s">
        <v>21</v>
      </c>
      <c r="I4830" s="4" t="n">
        <v>1</v>
      </c>
      <c r="J4830" s="4" t="n">
        <f aca="false">LEN(E4830)-LEN(SUBSTITUTE(E4830,",",""))+1</f>
        <v>1</v>
      </c>
      <c r="K4830" s="3" t="str">
        <f aca="false">IFERROR(INDEX('Teacher Lookup'!$B$2:$B$200,MATCH(A4830,'Teacher Lookup'!$A$2:$A$200,0)),"")</f>
        <v>CHENG Jenny</v>
      </c>
    </row>
    <row r="4831" customFormat="false" ht="15" hidden="false" customHeight="false" outlineLevel="0" collapsed="false">
      <c r="A4831" s="3" t="s">
        <v>430</v>
      </c>
      <c r="B4831" s="4" t="s">
        <v>65</v>
      </c>
      <c r="C4831" s="4" t="n">
        <v>5</v>
      </c>
      <c r="D4831" s="4" t="s">
        <v>19</v>
      </c>
      <c r="E4831" s="3" t="s">
        <v>35</v>
      </c>
      <c r="F4831" s="4" t="str">
        <f aca="false">IF(I4831&gt;J4831,"Y","N")</f>
        <v>Y</v>
      </c>
      <c r="G4831" s="3" t="s">
        <v>36</v>
      </c>
      <c r="H4831" s="3" t="s">
        <v>37</v>
      </c>
      <c r="I4831" s="4" t="n">
        <v>17</v>
      </c>
      <c r="J4831" s="4" t="n">
        <f aca="false">LEN(E4831)-LEN(SUBSTITUTE(E4831,",",""))+1</f>
        <v>7</v>
      </c>
      <c r="K4831" s="3" t="str">
        <f aca="false">IFERROR(INDEX('Teacher Lookup'!$B$2:$B$200,MATCH(A4831,'Teacher Lookup'!$A$2:$A$200,0)),"")</f>
        <v>CHENG Jenny</v>
      </c>
    </row>
    <row r="4832" customFormat="false" ht="15" hidden="false" customHeight="false" outlineLevel="0" collapsed="false">
      <c r="A4832" s="3" t="s">
        <v>430</v>
      </c>
      <c r="B4832" s="4" t="s">
        <v>65</v>
      </c>
      <c r="C4832" s="4" t="n">
        <v>5</v>
      </c>
      <c r="D4832" s="4" t="s">
        <v>22</v>
      </c>
      <c r="E4832" s="3" t="s">
        <v>35</v>
      </c>
      <c r="F4832" s="4" t="str">
        <f aca="false">IF(I4832&gt;J4832,"Y","N")</f>
        <v>Y</v>
      </c>
      <c r="G4832" s="3" t="s">
        <v>36</v>
      </c>
      <c r="H4832" s="3" t="s">
        <v>37</v>
      </c>
      <c r="I4832" s="4" t="n">
        <v>17</v>
      </c>
      <c r="J4832" s="4" t="n">
        <f aca="false">LEN(E4832)-LEN(SUBSTITUTE(E4832,",",""))+1</f>
        <v>7</v>
      </c>
      <c r="K4832" s="3" t="str">
        <f aca="false">IFERROR(INDEX('Teacher Lookup'!$B$2:$B$200,MATCH(A4832,'Teacher Lookup'!$A$2:$A$200,0)),"")</f>
        <v>CHENG Jenny</v>
      </c>
    </row>
    <row r="4833" customFormat="false" ht="15" hidden="false" customHeight="false" outlineLevel="0" collapsed="false">
      <c r="A4833" s="3" t="s">
        <v>430</v>
      </c>
      <c r="B4833" s="4" t="s">
        <v>65</v>
      </c>
      <c r="C4833" s="4" t="n">
        <v>5</v>
      </c>
      <c r="D4833" s="4" t="s">
        <v>23</v>
      </c>
      <c r="E4833" s="3" t="s">
        <v>35</v>
      </c>
      <c r="F4833" s="4" t="str">
        <f aca="false">IF(I4833&gt;J4833,"Y","N")</f>
        <v>Y</v>
      </c>
      <c r="G4833" s="3" t="s">
        <v>36</v>
      </c>
      <c r="H4833" s="3" t="s">
        <v>37</v>
      </c>
      <c r="I4833" s="4" t="n">
        <v>17</v>
      </c>
      <c r="J4833" s="4" t="n">
        <f aca="false">LEN(E4833)-LEN(SUBSTITUTE(E4833,",",""))+1</f>
        <v>7</v>
      </c>
      <c r="K4833" s="3" t="str">
        <f aca="false">IFERROR(INDEX('Teacher Lookup'!$B$2:$B$200,MATCH(A4833,'Teacher Lookup'!$A$2:$A$200,0)),"")</f>
        <v>CHENG Jenny</v>
      </c>
    </row>
    <row r="4834" customFormat="false" ht="15" hidden="false" customHeight="false" outlineLevel="0" collapsed="false">
      <c r="A4834" s="3" t="s">
        <v>430</v>
      </c>
      <c r="B4834" s="4" t="s">
        <v>65</v>
      </c>
      <c r="C4834" s="4" t="n">
        <v>5</v>
      </c>
      <c r="D4834" s="4" t="s">
        <v>13</v>
      </c>
      <c r="E4834" s="3" t="s">
        <v>35</v>
      </c>
      <c r="F4834" s="4" t="str">
        <f aca="false">IF(I4834&gt;J4834,"Y","N")</f>
        <v>Y</v>
      </c>
      <c r="G4834" s="3" t="s">
        <v>36</v>
      </c>
      <c r="H4834" s="3" t="s">
        <v>37</v>
      </c>
      <c r="I4834" s="4" t="n">
        <v>17</v>
      </c>
      <c r="J4834" s="4" t="n">
        <f aca="false">LEN(E4834)-LEN(SUBSTITUTE(E4834,",",""))+1</f>
        <v>7</v>
      </c>
      <c r="K4834" s="3" t="str">
        <f aca="false">IFERROR(INDEX('Teacher Lookup'!$B$2:$B$200,MATCH(A4834,'Teacher Lookup'!$A$2:$A$200,0)),"")</f>
        <v>CHENG Jenny</v>
      </c>
    </row>
    <row r="4835" customFormat="false" ht="15" hidden="false" customHeight="false" outlineLevel="0" collapsed="false">
      <c r="A4835" s="3" t="s">
        <v>430</v>
      </c>
      <c r="B4835" s="4" t="s">
        <v>65</v>
      </c>
      <c r="C4835" s="4" t="n">
        <v>5</v>
      </c>
      <c r="D4835" s="4" t="s">
        <v>17</v>
      </c>
      <c r="E4835" s="3" t="s">
        <v>35</v>
      </c>
      <c r="F4835" s="4" t="str">
        <f aca="false">IF(I4835&gt;J4835,"Y","N")</f>
        <v>Y</v>
      </c>
      <c r="G4835" s="3" t="s">
        <v>36</v>
      </c>
      <c r="H4835" s="3" t="s">
        <v>37</v>
      </c>
      <c r="I4835" s="4" t="n">
        <v>17</v>
      </c>
      <c r="J4835" s="4" t="n">
        <f aca="false">LEN(E4835)-LEN(SUBSTITUTE(E4835,",",""))+1</f>
        <v>7</v>
      </c>
      <c r="K4835" s="3" t="str">
        <f aca="false">IFERROR(INDEX('Teacher Lookup'!$B$2:$B$200,MATCH(A4835,'Teacher Lookup'!$A$2:$A$200,0)),"")</f>
        <v>CHENG Jenny</v>
      </c>
    </row>
    <row r="4836" customFormat="false" ht="15" hidden="false" customHeight="false" outlineLevel="0" collapsed="false">
      <c r="A4836" s="3" t="s">
        <v>430</v>
      </c>
      <c r="B4836" s="4" t="s">
        <v>65</v>
      </c>
      <c r="C4836" s="4" t="n">
        <v>5</v>
      </c>
      <c r="D4836" s="4" t="s">
        <v>18</v>
      </c>
      <c r="E4836" s="3" t="s">
        <v>35</v>
      </c>
      <c r="F4836" s="4" t="str">
        <f aca="false">IF(I4836&gt;J4836,"Y","N")</f>
        <v>Y</v>
      </c>
      <c r="G4836" s="3" t="s">
        <v>36</v>
      </c>
      <c r="H4836" s="3" t="s">
        <v>37</v>
      </c>
      <c r="I4836" s="4" t="n">
        <v>17</v>
      </c>
      <c r="J4836" s="4" t="n">
        <f aca="false">LEN(E4836)-LEN(SUBSTITUTE(E4836,",",""))+1</f>
        <v>7</v>
      </c>
      <c r="K4836" s="3" t="str">
        <f aca="false">IFERROR(INDEX('Teacher Lookup'!$B$2:$B$200,MATCH(A4836,'Teacher Lookup'!$A$2:$A$200,0)),"")</f>
        <v>CHENG Jenny</v>
      </c>
    </row>
    <row r="4837" customFormat="false" ht="15" hidden="false" customHeight="false" outlineLevel="0" collapsed="false">
      <c r="A4837" s="3" t="s">
        <v>430</v>
      </c>
      <c r="B4837" s="4" t="s">
        <v>66</v>
      </c>
      <c r="C4837" s="4" t="n">
        <v>1</v>
      </c>
      <c r="D4837" s="4" t="s">
        <v>13</v>
      </c>
      <c r="E4837" s="3" t="s">
        <v>431</v>
      </c>
      <c r="F4837" s="4" t="str">
        <f aca="false">IF(I4837&gt;J4837,"Y","N")</f>
        <v>N</v>
      </c>
      <c r="G4837" s="3" t="s">
        <v>432</v>
      </c>
      <c r="H4837" s="3" t="s">
        <v>16</v>
      </c>
      <c r="I4837" s="4" t="n">
        <v>1</v>
      </c>
      <c r="J4837" s="4" t="n">
        <f aca="false">LEN(E4837)-LEN(SUBSTITUTE(E4837,",",""))+1</f>
        <v>1</v>
      </c>
      <c r="K4837" s="3" t="str">
        <f aca="false">IFERROR(INDEX('Teacher Lookup'!$B$2:$B$200,MATCH(A4837,'Teacher Lookup'!$A$2:$A$200,0)),"")</f>
        <v>CHENG Jenny</v>
      </c>
    </row>
    <row r="4838" customFormat="false" ht="15" hidden="false" customHeight="false" outlineLevel="0" collapsed="false">
      <c r="A4838" s="3" t="s">
        <v>430</v>
      </c>
      <c r="B4838" s="4" t="s">
        <v>66</v>
      </c>
      <c r="C4838" s="4" t="n">
        <v>2</v>
      </c>
      <c r="D4838" s="4" t="s">
        <v>13</v>
      </c>
      <c r="E4838" s="3" t="s">
        <v>431</v>
      </c>
      <c r="F4838" s="4" t="str">
        <f aca="false">IF(I4838&gt;J4838,"Y","N")</f>
        <v>N</v>
      </c>
      <c r="G4838" s="3" t="s">
        <v>432</v>
      </c>
      <c r="H4838" s="3" t="s">
        <v>21</v>
      </c>
      <c r="I4838" s="4" t="n">
        <v>1</v>
      </c>
      <c r="J4838" s="4" t="n">
        <f aca="false">LEN(E4838)-LEN(SUBSTITUTE(E4838,",",""))+1</f>
        <v>1</v>
      </c>
      <c r="K4838" s="3" t="str">
        <f aca="false">IFERROR(INDEX('Teacher Lookup'!$B$2:$B$200,MATCH(A4838,'Teacher Lookup'!$A$2:$A$200,0)),"")</f>
        <v>CHENG Jenny</v>
      </c>
    </row>
    <row r="4839" customFormat="false" ht="15" hidden="false" customHeight="false" outlineLevel="0" collapsed="false">
      <c r="A4839" s="3" t="s">
        <v>430</v>
      </c>
      <c r="B4839" s="4" t="s">
        <v>66</v>
      </c>
      <c r="C4839" s="4" t="n">
        <v>3</v>
      </c>
      <c r="D4839" s="4" t="s">
        <v>140</v>
      </c>
      <c r="E4839" s="3" t="s">
        <v>431</v>
      </c>
      <c r="F4839" s="4" t="str">
        <f aca="false">IF(I4839&gt;J4839,"Y","N")</f>
        <v>N</v>
      </c>
      <c r="G4839" s="3" t="s">
        <v>432</v>
      </c>
      <c r="H4839" s="3" t="s">
        <v>26</v>
      </c>
      <c r="I4839" s="4" t="n">
        <v>1</v>
      </c>
      <c r="J4839" s="4" t="n">
        <f aca="false">LEN(E4839)-LEN(SUBSTITUTE(E4839,",",""))+1</f>
        <v>1</v>
      </c>
      <c r="K4839" s="3" t="str">
        <f aca="false">IFERROR(INDEX('Teacher Lookup'!$B$2:$B$200,MATCH(A4839,'Teacher Lookup'!$A$2:$A$200,0)),"")</f>
        <v>CHENG Jenny</v>
      </c>
    </row>
    <row r="4840" customFormat="false" ht="15" hidden="false" customHeight="false" outlineLevel="0" collapsed="false">
      <c r="A4840" s="3" t="s">
        <v>430</v>
      </c>
      <c r="B4840" s="4" t="s">
        <v>66</v>
      </c>
      <c r="C4840" s="4" t="n">
        <v>4</v>
      </c>
      <c r="D4840" s="4" t="s">
        <v>140</v>
      </c>
      <c r="E4840" s="3" t="s">
        <v>431</v>
      </c>
      <c r="F4840" s="4" t="str">
        <f aca="false">IF(I4840&gt;J4840,"Y","N")</f>
        <v>N</v>
      </c>
      <c r="G4840" s="3" t="s">
        <v>432</v>
      </c>
      <c r="H4840" s="3" t="s">
        <v>34</v>
      </c>
      <c r="I4840" s="4" t="n">
        <v>1</v>
      </c>
      <c r="J4840" s="4" t="n">
        <f aca="false">LEN(E4840)-LEN(SUBSTITUTE(E4840,",",""))+1</f>
        <v>1</v>
      </c>
      <c r="K4840" s="3" t="str">
        <f aca="false">IFERROR(INDEX('Teacher Lookup'!$B$2:$B$200,MATCH(A4840,'Teacher Lookup'!$A$2:$A$200,0)),"")</f>
        <v>CHENG Jenny</v>
      </c>
    </row>
    <row r="4841" customFormat="false" ht="15" hidden="false" customHeight="false" outlineLevel="0" collapsed="false">
      <c r="A4841" s="3" t="s">
        <v>433</v>
      </c>
      <c r="B4841" s="4" t="s">
        <v>12</v>
      </c>
      <c r="C4841" s="4" t="n">
        <v>2</v>
      </c>
      <c r="D4841" s="4" t="s">
        <v>18</v>
      </c>
      <c r="E4841" s="3" t="s">
        <v>349</v>
      </c>
      <c r="F4841" s="4" t="str">
        <f aca="false">IF(I4841&gt;J4841,"Y","N")</f>
        <v>N</v>
      </c>
      <c r="G4841" s="3" t="s">
        <v>99</v>
      </c>
      <c r="H4841" s="3" t="s">
        <v>21</v>
      </c>
      <c r="I4841" s="4" t="n">
        <v>1</v>
      </c>
      <c r="J4841" s="4" t="n">
        <f aca="false">LEN(E4841)-LEN(SUBSTITUTE(E4841,",",""))+1</f>
        <v>1</v>
      </c>
      <c r="K4841" s="3" t="str">
        <f aca="false">IFERROR(INDEX('Teacher Lookup'!$B$2:$B$200,MATCH(A4841,'Teacher Lookup'!$A$2:$A$200,0)),"")</f>
        <v>FUNG Jovy</v>
      </c>
    </row>
    <row r="4842" customFormat="false" ht="15" hidden="false" customHeight="false" outlineLevel="0" collapsed="false">
      <c r="A4842" s="3" t="s">
        <v>433</v>
      </c>
      <c r="B4842" s="4" t="s">
        <v>12</v>
      </c>
      <c r="C4842" s="4" t="n">
        <v>3</v>
      </c>
      <c r="D4842" s="4" t="s">
        <v>137</v>
      </c>
      <c r="E4842" s="3" t="s">
        <v>434</v>
      </c>
      <c r="F4842" s="4" t="str">
        <f aca="false">IF(I4842&gt;J4842,"Y","N")</f>
        <v>N</v>
      </c>
      <c r="G4842" s="3" t="s">
        <v>99</v>
      </c>
      <c r="H4842" s="3" t="s">
        <v>26</v>
      </c>
      <c r="I4842" s="4" t="n">
        <v>1</v>
      </c>
      <c r="J4842" s="4" t="n">
        <f aca="false">LEN(E4842)-LEN(SUBSTITUTE(E4842,",",""))+1</f>
        <v>1</v>
      </c>
      <c r="K4842" s="3" t="str">
        <f aca="false">IFERROR(INDEX('Teacher Lookup'!$B$2:$B$200,MATCH(A4842,'Teacher Lookup'!$A$2:$A$200,0)),"")</f>
        <v>FUNG Jovy</v>
      </c>
    </row>
    <row r="4843" customFormat="false" ht="15" hidden="false" customHeight="false" outlineLevel="0" collapsed="false">
      <c r="A4843" s="3" t="s">
        <v>433</v>
      </c>
      <c r="B4843" s="4" t="s">
        <v>12</v>
      </c>
      <c r="C4843" s="4" t="n">
        <v>7</v>
      </c>
      <c r="D4843" s="4" t="s">
        <v>17</v>
      </c>
      <c r="E4843" s="3" t="s">
        <v>292</v>
      </c>
      <c r="F4843" s="4" t="str">
        <f aca="false">IF(I4843&gt;J4843,"Y","N")</f>
        <v>N</v>
      </c>
      <c r="G4843" s="3" t="s">
        <v>99</v>
      </c>
      <c r="H4843" s="3" t="s">
        <v>39</v>
      </c>
      <c r="I4843" s="4" t="n">
        <v>1</v>
      </c>
      <c r="J4843" s="4" t="n">
        <f aca="false">LEN(E4843)-LEN(SUBSTITUTE(E4843,",",""))+1</f>
        <v>1</v>
      </c>
      <c r="K4843" s="3" t="str">
        <f aca="false">IFERROR(INDEX('Teacher Lookup'!$B$2:$B$200,MATCH(A4843,'Teacher Lookup'!$A$2:$A$200,0)),"")</f>
        <v>FUNG Jovy</v>
      </c>
    </row>
    <row r="4844" customFormat="false" ht="15" hidden="false" customHeight="false" outlineLevel="0" collapsed="false">
      <c r="A4844" s="3" t="s">
        <v>433</v>
      </c>
      <c r="B4844" s="4" t="s">
        <v>31</v>
      </c>
      <c r="C4844" s="4" t="n">
        <v>4</v>
      </c>
      <c r="D4844" s="4" t="s">
        <v>124</v>
      </c>
      <c r="E4844" s="3" t="s">
        <v>288</v>
      </c>
      <c r="F4844" s="4" t="str">
        <f aca="false">IF(I4844&gt;J4844,"Y","N")</f>
        <v>N</v>
      </c>
      <c r="G4844" s="3" t="s">
        <v>99</v>
      </c>
      <c r="H4844" s="3" t="s">
        <v>34</v>
      </c>
      <c r="I4844" s="4" t="n">
        <v>1</v>
      </c>
      <c r="J4844" s="4" t="n">
        <f aca="false">LEN(E4844)-LEN(SUBSTITUTE(E4844,",",""))+1</f>
        <v>1</v>
      </c>
      <c r="K4844" s="3" t="str">
        <f aca="false">IFERROR(INDEX('Teacher Lookup'!$B$2:$B$200,MATCH(A4844,'Teacher Lookup'!$A$2:$A$200,0)),"")</f>
        <v>FUNG Jovy</v>
      </c>
    </row>
    <row r="4845" customFormat="false" ht="15" hidden="false" customHeight="false" outlineLevel="0" collapsed="false">
      <c r="A4845" s="3" t="s">
        <v>433</v>
      </c>
      <c r="B4845" s="4" t="s">
        <v>31</v>
      </c>
      <c r="C4845" s="4" t="n">
        <v>5</v>
      </c>
      <c r="D4845" s="4" t="s">
        <v>137</v>
      </c>
      <c r="E4845" s="3" t="s">
        <v>185</v>
      </c>
      <c r="F4845" s="4" t="str">
        <f aca="false">IF(I4845&gt;J4845,"Y","N")</f>
        <v>Y</v>
      </c>
      <c r="G4845" s="3" t="s">
        <v>36</v>
      </c>
      <c r="H4845" s="3" t="s">
        <v>37</v>
      </c>
      <c r="I4845" s="4" t="n">
        <v>21</v>
      </c>
      <c r="J4845" s="4" t="n">
        <f aca="false">LEN(E4845)-LEN(SUBSTITUTE(E4845,",",""))+1</f>
        <v>7</v>
      </c>
      <c r="K4845" s="3" t="str">
        <f aca="false">IFERROR(INDEX('Teacher Lookup'!$B$2:$B$200,MATCH(A4845,'Teacher Lookup'!$A$2:$A$200,0)),"")</f>
        <v>FUNG Jovy</v>
      </c>
    </row>
    <row r="4846" customFormat="false" ht="15" hidden="false" customHeight="false" outlineLevel="0" collapsed="false">
      <c r="A4846" s="3" t="s">
        <v>433</v>
      </c>
      <c r="B4846" s="4" t="s">
        <v>31</v>
      </c>
      <c r="C4846" s="4" t="n">
        <v>5</v>
      </c>
      <c r="D4846" s="4" t="s">
        <v>124</v>
      </c>
      <c r="E4846" s="3" t="s">
        <v>185</v>
      </c>
      <c r="F4846" s="4" t="str">
        <f aca="false">IF(I4846&gt;J4846,"Y","N")</f>
        <v>Y</v>
      </c>
      <c r="G4846" s="3" t="s">
        <v>36</v>
      </c>
      <c r="H4846" s="3" t="s">
        <v>37</v>
      </c>
      <c r="I4846" s="4" t="n">
        <v>21</v>
      </c>
      <c r="J4846" s="4" t="n">
        <f aca="false">LEN(E4846)-LEN(SUBSTITUTE(E4846,",",""))+1</f>
        <v>7</v>
      </c>
      <c r="K4846" s="3" t="str">
        <f aca="false">IFERROR(INDEX('Teacher Lookup'!$B$2:$B$200,MATCH(A4846,'Teacher Lookup'!$A$2:$A$200,0)),"")</f>
        <v>FUNG Jovy</v>
      </c>
    </row>
    <row r="4847" customFormat="false" ht="15" hidden="false" customHeight="false" outlineLevel="0" collapsed="false">
      <c r="A4847" s="3" t="s">
        <v>433</v>
      </c>
      <c r="B4847" s="4" t="s">
        <v>31</v>
      </c>
      <c r="C4847" s="4" t="n">
        <v>5</v>
      </c>
      <c r="D4847" s="4" t="s">
        <v>139</v>
      </c>
      <c r="E4847" s="3" t="s">
        <v>185</v>
      </c>
      <c r="F4847" s="4" t="str">
        <f aca="false">IF(I4847&gt;J4847,"Y","N")</f>
        <v>Y</v>
      </c>
      <c r="G4847" s="3" t="s">
        <v>36</v>
      </c>
      <c r="H4847" s="3" t="s">
        <v>37</v>
      </c>
      <c r="I4847" s="4" t="n">
        <v>21</v>
      </c>
      <c r="J4847" s="4" t="n">
        <f aca="false">LEN(E4847)-LEN(SUBSTITUTE(E4847,",",""))+1</f>
        <v>7</v>
      </c>
      <c r="K4847" s="3" t="str">
        <f aca="false">IFERROR(INDEX('Teacher Lookup'!$B$2:$B$200,MATCH(A4847,'Teacher Lookup'!$A$2:$A$200,0)),"")</f>
        <v>FUNG Jovy</v>
      </c>
    </row>
    <row r="4848" customFormat="false" ht="15" hidden="false" customHeight="false" outlineLevel="0" collapsed="false">
      <c r="A4848" s="3" t="s">
        <v>433</v>
      </c>
      <c r="B4848" s="4" t="s">
        <v>31</v>
      </c>
      <c r="C4848" s="4" t="n">
        <v>5</v>
      </c>
      <c r="D4848" s="4" t="s">
        <v>140</v>
      </c>
      <c r="E4848" s="3" t="s">
        <v>185</v>
      </c>
      <c r="F4848" s="4" t="str">
        <f aca="false">IF(I4848&gt;J4848,"Y","N")</f>
        <v>Y</v>
      </c>
      <c r="G4848" s="3" t="s">
        <v>36</v>
      </c>
      <c r="H4848" s="3" t="s">
        <v>37</v>
      </c>
      <c r="I4848" s="4" t="n">
        <v>21</v>
      </c>
      <c r="J4848" s="4" t="n">
        <f aca="false">LEN(E4848)-LEN(SUBSTITUTE(E4848,",",""))+1</f>
        <v>7</v>
      </c>
      <c r="K4848" s="3" t="str">
        <f aca="false">IFERROR(INDEX('Teacher Lookup'!$B$2:$B$200,MATCH(A4848,'Teacher Lookup'!$A$2:$A$200,0)),"")</f>
        <v>FUNG Jovy</v>
      </c>
    </row>
    <row r="4849" customFormat="false" ht="15" hidden="false" customHeight="false" outlineLevel="0" collapsed="false">
      <c r="A4849" s="3" t="s">
        <v>433</v>
      </c>
      <c r="B4849" s="4" t="s">
        <v>31</v>
      </c>
      <c r="C4849" s="4" t="n">
        <v>5</v>
      </c>
      <c r="D4849" s="4" t="s">
        <v>142</v>
      </c>
      <c r="E4849" s="3" t="s">
        <v>185</v>
      </c>
      <c r="F4849" s="4" t="str">
        <f aca="false">IF(I4849&gt;J4849,"Y","N")</f>
        <v>Y</v>
      </c>
      <c r="G4849" s="3" t="s">
        <v>36</v>
      </c>
      <c r="H4849" s="3" t="s">
        <v>37</v>
      </c>
      <c r="I4849" s="4" t="n">
        <v>21</v>
      </c>
      <c r="J4849" s="4" t="n">
        <f aca="false">LEN(E4849)-LEN(SUBSTITUTE(E4849,",",""))+1</f>
        <v>7</v>
      </c>
      <c r="K4849" s="3" t="str">
        <f aca="false">IFERROR(INDEX('Teacher Lookup'!$B$2:$B$200,MATCH(A4849,'Teacher Lookup'!$A$2:$A$200,0)),"")</f>
        <v>FUNG Jovy</v>
      </c>
    </row>
    <row r="4850" customFormat="false" ht="15" hidden="false" customHeight="false" outlineLevel="0" collapsed="false">
      <c r="A4850" s="3" t="s">
        <v>433</v>
      </c>
      <c r="B4850" s="4" t="s">
        <v>31</v>
      </c>
      <c r="C4850" s="4" t="n">
        <v>5</v>
      </c>
      <c r="D4850" s="4" t="s">
        <v>127</v>
      </c>
      <c r="E4850" s="3" t="s">
        <v>185</v>
      </c>
      <c r="F4850" s="4" t="str">
        <f aca="false">IF(I4850&gt;J4850,"Y","N")</f>
        <v>Y</v>
      </c>
      <c r="G4850" s="3" t="s">
        <v>36</v>
      </c>
      <c r="H4850" s="3" t="s">
        <v>37</v>
      </c>
      <c r="I4850" s="4" t="n">
        <v>21</v>
      </c>
      <c r="J4850" s="4" t="n">
        <f aca="false">LEN(E4850)-LEN(SUBSTITUTE(E4850,",",""))+1</f>
        <v>7</v>
      </c>
      <c r="K4850" s="3" t="str">
        <f aca="false">IFERROR(INDEX('Teacher Lookup'!$B$2:$B$200,MATCH(A4850,'Teacher Lookup'!$A$2:$A$200,0)),"")</f>
        <v>FUNG Jovy</v>
      </c>
    </row>
    <row r="4851" customFormat="false" ht="15" hidden="false" customHeight="false" outlineLevel="0" collapsed="false">
      <c r="A4851" s="3" t="s">
        <v>433</v>
      </c>
      <c r="B4851" s="4" t="s">
        <v>31</v>
      </c>
      <c r="C4851" s="4" t="n">
        <v>7</v>
      </c>
      <c r="D4851" s="4" t="s">
        <v>23</v>
      </c>
      <c r="E4851" s="3" t="s">
        <v>353</v>
      </c>
      <c r="F4851" s="4" t="str">
        <f aca="false">IF(I4851&gt;J4851,"Y","N")</f>
        <v>N</v>
      </c>
      <c r="G4851" s="3" t="s">
        <v>99</v>
      </c>
      <c r="H4851" s="3" t="s">
        <v>39</v>
      </c>
      <c r="I4851" s="4" t="n">
        <v>1</v>
      </c>
      <c r="J4851" s="4" t="n">
        <f aca="false">LEN(E4851)-LEN(SUBSTITUTE(E4851,",",""))+1</f>
        <v>1</v>
      </c>
      <c r="K4851" s="3" t="str">
        <f aca="false">IFERROR(INDEX('Teacher Lookup'!$B$2:$B$200,MATCH(A4851,'Teacher Lookup'!$A$2:$A$200,0)),"")</f>
        <v>FUNG Jovy</v>
      </c>
    </row>
    <row r="4852" customFormat="false" ht="15" hidden="false" customHeight="false" outlineLevel="0" collapsed="false">
      <c r="A4852" s="3" t="s">
        <v>433</v>
      </c>
      <c r="B4852" s="4" t="s">
        <v>40</v>
      </c>
      <c r="C4852" s="4" t="n">
        <v>1</v>
      </c>
      <c r="D4852" s="4" t="s">
        <v>13</v>
      </c>
      <c r="E4852" s="3" t="s">
        <v>351</v>
      </c>
      <c r="F4852" s="4" t="str">
        <f aca="false">IF(I4852&gt;J4852,"Y","N")</f>
        <v>N</v>
      </c>
      <c r="G4852" s="3" t="s">
        <v>99</v>
      </c>
      <c r="H4852" s="3" t="s">
        <v>16</v>
      </c>
      <c r="I4852" s="4" t="n">
        <v>1</v>
      </c>
      <c r="J4852" s="4" t="n">
        <f aca="false">LEN(E4852)-LEN(SUBSTITUTE(E4852,",",""))+1</f>
        <v>1</v>
      </c>
      <c r="K4852" s="3" t="str">
        <f aca="false">IFERROR(INDEX('Teacher Lookup'!$B$2:$B$200,MATCH(A4852,'Teacher Lookup'!$A$2:$A$200,0)),"")</f>
        <v>FUNG Jovy</v>
      </c>
    </row>
    <row r="4853" customFormat="false" ht="15" hidden="false" customHeight="false" outlineLevel="0" collapsed="false">
      <c r="A4853" s="3" t="s">
        <v>433</v>
      </c>
      <c r="B4853" s="4" t="s">
        <v>40</v>
      </c>
      <c r="C4853" s="4" t="n">
        <v>5</v>
      </c>
      <c r="D4853" s="4" t="s">
        <v>22</v>
      </c>
      <c r="E4853" s="3" t="s">
        <v>341</v>
      </c>
      <c r="F4853" s="4" t="str">
        <f aca="false">IF(I4853&gt;J4853,"Y","N")</f>
        <v>N</v>
      </c>
      <c r="G4853" s="3" t="s">
        <v>99</v>
      </c>
      <c r="H4853" s="3" t="s">
        <v>37</v>
      </c>
      <c r="I4853" s="4" t="n">
        <v>1</v>
      </c>
      <c r="J4853" s="4" t="n">
        <f aca="false">LEN(E4853)-LEN(SUBSTITUTE(E4853,",",""))+1</f>
        <v>1</v>
      </c>
      <c r="K4853" s="3" t="str">
        <f aca="false">IFERROR(INDEX('Teacher Lookup'!$B$2:$B$200,MATCH(A4853,'Teacher Lookup'!$A$2:$A$200,0)),"")</f>
        <v>FUNG Jovy</v>
      </c>
    </row>
    <row r="4854" customFormat="false" ht="15" hidden="false" customHeight="false" outlineLevel="0" collapsed="false">
      <c r="A4854" s="3" t="s">
        <v>433</v>
      </c>
      <c r="B4854" s="4" t="s">
        <v>40</v>
      </c>
      <c r="C4854" s="4" t="n">
        <v>6</v>
      </c>
      <c r="D4854" s="4" t="s">
        <v>124</v>
      </c>
      <c r="E4854" s="3" t="s">
        <v>288</v>
      </c>
      <c r="F4854" s="4" t="str">
        <f aca="false">IF(I4854&gt;J4854,"Y","N")</f>
        <v>N</v>
      </c>
      <c r="G4854" s="3" t="s">
        <v>99</v>
      </c>
      <c r="H4854" s="3" t="s">
        <v>42</v>
      </c>
      <c r="I4854" s="4" t="n">
        <v>1</v>
      </c>
      <c r="J4854" s="4" t="n">
        <f aca="false">LEN(E4854)-LEN(SUBSTITUTE(E4854,",",""))+1</f>
        <v>1</v>
      </c>
      <c r="K4854" s="3" t="str">
        <f aca="false">IFERROR(INDEX('Teacher Lookup'!$B$2:$B$200,MATCH(A4854,'Teacher Lookup'!$A$2:$A$200,0)),"")</f>
        <v>FUNG Jovy</v>
      </c>
    </row>
    <row r="4855" customFormat="false" ht="15" hidden="false" customHeight="false" outlineLevel="0" collapsed="false">
      <c r="A4855" s="3" t="s">
        <v>433</v>
      </c>
      <c r="B4855" s="4" t="s">
        <v>40</v>
      </c>
      <c r="C4855" s="4" t="n">
        <v>7</v>
      </c>
      <c r="D4855" s="4" t="s">
        <v>142</v>
      </c>
      <c r="E4855" s="3" t="s">
        <v>435</v>
      </c>
      <c r="F4855" s="4" t="str">
        <f aca="false">IF(I4855&gt;J4855,"Y","N")</f>
        <v>N</v>
      </c>
      <c r="G4855" s="3" t="s">
        <v>99</v>
      </c>
      <c r="H4855" s="3" t="s">
        <v>39</v>
      </c>
      <c r="I4855" s="4" t="n">
        <v>1</v>
      </c>
      <c r="J4855" s="4" t="n">
        <f aca="false">LEN(E4855)-LEN(SUBSTITUTE(E4855,",",""))+1</f>
        <v>1</v>
      </c>
      <c r="K4855" s="3" t="str">
        <f aca="false">IFERROR(INDEX('Teacher Lookup'!$B$2:$B$200,MATCH(A4855,'Teacher Lookup'!$A$2:$A$200,0)),"")</f>
        <v>FUNG Jovy</v>
      </c>
    </row>
    <row r="4856" customFormat="false" ht="15" hidden="false" customHeight="false" outlineLevel="0" collapsed="false">
      <c r="A4856" s="3" t="s">
        <v>433</v>
      </c>
      <c r="B4856" s="4" t="s">
        <v>44</v>
      </c>
      <c r="C4856" s="4" t="n">
        <v>1</v>
      </c>
      <c r="D4856" s="4" t="s">
        <v>139</v>
      </c>
      <c r="E4856" s="3" t="s">
        <v>284</v>
      </c>
      <c r="F4856" s="4" t="str">
        <f aca="false">IF(I4856&gt;J4856,"Y","N")</f>
        <v>N</v>
      </c>
      <c r="G4856" s="3" t="s">
        <v>99</v>
      </c>
      <c r="H4856" s="3" t="s">
        <v>16</v>
      </c>
      <c r="I4856" s="4" t="n">
        <v>1</v>
      </c>
      <c r="J4856" s="4" t="n">
        <f aca="false">LEN(E4856)-LEN(SUBSTITUTE(E4856,",",""))+1</f>
        <v>1</v>
      </c>
      <c r="K4856" s="3" t="str">
        <f aca="false">IFERROR(INDEX('Teacher Lookup'!$B$2:$B$200,MATCH(A4856,'Teacher Lookup'!$A$2:$A$200,0)),"")</f>
        <v>FUNG Jovy</v>
      </c>
    </row>
    <row r="4857" customFormat="false" ht="15" hidden="false" customHeight="false" outlineLevel="0" collapsed="false">
      <c r="A4857" s="3" t="s">
        <v>433</v>
      </c>
      <c r="B4857" s="4" t="s">
        <v>44</v>
      </c>
      <c r="C4857" s="4" t="n">
        <v>5</v>
      </c>
      <c r="D4857" s="4" t="s">
        <v>137</v>
      </c>
      <c r="E4857" s="3" t="s">
        <v>185</v>
      </c>
      <c r="F4857" s="4" t="str">
        <f aca="false">IF(I4857&gt;J4857,"Y","N")</f>
        <v>Y</v>
      </c>
      <c r="G4857" s="3" t="s">
        <v>36</v>
      </c>
      <c r="H4857" s="3" t="s">
        <v>37</v>
      </c>
      <c r="I4857" s="4" t="n">
        <v>21</v>
      </c>
      <c r="J4857" s="4" t="n">
        <f aca="false">LEN(E4857)-LEN(SUBSTITUTE(E4857,",",""))+1</f>
        <v>7</v>
      </c>
      <c r="K4857" s="3" t="str">
        <f aca="false">IFERROR(INDEX('Teacher Lookup'!$B$2:$B$200,MATCH(A4857,'Teacher Lookup'!$A$2:$A$200,0)),"")</f>
        <v>FUNG Jovy</v>
      </c>
    </row>
    <row r="4858" customFormat="false" ht="15" hidden="false" customHeight="false" outlineLevel="0" collapsed="false">
      <c r="A4858" s="3" t="s">
        <v>433</v>
      </c>
      <c r="B4858" s="4" t="s">
        <v>44</v>
      </c>
      <c r="C4858" s="4" t="n">
        <v>5</v>
      </c>
      <c r="D4858" s="4" t="s">
        <v>124</v>
      </c>
      <c r="E4858" s="3" t="s">
        <v>185</v>
      </c>
      <c r="F4858" s="4" t="str">
        <f aca="false">IF(I4858&gt;J4858,"Y","N")</f>
        <v>Y</v>
      </c>
      <c r="G4858" s="3" t="s">
        <v>36</v>
      </c>
      <c r="H4858" s="3" t="s">
        <v>37</v>
      </c>
      <c r="I4858" s="4" t="n">
        <v>21</v>
      </c>
      <c r="J4858" s="4" t="n">
        <f aca="false">LEN(E4858)-LEN(SUBSTITUTE(E4858,",",""))+1</f>
        <v>7</v>
      </c>
      <c r="K4858" s="3" t="str">
        <f aca="false">IFERROR(INDEX('Teacher Lookup'!$B$2:$B$200,MATCH(A4858,'Teacher Lookup'!$A$2:$A$200,0)),"")</f>
        <v>FUNG Jovy</v>
      </c>
    </row>
    <row r="4859" customFormat="false" ht="15" hidden="false" customHeight="false" outlineLevel="0" collapsed="false">
      <c r="A4859" s="3" t="s">
        <v>433</v>
      </c>
      <c r="B4859" s="4" t="s">
        <v>44</v>
      </c>
      <c r="C4859" s="4" t="n">
        <v>5</v>
      </c>
      <c r="D4859" s="4" t="s">
        <v>139</v>
      </c>
      <c r="E4859" s="3" t="s">
        <v>185</v>
      </c>
      <c r="F4859" s="4" t="str">
        <f aca="false">IF(I4859&gt;J4859,"Y","N")</f>
        <v>Y</v>
      </c>
      <c r="G4859" s="3" t="s">
        <v>36</v>
      </c>
      <c r="H4859" s="3" t="s">
        <v>37</v>
      </c>
      <c r="I4859" s="4" t="n">
        <v>21</v>
      </c>
      <c r="J4859" s="4" t="n">
        <f aca="false">LEN(E4859)-LEN(SUBSTITUTE(E4859,",",""))+1</f>
        <v>7</v>
      </c>
      <c r="K4859" s="3" t="str">
        <f aca="false">IFERROR(INDEX('Teacher Lookup'!$B$2:$B$200,MATCH(A4859,'Teacher Lookup'!$A$2:$A$200,0)),"")</f>
        <v>FUNG Jovy</v>
      </c>
    </row>
    <row r="4860" customFormat="false" ht="15" hidden="false" customHeight="false" outlineLevel="0" collapsed="false">
      <c r="A4860" s="3" t="s">
        <v>433</v>
      </c>
      <c r="B4860" s="4" t="s">
        <v>44</v>
      </c>
      <c r="C4860" s="4" t="n">
        <v>5</v>
      </c>
      <c r="D4860" s="4" t="s">
        <v>140</v>
      </c>
      <c r="E4860" s="3" t="s">
        <v>185</v>
      </c>
      <c r="F4860" s="4" t="str">
        <f aca="false">IF(I4860&gt;J4860,"Y","N")</f>
        <v>Y</v>
      </c>
      <c r="G4860" s="3" t="s">
        <v>36</v>
      </c>
      <c r="H4860" s="3" t="s">
        <v>37</v>
      </c>
      <c r="I4860" s="4" t="n">
        <v>21</v>
      </c>
      <c r="J4860" s="4" t="n">
        <f aca="false">LEN(E4860)-LEN(SUBSTITUTE(E4860,",",""))+1</f>
        <v>7</v>
      </c>
      <c r="K4860" s="3" t="str">
        <f aca="false">IFERROR(INDEX('Teacher Lookup'!$B$2:$B$200,MATCH(A4860,'Teacher Lookup'!$A$2:$A$200,0)),"")</f>
        <v>FUNG Jovy</v>
      </c>
    </row>
    <row r="4861" customFormat="false" ht="15" hidden="false" customHeight="false" outlineLevel="0" collapsed="false">
      <c r="A4861" s="3" t="s">
        <v>433</v>
      </c>
      <c r="B4861" s="4" t="s">
        <v>44</v>
      </c>
      <c r="C4861" s="4" t="n">
        <v>5</v>
      </c>
      <c r="D4861" s="4" t="s">
        <v>142</v>
      </c>
      <c r="E4861" s="3" t="s">
        <v>185</v>
      </c>
      <c r="F4861" s="4" t="str">
        <f aca="false">IF(I4861&gt;J4861,"Y","N")</f>
        <v>Y</v>
      </c>
      <c r="G4861" s="3" t="s">
        <v>36</v>
      </c>
      <c r="H4861" s="3" t="s">
        <v>37</v>
      </c>
      <c r="I4861" s="4" t="n">
        <v>21</v>
      </c>
      <c r="J4861" s="4" t="n">
        <f aca="false">LEN(E4861)-LEN(SUBSTITUTE(E4861,",",""))+1</f>
        <v>7</v>
      </c>
      <c r="K4861" s="3" t="str">
        <f aca="false">IFERROR(INDEX('Teacher Lookup'!$B$2:$B$200,MATCH(A4861,'Teacher Lookup'!$A$2:$A$200,0)),"")</f>
        <v>FUNG Jovy</v>
      </c>
    </row>
    <row r="4862" customFormat="false" ht="15" hidden="false" customHeight="false" outlineLevel="0" collapsed="false">
      <c r="A4862" s="3" t="s">
        <v>433</v>
      </c>
      <c r="B4862" s="4" t="s">
        <v>44</v>
      </c>
      <c r="C4862" s="4" t="n">
        <v>5</v>
      </c>
      <c r="D4862" s="4" t="s">
        <v>127</v>
      </c>
      <c r="E4862" s="3" t="s">
        <v>185</v>
      </c>
      <c r="F4862" s="4" t="str">
        <f aca="false">IF(I4862&gt;J4862,"Y","N")</f>
        <v>Y</v>
      </c>
      <c r="G4862" s="3" t="s">
        <v>36</v>
      </c>
      <c r="H4862" s="3" t="s">
        <v>37</v>
      </c>
      <c r="I4862" s="4" t="n">
        <v>21</v>
      </c>
      <c r="J4862" s="4" t="n">
        <f aca="false">LEN(E4862)-LEN(SUBSTITUTE(E4862,",",""))+1</f>
        <v>7</v>
      </c>
      <c r="K4862" s="3" t="str">
        <f aca="false">IFERROR(INDEX('Teacher Lookup'!$B$2:$B$200,MATCH(A4862,'Teacher Lookup'!$A$2:$A$200,0)),"")</f>
        <v>FUNG Jovy</v>
      </c>
    </row>
    <row r="4863" customFormat="false" ht="15" hidden="false" customHeight="false" outlineLevel="0" collapsed="false">
      <c r="A4863" s="3" t="s">
        <v>433</v>
      </c>
      <c r="B4863" s="4" t="s">
        <v>47</v>
      </c>
      <c r="C4863" s="4" t="n">
        <v>1</v>
      </c>
      <c r="D4863" s="4" t="s">
        <v>137</v>
      </c>
      <c r="E4863" s="3" t="s">
        <v>434</v>
      </c>
      <c r="F4863" s="4" t="str">
        <f aca="false">IF(I4863&gt;J4863,"Y","N")</f>
        <v>N</v>
      </c>
      <c r="G4863" s="3" t="s">
        <v>99</v>
      </c>
      <c r="H4863" s="3" t="s">
        <v>16</v>
      </c>
      <c r="I4863" s="4" t="n">
        <v>1</v>
      </c>
      <c r="J4863" s="4" t="n">
        <f aca="false">LEN(E4863)-LEN(SUBSTITUTE(E4863,",",""))+1</f>
        <v>1</v>
      </c>
      <c r="K4863" s="3" t="str">
        <f aca="false">IFERROR(INDEX('Teacher Lookup'!$B$2:$B$200,MATCH(A4863,'Teacher Lookup'!$A$2:$A$200,0)),"")</f>
        <v>FUNG Jovy</v>
      </c>
    </row>
    <row r="4864" customFormat="false" ht="15" hidden="false" customHeight="false" outlineLevel="0" collapsed="false">
      <c r="A4864" s="3" t="s">
        <v>433</v>
      </c>
      <c r="B4864" s="4" t="s">
        <v>47</v>
      </c>
      <c r="C4864" s="4" t="n">
        <v>2</v>
      </c>
      <c r="D4864" s="4" t="s">
        <v>140</v>
      </c>
      <c r="E4864" s="3" t="s">
        <v>289</v>
      </c>
      <c r="F4864" s="4" t="str">
        <f aca="false">IF(I4864&gt;J4864,"Y","N")</f>
        <v>N</v>
      </c>
      <c r="G4864" s="3" t="s">
        <v>99</v>
      </c>
      <c r="H4864" s="3" t="s">
        <v>21</v>
      </c>
      <c r="I4864" s="4" t="n">
        <v>1</v>
      </c>
      <c r="J4864" s="4" t="n">
        <f aca="false">LEN(E4864)-LEN(SUBSTITUTE(E4864,",",""))+1</f>
        <v>1</v>
      </c>
      <c r="K4864" s="3" t="str">
        <f aca="false">IFERROR(INDEX('Teacher Lookup'!$B$2:$B$200,MATCH(A4864,'Teacher Lookup'!$A$2:$A$200,0)),"")</f>
        <v>FUNG Jovy</v>
      </c>
    </row>
    <row r="4865" customFormat="false" ht="15" hidden="false" customHeight="false" outlineLevel="0" collapsed="false">
      <c r="A4865" s="3" t="s">
        <v>433</v>
      </c>
      <c r="B4865" s="4" t="s">
        <v>47</v>
      </c>
      <c r="C4865" s="4" t="n">
        <v>3</v>
      </c>
      <c r="D4865" s="4" t="s">
        <v>139</v>
      </c>
      <c r="E4865" s="3" t="s">
        <v>284</v>
      </c>
      <c r="F4865" s="4" t="str">
        <f aca="false">IF(I4865&gt;J4865,"Y","N")</f>
        <v>N</v>
      </c>
      <c r="G4865" s="3" t="s">
        <v>99</v>
      </c>
      <c r="H4865" s="3" t="s">
        <v>26</v>
      </c>
      <c r="I4865" s="4" t="n">
        <v>1</v>
      </c>
      <c r="J4865" s="4" t="n">
        <f aca="false">LEN(E4865)-LEN(SUBSTITUTE(E4865,",",""))+1</f>
        <v>1</v>
      </c>
      <c r="K4865" s="3" t="str">
        <f aca="false">IFERROR(INDEX('Teacher Lookup'!$B$2:$B$200,MATCH(A4865,'Teacher Lookup'!$A$2:$A$200,0)),"")</f>
        <v>FUNG Jovy</v>
      </c>
    </row>
    <row r="4866" customFormat="false" ht="15" hidden="false" customHeight="false" outlineLevel="0" collapsed="false">
      <c r="A4866" s="3" t="s">
        <v>433</v>
      </c>
      <c r="B4866" s="4" t="s">
        <v>47</v>
      </c>
      <c r="C4866" s="4" t="n">
        <v>7</v>
      </c>
      <c r="D4866" s="4" t="s">
        <v>17</v>
      </c>
      <c r="E4866" s="3" t="s">
        <v>292</v>
      </c>
      <c r="F4866" s="4" t="str">
        <f aca="false">IF(I4866&gt;J4866,"Y","N")</f>
        <v>N</v>
      </c>
      <c r="G4866" s="3" t="s">
        <v>99</v>
      </c>
      <c r="H4866" s="3" t="s">
        <v>39</v>
      </c>
      <c r="I4866" s="4" t="n">
        <v>1</v>
      </c>
      <c r="J4866" s="4" t="n">
        <f aca="false">LEN(E4866)-LEN(SUBSTITUTE(E4866,",",""))+1</f>
        <v>1</v>
      </c>
      <c r="K4866" s="3" t="str">
        <f aca="false">IFERROR(INDEX('Teacher Lookup'!$B$2:$B$200,MATCH(A4866,'Teacher Lookup'!$A$2:$A$200,0)),"")</f>
        <v>FUNG Jovy</v>
      </c>
    </row>
    <row r="4867" customFormat="false" ht="15" hidden="false" customHeight="false" outlineLevel="0" collapsed="false">
      <c r="A4867" s="3" t="s">
        <v>433</v>
      </c>
      <c r="B4867" s="4" t="s">
        <v>50</v>
      </c>
      <c r="C4867" s="4" t="n">
        <v>2</v>
      </c>
      <c r="D4867" s="4" t="s">
        <v>142</v>
      </c>
      <c r="E4867" s="3" t="s">
        <v>435</v>
      </c>
      <c r="F4867" s="4" t="str">
        <f aca="false">IF(I4867&gt;J4867,"Y","N")</f>
        <v>N</v>
      </c>
      <c r="G4867" s="3" t="s">
        <v>99</v>
      </c>
      <c r="H4867" s="3" t="s">
        <v>21</v>
      </c>
      <c r="I4867" s="4" t="n">
        <v>1</v>
      </c>
      <c r="J4867" s="4" t="n">
        <f aca="false">LEN(E4867)-LEN(SUBSTITUTE(E4867,",",""))+1</f>
        <v>1</v>
      </c>
      <c r="K4867" s="3" t="str">
        <f aca="false">IFERROR(INDEX('Teacher Lookup'!$B$2:$B$200,MATCH(A4867,'Teacher Lookup'!$A$2:$A$200,0)),"")</f>
        <v>FUNG Jovy</v>
      </c>
    </row>
    <row r="4868" customFormat="false" ht="15" hidden="false" customHeight="false" outlineLevel="0" collapsed="false">
      <c r="A4868" s="3" t="s">
        <v>433</v>
      </c>
      <c r="B4868" s="4" t="s">
        <v>50</v>
      </c>
      <c r="C4868" s="4" t="n">
        <v>4</v>
      </c>
      <c r="D4868" s="4" t="s">
        <v>23</v>
      </c>
      <c r="E4868" s="3" t="s">
        <v>353</v>
      </c>
      <c r="F4868" s="4" t="str">
        <f aca="false">IF(I4868&gt;J4868,"Y","N")</f>
        <v>N</v>
      </c>
      <c r="G4868" s="3" t="s">
        <v>99</v>
      </c>
      <c r="H4868" s="3" t="s">
        <v>34</v>
      </c>
      <c r="I4868" s="4" t="n">
        <v>1</v>
      </c>
      <c r="J4868" s="4" t="n">
        <f aca="false">LEN(E4868)-LEN(SUBSTITUTE(E4868,",",""))+1</f>
        <v>1</v>
      </c>
      <c r="K4868" s="3" t="str">
        <f aca="false">IFERROR(INDEX('Teacher Lookup'!$B$2:$B$200,MATCH(A4868,'Teacher Lookup'!$A$2:$A$200,0)),"")</f>
        <v>FUNG Jovy</v>
      </c>
    </row>
    <row r="4869" customFormat="false" ht="15" hidden="false" customHeight="false" outlineLevel="0" collapsed="false">
      <c r="A4869" s="3" t="s">
        <v>433</v>
      </c>
      <c r="B4869" s="4" t="s">
        <v>50</v>
      </c>
      <c r="C4869" s="4" t="n">
        <v>6</v>
      </c>
      <c r="D4869" s="4" t="s">
        <v>140</v>
      </c>
      <c r="E4869" s="3" t="s">
        <v>289</v>
      </c>
      <c r="F4869" s="4" t="str">
        <f aca="false">IF(I4869&gt;J4869,"Y","N")</f>
        <v>N</v>
      </c>
      <c r="G4869" s="3" t="s">
        <v>99</v>
      </c>
      <c r="H4869" s="3" t="s">
        <v>42</v>
      </c>
      <c r="I4869" s="4" t="n">
        <v>1</v>
      </c>
      <c r="J4869" s="4" t="n">
        <f aca="false">LEN(E4869)-LEN(SUBSTITUTE(E4869,",",""))+1</f>
        <v>1</v>
      </c>
      <c r="K4869" s="3" t="str">
        <f aca="false">IFERROR(INDEX('Teacher Lookup'!$B$2:$B$200,MATCH(A4869,'Teacher Lookup'!$A$2:$A$200,0)),"")</f>
        <v>FUNG Jovy</v>
      </c>
    </row>
    <row r="4870" customFormat="false" ht="15" hidden="false" customHeight="false" outlineLevel="0" collapsed="false">
      <c r="A4870" s="3" t="s">
        <v>433</v>
      </c>
      <c r="B4870" s="4" t="s">
        <v>50</v>
      </c>
      <c r="C4870" s="4" t="n">
        <v>7</v>
      </c>
      <c r="D4870" s="4" t="s">
        <v>124</v>
      </c>
      <c r="E4870" s="3" t="s">
        <v>288</v>
      </c>
      <c r="F4870" s="4" t="str">
        <f aca="false">IF(I4870&gt;J4870,"Y","N")</f>
        <v>N</v>
      </c>
      <c r="G4870" s="3" t="s">
        <v>99</v>
      </c>
      <c r="H4870" s="3" t="s">
        <v>39</v>
      </c>
      <c r="I4870" s="4" t="n">
        <v>1</v>
      </c>
      <c r="J4870" s="4" t="n">
        <f aca="false">LEN(E4870)-LEN(SUBSTITUTE(E4870,",",""))+1</f>
        <v>1</v>
      </c>
      <c r="K4870" s="3" t="str">
        <f aca="false">IFERROR(INDEX('Teacher Lookup'!$B$2:$B$200,MATCH(A4870,'Teacher Lookup'!$A$2:$A$200,0)),"")</f>
        <v>FUNG Jovy</v>
      </c>
    </row>
    <row r="4871" customFormat="false" ht="15" hidden="false" customHeight="false" outlineLevel="0" collapsed="false">
      <c r="A4871" s="3" t="s">
        <v>433</v>
      </c>
      <c r="B4871" s="4" t="s">
        <v>60</v>
      </c>
      <c r="C4871" s="4" t="n">
        <v>2</v>
      </c>
      <c r="D4871" s="4" t="s">
        <v>13</v>
      </c>
      <c r="E4871" s="3" t="s">
        <v>351</v>
      </c>
      <c r="F4871" s="4" t="str">
        <f aca="false">IF(I4871&gt;J4871,"Y","N")</f>
        <v>N</v>
      </c>
      <c r="G4871" s="3" t="s">
        <v>99</v>
      </c>
      <c r="H4871" s="3" t="s">
        <v>21</v>
      </c>
      <c r="I4871" s="4" t="n">
        <v>1</v>
      </c>
      <c r="J4871" s="4" t="n">
        <f aca="false">LEN(E4871)-LEN(SUBSTITUTE(E4871,",",""))+1</f>
        <v>1</v>
      </c>
      <c r="K4871" s="3" t="str">
        <f aca="false">IFERROR(INDEX('Teacher Lookup'!$B$2:$B$200,MATCH(A4871,'Teacher Lookup'!$A$2:$A$200,0)),"")</f>
        <v>FUNG Jovy</v>
      </c>
    </row>
    <row r="4872" customFormat="false" ht="15" hidden="false" customHeight="false" outlineLevel="0" collapsed="false">
      <c r="A4872" s="3" t="s">
        <v>433</v>
      </c>
      <c r="B4872" s="4" t="s">
        <v>60</v>
      </c>
      <c r="C4872" s="4" t="n">
        <v>4</v>
      </c>
      <c r="D4872" s="4" t="s">
        <v>140</v>
      </c>
      <c r="E4872" s="3" t="s">
        <v>289</v>
      </c>
      <c r="F4872" s="4" t="str">
        <f aca="false">IF(I4872&gt;J4872,"Y","N")</f>
        <v>N</v>
      </c>
      <c r="G4872" s="3" t="s">
        <v>99</v>
      </c>
      <c r="H4872" s="3" t="s">
        <v>34</v>
      </c>
      <c r="I4872" s="4" t="n">
        <v>1</v>
      </c>
      <c r="J4872" s="4" t="n">
        <f aca="false">LEN(E4872)-LEN(SUBSTITUTE(E4872,",",""))+1</f>
        <v>1</v>
      </c>
      <c r="K4872" s="3" t="str">
        <f aca="false">IFERROR(INDEX('Teacher Lookup'!$B$2:$B$200,MATCH(A4872,'Teacher Lookup'!$A$2:$A$200,0)),"")</f>
        <v>FUNG Jovy</v>
      </c>
    </row>
    <row r="4873" customFormat="false" ht="15" hidden="false" customHeight="false" outlineLevel="0" collapsed="false">
      <c r="A4873" s="3" t="s">
        <v>433</v>
      </c>
      <c r="B4873" s="4" t="s">
        <v>60</v>
      </c>
      <c r="C4873" s="4" t="n">
        <v>5</v>
      </c>
      <c r="D4873" s="4" t="s">
        <v>137</v>
      </c>
      <c r="E4873" s="3" t="s">
        <v>185</v>
      </c>
      <c r="F4873" s="4" t="str">
        <f aca="false">IF(I4873&gt;J4873,"Y","N")</f>
        <v>Y</v>
      </c>
      <c r="G4873" s="3" t="s">
        <v>36</v>
      </c>
      <c r="H4873" s="3" t="s">
        <v>37</v>
      </c>
      <c r="I4873" s="4" t="n">
        <v>21</v>
      </c>
      <c r="J4873" s="4" t="n">
        <f aca="false">LEN(E4873)-LEN(SUBSTITUTE(E4873,",",""))+1</f>
        <v>7</v>
      </c>
      <c r="K4873" s="3" t="str">
        <f aca="false">IFERROR(INDEX('Teacher Lookup'!$B$2:$B$200,MATCH(A4873,'Teacher Lookup'!$A$2:$A$200,0)),"")</f>
        <v>FUNG Jovy</v>
      </c>
    </row>
    <row r="4874" customFormat="false" ht="15" hidden="false" customHeight="false" outlineLevel="0" collapsed="false">
      <c r="A4874" s="3" t="s">
        <v>433</v>
      </c>
      <c r="B4874" s="4" t="s">
        <v>60</v>
      </c>
      <c r="C4874" s="4" t="n">
        <v>5</v>
      </c>
      <c r="D4874" s="4" t="s">
        <v>124</v>
      </c>
      <c r="E4874" s="3" t="s">
        <v>185</v>
      </c>
      <c r="F4874" s="4" t="str">
        <f aca="false">IF(I4874&gt;J4874,"Y","N")</f>
        <v>Y</v>
      </c>
      <c r="G4874" s="3" t="s">
        <v>36</v>
      </c>
      <c r="H4874" s="3" t="s">
        <v>37</v>
      </c>
      <c r="I4874" s="4" t="n">
        <v>21</v>
      </c>
      <c r="J4874" s="4" t="n">
        <f aca="false">LEN(E4874)-LEN(SUBSTITUTE(E4874,",",""))+1</f>
        <v>7</v>
      </c>
      <c r="K4874" s="3" t="str">
        <f aca="false">IFERROR(INDEX('Teacher Lookup'!$B$2:$B$200,MATCH(A4874,'Teacher Lookup'!$A$2:$A$200,0)),"")</f>
        <v>FUNG Jovy</v>
      </c>
    </row>
    <row r="4875" customFormat="false" ht="15" hidden="false" customHeight="false" outlineLevel="0" collapsed="false">
      <c r="A4875" s="3" t="s">
        <v>433</v>
      </c>
      <c r="B4875" s="4" t="s">
        <v>60</v>
      </c>
      <c r="C4875" s="4" t="n">
        <v>5</v>
      </c>
      <c r="D4875" s="4" t="s">
        <v>139</v>
      </c>
      <c r="E4875" s="3" t="s">
        <v>185</v>
      </c>
      <c r="F4875" s="4" t="str">
        <f aca="false">IF(I4875&gt;J4875,"Y","N")</f>
        <v>Y</v>
      </c>
      <c r="G4875" s="3" t="s">
        <v>36</v>
      </c>
      <c r="H4875" s="3" t="s">
        <v>37</v>
      </c>
      <c r="I4875" s="4" t="n">
        <v>21</v>
      </c>
      <c r="J4875" s="4" t="n">
        <f aca="false">LEN(E4875)-LEN(SUBSTITUTE(E4875,",",""))+1</f>
        <v>7</v>
      </c>
      <c r="K4875" s="3" t="str">
        <f aca="false">IFERROR(INDEX('Teacher Lookup'!$B$2:$B$200,MATCH(A4875,'Teacher Lookup'!$A$2:$A$200,0)),"")</f>
        <v>FUNG Jovy</v>
      </c>
    </row>
    <row r="4876" customFormat="false" ht="15" hidden="false" customHeight="false" outlineLevel="0" collapsed="false">
      <c r="A4876" s="3" t="s">
        <v>433</v>
      </c>
      <c r="B4876" s="4" t="s">
        <v>60</v>
      </c>
      <c r="C4876" s="4" t="n">
        <v>5</v>
      </c>
      <c r="D4876" s="4" t="s">
        <v>140</v>
      </c>
      <c r="E4876" s="3" t="s">
        <v>185</v>
      </c>
      <c r="F4876" s="4" t="str">
        <f aca="false">IF(I4876&gt;J4876,"Y","N")</f>
        <v>Y</v>
      </c>
      <c r="G4876" s="3" t="s">
        <v>36</v>
      </c>
      <c r="H4876" s="3" t="s">
        <v>37</v>
      </c>
      <c r="I4876" s="4" t="n">
        <v>21</v>
      </c>
      <c r="J4876" s="4" t="n">
        <f aca="false">LEN(E4876)-LEN(SUBSTITUTE(E4876,",",""))+1</f>
        <v>7</v>
      </c>
      <c r="K4876" s="3" t="str">
        <f aca="false">IFERROR(INDEX('Teacher Lookup'!$B$2:$B$200,MATCH(A4876,'Teacher Lookup'!$A$2:$A$200,0)),"")</f>
        <v>FUNG Jovy</v>
      </c>
    </row>
    <row r="4877" customFormat="false" ht="15" hidden="false" customHeight="false" outlineLevel="0" collapsed="false">
      <c r="A4877" s="3" t="s">
        <v>433</v>
      </c>
      <c r="B4877" s="4" t="s">
        <v>60</v>
      </c>
      <c r="C4877" s="4" t="n">
        <v>5</v>
      </c>
      <c r="D4877" s="4" t="s">
        <v>142</v>
      </c>
      <c r="E4877" s="3" t="s">
        <v>185</v>
      </c>
      <c r="F4877" s="4" t="str">
        <f aca="false">IF(I4877&gt;J4877,"Y","N")</f>
        <v>Y</v>
      </c>
      <c r="G4877" s="3" t="s">
        <v>36</v>
      </c>
      <c r="H4877" s="3" t="s">
        <v>37</v>
      </c>
      <c r="I4877" s="4" t="n">
        <v>21</v>
      </c>
      <c r="J4877" s="4" t="n">
        <f aca="false">LEN(E4877)-LEN(SUBSTITUTE(E4877,",",""))+1</f>
        <v>7</v>
      </c>
      <c r="K4877" s="3" t="str">
        <f aca="false">IFERROR(INDEX('Teacher Lookup'!$B$2:$B$200,MATCH(A4877,'Teacher Lookup'!$A$2:$A$200,0)),"")</f>
        <v>FUNG Jovy</v>
      </c>
    </row>
    <row r="4878" customFormat="false" ht="15" hidden="false" customHeight="false" outlineLevel="0" collapsed="false">
      <c r="A4878" s="3" t="s">
        <v>433</v>
      </c>
      <c r="B4878" s="4" t="s">
        <v>60</v>
      </c>
      <c r="C4878" s="4" t="n">
        <v>5</v>
      </c>
      <c r="D4878" s="4" t="s">
        <v>127</v>
      </c>
      <c r="E4878" s="3" t="s">
        <v>185</v>
      </c>
      <c r="F4878" s="4" t="str">
        <f aca="false">IF(I4878&gt;J4878,"Y","N")</f>
        <v>Y</v>
      </c>
      <c r="G4878" s="3" t="s">
        <v>36</v>
      </c>
      <c r="H4878" s="3" t="s">
        <v>37</v>
      </c>
      <c r="I4878" s="4" t="n">
        <v>21</v>
      </c>
      <c r="J4878" s="4" t="n">
        <f aca="false">LEN(E4878)-LEN(SUBSTITUTE(E4878,",",""))+1</f>
        <v>7</v>
      </c>
      <c r="K4878" s="3" t="str">
        <f aca="false">IFERROR(INDEX('Teacher Lookup'!$B$2:$B$200,MATCH(A4878,'Teacher Lookup'!$A$2:$A$200,0)),"")</f>
        <v>FUNG Jovy</v>
      </c>
    </row>
    <row r="4879" customFormat="false" ht="15" hidden="false" customHeight="false" outlineLevel="0" collapsed="false">
      <c r="A4879" s="3" t="s">
        <v>433</v>
      </c>
      <c r="B4879" s="4" t="s">
        <v>60</v>
      </c>
      <c r="C4879" s="4" t="n">
        <v>6</v>
      </c>
      <c r="D4879" s="4" t="s">
        <v>23</v>
      </c>
      <c r="E4879" s="3" t="s">
        <v>353</v>
      </c>
      <c r="F4879" s="4" t="str">
        <f aca="false">IF(I4879&gt;J4879,"Y","N")</f>
        <v>N</v>
      </c>
      <c r="G4879" s="3" t="s">
        <v>99</v>
      </c>
      <c r="H4879" s="3" t="s">
        <v>42</v>
      </c>
      <c r="I4879" s="4" t="n">
        <v>1</v>
      </c>
      <c r="J4879" s="4" t="n">
        <f aca="false">LEN(E4879)-LEN(SUBSTITUTE(E4879,",",""))+1</f>
        <v>1</v>
      </c>
      <c r="K4879" s="3" t="str">
        <f aca="false">IFERROR(INDEX('Teacher Lookup'!$B$2:$B$200,MATCH(A4879,'Teacher Lookup'!$A$2:$A$200,0)),"")</f>
        <v>FUNG Jovy</v>
      </c>
    </row>
    <row r="4880" customFormat="false" ht="15" hidden="false" customHeight="false" outlineLevel="0" collapsed="false">
      <c r="A4880" s="3" t="s">
        <v>433</v>
      </c>
      <c r="B4880" s="4" t="s">
        <v>63</v>
      </c>
      <c r="C4880" s="4" t="n">
        <v>3</v>
      </c>
      <c r="D4880" s="4" t="s">
        <v>18</v>
      </c>
      <c r="E4880" s="3" t="s">
        <v>349</v>
      </c>
      <c r="F4880" s="4" t="str">
        <f aca="false">IF(I4880&gt;J4880,"Y","N")</f>
        <v>N</v>
      </c>
      <c r="G4880" s="3" t="s">
        <v>99</v>
      </c>
      <c r="H4880" s="3" t="s">
        <v>26</v>
      </c>
      <c r="I4880" s="4" t="n">
        <v>1</v>
      </c>
      <c r="J4880" s="4" t="n">
        <f aca="false">LEN(E4880)-LEN(SUBSTITUTE(E4880,",",""))+1</f>
        <v>1</v>
      </c>
      <c r="K4880" s="3" t="str">
        <f aca="false">IFERROR(INDEX('Teacher Lookup'!$B$2:$B$200,MATCH(A4880,'Teacher Lookup'!$A$2:$A$200,0)),"")</f>
        <v>FUNG Jovy</v>
      </c>
    </row>
    <row r="4881" customFormat="false" ht="15" hidden="false" customHeight="false" outlineLevel="0" collapsed="false">
      <c r="A4881" s="3" t="s">
        <v>433</v>
      </c>
      <c r="B4881" s="4" t="s">
        <v>63</v>
      </c>
      <c r="C4881" s="4" t="n">
        <v>4</v>
      </c>
      <c r="D4881" s="4" t="s">
        <v>22</v>
      </c>
      <c r="E4881" s="3" t="s">
        <v>341</v>
      </c>
      <c r="F4881" s="4" t="str">
        <f aca="false">IF(I4881&gt;J4881,"Y","N")</f>
        <v>N</v>
      </c>
      <c r="G4881" s="3" t="s">
        <v>99</v>
      </c>
      <c r="H4881" s="3" t="s">
        <v>34</v>
      </c>
      <c r="I4881" s="4" t="n">
        <v>1</v>
      </c>
      <c r="J4881" s="4" t="n">
        <f aca="false">LEN(E4881)-LEN(SUBSTITUTE(E4881,",",""))+1</f>
        <v>1</v>
      </c>
      <c r="K4881" s="3" t="str">
        <f aca="false">IFERROR(INDEX('Teacher Lookup'!$B$2:$B$200,MATCH(A4881,'Teacher Lookup'!$A$2:$A$200,0)),"")</f>
        <v>FUNG Jovy</v>
      </c>
    </row>
    <row r="4882" customFormat="false" ht="15" hidden="false" customHeight="false" outlineLevel="0" collapsed="false">
      <c r="A4882" s="3" t="s">
        <v>433</v>
      </c>
      <c r="B4882" s="4" t="s">
        <v>63</v>
      </c>
      <c r="C4882" s="4" t="n">
        <v>6</v>
      </c>
      <c r="D4882" s="4" t="s">
        <v>139</v>
      </c>
      <c r="E4882" s="3" t="s">
        <v>284</v>
      </c>
      <c r="F4882" s="4" t="str">
        <f aca="false">IF(I4882&gt;J4882,"Y","N")</f>
        <v>N</v>
      </c>
      <c r="G4882" s="3" t="s">
        <v>99</v>
      </c>
      <c r="H4882" s="3" t="s">
        <v>42</v>
      </c>
      <c r="I4882" s="4" t="n">
        <v>1</v>
      </c>
      <c r="J4882" s="4" t="n">
        <f aca="false">LEN(E4882)-LEN(SUBSTITUTE(E4882,",",""))+1</f>
        <v>1</v>
      </c>
      <c r="K4882" s="3" t="str">
        <f aca="false">IFERROR(INDEX('Teacher Lookup'!$B$2:$B$200,MATCH(A4882,'Teacher Lookup'!$A$2:$A$200,0)),"")</f>
        <v>FUNG Jovy</v>
      </c>
    </row>
    <row r="4883" customFormat="false" ht="15" hidden="false" customHeight="false" outlineLevel="0" collapsed="false">
      <c r="A4883" s="3" t="s">
        <v>433</v>
      </c>
      <c r="B4883" s="4" t="s">
        <v>63</v>
      </c>
      <c r="C4883" s="4" t="n">
        <v>7</v>
      </c>
      <c r="D4883" s="4" t="s">
        <v>137</v>
      </c>
      <c r="E4883" s="3" t="s">
        <v>434</v>
      </c>
      <c r="F4883" s="4" t="str">
        <f aca="false">IF(I4883&gt;J4883,"Y","N")</f>
        <v>N</v>
      </c>
      <c r="G4883" s="3" t="s">
        <v>99</v>
      </c>
      <c r="H4883" s="3" t="s">
        <v>39</v>
      </c>
      <c r="I4883" s="4" t="n">
        <v>1</v>
      </c>
      <c r="J4883" s="4" t="n">
        <f aca="false">LEN(E4883)-LEN(SUBSTITUTE(E4883,",",""))+1</f>
        <v>1</v>
      </c>
      <c r="K4883" s="3" t="str">
        <f aca="false">IFERROR(INDEX('Teacher Lookup'!$B$2:$B$200,MATCH(A4883,'Teacher Lookup'!$A$2:$A$200,0)),"")</f>
        <v>FUNG Jovy</v>
      </c>
    </row>
    <row r="4884" customFormat="false" ht="15" hidden="false" customHeight="false" outlineLevel="0" collapsed="false">
      <c r="A4884" s="3" t="s">
        <v>433</v>
      </c>
      <c r="B4884" s="4" t="s">
        <v>65</v>
      </c>
      <c r="C4884" s="4" t="n">
        <v>2</v>
      </c>
      <c r="D4884" s="4" t="s">
        <v>18</v>
      </c>
      <c r="E4884" s="3" t="s">
        <v>349</v>
      </c>
      <c r="F4884" s="4" t="str">
        <f aca="false">IF(I4884&gt;J4884,"Y","N")</f>
        <v>N</v>
      </c>
      <c r="G4884" s="3" t="s">
        <v>99</v>
      </c>
      <c r="H4884" s="3" t="s">
        <v>21</v>
      </c>
      <c r="I4884" s="4" t="n">
        <v>1</v>
      </c>
      <c r="J4884" s="4" t="n">
        <f aca="false">LEN(E4884)-LEN(SUBSTITUTE(E4884,",",""))+1</f>
        <v>1</v>
      </c>
      <c r="K4884" s="3" t="str">
        <f aca="false">IFERROR(INDEX('Teacher Lookup'!$B$2:$B$200,MATCH(A4884,'Teacher Lookup'!$A$2:$A$200,0)),"")</f>
        <v>FUNG Jovy</v>
      </c>
    </row>
    <row r="4885" customFormat="false" ht="15" hidden="false" customHeight="false" outlineLevel="0" collapsed="false">
      <c r="A4885" s="3" t="s">
        <v>433</v>
      </c>
      <c r="B4885" s="4" t="s">
        <v>65</v>
      </c>
      <c r="C4885" s="4" t="n">
        <v>3</v>
      </c>
      <c r="D4885" s="4" t="s">
        <v>13</v>
      </c>
      <c r="E4885" s="3" t="s">
        <v>351</v>
      </c>
      <c r="F4885" s="4" t="str">
        <f aca="false">IF(I4885&gt;J4885,"Y","N")</f>
        <v>N</v>
      </c>
      <c r="G4885" s="3" t="s">
        <v>99</v>
      </c>
      <c r="H4885" s="3" t="s">
        <v>26</v>
      </c>
      <c r="I4885" s="4" t="n">
        <v>1</v>
      </c>
      <c r="J4885" s="4" t="n">
        <f aca="false">LEN(E4885)-LEN(SUBSTITUTE(E4885,",",""))+1</f>
        <v>1</v>
      </c>
      <c r="K4885" s="3" t="str">
        <f aca="false">IFERROR(INDEX('Teacher Lookup'!$B$2:$B$200,MATCH(A4885,'Teacher Lookup'!$A$2:$A$200,0)),"")</f>
        <v>FUNG Jovy</v>
      </c>
    </row>
    <row r="4886" customFormat="false" ht="15" hidden="false" customHeight="false" outlineLevel="0" collapsed="false">
      <c r="A4886" s="3" t="s">
        <v>433</v>
      </c>
      <c r="B4886" s="4" t="s">
        <v>65</v>
      </c>
      <c r="C4886" s="4" t="n">
        <v>5</v>
      </c>
      <c r="D4886" s="4" t="s">
        <v>137</v>
      </c>
      <c r="E4886" s="3" t="s">
        <v>185</v>
      </c>
      <c r="F4886" s="4" t="str">
        <f aca="false">IF(I4886&gt;J4886,"Y","N")</f>
        <v>Y</v>
      </c>
      <c r="G4886" s="3" t="s">
        <v>36</v>
      </c>
      <c r="H4886" s="3" t="s">
        <v>37</v>
      </c>
      <c r="I4886" s="4" t="n">
        <v>21</v>
      </c>
      <c r="J4886" s="4" t="n">
        <f aca="false">LEN(E4886)-LEN(SUBSTITUTE(E4886,",",""))+1</f>
        <v>7</v>
      </c>
      <c r="K4886" s="3" t="str">
        <f aca="false">IFERROR(INDEX('Teacher Lookup'!$B$2:$B$200,MATCH(A4886,'Teacher Lookup'!$A$2:$A$200,0)),"")</f>
        <v>FUNG Jovy</v>
      </c>
    </row>
    <row r="4887" customFormat="false" ht="15" hidden="false" customHeight="false" outlineLevel="0" collapsed="false">
      <c r="A4887" s="3" t="s">
        <v>433</v>
      </c>
      <c r="B4887" s="4" t="s">
        <v>65</v>
      </c>
      <c r="C4887" s="4" t="n">
        <v>5</v>
      </c>
      <c r="D4887" s="4" t="s">
        <v>124</v>
      </c>
      <c r="E4887" s="3" t="s">
        <v>185</v>
      </c>
      <c r="F4887" s="4" t="str">
        <f aca="false">IF(I4887&gt;J4887,"Y","N")</f>
        <v>Y</v>
      </c>
      <c r="G4887" s="3" t="s">
        <v>36</v>
      </c>
      <c r="H4887" s="3" t="s">
        <v>37</v>
      </c>
      <c r="I4887" s="4" t="n">
        <v>21</v>
      </c>
      <c r="J4887" s="4" t="n">
        <f aca="false">LEN(E4887)-LEN(SUBSTITUTE(E4887,",",""))+1</f>
        <v>7</v>
      </c>
      <c r="K4887" s="3" t="str">
        <f aca="false">IFERROR(INDEX('Teacher Lookup'!$B$2:$B$200,MATCH(A4887,'Teacher Lookup'!$A$2:$A$200,0)),"")</f>
        <v>FUNG Jovy</v>
      </c>
    </row>
    <row r="4888" customFormat="false" ht="15" hidden="false" customHeight="false" outlineLevel="0" collapsed="false">
      <c r="A4888" s="3" t="s">
        <v>433</v>
      </c>
      <c r="B4888" s="4" t="s">
        <v>65</v>
      </c>
      <c r="C4888" s="4" t="n">
        <v>5</v>
      </c>
      <c r="D4888" s="4" t="s">
        <v>139</v>
      </c>
      <c r="E4888" s="3" t="s">
        <v>185</v>
      </c>
      <c r="F4888" s="4" t="str">
        <f aca="false">IF(I4888&gt;J4888,"Y","N")</f>
        <v>Y</v>
      </c>
      <c r="G4888" s="3" t="s">
        <v>36</v>
      </c>
      <c r="H4888" s="3" t="s">
        <v>37</v>
      </c>
      <c r="I4888" s="4" t="n">
        <v>21</v>
      </c>
      <c r="J4888" s="4" t="n">
        <f aca="false">LEN(E4888)-LEN(SUBSTITUTE(E4888,",",""))+1</f>
        <v>7</v>
      </c>
      <c r="K4888" s="3" t="str">
        <f aca="false">IFERROR(INDEX('Teacher Lookup'!$B$2:$B$200,MATCH(A4888,'Teacher Lookup'!$A$2:$A$200,0)),"")</f>
        <v>FUNG Jovy</v>
      </c>
    </row>
    <row r="4889" customFormat="false" ht="15" hidden="false" customHeight="false" outlineLevel="0" collapsed="false">
      <c r="A4889" s="3" t="s">
        <v>433</v>
      </c>
      <c r="B4889" s="4" t="s">
        <v>65</v>
      </c>
      <c r="C4889" s="4" t="n">
        <v>5</v>
      </c>
      <c r="D4889" s="4" t="s">
        <v>140</v>
      </c>
      <c r="E4889" s="3" t="s">
        <v>185</v>
      </c>
      <c r="F4889" s="4" t="str">
        <f aca="false">IF(I4889&gt;J4889,"Y","N")</f>
        <v>Y</v>
      </c>
      <c r="G4889" s="3" t="s">
        <v>36</v>
      </c>
      <c r="H4889" s="3" t="s">
        <v>37</v>
      </c>
      <c r="I4889" s="4" t="n">
        <v>21</v>
      </c>
      <c r="J4889" s="4" t="n">
        <f aca="false">LEN(E4889)-LEN(SUBSTITUTE(E4889,",",""))+1</f>
        <v>7</v>
      </c>
      <c r="K4889" s="3" t="str">
        <f aca="false">IFERROR(INDEX('Teacher Lookup'!$B$2:$B$200,MATCH(A4889,'Teacher Lookup'!$A$2:$A$200,0)),"")</f>
        <v>FUNG Jovy</v>
      </c>
    </row>
    <row r="4890" customFormat="false" ht="15" hidden="false" customHeight="false" outlineLevel="0" collapsed="false">
      <c r="A4890" s="3" t="s">
        <v>433</v>
      </c>
      <c r="B4890" s="4" t="s">
        <v>65</v>
      </c>
      <c r="C4890" s="4" t="n">
        <v>5</v>
      </c>
      <c r="D4890" s="4" t="s">
        <v>142</v>
      </c>
      <c r="E4890" s="3" t="s">
        <v>185</v>
      </c>
      <c r="F4890" s="4" t="str">
        <f aca="false">IF(I4890&gt;J4890,"Y","N")</f>
        <v>Y</v>
      </c>
      <c r="G4890" s="3" t="s">
        <v>36</v>
      </c>
      <c r="H4890" s="3" t="s">
        <v>37</v>
      </c>
      <c r="I4890" s="4" t="n">
        <v>21</v>
      </c>
      <c r="J4890" s="4" t="n">
        <f aca="false">LEN(E4890)-LEN(SUBSTITUTE(E4890,",",""))+1</f>
        <v>7</v>
      </c>
      <c r="K4890" s="3" t="str">
        <f aca="false">IFERROR(INDEX('Teacher Lookup'!$B$2:$B$200,MATCH(A4890,'Teacher Lookup'!$A$2:$A$200,0)),"")</f>
        <v>FUNG Jovy</v>
      </c>
    </row>
    <row r="4891" customFormat="false" ht="15" hidden="false" customHeight="false" outlineLevel="0" collapsed="false">
      <c r="A4891" s="3" t="s">
        <v>433</v>
      </c>
      <c r="B4891" s="4" t="s">
        <v>65</v>
      </c>
      <c r="C4891" s="4" t="n">
        <v>5</v>
      </c>
      <c r="D4891" s="4" t="s">
        <v>127</v>
      </c>
      <c r="E4891" s="3" t="s">
        <v>185</v>
      </c>
      <c r="F4891" s="4" t="str">
        <f aca="false">IF(I4891&gt;J4891,"Y","N")</f>
        <v>Y</v>
      </c>
      <c r="G4891" s="3" t="s">
        <v>36</v>
      </c>
      <c r="H4891" s="3" t="s">
        <v>37</v>
      </c>
      <c r="I4891" s="4" t="n">
        <v>21</v>
      </c>
      <c r="J4891" s="4" t="n">
        <f aca="false">LEN(E4891)-LEN(SUBSTITUTE(E4891,",",""))+1</f>
        <v>7</v>
      </c>
      <c r="K4891" s="3" t="str">
        <f aca="false">IFERROR(INDEX('Teacher Lookup'!$B$2:$B$200,MATCH(A4891,'Teacher Lookup'!$A$2:$A$200,0)),"")</f>
        <v>FUNG Jovy</v>
      </c>
    </row>
    <row r="4892" customFormat="false" ht="15" hidden="false" customHeight="false" outlineLevel="0" collapsed="false">
      <c r="A4892" s="3" t="s">
        <v>433</v>
      </c>
      <c r="B4892" s="4" t="s">
        <v>65</v>
      </c>
      <c r="C4892" s="4" t="n">
        <v>7</v>
      </c>
      <c r="D4892" s="4" t="s">
        <v>17</v>
      </c>
      <c r="E4892" s="3" t="s">
        <v>292</v>
      </c>
      <c r="F4892" s="4" t="str">
        <f aca="false">IF(I4892&gt;J4892,"Y","N")</f>
        <v>N</v>
      </c>
      <c r="G4892" s="3" t="s">
        <v>99</v>
      </c>
      <c r="H4892" s="3" t="s">
        <v>39</v>
      </c>
      <c r="I4892" s="4" t="n">
        <v>1</v>
      </c>
      <c r="J4892" s="4" t="n">
        <f aca="false">LEN(E4892)-LEN(SUBSTITUTE(E4892,",",""))+1</f>
        <v>1</v>
      </c>
      <c r="K4892" s="3" t="str">
        <f aca="false">IFERROR(INDEX('Teacher Lookup'!$B$2:$B$200,MATCH(A4892,'Teacher Lookup'!$A$2:$A$200,0)),"")</f>
        <v>FUNG Jovy</v>
      </c>
    </row>
    <row r="4893" customFormat="false" ht="15" hidden="false" customHeight="false" outlineLevel="0" collapsed="false">
      <c r="A4893" s="3" t="s">
        <v>433</v>
      </c>
      <c r="B4893" s="4" t="s">
        <v>66</v>
      </c>
      <c r="C4893" s="4" t="n">
        <v>3</v>
      </c>
      <c r="D4893" s="4" t="s">
        <v>22</v>
      </c>
      <c r="E4893" s="3" t="s">
        <v>341</v>
      </c>
      <c r="F4893" s="4" t="str">
        <f aca="false">IF(I4893&gt;J4893,"Y","N")</f>
        <v>N</v>
      </c>
      <c r="G4893" s="3" t="s">
        <v>99</v>
      </c>
      <c r="H4893" s="3" t="s">
        <v>26</v>
      </c>
      <c r="I4893" s="4" t="n">
        <v>1</v>
      </c>
      <c r="J4893" s="4" t="n">
        <f aca="false">LEN(E4893)-LEN(SUBSTITUTE(E4893,",",""))+1</f>
        <v>1</v>
      </c>
      <c r="K4893" s="3" t="str">
        <f aca="false">IFERROR(INDEX('Teacher Lookup'!$B$2:$B$200,MATCH(A4893,'Teacher Lookup'!$A$2:$A$200,0)),"")</f>
        <v>FUNG Jovy</v>
      </c>
    </row>
    <row r="4894" customFormat="false" ht="15" hidden="false" customHeight="false" outlineLevel="0" collapsed="false">
      <c r="A4894" s="3" t="s">
        <v>433</v>
      </c>
      <c r="B4894" s="4" t="s">
        <v>66</v>
      </c>
      <c r="C4894" s="4" t="n">
        <v>5</v>
      </c>
      <c r="D4894" s="4" t="s">
        <v>142</v>
      </c>
      <c r="E4894" s="3" t="s">
        <v>435</v>
      </c>
      <c r="F4894" s="4" t="str">
        <f aca="false">IF(I4894&gt;J4894,"Y","N")</f>
        <v>N</v>
      </c>
      <c r="G4894" s="3" t="s">
        <v>99</v>
      </c>
      <c r="H4894" s="3" t="s">
        <v>37</v>
      </c>
      <c r="I4894" s="4" t="n">
        <v>1</v>
      </c>
      <c r="J4894" s="4" t="n">
        <f aca="false">LEN(E4894)-LEN(SUBSTITUTE(E4894,",",""))+1</f>
        <v>1</v>
      </c>
      <c r="K4894" s="3" t="str">
        <f aca="false">IFERROR(INDEX('Teacher Lookup'!$B$2:$B$200,MATCH(A4894,'Teacher Lookup'!$A$2:$A$200,0)),"")</f>
        <v>FUNG Jovy</v>
      </c>
    </row>
    <row r="4895" customFormat="false" ht="15" hidden="false" customHeight="false" outlineLevel="0" collapsed="false">
      <c r="A4895" s="3" t="s">
        <v>436</v>
      </c>
      <c r="B4895" s="4" t="s">
        <v>12</v>
      </c>
      <c r="C4895" s="4" t="n">
        <v>3</v>
      </c>
      <c r="D4895" s="4" t="s">
        <v>124</v>
      </c>
      <c r="E4895" s="3" t="s">
        <v>288</v>
      </c>
      <c r="F4895" s="4" t="str">
        <f aca="false">IF(I4895&gt;J4895,"Y","N")</f>
        <v>N</v>
      </c>
      <c r="G4895" s="3" t="s">
        <v>437</v>
      </c>
      <c r="H4895" s="3" t="s">
        <v>26</v>
      </c>
      <c r="I4895" s="4" t="n">
        <v>1</v>
      </c>
      <c r="J4895" s="4" t="n">
        <f aca="false">LEN(E4895)-LEN(SUBSTITUTE(E4895,",",""))+1</f>
        <v>1</v>
      </c>
      <c r="K4895" s="3" t="str">
        <f aca="false">IFERROR(INDEX('Teacher Lookup'!$B$2:$B$200,MATCH(A4895,'Teacher Lookup'!$A$2:$A$200,0)),"")</f>
        <v>LEE Jess</v>
      </c>
    </row>
    <row r="4896" customFormat="false" ht="15" hidden="false" customHeight="false" outlineLevel="0" collapsed="false">
      <c r="A4896" s="3" t="s">
        <v>436</v>
      </c>
      <c r="B4896" s="4" t="s">
        <v>12</v>
      </c>
      <c r="C4896" s="4" t="n">
        <v>4</v>
      </c>
      <c r="D4896" s="4" t="s">
        <v>19</v>
      </c>
      <c r="E4896" s="3" t="s">
        <v>390</v>
      </c>
      <c r="F4896" s="4" t="str">
        <f aca="false">IF(I4896&gt;J4896,"Y","N")</f>
        <v>Y</v>
      </c>
      <c r="G4896" s="3" t="s">
        <v>222</v>
      </c>
      <c r="H4896" s="3" t="s">
        <v>34</v>
      </c>
      <c r="I4896" s="4" t="n">
        <v>14</v>
      </c>
      <c r="J4896" s="4" t="n">
        <f aca="false">LEN(E4896)-LEN(SUBSTITUTE(E4896,",",""))+1</f>
        <v>7</v>
      </c>
      <c r="K4896" s="3" t="str">
        <f aca="false">IFERROR(INDEX('Teacher Lookup'!$B$2:$B$200,MATCH(A4896,'Teacher Lookup'!$A$2:$A$200,0)),"")</f>
        <v>LEE Jess</v>
      </c>
    </row>
    <row r="4897" customFormat="false" ht="15" hidden="false" customHeight="false" outlineLevel="0" collapsed="false">
      <c r="A4897" s="3" t="s">
        <v>436</v>
      </c>
      <c r="B4897" s="4" t="s">
        <v>12</v>
      </c>
      <c r="C4897" s="4" t="n">
        <v>4</v>
      </c>
      <c r="D4897" s="4" t="s">
        <v>22</v>
      </c>
      <c r="E4897" s="3" t="s">
        <v>390</v>
      </c>
      <c r="F4897" s="4" t="str">
        <f aca="false">IF(I4897&gt;J4897,"Y","N")</f>
        <v>Y</v>
      </c>
      <c r="G4897" s="3" t="s">
        <v>222</v>
      </c>
      <c r="H4897" s="3" t="s">
        <v>34</v>
      </c>
      <c r="I4897" s="4" t="n">
        <v>14</v>
      </c>
      <c r="J4897" s="4" t="n">
        <f aca="false">LEN(E4897)-LEN(SUBSTITUTE(E4897,",",""))+1</f>
        <v>7</v>
      </c>
      <c r="K4897" s="3" t="str">
        <f aca="false">IFERROR(INDEX('Teacher Lookup'!$B$2:$B$200,MATCH(A4897,'Teacher Lookup'!$A$2:$A$200,0)),"")</f>
        <v>LEE Jess</v>
      </c>
    </row>
    <row r="4898" customFormat="false" ht="15" hidden="false" customHeight="false" outlineLevel="0" collapsed="false">
      <c r="A4898" s="3" t="s">
        <v>436</v>
      </c>
      <c r="B4898" s="4" t="s">
        <v>12</v>
      </c>
      <c r="C4898" s="4" t="n">
        <v>4</v>
      </c>
      <c r="D4898" s="4" t="s">
        <v>23</v>
      </c>
      <c r="E4898" s="3" t="s">
        <v>390</v>
      </c>
      <c r="F4898" s="4" t="str">
        <f aca="false">IF(I4898&gt;J4898,"Y","N")</f>
        <v>Y</v>
      </c>
      <c r="G4898" s="3" t="s">
        <v>222</v>
      </c>
      <c r="H4898" s="3" t="s">
        <v>34</v>
      </c>
      <c r="I4898" s="4" t="n">
        <v>14</v>
      </c>
      <c r="J4898" s="4" t="n">
        <f aca="false">LEN(E4898)-LEN(SUBSTITUTE(E4898,",",""))+1</f>
        <v>7</v>
      </c>
      <c r="K4898" s="3" t="str">
        <f aca="false">IFERROR(INDEX('Teacher Lookup'!$B$2:$B$200,MATCH(A4898,'Teacher Lookup'!$A$2:$A$200,0)),"")</f>
        <v>LEE Jess</v>
      </c>
    </row>
    <row r="4899" customFormat="false" ht="15" hidden="false" customHeight="false" outlineLevel="0" collapsed="false">
      <c r="A4899" s="3" t="s">
        <v>436</v>
      </c>
      <c r="B4899" s="4" t="s">
        <v>12</v>
      </c>
      <c r="C4899" s="4" t="n">
        <v>4</v>
      </c>
      <c r="D4899" s="4" t="s">
        <v>13</v>
      </c>
      <c r="E4899" s="3" t="s">
        <v>390</v>
      </c>
      <c r="F4899" s="4" t="str">
        <f aca="false">IF(I4899&gt;J4899,"Y","N")</f>
        <v>Y</v>
      </c>
      <c r="G4899" s="3" t="s">
        <v>222</v>
      </c>
      <c r="H4899" s="3" t="s">
        <v>34</v>
      </c>
      <c r="I4899" s="4" t="n">
        <v>14</v>
      </c>
      <c r="J4899" s="4" t="n">
        <f aca="false">LEN(E4899)-LEN(SUBSTITUTE(E4899,",",""))+1</f>
        <v>7</v>
      </c>
      <c r="K4899" s="3" t="str">
        <f aca="false">IFERROR(INDEX('Teacher Lookup'!$B$2:$B$200,MATCH(A4899,'Teacher Lookup'!$A$2:$A$200,0)),"")</f>
        <v>LEE Jess</v>
      </c>
    </row>
    <row r="4900" customFormat="false" ht="15" hidden="false" customHeight="false" outlineLevel="0" collapsed="false">
      <c r="A4900" s="3" t="s">
        <v>436</v>
      </c>
      <c r="B4900" s="4" t="s">
        <v>12</v>
      </c>
      <c r="C4900" s="4" t="n">
        <v>4</v>
      </c>
      <c r="D4900" s="4" t="s">
        <v>17</v>
      </c>
      <c r="E4900" s="3" t="s">
        <v>390</v>
      </c>
      <c r="F4900" s="4" t="str">
        <f aca="false">IF(I4900&gt;J4900,"Y","N")</f>
        <v>Y</v>
      </c>
      <c r="G4900" s="3" t="s">
        <v>222</v>
      </c>
      <c r="H4900" s="3" t="s">
        <v>34</v>
      </c>
      <c r="I4900" s="4" t="n">
        <v>14</v>
      </c>
      <c r="J4900" s="4" t="n">
        <f aca="false">LEN(E4900)-LEN(SUBSTITUTE(E4900,",",""))+1</f>
        <v>7</v>
      </c>
      <c r="K4900" s="3" t="str">
        <f aca="false">IFERROR(INDEX('Teacher Lookup'!$B$2:$B$200,MATCH(A4900,'Teacher Lookup'!$A$2:$A$200,0)),"")</f>
        <v>LEE Jess</v>
      </c>
    </row>
    <row r="4901" customFormat="false" ht="15" hidden="false" customHeight="false" outlineLevel="0" collapsed="false">
      <c r="A4901" s="3" t="s">
        <v>436</v>
      </c>
      <c r="B4901" s="4" t="s">
        <v>12</v>
      </c>
      <c r="C4901" s="4" t="n">
        <v>4</v>
      </c>
      <c r="D4901" s="4" t="s">
        <v>18</v>
      </c>
      <c r="E4901" s="3" t="s">
        <v>390</v>
      </c>
      <c r="F4901" s="4" t="str">
        <f aca="false">IF(I4901&gt;J4901,"Y","N")</f>
        <v>Y</v>
      </c>
      <c r="G4901" s="3" t="s">
        <v>222</v>
      </c>
      <c r="H4901" s="3" t="s">
        <v>34</v>
      </c>
      <c r="I4901" s="4" t="n">
        <v>14</v>
      </c>
      <c r="J4901" s="4" t="n">
        <f aca="false">LEN(E4901)-LEN(SUBSTITUTE(E4901,",",""))+1</f>
        <v>7</v>
      </c>
      <c r="K4901" s="3" t="str">
        <f aca="false">IFERROR(INDEX('Teacher Lookup'!$B$2:$B$200,MATCH(A4901,'Teacher Lookup'!$A$2:$A$200,0)),"")</f>
        <v>LEE Jess</v>
      </c>
    </row>
    <row r="4902" customFormat="false" ht="15" hidden="false" customHeight="false" outlineLevel="0" collapsed="false">
      <c r="A4902" s="3" t="s">
        <v>436</v>
      </c>
      <c r="B4902" s="4" t="s">
        <v>12</v>
      </c>
      <c r="C4902" s="4" t="n">
        <v>5</v>
      </c>
      <c r="D4902" s="4" t="s">
        <v>19</v>
      </c>
      <c r="E4902" s="3" t="s">
        <v>390</v>
      </c>
      <c r="F4902" s="4" t="str">
        <f aca="false">IF(I4902&gt;J4902,"Y","N")</f>
        <v>Y</v>
      </c>
      <c r="G4902" s="3" t="s">
        <v>222</v>
      </c>
      <c r="H4902" s="3" t="s">
        <v>37</v>
      </c>
      <c r="I4902" s="4" t="n">
        <v>14</v>
      </c>
      <c r="J4902" s="4" t="n">
        <f aca="false">LEN(E4902)-LEN(SUBSTITUTE(E4902,",",""))+1</f>
        <v>7</v>
      </c>
      <c r="K4902" s="3" t="str">
        <f aca="false">IFERROR(INDEX('Teacher Lookup'!$B$2:$B$200,MATCH(A4902,'Teacher Lookup'!$A$2:$A$200,0)),"")</f>
        <v>LEE Jess</v>
      </c>
    </row>
    <row r="4903" customFormat="false" ht="15" hidden="false" customHeight="false" outlineLevel="0" collapsed="false">
      <c r="A4903" s="3" t="s">
        <v>436</v>
      </c>
      <c r="B4903" s="4" t="s">
        <v>12</v>
      </c>
      <c r="C4903" s="4" t="n">
        <v>5</v>
      </c>
      <c r="D4903" s="4" t="s">
        <v>22</v>
      </c>
      <c r="E4903" s="3" t="s">
        <v>390</v>
      </c>
      <c r="F4903" s="4" t="str">
        <f aca="false">IF(I4903&gt;J4903,"Y","N")</f>
        <v>Y</v>
      </c>
      <c r="G4903" s="3" t="s">
        <v>222</v>
      </c>
      <c r="H4903" s="3" t="s">
        <v>37</v>
      </c>
      <c r="I4903" s="4" t="n">
        <v>14</v>
      </c>
      <c r="J4903" s="4" t="n">
        <f aca="false">LEN(E4903)-LEN(SUBSTITUTE(E4903,",",""))+1</f>
        <v>7</v>
      </c>
      <c r="K4903" s="3" t="str">
        <f aca="false">IFERROR(INDEX('Teacher Lookup'!$B$2:$B$200,MATCH(A4903,'Teacher Lookup'!$A$2:$A$200,0)),"")</f>
        <v>LEE Jess</v>
      </c>
    </row>
    <row r="4904" customFormat="false" ht="15" hidden="false" customHeight="false" outlineLevel="0" collapsed="false">
      <c r="A4904" s="3" t="s">
        <v>436</v>
      </c>
      <c r="B4904" s="4" t="s">
        <v>12</v>
      </c>
      <c r="C4904" s="4" t="n">
        <v>5</v>
      </c>
      <c r="D4904" s="4" t="s">
        <v>23</v>
      </c>
      <c r="E4904" s="3" t="s">
        <v>390</v>
      </c>
      <c r="F4904" s="4" t="str">
        <f aca="false">IF(I4904&gt;J4904,"Y","N")</f>
        <v>Y</v>
      </c>
      <c r="G4904" s="3" t="s">
        <v>222</v>
      </c>
      <c r="H4904" s="3" t="s">
        <v>37</v>
      </c>
      <c r="I4904" s="4" t="n">
        <v>14</v>
      </c>
      <c r="J4904" s="4" t="n">
        <f aca="false">LEN(E4904)-LEN(SUBSTITUTE(E4904,",",""))+1</f>
        <v>7</v>
      </c>
      <c r="K4904" s="3" t="str">
        <f aca="false">IFERROR(INDEX('Teacher Lookup'!$B$2:$B$200,MATCH(A4904,'Teacher Lookup'!$A$2:$A$200,0)),"")</f>
        <v>LEE Jess</v>
      </c>
    </row>
    <row r="4905" customFormat="false" ht="15" hidden="false" customHeight="false" outlineLevel="0" collapsed="false">
      <c r="A4905" s="3" t="s">
        <v>436</v>
      </c>
      <c r="B4905" s="4" t="s">
        <v>12</v>
      </c>
      <c r="C4905" s="4" t="n">
        <v>5</v>
      </c>
      <c r="D4905" s="4" t="s">
        <v>13</v>
      </c>
      <c r="E4905" s="3" t="s">
        <v>390</v>
      </c>
      <c r="F4905" s="4" t="str">
        <f aca="false">IF(I4905&gt;J4905,"Y","N")</f>
        <v>Y</v>
      </c>
      <c r="G4905" s="3" t="s">
        <v>222</v>
      </c>
      <c r="H4905" s="3" t="s">
        <v>37</v>
      </c>
      <c r="I4905" s="4" t="n">
        <v>14</v>
      </c>
      <c r="J4905" s="4" t="n">
        <f aca="false">LEN(E4905)-LEN(SUBSTITUTE(E4905,",",""))+1</f>
        <v>7</v>
      </c>
      <c r="K4905" s="3" t="str">
        <f aca="false">IFERROR(INDEX('Teacher Lookup'!$B$2:$B$200,MATCH(A4905,'Teacher Lookup'!$A$2:$A$200,0)),"")</f>
        <v>LEE Jess</v>
      </c>
    </row>
    <row r="4906" customFormat="false" ht="15" hidden="false" customHeight="false" outlineLevel="0" collapsed="false">
      <c r="A4906" s="3" t="s">
        <v>436</v>
      </c>
      <c r="B4906" s="4" t="s">
        <v>12</v>
      </c>
      <c r="C4906" s="4" t="n">
        <v>5</v>
      </c>
      <c r="D4906" s="4" t="s">
        <v>17</v>
      </c>
      <c r="E4906" s="3" t="s">
        <v>390</v>
      </c>
      <c r="F4906" s="4" t="str">
        <f aca="false">IF(I4906&gt;J4906,"Y","N")</f>
        <v>Y</v>
      </c>
      <c r="G4906" s="3" t="s">
        <v>222</v>
      </c>
      <c r="H4906" s="3" t="s">
        <v>37</v>
      </c>
      <c r="I4906" s="4" t="n">
        <v>14</v>
      </c>
      <c r="J4906" s="4" t="n">
        <f aca="false">LEN(E4906)-LEN(SUBSTITUTE(E4906,",",""))+1</f>
        <v>7</v>
      </c>
      <c r="K4906" s="3" t="str">
        <f aca="false">IFERROR(INDEX('Teacher Lookup'!$B$2:$B$200,MATCH(A4906,'Teacher Lookup'!$A$2:$A$200,0)),"")</f>
        <v>LEE Jess</v>
      </c>
    </row>
    <row r="4907" customFormat="false" ht="15" hidden="false" customHeight="false" outlineLevel="0" collapsed="false">
      <c r="A4907" s="3" t="s">
        <v>436</v>
      </c>
      <c r="B4907" s="4" t="s">
        <v>12</v>
      </c>
      <c r="C4907" s="4" t="n">
        <v>5</v>
      </c>
      <c r="D4907" s="4" t="s">
        <v>18</v>
      </c>
      <c r="E4907" s="3" t="s">
        <v>390</v>
      </c>
      <c r="F4907" s="4" t="str">
        <f aca="false">IF(I4907&gt;J4907,"Y","N")</f>
        <v>Y</v>
      </c>
      <c r="G4907" s="3" t="s">
        <v>222</v>
      </c>
      <c r="H4907" s="3" t="s">
        <v>37</v>
      </c>
      <c r="I4907" s="4" t="n">
        <v>14</v>
      </c>
      <c r="J4907" s="4" t="n">
        <f aca="false">LEN(E4907)-LEN(SUBSTITUTE(E4907,",",""))+1</f>
        <v>7</v>
      </c>
      <c r="K4907" s="3" t="str">
        <f aca="false">IFERROR(INDEX('Teacher Lookup'!$B$2:$B$200,MATCH(A4907,'Teacher Lookup'!$A$2:$A$200,0)),"")</f>
        <v>LEE Jess</v>
      </c>
    </row>
    <row r="4908" customFormat="false" ht="15" hidden="false" customHeight="false" outlineLevel="0" collapsed="false">
      <c r="A4908" s="3" t="s">
        <v>436</v>
      </c>
      <c r="B4908" s="4" t="s">
        <v>12</v>
      </c>
      <c r="C4908" s="4" t="n">
        <v>6</v>
      </c>
      <c r="D4908" s="4" t="s">
        <v>73</v>
      </c>
      <c r="E4908" s="3" t="s">
        <v>438</v>
      </c>
      <c r="F4908" s="4" t="str">
        <f aca="false">IF(I4908&gt;J4908,"Y","N")</f>
        <v>N</v>
      </c>
      <c r="G4908" s="3" t="s">
        <v>437</v>
      </c>
      <c r="H4908" s="3" t="s">
        <v>42</v>
      </c>
      <c r="I4908" s="4" t="n">
        <v>1</v>
      </c>
      <c r="J4908" s="4" t="n">
        <f aca="false">LEN(E4908)-LEN(SUBSTITUTE(E4908,",",""))+1</f>
        <v>1</v>
      </c>
      <c r="K4908" s="3" t="str">
        <f aca="false">IFERROR(INDEX('Teacher Lookup'!$B$2:$B$200,MATCH(A4908,'Teacher Lookup'!$A$2:$A$200,0)),"")</f>
        <v>LEE Jess</v>
      </c>
    </row>
    <row r="4909" customFormat="false" ht="15" hidden="false" customHeight="false" outlineLevel="0" collapsed="false">
      <c r="A4909" s="3" t="s">
        <v>436</v>
      </c>
      <c r="B4909" s="4" t="s">
        <v>31</v>
      </c>
      <c r="C4909" s="4" t="n">
        <v>2</v>
      </c>
      <c r="D4909" s="4" t="s">
        <v>78</v>
      </c>
      <c r="E4909" s="3" t="s">
        <v>135</v>
      </c>
      <c r="F4909" s="4" t="str">
        <f aca="false">IF(I4909&gt;J4909,"Y","N")</f>
        <v>N</v>
      </c>
      <c r="G4909" s="3" t="s">
        <v>437</v>
      </c>
      <c r="H4909" s="3" t="s">
        <v>21</v>
      </c>
      <c r="I4909" s="4" t="n">
        <v>1</v>
      </c>
      <c r="J4909" s="4" t="n">
        <f aca="false">LEN(E4909)-LEN(SUBSTITUTE(E4909,",",""))+1</f>
        <v>1</v>
      </c>
      <c r="K4909" s="3" t="str">
        <f aca="false">IFERROR(INDEX('Teacher Lookup'!$B$2:$B$200,MATCH(A4909,'Teacher Lookup'!$A$2:$A$200,0)),"")</f>
        <v>LEE Jess</v>
      </c>
    </row>
    <row r="4910" customFormat="false" ht="15" hidden="false" customHeight="false" outlineLevel="0" collapsed="false">
      <c r="A4910" s="3" t="s">
        <v>436</v>
      </c>
      <c r="B4910" s="4" t="s">
        <v>31</v>
      </c>
      <c r="C4910" s="4" t="n">
        <v>4</v>
      </c>
      <c r="D4910" s="4" t="s">
        <v>17</v>
      </c>
      <c r="E4910" s="3" t="s">
        <v>292</v>
      </c>
      <c r="F4910" s="4" t="str">
        <f aca="false">IF(I4910&gt;J4910,"Y","N")</f>
        <v>N</v>
      </c>
      <c r="G4910" s="3" t="s">
        <v>437</v>
      </c>
      <c r="H4910" s="3" t="s">
        <v>34</v>
      </c>
      <c r="I4910" s="4" t="n">
        <v>1</v>
      </c>
      <c r="J4910" s="4" t="n">
        <f aca="false">LEN(E4910)-LEN(SUBSTITUTE(E4910,",",""))+1</f>
        <v>1</v>
      </c>
      <c r="K4910" s="3" t="str">
        <f aca="false">IFERROR(INDEX('Teacher Lookup'!$B$2:$B$200,MATCH(A4910,'Teacher Lookup'!$A$2:$A$200,0)),"")</f>
        <v>LEE Jess</v>
      </c>
    </row>
    <row r="4911" customFormat="false" ht="15" hidden="false" customHeight="false" outlineLevel="0" collapsed="false">
      <c r="A4911" s="3" t="s">
        <v>436</v>
      </c>
      <c r="B4911" s="4" t="s">
        <v>31</v>
      </c>
      <c r="C4911" s="4" t="n">
        <v>5</v>
      </c>
      <c r="D4911" s="4" t="s">
        <v>137</v>
      </c>
      <c r="E4911" s="3" t="s">
        <v>185</v>
      </c>
      <c r="F4911" s="4" t="str">
        <f aca="false">IF(I4911&gt;J4911,"Y","N")</f>
        <v>Y</v>
      </c>
      <c r="G4911" s="3" t="s">
        <v>36</v>
      </c>
      <c r="H4911" s="3" t="s">
        <v>37</v>
      </c>
      <c r="I4911" s="4" t="n">
        <v>21</v>
      </c>
      <c r="J4911" s="4" t="n">
        <f aca="false">LEN(E4911)-LEN(SUBSTITUTE(E4911,",",""))+1</f>
        <v>7</v>
      </c>
      <c r="K4911" s="3" t="str">
        <f aca="false">IFERROR(INDEX('Teacher Lookup'!$B$2:$B$200,MATCH(A4911,'Teacher Lookup'!$A$2:$A$200,0)),"")</f>
        <v>LEE Jess</v>
      </c>
    </row>
    <row r="4912" customFormat="false" ht="15" hidden="false" customHeight="false" outlineLevel="0" collapsed="false">
      <c r="A4912" s="3" t="s">
        <v>436</v>
      </c>
      <c r="B4912" s="4" t="s">
        <v>31</v>
      </c>
      <c r="C4912" s="4" t="n">
        <v>5</v>
      </c>
      <c r="D4912" s="4" t="s">
        <v>124</v>
      </c>
      <c r="E4912" s="3" t="s">
        <v>185</v>
      </c>
      <c r="F4912" s="4" t="str">
        <f aca="false">IF(I4912&gt;J4912,"Y","N")</f>
        <v>Y</v>
      </c>
      <c r="G4912" s="3" t="s">
        <v>36</v>
      </c>
      <c r="H4912" s="3" t="s">
        <v>37</v>
      </c>
      <c r="I4912" s="4" t="n">
        <v>21</v>
      </c>
      <c r="J4912" s="4" t="n">
        <f aca="false">LEN(E4912)-LEN(SUBSTITUTE(E4912,",",""))+1</f>
        <v>7</v>
      </c>
      <c r="K4912" s="3" t="str">
        <f aca="false">IFERROR(INDEX('Teacher Lookup'!$B$2:$B$200,MATCH(A4912,'Teacher Lookup'!$A$2:$A$200,0)),"")</f>
        <v>LEE Jess</v>
      </c>
    </row>
    <row r="4913" customFormat="false" ht="15" hidden="false" customHeight="false" outlineLevel="0" collapsed="false">
      <c r="A4913" s="3" t="s">
        <v>436</v>
      </c>
      <c r="B4913" s="4" t="s">
        <v>31</v>
      </c>
      <c r="C4913" s="4" t="n">
        <v>5</v>
      </c>
      <c r="D4913" s="4" t="s">
        <v>139</v>
      </c>
      <c r="E4913" s="3" t="s">
        <v>185</v>
      </c>
      <c r="F4913" s="4" t="str">
        <f aca="false">IF(I4913&gt;J4913,"Y","N")</f>
        <v>Y</v>
      </c>
      <c r="G4913" s="3" t="s">
        <v>36</v>
      </c>
      <c r="H4913" s="3" t="s">
        <v>37</v>
      </c>
      <c r="I4913" s="4" t="n">
        <v>21</v>
      </c>
      <c r="J4913" s="4" t="n">
        <f aca="false">LEN(E4913)-LEN(SUBSTITUTE(E4913,",",""))+1</f>
        <v>7</v>
      </c>
      <c r="K4913" s="3" t="str">
        <f aca="false">IFERROR(INDEX('Teacher Lookup'!$B$2:$B$200,MATCH(A4913,'Teacher Lookup'!$A$2:$A$200,0)),"")</f>
        <v>LEE Jess</v>
      </c>
    </row>
    <row r="4914" customFormat="false" ht="15" hidden="false" customHeight="false" outlineLevel="0" collapsed="false">
      <c r="A4914" s="3" t="s">
        <v>436</v>
      </c>
      <c r="B4914" s="4" t="s">
        <v>31</v>
      </c>
      <c r="C4914" s="4" t="n">
        <v>5</v>
      </c>
      <c r="D4914" s="4" t="s">
        <v>140</v>
      </c>
      <c r="E4914" s="3" t="s">
        <v>185</v>
      </c>
      <c r="F4914" s="4" t="str">
        <f aca="false">IF(I4914&gt;J4914,"Y","N")</f>
        <v>Y</v>
      </c>
      <c r="G4914" s="3" t="s">
        <v>36</v>
      </c>
      <c r="H4914" s="3" t="s">
        <v>37</v>
      </c>
      <c r="I4914" s="4" t="n">
        <v>21</v>
      </c>
      <c r="J4914" s="4" t="n">
        <f aca="false">LEN(E4914)-LEN(SUBSTITUTE(E4914,",",""))+1</f>
        <v>7</v>
      </c>
      <c r="K4914" s="3" t="str">
        <f aca="false">IFERROR(INDEX('Teacher Lookup'!$B$2:$B$200,MATCH(A4914,'Teacher Lookup'!$A$2:$A$200,0)),"")</f>
        <v>LEE Jess</v>
      </c>
    </row>
    <row r="4915" customFormat="false" ht="15" hidden="false" customHeight="false" outlineLevel="0" collapsed="false">
      <c r="A4915" s="3" t="s">
        <v>436</v>
      </c>
      <c r="B4915" s="4" t="s">
        <v>31</v>
      </c>
      <c r="C4915" s="4" t="n">
        <v>5</v>
      </c>
      <c r="D4915" s="4" t="s">
        <v>142</v>
      </c>
      <c r="E4915" s="3" t="s">
        <v>185</v>
      </c>
      <c r="F4915" s="4" t="str">
        <f aca="false">IF(I4915&gt;J4915,"Y","N")</f>
        <v>Y</v>
      </c>
      <c r="G4915" s="3" t="s">
        <v>36</v>
      </c>
      <c r="H4915" s="3" t="s">
        <v>37</v>
      </c>
      <c r="I4915" s="4" t="n">
        <v>21</v>
      </c>
      <c r="J4915" s="4" t="n">
        <f aca="false">LEN(E4915)-LEN(SUBSTITUTE(E4915,",",""))+1</f>
        <v>7</v>
      </c>
      <c r="K4915" s="3" t="str">
        <f aca="false">IFERROR(INDEX('Teacher Lookup'!$B$2:$B$200,MATCH(A4915,'Teacher Lookup'!$A$2:$A$200,0)),"")</f>
        <v>LEE Jess</v>
      </c>
    </row>
    <row r="4916" customFormat="false" ht="15" hidden="false" customHeight="false" outlineLevel="0" collapsed="false">
      <c r="A4916" s="3" t="s">
        <v>436</v>
      </c>
      <c r="B4916" s="4" t="s">
        <v>31</v>
      </c>
      <c r="C4916" s="4" t="n">
        <v>5</v>
      </c>
      <c r="D4916" s="4" t="s">
        <v>127</v>
      </c>
      <c r="E4916" s="3" t="s">
        <v>185</v>
      </c>
      <c r="F4916" s="4" t="str">
        <f aca="false">IF(I4916&gt;J4916,"Y","N")</f>
        <v>Y</v>
      </c>
      <c r="G4916" s="3" t="s">
        <v>36</v>
      </c>
      <c r="H4916" s="3" t="s">
        <v>37</v>
      </c>
      <c r="I4916" s="4" t="n">
        <v>21</v>
      </c>
      <c r="J4916" s="4" t="n">
        <f aca="false">LEN(E4916)-LEN(SUBSTITUTE(E4916,",",""))+1</f>
        <v>7</v>
      </c>
      <c r="K4916" s="3" t="str">
        <f aca="false">IFERROR(INDEX('Teacher Lookup'!$B$2:$B$200,MATCH(A4916,'Teacher Lookup'!$A$2:$A$200,0)),"")</f>
        <v>LEE Jess</v>
      </c>
    </row>
    <row r="4917" customFormat="false" ht="15" hidden="false" customHeight="false" outlineLevel="0" collapsed="false">
      <c r="A4917" s="3" t="s">
        <v>436</v>
      </c>
      <c r="B4917" s="4" t="s">
        <v>40</v>
      </c>
      <c r="C4917" s="4" t="n">
        <v>1</v>
      </c>
      <c r="D4917" s="4" t="s">
        <v>76</v>
      </c>
      <c r="E4917" s="3" t="s">
        <v>113</v>
      </c>
      <c r="F4917" s="4" t="str">
        <f aca="false">IF(I4917&gt;J4917,"Y","N")</f>
        <v>N</v>
      </c>
      <c r="G4917" s="3" t="s">
        <v>437</v>
      </c>
      <c r="H4917" s="3" t="s">
        <v>16</v>
      </c>
      <c r="I4917" s="4" t="n">
        <v>1</v>
      </c>
      <c r="J4917" s="4" t="n">
        <f aca="false">LEN(E4917)-LEN(SUBSTITUTE(E4917,",",""))+1</f>
        <v>1</v>
      </c>
      <c r="K4917" s="3" t="str">
        <f aca="false">IFERROR(INDEX('Teacher Lookup'!$B$2:$B$200,MATCH(A4917,'Teacher Lookup'!$A$2:$A$200,0)),"")</f>
        <v>LEE Jess</v>
      </c>
    </row>
    <row r="4918" customFormat="false" ht="15" hidden="false" customHeight="false" outlineLevel="0" collapsed="false">
      <c r="A4918" s="3" t="s">
        <v>436</v>
      </c>
      <c r="B4918" s="4" t="s">
        <v>40</v>
      </c>
      <c r="C4918" s="4" t="n">
        <v>2</v>
      </c>
      <c r="D4918" s="4" t="s">
        <v>127</v>
      </c>
      <c r="E4918" s="3" t="s">
        <v>128</v>
      </c>
      <c r="F4918" s="4" t="str">
        <f aca="false">IF(I4918&gt;J4918,"Y","N")</f>
        <v>N</v>
      </c>
      <c r="G4918" s="3" t="s">
        <v>437</v>
      </c>
      <c r="H4918" s="3" t="s">
        <v>21</v>
      </c>
      <c r="I4918" s="4" t="n">
        <v>1</v>
      </c>
      <c r="J4918" s="4" t="n">
        <f aca="false">LEN(E4918)-LEN(SUBSTITUTE(E4918,",",""))+1</f>
        <v>1</v>
      </c>
      <c r="K4918" s="3" t="str">
        <f aca="false">IFERROR(INDEX('Teacher Lookup'!$B$2:$B$200,MATCH(A4918,'Teacher Lookup'!$A$2:$A$200,0)),"")</f>
        <v>LEE Jess</v>
      </c>
    </row>
    <row r="4919" customFormat="false" ht="15" hidden="false" customHeight="false" outlineLevel="0" collapsed="false">
      <c r="A4919" s="3" t="s">
        <v>436</v>
      </c>
      <c r="B4919" s="4" t="s">
        <v>40</v>
      </c>
      <c r="C4919" s="4" t="n">
        <v>3</v>
      </c>
      <c r="D4919" s="4" t="s">
        <v>142</v>
      </c>
      <c r="E4919" s="3" t="s">
        <v>435</v>
      </c>
      <c r="F4919" s="4" t="str">
        <f aca="false">IF(I4919&gt;J4919,"Y","N")</f>
        <v>N</v>
      </c>
      <c r="G4919" s="3" t="s">
        <v>437</v>
      </c>
      <c r="H4919" s="3" t="s">
        <v>26</v>
      </c>
      <c r="I4919" s="4" t="n">
        <v>1</v>
      </c>
      <c r="J4919" s="4" t="n">
        <f aca="false">LEN(E4919)-LEN(SUBSTITUTE(E4919,",",""))+1</f>
        <v>1</v>
      </c>
      <c r="K4919" s="3" t="str">
        <f aca="false">IFERROR(INDEX('Teacher Lookup'!$B$2:$B$200,MATCH(A4919,'Teacher Lookup'!$A$2:$A$200,0)),"")</f>
        <v>LEE Jess</v>
      </c>
    </row>
    <row r="4920" customFormat="false" ht="15" hidden="false" customHeight="false" outlineLevel="0" collapsed="false">
      <c r="A4920" s="3" t="s">
        <v>436</v>
      </c>
      <c r="B4920" s="4" t="s">
        <v>40</v>
      </c>
      <c r="C4920" s="4" t="n">
        <v>5</v>
      </c>
      <c r="D4920" s="4" t="s">
        <v>18</v>
      </c>
      <c r="E4920" s="3" t="s">
        <v>349</v>
      </c>
      <c r="F4920" s="4" t="str">
        <f aca="false">IF(I4920&gt;J4920,"Y","N")</f>
        <v>N</v>
      </c>
      <c r="G4920" s="3" t="s">
        <v>437</v>
      </c>
      <c r="H4920" s="3" t="s">
        <v>37</v>
      </c>
      <c r="I4920" s="4" t="n">
        <v>1</v>
      </c>
      <c r="J4920" s="4" t="n">
        <f aca="false">LEN(E4920)-LEN(SUBSTITUTE(E4920,",",""))+1</f>
        <v>1</v>
      </c>
      <c r="K4920" s="3" t="str">
        <f aca="false">IFERROR(INDEX('Teacher Lookup'!$B$2:$B$200,MATCH(A4920,'Teacher Lookup'!$A$2:$A$200,0)),"")</f>
        <v>LEE Jess</v>
      </c>
    </row>
    <row r="4921" customFormat="false" ht="15" hidden="false" customHeight="false" outlineLevel="0" collapsed="false">
      <c r="A4921" s="3" t="s">
        <v>436</v>
      </c>
      <c r="B4921" s="4" t="s">
        <v>40</v>
      </c>
      <c r="C4921" s="4" t="n">
        <v>7</v>
      </c>
      <c r="D4921" s="4" t="s">
        <v>22</v>
      </c>
      <c r="E4921" s="3" t="s">
        <v>341</v>
      </c>
      <c r="F4921" s="4" t="str">
        <f aca="false">IF(I4921&gt;J4921,"Y","N")</f>
        <v>N</v>
      </c>
      <c r="G4921" s="3" t="s">
        <v>437</v>
      </c>
      <c r="H4921" s="3" t="s">
        <v>39</v>
      </c>
      <c r="I4921" s="4" t="n">
        <v>1</v>
      </c>
      <c r="J4921" s="4" t="n">
        <f aca="false">LEN(E4921)-LEN(SUBSTITUTE(E4921,",",""))+1</f>
        <v>1</v>
      </c>
      <c r="K4921" s="3" t="str">
        <f aca="false">IFERROR(INDEX('Teacher Lookup'!$B$2:$B$200,MATCH(A4921,'Teacher Lookup'!$A$2:$A$200,0)),"")</f>
        <v>LEE Jess</v>
      </c>
    </row>
    <row r="4922" customFormat="false" ht="15" hidden="false" customHeight="false" outlineLevel="0" collapsed="false">
      <c r="A4922" s="3" t="s">
        <v>436</v>
      </c>
      <c r="B4922" s="4" t="s">
        <v>44</v>
      </c>
      <c r="C4922" s="4" t="n">
        <v>2</v>
      </c>
      <c r="D4922" s="4" t="s">
        <v>19</v>
      </c>
      <c r="E4922" s="3" t="s">
        <v>109</v>
      </c>
      <c r="F4922" s="4" t="str">
        <f aca="false">IF(I4922&gt;J4922,"Y","N")</f>
        <v>N</v>
      </c>
      <c r="G4922" s="3" t="s">
        <v>437</v>
      </c>
      <c r="H4922" s="3" t="s">
        <v>21</v>
      </c>
      <c r="I4922" s="4" t="n">
        <v>1</v>
      </c>
      <c r="J4922" s="4" t="n">
        <f aca="false">LEN(E4922)-LEN(SUBSTITUTE(E4922,",",""))+1</f>
        <v>1</v>
      </c>
      <c r="K4922" s="3" t="str">
        <f aca="false">IFERROR(INDEX('Teacher Lookup'!$B$2:$B$200,MATCH(A4922,'Teacher Lookup'!$A$2:$A$200,0)),"")</f>
        <v>LEE Jess</v>
      </c>
    </row>
    <row r="4923" customFormat="false" ht="15" hidden="false" customHeight="false" outlineLevel="0" collapsed="false">
      <c r="A4923" s="3" t="s">
        <v>436</v>
      </c>
      <c r="B4923" s="4" t="s">
        <v>44</v>
      </c>
      <c r="C4923" s="4" t="n">
        <v>3</v>
      </c>
      <c r="D4923" s="4" t="s">
        <v>78</v>
      </c>
      <c r="E4923" s="3" t="s">
        <v>135</v>
      </c>
      <c r="F4923" s="4" t="str">
        <f aca="false">IF(I4923&gt;J4923,"Y","N")</f>
        <v>N</v>
      </c>
      <c r="G4923" s="3" t="s">
        <v>437</v>
      </c>
      <c r="H4923" s="3" t="s">
        <v>26</v>
      </c>
      <c r="I4923" s="4" t="n">
        <v>1</v>
      </c>
      <c r="J4923" s="4" t="n">
        <f aca="false">LEN(E4923)-LEN(SUBSTITUTE(E4923,",",""))+1</f>
        <v>1</v>
      </c>
      <c r="K4923" s="3" t="str">
        <f aca="false">IFERROR(INDEX('Teacher Lookup'!$B$2:$B$200,MATCH(A4923,'Teacher Lookup'!$A$2:$A$200,0)),"")</f>
        <v>LEE Jess</v>
      </c>
    </row>
    <row r="4924" customFormat="false" ht="15" hidden="false" customHeight="false" outlineLevel="0" collapsed="false">
      <c r="A4924" s="3" t="s">
        <v>436</v>
      </c>
      <c r="B4924" s="4" t="s">
        <v>44</v>
      </c>
      <c r="C4924" s="4" t="n">
        <v>4</v>
      </c>
      <c r="D4924" s="4" t="s">
        <v>73</v>
      </c>
      <c r="E4924" s="3" t="s">
        <v>438</v>
      </c>
      <c r="F4924" s="4" t="str">
        <f aca="false">IF(I4924&gt;J4924,"Y","N")</f>
        <v>N</v>
      </c>
      <c r="G4924" s="3" t="s">
        <v>437</v>
      </c>
      <c r="H4924" s="3" t="s">
        <v>34</v>
      </c>
      <c r="I4924" s="4" t="n">
        <v>1</v>
      </c>
      <c r="J4924" s="4" t="n">
        <f aca="false">LEN(E4924)-LEN(SUBSTITUTE(E4924,",",""))+1</f>
        <v>1</v>
      </c>
      <c r="K4924" s="3" t="str">
        <f aca="false">IFERROR(INDEX('Teacher Lookup'!$B$2:$B$200,MATCH(A4924,'Teacher Lookup'!$A$2:$A$200,0)),"")</f>
        <v>LEE Jess</v>
      </c>
    </row>
    <row r="4925" customFormat="false" ht="15" hidden="false" customHeight="false" outlineLevel="0" collapsed="false">
      <c r="A4925" s="3" t="s">
        <v>436</v>
      </c>
      <c r="B4925" s="4" t="s">
        <v>44</v>
      </c>
      <c r="C4925" s="4" t="n">
        <v>5</v>
      </c>
      <c r="D4925" s="4" t="s">
        <v>137</v>
      </c>
      <c r="E4925" s="3" t="s">
        <v>185</v>
      </c>
      <c r="F4925" s="4" t="str">
        <f aca="false">IF(I4925&gt;J4925,"Y","N")</f>
        <v>Y</v>
      </c>
      <c r="G4925" s="3" t="s">
        <v>36</v>
      </c>
      <c r="H4925" s="3" t="s">
        <v>37</v>
      </c>
      <c r="I4925" s="4" t="n">
        <v>21</v>
      </c>
      <c r="J4925" s="4" t="n">
        <f aca="false">LEN(E4925)-LEN(SUBSTITUTE(E4925,",",""))+1</f>
        <v>7</v>
      </c>
      <c r="K4925" s="3" t="str">
        <f aca="false">IFERROR(INDEX('Teacher Lookup'!$B$2:$B$200,MATCH(A4925,'Teacher Lookup'!$A$2:$A$200,0)),"")</f>
        <v>LEE Jess</v>
      </c>
    </row>
    <row r="4926" customFormat="false" ht="15" hidden="false" customHeight="false" outlineLevel="0" collapsed="false">
      <c r="A4926" s="3" t="s">
        <v>436</v>
      </c>
      <c r="B4926" s="4" t="s">
        <v>44</v>
      </c>
      <c r="C4926" s="4" t="n">
        <v>5</v>
      </c>
      <c r="D4926" s="4" t="s">
        <v>124</v>
      </c>
      <c r="E4926" s="3" t="s">
        <v>185</v>
      </c>
      <c r="F4926" s="4" t="str">
        <f aca="false">IF(I4926&gt;J4926,"Y","N")</f>
        <v>Y</v>
      </c>
      <c r="G4926" s="3" t="s">
        <v>36</v>
      </c>
      <c r="H4926" s="3" t="s">
        <v>37</v>
      </c>
      <c r="I4926" s="4" t="n">
        <v>21</v>
      </c>
      <c r="J4926" s="4" t="n">
        <f aca="false">LEN(E4926)-LEN(SUBSTITUTE(E4926,",",""))+1</f>
        <v>7</v>
      </c>
      <c r="K4926" s="3" t="str">
        <f aca="false">IFERROR(INDEX('Teacher Lookup'!$B$2:$B$200,MATCH(A4926,'Teacher Lookup'!$A$2:$A$200,0)),"")</f>
        <v>LEE Jess</v>
      </c>
    </row>
    <row r="4927" customFormat="false" ht="15" hidden="false" customHeight="false" outlineLevel="0" collapsed="false">
      <c r="A4927" s="3" t="s">
        <v>436</v>
      </c>
      <c r="B4927" s="4" t="s">
        <v>44</v>
      </c>
      <c r="C4927" s="4" t="n">
        <v>5</v>
      </c>
      <c r="D4927" s="4" t="s">
        <v>139</v>
      </c>
      <c r="E4927" s="3" t="s">
        <v>185</v>
      </c>
      <c r="F4927" s="4" t="str">
        <f aca="false">IF(I4927&gt;J4927,"Y","N")</f>
        <v>Y</v>
      </c>
      <c r="G4927" s="3" t="s">
        <v>36</v>
      </c>
      <c r="H4927" s="3" t="s">
        <v>37</v>
      </c>
      <c r="I4927" s="4" t="n">
        <v>21</v>
      </c>
      <c r="J4927" s="4" t="n">
        <f aca="false">LEN(E4927)-LEN(SUBSTITUTE(E4927,",",""))+1</f>
        <v>7</v>
      </c>
      <c r="K4927" s="3" t="str">
        <f aca="false">IFERROR(INDEX('Teacher Lookup'!$B$2:$B$200,MATCH(A4927,'Teacher Lookup'!$A$2:$A$200,0)),"")</f>
        <v>LEE Jess</v>
      </c>
    </row>
    <row r="4928" customFormat="false" ht="15" hidden="false" customHeight="false" outlineLevel="0" collapsed="false">
      <c r="A4928" s="3" t="s">
        <v>436</v>
      </c>
      <c r="B4928" s="4" t="s">
        <v>44</v>
      </c>
      <c r="C4928" s="4" t="n">
        <v>5</v>
      </c>
      <c r="D4928" s="4" t="s">
        <v>140</v>
      </c>
      <c r="E4928" s="3" t="s">
        <v>185</v>
      </c>
      <c r="F4928" s="4" t="str">
        <f aca="false">IF(I4928&gt;J4928,"Y","N")</f>
        <v>Y</v>
      </c>
      <c r="G4928" s="3" t="s">
        <v>36</v>
      </c>
      <c r="H4928" s="3" t="s">
        <v>37</v>
      </c>
      <c r="I4928" s="4" t="n">
        <v>21</v>
      </c>
      <c r="J4928" s="4" t="n">
        <f aca="false">LEN(E4928)-LEN(SUBSTITUTE(E4928,",",""))+1</f>
        <v>7</v>
      </c>
      <c r="K4928" s="3" t="str">
        <f aca="false">IFERROR(INDEX('Teacher Lookup'!$B$2:$B$200,MATCH(A4928,'Teacher Lookup'!$A$2:$A$200,0)),"")</f>
        <v>LEE Jess</v>
      </c>
    </row>
    <row r="4929" customFormat="false" ht="15" hidden="false" customHeight="false" outlineLevel="0" collapsed="false">
      <c r="A4929" s="3" t="s">
        <v>436</v>
      </c>
      <c r="B4929" s="4" t="s">
        <v>44</v>
      </c>
      <c r="C4929" s="4" t="n">
        <v>5</v>
      </c>
      <c r="D4929" s="4" t="s">
        <v>142</v>
      </c>
      <c r="E4929" s="3" t="s">
        <v>185</v>
      </c>
      <c r="F4929" s="4" t="str">
        <f aca="false">IF(I4929&gt;J4929,"Y","N")</f>
        <v>Y</v>
      </c>
      <c r="G4929" s="3" t="s">
        <v>36</v>
      </c>
      <c r="H4929" s="3" t="s">
        <v>37</v>
      </c>
      <c r="I4929" s="4" t="n">
        <v>21</v>
      </c>
      <c r="J4929" s="4" t="n">
        <f aca="false">LEN(E4929)-LEN(SUBSTITUTE(E4929,",",""))+1</f>
        <v>7</v>
      </c>
      <c r="K4929" s="3" t="str">
        <f aca="false">IFERROR(INDEX('Teacher Lookup'!$B$2:$B$200,MATCH(A4929,'Teacher Lookup'!$A$2:$A$200,0)),"")</f>
        <v>LEE Jess</v>
      </c>
    </row>
    <row r="4930" customFormat="false" ht="15" hidden="false" customHeight="false" outlineLevel="0" collapsed="false">
      <c r="A4930" s="3" t="s">
        <v>436</v>
      </c>
      <c r="B4930" s="4" t="s">
        <v>44</v>
      </c>
      <c r="C4930" s="4" t="n">
        <v>5</v>
      </c>
      <c r="D4930" s="4" t="s">
        <v>127</v>
      </c>
      <c r="E4930" s="3" t="s">
        <v>185</v>
      </c>
      <c r="F4930" s="4" t="str">
        <f aca="false">IF(I4930&gt;J4930,"Y","N")</f>
        <v>Y</v>
      </c>
      <c r="G4930" s="3" t="s">
        <v>36</v>
      </c>
      <c r="H4930" s="3" t="s">
        <v>37</v>
      </c>
      <c r="I4930" s="4" t="n">
        <v>21</v>
      </c>
      <c r="J4930" s="4" t="n">
        <f aca="false">LEN(E4930)-LEN(SUBSTITUTE(E4930,",",""))+1</f>
        <v>7</v>
      </c>
      <c r="K4930" s="3" t="str">
        <f aca="false">IFERROR(INDEX('Teacher Lookup'!$B$2:$B$200,MATCH(A4930,'Teacher Lookup'!$A$2:$A$200,0)),"")</f>
        <v>LEE Jess</v>
      </c>
    </row>
    <row r="4931" customFormat="false" ht="15" hidden="false" customHeight="false" outlineLevel="0" collapsed="false">
      <c r="A4931" s="3" t="s">
        <v>436</v>
      </c>
      <c r="B4931" s="4" t="s">
        <v>47</v>
      </c>
      <c r="C4931" s="4" t="n">
        <v>1</v>
      </c>
      <c r="D4931" s="4" t="s">
        <v>124</v>
      </c>
      <c r="E4931" s="3" t="s">
        <v>288</v>
      </c>
      <c r="F4931" s="4" t="str">
        <f aca="false">IF(I4931&gt;J4931,"Y","N")</f>
        <v>N</v>
      </c>
      <c r="G4931" s="3" t="s">
        <v>437</v>
      </c>
      <c r="H4931" s="3" t="s">
        <v>16</v>
      </c>
      <c r="I4931" s="4" t="n">
        <v>1</v>
      </c>
      <c r="J4931" s="4" t="n">
        <f aca="false">LEN(E4931)-LEN(SUBSTITUTE(E4931,",",""))+1</f>
        <v>1</v>
      </c>
      <c r="K4931" s="3" t="str">
        <f aca="false">IFERROR(INDEX('Teacher Lookup'!$B$2:$B$200,MATCH(A4931,'Teacher Lookup'!$A$2:$A$200,0)),"")</f>
        <v>LEE Jess</v>
      </c>
    </row>
    <row r="4932" customFormat="false" ht="15" hidden="false" customHeight="false" outlineLevel="0" collapsed="false">
      <c r="A4932" s="3" t="s">
        <v>436</v>
      </c>
      <c r="B4932" s="4" t="s">
        <v>47</v>
      </c>
      <c r="C4932" s="4" t="n">
        <v>2</v>
      </c>
      <c r="D4932" s="4" t="s">
        <v>142</v>
      </c>
      <c r="E4932" s="3" t="s">
        <v>435</v>
      </c>
      <c r="F4932" s="4" t="str">
        <f aca="false">IF(I4932&gt;J4932,"Y","N")</f>
        <v>N</v>
      </c>
      <c r="G4932" s="3" t="s">
        <v>437</v>
      </c>
      <c r="H4932" s="3" t="s">
        <v>21</v>
      </c>
      <c r="I4932" s="4" t="n">
        <v>1</v>
      </c>
      <c r="J4932" s="4" t="n">
        <f aca="false">LEN(E4932)-LEN(SUBSTITUTE(E4932,",",""))+1</f>
        <v>1</v>
      </c>
      <c r="K4932" s="3" t="str">
        <f aca="false">IFERROR(INDEX('Teacher Lookup'!$B$2:$B$200,MATCH(A4932,'Teacher Lookup'!$A$2:$A$200,0)),"")</f>
        <v>LEE Jess</v>
      </c>
    </row>
    <row r="4933" customFormat="false" ht="15" hidden="false" customHeight="false" outlineLevel="0" collapsed="false">
      <c r="A4933" s="3" t="s">
        <v>436</v>
      </c>
      <c r="B4933" s="4" t="s">
        <v>47</v>
      </c>
      <c r="C4933" s="4" t="n">
        <v>3</v>
      </c>
      <c r="D4933" s="4" t="s">
        <v>127</v>
      </c>
      <c r="E4933" s="3" t="s">
        <v>128</v>
      </c>
      <c r="F4933" s="4" t="str">
        <f aca="false">IF(I4933&gt;J4933,"Y","N")</f>
        <v>N</v>
      </c>
      <c r="G4933" s="3" t="s">
        <v>437</v>
      </c>
      <c r="H4933" s="3" t="s">
        <v>26</v>
      </c>
      <c r="I4933" s="4" t="n">
        <v>1</v>
      </c>
      <c r="J4933" s="4" t="n">
        <f aca="false">LEN(E4933)-LEN(SUBSTITUTE(E4933,",",""))+1</f>
        <v>1</v>
      </c>
      <c r="K4933" s="3" t="str">
        <f aca="false">IFERROR(INDEX('Teacher Lookup'!$B$2:$B$200,MATCH(A4933,'Teacher Lookup'!$A$2:$A$200,0)),"")</f>
        <v>LEE Jess</v>
      </c>
    </row>
    <row r="4934" customFormat="false" ht="15" hidden="false" customHeight="false" outlineLevel="0" collapsed="false">
      <c r="A4934" s="3" t="s">
        <v>436</v>
      </c>
      <c r="B4934" s="4" t="s">
        <v>47</v>
      </c>
      <c r="C4934" s="4" t="n">
        <v>4</v>
      </c>
      <c r="D4934" s="4" t="s">
        <v>17</v>
      </c>
      <c r="E4934" s="3" t="s">
        <v>292</v>
      </c>
      <c r="F4934" s="4" t="str">
        <f aca="false">IF(I4934&gt;J4934,"Y","N")</f>
        <v>N</v>
      </c>
      <c r="G4934" s="3" t="s">
        <v>437</v>
      </c>
      <c r="H4934" s="3" t="s">
        <v>34</v>
      </c>
      <c r="I4934" s="4" t="n">
        <v>1</v>
      </c>
      <c r="J4934" s="4" t="n">
        <f aca="false">LEN(E4934)-LEN(SUBSTITUTE(E4934,",",""))+1</f>
        <v>1</v>
      </c>
      <c r="K4934" s="3" t="str">
        <f aca="false">IFERROR(INDEX('Teacher Lookup'!$B$2:$B$200,MATCH(A4934,'Teacher Lookup'!$A$2:$A$200,0)),"")</f>
        <v>LEE Jess</v>
      </c>
    </row>
    <row r="4935" customFormat="false" ht="15" hidden="false" customHeight="false" outlineLevel="0" collapsed="false">
      <c r="A4935" s="3" t="s">
        <v>436</v>
      </c>
      <c r="B4935" s="4" t="s">
        <v>47</v>
      </c>
      <c r="C4935" s="4" t="n">
        <v>6</v>
      </c>
      <c r="D4935" s="4" t="s">
        <v>139</v>
      </c>
      <c r="E4935" s="3" t="s">
        <v>284</v>
      </c>
      <c r="F4935" s="4" t="str">
        <f aca="false">IF(I4935&gt;J4935,"Y","N")</f>
        <v>N</v>
      </c>
      <c r="G4935" s="3" t="s">
        <v>437</v>
      </c>
      <c r="H4935" s="3" t="s">
        <v>42</v>
      </c>
      <c r="I4935" s="4" t="n">
        <v>1</v>
      </c>
      <c r="J4935" s="4" t="n">
        <f aca="false">LEN(E4935)-LEN(SUBSTITUTE(E4935,",",""))+1</f>
        <v>1</v>
      </c>
      <c r="K4935" s="3" t="str">
        <f aca="false">IFERROR(INDEX('Teacher Lookup'!$B$2:$B$200,MATCH(A4935,'Teacher Lookup'!$A$2:$A$200,0)),"")</f>
        <v>LEE Jess</v>
      </c>
    </row>
    <row r="4936" customFormat="false" ht="15" hidden="false" customHeight="false" outlineLevel="0" collapsed="false">
      <c r="A4936" s="3" t="s">
        <v>436</v>
      </c>
      <c r="B4936" s="4" t="s">
        <v>50</v>
      </c>
      <c r="C4936" s="4" t="n">
        <v>3</v>
      </c>
      <c r="D4936" s="4" t="s">
        <v>76</v>
      </c>
      <c r="E4936" s="3" t="s">
        <v>113</v>
      </c>
      <c r="F4936" s="4" t="str">
        <f aca="false">IF(I4936&gt;J4936,"Y","N")</f>
        <v>N</v>
      </c>
      <c r="G4936" s="3" t="s">
        <v>437</v>
      </c>
      <c r="H4936" s="3" t="s">
        <v>26</v>
      </c>
      <c r="I4936" s="4" t="n">
        <v>1</v>
      </c>
      <c r="J4936" s="4" t="n">
        <f aca="false">LEN(E4936)-LEN(SUBSTITUTE(E4936,",",""))+1</f>
        <v>1</v>
      </c>
      <c r="K4936" s="3" t="str">
        <f aca="false">IFERROR(INDEX('Teacher Lookup'!$B$2:$B$200,MATCH(A4936,'Teacher Lookup'!$A$2:$A$200,0)),"")</f>
        <v>LEE Jess</v>
      </c>
    </row>
    <row r="4937" customFormat="false" ht="15" hidden="false" customHeight="false" outlineLevel="0" collapsed="false">
      <c r="A4937" s="3" t="s">
        <v>436</v>
      </c>
      <c r="B4937" s="4" t="s">
        <v>50</v>
      </c>
      <c r="C4937" s="4" t="n">
        <v>7</v>
      </c>
      <c r="D4937" s="4" t="s">
        <v>18</v>
      </c>
      <c r="E4937" s="3" t="s">
        <v>349</v>
      </c>
      <c r="F4937" s="4" t="str">
        <f aca="false">IF(I4937&gt;J4937,"Y","N")</f>
        <v>N</v>
      </c>
      <c r="G4937" s="3" t="s">
        <v>437</v>
      </c>
      <c r="H4937" s="3" t="s">
        <v>39</v>
      </c>
      <c r="I4937" s="4" t="n">
        <v>1</v>
      </c>
      <c r="J4937" s="4" t="n">
        <f aca="false">LEN(E4937)-LEN(SUBSTITUTE(E4937,",",""))+1</f>
        <v>1</v>
      </c>
      <c r="K4937" s="3" t="str">
        <f aca="false">IFERROR(INDEX('Teacher Lookup'!$B$2:$B$200,MATCH(A4937,'Teacher Lookup'!$A$2:$A$200,0)),"")</f>
        <v>LEE Jess</v>
      </c>
    </row>
    <row r="4938" customFormat="false" ht="15" hidden="false" customHeight="false" outlineLevel="0" collapsed="false">
      <c r="A4938" s="3" t="s">
        <v>436</v>
      </c>
      <c r="B4938" s="4" t="s">
        <v>60</v>
      </c>
      <c r="C4938" s="4" t="n">
        <v>1</v>
      </c>
      <c r="D4938" s="4" t="s">
        <v>18</v>
      </c>
      <c r="E4938" s="3" t="s">
        <v>349</v>
      </c>
      <c r="F4938" s="4" t="str">
        <f aca="false">IF(I4938&gt;J4938,"Y","N")</f>
        <v>N</v>
      </c>
      <c r="G4938" s="3" t="s">
        <v>437</v>
      </c>
      <c r="H4938" s="3" t="s">
        <v>16</v>
      </c>
      <c r="I4938" s="4" t="n">
        <v>1</v>
      </c>
      <c r="J4938" s="4" t="n">
        <f aca="false">LEN(E4938)-LEN(SUBSTITUTE(E4938,",",""))+1</f>
        <v>1</v>
      </c>
      <c r="K4938" s="3" t="str">
        <f aca="false">IFERROR(INDEX('Teacher Lookup'!$B$2:$B$200,MATCH(A4938,'Teacher Lookup'!$A$2:$A$200,0)),"")</f>
        <v>LEE Jess</v>
      </c>
    </row>
    <row r="4939" customFormat="false" ht="15" hidden="false" customHeight="false" outlineLevel="0" collapsed="false">
      <c r="A4939" s="3" t="s">
        <v>436</v>
      </c>
      <c r="B4939" s="4" t="s">
        <v>60</v>
      </c>
      <c r="C4939" s="4" t="n">
        <v>3</v>
      </c>
      <c r="D4939" s="4" t="s">
        <v>127</v>
      </c>
      <c r="E4939" s="3" t="s">
        <v>128</v>
      </c>
      <c r="F4939" s="4" t="str">
        <f aca="false">IF(I4939&gt;J4939,"Y","N")</f>
        <v>N</v>
      </c>
      <c r="G4939" s="3" t="s">
        <v>437</v>
      </c>
      <c r="H4939" s="3" t="s">
        <v>26</v>
      </c>
      <c r="I4939" s="4" t="n">
        <v>1</v>
      </c>
      <c r="J4939" s="4" t="n">
        <f aca="false">LEN(E4939)-LEN(SUBSTITUTE(E4939,",",""))+1</f>
        <v>1</v>
      </c>
      <c r="K4939" s="3" t="str">
        <f aca="false">IFERROR(INDEX('Teacher Lookup'!$B$2:$B$200,MATCH(A4939,'Teacher Lookup'!$A$2:$A$200,0)),"")</f>
        <v>LEE Jess</v>
      </c>
    </row>
    <row r="4940" customFormat="false" ht="15" hidden="false" customHeight="false" outlineLevel="0" collapsed="false">
      <c r="A4940" s="3" t="s">
        <v>436</v>
      </c>
      <c r="B4940" s="4" t="s">
        <v>60</v>
      </c>
      <c r="C4940" s="4" t="n">
        <v>5</v>
      </c>
      <c r="D4940" s="4" t="s">
        <v>137</v>
      </c>
      <c r="E4940" s="3" t="s">
        <v>185</v>
      </c>
      <c r="F4940" s="4" t="str">
        <f aca="false">IF(I4940&gt;J4940,"Y","N")</f>
        <v>Y</v>
      </c>
      <c r="G4940" s="3" t="s">
        <v>36</v>
      </c>
      <c r="H4940" s="3" t="s">
        <v>37</v>
      </c>
      <c r="I4940" s="4" t="n">
        <v>21</v>
      </c>
      <c r="J4940" s="4" t="n">
        <f aca="false">LEN(E4940)-LEN(SUBSTITUTE(E4940,",",""))+1</f>
        <v>7</v>
      </c>
      <c r="K4940" s="3" t="str">
        <f aca="false">IFERROR(INDEX('Teacher Lookup'!$B$2:$B$200,MATCH(A4940,'Teacher Lookup'!$A$2:$A$200,0)),"")</f>
        <v>LEE Jess</v>
      </c>
    </row>
    <row r="4941" customFormat="false" ht="15" hidden="false" customHeight="false" outlineLevel="0" collapsed="false">
      <c r="A4941" s="3" t="s">
        <v>436</v>
      </c>
      <c r="B4941" s="4" t="s">
        <v>60</v>
      </c>
      <c r="C4941" s="4" t="n">
        <v>5</v>
      </c>
      <c r="D4941" s="4" t="s">
        <v>124</v>
      </c>
      <c r="E4941" s="3" t="s">
        <v>185</v>
      </c>
      <c r="F4941" s="4" t="str">
        <f aca="false">IF(I4941&gt;J4941,"Y","N")</f>
        <v>Y</v>
      </c>
      <c r="G4941" s="3" t="s">
        <v>36</v>
      </c>
      <c r="H4941" s="3" t="s">
        <v>37</v>
      </c>
      <c r="I4941" s="4" t="n">
        <v>21</v>
      </c>
      <c r="J4941" s="4" t="n">
        <f aca="false">LEN(E4941)-LEN(SUBSTITUTE(E4941,",",""))+1</f>
        <v>7</v>
      </c>
      <c r="K4941" s="3" t="str">
        <f aca="false">IFERROR(INDEX('Teacher Lookup'!$B$2:$B$200,MATCH(A4941,'Teacher Lookup'!$A$2:$A$200,0)),"")</f>
        <v>LEE Jess</v>
      </c>
    </row>
    <row r="4942" customFormat="false" ht="15" hidden="false" customHeight="false" outlineLevel="0" collapsed="false">
      <c r="A4942" s="3" t="s">
        <v>436</v>
      </c>
      <c r="B4942" s="4" t="s">
        <v>60</v>
      </c>
      <c r="C4942" s="4" t="n">
        <v>5</v>
      </c>
      <c r="D4942" s="4" t="s">
        <v>139</v>
      </c>
      <c r="E4942" s="3" t="s">
        <v>185</v>
      </c>
      <c r="F4942" s="4" t="str">
        <f aca="false">IF(I4942&gt;J4942,"Y","N")</f>
        <v>Y</v>
      </c>
      <c r="G4942" s="3" t="s">
        <v>36</v>
      </c>
      <c r="H4942" s="3" t="s">
        <v>37</v>
      </c>
      <c r="I4942" s="4" t="n">
        <v>21</v>
      </c>
      <c r="J4942" s="4" t="n">
        <f aca="false">LEN(E4942)-LEN(SUBSTITUTE(E4942,",",""))+1</f>
        <v>7</v>
      </c>
      <c r="K4942" s="3" t="str">
        <f aca="false">IFERROR(INDEX('Teacher Lookup'!$B$2:$B$200,MATCH(A4942,'Teacher Lookup'!$A$2:$A$200,0)),"")</f>
        <v>LEE Jess</v>
      </c>
    </row>
    <row r="4943" customFormat="false" ht="15" hidden="false" customHeight="false" outlineLevel="0" collapsed="false">
      <c r="A4943" s="3" t="s">
        <v>436</v>
      </c>
      <c r="B4943" s="4" t="s">
        <v>60</v>
      </c>
      <c r="C4943" s="4" t="n">
        <v>5</v>
      </c>
      <c r="D4943" s="4" t="s">
        <v>140</v>
      </c>
      <c r="E4943" s="3" t="s">
        <v>185</v>
      </c>
      <c r="F4943" s="4" t="str">
        <f aca="false">IF(I4943&gt;J4943,"Y","N")</f>
        <v>Y</v>
      </c>
      <c r="G4943" s="3" t="s">
        <v>36</v>
      </c>
      <c r="H4943" s="3" t="s">
        <v>37</v>
      </c>
      <c r="I4943" s="4" t="n">
        <v>21</v>
      </c>
      <c r="J4943" s="4" t="n">
        <f aca="false">LEN(E4943)-LEN(SUBSTITUTE(E4943,",",""))+1</f>
        <v>7</v>
      </c>
      <c r="K4943" s="3" t="str">
        <f aca="false">IFERROR(INDEX('Teacher Lookup'!$B$2:$B$200,MATCH(A4943,'Teacher Lookup'!$A$2:$A$200,0)),"")</f>
        <v>LEE Jess</v>
      </c>
    </row>
    <row r="4944" customFormat="false" ht="15" hidden="false" customHeight="false" outlineLevel="0" collapsed="false">
      <c r="A4944" s="3" t="s">
        <v>436</v>
      </c>
      <c r="B4944" s="4" t="s">
        <v>60</v>
      </c>
      <c r="C4944" s="4" t="n">
        <v>5</v>
      </c>
      <c r="D4944" s="4" t="s">
        <v>142</v>
      </c>
      <c r="E4944" s="3" t="s">
        <v>185</v>
      </c>
      <c r="F4944" s="4" t="str">
        <f aca="false">IF(I4944&gt;J4944,"Y","N")</f>
        <v>Y</v>
      </c>
      <c r="G4944" s="3" t="s">
        <v>36</v>
      </c>
      <c r="H4944" s="3" t="s">
        <v>37</v>
      </c>
      <c r="I4944" s="4" t="n">
        <v>21</v>
      </c>
      <c r="J4944" s="4" t="n">
        <f aca="false">LEN(E4944)-LEN(SUBSTITUTE(E4944,",",""))+1</f>
        <v>7</v>
      </c>
      <c r="K4944" s="3" t="str">
        <f aca="false">IFERROR(INDEX('Teacher Lookup'!$B$2:$B$200,MATCH(A4944,'Teacher Lookup'!$A$2:$A$200,0)),"")</f>
        <v>LEE Jess</v>
      </c>
    </row>
    <row r="4945" customFormat="false" ht="15" hidden="false" customHeight="false" outlineLevel="0" collapsed="false">
      <c r="A4945" s="3" t="s">
        <v>436</v>
      </c>
      <c r="B4945" s="4" t="s">
        <v>60</v>
      </c>
      <c r="C4945" s="4" t="n">
        <v>5</v>
      </c>
      <c r="D4945" s="4" t="s">
        <v>127</v>
      </c>
      <c r="E4945" s="3" t="s">
        <v>185</v>
      </c>
      <c r="F4945" s="4" t="str">
        <f aca="false">IF(I4945&gt;J4945,"Y","N")</f>
        <v>Y</v>
      </c>
      <c r="G4945" s="3" t="s">
        <v>36</v>
      </c>
      <c r="H4945" s="3" t="s">
        <v>37</v>
      </c>
      <c r="I4945" s="4" t="n">
        <v>21</v>
      </c>
      <c r="J4945" s="4" t="n">
        <f aca="false">LEN(E4945)-LEN(SUBSTITUTE(E4945,",",""))+1</f>
        <v>7</v>
      </c>
      <c r="K4945" s="3" t="str">
        <f aca="false">IFERROR(INDEX('Teacher Lookup'!$B$2:$B$200,MATCH(A4945,'Teacher Lookup'!$A$2:$A$200,0)),"")</f>
        <v>LEE Jess</v>
      </c>
    </row>
    <row r="4946" customFormat="false" ht="15" hidden="false" customHeight="false" outlineLevel="0" collapsed="false">
      <c r="A4946" s="3" t="s">
        <v>436</v>
      </c>
      <c r="B4946" s="4" t="s">
        <v>60</v>
      </c>
      <c r="C4946" s="4" t="n">
        <v>6</v>
      </c>
      <c r="D4946" s="4" t="s">
        <v>19</v>
      </c>
      <c r="E4946" s="3" t="s">
        <v>109</v>
      </c>
      <c r="F4946" s="4" t="str">
        <f aca="false">IF(I4946&gt;J4946,"Y","N")</f>
        <v>N</v>
      </c>
      <c r="G4946" s="3" t="s">
        <v>437</v>
      </c>
      <c r="H4946" s="3" t="s">
        <v>42</v>
      </c>
      <c r="I4946" s="4" t="n">
        <v>1</v>
      </c>
      <c r="J4946" s="4" t="n">
        <f aca="false">LEN(E4946)-LEN(SUBSTITUTE(E4946,",",""))+1</f>
        <v>1</v>
      </c>
      <c r="K4946" s="3" t="str">
        <f aca="false">IFERROR(INDEX('Teacher Lookup'!$B$2:$B$200,MATCH(A4946,'Teacher Lookup'!$A$2:$A$200,0)),"")</f>
        <v>LEE Jess</v>
      </c>
    </row>
    <row r="4947" customFormat="false" ht="15" hidden="false" customHeight="false" outlineLevel="0" collapsed="false">
      <c r="A4947" s="3" t="s">
        <v>436</v>
      </c>
      <c r="B4947" s="4" t="s">
        <v>60</v>
      </c>
      <c r="C4947" s="4" t="n">
        <v>7</v>
      </c>
      <c r="D4947" s="4" t="s">
        <v>76</v>
      </c>
      <c r="E4947" s="3" t="s">
        <v>113</v>
      </c>
      <c r="F4947" s="4" t="str">
        <f aca="false">IF(I4947&gt;J4947,"Y","N")</f>
        <v>N</v>
      </c>
      <c r="G4947" s="3" t="s">
        <v>437</v>
      </c>
      <c r="H4947" s="3" t="s">
        <v>39</v>
      </c>
      <c r="I4947" s="4" t="n">
        <v>1</v>
      </c>
      <c r="J4947" s="4" t="n">
        <f aca="false">LEN(E4947)-LEN(SUBSTITUTE(E4947,",",""))+1</f>
        <v>1</v>
      </c>
      <c r="K4947" s="3" t="str">
        <f aca="false">IFERROR(INDEX('Teacher Lookup'!$B$2:$B$200,MATCH(A4947,'Teacher Lookup'!$A$2:$A$200,0)),"")</f>
        <v>LEE Jess</v>
      </c>
    </row>
    <row r="4948" customFormat="false" ht="15" hidden="false" customHeight="false" outlineLevel="0" collapsed="false">
      <c r="A4948" s="3" t="s">
        <v>436</v>
      </c>
      <c r="B4948" s="4" t="s">
        <v>63</v>
      </c>
      <c r="C4948" s="4" t="n">
        <v>2</v>
      </c>
      <c r="D4948" s="4" t="s">
        <v>73</v>
      </c>
      <c r="E4948" s="3" t="s">
        <v>438</v>
      </c>
      <c r="F4948" s="4" t="str">
        <f aca="false">IF(I4948&gt;J4948,"Y","N")</f>
        <v>N</v>
      </c>
      <c r="G4948" s="3" t="s">
        <v>437</v>
      </c>
      <c r="H4948" s="3" t="s">
        <v>21</v>
      </c>
      <c r="I4948" s="4" t="n">
        <v>1</v>
      </c>
      <c r="J4948" s="4" t="n">
        <f aca="false">LEN(E4948)-LEN(SUBSTITUTE(E4948,",",""))+1</f>
        <v>1</v>
      </c>
      <c r="K4948" s="3" t="str">
        <f aca="false">IFERROR(INDEX('Teacher Lookup'!$B$2:$B$200,MATCH(A4948,'Teacher Lookup'!$A$2:$A$200,0)),"")</f>
        <v>LEE Jess</v>
      </c>
    </row>
    <row r="4949" customFormat="false" ht="15" hidden="false" customHeight="false" outlineLevel="0" collapsed="false">
      <c r="A4949" s="3" t="s">
        <v>436</v>
      </c>
      <c r="B4949" s="4" t="s">
        <v>63</v>
      </c>
      <c r="C4949" s="4" t="n">
        <v>4</v>
      </c>
      <c r="D4949" s="4" t="s">
        <v>139</v>
      </c>
      <c r="E4949" s="3" t="s">
        <v>284</v>
      </c>
      <c r="F4949" s="4" t="str">
        <f aca="false">IF(I4949&gt;J4949,"Y","N")</f>
        <v>N</v>
      </c>
      <c r="G4949" s="3" t="s">
        <v>437</v>
      </c>
      <c r="H4949" s="3" t="s">
        <v>34</v>
      </c>
      <c r="I4949" s="4" t="n">
        <v>1</v>
      </c>
      <c r="J4949" s="4" t="n">
        <f aca="false">LEN(E4949)-LEN(SUBSTITUTE(E4949,",",""))+1</f>
        <v>1</v>
      </c>
      <c r="K4949" s="3" t="str">
        <f aca="false">IFERROR(INDEX('Teacher Lookup'!$B$2:$B$200,MATCH(A4949,'Teacher Lookup'!$A$2:$A$200,0)),"")</f>
        <v>LEE Jess</v>
      </c>
    </row>
    <row r="4950" customFormat="false" ht="15" hidden="false" customHeight="false" outlineLevel="0" collapsed="false">
      <c r="A4950" s="3" t="s">
        <v>436</v>
      </c>
      <c r="B4950" s="4" t="s">
        <v>63</v>
      </c>
      <c r="C4950" s="4" t="n">
        <v>5</v>
      </c>
      <c r="D4950" s="4" t="s">
        <v>22</v>
      </c>
      <c r="E4950" s="3" t="s">
        <v>341</v>
      </c>
      <c r="F4950" s="4" t="str">
        <f aca="false">IF(I4950&gt;J4950,"Y","N")</f>
        <v>N</v>
      </c>
      <c r="G4950" s="3" t="s">
        <v>437</v>
      </c>
      <c r="H4950" s="3" t="s">
        <v>37</v>
      </c>
      <c r="I4950" s="4" t="n">
        <v>1</v>
      </c>
      <c r="J4950" s="4" t="n">
        <f aca="false">LEN(E4950)-LEN(SUBSTITUTE(E4950,",",""))+1</f>
        <v>1</v>
      </c>
      <c r="K4950" s="3" t="str">
        <f aca="false">IFERROR(INDEX('Teacher Lookup'!$B$2:$B$200,MATCH(A4950,'Teacher Lookup'!$A$2:$A$200,0)),"")</f>
        <v>LEE Jess</v>
      </c>
    </row>
    <row r="4951" customFormat="false" ht="15" hidden="false" customHeight="false" outlineLevel="0" collapsed="false">
      <c r="A4951" s="3" t="s">
        <v>436</v>
      </c>
      <c r="B4951" s="4" t="s">
        <v>63</v>
      </c>
      <c r="C4951" s="4" t="n">
        <v>7</v>
      </c>
      <c r="D4951" s="4" t="s">
        <v>17</v>
      </c>
      <c r="E4951" s="3" t="s">
        <v>292</v>
      </c>
      <c r="F4951" s="4" t="str">
        <f aca="false">IF(I4951&gt;J4951,"Y","N")</f>
        <v>N</v>
      </c>
      <c r="G4951" s="3" t="s">
        <v>437</v>
      </c>
      <c r="H4951" s="3" t="s">
        <v>39</v>
      </c>
      <c r="I4951" s="4" t="n">
        <v>1</v>
      </c>
      <c r="J4951" s="4" t="n">
        <f aca="false">LEN(E4951)-LEN(SUBSTITUTE(E4951,",",""))+1</f>
        <v>1</v>
      </c>
      <c r="K4951" s="3" t="str">
        <f aca="false">IFERROR(INDEX('Teacher Lookup'!$B$2:$B$200,MATCH(A4951,'Teacher Lookup'!$A$2:$A$200,0)),"")</f>
        <v>LEE Jess</v>
      </c>
    </row>
    <row r="4952" customFormat="false" ht="15" hidden="false" customHeight="false" outlineLevel="0" collapsed="false">
      <c r="A4952" s="3" t="s">
        <v>436</v>
      </c>
      <c r="B4952" s="4" t="s">
        <v>65</v>
      </c>
      <c r="C4952" s="4" t="n">
        <v>3</v>
      </c>
      <c r="D4952" s="4" t="s">
        <v>139</v>
      </c>
      <c r="E4952" s="3" t="s">
        <v>284</v>
      </c>
      <c r="F4952" s="4" t="str">
        <f aca="false">IF(I4952&gt;J4952,"Y","N")</f>
        <v>N</v>
      </c>
      <c r="G4952" s="3" t="s">
        <v>437</v>
      </c>
      <c r="H4952" s="3" t="s">
        <v>26</v>
      </c>
      <c r="I4952" s="4" t="n">
        <v>1</v>
      </c>
      <c r="J4952" s="4" t="n">
        <f aca="false">LEN(E4952)-LEN(SUBSTITUTE(E4952,",",""))+1</f>
        <v>1</v>
      </c>
      <c r="K4952" s="3" t="str">
        <f aca="false">IFERROR(INDEX('Teacher Lookup'!$B$2:$B$200,MATCH(A4952,'Teacher Lookup'!$A$2:$A$200,0)),"")</f>
        <v>LEE Jess</v>
      </c>
    </row>
    <row r="4953" customFormat="false" ht="15" hidden="false" customHeight="false" outlineLevel="0" collapsed="false">
      <c r="A4953" s="3" t="s">
        <v>436</v>
      </c>
      <c r="B4953" s="4" t="s">
        <v>65</v>
      </c>
      <c r="C4953" s="4" t="n">
        <v>5</v>
      </c>
      <c r="D4953" s="4" t="s">
        <v>137</v>
      </c>
      <c r="E4953" s="3" t="s">
        <v>185</v>
      </c>
      <c r="F4953" s="4" t="str">
        <f aca="false">IF(I4953&gt;J4953,"Y","N")</f>
        <v>Y</v>
      </c>
      <c r="G4953" s="3" t="s">
        <v>36</v>
      </c>
      <c r="H4953" s="3" t="s">
        <v>37</v>
      </c>
      <c r="I4953" s="4" t="n">
        <v>21</v>
      </c>
      <c r="J4953" s="4" t="n">
        <f aca="false">LEN(E4953)-LEN(SUBSTITUTE(E4953,",",""))+1</f>
        <v>7</v>
      </c>
      <c r="K4953" s="3" t="str">
        <f aca="false">IFERROR(INDEX('Teacher Lookup'!$B$2:$B$200,MATCH(A4953,'Teacher Lookup'!$A$2:$A$200,0)),"")</f>
        <v>LEE Jess</v>
      </c>
    </row>
    <row r="4954" customFormat="false" ht="15" hidden="false" customHeight="false" outlineLevel="0" collapsed="false">
      <c r="A4954" s="3" t="s">
        <v>436</v>
      </c>
      <c r="B4954" s="4" t="s">
        <v>65</v>
      </c>
      <c r="C4954" s="4" t="n">
        <v>5</v>
      </c>
      <c r="D4954" s="4" t="s">
        <v>124</v>
      </c>
      <c r="E4954" s="3" t="s">
        <v>185</v>
      </c>
      <c r="F4954" s="4" t="str">
        <f aca="false">IF(I4954&gt;J4954,"Y","N")</f>
        <v>Y</v>
      </c>
      <c r="G4954" s="3" t="s">
        <v>36</v>
      </c>
      <c r="H4954" s="3" t="s">
        <v>37</v>
      </c>
      <c r="I4954" s="4" t="n">
        <v>21</v>
      </c>
      <c r="J4954" s="4" t="n">
        <f aca="false">LEN(E4954)-LEN(SUBSTITUTE(E4954,",",""))+1</f>
        <v>7</v>
      </c>
      <c r="K4954" s="3" t="str">
        <f aca="false">IFERROR(INDEX('Teacher Lookup'!$B$2:$B$200,MATCH(A4954,'Teacher Lookup'!$A$2:$A$200,0)),"")</f>
        <v>LEE Jess</v>
      </c>
    </row>
    <row r="4955" customFormat="false" ht="15" hidden="false" customHeight="false" outlineLevel="0" collapsed="false">
      <c r="A4955" s="3" t="s">
        <v>436</v>
      </c>
      <c r="B4955" s="4" t="s">
        <v>65</v>
      </c>
      <c r="C4955" s="4" t="n">
        <v>5</v>
      </c>
      <c r="D4955" s="4" t="s">
        <v>139</v>
      </c>
      <c r="E4955" s="3" t="s">
        <v>185</v>
      </c>
      <c r="F4955" s="4" t="str">
        <f aca="false">IF(I4955&gt;J4955,"Y","N")</f>
        <v>Y</v>
      </c>
      <c r="G4955" s="3" t="s">
        <v>36</v>
      </c>
      <c r="H4955" s="3" t="s">
        <v>37</v>
      </c>
      <c r="I4955" s="4" t="n">
        <v>21</v>
      </c>
      <c r="J4955" s="4" t="n">
        <f aca="false">LEN(E4955)-LEN(SUBSTITUTE(E4955,",",""))+1</f>
        <v>7</v>
      </c>
      <c r="K4955" s="3" t="str">
        <f aca="false">IFERROR(INDEX('Teacher Lookup'!$B$2:$B$200,MATCH(A4955,'Teacher Lookup'!$A$2:$A$200,0)),"")</f>
        <v>LEE Jess</v>
      </c>
    </row>
    <row r="4956" customFormat="false" ht="15" hidden="false" customHeight="false" outlineLevel="0" collapsed="false">
      <c r="A4956" s="3" t="s">
        <v>436</v>
      </c>
      <c r="B4956" s="4" t="s">
        <v>65</v>
      </c>
      <c r="C4956" s="4" t="n">
        <v>5</v>
      </c>
      <c r="D4956" s="4" t="s">
        <v>140</v>
      </c>
      <c r="E4956" s="3" t="s">
        <v>185</v>
      </c>
      <c r="F4956" s="4" t="str">
        <f aca="false">IF(I4956&gt;J4956,"Y","N")</f>
        <v>Y</v>
      </c>
      <c r="G4956" s="3" t="s">
        <v>36</v>
      </c>
      <c r="H4956" s="3" t="s">
        <v>37</v>
      </c>
      <c r="I4956" s="4" t="n">
        <v>21</v>
      </c>
      <c r="J4956" s="4" t="n">
        <f aca="false">LEN(E4956)-LEN(SUBSTITUTE(E4956,",",""))+1</f>
        <v>7</v>
      </c>
      <c r="K4956" s="3" t="str">
        <f aca="false">IFERROR(INDEX('Teacher Lookup'!$B$2:$B$200,MATCH(A4956,'Teacher Lookup'!$A$2:$A$200,0)),"")</f>
        <v>LEE Jess</v>
      </c>
    </row>
    <row r="4957" customFormat="false" ht="15" hidden="false" customHeight="false" outlineLevel="0" collapsed="false">
      <c r="A4957" s="3" t="s">
        <v>436</v>
      </c>
      <c r="B4957" s="4" t="s">
        <v>65</v>
      </c>
      <c r="C4957" s="4" t="n">
        <v>5</v>
      </c>
      <c r="D4957" s="4" t="s">
        <v>142</v>
      </c>
      <c r="E4957" s="3" t="s">
        <v>185</v>
      </c>
      <c r="F4957" s="4" t="str">
        <f aca="false">IF(I4957&gt;J4957,"Y","N")</f>
        <v>Y</v>
      </c>
      <c r="G4957" s="3" t="s">
        <v>36</v>
      </c>
      <c r="H4957" s="3" t="s">
        <v>37</v>
      </c>
      <c r="I4957" s="4" t="n">
        <v>21</v>
      </c>
      <c r="J4957" s="4" t="n">
        <f aca="false">LEN(E4957)-LEN(SUBSTITUTE(E4957,",",""))+1</f>
        <v>7</v>
      </c>
      <c r="K4957" s="3" t="str">
        <f aca="false">IFERROR(INDEX('Teacher Lookup'!$B$2:$B$200,MATCH(A4957,'Teacher Lookup'!$A$2:$A$200,0)),"")</f>
        <v>LEE Jess</v>
      </c>
    </row>
    <row r="4958" customFormat="false" ht="15" hidden="false" customHeight="false" outlineLevel="0" collapsed="false">
      <c r="A4958" s="3" t="s">
        <v>436</v>
      </c>
      <c r="B4958" s="4" t="s">
        <v>65</v>
      </c>
      <c r="C4958" s="4" t="n">
        <v>5</v>
      </c>
      <c r="D4958" s="4" t="s">
        <v>127</v>
      </c>
      <c r="E4958" s="3" t="s">
        <v>185</v>
      </c>
      <c r="F4958" s="4" t="str">
        <f aca="false">IF(I4958&gt;J4958,"Y","N")</f>
        <v>Y</v>
      </c>
      <c r="G4958" s="3" t="s">
        <v>36</v>
      </c>
      <c r="H4958" s="3" t="s">
        <v>37</v>
      </c>
      <c r="I4958" s="4" t="n">
        <v>21</v>
      </c>
      <c r="J4958" s="4" t="n">
        <f aca="false">LEN(E4958)-LEN(SUBSTITUTE(E4958,",",""))+1</f>
        <v>7</v>
      </c>
      <c r="K4958" s="3" t="str">
        <f aca="false">IFERROR(INDEX('Teacher Lookup'!$B$2:$B$200,MATCH(A4958,'Teacher Lookup'!$A$2:$A$200,0)),"")</f>
        <v>LEE Jess</v>
      </c>
    </row>
    <row r="4959" customFormat="false" ht="15" hidden="false" customHeight="false" outlineLevel="0" collapsed="false">
      <c r="A4959" s="3" t="s">
        <v>436</v>
      </c>
      <c r="B4959" s="4" t="s">
        <v>65</v>
      </c>
      <c r="C4959" s="4" t="n">
        <v>6</v>
      </c>
      <c r="D4959" s="4" t="s">
        <v>142</v>
      </c>
      <c r="E4959" s="3" t="s">
        <v>435</v>
      </c>
      <c r="F4959" s="4" t="str">
        <f aca="false">IF(I4959&gt;J4959,"Y","N")</f>
        <v>N</v>
      </c>
      <c r="G4959" s="3" t="s">
        <v>437</v>
      </c>
      <c r="H4959" s="3" t="s">
        <v>42</v>
      </c>
      <c r="I4959" s="4" t="n">
        <v>1</v>
      </c>
      <c r="J4959" s="4" t="n">
        <f aca="false">LEN(E4959)-LEN(SUBSTITUTE(E4959,",",""))+1</f>
        <v>1</v>
      </c>
      <c r="K4959" s="3" t="str">
        <f aca="false">IFERROR(INDEX('Teacher Lookup'!$B$2:$B$200,MATCH(A4959,'Teacher Lookup'!$A$2:$A$200,0)),"")</f>
        <v>LEE Jess</v>
      </c>
    </row>
    <row r="4960" customFormat="false" ht="15" hidden="false" customHeight="false" outlineLevel="0" collapsed="false">
      <c r="A4960" s="3" t="s">
        <v>436</v>
      </c>
      <c r="B4960" s="4" t="s">
        <v>65</v>
      </c>
      <c r="C4960" s="4" t="n">
        <v>7</v>
      </c>
      <c r="D4960" s="4" t="s">
        <v>22</v>
      </c>
      <c r="E4960" s="3" t="s">
        <v>341</v>
      </c>
      <c r="F4960" s="4" t="str">
        <f aca="false">IF(I4960&gt;J4960,"Y","N")</f>
        <v>N</v>
      </c>
      <c r="G4960" s="3" t="s">
        <v>437</v>
      </c>
      <c r="H4960" s="3" t="s">
        <v>39</v>
      </c>
      <c r="I4960" s="4" t="n">
        <v>1</v>
      </c>
      <c r="J4960" s="4" t="n">
        <f aca="false">LEN(E4960)-LEN(SUBSTITUTE(E4960,",",""))+1</f>
        <v>1</v>
      </c>
      <c r="K4960" s="3" t="str">
        <f aca="false">IFERROR(INDEX('Teacher Lookup'!$B$2:$B$200,MATCH(A4960,'Teacher Lookup'!$A$2:$A$200,0)),"")</f>
        <v>LEE Jess</v>
      </c>
    </row>
    <row r="4961" customFormat="false" ht="15" hidden="false" customHeight="false" outlineLevel="0" collapsed="false">
      <c r="A4961" s="3" t="s">
        <v>436</v>
      </c>
      <c r="B4961" s="4" t="s">
        <v>66</v>
      </c>
      <c r="C4961" s="4" t="n">
        <v>2</v>
      </c>
      <c r="D4961" s="4" t="s">
        <v>78</v>
      </c>
      <c r="E4961" s="3" t="s">
        <v>135</v>
      </c>
      <c r="F4961" s="4" t="str">
        <f aca="false">IF(I4961&gt;J4961,"Y","N")</f>
        <v>N</v>
      </c>
      <c r="G4961" s="3" t="s">
        <v>437</v>
      </c>
      <c r="H4961" s="3" t="s">
        <v>21</v>
      </c>
      <c r="I4961" s="4" t="n">
        <v>1</v>
      </c>
      <c r="J4961" s="4" t="n">
        <f aca="false">LEN(E4961)-LEN(SUBSTITUTE(E4961,",",""))+1</f>
        <v>1</v>
      </c>
      <c r="K4961" s="3" t="str">
        <f aca="false">IFERROR(INDEX('Teacher Lookup'!$B$2:$B$200,MATCH(A4961,'Teacher Lookup'!$A$2:$A$200,0)),"")</f>
        <v>LEE Jess</v>
      </c>
    </row>
    <row r="4962" customFormat="false" ht="15" hidden="false" customHeight="false" outlineLevel="0" collapsed="false">
      <c r="A4962" s="3" t="s">
        <v>436</v>
      </c>
      <c r="B4962" s="4" t="s">
        <v>66</v>
      </c>
      <c r="C4962" s="4" t="n">
        <v>4</v>
      </c>
      <c r="D4962" s="4" t="s">
        <v>19</v>
      </c>
      <c r="E4962" s="3" t="s">
        <v>109</v>
      </c>
      <c r="F4962" s="4" t="str">
        <f aca="false">IF(I4962&gt;J4962,"Y","N")</f>
        <v>N</v>
      </c>
      <c r="G4962" s="3" t="s">
        <v>437</v>
      </c>
      <c r="H4962" s="3" t="s">
        <v>34</v>
      </c>
      <c r="I4962" s="4" t="n">
        <v>1</v>
      </c>
      <c r="J4962" s="4" t="n">
        <f aca="false">LEN(E4962)-LEN(SUBSTITUTE(E4962,",",""))+1</f>
        <v>1</v>
      </c>
      <c r="K4962" s="3" t="str">
        <f aca="false">IFERROR(INDEX('Teacher Lookup'!$B$2:$B$200,MATCH(A4962,'Teacher Lookup'!$A$2:$A$200,0)),"")</f>
        <v>LEE Jess</v>
      </c>
    </row>
    <row r="4963" customFormat="false" ht="15" hidden="false" customHeight="false" outlineLevel="0" collapsed="false">
      <c r="A4963" s="3" t="s">
        <v>436</v>
      </c>
      <c r="B4963" s="4" t="s">
        <v>66</v>
      </c>
      <c r="C4963" s="4" t="n">
        <v>7</v>
      </c>
      <c r="D4963" s="4" t="s">
        <v>124</v>
      </c>
      <c r="E4963" s="3" t="s">
        <v>288</v>
      </c>
      <c r="F4963" s="4" t="str">
        <f aca="false">IF(I4963&gt;J4963,"Y","N")</f>
        <v>N</v>
      </c>
      <c r="G4963" s="3" t="s">
        <v>437</v>
      </c>
      <c r="H4963" s="3" t="s">
        <v>39</v>
      </c>
      <c r="I4963" s="4" t="n">
        <v>1</v>
      </c>
      <c r="J4963" s="4" t="n">
        <f aca="false">LEN(E4963)-LEN(SUBSTITUTE(E4963,",",""))+1</f>
        <v>1</v>
      </c>
      <c r="K4963" s="3" t="str">
        <f aca="false">IFERROR(INDEX('Teacher Lookup'!$B$2:$B$200,MATCH(A4963,'Teacher Lookup'!$A$2:$A$200,0)),"")</f>
        <v>LEE Jess</v>
      </c>
    </row>
    <row r="4964" customFormat="false" ht="15" hidden="false" customHeight="false" outlineLevel="0" collapsed="false">
      <c r="A4964" s="3" t="s">
        <v>439</v>
      </c>
      <c r="B4964" s="4" t="s">
        <v>12</v>
      </c>
      <c r="C4964" s="4" t="n">
        <v>1</v>
      </c>
      <c r="D4964" s="4" t="s">
        <v>52</v>
      </c>
      <c r="E4964" s="3" t="s">
        <v>301</v>
      </c>
      <c r="F4964" s="4" t="str">
        <f aca="false">IF(I4964&gt;J4964,"Y","N")</f>
        <v>N</v>
      </c>
      <c r="G4964" s="3" t="s">
        <v>15</v>
      </c>
      <c r="H4964" s="3" t="s">
        <v>16</v>
      </c>
      <c r="I4964" s="4" t="n">
        <v>7</v>
      </c>
      <c r="J4964" s="4" t="n">
        <f aca="false">LEN(E4964)-LEN(SUBSTITUTE(E4964,",",""))+1</f>
        <v>7</v>
      </c>
      <c r="K4964" s="3" t="str">
        <f aca="false">IFERROR(INDEX('Teacher Lookup'!$B$2:$B$200,MATCH(A4964,'Teacher Lookup'!$A$2:$A$200,0)),"")</f>
        <v>LEUNG Jimmy</v>
      </c>
    </row>
    <row r="4965" customFormat="false" ht="15" hidden="false" customHeight="false" outlineLevel="0" collapsed="false">
      <c r="A4965" s="3" t="s">
        <v>439</v>
      </c>
      <c r="B4965" s="4" t="s">
        <v>12</v>
      </c>
      <c r="C4965" s="4" t="n">
        <v>1</v>
      </c>
      <c r="D4965" s="4" t="s">
        <v>55</v>
      </c>
      <c r="E4965" s="3" t="s">
        <v>301</v>
      </c>
      <c r="F4965" s="4" t="str">
        <f aca="false">IF(I4965&gt;J4965,"Y","N")</f>
        <v>N</v>
      </c>
      <c r="G4965" s="3" t="s">
        <v>15</v>
      </c>
      <c r="H4965" s="3" t="s">
        <v>16</v>
      </c>
      <c r="I4965" s="4" t="n">
        <v>7</v>
      </c>
      <c r="J4965" s="4" t="n">
        <f aca="false">LEN(E4965)-LEN(SUBSTITUTE(E4965,",",""))+1</f>
        <v>7</v>
      </c>
      <c r="K4965" s="3" t="str">
        <f aca="false">IFERROR(INDEX('Teacher Lookup'!$B$2:$B$200,MATCH(A4965,'Teacher Lookup'!$A$2:$A$200,0)),"")</f>
        <v>LEUNG Jimmy</v>
      </c>
    </row>
    <row r="4966" customFormat="false" ht="15" hidden="false" customHeight="false" outlineLevel="0" collapsed="false">
      <c r="A4966" s="3" t="s">
        <v>439</v>
      </c>
      <c r="B4966" s="4" t="s">
        <v>12</v>
      </c>
      <c r="C4966" s="4" t="n">
        <v>1</v>
      </c>
      <c r="D4966" s="4" t="s">
        <v>56</v>
      </c>
      <c r="E4966" s="3" t="s">
        <v>301</v>
      </c>
      <c r="F4966" s="4" t="str">
        <f aca="false">IF(I4966&gt;J4966,"Y","N")</f>
        <v>N</v>
      </c>
      <c r="G4966" s="3" t="s">
        <v>15</v>
      </c>
      <c r="H4966" s="3" t="s">
        <v>16</v>
      </c>
      <c r="I4966" s="4" t="n">
        <v>7</v>
      </c>
      <c r="J4966" s="4" t="n">
        <f aca="false">LEN(E4966)-LEN(SUBSTITUTE(E4966,",",""))+1</f>
        <v>7</v>
      </c>
      <c r="K4966" s="3" t="str">
        <f aca="false">IFERROR(INDEX('Teacher Lookup'!$B$2:$B$200,MATCH(A4966,'Teacher Lookup'!$A$2:$A$200,0)),"")</f>
        <v>LEUNG Jimmy</v>
      </c>
    </row>
    <row r="4967" customFormat="false" ht="15" hidden="false" customHeight="false" outlineLevel="0" collapsed="false">
      <c r="A4967" s="3" t="s">
        <v>439</v>
      </c>
      <c r="B4967" s="4" t="s">
        <v>12</v>
      </c>
      <c r="C4967" s="4" t="n">
        <v>1</v>
      </c>
      <c r="D4967" s="4" t="s">
        <v>57</v>
      </c>
      <c r="E4967" s="3" t="s">
        <v>301</v>
      </c>
      <c r="F4967" s="4" t="str">
        <f aca="false">IF(I4967&gt;J4967,"Y","N")</f>
        <v>N</v>
      </c>
      <c r="G4967" s="3" t="s">
        <v>15</v>
      </c>
      <c r="H4967" s="3" t="s">
        <v>16</v>
      </c>
      <c r="I4967" s="4" t="n">
        <v>7</v>
      </c>
      <c r="J4967" s="4" t="n">
        <f aca="false">LEN(E4967)-LEN(SUBSTITUTE(E4967,",",""))+1</f>
        <v>7</v>
      </c>
      <c r="K4967" s="3" t="str">
        <f aca="false">IFERROR(INDEX('Teacher Lookup'!$B$2:$B$200,MATCH(A4967,'Teacher Lookup'!$A$2:$A$200,0)),"")</f>
        <v>LEUNG Jimmy</v>
      </c>
    </row>
    <row r="4968" customFormat="false" ht="15" hidden="false" customHeight="false" outlineLevel="0" collapsed="false">
      <c r="A4968" s="3" t="s">
        <v>439</v>
      </c>
      <c r="B4968" s="4" t="s">
        <v>12</v>
      </c>
      <c r="C4968" s="4" t="n">
        <v>1</v>
      </c>
      <c r="D4968" s="4" t="s">
        <v>58</v>
      </c>
      <c r="E4968" s="3" t="s">
        <v>301</v>
      </c>
      <c r="F4968" s="4" t="str">
        <f aca="false">IF(I4968&gt;J4968,"Y","N")</f>
        <v>N</v>
      </c>
      <c r="G4968" s="3" t="s">
        <v>15</v>
      </c>
      <c r="H4968" s="3" t="s">
        <v>16</v>
      </c>
      <c r="I4968" s="4" t="n">
        <v>7</v>
      </c>
      <c r="J4968" s="4" t="n">
        <f aca="false">LEN(E4968)-LEN(SUBSTITUTE(E4968,",",""))+1</f>
        <v>7</v>
      </c>
      <c r="K4968" s="3" t="str">
        <f aca="false">IFERROR(INDEX('Teacher Lookup'!$B$2:$B$200,MATCH(A4968,'Teacher Lookup'!$A$2:$A$200,0)),"")</f>
        <v>LEUNG Jimmy</v>
      </c>
    </row>
    <row r="4969" customFormat="false" ht="15" hidden="false" customHeight="false" outlineLevel="0" collapsed="false">
      <c r="A4969" s="3" t="s">
        <v>439</v>
      </c>
      <c r="B4969" s="4" t="s">
        <v>12</v>
      </c>
      <c r="C4969" s="4" t="n">
        <v>1</v>
      </c>
      <c r="D4969" s="4" t="s">
        <v>59</v>
      </c>
      <c r="E4969" s="3" t="s">
        <v>301</v>
      </c>
      <c r="F4969" s="4" t="str">
        <f aca="false">IF(I4969&gt;J4969,"Y","N")</f>
        <v>N</v>
      </c>
      <c r="G4969" s="3" t="s">
        <v>15</v>
      </c>
      <c r="H4969" s="3" t="s">
        <v>16</v>
      </c>
      <c r="I4969" s="4" t="n">
        <v>7</v>
      </c>
      <c r="J4969" s="4" t="n">
        <f aca="false">LEN(E4969)-LEN(SUBSTITUTE(E4969,",",""))+1</f>
        <v>7</v>
      </c>
      <c r="K4969" s="3" t="str">
        <f aca="false">IFERROR(INDEX('Teacher Lookup'!$B$2:$B$200,MATCH(A4969,'Teacher Lookup'!$A$2:$A$200,0)),"")</f>
        <v>LEUNG Jimmy</v>
      </c>
    </row>
    <row r="4970" customFormat="false" ht="15" hidden="false" customHeight="false" outlineLevel="0" collapsed="false">
      <c r="A4970" s="3" t="s">
        <v>439</v>
      </c>
      <c r="B4970" s="4" t="s">
        <v>12</v>
      </c>
      <c r="C4970" s="4" t="n">
        <v>3</v>
      </c>
      <c r="D4970" s="4" t="s">
        <v>102</v>
      </c>
      <c r="E4970" s="3" t="s">
        <v>227</v>
      </c>
      <c r="F4970" s="4" t="str">
        <f aca="false">IF(I4970&gt;J4970,"Y","N")</f>
        <v>N</v>
      </c>
      <c r="G4970" s="3" t="s">
        <v>15</v>
      </c>
      <c r="H4970" s="3" t="s">
        <v>26</v>
      </c>
      <c r="I4970" s="4" t="n">
        <v>5</v>
      </c>
      <c r="J4970" s="4" t="n">
        <f aca="false">LEN(E4970)-LEN(SUBSTITUTE(E4970,",",""))+1</f>
        <v>5</v>
      </c>
      <c r="K4970" s="3" t="str">
        <f aca="false">IFERROR(INDEX('Teacher Lookup'!$B$2:$B$200,MATCH(A4970,'Teacher Lookup'!$A$2:$A$200,0)),"")</f>
        <v>LEUNG Jimmy</v>
      </c>
    </row>
    <row r="4971" customFormat="false" ht="15" hidden="false" customHeight="false" outlineLevel="0" collapsed="false">
      <c r="A4971" s="3" t="s">
        <v>439</v>
      </c>
      <c r="B4971" s="4" t="s">
        <v>12</v>
      </c>
      <c r="C4971" s="4" t="n">
        <v>3</v>
      </c>
      <c r="D4971" s="4" t="s">
        <v>105</v>
      </c>
      <c r="E4971" s="3" t="s">
        <v>227</v>
      </c>
      <c r="F4971" s="4" t="str">
        <f aca="false">IF(I4971&gt;J4971,"Y","N")</f>
        <v>N</v>
      </c>
      <c r="G4971" s="3" t="s">
        <v>15</v>
      </c>
      <c r="H4971" s="3" t="s">
        <v>26</v>
      </c>
      <c r="I4971" s="4" t="n">
        <v>5</v>
      </c>
      <c r="J4971" s="4" t="n">
        <f aca="false">LEN(E4971)-LEN(SUBSTITUTE(E4971,",",""))+1</f>
        <v>5</v>
      </c>
      <c r="K4971" s="3" t="str">
        <f aca="false">IFERROR(INDEX('Teacher Lookup'!$B$2:$B$200,MATCH(A4971,'Teacher Lookup'!$A$2:$A$200,0)),"")</f>
        <v>LEUNG Jimmy</v>
      </c>
    </row>
    <row r="4972" customFormat="false" ht="15" hidden="false" customHeight="false" outlineLevel="0" collapsed="false">
      <c r="A4972" s="3" t="s">
        <v>439</v>
      </c>
      <c r="B4972" s="4" t="s">
        <v>12</v>
      </c>
      <c r="C4972" s="4" t="n">
        <v>3</v>
      </c>
      <c r="D4972" s="4" t="s">
        <v>106</v>
      </c>
      <c r="E4972" s="3" t="s">
        <v>227</v>
      </c>
      <c r="F4972" s="4" t="str">
        <f aca="false">IF(I4972&gt;J4972,"Y","N")</f>
        <v>N</v>
      </c>
      <c r="G4972" s="3" t="s">
        <v>15</v>
      </c>
      <c r="H4972" s="3" t="s">
        <v>26</v>
      </c>
      <c r="I4972" s="4" t="n">
        <v>5</v>
      </c>
      <c r="J4972" s="4" t="n">
        <f aca="false">LEN(E4972)-LEN(SUBSTITUTE(E4972,",",""))+1</f>
        <v>5</v>
      </c>
      <c r="K4972" s="3" t="str">
        <f aca="false">IFERROR(INDEX('Teacher Lookup'!$B$2:$B$200,MATCH(A4972,'Teacher Lookup'!$A$2:$A$200,0)),"")</f>
        <v>LEUNG Jimmy</v>
      </c>
    </row>
    <row r="4973" customFormat="false" ht="15" hidden="false" customHeight="false" outlineLevel="0" collapsed="false">
      <c r="A4973" s="3" t="s">
        <v>439</v>
      </c>
      <c r="B4973" s="4" t="s">
        <v>12</v>
      </c>
      <c r="C4973" s="4" t="n">
        <v>3</v>
      </c>
      <c r="D4973" s="4" t="s">
        <v>107</v>
      </c>
      <c r="E4973" s="3" t="s">
        <v>227</v>
      </c>
      <c r="F4973" s="4" t="str">
        <f aca="false">IF(I4973&gt;J4973,"Y","N")</f>
        <v>N</v>
      </c>
      <c r="G4973" s="3" t="s">
        <v>15</v>
      </c>
      <c r="H4973" s="3" t="s">
        <v>26</v>
      </c>
      <c r="I4973" s="4" t="n">
        <v>5</v>
      </c>
      <c r="J4973" s="4" t="n">
        <f aca="false">LEN(E4973)-LEN(SUBSTITUTE(E4973,",",""))+1</f>
        <v>5</v>
      </c>
      <c r="K4973" s="3" t="str">
        <f aca="false">IFERROR(INDEX('Teacher Lookup'!$B$2:$B$200,MATCH(A4973,'Teacher Lookup'!$A$2:$A$200,0)),"")</f>
        <v>LEUNG Jimmy</v>
      </c>
    </row>
    <row r="4974" customFormat="false" ht="15" hidden="false" customHeight="false" outlineLevel="0" collapsed="false">
      <c r="A4974" s="3" t="s">
        <v>439</v>
      </c>
      <c r="B4974" s="4" t="s">
        <v>31</v>
      </c>
      <c r="C4974" s="4" t="n">
        <v>2</v>
      </c>
      <c r="D4974" s="4" t="s">
        <v>52</v>
      </c>
      <c r="E4974" s="3" t="s">
        <v>303</v>
      </c>
      <c r="F4974" s="4" t="str">
        <f aca="false">IF(I4974&gt;J4974,"Y","N")</f>
        <v>N</v>
      </c>
      <c r="G4974" s="3" t="s">
        <v>15</v>
      </c>
      <c r="H4974" s="3" t="s">
        <v>21</v>
      </c>
      <c r="I4974" s="4" t="n">
        <v>7</v>
      </c>
      <c r="J4974" s="4" t="n">
        <f aca="false">LEN(E4974)-LEN(SUBSTITUTE(E4974,",",""))+1</f>
        <v>7</v>
      </c>
      <c r="K4974" s="3" t="str">
        <f aca="false">IFERROR(INDEX('Teacher Lookup'!$B$2:$B$200,MATCH(A4974,'Teacher Lookup'!$A$2:$A$200,0)),"")</f>
        <v>LEUNG Jimmy</v>
      </c>
    </row>
    <row r="4975" customFormat="false" ht="15" hidden="false" customHeight="false" outlineLevel="0" collapsed="false">
      <c r="A4975" s="3" t="s">
        <v>439</v>
      </c>
      <c r="B4975" s="4" t="s">
        <v>31</v>
      </c>
      <c r="C4975" s="4" t="n">
        <v>2</v>
      </c>
      <c r="D4975" s="4" t="s">
        <v>55</v>
      </c>
      <c r="E4975" s="3" t="s">
        <v>303</v>
      </c>
      <c r="F4975" s="4" t="str">
        <f aca="false">IF(I4975&gt;J4975,"Y","N")</f>
        <v>N</v>
      </c>
      <c r="G4975" s="3" t="s">
        <v>15</v>
      </c>
      <c r="H4975" s="3" t="s">
        <v>21</v>
      </c>
      <c r="I4975" s="4" t="n">
        <v>7</v>
      </c>
      <c r="J4975" s="4" t="n">
        <f aca="false">LEN(E4975)-LEN(SUBSTITUTE(E4975,",",""))+1</f>
        <v>7</v>
      </c>
      <c r="K4975" s="3" t="str">
        <f aca="false">IFERROR(INDEX('Teacher Lookup'!$B$2:$B$200,MATCH(A4975,'Teacher Lookup'!$A$2:$A$200,0)),"")</f>
        <v>LEUNG Jimmy</v>
      </c>
    </row>
    <row r="4976" customFormat="false" ht="15" hidden="false" customHeight="false" outlineLevel="0" collapsed="false">
      <c r="A4976" s="3" t="s">
        <v>439</v>
      </c>
      <c r="B4976" s="4" t="s">
        <v>31</v>
      </c>
      <c r="C4976" s="4" t="n">
        <v>2</v>
      </c>
      <c r="D4976" s="4" t="s">
        <v>56</v>
      </c>
      <c r="E4976" s="3" t="s">
        <v>303</v>
      </c>
      <c r="F4976" s="4" t="str">
        <f aca="false">IF(I4976&gt;J4976,"Y","N")</f>
        <v>N</v>
      </c>
      <c r="G4976" s="3" t="s">
        <v>15</v>
      </c>
      <c r="H4976" s="3" t="s">
        <v>21</v>
      </c>
      <c r="I4976" s="4" t="n">
        <v>7</v>
      </c>
      <c r="J4976" s="4" t="n">
        <f aca="false">LEN(E4976)-LEN(SUBSTITUTE(E4976,",",""))+1</f>
        <v>7</v>
      </c>
      <c r="K4976" s="3" t="str">
        <f aca="false">IFERROR(INDEX('Teacher Lookup'!$B$2:$B$200,MATCH(A4976,'Teacher Lookup'!$A$2:$A$200,0)),"")</f>
        <v>LEUNG Jimmy</v>
      </c>
    </row>
    <row r="4977" customFormat="false" ht="15" hidden="false" customHeight="false" outlineLevel="0" collapsed="false">
      <c r="A4977" s="3" t="s">
        <v>439</v>
      </c>
      <c r="B4977" s="4" t="s">
        <v>31</v>
      </c>
      <c r="C4977" s="4" t="n">
        <v>2</v>
      </c>
      <c r="D4977" s="4" t="s">
        <v>57</v>
      </c>
      <c r="E4977" s="3" t="s">
        <v>303</v>
      </c>
      <c r="F4977" s="4" t="str">
        <f aca="false">IF(I4977&gt;J4977,"Y","N")</f>
        <v>N</v>
      </c>
      <c r="G4977" s="3" t="s">
        <v>15</v>
      </c>
      <c r="H4977" s="3" t="s">
        <v>21</v>
      </c>
      <c r="I4977" s="4" t="n">
        <v>7</v>
      </c>
      <c r="J4977" s="4" t="n">
        <f aca="false">LEN(E4977)-LEN(SUBSTITUTE(E4977,",",""))+1</f>
        <v>7</v>
      </c>
      <c r="K4977" s="3" t="str">
        <f aca="false">IFERROR(INDEX('Teacher Lookup'!$B$2:$B$200,MATCH(A4977,'Teacher Lookup'!$A$2:$A$200,0)),"")</f>
        <v>LEUNG Jimmy</v>
      </c>
    </row>
    <row r="4978" customFormat="false" ht="15" hidden="false" customHeight="false" outlineLevel="0" collapsed="false">
      <c r="A4978" s="3" t="s">
        <v>439</v>
      </c>
      <c r="B4978" s="4" t="s">
        <v>31</v>
      </c>
      <c r="C4978" s="4" t="n">
        <v>2</v>
      </c>
      <c r="D4978" s="4" t="s">
        <v>58</v>
      </c>
      <c r="E4978" s="3" t="s">
        <v>303</v>
      </c>
      <c r="F4978" s="4" t="str">
        <f aca="false">IF(I4978&gt;J4978,"Y","N")</f>
        <v>N</v>
      </c>
      <c r="G4978" s="3" t="s">
        <v>15</v>
      </c>
      <c r="H4978" s="3" t="s">
        <v>21</v>
      </c>
      <c r="I4978" s="4" t="n">
        <v>7</v>
      </c>
      <c r="J4978" s="4" t="n">
        <f aca="false">LEN(E4978)-LEN(SUBSTITUTE(E4978,",",""))+1</f>
        <v>7</v>
      </c>
      <c r="K4978" s="3" t="str">
        <f aca="false">IFERROR(INDEX('Teacher Lookup'!$B$2:$B$200,MATCH(A4978,'Teacher Lookup'!$A$2:$A$200,0)),"")</f>
        <v>LEUNG Jimmy</v>
      </c>
    </row>
    <row r="4979" customFormat="false" ht="15" hidden="false" customHeight="false" outlineLevel="0" collapsed="false">
      <c r="A4979" s="3" t="s">
        <v>439</v>
      </c>
      <c r="B4979" s="4" t="s">
        <v>31</v>
      </c>
      <c r="C4979" s="4" t="n">
        <v>2</v>
      </c>
      <c r="D4979" s="4" t="s">
        <v>59</v>
      </c>
      <c r="E4979" s="3" t="s">
        <v>303</v>
      </c>
      <c r="F4979" s="4" t="str">
        <f aca="false">IF(I4979&gt;J4979,"Y","N")</f>
        <v>N</v>
      </c>
      <c r="G4979" s="3" t="s">
        <v>15</v>
      </c>
      <c r="H4979" s="3" t="s">
        <v>21</v>
      </c>
      <c r="I4979" s="4" t="n">
        <v>7</v>
      </c>
      <c r="J4979" s="4" t="n">
        <f aca="false">LEN(E4979)-LEN(SUBSTITUTE(E4979,",",""))+1</f>
        <v>7</v>
      </c>
      <c r="K4979" s="3" t="str">
        <f aca="false">IFERROR(INDEX('Teacher Lookup'!$B$2:$B$200,MATCH(A4979,'Teacher Lookup'!$A$2:$A$200,0)),"")</f>
        <v>LEUNG Jimmy</v>
      </c>
    </row>
    <row r="4980" customFormat="false" ht="15" hidden="false" customHeight="false" outlineLevel="0" collapsed="false">
      <c r="A4980" s="3" t="s">
        <v>439</v>
      </c>
      <c r="B4980" s="4" t="s">
        <v>31</v>
      </c>
      <c r="C4980" s="4" t="n">
        <v>5</v>
      </c>
      <c r="D4980" s="4" t="s">
        <v>228</v>
      </c>
      <c r="E4980" s="3" t="s">
        <v>229</v>
      </c>
      <c r="F4980" s="4" t="str">
        <f aca="false">IF(I4980&gt;J4980,"Y","N")</f>
        <v>Y</v>
      </c>
      <c r="G4980" s="3" t="s">
        <v>36</v>
      </c>
      <c r="H4980" s="3" t="s">
        <v>37</v>
      </c>
      <c r="I4980" s="4" t="n">
        <v>14</v>
      </c>
      <c r="J4980" s="4" t="n">
        <f aca="false">LEN(E4980)-LEN(SUBSTITUTE(E4980,",",""))+1</f>
        <v>6</v>
      </c>
      <c r="K4980" s="3" t="str">
        <f aca="false">IFERROR(INDEX('Teacher Lookup'!$B$2:$B$200,MATCH(A4980,'Teacher Lookup'!$A$2:$A$200,0)),"")</f>
        <v>LEUNG Jimmy</v>
      </c>
    </row>
    <row r="4981" customFormat="false" ht="15" hidden="false" customHeight="false" outlineLevel="0" collapsed="false">
      <c r="A4981" s="3" t="s">
        <v>439</v>
      </c>
      <c r="B4981" s="4" t="s">
        <v>31</v>
      </c>
      <c r="C4981" s="4" t="n">
        <v>5</v>
      </c>
      <c r="D4981" s="4" t="s">
        <v>102</v>
      </c>
      <c r="E4981" s="3" t="s">
        <v>229</v>
      </c>
      <c r="F4981" s="4" t="str">
        <f aca="false">IF(I4981&gt;J4981,"Y","N")</f>
        <v>Y</v>
      </c>
      <c r="G4981" s="3" t="s">
        <v>36</v>
      </c>
      <c r="H4981" s="3" t="s">
        <v>37</v>
      </c>
      <c r="I4981" s="4" t="n">
        <v>14</v>
      </c>
      <c r="J4981" s="4" t="n">
        <f aca="false">LEN(E4981)-LEN(SUBSTITUTE(E4981,",",""))+1</f>
        <v>6</v>
      </c>
      <c r="K4981" s="3" t="str">
        <f aca="false">IFERROR(INDEX('Teacher Lookup'!$B$2:$B$200,MATCH(A4981,'Teacher Lookup'!$A$2:$A$200,0)),"")</f>
        <v>LEUNG Jimmy</v>
      </c>
    </row>
    <row r="4982" customFormat="false" ht="15" hidden="false" customHeight="false" outlineLevel="0" collapsed="false">
      <c r="A4982" s="3" t="s">
        <v>439</v>
      </c>
      <c r="B4982" s="4" t="s">
        <v>31</v>
      </c>
      <c r="C4982" s="4" t="n">
        <v>5</v>
      </c>
      <c r="D4982" s="4" t="s">
        <v>105</v>
      </c>
      <c r="E4982" s="3" t="s">
        <v>229</v>
      </c>
      <c r="F4982" s="4" t="str">
        <f aca="false">IF(I4982&gt;J4982,"Y","N")</f>
        <v>Y</v>
      </c>
      <c r="G4982" s="3" t="s">
        <v>36</v>
      </c>
      <c r="H4982" s="3" t="s">
        <v>37</v>
      </c>
      <c r="I4982" s="4" t="n">
        <v>14</v>
      </c>
      <c r="J4982" s="4" t="n">
        <f aca="false">LEN(E4982)-LEN(SUBSTITUTE(E4982,",",""))+1</f>
        <v>6</v>
      </c>
      <c r="K4982" s="3" t="str">
        <f aca="false">IFERROR(INDEX('Teacher Lookup'!$B$2:$B$200,MATCH(A4982,'Teacher Lookup'!$A$2:$A$200,0)),"")</f>
        <v>LEUNG Jimmy</v>
      </c>
    </row>
    <row r="4983" customFormat="false" ht="15" hidden="false" customHeight="false" outlineLevel="0" collapsed="false">
      <c r="A4983" s="3" t="s">
        <v>439</v>
      </c>
      <c r="B4983" s="4" t="s">
        <v>31</v>
      </c>
      <c r="C4983" s="4" t="n">
        <v>5</v>
      </c>
      <c r="D4983" s="4" t="s">
        <v>106</v>
      </c>
      <c r="E4983" s="3" t="s">
        <v>229</v>
      </c>
      <c r="F4983" s="4" t="str">
        <f aca="false">IF(I4983&gt;J4983,"Y","N")</f>
        <v>Y</v>
      </c>
      <c r="G4983" s="3" t="s">
        <v>36</v>
      </c>
      <c r="H4983" s="3" t="s">
        <v>37</v>
      </c>
      <c r="I4983" s="4" t="n">
        <v>14</v>
      </c>
      <c r="J4983" s="4" t="n">
        <f aca="false">LEN(E4983)-LEN(SUBSTITUTE(E4983,",",""))+1</f>
        <v>6</v>
      </c>
      <c r="K4983" s="3" t="str">
        <f aca="false">IFERROR(INDEX('Teacher Lookup'!$B$2:$B$200,MATCH(A4983,'Teacher Lookup'!$A$2:$A$200,0)),"")</f>
        <v>LEUNG Jimmy</v>
      </c>
    </row>
    <row r="4984" customFormat="false" ht="15" hidden="false" customHeight="false" outlineLevel="0" collapsed="false">
      <c r="A4984" s="3" t="s">
        <v>439</v>
      </c>
      <c r="B4984" s="4" t="s">
        <v>31</v>
      </c>
      <c r="C4984" s="4" t="n">
        <v>5</v>
      </c>
      <c r="D4984" s="4" t="s">
        <v>107</v>
      </c>
      <c r="E4984" s="3" t="s">
        <v>229</v>
      </c>
      <c r="F4984" s="4" t="str">
        <f aca="false">IF(I4984&gt;J4984,"Y","N")</f>
        <v>Y</v>
      </c>
      <c r="G4984" s="3" t="s">
        <v>36</v>
      </c>
      <c r="H4984" s="3" t="s">
        <v>37</v>
      </c>
      <c r="I4984" s="4" t="n">
        <v>14</v>
      </c>
      <c r="J4984" s="4" t="n">
        <f aca="false">LEN(E4984)-LEN(SUBSTITUTE(E4984,",",""))+1</f>
        <v>6</v>
      </c>
      <c r="K4984" s="3" t="str">
        <f aca="false">IFERROR(INDEX('Teacher Lookup'!$B$2:$B$200,MATCH(A4984,'Teacher Lookup'!$A$2:$A$200,0)),"")</f>
        <v>LEUNG Jimmy</v>
      </c>
    </row>
    <row r="4985" customFormat="false" ht="15" hidden="false" customHeight="false" outlineLevel="0" collapsed="false">
      <c r="A4985" s="3" t="s">
        <v>439</v>
      </c>
      <c r="B4985" s="4" t="s">
        <v>40</v>
      </c>
      <c r="C4985" s="4" t="n">
        <v>4</v>
      </c>
      <c r="D4985" s="4" t="s">
        <v>102</v>
      </c>
      <c r="E4985" s="3" t="s">
        <v>230</v>
      </c>
      <c r="F4985" s="4" t="str">
        <f aca="false">IF(I4985&gt;J4985,"Y","N")</f>
        <v>N</v>
      </c>
      <c r="G4985" s="3" t="s">
        <v>15</v>
      </c>
      <c r="H4985" s="3" t="s">
        <v>34</v>
      </c>
      <c r="I4985" s="4" t="n">
        <v>5</v>
      </c>
      <c r="J4985" s="4" t="n">
        <f aca="false">LEN(E4985)-LEN(SUBSTITUTE(E4985,",",""))+1</f>
        <v>5</v>
      </c>
      <c r="K4985" s="3" t="str">
        <f aca="false">IFERROR(INDEX('Teacher Lookup'!$B$2:$B$200,MATCH(A4985,'Teacher Lookup'!$A$2:$A$200,0)),"")</f>
        <v>LEUNG Jimmy</v>
      </c>
    </row>
    <row r="4986" customFormat="false" ht="15" hidden="false" customHeight="false" outlineLevel="0" collapsed="false">
      <c r="A4986" s="3" t="s">
        <v>439</v>
      </c>
      <c r="B4986" s="4" t="s">
        <v>40</v>
      </c>
      <c r="C4986" s="4" t="n">
        <v>4</v>
      </c>
      <c r="D4986" s="4" t="s">
        <v>105</v>
      </c>
      <c r="E4986" s="3" t="s">
        <v>230</v>
      </c>
      <c r="F4986" s="4" t="str">
        <f aca="false">IF(I4986&gt;J4986,"Y","N")</f>
        <v>N</v>
      </c>
      <c r="G4986" s="3" t="s">
        <v>15</v>
      </c>
      <c r="H4986" s="3" t="s">
        <v>34</v>
      </c>
      <c r="I4986" s="4" t="n">
        <v>5</v>
      </c>
      <c r="J4986" s="4" t="n">
        <f aca="false">LEN(E4986)-LEN(SUBSTITUTE(E4986,",",""))+1</f>
        <v>5</v>
      </c>
      <c r="K4986" s="3" t="str">
        <f aca="false">IFERROR(INDEX('Teacher Lookup'!$B$2:$B$200,MATCH(A4986,'Teacher Lookup'!$A$2:$A$200,0)),"")</f>
        <v>LEUNG Jimmy</v>
      </c>
    </row>
    <row r="4987" customFormat="false" ht="15" hidden="false" customHeight="false" outlineLevel="0" collapsed="false">
      <c r="A4987" s="3" t="s">
        <v>439</v>
      </c>
      <c r="B4987" s="4" t="s">
        <v>40</v>
      </c>
      <c r="C4987" s="4" t="n">
        <v>4</v>
      </c>
      <c r="D4987" s="4" t="s">
        <v>106</v>
      </c>
      <c r="E4987" s="3" t="s">
        <v>230</v>
      </c>
      <c r="F4987" s="4" t="str">
        <f aca="false">IF(I4987&gt;J4987,"Y","N")</f>
        <v>N</v>
      </c>
      <c r="G4987" s="3" t="s">
        <v>15</v>
      </c>
      <c r="H4987" s="3" t="s">
        <v>34</v>
      </c>
      <c r="I4987" s="4" t="n">
        <v>5</v>
      </c>
      <c r="J4987" s="4" t="n">
        <f aca="false">LEN(E4987)-LEN(SUBSTITUTE(E4987,",",""))+1</f>
        <v>5</v>
      </c>
      <c r="K4987" s="3" t="str">
        <f aca="false">IFERROR(INDEX('Teacher Lookup'!$B$2:$B$200,MATCH(A4987,'Teacher Lookup'!$A$2:$A$200,0)),"")</f>
        <v>LEUNG Jimmy</v>
      </c>
    </row>
    <row r="4988" customFormat="false" ht="15" hidden="false" customHeight="false" outlineLevel="0" collapsed="false">
      <c r="A4988" s="3" t="s">
        <v>439</v>
      </c>
      <c r="B4988" s="4" t="s">
        <v>40</v>
      </c>
      <c r="C4988" s="4" t="n">
        <v>4</v>
      </c>
      <c r="D4988" s="4" t="s">
        <v>107</v>
      </c>
      <c r="E4988" s="3" t="s">
        <v>230</v>
      </c>
      <c r="F4988" s="4" t="str">
        <f aca="false">IF(I4988&gt;J4988,"Y","N")</f>
        <v>N</v>
      </c>
      <c r="G4988" s="3" t="s">
        <v>15</v>
      </c>
      <c r="H4988" s="3" t="s">
        <v>34</v>
      </c>
      <c r="I4988" s="4" t="n">
        <v>5</v>
      </c>
      <c r="J4988" s="4" t="n">
        <f aca="false">LEN(E4988)-LEN(SUBSTITUTE(E4988,",",""))+1</f>
        <v>5</v>
      </c>
      <c r="K4988" s="3" t="str">
        <f aca="false">IFERROR(INDEX('Teacher Lookup'!$B$2:$B$200,MATCH(A4988,'Teacher Lookup'!$A$2:$A$200,0)),"")</f>
        <v>LEUNG Jimmy</v>
      </c>
    </row>
    <row r="4989" customFormat="false" ht="15" hidden="false" customHeight="false" outlineLevel="0" collapsed="false">
      <c r="A4989" s="3" t="s">
        <v>439</v>
      </c>
      <c r="B4989" s="4" t="s">
        <v>40</v>
      </c>
      <c r="C4989" s="4" t="n">
        <v>5</v>
      </c>
      <c r="D4989" s="4" t="s">
        <v>52</v>
      </c>
      <c r="E4989" s="3" t="s">
        <v>304</v>
      </c>
      <c r="F4989" s="4" t="str">
        <f aca="false">IF(I4989&gt;J4989,"Y","N")</f>
        <v>N</v>
      </c>
      <c r="G4989" s="3" t="s">
        <v>15</v>
      </c>
      <c r="H4989" s="3" t="s">
        <v>37</v>
      </c>
      <c r="I4989" s="4" t="n">
        <v>7</v>
      </c>
      <c r="J4989" s="4" t="n">
        <f aca="false">LEN(E4989)-LEN(SUBSTITUTE(E4989,",",""))+1</f>
        <v>7</v>
      </c>
      <c r="K4989" s="3" t="str">
        <f aca="false">IFERROR(INDEX('Teacher Lookup'!$B$2:$B$200,MATCH(A4989,'Teacher Lookup'!$A$2:$A$200,0)),"")</f>
        <v>LEUNG Jimmy</v>
      </c>
    </row>
    <row r="4990" customFormat="false" ht="15" hidden="false" customHeight="false" outlineLevel="0" collapsed="false">
      <c r="A4990" s="3" t="s">
        <v>439</v>
      </c>
      <c r="B4990" s="4" t="s">
        <v>40</v>
      </c>
      <c r="C4990" s="4" t="n">
        <v>5</v>
      </c>
      <c r="D4990" s="4" t="s">
        <v>55</v>
      </c>
      <c r="E4990" s="3" t="s">
        <v>304</v>
      </c>
      <c r="F4990" s="4" t="str">
        <f aca="false">IF(I4990&gt;J4990,"Y","N")</f>
        <v>N</v>
      </c>
      <c r="G4990" s="3" t="s">
        <v>15</v>
      </c>
      <c r="H4990" s="3" t="s">
        <v>37</v>
      </c>
      <c r="I4990" s="4" t="n">
        <v>7</v>
      </c>
      <c r="J4990" s="4" t="n">
        <f aca="false">LEN(E4990)-LEN(SUBSTITUTE(E4990,",",""))+1</f>
        <v>7</v>
      </c>
      <c r="K4990" s="3" t="str">
        <f aca="false">IFERROR(INDEX('Teacher Lookup'!$B$2:$B$200,MATCH(A4990,'Teacher Lookup'!$A$2:$A$200,0)),"")</f>
        <v>LEUNG Jimmy</v>
      </c>
    </row>
    <row r="4991" customFormat="false" ht="15" hidden="false" customHeight="false" outlineLevel="0" collapsed="false">
      <c r="A4991" s="3" t="s">
        <v>439</v>
      </c>
      <c r="B4991" s="4" t="s">
        <v>40</v>
      </c>
      <c r="C4991" s="4" t="n">
        <v>5</v>
      </c>
      <c r="D4991" s="4" t="s">
        <v>56</v>
      </c>
      <c r="E4991" s="3" t="s">
        <v>304</v>
      </c>
      <c r="F4991" s="4" t="str">
        <f aca="false">IF(I4991&gt;J4991,"Y","N")</f>
        <v>N</v>
      </c>
      <c r="G4991" s="3" t="s">
        <v>15</v>
      </c>
      <c r="H4991" s="3" t="s">
        <v>37</v>
      </c>
      <c r="I4991" s="4" t="n">
        <v>7</v>
      </c>
      <c r="J4991" s="4" t="n">
        <f aca="false">LEN(E4991)-LEN(SUBSTITUTE(E4991,",",""))+1</f>
        <v>7</v>
      </c>
      <c r="K4991" s="3" t="str">
        <f aca="false">IFERROR(INDEX('Teacher Lookup'!$B$2:$B$200,MATCH(A4991,'Teacher Lookup'!$A$2:$A$200,0)),"")</f>
        <v>LEUNG Jimmy</v>
      </c>
    </row>
    <row r="4992" customFormat="false" ht="15" hidden="false" customHeight="false" outlineLevel="0" collapsed="false">
      <c r="A4992" s="3" t="s">
        <v>439</v>
      </c>
      <c r="B4992" s="4" t="s">
        <v>40</v>
      </c>
      <c r="C4992" s="4" t="n">
        <v>5</v>
      </c>
      <c r="D4992" s="4" t="s">
        <v>57</v>
      </c>
      <c r="E4992" s="3" t="s">
        <v>304</v>
      </c>
      <c r="F4992" s="4" t="str">
        <f aca="false">IF(I4992&gt;J4992,"Y","N")</f>
        <v>N</v>
      </c>
      <c r="G4992" s="3" t="s">
        <v>15</v>
      </c>
      <c r="H4992" s="3" t="s">
        <v>37</v>
      </c>
      <c r="I4992" s="4" t="n">
        <v>7</v>
      </c>
      <c r="J4992" s="4" t="n">
        <f aca="false">LEN(E4992)-LEN(SUBSTITUTE(E4992,",",""))+1</f>
        <v>7</v>
      </c>
      <c r="K4992" s="3" t="str">
        <f aca="false">IFERROR(INDEX('Teacher Lookup'!$B$2:$B$200,MATCH(A4992,'Teacher Lookup'!$A$2:$A$200,0)),"")</f>
        <v>LEUNG Jimmy</v>
      </c>
    </row>
    <row r="4993" customFormat="false" ht="15" hidden="false" customHeight="false" outlineLevel="0" collapsed="false">
      <c r="A4993" s="3" t="s">
        <v>439</v>
      </c>
      <c r="B4993" s="4" t="s">
        <v>40</v>
      </c>
      <c r="C4993" s="4" t="n">
        <v>5</v>
      </c>
      <c r="D4993" s="4" t="s">
        <v>58</v>
      </c>
      <c r="E4993" s="3" t="s">
        <v>304</v>
      </c>
      <c r="F4993" s="4" t="str">
        <f aca="false">IF(I4993&gt;J4993,"Y","N")</f>
        <v>N</v>
      </c>
      <c r="G4993" s="3" t="s">
        <v>15</v>
      </c>
      <c r="H4993" s="3" t="s">
        <v>37</v>
      </c>
      <c r="I4993" s="4" t="n">
        <v>7</v>
      </c>
      <c r="J4993" s="4" t="n">
        <f aca="false">LEN(E4993)-LEN(SUBSTITUTE(E4993,",",""))+1</f>
        <v>7</v>
      </c>
      <c r="K4993" s="3" t="str">
        <f aca="false">IFERROR(INDEX('Teacher Lookup'!$B$2:$B$200,MATCH(A4993,'Teacher Lookup'!$A$2:$A$200,0)),"")</f>
        <v>LEUNG Jimmy</v>
      </c>
    </row>
    <row r="4994" customFormat="false" ht="15" hidden="false" customHeight="false" outlineLevel="0" collapsed="false">
      <c r="A4994" s="3" t="s">
        <v>439</v>
      </c>
      <c r="B4994" s="4" t="s">
        <v>40</v>
      </c>
      <c r="C4994" s="4" t="n">
        <v>5</v>
      </c>
      <c r="D4994" s="4" t="s">
        <v>59</v>
      </c>
      <c r="E4994" s="3" t="s">
        <v>304</v>
      </c>
      <c r="F4994" s="4" t="str">
        <f aca="false">IF(I4994&gt;J4994,"Y","N")</f>
        <v>N</v>
      </c>
      <c r="G4994" s="3" t="s">
        <v>15</v>
      </c>
      <c r="H4994" s="3" t="s">
        <v>37</v>
      </c>
      <c r="I4994" s="4" t="n">
        <v>7</v>
      </c>
      <c r="J4994" s="4" t="n">
        <f aca="false">LEN(E4994)-LEN(SUBSTITUTE(E4994,",",""))+1</f>
        <v>7</v>
      </c>
      <c r="K4994" s="3" t="str">
        <f aca="false">IFERROR(INDEX('Teacher Lookup'!$B$2:$B$200,MATCH(A4994,'Teacher Lookup'!$A$2:$A$200,0)),"")</f>
        <v>LEUNG Jimmy</v>
      </c>
    </row>
    <row r="4995" customFormat="false" ht="15" hidden="false" customHeight="false" outlineLevel="0" collapsed="false">
      <c r="A4995" s="3" t="s">
        <v>439</v>
      </c>
      <c r="B4995" s="4" t="s">
        <v>44</v>
      </c>
      <c r="C4995" s="4" t="n">
        <v>1</v>
      </c>
      <c r="D4995" s="4" t="s">
        <v>52</v>
      </c>
      <c r="E4995" s="3" t="s">
        <v>305</v>
      </c>
      <c r="F4995" s="4" t="str">
        <f aca="false">IF(I4995&gt;J4995,"Y","N")</f>
        <v>N</v>
      </c>
      <c r="G4995" s="3" t="s">
        <v>15</v>
      </c>
      <c r="H4995" s="3" t="s">
        <v>16</v>
      </c>
      <c r="I4995" s="4" t="n">
        <v>7</v>
      </c>
      <c r="J4995" s="4" t="n">
        <f aca="false">LEN(E4995)-LEN(SUBSTITUTE(E4995,",",""))+1</f>
        <v>7</v>
      </c>
      <c r="K4995" s="3" t="str">
        <f aca="false">IFERROR(INDEX('Teacher Lookup'!$B$2:$B$200,MATCH(A4995,'Teacher Lookup'!$A$2:$A$200,0)),"")</f>
        <v>LEUNG Jimmy</v>
      </c>
    </row>
    <row r="4996" customFormat="false" ht="15" hidden="false" customHeight="false" outlineLevel="0" collapsed="false">
      <c r="A4996" s="3" t="s">
        <v>439</v>
      </c>
      <c r="B4996" s="4" t="s">
        <v>44</v>
      </c>
      <c r="C4996" s="4" t="n">
        <v>1</v>
      </c>
      <c r="D4996" s="4" t="s">
        <v>55</v>
      </c>
      <c r="E4996" s="3" t="s">
        <v>305</v>
      </c>
      <c r="F4996" s="4" t="str">
        <f aca="false">IF(I4996&gt;J4996,"Y","N")</f>
        <v>N</v>
      </c>
      <c r="G4996" s="3" t="s">
        <v>15</v>
      </c>
      <c r="H4996" s="3" t="s">
        <v>16</v>
      </c>
      <c r="I4996" s="4" t="n">
        <v>7</v>
      </c>
      <c r="J4996" s="4" t="n">
        <f aca="false">LEN(E4996)-LEN(SUBSTITUTE(E4996,",",""))+1</f>
        <v>7</v>
      </c>
      <c r="K4996" s="3" t="str">
        <f aca="false">IFERROR(INDEX('Teacher Lookup'!$B$2:$B$200,MATCH(A4996,'Teacher Lookup'!$A$2:$A$200,0)),"")</f>
        <v>LEUNG Jimmy</v>
      </c>
    </row>
    <row r="4997" customFormat="false" ht="15" hidden="false" customHeight="false" outlineLevel="0" collapsed="false">
      <c r="A4997" s="3" t="s">
        <v>439</v>
      </c>
      <c r="B4997" s="4" t="s">
        <v>44</v>
      </c>
      <c r="C4997" s="4" t="n">
        <v>1</v>
      </c>
      <c r="D4997" s="4" t="s">
        <v>56</v>
      </c>
      <c r="E4997" s="3" t="s">
        <v>305</v>
      </c>
      <c r="F4997" s="4" t="str">
        <f aca="false">IF(I4997&gt;J4997,"Y","N")</f>
        <v>N</v>
      </c>
      <c r="G4997" s="3" t="s">
        <v>15</v>
      </c>
      <c r="H4997" s="3" t="s">
        <v>16</v>
      </c>
      <c r="I4997" s="4" t="n">
        <v>7</v>
      </c>
      <c r="J4997" s="4" t="n">
        <f aca="false">LEN(E4997)-LEN(SUBSTITUTE(E4997,",",""))+1</f>
        <v>7</v>
      </c>
      <c r="K4997" s="3" t="str">
        <f aca="false">IFERROR(INDEX('Teacher Lookup'!$B$2:$B$200,MATCH(A4997,'Teacher Lookup'!$A$2:$A$200,0)),"")</f>
        <v>LEUNG Jimmy</v>
      </c>
    </row>
    <row r="4998" customFormat="false" ht="15" hidden="false" customHeight="false" outlineLevel="0" collapsed="false">
      <c r="A4998" s="3" t="s">
        <v>439</v>
      </c>
      <c r="B4998" s="4" t="s">
        <v>44</v>
      </c>
      <c r="C4998" s="4" t="n">
        <v>1</v>
      </c>
      <c r="D4998" s="4" t="s">
        <v>57</v>
      </c>
      <c r="E4998" s="3" t="s">
        <v>305</v>
      </c>
      <c r="F4998" s="4" t="str">
        <f aca="false">IF(I4998&gt;J4998,"Y","N")</f>
        <v>N</v>
      </c>
      <c r="G4998" s="3" t="s">
        <v>15</v>
      </c>
      <c r="H4998" s="3" t="s">
        <v>16</v>
      </c>
      <c r="I4998" s="4" t="n">
        <v>7</v>
      </c>
      <c r="J4998" s="4" t="n">
        <f aca="false">LEN(E4998)-LEN(SUBSTITUTE(E4998,",",""))+1</f>
        <v>7</v>
      </c>
      <c r="K4998" s="3" t="str">
        <f aca="false">IFERROR(INDEX('Teacher Lookup'!$B$2:$B$200,MATCH(A4998,'Teacher Lookup'!$A$2:$A$200,0)),"")</f>
        <v>LEUNG Jimmy</v>
      </c>
    </row>
    <row r="4999" customFormat="false" ht="15" hidden="false" customHeight="false" outlineLevel="0" collapsed="false">
      <c r="A4999" s="3" t="s">
        <v>439</v>
      </c>
      <c r="B4999" s="4" t="s">
        <v>44</v>
      </c>
      <c r="C4999" s="4" t="n">
        <v>1</v>
      </c>
      <c r="D4999" s="4" t="s">
        <v>58</v>
      </c>
      <c r="E4999" s="3" t="s">
        <v>305</v>
      </c>
      <c r="F4999" s="4" t="str">
        <f aca="false">IF(I4999&gt;J4999,"Y","N")</f>
        <v>N</v>
      </c>
      <c r="G4999" s="3" t="s">
        <v>15</v>
      </c>
      <c r="H4999" s="3" t="s">
        <v>16</v>
      </c>
      <c r="I4999" s="4" t="n">
        <v>7</v>
      </c>
      <c r="J4999" s="4" t="n">
        <f aca="false">LEN(E4999)-LEN(SUBSTITUTE(E4999,",",""))+1</f>
        <v>7</v>
      </c>
      <c r="K4999" s="3" t="str">
        <f aca="false">IFERROR(INDEX('Teacher Lookup'!$B$2:$B$200,MATCH(A4999,'Teacher Lookup'!$A$2:$A$200,0)),"")</f>
        <v>LEUNG Jimmy</v>
      </c>
    </row>
    <row r="5000" customFormat="false" ht="15" hidden="false" customHeight="false" outlineLevel="0" collapsed="false">
      <c r="A5000" s="3" t="s">
        <v>439</v>
      </c>
      <c r="B5000" s="4" t="s">
        <v>44</v>
      </c>
      <c r="C5000" s="4" t="n">
        <v>1</v>
      </c>
      <c r="D5000" s="4" t="s">
        <v>59</v>
      </c>
      <c r="E5000" s="3" t="s">
        <v>305</v>
      </c>
      <c r="F5000" s="4" t="str">
        <f aca="false">IF(I5000&gt;J5000,"Y","N")</f>
        <v>N</v>
      </c>
      <c r="G5000" s="3" t="s">
        <v>15</v>
      </c>
      <c r="H5000" s="3" t="s">
        <v>16</v>
      </c>
      <c r="I5000" s="4" t="n">
        <v>7</v>
      </c>
      <c r="J5000" s="4" t="n">
        <f aca="false">LEN(E5000)-LEN(SUBSTITUTE(E5000,",",""))+1</f>
        <v>7</v>
      </c>
      <c r="K5000" s="3" t="str">
        <f aca="false">IFERROR(INDEX('Teacher Lookup'!$B$2:$B$200,MATCH(A5000,'Teacher Lookup'!$A$2:$A$200,0)),"")</f>
        <v>LEUNG Jimmy</v>
      </c>
    </row>
    <row r="5001" customFormat="false" ht="15" hidden="false" customHeight="false" outlineLevel="0" collapsed="false">
      <c r="A5001" s="3" t="s">
        <v>439</v>
      </c>
      <c r="B5001" s="4" t="s">
        <v>44</v>
      </c>
      <c r="C5001" s="4" t="n">
        <v>3</v>
      </c>
      <c r="D5001" s="4" t="s">
        <v>102</v>
      </c>
      <c r="E5001" s="3" t="s">
        <v>227</v>
      </c>
      <c r="F5001" s="4" t="str">
        <f aca="false">IF(I5001&gt;J5001,"Y","N")</f>
        <v>N</v>
      </c>
      <c r="G5001" s="3" t="s">
        <v>15</v>
      </c>
      <c r="H5001" s="3" t="s">
        <v>26</v>
      </c>
      <c r="I5001" s="4" t="n">
        <v>5</v>
      </c>
      <c r="J5001" s="4" t="n">
        <f aca="false">LEN(E5001)-LEN(SUBSTITUTE(E5001,",",""))+1</f>
        <v>5</v>
      </c>
      <c r="K5001" s="3" t="str">
        <f aca="false">IFERROR(INDEX('Teacher Lookup'!$B$2:$B$200,MATCH(A5001,'Teacher Lookup'!$A$2:$A$200,0)),"")</f>
        <v>LEUNG Jimmy</v>
      </c>
    </row>
    <row r="5002" customFormat="false" ht="15" hidden="false" customHeight="false" outlineLevel="0" collapsed="false">
      <c r="A5002" s="3" t="s">
        <v>439</v>
      </c>
      <c r="B5002" s="4" t="s">
        <v>44</v>
      </c>
      <c r="C5002" s="4" t="n">
        <v>3</v>
      </c>
      <c r="D5002" s="4" t="s">
        <v>105</v>
      </c>
      <c r="E5002" s="3" t="s">
        <v>227</v>
      </c>
      <c r="F5002" s="4" t="str">
        <f aca="false">IF(I5002&gt;J5002,"Y","N")</f>
        <v>N</v>
      </c>
      <c r="G5002" s="3" t="s">
        <v>15</v>
      </c>
      <c r="H5002" s="3" t="s">
        <v>26</v>
      </c>
      <c r="I5002" s="4" t="n">
        <v>5</v>
      </c>
      <c r="J5002" s="4" t="n">
        <f aca="false">LEN(E5002)-LEN(SUBSTITUTE(E5002,",",""))+1</f>
        <v>5</v>
      </c>
      <c r="K5002" s="3" t="str">
        <f aca="false">IFERROR(INDEX('Teacher Lookup'!$B$2:$B$200,MATCH(A5002,'Teacher Lookup'!$A$2:$A$200,0)),"")</f>
        <v>LEUNG Jimmy</v>
      </c>
    </row>
    <row r="5003" customFormat="false" ht="15" hidden="false" customHeight="false" outlineLevel="0" collapsed="false">
      <c r="A5003" s="3" t="s">
        <v>439</v>
      </c>
      <c r="B5003" s="4" t="s">
        <v>44</v>
      </c>
      <c r="C5003" s="4" t="n">
        <v>3</v>
      </c>
      <c r="D5003" s="4" t="s">
        <v>106</v>
      </c>
      <c r="E5003" s="3" t="s">
        <v>227</v>
      </c>
      <c r="F5003" s="4" t="str">
        <f aca="false">IF(I5003&gt;J5003,"Y","N")</f>
        <v>N</v>
      </c>
      <c r="G5003" s="3" t="s">
        <v>15</v>
      </c>
      <c r="H5003" s="3" t="s">
        <v>26</v>
      </c>
      <c r="I5003" s="4" t="n">
        <v>5</v>
      </c>
      <c r="J5003" s="4" t="n">
        <f aca="false">LEN(E5003)-LEN(SUBSTITUTE(E5003,",",""))+1</f>
        <v>5</v>
      </c>
      <c r="K5003" s="3" t="str">
        <f aca="false">IFERROR(INDEX('Teacher Lookup'!$B$2:$B$200,MATCH(A5003,'Teacher Lookup'!$A$2:$A$200,0)),"")</f>
        <v>LEUNG Jimmy</v>
      </c>
    </row>
    <row r="5004" customFormat="false" ht="15" hidden="false" customHeight="false" outlineLevel="0" collapsed="false">
      <c r="A5004" s="3" t="s">
        <v>439</v>
      </c>
      <c r="B5004" s="4" t="s">
        <v>44</v>
      </c>
      <c r="C5004" s="4" t="n">
        <v>3</v>
      </c>
      <c r="D5004" s="4" t="s">
        <v>107</v>
      </c>
      <c r="E5004" s="3" t="s">
        <v>227</v>
      </c>
      <c r="F5004" s="4" t="str">
        <f aca="false">IF(I5004&gt;J5004,"Y","N")</f>
        <v>N</v>
      </c>
      <c r="G5004" s="3" t="s">
        <v>15</v>
      </c>
      <c r="H5004" s="3" t="s">
        <v>26</v>
      </c>
      <c r="I5004" s="4" t="n">
        <v>5</v>
      </c>
      <c r="J5004" s="4" t="n">
        <f aca="false">LEN(E5004)-LEN(SUBSTITUTE(E5004,",",""))+1</f>
        <v>5</v>
      </c>
      <c r="K5004" s="3" t="str">
        <f aca="false">IFERROR(INDEX('Teacher Lookup'!$B$2:$B$200,MATCH(A5004,'Teacher Lookup'!$A$2:$A$200,0)),"")</f>
        <v>LEUNG Jimmy</v>
      </c>
    </row>
    <row r="5005" customFormat="false" ht="15" hidden="false" customHeight="false" outlineLevel="0" collapsed="false">
      <c r="A5005" s="3" t="s">
        <v>439</v>
      </c>
      <c r="B5005" s="4" t="s">
        <v>44</v>
      </c>
      <c r="C5005" s="4" t="n">
        <v>5</v>
      </c>
      <c r="D5005" s="4" t="s">
        <v>228</v>
      </c>
      <c r="E5005" s="3" t="s">
        <v>229</v>
      </c>
      <c r="F5005" s="4" t="str">
        <f aca="false">IF(I5005&gt;J5005,"Y","N")</f>
        <v>Y</v>
      </c>
      <c r="G5005" s="3" t="s">
        <v>36</v>
      </c>
      <c r="H5005" s="3" t="s">
        <v>37</v>
      </c>
      <c r="I5005" s="4" t="n">
        <v>14</v>
      </c>
      <c r="J5005" s="4" t="n">
        <f aca="false">LEN(E5005)-LEN(SUBSTITUTE(E5005,",",""))+1</f>
        <v>6</v>
      </c>
      <c r="K5005" s="3" t="str">
        <f aca="false">IFERROR(INDEX('Teacher Lookup'!$B$2:$B$200,MATCH(A5005,'Teacher Lookup'!$A$2:$A$200,0)),"")</f>
        <v>LEUNG Jimmy</v>
      </c>
    </row>
    <row r="5006" customFormat="false" ht="15" hidden="false" customHeight="false" outlineLevel="0" collapsed="false">
      <c r="A5006" s="3" t="s">
        <v>439</v>
      </c>
      <c r="B5006" s="4" t="s">
        <v>44</v>
      </c>
      <c r="C5006" s="4" t="n">
        <v>5</v>
      </c>
      <c r="D5006" s="4" t="s">
        <v>102</v>
      </c>
      <c r="E5006" s="3" t="s">
        <v>229</v>
      </c>
      <c r="F5006" s="4" t="str">
        <f aca="false">IF(I5006&gt;J5006,"Y","N")</f>
        <v>Y</v>
      </c>
      <c r="G5006" s="3" t="s">
        <v>36</v>
      </c>
      <c r="H5006" s="3" t="s">
        <v>37</v>
      </c>
      <c r="I5006" s="4" t="n">
        <v>14</v>
      </c>
      <c r="J5006" s="4" t="n">
        <f aca="false">LEN(E5006)-LEN(SUBSTITUTE(E5006,",",""))+1</f>
        <v>6</v>
      </c>
      <c r="K5006" s="3" t="str">
        <f aca="false">IFERROR(INDEX('Teacher Lookup'!$B$2:$B$200,MATCH(A5006,'Teacher Lookup'!$A$2:$A$200,0)),"")</f>
        <v>LEUNG Jimmy</v>
      </c>
    </row>
    <row r="5007" customFormat="false" ht="15" hidden="false" customHeight="false" outlineLevel="0" collapsed="false">
      <c r="A5007" s="3" t="s">
        <v>439</v>
      </c>
      <c r="B5007" s="4" t="s">
        <v>44</v>
      </c>
      <c r="C5007" s="4" t="n">
        <v>5</v>
      </c>
      <c r="D5007" s="4" t="s">
        <v>105</v>
      </c>
      <c r="E5007" s="3" t="s">
        <v>229</v>
      </c>
      <c r="F5007" s="4" t="str">
        <f aca="false">IF(I5007&gt;J5007,"Y","N")</f>
        <v>Y</v>
      </c>
      <c r="G5007" s="3" t="s">
        <v>36</v>
      </c>
      <c r="H5007" s="3" t="s">
        <v>37</v>
      </c>
      <c r="I5007" s="4" t="n">
        <v>14</v>
      </c>
      <c r="J5007" s="4" t="n">
        <f aca="false">LEN(E5007)-LEN(SUBSTITUTE(E5007,",",""))+1</f>
        <v>6</v>
      </c>
      <c r="K5007" s="3" t="str">
        <f aca="false">IFERROR(INDEX('Teacher Lookup'!$B$2:$B$200,MATCH(A5007,'Teacher Lookup'!$A$2:$A$200,0)),"")</f>
        <v>LEUNG Jimmy</v>
      </c>
    </row>
    <row r="5008" customFormat="false" ht="15" hidden="false" customHeight="false" outlineLevel="0" collapsed="false">
      <c r="A5008" s="3" t="s">
        <v>439</v>
      </c>
      <c r="B5008" s="4" t="s">
        <v>44</v>
      </c>
      <c r="C5008" s="4" t="n">
        <v>5</v>
      </c>
      <c r="D5008" s="4" t="s">
        <v>106</v>
      </c>
      <c r="E5008" s="3" t="s">
        <v>229</v>
      </c>
      <c r="F5008" s="4" t="str">
        <f aca="false">IF(I5008&gt;J5008,"Y","N")</f>
        <v>Y</v>
      </c>
      <c r="G5008" s="3" t="s">
        <v>36</v>
      </c>
      <c r="H5008" s="3" t="s">
        <v>37</v>
      </c>
      <c r="I5008" s="4" t="n">
        <v>14</v>
      </c>
      <c r="J5008" s="4" t="n">
        <f aca="false">LEN(E5008)-LEN(SUBSTITUTE(E5008,",",""))+1</f>
        <v>6</v>
      </c>
      <c r="K5008" s="3" t="str">
        <f aca="false">IFERROR(INDEX('Teacher Lookup'!$B$2:$B$200,MATCH(A5008,'Teacher Lookup'!$A$2:$A$200,0)),"")</f>
        <v>LEUNG Jimmy</v>
      </c>
    </row>
    <row r="5009" customFormat="false" ht="15" hidden="false" customHeight="false" outlineLevel="0" collapsed="false">
      <c r="A5009" s="3" t="s">
        <v>439</v>
      </c>
      <c r="B5009" s="4" t="s">
        <v>44</v>
      </c>
      <c r="C5009" s="4" t="n">
        <v>5</v>
      </c>
      <c r="D5009" s="4" t="s">
        <v>107</v>
      </c>
      <c r="E5009" s="3" t="s">
        <v>229</v>
      </c>
      <c r="F5009" s="4" t="str">
        <f aca="false">IF(I5009&gt;J5009,"Y","N")</f>
        <v>Y</v>
      </c>
      <c r="G5009" s="3" t="s">
        <v>36</v>
      </c>
      <c r="H5009" s="3" t="s">
        <v>37</v>
      </c>
      <c r="I5009" s="4" t="n">
        <v>14</v>
      </c>
      <c r="J5009" s="4" t="n">
        <f aca="false">LEN(E5009)-LEN(SUBSTITUTE(E5009,",",""))+1</f>
        <v>6</v>
      </c>
      <c r="K5009" s="3" t="str">
        <f aca="false">IFERROR(INDEX('Teacher Lookup'!$B$2:$B$200,MATCH(A5009,'Teacher Lookup'!$A$2:$A$200,0)),"")</f>
        <v>LEUNG Jimmy</v>
      </c>
    </row>
    <row r="5010" customFormat="false" ht="15" hidden="false" customHeight="false" outlineLevel="0" collapsed="false">
      <c r="A5010" s="3" t="s">
        <v>439</v>
      </c>
      <c r="B5010" s="4" t="s">
        <v>47</v>
      </c>
      <c r="C5010" s="4" t="n">
        <v>2</v>
      </c>
      <c r="D5010" s="4" t="s">
        <v>52</v>
      </c>
      <c r="E5010" s="3" t="s">
        <v>306</v>
      </c>
      <c r="F5010" s="4" t="str">
        <f aca="false">IF(I5010&gt;J5010,"Y","N")</f>
        <v>N</v>
      </c>
      <c r="G5010" s="3" t="s">
        <v>15</v>
      </c>
      <c r="H5010" s="3" t="s">
        <v>21</v>
      </c>
      <c r="I5010" s="4" t="n">
        <v>7</v>
      </c>
      <c r="J5010" s="4" t="n">
        <f aca="false">LEN(E5010)-LEN(SUBSTITUTE(E5010,",",""))+1</f>
        <v>7</v>
      </c>
      <c r="K5010" s="3" t="str">
        <f aca="false">IFERROR(INDEX('Teacher Lookup'!$B$2:$B$200,MATCH(A5010,'Teacher Lookup'!$A$2:$A$200,0)),"")</f>
        <v>LEUNG Jimmy</v>
      </c>
    </row>
    <row r="5011" customFormat="false" ht="15" hidden="false" customHeight="false" outlineLevel="0" collapsed="false">
      <c r="A5011" s="3" t="s">
        <v>439</v>
      </c>
      <c r="B5011" s="4" t="s">
        <v>47</v>
      </c>
      <c r="C5011" s="4" t="n">
        <v>2</v>
      </c>
      <c r="D5011" s="4" t="s">
        <v>55</v>
      </c>
      <c r="E5011" s="3" t="s">
        <v>306</v>
      </c>
      <c r="F5011" s="4" t="str">
        <f aca="false">IF(I5011&gt;J5011,"Y","N")</f>
        <v>N</v>
      </c>
      <c r="G5011" s="3" t="s">
        <v>15</v>
      </c>
      <c r="H5011" s="3" t="s">
        <v>21</v>
      </c>
      <c r="I5011" s="4" t="n">
        <v>7</v>
      </c>
      <c r="J5011" s="4" t="n">
        <f aca="false">LEN(E5011)-LEN(SUBSTITUTE(E5011,",",""))+1</f>
        <v>7</v>
      </c>
      <c r="K5011" s="3" t="str">
        <f aca="false">IFERROR(INDEX('Teacher Lookup'!$B$2:$B$200,MATCH(A5011,'Teacher Lookup'!$A$2:$A$200,0)),"")</f>
        <v>LEUNG Jimmy</v>
      </c>
    </row>
    <row r="5012" customFormat="false" ht="15" hidden="false" customHeight="false" outlineLevel="0" collapsed="false">
      <c r="A5012" s="3" t="s">
        <v>439</v>
      </c>
      <c r="B5012" s="4" t="s">
        <v>47</v>
      </c>
      <c r="C5012" s="4" t="n">
        <v>2</v>
      </c>
      <c r="D5012" s="4" t="s">
        <v>56</v>
      </c>
      <c r="E5012" s="3" t="s">
        <v>306</v>
      </c>
      <c r="F5012" s="4" t="str">
        <f aca="false">IF(I5012&gt;J5012,"Y","N")</f>
        <v>N</v>
      </c>
      <c r="G5012" s="3" t="s">
        <v>15</v>
      </c>
      <c r="H5012" s="3" t="s">
        <v>21</v>
      </c>
      <c r="I5012" s="4" t="n">
        <v>7</v>
      </c>
      <c r="J5012" s="4" t="n">
        <f aca="false">LEN(E5012)-LEN(SUBSTITUTE(E5012,",",""))+1</f>
        <v>7</v>
      </c>
      <c r="K5012" s="3" t="str">
        <f aca="false">IFERROR(INDEX('Teacher Lookup'!$B$2:$B$200,MATCH(A5012,'Teacher Lookup'!$A$2:$A$200,0)),"")</f>
        <v>LEUNG Jimmy</v>
      </c>
    </row>
    <row r="5013" customFormat="false" ht="15" hidden="false" customHeight="false" outlineLevel="0" collapsed="false">
      <c r="A5013" s="3" t="s">
        <v>439</v>
      </c>
      <c r="B5013" s="4" t="s">
        <v>47</v>
      </c>
      <c r="C5013" s="4" t="n">
        <v>2</v>
      </c>
      <c r="D5013" s="4" t="s">
        <v>57</v>
      </c>
      <c r="E5013" s="3" t="s">
        <v>306</v>
      </c>
      <c r="F5013" s="4" t="str">
        <f aca="false">IF(I5013&gt;J5013,"Y","N")</f>
        <v>N</v>
      </c>
      <c r="G5013" s="3" t="s">
        <v>15</v>
      </c>
      <c r="H5013" s="3" t="s">
        <v>21</v>
      </c>
      <c r="I5013" s="4" t="n">
        <v>7</v>
      </c>
      <c r="J5013" s="4" t="n">
        <f aca="false">LEN(E5013)-LEN(SUBSTITUTE(E5013,",",""))+1</f>
        <v>7</v>
      </c>
      <c r="K5013" s="3" t="str">
        <f aca="false">IFERROR(INDEX('Teacher Lookup'!$B$2:$B$200,MATCH(A5013,'Teacher Lookup'!$A$2:$A$200,0)),"")</f>
        <v>LEUNG Jimmy</v>
      </c>
    </row>
    <row r="5014" customFormat="false" ht="15" hidden="false" customHeight="false" outlineLevel="0" collapsed="false">
      <c r="A5014" s="3" t="s">
        <v>439</v>
      </c>
      <c r="B5014" s="4" t="s">
        <v>47</v>
      </c>
      <c r="C5014" s="4" t="n">
        <v>2</v>
      </c>
      <c r="D5014" s="4" t="s">
        <v>58</v>
      </c>
      <c r="E5014" s="3" t="s">
        <v>306</v>
      </c>
      <c r="F5014" s="4" t="str">
        <f aca="false">IF(I5014&gt;J5014,"Y","N")</f>
        <v>N</v>
      </c>
      <c r="G5014" s="3" t="s">
        <v>15</v>
      </c>
      <c r="H5014" s="3" t="s">
        <v>21</v>
      </c>
      <c r="I5014" s="4" t="n">
        <v>7</v>
      </c>
      <c r="J5014" s="4" t="n">
        <f aca="false">LEN(E5014)-LEN(SUBSTITUTE(E5014,",",""))+1</f>
        <v>7</v>
      </c>
      <c r="K5014" s="3" t="str">
        <f aca="false">IFERROR(INDEX('Teacher Lookup'!$B$2:$B$200,MATCH(A5014,'Teacher Lookup'!$A$2:$A$200,0)),"")</f>
        <v>LEUNG Jimmy</v>
      </c>
    </row>
    <row r="5015" customFormat="false" ht="15" hidden="false" customHeight="false" outlineLevel="0" collapsed="false">
      <c r="A5015" s="3" t="s">
        <v>439</v>
      </c>
      <c r="B5015" s="4" t="s">
        <v>47</v>
      </c>
      <c r="C5015" s="4" t="n">
        <v>2</v>
      </c>
      <c r="D5015" s="4" t="s">
        <v>59</v>
      </c>
      <c r="E5015" s="3" t="s">
        <v>306</v>
      </c>
      <c r="F5015" s="4" t="str">
        <f aca="false">IF(I5015&gt;J5015,"Y","N")</f>
        <v>N</v>
      </c>
      <c r="G5015" s="3" t="s">
        <v>15</v>
      </c>
      <c r="H5015" s="3" t="s">
        <v>21</v>
      </c>
      <c r="I5015" s="4" t="n">
        <v>7</v>
      </c>
      <c r="J5015" s="4" t="n">
        <f aca="false">LEN(E5015)-LEN(SUBSTITUTE(E5015,",",""))+1</f>
        <v>7</v>
      </c>
      <c r="K5015" s="3" t="str">
        <f aca="false">IFERROR(INDEX('Teacher Lookup'!$B$2:$B$200,MATCH(A5015,'Teacher Lookup'!$A$2:$A$200,0)),"")</f>
        <v>LEUNG Jimmy</v>
      </c>
    </row>
    <row r="5016" customFormat="false" ht="15" hidden="false" customHeight="false" outlineLevel="0" collapsed="false">
      <c r="A5016" s="3" t="s">
        <v>439</v>
      </c>
      <c r="B5016" s="4" t="s">
        <v>47</v>
      </c>
      <c r="C5016" s="4" t="n">
        <v>3</v>
      </c>
      <c r="D5016" s="4" t="s">
        <v>102</v>
      </c>
      <c r="E5016" s="3" t="s">
        <v>231</v>
      </c>
      <c r="F5016" s="4" t="str">
        <f aca="false">IF(I5016&gt;J5016,"Y","N")</f>
        <v>N</v>
      </c>
      <c r="G5016" s="3" t="s">
        <v>15</v>
      </c>
      <c r="H5016" s="3" t="s">
        <v>26</v>
      </c>
      <c r="I5016" s="4" t="n">
        <v>5</v>
      </c>
      <c r="J5016" s="4" t="n">
        <f aca="false">LEN(E5016)-LEN(SUBSTITUTE(E5016,",",""))+1</f>
        <v>5</v>
      </c>
      <c r="K5016" s="3" t="str">
        <f aca="false">IFERROR(INDEX('Teacher Lookup'!$B$2:$B$200,MATCH(A5016,'Teacher Lookup'!$A$2:$A$200,0)),"")</f>
        <v>LEUNG Jimmy</v>
      </c>
    </row>
    <row r="5017" customFormat="false" ht="15" hidden="false" customHeight="false" outlineLevel="0" collapsed="false">
      <c r="A5017" s="3" t="s">
        <v>439</v>
      </c>
      <c r="B5017" s="4" t="s">
        <v>47</v>
      </c>
      <c r="C5017" s="4" t="n">
        <v>3</v>
      </c>
      <c r="D5017" s="4" t="s">
        <v>105</v>
      </c>
      <c r="E5017" s="3" t="s">
        <v>231</v>
      </c>
      <c r="F5017" s="4" t="str">
        <f aca="false">IF(I5017&gt;J5017,"Y","N")</f>
        <v>N</v>
      </c>
      <c r="G5017" s="3" t="s">
        <v>15</v>
      </c>
      <c r="H5017" s="3" t="s">
        <v>26</v>
      </c>
      <c r="I5017" s="4" t="n">
        <v>5</v>
      </c>
      <c r="J5017" s="4" t="n">
        <f aca="false">LEN(E5017)-LEN(SUBSTITUTE(E5017,",",""))+1</f>
        <v>5</v>
      </c>
      <c r="K5017" s="3" t="str">
        <f aca="false">IFERROR(INDEX('Teacher Lookup'!$B$2:$B$200,MATCH(A5017,'Teacher Lookup'!$A$2:$A$200,0)),"")</f>
        <v>LEUNG Jimmy</v>
      </c>
    </row>
    <row r="5018" customFormat="false" ht="15" hidden="false" customHeight="false" outlineLevel="0" collapsed="false">
      <c r="A5018" s="3" t="s">
        <v>439</v>
      </c>
      <c r="B5018" s="4" t="s">
        <v>47</v>
      </c>
      <c r="C5018" s="4" t="n">
        <v>3</v>
      </c>
      <c r="D5018" s="4" t="s">
        <v>106</v>
      </c>
      <c r="E5018" s="3" t="s">
        <v>231</v>
      </c>
      <c r="F5018" s="4" t="str">
        <f aca="false">IF(I5018&gt;J5018,"Y","N")</f>
        <v>N</v>
      </c>
      <c r="G5018" s="3" t="s">
        <v>15</v>
      </c>
      <c r="H5018" s="3" t="s">
        <v>26</v>
      </c>
      <c r="I5018" s="4" t="n">
        <v>5</v>
      </c>
      <c r="J5018" s="4" t="n">
        <f aca="false">LEN(E5018)-LEN(SUBSTITUTE(E5018,",",""))+1</f>
        <v>5</v>
      </c>
      <c r="K5018" s="3" t="str">
        <f aca="false">IFERROR(INDEX('Teacher Lookup'!$B$2:$B$200,MATCH(A5018,'Teacher Lookup'!$A$2:$A$200,0)),"")</f>
        <v>LEUNG Jimmy</v>
      </c>
    </row>
    <row r="5019" customFormat="false" ht="15" hidden="false" customHeight="false" outlineLevel="0" collapsed="false">
      <c r="A5019" s="3" t="s">
        <v>439</v>
      </c>
      <c r="B5019" s="4" t="s">
        <v>47</v>
      </c>
      <c r="C5019" s="4" t="n">
        <v>3</v>
      </c>
      <c r="D5019" s="4" t="s">
        <v>107</v>
      </c>
      <c r="E5019" s="3" t="s">
        <v>231</v>
      </c>
      <c r="F5019" s="4" t="str">
        <f aca="false">IF(I5019&gt;J5019,"Y","N")</f>
        <v>N</v>
      </c>
      <c r="G5019" s="3" t="s">
        <v>15</v>
      </c>
      <c r="H5019" s="3" t="s">
        <v>26</v>
      </c>
      <c r="I5019" s="4" t="n">
        <v>5</v>
      </c>
      <c r="J5019" s="4" t="n">
        <f aca="false">LEN(E5019)-LEN(SUBSTITUTE(E5019,",",""))+1</f>
        <v>5</v>
      </c>
      <c r="K5019" s="3" t="str">
        <f aca="false">IFERROR(INDEX('Teacher Lookup'!$B$2:$B$200,MATCH(A5019,'Teacher Lookup'!$A$2:$A$200,0)),"")</f>
        <v>LEUNG Jimmy</v>
      </c>
    </row>
    <row r="5020" customFormat="false" ht="15" hidden="false" customHeight="false" outlineLevel="0" collapsed="false">
      <c r="A5020" s="3" t="s">
        <v>439</v>
      </c>
      <c r="B5020" s="4" t="s">
        <v>50</v>
      </c>
      <c r="C5020" s="4" t="n">
        <v>1</v>
      </c>
      <c r="D5020" s="4" t="s">
        <v>102</v>
      </c>
      <c r="E5020" s="3" t="s">
        <v>227</v>
      </c>
      <c r="F5020" s="4" t="str">
        <f aca="false">IF(I5020&gt;J5020,"Y","N")</f>
        <v>N</v>
      </c>
      <c r="G5020" s="3" t="s">
        <v>15</v>
      </c>
      <c r="H5020" s="3" t="s">
        <v>16</v>
      </c>
      <c r="I5020" s="4" t="n">
        <v>5</v>
      </c>
      <c r="J5020" s="4" t="n">
        <f aca="false">LEN(E5020)-LEN(SUBSTITUTE(E5020,",",""))+1</f>
        <v>5</v>
      </c>
      <c r="K5020" s="3" t="str">
        <f aca="false">IFERROR(INDEX('Teacher Lookup'!$B$2:$B$200,MATCH(A5020,'Teacher Lookup'!$A$2:$A$200,0)),"")</f>
        <v>LEUNG Jimmy</v>
      </c>
    </row>
    <row r="5021" customFormat="false" ht="15" hidden="false" customHeight="false" outlineLevel="0" collapsed="false">
      <c r="A5021" s="3" t="s">
        <v>439</v>
      </c>
      <c r="B5021" s="4" t="s">
        <v>50</v>
      </c>
      <c r="C5021" s="4" t="n">
        <v>1</v>
      </c>
      <c r="D5021" s="4" t="s">
        <v>105</v>
      </c>
      <c r="E5021" s="3" t="s">
        <v>227</v>
      </c>
      <c r="F5021" s="4" t="str">
        <f aca="false">IF(I5021&gt;J5021,"Y","N")</f>
        <v>N</v>
      </c>
      <c r="G5021" s="3" t="s">
        <v>15</v>
      </c>
      <c r="H5021" s="3" t="s">
        <v>16</v>
      </c>
      <c r="I5021" s="4" t="n">
        <v>5</v>
      </c>
      <c r="J5021" s="4" t="n">
        <f aca="false">LEN(E5021)-LEN(SUBSTITUTE(E5021,",",""))+1</f>
        <v>5</v>
      </c>
      <c r="K5021" s="3" t="str">
        <f aca="false">IFERROR(INDEX('Teacher Lookup'!$B$2:$B$200,MATCH(A5021,'Teacher Lookup'!$A$2:$A$200,0)),"")</f>
        <v>LEUNG Jimmy</v>
      </c>
    </row>
    <row r="5022" customFormat="false" ht="15" hidden="false" customHeight="false" outlineLevel="0" collapsed="false">
      <c r="A5022" s="3" t="s">
        <v>439</v>
      </c>
      <c r="B5022" s="4" t="s">
        <v>50</v>
      </c>
      <c r="C5022" s="4" t="n">
        <v>1</v>
      </c>
      <c r="D5022" s="4" t="s">
        <v>106</v>
      </c>
      <c r="E5022" s="3" t="s">
        <v>227</v>
      </c>
      <c r="F5022" s="4" t="str">
        <f aca="false">IF(I5022&gt;J5022,"Y","N")</f>
        <v>N</v>
      </c>
      <c r="G5022" s="3" t="s">
        <v>15</v>
      </c>
      <c r="H5022" s="3" t="s">
        <v>16</v>
      </c>
      <c r="I5022" s="4" t="n">
        <v>5</v>
      </c>
      <c r="J5022" s="4" t="n">
        <f aca="false">LEN(E5022)-LEN(SUBSTITUTE(E5022,",",""))+1</f>
        <v>5</v>
      </c>
      <c r="K5022" s="3" t="str">
        <f aca="false">IFERROR(INDEX('Teacher Lookup'!$B$2:$B$200,MATCH(A5022,'Teacher Lookup'!$A$2:$A$200,0)),"")</f>
        <v>LEUNG Jimmy</v>
      </c>
    </row>
    <row r="5023" customFormat="false" ht="15" hidden="false" customHeight="false" outlineLevel="0" collapsed="false">
      <c r="A5023" s="3" t="s">
        <v>439</v>
      </c>
      <c r="B5023" s="4" t="s">
        <v>50</v>
      </c>
      <c r="C5023" s="4" t="n">
        <v>1</v>
      </c>
      <c r="D5023" s="4" t="s">
        <v>107</v>
      </c>
      <c r="E5023" s="3" t="s">
        <v>227</v>
      </c>
      <c r="F5023" s="4" t="str">
        <f aca="false">IF(I5023&gt;J5023,"Y","N")</f>
        <v>N</v>
      </c>
      <c r="G5023" s="3" t="s">
        <v>15</v>
      </c>
      <c r="H5023" s="3" t="s">
        <v>16</v>
      </c>
      <c r="I5023" s="4" t="n">
        <v>5</v>
      </c>
      <c r="J5023" s="4" t="n">
        <f aca="false">LEN(E5023)-LEN(SUBSTITUTE(E5023,",",""))+1</f>
        <v>5</v>
      </c>
      <c r="K5023" s="3" t="str">
        <f aca="false">IFERROR(INDEX('Teacher Lookup'!$B$2:$B$200,MATCH(A5023,'Teacher Lookup'!$A$2:$A$200,0)),"")</f>
        <v>LEUNG Jimmy</v>
      </c>
    </row>
    <row r="5024" customFormat="false" ht="15" hidden="false" customHeight="false" outlineLevel="0" collapsed="false">
      <c r="A5024" s="3" t="s">
        <v>439</v>
      </c>
      <c r="B5024" s="4" t="s">
        <v>50</v>
      </c>
      <c r="C5024" s="4" t="n">
        <v>2</v>
      </c>
      <c r="D5024" s="4" t="s">
        <v>52</v>
      </c>
      <c r="E5024" s="3" t="s">
        <v>307</v>
      </c>
      <c r="F5024" s="4" t="str">
        <f aca="false">IF(I5024&gt;J5024,"Y","N")</f>
        <v>N</v>
      </c>
      <c r="G5024" s="3" t="s">
        <v>15</v>
      </c>
      <c r="H5024" s="3" t="s">
        <v>21</v>
      </c>
      <c r="I5024" s="4" t="n">
        <v>7</v>
      </c>
      <c r="J5024" s="4" t="n">
        <f aca="false">LEN(E5024)-LEN(SUBSTITUTE(E5024,",",""))+1</f>
        <v>7</v>
      </c>
      <c r="K5024" s="3" t="str">
        <f aca="false">IFERROR(INDEX('Teacher Lookup'!$B$2:$B$200,MATCH(A5024,'Teacher Lookup'!$A$2:$A$200,0)),"")</f>
        <v>LEUNG Jimmy</v>
      </c>
    </row>
    <row r="5025" customFormat="false" ht="15" hidden="false" customHeight="false" outlineLevel="0" collapsed="false">
      <c r="A5025" s="3" t="s">
        <v>439</v>
      </c>
      <c r="B5025" s="4" t="s">
        <v>50</v>
      </c>
      <c r="C5025" s="4" t="n">
        <v>2</v>
      </c>
      <c r="D5025" s="4" t="s">
        <v>55</v>
      </c>
      <c r="E5025" s="3" t="s">
        <v>307</v>
      </c>
      <c r="F5025" s="4" t="str">
        <f aca="false">IF(I5025&gt;J5025,"Y","N")</f>
        <v>N</v>
      </c>
      <c r="G5025" s="3" t="s">
        <v>15</v>
      </c>
      <c r="H5025" s="3" t="s">
        <v>21</v>
      </c>
      <c r="I5025" s="4" t="n">
        <v>7</v>
      </c>
      <c r="J5025" s="4" t="n">
        <f aca="false">LEN(E5025)-LEN(SUBSTITUTE(E5025,",",""))+1</f>
        <v>7</v>
      </c>
      <c r="K5025" s="3" t="str">
        <f aca="false">IFERROR(INDEX('Teacher Lookup'!$B$2:$B$200,MATCH(A5025,'Teacher Lookup'!$A$2:$A$200,0)),"")</f>
        <v>LEUNG Jimmy</v>
      </c>
    </row>
    <row r="5026" customFormat="false" ht="15" hidden="false" customHeight="false" outlineLevel="0" collapsed="false">
      <c r="A5026" s="3" t="s">
        <v>439</v>
      </c>
      <c r="B5026" s="4" t="s">
        <v>50</v>
      </c>
      <c r="C5026" s="4" t="n">
        <v>2</v>
      </c>
      <c r="D5026" s="4" t="s">
        <v>56</v>
      </c>
      <c r="E5026" s="3" t="s">
        <v>307</v>
      </c>
      <c r="F5026" s="4" t="str">
        <f aca="false">IF(I5026&gt;J5026,"Y","N")</f>
        <v>N</v>
      </c>
      <c r="G5026" s="3" t="s">
        <v>15</v>
      </c>
      <c r="H5026" s="3" t="s">
        <v>21</v>
      </c>
      <c r="I5026" s="4" t="n">
        <v>7</v>
      </c>
      <c r="J5026" s="4" t="n">
        <f aca="false">LEN(E5026)-LEN(SUBSTITUTE(E5026,",",""))+1</f>
        <v>7</v>
      </c>
      <c r="K5026" s="3" t="str">
        <f aca="false">IFERROR(INDEX('Teacher Lookup'!$B$2:$B$200,MATCH(A5026,'Teacher Lookup'!$A$2:$A$200,0)),"")</f>
        <v>LEUNG Jimmy</v>
      </c>
    </row>
    <row r="5027" customFormat="false" ht="15" hidden="false" customHeight="false" outlineLevel="0" collapsed="false">
      <c r="A5027" s="3" t="s">
        <v>439</v>
      </c>
      <c r="B5027" s="4" t="s">
        <v>50</v>
      </c>
      <c r="C5027" s="4" t="n">
        <v>2</v>
      </c>
      <c r="D5027" s="4" t="s">
        <v>57</v>
      </c>
      <c r="E5027" s="3" t="s">
        <v>307</v>
      </c>
      <c r="F5027" s="4" t="str">
        <f aca="false">IF(I5027&gt;J5027,"Y","N")</f>
        <v>N</v>
      </c>
      <c r="G5027" s="3" t="s">
        <v>15</v>
      </c>
      <c r="H5027" s="3" t="s">
        <v>21</v>
      </c>
      <c r="I5027" s="4" t="n">
        <v>7</v>
      </c>
      <c r="J5027" s="4" t="n">
        <f aca="false">LEN(E5027)-LEN(SUBSTITUTE(E5027,",",""))+1</f>
        <v>7</v>
      </c>
      <c r="K5027" s="3" t="str">
        <f aca="false">IFERROR(INDEX('Teacher Lookup'!$B$2:$B$200,MATCH(A5027,'Teacher Lookup'!$A$2:$A$200,0)),"")</f>
        <v>LEUNG Jimmy</v>
      </c>
    </row>
    <row r="5028" customFormat="false" ht="15" hidden="false" customHeight="false" outlineLevel="0" collapsed="false">
      <c r="A5028" s="3" t="s">
        <v>439</v>
      </c>
      <c r="B5028" s="4" t="s">
        <v>50</v>
      </c>
      <c r="C5028" s="4" t="n">
        <v>2</v>
      </c>
      <c r="D5028" s="4" t="s">
        <v>58</v>
      </c>
      <c r="E5028" s="3" t="s">
        <v>307</v>
      </c>
      <c r="F5028" s="4" t="str">
        <f aca="false">IF(I5028&gt;J5028,"Y","N")</f>
        <v>N</v>
      </c>
      <c r="G5028" s="3" t="s">
        <v>15</v>
      </c>
      <c r="H5028" s="3" t="s">
        <v>21</v>
      </c>
      <c r="I5028" s="4" t="n">
        <v>7</v>
      </c>
      <c r="J5028" s="4" t="n">
        <f aca="false">LEN(E5028)-LEN(SUBSTITUTE(E5028,",",""))+1</f>
        <v>7</v>
      </c>
      <c r="K5028" s="3" t="str">
        <f aca="false">IFERROR(INDEX('Teacher Lookup'!$B$2:$B$200,MATCH(A5028,'Teacher Lookup'!$A$2:$A$200,0)),"")</f>
        <v>LEUNG Jimmy</v>
      </c>
    </row>
    <row r="5029" customFormat="false" ht="15" hidden="false" customHeight="false" outlineLevel="0" collapsed="false">
      <c r="A5029" s="3" t="s">
        <v>439</v>
      </c>
      <c r="B5029" s="4" t="s">
        <v>50</v>
      </c>
      <c r="C5029" s="4" t="n">
        <v>2</v>
      </c>
      <c r="D5029" s="4" t="s">
        <v>59</v>
      </c>
      <c r="E5029" s="3" t="s">
        <v>307</v>
      </c>
      <c r="F5029" s="4" t="str">
        <f aca="false">IF(I5029&gt;J5029,"Y","N")</f>
        <v>N</v>
      </c>
      <c r="G5029" s="3" t="s">
        <v>15</v>
      </c>
      <c r="H5029" s="3" t="s">
        <v>21</v>
      </c>
      <c r="I5029" s="4" t="n">
        <v>7</v>
      </c>
      <c r="J5029" s="4" t="n">
        <f aca="false">LEN(E5029)-LEN(SUBSTITUTE(E5029,",",""))+1</f>
        <v>7</v>
      </c>
      <c r="K5029" s="3" t="str">
        <f aca="false">IFERROR(INDEX('Teacher Lookup'!$B$2:$B$200,MATCH(A5029,'Teacher Lookup'!$A$2:$A$200,0)),"")</f>
        <v>LEUNG Jimmy</v>
      </c>
    </row>
    <row r="5030" customFormat="false" ht="15" hidden="false" customHeight="false" outlineLevel="0" collapsed="false">
      <c r="A5030" s="3" t="s">
        <v>439</v>
      </c>
      <c r="B5030" s="4" t="s">
        <v>60</v>
      </c>
      <c r="C5030" s="4" t="n">
        <v>1</v>
      </c>
      <c r="D5030" s="4" t="s">
        <v>102</v>
      </c>
      <c r="E5030" s="3" t="s">
        <v>227</v>
      </c>
      <c r="F5030" s="4" t="str">
        <f aca="false">IF(I5030&gt;J5030,"Y","N")</f>
        <v>N</v>
      </c>
      <c r="G5030" s="3" t="s">
        <v>15</v>
      </c>
      <c r="H5030" s="3" t="s">
        <v>16</v>
      </c>
      <c r="I5030" s="4" t="n">
        <v>5</v>
      </c>
      <c r="J5030" s="4" t="n">
        <f aca="false">LEN(E5030)-LEN(SUBSTITUTE(E5030,",",""))+1</f>
        <v>5</v>
      </c>
      <c r="K5030" s="3" t="str">
        <f aca="false">IFERROR(INDEX('Teacher Lookup'!$B$2:$B$200,MATCH(A5030,'Teacher Lookup'!$A$2:$A$200,0)),"")</f>
        <v>LEUNG Jimmy</v>
      </c>
    </row>
    <row r="5031" customFormat="false" ht="15" hidden="false" customHeight="false" outlineLevel="0" collapsed="false">
      <c r="A5031" s="3" t="s">
        <v>439</v>
      </c>
      <c r="B5031" s="4" t="s">
        <v>60</v>
      </c>
      <c r="C5031" s="4" t="n">
        <v>1</v>
      </c>
      <c r="D5031" s="4" t="s">
        <v>105</v>
      </c>
      <c r="E5031" s="3" t="s">
        <v>227</v>
      </c>
      <c r="F5031" s="4" t="str">
        <f aca="false">IF(I5031&gt;J5031,"Y","N")</f>
        <v>N</v>
      </c>
      <c r="G5031" s="3" t="s">
        <v>15</v>
      </c>
      <c r="H5031" s="3" t="s">
        <v>16</v>
      </c>
      <c r="I5031" s="4" t="n">
        <v>5</v>
      </c>
      <c r="J5031" s="4" t="n">
        <f aca="false">LEN(E5031)-LEN(SUBSTITUTE(E5031,",",""))+1</f>
        <v>5</v>
      </c>
      <c r="K5031" s="3" t="str">
        <f aca="false">IFERROR(INDEX('Teacher Lookup'!$B$2:$B$200,MATCH(A5031,'Teacher Lookup'!$A$2:$A$200,0)),"")</f>
        <v>LEUNG Jimmy</v>
      </c>
    </row>
    <row r="5032" customFormat="false" ht="15" hidden="false" customHeight="false" outlineLevel="0" collapsed="false">
      <c r="A5032" s="3" t="s">
        <v>439</v>
      </c>
      <c r="B5032" s="4" t="s">
        <v>60</v>
      </c>
      <c r="C5032" s="4" t="n">
        <v>1</v>
      </c>
      <c r="D5032" s="4" t="s">
        <v>106</v>
      </c>
      <c r="E5032" s="3" t="s">
        <v>227</v>
      </c>
      <c r="F5032" s="4" t="str">
        <f aca="false">IF(I5032&gt;J5032,"Y","N")</f>
        <v>N</v>
      </c>
      <c r="G5032" s="3" t="s">
        <v>15</v>
      </c>
      <c r="H5032" s="3" t="s">
        <v>16</v>
      </c>
      <c r="I5032" s="4" t="n">
        <v>5</v>
      </c>
      <c r="J5032" s="4" t="n">
        <f aca="false">LEN(E5032)-LEN(SUBSTITUTE(E5032,",",""))+1</f>
        <v>5</v>
      </c>
      <c r="K5032" s="3" t="str">
        <f aca="false">IFERROR(INDEX('Teacher Lookup'!$B$2:$B$200,MATCH(A5032,'Teacher Lookup'!$A$2:$A$200,0)),"")</f>
        <v>LEUNG Jimmy</v>
      </c>
    </row>
    <row r="5033" customFormat="false" ht="15" hidden="false" customHeight="false" outlineLevel="0" collapsed="false">
      <c r="A5033" s="3" t="s">
        <v>439</v>
      </c>
      <c r="B5033" s="4" t="s">
        <v>60</v>
      </c>
      <c r="C5033" s="4" t="n">
        <v>1</v>
      </c>
      <c r="D5033" s="4" t="s">
        <v>107</v>
      </c>
      <c r="E5033" s="3" t="s">
        <v>227</v>
      </c>
      <c r="F5033" s="4" t="str">
        <f aca="false">IF(I5033&gt;J5033,"Y","N")</f>
        <v>N</v>
      </c>
      <c r="G5033" s="3" t="s">
        <v>15</v>
      </c>
      <c r="H5033" s="3" t="s">
        <v>16</v>
      </c>
      <c r="I5033" s="4" t="n">
        <v>5</v>
      </c>
      <c r="J5033" s="4" t="n">
        <f aca="false">LEN(E5033)-LEN(SUBSTITUTE(E5033,",",""))+1</f>
        <v>5</v>
      </c>
      <c r="K5033" s="3" t="str">
        <f aca="false">IFERROR(INDEX('Teacher Lookup'!$B$2:$B$200,MATCH(A5033,'Teacher Lookup'!$A$2:$A$200,0)),"")</f>
        <v>LEUNG Jimmy</v>
      </c>
    </row>
    <row r="5034" customFormat="false" ht="15" hidden="false" customHeight="false" outlineLevel="0" collapsed="false">
      <c r="A5034" s="3" t="s">
        <v>439</v>
      </c>
      <c r="B5034" s="4" t="s">
        <v>60</v>
      </c>
      <c r="C5034" s="4" t="n">
        <v>3</v>
      </c>
      <c r="D5034" s="4" t="s">
        <v>52</v>
      </c>
      <c r="E5034" s="3" t="s">
        <v>306</v>
      </c>
      <c r="F5034" s="4" t="str">
        <f aca="false">IF(I5034&gt;J5034,"Y","N")</f>
        <v>N</v>
      </c>
      <c r="G5034" s="3" t="s">
        <v>15</v>
      </c>
      <c r="H5034" s="3" t="s">
        <v>26</v>
      </c>
      <c r="I5034" s="4" t="n">
        <v>7</v>
      </c>
      <c r="J5034" s="4" t="n">
        <f aca="false">LEN(E5034)-LEN(SUBSTITUTE(E5034,",",""))+1</f>
        <v>7</v>
      </c>
      <c r="K5034" s="3" t="str">
        <f aca="false">IFERROR(INDEX('Teacher Lookup'!$B$2:$B$200,MATCH(A5034,'Teacher Lookup'!$A$2:$A$200,0)),"")</f>
        <v>LEUNG Jimmy</v>
      </c>
    </row>
    <row r="5035" customFormat="false" ht="15" hidden="false" customHeight="false" outlineLevel="0" collapsed="false">
      <c r="A5035" s="3" t="s">
        <v>439</v>
      </c>
      <c r="B5035" s="4" t="s">
        <v>60</v>
      </c>
      <c r="C5035" s="4" t="n">
        <v>3</v>
      </c>
      <c r="D5035" s="4" t="s">
        <v>55</v>
      </c>
      <c r="E5035" s="3" t="s">
        <v>306</v>
      </c>
      <c r="F5035" s="4" t="str">
        <f aca="false">IF(I5035&gt;J5035,"Y","N")</f>
        <v>N</v>
      </c>
      <c r="G5035" s="3" t="s">
        <v>15</v>
      </c>
      <c r="H5035" s="3" t="s">
        <v>26</v>
      </c>
      <c r="I5035" s="4" t="n">
        <v>7</v>
      </c>
      <c r="J5035" s="4" t="n">
        <f aca="false">LEN(E5035)-LEN(SUBSTITUTE(E5035,",",""))+1</f>
        <v>7</v>
      </c>
      <c r="K5035" s="3" t="str">
        <f aca="false">IFERROR(INDEX('Teacher Lookup'!$B$2:$B$200,MATCH(A5035,'Teacher Lookup'!$A$2:$A$200,0)),"")</f>
        <v>LEUNG Jimmy</v>
      </c>
    </row>
    <row r="5036" customFormat="false" ht="15" hidden="false" customHeight="false" outlineLevel="0" collapsed="false">
      <c r="A5036" s="3" t="s">
        <v>439</v>
      </c>
      <c r="B5036" s="4" t="s">
        <v>60</v>
      </c>
      <c r="C5036" s="4" t="n">
        <v>3</v>
      </c>
      <c r="D5036" s="4" t="s">
        <v>56</v>
      </c>
      <c r="E5036" s="3" t="s">
        <v>306</v>
      </c>
      <c r="F5036" s="4" t="str">
        <f aca="false">IF(I5036&gt;J5036,"Y","N")</f>
        <v>N</v>
      </c>
      <c r="G5036" s="3" t="s">
        <v>15</v>
      </c>
      <c r="H5036" s="3" t="s">
        <v>26</v>
      </c>
      <c r="I5036" s="4" t="n">
        <v>7</v>
      </c>
      <c r="J5036" s="4" t="n">
        <f aca="false">LEN(E5036)-LEN(SUBSTITUTE(E5036,",",""))+1</f>
        <v>7</v>
      </c>
      <c r="K5036" s="3" t="str">
        <f aca="false">IFERROR(INDEX('Teacher Lookup'!$B$2:$B$200,MATCH(A5036,'Teacher Lookup'!$A$2:$A$200,0)),"")</f>
        <v>LEUNG Jimmy</v>
      </c>
    </row>
    <row r="5037" customFormat="false" ht="15" hidden="false" customHeight="false" outlineLevel="0" collapsed="false">
      <c r="A5037" s="3" t="s">
        <v>439</v>
      </c>
      <c r="B5037" s="4" t="s">
        <v>60</v>
      </c>
      <c r="C5037" s="4" t="n">
        <v>3</v>
      </c>
      <c r="D5037" s="4" t="s">
        <v>57</v>
      </c>
      <c r="E5037" s="3" t="s">
        <v>306</v>
      </c>
      <c r="F5037" s="4" t="str">
        <f aca="false">IF(I5037&gt;J5037,"Y","N")</f>
        <v>N</v>
      </c>
      <c r="G5037" s="3" t="s">
        <v>15</v>
      </c>
      <c r="H5037" s="3" t="s">
        <v>26</v>
      </c>
      <c r="I5037" s="4" t="n">
        <v>7</v>
      </c>
      <c r="J5037" s="4" t="n">
        <f aca="false">LEN(E5037)-LEN(SUBSTITUTE(E5037,",",""))+1</f>
        <v>7</v>
      </c>
      <c r="K5037" s="3" t="str">
        <f aca="false">IFERROR(INDEX('Teacher Lookup'!$B$2:$B$200,MATCH(A5037,'Teacher Lookup'!$A$2:$A$200,0)),"")</f>
        <v>LEUNG Jimmy</v>
      </c>
    </row>
    <row r="5038" customFormat="false" ht="15" hidden="false" customHeight="false" outlineLevel="0" collapsed="false">
      <c r="A5038" s="3" t="s">
        <v>439</v>
      </c>
      <c r="B5038" s="4" t="s">
        <v>60</v>
      </c>
      <c r="C5038" s="4" t="n">
        <v>3</v>
      </c>
      <c r="D5038" s="4" t="s">
        <v>58</v>
      </c>
      <c r="E5038" s="3" t="s">
        <v>306</v>
      </c>
      <c r="F5038" s="4" t="str">
        <f aca="false">IF(I5038&gt;J5038,"Y","N")</f>
        <v>N</v>
      </c>
      <c r="G5038" s="3" t="s">
        <v>15</v>
      </c>
      <c r="H5038" s="3" t="s">
        <v>26</v>
      </c>
      <c r="I5038" s="4" t="n">
        <v>7</v>
      </c>
      <c r="J5038" s="4" t="n">
        <f aca="false">LEN(E5038)-LEN(SUBSTITUTE(E5038,",",""))+1</f>
        <v>7</v>
      </c>
      <c r="K5038" s="3" t="str">
        <f aca="false">IFERROR(INDEX('Teacher Lookup'!$B$2:$B$200,MATCH(A5038,'Teacher Lookup'!$A$2:$A$200,0)),"")</f>
        <v>LEUNG Jimmy</v>
      </c>
    </row>
    <row r="5039" customFormat="false" ht="15" hidden="false" customHeight="false" outlineLevel="0" collapsed="false">
      <c r="A5039" s="3" t="s">
        <v>439</v>
      </c>
      <c r="B5039" s="4" t="s">
        <v>60</v>
      </c>
      <c r="C5039" s="4" t="n">
        <v>3</v>
      </c>
      <c r="D5039" s="4" t="s">
        <v>59</v>
      </c>
      <c r="E5039" s="3" t="s">
        <v>306</v>
      </c>
      <c r="F5039" s="4" t="str">
        <f aca="false">IF(I5039&gt;J5039,"Y","N")</f>
        <v>N</v>
      </c>
      <c r="G5039" s="3" t="s">
        <v>15</v>
      </c>
      <c r="H5039" s="3" t="s">
        <v>26</v>
      </c>
      <c r="I5039" s="4" t="n">
        <v>7</v>
      </c>
      <c r="J5039" s="4" t="n">
        <f aca="false">LEN(E5039)-LEN(SUBSTITUTE(E5039,",",""))+1</f>
        <v>7</v>
      </c>
      <c r="K5039" s="3" t="str">
        <f aca="false">IFERROR(INDEX('Teacher Lookup'!$B$2:$B$200,MATCH(A5039,'Teacher Lookup'!$A$2:$A$200,0)),"")</f>
        <v>LEUNG Jimmy</v>
      </c>
    </row>
    <row r="5040" customFormat="false" ht="15" hidden="false" customHeight="false" outlineLevel="0" collapsed="false">
      <c r="A5040" s="3" t="s">
        <v>439</v>
      </c>
      <c r="B5040" s="4" t="s">
        <v>60</v>
      </c>
      <c r="C5040" s="4" t="n">
        <v>5</v>
      </c>
      <c r="D5040" s="4" t="s">
        <v>228</v>
      </c>
      <c r="E5040" s="3" t="s">
        <v>229</v>
      </c>
      <c r="F5040" s="4" t="str">
        <f aca="false">IF(I5040&gt;J5040,"Y","N")</f>
        <v>Y</v>
      </c>
      <c r="G5040" s="3" t="s">
        <v>36</v>
      </c>
      <c r="H5040" s="3" t="s">
        <v>37</v>
      </c>
      <c r="I5040" s="4" t="n">
        <v>14</v>
      </c>
      <c r="J5040" s="4" t="n">
        <f aca="false">LEN(E5040)-LEN(SUBSTITUTE(E5040,",",""))+1</f>
        <v>6</v>
      </c>
      <c r="K5040" s="3" t="str">
        <f aca="false">IFERROR(INDEX('Teacher Lookup'!$B$2:$B$200,MATCH(A5040,'Teacher Lookup'!$A$2:$A$200,0)),"")</f>
        <v>LEUNG Jimmy</v>
      </c>
    </row>
    <row r="5041" customFormat="false" ht="15" hidden="false" customHeight="false" outlineLevel="0" collapsed="false">
      <c r="A5041" s="3" t="s">
        <v>439</v>
      </c>
      <c r="B5041" s="4" t="s">
        <v>60</v>
      </c>
      <c r="C5041" s="4" t="n">
        <v>5</v>
      </c>
      <c r="D5041" s="4" t="s">
        <v>102</v>
      </c>
      <c r="E5041" s="3" t="s">
        <v>229</v>
      </c>
      <c r="F5041" s="4" t="str">
        <f aca="false">IF(I5041&gt;J5041,"Y","N")</f>
        <v>Y</v>
      </c>
      <c r="G5041" s="3" t="s">
        <v>36</v>
      </c>
      <c r="H5041" s="3" t="s">
        <v>37</v>
      </c>
      <c r="I5041" s="4" t="n">
        <v>14</v>
      </c>
      <c r="J5041" s="4" t="n">
        <f aca="false">LEN(E5041)-LEN(SUBSTITUTE(E5041,",",""))+1</f>
        <v>6</v>
      </c>
      <c r="K5041" s="3" t="str">
        <f aca="false">IFERROR(INDEX('Teacher Lookup'!$B$2:$B$200,MATCH(A5041,'Teacher Lookup'!$A$2:$A$200,0)),"")</f>
        <v>LEUNG Jimmy</v>
      </c>
    </row>
    <row r="5042" customFormat="false" ht="15" hidden="false" customHeight="false" outlineLevel="0" collapsed="false">
      <c r="A5042" s="3" t="s">
        <v>439</v>
      </c>
      <c r="B5042" s="4" t="s">
        <v>60</v>
      </c>
      <c r="C5042" s="4" t="n">
        <v>5</v>
      </c>
      <c r="D5042" s="4" t="s">
        <v>105</v>
      </c>
      <c r="E5042" s="3" t="s">
        <v>229</v>
      </c>
      <c r="F5042" s="4" t="str">
        <f aca="false">IF(I5042&gt;J5042,"Y","N")</f>
        <v>Y</v>
      </c>
      <c r="G5042" s="3" t="s">
        <v>36</v>
      </c>
      <c r="H5042" s="3" t="s">
        <v>37</v>
      </c>
      <c r="I5042" s="4" t="n">
        <v>14</v>
      </c>
      <c r="J5042" s="4" t="n">
        <f aca="false">LEN(E5042)-LEN(SUBSTITUTE(E5042,",",""))+1</f>
        <v>6</v>
      </c>
      <c r="K5042" s="3" t="str">
        <f aca="false">IFERROR(INDEX('Teacher Lookup'!$B$2:$B$200,MATCH(A5042,'Teacher Lookup'!$A$2:$A$200,0)),"")</f>
        <v>LEUNG Jimmy</v>
      </c>
    </row>
    <row r="5043" customFormat="false" ht="15" hidden="false" customHeight="false" outlineLevel="0" collapsed="false">
      <c r="A5043" s="3" t="s">
        <v>439</v>
      </c>
      <c r="B5043" s="4" t="s">
        <v>60</v>
      </c>
      <c r="C5043" s="4" t="n">
        <v>5</v>
      </c>
      <c r="D5043" s="4" t="s">
        <v>106</v>
      </c>
      <c r="E5043" s="3" t="s">
        <v>229</v>
      </c>
      <c r="F5043" s="4" t="str">
        <f aca="false">IF(I5043&gt;J5043,"Y","N")</f>
        <v>Y</v>
      </c>
      <c r="G5043" s="3" t="s">
        <v>36</v>
      </c>
      <c r="H5043" s="3" t="s">
        <v>37</v>
      </c>
      <c r="I5043" s="4" t="n">
        <v>14</v>
      </c>
      <c r="J5043" s="4" t="n">
        <f aca="false">LEN(E5043)-LEN(SUBSTITUTE(E5043,",",""))+1</f>
        <v>6</v>
      </c>
      <c r="K5043" s="3" t="str">
        <f aca="false">IFERROR(INDEX('Teacher Lookup'!$B$2:$B$200,MATCH(A5043,'Teacher Lookup'!$A$2:$A$200,0)),"")</f>
        <v>LEUNG Jimmy</v>
      </c>
    </row>
    <row r="5044" customFormat="false" ht="15" hidden="false" customHeight="false" outlineLevel="0" collapsed="false">
      <c r="A5044" s="3" t="s">
        <v>439</v>
      </c>
      <c r="B5044" s="4" t="s">
        <v>60</v>
      </c>
      <c r="C5044" s="4" t="n">
        <v>5</v>
      </c>
      <c r="D5044" s="4" t="s">
        <v>107</v>
      </c>
      <c r="E5044" s="3" t="s">
        <v>229</v>
      </c>
      <c r="F5044" s="4" t="str">
        <f aca="false">IF(I5044&gt;J5044,"Y","N")</f>
        <v>Y</v>
      </c>
      <c r="G5044" s="3" t="s">
        <v>36</v>
      </c>
      <c r="H5044" s="3" t="s">
        <v>37</v>
      </c>
      <c r="I5044" s="4" t="n">
        <v>14</v>
      </c>
      <c r="J5044" s="4" t="n">
        <f aca="false">LEN(E5044)-LEN(SUBSTITUTE(E5044,",",""))+1</f>
        <v>6</v>
      </c>
      <c r="K5044" s="3" t="str">
        <f aca="false">IFERROR(INDEX('Teacher Lookup'!$B$2:$B$200,MATCH(A5044,'Teacher Lookup'!$A$2:$A$200,0)),"")</f>
        <v>LEUNG Jimmy</v>
      </c>
    </row>
    <row r="5045" customFormat="false" ht="15" hidden="false" customHeight="false" outlineLevel="0" collapsed="false">
      <c r="A5045" s="3" t="s">
        <v>439</v>
      </c>
      <c r="B5045" s="4" t="s">
        <v>63</v>
      </c>
      <c r="C5045" s="4" t="n">
        <v>5</v>
      </c>
      <c r="D5045" s="4" t="s">
        <v>102</v>
      </c>
      <c r="E5045" s="3" t="s">
        <v>232</v>
      </c>
      <c r="F5045" s="4" t="str">
        <f aca="false">IF(I5045&gt;J5045,"Y","N")</f>
        <v>N</v>
      </c>
      <c r="G5045" s="3" t="s">
        <v>15</v>
      </c>
      <c r="H5045" s="3" t="s">
        <v>37</v>
      </c>
      <c r="I5045" s="4" t="n">
        <v>5</v>
      </c>
      <c r="J5045" s="4" t="n">
        <f aca="false">LEN(E5045)-LEN(SUBSTITUTE(E5045,",",""))+1</f>
        <v>5</v>
      </c>
      <c r="K5045" s="3" t="str">
        <f aca="false">IFERROR(INDEX('Teacher Lookup'!$B$2:$B$200,MATCH(A5045,'Teacher Lookup'!$A$2:$A$200,0)),"")</f>
        <v>LEUNG Jimmy</v>
      </c>
    </row>
    <row r="5046" customFormat="false" ht="15" hidden="false" customHeight="false" outlineLevel="0" collapsed="false">
      <c r="A5046" s="3" t="s">
        <v>439</v>
      </c>
      <c r="B5046" s="4" t="s">
        <v>63</v>
      </c>
      <c r="C5046" s="4" t="n">
        <v>5</v>
      </c>
      <c r="D5046" s="4" t="s">
        <v>105</v>
      </c>
      <c r="E5046" s="3" t="s">
        <v>232</v>
      </c>
      <c r="F5046" s="4" t="str">
        <f aca="false">IF(I5046&gt;J5046,"Y","N")</f>
        <v>N</v>
      </c>
      <c r="G5046" s="3" t="s">
        <v>15</v>
      </c>
      <c r="H5046" s="3" t="s">
        <v>37</v>
      </c>
      <c r="I5046" s="4" t="n">
        <v>5</v>
      </c>
      <c r="J5046" s="4" t="n">
        <f aca="false">LEN(E5046)-LEN(SUBSTITUTE(E5046,",",""))+1</f>
        <v>5</v>
      </c>
      <c r="K5046" s="3" t="str">
        <f aca="false">IFERROR(INDEX('Teacher Lookup'!$B$2:$B$200,MATCH(A5046,'Teacher Lookup'!$A$2:$A$200,0)),"")</f>
        <v>LEUNG Jimmy</v>
      </c>
    </row>
    <row r="5047" customFormat="false" ht="15" hidden="false" customHeight="false" outlineLevel="0" collapsed="false">
      <c r="A5047" s="3" t="s">
        <v>439</v>
      </c>
      <c r="B5047" s="4" t="s">
        <v>63</v>
      </c>
      <c r="C5047" s="4" t="n">
        <v>5</v>
      </c>
      <c r="D5047" s="4" t="s">
        <v>106</v>
      </c>
      <c r="E5047" s="3" t="s">
        <v>232</v>
      </c>
      <c r="F5047" s="4" t="str">
        <f aca="false">IF(I5047&gt;J5047,"Y","N")</f>
        <v>N</v>
      </c>
      <c r="G5047" s="3" t="s">
        <v>15</v>
      </c>
      <c r="H5047" s="3" t="s">
        <v>37</v>
      </c>
      <c r="I5047" s="4" t="n">
        <v>5</v>
      </c>
      <c r="J5047" s="4" t="n">
        <f aca="false">LEN(E5047)-LEN(SUBSTITUTE(E5047,",",""))+1</f>
        <v>5</v>
      </c>
      <c r="K5047" s="3" t="str">
        <f aca="false">IFERROR(INDEX('Teacher Lookup'!$B$2:$B$200,MATCH(A5047,'Teacher Lookup'!$A$2:$A$200,0)),"")</f>
        <v>LEUNG Jimmy</v>
      </c>
    </row>
    <row r="5048" customFormat="false" ht="15" hidden="false" customHeight="false" outlineLevel="0" collapsed="false">
      <c r="A5048" s="3" t="s">
        <v>439</v>
      </c>
      <c r="B5048" s="4" t="s">
        <v>63</v>
      </c>
      <c r="C5048" s="4" t="n">
        <v>5</v>
      </c>
      <c r="D5048" s="4" t="s">
        <v>107</v>
      </c>
      <c r="E5048" s="3" t="s">
        <v>232</v>
      </c>
      <c r="F5048" s="4" t="str">
        <f aca="false">IF(I5048&gt;J5048,"Y","N")</f>
        <v>N</v>
      </c>
      <c r="G5048" s="3" t="s">
        <v>15</v>
      </c>
      <c r="H5048" s="3" t="s">
        <v>37</v>
      </c>
      <c r="I5048" s="4" t="n">
        <v>5</v>
      </c>
      <c r="J5048" s="4" t="n">
        <f aca="false">LEN(E5048)-LEN(SUBSTITUTE(E5048,",",""))+1</f>
        <v>5</v>
      </c>
      <c r="K5048" s="3" t="str">
        <f aca="false">IFERROR(INDEX('Teacher Lookup'!$B$2:$B$200,MATCH(A5048,'Teacher Lookup'!$A$2:$A$200,0)),"")</f>
        <v>LEUNG Jimmy</v>
      </c>
    </row>
    <row r="5049" customFormat="false" ht="15" hidden="false" customHeight="false" outlineLevel="0" collapsed="false">
      <c r="A5049" s="3" t="s">
        <v>439</v>
      </c>
      <c r="B5049" s="4" t="s">
        <v>63</v>
      </c>
      <c r="C5049" s="4" t="n">
        <v>7</v>
      </c>
      <c r="D5049" s="4" t="s">
        <v>52</v>
      </c>
      <c r="E5049" s="3" t="s">
        <v>304</v>
      </c>
      <c r="F5049" s="4" t="str">
        <f aca="false">IF(I5049&gt;J5049,"Y","N")</f>
        <v>N</v>
      </c>
      <c r="G5049" s="3" t="s">
        <v>15</v>
      </c>
      <c r="H5049" s="3" t="s">
        <v>39</v>
      </c>
      <c r="I5049" s="4" t="n">
        <v>7</v>
      </c>
      <c r="J5049" s="4" t="n">
        <f aca="false">LEN(E5049)-LEN(SUBSTITUTE(E5049,",",""))+1</f>
        <v>7</v>
      </c>
      <c r="K5049" s="3" t="str">
        <f aca="false">IFERROR(INDEX('Teacher Lookup'!$B$2:$B$200,MATCH(A5049,'Teacher Lookup'!$A$2:$A$200,0)),"")</f>
        <v>LEUNG Jimmy</v>
      </c>
    </row>
    <row r="5050" customFormat="false" ht="15" hidden="false" customHeight="false" outlineLevel="0" collapsed="false">
      <c r="A5050" s="3" t="s">
        <v>439</v>
      </c>
      <c r="B5050" s="4" t="s">
        <v>63</v>
      </c>
      <c r="C5050" s="4" t="n">
        <v>7</v>
      </c>
      <c r="D5050" s="4" t="s">
        <v>55</v>
      </c>
      <c r="E5050" s="3" t="s">
        <v>304</v>
      </c>
      <c r="F5050" s="4" t="str">
        <f aca="false">IF(I5050&gt;J5050,"Y","N")</f>
        <v>N</v>
      </c>
      <c r="G5050" s="3" t="s">
        <v>15</v>
      </c>
      <c r="H5050" s="3" t="s">
        <v>39</v>
      </c>
      <c r="I5050" s="4" t="n">
        <v>7</v>
      </c>
      <c r="J5050" s="4" t="n">
        <f aca="false">LEN(E5050)-LEN(SUBSTITUTE(E5050,",",""))+1</f>
        <v>7</v>
      </c>
      <c r="K5050" s="3" t="str">
        <f aca="false">IFERROR(INDEX('Teacher Lookup'!$B$2:$B$200,MATCH(A5050,'Teacher Lookup'!$A$2:$A$200,0)),"")</f>
        <v>LEUNG Jimmy</v>
      </c>
    </row>
    <row r="5051" customFormat="false" ht="15" hidden="false" customHeight="false" outlineLevel="0" collapsed="false">
      <c r="A5051" s="3" t="s">
        <v>439</v>
      </c>
      <c r="B5051" s="4" t="s">
        <v>63</v>
      </c>
      <c r="C5051" s="4" t="n">
        <v>7</v>
      </c>
      <c r="D5051" s="4" t="s">
        <v>56</v>
      </c>
      <c r="E5051" s="3" t="s">
        <v>304</v>
      </c>
      <c r="F5051" s="4" t="str">
        <f aca="false">IF(I5051&gt;J5051,"Y","N")</f>
        <v>N</v>
      </c>
      <c r="G5051" s="3" t="s">
        <v>15</v>
      </c>
      <c r="H5051" s="3" t="s">
        <v>39</v>
      </c>
      <c r="I5051" s="4" t="n">
        <v>7</v>
      </c>
      <c r="J5051" s="4" t="n">
        <f aca="false">LEN(E5051)-LEN(SUBSTITUTE(E5051,",",""))+1</f>
        <v>7</v>
      </c>
      <c r="K5051" s="3" t="str">
        <f aca="false">IFERROR(INDEX('Teacher Lookup'!$B$2:$B$200,MATCH(A5051,'Teacher Lookup'!$A$2:$A$200,0)),"")</f>
        <v>LEUNG Jimmy</v>
      </c>
    </row>
    <row r="5052" customFormat="false" ht="15" hidden="false" customHeight="false" outlineLevel="0" collapsed="false">
      <c r="A5052" s="3" t="s">
        <v>439</v>
      </c>
      <c r="B5052" s="4" t="s">
        <v>63</v>
      </c>
      <c r="C5052" s="4" t="n">
        <v>7</v>
      </c>
      <c r="D5052" s="4" t="s">
        <v>57</v>
      </c>
      <c r="E5052" s="3" t="s">
        <v>304</v>
      </c>
      <c r="F5052" s="4" t="str">
        <f aca="false">IF(I5052&gt;J5052,"Y","N")</f>
        <v>N</v>
      </c>
      <c r="G5052" s="3" t="s">
        <v>15</v>
      </c>
      <c r="H5052" s="3" t="s">
        <v>39</v>
      </c>
      <c r="I5052" s="4" t="n">
        <v>7</v>
      </c>
      <c r="J5052" s="4" t="n">
        <f aca="false">LEN(E5052)-LEN(SUBSTITUTE(E5052,",",""))+1</f>
        <v>7</v>
      </c>
      <c r="K5052" s="3" t="str">
        <f aca="false">IFERROR(INDEX('Teacher Lookup'!$B$2:$B$200,MATCH(A5052,'Teacher Lookup'!$A$2:$A$200,0)),"")</f>
        <v>LEUNG Jimmy</v>
      </c>
    </row>
    <row r="5053" customFormat="false" ht="15" hidden="false" customHeight="false" outlineLevel="0" collapsed="false">
      <c r="A5053" s="3" t="s">
        <v>439</v>
      </c>
      <c r="B5053" s="4" t="s">
        <v>63</v>
      </c>
      <c r="C5053" s="4" t="n">
        <v>7</v>
      </c>
      <c r="D5053" s="4" t="s">
        <v>58</v>
      </c>
      <c r="E5053" s="3" t="s">
        <v>304</v>
      </c>
      <c r="F5053" s="4" t="str">
        <f aca="false">IF(I5053&gt;J5053,"Y","N")</f>
        <v>N</v>
      </c>
      <c r="G5053" s="3" t="s">
        <v>15</v>
      </c>
      <c r="H5053" s="3" t="s">
        <v>39</v>
      </c>
      <c r="I5053" s="4" t="n">
        <v>7</v>
      </c>
      <c r="J5053" s="4" t="n">
        <f aca="false">LEN(E5053)-LEN(SUBSTITUTE(E5053,",",""))+1</f>
        <v>7</v>
      </c>
      <c r="K5053" s="3" t="str">
        <f aca="false">IFERROR(INDEX('Teacher Lookup'!$B$2:$B$200,MATCH(A5053,'Teacher Lookup'!$A$2:$A$200,0)),"")</f>
        <v>LEUNG Jimmy</v>
      </c>
    </row>
    <row r="5054" customFormat="false" ht="15" hidden="false" customHeight="false" outlineLevel="0" collapsed="false">
      <c r="A5054" s="3" t="s">
        <v>439</v>
      </c>
      <c r="B5054" s="4" t="s">
        <v>63</v>
      </c>
      <c r="C5054" s="4" t="n">
        <v>7</v>
      </c>
      <c r="D5054" s="4" t="s">
        <v>59</v>
      </c>
      <c r="E5054" s="3" t="s">
        <v>304</v>
      </c>
      <c r="F5054" s="4" t="str">
        <f aca="false">IF(I5054&gt;J5054,"Y","N")</f>
        <v>N</v>
      </c>
      <c r="G5054" s="3" t="s">
        <v>15</v>
      </c>
      <c r="H5054" s="3" t="s">
        <v>39</v>
      </c>
      <c r="I5054" s="4" t="n">
        <v>7</v>
      </c>
      <c r="J5054" s="4" t="n">
        <f aca="false">LEN(E5054)-LEN(SUBSTITUTE(E5054,",",""))+1</f>
        <v>7</v>
      </c>
      <c r="K5054" s="3" t="str">
        <f aca="false">IFERROR(INDEX('Teacher Lookup'!$B$2:$B$200,MATCH(A5054,'Teacher Lookup'!$A$2:$A$200,0)),"")</f>
        <v>LEUNG Jimmy</v>
      </c>
    </row>
    <row r="5055" customFormat="false" ht="15" hidden="false" customHeight="false" outlineLevel="0" collapsed="false">
      <c r="A5055" s="3" t="s">
        <v>439</v>
      </c>
      <c r="B5055" s="4" t="s">
        <v>65</v>
      </c>
      <c r="C5055" s="4" t="n">
        <v>1</v>
      </c>
      <c r="D5055" s="4" t="s">
        <v>102</v>
      </c>
      <c r="E5055" s="3" t="s">
        <v>227</v>
      </c>
      <c r="F5055" s="4" t="str">
        <f aca="false">IF(I5055&gt;J5055,"Y","N")</f>
        <v>N</v>
      </c>
      <c r="G5055" s="3" t="s">
        <v>15</v>
      </c>
      <c r="H5055" s="3" t="s">
        <v>16</v>
      </c>
      <c r="I5055" s="4" t="n">
        <v>5</v>
      </c>
      <c r="J5055" s="4" t="n">
        <f aca="false">LEN(E5055)-LEN(SUBSTITUTE(E5055,",",""))+1</f>
        <v>5</v>
      </c>
      <c r="K5055" s="3" t="str">
        <f aca="false">IFERROR(INDEX('Teacher Lookup'!$B$2:$B$200,MATCH(A5055,'Teacher Lookup'!$A$2:$A$200,0)),"")</f>
        <v>LEUNG Jimmy</v>
      </c>
    </row>
    <row r="5056" customFormat="false" ht="15" hidden="false" customHeight="false" outlineLevel="0" collapsed="false">
      <c r="A5056" s="3" t="s">
        <v>439</v>
      </c>
      <c r="B5056" s="4" t="s">
        <v>65</v>
      </c>
      <c r="C5056" s="4" t="n">
        <v>1</v>
      </c>
      <c r="D5056" s="4" t="s">
        <v>105</v>
      </c>
      <c r="E5056" s="3" t="s">
        <v>227</v>
      </c>
      <c r="F5056" s="4" t="str">
        <f aca="false">IF(I5056&gt;J5056,"Y","N")</f>
        <v>N</v>
      </c>
      <c r="G5056" s="3" t="s">
        <v>15</v>
      </c>
      <c r="H5056" s="3" t="s">
        <v>16</v>
      </c>
      <c r="I5056" s="4" t="n">
        <v>5</v>
      </c>
      <c r="J5056" s="4" t="n">
        <f aca="false">LEN(E5056)-LEN(SUBSTITUTE(E5056,",",""))+1</f>
        <v>5</v>
      </c>
      <c r="K5056" s="3" t="str">
        <f aca="false">IFERROR(INDEX('Teacher Lookup'!$B$2:$B$200,MATCH(A5056,'Teacher Lookup'!$A$2:$A$200,0)),"")</f>
        <v>LEUNG Jimmy</v>
      </c>
    </row>
    <row r="5057" customFormat="false" ht="15" hidden="false" customHeight="false" outlineLevel="0" collapsed="false">
      <c r="A5057" s="3" t="s">
        <v>439</v>
      </c>
      <c r="B5057" s="4" t="s">
        <v>65</v>
      </c>
      <c r="C5057" s="4" t="n">
        <v>1</v>
      </c>
      <c r="D5057" s="4" t="s">
        <v>106</v>
      </c>
      <c r="E5057" s="3" t="s">
        <v>227</v>
      </c>
      <c r="F5057" s="4" t="str">
        <f aca="false">IF(I5057&gt;J5057,"Y","N")</f>
        <v>N</v>
      </c>
      <c r="G5057" s="3" t="s">
        <v>15</v>
      </c>
      <c r="H5057" s="3" t="s">
        <v>16</v>
      </c>
      <c r="I5057" s="4" t="n">
        <v>5</v>
      </c>
      <c r="J5057" s="4" t="n">
        <f aca="false">LEN(E5057)-LEN(SUBSTITUTE(E5057,",",""))+1</f>
        <v>5</v>
      </c>
      <c r="K5057" s="3" t="str">
        <f aca="false">IFERROR(INDEX('Teacher Lookup'!$B$2:$B$200,MATCH(A5057,'Teacher Lookup'!$A$2:$A$200,0)),"")</f>
        <v>LEUNG Jimmy</v>
      </c>
    </row>
    <row r="5058" customFormat="false" ht="15" hidden="false" customHeight="false" outlineLevel="0" collapsed="false">
      <c r="A5058" s="3" t="s">
        <v>439</v>
      </c>
      <c r="B5058" s="4" t="s">
        <v>65</v>
      </c>
      <c r="C5058" s="4" t="n">
        <v>1</v>
      </c>
      <c r="D5058" s="4" t="s">
        <v>107</v>
      </c>
      <c r="E5058" s="3" t="s">
        <v>227</v>
      </c>
      <c r="F5058" s="4" t="str">
        <f aca="false">IF(I5058&gt;J5058,"Y","N")</f>
        <v>N</v>
      </c>
      <c r="G5058" s="3" t="s">
        <v>15</v>
      </c>
      <c r="H5058" s="3" t="s">
        <v>16</v>
      </c>
      <c r="I5058" s="4" t="n">
        <v>5</v>
      </c>
      <c r="J5058" s="4" t="n">
        <f aca="false">LEN(E5058)-LEN(SUBSTITUTE(E5058,",",""))+1</f>
        <v>5</v>
      </c>
      <c r="K5058" s="3" t="str">
        <f aca="false">IFERROR(INDEX('Teacher Lookup'!$B$2:$B$200,MATCH(A5058,'Teacher Lookup'!$A$2:$A$200,0)),"")</f>
        <v>LEUNG Jimmy</v>
      </c>
    </row>
    <row r="5059" customFormat="false" ht="15" hidden="false" customHeight="false" outlineLevel="0" collapsed="false">
      <c r="A5059" s="3" t="s">
        <v>439</v>
      </c>
      <c r="B5059" s="4" t="s">
        <v>65</v>
      </c>
      <c r="C5059" s="4" t="n">
        <v>2</v>
      </c>
      <c r="D5059" s="4" t="s">
        <v>102</v>
      </c>
      <c r="E5059" s="3" t="s">
        <v>227</v>
      </c>
      <c r="F5059" s="4" t="str">
        <f aca="false">IF(I5059&gt;J5059,"Y","N")</f>
        <v>N</v>
      </c>
      <c r="G5059" s="3" t="s">
        <v>15</v>
      </c>
      <c r="H5059" s="3" t="s">
        <v>21</v>
      </c>
      <c r="I5059" s="4" t="n">
        <v>5</v>
      </c>
      <c r="J5059" s="4" t="n">
        <f aca="false">LEN(E5059)-LEN(SUBSTITUTE(E5059,",",""))+1</f>
        <v>5</v>
      </c>
      <c r="K5059" s="3" t="str">
        <f aca="false">IFERROR(INDEX('Teacher Lookup'!$B$2:$B$200,MATCH(A5059,'Teacher Lookup'!$A$2:$A$200,0)),"")</f>
        <v>LEUNG Jimmy</v>
      </c>
    </row>
    <row r="5060" customFormat="false" ht="15" hidden="false" customHeight="false" outlineLevel="0" collapsed="false">
      <c r="A5060" s="3" t="s">
        <v>439</v>
      </c>
      <c r="B5060" s="4" t="s">
        <v>65</v>
      </c>
      <c r="C5060" s="4" t="n">
        <v>2</v>
      </c>
      <c r="D5060" s="4" t="s">
        <v>105</v>
      </c>
      <c r="E5060" s="3" t="s">
        <v>227</v>
      </c>
      <c r="F5060" s="4" t="str">
        <f aca="false">IF(I5060&gt;J5060,"Y","N")</f>
        <v>N</v>
      </c>
      <c r="G5060" s="3" t="s">
        <v>15</v>
      </c>
      <c r="H5060" s="3" t="s">
        <v>21</v>
      </c>
      <c r="I5060" s="4" t="n">
        <v>5</v>
      </c>
      <c r="J5060" s="4" t="n">
        <f aca="false">LEN(E5060)-LEN(SUBSTITUTE(E5060,",",""))+1</f>
        <v>5</v>
      </c>
      <c r="K5060" s="3" t="str">
        <f aca="false">IFERROR(INDEX('Teacher Lookup'!$B$2:$B$200,MATCH(A5060,'Teacher Lookup'!$A$2:$A$200,0)),"")</f>
        <v>LEUNG Jimmy</v>
      </c>
    </row>
    <row r="5061" customFormat="false" ht="15" hidden="false" customHeight="false" outlineLevel="0" collapsed="false">
      <c r="A5061" s="3" t="s">
        <v>439</v>
      </c>
      <c r="B5061" s="4" t="s">
        <v>65</v>
      </c>
      <c r="C5061" s="4" t="n">
        <v>2</v>
      </c>
      <c r="D5061" s="4" t="s">
        <v>106</v>
      </c>
      <c r="E5061" s="3" t="s">
        <v>227</v>
      </c>
      <c r="F5061" s="4" t="str">
        <f aca="false">IF(I5061&gt;J5061,"Y","N")</f>
        <v>N</v>
      </c>
      <c r="G5061" s="3" t="s">
        <v>15</v>
      </c>
      <c r="H5061" s="3" t="s">
        <v>21</v>
      </c>
      <c r="I5061" s="4" t="n">
        <v>5</v>
      </c>
      <c r="J5061" s="4" t="n">
        <f aca="false">LEN(E5061)-LEN(SUBSTITUTE(E5061,",",""))+1</f>
        <v>5</v>
      </c>
      <c r="K5061" s="3" t="str">
        <f aca="false">IFERROR(INDEX('Teacher Lookup'!$B$2:$B$200,MATCH(A5061,'Teacher Lookup'!$A$2:$A$200,0)),"")</f>
        <v>LEUNG Jimmy</v>
      </c>
    </row>
    <row r="5062" customFormat="false" ht="15" hidden="false" customHeight="false" outlineLevel="0" collapsed="false">
      <c r="A5062" s="3" t="s">
        <v>439</v>
      </c>
      <c r="B5062" s="4" t="s">
        <v>65</v>
      </c>
      <c r="C5062" s="4" t="n">
        <v>2</v>
      </c>
      <c r="D5062" s="4" t="s">
        <v>107</v>
      </c>
      <c r="E5062" s="3" t="s">
        <v>227</v>
      </c>
      <c r="F5062" s="4" t="str">
        <f aca="false">IF(I5062&gt;J5062,"Y","N")</f>
        <v>N</v>
      </c>
      <c r="G5062" s="3" t="s">
        <v>15</v>
      </c>
      <c r="H5062" s="3" t="s">
        <v>21</v>
      </c>
      <c r="I5062" s="4" t="n">
        <v>5</v>
      </c>
      <c r="J5062" s="4" t="n">
        <f aca="false">LEN(E5062)-LEN(SUBSTITUTE(E5062,",",""))+1</f>
        <v>5</v>
      </c>
      <c r="K5062" s="3" t="str">
        <f aca="false">IFERROR(INDEX('Teacher Lookup'!$B$2:$B$200,MATCH(A5062,'Teacher Lookup'!$A$2:$A$200,0)),"")</f>
        <v>LEUNG Jimmy</v>
      </c>
    </row>
    <row r="5063" customFormat="false" ht="15" hidden="false" customHeight="false" outlineLevel="0" collapsed="false">
      <c r="A5063" s="3" t="s">
        <v>439</v>
      </c>
      <c r="B5063" s="4" t="s">
        <v>65</v>
      </c>
      <c r="C5063" s="4" t="n">
        <v>4</v>
      </c>
      <c r="D5063" s="4" t="s">
        <v>52</v>
      </c>
      <c r="E5063" s="3" t="s">
        <v>306</v>
      </c>
      <c r="F5063" s="4" t="str">
        <f aca="false">IF(I5063&gt;J5063,"Y","N")</f>
        <v>N</v>
      </c>
      <c r="G5063" s="3" t="s">
        <v>15</v>
      </c>
      <c r="H5063" s="3" t="s">
        <v>34</v>
      </c>
      <c r="I5063" s="4" t="n">
        <v>7</v>
      </c>
      <c r="J5063" s="4" t="n">
        <f aca="false">LEN(E5063)-LEN(SUBSTITUTE(E5063,",",""))+1</f>
        <v>7</v>
      </c>
      <c r="K5063" s="3" t="str">
        <f aca="false">IFERROR(INDEX('Teacher Lookup'!$B$2:$B$200,MATCH(A5063,'Teacher Lookup'!$A$2:$A$200,0)),"")</f>
        <v>LEUNG Jimmy</v>
      </c>
    </row>
    <row r="5064" customFormat="false" ht="15" hidden="false" customHeight="false" outlineLevel="0" collapsed="false">
      <c r="A5064" s="3" t="s">
        <v>439</v>
      </c>
      <c r="B5064" s="4" t="s">
        <v>65</v>
      </c>
      <c r="C5064" s="4" t="n">
        <v>4</v>
      </c>
      <c r="D5064" s="4" t="s">
        <v>55</v>
      </c>
      <c r="E5064" s="3" t="s">
        <v>306</v>
      </c>
      <c r="F5064" s="4" t="str">
        <f aca="false">IF(I5064&gt;J5064,"Y","N")</f>
        <v>N</v>
      </c>
      <c r="G5064" s="3" t="s">
        <v>15</v>
      </c>
      <c r="H5064" s="3" t="s">
        <v>34</v>
      </c>
      <c r="I5064" s="4" t="n">
        <v>7</v>
      </c>
      <c r="J5064" s="4" t="n">
        <f aca="false">LEN(E5064)-LEN(SUBSTITUTE(E5064,",",""))+1</f>
        <v>7</v>
      </c>
      <c r="K5064" s="3" t="str">
        <f aca="false">IFERROR(INDEX('Teacher Lookup'!$B$2:$B$200,MATCH(A5064,'Teacher Lookup'!$A$2:$A$200,0)),"")</f>
        <v>LEUNG Jimmy</v>
      </c>
    </row>
    <row r="5065" customFormat="false" ht="15" hidden="false" customHeight="false" outlineLevel="0" collapsed="false">
      <c r="A5065" s="3" t="s">
        <v>439</v>
      </c>
      <c r="B5065" s="4" t="s">
        <v>65</v>
      </c>
      <c r="C5065" s="4" t="n">
        <v>4</v>
      </c>
      <c r="D5065" s="4" t="s">
        <v>56</v>
      </c>
      <c r="E5065" s="3" t="s">
        <v>306</v>
      </c>
      <c r="F5065" s="4" t="str">
        <f aca="false">IF(I5065&gt;J5065,"Y","N")</f>
        <v>N</v>
      </c>
      <c r="G5065" s="3" t="s">
        <v>15</v>
      </c>
      <c r="H5065" s="3" t="s">
        <v>34</v>
      </c>
      <c r="I5065" s="4" t="n">
        <v>7</v>
      </c>
      <c r="J5065" s="4" t="n">
        <f aca="false">LEN(E5065)-LEN(SUBSTITUTE(E5065,",",""))+1</f>
        <v>7</v>
      </c>
      <c r="K5065" s="3" t="str">
        <f aca="false">IFERROR(INDEX('Teacher Lookup'!$B$2:$B$200,MATCH(A5065,'Teacher Lookup'!$A$2:$A$200,0)),"")</f>
        <v>LEUNG Jimmy</v>
      </c>
    </row>
    <row r="5066" customFormat="false" ht="15" hidden="false" customHeight="false" outlineLevel="0" collapsed="false">
      <c r="A5066" s="3" t="s">
        <v>439</v>
      </c>
      <c r="B5066" s="4" t="s">
        <v>65</v>
      </c>
      <c r="C5066" s="4" t="n">
        <v>4</v>
      </c>
      <c r="D5066" s="4" t="s">
        <v>57</v>
      </c>
      <c r="E5066" s="3" t="s">
        <v>306</v>
      </c>
      <c r="F5066" s="4" t="str">
        <f aca="false">IF(I5066&gt;J5066,"Y","N")</f>
        <v>N</v>
      </c>
      <c r="G5066" s="3" t="s">
        <v>15</v>
      </c>
      <c r="H5066" s="3" t="s">
        <v>34</v>
      </c>
      <c r="I5066" s="4" t="n">
        <v>7</v>
      </c>
      <c r="J5066" s="4" t="n">
        <f aca="false">LEN(E5066)-LEN(SUBSTITUTE(E5066,",",""))+1</f>
        <v>7</v>
      </c>
      <c r="K5066" s="3" t="str">
        <f aca="false">IFERROR(INDEX('Teacher Lookup'!$B$2:$B$200,MATCH(A5066,'Teacher Lookup'!$A$2:$A$200,0)),"")</f>
        <v>LEUNG Jimmy</v>
      </c>
    </row>
    <row r="5067" customFormat="false" ht="15" hidden="false" customHeight="false" outlineLevel="0" collapsed="false">
      <c r="A5067" s="3" t="s">
        <v>439</v>
      </c>
      <c r="B5067" s="4" t="s">
        <v>65</v>
      </c>
      <c r="C5067" s="4" t="n">
        <v>4</v>
      </c>
      <c r="D5067" s="4" t="s">
        <v>58</v>
      </c>
      <c r="E5067" s="3" t="s">
        <v>306</v>
      </c>
      <c r="F5067" s="4" t="str">
        <f aca="false">IF(I5067&gt;J5067,"Y","N")</f>
        <v>N</v>
      </c>
      <c r="G5067" s="3" t="s">
        <v>15</v>
      </c>
      <c r="H5067" s="3" t="s">
        <v>34</v>
      </c>
      <c r="I5067" s="4" t="n">
        <v>7</v>
      </c>
      <c r="J5067" s="4" t="n">
        <f aca="false">LEN(E5067)-LEN(SUBSTITUTE(E5067,",",""))+1</f>
        <v>7</v>
      </c>
      <c r="K5067" s="3" t="str">
        <f aca="false">IFERROR(INDEX('Teacher Lookup'!$B$2:$B$200,MATCH(A5067,'Teacher Lookup'!$A$2:$A$200,0)),"")</f>
        <v>LEUNG Jimmy</v>
      </c>
    </row>
    <row r="5068" customFormat="false" ht="15" hidden="false" customHeight="false" outlineLevel="0" collapsed="false">
      <c r="A5068" s="3" t="s">
        <v>439</v>
      </c>
      <c r="B5068" s="4" t="s">
        <v>65</v>
      </c>
      <c r="C5068" s="4" t="n">
        <v>4</v>
      </c>
      <c r="D5068" s="4" t="s">
        <v>59</v>
      </c>
      <c r="E5068" s="3" t="s">
        <v>306</v>
      </c>
      <c r="F5068" s="4" t="str">
        <f aca="false">IF(I5068&gt;J5068,"Y","N")</f>
        <v>N</v>
      </c>
      <c r="G5068" s="3" t="s">
        <v>15</v>
      </c>
      <c r="H5068" s="3" t="s">
        <v>34</v>
      </c>
      <c r="I5068" s="4" t="n">
        <v>7</v>
      </c>
      <c r="J5068" s="4" t="n">
        <f aca="false">LEN(E5068)-LEN(SUBSTITUTE(E5068,",",""))+1</f>
        <v>7</v>
      </c>
      <c r="K5068" s="3" t="str">
        <f aca="false">IFERROR(INDEX('Teacher Lookup'!$B$2:$B$200,MATCH(A5068,'Teacher Lookup'!$A$2:$A$200,0)),"")</f>
        <v>LEUNG Jimmy</v>
      </c>
    </row>
    <row r="5069" customFormat="false" ht="15" hidden="false" customHeight="false" outlineLevel="0" collapsed="false">
      <c r="A5069" s="3" t="s">
        <v>439</v>
      </c>
      <c r="B5069" s="4" t="s">
        <v>65</v>
      </c>
      <c r="C5069" s="4" t="n">
        <v>5</v>
      </c>
      <c r="D5069" s="4" t="s">
        <v>228</v>
      </c>
      <c r="E5069" s="3" t="s">
        <v>229</v>
      </c>
      <c r="F5069" s="4" t="str">
        <f aca="false">IF(I5069&gt;J5069,"Y","N")</f>
        <v>Y</v>
      </c>
      <c r="G5069" s="3" t="s">
        <v>36</v>
      </c>
      <c r="H5069" s="3" t="s">
        <v>37</v>
      </c>
      <c r="I5069" s="4" t="n">
        <v>14</v>
      </c>
      <c r="J5069" s="4" t="n">
        <f aca="false">LEN(E5069)-LEN(SUBSTITUTE(E5069,",",""))+1</f>
        <v>6</v>
      </c>
      <c r="K5069" s="3" t="str">
        <f aca="false">IFERROR(INDEX('Teacher Lookup'!$B$2:$B$200,MATCH(A5069,'Teacher Lookup'!$A$2:$A$200,0)),"")</f>
        <v>LEUNG Jimmy</v>
      </c>
    </row>
    <row r="5070" customFormat="false" ht="15" hidden="false" customHeight="false" outlineLevel="0" collapsed="false">
      <c r="A5070" s="3" t="s">
        <v>439</v>
      </c>
      <c r="B5070" s="4" t="s">
        <v>65</v>
      </c>
      <c r="C5070" s="4" t="n">
        <v>5</v>
      </c>
      <c r="D5070" s="4" t="s">
        <v>102</v>
      </c>
      <c r="E5070" s="3" t="s">
        <v>229</v>
      </c>
      <c r="F5070" s="4" t="str">
        <f aca="false">IF(I5070&gt;J5070,"Y","N")</f>
        <v>Y</v>
      </c>
      <c r="G5070" s="3" t="s">
        <v>36</v>
      </c>
      <c r="H5070" s="3" t="s">
        <v>37</v>
      </c>
      <c r="I5070" s="4" t="n">
        <v>14</v>
      </c>
      <c r="J5070" s="4" t="n">
        <f aca="false">LEN(E5070)-LEN(SUBSTITUTE(E5070,",",""))+1</f>
        <v>6</v>
      </c>
      <c r="K5070" s="3" t="str">
        <f aca="false">IFERROR(INDEX('Teacher Lookup'!$B$2:$B$200,MATCH(A5070,'Teacher Lookup'!$A$2:$A$200,0)),"")</f>
        <v>LEUNG Jimmy</v>
      </c>
    </row>
    <row r="5071" customFormat="false" ht="15" hidden="false" customHeight="false" outlineLevel="0" collapsed="false">
      <c r="A5071" s="3" t="s">
        <v>439</v>
      </c>
      <c r="B5071" s="4" t="s">
        <v>65</v>
      </c>
      <c r="C5071" s="4" t="n">
        <v>5</v>
      </c>
      <c r="D5071" s="4" t="s">
        <v>105</v>
      </c>
      <c r="E5071" s="3" t="s">
        <v>229</v>
      </c>
      <c r="F5071" s="4" t="str">
        <f aca="false">IF(I5071&gt;J5071,"Y","N")</f>
        <v>Y</v>
      </c>
      <c r="G5071" s="3" t="s">
        <v>36</v>
      </c>
      <c r="H5071" s="3" t="s">
        <v>37</v>
      </c>
      <c r="I5071" s="4" t="n">
        <v>14</v>
      </c>
      <c r="J5071" s="4" t="n">
        <f aca="false">LEN(E5071)-LEN(SUBSTITUTE(E5071,",",""))+1</f>
        <v>6</v>
      </c>
      <c r="K5071" s="3" t="str">
        <f aca="false">IFERROR(INDEX('Teacher Lookup'!$B$2:$B$200,MATCH(A5071,'Teacher Lookup'!$A$2:$A$200,0)),"")</f>
        <v>LEUNG Jimmy</v>
      </c>
    </row>
    <row r="5072" customFormat="false" ht="15" hidden="false" customHeight="false" outlineLevel="0" collapsed="false">
      <c r="A5072" s="3" t="s">
        <v>439</v>
      </c>
      <c r="B5072" s="4" t="s">
        <v>65</v>
      </c>
      <c r="C5072" s="4" t="n">
        <v>5</v>
      </c>
      <c r="D5072" s="4" t="s">
        <v>106</v>
      </c>
      <c r="E5072" s="3" t="s">
        <v>229</v>
      </c>
      <c r="F5072" s="4" t="str">
        <f aca="false">IF(I5072&gt;J5072,"Y","N")</f>
        <v>Y</v>
      </c>
      <c r="G5072" s="3" t="s">
        <v>36</v>
      </c>
      <c r="H5072" s="3" t="s">
        <v>37</v>
      </c>
      <c r="I5072" s="4" t="n">
        <v>14</v>
      </c>
      <c r="J5072" s="4" t="n">
        <f aca="false">LEN(E5072)-LEN(SUBSTITUTE(E5072,",",""))+1</f>
        <v>6</v>
      </c>
      <c r="K5072" s="3" t="str">
        <f aca="false">IFERROR(INDEX('Teacher Lookup'!$B$2:$B$200,MATCH(A5072,'Teacher Lookup'!$A$2:$A$200,0)),"")</f>
        <v>LEUNG Jimmy</v>
      </c>
    </row>
    <row r="5073" customFormat="false" ht="15" hidden="false" customHeight="false" outlineLevel="0" collapsed="false">
      <c r="A5073" s="3" t="s">
        <v>439</v>
      </c>
      <c r="B5073" s="4" t="s">
        <v>65</v>
      </c>
      <c r="C5073" s="4" t="n">
        <v>5</v>
      </c>
      <c r="D5073" s="4" t="s">
        <v>107</v>
      </c>
      <c r="E5073" s="3" t="s">
        <v>229</v>
      </c>
      <c r="F5073" s="4" t="str">
        <f aca="false">IF(I5073&gt;J5073,"Y","N")</f>
        <v>Y</v>
      </c>
      <c r="G5073" s="3" t="s">
        <v>36</v>
      </c>
      <c r="H5073" s="3" t="s">
        <v>37</v>
      </c>
      <c r="I5073" s="4" t="n">
        <v>14</v>
      </c>
      <c r="J5073" s="4" t="n">
        <f aca="false">LEN(E5073)-LEN(SUBSTITUTE(E5073,",",""))+1</f>
        <v>6</v>
      </c>
      <c r="K5073" s="3" t="str">
        <f aca="false">IFERROR(INDEX('Teacher Lookup'!$B$2:$B$200,MATCH(A5073,'Teacher Lookup'!$A$2:$A$200,0)),"")</f>
        <v>LEUNG Jimmy</v>
      </c>
    </row>
    <row r="5074" customFormat="false" ht="15" hidden="false" customHeight="false" outlineLevel="0" collapsed="false">
      <c r="A5074" s="3" t="s">
        <v>439</v>
      </c>
      <c r="B5074" s="4" t="s">
        <v>66</v>
      </c>
      <c r="C5074" s="4" t="n">
        <v>1</v>
      </c>
      <c r="D5074" s="4" t="s">
        <v>102</v>
      </c>
      <c r="E5074" s="3" t="s">
        <v>227</v>
      </c>
      <c r="F5074" s="4" t="str">
        <f aca="false">IF(I5074&gt;J5074,"Y","N")</f>
        <v>N</v>
      </c>
      <c r="G5074" s="3" t="s">
        <v>15</v>
      </c>
      <c r="H5074" s="3" t="s">
        <v>16</v>
      </c>
      <c r="I5074" s="4" t="n">
        <v>5</v>
      </c>
      <c r="J5074" s="4" t="n">
        <f aca="false">LEN(E5074)-LEN(SUBSTITUTE(E5074,",",""))+1</f>
        <v>5</v>
      </c>
      <c r="K5074" s="3" t="str">
        <f aca="false">IFERROR(INDEX('Teacher Lookup'!$B$2:$B$200,MATCH(A5074,'Teacher Lookup'!$A$2:$A$200,0)),"")</f>
        <v>LEUNG Jimmy</v>
      </c>
    </row>
    <row r="5075" customFormat="false" ht="15" hidden="false" customHeight="false" outlineLevel="0" collapsed="false">
      <c r="A5075" s="3" t="s">
        <v>439</v>
      </c>
      <c r="B5075" s="4" t="s">
        <v>66</v>
      </c>
      <c r="C5075" s="4" t="n">
        <v>1</v>
      </c>
      <c r="D5075" s="4" t="s">
        <v>105</v>
      </c>
      <c r="E5075" s="3" t="s">
        <v>227</v>
      </c>
      <c r="F5075" s="4" t="str">
        <f aca="false">IF(I5075&gt;J5075,"Y","N")</f>
        <v>N</v>
      </c>
      <c r="G5075" s="3" t="s">
        <v>15</v>
      </c>
      <c r="H5075" s="3" t="s">
        <v>16</v>
      </c>
      <c r="I5075" s="4" t="n">
        <v>5</v>
      </c>
      <c r="J5075" s="4" t="n">
        <f aca="false">LEN(E5075)-LEN(SUBSTITUTE(E5075,",",""))+1</f>
        <v>5</v>
      </c>
      <c r="K5075" s="3" t="str">
        <f aca="false">IFERROR(INDEX('Teacher Lookup'!$B$2:$B$200,MATCH(A5075,'Teacher Lookup'!$A$2:$A$200,0)),"")</f>
        <v>LEUNG Jimmy</v>
      </c>
    </row>
    <row r="5076" customFormat="false" ht="15" hidden="false" customHeight="false" outlineLevel="0" collapsed="false">
      <c r="A5076" s="3" t="s">
        <v>439</v>
      </c>
      <c r="B5076" s="4" t="s">
        <v>66</v>
      </c>
      <c r="C5076" s="4" t="n">
        <v>1</v>
      </c>
      <c r="D5076" s="4" t="s">
        <v>106</v>
      </c>
      <c r="E5076" s="3" t="s">
        <v>227</v>
      </c>
      <c r="F5076" s="4" t="str">
        <f aca="false">IF(I5076&gt;J5076,"Y","N")</f>
        <v>N</v>
      </c>
      <c r="G5076" s="3" t="s">
        <v>15</v>
      </c>
      <c r="H5076" s="3" t="s">
        <v>16</v>
      </c>
      <c r="I5076" s="4" t="n">
        <v>5</v>
      </c>
      <c r="J5076" s="4" t="n">
        <f aca="false">LEN(E5076)-LEN(SUBSTITUTE(E5076,",",""))+1</f>
        <v>5</v>
      </c>
      <c r="K5076" s="3" t="str">
        <f aca="false">IFERROR(INDEX('Teacher Lookup'!$B$2:$B$200,MATCH(A5076,'Teacher Lookup'!$A$2:$A$200,0)),"")</f>
        <v>LEUNG Jimmy</v>
      </c>
    </row>
    <row r="5077" customFormat="false" ht="15" hidden="false" customHeight="false" outlineLevel="0" collapsed="false">
      <c r="A5077" s="3" t="s">
        <v>439</v>
      </c>
      <c r="B5077" s="4" t="s">
        <v>66</v>
      </c>
      <c r="C5077" s="4" t="n">
        <v>1</v>
      </c>
      <c r="D5077" s="4" t="s">
        <v>107</v>
      </c>
      <c r="E5077" s="3" t="s">
        <v>227</v>
      </c>
      <c r="F5077" s="4" t="str">
        <f aca="false">IF(I5077&gt;J5077,"Y","N")</f>
        <v>N</v>
      </c>
      <c r="G5077" s="3" t="s">
        <v>15</v>
      </c>
      <c r="H5077" s="3" t="s">
        <v>16</v>
      </c>
      <c r="I5077" s="4" t="n">
        <v>5</v>
      </c>
      <c r="J5077" s="4" t="n">
        <f aca="false">LEN(E5077)-LEN(SUBSTITUTE(E5077,",",""))+1</f>
        <v>5</v>
      </c>
      <c r="K5077" s="3" t="str">
        <f aca="false">IFERROR(INDEX('Teacher Lookup'!$B$2:$B$200,MATCH(A5077,'Teacher Lookup'!$A$2:$A$200,0)),"")</f>
        <v>LEUNG Jimmy</v>
      </c>
    </row>
    <row r="5078" customFormat="false" ht="15" hidden="false" customHeight="false" outlineLevel="0" collapsed="false">
      <c r="A5078" s="3" t="s">
        <v>439</v>
      </c>
      <c r="B5078" s="4" t="s">
        <v>66</v>
      </c>
      <c r="C5078" s="4" t="n">
        <v>6</v>
      </c>
      <c r="D5078" s="4" t="s">
        <v>52</v>
      </c>
      <c r="E5078" s="3" t="s">
        <v>306</v>
      </c>
      <c r="F5078" s="4" t="str">
        <f aca="false">IF(I5078&gt;J5078,"Y","N")</f>
        <v>N</v>
      </c>
      <c r="G5078" s="3" t="s">
        <v>15</v>
      </c>
      <c r="H5078" s="3" t="s">
        <v>42</v>
      </c>
      <c r="I5078" s="4" t="n">
        <v>7</v>
      </c>
      <c r="J5078" s="4" t="n">
        <f aca="false">LEN(E5078)-LEN(SUBSTITUTE(E5078,",",""))+1</f>
        <v>7</v>
      </c>
      <c r="K5078" s="3" t="str">
        <f aca="false">IFERROR(INDEX('Teacher Lookup'!$B$2:$B$200,MATCH(A5078,'Teacher Lookup'!$A$2:$A$200,0)),"")</f>
        <v>LEUNG Jimmy</v>
      </c>
    </row>
    <row r="5079" customFormat="false" ht="15" hidden="false" customHeight="false" outlineLevel="0" collapsed="false">
      <c r="A5079" s="3" t="s">
        <v>439</v>
      </c>
      <c r="B5079" s="4" t="s">
        <v>66</v>
      </c>
      <c r="C5079" s="4" t="n">
        <v>6</v>
      </c>
      <c r="D5079" s="4" t="s">
        <v>55</v>
      </c>
      <c r="E5079" s="3" t="s">
        <v>306</v>
      </c>
      <c r="F5079" s="4" t="str">
        <f aca="false">IF(I5079&gt;J5079,"Y","N")</f>
        <v>N</v>
      </c>
      <c r="G5079" s="3" t="s">
        <v>15</v>
      </c>
      <c r="H5079" s="3" t="s">
        <v>42</v>
      </c>
      <c r="I5079" s="4" t="n">
        <v>7</v>
      </c>
      <c r="J5079" s="4" t="n">
        <f aca="false">LEN(E5079)-LEN(SUBSTITUTE(E5079,",",""))+1</f>
        <v>7</v>
      </c>
      <c r="K5079" s="3" t="str">
        <f aca="false">IFERROR(INDEX('Teacher Lookup'!$B$2:$B$200,MATCH(A5079,'Teacher Lookup'!$A$2:$A$200,0)),"")</f>
        <v>LEUNG Jimmy</v>
      </c>
    </row>
    <row r="5080" customFormat="false" ht="15" hidden="false" customHeight="false" outlineLevel="0" collapsed="false">
      <c r="A5080" s="3" t="s">
        <v>439</v>
      </c>
      <c r="B5080" s="4" t="s">
        <v>66</v>
      </c>
      <c r="C5080" s="4" t="n">
        <v>6</v>
      </c>
      <c r="D5080" s="4" t="s">
        <v>56</v>
      </c>
      <c r="E5080" s="3" t="s">
        <v>306</v>
      </c>
      <c r="F5080" s="4" t="str">
        <f aca="false">IF(I5080&gt;J5080,"Y","N")</f>
        <v>N</v>
      </c>
      <c r="G5080" s="3" t="s">
        <v>15</v>
      </c>
      <c r="H5080" s="3" t="s">
        <v>42</v>
      </c>
      <c r="I5080" s="4" t="n">
        <v>7</v>
      </c>
      <c r="J5080" s="4" t="n">
        <f aca="false">LEN(E5080)-LEN(SUBSTITUTE(E5080,",",""))+1</f>
        <v>7</v>
      </c>
      <c r="K5080" s="3" t="str">
        <f aca="false">IFERROR(INDEX('Teacher Lookup'!$B$2:$B$200,MATCH(A5080,'Teacher Lookup'!$A$2:$A$200,0)),"")</f>
        <v>LEUNG Jimmy</v>
      </c>
    </row>
    <row r="5081" customFormat="false" ht="15" hidden="false" customHeight="false" outlineLevel="0" collapsed="false">
      <c r="A5081" s="3" t="s">
        <v>439</v>
      </c>
      <c r="B5081" s="4" t="s">
        <v>66</v>
      </c>
      <c r="C5081" s="4" t="n">
        <v>6</v>
      </c>
      <c r="D5081" s="4" t="s">
        <v>57</v>
      </c>
      <c r="E5081" s="3" t="s">
        <v>306</v>
      </c>
      <c r="F5081" s="4" t="str">
        <f aca="false">IF(I5081&gt;J5081,"Y","N")</f>
        <v>N</v>
      </c>
      <c r="G5081" s="3" t="s">
        <v>15</v>
      </c>
      <c r="H5081" s="3" t="s">
        <v>42</v>
      </c>
      <c r="I5081" s="4" t="n">
        <v>7</v>
      </c>
      <c r="J5081" s="4" t="n">
        <f aca="false">LEN(E5081)-LEN(SUBSTITUTE(E5081,",",""))+1</f>
        <v>7</v>
      </c>
      <c r="K5081" s="3" t="str">
        <f aca="false">IFERROR(INDEX('Teacher Lookup'!$B$2:$B$200,MATCH(A5081,'Teacher Lookup'!$A$2:$A$200,0)),"")</f>
        <v>LEUNG Jimmy</v>
      </c>
    </row>
    <row r="5082" customFormat="false" ht="15" hidden="false" customHeight="false" outlineLevel="0" collapsed="false">
      <c r="A5082" s="3" t="s">
        <v>439</v>
      </c>
      <c r="B5082" s="4" t="s">
        <v>66</v>
      </c>
      <c r="C5082" s="4" t="n">
        <v>6</v>
      </c>
      <c r="D5082" s="4" t="s">
        <v>58</v>
      </c>
      <c r="E5082" s="3" t="s">
        <v>306</v>
      </c>
      <c r="F5082" s="4" t="str">
        <f aca="false">IF(I5082&gt;J5082,"Y","N")</f>
        <v>N</v>
      </c>
      <c r="G5082" s="3" t="s">
        <v>15</v>
      </c>
      <c r="H5082" s="3" t="s">
        <v>42</v>
      </c>
      <c r="I5082" s="4" t="n">
        <v>7</v>
      </c>
      <c r="J5082" s="4" t="n">
        <f aca="false">LEN(E5082)-LEN(SUBSTITUTE(E5082,",",""))+1</f>
        <v>7</v>
      </c>
      <c r="K5082" s="3" t="str">
        <f aca="false">IFERROR(INDEX('Teacher Lookup'!$B$2:$B$200,MATCH(A5082,'Teacher Lookup'!$A$2:$A$200,0)),"")</f>
        <v>LEUNG Jimmy</v>
      </c>
    </row>
    <row r="5083" customFormat="false" ht="15" hidden="false" customHeight="false" outlineLevel="0" collapsed="false">
      <c r="A5083" s="3" t="s">
        <v>439</v>
      </c>
      <c r="B5083" s="4" t="s">
        <v>66</v>
      </c>
      <c r="C5083" s="4" t="n">
        <v>6</v>
      </c>
      <c r="D5083" s="4" t="s">
        <v>59</v>
      </c>
      <c r="E5083" s="3" t="s">
        <v>306</v>
      </c>
      <c r="F5083" s="4" t="str">
        <f aca="false">IF(I5083&gt;J5083,"Y","N")</f>
        <v>N</v>
      </c>
      <c r="G5083" s="3" t="s">
        <v>15</v>
      </c>
      <c r="H5083" s="3" t="s">
        <v>42</v>
      </c>
      <c r="I5083" s="4" t="n">
        <v>7</v>
      </c>
      <c r="J5083" s="4" t="n">
        <f aca="false">LEN(E5083)-LEN(SUBSTITUTE(E5083,",",""))+1</f>
        <v>7</v>
      </c>
      <c r="K5083" s="3" t="str">
        <f aca="false">IFERROR(INDEX('Teacher Lookup'!$B$2:$B$200,MATCH(A5083,'Teacher Lookup'!$A$2:$A$200,0)),"")</f>
        <v>LEUNG Jimmy</v>
      </c>
    </row>
    <row r="5084" customFormat="false" ht="15" hidden="false" customHeight="false" outlineLevel="0" collapsed="false">
      <c r="A5084" s="3" t="s">
        <v>440</v>
      </c>
      <c r="B5084" s="4" t="s">
        <v>12</v>
      </c>
      <c r="C5084" s="4" t="n">
        <v>3</v>
      </c>
      <c r="D5084" s="4" t="s">
        <v>140</v>
      </c>
      <c r="E5084" s="3" t="s">
        <v>144</v>
      </c>
      <c r="F5084" s="4" t="str">
        <f aca="false">IF(I5084&gt;J5084,"Y","N")</f>
        <v>N</v>
      </c>
      <c r="G5084" s="3" t="s">
        <v>164</v>
      </c>
      <c r="H5084" s="3" t="s">
        <v>26</v>
      </c>
      <c r="I5084" s="4" t="n">
        <v>4</v>
      </c>
      <c r="J5084" s="4" t="n">
        <f aca="false">LEN(E5084)-LEN(SUBSTITUTE(E5084,",",""))+1</f>
        <v>4</v>
      </c>
      <c r="K5084" s="3" t="str">
        <f aca="false">IFERROR(INDEX('Teacher Lookup'!$B$2:$B$200,MATCH(A5084,'Teacher Lookup'!$A$2:$A$200,0)),"")</f>
        <v>LAMBERT Jenna</v>
      </c>
    </row>
    <row r="5085" customFormat="false" ht="15" hidden="false" customHeight="false" outlineLevel="0" collapsed="false">
      <c r="A5085" s="3" t="s">
        <v>440</v>
      </c>
      <c r="B5085" s="4" t="s">
        <v>12</v>
      </c>
      <c r="C5085" s="4" t="n">
        <v>3</v>
      </c>
      <c r="D5085" s="4" t="s">
        <v>142</v>
      </c>
      <c r="E5085" s="3" t="s">
        <v>144</v>
      </c>
      <c r="F5085" s="4" t="str">
        <f aca="false">IF(I5085&gt;J5085,"Y","N")</f>
        <v>N</v>
      </c>
      <c r="G5085" s="3" t="s">
        <v>164</v>
      </c>
      <c r="H5085" s="3" t="s">
        <v>26</v>
      </c>
      <c r="I5085" s="4" t="n">
        <v>4</v>
      </c>
      <c r="J5085" s="4" t="n">
        <f aca="false">LEN(E5085)-LEN(SUBSTITUTE(E5085,",",""))+1</f>
        <v>4</v>
      </c>
      <c r="K5085" s="3" t="str">
        <f aca="false">IFERROR(INDEX('Teacher Lookup'!$B$2:$B$200,MATCH(A5085,'Teacher Lookup'!$A$2:$A$200,0)),"")</f>
        <v>LAMBERT Jenna</v>
      </c>
    </row>
    <row r="5086" customFormat="false" ht="15" hidden="false" customHeight="false" outlineLevel="0" collapsed="false">
      <c r="A5086" s="3" t="s">
        <v>440</v>
      </c>
      <c r="B5086" s="4" t="s">
        <v>12</v>
      </c>
      <c r="C5086" s="4" t="n">
        <v>3</v>
      </c>
      <c r="D5086" s="4" t="s">
        <v>127</v>
      </c>
      <c r="E5086" s="3" t="s">
        <v>144</v>
      </c>
      <c r="F5086" s="4" t="str">
        <f aca="false">IF(I5086&gt;J5086,"Y","N")</f>
        <v>N</v>
      </c>
      <c r="G5086" s="3" t="s">
        <v>164</v>
      </c>
      <c r="H5086" s="3" t="s">
        <v>26</v>
      </c>
      <c r="I5086" s="4" t="n">
        <v>4</v>
      </c>
      <c r="J5086" s="4" t="n">
        <f aca="false">LEN(E5086)-LEN(SUBSTITUTE(E5086,",",""))+1</f>
        <v>4</v>
      </c>
      <c r="K5086" s="3" t="str">
        <f aca="false">IFERROR(INDEX('Teacher Lookup'!$B$2:$B$200,MATCH(A5086,'Teacher Lookup'!$A$2:$A$200,0)),"")</f>
        <v>LAMBERT Jenna</v>
      </c>
    </row>
    <row r="5087" customFormat="false" ht="15" hidden="false" customHeight="false" outlineLevel="0" collapsed="false">
      <c r="A5087" s="3" t="s">
        <v>440</v>
      </c>
      <c r="B5087" s="4" t="s">
        <v>12</v>
      </c>
      <c r="C5087" s="4" t="n">
        <v>4</v>
      </c>
      <c r="D5087" s="4" t="s">
        <v>137</v>
      </c>
      <c r="E5087" s="3" t="s">
        <v>138</v>
      </c>
      <c r="F5087" s="4" t="str">
        <f aca="false">IF(I5087&gt;J5087,"Y","N")</f>
        <v>N</v>
      </c>
      <c r="G5087" s="3" t="s">
        <v>164</v>
      </c>
      <c r="H5087" s="3" t="s">
        <v>34</v>
      </c>
      <c r="I5087" s="4" t="n">
        <v>4</v>
      </c>
      <c r="J5087" s="4" t="n">
        <f aca="false">LEN(E5087)-LEN(SUBSTITUTE(E5087,",",""))+1</f>
        <v>4</v>
      </c>
      <c r="K5087" s="3" t="str">
        <f aca="false">IFERROR(INDEX('Teacher Lookup'!$B$2:$B$200,MATCH(A5087,'Teacher Lookup'!$A$2:$A$200,0)),"")</f>
        <v>LAMBERT Jenna</v>
      </c>
    </row>
    <row r="5088" customFormat="false" ht="15" hidden="false" customHeight="false" outlineLevel="0" collapsed="false">
      <c r="A5088" s="3" t="s">
        <v>440</v>
      </c>
      <c r="B5088" s="4" t="s">
        <v>12</v>
      </c>
      <c r="C5088" s="4" t="n">
        <v>4</v>
      </c>
      <c r="D5088" s="4" t="s">
        <v>124</v>
      </c>
      <c r="E5088" s="3" t="s">
        <v>138</v>
      </c>
      <c r="F5088" s="4" t="str">
        <f aca="false">IF(I5088&gt;J5088,"Y","N")</f>
        <v>N</v>
      </c>
      <c r="G5088" s="3" t="s">
        <v>164</v>
      </c>
      <c r="H5088" s="3" t="s">
        <v>34</v>
      </c>
      <c r="I5088" s="4" t="n">
        <v>4</v>
      </c>
      <c r="J5088" s="4" t="n">
        <f aca="false">LEN(E5088)-LEN(SUBSTITUTE(E5088,",",""))+1</f>
        <v>4</v>
      </c>
      <c r="K5088" s="3" t="str">
        <f aca="false">IFERROR(INDEX('Teacher Lookup'!$B$2:$B$200,MATCH(A5088,'Teacher Lookup'!$A$2:$A$200,0)),"")</f>
        <v>LAMBERT Jenna</v>
      </c>
    </row>
    <row r="5089" customFormat="false" ht="15" hidden="false" customHeight="false" outlineLevel="0" collapsed="false">
      <c r="A5089" s="3" t="s">
        <v>440</v>
      </c>
      <c r="B5089" s="4" t="s">
        <v>12</v>
      </c>
      <c r="C5089" s="4" t="n">
        <v>4</v>
      </c>
      <c r="D5089" s="4" t="s">
        <v>139</v>
      </c>
      <c r="E5089" s="3" t="s">
        <v>138</v>
      </c>
      <c r="F5089" s="4" t="str">
        <f aca="false">IF(I5089&gt;J5089,"Y","N")</f>
        <v>N</v>
      </c>
      <c r="G5089" s="3" t="s">
        <v>164</v>
      </c>
      <c r="H5089" s="3" t="s">
        <v>34</v>
      </c>
      <c r="I5089" s="4" t="n">
        <v>4</v>
      </c>
      <c r="J5089" s="4" t="n">
        <f aca="false">LEN(E5089)-LEN(SUBSTITUTE(E5089,",",""))+1</f>
        <v>4</v>
      </c>
      <c r="K5089" s="3" t="str">
        <f aca="false">IFERROR(INDEX('Teacher Lookup'!$B$2:$B$200,MATCH(A5089,'Teacher Lookup'!$A$2:$A$200,0)),"")</f>
        <v>LAMBERT Jenna</v>
      </c>
    </row>
    <row r="5090" customFormat="false" ht="15" hidden="false" customHeight="false" outlineLevel="0" collapsed="false">
      <c r="A5090" s="3" t="s">
        <v>440</v>
      </c>
      <c r="B5090" s="4" t="s">
        <v>12</v>
      </c>
      <c r="C5090" s="4" t="n">
        <v>5</v>
      </c>
      <c r="D5090" s="4" t="s">
        <v>57</v>
      </c>
      <c r="E5090" s="3" t="s">
        <v>166</v>
      </c>
      <c r="F5090" s="4" t="str">
        <f aca="false">IF(I5090&gt;J5090,"Y","N")</f>
        <v>N</v>
      </c>
      <c r="G5090" s="3" t="s">
        <v>164</v>
      </c>
      <c r="H5090" s="3" t="s">
        <v>37</v>
      </c>
      <c r="I5090" s="4" t="n">
        <v>4</v>
      </c>
      <c r="J5090" s="4" t="n">
        <f aca="false">LEN(E5090)-LEN(SUBSTITUTE(E5090,",",""))+1</f>
        <v>4</v>
      </c>
      <c r="K5090" s="3" t="str">
        <f aca="false">IFERROR(INDEX('Teacher Lookup'!$B$2:$B$200,MATCH(A5090,'Teacher Lookup'!$A$2:$A$200,0)),"")</f>
        <v>LAMBERT Jenna</v>
      </c>
    </row>
    <row r="5091" customFormat="false" ht="15" hidden="false" customHeight="false" outlineLevel="0" collapsed="false">
      <c r="A5091" s="3" t="s">
        <v>440</v>
      </c>
      <c r="B5091" s="4" t="s">
        <v>12</v>
      </c>
      <c r="C5091" s="4" t="n">
        <v>5</v>
      </c>
      <c r="D5091" s="4" t="s">
        <v>58</v>
      </c>
      <c r="E5091" s="3" t="s">
        <v>166</v>
      </c>
      <c r="F5091" s="4" t="str">
        <f aca="false">IF(I5091&gt;J5091,"Y","N")</f>
        <v>N</v>
      </c>
      <c r="G5091" s="3" t="s">
        <v>164</v>
      </c>
      <c r="H5091" s="3" t="s">
        <v>37</v>
      </c>
      <c r="I5091" s="4" t="n">
        <v>4</v>
      </c>
      <c r="J5091" s="4" t="n">
        <f aca="false">LEN(E5091)-LEN(SUBSTITUTE(E5091,",",""))+1</f>
        <v>4</v>
      </c>
      <c r="K5091" s="3" t="str">
        <f aca="false">IFERROR(INDEX('Teacher Lookup'!$B$2:$B$200,MATCH(A5091,'Teacher Lookup'!$A$2:$A$200,0)),"")</f>
        <v>LAMBERT Jenna</v>
      </c>
    </row>
    <row r="5092" customFormat="false" ht="15" hidden="false" customHeight="false" outlineLevel="0" collapsed="false">
      <c r="A5092" s="3" t="s">
        <v>440</v>
      </c>
      <c r="B5092" s="4" t="s">
        <v>12</v>
      </c>
      <c r="C5092" s="4" t="n">
        <v>5</v>
      </c>
      <c r="D5092" s="4" t="s">
        <v>59</v>
      </c>
      <c r="E5092" s="3" t="s">
        <v>166</v>
      </c>
      <c r="F5092" s="4" t="str">
        <f aca="false">IF(I5092&gt;J5092,"Y","N")</f>
        <v>N</v>
      </c>
      <c r="G5092" s="3" t="s">
        <v>164</v>
      </c>
      <c r="H5092" s="3" t="s">
        <v>37</v>
      </c>
      <c r="I5092" s="4" t="n">
        <v>4</v>
      </c>
      <c r="J5092" s="4" t="n">
        <f aca="false">LEN(E5092)-LEN(SUBSTITUTE(E5092,",",""))+1</f>
        <v>4</v>
      </c>
      <c r="K5092" s="3" t="str">
        <f aca="false">IFERROR(INDEX('Teacher Lookup'!$B$2:$B$200,MATCH(A5092,'Teacher Lookup'!$A$2:$A$200,0)),"")</f>
        <v>LAMBERT Jenna</v>
      </c>
    </row>
    <row r="5093" customFormat="false" ht="15" hidden="false" customHeight="false" outlineLevel="0" collapsed="false">
      <c r="A5093" s="3" t="s">
        <v>440</v>
      </c>
      <c r="B5093" s="4" t="s">
        <v>31</v>
      </c>
      <c r="C5093" s="4" t="n">
        <v>1</v>
      </c>
      <c r="D5093" s="4" t="s">
        <v>57</v>
      </c>
      <c r="E5093" s="3" t="s">
        <v>167</v>
      </c>
      <c r="F5093" s="4" t="str">
        <f aca="false">IF(I5093&gt;J5093,"Y","N")</f>
        <v>N</v>
      </c>
      <c r="G5093" s="3" t="s">
        <v>164</v>
      </c>
      <c r="H5093" s="3" t="s">
        <v>16</v>
      </c>
      <c r="I5093" s="4" t="n">
        <v>4</v>
      </c>
      <c r="J5093" s="4" t="n">
        <f aca="false">LEN(E5093)-LEN(SUBSTITUTE(E5093,",",""))+1</f>
        <v>4</v>
      </c>
      <c r="K5093" s="3" t="str">
        <f aca="false">IFERROR(INDEX('Teacher Lookup'!$B$2:$B$200,MATCH(A5093,'Teacher Lookup'!$A$2:$A$200,0)),"")</f>
        <v>LAMBERT Jenna</v>
      </c>
    </row>
    <row r="5094" customFormat="false" ht="15" hidden="false" customHeight="false" outlineLevel="0" collapsed="false">
      <c r="A5094" s="3" t="s">
        <v>440</v>
      </c>
      <c r="B5094" s="4" t="s">
        <v>31</v>
      </c>
      <c r="C5094" s="4" t="n">
        <v>1</v>
      </c>
      <c r="D5094" s="4" t="s">
        <v>58</v>
      </c>
      <c r="E5094" s="3" t="s">
        <v>167</v>
      </c>
      <c r="F5094" s="4" t="str">
        <f aca="false">IF(I5094&gt;J5094,"Y","N")</f>
        <v>N</v>
      </c>
      <c r="G5094" s="3" t="s">
        <v>164</v>
      </c>
      <c r="H5094" s="3" t="s">
        <v>16</v>
      </c>
      <c r="I5094" s="4" t="n">
        <v>4</v>
      </c>
      <c r="J5094" s="4" t="n">
        <f aca="false">LEN(E5094)-LEN(SUBSTITUTE(E5094,",",""))+1</f>
        <v>4</v>
      </c>
      <c r="K5094" s="3" t="str">
        <f aca="false">IFERROR(INDEX('Teacher Lookup'!$B$2:$B$200,MATCH(A5094,'Teacher Lookup'!$A$2:$A$200,0)),"")</f>
        <v>LAMBERT Jenna</v>
      </c>
    </row>
    <row r="5095" customFormat="false" ht="15" hidden="false" customHeight="false" outlineLevel="0" collapsed="false">
      <c r="A5095" s="3" t="s">
        <v>440</v>
      </c>
      <c r="B5095" s="4" t="s">
        <v>31</v>
      </c>
      <c r="C5095" s="4" t="n">
        <v>1</v>
      </c>
      <c r="D5095" s="4" t="s">
        <v>59</v>
      </c>
      <c r="E5095" s="3" t="s">
        <v>167</v>
      </c>
      <c r="F5095" s="4" t="str">
        <f aca="false">IF(I5095&gt;J5095,"Y","N")</f>
        <v>N</v>
      </c>
      <c r="G5095" s="3" t="s">
        <v>164</v>
      </c>
      <c r="H5095" s="3" t="s">
        <v>16</v>
      </c>
      <c r="I5095" s="4" t="n">
        <v>4</v>
      </c>
      <c r="J5095" s="4" t="n">
        <f aca="false">LEN(E5095)-LEN(SUBSTITUTE(E5095,",",""))+1</f>
        <v>4</v>
      </c>
      <c r="K5095" s="3" t="str">
        <f aca="false">IFERROR(INDEX('Teacher Lookup'!$B$2:$B$200,MATCH(A5095,'Teacher Lookup'!$A$2:$A$200,0)),"")</f>
        <v>LAMBERT Jenna</v>
      </c>
    </row>
    <row r="5096" customFormat="false" ht="15" hidden="false" customHeight="false" outlineLevel="0" collapsed="false">
      <c r="A5096" s="3" t="s">
        <v>440</v>
      </c>
      <c r="B5096" s="4" t="s">
        <v>31</v>
      </c>
      <c r="C5096" s="4" t="n">
        <v>2</v>
      </c>
      <c r="D5096" s="4" t="s">
        <v>137</v>
      </c>
      <c r="E5096" s="3" t="s">
        <v>146</v>
      </c>
      <c r="F5096" s="4" t="str">
        <f aca="false">IF(I5096&gt;J5096,"Y","N")</f>
        <v>N</v>
      </c>
      <c r="G5096" s="3" t="s">
        <v>164</v>
      </c>
      <c r="H5096" s="3" t="s">
        <v>21</v>
      </c>
      <c r="I5096" s="4" t="n">
        <v>4</v>
      </c>
      <c r="J5096" s="4" t="n">
        <f aca="false">LEN(E5096)-LEN(SUBSTITUTE(E5096,",",""))+1</f>
        <v>4</v>
      </c>
      <c r="K5096" s="3" t="str">
        <f aca="false">IFERROR(INDEX('Teacher Lookup'!$B$2:$B$200,MATCH(A5096,'Teacher Lookup'!$A$2:$A$200,0)),"")</f>
        <v>LAMBERT Jenna</v>
      </c>
    </row>
    <row r="5097" customFormat="false" ht="15" hidden="false" customHeight="false" outlineLevel="0" collapsed="false">
      <c r="A5097" s="3" t="s">
        <v>440</v>
      </c>
      <c r="B5097" s="4" t="s">
        <v>31</v>
      </c>
      <c r="C5097" s="4" t="n">
        <v>2</v>
      </c>
      <c r="D5097" s="4" t="s">
        <v>124</v>
      </c>
      <c r="E5097" s="3" t="s">
        <v>146</v>
      </c>
      <c r="F5097" s="4" t="str">
        <f aca="false">IF(I5097&gt;J5097,"Y","N")</f>
        <v>N</v>
      </c>
      <c r="G5097" s="3" t="s">
        <v>164</v>
      </c>
      <c r="H5097" s="3" t="s">
        <v>21</v>
      </c>
      <c r="I5097" s="4" t="n">
        <v>4</v>
      </c>
      <c r="J5097" s="4" t="n">
        <f aca="false">LEN(E5097)-LEN(SUBSTITUTE(E5097,",",""))+1</f>
        <v>4</v>
      </c>
      <c r="K5097" s="3" t="str">
        <f aca="false">IFERROR(INDEX('Teacher Lookup'!$B$2:$B$200,MATCH(A5097,'Teacher Lookup'!$A$2:$A$200,0)),"")</f>
        <v>LAMBERT Jenna</v>
      </c>
    </row>
    <row r="5098" customFormat="false" ht="15" hidden="false" customHeight="false" outlineLevel="0" collapsed="false">
      <c r="A5098" s="3" t="s">
        <v>440</v>
      </c>
      <c r="B5098" s="4" t="s">
        <v>31</v>
      </c>
      <c r="C5098" s="4" t="n">
        <v>2</v>
      </c>
      <c r="D5098" s="4" t="s">
        <v>139</v>
      </c>
      <c r="E5098" s="3" t="s">
        <v>146</v>
      </c>
      <c r="F5098" s="4" t="str">
        <f aca="false">IF(I5098&gt;J5098,"Y","N")</f>
        <v>N</v>
      </c>
      <c r="G5098" s="3" t="s">
        <v>164</v>
      </c>
      <c r="H5098" s="3" t="s">
        <v>21</v>
      </c>
      <c r="I5098" s="4" t="n">
        <v>4</v>
      </c>
      <c r="J5098" s="4" t="n">
        <f aca="false">LEN(E5098)-LEN(SUBSTITUTE(E5098,",",""))+1</f>
        <v>4</v>
      </c>
      <c r="K5098" s="3" t="str">
        <f aca="false">IFERROR(INDEX('Teacher Lookup'!$B$2:$B$200,MATCH(A5098,'Teacher Lookup'!$A$2:$A$200,0)),"")</f>
        <v>LAMBERT Jenna</v>
      </c>
    </row>
    <row r="5099" customFormat="false" ht="15" hidden="false" customHeight="false" outlineLevel="0" collapsed="false">
      <c r="A5099" s="3" t="s">
        <v>440</v>
      </c>
      <c r="B5099" s="4" t="s">
        <v>31</v>
      </c>
      <c r="C5099" s="4" t="n">
        <v>4</v>
      </c>
      <c r="D5099" s="4" t="s">
        <v>140</v>
      </c>
      <c r="E5099" s="3" t="s">
        <v>144</v>
      </c>
      <c r="F5099" s="4" t="str">
        <f aca="false">IF(I5099&gt;J5099,"Y","N")</f>
        <v>N</v>
      </c>
      <c r="G5099" s="3" t="s">
        <v>164</v>
      </c>
      <c r="H5099" s="3" t="s">
        <v>34</v>
      </c>
      <c r="I5099" s="4" t="n">
        <v>4</v>
      </c>
      <c r="J5099" s="4" t="n">
        <f aca="false">LEN(E5099)-LEN(SUBSTITUTE(E5099,",",""))+1</f>
        <v>4</v>
      </c>
      <c r="K5099" s="3" t="str">
        <f aca="false">IFERROR(INDEX('Teacher Lookup'!$B$2:$B$200,MATCH(A5099,'Teacher Lookup'!$A$2:$A$200,0)),"")</f>
        <v>LAMBERT Jenna</v>
      </c>
    </row>
    <row r="5100" customFormat="false" ht="15" hidden="false" customHeight="false" outlineLevel="0" collapsed="false">
      <c r="A5100" s="3" t="s">
        <v>440</v>
      </c>
      <c r="B5100" s="4" t="s">
        <v>31</v>
      </c>
      <c r="C5100" s="4" t="n">
        <v>4</v>
      </c>
      <c r="D5100" s="4" t="s">
        <v>142</v>
      </c>
      <c r="E5100" s="3" t="s">
        <v>144</v>
      </c>
      <c r="F5100" s="4" t="str">
        <f aca="false">IF(I5100&gt;J5100,"Y","N")</f>
        <v>N</v>
      </c>
      <c r="G5100" s="3" t="s">
        <v>164</v>
      </c>
      <c r="H5100" s="3" t="s">
        <v>34</v>
      </c>
      <c r="I5100" s="4" t="n">
        <v>4</v>
      </c>
      <c r="J5100" s="4" t="n">
        <f aca="false">LEN(E5100)-LEN(SUBSTITUTE(E5100,",",""))+1</f>
        <v>4</v>
      </c>
      <c r="K5100" s="3" t="str">
        <f aca="false">IFERROR(INDEX('Teacher Lookup'!$B$2:$B$200,MATCH(A5100,'Teacher Lookup'!$A$2:$A$200,0)),"")</f>
        <v>LAMBERT Jenna</v>
      </c>
    </row>
    <row r="5101" customFormat="false" ht="15" hidden="false" customHeight="false" outlineLevel="0" collapsed="false">
      <c r="A5101" s="3" t="s">
        <v>440</v>
      </c>
      <c r="B5101" s="4" t="s">
        <v>31</v>
      </c>
      <c r="C5101" s="4" t="n">
        <v>4</v>
      </c>
      <c r="D5101" s="4" t="s">
        <v>127</v>
      </c>
      <c r="E5101" s="3" t="s">
        <v>144</v>
      </c>
      <c r="F5101" s="4" t="str">
        <f aca="false">IF(I5101&gt;J5101,"Y","N")</f>
        <v>N</v>
      </c>
      <c r="G5101" s="3" t="s">
        <v>164</v>
      </c>
      <c r="H5101" s="3" t="s">
        <v>34</v>
      </c>
      <c r="I5101" s="4" t="n">
        <v>4</v>
      </c>
      <c r="J5101" s="4" t="n">
        <f aca="false">LEN(E5101)-LEN(SUBSTITUTE(E5101,",",""))+1</f>
        <v>4</v>
      </c>
      <c r="K5101" s="3" t="str">
        <f aca="false">IFERROR(INDEX('Teacher Lookup'!$B$2:$B$200,MATCH(A5101,'Teacher Lookup'!$A$2:$A$200,0)),"")</f>
        <v>LAMBERT Jenna</v>
      </c>
    </row>
    <row r="5102" customFormat="false" ht="15" hidden="false" customHeight="false" outlineLevel="0" collapsed="false">
      <c r="A5102" s="3" t="s">
        <v>440</v>
      </c>
      <c r="B5102" s="4" t="s">
        <v>31</v>
      </c>
      <c r="C5102" s="4" t="n">
        <v>5</v>
      </c>
      <c r="D5102" s="4" t="s">
        <v>137</v>
      </c>
      <c r="E5102" s="3" t="s">
        <v>185</v>
      </c>
      <c r="F5102" s="4" t="str">
        <f aca="false">IF(I5102&gt;J5102,"Y","N")</f>
        <v>Y</v>
      </c>
      <c r="G5102" s="3" t="s">
        <v>36</v>
      </c>
      <c r="H5102" s="3" t="s">
        <v>37</v>
      </c>
      <c r="I5102" s="4" t="n">
        <v>21</v>
      </c>
      <c r="J5102" s="4" t="n">
        <f aca="false">LEN(E5102)-LEN(SUBSTITUTE(E5102,",",""))+1</f>
        <v>7</v>
      </c>
      <c r="K5102" s="3" t="str">
        <f aca="false">IFERROR(INDEX('Teacher Lookup'!$B$2:$B$200,MATCH(A5102,'Teacher Lookup'!$A$2:$A$200,0)),"")</f>
        <v>LAMBERT Jenna</v>
      </c>
    </row>
    <row r="5103" customFormat="false" ht="15" hidden="false" customHeight="false" outlineLevel="0" collapsed="false">
      <c r="A5103" s="3" t="s">
        <v>440</v>
      </c>
      <c r="B5103" s="4" t="s">
        <v>31</v>
      </c>
      <c r="C5103" s="4" t="n">
        <v>5</v>
      </c>
      <c r="D5103" s="4" t="s">
        <v>124</v>
      </c>
      <c r="E5103" s="3" t="s">
        <v>185</v>
      </c>
      <c r="F5103" s="4" t="str">
        <f aca="false">IF(I5103&gt;J5103,"Y","N")</f>
        <v>Y</v>
      </c>
      <c r="G5103" s="3" t="s">
        <v>36</v>
      </c>
      <c r="H5103" s="3" t="s">
        <v>37</v>
      </c>
      <c r="I5103" s="4" t="n">
        <v>21</v>
      </c>
      <c r="J5103" s="4" t="n">
        <f aca="false">LEN(E5103)-LEN(SUBSTITUTE(E5103,",",""))+1</f>
        <v>7</v>
      </c>
      <c r="K5103" s="3" t="str">
        <f aca="false">IFERROR(INDEX('Teacher Lookup'!$B$2:$B$200,MATCH(A5103,'Teacher Lookup'!$A$2:$A$200,0)),"")</f>
        <v>LAMBERT Jenna</v>
      </c>
    </row>
    <row r="5104" customFormat="false" ht="15" hidden="false" customHeight="false" outlineLevel="0" collapsed="false">
      <c r="A5104" s="3" t="s">
        <v>440</v>
      </c>
      <c r="B5104" s="4" t="s">
        <v>31</v>
      </c>
      <c r="C5104" s="4" t="n">
        <v>5</v>
      </c>
      <c r="D5104" s="4" t="s">
        <v>139</v>
      </c>
      <c r="E5104" s="3" t="s">
        <v>185</v>
      </c>
      <c r="F5104" s="4" t="str">
        <f aca="false">IF(I5104&gt;J5104,"Y","N")</f>
        <v>Y</v>
      </c>
      <c r="G5104" s="3" t="s">
        <v>36</v>
      </c>
      <c r="H5104" s="3" t="s">
        <v>37</v>
      </c>
      <c r="I5104" s="4" t="n">
        <v>21</v>
      </c>
      <c r="J5104" s="4" t="n">
        <f aca="false">LEN(E5104)-LEN(SUBSTITUTE(E5104,",",""))+1</f>
        <v>7</v>
      </c>
      <c r="K5104" s="3" t="str">
        <f aca="false">IFERROR(INDEX('Teacher Lookup'!$B$2:$B$200,MATCH(A5104,'Teacher Lookup'!$A$2:$A$200,0)),"")</f>
        <v>LAMBERT Jenna</v>
      </c>
    </row>
    <row r="5105" customFormat="false" ht="15" hidden="false" customHeight="false" outlineLevel="0" collapsed="false">
      <c r="A5105" s="3" t="s">
        <v>440</v>
      </c>
      <c r="B5105" s="4" t="s">
        <v>31</v>
      </c>
      <c r="C5105" s="4" t="n">
        <v>5</v>
      </c>
      <c r="D5105" s="4" t="s">
        <v>140</v>
      </c>
      <c r="E5105" s="3" t="s">
        <v>185</v>
      </c>
      <c r="F5105" s="4" t="str">
        <f aca="false">IF(I5105&gt;J5105,"Y","N")</f>
        <v>Y</v>
      </c>
      <c r="G5105" s="3" t="s">
        <v>36</v>
      </c>
      <c r="H5105" s="3" t="s">
        <v>37</v>
      </c>
      <c r="I5105" s="4" t="n">
        <v>21</v>
      </c>
      <c r="J5105" s="4" t="n">
        <f aca="false">LEN(E5105)-LEN(SUBSTITUTE(E5105,",",""))+1</f>
        <v>7</v>
      </c>
      <c r="K5105" s="3" t="str">
        <f aca="false">IFERROR(INDEX('Teacher Lookup'!$B$2:$B$200,MATCH(A5105,'Teacher Lookup'!$A$2:$A$200,0)),"")</f>
        <v>LAMBERT Jenna</v>
      </c>
    </row>
    <row r="5106" customFormat="false" ht="15" hidden="false" customHeight="false" outlineLevel="0" collapsed="false">
      <c r="A5106" s="3" t="s">
        <v>440</v>
      </c>
      <c r="B5106" s="4" t="s">
        <v>31</v>
      </c>
      <c r="C5106" s="4" t="n">
        <v>5</v>
      </c>
      <c r="D5106" s="4" t="s">
        <v>142</v>
      </c>
      <c r="E5106" s="3" t="s">
        <v>185</v>
      </c>
      <c r="F5106" s="4" t="str">
        <f aca="false">IF(I5106&gt;J5106,"Y","N")</f>
        <v>Y</v>
      </c>
      <c r="G5106" s="3" t="s">
        <v>36</v>
      </c>
      <c r="H5106" s="3" t="s">
        <v>37</v>
      </c>
      <c r="I5106" s="4" t="n">
        <v>21</v>
      </c>
      <c r="J5106" s="4" t="n">
        <f aca="false">LEN(E5106)-LEN(SUBSTITUTE(E5106,",",""))+1</f>
        <v>7</v>
      </c>
      <c r="K5106" s="3" t="str">
        <f aca="false">IFERROR(INDEX('Teacher Lookup'!$B$2:$B$200,MATCH(A5106,'Teacher Lookup'!$A$2:$A$200,0)),"")</f>
        <v>LAMBERT Jenna</v>
      </c>
    </row>
    <row r="5107" customFormat="false" ht="15" hidden="false" customHeight="false" outlineLevel="0" collapsed="false">
      <c r="A5107" s="3" t="s">
        <v>440</v>
      </c>
      <c r="B5107" s="4" t="s">
        <v>31</v>
      </c>
      <c r="C5107" s="4" t="n">
        <v>5</v>
      </c>
      <c r="D5107" s="4" t="s">
        <v>127</v>
      </c>
      <c r="E5107" s="3" t="s">
        <v>185</v>
      </c>
      <c r="F5107" s="4" t="str">
        <f aca="false">IF(I5107&gt;J5107,"Y","N")</f>
        <v>Y</v>
      </c>
      <c r="G5107" s="3" t="s">
        <v>36</v>
      </c>
      <c r="H5107" s="3" t="s">
        <v>37</v>
      </c>
      <c r="I5107" s="4" t="n">
        <v>21</v>
      </c>
      <c r="J5107" s="4" t="n">
        <f aca="false">LEN(E5107)-LEN(SUBSTITUTE(E5107,",",""))+1</f>
        <v>7</v>
      </c>
      <c r="K5107" s="3" t="str">
        <f aca="false">IFERROR(INDEX('Teacher Lookup'!$B$2:$B$200,MATCH(A5107,'Teacher Lookup'!$A$2:$A$200,0)),"")</f>
        <v>LAMBERT Jenna</v>
      </c>
    </row>
    <row r="5108" customFormat="false" ht="15" hidden="false" customHeight="false" outlineLevel="0" collapsed="false">
      <c r="A5108" s="3" t="s">
        <v>440</v>
      </c>
      <c r="B5108" s="4" t="s">
        <v>40</v>
      </c>
      <c r="C5108" s="4" t="n">
        <v>1</v>
      </c>
      <c r="D5108" s="4" t="s">
        <v>57</v>
      </c>
      <c r="E5108" s="3" t="s">
        <v>170</v>
      </c>
      <c r="F5108" s="4" t="str">
        <f aca="false">IF(I5108&gt;J5108,"Y","N")</f>
        <v>N</v>
      </c>
      <c r="G5108" s="3" t="s">
        <v>164</v>
      </c>
      <c r="H5108" s="3" t="s">
        <v>16</v>
      </c>
      <c r="I5108" s="4" t="n">
        <v>4</v>
      </c>
      <c r="J5108" s="4" t="n">
        <f aca="false">LEN(E5108)-LEN(SUBSTITUTE(E5108,",",""))+1</f>
        <v>4</v>
      </c>
      <c r="K5108" s="3" t="str">
        <f aca="false">IFERROR(INDEX('Teacher Lookup'!$B$2:$B$200,MATCH(A5108,'Teacher Lookup'!$A$2:$A$200,0)),"")</f>
        <v>LAMBERT Jenna</v>
      </c>
    </row>
    <row r="5109" customFormat="false" ht="15" hidden="false" customHeight="false" outlineLevel="0" collapsed="false">
      <c r="A5109" s="3" t="s">
        <v>440</v>
      </c>
      <c r="B5109" s="4" t="s">
        <v>40</v>
      </c>
      <c r="C5109" s="4" t="n">
        <v>1</v>
      </c>
      <c r="D5109" s="4" t="s">
        <v>58</v>
      </c>
      <c r="E5109" s="3" t="s">
        <v>170</v>
      </c>
      <c r="F5109" s="4" t="str">
        <f aca="false">IF(I5109&gt;J5109,"Y","N")</f>
        <v>N</v>
      </c>
      <c r="G5109" s="3" t="s">
        <v>164</v>
      </c>
      <c r="H5109" s="3" t="s">
        <v>16</v>
      </c>
      <c r="I5109" s="4" t="n">
        <v>4</v>
      </c>
      <c r="J5109" s="4" t="n">
        <f aca="false">LEN(E5109)-LEN(SUBSTITUTE(E5109,",",""))+1</f>
        <v>4</v>
      </c>
      <c r="K5109" s="3" t="str">
        <f aca="false">IFERROR(INDEX('Teacher Lookup'!$B$2:$B$200,MATCH(A5109,'Teacher Lookup'!$A$2:$A$200,0)),"")</f>
        <v>LAMBERT Jenna</v>
      </c>
    </row>
    <row r="5110" customFormat="false" ht="15" hidden="false" customHeight="false" outlineLevel="0" collapsed="false">
      <c r="A5110" s="3" t="s">
        <v>440</v>
      </c>
      <c r="B5110" s="4" t="s">
        <v>40</v>
      </c>
      <c r="C5110" s="4" t="n">
        <v>1</v>
      </c>
      <c r="D5110" s="4" t="s">
        <v>59</v>
      </c>
      <c r="E5110" s="3" t="s">
        <v>170</v>
      </c>
      <c r="F5110" s="4" t="str">
        <f aca="false">IF(I5110&gt;J5110,"Y","N")</f>
        <v>N</v>
      </c>
      <c r="G5110" s="3" t="s">
        <v>164</v>
      </c>
      <c r="H5110" s="3" t="s">
        <v>16</v>
      </c>
      <c r="I5110" s="4" t="n">
        <v>4</v>
      </c>
      <c r="J5110" s="4" t="n">
        <f aca="false">LEN(E5110)-LEN(SUBSTITUTE(E5110,",",""))+1</f>
        <v>4</v>
      </c>
      <c r="K5110" s="3" t="str">
        <f aca="false">IFERROR(INDEX('Teacher Lookup'!$B$2:$B$200,MATCH(A5110,'Teacher Lookup'!$A$2:$A$200,0)),"")</f>
        <v>LAMBERT Jenna</v>
      </c>
    </row>
    <row r="5111" customFormat="false" ht="15" hidden="false" customHeight="false" outlineLevel="0" collapsed="false">
      <c r="A5111" s="3" t="s">
        <v>440</v>
      </c>
      <c r="B5111" s="4" t="s">
        <v>40</v>
      </c>
      <c r="C5111" s="4" t="n">
        <v>3</v>
      </c>
      <c r="D5111" s="4" t="s">
        <v>137</v>
      </c>
      <c r="E5111" s="3" t="s">
        <v>186</v>
      </c>
      <c r="F5111" s="4" t="str">
        <f aca="false">IF(I5111&gt;J5111,"Y","N")</f>
        <v>N</v>
      </c>
      <c r="G5111" s="3" t="s">
        <v>164</v>
      </c>
      <c r="H5111" s="3" t="s">
        <v>26</v>
      </c>
      <c r="I5111" s="4" t="n">
        <v>4</v>
      </c>
      <c r="J5111" s="4" t="n">
        <f aca="false">LEN(E5111)-LEN(SUBSTITUTE(E5111,",",""))+1</f>
        <v>4</v>
      </c>
      <c r="K5111" s="3" t="str">
        <f aca="false">IFERROR(INDEX('Teacher Lookup'!$B$2:$B$200,MATCH(A5111,'Teacher Lookup'!$A$2:$A$200,0)),"")</f>
        <v>LAMBERT Jenna</v>
      </c>
    </row>
    <row r="5112" customFormat="false" ht="15" hidden="false" customHeight="false" outlineLevel="0" collapsed="false">
      <c r="A5112" s="3" t="s">
        <v>440</v>
      </c>
      <c r="B5112" s="4" t="s">
        <v>40</v>
      </c>
      <c r="C5112" s="4" t="n">
        <v>3</v>
      </c>
      <c r="D5112" s="4" t="s">
        <v>124</v>
      </c>
      <c r="E5112" s="3" t="s">
        <v>186</v>
      </c>
      <c r="F5112" s="4" t="str">
        <f aca="false">IF(I5112&gt;J5112,"Y","N")</f>
        <v>N</v>
      </c>
      <c r="G5112" s="3" t="s">
        <v>164</v>
      </c>
      <c r="H5112" s="3" t="s">
        <v>26</v>
      </c>
      <c r="I5112" s="4" t="n">
        <v>4</v>
      </c>
      <c r="J5112" s="4" t="n">
        <f aca="false">LEN(E5112)-LEN(SUBSTITUTE(E5112,",",""))+1</f>
        <v>4</v>
      </c>
      <c r="K5112" s="3" t="str">
        <f aca="false">IFERROR(INDEX('Teacher Lookup'!$B$2:$B$200,MATCH(A5112,'Teacher Lookup'!$A$2:$A$200,0)),"")</f>
        <v>LAMBERT Jenna</v>
      </c>
    </row>
    <row r="5113" customFormat="false" ht="15" hidden="false" customHeight="false" outlineLevel="0" collapsed="false">
      <c r="A5113" s="3" t="s">
        <v>440</v>
      </c>
      <c r="B5113" s="4" t="s">
        <v>40</v>
      </c>
      <c r="C5113" s="4" t="n">
        <v>3</v>
      </c>
      <c r="D5113" s="4" t="s">
        <v>139</v>
      </c>
      <c r="E5113" s="3" t="s">
        <v>186</v>
      </c>
      <c r="F5113" s="4" t="str">
        <f aca="false">IF(I5113&gt;J5113,"Y","N")</f>
        <v>N</v>
      </c>
      <c r="G5113" s="3" t="s">
        <v>164</v>
      </c>
      <c r="H5113" s="3" t="s">
        <v>26</v>
      </c>
      <c r="I5113" s="4" t="n">
        <v>4</v>
      </c>
      <c r="J5113" s="4" t="n">
        <f aca="false">LEN(E5113)-LEN(SUBSTITUTE(E5113,",",""))+1</f>
        <v>4</v>
      </c>
      <c r="K5113" s="3" t="str">
        <f aca="false">IFERROR(INDEX('Teacher Lookup'!$B$2:$B$200,MATCH(A5113,'Teacher Lookup'!$A$2:$A$200,0)),"")</f>
        <v>LAMBERT Jenna</v>
      </c>
    </row>
    <row r="5114" customFormat="false" ht="15" hidden="false" customHeight="false" outlineLevel="0" collapsed="false">
      <c r="A5114" s="3" t="s">
        <v>440</v>
      </c>
      <c r="B5114" s="4" t="s">
        <v>40</v>
      </c>
      <c r="C5114" s="4" t="n">
        <v>4</v>
      </c>
      <c r="D5114" s="4" t="s">
        <v>137</v>
      </c>
      <c r="E5114" s="3" t="s">
        <v>186</v>
      </c>
      <c r="F5114" s="4" t="str">
        <f aca="false">IF(I5114&gt;J5114,"Y","N")</f>
        <v>N</v>
      </c>
      <c r="G5114" s="3" t="s">
        <v>164</v>
      </c>
      <c r="H5114" s="3" t="s">
        <v>34</v>
      </c>
      <c r="I5114" s="4" t="n">
        <v>4</v>
      </c>
      <c r="J5114" s="4" t="n">
        <f aca="false">LEN(E5114)-LEN(SUBSTITUTE(E5114,",",""))+1</f>
        <v>4</v>
      </c>
      <c r="K5114" s="3" t="str">
        <f aca="false">IFERROR(INDEX('Teacher Lookup'!$B$2:$B$200,MATCH(A5114,'Teacher Lookup'!$A$2:$A$200,0)),"")</f>
        <v>LAMBERT Jenna</v>
      </c>
    </row>
    <row r="5115" customFormat="false" ht="15" hidden="false" customHeight="false" outlineLevel="0" collapsed="false">
      <c r="A5115" s="3" t="s">
        <v>440</v>
      </c>
      <c r="B5115" s="4" t="s">
        <v>40</v>
      </c>
      <c r="C5115" s="4" t="n">
        <v>4</v>
      </c>
      <c r="D5115" s="4" t="s">
        <v>124</v>
      </c>
      <c r="E5115" s="3" t="s">
        <v>186</v>
      </c>
      <c r="F5115" s="4" t="str">
        <f aca="false">IF(I5115&gt;J5115,"Y","N")</f>
        <v>N</v>
      </c>
      <c r="G5115" s="3" t="s">
        <v>164</v>
      </c>
      <c r="H5115" s="3" t="s">
        <v>34</v>
      </c>
      <c r="I5115" s="4" t="n">
        <v>4</v>
      </c>
      <c r="J5115" s="4" t="n">
        <f aca="false">LEN(E5115)-LEN(SUBSTITUTE(E5115,",",""))+1</f>
        <v>4</v>
      </c>
      <c r="K5115" s="3" t="str">
        <f aca="false">IFERROR(INDEX('Teacher Lookup'!$B$2:$B$200,MATCH(A5115,'Teacher Lookup'!$A$2:$A$200,0)),"")</f>
        <v>LAMBERT Jenna</v>
      </c>
    </row>
    <row r="5116" customFormat="false" ht="15" hidden="false" customHeight="false" outlineLevel="0" collapsed="false">
      <c r="A5116" s="3" t="s">
        <v>440</v>
      </c>
      <c r="B5116" s="4" t="s">
        <v>40</v>
      </c>
      <c r="C5116" s="4" t="n">
        <v>4</v>
      </c>
      <c r="D5116" s="4" t="s">
        <v>139</v>
      </c>
      <c r="E5116" s="3" t="s">
        <v>186</v>
      </c>
      <c r="F5116" s="4" t="str">
        <f aca="false">IF(I5116&gt;J5116,"Y","N")</f>
        <v>N</v>
      </c>
      <c r="G5116" s="3" t="s">
        <v>164</v>
      </c>
      <c r="H5116" s="3" t="s">
        <v>34</v>
      </c>
      <c r="I5116" s="4" t="n">
        <v>4</v>
      </c>
      <c r="J5116" s="4" t="n">
        <f aca="false">LEN(E5116)-LEN(SUBSTITUTE(E5116,",",""))+1</f>
        <v>4</v>
      </c>
      <c r="K5116" s="3" t="str">
        <f aca="false">IFERROR(INDEX('Teacher Lookup'!$B$2:$B$200,MATCH(A5116,'Teacher Lookup'!$A$2:$A$200,0)),"")</f>
        <v>LAMBERT Jenna</v>
      </c>
    </row>
    <row r="5117" customFormat="false" ht="15" hidden="false" customHeight="false" outlineLevel="0" collapsed="false">
      <c r="A5117" s="3" t="s">
        <v>440</v>
      </c>
      <c r="B5117" s="4" t="s">
        <v>40</v>
      </c>
      <c r="C5117" s="4" t="n">
        <v>5</v>
      </c>
      <c r="D5117" s="4" t="s">
        <v>140</v>
      </c>
      <c r="E5117" s="3" t="s">
        <v>144</v>
      </c>
      <c r="F5117" s="4" t="str">
        <f aca="false">IF(I5117&gt;J5117,"Y","N")</f>
        <v>N</v>
      </c>
      <c r="G5117" s="3" t="s">
        <v>164</v>
      </c>
      <c r="H5117" s="3" t="s">
        <v>37</v>
      </c>
      <c r="I5117" s="4" t="n">
        <v>4</v>
      </c>
      <c r="J5117" s="4" t="n">
        <f aca="false">LEN(E5117)-LEN(SUBSTITUTE(E5117,",",""))+1</f>
        <v>4</v>
      </c>
      <c r="K5117" s="3" t="str">
        <f aca="false">IFERROR(INDEX('Teacher Lookup'!$B$2:$B$200,MATCH(A5117,'Teacher Lookup'!$A$2:$A$200,0)),"")</f>
        <v>LAMBERT Jenna</v>
      </c>
    </row>
    <row r="5118" customFormat="false" ht="15" hidden="false" customHeight="false" outlineLevel="0" collapsed="false">
      <c r="A5118" s="3" t="s">
        <v>440</v>
      </c>
      <c r="B5118" s="4" t="s">
        <v>40</v>
      </c>
      <c r="C5118" s="4" t="n">
        <v>5</v>
      </c>
      <c r="D5118" s="4" t="s">
        <v>142</v>
      </c>
      <c r="E5118" s="3" t="s">
        <v>144</v>
      </c>
      <c r="F5118" s="4" t="str">
        <f aca="false">IF(I5118&gt;J5118,"Y","N")</f>
        <v>N</v>
      </c>
      <c r="G5118" s="3" t="s">
        <v>164</v>
      </c>
      <c r="H5118" s="3" t="s">
        <v>37</v>
      </c>
      <c r="I5118" s="4" t="n">
        <v>4</v>
      </c>
      <c r="J5118" s="4" t="n">
        <f aca="false">LEN(E5118)-LEN(SUBSTITUTE(E5118,",",""))+1</f>
        <v>4</v>
      </c>
      <c r="K5118" s="3" t="str">
        <f aca="false">IFERROR(INDEX('Teacher Lookup'!$B$2:$B$200,MATCH(A5118,'Teacher Lookup'!$A$2:$A$200,0)),"")</f>
        <v>LAMBERT Jenna</v>
      </c>
    </row>
    <row r="5119" customFormat="false" ht="15" hidden="false" customHeight="false" outlineLevel="0" collapsed="false">
      <c r="A5119" s="3" t="s">
        <v>440</v>
      </c>
      <c r="B5119" s="4" t="s">
        <v>40</v>
      </c>
      <c r="C5119" s="4" t="n">
        <v>5</v>
      </c>
      <c r="D5119" s="4" t="s">
        <v>127</v>
      </c>
      <c r="E5119" s="3" t="s">
        <v>144</v>
      </c>
      <c r="F5119" s="4" t="str">
        <f aca="false">IF(I5119&gt;J5119,"Y","N")</f>
        <v>N</v>
      </c>
      <c r="G5119" s="3" t="s">
        <v>164</v>
      </c>
      <c r="H5119" s="3" t="s">
        <v>37</v>
      </c>
      <c r="I5119" s="4" t="n">
        <v>4</v>
      </c>
      <c r="J5119" s="4" t="n">
        <f aca="false">LEN(E5119)-LEN(SUBSTITUTE(E5119,",",""))+1</f>
        <v>4</v>
      </c>
      <c r="K5119" s="3" t="str">
        <f aca="false">IFERROR(INDEX('Teacher Lookup'!$B$2:$B$200,MATCH(A5119,'Teacher Lookup'!$A$2:$A$200,0)),"")</f>
        <v>LAMBERT Jenna</v>
      </c>
    </row>
    <row r="5120" customFormat="false" ht="15" hidden="false" customHeight="false" outlineLevel="0" collapsed="false">
      <c r="A5120" s="3" t="s">
        <v>440</v>
      </c>
      <c r="B5120" s="4" t="s">
        <v>44</v>
      </c>
      <c r="C5120" s="4" t="n">
        <v>3</v>
      </c>
      <c r="D5120" s="4" t="s">
        <v>57</v>
      </c>
      <c r="E5120" s="3" t="s">
        <v>173</v>
      </c>
      <c r="F5120" s="4" t="str">
        <f aca="false">IF(I5120&gt;J5120,"Y","N")</f>
        <v>N</v>
      </c>
      <c r="G5120" s="3" t="s">
        <v>164</v>
      </c>
      <c r="H5120" s="3" t="s">
        <v>26</v>
      </c>
      <c r="I5120" s="4" t="n">
        <v>4</v>
      </c>
      <c r="J5120" s="4" t="n">
        <f aca="false">LEN(E5120)-LEN(SUBSTITUTE(E5120,",",""))+1</f>
        <v>4</v>
      </c>
      <c r="K5120" s="3" t="str">
        <f aca="false">IFERROR(INDEX('Teacher Lookup'!$B$2:$B$200,MATCH(A5120,'Teacher Lookup'!$A$2:$A$200,0)),"")</f>
        <v>LAMBERT Jenna</v>
      </c>
    </row>
    <row r="5121" customFormat="false" ht="15" hidden="false" customHeight="false" outlineLevel="0" collapsed="false">
      <c r="A5121" s="3" t="s">
        <v>440</v>
      </c>
      <c r="B5121" s="4" t="s">
        <v>44</v>
      </c>
      <c r="C5121" s="4" t="n">
        <v>3</v>
      </c>
      <c r="D5121" s="4" t="s">
        <v>58</v>
      </c>
      <c r="E5121" s="3" t="s">
        <v>173</v>
      </c>
      <c r="F5121" s="4" t="str">
        <f aca="false">IF(I5121&gt;J5121,"Y","N")</f>
        <v>N</v>
      </c>
      <c r="G5121" s="3" t="s">
        <v>164</v>
      </c>
      <c r="H5121" s="3" t="s">
        <v>26</v>
      </c>
      <c r="I5121" s="4" t="n">
        <v>4</v>
      </c>
      <c r="J5121" s="4" t="n">
        <f aca="false">LEN(E5121)-LEN(SUBSTITUTE(E5121,",",""))+1</f>
        <v>4</v>
      </c>
      <c r="K5121" s="3" t="str">
        <f aca="false">IFERROR(INDEX('Teacher Lookup'!$B$2:$B$200,MATCH(A5121,'Teacher Lookup'!$A$2:$A$200,0)),"")</f>
        <v>LAMBERT Jenna</v>
      </c>
    </row>
    <row r="5122" customFormat="false" ht="15" hidden="false" customHeight="false" outlineLevel="0" collapsed="false">
      <c r="A5122" s="3" t="s">
        <v>440</v>
      </c>
      <c r="B5122" s="4" t="s">
        <v>44</v>
      </c>
      <c r="C5122" s="4" t="n">
        <v>3</v>
      </c>
      <c r="D5122" s="4" t="s">
        <v>59</v>
      </c>
      <c r="E5122" s="3" t="s">
        <v>173</v>
      </c>
      <c r="F5122" s="4" t="str">
        <f aca="false">IF(I5122&gt;J5122,"Y","N")</f>
        <v>N</v>
      </c>
      <c r="G5122" s="3" t="s">
        <v>164</v>
      </c>
      <c r="H5122" s="3" t="s">
        <v>26</v>
      </c>
      <c r="I5122" s="4" t="n">
        <v>4</v>
      </c>
      <c r="J5122" s="4" t="n">
        <f aca="false">LEN(E5122)-LEN(SUBSTITUTE(E5122,",",""))+1</f>
        <v>4</v>
      </c>
      <c r="K5122" s="3" t="str">
        <f aca="false">IFERROR(INDEX('Teacher Lookup'!$B$2:$B$200,MATCH(A5122,'Teacher Lookup'!$A$2:$A$200,0)),"")</f>
        <v>LAMBERT Jenna</v>
      </c>
    </row>
    <row r="5123" customFormat="false" ht="15" hidden="false" customHeight="false" outlineLevel="0" collapsed="false">
      <c r="A5123" s="3" t="s">
        <v>440</v>
      </c>
      <c r="B5123" s="4" t="s">
        <v>44</v>
      </c>
      <c r="C5123" s="4" t="n">
        <v>4</v>
      </c>
      <c r="D5123" s="4" t="s">
        <v>140</v>
      </c>
      <c r="E5123" s="3" t="s">
        <v>187</v>
      </c>
      <c r="F5123" s="4" t="str">
        <f aca="false">IF(I5123&gt;J5123,"Y","N")</f>
        <v>N</v>
      </c>
      <c r="G5123" s="3" t="s">
        <v>164</v>
      </c>
      <c r="H5123" s="3" t="s">
        <v>34</v>
      </c>
      <c r="I5123" s="4" t="n">
        <v>4</v>
      </c>
      <c r="J5123" s="4" t="n">
        <f aca="false">LEN(E5123)-LEN(SUBSTITUTE(E5123,",",""))+1</f>
        <v>4</v>
      </c>
      <c r="K5123" s="3" t="str">
        <f aca="false">IFERROR(INDEX('Teacher Lookup'!$B$2:$B$200,MATCH(A5123,'Teacher Lookup'!$A$2:$A$200,0)),"")</f>
        <v>LAMBERT Jenna</v>
      </c>
    </row>
    <row r="5124" customFormat="false" ht="15" hidden="false" customHeight="false" outlineLevel="0" collapsed="false">
      <c r="A5124" s="3" t="s">
        <v>440</v>
      </c>
      <c r="B5124" s="4" t="s">
        <v>44</v>
      </c>
      <c r="C5124" s="4" t="n">
        <v>4</v>
      </c>
      <c r="D5124" s="4" t="s">
        <v>142</v>
      </c>
      <c r="E5124" s="3" t="s">
        <v>187</v>
      </c>
      <c r="F5124" s="4" t="str">
        <f aca="false">IF(I5124&gt;J5124,"Y","N")</f>
        <v>N</v>
      </c>
      <c r="G5124" s="3" t="s">
        <v>164</v>
      </c>
      <c r="H5124" s="3" t="s">
        <v>34</v>
      </c>
      <c r="I5124" s="4" t="n">
        <v>4</v>
      </c>
      <c r="J5124" s="4" t="n">
        <f aca="false">LEN(E5124)-LEN(SUBSTITUTE(E5124,",",""))+1</f>
        <v>4</v>
      </c>
      <c r="K5124" s="3" t="str">
        <f aca="false">IFERROR(INDEX('Teacher Lookup'!$B$2:$B$200,MATCH(A5124,'Teacher Lookup'!$A$2:$A$200,0)),"")</f>
        <v>LAMBERT Jenna</v>
      </c>
    </row>
    <row r="5125" customFormat="false" ht="15" hidden="false" customHeight="false" outlineLevel="0" collapsed="false">
      <c r="A5125" s="3" t="s">
        <v>440</v>
      </c>
      <c r="B5125" s="4" t="s">
        <v>44</v>
      </c>
      <c r="C5125" s="4" t="n">
        <v>4</v>
      </c>
      <c r="D5125" s="4" t="s">
        <v>127</v>
      </c>
      <c r="E5125" s="3" t="s">
        <v>187</v>
      </c>
      <c r="F5125" s="4" t="str">
        <f aca="false">IF(I5125&gt;J5125,"Y","N")</f>
        <v>N</v>
      </c>
      <c r="G5125" s="3" t="s">
        <v>164</v>
      </c>
      <c r="H5125" s="3" t="s">
        <v>34</v>
      </c>
      <c r="I5125" s="4" t="n">
        <v>4</v>
      </c>
      <c r="J5125" s="4" t="n">
        <f aca="false">LEN(E5125)-LEN(SUBSTITUTE(E5125,",",""))+1</f>
        <v>4</v>
      </c>
      <c r="K5125" s="3" t="str">
        <f aca="false">IFERROR(INDEX('Teacher Lookup'!$B$2:$B$200,MATCH(A5125,'Teacher Lookup'!$A$2:$A$200,0)),"")</f>
        <v>LAMBERT Jenna</v>
      </c>
    </row>
    <row r="5126" customFormat="false" ht="15" hidden="false" customHeight="false" outlineLevel="0" collapsed="false">
      <c r="A5126" s="3" t="s">
        <v>440</v>
      </c>
      <c r="B5126" s="4" t="s">
        <v>44</v>
      </c>
      <c r="C5126" s="4" t="n">
        <v>5</v>
      </c>
      <c r="D5126" s="4" t="s">
        <v>137</v>
      </c>
      <c r="E5126" s="3" t="s">
        <v>185</v>
      </c>
      <c r="F5126" s="4" t="str">
        <f aca="false">IF(I5126&gt;J5126,"Y","N")</f>
        <v>Y</v>
      </c>
      <c r="G5126" s="3" t="s">
        <v>36</v>
      </c>
      <c r="H5126" s="3" t="s">
        <v>37</v>
      </c>
      <c r="I5126" s="4" t="n">
        <v>21</v>
      </c>
      <c r="J5126" s="4" t="n">
        <f aca="false">LEN(E5126)-LEN(SUBSTITUTE(E5126,",",""))+1</f>
        <v>7</v>
      </c>
      <c r="K5126" s="3" t="str">
        <f aca="false">IFERROR(INDEX('Teacher Lookup'!$B$2:$B$200,MATCH(A5126,'Teacher Lookup'!$A$2:$A$200,0)),"")</f>
        <v>LAMBERT Jenna</v>
      </c>
    </row>
    <row r="5127" customFormat="false" ht="15" hidden="false" customHeight="false" outlineLevel="0" collapsed="false">
      <c r="A5127" s="3" t="s">
        <v>440</v>
      </c>
      <c r="B5127" s="4" t="s">
        <v>44</v>
      </c>
      <c r="C5127" s="4" t="n">
        <v>5</v>
      </c>
      <c r="D5127" s="4" t="s">
        <v>124</v>
      </c>
      <c r="E5127" s="3" t="s">
        <v>185</v>
      </c>
      <c r="F5127" s="4" t="str">
        <f aca="false">IF(I5127&gt;J5127,"Y","N")</f>
        <v>Y</v>
      </c>
      <c r="G5127" s="3" t="s">
        <v>36</v>
      </c>
      <c r="H5127" s="3" t="s">
        <v>37</v>
      </c>
      <c r="I5127" s="4" t="n">
        <v>21</v>
      </c>
      <c r="J5127" s="4" t="n">
        <f aca="false">LEN(E5127)-LEN(SUBSTITUTE(E5127,",",""))+1</f>
        <v>7</v>
      </c>
      <c r="K5127" s="3" t="str">
        <f aca="false">IFERROR(INDEX('Teacher Lookup'!$B$2:$B$200,MATCH(A5127,'Teacher Lookup'!$A$2:$A$200,0)),"")</f>
        <v>LAMBERT Jenna</v>
      </c>
    </row>
    <row r="5128" customFormat="false" ht="15" hidden="false" customHeight="false" outlineLevel="0" collapsed="false">
      <c r="A5128" s="3" t="s">
        <v>440</v>
      </c>
      <c r="B5128" s="4" t="s">
        <v>44</v>
      </c>
      <c r="C5128" s="4" t="n">
        <v>5</v>
      </c>
      <c r="D5128" s="4" t="s">
        <v>139</v>
      </c>
      <c r="E5128" s="3" t="s">
        <v>185</v>
      </c>
      <c r="F5128" s="4" t="str">
        <f aca="false">IF(I5128&gt;J5128,"Y","N")</f>
        <v>Y</v>
      </c>
      <c r="G5128" s="3" t="s">
        <v>36</v>
      </c>
      <c r="H5128" s="3" t="s">
        <v>37</v>
      </c>
      <c r="I5128" s="4" t="n">
        <v>21</v>
      </c>
      <c r="J5128" s="4" t="n">
        <f aca="false">LEN(E5128)-LEN(SUBSTITUTE(E5128,",",""))+1</f>
        <v>7</v>
      </c>
      <c r="K5128" s="3" t="str">
        <f aca="false">IFERROR(INDEX('Teacher Lookup'!$B$2:$B$200,MATCH(A5128,'Teacher Lookup'!$A$2:$A$200,0)),"")</f>
        <v>LAMBERT Jenna</v>
      </c>
    </row>
    <row r="5129" customFormat="false" ht="15" hidden="false" customHeight="false" outlineLevel="0" collapsed="false">
      <c r="A5129" s="3" t="s">
        <v>440</v>
      </c>
      <c r="B5129" s="4" t="s">
        <v>44</v>
      </c>
      <c r="C5129" s="4" t="n">
        <v>5</v>
      </c>
      <c r="D5129" s="4" t="s">
        <v>140</v>
      </c>
      <c r="E5129" s="3" t="s">
        <v>185</v>
      </c>
      <c r="F5129" s="4" t="str">
        <f aca="false">IF(I5129&gt;J5129,"Y","N")</f>
        <v>Y</v>
      </c>
      <c r="G5129" s="3" t="s">
        <v>36</v>
      </c>
      <c r="H5129" s="3" t="s">
        <v>37</v>
      </c>
      <c r="I5129" s="4" t="n">
        <v>21</v>
      </c>
      <c r="J5129" s="4" t="n">
        <f aca="false">LEN(E5129)-LEN(SUBSTITUTE(E5129,",",""))+1</f>
        <v>7</v>
      </c>
      <c r="K5129" s="3" t="str">
        <f aca="false">IFERROR(INDEX('Teacher Lookup'!$B$2:$B$200,MATCH(A5129,'Teacher Lookup'!$A$2:$A$200,0)),"")</f>
        <v>LAMBERT Jenna</v>
      </c>
    </row>
    <row r="5130" customFormat="false" ht="15" hidden="false" customHeight="false" outlineLevel="0" collapsed="false">
      <c r="A5130" s="3" t="s">
        <v>440</v>
      </c>
      <c r="B5130" s="4" t="s">
        <v>44</v>
      </c>
      <c r="C5130" s="4" t="n">
        <v>5</v>
      </c>
      <c r="D5130" s="4" t="s">
        <v>142</v>
      </c>
      <c r="E5130" s="3" t="s">
        <v>185</v>
      </c>
      <c r="F5130" s="4" t="str">
        <f aca="false">IF(I5130&gt;J5130,"Y","N")</f>
        <v>Y</v>
      </c>
      <c r="G5130" s="3" t="s">
        <v>36</v>
      </c>
      <c r="H5130" s="3" t="s">
        <v>37</v>
      </c>
      <c r="I5130" s="4" t="n">
        <v>21</v>
      </c>
      <c r="J5130" s="4" t="n">
        <f aca="false">LEN(E5130)-LEN(SUBSTITUTE(E5130,",",""))+1</f>
        <v>7</v>
      </c>
      <c r="K5130" s="3" t="str">
        <f aca="false">IFERROR(INDEX('Teacher Lookup'!$B$2:$B$200,MATCH(A5130,'Teacher Lookup'!$A$2:$A$200,0)),"")</f>
        <v>LAMBERT Jenna</v>
      </c>
    </row>
    <row r="5131" customFormat="false" ht="15" hidden="false" customHeight="false" outlineLevel="0" collapsed="false">
      <c r="A5131" s="3" t="s">
        <v>440</v>
      </c>
      <c r="B5131" s="4" t="s">
        <v>44</v>
      </c>
      <c r="C5131" s="4" t="n">
        <v>5</v>
      </c>
      <c r="D5131" s="4" t="s">
        <v>127</v>
      </c>
      <c r="E5131" s="3" t="s">
        <v>185</v>
      </c>
      <c r="F5131" s="4" t="str">
        <f aca="false">IF(I5131&gt;J5131,"Y","N")</f>
        <v>Y</v>
      </c>
      <c r="G5131" s="3" t="s">
        <v>36</v>
      </c>
      <c r="H5131" s="3" t="s">
        <v>37</v>
      </c>
      <c r="I5131" s="4" t="n">
        <v>21</v>
      </c>
      <c r="J5131" s="4" t="n">
        <f aca="false">LEN(E5131)-LEN(SUBSTITUTE(E5131,",",""))+1</f>
        <v>7</v>
      </c>
      <c r="K5131" s="3" t="str">
        <f aca="false">IFERROR(INDEX('Teacher Lookup'!$B$2:$B$200,MATCH(A5131,'Teacher Lookup'!$A$2:$A$200,0)),"")</f>
        <v>LAMBERT Jenna</v>
      </c>
    </row>
    <row r="5132" customFormat="false" ht="15" hidden="false" customHeight="false" outlineLevel="0" collapsed="false">
      <c r="A5132" s="3" t="s">
        <v>440</v>
      </c>
      <c r="B5132" s="4" t="s">
        <v>44</v>
      </c>
      <c r="C5132" s="4" t="n">
        <v>7</v>
      </c>
      <c r="D5132" s="4" t="s">
        <v>137</v>
      </c>
      <c r="E5132" s="3" t="s">
        <v>146</v>
      </c>
      <c r="F5132" s="4" t="str">
        <f aca="false">IF(I5132&gt;J5132,"Y","N")</f>
        <v>N</v>
      </c>
      <c r="G5132" s="3" t="s">
        <v>164</v>
      </c>
      <c r="H5132" s="3" t="s">
        <v>39</v>
      </c>
      <c r="I5132" s="4" t="n">
        <v>4</v>
      </c>
      <c r="J5132" s="4" t="n">
        <f aca="false">LEN(E5132)-LEN(SUBSTITUTE(E5132,",",""))+1</f>
        <v>4</v>
      </c>
      <c r="K5132" s="3" t="str">
        <f aca="false">IFERROR(INDEX('Teacher Lookup'!$B$2:$B$200,MATCH(A5132,'Teacher Lookup'!$A$2:$A$200,0)),"")</f>
        <v>LAMBERT Jenna</v>
      </c>
    </row>
    <row r="5133" customFormat="false" ht="15" hidden="false" customHeight="false" outlineLevel="0" collapsed="false">
      <c r="A5133" s="3" t="s">
        <v>440</v>
      </c>
      <c r="B5133" s="4" t="s">
        <v>44</v>
      </c>
      <c r="C5133" s="4" t="n">
        <v>7</v>
      </c>
      <c r="D5133" s="4" t="s">
        <v>124</v>
      </c>
      <c r="E5133" s="3" t="s">
        <v>146</v>
      </c>
      <c r="F5133" s="4" t="str">
        <f aca="false">IF(I5133&gt;J5133,"Y","N")</f>
        <v>N</v>
      </c>
      <c r="G5133" s="3" t="s">
        <v>164</v>
      </c>
      <c r="H5133" s="3" t="s">
        <v>39</v>
      </c>
      <c r="I5133" s="4" t="n">
        <v>4</v>
      </c>
      <c r="J5133" s="4" t="n">
        <f aca="false">LEN(E5133)-LEN(SUBSTITUTE(E5133,",",""))+1</f>
        <v>4</v>
      </c>
      <c r="K5133" s="3" t="str">
        <f aca="false">IFERROR(INDEX('Teacher Lookup'!$B$2:$B$200,MATCH(A5133,'Teacher Lookup'!$A$2:$A$200,0)),"")</f>
        <v>LAMBERT Jenna</v>
      </c>
    </row>
    <row r="5134" customFormat="false" ht="15" hidden="false" customHeight="false" outlineLevel="0" collapsed="false">
      <c r="A5134" s="3" t="s">
        <v>440</v>
      </c>
      <c r="B5134" s="4" t="s">
        <v>44</v>
      </c>
      <c r="C5134" s="4" t="n">
        <v>7</v>
      </c>
      <c r="D5134" s="4" t="s">
        <v>139</v>
      </c>
      <c r="E5134" s="3" t="s">
        <v>146</v>
      </c>
      <c r="F5134" s="4" t="str">
        <f aca="false">IF(I5134&gt;J5134,"Y","N")</f>
        <v>N</v>
      </c>
      <c r="G5134" s="3" t="s">
        <v>164</v>
      </c>
      <c r="H5134" s="3" t="s">
        <v>39</v>
      </c>
      <c r="I5134" s="4" t="n">
        <v>4</v>
      </c>
      <c r="J5134" s="4" t="n">
        <f aca="false">LEN(E5134)-LEN(SUBSTITUTE(E5134,",",""))+1</f>
        <v>4</v>
      </c>
      <c r="K5134" s="3" t="str">
        <f aca="false">IFERROR(INDEX('Teacher Lookup'!$B$2:$B$200,MATCH(A5134,'Teacher Lookup'!$A$2:$A$200,0)),"")</f>
        <v>LAMBERT Jenna</v>
      </c>
    </row>
    <row r="5135" customFormat="false" ht="15" hidden="false" customHeight="false" outlineLevel="0" collapsed="false">
      <c r="A5135" s="3" t="s">
        <v>440</v>
      </c>
      <c r="B5135" s="4" t="s">
        <v>47</v>
      </c>
      <c r="C5135" s="4" t="n">
        <v>3</v>
      </c>
      <c r="D5135" s="4" t="s">
        <v>57</v>
      </c>
      <c r="E5135" s="3" t="s">
        <v>175</v>
      </c>
      <c r="F5135" s="4" t="str">
        <f aca="false">IF(I5135&gt;J5135,"Y","N")</f>
        <v>N</v>
      </c>
      <c r="G5135" s="3" t="s">
        <v>164</v>
      </c>
      <c r="H5135" s="3" t="s">
        <v>26</v>
      </c>
      <c r="I5135" s="4" t="n">
        <v>4</v>
      </c>
      <c r="J5135" s="4" t="n">
        <f aca="false">LEN(E5135)-LEN(SUBSTITUTE(E5135,",",""))+1</f>
        <v>4</v>
      </c>
      <c r="K5135" s="3" t="str">
        <f aca="false">IFERROR(INDEX('Teacher Lookup'!$B$2:$B$200,MATCH(A5135,'Teacher Lookup'!$A$2:$A$200,0)),"")</f>
        <v>LAMBERT Jenna</v>
      </c>
    </row>
    <row r="5136" customFormat="false" ht="15" hidden="false" customHeight="false" outlineLevel="0" collapsed="false">
      <c r="A5136" s="3" t="s">
        <v>440</v>
      </c>
      <c r="B5136" s="4" t="s">
        <v>47</v>
      </c>
      <c r="C5136" s="4" t="n">
        <v>3</v>
      </c>
      <c r="D5136" s="4" t="s">
        <v>58</v>
      </c>
      <c r="E5136" s="3" t="s">
        <v>175</v>
      </c>
      <c r="F5136" s="4" t="str">
        <f aca="false">IF(I5136&gt;J5136,"Y","N")</f>
        <v>N</v>
      </c>
      <c r="G5136" s="3" t="s">
        <v>164</v>
      </c>
      <c r="H5136" s="3" t="s">
        <v>26</v>
      </c>
      <c r="I5136" s="4" t="n">
        <v>4</v>
      </c>
      <c r="J5136" s="4" t="n">
        <f aca="false">LEN(E5136)-LEN(SUBSTITUTE(E5136,",",""))+1</f>
        <v>4</v>
      </c>
      <c r="K5136" s="3" t="str">
        <f aca="false">IFERROR(INDEX('Teacher Lookup'!$B$2:$B$200,MATCH(A5136,'Teacher Lookup'!$A$2:$A$200,0)),"")</f>
        <v>LAMBERT Jenna</v>
      </c>
    </row>
    <row r="5137" customFormat="false" ht="15" hidden="false" customHeight="false" outlineLevel="0" collapsed="false">
      <c r="A5137" s="3" t="s">
        <v>440</v>
      </c>
      <c r="B5137" s="4" t="s">
        <v>47</v>
      </c>
      <c r="C5137" s="4" t="n">
        <v>3</v>
      </c>
      <c r="D5137" s="4" t="s">
        <v>59</v>
      </c>
      <c r="E5137" s="3" t="s">
        <v>175</v>
      </c>
      <c r="F5137" s="4" t="str">
        <f aca="false">IF(I5137&gt;J5137,"Y","N")</f>
        <v>N</v>
      </c>
      <c r="G5137" s="3" t="s">
        <v>164</v>
      </c>
      <c r="H5137" s="3" t="s">
        <v>26</v>
      </c>
      <c r="I5137" s="4" t="n">
        <v>4</v>
      </c>
      <c r="J5137" s="4" t="n">
        <f aca="false">LEN(E5137)-LEN(SUBSTITUTE(E5137,",",""))+1</f>
        <v>4</v>
      </c>
      <c r="K5137" s="3" t="str">
        <f aca="false">IFERROR(INDEX('Teacher Lookup'!$B$2:$B$200,MATCH(A5137,'Teacher Lookup'!$A$2:$A$200,0)),"")</f>
        <v>LAMBERT Jenna</v>
      </c>
    </row>
    <row r="5138" customFormat="false" ht="15" hidden="false" customHeight="false" outlineLevel="0" collapsed="false">
      <c r="A5138" s="3" t="s">
        <v>440</v>
      </c>
      <c r="B5138" s="4" t="s">
        <v>47</v>
      </c>
      <c r="C5138" s="4" t="n">
        <v>5</v>
      </c>
      <c r="D5138" s="4" t="s">
        <v>137</v>
      </c>
      <c r="E5138" s="3" t="s">
        <v>188</v>
      </c>
      <c r="F5138" s="4" t="str">
        <f aca="false">IF(I5138&gt;J5138,"Y","N")</f>
        <v>N</v>
      </c>
      <c r="G5138" s="3" t="s">
        <v>164</v>
      </c>
      <c r="H5138" s="3" t="s">
        <v>37</v>
      </c>
      <c r="I5138" s="4" t="n">
        <v>4</v>
      </c>
      <c r="J5138" s="4" t="n">
        <f aca="false">LEN(E5138)-LEN(SUBSTITUTE(E5138,",",""))+1</f>
        <v>4</v>
      </c>
      <c r="K5138" s="3" t="str">
        <f aca="false">IFERROR(INDEX('Teacher Lookup'!$B$2:$B$200,MATCH(A5138,'Teacher Lookup'!$A$2:$A$200,0)),"")</f>
        <v>LAMBERT Jenna</v>
      </c>
    </row>
    <row r="5139" customFormat="false" ht="15" hidden="false" customHeight="false" outlineLevel="0" collapsed="false">
      <c r="A5139" s="3" t="s">
        <v>440</v>
      </c>
      <c r="B5139" s="4" t="s">
        <v>47</v>
      </c>
      <c r="C5139" s="4" t="n">
        <v>5</v>
      </c>
      <c r="D5139" s="4" t="s">
        <v>124</v>
      </c>
      <c r="E5139" s="3" t="s">
        <v>188</v>
      </c>
      <c r="F5139" s="4" t="str">
        <f aca="false">IF(I5139&gt;J5139,"Y","N")</f>
        <v>N</v>
      </c>
      <c r="G5139" s="3" t="s">
        <v>164</v>
      </c>
      <c r="H5139" s="3" t="s">
        <v>37</v>
      </c>
      <c r="I5139" s="4" t="n">
        <v>4</v>
      </c>
      <c r="J5139" s="4" t="n">
        <f aca="false">LEN(E5139)-LEN(SUBSTITUTE(E5139,",",""))+1</f>
        <v>4</v>
      </c>
      <c r="K5139" s="3" t="str">
        <f aca="false">IFERROR(INDEX('Teacher Lookup'!$B$2:$B$200,MATCH(A5139,'Teacher Lookup'!$A$2:$A$200,0)),"")</f>
        <v>LAMBERT Jenna</v>
      </c>
    </row>
    <row r="5140" customFormat="false" ht="15" hidden="false" customHeight="false" outlineLevel="0" collapsed="false">
      <c r="A5140" s="3" t="s">
        <v>440</v>
      </c>
      <c r="B5140" s="4" t="s">
        <v>47</v>
      </c>
      <c r="C5140" s="4" t="n">
        <v>5</v>
      </c>
      <c r="D5140" s="4" t="s">
        <v>139</v>
      </c>
      <c r="E5140" s="3" t="s">
        <v>188</v>
      </c>
      <c r="F5140" s="4" t="str">
        <f aca="false">IF(I5140&gt;J5140,"Y","N")</f>
        <v>N</v>
      </c>
      <c r="G5140" s="3" t="s">
        <v>164</v>
      </c>
      <c r="H5140" s="3" t="s">
        <v>37</v>
      </c>
      <c r="I5140" s="4" t="n">
        <v>4</v>
      </c>
      <c r="J5140" s="4" t="n">
        <f aca="false">LEN(E5140)-LEN(SUBSTITUTE(E5140,",",""))+1</f>
        <v>4</v>
      </c>
      <c r="K5140" s="3" t="str">
        <f aca="false">IFERROR(INDEX('Teacher Lookup'!$B$2:$B$200,MATCH(A5140,'Teacher Lookup'!$A$2:$A$200,0)),"")</f>
        <v>LAMBERT Jenna</v>
      </c>
    </row>
    <row r="5141" customFormat="false" ht="15" hidden="false" customHeight="false" outlineLevel="0" collapsed="false">
      <c r="A5141" s="3" t="s">
        <v>440</v>
      </c>
      <c r="B5141" s="4" t="s">
        <v>47</v>
      </c>
      <c r="C5141" s="4" t="n">
        <v>6</v>
      </c>
      <c r="D5141" s="4" t="s">
        <v>140</v>
      </c>
      <c r="E5141" s="3" t="s">
        <v>157</v>
      </c>
      <c r="F5141" s="4" t="str">
        <f aca="false">IF(I5141&gt;J5141,"Y","N")</f>
        <v>N</v>
      </c>
      <c r="G5141" s="3" t="s">
        <v>164</v>
      </c>
      <c r="H5141" s="3" t="s">
        <v>42</v>
      </c>
      <c r="I5141" s="4" t="n">
        <v>4</v>
      </c>
      <c r="J5141" s="4" t="n">
        <f aca="false">LEN(E5141)-LEN(SUBSTITUTE(E5141,",",""))+1</f>
        <v>4</v>
      </c>
      <c r="K5141" s="3" t="str">
        <f aca="false">IFERROR(INDEX('Teacher Lookup'!$B$2:$B$200,MATCH(A5141,'Teacher Lookup'!$A$2:$A$200,0)),"")</f>
        <v>LAMBERT Jenna</v>
      </c>
    </row>
    <row r="5142" customFormat="false" ht="15" hidden="false" customHeight="false" outlineLevel="0" collapsed="false">
      <c r="A5142" s="3" t="s">
        <v>440</v>
      </c>
      <c r="B5142" s="4" t="s">
        <v>47</v>
      </c>
      <c r="C5142" s="4" t="n">
        <v>6</v>
      </c>
      <c r="D5142" s="4" t="s">
        <v>142</v>
      </c>
      <c r="E5142" s="3" t="s">
        <v>157</v>
      </c>
      <c r="F5142" s="4" t="str">
        <f aca="false">IF(I5142&gt;J5142,"Y","N")</f>
        <v>N</v>
      </c>
      <c r="G5142" s="3" t="s">
        <v>164</v>
      </c>
      <c r="H5142" s="3" t="s">
        <v>42</v>
      </c>
      <c r="I5142" s="4" t="n">
        <v>4</v>
      </c>
      <c r="J5142" s="4" t="n">
        <f aca="false">LEN(E5142)-LEN(SUBSTITUTE(E5142,",",""))+1</f>
        <v>4</v>
      </c>
      <c r="K5142" s="3" t="str">
        <f aca="false">IFERROR(INDEX('Teacher Lookup'!$B$2:$B$200,MATCH(A5142,'Teacher Lookup'!$A$2:$A$200,0)),"")</f>
        <v>LAMBERT Jenna</v>
      </c>
    </row>
    <row r="5143" customFormat="false" ht="15" hidden="false" customHeight="false" outlineLevel="0" collapsed="false">
      <c r="A5143" s="3" t="s">
        <v>440</v>
      </c>
      <c r="B5143" s="4" t="s">
        <v>47</v>
      </c>
      <c r="C5143" s="4" t="n">
        <v>6</v>
      </c>
      <c r="D5143" s="4" t="s">
        <v>127</v>
      </c>
      <c r="E5143" s="3" t="s">
        <v>157</v>
      </c>
      <c r="F5143" s="4" t="str">
        <f aca="false">IF(I5143&gt;J5143,"Y","N")</f>
        <v>N</v>
      </c>
      <c r="G5143" s="3" t="s">
        <v>164</v>
      </c>
      <c r="H5143" s="3" t="s">
        <v>42</v>
      </c>
      <c r="I5143" s="4" t="n">
        <v>4</v>
      </c>
      <c r="J5143" s="4" t="n">
        <f aca="false">LEN(E5143)-LEN(SUBSTITUTE(E5143,",",""))+1</f>
        <v>4</v>
      </c>
      <c r="K5143" s="3" t="str">
        <f aca="false">IFERROR(INDEX('Teacher Lookup'!$B$2:$B$200,MATCH(A5143,'Teacher Lookup'!$A$2:$A$200,0)),"")</f>
        <v>LAMBERT Jenna</v>
      </c>
    </row>
    <row r="5144" customFormat="false" ht="15" hidden="false" customHeight="false" outlineLevel="0" collapsed="false">
      <c r="A5144" s="3" t="s">
        <v>440</v>
      </c>
      <c r="B5144" s="4" t="s">
        <v>47</v>
      </c>
      <c r="C5144" s="4" t="n">
        <v>7</v>
      </c>
      <c r="D5144" s="4" t="s">
        <v>140</v>
      </c>
      <c r="E5144" s="3" t="s">
        <v>157</v>
      </c>
      <c r="F5144" s="4" t="str">
        <f aca="false">IF(I5144&gt;J5144,"Y","N")</f>
        <v>N</v>
      </c>
      <c r="G5144" s="3" t="s">
        <v>164</v>
      </c>
      <c r="H5144" s="3" t="s">
        <v>39</v>
      </c>
      <c r="I5144" s="4" t="n">
        <v>4</v>
      </c>
      <c r="J5144" s="4" t="n">
        <f aca="false">LEN(E5144)-LEN(SUBSTITUTE(E5144,",",""))+1</f>
        <v>4</v>
      </c>
      <c r="K5144" s="3" t="str">
        <f aca="false">IFERROR(INDEX('Teacher Lookup'!$B$2:$B$200,MATCH(A5144,'Teacher Lookup'!$A$2:$A$200,0)),"")</f>
        <v>LAMBERT Jenna</v>
      </c>
    </row>
    <row r="5145" customFormat="false" ht="15" hidden="false" customHeight="false" outlineLevel="0" collapsed="false">
      <c r="A5145" s="3" t="s">
        <v>440</v>
      </c>
      <c r="B5145" s="4" t="s">
        <v>47</v>
      </c>
      <c r="C5145" s="4" t="n">
        <v>7</v>
      </c>
      <c r="D5145" s="4" t="s">
        <v>142</v>
      </c>
      <c r="E5145" s="3" t="s">
        <v>157</v>
      </c>
      <c r="F5145" s="4" t="str">
        <f aca="false">IF(I5145&gt;J5145,"Y","N")</f>
        <v>N</v>
      </c>
      <c r="G5145" s="3" t="s">
        <v>164</v>
      </c>
      <c r="H5145" s="3" t="s">
        <v>39</v>
      </c>
      <c r="I5145" s="4" t="n">
        <v>4</v>
      </c>
      <c r="J5145" s="4" t="n">
        <f aca="false">LEN(E5145)-LEN(SUBSTITUTE(E5145,",",""))+1</f>
        <v>4</v>
      </c>
      <c r="K5145" s="3" t="str">
        <f aca="false">IFERROR(INDEX('Teacher Lookup'!$B$2:$B$200,MATCH(A5145,'Teacher Lookup'!$A$2:$A$200,0)),"")</f>
        <v>LAMBERT Jenna</v>
      </c>
    </row>
    <row r="5146" customFormat="false" ht="15" hidden="false" customHeight="false" outlineLevel="0" collapsed="false">
      <c r="A5146" s="3" t="s">
        <v>440</v>
      </c>
      <c r="B5146" s="4" t="s">
        <v>47</v>
      </c>
      <c r="C5146" s="4" t="n">
        <v>7</v>
      </c>
      <c r="D5146" s="4" t="s">
        <v>127</v>
      </c>
      <c r="E5146" s="3" t="s">
        <v>157</v>
      </c>
      <c r="F5146" s="4" t="str">
        <f aca="false">IF(I5146&gt;J5146,"Y","N")</f>
        <v>N</v>
      </c>
      <c r="G5146" s="3" t="s">
        <v>164</v>
      </c>
      <c r="H5146" s="3" t="s">
        <v>39</v>
      </c>
      <c r="I5146" s="4" t="n">
        <v>4</v>
      </c>
      <c r="J5146" s="4" t="n">
        <f aca="false">LEN(E5146)-LEN(SUBSTITUTE(E5146,",",""))+1</f>
        <v>4</v>
      </c>
      <c r="K5146" s="3" t="str">
        <f aca="false">IFERROR(INDEX('Teacher Lookup'!$B$2:$B$200,MATCH(A5146,'Teacher Lookup'!$A$2:$A$200,0)),"")</f>
        <v>LAMBERT Jenna</v>
      </c>
    </row>
    <row r="5147" customFormat="false" ht="15" hidden="false" customHeight="false" outlineLevel="0" collapsed="false">
      <c r="A5147" s="3" t="s">
        <v>440</v>
      </c>
      <c r="B5147" s="4" t="s">
        <v>50</v>
      </c>
      <c r="C5147" s="4" t="n">
        <v>5</v>
      </c>
      <c r="D5147" s="4" t="s">
        <v>57</v>
      </c>
      <c r="E5147" s="3" t="s">
        <v>166</v>
      </c>
      <c r="F5147" s="4" t="str">
        <f aca="false">IF(I5147&gt;J5147,"Y","N")</f>
        <v>N</v>
      </c>
      <c r="G5147" s="3" t="s">
        <v>164</v>
      </c>
      <c r="H5147" s="3" t="s">
        <v>37</v>
      </c>
      <c r="I5147" s="4" t="n">
        <v>4</v>
      </c>
      <c r="J5147" s="4" t="n">
        <f aca="false">LEN(E5147)-LEN(SUBSTITUTE(E5147,",",""))+1</f>
        <v>4</v>
      </c>
      <c r="K5147" s="3" t="str">
        <f aca="false">IFERROR(INDEX('Teacher Lookup'!$B$2:$B$200,MATCH(A5147,'Teacher Lookup'!$A$2:$A$200,0)),"")</f>
        <v>LAMBERT Jenna</v>
      </c>
    </row>
    <row r="5148" customFormat="false" ht="15" hidden="false" customHeight="false" outlineLevel="0" collapsed="false">
      <c r="A5148" s="3" t="s">
        <v>440</v>
      </c>
      <c r="B5148" s="4" t="s">
        <v>50</v>
      </c>
      <c r="C5148" s="4" t="n">
        <v>5</v>
      </c>
      <c r="D5148" s="4" t="s">
        <v>58</v>
      </c>
      <c r="E5148" s="3" t="s">
        <v>166</v>
      </c>
      <c r="F5148" s="4" t="str">
        <f aca="false">IF(I5148&gt;J5148,"Y","N")</f>
        <v>N</v>
      </c>
      <c r="G5148" s="3" t="s">
        <v>164</v>
      </c>
      <c r="H5148" s="3" t="s">
        <v>37</v>
      </c>
      <c r="I5148" s="4" t="n">
        <v>4</v>
      </c>
      <c r="J5148" s="4" t="n">
        <f aca="false">LEN(E5148)-LEN(SUBSTITUTE(E5148,",",""))+1</f>
        <v>4</v>
      </c>
      <c r="K5148" s="3" t="str">
        <f aca="false">IFERROR(INDEX('Teacher Lookup'!$B$2:$B$200,MATCH(A5148,'Teacher Lookup'!$A$2:$A$200,0)),"")</f>
        <v>LAMBERT Jenna</v>
      </c>
    </row>
    <row r="5149" customFormat="false" ht="15" hidden="false" customHeight="false" outlineLevel="0" collapsed="false">
      <c r="A5149" s="3" t="s">
        <v>440</v>
      </c>
      <c r="B5149" s="4" t="s">
        <v>50</v>
      </c>
      <c r="C5149" s="4" t="n">
        <v>5</v>
      </c>
      <c r="D5149" s="4" t="s">
        <v>59</v>
      </c>
      <c r="E5149" s="3" t="s">
        <v>166</v>
      </c>
      <c r="F5149" s="4" t="str">
        <f aca="false">IF(I5149&gt;J5149,"Y","N")</f>
        <v>N</v>
      </c>
      <c r="G5149" s="3" t="s">
        <v>164</v>
      </c>
      <c r="H5149" s="3" t="s">
        <v>37</v>
      </c>
      <c r="I5149" s="4" t="n">
        <v>4</v>
      </c>
      <c r="J5149" s="4" t="n">
        <f aca="false">LEN(E5149)-LEN(SUBSTITUTE(E5149,",",""))+1</f>
        <v>4</v>
      </c>
      <c r="K5149" s="3" t="str">
        <f aca="false">IFERROR(INDEX('Teacher Lookup'!$B$2:$B$200,MATCH(A5149,'Teacher Lookup'!$A$2:$A$200,0)),"")</f>
        <v>LAMBERT Jenna</v>
      </c>
    </row>
    <row r="5150" customFormat="false" ht="15" hidden="false" customHeight="false" outlineLevel="0" collapsed="false">
      <c r="A5150" s="3" t="s">
        <v>440</v>
      </c>
      <c r="B5150" s="4" t="s">
        <v>50</v>
      </c>
      <c r="C5150" s="4" t="n">
        <v>6</v>
      </c>
      <c r="D5150" s="4" t="s">
        <v>137</v>
      </c>
      <c r="E5150" s="3" t="s">
        <v>146</v>
      </c>
      <c r="F5150" s="4" t="str">
        <f aca="false">IF(I5150&gt;J5150,"Y","N")</f>
        <v>N</v>
      </c>
      <c r="G5150" s="3" t="s">
        <v>164</v>
      </c>
      <c r="H5150" s="3" t="s">
        <v>42</v>
      </c>
      <c r="I5150" s="4" t="n">
        <v>4</v>
      </c>
      <c r="J5150" s="4" t="n">
        <f aca="false">LEN(E5150)-LEN(SUBSTITUTE(E5150,",",""))+1</f>
        <v>4</v>
      </c>
      <c r="K5150" s="3" t="str">
        <f aca="false">IFERROR(INDEX('Teacher Lookup'!$B$2:$B$200,MATCH(A5150,'Teacher Lookup'!$A$2:$A$200,0)),"")</f>
        <v>LAMBERT Jenna</v>
      </c>
    </row>
    <row r="5151" customFormat="false" ht="15" hidden="false" customHeight="false" outlineLevel="0" collapsed="false">
      <c r="A5151" s="3" t="s">
        <v>440</v>
      </c>
      <c r="B5151" s="4" t="s">
        <v>50</v>
      </c>
      <c r="C5151" s="4" t="n">
        <v>6</v>
      </c>
      <c r="D5151" s="4" t="s">
        <v>124</v>
      </c>
      <c r="E5151" s="3" t="s">
        <v>146</v>
      </c>
      <c r="F5151" s="4" t="str">
        <f aca="false">IF(I5151&gt;J5151,"Y","N")</f>
        <v>N</v>
      </c>
      <c r="G5151" s="3" t="s">
        <v>164</v>
      </c>
      <c r="H5151" s="3" t="s">
        <v>42</v>
      </c>
      <c r="I5151" s="4" t="n">
        <v>4</v>
      </c>
      <c r="J5151" s="4" t="n">
        <f aca="false">LEN(E5151)-LEN(SUBSTITUTE(E5151,",",""))+1</f>
        <v>4</v>
      </c>
      <c r="K5151" s="3" t="str">
        <f aca="false">IFERROR(INDEX('Teacher Lookup'!$B$2:$B$200,MATCH(A5151,'Teacher Lookup'!$A$2:$A$200,0)),"")</f>
        <v>LAMBERT Jenna</v>
      </c>
    </row>
    <row r="5152" customFormat="false" ht="15" hidden="false" customHeight="false" outlineLevel="0" collapsed="false">
      <c r="A5152" s="3" t="s">
        <v>440</v>
      </c>
      <c r="B5152" s="4" t="s">
        <v>50</v>
      </c>
      <c r="C5152" s="4" t="n">
        <v>6</v>
      </c>
      <c r="D5152" s="4" t="s">
        <v>139</v>
      </c>
      <c r="E5152" s="3" t="s">
        <v>146</v>
      </c>
      <c r="F5152" s="4" t="str">
        <f aca="false">IF(I5152&gt;J5152,"Y","N")</f>
        <v>N</v>
      </c>
      <c r="G5152" s="3" t="s">
        <v>164</v>
      </c>
      <c r="H5152" s="3" t="s">
        <v>42</v>
      </c>
      <c r="I5152" s="4" t="n">
        <v>4</v>
      </c>
      <c r="J5152" s="4" t="n">
        <f aca="false">LEN(E5152)-LEN(SUBSTITUTE(E5152,",",""))+1</f>
        <v>4</v>
      </c>
      <c r="K5152" s="3" t="str">
        <f aca="false">IFERROR(INDEX('Teacher Lookup'!$B$2:$B$200,MATCH(A5152,'Teacher Lookup'!$A$2:$A$200,0)),"")</f>
        <v>LAMBERT Jenna</v>
      </c>
    </row>
    <row r="5153" customFormat="false" ht="15" hidden="false" customHeight="false" outlineLevel="0" collapsed="false">
      <c r="A5153" s="3" t="s">
        <v>440</v>
      </c>
      <c r="B5153" s="4" t="s">
        <v>50</v>
      </c>
      <c r="C5153" s="4" t="n">
        <v>7</v>
      </c>
      <c r="D5153" s="4" t="s">
        <v>140</v>
      </c>
      <c r="E5153" s="3" t="s">
        <v>144</v>
      </c>
      <c r="F5153" s="4" t="str">
        <f aca="false">IF(I5153&gt;J5153,"Y","N")</f>
        <v>N</v>
      </c>
      <c r="G5153" s="3" t="s">
        <v>164</v>
      </c>
      <c r="H5153" s="3" t="s">
        <v>39</v>
      </c>
      <c r="I5153" s="4" t="n">
        <v>4</v>
      </c>
      <c r="J5153" s="4" t="n">
        <f aca="false">LEN(E5153)-LEN(SUBSTITUTE(E5153,",",""))+1</f>
        <v>4</v>
      </c>
      <c r="K5153" s="3" t="str">
        <f aca="false">IFERROR(INDEX('Teacher Lookup'!$B$2:$B$200,MATCH(A5153,'Teacher Lookup'!$A$2:$A$200,0)),"")</f>
        <v>LAMBERT Jenna</v>
      </c>
    </row>
    <row r="5154" customFormat="false" ht="15" hidden="false" customHeight="false" outlineLevel="0" collapsed="false">
      <c r="A5154" s="3" t="s">
        <v>440</v>
      </c>
      <c r="B5154" s="4" t="s">
        <v>50</v>
      </c>
      <c r="C5154" s="4" t="n">
        <v>7</v>
      </c>
      <c r="D5154" s="4" t="s">
        <v>142</v>
      </c>
      <c r="E5154" s="3" t="s">
        <v>144</v>
      </c>
      <c r="F5154" s="4" t="str">
        <f aca="false">IF(I5154&gt;J5154,"Y","N")</f>
        <v>N</v>
      </c>
      <c r="G5154" s="3" t="s">
        <v>164</v>
      </c>
      <c r="H5154" s="3" t="s">
        <v>39</v>
      </c>
      <c r="I5154" s="4" t="n">
        <v>4</v>
      </c>
      <c r="J5154" s="4" t="n">
        <f aca="false">LEN(E5154)-LEN(SUBSTITUTE(E5154,",",""))+1</f>
        <v>4</v>
      </c>
      <c r="K5154" s="3" t="str">
        <f aca="false">IFERROR(INDEX('Teacher Lookup'!$B$2:$B$200,MATCH(A5154,'Teacher Lookup'!$A$2:$A$200,0)),"")</f>
        <v>LAMBERT Jenna</v>
      </c>
    </row>
    <row r="5155" customFormat="false" ht="15" hidden="false" customHeight="false" outlineLevel="0" collapsed="false">
      <c r="A5155" s="3" t="s">
        <v>440</v>
      </c>
      <c r="B5155" s="4" t="s">
        <v>50</v>
      </c>
      <c r="C5155" s="4" t="n">
        <v>7</v>
      </c>
      <c r="D5155" s="4" t="s">
        <v>127</v>
      </c>
      <c r="E5155" s="3" t="s">
        <v>144</v>
      </c>
      <c r="F5155" s="4" t="str">
        <f aca="false">IF(I5155&gt;J5155,"Y","N")</f>
        <v>N</v>
      </c>
      <c r="G5155" s="3" t="s">
        <v>164</v>
      </c>
      <c r="H5155" s="3" t="s">
        <v>39</v>
      </c>
      <c r="I5155" s="4" t="n">
        <v>4</v>
      </c>
      <c r="J5155" s="4" t="n">
        <f aca="false">LEN(E5155)-LEN(SUBSTITUTE(E5155,",",""))+1</f>
        <v>4</v>
      </c>
      <c r="K5155" s="3" t="str">
        <f aca="false">IFERROR(INDEX('Teacher Lookup'!$B$2:$B$200,MATCH(A5155,'Teacher Lookup'!$A$2:$A$200,0)),"")</f>
        <v>LAMBERT Jenna</v>
      </c>
    </row>
    <row r="5156" customFormat="false" ht="15" hidden="false" customHeight="false" outlineLevel="0" collapsed="false">
      <c r="A5156" s="3" t="s">
        <v>440</v>
      </c>
      <c r="B5156" s="4" t="s">
        <v>60</v>
      </c>
      <c r="C5156" s="4" t="n">
        <v>1</v>
      </c>
      <c r="D5156" s="4" t="s">
        <v>57</v>
      </c>
      <c r="E5156" s="3" t="s">
        <v>178</v>
      </c>
      <c r="F5156" s="4" t="str">
        <f aca="false">IF(I5156&gt;J5156,"Y","N")</f>
        <v>N</v>
      </c>
      <c r="G5156" s="3" t="s">
        <v>164</v>
      </c>
      <c r="H5156" s="3" t="s">
        <v>16</v>
      </c>
      <c r="I5156" s="4" t="n">
        <v>4</v>
      </c>
      <c r="J5156" s="4" t="n">
        <f aca="false">LEN(E5156)-LEN(SUBSTITUTE(E5156,",",""))+1</f>
        <v>4</v>
      </c>
      <c r="K5156" s="3" t="str">
        <f aca="false">IFERROR(INDEX('Teacher Lookup'!$B$2:$B$200,MATCH(A5156,'Teacher Lookup'!$A$2:$A$200,0)),"")</f>
        <v>LAMBERT Jenna</v>
      </c>
    </row>
    <row r="5157" customFormat="false" ht="15" hidden="false" customHeight="false" outlineLevel="0" collapsed="false">
      <c r="A5157" s="3" t="s">
        <v>440</v>
      </c>
      <c r="B5157" s="4" t="s">
        <v>60</v>
      </c>
      <c r="C5157" s="4" t="n">
        <v>1</v>
      </c>
      <c r="D5157" s="4" t="s">
        <v>58</v>
      </c>
      <c r="E5157" s="3" t="s">
        <v>178</v>
      </c>
      <c r="F5157" s="4" t="str">
        <f aca="false">IF(I5157&gt;J5157,"Y","N")</f>
        <v>N</v>
      </c>
      <c r="G5157" s="3" t="s">
        <v>164</v>
      </c>
      <c r="H5157" s="3" t="s">
        <v>16</v>
      </c>
      <c r="I5157" s="4" t="n">
        <v>4</v>
      </c>
      <c r="J5157" s="4" t="n">
        <f aca="false">LEN(E5157)-LEN(SUBSTITUTE(E5157,",",""))+1</f>
        <v>4</v>
      </c>
      <c r="K5157" s="3" t="str">
        <f aca="false">IFERROR(INDEX('Teacher Lookup'!$B$2:$B$200,MATCH(A5157,'Teacher Lookup'!$A$2:$A$200,0)),"")</f>
        <v>LAMBERT Jenna</v>
      </c>
    </row>
    <row r="5158" customFormat="false" ht="15" hidden="false" customHeight="false" outlineLevel="0" collapsed="false">
      <c r="A5158" s="3" t="s">
        <v>440</v>
      </c>
      <c r="B5158" s="4" t="s">
        <v>60</v>
      </c>
      <c r="C5158" s="4" t="n">
        <v>1</v>
      </c>
      <c r="D5158" s="4" t="s">
        <v>59</v>
      </c>
      <c r="E5158" s="3" t="s">
        <v>178</v>
      </c>
      <c r="F5158" s="4" t="str">
        <f aca="false">IF(I5158&gt;J5158,"Y","N")</f>
        <v>N</v>
      </c>
      <c r="G5158" s="3" t="s">
        <v>164</v>
      </c>
      <c r="H5158" s="3" t="s">
        <v>16</v>
      </c>
      <c r="I5158" s="4" t="n">
        <v>4</v>
      </c>
      <c r="J5158" s="4" t="n">
        <f aca="false">LEN(E5158)-LEN(SUBSTITUTE(E5158,",",""))+1</f>
        <v>4</v>
      </c>
      <c r="K5158" s="3" t="str">
        <f aca="false">IFERROR(INDEX('Teacher Lookup'!$B$2:$B$200,MATCH(A5158,'Teacher Lookup'!$A$2:$A$200,0)),"")</f>
        <v>LAMBERT Jenna</v>
      </c>
    </row>
    <row r="5159" customFormat="false" ht="15" hidden="false" customHeight="false" outlineLevel="0" collapsed="false">
      <c r="A5159" s="3" t="s">
        <v>440</v>
      </c>
      <c r="B5159" s="4" t="s">
        <v>60</v>
      </c>
      <c r="C5159" s="4" t="n">
        <v>3</v>
      </c>
      <c r="D5159" s="4" t="s">
        <v>137</v>
      </c>
      <c r="E5159" s="3" t="s">
        <v>189</v>
      </c>
      <c r="F5159" s="4" t="str">
        <f aca="false">IF(I5159&gt;J5159,"Y","N")</f>
        <v>N</v>
      </c>
      <c r="G5159" s="3" t="s">
        <v>164</v>
      </c>
      <c r="H5159" s="3" t="s">
        <v>26</v>
      </c>
      <c r="I5159" s="4" t="n">
        <v>4</v>
      </c>
      <c r="J5159" s="4" t="n">
        <f aca="false">LEN(E5159)-LEN(SUBSTITUTE(E5159,",",""))+1</f>
        <v>4</v>
      </c>
      <c r="K5159" s="3" t="str">
        <f aca="false">IFERROR(INDEX('Teacher Lookup'!$B$2:$B$200,MATCH(A5159,'Teacher Lookup'!$A$2:$A$200,0)),"")</f>
        <v>LAMBERT Jenna</v>
      </c>
    </row>
    <row r="5160" customFormat="false" ht="15" hidden="false" customHeight="false" outlineLevel="0" collapsed="false">
      <c r="A5160" s="3" t="s">
        <v>440</v>
      </c>
      <c r="B5160" s="4" t="s">
        <v>60</v>
      </c>
      <c r="C5160" s="4" t="n">
        <v>3</v>
      </c>
      <c r="D5160" s="4" t="s">
        <v>124</v>
      </c>
      <c r="E5160" s="3" t="s">
        <v>189</v>
      </c>
      <c r="F5160" s="4" t="str">
        <f aca="false">IF(I5160&gt;J5160,"Y","N")</f>
        <v>N</v>
      </c>
      <c r="G5160" s="3" t="s">
        <v>164</v>
      </c>
      <c r="H5160" s="3" t="s">
        <v>26</v>
      </c>
      <c r="I5160" s="4" t="n">
        <v>4</v>
      </c>
      <c r="J5160" s="4" t="n">
        <f aca="false">LEN(E5160)-LEN(SUBSTITUTE(E5160,",",""))+1</f>
        <v>4</v>
      </c>
      <c r="K5160" s="3" t="str">
        <f aca="false">IFERROR(INDEX('Teacher Lookup'!$B$2:$B$200,MATCH(A5160,'Teacher Lookup'!$A$2:$A$200,0)),"")</f>
        <v>LAMBERT Jenna</v>
      </c>
    </row>
    <row r="5161" customFormat="false" ht="15" hidden="false" customHeight="false" outlineLevel="0" collapsed="false">
      <c r="A5161" s="3" t="s">
        <v>440</v>
      </c>
      <c r="B5161" s="4" t="s">
        <v>60</v>
      </c>
      <c r="C5161" s="4" t="n">
        <v>3</v>
      </c>
      <c r="D5161" s="4" t="s">
        <v>139</v>
      </c>
      <c r="E5161" s="3" t="s">
        <v>189</v>
      </c>
      <c r="F5161" s="4" t="str">
        <f aca="false">IF(I5161&gt;J5161,"Y","N")</f>
        <v>N</v>
      </c>
      <c r="G5161" s="3" t="s">
        <v>164</v>
      </c>
      <c r="H5161" s="3" t="s">
        <v>26</v>
      </c>
      <c r="I5161" s="4" t="n">
        <v>4</v>
      </c>
      <c r="J5161" s="4" t="n">
        <f aca="false">LEN(E5161)-LEN(SUBSTITUTE(E5161,",",""))+1</f>
        <v>4</v>
      </c>
      <c r="K5161" s="3" t="str">
        <f aca="false">IFERROR(INDEX('Teacher Lookup'!$B$2:$B$200,MATCH(A5161,'Teacher Lookup'!$A$2:$A$200,0)),"")</f>
        <v>LAMBERT Jenna</v>
      </c>
    </row>
    <row r="5162" customFormat="false" ht="15" hidden="false" customHeight="false" outlineLevel="0" collapsed="false">
      <c r="A5162" s="3" t="s">
        <v>440</v>
      </c>
      <c r="B5162" s="4" t="s">
        <v>60</v>
      </c>
      <c r="C5162" s="4" t="n">
        <v>5</v>
      </c>
      <c r="D5162" s="4" t="s">
        <v>137</v>
      </c>
      <c r="E5162" s="3" t="s">
        <v>185</v>
      </c>
      <c r="F5162" s="4" t="str">
        <f aca="false">IF(I5162&gt;J5162,"Y","N")</f>
        <v>Y</v>
      </c>
      <c r="G5162" s="3" t="s">
        <v>36</v>
      </c>
      <c r="H5162" s="3" t="s">
        <v>37</v>
      </c>
      <c r="I5162" s="4" t="n">
        <v>21</v>
      </c>
      <c r="J5162" s="4" t="n">
        <f aca="false">LEN(E5162)-LEN(SUBSTITUTE(E5162,",",""))+1</f>
        <v>7</v>
      </c>
      <c r="K5162" s="3" t="str">
        <f aca="false">IFERROR(INDEX('Teacher Lookup'!$B$2:$B$200,MATCH(A5162,'Teacher Lookup'!$A$2:$A$200,0)),"")</f>
        <v>LAMBERT Jenna</v>
      </c>
    </row>
    <row r="5163" customFormat="false" ht="15" hidden="false" customHeight="false" outlineLevel="0" collapsed="false">
      <c r="A5163" s="3" t="s">
        <v>440</v>
      </c>
      <c r="B5163" s="4" t="s">
        <v>60</v>
      </c>
      <c r="C5163" s="4" t="n">
        <v>5</v>
      </c>
      <c r="D5163" s="4" t="s">
        <v>124</v>
      </c>
      <c r="E5163" s="3" t="s">
        <v>185</v>
      </c>
      <c r="F5163" s="4" t="str">
        <f aca="false">IF(I5163&gt;J5163,"Y","N")</f>
        <v>Y</v>
      </c>
      <c r="G5163" s="3" t="s">
        <v>36</v>
      </c>
      <c r="H5163" s="3" t="s">
        <v>37</v>
      </c>
      <c r="I5163" s="4" t="n">
        <v>21</v>
      </c>
      <c r="J5163" s="4" t="n">
        <f aca="false">LEN(E5163)-LEN(SUBSTITUTE(E5163,",",""))+1</f>
        <v>7</v>
      </c>
      <c r="K5163" s="3" t="str">
        <f aca="false">IFERROR(INDEX('Teacher Lookup'!$B$2:$B$200,MATCH(A5163,'Teacher Lookup'!$A$2:$A$200,0)),"")</f>
        <v>LAMBERT Jenna</v>
      </c>
    </row>
    <row r="5164" customFormat="false" ht="15" hidden="false" customHeight="false" outlineLevel="0" collapsed="false">
      <c r="A5164" s="3" t="s">
        <v>440</v>
      </c>
      <c r="B5164" s="4" t="s">
        <v>60</v>
      </c>
      <c r="C5164" s="4" t="n">
        <v>5</v>
      </c>
      <c r="D5164" s="4" t="s">
        <v>139</v>
      </c>
      <c r="E5164" s="3" t="s">
        <v>185</v>
      </c>
      <c r="F5164" s="4" t="str">
        <f aca="false">IF(I5164&gt;J5164,"Y","N")</f>
        <v>Y</v>
      </c>
      <c r="G5164" s="3" t="s">
        <v>36</v>
      </c>
      <c r="H5164" s="3" t="s">
        <v>37</v>
      </c>
      <c r="I5164" s="4" t="n">
        <v>21</v>
      </c>
      <c r="J5164" s="4" t="n">
        <f aca="false">LEN(E5164)-LEN(SUBSTITUTE(E5164,",",""))+1</f>
        <v>7</v>
      </c>
      <c r="K5164" s="3" t="str">
        <f aca="false">IFERROR(INDEX('Teacher Lookup'!$B$2:$B$200,MATCH(A5164,'Teacher Lookup'!$A$2:$A$200,0)),"")</f>
        <v>LAMBERT Jenna</v>
      </c>
    </row>
    <row r="5165" customFormat="false" ht="15" hidden="false" customHeight="false" outlineLevel="0" collapsed="false">
      <c r="A5165" s="3" t="s">
        <v>440</v>
      </c>
      <c r="B5165" s="4" t="s">
        <v>60</v>
      </c>
      <c r="C5165" s="4" t="n">
        <v>5</v>
      </c>
      <c r="D5165" s="4" t="s">
        <v>140</v>
      </c>
      <c r="E5165" s="3" t="s">
        <v>185</v>
      </c>
      <c r="F5165" s="4" t="str">
        <f aca="false">IF(I5165&gt;J5165,"Y","N")</f>
        <v>Y</v>
      </c>
      <c r="G5165" s="3" t="s">
        <v>36</v>
      </c>
      <c r="H5165" s="3" t="s">
        <v>37</v>
      </c>
      <c r="I5165" s="4" t="n">
        <v>21</v>
      </c>
      <c r="J5165" s="4" t="n">
        <f aca="false">LEN(E5165)-LEN(SUBSTITUTE(E5165,",",""))+1</f>
        <v>7</v>
      </c>
      <c r="K5165" s="3" t="str">
        <f aca="false">IFERROR(INDEX('Teacher Lookup'!$B$2:$B$200,MATCH(A5165,'Teacher Lookup'!$A$2:$A$200,0)),"")</f>
        <v>LAMBERT Jenna</v>
      </c>
    </row>
    <row r="5166" customFormat="false" ht="15" hidden="false" customHeight="false" outlineLevel="0" collapsed="false">
      <c r="A5166" s="3" t="s">
        <v>440</v>
      </c>
      <c r="B5166" s="4" t="s">
        <v>60</v>
      </c>
      <c r="C5166" s="4" t="n">
        <v>5</v>
      </c>
      <c r="D5166" s="4" t="s">
        <v>142</v>
      </c>
      <c r="E5166" s="3" t="s">
        <v>185</v>
      </c>
      <c r="F5166" s="4" t="str">
        <f aca="false">IF(I5166&gt;J5166,"Y","N")</f>
        <v>Y</v>
      </c>
      <c r="G5166" s="3" t="s">
        <v>36</v>
      </c>
      <c r="H5166" s="3" t="s">
        <v>37</v>
      </c>
      <c r="I5166" s="4" t="n">
        <v>21</v>
      </c>
      <c r="J5166" s="4" t="n">
        <f aca="false">LEN(E5166)-LEN(SUBSTITUTE(E5166,",",""))+1</f>
        <v>7</v>
      </c>
      <c r="K5166" s="3" t="str">
        <f aca="false">IFERROR(INDEX('Teacher Lookup'!$B$2:$B$200,MATCH(A5166,'Teacher Lookup'!$A$2:$A$200,0)),"")</f>
        <v>LAMBERT Jenna</v>
      </c>
    </row>
    <row r="5167" customFormat="false" ht="15" hidden="false" customHeight="false" outlineLevel="0" collapsed="false">
      <c r="A5167" s="3" t="s">
        <v>440</v>
      </c>
      <c r="B5167" s="4" t="s">
        <v>60</v>
      </c>
      <c r="C5167" s="4" t="n">
        <v>5</v>
      </c>
      <c r="D5167" s="4" t="s">
        <v>127</v>
      </c>
      <c r="E5167" s="3" t="s">
        <v>185</v>
      </c>
      <c r="F5167" s="4" t="str">
        <f aca="false">IF(I5167&gt;J5167,"Y","N")</f>
        <v>Y</v>
      </c>
      <c r="G5167" s="3" t="s">
        <v>36</v>
      </c>
      <c r="H5167" s="3" t="s">
        <v>37</v>
      </c>
      <c r="I5167" s="4" t="n">
        <v>21</v>
      </c>
      <c r="J5167" s="4" t="n">
        <f aca="false">LEN(E5167)-LEN(SUBSTITUTE(E5167,",",""))+1</f>
        <v>7</v>
      </c>
      <c r="K5167" s="3" t="str">
        <f aca="false">IFERROR(INDEX('Teacher Lookup'!$B$2:$B$200,MATCH(A5167,'Teacher Lookup'!$A$2:$A$200,0)),"")</f>
        <v>LAMBERT Jenna</v>
      </c>
    </row>
    <row r="5168" customFormat="false" ht="15" hidden="false" customHeight="false" outlineLevel="0" collapsed="false">
      <c r="A5168" s="3" t="s">
        <v>440</v>
      </c>
      <c r="B5168" s="4" t="s">
        <v>60</v>
      </c>
      <c r="C5168" s="4" t="n">
        <v>7</v>
      </c>
      <c r="D5168" s="4" t="s">
        <v>140</v>
      </c>
      <c r="E5168" s="3" t="s">
        <v>141</v>
      </c>
      <c r="F5168" s="4" t="str">
        <f aca="false">IF(I5168&gt;J5168,"Y","N")</f>
        <v>N</v>
      </c>
      <c r="G5168" s="3" t="s">
        <v>164</v>
      </c>
      <c r="H5168" s="3" t="s">
        <v>39</v>
      </c>
      <c r="I5168" s="4" t="n">
        <v>4</v>
      </c>
      <c r="J5168" s="4" t="n">
        <f aca="false">LEN(E5168)-LEN(SUBSTITUTE(E5168,",",""))+1</f>
        <v>4</v>
      </c>
      <c r="K5168" s="3" t="str">
        <f aca="false">IFERROR(INDEX('Teacher Lookup'!$B$2:$B$200,MATCH(A5168,'Teacher Lookup'!$A$2:$A$200,0)),"")</f>
        <v>LAMBERT Jenna</v>
      </c>
    </row>
    <row r="5169" customFormat="false" ht="15" hidden="false" customHeight="false" outlineLevel="0" collapsed="false">
      <c r="A5169" s="3" t="s">
        <v>440</v>
      </c>
      <c r="B5169" s="4" t="s">
        <v>60</v>
      </c>
      <c r="C5169" s="4" t="n">
        <v>7</v>
      </c>
      <c r="D5169" s="4" t="s">
        <v>142</v>
      </c>
      <c r="E5169" s="3" t="s">
        <v>141</v>
      </c>
      <c r="F5169" s="4" t="str">
        <f aca="false">IF(I5169&gt;J5169,"Y","N")</f>
        <v>N</v>
      </c>
      <c r="G5169" s="3" t="s">
        <v>164</v>
      </c>
      <c r="H5169" s="3" t="s">
        <v>39</v>
      </c>
      <c r="I5169" s="4" t="n">
        <v>4</v>
      </c>
      <c r="J5169" s="4" t="n">
        <f aca="false">LEN(E5169)-LEN(SUBSTITUTE(E5169,",",""))+1</f>
        <v>4</v>
      </c>
      <c r="K5169" s="3" t="str">
        <f aca="false">IFERROR(INDEX('Teacher Lookup'!$B$2:$B$200,MATCH(A5169,'Teacher Lookup'!$A$2:$A$200,0)),"")</f>
        <v>LAMBERT Jenna</v>
      </c>
    </row>
    <row r="5170" customFormat="false" ht="15" hidden="false" customHeight="false" outlineLevel="0" collapsed="false">
      <c r="A5170" s="3" t="s">
        <v>440</v>
      </c>
      <c r="B5170" s="4" t="s">
        <v>60</v>
      </c>
      <c r="C5170" s="4" t="n">
        <v>7</v>
      </c>
      <c r="D5170" s="4" t="s">
        <v>127</v>
      </c>
      <c r="E5170" s="3" t="s">
        <v>141</v>
      </c>
      <c r="F5170" s="4" t="str">
        <f aca="false">IF(I5170&gt;J5170,"Y","N")</f>
        <v>N</v>
      </c>
      <c r="G5170" s="3" t="s">
        <v>164</v>
      </c>
      <c r="H5170" s="3" t="s">
        <v>39</v>
      </c>
      <c r="I5170" s="4" t="n">
        <v>4</v>
      </c>
      <c r="J5170" s="4" t="n">
        <f aca="false">LEN(E5170)-LEN(SUBSTITUTE(E5170,",",""))+1</f>
        <v>4</v>
      </c>
      <c r="K5170" s="3" t="str">
        <f aca="false">IFERROR(INDEX('Teacher Lookup'!$B$2:$B$200,MATCH(A5170,'Teacher Lookup'!$A$2:$A$200,0)),"")</f>
        <v>LAMBERT Jenna</v>
      </c>
    </row>
    <row r="5171" customFormat="false" ht="15" hidden="false" customHeight="false" outlineLevel="0" collapsed="false">
      <c r="A5171" s="3" t="s">
        <v>440</v>
      </c>
      <c r="B5171" s="4" t="s">
        <v>63</v>
      </c>
      <c r="C5171" s="4" t="n">
        <v>1</v>
      </c>
      <c r="D5171" s="4" t="s">
        <v>57</v>
      </c>
      <c r="E5171" s="3" t="s">
        <v>179</v>
      </c>
      <c r="F5171" s="4" t="str">
        <f aca="false">IF(I5171&gt;J5171,"Y","N")</f>
        <v>N</v>
      </c>
      <c r="G5171" s="3" t="s">
        <v>164</v>
      </c>
      <c r="H5171" s="3" t="s">
        <v>16</v>
      </c>
      <c r="I5171" s="4" t="n">
        <v>4</v>
      </c>
      <c r="J5171" s="4" t="n">
        <f aca="false">LEN(E5171)-LEN(SUBSTITUTE(E5171,",",""))+1</f>
        <v>4</v>
      </c>
      <c r="K5171" s="3" t="str">
        <f aca="false">IFERROR(INDEX('Teacher Lookup'!$B$2:$B$200,MATCH(A5171,'Teacher Lookup'!$A$2:$A$200,0)),"")</f>
        <v>LAMBERT Jenna</v>
      </c>
    </row>
    <row r="5172" customFormat="false" ht="15" hidden="false" customHeight="false" outlineLevel="0" collapsed="false">
      <c r="A5172" s="3" t="s">
        <v>440</v>
      </c>
      <c r="B5172" s="4" t="s">
        <v>63</v>
      </c>
      <c r="C5172" s="4" t="n">
        <v>1</v>
      </c>
      <c r="D5172" s="4" t="s">
        <v>58</v>
      </c>
      <c r="E5172" s="3" t="s">
        <v>179</v>
      </c>
      <c r="F5172" s="4" t="str">
        <f aca="false">IF(I5172&gt;J5172,"Y","N")</f>
        <v>N</v>
      </c>
      <c r="G5172" s="3" t="s">
        <v>164</v>
      </c>
      <c r="H5172" s="3" t="s">
        <v>16</v>
      </c>
      <c r="I5172" s="4" t="n">
        <v>4</v>
      </c>
      <c r="J5172" s="4" t="n">
        <f aca="false">LEN(E5172)-LEN(SUBSTITUTE(E5172,",",""))+1</f>
        <v>4</v>
      </c>
      <c r="K5172" s="3" t="str">
        <f aca="false">IFERROR(INDEX('Teacher Lookup'!$B$2:$B$200,MATCH(A5172,'Teacher Lookup'!$A$2:$A$200,0)),"")</f>
        <v>LAMBERT Jenna</v>
      </c>
    </row>
    <row r="5173" customFormat="false" ht="15" hidden="false" customHeight="false" outlineLevel="0" collapsed="false">
      <c r="A5173" s="3" t="s">
        <v>440</v>
      </c>
      <c r="B5173" s="4" t="s">
        <v>63</v>
      </c>
      <c r="C5173" s="4" t="n">
        <v>1</v>
      </c>
      <c r="D5173" s="4" t="s">
        <v>59</v>
      </c>
      <c r="E5173" s="3" t="s">
        <v>179</v>
      </c>
      <c r="F5173" s="4" t="str">
        <f aca="false">IF(I5173&gt;J5173,"Y","N")</f>
        <v>N</v>
      </c>
      <c r="G5173" s="3" t="s">
        <v>164</v>
      </c>
      <c r="H5173" s="3" t="s">
        <v>16</v>
      </c>
      <c r="I5173" s="4" t="n">
        <v>4</v>
      </c>
      <c r="J5173" s="4" t="n">
        <f aca="false">LEN(E5173)-LEN(SUBSTITUTE(E5173,",",""))+1</f>
        <v>4</v>
      </c>
      <c r="K5173" s="3" t="str">
        <f aca="false">IFERROR(INDEX('Teacher Lookup'!$B$2:$B$200,MATCH(A5173,'Teacher Lookup'!$A$2:$A$200,0)),"")</f>
        <v>LAMBERT Jenna</v>
      </c>
    </row>
    <row r="5174" customFormat="false" ht="15" hidden="false" customHeight="false" outlineLevel="0" collapsed="false">
      <c r="A5174" s="3" t="s">
        <v>440</v>
      </c>
      <c r="B5174" s="4" t="s">
        <v>63</v>
      </c>
      <c r="C5174" s="4" t="n">
        <v>2</v>
      </c>
      <c r="D5174" s="4" t="s">
        <v>57</v>
      </c>
      <c r="E5174" s="3" t="s">
        <v>179</v>
      </c>
      <c r="F5174" s="4" t="str">
        <f aca="false">IF(I5174&gt;J5174,"Y","N")</f>
        <v>N</v>
      </c>
      <c r="G5174" s="3" t="s">
        <v>164</v>
      </c>
      <c r="H5174" s="3" t="s">
        <v>21</v>
      </c>
      <c r="I5174" s="4" t="n">
        <v>4</v>
      </c>
      <c r="J5174" s="4" t="n">
        <f aca="false">LEN(E5174)-LEN(SUBSTITUTE(E5174,",",""))+1</f>
        <v>4</v>
      </c>
      <c r="K5174" s="3" t="str">
        <f aca="false">IFERROR(INDEX('Teacher Lookup'!$B$2:$B$200,MATCH(A5174,'Teacher Lookup'!$A$2:$A$200,0)),"")</f>
        <v>LAMBERT Jenna</v>
      </c>
    </row>
    <row r="5175" customFormat="false" ht="15" hidden="false" customHeight="false" outlineLevel="0" collapsed="false">
      <c r="A5175" s="3" t="s">
        <v>440</v>
      </c>
      <c r="B5175" s="4" t="s">
        <v>63</v>
      </c>
      <c r="C5175" s="4" t="n">
        <v>2</v>
      </c>
      <c r="D5175" s="4" t="s">
        <v>58</v>
      </c>
      <c r="E5175" s="3" t="s">
        <v>179</v>
      </c>
      <c r="F5175" s="4" t="str">
        <f aca="false">IF(I5175&gt;J5175,"Y","N")</f>
        <v>N</v>
      </c>
      <c r="G5175" s="3" t="s">
        <v>164</v>
      </c>
      <c r="H5175" s="3" t="s">
        <v>21</v>
      </c>
      <c r="I5175" s="4" t="n">
        <v>4</v>
      </c>
      <c r="J5175" s="4" t="n">
        <f aca="false">LEN(E5175)-LEN(SUBSTITUTE(E5175,",",""))+1</f>
        <v>4</v>
      </c>
      <c r="K5175" s="3" t="str">
        <f aca="false">IFERROR(INDEX('Teacher Lookup'!$B$2:$B$200,MATCH(A5175,'Teacher Lookup'!$A$2:$A$200,0)),"")</f>
        <v>LAMBERT Jenna</v>
      </c>
    </row>
    <row r="5176" customFormat="false" ht="15" hidden="false" customHeight="false" outlineLevel="0" collapsed="false">
      <c r="A5176" s="3" t="s">
        <v>440</v>
      </c>
      <c r="B5176" s="4" t="s">
        <v>63</v>
      </c>
      <c r="C5176" s="4" t="n">
        <v>2</v>
      </c>
      <c r="D5176" s="4" t="s">
        <v>59</v>
      </c>
      <c r="E5176" s="3" t="s">
        <v>179</v>
      </c>
      <c r="F5176" s="4" t="str">
        <f aca="false">IF(I5176&gt;J5176,"Y","N")</f>
        <v>N</v>
      </c>
      <c r="G5176" s="3" t="s">
        <v>164</v>
      </c>
      <c r="H5176" s="3" t="s">
        <v>21</v>
      </c>
      <c r="I5176" s="4" t="n">
        <v>4</v>
      </c>
      <c r="J5176" s="4" t="n">
        <f aca="false">LEN(E5176)-LEN(SUBSTITUTE(E5176,",",""))+1</f>
        <v>4</v>
      </c>
      <c r="K5176" s="3" t="str">
        <f aca="false">IFERROR(INDEX('Teacher Lookup'!$B$2:$B$200,MATCH(A5176,'Teacher Lookup'!$A$2:$A$200,0)),"")</f>
        <v>LAMBERT Jenna</v>
      </c>
    </row>
    <row r="5177" customFormat="false" ht="15" hidden="false" customHeight="false" outlineLevel="0" collapsed="false">
      <c r="A5177" s="3" t="s">
        <v>440</v>
      </c>
      <c r="B5177" s="4" t="s">
        <v>63</v>
      </c>
      <c r="C5177" s="4" t="n">
        <v>5</v>
      </c>
      <c r="D5177" s="4" t="s">
        <v>137</v>
      </c>
      <c r="E5177" s="3" t="s">
        <v>186</v>
      </c>
      <c r="F5177" s="4" t="str">
        <f aca="false">IF(I5177&gt;J5177,"Y","N")</f>
        <v>N</v>
      </c>
      <c r="G5177" s="3" t="s">
        <v>164</v>
      </c>
      <c r="H5177" s="3" t="s">
        <v>37</v>
      </c>
      <c r="I5177" s="4" t="n">
        <v>4</v>
      </c>
      <c r="J5177" s="4" t="n">
        <f aca="false">LEN(E5177)-LEN(SUBSTITUTE(E5177,",",""))+1</f>
        <v>4</v>
      </c>
      <c r="K5177" s="3" t="str">
        <f aca="false">IFERROR(INDEX('Teacher Lookup'!$B$2:$B$200,MATCH(A5177,'Teacher Lookup'!$A$2:$A$200,0)),"")</f>
        <v>LAMBERT Jenna</v>
      </c>
    </row>
    <row r="5178" customFormat="false" ht="15" hidden="false" customHeight="false" outlineLevel="0" collapsed="false">
      <c r="A5178" s="3" t="s">
        <v>440</v>
      </c>
      <c r="B5178" s="4" t="s">
        <v>63</v>
      </c>
      <c r="C5178" s="4" t="n">
        <v>5</v>
      </c>
      <c r="D5178" s="4" t="s">
        <v>124</v>
      </c>
      <c r="E5178" s="3" t="s">
        <v>186</v>
      </c>
      <c r="F5178" s="4" t="str">
        <f aca="false">IF(I5178&gt;J5178,"Y","N")</f>
        <v>N</v>
      </c>
      <c r="G5178" s="3" t="s">
        <v>164</v>
      </c>
      <c r="H5178" s="3" t="s">
        <v>37</v>
      </c>
      <c r="I5178" s="4" t="n">
        <v>4</v>
      </c>
      <c r="J5178" s="4" t="n">
        <f aca="false">LEN(E5178)-LEN(SUBSTITUTE(E5178,",",""))+1</f>
        <v>4</v>
      </c>
      <c r="K5178" s="3" t="str">
        <f aca="false">IFERROR(INDEX('Teacher Lookup'!$B$2:$B$200,MATCH(A5178,'Teacher Lookup'!$A$2:$A$200,0)),"")</f>
        <v>LAMBERT Jenna</v>
      </c>
    </row>
    <row r="5179" customFormat="false" ht="15" hidden="false" customHeight="false" outlineLevel="0" collapsed="false">
      <c r="A5179" s="3" t="s">
        <v>440</v>
      </c>
      <c r="B5179" s="4" t="s">
        <v>63</v>
      </c>
      <c r="C5179" s="4" t="n">
        <v>5</v>
      </c>
      <c r="D5179" s="4" t="s">
        <v>139</v>
      </c>
      <c r="E5179" s="3" t="s">
        <v>186</v>
      </c>
      <c r="F5179" s="4" t="str">
        <f aca="false">IF(I5179&gt;J5179,"Y","N")</f>
        <v>N</v>
      </c>
      <c r="G5179" s="3" t="s">
        <v>164</v>
      </c>
      <c r="H5179" s="3" t="s">
        <v>37</v>
      </c>
      <c r="I5179" s="4" t="n">
        <v>4</v>
      </c>
      <c r="J5179" s="4" t="n">
        <f aca="false">LEN(E5179)-LEN(SUBSTITUTE(E5179,",",""))+1</f>
        <v>4</v>
      </c>
      <c r="K5179" s="3" t="str">
        <f aca="false">IFERROR(INDEX('Teacher Lookup'!$B$2:$B$200,MATCH(A5179,'Teacher Lookup'!$A$2:$A$200,0)),"")</f>
        <v>LAMBERT Jenna</v>
      </c>
    </row>
    <row r="5180" customFormat="false" ht="15" hidden="false" customHeight="false" outlineLevel="0" collapsed="false">
      <c r="A5180" s="3" t="s">
        <v>440</v>
      </c>
      <c r="B5180" s="4" t="s">
        <v>63</v>
      </c>
      <c r="C5180" s="4" t="n">
        <v>7</v>
      </c>
      <c r="D5180" s="4" t="s">
        <v>140</v>
      </c>
      <c r="E5180" s="3" t="s">
        <v>152</v>
      </c>
      <c r="F5180" s="4" t="str">
        <f aca="false">IF(I5180&gt;J5180,"Y","N")</f>
        <v>N</v>
      </c>
      <c r="G5180" s="3" t="s">
        <v>164</v>
      </c>
      <c r="H5180" s="3" t="s">
        <v>39</v>
      </c>
      <c r="I5180" s="4" t="n">
        <v>4</v>
      </c>
      <c r="J5180" s="4" t="n">
        <f aca="false">LEN(E5180)-LEN(SUBSTITUTE(E5180,",",""))+1</f>
        <v>4</v>
      </c>
      <c r="K5180" s="3" t="str">
        <f aca="false">IFERROR(INDEX('Teacher Lookup'!$B$2:$B$200,MATCH(A5180,'Teacher Lookup'!$A$2:$A$200,0)),"")</f>
        <v>LAMBERT Jenna</v>
      </c>
    </row>
    <row r="5181" customFormat="false" ht="15" hidden="false" customHeight="false" outlineLevel="0" collapsed="false">
      <c r="A5181" s="3" t="s">
        <v>440</v>
      </c>
      <c r="B5181" s="4" t="s">
        <v>63</v>
      </c>
      <c r="C5181" s="4" t="n">
        <v>7</v>
      </c>
      <c r="D5181" s="4" t="s">
        <v>142</v>
      </c>
      <c r="E5181" s="3" t="s">
        <v>152</v>
      </c>
      <c r="F5181" s="4" t="str">
        <f aca="false">IF(I5181&gt;J5181,"Y","N")</f>
        <v>N</v>
      </c>
      <c r="G5181" s="3" t="s">
        <v>164</v>
      </c>
      <c r="H5181" s="3" t="s">
        <v>39</v>
      </c>
      <c r="I5181" s="4" t="n">
        <v>4</v>
      </c>
      <c r="J5181" s="4" t="n">
        <f aca="false">LEN(E5181)-LEN(SUBSTITUTE(E5181,",",""))+1</f>
        <v>4</v>
      </c>
      <c r="K5181" s="3" t="str">
        <f aca="false">IFERROR(INDEX('Teacher Lookup'!$B$2:$B$200,MATCH(A5181,'Teacher Lookup'!$A$2:$A$200,0)),"")</f>
        <v>LAMBERT Jenna</v>
      </c>
    </row>
    <row r="5182" customFormat="false" ht="15" hidden="false" customHeight="false" outlineLevel="0" collapsed="false">
      <c r="A5182" s="3" t="s">
        <v>440</v>
      </c>
      <c r="B5182" s="4" t="s">
        <v>63</v>
      </c>
      <c r="C5182" s="4" t="n">
        <v>7</v>
      </c>
      <c r="D5182" s="4" t="s">
        <v>127</v>
      </c>
      <c r="E5182" s="3" t="s">
        <v>152</v>
      </c>
      <c r="F5182" s="4" t="str">
        <f aca="false">IF(I5182&gt;J5182,"Y","N")</f>
        <v>N</v>
      </c>
      <c r="G5182" s="3" t="s">
        <v>164</v>
      </c>
      <c r="H5182" s="3" t="s">
        <v>39</v>
      </c>
      <c r="I5182" s="4" t="n">
        <v>4</v>
      </c>
      <c r="J5182" s="4" t="n">
        <f aca="false">LEN(E5182)-LEN(SUBSTITUTE(E5182,",",""))+1</f>
        <v>4</v>
      </c>
      <c r="K5182" s="3" t="str">
        <f aca="false">IFERROR(INDEX('Teacher Lookup'!$B$2:$B$200,MATCH(A5182,'Teacher Lookup'!$A$2:$A$200,0)),"")</f>
        <v>LAMBERT Jenna</v>
      </c>
    </row>
    <row r="5183" customFormat="false" ht="15" hidden="false" customHeight="false" outlineLevel="0" collapsed="false">
      <c r="A5183" s="3" t="s">
        <v>440</v>
      </c>
      <c r="B5183" s="4" t="s">
        <v>65</v>
      </c>
      <c r="C5183" s="4" t="n">
        <v>2</v>
      </c>
      <c r="D5183" s="4" t="s">
        <v>137</v>
      </c>
      <c r="E5183" s="3" t="s">
        <v>146</v>
      </c>
      <c r="F5183" s="4" t="str">
        <f aca="false">IF(I5183&gt;J5183,"Y","N")</f>
        <v>N</v>
      </c>
      <c r="G5183" s="3" t="s">
        <v>164</v>
      </c>
      <c r="H5183" s="3" t="s">
        <v>21</v>
      </c>
      <c r="I5183" s="4" t="n">
        <v>4</v>
      </c>
      <c r="J5183" s="4" t="n">
        <f aca="false">LEN(E5183)-LEN(SUBSTITUTE(E5183,",",""))+1</f>
        <v>4</v>
      </c>
      <c r="K5183" s="3" t="str">
        <f aca="false">IFERROR(INDEX('Teacher Lookup'!$B$2:$B$200,MATCH(A5183,'Teacher Lookup'!$A$2:$A$200,0)),"")</f>
        <v>LAMBERT Jenna</v>
      </c>
    </row>
    <row r="5184" customFormat="false" ht="15" hidden="false" customHeight="false" outlineLevel="0" collapsed="false">
      <c r="A5184" s="3" t="s">
        <v>440</v>
      </c>
      <c r="B5184" s="4" t="s">
        <v>65</v>
      </c>
      <c r="C5184" s="4" t="n">
        <v>2</v>
      </c>
      <c r="D5184" s="4" t="s">
        <v>124</v>
      </c>
      <c r="E5184" s="3" t="s">
        <v>146</v>
      </c>
      <c r="F5184" s="4" t="str">
        <f aca="false">IF(I5184&gt;J5184,"Y","N")</f>
        <v>N</v>
      </c>
      <c r="G5184" s="3" t="s">
        <v>164</v>
      </c>
      <c r="H5184" s="3" t="s">
        <v>21</v>
      </c>
      <c r="I5184" s="4" t="n">
        <v>4</v>
      </c>
      <c r="J5184" s="4" t="n">
        <f aca="false">LEN(E5184)-LEN(SUBSTITUTE(E5184,",",""))+1</f>
        <v>4</v>
      </c>
      <c r="K5184" s="3" t="str">
        <f aca="false">IFERROR(INDEX('Teacher Lookup'!$B$2:$B$200,MATCH(A5184,'Teacher Lookup'!$A$2:$A$200,0)),"")</f>
        <v>LAMBERT Jenna</v>
      </c>
    </row>
    <row r="5185" customFormat="false" ht="15" hidden="false" customHeight="false" outlineLevel="0" collapsed="false">
      <c r="A5185" s="3" t="s">
        <v>440</v>
      </c>
      <c r="B5185" s="4" t="s">
        <v>65</v>
      </c>
      <c r="C5185" s="4" t="n">
        <v>2</v>
      </c>
      <c r="D5185" s="4" t="s">
        <v>139</v>
      </c>
      <c r="E5185" s="3" t="s">
        <v>146</v>
      </c>
      <c r="F5185" s="4" t="str">
        <f aca="false">IF(I5185&gt;J5185,"Y","N")</f>
        <v>N</v>
      </c>
      <c r="G5185" s="3" t="s">
        <v>164</v>
      </c>
      <c r="H5185" s="3" t="s">
        <v>21</v>
      </c>
      <c r="I5185" s="4" t="n">
        <v>4</v>
      </c>
      <c r="J5185" s="4" t="n">
        <f aca="false">LEN(E5185)-LEN(SUBSTITUTE(E5185,",",""))+1</f>
        <v>4</v>
      </c>
      <c r="K5185" s="3" t="str">
        <f aca="false">IFERROR(INDEX('Teacher Lookup'!$B$2:$B$200,MATCH(A5185,'Teacher Lookup'!$A$2:$A$200,0)),"")</f>
        <v>LAMBERT Jenna</v>
      </c>
    </row>
    <row r="5186" customFormat="false" ht="15" hidden="false" customHeight="false" outlineLevel="0" collapsed="false">
      <c r="A5186" s="3" t="s">
        <v>440</v>
      </c>
      <c r="B5186" s="4" t="s">
        <v>65</v>
      </c>
      <c r="C5186" s="4" t="n">
        <v>3</v>
      </c>
      <c r="D5186" s="4" t="s">
        <v>140</v>
      </c>
      <c r="E5186" s="3" t="s">
        <v>152</v>
      </c>
      <c r="F5186" s="4" t="str">
        <f aca="false">IF(I5186&gt;J5186,"Y","N")</f>
        <v>N</v>
      </c>
      <c r="G5186" s="3" t="s">
        <v>164</v>
      </c>
      <c r="H5186" s="3" t="s">
        <v>26</v>
      </c>
      <c r="I5186" s="4" t="n">
        <v>4</v>
      </c>
      <c r="J5186" s="4" t="n">
        <f aca="false">LEN(E5186)-LEN(SUBSTITUTE(E5186,",",""))+1</f>
        <v>4</v>
      </c>
      <c r="K5186" s="3" t="str">
        <f aca="false">IFERROR(INDEX('Teacher Lookup'!$B$2:$B$200,MATCH(A5186,'Teacher Lookup'!$A$2:$A$200,0)),"")</f>
        <v>LAMBERT Jenna</v>
      </c>
    </row>
    <row r="5187" customFormat="false" ht="15" hidden="false" customHeight="false" outlineLevel="0" collapsed="false">
      <c r="A5187" s="3" t="s">
        <v>440</v>
      </c>
      <c r="B5187" s="4" t="s">
        <v>65</v>
      </c>
      <c r="C5187" s="4" t="n">
        <v>3</v>
      </c>
      <c r="D5187" s="4" t="s">
        <v>142</v>
      </c>
      <c r="E5187" s="3" t="s">
        <v>152</v>
      </c>
      <c r="F5187" s="4" t="str">
        <f aca="false">IF(I5187&gt;J5187,"Y","N")</f>
        <v>N</v>
      </c>
      <c r="G5187" s="3" t="s">
        <v>164</v>
      </c>
      <c r="H5187" s="3" t="s">
        <v>26</v>
      </c>
      <c r="I5187" s="4" t="n">
        <v>4</v>
      </c>
      <c r="J5187" s="4" t="n">
        <f aca="false">LEN(E5187)-LEN(SUBSTITUTE(E5187,",",""))+1</f>
        <v>4</v>
      </c>
      <c r="K5187" s="3" t="str">
        <f aca="false">IFERROR(INDEX('Teacher Lookup'!$B$2:$B$200,MATCH(A5187,'Teacher Lookup'!$A$2:$A$200,0)),"")</f>
        <v>LAMBERT Jenna</v>
      </c>
    </row>
    <row r="5188" customFormat="false" ht="15" hidden="false" customHeight="false" outlineLevel="0" collapsed="false">
      <c r="A5188" s="3" t="s">
        <v>440</v>
      </c>
      <c r="B5188" s="4" t="s">
        <v>65</v>
      </c>
      <c r="C5188" s="4" t="n">
        <v>3</v>
      </c>
      <c r="D5188" s="4" t="s">
        <v>127</v>
      </c>
      <c r="E5188" s="3" t="s">
        <v>152</v>
      </c>
      <c r="F5188" s="4" t="str">
        <f aca="false">IF(I5188&gt;J5188,"Y","N")</f>
        <v>N</v>
      </c>
      <c r="G5188" s="3" t="s">
        <v>164</v>
      </c>
      <c r="H5188" s="3" t="s">
        <v>26</v>
      </c>
      <c r="I5188" s="4" t="n">
        <v>4</v>
      </c>
      <c r="J5188" s="4" t="n">
        <f aca="false">LEN(E5188)-LEN(SUBSTITUTE(E5188,",",""))+1</f>
        <v>4</v>
      </c>
      <c r="K5188" s="3" t="str">
        <f aca="false">IFERROR(INDEX('Teacher Lookup'!$B$2:$B$200,MATCH(A5188,'Teacher Lookup'!$A$2:$A$200,0)),"")</f>
        <v>LAMBERT Jenna</v>
      </c>
    </row>
    <row r="5189" customFormat="false" ht="15" hidden="false" customHeight="false" outlineLevel="0" collapsed="false">
      <c r="A5189" s="3" t="s">
        <v>440</v>
      </c>
      <c r="B5189" s="4" t="s">
        <v>65</v>
      </c>
      <c r="C5189" s="4" t="n">
        <v>5</v>
      </c>
      <c r="D5189" s="4" t="s">
        <v>137</v>
      </c>
      <c r="E5189" s="3" t="s">
        <v>185</v>
      </c>
      <c r="F5189" s="4" t="str">
        <f aca="false">IF(I5189&gt;J5189,"Y","N")</f>
        <v>Y</v>
      </c>
      <c r="G5189" s="3" t="s">
        <v>36</v>
      </c>
      <c r="H5189" s="3" t="s">
        <v>37</v>
      </c>
      <c r="I5189" s="4" t="n">
        <v>21</v>
      </c>
      <c r="J5189" s="4" t="n">
        <f aca="false">LEN(E5189)-LEN(SUBSTITUTE(E5189,",",""))+1</f>
        <v>7</v>
      </c>
      <c r="K5189" s="3" t="str">
        <f aca="false">IFERROR(INDEX('Teacher Lookup'!$B$2:$B$200,MATCH(A5189,'Teacher Lookup'!$A$2:$A$200,0)),"")</f>
        <v>LAMBERT Jenna</v>
      </c>
    </row>
    <row r="5190" customFormat="false" ht="15" hidden="false" customHeight="false" outlineLevel="0" collapsed="false">
      <c r="A5190" s="3" t="s">
        <v>440</v>
      </c>
      <c r="B5190" s="4" t="s">
        <v>65</v>
      </c>
      <c r="C5190" s="4" t="n">
        <v>5</v>
      </c>
      <c r="D5190" s="4" t="s">
        <v>124</v>
      </c>
      <c r="E5190" s="3" t="s">
        <v>185</v>
      </c>
      <c r="F5190" s="4" t="str">
        <f aca="false">IF(I5190&gt;J5190,"Y","N")</f>
        <v>Y</v>
      </c>
      <c r="G5190" s="3" t="s">
        <v>36</v>
      </c>
      <c r="H5190" s="3" t="s">
        <v>37</v>
      </c>
      <c r="I5190" s="4" t="n">
        <v>21</v>
      </c>
      <c r="J5190" s="4" t="n">
        <f aca="false">LEN(E5190)-LEN(SUBSTITUTE(E5190,",",""))+1</f>
        <v>7</v>
      </c>
      <c r="K5190" s="3" t="str">
        <f aca="false">IFERROR(INDEX('Teacher Lookup'!$B$2:$B$200,MATCH(A5190,'Teacher Lookup'!$A$2:$A$200,0)),"")</f>
        <v>LAMBERT Jenna</v>
      </c>
    </row>
    <row r="5191" customFormat="false" ht="15" hidden="false" customHeight="false" outlineLevel="0" collapsed="false">
      <c r="A5191" s="3" t="s">
        <v>440</v>
      </c>
      <c r="B5191" s="4" t="s">
        <v>65</v>
      </c>
      <c r="C5191" s="4" t="n">
        <v>5</v>
      </c>
      <c r="D5191" s="4" t="s">
        <v>139</v>
      </c>
      <c r="E5191" s="3" t="s">
        <v>185</v>
      </c>
      <c r="F5191" s="4" t="str">
        <f aca="false">IF(I5191&gt;J5191,"Y","N")</f>
        <v>Y</v>
      </c>
      <c r="G5191" s="3" t="s">
        <v>36</v>
      </c>
      <c r="H5191" s="3" t="s">
        <v>37</v>
      </c>
      <c r="I5191" s="4" t="n">
        <v>21</v>
      </c>
      <c r="J5191" s="4" t="n">
        <f aca="false">LEN(E5191)-LEN(SUBSTITUTE(E5191,",",""))+1</f>
        <v>7</v>
      </c>
      <c r="K5191" s="3" t="str">
        <f aca="false">IFERROR(INDEX('Teacher Lookup'!$B$2:$B$200,MATCH(A5191,'Teacher Lookup'!$A$2:$A$200,0)),"")</f>
        <v>LAMBERT Jenna</v>
      </c>
    </row>
    <row r="5192" customFormat="false" ht="15" hidden="false" customHeight="false" outlineLevel="0" collapsed="false">
      <c r="A5192" s="3" t="s">
        <v>440</v>
      </c>
      <c r="B5192" s="4" t="s">
        <v>65</v>
      </c>
      <c r="C5192" s="4" t="n">
        <v>5</v>
      </c>
      <c r="D5192" s="4" t="s">
        <v>140</v>
      </c>
      <c r="E5192" s="3" t="s">
        <v>185</v>
      </c>
      <c r="F5192" s="4" t="str">
        <f aca="false">IF(I5192&gt;J5192,"Y","N")</f>
        <v>Y</v>
      </c>
      <c r="G5192" s="3" t="s">
        <v>36</v>
      </c>
      <c r="H5192" s="3" t="s">
        <v>37</v>
      </c>
      <c r="I5192" s="4" t="n">
        <v>21</v>
      </c>
      <c r="J5192" s="4" t="n">
        <f aca="false">LEN(E5192)-LEN(SUBSTITUTE(E5192,",",""))+1</f>
        <v>7</v>
      </c>
      <c r="K5192" s="3" t="str">
        <f aca="false">IFERROR(INDEX('Teacher Lookup'!$B$2:$B$200,MATCH(A5192,'Teacher Lookup'!$A$2:$A$200,0)),"")</f>
        <v>LAMBERT Jenna</v>
      </c>
    </row>
    <row r="5193" customFormat="false" ht="15" hidden="false" customHeight="false" outlineLevel="0" collapsed="false">
      <c r="A5193" s="3" t="s">
        <v>440</v>
      </c>
      <c r="B5193" s="4" t="s">
        <v>65</v>
      </c>
      <c r="C5193" s="4" t="n">
        <v>5</v>
      </c>
      <c r="D5193" s="4" t="s">
        <v>142</v>
      </c>
      <c r="E5193" s="3" t="s">
        <v>185</v>
      </c>
      <c r="F5193" s="4" t="str">
        <f aca="false">IF(I5193&gt;J5193,"Y","N")</f>
        <v>Y</v>
      </c>
      <c r="G5193" s="3" t="s">
        <v>36</v>
      </c>
      <c r="H5193" s="3" t="s">
        <v>37</v>
      </c>
      <c r="I5193" s="4" t="n">
        <v>21</v>
      </c>
      <c r="J5193" s="4" t="n">
        <f aca="false">LEN(E5193)-LEN(SUBSTITUTE(E5193,",",""))+1</f>
        <v>7</v>
      </c>
      <c r="K5193" s="3" t="str">
        <f aca="false">IFERROR(INDEX('Teacher Lookup'!$B$2:$B$200,MATCH(A5193,'Teacher Lookup'!$A$2:$A$200,0)),"")</f>
        <v>LAMBERT Jenna</v>
      </c>
    </row>
    <row r="5194" customFormat="false" ht="15" hidden="false" customHeight="false" outlineLevel="0" collapsed="false">
      <c r="A5194" s="3" t="s">
        <v>440</v>
      </c>
      <c r="B5194" s="4" t="s">
        <v>65</v>
      </c>
      <c r="C5194" s="4" t="n">
        <v>5</v>
      </c>
      <c r="D5194" s="4" t="s">
        <v>127</v>
      </c>
      <c r="E5194" s="3" t="s">
        <v>185</v>
      </c>
      <c r="F5194" s="4" t="str">
        <f aca="false">IF(I5194&gt;J5194,"Y","N")</f>
        <v>Y</v>
      </c>
      <c r="G5194" s="3" t="s">
        <v>36</v>
      </c>
      <c r="H5194" s="3" t="s">
        <v>37</v>
      </c>
      <c r="I5194" s="4" t="n">
        <v>21</v>
      </c>
      <c r="J5194" s="4" t="n">
        <f aca="false">LEN(E5194)-LEN(SUBSTITUTE(E5194,",",""))+1</f>
        <v>7</v>
      </c>
      <c r="K5194" s="3" t="str">
        <f aca="false">IFERROR(INDEX('Teacher Lookup'!$B$2:$B$200,MATCH(A5194,'Teacher Lookup'!$A$2:$A$200,0)),"")</f>
        <v>LAMBERT Jenna</v>
      </c>
    </row>
    <row r="5195" customFormat="false" ht="15" hidden="false" customHeight="false" outlineLevel="0" collapsed="false">
      <c r="A5195" s="3" t="s">
        <v>440</v>
      </c>
      <c r="B5195" s="4" t="s">
        <v>65</v>
      </c>
      <c r="C5195" s="4" t="n">
        <v>6</v>
      </c>
      <c r="D5195" s="4" t="s">
        <v>57</v>
      </c>
      <c r="E5195" s="3" t="s">
        <v>178</v>
      </c>
      <c r="F5195" s="4" t="str">
        <f aca="false">IF(I5195&gt;J5195,"Y","N")</f>
        <v>N</v>
      </c>
      <c r="G5195" s="3" t="s">
        <v>164</v>
      </c>
      <c r="H5195" s="3" t="s">
        <v>42</v>
      </c>
      <c r="I5195" s="4" t="n">
        <v>4</v>
      </c>
      <c r="J5195" s="4" t="n">
        <f aca="false">LEN(E5195)-LEN(SUBSTITUTE(E5195,",",""))+1</f>
        <v>4</v>
      </c>
      <c r="K5195" s="3" t="str">
        <f aca="false">IFERROR(INDEX('Teacher Lookup'!$B$2:$B$200,MATCH(A5195,'Teacher Lookup'!$A$2:$A$200,0)),"")</f>
        <v>LAMBERT Jenna</v>
      </c>
    </row>
    <row r="5196" customFormat="false" ht="15" hidden="false" customHeight="false" outlineLevel="0" collapsed="false">
      <c r="A5196" s="3" t="s">
        <v>440</v>
      </c>
      <c r="B5196" s="4" t="s">
        <v>65</v>
      </c>
      <c r="C5196" s="4" t="n">
        <v>6</v>
      </c>
      <c r="D5196" s="4" t="s">
        <v>58</v>
      </c>
      <c r="E5196" s="3" t="s">
        <v>178</v>
      </c>
      <c r="F5196" s="4" t="str">
        <f aca="false">IF(I5196&gt;J5196,"Y","N")</f>
        <v>N</v>
      </c>
      <c r="G5196" s="3" t="s">
        <v>164</v>
      </c>
      <c r="H5196" s="3" t="s">
        <v>42</v>
      </c>
      <c r="I5196" s="4" t="n">
        <v>4</v>
      </c>
      <c r="J5196" s="4" t="n">
        <f aca="false">LEN(E5196)-LEN(SUBSTITUTE(E5196,",",""))+1</f>
        <v>4</v>
      </c>
      <c r="K5196" s="3" t="str">
        <f aca="false">IFERROR(INDEX('Teacher Lookup'!$B$2:$B$200,MATCH(A5196,'Teacher Lookup'!$A$2:$A$200,0)),"")</f>
        <v>LAMBERT Jenna</v>
      </c>
    </row>
    <row r="5197" customFormat="false" ht="15" hidden="false" customHeight="false" outlineLevel="0" collapsed="false">
      <c r="A5197" s="3" t="s">
        <v>440</v>
      </c>
      <c r="B5197" s="4" t="s">
        <v>65</v>
      </c>
      <c r="C5197" s="4" t="n">
        <v>6</v>
      </c>
      <c r="D5197" s="4" t="s">
        <v>59</v>
      </c>
      <c r="E5197" s="3" t="s">
        <v>178</v>
      </c>
      <c r="F5197" s="4" t="str">
        <f aca="false">IF(I5197&gt;J5197,"Y","N")</f>
        <v>N</v>
      </c>
      <c r="G5197" s="3" t="s">
        <v>164</v>
      </c>
      <c r="H5197" s="3" t="s">
        <v>42</v>
      </c>
      <c r="I5197" s="4" t="n">
        <v>4</v>
      </c>
      <c r="J5197" s="4" t="n">
        <f aca="false">LEN(E5197)-LEN(SUBSTITUTE(E5197,",",""))+1</f>
        <v>4</v>
      </c>
      <c r="K5197" s="3" t="str">
        <f aca="false">IFERROR(INDEX('Teacher Lookup'!$B$2:$B$200,MATCH(A5197,'Teacher Lookup'!$A$2:$A$200,0)),"")</f>
        <v>LAMBERT Jenna</v>
      </c>
    </row>
    <row r="5198" customFormat="false" ht="15" hidden="false" customHeight="false" outlineLevel="0" collapsed="false">
      <c r="A5198" s="3" t="s">
        <v>440</v>
      </c>
      <c r="B5198" s="4" t="s">
        <v>66</v>
      </c>
      <c r="C5198" s="4" t="n">
        <v>5</v>
      </c>
      <c r="D5198" s="4" t="s">
        <v>137</v>
      </c>
      <c r="E5198" s="3" t="s">
        <v>146</v>
      </c>
      <c r="F5198" s="4" t="str">
        <f aca="false">IF(I5198&gt;J5198,"Y","N")</f>
        <v>N</v>
      </c>
      <c r="G5198" s="3" t="s">
        <v>164</v>
      </c>
      <c r="H5198" s="3" t="s">
        <v>37</v>
      </c>
      <c r="I5198" s="4" t="n">
        <v>4</v>
      </c>
      <c r="J5198" s="4" t="n">
        <f aca="false">LEN(E5198)-LEN(SUBSTITUTE(E5198,",",""))+1</f>
        <v>4</v>
      </c>
      <c r="K5198" s="3" t="str">
        <f aca="false">IFERROR(INDEX('Teacher Lookup'!$B$2:$B$200,MATCH(A5198,'Teacher Lookup'!$A$2:$A$200,0)),"")</f>
        <v>LAMBERT Jenna</v>
      </c>
    </row>
    <row r="5199" customFormat="false" ht="15" hidden="false" customHeight="false" outlineLevel="0" collapsed="false">
      <c r="A5199" s="3" t="s">
        <v>440</v>
      </c>
      <c r="B5199" s="4" t="s">
        <v>66</v>
      </c>
      <c r="C5199" s="4" t="n">
        <v>5</v>
      </c>
      <c r="D5199" s="4" t="s">
        <v>124</v>
      </c>
      <c r="E5199" s="3" t="s">
        <v>146</v>
      </c>
      <c r="F5199" s="4" t="str">
        <f aca="false">IF(I5199&gt;J5199,"Y","N")</f>
        <v>N</v>
      </c>
      <c r="G5199" s="3" t="s">
        <v>164</v>
      </c>
      <c r="H5199" s="3" t="s">
        <v>37</v>
      </c>
      <c r="I5199" s="4" t="n">
        <v>4</v>
      </c>
      <c r="J5199" s="4" t="n">
        <f aca="false">LEN(E5199)-LEN(SUBSTITUTE(E5199,",",""))+1</f>
        <v>4</v>
      </c>
      <c r="K5199" s="3" t="str">
        <f aca="false">IFERROR(INDEX('Teacher Lookup'!$B$2:$B$200,MATCH(A5199,'Teacher Lookup'!$A$2:$A$200,0)),"")</f>
        <v>LAMBERT Jenna</v>
      </c>
    </row>
    <row r="5200" customFormat="false" ht="15" hidden="false" customHeight="false" outlineLevel="0" collapsed="false">
      <c r="A5200" s="3" t="s">
        <v>440</v>
      </c>
      <c r="B5200" s="4" t="s">
        <v>66</v>
      </c>
      <c r="C5200" s="4" t="n">
        <v>5</v>
      </c>
      <c r="D5200" s="4" t="s">
        <v>139</v>
      </c>
      <c r="E5200" s="3" t="s">
        <v>146</v>
      </c>
      <c r="F5200" s="4" t="str">
        <f aca="false">IF(I5200&gt;J5200,"Y","N")</f>
        <v>N</v>
      </c>
      <c r="G5200" s="3" t="s">
        <v>164</v>
      </c>
      <c r="H5200" s="3" t="s">
        <v>37</v>
      </c>
      <c r="I5200" s="4" t="n">
        <v>4</v>
      </c>
      <c r="J5200" s="4" t="n">
        <f aca="false">LEN(E5200)-LEN(SUBSTITUTE(E5200,",",""))+1</f>
        <v>4</v>
      </c>
      <c r="K5200" s="3" t="str">
        <f aca="false">IFERROR(INDEX('Teacher Lookup'!$B$2:$B$200,MATCH(A5200,'Teacher Lookup'!$A$2:$A$200,0)),"")</f>
        <v>LAMBERT Jenna</v>
      </c>
    </row>
    <row r="5201" customFormat="false" ht="15" hidden="false" customHeight="false" outlineLevel="0" collapsed="false">
      <c r="A5201" s="3" t="s">
        <v>440</v>
      </c>
      <c r="B5201" s="4" t="s">
        <v>66</v>
      </c>
      <c r="C5201" s="4" t="n">
        <v>6</v>
      </c>
      <c r="D5201" s="4" t="s">
        <v>140</v>
      </c>
      <c r="E5201" s="3" t="s">
        <v>152</v>
      </c>
      <c r="F5201" s="4" t="str">
        <f aca="false">IF(I5201&gt;J5201,"Y","N")</f>
        <v>N</v>
      </c>
      <c r="G5201" s="3" t="s">
        <v>164</v>
      </c>
      <c r="H5201" s="3" t="s">
        <v>42</v>
      </c>
      <c r="I5201" s="4" t="n">
        <v>4</v>
      </c>
      <c r="J5201" s="4" t="n">
        <f aca="false">LEN(E5201)-LEN(SUBSTITUTE(E5201,",",""))+1</f>
        <v>4</v>
      </c>
      <c r="K5201" s="3" t="str">
        <f aca="false">IFERROR(INDEX('Teacher Lookup'!$B$2:$B$200,MATCH(A5201,'Teacher Lookup'!$A$2:$A$200,0)),"")</f>
        <v>LAMBERT Jenna</v>
      </c>
    </row>
    <row r="5202" customFormat="false" ht="15" hidden="false" customHeight="false" outlineLevel="0" collapsed="false">
      <c r="A5202" s="3" t="s">
        <v>440</v>
      </c>
      <c r="B5202" s="4" t="s">
        <v>66</v>
      </c>
      <c r="C5202" s="4" t="n">
        <v>6</v>
      </c>
      <c r="D5202" s="4" t="s">
        <v>142</v>
      </c>
      <c r="E5202" s="3" t="s">
        <v>152</v>
      </c>
      <c r="F5202" s="4" t="str">
        <f aca="false">IF(I5202&gt;J5202,"Y","N")</f>
        <v>N</v>
      </c>
      <c r="G5202" s="3" t="s">
        <v>164</v>
      </c>
      <c r="H5202" s="3" t="s">
        <v>42</v>
      </c>
      <c r="I5202" s="4" t="n">
        <v>4</v>
      </c>
      <c r="J5202" s="4" t="n">
        <f aca="false">LEN(E5202)-LEN(SUBSTITUTE(E5202,",",""))+1</f>
        <v>4</v>
      </c>
      <c r="K5202" s="3" t="str">
        <f aca="false">IFERROR(INDEX('Teacher Lookup'!$B$2:$B$200,MATCH(A5202,'Teacher Lookup'!$A$2:$A$200,0)),"")</f>
        <v>LAMBERT Jenna</v>
      </c>
    </row>
    <row r="5203" customFormat="false" ht="15" hidden="false" customHeight="false" outlineLevel="0" collapsed="false">
      <c r="A5203" s="3" t="s">
        <v>440</v>
      </c>
      <c r="B5203" s="4" t="s">
        <v>66</v>
      </c>
      <c r="C5203" s="4" t="n">
        <v>6</v>
      </c>
      <c r="D5203" s="4" t="s">
        <v>127</v>
      </c>
      <c r="E5203" s="3" t="s">
        <v>152</v>
      </c>
      <c r="F5203" s="4" t="str">
        <f aca="false">IF(I5203&gt;J5203,"Y","N")</f>
        <v>N</v>
      </c>
      <c r="G5203" s="3" t="s">
        <v>164</v>
      </c>
      <c r="H5203" s="3" t="s">
        <v>42</v>
      </c>
      <c r="I5203" s="4" t="n">
        <v>4</v>
      </c>
      <c r="J5203" s="4" t="n">
        <f aca="false">LEN(E5203)-LEN(SUBSTITUTE(E5203,",",""))+1</f>
        <v>4</v>
      </c>
      <c r="K5203" s="3" t="str">
        <f aca="false">IFERROR(INDEX('Teacher Lookup'!$B$2:$B$200,MATCH(A5203,'Teacher Lookup'!$A$2:$A$200,0)),"")</f>
        <v>LAMBERT Jenna</v>
      </c>
    </row>
    <row r="5204" customFormat="false" ht="15" hidden="false" customHeight="false" outlineLevel="0" collapsed="false">
      <c r="A5204" s="3" t="s">
        <v>440</v>
      </c>
      <c r="B5204" s="4" t="s">
        <v>66</v>
      </c>
      <c r="C5204" s="4" t="n">
        <v>7</v>
      </c>
      <c r="D5204" s="4" t="s">
        <v>57</v>
      </c>
      <c r="E5204" s="3" t="s">
        <v>183</v>
      </c>
      <c r="F5204" s="4" t="str">
        <f aca="false">IF(I5204&gt;J5204,"Y","N")</f>
        <v>N</v>
      </c>
      <c r="G5204" s="3" t="s">
        <v>164</v>
      </c>
      <c r="H5204" s="3" t="s">
        <v>39</v>
      </c>
      <c r="I5204" s="4" t="n">
        <v>4</v>
      </c>
      <c r="J5204" s="4" t="n">
        <f aca="false">LEN(E5204)-LEN(SUBSTITUTE(E5204,",",""))+1</f>
        <v>4</v>
      </c>
      <c r="K5204" s="3" t="str">
        <f aca="false">IFERROR(INDEX('Teacher Lookup'!$B$2:$B$200,MATCH(A5204,'Teacher Lookup'!$A$2:$A$200,0)),"")</f>
        <v>LAMBERT Jenna</v>
      </c>
    </row>
    <row r="5205" customFormat="false" ht="15" hidden="false" customHeight="false" outlineLevel="0" collapsed="false">
      <c r="A5205" s="3" t="s">
        <v>440</v>
      </c>
      <c r="B5205" s="4" t="s">
        <v>66</v>
      </c>
      <c r="C5205" s="4" t="n">
        <v>7</v>
      </c>
      <c r="D5205" s="4" t="s">
        <v>58</v>
      </c>
      <c r="E5205" s="3" t="s">
        <v>183</v>
      </c>
      <c r="F5205" s="4" t="str">
        <f aca="false">IF(I5205&gt;J5205,"Y","N")</f>
        <v>N</v>
      </c>
      <c r="G5205" s="3" t="s">
        <v>164</v>
      </c>
      <c r="H5205" s="3" t="s">
        <v>39</v>
      </c>
      <c r="I5205" s="4" t="n">
        <v>4</v>
      </c>
      <c r="J5205" s="4" t="n">
        <f aca="false">LEN(E5205)-LEN(SUBSTITUTE(E5205,",",""))+1</f>
        <v>4</v>
      </c>
      <c r="K5205" s="3" t="str">
        <f aca="false">IFERROR(INDEX('Teacher Lookup'!$B$2:$B$200,MATCH(A5205,'Teacher Lookup'!$A$2:$A$200,0)),"")</f>
        <v>LAMBERT Jenna</v>
      </c>
    </row>
    <row r="5206" customFormat="false" ht="15" hidden="false" customHeight="false" outlineLevel="0" collapsed="false">
      <c r="A5206" s="3" t="s">
        <v>440</v>
      </c>
      <c r="B5206" s="4" t="s">
        <v>66</v>
      </c>
      <c r="C5206" s="4" t="n">
        <v>7</v>
      </c>
      <c r="D5206" s="4" t="s">
        <v>59</v>
      </c>
      <c r="E5206" s="3" t="s">
        <v>183</v>
      </c>
      <c r="F5206" s="4" t="str">
        <f aca="false">IF(I5206&gt;J5206,"Y","N")</f>
        <v>N</v>
      </c>
      <c r="G5206" s="3" t="s">
        <v>164</v>
      </c>
      <c r="H5206" s="3" t="s">
        <v>39</v>
      </c>
      <c r="I5206" s="4" t="n">
        <v>4</v>
      </c>
      <c r="J5206" s="4" t="n">
        <f aca="false">LEN(E5206)-LEN(SUBSTITUTE(E5206,",",""))+1</f>
        <v>4</v>
      </c>
      <c r="K5206" s="3" t="str">
        <f aca="false">IFERROR(INDEX('Teacher Lookup'!$B$2:$B$200,MATCH(A5206,'Teacher Lookup'!$A$2:$A$200,0)),"")</f>
        <v>LAMBERT Jenna</v>
      </c>
    </row>
    <row r="5207" customFormat="false" ht="15" hidden="false" customHeight="false" outlineLevel="0" collapsed="false">
      <c r="A5207" s="3" t="s">
        <v>441</v>
      </c>
      <c r="B5207" s="4" t="s">
        <v>12</v>
      </c>
      <c r="C5207" s="4" t="n">
        <v>1</v>
      </c>
      <c r="D5207" s="4" t="s">
        <v>137</v>
      </c>
      <c r="E5207" s="3" t="s">
        <v>138</v>
      </c>
      <c r="F5207" s="4" t="str">
        <f aca="false">IF(I5207&gt;J5207,"Y","N")</f>
        <v>N</v>
      </c>
      <c r="G5207" s="3" t="s">
        <v>72</v>
      </c>
      <c r="H5207" s="3" t="s">
        <v>16</v>
      </c>
      <c r="I5207" s="4" t="n">
        <v>4</v>
      </c>
      <c r="J5207" s="4" t="n">
        <f aca="false">LEN(E5207)-LEN(SUBSTITUTE(E5207,",",""))+1</f>
        <v>4</v>
      </c>
      <c r="K5207" s="3" t="str">
        <f aca="false">IFERROR(INDEX('Teacher Lookup'!$B$2:$B$200,MATCH(A5207,'Teacher Lookup'!$A$2:$A$200,0)),"")</f>
        <v>LAM Jessica</v>
      </c>
    </row>
    <row r="5208" customFormat="false" ht="15" hidden="false" customHeight="false" outlineLevel="0" collapsed="false">
      <c r="A5208" s="3" t="s">
        <v>441</v>
      </c>
      <c r="B5208" s="4" t="s">
        <v>12</v>
      </c>
      <c r="C5208" s="4" t="n">
        <v>1</v>
      </c>
      <c r="D5208" s="4" t="s">
        <v>124</v>
      </c>
      <c r="E5208" s="3" t="s">
        <v>138</v>
      </c>
      <c r="F5208" s="4" t="str">
        <f aca="false">IF(I5208&gt;J5208,"Y","N")</f>
        <v>N</v>
      </c>
      <c r="G5208" s="3" t="s">
        <v>72</v>
      </c>
      <c r="H5208" s="3" t="s">
        <v>16</v>
      </c>
      <c r="I5208" s="4" t="n">
        <v>4</v>
      </c>
      <c r="J5208" s="4" t="n">
        <f aca="false">LEN(E5208)-LEN(SUBSTITUTE(E5208,",",""))+1</f>
        <v>4</v>
      </c>
      <c r="K5208" s="3" t="str">
        <f aca="false">IFERROR(INDEX('Teacher Lookup'!$B$2:$B$200,MATCH(A5208,'Teacher Lookup'!$A$2:$A$200,0)),"")</f>
        <v>LAM Jessica</v>
      </c>
    </row>
    <row r="5209" customFormat="false" ht="15" hidden="false" customHeight="false" outlineLevel="0" collapsed="false">
      <c r="A5209" s="3" t="s">
        <v>441</v>
      </c>
      <c r="B5209" s="4" t="s">
        <v>12</v>
      </c>
      <c r="C5209" s="4" t="n">
        <v>1</v>
      </c>
      <c r="D5209" s="4" t="s">
        <v>139</v>
      </c>
      <c r="E5209" s="3" t="s">
        <v>138</v>
      </c>
      <c r="F5209" s="4" t="str">
        <f aca="false">IF(I5209&gt;J5209,"Y","N")</f>
        <v>N</v>
      </c>
      <c r="G5209" s="3" t="s">
        <v>72</v>
      </c>
      <c r="H5209" s="3" t="s">
        <v>16</v>
      </c>
      <c r="I5209" s="4" t="n">
        <v>4</v>
      </c>
      <c r="J5209" s="4" t="n">
        <f aca="false">LEN(E5209)-LEN(SUBSTITUTE(E5209,",",""))+1</f>
        <v>4</v>
      </c>
      <c r="K5209" s="3" t="str">
        <f aca="false">IFERROR(INDEX('Teacher Lookup'!$B$2:$B$200,MATCH(A5209,'Teacher Lookup'!$A$2:$A$200,0)),"")</f>
        <v>LAM Jessica</v>
      </c>
    </row>
    <row r="5210" customFormat="false" ht="15" hidden="false" customHeight="false" outlineLevel="0" collapsed="false">
      <c r="A5210" s="3" t="s">
        <v>441</v>
      </c>
      <c r="B5210" s="4" t="s">
        <v>12</v>
      </c>
      <c r="C5210" s="4" t="n">
        <v>2</v>
      </c>
      <c r="D5210" s="4" t="s">
        <v>140</v>
      </c>
      <c r="E5210" s="3" t="s">
        <v>141</v>
      </c>
      <c r="F5210" s="4" t="str">
        <f aca="false">IF(I5210&gt;J5210,"Y","N")</f>
        <v>N</v>
      </c>
      <c r="G5210" s="3" t="s">
        <v>72</v>
      </c>
      <c r="H5210" s="3" t="s">
        <v>21</v>
      </c>
      <c r="I5210" s="4" t="n">
        <v>4</v>
      </c>
      <c r="J5210" s="4" t="n">
        <f aca="false">LEN(E5210)-LEN(SUBSTITUTE(E5210,",",""))+1</f>
        <v>4</v>
      </c>
      <c r="K5210" s="3" t="str">
        <f aca="false">IFERROR(INDEX('Teacher Lookup'!$B$2:$B$200,MATCH(A5210,'Teacher Lookup'!$A$2:$A$200,0)),"")</f>
        <v>LAM Jessica</v>
      </c>
    </row>
    <row r="5211" customFormat="false" ht="15" hidden="false" customHeight="false" outlineLevel="0" collapsed="false">
      <c r="A5211" s="3" t="s">
        <v>441</v>
      </c>
      <c r="B5211" s="4" t="s">
        <v>12</v>
      </c>
      <c r="C5211" s="4" t="n">
        <v>2</v>
      </c>
      <c r="D5211" s="4" t="s">
        <v>142</v>
      </c>
      <c r="E5211" s="3" t="s">
        <v>141</v>
      </c>
      <c r="F5211" s="4" t="str">
        <f aca="false">IF(I5211&gt;J5211,"Y","N")</f>
        <v>N</v>
      </c>
      <c r="G5211" s="3" t="s">
        <v>72</v>
      </c>
      <c r="H5211" s="3" t="s">
        <v>21</v>
      </c>
      <c r="I5211" s="4" t="n">
        <v>4</v>
      </c>
      <c r="J5211" s="4" t="n">
        <f aca="false">LEN(E5211)-LEN(SUBSTITUTE(E5211,",",""))+1</f>
        <v>4</v>
      </c>
      <c r="K5211" s="3" t="str">
        <f aca="false">IFERROR(INDEX('Teacher Lookup'!$B$2:$B$200,MATCH(A5211,'Teacher Lookup'!$A$2:$A$200,0)),"")</f>
        <v>LAM Jessica</v>
      </c>
    </row>
    <row r="5212" customFormat="false" ht="15" hidden="false" customHeight="false" outlineLevel="0" collapsed="false">
      <c r="A5212" s="3" t="s">
        <v>441</v>
      </c>
      <c r="B5212" s="4" t="s">
        <v>12</v>
      </c>
      <c r="C5212" s="4" t="n">
        <v>2</v>
      </c>
      <c r="D5212" s="4" t="s">
        <v>127</v>
      </c>
      <c r="E5212" s="3" t="s">
        <v>141</v>
      </c>
      <c r="F5212" s="4" t="str">
        <f aca="false">IF(I5212&gt;J5212,"Y","N")</f>
        <v>N</v>
      </c>
      <c r="G5212" s="3" t="s">
        <v>72</v>
      </c>
      <c r="H5212" s="3" t="s">
        <v>21</v>
      </c>
      <c r="I5212" s="4" t="n">
        <v>4</v>
      </c>
      <c r="J5212" s="4" t="n">
        <f aca="false">LEN(E5212)-LEN(SUBSTITUTE(E5212,",",""))+1</f>
        <v>4</v>
      </c>
      <c r="K5212" s="3" t="str">
        <f aca="false">IFERROR(INDEX('Teacher Lookup'!$B$2:$B$200,MATCH(A5212,'Teacher Lookup'!$A$2:$A$200,0)),"")</f>
        <v>LAM Jessica</v>
      </c>
    </row>
    <row r="5213" customFormat="false" ht="15" hidden="false" customHeight="false" outlineLevel="0" collapsed="false">
      <c r="A5213" s="3" t="s">
        <v>441</v>
      </c>
      <c r="B5213" s="4" t="s">
        <v>12</v>
      </c>
      <c r="C5213" s="4" t="n">
        <v>6</v>
      </c>
      <c r="D5213" s="4" t="s">
        <v>105</v>
      </c>
      <c r="E5213" s="3" t="s">
        <v>324</v>
      </c>
      <c r="F5213" s="4" t="str">
        <f aca="false">IF(I5213&gt;J5213,"Y","N")</f>
        <v>N</v>
      </c>
      <c r="G5213" s="3" t="s">
        <v>72</v>
      </c>
      <c r="H5213" s="3" t="s">
        <v>42</v>
      </c>
      <c r="I5213" s="4" t="n">
        <v>3</v>
      </c>
      <c r="J5213" s="4" t="n">
        <f aca="false">LEN(E5213)-LEN(SUBSTITUTE(E5213,",",""))+1</f>
        <v>3</v>
      </c>
      <c r="K5213" s="3" t="str">
        <f aca="false">IFERROR(INDEX('Teacher Lookup'!$B$2:$B$200,MATCH(A5213,'Teacher Lookup'!$A$2:$A$200,0)),"")</f>
        <v>LAM Jessica</v>
      </c>
    </row>
    <row r="5214" customFormat="false" ht="15" hidden="false" customHeight="false" outlineLevel="0" collapsed="false">
      <c r="A5214" s="3" t="s">
        <v>441</v>
      </c>
      <c r="B5214" s="4" t="s">
        <v>12</v>
      </c>
      <c r="C5214" s="4" t="n">
        <v>6</v>
      </c>
      <c r="D5214" s="4" t="s">
        <v>106</v>
      </c>
      <c r="E5214" s="3" t="s">
        <v>324</v>
      </c>
      <c r="F5214" s="4" t="str">
        <f aca="false">IF(I5214&gt;J5214,"Y","N")</f>
        <v>N</v>
      </c>
      <c r="G5214" s="3" t="s">
        <v>72</v>
      </c>
      <c r="H5214" s="3" t="s">
        <v>42</v>
      </c>
      <c r="I5214" s="4" t="n">
        <v>3</v>
      </c>
      <c r="J5214" s="4" t="n">
        <f aca="false">LEN(E5214)-LEN(SUBSTITUTE(E5214,",",""))+1</f>
        <v>3</v>
      </c>
      <c r="K5214" s="3" t="str">
        <f aca="false">IFERROR(INDEX('Teacher Lookup'!$B$2:$B$200,MATCH(A5214,'Teacher Lookup'!$A$2:$A$200,0)),"")</f>
        <v>LAM Jessica</v>
      </c>
    </row>
    <row r="5215" customFormat="false" ht="15" hidden="false" customHeight="false" outlineLevel="0" collapsed="false">
      <c r="A5215" s="3" t="s">
        <v>441</v>
      </c>
      <c r="B5215" s="4" t="s">
        <v>31</v>
      </c>
      <c r="C5215" s="4" t="n">
        <v>1</v>
      </c>
      <c r="D5215" s="4" t="s">
        <v>105</v>
      </c>
      <c r="E5215" s="3" t="s">
        <v>325</v>
      </c>
      <c r="F5215" s="4" t="str">
        <f aca="false">IF(I5215&gt;J5215,"Y","N")</f>
        <v>N</v>
      </c>
      <c r="G5215" s="3" t="s">
        <v>72</v>
      </c>
      <c r="H5215" s="3" t="s">
        <v>16</v>
      </c>
      <c r="I5215" s="4" t="n">
        <v>3</v>
      </c>
      <c r="J5215" s="4" t="n">
        <f aca="false">LEN(E5215)-LEN(SUBSTITUTE(E5215,",",""))+1</f>
        <v>3</v>
      </c>
      <c r="K5215" s="3" t="str">
        <f aca="false">IFERROR(INDEX('Teacher Lookup'!$B$2:$B$200,MATCH(A5215,'Teacher Lookup'!$A$2:$A$200,0)),"")</f>
        <v>LAM Jessica</v>
      </c>
    </row>
    <row r="5216" customFormat="false" ht="15" hidden="false" customHeight="false" outlineLevel="0" collapsed="false">
      <c r="A5216" s="3" t="s">
        <v>441</v>
      </c>
      <c r="B5216" s="4" t="s">
        <v>31</v>
      </c>
      <c r="C5216" s="4" t="n">
        <v>1</v>
      </c>
      <c r="D5216" s="4" t="s">
        <v>106</v>
      </c>
      <c r="E5216" s="3" t="s">
        <v>325</v>
      </c>
      <c r="F5216" s="4" t="str">
        <f aca="false">IF(I5216&gt;J5216,"Y","N")</f>
        <v>N</v>
      </c>
      <c r="G5216" s="3" t="s">
        <v>72</v>
      </c>
      <c r="H5216" s="3" t="s">
        <v>16</v>
      </c>
      <c r="I5216" s="4" t="n">
        <v>3</v>
      </c>
      <c r="J5216" s="4" t="n">
        <f aca="false">LEN(E5216)-LEN(SUBSTITUTE(E5216,",",""))+1</f>
        <v>3</v>
      </c>
      <c r="K5216" s="3" t="str">
        <f aca="false">IFERROR(INDEX('Teacher Lookup'!$B$2:$B$200,MATCH(A5216,'Teacher Lookup'!$A$2:$A$200,0)),"")</f>
        <v>LAM Jessica</v>
      </c>
    </row>
    <row r="5217" customFormat="false" ht="15" hidden="false" customHeight="false" outlineLevel="0" collapsed="false">
      <c r="A5217" s="3" t="s">
        <v>441</v>
      </c>
      <c r="B5217" s="4" t="s">
        <v>31</v>
      </c>
      <c r="C5217" s="4" t="n">
        <v>3</v>
      </c>
      <c r="D5217" s="4" t="s">
        <v>140</v>
      </c>
      <c r="E5217" s="3" t="s">
        <v>144</v>
      </c>
      <c r="F5217" s="4" t="str">
        <f aca="false">IF(I5217&gt;J5217,"Y","N")</f>
        <v>N</v>
      </c>
      <c r="G5217" s="3" t="s">
        <v>72</v>
      </c>
      <c r="H5217" s="3" t="s">
        <v>26</v>
      </c>
      <c r="I5217" s="4" t="n">
        <v>4</v>
      </c>
      <c r="J5217" s="4" t="n">
        <f aca="false">LEN(E5217)-LEN(SUBSTITUTE(E5217,",",""))+1</f>
        <v>4</v>
      </c>
      <c r="K5217" s="3" t="str">
        <f aca="false">IFERROR(INDEX('Teacher Lookup'!$B$2:$B$200,MATCH(A5217,'Teacher Lookup'!$A$2:$A$200,0)),"")</f>
        <v>LAM Jessica</v>
      </c>
    </row>
    <row r="5218" customFormat="false" ht="15" hidden="false" customHeight="false" outlineLevel="0" collapsed="false">
      <c r="A5218" s="3" t="s">
        <v>441</v>
      </c>
      <c r="B5218" s="4" t="s">
        <v>31</v>
      </c>
      <c r="C5218" s="4" t="n">
        <v>3</v>
      </c>
      <c r="D5218" s="4" t="s">
        <v>142</v>
      </c>
      <c r="E5218" s="3" t="s">
        <v>144</v>
      </c>
      <c r="F5218" s="4" t="str">
        <f aca="false">IF(I5218&gt;J5218,"Y","N")</f>
        <v>N</v>
      </c>
      <c r="G5218" s="3" t="s">
        <v>72</v>
      </c>
      <c r="H5218" s="3" t="s">
        <v>26</v>
      </c>
      <c r="I5218" s="4" t="n">
        <v>4</v>
      </c>
      <c r="J5218" s="4" t="n">
        <f aca="false">LEN(E5218)-LEN(SUBSTITUTE(E5218,",",""))+1</f>
        <v>4</v>
      </c>
      <c r="K5218" s="3" t="str">
        <f aca="false">IFERROR(INDEX('Teacher Lookup'!$B$2:$B$200,MATCH(A5218,'Teacher Lookup'!$A$2:$A$200,0)),"")</f>
        <v>LAM Jessica</v>
      </c>
    </row>
    <row r="5219" customFormat="false" ht="15" hidden="false" customHeight="false" outlineLevel="0" collapsed="false">
      <c r="A5219" s="3" t="s">
        <v>441</v>
      </c>
      <c r="B5219" s="4" t="s">
        <v>31</v>
      </c>
      <c r="C5219" s="4" t="n">
        <v>3</v>
      </c>
      <c r="D5219" s="4" t="s">
        <v>127</v>
      </c>
      <c r="E5219" s="3" t="s">
        <v>144</v>
      </c>
      <c r="F5219" s="4" t="str">
        <f aca="false">IF(I5219&gt;J5219,"Y","N")</f>
        <v>N</v>
      </c>
      <c r="G5219" s="3" t="s">
        <v>72</v>
      </c>
      <c r="H5219" s="3" t="s">
        <v>26</v>
      </c>
      <c r="I5219" s="4" t="n">
        <v>4</v>
      </c>
      <c r="J5219" s="4" t="n">
        <f aca="false">LEN(E5219)-LEN(SUBSTITUTE(E5219,",",""))+1</f>
        <v>4</v>
      </c>
      <c r="K5219" s="3" t="str">
        <f aca="false">IFERROR(INDEX('Teacher Lookup'!$B$2:$B$200,MATCH(A5219,'Teacher Lookup'!$A$2:$A$200,0)),"")</f>
        <v>LAM Jessica</v>
      </c>
    </row>
    <row r="5220" customFormat="false" ht="15" hidden="false" customHeight="false" outlineLevel="0" collapsed="false">
      <c r="A5220" s="3" t="s">
        <v>441</v>
      </c>
      <c r="B5220" s="4" t="s">
        <v>31</v>
      </c>
      <c r="C5220" s="4" t="n">
        <v>5</v>
      </c>
      <c r="D5220" s="4" t="s">
        <v>137</v>
      </c>
      <c r="E5220" s="3" t="s">
        <v>185</v>
      </c>
      <c r="F5220" s="4" t="str">
        <f aca="false">IF(I5220&gt;J5220,"Y","N")</f>
        <v>Y</v>
      </c>
      <c r="G5220" s="3" t="s">
        <v>36</v>
      </c>
      <c r="H5220" s="3" t="s">
        <v>37</v>
      </c>
      <c r="I5220" s="4" t="n">
        <v>21</v>
      </c>
      <c r="J5220" s="4" t="n">
        <f aca="false">LEN(E5220)-LEN(SUBSTITUTE(E5220,",",""))+1</f>
        <v>7</v>
      </c>
      <c r="K5220" s="3" t="str">
        <f aca="false">IFERROR(INDEX('Teacher Lookup'!$B$2:$B$200,MATCH(A5220,'Teacher Lookup'!$A$2:$A$200,0)),"")</f>
        <v>LAM Jessica</v>
      </c>
    </row>
    <row r="5221" customFormat="false" ht="15" hidden="false" customHeight="false" outlineLevel="0" collapsed="false">
      <c r="A5221" s="3" t="s">
        <v>441</v>
      </c>
      <c r="B5221" s="4" t="s">
        <v>31</v>
      </c>
      <c r="C5221" s="4" t="n">
        <v>5</v>
      </c>
      <c r="D5221" s="4" t="s">
        <v>124</v>
      </c>
      <c r="E5221" s="3" t="s">
        <v>185</v>
      </c>
      <c r="F5221" s="4" t="str">
        <f aca="false">IF(I5221&gt;J5221,"Y","N")</f>
        <v>Y</v>
      </c>
      <c r="G5221" s="3" t="s">
        <v>36</v>
      </c>
      <c r="H5221" s="3" t="s">
        <v>37</v>
      </c>
      <c r="I5221" s="4" t="n">
        <v>21</v>
      </c>
      <c r="J5221" s="4" t="n">
        <f aca="false">LEN(E5221)-LEN(SUBSTITUTE(E5221,",",""))+1</f>
        <v>7</v>
      </c>
      <c r="K5221" s="3" t="str">
        <f aca="false">IFERROR(INDEX('Teacher Lookup'!$B$2:$B$200,MATCH(A5221,'Teacher Lookup'!$A$2:$A$200,0)),"")</f>
        <v>LAM Jessica</v>
      </c>
    </row>
    <row r="5222" customFormat="false" ht="15" hidden="false" customHeight="false" outlineLevel="0" collapsed="false">
      <c r="A5222" s="3" t="s">
        <v>441</v>
      </c>
      <c r="B5222" s="4" t="s">
        <v>31</v>
      </c>
      <c r="C5222" s="4" t="n">
        <v>5</v>
      </c>
      <c r="D5222" s="4" t="s">
        <v>139</v>
      </c>
      <c r="E5222" s="3" t="s">
        <v>185</v>
      </c>
      <c r="F5222" s="4" t="str">
        <f aca="false">IF(I5222&gt;J5222,"Y","N")</f>
        <v>Y</v>
      </c>
      <c r="G5222" s="3" t="s">
        <v>36</v>
      </c>
      <c r="H5222" s="3" t="s">
        <v>37</v>
      </c>
      <c r="I5222" s="4" t="n">
        <v>21</v>
      </c>
      <c r="J5222" s="4" t="n">
        <f aca="false">LEN(E5222)-LEN(SUBSTITUTE(E5222,",",""))+1</f>
        <v>7</v>
      </c>
      <c r="K5222" s="3" t="str">
        <f aca="false">IFERROR(INDEX('Teacher Lookup'!$B$2:$B$200,MATCH(A5222,'Teacher Lookup'!$A$2:$A$200,0)),"")</f>
        <v>LAM Jessica</v>
      </c>
    </row>
    <row r="5223" customFormat="false" ht="15" hidden="false" customHeight="false" outlineLevel="0" collapsed="false">
      <c r="A5223" s="3" t="s">
        <v>441</v>
      </c>
      <c r="B5223" s="4" t="s">
        <v>31</v>
      </c>
      <c r="C5223" s="4" t="n">
        <v>5</v>
      </c>
      <c r="D5223" s="4" t="s">
        <v>140</v>
      </c>
      <c r="E5223" s="3" t="s">
        <v>185</v>
      </c>
      <c r="F5223" s="4" t="str">
        <f aca="false">IF(I5223&gt;J5223,"Y","N")</f>
        <v>Y</v>
      </c>
      <c r="G5223" s="3" t="s">
        <v>36</v>
      </c>
      <c r="H5223" s="3" t="s">
        <v>37</v>
      </c>
      <c r="I5223" s="4" t="n">
        <v>21</v>
      </c>
      <c r="J5223" s="4" t="n">
        <f aca="false">LEN(E5223)-LEN(SUBSTITUTE(E5223,",",""))+1</f>
        <v>7</v>
      </c>
      <c r="K5223" s="3" t="str">
        <f aca="false">IFERROR(INDEX('Teacher Lookup'!$B$2:$B$200,MATCH(A5223,'Teacher Lookup'!$A$2:$A$200,0)),"")</f>
        <v>LAM Jessica</v>
      </c>
    </row>
    <row r="5224" customFormat="false" ht="15" hidden="false" customHeight="false" outlineLevel="0" collapsed="false">
      <c r="A5224" s="3" t="s">
        <v>441</v>
      </c>
      <c r="B5224" s="4" t="s">
        <v>31</v>
      </c>
      <c r="C5224" s="4" t="n">
        <v>5</v>
      </c>
      <c r="D5224" s="4" t="s">
        <v>142</v>
      </c>
      <c r="E5224" s="3" t="s">
        <v>185</v>
      </c>
      <c r="F5224" s="4" t="str">
        <f aca="false">IF(I5224&gt;J5224,"Y","N")</f>
        <v>Y</v>
      </c>
      <c r="G5224" s="3" t="s">
        <v>36</v>
      </c>
      <c r="H5224" s="3" t="s">
        <v>37</v>
      </c>
      <c r="I5224" s="4" t="n">
        <v>21</v>
      </c>
      <c r="J5224" s="4" t="n">
        <f aca="false">LEN(E5224)-LEN(SUBSTITUTE(E5224,",",""))+1</f>
        <v>7</v>
      </c>
      <c r="K5224" s="3" t="str">
        <f aca="false">IFERROR(INDEX('Teacher Lookup'!$B$2:$B$200,MATCH(A5224,'Teacher Lookup'!$A$2:$A$200,0)),"")</f>
        <v>LAM Jessica</v>
      </c>
    </row>
    <row r="5225" customFormat="false" ht="15" hidden="false" customHeight="false" outlineLevel="0" collapsed="false">
      <c r="A5225" s="3" t="s">
        <v>441</v>
      </c>
      <c r="B5225" s="4" t="s">
        <v>31</v>
      </c>
      <c r="C5225" s="4" t="n">
        <v>5</v>
      </c>
      <c r="D5225" s="4" t="s">
        <v>127</v>
      </c>
      <c r="E5225" s="3" t="s">
        <v>185</v>
      </c>
      <c r="F5225" s="4" t="str">
        <f aca="false">IF(I5225&gt;J5225,"Y","N")</f>
        <v>Y</v>
      </c>
      <c r="G5225" s="3" t="s">
        <v>36</v>
      </c>
      <c r="H5225" s="3" t="s">
        <v>37</v>
      </c>
      <c r="I5225" s="4" t="n">
        <v>21</v>
      </c>
      <c r="J5225" s="4" t="n">
        <f aca="false">LEN(E5225)-LEN(SUBSTITUTE(E5225,",",""))+1</f>
        <v>7</v>
      </c>
      <c r="K5225" s="3" t="str">
        <f aca="false">IFERROR(INDEX('Teacher Lookup'!$B$2:$B$200,MATCH(A5225,'Teacher Lookup'!$A$2:$A$200,0)),"")</f>
        <v>LAM Jessica</v>
      </c>
    </row>
    <row r="5226" customFormat="false" ht="15" hidden="false" customHeight="false" outlineLevel="0" collapsed="false">
      <c r="A5226" s="3" t="s">
        <v>441</v>
      </c>
      <c r="B5226" s="4" t="s">
        <v>31</v>
      </c>
      <c r="C5226" s="4" t="n">
        <v>6</v>
      </c>
      <c r="D5226" s="4" t="s">
        <v>137</v>
      </c>
      <c r="E5226" s="3" t="s">
        <v>146</v>
      </c>
      <c r="F5226" s="4" t="str">
        <f aca="false">IF(I5226&gt;J5226,"Y","N")</f>
        <v>N</v>
      </c>
      <c r="G5226" s="3" t="s">
        <v>72</v>
      </c>
      <c r="H5226" s="3" t="s">
        <v>42</v>
      </c>
      <c r="I5226" s="4" t="n">
        <v>4</v>
      </c>
      <c r="J5226" s="4" t="n">
        <f aca="false">LEN(E5226)-LEN(SUBSTITUTE(E5226,",",""))+1</f>
        <v>4</v>
      </c>
      <c r="K5226" s="3" t="str">
        <f aca="false">IFERROR(INDEX('Teacher Lookup'!$B$2:$B$200,MATCH(A5226,'Teacher Lookup'!$A$2:$A$200,0)),"")</f>
        <v>LAM Jessica</v>
      </c>
    </row>
    <row r="5227" customFormat="false" ht="15" hidden="false" customHeight="false" outlineLevel="0" collapsed="false">
      <c r="A5227" s="3" t="s">
        <v>441</v>
      </c>
      <c r="B5227" s="4" t="s">
        <v>31</v>
      </c>
      <c r="C5227" s="4" t="n">
        <v>6</v>
      </c>
      <c r="D5227" s="4" t="s">
        <v>124</v>
      </c>
      <c r="E5227" s="3" t="s">
        <v>146</v>
      </c>
      <c r="F5227" s="4" t="str">
        <f aca="false">IF(I5227&gt;J5227,"Y","N")</f>
        <v>N</v>
      </c>
      <c r="G5227" s="3" t="s">
        <v>72</v>
      </c>
      <c r="H5227" s="3" t="s">
        <v>42</v>
      </c>
      <c r="I5227" s="4" t="n">
        <v>4</v>
      </c>
      <c r="J5227" s="4" t="n">
        <f aca="false">LEN(E5227)-LEN(SUBSTITUTE(E5227,",",""))+1</f>
        <v>4</v>
      </c>
      <c r="K5227" s="3" t="str">
        <f aca="false">IFERROR(INDEX('Teacher Lookup'!$B$2:$B$200,MATCH(A5227,'Teacher Lookup'!$A$2:$A$200,0)),"")</f>
        <v>LAM Jessica</v>
      </c>
    </row>
    <row r="5228" customFormat="false" ht="15" hidden="false" customHeight="false" outlineLevel="0" collapsed="false">
      <c r="A5228" s="3" t="s">
        <v>441</v>
      </c>
      <c r="B5228" s="4" t="s">
        <v>31</v>
      </c>
      <c r="C5228" s="4" t="n">
        <v>6</v>
      </c>
      <c r="D5228" s="4" t="s">
        <v>139</v>
      </c>
      <c r="E5228" s="3" t="s">
        <v>146</v>
      </c>
      <c r="F5228" s="4" t="str">
        <f aca="false">IF(I5228&gt;J5228,"Y","N")</f>
        <v>N</v>
      </c>
      <c r="G5228" s="3" t="s">
        <v>72</v>
      </c>
      <c r="H5228" s="3" t="s">
        <v>42</v>
      </c>
      <c r="I5228" s="4" t="n">
        <v>4</v>
      </c>
      <c r="J5228" s="4" t="n">
        <f aca="false">LEN(E5228)-LEN(SUBSTITUTE(E5228,",",""))+1</f>
        <v>4</v>
      </c>
      <c r="K5228" s="3" t="str">
        <f aca="false">IFERROR(INDEX('Teacher Lookup'!$B$2:$B$200,MATCH(A5228,'Teacher Lookup'!$A$2:$A$200,0)),"")</f>
        <v>LAM Jessica</v>
      </c>
    </row>
    <row r="5229" customFormat="false" ht="15" hidden="false" customHeight="false" outlineLevel="0" collapsed="false">
      <c r="A5229" s="3" t="s">
        <v>441</v>
      </c>
      <c r="B5229" s="4" t="s">
        <v>40</v>
      </c>
      <c r="C5229" s="4" t="n">
        <v>1</v>
      </c>
      <c r="D5229" s="4" t="s">
        <v>140</v>
      </c>
      <c r="E5229" s="3" t="s">
        <v>147</v>
      </c>
      <c r="F5229" s="4" t="str">
        <f aca="false">IF(I5229&gt;J5229,"Y","N")</f>
        <v>N</v>
      </c>
      <c r="G5229" s="3" t="s">
        <v>72</v>
      </c>
      <c r="H5229" s="3" t="s">
        <v>16</v>
      </c>
      <c r="I5229" s="4" t="n">
        <v>4</v>
      </c>
      <c r="J5229" s="4" t="n">
        <f aca="false">LEN(E5229)-LEN(SUBSTITUTE(E5229,",",""))+1</f>
        <v>4</v>
      </c>
      <c r="K5229" s="3" t="str">
        <f aca="false">IFERROR(INDEX('Teacher Lookup'!$B$2:$B$200,MATCH(A5229,'Teacher Lookup'!$A$2:$A$200,0)),"")</f>
        <v>LAM Jessica</v>
      </c>
    </row>
    <row r="5230" customFormat="false" ht="15" hidden="false" customHeight="false" outlineLevel="0" collapsed="false">
      <c r="A5230" s="3" t="s">
        <v>441</v>
      </c>
      <c r="B5230" s="4" t="s">
        <v>40</v>
      </c>
      <c r="C5230" s="4" t="n">
        <v>1</v>
      </c>
      <c r="D5230" s="4" t="s">
        <v>142</v>
      </c>
      <c r="E5230" s="3" t="s">
        <v>147</v>
      </c>
      <c r="F5230" s="4" t="str">
        <f aca="false">IF(I5230&gt;J5230,"Y","N")</f>
        <v>N</v>
      </c>
      <c r="G5230" s="3" t="s">
        <v>72</v>
      </c>
      <c r="H5230" s="3" t="s">
        <v>16</v>
      </c>
      <c r="I5230" s="4" t="n">
        <v>4</v>
      </c>
      <c r="J5230" s="4" t="n">
        <f aca="false">LEN(E5230)-LEN(SUBSTITUTE(E5230,",",""))+1</f>
        <v>4</v>
      </c>
      <c r="K5230" s="3" t="str">
        <f aca="false">IFERROR(INDEX('Teacher Lookup'!$B$2:$B$200,MATCH(A5230,'Teacher Lookup'!$A$2:$A$200,0)),"")</f>
        <v>LAM Jessica</v>
      </c>
    </row>
    <row r="5231" customFormat="false" ht="15" hidden="false" customHeight="false" outlineLevel="0" collapsed="false">
      <c r="A5231" s="3" t="s">
        <v>441</v>
      </c>
      <c r="B5231" s="4" t="s">
        <v>40</v>
      </c>
      <c r="C5231" s="4" t="n">
        <v>1</v>
      </c>
      <c r="D5231" s="4" t="s">
        <v>127</v>
      </c>
      <c r="E5231" s="3" t="s">
        <v>147</v>
      </c>
      <c r="F5231" s="4" t="str">
        <f aca="false">IF(I5231&gt;J5231,"Y","N")</f>
        <v>N</v>
      </c>
      <c r="G5231" s="3" t="s">
        <v>72</v>
      </c>
      <c r="H5231" s="3" t="s">
        <v>16</v>
      </c>
      <c r="I5231" s="4" t="n">
        <v>4</v>
      </c>
      <c r="J5231" s="4" t="n">
        <f aca="false">LEN(E5231)-LEN(SUBSTITUTE(E5231,",",""))+1</f>
        <v>4</v>
      </c>
      <c r="K5231" s="3" t="str">
        <f aca="false">IFERROR(INDEX('Teacher Lookup'!$B$2:$B$200,MATCH(A5231,'Teacher Lookup'!$A$2:$A$200,0)),"")</f>
        <v>LAM Jessica</v>
      </c>
    </row>
    <row r="5232" customFormat="false" ht="15" hidden="false" customHeight="false" outlineLevel="0" collapsed="false">
      <c r="A5232" s="3" t="s">
        <v>441</v>
      </c>
      <c r="B5232" s="4" t="s">
        <v>40</v>
      </c>
      <c r="C5232" s="4" t="n">
        <v>2</v>
      </c>
      <c r="D5232" s="4" t="s">
        <v>137</v>
      </c>
      <c r="E5232" s="3" t="s">
        <v>148</v>
      </c>
      <c r="F5232" s="4" t="str">
        <f aca="false">IF(I5232&gt;J5232,"Y","N")</f>
        <v>N</v>
      </c>
      <c r="G5232" s="3" t="s">
        <v>72</v>
      </c>
      <c r="H5232" s="3" t="s">
        <v>21</v>
      </c>
      <c r="I5232" s="4" t="n">
        <v>4</v>
      </c>
      <c r="J5232" s="4" t="n">
        <f aca="false">LEN(E5232)-LEN(SUBSTITUTE(E5232,",",""))+1</f>
        <v>4</v>
      </c>
      <c r="K5232" s="3" t="str">
        <f aca="false">IFERROR(INDEX('Teacher Lookup'!$B$2:$B$200,MATCH(A5232,'Teacher Lookup'!$A$2:$A$200,0)),"")</f>
        <v>LAM Jessica</v>
      </c>
    </row>
    <row r="5233" customFormat="false" ht="15" hidden="false" customHeight="false" outlineLevel="0" collapsed="false">
      <c r="A5233" s="3" t="s">
        <v>441</v>
      </c>
      <c r="B5233" s="4" t="s">
        <v>40</v>
      </c>
      <c r="C5233" s="4" t="n">
        <v>2</v>
      </c>
      <c r="D5233" s="4" t="s">
        <v>124</v>
      </c>
      <c r="E5233" s="3" t="s">
        <v>148</v>
      </c>
      <c r="F5233" s="4" t="str">
        <f aca="false">IF(I5233&gt;J5233,"Y","N")</f>
        <v>N</v>
      </c>
      <c r="G5233" s="3" t="s">
        <v>72</v>
      </c>
      <c r="H5233" s="3" t="s">
        <v>21</v>
      </c>
      <c r="I5233" s="4" t="n">
        <v>4</v>
      </c>
      <c r="J5233" s="4" t="n">
        <f aca="false">LEN(E5233)-LEN(SUBSTITUTE(E5233,",",""))+1</f>
        <v>4</v>
      </c>
      <c r="K5233" s="3" t="str">
        <f aca="false">IFERROR(INDEX('Teacher Lookup'!$B$2:$B$200,MATCH(A5233,'Teacher Lookup'!$A$2:$A$200,0)),"")</f>
        <v>LAM Jessica</v>
      </c>
    </row>
    <row r="5234" customFormat="false" ht="15" hidden="false" customHeight="false" outlineLevel="0" collapsed="false">
      <c r="A5234" s="3" t="s">
        <v>441</v>
      </c>
      <c r="B5234" s="4" t="s">
        <v>40</v>
      </c>
      <c r="C5234" s="4" t="n">
        <v>2</v>
      </c>
      <c r="D5234" s="4" t="s">
        <v>139</v>
      </c>
      <c r="E5234" s="3" t="s">
        <v>148</v>
      </c>
      <c r="F5234" s="4" t="str">
        <f aca="false">IF(I5234&gt;J5234,"Y","N")</f>
        <v>N</v>
      </c>
      <c r="G5234" s="3" t="s">
        <v>72</v>
      </c>
      <c r="H5234" s="3" t="s">
        <v>21</v>
      </c>
      <c r="I5234" s="4" t="n">
        <v>4</v>
      </c>
      <c r="J5234" s="4" t="n">
        <f aca="false">LEN(E5234)-LEN(SUBSTITUTE(E5234,",",""))+1</f>
        <v>4</v>
      </c>
      <c r="K5234" s="3" t="str">
        <f aca="false">IFERROR(INDEX('Teacher Lookup'!$B$2:$B$200,MATCH(A5234,'Teacher Lookup'!$A$2:$A$200,0)),"")</f>
        <v>LAM Jessica</v>
      </c>
    </row>
    <row r="5235" customFormat="false" ht="15" hidden="false" customHeight="false" outlineLevel="0" collapsed="false">
      <c r="A5235" s="3" t="s">
        <v>441</v>
      </c>
      <c r="B5235" s="4" t="s">
        <v>40</v>
      </c>
      <c r="C5235" s="4" t="n">
        <v>5</v>
      </c>
      <c r="D5235" s="4" t="s">
        <v>105</v>
      </c>
      <c r="E5235" s="3" t="s">
        <v>254</v>
      </c>
      <c r="F5235" s="4" t="str">
        <f aca="false">IF(I5235&gt;J5235,"Y","N")</f>
        <v>N</v>
      </c>
      <c r="G5235" s="3" t="s">
        <v>72</v>
      </c>
      <c r="H5235" s="3" t="s">
        <v>37</v>
      </c>
      <c r="I5235" s="4" t="n">
        <v>3</v>
      </c>
      <c r="J5235" s="4" t="n">
        <f aca="false">LEN(E5235)-LEN(SUBSTITUTE(E5235,",",""))+1</f>
        <v>3</v>
      </c>
      <c r="K5235" s="3" t="str">
        <f aca="false">IFERROR(INDEX('Teacher Lookup'!$B$2:$B$200,MATCH(A5235,'Teacher Lookup'!$A$2:$A$200,0)),"")</f>
        <v>LAM Jessica</v>
      </c>
    </row>
    <row r="5236" customFormat="false" ht="15" hidden="false" customHeight="false" outlineLevel="0" collapsed="false">
      <c r="A5236" s="3" t="s">
        <v>441</v>
      </c>
      <c r="B5236" s="4" t="s">
        <v>40</v>
      </c>
      <c r="C5236" s="4" t="n">
        <v>5</v>
      </c>
      <c r="D5236" s="4" t="s">
        <v>106</v>
      </c>
      <c r="E5236" s="3" t="s">
        <v>254</v>
      </c>
      <c r="F5236" s="4" t="str">
        <f aca="false">IF(I5236&gt;J5236,"Y","N")</f>
        <v>N</v>
      </c>
      <c r="G5236" s="3" t="s">
        <v>72</v>
      </c>
      <c r="H5236" s="3" t="s">
        <v>37</v>
      </c>
      <c r="I5236" s="4" t="n">
        <v>3</v>
      </c>
      <c r="J5236" s="4" t="n">
        <f aca="false">LEN(E5236)-LEN(SUBSTITUTE(E5236,",",""))+1</f>
        <v>3</v>
      </c>
      <c r="K5236" s="3" t="str">
        <f aca="false">IFERROR(INDEX('Teacher Lookup'!$B$2:$B$200,MATCH(A5236,'Teacher Lookup'!$A$2:$A$200,0)),"")</f>
        <v>LAM Jessica</v>
      </c>
    </row>
    <row r="5237" customFormat="false" ht="15" hidden="false" customHeight="false" outlineLevel="0" collapsed="false">
      <c r="A5237" s="3" t="s">
        <v>441</v>
      </c>
      <c r="B5237" s="4" t="s">
        <v>44</v>
      </c>
      <c r="C5237" s="4" t="n">
        <v>1</v>
      </c>
      <c r="D5237" s="4" t="s">
        <v>105</v>
      </c>
      <c r="E5237" s="3" t="s">
        <v>257</v>
      </c>
      <c r="F5237" s="4" t="str">
        <f aca="false">IF(I5237&gt;J5237,"Y","N")</f>
        <v>N</v>
      </c>
      <c r="G5237" s="3" t="s">
        <v>72</v>
      </c>
      <c r="H5237" s="3" t="s">
        <v>16</v>
      </c>
      <c r="I5237" s="4" t="n">
        <v>3</v>
      </c>
      <c r="J5237" s="4" t="n">
        <f aca="false">LEN(E5237)-LEN(SUBSTITUTE(E5237,",",""))+1</f>
        <v>3</v>
      </c>
      <c r="K5237" s="3" t="str">
        <f aca="false">IFERROR(INDEX('Teacher Lookup'!$B$2:$B$200,MATCH(A5237,'Teacher Lookup'!$A$2:$A$200,0)),"")</f>
        <v>LAM Jessica</v>
      </c>
    </row>
    <row r="5238" customFormat="false" ht="15" hidden="false" customHeight="false" outlineLevel="0" collapsed="false">
      <c r="A5238" s="3" t="s">
        <v>441</v>
      </c>
      <c r="B5238" s="4" t="s">
        <v>44</v>
      </c>
      <c r="C5238" s="4" t="n">
        <v>1</v>
      </c>
      <c r="D5238" s="4" t="s">
        <v>106</v>
      </c>
      <c r="E5238" s="3" t="s">
        <v>257</v>
      </c>
      <c r="F5238" s="4" t="str">
        <f aca="false">IF(I5238&gt;J5238,"Y","N")</f>
        <v>N</v>
      </c>
      <c r="G5238" s="3" t="s">
        <v>72</v>
      </c>
      <c r="H5238" s="3" t="s">
        <v>16</v>
      </c>
      <c r="I5238" s="4" t="n">
        <v>3</v>
      </c>
      <c r="J5238" s="4" t="n">
        <f aca="false">LEN(E5238)-LEN(SUBSTITUTE(E5238,",",""))+1</f>
        <v>3</v>
      </c>
      <c r="K5238" s="3" t="str">
        <f aca="false">IFERROR(INDEX('Teacher Lookup'!$B$2:$B$200,MATCH(A5238,'Teacher Lookup'!$A$2:$A$200,0)),"")</f>
        <v>LAM Jessica</v>
      </c>
    </row>
    <row r="5239" customFormat="false" ht="15" hidden="false" customHeight="false" outlineLevel="0" collapsed="false">
      <c r="A5239" s="3" t="s">
        <v>441</v>
      </c>
      <c r="B5239" s="4" t="s">
        <v>44</v>
      </c>
      <c r="C5239" s="4" t="n">
        <v>3</v>
      </c>
      <c r="D5239" s="4" t="s">
        <v>140</v>
      </c>
      <c r="E5239" s="3" t="s">
        <v>150</v>
      </c>
      <c r="F5239" s="4" t="str">
        <f aca="false">IF(I5239&gt;J5239,"Y","N")</f>
        <v>N</v>
      </c>
      <c r="G5239" s="3" t="s">
        <v>72</v>
      </c>
      <c r="H5239" s="3" t="s">
        <v>26</v>
      </c>
      <c r="I5239" s="4" t="n">
        <v>4</v>
      </c>
      <c r="J5239" s="4" t="n">
        <f aca="false">LEN(E5239)-LEN(SUBSTITUTE(E5239,",",""))+1</f>
        <v>4</v>
      </c>
      <c r="K5239" s="3" t="str">
        <f aca="false">IFERROR(INDEX('Teacher Lookup'!$B$2:$B$200,MATCH(A5239,'Teacher Lookup'!$A$2:$A$200,0)),"")</f>
        <v>LAM Jessica</v>
      </c>
    </row>
    <row r="5240" customFormat="false" ht="15" hidden="false" customHeight="false" outlineLevel="0" collapsed="false">
      <c r="A5240" s="3" t="s">
        <v>441</v>
      </c>
      <c r="B5240" s="4" t="s">
        <v>44</v>
      </c>
      <c r="C5240" s="4" t="n">
        <v>3</v>
      </c>
      <c r="D5240" s="4" t="s">
        <v>142</v>
      </c>
      <c r="E5240" s="3" t="s">
        <v>150</v>
      </c>
      <c r="F5240" s="4" t="str">
        <f aca="false">IF(I5240&gt;J5240,"Y","N")</f>
        <v>N</v>
      </c>
      <c r="G5240" s="3" t="s">
        <v>72</v>
      </c>
      <c r="H5240" s="3" t="s">
        <v>26</v>
      </c>
      <c r="I5240" s="4" t="n">
        <v>4</v>
      </c>
      <c r="J5240" s="4" t="n">
        <f aca="false">LEN(E5240)-LEN(SUBSTITUTE(E5240,",",""))+1</f>
        <v>4</v>
      </c>
      <c r="K5240" s="3" t="str">
        <f aca="false">IFERROR(INDEX('Teacher Lookup'!$B$2:$B$200,MATCH(A5240,'Teacher Lookup'!$A$2:$A$200,0)),"")</f>
        <v>LAM Jessica</v>
      </c>
    </row>
    <row r="5241" customFormat="false" ht="15" hidden="false" customHeight="false" outlineLevel="0" collapsed="false">
      <c r="A5241" s="3" t="s">
        <v>441</v>
      </c>
      <c r="B5241" s="4" t="s">
        <v>44</v>
      </c>
      <c r="C5241" s="4" t="n">
        <v>3</v>
      </c>
      <c r="D5241" s="4" t="s">
        <v>127</v>
      </c>
      <c r="E5241" s="3" t="s">
        <v>150</v>
      </c>
      <c r="F5241" s="4" t="str">
        <f aca="false">IF(I5241&gt;J5241,"Y","N")</f>
        <v>N</v>
      </c>
      <c r="G5241" s="3" t="s">
        <v>72</v>
      </c>
      <c r="H5241" s="3" t="s">
        <v>26</v>
      </c>
      <c r="I5241" s="4" t="n">
        <v>4</v>
      </c>
      <c r="J5241" s="4" t="n">
        <f aca="false">LEN(E5241)-LEN(SUBSTITUTE(E5241,",",""))+1</f>
        <v>4</v>
      </c>
      <c r="K5241" s="3" t="str">
        <f aca="false">IFERROR(INDEX('Teacher Lookup'!$B$2:$B$200,MATCH(A5241,'Teacher Lookup'!$A$2:$A$200,0)),"")</f>
        <v>LAM Jessica</v>
      </c>
    </row>
    <row r="5242" customFormat="false" ht="15" hidden="false" customHeight="false" outlineLevel="0" collapsed="false">
      <c r="A5242" s="3" t="s">
        <v>441</v>
      </c>
      <c r="B5242" s="4" t="s">
        <v>44</v>
      </c>
      <c r="C5242" s="4" t="n">
        <v>4</v>
      </c>
      <c r="D5242" s="4" t="s">
        <v>137</v>
      </c>
      <c r="E5242" s="3" t="s">
        <v>151</v>
      </c>
      <c r="F5242" s="4" t="str">
        <f aca="false">IF(I5242&gt;J5242,"Y","N")</f>
        <v>N</v>
      </c>
      <c r="G5242" s="3" t="s">
        <v>72</v>
      </c>
      <c r="H5242" s="3" t="s">
        <v>34</v>
      </c>
      <c r="I5242" s="4" t="n">
        <v>4</v>
      </c>
      <c r="J5242" s="4" t="n">
        <f aca="false">LEN(E5242)-LEN(SUBSTITUTE(E5242,",",""))+1</f>
        <v>4</v>
      </c>
      <c r="K5242" s="3" t="str">
        <f aca="false">IFERROR(INDEX('Teacher Lookup'!$B$2:$B$200,MATCH(A5242,'Teacher Lookup'!$A$2:$A$200,0)),"")</f>
        <v>LAM Jessica</v>
      </c>
    </row>
    <row r="5243" customFormat="false" ht="15" hidden="false" customHeight="false" outlineLevel="0" collapsed="false">
      <c r="A5243" s="3" t="s">
        <v>441</v>
      </c>
      <c r="B5243" s="4" t="s">
        <v>44</v>
      </c>
      <c r="C5243" s="4" t="n">
        <v>4</v>
      </c>
      <c r="D5243" s="4" t="s">
        <v>124</v>
      </c>
      <c r="E5243" s="3" t="s">
        <v>151</v>
      </c>
      <c r="F5243" s="4" t="str">
        <f aca="false">IF(I5243&gt;J5243,"Y","N")</f>
        <v>N</v>
      </c>
      <c r="G5243" s="3" t="s">
        <v>72</v>
      </c>
      <c r="H5243" s="3" t="s">
        <v>34</v>
      </c>
      <c r="I5243" s="4" t="n">
        <v>4</v>
      </c>
      <c r="J5243" s="4" t="n">
        <f aca="false">LEN(E5243)-LEN(SUBSTITUTE(E5243,",",""))+1</f>
        <v>4</v>
      </c>
      <c r="K5243" s="3" t="str">
        <f aca="false">IFERROR(INDEX('Teacher Lookup'!$B$2:$B$200,MATCH(A5243,'Teacher Lookup'!$A$2:$A$200,0)),"")</f>
        <v>LAM Jessica</v>
      </c>
    </row>
    <row r="5244" customFormat="false" ht="15" hidden="false" customHeight="false" outlineLevel="0" collapsed="false">
      <c r="A5244" s="3" t="s">
        <v>441</v>
      </c>
      <c r="B5244" s="4" t="s">
        <v>44</v>
      </c>
      <c r="C5244" s="4" t="n">
        <v>4</v>
      </c>
      <c r="D5244" s="4" t="s">
        <v>139</v>
      </c>
      <c r="E5244" s="3" t="s">
        <v>151</v>
      </c>
      <c r="F5244" s="4" t="str">
        <f aca="false">IF(I5244&gt;J5244,"Y","N")</f>
        <v>N</v>
      </c>
      <c r="G5244" s="3" t="s">
        <v>72</v>
      </c>
      <c r="H5244" s="3" t="s">
        <v>34</v>
      </c>
      <c r="I5244" s="4" t="n">
        <v>4</v>
      </c>
      <c r="J5244" s="4" t="n">
        <f aca="false">LEN(E5244)-LEN(SUBSTITUTE(E5244,",",""))+1</f>
        <v>4</v>
      </c>
      <c r="K5244" s="3" t="str">
        <f aca="false">IFERROR(INDEX('Teacher Lookup'!$B$2:$B$200,MATCH(A5244,'Teacher Lookup'!$A$2:$A$200,0)),"")</f>
        <v>LAM Jessica</v>
      </c>
    </row>
    <row r="5245" customFormat="false" ht="15" hidden="false" customHeight="false" outlineLevel="0" collapsed="false">
      <c r="A5245" s="3" t="s">
        <v>441</v>
      </c>
      <c r="B5245" s="4" t="s">
        <v>44</v>
      </c>
      <c r="C5245" s="4" t="n">
        <v>5</v>
      </c>
      <c r="D5245" s="4" t="s">
        <v>137</v>
      </c>
      <c r="E5245" s="3" t="s">
        <v>185</v>
      </c>
      <c r="F5245" s="4" t="str">
        <f aca="false">IF(I5245&gt;J5245,"Y","N")</f>
        <v>Y</v>
      </c>
      <c r="G5245" s="3" t="s">
        <v>36</v>
      </c>
      <c r="H5245" s="3" t="s">
        <v>37</v>
      </c>
      <c r="I5245" s="4" t="n">
        <v>21</v>
      </c>
      <c r="J5245" s="4" t="n">
        <f aca="false">LEN(E5245)-LEN(SUBSTITUTE(E5245,",",""))+1</f>
        <v>7</v>
      </c>
      <c r="K5245" s="3" t="str">
        <f aca="false">IFERROR(INDEX('Teacher Lookup'!$B$2:$B$200,MATCH(A5245,'Teacher Lookup'!$A$2:$A$200,0)),"")</f>
        <v>LAM Jessica</v>
      </c>
    </row>
    <row r="5246" customFormat="false" ht="15" hidden="false" customHeight="false" outlineLevel="0" collapsed="false">
      <c r="A5246" s="3" t="s">
        <v>441</v>
      </c>
      <c r="B5246" s="4" t="s">
        <v>44</v>
      </c>
      <c r="C5246" s="4" t="n">
        <v>5</v>
      </c>
      <c r="D5246" s="4" t="s">
        <v>124</v>
      </c>
      <c r="E5246" s="3" t="s">
        <v>185</v>
      </c>
      <c r="F5246" s="4" t="str">
        <f aca="false">IF(I5246&gt;J5246,"Y","N")</f>
        <v>Y</v>
      </c>
      <c r="G5246" s="3" t="s">
        <v>36</v>
      </c>
      <c r="H5246" s="3" t="s">
        <v>37</v>
      </c>
      <c r="I5246" s="4" t="n">
        <v>21</v>
      </c>
      <c r="J5246" s="4" t="n">
        <f aca="false">LEN(E5246)-LEN(SUBSTITUTE(E5246,",",""))+1</f>
        <v>7</v>
      </c>
      <c r="K5246" s="3" t="str">
        <f aca="false">IFERROR(INDEX('Teacher Lookup'!$B$2:$B$200,MATCH(A5246,'Teacher Lookup'!$A$2:$A$200,0)),"")</f>
        <v>LAM Jessica</v>
      </c>
    </row>
    <row r="5247" customFormat="false" ht="15" hidden="false" customHeight="false" outlineLevel="0" collapsed="false">
      <c r="A5247" s="3" t="s">
        <v>441</v>
      </c>
      <c r="B5247" s="4" t="s">
        <v>44</v>
      </c>
      <c r="C5247" s="4" t="n">
        <v>5</v>
      </c>
      <c r="D5247" s="4" t="s">
        <v>139</v>
      </c>
      <c r="E5247" s="3" t="s">
        <v>185</v>
      </c>
      <c r="F5247" s="4" t="str">
        <f aca="false">IF(I5247&gt;J5247,"Y","N")</f>
        <v>Y</v>
      </c>
      <c r="G5247" s="3" t="s">
        <v>36</v>
      </c>
      <c r="H5247" s="3" t="s">
        <v>37</v>
      </c>
      <c r="I5247" s="4" t="n">
        <v>21</v>
      </c>
      <c r="J5247" s="4" t="n">
        <f aca="false">LEN(E5247)-LEN(SUBSTITUTE(E5247,",",""))+1</f>
        <v>7</v>
      </c>
      <c r="K5247" s="3" t="str">
        <f aca="false">IFERROR(INDEX('Teacher Lookup'!$B$2:$B$200,MATCH(A5247,'Teacher Lookup'!$A$2:$A$200,0)),"")</f>
        <v>LAM Jessica</v>
      </c>
    </row>
    <row r="5248" customFormat="false" ht="15" hidden="false" customHeight="false" outlineLevel="0" collapsed="false">
      <c r="A5248" s="3" t="s">
        <v>441</v>
      </c>
      <c r="B5248" s="4" t="s">
        <v>44</v>
      </c>
      <c r="C5248" s="4" t="n">
        <v>5</v>
      </c>
      <c r="D5248" s="4" t="s">
        <v>140</v>
      </c>
      <c r="E5248" s="3" t="s">
        <v>185</v>
      </c>
      <c r="F5248" s="4" t="str">
        <f aca="false">IF(I5248&gt;J5248,"Y","N")</f>
        <v>Y</v>
      </c>
      <c r="G5248" s="3" t="s">
        <v>36</v>
      </c>
      <c r="H5248" s="3" t="s">
        <v>37</v>
      </c>
      <c r="I5248" s="4" t="n">
        <v>21</v>
      </c>
      <c r="J5248" s="4" t="n">
        <f aca="false">LEN(E5248)-LEN(SUBSTITUTE(E5248,",",""))+1</f>
        <v>7</v>
      </c>
      <c r="K5248" s="3" t="str">
        <f aca="false">IFERROR(INDEX('Teacher Lookup'!$B$2:$B$200,MATCH(A5248,'Teacher Lookup'!$A$2:$A$200,0)),"")</f>
        <v>LAM Jessica</v>
      </c>
    </row>
    <row r="5249" customFormat="false" ht="15" hidden="false" customHeight="false" outlineLevel="0" collapsed="false">
      <c r="A5249" s="3" t="s">
        <v>441</v>
      </c>
      <c r="B5249" s="4" t="s">
        <v>44</v>
      </c>
      <c r="C5249" s="4" t="n">
        <v>5</v>
      </c>
      <c r="D5249" s="4" t="s">
        <v>142</v>
      </c>
      <c r="E5249" s="3" t="s">
        <v>185</v>
      </c>
      <c r="F5249" s="4" t="str">
        <f aca="false">IF(I5249&gt;J5249,"Y","N")</f>
        <v>Y</v>
      </c>
      <c r="G5249" s="3" t="s">
        <v>36</v>
      </c>
      <c r="H5249" s="3" t="s">
        <v>37</v>
      </c>
      <c r="I5249" s="4" t="n">
        <v>21</v>
      </c>
      <c r="J5249" s="4" t="n">
        <f aca="false">LEN(E5249)-LEN(SUBSTITUTE(E5249,",",""))+1</f>
        <v>7</v>
      </c>
      <c r="K5249" s="3" t="str">
        <f aca="false">IFERROR(INDEX('Teacher Lookup'!$B$2:$B$200,MATCH(A5249,'Teacher Lookup'!$A$2:$A$200,0)),"")</f>
        <v>LAM Jessica</v>
      </c>
    </row>
    <row r="5250" customFormat="false" ht="15" hidden="false" customHeight="false" outlineLevel="0" collapsed="false">
      <c r="A5250" s="3" t="s">
        <v>441</v>
      </c>
      <c r="B5250" s="4" t="s">
        <v>44</v>
      </c>
      <c r="C5250" s="4" t="n">
        <v>5</v>
      </c>
      <c r="D5250" s="4" t="s">
        <v>127</v>
      </c>
      <c r="E5250" s="3" t="s">
        <v>185</v>
      </c>
      <c r="F5250" s="4" t="str">
        <f aca="false">IF(I5250&gt;J5250,"Y","N")</f>
        <v>Y</v>
      </c>
      <c r="G5250" s="3" t="s">
        <v>36</v>
      </c>
      <c r="H5250" s="3" t="s">
        <v>37</v>
      </c>
      <c r="I5250" s="4" t="n">
        <v>21</v>
      </c>
      <c r="J5250" s="4" t="n">
        <f aca="false">LEN(E5250)-LEN(SUBSTITUTE(E5250,",",""))+1</f>
        <v>7</v>
      </c>
      <c r="K5250" s="3" t="str">
        <f aca="false">IFERROR(INDEX('Teacher Lookup'!$B$2:$B$200,MATCH(A5250,'Teacher Lookup'!$A$2:$A$200,0)),"")</f>
        <v>LAM Jessica</v>
      </c>
    </row>
    <row r="5251" customFormat="false" ht="15" hidden="false" customHeight="false" outlineLevel="0" collapsed="false">
      <c r="A5251" s="3" t="s">
        <v>441</v>
      </c>
      <c r="B5251" s="4" t="s">
        <v>47</v>
      </c>
      <c r="C5251" s="4" t="n">
        <v>2</v>
      </c>
      <c r="D5251" s="4" t="s">
        <v>137</v>
      </c>
      <c r="E5251" s="3" t="s">
        <v>146</v>
      </c>
      <c r="F5251" s="4" t="str">
        <f aca="false">IF(I5251&gt;J5251,"Y","N")</f>
        <v>N</v>
      </c>
      <c r="G5251" s="3" t="s">
        <v>72</v>
      </c>
      <c r="H5251" s="3" t="s">
        <v>21</v>
      </c>
      <c r="I5251" s="4" t="n">
        <v>4</v>
      </c>
      <c r="J5251" s="4" t="n">
        <f aca="false">LEN(E5251)-LEN(SUBSTITUTE(E5251,",",""))+1</f>
        <v>4</v>
      </c>
      <c r="K5251" s="3" t="str">
        <f aca="false">IFERROR(INDEX('Teacher Lookup'!$B$2:$B$200,MATCH(A5251,'Teacher Lookup'!$A$2:$A$200,0)),"")</f>
        <v>LAM Jessica</v>
      </c>
    </row>
    <row r="5252" customFormat="false" ht="15" hidden="false" customHeight="false" outlineLevel="0" collapsed="false">
      <c r="A5252" s="3" t="s">
        <v>441</v>
      </c>
      <c r="B5252" s="4" t="s">
        <v>47</v>
      </c>
      <c r="C5252" s="4" t="n">
        <v>2</v>
      </c>
      <c r="D5252" s="4" t="s">
        <v>124</v>
      </c>
      <c r="E5252" s="3" t="s">
        <v>146</v>
      </c>
      <c r="F5252" s="4" t="str">
        <f aca="false">IF(I5252&gt;J5252,"Y","N")</f>
        <v>N</v>
      </c>
      <c r="G5252" s="3" t="s">
        <v>72</v>
      </c>
      <c r="H5252" s="3" t="s">
        <v>21</v>
      </c>
      <c r="I5252" s="4" t="n">
        <v>4</v>
      </c>
      <c r="J5252" s="4" t="n">
        <f aca="false">LEN(E5252)-LEN(SUBSTITUTE(E5252,",",""))+1</f>
        <v>4</v>
      </c>
      <c r="K5252" s="3" t="str">
        <f aca="false">IFERROR(INDEX('Teacher Lookup'!$B$2:$B$200,MATCH(A5252,'Teacher Lookup'!$A$2:$A$200,0)),"")</f>
        <v>LAM Jessica</v>
      </c>
    </row>
    <row r="5253" customFormat="false" ht="15" hidden="false" customHeight="false" outlineLevel="0" collapsed="false">
      <c r="A5253" s="3" t="s">
        <v>441</v>
      </c>
      <c r="B5253" s="4" t="s">
        <v>47</v>
      </c>
      <c r="C5253" s="4" t="n">
        <v>2</v>
      </c>
      <c r="D5253" s="4" t="s">
        <v>139</v>
      </c>
      <c r="E5253" s="3" t="s">
        <v>146</v>
      </c>
      <c r="F5253" s="4" t="str">
        <f aca="false">IF(I5253&gt;J5253,"Y","N")</f>
        <v>N</v>
      </c>
      <c r="G5253" s="3" t="s">
        <v>72</v>
      </c>
      <c r="H5253" s="3" t="s">
        <v>21</v>
      </c>
      <c r="I5253" s="4" t="n">
        <v>4</v>
      </c>
      <c r="J5253" s="4" t="n">
        <f aca="false">LEN(E5253)-LEN(SUBSTITUTE(E5253,",",""))+1</f>
        <v>4</v>
      </c>
      <c r="K5253" s="3" t="str">
        <f aca="false">IFERROR(INDEX('Teacher Lookup'!$B$2:$B$200,MATCH(A5253,'Teacher Lookup'!$A$2:$A$200,0)),"")</f>
        <v>LAM Jessica</v>
      </c>
    </row>
    <row r="5254" customFormat="false" ht="15" hidden="false" customHeight="false" outlineLevel="0" collapsed="false">
      <c r="A5254" s="3" t="s">
        <v>441</v>
      </c>
      <c r="B5254" s="4" t="s">
        <v>47</v>
      </c>
      <c r="C5254" s="4" t="n">
        <v>4</v>
      </c>
      <c r="D5254" s="4" t="s">
        <v>140</v>
      </c>
      <c r="E5254" s="3" t="s">
        <v>152</v>
      </c>
      <c r="F5254" s="4" t="str">
        <f aca="false">IF(I5254&gt;J5254,"Y","N")</f>
        <v>N</v>
      </c>
      <c r="G5254" s="3" t="s">
        <v>72</v>
      </c>
      <c r="H5254" s="3" t="s">
        <v>34</v>
      </c>
      <c r="I5254" s="4" t="n">
        <v>4</v>
      </c>
      <c r="J5254" s="4" t="n">
        <f aca="false">LEN(E5254)-LEN(SUBSTITUTE(E5254,",",""))+1</f>
        <v>4</v>
      </c>
      <c r="K5254" s="3" t="str">
        <f aca="false">IFERROR(INDEX('Teacher Lookup'!$B$2:$B$200,MATCH(A5254,'Teacher Lookup'!$A$2:$A$200,0)),"")</f>
        <v>LAM Jessica</v>
      </c>
    </row>
    <row r="5255" customFormat="false" ht="15" hidden="false" customHeight="false" outlineLevel="0" collapsed="false">
      <c r="A5255" s="3" t="s">
        <v>441</v>
      </c>
      <c r="B5255" s="4" t="s">
        <v>47</v>
      </c>
      <c r="C5255" s="4" t="n">
        <v>4</v>
      </c>
      <c r="D5255" s="4" t="s">
        <v>142</v>
      </c>
      <c r="E5255" s="3" t="s">
        <v>152</v>
      </c>
      <c r="F5255" s="4" t="str">
        <f aca="false">IF(I5255&gt;J5255,"Y","N")</f>
        <v>N</v>
      </c>
      <c r="G5255" s="3" t="s">
        <v>72</v>
      </c>
      <c r="H5255" s="3" t="s">
        <v>34</v>
      </c>
      <c r="I5255" s="4" t="n">
        <v>4</v>
      </c>
      <c r="J5255" s="4" t="n">
        <f aca="false">LEN(E5255)-LEN(SUBSTITUTE(E5255,",",""))+1</f>
        <v>4</v>
      </c>
      <c r="K5255" s="3" t="str">
        <f aca="false">IFERROR(INDEX('Teacher Lookup'!$B$2:$B$200,MATCH(A5255,'Teacher Lookup'!$A$2:$A$200,0)),"")</f>
        <v>LAM Jessica</v>
      </c>
    </row>
    <row r="5256" customFormat="false" ht="15" hidden="false" customHeight="false" outlineLevel="0" collapsed="false">
      <c r="A5256" s="3" t="s">
        <v>441</v>
      </c>
      <c r="B5256" s="4" t="s">
        <v>47</v>
      </c>
      <c r="C5256" s="4" t="n">
        <v>4</v>
      </c>
      <c r="D5256" s="4" t="s">
        <v>127</v>
      </c>
      <c r="E5256" s="3" t="s">
        <v>152</v>
      </c>
      <c r="F5256" s="4" t="str">
        <f aca="false">IF(I5256&gt;J5256,"Y","N")</f>
        <v>N</v>
      </c>
      <c r="G5256" s="3" t="s">
        <v>72</v>
      </c>
      <c r="H5256" s="3" t="s">
        <v>34</v>
      </c>
      <c r="I5256" s="4" t="n">
        <v>4</v>
      </c>
      <c r="J5256" s="4" t="n">
        <f aca="false">LEN(E5256)-LEN(SUBSTITUTE(E5256,",",""))+1</f>
        <v>4</v>
      </c>
      <c r="K5256" s="3" t="str">
        <f aca="false">IFERROR(INDEX('Teacher Lookup'!$B$2:$B$200,MATCH(A5256,'Teacher Lookup'!$A$2:$A$200,0)),"")</f>
        <v>LAM Jessica</v>
      </c>
    </row>
    <row r="5257" customFormat="false" ht="15" hidden="false" customHeight="false" outlineLevel="0" collapsed="false">
      <c r="A5257" s="3" t="s">
        <v>441</v>
      </c>
      <c r="B5257" s="4" t="s">
        <v>47</v>
      </c>
      <c r="C5257" s="4" t="n">
        <v>6</v>
      </c>
      <c r="D5257" s="4" t="s">
        <v>105</v>
      </c>
      <c r="E5257" s="3" t="s">
        <v>328</v>
      </c>
      <c r="F5257" s="4" t="str">
        <f aca="false">IF(I5257&gt;J5257,"Y","N")</f>
        <v>N</v>
      </c>
      <c r="G5257" s="3" t="s">
        <v>72</v>
      </c>
      <c r="H5257" s="3" t="s">
        <v>42</v>
      </c>
      <c r="I5257" s="4" t="n">
        <v>3</v>
      </c>
      <c r="J5257" s="4" t="n">
        <f aca="false">LEN(E5257)-LEN(SUBSTITUTE(E5257,",",""))+1</f>
        <v>3</v>
      </c>
      <c r="K5257" s="3" t="str">
        <f aca="false">IFERROR(INDEX('Teacher Lookup'!$B$2:$B$200,MATCH(A5257,'Teacher Lookup'!$A$2:$A$200,0)),"")</f>
        <v>LAM Jessica</v>
      </c>
    </row>
    <row r="5258" customFormat="false" ht="15" hidden="false" customHeight="false" outlineLevel="0" collapsed="false">
      <c r="A5258" s="3" t="s">
        <v>441</v>
      </c>
      <c r="B5258" s="4" t="s">
        <v>47</v>
      </c>
      <c r="C5258" s="4" t="n">
        <v>6</v>
      </c>
      <c r="D5258" s="4" t="s">
        <v>106</v>
      </c>
      <c r="E5258" s="3" t="s">
        <v>328</v>
      </c>
      <c r="F5258" s="4" t="str">
        <f aca="false">IF(I5258&gt;J5258,"Y","N")</f>
        <v>N</v>
      </c>
      <c r="G5258" s="3" t="s">
        <v>72</v>
      </c>
      <c r="H5258" s="3" t="s">
        <v>42</v>
      </c>
      <c r="I5258" s="4" t="n">
        <v>3</v>
      </c>
      <c r="J5258" s="4" t="n">
        <f aca="false">LEN(E5258)-LEN(SUBSTITUTE(E5258,",",""))+1</f>
        <v>3</v>
      </c>
      <c r="K5258" s="3" t="str">
        <f aca="false">IFERROR(INDEX('Teacher Lookup'!$B$2:$B$200,MATCH(A5258,'Teacher Lookup'!$A$2:$A$200,0)),"")</f>
        <v>LAM Jessica</v>
      </c>
    </row>
    <row r="5259" customFormat="false" ht="15" hidden="false" customHeight="false" outlineLevel="0" collapsed="false">
      <c r="A5259" s="3" t="s">
        <v>441</v>
      </c>
      <c r="B5259" s="4" t="s">
        <v>47</v>
      </c>
      <c r="C5259" s="4" t="n">
        <v>7</v>
      </c>
      <c r="D5259" s="4" t="s">
        <v>105</v>
      </c>
      <c r="E5259" s="3" t="s">
        <v>328</v>
      </c>
      <c r="F5259" s="4" t="str">
        <f aca="false">IF(I5259&gt;J5259,"Y","N")</f>
        <v>N</v>
      </c>
      <c r="G5259" s="3" t="s">
        <v>72</v>
      </c>
      <c r="H5259" s="3" t="s">
        <v>39</v>
      </c>
      <c r="I5259" s="4" t="n">
        <v>3</v>
      </c>
      <c r="J5259" s="4" t="n">
        <f aca="false">LEN(E5259)-LEN(SUBSTITUTE(E5259,",",""))+1</f>
        <v>3</v>
      </c>
      <c r="K5259" s="3" t="str">
        <f aca="false">IFERROR(INDEX('Teacher Lookup'!$B$2:$B$200,MATCH(A5259,'Teacher Lookup'!$A$2:$A$200,0)),"")</f>
        <v>LAM Jessica</v>
      </c>
    </row>
    <row r="5260" customFormat="false" ht="15" hidden="false" customHeight="false" outlineLevel="0" collapsed="false">
      <c r="A5260" s="3" t="s">
        <v>441</v>
      </c>
      <c r="B5260" s="4" t="s">
        <v>47</v>
      </c>
      <c r="C5260" s="4" t="n">
        <v>7</v>
      </c>
      <c r="D5260" s="4" t="s">
        <v>106</v>
      </c>
      <c r="E5260" s="3" t="s">
        <v>328</v>
      </c>
      <c r="F5260" s="4" t="str">
        <f aca="false">IF(I5260&gt;J5260,"Y","N")</f>
        <v>N</v>
      </c>
      <c r="G5260" s="3" t="s">
        <v>72</v>
      </c>
      <c r="H5260" s="3" t="s">
        <v>39</v>
      </c>
      <c r="I5260" s="4" t="n">
        <v>3</v>
      </c>
      <c r="J5260" s="4" t="n">
        <f aca="false">LEN(E5260)-LEN(SUBSTITUTE(E5260,",",""))+1</f>
        <v>3</v>
      </c>
      <c r="K5260" s="3" t="str">
        <f aca="false">IFERROR(INDEX('Teacher Lookup'!$B$2:$B$200,MATCH(A5260,'Teacher Lookup'!$A$2:$A$200,0)),"")</f>
        <v>LAM Jessica</v>
      </c>
    </row>
    <row r="5261" customFormat="false" ht="15" hidden="false" customHeight="false" outlineLevel="0" collapsed="false">
      <c r="A5261" s="3" t="s">
        <v>441</v>
      </c>
      <c r="B5261" s="4" t="s">
        <v>50</v>
      </c>
      <c r="C5261" s="4" t="n">
        <v>1</v>
      </c>
      <c r="D5261" s="4" t="s">
        <v>137</v>
      </c>
      <c r="E5261" s="3" t="s">
        <v>154</v>
      </c>
      <c r="F5261" s="4" t="str">
        <f aca="false">IF(I5261&gt;J5261,"Y","N")</f>
        <v>N</v>
      </c>
      <c r="G5261" s="3" t="s">
        <v>72</v>
      </c>
      <c r="H5261" s="3" t="s">
        <v>16</v>
      </c>
      <c r="I5261" s="4" t="n">
        <v>4</v>
      </c>
      <c r="J5261" s="4" t="n">
        <f aca="false">LEN(E5261)-LEN(SUBSTITUTE(E5261,",",""))+1</f>
        <v>4</v>
      </c>
      <c r="K5261" s="3" t="str">
        <f aca="false">IFERROR(INDEX('Teacher Lookup'!$B$2:$B$200,MATCH(A5261,'Teacher Lookup'!$A$2:$A$200,0)),"")</f>
        <v>LAM Jessica</v>
      </c>
    </row>
    <row r="5262" customFormat="false" ht="15" hidden="false" customHeight="false" outlineLevel="0" collapsed="false">
      <c r="A5262" s="3" t="s">
        <v>441</v>
      </c>
      <c r="B5262" s="4" t="s">
        <v>50</v>
      </c>
      <c r="C5262" s="4" t="n">
        <v>1</v>
      </c>
      <c r="D5262" s="4" t="s">
        <v>124</v>
      </c>
      <c r="E5262" s="3" t="s">
        <v>154</v>
      </c>
      <c r="F5262" s="4" t="str">
        <f aca="false">IF(I5262&gt;J5262,"Y","N")</f>
        <v>N</v>
      </c>
      <c r="G5262" s="3" t="s">
        <v>72</v>
      </c>
      <c r="H5262" s="3" t="s">
        <v>16</v>
      </c>
      <c r="I5262" s="4" t="n">
        <v>4</v>
      </c>
      <c r="J5262" s="4" t="n">
        <f aca="false">LEN(E5262)-LEN(SUBSTITUTE(E5262,",",""))+1</f>
        <v>4</v>
      </c>
      <c r="K5262" s="3" t="str">
        <f aca="false">IFERROR(INDEX('Teacher Lookup'!$B$2:$B$200,MATCH(A5262,'Teacher Lookup'!$A$2:$A$200,0)),"")</f>
        <v>LAM Jessica</v>
      </c>
    </row>
    <row r="5263" customFormat="false" ht="15" hidden="false" customHeight="false" outlineLevel="0" collapsed="false">
      <c r="A5263" s="3" t="s">
        <v>441</v>
      </c>
      <c r="B5263" s="4" t="s">
        <v>50</v>
      </c>
      <c r="C5263" s="4" t="n">
        <v>1</v>
      </c>
      <c r="D5263" s="4" t="s">
        <v>139</v>
      </c>
      <c r="E5263" s="3" t="s">
        <v>154</v>
      </c>
      <c r="F5263" s="4" t="str">
        <f aca="false">IF(I5263&gt;J5263,"Y","N")</f>
        <v>N</v>
      </c>
      <c r="G5263" s="3" t="s">
        <v>72</v>
      </c>
      <c r="H5263" s="3" t="s">
        <v>16</v>
      </c>
      <c r="I5263" s="4" t="n">
        <v>4</v>
      </c>
      <c r="J5263" s="4" t="n">
        <f aca="false">LEN(E5263)-LEN(SUBSTITUTE(E5263,",",""))+1</f>
        <v>4</v>
      </c>
      <c r="K5263" s="3" t="str">
        <f aca="false">IFERROR(INDEX('Teacher Lookup'!$B$2:$B$200,MATCH(A5263,'Teacher Lookup'!$A$2:$A$200,0)),"")</f>
        <v>LAM Jessica</v>
      </c>
    </row>
    <row r="5264" customFormat="false" ht="15" hidden="false" customHeight="false" outlineLevel="0" collapsed="false">
      <c r="A5264" s="3" t="s">
        <v>441</v>
      </c>
      <c r="B5264" s="4" t="s">
        <v>50</v>
      </c>
      <c r="C5264" s="4" t="n">
        <v>2</v>
      </c>
      <c r="D5264" s="4" t="s">
        <v>137</v>
      </c>
      <c r="E5264" s="3" t="s">
        <v>154</v>
      </c>
      <c r="F5264" s="4" t="str">
        <f aca="false">IF(I5264&gt;J5264,"Y","N")</f>
        <v>N</v>
      </c>
      <c r="G5264" s="3" t="s">
        <v>72</v>
      </c>
      <c r="H5264" s="3" t="s">
        <v>21</v>
      </c>
      <c r="I5264" s="4" t="n">
        <v>4</v>
      </c>
      <c r="J5264" s="4" t="n">
        <f aca="false">LEN(E5264)-LEN(SUBSTITUTE(E5264,",",""))+1</f>
        <v>4</v>
      </c>
      <c r="K5264" s="3" t="str">
        <f aca="false">IFERROR(INDEX('Teacher Lookup'!$B$2:$B$200,MATCH(A5264,'Teacher Lookup'!$A$2:$A$200,0)),"")</f>
        <v>LAM Jessica</v>
      </c>
    </row>
    <row r="5265" customFormat="false" ht="15" hidden="false" customHeight="false" outlineLevel="0" collapsed="false">
      <c r="A5265" s="3" t="s">
        <v>441</v>
      </c>
      <c r="B5265" s="4" t="s">
        <v>50</v>
      </c>
      <c r="C5265" s="4" t="n">
        <v>2</v>
      </c>
      <c r="D5265" s="4" t="s">
        <v>124</v>
      </c>
      <c r="E5265" s="3" t="s">
        <v>154</v>
      </c>
      <c r="F5265" s="4" t="str">
        <f aca="false">IF(I5265&gt;J5265,"Y","N")</f>
        <v>N</v>
      </c>
      <c r="G5265" s="3" t="s">
        <v>72</v>
      </c>
      <c r="H5265" s="3" t="s">
        <v>21</v>
      </c>
      <c r="I5265" s="4" t="n">
        <v>4</v>
      </c>
      <c r="J5265" s="4" t="n">
        <f aca="false">LEN(E5265)-LEN(SUBSTITUTE(E5265,",",""))+1</f>
        <v>4</v>
      </c>
      <c r="K5265" s="3" t="str">
        <f aca="false">IFERROR(INDEX('Teacher Lookup'!$B$2:$B$200,MATCH(A5265,'Teacher Lookup'!$A$2:$A$200,0)),"")</f>
        <v>LAM Jessica</v>
      </c>
    </row>
    <row r="5266" customFormat="false" ht="15" hidden="false" customHeight="false" outlineLevel="0" collapsed="false">
      <c r="A5266" s="3" t="s">
        <v>441</v>
      </c>
      <c r="B5266" s="4" t="s">
        <v>50</v>
      </c>
      <c r="C5266" s="4" t="n">
        <v>2</v>
      </c>
      <c r="D5266" s="4" t="s">
        <v>139</v>
      </c>
      <c r="E5266" s="3" t="s">
        <v>154</v>
      </c>
      <c r="F5266" s="4" t="str">
        <f aca="false">IF(I5266&gt;J5266,"Y","N")</f>
        <v>N</v>
      </c>
      <c r="G5266" s="3" t="s">
        <v>72</v>
      </c>
      <c r="H5266" s="3" t="s">
        <v>21</v>
      </c>
      <c r="I5266" s="4" t="n">
        <v>4</v>
      </c>
      <c r="J5266" s="4" t="n">
        <f aca="false">LEN(E5266)-LEN(SUBSTITUTE(E5266,",",""))+1</f>
        <v>4</v>
      </c>
      <c r="K5266" s="3" t="str">
        <f aca="false">IFERROR(INDEX('Teacher Lookup'!$B$2:$B$200,MATCH(A5266,'Teacher Lookup'!$A$2:$A$200,0)),"")</f>
        <v>LAM Jessica</v>
      </c>
    </row>
    <row r="5267" customFormat="false" ht="15" hidden="false" customHeight="false" outlineLevel="0" collapsed="false">
      <c r="A5267" s="3" t="s">
        <v>441</v>
      </c>
      <c r="B5267" s="4" t="s">
        <v>50</v>
      </c>
      <c r="C5267" s="4" t="n">
        <v>3</v>
      </c>
      <c r="D5267" s="4" t="s">
        <v>140</v>
      </c>
      <c r="E5267" s="3" t="s">
        <v>155</v>
      </c>
      <c r="F5267" s="4" t="str">
        <f aca="false">IF(I5267&gt;J5267,"Y","N")</f>
        <v>N</v>
      </c>
      <c r="G5267" s="3" t="s">
        <v>72</v>
      </c>
      <c r="H5267" s="3" t="s">
        <v>26</v>
      </c>
      <c r="I5267" s="4" t="n">
        <v>4</v>
      </c>
      <c r="J5267" s="4" t="n">
        <f aca="false">LEN(E5267)-LEN(SUBSTITUTE(E5267,",",""))+1</f>
        <v>4</v>
      </c>
      <c r="K5267" s="3" t="str">
        <f aca="false">IFERROR(INDEX('Teacher Lookup'!$B$2:$B$200,MATCH(A5267,'Teacher Lookup'!$A$2:$A$200,0)),"")</f>
        <v>LAM Jessica</v>
      </c>
    </row>
    <row r="5268" customFormat="false" ht="15" hidden="false" customHeight="false" outlineLevel="0" collapsed="false">
      <c r="A5268" s="3" t="s">
        <v>441</v>
      </c>
      <c r="B5268" s="4" t="s">
        <v>50</v>
      </c>
      <c r="C5268" s="4" t="n">
        <v>3</v>
      </c>
      <c r="D5268" s="4" t="s">
        <v>142</v>
      </c>
      <c r="E5268" s="3" t="s">
        <v>155</v>
      </c>
      <c r="F5268" s="4" t="str">
        <f aca="false">IF(I5268&gt;J5268,"Y","N")</f>
        <v>N</v>
      </c>
      <c r="G5268" s="3" t="s">
        <v>72</v>
      </c>
      <c r="H5268" s="3" t="s">
        <v>26</v>
      </c>
      <c r="I5268" s="4" t="n">
        <v>4</v>
      </c>
      <c r="J5268" s="4" t="n">
        <f aca="false">LEN(E5268)-LEN(SUBSTITUTE(E5268,",",""))+1</f>
        <v>4</v>
      </c>
      <c r="K5268" s="3" t="str">
        <f aca="false">IFERROR(INDEX('Teacher Lookup'!$B$2:$B$200,MATCH(A5268,'Teacher Lookup'!$A$2:$A$200,0)),"")</f>
        <v>LAM Jessica</v>
      </c>
    </row>
    <row r="5269" customFormat="false" ht="15" hidden="false" customHeight="false" outlineLevel="0" collapsed="false">
      <c r="A5269" s="3" t="s">
        <v>441</v>
      </c>
      <c r="B5269" s="4" t="s">
        <v>50</v>
      </c>
      <c r="C5269" s="4" t="n">
        <v>3</v>
      </c>
      <c r="D5269" s="4" t="s">
        <v>127</v>
      </c>
      <c r="E5269" s="3" t="s">
        <v>155</v>
      </c>
      <c r="F5269" s="4" t="str">
        <f aca="false">IF(I5269&gt;J5269,"Y","N")</f>
        <v>N</v>
      </c>
      <c r="G5269" s="3" t="s">
        <v>72</v>
      </c>
      <c r="H5269" s="3" t="s">
        <v>26</v>
      </c>
      <c r="I5269" s="4" t="n">
        <v>4</v>
      </c>
      <c r="J5269" s="4" t="n">
        <f aca="false">LEN(E5269)-LEN(SUBSTITUTE(E5269,",",""))+1</f>
        <v>4</v>
      </c>
      <c r="K5269" s="3" t="str">
        <f aca="false">IFERROR(INDEX('Teacher Lookup'!$B$2:$B$200,MATCH(A5269,'Teacher Lookup'!$A$2:$A$200,0)),"")</f>
        <v>LAM Jessica</v>
      </c>
    </row>
    <row r="5270" customFormat="false" ht="15" hidden="false" customHeight="false" outlineLevel="0" collapsed="false">
      <c r="A5270" s="3" t="s">
        <v>441</v>
      </c>
      <c r="B5270" s="4" t="s">
        <v>50</v>
      </c>
      <c r="C5270" s="4" t="n">
        <v>7</v>
      </c>
      <c r="D5270" s="4" t="s">
        <v>105</v>
      </c>
      <c r="E5270" s="3" t="s">
        <v>331</v>
      </c>
      <c r="F5270" s="4" t="str">
        <f aca="false">IF(I5270&gt;J5270,"Y","N")</f>
        <v>N</v>
      </c>
      <c r="G5270" s="3" t="s">
        <v>72</v>
      </c>
      <c r="H5270" s="3" t="s">
        <v>39</v>
      </c>
      <c r="I5270" s="4" t="n">
        <v>3</v>
      </c>
      <c r="J5270" s="4" t="n">
        <f aca="false">LEN(E5270)-LEN(SUBSTITUTE(E5270,",",""))+1</f>
        <v>3</v>
      </c>
      <c r="K5270" s="3" t="str">
        <f aca="false">IFERROR(INDEX('Teacher Lookup'!$B$2:$B$200,MATCH(A5270,'Teacher Lookup'!$A$2:$A$200,0)),"")</f>
        <v>LAM Jessica</v>
      </c>
    </row>
    <row r="5271" customFormat="false" ht="15" hidden="false" customHeight="false" outlineLevel="0" collapsed="false">
      <c r="A5271" s="3" t="s">
        <v>441</v>
      </c>
      <c r="B5271" s="4" t="s">
        <v>50</v>
      </c>
      <c r="C5271" s="4" t="n">
        <v>7</v>
      </c>
      <c r="D5271" s="4" t="s">
        <v>106</v>
      </c>
      <c r="E5271" s="3" t="s">
        <v>331</v>
      </c>
      <c r="F5271" s="4" t="str">
        <f aca="false">IF(I5271&gt;J5271,"Y","N")</f>
        <v>N</v>
      </c>
      <c r="G5271" s="3" t="s">
        <v>72</v>
      </c>
      <c r="H5271" s="3" t="s">
        <v>39</v>
      </c>
      <c r="I5271" s="4" t="n">
        <v>3</v>
      </c>
      <c r="J5271" s="4" t="n">
        <f aca="false">LEN(E5271)-LEN(SUBSTITUTE(E5271,",",""))+1</f>
        <v>3</v>
      </c>
      <c r="K5271" s="3" t="str">
        <f aca="false">IFERROR(INDEX('Teacher Lookup'!$B$2:$B$200,MATCH(A5271,'Teacher Lookup'!$A$2:$A$200,0)),"")</f>
        <v>LAM Jessica</v>
      </c>
    </row>
    <row r="5272" customFormat="false" ht="15" hidden="false" customHeight="false" outlineLevel="0" collapsed="false">
      <c r="A5272" s="3" t="s">
        <v>441</v>
      </c>
      <c r="B5272" s="4" t="s">
        <v>60</v>
      </c>
      <c r="C5272" s="4" t="n">
        <v>3</v>
      </c>
      <c r="D5272" s="4" t="s">
        <v>105</v>
      </c>
      <c r="E5272" s="3" t="s">
        <v>332</v>
      </c>
      <c r="F5272" s="4" t="str">
        <f aca="false">IF(I5272&gt;J5272,"Y","N")</f>
        <v>N</v>
      </c>
      <c r="G5272" s="3" t="s">
        <v>72</v>
      </c>
      <c r="H5272" s="3" t="s">
        <v>26</v>
      </c>
      <c r="I5272" s="4" t="n">
        <v>3</v>
      </c>
      <c r="J5272" s="4" t="n">
        <f aca="false">LEN(E5272)-LEN(SUBSTITUTE(E5272,",",""))+1</f>
        <v>3</v>
      </c>
      <c r="K5272" s="3" t="str">
        <f aca="false">IFERROR(INDEX('Teacher Lookup'!$B$2:$B$200,MATCH(A5272,'Teacher Lookup'!$A$2:$A$200,0)),"")</f>
        <v>LAM Jessica</v>
      </c>
    </row>
    <row r="5273" customFormat="false" ht="15" hidden="false" customHeight="false" outlineLevel="0" collapsed="false">
      <c r="A5273" s="3" t="s">
        <v>441</v>
      </c>
      <c r="B5273" s="4" t="s">
        <v>60</v>
      </c>
      <c r="C5273" s="4" t="n">
        <v>3</v>
      </c>
      <c r="D5273" s="4" t="s">
        <v>106</v>
      </c>
      <c r="E5273" s="3" t="s">
        <v>332</v>
      </c>
      <c r="F5273" s="4" t="str">
        <f aca="false">IF(I5273&gt;J5273,"Y","N")</f>
        <v>N</v>
      </c>
      <c r="G5273" s="3" t="s">
        <v>72</v>
      </c>
      <c r="H5273" s="3" t="s">
        <v>26</v>
      </c>
      <c r="I5273" s="4" t="n">
        <v>3</v>
      </c>
      <c r="J5273" s="4" t="n">
        <f aca="false">LEN(E5273)-LEN(SUBSTITUTE(E5273,",",""))+1</f>
        <v>3</v>
      </c>
      <c r="K5273" s="3" t="str">
        <f aca="false">IFERROR(INDEX('Teacher Lookup'!$B$2:$B$200,MATCH(A5273,'Teacher Lookup'!$A$2:$A$200,0)),"")</f>
        <v>LAM Jessica</v>
      </c>
    </row>
    <row r="5274" customFormat="false" ht="15" hidden="false" customHeight="false" outlineLevel="0" collapsed="false">
      <c r="A5274" s="3" t="s">
        <v>441</v>
      </c>
      <c r="B5274" s="4" t="s">
        <v>60</v>
      </c>
      <c r="C5274" s="4" t="n">
        <v>4</v>
      </c>
      <c r="D5274" s="4" t="s">
        <v>137</v>
      </c>
      <c r="E5274" s="3" t="s">
        <v>138</v>
      </c>
      <c r="F5274" s="4" t="str">
        <f aca="false">IF(I5274&gt;J5274,"Y","N")</f>
        <v>N</v>
      </c>
      <c r="G5274" s="3" t="s">
        <v>72</v>
      </c>
      <c r="H5274" s="3" t="s">
        <v>34</v>
      </c>
      <c r="I5274" s="4" t="n">
        <v>4</v>
      </c>
      <c r="J5274" s="4" t="n">
        <f aca="false">LEN(E5274)-LEN(SUBSTITUTE(E5274,",",""))+1</f>
        <v>4</v>
      </c>
      <c r="K5274" s="3" t="str">
        <f aca="false">IFERROR(INDEX('Teacher Lookup'!$B$2:$B$200,MATCH(A5274,'Teacher Lookup'!$A$2:$A$200,0)),"")</f>
        <v>LAM Jessica</v>
      </c>
    </row>
    <row r="5275" customFormat="false" ht="15" hidden="false" customHeight="false" outlineLevel="0" collapsed="false">
      <c r="A5275" s="3" t="s">
        <v>441</v>
      </c>
      <c r="B5275" s="4" t="s">
        <v>60</v>
      </c>
      <c r="C5275" s="4" t="n">
        <v>4</v>
      </c>
      <c r="D5275" s="4" t="s">
        <v>124</v>
      </c>
      <c r="E5275" s="3" t="s">
        <v>138</v>
      </c>
      <c r="F5275" s="4" t="str">
        <f aca="false">IF(I5275&gt;J5275,"Y","N")</f>
        <v>N</v>
      </c>
      <c r="G5275" s="3" t="s">
        <v>72</v>
      </c>
      <c r="H5275" s="3" t="s">
        <v>34</v>
      </c>
      <c r="I5275" s="4" t="n">
        <v>4</v>
      </c>
      <c r="J5275" s="4" t="n">
        <f aca="false">LEN(E5275)-LEN(SUBSTITUTE(E5275,",",""))+1</f>
        <v>4</v>
      </c>
      <c r="K5275" s="3" t="str">
        <f aca="false">IFERROR(INDEX('Teacher Lookup'!$B$2:$B$200,MATCH(A5275,'Teacher Lookup'!$A$2:$A$200,0)),"")</f>
        <v>LAM Jessica</v>
      </c>
    </row>
    <row r="5276" customFormat="false" ht="15" hidden="false" customHeight="false" outlineLevel="0" collapsed="false">
      <c r="A5276" s="3" t="s">
        <v>441</v>
      </c>
      <c r="B5276" s="4" t="s">
        <v>60</v>
      </c>
      <c r="C5276" s="4" t="n">
        <v>4</v>
      </c>
      <c r="D5276" s="4" t="s">
        <v>139</v>
      </c>
      <c r="E5276" s="3" t="s">
        <v>138</v>
      </c>
      <c r="F5276" s="4" t="str">
        <f aca="false">IF(I5276&gt;J5276,"Y","N")</f>
        <v>N</v>
      </c>
      <c r="G5276" s="3" t="s">
        <v>72</v>
      </c>
      <c r="H5276" s="3" t="s">
        <v>34</v>
      </c>
      <c r="I5276" s="4" t="n">
        <v>4</v>
      </c>
      <c r="J5276" s="4" t="n">
        <f aca="false">LEN(E5276)-LEN(SUBSTITUTE(E5276,",",""))+1</f>
        <v>4</v>
      </c>
      <c r="K5276" s="3" t="str">
        <f aca="false">IFERROR(INDEX('Teacher Lookup'!$B$2:$B$200,MATCH(A5276,'Teacher Lookup'!$A$2:$A$200,0)),"")</f>
        <v>LAM Jessica</v>
      </c>
    </row>
    <row r="5277" customFormat="false" ht="15" hidden="false" customHeight="false" outlineLevel="0" collapsed="false">
      <c r="A5277" s="3" t="s">
        <v>441</v>
      </c>
      <c r="B5277" s="4" t="s">
        <v>60</v>
      </c>
      <c r="C5277" s="4" t="n">
        <v>5</v>
      </c>
      <c r="D5277" s="4" t="s">
        <v>137</v>
      </c>
      <c r="E5277" s="3" t="s">
        <v>185</v>
      </c>
      <c r="F5277" s="4" t="str">
        <f aca="false">IF(I5277&gt;J5277,"Y","N")</f>
        <v>Y</v>
      </c>
      <c r="G5277" s="3" t="s">
        <v>36</v>
      </c>
      <c r="H5277" s="3" t="s">
        <v>37</v>
      </c>
      <c r="I5277" s="4" t="n">
        <v>21</v>
      </c>
      <c r="J5277" s="4" t="n">
        <f aca="false">LEN(E5277)-LEN(SUBSTITUTE(E5277,",",""))+1</f>
        <v>7</v>
      </c>
      <c r="K5277" s="3" t="str">
        <f aca="false">IFERROR(INDEX('Teacher Lookup'!$B$2:$B$200,MATCH(A5277,'Teacher Lookup'!$A$2:$A$200,0)),"")</f>
        <v>LAM Jessica</v>
      </c>
    </row>
    <row r="5278" customFormat="false" ht="15" hidden="false" customHeight="false" outlineLevel="0" collapsed="false">
      <c r="A5278" s="3" t="s">
        <v>441</v>
      </c>
      <c r="B5278" s="4" t="s">
        <v>60</v>
      </c>
      <c r="C5278" s="4" t="n">
        <v>5</v>
      </c>
      <c r="D5278" s="4" t="s">
        <v>124</v>
      </c>
      <c r="E5278" s="3" t="s">
        <v>185</v>
      </c>
      <c r="F5278" s="4" t="str">
        <f aca="false">IF(I5278&gt;J5278,"Y","N")</f>
        <v>Y</v>
      </c>
      <c r="G5278" s="3" t="s">
        <v>36</v>
      </c>
      <c r="H5278" s="3" t="s">
        <v>37</v>
      </c>
      <c r="I5278" s="4" t="n">
        <v>21</v>
      </c>
      <c r="J5278" s="4" t="n">
        <f aca="false">LEN(E5278)-LEN(SUBSTITUTE(E5278,",",""))+1</f>
        <v>7</v>
      </c>
      <c r="K5278" s="3" t="str">
        <f aca="false">IFERROR(INDEX('Teacher Lookup'!$B$2:$B$200,MATCH(A5278,'Teacher Lookup'!$A$2:$A$200,0)),"")</f>
        <v>LAM Jessica</v>
      </c>
    </row>
    <row r="5279" customFormat="false" ht="15" hidden="false" customHeight="false" outlineLevel="0" collapsed="false">
      <c r="A5279" s="3" t="s">
        <v>441</v>
      </c>
      <c r="B5279" s="4" t="s">
        <v>60</v>
      </c>
      <c r="C5279" s="4" t="n">
        <v>5</v>
      </c>
      <c r="D5279" s="4" t="s">
        <v>139</v>
      </c>
      <c r="E5279" s="3" t="s">
        <v>185</v>
      </c>
      <c r="F5279" s="4" t="str">
        <f aca="false">IF(I5279&gt;J5279,"Y","N")</f>
        <v>Y</v>
      </c>
      <c r="G5279" s="3" t="s">
        <v>36</v>
      </c>
      <c r="H5279" s="3" t="s">
        <v>37</v>
      </c>
      <c r="I5279" s="4" t="n">
        <v>21</v>
      </c>
      <c r="J5279" s="4" t="n">
        <f aca="false">LEN(E5279)-LEN(SUBSTITUTE(E5279,",",""))+1</f>
        <v>7</v>
      </c>
      <c r="K5279" s="3" t="str">
        <f aca="false">IFERROR(INDEX('Teacher Lookup'!$B$2:$B$200,MATCH(A5279,'Teacher Lookup'!$A$2:$A$200,0)),"")</f>
        <v>LAM Jessica</v>
      </c>
    </row>
    <row r="5280" customFormat="false" ht="15" hidden="false" customHeight="false" outlineLevel="0" collapsed="false">
      <c r="A5280" s="3" t="s">
        <v>441</v>
      </c>
      <c r="B5280" s="4" t="s">
        <v>60</v>
      </c>
      <c r="C5280" s="4" t="n">
        <v>5</v>
      </c>
      <c r="D5280" s="4" t="s">
        <v>140</v>
      </c>
      <c r="E5280" s="3" t="s">
        <v>185</v>
      </c>
      <c r="F5280" s="4" t="str">
        <f aca="false">IF(I5280&gt;J5280,"Y","N")</f>
        <v>Y</v>
      </c>
      <c r="G5280" s="3" t="s">
        <v>36</v>
      </c>
      <c r="H5280" s="3" t="s">
        <v>37</v>
      </c>
      <c r="I5280" s="4" t="n">
        <v>21</v>
      </c>
      <c r="J5280" s="4" t="n">
        <f aca="false">LEN(E5280)-LEN(SUBSTITUTE(E5280,",",""))+1</f>
        <v>7</v>
      </c>
      <c r="K5280" s="3" t="str">
        <f aca="false">IFERROR(INDEX('Teacher Lookup'!$B$2:$B$200,MATCH(A5280,'Teacher Lookup'!$A$2:$A$200,0)),"")</f>
        <v>LAM Jessica</v>
      </c>
    </row>
    <row r="5281" customFormat="false" ht="15" hidden="false" customHeight="false" outlineLevel="0" collapsed="false">
      <c r="A5281" s="3" t="s">
        <v>441</v>
      </c>
      <c r="B5281" s="4" t="s">
        <v>60</v>
      </c>
      <c r="C5281" s="4" t="n">
        <v>5</v>
      </c>
      <c r="D5281" s="4" t="s">
        <v>142</v>
      </c>
      <c r="E5281" s="3" t="s">
        <v>185</v>
      </c>
      <c r="F5281" s="4" t="str">
        <f aca="false">IF(I5281&gt;J5281,"Y","N")</f>
        <v>Y</v>
      </c>
      <c r="G5281" s="3" t="s">
        <v>36</v>
      </c>
      <c r="H5281" s="3" t="s">
        <v>37</v>
      </c>
      <c r="I5281" s="4" t="n">
        <v>21</v>
      </c>
      <c r="J5281" s="4" t="n">
        <f aca="false">LEN(E5281)-LEN(SUBSTITUTE(E5281,",",""))+1</f>
        <v>7</v>
      </c>
      <c r="K5281" s="3" t="str">
        <f aca="false">IFERROR(INDEX('Teacher Lookup'!$B$2:$B$200,MATCH(A5281,'Teacher Lookup'!$A$2:$A$200,0)),"")</f>
        <v>LAM Jessica</v>
      </c>
    </row>
    <row r="5282" customFormat="false" ht="15" hidden="false" customHeight="false" outlineLevel="0" collapsed="false">
      <c r="A5282" s="3" t="s">
        <v>441</v>
      </c>
      <c r="B5282" s="4" t="s">
        <v>60</v>
      </c>
      <c r="C5282" s="4" t="n">
        <v>5</v>
      </c>
      <c r="D5282" s="4" t="s">
        <v>127</v>
      </c>
      <c r="E5282" s="3" t="s">
        <v>185</v>
      </c>
      <c r="F5282" s="4" t="str">
        <f aca="false">IF(I5282&gt;J5282,"Y","N")</f>
        <v>Y</v>
      </c>
      <c r="G5282" s="3" t="s">
        <v>36</v>
      </c>
      <c r="H5282" s="3" t="s">
        <v>37</v>
      </c>
      <c r="I5282" s="4" t="n">
        <v>21</v>
      </c>
      <c r="J5282" s="4" t="n">
        <f aca="false">LEN(E5282)-LEN(SUBSTITUTE(E5282,",",""))+1</f>
        <v>7</v>
      </c>
      <c r="K5282" s="3" t="str">
        <f aca="false">IFERROR(INDEX('Teacher Lookup'!$B$2:$B$200,MATCH(A5282,'Teacher Lookup'!$A$2:$A$200,0)),"")</f>
        <v>LAM Jessica</v>
      </c>
    </row>
    <row r="5283" customFormat="false" ht="15" hidden="false" customHeight="false" outlineLevel="0" collapsed="false">
      <c r="A5283" s="3" t="s">
        <v>441</v>
      </c>
      <c r="B5283" s="4" t="s">
        <v>60</v>
      </c>
      <c r="C5283" s="4" t="n">
        <v>6</v>
      </c>
      <c r="D5283" s="4" t="s">
        <v>140</v>
      </c>
      <c r="E5283" s="3" t="s">
        <v>150</v>
      </c>
      <c r="F5283" s="4" t="str">
        <f aca="false">IF(I5283&gt;J5283,"Y","N")</f>
        <v>N</v>
      </c>
      <c r="G5283" s="3" t="s">
        <v>72</v>
      </c>
      <c r="H5283" s="3" t="s">
        <v>42</v>
      </c>
      <c r="I5283" s="4" t="n">
        <v>4</v>
      </c>
      <c r="J5283" s="4" t="n">
        <f aca="false">LEN(E5283)-LEN(SUBSTITUTE(E5283,",",""))+1</f>
        <v>4</v>
      </c>
      <c r="K5283" s="3" t="str">
        <f aca="false">IFERROR(INDEX('Teacher Lookup'!$B$2:$B$200,MATCH(A5283,'Teacher Lookup'!$A$2:$A$200,0)),"")</f>
        <v>LAM Jessica</v>
      </c>
    </row>
    <row r="5284" customFormat="false" ht="15" hidden="false" customHeight="false" outlineLevel="0" collapsed="false">
      <c r="A5284" s="3" t="s">
        <v>441</v>
      </c>
      <c r="B5284" s="4" t="s">
        <v>60</v>
      </c>
      <c r="C5284" s="4" t="n">
        <v>6</v>
      </c>
      <c r="D5284" s="4" t="s">
        <v>142</v>
      </c>
      <c r="E5284" s="3" t="s">
        <v>150</v>
      </c>
      <c r="F5284" s="4" t="str">
        <f aca="false">IF(I5284&gt;J5284,"Y","N")</f>
        <v>N</v>
      </c>
      <c r="G5284" s="3" t="s">
        <v>72</v>
      </c>
      <c r="H5284" s="3" t="s">
        <v>42</v>
      </c>
      <c r="I5284" s="4" t="n">
        <v>4</v>
      </c>
      <c r="J5284" s="4" t="n">
        <f aca="false">LEN(E5284)-LEN(SUBSTITUTE(E5284,",",""))+1</f>
        <v>4</v>
      </c>
      <c r="K5284" s="3" t="str">
        <f aca="false">IFERROR(INDEX('Teacher Lookup'!$B$2:$B$200,MATCH(A5284,'Teacher Lookup'!$A$2:$A$200,0)),"")</f>
        <v>LAM Jessica</v>
      </c>
    </row>
    <row r="5285" customFormat="false" ht="15" hidden="false" customHeight="false" outlineLevel="0" collapsed="false">
      <c r="A5285" s="3" t="s">
        <v>441</v>
      </c>
      <c r="B5285" s="4" t="s">
        <v>60</v>
      </c>
      <c r="C5285" s="4" t="n">
        <v>6</v>
      </c>
      <c r="D5285" s="4" t="s">
        <v>127</v>
      </c>
      <c r="E5285" s="3" t="s">
        <v>150</v>
      </c>
      <c r="F5285" s="4" t="str">
        <f aca="false">IF(I5285&gt;J5285,"Y","N")</f>
        <v>N</v>
      </c>
      <c r="G5285" s="3" t="s">
        <v>72</v>
      </c>
      <c r="H5285" s="3" t="s">
        <v>42</v>
      </c>
      <c r="I5285" s="4" t="n">
        <v>4</v>
      </c>
      <c r="J5285" s="4" t="n">
        <f aca="false">LEN(E5285)-LEN(SUBSTITUTE(E5285,",",""))+1</f>
        <v>4</v>
      </c>
      <c r="K5285" s="3" t="str">
        <f aca="false">IFERROR(INDEX('Teacher Lookup'!$B$2:$B$200,MATCH(A5285,'Teacher Lookup'!$A$2:$A$200,0)),"")</f>
        <v>LAM Jessica</v>
      </c>
    </row>
    <row r="5286" customFormat="false" ht="15" hidden="false" customHeight="false" outlineLevel="0" collapsed="false">
      <c r="A5286" s="3" t="s">
        <v>441</v>
      </c>
      <c r="B5286" s="4" t="s">
        <v>63</v>
      </c>
      <c r="C5286" s="4" t="n">
        <v>1</v>
      </c>
      <c r="D5286" s="4" t="s">
        <v>140</v>
      </c>
      <c r="E5286" s="3" t="s">
        <v>157</v>
      </c>
      <c r="F5286" s="4" t="str">
        <f aca="false">IF(I5286&gt;J5286,"Y","N")</f>
        <v>N</v>
      </c>
      <c r="G5286" s="3" t="s">
        <v>72</v>
      </c>
      <c r="H5286" s="3" t="s">
        <v>16</v>
      </c>
      <c r="I5286" s="4" t="n">
        <v>4</v>
      </c>
      <c r="J5286" s="4" t="n">
        <f aca="false">LEN(E5286)-LEN(SUBSTITUTE(E5286,",",""))+1</f>
        <v>4</v>
      </c>
      <c r="K5286" s="3" t="str">
        <f aca="false">IFERROR(INDEX('Teacher Lookup'!$B$2:$B$200,MATCH(A5286,'Teacher Lookup'!$A$2:$A$200,0)),"")</f>
        <v>LAM Jessica</v>
      </c>
    </row>
    <row r="5287" customFormat="false" ht="15" hidden="false" customHeight="false" outlineLevel="0" collapsed="false">
      <c r="A5287" s="3" t="s">
        <v>441</v>
      </c>
      <c r="B5287" s="4" t="s">
        <v>63</v>
      </c>
      <c r="C5287" s="4" t="n">
        <v>1</v>
      </c>
      <c r="D5287" s="4" t="s">
        <v>142</v>
      </c>
      <c r="E5287" s="3" t="s">
        <v>157</v>
      </c>
      <c r="F5287" s="4" t="str">
        <f aca="false">IF(I5287&gt;J5287,"Y","N")</f>
        <v>N</v>
      </c>
      <c r="G5287" s="3" t="s">
        <v>72</v>
      </c>
      <c r="H5287" s="3" t="s">
        <v>16</v>
      </c>
      <c r="I5287" s="4" t="n">
        <v>4</v>
      </c>
      <c r="J5287" s="4" t="n">
        <f aca="false">LEN(E5287)-LEN(SUBSTITUTE(E5287,",",""))+1</f>
        <v>4</v>
      </c>
      <c r="K5287" s="3" t="str">
        <f aca="false">IFERROR(INDEX('Teacher Lookup'!$B$2:$B$200,MATCH(A5287,'Teacher Lookup'!$A$2:$A$200,0)),"")</f>
        <v>LAM Jessica</v>
      </c>
    </row>
    <row r="5288" customFormat="false" ht="15" hidden="false" customHeight="false" outlineLevel="0" collapsed="false">
      <c r="A5288" s="3" t="s">
        <v>441</v>
      </c>
      <c r="B5288" s="4" t="s">
        <v>63</v>
      </c>
      <c r="C5288" s="4" t="n">
        <v>1</v>
      </c>
      <c r="D5288" s="4" t="s">
        <v>127</v>
      </c>
      <c r="E5288" s="3" t="s">
        <v>157</v>
      </c>
      <c r="F5288" s="4" t="str">
        <f aca="false">IF(I5288&gt;J5288,"Y","N")</f>
        <v>N</v>
      </c>
      <c r="G5288" s="3" t="s">
        <v>72</v>
      </c>
      <c r="H5288" s="3" t="s">
        <v>16</v>
      </c>
      <c r="I5288" s="4" t="n">
        <v>4</v>
      </c>
      <c r="J5288" s="4" t="n">
        <f aca="false">LEN(E5288)-LEN(SUBSTITUTE(E5288,",",""))+1</f>
        <v>4</v>
      </c>
      <c r="K5288" s="3" t="str">
        <f aca="false">IFERROR(INDEX('Teacher Lookup'!$B$2:$B$200,MATCH(A5288,'Teacher Lookup'!$A$2:$A$200,0)),"")</f>
        <v>LAM Jessica</v>
      </c>
    </row>
    <row r="5289" customFormat="false" ht="15" hidden="false" customHeight="false" outlineLevel="0" collapsed="false">
      <c r="A5289" s="3" t="s">
        <v>441</v>
      </c>
      <c r="B5289" s="4" t="s">
        <v>63</v>
      </c>
      <c r="C5289" s="4" t="n">
        <v>2</v>
      </c>
      <c r="D5289" s="4" t="s">
        <v>140</v>
      </c>
      <c r="E5289" s="3" t="s">
        <v>157</v>
      </c>
      <c r="F5289" s="4" t="str">
        <f aca="false">IF(I5289&gt;J5289,"Y","N")</f>
        <v>N</v>
      </c>
      <c r="G5289" s="3" t="s">
        <v>72</v>
      </c>
      <c r="H5289" s="3" t="s">
        <v>21</v>
      </c>
      <c r="I5289" s="4" t="n">
        <v>4</v>
      </c>
      <c r="J5289" s="4" t="n">
        <f aca="false">LEN(E5289)-LEN(SUBSTITUTE(E5289,",",""))+1</f>
        <v>4</v>
      </c>
      <c r="K5289" s="3" t="str">
        <f aca="false">IFERROR(INDEX('Teacher Lookup'!$B$2:$B$200,MATCH(A5289,'Teacher Lookup'!$A$2:$A$200,0)),"")</f>
        <v>LAM Jessica</v>
      </c>
    </row>
    <row r="5290" customFormat="false" ht="15" hidden="false" customHeight="false" outlineLevel="0" collapsed="false">
      <c r="A5290" s="3" t="s">
        <v>441</v>
      </c>
      <c r="B5290" s="4" t="s">
        <v>63</v>
      </c>
      <c r="C5290" s="4" t="n">
        <v>2</v>
      </c>
      <c r="D5290" s="4" t="s">
        <v>142</v>
      </c>
      <c r="E5290" s="3" t="s">
        <v>157</v>
      </c>
      <c r="F5290" s="4" t="str">
        <f aca="false">IF(I5290&gt;J5290,"Y","N")</f>
        <v>N</v>
      </c>
      <c r="G5290" s="3" t="s">
        <v>72</v>
      </c>
      <c r="H5290" s="3" t="s">
        <v>21</v>
      </c>
      <c r="I5290" s="4" t="n">
        <v>4</v>
      </c>
      <c r="J5290" s="4" t="n">
        <f aca="false">LEN(E5290)-LEN(SUBSTITUTE(E5290,",",""))+1</f>
        <v>4</v>
      </c>
      <c r="K5290" s="3" t="str">
        <f aca="false">IFERROR(INDEX('Teacher Lookup'!$B$2:$B$200,MATCH(A5290,'Teacher Lookup'!$A$2:$A$200,0)),"")</f>
        <v>LAM Jessica</v>
      </c>
    </row>
    <row r="5291" customFormat="false" ht="15" hidden="false" customHeight="false" outlineLevel="0" collapsed="false">
      <c r="A5291" s="3" t="s">
        <v>441</v>
      </c>
      <c r="B5291" s="4" t="s">
        <v>63</v>
      </c>
      <c r="C5291" s="4" t="n">
        <v>2</v>
      </c>
      <c r="D5291" s="4" t="s">
        <v>127</v>
      </c>
      <c r="E5291" s="3" t="s">
        <v>157</v>
      </c>
      <c r="F5291" s="4" t="str">
        <f aca="false">IF(I5291&gt;J5291,"Y","N")</f>
        <v>N</v>
      </c>
      <c r="G5291" s="3" t="s">
        <v>72</v>
      </c>
      <c r="H5291" s="3" t="s">
        <v>21</v>
      </c>
      <c r="I5291" s="4" t="n">
        <v>4</v>
      </c>
      <c r="J5291" s="4" t="n">
        <f aca="false">LEN(E5291)-LEN(SUBSTITUTE(E5291,",",""))+1</f>
        <v>4</v>
      </c>
      <c r="K5291" s="3" t="str">
        <f aca="false">IFERROR(INDEX('Teacher Lookup'!$B$2:$B$200,MATCH(A5291,'Teacher Lookup'!$A$2:$A$200,0)),"")</f>
        <v>LAM Jessica</v>
      </c>
    </row>
    <row r="5292" customFormat="false" ht="15" hidden="false" customHeight="false" outlineLevel="0" collapsed="false">
      <c r="A5292" s="3" t="s">
        <v>441</v>
      </c>
      <c r="B5292" s="4" t="s">
        <v>63</v>
      </c>
      <c r="C5292" s="4" t="n">
        <v>3</v>
      </c>
      <c r="D5292" s="4" t="s">
        <v>137</v>
      </c>
      <c r="E5292" s="3" t="s">
        <v>146</v>
      </c>
      <c r="F5292" s="4" t="str">
        <f aca="false">IF(I5292&gt;J5292,"Y","N")</f>
        <v>N</v>
      </c>
      <c r="G5292" s="3" t="s">
        <v>72</v>
      </c>
      <c r="H5292" s="3" t="s">
        <v>26</v>
      </c>
      <c r="I5292" s="4" t="n">
        <v>4</v>
      </c>
      <c r="J5292" s="4" t="n">
        <f aca="false">LEN(E5292)-LEN(SUBSTITUTE(E5292,",",""))+1</f>
        <v>4</v>
      </c>
      <c r="K5292" s="3" t="str">
        <f aca="false">IFERROR(INDEX('Teacher Lookup'!$B$2:$B$200,MATCH(A5292,'Teacher Lookup'!$A$2:$A$200,0)),"")</f>
        <v>LAM Jessica</v>
      </c>
    </row>
    <row r="5293" customFormat="false" ht="15" hidden="false" customHeight="false" outlineLevel="0" collapsed="false">
      <c r="A5293" s="3" t="s">
        <v>441</v>
      </c>
      <c r="B5293" s="4" t="s">
        <v>63</v>
      </c>
      <c r="C5293" s="4" t="n">
        <v>3</v>
      </c>
      <c r="D5293" s="4" t="s">
        <v>124</v>
      </c>
      <c r="E5293" s="3" t="s">
        <v>146</v>
      </c>
      <c r="F5293" s="4" t="str">
        <f aca="false">IF(I5293&gt;J5293,"Y","N")</f>
        <v>N</v>
      </c>
      <c r="G5293" s="3" t="s">
        <v>72</v>
      </c>
      <c r="H5293" s="3" t="s">
        <v>26</v>
      </c>
      <c r="I5293" s="4" t="n">
        <v>4</v>
      </c>
      <c r="J5293" s="4" t="n">
        <f aca="false">LEN(E5293)-LEN(SUBSTITUTE(E5293,",",""))+1</f>
        <v>4</v>
      </c>
      <c r="K5293" s="3" t="str">
        <f aca="false">IFERROR(INDEX('Teacher Lookup'!$B$2:$B$200,MATCH(A5293,'Teacher Lookup'!$A$2:$A$200,0)),"")</f>
        <v>LAM Jessica</v>
      </c>
    </row>
    <row r="5294" customFormat="false" ht="15" hidden="false" customHeight="false" outlineLevel="0" collapsed="false">
      <c r="A5294" s="3" t="s">
        <v>441</v>
      </c>
      <c r="B5294" s="4" t="s">
        <v>63</v>
      </c>
      <c r="C5294" s="4" t="n">
        <v>3</v>
      </c>
      <c r="D5294" s="4" t="s">
        <v>139</v>
      </c>
      <c r="E5294" s="3" t="s">
        <v>146</v>
      </c>
      <c r="F5294" s="4" t="str">
        <f aca="false">IF(I5294&gt;J5294,"Y","N")</f>
        <v>N</v>
      </c>
      <c r="G5294" s="3" t="s">
        <v>72</v>
      </c>
      <c r="H5294" s="3" t="s">
        <v>26</v>
      </c>
      <c r="I5294" s="4" t="n">
        <v>4</v>
      </c>
      <c r="J5294" s="4" t="n">
        <f aca="false">LEN(E5294)-LEN(SUBSTITUTE(E5294,",",""))+1</f>
        <v>4</v>
      </c>
      <c r="K5294" s="3" t="str">
        <f aca="false">IFERROR(INDEX('Teacher Lookup'!$B$2:$B$200,MATCH(A5294,'Teacher Lookup'!$A$2:$A$200,0)),"")</f>
        <v>LAM Jessica</v>
      </c>
    </row>
    <row r="5295" customFormat="false" ht="15" hidden="false" customHeight="false" outlineLevel="0" collapsed="false">
      <c r="A5295" s="3" t="s">
        <v>441</v>
      </c>
      <c r="B5295" s="4" t="s">
        <v>63</v>
      </c>
      <c r="C5295" s="4" t="n">
        <v>4</v>
      </c>
      <c r="D5295" s="4" t="s">
        <v>105</v>
      </c>
      <c r="E5295" s="3" t="s">
        <v>331</v>
      </c>
      <c r="F5295" s="4" t="str">
        <f aca="false">IF(I5295&gt;J5295,"Y","N")</f>
        <v>N</v>
      </c>
      <c r="G5295" s="3" t="s">
        <v>72</v>
      </c>
      <c r="H5295" s="3" t="s">
        <v>34</v>
      </c>
      <c r="I5295" s="4" t="n">
        <v>3</v>
      </c>
      <c r="J5295" s="4" t="n">
        <f aca="false">LEN(E5295)-LEN(SUBSTITUTE(E5295,",",""))+1</f>
        <v>3</v>
      </c>
      <c r="K5295" s="3" t="str">
        <f aca="false">IFERROR(INDEX('Teacher Lookup'!$B$2:$B$200,MATCH(A5295,'Teacher Lookup'!$A$2:$A$200,0)),"")</f>
        <v>LAM Jessica</v>
      </c>
    </row>
    <row r="5296" customFormat="false" ht="15" hidden="false" customHeight="false" outlineLevel="0" collapsed="false">
      <c r="A5296" s="3" t="s">
        <v>441</v>
      </c>
      <c r="B5296" s="4" t="s">
        <v>63</v>
      </c>
      <c r="C5296" s="4" t="n">
        <v>4</v>
      </c>
      <c r="D5296" s="4" t="s">
        <v>106</v>
      </c>
      <c r="E5296" s="3" t="s">
        <v>331</v>
      </c>
      <c r="F5296" s="4" t="str">
        <f aca="false">IF(I5296&gt;J5296,"Y","N")</f>
        <v>N</v>
      </c>
      <c r="G5296" s="3" t="s">
        <v>72</v>
      </c>
      <c r="H5296" s="3" t="s">
        <v>34</v>
      </c>
      <c r="I5296" s="4" t="n">
        <v>3</v>
      </c>
      <c r="J5296" s="4" t="n">
        <f aca="false">LEN(E5296)-LEN(SUBSTITUTE(E5296,",",""))+1</f>
        <v>3</v>
      </c>
      <c r="K5296" s="3" t="str">
        <f aca="false">IFERROR(INDEX('Teacher Lookup'!$B$2:$B$200,MATCH(A5296,'Teacher Lookup'!$A$2:$A$200,0)),"")</f>
        <v>LAM Jessica</v>
      </c>
    </row>
    <row r="5297" customFormat="false" ht="15" hidden="false" customHeight="false" outlineLevel="0" collapsed="false">
      <c r="A5297" s="3" t="s">
        <v>441</v>
      </c>
      <c r="B5297" s="4" t="s">
        <v>65</v>
      </c>
      <c r="C5297" s="4" t="n">
        <v>1</v>
      </c>
      <c r="D5297" s="4" t="s">
        <v>137</v>
      </c>
      <c r="E5297" s="3" t="s">
        <v>146</v>
      </c>
      <c r="F5297" s="4" t="str">
        <f aca="false">IF(I5297&gt;J5297,"Y","N")</f>
        <v>N</v>
      </c>
      <c r="G5297" s="3" t="s">
        <v>72</v>
      </c>
      <c r="H5297" s="3" t="s">
        <v>16</v>
      </c>
      <c r="I5297" s="4" t="n">
        <v>4</v>
      </c>
      <c r="J5297" s="4" t="n">
        <f aca="false">LEN(E5297)-LEN(SUBSTITUTE(E5297,",",""))+1</f>
        <v>4</v>
      </c>
      <c r="K5297" s="3" t="str">
        <f aca="false">IFERROR(INDEX('Teacher Lookup'!$B$2:$B$200,MATCH(A5297,'Teacher Lookup'!$A$2:$A$200,0)),"")</f>
        <v>LAM Jessica</v>
      </c>
    </row>
    <row r="5298" customFormat="false" ht="15" hidden="false" customHeight="false" outlineLevel="0" collapsed="false">
      <c r="A5298" s="3" t="s">
        <v>441</v>
      </c>
      <c r="B5298" s="4" t="s">
        <v>65</v>
      </c>
      <c r="C5298" s="4" t="n">
        <v>1</v>
      </c>
      <c r="D5298" s="4" t="s">
        <v>124</v>
      </c>
      <c r="E5298" s="3" t="s">
        <v>146</v>
      </c>
      <c r="F5298" s="4" t="str">
        <f aca="false">IF(I5298&gt;J5298,"Y","N")</f>
        <v>N</v>
      </c>
      <c r="G5298" s="3" t="s">
        <v>72</v>
      </c>
      <c r="H5298" s="3" t="s">
        <v>16</v>
      </c>
      <c r="I5298" s="4" t="n">
        <v>4</v>
      </c>
      <c r="J5298" s="4" t="n">
        <f aca="false">LEN(E5298)-LEN(SUBSTITUTE(E5298,",",""))+1</f>
        <v>4</v>
      </c>
      <c r="K5298" s="3" t="str">
        <f aca="false">IFERROR(INDEX('Teacher Lookup'!$B$2:$B$200,MATCH(A5298,'Teacher Lookup'!$A$2:$A$200,0)),"")</f>
        <v>LAM Jessica</v>
      </c>
    </row>
    <row r="5299" customFormat="false" ht="15" hidden="false" customHeight="false" outlineLevel="0" collapsed="false">
      <c r="A5299" s="3" t="s">
        <v>441</v>
      </c>
      <c r="B5299" s="4" t="s">
        <v>65</v>
      </c>
      <c r="C5299" s="4" t="n">
        <v>1</v>
      </c>
      <c r="D5299" s="4" t="s">
        <v>139</v>
      </c>
      <c r="E5299" s="3" t="s">
        <v>146</v>
      </c>
      <c r="F5299" s="4" t="str">
        <f aca="false">IF(I5299&gt;J5299,"Y","N")</f>
        <v>N</v>
      </c>
      <c r="G5299" s="3" t="s">
        <v>72</v>
      </c>
      <c r="H5299" s="3" t="s">
        <v>16</v>
      </c>
      <c r="I5299" s="4" t="n">
        <v>4</v>
      </c>
      <c r="J5299" s="4" t="n">
        <f aca="false">LEN(E5299)-LEN(SUBSTITUTE(E5299,",",""))+1</f>
        <v>4</v>
      </c>
      <c r="K5299" s="3" t="str">
        <f aca="false">IFERROR(INDEX('Teacher Lookup'!$B$2:$B$200,MATCH(A5299,'Teacher Lookup'!$A$2:$A$200,0)),"")</f>
        <v>LAM Jessica</v>
      </c>
    </row>
    <row r="5300" customFormat="false" ht="15" hidden="false" customHeight="false" outlineLevel="0" collapsed="false">
      <c r="A5300" s="3" t="s">
        <v>441</v>
      </c>
      <c r="B5300" s="4" t="s">
        <v>65</v>
      </c>
      <c r="C5300" s="4" t="n">
        <v>3</v>
      </c>
      <c r="D5300" s="4" t="s">
        <v>105</v>
      </c>
      <c r="E5300" s="3" t="s">
        <v>335</v>
      </c>
      <c r="F5300" s="4" t="str">
        <f aca="false">IF(I5300&gt;J5300,"Y","N")</f>
        <v>N</v>
      </c>
      <c r="G5300" s="3" t="s">
        <v>72</v>
      </c>
      <c r="H5300" s="3" t="s">
        <v>26</v>
      </c>
      <c r="I5300" s="4" t="n">
        <v>3</v>
      </c>
      <c r="J5300" s="4" t="n">
        <f aca="false">LEN(E5300)-LEN(SUBSTITUTE(E5300,",",""))+1</f>
        <v>3</v>
      </c>
      <c r="K5300" s="3" t="str">
        <f aca="false">IFERROR(INDEX('Teacher Lookup'!$B$2:$B$200,MATCH(A5300,'Teacher Lookup'!$A$2:$A$200,0)),"")</f>
        <v>LAM Jessica</v>
      </c>
    </row>
    <row r="5301" customFormat="false" ht="15" hidden="false" customHeight="false" outlineLevel="0" collapsed="false">
      <c r="A5301" s="3" t="s">
        <v>441</v>
      </c>
      <c r="B5301" s="4" t="s">
        <v>65</v>
      </c>
      <c r="C5301" s="4" t="n">
        <v>3</v>
      </c>
      <c r="D5301" s="4" t="s">
        <v>106</v>
      </c>
      <c r="E5301" s="3" t="s">
        <v>335</v>
      </c>
      <c r="F5301" s="4" t="str">
        <f aca="false">IF(I5301&gt;J5301,"Y","N")</f>
        <v>N</v>
      </c>
      <c r="G5301" s="3" t="s">
        <v>72</v>
      </c>
      <c r="H5301" s="3" t="s">
        <v>26</v>
      </c>
      <c r="I5301" s="4" t="n">
        <v>3</v>
      </c>
      <c r="J5301" s="4" t="n">
        <f aca="false">LEN(E5301)-LEN(SUBSTITUTE(E5301,",",""))+1</f>
        <v>3</v>
      </c>
      <c r="K5301" s="3" t="str">
        <f aca="false">IFERROR(INDEX('Teacher Lookup'!$B$2:$B$200,MATCH(A5301,'Teacher Lookup'!$A$2:$A$200,0)),"")</f>
        <v>LAM Jessica</v>
      </c>
    </row>
    <row r="5302" customFormat="false" ht="15" hidden="false" customHeight="false" outlineLevel="0" collapsed="false">
      <c r="A5302" s="3" t="s">
        <v>441</v>
      </c>
      <c r="B5302" s="4" t="s">
        <v>65</v>
      </c>
      <c r="C5302" s="4" t="n">
        <v>4</v>
      </c>
      <c r="D5302" s="4" t="s">
        <v>140</v>
      </c>
      <c r="E5302" s="3" t="s">
        <v>152</v>
      </c>
      <c r="F5302" s="4" t="str">
        <f aca="false">IF(I5302&gt;J5302,"Y","N")</f>
        <v>N</v>
      </c>
      <c r="G5302" s="3" t="s">
        <v>72</v>
      </c>
      <c r="H5302" s="3" t="s">
        <v>34</v>
      </c>
      <c r="I5302" s="4" t="n">
        <v>4</v>
      </c>
      <c r="J5302" s="4" t="n">
        <f aca="false">LEN(E5302)-LEN(SUBSTITUTE(E5302,",",""))+1</f>
        <v>4</v>
      </c>
      <c r="K5302" s="3" t="str">
        <f aca="false">IFERROR(INDEX('Teacher Lookup'!$B$2:$B$200,MATCH(A5302,'Teacher Lookup'!$A$2:$A$200,0)),"")</f>
        <v>LAM Jessica</v>
      </c>
    </row>
    <row r="5303" customFormat="false" ht="15" hidden="false" customHeight="false" outlineLevel="0" collapsed="false">
      <c r="A5303" s="3" t="s">
        <v>441</v>
      </c>
      <c r="B5303" s="4" t="s">
        <v>65</v>
      </c>
      <c r="C5303" s="4" t="n">
        <v>4</v>
      </c>
      <c r="D5303" s="4" t="s">
        <v>142</v>
      </c>
      <c r="E5303" s="3" t="s">
        <v>152</v>
      </c>
      <c r="F5303" s="4" t="str">
        <f aca="false">IF(I5303&gt;J5303,"Y","N")</f>
        <v>N</v>
      </c>
      <c r="G5303" s="3" t="s">
        <v>72</v>
      </c>
      <c r="H5303" s="3" t="s">
        <v>34</v>
      </c>
      <c r="I5303" s="4" t="n">
        <v>4</v>
      </c>
      <c r="J5303" s="4" t="n">
        <f aca="false">LEN(E5303)-LEN(SUBSTITUTE(E5303,",",""))+1</f>
        <v>4</v>
      </c>
      <c r="K5303" s="3" t="str">
        <f aca="false">IFERROR(INDEX('Teacher Lookup'!$B$2:$B$200,MATCH(A5303,'Teacher Lookup'!$A$2:$A$200,0)),"")</f>
        <v>LAM Jessica</v>
      </c>
    </row>
    <row r="5304" customFormat="false" ht="15" hidden="false" customHeight="false" outlineLevel="0" collapsed="false">
      <c r="A5304" s="3" t="s">
        <v>441</v>
      </c>
      <c r="B5304" s="4" t="s">
        <v>65</v>
      </c>
      <c r="C5304" s="4" t="n">
        <v>4</v>
      </c>
      <c r="D5304" s="4" t="s">
        <v>127</v>
      </c>
      <c r="E5304" s="3" t="s">
        <v>152</v>
      </c>
      <c r="F5304" s="4" t="str">
        <f aca="false">IF(I5304&gt;J5304,"Y","N")</f>
        <v>N</v>
      </c>
      <c r="G5304" s="3" t="s">
        <v>72</v>
      </c>
      <c r="H5304" s="3" t="s">
        <v>34</v>
      </c>
      <c r="I5304" s="4" t="n">
        <v>4</v>
      </c>
      <c r="J5304" s="4" t="n">
        <f aca="false">LEN(E5304)-LEN(SUBSTITUTE(E5304,",",""))+1</f>
        <v>4</v>
      </c>
      <c r="K5304" s="3" t="str">
        <f aca="false">IFERROR(INDEX('Teacher Lookup'!$B$2:$B$200,MATCH(A5304,'Teacher Lookup'!$A$2:$A$200,0)),"")</f>
        <v>LAM Jessica</v>
      </c>
    </row>
    <row r="5305" customFormat="false" ht="15" hidden="false" customHeight="false" outlineLevel="0" collapsed="false">
      <c r="A5305" s="3" t="s">
        <v>441</v>
      </c>
      <c r="B5305" s="4" t="s">
        <v>65</v>
      </c>
      <c r="C5305" s="4" t="n">
        <v>5</v>
      </c>
      <c r="D5305" s="4" t="s">
        <v>137</v>
      </c>
      <c r="E5305" s="3" t="s">
        <v>185</v>
      </c>
      <c r="F5305" s="4" t="str">
        <f aca="false">IF(I5305&gt;J5305,"Y","N")</f>
        <v>Y</v>
      </c>
      <c r="G5305" s="3" t="s">
        <v>36</v>
      </c>
      <c r="H5305" s="3" t="s">
        <v>37</v>
      </c>
      <c r="I5305" s="4" t="n">
        <v>21</v>
      </c>
      <c r="J5305" s="4" t="n">
        <f aca="false">LEN(E5305)-LEN(SUBSTITUTE(E5305,",",""))+1</f>
        <v>7</v>
      </c>
      <c r="K5305" s="3" t="str">
        <f aca="false">IFERROR(INDEX('Teacher Lookup'!$B$2:$B$200,MATCH(A5305,'Teacher Lookup'!$A$2:$A$200,0)),"")</f>
        <v>LAM Jessica</v>
      </c>
    </row>
    <row r="5306" customFormat="false" ht="15" hidden="false" customHeight="false" outlineLevel="0" collapsed="false">
      <c r="A5306" s="3" t="s">
        <v>441</v>
      </c>
      <c r="B5306" s="4" t="s">
        <v>65</v>
      </c>
      <c r="C5306" s="4" t="n">
        <v>5</v>
      </c>
      <c r="D5306" s="4" t="s">
        <v>124</v>
      </c>
      <c r="E5306" s="3" t="s">
        <v>185</v>
      </c>
      <c r="F5306" s="4" t="str">
        <f aca="false">IF(I5306&gt;J5306,"Y","N")</f>
        <v>Y</v>
      </c>
      <c r="G5306" s="3" t="s">
        <v>36</v>
      </c>
      <c r="H5306" s="3" t="s">
        <v>37</v>
      </c>
      <c r="I5306" s="4" t="n">
        <v>21</v>
      </c>
      <c r="J5306" s="4" t="n">
        <f aca="false">LEN(E5306)-LEN(SUBSTITUTE(E5306,",",""))+1</f>
        <v>7</v>
      </c>
      <c r="K5306" s="3" t="str">
        <f aca="false">IFERROR(INDEX('Teacher Lookup'!$B$2:$B$200,MATCH(A5306,'Teacher Lookup'!$A$2:$A$200,0)),"")</f>
        <v>LAM Jessica</v>
      </c>
    </row>
    <row r="5307" customFormat="false" ht="15" hidden="false" customHeight="false" outlineLevel="0" collapsed="false">
      <c r="A5307" s="3" t="s">
        <v>441</v>
      </c>
      <c r="B5307" s="4" t="s">
        <v>65</v>
      </c>
      <c r="C5307" s="4" t="n">
        <v>5</v>
      </c>
      <c r="D5307" s="4" t="s">
        <v>139</v>
      </c>
      <c r="E5307" s="3" t="s">
        <v>185</v>
      </c>
      <c r="F5307" s="4" t="str">
        <f aca="false">IF(I5307&gt;J5307,"Y","N")</f>
        <v>Y</v>
      </c>
      <c r="G5307" s="3" t="s">
        <v>36</v>
      </c>
      <c r="H5307" s="3" t="s">
        <v>37</v>
      </c>
      <c r="I5307" s="4" t="n">
        <v>21</v>
      </c>
      <c r="J5307" s="4" t="n">
        <f aca="false">LEN(E5307)-LEN(SUBSTITUTE(E5307,",",""))+1</f>
        <v>7</v>
      </c>
      <c r="K5307" s="3" t="str">
        <f aca="false">IFERROR(INDEX('Teacher Lookup'!$B$2:$B$200,MATCH(A5307,'Teacher Lookup'!$A$2:$A$200,0)),"")</f>
        <v>LAM Jessica</v>
      </c>
    </row>
    <row r="5308" customFormat="false" ht="15" hidden="false" customHeight="false" outlineLevel="0" collapsed="false">
      <c r="A5308" s="3" t="s">
        <v>441</v>
      </c>
      <c r="B5308" s="4" t="s">
        <v>65</v>
      </c>
      <c r="C5308" s="4" t="n">
        <v>5</v>
      </c>
      <c r="D5308" s="4" t="s">
        <v>140</v>
      </c>
      <c r="E5308" s="3" t="s">
        <v>185</v>
      </c>
      <c r="F5308" s="4" t="str">
        <f aca="false">IF(I5308&gt;J5308,"Y","N")</f>
        <v>Y</v>
      </c>
      <c r="G5308" s="3" t="s">
        <v>36</v>
      </c>
      <c r="H5308" s="3" t="s">
        <v>37</v>
      </c>
      <c r="I5308" s="4" t="n">
        <v>21</v>
      </c>
      <c r="J5308" s="4" t="n">
        <f aca="false">LEN(E5308)-LEN(SUBSTITUTE(E5308,",",""))+1</f>
        <v>7</v>
      </c>
      <c r="K5308" s="3" t="str">
        <f aca="false">IFERROR(INDEX('Teacher Lookup'!$B$2:$B$200,MATCH(A5308,'Teacher Lookup'!$A$2:$A$200,0)),"")</f>
        <v>LAM Jessica</v>
      </c>
    </row>
    <row r="5309" customFormat="false" ht="15" hidden="false" customHeight="false" outlineLevel="0" collapsed="false">
      <c r="A5309" s="3" t="s">
        <v>441</v>
      </c>
      <c r="B5309" s="4" t="s">
        <v>65</v>
      </c>
      <c r="C5309" s="4" t="n">
        <v>5</v>
      </c>
      <c r="D5309" s="4" t="s">
        <v>142</v>
      </c>
      <c r="E5309" s="3" t="s">
        <v>185</v>
      </c>
      <c r="F5309" s="4" t="str">
        <f aca="false">IF(I5309&gt;J5309,"Y","N")</f>
        <v>Y</v>
      </c>
      <c r="G5309" s="3" t="s">
        <v>36</v>
      </c>
      <c r="H5309" s="3" t="s">
        <v>37</v>
      </c>
      <c r="I5309" s="4" t="n">
        <v>21</v>
      </c>
      <c r="J5309" s="4" t="n">
        <f aca="false">LEN(E5309)-LEN(SUBSTITUTE(E5309,",",""))+1</f>
        <v>7</v>
      </c>
      <c r="K5309" s="3" t="str">
        <f aca="false">IFERROR(INDEX('Teacher Lookup'!$B$2:$B$200,MATCH(A5309,'Teacher Lookup'!$A$2:$A$200,0)),"")</f>
        <v>LAM Jessica</v>
      </c>
    </row>
    <row r="5310" customFormat="false" ht="15" hidden="false" customHeight="false" outlineLevel="0" collapsed="false">
      <c r="A5310" s="3" t="s">
        <v>441</v>
      </c>
      <c r="B5310" s="4" t="s">
        <v>65</v>
      </c>
      <c r="C5310" s="4" t="n">
        <v>5</v>
      </c>
      <c r="D5310" s="4" t="s">
        <v>127</v>
      </c>
      <c r="E5310" s="3" t="s">
        <v>185</v>
      </c>
      <c r="F5310" s="4" t="str">
        <f aca="false">IF(I5310&gt;J5310,"Y","N")</f>
        <v>Y</v>
      </c>
      <c r="G5310" s="3" t="s">
        <v>36</v>
      </c>
      <c r="H5310" s="3" t="s">
        <v>37</v>
      </c>
      <c r="I5310" s="4" t="n">
        <v>21</v>
      </c>
      <c r="J5310" s="4" t="n">
        <f aca="false">LEN(E5310)-LEN(SUBSTITUTE(E5310,",",""))+1</f>
        <v>7</v>
      </c>
      <c r="K5310" s="3" t="str">
        <f aca="false">IFERROR(INDEX('Teacher Lookup'!$B$2:$B$200,MATCH(A5310,'Teacher Lookup'!$A$2:$A$200,0)),"")</f>
        <v>LAM Jessica</v>
      </c>
    </row>
    <row r="5311" customFormat="false" ht="15" hidden="false" customHeight="false" outlineLevel="0" collapsed="false">
      <c r="A5311" s="3" t="s">
        <v>441</v>
      </c>
      <c r="B5311" s="4" t="s">
        <v>66</v>
      </c>
      <c r="C5311" s="4" t="n">
        <v>1</v>
      </c>
      <c r="D5311" s="4" t="s">
        <v>140</v>
      </c>
      <c r="E5311" s="3" t="s">
        <v>160</v>
      </c>
      <c r="F5311" s="4" t="str">
        <f aca="false">IF(I5311&gt;J5311,"Y","N")</f>
        <v>N</v>
      </c>
      <c r="G5311" s="3" t="s">
        <v>72</v>
      </c>
      <c r="H5311" s="3" t="s">
        <v>16</v>
      </c>
      <c r="I5311" s="4" t="n">
        <v>4</v>
      </c>
      <c r="J5311" s="4" t="n">
        <f aca="false">LEN(E5311)-LEN(SUBSTITUTE(E5311,",",""))+1</f>
        <v>4</v>
      </c>
      <c r="K5311" s="3" t="str">
        <f aca="false">IFERROR(INDEX('Teacher Lookup'!$B$2:$B$200,MATCH(A5311,'Teacher Lookup'!$A$2:$A$200,0)),"")</f>
        <v>LAM Jessica</v>
      </c>
    </row>
    <row r="5312" customFormat="false" ht="15" hidden="false" customHeight="false" outlineLevel="0" collapsed="false">
      <c r="A5312" s="3" t="s">
        <v>441</v>
      </c>
      <c r="B5312" s="4" t="s">
        <v>66</v>
      </c>
      <c r="C5312" s="4" t="n">
        <v>1</v>
      </c>
      <c r="D5312" s="4" t="s">
        <v>142</v>
      </c>
      <c r="E5312" s="3" t="s">
        <v>160</v>
      </c>
      <c r="F5312" s="4" t="str">
        <f aca="false">IF(I5312&gt;J5312,"Y","N")</f>
        <v>N</v>
      </c>
      <c r="G5312" s="3" t="s">
        <v>72</v>
      </c>
      <c r="H5312" s="3" t="s">
        <v>16</v>
      </c>
      <c r="I5312" s="4" t="n">
        <v>4</v>
      </c>
      <c r="J5312" s="4" t="n">
        <f aca="false">LEN(E5312)-LEN(SUBSTITUTE(E5312,",",""))+1</f>
        <v>4</v>
      </c>
      <c r="K5312" s="3" t="str">
        <f aca="false">IFERROR(INDEX('Teacher Lookup'!$B$2:$B$200,MATCH(A5312,'Teacher Lookup'!$A$2:$A$200,0)),"")</f>
        <v>LAM Jessica</v>
      </c>
    </row>
    <row r="5313" customFormat="false" ht="15" hidden="false" customHeight="false" outlineLevel="0" collapsed="false">
      <c r="A5313" s="3" t="s">
        <v>441</v>
      </c>
      <c r="B5313" s="4" t="s">
        <v>66</v>
      </c>
      <c r="C5313" s="4" t="n">
        <v>1</v>
      </c>
      <c r="D5313" s="4" t="s">
        <v>127</v>
      </c>
      <c r="E5313" s="3" t="s">
        <v>160</v>
      </c>
      <c r="F5313" s="4" t="str">
        <f aca="false">IF(I5313&gt;J5313,"Y","N")</f>
        <v>N</v>
      </c>
      <c r="G5313" s="3" t="s">
        <v>72</v>
      </c>
      <c r="H5313" s="3" t="s">
        <v>16</v>
      </c>
      <c r="I5313" s="4" t="n">
        <v>4</v>
      </c>
      <c r="J5313" s="4" t="n">
        <f aca="false">LEN(E5313)-LEN(SUBSTITUTE(E5313,",",""))+1</f>
        <v>4</v>
      </c>
      <c r="K5313" s="3" t="str">
        <f aca="false">IFERROR(INDEX('Teacher Lookup'!$B$2:$B$200,MATCH(A5313,'Teacher Lookup'!$A$2:$A$200,0)),"")</f>
        <v>LAM Jessica</v>
      </c>
    </row>
    <row r="5314" customFormat="false" ht="15" hidden="false" customHeight="false" outlineLevel="0" collapsed="false">
      <c r="A5314" s="3" t="s">
        <v>441</v>
      </c>
      <c r="B5314" s="4" t="s">
        <v>66</v>
      </c>
      <c r="C5314" s="4" t="n">
        <v>2</v>
      </c>
      <c r="D5314" s="4" t="s">
        <v>137</v>
      </c>
      <c r="E5314" s="3" t="s">
        <v>161</v>
      </c>
      <c r="F5314" s="4" t="str">
        <f aca="false">IF(I5314&gt;J5314,"Y","N")</f>
        <v>N</v>
      </c>
      <c r="G5314" s="3" t="s">
        <v>72</v>
      </c>
      <c r="H5314" s="3" t="s">
        <v>21</v>
      </c>
      <c r="I5314" s="4" t="n">
        <v>4</v>
      </c>
      <c r="J5314" s="4" t="n">
        <f aca="false">LEN(E5314)-LEN(SUBSTITUTE(E5314,",",""))+1</f>
        <v>4</v>
      </c>
      <c r="K5314" s="3" t="str">
        <f aca="false">IFERROR(INDEX('Teacher Lookup'!$B$2:$B$200,MATCH(A5314,'Teacher Lookup'!$A$2:$A$200,0)),"")</f>
        <v>LAM Jessica</v>
      </c>
    </row>
    <row r="5315" customFormat="false" ht="15" hidden="false" customHeight="false" outlineLevel="0" collapsed="false">
      <c r="A5315" s="3" t="s">
        <v>441</v>
      </c>
      <c r="B5315" s="4" t="s">
        <v>66</v>
      </c>
      <c r="C5315" s="4" t="n">
        <v>2</v>
      </c>
      <c r="D5315" s="4" t="s">
        <v>124</v>
      </c>
      <c r="E5315" s="3" t="s">
        <v>161</v>
      </c>
      <c r="F5315" s="4" t="str">
        <f aca="false">IF(I5315&gt;J5315,"Y","N")</f>
        <v>N</v>
      </c>
      <c r="G5315" s="3" t="s">
        <v>72</v>
      </c>
      <c r="H5315" s="3" t="s">
        <v>21</v>
      </c>
      <c r="I5315" s="4" t="n">
        <v>4</v>
      </c>
      <c r="J5315" s="4" t="n">
        <f aca="false">LEN(E5315)-LEN(SUBSTITUTE(E5315,",",""))+1</f>
        <v>4</v>
      </c>
      <c r="K5315" s="3" t="str">
        <f aca="false">IFERROR(INDEX('Teacher Lookup'!$B$2:$B$200,MATCH(A5315,'Teacher Lookup'!$A$2:$A$200,0)),"")</f>
        <v>LAM Jessica</v>
      </c>
    </row>
    <row r="5316" customFormat="false" ht="15" hidden="false" customHeight="false" outlineLevel="0" collapsed="false">
      <c r="A5316" s="3" t="s">
        <v>441</v>
      </c>
      <c r="B5316" s="4" t="s">
        <v>66</v>
      </c>
      <c r="C5316" s="4" t="n">
        <v>2</v>
      </c>
      <c r="D5316" s="4" t="s">
        <v>139</v>
      </c>
      <c r="E5316" s="3" t="s">
        <v>161</v>
      </c>
      <c r="F5316" s="4" t="str">
        <f aca="false">IF(I5316&gt;J5316,"Y","N")</f>
        <v>N</v>
      </c>
      <c r="G5316" s="3" t="s">
        <v>72</v>
      </c>
      <c r="H5316" s="3" t="s">
        <v>21</v>
      </c>
      <c r="I5316" s="4" t="n">
        <v>4</v>
      </c>
      <c r="J5316" s="4" t="n">
        <f aca="false">LEN(E5316)-LEN(SUBSTITUTE(E5316,",",""))+1</f>
        <v>4</v>
      </c>
      <c r="K5316" s="3" t="str">
        <f aca="false">IFERROR(INDEX('Teacher Lookup'!$B$2:$B$200,MATCH(A5316,'Teacher Lookup'!$A$2:$A$200,0)),"")</f>
        <v>LAM Jessica</v>
      </c>
    </row>
    <row r="5317" customFormat="false" ht="15" hidden="false" customHeight="false" outlineLevel="0" collapsed="false">
      <c r="A5317" s="3" t="s">
        <v>441</v>
      </c>
      <c r="B5317" s="4" t="s">
        <v>66</v>
      </c>
      <c r="C5317" s="4" t="n">
        <v>6</v>
      </c>
      <c r="D5317" s="4" t="s">
        <v>105</v>
      </c>
      <c r="E5317" s="3" t="s">
        <v>331</v>
      </c>
      <c r="F5317" s="4" t="str">
        <f aca="false">IF(I5317&gt;J5317,"Y","N")</f>
        <v>N</v>
      </c>
      <c r="G5317" s="3" t="s">
        <v>72</v>
      </c>
      <c r="H5317" s="3" t="s">
        <v>42</v>
      </c>
      <c r="I5317" s="4" t="n">
        <v>3</v>
      </c>
      <c r="J5317" s="4" t="n">
        <f aca="false">LEN(E5317)-LEN(SUBSTITUTE(E5317,",",""))+1</f>
        <v>3</v>
      </c>
      <c r="K5317" s="3" t="str">
        <f aca="false">IFERROR(INDEX('Teacher Lookup'!$B$2:$B$200,MATCH(A5317,'Teacher Lookup'!$A$2:$A$200,0)),"")</f>
        <v>LAM Jessica</v>
      </c>
    </row>
    <row r="5318" customFormat="false" ht="15" hidden="false" customHeight="false" outlineLevel="0" collapsed="false">
      <c r="A5318" s="3" t="s">
        <v>441</v>
      </c>
      <c r="B5318" s="4" t="s">
        <v>66</v>
      </c>
      <c r="C5318" s="4" t="n">
        <v>6</v>
      </c>
      <c r="D5318" s="4" t="s">
        <v>106</v>
      </c>
      <c r="E5318" s="3" t="s">
        <v>331</v>
      </c>
      <c r="F5318" s="4" t="str">
        <f aca="false">IF(I5318&gt;J5318,"Y","N")</f>
        <v>N</v>
      </c>
      <c r="G5318" s="3" t="s">
        <v>72</v>
      </c>
      <c r="H5318" s="3" t="s">
        <v>42</v>
      </c>
      <c r="I5318" s="4" t="n">
        <v>3</v>
      </c>
      <c r="J5318" s="4" t="n">
        <f aca="false">LEN(E5318)-LEN(SUBSTITUTE(E5318,",",""))+1</f>
        <v>3</v>
      </c>
      <c r="K5318" s="3" t="str">
        <f aca="false">IFERROR(INDEX('Teacher Lookup'!$B$2:$B$200,MATCH(A5318,'Teacher Lookup'!$A$2:$A$200,0)),"")</f>
        <v>LAM Jessica</v>
      </c>
    </row>
    <row r="5319" customFormat="false" ht="15" hidden="false" customHeight="false" outlineLevel="0" collapsed="false">
      <c r="A5319" s="3" t="s">
        <v>441</v>
      </c>
      <c r="B5319" s="4" t="s">
        <v>66</v>
      </c>
      <c r="C5319" s="4" t="n">
        <v>7</v>
      </c>
      <c r="D5319" s="4" t="s">
        <v>105</v>
      </c>
      <c r="E5319" s="3" t="s">
        <v>331</v>
      </c>
      <c r="F5319" s="4" t="str">
        <f aca="false">IF(I5319&gt;J5319,"Y","N")</f>
        <v>N</v>
      </c>
      <c r="G5319" s="3" t="s">
        <v>72</v>
      </c>
      <c r="H5319" s="3" t="s">
        <v>39</v>
      </c>
      <c r="I5319" s="4" t="n">
        <v>3</v>
      </c>
      <c r="J5319" s="4" t="n">
        <f aca="false">LEN(E5319)-LEN(SUBSTITUTE(E5319,",",""))+1</f>
        <v>3</v>
      </c>
      <c r="K5319" s="3" t="str">
        <f aca="false">IFERROR(INDEX('Teacher Lookup'!$B$2:$B$200,MATCH(A5319,'Teacher Lookup'!$A$2:$A$200,0)),"")</f>
        <v>LAM Jessica</v>
      </c>
    </row>
    <row r="5320" customFormat="false" ht="15" hidden="false" customHeight="false" outlineLevel="0" collapsed="false">
      <c r="A5320" s="3" t="s">
        <v>441</v>
      </c>
      <c r="B5320" s="4" t="s">
        <v>66</v>
      </c>
      <c r="C5320" s="4" t="n">
        <v>7</v>
      </c>
      <c r="D5320" s="4" t="s">
        <v>106</v>
      </c>
      <c r="E5320" s="3" t="s">
        <v>331</v>
      </c>
      <c r="F5320" s="4" t="str">
        <f aca="false">IF(I5320&gt;J5320,"Y","N")</f>
        <v>N</v>
      </c>
      <c r="G5320" s="3" t="s">
        <v>72</v>
      </c>
      <c r="H5320" s="3" t="s">
        <v>39</v>
      </c>
      <c r="I5320" s="4" t="n">
        <v>3</v>
      </c>
      <c r="J5320" s="4" t="n">
        <f aca="false">LEN(E5320)-LEN(SUBSTITUTE(E5320,",",""))+1</f>
        <v>3</v>
      </c>
      <c r="K5320" s="3" t="str">
        <f aca="false">IFERROR(INDEX('Teacher Lookup'!$B$2:$B$200,MATCH(A5320,'Teacher Lookup'!$A$2:$A$200,0)),"")</f>
        <v>LAM Jessica</v>
      </c>
    </row>
    <row r="5321" customFormat="false" ht="15" hidden="false" customHeight="false" outlineLevel="0" collapsed="false">
      <c r="A5321" s="3" t="s">
        <v>442</v>
      </c>
      <c r="B5321" s="4" t="s">
        <v>12</v>
      </c>
      <c r="C5321" s="4" t="n">
        <v>2</v>
      </c>
      <c r="D5321" s="4" t="s">
        <v>228</v>
      </c>
      <c r="E5321" s="3" t="s">
        <v>348</v>
      </c>
      <c r="F5321" s="4" t="str">
        <f aca="false">IF(I5321&gt;J5321,"Y","N")</f>
        <v>N</v>
      </c>
      <c r="G5321" s="3" t="s">
        <v>72</v>
      </c>
      <c r="H5321" s="3" t="s">
        <v>21</v>
      </c>
      <c r="I5321" s="4" t="n">
        <v>4</v>
      </c>
      <c r="J5321" s="4" t="n">
        <f aca="false">LEN(E5321)-LEN(SUBSTITUTE(E5321,",",""))+1</f>
        <v>4</v>
      </c>
      <c r="K5321" s="3" t="str">
        <f aca="false">IFERROR(INDEX('Teacher Lookup'!$B$2:$B$200,MATCH(A5321,'Teacher Lookup'!$A$2:$A$200,0)),"")</f>
        <v>TSO Jenny</v>
      </c>
    </row>
    <row r="5322" customFormat="false" ht="15" hidden="false" customHeight="false" outlineLevel="0" collapsed="false">
      <c r="A5322" s="3" t="s">
        <v>442</v>
      </c>
      <c r="B5322" s="4" t="s">
        <v>12</v>
      </c>
      <c r="C5322" s="4" t="n">
        <v>2</v>
      </c>
      <c r="D5322" s="4" t="s">
        <v>102</v>
      </c>
      <c r="E5322" s="3" t="s">
        <v>348</v>
      </c>
      <c r="F5322" s="4" t="str">
        <f aca="false">IF(I5322&gt;J5322,"Y","N")</f>
        <v>N</v>
      </c>
      <c r="G5322" s="3" t="s">
        <v>72</v>
      </c>
      <c r="H5322" s="3" t="s">
        <v>21</v>
      </c>
      <c r="I5322" s="4" t="n">
        <v>4</v>
      </c>
      <c r="J5322" s="4" t="n">
        <f aca="false">LEN(E5322)-LEN(SUBSTITUTE(E5322,",",""))+1</f>
        <v>4</v>
      </c>
      <c r="K5322" s="3" t="str">
        <f aca="false">IFERROR(INDEX('Teacher Lookup'!$B$2:$B$200,MATCH(A5322,'Teacher Lookup'!$A$2:$A$200,0)),"")</f>
        <v>TSO Jenny</v>
      </c>
    </row>
    <row r="5323" customFormat="false" ht="15" hidden="false" customHeight="false" outlineLevel="0" collapsed="false">
      <c r="A5323" s="3" t="s">
        <v>442</v>
      </c>
      <c r="B5323" s="4" t="s">
        <v>12</v>
      </c>
      <c r="C5323" s="4" t="n">
        <v>2</v>
      </c>
      <c r="D5323" s="4" t="s">
        <v>107</v>
      </c>
      <c r="E5323" s="3" t="s">
        <v>348</v>
      </c>
      <c r="F5323" s="4" t="str">
        <f aca="false">IF(I5323&gt;J5323,"Y","N")</f>
        <v>N</v>
      </c>
      <c r="G5323" s="3" t="s">
        <v>72</v>
      </c>
      <c r="H5323" s="3" t="s">
        <v>21</v>
      </c>
      <c r="I5323" s="4" t="n">
        <v>4</v>
      </c>
      <c r="J5323" s="4" t="n">
        <f aca="false">LEN(E5323)-LEN(SUBSTITUTE(E5323,",",""))+1</f>
        <v>4</v>
      </c>
      <c r="K5323" s="3" t="str">
        <f aca="false">IFERROR(INDEX('Teacher Lookup'!$B$2:$B$200,MATCH(A5323,'Teacher Lookup'!$A$2:$A$200,0)),"")</f>
        <v>TSO Jenny</v>
      </c>
    </row>
    <row r="5324" customFormat="false" ht="15" hidden="false" customHeight="false" outlineLevel="0" collapsed="false">
      <c r="A5324" s="3" t="s">
        <v>442</v>
      </c>
      <c r="B5324" s="4" t="s">
        <v>12</v>
      </c>
      <c r="C5324" s="4" t="n">
        <v>4</v>
      </c>
      <c r="D5324" s="4" t="s">
        <v>24</v>
      </c>
      <c r="E5324" s="3" t="s">
        <v>75</v>
      </c>
      <c r="F5324" s="4" t="str">
        <f aca="false">IF(I5324&gt;J5324,"Y","N")</f>
        <v>N</v>
      </c>
      <c r="G5324" s="3" t="s">
        <v>72</v>
      </c>
      <c r="H5324" s="3" t="s">
        <v>34</v>
      </c>
      <c r="I5324" s="4" t="n">
        <v>3</v>
      </c>
      <c r="J5324" s="4" t="n">
        <f aca="false">LEN(E5324)-LEN(SUBSTITUTE(E5324,",",""))+1</f>
        <v>3</v>
      </c>
      <c r="K5324" s="3" t="str">
        <f aca="false">IFERROR(INDEX('Teacher Lookup'!$B$2:$B$200,MATCH(A5324,'Teacher Lookup'!$A$2:$A$200,0)),"")</f>
        <v>TSO Jenny</v>
      </c>
    </row>
    <row r="5325" customFormat="false" ht="15" hidden="false" customHeight="false" outlineLevel="0" collapsed="false">
      <c r="A5325" s="3" t="s">
        <v>442</v>
      </c>
      <c r="B5325" s="4" t="s">
        <v>12</v>
      </c>
      <c r="C5325" s="4" t="n">
        <v>4</v>
      </c>
      <c r="D5325" s="4" t="s">
        <v>27</v>
      </c>
      <c r="E5325" s="3" t="s">
        <v>75</v>
      </c>
      <c r="F5325" s="4" t="str">
        <f aca="false">IF(I5325&gt;J5325,"Y","N")</f>
        <v>N</v>
      </c>
      <c r="G5325" s="3" t="s">
        <v>72</v>
      </c>
      <c r="H5325" s="3" t="s">
        <v>34</v>
      </c>
      <c r="I5325" s="4" t="n">
        <v>3</v>
      </c>
      <c r="J5325" s="4" t="n">
        <f aca="false">LEN(E5325)-LEN(SUBSTITUTE(E5325,",",""))+1</f>
        <v>3</v>
      </c>
      <c r="K5325" s="3" t="str">
        <f aca="false">IFERROR(INDEX('Teacher Lookup'!$B$2:$B$200,MATCH(A5325,'Teacher Lookup'!$A$2:$A$200,0)),"")</f>
        <v>TSO Jenny</v>
      </c>
    </row>
    <row r="5326" customFormat="false" ht="15" hidden="false" customHeight="false" outlineLevel="0" collapsed="false">
      <c r="A5326" s="3" t="s">
        <v>442</v>
      </c>
      <c r="B5326" s="4" t="s">
        <v>12</v>
      </c>
      <c r="C5326" s="4" t="n">
        <v>5</v>
      </c>
      <c r="D5326" s="4" t="s">
        <v>24</v>
      </c>
      <c r="E5326" s="3" t="s">
        <v>75</v>
      </c>
      <c r="F5326" s="4" t="str">
        <f aca="false">IF(I5326&gt;J5326,"Y","N")</f>
        <v>N</v>
      </c>
      <c r="G5326" s="3" t="s">
        <v>72</v>
      </c>
      <c r="H5326" s="3" t="s">
        <v>37</v>
      </c>
      <c r="I5326" s="4" t="n">
        <v>3</v>
      </c>
      <c r="J5326" s="4" t="n">
        <f aca="false">LEN(E5326)-LEN(SUBSTITUTE(E5326,",",""))+1</f>
        <v>3</v>
      </c>
      <c r="K5326" s="3" t="str">
        <f aca="false">IFERROR(INDEX('Teacher Lookup'!$B$2:$B$200,MATCH(A5326,'Teacher Lookup'!$A$2:$A$200,0)),"")</f>
        <v>TSO Jenny</v>
      </c>
    </row>
    <row r="5327" customFormat="false" ht="15" hidden="false" customHeight="false" outlineLevel="0" collapsed="false">
      <c r="A5327" s="3" t="s">
        <v>442</v>
      </c>
      <c r="B5327" s="4" t="s">
        <v>12</v>
      </c>
      <c r="C5327" s="4" t="n">
        <v>5</v>
      </c>
      <c r="D5327" s="4" t="s">
        <v>27</v>
      </c>
      <c r="E5327" s="3" t="s">
        <v>75</v>
      </c>
      <c r="F5327" s="4" t="str">
        <f aca="false">IF(I5327&gt;J5327,"Y","N")</f>
        <v>N</v>
      </c>
      <c r="G5327" s="3" t="s">
        <v>72</v>
      </c>
      <c r="H5327" s="3" t="s">
        <v>37</v>
      </c>
      <c r="I5327" s="4" t="n">
        <v>3</v>
      </c>
      <c r="J5327" s="4" t="n">
        <f aca="false">LEN(E5327)-LEN(SUBSTITUTE(E5327,",",""))+1</f>
        <v>3</v>
      </c>
      <c r="K5327" s="3" t="str">
        <f aca="false">IFERROR(INDEX('Teacher Lookup'!$B$2:$B$200,MATCH(A5327,'Teacher Lookup'!$A$2:$A$200,0)),"")</f>
        <v>TSO Jenny</v>
      </c>
    </row>
    <row r="5328" customFormat="false" ht="15" hidden="false" customHeight="false" outlineLevel="0" collapsed="false">
      <c r="A5328" s="3" t="s">
        <v>442</v>
      </c>
      <c r="B5328" s="4" t="s">
        <v>31</v>
      </c>
      <c r="C5328" s="4" t="n">
        <v>2</v>
      </c>
      <c r="D5328" s="4" t="s">
        <v>102</v>
      </c>
      <c r="E5328" s="3" t="s">
        <v>443</v>
      </c>
      <c r="F5328" s="4" t="str">
        <f aca="false">IF(I5328&gt;J5328,"Y","N")</f>
        <v>N</v>
      </c>
      <c r="G5328" s="3" t="s">
        <v>72</v>
      </c>
      <c r="H5328" s="3" t="s">
        <v>21</v>
      </c>
      <c r="I5328" s="4" t="n">
        <v>3</v>
      </c>
      <c r="J5328" s="4" t="n">
        <f aca="false">LEN(E5328)-LEN(SUBSTITUTE(E5328,",",""))+1</f>
        <v>3</v>
      </c>
      <c r="K5328" s="3" t="str">
        <f aca="false">IFERROR(INDEX('Teacher Lookup'!$B$2:$B$200,MATCH(A5328,'Teacher Lookup'!$A$2:$A$200,0)),"")</f>
        <v>TSO Jenny</v>
      </c>
    </row>
    <row r="5329" customFormat="false" ht="15" hidden="false" customHeight="false" outlineLevel="0" collapsed="false">
      <c r="A5329" s="3" t="s">
        <v>442</v>
      </c>
      <c r="B5329" s="4" t="s">
        <v>31</v>
      </c>
      <c r="C5329" s="4" t="n">
        <v>2</v>
      </c>
      <c r="D5329" s="4" t="s">
        <v>107</v>
      </c>
      <c r="E5329" s="3" t="s">
        <v>443</v>
      </c>
      <c r="F5329" s="4" t="str">
        <f aca="false">IF(I5329&gt;J5329,"Y","N")</f>
        <v>N</v>
      </c>
      <c r="G5329" s="3" t="s">
        <v>72</v>
      </c>
      <c r="H5329" s="3" t="s">
        <v>21</v>
      </c>
      <c r="I5329" s="4" t="n">
        <v>3</v>
      </c>
      <c r="J5329" s="4" t="n">
        <f aca="false">LEN(E5329)-LEN(SUBSTITUTE(E5329,",",""))+1</f>
        <v>3</v>
      </c>
      <c r="K5329" s="3" t="str">
        <f aca="false">IFERROR(INDEX('Teacher Lookup'!$B$2:$B$200,MATCH(A5329,'Teacher Lookup'!$A$2:$A$200,0)),"")</f>
        <v>TSO Jenny</v>
      </c>
    </row>
    <row r="5330" customFormat="false" ht="15" hidden="false" customHeight="false" outlineLevel="0" collapsed="false">
      <c r="A5330" s="3" t="s">
        <v>442</v>
      </c>
      <c r="B5330" s="4" t="s">
        <v>31</v>
      </c>
      <c r="C5330" s="4" t="n">
        <v>5</v>
      </c>
      <c r="D5330" s="4" t="s">
        <v>228</v>
      </c>
      <c r="E5330" s="3" t="s">
        <v>229</v>
      </c>
      <c r="F5330" s="4" t="str">
        <f aca="false">IF(I5330&gt;J5330,"Y","N")</f>
        <v>Y</v>
      </c>
      <c r="G5330" s="3" t="s">
        <v>36</v>
      </c>
      <c r="H5330" s="3" t="s">
        <v>37</v>
      </c>
      <c r="I5330" s="4" t="n">
        <v>14</v>
      </c>
      <c r="J5330" s="4" t="n">
        <f aca="false">LEN(E5330)-LEN(SUBSTITUTE(E5330,",",""))+1</f>
        <v>6</v>
      </c>
      <c r="K5330" s="3" t="str">
        <f aca="false">IFERROR(INDEX('Teacher Lookup'!$B$2:$B$200,MATCH(A5330,'Teacher Lookup'!$A$2:$A$200,0)),"")</f>
        <v>TSO Jenny</v>
      </c>
    </row>
    <row r="5331" customFormat="false" ht="15" hidden="false" customHeight="false" outlineLevel="0" collapsed="false">
      <c r="A5331" s="3" t="s">
        <v>442</v>
      </c>
      <c r="B5331" s="4" t="s">
        <v>31</v>
      </c>
      <c r="C5331" s="4" t="n">
        <v>5</v>
      </c>
      <c r="D5331" s="4" t="s">
        <v>102</v>
      </c>
      <c r="E5331" s="3" t="s">
        <v>229</v>
      </c>
      <c r="F5331" s="4" t="str">
        <f aca="false">IF(I5331&gt;J5331,"Y","N")</f>
        <v>Y</v>
      </c>
      <c r="G5331" s="3" t="s">
        <v>36</v>
      </c>
      <c r="H5331" s="3" t="s">
        <v>37</v>
      </c>
      <c r="I5331" s="4" t="n">
        <v>14</v>
      </c>
      <c r="J5331" s="4" t="n">
        <f aca="false">LEN(E5331)-LEN(SUBSTITUTE(E5331,",",""))+1</f>
        <v>6</v>
      </c>
      <c r="K5331" s="3" t="str">
        <f aca="false">IFERROR(INDEX('Teacher Lookup'!$B$2:$B$200,MATCH(A5331,'Teacher Lookup'!$A$2:$A$200,0)),"")</f>
        <v>TSO Jenny</v>
      </c>
    </row>
    <row r="5332" customFormat="false" ht="15" hidden="false" customHeight="false" outlineLevel="0" collapsed="false">
      <c r="A5332" s="3" t="s">
        <v>442</v>
      </c>
      <c r="B5332" s="4" t="s">
        <v>31</v>
      </c>
      <c r="C5332" s="4" t="n">
        <v>5</v>
      </c>
      <c r="D5332" s="4" t="s">
        <v>105</v>
      </c>
      <c r="E5332" s="3" t="s">
        <v>229</v>
      </c>
      <c r="F5332" s="4" t="str">
        <f aca="false">IF(I5332&gt;J5332,"Y","N")</f>
        <v>Y</v>
      </c>
      <c r="G5332" s="3" t="s">
        <v>36</v>
      </c>
      <c r="H5332" s="3" t="s">
        <v>37</v>
      </c>
      <c r="I5332" s="4" t="n">
        <v>14</v>
      </c>
      <c r="J5332" s="4" t="n">
        <f aca="false">LEN(E5332)-LEN(SUBSTITUTE(E5332,",",""))+1</f>
        <v>6</v>
      </c>
      <c r="K5332" s="3" t="str">
        <f aca="false">IFERROR(INDEX('Teacher Lookup'!$B$2:$B$200,MATCH(A5332,'Teacher Lookup'!$A$2:$A$200,0)),"")</f>
        <v>TSO Jenny</v>
      </c>
    </row>
    <row r="5333" customFormat="false" ht="15" hidden="false" customHeight="false" outlineLevel="0" collapsed="false">
      <c r="A5333" s="3" t="s">
        <v>442</v>
      </c>
      <c r="B5333" s="4" t="s">
        <v>31</v>
      </c>
      <c r="C5333" s="4" t="n">
        <v>5</v>
      </c>
      <c r="D5333" s="4" t="s">
        <v>106</v>
      </c>
      <c r="E5333" s="3" t="s">
        <v>229</v>
      </c>
      <c r="F5333" s="4" t="str">
        <f aca="false">IF(I5333&gt;J5333,"Y","N")</f>
        <v>Y</v>
      </c>
      <c r="G5333" s="3" t="s">
        <v>36</v>
      </c>
      <c r="H5333" s="3" t="s">
        <v>37</v>
      </c>
      <c r="I5333" s="4" t="n">
        <v>14</v>
      </c>
      <c r="J5333" s="4" t="n">
        <f aca="false">LEN(E5333)-LEN(SUBSTITUTE(E5333,",",""))+1</f>
        <v>6</v>
      </c>
      <c r="K5333" s="3" t="str">
        <f aca="false">IFERROR(INDEX('Teacher Lookup'!$B$2:$B$200,MATCH(A5333,'Teacher Lookup'!$A$2:$A$200,0)),"")</f>
        <v>TSO Jenny</v>
      </c>
    </row>
    <row r="5334" customFormat="false" ht="15" hidden="false" customHeight="false" outlineLevel="0" collapsed="false">
      <c r="A5334" s="3" t="s">
        <v>442</v>
      </c>
      <c r="B5334" s="4" t="s">
        <v>31</v>
      </c>
      <c r="C5334" s="4" t="n">
        <v>5</v>
      </c>
      <c r="D5334" s="4" t="s">
        <v>107</v>
      </c>
      <c r="E5334" s="3" t="s">
        <v>229</v>
      </c>
      <c r="F5334" s="4" t="str">
        <f aca="false">IF(I5334&gt;J5334,"Y","N")</f>
        <v>Y</v>
      </c>
      <c r="G5334" s="3" t="s">
        <v>36</v>
      </c>
      <c r="H5334" s="3" t="s">
        <v>37</v>
      </c>
      <c r="I5334" s="4" t="n">
        <v>14</v>
      </c>
      <c r="J5334" s="4" t="n">
        <f aca="false">LEN(E5334)-LEN(SUBSTITUTE(E5334,",",""))+1</f>
        <v>6</v>
      </c>
      <c r="K5334" s="3" t="str">
        <f aca="false">IFERROR(INDEX('Teacher Lookup'!$B$2:$B$200,MATCH(A5334,'Teacher Lookup'!$A$2:$A$200,0)),"")</f>
        <v>TSO Jenny</v>
      </c>
    </row>
    <row r="5335" customFormat="false" ht="15" hidden="false" customHeight="false" outlineLevel="0" collapsed="false">
      <c r="A5335" s="3" t="s">
        <v>442</v>
      </c>
      <c r="B5335" s="4" t="s">
        <v>31</v>
      </c>
      <c r="C5335" s="4" t="n">
        <v>6</v>
      </c>
      <c r="D5335" s="4" t="s">
        <v>24</v>
      </c>
      <c r="E5335" s="3" t="s">
        <v>82</v>
      </c>
      <c r="F5335" s="4" t="str">
        <f aca="false">IF(I5335&gt;J5335,"Y","N")</f>
        <v>N</v>
      </c>
      <c r="G5335" s="3" t="s">
        <v>72</v>
      </c>
      <c r="H5335" s="3" t="s">
        <v>42</v>
      </c>
      <c r="I5335" s="4" t="n">
        <v>3</v>
      </c>
      <c r="J5335" s="4" t="n">
        <f aca="false">LEN(E5335)-LEN(SUBSTITUTE(E5335,",",""))+1</f>
        <v>3</v>
      </c>
      <c r="K5335" s="3" t="str">
        <f aca="false">IFERROR(INDEX('Teacher Lookup'!$B$2:$B$200,MATCH(A5335,'Teacher Lookup'!$A$2:$A$200,0)),"")</f>
        <v>TSO Jenny</v>
      </c>
    </row>
    <row r="5336" customFormat="false" ht="15" hidden="false" customHeight="false" outlineLevel="0" collapsed="false">
      <c r="A5336" s="3" t="s">
        <v>442</v>
      </c>
      <c r="B5336" s="4" t="s">
        <v>31</v>
      </c>
      <c r="C5336" s="4" t="n">
        <v>6</v>
      </c>
      <c r="D5336" s="4" t="s">
        <v>27</v>
      </c>
      <c r="E5336" s="3" t="s">
        <v>82</v>
      </c>
      <c r="F5336" s="4" t="str">
        <f aca="false">IF(I5336&gt;J5336,"Y","N")</f>
        <v>N</v>
      </c>
      <c r="G5336" s="3" t="s">
        <v>72</v>
      </c>
      <c r="H5336" s="3" t="s">
        <v>42</v>
      </c>
      <c r="I5336" s="4" t="n">
        <v>3</v>
      </c>
      <c r="J5336" s="4" t="n">
        <f aca="false">LEN(E5336)-LEN(SUBSTITUTE(E5336,",",""))+1</f>
        <v>3</v>
      </c>
      <c r="K5336" s="3" t="str">
        <f aca="false">IFERROR(INDEX('Teacher Lookup'!$B$2:$B$200,MATCH(A5336,'Teacher Lookup'!$A$2:$A$200,0)),"")</f>
        <v>TSO Jenny</v>
      </c>
    </row>
    <row r="5337" customFormat="false" ht="15" hidden="false" customHeight="false" outlineLevel="0" collapsed="false">
      <c r="A5337" s="3" t="s">
        <v>442</v>
      </c>
      <c r="B5337" s="4" t="s">
        <v>40</v>
      </c>
      <c r="C5337" s="4" t="n">
        <v>5</v>
      </c>
      <c r="D5337" s="4" t="s">
        <v>228</v>
      </c>
      <c r="E5337" s="3" t="s">
        <v>352</v>
      </c>
      <c r="F5337" s="4" t="str">
        <f aca="false">IF(I5337&gt;J5337,"Y","N")</f>
        <v>N</v>
      </c>
      <c r="G5337" s="3" t="s">
        <v>72</v>
      </c>
      <c r="H5337" s="3" t="s">
        <v>37</v>
      </c>
      <c r="I5337" s="4" t="n">
        <v>4</v>
      </c>
      <c r="J5337" s="4" t="n">
        <f aca="false">LEN(E5337)-LEN(SUBSTITUTE(E5337,",",""))+1</f>
        <v>4</v>
      </c>
      <c r="K5337" s="3" t="str">
        <f aca="false">IFERROR(INDEX('Teacher Lookup'!$B$2:$B$200,MATCH(A5337,'Teacher Lookup'!$A$2:$A$200,0)),"")</f>
        <v>TSO Jenny</v>
      </c>
    </row>
    <row r="5338" customFormat="false" ht="15" hidden="false" customHeight="false" outlineLevel="0" collapsed="false">
      <c r="A5338" s="3" t="s">
        <v>442</v>
      </c>
      <c r="B5338" s="4" t="s">
        <v>40</v>
      </c>
      <c r="C5338" s="4" t="n">
        <v>5</v>
      </c>
      <c r="D5338" s="4" t="s">
        <v>102</v>
      </c>
      <c r="E5338" s="3" t="s">
        <v>352</v>
      </c>
      <c r="F5338" s="4" t="str">
        <f aca="false">IF(I5338&gt;J5338,"Y","N")</f>
        <v>N</v>
      </c>
      <c r="G5338" s="3" t="s">
        <v>72</v>
      </c>
      <c r="H5338" s="3" t="s">
        <v>37</v>
      </c>
      <c r="I5338" s="4" t="n">
        <v>4</v>
      </c>
      <c r="J5338" s="4" t="n">
        <f aca="false">LEN(E5338)-LEN(SUBSTITUTE(E5338,",",""))+1</f>
        <v>4</v>
      </c>
      <c r="K5338" s="3" t="str">
        <f aca="false">IFERROR(INDEX('Teacher Lookup'!$B$2:$B$200,MATCH(A5338,'Teacher Lookup'!$A$2:$A$200,0)),"")</f>
        <v>TSO Jenny</v>
      </c>
    </row>
    <row r="5339" customFormat="false" ht="15" hidden="false" customHeight="false" outlineLevel="0" collapsed="false">
      <c r="A5339" s="3" t="s">
        <v>442</v>
      </c>
      <c r="B5339" s="4" t="s">
        <v>40</v>
      </c>
      <c r="C5339" s="4" t="n">
        <v>5</v>
      </c>
      <c r="D5339" s="4" t="s">
        <v>107</v>
      </c>
      <c r="E5339" s="3" t="s">
        <v>352</v>
      </c>
      <c r="F5339" s="4" t="str">
        <f aca="false">IF(I5339&gt;J5339,"Y","N")</f>
        <v>N</v>
      </c>
      <c r="G5339" s="3" t="s">
        <v>72</v>
      </c>
      <c r="H5339" s="3" t="s">
        <v>37</v>
      </c>
      <c r="I5339" s="4" t="n">
        <v>4</v>
      </c>
      <c r="J5339" s="4" t="n">
        <f aca="false">LEN(E5339)-LEN(SUBSTITUTE(E5339,",",""))+1</f>
        <v>4</v>
      </c>
      <c r="K5339" s="3" t="str">
        <f aca="false">IFERROR(INDEX('Teacher Lookup'!$B$2:$B$200,MATCH(A5339,'Teacher Lookup'!$A$2:$A$200,0)),"")</f>
        <v>TSO Jenny</v>
      </c>
    </row>
    <row r="5340" customFormat="false" ht="15" hidden="false" customHeight="false" outlineLevel="0" collapsed="false">
      <c r="A5340" s="3" t="s">
        <v>442</v>
      </c>
      <c r="B5340" s="4" t="s">
        <v>40</v>
      </c>
      <c r="C5340" s="4" t="n">
        <v>6</v>
      </c>
      <c r="D5340" s="4" t="s">
        <v>24</v>
      </c>
      <c r="E5340" s="3" t="s">
        <v>82</v>
      </c>
      <c r="F5340" s="4" t="str">
        <f aca="false">IF(I5340&gt;J5340,"Y","N")</f>
        <v>N</v>
      </c>
      <c r="G5340" s="3" t="s">
        <v>72</v>
      </c>
      <c r="H5340" s="3" t="s">
        <v>42</v>
      </c>
      <c r="I5340" s="4" t="n">
        <v>3</v>
      </c>
      <c r="J5340" s="4" t="n">
        <f aca="false">LEN(E5340)-LEN(SUBSTITUTE(E5340,",",""))+1</f>
        <v>3</v>
      </c>
      <c r="K5340" s="3" t="str">
        <f aca="false">IFERROR(INDEX('Teacher Lookup'!$B$2:$B$200,MATCH(A5340,'Teacher Lookup'!$A$2:$A$200,0)),"")</f>
        <v>TSO Jenny</v>
      </c>
    </row>
    <row r="5341" customFormat="false" ht="15" hidden="false" customHeight="false" outlineLevel="0" collapsed="false">
      <c r="A5341" s="3" t="s">
        <v>442</v>
      </c>
      <c r="B5341" s="4" t="s">
        <v>40</v>
      </c>
      <c r="C5341" s="4" t="n">
        <v>6</v>
      </c>
      <c r="D5341" s="4" t="s">
        <v>27</v>
      </c>
      <c r="E5341" s="3" t="s">
        <v>82</v>
      </c>
      <c r="F5341" s="4" t="str">
        <f aca="false">IF(I5341&gt;J5341,"Y","N")</f>
        <v>N</v>
      </c>
      <c r="G5341" s="3" t="s">
        <v>72</v>
      </c>
      <c r="H5341" s="3" t="s">
        <v>42</v>
      </c>
      <c r="I5341" s="4" t="n">
        <v>3</v>
      </c>
      <c r="J5341" s="4" t="n">
        <f aca="false">LEN(E5341)-LEN(SUBSTITUTE(E5341,",",""))+1</f>
        <v>3</v>
      </c>
      <c r="K5341" s="3" t="str">
        <f aca="false">IFERROR(INDEX('Teacher Lookup'!$B$2:$B$200,MATCH(A5341,'Teacher Lookup'!$A$2:$A$200,0)),"")</f>
        <v>TSO Jenny</v>
      </c>
    </row>
    <row r="5342" customFormat="false" ht="15" hidden="false" customHeight="false" outlineLevel="0" collapsed="false">
      <c r="A5342" s="3" t="s">
        <v>442</v>
      </c>
      <c r="B5342" s="4" t="s">
        <v>44</v>
      </c>
      <c r="C5342" s="4" t="n">
        <v>5</v>
      </c>
      <c r="D5342" s="4" t="s">
        <v>228</v>
      </c>
      <c r="E5342" s="3" t="s">
        <v>229</v>
      </c>
      <c r="F5342" s="4" t="str">
        <f aca="false">IF(I5342&gt;J5342,"Y","N")</f>
        <v>Y</v>
      </c>
      <c r="G5342" s="3" t="s">
        <v>36</v>
      </c>
      <c r="H5342" s="3" t="s">
        <v>37</v>
      </c>
      <c r="I5342" s="4" t="n">
        <v>14</v>
      </c>
      <c r="J5342" s="4" t="n">
        <f aca="false">LEN(E5342)-LEN(SUBSTITUTE(E5342,",",""))+1</f>
        <v>6</v>
      </c>
      <c r="K5342" s="3" t="str">
        <f aca="false">IFERROR(INDEX('Teacher Lookup'!$B$2:$B$200,MATCH(A5342,'Teacher Lookup'!$A$2:$A$200,0)),"")</f>
        <v>TSO Jenny</v>
      </c>
    </row>
    <row r="5343" customFormat="false" ht="15" hidden="false" customHeight="false" outlineLevel="0" collapsed="false">
      <c r="A5343" s="3" t="s">
        <v>442</v>
      </c>
      <c r="B5343" s="4" t="s">
        <v>44</v>
      </c>
      <c r="C5343" s="4" t="n">
        <v>5</v>
      </c>
      <c r="D5343" s="4" t="s">
        <v>102</v>
      </c>
      <c r="E5343" s="3" t="s">
        <v>229</v>
      </c>
      <c r="F5343" s="4" t="str">
        <f aca="false">IF(I5343&gt;J5343,"Y","N")</f>
        <v>Y</v>
      </c>
      <c r="G5343" s="3" t="s">
        <v>36</v>
      </c>
      <c r="H5343" s="3" t="s">
        <v>37</v>
      </c>
      <c r="I5343" s="4" t="n">
        <v>14</v>
      </c>
      <c r="J5343" s="4" t="n">
        <f aca="false">LEN(E5343)-LEN(SUBSTITUTE(E5343,",",""))+1</f>
        <v>6</v>
      </c>
      <c r="K5343" s="3" t="str">
        <f aca="false">IFERROR(INDEX('Teacher Lookup'!$B$2:$B$200,MATCH(A5343,'Teacher Lookup'!$A$2:$A$200,0)),"")</f>
        <v>TSO Jenny</v>
      </c>
    </row>
    <row r="5344" customFormat="false" ht="15" hidden="false" customHeight="false" outlineLevel="0" collapsed="false">
      <c r="A5344" s="3" t="s">
        <v>442</v>
      </c>
      <c r="B5344" s="4" t="s">
        <v>44</v>
      </c>
      <c r="C5344" s="4" t="n">
        <v>5</v>
      </c>
      <c r="D5344" s="4" t="s">
        <v>105</v>
      </c>
      <c r="E5344" s="3" t="s">
        <v>229</v>
      </c>
      <c r="F5344" s="4" t="str">
        <f aca="false">IF(I5344&gt;J5344,"Y","N")</f>
        <v>Y</v>
      </c>
      <c r="G5344" s="3" t="s">
        <v>36</v>
      </c>
      <c r="H5344" s="3" t="s">
        <v>37</v>
      </c>
      <c r="I5344" s="4" t="n">
        <v>14</v>
      </c>
      <c r="J5344" s="4" t="n">
        <f aca="false">LEN(E5344)-LEN(SUBSTITUTE(E5344,",",""))+1</f>
        <v>6</v>
      </c>
      <c r="K5344" s="3" t="str">
        <f aca="false">IFERROR(INDEX('Teacher Lookup'!$B$2:$B$200,MATCH(A5344,'Teacher Lookup'!$A$2:$A$200,0)),"")</f>
        <v>TSO Jenny</v>
      </c>
    </row>
    <row r="5345" customFormat="false" ht="15" hidden="false" customHeight="false" outlineLevel="0" collapsed="false">
      <c r="A5345" s="3" t="s">
        <v>442</v>
      </c>
      <c r="B5345" s="4" t="s">
        <v>44</v>
      </c>
      <c r="C5345" s="4" t="n">
        <v>5</v>
      </c>
      <c r="D5345" s="4" t="s">
        <v>106</v>
      </c>
      <c r="E5345" s="3" t="s">
        <v>229</v>
      </c>
      <c r="F5345" s="4" t="str">
        <f aca="false">IF(I5345&gt;J5345,"Y","N")</f>
        <v>Y</v>
      </c>
      <c r="G5345" s="3" t="s">
        <v>36</v>
      </c>
      <c r="H5345" s="3" t="s">
        <v>37</v>
      </c>
      <c r="I5345" s="4" t="n">
        <v>14</v>
      </c>
      <c r="J5345" s="4" t="n">
        <f aca="false">LEN(E5345)-LEN(SUBSTITUTE(E5345,",",""))+1</f>
        <v>6</v>
      </c>
      <c r="K5345" s="3" t="str">
        <f aca="false">IFERROR(INDEX('Teacher Lookup'!$B$2:$B$200,MATCH(A5345,'Teacher Lookup'!$A$2:$A$200,0)),"")</f>
        <v>TSO Jenny</v>
      </c>
    </row>
    <row r="5346" customFormat="false" ht="15" hidden="false" customHeight="false" outlineLevel="0" collapsed="false">
      <c r="A5346" s="3" t="s">
        <v>442</v>
      </c>
      <c r="B5346" s="4" t="s">
        <v>44</v>
      </c>
      <c r="C5346" s="4" t="n">
        <v>5</v>
      </c>
      <c r="D5346" s="4" t="s">
        <v>107</v>
      </c>
      <c r="E5346" s="3" t="s">
        <v>229</v>
      </c>
      <c r="F5346" s="4" t="str">
        <f aca="false">IF(I5346&gt;J5346,"Y","N")</f>
        <v>Y</v>
      </c>
      <c r="G5346" s="3" t="s">
        <v>36</v>
      </c>
      <c r="H5346" s="3" t="s">
        <v>37</v>
      </c>
      <c r="I5346" s="4" t="n">
        <v>14</v>
      </c>
      <c r="J5346" s="4" t="n">
        <f aca="false">LEN(E5346)-LEN(SUBSTITUTE(E5346,",",""))+1</f>
        <v>6</v>
      </c>
      <c r="K5346" s="3" t="str">
        <f aca="false">IFERROR(INDEX('Teacher Lookup'!$B$2:$B$200,MATCH(A5346,'Teacher Lookup'!$A$2:$A$200,0)),"")</f>
        <v>TSO Jenny</v>
      </c>
    </row>
    <row r="5347" customFormat="false" ht="15" hidden="false" customHeight="false" outlineLevel="0" collapsed="false">
      <c r="A5347" s="3" t="s">
        <v>442</v>
      </c>
      <c r="B5347" s="4" t="s">
        <v>44</v>
      </c>
      <c r="C5347" s="4" t="n">
        <v>6</v>
      </c>
      <c r="D5347" s="4" t="s">
        <v>102</v>
      </c>
      <c r="E5347" s="3" t="s">
        <v>444</v>
      </c>
      <c r="F5347" s="4" t="str">
        <f aca="false">IF(I5347&gt;J5347,"Y","N")</f>
        <v>N</v>
      </c>
      <c r="G5347" s="3" t="s">
        <v>72</v>
      </c>
      <c r="H5347" s="3" t="s">
        <v>42</v>
      </c>
      <c r="I5347" s="4" t="n">
        <v>3</v>
      </c>
      <c r="J5347" s="4" t="n">
        <f aca="false">LEN(E5347)-LEN(SUBSTITUTE(E5347,",",""))+1</f>
        <v>3</v>
      </c>
      <c r="K5347" s="3" t="str">
        <f aca="false">IFERROR(INDEX('Teacher Lookup'!$B$2:$B$200,MATCH(A5347,'Teacher Lookup'!$A$2:$A$200,0)),"")</f>
        <v>TSO Jenny</v>
      </c>
    </row>
    <row r="5348" customFormat="false" ht="15" hidden="false" customHeight="false" outlineLevel="0" collapsed="false">
      <c r="A5348" s="3" t="s">
        <v>442</v>
      </c>
      <c r="B5348" s="4" t="s">
        <v>44</v>
      </c>
      <c r="C5348" s="4" t="n">
        <v>6</v>
      </c>
      <c r="D5348" s="4" t="s">
        <v>107</v>
      </c>
      <c r="E5348" s="3" t="s">
        <v>444</v>
      </c>
      <c r="F5348" s="4" t="str">
        <f aca="false">IF(I5348&gt;J5348,"Y","N")</f>
        <v>N</v>
      </c>
      <c r="G5348" s="3" t="s">
        <v>72</v>
      </c>
      <c r="H5348" s="3" t="s">
        <v>42</v>
      </c>
      <c r="I5348" s="4" t="n">
        <v>3</v>
      </c>
      <c r="J5348" s="4" t="n">
        <f aca="false">LEN(E5348)-LEN(SUBSTITUTE(E5348,",",""))+1</f>
        <v>3</v>
      </c>
      <c r="K5348" s="3" t="str">
        <f aca="false">IFERROR(INDEX('Teacher Lookup'!$B$2:$B$200,MATCH(A5348,'Teacher Lookup'!$A$2:$A$200,0)),"")</f>
        <v>TSO Jenny</v>
      </c>
    </row>
    <row r="5349" customFormat="false" ht="15" hidden="false" customHeight="false" outlineLevel="0" collapsed="false">
      <c r="A5349" s="3" t="s">
        <v>442</v>
      </c>
      <c r="B5349" s="4" t="s">
        <v>44</v>
      </c>
      <c r="C5349" s="4" t="n">
        <v>7</v>
      </c>
      <c r="D5349" s="4" t="s">
        <v>24</v>
      </c>
      <c r="E5349" s="3" t="s">
        <v>82</v>
      </c>
      <c r="F5349" s="4" t="str">
        <f aca="false">IF(I5349&gt;J5349,"Y","N")</f>
        <v>N</v>
      </c>
      <c r="G5349" s="3" t="s">
        <v>72</v>
      </c>
      <c r="H5349" s="3" t="s">
        <v>39</v>
      </c>
      <c r="I5349" s="4" t="n">
        <v>3</v>
      </c>
      <c r="J5349" s="4" t="n">
        <f aca="false">LEN(E5349)-LEN(SUBSTITUTE(E5349,",",""))+1</f>
        <v>3</v>
      </c>
      <c r="K5349" s="3" t="str">
        <f aca="false">IFERROR(INDEX('Teacher Lookup'!$B$2:$B$200,MATCH(A5349,'Teacher Lookup'!$A$2:$A$200,0)),"")</f>
        <v>TSO Jenny</v>
      </c>
    </row>
    <row r="5350" customFormat="false" ht="15" hidden="false" customHeight="false" outlineLevel="0" collapsed="false">
      <c r="A5350" s="3" t="s">
        <v>442</v>
      </c>
      <c r="B5350" s="4" t="s">
        <v>44</v>
      </c>
      <c r="C5350" s="4" t="n">
        <v>7</v>
      </c>
      <c r="D5350" s="4" t="s">
        <v>27</v>
      </c>
      <c r="E5350" s="3" t="s">
        <v>82</v>
      </c>
      <c r="F5350" s="4" t="str">
        <f aca="false">IF(I5350&gt;J5350,"Y","N")</f>
        <v>N</v>
      </c>
      <c r="G5350" s="3" t="s">
        <v>72</v>
      </c>
      <c r="H5350" s="3" t="s">
        <v>39</v>
      </c>
      <c r="I5350" s="4" t="n">
        <v>3</v>
      </c>
      <c r="J5350" s="4" t="n">
        <f aca="false">LEN(E5350)-LEN(SUBSTITUTE(E5350,",",""))+1</f>
        <v>3</v>
      </c>
      <c r="K5350" s="3" t="str">
        <f aca="false">IFERROR(INDEX('Teacher Lookup'!$B$2:$B$200,MATCH(A5350,'Teacher Lookup'!$A$2:$A$200,0)),"")</f>
        <v>TSO Jenny</v>
      </c>
    </row>
    <row r="5351" customFormat="false" ht="15" hidden="false" customHeight="false" outlineLevel="0" collapsed="false">
      <c r="A5351" s="3" t="s">
        <v>442</v>
      </c>
      <c r="B5351" s="4" t="s">
        <v>47</v>
      </c>
      <c r="C5351" s="4" t="n">
        <v>2</v>
      </c>
      <c r="D5351" s="4" t="s">
        <v>24</v>
      </c>
      <c r="E5351" s="3" t="s">
        <v>86</v>
      </c>
      <c r="F5351" s="4" t="str">
        <f aca="false">IF(I5351&gt;J5351,"Y","N")</f>
        <v>N</v>
      </c>
      <c r="G5351" s="3" t="s">
        <v>72</v>
      </c>
      <c r="H5351" s="3" t="s">
        <v>21</v>
      </c>
      <c r="I5351" s="4" t="n">
        <v>3</v>
      </c>
      <c r="J5351" s="4" t="n">
        <f aca="false">LEN(E5351)-LEN(SUBSTITUTE(E5351,",",""))+1</f>
        <v>3</v>
      </c>
      <c r="K5351" s="3" t="str">
        <f aca="false">IFERROR(INDEX('Teacher Lookup'!$B$2:$B$200,MATCH(A5351,'Teacher Lookup'!$A$2:$A$200,0)),"")</f>
        <v>TSO Jenny</v>
      </c>
    </row>
    <row r="5352" customFormat="false" ht="15" hidden="false" customHeight="false" outlineLevel="0" collapsed="false">
      <c r="A5352" s="3" t="s">
        <v>442</v>
      </c>
      <c r="B5352" s="4" t="s">
        <v>47</v>
      </c>
      <c r="C5352" s="4" t="n">
        <v>2</v>
      </c>
      <c r="D5352" s="4" t="s">
        <v>27</v>
      </c>
      <c r="E5352" s="3" t="s">
        <v>86</v>
      </c>
      <c r="F5352" s="4" t="str">
        <f aca="false">IF(I5352&gt;J5352,"Y","N")</f>
        <v>N</v>
      </c>
      <c r="G5352" s="3" t="s">
        <v>72</v>
      </c>
      <c r="H5352" s="3" t="s">
        <v>21</v>
      </c>
      <c r="I5352" s="4" t="n">
        <v>3</v>
      </c>
      <c r="J5352" s="4" t="n">
        <f aca="false">LEN(E5352)-LEN(SUBSTITUTE(E5352,",",""))+1</f>
        <v>3</v>
      </c>
      <c r="K5352" s="3" t="str">
        <f aca="false">IFERROR(INDEX('Teacher Lookup'!$B$2:$B$200,MATCH(A5352,'Teacher Lookup'!$A$2:$A$200,0)),"")</f>
        <v>TSO Jenny</v>
      </c>
    </row>
    <row r="5353" customFormat="false" ht="15" hidden="false" customHeight="false" outlineLevel="0" collapsed="false">
      <c r="A5353" s="3" t="s">
        <v>442</v>
      </c>
      <c r="B5353" s="4" t="s">
        <v>47</v>
      </c>
      <c r="C5353" s="4" t="n">
        <v>6</v>
      </c>
      <c r="D5353" s="4" t="s">
        <v>102</v>
      </c>
      <c r="E5353" s="3" t="s">
        <v>445</v>
      </c>
      <c r="F5353" s="4" t="str">
        <f aca="false">IF(I5353&gt;J5353,"Y","N")</f>
        <v>N</v>
      </c>
      <c r="G5353" s="3" t="s">
        <v>72</v>
      </c>
      <c r="H5353" s="3" t="s">
        <v>42</v>
      </c>
      <c r="I5353" s="4" t="n">
        <v>3</v>
      </c>
      <c r="J5353" s="4" t="n">
        <f aca="false">LEN(E5353)-LEN(SUBSTITUTE(E5353,",",""))+1</f>
        <v>3</v>
      </c>
      <c r="K5353" s="3" t="str">
        <f aca="false">IFERROR(INDEX('Teacher Lookup'!$B$2:$B$200,MATCH(A5353,'Teacher Lookup'!$A$2:$A$200,0)),"")</f>
        <v>TSO Jenny</v>
      </c>
    </row>
    <row r="5354" customFormat="false" ht="15" hidden="false" customHeight="false" outlineLevel="0" collapsed="false">
      <c r="A5354" s="3" t="s">
        <v>442</v>
      </c>
      <c r="B5354" s="4" t="s">
        <v>47</v>
      </c>
      <c r="C5354" s="4" t="n">
        <v>6</v>
      </c>
      <c r="D5354" s="4" t="s">
        <v>107</v>
      </c>
      <c r="E5354" s="3" t="s">
        <v>445</v>
      </c>
      <c r="F5354" s="4" t="str">
        <f aca="false">IF(I5354&gt;J5354,"Y","N")</f>
        <v>N</v>
      </c>
      <c r="G5354" s="3" t="s">
        <v>72</v>
      </c>
      <c r="H5354" s="3" t="s">
        <v>42</v>
      </c>
      <c r="I5354" s="4" t="n">
        <v>3</v>
      </c>
      <c r="J5354" s="4" t="n">
        <f aca="false">LEN(E5354)-LEN(SUBSTITUTE(E5354,",",""))+1</f>
        <v>3</v>
      </c>
      <c r="K5354" s="3" t="str">
        <f aca="false">IFERROR(INDEX('Teacher Lookup'!$B$2:$B$200,MATCH(A5354,'Teacher Lookup'!$A$2:$A$200,0)),"")</f>
        <v>TSO Jenny</v>
      </c>
    </row>
    <row r="5355" customFormat="false" ht="15" hidden="false" customHeight="false" outlineLevel="0" collapsed="false">
      <c r="A5355" s="3" t="s">
        <v>442</v>
      </c>
      <c r="B5355" s="4" t="s">
        <v>47</v>
      </c>
      <c r="C5355" s="4" t="n">
        <v>7</v>
      </c>
      <c r="D5355" s="4" t="s">
        <v>102</v>
      </c>
      <c r="E5355" s="3" t="s">
        <v>445</v>
      </c>
      <c r="F5355" s="4" t="str">
        <f aca="false">IF(I5355&gt;J5355,"Y","N")</f>
        <v>N</v>
      </c>
      <c r="G5355" s="3" t="s">
        <v>72</v>
      </c>
      <c r="H5355" s="3" t="s">
        <v>39</v>
      </c>
      <c r="I5355" s="4" t="n">
        <v>3</v>
      </c>
      <c r="J5355" s="4" t="n">
        <f aca="false">LEN(E5355)-LEN(SUBSTITUTE(E5355,",",""))+1</f>
        <v>3</v>
      </c>
      <c r="K5355" s="3" t="str">
        <f aca="false">IFERROR(INDEX('Teacher Lookup'!$B$2:$B$200,MATCH(A5355,'Teacher Lookup'!$A$2:$A$200,0)),"")</f>
        <v>TSO Jenny</v>
      </c>
    </row>
    <row r="5356" customFormat="false" ht="15" hidden="false" customHeight="false" outlineLevel="0" collapsed="false">
      <c r="A5356" s="3" t="s">
        <v>442</v>
      </c>
      <c r="B5356" s="4" t="s">
        <v>47</v>
      </c>
      <c r="C5356" s="4" t="n">
        <v>7</v>
      </c>
      <c r="D5356" s="4" t="s">
        <v>107</v>
      </c>
      <c r="E5356" s="3" t="s">
        <v>445</v>
      </c>
      <c r="F5356" s="4" t="str">
        <f aca="false">IF(I5356&gt;J5356,"Y","N")</f>
        <v>N</v>
      </c>
      <c r="G5356" s="3" t="s">
        <v>72</v>
      </c>
      <c r="H5356" s="3" t="s">
        <v>39</v>
      </c>
      <c r="I5356" s="4" t="n">
        <v>3</v>
      </c>
      <c r="J5356" s="4" t="n">
        <f aca="false">LEN(E5356)-LEN(SUBSTITUTE(E5356,",",""))+1</f>
        <v>3</v>
      </c>
      <c r="K5356" s="3" t="str">
        <f aca="false">IFERROR(INDEX('Teacher Lookup'!$B$2:$B$200,MATCH(A5356,'Teacher Lookup'!$A$2:$A$200,0)),"")</f>
        <v>TSO Jenny</v>
      </c>
    </row>
    <row r="5357" customFormat="false" ht="15" hidden="false" customHeight="false" outlineLevel="0" collapsed="false">
      <c r="A5357" s="3" t="s">
        <v>442</v>
      </c>
      <c r="B5357" s="4" t="s">
        <v>50</v>
      </c>
      <c r="C5357" s="4" t="n">
        <v>6</v>
      </c>
      <c r="D5357" s="4" t="s">
        <v>24</v>
      </c>
      <c r="E5357" s="3" t="s">
        <v>89</v>
      </c>
      <c r="F5357" s="4" t="str">
        <f aca="false">IF(I5357&gt;J5357,"Y","N")</f>
        <v>N</v>
      </c>
      <c r="G5357" s="3" t="s">
        <v>72</v>
      </c>
      <c r="H5357" s="3" t="s">
        <v>42</v>
      </c>
      <c r="I5357" s="4" t="n">
        <v>3</v>
      </c>
      <c r="J5357" s="4" t="n">
        <f aca="false">LEN(E5357)-LEN(SUBSTITUTE(E5357,",",""))+1</f>
        <v>3</v>
      </c>
      <c r="K5357" s="3" t="str">
        <f aca="false">IFERROR(INDEX('Teacher Lookup'!$B$2:$B$200,MATCH(A5357,'Teacher Lookup'!$A$2:$A$200,0)),"")</f>
        <v>TSO Jenny</v>
      </c>
    </row>
    <row r="5358" customFormat="false" ht="15" hidden="false" customHeight="false" outlineLevel="0" collapsed="false">
      <c r="A5358" s="3" t="s">
        <v>442</v>
      </c>
      <c r="B5358" s="4" t="s">
        <v>50</v>
      </c>
      <c r="C5358" s="4" t="n">
        <v>6</v>
      </c>
      <c r="D5358" s="4" t="s">
        <v>27</v>
      </c>
      <c r="E5358" s="3" t="s">
        <v>89</v>
      </c>
      <c r="F5358" s="4" t="str">
        <f aca="false">IF(I5358&gt;J5358,"Y","N")</f>
        <v>N</v>
      </c>
      <c r="G5358" s="3" t="s">
        <v>72</v>
      </c>
      <c r="H5358" s="3" t="s">
        <v>42</v>
      </c>
      <c r="I5358" s="4" t="n">
        <v>3</v>
      </c>
      <c r="J5358" s="4" t="n">
        <f aca="false">LEN(E5358)-LEN(SUBSTITUTE(E5358,",",""))+1</f>
        <v>3</v>
      </c>
      <c r="K5358" s="3" t="str">
        <f aca="false">IFERROR(INDEX('Teacher Lookup'!$B$2:$B$200,MATCH(A5358,'Teacher Lookup'!$A$2:$A$200,0)),"")</f>
        <v>TSO Jenny</v>
      </c>
    </row>
    <row r="5359" customFormat="false" ht="15" hidden="false" customHeight="false" outlineLevel="0" collapsed="false">
      <c r="A5359" s="3" t="s">
        <v>442</v>
      </c>
      <c r="B5359" s="4" t="s">
        <v>50</v>
      </c>
      <c r="C5359" s="4" t="n">
        <v>7</v>
      </c>
      <c r="D5359" s="4" t="s">
        <v>228</v>
      </c>
      <c r="E5359" s="3" t="s">
        <v>354</v>
      </c>
      <c r="F5359" s="4" t="str">
        <f aca="false">IF(I5359&gt;J5359,"Y","N")</f>
        <v>N</v>
      </c>
      <c r="G5359" s="3" t="s">
        <v>72</v>
      </c>
      <c r="H5359" s="3" t="s">
        <v>39</v>
      </c>
      <c r="I5359" s="4" t="n">
        <v>4</v>
      </c>
      <c r="J5359" s="4" t="n">
        <f aca="false">LEN(E5359)-LEN(SUBSTITUTE(E5359,",",""))+1</f>
        <v>4</v>
      </c>
      <c r="K5359" s="3" t="str">
        <f aca="false">IFERROR(INDEX('Teacher Lookup'!$B$2:$B$200,MATCH(A5359,'Teacher Lookup'!$A$2:$A$200,0)),"")</f>
        <v>TSO Jenny</v>
      </c>
    </row>
    <row r="5360" customFormat="false" ht="15" hidden="false" customHeight="false" outlineLevel="0" collapsed="false">
      <c r="A5360" s="3" t="s">
        <v>442</v>
      </c>
      <c r="B5360" s="4" t="s">
        <v>50</v>
      </c>
      <c r="C5360" s="4" t="n">
        <v>7</v>
      </c>
      <c r="D5360" s="4" t="s">
        <v>102</v>
      </c>
      <c r="E5360" s="3" t="s">
        <v>354</v>
      </c>
      <c r="F5360" s="4" t="str">
        <f aca="false">IF(I5360&gt;J5360,"Y","N")</f>
        <v>N</v>
      </c>
      <c r="G5360" s="3" t="s">
        <v>72</v>
      </c>
      <c r="H5360" s="3" t="s">
        <v>39</v>
      </c>
      <c r="I5360" s="4" t="n">
        <v>4</v>
      </c>
      <c r="J5360" s="4" t="n">
        <f aca="false">LEN(E5360)-LEN(SUBSTITUTE(E5360,",",""))+1</f>
        <v>4</v>
      </c>
      <c r="K5360" s="3" t="str">
        <f aca="false">IFERROR(INDEX('Teacher Lookup'!$B$2:$B$200,MATCH(A5360,'Teacher Lookup'!$A$2:$A$200,0)),"")</f>
        <v>TSO Jenny</v>
      </c>
    </row>
    <row r="5361" customFormat="false" ht="15" hidden="false" customHeight="false" outlineLevel="0" collapsed="false">
      <c r="A5361" s="3" t="s">
        <v>442</v>
      </c>
      <c r="B5361" s="4" t="s">
        <v>50</v>
      </c>
      <c r="C5361" s="4" t="n">
        <v>7</v>
      </c>
      <c r="D5361" s="4" t="s">
        <v>107</v>
      </c>
      <c r="E5361" s="3" t="s">
        <v>354</v>
      </c>
      <c r="F5361" s="4" t="str">
        <f aca="false">IF(I5361&gt;J5361,"Y","N")</f>
        <v>N</v>
      </c>
      <c r="G5361" s="3" t="s">
        <v>72</v>
      </c>
      <c r="H5361" s="3" t="s">
        <v>39</v>
      </c>
      <c r="I5361" s="4" t="n">
        <v>4</v>
      </c>
      <c r="J5361" s="4" t="n">
        <f aca="false">LEN(E5361)-LEN(SUBSTITUTE(E5361,",",""))+1</f>
        <v>4</v>
      </c>
      <c r="K5361" s="3" t="str">
        <f aca="false">IFERROR(INDEX('Teacher Lookup'!$B$2:$B$200,MATCH(A5361,'Teacher Lookup'!$A$2:$A$200,0)),"")</f>
        <v>TSO Jenny</v>
      </c>
    </row>
    <row r="5362" customFormat="false" ht="15" hidden="false" customHeight="false" outlineLevel="0" collapsed="false">
      <c r="A5362" s="3" t="s">
        <v>442</v>
      </c>
      <c r="B5362" s="4" t="s">
        <v>60</v>
      </c>
      <c r="C5362" s="4" t="n">
        <v>3</v>
      </c>
      <c r="D5362" s="4" t="s">
        <v>102</v>
      </c>
      <c r="E5362" s="3" t="s">
        <v>446</v>
      </c>
      <c r="F5362" s="4" t="str">
        <f aca="false">IF(I5362&gt;J5362,"Y","N")</f>
        <v>N</v>
      </c>
      <c r="G5362" s="3" t="s">
        <v>72</v>
      </c>
      <c r="H5362" s="3" t="s">
        <v>26</v>
      </c>
      <c r="I5362" s="4" t="n">
        <v>3</v>
      </c>
      <c r="J5362" s="4" t="n">
        <f aca="false">LEN(E5362)-LEN(SUBSTITUTE(E5362,",",""))+1</f>
        <v>3</v>
      </c>
      <c r="K5362" s="3" t="str">
        <f aca="false">IFERROR(INDEX('Teacher Lookup'!$B$2:$B$200,MATCH(A5362,'Teacher Lookup'!$A$2:$A$200,0)),"")</f>
        <v>TSO Jenny</v>
      </c>
    </row>
    <row r="5363" customFormat="false" ht="15" hidden="false" customHeight="false" outlineLevel="0" collapsed="false">
      <c r="A5363" s="3" t="s">
        <v>442</v>
      </c>
      <c r="B5363" s="4" t="s">
        <v>60</v>
      </c>
      <c r="C5363" s="4" t="n">
        <v>3</v>
      </c>
      <c r="D5363" s="4" t="s">
        <v>107</v>
      </c>
      <c r="E5363" s="3" t="s">
        <v>446</v>
      </c>
      <c r="F5363" s="4" t="str">
        <f aca="false">IF(I5363&gt;J5363,"Y","N")</f>
        <v>N</v>
      </c>
      <c r="G5363" s="3" t="s">
        <v>72</v>
      </c>
      <c r="H5363" s="3" t="s">
        <v>26</v>
      </c>
      <c r="I5363" s="4" t="n">
        <v>3</v>
      </c>
      <c r="J5363" s="4" t="n">
        <f aca="false">LEN(E5363)-LEN(SUBSTITUTE(E5363,",",""))+1</f>
        <v>3</v>
      </c>
      <c r="K5363" s="3" t="str">
        <f aca="false">IFERROR(INDEX('Teacher Lookup'!$B$2:$B$200,MATCH(A5363,'Teacher Lookup'!$A$2:$A$200,0)),"")</f>
        <v>TSO Jenny</v>
      </c>
    </row>
    <row r="5364" customFormat="false" ht="15" hidden="false" customHeight="false" outlineLevel="0" collapsed="false">
      <c r="A5364" s="3" t="s">
        <v>442</v>
      </c>
      <c r="B5364" s="4" t="s">
        <v>60</v>
      </c>
      <c r="C5364" s="4" t="n">
        <v>4</v>
      </c>
      <c r="D5364" s="4" t="s">
        <v>24</v>
      </c>
      <c r="E5364" s="3" t="s">
        <v>92</v>
      </c>
      <c r="F5364" s="4" t="str">
        <f aca="false">IF(I5364&gt;J5364,"Y","N")</f>
        <v>N</v>
      </c>
      <c r="G5364" s="3" t="s">
        <v>72</v>
      </c>
      <c r="H5364" s="3" t="s">
        <v>34</v>
      </c>
      <c r="I5364" s="4" t="n">
        <v>3</v>
      </c>
      <c r="J5364" s="4" t="n">
        <f aca="false">LEN(E5364)-LEN(SUBSTITUTE(E5364,",",""))+1</f>
        <v>3</v>
      </c>
      <c r="K5364" s="3" t="str">
        <f aca="false">IFERROR(INDEX('Teacher Lookup'!$B$2:$B$200,MATCH(A5364,'Teacher Lookup'!$A$2:$A$200,0)),"")</f>
        <v>TSO Jenny</v>
      </c>
    </row>
    <row r="5365" customFormat="false" ht="15" hidden="false" customHeight="false" outlineLevel="0" collapsed="false">
      <c r="A5365" s="3" t="s">
        <v>442</v>
      </c>
      <c r="B5365" s="4" t="s">
        <v>60</v>
      </c>
      <c r="C5365" s="4" t="n">
        <v>4</v>
      </c>
      <c r="D5365" s="4" t="s">
        <v>27</v>
      </c>
      <c r="E5365" s="3" t="s">
        <v>92</v>
      </c>
      <c r="F5365" s="4" t="str">
        <f aca="false">IF(I5365&gt;J5365,"Y","N")</f>
        <v>N</v>
      </c>
      <c r="G5365" s="3" t="s">
        <v>72</v>
      </c>
      <c r="H5365" s="3" t="s">
        <v>34</v>
      </c>
      <c r="I5365" s="4" t="n">
        <v>3</v>
      </c>
      <c r="J5365" s="4" t="n">
        <f aca="false">LEN(E5365)-LEN(SUBSTITUTE(E5365,",",""))+1</f>
        <v>3</v>
      </c>
      <c r="K5365" s="3" t="str">
        <f aca="false">IFERROR(INDEX('Teacher Lookup'!$B$2:$B$200,MATCH(A5365,'Teacher Lookup'!$A$2:$A$200,0)),"")</f>
        <v>TSO Jenny</v>
      </c>
    </row>
    <row r="5366" customFormat="false" ht="15" hidden="false" customHeight="false" outlineLevel="0" collapsed="false">
      <c r="A5366" s="3" t="s">
        <v>442</v>
      </c>
      <c r="B5366" s="4" t="s">
        <v>60</v>
      </c>
      <c r="C5366" s="4" t="n">
        <v>5</v>
      </c>
      <c r="D5366" s="4" t="s">
        <v>228</v>
      </c>
      <c r="E5366" s="3" t="s">
        <v>229</v>
      </c>
      <c r="F5366" s="4" t="str">
        <f aca="false">IF(I5366&gt;J5366,"Y","N")</f>
        <v>Y</v>
      </c>
      <c r="G5366" s="3" t="s">
        <v>36</v>
      </c>
      <c r="H5366" s="3" t="s">
        <v>37</v>
      </c>
      <c r="I5366" s="4" t="n">
        <v>14</v>
      </c>
      <c r="J5366" s="4" t="n">
        <f aca="false">LEN(E5366)-LEN(SUBSTITUTE(E5366,",",""))+1</f>
        <v>6</v>
      </c>
      <c r="K5366" s="3" t="str">
        <f aca="false">IFERROR(INDEX('Teacher Lookup'!$B$2:$B$200,MATCH(A5366,'Teacher Lookup'!$A$2:$A$200,0)),"")</f>
        <v>TSO Jenny</v>
      </c>
    </row>
    <row r="5367" customFormat="false" ht="15" hidden="false" customHeight="false" outlineLevel="0" collapsed="false">
      <c r="A5367" s="3" t="s">
        <v>442</v>
      </c>
      <c r="B5367" s="4" t="s">
        <v>60</v>
      </c>
      <c r="C5367" s="4" t="n">
        <v>5</v>
      </c>
      <c r="D5367" s="4" t="s">
        <v>102</v>
      </c>
      <c r="E5367" s="3" t="s">
        <v>229</v>
      </c>
      <c r="F5367" s="4" t="str">
        <f aca="false">IF(I5367&gt;J5367,"Y","N")</f>
        <v>Y</v>
      </c>
      <c r="G5367" s="3" t="s">
        <v>36</v>
      </c>
      <c r="H5367" s="3" t="s">
        <v>37</v>
      </c>
      <c r="I5367" s="4" t="n">
        <v>14</v>
      </c>
      <c r="J5367" s="4" t="n">
        <f aca="false">LEN(E5367)-LEN(SUBSTITUTE(E5367,",",""))+1</f>
        <v>6</v>
      </c>
      <c r="K5367" s="3" t="str">
        <f aca="false">IFERROR(INDEX('Teacher Lookup'!$B$2:$B$200,MATCH(A5367,'Teacher Lookup'!$A$2:$A$200,0)),"")</f>
        <v>TSO Jenny</v>
      </c>
    </row>
    <row r="5368" customFormat="false" ht="15" hidden="false" customHeight="false" outlineLevel="0" collapsed="false">
      <c r="A5368" s="3" t="s">
        <v>442</v>
      </c>
      <c r="B5368" s="4" t="s">
        <v>60</v>
      </c>
      <c r="C5368" s="4" t="n">
        <v>5</v>
      </c>
      <c r="D5368" s="4" t="s">
        <v>105</v>
      </c>
      <c r="E5368" s="3" t="s">
        <v>229</v>
      </c>
      <c r="F5368" s="4" t="str">
        <f aca="false">IF(I5368&gt;J5368,"Y","N")</f>
        <v>Y</v>
      </c>
      <c r="G5368" s="3" t="s">
        <v>36</v>
      </c>
      <c r="H5368" s="3" t="s">
        <v>37</v>
      </c>
      <c r="I5368" s="4" t="n">
        <v>14</v>
      </c>
      <c r="J5368" s="4" t="n">
        <f aca="false">LEN(E5368)-LEN(SUBSTITUTE(E5368,",",""))+1</f>
        <v>6</v>
      </c>
      <c r="K5368" s="3" t="str">
        <f aca="false">IFERROR(INDEX('Teacher Lookup'!$B$2:$B$200,MATCH(A5368,'Teacher Lookup'!$A$2:$A$200,0)),"")</f>
        <v>TSO Jenny</v>
      </c>
    </row>
    <row r="5369" customFormat="false" ht="15" hidden="false" customHeight="false" outlineLevel="0" collapsed="false">
      <c r="A5369" s="3" t="s">
        <v>442</v>
      </c>
      <c r="B5369" s="4" t="s">
        <v>60</v>
      </c>
      <c r="C5369" s="4" t="n">
        <v>5</v>
      </c>
      <c r="D5369" s="4" t="s">
        <v>106</v>
      </c>
      <c r="E5369" s="3" t="s">
        <v>229</v>
      </c>
      <c r="F5369" s="4" t="str">
        <f aca="false">IF(I5369&gt;J5369,"Y","N")</f>
        <v>Y</v>
      </c>
      <c r="G5369" s="3" t="s">
        <v>36</v>
      </c>
      <c r="H5369" s="3" t="s">
        <v>37</v>
      </c>
      <c r="I5369" s="4" t="n">
        <v>14</v>
      </c>
      <c r="J5369" s="4" t="n">
        <f aca="false">LEN(E5369)-LEN(SUBSTITUTE(E5369,",",""))+1</f>
        <v>6</v>
      </c>
      <c r="K5369" s="3" t="str">
        <f aca="false">IFERROR(INDEX('Teacher Lookup'!$B$2:$B$200,MATCH(A5369,'Teacher Lookup'!$A$2:$A$200,0)),"")</f>
        <v>TSO Jenny</v>
      </c>
    </row>
    <row r="5370" customFormat="false" ht="15" hidden="false" customHeight="false" outlineLevel="0" collapsed="false">
      <c r="A5370" s="3" t="s">
        <v>442</v>
      </c>
      <c r="B5370" s="4" t="s">
        <v>60</v>
      </c>
      <c r="C5370" s="4" t="n">
        <v>5</v>
      </c>
      <c r="D5370" s="4" t="s">
        <v>107</v>
      </c>
      <c r="E5370" s="3" t="s">
        <v>229</v>
      </c>
      <c r="F5370" s="4" t="str">
        <f aca="false">IF(I5370&gt;J5370,"Y","N")</f>
        <v>Y</v>
      </c>
      <c r="G5370" s="3" t="s">
        <v>36</v>
      </c>
      <c r="H5370" s="3" t="s">
        <v>37</v>
      </c>
      <c r="I5370" s="4" t="n">
        <v>14</v>
      </c>
      <c r="J5370" s="4" t="n">
        <f aca="false">LEN(E5370)-LEN(SUBSTITUTE(E5370,",",""))+1</f>
        <v>6</v>
      </c>
      <c r="K5370" s="3" t="str">
        <f aca="false">IFERROR(INDEX('Teacher Lookup'!$B$2:$B$200,MATCH(A5370,'Teacher Lookup'!$A$2:$A$200,0)),"")</f>
        <v>TSO Jenny</v>
      </c>
    </row>
    <row r="5371" customFormat="false" ht="15" hidden="false" customHeight="false" outlineLevel="0" collapsed="false">
      <c r="A5371" s="3" t="s">
        <v>442</v>
      </c>
      <c r="B5371" s="4" t="s">
        <v>63</v>
      </c>
      <c r="C5371" s="4" t="n">
        <v>4</v>
      </c>
      <c r="D5371" s="4" t="s">
        <v>228</v>
      </c>
      <c r="E5371" s="3" t="s">
        <v>355</v>
      </c>
      <c r="F5371" s="4" t="str">
        <f aca="false">IF(I5371&gt;J5371,"Y","N")</f>
        <v>N</v>
      </c>
      <c r="G5371" s="3" t="s">
        <v>72</v>
      </c>
      <c r="H5371" s="3" t="s">
        <v>34</v>
      </c>
      <c r="I5371" s="4" t="n">
        <v>4</v>
      </c>
      <c r="J5371" s="4" t="n">
        <f aca="false">LEN(E5371)-LEN(SUBSTITUTE(E5371,",",""))+1</f>
        <v>4</v>
      </c>
      <c r="K5371" s="3" t="str">
        <f aca="false">IFERROR(INDEX('Teacher Lookup'!$B$2:$B$200,MATCH(A5371,'Teacher Lookup'!$A$2:$A$200,0)),"")</f>
        <v>TSO Jenny</v>
      </c>
    </row>
    <row r="5372" customFormat="false" ht="15" hidden="false" customHeight="false" outlineLevel="0" collapsed="false">
      <c r="A5372" s="3" t="s">
        <v>442</v>
      </c>
      <c r="B5372" s="4" t="s">
        <v>63</v>
      </c>
      <c r="C5372" s="4" t="n">
        <v>4</v>
      </c>
      <c r="D5372" s="4" t="s">
        <v>102</v>
      </c>
      <c r="E5372" s="3" t="s">
        <v>355</v>
      </c>
      <c r="F5372" s="4" t="str">
        <f aca="false">IF(I5372&gt;J5372,"Y","N")</f>
        <v>N</v>
      </c>
      <c r="G5372" s="3" t="s">
        <v>72</v>
      </c>
      <c r="H5372" s="3" t="s">
        <v>34</v>
      </c>
      <c r="I5372" s="4" t="n">
        <v>4</v>
      </c>
      <c r="J5372" s="4" t="n">
        <f aca="false">LEN(E5372)-LEN(SUBSTITUTE(E5372,",",""))+1</f>
        <v>4</v>
      </c>
      <c r="K5372" s="3" t="str">
        <f aca="false">IFERROR(INDEX('Teacher Lookup'!$B$2:$B$200,MATCH(A5372,'Teacher Lookup'!$A$2:$A$200,0)),"")</f>
        <v>TSO Jenny</v>
      </c>
    </row>
    <row r="5373" customFormat="false" ht="15" hidden="false" customHeight="false" outlineLevel="0" collapsed="false">
      <c r="A5373" s="3" t="s">
        <v>442</v>
      </c>
      <c r="B5373" s="4" t="s">
        <v>63</v>
      </c>
      <c r="C5373" s="4" t="n">
        <v>4</v>
      </c>
      <c r="D5373" s="4" t="s">
        <v>107</v>
      </c>
      <c r="E5373" s="3" t="s">
        <v>355</v>
      </c>
      <c r="F5373" s="4" t="str">
        <f aca="false">IF(I5373&gt;J5373,"Y","N")</f>
        <v>N</v>
      </c>
      <c r="G5373" s="3" t="s">
        <v>72</v>
      </c>
      <c r="H5373" s="3" t="s">
        <v>34</v>
      </c>
      <c r="I5373" s="4" t="n">
        <v>4</v>
      </c>
      <c r="J5373" s="4" t="n">
        <f aca="false">LEN(E5373)-LEN(SUBSTITUTE(E5373,",",""))+1</f>
        <v>4</v>
      </c>
      <c r="K5373" s="3" t="str">
        <f aca="false">IFERROR(INDEX('Teacher Lookup'!$B$2:$B$200,MATCH(A5373,'Teacher Lookup'!$A$2:$A$200,0)),"")</f>
        <v>TSO Jenny</v>
      </c>
    </row>
    <row r="5374" customFormat="false" ht="15" hidden="false" customHeight="false" outlineLevel="0" collapsed="false">
      <c r="A5374" s="3" t="s">
        <v>442</v>
      </c>
      <c r="B5374" s="4" t="s">
        <v>63</v>
      </c>
      <c r="C5374" s="4" t="n">
        <v>5</v>
      </c>
      <c r="D5374" s="4" t="s">
        <v>24</v>
      </c>
      <c r="E5374" s="3" t="s">
        <v>92</v>
      </c>
      <c r="F5374" s="4" t="str">
        <f aca="false">IF(I5374&gt;J5374,"Y","N")</f>
        <v>N</v>
      </c>
      <c r="G5374" s="3" t="s">
        <v>72</v>
      </c>
      <c r="H5374" s="3" t="s">
        <v>37</v>
      </c>
      <c r="I5374" s="4" t="n">
        <v>3</v>
      </c>
      <c r="J5374" s="4" t="n">
        <f aca="false">LEN(E5374)-LEN(SUBSTITUTE(E5374,",",""))+1</f>
        <v>3</v>
      </c>
      <c r="K5374" s="3" t="str">
        <f aca="false">IFERROR(INDEX('Teacher Lookup'!$B$2:$B$200,MATCH(A5374,'Teacher Lookup'!$A$2:$A$200,0)),"")</f>
        <v>TSO Jenny</v>
      </c>
    </row>
    <row r="5375" customFormat="false" ht="15" hidden="false" customHeight="false" outlineLevel="0" collapsed="false">
      <c r="A5375" s="3" t="s">
        <v>442</v>
      </c>
      <c r="B5375" s="4" t="s">
        <v>63</v>
      </c>
      <c r="C5375" s="4" t="n">
        <v>5</v>
      </c>
      <c r="D5375" s="4" t="s">
        <v>27</v>
      </c>
      <c r="E5375" s="3" t="s">
        <v>92</v>
      </c>
      <c r="F5375" s="4" t="str">
        <f aca="false">IF(I5375&gt;J5375,"Y","N")</f>
        <v>N</v>
      </c>
      <c r="G5375" s="3" t="s">
        <v>72</v>
      </c>
      <c r="H5375" s="3" t="s">
        <v>37</v>
      </c>
      <c r="I5375" s="4" t="n">
        <v>3</v>
      </c>
      <c r="J5375" s="4" t="n">
        <f aca="false">LEN(E5375)-LEN(SUBSTITUTE(E5375,",",""))+1</f>
        <v>3</v>
      </c>
      <c r="K5375" s="3" t="str">
        <f aca="false">IFERROR(INDEX('Teacher Lookup'!$B$2:$B$200,MATCH(A5375,'Teacher Lookup'!$A$2:$A$200,0)),"")</f>
        <v>TSO Jenny</v>
      </c>
    </row>
    <row r="5376" customFormat="false" ht="15" hidden="false" customHeight="false" outlineLevel="0" collapsed="false">
      <c r="A5376" s="3" t="s">
        <v>442</v>
      </c>
      <c r="B5376" s="4" t="s">
        <v>65</v>
      </c>
      <c r="C5376" s="4" t="n">
        <v>3</v>
      </c>
      <c r="D5376" s="4" t="s">
        <v>24</v>
      </c>
      <c r="E5376" s="3" t="s">
        <v>95</v>
      </c>
      <c r="F5376" s="4" t="str">
        <f aca="false">IF(I5376&gt;J5376,"Y","N")</f>
        <v>N</v>
      </c>
      <c r="G5376" s="3" t="s">
        <v>72</v>
      </c>
      <c r="H5376" s="3" t="s">
        <v>26</v>
      </c>
      <c r="I5376" s="4" t="n">
        <v>3</v>
      </c>
      <c r="J5376" s="4" t="n">
        <f aca="false">LEN(E5376)-LEN(SUBSTITUTE(E5376,",",""))+1</f>
        <v>3</v>
      </c>
      <c r="K5376" s="3" t="str">
        <f aca="false">IFERROR(INDEX('Teacher Lookup'!$B$2:$B$200,MATCH(A5376,'Teacher Lookup'!$A$2:$A$200,0)),"")</f>
        <v>TSO Jenny</v>
      </c>
    </row>
    <row r="5377" customFormat="false" ht="15" hidden="false" customHeight="false" outlineLevel="0" collapsed="false">
      <c r="A5377" s="3" t="s">
        <v>442</v>
      </c>
      <c r="B5377" s="4" t="s">
        <v>65</v>
      </c>
      <c r="C5377" s="4" t="n">
        <v>3</v>
      </c>
      <c r="D5377" s="4" t="s">
        <v>27</v>
      </c>
      <c r="E5377" s="3" t="s">
        <v>95</v>
      </c>
      <c r="F5377" s="4" t="str">
        <f aca="false">IF(I5377&gt;J5377,"Y","N")</f>
        <v>N</v>
      </c>
      <c r="G5377" s="3" t="s">
        <v>72</v>
      </c>
      <c r="H5377" s="3" t="s">
        <v>26</v>
      </c>
      <c r="I5377" s="4" t="n">
        <v>3</v>
      </c>
      <c r="J5377" s="4" t="n">
        <f aca="false">LEN(E5377)-LEN(SUBSTITUTE(E5377,",",""))+1</f>
        <v>3</v>
      </c>
      <c r="K5377" s="3" t="str">
        <f aca="false">IFERROR(INDEX('Teacher Lookup'!$B$2:$B$200,MATCH(A5377,'Teacher Lookup'!$A$2:$A$200,0)),"")</f>
        <v>TSO Jenny</v>
      </c>
    </row>
    <row r="5378" customFormat="false" ht="15" hidden="false" customHeight="false" outlineLevel="0" collapsed="false">
      <c r="A5378" s="3" t="s">
        <v>442</v>
      </c>
      <c r="B5378" s="4" t="s">
        <v>65</v>
      </c>
      <c r="C5378" s="4" t="n">
        <v>4</v>
      </c>
      <c r="D5378" s="4" t="s">
        <v>102</v>
      </c>
      <c r="E5378" s="3" t="s">
        <v>447</v>
      </c>
      <c r="F5378" s="4" t="str">
        <f aca="false">IF(I5378&gt;J5378,"Y","N")</f>
        <v>N</v>
      </c>
      <c r="G5378" s="3" t="s">
        <v>72</v>
      </c>
      <c r="H5378" s="3" t="s">
        <v>34</v>
      </c>
      <c r="I5378" s="4" t="n">
        <v>3</v>
      </c>
      <c r="J5378" s="4" t="n">
        <f aca="false">LEN(E5378)-LEN(SUBSTITUTE(E5378,",",""))+1</f>
        <v>3</v>
      </c>
      <c r="K5378" s="3" t="str">
        <f aca="false">IFERROR(INDEX('Teacher Lookup'!$B$2:$B$200,MATCH(A5378,'Teacher Lookup'!$A$2:$A$200,0)),"")</f>
        <v>TSO Jenny</v>
      </c>
    </row>
    <row r="5379" customFormat="false" ht="15" hidden="false" customHeight="false" outlineLevel="0" collapsed="false">
      <c r="A5379" s="3" t="s">
        <v>442</v>
      </c>
      <c r="B5379" s="4" t="s">
        <v>65</v>
      </c>
      <c r="C5379" s="4" t="n">
        <v>4</v>
      </c>
      <c r="D5379" s="4" t="s">
        <v>107</v>
      </c>
      <c r="E5379" s="3" t="s">
        <v>447</v>
      </c>
      <c r="F5379" s="4" t="str">
        <f aca="false">IF(I5379&gt;J5379,"Y","N")</f>
        <v>N</v>
      </c>
      <c r="G5379" s="3" t="s">
        <v>72</v>
      </c>
      <c r="H5379" s="3" t="s">
        <v>34</v>
      </c>
      <c r="I5379" s="4" t="n">
        <v>3</v>
      </c>
      <c r="J5379" s="4" t="n">
        <f aca="false">LEN(E5379)-LEN(SUBSTITUTE(E5379,",",""))+1</f>
        <v>3</v>
      </c>
      <c r="K5379" s="3" t="str">
        <f aca="false">IFERROR(INDEX('Teacher Lookup'!$B$2:$B$200,MATCH(A5379,'Teacher Lookup'!$A$2:$A$200,0)),"")</f>
        <v>TSO Jenny</v>
      </c>
    </row>
    <row r="5380" customFormat="false" ht="15" hidden="false" customHeight="false" outlineLevel="0" collapsed="false">
      <c r="A5380" s="3" t="s">
        <v>442</v>
      </c>
      <c r="B5380" s="4" t="s">
        <v>65</v>
      </c>
      <c r="C5380" s="4" t="n">
        <v>5</v>
      </c>
      <c r="D5380" s="4" t="s">
        <v>228</v>
      </c>
      <c r="E5380" s="3" t="s">
        <v>229</v>
      </c>
      <c r="F5380" s="4" t="str">
        <f aca="false">IF(I5380&gt;J5380,"Y","N")</f>
        <v>Y</v>
      </c>
      <c r="G5380" s="3" t="s">
        <v>36</v>
      </c>
      <c r="H5380" s="3" t="s">
        <v>37</v>
      </c>
      <c r="I5380" s="4" t="n">
        <v>14</v>
      </c>
      <c r="J5380" s="4" t="n">
        <f aca="false">LEN(E5380)-LEN(SUBSTITUTE(E5380,",",""))+1</f>
        <v>6</v>
      </c>
      <c r="K5380" s="3" t="str">
        <f aca="false">IFERROR(INDEX('Teacher Lookup'!$B$2:$B$200,MATCH(A5380,'Teacher Lookup'!$A$2:$A$200,0)),"")</f>
        <v>TSO Jenny</v>
      </c>
    </row>
    <row r="5381" customFormat="false" ht="15" hidden="false" customHeight="false" outlineLevel="0" collapsed="false">
      <c r="A5381" s="3" t="s">
        <v>442</v>
      </c>
      <c r="B5381" s="4" t="s">
        <v>65</v>
      </c>
      <c r="C5381" s="4" t="n">
        <v>5</v>
      </c>
      <c r="D5381" s="4" t="s">
        <v>102</v>
      </c>
      <c r="E5381" s="3" t="s">
        <v>229</v>
      </c>
      <c r="F5381" s="4" t="str">
        <f aca="false">IF(I5381&gt;J5381,"Y","N")</f>
        <v>Y</v>
      </c>
      <c r="G5381" s="3" t="s">
        <v>36</v>
      </c>
      <c r="H5381" s="3" t="s">
        <v>37</v>
      </c>
      <c r="I5381" s="4" t="n">
        <v>14</v>
      </c>
      <c r="J5381" s="4" t="n">
        <f aca="false">LEN(E5381)-LEN(SUBSTITUTE(E5381,",",""))+1</f>
        <v>6</v>
      </c>
      <c r="K5381" s="3" t="str">
        <f aca="false">IFERROR(INDEX('Teacher Lookup'!$B$2:$B$200,MATCH(A5381,'Teacher Lookup'!$A$2:$A$200,0)),"")</f>
        <v>TSO Jenny</v>
      </c>
    </row>
    <row r="5382" customFormat="false" ht="15" hidden="false" customHeight="false" outlineLevel="0" collapsed="false">
      <c r="A5382" s="3" t="s">
        <v>442</v>
      </c>
      <c r="B5382" s="4" t="s">
        <v>65</v>
      </c>
      <c r="C5382" s="4" t="n">
        <v>5</v>
      </c>
      <c r="D5382" s="4" t="s">
        <v>105</v>
      </c>
      <c r="E5382" s="3" t="s">
        <v>229</v>
      </c>
      <c r="F5382" s="4" t="str">
        <f aca="false">IF(I5382&gt;J5382,"Y","N")</f>
        <v>Y</v>
      </c>
      <c r="G5382" s="3" t="s">
        <v>36</v>
      </c>
      <c r="H5382" s="3" t="s">
        <v>37</v>
      </c>
      <c r="I5382" s="4" t="n">
        <v>14</v>
      </c>
      <c r="J5382" s="4" t="n">
        <f aca="false">LEN(E5382)-LEN(SUBSTITUTE(E5382,",",""))+1</f>
        <v>6</v>
      </c>
      <c r="K5382" s="3" t="str">
        <f aca="false">IFERROR(INDEX('Teacher Lookup'!$B$2:$B$200,MATCH(A5382,'Teacher Lookup'!$A$2:$A$200,0)),"")</f>
        <v>TSO Jenny</v>
      </c>
    </row>
    <row r="5383" customFormat="false" ht="15" hidden="false" customHeight="false" outlineLevel="0" collapsed="false">
      <c r="A5383" s="3" t="s">
        <v>442</v>
      </c>
      <c r="B5383" s="4" t="s">
        <v>65</v>
      </c>
      <c r="C5383" s="4" t="n">
        <v>5</v>
      </c>
      <c r="D5383" s="4" t="s">
        <v>106</v>
      </c>
      <c r="E5383" s="3" t="s">
        <v>229</v>
      </c>
      <c r="F5383" s="4" t="str">
        <f aca="false">IF(I5383&gt;J5383,"Y","N")</f>
        <v>Y</v>
      </c>
      <c r="G5383" s="3" t="s">
        <v>36</v>
      </c>
      <c r="H5383" s="3" t="s">
        <v>37</v>
      </c>
      <c r="I5383" s="4" t="n">
        <v>14</v>
      </c>
      <c r="J5383" s="4" t="n">
        <f aca="false">LEN(E5383)-LEN(SUBSTITUTE(E5383,",",""))+1</f>
        <v>6</v>
      </c>
      <c r="K5383" s="3" t="str">
        <f aca="false">IFERROR(INDEX('Teacher Lookup'!$B$2:$B$200,MATCH(A5383,'Teacher Lookup'!$A$2:$A$200,0)),"")</f>
        <v>TSO Jenny</v>
      </c>
    </row>
    <row r="5384" customFormat="false" ht="15" hidden="false" customHeight="false" outlineLevel="0" collapsed="false">
      <c r="A5384" s="3" t="s">
        <v>442</v>
      </c>
      <c r="B5384" s="4" t="s">
        <v>65</v>
      </c>
      <c r="C5384" s="4" t="n">
        <v>5</v>
      </c>
      <c r="D5384" s="4" t="s">
        <v>107</v>
      </c>
      <c r="E5384" s="3" t="s">
        <v>229</v>
      </c>
      <c r="F5384" s="4" t="str">
        <f aca="false">IF(I5384&gt;J5384,"Y","N")</f>
        <v>Y</v>
      </c>
      <c r="G5384" s="3" t="s">
        <v>36</v>
      </c>
      <c r="H5384" s="3" t="s">
        <v>37</v>
      </c>
      <c r="I5384" s="4" t="n">
        <v>14</v>
      </c>
      <c r="J5384" s="4" t="n">
        <f aca="false">LEN(E5384)-LEN(SUBSTITUTE(E5384,",",""))+1</f>
        <v>6</v>
      </c>
      <c r="K5384" s="3" t="str">
        <f aca="false">IFERROR(INDEX('Teacher Lookup'!$B$2:$B$200,MATCH(A5384,'Teacher Lookup'!$A$2:$A$200,0)),"")</f>
        <v>TSO Jenny</v>
      </c>
    </row>
    <row r="5385" customFormat="false" ht="15" hidden="false" customHeight="false" outlineLevel="0" collapsed="false">
      <c r="A5385" s="3" t="s">
        <v>442</v>
      </c>
      <c r="B5385" s="4" t="s">
        <v>66</v>
      </c>
      <c r="C5385" s="4" t="n">
        <v>4</v>
      </c>
      <c r="D5385" s="4" t="s">
        <v>24</v>
      </c>
      <c r="E5385" s="3" t="s">
        <v>82</v>
      </c>
      <c r="F5385" s="4" t="str">
        <f aca="false">IF(I5385&gt;J5385,"Y","N")</f>
        <v>N</v>
      </c>
      <c r="G5385" s="3" t="s">
        <v>72</v>
      </c>
      <c r="H5385" s="3" t="s">
        <v>34</v>
      </c>
      <c r="I5385" s="4" t="n">
        <v>3</v>
      </c>
      <c r="J5385" s="4" t="n">
        <f aca="false">LEN(E5385)-LEN(SUBSTITUTE(E5385,",",""))+1</f>
        <v>3</v>
      </c>
      <c r="K5385" s="3" t="str">
        <f aca="false">IFERROR(INDEX('Teacher Lookup'!$B$2:$B$200,MATCH(A5385,'Teacher Lookup'!$A$2:$A$200,0)),"")</f>
        <v>TSO Jenny</v>
      </c>
    </row>
    <row r="5386" customFormat="false" ht="15" hidden="false" customHeight="false" outlineLevel="0" collapsed="false">
      <c r="A5386" s="3" t="s">
        <v>442</v>
      </c>
      <c r="B5386" s="4" t="s">
        <v>66</v>
      </c>
      <c r="C5386" s="4" t="n">
        <v>4</v>
      </c>
      <c r="D5386" s="4" t="s">
        <v>27</v>
      </c>
      <c r="E5386" s="3" t="s">
        <v>82</v>
      </c>
      <c r="F5386" s="4" t="str">
        <f aca="false">IF(I5386&gt;J5386,"Y","N")</f>
        <v>N</v>
      </c>
      <c r="G5386" s="3" t="s">
        <v>72</v>
      </c>
      <c r="H5386" s="3" t="s">
        <v>34</v>
      </c>
      <c r="I5386" s="4" t="n">
        <v>3</v>
      </c>
      <c r="J5386" s="4" t="n">
        <f aca="false">LEN(E5386)-LEN(SUBSTITUTE(E5386,",",""))+1</f>
        <v>3</v>
      </c>
      <c r="K5386" s="3" t="str">
        <f aca="false">IFERROR(INDEX('Teacher Lookup'!$B$2:$B$200,MATCH(A5386,'Teacher Lookup'!$A$2:$A$200,0)),"")</f>
        <v>TSO Jenny</v>
      </c>
    </row>
    <row r="5387" customFormat="false" ht="15" hidden="false" customHeight="false" outlineLevel="0" collapsed="false">
      <c r="A5387" s="3" t="s">
        <v>442</v>
      </c>
      <c r="B5387" s="4" t="s">
        <v>66</v>
      </c>
      <c r="C5387" s="4" t="n">
        <v>6</v>
      </c>
      <c r="D5387" s="4" t="s">
        <v>102</v>
      </c>
      <c r="E5387" s="3" t="s">
        <v>448</v>
      </c>
      <c r="F5387" s="4" t="str">
        <f aca="false">IF(I5387&gt;J5387,"Y","N")</f>
        <v>N</v>
      </c>
      <c r="G5387" s="3" t="s">
        <v>72</v>
      </c>
      <c r="H5387" s="3" t="s">
        <v>42</v>
      </c>
      <c r="I5387" s="4" t="n">
        <v>3</v>
      </c>
      <c r="J5387" s="4" t="n">
        <f aca="false">LEN(E5387)-LEN(SUBSTITUTE(E5387,",",""))+1</f>
        <v>3</v>
      </c>
      <c r="K5387" s="3" t="str">
        <f aca="false">IFERROR(INDEX('Teacher Lookup'!$B$2:$B$200,MATCH(A5387,'Teacher Lookup'!$A$2:$A$200,0)),"")</f>
        <v>TSO Jenny</v>
      </c>
    </row>
    <row r="5388" customFormat="false" ht="15" hidden="false" customHeight="false" outlineLevel="0" collapsed="false">
      <c r="A5388" s="3" t="s">
        <v>442</v>
      </c>
      <c r="B5388" s="4" t="s">
        <v>66</v>
      </c>
      <c r="C5388" s="4" t="n">
        <v>6</v>
      </c>
      <c r="D5388" s="4" t="s">
        <v>107</v>
      </c>
      <c r="E5388" s="3" t="s">
        <v>448</v>
      </c>
      <c r="F5388" s="4" t="str">
        <f aca="false">IF(I5388&gt;J5388,"Y","N")</f>
        <v>N</v>
      </c>
      <c r="G5388" s="3" t="s">
        <v>72</v>
      </c>
      <c r="H5388" s="3" t="s">
        <v>42</v>
      </c>
      <c r="I5388" s="4" t="n">
        <v>3</v>
      </c>
      <c r="J5388" s="4" t="n">
        <f aca="false">LEN(E5388)-LEN(SUBSTITUTE(E5388,",",""))+1</f>
        <v>3</v>
      </c>
      <c r="K5388" s="3" t="str">
        <f aca="false">IFERROR(INDEX('Teacher Lookup'!$B$2:$B$200,MATCH(A5388,'Teacher Lookup'!$A$2:$A$200,0)),"")</f>
        <v>TSO Jenny</v>
      </c>
    </row>
    <row r="5389" customFormat="false" ht="15" hidden="false" customHeight="false" outlineLevel="0" collapsed="false">
      <c r="A5389" s="3" t="s">
        <v>442</v>
      </c>
      <c r="B5389" s="4" t="s">
        <v>66</v>
      </c>
      <c r="C5389" s="4" t="n">
        <v>7</v>
      </c>
      <c r="D5389" s="4" t="s">
        <v>102</v>
      </c>
      <c r="E5389" s="3" t="s">
        <v>448</v>
      </c>
      <c r="F5389" s="4" t="str">
        <f aca="false">IF(I5389&gt;J5389,"Y","N")</f>
        <v>N</v>
      </c>
      <c r="G5389" s="3" t="s">
        <v>72</v>
      </c>
      <c r="H5389" s="3" t="s">
        <v>39</v>
      </c>
      <c r="I5389" s="4" t="n">
        <v>3</v>
      </c>
      <c r="J5389" s="4" t="n">
        <f aca="false">LEN(E5389)-LEN(SUBSTITUTE(E5389,",",""))+1</f>
        <v>3</v>
      </c>
      <c r="K5389" s="3" t="str">
        <f aca="false">IFERROR(INDEX('Teacher Lookup'!$B$2:$B$200,MATCH(A5389,'Teacher Lookup'!$A$2:$A$200,0)),"")</f>
        <v>TSO Jenny</v>
      </c>
    </row>
    <row r="5390" customFormat="false" ht="15" hidden="false" customHeight="false" outlineLevel="0" collapsed="false">
      <c r="A5390" s="3" t="s">
        <v>442</v>
      </c>
      <c r="B5390" s="4" t="s">
        <v>66</v>
      </c>
      <c r="C5390" s="4" t="n">
        <v>7</v>
      </c>
      <c r="D5390" s="4" t="s">
        <v>107</v>
      </c>
      <c r="E5390" s="3" t="s">
        <v>448</v>
      </c>
      <c r="F5390" s="4" t="str">
        <f aca="false">IF(I5390&gt;J5390,"Y","N")</f>
        <v>N</v>
      </c>
      <c r="G5390" s="3" t="s">
        <v>72</v>
      </c>
      <c r="H5390" s="3" t="s">
        <v>39</v>
      </c>
      <c r="I5390" s="4" t="n">
        <v>3</v>
      </c>
      <c r="J5390" s="4" t="n">
        <f aca="false">LEN(E5390)-LEN(SUBSTITUTE(E5390,",",""))+1</f>
        <v>3</v>
      </c>
      <c r="K5390" s="3" t="str">
        <f aca="false">IFERROR(INDEX('Teacher Lookup'!$B$2:$B$200,MATCH(A5390,'Teacher Lookup'!$A$2:$A$200,0)),"")</f>
        <v>TSO Jenny</v>
      </c>
    </row>
    <row r="5391" customFormat="false" ht="15" hidden="false" customHeight="false" outlineLevel="0" collapsed="false">
      <c r="A5391" s="3" t="s">
        <v>449</v>
      </c>
      <c r="B5391" s="4" t="s">
        <v>12</v>
      </c>
      <c r="C5391" s="4" t="n">
        <v>1</v>
      </c>
      <c r="D5391" s="4" t="s">
        <v>137</v>
      </c>
      <c r="E5391" s="3" t="s">
        <v>138</v>
      </c>
      <c r="F5391" s="4" t="str">
        <f aca="false">IF(I5391&gt;J5391,"Y","N")</f>
        <v>N</v>
      </c>
      <c r="G5391" s="3" t="s">
        <v>72</v>
      </c>
      <c r="H5391" s="3" t="s">
        <v>16</v>
      </c>
      <c r="I5391" s="4" t="n">
        <v>4</v>
      </c>
      <c r="J5391" s="4" t="n">
        <f aca="false">LEN(E5391)-LEN(SUBSTITUTE(E5391,",",""))+1</f>
        <v>4</v>
      </c>
      <c r="K5391" s="3" t="str">
        <f aca="false">IFERROR(INDEX('Teacher Lookup'!$B$2:$B$200,MATCH(A5391,'Teacher Lookup'!$A$2:$A$200,0)),"")</f>
        <v>WONG Jenny</v>
      </c>
    </row>
    <row r="5392" customFormat="false" ht="15" hidden="false" customHeight="false" outlineLevel="0" collapsed="false">
      <c r="A5392" s="3" t="s">
        <v>449</v>
      </c>
      <c r="B5392" s="4" t="s">
        <v>12</v>
      </c>
      <c r="C5392" s="4" t="n">
        <v>1</v>
      </c>
      <c r="D5392" s="4" t="s">
        <v>124</v>
      </c>
      <c r="E5392" s="3" t="s">
        <v>138</v>
      </c>
      <c r="F5392" s="4" t="str">
        <f aca="false">IF(I5392&gt;J5392,"Y","N")</f>
        <v>N</v>
      </c>
      <c r="G5392" s="3" t="s">
        <v>72</v>
      </c>
      <c r="H5392" s="3" t="s">
        <v>16</v>
      </c>
      <c r="I5392" s="4" t="n">
        <v>4</v>
      </c>
      <c r="J5392" s="4" t="n">
        <f aca="false">LEN(E5392)-LEN(SUBSTITUTE(E5392,",",""))+1</f>
        <v>4</v>
      </c>
      <c r="K5392" s="3" t="str">
        <f aca="false">IFERROR(INDEX('Teacher Lookup'!$B$2:$B$200,MATCH(A5392,'Teacher Lookup'!$A$2:$A$200,0)),"")</f>
        <v>WONG Jenny</v>
      </c>
    </row>
    <row r="5393" customFormat="false" ht="15" hidden="false" customHeight="false" outlineLevel="0" collapsed="false">
      <c r="A5393" s="3" t="s">
        <v>449</v>
      </c>
      <c r="B5393" s="4" t="s">
        <v>12</v>
      </c>
      <c r="C5393" s="4" t="n">
        <v>1</v>
      </c>
      <c r="D5393" s="4" t="s">
        <v>139</v>
      </c>
      <c r="E5393" s="3" t="s">
        <v>138</v>
      </c>
      <c r="F5393" s="4" t="str">
        <f aca="false">IF(I5393&gt;J5393,"Y","N")</f>
        <v>N</v>
      </c>
      <c r="G5393" s="3" t="s">
        <v>72</v>
      </c>
      <c r="H5393" s="3" t="s">
        <v>16</v>
      </c>
      <c r="I5393" s="4" t="n">
        <v>4</v>
      </c>
      <c r="J5393" s="4" t="n">
        <f aca="false">LEN(E5393)-LEN(SUBSTITUTE(E5393,",",""))+1</f>
        <v>4</v>
      </c>
      <c r="K5393" s="3" t="str">
        <f aca="false">IFERROR(INDEX('Teacher Lookup'!$B$2:$B$200,MATCH(A5393,'Teacher Lookup'!$A$2:$A$200,0)),"")</f>
        <v>WONG Jenny</v>
      </c>
    </row>
    <row r="5394" customFormat="false" ht="15" hidden="false" customHeight="false" outlineLevel="0" collapsed="false">
      <c r="A5394" s="3" t="s">
        <v>449</v>
      </c>
      <c r="B5394" s="4" t="s">
        <v>12</v>
      </c>
      <c r="C5394" s="4" t="n">
        <v>2</v>
      </c>
      <c r="D5394" s="4" t="s">
        <v>140</v>
      </c>
      <c r="E5394" s="3" t="s">
        <v>141</v>
      </c>
      <c r="F5394" s="4" t="str">
        <f aca="false">IF(I5394&gt;J5394,"Y","N")</f>
        <v>N</v>
      </c>
      <c r="G5394" s="3" t="s">
        <v>72</v>
      </c>
      <c r="H5394" s="3" t="s">
        <v>21</v>
      </c>
      <c r="I5394" s="4" t="n">
        <v>4</v>
      </c>
      <c r="J5394" s="4" t="n">
        <f aca="false">LEN(E5394)-LEN(SUBSTITUTE(E5394,",",""))+1</f>
        <v>4</v>
      </c>
      <c r="K5394" s="3" t="str">
        <f aca="false">IFERROR(INDEX('Teacher Lookup'!$B$2:$B$200,MATCH(A5394,'Teacher Lookup'!$A$2:$A$200,0)),"")</f>
        <v>WONG Jenny</v>
      </c>
    </row>
    <row r="5395" customFormat="false" ht="15" hidden="false" customHeight="false" outlineLevel="0" collapsed="false">
      <c r="A5395" s="3" t="s">
        <v>449</v>
      </c>
      <c r="B5395" s="4" t="s">
        <v>12</v>
      </c>
      <c r="C5395" s="4" t="n">
        <v>2</v>
      </c>
      <c r="D5395" s="4" t="s">
        <v>142</v>
      </c>
      <c r="E5395" s="3" t="s">
        <v>141</v>
      </c>
      <c r="F5395" s="4" t="str">
        <f aca="false">IF(I5395&gt;J5395,"Y","N")</f>
        <v>N</v>
      </c>
      <c r="G5395" s="3" t="s">
        <v>72</v>
      </c>
      <c r="H5395" s="3" t="s">
        <v>21</v>
      </c>
      <c r="I5395" s="4" t="n">
        <v>4</v>
      </c>
      <c r="J5395" s="4" t="n">
        <f aca="false">LEN(E5395)-LEN(SUBSTITUTE(E5395,",",""))+1</f>
        <v>4</v>
      </c>
      <c r="K5395" s="3" t="str">
        <f aca="false">IFERROR(INDEX('Teacher Lookup'!$B$2:$B$200,MATCH(A5395,'Teacher Lookup'!$A$2:$A$200,0)),"")</f>
        <v>WONG Jenny</v>
      </c>
    </row>
    <row r="5396" customFormat="false" ht="15" hidden="false" customHeight="false" outlineLevel="0" collapsed="false">
      <c r="A5396" s="3" t="s">
        <v>449</v>
      </c>
      <c r="B5396" s="4" t="s">
        <v>12</v>
      </c>
      <c r="C5396" s="4" t="n">
        <v>2</v>
      </c>
      <c r="D5396" s="4" t="s">
        <v>127</v>
      </c>
      <c r="E5396" s="3" t="s">
        <v>141</v>
      </c>
      <c r="F5396" s="4" t="str">
        <f aca="false">IF(I5396&gt;J5396,"Y","N")</f>
        <v>N</v>
      </c>
      <c r="G5396" s="3" t="s">
        <v>72</v>
      </c>
      <c r="H5396" s="3" t="s">
        <v>21</v>
      </c>
      <c r="I5396" s="4" t="n">
        <v>4</v>
      </c>
      <c r="J5396" s="4" t="n">
        <f aca="false">LEN(E5396)-LEN(SUBSTITUTE(E5396,",",""))+1</f>
        <v>4</v>
      </c>
      <c r="K5396" s="3" t="str">
        <f aca="false">IFERROR(INDEX('Teacher Lookup'!$B$2:$B$200,MATCH(A5396,'Teacher Lookup'!$A$2:$A$200,0)),"")</f>
        <v>WONG Jenny</v>
      </c>
    </row>
    <row r="5397" customFormat="false" ht="15" hidden="false" customHeight="false" outlineLevel="0" collapsed="false">
      <c r="A5397" s="3" t="s">
        <v>449</v>
      </c>
      <c r="B5397" s="4" t="s">
        <v>12</v>
      </c>
      <c r="C5397" s="4" t="n">
        <v>3</v>
      </c>
      <c r="D5397" s="4" t="s">
        <v>70</v>
      </c>
      <c r="E5397" s="3" t="s">
        <v>71</v>
      </c>
      <c r="F5397" s="4" t="str">
        <f aca="false">IF(I5397&gt;J5397,"Y","N")</f>
        <v>N</v>
      </c>
      <c r="G5397" s="3" t="s">
        <v>72</v>
      </c>
      <c r="H5397" s="3" t="s">
        <v>26</v>
      </c>
      <c r="I5397" s="4" t="n">
        <v>4</v>
      </c>
      <c r="J5397" s="4" t="n">
        <f aca="false">LEN(E5397)-LEN(SUBSTITUTE(E5397,",",""))+1</f>
        <v>4</v>
      </c>
      <c r="K5397" s="3" t="str">
        <f aca="false">IFERROR(INDEX('Teacher Lookup'!$B$2:$B$200,MATCH(A5397,'Teacher Lookup'!$A$2:$A$200,0)),"")</f>
        <v>WONG Jenny</v>
      </c>
    </row>
    <row r="5398" customFormat="false" ht="15" hidden="false" customHeight="false" outlineLevel="0" collapsed="false">
      <c r="A5398" s="3" t="s">
        <v>449</v>
      </c>
      <c r="B5398" s="4" t="s">
        <v>12</v>
      </c>
      <c r="C5398" s="4" t="n">
        <v>3</v>
      </c>
      <c r="D5398" s="4" t="s">
        <v>73</v>
      </c>
      <c r="E5398" s="3" t="s">
        <v>71</v>
      </c>
      <c r="F5398" s="4" t="str">
        <f aca="false">IF(I5398&gt;J5398,"Y","N")</f>
        <v>N</v>
      </c>
      <c r="G5398" s="3" t="s">
        <v>72</v>
      </c>
      <c r="H5398" s="3" t="s">
        <v>26</v>
      </c>
      <c r="I5398" s="4" t="n">
        <v>4</v>
      </c>
      <c r="J5398" s="4" t="n">
        <f aca="false">LEN(E5398)-LEN(SUBSTITUTE(E5398,",",""))+1</f>
        <v>4</v>
      </c>
      <c r="K5398" s="3" t="str">
        <f aca="false">IFERROR(INDEX('Teacher Lookup'!$B$2:$B$200,MATCH(A5398,'Teacher Lookup'!$A$2:$A$200,0)),"")</f>
        <v>WONG Jenny</v>
      </c>
    </row>
    <row r="5399" customFormat="false" ht="15" hidden="false" customHeight="false" outlineLevel="0" collapsed="false">
      <c r="A5399" s="3" t="s">
        <v>449</v>
      </c>
      <c r="B5399" s="4" t="s">
        <v>12</v>
      </c>
      <c r="C5399" s="4" t="n">
        <v>3</v>
      </c>
      <c r="D5399" s="4" t="s">
        <v>74</v>
      </c>
      <c r="E5399" s="3" t="s">
        <v>71</v>
      </c>
      <c r="F5399" s="4" t="str">
        <f aca="false">IF(I5399&gt;J5399,"Y","N")</f>
        <v>N</v>
      </c>
      <c r="G5399" s="3" t="s">
        <v>72</v>
      </c>
      <c r="H5399" s="3" t="s">
        <v>26</v>
      </c>
      <c r="I5399" s="4" t="n">
        <v>4</v>
      </c>
      <c r="J5399" s="4" t="n">
        <f aca="false">LEN(E5399)-LEN(SUBSTITUTE(E5399,",",""))+1</f>
        <v>4</v>
      </c>
      <c r="K5399" s="3" t="str">
        <f aca="false">IFERROR(INDEX('Teacher Lookup'!$B$2:$B$200,MATCH(A5399,'Teacher Lookup'!$A$2:$A$200,0)),"")</f>
        <v>WONG Jenny</v>
      </c>
    </row>
    <row r="5400" customFormat="false" ht="15" hidden="false" customHeight="false" outlineLevel="0" collapsed="false">
      <c r="A5400" s="3" t="s">
        <v>449</v>
      </c>
      <c r="B5400" s="4" t="s">
        <v>31</v>
      </c>
      <c r="C5400" s="4" t="n">
        <v>3</v>
      </c>
      <c r="D5400" s="4" t="s">
        <v>140</v>
      </c>
      <c r="E5400" s="3" t="s">
        <v>144</v>
      </c>
      <c r="F5400" s="4" t="str">
        <f aca="false">IF(I5400&gt;J5400,"Y","N")</f>
        <v>N</v>
      </c>
      <c r="G5400" s="3" t="s">
        <v>72</v>
      </c>
      <c r="H5400" s="3" t="s">
        <v>26</v>
      </c>
      <c r="I5400" s="4" t="n">
        <v>4</v>
      </c>
      <c r="J5400" s="4" t="n">
        <f aca="false">LEN(E5400)-LEN(SUBSTITUTE(E5400,",",""))+1</f>
        <v>4</v>
      </c>
      <c r="K5400" s="3" t="str">
        <f aca="false">IFERROR(INDEX('Teacher Lookup'!$B$2:$B$200,MATCH(A5400,'Teacher Lookup'!$A$2:$A$200,0)),"")</f>
        <v>WONG Jenny</v>
      </c>
    </row>
    <row r="5401" customFormat="false" ht="15" hidden="false" customHeight="false" outlineLevel="0" collapsed="false">
      <c r="A5401" s="3" t="s">
        <v>449</v>
      </c>
      <c r="B5401" s="4" t="s">
        <v>31</v>
      </c>
      <c r="C5401" s="4" t="n">
        <v>3</v>
      </c>
      <c r="D5401" s="4" t="s">
        <v>142</v>
      </c>
      <c r="E5401" s="3" t="s">
        <v>144</v>
      </c>
      <c r="F5401" s="4" t="str">
        <f aca="false">IF(I5401&gt;J5401,"Y","N")</f>
        <v>N</v>
      </c>
      <c r="G5401" s="3" t="s">
        <v>72</v>
      </c>
      <c r="H5401" s="3" t="s">
        <v>26</v>
      </c>
      <c r="I5401" s="4" t="n">
        <v>4</v>
      </c>
      <c r="J5401" s="4" t="n">
        <f aca="false">LEN(E5401)-LEN(SUBSTITUTE(E5401,",",""))+1</f>
        <v>4</v>
      </c>
      <c r="K5401" s="3" t="str">
        <f aca="false">IFERROR(INDEX('Teacher Lookup'!$B$2:$B$200,MATCH(A5401,'Teacher Lookup'!$A$2:$A$200,0)),"")</f>
        <v>WONG Jenny</v>
      </c>
    </row>
    <row r="5402" customFormat="false" ht="15" hidden="false" customHeight="false" outlineLevel="0" collapsed="false">
      <c r="A5402" s="3" t="s">
        <v>449</v>
      </c>
      <c r="B5402" s="4" t="s">
        <v>31</v>
      </c>
      <c r="C5402" s="4" t="n">
        <v>3</v>
      </c>
      <c r="D5402" s="4" t="s">
        <v>127</v>
      </c>
      <c r="E5402" s="3" t="s">
        <v>144</v>
      </c>
      <c r="F5402" s="4" t="str">
        <f aca="false">IF(I5402&gt;J5402,"Y","N")</f>
        <v>N</v>
      </c>
      <c r="G5402" s="3" t="s">
        <v>72</v>
      </c>
      <c r="H5402" s="3" t="s">
        <v>26</v>
      </c>
      <c r="I5402" s="4" t="n">
        <v>4</v>
      </c>
      <c r="J5402" s="4" t="n">
        <f aca="false">LEN(E5402)-LEN(SUBSTITUTE(E5402,",",""))+1</f>
        <v>4</v>
      </c>
      <c r="K5402" s="3" t="str">
        <f aca="false">IFERROR(INDEX('Teacher Lookup'!$B$2:$B$200,MATCH(A5402,'Teacher Lookup'!$A$2:$A$200,0)),"")</f>
        <v>WONG Jenny</v>
      </c>
    </row>
    <row r="5403" customFormat="false" ht="15" hidden="false" customHeight="false" outlineLevel="0" collapsed="false">
      <c r="A5403" s="3" t="s">
        <v>449</v>
      </c>
      <c r="B5403" s="4" t="s">
        <v>31</v>
      </c>
      <c r="C5403" s="4" t="n">
        <v>5</v>
      </c>
      <c r="D5403" s="4" t="s">
        <v>137</v>
      </c>
      <c r="E5403" s="3" t="s">
        <v>185</v>
      </c>
      <c r="F5403" s="4" t="str">
        <f aca="false">IF(I5403&gt;J5403,"Y","N")</f>
        <v>Y</v>
      </c>
      <c r="G5403" s="3" t="s">
        <v>36</v>
      </c>
      <c r="H5403" s="3" t="s">
        <v>37</v>
      </c>
      <c r="I5403" s="4" t="n">
        <v>21</v>
      </c>
      <c r="J5403" s="4" t="n">
        <f aca="false">LEN(E5403)-LEN(SUBSTITUTE(E5403,",",""))+1</f>
        <v>7</v>
      </c>
      <c r="K5403" s="3" t="str">
        <f aca="false">IFERROR(INDEX('Teacher Lookup'!$B$2:$B$200,MATCH(A5403,'Teacher Lookup'!$A$2:$A$200,0)),"")</f>
        <v>WONG Jenny</v>
      </c>
    </row>
    <row r="5404" customFormat="false" ht="15" hidden="false" customHeight="false" outlineLevel="0" collapsed="false">
      <c r="A5404" s="3" t="s">
        <v>449</v>
      </c>
      <c r="B5404" s="4" t="s">
        <v>31</v>
      </c>
      <c r="C5404" s="4" t="n">
        <v>5</v>
      </c>
      <c r="D5404" s="4" t="s">
        <v>124</v>
      </c>
      <c r="E5404" s="3" t="s">
        <v>185</v>
      </c>
      <c r="F5404" s="4" t="str">
        <f aca="false">IF(I5404&gt;J5404,"Y","N")</f>
        <v>Y</v>
      </c>
      <c r="G5404" s="3" t="s">
        <v>36</v>
      </c>
      <c r="H5404" s="3" t="s">
        <v>37</v>
      </c>
      <c r="I5404" s="4" t="n">
        <v>21</v>
      </c>
      <c r="J5404" s="4" t="n">
        <f aca="false">LEN(E5404)-LEN(SUBSTITUTE(E5404,",",""))+1</f>
        <v>7</v>
      </c>
      <c r="K5404" s="3" t="str">
        <f aca="false">IFERROR(INDEX('Teacher Lookup'!$B$2:$B$200,MATCH(A5404,'Teacher Lookup'!$A$2:$A$200,0)),"")</f>
        <v>WONG Jenny</v>
      </c>
    </row>
    <row r="5405" customFormat="false" ht="15" hidden="false" customHeight="false" outlineLevel="0" collapsed="false">
      <c r="A5405" s="3" t="s">
        <v>449</v>
      </c>
      <c r="B5405" s="4" t="s">
        <v>31</v>
      </c>
      <c r="C5405" s="4" t="n">
        <v>5</v>
      </c>
      <c r="D5405" s="4" t="s">
        <v>139</v>
      </c>
      <c r="E5405" s="3" t="s">
        <v>185</v>
      </c>
      <c r="F5405" s="4" t="str">
        <f aca="false">IF(I5405&gt;J5405,"Y","N")</f>
        <v>Y</v>
      </c>
      <c r="G5405" s="3" t="s">
        <v>36</v>
      </c>
      <c r="H5405" s="3" t="s">
        <v>37</v>
      </c>
      <c r="I5405" s="4" t="n">
        <v>21</v>
      </c>
      <c r="J5405" s="4" t="n">
        <f aca="false">LEN(E5405)-LEN(SUBSTITUTE(E5405,",",""))+1</f>
        <v>7</v>
      </c>
      <c r="K5405" s="3" t="str">
        <f aca="false">IFERROR(INDEX('Teacher Lookup'!$B$2:$B$200,MATCH(A5405,'Teacher Lookup'!$A$2:$A$200,0)),"")</f>
        <v>WONG Jenny</v>
      </c>
    </row>
    <row r="5406" customFormat="false" ht="15" hidden="false" customHeight="false" outlineLevel="0" collapsed="false">
      <c r="A5406" s="3" t="s">
        <v>449</v>
      </c>
      <c r="B5406" s="4" t="s">
        <v>31</v>
      </c>
      <c r="C5406" s="4" t="n">
        <v>5</v>
      </c>
      <c r="D5406" s="4" t="s">
        <v>140</v>
      </c>
      <c r="E5406" s="3" t="s">
        <v>185</v>
      </c>
      <c r="F5406" s="4" t="str">
        <f aca="false">IF(I5406&gt;J5406,"Y","N")</f>
        <v>Y</v>
      </c>
      <c r="G5406" s="3" t="s">
        <v>36</v>
      </c>
      <c r="H5406" s="3" t="s">
        <v>37</v>
      </c>
      <c r="I5406" s="4" t="n">
        <v>21</v>
      </c>
      <c r="J5406" s="4" t="n">
        <f aca="false">LEN(E5406)-LEN(SUBSTITUTE(E5406,",",""))+1</f>
        <v>7</v>
      </c>
      <c r="K5406" s="3" t="str">
        <f aca="false">IFERROR(INDEX('Teacher Lookup'!$B$2:$B$200,MATCH(A5406,'Teacher Lookup'!$A$2:$A$200,0)),"")</f>
        <v>WONG Jenny</v>
      </c>
    </row>
    <row r="5407" customFormat="false" ht="15" hidden="false" customHeight="false" outlineLevel="0" collapsed="false">
      <c r="A5407" s="3" t="s">
        <v>449</v>
      </c>
      <c r="B5407" s="4" t="s">
        <v>31</v>
      </c>
      <c r="C5407" s="4" t="n">
        <v>5</v>
      </c>
      <c r="D5407" s="4" t="s">
        <v>142</v>
      </c>
      <c r="E5407" s="3" t="s">
        <v>185</v>
      </c>
      <c r="F5407" s="4" t="str">
        <f aca="false">IF(I5407&gt;J5407,"Y","N")</f>
        <v>Y</v>
      </c>
      <c r="G5407" s="3" t="s">
        <v>36</v>
      </c>
      <c r="H5407" s="3" t="s">
        <v>37</v>
      </c>
      <c r="I5407" s="4" t="n">
        <v>21</v>
      </c>
      <c r="J5407" s="4" t="n">
        <f aca="false">LEN(E5407)-LEN(SUBSTITUTE(E5407,",",""))+1</f>
        <v>7</v>
      </c>
      <c r="K5407" s="3" t="str">
        <f aca="false">IFERROR(INDEX('Teacher Lookup'!$B$2:$B$200,MATCH(A5407,'Teacher Lookup'!$A$2:$A$200,0)),"")</f>
        <v>WONG Jenny</v>
      </c>
    </row>
    <row r="5408" customFormat="false" ht="15" hidden="false" customHeight="false" outlineLevel="0" collapsed="false">
      <c r="A5408" s="3" t="s">
        <v>449</v>
      </c>
      <c r="B5408" s="4" t="s">
        <v>31</v>
      </c>
      <c r="C5408" s="4" t="n">
        <v>5</v>
      </c>
      <c r="D5408" s="4" t="s">
        <v>127</v>
      </c>
      <c r="E5408" s="3" t="s">
        <v>185</v>
      </c>
      <c r="F5408" s="4" t="str">
        <f aca="false">IF(I5408&gt;J5408,"Y","N")</f>
        <v>Y</v>
      </c>
      <c r="G5408" s="3" t="s">
        <v>36</v>
      </c>
      <c r="H5408" s="3" t="s">
        <v>37</v>
      </c>
      <c r="I5408" s="4" t="n">
        <v>21</v>
      </c>
      <c r="J5408" s="4" t="n">
        <f aca="false">LEN(E5408)-LEN(SUBSTITUTE(E5408,",",""))+1</f>
        <v>7</v>
      </c>
      <c r="K5408" s="3" t="str">
        <f aca="false">IFERROR(INDEX('Teacher Lookup'!$B$2:$B$200,MATCH(A5408,'Teacher Lookup'!$A$2:$A$200,0)),"")</f>
        <v>WONG Jenny</v>
      </c>
    </row>
    <row r="5409" customFormat="false" ht="15" hidden="false" customHeight="false" outlineLevel="0" collapsed="false">
      <c r="A5409" s="3" t="s">
        <v>449</v>
      </c>
      <c r="B5409" s="4" t="s">
        <v>31</v>
      </c>
      <c r="C5409" s="4" t="n">
        <v>6</v>
      </c>
      <c r="D5409" s="4" t="s">
        <v>137</v>
      </c>
      <c r="E5409" s="3" t="s">
        <v>146</v>
      </c>
      <c r="F5409" s="4" t="str">
        <f aca="false">IF(I5409&gt;J5409,"Y","N")</f>
        <v>N</v>
      </c>
      <c r="G5409" s="3" t="s">
        <v>72</v>
      </c>
      <c r="H5409" s="3" t="s">
        <v>42</v>
      </c>
      <c r="I5409" s="4" t="n">
        <v>4</v>
      </c>
      <c r="J5409" s="4" t="n">
        <f aca="false">LEN(E5409)-LEN(SUBSTITUTE(E5409,",",""))+1</f>
        <v>4</v>
      </c>
      <c r="K5409" s="3" t="str">
        <f aca="false">IFERROR(INDEX('Teacher Lookup'!$B$2:$B$200,MATCH(A5409,'Teacher Lookup'!$A$2:$A$200,0)),"")</f>
        <v>WONG Jenny</v>
      </c>
    </row>
    <row r="5410" customFormat="false" ht="15" hidden="false" customHeight="false" outlineLevel="0" collapsed="false">
      <c r="A5410" s="3" t="s">
        <v>449</v>
      </c>
      <c r="B5410" s="4" t="s">
        <v>31</v>
      </c>
      <c r="C5410" s="4" t="n">
        <v>6</v>
      </c>
      <c r="D5410" s="4" t="s">
        <v>124</v>
      </c>
      <c r="E5410" s="3" t="s">
        <v>146</v>
      </c>
      <c r="F5410" s="4" t="str">
        <f aca="false">IF(I5410&gt;J5410,"Y","N")</f>
        <v>N</v>
      </c>
      <c r="G5410" s="3" t="s">
        <v>72</v>
      </c>
      <c r="H5410" s="3" t="s">
        <v>42</v>
      </c>
      <c r="I5410" s="4" t="n">
        <v>4</v>
      </c>
      <c r="J5410" s="4" t="n">
        <f aca="false">LEN(E5410)-LEN(SUBSTITUTE(E5410,",",""))+1</f>
        <v>4</v>
      </c>
      <c r="K5410" s="3" t="str">
        <f aca="false">IFERROR(INDEX('Teacher Lookup'!$B$2:$B$200,MATCH(A5410,'Teacher Lookup'!$A$2:$A$200,0)),"")</f>
        <v>WONG Jenny</v>
      </c>
    </row>
    <row r="5411" customFormat="false" ht="15" hidden="false" customHeight="false" outlineLevel="0" collapsed="false">
      <c r="A5411" s="3" t="s">
        <v>449</v>
      </c>
      <c r="B5411" s="4" t="s">
        <v>31</v>
      </c>
      <c r="C5411" s="4" t="n">
        <v>6</v>
      </c>
      <c r="D5411" s="4" t="s">
        <v>139</v>
      </c>
      <c r="E5411" s="3" t="s">
        <v>146</v>
      </c>
      <c r="F5411" s="4" t="str">
        <f aca="false">IF(I5411&gt;J5411,"Y","N")</f>
        <v>N</v>
      </c>
      <c r="G5411" s="3" t="s">
        <v>72</v>
      </c>
      <c r="H5411" s="3" t="s">
        <v>42</v>
      </c>
      <c r="I5411" s="4" t="n">
        <v>4</v>
      </c>
      <c r="J5411" s="4" t="n">
        <f aca="false">LEN(E5411)-LEN(SUBSTITUTE(E5411,",",""))+1</f>
        <v>4</v>
      </c>
      <c r="K5411" s="3" t="str">
        <f aca="false">IFERROR(INDEX('Teacher Lookup'!$B$2:$B$200,MATCH(A5411,'Teacher Lookup'!$A$2:$A$200,0)),"")</f>
        <v>WONG Jenny</v>
      </c>
    </row>
    <row r="5412" customFormat="false" ht="15" hidden="false" customHeight="false" outlineLevel="0" collapsed="false">
      <c r="A5412" s="3" t="s">
        <v>449</v>
      </c>
      <c r="B5412" s="4" t="s">
        <v>31</v>
      </c>
      <c r="C5412" s="4" t="n">
        <v>7</v>
      </c>
      <c r="D5412" s="4" t="s">
        <v>70</v>
      </c>
      <c r="E5412" s="3" t="s">
        <v>83</v>
      </c>
      <c r="F5412" s="4" t="str">
        <f aca="false">IF(I5412&gt;J5412,"Y","N")</f>
        <v>N</v>
      </c>
      <c r="G5412" s="3" t="s">
        <v>72</v>
      </c>
      <c r="H5412" s="3" t="s">
        <v>39</v>
      </c>
      <c r="I5412" s="4" t="n">
        <v>4</v>
      </c>
      <c r="J5412" s="4" t="n">
        <f aca="false">LEN(E5412)-LEN(SUBSTITUTE(E5412,",",""))+1</f>
        <v>4</v>
      </c>
      <c r="K5412" s="3" t="str">
        <f aca="false">IFERROR(INDEX('Teacher Lookup'!$B$2:$B$200,MATCH(A5412,'Teacher Lookup'!$A$2:$A$200,0)),"")</f>
        <v>WONG Jenny</v>
      </c>
    </row>
    <row r="5413" customFormat="false" ht="15" hidden="false" customHeight="false" outlineLevel="0" collapsed="false">
      <c r="A5413" s="3" t="s">
        <v>449</v>
      </c>
      <c r="B5413" s="4" t="s">
        <v>31</v>
      </c>
      <c r="C5413" s="4" t="n">
        <v>7</v>
      </c>
      <c r="D5413" s="4" t="s">
        <v>73</v>
      </c>
      <c r="E5413" s="3" t="s">
        <v>83</v>
      </c>
      <c r="F5413" s="4" t="str">
        <f aca="false">IF(I5413&gt;J5413,"Y","N")</f>
        <v>N</v>
      </c>
      <c r="G5413" s="3" t="s">
        <v>72</v>
      </c>
      <c r="H5413" s="3" t="s">
        <v>39</v>
      </c>
      <c r="I5413" s="4" t="n">
        <v>4</v>
      </c>
      <c r="J5413" s="4" t="n">
        <f aca="false">LEN(E5413)-LEN(SUBSTITUTE(E5413,",",""))+1</f>
        <v>4</v>
      </c>
      <c r="K5413" s="3" t="str">
        <f aca="false">IFERROR(INDEX('Teacher Lookup'!$B$2:$B$200,MATCH(A5413,'Teacher Lookup'!$A$2:$A$200,0)),"")</f>
        <v>WONG Jenny</v>
      </c>
    </row>
    <row r="5414" customFormat="false" ht="15" hidden="false" customHeight="false" outlineLevel="0" collapsed="false">
      <c r="A5414" s="3" t="s">
        <v>449</v>
      </c>
      <c r="B5414" s="4" t="s">
        <v>31</v>
      </c>
      <c r="C5414" s="4" t="n">
        <v>7</v>
      </c>
      <c r="D5414" s="4" t="s">
        <v>74</v>
      </c>
      <c r="E5414" s="3" t="s">
        <v>83</v>
      </c>
      <c r="F5414" s="4" t="str">
        <f aca="false">IF(I5414&gt;J5414,"Y","N")</f>
        <v>N</v>
      </c>
      <c r="G5414" s="3" t="s">
        <v>72</v>
      </c>
      <c r="H5414" s="3" t="s">
        <v>39</v>
      </c>
      <c r="I5414" s="4" t="n">
        <v>4</v>
      </c>
      <c r="J5414" s="4" t="n">
        <f aca="false">LEN(E5414)-LEN(SUBSTITUTE(E5414,",",""))+1</f>
        <v>4</v>
      </c>
      <c r="K5414" s="3" t="str">
        <f aca="false">IFERROR(INDEX('Teacher Lookup'!$B$2:$B$200,MATCH(A5414,'Teacher Lookup'!$A$2:$A$200,0)),"")</f>
        <v>WONG Jenny</v>
      </c>
    </row>
    <row r="5415" customFormat="false" ht="15" hidden="false" customHeight="false" outlineLevel="0" collapsed="false">
      <c r="A5415" s="3" t="s">
        <v>449</v>
      </c>
      <c r="B5415" s="4" t="s">
        <v>40</v>
      </c>
      <c r="C5415" s="4" t="n">
        <v>1</v>
      </c>
      <c r="D5415" s="4" t="s">
        <v>140</v>
      </c>
      <c r="E5415" s="3" t="s">
        <v>147</v>
      </c>
      <c r="F5415" s="4" t="str">
        <f aca="false">IF(I5415&gt;J5415,"Y","N")</f>
        <v>N</v>
      </c>
      <c r="G5415" s="3" t="s">
        <v>72</v>
      </c>
      <c r="H5415" s="3" t="s">
        <v>16</v>
      </c>
      <c r="I5415" s="4" t="n">
        <v>4</v>
      </c>
      <c r="J5415" s="4" t="n">
        <f aca="false">LEN(E5415)-LEN(SUBSTITUTE(E5415,",",""))+1</f>
        <v>4</v>
      </c>
      <c r="K5415" s="3" t="str">
        <f aca="false">IFERROR(INDEX('Teacher Lookup'!$B$2:$B$200,MATCH(A5415,'Teacher Lookup'!$A$2:$A$200,0)),"")</f>
        <v>WONG Jenny</v>
      </c>
    </row>
    <row r="5416" customFormat="false" ht="15" hidden="false" customHeight="false" outlineLevel="0" collapsed="false">
      <c r="A5416" s="3" t="s">
        <v>449</v>
      </c>
      <c r="B5416" s="4" t="s">
        <v>40</v>
      </c>
      <c r="C5416" s="4" t="n">
        <v>1</v>
      </c>
      <c r="D5416" s="4" t="s">
        <v>142</v>
      </c>
      <c r="E5416" s="3" t="s">
        <v>147</v>
      </c>
      <c r="F5416" s="4" t="str">
        <f aca="false">IF(I5416&gt;J5416,"Y","N")</f>
        <v>N</v>
      </c>
      <c r="G5416" s="3" t="s">
        <v>72</v>
      </c>
      <c r="H5416" s="3" t="s">
        <v>16</v>
      </c>
      <c r="I5416" s="4" t="n">
        <v>4</v>
      </c>
      <c r="J5416" s="4" t="n">
        <f aca="false">LEN(E5416)-LEN(SUBSTITUTE(E5416,",",""))+1</f>
        <v>4</v>
      </c>
      <c r="K5416" s="3" t="str">
        <f aca="false">IFERROR(INDEX('Teacher Lookup'!$B$2:$B$200,MATCH(A5416,'Teacher Lookup'!$A$2:$A$200,0)),"")</f>
        <v>WONG Jenny</v>
      </c>
    </row>
    <row r="5417" customFormat="false" ht="15" hidden="false" customHeight="false" outlineLevel="0" collapsed="false">
      <c r="A5417" s="3" t="s">
        <v>449</v>
      </c>
      <c r="B5417" s="4" t="s">
        <v>40</v>
      </c>
      <c r="C5417" s="4" t="n">
        <v>1</v>
      </c>
      <c r="D5417" s="4" t="s">
        <v>127</v>
      </c>
      <c r="E5417" s="3" t="s">
        <v>147</v>
      </c>
      <c r="F5417" s="4" t="str">
        <f aca="false">IF(I5417&gt;J5417,"Y","N")</f>
        <v>N</v>
      </c>
      <c r="G5417" s="3" t="s">
        <v>72</v>
      </c>
      <c r="H5417" s="3" t="s">
        <v>16</v>
      </c>
      <c r="I5417" s="4" t="n">
        <v>4</v>
      </c>
      <c r="J5417" s="4" t="n">
        <f aca="false">LEN(E5417)-LEN(SUBSTITUTE(E5417,",",""))+1</f>
        <v>4</v>
      </c>
      <c r="K5417" s="3" t="str">
        <f aca="false">IFERROR(INDEX('Teacher Lookup'!$B$2:$B$200,MATCH(A5417,'Teacher Lookup'!$A$2:$A$200,0)),"")</f>
        <v>WONG Jenny</v>
      </c>
    </row>
    <row r="5418" customFormat="false" ht="15" hidden="false" customHeight="false" outlineLevel="0" collapsed="false">
      <c r="A5418" s="3" t="s">
        <v>449</v>
      </c>
      <c r="B5418" s="4" t="s">
        <v>40</v>
      </c>
      <c r="C5418" s="4" t="n">
        <v>2</v>
      </c>
      <c r="D5418" s="4" t="s">
        <v>137</v>
      </c>
      <c r="E5418" s="3" t="s">
        <v>148</v>
      </c>
      <c r="F5418" s="4" t="str">
        <f aca="false">IF(I5418&gt;J5418,"Y","N")</f>
        <v>N</v>
      </c>
      <c r="G5418" s="3" t="s">
        <v>72</v>
      </c>
      <c r="H5418" s="3" t="s">
        <v>21</v>
      </c>
      <c r="I5418" s="4" t="n">
        <v>4</v>
      </c>
      <c r="J5418" s="4" t="n">
        <f aca="false">LEN(E5418)-LEN(SUBSTITUTE(E5418,",",""))+1</f>
        <v>4</v>
      </c>
      <c r="K5418" s="3" t="str">
        <f aca="false">IFERROR(INDEX('Teacher Lookup'!$B$2:$B$200,MATCH(A5418,'Teacher Lookup'!$A$2:$A$200,0)),"")</f>
        <v>WONG Jenny</v>
      </c>
    </row>
    <row r="5419" customFormat="false" ht="15" hidden="false" customHeight="false" outlineLevel="0" collapsed="false">
      <c r="A5419" s="3" t="s">
        <v>449</v>
      </c>
      <c r="B5419" s="4" t="s">
        <v>40</v>
      </c>
      <c r="C5419" s="4" t="n">
        <v>2</v>
      </c>
      <c r="D5419" s="4" t="s">
        <v>124</v>
      </c>
      <c r="E5419" s="3" t="s">
        <v>148</v>
      </c>
      <c r="F5419" s="4" t="str">
        <f aca="false">IF(I5419&gt;J5419,"Y","N")</f>
        <v>N</v>
      </c>
      <c r="G5419" s="3" t="s">
        <v>72</v>
      </c>
      <c r="H5419" s="3" t="s">
        <v>21</v>
      </c>
      <c r="I5419" s="4" t="n">
        <v>4</v>
      </c>
      <c r="J5419" s="4" t="n">
        <f aca="false">LEN(E5419)-LEN(SUBSTITUTE(E5419,",",""))+1</f>
        <v>4</v>
      </c>
      <c r="K5419" s="3" t="str">
        <f aca="false">IFERROR(INDEX('Teacher Lookup'!$B$2:$B$200,MATCH(A5419,'Teacher Lookup'!$A$2:$A$200,0)),"")</f>
        <v>WONG Jenny</v>
      </c>
    </row>
    <row r="5420" customFormat="false" ht="15" hidden="false" customHeight="false" outlineLevel="0" collapsed="false">
      <c r="A5420" s="3" t="s">
        <v>449</v>
      </c>
      <c r="B5420" s="4" t="s">
        <v>40</v>
      </c>
      <c r="C5420" s="4" t="n">
        <v>2</v>
      </c>
      <c r="D5420" s="4" t="s">
        <v>139</v>
      </c>
      <c r="E5420" s="3" t="s">
        <v>148</v>
      </c>
      <c r="F5420" s="4" t="str">
        <f aca="false">IF(I5420&gt;J5420,"Y","N")</f>
        <v>N</v>
      </c>
      <c r="G5420" s="3" t="s">
        <v>72</v>
      </c>
      <c r="H5420" s="3" t="s">
        <v>21</v>
      </c>
      <c r="I5420" s="4" t="n">
        <v>4</v>
      </c>
      <c r="J5420" s="4" t="n">
        <f aca="false">LEN(E5420)-LEN(SUBSTITUTE(E5420,",",""))+1</f>
        <v>4</v>
      </c>
      <c r="K5420" s="3" t="str">
        <f aca="false">IFERROR(INDEX('Teacher Lookup'!$B$2:$B$200,MATCH(A5420,'Teacher Lookup'!$A$2:$A$200,0)),"")</f>
        <v>WONG Jenny</v>
      </c>
    </row>
    <row r="5421" customFormat="false" ht="15" hidden="false" customHeight="false" outlineLevel="0" collapsed="false">
      <c r="A5421" s="3" t="s">
        <v>449</v>
      </c>
      <c r="B5421" s="4" t="s">
        <v>40</v>
      </c>
      <c r="C5421" s="4" t="n">
        <v>3</v>
      </c>
      <c r="D5421" s="4" t="s">
        <v>70</v>
      </c>
      <c r="E5421" s="3" t="s">
        <v>85</v>
      </c>
      <c r="F5421" s="4" t="str">
        <f aca="false">IF(I5421&gt;J5421,"Y","N")</f>
        <v>N</v>
      </c>
      <c r="G5421" s="3" t="s">
        <v>72</v>
      </c>
      <c r="H5421" s="3" t="s">
        <v>26</v>
      </c>
      <c r="I5421" s="4" t="n">
        <v>4</v>
      </c>
      <c r="J5421" s="4" t="n">
        <f aca="false">LEN(E5421)-LEN(SUBSTITUTE(E5421,",",""))+1</f>
        <v>4</v>
      </c>
      <c r="K5421" s="3" t="str">
        <f aca="false">IFERROR(INDEX('Teacher Lookup'!$B$2:$B$200,MATCH(A5421,'Teacher Lookup'!$A$2:$A$200,0)),"")</f>
        <v>WONG Jenny</v>
      </c>
    </row>
    <row r="5422" customFormat="false" ht="15" hidden="false" customHeight="false" outlineLevel="0" collapsed="false">
      <c r="A5422" s="3" t="s">
        <v>449</v>
      </c>
      <c r="B5422" s="4" t="s">
        <v>40</v>
      </c>
      <c r="C5422" s="4" t="n">
        <v>3</v>
      </c>
      <c r="D5422" s="4" t="s">
        <v>73</v>
      </c>
      <c r="E5422" s="3" t="s">
        <v>85</v>
      </c>
      <c r="F5422" s="4" t="str">
        <f aca="false">IF(I5422&gt;J5422,"Y","N")</f>
        <v>N</v>
      </c>
      <c r="G5422" s="3" t="s">
        <v>72</v>
      </c>
      <c r="H5422" s="3" t="s">
        <v>26</v>
      </c>
      <c r="I5422" s="4" t="n">
        <v>4</v>
      </c>
      <c r="J5422" s="4" t="n">
        <f aca="false">LEN(E5422)-LEN(SUBSTITUTE(E5422,",",""))+1</f>
        <v>4</v>
      </c>
      <c r="K5422" s="3" t="str">
        <f aca="false">IFERROR(INDEX('Teacher Lookup'!$B$2:$B$200,MATCH(A5422,'Teacher Lookup'!$A$2:$A$200,0)),"")</f>
        <v>WONG Jenny</v>
      </c>
    </row>
    <row r="5423" customFormat="false" ht="15" hidden="false" customHeight="false" outlineLevel="0" collapsed="false">
      <c r="A5423" s="3" t="s">
        <v>449</v>
      </c>
      <c r="B5423" s="4" t="s">
        <v>40</v>
      </c>
      <c r="C5423" s="4" t="n">
        <v>3</v>
      </c>
      <c r="D5423" s="4" t="s">
        <v>74</v>
      </c>
      <c r="E5423" s="3" t="s">
        <v>85</v>
      </c>
      <c r="F5423" s="4" t="str">
        <f aca="false">IF(I5423&gt;J5423,"Y","N")</f>
        <v>N</v>
      </c>
      <c r="G5423" s="3" t="s">
        <v>72</v>
      </c>
      <c r="H5423" s="3" t="s">
        <v>26</v>
      </c>
      <c r="I5423" s="4" t="n">
        <v>4</v>
      </c>
      <c r="J5423" s="4" t="n">
        <f aca="false">LEN(E5423)-LEN(SUBSTITUTE(E5423,",",""))+1</f>
        <v>4</v>
      </c>
      <c r="K5423" s="3" t="str">
        <f aca="false">IFERROR(INDEX('Teacher Lookup'!$B$2:$B$200,MATCH(A5423,'Teacher Lookup'!$A$2:$A$200,0)),"")</f>
        <v>WONG Jenny</v>
      </c>
    </row>
    <row r="5424" customFormat="false" ht="15" hidden="false" customHeight="false" outlineLevel="0" collapsed="false">
      <c r="A5424" s="3" t="s">
        <v>449</v>
      </c>
      <c r="B5424" s="4" t="s">
        <v>40</v>
      </c>
      <c r="C5424" s="4" t="n">
        <v>4</v>
      </c>
      <c r="D5424" s="4" t="s">
        <v>70</v>
      </c>
      <c r="E5424" s="3" t="s">
        <v>85</v>
      </c>
      <c r="F5424" s="4" t="str">
        <f aca="false">IF(I5424&gt;J5424,"Y","N")</f>
        <v>N</v>
      </c>
      <c r="G5424" s="3" t="s">
        <v>72</v>
      </c>
      <c r="H5424" s="3" t="s">
        <v>34</v>
      </c>
      <c r="I5424" s="4" t="n">
        <v>4</v>
      </c>
      <c r="J5424" s="4" t="n">
        <f aca="false">LEN(E5424)-LEN(SUBSTITUTE(E5424,",",""))+1</f>
        <v>4</v>
      </c>
      <c r="K5424" s="3" t="str">
        <f aca="false">IFERROR(INDEX('Teacher Lookup'!$B$2:$B$200,MATCH(A5424,'Teacher Lookup'!$A$2:$A$200,0)),"")</f>
        <v>WONG Jenny</v>
      </c>
    </row>
    <row r="5425" customFormat="false" ht="15" hidden="false" customHeight="false" outlineLevel="0" collapsed="false">
      <c r="A5425" s="3" t="s">
        <v>449</v>
      </c>
      <c r="B5425" s="4" t="s">
        <v>40</v>
      </c>
      <c r="C5425" s="4" t="n">
        <v>4</v>
      </c>
      <c r="D5425" s="4" t="s">
        <v>73</v>
      </c>
      <c r="E5425" s="3" t="s">
        <v>85</v>
      </c>
      <c r="F5425" s="4" t="str">
        <f aca="false">IF(I5425&gt;J5425,"Y","N")</f>
        <v>N</v>
      </c>
      <c r="G5425" s="3" t="s">
        <v>72</v>
      </c>
      <c r="H5425" s="3" t="s">
        <v>34</v>
      </c>
      <c r="I5425" s="4" t="n">
        <v>4</v>
      </c>
      <c r="J5425" s="4" t="n">
        <f aca="false">LEN(E5425)-LEN(SUBSTITUTE(E5425,",",""))+1</f>
        <v>4</v>
      </c>
      <c r="K5425" s="3" t="str">
        <f aca="false">IFERROR(INDEX('Teacher Lookup'!$B$2:$B$200,MATCH(A5425,'Teacher Lookup'!$A$2:$A$200,0)),"")</f>
        <v>WONG Jenny</v>
      </c>
    </row>
    <row r="5426" customFormat="false" ht="15" hidden="false" customHeight="false" outlineLevel="0" collapsed="false">
      <c r="A5426" s="3" t="s">
        <v>449</v>
      </c>
      <c r="B5426" s="4" t="s">
        <v>40</v>
      </c>
      <c r="C5426" s="4" t="n">
        <v>4</v>
      </c>
      <c r="D5426" s="4" t="s">
        <v>74</v>
      </c>
      <c r="E5426" s="3" t="s">
        <v>85</v>
      </c>
      <c r="F5426" s="4" t="str">
        <f aca="false">IF(I5426&gt;J5426,"Y","N")</f>
        <v>N</v>
      </c>
      <c r="G5426" s="3" t="s">
        <v>72</v>
      </c>
      <c r="H5426" s="3" t="s">
        <v>34</v>
      </c>
      <c r="I5426" s="4" t="n">
        <v>4</v>
      </c>
      <c r="J5426" s="4" t="n">
        <f aca="false">LEN(E5426)-LEN(SUBSTITUTE(E5426,",",""))+1</f>
        <v>4</v>
      </c>
      <c r="K5426" s="3" t="str">
        <f aca="false">IFERROR(INDEX('Teacher Lookup'!$B$2:$B$200,MATCH(A5426,'Teacher Lookup'!$A$2:$A$200,0)),"")</f>
        <v>WONG Jenny</v>
      </c>
    </row>
    <row r="5427" customFormat="false" ht="15" hidden="false" customHeight="false" outlineLevel="0" collapsed="false">
      <c r="A5427" s="3" t="s">
        <v>449</v>
      </c>
      <c r="B5427" s="4" t="s">
        <v>44</v>
      </c>
      <c r="C5427" s="4" t="n">
        <v>2</v>
      </c>
      <c r="D5427" s="4" t="s">
        <v>70</v>
      </c>
      <c r="E5427" s="3" t="s">
        <v>71</v>
      </c>
      <c r="F5427" s="4" t="str">
        <f aca="false">IF(I5427&gt;J5427,"Y","N")</f>
        <v>N</v>
      </c>
      <c r="G5427" s="3" t="s">
        <v>72</v>
      </c>
      <c r="H5427" s="3" t="s">
        <v>21</v>
      </c>
      <c r="I5427" s="4" t="n">
        <v>4</v>
      </c>
      <c r="J5427" s="4" t="n">
        <f aca="false">LEN(E5427)-LEN(SUBSTITUTE(E5427,",",""))+1</f>
        <v>4</v>
      </c>
      <c r="K5427" s="3" t="str">
        <f aca="false">IFERROR(INDEX('Teacher Lookup'!$B$2:$B$200,MATCH(A5427,'Teacher Lookup'!$A$2:$A$200,0)),"")</f>
        <v>WONG Jenny</v>
      </c>
    </row>
    <row r="5428" customFormat="false" ht="15" hidden="false" customHeight="false" outlineLevel="0" collapsed="false">
      <c r="A5428" s="3" t="s">
        <v>449</v>
      </c>
      <c r="B5428" s="4" t="s">
        <v>44</v>
      </c>
      <c r="C5428" s="4" t="n">
        <v>2</v>
      </c>
      <c r="D5428" s="4" t="s">
        <v>73</v>
      </c>
      <c r="E5428" s="3" t="s">
        <v>71</v>
      </c>
      <c r="F5428" s="4" t="str">
        <f aca="false">IF(I5428&gt;J5428,"Y","N")</f>
        <v>N</v>
      </c>
      <c r="G5428" s="3" t="s">
        <v>72</v>
      </c>
      <c r="H5428" s="3" t="s">
        <v>21</v>
      </c>
      <c r="I5428" s="4" t="n">
        <v>4</v>
      </c>
      <c r="J5428" s="4" t="n">
        <f aca="false">LEN(E5428)-LEN(SUBSTITUTE(E5428,",",""))+1</f>
        <v>4</v>
      </c>
      <c r="K5428" s="3" t="str">
        <f aca="false">IFERROR(INDEX('Teacher Lookup'!$B$2:$B$200,MATCH(A5428,'Teacher Lookup'!$A$2:$A$200,0)),"")</f>
        <v>WONG Jenny</v>
      </c>
    </row>
    <row r="5429" customFormat="false" ht="15" hidden="false" customHeight="false" outlineLevel="0" collapsed="false">
      <c r="A5429" s="3" t="s">
        <v>449</v>
      </c>
      <c r="B5429" s="4" t="s">
        <v>44</v>
      </c>
      <c r="C5429" s="4" t="n">
        <v>2</v>
      </c>
      <c r="D5429" s="4" t="s">
        <v>74</v>
      </c>
      <c r="E5429" s="3" t="s">
        <v>71</v>
      </c>
      <c r="F5429" s="4" t="str">
        <f aca="false">IF(I5429&gt;J5429,"Y","N")</f>
        <v>N</v>
      </c>
      <c r="G5429" s="3" t="s">
        <v>72</v>
      </c>
      <c r="H5429" s="3" t="s">
        <v>21</v>
      </c>
      <c r="I5429" s="4" t="n">
        <v>4</v>
      </c>
      <c r="J5429" s="4" t="n">
        <f aca="false">LEN(E5429)-LEN(SUBSTITUTE(E5429,",",""))+1</f>
        <v>4</v>
      </c>
      <c r="K5429" s="3" t="str">
        <f aca="false">IFERROR(INDEX('Teacher Lookup'!$B$2:$B$200,MATCH(A5429,'Teacher Lookup'!$A$2:$A$200,0)),"")</f>
        <v>WONG Jenny</v>
      </c>
    </row>
    <row r="5430" customFormat="false" ht="15" hidden="false" customHeight="false" outlineLevel="0" collapsed="false">
      <c r="A5430" s="3" t="s">
        <v>449</v>
      </c>
      <c r="B5430" s="4" t="s">
        <v>44</v>
      </c>
      <c r="C5430" s="4" t="n">
        <v>3</v>
      </c>
      <c r="D5430" s="4" t="s">
        <v>140</v>
      </c>
      <c r="E5430" s="3" t="s">
        <v>150</v>
      </c>
      <c r="F5430" s="4" t="str">
        <f aca="false">IF(I5430&gt;J5430,"Y","N")</f>
        <v>N</v>
      </c>
      <c r="G5430" s="3" t="s">
        <v>72</v>
      </c>
      <c r="H5430" s="3" t="s">
        <v>26</v>
      </c>
      <c r="I5430" s="4" t="n">
        <v>4</v>
      </c>
      <c r="J5430" s="4" t="n">
        <f aca="false">LEN(E5430)-LEN(SUBSTITUTE(E5430,",",""))+1</f>
        <v>4</v>
      </c>
      <c r="K5430" s="3" t="str">
        <f aca="false">IFERROR(INDEX('Teacher Lookup'!$B$2:$B$200,MATCH(A5430,'Teacher Lookup'!$A$2:$A$200,0)),"")</f>
        <v>WONG Jenny</v>
      </c>
    </row>
    <row r="5431" customFormat="false" ht="15" hidden="false" customHeight="false" outlineLevel="0" collapsed="false">
      <c r="A5431" s="3" t="s">
        <v>449</v>
      </c>
      <c r="B5431" s="4" t="s">
        <v>44</v>
      </c>
      <c r="C5431" s="4" t="n">
        <v>3</v>
      </c>
      <c r="D5431" s="4" t="s">
        <v>142</v>
      </c>
      <c r="E5431" s="3" t="s">
        <v>150</v>
      </c>
      <c r="F5431" s="4" t="str">
        <f aca="false">IF(I5431&gt;J5431,"Y","N")</f>
        <v>N</v>
      </c>
      <c r="G5431" s="3" t="s">
        <v>72</v>
      </c>
      <c r="H5431" s="3" t="s">
        <v>26</v>
      </c>
      <c r="I5431" s="4" t="n">
        <v>4</v>
      </c>
      <c r="J5431" s="4" t="n">
        <f aca="false">LEN(E5431)-LEN(SUBSTITUTE(E5431,",",""))+1</f>
        <v>4</v>
      </c>
      <c r="K5431" s="3" t="str">
        <f aca="false">IFERROR(INDEX('Teacher Lookup'!$B$2:$B$200,MATCH(A5431,'Teacher Lookup'!$A$2:$A$200,0)),"")</f>
        <v>WONG Jenny</v>
      </c>
    </row>
    <row r="5432" customFormat="false" ht="15" hidden="false" customHeight="false" outlineLevel="0" collapsed="false">
      <c r="A5432" s="3" t="s">
        <v>449</v>
      </c>
      <c r="B5432" s="4" t="s">
        <v>44</v>
      </c>
      <c r="C5432" s="4" t="n">
        <v>3</v>
      </c>
      <c r="D5432" s="4" t="s">
        <v>127</v>
      </c>
      <c r="E5432" s="3" t="s">
        <v>150</v>
      </c>
      <c r="F5432" s="4" t="str">
        <f aca="false">IF(I5432&gt;J5432,"Y","N")</f>
        <v>N</v>
      </c>
      <c r="G5432" s="3" t="s">
        <v>72</v>
      </c>
      <c r="H5432" s="3" t="s">
        <v>26</v>
      </c>
      <c r="I5432" s="4" t="n">
        <v>4</v>
      </c>
      <c r="J5432" s="4" t="n">
        <f aca="false">LEN(E5432)-LEN(SUBSTITUTE(E5432,",",""))+1</f>
        <v>4</v>
      </c>
      <c r="K5432" s="3" t="str">
        <f aca="false">IFERROR(INDEX('Teacher Lookup'!$B$2:$B$200,MATCH(A5432,'Teacher Lookup'!$A$2:$A$200,0)),"")</f>
        <v>WONG Jenny</v>
      </c>
    </row>
    <row r="5433" customFormat="false" ht="15" hidden="false" customHeight="false" outlineLevel="0" collapsed="false">
      <c r="A5433" s="3" t="s">
        <v>449</v>
      </c>
      <c r="B5433" s="4" t="s">
        <v>44</v>
      </c>
      <c r="C5433" s="4" t="n">
        <v>4</v>
      </c>
      <c r="D5433" s="4" t="s">
        <v>137</v>
      </c>
      <c r="E5433" s="3" t="s">
        <v>151</v>
      </c>
      <c r="F5433" s="4" t="str">
        <f aca="false">IF(I5433&gt;J5433,"Y","N")</f>
        <v>N</v>
      </c>
      <c r="G5433" s="3" t="s">
        <v>72</v>
      </c>
      <c r="H5433" s="3" t="s">
        <v>34</v>
      </c>
      <c r="I5433" s="4" t="n">
        <v>4</v>
      </c>
      <c r="J5433" s="4" t="n">
        <f aca="false">LEN(E5433)-LEN(SUBSTITUTE(E5433,",",""))+1</f>
        <v>4</v>
      </c>
      <c r="K5433" s="3" t="str">
        <f aca="false">IFERROR(INDEX('Teacher Lookup'!$B$2:$B$200,MATCH(A5433,'Teacher Lookup'!$A$2:$A$200,0)),"")</f>
        <v>WONG Jenny</v>
      </c>
    </row>
    <row r="5434" customFormat="false" ht="15" hidden="false" customHeight="false" outlineLevel="0" collapsed="false">
      <c r="A5434" s="3" t="s">
        <v>449</v>
      </c>
      <c r="B5434" s="4" t="s">
        <v>44</v>
      </c>
      <c r="C5434" s="4" t="n">
        <v>4</v>
      </c>
      <c r="D5434" s="4" t="s">
        <v>124</v>
      </c>
      <c r="E5434" s="3" t="s">
        <v>151</v>
      </c>
      <c r="F5434" s="4" t="str">
        <f aca="false">IF(I5434&gt;J5434,"Y","N")</f>
        <v>N</v>
      </c>
      <c r="G5434" s="3" t="s">
        <v>72</v>
      </c>
      <c r="H5434" s="3" t="s">
        <v>34</v>
      </c>
      <c r="I5434" s="4" t="n">
        <v>4</v>
      </c>
      <c r="J5434" s="4" t="n">
        <f aca="false">LEN(E5434)-LEN(SUBSTITUTE(E5434,",",""))+1</f>
        <v>4</v>
      </c>
      <c r="K5434" s="3" t="str">
        <f aca="false">IFERROR(INDEX('Teacher Lookup'!$B$2:$B$200,MATCH(A5434,'Teacher Lookup'!$A$2:$A$200,0)),"")</f>
        <v>WONG Jenny</v>
      </c>
    </row>
    <row r="5435" customFormat="false" ht="15" hidden="false" customHeight="false" outlineLevel="0" collapsed="false">
      <c r="A5435" s="3" t="s">
        <v>449</v>
      </c>
      <c r="B5435" s="4" t="s">
        <v>44</v>
      </c>
      <c r="C5435" s="4" t="n">
        <v>4</v>
      </c>
      <c r="D5435" s="4" t="s">
        <v>139</v>
      </c>
      <c r="E5435" s="3" t="s">
        <v>151</v>
      </c>
      <c r="F5435" s="4" t="str">
        <f aca="false">IF(I5435&gt;J5435,"Y","N")</f>
        <v>N</v>
      </c>
      <c r="G5435" s="3" t="s">
        <v>72</v>
      </c>
      <c r="H5435" s="3" t="s">
        <v>34</v>
      </c>
      <c r="I5435" s="4" t="n">
        <v>4</v>
      </c>
      <c r="J5435" s="4" t="n">
        <f aca="false">LEN(E5435)-LEN(SUBSTITUTE(E5435,",",""))+1</f>
        <v>4</v>
      </c>
      <c r="K5435" s="3" t="str">
        <f aca="false">IFERROR(INDEX('Teacher Lookup'!$B$2:$B$200,MATCH(A5435,'Teacher Lookup'!$A$2:$A$200,0)),"")</f>
        <v>WONG Jenny</v>
      </c>
    </row>
    <row r="5436" customFormat="false" ht="15" hidden="false" customHeight="false" outlineLevel="0" collapsed="false">
      <c r="A5436" s="3" t="s">
        <v>449</v>
      </c>
      <c r="B5436" s="4" t="s">
        <v>44</v>
      </c>
      <c r="C5436" s="4" t="n">
        <v>5</v>
      </c>
      <c r="D5436" s="4" t="s">
        <v>137</v>
      </c>
      <c r="E5436" s="3" t="s">
        <v>185</v>
      </c>
      <c r="F5436" s="4" t="str">
        <f aca="false">IF(I5436&gt;J5436,"Y","N")</f>
        <v>Y</v>
      </c>
      <c r="G5436" s="3" t="s">
        <v>36</v>
      </c>
      <c r="H5436" s="3" t="s">
        <v>37</v>
      </c>
      <c r="I5436" s="4" t="n">
        <v>21</v>
      </c>
      <c r="J5436" s="4" t="n">
        <f aca="false">LEN(E5436)-LEN(SUBSTITUTE(E5436,",",""))+1</f>
        <v>7</v>
      </c>
      <c r="K5436" s="3" t="str">
        <f aca="false">IFERROR(INDEX('Teacher Lookup'!$B$2:$B$200,MATCH(A5436,'Teacher Lookup'!$A$2:$A$200,0)),"")</f>
        <v>WONG Jenny</v>
      </c>
    </row>
    <row r="5437" customFormat="false" ht="15" hidden="false" customHeight="false" outlineLevel="0" collapsed="false">
      <c r="A5437" s="3" t="s">
        <v>449</v>
      </c>
      <c r="B5437" s="4" t="s">
        <v>44</v>
      </c>
      <c r="C5437" s="4" t="n">
        <v>5</v>
      </c>
      <c r="D5437" s="4" t="s">
        <v>124</v>
      </c>
      <c r="E5437" s="3" t="s">
        <v>185</v>
      </c>
      <c r="F5437" s="4" t="str">
        <f aca="false">IF(I5437&gt;J5437,"Y","N")</f>
        <v>Y</v>
      </c>
      <c r="G5437" s="3" t="s">
        <v>36</v>
      </c>
      <c r="H5437" s="3" t="s">
        <v>37</v>
      </c>
      <c r="I5437" s="4" t="n">
        <v>21</v>
      </c>
      <c r="J5437" s="4" t="n">
        <f aca="false">LEN(E5437)-LEN(SUBSTITUTE(E5437,",",""))+1</f>
        <v>7</v>
      </c>
      <c r="K5437" s="3" t="str">
        <f aca="false">IFERROR(INDEX('Teacher Lookup'!$B$2:$B$200,MATCH(A5437,'Teacher Lookup'!$A$2:$A$200,0)),"")</f>
        <v>WONG Jenny</v>
      </c>
    </row>
    <row r="5438" customFormat="false" ht="15" hidden="false" customHeight="false" outlineLevel="0" collapsed="false">
      <c r="A5438" s="3" t="s">
        <v>449</v>
      </c>
      <c r="B5438" s="4" t="s">
        <v>44</v>
      </c>
      <c r="C5438" s="4" t="n">
        <v>5</v>
      </c>
      <c r="D5438" s="4" t="s">
        <v>139</v>
      </c>
      <c r="E5438" s="3" t="s">
        <v>185</v>
      </c>
      <c r="F5438" s="4" t="str">
        <f aca="false">IF(I5438&gt;J5438,"Y","N")</f>
        <v>Y</v>
      </c>
      <c r="G5438" s="3" t="s">
        <v>36</v>
      </c>
      <c r="H5438" s="3" t="s">
        <v>37</v>
      </c>
      <c r="I5438" s="4" t="n">
        <v>21</v>
      </c>
      <c r="J5438" s="4" t="n">
        <f aca="false">LEN(E5438)-LEN(SUBSTITUTE(E5438,",",""))+1</f>
        <v>7</v>
      </c>
      <c r="K5438" s="3" t="str">
        <f aca="false">IFERROR(INDEX('Teacher Lookup'!$B$2:$B$200,MATCH(A5438,'Teacher Lookup'!$A$2:$A$200,0)),"")</f>
        <v>WONG Jenny</v>
      </c>
    </row>
    <row r="5439" customFormat="false" ht="15" hidden="false" customHeight="false" outlineLevel="0" collapsed="false">
      <c r="A5439" s="3" t="s">
        <v>449</v>
      </c>
      <c r="B5439" s="4" t="s">
        <v>44</v>
      </c>
      <c r="C5439" s="4" t="n">
        <v>5</v>
      </c>
      <c r="D5439" s="4" t="s">
        <v>140</v>
      </c>
      <c r="E5439" s="3" t="s">
        <v>185</v>
      </c>
      <c r="F5439" s="4" t="str">
        <f aca="false">IF(I5439&gt;J5439,"Y","N")</f>
        <v>Y</v>
      </c>
      <c r="G5439" s="3" t="s">
        <v>36</v>
      </c>
      <c r="H5439" s="3" t="s">
        <v>37</v>
      </c>
      <c r="I5439" s="4" t="n">
        <v>21</v>
      </c>
      <c r="J5439" s="4" t="n">
        <f aca="false">LEN(E5439)-LEN(SUBSTITUTE(E5439,",",""))+1</f>
        <v>7</v>
      </c>
      <c r="K5439" s="3" t="str">
        <f aca="false">IFERROR(INDEX('Teacher Lookup'!$B$2:$B$200,MATCH(A5439,'Teacher Lookup'!$A$2:$A$200,0)),"")</f>
        <v>WONG Jenny</v>
      </c>
    </row>
    <row r="5440" customFormat="false" ht="15" hidden="false" customHeight="false" outlineLevel="0" collapsed="false">
      <c r="A5440" s="3" t="s">
        <v>449</v>
      </c>
      <c r="B5440" s="4" t="s">
        <v>44</v>
      </c>
      <c r="C5440" s="4" t="n">
        <v>5</v>
      </c>
      <c r="D5440" s="4" t="s">
        <v>142</v>
      </c>
      <c r="E5440" s="3" t="s">
        <v>185</v>
      </c>
      <c r="F5440" s="4" t="str">
        <f aca="false">IF(I5440&gt;J5440,"Y","N")</f>
        <v>Y</v>
      </c>
      <c r="G5440" s="3" t="s">
        <v>36</v>
      </c>
      <c r="H5440" s="3" t="s">
        <v>37</v>
      </c>
      <c r="I5440" s="4" t="n">
        <v>21</v>
      </c>
      <c r="J5440" s="4" t="n">
        <f aca="false">LEN(E5440)-LEN(SUBSTITUTE(E5440,",",""))+1</f>
        <v>7</v>
      </c>
      <c r="K5440" s="3" t="str">
        <f aca="false">IFERROR(INDEX('Teacher Lookup'!$B$2:$B$200,MATCH(A5440,'Teacher Lookup'!$A$2:$A$200,0)),"")</f>
        <v>WONG Jenny</v>
      </c>
    </row>
    <row r="5441" customFormat="false" ht="15" hidden="false" customHeight="false" outlineLevel="0" collapsed="false">
      <c r="A5441" s="3" t="s">
        <v>449</v>
      </c>
      <c r="B5441" s="4" t="s">
        <v>44</v>
      </c>
      <c r="C5441" s="4" t="n">
        <v>5</v>
      </c>
      <c r="D5441" s="4" t="s">
        <v>127</v>
      </c>
      <c r="E5441" s="3" t="s">
        <v>185</v>
      </c>
      <c r="F5441" s="4" t="str">
        <f aca="false">IF(I5441&gt;J5441,"Y","N")</f>
        <v>Y</v>
      </c>
      <c r="G5441" s="3" t="s">
        <v>36</v>
      </c>
      <c r="H5441" s="3" t="s">
        <v>37</v>
      </c>
      <c r="I5441" s="4" t="n">
        <v>21</v>
      </c>
      <c r="J5441" s="4" t="n">
        <f aca="false">LEN(E5441)-LEN(SUBSTITUTE(E5441,",",""))+1</f>
        <v>7</v>
      </c>
      <c r="K5441" s="3" t="str">
        <f aca="false">IFERROR(INDEX('Teacher Lookup'!$B$2:$B$200,MATCH(A5441,'Teacher Lookup'!$A$2:$A$200,0)),"")</f>
        <v>WONG Jenny</v>
      </c>
    </row>
    <row r="5442" customFormat="false" ht="15" hidden="false" customHeight="false" outlineLevel="0" collapsed="false">
      <c r="A5442" s="3" t="s">
        <v>449</v>
      </c>
      <c r="B5442" s="4" t="s">
        <v>47</v>
      </c>
      <c r="C5442" s="4" t="n">
        <v>2</v>
      </c>
      <c r="D5442" s="4" t="s">
        <v>137</v>
      </c>
      <c r="E5442" s="3" t="s">
        <v>146</v>
      </c>
      <c r="F5442" s="4" t="str">
        <f aca="false">IF(I5442&gt;J5442,"Y","N")</f>
        <v>N</v>
      </c>
      <c r="G5442" s="3" t="s">
        <v>72</v>
      </c>
      <c r="H5442" s="3" t="s">
        <v>21</v>
      </c>
      <c r="I5442" s="4" t="n">
        <v>4</v>
      </c>
      <c r="J5442" s="4" t="n">
        <f aca="false">LEN(E5442)-LEN(SUBSTITUTE(E5442,",",""))+1</f>
        <v>4</v>
      </c>
      <c r="K5442" s="3" t="str">
        <f aca="false">IFERROR(INDEX('Teacher Lookup'!$B$2:$B$200,MATCH(A5442,'Teacher Lookup'!$A$2:$A$200,0)),"")</f>
        <v>WONG Jenny</v>
      </c>
    </row>
    <row r="5443" customFormat="false" ht="15" hidden="false" customHeight="false" outlineLevel="0" collapsed="false">
      <c r="A5443" s="3" t="s">
        <v>449</v>
      </c>
      <c r="B5443" s="4" t="s">
        <v>47</v>
      </c>
      <c r="C5443" s="4" t="n">
        <v>2</v>
      </c>
      <c r="D5443" s="4" t="s">
        <v>124</v>
      </c>
      <c r="E5443" s="3" t="s">
        <v>146</v>
      </c>
      <c r="F5443" s="4" t="str">
        <f aca="false">IF(I5443&gt;J5443,"Y","N")</f>
        <v>N</v>
      </c>
      <c r="G5443" s="3" t="s">
        <v>72</v>
      </c>
      <c r="H5443" s="3" t="s">
        <v>21</v>
      </c>
      <c r="I5443" s="4" t="n">
        <v>4</v>
      </c>
      <c r="J5443" s="4" t="n">
        <f aca="false">LEN(E5443)-LEN(SUBSTITUTE(E5443,",",""))+1</f>
        <v>4</v>
      </c>
      <c r="K5443" s="3" t="str">
        <f aca="false">IFERROR(INDEX('Teacher Lookup'!$B$2:$B$200,MATCH(A5443,'Teacher Lookup'!$A$2:$A$200,0)),"")</f>
        <v>WONG Jenny</v>
      </c>
    </row>
    <row r="5444" customFormat="false" ht="15" hidden="false" customHeight="false" outlineLevel="0" collapsed="false">
      <c r="A5444" s="3" t="s">
        <v>449</v>
      </c>
      <c r="B5444" s="4" t="s">
        <v>47</v>
      </c>
      <c r="C5444" s="4" t="n">
        <v>2</v>
      </c>
      <c r="D5444" s="4" t="s">
        <v>139</v>
      </c>
      <c r="E5444" s="3" t="s">
        <v>146</v>
      </c>
      <c r="F5444" s="4" t="str">
        <f aca="false">IF(I5444&gt;J5444,"Y","N")</f>
        <v>N</v>
      </c>
      <c r="G5444" s="3" t="s">
        <v>72</v>
      </c>
      <c r="H5444" s="3" t="s">
        <v>21</v>
      </c>
      <c r="I5444" s="4" t="n">
        <v>4</v>
      </c>
      <c r="J5444" s="4" t="n">
        <f aca="false">LEN(E5444)-LEN(SUBSTITUTE(E5444,",",""))+1</f>
        <v>4</v>
      </c>
      <c r="K5444" s="3" t="str">
        <f aca="false">IFERROR(INDEX('Teacher Lookup'!$B$2:$B$200,MATCH(A5444,'Teacher Lookup'!$A$2:$A$200,0)),"")</f>
        <v>WONG Jenny</v>
      </c>
    </row>
    <row r="5445" customFormat="false" ht="15" hidden="false" customHeight="false" outlineLevel="0" collapsed="false">
      <c r="A5445" s="3" t="s">
        <v>449</v>
      </c>
      <c r="B5445" s="4" t="s">
        <v>47</v>
      </c>
      <c r="C5445" s="4" t="n">
        <v>4</v>
      </c>
      <c r="D5445" s="4" t="s">
        <v>140</v>
      </c>
      <c r="E5445" s="3" t="s">
        <v>152</v>
      </c>
      <c r="F5445" s="4" t="str">
        <f aca="false">IF(I5445&gt;J5445,"Y","N")</f>
        <v>N</v>
      </c>
      <c r="G5445" s="3" t="s">
        <v>72</v>
      </c>
      <c r="H5445" s="3" t="s">
        <v>34</v>
      </c>
      <c r="I5445" s="4" t="n">
        <v>4</v>
      </c>
      <c r="J5445" s="4" t="n">
        <f aca="false">LEN(E5445)-LEN(SUBSTITUTE(E5445,",",""))+1</f>
        <v>4</v>
      </c>
      <c r="K5445" s="3" t="str">
        <f aca="false">IFERROR(INDEX('Teacher Lookup'!$B$2:$B$200,MATCH(A5445,'Teacher Lookup'!$A$2:$A$200,0)),"")</f>
        <v>WONG Jenny</v>
      </c>
    </row>
    <row r="5446" customFormat="false" ht="15" hidden="false" customHeight="false" outlineLevel="0" collapsed="false">
      <c r="A5446" s="3" t="s">
        <v>449</v>
      </c>
      <c r="B5446" s="4" t="s">
        <v>47</v>
      </c>
      <c r="C5446" s="4" t="n">
        <v>4</v>
      </c>
      <c r="D5446" s="4" t="s">
        <v>142</v>
      </c>
      <c r="E5446" s="3" t="s">
        <v>152</v>
      </c>
      <c r="F5446" s="4" t="str">
        <f aca="false">IF(I5446&gt;J5446,"Y","N")</f>
        <v>N</v>
      </c>
      <c r="G5446" s="3" t="s">
        <v>72</v>
      </c>
      <c r="H5446" s="3" t="s">
        <v>34</v>
      </c>
      <c r="I5446" s="4" t="n">
        <v>4</v>
      </c>
      <c r="J5446" s="4" t="n">
        <f aca="false">LEN(E5446)-LEN(SUBSTITUTE(E5446,",",""))+1</f>
        <v>4</v>
      </c>
      <c r="K5446" s="3" t="str">
        <f aca="false">IFERROR(INDEX('Teacher Lookup'!$B$2:$B$200,MATCH(A5446,'Teacher Lookup'!$A$2:$A$200,0)),"")</f>
        <v>WONG Jenny</v>
      </c>
    </row>
    <row r="5447" customFormat="false" ht="15" hidden="false" customHeight="false" outlineLevel="0" collapsed="false">
      <c r="A5447" s="3" t="s">
        <v>449</v>
      </c>
      <c r="B5447" s="4" t="s">
        <v>47</v>
      </c>
      <c r="C5447" s="4" t="n">
        <v>4</v>
      </c>
      <c r="D5447" s="4" t="s">
        <v>127</v>
      </c>
      <c r="E5447" s="3" t="s">
        <v>152</v>
      </c>
      <c r="F5447" s="4" t="str">
        <f aca="false">IF(I5447&gt;J5447,"Y","N")</f>
        <v>N</v>
      </c>
      <c r="G5447" s="3" t="s">
        <v>72</v>
      </c>
      <c r="H5447" s="3" t="s">
        <v>34</v>
      </c>
      <c r="I5447" s="4" t="n">
        <v>4</v>
      </c>
      <c r="J5447" s="4" t="n">
        <f aca="false">LEN(E5447)-LEN(SUBSTITUTE(E5447,",",""))+1</f>
        <v>4</v>
      </c>
      <c r="K5447" s="3" t="str">
        <f aca="false">IFERROR(INDEX('Teacher Lookup'!$B$2:$B$200,MATCH(A5447,'Teacher Lookup'!$A$2:$A$200,0)),"")</f>
        <v>WONG Jenny</v>
      </c>
    </row>
    <row r="5448" customFormat="false" ht="15" hidden="false" customHeight="false" outlineLevel="0" collapsed="false">
      <c r="A5448" s="3" t="s">
        <v>449</v>
      </c>
      <c r="B5448" s="4" t="s">
        <v>47</v>
      </c>
      <c r="C5448" s="4" t="n">
        <v>5</v>
      </c>
      <c r="D5448" s="4" t="s">
        <v>70</v>
      </c>
      <c r="E5448" s="3" t="s">
        <v>83</v>
      </c>
      <c r="F5448" s="4" t="str">
        <f aca="false">IF(I5448&gt;J5448,"Y","N")</f>
        <v>N</v>
      </c>
      <c r="G5448" s="3" t="s">
        <v>72</v>
      </c>
      <c r="H5448" s="3" t="s">
        <v>37</v>
      </c>
      <c r="I5448" s="4" t="n">
        <v>4</v>
      </c>
      <c r="J5448" s="4" t="n">
        <f aca="false">LEN(E5448)-LEN(SUBSTITUTE(E5448,",",""))+1</f>
        <v>4</v>
      </c>
      <c r="K5448" s="3" t="str">
        <f aca="false">IFERROR(INDEX('Teacher Lookup'!$B$2:$B$200,MATCH(A5448,'Teacher Lookup'!$A$2:$A$200,0)),"")</f>
        <v>WONG Jenny</v>
      </c>
    </row>
    <row r="5449" customFormat="false" ht="15" hidden="false" customHeight="false" outlineLevel="0" collapsed="false">
      <c r="A5449" s="3" t="s">
        <v>449</v>
      </c>
      <c r="B5449" s="4" t="s">
        <v>47</v>
      </c>
      <c r="C5449" s="4" t="n">
        <v>5</v>
      </c>
      <c r="D5449" s="4" t="s">
        <v>73</v>
      </c>
      <c r="E5449" s="3" t="s">
        <v>83</v>
      </c>
      <c r="F5449" s="4" t="str">
        <f aca="false">IF(I5449&gt;J5449,"Y","N")</f>
        <v>N</v>
      </c>
      <c r="G5449" s="3" t="s">
        <v>72</v>
      </c>
      <c r="H5449" s="3" t="s">
        <v>37</v>
      </c>
      <c r="I5449" s="4" t="n">
        <v>4</v>
      </c>
      <c r="J5449" s="4" t="n">
        <f aca="false">LEN(E5449)-LEN(SUBSTITUTE(E5449,",",""))+1</f>
        <v>4</v>
      </c>
      <c r="K5449" s="3" t="str">
        <f aca="false">IFERROR(INDEX('Teacher Lookup'!$B$2:$B$200,MATCH(A5449,'Teacher Lookup'!$A$2:$A$200,0)),"")</f>
        <v>WONG Jenny</v>
      </c>
    </row>
    <row r="5450" customFormat="false" ht="15" hidden="false" customHeight="false" outlineLevel="0" collapsed="false">
      <c r="A5450" s="3" t="s">
        <v>449</v>
      </c>
      <c r="B5450" s="4" t="s">
        <v>47</v>
      </c>
      <c r="C5450" s="4" t="n">
        <v>5</v>
      </c>
      <c r="D5450" s="4" t="s">
        <v>74</v>
      </c>
      <c r="E5450" s="3" t="s">
        <v>83</v>
      </c>
      <c r="F5450" s="4" t="str">
        <f aca="false">IF(I5450&gt;J5450,"Y","N")</f>
        <v>N</v>
      </c>
      <c r="G5450" s="3" t="s">
        <v>72</v>
      </c>
      <c r="H5450" s="3" t="s">
        <v>37</v>
      </c>
      <c r="I5450" s="4" t="n">
        <v>4</v>
      </c>
      <c r="J5450" s="4" t="n">
        <f aca="false">LEN(E5450)-LEN(SUBSTITUTE(E5450,",",""))+1</f>
        <v>4</v>
      </c>
      <c r="K5450" s="3" t="str">
        <f aca="false">IFERROR(INDEX('Teacher Lookup'!$B$2:$B$200,MATCH(A5450,'Teacher Lookup'!$A$2:$A$200,0)),"")</f>
        <v>WONG Jenny</v>
      </c>
    </row>
    <row r="5451" customFormat="false" ht="15" hidden="false" customHeight="false" outlineLevel="0" collapsed="false">
      <c r="A5451" s="3" t="s">
        <v>449</v>
      </c>
      <c r="B5451" s="4" t="s">
        <v>50</v>
      </c>
      <c r="C5451" s="4" t="n">
        <v>1</v>
      </c>
      <c r="D5451" s="4" t="s">
        <v>137</v>
      </c>
      <c r="E5451" s="3" t="s">
        <v>154</v>
      </c>
      <c r="F5451" s="4" t="str">
        <f aca="false">IF(I5451&gt;J5451,"Y","N")</f>
        <v>N</v>
      </c>
      <c r="G5451" s="3" t="s">
        <v>72</v>
      </c>
      <c r="H5451" s="3" t="s">
        <v>16</v>
      </c>
      <c r="I5451" s="4" t="n">
        <v>4</v>
      </c>
      <c r="J5451" s="4" t="n">
        <f aca="false">LEN(E5451)-LEN(SUBSTITUTE(E5451,",",""))+1</f>
        <v>4</v>
      </c>
      <c r="K5451" s="3" t="str">
        <f aca="false">IFERROR(INDEX('Teacher Lookup'!$B$2:$B$200,MATCH(A5451,'Teacher Lookup'!$A$2:$A$200,0)),"")</f>
        <v>WONG Jenny</v>
      </c>
    </row>
    <row r="5452" customFormat="false" ht="15" hidden="false" customHeight="false" outlineLevel="0" collapsed="false">
      <c r="A5452" s="3" t="s">
        <v>449</v>
      </c>
      <c r="B5452" s="4" t="s">
        <v>50</v>
      </c>
      <c r="C5452" s="4" t="n">
        <v>1</v>
      </c>
      <c r="D5452" s="4" t="s">
        <v>124</v>
      </c>
      <c r="E5452" s="3" t="s">
        <v>154</v>
      </c>
      <c r="F5452" s="4" t="str">
        <f aca="false">IF(I5452&gt;J5452,"Y","N")</f>
        <v>N</v>
      </c>
      <c r="G5452" s="3" t="s">
        <v>72</v>
      </c>
      <c r="H5452" s="3" t="s">
        <v>16</v>
      </c>
      <c r="I5452" s="4" t="n">
        <v>4</v>
      </c>
      <c r="J5452" s="4" t="n">
        <f aca="false">LEN(E5452)-LEN(SUBSTITUTE(E5452,",",""))+1</f>
        <v>4</v>
      </c>
      <c r="K5452" s="3" t="str">
        <f aca="false">IFERROR(INDEX('Teacher Lookup'!$B$2:$B$200,MATCH(A5452,'Teacher Lookup'!$A$2:$A$200,0)),"")</f>
        <v>WONG Jenny</v>
      </c>
    </row>
    <row r="5453" customFormat="false" ht="15" hidden="false" customHeight="false" outlineLevel="0" collapsed="false">
      <c r="A5453" s="3" t="s">
        <v>449</v>
      </c>
      <c r="B5453" s="4" t="s">
        <v>50</v>
      </c>
      <c r="C5453" s="4" t="n">
        <v>1</v>
      </c>
      <c r="D5453" s="4" t="s">
        <v>139</v>
      </c>
      <c r="E5453" s="3" t="s">
        <v>154</v>
      </c>
      <c r="F5453" s="4" t="str">
        <f aca="false">IF(I5453&gt;J5453,"Y","N")</f>
        <v>N</v>
      </c>
      <c r="G5453" s="3" t="s">
        <v>72</v>
      </c>
      <c r="H5453" s="3" t="s">
        <v>16</v>
      </c>
      <c r="I5453" s="4" t="n">
        <v>4</v>
      </c>
      <c r="J5453" s="4" t="n">
        <f aca="false">LEN(E5453)-LEN(SUBSTITUTE(E5453,",",""))+1</f>
        <v>4</v>
      </c>
      <c r="K5453" s="3" t="str">
        <f aca="false">IFERROR(INDEX('Teacher Lookup'!$B$2:$B$200,MATCH(A5453,'Teacher Lookup'!$A$2:$A$200,0)),"")</f>
        <v>WONG Jenny</v>
      </c>
    </row>
    <row r="5454" customFormat="false" ht="15" hidden="false" customHeight="false" outlineLevel="0" collapsed="false">
      <c r="A5454" s="3" t="s">
        <v>449</v>
      </c>
      <c r="B5454" s="4" t="s">
        <v>50</v>
      </c>
      <c r="C5454" s="4" t="n">
        <v>2</v>
      </c>
      <c r="D5454" s="4" t="s">
        <v>137</v>
      </c>
      <c r="E5454" s="3" t="s">
        <v>154</v>
      </c>
      <c r="F5454" s="4" t="str">
        <f aca="false">IF(I5454&gt;J5454,"Y","N")</f>
        <v>N</v>
      </c>
      <c r="G5454" s="3" t="s">
        <v>72</v>
      </c>
      <c r="H5454" s="3" t="s">
        <v>21</v>
      </c>
      <c r="I5454" s="4" t="n">
        <v>4</v>
      </c>
      <c r="J5454" s="4" t="n">
        <f aca="false">LEN(E5454)-LEN(SUBSTITUTE(E5454,",",""))+1</f>
        <v>4</v>
      </c>
      <c r="K5454" s="3" t="str">
        <f aca="false">IFERROR(INDEX('Teacher Lookup'!$B$2:$B$200,MATCH(A5454,'Teacher Lookup'!$A$2:$A$200,0)),"")</f>
        <v>WONG Jenny</v>
      </c>
    </row>
    <row r="5455" customFormat="false" ht="15" hidden="false" customHeight="false" outlineLevel="0" collapsed="false">
      <c r="A5455" s="3" t="s">
        <v>449</v>
      </c>
      <c r="B5455" s="4" t="s">
        <v>50</v>
      </c>
      <c r="C5455" s="4" t="n">
        <v>2</v>
      </c>
      <c r="D5455" s="4" t="s">
        <v>124</v>
      </c>
      <c r="E5455" s="3" t="s">
        <v>154</v>
      </c>
      <c r="F5455" s="4" t="str">
        <f aca="false">IF(I5455&gt;J5455,"Y","N")</f>
        <v>N</v>
      </c>
      <c r="G5455" s="3" t="s">
        <v>72</v>
      </c>
      <c r="H5455" s="3" t="s">
        <v>21</v>
      </c>
      <c r="I5455" s="4" t="n">
        <v>4</v>
      </c>
      <c r="J5455" s="4" t="n">
        <f aca="false">LEN(E5455)-LEN(SUBSTITUTE(E5455,",",""))+1</f>
        <v>4</v>
      </c>
      <c r="K5455" s="3" t="str">
        <f aca="false">IFERROR(INDEX('Teacher Lookup'!$B$2:$B$200,MATCH(A5455,'Teacher Lookup'!$A$2:$A$200,0)),"")</f>
        <v>WONG Jenny</v>
      </c>
    </row>
    <row r="5456" customFormat="false" ht="15" hidden="false" customHeight="false" outlineLevel="0" collapsed="false">
      <c r="A5456" s="3" t="s">
        <v>449</v>
      </c>
      <c r="B5456" s="4" t="s">
        <v>50</v>
      </c>
      <c r="C5456" s="4" t="n">
        <v>2</v>
      </c>
      <c r="D5456" s="4" t="s">
        <v>139</v>
      </c>
      <c r="E5456" s="3" t="s">
        <v>154</v>
      </c>
      <c r="F5456" s="4" t="str">
        <f aca="false">IF(I5456&gt;J5456,"Y","N")</f>
        <v>N</v>
      </c>
      <c r="G5456" s="3" t="s">
        <v>72</v>
      </c>
      <c r="H5456" s="3" t="s">
        <v>21</v>
      </c>
      <c r="I5456" s="4" t="n">
        <v>4</v>
      </c>
      <c r="J5456" s="4" t="n">
        <f aca="false">LEN(E5456)-LEN(SUBSTITUTE(E5456,",",""))+1</f>
        <v>4</v>
      </c>
      <c r="K5456" s="3" t="str">
        <f aca="false">IFERROR(INDEX('Teacher Lookup'!$B$2:$B$200,MATCH(A5456,'Teacher Lookup'!$A$2:$A$200,0)),"")</f>
        <v>WONG Jenny</v>
      </c>
    </row>
    <row r="5457" customFormat="false" ht="15" hidden="false" customHeight="false" outlineLevel="0" collapsed="false">
      <c r="A5457" s="3" t="s">
        <v>449</v>
      </c>
      <c r="B5457" s="4" t="s">
        <v>50</v>
      </c>
      <c r="C5457" s="4" t="n">
        <v>3</v>
      </c>
      <c r="D5457" s="4" t="s">
        <v>140</v>
      </c>
      <c r="E5457" s="3" t="s">
        <v>155</v>
      </c>
      <c r="F5457" s="4" t="str">
        <f aca="false">IF(I5457&gt;J5457,"Y","N")</f>
        <v>N</v>
      </c>
      <c r="G5457" s="3" t="s">
        <v>72</v>
      </c>
      <c r="H5457" s="3" t="s">
        <v>26</v>
      </c>
      <c r="I5457" s="4" t="n">
        <v>4</v>
      </c>
      <c r="J5457" s="4" t="n">
        <f aca="false">LEN(E5457)-LEN(SUBSTITUTE(E5457,",",""))+1</f>
        <v>4</v>
      </c>
      <c r="K5457" s="3" t="str">
        <f aca="false">IFERROR(INDEX('Teacher Lookup'!$B$2:$B$200,MATCH(A5457,'Teacher Lookup'!$A$2:$A$200,0)),"")</f>
        <v>WONG Jenny</v>
      </c>
    </row>
    <row r="5458" customFormat="false" ht="15" hidden="false" customHeight="false" outlineLevel="0" collapsed="false">
      <c r="A5458" s="3" t="s">
        <v>449</v>
      </c>
      <c r="B5458" s="4" t="s">
        <v>50</v>
      </c>
      <c r="C5458" s="4" t="n">
        <v>3</v>
      </c>
      <c r="D5458" s="4" t="s">
        <v>142</v>
      </c>
      <c r="E5458" s="3" t="s">
        <v>155</v>
      </c>
      <c r="F5458" s="4" t="str">
        <f aca="false">IF(I5458&gt;J5458,"Y","N")</f>
        <v>N</v>
      </c>
      <c r="G5458" s="3" t="s">
        <v>72</v>
      </c>
      <c r="H5458" s="3" t="s">
        <v>26</v>
      </c>
      <c r="I5458" s="4" t="n">
        <v>4</v>
      </c>
      <c r="J5458" s="4" t="n">
        <f aca="false">LEN(E5458)-LEN(SUBSTITUTE(E5458,",",""))+1</f>
        <v>4</v>
      </c>
      <c r="K5458" s="3" t="str">
        <f aca="false">IFERROR(INDEX('Teacher Lookup'!$B$2:$B$200,MATCH(A5458,'Teacher Lookup'!$A$2:$A$200,0)),"")</f>
        <v>WONG Jenny</v>
      </c>
    </row>
    <row r="5459" customFormat="false" ht="15" hidden="false" customHeight="false" outlineLevel="0" collapsed="false">
      <c r="A5459" s="3" t="s">
        <v>449</v>
      </c>
      <c r="B5459" s="4" t="s">
        <v>50</v>
      </c>
      <c r="C5459" s="4" t="n">
        <v>3</v>
      </c>
      <c r="D5459" s="4" t="s">
        <v>127</v>
      </c>
      <c r="E5459" s="3" t="s">
        <v>155</v>
      </c>
      <c r="F5459" s="4" t="str">
        <f aca="false">IF(I5459&gt;J5459,"Y","N")</f>
        <v>N</v>
      </c>
      <c r="G5459" s="3" t="s">
        <v>72</v>
      </c>
      <c r="H5459" s="3" t="s">
        <v>26</v>
      </c>
      <c r="I5459" s="4" t="n">
        <v>4</v>
      </c>
      <c r="J5459" s="4" t="n">
        <f aca="false">LEN(E5459)-LEN(SUBSTITUTE(E5459,",",""))+1</f>
        <v>4</v>
      </c>
      <c r="K5459" s="3" t="str">
        <f aca="false">IFERROR(INDEX('Teacher Lookup'!$B$2:$B$200,MATCH(A5459,'Teacher Lookup'!$A$2:$A$200,0)),"")</f>
        <v>WONG Jenny</v>
      </c>
    </row>
    <row r="5460" customFormat="false" ht="15" hidden="false" customHeight="false" outlineLevel="0" collapsed="false">
      <c r="A5460" s="3" t="s">
        <v>449</v>
      </c>
      <c r="B5460" s="4" t="s">
        <v>50</v>
      </c>
      <c r="C5460" s="4" t="n">
        <v>4</v>
      </c>
      <c r="D5460" s="4" t="s">
        <v>70</v>
      </c>
      <c r="E5460" s="3" t="s">
        <v>71</v>
      </c>
      <c r="F5460" s="4" t="str">
        <f aca="false">IF(I5460&gt;J5460,"Y","N")</f>
        <v>N</v>
      </c>
      <c r="G5460" s="3" t="s">
        <v>72</v>
      </c>
      <c r="H5460" s="3" t="s">
        <v>34</v>
      </c>
      <c r="I5460" s="4" t="n">
        <v>4</v>
      </c>
      <c r="J5460" s="4" t="n">
        <f aca="false">LEN(E5460)-LEN(SUBSTITUTE(E5460,",",""))+1</f>
        <v>4</v>
      </c>
      <c r="K5460" s="3" t="str">
        <f aca="false">IFERROR(INDEX('Teacher Lookup'!$B$2:$B$200,MATCH(A5460,'Teacher Lookup'!$A$2:$A$200,0)),"")</f>
        <v>WONG Jenny</v>
      </c>
    </row>
    <row r="5461" customFormat="false" ht="15" hidden="false" customHeight="false" outlineLevel="0" collapsed="false">
      <c r="A5461" s="3" t="s">
        <v>449</v>
      </c>
      <c r="B5461" s="4" t="s">
        <v>50</v>
      </c>
      <c r="C5461" s="4" t="n">
        <v>4</v>
      </c>
      <c r="D5461" s="4" t="s">
        <v>73</v>
      </c>
      <c r="E5461" s="3" t="s">
        <v>71</v>
      </c>
      <c r="F5461" s="4" t="str">
        <f aca="false">IF(I5461&gt;J5461,"Y","N")</f>
        <v>N</v>
      </c>
      <c r="G5461" s="3" t="s">
        <v>72</v>
      </c>
      <c r="H5461" s="3" t="s">
        <v>34</v>
      </c>
      <c r="I5461" s="4" t="n">
        <v>4</v>
      </c>
      <c r="J5461" s="4" t="n">
        <f aca="false">LEN(E5461)-LEN(SUBSTITUTE(E5461,",",""))+1</f>
        <v>4</v>
      </c>
      <c r="K5461" s="3" t="str">
        <f aca="false">IFERROR(INDEX('Teacher Lookup'!$B$2:$B$200,MATCH(A5461,'Teacher Lookup'!$A$2:$A$200,0)),"")</f>
        <v>WONG Jenny</v>
      </c>
    </row>
    <row r="5462" customFormat="false" ht="15" hidden="false" customHeight="false" outlineLevel="0" collapsed="false">
      <c r="A5462" s="3" t="s">
        <v>449</v>
      </c>
      <c r="B5462" s="4" t="s">
        <v>50</v>
      </c>
      <c r="C5462" s="4" t="n">
        <v>4</v>
      </c>
      <c r="D5462" s="4" t="s">
        <v>74</v>
      </c>
      <c r="E5462" s="3" t="s">
        <v>71</v>
      </c>
      <c r="F5462" s="4" t="str">
        <f aca="false">IF(I5462&gt;J5462,"Y","N")</f>
        <v>N</v>
      </c>
      <c r="G5462" s="3" t="s">
        <v>72</v>
      </c>
      <c r="H5462" s="3" t="s">
        <v>34</v>
      </c>
      <c r="I5462" s="4" t="n">
        <v>4</v>
      </c>
      <c r="J5462" s="4" t="n">
        <f aca="false">LEN(E5462)-LEN(SUBSTITUTE(E5462,",",""))+1</f>
        <v>4</v>
      </c>
      <c r="K5462" s="3" t="str">
        <f aca="false">IFERROR(INDEX('Teacher Lookup'!$B$2:$B$200,MATCH(A5462,'Teacher Lookup'!$A$2:$A$200,0)),"")</f>
        <v>WONG Jenny</v>
      </c>
    </row>
    <row r="5463" customFormat="false" ht="15" hidden="false" customHeight="false" outlineLevel="0" collapsed="false">
      <c r="A5463" s="3" t="s">
        <v>449</v>
      </c>
      <c r="B5463" s="4" t="s">
        <v>60</v>
      </c>
      <c r="C5463" s="4" t="n">
        <v>2</v>
      </c>
      <c r="D5463" s="4" t="s">
        <v>70</v>
      </c>
      <c r="E5463" s="3" t="s">
        <v>91</v>
      </c>
      <c r="F5463" s="4" t="str">
        <f aca="false">IF(I5463&gt;J5463,"Y","N")</f>
        <v>N</v>
      </c>
      <c r="G5463" s="3" t="s">
        <v>72</v>
      </c>
      <c r="H5463" s="3" t="s">
        <v>21</v>
      </c>
      <c r="I5463" s="4" t="n">
        <v>4</v>
      </c>
      <c r="J5463" s="4" t="n">
        <f aca="false">LEN(E5463)-LEN(SUBSTITUTE(E5463,",",""))+1</f>
        <v>4</v>
      </c>
      <c r="K5463" s="3" t="str">
        <f aca="false">IFERROR(INDEX('Teacher Lookup'!$B$2:$B$200,MATCH(A5463,'Teacher Lookup'!$A$2:$A$200,0)),"")</f>
        <v>WONG Jenny</v>
      </c>
    </row>
    <row r="5464" customFormat="false" ht="15" hidden="false" customHeight="false" outlineLevel="0" collapsed="false">
      <c r="A5464" s="3" t="s">
        <v>449</v>
      </c>
      <c r="B5464" s="4" t="s">
        <v>60</v>
      </c>
      <c r="C5464" s="4" t="n">
        <v>2</v>
      </c>
      <c r="D5464" s="4" t="s">
        <v>73</v>
      </c>
      <c r="E5464" s="3" t="s">
        <v>91</v>
      </c>
      <c r="F5464" s="4" t="str">
        <f aca="false">IF(I5464&gt;J5464,"Y","N")</f>
        <v>N</v>
      </c>
      <c r="G5464" s="3" t="s">
        <v>72</v>
      </c>
      <c r="H5464" s="3" t="s">
        <v>21</v>
      </c>
      <c r="I5464" s="4" t="n">
        <v>4</v>
      </c>
      <c r="J5464" s="4" t="n">
        <f aca="false">LEN(E5464)-LEN(SUBSTITUTE(E5464,",",""))+1</f>
        <v>4</v>
      </c>
      <c r="K5464" s="3" t="str">
        <f aca="false">IFERROR(INDEX('Teacher Lookup'!$B$2:$B$200,MATCH(A5464,'Teacher Lookup'!$A$2:$A$200,0)),"")</f>
        <v>WONG Jenny</v>
      </c>
    </row>
    <row r="5465" customFormat="false" ht="15" hidden="false" customHeight="false" outlineLevel="0" collapsed="false">
      <c r="A5465" s="3" t="s">
        <v>449</v>
      </c>
      <c r="B5465" s="4" t="s">
        <v>60</v>
      </c>
      <c r="C5465" s="4" t="n">
        <v>2</v>
      </c>
      <c r="D5465" s="4" t="s">
        <v>74</v>
      </c>
      <c r="E5465" s="3" t="s">
        <v>91</v>
      </c>
      <c r="F5465" s="4" t="str">
        <f aca="false">IF(I5465&gt;J5465,"Y","N")</f>
        <v>N</v>
      </c>
      <c r="G5465" s="3" t="s">
        <v>72</v>
      </c>
      <c r="H5465" s="3" t="s">
        <v>21</v>
      </c>
      <c r="I5465" s="4" t="n">
        <v>4</v>
      </c>
      <c r="J5465" s="4" t="n">
        <f aca="false">LEN(E5465)-LEN(SUBSTITUTE(E5465,",",""))+1</f>
        <v>4</v>
      </c>
      <c r="K5465" s="3" t="str">
        <f aca="false">IFERROR(INDEX('Teacher Lookup'!$B$2:$B$200,MATCH(A5465,'Teacher Lookup'!$A$2:$A$200,0)),"")</f>
        <v>WONG Jenny</v>
      </c>
    </row>
    <row r="5466" customFormat="false" ht="15" hidden="false" customHeight="false" outlineLevel="0" collapsed="false">
      <c r="A5466" s="3" t="s">
        <v>449</v>
      </c>
      <c r="B5466" s="4" t="s">
        <v>60</v>
      </c>
      <c r="C5466" s="4" t="n">
        <v>4</v>
      </c>
      <c r="D5466" s="4" t="s">
        <v>137</v>
      </c>
      <c r="E5466" s="3" t="s">
        <v>138</v>
      </c>
      <c r="F5466" s="4" t="str">
        <f aca="false">IF(I5466&gt;J5466,"Y","N")</f>
        <v>N</v>
      </c>
      <c r="G5466" s="3" t="s">
        <v>72</v>
      </c>
      <c r="H5466" s="3" t="s">
        <v>34</v>
      </c>
      <c r="I5466" s="4" t="n">
        <v>4</v>
      </c>
      <c r="J5466" s="4" t="n">
        <f aca="false">LEN(E5466)-LEN(SUBSTITUTE(E5466,",",""))+1</f>
        <v>4</v>
      </c>
      <c r="K5466" s="3" t="str">
        <f aca="false">IFERROR(INDEX('Teacher Lookup'!$B$2:$B$200,MATCH(A5466,'Teacher Lookup'!$A$2:$A$200,0)),"")</f>
        <v>WONG Jenny</v>
      </c>
    </row>
    <row r="5467" customFormat="false" ht="15" hidden="false" customHeight="false" outlineLevel="0" collapsed="false">
      <c r="A5467" s="3" t="s">
        <v>449</v>
      </c>
      <c r="B5467" s="4" t="s">
        <v>60</v>
      </c>
      <c r="C5467" s="4" t="n">
        <v>4</v>
      </c>
      <c r="D5467" s="4" t="s">
        <v>124</v>
      </c>
      <c r="E5467" s="3" t="s">
        <v>138</v>
      </c>
      <c r="F5467" s="4" t="str">
        <f aca="false">IF(I5467&gt;J5467,"Y","N")</f>
        <v>N</v>
      </c>
      <c r="G5467" s="3" t="s">
        <v>72</v>
      </c>
      <c r="H5467" s="3" t="s">
        <v>34</v>
      </c>
      <c r="I5467" s="4" t="n">
        <v>4</v>
      </c>
      <c r="J5467" s="4" t="n">
        <f aca="false">LEN(E5467)-LEN(SUBSTITUTE(E5467,",",""))+1</f>
        <v>4</v>
      </c>
      <c r="K5467" s="3" t="str">
        <f aca="false">IFERROR(INDEX('Teacher Lookup'!$B$2:$B$200,MATCH(A5467,'Teacher Lookup'!$A$2:$A$200,0)),"")</f>
        <v>WONG Jenny</v>
      </c>
    </row>
    <row r="5468" customFormat="false" ht="15" hidden="false" customHeight="false" outlineLevel="0" collapsed="false">
      <c r="A5468" s="3" t="s">
        <v>449</v>
      </c>
      <c r="B5468" s="4" t="s">
        <v>60</v>
      </c>
      <c r="C5468" s="4" t="n">
        <v>4</v>
      </c>
      <c r="D5468" s="4" t="s">
        <v>139</v>
      </c>
      <c r="E5468" s="3" t="s">
        <v>138</v>
      </c>
      <c r="F5468" s="4" t="str">
        <f aca="false">IF(I5468&gt;J5468,"Y","N")</f>
        <v>N</v>
      </c>
      <c r="G5468" s="3" t="s">
        <v>72</v>
      </c>
      <c r="H5468" s="3" t="s">
        <v>34</v>
      </c>
      <c r="I5468" s="4" t="n">
        <v>4</v>
      </c>
      <c r="J5468" s="4" t="n">
        <f aca="false">LEN(E5468)-LEN(SUBSTITUTE(E5468,",",""))+1</f>
        <v>4</v>
      </c>
      <c r="K5468" s="3" t="str">
        <f aca="false">IFERROR(INDEX('Teacher Lookup'!$B$2:$B$200,MATCH(A5468,'Teacher Lookup'!$A$2:$A$200,0)),"")</f>
        <v>WONG Jenny</v>
      </c>
    </row>
    <row r="5469" customFormat="false" ht="15" hidden="false" customHeight="false" outlineLevel="0" collapsed="false">
      <c r="A5469" s="3" t="s">
        <v>449</v>
      </c>
      <c r="B5469" s="4" t="s">
        <v>60</v>
      </c>
      <c r="C5469" s="4" t="n">
        <v>5</v>
      </c>
      <c r="D5469" s="4" t="s">
        <v>137</v>
      </c>
      <c r="E5469" s="3" t="s">
        <v>185</v>
      </c>
      <c r="F5469" s="4" t="str">
        <f aca="false">IF(I5469&gt;J5469,"Y","N")</f>
        <v>Y</v>
      </c>
      <c r="G5469" s="3" t="s">
        <v>36</v>
      </c>
      <c r="H5469" s="3" t="s">
        <v>37</v>
      </c>
      <c r="I5469" s="4" t="n">
        <v>21</v>
      </c>
      <c r="J5469" s="4" t="n">
        <f aca="false">LEN(E5469)-LEN(SUBSTITUTE(E5469,",",""))+1</f>
        <v>7</v>
      </c>
      <c r="K5469" s="3" t="str">
        <f aca="false">IFERROR(INDEX('Teacher Lookup'!$B$2:$B$200,MATCH(A5469,'Teacher Lookup'!$A$2:$A$200,0)),"")</f>
        <v>WONG Jenny</v>
      </c>
    </row>
    <row r="5470" customFormat="false" ht="15" hidden="false" customHeight="false" outlineLevel="0" collapsed="false">
      <c r="A5470" s="3" t="s">
        <v>449</v>
      </c>
      <c r="B5470" s="4" t="s">
        <v>60</v>
      </c>
      <c r="C5470" s="4" t="n">
        <v>5</v>
      </c>
      <c r="D5470" s="4" t="s">
        <v>124</v>
      </c>
      <c r="E5470" s="3" t="s">
        <v>185</v>
      </c>
      <c r="F5470" s="4" t="str">
        <f aca="false">IF(I5470&gt;J5470,"Y","N")</f>
        <v>Y</v>
      </c>
      <c r="G5470" s="3" t="s">
        <v>36</v>
      </c>
      <c r="H5470" s="3" t="s">
        <v>37</v>
      </c>
      <c r="I5470" s="4" t="n">
        <v>21</v>
      </c>
      <c r="J5470" s="4" t="n">
        <f aca="false">LEN(E5470)-LEN(SUBSTITUTE(E5470,",",""))+1</f>
        <v>7</v>
      </c>
      <c r="K5470" s="3" t="str">
        <f aca="false">IFERROR(INDEX('Teacher Lookup'!$B$2:$B$200,MATCH(A5470,'Teacher Lookup'!$A$2:$A$200,0)),"")</f>
        <v>WONG Jenny</v>
      </c>
    </row>
    <row r="5471" customFormat="false" ht="15" hidden="false" customHeight="false" outlineLevel="0" collapsed="false">
      <c r="A5471" s="3" t="s">
        <v>449</v>
      </c>
      <c r="B5471" s="4" t="s">
        <v>60</v>
      </c>
      <c r="C5471" s="4" t="n">
        <v>5</v>
      </c>
      <c r="D5471" s="4" t="s">
        <v>139</v>
      </c>
      <c r="E5471" s="3" t="s">
        <v>185</v>
      </c>
      <c r="F5471" s="4" t="str">
        <f aca="false">IF(I5471&gt;J5471,"Y","N")</f>
        <v>Y</v>
      </c>
      <c r="G5471" s="3" t="s">
        <v>36</v>
      </c>
      <c r="H5471" s="3" t="s">
        <v>37</v>
      </c>
      <c r="I5471" s="4" t="n">
        <v>21</v>
      </c>
      <c r="J5471" s="4" t="n">
        <f aca="false">LEN(E5471)-LEN(SUBSTITUTE(E5471,",",""))+1</f>
        <v>7</v>
      </c>
      <c r="K5471" s="3" t="str">
        <f aca="false">IFERROR(INDEX('Teacher Lookup'!$B$2:$B$200,MATCH(A5471,'Teacher Lookup'!$A$2:$A$200,0)),"")</f>
        <v>WONG Jenny</v>
      </c>
    </row>
    <row r="5472" customFormat="false" ht="15" hidden="false" customHeight="false" outlineLevel="0" collapsed="false">
      <c r="A5472" s="3" t="s">
        <v>449</v>
      </c>
      <c r="B5472" s="4" t="s">
        <v>60</v>
      </c>
      <c r="C5472" s="4" t="n">
        <v>5</v>
      </c>
      <c r="D5472" s="4" t="s">
        <v>140</v>
      </c>
      <c r="E5472" s="3" t="s">
        <v>185</v>
      </c>
      <c r="F5472" s="4" t="str">
        <f aca="false">IF(I5472&gt;J5472,"Y","N")</f>
        <v>Y</v>
      </c>
      <c r="G5472" s="3" t="s">
        <v>36</v>
      </c>
      <c r="H5472" s="3" t="s">
        <v>37</v>
      </c>
      <c r="I5472" s="4" t="n">
        <v>21</v>
      </c>
      <c r="J5472" s="4" t="n">
        <f aca="false">LEN(E5472)-LEN(SUBSTITUTE(E5472,",",""))+1</f>
        <v>7</v>
      </c>
      <c r="K5472" s="3" t="str">
        <f aca="false">IFERROR(INDEX('Teacher Lookup'!$B$2:$B$200,MATCH(A5472,'Teacher Lookup'!$A$2:$A$200,0)),"")</f>
        <v>WONG Jenny</v>
      </c>
    </row>
    <row r="5473" customFormat="false" ht="15" hidden="false" customHeight="false" outlineLevel="0" collapsed="false">
      <c r="A5473" s="3" t="s">
        <v>449</v>
      </c>
      <c r="B5473" s="4" t="s">
        <v>60</v>
      </c>
      <c r="C5473" s="4" t="n">
        <v>5</v>
      </c>
      <c r="D5473" s="4" t="s">
        <v>142</v>
      </c>
      <c r="E5473" s="3" t="s">
        <v>185</v>
      </c>
      <c r="F5473" s="4" t="str">
        <f aca="false">IF(I5473&gt;J5473,"Y","N")</f>
        <v>Y</v>
      </c>
      <c r="G5473" s="3" t="s">
        <v>36</v>
      </c>
      <c r="H5473" s="3" t="s">
        <v>37</v>
      </c>
      <c r="I5473" s="4" t="n">
        <v>21</v>
      </c>
      <c r="J5473" s="4" t="n">
        <f aca="false">LEN(E5473)-LEN(SUBSTITUTE(E5473,",",""))+1</f>
        <v>7</v>
      </c>
      <c r="K5473" s="3" t="str">
        <f aca="false">IFERROR(INDEX('Teacher Lookup'!$B$2:$B$200,MATCH(A5473,'Teacher Lookup'!$A$2:$A$200,0)),"")</f>
        <v>WONG Jenny</v>
      </c>
    </row>
    <row r="5474" customFormat="false" ht="15" hidden="false" customHeight="false" outlineLevel="0" collapsed="false">
      <c r="A5474" s="3" t="s">
        <v>449</v>
      </c>
      <c r="B5474" s="4" t="s">
        <v>60</v>
      </c>
      <c r="C5474" s="4" t="n">
        <v>5</v>
      </c>
      <c r="D5474" s="4" t="s">
        <v>127</v>
      </c>
      <c r="E5474" s="3" t="s">
        <v>185</v>
      </c>
      <c r="F5474" s="4" t="str">
        <f aca="false">IF(I5474&gt;J5474,"Y","N")</f>
        <v>Y</v>
      </c>
      <c r="G5474" s="3" t="s">
        <v>36</v>
      </c>
      <c r="H5474" s="3" t="s">
        <v>37</v>
      </c>
      <c r="I5474" s="4" t="n">
        <v>21</v>
      </c>
      <c r="J5474" s="4" t="n">
        <f aca="false">LEN(E5474)-LEN(SUBSTITUTE(E5474,",",""))+1</f>
        <v>7</v>
      </c>
      <c r="K5474" s="3" t="str">
        <f aca="false">IFERROR(INDEX('Teacher Lookup'!$B$2:$B$200,MATCH(A5474,'Teacher Lookup'!$A$2:$A$200,0)),"")</f>
        <v>WONG Jenny</v>
      </c>
    </row>
    <row r="5475" customFormat="false" ht="15" hidden="false" customHeight="false" outlineLevel="0" collapsed="false">
      <c r="A5475" s="3" t="s">
        <v>449</v>
      </c>
      <c r="B5475" s="4" t="s">
        <v>60</v>
      </c>
      <c r="C5475" s="4" t="n">
        <v>6</v>
      </c>
      <c r="D5475" s="4" t="s">
        <v>140</v>
      </c>
      <c r="E5475" s="3" t="s">
        <v>150</v>
      </c>
      <c r="F5475" s="4" t="str">
        <f aca="false">IF(I5475&gt;J5475,"Y","N")</f>
        <v>N</v>
      </c>
      <c r="G5475" s="3" t="s">
        <v>72</v>
      </c>
      <c r="H5475" s="3" t="s">
        <v>42</v>
      </c>
      <c r="I5475" s="4" t="n">
        <v>4</v>
      </c>
      <c r="J5475" s="4" t="n">
        <f aca="false">LEN(E5475)-LEN(SUBSTITUTE(E5475,",",""))+1</f>
        <v>4</v>
      </c>
      <c r="K5475" s="3" t="str">
        <f aca="false">IFERROR(INDEX('Teacher Lookup'!$B$2:$B$200,MATCH(A5475,'Teacher Lookup'!$A$2:$A$200,0)),"")</f>
        <v>WONG Jenny</v>
      </c>
    </row>
    <row r="5476" customFormat="false" ht="15" hidden="false" customHeight="false" outlineLevel="0" collapsed="false">
      <c r="A5476" s="3" t="s">
        <v>449</v>
      </c>
      <c r="B5476" s="4" t="s">
        <v>60</v>
      </c>
      <c r="C5476" s="4" t="n">
        <v>6</v>
      </c>
      <c r="D5476" s="4" t="s">
        <v>142</v>
      </c>
      <c r="E5476" s="3" t="s">
        <v>150</v>
      </c>
      <c r="F5476" s="4" t="str">
        <f aca="false">IF(I5476&gt;J5476,"Y","N")</f>
        <v>N</v>
      </c>
      <c r="G5476" s="3" t="s">
        <v>72</v>
      </c>
      <c r="H5476" s="3" t="s">
        <v>42</v>
      </c>
      <c r="I5476" s="4" t="n">
        <v>4</v>
      </c>
      <c r="J5476" s="4" t="n">
        <f aca="false">LEN(E5476)-LEN(SUBSTITUTE(E5476,",",""))+1</f>
        <v>4</v>
      </c>
      <c r="K5476" s="3" t="str">
        <f aca="false">IFERROR(INDEX('Teacher Lookup'!$B$2:$B$200,MATCH(A5476,'Teacher Lookup'!$A$2:$A$200,0)),"")</f>
        <v>WONG Jenny</v>
      </c>
    </row>
    <row r="5477" customFormat="false" ht="15" hidden="false" customHeight="false" outlineLevel="0" collapsed="false">
      <c r="A5477" s="3" t="s">
        <v>449</v>
      </c>
      <c r="B5477" s="4" t="s">
        <v>60</v>
      </c>
      <c r="C5477" s="4" t="n">
        <v>6</v>
      </c>
      <c r="D5477" s="4" t="s">
        <v>127</v>
      </c>
      <c r="E5477" s="3" t="s">
        <v>150</v>
      </c>
      <c r="F5477" s="4" t="str">
        <f aca="false">IF(I5477&gt;J5477,"Y","N")</f>
        <v>N</v>
      </c>
      <c r="G5477" s="3" t="s">
        <v>72</v>
      </c>
      <c r="H5477" s="3" t="s">
        <v>42</v>
      </c>
      <c r="I5477" s="4" t="n">
        <v>4</v>
      </c>
      <c r="J5477" s="4" t="n">
        <f aca="false">LEN(E5477)-LEN(SUBSTITUTE(E5477,",",""))+1</f>
        <v>4</v>
      </c>
      <c r="K5477" s="3" t="str">
        <f aca="false">IFERROR(INDEX('Teacher Lookup'!$B$2:$B$200,MATCH(A5477,'Teacher Lookup'!$A$2:$A$200,0)),"")</f>
        <v>WONG Jenny</v>
      </c>
    </row>
    <row r="5478" customFormat="false" ht="15" hidden="false" customHeight="false" outlineLevel="0" collapsed="false">
      <c r="A5478" s="3" t="s">
        <v>449</v>
      </c>
      <c r="B5478" s="4" t="s">
        <v>63</v>
      </c>
      <c r="C5478" s="4" t="n">
        <v>1</v>
      </c>
      <c r="D5478" s="4" t="s">
        <v>140</v>
      </c>
      <c r="E5478" s="3" t="s">
        <v>157</v>
      </c>
      <c r="F5478" s="4" t="str">
        <f aca="false">IF(I5478&gt;J5478,"Y","N")</f>
        <v>N</v>
      </c>
      <c r="G5478" s="3" t="s">
        <v>72</v>
      </c>
      <c r="H5478" s="3" t="s">
        <v>16</v>
      </c>
      <c r="I5478" s="4" t="n">
        <v>4</v>
      </c>
      <c r="J5478" s="4" t="n">
        <f aca="false">LEN(E5478)-LEN(SUBSTITUTE(E5478,",",""))+1</f>
        <v>4</v>
      </c>
      <c r="K5478" s="3" t="str">
        <f aca="false">IFERROR(INDEX('Teacher Lookup'!$B$2:$B$200,MATCH(A5478,'Teacher Lookup'!$A$2:$A$200,0)),"")</f>
        <v>WONG Jenny</v>
      </c>
    </row>
    <row r="5479" customFormat="false" ht="15" hidden="false" customHeight="false" outlineLevel="0" collapsed="false">
      <c r="A5479" s="3" t="s">
        <v>449</v>
      </c>
      <c r="B5479" s="4" t="s">
        <v>63</v>
      </c>
      <c r="C5479" s="4" t="n">
        <v>1</v>
      </c>
      <c r="D5479" s="4" t="s">
        <v>142</v>
      </c>
      <c r="E5479" s="3" t="s">
        <v>157</v>
      </c>
      <c r="F5479" s="4" t="str">
        <f aca="false">IF(I5479&gt;J5479,"Y","N")</f>
        <v>N</v>
      </c>
      <c r="G5479" s="3" t="s">
        <v>72</v>
      </c>
      <c r="H5479" s="3" t="s">
        <v>16</v>
      </c>
      <c r="I5479" s="4" t="n">
        <v>4</v>
      </c>
      <c r="J5479" s="4" t="n">
        <f aca="false">LEN(E5479)-LEN(SUBSTITUTE(E5479,",",""))+1</f>
        <v>4</v>
      </c>
      <c r="K5479" s="3" t="str">
        <f aca="false">IFERROR(INDEX('Teacher Lookup'!$B$2:$B$200,MATCH(A5479,'Teacher Lookup'!$A$2:$A$200,0)),"")</f>
        <v>WONG Jenny</v>
      </c>
    </row>
    <row r="5480" customFormat="false" ht="15" hidden="false" customHeight="false" outlineLevel="0" collapsed="false">
      <c r="A5480" s="3" t="s">
        <v>449</v>
      </c>
      <c r="B5480" s="4" t="s">
        <v>63</v>
      </c>
      <c r="C5480" s="4" t="n">
        <v>1</v>
      </c>
      <c r="D5480" s="4" t="s">
        <v>127</v>
      </c>
      <c r="E5480" s="3" t="s">
        <v>157</v>
      </c>
      <c r="F5480" s="4" t="str">
        <f aca="false">IF(I5480&gt;J5480,"Y","N")</f>
        <v>N</v>
      </c>
      <c r="G5480" s="3" t="s">
        <v>72</v>
      </c>
      <c r="H5480" s="3" t="s">
        <v>16</v>
      </c>
      <c r="I5480" s="4" t="n">
        <v>4</v>
      </c>
      <c r="J5480" s="4" t="n">
        <f aca="false">LEN(E5480)-LEN(SUBSTITUTE(E5480,",",""))+1</f>
        <v>4</v>
      </c>
      <c r="K5480" s="3" t="str">
        <f aca="false">IFERROR(INDEX('Teacher Lookup'!$B$2:$B$200,MATCH(A5480,'Teacher Lookup'!$A$2:$A$200,0)),"")</f>
        <v>WONG Jenny</v>
      </c>
    </row>
    <row r="5481" customFormat="false" ht="15" hidden="false" customHeight="false" outlineLevel="0" collapsed="false">
      <c r="A5481" s="3" t="s">
        <v>449</v>
      </c>
      <c r="B5481" s="4" t="s">
        <v>63</v>
      </c>
      <c r="C5481" s="4" t="n">
        <v>2</v>
      </c>
      <c r="D5481" s="4" t="s">
        <v>140</v>
      </c>
      <c r="E5481" s="3" t="s">
        <v>157</v>
      </c>
      <c r="F5481" s="4" t="str">
        <f aca="false">IF(I5481&gt;J5481,"Y","N")</f>
        <v>N</v>
      </c>
      <c r="G5481" s="3" t="s">
        <v>72</v>
      </c>
      <c r="H5481" s="3" t="s">
        <v>21</v>
      </c>
      <c r="I5481" s="4" t="n">
        <v>4</v>
      </c>
      <c r="J5481" s="4" t="n">
        <f aca="false">LEN(E5481)-LEN(SUBSTITUTE(E5481,",",""))+1</f>
        <v>4</v>
      </c>
      <c r="K5481" s="3" t="str">
        <f aca="false">IFERROR(INDEX('Teacher Lookup'!$B$2:$B$200,MATCH(A5481,'Teacher Lookup'!$A$2:$A$200,0)),"")</f>
        <v>WONG Jenny</v>
      </c>
    </row>
    <row r="5482" customFormat="false" ht="15" hidden="false" customHeight="false" outlineLevel="0" collapsed="false">
      <c r="A5482" s="3" t="s">
        <v>449</v>
      </c>
      <c r="B5482" s="4" t="s">
        <v>63</v>
      </c>
      <c r="C5482" s="4" t="n">
        <v>2</v>
      </c>
      <c r="D5482" s="4" t="s">
        <v>142</v>
      </c>
      <c r="E5482" s="3" t="s">
        <v>157</v>
      </c>
      <c r="F5482" s="4" t="str">
        <f aca="false">IF(I5482&gt;J5482,"Y","N")</f>
        <v>N</v>
      </c>
      <c r="G5482" s="3" t="s">
        <v>72</v>
      </c>
      <c r="H5482" s="3" t="s">
        <v>21</v>
      </c>
      <c r="I5482" s="4" t="n">
        <v>4</v>
      </c>
      <c r="J5482" s="4" t="n">
        <f aca="false">LEN(E5482)-LEN(SUBSTITUTE(E5482,",",""))+1</f>
        <v>4</v>
      </c>
      <c r="K5482" s="3" t="str">
        <f aca="false">IFERROR(INDEX('Teacher Lookup'!$B$2:$B$200,MATCH(A5482,'Teacher Lookup'!$A$2:$A$200,0)),"")</f>
        <v>WONG Jenny</v>
      </c>
    </row>
    <row r="5483" customFormat="false" ht="15" hidden="false" customHeight="false" outlineLevel="0" collapsed="false">
      <c r="A5483" s="3" t="s">
        <v>449</v>
      </c>
      <c r="B5483" s="4" t="s">
        <v>63</v>
      </c>
      <c r="C5483" s="4" t="n">
        <v>2</v>
      </c>
      <c r="D5483" s="4" t="s">
        <v>127</v>
      </c>
      <c r="E5483" s="3" t="s">
        <v>157</v>
      </c>
      <c r="F5483" s="4" t="str">
        <f aca="false">IF(I5483&gt;J5483,"Y","N")</f>
        <v>N</v>
      </c>
      <c r="G5483" s="3" t="s">
        <v>72</v>
      </c>
      <c r="H5483" s="3" t="s">
        <v>21</v>
      </c>
      <c r="I5483" s="4" t="n">
        <v>4</v>
      </c>
      <c r="J5483" s="4" t="n">
        <f aca="false">LEN(E5483)-LEN(SUBSTITUTE(E5483,",",""))+1</f>
        <v>4</v>
      </c>
      <c r="K5483" s="3" t="str">
        <f aca="false">IFERROR(INDEX('Teacher Lookup'!$B$2:$B$200,MATCH(A5483,'Teacher Lookup'!$A$2:$A$200,0)),"")</f>
        <v>WONG Jenny</v>
      </c>
    </row>
    <row r="5484" customFormat="false" ht="15" hidden="false" customHeight="false" outlineLevel="0" collapsed="false">
      <c r="A5484" s="3" t="s">
        <v>449</v>
      </c>
      <c r="B5484" s="4" t="s">
        <v>63</v>
      </c>
      <c r="C5484" s="4" t="n">
        <v>3</v>
      </c>
      <c r="D5484" s="4" t="s">
        <v>137</v>
      </c>
      <c r="E5484" s="3" t="s">
        <v>146</v>
      </c>
      <c r="F5484" s="4" t="str">
        <f aca="false">IF(I5484&gt;J5484,"Y","N")</f>
        <v>N</v>
      </c>
      <c r="G5484" s="3" t="s">
        <v>72</v>
      </c>
      <c r="H5484" s="3" t="s">
        <v>26</v>
      </c>
      <c r="I5484" s="4" t="n">
        <v>4</v>
      </c>
      <c r="J5484" s="4" t="n">
        <f aca="false">LEN(E5484)-LEN(SUBSTITUTE(E5484,",",""))+1</f>
        <v>4</v>
      </c>
      <c r="K5484" s="3" t="str">
        <f aca="false">IFERROR(INDEX('Teacher Lookup'!$B$2:$B$200,MATCH(A5484,'Teacher Lookup'!$A$2:$A$200,0)),"")</f>
        <v>WONG Jenny</v>
      </c>
    </row>
    <row r="5485" customFormat="false" ht="15" hidden="false" customHeight="false" outlineLevel="0" collapsed="false">
      <c r="A5485" s="3" t="s">
        <v>449</v>
      </c>
      <c r="B5485" s="4" t="s">
        <v>63</v>
      </c>
      <c r="C5485" s="4" t="n">
        <v>3</v>
      </c>
      <c r="D5485" s="4" t="s">
        <v>124</v>
      </c>
      <c r="E5485" s="3" t="s">
        <v>146</v>
      </c>
      <c r="F5485" s="4" t="str">
        <f aca="false">IF(I5485&gt;J5485,"Y","N")</f>
        <v>N</v>
      </c>
      <c r="G5485" s="3" t="s">
        <v>72</v>
      </c>
      <c r="H5485" s="3" t="s">
        <v>26</v>
      </c>
      <c r="I5485" s="4" t="n">
        <v>4</v>
      </c>
      <c r="J5485" s="4" t="n">
        <f aca="false">LEN(E5485)-LEN(SUBSTITUTE(E5485,",",""))+1</f>
        <v>4</v>
      </c>
      <c r="K5485" s="3" t="str">
        <f aca="false">IFERROR(INDEX('Teacher Lookup'!$B$2:$B$200,MATCH(A5485,'Teacher Lookup'!$A$2:$A$200,0)),"")</f>
        <v>WONG Jenny</v>
      </c>
    </row>
    <row r="5486" customFormat="false" ht="15" hidden="false" customHeight="false" outlineLevel="0" collapsed="false">
      <c r="A5486" s="3" t="s">
        <v>449</v>
      </c>
      <c r="B5486" s="4" t="s">
        <v>63</v>
      </c>
      <c r="C5486" s="4" t="n">
        <v>3</v>
      </c>
      <c r="D5486" s="4" t="s">
        <v>139</v>
      </c>
      <c r="E5486" s="3" t="s">
        <v>146</v>
      </c>
      <c r="F5486" s="4" t="str">
        <f aca="false">IF(I5486&gt;J5486,"Y","N")</f>
        <v>N</v>
      </c>
      <c r="G5486" s="3" t="s">
        <v>72</v>
      </c>
      <c r="H5486" s="3" t="s">
        <v>26</v>
      </c>
      <c r="I5486" s="4" t="n">
        <v>4</v>
      </c>
      <c r="J5486" s="4" t="n">
        <f aca="false">LEN(E5486)-LEN(SUBSTITUTE(E5486,",",""))+1</f>
        <v>4</v>
      </c>
      <c r="K5486" s="3" t="str">
        <f aca="false">IFERROR(INDEX('Teacher Lookup'!$B$2:$B$200,MATCH(A5486,'Teacher Lookup'!$A$2:$A$200,0)),"")</f>
        <v>WONG Jenny</v>
      </c>
    </row>
    <row r="5487" customFormat="false" ht="15" hidden="false" customHeight="false" outlineLevel="0" collapsed="false">
      <c r="A5487" s="3" t="s">
        <v>449</v>
      </c>
      <c r="B5487" s="4" t="s">
        <v>63</v>
      </c>
      <c r="C5487" s="4" t="n">
        <v>7</v>
      </c>
      <c r="D5487" s="4" t="s">
        <v>70</v>
      </c>
      <c r="E5487" s="3" t="s">
        <v>94</v>
      </c>
      <c r="F5487" s="4" t="str">
        <f aca="false">IF(I5487&gt;J5487,"Y","N")</f>
        <v>N</v>
      </c>
      <c r="G5487" s="3" t="s">
        <v>72</v>
      </c>
      <c r="H5487" s="3" t="s">
        <v>39</v>
      </c>
      <c r="I5487" s="4" t="n">
        <v>4</v>
      </c>
      <c r="J5487" s="4" t="n">
        <f aca="false">LEN(E5487)-LEN(SUBSTITUTE(E5487,",",""))+1</f>
        <v>4</v>
      </c>
      <c r="K5487" s="3" t="str">
        <f aca="false">IFERROR(INDEX('Teacher Lookup'!$B$2:$B$200,MATCH(A5487,'Teacher Lookup'!$A$2:$A$200,0)),"")</f>
        <v>WONG Jenny</v>
      </c>
    </row>
    <row r="5488" customFormat="false" ht="15" hidden="false" customHeight="false" outlineLevel="0" collapsed="false">
      <c r="A5488" s="3" t="s">
        <v>449</v>
      </c>
      <c r="B5488" s="4" t="s">
        <v>63</v>
      </c>
      <c r="C5488" s="4" t="n">
        <v>7</v>
      </c>
      <c r="D5488" s="4" t="s">
        <v>73</v>
      </c>
      <c r="E5488" s="3" t="s">
        <v>94</v>
      </c>
      <c r="F5488" s="4" t="str">
        <f aca="false">IF(I5488&gt;J5488,"Y","N")</f>
        <v>N</v>
      </c>
      <c r="G5488" s="3" t="s">
        <v>72</v>
      </c>
      <c r="H5488" s="3" t="s">
        <v>39</v>
      </c>
      <c r="I5488" s="4" t="n">
        <v>4</v>
      </c>
      <c r="J5488" s="4" t="n">
        <f aca="false">LEN(E5488)-LEN(SUBSTITUTE(E5488,",",""))+1</f>
        <v>4</v>
      </c>
      <c r="K5488" s="3" t="str">
        <f aca="false">IFERROR(INDEX('Teacher Lookup'!$B$2:$B$200,MATCH(A5488,'Teacher Lookup'!$A$2:$A$200,0)),"")</f>
        <v>WONG Jenny</v>
      </c>
    </row>
    <row r="5489" customFormat="false" ht="15" hidden="false" customHeight="false" outlineLevel="0" collapsed="false">
      <c r="A5489" s="3" t="s">
        <v>449</v>
      </c>
      <c r="B5489" s="4" t="s">
        <v>63</v>
      </c>
      <c r="C5489" s="4" t="n">
        <v>7</v>
      </c>
      <c r="D5489" s="4" t="s">
        <v>74</v>
      </c>
      <c r="E5489" s="3" t="s">
        <v>94</v>
      </c>
      <c r="F5489" s="4" t="str">
        <f aca="false">IF(I5489&gt;J5489,"Y","N")</f>
        <v>N</v>
      </c>
      <c r="G5489" s="3" t="s">
        <v>72</v>
      </c>
      <c r="H5489" s="3" t="s">
        <v>39</v>
      </c>
      <c r="I5489" s="4" t="n">
        <v>4</v>
      </c>
      <c r="J5489" s="4" t="n">
        <f aca="false">LEN(E5489)-LEN(SUBSTITUTE(E5489,",",""))+1</f>
        <v>4</v>
      </c>
      <c r="K5489" s="3" t="str">
        <f aca="false">IFERROR(INDEX('Teacher Lookup'!$B$2:$B$200,MATCH(A5489,'Teacher Lookup'!$A$2:$A$200,0)),"")</f>
        <v>WONG Jenny</v>
      </c>
    </row>
    <row r="5490" customFormat="false" ht="15" hidden="false" customHeight="false" outlineLevel="0" collapsed="false">
      <c r="A5490" s="3" t="s">
        <v>449</v>
      </c>
      <c r="B5490" s="4" t="s">
        <v>65</v>
      </c>
      <c r="C5490" s="4" t="n">
        <v>1</v>
      </c>
      <c r="D5490" s="4" t="s">
        <v>137</v>
      </c>
      <c r="E5490" s="3" t="s">
        <v>146</v>
      </c>
      <c r="F5490" s="4" t="str">
        <f aca="false">IF(I5490&gt;J5490,"Y","N")</f>
        <v>N</v>
      </c>
      <c r="G5490" s="3" t="s">
        <v>72</v>
      </c>
      <c r="H5490" s="3" t="s">
        <v>16</v>
      </c>
      <c r="I5490" s="4" t="n">
        <v>4</v>
      </c>
      <c r="J5490" s="4" t="n">
        <f aca="false">LEN(E5490)-LEN(SUBSTITUTE(E5490,",",""))+1</f>
        <v>4</v>
      </c>
      <c r="K5490" s="3" t="str">
        <f aca="false">IFERROR(INDEX('Teacher Lookup'!$B$2:$B$200,MATCH(A5490,'Teacher Lookup'!$A$2:$A$200,0)),"")</f>
        <v>WONG Jenny</v>
      </c>
    </row>
    <row r="5491" customFormat="false" ht="15" hidden="false" customHeight="false" outlineLevel="0" collapsed="false">
      <c r="A5491" s="3" t="s">
        <v>449</v>
      </c>
      <c r="B5491" s="4" t="s">
        <v>65</v>
      </c>
      <c r="C5491" s="4" t="n">
        <v>1</v>
      </c>
      <c r="D5491" s="4" t="s">
        <v>124</v>
      </c>
      <c r="E5491" s="3" t="s">
        <v>146</v>
      </c>
      <c r="F5491" s="4" t="str">
        <f aca="false">IF(I5491&gt;J5491,"Y","N")</f>
        <v>N</v>
      </c>
      <c r="G5491" s="3" t="s">
        <v>72</v>
      </c>
      <c r="H5491" s="3" t="s">
        <v>16</v>
      </c>
      <c r="I5491" s="4" t="n">
        <v>4</v>
      </c>
      <c r="J5491" s="4" t="n">
        <f aca="false">LEN(E5491)-LEN(SUBSTITUTE(E5491,",",""))+1</f>
        <v>4</v>
      </c>
      <c r="K5491" s="3" t="str">
        <f aca="false">IFERROR(INDEX('Teacher Lookup'!$B$2:$B$200,MATCH(A5491,'Teacher Lookup'!$A$2:$A$200,0)),"")</f>
        <v>WONG Jenny</v>
      </c>
    </row>
    <row r="5492" customFormat="false" ht="15" hidden="false" customHeight="false" outlineLevel="0" collapsed="false">
      <c r="A5492" s="3" t="s">
        <v>449</v>
      </c>
      <c r="B5492" s="4" t="s">
        <v>65</v>
      </c>
      <c r="C5492" s="4" t="n">
        <v>1</v>
      </c>
      <c r="D5492" s="4" t="s">
        <v>139</v>
      </c>
      <c r="E5492" s="3" t="s">
        <v>146</v>
      </c>
      <c r="F5492" s="4" t="str">
        <f aca="false">IF(I5492&gt;J5492,"Y","N")</f>
        <v>N</v>
      </c>
      <c r="G5492" s="3" t="s">
        <v>72</v>
      </c>
      <c r="H5492" s="3" t="s">
        <v>16</v>
      </c>
      <c r="I5492" s="4" t="n">
        <v>4</v>
      </c>
      <c r="J5492" s="4" t="n">
        <f aca="false">LEN(E5492)-LEN(SUBSTITUTE(E5492,",",""))+1</f>
        <v>4</v>
      </c>
      <c r="K5492" s="3" t="str">
        <f aca="false">IFERROR(INDEX('Teacher Lookup'!$B$2:$B$200,MATCH(A5492,'Teacher Lookup'!$A$2:$A$200,0)),"")</f>
        <v>WONG Jenny</v>
      </c>
    </row>
    <row r="5493" customFormat="false" ht="15" hidden="false" customHeight="false" outlineLevel="0" collapsed="false">
      <c r="A5493" s="3" t="s">
        <v>449</v>
      </c>
      <c r="B5493" s="4" t="s">
        <v>65</v>
      </c>
      <c r="C5493" s="4" t="n">
        <v>2</v>
      </c>
      <c r="D5493" s="4" t="s">
        <v>70</v>
      </c>
      <c r="E5493" s="3" t="s">
        <v>83</v>
      </c>
      <c r="F5493" s="4" t="str">
        <f aca="false">IF(I5493&gt;J5493,"Y","N")</f>
        <v>N</v>
      </c>
      <c r="G5493" s="3" t="s">
        <v>72</v>
      </c>
      <c r="H5493" s="3" t="s">
        <v>21</v>
      </c>
      <c r="I5493" s="4" t="n">
        <v>4</v>
      </c>
      <c r="J5493" s="4" t="n">
        <f aca="false">LEN(E5493)-LEN(SUBSTITUTE(E5493,",",""))+1</f>
        <v>4</v>
      </c>
      <c r="K5493" s="3" t="str">
        <f aca="false">IFERROR(INDEX('Teacher Lookup'!$B$2:$B$200,MATCH(A5493,'Teacher Lookup'!$A$2:$A$200,0)),"")</f>
        <v>WONG Jenny</v>
      </c>
    </row>
    <row r="5494" customFormat="false" ht="15" hidden="false" customHeight="false" outlineLevel="0" collapsed="false">
      <c r="A5494" s="3" t="s">
        <v>449</v>
      </c>
      <c r="B5494" s="4" t="s">
        <v>65</v>
      </c>
      <c r="C5494" s="4" t="n">
        <v>2</v>
      </c>
      <c r="D5494" s="4" t="s">
        <v>73</v>
      </c>
      <c r="E5494" s="3" t="s">
        <v>83</v>
      </c>
      <c r="F5494" s="4" t="str">
        <f aca="false">IF(I5494&gt;J5494,"Y","N")</f>
        <v>N</v>
      </c>
      <c r="G5494" s="3" t="s">
        <v>72</v>
      </c>
      <c r="H5494" s="3" t="s">
        <v>21</v>
      </c>
      <c r="I5494" s="4" t="n">
        <v>4</v>
      </c>
      <c r="J5494" s="4" t="n">
        <f aca="false">LEN(E5494)-LEN(SUBSTITUTE(E5494,",",""))+1</f>
        <v>4</v>
      </c>
      <c r="K5494" s="3" t="str">
        <f aca="false">IFERROR(INDEX('Teacher Lookup'!$B$2:$B$200,MATCH(A5494,'Teacher Lookup'!$A$2:$A$200,0)),"")</f>
        <v>WONG Jenny</v>
      </c>
    </row>
    <row r="5495" customFormat="false" ht="15" hidden="false" customHeight="false" outlineLevel="0" collapsed="false">
      <c r="A5495" s="3" t="s">
        <v>449</v>
      </c>
      <c r="B5495" s="4" t="s">
        <v>65</v>
      </c>
      <c r="C5495" s="4" t="n">
        <v>2</v>
      </c>
      <c r="D5495" s="4" t="s">
        <v>74</v>
      </c>
      <c r="E5495" s="3" t="s">
        <v>83</v>
      </c>
      <c r="F5495" s="4" t="str">
        <f aca="false">IF(I5495&gt;J5495,"Y","N")</f>
        <v>N</v>
      </c>
      <c r="G5495" s="3" t="s">
        <v>72</v>
      </c>
      <c r="H5495" s="3" t="s">
        <v>21</v>
      </c>
      <c r="I5495" s="4" t="n">
        <v>4</v>
      </c>
      <c r="J5495" s="4" t="n">
        <f aca="false">LEN(E5495)-LEN(SUBSTITUTE(E5495,",",""))+1</f>
        <v>4</v>
      </c>
      <c r="K5495" s="3" t="str">
        <f aca="false">IFERROR(INDEX('Teacher Lookup'!$B$2:$B$200,MATCH(A5495,'Teacher Lookup'!$A$2:$A$200,0)),"")</f>
        <v>WONG Jenny</v>
      </c>
    </row>
    <row r="5496" customFormat="false" ht="15" hidden="false" customHeight="false" outlineLevel="0" collapsed="false">
      <c r="A5496" s="3" t="s">
        <v>449</v>
      </c>
      <c r="B5496" s="4" t="s">
        <v>65</v>
      </c>
      <c r="C5496" s="4" t="n">
        <v>4</v>
      </c>
      <c r="D5496" s="4" t="s">
        <v>140</v>
      </c>
      <c r="E5496" s="3" t="s">
        <v>152</v>
      </c>
      <c r="F5496" s="4" t="str">
        <f aca="false">IF(I5496&gt;J5496,"Y","N")</f>
        <v>N</v>
      </c>
      <c r="G5496" s="3" t="s">
        <v>72</v>
      </c>
      <c r="H5496" s="3" t="s">
        <v>34</v>
      </c>
      <c r="I5496" s="4" t="n">
        <v>4</v>
      </c>
      <c r="J5496" s="4" t="n">
        <f aca="false">LEN(E5496)-LEN(SUBSTITUTE(E5496,",",""))+1</f>
        <v>4</v>
      </c>
      <c r="K5496" s="3" t="str">
        <f aca="false">IFERROR(INDEX('Teacher Lookup'!$B$2:$B$200,MATCH(A5496,'Teacher Lookup'!$A$2:$A$200,0)),"")</f>
        <v>WONG Jenny</v>
      </c>
    </row>
    <row r="5497" customFormat="false" ht="15" hidden="false" customHeight="false" outlineLevel="0" collapsed="false">
      <c r="A5497" s="3" t="s">
        <v>449</v>
      </c>
      <c r="B5497" s="4" t="s">
        <v>65</v>
      </c>
      <c r="C5497" s="4" t="n">
        <v>4</v>
      </c>
      <c r="D5497" s="4" t="s">
        <v>142</v>
      </c>
      <c r="E5497" s="3" t="s">
        <v>152</v>
      </c>
      <c r="F5497" s="4" t="str">
        <f aca="false">IF(I5497&gt;J5497,"Y","N")</f>
        <v>N</v>
      </c>
      <c r="G5497" s="3" t="s">
        <v>72</v>
      </c>
      <c r="H5497" s="3" t="s">
        <v>34</v>
      </c>
      <c r="I5497" s="4" t="n">
        <v>4</v>
      </c>
      <c r="J5497" s="4" t="n">
        <f aca="false">LEN(E5497)-LEN(SUBSTITUTE(E5497,",",""))+1</f>
        <v>4</v>
      </c>
      <c r="K5497" s="3" t="str">
        <f aca="false">IFERROR(INDEX('Teacher Lookup'!$B$2:$B$200,MATCH(A5497,'Teacher Lookup'!$A$2:$A$200,0)),"")</f>
        <v>WONG Jenny</v>
      </c>
    </row>
    <row r="5498" customFormat="false" ht="15" hidden="false" customHeight="false" outlineLevel="0" collapsed="false">
      <c r="A5498" s="3" t="s">
        <v>449</v>
      </c>
      <c r="B5498" s="4" t="s">
        <v>65</v>
      </c>
      <c r="C5498" s="4" t="n">
        <v>4</v>
      </c>
      <c r="D5498" s="4" t="s">
        <v>127</v>
      </c>
      <c r="E5498" s="3" t="s">
        <v>152</v>
      </c>
      <c r="F5498" s="4" t="str">
        <f aca="false">IF(I5498&gt;J5498,"Y","N")</f>
        <v>N</v>
      </c>
      <c r="G5498" s="3" t="s">
        <v>72</v>
      </c>
      <c r="H5498" s="3" t="s">
        <v>34</v>
      </c>
      <c r="I5498" s="4" t="n">
        <v>4</v>
      </c>
      <c r="J5498" s="4" t="n">
        <f aca="false">LEN(E5498)-LEN(SUBSTITUTE(E5498,",",""))+1</f>
        <v>4</v>
      </c>
      <c r="K5498" s="3" t="str">
        <f aca="false">IFERROR(INDEX('Teacher Lookup'!$B$2:$B$200,MATCH(A5498,'Teacher Lookup'!$A$2:$A$200,0)),"")</f>
        <v>WONG Jenny</v>
      </c>
    </row>
    <row r="5499" customFormat="false" ht="15" hidden="false" customHeight="false" outlineLevel="0" collapsed="false">
      <c r="A5499" s="3" t="s">
        <v>449</v>
      </c>
      <c r="B5499" s="4" t="s">
        <v>65</v>
      </c>
      <c r="C5499" s="4" t="n">
        <v>5</v>
      </c>
      <c r="D5499" s="4" t="s">
        <v>137</v>
      </c>
      <c r="E5499" s="3" t="s">
        <v>185</v>
      </c>
      <c r="F5499" s="4" t="str">
        <f aca="false">IF(I5499&gt;J5499,"Y","N")</f>
        <v>Y</v>
      </c>
      <c r="G5499" s="3" t="s">
        <v>36</v>
      </c>
      <c r="H5499" s="3" t="s">
        <v>37</v>
      </c>
      <c r="I5499" s="4" t="n">
        <v>21</v>
      </c>
      <c r="J5499" s="4" t="n">
        <f aca="false">LEN(E5499)-LEN(SUBSTITUTE(E5499,",",""))+1</f>
        <v>7</v>
      </c>
      <c r="K5499" s="3" t="str">
        <f aca="false">IFERROR(INDEX('Teacher Lookup'!$B$2:$B$200,MATCH(A5499,'Teacher Lookup'!$A$2:$A$200,0)),"")</f>
        <v>WONG Jenny</v>
      </c>
    </row>
    <row r="5500" customFormat="false" ht="15" hidden="false" customHeight="false" outlineLevel="0" collapsed="false">
      <c r="A5500" s="3" t="s">
        <v>449</v>
      </c>
      <c r="B5500" s="4" t="s">
        <v>65</v>
      </c>
      <c r="C5500" s="4" t="n">
        <v>5</v>
      </c>
      <c r="D5500" s="4" t="s">
        <v>124</v>
      </c>
      <c r="E5500" s="3" t="s">
        <v>185</v>
      </c>
      <c r="F5500" s="4" t="str">
        <f aca="false">IF(I5500&gt;J5500,"Y","N")</f>
        <v>Y</v>
      </c>
      <c r="G5500" s="3" t="s">
        <v>36</v>
      </c>
      <c r="H5500" s="3" t="s">
        <v>37</v>
      </c>
      <c r="I5500" s="4" t="n">
        <v>21</v>
      </c>
      <c r="J5500" s="4" t="n">
        <f aca="false">LEN(E5500)-LEN(SUBSTITUTE(E5500,",",""))+1</f>
        <v>7</v>
      </c>
      <c r="K5500" s="3" t="str">
        <f aca="false">IFERROR(INDEX('Teacher Lookup'!$B$2:$B$200,MATCH(A5500,'Teacher Lookup'!$A$2:$A$200,0)),"")</f>
        <v>WONG Jenny</v>
      </c>
    </row>
    <row r="5501" customFormat="false" ht="15" hidden="false" customHeight="false" outlineLevel="0" collapsed="false">
      <c r="A5501" s="3" t="s">
        <v>449</v>
      </c>
      <c r="B5501" s="4" t="s">
        <v>65</v>
      </c>
      <c r="C5501" s="4" t="n">
        <v>5</v>
      </c>
      <c r="D5501" s="4" t="s">
        <v>139</v>
      </c>
      <c r="E5501" s="3" t="s">
        <v>185</v>
      </c>
      <c r="F5501" s="4" t="str">
        <f aca="false">IF(I5501&gt;J5501,"Y","N")</f>
        <v>Y</v>
      </c>
      <c r="G5501" s="3" t="s">
        <v>36</v>
      </c>
      <c r="H5501" s="3" t="s">
        <v>37</v>
      </c>
      <c r="I5501" s="4" t="n">
        <v>21</v>
      </c>
      <c r="J5501" s="4" t="n">
        <f aca="false">LEN(E5501)-LEN(SUBSTITUTE(E5501,",",""))+1</f>
        <v>7</v>
      </c>
      <c r="K5501" s="3" t="str">
        <f aca="false">IFERROR(INDEX('Teacher Lookup'!$B$2:$B$200,MATCH(A5501,'Teacher Lookup'!$A$2:$A$200,0)),"")</f>
        <v>WONG Jenny</v>
      </c>
    </row>
    <row r="5502" customFormat="false" ht="15" hidden="false" customHeight="false" outlineLevel="0" collapsed="false">
      <c r="A5502" s="3" t="s">
        <v>449</v>
      </c>
      <c r="B5502" s="4" t="s">
        <v>65</v>
      </c>
      <c r="C5502" s="4" t="n">
        <v>5</v>
      </c>
      <c r="D5502" s="4" t="s">
        <v>140</v>
      </c>
      <c r="E5502" s="3" t="s">
        <v>185</v>
      </c>
      <c r="F5502" s="4" t="str">
        <f aca="false">IF(I5502&gt;J5502,"Y","N")</f>
        <v>Y</v>
      </c>
      <c r="G5502" s="3" t="s">
        <v>36</v>
      </c>
      <c r="H5502" s="3" t="s">
        <v>37</v>
      </c>
      <c r="I5502" s="4" t="n">
        <v>21</v>
      </c>
      <c r="J5502" s="4" t="n">
        <f aca="false">LEN(E5502)-LEN(SUBSTITUTE(E5502,",",""))+1</f>
        <v>7</v>
      </c>
      <c r="K5502" s="3" t="str">
        <f aca="false">IFERROR(INDEX('Teacher Lookup'!$B$2:$B$200,MATCH(A5502,'Teacher Lookup'!$A$2:$A$200,0)),"")</f>
        <v>WONG Jenny</v>
      </c>
    </row>
    <row r="5503" customFormat="false" ht="15" hidden="false" customHeight="false" outlineLevel="0" collapsed="false">
      <c r="A5503" s="3" t="s">
        <v>449</v>
      </c>
      <c r="B5503" s="4" t="s">
        <v>65</v>
      </c>
      <c r="C5503" s="4" t="n">
        <v>5</v>
      </c>
      <c r="D5503" s="4" t="s">
        <v>142</v>
      </c>
      <c r="E5503" s="3" t="s">
        <v>185</v>
      </c>
      <c r="F5503" s="4" t="str">
        <f aca="false">IF(I5503&gt;J5503,"Y","N")</f>
        <v>Y</v>
      </c>
      <c r="G5503" s="3" t="s">
        <v>36</v>
      </c>
      <c r="H5503" s="3" t="s">
        <v>37</v>
      </c>
      <c r="I5503" s="4" t="n">
        <v>21</v>
      </c>
      <c r="J5503" s="4" t="n">
        <f aca="false">LEN(E5503)-LEN(SUBSTITUTE(E5503,",",""))+1</f>
        <v>7</v>
      </c>
      <c r="K5503" s="3" t="str">
        <f aca="false">IFERROR(INDEX('Teacher Lookup'!$B$2:$B$200,MATCH(A5503,'Teacher Lookup'!$A$2:$A$200,0)),"")</f>
        <v>WONG Jenny</v>
      </c>
    </row>
    <row r="5504" customFormat="false" ht="15" hidden="false" customHeight="false" outlineLevel="0" collapsed="false">
      <c r="A5504" s="3" t="s">
        <v>449</v>
      </c>
      <c r="B5504" s="4" t="s">
        <v>65</v>
      </c>
      <c r="C5504" s="4" t="n">
        <v>5</v>
      </c>
      <c r="D5504" s="4" t="s">
        <v>127</v>
      </c>
      <c r="E5504" s="3" t="s">
        <v>185</v>
      </c>
      <c r="F5504" s="4" t="str">
        <f aca="false">IF(I5504&gt;J5504,"Y","N")</f>
        <v>Y</v>
      </c>
      <c r="G5504" s="3" t="s">
        <v>36</v>
      </c>
      <c r="H5504" s="3" t="s">
        <v>37</v>
      </c>
      <c r="I5504" s="4" t="n">
        <v>21</v>
      </c>
      <c r="J5504" s="4" t="n">
        <f aca="false">LEN(E5504)-LEN(SUBSTITUTE(E5504,",",""))+1</f>
        <v>7</v>
      </c>
      <c r="K5504" s="3" t="str">
        <f aca="false">IFERROR(INDEX('Teacher Lookup'!$B$2:$B$200,MATCH(A5504,'Teacher Lookup'!$A$2:$A$200,0)),"")</f>
        <v>WONG Jenny</v>
      </c>
    </row>
    <row r="5505" customFormat="false" ht="15" hidden="false" customHeight="false" outlineLevel="0" collapsed="false">
      <c r="A5505" s="3" t="s">
        <v>449</v>
      </c>
      <c r="B5505" s="4" t="s">
        <v>66</v>
      </c>
      <c r="C5505" s="4" t="n">
        <v>1</v>
      </c>
      <c r="D5505" s="4" t="s">
        <v>140</v>
      </c>
      <c r="E5505" s="3" t="s">
        <v>160</v>
      </c>
      <c r="F5505" s="4" t="str">
        <f aca="false">IF(I5505&gt;J5505,"Y","N")</f>
        <v>N</v>
      </c>
      <c r="G5505" s="3" t="s">
        <v>72</v>
      </c>
      <c r="H5505" s="3" t="s">
        <v>16</v>
      </c>
      <c r="I5505" s="4" t="n">
        <v>4</v>
      </c>
      <c r="J5505" s="4" t="n">
        <f aca="false">LEN(E5505)-LEN(SUBSTITUTE(E5505,",",""))+1</f>
        <v>4</v>
      </c>
      <c r="K5505" s="3" t="str">
        <f aca="false">IFERROR(INDEX('Teacher Lookup'!$B$2:$B$200,MATCH(A5505,'Teacher Lookup'!$A$2:$A$200,0)),"")</f>
        <v>WONG Jenny</v>
      </c>
    </row>
    <row r="5506" customFormat="false" ht="15" hidden="false" customHeight="false" outlineLevel="0" collapsed="false">
      <c r="A5506" s="3" t="s">
        <v>449</v>
      </c>
      <c r="B5506" s="4" t="s">
        <v>66</v>
      </c>
      <c r="C5506" s="4" t="n">
        <v>1</v>
      </c>
      <c r="D5506" s="4" t="s">
        <v>142</v>
      </c>
      <c r="E5506" s="3" t="s">
        <v>160</v>
      </c>
      <c r="F5506" s="4" t="str">
        <f aca="false">IF(I5506&gt;J5506,"Y","N")</f>
        <v>N</v>
      </c>
      <c r="G5506" s="3" t="s">
        <v>72</v>
      </c>
      <c r="H5506" s="3" t="s">
        <v>16</v>
      </c>
      <c r="I5506" s="4" t="n">
        <v>4</v>
      </c>
      <c r="J5506" s="4" t="n">
        <f aca="false">LEN(E5506)-LEN(SUBSTITUTE(E5506,",",""))+1</f>
        <v>4</v>
      </c>
      <c r="K5506" s="3" t="str">
        <f aca="false">IFERROR(INDEX('Teacher Lookup'!$B$2:$B$200,MATCH(A5506,'Teacher Lookup'!$A$2:$A$200,0)),"")</f>
        <v>WONG Jenny</v>
      </c>
    </row>
    <row r="5507" customFormat="false" ht="15" hidden="false" customHeight="false" outlineLevel="0" collapsed="false">
      <c r="A5507" s="3" t="s">
        <v>449</v>
      </c>
      <c r="B5507" s="4" t="s">
        <v>66</v>
      </c>
      <c r="C5507" s="4" t="n">
        <v>1</v>
      </c>
      <c r="D5507" s="4" t="s">
        <v>127</v>
      </c>
      <c r="E5507" s="3" t="s">
        <v>160</v>
      </c>
      <c r="F5507" s="4" t="str">
        <f aca="false">IF(I5507&gt;J5507,"Y","N")</f>
        <v>N</v>
      </c>
      <c r="G5507" s="3" t="s">
        <v>72</v>
      </c>
      <c r="H5507" s="3" t="s">
        <v>16</v>
      </c>
      <c r="I5507" s="4" t="n">
        <v>4</v>
      </c>
      <c r="J5507" s="4" t="n">
        <f aca="false">LEN(E5507)-LEN(SUBSTITUTE(E5507,",",""))+1</f>
        <v>4</v>
      </c>
      <c r="K5507" s="3" t="str">
        <f aca="false">IFERROR(INDEX('Teacher Lookup'!$B$2:$B$200,MATCH(A5507,'Teacher Lookup'!$A$2:$A$200,0)),"")</f>
        <v>WONG Jenny</v>
      </c>
    </row>
    <row r="5508" customFormat="false" ht="15" hidden="false" customHeight="false" outlineLevel="0" collapsed="false">
      <c r="A5508" s="3" t="s">
        <v>449</v>
      </c>
      <c r="B5508" s="4" t="s">
        <v>66</v>
      </c>
      <c r="C5508" s="4" t="n">
        <v>2</v>
      </c>
      <c r="D5508" s="4" t="s">
        <v>137</v>
      </c>
      <c r="E5508" s="3" t="s">
        <v>161</v>
      </c>
      <c r="F5508" s="4" t="str">
        <f aca="false">IF(I5508&gt;J5508,"Y","N")</f>
        <v>N</v>
      </c>
      <c r="G5508" s="3" t="s">
        <v>72</v>
      </c>
      <c r="H5508" s="3" t="s">
        <v>21</v>
      </c>
      <c r="I5508" s="4" t="n">
        <v>4</v>
      </c>
      <c r="J5508" s="4" t="n">
        <f aca="false">LEN(E5508)-LEN(SUBSTITUTE(E5508,",",""))+1</f>
        <v>4</v>
      </c>
      <c r="K5508" s="3" t="str">
        <f aca="false">IFERROR(INDEX('Teacher Lookup'!$B$2:$B$200,MATCH(A5508,'Teacher Lookup'!$A$2:$A$200,0)),"")</f>
        <v>WONG Jenny</v>
      </c>
    </row>
    <row r="5509" customFormat="false" ht="15" hidden="false" customHeight="false" outlineLevel="0" collapsed="false">
      <c r="A5509" s="3" t="s">
        <v>449</v>
      </c>
      <c r="B5509" s="4" t="s">
        <v>66</v>
      </c>
      <c r="C5509" s="4" t="n">
        <v>2</v>
      </c>
      <c r="D5509" s="4" t="s">
        <v>124</v>
      </c>
      <c r="E5509" s="3" t="s">
        <v>161</v>
      </c>
      <c r="F5509" s="4" t="str">
        <f aca="false">IF(I5509&gt;J5509,"Y","N")</f>
        <v>N</v>
      </c>
      <c r="G5509" s="3" t="s">
        <v>72</v>
      </c>
      <c r="H5509" s="3" t="s">
        <v>21</v>
      </c>
      <c r="I5509" s="4" t="n">
        <v>4</v>
      </c>
      <c r="J5509" s="4" t="n">
        <f aca="false">LEN(E5509)-LEN(SUBSTITUTE(E5509,",",""))+1</f>
        <v>4</v>
      </c>
      <c r="K5509" s="3" t="str">
        <f aca="false">IFERROR(INDEX('Teacher Lookup'!$B$2:$B$200,MATCH(A5509,'Teacher Lookup'!$A$2:$A$200,0)),"")</f>
        <v>WONG Jenny</v>
      </c>
    </row>
    <row r="5510" customFormat="false" ht="15" hidden="false" customHeight="false" outlineLevel="0" collapsed="false">
      <c r="A5510" s="3" t="s">
        <v>449</v>
      </c>
      <c r="B5510" s="4" t="s">
        <v>66</v>
      </c>
      <c r="C5510" s="4" t="n">
        <v>2</v>
      </c>
      <c r="D5510" s="4" t="s">
        <v>139</v>
      </c>
      <c r="E5510" s="3" t="s">
        <v>161</v>
      </c>
      <c r="F5510" s="4" t="str">
        <f aca="false">IF(I5510&gt;J5510,"Y","N")</f>
        <v>N</v>
      </c>
      <c r="G5510" s="3" t="s">
        <v>72</v>
      </c>
      <c r="H5510" s="3" t="s">
        <v>21</v>
      </c>
      <c r="I5510" s="4" t="n">
        <v>4</v>
      </c>
      <c r="J5510" s="4" t="n">
        <f aca="false">LEN(E5510)-LEN(SUBSTITUTE(E5510,",",""))+1</f>
        <v>4</v>
      </c>
      <c r="K5510" s="3" t="str">
        <f aca="false">IFERROR(INDEX('Teacher Lookup'!$B$2:$B$200,MATCH(A5510,'Teacher Lookup'!$A$2:$A$200,0)),"")</f>
        <v>WONG Jenny</v>
      </c>
    </row>
    <row r="5511" customFormat="false" ht="15" hidden="false" customHeight="false" outlineLevel="0" collapsed="false">
      <c r="A5511" s="3" t="s">
        <v>449</v>
      </c>
      <c r="B5511" s="4" t="s">
        <v>66</v>
      </c>
      <c r="C5511" s="4" t="n">
        <v>5</v>
      </c>
      <c r="D5511" s="4" t="s">
        <v>70</v>
      </c>
      <c r="E5511" s="3" t="s">
        <v>96</v>
      </c>
      <c r="F5511" s="4" t="str">
        <f aca="false">IF(I5511&gt;J5511,"Y","N")</f>
        <v>N</v>
      </c>
      <c r="G5511" s="3" t="s">
        <v>72</v>
      </c>
      <c r="H5511" s="3" t="s">
        <v>37</v>
      </c>
      <c r="I5511" s="4" t="n">
        <v>4</v>
      </c>
      <c r="J5511" s="4" t="n">
        <f aca="false">LEN(E5511)-LEN(SUBSTITUTE(E5511,",",""))+1</f>
        <v>4</v>
      </c>
      <c r="K5511" s="3" t="str">
        <f aca="false">IFERROR(INDEX('Teacher Lookup'!$B$2:$B$200,MATCH(A5511,'Teacher Lookup'!$A$2:$A$200,0)),"")</f>
        <v>WONG Jenny</v>
      </c>
    </row>
    <row r="5512" customFormat="false" ht="15" hidden="false" customHeight="false" outlineLevel="0" collapsed="false">
      <c r="A5512" s="3" t="s">
        <v>449</v>
      </c>
      <c r="B5512" s="4" t="s">
        <v>66</v>
      </c>
      <c r="C5512" s="4" t="n">
        <v>5</v>
      </c>
      <c r="D5512" s="4" t="s">
        <v>73</v>
      </c>
      <c r="E5512" s="3" t="s">
        <v>96</v>
      </c>
      <c r="F5512" s="4" t="str">
        <f aca="false">IF(I5512&gt;J5512,"Y","N")</f>
        <v>N</v>
      </c>
      <c r="G5512" s="3" t="s">
        <v>72</v>
      </c>
      <c r="H5512" s="3" t="s">
        <v>37</v>
      </c>
      <c r="I5512" s="4" t="n">
        <v>4</v>
      </c>
      <c r="J5512" s="4" t="n">
        <f aca="false">LEN(E5512)-LEN(SUBSTITUTE(E5512,",",""))+1</f>
        <v>4</v>
      </c>
      <c r="K5512" s="3" t="str">
        <f aca="false">IFERROR(INDEX('Teacher Lookup'!$B$2:$B$200,MATCH(A5512,'Teacher Lookup'!$A$2:$A$200,0)),"")</f>
        <v>WONG Jenny</v>
      </c>
    </row>
    <row r="5513" customFormat="false" ht="15" hidden="false" customHeight="false" outlineLevel="0" collapsed="false">
      <c r="A5513" s="3" t="s">
        <v>449</v>
      </c>
      <c r="B5513" s="4" t="s">
        <v>66</v>
      </c>
      <c r="C5513" s="4" t="n">
        <v>5</v>
      </c>
      <c r="D5513" s="4" t="s">
        <v>74</v>
      </c>
      <c r="E5513" s="3" t="s">
        <v>96</v>
      </c>
      <c r="F5513" s="4" t="str">
        <f aca="false">IF(I5513&gt;J5513,"Y","N")</f>
        <v>N</v>
      </c>
      <c r="G5513" s="3" t="s">
        <v>72</v>
      </c>
      <c r="H5513" s="3" t="s">
        <v>37</v>
      </c>
      <c r="I5513" s="4" t="n">
        <v>4</v>
      </c>
      <c r="J5513" s="4" t="n">
        <f aca="false">LEN(E5513)-LEN(SUBSTITUTE(E5513,",",""))+1</f>
        <v>4</v>
      </c>
      <c r="K5513" s="3" t="str">
        <f aca="false">IFERROR(INDEX('Teacher Lookup'!$B$2:$B$200,MATCH(A5513,'Teacher Lookup'!$A$2:$A$200,0)),"")</f>
        <v>WONG Jenny</v>
      </c>
    </row>
    <row r="5514" customFormat="false" ht="15" hidden="false" customHeight="false" outlineLevel="0" collapsed="false">
      <c r="A5514" s="3" t="s">
        <v>450</v>
      </c>
      <c r="B5514" s="4" t="s">
        <v>12</v>
      </c>
      <c r="C5514" s="4" t="n">
        <v>1</v>
      </c>
      <c r="D5514" s="4" t="s">
        <v>73</v>
      </c>
      <c r="E5514" s="3" t="s">
        <v>438</v>
      </c>
      <c r="F5514" s="4" t="str">
        <f aca="false">IF(I5514&gt;J5514,"Y","N")</f>
        <v>N</v>
      </c>
      <c r="G5514" s="3" t="s">
        <v>285</v>
      </c>
      <c r="H5514" s="3" t="s">
        <v>16</v>
      </c>
      <c r="I5514" s="4" t="n">
        <v>1</v>
      </c>
      <c r="J5514" s="4" t="n">
        <f aca="false">LEN(E5514)-LEN(SUBSTITUTE(E5514,",",""))+1</f>
        <v>1</v>
      </c>
      <c r="K5514" s="3" t="str">
        <f aca="false">IFERROR(INDEX('Teacher Lookup'!$B$2:$B$200,MATCH(A5514,'Teacher Lookup'!$A$2:$A$200,0)),"")</f>
        <v>CHAK Jerry</v>
      </c>
    </row>
    <row r="5515" customFormat="false" ht="15" hidden="false" customHeight="false" outlineLevel="0" collapsed="false">
      <c r="A5515" s="3" t="s">
        <v>450</v>
      </c>
      <c r="B5515" s="4" t="s">
        <v>12</v>
      </c>
      <c r="C5515" s="4" t="n">
        <v>2</v>
      </c>
      <c r="D5515" s="4" t="s">
        <v>58</v>
      </c>
      <c r="E5515" s="3" t="s">
        <v>451</v>
      </c>
      <c r="F5515" s="4" t="str">
        <f aca="false">IF(I5515&gt;J5515,"Y","N")</f>
        <v>N</v>
      </c>
      <c r="G5515" s="3" t="s">
        <v>287</v>
      </c>
      <c r="H5515" s="3" t="s">
        <v>21</v>
      </c>
      <c r="I5515" s="4" t="n">
        <v>1</v>
      </c>
      <c r="J5515" s="4" t="n">
        <f aca="false">LEN(E5515)-LEN(SUBSTITUTE(E5515,",",""))+1</f>
        <v>1</v>
      </c>
      <c r="K5515" s="3" t="str">
        <f aca="false">IFERROR(INDEX('Teacher Lookup'!$B$2:$B$200,MATCH(A5515,'Teacher Lookup'!$A$2:$A$200,0)),"")</f>
        <v>CHAK Jerry</v>
      </c>
    </row>
    <row r="5516" customFormat="false" ht="15" hidden="false" customHeight="false" outlineLevel="0" collapsed="false">
      <c r="A5516" s="3" t="s">
        <v>450</v>
      </c>
      <c r="B5516" s="4" t="s">
        <v>12</v>
      </c>
      <c r="C5516" s="4" t="n">
        <v>6</v>
      </c>
      <c r="D5516" s="4" t="s">
        <v>52</v>
      </c>
      <c r="E5516" s="3" t="s">
        <v>357</v>
      </c>
      <c r="F5516" s="4" t="str">
        <f aca="false">IF(I5516&gt;J5516,"Y","N")</f>
        <v>Y</v>
      </c>
      <c r="G5516" s="3" t="s">
        <v>358</v>
      </c>
      <c r="H5516" s="3" t="s">
        <v>42</v>
      </c>
      <c r="I5516" s="4" t="n">
        <v>9</v>
      </c>
      <c r="J5516" s="4" t="n">
        <f aca="false">LEN(E5516)-LEN(SUBSTITUTE(E5516,",",""))+1</f>
        <v>8</v>
      </c>
      <c r="K5516" s="3" t="str">
        <f aca="false">IFERROR(INDEX('Teacher Lookup'!$B$2:$B$200,MATCH(A5516,'Teacher Lookup'!$A$2:$A$200,0)),"")</f>
        <v>CHAK Jerry</v>
      </c>
    </row>
    <row r="5517" customFormat="false" ht="15" hidden="false" customHeight="false" outlineLevel="0" collapsed="false">
      <c r="A5517" s="3" t="s">
        <v>450</v>
      </c>
      <c r="B5517" s="4" t="s">
        <v>12</v>
      </c>
      <c r="C5517" s="4" t="n">
        <v>6</v>
      </c>
      <c r="D5517" s="4" t="s">
        <v>55</v>
      </c>
      <c r="E5517" s="3" t="s">
        <v>357</v>
      </c>
      <c r="F5517" s="4" t="str">
        <f aca="false">IF(I5517&gt;J5517,"Y","N")</f>
        <v>Y</v>
      </c>
      <c r="G5517" s="3" t="s">
        <v>358</v>
      </c>
      <c r="H5517" s="3" t="s">
        <v>42</v>
      </c>
      <c r="I5517" s="4" t="n">
        <v>9</v>
      </c>
      <c r="J5517" s="4" t="n">
        <f aca="false">LEN(E5517)-LEN(SUBSTITUTE(E5517,",",""))+1</f>
        <v>8</v>
      </c>
      <c r="K5517" s="3" t="str">
        <f aca="false">IFERROR(INDEX('Teacher Lookup'!$B$2:$B$200,MATCH(A5517,'Teacher Lookup'!$A$2:$A$200,0)),"")</f>
        <v>CHAK Jerry</v>
      </c>
    </row>
    <row r="5518" customFormat="false" ht="15" hidden="false" customHeight="false" outlineLevel="0" collapsed="false">
      <c r="A5518" s="3" t="s">
        <v>450</v>
      </c>
      <c r="B5518" s="4" t="s">
        <v>12</v>
      </c>
      <c r="C5518" s="4" t="n">
        <v>6</v>
      </c>
      <c r="D5518" s="4" t="s">
        <v>56</v>
      </c>
      <c r="E5518" s="3" t="s">
        <v>357</v>
      </c>
      <c r="F5518" s="4" t="str">
        <f aca="false">IF(I5518&gt;J5518,"Y","N")</f>
        <v>Y</v>
      </c>
      <c r="G5518" s="3" t="s">
        <v>358</v>
      </c>
      <c r="H5518" s="3" t="s">
        <v>42</v>
      </c>
      <c r="I5518" s="4" t="n">
        <v>9</v>
      </c>
      <c r="J5518" s="4" t="n">
        <f aca="false">LEN(E5518)-LEN(SUBSTITUTE(E5518,",",""))+1</f>
        <v>8</v>
      </c>
      <c r="K5518" s="3" t="str">
        <f aca="false">IFERROR(INDEX('Teacher Lookup'!$B$2:$B$200,MATCH(A5518,'Teacher Lookup'!$A$2:$A$200,0)),"")</f>
        <v>CHAK Jerry</v>
      </c>
    </row>
    <row r="5519" customFormat="false" ht="15" hidden="false" customHeight="false" outlineLevel="0" collapsed="false">
      <c r="A5519" s="3" t="s">
        <v>450</v>
      </c>
      <c r="B5519" s="4" t="s">
        <v>12</v>
      </c>
      <c r="C5519" s="4" t="n">
        <v>6</v>
      </c>
      <c r="D5519" s="4" t="s">
        <v>57</v>
      </c>
      <c r="E5519" s="3" t="s">
        <v>357</v>
      </c>
      <c r="F5519" s="4" t="str">
        <f aca="false">IF(I5519&gt;J5519,"Y","N")</f>
        <v>Y</v>
      </c>
      <c r="G5519" s="3" t="s">
        <v>358</v>
      </c>
      <c r="H5519" s="3" t="s">
        <v>42</v>
      </c>
      <c r="I5519" s="4" t="n">
        <v>9</v>
      </c>
      <c r="J5519" s="4" t="n">
        <f aca="false">LEN(E5519)-LEN(SUBSTITUTE(E5519,",",""))+1</f>
        <v>8</v>
      </c>
      <c r="K5519" s="3" t="str">
        <f aca="false">IFERROR(INDEX('Teacher Lookup'!$B$2:$B$200,MATCH(A5519,'Teacher Lookup'!$A$2:$A$200,0)),"")</f>
        <v>CHAK Jerry</v>
      </c>
    </row>
    <row r="5520" customFormat="false" ht="15" hidden="false" customHeight="false" outlineLevel="0" collapsed="false">
      <c r="A5520" s="3" t="s">
        <v>450</v>
      </c>
      <c r="B5520" s="4" t="s">
        <v>12</v>
      </c>
      <c r="C5520" s="4" t="n">
        <v>6</v>
      </c>
      <c r="D5520" s="4" t="s">
        <v>58</v>
      </c>
      <c r="E5520" s="3" t="s">
        <v>357</v>
      </c>
      <c r="F5520" s="4" t="str">
        <f aca="false">IF(I5520&gt;J5520,"Y","N")</f>
        <v>Y</v>
      </c>
      <c r="G5520" s="3" t="s">
        <v>358</v>
      </c>
      <c r="H5520" s="3" t="s">
        <v>42</v>
      </c>
      <c r="I5520" s="4" t="n">
        <v>9</v>
      </c>
      <c r="J5520" s="4" t="n">
        <f aca="false">LEN(E5520)-LEN(SUBSTITUTE(E5520,",",""))+1</f>
        <v>8</v>
      </c>
      <c r="K5520" s="3" t="str">
        <f aca="false">IFERROR(INDEX('Teacher Lookup'!$B$2:$B$200,MATCH(A5520,'Teacher Lookup'!$A$2:$A$200,0)),"")</f>
        <v>CHAK Jerry</v>
      </c>
    </row>
    <row r="5521" customFormat="false" ht="15" hidden="false" customHeight="false" outlineLevel="0" collapsed="false">
      <c r="A5521" s="3" t="s">
        <v>450</v>
      </c>
      <c r="B5521" s="4" t="s">
        <v>12</v>
      </c>
      <c r="C5521" s="4" t="n">
        <v>6</v>
      </c>
      <c r="D5521" s="4" t="s">
        <v>59</v>
      </c>
      <c r="E5521" s="3" t="s">
        <v>357</v>
      </c>
      <c r="F5521" s="4" t="str">
        <f aca="false">IF(I5521&gt;J5521,"Y","N")</f>
        <v>Y</v>
      </c>
      <c r="G5521" s="3" t="s">
        <v>358</v>
      </c>
      <c r="H5521" s="3" t="s">
        <v>42</v>
      </c>
      <c r="I5521" s="4" t="n">
        <v>9</v>
      </c>
      <c r="J5521" s="4" t="n">
        <f aca="false">LEN(E5521)-LEN(SUBSTITUTE(E5521,",",""))+1</f>
        <v>8</v>
      </c>
      <c r="K5521" s="3" t="str">
        <f aca="false">IFERROR(INDEX('Teacher Lookup'!$B$2:$B$200,MATCH(A5521,'Teacher Lookup'!$A$2:$A$200,0)),"")</f>
        <v>CHAK Jerry</v>
      </c>
    </row>
    <row r="5522" customFormat="false" ht="15" hidden="false" customHeight="false" outlineLevel="0" collapsed="false">
      <c r="A5522" s="3" t="s">
        <v>450</v>
      </c>
      <c r="B5522" s="4" t="s">
        <v>12</v>
      </c>
      <c r="C5522" s="4" t="n">
        <v>7</v>
      </c>
      <c r="D5522" s="4" t="s">
        <v>52</v>
      </c>
      <c r="E5522" s="3" t="s">
        <v>357</v>
      </c>
      <c r="F5522" s="4" t="str">
        <f aca="false">IF(I5522&gt;J5522,"Y","N")</f>
        <v>Y</v>
      </c>
      <c r="G5522" s="3" t="s">
        <v>358</v>
      </c>
      <c r="H5522" s="3" t="s">
        <v>39</v>
      </c>
      <c r="I5522" s="4" t="n">
        <v>9</v>
      </c>
      <c r="J5522" s="4" t="n">
        <f aca="false">LEN(E5522)-LEN(SUBSTITUTE(E5522,",",""))+1</f>
        <v>8</v>
      </c>
      <c r="K5522" s="3" t="str">
        <f aca="false">IFERROR(INDEX('Teacher Lookup'!$B$2:$B$200,MATCH(A5522,'Teacher Lookup'!$A$2:$A$200,0)),"")</f>
        <v>CHAK Jerry</v>
      </c>
    </row>
    <row r="5523" customFormat="false" ht="15" hidden="false" customHeight="false" outlineLevel="0" collapsed="false">
      <c r="A5523" s="3" t="s">
        <v>450</v>
      </c>
      <c r="B5523" s="4" t="s">
        <v>12</v>
      </c>
      <c r="C5523" s="4" t="n">
        <v>7</v>
      </c>
      <c r="D5523" s="4" t="s">
        <v>55</v>
      </c>
      <c r="E5523" s="3" t="s">
        <v>357</v>
      </c>
      <c r="F5523" s="4" t="str">
        <f aca="false">IF(I5523&gt;J5523,"Y","N")</f>
        <v>Y</v>
      </c>
      <c r="G5523" s="3" t="s">
        <v>358</v>
      </c>
      <c r="H5523" s="3" t="s">
        <v>39</v>
      </c>
      <c r="I5523" s="4" t="n">
        <v>9</v>
      </c>
      <c r="J5523" s="4" t="n">
        <f aca="false">LEN(E5523)-LEN(SUBSTITUTE(E5523,",",""))+1</f>
        <v>8</v>
      </c>
      <c r="K5523" s="3" t="str">
        <f aca="false">IFERROR(INDEX('Teacher Lookup'!$B$2:$B$200,MATCH(A5523,'Teacher Lookup'!$A$2:$A$200,0)),"")</f>
        <v>CHAK Jerry</v>
      </c>
    </row>
    <row r="5524" customFormat="false" ht="15" hidden="false" customHeight="false" outlineLevel="0" collapsed="false">
      <c r="A5524" s="3" t="s">
        <v>450</v>
      </c>
      <c r="B5524" s="4" t="s">
        <v>12</v>
      </c>
      <c r="C5524" s="4" t="n">
        <v>7</v>
      </c>
      <c r="D5524" s="4" t="s">
        <v>56</v>
      </c>
      <c r="E5524" s="3" t="s">
        <v>357</v>
      </c>
      <c r="F5524" s="4" t="str">
        <f aca="false">IF(I5524&gt;J5524,"Y","N")</f>
        <v>Y</v>
      </c>
      <c r="G5524" s="3" t="s">
        <v>358</v>
      </c>
      <c r="H5524" s="3" t="s">
        <v>39</v>
      </c>
      <c r="I5524" s="4" t="n">
        <v>9</v>
      </c>
      <c r="J5524" s="4" t="n">
        <f aca="false">LEN(E5524)-LEN(SUBSTITUTE(E5524,",",""))+1</f>
        <v>8</v>
      </c>
      <c r="K5524" s="3" t="str">
        <f aca="false">IFERROR(INDEX('Teacher Lookup'!$B$2:$B$200,MATCH(A5524,'Teacher Lookup'!$A$2:$A$200,0)),"")</f>
        <v>CHAK Jerry</v>
      </c>
    </row>
    <row r="5525" customFormat="false" ht="15" hidden="false" customHeight="false" outlineLevel="0" collapsed="false">
      <c r="A5525" s="3" t="s">
        <v>450</v>
      </c>
      <c r="B5525" s="4" t="s">
        <v>12</v>
      </c>
      <c r="C5525" s="4" t="n">
        <v>7</v>
      </c>
      <c r="D5525" s="4" t="s">
        <v>57</v>
      </c>
      <c r="E5525" s="3" t="s">
        <v>357</v>
      </c>
      <c r="F5525" s="4" t="str">
        <f aca="false">IF(I5525&gt;J5525,"Y","N")</f>
        <v>Y</v>
      </c>
      <c r="G5525" s="3" t="s">
        <v>358</v>
      </c>
      <c r="H5525" s="3" t="s">
        <v>39</v>
      </c>
      <c r="I5525" s="4" t="n">
        <v>9</v>
      </c>
      <c r="J5525" s="4" t="n">
        <f aca="false">LEN(E5525)-LEN(SUBSTITUTE(E5525,",",""))+1</f>
        <v>8</v>
      </c>
      <c r="K5525" s="3" t="str">
        <f aca="false">IFERROR(INDEX('Teacher Lookup'!$B$2:$B$200,MATCH(A5525,'Teacher Lookup'!$A$2:$A$200,0)),"")</f>
        <v>CHAK Jerry</v>
      </c>
    </row>
    <row r="5526" customFormat="false" ht="15" hidden="false" customHeight="false" outlineLevel="0" collapsed="false">
      <c r="A5526" s="3" t="s">
        <v>450</v>
      </c>
      <c r="B5526" s="4" t="s">
        <v>12</v>
      </c>
      <c r="C5526" s="4" t="n">
        <v>7</v>
      </c>
      <c r="D5526" s="4" t="s">
        <v>58</v>
      </c>
      <c r="E5526" s="3" t="s">
        <v>357</v>
      </c>
      <c r="F5526" s="4" t="str">
        <f aca="false">IF(I5526&gt;J5526,"Y","N")</f>
        <v>Y</v>
      </c>
      <c r="G5526" s="3" t="s">
        <v>358</v>
      </c>
      <c r="H5526" s="3" t="s">
        <v>39</v>
      </c>
      <c r="I5526" s="4" t="n">
        <v>9</v>
      </c>
      <c r="J5526" s="4" t="n">
        <f aca="false">LEN(E5526)-LEN(SUBSTITUTE(E5526,",",""))+1</f>
        <v>8</v>
      </c>
      <c r="K5526" s="3" t="str">
        <f aca="false">IFERROR(INDEX('Teacher Lookup'!$B$2:$B$200,MATCH(A5526,'Teacher Lookup'!$A$2:$A$200,0)),"")</f>
        <v>CHAK Jerry</v>
      </c>
    </row>
    <row r="5527" customFormat="false" ht="15" hidden="false" customHeight="false" outlineLevel="0" collapsed="false">
      <c r="A5527" s="3" t="s">
        <v>450</v>
      </c>
      <c r="B5527" s="4" t="s">
        <v>12</v>
      </c>
      <c r="C5527" s="4" t="n">
        <v>7</v>
      </c>
      <c r="D5527" s="4" t="s">
        <v>59</v>
      </c>
      <c r="E5527" s="3" t="s">
        <v>357</v>
      </c>
      <c r="F5527" s="4" t="str">
        <f aca="false">IF(I5527&gt;J5527,"Y","N")</f>
        <v>Y</v>
      </c>
      <c r="G5527" s="3" t="s">
        <v>358</v>
      </c>
      <c r="H5527" s="3" t="s">
        <v>39</v>
      </c>
      <c r="I5527" s="4" t="n">
        <v>9</v>
      </c>
      <c r="J5527" s="4" t="n">
        <f aca="false">LEN(E5527)-LEN(SUBSTITUTE(E5527,",",""))+1</f>
        <v>8</v>
      </c>
      <c r="K5527" s="3" t="str">
        <f aca="false">IFERROR(INDEX('Teacher Lookup'!$B$2:$B$200,MATCH(A5527,'Teacher Lookup'!$A$2:$A$200,0)),"")</f>
        <v>CHAK Jerry</v>
      </c>
    </row>
    <row r="5528" customFormat="false" ht="15" hidden="false" customHeight="false" outlineLevel="0" collapsed="false">
      <c r="A5528" s="3" t="s">
        <v>450</v>
      </c>
      <c r="B5528" s="4" t="s">
        <v>31</v>
      </c>
      <c r="C5528" s="4" t="n">
        <v>1</v>
      </c>
      <c r="D5528" s="4" t="s">
        <v>56</v>
      </c>
      <c r="E5528" s="3" t="s">
        <v>452</v>
      </c>
      <c r="F5528" s="4" t="str">
        <f aca="false">IF(I5528&gt;J5528,"Y","N")</f>
        <v>N</v>
      </c>
      <c r="G5528" s="3" t="s">
        <v>287</v>
      </c>
      <c r="H5528" s="3" t="s">
        <v>16</v>
      </c>
      <c r="I5528" s="4" t="n">
        <v>1</v>
      </c>
      <c r="J5528" s="4" t="n">
        <f aca="false">LEN(E5528)-LEN(SUBSTITUTE(E5528,",",""))+1</f>
        <v>1</v>
      </c>
      <c r="K5528" s="3" t="str">
        <f aca="false">IFERROR(INDEX('Teacher Lookup'!$B$2:$B$200,MATCH(A5528,'Teacher Lookup'!$A$2:$A$200,0)),"")</f>
        <v>CHAK Jerry</v>
      </c>
    </row>
    <row r="5529" customFormat="false" ht="15" hidden="false" customHeight="false" outlineLevel="0" collapsed="false">
      <c r="A5529" s="3" t="s">
        <v>450</v>
      </c>
      <c r="B5529" s="4" t="s">
        <v>31</v>
      </c>
      <c r="C5529" s="4" t="n">
        <v>5</v>
      </c>
      <c r="D5529" s="4" t="s">
        <v>19</v>
      </c>
      <c r="E5529" s="3" t="s">
        <v>35</v>
      </c>
      <c r="F5529" s="4" t="str">
        <f aca="false">IF(I5529&gt;J5529,"Y","N")</f>
        <v>Y</v>
      </c>
      <c r="G5529" s="3" t="s">
        <v>36</v>
      </c>
      <c r="H5529" s="3" t="s">
        <v>37</v>
      </c>
      <c r="I5529" s="4" t="n">
        <v>17</v>
      </c>
      <c r="J5529" s="4" t="n">
        <f aca="false">LEN(E5529)-LEN(SUBSTITUTE(E5529,",",""))+1</f>
        <v>7</v>
      </c>
      <c r="K5529" s="3" t="str">
        <f aca="false">IFERROR(INDEX('Teacher Lookup'!$B$2:$B$200,MATCH(A5529,'Teacher Lookup'!$A$2:$A$200,0)),"")</f>
        <v>CHAK Jerry</v>
      </c>
    </row>
    <row r="5530" customFormat="false" ht="15" hidden="false" customHeight="false" outlineLevel="0" collapsed="false">
      <c r="A5530" s="3" t="s">
        <v>450</v>
      </c>
      <c r="B5530" s="4" t="s">
        <v>31</v>
      </c>
      <c r="C5530" s="4" t="n">
        <v>5</v>
      </c>
      <c r="D5530" s="4" t="s">
        <v>22</v>
      </c>
      <c r="E5530" s="3" t="s">
        <v>35</v>
      </c>
      <c r="F5530" s="4" t="str">
        <f aca="false">IF(I5530&gt;J5530,"Y","N")</f>
        <v>Y</v>
      </c>
      <c r="G5530" s="3" t="s">
        <v>36</v>
      </c>
      <c r="H5530" s="3" t="s">
        <v>37</v>
      </c>
      <c r="I5530" s="4" t="n">
        <v>17</v>
      </c>
      <c r="J5530" s="4" t="n">
        <f aca="false">LEN(E5530)-LEN(SUBSTITUTE(E5530,",",""))+1</f>
        <v>7</v>
      </c>
      <c r="K5530" s="3" t="str">
        <f aca="false">IFERROR(INDEX('Teacher Lookup'!$B$2:$B$200,MATCH(A5530,'Teacher Lookup'!$A$2:$A$200,0)),"")</f>
        <v>CHAK Jerry</v>
      </c>
    </row>
    <row r="5531" customFormat="false" ht="15" hidden="false" customHeight="false" outlineLevel="0" collapsed="false">
      <c r="A5531" s="3" t="s">
        <v>450</v>
      </c>
      <c r="B5531" s="4" t="s">
        <v>31</v>
      </c>
      <c r="C5531" s="4" t="n">
        <v>5</v>
      </c>
      <c r="D5531" s="4" t="s">
        <v>23</v>
      </c>
      <c r="E5531" s="3" t="s">
        <v>35</v>
      </c>
      <c r="F5531" s="4" t="str">
        <f aca="false">IF(I5531&gt;J5531,"Y","N")</f>
        <v>Y</v>
      </c>
      <c r="G5531" s="3" t="s">
        <v>36</v>
      </c>
      <c r="H5531" s="3" t="s">
        <v>37</v>
      </c>
      <c r="I5531" s="4" t="n">
        <v>17</v>
      </c>
      <c r="J5531" s="4" t="n">
        <f aca="false">LEN(E5531)-LEN(SUBSTITUTE(E5531,",",""))+1</f>
        <v>7</v>
      </c>
      <c r="K5531" s="3" t="str">
        <f aca="false">IFERROR(INDEX('Teacher Lookup'!$B$2:$B$200,MATCH(A5531,'Teacher Lookup'!$A$2:$A$200,0)),"")</f>
        <v>CHAK Jerry</v>
      </c>
    </row>
    <row r="5532" customFormat="false" ht="15" hidden="false" customHeight="false" outlineLevel="0" collapsed="false">
      <c r="A5532" s="3" t="s">
        <v>450</v>
      </c>
      <c r="B5532" s="4" t="s">
        <v>31</v>
      </c>
      <c r="C5532" s="4" t="n">
        <v>5</v>
      </c>
      <c r="D5532" s="4" t="s">
        <v>13</v>
      </c>
      <c r="E5532" s="3" t="s">
        <v>35</v>
      </c>
      <c r="F5532" s="4" t="str">
        <f aca="false">IF(I5532&gt;J5532,"Y","N")</f>
        <v>Y</v>
      </c>
      <c r="G5532" s="3" t="s">
        <v>36</v>
      </c>
      <c r="H5532" s="3" t="s">
        <v>37</v>
      </c>
      <c r="I5532" s="4" t="n">
        <v>17</v>
      </c>
      <c r="J5532" s="4" t="n">
        <f aca="false">LEN(E5532)-LEN(SUBSTITUTE(E5532,",",""))+1</f>
        <v>7</v>
      </c>
      <c r="K5532" s="3" t="str">
        <f aca="false">IFERROR(INDEX('Teacher Lookup'!$B$2:$B$200,MATCH(A5532,'Teacher Lookup'!$A$2:$A$200,0)),"")</f>
        <v>CHAK Jerry</v>
      </c>
    </row>
    <row r="5533" customFormat="false" ht="15" hidden="false" customHeight="false" outlineLevel="0" collapsed="false">
      <c r="A5533" s="3" t="s">
        <v>450</v>
      </c>
      <c r="B5533" s="4" t="s">
        <v>31</v>
      </c>
      <c r="C5533" s="4" t="n">
        <v>5</v>
      </c>
      <c r="D5533" s="4" t="s">
        <v>17</v>
      </c>
      <c r="E5533" s="3" t="s">
        <v>35</v>
      </c>
      <c r="F5533" s="4" t="str">
        <f aca="false">IF(I5533&gt;J5533,"Y","N")</f>
        <v>Y</v>
      </c>
      <c r="G5533" s="3" t="s">
        <v>36</v>
      </c>
      <c r="H5533" s="3" t="s">
        <v>37</v>
      </c>
      <c r="I5533" s="4" t="n">
        <v>17</v>
      </c>
      <c r="J5533" s="4" t="n">
        <f aca="false">LEN(E5533)-LEN(SUBSTITUTE(E5533,",",""))+1</f>
        <v>7</v>
      </c>
      <c r="K5533" s="3" t="str">
        <f aca="false">IFERROR(INDEX('Teacher Lookup'!$B$2:$B$200,MATCH(A5533,'Teacher Lookup'!$A$2:$A$200,0)),"")</f>
        <v>CHAK Jerry</v>
      </c>
    </row>
    <row r="5534" customFormat="false" ht="15" hidden="false" customHeight="false" outlineLevel="0" collapsed="false">
      <c r="A5534" s="3" t="s">
        <v>450</v>
      </c>
      <c r="B5534" s="4" t="s">
        <v>31</v>
      </c>
      <c r="C5534" s="4" t="n">
        <v>5</v>
      </c>
      <c r="D5534" s="4" t="s">
        <v>18</v>
      </c>
      <c r="E5534" s="3" t="s">
        <v>35</v>
      </c>
      <c r="F5534" s="4" t="str">
        <f aca="false">IF(I5534&gt;J5534,"Y","N")</f>
        <v>Y</v>
      </c>
      <c r="G5534" s="3" t="s">
        <v>36</v>
      </c>
      <c r="H5534" s="3" t="s">
        <v>37</v>
      </c>
      <c r="I5534" s="4" t="n">
        <v>17</v>
      </c>
      <c r="J5534" s="4" t="n">
        <f aca="false">LEN(E5534)-LEN(SUBSTITUTE(E5534,",",""))+1</f>
        <v>7</v>
      </c>
      <c r="K5534" s="3" t="str">
        <f aca="false">IFERROR(INDEX('Teacher Lookup'!$B$2:$B$200,MATCH(A5534,'Teacher Lookup'!$A$2:$A$200,0)),"")</f>
        <v>CHAK Jerry</v>
      </c>
    </row>
    <row r="5535" customFormat="false" ht="15" hidden="false" customHeight="false" outlineLevel="0" collapsed="false">
      <c r="A5535" s="3" t="s">
        <v>450</v>
      </c>
      <c r="B5535" s="4" t="s">
        <v>31</v>
      </c>
      <c r="C5535" s="4" t="n">
        <v>7</v>
      </c>
      <c r="D5535" s="4" t="s">
        <v>18</v>
      </c>
      <c r="E5535" s="3" t="s">
        <v>349</v>
      </c>
      <c r="F5535" s="4" t="str">
        <f aca="false">IF(I5535&gt;J5535,"Y","N")</f>
        <v>N</v>
      </c>
      <c r="G5535" s="3" t="s">
        <v>285</v>
      </c>
      <c r="H5535" s="3" t="s">
        <v>39</v>
      </c>
      <c r="I5535" s="4" t="n">
        <v>1</v>
      </c>
      <c r="J5535" s="4" t="n">
        <f aca="false">LEN(E5535)-LEN(SUBSTITUTE(E5535,",",""))+1</f>
        <v>1</v>
      </c>
      <c r="K5535" s="3" t="str">
        <f aca="false">IFERROR(INDEX('Teacher Lookup'!$B$2:$B$200,MATCH(A5535,'Teacher Lookup'!$A$2:$A$200,0)),"")</f>
        <v>CHAK Jerry</v>
      </c>
    </row>
    <row r="5536" customFormat="false" ht="15" hidden="false" customHeight="false" outlineLevel="0" collapsed="false">
      <c r="A5536" s="3" t="s">
        <v>450</v>
      </c>
      <c r="B5536" s="4" t="s">
        <v>40</v>
      </c>
      <c r="C5536" s="4" t="n">
        <v>3</v>
      </c>
      <c r="D5536" s="4" t="s">
        <v>55</v>
      </c>
      <c r="E5536" s="3" t="s">
        <v>453</v>
      </c>
      <c r="F5536" s="4" t="str">
        <f aca="false">IF(I5536&gt;J5536,"Y","N")</f>
        <v>N</v>
      </c>
      <c r="G5536" s="3" t="s">
        <v>287</v>
      </c>
      <c r="H5536" s="3" t="s">
        <v>26</v>
      </c>
      <c r="I5536" s="4" t="n">
        <v>1</v>
      </c>
      <c r="J5536" s="4" t="n">
        <f aca="false">LEN(E5536)-LEN(SUBSTITUTE(E5536,",",""))+1</f>
        <v>1</v>
      </c>
      <c r="K5536" s="3" t="str">
        <f aca="false">IFERROR(INDEX('Teacher Lookup'!$B$2:$B$200,MATCH(A5536,'Teacher Lookup'!$A$2:$A$200,0)),"")</f>
        <v>CHAK Jerry</v>
      </c>
    </row>
    <row r="5537" customFormat="false" ht="15" hidden="false" customHeight="false" outlineLevel="0" collapsed="false">
      <c r="A5537" s="3" t="s">
        <v>450</v>
      </c>
      <c r="B5537" s="4" t="s">
        <v>40</v>
      </c>
      <c r="C5537" s="4" t="n">
        <v>4</v>
      </c>
      <c r="D5537" s="4" t="s">
        <v>58</v>
      </c>
      <c r="E5537" s="3" t="s">
        <v>451</v>
      </c>
      <c r="F5537" s="4" t="str">
        <f aca="false">IF(I5537&gt;J5537,"Y","N")</f>
        <v>N</v>
      </c>
      <c r="G5537" s="3" t="s">
        <v>287</v>
      </c>
      <c r="H5537" s="3" t="s">
        <v>34</v>
      </c>
      <c r="I5537" s="4" t="n">
        <v>1</v>
      </c>
      <c r="J5537" s="4" t="n">
        <f aca="false">LEN(E5537)-LEN(SUBSTITUTE(E5537,",",""))+1</f>
        <v>1</v>
      </c>
      <c r="K5537" s="3" t="str">
        <f aca="false">IFERROR(INDEX('Teacher Lookup'!$B$2:$B$200,MATCH(A5537,'Teacher Lookup'!$A$2:$A$200,0)),"")</f>
        <v>CHAK Jerry</v>
      </c>
    </row>
    <row r="5538" customFormat="false" ht="15" hidden="false" customHeight="false" outlineLevel="0" collapsed="false">
      <c r="A5538" s="3" t="s">
        <v>450</v>
      </c>
      <c r="B5538" s="4" t="s">
        <v>40</v>
      </c>
      <c r="C5538" s="4" t="n">
        <v>5</v>
      </c>
      <c r="D5538" s="4" t="s">
        <v>73</v>
      </c>
      <c r="E5538" s="3" t="s">
        <v>438</v>
      </c>
      <c r="F5538" s="4" t="str">
        <f aca="false">IF(I5538&gt;J5538,"Y","N")</f>
        <v>N</v>
      </c>
      <c r="G5538" s="3" t="s">
        <v>285</v>
      </c>
      <c r="H5538" s="3" t="s">
        <v>37</v>
      </c>
      <c r="I5538" s="4" t="n">
        <v>1</v>
      </c>
      <c r="J5538" s="4" t="n">
        <f aca="false">LEN(E5538)-LEN(SUBSTITUTE(E5538,",",""))+1</f>
        <v>1</v>
      </c>
      <c r="K5538" s="3" t="str">
        <f aca="false">IFERROR(INDEX('Teacher Lookup'!$B$2:$B$200,MATCH(A5538,'Teacher Lookup'!$A$2:$A$200,0)),"")</f>
        <v>CHAK Jerry</v>
      </c>
    </row>
    <row r="5539" customFormat="false" ht="15" hidden="false" customHeight="false" outlineLevel="0" collapsed="false">
      <c r="A5539" s="3" t="s">
        <v>450</v>
      </c>
      <c r="B5539" s="4" t="s">
        <v>40</v>
      </c>
      <c r="C5539" s="4" t="n">
        <v>6</v>
      </c>
      <c r="D5539" s="4" t="s">
        <v>79</v>
      </c>
      <c r="E5539" s="3" t="s">
        <v>234</v>
      </c>
      <c r="F5539" s="4" t="str">
        <f aca="false">IF(I5539&gt;J5539,"Y","N")</f>
        <v>N</v>
      </c>
      <c r="G5539" s="3" t="s">
        <v>285</v>
      </c>
      <c r="H5539" s="3" t="s">
        <v>42</v>
      </c>
      <c r="I5539" s="4" t="n">
        <v>1</v>
      </c>
      <c r="J5539" s="4" t="n">
        <f aca="false">LEN(E5539)-LEN(SUBSTITUTE(E5539,",",""))+1</f>
        <v>1</v>
      </c>
      <c r="K5539" s="3" t="str">
        <f aca="false">IFERROR(INDEX('Teacher Lookup'!$B$2:$B$200,MATCH(A5539,'Teacher Lookup'!$A$2:$A$200,0)),"")</f>
        <v>CHAK Jerry</v>
      </c>
    </row>
    <row r="5540" customFormat="false" ht="15" hidden="false" customHeight="false" outlineLevel="0" collapsed="false">
      <c r="A5540" s="3" t="s">
        <v>450</v>
      </c>
      <c r="B5540" s="4" t="s">
        <v>40</v>
      </c>
      <c r="C5540" s="4" t="n">
        <v>7</v>
      </c>
      <c r="D5540" s="4" t="s">
        <v>23</v>
      </c>
      <c r="E5540" s="3" t="s">
        <v>353</v>
      </c>
      <c r="F5540" s="4" t="str">
        <f aca="false">IF(I5540&gt;J5540,"Y","N")</f>
        <v>N</v>
      </c>
      <c r="G5540" s="3" t="s">
        <v>285</v>
      </c>
      <c r="H5540" s="3" t="s">
        <v>39</v>
      </c>
      <c r="I5540" s="4" t="n">
        <v>1</v>
      </c>
      <c r="J5540" s="4" t="n">
        <f aca="false">LEN(E5540)-LEN(SUBSTITUTE(E5540,",",""))+1</f>
        <v>1</v>
      </c>
      <c r="K5540" s="3" t="str">
        <f aca="false">IFERROR(INDEX('Teacher Lookup'!$B$2:$B$200,MATCH(A5540,'Teacher Lookup'!$A$2:$A$200,0)),"")</f>
        <v>CHAK Jerry</v>
      </c>
    </row>
    <row r="5541" customFormat="false" ht="15" hidden="false" customHeight="false" outlineLevel="0" collapsed="false">
      <c r="A5541" s="3" t="s">
        <v>450</v>
      </c>
      <c r="B5541" s="4" t="s">
        <v>44</v>
      </c>
      <c r="C5541" s="4" t="n">
        <v>2</v>
      </c>
      <c r="D5541" s="4" t="s">
        <v>23</v>
      </c>
      <c r="E5541" s="3" t="s">
        <v>353</v>
      </c>
      <c r="F5541" s="4" t="str">
        <f aca="false">IF(I5541&gt;J5541,"Y","N")</f>
        <v>N</v>
      </c>
      <c r="G5541" s="3" t="s">
        <v>285</v>
      </c>
      <c r="H5541" s="3" t="s">
        <v>21</v>
      </c>
      <c r="I5541" s="4" t="n">
        <v>1</v>
      </c>
      <c r="J5541" s="4" t="n">
        <f aca="false">LEN(E5541)-LEN(SUBSTITUTE(E5541,",",""))+1</f>
        <v>1</v>
      </c>
      <c r="K5541" s="3" t="str">
        <f aca="false">IFERROR(INDEX('Teacher Lookup'!$B$2:$B$200,MATCH(A5541,'Teacher Lookup'!$A$2:$A$200,0)),"")</f>
        <v>CHAK Jerry</v>
      </c>
    </row>
    <row r="5542" customFormat="false" ht="15" hidden="false" customHeight="false" outlineLevel="0" collapsed="false">
      <c r="A5542" s="3" t="s">
        <v>450</v>
      </c>
      <c r="B5542" s="4" t="s">
        <v>44</v>
      </c>
      <c r="C5542" s="4" t="n">
        <v>3</v>
      </c>
      <c r="D5542" s="4" t="s">
        <v>79</v>
      </c>
      <c r="E5542" s="3" t="s">
        <v>234</v>
      </c>
      <c r="F5542" s="4" t="str">
        <f aca="false">IF(I5542&gt;J5542,"Y","N")</f>
        <v>N</v>
      </c>
      <c r="G5542" s="3" t="s">
        <v>285</v>
      </c>
      <c r="H5542" s="3" t="s">
        <v>26</v>
      </c>
      <c r="I5542" s="4" t="n">
        <v>1</v>
      </c>
      <c r="J5542" s="4" t="n">
        <f aca="false">LEN(E5542)-LEN(SUBSTITUTE(E5542,",",""))+1</f>
        <v>1</v>
      </c>
      <c r="K5542" s="3" t="str">
        <f aca="false">IFERROR(INDEX('Teacher Lookup'!$B$2:$B$200,MATCH(A5542,'Teacher Lookup'!$A$2:$A$200,0)),"")</f>
        <v>CHAK Jerry</v>
      </c>
    </row>
    <row r="5543" customFormat="false" ht="15" hidden="false" customHeight="false" outlineLevel="0" collapsed="false">
      <c r="A5543" s="3" t="s">
        <v>450</v>
      </c>
      <c r="B5543" s="4" t="s">
        <v>44</v>
      </c>
      <c r="C5543" s="4" t="n">
        <v>5</v>
      </c>
      <c r="D5543" s="4" t="s">
        <v>19</v>
      </c>
      <c r="E5543" s="3" t="s">
        <v>35</v>
      </c>
      <c r="F5543" s="4" t="str">
        <f aca="false">IF(I5543&gt;J5543,"Y","N")</f>
        <v>Y</v>
      </c>
      <c r="G5543" s="3" t="s">
        <v>36</v>
      </c>
      <c r="H5543" s="3" t="s">
        <v>37</v>
      </c>
      <c r="I5543" s="4" t="n">
        <v>17</v>
      </c>
      <c r="J5543" s="4" t="n">
        <f aca="false">LEN(E5543)-LEN(SUBSTITUTE(E5543,",",""))+1</f>
        <v>7</v>
      </c>
      <c r="K5543" s="3" t="str">
        <f aca="false">IFERROR(INDEX('Teacher Lookup'!$B$2:$B$200,MATCH(A5543,'Teacher Lookup'!$A$2:$A$200,0)),"")</f>
        <v>CHAK Jerry</v>
      </c>
    </row>
    <row r="5544" customFormat="false" ht="15" hidden="false" customHeight="false" outlineLevel="0" collapsed="false">
      <c r="A5544" s="3" t="s">
        <v>450</v>
      </c>
      <c r="B5544" s="4" t="s">
        <v>44</v>
      </c>
      <c r="C5544" s="4" t="n">
        <v>5</v>
      </c>
      <c r="D5544" s="4" t="s">
        <v>22</v>
      </c>
      <c r="E5544" s="3" t="s">
        <v>35</v>
      </c>
      <c r="F5544" s="4" t="str">
        <f aca="false">IF(I5544&gt;J5544,"Y","N")</f>
        <v>Y</v>
      </c>
      <c r="G5544" s="3" t="s">
        <v>36</v>
      </c>
      <c r="H5544" s="3" t="s">
        <v>37</v>
      </c>
      <c r="I5544" s="4" t="n">
        <v>17</v>
      </c>
      <c r="J5544" s="4" t="n">
        <f aca="false">LEN(E5544)-LEN(SUBSTITUTE(E5544,",",""))+1</f>
        <v>7</v>
      </c>
      <c r="K5544" s="3" t="str">
        <f aca="false">IFERROR(INDEX('Teacher Lookup'!$B$2:$B$200,MATCH(A5544,'Teacher Lookup'!$A$2:$A$200,0)),"")</f>
        <v>CHAK Jerry</v>
      </c>
    </row>
    <row r="5545" customFormat="false" ht="15" hidden="false" customHeight="false" outlineLevel="0" collapsed="false">
      <c r="A5545" s="3" t="s">
        <v>450</v>
      </c>
      <c r="B5545" s="4" t="s">
        <v>44</v>
      </c>
      <c r="C5545" s="4" t="n">
        <v>5</v>
      </c>
      <c r="D5545" s="4" t="s">
        <v>23</v>
      </c>
      <c r="E5545" s="3" t="s">
        <v>35</v>
      </c>
      <c r="F5545" s="4" t="str">
        <f aca="false">IF(I5545&gt;J5545,"Y","N")</f>
        <v>Y</v>
      </c>
      <c r="G5545" s="3" t="s">
        <v>36</v>
      </c>
      <c r="H5545" s="3" t="s">
        <v>37</v>
      </c>
      <c r="I5545" s="4" t="n">
        <v>17</v>
      </c>
      <c r="J5545" s="4" t="n">
        <f aca="false">LEN(E5545)-LEN(SUBSTITUTE(E5545,",",""))+1</f>
        <v>7</v>
      </c>
      <c r="K5545" s="3" t="str">
        <f aca="false">IFERROR(INDEX('Teacher Lookup'!$B$2:$B$200,MATCH(A5545,'Teacher Lookup'!$A$2:$A$200,0)),"")</f>
        <v>CHAK Jerry</v>
      </c>
    </row>
    <row r="5546" customFormat="false" ht="15" hidden="false" customHeight="false" outlineLevel="0" collapsed="false">
      <c r="A5546" s="3" t="s">
        <v>450</v>
      </c>
      <c r="B5546" s="4" t="s">
        <v>44</v>
      </c>
      <c r="C5546" s="4" t="n">
        <v>5</v>
      </c>
      <c r="D5546" s="4" t="s">
        <v>13</v>
      </c>
      <c r="E5546" s="3" t="s">
        <v>35</v>
      </c>
      <c r="F5546" s="4" t="str">
        <f aca="false">IF(I5546&gt;J5546,"Y","N")</f>
        <v>Y</v>
      </c>
      <c r="G5546" s="3" t="s">
        <v>36</v>
      </c>
      <c r="H5546" s="3" t="s">
        <v>37</v>
      </c>
      <c r="I5546" s="4" t="n">
        <v>17</v>
      </c>
      <c r="J5546" s="4" t="n">
        <f aca="false">LEN(E5546)-LEN(SUBSTITUTE(E5546,",",""))+1</f>
        <v>7</v>
      </c>
      <c r="K5546" s="3" t="str">
        <f aca="false">IFERROR(INDEX('Teacher Lookup'!$B$2:$B$200,MATCH(A5546,'Teacher Lookup'!$A$2:$A$200,0)),"")</f>
        <v>CHAK Jerry</v>
      </c>
    </row>
    <row r="5547" customFormat="false" ht="15" hidden="false" customHeight="false" outlineLevel="0" collapsed="false">
      <c r="A5547" s="3" t="s">
        <v>450</v>
      </c>
      <c r="B5547" s="4" t="s">
        <v>44</v>
      </c>
      <c r="C5547" s="4" t="n">
        <v>5</v>
      </c>
      <c r="D5547" s="4" t="s">
        <v>17</v>
      </c>
      <c r="E5547" s="3" t="s">
        <v>35</v>
      </c>
      <c r="F5547" s="4" t="str">
        <f aca="false">IF(I5547&gt;J5547,"Y","N")</f>
        <v>Y</v>
      </c>
      <c r="G5547" s="3" t="s">
        <v>36</v>
      </c>
      <c r="H5547" s="3" t="s">
        <v>37</v>
      </c>
      <c r="I5547" s="4" t="n">
        <v>17</v>
      </c>
      <c r="J5547" s="4" t="n">
        <f aca="false">LEN(E5547)-LEN(SUBSTITUTE(E5547,",",""))+1</f>
        <v>7</v>
      </c>
      <c r="K5547" s="3" t="str">
        <f aca="false">IFERROR(INDEX('Teacher Lookup'!$B$2:$B$200,MATCH(A5547,'Teacher Lookup'!$A$2:$A$200,0)),"")</f>
        <v>CHAK Jerry</v>
      </c>
    </row>
    <row r="5548" customFormat="false" ht="15" hidden="false" customHeight="false" outlineLevel="0" collapsed="false">
      <c r="A5548" s="3" t="s">
        <v>450</v>
      </c>
      <c r="B5548" s="4" t="s">
        <v>44</v>
      </c>
      <c r="C5548" s="4" t="n">
        <v>5</v>
      </c>
      <c r="D5548" s="4" t="s">
        <v>18</v>
      </c>
      <c r="E5548" s="3" t="s">
        <v>35</v>
      </c>
      <c r="F5548" s="4" t="str">
        <f aca="false">IF(I5548&gt;J5548,"Y","N")</f>
        <v>Y</v>
      </c>
      <c r="G5548" s="3" t="s">
        <v>36</v>
      </c>
      <c r="H5548" s="3" t="s">
        <v>37</v>
      </c>
      <c r="I5548" s="4" t="n">
        <v>17</v>
      </c>
      <c r="J5548" s="4" t="n">
        <f aca="false">LEN(E5548)-LEN(SUBSTITUTE(E5548,",",""))+1</f>
        <v>7</v>
      </c>
      <c r="K5548" s="3" t="str">
        <f aca="false">IFERROR(INDEX('Teacher Lookup'!$B$2:$B$200,MATCH(A5548,'Teacher Lookup'!$A$2:$A$200,0)),"")</f>
        <v>CHAK Jerry</v>
      </c>
    </row>
    <row r="5549" customFormat="false" ht="15" hidden="false" customHeight="false" outlineLevel="0" collapsed="false">
      <c r="A5549" s="3" t="s">
        <v>450</v>
      </c>
      <c r="B5549" s="4" t="s">
        <v>44</v>
      </c>
      <c r="C5549" s="4" t="n">
        <v>7</v>
      </c>
      <c r="D5549" s="4" t="s">
        <v>76</v>
      </c>
      <c r="E5549" s="3" t="s">
        <v>113</v>
      </c>
      <c r="F5549" s="4" t="str">
        <f aca="false">IF(I5549&gt;J5549,"Y","N")</f>
        <v>N</v>
      </c>
      <c r="G5549" s="3" t="s">
        <v>285</v>
      </c>
      <c r="H5549" s="3" t="s">
        <v>39</v>
      </c>
      <c r="I5549" s="4" t="n">
        <v>1</v>
      </c>
      <c r="J5549" s="4" t="n">
        <f aca="false">LEN(E5549)-LEN(SUBSTITUTE(E5549,",",""))+1</f>
        <v>1</v>
      </c>
      <c r="K5549" s="3" t="str">
        <f aca="false">IFERROR(INDEX('Teacher Lookup'!$B$2:$B$200,MATCH(A5549,'Teacher Lookup'!$A$2:$A$200,0)),"")</f>
        <v>CHAK Jerry</v>
      </c>
    </row>
    <row r="5550" customFormat="false" ht="15" hidden="false" customHeight="false" outlineLevel="0" collapsed="false">
      <c r="A5550" s="3" t="s">
        <v>450</v>
      </c>
      <c r="B5550" s="4" t="s">
        <v>47</v>
      </c>
      <c r="C5550" s="4" t="n">
        <v>1</v>
      </c>
      <c r="D5550" s="4" t="s">
        <v>56</v>
      </c>
      <c r="E5550" s="3" t="s">
        <v>452</v>
      </c>
      <c r="F5550" s="4" t="str">
        <f aca="false">IF(I5550&gt;J5550,"Y","N")</f>
        <v>N</v>
      </c>
      <c r="G5550" s="3" t="s">
        <v>287</v>
      </c>
      <c r="H5550" s="3" t="s">
        <v>16</v>
      </c>
      <c r="I5550" s="4" t="n">
        <v>1</v>
      </c>
      <c r="J5550" s="4" t="n">
        <f aca="false">LEN(E5550)-LEN(SUBSTITUTE(E5550,",",""))+1</f>
        <v>1</v>
      </c>
      <c r="K5550" s="3" t="str">
        <f aca="false">IFERROR(INDEX('Teacher Lookup'!$B$2:$B$200,MATCH(A5550,'Teacher Lookup'!$A$2:$A$200,0)),"")</f>
        <v>CHAK Jerry</v>
      </c>
    </row>
    <row r="5551" customFormat="false" ht="15" hidden="false" customHeight="false" outlineLevel="0" collapsed="false">
      <c r="A5551" s="3" t="s">
        <v>450</v>
      </c>
      <c r="B5551" s="4" t="s">
        <v>47</v>
      </c>
      <c r="C5551" s="4" t="n">
        <v>2</v>
      </c>
      <c r="D5551" s="4" t="s">
        <v>74</v>
      </c>
      <c r="E5551" s="3" t="s">
        <v>316</v>
      </c>
      <c r="F5551" s="4" t="str">
        <f aca="false">IF(I5551&gt;J5551,"Y","N")</f>
        <v>N</v>
      </c>
      <c r="G5551" s="3" t="s">
        <v>285</v>
      </c>
      <c r="H5551" s="3" t="s">
        <v>21</v>
      </c>
      <c r="I5551" s="4" t="n">
        <v>1</v>
      </c>
      <c r="J5551" s="4" t="n">
        <f aca="false">LEN(E5551)-LEN(SUBSTITUTE(E5551,",",""))+1</f>
        <v>1</v>
      </c>
      <c r="K5551" s="3" t="str">
        <f aca="false">IFERROR(INDEX('Teacher Lookup'!$B$2:$B$200,MATCH(A5551,'Teacher Lookup'!$A$2:$A$200,0)),"")</f>
        <v>CHAK Jerry</v>
      </c>
    </row>
    <row r="5552" customFormat="false" ht="15" hidden="false" customHeight="false" outlineLevel="0" collapsed="false">
      <c r="A5552" s="3" t="s">
        <v>450</v>
      </c>
      <c r="B5552" s="4" t="s">
        <v>47</v>
      </c>
      <c r="C5552" s="4" t="n">
        <v>3</v>
      </c>
      <c r="D5552" s="4" t="s">
        <v>76</v>
      </c>
      <c r="E5552" s="3" t="s">
        <v>113</v>
      </c>
      <c r="F5552" s="4" t="str">
        <f aca="false">IF(I5552&gt;J5552,"Y","N")</f>
        <v>N</v>
      </c>
      <c r="G5552" s="3" t="s">
        <v>285</v>
      </c>
      <c r="H5552" s="3" t="s">
        <v>26</v>
      </c>
      <c r="I5552" s="4" t="n">
        <v>1</v>
      </c>
      <c r="J5552" s="4" t="n">
        <f aca="false">LEN(E5552)-LEN(SUBSTITUTE(E5552,",",""))+1</f>
        <v>1</v>
      </c>
      <c r="K5552" s="3" t="str">
        <f aca="false">IFERROR(INDEX('Teacher Lookup'!$B$2:$B$200,MATCH(A5552,'Teacher Lookup'!$A$2:$A$200,0)),"")</f>
        <v>CHAK Jerry</v>
      </c>
    </row>
    <row r="5553" customFormat="false" ht="15" hidden="false" customHeight="false" outlineLevel="0" collapsed="false">
      <c r="A5553" s="3" t="s">
        <v>450</v>
      </c>
      <c r="B5553" s="4" t="s">
        <v>47</v>
      </c>
      <c r="C5553" s="4" t="n">
        <v>5</v>
      </c>
      <c r="D5553" s="4" t="s">
        <v>55</v>
      </c>
      <c r="E5553" s="3" t="s">
        <v>453</v>
      </c>
      <c r="F5553" s="4" t="str">
        <f aca="false">IF(I5553&gt;J5553,"Y","N")</f>
        <v>N</v>
      </c>
      <c r="G5553" s="3" t="s">
        <v>287</v>
      </c>
      <c r="H5553" s="3" t="s">
        <v>37</v>
      </c>
      <c r="I5553" s="4" t="n">
        <v>1</v>
      </c>
      <c r="J5553" s="4" t="n">
        <f aca="false">LEN(E5553)-LEN(SUBSTITUTE(E5553,",",""))+1</f>
        <v>1</v>
      </c>
      <c r="K5553" s="3" t="str">
        <f aca="false">IFERROR(INDEX('Teacher Lookup'!$B$2:$B$200,MATCH(A5553,'Teacher Lookup'!$A$2:$A$200,0)),"")</f>
        <v>CHAK Jerry</v>
      </c>
    </row>
    <row r="5554" customFormat="false" ht="15" hidden="false" customHeight="false" outlineLevel="0" collapsed="false">
      <c r="A5554" s="3" t="s">
        <v>450</v>
      </c>
      <c r="B5554" s="4" t="s">
        <v>50</v>
      </c>
      <c r="C5554" s="4" t="n">
        <v>5</v>
      </c>
      <c r="D5554" s="4" t="s">
        <v>79</v>
      </c>
      <c r="E5554" s="3" t="s">
        <v>234</v>
      </c>
      <c r="F5554" s="4" t="str">
        <f aca="false">IF(I5554&gt;J5554,"Y","N")</f>
        <v>N</v>
      </c>
      <c r="G5554" s="3" t="s">
        <v>285</v>
      </c>
      <c r="H5554" s="3" t="s">
        <v>37</v>
      </c>
      <c r="I5554" s="4" t="n">
        <v>1</v>
      </c>
      <c r="J5554" s="4" t="n">
        <f aca="false">LEN(E5554)-LEN(SUBSTITUTE(E5554,",",""))+1</f>
        <v>1</v>
      </c>
      <c r="K5554" s="3" t="str">
        <f aca="false">IFERROR(INDEX('Teacher Lookup'!$B$2:$B$200,MATCH(A5554,'Teacher Lookup'!$A$2:$A$200,0)),"")</f>
        <v>CHAK Jerry</v>
      </c>
    </row>
    <row r="5555" customFormat="false" ht="15" hidden="false" customHeight="false" outlineLevel="0" collapsed="false">
      <c r="A5555" s="3" t="s">
        <v>450</v>
      </c>
      <c r="B5555" s="4" t="s">
        <v>50</v>
      </c>
      <c r="C5555" s="4" t="n">
        <v>6</v>
      </c>
      <c r="D5555" s="4" t="s">
        <v>74</v>
      </c>
      <c r="E5555" s="3" t="s">
        <v>316</v>
      </c>
      <c r="F5555" s="4" t="str">
        <f aca="false">IF(I5555&gt;J5555,"Y","N")</f>
        <v>N</v>
      </c>
      <c r="G5555" s="3" t="s">
        <v>285</v>
      </c>
      <c r="H5555" s="3" t="s">
        <v>42</v>
      </c>
      <c r="I5555" s="4" t="n">
        <v>1</v>
      </c>
      <c r="J5555" s="4" t="n">
        <f aca="false">LEN(E5555)-LEN(SUBSTITUTE(E5555,",",""))+1</f>
        <v>1</v>
      </c>
      <c r="K5555" s="3" t="str">
        <f aca="false">IFERROR(INDEX('Teacher Lookup'!$B$2:$B$200,MATCH(A5555,'Teacher Lookup'!$A$2:$A$200,0)),"")</f>
        <v>CHAK Jerry</v>
      </c>
    </row>
    <row r="5556" customFormat="false" ht="15" hidden="false" customHeight="false" outlineLevel="0" collapsed="false">
      <c r="A5556" s="3" t="s">
        <v>450</v>
      </c>
      <c r="B5556" s="4" t="s">
        <v>50</v>
      </c>
      <c r="C5556" s="4" t="n">
        <v>7</v>
      </c>
      <c r="D5556" s="4" t="s">
        <v>76</v>
      </c>
      <c r="E5556" s="3" t="s">
        <v>113</v>
      </c>
      <c r="F5556" s="4" t="str">
        <f aca="false">IF(I5556&gt;J5556,"Y","N")</f>
        <v>N</v>
      </c>
      <c r="G5556" s="3" t="s">
        <v>285</v>
      </c>
      <c r="H5556" s="3" t="s">
        <v>39</v>
      </c>
      <c r="I5556" s="4" t="n">
        <v>1</v>
      </c>
      <c r="J5556" s="4" t="n">
        <f aca="false">LEN(E5556)-LEN(SUBSTITUTE(E5556,",",""))+1</f>
        <v>1</v>
      </c>
      <c r="K5556" s="3" t="str">
        <f aca="false">IFERROR(INDEX('Teacher Lookup'!$B$2:$B$200,MATCH(A5556,'Teacher Lookup'!$A$2:$A$200,0)),"")</f>
        <v>CHAK Jerry</v>
      </c>
    </row>
    <row r="5557" customFormat="false" ht="15" hidden="false" customHeight="false" outlineLevel="0" collapsed="false">
      <c r="A5557" s="3" t="s">
        <v>450</v>
      </c>
      <c r="B5557" s="4" t="s">
        <v>60</v>
      </c>
      <c r="C5557" s="4" t="n">
        <v>1</v>
      </c>
      <c r="D5557" s="4" t="s">
        <v>55</v>
      </c>
      <c r="E5557" s="3" t="s">
        <v>453</v>
      </c>
      <c r="F5557" s="4" t="str">
        <f aca="false">IF(I5557&gt;J5557,"Y","N")</f>
        <v>N</v>
      </c>
      <c r="G5557" s="3" t="s">
        <v>287</v>
      </c>
      <c r="H5557" s="3" t="s">
        <v>16</v>
      </c>
      <c r="I5557" s="4" t="n">
        <v>1</v>
      </c>
      <c r="J5557" s="4" t="n">
        <f aca="false">LEN(E5557)-LEN(SUBSTITUTE(E5557,",",""))+1</f>
        <v>1</v>
      </c>
      <c r="K5557" s="3" t="str">
        <f aca="false">IFERROR(INDEX('Teacher Lookup'!$B$2:$B$200,MATCH(A5557,'Teacher Lookup'!$A$2:$A$200,0)),"")</f>
        <v>CHAK Jerry</v>
      </c>
    </row>
    <row r="5558" customFormat="false" ht="15" hidden="false" customHeight="false" outlineLevel="0" collapsed="false">
      <c r="A5558" s="3" t="s">
        <v>450</v>
      </c>
      <c r="B5558" s="4" t="s">
        <v>60</v>
      </c>
      <c r="C5558" s="4" t="n">
        <v>5</v>
      </c>
      <c r="D5558" s="4" t="s">
        <v>19</v>
      </c>
      <c r="E5558" s="3" t="s">
        <v>35</v>
      </c>
      <c r="F5558" s="4" t="str">
        <f aca="false">IF(I5558&gt;J5558,"Y","N")</f>
        <v>Y</v>
      </c>
      <c r="G5558" s="3" t="s">
        <v>36</v>
      </c>
      <c r="H5558" s="3" t="s">
        <v>37</v>
      </c>
      <c r="I5558" s="4" t="n">
        <v>17</v>
      </c>
      <c r="J5558" s="4" t="n">
        <f aca="false">LEN(E5558)-LEN(SUBSTITUTE(E5558,",",""))+1</f>
        <v>7</v>
      </c>
      <c r="K5558" s="3" t="str">
        <f aca="false">IFERROR(INDEX('Teacher Lookup'!$B$2:$B$200,MATCH(A5558,'Teacher Lookup'!$A$2:$A$200,0)),"")</f>
        <v>CHAK Jerry</v>
      </c>
    </row>
    <row r="5559" customFormat="false" ht="15" hidden="false" customHeight="false" outlineLevel="0" collapsed="false">
      <c r="A5559" s="3" t="s">
        <v>450</v>
      </c>
      <c r="B5559" s="4" t="s">
        <v>60</v>
      </c>
      <c r="C5559" s="4" t="n">
        <v>5</v>
      </c>
      <c r="D5559" s="4" t="s">
        <v>22</v>
      </c>
      <c r="E5559" s="3" t="s">
        <v>35</v>
      </c>
      <c r="F5559" s="4" t="str">
        <f aca="false">IF(I5559&gt;J5559,"Y","N")</f>
        <v>Y</v>
      </c>
      <c r="G5559" s="3" t="s">
        <v>36</v>
      </c>
      <c r="H5559" s="3" t="s">
        <v>37</v>
      </c>
      <c r="I5559" s="4" t="n">
        <v>17</v>
      </c>
      <c r="J5559" s="4" t="n">
        <f aca="false">LEN(E5559)-LEN(SUBSTITUTE(E5559,",",""))+1</f>
        <v>7</v>
      </c>
      <c r="K5559" s="3" t="str">
        <f aca="false">IFERROR(INDEX('Teacher Lookup'!$B$2:$B$200,MATCH(A5559,'Teacher Lookup'!$A$2:$A$200,0)),"")</f>
        <v>CHAK Jerry</v>
      </c>
    </row>
    <row r="5560" customFormat="false" ht="15" hidden="false" customHeight="false" outlineLevel="0" collapsed="false">
      <c r="A5560" s="3" t="s">
        <v>450</v>
      </c>
      <c r="B5560" s="4" t="s">
        <v>60</v>
      </c>
      <c r="C5560" s="4" t="n">
        <v>5</v>
      </c>
      <c r="D5560" s="4" t="s">
        <v>23</v>
      </c>
      <c r="E5560" s="3" t="s">
        <v>35</v>
      </c>
      <c r="F5560" s="4" t="str">
        <f aca="false">IF(I5560&gt;J5560,"Y","N")</f>
        <v>Y</v>
      </c>
      <c r="G5560" s="3" t="s">
        <v>36</v>
      </c>
      <c r="H5560" s="3" t="s">
        <v>37</v>
      </c>
      <c r="I5560" s="4" t="n">
        <v>17</v>
      </c>
      <c r="J5560" s="4" t="n">
        <f aca="false">LEN(E5560)-LEN(SUBSTITUTE(E5560,",",""))+1</f>
        <v>7</v>
      </c>
      <c r="K5560" s="3" t="str">
        <f aca="false">IFERROR(INDEX('Teacher Lookup'!$B$2:$B$200,MATCH(A5560,'Teacher Lookup'!$A$2:$A$200,0)),"")</f>
        <v>CHAK Jerry</v>
      </c>
    </row>
    <row r="5561" customFormat="false" ht="15" hidden="false" customHeight="false" outlineLevel="0" collapsed="false">
      <c r="A5561" s="3" t="s">
        <v>450</v>
      </c>
      <c r="B5561" s="4" t="s">
        <v>60</v>
      </c>
      <c r="C5561" s="4" t="n">
        <v>5</v>
      </c>
      <c r="D5561" s="4" t="s">
        <v>13</v>
      </c>
      <c r="E5561" s="3" t="s">
        <v>35</v>
      </c>
      <c r="F5561" s="4" t="str">
        <f aca="false">IF(I5561&gt;J5561,"Y","N")</f>
        <v>Y</v>
      </c>
      <c r="G5561" s="3" t="s">
        <v>36</v>
      </c>
      <c r="H5561" s="3" t="s">
        <v>37</v>
      </c>
      <c r="I5561" s="4" t="n">
        <v>17</v>
      </c>
      <c r="J5561" s="4" t="n">
        <f aca="false">LEN(E5561)-LEN(SUBSTITUTE(E5561,",",""))+1</f>
        <v>7</v>
      </c>
      <c r="K5561" s="3" t="str">
        <f aca="false">IFERROR(INDEX('Teacher Lookup'!$B$2:$B$200,MATCH(A5561,'Teacher Lookup'!$A$2:$A$200,0)),"")</f>
        <v>CHAK Jerry</v>
      </c>
    </row>
    <row r="5562" customFormat="false" ht="15" hidden="false" customHeight="false" outlineLevel="0" collapsed="false">
      <c r="A5562" s="3" t="s">
        <v>450</v>
      </c>
      <c r="B5562" s="4" t="s">
        <v>60</v>
      </c>
      <c r="C5562" s="4" t="n">
        <v>5</v>
      </c>
      <c r="D5562" s="4" t="s">
        <v>17</v>
      </c>
      <c r="E5562" s="3" t="s">
        <v>35</v>
      </c>
      <c r="F5562" s="4" t="str">
        <f aca="false">IF(I5562&gt;J5562,"Y","N")</f>
        <v>Y</v>
      </c>
      <c r="G5562" s="3" t="s">
        <v>36</v>
      </c>
      <c r="H5562" s="3" t="s">
        <v>37</v>
      </c>
      <c r="I5562" s="4" t="n">
        <v>17</v>
      </c>
      <c r="J5562" s="4" t="n">
        <f aca="false">LEN(E5562)-LEN(SUBSTITUTE(E5562,",",""))+1</f>
        <v>7</v>
      </c>
      <c r="K5562" s="3" t="str">
        <f aca="false">IFERROR(INDEX('Teacher Lookup'!$B$2:$B$200,MATCH(A5562,'Teacher Lookup'!$A$2:$A$200,0)),"")</f>
        <v>CHAK Jerry</v>
      </c>
    </row>
    <row r="5563" customFormat="false" ht="15" hidden="false" customHeight="false" outlineLevel="0" collapsed="false">
      <c r="A5563" s="3" t="s">
        <v>450</v>
      </c>
      <c r="B5563" s="4" t="s">
        <v>60</v>
      </c>
      <c r="C5563" s="4" t="n">
        <v>5</v>
      </c>
      <c r="D5563" s="4" t="s">
        <v>18</v>
      </c>
      <c r="E5563" s="3" t="s">
        <v>35</v>
      </c>
      <c r="F5563" s="4" t="str">
        <f aca="false">IF(I5563&gt;J5563,"Y","N")</f>
        <v>Y</v>
      </c>
      <c r="G5563" s="3" t="s">
        <v>36</v>
      </c>
      <c r="H5563" s="3" t="s">
        <v>37</v>
      </c>
      <c r="I5563" s="4" t="n">
        <v>17</v>
      </c>
      <c r="J5563" s="4" t="n">
        <f aca="false">LEN(E5563)-LEN(SUBSTITUTE(E5563,",",""))+1</f>
        <v>7</v>
      </c>
      <c r="K5563" s="3" t="str">
        <f aca="false">IFERROR(INDEX('Teacher Lookup'!$B$2:$B$200,MATCH(A5563,'Teacher Lookup'!$A$2:$A$200,0)),"")</f>
        <v>CHAK Jerry</v>
      </c>
    </row>
    <row r="5564" customFormat="false" ht="15" hidden="false" customHeight="false" outlineLevel="0" collapsed="false">
      <c r="A5564" s="3" t="s">
        <v>450</v>
      </c>
      <c r="B5564" s="4" t="s">
        <v>63</v>
      </c>
      <c r="C5564" s="4" t="n">
        <v>3</v>
      </c>
      <c r="D5564" s="4" t="s">
        <v>58</v>
      </c>
      <c r="E5564" s="3" t="s">
        <v>451</v>
      </c>
      <c r="F5564" s="4" t="str">
        <f aca="false">IF(I5564&gt;J5564,"Y","N")</f>
        <v>N</v>
      </c>
      <c r="G5564" s="3" t="s">
        <v>287</v>
      </c>
      <c r="H5564" s="3" t="s">
        <v>26</v>
      </c>
      <c r="I5564" s="4" t="n">
        <v>1</v>
      </c>
      <c r="J5564" s="4" t="n">
        <f aca="false">LEN(E5564)-LEN(SUBSTITUTE(E5564,",",""))+1</f>
        <v>1</v>
      </c>
      <c r="K5564" s="3" t="str">
        <f aca="false">IFERROR(INDEX('Teacher Lookup'!$B$2:$B$200,MATCH(A5564,'Teacher Lookup'!$A$2:$A$200,0)),"")</f>
        <v>CHAK Jerry</v>
      </c>
    </row>
    <row r="5565" customFormat="false" ht="15" hidden="false" customHeight="false" outlineLevel="0" collapsed="false">
      <c r="A5565" s="3" t="s">
        <v>450</v>
      </c>
      <c r="B5565" s="4" t="s">
        <v>63</v>
      </c>
      <c r="C5565" s="4" t="n">
        <v>4</v>
      </c>
      <c r="D5565" s="4" t="s">
        <v>56</v>
      </c>
      <c r="E5565" s="3" t="s">
        <v>452</v>
      </c>
      <c r="F5565" s="4" t="str">
        <f aca="false">IF(I5565&gt;J5565,"Y","N")</f>
        <v>N</v>
      </c>
      <c r="G5565" s="3" t="s">
        <v>287</v>
      </c>
      <c r="H5565" s="3" t="s">
        <v>34</v>
      </c>
      <c r="I5565" s="4" t="n">
        <v>1</v>
      </c>
      <c r="J5565" s="4" t="n">
        <f aca="false">LEN(E5565)-LEN(SUBSTITUTE(E5565,",",""))+1</f>
        <v>1</v>
      </c>
      <c r="K5565" s="3" t="str">
        <f aca="false">IFERROR(INDEX('Teacher Lookup'!$B$2:$B$200,MATCH(A5565,'Teacher Lookup'!$A$2:$A$200,0)),"")</f>
        <v>CHAK Jerry</v>
      </c>
    </row>
    <row r="5566" customFormat="false" ht="15" hidden="false" customHeight="false" outlineLevel="0" collapsed="false">
      <c r="A5566" s="3" t="s">
        <v>450</v>
      </c>
      <c r="B5566" s="4" t="s">
        <v>63</v>
      </c>
      <c r="C5566" s="4" t="n">
        <v>6</v>
      </c>
      <c r="D5566" s="4" t="s">
        <v>23</v>
      </c>
      <c r="E5566" s="3" t="s">
        <v>353</v>
      </c>
      <c r="F5566" s="4" t="str">
        <f aca="false">IF(I5566&gt;J5566,"Y","N")</f>
        <v>N</v>
      </c>
      <c r="G5566" s="3" t="s">
        <v>285</v>
      </c>
      <c r="H5566" s="3" t="s">
        <v>42</v>
      </c>
      <c r="I5566" s="4" t="n">
        <v>1</v>
      </c>
      <c r="J5566" s="4" t="n">
        <f aca="false">LEN(E5566)-LEN(SUBSTITUTE(E5566,",",""))+1</f>
        <v>1</v>
      </c>
      <c r="K5566" s="3" t="str">
        <f aca="false">IFERROR(INDEX('Teacher Lookup'!$B$2:$B$200,MATCH(A5566,'Teacher Lookup'!$A$2:$A$200,0)),"")</f>
        <v>CHAK Jerry</v>
      </c>
    </row>
    <row r="5567" customFormat="false" ht="15" hidden="false" customHeight="false" outlineLevel="0" collapsed="false">
      <c r="A5567" s="3" t="s">
        <v>450</v>
      </c>
      <c r="B5567" s="4" t="s">
        <v>65</v>
      </c>
      <c r="C5567" s="4" t="n">
        <v>1</v>
      </c>
      <c r="D5567" s="4" t="s">
        <v>73</v>
      </c>
      <c r="E5567" s="3" t="s">
        <v>438</v>
      </c>
      <c r="F5567" s="4" t="str">
        <f aca="false">IF(I5567&gt;J5567,"Y","N")</f>
        <v>N</v>
      </c>
      <c r="G5567" s="3" t="s">
        <v>285</v>
      </c>
      <c r="H5567" s="3" t="s">
        <v>16</v>
      </c>
      <c r="I5567" s="4" t="n">
        <v>1</v>
      </c>
      <c r="J5567" s="4" t="n">
        <f aca="false">LEN(E5567)-LEN(SUBSTITUTE(E5567,",",""))+1</f>
        <v>1</v>
      </c>
      <c r="K5567" s="3" t="str">
        <f aca="false">IFERROR(INDEX('Teacher Lookup'!$B$2:$B$200,MATCH(A5567,'Teacher Lookup'!$A$2:$A$200,0)),"")</f>
        <v>CHAK Jerry</v>
      </c>
    </row>
    <row r="5568" customFormat="false" ht="15" hidden="false" customHeight="false" outlineLevel="0" collapsed="false">
      <c r="A5568" s="3" t="s">
        <v>450</v>
      </c>
      <c r="B5568" s="4" t="s">
        <v>65</v>
      </c>
      <c r="C5568" s="4" t="n">
        <v>4</v>
      </c>
      <c r="D5568" s="4" t="s">
        <v>74</v>
      </c>
      <c r="E5568" s="3" t="s">
        <v>316</v>
      </c>
      <c r="F5568" s="4" t="str">
        <f aca="false">IF(I5568&gt;J5568,"Y","N")</f>
        <v>N</v>
      </c>
      <c r="G5568" s="3" t="s">
        <v>285</v>
      </c>
      <c r="H5568" s="3" t="s">
        <v>34</v>
      </c>
      <c r="I5568" s="4" t="n">
        <v>1</v>
      </c>
      <c r="J5568" s="4" t="n">
        <f aca="false">LEN(E5568)-LEN(SUBSTITUTE(E5568,",",""))+1</f>
        <v>1</v>
      </c>
      <c r="K5568" s="3" t="str">
        <f aca="false">IFERROR(INDEX('Teacher Lookup'!$B$2:$B$200,MATCH(A5568,'Teacher Lookup'!$A$2:$A$200,0)),"")</f>
        <v>CHAK Jerry</v>
      </c>
    </row>
    <row r="5569" customFormat="false" ht="15" hidden="false" customHeight="false" outlineLevel="0" collapsed="false">
      <c r="A5569" s="3" t="s">
        <v>450</v>
      </c>
      <c r="B5569" s="4" t="s">
        <v>65</v>
      </c>
      <c r="C5569" s="4" t="n">
        <v>5</v>
      </c>
      <c r="D5569" s="4" t="s">
        <v>19</v>
      </c>
      <c r="E5569" s="3" t="s">
        <v>35</v>
      </c>
      <c r="F5569" s="4" t="str">
        <f aca="false">IF(I5569&gt;J5569,"Y","N")</f>
        <v>Y</v>
      </c>
      <c r="G5569" s="3" t="s">
        <v>36</v>
      </c>
      <c r="H5569" s="3" t="s">
        <v>37</v>
      </c>
      <c r="I5569" s="4" t="n">
        <v>17</v>
      </c>
      <c r="J5569" s="4" t="n">
        <f aca="false">LEN(E5569)-LEN(SUBSTITUTE(E5569,",",""))+1</f>
        <v>7</v>
      </c>
      <c r="K5569" s="3" t="str">
        <f aca="false">IFERROR(INDEX('Teacher Lookup'!$B$2:$B$200,MATCH(A5569,'Teacher Lookup'!$A$2:$A$200,0)),"")</f>
        <v>CHAK Jerry</v>
      </c>
    </row>
    <row r="5570" customFormat="false" ht="15" hidden="false" customHeight="false" outlineLevel="0" collapsed="false">
      <c r="A5570" s="3" t="s">
        <v>450</v>
      </c>
      <c r="B5570" s="4" t="s">
        <v>65</v>
      </c>
      <c r="C5570" s="4" t="n">
        <v>5</v>
      </c>
      <c r="D5570" s="4" t="s">
        <v>22</v>
      </c>
      <c r="E5570" s="3" t="s">
        <v>35</v>
      </c>
      <c r="F5570" s="4" t="str">
        <f aca="false">IF(I5570&gt;J5570,"Y","N")</f>
        <v>Y</v>
      </c>
      <c r="G5570" s="3" t="s">
        <v>36</v>
      </c>
      <c r="H5570" s="3" t="s">
        <v>37</v>
      </c>
      <c r="I5570" s="4" t="n">
        <v>17</v>
      </c>
      <c r="J5570" s="4" t="n">
        <f aca="false">LEN(E5570)-LEN(SUBSTITUTE(E5570,",",""))+1</f>
        <v>7</v>
      </c>
      <c r="K5570" s="3" t="str">
        <f aca="false">IFERROR(INDEX('Teacher Lookup'!$B$2:$B$200,MATCH(A5570,'Teacher Lookup'!$A$2:$A$200,0)),"")</f>
        <v>CHAK Jerry</v>
      </c>
    </row>
    <row r="5571" customFormat="false" ht="15" hidden="false" customHeight="false" outlineLevel="0" collapsed="false">
      <c r="A5571" s="3" t="s">
        <v>450</v>
      </c>
      <c r="B5571" s="4" t="s">
        <v>65</v>
      </c>
      <c r="C5571" s="4" t="n">
        <v>5</v>
      </c>
      <c r="D5571" s="4" t="s">
        <v>23</v>
      </c>
      <c r="E5571" s="3" t="s">
        <v>35</v>
      </c>
      <c r="F5571" s="4" t="str">
        <f aca="false">IF(I5571&gt;J5571,"Y","N")</f>
        <v>Y</v>
      </c>
      <c r="G5571" s="3" t="s">
        <v>36</v>
      </c>
      <c r="H5571" s="3" t="s">
        <v>37</v>
      </c>
      <c r="I5571" s="4" t="n">
        <v>17</v>
      </c>
      <c r="J5571" s="4" t="n">
        <f aca="false">LEN(E5571)-LEN(SUBSTITUTE(E5571,",",""))+1</f>
        <v>7</v>
      </c>
      <c r="K5571" s="3" t="str">
        <f aca="false">IFERROR(INDEX('Teacher Lookup'!$B$2:$B$200,MATCH(A5571,'Teacher Lookup'!$A$2:$A$200,0)),"")</f>
        <v>CHAK Jerry</v>
      </c>
    </row>
    <row r="5572" customFormat="false" ht="15" hidden="false" customHeight="false" outlineLevel="0" collapsed="false">
      <c r="A5572" s="3" t="s">
        <v>450</v>
      </c>
      <c r="B5572" s="4" t="s">
        <v>65</v>
      </c>
      <c r="C5572" s="4" t="n">
        <v>5</v>
      </c>
      <c r="D5572" s="4" t="s">
        <v>13</v>
      </c>
      <c r="E5572" s="3" t="s">
        <v>35</v>
      </c>
      <c r="F5572" s="4" t="str">
        <f aca="false">IF(I5572&gt;J5572,"Y","N")</f>
        <v>Y</v>
      </c>
      <c r="G5572" s="3" t="s">
        <v>36</v>
      </c>
      <c r="H5572" s="3" t="s">
        <v>37</v>
      </c>
      <c r="I5572" s="4" t="n">
        <v>17</v>
      </c>
      <c r="J5572" s="4" t="n">
        <f aca="false">LEN(E5572)-LEN(SUBSTITUTE(E5572,",",""))+1</f>
        <v>7</v>
      </c>
      <c r="K5572" s="3" t="str">
        <f aca="false">IFERROR(INDEX('Teacher Lookup'!$B$2:$B$200,MATCH(A5572,'Teacher Lookup'!$A$2:$A$200,0)),"")</f>
        <v>CHAK Jerry</v>
      </c>
    </row>
    <row r="5573" customFormat="false" ht="15" hidden="false" customHeight="false" outlineLevel="0" collapsed="false">
      <c r="A5573" s="3" t="s">
        <v>450</v>
      </c>
      <c r="B5573" s="4" t="s">
        <v>65</v>
      </c>
      <c r="C5573" s="4" t="n">
        <v>5</v>
      </c>
      <c r="D5573" s="4" t="s">
        <v>17</v>
      </c>
      <c r="E5573" s="3" t="s">
        <v>35</v>
      </c>
      <c r="F5573" s="4" t="str">
        <f aca="false">IF(I5573&gt;J5573,"Y","N")</f>
        <v>Y</v>
      </c>
      <c r="G5573" s="3" t="s">
        <v>36</v>
      </c>
      <c r="H5573" s="3" t="s">
        <v>37</v>
      </c>
      <c r="I5573" s="4" t="n">
        <v>17</v>
      </c>
      <c r="J5573" s="4" t="n">
        <f aca="false">LEN(E5573)-LEN(SUBSTITUTE(E5573,",",""))+1</f>
        <v>7</v>
      </c>
      <c r="K5573" s="3" t="str">
        <f aca="false">IFERROR(INDEX('Teacher Lookup'!$B$2:$B$200,MATCH(A5573,'Teacher Lookup'!$A$2:$A$200,0)),"")</f>
        <v>CHAK Jerry</v>
      </c>
    </row>
    <row r="5574" customFormat="false" ht="15" hidden="false" customHeight="false" outlineLevel="0" collapsed="false">
      <c r="A5574" s="3" t="s">
        <v>450</v>
      </c>
      <c r="B5574" s="4" t="s">
        <v>65</v>
      </c>
      <c r="C5574" s="4" t="n">
        <v>5</v>
      </c>
      <c r="D5574" s="4" t="s">
        <v>18</v>
      </c>
      <c r="E5574" s="3" t="s">
        <v>35</v>
      </c>
      <c r="F5574" s="4" t="str">
        <f aca="false">IF(I5574&gt;J5574,"Y","N")</f>
        <v>Y</v>
      </c>
      <c r="G5574" s="3" t="s">
        <v>36</v>
      </c>
      <c r="H5574" s="3" t="s">
        <v>37</v>
      </c>
      <c r="I5574" s="4" t="n">
        <v>17</v>
      </c>
      <c r="J5574" s="4" t="n">
        <f aca="false">LEN(E5574)-LEN(SUBSTITUTE(E5574,",",""))+1</f>
        <v>7</v>
      </c>
      <c r="K5574" s="3" t="str">
        <f aca="false">IFERROR(INDEX('Teacher Lookup'!$B$2:$B$200,MATCH(A5574,'Teacher Lookup'!$A$2:$A$200,0)),"")</f>
        <v>CHAK Jerry</v>
      </c>
    </row>
    <row r="5575" customFormat="false" ht="15" hidden="false" customHeight="false" outlineLevel="0" collapsed="false">
      <c r="A5575" s="3" t="s">
        <v>450</v>
      </c>
      <c r="B5575" s="4" t="s">
        <v>65</v>
      </c>
      <c r="C5575" s="4" t="n">
        <v>7</v>
      </c>
      <c r="D5575" s="4" t="s">
        <v>18</v>
      </c>
      <c r="E5575" s="3" t="s">
        <v>349</v>
      </c>
      <c r="F5575" s="4" t="str">
        <f aca="false">IF(I5575&gt;J5575,"Y","N")</f>
        <v>N</v>
      </c>
      <c r="G5575" s="3" t="s">
        <v>285</v>
      </c>
      <c r="H5575" s="3" t="s">
        <v>39</v>
      </c>
      <c r="I5575" s="4" t="n">
        <v>1</v>
      </c>
      <c r="J5575" s="4" t="n">
        <f aca="false">LEN(E5575)-LEN(SUBSTITUTE(E5575,",",""))+1</f>
        <v>1</v>
      </c>
      <c r="K5575" s="3" t="str">
        <f aca="false">IFERROR(INDEX('Teacher Lookup'!$B$2:$B$200,MATCH(A5575,'Teacher Lookup'!$A$2:$A$200,0)),"")</f>
        <v>CHAK Jerry</v>
      </c>
    </row>
    <row r="5576" customFormat="false" ht="15" hidden="false" customHeight="false" outlineLevel="0" collapsed="false">
      <c r="A5576" s="3" t="s">
        <v>450</v>
      </c>
      <c r="B5576" s="4" t="s">
        <v>66</v>
      </c>
      <c r="C5576" s="4" t="n">
        <v>2</v>
      </c>
      <c r="D5576" s="4" t="s">
        <v>58</v>
      </c>
      <c r="E5576" s="3" t="s">
        <v>451</v>
      </c>
      <c r="F5576" s="4" t="str">
        <f aca="false">IF(I5576&gt;J5576,"Y","N")</f>
        <v>N</v>
      </c>
      <c r="G5576" s="3" t="s">
        <v>287</v>
      </c>
      <c r="H5576" s="3" t="s">
        <v>21</v>
      </c>
      <c r="I5576" s="4" t="n">
        <v>1</v>
      </c>
      <c r="J5576" s="4" t="n">
        <f aca="false">LEN(E5576)-LEN(SUBSTITUTE(E5576,",",""))+1</f>
        <v>1</v>
      </c>
      <c r="K5576" s="3" t="str">
        <f aca="false">IFERROR(INDEX('Teacher Lookup'!$B$2:$B$200,MATCH(A5576,'Teacher Lookup'!$A$2:$A$200,0)),"")</f>
        <v>CHAK Jerry</v>
      </c>
    </row>
    <row r="5577" customFormat="false" ht="15" hidden="false" customHeight="false" outlineLevel="0" collapsed="false">
      <c r="A5577" s="3" t="s">
        <v>450</v>
      </c>
      <c r="B5577" s="4" t="s">
        <v>66</v>
      </c>
      <c r="C5577" s="4" t="n">
        <v>3</v>
      </c>
      <c r="D5577" s="4" t="s">
        <v>18</v>
      </c>
      <c r="E5577" s="3" t="s">
        <v>349</v>
      </c>
      <c r="F5577" s="4" t="str">
        <f aca="false">IF(I5577&gt;J5577,"Y","N")</f>
        <v>N</v>
      </c>
      <c r="G5577" s="3" t="s">
        <v>285</v>
      </c>
      <c r="H5577" s="3" t="s">
        <v>26</v>
      </c>
      <c r="I5577" s="4" t="n">
        <v>1</v>
      </c>
      <c r="J5577" s="4" t="n">
        <f aca="false">LEN(E5577)-LEN(SUBSTITUTE(E5577,",",""))+1</f>
        <v>1</v>
      </c>
      <c r="K5577" s="3" t="str">
        <f aca="false">IFERROR(INDEX('Teacher Lookup'!$B$2:$B$200,MATCH(A5577,'Teacher Lookup'!$A$2:$A$200,0)),"")</f>
        <v>CHAK Jerry</v>
      </c>
    </row>
    <row r="5578" customFormat="false" ht="15" hidden="false" customHeight="false" outlineLevel="0" collapsed="false">
      <c r="A5578" s="3" t="s">
        <v>450</v>
      </c>
      <c r="B5578" s="4" t="s">
        <v>66</v>
      </c>
      <c r="C5578" s="4" t="n">
        <v>4</v>
      </c>
      <c r="D5578" s="4" t="s">
        <v>56</v>
      </c>
      <c r="E5578" s="3" t="s">
        <v>452</v>
      </c>
      <c r="F5578" s="4" t="str">
        <f aca="false">IF(I5578&gt;J5578,"Y","N")</f>
        <v>N</v>
      </c>
      <c r="G5578" s="3" t="s">
        <v>287</v>
      </c>
      <c r="H5578" s="3" t="s">
        <v>34</v>
      </c>
      <c r="I5578" s="4" t="n">
        <v>1</v>
      </c>
      <c r="J5578" s="4" t="n">
        <f aca="false">LEN(E5578)-LEN(SUBSTITUTE(E5578,",",""))+1</f>
        <v>1</v>
      </c>
      <c r="K5578" s="3" t="str">
        <f aca="false">IFERROR(INDEX('Teacher Lookup'!$B$2:$B$200,MATCH(A5578,'Teacher Lookup'!$A$2:$A$200,0)),"")</f>
        <v>CHAK Jerry</v>
      </c>
    </row>
    <row r="5579" customFormat="false" ht="15" hidden="false" customHeight="false" outlineLevel="0" collapsed="false">
      <c r="A5579" s="3" t="s">
        <v>450</v>
      </c>
      <c r="B5579" s="4" t="s">
        <v>66</v>
      </c>
      <c r="C5579" s="4" t="n">
        <v>7</v>
      </c>
      <c r="D5579" s="4" t="s">
        <v>55</v>
      </c>
      <c r="E5579" s="3" t="s">
        <v>453</v>
      </c>
      <c r="F5579" s="4" t="str">
        <f aca="false">IF(I5579&gt;J5579,"Y","N")</f>
        <v>N</v>
      </c>
      <c r="G5579" s="3" t="s">
        <v>287</v>
      </c>
      <c r="H5579" s="3" t="s">
        <v>39</v>
      </c>
      <c r="I5579" s="4" t="n">
        <v>1</v>
      </c>
      <c r="J5579" s="4" t="n">
        <f aca="false">LEN(E5579)-LEN(SUBSTITUTE(E5579,",",""))+1</f>
        <v>1</v>
      </c>
      <c r="K5579" s="3" t="str">
        <f aca="false">IFERROR(INDEX('Teacher Lookup'!$B$2:$B$200,MATCH(A5579,'Teacher Lookup'!$A$2:$A$200,0)),"")</f>
        <v>CHAK Jerry</v>
      </c>
    </row>
    <row r="5580" customFormat="false" ht="15" hidden="false" customHeight="false" outlineLevel="0" collapsed="false">
      <c r="A5580" s="3" t="s">
        <v>454</v>
      </c>
      <c r="B5580" s="4" t="s">
        <v>12</v>
      </c>
      <c r="C5580" s="4" t="n">
        <v>4</v>
      </c>
      <c r="D5580" s="4" t="s">
        <v>19</v>
      </c>
      <c r="E5580" s="3" t="s">
        <v>390</v>
      </c>
      <c r="F5580" s="4" t="str">
        <f aca="false">IF(I5580&gt;J5580,"Y","N")</f>
        <v>Y</v>
      </c>
      <c r="G5580" s="3" t="s">
        <v>222</v>
      </c>
      <c r="H5580" s="3" t="s">
        <v>34</v>
      </c>
      <c r="I5580" s="4" t="n">
        <v>14</v>
      </c>
      <c r="J5580" s="4" t="n">
        <f aca="false">LEN(E5580)-LEN(SUBSTITUTE(E5580,",",""))+1</f>
        <v>7</v>
      </c>
      <c r="K5580" s="3" t="str">
        <f aca="false">IFERROR(INDEX('Teacher Lookup'!$B$2:$B$200,MATCH(A5580,'Teacher Lookup'!$A$2:$A$200,0)),"")</f>
        <v>NG Janet</v>
      </c>
    </row>
    <row r="5581" customFormat="false" ht="15" hidden="false" customHeight="false" outlineLevel="0" collapsed="false">
      <c r="A5581" s="3" t="s">
        <v>454</v>
      </c>
      <c r="B5581" s="4" t="s">
        <v>12</v>
      </c>
      <c r="C5581" s="4" t="n">
        <v>4</v>
      </c>
      <c r="D5581" s="4" t="s">
        <v>22</v>
      </c>
      <c r="E5581" s="3" t="s">
        <v>390</v>
      </c>
      <c r="F5581" s="4" t="str">
        <f aca="false">IF(I5581&gt;J5581,"Y","N")</f>
        <v>Y</v>
      </c>
      <c r="G5581" s="3" t="s">
        <v>222</v>
      </c>
      <c r="H5581" s="3" t="s">
        <v>34</v>
      </c>
      <c r="I5581" s="4" t="n">
        <v>14</v>
      </c>
      <c r="J5581" s="4" t="n">
        <f aca="false">LEN(E5581)-LEN(SUBSTITUTE(E5581,",",""))+1</f>
        <v>7</v>
      </c>
      <c r="K5581" s="3" t="str">
        <f aca="false">IFERROR(INDEX('Teacher Lookup'!$B$2:$B$200,MATCH(A5581,'Teacher Lookup'!$A$2:$A$200,0)),"")</f>
        <v>NG Janet</v>
      </c>
    </row>
    <row r="5582" customFormat="false" ht="15" hidden="false" customHeight="false" outlineLevel="0" collapsed="false">
      <c r="A5582" s="3" t="s">
        <v>454</v>
      </c>
      <c r="B5582" s="4" t="s">
        <v>12</v>
      </c>
      <c r="C5582" s="4" t="n">
        <v>4</v>
      </c>
      <c r="D5582" s="4" t="s">
        <v>23</v>
      </c>
      <c r="E5582" s="3" t="s">
        <v>390</v>
      </c>
      <c r="F5582" s="4" t="str">
        <f aca="false">IF(I5582&gt;J5582,"Y","N")</f>
        <v>Y</v>
      </c>
      <c r="G5582" s="3" t="s">
        <v>222</v>
      </c>
      <c r="H5582" s="3" t="s">
        <v>34</v>
      </c>
      <c r="I5582" s="4" t="n">
        <v>14</v>
      </c>
      <c r="J5582" s="4" t="n">
        <f aca="false">LEN(E5582)-LEN(SUBSTITUTE(E5582,",",""))+1</f>
        <v>7</v>
      </c>
      <c r="K5582" s="3" t="str">
        <f aca="false">IFERROR(INDEX('Teacher Lookup'!$B$2:$B$200,MATCH(A5582,'Teacher Lookup'!$A$2:$A$200,0)),"")</f>
        <v>NG Janet</v>
      </c>
    </row>
    <row r="5583" customFormat="false" ht="15" hidden="false" customHeight="false" outlineLevel="0" collapsed="false">
      <c r="A5583" s="3" t="s">
        <v>454</v>
      </c>
      <c r="B5583" s="4" t="s">
        <v>12</v>
      </c>
      <c r="C5583" s="4" t="n">
        <v>4</v>
      </c>
      <c r="D5583" s="4" t="s">
        <v>13</v>
      </c>
      <c r="E5583" s="3" t="s">
        <v>390</v>
      </c>
      <c r="F5583" s="4" t="str">
        <f aca="false">IF(I5583&gt;J5583,"Y","N")</f>
        <v>Y</v>
      </c>
      <c r="G5583" s="3" t="s">
        <v>222</v>
      </c>
      <c r="H5583" s="3" t="s">
        <v>34</v>
      </c>
      <c r="I5583" s="4" t="n">
        <v>14</v>
      </c>
      <c r="J5583" s="4" t="n">
        <f aca="false">LEN(E5583)-LEN(SUBSTITUTE(E5583,",",""))+1</f>
        <v>7</v>
      </c>
      <c r="K5583" s="3" t="str">
        <f aca="false">IFERROR(INDEX('Teacher Lookup'!$B$2:$B$200,MATCH(A5583,'Teacher Lookup'!$A$2:$A$200,0)),"")</f>
        <v>NG Janet</v>
      </c>
    </row>
    <row r="5584" customFormat="false" ht="15" hidden="false" customHeight="false" outlineLevel="0" collapsed="false">
      <c r="A5584" s="3" t="s">
        <v>454</v>
      </c>
      <c r="B5584" s="4" t="s">
        <v>12</v>
      </c>
      <c r="C5584" s="4" t="n">
        <v>4</v>
      </c>
      <c r="D5584" s="4" t="s">
        <v>17</v>
      </c>
      <c r="E5584" s="3" t="s">
        <v>390</v>
      </c>
      <c r="F5584" s="4" t="str">
        <f aca="false">IF(I5584&gt;J5584,"Y","N")</f>
        <v>Y</v>
      </c>
      <c r="G5584" s="3" t="s">
        <v>222</v>
      </c>
      <c r="H5584" s="3" t="s">
        <v>34</v>
      </c>
      <c r="I5584" s="4" t="n">
        <v>14</v>
      </c>
      <c r="J5584" s="4" t="n">
        <f aca="false">LEN(E5584)-LEN(SUBSTITUTE(E5584,",",""))+1</f>
        <v>7</v>
      </c>
      <c r="K5584" s="3" t="str">
        <f aca="false">IFERROR(INDEX('Teacher Lookup'!$B$2:$B$200,MATCH(A5584,'Teacher Lookup'!$A$2:$A$200,0)),"")</f>
        <v>NG Janet</v>
      </c>
    </row>
    <row r="5585" customFormat="false" ht="15" hidden="false" customHeight="false" outlineLevel="0" collapsed="false">
      <c r="A5585" s="3" t="s">
        <v>454</v>
      </c>
      <c r="B5585" s="4" t="s">
        <v>12</v>
      </c>
      <c r="C5585" s="4" t="n">
        <v>4</v>
      </c>
      <c r="D5585" s="4" t="s">
        <v>18</v>
      </c>
      <c r="E5585" s="3" t="s">
        <v>390</v>
      </c>
      <c r="F5585" s="4" t="str">
        <f aca="false">IF(I5585&gt;J5585,"Y","N")</f>
        <v>Y</v>
      </c>
      <c r="G5585" s="3" t="s">
        <v>222</v>
      </c>
      <c r="H5585" s="3" t="s">
        <v>34</v>
      </c>
      <c r="I5585" s="4" t="n">
        <v>14</v>
      </c>
      <c r="J5585" s="4" t="n">
        <f aca="false">LEN(E5585)-LEN(SUBSTITUTE(E5585,",",""))+1</f>
        <v>7</v>
      </c>
      <c r="K5585" s="3" t="str">
        <f aca="false">IFERROR(INDEX('Teacher Lookup'!$B$2:$B$200,MATCH(A5585,'Teacher Lookup'!$A$2:$A$200,0)),"")</f>
        <v>NG Janet</v>
      </c>
    </row>
    <row r="5586" customFormat="false" ht="15" hidden="false" customHeight="false" outlineLevel="0" collapsed="false">
      <c r="A5586" s="3" t="s">
        <v>454</v>
      </c>
      <c r="B5586" s="4" t="s">
        <v>12</v>
      </c>
      <c r="C5586" s="4" t="n">
        <v>5</v>
      </c>
      <c r="D5586" s="4" t="s">
        <v>19</v>
      </c>
      <c r="E5586" s="3" t="s">
        <v>390</v>
      </c>
      <c r="F5586" s="4" t="str">
        <f aca="false">IF(I5586&gt;J5586,"Y","N")</f>
        <v>Y</v>
      </c>
      <c r="G5586" s="3" t="s">
        <v>222</v>
      </c>
      <c r="H5586" s="3" t="s">
        <v>37</v>
      </c>
      <c r="I5586" s="4" t="n">
        <v>14</v>
      </c>
      <c r="J5586" s="4" t="n">
        <f aca="false">LEN(E5586)-LEN(SUBSTITUTE(E5586,",",""))+1</f>
        <v>7</v>
      </c>
      <c r="K5586" s="3" t="str">
        <f aca="false">IFERROR(INDEX('Teacher Lookup'!$B$2:$B$200,MATCH(A5586,'Teacher Lookup'!$A$2:$A$200,0)),"")</f>
        <v>NG Janet</v>
      </c>
    </row>
    <row r="5587" customFormat="false" ht="15" hidden="false" customHeight="false" outlineLevel="0" collapsed="false">
      <c r="A5587" s="3" t="s">
        <v>454</v>
      </c>
      <c r="B5587" s="4" t="s">
        <v>12</v>
      </c>
      <c r="C5587" s="4" t="n">
        <v>5</v>
      </c>
      <c r="D5587" s="4" t="s">
        <v>22</v>
      </c>
      <c r="E5587" s="3" t="s">
        <v>390</v>
      </c>
      <c r="F5587" s="4" t="str">
        <f aca="false">IF(I5587&gt;J5587,"Y","N")</f>
        <v>Y</v>
      </c>
      <c r="G5587" s="3" t="s">
        <v>222</v>
      </c>
      <c r="H5587" s="3" t="s">
        <v>37</v>
      </c>
      <c r="I5587" s="4" t="n">
        <v>14</v>
      </c>
      <c r="J5587" s="4" t="n">
        <f aca="false">LEN(E5587)-LEN(SUBSTITUTE(E5587,",",""))+1</f>
        <v>7</v>
      </c>
      <c r="K5587" s="3" t="str">
        <f aca="false">IFERROR(INDEX('Teacher Lookup'!$B$2:$B$200,MATCH(A5587,'Teacher Lookup'!$A$2:$A$200,0)),"")</f>
        <v>NG Janet</v>
      </c>
    </row>
    <row r="5588" customFormat="false" ht="15" hidden="false" customHeight="false" outlineLevel="0" collapsed="false">
      <c r="A5588" s="3" t="s">
        <v>454</v>
      </c>
      <c r="B5588" s="4" t="s">
        <v>12</v>
      </c>
      <c r="C5588" s="4" t="n">
        <v>5</v>
      </c>
      <c r="D5588" s="4" t="s">
        <v>23</v>
      </c>
      <c r="E5588" s="3" t="s">
        <v>390</v>
      </c>
      <c r="F5588" s="4" t="str">
        <f aca="false">IF(I5588&gt;J5588,"Y","N")</f>
        <v>Y</v>
      </c>
      <c r="G5588" s="3" t="s">
        <v>222</v>
      </c>
      <c r="H5588" s="3" t="s">
        <v>37</v>
      </c>
      <c r="I5588" s="4" t="n">
        <v>14</v>
      </c>
      <c r="J5588" s="4" t="n">
        <f aca="false">LEN(E5588)-LEN(SUBSTITUTE(E5588,",",""))+1</f>
        <v>7</v>
      </c>
      <c r="K5588" s="3" t="str">
        <f aca="false">IFERROR(INDEX('Teacher Lookup'!$B$2:$B$200,MATCH(A5588,'Teacher Lookup'!$A$2:$A$200,0)),"")</f>
        <v>NG Janet</v>
      </c>
    </row>
    <row r="5589" customFormat="false" ht="15" hidden="false" customHeight="false" outlineLevel="0" collapsed="false">
      <c r="A5589" s="3" t="s">
        <v>454</v>
      </c>
      <c r="B5589" s="4" t="s">
        <v>12</v>
      </c>
      <c r="C5589" s="4" t="n">
        <v>5</v>
      </c>
      <c r="D5589" s="4" t="s">
        <v>13</v>
      </c>
      <c r="E5589" s="3" t="s">
        <v>390</v>
      </c>
      <c r="F5589" s="4" t="str">
        <f aca="false">IF(I5589&gt;J5589,"Y","N")</f>
        <v>Y</v>
      </c>
      <c r="G5589" s="3" t="s">
        <v>222</v>
      </c>
      <c r="H5589" s="3" t="s">
        <v>37</v>
      </c>
      <c r="I5589" s="4" t="n">
        <v>14</v>
      </c>
      <c r="J5589" s="4" t="n">
        <f aca="false">LEN(E5589)-LEN(SUBSTITUTE(E5589,",",""))+1</f>
        <v>7</v>
      </c>
      <c r="K5589" s="3" t="str">
        <f aca="false">IFERROR(INDEX('Teacher Lookup'!$B$2:$B$200,MATCH(A5589,'Teacher Lookup'!$A$2:$A$200,0)),"")</f>
        <v>NG Janet</v>
      </c>
    </row>
    <row r="5590" customFormat="false" ht="15" hidden="false" customHeight="false" outlineLevel="0" collapsed="false">
      <c r="A5590" s="3" t="s">
        <v>454</v>
      </c>
      <c r="B5590" s="4" t="s">
        <v>12</v>
      </c>
      <c r="C5590" s="4" t="n">
        <v>5</v>
      </c>
      <c r="D5590" s="4" t="s">
        <v>17</v>
      </c>
      <c r="E5590" s="3" t="s">
        <v>390</v>
      </c>
      <c r="F5590" s="4" t="str">
        <f aca="false">IF(I5590&gt;J5590,"Y","N")</f>
        <v>Y</v>
      </c>
      <c r="G5590" s="3" t="s">
        <v>222</v>
      </c>
      <c r="H5590" s="3" t="s">
        <v>37</v>
      </c>
      <c r="I5590" s="4" t="n">
        <v>14</v>
      </c>
      <c r="J5590" s="4" t="n">
        <f aca="false">LEN(E5590)-LEN(SUBSTITUTE(E5590,",",""))+1</f>
        <v>7</v>
      </c>
      <c r="K5590" s="3" t="str">
        <f aca="false">IFERROR(INDEX('Teacher Lookup'!$B$2:$B$200,MATCH(A5590,'Teacher Lookup'!$A$2:$A$200,0)),"")</f>
        <v>NG Janet</v>
      </c>
    </row>
    <row r="5591" customFormat="false" ht="15" hidden="false" customHeight="false" outlineLevel="0" collapsed="false">
      <c r="A5591" s="3" t="s">
        <v>454</v>
      </c>
      <c r="B5591" s="4" t="s">
        <v>12</v>
      </c>
      <c r="C5591" s="4" t="n">
        <v>5</v>
      </c>
      <c r="D5591" s="4" t="s">
        <v>18</v>
      </c>
      <c r="E5591" s="3" t="s">
        <v>390</v>
      </c>
      <c r="F5591" s="4" t="str">
        <f aca="false">IF(I5591&gt;J5591,"Y","N")</f>
        <v>Y</v>
      </c>
      <c r="G5591" s="3" t="s">
        <v>222</v>
      </c>
      <c r="H5591" s="3" t="s">
        <v>37</v>
      </c>
      <c r="I5591" s="4" t="n">
        <v>14</v>
      </c>
      <c r="J5591" s="4" t="n">
        <f aca="false">LEN(E5591)-LEN(SUBSTITUTE(E5591,",",""))+1</f>
        <v>7</v>
      </c>
      <c r="K5591" s="3" t="str">
        <f aca="false">IFERROR(INDEX('Teacher Lookup'!$B$2:$B$200,MATCH(A5591,'Teacher Lookup'!$A$2:$A$200,0)),"")</f>
        <v>NG Janet</v>
      </c>
    </row>
    <row r="5592" customFormat="false" ht="15" hidden="false" customHeight="false" outlineLevel="0" collapsed="false">
      <c r="A5592" s="3" t="s">
        <v>454</v>
      </c>
      <c r="B5592" s="4" t="s">
        <v>12</v>
      </c>
      <c r="C5592" s="4" t="n">
        <v>6</v>
      </c>
      <c r="D5592" s="4" t="s">
        <v>137</v>
      </c>
      <c r="E5592" s="3" t="s">
        <v>298</v>
      </c>
      <c r="F5592" s="4" t="str">
        <f aca="false">IF(I5592&gt;J5592,"Y","N")</f>
        <v>N</v>
      </c>
      <c r="G5592" s="3" t="s">
        <v>299</v>
      </c>
      <c r="H5592" s="3" t="s">
        <v>42</v>
      </c>
      <c r="I5592" s="4" t="n">
        <v>2</v>
      </c>
      <c r="J5592" s="4" t="n">
        <f aca="false">LEN(E5592)-LEN(SUBSTITUTE(E5592,",",""))+1</f>
        <v>2</v>
      </c>
      <c r="K5592" s="3" t="str">
        <f aca="false">IFERROR(INDEX('Teacher Lookup'!$B$2:$B$200,MATCH(A5592,'Teacher Lookup'!$A$2:$A$200,0)),"")</f>
        <v>NG Janet</v>
      </c>
    </row>
    <row r="5593" customFormat="false" ht="15" hidden="false" customHeight="false" outlineLevel="0" collapsed="false">
      <c r="A5593" s="3" t="s">
        <v>454</v>
      </c>
      <c r="B5593" s="4" t="s">
        <v>12</v>
      </c>
      <c r="C5593" s="4" t="n">
        <v>7</v>
      </c>
      <c r="D5593" s="4" t="s">
        <v>137</v>
      </c>
      <c r="E5593" s="3" t="s">
        <v>298</v>
      </c>
      <c r="F5593" s="4" t="str">
        <f aca="false">IF(I5593&gt;J5593,"Y","N")</f>
        <v>N</v>
      </c>
      <c r="G5593" s="3" t="s">
        <v>299</v>
      </c>
      <c r="H5593" s="3" t="s">
        <v>39</v>
      </c>
      <c r="I5593" s="4" t="n">
        <v>2</v>
      </c>
      <c r="J5593" s="4" t="n">
        <f aca="false">LEN(E5593)-LEN(SUBSTITUTE(E5593,",",""))+1</f>
        <v>2</v>
      </c>
      <c r="K5593" s="3" t="str">
        <f aca="false">IFERROR(INDEX('Teacher Lookup'!$B$2:$B$200,MATCH(A5593,'Teacher Lookup'!$A$2:$A$200,0)),"")</f>
        <v>NG Janet</v>
      </c>
    </row>
    <row r="5594" customFormat="false" ht="15" hidden="false" customHeight="false" outlineLevel="0" collapsed="false">
      <c r="A5594" s="3" t="s">
        <v>454</v>
      </c>
      <c r="B5594" s="4" t="s">
        <v>31</v>
      </c>
      <c r="C5594" s="4" t="n">
        <v>1</v>
      </c>
      <c r="D5594" s="4" t="s">
        <v>142</v>
      </c>
      <c r="E5594" s="3" t="s">
        <v>298</v>
      </c>
      <c r="F5594" s="4" t="str">
        <f aca="false">IF(I5594&gt;J5594,"Y","N")</f>
        <v>N</v>
      </c>
      <c r="G5594" s="3" t="s">
        <v>299</v>
      </c>
      <c r="H5594" s="3" t="s">
        <v>16</v>
      </c>
      <c r="I5594" s="4" t="n">
        <v>2</v>
      </c>
      <c r="J5594" s="4" t="n">
        <f aca="false">LEN(E5594)-LEN(SUBSTITUTE(E5594,",",""))+1</f>
        <v>2</v>
      </c>
      <c r="K5594" s="3" t="str">
        <f aca="false">IFERROR(INDEX('Teacher Lookup'!$B$2:$B$200,MATCH(A5594,'Teacher Lookup'!$A$2:$A$200,0)),"")</f>
        <v>NG Janet</v>
      </c>
    </row>
    <row r="5595" customFormat="false" ht="15" hidden="false" customHeight="false" outlineLevel="0" collapsed="false">
      <c r="A5595" s="3" t="s">
        <v>454</v>
      </c>
      <c r="B5595" s="4" t="s">
        <v>31</v>
      </c>
      <c r="C5595" s="4" t="n">
        <v>2</v>
      </c>
      <c r="D5595" s="4" t="s">
        <v>142</v>
      </c>
      <c r="E5595" s="3" t="s">
        <v>298</v>
      </c>
      <c r="F5595" s="4" t="str">
        <f aca="false">IF(I5595&gt;J5595,"Y","N")</f>
        <v>N</v>
      </c>
      <c r="G5595" s="3" t="s">
        <v>299</v>
      </c>
      <c r="H5595" s="3" t="s">
        <v>21</v>
      </c>
      <c r="I5595" s="4" t="n">
        <v>2</v>
      </c>
      <c r="J5595" s="4" t="n">
        <f aca="false">LEN(E5595)-LEN(SUBSTITUTE(E5595,",",""))+1</f>
        <v>2</v>
      </c>
      <c r="K5595" s="3" t="str">
        <f aca="false">IFERROR(INDEX('Teacher Lookup'!$B$2:$B$200,MATCH(A5595,'Teacher Lookup'!$A$2:$A$200,0)),"")</f>
        <v>NG Janet</v>
      </c>
    </row>
    <row r="5596" customFormat="false" ht="15" hidden="false" customHeight="false" outlineLevel="0" collapsed="false">
      <c r="A5596" s="3" t="s">
        <v>454</v>
      </c>
      <c r="B5596" s="4" t="s">
        <v>31</v>
      </c>
      <c r="C5596" s="4" t="n">
        <v>5</v>
      </c>
      <c r="D5596" s="4" t="s">
        <v>137</v>
      </c>
      <c r="E5596" s="3" t="s">
        <v>185</v>
      </c>
      <c r="F5596" s="4" t="str">
        <f aca="false">IF(I5596&gt;J5596,"Y","N")</f>
        <v>Y</v>
      </c>
      <c r="G5596" s="3" t="s">
        <v>36</v>
      </c>
      <c r="H5596" s="3" t="s">
        <v>37</v>
      </c>
      <c r="I5596" s="4" t="n">
        <v>21</v>
      </c>
      <c r="J5596" s="4" t="n">
        <f aca="false">LEN(E5596)-LEN(SUBSTITUTE(E5596,",",""))+1</f>
        <v>7</v>
      </c>
      <c r="K5596" s="3" t="str">
        <f aca="false">IFERROR(INDEX('Teacher Lookup'!$B$2:$B$200,MATCH(A5596,'Teacher Lookup'!$A$2:$A$200,0)),"")</f>
        <v>NG Janet</v>
      </c>
    </row>
    <row r="5597" customFormat="false" ht="15" hidden="false" customHeight="false" outlineLevel="0" collapsed="false">
      <c r="A5597" s="3" t="s">
        <v>454</v>
      </c>
      <c r="B5597" s="4" t="s">
        <v>31</v>
      </c>
      <c r="C5597" s="4" t="n">
        <v>5</v>
      </c>
      <c r="D5597" s="4" t="s">
        <v>124</v>
      </c>
      <c r="E5597" s="3" t="s">
        <v>185</v>
      </c>
      <c r="F5597" s="4" t="str">
        <f aca="false">IF(I5597&gt;J5597,"Y","N")</f>
        <v>Y</v>
      </c>
      <c r="G5597" s="3" t="s">
        <v>36</v>
      </c>
      <c r="H5597" s="3" t="s">
        <v>37</v>
      </c>
      <c r="I5597" s="4" t="n">
        <v>21</v>
      </c>
      <c r="J5597" s="4" t="n">
        <f aca="false">LEN(E5597)-LEN(SUBSTITUTE(E5597,",",""))+1</f>
        <v>7</v>
      </c>
      <c r="K5597" s="3" t="str">
        <f aca="false">IFERROR(INDEX('Teacher Lookup'!$B$2:$B$200,MATCH(A5597,'Teacher Lookup'!$A$2:$A$200,0)),"")</f>
        <v>NG Janet</v>
      </c>
    </row>
    <row r="5598" customFormat="false" ht="15" hidden="false" customHeight="false" outlineLevel="0" collapsed="false">
      <c r="A5598" s="3" t="s">
        <v>454</v>
      </c>
      <c r="B5598" s="4" t="s">
        <v>31</v>
      </c>
      <c r="C5598" s="4" t="n">
        <v>5</v>
      </c>
      <c r="D5598" s="4" t="s">
        <v>139</v>
      </c>
      <c r="E5598" s="3" t="s">
        <v>185</v>
      </c>
      <c r="F5598" s="4" t="str">
        <f aca="false">IF(I5598&gt;J5598,"Y","N")</f>
        <v>Y</v>
      </c>
      <c r="G5598" s="3" t="s">
        <v>36</v>
      </c>
      <c r="H5598" s="3" t="s">
        <v>37</v>
      </c>
      <c r="I5598" s="4" t="n">
        <v>21</v>
      </c>
      <c r="J5598" s="4" t="n">
        <f aca="false">LEN(E5598)-LEN(SUBSTITUTE(E5598,",",""))+1</f>
        <v>7</v>
      </c>
      <c r="K5598" s="3" t="str">
        <f aca="false">IFERROR(INDEX('Teacher Lookup'!$B$2:$B$200,MATCH(A5598,'Teacher Lookup'!$A$2:$A$200,0)),"")</f>
        <v>NG Janet</v>
      </c>
    </row>
    <row r="5599" customFormat="false" ht="15" hidden="false" customHeight="false" outlineLevel="0" collapsed="false">
      <c r="A5599" s="3" t="s">
        <v>454</v>
      </c>
      <c r="B5599" s="4" t="s">
        <v>31</v>
      </c>
      <c r="C5599" s="4" t="n">
        <v>5</v>
      </c>
      <c r="D5599" s="4" t="s">
        <v>140</v>
      </c>
      <c r="E5599" s="3" t="s">
        <v>185</v>
      </c>
      <c r="F5599" s="4" t="str">
        <f aca="false">IF(I5599&gt;J5599,"Y","N")</f>
        <v>Y</v>
      </c>
      <c r="G5599" s="3" t="s">
        <v>36</v>
      </c>
      <c r="H5599" s="3" t="s">
        <v>37</v>
      </c>
      <c r="I5599" s="4" t="n">
        <v>21</v>
      </c>
      <c r="J5599" s="4" t="n">
        <f aca="false">LEN(E5599)-LEN(SUBSTITUTE(E5599,",",""))+1</f>
        <v>7</v>
      </c>
      <c r="K5599" s="3" t="str">
        <f aca="false">IFERROR(INDEX('Teacher Lookup'!$B$2:$B$200,MATCH(A5599,'Teacher Lookup'!$A$2:$A$200,0)),"")</f>
        <v>NG Janet</v>
      </c>
    </row>
    <row r="5600" customFormat="false" ht="15" hidden="false" customHeight="false" outlineLevel="0" collapsed="false">
      <c r="A5600" s="3" t="s">
        <v>454</v>
      </c>
      <c r="B5600" s="4" t="s">
        <v>31</v>
      </c>
      <c r="C5600" s="4" t="n">
        <v>5</v>
      </c>
      <c r="D5600" s="4" t="s">
        <v>142</v>
      </c>
      <c r="E5600" s="3" t="s">
        <v>185</v>
      </c>
      <c r="F5600" s="4" t="str">
        <f aca="false">IF(I5600&gt;J5600,"Y","N")</f>
        <v>Y</v>
      </c>
      <c r="G5600" s="3" t="s">
        <v>36</v>
      </c>
      <c r="H5600" s="3" t="s">
        <v>37</v>
      </c>
      <c r="I5600" s="4" t="n">
        <v>21</v>
      </c>
      <c r="J5600" s="4" t="n">
        <f aca="false">LEN(E5600)-LEN(SUBSTITUTE(E5600,",",""))+1</f>
        <v>7</v>
      </c>
      <c r="K5600" s="3" t="str">
        <f aca="false">IFERROR(INDEX('Teacher Lookup'!$B$2:$B$200,MATCH(A5600,'Teacher Lookup'!$A$2:$A$200,0)),"")</f>
        <v>NG Janet</v>
      </c>
    </row>
    <row r="5601" customFormat="false" ht="15" hidden="false" customHeight="false" outlineLevel="0" collapsed="false">
      <c r="A5601" s="3" t="s">
        <v>454</v>
      </c>
      <c r="B5601" s="4" t="s">
        <v>31</v>
      </c>
      <c r="C5601" s="4" t="n">
        <v>5</v>
      </c>
      <c r="D5601" s="4" t="s">
        <v>127</v>
      </c>
      <c r="E5601" s="3" t="s">
        <v>185</v>
      </c>
      <c r="F5601" s="4" t="str">
        <f aca="false">IF(I5601&gt;J5601,"Y","N")</f>
        <v>Y</v>
      </c>
      <c r="G5601" s="3" t="s">
        <v>36</v>
      </c>
      <c r="H5601" s="3" t="s">
        <v>37</v>
      </c>
      <c r="I5601" s="4" t="n">
        <v>21</v>
      </c>
      <c r="J5601" s="4" t="n">
        <f aca="false">LEN(E5601)-LEN(SUBSTITUTE(E5601,",",""))+1</f>
        <v>7</v>
      </c>
      <c r="K5601" s="3" t="str">
        <f aca="false">IFERROR(INDEX('Teacher Lookup'!$B$2:$B$200,MATCH(A5601,'Teacher Lookup'!$A$2:$A$200,0)),"")</f>
        <v>NG Janet</v>
      </c>
    </row>
    <row r="5602" customFormat="false" ht="15" hidden="false" customHeight="false" outlineLevel="0" collapsed="false">
      <c r="A5602" s="3" t="s">
        <v>454</v>
      </c>
      <c r="B5602" s="4" t="s">
        <v>44</v>
      </c>
      <c r="C5602" s="4" t="n">
        <v>1</v>
      </c>
      <c r="D5602" s="4" t="s">
        <v>13</v>
      </c>
      <c r="E5602" s="3" t="s">
        <v>298</v>
      </c>
      <c r="F5602" s="4" t="str">
        <f aca="false">IF(I5602&gt;J5602,"Y","N")</f>
        <v>N</v>
      </c>
      <c r="G5602" s="3" t="s">
        <v>299</v>
      </c>
      <c r="H5602" s="3" t="s">
        <v>16</v>
      </c>
      <c r="I5602" s="4" t="n">
        <v>2</v>
      </c>
      <c r="J5602" s="4" t="n">
        <f aca="false">LEN(E5602)-LEN(SUBSTITUTE(E5602,",",""))+1</f>
        <v>2</v>
      </c>
      <c r="K5602" s="3" t="str">
        <f aca="false">IFERROR(INDEX('Teacher Lookup'!$B$2:$B$200,MATCH(A5602,'Teacher Lookup'!$A$2:$A$200,0)),"")</f>
        <v>NG Janet</v>
      </c>
    </row>
    <row r="5603" customFormat="false" ht="15" hidden="false" customHeight="false" outlineLevel="0" collapsed="false">
      <c r="A5603" s="3" t="s">
        <v>454</v>
      </c>
      <c r="B5603" s="4" t="s">
        <v>44</v>
      </c>
      <c r="C5603" s="4" t="n">
        <v>2</v>
      </c>
      <c r="D5603" s="4" t="s">
        <v>13</v>
      </c>
      <c r="E5603" s="3" t="s">
        <v>298</v>
      </c>
      <c r="F5603" s="4" t="str">
        <f aca="false">IF(I5603&gt;J5603,"Y","N")</f>
        <v>N</v>
      </c>
      <c r="G5603" s="3" t="s">
        <v>299</v>
      </c>
      <c r="H5603" s="3" t="s">
        <v>21</v>
      </c>
      <c r="I5603" s="4" t="n">
        <v>2</v>
      </c>
      <c r="J5603" s="4" t="n">
        <f aca="false">LEN(E5603)-LEN(SUBSTITUTE(E5603,",",""))+1</f>
        <v>2</v>
      </c>
      <c r="K5603" s="3" t="str">
        <f aca="false">IFERROR(INDEX('Teacher Lookup'!$B$2:$B$200,MATCH(A5603,'Teacher Lookup'!$A$2:$A$200,0)),"")</f>
        <v>NG Janet</v>
      </c>
    </row>
    <row r="5604" customFormat="false" ht="15" hidden="false" customHeight="false" outlineLevel="0" collapsed="false">
      <c r="A5604" s="3" t="s">
        <v>454</v>
      </c>
      <c r="B5604" s="4" t="s">
        <v>44</v>
      </c>
      <c r="C5604" s="4" t="n">
        <v>5</v>
      </c>
      <c r="D5604" s="4" t="s">
        <v>137</v>
      </c>
      <c r="E5604" s="3" t="s">
        <v>185</v>
      </c>
      <c r="F5604" s="4" t="str">
        <f aca="false">IF(I5604&gt;J5604,"Y","N")</f>
        <v>Y</v>
      </c>
      <c r="G5604" s="3" t="s">
        <v>36</v>
      </c>
      <c r="H5604" s="3" t="s">
        <v>37</v>
      </c>
      <c r="I5604" s="4" t="n">
        <v>21</v>
      </c>
      <c r="J5604" s="4" t="n">
        <f aca="false">LEN(E5604)-LEN(SUBSTITUTE(E5604,",",""))+1</f>
        <v>7</v>
      </c>
      <c r="K5604" s="3" t="str">
        <f aca="false">IFERROR(INDEX('Teacher Lookup'!$B$2:$B$200,MATCH(A5604,'Teacher Lookup'!$A$2:$A$200,0)),"")</f>
        <v>NG Janet</v>
      </c>
    </row>
    <row r="5605" customFormat="false" ht="15" hidden="false" customHeight="false" outlineLevel="0" collapsed="false">
      <c r="A5605" s="3" t="s">
        <v>454</v>
      </c>
      <c r="B5605" s="4" t="s">
        <v>44</v>
      </c>
      <c r="C5605" s="4" t="n">
        <v>5</v>
      </c>
      <c r="D5605" s="4" t="s">
        <v>124</v>
      </c>
      <c r="E5605" s="3" t="s">
        <v>185</v>
      </c>
      <c r="F5605" s="4" t="str">
        <f aca="false">IF(I5605&gt;J5605,"Y","N")</f>
        <v>Y</v>
      </c>
      <c r="G5605" s="3" t="s">
        <v>36</v>
      </c>
      <c r="H5605" s="3" t="s">
        <v>37</v>
      </c>
      <c r="I5605" s="4" t="n">
        <v>21</v>
      </c>
      <c r="J5605" s="4" t="n">
        <f aca="false">LEN(E5605)-LEN(SUBSTITUTE(E5605,",",""))+1</f>
        <v>7</v>
      </c>
      <c r="K5605" s="3" t="str">
        <f aca="false">IFERROR(INDEX('Teacher Lookup'!$B$2:$B$200,MATCH(A5605,'Teacher Lookup'!$A$2:$A$200,0)),"")</f>
        <v>NG Janet</v>
      </c>
    </row>
    <row r="5606" customFormat="false" ht="15" hidden="false" customHeight="false" outlineLevel="0" collapsed="false">
      <c r="A5606" s="3" t="s">
        <v>454</v>
      </c>
      <c r="B5606" s="4" t="s">
        <v>44</v>
      </c>
      <c r="C5606" s="4" t="n">
        <v>5</v>
      </c>
      <c r="D5606" s="4" t="s">
        <v>139</v>
      </c>
      <c r="E5606" s="3" t="s">
        <v>185</v>
      </c>
      <c r="F5606" s="4" t="str">
        <f aca="false">IF(I5606&gt;J5606,"Y","N")</f>
        <v>Y</v>
      </c>
      <c r="G5606" s="3" t="s">
        <v>36</v>
      </c>
      <c r="H5606" s="3" t="s">
        <v>37</v>
      </c>
      <c r="I5606" s="4" t="n">
        <v>21</v>
      </c>
      <c r="J5606" s="4" t="n">
        <f aca="false">LEN(E5606)-LEN(SUBSTITUTE(E5606,",",""))+1</f>
        <v>7</v>
      </c>
      <c r="K5606" s="3" t="str">
        <f aca="false">IFERROR(INDEX('Teacher Lookup'!$B$2:$B$200,MATCH(A5606,'Teacher Lookup'!$A$2:$A$200,0)),"")</f>
        <v>NG Janet</v>
      </c>
    </row>
    <row r="5607" customFormat="false" ht="15" hidden="false" customHeight="false" outlineLevel="0" collapsed="false">
      <c r="A5607" s="3" t="s">
        <v>454</v>
      </c>
      <c r="B5607" s="4" t="s">
        <v>44</v>
      </c>
      <c r="C5607" s="4" t="n">
        <v>5</v>
      </c>
      <c r="D5607" s="4" t="s">
        <v>140</v>
      </c>
      <c r="E5607" s="3" t="s">
        <v>185</v>
      </c>
      <c r="F5607" s="4" t="str">
        <f aca="false">IF(I5607&gt;J5607,"Y","N")</f>
        <v>Y</v>
      </c>
      <c r="G5607" s="3" t="s">
        <v>36</v>
      </c>
      <c r="H5607" s="3" t="s">
        <v>37</v>
      </c>
      <c r="I5607" s="4" t="n">
        <v>21</v>
      </c>
      <c r="J5607" s="4" t="n">
        <f aca="false">LEN(E5607)-LEN(SUBSTITUTE(E5607,",",""))+1</f>
        <v>7</v>
      </c>
      <c r="K5607" s="3" t="str">
        <f aca="false">IFERROR(INDEX('Teacher Lookup'!$B$2:$B$200,MATCH(A5607,'Teacher Lookup'!$A$2:$A$200,0)),"")</f>
        <v>NG Janet</v>
      </c>
    </row>
    <row r="5608" customFormat="false" ht="15" hidden="false" customHeight="false" outlineLevel="0" collapsed="false">
      <c r="A5608" s="3" t="s">
        <v>454</v>
      </c>
      <c r="B5608" s="4" t="s">
        <v>44</v>
      </c>
      <c r="C5608" s="4" t="n">
        <v>5</v>
      </c>
      <c r="D5608" s="4" t="s">
        <v>142</v>
      </c>
      <c r="E5608" s="3" t="s">
        <v>185</v>
      </c>
      <c r="F5608" s="4" t="str">
        <f aca="false">IF(I5608&gt;J5608,"Y","N")</f>
        <v>Y</v>
      </c>
      <c r="G5608" s="3" t="s">
        <v>36</v>
      </c>
      <c r="H5608" s="3" t="s">
        <v>37</v>
      </c>
      <c r="I5608" s="4" t="n">
        <v>21</v>
      </c>
      <c r="J5608" s="4" t="n">
        <f aca="false">LEN(E5608)-LEN(SUBSTITUTE(E5608,",",""))+1</f>
        <v>7</v>
      </c>
      <c r="K5608" s="3" t="str">
        <f aca="false">IFERROR(INDEX('Teacher Lookup'!$B$2:$B$200,MATCH(A5608,'Teacher Lookup'!$A$2:$A$200,0)),"")</f>
        <v>NG Janet</v>
      </c>
    </row>
    <row r="5609" customFormat="false" ht="15" hidden="false" customHeight="false" outlineLevel="0" collapsed="false">
      <c r="A5609" s="3" t="s">
        <v>454</v>
      </c>
      <c r="B5609" s="4" t="s">
        <v>44</v>
      </c>
      <c r="C5609" s="4" t="n">
        <v>5</v>
      </c>
      <c r="D5609" s="4" t="s">
        <v>127</v>
      </c>
      <c r="E5609" s="3" t="s">
        <v>185</v>
      </c>
      <c r="F5609" s="4" t="str">
        <f aca="false">IF(I5609&gt;J5609,"Y","N")</f>
        <v>Y</v>
      </c>
      <c r="G5609" s="3" t="s">
        <v>36</v>
      </c>
      <c r="H5609" s="3" t="s">
        <v>37</v>
      </c>
      <c r="I5609" s="4" t="n">
        <v>21</v>
      </c>
      <c r="J5609" s="4" t="n">
        <f aca="false">LEN(E5609)-LEN(SUBSTITUTE(E5609,",",""))+1</f>
        <v>7</v>
      </c>
      <c r="K5609" s="3" t="str">
        <f aca="false">IFERROR(INDEX('Teacher Lookup'!$B$2:$B$200,MATCH(A5609,'Teacher Lookup'!$A$2:$A$200,0)),"")</f>
        <v>NG Janet</v>
      </c>
    </row>
    <row r="5610" customFormat="false" ht="15" hidden="false" customHeight="false" outlineLevel="0" collapsed="false">
      <c r="A5610" s="3" t="s">
        <v>454</v>
      </c>
      <c r="B5610" s="4" t="s">
        <v>44</v>
      </c>
      <c r="C5610" s="4" t="n">
        <v>6</v>
      </c>
      <c r="D5610" s="4" t="s">
        <v>127</v>
      </c>
      <c r="E5610" s="3" t="s">
        <v>298</v>
      </c>
      <c r="F5610" s="4" t="str">
        <f aca="false">IF(I5610&gt;J5610,"Y","N")</f>
        <v>N</v>
      </c>
      <c r="G5610" s="3" t="s">
        <v>299</v>
      </c>
      <c r="H5610" s="3" t="s">
        <v>42</v>
      </c>
      <c r="I5610" s="4" t="n">
        <v>2</v>
      </c>
      <c r="J5610" s="4" t="n">
        <f aca="false">LEN(E5610)-LEN(SUBSTITUTE(E5610,",",""))+1</f>
        <v>2</v>
      </c>
      <c r="K5610" s="3" t="str">
        <f aca="false">IFERROR(INDEX('Teacher Lookup'!$B$2:$B$200,MATCH(A5610,'Teacher Lookup'!$A$2:$A$200,0)),"")</f>
        <v>NG Janet</v>
      </c>
    </row>
    <row r="5611" customFormat="false" ht="15" hidden="false" customHeight="false" outlineLevel="0" collapsed="false">
      <c r="A5611" s="3" t="s">
        <v>454</v>
      </c>
      <c r="B5611" s="4" t="s">
        <v>44</v>
      </c>
      <c r="C5611" s="4" t="n">
        <v>7</v>
      </c>
      <c r="D5611" s="4" t="s">
        <v>127</v>
      </c>
      <c r="E5611" s="3" t="s">
        <v>298</v>
      </c>
      <c r="F5611" s="4" t="str">
        <f aca="false">IF(I5611&gt;J5611,"Y","N")</f>
        <v>N</v>
      </c>
      <c r="G5611" s="3" t="s">
        <v>299</v>
      </c>
      <c r="H5611" s="3" t="s">
        <v>39</v>
      </c>
      <c r="I5611" s="4" t="n">
        <v>2</v>
      </c>
      <c r="J5611" s="4" t="n">
        <f aca="false">LEN(E5611)-LEN(SUBSTITUTE(E5611,",",""))+1</f>
        <v>2</v>
      </c>
      <c r="K5611" s="3" t="str">
        <f aca="false">IFERROR(INDEX('Teacher Lookup'!$B$2:$B$200,MATCH(A5611,'Teacher Lookup'!$A$2:$A$200,0)),"")</f>
        <v>NG Janet</v>
      </c>
    </row>
    <row r="5612" customFormat="false" ht="15" hidden="false" customHeight="false" outlineLevel="0" collapsed="false">
      <c r="A5612" s="3" t="s">
        <v>454</v>
      </c>
      <c r="B5612" s="4" t="s">
        <v>47</v>
      </c>
      <c r="C5612" s="4" t="n">
        <v>1</v>
      </c>
      <c r="D5612" s="4" t="s">
        <v>22</v>
      </c>
      <c r="E5612" s="3" t="s">
        <v>298</v>
      </c>
      <c r="F5612" s="4" t="str">
        <f aca="false">IF(I5612&gt;J5612,"Y","N")</f>
        <v>N</v>
      </c>
      <c r="G5612" s="3" t="s">
        <v>299</v>
      </c>
      <c r="H5612" s="3" t="s">
        <v>16</v>
      </c>
      <c r="I5612" s="4" t="n">
        <v>2</v>
      </c>
      <c r="J5612" s="4" t="n">
        <f aca="false">LEN(E5612)-LEN(SUBSTITUTE(E5612,",",""))+1</f>
        <v>2</v>
      </c>
      <c r="K5612" s="3" t="str">
        <f aca="false">IFERROR(INDEX('Teacher Lookup'!$B$2:$B$200,MATCH(A5612,'Teacher Lookup'!$A$2:$A$200,0)),"")</f>
        <v>NG Janet</v>
      </c>
    </row>
    <row r="5613" customFormat="false" ht="15" hidden="false" customHeight="false" outlineLevel="0" collapsed="false">
      <c r="A5613" s="3" t="s">
        <v>454</v>
      </c>
      <c r="B5613" s="4" t="s">
        <v>47</v>
      </c>
      <c r="C5613" s="4" t="n">
        <v>2</v>
      </c>
      <c r="D5613" s="4" t="s">
        <v>22</v>
      </c>
      <c r="E5613" s="3" t="s">
        <v>298</v>
      </c>
      <c r="F5613" s="4" t="str">
        <f aca="false">IF(I5613&gt;J5613,"Y","N")</f>
        <v>N</v>
      </c>
      <c r="G5613" s="3" t="s">
        <v>299</v>
      </c>
      <c r="H5613" s="3" t="s">
        <v>21</v>
      </c>
      <c r="I5613" s="4" t="n">
        <v>2</v>
      </c>
      <c r="J5613" s="4" t="n">
        <f aca="false">LEN(E5613)-LEN(SUBSTITUTE(E5613,",",""))+1</f>
        <v>2</v>
      </c>
      <c r="K5613" s="3" t="str">
        <f aca="false">IFERROR(INDEX('Teacher Lookup'!$B$2:$B$200,MATCH(A5613,'Teacher Lookup'!$A$2:$A$200,0)),"")</f>
        <v>NG Janet</v>
      </c>
    </row>
    <row r="5614" customFormat="false" ht="15" hidden="false" customHeight="false" outlineLevel="0" collapsed="false">
      <c r="A5614" s="3" t="s">
        <v>454</v>
      </c>
      <c r="B5614" s="4" t="s">
        <v>47</v>
      </c>
      <c r="C5614" s="4" t="n">
        <v>3</v>
      </c>
      <c r="D5614" s="4" t="s">
        <v>124</v>
      </c>
      <c r="E5614" s="3" t="s">
        <v>298</v>
      </c>
      <c r="F5614" s="4" t="str">
        <f aca="false">IF(I5614&gt;J5614,"Y","N")</f>
        <v>N</v>
      </c>
      <c r="G5614" s="3" t="s">
        <v>299</v>
      </c>
      <c r="H5614" s="3" t="s">
        <v>26</v>
      </c>
      <c r="I5614" s="4" t="n">
        <v>2</v>
      </c>
      <c r="J5614" s="4" t="n">
        <f aca="false">LEN(E5614)-LEN(SUBSTITUTE(E5614,",",""))+1</f>
        <v>2</v>
      </c>
      <c r="K5614" s="3" t="str">
        <f aca="false">IFERROR(INDEX('Teacher Lookup'!$B$2:$B$200,MATCH(A5614,'Teacher Lookup'!$A$2:$A$200,0)),"")</f>
        <v>NG Janet</v>
      </c>
    </row>
    <row r="5615" customFormat="false" ht="15" hidden="false" customHeight="false" outlineLevel="0" collapsed="false">
      <c r="A5615" s="3" t="s">
        <v>454</v>
      </c>
      <c r="B5615" s="4" t="s">
        <v>47</v>
      </c>
      <c r="C5615" s="4" t="n">
        <v>4</v>
      </c>
      <c r="D5615" s="4" t="s">
        <v>124</v>
      </c>
      <c r="E5615" s="3" t="s">
        <v>298</v>
      </c>
      <c r="F5615" s="4" t="str">
        <f aca="false">IF(I5615&gt;J5615,"Y","N")</f>
        <v>N</v>
      </c>
      <c r="G5615" s="3" t="s">
        <v>299</v>
      </c>
      <c r="H5615" s="3" t="s">
        <v>34</v>
      </c>
      <c r="I5615" s="4" t="n">
        <v>2</v>
      </c>
      <c r="J5615" s="4" t="n">
        <f aca="false">LEN(E5615)-LEN(SUBSTITUTE(E5615,",",""))+1</f>
        <v>2</v>
      </c>
      <c r="K5615" s="3" t="str">
        <f aca="false">IFERROR(INDEX('Teacher Lookup'!$B$2:$B$200,MATCH(A5615,'Teacher Lookup'!$A$2:$A$200,0)),"")</f>
        <v>NG Janet</v>
      </c>
    </row>
    <row r="5616" customFormat="false" ht="15" hidden="false" customHeight="false" outlineLevel="0" collapsed="false">
      <c r="A5616" s="3" t="s">
        <v>454</v>
      </c>
      <c r="B5616" s="4" t="s">
        <v>50</v>
      </c>
      <c r="C5616" s="4" t="n">
        <v>4</v>
      </c>
      <c r="D5616" s="4" t="s">
        <v>137</v>
      </c>
      <c r="E5616" s="3" t="s">
        <v>221</v>
      </c>
      <c r="F5616" s="4" t="str">
        <f aca="false">IF(I5616&gt;J5616,"Y","N")</f>
        <v>Y</v>
      </c>
      <c r="G5616" s="3" t="s">
        <v>222</v>
      </c>
      <c r="H5616" s="3" t="s">
        <v>34</v>
      </c>
      <c r="I5616" s="4" t="n">
        <v>15</v>
      </c>
      <c r="J5616" s="4" t="n">
        <f aca="false">LEN(E5616)-LEN(SUBSTITUTE(E5616,",",""))+1</f>
        <v>7</v>
      </c>
      <c r="K5616" s="3" t="str">
        <f aca="false">IFERROR(INDEX('Teacher Lookup'!$B$2:$B$200,MATCH(A5616,'Teacher Lookup'!$A$2:$A$200,0)),"")</f>
        <v>NG Janet</v>
      </c>
    </row>
    <row r="5617" customFormat="false" ht="15" hidden="false" customHeight="false" outlineLevel="0" collapsed="false">
      <c r="A5617" s="3" t="s">
        <v>454</v>
      </c>
      <c r="B5617" s="4" t="s">
        <v>50</v>
      </c>
      <c r="C5617" s="4" t="n">
        <v>4</v>
      </c>
      <c r="D5617" s="4" t="s">
        <v>124</v>
      </c>
      <c r="E5617" s="3" t="s">
        <v>221</v>
      </c>
      <c r="F5617" s="4" t="str">
        <f aca="false">IF(I5617&gt;J5617,"Y","N")</f>
        <v>Y</v>
      </c>
      <c r="G5617" s="3" t="s">
        <v>222</v>
      </c>
      <c r="H5617" s="3" t="s">
        <v>34</v>
      </c>
      <c r="I5617" s="4" t="n">
        <v>15</v>
      </c>
      <c r="J5617" s="4" t="n">
        <f aca="false">LEN(E5617)-LEN(SUBSTITUTE(E5617,",",""))+1</f>
        <v>7</v>
      </c>
      <c r="K5617" s="3" t="str">
        <f aca="false">IFERROR(INDEX('Teacher Lookup'!$B$2:$B$200,MATCH(A5617,'Teacher Lookup'!$A$2:$A$200,0)),"")</f>
        <v>NG Janet</v>
      </c>
    </row>
    <row r="5618" customFormat="false" ht="15" hidden="false" customHeight="false" outlineLevel="0" collapsed="false">
      <c r="A5618" s="3" t="s">
        <v>454</v>
      </c>
      <c r="B5618" s="4" t="s">
        <v>50</v>
      </c>
      <c r="C5618" s="4" t="n">
        <v>4</v>
      </c>
      <c r="D5618" s="4" t="s">
        <v>139</v>
      </c>
      <c r="E5618" s="3" t="s">
        <v>221</v>
      </c>
      <c r="F5618" s="4" t="str">
        <f aca="false">IF(I5618&gt;J5618,"Y","N")</f>
        <v>Y</v>
      </c>
      <c r="G5618" s="3" t="s">
        <v>222</v>
      </c>
      <c r="H5618" s="3" t="s">
        <v>34</v>
      </c>
      <c r="I5618" s="4" t="n">
        <v>15</v>
      </c>
      <c r="J5618" s="4" t="n">
        <f aca="false">LEN(E5618)-LEN(SUBSTITUTE(E5618,",",""))+1</f>
        <v>7</v>
      </c>
      <c r="K5618" s="3" t="str">
        <f aca="false">IFERROR(INDEX('Teacher Lookup'!$B$2:$B$200,MATCH(A5618,'Teacher Lookup'!$A$2:$A$200,0)),"")</f>
        <v>NG Janet</v>
      </c>
    </row>
    <row r="5619" customFormat="false" ht="15" hidden="false" customHeight="false" outlineLevel="0" collapsed="false">
      <c r="A5619" s="3" t="s">
        <v>454</v>
      </c>
      <c r="B5619" s="4" t="s">
        <v>50</v>
      </c>
      <c r="C5619" s="4" t="n">
        <v>4</v>
      </c>
      <c r="D5619" s="4" t="s">
        <v>140</v>
      </c>
      <c r="E5619" s="3" t="s">
        <v>221</v>
      </c>
      <c r="F5619" s="4" t="str">
        <f aca="false">IF(I5619&gt;J5619,"Y","N")</f>
        <v>Y</v>
      </c>
      <c r="G5619" s="3" t="s">
        <v>222</v>
      </c>
      <c r="H5619" s="3" t="s">
        <v>34</v>
      </c>
      <c r="I5619" s="4" t="n">
        <v>15</v>
      </c>
      <c r="J5619" s="4" t="n">
        <f aca="false">LEN(E5619)-LEN(SUBSTITUTE(E5619,",",""))+1</f>
        <v>7</v>
      </c>
      <c r="K5619" s="3" t="str">
        <f aca="false">IFERROR(INDEX('Teacher Lookup'!$B$2:$B$200,MATCH(A5619,'Teacher Lookup'!$A$2:$A$200,0)),"")</f>
        <v>NG Janet</v>
      </c>
    </row>
    <row r="5620" customFormat="false" ht="15" hidden="false" customHeight="false" outlineLevel="0" collapsed="false">
      <c r="A5620" s="3" t="s">
        <v>454</v>
      </c>
      <c r="B5620" s="4" t="s">
        <v>50</v>
      </c>
      <c r="C5620" s="4" t="n">
        <v>4</v>
      </c>
      <c r="D5620" s="4" t="s">
        <v>142</v>
      </c>
      <c r="E5620" s="3" t="s">
        <v>221</v>
      </c>
      <c r="F5620" s="4" t="str">
        <f aca="false">IF(I5620&gt;J5620,"Y","N")</f>
        <v>Y</v>
      </c>
      <c r="G5620" s="3" t="s">
        <v>222</v>
      </c>
      <c r="H5620" s="3" t="s">
        <v>34</v>
      </c>
      <c r="I5620" s="4" t="n">
        <v>15</v>
      </c>
      <c r="J5620" s="4" t="n">
        <f aca="false">LEN(E5620)-LEN(SUBSTITUTE(E5620,",",""))+1</f>
        <v>7</v>
      </c>
      <c r="K5620" s="3" t="str">
        <f aca="false">IFERROR(INDEX('Teacher Lookup'!$B$2:$B$200,MATCH(A5620,'Teacher Lookup'!$A$2:$A$200,0)),"")</f>
        <v>NG Janet</v>
      </c>
    </row>
    <row r="5621" customFormat="false" ht="15" hidden="false" customHeight="false" outlineLevel="0" collapsed="false">
      <c r="A5621" s="3" t="s">
        <v>454</v>
      </c>
      <c r="B5621" s="4" t="s">
        <v>50</v>
      </c>
      <c r="C5621" s="4" t="n">
        <v>4</v>
      </c>
      <c r="D5621" s="4" t="s">
        <v>127</v>
      </c>
      <c r="E5621" s="3" t="s">
        <v>221</v>
      </c>
      <c r="F5621" s="4" t="str">
        <f aca="false">IF(I5621&gt;J5621,"Y","N")</f>
        <v>Y</v>
      </c>
      <c r="G5621" s="3" t="s">
        <v>222</v>
      </c>
      <c r="H5621" s="3" t="s">
        <v>34</v>
      </c>
      <c r="I5621" s="4" t="n">
        <v>15</v>
      </c>
      <c r="J5621" s="4" t="n">
        <f aca="false">LEN(E5621)-LEN(SUBSTITUTE(E5621,",",""))+1</f>
        <v>7</v>
      </c>
      <c r="K5621" s="3" t="str">
        <f aca="false">IFERROR(INDEX('Teacher Lookup'!$B$2:$B$200,MATCH(A5621,'Teacher Lookup'!$A$2:$A$200,0)),"")</f>
        <v>NG Janet</v>
      </c>
    </row>
    <row r="5622" customFormat="false" ht="15" hidden="false" customHeight="false" outlineLevel="0" collapsed="false">
      <c r="A5622" s="3" t="s">
        <v>454</v>
      </c>
      <c r="B5622" s="4" t="s">
        <v>50</v>
      </c>
      <c r="C5622" s="4" t="n">
        <v>5</v>
      </c>
      <c r="D5622" s="4" t="s">
        <v>137</v>
      </c>
      <c r="E5622" s="3" t="s">
        <v>221</v>
      </c>
      <c r="F5622" s="4" t="str">
        <f aca="false">IF(I5622&gt;J5622,"Y","N")</f>
        <v>Y</v>
      </c>
      <c r="G5622" s="3" t="s">
        <v>222</v>
      </c>
      <c r="H5622" s="3" t="s">
        <v>37</v>
      </c>
      <c r="I5622" s="4" t="n">
        <v>15</v>
      </c>
      <c r="J5622" s="4" t="n">
        <f aca="false">LEN(E5622)-LEN(SUBSTITUTE(E5622,",",""))+1</f>
        <v>7</v>
      </c>
      <c r="K5622" s="3" t="str">
        <f aca="false">IFERROR(INDEX('Teacher Lookup'!$B$2:$B$200,MATCH(A5622,'Teacher Lookup'!$A$2:$A$200,0)),"")</f>
        <v>NG Janet</v>
      </c>
    </row>
    <row r="5623" customFormat="false" ht="15" hidden="false" customHeight="false" outlineLevel="0" collapsed="false">
      <c r="A5623" s="3" t="s">
        <v>454</v>
      </c>
      <c r="B5623" s="4" t="s">
        <v>50</v>
      </c>
      <c r="C5623" s="4" t="n">
        <v>5</v>
      </c>
      <c r="D5623" s="4" t="s">
        <v>124</v>
      </c>
      <c r="E5623" s="3" t="s">
        <v>221</v>
      </c>
      <c r="F5623" s="4" t="str">
        <f aca="false">IF(I5623&gt;J5623,"Y","N")</f>
        <v>Y</v>
      </c>
      <c r="G5623" s="3" t="s">
        <v>222</v>
      </c>
      <c r="H5623" s="3" t="s">
        <v>37</v>
      </c>
      <c r="I5623" s="4" t="n">
        <v>15</v>
      </c>
      <c r="J5623" s="4" t="n">
        <f aca="false">LEN(E5623)-LEN(SUBSTITUTE(E5623,",",""))+1</f>
        <v>7</v>
      </c>
      <c r="K5623" s="3" t="str">
        <f aca="false">IFERROR(INDEX('Teacher Lookup'!$B$2:$B$200,MATCH(A5623,'Teacher Lookup'!$A$2:$A$200,0)),"")</f>
        <v>NG Janet</v>
      </c>
    </row>
    <row r="5624" customFormat="false" ht="15" hidden="false" customHeight="false" outlineLevel="0" collapsed="false">
      <c r="A5624" s="3" t="s">
        <v>454</v>
      </c>
      <c r="B5624" s="4" t="s">
        <v>50</v>
      </c>
      <c r="C5624" s="4" t="n">
        <v>5</v>
      </c>
      <c r="D5624" s="4" t="s">
        <v>139</v>
      </c>
      <c r="E5624" s="3" t="s">
        <v>221</v>
      </c>
      <c r="F5624" s="4" t="str">
        <f aca="false">IF(I5624&gt;J5624,"Y","N")</f>
        <v>Y</v>
      </c>
      <c r="G5624" s="3" t="s">
        <v>222</v>
      </c>
      <c r="H5624" s="3" t="s">
        <v>37</v>
      </c>
      <c r="I5624" s="4" t="n">
        <v>15</v>
      </c>
      <c r="J5624" s="4" t="n">
        <f aca="false">LEN(E5624)-LEN(SUBSTITUTE(E5624,",",""))+1</f>
        <v>7</v>
      </c>
      <c r="K5624" s="3" t="str">
        <f aca="false">IFERROR(INDEX('Teacher Lookup'!$B$2:$B$200,MATCH(A5624,'Teacher Lookup'!$A$2:$A$200,0)),"")</f>
        <v>NG Janet</v>
      </c>
    </row>
    <row r="5625" customFormat="false" ht="15" hidden="false" customHeight="false" outlineLevel="0" collapsed="false">
      <c r="A5625" s="3" t="s">
        <v>454</v>
      </c>
      <c r="B5625" s="4" t="s">
        <v>50</v>
      </c>
      <c r="C5625" s="4" t="n">
        <v>5</v>
      </c>
      <c r="D5625" s="4" t="s">
        <v>140</v>
      </c>
      <c r="E5625" s="3" t="s">
        <v>221</v>
      </c>
      <c r="F5625" s="4" t="str">
        <f aca="false">IF(I5625&gt;J5625,"Y","N")</f>
        <v>Y</v>
      </c>
      <c r="G5625" s="3" t="s">
        <v>222</v>
      </c>
      <c r="H5625" s="3" t="s">
        <v>37</v>
      </c>
      <c r="I5625" s="4" t="n">
        <v>15</v>
      </c>
      <c r="J5625" s="4" t="n">
        <f aca="false">LEN(E5625)-LEN(SUBSTITUTE(E5625,",",""))+1</f>
        <v>7</v>
      </c>
      <c r="K5625" s="3" t="str">
        <f aca="false">IFERROR(INDEX('Teacher Lookup'!$B$2:$B$200,MATCH(A5625,'Teacher Lookup'!$A$2:$A$200,0)),"")</f>
        <v>NG Janet</v>
      </c>
    </row>
    <row r="5626" customFormat="false" ht="15" hidden="false" customHeight="false" outlineLevel="0" collapsed="false">
      <c r="A5626" s="3" t="s">
        <v>454</v>
      </c>
      <c r="B5626" s="4" t="s">
        <v>50</v>
      </c>
      <c r="C5626" s="4" t="n">
        <v>5</v>
      </c>
      <c r="D5626" s="4" t="s">
        <v>142</v>
      </c>
      <c r="E5626" s="3" t="s">
        <v>221</v>
      </c>
      <c r="F5626" s="4" t="str">
        <f aca="false">IF(I5626&gt;J5626,"Y","N")</f>
        <v>Y</v>
      </c>
      <c r="G5626" s="3" t="s">
        <v>222</v>
      </c>
      <c r="H5626" s="3" t="s">
        <v>37</v>
      </c>
      <c r="I5626" s="4" t="n">
        <v>15</v>
      </c>
      <c r="J5626" s="4" t="n">
        <f aca="false">LEN(E5626)-LEN(SUBSTITUTE(E5626,",",""))+1</f>
        <v>7</v>
      </c>
      <c r="K5626" s="3" t="str">
        <f aca="false">IFERROR(INDEX('Teacher Lookup'!$B$2:$B$200,MATCH(A5626,'Teacher Lookup'!$A$2:$A$200,0)),"")</f>
        <v>NG Janet</v>
      </c>
    </row>
    <row r="5627" customFormat="false" ht="15" hidden="false" customHeight="false" outlineLevel="0" collapsed="false">
      <c r="A5627" s="3" t="s">
        <v>454</v>
      </c>
      <c r="B5627" s="4" t="s">
        <v>50</v>
      </c>
      <c r="C5627" s="4" t="n">
        <v>5</v>
      </c>
      <c r="D5627" s="4" t="s">
        <v>127</v>
      </c>
      <c r="E5627" s="3" t="s">
        <v>221</v>
      </c>
      <c r="F5627" s="4" t="str">
        <f aca="false">IF(I5627&gt;J5627,"Y","N")</f>
        <v>Y</v>
      </c>
      <c r="G5627" s="3" t="s">
        <v>222</v>
      </c>
      <c r="H5627" s="3" t="s">
        <v>37</v>
      </c>
      <c r="I5627" s="4" t="n">
        <v>15</v>
      </c>
      <c r="J5627" s="4" t="n">
        <f aca="false">LEN(E5627)-LEN(SUBSTITUTE(E5627,",",""))+1</f>
        <v>7</v>
      </c>
      <c r="K5627" s="3" t="str">
        <f aca="false">IFERROR(INDEX('Teacher Lookup'!$B$2:$B$200,MATCH(A5627,'Teacher Lookup'!$A$2:$A$200,0)),"")</f>
        <v>NG Janet</v>
      </c>
    </row>
    <row r="5628" customFormat="false" ht="15" hidden="false" customHeight="false" outlineLevel="0" collapsed="false">
      <c r="A5628" s="3" t="s">
        <v>454</v>
      </c>
      <c r="B5628" s="4" t="s">
        <v>50</v>
      </c>
      <c r="C5628" s="4" t="n">
        <v>6</v>
      </c>
      <c r="D5628" s="4" t="s">
        <v>19</v>
      </c>
      <c r="E5628" s="3" t="s">
        <v>298</v>
      </c>
      <c r="F5628" s="4" t="str">
        <f aca="false">IF(I5628&gt;J5628,"Y","N")</f>
        <v>N</v>
      </c>
      <c r="G5628" s="3" t="s">
        <v>299</v>
      </c>
      <c r="H5628" s="3" t="s">
        <v>42</v>
      </c>
      <c r="I5628" s="4" t="n">
        <v>2</v>
      </c>
      <c r="J5628" s="4" t="n">
        <f aca="false">LEN(E5628)-LEN(SUBSTITUTE(E5628,",",""))+1</f>
        <v>2</v>
      </c>
      <c r="K5628" s="3" t="str">
        <f aca="false">IFERROR(INDEX('Teacher Lookup'!$B$2:$B$200,MATCH(A5628,'Teacher Lookup'!$A$2:$A$200,0)),"")</f>
        <v>NG Janet</v>
      </c>
    </row>
    <row r="5629" customFormat="false" ht="15" hidden="false" customHeight="false" outlineLevel="0" collapsed="false">
      <c r="A5629" s="3" t="s">
        <v>454</v>
      </c>
      <c r="B5629" s="4" t="s">
        <v>50</v>
      </c>
      <c r="C5629" s="4" t="n">
        <v>7</v>
      </c>
      <c r="D5629" s="4" t="s">
        <v>19</v>
      </c>
      <c r="E5629" s="3" t="s">
        <v>298</v>
      </c>
      <c r="F5629" s="4" t="str">
        <f aca="false">IF(I5629&gt;J5629,"Y","N")</f>
        <v>N</v>
      </c>
      <c r="G5629" s="3" t="s">
        <v>299</v>
      </c>
      <c r="H5629" s="3" t="s">
        <v>39</v>
      </c>
      <c r="I5629" s="4" t="n">
        <v>2</v>
      </c>
      <c r="J5629" s="4" t="n">
        <f aca="false">LEN(E5629)-LEN(SUBSTITUTE(E5629,",",""))+1</f>
        <v>2</v>
      </c>
      <c r="K5629" s="3" t="str">
        <f aca="false">IFERROR(INDEX('Teacher Lookup'!$B$2:$B$200,MATCH(A5629,'Teacher Lookup'!$A$2:$A$200,0)),"")</f>
        <v>NG Janet</v>
      </c>
    </row>
    <row r="5630" customFormat="false" ht="15" hidden="false" customHeight="false" outlineLevel="0" collapsed="false">
      <c r="A5630" s="3" t="s">
        <v>454</v>
      </c>
      <c r="B5630" s="4" t="s">
        <v>60</v>
      </c>
      <c r="C5630" s="4" t="n">
        <v>1</v>
      </c>
      <c r="D5630" s="4" t="s">
        <v>17</v>
      </c>
      <c r="E5630" s="3" t="s">
        <v>298</v>
      </c>
      <c r="F5630" s="4" t="str">
        <f aca="false">IF(I5630&gt;J5630,"Y","N")</f>
        <v>N</v>
      </c>
      <c r="G5630" s="3" t="s">
        <v>299</v>
      </c>
      <c r="H5630" s="3" t="s">
        <v>16</v>
      </c>
      <c r="I5630" s="4" t="n">
        <v>2</v>
      </c>
      <c r="J5630" s="4" t="n">
        <f aca="false">LEN(E5630)-LEN(SUBSTITUTE(E5630,",",""))+1</f>
        <v>2</v>
      </c>
      <c r="K5630" s="3" t="str">
        <f aca="false">IFERROR(INDEX('Teacher Lookup'!$B$2:$B$200,MATCH(A5630,'Teacher Lookup'!$A$2:$A$200,0)),"")</f>
        <v>NG Janet</v>
      </c>
    </row>
    <row r="5631" customFormat="false" ht="15" hidden="false" customHeight="false" outlineLevel="0" collapsed="false">
      <c r="A5631" s="3" t="s">
        <v>454</v>
      </c>
      <c r="B5631" s="4" t="s">
        <v>60</v>
      </c>
      <c r="C5631" s="4" t="n">
        <v>2</v>
      </c>
      <c r="D5631" s="4" t="s">
        <v>17</v>
      </c>
      <c r="E5631" s="3" t="s">
        <v>298</v>
      </c>
      <c r="F5631" s="4" t="str">
        <f aca="false">IF(I5631&gt;J5631,"Y","N")</f>
        <v>N</v>
      </c>
      <c r="G5631" s="3" t="s">
        <v>299</v>
      </c>
      <c r="H5631" s="3" t="s">
        <v>21</v>
      </c>
      <c r="I5631" s="4" t="n">
        <v>2</v>
      </c>
      <c r="J5631" s="4" t="n">
        <f aca="false">LEN(E5631)-LEN(SUBSTITUTE(E5631,",",""))+1</f>
        <v>2</v>
      </c>
      <c r="K5631" s="3" t="str">
        <f aca="false">IFERROR(INDEX('Teacher Lookup'!$B$2:$B$200,MATCH(A5631,'Teacher Lookup'!$A$2:$A$200,0)),"")</f>
        <v>NG Janet</v>
      </c>
    </row>
    <row r="5632" customFormat="false" ht="15" hidden="false" customHeight="false" outlineLevel="0" collapsed="false">
      <c r="A5632" s="3" t="s">
        <v>454</v>
      </c>
      <c r="B5632" s="4" t="s">
        <v>60</v>
      </c>
      <c r="C5632" s="4" t="n">
        <v>5</v>
      </c>
      <c r="D5632" s="4" t="s">
        <v>137</v>
      </c>
      <c r="E5632" s="3" t="s">
        <v>185</v>
      </c>
      <c r="F5632" s="4" t="str">
        <f aca="false">IF(I5632&gt;J5632,"Y","N")</f>
        <v>Y</v>
      </c>
      <c r="G5632" s="3" t="s">
        <v>36</v>
      </c>
      <c r="H5632" s="3" t="s">
        <v>37</v>
      </c>
      <c r="I5632" s="4" t="n">
        <v>21</v>
      </c>
      <c r="J5632" s="4" t="n">
        <f aca="false">LEN(E5632)-LEN(SUBSTITUTE(E5632,",",""))+1</f>
        <v>7</v>
      </c>
      <c r="K5632" s="3" t="str">
        <f aca="false">IFERROR(INDEX('Teacher Lookup'!$B$2:$B$200,MATCH(A5632,'Teacher Lookup'!$A$2:$A$200,0)),"")</f>
        <v>NG Janet</v>
      </c>
    </row>
    <row r="5633" customFormat="false" ht="15" hidden="false" customHeight="false" outlineLevel="0" collapsed="false">
      <c r="A5633" s="3" t="s">
        <v>454</v>
      </c>
      <c r="B5633" s="4" t="s">
        <v>60</v>
      </c>
      <c r="C5633" s="4" t="n">
        <v>5</v>
      </c>
      <c r="D5633" s="4" t="s">
        <v>124</v>
      </c>
      <c r="E5633" s="3" t="s">
        <v>185</v>
      </c>
      <c r="F5633" s="4" t="str">
        <f aca="false">IF(I5633&gt;J5633,"Y","N")</f>
        <v>Y</v>
      </c>
      <c r="G5633" s="3" t="s">
        <v>36</v>
      </c>
      <c r="H5633" s="3" t="s">
        <v>37</v>
      </c>
      <c r="I5633" s="4" t="n">
        <v>21</v>
      </c>
      <c r="J5633" s="4" t="n">
        <f aca="false">LEN(E5633)-LEN(SUBSTITUTE(E5633,",",""))+1</f>
        <v>7</v>
      </c>
      <c r="K5633" s="3" t="str">
        <f aca="false">IFERROR(INDEX('Teacher Lookup'!$B$2:$B$200,MATCH(A5633,'Teacher Lookup'!$A$2:$A$200,0)),"")</f>
        <v>NG Janet</v>
      </c>
    </row>
    <row r="5634" customFormat="false" ht="15" hidden="false" customHeight="false" outlineLevel="0" collapsed="false">
      <c r="A5634" s="3" t="s">
        <v>454</v>
      </c>
      <c r="B5634" s="4" t="s">
        <v>60</v>
      </c>
      <c r="C5634" s="4" t="n">
        <v>5</v>
      </c>
      <c r="D5634" s="4" t="s">
        <v>139</v>
      </c>
      <c r="E5634" s="3" t="s">
        <v>185</v>
      </c>
      <c r="F5634" s="4" t="str">
        <f aca="false">IF(I5634&gt;J5634,"Y","N")</f>
        <v>Y</v>
      </c>
      <c r="G5634" s="3" t="s">
        <v>36</v>
      </c>
      <c r="H5634" s="3" t="s">
        <v>37</v>
      </c>
      <c r="I5634" s="4" t="n">
        <v>21</v>
      </c>
      <c r="J5634" s="4" t="n">
        <f aca="false">LEN(E5634)-LEN(SUBSTITUTE(E5634,",",""))+1</f>
        <v>7</v>
      </c>
      <c r="K5634" s="3" t="str">
        <f aca="false">IFERROR(INDEX('Teacher Lookup'!$B$2:$B$200,MATCH(A5634,'Teacher Lookup'!$A$2:$A$200,0)),"")</f>
        <v>NG Janet</v>
      </c>
    </row>
    <row r="5635" customFormat="false" ht="15" hidden="false" customHeight="false" outlineLevel="0" collapsed="false">
      <c r="A5635" s="3" t="s">
        <v>454</v>
      </c>
      <c r="B5635" s="4" t="s">
        <v>60</v>
      </c>
      <c r="C5635" s="4" t="n">
        <v>5</v>
      </c>
      <c r="D5635" s="4" t="s">
        <v>140</v>
      </c>
      <c r="E5635" s="3" t="s">
        <v>185</v>
      </c>
      <c r="F5635" s="4" t="str">
        <f aca="false">IF(I5635&gt;J5635,"Y","N")</f>
        <v>Y</v>
      </c>
      <c r="G5635" s="3" t="s">
        <v>36</v>
      </c>
      <c r="H5635" s="3" t="s">
        <v>37</v>
      </c>
      <c r="I5635" s="4" t="n">
        <v>21</v>
      </c>
      <c r="J5635" s="4" t="n">
        <f aca="false">LEN(E5635)-LEN(SUBSTITUTE(E5635,",",""))+1</f>
        <v>7</v>
      </c>
      <c r="K5635" s="3" t="str">
        <f aca="false">IFERROR(INDEX('Teacher Lookup'!$B$2:$B$200,MATCH(A5635,'Teacher Lookup'!$A$2:$A$200,0)),"")</f>
        <v>NG Janet</v>
      </c>
    </row>
    <row r="5636" customFormat="false" ht="15" hidden="false" customHeight="false" outlineLevel="0" collapsed="false">
      <c r="A5636" s="3" t="s">
        <v>454</v>
      </c>
      <c r="B5636" s="4" t="s">
        <v>60</v>
      </c>
      <c r="C5636" s="4" t="n">
        <v>5</v>
      </c>
      <c r="D5636" s="4" t="s">
        <v>142</v>
      </c>
      <c r="E5636" s="3" t="s">
        <v>185</v>
      </c>
      <c r="F5636" s="4" t="str">
        <f aca="false">IF(I5636&gt;J5636,"Y","N")</f>
        <v>Y</v>
      </c>
      <c r="G5636" s="3" t="s">
        <v>36</v>
      </c>
      <c r="H5636" s="3" t="s">
        <v>37</v>
      </c>
      <c r="I5636" s="4" t="n">
        <v>21</v>
      </c>
      <c r="J5636" s="4" t="n">
        <f aca="false">LEN(E5636)-LEN(SUBSTITUTE(E5636,",",""))+1</f>
        <v>7</v>
      </c>
      <c r="K5636" s="3" t="str">
        <f aca="false">IFERROR(INDEX('Teacher Lookup'!$B$2:$B$200,MATCH(A5636,'Teacher Lookup'!$A$2:$A$200,0)),"")</f>
        <v>NG Janet</v>
      </c>
    </row>
    <row r="5637" customFormat="false" ht="15" hidden="false" customHeight="false" outlineLevel="0" collapsed="false">
      <c r="A5637" s="3" t="s">
        <v>454</v>
      </c>
      <c r="B5637" s="4" t="s">
        <v>60</v>
      </c>
      <c r="C5637" s="4" t="n">
        <v>5</v>
      </c>
      <c r="D5637" s="4" t="s">
        <v>127</v>
      </c>
      <c r="E5637" s="3" t="s">
        <v>185</v>
      </c>
      <c r="F5637" s="4" t="str">
        <f aca="false">IF(I5637&gt;J5637,"Y","N")</f>
        <v>Y</v>
      </c>
      <c r="G5637" s="3" t="s">
        <v>36</v>
      </c>
      <c r="H5637" s="3" t="s">
        <v>37</v>
      </c>
      <c r="I5637" s="4" t="n">
        <v>21</v>
      </c>
      <c r="J5637" s="4" t="n">
        <f aca="false">LEN(E5637)-LEN(SUBSTITUTE(E5637,",",""))+1</f>
        <v>7</v>
      </c>
      <c r="K5637" s="3" t="str">
        <f aca="false">IFERROR(INDEX('Teacher Lookup'!$B$2:$B$200,MATCH(A5637,'Teacher Lookup'!$A$2:$A$200,0)),"")</f>
        <v>NG Janet</v>
      </c>
    </row>
    <row r="5638" customFormat="false" ht="15" hidden="false" customHeight="false" outlineLevel="0" collapsed="false">
      <c r="A5638" s="3" t="s">
        <v>454</v>
      </c>
      <c r="B5638" s="4" t="s">
        <v>63</v>
      </c>
      <c r="C5638" s="4" t="n">
        <v>4</v>
      </c>
      <c r="D5638" s="4" t="s">
        <v>70</v>
      </c>
      <c r="E5638" s="3" t="s">
        <v>213</v>
      </c>
      <c r="F5638" s="4" t="str">
        <f aca="false">IF(I5638&gt;J5638,"Y","N")</f>
        <v>Y</v>
      </c>
      <c r="G5638" s="3" t="s">
        <v>214</v>
      </c>
      <c r="H5638" s="3" t="s">
        <v>34</v>
      </c>
      <c r="I5638" s="4" t="n">
        <v>20</v>
      </c>
      <c r="J5638" s="4" t="n">
        <f aca="false">LEN(E5638)-LEN(SUBSTITUTE(E5638,",",""))+1</f>
        <v>6</v>
      </c>
      <c r="K5638" s="3" t="str">
        <f aca="false">IFERROR(INDEX('Teacher Lookup'!$B$2:$B$200,MATCH(A5638,'Teacher Lookup'!$A$2:$A$200,0)),"")</f>
        <v>NG Janet</v>
      </c>
    </row>
    <row r="5639" customFormat="false" ht="15" hidden="false" customHeight="false" outlineLevel="0" collapsed="false">
      <c r="A5639" s="3" t="s">
        <v>454</v>
      </c>
      <c r="B5639" s="4" t="s">
        <v>63</v>
      </c>
      <c r="C5639" s="4" t="n">
        <v>4</v>
      </c>
      <c r="D5639" s="4" t="s">
        <v>73</v>
      </c>
      <c r="E5639" s="3" t="s">
        <v>213</v>
      </c>
      <c r="F5639" s="4" t="str">
        <f aca="false">IF(I5639&gt;J5639,"Y","N")</f>
        <v>Y</v>
      </c>
      <c r="G5639" s="3" t="s">
        <v>214</v>
      </c>
      <c r="H5639" s="3" t="s">
        <v>34</v>
      </c>
      <c r="I5639" s="4" t="n">
        <v>20</v>
      </c>
      <c r="J5639" s="4" t="n">
        <f aca="false">LEN(E5639)-LEN(SUBSTITUTE(E5639,",",""))+1</f>
        <v>6</v>
      </c>
      <c r="K5639" s="3" t="str">
        <f aca="false">IFERROR(INDEX('Teacher Lookup'!$B$2:$B$200,MATCH(A5639,'Teacher Lookup'!$A$2:$A$200,0)),"")</f>
        <v>NG Janet</v>
      </c>
    </row>
    <row r="5640" customFormat="false" ht="15" hidden="false" customHeight="false" outlineLevel="0" collapsed="false">
      <c r="A5640" s="3" t="s">
        <v>454</v>
      </c>
      <c r="B5640" s="4" t="s">
        <v>63</v>
      </c>
      <c r="C5640" s="4" t="n">
        <v>4</v>
      </c>
      <c r="D5640" s="4" t="s">
        <v>74</v>
      </c>
      <c r="E5640" s="3" t="s">
        <v>213</v>
      </c>
      <c r="F5640" s="4" t="str">
        <f aca="false">IF(I5640&gt;J5640,"Y","N")</f>
        <v>Y</v>
      </c>
      <c r="G5640" s="3" t="s">
        <v>214</v>
      </c>
      <c r="H5640" s="3" t="s">
        <v>34</v>
      </c>
      <c r="I5640" s="4" t="n">
        <v>20</v>
      </c>
      <c r="J5640" s="4" t="n">
        <f aca="false">LEN(E5640)-LEN(SUBSTITUTE(E5640,",",""))+1</f>
        <v>6</v>
      </c>
      <c r="K5640" s="3" t="str">
        <f aca="false">IFERROR(INDEX('Teacher Lookup'!$B$2:$B$200,MATCH(A5640,'Teacher Lookup'!$A$2:$A$200,0)),"")</f>
        <v>NG Janet</v>
      </c>
    </row>
    <row r="5641" customFormat="false" ht="15" hidden="false" customHeight="false" outlineLevel="0" collapsed="false">
      <c r="A5641" s="3" t="s">
        <v>454</v>
      </c>
      <c r="B5641" s="4" t="s">
        <v>63</v>
      </c>
      <c r="C5641" s="4" t="n">
        <v>4</v>
      </c>
      <c r="D5641" s="4" t="s">
        <v>76</v>
      </c>
      <c r="E5641" s="3" t="s">
        <v>213</v>
      </c>
      <c r="F5641" s="4" t="str">
        <f aca="false">IF(I5641&gt;J5641,"Y","N")</f>
        <v>Y</v>
      </c>
      <c r="G5641" s="3" t="s">
        <v>214</v>
      </c>
      <c r="H5641" s="3" t="s">
        <v>34</v>
      </c>
      <c r="I5641" s="4" t="n">
        <v>20</v>
      </c>
      <c r="J5641" s="4" t="n">
        <f aca="false">LEN(E5641)-LEN(SUBSTITUTE(E5641,",",""))+1</f>
        <v>6</v>
      </c>
      <c r="K5641" s="3" t="str">
        <f aca="false">IFERROR(INDEX('Teacher Lookup'!$B$2:$B$200,MATCH(A5641,'Teacher Lookup'!$A$2:$A$200,0)),"")</f>
        <v>NG Janet</v>
      </c>
    </row>
    <row r="5642" customFormat="false" ht="15" hidden="false" customHeight="false" outlineLevel="0" collapsed="false">
      <c r="A5642" s="3" t="s">
        <v>454</v>
      </c>
      <c r="B5642" s="4" t="s">
        <v>63</v>
      </c>
      <c r="C5642" s="4" t="n">
        <v>4</v>
      </c>
      <c r="D5642" s="4" t="s">
        <v>78</v>
      </c>
      <c r="E5642" s="3" t="s">
        <v>213</v>
      </c>
      <c r="F5642" s="4" t="str">
        <f aca="false">IF(I5642&gt;J5642,"Y","N")</f>
        <v>Y</v>
      </c>
      <c r="G5642" s="3" t="s">
        <v>214</v>
      </c>
      <c r="H5642" s="3" t="s">
        <v>34</v>
      </c>
      <c r="I5642" s="4" t="n">
        <v>20</v>
      </c>
      <c r="J5642" s="4" t="n">
        <f aca="false">LEN(E5642)-LEN(SUBSTITUTE(E5642,",",""))+1</f>
        <v>6</v>
      </c>
      <c r="K5642" s="3" t="str">
        <f aca="false">IFERROR(INDEX('Teacher Lookup'!$B$2:$B$200,MATCH(A5642,'Teacher Lookup'!$A$2:$A$200,0)),"")</f>
        <v>NG Janet</v>
      </c>
    </row>
    <row r="5643" customFormat="false" ht="15" hidden="false" customHeight="false" outlineLevel="0" collapsed="false">
      <c r="A5643" s="3" t="s">
        <v>454</v>
      </c>
      <c r="B5643" s="4" t="s">
        <v>63</v>
      </c>
      <c r="C5643" s="4" t="n">
        <v>4</v>
      </c>
      <c r="D5643" s="4" t="s">
        <v>79</v>
      </c>
      <c r="E5643" s="3" t="s">
        <v>213</v>
      </c>
      <c r="F5643" s="4" t="str">
        <f aca="false">IF(I5643&gt;J5643,"Y","N")</f>
        <v>Y</v>
      </c>
      <c r="G5643" s="3" t="s">
        <v>214</v>
      </c>
      <c r="H5643" s="3" t="s">
        <v>34</v>
      </c>
      <c r="I5643" s="4" t="n">
        <v>20</v>
      </c>
      <c r="J5643" s="4" t="n">
        <f aca="false">LEN(E5643)-LEN(SUBSTITUTE(E5643,",",""))+1</f>
        <v>6</v>
      </c>
      <c r="K5643" s="3" t="str">
        <f aca="false">IFERROR(INDEX('Teacher Lookup'!$B$2:$B$200,MATCH(A5643,'Teacher Lookup'!$A$2:$A$200,0)),"")</f>
        <v>NG Janet</v>
      </c>
    </row>
    <row r="5644" customFormat="false" ht="15" hidden="false" customHeight="false" outlineLevel="0" collapsed="false">
      <c r="A5644" s="3" t="s">
        <v>454</v>
      </c>
      <c r="B5644" s="4" t="s">
        <v>63</v>
      </c>
      <c r="C5644" s="4" t="n">
        <v>5</v>
      </c>
      <c r="D5644" s="4" t="s">
        <v>70</v>
      </c>
      <c r="E5644" s="3" t="s">
        <v>213</v>
      </c>
      <c r="F5644" s="4" t="str">
        <f aca="false">IF(I5644&gt;J5644,"Y","N")</f>
        <v>Y</v>
      </c>
      <c r="G5644" s="3" t="s">
        <v>214</v>
      </c>
      <c r="H5644" s="3" t="s">
        <v>37</v>
      </c>
      <c r="I5644" s="4" t="n">
        <v>20</v>
      </c>
      <c r="J5644" s="4" t="n">
        <f aca="false">LEN(E5644)-LEN(SUBSTITUTE(E5644,",",""))+1</f>
        <v>6</v>
      </c>
      <c r="K5644" s="3" t="str">
        <f aca="false">IFERROR(INDEX('Teacher Lookup'!$B$2:$B$200,MATCH(A5644,'Teacher Lookup'!$A$2:$A$200,0)),"")</f>
        <v>NG Janet</v>
      </c>
    </row>
    <row r="5645" customFormat="false" ht="15" hidden="false" customHeight="false" outlineLevel="0" collapsed="false">
      <c r="A5645" s="3" t="s">
        <v>454</v>
      </c>
      <c r="B5645" s="4" t="s">
        <v>63</v>
      </c>
      <c r="C5645" s="4" t="n">
        <v>5</v>
      </c>
      <c r="D5645" s="4" t="s">
        <v>73</v>
      </c>
      <c r="E5645" s="3" t="s">
        <v>213</v>
      </c>
      <c r="F5645" s="4" t="str">
        <f aca="false">IF(I5645&gt;J5645,"Y","N")</f>
        <v>Y</v>
      </c>
      <c r="G5645" s="3" t="s">
        <v>214</v>
      </c>
      <c r="H5645" s="3" t="s">
        <v>37</v>
      </c>
      <c r="I5645" s="4" t="n">
        <v>20</v>
      </c>
      <c r="J5645" s="4" t="n">
        <f aca="false">LEN(E5645)-LEN(SUBSTITUTE(E5645,",",""))+1</f>
        <v>6</v>
      </c>
      <c r="K5645" s="3" t="str">
        <f aca="false">IFERROR(INDEX('Teacher Lookup'!$B$2:$B$200,MATCH(A5645,'Teacher Lookup'!$A$2:$A$200,0)),"")</f>
        <v>NG Janet</v>
      </c>
    </row>
    <row r="5646" customFormat="false" ht="15" hidden="false" customHeight="false" outlineLevel="0" collapsed="false">
      <c r="A5646" s="3" t="s">
        <v>454</v>
      </c>
      <c r="B5646" s="4" t="s">
        <v>63</v>
      </c>
      <c r="C5646" s="4" t="n">
        <v>5</v>
      </c>
      <c r="D5646" s="4" t="s">
        <v>74</v>
      </c>
      <c r="E5646" s="3" t="s">
        <v>213</v>
      </c>
      <c r="F5646" s="4" t="str">
        <f aca="false">IF(I5646&gt;J5646,"Y","N")</f>
        <v>Y</v>
      </c>
      <c r="G5646" s="3" t="s">
        <v>214</v>
      </c>
      <c r="H5646" s="3" t="s">
        <v>37</v>
      </c>
      <c r="I5646" s="4" t="n">
        <v>20</v>
      </c>
      <c r="J5646" s="4" t="n">
        <f aca="false">LEN(E5646)-LEN(SUBSTITUTE(E5646,",",""))+1</f>
        <v>6</v>
      </c>
      <c r="K5646" s="3" t="str">
        <f aca="false">IFERROR(INDEX('Teacher Lookup'!$B$2:$B$200,MATCH(A5646,'Teacher Lookup'!$A$2:$A$200,0)),"")</f>
        <v>NG Janet</v>
      </c>
    </row>
    <row r="5647" customFormat="false" ht="15" hidden="false" customHeight="false" outlineLevel="0" collapsed="false">
      <c r="A5647" s="3" t="s">
        <v>454</v>
      </c>
      <c r="B5647" s="4" t="s">
        <v>63</v>
      </c>
      <c r="C5647" s="4" t="n">
        <v>5</v>
      </c>
      <c r="D5647" s="4" t="s">
        <v>76</v>
      </c>
      <c r="E5647" s="3" t="s">
        <v>213</v>
      </c>
      <c r="F5647" s="4" t="str">
        <f aca="false">IF(I5647&gt;J5647,"Y","N")</f>
        <v>Y</v>
      </c>
      <c r="G5647" s="3" t="s">
        <v>214</v>
      </c>
      <c r="H5647" s="3" t="s">
        <v>37</v>
      </c>
      <c r="I5647" s="4" t="n">
        <v>20</v>
      </c>
      <c r="J5647" s="4" t="n">
        <f aca="false">LEN(E5647)-LEN(SUBSTITUTE(E5647,",",""))+1</f>
        <v>6</v>
      </c>
      <c r="K5647" s="3" t="str">
        <f aca="false">IFERROR(INDEX('Teacher Lookup'!$B$2:$B$200,MATCH(A5647,'Teacher Lookup'!$A$2:$A$200,0)),"")</f>
        <v>NG Janet</v>
      </c>
    </row>
    <row r="5648" customFormat="false" ht="15" hidden="false" customHeight="false" outlineLevel="0" collapsed="false">
      <c r="A5648" s="3" t="s">
        <v>454</v>
      </c>
      <c r="B5648" s="4" t="s">
        <v>63</v>
      </c>
      <c r="C5648" s="4" t="n">
        <v>5</v>
      </c>
      <c r="D5648" s="4" t="s">
        <v>78</v>
      </c>
      <c r="E5648" s="3" t="s">
        <v>213</v>
      </c>
      <c r="F5648" s="4" t="str">
        <f aca="false">IF(I5648&gt;J5648,"Y","N")</f>
        <v>Y</v>
      </c>
      <c r="G5648" s="3" t="s">
        <v>214</v>
      </c>
      <c r="H5648" s="3" t="s">
        <v>37</v>
      </c>
      <c r="I5648" s="4" t="n">
        <v>20</v>
      </c>
      <c r="J5648" s="4" t="n">
        <f aca="false">LEN(E5648)-LEN(SUBSTITUTE(E5648,",",""))+1</f>
        <v>6</v>
      </c>
      <c r="K5648" s="3" t="str">
        <f aca="false">IFERROR(INDEX('Teacher Lookup'!$B$2:$B$200,MATCH(A5648,'Teacher Lookup'!$A$2:$A$200,0)),"")</f>
        <v>NG Janet</v>
      </c>
    </row>
    <row r="5649" customFormat="false" ht="15" hidden="false" customHeight="false" outlineLevel="0" collapsed="false">
      <c r="A5649" s="3" t="s">
        <v>454</v>
      </c>
      <c r="B5649" s="4" t="s">
        <v>63</v>
      </c>
      <c r="C5649" s="4" t="n">
        <v>5</v>
      </c>
      <c r="D5649" s="4" t="s">
        <v>79</v>
      </c>
      <c r="E5649" s="3" t="s">
        <v>213</v>
      </c>
      <c r="F5649" s="4" t="str">
        <f aca="false">IF(I5649&gt;J5649,"Y","N")</f>
        <v>Y</v>
      </c>
      <c r="G5649" s="3" t="s">
        <v>214</v>
      </c>
      <c r="H5649" s="3" t="s">
        <v>37</v>
      </c>
      <c r="I5649" s="4" t="n">
        <v>20</v>
      </c>
      <c r="J5649" s="4" t="n">
        <f aca="false">LEN(E5649)-LEN(SUBSTITUTE(E5649,",",""))+1</f>
        <v>6</v>
      </c>
      <c r="K5649" s="3" t="str">
        <f aca="false">IFERROR(INDEX('Teacher Lookup'!$B$2:$B$200,MATCH(A5649,'Teacher Lookup'!$A$2:$A$200,0)),"")</f>
        <v>NG Janet</v>
      </c>
    </row>
    <row r="5650" customFormat="false" ht="15" hidden="false" customHeight="false" outlineLevel="0" collapsed="false">
      <c r="A5650" s="3" t="s">
        <v>454</v>
      </c>
      <c r="B5650" s="4" t="s">
        <v>65</v>
      </c>
      <c r="C5650" s="4" t="n">
        <v>1</v>
      </c>
      <c r="D5650" s="4" t="s">
        <v>140</v>
      </c>
      <c r="E5650" s="3" t="s">
        <v>298</v>
      </c>
      <c r="F5650" s="4" t="str">
        <f aca="false">IF(I5650&gt;J5650,"Y","N")</f>
        <v>N</v>
      </c>
      <c r="G5650" s="3" t="s">
        <v>299</v>
      </c>
      <c r="H5650" s="3" t="s">
        <v>16</v>
      </c>
      <c r="I5650" s="4" t="n">
        <v>2</v>
      </c>
      <c r="J5650" s="4" t="n">
        <f aca="false">LEN(E5650)-LEN(SUBSTITUTE(E5650,",",""))+1</f>
        <v>2</v>
      </c>
      <c r="K5650" s="3" t="str">
        <f aca="false">IFERROR(INDEX('Teacher Lookup'!$B$2:$B$200,MATCH(A5650,'Teacher Lookup'!$A$2:$A$200,0)),"")</f>
        <v>NG Janet</v>
      </c>
    </row>
    <row r="5651" customFormat="false" ht="15" hidden="false" customHeight="false" outlineLevel="0" collapsed="false">
      <c r="A5651" s="3" t="s">
        <v>454</v>
      </c>
      <c r="B5651" s="4" t="s">
        <v>65</v>
      </c>
      <c r="C5651" s="4" t="n">
        <v>2</v>
      </c>
      <c r="D5651" s="4" t="s">
        <v>140</v>
      </c>
      <c r="E5651" s="3" t="s">
        <v>298</v>
      </c>
      <c r="F5651" s="4" t="str">
        <f aca="false">IF(I5651&gt;J5651,"Y","N")</f>
        <v>N</v>
      </c>
      <c r="G5651" s="3" t="s">
        <v>299</v>
      </c>
      <c r="H5651" s="3" t="s">
        <v>21</v>
      </c>
      <c r="I5651" s="4" t="n">
        <v>2</v>
      </c>
      <c r="J5651" s="4" t="n">
        <f aca="false">LEN(E5651)-LEN(SUBSTITUTE(E5651,",",""))+1</f>
        <v>2</v>
      </c>
      <c r="K5651" s="3" t="str">
        <f aca="false">IFERROR(INDEX('Teacher Lookup'!$B$2:$B$200,MATCH(A5651,'Teacher Lookup'!$A$2:$A$200,0)),"")</f>
        <v>NG Janet</v>
      </c>
    </row>
    <row r="5652" customFormat="false" ht="15" hidden="false" customHeight="false" outlineLevel="0" collapsed="false">
      <c r="A5652" s="3" t="s">
        <v>454</v>
      </c>
      <c r="B5652" s="4" t="s">
        <v>65</v>
      </c>
      <c r="C5652" s="4" t="n">
        <v>5</v>
      </c>
      <c r="D5652" s="4" t="s">
        <v>137</v>
      </c>
      <c r="E5652" s="3" t="s">
        <v>185</v>
      </c>
      <c r="F5652" s="4" t="str">
        <f aca="false">IF(I5652&gt;J5652,"Y","N")</f>
        <v>Y</v>
      </c>
      <c r="G5652" s="3" t="s">
        <v>36</v>
      </c>
      <c r="H5652" s="3" t="s">
        <v>37</v>
      </c>
      <c r="I5652" s="4" t="n">
        <v>21</v>
      </c>
      <c r="J5652" s="4" t="n">
        <f aca="false">LEN(E5652)-LEN(SUBSTITUTE(E5652,",",""))+1</f>
        <v>7</v>
      </c>
      <c r="K5652" s="3" t="str">
        <f aca="false">IFERROR(INDEX('Teacher Lookup'!$B$2:$B$200,MATCH(A5652,'Teacher Lookup'!$A$2:$A$200,0)),"")</f>
        <v>NG Janet</v>
      </c>
    </row>
    <row r="5653" customFormat="false" ht="15" hidden="false" customHeight="false" outlineLevel="0" collapsed="false">
      <c r="A5653" s="3" t="s">
        <v>454</v>
      </c>
      <c r="B5653" s="4" t="s">
        <v>65</v>
      </c>
      <c r="C5653" s="4" t="n">
        <v>5</v>
      </c>
      <c r="D5653" s="4" t="s">
        <v>124</v>
      </c>
      <c r="E5653" s="3" t="s">
        <v>185</v>
      </c>
      <c r="F5653" s="4" t="str">
        <f aca="false">IF(I5653&gt;J5653,"Y","N")</f>
        <v>Y</v>
      </c>
      <c r="G5653" s="3" t="s">
        <v>36</v>
      </c>
      <c r="H5653" s="3" t="s">
        <v>37</v>
      </c>
      <c r="I5653" s="4" t="n">
        <v>21</v>
      </c>
      <c r="J5653" s="4" t="n">
        <f aca="false">LEN(E5653)-LEN(SUBSTITUTE(E5653,",",""))+1</f>
        <v>7</v>
      </c>
      <c r="K5653" s="3" t="str">
        <f aca="false">IFERROR(INDEX('Teacher Lookup'!$B$2:$B$200,MATCH(A5653,'Teacher Lookup'!$A$2:$A$200,0)),"")</f>
        <v>NG Janet</v>
      </c>
    </row>
    <row r="5654" customFormat="false" ht="15" hidden="false" customHeight="false" outlineLevel="0" collapsed="false">
      <c r="A5654" s="3" t="s">
        <v>454</v>
      </c>
      <c r="B5654" s="4" t="s">
        <v>65</v>
      </c>
      <c r="C5654" s="4" t="n">
        <v>5</v>
      </c>
      <c r="D5654" s="4" t="s">
        <v>139</v>
      </c>
      <c r="E5654" s="3" t="s">
        <v>185</v>
      </c>
      <c r="F5654" s="4" t="str">
        <f aca="false">IF(I5654&gt;J5654,"Y","N")</f>
        <v>Y</v>
      </c>
      <c r="G5654" s="3" t="s">
        <v>36</v>
      </c>
      <c r="H5654" s="3" t="s">
        <v>37</v>
      </c>
      <c r="I5654" s="4" t="n">
        <v>21</v>
      </c>
      <c r="J5654" s="4" t="n">
        <f aca="false">LEN(E5654)-LEN(SUBSTITUTE(E5654,",",""))+1</f>
        <v>7</v>
      </c>
      <c r="K5654" s="3" t="str">
        <f aca="false">IFERROR(INDEX('Teacher Lookup'!$B$2:$B$200,MATCH(A5654,'Teacher Lookup'!$A$2:$A$200,0)),"")</f>
        <v>NG Janet</v>
      </c>
    </row>
    <row r="5655" customFormat="false" ht="15" hidden="false" customHeight="false" outlineLevel="0" collapsed="false">
      <c r="A5655" s="3" t="s">
        <v>454</v>
      </c>
      <c r="B5655" s="4" t="s">
        <v>65</v>
      </c>
      <c r="C5655" s="4" t="n">
        <v>5</v>
      </c>
      <c r="D5655" s="4" t="s">
        <v>140</v>
      </c>
      <c r="E5655" s="3" t="s">
        <v>185</v>
      </c>
      <c r="F5655" s="4" t="str">
        <f aca="false">IF(I5655&gt;J5655,"Y","N")</f>
        <v>Y</v>
      </c>
      <c r="G5655" s="3" t="s">
        <v>36</v>
      </c>
      <c r="H5655" s="3" t="s">
        <v>37</v>
      </c>
      <c r="I5655" s="4" t="n">
        <v>21</v>
      </c>
      <c r="J5655" s="4" t="n">
        <f aca="false">LEN(E5655)-LEN(SUBSTITUTE(E5655,",",""))+1</f>
        <v>7</v>
      </c>
      <c r="K5655" s="3" t="str">
        <f aca="false">IFERROR(INDEX('Teacher Lookup'!$B$2:$B$200,MATCH(A5655,'Teacher Lookup'!$A$2:$A$200,0)),"")</f>
        <v>NG Janet</v>
      </c>
    </row>
    <row r="5656" customFormat="false" ht="15" hidden="false" customHeight="false" outlineLevel="0" collapsed="false">
      <c r="A5656" s="3" t="s">
        <v>454</v>
      </c>
      <c r="B5656" s="4" t="s">
        <v>65</v>
      </c>
      <c r="C5656" s="4" t="n">
        <v>5</v>
      </c>
      <c r="D5656" s="4" t="s">
        <v>142</v>
      </c>
      <c r="E5656" s="3" t="s">
        <v>185</v>
      </c>
      <c r="F5656" s="4" t="str">
        <f aca="false">IF(I5656&gt;J5656,"Y","N")</f>
        <v>Y</v>
      </c>
      <c r="G5656" s="3" t="s">
        <v>36</v>
      </c>
      <c r="H5656" s="3" t="s">
        <v>37</v>
      </c>
      <c r="I5656" s="4" t="n">
        <v>21</v>
      </c>
      <c r="J5656" s="4" t="n">
        <f aca="false">LEN(E5656)-LEN(SUBSTITUTE(E5656,",",""))+1</f>
        <v>7</v>
      </c>
      <c r="K5656" s="3" t="str">
        <f aca="false">IFERROR(INDEX('Teacher Lookup'!$B$2:$B$200,MATCH(A5656,'Teacher Lookup'!$A$2:$A$200,0)),"")</f>
        <v>NG Janet</v>
      </c>
    </row>
    <row r="5657" customFormat="false" ht="15" hidden="false" customHeight="false" outlineLevel="0" collapsed="false">
      <c r="A5657" s="3" t="s">
        <v>454</v>
      </c>
      <c r="B5657" s="4" t="s">
        <v>65</v>
      </c>
      <c r="C5657" s="4" t="n">
        <v>5</v>
      </c>
      <c r="D5657" s="4" t="s">
        <v>127</v>
      </c>
      <c r="E5657" s="3" t="s">
        <v>185</v>
      </c>
      <c r="F5657" s="4" t="str">
        <f aca="false">IF(I5657&gt;J5657,"Y","N")</f>
        <v>Y</v>
      </c>
      <c r="G5657" s="3" t="s">
        <v>36</v>
      </c>
      <c r="H5657" s="3" t="s">
        <v>37</v>
      </c>
      <c r="I5657" s="4" t="n">
        <v>21</v>
      </c>
      <c r="J5657" s="4" t="n">
        <f aca="false">LEN(E5657)-LEN(SUBSTITUTE(E5657,",",""))+1</f>
        <v>7</v>
      </c>
      <c r="K5657" s="3" t="str">
        <f aca="false">IFERROR(INDEX('Teacher Lookup'!$B$2:$B$200,MATCH(A5657,'Teacher Lookup'!$A$2:$A$200,0)),"")</f>
        <v>NG Janet</v>
      </c>
    </row>
    <row r="5658" customFormat="false" ht="15" hidden="false" customHeight="false" outlineLevel="0" collapsed="false">
      <c r="A5658" s="3" t="s">
        <v>454</v>
      </c>
      <c r="B5658" s="4" t="s">
        <v>65</v>
      </c>
      <c r="C5658" s="4" t="n">
        <v>6</v>
      </c>
      <c r="D5658" s="4" t="s">
        <v>139</v>
      </c>
      <c r="E5658" s="3" t="s">
        <v>298</v>
      </c>
      <c r="F5658" s="4" t="str">
        <f aca="false">IF(I5658&gt;J5658,"Y","N")</f>
        <v>N</v>
      </c>
      <c r="G5658" s="3" t="s">
        <v>299</v>
      </c>
      <c r="H5658" s="3" t="s">
        <v>42</v>
      </c>
      <c r="I5658" s="4" t="n">
        <v>2</v>
      </c>
      <c r="J5658" s="4" t="n">
        <f aca="false">LEN(E5658)-LEN(SUBSTITUTE(E5658,",",""))+1</f>
        <v>2</v>
      </c>
      <c r="K5658" s="3" t="str">
        <f aca="false">IFERROR(INDEX('Teacher Lookup'!$B$2:$B$200,MATCH(A5658,'Teacher Lookup'!$A$2:$A$200,0)),"")</f>
        <v>NG Janet</v>
      </c>
    </row>
    <row r="5659" customFormat="false" ht="15" hidden="false" customHeight="false" outlineLevel="0" collapsed="false">
      <c r="A5659" s="3" t="s">
        <v>454</v>
      </c>
      <c r="B5659" s="4" t="s">
        <v>65</v>
      </c>
      <c r="C5659" s="4" t="n">
        <v>7</v>
      </c>
      <c r="D5659" s="4" t="s">
        <v>139</v>
      </c>
      <c r="E5659" s="3" t="s">
        <v>298</v>
      </c>
      <c r="F5659" s="4" t="str">
        <f aca="false">IF(I5659&gt;J5659,"Y","N")</f>
        <v>N</v>
      </c>
      <c r="G5659" s="3" t="s">
        <v>299</v>
      </c>
      <c r="H5659" s="3" t="s">
        <v>39</v>
      </c>
      <c r="I5659" s="4" t="n">
        <v>2</v>
      </c>
      <c r="J5659" s="4" t="n">
        <f aca="false">LEN(E5659)-LEN(SUBSTITUTE(E5659,",",""))+1</f>
        <v>2</v>
      </c>
      <c r="K5659" s="3" t="str">
        <f aca="false">IFERROR(INDEX('Teacher Lookup'!$B$2:$B$200,MATCH(A5659,'Teacher Lookup'!$A$2:$A$200,0)),"")</f>
        <v>NG Janet</v>
      </c>
    </row>
    <row r="5660" customFormat="false" ht="15" hidden="false" customHeight="false" outlineLevel="0" collapsed="false">
      <c r="A5660" s="3" t="s">
        <v>454</v>
      </c>
      <c r="B5660" s="4" t="s">
        <v>66</v>
      </c>
      <c r="C5660" s="4" t="n">
        <v>1</v>
      </c>
      <c r="D5660" s="4" t="s">
        <v>18</v>
      </c>
      <c r="E5660" s="3" t="s">
        <v>298</v>
      </c>
      <c r="F5660" s="4" t="str">
        <f aca="false">IF(I5660&gt;J5660,"Y","N")</f>
        <v>N</v>
      </c>
      <c r="G5660" s="3" t="s">
        <v>299</v>
      </c>
      <c r="H5660" s="3" t="s">
        <v>16</v>
      </c>
      <c r="I5660" s="4" t="n">
        <v>2</v>
      </c>
      <c r="J5660" s="4" t="n">
        <f aca="false">LEN(E5660)-LEN(SUBSTITUTE(E5660,",",""))+1</f>
        <v>2</v>
      </c>
      <c r="K5660" s="3" t="str">
        <f aca="false">IFERROR(INDEX('Teacher Lookup'!$B$2:$B$200,MATCH(A5660,'Teacher Lookup'!$A$2:$A$200,0)),"")</f>
        <v>NG Janet</v>
      </c>
    </row>
    <row r="5661" customFormat="false" ht="15" hidden="false" customHeight="false" outlineLevel="0" collapsed="false">
      <c r="A5661" s="3" t="s">
        <v>454</v>
      </c>
      <c r="B5661" s="4" t="s">
        <v>66</v>
      </c>
      <c r="C5661" s="4" t="n">
        <v>2</v>
      </c>
      <c r="D5661" s="4" t="s">
        <v>18</v>
      </c>
      <c r="E5661" s="3" t="s">
        <v>298</v>
      </c>
      <c r="F5661" s="4" t="str">
        <f aca="false">IF(I5661&gt;J5661,"Y","N")</f>
        <v>N</v>
      </c>
      <c r="G5661" s="3" t="s">
        <v>299</v>
      </c>
      <c r="H5661" s="3" t="s">
        <v>21</v>
      </c>
      <c r="I5661" s="4" t="n">
        <v>2</v>
      </c>
      <c r="J5661" s="4" t="n">
        <f aca="false">LEN(E5661)-LEN(SUBSTITUTE(E5661,",",""))+1</f>
        <v>2</v>
      </c>
      <c r="K5661" s="3" t="str">
        <f aca="false">IFERROR(INDEX('Teacher Lookup'!$B$2:$B$200,MATCH(A5661,'Teacher Lookup'!$A$2:$A$200,0)),"")</f>
        <v>NG Janet</v>
      </c>
    </row>
    <row r="5662" customFormat="false" ht="15" hidden="false" customHeight="false" outlineLevel="0" collapsed="false">
      <c r="A5662" s="3" t="s">
        <v>454</v>
      </c>
      <c r="B5662" s="4" t="s">
        <v>66</v>
      </c>
      <c r="C5662" s="4" t="n">
        <v>4</v>
      </c>
      <c r="D5662" s="4" t="s">
        <v>23</v>
      </c>
      <c r="E5662" s="3" t="s">
        <v>298</v>
      </c>
      <c r="F5662" s="4" t="str">
        <f aca="false">IF(I5662&gt;J5662,"Y","N")</f>
        <v>N</v>
      </c>
      <c r="G5662" s="3" t="s">
        <v>299</v>
      </c>
      <c r="H5662" s="3" t="s">
        <v>34</v>
      </c>
      <c r="I5662" s="4" t="n">
        <v>2</v>
      </c>
      <c r="J5662" s="4" t="n">
        <f aca="false">LEN(E5662)-LEN(SUBSTITUTE(E5662,",",""))+1</f>
        <v>2</v>
      </c>
      <c r="K5662" s="3" t="str">
        <f aca="false">IFERROR(INDEX('Teacher Lookup'!$B$2:$B$200,MATCH(A5662,'Teacher Lookup'!$A$2:$A$200,0)),"")</f>
        <v>NG Janet</v>
      </c>
    </row>
    <row r="5663" customFormat="false" ht="15" hidden="false" customHeight="false" outlineLevel="0" collapsed="false">
      <c r="A5663" s="3" t="s">
        <v>454</v>
      </c>
      <c r="B5663" s="4" t="s">
        <v>66</v>
      </c>
      <c r="C5663" s="4" t="n">
        <v>5</v>
      </c>
      <c r="D5663" s="4" t="s">
        <v>23</v>
      </c>
      <c r="E5663" s="3" t="s">
        <v>298</v>
      </c>
      <c r="F5663" s="4" t="str">
        <f aca="false">IF(I5663&gt;J5663,"Y","N")</f>
        <v>N</v>
      </c>
      <c r="G5663" s="3" t="s">
        <v>299</v>
      </c>
      <c r="H5663" s="3" t="s">
        <v>37</v>
      </c>
      <c r="I5663" s="4" t="n">
        <v>2</v>
      </c>
      <c r="J5663" s="4" t="n">
        <f aca="false">LEN(E5663)-LEN(SUBSTITUTE(E5663,",",""))+1</f>
        <v>2</v>
      </c>
      <c r="K5663" s="3" t="str">
        <f aca="false">IFERROR(INDEX('Teacher Lookup'!$B$2:$B$200,MATCH(A5663,'Teacher Lookup'!$A$2:$A$200,0)),"")</f>
        <v>NG Janet</v>
      </c>
    </row>
    <row r="5664" customFormat="false" ht="15" hidden="false" customHeight="false" outlineLevel="0" collapsed="false">
      <c r="A5664" s="3" t="s">
        <v>455</v>
      </c>
      <c r="B5664" s="4" t="s">
        <v>12</v>
      </c>
      <c r="C5664" s="4" t="n">
        <v>1</v>
      </c>
      <c r="D5664" s="4" t="s">
        <v>52</v>
      </c>
      <c r="E5664" s="3" t="s">
        <v>301</v>
      </c>
      <c r="F5664" s="4" t="str">
        <f aca="false">IF(I5664&gt;J5664,"Y","N")</f>
        <v>N</v>
      </c>
      <c r="G5664" s="3" t="s">
        <v>15</v>
      </c>
      <c r="H5664" s="3" t="s">
        <v>16</v>
      </c>
      <c r="I5664" s="4" t="n">
        <v>7</v>
      </c>
      <c r="J5664" s="4" t="n">
        <f aca="false">LEN(E5664)-LEN(SUBSTITUTE(E5664,",",""))+1</f>
        <v>7</v>
      </c>
      <c r="K5664" s="3" t="str">
        <f aca="false">IFERROR(INDEX('Teacher Lookup'!$B$2:$B$200,MATCH(A5664,'Teacher Lookup'!$A$2:$A$200,0)),"")</f>
        <v>YU Jonathan</v>
      </c>
    </row>
    <row r="5665" customFormat="false" ht="15" hidden="false" customHeight="false" outlineLevel="0" collapsed="false">
      <c r="A5665" s="3" t="s">
        <v>455</v>
      </c>
      <c r="B5665" s="4" t="s">
        <v>12</v>
      </c>
      <c r="C5665" s="4" t="n">
        <v>1</v>
      </c>
      <c r="D5665" s="4" t="s">
        <v>55</v>
      </c>
      <c r="E5665" s="3" t="s">
        <v>301</v>
      </c>
      <c r="F5665" s="4" t="str">
        <f aca="false">IF(I5665&gt;J5665,"Y","N")</f>
        <v>N</v>
      </c>
      <c r="G5665" s="3" t="s">
        <v>15</v>
      </c>
      <c r="H5665" s="3" t="s">
        <v>16</v>
      </c>
      <c r="I5665" s="4" t="n">
        <v>7</v>
      </c>
      <c r="J5665" s="4" t="n">
        <f aca="false">LEN(E5665)-LEN(SUBSTITUTE(E5665,",",""))+1</f>
        <v>7</v>
      </c>
      <c r="K5665" s="3" t="str">
        <f aca="false">IFERROR(INDEX('Teacher Lookup'!$B$2:$B$200,MATCH(A5665,'Teacher Lookup'!$A$2:$A$200,0)),"")</f>
        <v>YU Jonathan</v>
      </c>
    </row>
    <row r="5666" customFormat="false" ht="15" hidden="false" customHeight="false" outlineLevel="0" collapsed="false">
      <c r="A5666" s="3" t="s">
        <v>455</v>
      </c>
      <c r="B5666" s="4" t="s">
        <v>12</v>
      </c>
      <c r="C5666" s="4" t="n">
        <v>1</v>
      </c>
      <c r="D5666" s="4" t="s">
        <v>56</v>
      </c>
      <c r="E5666" s="3" t="s">
        <v>301</v>
      </c>
      <c r="F5666" s="4" t="str">
        <f aca="false">IF(I5666&gt;J5666,"Y","N")</f>
        <v>N</v>
      </c>
      <c r="G5666" s="3" t="s">
        <v>15</v>
      </c>
      <c r="H5666" s="3" t="s">
        <v>16</v>
      </c>
      <c r="I5666" s="4" t="n">
        <v>7</v>
      </c>
      <c r="J5666" s="4" t="n">
        <f aca="false">LEN(E5666)-LEN(SUBSTITUTE(E5666,",",""))+1</f>
        <v>7</v>
      </c>
      <c r="K5666" s="3" t="str">
        <f aca="false">IFERROR(INDEX('Teacher Lookup'!$B$2:$B$200,MATCH(A5666,'Teacher Lookup'!$A$2:$A$200,0)),"")</f>
        <v>YU Jonathan</v>
      </c>
    </row>
    <row r="5667" customFormat="false" ht="15" hidden="false" customHeight="false" outlineLevel="0" collapsed="false">
      <c r="A5667" s="3" t="s">
        <v>455</v>
      </c>
      <c r="B5667" s="4" t="s">
        <v>12</v>
      </c>
      <c r="C5667" s="4" t="n">
        <v>1</v>
      </c>
      <c r="D5667" s="4" t="s">
        <v>57</v>
      </c>
      <c r="E5667" s="3" t="s">
        <v>301</v>
      </c>
      <c r="F5667" s="4" t="str">
        <f aca="false">IF(I5667&gt;J5667,"Y","N")</f>
        <v>N</v>
      </c>
      <c r="G5667" s="3" t="s">
        <v>15</v>
      </c>
      <c r="H5667" s="3" t="s">
        <v>16</v>
      </c>
      <c r="I5667" s="4" t="n">
        <v>7</v>
      </c>
      <c r="J5667" s="4" t="n">
        <f aca="false">LEN(E5667)-LEN(SUBSTITUTE(E5667,",",""))+1</f>
        <v>7</v>
      </c>
      <c r="K5667" s="3" t="str">
        <f aca="false">IFERROR(INDEX('Teacher Lookup'!$B$2:$B$200,MATCH(A5667,'Teacher Lookup'!$A$2:$A$200,0)),"")</f>
        <v>YU Jonathan</v>
      </c>
    </row>
    <row r="5668" customFormat="false" ht="15" hidden="false" customHeight="false" outlineLevel="0" collapsed="false">
      <c r="A5668" s="3" t="s">
        <v>455</v>
      </c>
      <c r="B5668" s="4" t="s">
        <v>12</v>
      </c>
      <c r="C5668" s="4" t="n">
        <v>1</v>
      </c>
      <c r="D5668" s="4" t="s">
        <v>58</v>
      </c>
      <c r="E5668" s="3" t="s">
        <v>301</v>
      </c>
      <c r="F5668" s="4" t="str">
        <f aca="false">IF(I5668&gt;J5668,"Y","N")</f>
        <v>N</v>
      </c>
      <c r="G5668" s="3" t="s">
        <v>15</v>
      </c>
      <c r="H5668" s="3" t="s">
        <v>16</v>
      </c>
      <c r="I5668" s="4" t="n">
        <v>7</v>
      </c>
      <c r="J5668" s="4" t="n">
        <f aca="false">LEN(E5668)-LEN(SUBSTITUTE(E5668,",",""))+1</f>
        <v>7</v>
      </c>
      <c r="K5668" s="3" t="str">
        <f aca="false">IFERROR(INDEX('Teacher Lookup'!$B$2:$B$200,MATCH(A5668,'Teacher Lookup'!$A$2:$A$200,0)),"")</f>
        <v>YU Jonathan</v>
      </c>
    </row>
    <row r="5669" customFormat="false" ht="15" hidden="false" customHeight="false" outlineLevel="0" collapsed="false">
      <c r="A5669" s="3" t="s">
        <v>455</v>
      </c>
      <c r="B5669" s="4" t="s">
        <v>12</v>
      </c>
      <c r="C5669" s="4" t="n">
        <v>1</v>
      </c>
      <c r="D5669" s="4" t="s">
        <v>59</v>
      </c>
      <c r="E5669" s="3" t="s">
        <v>301</v>
      </c>
      <c r="F5669" s="4" t="str">
        <f aca="false">IF(I5669&gt;J5669,"Y","N")</f>
        <v>N</v>
      </c>
      <c r="G5669" s="3" t="s">
        <v>15</v>
      </c>
      <c r="H5669" s="3" t="s">
        <v>16</v>
      </c>
      <c r="I5669" s="4" t="n">
        <v>7</v>
      </c>
      <c r="J5669" s="4" t="n">
        <f aca="false">LEN(E5669)-LEN(SUBSTITUTE(E5669,",",""))+1</f>
        <v>7</v>
      </c>
      <c r="K5669" s="3" t="str">
        <f aca="false">IFERROR(INDEX('Teacher Lookup'!$B$2:$B$200,MATCH(A5669,'Teacher Lookup'!$A$2:$A$200,0)),"")</f>
        <v>YU Jonathan</v>
      </c>
    </row>
    <row r="5670" customFormat="false" ht="15" hidden="false" customHeight="false" outlineLevel="0" collapsed="false">
      <c r="A5670" s="3" t="s">
        <v>455</v>
      </c>
      <c r="B5670" s="4" t="s">
        <v>12</v>
      </c>
      <c r="C5670" s="4" t="n">
        <v>3</v>
      </c>
      <c r="D5670" s="4" t="s">
        <v>102</v>
      </c>
      <c r="E5670" s="3" t="s">
        <v>227</v>
      </c>
      <c r="F5670" s="4" t="str">
        <f aca="false">IF(I5670&gt;J5670,"Y","N")</f>
        <v>N</v>
      </c>
      <c r="G5670" s="3" t="s">
        <v>15</v>
      </c>
      <c r="H5670" s="3" t="s">
        <v>26</v>
      </c>
      <c r="I5670" s="4" t="n">
        <v>5</v>
      </c>
      <c r="J5670" s="4" t="n">
        <f aca="false">LEN(E5670)-LEN(SUBSTITUTE(E5670,",",""))+1</f>
        <v>5</v>
      </c>
      <c r="K5670" s="3" t="str">
        <f aca="false">IFERROR(INDEX('Teacher Lookup'!$B$2:$B$200,MATCH(A5670,'Teacher Lookup'!$A$2:$A$200,0)),"")</f>
        <v>YU Jonathan</v>
      </c>
    </row>
    <row r="5671" customFormat="false" ht="15" hidden="false" customHeight="false" outlineLevel="0" collapsed="false">
      <c r="A5671" s="3" t="s">
        <v>455</v>
      </c>
      <c r="B5671" s="4" t="s">
        <v>12</v>
      </c>
      <c r="C5671" s="4" t="n">
        <v>3</v>
      </c>
      <c r="D5671" s="4" t="s">
        <v>105</v>
      </c>
      <c r="E5671" s="3" t="s">
        <v>227</v>
      </c>
      <c r="F5671" s="4" t="str">
        <f aca="false">IF(I5671&gt;J5671,"Y","N")</f>
        <v>N</v>
      </c>
      <c r="G5671" s="3" t="s">
        <v>15</v>
      </c>
      <c r="H5671" s="3" t="s">
        <v>26</v>
      </c>
      <c r="I5671" s="4" t="n">
        <v>5</v>
      </c>
      <c r="J5671" s="4" t="n">
        <f aca="false">LEN(E5671)-LEN(SUBSTITUTE(E5671,",",""))+1</f>
        <v>5</v>
      </c>
      <c r="K5671" s="3" t="str">
        <f aca="false">IFERROR(INDEX('Teacher Lookup'!$B$2:$B$200,MATCH(A5671,'Teacher Lookup'!$A$2:$A$200,0)),"")</f>
        <v>YU Jonathan</v>
      </c>
    </row>
    <row r="5672" customFormat="false" ht="15" hidden="false" customHeight="false" outlineLevel="0" collapsed="false">
      <c r="A5672" s="3" t="s">
        <v>455</v>
      </c>
      <c r="B5672" s="4" t="s">
        <v>12</v>
      </c>
      <c r="C5672" s="4" t="n">
        <v>3</v>
      </c>
      <c r="D5672" s="4" t="s">
        <v>106</v>
      </c>
      <c r="E5672" s="3" t="s">
        <v>227</v>
      </c>
      <c r="F5672" s="4" t="str">
        <f aca="false">IF(I5672&gt;J5672,"Y","N")</f>
        <v>N</v>
      </c>
      <c r="G5672" s="3" t="s">
        <v>15</v>
      </c>
      <c r="H5672" s="3" t="s">
        <v>26</v>
      </c>
      <c r="I5672" s="4" t="n">
        <v>5</v>
      </c>
      <c r="J5672" s="4" t="n">
        <f aca="false">LEN(E5672)-LEN(SUBSTITUTE(E5672,",",""))+1</f>
        <v>5</v>
      </c>
      <c r="K5672" s="3" t="str">
        <f aca="false">IFERROR(INDEX('Teacher Lookup'!$B$2:$B$200,MATCH(A5672,'Teacher Lookup'!$A$2:$A$200,0)),"")</f>
        <v>YU Jonathan</v>
      </c>
    </row>
    <row r="5673" customFormat="false" ht="15" hidden="false" customHeight="false" outlineLevel="0" collapsed="false">
      <c r="A5673" s="3" t="s">
        <v>455</v>
      </c>
      <c r="B5673" s="4" t="s">
        <v>12</v>
      </c>
      <c r="C5673" s="4" t="n">
        <v>3</v>
      </c>
      <c r="D5673" s="4" t="s">
        <v>107</v>
      </c>
      <c r="E5673" s="3" t="s">
        <v>227</v>
      </c>
      <c r="F5673" s="4" t="str">
        <f aca="false">IF(I5673&gt;J5673,"Y","N")</f>
        <v>N</v>
      </c>
      <c r="G5673" s="3" t="s">
        <v>15</v>
      </c>
      <c r="H5673" s="3" t="s">
        <v>26</v>
      </c>
      <c r="I5673" s="4" t="n">
        <v>5</v>
      </c>
      <c r="J5673" s="4" t="n">
        <f aca="false">LEN(E5673)-LEN(SUBSTITUTE(E5673,",",""))+1</f>
        <v>5</v>
      </c>
      <c r="K5673" s="3" t="str">
        <f aca="false">IFERROR(INDEX('Teacher Lookup'!$B$2:$B$200,MATCH(A5673,'Teacher Lookup'!$A$2:$A$200,0)),"")</f>
        <v>YU Jonathan</v>
      </c>
    </row>
    <row r="5674" customFormat="false" ht="15" hidden="false" customHeight="false" outlineLevel="0" collapsed="false">
      <c r="A5674" s="3" t="s">
        <v>455</v>
      </c>
      <c r="B5674" s="4" t="s">
        <v>31</v>
      </c>
      <c r="C5674" s="4" t="n">
        <v>2</v>
      </c>
      <c r="D5674" s="4" t="s">
        <v>52</v>
      </c>
      <c r="E5674" s="3" t="s">
        <v>303</v>
      </c>
      <c r="F5674" s="4" t="str">
        <f aca="false">IF(I5674&gt;J5674,"Y","N")</f>
        <v>N</v>
      </c>
      <c r="G5674" s="3" t="s">
        <v>15</v>
      </c>
      <c r="H5674" s="3" t="s">
        <v>21</v>
      </c>
      <c r="I5674" s="4" t="n">
        <v>7</v>
      </c>
      <c r="J5674" s="4" t="n">
        <f aca="false">LEN(E5674)-LEN(SUBSTITUTE(E5674,",",""))+1</f>
        <v>7</v>
      </c>
      <c r="K5674" s="3" t="str">
        <f aca="false">IFERROR(INDEX('Teacher Lookup'!$B$2:$B$200,MATCH(A5674,'Teacher Lookup'!$A$2:$A$200,0)),"")</f>
        <v>YU Jonathan</v>
      </c>
    </row>
    <row r="5675" customFormat="false" ht="15" hidden="false" customHeight="false" outlineLevel="0" collapsed="false">
      <c r="A5675" s="3" t="s">
        <v>455</v>
      </c>
      <c r="B5675" s="4" t="s">
        <v>31</v>
      </c>
      <c r="C5675" s="4" t="n">
        <v>2</v>
      </c>
      <c r="D5675" s="4" t="s">
        <v>55</v>
      </c>
      <c r="E5675" s="3" t="s">
        <v>303</v>
      </c>
      <c r="F5675" s="4" t="str">
        <f aca="false">IF(I5675&gt;J5675,"Y","N")</f>
        <v>N</v>
      </c>
      <c r="G5675" s="3" t="s">
        <v>15</v>
      </c>
      <c r="H5675" s="3" t="s">
        <v>21</v>
      </c>
      <c r="I5675" s="4" t="n">
        <v>7</v>
      </c>
      <c r="J5675" s="4" t="n">
        <f aca="false">LEN(E5675)-LEN(SUBSTITUTE(E5675,",",""))+1</f>
        <v>7</v>
      </c>
      <c r="K5675" s="3" t="str">
        <f aca="false">IFERROR(INDEX('Teacher Lookup'!$B$2:$B$200,MATCH(A5675,'Teacher Lookup'!$A$2:$A$200,0)),"")</f>
        <v>YU Jonathan</v>
      </c>
    </row>
    <row r="5676" customFormat="false" ht="15" hidden="false" customHeight="false" outlineLevel="0" collapsed="false">
      <c r="A5676" s="3" t="s">
        <v>455</v>
      </c>
      <c r="B5676" s="4" t="s">
        <v>31</v>
      </c>
      <c r="C5676" s="4" t="n">
        <v>2</v>
      </c>
      <c r="D5676" s="4" t="s">
        <v>56</v>
      </c>
      <c r="E5676" s="3" t="s">
        <v>303</v>
      </c>
      <c r="F5676" s="4" t="str">
        <f aca="false">IF(I5676&gt;J5676,"Y","N")</f>
        <v>N</v>
      </c>
      <c r="G5676" s="3" t="s">
        <v>15</v>
      </c>
      <c r="H5676" s="3" t="s">
        <v>21</v>
      </c>
      <c r="I5676" s="4" t="n">
        <v>7</v>
      </c>
      <c r="J5676" s="4" t="n">
        <f aca="false">LEN(E5676)-LEN(SUBSTITUTE(E5676,",",""))+1</f>
        <v>7</v>
      </c>
      <c r="K5676" s="3" t="str">
        <f aca="false">IFERROR(INDEX('Teacher Lookup'!$B$2:$B$200,MATCH(A5676,'Teacher Lookup'!$A$2:$A$200,0)),"")</f>
        <v>YU Jonathan</v>
      </c>
    </row>
    <row r="5677" customFormat="false" ht="15" hidden="false" customHeight="false" outlineLevel="0" collapsed="false">
      <c r="A5677" s="3" t="s">
        <v>455</v>
      </c>
      <c r="B5677" s="4" t="s">
        <v>31</v>
      </c>
      <c r="C5677" s="4" t="n">
        <v>2</v>
      </c>
      <c r="D5677" s="4" t="s">
        <v>57</v>
      </c>
      <c r="E5677" s="3" t="s">
        <v>303</v>
      </c>
      <c r="F5677" s="4" t="str">
        <f aca="false">IF(I5677&gt;J5677,"Y","N")</f>
        <v>N</v>
      </c>
      <c r="G5677" s="3" t="s">
        <v>15</v>
      </c>
      <c r="H5677" s="3" t="s">
        <v>21</v>
      </c>
      <c r="I5677" s="4" t="n">
        <v>7</v>
      </c>
      <c r="J5677" s="4" t="n">
        <f aca="false">LEN(E5677)-LEN(SUBSTITUTE(E5677,",",""))+1</f>
        <v>7</v>
      </c>
      <c r="K5677" s="3" t="str">
        <f aca="false">IFERROR(INDEX('Teacher Lookup'!$B$2:$B$200,MATCH(A5677,'Teacher Lookup'!$A$2:$A$200,0)),"")</f>
        <v>YU Jonathan</v>
      </c>
    </row>
    <row r="5678" customFormat="false" ht="15" hidden="false" customHeight="false" outlineLevel="0" collapsed="false">
      <c r="A5678" s="3" t="s">
        <v>455</v>
      </c>
      <c r="B5678" s="4" t="s">
        <v>31</v>
      </c>
      <c r="C5678" s="4" t="n">
        <v>2</v>
      </c>
      <c r="D5678" s="4" t="s">
        <v>58</v>
      </c>
      <c r="E5678" s="3" t="s">
        <v>303</v>
      </c>
      <c r="F5678" s="4" t="str">
        <f aca="false">IF(I5678&gt;J5678,"Y","N")</f>
        <v>N</v>
      </c>
      <c r="G5678" s="3" t="s">
        <v>15</v>
      </c>
      <c r="H5678" s="3" t="s">
        <v>21</v>
      </c>
      <c r="I5678" s="4" t="n">
        <v>7</v>
      </c>
      <c r="J5678" s="4" t="n">
        <f aca="false">LEN(E5678)-LEN(SUBSTITUTE(E5678,",",""))+1</f>
        <v>7</v>
      </c>
      <c r="K5678" s="3" t="str">
        <f aca="false">IFERROR(INDEX('Teacher Lookup'!$B$2:$B$200,MATCH(A5678,'Teacher Lookup'!$A$2:$A$200,0)),"")</f>
        <v>YU Jonathan</v>
      </c>
    </row>
    <row r="5679" customFormat="false" ht="15" hidden="false" customHeight="false" outlineLevel="0" collapsed="false">
      <c r="A5679" s="3" t="s">
        <v>455</v>
      </c>
      <c r="B5679" s="4" t="s">
        <v>31</v>
      </c>
      <c r="C5679" s="4" t="n">
        <v>2</v>
      </c>
      <c r="D5679" s="4" t="s">
        <v>59</v>
      </c>
      <c r="E5679" s="3" t="s">
        <v>303</v>
      </c>
      <c r="F5679" s="4" t="str">
        <f aca="false">IF(I5679&gt;J5679,"Y","N")</f>
        <v>N</v>
      </c>
      <c r="G5679" s="3" t="s">
        <v>15</v>
      </c>
      <c r="H5679" s="3" t="s">
        <v>21</v>
      </c>
      <c r="I5679" s="4" t="n">
        <v>7</v>
      </c>
      <c r="J5679" s="4" t="n">
        <f aca="false">LEN(E5679)-LEN(SUBSTITUTE(E5679,",",""))+1</f>
        <v>7</v>
      </c>
      <c r="K5679" s="3" t="str">
        <f aca="false">IFERROR(INDEX('Teacher Lookup'!$B$2:$B$200,MATCH(A5679,'Teacher Lookup'!$A$2:$A$200,0)),"")</f>
        <v>YU Jonathan</v>
      </c>
    </row>
    <row r="5680" customFormat="false" ht="15" hidden="false" customHeight="false" outlineLevel="0" collapsed="false">
      <c r="A5680" s="3" t="s">
        <v>455</v>
      </c>
      <c r="B5680" s="4" t="s">
        <v>31</v>
      </c>
      <c r="C5680" s="4" t="n">
        <v>5</v>
      </c>
      <c r="D5680" s="4" t="s">
        <v>70</v>
      </c>
      <c r="E5680" s="3" t="s">
        <v>81</v>
      </c>
      <c r="F5680" s="4" t="str">
        <f aca="false">IF(I5680&gt;J5680,"Y","N")</f>
        <v>Y</v>
      </c>
      <c r="G5680" s="3" t="s">
        <v>36</v>
      </c>
      <c r="H5680" s="3" t="s">
        <v>37</v>
      </c>
      <c r="I5680" s="4" t="n">
        <v>15</v>
      </c>
      <c r="J5680" s="4" t="n">
        <f aca="false">LEN(E5680)-LEN(SUBSTITUTE(E5680,",",""))+1</f>
        <v>7</v>
      </c>
      <c r="K5680" s="3" t="str">
        <f aca="false">IFERROR(INDEX('Teacher Lookup'!$B$2:$B$200,MATCH(A5680,'Teacher Lookup'!$A$2:$A$200,0)),"")</f>
        <v>YU Jonathan</v>
      </c>
    </row>
    <row r="5681" customFormat="false" ht="15" hidden="false" customHeight="false" outlineLevel="0" collapsed="false">
      <c r="A5681" s="3" t="s">
        <v>455</v>
      </c>
      <c r="B5681" s="4" t="s">
        <v>31</v>
      </c>
      <c r="C5681" s="4" t="n">
        <v>5</v>
      </c>
      <c r="D5681" s="4" t="s">
        <v>73</v>
      </c>
      <c r="E5681" s="3" t="s">
        <v>81</v>
      </c>
      <c r="F5681" s="4" t="str">
        <f aca="false">IF(I5681&gt;J5681,"Y","N")</f>
        <v>Y</v>
      </c>
      <c r="G5681" s="3" t="s">
        <v>36</v>
      </c>
      <c r="H5681" s="3" t="s">
        <v>37</v>
      </c>
      <c r="I5681" s="4" t="n">
        <v>15</v>
      </c>
      <c r="J5681" s="4" t="n">
        <f aca="false">LEN(E5681)-LEN(SUBSTITUTE(E5681,",",""))+1</f>
        <v>7</v>
      </c>
      <c r="K5681" s="3" t="str">
        <f aca="false">IFERROR(INDEX('Teacher Lookup'!$B$2:$B$200,MATCH(A5681,'Teacher Lookup'!$A$2:$A$200,0)),"")</f>
        <v>YU Jonathan</v>
      </c>
    </row>
    <row r="5682" customFormat="false" ht="15" hidden="false" customHeight="false" outlineLevel="0" collapsed="false">
      <c r="A5682" s="3" t="s">
        <v>455</v>
      </c>
      <c r="B5682" s="4" t="s">
        <v>31</v>
      </c>
      <c r="C5682" s="4" t="n">
        <v>5</v>
      </c>
      <c r="D5682" s="4" t="s">
        <v>74</v>
      </c>
      <c r="E5682" s="3" t="s">
        <v>81</v>
      </c>
      <c r="F5682" s="4" t="str">
        <f aca="false">IF(I5682&gt;J5682,"Y","N")</f>
        <v>Y</v>
      </c>
      <c r="G5682" s="3" t="s">
        <v>36</v>
      </c>
      <c r="H5682" s="3" t="s">
        <v>37</v>
      </c>
      <c r="I5682" s="4" t="n">
        <v>15</v>
      </c>
      <c r="J5682" s="4" t="n">
        <f aca="false">LEN(E5682)-LEN(SUBSTITUTE(E5682,",",""))+1</f>
        <v>7</v>
      </c>
      <c r="K5682" s="3" t="str">
        <f aca="false">IFERROR(INDEX('Teacher Lookup'!$B$2:$B$200,MATCH(A5682,'Teacher Lookup'!$A$2:$A$200,0)),"")</f>
        <v>YU Jonathan</v>
      </c>
    </row>
    <row r="5683" customFormat="false" ht="15" hidden="false" customHeight="false" outlineLevel="0" collapsed="false">
      <c r="A5683" s="3" t="s">
        <v>455</v>
      </c>
      <c r="B5683" s="4" t="s">
        <v>31</v>
      </c>
      <c r="C5683" s="4" t="n">
        <v>5</v>
      </c>
      <c r="D5683" s="4" t="s">
        <v>76</v>
      </c>
      <c r="E5683" s="3" t="s">
        <v>81</v>
      </c>
      <c r="F5683" s="4" t="str">
        <f aca="false">IF(I5683&gt;J5683,"Y","N")</f>
        <v>Y</v>
      </c>
      <c r="G5683" s="3" t="s">
        <v>36</v>
      </c>
      <c r="H5683" s="3" t="s">
        <v>37</v>
      </c>
      <c r="I5683" s="4" t="n">
        <v>15</v>
      </c>
      <c r="J5683" s="4" t="n">
        <f aca="false">LEN(E5683)-LEN(SUBSTITUTE(E5683,",",""))+1</f>
        <v>7</v>
      </c>
      <c r="K5683" s="3" t="str">
        <f aca="false">IFERROR(INDEX('Teacher Lookup'!$B$2:$B$200,MATCH(A5683,'Teacher Lookup'!$A$2:$A$200,0)),"")</f>
        <v>YU Jonathan</v>
      </c>
    </row>
    <row r="5684" customFormat="false" ht="15" hidden="false" customHeight="false" outlineLevel="0" collapsed="false">
      <c r="A5684" s="3" t="s">
        <v>455</v>
      </c>
      <c r="B5684" s="4" t="s">
        <v>31</v>
      </c>
      <c r="C5684" s="4" t="n">
        <v>5</v>
      </c>
      <c r="D5684" s="4" t="s">
        <v>78</v>
      </c>
      <c r="E5684" s="3" t="s">
        <v>81</v>
      </c>
      <c r="F5684" s="4" t="str">
        <f aca="false">IF(I5684&gt;J5684,"Y","N")</f>
        <v>Y</v>
      </c>
      <c r="G5684" s="3" t="s">
        <v>36</v>
      </c>
      <c r="H5684" s="3" t="s">
        <v>37</v>
      </c>
      <c r="I5684" s="4" t="n">
        <v>15</v>
      </c>
      <c r="J5684" s="4" t="n">
        <f aca="false">LEN(E5684)-LEN(SUBSTITUTE(E5684,",",""))+1</f>
        <v>7</v>
      </c>
      <c r="K5684" s="3" t="str">
        <f aca="false">IFERROR(INDEX('Teacher Lookup'!$B$2:$B$200,MATCH(A5684,'Teacher Lookup'!$A$2:$A$200,0)),"")</f>
        <v>YU Jonathan</v>
      </c>
    </row>
    <row r="5685" customFormat="false" ht="15" hidden="false" customHeight="false" outlineLevel="0" collapsed="false">
      <c r="A5685" s="3" t="s">
        <v>455</v>
      </c>
      <c r="B5685" s="4" t="s">
        <v>31</v>
      </c>
      <c r="C5685" s="4" t="n">
        <v>5</v>
      </c>
      <c r="D5685" s="4" t="s">
        <v>79</v>
      </c>
      <c r="E5685" s="3" t="s">
        <v>81</v>
      </c>
      <c r="F5685" s="4" t="str">
        <f aca="false">IF(I5685&gt;J5685,"Y","N")</f>
        <v>Y</v>
      </c>
      <c r="G5685" s="3" t="s">
        <v>36</v>
      </c>
      <c r="H5685" s="3" t="s">
        <v>37</v>
      </c>
      <c r="I5685" s="4" t="n">
        <v>15</v>
      </c>
      <c r="J5685" s="4" t="n">
        <f aca="false">LEN(E5685)-LEN(SUBSTITUTE(E5685,",",""))+1</f>
        <v>7</v>
      </c>
      <c r="K5685" s="3" t="str">
        <f aca="false">IFERROR(INDEX('Teacher Lookup'!$B$2:$B$200,MATCH(A5685,'Teacher Lookup'!$A$2:$A$200,0)),"")</f>
        <v>YU Jonathan</v>
      </c>
    </row>
    <row r="5686" customFormat="false" ht="15" hidden="false" customHeight="false" outlineLevel="0" collapsed="false">
      <c r="A5686" s="3" t="s">
        <v>455</v>
      </c>
      <c r="B5686" s="4" t="s">
        <v>40</v>
      </c>
      <c r="C5686" s="4" t="n">
        <v>4</v>
      </c>
      <c r="D5686" s="4" t="s">
        <v>102</v>
      </c>
      <c r="E5686" s="3" t="s">
        <v>230</v>
      </c>
      <c r="F5686" s="4" t="str">
        <f aca="false">IF(I5686&gt;J5686,"Y","N")</f>
        <v>N</v>
      </c>
      <c r="G5686" s="3" t="s">
        <v>15</v>
      </c>
      <c r="H5686" s="3" t="s">
        <v>34</v>
      </c>
      <c r="I5686" s="4" t="n">
        <v>5</v>
      </c>
      <c r="J5686" s="4" t="n">
        <f aca="false">LEN(E5686)-LEN(SUBSTITUTE(E5686,",",""))+1</f>
        <v>5</v>
      </c>
      <c r="K5686" s="3" t="str">
        <f aca="false">IFERROR(INDEX('Teacher Lookup'!$B$2:$B$200,MATCH(A5686,'Teacher Lookup'!$A$2:$A$200,0)),"")</f>
        <v>YU Jonathan</v>
      </c>
    </row>
    <row r="5687" customFormat="false" ht="15" hidden="false" customHeight="false" outlineLevel="0" collapsed="false">
      <c r="A5687" s="3" t="s">
        <v>455</v>
      </c>
      <c r="B5687" s="4" t="s">
        <v>40</v>
      </c>
      <c r="C5687" s="4" t="n">
        <v>4</v>
      </c>
      <c r="D5687" s="4" t="s">
        <v>105</v>
      </c>
      <c r="E5687" s="3" t="s">
        <v>230</v>
      </c>
      <c r="F5687" s="4" t="str">
        <f aca="false">IF(I5687&gt;J5687,"Y","N")</f>
        <v>N</v>
      </c>
      <c r="G5687" s="3" t="s">
        <v>15</v>
      </c>
      <c r="H5687" s="3" t="s">
        <v>34</v>
      </c>
      <c r="I5687" s="4" t="n">
        <v>5</v>
      </c>
      <c r="J5687" s="4" t="n">
        <f aca="false">LEN(E5687)-LEN(SUBSTITUTE(E5687,",",""))+1</f>
        <v>5</v>
      </c>
      <c r="K5687" s="3" t="str">
        <f aca="false">IFERROR(INDEX('Teacher Lookup'!$B$2:$B$200,MATCH(A5687,'Teacher Lookup'!$A$2:$A$200,0)),"")</f>
        <v>YU Jonathan</v>
      </c>
    </row>
    <row r="5688" customFormat="false" ht="15" hidden="false" customHeight="false" outlineLevel="0" collapsed="false">
      <c r="A5688" s="3" t="s">
        <v>455</v>
      </c>
      <c r="B5688" s="4" t="s">
        <v>40</v>
      </c>
      <c r="C5688" s="4" t="n">
        <v>4</v>
      </c>
      <c r="D5688" s="4" t="s">
        <v>106</v>
      </c>
      <c r="E5688" s="3" t="s">
        <v>230</v>
      </c>
      <c r="F5688" s="4" t="str">
        <f aca="false">IF(I5688&gt;J5688,"Y","N")</f>
        <v>N</v>
      </c>
      <c r="G5688" s="3" t="s">
        <v>15</v>
      </c>
      <c r="H5688" s="3" t="s">
        <v>34</v>
      </c>
      <c r="I5688" s="4" t="n">
        <v>5</v>
      </c>
      <c r="J5688" s="4" t="n">
        <f aca="false">LEN(E5688)-LEN(SUBSTITUTE(E5688,",",""))+1</f>
        <v>5</v>
      </c>
      <c r="K5688" s="3" t="str">
        <f aca="false">IFERROR(INDEX('Teacher Lookup'!$B$2:$B$200,MATCH(A5688,'Teacher Lookup'!$A$2:$A$200,0)),"")</f>
        <v>YU Jonathan</v>
      </c>
    </row>
    <row r="5689" customFormat="false" ht="15" hidden="false" customHeight="false" outlineLevel="0" collapsed="false">
      <c r="A5689" s="3" t="s">
        <v>455</v>
      </c>
      <c r="B5689" s="4" t="s">
        <v>40</v>
      </c>
      <c r="C5689" s="4" t="n">
        <v>4</v>
      </c>
      <c r="D5689" s="4" t="s">
        <v>107</v>
      </c>
      <c r="E5689" s="3" t="s">
        <v>230</v>
      </c>
      <c r="F5689" s="4" t="str">
        <f aca="false">IF(I5689&gt;J5689,"Y","N")</f>
        <v>N</v>
      </c>
      <c r="G5689" s="3" t="s">
        <v>15</v>
      </c>
      <c r="H5689" s="3" t="s">
        <v>34</v>
      </c>
      <c r="I5689" s="4" t="n">
        <v>5</v>
      </c>
      <c r="J5689" s="4" t="n">
        <f aca="false">LEN(E5689)-LEN(SUBSTITUTE(E5689,",",""))+1</f>
        <v>5</v>
      </c>
      <c r="K5689" s="3" t="str">
        <f aca="false">IFERROR(INDEX('Teacher Lookup'!$B$2:$B$200,MATCH(A5689,'Teacher Lookup'!$A$2:$A$200,0)),"")</f>
        <v>YU Jonathan</v>
      </c>
    </row>
    <row r="5690" customFormat="false" ht="15" hidden="false" customHeight="false" outlineLevel="0" collapsed="false">
      <c r="A5690" s="3" t="s">
        <v>455</v>
      </c>
      <c r="B5690" s="4" t="s">
        <v>40</v>
      </c>
      <c r="C5690" s="4" t="n">
        <v>5</v>
      </c>
      <c r="D5690" s="4" t="s">
        <v>52</v>
      </c>
      <c r="E5690" s="3" t="s">
        <v>304</v>
      </c>
      <c r="F5690" s="4" t="str">
        <f aca="false">IF(I5690&gt;J5690,"Y","N")</f>
        <v>N</v>
      </c>
      <c r="G5690" s="3" t="s">
        <v>15</v>
      </c>
      <c r="H5690" s="3" t="s">
        <v>37</v>
      </c>
      <c r="I5690" s="4" t="n">
        <v>7</v>
      </c>
      <c r="J5690" s="4" t="n">
        <f aca="false">LEN(E5690)-LEN(SUBSTITUTE(E5690,",",""))+1</f>
        <v>7</v>
      </c>
      <c r="K5690" s="3" t="str">
        <f aca="false">IFERROR(INDEX('Teacher Lookup'!$B$2:$B$200,MATCH(A5690,'Teacher Lookup'!$A$2:$A$200,0)),"")</f>
        <v>YU Jonathan</v>
      </c>
    </row>
    <row r="5691" customFormat="false" ht="15" hidden="false" customHeight="false" outlineLevel="0" collapsed="false">
      <c r="A5691" s="3" t="s">
        <v>455</v>
      </c>
      <c r="B5691" s="4" t="s">
        <v>40</v>
      </c>
      <c r="C5691" s="4" t="n">
        <v>5</v>
      </c>
      <c r="D5691" s="4" t="s">
        <v>55</v>
      </c>
      <c r="E5691" s="3" t="s">
        <v>304</v>
      </c>
      <c r="F5691" s="4" t="str">
        <f aca="false">IF(I5691&gt;J5691,"Y","N")</f>
        <v>N</v>
      </c>
      <c r="G5691" s="3" t="s">
        <v>15</v>
      </c>
      <c r="H5691" s="3" t="s">
        <v>37</v>
      </c>
      <c r="I5691" s="4" t="n">
        <v>7</v>
      </c>
      <c r="J5691" s="4" t="n">
        <f aca="false">LEN(E5691)-LEN(SUBSTITUTE(E5691,",",""))+1</f>
        <v>7</v>
      </c>
      <c r="K5691" s="3" t="str">
        <f aca="false">IFERROR(INDEX('Teacher Lookup'!$B$2:$B$200,MATCH(A5691,'Teacher Lookup'!$A$2:$A$200,0)),"")</f>
        <v>YU Jonathan</v>
      </c>
    </row>
    <row r="5692" customFormat="false" ht="15" hidden="false" customHeight="false" outlineLevel="0" collapsed="false">
      <c r="A5692" s="3" t="s">
        <v>455</v>
      </c>
      <c r="B5692" s="4" t="s">
        <v>40</v>
      </c>
      <c r="C5692" s="4" t="n">
        <v>5</v>
      </c>
      <c r="D5692" s="4" t="s">
        <v>56</v>
      </c>
      <c r="E5692" s="3" t="s">
        <v>304</v>
      </c>
      <c r="F5692" s="4" t="str">
        <f aca="false">IF(I5692&gt;J5692,"Y","N")</f>
        <v>N</v>
      </c>
      <c r="G5692" s="3" t="s">
        <v>15</v>
      </c>
      <c r="H5692" s="3" t="s">
        <v>37</v>
      </c>
      <c r="I5692" s="4" t="n">
        <v>7</v>
      </c>
      <c r="J5692" s="4" t="n">
        <f aca="false">LEN(E5692)-LEN(SUBSTITUTE(E5692,",",""))+1</f>
        <v>7</v>
      </c>
      <c r="K5692" s="3" t="str">
        <f aca="false">IFERROR(INDEX('Teacher Lookup'!$B$2:$B$200,MATCH(A5692,'Teacher Lookup'!$A$2:$A$200,0)),"")</f>
        <v>YU Jonathan</v>
      </c>
    </row>
    <row r="5693" customFormat="false" ht="15" hidden="false" customHeight="false" outlineLevel="0" collapsed="false">
      <c r="A5693" s="3" t="s">
        <v>455</v>
      </c>
      <c r="B5693" s="4" t="s">
        <v>40</v>
      </c>
      <c r="C5693" s="4" t="n">
        <v>5</v>
      </c>
      <c r="D5693" s="4" t="s">
        <v>57</v>
      </c>
      <c r="E5693" s="3" t="s">
        <v>304</v>
      </c>
      <c r="F5693" s="4" t="str">
        <f aca="false">IF(I5693&gt;J5693,"Y","N")</f>
        <v>N</v>
      </c>
      <c r="G5693" s="3" t="s">
        <v>15</v>
      </c>
      <c r="H5693" s="3" t="s">
        <v>37</v>
      </c>
      <c r="I5693" s="4" t="n">
        <v>7</v>
      </c>
      <c r="J5693" s="4" t="n">
        <f aca="false">LEN(E5693)-LEN(SUBSTITUTE(E5693,",",""))+1</f>
        <v>7</v>
      </c>
      <c r="K5693" s="3" t="str">
        <f aca="false">IFERROR(INDEX('Teacher Lookup'!$B$2:$B$200,MATCH(A5693,'Teacher Lookup'!$A$2:$A$200,0)),"")</f>
        <v>YU Jonathan</v>
      </c>
    </row>
    <row r="5694" customFormat="false" ht="15" hidden="false" customHeight="false" outlineLevel="0" collapsed="false">
      <c r="A5694" s="3" t="s">
        <v>455</v>
      </c>
      <c r="B5694" s="4" t="s">
        <v>40</v>
      </c>
      <c r="C5694" s="4" t="n">
        <v>5</v>
      </c>
      <c r="D5694" s="4" t="s">
        <v>58</v>
      </c>
      <c r="E5694" s="3" t="s">
        <v>304</v>
      </c>
      <c r="F5694" s="4" t="str">
        <f aca="false">IF(I5694&gt;J5694,"Y","N")</f>
        <v>N</v>
      </c>
      <c r="G5694" s="3" t="s">
        <v>15</v>
      </c>
      <c r="H5694" s="3" t="s">
        <v>37</v>
      </c>
      <c r="I5694" s="4" t="n">
        <v>7</v>
      </c>
      <c r="J5694" s="4" t="n">
        <f aca="false">LEN(E5694)-LEN(SUBSTITUTE(E5694,",",""))+1</f>
        <v>7</v>
      </c>
      <c r="K5694" s="3" t="str">
        <f aca="false">IFERROR(INDEX('Teacher Lookup'!$B$2:$B$200,MATCH(A5694,'Teacher Lookup'!$A$2:$A$200,0)),"")</f>
        <v>YU Jonathan</v>
      </c>
    </row>
    <row r="5695" customFormat="false" ht="15" hidden="false" customHeight="false" outlineLevel="0" collapsed="false">
      <c r="A5695" s="3" t="s">
        <v>455</v>
      </c>
      <c r="B5695" s="4" t="s">
        <v>40</v>
      </c>
      <c r="C5695" s="4" t="n">
        <v>5</v>
      </c>
      <c r="D5695" s="4" t="s">
        <v>59</v>
      </c>
      <c r="E5695" s="3" t="s">
        <v>304</v>
      </c>
      <c r="F5695" s="4" t="str">
        <f aca="false">IF(I5695&gt;J5695,"Y","N")</f>
        <v>N</v>
      </c>
      <c r="G5695" s="3" t="s">
        <v>15</v>
      </c>
      <c r="H5695" s="3" t="s">
        <v>37</v>
      </c>
      <c r="I5695" s="4" t="n">
        <v>7</v>
      </c>
      <c r="J5695" s="4" t="n">
        <f aca="false">LEN(E5695)-LEN(SUBSTITUTE(E5695,",",""))+1</f>
        <v>7</v>
      </c>
      <c r="K5695" s="3" t="str">
        <f aca="false">IFERROR(INDEX('Teacher Lookup'!$B$2:$B$200,MATCH(A5695,'Teacher Lookup'!$A$2:$A$200,0)),"")</f>
        <v>YU Jonathan</v>
      </c>
    </row>
    <row r="5696" customFormat="false" ht="15" hidden="false" customHeight="false" outlineLevel="0" collapsed="false">
      <c r="A5696" s="3" t="s">
        <v>455</v>
      </c>
      <c r="B5696" s="4" t="s">
        <v>44</v>
      </c>
      <c r="C5696" s="4" t="n">
        <v>1</v>
      </c>
      <c r="D5696" s="4" t="s">
        <v>52</v>
      </c>
      <c r="E5696" s="3" t="s">
        <v>305</v>
      </c>
      <c r="F5696" s="4" t="str">
        <f aca="false">IF(I5696&gt;J5696,"Y","N")</f>
        <v>N</v>
      </c>
      <c r="G5696" s="3" t="s">
        <v>15</v>
      </c>
      <c r="H5696" s="3" t="s">
        <v>16</v>
      </c>
      <c r="I5696" s="4" t="n">
        <v>7</v>
      </c>
      <c r="J5696" s="4" t="n">
        <f aca="false">LEN(E5696)-LEN(SUBSTITUTE(E5696,",",""))+1</f>
        <v>7</v>
      </c>
      <c r="K5696" s="3" t="str">
        <f aca="false">IFERROR(INDEX('Teacher Lookup'!$B$2:$B$200,MATCH(A5696,'Teacher Lookup'!$A$2:$A$200,0)),"")</f>
        <v>YU Jonathan</v>
      </c>
    </row>
    <row r="5697" customFormat="false" ht="15" hidden="false" customHeight="false" outlineLevel="0" collapsed="false">
      <c r="A5697" s="3" t="s">
        <v>455</v>
      </c>
      <c r="B5697" s="4" t="s">
        <v>44</v>
      </c>
      <c r="C5697" s="4" t="n">
        <v>1</v>
      </c>
      <c r="D5697" s="4" t="s">
        <v>55</v>
      </c>
      <c r="E5697" s="3" t="s">
        <v>305</v>
      </c>
      <c r="F5697" s="4" t="str">
        <f aca="false">IF(I5697&gt;J5697,"Y","N")</f>
        <v>N</v>
      </c>
      <c r="G5697" s="3" t="s">
        <v>15</v>
      </c>
      <c r="H5697" s="3" t="s">
        <v>16</v>
      </c>
      <c r="I5697" s="4" t="n">
        <v>7</v>
      </c>
      <c r="J5697" s="4" t="n">
        <f aca="false">LEN(E5697)-LEN(SUBSTITUTE(E5697,",",""))+1</f>
        <v>7</v>
      </c>
      <c r="K5697" s="3" t="str">
        <f aca="false">IFERROR(INDEX('Teacher Lookup'!$B$2:$B$200,MATCH(A5697,'Teacher Lookup'!$A$2:$A$200,0)),"")</f>
        <v>YU Jonathan</v>
      </c>
    </row>
    <row r="5698" customFormat="false" ht="15" hidden="false" customHeight="false" outlineLevel="0" collapsed="false">
      <c r="A5698" s="3" t="s">
        <v>455</v>
      </c>
      <c r="B5698" s="4" t="s">
        <v>44</v>
      </c>
      <c r="C5698" s="4" t="n">
        <v>1</v>
      </c>
      <c r="D5698" s="4" t="s">
        <v>56</v>
      </c>
      <c r="E5698" s="3" t="s">
        <v>305</v>
      </c>
      <c r="F5698" s="4" t="str">
        <f aca="false">IF(I5698&gt;J5698,"Y","N")</f>
        <v>N</v>
      </c>
      <c r="G5698" s="3" t="s">
        <v>15</v>
      </c>
      <c r="H5698" s="3" t="s">
        <v>16</v>
      </c>
      <c r="I5698" s="4" t="n">
        <v>7</v>
      </c>
      <c r="J5698" s="4" t="n">
        <f aca="false">LEN(E5698)-LEN(SUBSTITUTE(E5698,",",""))+1</f>
        <v>7</v>
      </c>
      <c r="K5698" s="3" t="str">
        <f aca="false">IFERROR(INDEX('Teacher Lookup'!$B$2:$B$200,MATCH(A5698,'Teacher Lookup'!$A$2:$A$200,0)),"")</f>
        <v>YU Jonathan</v>
      </c>
    </row>
    <row r="5699" customFormat="false" ht="15" hidden="false" customHeight="false" outlineLevel="0" collapsed="false">
      <c r="A5699" s="3" t="s">
        <v>455</v>
      </c>
      <c r="B5699" s="4" t="s">
        <v>44</v>
      </c>
      <c r="C5699" s="4" t="n">
        <v>1</v>
      </c>
      <c r="D5699" s="4" t="s">
        <v>57</v>
      </c>
      <c r="E5699" s="3" t="s">
        <v>305</v>
      </c>
      <c r="F5699" s="4" t="str">
        <f aca="false">IF(I5699&gt;J5699,"Y","N")</f>
        <v>N</v>
      </c>
      <c r="G5699" s="3" t="s">
        <v>15</v>
      </c>
      <c r="H5699" s="3" t="s">
        <v>16</v>
      </c>
      <c r="I5699" s="4" t="n">
        <v>7</v>
      </c>
      <c r="J5699" s="4" t="n">
        <f aca="false">LEN(E5699)-LEN(SUBSTITUTE(E5699,",",""))+1</f>
        <v>7</v>
      </c>
      <c r="K5699" s="3" t="str">
        <f aca="false">IFERROR(INDEX('Teacher Lookup'!$B$2:$B$200,MATCH(A5699,'Teacher Lookup'!$A$2:$A$200,0)),"")</f>
        <v>YU Jonathan</v>
      </c>
    </row>
    <row r="5700" customFormat="false" ht="15" hidden="false" customHeight="false" outlineLevel="0" collapsed="false">
      <c r="A5700" s="3" t="s">
        <v>455</v>
      </c>
      <c r="B5700" s="4" t="s">
        <v>44</v>
      </c>
      <c r="C5700" s="4" t="n">
        <v>1</v>
      </c>
      <c r="D5700" s="4" t="s">
        <v>58</v>
      </c>
      <c r="E5700" s="3" t="s">
        <v>305</v>
      </c>
      <c r="F5700" s="4" t="str">
        <f aca="false">IF(I5700&gt;J5700,"Y","N")</f>
        <v>N</v>
      </c>
      <c r="G5700" s="3" t="s">
        <v>15</v>
      </c>
      <c r="H5700" s="3" t="s">
        <v>16</v>
      </c>
      <c r="I5700" s="4" t="n">
        <v>7</v>
      </c>
      <c r="J5700" s="4" t="n">
        <f aca="false">LEN(E5700)-LEN(SUBSTITUTE(E5700,",",""))+1</f>
        <v>7</v>
      </c>
      <c r="K5700" s="3" t="str">
        <f aca="false">IFERROR(INDEX('Teacher Lookup'!$B$2:$B$200,MATCH(A5700,'Teacher Lookup'!$A$2:$A$200,0)),"")</f>
        <v>YU Jonathan</v>
      </c>
    </row>
    <row r="5701" customFormat="false" ht="15" hidden="false" customHeight="false" outlineLevel="0" collapsed="false">
      <c r="A5701" s="3" t="s">
        <v>455</v>
      </c>
      <c r="B5701" s="4" t="s">
        <v>44</v>
      </c>
      <c r="C5701" s="4" t="n">
        <v>1</v>
      </c>
      <c r="D5701" s="4" t="s">
        <v>59</v>
      </c>
      <c r="E5701" s="3" t="s">
        <v>305</v>
      </c>
      <c r="F5701" s="4" t="str">
        <f aca="false">IF(I5701&gt;J5701,"Y","N")</f>
        <v>N</v>
      </c>
      <c r="G5701" s="3" t="s">
        <v>15</v>
      </c>
      <c r="H5701" s="3" t="s">
        <v>16</v>
      </c>
      <c r="I5701" s="4" t="n">
        <v>7</v>
      </c>
      <c r="J5701" s="4" t="n">
        <f aca="false">LEN(E5701)-LEN(SUBSTITUTE(E5701,",",""))+1</f>
        <v>7</v>
      </c>
      <c r="K5701" s="3" t="str">
        <f aca="false">IFERROR(INDEX('Teacher Lookup'!$B$2:$B$200,MATCH(A5701,'Teacher Lookup'!$A$2:$A$200,0)),"")</f>
        <v>YU Jonathan</v>
      </c>
    </row>
    <row r="5702" customFormat="false" ht="15" hidden="false" customHeight="false" outlineLevel="0" collapsed="false">
      <c r="A5702" s="3" t="s">
        <v>455</v>
      </c>
      <c r="B5702" s="4" t="s">
        <v>44</v>
      </c>
      <c r="C5702" s="4" t="n">
        <v>3</v>
      </c>
      <c r="D5702" s="4" t="s">
        <v>102</v>
      </c>
      <c r="E5702" s="3" t="s">
        <v>227</v>
      </c>
      <c r="F5702" s="4" t="str">
        <f aca="false">IF(I5702&gt;J5702,"Y","N")</f>
        <v>N</v>
      </c>
      <c r="G5702" s="3" t="s">
        <v>15</v>
      </c>
      <c r="H5702" s="3" t="s">
        <v>26</v>
      </c>
      <c r="I5702" s="4" t="n">
        <v>5</v>
      </c>
      <c r="J5702" s="4" t="n">
        <f aca="false">LEN(E5702)-LEN(SUBSTITUTE(E5702,",",""))+1</f>
        <v>5</v>
      </c>
      <c r="K5702" s="3" t="str">
        <f aca="false">IFERROR(INDEX('Teacher Lookup'!$B$2:$B$200,MATCH(A5702,'Teacher Lookup'!$A$2:$A$200,0)),"")</f>
        <v>YU Jonathan</v>
      </c>
    </row>
    <row r="5703" customFormat="false" ht="15" hidden="false" customHeight="false" outlineLevel="0" collapsed="false">
      <c r="A5703" s="3" t="s">
        <v>455</v>
      </c>
      <c r="B5703" s="4" t="s">
        <v>44</v>
      </c>
      <c r="C5703" s="4" t="n">
        <v>3</v>
      </c>
      <c r="D5703" s="4" t="s">
        <v>105</v>
      </c>
      <c r="E5703" s="3" t="s">
        <v>227</v>
      </c>
      <c r="F5703" s="4" t="str">
        <f aca="false">IF(I5703&gt;J5703,"Y","N")</f>
        <v>N</v>
      </c>
      <c r="G5703" s="3" t="s">
        <v>15</v>
      </c>
      <c r="H5703" s="3" t="s">
        <v>26</v>
      </c>
      <c r="I5703" s="4" t="n">
        <v>5</v>
      </c>
      <c r="J5703" s="4" t="n">
        <f aca="false">LEN(E5703)-LEN(SUBSTITUTE(E5703,",",""))+1</f>
        <v>5</v>
      </c>
      <c r="K5703" s="3" t="str">
        <f aca="false">IFERROR(INDEX('Teacher Lookup'!$B$2:$B$200,MATCH(A5703,'Teacher Lookup'!$A$2:$A$200,0)),"")</f>
        <v>YU Jonathan</v>
      </c>
    </row>
    <row r="5704" customFormat="false" ht="15" hidden="false" customHeight="false" outlineLevel="0" collapsed="false">
      <c r="A5704" s="3" t="s">
        <v>455</v>
      </c>
      <c r="B5704" s="4" t="s">
        <v>44</v>
      </c>
      <c r="C5704" s="4" t="n">
        <v>3</v>
      </c>
      <c r="D5704" s="4" t="s">
        <v>106</v>
      </c>
      <c r="E5704" s="3" t="s">
        <v>227</v>
      </c>
      <c r="F5704" s="4" t="str">
        <f aca="false">IF(I5704&gt;J5704,"Y","N")</f>
        <v>N</v>
      </c>
      <c r="G5704" s="3" t="s">
        <v>15</v>
      </c>
      <c r="H5704" s="3" t="s">
        <v>26</v>
      </c>
      <c r="I5704" s="4" t="n">
        <v>5</v>
      </c>
      <c r="J5704" s="4" t="n">
        <f aca="false">LEN(E5704)-LEN(SUBSTITUTE(E5704,",",""))+1</f>
        <v>5</v>
      </c>
      <c r="K5704" s="3" t="str">
        <f aca="false">IFERROR(INDEX('Teacher Lookup'!$B$2:$B$200,MATCH(A5704,'Teacher Lookup'!$A$2:$A$200,0)),"")</f>
        <v>YU Jonathan</v>
      </c>
    </row>
    <row r="5705" customFormat="false" ht="15" hidden="false" customHeight="false" outlineLevel="0" collapsed="false">
      <c r="A5705" s="3" t="s">
        <v>455</v>
      </c>
      <c r="B5705" s="4" t="s">
        <v>44</v>
      </c>
      <c r="C5705" s="4" t="n">
        <v>3</v>
      </c>
      <c r="D5705" s="4" t="s">
        <v>107</v>
      </c>
      <c r="E5705" s="3" t="s">
        <v>227</v>
      </c>
      <c r="F5705" s="4" t="str">
        <f aca="false">IF(I5705&gt;J5705,"Y","N")</f>
        <v>N</v>
      </c>
      <c r="G5705" s="3" t="s">
        <v>15</v>
      </c>
      <c r="H5705" s="3" t="s">
        <v>26</v>
      </c>
      <c r="I5705" s="4" t="n">
        <v>5</v>
      </c>
      <c r="J5705" s="4" t="n">
        <f aca="false">LEN(E5705)-LEN(SUBSTITUTE(E5705,",",""))+1</f>
        <v>5</v>
      </c>
      <c r="K5705" s="3" t="str">
        <f aca="false">IFERROR(INDEX('Teacher Lookup'!$B$2:$B$200,MATCH(A5705,'Teacher Lookup'!$A$2:$A$200,0)),"")</f>
        <v>YU Jonathan</v>
      </c>
    </row>
    <row r="5706" customFormat="false" ht="15" hidden="false" customHeight="false" outlineLevel="0" collapsed="false">
      <c r="A5706" s="3" t="s">
        <v>455</v>
      </c>
      <c r="B5706" s="4" t="s">
        <v>44</v>
      </c>
      <c r="C5706" s="4" t="n">
        <v>5</v>
      </c>
      <c r="D5706" s="4" t="s">
        <v>70</v>
      </c>
      <c r="E5706" s="3" t="s">
        <v>81</v>
      </c>
      <c r="F5706" s="4" t="str">
        <f aca="false">IF(I5706&gt;J5706,"Y","N")</f>
        <v>Y</v>
      </c>
      <c r="G5706" s="3" t="s">
        <v>36</v>
      </c>
      <c r="H5706" s="3" t="s">
        <v>37</v>
      </c>
      <c r="I5706" s="4" t="n">
        <v>15</v>
      </c>
      <c r="J5706" s="4" t="n">
        <f aca="false">LEN(E5706)-LEN(SUBSTITUTE(E5706,",",""))+1</f>
        <v>7</v>
      </c>
      <c r="K5706" s="3" t="str">
        <f aca="false">IFERROR(INDEX('Teacher Lookup'!$B$2:$B$200,MATCH(A5706,'Teacher Lookup'!$A$2:$A$200,0)),"")</f>
        <v>YU Jonathan</v>
      </c>
    </row>
    <row r="5707" customFormat="false" ht="15" hidden="false" customHeight="false" outlineLevel="0" collapsed="false">
      <c r="A5707" s="3" t="s">
        <v>455</v>
      </c>
      <c r="B5707" s="4" t="s">
        <v>44</v>
      </c>
      <c r="C5707" s="4" t="n">
        <v>5</v>
      </c>
      <c r="D5707" s="4" t="s">
        <v>73</v>
      </c>
      <c r="E5707" s="3" t="s">
        <v>81</v>
      </c>
      <c r="F5707" s="4" t="str">
        <f aca="false">IF(I5707&gt;J5707,"Y","N")</f>
        <v>Y</v>
      </c>
      <c r="G5707" s="3" t="s">
        <v>36</v>
      </c>
      <c r="H5707" s="3" t="s">
        <v>37</v>
      </c>
      <c r="I5707" s="4" t="n">
        <v>15</v>
      </c>
      <c r="J5707" s="4" t="n">
        <f aca="false">LEN(E5707)-LEN(SUBSTITUTE(E5707,",",""))+1</f>
        <v>7</v>
      </c>
      <c r="K5707" s="3" t="str">
        <f aca="false">IFERROR(INDEX('Teacher Lookup'!$B$2:$B$200,MATCH(A5707,'Teacher Lookup'!$A$2:$A$200,0)),"")</f>
        <v>YU Jonathan</v>
      </c>
    </row>
    <row r="5708" customFormat="false" ht="15" hidden="false" customHeight="false" outlineLevel="0" collapsed="false">
      <c r="A5708" s="3" t="s">
        <v>455</v>
      </c>
      <c r="B5708" s="4" t="s">
        <v>44</v>
      </c>
      <c r="C5708" s="4" t="n">
        <v>5</v>
      </c>
      <c r="D5708" s="4" t="s">
        <v>74</v>
      </c>
      <c r="E5708" s="3" t="s">
        <v>81</v>
      </c>
      <c r="F5708" s="4" t="str">
        <f aca="false">IF(I5708&gt;J5708,"Y","N")</f>
        <v>Y</v>
      </c>
      <c r="G5708" s="3" t="s">
        <v>36</v>
      </c>
      <c r="H5708" s="3" t="s">
        <v>37</v>
      </c>
      <c r="I5708" s="4" t="n">
        <v>15</v>
      </c>
      <c r="J5708" s="4" t="n">
        <f aca="false">LEN(E5708)-LEN(SUBSTITUTE(E5708,",",""))+1</f>
        <v>7</v>
      </c>
      <c r="K5708" s="3" t="str">
        <f aca="false">IFERROR(INDEX('Teacher Lookup'!$B$2:$B$200,MATCH(A5708,'Teacher Lookup'!$A$2:$A$200,0)),"")</f>
        <v>YU Jonathan</v>
      </c>
    </row>
    <row r="5709" customFormat="false" ht="15" hidden="false" customHeight="false" outlineLevel="0" collapsed="false">
      <c r="A5709" s="3" t="s">
        <v>455</v>
      </c>
      <c r="B5709" s="4" t="s">
        <v>44</v>
      </c>
      <c r="C5709" s="4" t="n">
        <v>5</v>
      </c>
      <c r="D5709" s="4" t="s">
        <v>76</v>
      </c>
      <c r="E5709" s="3" t="s">
        <v>81</v>
      </c>
      <c r="F5709" s="4" t="str">
        <f aca="false">IF(I5709&gt;J5709,"Y","N")</f>
        <v>Y</v>
      </c>
      <c r="G5709" s="3" t="s">
        <v>36</v>
      </c>
      <c r="H5709" s="3" t="s">
        <v>37</v>
      </c>
      <c r="I5709" s="4" t="n">
        <v>15</v>
      </c>
      <c r="J5709" s="4" t="n">
        <f aca="false">LEN(E5709)-LEN(SUBSTITUTE(E5709,",",""))+1</f>
        <v>7</v>
      </c>
      <c r="K5709" s="3" t="str">
        <f aca="false">IFERROR(INDEX('Teacher Lookup'!$B$2:$B$200,MATCH(A5709,'Teacher Lookup'!$A$2:$A$200,0)),"")</f>
        <v>YU Jonathan</v>
      </c>
    </row>
    <row r="5710" customFormat="false" ht="15" hidden="false" customHeight="false" outlineLevel="0" collapsed="false">
      <c r="A5710" s="3" t="s">
        <v>455</v>
      </c>
      <c r="B5710" s="4" t="s">
        <v>44</v>
      </c>
      <c r="C5710" s="4" t="n">
        <v>5</v>
      </c>
      <c r="D5710" s="4" t="s">
        <v>78</v>
      </c>
      <c r="E5710" s="3" t="s">
        <v>81</v>
      </c>
      <c r="F5710" s="4" t="str">
        <f aca="false">IF(I5710&gt;J5710,"Y","N")</f>
        <v>Y</v>
      </c>
      <c r="G5710" s="3" t="s">
        <v>36</v>
      </c>
      <c r="H5710" s="3" t="s">
        <v>37</v>
      </c>
      <c r="I5710" s="4" t="n">
        <v>15</v>
      </c>
      <c r="J5710" s="4" t="n">
        <f aca="false">LEN(E5710)-LEN(SUBSTITUTE(E5710,",",""))+1</f>
        <v>7</v>
      </c>
      <c r="K5710" s="3" t="str">
        <f aca="false">IFERROR(INDEX('Teacher Lookup'!$B$2:$B$200,MATCH(A5710,'Teacher Lookup'!$A$2:$A$200,0)),"")</f>
        <v>YU Jonathan</v>
      </c>
    </row>
    <row r="5711" customFormat="false" ht="15" hidden="false" customHeight="false" outlineLevel="0" collapsed="false">
      <c r="A5711" s="3" t="s">
        <v>455</v>
      </c>
      <c r="B5711" s="4" t="s">
        <v>44</v>
      </c>
      <c r="C5711" s="4" t="n">
        <v>5</v>
      </c>
      <c r="D5711" s="4" t="s">
        <v>79</v>
      </c>
      <c r="E5711" s="3" t="s">
        <v>81</v>
      </c>
      <c r="F5711" s="4" t="str">
        <f aca="false">IF(I5711&gt;J5711,"Y","N")</f>
        <v>Y</v>
      </c>
      <c r="G5711" s="3" t="s">
        <v>36</v>
      </c>
      <c r="H5711" s="3" t="s">
        <v>37</v>
      </c>
      <c r="I5711" s="4" t="n">
        <v>15</v>
      </c>
      <c r="J5711" s="4" t="n">
        <f aca="false">LEN(E5711)-LEN(SUBSTITUTE(E5711,",",""))+1</f>
        <v>7</v>
      </c>
      <c r="K5711" s="3" t="str">
        <f aca="false">IFERROR(INDEX('Teacher Lookup'!$B$2:$B$200,MATCH(A5711,'Teacher Lookup'!$A$2:$A$200,0)),"")</f>
        <v>YU Jonathan</v>
      </c>
    </row>
    <row r="5712" customFormat="false" ht="15" hidden="false" customHeight="false" outlineLevel="0" collapsed="false">
      <c r="A5712" s="3" t="s">
        <v>455</v>
      </c>
      <c r="B5712" s="4" t="s">
        <v>47</v>
      </c>
      <c r="C5712" s="4" t="n">
        <v>2</v>
      </c>
      <c r="D5712" s="4" t="s">
        <v>52</v>
      </c>
      <c r="E5712" s="3" t="s">
        <v>306</v>
      </c>
      <c r="F5712" s="4" t="str">
        <f aca="false">IF(I5712&gt;J5712,"Y","N")</f>
        <v>N</v>
      </c>
      <c r="G5712" s="3" t="s">
        <v>15</v>
      </c>
      <c r="H5712" s="3" t="s">
        <v>21</v>
      </c>
      <c r="I5712" s="4" t="n">
        <v>7</v>
      </c>
      <c r="J5712" s="4" t="n">
        <f aca="false">LEN(E5712)-LEN(SUBSTITUTE(E5712,",",""))+1</f>
        <v>7</v>
      </c>
      <c r="K5712" s="3" t="str">
        <f aca="false">IFERROR(INDEX('Teacher Lookup'!$B$2:$B$200,MATCH(A5712,'Teacher Lookup'!$A$2:$A$200,0)),"")</f>
        <v>YU Jonathan</v>
      </c>
    </row>
    <row r="5713" customFormat="false" ht="15" hidden="false" customHeight="false" outlineLevel="0" collapsed="false">
      <c r="A5713" s="3" t="s">
        <v>455</v>
      </c>
      <c r="B5713" s="4" t="s">
        <v>47</v>
      </c>
      <c r="C5713" s="4" t="n">
        <v>2</v>
      </c>
      <c r="D5713" s="4" t="s">
        <v>55</v>
      </c>
      <c r="E5713" s="3" t="s">
        <v>306</v>
      </c>
      <c r="F5713" s="4" t="str">
        <f aca="false">IF(I5713&gt;J5713,"Y","N")</f>
        <v>N</v>
      </c>
      <c r="G5713" s="3" t="s">
        <v>15</v>
      </c>
      <c r="H5713" s="3" t="s">
        <v>21</v>
      </c>
      <c r="I5713" s="4" t="n">
        <v>7</v>
      </c>
      <c r="J5713" s="4" t="n">
        <f aca="false">LEN(E5713)-LEN(SUBSTITUTE(E5713,",",""))+1</f>
        <v>7</v>
      </c>
      <c r="K5713" s="3" t="str">
        <f aca="false">IFERROR(INDEX('Teacher Lookup'!$B$2:$B$200,MATCH(A5713,'Teacher Lookup'!$A$2:$A$200,0)),"")</f>
        <v>YU Jonathan</v>
      </c>
    </row>
    <row r="5714" customFormat="false" ht="15" hidden="false" customHeight="false" outlineLevel="0" collapsed="false">
      <c r="A5714" s="3" t="s">
        <v>455</v>
      </c>
      <c r="B5714" s="4" t="s">
        <v>47</v>
      </c>
      <c r="C5714" s="4" t="n">
        <v>2</v>
      </c>
      <c r="D5714" s="4" t="s">
        <v>56</v>
      </c>
      <c r="E5714" s="3" t="s">
        <v>306</v>
      </c>
      <c r="F5714" s="4" t="str">
        <f aca="false">IF(I5714&gt;J5714,"Y","N")</f>
        <v>N</v>
      </c>
      <c r="G5714" s="3" t="s">
        <v>15</v>
      </c>
      <c r="H5714" s="3" t="s">
        <v>21</v>
      </c>
      <c r="I5714" s="4" t="n">
        <v>7</v>
      </c>
      <c r="J5714" s="4" t="n">
        <f aca="false">LEN(E5714)-LEN(SUBSTITUTE(E5714,",",""))+1</f>
        <v>7</v>
      </c>
      <c r="K5714" s="3" t="str">
        <f aca="false">IFERROR(INDEX('Teacher Lookup'!$B$2:$B$200,MATCH(A5714,'Teacher Lookup'!$A$2:$A$200,0)),"")</f>
        <v>YU Jonathan</v>
      </c>
    </row>
    <row r="5715" customFormat="false" ht="15" hidden="false" customHeight="false" outlineLevel="0" collapsed="false">
      <c r="A5715" s="3" t="s">
        <v>455</v>
      </c>
      <c r="B5715" s="4" t="s">
        <v>47</v>
      </c>
      <c r="C5715" s="4" t="n">
        <v>2</v>
      </c>
      <c r="D5715" s="4" t="s">
        <v>57</v>
      </c>
      <c r="E5715" s="3" t="s">
        <v>306</v>
      </c>
      <c r="F5715" s="4" t="str">
        <f aca="false">IF(I5715&gt;J5715,"Y","N")</f>
        <v>N</v>
      </c>
      <c r="G5715" s="3" t="s">
        <v>15</v>
      </c>
      <c r="H5715" s="3" t="s">
        <v>21</v>
      </c>
      <c r="I5715" s="4" t="n">
        <v>7</v>
      </c>
      <c r="J5715" s="4" t="n">
        <f aca="false">LEN(E5715)-LEN(SUBSTITUTE(E5715,",",""))+1</f>
        <v>7</v>
      </c>
      <c r="K5715" s="3" t="str">
        <f aca="false">IFERROR(INDEX('Teacher Lookup'!$B$2:$B$200,MATCH(A5715,'Teacher Lookup'!$A$2:$A$200,0)),"")</f>
        <v>YU Jonathan</v>
      </c>
    </row>
    <row r="5716" customFormat="false" ht="15" hidden="false" customHeight="false" outlineLevel="0" collapsed="false">
      <c r="A5716" s="3" t="s">
        <v>455</v>
      </c>
      <c r="B5716" s="4" t="s">
        <v>47</v>
      </c>
      <c r="C5716" s="4" t="n">
        <v>2</v>
      </c>
      <c r="D5716" s="4" t="s">
        <v>58</v>
      </c>
      <c r="E5716" s="3" t="s">
        <v>306</v>
      </c>
      <c r="F5716" s="4" t="str">
        <f aca="false">IF(I5716&gt;J5716,"Y","N")</f>
        <v>N</v>
      </c>
      <c r="G5716" s="3" t="s">
        <v>15</v>
      </c>
      <c r="H5716" s="3" t="s">
        <v>21</v>
      </c>
      <c r="I5716" s="4" t="n">
        <v>7</v>
      </c>
      <c r="J5716" s="4" t="n">
        <f aca="false">LEN(E5716)-LEN(SUBSTITUTE(E5716,",",""))+1</f>
        <v>7</v>
      </c>
      <c r="K5716" s="3" t="str">
        <f aca="false">IFERROR(INDEX('Teacher Lookup'!$B$2:$B$200,MATCH(A5716,'Teacher Lookup'!$A$2:$A$200,0)),"")</f>
        <v>YU Jonathan</v>
      </c>
    </row>
    <row r="5717" customFormat="false" ht="15" hidden="false" customHeight="false" outlineLevel="0" collapsed="false">
      <c r="A5717" s="3" t="s">
        <v>455</v>
      </c>
      <c r="B5717" s="4" t="s">
        <v>47</v>
      </c>
      <c r="C5717" s="4" t="n">
        <v>2</v>
      </c>
      <c r="D5717" s="4" t="s">
        <v>59</v>
      </c>
      <c r="E5717" s="3" t="s">
        <v>306</v>
      </c>
      <c r="F5717" s="4" t="str">
        <f aca="false">IF(I5717&gt;J5717,"Y","N")</f>
        <v>N</v>
      </c>
      <c r="G5717" s="3" t="s">
        <v>15</v>
      </c>
      <c r="H5717" s="3" t="s">
        <v>21</v>
      </c>
      <c r="I5717" s="4" t="n">
        <v>7</v>
      </c>
      <c r="J5717" s="4" t="n">
        <f aca="false">LEN(E5717)-LEN(SUBSTITUTE(E5717,",",""))+1</f>
        <v>7</v>
      </c>
      <c r="K5717" s="3" t="str">
        <f aca="false">IFERROR(INDEX('Teacher Lookup'!$B$2:$B$200,MATCH(A5717,'Teacher Lookup'!$A$2:$A$200,0)),"")</f>
        <v>YU Jonathan</v>
      </c>
    </row>
    <row r="5718" customFormat="false" ht="15" hidden="false" customHeight="false" outlineLevel="0" collapsed="false">
      <c r="A5718" s="3" t="s">
        <v>455</v>
      </c>
      <c r="B5718" s="4" t="s">
        <v>47</v>
      </c>
      <c r="C5718" s="4" t="n">
        <v>3</v>
      </c>
      <c r="D5718" s="4" t="s">
        <v>102</v>
      </c>
      <c r="E5718" s="3" t="s">
        <v>231</v>
      </c>
      <c r="F5718" s="4" t="str">
        <f aca="false">IF(I5718&gt;J5718,"Y","N")</f>
        <v>N</v>
      </c>
      <c r="G5718" s="3" t="s">
        <v>15</v>
      </c>
      <c r="H5718" s="3" t="s">
        <v>26</v>
      </c>
      <c r="I5718" s="4" t="n">
        <v>5</v>
      </c>
      <c r="J5718" s="4" t="n">
        <f aca="false">LEN(E5718)-LEN(SUBSTITUTE(E5718,",",""))+1</f>
        <v>5</v>
      </c>
      <c r="K5718" s="3" t="str">
        <f aca="false">IFERROR(INDEX('Teacher Lookup'!$B$2:$B$200,MATCH(A5718,'Teacher Lookup'!$A$2:$A$200,0)),"")</f>
        <v>YU Jonathan</v>
      </c>
    </row>
    <row r="5719" customFormat="false" ht="15" hidden="false" customHeight="false" outlineLevel="0" collapsed="false">
      <c r="A5719" s="3" t="s">
        <v>455</v>
      </c>
      <c r="B5719" s="4" t="s">
        <v>47</v>
      </c>
      <c r="C5719" s="4" t="n">
        <v>3</v>
      </c>
      <c r="D5719" s="4" t="s">
        <v>105</v>
      </c>
      <c r="E5719" s="3" t="s">
        <v>231</v>
      </c>
      <c r="F5719" s="4" t="str">
        <f aca="false">IF(I5719&gt;J5719,"Y","N")</f>
        <v>N</v>
      </c>
      <c r="G5719" s="3" t="s">
        <v>15</v>
      </c>
      <c r="H5719" s="3" t="s">
        <v>26</v>
      </c>
      <c r="I5719" s="4" t="n">
        <v>5</v>
      </c>
      <c r="J5719" s="4" t="n">
        <f aca="false">LEN(E5719)-LEN(SUBSTITUTE(E5719,",",""))+1</f>
        <v>5</v>
      </c>
      <c r="K5719" s="3" t="str">
        <f aca="false">IFERROR(INDEX('Teacher Lookup'!$B$2:$B$200,MATCH(A5719,'Teacher Lookup'!$A$2:$A$200,0)),"")</f>
        <v>YU Jonathan</v>
      </c>
    </row>
    <row r="5720" customFormat="false" ht="15" hidden="false" customHeight="false" outlineLevel="0" collapsed="false">
      <c r="A5720" s="3" t="s">
        <v>455</v>
      </c>
      <c r="B5720" s="4" t="s">
        <v>47</v>
      </c>
      <c r="C5720" s="4" t="n">
        <v>3</v>
      </c>
      <c r="D5720" s="4" t="s">
        <v>106</v>
      </c>
      <c r="E5720" s="3" t="s">
        <v>231</v>
      </c>
      <c r="F5720" s="4" t="str">
        <f aca="false">IF(I5720&gt;J5720,"Y","N")</f>
        <v>N</v>
      </c>
      <c r="G5720" s="3" t="s">
        <v>15</v>
      </c>
      <c r="H5720" s="3" t="s">
        <v>26</v>
      </c>
      <c r="I5720" s="4" t="n">
        <v>5</v>
      </c>
      <c r="J5720" s="4" t="n">
        <f aca="false">LEN(E5720)-LEN(SUBSTITUTE(E5720,",",""))+1</f>
        <v>5</v>
      </c>
      <c r="K5720" s="3" t="str">
        <f aca="false">IFERROR(INDEX('Teacher Lookup'!$B$2:$B$200,MATCH(A5720,'Teacher Lookup'!$A$2:$A$200,0)),"")</f>
        <v>YU Jonathan</v>
      </c>
    </row>
    <row r="5721" customFormat="false" ht="15" hidden="false" customHeight="false" outlineLevel="0" collapsed="false">
      <c r="A5721" s="3" t="s">
        <v>455</v>
      </c>
      <c r="B5721" s="4" t="s">
        <v>47</v>
      </c>
      <c r="C5721" s="4" t="n">
        <v>3</v>
      </c>
      <c r="D5721" s="4" t="s">
        <v>107</v>
      </c>
      <c r="E5721" s="3" t="s">
        <v>231</v>
      </c>
      <c r="F5721" s="4" t="str">
        <f aca="false">IF(I5721&gt;J5721,"Y","N")</f>
        <v>N</v>
      </c>
      <c r="G5721" s="3" t="s">
        <v>15</v>
      </c>
      <c r="H5721" s="3" t="s">
        <v>26</v>
      </c>
      <c r="I5721" s="4" t="n">
        <v>5</v>
      </c>
      <c r="J5721" s="4" t="n">
        <f aca="false">LEN(E5721)-LEN(SUBSTITUTE(E5721,",",""))+1</f>
        <v>5</v>
      </c>
      <c r="K5721" s="3" t="str">
        <f aca="false">IFERROR(INDEX('Teacher Lookup'!$B$2:$B$200,MATCH(A5721,'Teacher Lookup'!$A$2:$A$200,0)),"")</f>
        <v>YU Jonathan</v>
      </c>
    </row>
    <row r="5722" customFormat="false" ht="15" hidden="false" customHeight="false" outlineLevel="0" collapsed="false">
      <c r="A5722" s="3" t="s">
        <v>455</v>
      </c>
      <c r="B5722" s="4" t="s">
        <v>50</v>
      </c>
      <c r="C5722" s="4" t="n">
        <v>1</v>
      </c>
      <c r="D5722" s="4" t="s">
        <v>102</v>
      </c>
      <c r="E5722" s="3" t="s">
        <v>227</v>
      </c>
      <c r="F5722" s="4" t="str">
        <f aca="false">IF(I5722&gt;J5722,"Y","N")</f>
        <v>N</v>
      </c>
      <c r="G5722" s="3" t="s">
        <v>15</v>
      </c>
      <c r="H5722" s="3" t="s">
        <v>16</v>
      </c>
      <c r="I5722" s="4" t="n">
        <v>5</v>
      </c>
      <c r="J5722" s="4" t="n">
        <f aca="false">LEN(E5722)-LEN(SUBSTITUTE(E5722,",",""))+1</f>
        <v>5</v>
      </c>
      <c r="K5722" s="3" t="str">
        <f aca="false">IFERROR(INDEX('Teacher Lookup'!$B$2:$B$200,MATCH(A5722,'Teacher Lookup'!$A$2:$A$200,0)),"")</f>
        <v>YU Jonathan</v>
      </c>
    </row>
    <row r="5723" customFormat="false" ht="15" hidden="false" customHeight="false" outlineLevel="0" collapsed="false">
      <c r="A5723" s="3" t="s">
        <v>455</v>
      </c>
      <c r="B5723" s="4" t="s">
        <v>50</v>
      </c>
      <c r="C5723" s="4" t="n">
        <v>1</v>
      </c>
      <c r="D5723" s="4" t="s">
        <v>105</v>
      </c>
      <c r="E5723" s="3" t="s">
        <v>227</v>
      </c>
      <c r="F5723" s="4" t="str">
        <f aca="false">IF(I5723&gt;J5723,"Y","N")</f>
        <v>N</v>
      </c>
      <c r="G5723" s="3" t="s">
        <v>15</v>
      </c>
      <c r="H5723" s="3" t="s">
        <v>16</v>
      </c>
      <c r="I5723" s="4" t="n">
        <v>5</v>
      </c>
      <c r="J5723" s="4" t="n">
        <f aca="false">LEN(E5723)-LEN(SUBSTITUTE(E5723,",",""))+1</f>
        <v>5</v>
      </c>
      <c r="K5723" s="3" t="str">
        <f aca="false">IFERROR(INDEX('Teacher Lookup'!$B$2:$B$200,MATCH(A5723,'Teacher Lookup'!$A$2:$A$200,0)),"")</f>
        <v>YU Jonathan</v>
      </c>
    </row>
    <row r="5724" customFormat="false" ht="15" hidden="false" customHeight="false" outlineLevel="0" collapsed="false">
      <c r="A5724" s="3" t="s">
        <v>455</v>
      </c>
      <c r="B5724" s="4" t="s">
        <v>50</v>
      </c>
      <c r="C5724" s="4" t="n">
        <v>1</v>
      </c>
      <c r="D5724" s="4" t="s">
        <v>106</v>
      </c>
      <c r="E5724" s="3" t="s">
        <v>227</v>
      </c>
      <c r="F5724" s="4" t="str">
        <f aca="false">IF(I5724&gt;J5724,"Y","N")</f>
        <v>N</v>
      </c>
      <c r="G5724" s="3" t="s">
        <v>15</v>
      </c>
      <c r="H5724" s="3" t="s">
        <v>16</v>
      </c>
      <c r="I5724" s="4" t="n">
        <v>5</v>
      </c>
      <c r="J5724" s="4" t="n">
        <f aca="false">LEN(E5724)-LEN(SUBSTITUTE(E5724,",",""))+1</f>
        <v>5</v>
      </c>
      <c r="K5724" s="3" t="str">
        <f aca="false">IFERROR(INDEX('Teacher Lookup'!$B$2:$B$200,MATCH(A5724,'Teacher Lookup'!$A$2:$A$200,0)),"")</f>
        <v>YU Jonathan</v>
      </c>
    </row>
    <row r="5725" customFormat="false" ht="15" hidden="false" customHeight="false" outlineLevel="0" collapsed="false">
      <c r="A5725" s="3" t="s">
        <v>455</v>
      </c>
      <c r="B5725" s="4" t="s">
        <v>50</v>
      </c>
      <c r="C5725" s="4" t="n">
        <v>1</v>
      </c>
      <c r="D5725" s="4" t="s">
        <v>107</v>
      </c>
      <c r="E5725" s="3" t="s">
        <v>227</v>
      </c>
      <c r="F5725" s="4" t="str">
        <f aca="false">IF(I5725&gt;J5725,"Y","N")</f>
        <v>N</v>
      </c>
      <c r="G5725" s="3" t="s">
        <v>15</v>
      </c>
      <c r="H5725" s="3" t="s">
        <v>16</v>
      </c>
      <c r="I5725" s="4" t="n">
        <v>5</v>
      </c>
      <c r="J5725" s="4" t="n">
        <f aca="false">LEN(E5725)-LEN(SUBSTITUTE(E5725,",",""))+1</f>
        <v>5</v>
      </c>
      <c r="K5725" s="3" t="str">
        <f aca="false">IFERROR(INDEX('Teacher Lookup'!$B$2:$B$200,MATCH(A5725,'Teacher Lookup'!$A$2:$A$200,0)),"")</f>
        <v>YU Jonathan</v>
      </c>
    </row>
    <row r="5726" customFormat="false" ht="15" hidden="false" customHeight="false" outlineLevel="0" collapsed="false">
      <c r="A5726" s="3" t="s">
        <v>455</v>
      </c>
      <c r="B5726" s="4" t="s">
        <v>50</v>
      </c>
      <c r="C5726" s="4" t="n">
        <v>2</v>
      </c>
      <c r="D5726" s="4" t="s">
        <v>52</v>
      </c>
      <c r="E5726" s="3" t="s">
        <v>307</v>
      </c>
      <c r="F5726" s="4" t="str">
        <f aca="false">IF(I5726&gt;J5726,"Y","N")</f>
        <v>N</v>
      </c>
      <c r="G5726" s="3" t="s">
        <v>15</v>
      </c>
      <c r="H5726" s="3" t="s">
        <v>21</v>
      </c>
      <c r="I5726" s="4" t="n">
        <v>7</v>
      </c>
      <c r="J5726" s="4" t="n">
        <f aca="false">LEN(E5726)-LEN(SUBSTITUTE(E5726,",",""))+1</f>
        <v>7</v>
      </c>
      <c r="K5726" s="3" t="str">
        <f aca="false">IFERROR(INDEX('Teacher Lookup'!$B$2:$B$200,MATCH(A5726,'Teacher Lookup'!$A$2:$A$200,0)),"")</f>
        <v>YU Jonathan</v>
      </c>
    </row>
    <row r="5727" customFormat="false" ht="15" hidden="false" customHeight="false" outlineLevel="0" collapsed="false">
      <c r="A5727" s="3" t="s">
        <v>455</v>
      </c>
      <c r="B5727" s="4" t="s">
        <v>50</v>
      </c>
      <c r="C5727" s="4" t="n">
        <v>2</v>
      </c>
      <c r="D5727" s="4" t="s">
        <v>55</v>
      </c>
      <c r="E5727" s="3" t="s">
        <v>307</v>
      </c>
      <c r="F5727" s="4" t="str">
        <f aca="false">IF(I5727&gt;J5727,"Y","N")</f>
        <v>N</v>
      </c>
      <c r="G5727" s="3" t="s">
        <v>15</v>
      </c>
      <c r="H5727" s="3" t="s">
        <v>21</v>
      </c>
      <c r="I5727" s="4" t="n">
        <v>7</v>
      </c>
      <c r="J5727" s="4" t="n">
        <f aca="false">LEN(E5727)-LEN(SUBSTITUTE(E5727,",",""))+1</f>
        <v>7</v>
      </c>
      <c r="K5727" s="3" t="str">
        <f aca="false">IFERROR(INDEX('Teacher Lookup'!$B$2:$B$200,MATCH(A5727,'Teacher Lookup'!$A$2:$A$200,0)),"")</f>
        <v>YU Jonathan</v>
      </c>
    </row>
    <row r="5728" customFormat="false" ht="15" hidden="false" customHeight="false" outlineLevel="0" collapsed="false">
      <c r="A5728" s="3" t="s">
        <v>455</v>
      </c>
      <c r="B5728" s="4" t="s">
        <v>50</v>
      </c>
      <c r="C5728" s="4" t="n">
        <v>2</v>
      </c>
      <c r="D5728" s="4" t="s">
        <v>56</v>
      </c>
      <c r="E5728" s="3" t="s">
        <v>307</v>
      </c>
      <c r="F5728" s="4" t="str">
        <f aca="false">IF(I5728&gt;J5728,"Y","N")</f>
        <v>N</v>
      </c>
      <c r="G5728" s="3" t="s">
        <v>15</v>
      </c>
      <c r="H5728" s="3" t="s">
        <v>21</v>
      </c>
      <c r="I5728" s="4" t="n">
        <v>7</v>
      </c>
      <c r="J5728" s="4" t="n">
        <f aca="false">LEN(E5728)-LEN(SUBSTITUTE(E5728,",",""))+1</f>
        <v>7</v>
      </c>
      <c r="K5728" s="3" t="str">
        <f aca="false">IFERROR(INDEX('Teacher Lookup'!$B$2:$B$200,MATCH(A5728,'Teacher Lookup'!$A$2:$A$200,0)),"")</f>
        <v>YU Jonathan</v>
      </c>
    </row>
    <row r="5729" customFormat="false" ht="15" hidden="false" customHeight="false" outlineLevel="0" collapsed="false">
      <c r="A5729" s="3" t="s">
        <v>455</v>
      </c>
      <c r="B5729" s="4" t="s">
        <v>50</v>
      </c>
      <c r="C5729" s="4" t="n">
        <v>2</v>
      </c>
      <c r="D5729" s="4" t="s">
        <v>57</v>
      </c>
      <c r="E5729" s="3" t="s">
        <v>307</v>
      </c>
      <c r="F5729" s="4" t="str">
        <f aca="false">IF(I5729&gt;J5729,"Y","N")</f>
        <v>N</v>
      </c>
      <c r="G5729" s="3" t="s">
        <v>15</v>
      </c>
      <c r="H5729" s="3" t="s">
        <v>21</v>
      </c>
      <c r="I5729" s="4" t="n">
        <v>7</v>
      </c>
      <c r="J5729" s="4" t="n">
        <f aca="false">LEN(E5729)-LEN(SUBSTITUTE(E5729,",",""))+1</f>
        <v>7</v>
      </c>
      <c r="K5729" s="3" t="str">
        <f aca="false">IFERROR(INDEX('Teacher Lookup'!$B$2:$B$200,MATCH(A5729,'Teacher Lookup'!$A$2:$A$200,0)),"")</f>
        <v>YU Jonathan</v>
      </c>
    </row>
    <row r="5730" customFormat="false" ht="15" hidden="false" customHeight="false" outlineLevel="0" collapsed="false">
      <c r="A5730" s="3" t="s">
        <v>455</v>
      </c>
      <c r="B5730" s="4" t="s">
        <v>50</v>
      </c>
      <c r="C5730" s="4" t="n">
        <v>2</v>
      </c>
      <c r="D5730" s="4" t="s">
        <v>58</v>
      </c>
      <c r="E5730" s="3" t="s">
        <v>307</v>
      </c>
      <c r="F5730" s="4" t="str">
        <f aca="false">IF(I5730&gt;J5730,"Y","N")</f>
        <v>N</v>
      </c>
      <c r="G5730" s="3" t="s">
        <v>15</v>
      </c>
      <c r="H5730" s="3" t="s">
        <v>21</v>
      </c>
      <c r="I5730" s="4" t="n">
        <v>7</v>
      </c>
      <c r="J5730" s="4" t="n">
        <f aca="false">LEN(E5730)-LEN(SUBSTITUTE(E5730,",",""))+1</f>
        <v>7</v>
      </c>
      <c r="K5730" s="3" t="str">
        <f aca="false">IFERROR(INDEX('Teacher Lookup'!$B$2:$B$200,MATCH(A5730,'Teacher Lookup'!$A$2:$A$200,0)),"")</f>
        <v>YU Jonathan</v>
      </c>
    </row>
    <row r="5731" customFormat="false" ht="15" hidden="false" customHeight="false" outlineLevel="0" collapsed="false">
      <c r="A5731" s="3" t="s">
        <v>455</v>
      </c>
      <c r="B5731" s="4" t="s">
        <v>50</v>
      </c>
      <c r="C5731" s="4" t="n">
        <v>2</v>
      </c>
      <c r="D5731" s="4" t="s">
        <v>59</v>
      </c>
      <c r="E5731" s="3" t="s">
        <v>307</v>
      </c>
      <c r="F5731" s="4" t="str">
        <f aca="false">IF(I5731&gt;J5731,"Y","N")</f>
        <v>N</v>
      </c>
      <c r="G5731" s="3" t="s">
        <v>15</v>
      </c>
      <c r="H5731" s="3" t="s">
        <v>21</v>
      </c>
      <c r="I5731" s="4" t="n">
        <v>7</v>
      </c>
      <c r="J5731" s="4" t="n">
        <f aca="false">LEN(E5731)-LEN(SUBSTITUTE(E5731,",",""))+1</f>
        <v>7</v>
      </c>
      <c r="K5731" s="3" t="str">
        <f aca="false">IFERROR(INDEX('Teacher Lookup'!$B$2:$B$200,MATCH(A5731,'Teacher Lookup'!$A$2:$A$200,0)),"")</f>
        <v>YU Jonathan</v>
      </c>
    </row>
    <row r="5732" customFormat="false" ht="15" hidden="false" customHeight="false" outlineLevel="0" collapsed="false">
      <c r="A5732" s="3" t="s">
        <v>455</v>
      </c>
      <c r="B5732" s="4" t="s">
        <v>60</v>
      </c>
      <c r="C5732" s="4" t="n">
        <v>1</v>
      </c>
      <c r="D5732" s="4" t="s">
        <v>102</v>
      </c>
      <c r="E5732" s="3" t="s">
        <v>227</v>
      </c>
      <c r="F5732" s="4" t="str">
        <f aca="false">IF(I5732&gt;J5732,"Y","N")</f>
        <v>N</v>
      </c>
      <c r="G5732" s="3" t="s">
        <v>15</v>
      </c>
      <c r="H5732" s="3" t="s">
        <v>16</v>
      </c>
      <c r="I5732" s="4" t="n">
        <v>5</v>
      </c>
      <c r="J5732" s="4" t="n">
        <f aca="false">LEN(E5732)-LEN(SUBSTITUTE(E5732,",",""))+1</f>
        <v>5</v>
      </c>
      <c r="K5732" s="3" t="str">
        <f aca="false">IFERROR(INDEX('Teacher Lookup'!$B$2:$B$200,MATCH(A5732,'Teacher Lookup'!$A$2:$A$200,0)),"")</f>
        <v>YU Jonathan</v>
      </c>
    </row>
    <row r="5733" customFormat="false" ht="15" hidden="false" customHeight="false" outlineLevel="0" collapsed="false">
      <c r="A5733" s="3" t="s">
        <v>455</v>
      </c>
      <c r="B5733" s="4" t="s">
        <v>60</v>
      </c>
      <c r="C5733" s="4" t="n">
        <v>1</v>
      </c>
      <c r="D5733" s="4" t="s">
        <v>105</v>
      </c>
      <c r="E5733" s="3" t="s">
        <v>227</v>
      </c>
      <c r="F5733" s="4" t="str">
        <f aca="false">IF(I5733&gt;J5733,"Y","N")</f>
        <v>N</v>
      </c>
      <c r="G5733" s="3" t="s">
        <v>15</v>
      </c>
      <c r="H5733" s="3" t="s">
        <v>16</v>
      </c>
      <c r="I5733" s="4" t="n">
        <v>5</v>
      </c>
      <c r="J5733" s="4" t="n">
        <f aca="false">LEN(E5733)-LEN(SUBSTITUTE(E5733,",",""))+1</f>
        <v>5</v>
      </c>
      <c r="K5733" s="3" t="str">
        <f aca="false">IFERROR(INDEX('Teacher Lookup'!$B$2:$B$200,MATCH(A5733,'Teacher Lookup'!$A$2:$A$200,0)),"")</f>
        <v>YU Jonathan</v>
      </c>
    </row>
    <row r="5734" customFormat="false" ht="15" hidden="false" customHeight="false" outlineLevel="0" collapsed="false">
      <c r="A5734" s="3" t="s">
        <v>455</v>
      </c>
      <c r="B5734" s="4" t="s">
        <v>60</v>
      </c>
      <c r="C5734" s="4" t="n">
        <v>1</v>
      </c>
      <c r="D5734" s="4" t="s">
        <v>106</v>
      </c>
      <c r="E5734" s="3" t="s">
        <v>227</v>
      </c>
      <c r="F5734" s="4" t="str">
        <f aca="false">IF(I5734&gt;J5734,"Y","N")</f>
        <v>N</v>
      </c>
      <c r="G5734" s="3" t="s">
        <v>15</v>
      </c>
      <c r="H5734" s="3" t="s">
        <v>16</v>
      </c>
      <c r="I5734" s="4" t="n">
        <v>5</v>
      </c>
      <c r="J5734" s="4" t="n">
        <f aca="false">LEN(E5734)-LEN(SUBSTITUTE(E5734,",",""))+1</f>
        <v>5</v>
      </c>
      <c r="K5734" s="3" t="str">
        <f aca="false">IFERROR(INDEX('Teacher Lookup'!$B$2:$B$200,MATCH(A5734,'Teacher Lookup'!$A$2:$A$200,0)),"")</f>
        <v>YU Jonathan</v>
      </c>
    </row>
    <row r="5735" customFormat="false" ht="15" hidden="false" customHeight="false" outlineLevel="0" collapsed="false">
      <c r="A5735" s="3" t="s">
        <v>455</v>
      </c>
      <c r="B5735" s="4" t="s">
        <v>60</v>
      </c>
      <c r="C5735" s="4" t="n">
        <v>1</v>
      </c>
      <c r="D5735" s="4" t="s">
        <v>107</v>
      </c>
      <c r="E5735" s="3" t="s">
        <v>227</v>
      </c>
      <c r="F5735" s="4" t="str">
        <f aca="false">IF(I5735&gt;J5735,"Y","N")</f>
        <v>N</v>
      </c>
      <c r="G5735" s="3" t="s">
        <v>15</v>
      </c>
      <c r="H5735" s="3" t="s">
        <v>16</v>
      </c>
      <c r="I5735" s="4" t="n">
        <v>5</v>
      </c>
      <c r="J5735" s="4" t="n">
        <f aca="false">LEN(E5735)-LEN(SUBSTITUTE(E5735,",",""))+1</f>
        <v>5</v>
      </c>
      <c r="K5735" s="3" t="str">
        <f aca="false">IFERROR(INDEX('Teacher Lookup'!$B$2:$B$200,MATCH(A5735,'Teacher Lookup'!$A$2:$A$200,0)),"")</f>
        <v>YU Jonathan</v>
      </c>
    </row>
    <row r="5736" customFormat="false" ht="15" hidden="false" customHeight="false" outlineLevel="0" collapsed="false">
      <c r="A5736" s="3" t="s">
        <v>455</v>
      </c>
      <c r="B5736" s="4" t="s">
        <v>60</v>
      </c>
      <c r="C5736" s="4" t="n">
        <v>3</v>
      </c>
      <c r="D5736" s="4" t="s">
        <v>52</v>
      </c>
      <c r="E5736" s="3" t="s">
        <v>306</v>
      </c>
      <c r="F5736" s="4" t="str">
        <f aca="false">IF(I5736&gt;J5736,"Y","N")</f>
        <v>N</v>
      </c>
      <c r="G5736" s="3" t="s">
        <v>15</v>
      </c>
      <c r="H5736" s="3" t="s">
        <v>26</v>
      </c>
      <c r="I5736" s="4" t="n">
        <v>7</v>
      </c>
      <c r="J5736" s="4" t="n">
        <f aca="false">LEN(E5736)-LEN(SUBSTITUTE(E5736,",",""))+1</f>
        <v>7</v>
      </c>
      <c r="K5736" s="3" t="str">
        <f aca="false">IFERROR(INDEX('Teacher Lookup'!$B$2:$B$200,MATCH(A5736,'Teacher Lookup'!$A$2:$A$200,0)),"")</f>
        <v>YU Jonathan</v>
      </c>
    </row>
    <row r="5737" customFormat="false" ht="15" hidden="false" customHeight="false" outlineLevel="0" collapsed="false">
      <c r="A5737" s="3" t="s">
        <v>455</v>
      </c>
      <c r="B5737" s="4" t="s">
        <v>60</v>
      </c>
      <c r="C5737" s="4" t="n">
        <v>3</v>
      </c>
      <c r="D5737" s="4" t="s">
        <v>55</v>
      </c>
      <c r="E5737" s="3" t="s">
        <v>306</v>
      </c>
      <c r="F5737" s="4" t="str">
        <f aca="false">IF(I5737&gt;J5737,"Y","N")</f>
        <v>N</v>
      </c>
      <c r="G5737" s="3" t="s">
        <v>15</v>
      </c>
      <c r="H5737" s="3" t="s">
        <v>26</v>
      </c>
      <c r="I5737" s="4" t="n">
        <v>7</v>
      </c>
      <c r="J5737" s="4" t="n">
        <f aca="false">LEN(E5737)-LEN(SUBSTITUTE(E5737,",",""))+1</f>
        <v>7</v>
      </c>
      <c r="K5737" s="3" t="str">
        <f aca="false">IFERROR(INDEX('Teacher Lookup'!$B$2:$B$200,MATCH(A5737,'Teacher Lookup'!$A$2:$A$200,0)),"")</f>
        <v>YU Jonathan</v>
      </c>
    </row>
    <row r="5738" customFormat="false" ht="15" hidden="false" customHeight="false" outlineLevel="0" collapsed="false">
      <c r="A5738" s="3" t="s">
        <v>455</v>
      </c>
      <c r="B5738" s="4" t="s">
        <v>60</v>
      </c>
      <c r="C5738" s="4" t="n">
        <v>3</v>
      </c>
      <c r="D5738" s="4" t="s">
        <v>56</v>
      </c>
      <c r="E5738" s="3" t="s">
        <v>306</v>
      </c>
      <c r="F5738" s="4" t="str">
        <f aca="false">IF(I5738&gt;J5738,"Y","N")</f>
        <v>N</v>
      </c>
      <c r="G5738" s="3" t="s">
        <v>15</v>
      </c>
      <c r="H5738" s="3" t="s">
        <v>26</v>
      </c>
      <c r="I5738" s="4" t="n">
        <v>7</v>
      </c>
      <c r="J5738" s="4" t="n">
        <f aca="false">LEN(E5738)-LEN(SUBSTITUTE(E5738,",",""))+1</f>
        <v>7</v>
      </c>
      <c r="K5738" s="3" t="str">
        <f aca="false">IFERROR(INDEX('Teacher Lookup'!$B$2:$B$200,MATCH(A5738,'Teacher Lookup'!$A$2:$A$200,0)),"")</f>
        <v>YU Jonathan</v>
      </c>
    </row>
    <row r="5739" customFormat="false" ht="15" hidden="false" customHeight="false" outlineLevel="0" collapsed="false">
      <c r="A5739" s="3" t="s">
        <v>455</v>
      </c>
      <c r="B5739" s="4" t="s">
        <v>60</v>
      </c>
      <c r="C5739" s="4" t="n">
        <v>3</v>
      </c>
      <c r="D5739" s="4" t="s">
        <v>57</v>
      </c>
      <c r="E5739" s="3" t="s">
        <v>306</v>
      </c>
      <c r="F5739" s="4" t="str">
        <f aca="false">IF(I5739&gt;J5739,"Y","N")</f>
        <v>N</v>
      </c>
      <c r="G5739" s="3" t="s">
        <v>15</v>
      </c>
      <c r="H5739" s="3" t="s">
        <v>26</v>
      </c>
      <c r="I5739" s="4" t="n">
        <v>7</v>
      </c>
      <c r="J5739" s="4" t="n">
        <f aca="false">LEN(E5739)-LEN(SUBSTITUTE(E5739,",",""))+1</f>
        <v>7</v>
      </c>
      <c r="K5739" s="3" t="str">
        <f aca="false">IFERROR(INDEX('Teacher Lookup'!$B$2:$B$200,MATCH(A5739,'Teacher Lookup'!$A$2:$A$200,0)),"")</f>
        <v>YU Jonathan</v>
      </c>
    </row>
    <row r="5740" customFormat="false" ht="15" hidden="false" customHeight="false" outlineLevel="0" collapsed="false">
      <c r="A5740" s="3" t="s">
        <v>455</v>
      </c>
      <c r="B5740" s="4" t="s">
        <v>60</v>
      </c>
      <c r="C5740" s="4" t="n">
        <v>3</v>
      </c>
      <c r="D5740" s="4" t="s">
        <v>58</v>
      </c>
      <c r="E5740" s="3" t="s">
        <v>306</v>
      </c>
      <c r="F5740" s="4" t="str">
        <f aca="false">IF(I5740&gt;J5740,"Y","N")</f>
        <v>N</v>
      </c>
      <c r="G5740" s="3" t="s">
        <v>15</v>
      </c>
      <c r="H5740" s="3" t="s">
        <v>26</v>
      </c>
      <c r="I5740" s="4" t="n">
        <v>7</v>
      </c>
      <c r="J5740" s="4" t="n">
        <f aca="false">LEN(E5740)-LEN(SUBSTITUTE(E5740,",",""))+1</f>
        <v>7</v>
      </c>
      <c r="K5740" s="3" t="str">
        <f aca="false">IFERROR(INDEX('Teacher Lookup'!$B$2:$B$200,MATCH(A5740,'Teacher Lookup'!$A$2:$A$200,0)),"")</f>
        <v>YU Jonathan</v>
      </c>
    </row>
    <row r="5741" customFormat="false" ht="15" hidden="false" customHeight="false" outlineLevel="0" collapsed="false">
      <c r="A5741" s="3" t="s">
        <v>455</v>
      </c>
      <c r="B5741" s="4" t="s">
        <v>60</v>
      </c>
      <c r="C5741" s="4" t="n">
        <v>3</v>
      </c>
      <c r="D5741" s="4" t="s">
        <v>59</v>
      </c>
      <c r="E5741" s="3" t="s">
        <v>306</v>
      </c>
      <c r="F5741" s="4" t="str">
        <f aca="false">IF(I5741&gt;J5741,"Y","N")</f>
        <v>N</v>
      </c>
      <c r="G5741" s="3" t="s">
        <v>15</v>
      </c>
      <c r="H5741" s="3" t="s">
        <v>26</v>
      </c>
      <c r="I5741" s="4" t="n">
        <v>7</v>
      </c>
      <c r="J5741" s="4" t="n">
        <f aca="false">LEN(E5741)-LEN(SUBSTITUTE(E5741,",",""))+1</f>
        <v>7</v>
      </c>
      <c r="K5741" s="3" t="str">
        <f aca="false">IFERROR(INDEX('Teacher Lookup'!$B$2:$B$200,MATCH(A5741,'Teacher Lookup'!$A$2:$A$200,0)),"")</f>
        <v>YU Jonathan</v>
      </c>
    </row>
    <row r="5742" customFormat="false" ht="15" hidden="false" customHeight="false" outlineLevel="0" collapsed="false">
      <c r="A5742" s="3" t="s">
        <v>455</v>
      </c>
      <c r="B5742" s="4" t="s">
        <v>60</v>
      </c>
      <c r="C5742" s="4" t="n">
        <v>5</v>
      </c>
      <c r="D5742" s="4" t="s">
        <v>70</v>
      </c>
      <c r="E5742" s="3" t="s">
        <v>81</v>
      </c>
      <c r="F5742" s="4" t="str">
        <f aca="false">IF(I5742&gt;J5742,"Y","N")</f>
        <v>Y</v>
      </c>
      <c r="G5742" s="3" t="s">
        <v>36</v>
      </c>
      <c r="H5742" s="3" t="s">
        <v>37</v>
      </c>
      <c r="I5742" s="4" t="n">
        <v>15</v>
      </c>
      <c r="J5742" s="4" t="n">
        <f aca="false">LEN(E5742)-LEN(SUBSTITUTE(E5742,",",""))+1</f>
        <v>7</v>
      </c>
      <c r="K5742" s="3" t="str">
        <f aca="false">IFERROR(INDEX('Teacher Lookup'!$B$2:$B$200,MATCH(A5742,'Teacher Lookup'!$A$2:$A$200,0)),"")</f>
        <v>YU Jonathan</v>
      </c>
    </row>
    <row r="5743" customFormat="false" ht="15" hidden="false" customHeight="false" outlineLevel="0" collapsed="false">
      <c r="A5743" s="3" t="s">
        <v>455</v>
      </c>
      <c r="B5743" s="4" t="s">
        <v>60</v>
      </c>
      <c r="C5743" s="4" t="n">
        <v>5</v>
      </c>
      <c r="D5743" s="4" t="s">
        <v>73</v>
      </c>
      <c r="E5743" s="3" t="s">
        <v>81</v>
      </c>
      <c r="F5743" s="4" t="str">
        <f aca="false">IF(I5743&gt;J5743,"Y","N")</f>
        <v>Y</v>
      </c>
      <c r="G5743" s="3" t="s">
        <v>36</v>
      </c>
      <c r="H5743" s="3" t="s">
        <v>37</v>
      </c>
      <c r="I5743" s="4" t="n">
        <v>15</v>
      </c>
      <c r="J5743" s="4" t="n">
        <f aca="false">LEN(E5743)-LEN(SUBSTITUTE(E5743,",",""))+1</f>
        <v>7</v>
      </c>
      <c r="K5743" s="3" t="str">
        <f aca="false">IFERROR(INDEX('Teacher Lookup'!$B$2:$B$200,MATCH(A5743,'Teacher Lookup'!$A$2:$A$200,0)),"")</f>
        <v>YU Jonathan</v>
      </c>
    </row>
    <row r="5744" customFormat="false" ht="15" hidden="false" customHeight="false" outlineLevel="0" collapsed="false">
      <c r="A5744" s="3" t="s">
        <v>455</v>
      </c>
      <c r="B5744" s="4" t="s">
        <v>60</v>
      </c>
      <c r="C5744" s="4" t="n">
        <v>5</v>
      </c>
      <c r="D5744" s="4" t="s">
        <v>74</v>
      </c>
      <c r="E5744" s="3" t="s">
        <v>81</v>
      </c>
      <c r="F5744" s="4" t="str">
        <f aca="false">IF(I5744&gt;J5744,"Y","N")</f>
        <v>Y</v>
      </c>
      <c r="G5744" s="3" t="s">
        <v>36</v>
      </c>
      <c r="H5744" s="3" t="s">
        <v>37</v>
      </c>
      <c r="I5744" s="4" t="n">
        <v>15</v>
      </c>
      <c r="J5744" s="4" t="n">
        <f aca="false">LEN(E5744)-LEN(SUBSTITUTE(E5744,",",""))+1</f>
        <v>7</v>
      </c>
      <c r="K5744" s="3" t="str">
        <f aca="false">IFERROR(INDEX('Teacher Lookup'!$B$2:$B$200,MATCH(A5744,'Teacher Lookup'!$A$2:$A$200,0)),"")</f>
        <v>YU Jonathan</v>
      </c>
    </row>
    <row r="5745" customFormat="false" ht="15" hidden="false" customHeight="false" outlineLevel="0" collapsed="false">
      <c r="A5745" s="3" t="s">
        <v>455</v>
      </c>
      <c r="B5745" s="4" t="s">
        <v>60</v>
      </c>
      <c r="C5745" s="4" t="n">
        <v>5</v>
      </c>
      <c r="D5745" s="4" t="s">
        <v>76</v>
      </c>
      <c r="E5745" s="3" t="s">
        <v>81</v>
      </c>
      <c r="F5745" s="4" t="str">
        <f aca="false">IF(I5745&gt;J5745,"Y","N")</f>
        <v>Y</v>
      </c>
      <c r="G5745" s="3" t="s">
        <v>36</v>
      </c>
      <c r="H5745" s="3" t="s">
        <v>37</v>
      </c>
      <c r="I5745" s="4" t="n">
        <v>15</v>
      </c>
      <c r="J5745" s="4" t="n">
        <f aca="false">LEN(E5745)-LEN(SUBSTITUTE(E5745,",",""))+1</f>
        <v>7</v>
      </c>
      <c r="K5745" s="3" t="str">
        <f aca="false">IFERROR(INDEX('Teacher Lookup'!$B$2:$B$200,MATCH(A5745,'Teacher Lookup'!$A$2:$A$200,0)),"")</f>
        <v>YU Jonathan</v>
      </c>
    </row>
    <row r="5746" customFormat="false" ht="15" hidden="false" customHeight="false" outlineLevel="0" collapsed="false">
      <c r="A5746" s="3" t="s">
        <v>455</v>
      </c>
      <c r="B5746" s="4" t="s">
        <v>60</v>
      </c>
      <c r="C5746" s="4" t="n">
        <v>5</v>
      </c>
      <c r="D5746" s="4" t="s">
        <v>78</v>
      </c>
      <c r="E5746" s="3" t="s">
        <v>81</v>
      </c>
      <c r="F5746" s="4" t="str">
        <f aca="false">IF(I5746&gt;J5746,"Y","N")</f>
        <v>Y</v>
      </c>
      <c r="G5746" s="3" t="s">
        <v>36</v>
      </c>
      <c r="H5746" s="3" t="s">
        <v>37</v>
      </c>
      <c r="I5746" s="4" t="n">
        <v>15</v>
      </c>
      <c r="J5746" s="4" t="n">
        <f aca="false">LEN(E5746)-LEN(SUBSTITUTE(E5746,",",""))+1</f>
        <v>7</v>
      </c>
      <c r="K5746" s="3" t="str">
        <f aca="false">IFERROR(INDEX('Teacher Lookup'!$B$2:$B$200,MATCH(A5746,'Teacher Lookup'!$A$2:$A$200,0)),"")</f>
        <v>YU Jonathan</v>
      </c>
    </row>
    <row r="5747" customFormat="false" ht="15" hidden="false" customHeight="false" outlineLevel="0" collapsed="false">
      <c r="A5747" s="3" t="s">
        <v>455</v>
      </c>
      <c r="B5747" s="4" t="s">
        <v>60</v>
      </c>
      <c r="C5747" s="4" t="n">
        <v>5</v>
      </c>
      <c r="D5747" s="4" t="s">
        <v>79</v>
      </c>
      <c r="E5747" s="3" t="s">
        <v>81</v>
      </c>
      <c r="F5747" s="4" t="str">
        <f aca="false">IF(I5747&gt;J5747,"Y","N")</f>
        <v>Y</v>
      </c>
      <c r="G5747" s="3" t="s">
        <v>36</v>
      </c>
      <c r="H5747" s="3" t="s">
        <v>37</v>
      </c>
      <c r="I5747" s="4" t="n">
        <v>15</v>
      </c>
      <c r="J5747" s="4" t="n">
        <f aca="false">LEN(E5747)-LEN(SUBSTITUTE(E5747,",",""))+1</f>
        <v>7</v>
      </c>
      <c r="K5747" s="3" t="str">
        <f aca="false">IFERROR(INDEX('Teacher Lookup'!$B$2:$B$200,MATCH(A5747,'Teacher Lookup'!$A$2:$A$200,0)),"")</f>
        <v>YU Jonathan</v>
      </c>
    </row>
    <row r="5748" customFormat="false" ht="15" hidden="false" customHeight="false" outlineLevel="0" collapsed="false">
      <c r="A5748" s="3" t="s">
        <v>455</v>
      </c>
      <c r="B5748" s="4" t="s">
        <v>63</v>
      </c>
      <c r="C5748" s="4" t="n">
        <v>5</v>
      </c>
      <c r="D5748" s="4" t="s">
        <v>102</v>
      </c>
      <c r="E5748" s="3" t="s">
        <v>232</v>
      </c>
      <c r="F5748" s="4" t="str">
        <f aca="false">IF(I5748&gt;J5748,"Y","N")</f>
        <v>N</v>
      </c>
      <c r="G5748" s="3" t="s">
        <v>15</v>
      </c>
      <c r="H5748" s="3" t="s">
        <v>37</v>
      </c>
      <c r="I5748" s="4" t="n">
        <v>5</v>
      </c>
      <c r="J5748" s="4" t="n">
        <f aca="false">LEN(E5748)-LEN(SUBSTITUTE(E5748,",",""))+1</f>
        <v>5</v>
      </c>
      <c r="K5748" s="3" t="str">
        <f aca="false">IFERROR(INDEX('Teacher Lookup'!$B$2:$B$200,MATCH(A5748,'Teacher Lookup'!$A$2:$A$200,0)),"")</f>
        <v>YU Jonathan</v>
      </c>
    </row>
    <row r="5749" customFormat="false" ht="15" hidden="false" customHeight="false" outlineLevel="0" collapsed="false">
      <c r="A5749" s="3" t="s">
        <v>455</v>
      </c>
      <c r="B5749" s="4" t="s">
        <v>63</v>
      </c>
      <c r="C5749" s="4" t="n">
        <v>5</v>
      </c>
      <c r="D5749" s="4" t="s">
        <v>105</v>
      </c>
      <c r="E5749" s="3" t="s">
        <v>232</v>
      </c>
      <c r="F5749" s="4" t="str">
        <f aca="false">IF(I5749&gt;J5749,"Y","N")</f>
        <v>N</v>
      </c>
      <c r="G5749" s="3" t="s">
        <v>15</v>
      </c>
      <c r="H5749" s="3" t="s">
        <v>37</v>
      </c>
      <c r="I5749" s="4" t="n">
        <v>5</v>
      </c>
      <c r="J5749" s="4" t="n">
        <f aca="false">LEN(E5749)-LEN(SUBSTITUTE(E5749,",",""))+1</f>
        <v>5</v>
      </c>
      <c r="K5749" s="3" t="str">
        <f aca="false">IFERROR(INDEX('Teacher Lookup'!$B$2:$B$200,MATCH(A5749,'Teacher Lookup'!$A$2:$A$200,0)),"")</f>
        <v>YU Jonathan</v>
      </c>
    </row>
    <row r="5750" customFormat="false" ht="15" hidden="false" customHeight="false" outlineLevel="0" collapsed="false">
      <c r="A5750" s="3" t="s">
        <v>455</v>
      </c>
      <c r="B5750" s="4" t="s">
        <v>63</v>
      </c>
      <c r="C5750" s="4" t="n">
        <v>5</v>
      </c>
      <c r="D5750" s="4" t="s">
        <v>106</v>
      </c>
      <c r="E5750" s="3" t="s">
        <v>232</v>
      </c>
      <c r="F5750" s="4" t="str">
        <f aca="false">IF(I5750&gt;J5750,"Y","N")</f>
        <v>N</v>
      </c>
      <c r="G5750" s="3" t="s">
        <v>15</v>
      </c>
      <c r="H5750" s="3" t="s">
        <v>37</v>
      </c>
      <c r="I5750" s="4" t="n">
        <v>5</v>
      </c>
      <c r="J5750" s="4" t="n">
        <f aca="false">LEN(E5750)-LEN(SUBSTITUTE(E5750,",",""))+1</f>
        <v>5</v>
      </c>
      <c r="K5750" s="3" t="str">
        <f aca="false">IFERROR(INDEX('Teacher Lookup'!$B$2:$B$200,MATCH(A5750,'Teacher Lookup'!$A$2:$A$200,0)),"")</f>
        <v>YU Jonathan</v>
      </c>
    </row>
    <row r="5751" customFormat="false" ht="15" hidden="false" customHeight="false" outlineLevel="0" collapsed="false">
      <c r="A5751" s="3" t="s">
        <v>455</v>
      </c>
      <c r="B5751" s="4" t="s">
        <v>63</v>
      </c>
      <c r="C5751" s="4" t="n">
        <v>5</v>
      </c>
      <c r="D5751" s="4" t="s">
        <v>107</v>
      </c>
      <c r="E5751" s="3" t="s">
        <v>232</v>
      </c>
      <c r="F5751" s="4" t="str">
        <f aca="false">IF(I5751&gt;J5751,"Y","N")</f>
        <v>N</v>
      </c>
      <c r="G5751" s="3" t="s">
        <v>15</v>
      </c>
      <c r="H5751" s="3" t="s">
        <v>37</v>
      </c>
      <c r="I5751" s="4" t="n">
        <v>5</v>
      </c>
      <c r="J5751" s="4" t="n">
        <f aca="false">LEN(E5751)-LEN(SUBSTITUTE(E5751,",",""))+1</f>
        <v>5</v>
      </c>
      <c r="K5751" s="3" t="str">
        <f aca="false">IFERROR(INDEX('Teacher Lookup'!$B$2:$B$200,MATCH(A5751,'Teacher Lookup'!$A$2:$A$200,0)),"")</f>
        <v>YU Jonathan</v>
      </c>
    </row>
    <row r="5752" customFormat="false" ht="15" hidden="false" customHeight="false" outlineLevel="0" collapsed="false">
      <c r="A5752" s="3" t="s">
        <v>455</v>
      </c>
      <c r="B5752" s="4" t="s">
        <v>63</v>
      </c>
      <c r="C5752" s="4" t="n">
        <v>7</v>
      </c>
      <c r="D5752" s="4" t="s">
        <v>52</v>
      </c>
      <c r="E5752" s="3" t="s">
        <v>304</v>
      </c>
      <c r="F5752" s="4" t="str">
        <f aca="false">IF(I5752&gt;J5752,"Y","N")</f>
        <v>N</v>
      </c>
      <c r="G5752" s="3" t="s">
        <v>15</v>
      </c>
      <c r="H5752" s="3" t="s">
        <v>39</v>
      </c>
      <c r="I5752" s="4" t="n">
        <v>7</v>
      </c>
      <c r="J5752" s="4" t="n">
        <f aca="false">LEN(E5752)-LEN(SUBSTITUTE(E5752,",",""))+1</f>
        <v>7</v>
      </c>
      <c r="K5752" s="3" t="str">
        <f aca="false">IFERROR(INDEX('Teacher Lookup'!$B$2:$B$200,MATCH(A5752,'Teacher Lookup'!$A$2:$A$200,0)),"")</f>
        <v>YU Jonathan</v>
      </c>
    </row>
    <row r="5753" customFormat="false" ht="15" hidden="false" customHeight="false" outlineLevel="0" collapsed="false">
      <c r="A5753" s="3" t="s">
        <v>455</v>
      </c>
      <c r="B5753" s="4" t="s">
        <v>63</v>
      </c>
      <c r="C5753" s="4" t="n">
        <v>7</v>
      </c>
      <c r="D5753" s="4" t="s">
        <v>55</v>
      </c>
      <c r="E5753" s="3" t="s">
        <v>304</v>
      </c>
      <c r="F5753" s="4" t="str">
        <f aca="false">IF(I5753&gt;J5753,"Y","N")</f>
        <v>N</v>
      </c>
      <c r="G5753" s="3" t="s">
        <v>15</v>
      </c>
      <c r="H5753" s="3" t="s">
        <v>39</v>
      </c>
      <c r="I5753" s="4" t="n">
        <v>7</v>
      </c>
      <c r="J5753" s="4" t="n">
        <f aca="false">LEN(E5753)-LEN(SUBSTITUTE(E5753,",",""))+1</f>
        <v>7</v>
      </c>
      <c r="K5753" s="3" t="str">
        <f aca="false">IFERROR(INDEX('Teacher Lookup'!$B$2:$B$200,MATCH(A5753,'Teacher Lookup'!$A$2:$A$200,0)),"")</f>
        <v>YU Jonathan</v>
      </c>
    </row>
    <row r="5754" customFormat="false" ht="15" hidden="false" customHeight="false" outlineLevel="0" collapsed="false">
      <c r="A5754" s="3" t="s">
        <v>455</v>
      </c>
      <c r="B5754" s="4" t="s">
        <v>63</v>
      </c>
      <c r="C5754" s="4" t="n">
        <v>7</v>
      </c>
      <c r="D5754" s="4" t="s">
        <v>56</v>
      </c>
      <c r="E5754" s="3" t="s">
        <v>304</v>
      </c>
      <c r="F5754" s="4" t="str">
        <f aca="false">IF(I5754&gt;J5754,"Y","N")</f>
        <v>N</v>
      </c>
      <c r="G5754" s="3" t="s">
        <v>15</v>
      </c>
      <c r="H5754" s="3" t="s">
        <v>39</v>
      </c>
      <c r="I5754" s="4" t="n">
        <v>7</v>
      </c>
      <c r="J5754" s="4" t="n">
        <f aca="false">LEN(E5754)-LEN(SUBSTITUTE(E5754,",",""))+1</f>
        <v>7</v>
      </c>
      <c r="K5754" s="3" t="str">
        <f aca="false">IFERROR(INDEX('Teacher Lookup'!$B$2:$B$200,MATCH(A5754,'Teacher Lookup'!$A$2:$A$200,0)),"")</f>
        <v>YU Jonathan</v>
      </c>
    </row>
    <row r="5755" customFormat="false" ht="15" hidden="false" customHeight="false" outlineLevel="0" collapsed="false">
      <c r="A5755" s="3" t="s">
        <v>455</v>
      </c>
      <c r="B5755" s="4" t="s">
        <v>63</v>
      </c>
      <c r="C5755" s="4" t="n">
        <v>7</v>
      </c>
      <c r="D5755" s="4" t="s">
        <v>57</v>
      </c>
      <c r="E5755" s="3" t="s">
        <v>304</v>
      </c>
      <c r="F5755" s="4" t="str">
        <f aca="false">IF(I5755&gt;J5755,"Y","N")</f>
        <v>N</v>
      </c>
      <c r="G5755" s="3" t="s">
        <v>15</v>
      </c>
      <c r="H5755" s="3" t="s">
        <v>39</v>
      </c>
      <c r="I5755" s="4" t="n">
        <v>7</v>
      </c>
      <c r="J5755" s="4" t="n">
        <f aca="false">LEN(E5755)-LEN(SUBSTITUTE(E5755,",",""))+1</f>
        <v>7</v>
      </c>
      <c r="K5755" s="3" t="str">
        <f aca="false">IFERROR(INDEX('Teacher Lookup'!$B$2:$B$200,MATCH(A5755,'Teacher Lookup'!$A$2:$A$200,0)),"")</f>
        <v>YU Jonathan</v>
      </c>
    </row>
    <row r="5756" customFormat="false" ht="15" hidden="false" customHeight="false" outlineLevel="0" collapsed="false">
      <c r="A5756" s="3" t="s">
        <v>455</v>
      </c>
      <c r="B5756" s="4" t="s">
        <v>63</v>
      </c>
      <c r="C5756" s="4" t="n">
        <v>7</v>
      </c>
      <c r="D5756" s="4" t="s">
        <v>58</v>
      </c>
      <c r="E5756" s="3" t="s">
        <v>304</v>
      </c>
      <c r="F5756" s="4" t="str">
        <f aca="false">IF(I5756&gt;J5756,"Y","N")</f>
        <v>N</v>
      </c>
      <c r="G5756" s="3" t="s">
        <v>15</v>
      </c>
      <c r="H5756" s="3" t="s">
        <v>39</v>
      </c>
      <c r="I5756" s="4" t="n">
        <v>7</v>
      </c>
      <c r="J5756" s="4" t="n">
        <f aca="false">LEN(E5756)-LEN(SUBSTITUTE(E5756,",",""))+1</f>
        <v>7</v>
      </c>
      <c r="K5756" s="3" t="str">
        <f aca="false">IFERROR(INDEX('Teacher Lookup'!$B$2:$B$200,MATCH(A5756,'Teacher Lookup'!$A$2:$A$200,0)),"")</f>
        <v>YU Jonathan</v>
      </c>
    </row>
    <row r="5757" customFormat="false" ht="15" hidden="false" customHeight="false" outlineLevel="0" collapsed="false">
      <c r="A5757" s="3" t="s">
        <v>455</v>
      </c>
      <c r="B5757" s="4" t="s">
        <v>63</v>
      </c>
      <c r="C5757" s="4" t="n">
        <v>7</v>
      </c>
      <c r="D5757" s="4" t="s">
        <v>59</v>
      </c>
      <c r="E5757" s="3" t="s">
        <v>304</v>
      </c>
      <c r="F5757" s="4" t="str">
        <f aca="false">IF(I5757&gt;J5757,"Y","N")</f>
        <v>N</v>
      </c>
      <c r="G5757" s="3" t="s">
        <v>15</v>
      </c>
      <c r="H5757" s="3" t="s">
        <v>39</v>
      </c>
      <c r="I5757" s="4" t="n">
        <v>7</v>
      </c>
      <c r="J5757" s="4" t="n">
        <f aca="false">LEN(E5757)-LEN(SUBSTITUTE(E5757,",",""))+1</f>
        <v>7</v>
      </c>
      <c r="K5757" s="3" t="str">
        <f aca="false">IFERROR(INDEX('Teacher Lookup'!$B$2:$B$200,MATCH(A5757,'Teacher Lookup'!$A$2:$A$200,0)),"")</f>
        <v>YU Jonathan</v>
      </c>
    </row>
    <row r="5758" customFormat="false" ht="15" hidden="false" customHeight="false" outlineLevel="0" collapsed="false">
      <c r="A5758" s="3" t="s">
        <v>455</v>
      </c>
      <c r="B5758" s="4" t="s">
        <v>65</v>
      </c>
      <c r="C5758" s="4" t="n">
        <v>1</v>
      </c>
      <c r="D5758" s="4" t="s">
        <v>102</v>
      </c>
      <c r="E5758" s="3" t="s">
        <v>227</v>
      </c>
      <c r="F5758" s="4" t="str">
        <f aca="false">IF(I5758&gt;J5758,"Y","N")</f>
        <v>N</v>
      </c>
      <c r="G5758" s="3" t="s">
        <v>15</v>
      </c>
      <c r="H5758" s="3" t="s">
        <v>16</v>
      </c>
      <c r="I5758" s="4" t="n">
        <v>5</v>
      </c>
      <c r="J5758" s="4" t="n">
        <f aca="false">LEN(E5758)-LEN(SUBSTITUTE(E5758,",",""))+1</f>
        <v>5</v>
      </c>
      <c r="K5758" s="3" t="str">
        <f aca="false">IFERROR(INDEX('Teacher Lookup'!$B$2:$B$200,MATCH(A5758,'Teacher Lookup'!$A$2:$A$200,0)),"")</f>
        <v>YU Jonathan</v>
      </c>
    </row>
    <row r="5759" customFormat="false" ht="15" hidden="false" customHeight="false" outlineLevel="0" collapsed="false">
      <c r="A5759" s="3" t="s">
        <v>455</v>
      </c>
      <c r="B5759" s="4" t="s">
        <v>65</v>
      </c>
      <c r="C5759" s="4" t="n">
        <v>1</v>
      </c>
      <c r="D5759" s="4" t="s">
        <v>105</v>
      </c>
      <c r="E5759" s="3" t="s">
        <v>227</v>
      </c>
      <c r="F5759" s="4" t="str">
        <f aca="false">IF(I5759&gt;J5759,"Y","N")</f>
        <v>N</v>
      </c>
      <c r="G5759" s="3" t="s">
        <v>15</v>
      </c>
      <c r="H5759" s="3" t="s">
        <v>16</v>
      </c>
      <c r="I5759" s="4" t="n">
        <v>5</v>
      </c>
      <c r="J5759" s="4" t="n">
        <f aca="false">LEN(E5759)-LEN(SUBSTITUTE(E5759,",",""))+1</f>
        <v>5</v>
      </c>
      <c r="K5759" s="3" t="str">
        <f aca="false">IFERROR(INDEX('Teacher Lookup'!$B$2:$B$200,MATCH(A5759,'Teacher Lookup'!$A$2:$A$200,0)),"")</f>
        <v>YU Jonathan</v>
      </c>
    </row>
    <row r="5760" customFormat="false" ht="15" hidden="false" customHeight="false" outlineLevel="0" collapsed="false">
      <c r="A5760" s="3" t="s">
        <v>455</v>
      </c>
      <c r="B5760" s="4" t="s">
        <v>65</v>
      </c>
      <c r="C5760" s="4" t="n">
        <v>1</v>
      </c>
      <c r="D5760" s="4" t="s">
        <v>106</v>
      </c>
      <c r="E5760" s="3" t="s">
        <v>227</v>
      </c>
      <c r="F5760" s="4" t="str">
        <f aca="false">IF(I5760&gt;J5760,"Y","N")</f>
        <v>N</v>
      </c>
      <c r="G5760" s="3" t="s">
        <v>15</v>
      </c>
      <c r="H5760" s="3" t="s">
        <v>16</v>
      </c>
      <c r="I5760" s="4" t="n">
        <v>5</v>
      </c>
      <c r="J5760" s="4" t="n">
        <f aca="false">LEN(E5760)-LEN(SUBSTITUTE(E5760,",",""))+1</f>
        <v>5</v>
      </c>
      <c r="K5760" s="3" t="str">
        <f aca="false">IFERROR(INDEX('Teacher Lookup'!$B$2:$B$200,MATCH(A5760,'Teacher Lookup'!$A$2:$A$200,0)),"")</f>
        <v>YU Jonathan</v>
      </c>
    </row>
    <row r="5761" customFormat="false" ht="15" hidden="false" customHeight="false" outlineLevel="0" collapsed="false">
      <c r="A5761" s="3" t="s">
        <v>455</v>
      </c>
      <c r="B5761" s="4" t="s">
        <v>65</v>
      </c>
      <c r="C5761" s="4" t="n">
        <v>1</v>
      </c>
      <c r="D5761" s="4" t="s">
        <v>107</v>
      </c>
      <c r="E5761" s="3" t="s">
        <v>227</v>
      </c>
      <c r="F5761" s="4" t="str">
        <f aca="false">IF(I5761&gt;J5761,"Y","N")</f>
        <v>N</v>
      </c>
      <c r="G5761" s="3" t="s">
        <v>15</v>
      </c>
      <c r="H5761" s="3" t="s">
        <v>16</v>
      </c>
      <c r="I5761" s="4" t="n">
        <v>5</v>
      </c>
      <c r="J5761" s="4" t="n">
        <f aca="false">LEN(E5761)-LEN(SUBSTITUTE(E5761,",",""))+1</f>
        <v>5</v>
      </c>
      <c r="K5761" s="3" t="str">
        <f aca="false">IFERROR(INDEX('Teacher Lookup'!$B$2:$B$200,MATCH(A5761,'Teacher Lookup'!$A$2:$A$200,0)),"")</f>
        <v>YU Jonathan</v>
      </c>
    </row>
    <row r="5762" customFormat="false" ht="15" hidden="false" customHeight="false" outlineLevel="0" collapsed="false">
      <c r="A5762" s="3" t="s">
        <v>455</v>
      </c>
      <c r="B5762" s="4" t="s">
        <v>65</v>
      </c>
      <c r="C5762" s="4" t="n">
        <v>2</v>
      </c>
      <c r="D5762" s="4" t="s">
        <v>102</v>
      </c>
      <c r="E5762" s="3" t="s">
        <v>227</v>
      </c>
      <c r="F5762" s="4" t="str">
        <f aca="false">IF(I5762&gt;J5762,"Y","N")</f>
        <v>N</v>
      </c>
      <c r="G5762" s="3" t="s">
        <v>15</v>
      </c>
      <c r="H5762" s="3" t="s">
        <v>21</v>
      </c>
      <c r="I5762" s="4" t="n">
        <v>5</v>
      </c>
      <c r="J5762" s="4" t="n">
        <f aca="false">LEN(E5762)-LEN(SUBSTITUTE(E5762,",",""))+1</f>
        <v>5</v>
      </c>
      <c r="K5762" s="3" t="str">
        <f aca="false">IFERROR(INDEX('Teacher Lookup'!$B$2:$B$200,MATCH(A5762,'Teacher Lookup'!$A$2:$A$200,0)),"")</f>
        <v>YU Jonathan</v>
      </c>
    </row>
    <row r="5763" customFormat="false" ht="15" hidden="false" customHeight="false" outlineLevel="0" collapsed="false">
      <c r="A5763" s="3" t="s">
        <v>455</v>
      </c>
      <c r="B5763" s="4" t="s">
        <v>65</v>
      </c>
      <c r="C5763" s="4" t="n">
        <v>2</v>
      </c>
      <c r="D5763" s="4" t="s">
        <v>105</v>
      </c>
      <c r="E5763" s="3" t="s">
        <v>227</v>
      </c>
      <c r="F5763" s="4" t="str">
        <f aca="false">IF(I5763&gt;J5763,"Y","N")</f>
        <v>N</v>
      </c>
      <c r="G5763" s="3" t="s">
        <v>15</v>
      </c>
      <c r="H5763" s="3" t="s">
        <v>21</v>
      </c>
      <c r="I5763" s="4" t="n">
        <v>5</v>
      </c>
      <c r="J5763" s="4" t="n">
        <f aca="false">LEN(E5763)-LEN(SUBSTITUTE(E5763,",",""))+1</f>
        <v>5</v>
      </c>
      <c r="K5763" s="3" t="str">
        <f aca="false">IFERROR(INDEX('Teacher Lookup'!$B$2:$B$200,MATCH(A5763,'Teacher Lookup'!$A$2:$A$200,0)),"")</f>
        <v>YU Jonathan</v>
      </c>
    </row>
    <row r="5764" customFormat="false" ht="15" hidden="false" customHeight="false" outlineLevel="0" collapsed="false">
      <c r="A5764" s="3" t="s">
        <v>455</v>
      </c>
      <c r="B5764" s="4" t="s">
        <v>65</v>
      </c>
      <c r="C5764" s="4" t="n">
        <v>2</v>
      </c>
      <c r="D5764" s="4" t="s">
        <v>106</v>
      </c>
      <c r="E5764" s="3" t="s">
        <v>227</v>
      </c>
      <c r="F5764" s="4" t="str">
        <f aca="false">IF(I5764&gt;J5764,"Y","N")</f>
        <v>N</v>
      </c>
      <c r="G5764" s="3" t="s">
        <v>15</v>
      </c>
      <c r="H5764" s="3" t="s">
        <v>21</v>
      </c>
      <c r="I5764" s="4" t="n">
        <v>5</v>
      </c>
      <c r="J5764" s="4" t="n">
        <f aca="false">LEN(E5764)-LEN(SUBSTITUTE(E5764,",",""))+1</f>
        <v>5</v>
      </c>
      <c r="K5764" s="3" t="str">
        <f aca="false">IFERROR(INDEX('Teacher Lookup'!$B$2:$B$200,MATCH(A5764,'Teacher Lookup'!$A$2:$A$200,0)),"")</f>
        <v>YU Jonathan</v>
      </c>
    </row>
    <row r="5765" customFormat="false" ht="15" hidden="false" customHeight="false" outlineLevel="0" collapsed="false">
      <c r="A5765" s="3" t="s">
        <v>455</v>
      </c>
      <c r="B5765" s="4" t="s">
        <v>65</v>
      </c>
      <c r="C5765" s="4" t="n">
        <v>2</v>
      </c>
      <c r="D5765" s="4" t="s">
        <v>107</v>
      </c>
      <c r="E5765" s="3" t="s">
        <v>227</v>
      </c>
      <c r="F5765" s="4" t="str">
        <f aca="false">IF(I5765&gt;J5765,"Y","N")</f>
        <v>N</v>
      </c>
      <c r="G5765" s="3" t="s">
        <v>15</v>
      </c>
      <c r="H5765" s="3" t="s">
        <v>21</v>
      </c>
      <c r="I5765" s="4" t="n">
        <v>5</v>
      </c>
      <c r="J5765" s="4" t="n">
        <f aca="false">LEN(E5765)-LEN(SUBSTITUTE(E5765,",",""))+1</f>
        <v>5</v>
      </c>
      <c r="K5765" s="3" t="str">
        <f aca="false">IFERROR(INDEX('Teacher Lookup'!$B$2:$B$200,MATCH(A5765,'Teacher Lookup'!$A$2:$A$200,0)),"")</f>
        <v>YU Jonathan</v>
      </c>
    </row>
    <row r="5766" customFormat="false" ht="15" hidden="false" customHeight="false" outlineLevel="0" collapsed="false">
      <c r="A5766" s="3" t="s">
        <v>455</v>
      </c>
      <c r="B5766" s="4" t="s">
        <v>65</v>
      </c>
      <c r="C5766" s="4" t="n">
        <v>4</v>
      </c>
      <c r="D5766" s="4" t="s">
        <v>52</v>
      </c>
      <c r="E5766" s="3" t="s">
        <v>306</v>
      </c>
      <c r="F5766" s="4" t="str">
        <f aca="false">IF(I5766&gt;J5766,"Y","N")</f>
        <v>N</v>
      </c>
      <c r="G5766" s="3" t="s">
        <v>15</v>
      </c>
      <c r="H5766" s="3" t="s">
        <v>34</v>
      </c>
      <c r="I5766" s="4" t="n">
        <v>7</v>
      </c>
      <c r="J5766" s="4" t="n">
        <f aca="false">LEN(E5766)-LEN(SUBSTITUTE(E5766,",",""))+1</f>
        <v>7</v>
      </c>
      <c r="K5766" s="3" t="str">
        <f aca="false">IFERROR(INDEX('Teacher Lookup'!$B$2:$B$200,MATCH(A5766,'Teacher Lookup'!$A$2:$A$200,0)),"")</f>
        <v>YU Jonathan</v>
      </c>
    </row>
    <row r="5767" customFormat="false" ht="15" hidden="false" customHeight="false" outlineLevel="0" collapsed="false">
      <c r="A5767" s="3" t="s">
        <v>455</v>
      </c>
      <c r="B5767" s="4" t="s">
        <v>65</v>
      </c>
      <c r="C5767" s="4" t="n">
        <v>4</v>
      </c>
      <c r="D5767" s="4" t="s">
        <v>55</v>
      </c>
      <c r="E5767" s="3" t="s">
        <v>306</v>
      </c>
      <c r="F5767" s="4" t="str">
        <f aca="false">IF(I5767&gt;J5767,"Y","N")</f>
        <v>N</v>
      </c>
      <c r="G5767" s="3" t="s">
        <v>15</v>
      </c>
      <c r="H5767" s="3" t="s">
        <v>34</v>
      </c>
      <c r="I5767" s="4" t="n">
        <v>7</v>
      </c>
      <c r="J5767" s="4" t="n">
        <f aca="false">LEN(E5767)-LEN(SUBSTITUTE(E5767,",",""))+1</f>
        <v>7</v>
      </c>
      <c r="K5767" s="3" t="str">
        <f aca="false">IFERROR(INDEX('Teacher Lookup'!$B$2:$B$200,MATCH(A5767,'Teacher Lookup'!$A$2:$A$200,0)),"")</f>
        <v>YU Jonathan</v>
      </c>
    </row>
    <row r="5768" customFormat="false" ht="15" hidden="false" customHeight="false" outlineLevel="0" collapsed="false">
      <c r="A5768" s="3" t="s">
        <v>455</v>
      </c>
      <c r="B5768" s="4" t="s">
        <v>65</v>
      </c>
      <c r="C5768" s="4" t="n">
        <v>4</v>
      </c>
      <c r="D5768" s="4" t="s">
        <v>56</v>
      </c>
      <c r="E5768" s="3" t="s">
        <v>306</v>
      </c>
      <c r="F5768" s="4" t="str">
        <f aca="false">IF(I5768&gt;J5768,"Y","N")</f>
        <v>N</v>
      </c>
      <c r="G5768" s="3" t="s">
        <v>15</v>
      </c>
      <c r="H5768" s="3" t="s">
        <v>34</v>
      </c>
      <c r="I5768" s="4" t="n">
        <v>7</v>
      </c>
      <c r="J5768" s="4" t="n">
        <f aca="false">LEN(E5768)-LEN(SUBSTITUTE(E5768,",",""))+1</f>
        <v>7</v>
      </c>
      <c r="K5768" s="3" t="str">
        <f aca="false">IFERROR(INDEX('Teacher Lookup'!$B$2:$B$200,MATCH(A5768,'Teacher Lookup'!$A$2:$A$200,0)),"")</f>
        <v>YU Jonathan</v>
      </c>
    </row>
    <row r="5769" customFormat="false" ht="15" hidden="false" customHeight="false" outlineLevel="0" collapsed="false">
      <c r="A5769" s="3" t="s">
        <v>455</v>
      </c>
      <c r="B5769" s="4" t="s">
        <v>65</v>
      </c>
      <c r="C5769" s="4" t="n">
        <v>4</v>
      </c>
      <c r="D5769" s="4" t="s">
        <v>57</v>
      </c>
      <c r="E5769" s="3" t="s">
        <v>306</v>
      </c>
      <c r="F5769" s="4" t="str">
        <f aca="false">IF(I5769&gt;J5769,"Y","N")</f>
        <v>N</v>
      </c>
      <c r="G5769" s="3" t="s">
        <v>15</v>
      </c>
      <c r="H5769" s="3" t="s">
        <v>34</v>
      </c>
      <c r="I5769" s="4" t="n">
        <v>7</v>
      </c>
      <c r="J5769" s="4" t="n">
        <f aca="false">LEN(E5769)-LEN(SUBSTITUTE(E5769,",",""))+1</f>
        <v>7</v>
      </c>
      <c r="K5769" s="3" t="str">
        <f aca="false">IFERROR(INDEX('Teacher Lookup'!$B$2:$B$200,MATCH(A5769,'Teacher Lookup'!$A$2:$A$200,0)),"")</f>
        <v>YU Jonathan</v>
      </c>
    </row>
    <row r="5770" customFormat="false" ht="15" hidden="false" customHeight="false" outlineLevel="0" collapsed="false">
      <c r="A5770" s="3" t="s">
        <v>455</v>
      </c>
      <c r="B5770" s="4" t="s">
        <v>65</v>
      </c>
      <c r="C5770" s="4" t="n">
        <v>4</v>
      </c>
      <c r="D5770" s="4" t="s">
        <v>58</v>
      </c>
      <c r="E5770" s="3" t="s">
        <v>306</v>
      </c>
      <c r="F5770" s="4" t="str">
        <f aca="false">IF(I5770&gt;J5770,"Y","N")</f>
        <v>N</v>
      </c>
      <c r="G5770" s="3" t="s">
        <v>15</v>
      </c>
      <c r="H5770" s="3" t="s">
        <v>34</v>
      </c>
      <c r="I5770" s="4" t="n">
        <v>7</v>
      </c>
      <c r="J5770" s="4" t="n">
        <f aca="false">LEN(E5770)-LEN(SUBSTITUTE(E5770,",",""))+1</f>
        <v>7</v>
      </c>
      <c r="K5770" s="3" t="str">
        <f aca="false">IFERROR(INDEX('Teacher Lookup'!$B$2:$B$200,MATCH(A5770,'Teacher Lookup'!$A$2:$A$200,0)),"")</f>
        <v>YU Jonathan</v>
      </c>
    </row>
    <row r="5771" customFormat="false" ht="15" hidden="false" customHeight="false" outlineLevel="0" collapsed="false">
      <c r="A5771" s="3" t="s">
        <v>455</v>
      </c>
      <c r="B5771" s="4" t="s">
        <v>65</v>
      </c>
      <c r="C5771" s="4" t="n">
        <v>4</v>
      </c>
      <c r="D5771" s="4" t="s">
        <v>59</v>
      </c>
      <c r="E5771" s="3" t="s">
        <v>306</v>
      </c>
      <c r="F5771" s="4" t="str">
        <f aca="false">IF(I5771&gt;J5771,"Y","N")</f>
        <v>N</v>
      </c>
      <c r="G5771" s="3" t="s">
        <v>15</v>
      </c>
      <c r="H5771" s="3" t="s">
        <v>34</v>
      </c>
      <c r="I5771" s="4" t="n">
        <v>7</v>
      </c>
      <c r="J5771" s="4" t="n">
        <f aca="false">LEN(E5771)-LEN(SUBSTITUTE(E5771,",",""))+1</f>
        <v>7</v>
      </c>
      <c r="K5771" s="3" t="str">
        <f aca="false">IFERROR(INDEX('Teacher Lookup'!$B$2:$B$200,MATCH(A5771,'Teacher Lookup'!$A$2:$A$200,0)),"")</f>
        <v>YU Jonathan</v>
      </c>
    </row>
    <row r="5772" customFormat="false" ht="15" hidden="false" customHeight="false" outlineLevel="0" collapsed="false">
      <c r="A5772" s="3" t="s">
        <v>455</v>
      </c>
      <c r="B5772" s="4" t="s">
        <v>65</v>
      </c>
      <c r="C5772" s="4" t="n">
        <v>5</v>
      </c>
      <c r="D5772" s="4" t="s">
        <v>70</v>
      </c>
      <c r="E5772" s="3" t="s">
        <v>81</v>
      </c>
      <c r="F5772" s="4" t="str">
        <f aca="false">IF(I5772&gt;J5772,"Y","N")</f>
        <v>Y</v>
      </c>
      <c r="G5772" s="3" t="s">
        <v>36</v>
      </c>
      <c r="H5772" s="3" t="s">
        <v>37</v>
      </c>
      <c r="I5772" s="4" t="n">
        <v>15</v>
      </c>
      <c r="J5772" s="4" t="n">
        <f aca="false">LEN(E5772)-LEN(SUBSTITUTE(E5772,",",""))+1</f>
        <v>7</v>
      </c>
      <c r="K5772" s="3" t="str">
        <f aca="false">IFERROR(INDEX('Teacher Lookup'!$B$2:$B$200,MATCH(A5772,'Teacher Lookup'!$A$2:$A$200,0)),"")</f>
        <v>YU Jonathan</v>
      </c>
    </row>
    <row r="5773" customFormat="false" ht="15" hidden="false" customHeight="false" outlineLevel="0" collapsed="false">
      <c r="A5773" s="3" t="s">
        <v>455</v>
      </c>
      <c r="B5773" s="4" t="s">
        <v>65</v>
      </c>
      <c r="C5773" s="4" t="n">
        <v>5</v>
      </c>
      <c r="D5773" s="4" t="s">
        <v>73</v>
      </c>
      <c r="E5773" s="3" t="s">
        <v>81</v>
      </c>
      <c r="F5773" s="4" t="str">
        <f aca="false">IF(I5773&gt;J5773,"Y","N")</f>
        <v>Y</v>
      </c>
      <c r="G5773" s="3" t="s">
        <v>36</v>
      </c>
      <c r="H5773" s="3" t="s">
        <v>37</v>
      </c>
      <c r="I5773" s="4" t="n">
        <v>15</v>
      </c>
      <c r="J5773" s="4" t="n">
        <f aca="false">LEN(E5773)-LEN(SUBSTITUTE(E5773,",",""))+1</f>
        <v>7</v>
      </c>
      <c r="K5773" s="3" t="str">
        <f aca="false">IFERROR(INDEX('Teacher Lookup'!$B$2:$B$200,MATCH(A5773,'Teacher Lookup'!$A$2:$A$200,0)),"")</f>
        <v>YU Jonathan</v>
      </c>
    </row>
    <row r="5774" customFormat="false" ht="15" hidden="false" customHeight="false" outlineLevel="0" collapsed="false">
      <c r="A5774" s="3" t="s">
        <v>455</v>
      </c>
      <c r="B5774" s="4" t="s">
        <v>65</v>
      </c>
      <c r="C5774" s="4" t="n">
        <v>5</v>
      </c>
      <c r="D5774" s="4" t="s">
        <v>74</v>
      </c>
      <c r="E5774" s="3" t="s">
        <v>81</v>
      </c>
      <c r="F5774" s="4" t="str">
        <f aca="false">IF(I5774&gt;J5774,"Y","N")</f>
        <v>Y</v>
      </c>
      <c r="G5774" s="3" t="s">
        <v>36</v>
      </c>
      <c r="H5774" s="3" t="s">
        <v>37</v>
      </c>
      <c r="I5774" s="4" t="n">
        <v>15</v>
      </c>
      <c r="J5774" s="4" t="n">
        <f aca="false">LEN(E5774)-LEN(SUBSTITUTE(E5774,",",""))+1</f>
        <v>7</v>
      </c>
      <c r="K5774" s="3" t="str">
        <f aca="false">IFERROR(INDEX('Teacher Lookup'!$B$2:$B$200,MATCH(A5774,'Teacher Lookup'!$A$2:$A$200,0)),"")</f>
        <v>YU Jonathan</v>
      </c>
    </row>
    <row r="5775" customFormat="false" ht="15" hidden="false" customHeight="false" outlineLevel="0" collapsed="false">
      <c r="A5775" s="3" t="s">
        <v>455</v>
      </c>
      <c r="B5775" s="4" t="s">
        <v>65</v>
      </c>
      <c r="C5775" s="4" t="n">
        <v>5</v>
      </c>
      <c r="D5775" s="4" t="s">
        <v>76</v>
      </c>
      <c r="E5775" s="3" t="s">
        <v>81</v>
      </c>
      <c r="F5775" s="4" t="str">
        <f aca="false">IF(I5775&gt;J5775,"Y","N")</f>
        <v>Y</v>
      </c>
      <c r="G5775" s="3" t="s">
        <v>36</v>
      </c>
      <c r="H5775" s="3" t="s">
        <v>37</v>
      </c>
      <c r="I5775" s="4" t="n">
        <v>15</v>
      </c>
      <c r="J5775" s="4" t="n">
        <f aca="false">LEN(E5775)-LEN(SUBSTITUTE(E5775,",",""))+1</f>
        <v>7</v>
      </c>
      <c r="K5775" s="3" t="str">
        <f aca="false">IFERROR(INDEX('Teacher Lookup'!$B$2:$B$200,MATCH(A5775,'Teacher Lookup'!$A$2:$A$200,0)),"")</f>
        <v>YU Jonathan</v>
      </c>
    </row>
    <row r="5776" customFormat="false" ht="15" hidden="false" customHeight="false" outlineLevel="0" collapsed="false">
      <c r="A5776" s="3" t="s">
        <v>455</v>
      </c>
      <c r="B5776" s="4" t="s">
        <v>65</v>
      </c>
      <c r="C5776" s="4" t="n">
        <v>5</v>
      </c>
      <c r="D5776" s="4" t="s">
        <v>78</v>
      </c>
      <c r="E5776" s="3" t="s">
        <v>81</v>
      </c>
      <c r="F5776" s="4" t="str">
        <f aca="false">IF(I5776&gt;J5776,"Y","N")</f>
        <v>Y</v>
      </c>
      <c r="G5776" s="3" t="s">
        <v>36</v>
      </c>
      <c r="H5776" s="3" t="s">
        <v>37</v>
      </c>
      <c r="I5776" s="4" t="n">
        <v>15</v>
      </c>
      <c r="J5776" s="4" t="n">
        <f aca="false">LEN(E5776)-LEN(SUBSTITUTE(E5776,",",""))+1</f>
        <v>7</v>
      </c>
      <c r="K5776" s="3" t="str">
        <f aca="false">IFERROR(INDEX('Teacher Lookup'!$B$2:$B$200,MATCH(A5776,'Teacher Lookup'!$A$2:$A$200,0)),"")</f>
        <v>YU Jonathan</v>
      </c>
    </row>
    <row r="5777" customFormat="false" ht="15" hidden="false" customHeight="false" outlineLevel="0" collapsed="false">
      <c r="A5777" s="3" t="s">
        <v>455</v>
      </c>
      <c r="B5777" s="4" t="s">
        <v>65</v>
      </c>
      <c r="C5777" s="4" t="n">
        <v>5</v>
      </c>
      <c r="D5777" s="4" t="s">
        <v>79</v>
      </c>
      <c r="E5777" s="3" t="s">
        <v>81</v>
      </c>
      <c r="F5777" s="4" t="str">
        <f aca="false">IF(I5777&gt;J5777,"Y","N")</f>
        <v>Y</v>
      </c>
      <c r="G5777" s="3" t="s">
        <v>36</v>
      </c>
      <c r="H5777" s="3" t="s">
        <v>37</v>
      </c>
      <c r="I5777" s="4" t="n">
        <v>15</v>
      </c>
      <c r="J5777" s="4" t="n">
        <f aca="false">LEN(E5777)-LEN(SUBSTITUTE(E5777,",",""))+1</f>
        <v>7</v>
      </c>
      <c r="K5777" s="3" t="str">
        <f aca="false">IFERROR(INDEX('Teacher Lookup'!$B$2:$B$200,MATCH(A5777,'Teacher Lookup'!$A$2:$A$200,0)),"")</f>
        <v>YU Jonathan</v>
      </c>
    </row>
    <row r="5778" customFormat="false" ht="15" hidden="false" customHeight="false" outlineLevel="0" collapsed="false">
      <c r="A5778" s="3" t="s">
        <v>455</v>
      </c>
      <c r="B5778" s="4" t="s">
        <v>66</v>
      </c>
      <c r="C5778" s="4" t="n">
        <v>1</v>
      </c>
      <c r="D5778" s="4" t="s">
        <v>102</v>
      </c>
      <c r="E5778" s="3" t="s">
        <v>227</v>
      </c>
      <c r="F5778" s="4" t="str">
        <f aca="false">IF(I5778&gt;J5778,"Y","N")</f>
        <v>N</v>
      </c>
      <c r="G5778" s="3" t="s">
        <v>15</v>
      </c>
      <c r="H5778" s="3" t="s">
        <v>16</v>
      </c>
      <c r="I5778" s="4" t="n">
        <v>5</v>
      </c>
      <c r="J5778" s="4" t="n">
        <f aca="false">LEN(E5778)-LEN(SUBSTITUTE(E5778,",",""))+1</f>
        <v>5</v>
      </c>
      <c r="K5778" s="3" t="str">
        <f aca="false">IFERROR(INDEX('Teacher Lookup'!$B$2:$B$200,MATCH(A5778,'Teacher Lookup'!$A$2:$A$200,0)),"")</f>
        <v>YU Jonathan</v>
      </c>
    </row>
    <row r="5779" customFormat="false" ht="15" hidden="false" customHeight="false" outlineLevel="0" collapsed="false">
      <c r="A5779" s="3" t="s">
        <v>455</v>
      </c>
      <c r="B5779" s="4" t="s">
        <v>66</v>
      </c>
      <c r="C5779" s="4" t="n">
        <v>1</v>
      </c>
      <c r="D5779" s="4" t="s">
        <v>105</v>
      </c>
      <c r="E5779" s="3" t="s">
        <v>227</v>
      </c>
      <c r="F5779" s="4" t="str">
        <f aca="false">IF(I5779&gt;J5779,"Y","N")</f>
        <v>N</v>
      </c>
      <c r="G5779" s="3" t="s">
        <v>15</v>
      </c>
      <c r="H5779" s="3" t="s">
        <v>16</v>
      </c>
      <c r="I5779" s="4" t="n">
        <v>5</v>
      </c>
      <c r="J5779" s="4" t="n">
        <f aca="false">LEN(E5779)-LEN(SUBSTITUTE(E5779,",",""))+1</f>
        <v>5</v>
      </c>
      <c r="K5779" s="3" t="str">
        <f aca="false">IFERROR(INDEX('Teacher Lookup'!$B$2:$B$200,MATCH(A5779,'Teacher Lookup'!$A$2:$A$200,0)),"")</f>
        <v>YU Jonathan</v>
      </c>
    </row>
    <row r="5780" customFormat="false" ht="15" hidden="false" customHeight="false" outlineLevel="0" collapsed="false">
      <c r="A5780" s="3" t="s">
        <v>455</v>
      </c>
      <c r="B5780" s="4" t="s">
        <v>66</v>
      </c>
      <c r="C5780" s="4" t="n">
        <v>1</v>
      </c>
      <c r="D5780" s="4" t="s">
        <v>106</v>
      </c>
      <c r="E5780" s="3" t="s">
        <v>227</v>
      </c>
      <c r="F5780" s="4" t="str">
        <f aca="false">IF(I5780&gt;J5780,"Y","N")</f>
        <v>N</v>
      </c>
      <c r="G5780" s="3" t="s">
        <v>15</v>
      </c>
      <c r="H5780" s="3" t="s">
        <v>16</v>
      </c>
      <c r="I5780" s="4" t="n">
        <v>5</v>
      </c>
      <c r="J5780" s="4" t="n">
        <f aca="false">LEN(E5780)-LEN(SUBSTITUTE(E5780,",",""))+1</f>
        <v>5</v>
      </c>
      <c r="K5780" s="3" t="str">
        <f aca="false">IFERROR(INDEX('Teacher Lookup'!$B$2:$B$200,MATCH(A5780,'Teacher Lookup'!$A$2:$A$200,0)),"")</f>
        <v>YU Jonathan</v>
      </c>
    </row>
    <row r="5781" customFormat="false" ht="15" hidden="false" customHeight="false" outlineLevel="0" collapsed="false">
      <c r="A5781" s="3" t="s">
        <v>455</v>
      </c>
      <c r="B5781" s="4" t="s">
        <v>66</v>
      </c>
      <c r="C5781" s="4" t="n">
        <v>1</v>
      </c>
      <c r="D5781" s="4" t="s">
        <v>107</v>
      </c>
      <c r="E5781" s="3" t="s">
        <v>227</v>
      </c>
      <c r="F5781" s="4" t="str">
        <f aca="false">IF(I5781&gt;J5781,"Y","N")</f>
        <v>N</v>
      </c>
      <c r="G5781" s="3" t="s">
        <v>15</v>
      </c>
      <c r="H5781" s="3" t="s">
        <v>16</v>
      </c>
      <c r="I5781" s="4" t="n">
        <v>5</v>
      </c>
      <c r="J5781" s="4" t="n">
        <f aca="false">LEN(E5781)-LEN(SUBSTITUTE(E5781,",",""))+1</f>
        <v>5</v>
      </c>
      <c r="K5781" s="3" t="str">
        <f aca="false">IFERROR(INDEX('Teacher Lookup'!$B$2:$B$200,MATCH(A5781,'Teacher Lookup'!$A$2:$A$200,0)),"")</f>
        <v>YU Jonathan</v>
      </c>
    </row>
    <row r="5782" customFormat="false" ht="15" hidden="false" customHeight="false" outlineLevel="0" collapsed="false">
      <c r="A5782" s="3" t="s">
        <v>455</v>
      </c>
      <c r="B5782" s="4" t="s">
        <v>66</v>
      </c>
      <c r="C5782" s="4" t="n">
        <v>6</v>
      </c>
      <c r="D5782" s="4" t="s">
        <v>52</v>
      </c>
      <c r="E5782" s="3" t="s">
        <v>306</v>
      </c>
      <c r="F5782" s="4" t="str">
        <f aca="false">IF(I5782&gt;J5782,"Y","N")</f>
        <v>N</v>
      </c>
      <c r="G5782" s="3" t="s">
        <v>15</v>
      </c>
      <c r="H5782" s="3" t="s">
        <v>42</v>
      </c>
      <c r="I5782" s="4" t="n">
        <v>7</v>
      </c>
      <c r="J5782" s="4" t="n">
        <f aca="false">LEN(E5782)-LEN(SUBSTITUTE(E5782,",",""))+1</f>
        <v>7</v>
      </c>
      <c r="K5782" s="3" t="str">
        <f aca="false">IFERROR(INDEX('Teacher Lookup'!$B$2:$B$200,MATCH(A5782,'Teacher Lookup'!$A$2:$A$200,0)),"")</f>
        <v>YU Jonathan</v>
      </c>
    </row>
    <row r="5783" customFormat="false" ht="15" hidden="false" customHeight="false" outlineLevel="0" collapsed="false">
      <c r="A5783" s="3" t="s">
        <v>455</v>
      </c>
      <c r="B5783" s="4" t="s">
        <v>66</v>
      </c>
      <c r="C5783" s="4" t="n">
        <v>6</v>
      </c>
      <c r="D5783" s="4" t="s">
        <v>55</v>
      </c>
      <c r="E5783" s="3" t="s">
        <v>306</v>
      </c>
      <c r="F5783" s="4" t="str">
        <f aca="false">IF(I5783&gt;J5783,"Y","N")</f>
        <v>N</v>
      </c>
      <c r="G5783" s="3" t="s">
        <v>15</v>
      </c>
      <c r="H5783" s="3" t="s">
        <v>42</v>
      </c>
      <c r="I5783" s="4" t="n">
        <v>7</v>
      </c>
      <c r="J5783" s="4" t="n">
        <f aca="false">LEN(E5783)-LEN(SUBSTITUTE(E5783,",",""))+1</f>
        <v>7</v>
      </c>
      <c r="K5783" s="3" t="str">
        <f aca="false">IFERROR(INDEX('Teacher Lookup'!$B$2:$B$200,MATCH(A5783,'Teacher Lookup'!$A$2:$A$200,0)),"")</f>
        <v>YU Jonathan</v>
      </c>
    </row>
    <row r="5784" customFormat="false" ht="15" hidden="false" customHeight="false" outlineLevel="0" collapsed="false">
      <c r="A5784" s="3" t="s">
        <v>455</v>
      </c>
      <c r="B5784" s="4" t="s">
        <v>66</v>
      </c>
      <c r="C5784" s="4" t="n">
        <v>6</v>
      </c>
      <c r="D5784" s="4" t="s">
        <v>56</v>
      </c>
      <c r="E5784" s="3" t="s">
        <v>306</v>
      </c>
      <c r="F5784" s="4" t="str">
        <f aca="false">IF(I5784&gt;J5784,"Y","N")</f>
        <v>N</v>
      </c>
      <c r="G5784" s="3" t="s">
        <v>15</v>
      </c>
      <c r="H5784" s="3" t="s">
        <v>42</v>
      </c>
      <c r="I5784" s="4" t="n">
        <v>7</v>
      </c>
      <c r="J5784" s="4" t="n">
        <f aca="false">LEN(E5784)-LEN(SUBSTITUTE(E5784,",",""))+1</f>
        <v>7</v>
      </c>
      <c r="K5784" s="3" t="str">
        <f aca="false">IFERROR(INDEX('Teacher Lookup'!$B$2:$B$200,MATCH(A5784,'Teacher Lookup'!$A$2:$A$200,0)),"")</f>
        <v>YU Jonathan</v>
      </c>
    </row>
    <row r="5785" customFormat="false" ht="15" hidden="false" customHeight="false" outlineLevel="0" collapsed="false">
      <c r="A5785" s="3" t="s">
        <v>455</v>
      </c>
      <c r="B5785" s="4" t="s">
        <v>66</v>
      </c>
      <c r="C5785" s="4" t="n">
        <v>6</v>
      </c>
      <c r="D5785" s="4" t="s">
        <v>57</v>
      </c>
      <c r="E5785" s="3" t="s">
        <v>306</v>
      </c>
      <c r="F5785" s="4" t="str">
        <f aca="false">IF(I5785&gt;J5785,"Y","N")</f>
        <v>N</v>
      </c>
      <c r="G5785" s="3" t="s">
        <v>15</v>
      </c>
      <c r="H5785" s="3" t="s">
        <v>42</v>
      </c>
      <c r="I5785" s="4" t="n">
        <v>7</v>
      </c>
      <c r="J5785" s="4" t="n">
        <f aca="false">LEN(E5785)-LEN(SUBSTITUTE(E5785,",",""))+1</f>
        <v>7</v>
      </c>
      <c r="K5785" s="3" t="str">
        <f aca="false">IFERROR(INDEX('Teacher Lookup'!$B$2:$B$200,MATCH(A5785,'Teacher Lookup'!$A$2:$A$200,0)),"")</f>
        <v>YU Jonathan</v>
      </c>
    </row>
    <row r="5786" customFormat="false" ht="15" hidden="false" customHeight="false" outlineLevel="0" collapsed="false">
      <c r="A5786" s="3" t="s">
        <v>455</v>
      </c>
      <c r="B5786" s="4" t="s">
        <v>66</v>
      </c>
      <c r="C5786" s="4" t="n">
        <v>6</v>
      </c>
      <c r="D5786" s="4" t="s">
        <v>58</v>
      </c>
      <c r="E5786" s="3" t="s">
        <v>306</v>
      </c>
      <c r="F5786" s="4" t="str">
        <f aca="false">IF(I5786&gt;J5786,"Y","N")</f>
        <v>N</v>
      </c>
      <c r="G5786" s="3" t="s">
        <v>15</v>
      </c>
      <c r="H5786" s="3" t="s">
        <v>42</v>
      </c>
      <c r="I5786" s="4" t="n">
        <v>7</v>
      </c>
      <c r="J5786" s="4" t="n">
        <f aca="false">LEN(E5786)-LEN(SUBSTITUTE(E5786,",",""))+1</f>
        <v>7</v>
      </c>
      <c r="K5786" s="3" t="str">
        <f aca="false">IFERROR(INDEX('Teacher Lookup'!$B$2:$B$200,MATCH(A5786,'Teacher Lookup'!$A$2:$A$200,0)),"")</f>
        <v>YU Jonathan</v>
      </c>
    </row>
    <row r="5787" customFormat="false" ht="15" hidden="false" customHeight="false" outlineLevel="0" collapsed="false">
      <c r="A5787" s="3" t="s">
        <v>455</v>
      </c>
      <c r="B5787" s="4" t="s">
        <v>66</v>
      </c>
      <c r="C5787" s="4" t="n">
        <v>6</v>
      </c>
      <c r="D5787" s="4" t="s">
        <v>59</v>
      </c>
      <c r="E5787" s="3" t="s">
        <v>306</v>
      </c>
      <c r="F5787" s="4" t="str">
        <f aca="false">IF(I5787&gt;J5787,"Y","N")</f>
        <v>N</v>
      </c>
      <c r="G5787" s="3" t="s">
        <v>15</v>
      </c>
      <c r="H5787" s="3" t="s">
        <v>42</v>
      </c>
      <c r="I5787" s="4" t="n">
        <v>7</v>
      </c>
      <c r="J5787" s="4" t="n">
        <f aca="false">LEN(E5787)-LEN(SUBSTITUTE(E5787,",",""))+1</f>
        <v>7</v>
      </c>
      <c r="K5787" s="3" t="str">
        <f aca="false">IFERROR(INDEX('Teacher Lookup'!$B$2:$B$200,MATCH(A5787,'Teacher Lookup'!$A$2:$A$200,0)),"")</f>
        <v>YU Jonathan</v>
      </c>
    </row>
    <row r="5788" customFormat="false" ht="15" hidden="false" customHeight="false" outlineLevel="0" collapsed="false">
      <c r="A5788" s="3" t="s">
        <v>456</v>
      </c>
      <c r="B5788" s="4" t="s">
        <v>12</v>
      </c>
      <c r="C5788" s="4" t="n">
        <v>2</v>
      </c>
      <c r="D5788" s="4" t="s">
        <v>24</v>
      </c>
      <c r="E5788" s="3" t="s">
        <v>271</v>
      </c>
      <c r="F5788" s="4" t="str">
        <f aca="false">IF(I5788&gt;J5788,"Y","N")</f>
        <v>Y</v>
      </c>
      <c r="G5788" s="3" t="s">
        <v>272</v>
      </c>
      <c r="H5788" s="3" t="s">
        <v>21</v>
      </c>
      <c r="I5788" s="4" t="n">
        <v>8</v>
      </c>
      <c r="J5788" s="4" t="n">
        <f aca="false">LEN(E5788)-LEN(SUBSTITUTE(E5788,",",""))+1</f>
        <v>7</v>
      </c>
      <c r="K5788" s="3" t="str">
        <f aca="false">IFERROR(INDEX('Teacher Lookup'!$B$2:$B$200,MATCH(A5788,'Teacher Lookup'!$A$2:$A$200,0)),"")</f>
        <v>LI Judy</v>
      </c>
    </row>
    <row r="5789" customFormat="false" ht="15" hidden="false" customHeight="false" outlineLevel="0" collapsed="false">
      <c r="A5789" s="3" t="s">
        <v>456</v>
      </c>
      <c r="B5789" s="4" t="s">
        <v>12</v>
      </c>
      <c r="C5789" s="4" t="n">
        <v>2</v>
      </c>
      <c r="D5789" s="4" t="s">
        <v>27</v>
      </c>
      <c r="E5789" s="3" t="s">
        <v>271</v>
      </c>
      <c r="F5789" s="4" t="str">
        <f aca="false">IF(I5789&gt;J5789,"Y","N")</f>
        <v>Y</v>
      </c>
      <c r="G5789" s="3" t="s">
        <v>272</v>
      </c>
      <c r="H5789" s="3" t="s">
        <v>21</v>
      </c>
      <c r="I5789" s="4" t="n">
        <v>8</v>
      </c>
      <c r="J5789" s="4" t="n">
        <f aca="false">LEN(E5789)-LEN(SUBSTITUTE(E5789,",",""))+1</f>
        <v>7</v>
      </c>
      <c r="K5789" s="3" t="str">
        <f aca="false">IFERROR(INDEX('Teacher Lookup'!$B$2:$B$200,MATCH(A5789,'Teacher Lookup'!$A$2:$A$200,0)),"")</f>
        <v>LI Judy</v>
      </c>
    </row>
    <row r="5790" customFormat="false" ht="15" hidden="false" customHeight="false" outlineLevel="0" collapsed="false">
      <c r="A5790" s="3" t="s">
        <v>456</v>
      </c>
      <c r="B5790" s="4" t="s">
        <v>12</v>
      </c>
      <c r="C5790" s="4" t="n">
        <v>2</v>
      </c>
      <c r="D5790" s="4" t="s">
        <v>28</v>
      </c>
      <c r="E5790" s="3" t="s">
        <v>271</v>
      </c>
      <c r="F5790" s="4" t="str">
        <f aca="false">IF(I5790&gt;J5790,"Y","N")</f>
        <v>Y</v>
      </c>
      <c r="G5790" s="3" t="s">
        <v>272</v>
      </c>
      <c r="H5790" s="3" t="s">
        <v>21</v>
      </c>
      <c r="I5790" s="4" t="n">
        <v>8</v>
      </c>
      <c r="J5790" s="4" t="n">
        <f aca="false">LEN(E5790)-LEN(SUBSTITUTE(E5790,",",""))+1</f>
        <v>7</v>
      </c>
      <c r="K5790" s="3" t="str">
        <f aca="false">IFERROR(INDEX('Teacher Lookup'!$B$2:$B$200,MATCH(A5790,'Teacher Lookup'!$A$2:$A$200,0)),"")</f>
        <v>LI Judy</v>
      </c>
    </row>
    <row r="5791" customFormat="false" ht="15" hidden="false" customHeight="false" outlineLevel="0" collapsed="false">
      <c r="A5791" s="3" t="s">
        <v>456</v>
      </c>
      <c r="B5791" s="4" t="s">
        <v>12</v>
      </c>
      <c r="C5791" s="4" t="n">
        <v>2</v>
      </c>
      <c r="D5791" s="4" t="s">
        <v>29</v>
      </c>
      <c r="E5791" s="3" t="s">
        <v>271</v>
      </c>
      <c r="F5791" s="4" t="str">
        <f aca="false">IF(I5791&gt;J5791,"Y","N")</f>
        <v>Y</v>
      </c>
      <c r="G5791" s="3" t="s">
        <v>272</v>
      </c>
      <c r="H5791" s="3" t="s">
        <v>21</v>
      </c>
      <c r="I5791" s="4" t="n">
        <v>8</v>
      </c>
      <c r="J5791" s="4" t="n">
        <f aca="false">LEN(E5791)-LEN(SUBSTITUTE(E5791,",",""))+1</f>
        <v>7</v>
      </c>
      <c r="K5791" s="3" t="str">
        <f aca="false">IFERROR(INDEX('Teacher Lookup'!$B$2:$B$200,MATCH(A5791,'Teacher Lookup'!$A$2:$A$200,0)),"")</f>
        <v>LI Judy</v>
      </c>
    </row>
    <row r="5792" customFormat="false" ht="15" hidden="false" customHeight="false" outlineLevel="0" collapsed="false">
      <c r="A5792" s="3" t="s">
        <v>456</v>
      </c>
      <c r="B5792" s="4" t="s">
        <v>12</v>
      </c>
      <c r="C5792" s="4" t="n">
        <v>2</v>
      </c>
      <c r="D5792" s="4" t="s">
        <v>30</v>
      </c>
      <c r="E5792" s="3" t="s">
        <v>271</v>
      </c>
      <c r="F5792" s="4" t="str">
        <f aca="false">IF(I5792&gt;J5792,"Y","N")</f>
        <v>Y</v>
      </c>
      <c r="G5792" s="3" t="s">
        <v>272</v>
      </c>
      <c r="H5792" s="3" t="s">
        <v>21</v>
      </c>
      <c r="I5792" s="4" t="n">
        <v>8</v>
      </c>
      <c r="J5792" s="4" t="n">
        <f aca="false">LEN(E5792)-LEN(SUBSTITUTE(E5792,",",""))+1</f>
        <v>7</v>
      </c>
      <c r="K5792" s="3" t="str">
        <f aca="false">IFERROR(INDEX('Teacher Lookup'!$B$2:$B$200,MATCH(A5792,'Teacher Lookup'!$A$2:$A$200,0)),"")</f>
        <v>LI Judy</v>
      </c>
    </row>
    <row r="5793" customFormat="false" ht="15" hidden="false" customHeight="false" outlineLevel="0" collapsed="false">
      <c r="A5793" s="3" t="s">
        <v>456</v>
      </c>
      <c r="B5793" s="4" t="s">
        <v>12</v>
      </c>
      <c r="C5793" s="4" t="n">
        <v>4</v>
      </c>
      <c r="D5793" s="4" t="s">
        <v>102</v>
      </c>
      <c r="E5793" s="3" t="s">
        <v>103</v>
      </c>
      <c r="F5793" s="4" t="str">
        <f aca="false">IF(I5793&gt;J5793,"Y","N")</f>
        <v>N</v>
      </c>
      <c r="G5793" s="3" t="s">
        <v>104</v>
      </c>
      <c r="H5793" s="3" t="s">
        <v>34</v>
      </c>
      <c r="I5793" s="4" t="n">
        <v>6</v>
      </c>
      <c r="J5793" s="4" t="n">
        <f aca="false">LEN(E5793)-LEN(SUBSTITUTE(E5793,",",""))+1</f>
        <v>6</v>
      </c>
      <c r="K5793" s="3" t="str">
        <f aca="false">IFERROR(INDEX('Teacher Lookup'!$B$2:$B$200,MATCH(A5793,'Teacher Lookup'!$A$2:$A$200,0)),"")</f>
        <v>LI Judy</v>
      </c>
    </row>
    <row r="5794" customFormat="false" ht="15" hidden="false" customHeight="false" outlineLevel="0" collapsed="false">
      <c r="A5794" s="3" t="s">
        <v>456</v>
      </c>
      <c r="B5794" s="4" t="s">
        <v>12</v>
      </c>
      <c r="C5794" s="4" t="n">
        <v>4</v>
      </c>
      <c r="D5794" s="4" t="s">
        <v>105</v>
      </c>
      <c r="E5794" s="3" t="s">
        <v>103</v>
      </c>
      <c r="F5794" s="4" t="str">
        <f aca="false">IF(I5794&gt;J5794,"Y","N")</f>
        <v>N</v>
      </c>
      <c r="G5794" s="3" t="s">
        <v>104</v>
      </c>
      <c r="H5794" s="3" t="s">
        <v>34</v>
      </c>
      <c r="I5794" s="4" t="n">
        <v>6</v>
      </c>
      <c r="J5794" s="4" t="n">
        <f aca="false">LEN(E5794)-LEN(SUBSTITUTE(E5794,",",""))+1</f>
        <v>6</v>
      </c>
      <c r="K5794" s="3" t="str">
        <f aca="false">IFERROR(INDEX('Teacher Lookup'!$B$2:$B$200,MATCH(A5794,'Teacher Lookup'!$A$2:$A$200,0)),"")</f>
        <v>LI Judy</v>
      </c>
    </row>
    <row r="5795" customFormat="false" ht="15" hidden="false" customHeight="false" outlineLevel="0" collapsed="false">
      <c r="A5795" s="3" t="s">
        <v>456</v>
      </c>
      <c r="B5795" s="4" t="s">
        <v>12</v>
      </c>
      <c r="C5795" s="4" t="n">
        <v>4</v>
      </c>
      <c r="D5795" s="4" t="s">
        <v>106</v>
      </c>
      <c r="E5795" s="3" t="s">
        <v>103</v>
      </c>
      <c r="F5795" s="4" t="str">
        <f aca="false">IF(I5795&gt;J5795,"Y","N")</f>
        <v>N</v>
      </c>
      <c r="G5795" s="3" t="s">
        <v>104</v>
      </c>
      <c r="H5795" s="3" t="s">
        <v>34</v>
      </c>
      <c r="I5795" s="4" t="n">
        <v>6</v>
      </c>
      <c r="J5795" s="4" t="n">
        <f aca="false">LEN(E5795)-LEN(SUBSTITUTE(E5795,",",""))+1</f>
        <v>6</v>
      </c>
      <c r="K5795" s="3" t="str">
        <f aca="false">IFERROR(INDEX('Teacher Lookup'!$B$2:$B$200,MATCH(A5795,'Teacher Lookup'!$A$2:$A$200,0)),"")</f>
        <v>LI Judy</v>
      </c>
    </row>
    <row r="5796" customFormat="false" ht="15" hidden="false" customHeight="false" outlineLevel="0" collapsed="false">
      <c r="A5796" s="3" t="s">
        <v>456</v>
      </c>
      <c r="B5796" s="4" t="s">
        <v>12</v>
      </c>
      <c r="C5796" s="4" t="n">
        <v>4</v>
      </c>
      <c r="D5796" s="4" t="s">
        <v>107</v>
      </c>
      <c r="E5796" s="3" t="s">
        <v>103</v>
      </c>
      <c r="F5796" s="4" t="str">
        <f aca="false">IF(I5796&gt;J5796,"Y","N")</f>
        <v>N</v>
      </c>
      <c r="G5796" s="3" t="s">
        <v>104</v>
      </c>
      <c r="H5796" s="3" t="s">
        <v>34</v>
      </c>
      <c r="I5796" s="4" t="n">
        <v>6</v>
      </c>
      <c r="J5796" s="4" t="n">
        <f aca="false">LEN(E5796)-LEN(SUBSTITUTE(E5796,",",""))+1</f>
        <v>6</v>
      </c>
      <c r="K5796" s="3" t="str">
        <f aca="false">IFERROR(INDEX('Teacher Lookup'!$B$2:$B$200,MATCH(A5796,'Teacher Lookup'!$A$2:$A$200,0)),"")</f>
        <v>LI Judy</v>
      </c>
    </row>
    <row r="5797" customFormat="false" ht="15" hidden="false" customHeight="false" outlineLevel="0" collapsed="false">
      <c r="A5797" s="3" t="s">
        <v>456</v>
      </c>
      <c r="B5797" s="4" t="s">
        <v>12</v>
      </c>
      <c r="C5797" s="4" t="n">
        <v>5</v>
      </c>
      <c r="D5797" s="4" t="s">
        <v>102</v>
      </c>
      <c r="E5797" s="3" t="s">
        <v>103</v>
      </c>
      <c r="F5797" s="4" t="str">
        <f aca="false">IF(I5797&gt;J5797,"Y","N")</f>
        <v>N</v>
      </c>
      <c r="G5797" s="3" t="s">
        <v>104</v>
      </c>
      <c r="H5797" s="3" t="s">
        <v>37</v>
      </c>
      <c r="I5797" s="4" t="n">
        <v>6</v>
      </c>
      <c r="J5797" s="4" t="n">
        <f aca="false">LEN(E5797)-LEN(SUBSTITUTE(E5797,",",""))+1</f>
        <v>6</v>
      </c>
      <c r="K5797" s="3" t="str">
        <f aca="false">IFERROR(INDEX('Teacher Lookup'!$B$2:$B$200,MATCH(A5797,'Teacher Lookup'!$A$2:$A$200,0)),"")</f>
        <v>LI Judy</v>
      </c>
    </row>
    <row r="5798" customFormat="false" ht="15" hidden="false" customHeight="false" outlineLevel="0" collapsed="false">
      <c r="A5798" s="3" t="s">
        <v>456</v>
      </c>
      <c r="B5798" s="4" t="s">
        <v>12</v>
      </c>
      <c r="C5798" s="4" t="n">
        <v>5</v>
      </c>
      <c r="D5798" s="4" t="s">
        <v>105</v>
      </c>
      <c r="E5798" s="3" t="s">
        <v>103</v>
      </c>
      <c r="F5798" s="4" t="str">
        <f aca="false">IF(I5798&gt;J5798,"Y","N")</f>
        <v>N</v>
      </c>
      <c r="G5798" s="3" t="s">
        <v>104</v>
      </c>
      <c r="H5798" s="3" t="s">
        <v>37</v>
      </c>
      <c r="I5798" s="4" t="n">
        <v>6</v>
      </c>
      <c r="J5798" s="4" t="n">
        <f aca="false">LEN(E5798)-LEN(SUBSTITUTE(E5798,",",""))+1</f>
        <v>6</v>
      </c>
      <c r="K5798" s="3" t="str">
        <f aca="false">IFERROR(INDEX('Teacher Lookup'!$B$2:$B$200,MATCH(A5798,'Teacher Lookup'!$A$2:$A$200,0)),"")</f>
        <v>LI Judy</v>
      </c>
    </row>
    <row r="5799" customFormat="false" ht="15" hidden="false" customHeight="false" outlineLevel="0" collapsed="false">
      <c r="A5799" s="3" t="s">
        <v>456</v>
      </c>
      <c r="B5799" s="4" t="s">
        <v>12</v>
      </c>
      <c r="C5799" s="4" t="n">
        <v>5</v>
      </c>
      <c r="D5799" s="4" t="s">
        <v>106</v>
      </c>
      <c r="E5799" s="3" t="s">
        <v>103</v>
      </c>
      <c r="F5799" s="4" t="str">
        <f aca="false">IF(I5799&gt;J5799,"Y","N")</f>
        <v>N</v>
      </c>
      <c r="G5799" s="3" t="s">
        <v>104</v>
      </c>
      <c r="H5799" s="3" t="s">
        <v>37</v>
      </c>
      <c r="I5799" s="4" t="n">
        <v>6</v>
      </c>
      <c r="J5799" s="4" t="n">
        <f aca="false">LEN(E5799)-LEN(SUBSTITUTE(E5799,",",""))+1</f>
        <v>6</v>
      </c>
      <c r="K5799" s="3" t="str">
        <f aca="false">IFERROR(INDEX('Teacher Lookup'!$B$2:$B$200,MATCH(A5799,'Teacher Lookup'!$A$2:$A$200,0)),"")</f>
        <v>LI Judy</v>
      </c>
    </row>
    <row r="5800" customFormat="false" ht="15" hidden="false" customHeight="false" outlineLevel="0" collapsed="false">
      <c r="A5800" s="3" t="s">
        <v>456</v>
      </c>
      <c r="B5800" s="4" t="s">
        <v>12</v>
      </c>
      <c r="C5800" s="4" t="n">
        <v>5</v>
      </c>
      <c r="D5800" s="4" t="s">
        <v>107</v>
      </c>
      <c r="E5800" s="3" t="s">
        <v>103</v>
      </c>
      <c r="F5800" s="4" t="str">
        <f aca="false">IF(I5800&gt;J5800,"Y","N")</f>
        <v>N</v>
      </c>
      <c r="G5800" s="3" t="s">
        <v>104</v>
      </c>
      <c r="H5800" s="3" t="s">
        <v>37</v>
      </c>
      <c r="I5800" s="4" t="n">
        <v>6</v>
      </c>
      <c r="J5800" s="4" t="n">
        <f aca="false">LEN(E5800)-LEN(SUBSTITUTE(E5800,",",""))+1</f>
        <v>6</v>
      </c>
      <c r="K5800" s="3" t="str">
        <f aca="false">IFERROR(INDEX('Teacher Lookup'!$B$2:$B$200,MATCH(A5800,'Teacher Lookup'!$A$2:$A$200,0)),"")</f>
        <v>LI Judy</v>
      </c>
    </row>
    <row r="5801" customFormat="false" ht="15" hidden="false" customHeight="false" outlineLevel="0" collapsed="false">
      <c r="A5801" s="3" t="s">
        <v>456</v>
      </c>
      <c r="B5801" s="4" t="s">
        <v>31</v>
      </c>
      <c r="C5801" s="4" t="n">
        <v>1</v>
      </c>
      <c r="D5801" s="4" t="s">
        <v>24</v>
      </c>
      <c r="E5801" s="3" t="s">
        <v>274</v>
      </c>
      <c r="F5801" s="4" t="str">
        <f aca="false">IF(I5801&gt;J5801,"Y","N")</f>
        <v>Y</v>
      </c>
      <c r="G5801" s="3" t="s">
        <v>272</v>
      </c>
      <c r="H5801" s="3" t="s">
        <v>16</v>
      </c>
      <c r="I5801" s="4" t="n">
        <v>8</v>
      </c>
      <c r="J5801" s="4" t="n">
        <f aca="false">LEN(E5801)-LEN(SUBSTITUTE(E5801,",",""))+1</f>
        <v>7</v>
      </c>
      <c r="K5801" s="3" t="str">
        <f aca="false">IFERROR(INDEX('Teacher Lookup'!$B$2:$B$200,MATCH(A5801,'Teacher Lookup'!$A$2:$A$200,0)),"")</f>
        <v>LI Judy</v>
      </c>
    </row>
    <row r="5802" customFormat="false" ht="15" hidden="false" customHeight="false" outlineLevel="0" collapsed="false">
      <c r="A5802" s="3" t="s">
        <v>456</v>
      </c>
      <c r="B5802" s="4" t="s">
        <v>31</v>
      </c>
      <c r="C5802" s="4" t="n">
        <v>1</v>
      </c>
      <c r="D5802" s="4" t="s">
        <v>27</v>
      </c>
      <c r="E5802" s="3" t="s">
        <v>274</v>
      </c>
      <c r="F5802" s="4" t="str">
        <f aca="false">IF(I5802&gt;J5802,"Y","N")</f>
        <v>Y</v>
      </c>
      <c r="G5802" s="3" t="s">
        <v>272</v>
      </c>
      <c r="H5802" s="3" t="s">
        <v>16</v>
      </c>
      <c r="I5802" s="4" t="n">
        <v>8</v>
      </c>
      <c r="J5802" s="4" t="n">
        <f aca="false">LEN(E5802)-LEN(SUBSTITUTE(E5802,",",""))+1</f>
        <v>7</v>
      </c>
      <c r="K5802" s="3" t="str">
        <f aca="false">IFERROR(INDEX('Teacher Lookup'!$B$2:$B$200,MATCH(A5802,'Teacher Lookup'!$A$2:$A$200,0)),"")</f>
        <v>LI Judy</v>
      </c>
    </row>
    <row r="5803" customFormat="false" ht="15" hidden="false" customHeight="false" outlineLevel="0" collapsed="false">
      <c r="A5803" s="3" t="s">
        <v>456</v>
      </c>
      <c r="B5803" s="4" t="s">
        <v>31</v>
      </c>
      <c r="C5803" s="4" t="n">
        <v>1</v>
      </c>
      <c r="D5803" s="4" t="s">
        <v>28</v>
      </c>
      <c r="E5803" s="3" t="s">
        <v>274</v>
      </c>
      <c r="F5803" s="4" t="str">
        <f aca="false">IF(I5803&gt;J5803,"Y","N")</f>
        <v>Y</v>
      </c>
      <c r="G5803" s="3" t="s">
        <v>272</v>
      </c>
      <c r="H5803" s="3" t="s">
        <v>16</v>
      </c>
      <c r="I5803" s="4" t="n">
        <v>8</v>
      </c>
      <c r="J5803" s="4" t="n">
        <f aca="false">LEN(E5803)-LEN(SUBSTITUTE(E5803,",",""))+1</f>
        <v>7</v>
      </c>
      <c r="K5803" s="3" t="str">
        <f aca="false">IFERROR(INDEX('Teacher Lookup'!$B$2:$B$200,MATCH(A5803,'Teacher Lookup'!$A$2:$A$200,0)),"")</f>
        <v>LI Judy</v>
      </c>
    </row>
    <row r="5804" customFormat="false" ht="15" hidden="false" customHeight="false" outlineLevel="0" collapsed="false">
      <c r="A5804" s="3" t="s">
        <v>456</v>
      </c>
      <c r="B5804" s="4" t="s">
        <v>31</v>
      </c>
      <c r="C5804" s="4" t="n">
        <v>1</v>
      </c>
      <c r="D5804" s="4" t="s">
        <v>29</v>
      </c>
      <c r="E5804" s="3" t="s">
        <v>274</v>
      </c>
      <c r="F5804" s="4" t="str">
        <f aca="false">IF(I5804&gt;J5804,"Y","N")</f>
        <v>Y</v>
      </c>
      <c r="G5804" s="3" t="s">
        <v>272</v>
      </c>
      <c r="H5804" s="3" t="s">
        <v>16</v>
      </c>
      <c r="I5804" s="4" t="n">
        <v>8</v>
      </c>
      <c r="J5804" s="4" t="n">
        <f aca="false">LEN(E5804)-LEN(SUBSTITUTE(E5804,",",""))+1</f>
        <v>7</v>
      </c>
      <c r="K5804" s="3" t="str">
        <f aca="false">IFERROR(INDEX('Teacher Lookup'!$B$2:$B$200,MATCH(A5804,'Teacher Lookup'!$A$2:$A$200,0)),"")</f>
        <v>LI Judy</v>
      </c>
    </row>
    <row r="5805" customFormat="false" ht="15" hidden="false" customHeight="false" outlineLevel="0" collapsed="false">
      <c r="A5805" s="3" t="s">
        <v>456</v>
      </c>
      <c r="B5805" s="4" t="s">
        <v>31</v>
      </c>
      <c r="C5805" s="4" t="n">
        <v>1</v>
      </c>
      <c r="D5805" s="4" t="s">
        <v>30</v>
      </c>
      <c r="E5805" s="3" t="s">
        <v>274</v>
      </c>
      <c r="F5805" s="4" t="str">
        <f aca="false">IF(I5805&gt;J5805,"Y","N")</f>
        <v>Y</v>
      </c>
      <c r="G5805" s="3" t="s">
        <v>272</v>
      </c>
      <c r="H5805" s="3" t="s">
        <v>16</v>
      </c>
      <c r="I5805" s="4" t="n">
        <v>8</v>
      </c>
      <c r="J5805" s="4" t="n">
        <f aca="false">LEN(E5805)-LEN(SUBSTITUTE(E5805,",",""))+1</f>
        <v>7</v>
      </c>
      <c r="K5805" s="3" t="str">
        <f aca="false">IFERROR(INDEX('Teacher Lookup'!$B$2:$B$200,MATCH(A5805,'Teacher Lookup'!$A$2:$A$200,0)),"")</f>
        <v>LI Judy</v>
      </c>
    </row>
    <row r="5806" customFormat="false" ht="15" hidden="false" customHeight="false" outlineLevel="0" collapsed="false">
      <c r="A5806" s="3" t="s">
        <v>456</v>
      </c>
      <c r="B5806" s="4" t="s">
        <v>31</v>
      </c>
      <c r="C5806" s="4" t="n">
        <v>3</v>
      </c>
      <c r="D5806" s="4" t="s">
        <v>102</v>
      </c>
      <c r="E5806" s="3" t="s">
        <v>110</v>
      </c>
      <c r="F5806" s="4" t="str">
        <f aca="false">IF(I5806&gt;J5806,"Y","N")</f>
        <v>N</v>
      </c>
      <c r="G5806" s="3" t="s">
        <v>104</v>
      </c>
      <c r="H5806" s="3" t="s">
        <v>26</v>
      </c>
      <c r="I5806" s="4" t="n">
        <v>6</v>
      </c>
      <c r="J5806" s="4" t="n">
        <f aca="false">LEN(E5806)-LEN(SUBSTITUTE(E5806,",",""))+1</f>
        <v>6</v>
      </c>
      <c r="K5806" s="3" t="str">
        <f aca="false">IFERROR(INDEX('Teacher Lookup'!$B$2:$B$200,MATCH(A5806,'Teacher Lookup'!$A$2:$A$200,0)),"")</f>
        <v>LI Judy</v>
      </c>
    </row>
    <row r="5807" customFormat="false" ht="15" hidden="false" customHeight="false" outlineLevel="0" collapsed="false">
      <c r="A5807" s="3" t="s">
        <v>456</v>
      </c>
      <c r="B5807" s="4" t="s">
        <v>31</v>
      </c>
      <c r="C5807" s="4" t="n">
        <v>3</v>
      </c>
      <c r="D5807" s="4" t="s">
        <v>105</v>
      </c>
      <c r="E5807" s="3" t="s">
        <v>110</v>
      </c>
      <c r="F5807" s="4" t="str">
        <f aca="false">IF(I5807&gt;J5807,"Y","N")</f>
        <v>N</v>
      </c>
      <c r="G5807" s="3" t="s">
        <v>104</v>
      </c>
      <c r="H5807" s="3" t="s">
        <v>26</v>
      </c>
      <c r="I5807" s="4" t="n">
        <v>6</v>
      </c>
      <c r="J5807" s="4" t="n">
        <f aca="false">LEN(E5807)-LEN(SUBSTITUTE(E5807,",",""))+1</f>
        <v>6</v>
      </c>
      <c r="K5807" s="3" t="str">
        <f aca="false">IFERROR(INDEX('Teacher Lookup'!$B$2:$B$200,MATCH(A5807,'Teacher Lookup'!$A$2:$A$200,0)),"")</f>
        <v>LI Judy</v>
      </c>
    </row>
    <row r="5808" customFormat="false" ht="15" hidden="false" customHeight="false" outlineLevel="0" collapsed="false">
      <c r="A5808" s="3" t="s">
        <v>456</v>
      </c>
      <c r="B5808" s="4" t="s">
        <v>31</v>
      </c>
      <c r="C5808" s="4" t="n">
        <v>3</v>
      </c>
      <c r="D5808" s="4" t="s">
        <v>106</v>
      </c>
      <c r="E5808" s="3" t="s">
        <v>110</v>
      </c>
      <c r="F5808" s="4" t="str">
        <f aca="false">IF(I5808&gt;J5808,"Y","N")</f>
        <v>N</v>
      </c>
      <c r="G5808" s="3" t="s">
        <v>104</v>
      </c>
      <c r="H5808" s="3" t="s">
        <v>26</v>
      </c>
      <c r="I5808" s="4" t="n">
        <v>6</v>
      </c>
      <c r="J5808" s="4" t="n">
        <f aca="false">LEN(E5808)-LEN(SUBSTITUTE(E5808,",",""))+1</f>
        <v>6</v>
      </c>
      <c r="K5808" s="3" t="str">
        <f aca="false">IFERROR(INDEX('Teacher Lookup'!$B$2:$B$200,MATCH(A5808,'Teacher Lookup'!$A$2:$A$200,0)),"")</f>
        <v>LI Judy</v>
      </c>
    </row>
    <row r="5809" customFormat="false" ht="15" hidden="false" customHeight="false" outlineLevel="0" collapsed="false">
      <c r="A5809" s="3" t="s">
        <v>456</v>
      </c>
      <c r="B5809" s="4" t="s">
        <v>31</v>
      </c>
      <c r="C5809" s="4" t="n">
        <v>3</v>
      </c>
      <c r="D5809" s="4" t="s">
        <v>107</v>
      </c>
      <c r="E5809" s="3" t="s">
        <v>110</v>
      </c>
      <c r="F5809" s="4" t="str">
        <f aca="false">IF(I5809&gt;J5809,"Y","N")</f>
        <v>N</v>
      </c>
      <c r="G5809" s="3" t="s">
        <v>104</v>
      </c>
      <c r="H5809" s="3" t="s">
        <v>26</v>
      </c>
      <c r="I5809" s="4" t="n">
        <v>6</v>
      </c>
      <c r="J5809" s="4" t="n">
        <f aca="false">LEN(E5809)-LEN(SUBSTITUTE(E5809,",",""))+1</f>
        <v>6</v>
      </c>
      <c r="K5809" s="3" t="str">
        <f aca="false">IFERROR(INDEX('Teacher Lookup'!$B$2:$B$200,MATCH(A5809,'Teacher Lookup'!$A$2:$A$200,0)),"")</f>
        <v>LI Judy</v>
      </c>
    </row>
    <row r="5810" customFormat="false" ht="15" hidden="false" customHeight="false" outlineLevel="0" collapsed="false">
      <c r="A5810" s="3" t="s">
        <v>456</v>
      </c>
      <c r="B5810" s="4" t="s">
        <v>40</v>
      </c>
      <c r="C5810" s="4" t="n">
        <v>1</v>
      </c>
      <c r="D5810" s="4" t="s">
        <v>102</v>
      </c>
      <c r="E5810" s="3" t="s">
        <v>114</v>
      </c>
      <c r="F5810" s="4" t="str">
        <f aca="false">IF(I5810&gt;J5810,"Y","N")</f>
        <v>N</v>
      </c>
      <c r="G5810" s="3" t="s">
        <v>104</v>
      </c>
      <c r="H5810" s="3" t="s">
        <v>16</v>
      </c>
      <c r="I5810" s="4" t="n">
        <v>6</v>
      </c>
      <c r="J5810" s="4" t="n">
        <f aca="false">LEN(E5810)-LEN(SUBSTITUTE(E5810,",",""))+1</f>
        <v>6</v>
      </c>
      <c r="K5810" s="3" t="str">
        <f aca="false">IFERROR(INDEX('Teacher Lookup'!$B$2:$B$200,MATCH(A5810,'Teacher Lookup'!$A$2:$A$200,0)),"")</f>
        <v>LI Judy</v>
      </c>
    </row>
    <row r="5811" customFormat="false" ht="15" hidden="false" customHeight="false" outlineLevel="0" collapsed="false">
      <c r="A5811" s="3" t="s">
        <v>456</v>
      </c>
      <c r="B5811" s="4" t="s">
        <v>40</v>
      </c>
      <c r="C5811" s="4" t="n">
        <v>1</v>
      </c>
      <c r="D5811" s="4" t="s">
        <v>105</v>
      </c>
      <c r="E5811" s="3" t="s">
        <v>114</v>
      </c>
      <c r="F5811" s="4" t="str">
        <f aca="false">IF(I5811&gt;J5811,"Y","N")</f>
        <v>N</v>
      </c>
      <c r="G5811" s="3" t="s">
        <v>104</v>
      </c>
      <c r="H5811" s="3" t="s">
        <v>16</v>
      </c>
      <c r="I5811" s="4" t="n">
        <v>6</v>
      </c>
      <c r="J5811" s="4" t="n">
        <f aca="false">LEN(E5811)-LEN(SUBSTITUTE(E5811,",",""))+1</f>
        <v>6</v>
      </c>
      <c r="K5811" s="3" t="str">
        <f aca="false">IFERROR(INDEX('Teacher Lookup'!$B$2:$B$200,MATCH(A5811,'Teacher Lookup'!$A$2:$A$200,0)),"")</f>
        <v>LI Judy</v>
      </c>
    </row>
    <row r="5812" customFormat="false" ht="15" hidden="false" customHeight="false" outlineLevel="0" collapsed="false">
      <c r="A5812" s="3" t="s">
        <v>456</v>
      </c>
      <c r="B5812" s="4" t="s">
        <v>40</v>
      </c>
      <c r="C5812" s="4" t="n">
        <v>1</v>
      </c>
      <c r="D5812" s="4" t="s">
        <v>106</v>
      </c>
      <c r="E5812" s="3" t="s">
        <v>114</v>
      </c>
      <c r="F5812" s="4" t="str">
        <f aca="false">IF(I5812&gt;J5812,"Y","N")</f>
        <v>N</v>
      </c>
      <c r="G5812" s="3" t="s">
        <v>104</v>
      </c>
      <c r="H5812" s="3" t="s">
        <v>16</v>
      </c>
      <c r="I5812" s="4" t="n">
        <v>6</v>
      </c>
      <c r="J5812" s="4" t="n">
        <f aca="false">LEN(E5812)-LEN(SUBSTITUTE(E5812,",",""))+1</f>
        <v>6</v>
      </c>
      <c r="K5812" s="3" t="str">
        <f aca="false">IFERROR(INDEX('Teacher Lookup'!$B$2:$B$200,MATCH(A5812,'Teacher Lookup'!$A$2:$A$200,0)),"")</f>
        <v>LI Judy</v>
      </c>
    </row>
    <row r="5813" customFormat="false" ht="15" hidden="false" customHeight="false" outlineLevel="0" collapsed="false">
      <c r="A5813" s="3" t="s">
        <v>456</v>
      </c>
      <c r="B5813" s="4" t="s">
        <v>40</v>
      </c>
      <c r="C5813" s="4" t="n">
        <v>1</v>
      </c>
      <c r="D5813" s="4" t="s">
        <v>107</v>
      </c>
      <c r="E5813" s="3" t="s">
        <v>114</v>
      </c>
      <c r="F5813" s="4" t="str">
        <f aca="false">IF(I5813&gt;J5813,"Y","N")</f>
        <v>N</v>
      </c>
      <c r="G5813" s="3" t="s">
        <v>104</v>
      </c>
      <c r="H5813" s="3" t="s">
        <v>16</v>
      </c>
      <c r="I5813" s="4" t="n">
        <v>6</v>
      </c>
      <c r="J5813" s="4" t="n">
        <f aca="false">LEN(E5813)-LEN(SUBSTITUTE(E5813,",",""))+1</f>
        <v>6</v>
      </c>
      <c r="K5813" s="3" t="str">
        <f aca="false">IFERROR(INDEX('Teacher Lookup'!$B$2:$B$200,MATCH(A5813,'Teacher Lookup'!$A$2:$A$200,0)),"")</f>
        <v>LI Judy</v>
      </c>
    </row>
    <row r="5814" customFormat="false" ht="15" hidden="false" customHeight="false" outlineLevel="0" collapsed="false">
      <c r="A5814" s="3" t="s">
        <v>456</v>
      </c>
      <c r="B5814" s="4" t="s">
        <v>40</v>
      </c>
      <c r="C5814" s="4" t="n">
        <v>3</v>
      </c>
      <c r="D5814" s="4" t="s">
        <v>24</v>
      </c>
      <c r="E5814" s="3" t="s">
        <v>275</v>
      </c>
      <c r="F5814" s="4" t="str">
        <f aca="false">IF(I5814&gt;J5814,"Y","N")</f>
        <v>Y</v>
      </c>
      <c r="G5814" s="3" t="s">
        <v>272</v>
      </c>
      <c r="H5814" s="3" t="s">
        <v>26</v>
      </c>
      <c r="I5814" s="4" t="n">
        <v>8</v>
      </c>
      <c r="J5814" s="4" t="n">
        <f aca="false">LEN(E5814)-LEN(SUBSTITUTE(E5814,",",""))+1</f>
        <v>7</v>
      </c>
      <c r="K5814" s="3" t="str">
        <f aca="false">IFERROR(INDEX('Teacher Lookup'!$B$2:$B$200,MATCH(A5814,'Teacher Lookup'!$A$2:$A$200,0)),"")</f>
        <v>LI Judy</v>
      </c>
    </row>
    <row r="5815" customFormat="false" ht="15" hidden="false" customHeight="false" outlineLevel="0" collapsed="false">
      <c r="A5815" s="3" t="s">
        <v>456</v>
      </c>
      <c r="B5815" s="4" t="s">
        <v>40</v>
      </c>
      <c r="C5815" s="4" t="n">
        <v>3</v>
      </c>
      <c r="D5815" s="4" t="s">
        <v>27</v>
      </c>
      <c r="E5815" s="3" t="s">
        <v>275</v>
      </c>
      <c r="F5815" s="4" t="str">
        <f aca="false">IF(I5815&gt;J5815,"Y","N")</f>
        <v>Y</v>
      </c>
      <c r="G5815" s="3" t="s">
        <v>272</v>
      </c>
      <c r="H5815" s="3" t="s">
        <v>26</v>
      </c>
      <c r="I5815" s="4" t="n">
        <v>8</v>
      </c>
      <c r="J5815" s="4" t="n">
        <f aca="false">LEN(E5815)-LEN(SUBSTITUTE(E5815,",",""))+1</f>
        <v>7</v>
      </c>
      <c r="K5815" s="3" t="str">
        <f aca="false">IFERROR(INDEX('Teacher Lookup'!$B$2:$B$200,MATCH(A5815,'Teacher Lookup'!$A$2:$A$200,0)),"")</f>
        <v>LI Judy</v>
      </c>
    </row>
    <row r="5816" customFormat="false" ht="15" hidden="false" customHeight="false" outlineLevel="0" collapsed="false">
      <c r="A5816" s="3" t="s">
        <v>456</v>
      </c>
      <c r="B5816" s="4" t="s">
        <v>40</v>
      </c>
      <c r="C5816" s="4" t="n">
        <v>3</v>
      </c>
      <c r="D5816" s="4" t="s">
        <v>28</v>
      </c>
      <c r="E5816" s="3" t="s">
        <v>275</v>
      </c>
      <c r="F5816" s="4" t="str">
        <f aca="false">IF(I5816&gt;J5816,"Y","N")</f>
        <v>Y</v>
      </c>
      <c r="G5816" s="3" t="s">
        <v>272</v>
      </c>
      <c r="H5816" s="3" t="s">
        <v>26</v>
      </c>
      <c r="I5816" s="4" t="n">
        <v>8</v>
      </c>
      <c r="J5816" s="4" t="n">
        <f aca="false">LEN(E5816)-LEN(SUBSTITUTE(E5816,",",""))+1</f>
        <v>7</v>
      </c>
      <c r="K5816" s="3" t="str">
        <f aca="false">IFERROR(INDEX('Teacher Lookup'!$B$2:$B$200,MATCH(A5816,'Teacher Lookup'!$A$2:$A$200,0)),"")</f>
        <v>LI Judy</v>
      </c>
    </row>
    <row r="5817" customFormat="false" ht="15" hidden="false" customHeight="false" outlineLevel="0" collapsed="false">
      <c r="A5817" s="3" t="s">
        <v>456</v>
      </c>
      <c r="B5817" s="4" t="s">
        <v>40</v>
      </c>
      <c r="C5817" s="4" t="n">
        <v>3</v>
      </c>
      <c r="D5817" s="4" t="s">
        <v>29</v>
      </c>
      <c r="E5817" s="3" t="s">
        <v>275</v>
      </c>
      <c r="F5817" s="4" t="str">
        <f aca="false">IF(I5817&gt;J5817,"Y","N")</f>
        <v>Y</v>
      </c>
      <c r="G5817" s="3" t="s">
        <v>272</v>
      </c>
      <c r="H5817" s="3" t="s">
        <v>26</v>
      </c>
      <c r="I5817" s="4" t="n">
        <v>8</v>
      </c>
      <c r="J5817" s="4" t="n">
        <f aca="false">LEN(E5817)-LEN(SUBSTITUTE(E5817,",",""))+1</f>
        <v>7</v>
      </c>
      <c r="K5817" s="3" t="str">
        <f aca="false">IFERROR(INDEX('Teacher Lookup'!$B$2:$B$200,MATCH(A5817,'Teacher Lookup'!$A$2:$A$200,0)),"")</f>
        <v>LI Judy</v>
      </c>
    </row>
    <row r="5818" customFormat="false" ht="15" hidden="false" customHeight="false" outlineLevel="0" collapsed="false">
      <c r="A5818" s="3" t="s">
        <v>456</v>
      </c>
      <c r="B5818" s="4" t="s">
        <v>40</v>
      </c>
      <c r="C5818" s="4" t="n">
        <v>3</v>
      </c>
      <c r="D5818" s="4" t="s">
        <v>30</v>
      </c>
      <c r="E5818" s="3" t="s">
        <v>275</v>
      </c>
      <c r="F5818" s="4" t="str">
        <f aca="false">IF(I5818&gt;J5818,"Y","N")</f>
        <v>Y</v>
      </c>
      <c r="G5818" s="3" t="s">
        <v>272</v>
      </c>
      <c r="H5818" s="3" t="s">
        <v>26</v>
      </c>
      <c r="I5818" s="4" t="n">
        <v>8</v>
      </c>
      <c r="J5818" s="4" t="n">
        <f aca="false">LEN(E5818)-LEN(SUBSTITUTE(E5818,",",""))+1</f>
        <v>7</v>
      </c>
      <c r="K5818" s="3" t="str">
        <f aca="false">IFERROR(INDEX('Teacher Lookup'!$B$2:$B$200,MATCH(A5818,'Teacher Lookup'!$A$2:$A$200,0)),"")</f>
        <v>LI Judy</v>
      </c>
    </row>
    <row r="5819" customFormat="false" ht="15" hidden="false" customHeight="false" outlineLevel="0" collapsed="false">
      <c r="A5819" s="3" t="s">
        <v>456</v>
      </c>
      <c r="B5819" s="4" t="s">
        <v>44</v>
      </c>
      <c r="C5819" s="4" t="n">
        <v>2</v>
      </c>
      <c r="D5819" s="4" t="s">
        <v>102</v>
      </c>
      <c r="E5819" s="3" t="s">
        <v>110</v>
      </c>
      <c r="F5819" s="4" t="str">
        <f aca="false">IF(I5819&gt;J5819,"Y","N")</f>
        <v>N</v>
      </c>
      <c r="G5819" s="3" t="s">
        <v>104</v>
      </c>
      <c r="H5819" s="3" t="s">
        <v>21</v>
      </c>
      <c r="I5819" s="4" t="n">
        <v>6</v>
      </c>
      <c r="J5819" s="4" t="n">
        <f aca="false">LEN(E5819)-LEN(SUBSTITUTE(E5819,",",""))+1</f>
        <v>6</v>
      </c>
      <c r="K5819" s="3" t="str">
        <f aca="false">IFERROR(INDEX('Teacher Lookup'!$B$2:$B$200,MATCH(A5819,'Teacher Lookup'!$A$2:$A$200,0)),"")</f>
        <v>LI Judy</v>
      </c>
    </row>
    <row r="5820" customFormat="false" ht="15" hidden="false" customHeight="false" outlineLevel="0" collapsed="false">
      <c r="A5820" s="3" t="s">
        <v>456</v>
      </c>
      <c r="B5820" s="4" t="s">
        <v>44</v>
      </c>
      <c r="C5820" s="4" t="n">
        <v>2</v>
      </c>
      <c r="D5820" s="4" t="s">
        <v>105</v>
      </c>
      <c r="E5820" s="3" t="s">
        <v>110</v>
      </c>
      <c r="F5820" s="4" t="str">
        <f aca="false">IF(I5820&gt;J5820,"Y","N")</f>
        <v>N</v>
      </c>
      <c r="G5820" s="3" t="s">
        <v>104</v>
      </c>
      <c r="H5820" s="3" t="s">
        <v>21</v>
      </c>
      <c r="I5820" s="4" t="n">
        <v>6</v>
      </c>
      <c r="J5820" s="4" t="n">
        <f aca="false">LEN(E5820)-LEN(SUBSTITUTE(E5820,",",""))+1</f>
        <v>6</v>
      </c>
      <c r="K5820" s="3" t="str">
        <f aca="false">IFERROR(INDEX('Teacher Lookup'!$B$2:$B$200,MATCH(A5820,'Teacher Lookup'!$A$2:$A$200,0)),"")</f>
        <v>LI Judy</v>
      </c>
    </row>
    <row r="5821" customFormat="false" ht="15" hidden="false" customHeight="false" outlineLevel="0" collapsed="false">
      <c r="A5821" s="3" t="s">
        <v>456</v>
      </c>
      <c r="B5821" s="4" t="s">
        <v>44</v>
      </c>
      <c r="C5821" s="4" t="n">
        <v>2</v>
      </c>
      <c r="D5821" s="4" t="s">
        <v>106</v>
      </c>
      <c r="E5821" s="3" t="s">
        <v>110</v>
      </c>
      <c r="F5821" s="4" t="str">
        <f aca="false">IF(I5821&gt;J5821,"Y","N")</f>
        <v>N</v>
      </c>
      <c r="G5821" s="3" t="s">
        <v>104</v>
      </c>
      <c r="H5821" s="3" t="s">
        <v>21</v>
      </c>
      <c r="I5821" s="4" t="n">
        <v>6</v>
      </c>
      <c r="J5821" s="4" t="n">
        <f aca="false">LEN(E5821)-LEN(SUBSTITUTE(E5821,",",""))+1</f>
        <v>6</v>
      </c>
      <c r="K5821" s="3" t="str">
        <f aca="false">IFERROR(INDEX('Teacher Lookup'!$B$2:$B$200,MATCH(A5821,'Teacher Lookup'!$A$2:$A$200,0)),"")</f>
        <v>LI Judy</v>
      </c>
    </row>
    <row r="5822" customFormat="false" ht="15" hidden="false" customHeight="false" outlineLevel="0" collapsed="false">
      <c r="A5822" s="3" t="s">
        <v>456</v>
      </c>
      <c r="B5822" s="4" t="s">
        <v>44</v>
      </c>
      <c r="C5822" s="4" t="n">
        <v>2</v>
      </c>
      <c r="D5822" s="4" t="s">
        <v>107</v>
      </c>
      <c r="E5822" s="3" t="s">
        <v>110</v>
      </c>
      <c r="F5822" s="4" t="str">
        <f aca="false">IF(I5822&gt;J5822,"Y","N")</f>
        <v>N</v>
      </c>
      <c r="G5822" s="3" t="s">
        <v>104</v>
      </c>
      <c r="H5822" s="3" t="s">
        <v>21</v>
      </c>
      <c r="I5822" s="4" t="n">
        <v>6</v>
      </c>
      <c r="J5822" s="4" t="n">
        <f aca="false">LEN(E5822)-LEN(SUBSTITUTE(E5822,",",""))+1</f>
        <v>6</v>
      </c>
      <c r="K5822" s="3" t="str">
        <f aca="false">IFERROR(INDEX('Teacher Lookup'!$B$2:$B$200,MATCH(A5822,'Teacher Lookup'!$A$2:$A$200,0)),"")</f>
        <v>LI Judy</v>
      </c>
    </row>
    <row r="5823" customFormat="false" ht="15" hidden="false" customHeight="false" outlineLevel="0" collapsed="false">
      <c r="A5823" s="3" t="s">
        <v>456</v>
      </c>
      <c r="B5823" s="4" t="s">
        <v>47</v>
      </c>
      <c r="C5823" s="4" t="n">
        <v>1</v>
      </c>
      <c r="D5823" s="4" t="s">
        <v>24</v>
      </c>
      <c r="E5823" s="3" t="s">
        <v>277</v>
      </c>
      <c r="F5823" s="4" t="str">
        <f aca="false">IF(I5823&gt;J5823,"Y","N")</f>
        <v>Y</v>
      </c>
      <c r="G5823" s="3" t="s">
        <v>272</v>
      </c>
      <c r="H5823" s="3" t="s">
        <v>16</v>
      </c>
      <c r="I5823" s="4" t="n">
        <v>8</v>
      </c>
      <c r="J5823" s="4" t="n">
        <f aca="false">LEN(E5823)-LEN(SUBSTITUTE(E5823,",",""))+1</f>
        <v>7</v>
      </c>
      <c r="K5823" s="3" t="str">
        <f aca="false">IFERROR(INDEX('Teacher Lookup'!$B$2:$B$200,MATCH(A5823,'Teacher Lookup'!$A$2:$A$200,0)),"")</f>
        <v>LI Judy</v>
      </c>
    </row>
    <row r="5824" customFormat="false" ht="15" hidden="false" customHeight="false" outlineLevel="0" collapsed="false">
      <c r="A5824" s="3" t="s">
        <v>456</v>
      </c>
      <c r="B5824" s="4" t="s">
        <v>47</v>
      </c>
      <c r="C5824" s="4" t="n">
        <v>1</v>
      </c>
      <c r="D5824" s="4" t="s">
        <v>27</v>
      </c>
      <c r="E5824" s="3" t="s">
        <v>277</v>
      </c>
      <c r="F5824" s="4" t="str">
        <f aca="false">IF(I5824&gt;J5824,"Y","N")</f>
        <v>Y</v>
      </c>
      <c r="G5824" s="3" t="s">
        <v>272</v>
      </c>
      <c r="H5824" s="3" t="s">
        <v>16</v>
      </c>
      <c r="I5824" s="4" t="n">
        <v>8</v>
      </c>
      <c r="J5824" s="4" t="n">
        <f aca="false">LEN(E5824)-LEN(SUBSTITUTE(E5824,",",""))+1</f>
        <v>7</v>
      </c>
      <c r="K5824" s="3" t="str">
        <f aca="false">IFERROR(INDEX('Teacher Lookup'!$B$2:$B$200,MATCH(A5824,'Teacher Lookup'!$A$2:$A$200,0)),"")</f>
        <v>LI Judy</v>
      </c>
    </row>
    <row r="5825" customFormat="false" ht="15" hidden="false" customHeight="false" outlineLevel="0" collapsed="false">
      <c r="A5825" s="3" t="s">
        <v>456</v>
      </c>
      <c r="B5825" s="4" t="s">
        <v>47</v>
      </c>
      <c r="C5825" s="4" t="n">
        <v>1</v>
      </c>
      <c r="D5825" s="4" t="s">
        <v>28</v>
      </c>
      <c r="E5825" s="3" t="s">
        <v>277</v>
      </c>
      <c r="F5825" s="4" t="str">
        <f aca="false">IF(I5825&gt;J5825,"Y","N")</f>
        <v>Y</v>
      </c>
      <c r="G5825" s="3" t="s">
        <v>272</v>
      </c>
      <c r="H5825" s="3" t="s">
        <v>16</v>
      </c>
      <c r="I5825" s="4" t="n">
        <v>8</v>
      </c>
      <c r="J5825" s="4" t="n">
        <f aca="false">LEN(E5825)-LEN(SUBSTITUTE(E5825,",",""))+1</f>
        <v>7</v>
      </c>
      <c r="K5825" s="3" t="str">
        <f aca="false">IFERROR(INDEX('Teacher Lookup'!$B$2:$B$200,MATCH(A5825,'Teacher Lookup'!$A$2:$A$200,0)),"")</f>
        <v>LI Judy</v>
      </c>
    </row>
    <row r="5826" customFormat="false" ht="15" hidden="false" customHeight="false" outlineLevel="0" collapsed="false">
      <c r="A5826" s="3" t="s">
        <v>456</v>
      </c>
      <c r="B5826" s="4" t="s">
        <v>47</v>
      </c>
      <c r="C5826" s="4" t="n">
        <v>1</v>
      </c>
      <c r="D5826" s="4" t="s">
        <v>29</v>
      </c>
      <c r="E5826" s="3" t="s">
        <v>277</v>
      </c>
      <c r="F5826" s="4" t="str">
        <f aca="false">IF(I5826&gt;J5826,"Y","N")</f>
        <v>Y</v>
      </c>
      <c r="G5826" s="3" t="s">
        <v>272</v>
      </c>
      <c r="H5826" s="3" t="s">
        <v>16</v>
      </c>
      <c r="I5826" s="4" t="n">
        <v>8</v>
      </c>
      <c r="J5826" s="4" t="n">
        <f aca="false">LEN(E5826)-LEN(SUBSTITUTE(E5826,",",""))+1</f>
        <v>7</v>
      </c>
      <c r="K5826" s="3" t="str">
        <f aca="false">IFERROR(INDEX('Teacher Lookup'!$B$2:$B$200,MATCH(A5826,'Teacher Lookup'!$A$2:$A$200,0)),"")</f>
        <v>LI Judy</v>
      </c>
    </row>
    <row r="5827" customFormat="false" ht="15" hidden="false" customHeight="false" outlineLevel="0" collapsed="false">
      <c r="A5827" s="3" t="s">
        <v>456</v>
      </c>
      <c r="B5827" s="4" t="s">
        <v>47</v>
      </c>
      <c r="C5827" s="4" t="n">
        <v>1</v>
      </c>
      <c r="D5827" s="4" t="s">
        <v>30</v>
      </c>
      <c r="E5827" s="3" t="s">
        <v>277</v>
      </c>
      <c r="F5827" s="4" t="str">
        <f aca="false">IF(I5827&gt;J5827,"Y","N")</f>
        <v>Y</v>
      </c>
      <c r="G5827" s="3" t="s">
        <v>272</v>
      </c>
      <c r="H5827" s="3" t="s">
        <v>16</v>
      </c>
      <c r="I5827" s="4" t="n">
        <v>8</v>
      </c>
      <c r="J5827" s="4" t="n">
        <f aca="false">LEN(E5827)-LEN(SUBSTITUTE(E5827,",",""))+1</f>
        <v>7</v>
      </c>
      <c r="K5827" s="3" t="str">
        <f aca="false">IFERROR(INDEX('Teacher Lookup'!$B$2:$B$200,MATCH(A5827,'Teacher Lookup'!$A$2:$A$200,0)),"")</f>
        <v>LI Judy</v>
      </c>
    </row>
    <row r="5828" customFormat="false" ht="15" hidden="false" customHeight="false" outlineLevel="0" collapsed="false">
      <c r="A5828" s="3" t="s">
        <v>456</v>
      </c>
      <c r="B5828" s="4" t="s">
        <v>47</v>
      </c>
      <c r="C5828" s="4" t="n">
        <v>5</v>
      </c>
      <c r="D5828" s="4" t="s">
        <v>102</v>
      </c>
      <c r="E5828" s="3" t="s">
        <v>116</v>
      </c>
      <c r="F5828" s="4" t="str">
        <f aca="false">IF(I5828&gt;J5828,"Y","N")</f>
        <v>N</v>
      </c>
      <c r="G5828" s="3" t="s">
        <v>104</v>
      </c>
      <c r="H5828" s="3" t="s">
        <v>37</v>
      </c>
      <c r="I5828" s="4" t="n">
        <v>6</v>
      </c>
      <c r="J5828" s="4" t="n">
        <f aca="false">LEN(E5828)-LEN(SUBSTITUTE(E5828,",",""))+1</f>
        <v>6</v>
      </c>
      <c r="K5828" s="3" t="str">
        <f aca="false">IFERROR(INDEX('Teacher Lookup'!$B$2:$B$200,MATCH(A5828,'Teacher Lookup'!$A$2:$A$200,0)),"")</f>
        <v>LI Judy</v>
      </c>
    </row>
    <row r="5829" customFormat="false" ht="15" hidden="false" customHeight="false" outlineLevel="0" collapsed="false">
      <c r="A5829" s="3" t="s">
        <v>456</v>
      </c>
      <c r="B5829" s="4" t="s">
        <v>47</v>
      </c>
      <c r="C5829" s="4" t="n">
        <v>5</v>
      </c>
      <c r="D5829" s="4" t="s">
        <v>105</v>
      </c>
      <c r="E5829" s="3" t="s">
        <v>116</v>
      </c>
      <c r="F5829" s="4" t="str">
        <f aca="false">IF(I5829&gt;J5829,"Y","N")</f>
        <v>N</v>
      </c>
      <c r="G5829" s="3" t="s">
        <v>104</v>
      </c>
      <c r="H5829" s="3" t="s">
        <v>37</v>
      </c>
      <c r="I5829" s="4" t="n">
        <v>6</v>
      </c>
      <c r="J5829" s="4" t="n">
        <f aca="false">LEN(E5829)-LEN(SUBSTITUTE(E5829,",",""))+1</f>
        <v>6</v>
      </c>
      <c r="K5829" s="3" t="str">
        <f aca="false">IFERROR(INDEX('Teacher Lookup'!$B$2:$B$200,MATCH(A5829,'Teacher Lookup'!$A$2:$A$200,0)),"")</f>
        <v>LI Judy</v>
      </c>
    </row>
    <row r="5830" customFormat="false" ht="15" hidden="false" customHeight="false" outlineLevel="0" collapsed="false">
      <c r="A5830" s="3" t="s">
        <v>456</v>
      </c>
      <c r="B5830" s="4" t="s">
        <v>47</v>
      </c>
      <c r="C5830" s="4" t="n">
        <v>5</v>
      </c>
      <c r="D5830" s="4" t="s">
        <v>106</v>
      </c>
      <c r="E5830" s="3" t="s">
        <v>116</v>
      </c>
      <c r="F5830" s="4" t="str">
        <f aca="false">IF(I5830&gt;J5830,"Y","N")</f>
        <v>N</v>
      </c>
      <c r="G5830" s="3" t="s">
        <v>104</v>
      </c>
      <c r="H5830" s="3" t="s">
        <v>37</v>
      </c>
      <c r="I5830" s="4" t="n">
        <v>6</v>
      </c>
      <c r="J5830" s="4" t="n">
        <f aca="false">LEN(E5830)-LEN(SUBSTITUTE(E5830,",",""))+1</f>
        <v>6</v>
      </c>
      <c r="K5830" s="3" t="str">
        <f aca="false">IFERROR(INDEX('Teacher Lookup'!$B$2:$B$200,MATCH(A5830,'Teacher Lookup'!$A$2:$A$200,0)),"")</f>
        <v>LI Judy</v>
      </c>
    </row>
    <row r="5831" customFormat="false" ht="15" hidden="false" customHeight="false" outlineLevel="0" collapsed="false">
      <c r="A5831" s="3" t="s">
        <v>456</v>
      </c>
      <c r="B5831" s="4" t="s">
        <v>47</v>
      </c>
      <c r="C5831" s="4" t="n">
        <v>5</v>
      </c>
      <c r="D5831" s="4" t="s">
        <v>107</v>
      </c>
      <c r="E5831" s="3" t="s">
        <v>116</v>
      </c>
      <c r="F5831" s="4" t="str">
        <f aca="false">IF(I5831&gt;J5831,"Y","N")</f>
        <v>N</v>
      </c>
      <c r="G5831" s="3" t="s">
        <v>104</v>
      </c>
      <c r="H5831" s="3" t="s">
        <v>37</v>
      </c>
      <c r="I5831" s="4" t="n">
        <v>6</v>
      </c>
      <c r="J5831" s="4" t="n">
        <f aca="false">LEN(E5831)-LEN(SUBSTITUTE(E5831,",",""))+1</f>
        <v>6</v>
      </c>
      <c r="K5831" s="3" t="str">
        <f aca="false">IFERROR(INDEX('Teacher Lookup'!$B$2:$B$200,MATCH(A5831,'Teacher Lookup'!$A$2:$A$200,0)),"")</f>
        <v>LI Judy</v>
      </c>
    </row>
    <row r="5832" customFormat="false" ht="15" hidden="false" customHeight="false" outlineLevel="0" collapsed="false">
      <c r="A5832" s="3" t="s">
        <v>456</v>
      </c>
      <c r="B5832" s="4" t="s">
        <v>50</v>
      </c>
      <c r="C5832" s="4" t="n">
        <v>2</v>
      </c>
      <c r="D5832" s="4" t="s">
        <v>102</v>
      </c>
      <c r="E5832" s="3" t="s">
        <v>118</v>
      </c>
      <c r="F5832" s="4" t="str">
        <f aca="false">IF(I5832&gt;J5832,"Y","N")</f>
        <v>N</v>
      </c>
      <c r="G5832" s="3" t="s">
        <v>104</v>
      </c>
      <c r="H5832" s="3" t="s">
        <v>21</v>
      </c>
      <c r="I5832" s="4" t="n">
        <v>6</v>
      </c>
      <c r="J5832" s="4" t="n">
        <f aca="false">LEN(E5832)-LEN(SUBSTITUTE(E5832,",",""))+1</f>
        <v>6</v>
      </c>
      <c r="K5832" s="3" t="str">
        <f aca="false">IFERROR(INDEX('Teacher Lookup'!$B$2:$B$200,MATCH(A5832,'Teacher Lookup'!$A$2:$A$200,0)),"")</f>
        <v>LI Judy</v>
      </c>
    </row>
    <row r="5833" customFormat="false" ht="15" hidden="false" customHeight="false" outlineLevel="0" collapsed="false">
      <c r="A5833" s="3" t="s">
        <v>456</v>
      </c>
      <c r="B5833" s="4" t="s">
        <v>50</v>
      </c>
      <c r="C5833" s="4" t="n">
        <v>2</v>
      </c>
      <c r="D5833" s="4" t="s">
        <v>105</v>
      </c>
      <c r="E5833" s="3" t="s">
        <v>118</v>
      </c>
      <c r="F5833" s="4" t="str">
        <f aca="false">IF(I5833&gt;J5833,"Y","N")</f>
        <v>N</v>
      </c>
      <c r="G5833" s="3" t="s">
        <v>104</v>
      </c>
      <c r="H5833" s="3" t="s">
        <v>21</v>
      </c>
      <c r="I5833" s="4" t="n">
        <v>6</v>
      </c>
      <c r="J5833" s="4" t="n">
        <f aca="false">LEN(E5833)-LEN(SUBSTITUTE(E5833,",",""))+1</f>
        <v>6</v>
      </c>
      <c r="K5833" s="3" t="str">
        <f aca="false">IFERROR(INDEX('Teacher Lookup'!$B$2:$B$200,MATCH(A5833,'Teacher Lookup'!$A$2:$A$200,0)),"")</f>
        <v>LI Judy</v>
      </c>
    </row>
    <row r="5834" customFormat="false" ht="15" hidden="false" customHeight="false" outlineLevel="0" collapsed="false">
      <c r="A5834" s="3" t="s">
        <v>456</v>
      </c>
      <c r="B5834" s="4" t="s">
        <v>50</v>
      </c>
      <c r="C5834" s="4" t="n">
        <v>2</v>
      </c>
      <c r="D5834" s="4" t="s">
        <v>106</v>
      </c>
      <c r="E5834" s="3" t="s">
        <v>118</v>
      </c>
      <c r="F5834" s="4" t="str">
        <f aca="false">IF(I5834&gt;J5834,"Y","N")</f>
        <v>N</v>
      </c>
      <c r="G5834" s="3" t="s">
        <v>104</v>
      </c>
      <c r="H5834" s="3" t="s">
        <v>21</v>
      </c>
      <c r="I5834" s="4" t="n">
        <v>6</v>
      </c>
      <c r="J5834" s="4" t="n">
        <f aca="false">LEN(E5834)-LEN(SUBSTITUTE(E5834,",",""))+1</f>
        <v>6</v>
      </c>
      <c r="K5834" s="3" t="str">
        <f aca="false">IFERROR(INDEX('Teacher Lookup'!$B$2:$B$200,MATCH(A5834,'Teacher Lookup'!$A$2:$A$200,0)),"")</f>
        <v>LI Judy</v>
      </c>
    </row>
    <row r="5835" customFormat="false" ht="15" hidden="false" customHeight="false" outlineLevel="0" collapsed="false">
      <c r="A5835" s="3" t="s">
        <v>456</v>
      </c>
      <c r="B5835" s="4" t="s">
        <v>50</v>
      </c>
      <c r="C5835" s="4" t="n">
        <v>2</v>
      </c>
      <c r="D5835" s="4" t="s">
        <v>107</v>
      </c>
      <c r="E5835" s="3" t="s">
        <v>118</v>
      </c>
      <c r="F5835" s="4" t="str">
        <f aca="false">IF(I5835&gt;J5835,"Y","N")</f>
        <v>N</v>
      </c>
      <c r="G5835" s="3" t="s">
        <v>104</v>
      </c>
      <c r="H5835" s="3" t="s">
        <v>21</v>
      </c>
      <c r="I5835" s="4" t="n">
        <v>6</v>
      </c>
      <c r="J5835" s="4" t="n">
        <f aca="false">LEN(E5835)-LEN(SUBSTITUTE(E5835,",",""))+1</f>
        <v>6</v>
      </c>
      <c r="K5835" s="3" t="str">
        <f aca="false">IFERROR(INDEX('Teacher Lookup'!$B$2:$B$200,MATCH(A5835,'Teacher Lookup'!$A$2:$A$200,0)),"")</f>
        <v>LI Judy</v>
      </c>
    </row>
    <row r="5836" customFormat="false" ht="15" hidden="false" customHeight="false" outlineLevel="0" collapsed="false">
      <c r="A5836" s="3" t="s">
        <v>456</v>
      </c>
      <c r="B5836" s="4" t="s">
        <v>50</v>
      </c>
      <c r="C5836" s="4" t="n">
        <v>4</v>
      </c>
      <c r="D5836" s="4" t="s">
        <v>24</v>
      </c>
      <c r="E5836" s="3" t="s">
        <v>278</v>
      </c>
      <c r="F5836" s="4" t="str">
        <f aca="false">IF(I5836&gt;J5836,"Y","N")</f>
        <v>Y</v>
      </c>
      <c r="G5836" s="3" t="s">
        <v>272</v>
      </c>
      <c r="H5836" s="3" t="s">
        <v>34</v>
      </c>
      <c r="I5836" s="4" t="n">
        <v>8</v>
      </c>
      <c r="J5836" s="4" t="n">
        <f aca="false">LEN(E5836)-LEN(SUBSTITUTE(E5836,",",""))+1</f>
        <v>7</v>
      </c>
      <c r="K5836" s="3" t="str">
        <f aca="false">IFERROR(INDEX('Teacher Lookup'!$B$2:$B$200,MATCH(A5836,'Teacher Lookup'!$A$2:$A$200,0)),"")</f>
        <v>LI Judy</v>
      </c>
    </row>
    <row r="5837" customFormat="false" ht="15" hidden="false" customHeight="false" outlineLevel="0" collapsed="false">
      <c r="A5837" s="3" t="s">
        <v>456</v>
      </c>
      <c r="B5837" s="4" t="s">
        <v>50</v>
      </c>
      <c r="C5837" s="4" t="n">
        <v>4</v>
      </c>
      <c r="D5837" s="4" t="s">
        <v>27</v>
      </c>
      <c r="E5837" s="3" t="s">
        <v>278</v>
      </c>
      <c r="F5837" s="4" t="str">
        <f aca="false">IF(I5837&gt;J5837,"Y","N")</f>
        <v>Y</v>
      </c>
      <c r="G5837" s="3" t="s">
        <v>272</v>
      </c>
      <c r="H5837" s="3" t="s">
        <v>34</v>
      </c>
      <c r="I5837" s="4" t="n">
        <v>8</v>
      </c>
      <c r="J5837" s="4" t="n">
        <f aca="false">LEN(E5837)-LEN(SUBSTITUTE(E5837,",",""))+1</f>
        <v>7</v>
      </c>
      <c r="K5837" s="3" t="str">
        <f aca="false">IFERROR(INDEX('Teacher Lookup'!$B$2:$B$200,MATCH(A5837,'Teacher Lookup'!$A$2:$A$200,0)),"")</f>
        <v>LI Judy</v>
      </c>
    </row>
    <row r="5838" customFormat="false" ht="15" hidden="false" customHeight="false" outlineLevel="0" collapsed="false">
      <c r="A5838" s="3" t="s">
        <v>456</v>
      </c>
      <c r="B5838" s="4" t="s">
        <v>50</v>
      </c>
      <c r="C5838" s="4" t="n">
        <v>4</v>
      </c>
      <c r="D5838" s="4" t="s">
        <v>28</v>
      </c>
      <c r="E5838" s="3" t="s">
        <v>278</v>
      </c>
      <c r="F5838" s="4" t="str">
        <f aca="false">IF(I5838&gt;J5838,"Y","N")</f>
        <v>Y</v>
      </c>
      <c r="G5838" s="3" t="s">
        <v>272</v>
      </c>
      <c r="H5838" s="3" t="s">
        <v>34</v>
      </c>
      <c r="I5838" s="4" t="n">
        <v>8</v>
      </c>
      <c r="J5838" s="4" t="n">
        <f aca="false">LEN(E5838)-LEN(SUBSTITUTE(E5838,",",""))+1</f>
        <v>7</v>
      </c>
      <c r="K5838" s="3" t="str">
        <f aca="false">IFERROR(INDEX('Teacher Lookup'!$B$2:$B$200,MATCH(A5838,'Teacher Lookup'!$A$2:$A$200,0)),"")</f>
        <v>LI Judy</v>
      </c>
    </row>
    <row r="5839" customFormat="false" ht="15" hidden="false" customHeight="false" outlineLevel="0" collapsed="false">
      <c r="A5839" s="3" t="s">
        <v>456</v>
      </c>
      <c r="B5839" s="4" t="s">
        <v>50</v>
      </c>
      <c r="C5839" s="4" t="n">
        <v>4</v>
      </c>
      <c r="D5839" s="4" t="s">
        <v>29</v>
      </c>
      <c r="E5839" s="3" t="s">
        <v>278</v>
      </c>
      <c r="F5839" s="4" t="str">
        <f aca="false">IF(I5839&gt;J5839,"Y","N")</f>
        <v>Y</v>
      </c>
      <c r="G5839" s="3" t="s">
        <v>272</v>
      </c>
      <c r="H5839" s="3" t="s">
        <v>34</v>
      </c>
      <c r="I5839" s="4" t="n">
        <v>8</v>
      </c>
      <c r="J5839" s="4" t="n">
        <f aca="false">LEN(E5839)-LEN(SUBSTITUTE(E5839,",",""))+1</f>
        <v>7</v>
      </c>
      <c r="K5839" s="3" t="str">
        <f aca="false">IFERROR(INDEX('Teacher Lookup'!$B$2:$B$200,MATCH(A5839,'Teacher Lookup'!$A$2:$A$200,0)),"")</f>
        <v>LI Judy</v>
      </c>
    </row>
    <row r="5840" customFormat="false" ht="15" hidden="false" customHeight="false" outlineLevel="0" collapsed="false">
      <c r="A5840" s="3" t="s">
        <v>456</v>
      </c>
      <c r="B5840" s="4" t="s">
        <v>50</v>
      </c>
      <c r="C5840" s="4" t="n">
        <v>4</v>
      </c>
      <c r="D5840" s="4" t="s">
        <v>30</v>
      </c>
      <c r="E5840" s="3" t="s">
        <v>278</v>
      </c>
      <c r="F5840" s="4" t="str">
        <f aca="false">IF(I5840&gt;J5840,"Y","N")</f>
        <v>Y</v>
      </c>
      <c r="G5840" s="3" t="s">
        <v>272</v>
      </c>
      <c r="H5840" s="3" t="s">
        <v>34</v>
      </c>
      <c r="I5840" s="4" t="n">
        <v>8</v>
      </c>
      <c r="J5840" s="4" t="n">
        <f aca="false">LEN(E5840)-LEN(SUBSTITUTE(E5840,",",""))+1</f>
        <v>7</v>
      </c>
      <c r="K5840" s="3" t="str">
        <f aca="false">IFERROR(INDEX('Teacher Lookup'!$B$2:$B$200,MATCH(A5840,'Teacher Lookup'!$A$2:$A$200,0)),"")</f>
        <v>LI Judy</v>
      </c>
    </row>
    <row r="5841" customFormat="false" ht="15" hidden="false" customHeight="false" outlineLevel="0" collapsed="false">
      <c r="A5841" s="3" t="s">
        <v>456</v>
      </c>
      <c r="B5841" s="4" t="s">
        <v>50</v>
      </c>
      <c r="C5841" s="4" t="n">
        <v>5</v>
      </c>
      <c r="D5841" s="4" t="s">
        <v>24</v>
      </c>
      <c r="E5841" s="3" t="s">
        <v>278</v>
      </c>
      <c r="F5841" s="4" t="str">
        <f aca="false">IF(I5841&gt;J5841,"Y","N")</f>
        <v>Y</v>
      </c>
      <c r="G5841" s="3" t="s">
        <v>272</v>
      </c>
      <c r="H5841" s="3" t="s">
        <v>37</v>
      </c>
      <c r="I5841" s="4" t="n">
        <v>8</v>
      </c>
      <c r="J5841" s="4" t="n">
        <f aca="false">LEN(E5841)-LEN(SUBSTITUTE(E5841,",",""))+1</f>
        <v>7</v>
      </c>
      <c r="K5841" s="3" t="str">
        <f aca="false">IFERROR(INDEX('Teacher Lookup'!$B$2:$B$200,MATCH(A5841,'Teacher Lookup'!$A$2:$A$200,0)),"")</f>
        <v>LI Judy</v>
      </c>
    </row>
    <row r="5842" customFormat="false" ht="15" hidden="false" customHeight="false" outlineLevel="0" collapsed="false">
      <c r="A5842" s="3" t="s">
        <v>456</v>
      </c>
      <c r="B5842" s="4" t="s">
        <v>50</v>
      </c>
      <c r="C5842" s="4" t="n">
        <v>5</v>
      </c>
      <c r="D5842" s="4" t="s">
        <v>27</v>
      </c>
      <c r="E5842" s="3" t="s">
        <v>278</v>
      </c>
      <c r="F5842" s="4" t="str">
        <f aca="false">IF(I5842&gt;J5842,"Y","N")</f>
        <v>Y</v>
      </c>
      <c r="G5842" s="3" t="s">
        <v>272</v>
      </c>
      <c r="H5842" s="3" t="s">
        <v>37</v>
      </c>
      <c r="I5842" s="4" t="n">
        <v>8</v>
      </c>
      <c r="J5842" s="4" t="n">
        <f aca="false">LEN(E5842)-LEN(SUBSTITUTE(E5842,",",""))+1</f>
        <v>7</v>
      </c>
      <c r="K5842" s="3" t="str">
        <f aca="false">IFERROR(INDEX('Teacher Lookup'!$B$2:$B$200,MATCH(A5842,'Teacher Lookup'!$A$2:$A$200,0)),"")</f>
        <v>LI Judy</v>
      </c>
    </row>
    <row r="5843" customFormat="false" ht="15" hidden="false" customHeight="false" outlineLevel="0" collapsed="false">
      <c r="A5843" s="3" t="s">
        <v>456</v>
      </c>
      <c r="B5843" s="4" t="s">
        <v>50</v>
      </c>
      <c r="C5843" s="4" t="n">
        <v>5</v>
      </c>
      <c r="D5843" s="4" t="s">
        <v>28</v>
      </c>
      <c r="E5843" s="3" t="s">
        <v>278</v>
      </c>
      <c r="F5843" s="4" t="str">
        <f aca="false">IF(I5843&gt;J5843,"Y","N")</f>
        <v>Y</v>
      </c>
      <c r="G5843" s="3" t="s">
        <v>272</v>
      </c>
      <c r="H5843" s="3" t="s">
        <v>37</v>
      </c>
      <c r="I5843" s="4" t="n">
        <v>8</v>
      </c>
      <c r="J5843" s="4" t="n">
        <f aca="false">LEN(E5843)-LEN(SUBSTITUTE(E5843,",",""))+1</f>
        <v>7</v>
      </c>
      <c r="K5843" s="3" t="str">
        <f aca="false">IFERROR(INDEX('Teacher Lookup'!$B$2:$B$200,MATCH(A5843,'Teacher Lookup'!$A$2:$A$200,0)),"")</f>
        <v>LI Judy</v>
      </c>
    </row>
    <row r="5844" customFormat="false" ht="15" hidden="false" customHeight="false" outlineLevel="0" collapsed="false">
      <c r="A5844" s="3" t="s">
        <v>456</v>
      </c>
      <c r="B5844" s="4" t="s">
        <v>50</v>
      </c>
      <c r="C5844" s="4" t="n">
        <v>5</v>
      </c>
      <c r="D5844" s="4" t="s">
        <v>29</v>
      </c>
      <c r="E5844" s="3" t="s">
        <v>278</v>
      </c>
      <c r="F5844" s="4" t="str">
        <f aca="false">IF(I5844&gt;J5844,"Y","N")</f>
        <v>Y</v>
      </c>
      <c r="G5844" s="3" t="s">
        <v>272</v>
      </c>
      <c r="H5844" s="3" t="s">
        <v>37</v>
      </c>
      <c r="I5844" s="4" t="n">
        <v>8</v>
      </c>
      <c r="J5844" s="4" t="n">
        <f aca="false">LEN(E5844)-LEN(SUBSTITUTE(E5844,",",""))+1</f>
        <v>7</v>
      </c>
      <c r="K5844" s="3" t="str">
        <f aca="false">IFERROR(INDEX('Teacher Lookup'!$B$2:$B$200,MATCH(A5844,'Teacher Lookup'!$A$2:$A$200,0)),"")</f>
        <v>LI Judy</v>
      </c>
    </row>
    <row r="5845" customFormat="false" ht="15" hidden="false" customHeight="false" outlineLevel="0" collapsed="false">
      <c r="A5845" s="3" t="s">
        <v>456</v>
      </c>
      <c r="B5845" s="4" t="s">
        <v>50</v>
      </c>
      <c r="C5845" s="4" t="n">
        <v>5</v>
      </c>
      <c r="D5845" s="4" t="s">
        <v>30</v>
      </c>
      <c r="E5845" s="3" t="s">
        <v>278</v>
      </c>
      <c r="F5845" s="4" t="str">
        <f aca="false">IF(I5845&gt;J5845,"Y","N")</f>
        <v>Y</v>
      </c>
      <c r="G5845" s="3" t="s">
        <v>272</v>
      </c>
      <c r="H5845" s="3" t="s">
        <v>37</v>
      </c>
      <c r="I5845" s="4" t="n">
        <v>8</v>
      </c>
      <c r="J5845" s="4" t="n">
        <f aca="false">LEN(E5845)-LEN(SUBSTITUTE(E5845,",",""))+1</f>
        <v>7</v>
      </c>
      <c r="K5845" s="3" t="str">
        <f aca="false">IFERROR(INDEX('Teacher Lookup'!$B$2:$B$200,MATCH(A5845,'Teacher Lookup'!$A$2:$A$200,0)),"")</f>
        <v>LI Judy</v>
      </c>
    </row>
    <row r="5846" customFormat="false" ht="15" hidden="false" customHeight="false" outlineLevel="0" collapsed="false">
      <c r="A5846" s="3" t="s">
        <v>456</v>
      </c>
      <c r="B5846" s="4" t="s">
        <v>60</v>
      </c>
      <c r="C5846" s="4" t="n">
        <v>2</v>
      </c>
      <c r="D5846" s="4" t="s">
        <v>24</v>
      </c>
      <c r="E5846" s="3" t="s">
        <v>280</v>
      </c>
      <c r="F5846" s="4" t="str">
        <f aca="false">IF(I5846&gt;J5846,"Y","N")</f>
        <v>Y</v>
      </c>
      <c r="G5846" s="3" t="s">
        <v>272</v>
      </c>
      <c r="H5846" s="3" t="s">
        <v>21</v>
      </c>
      <c r="I5846" s="4" t="n">
        <v>8</v>
      </c>
      <c r="J5846" s="4" t="n">
        <f aca="false">LEN(E5846)-LEN(SUBSTITUTE(E5846,",",""))+1</f>
        <v>7</v>
      </c>
      <c r="K5846" s="3" t="str">
        <f aca="false">IFERROR(INDEX('Teacher Lookup'!$B$2:$B$200,MATCH(A5846,'Teacher Lookup'!$A$2:$A$200,0)),"")</f>
        <v>LI Judy</v>
      </c>
    </row>
    <row r="5847" customFormat="false" ht="15" hidden="false" customHeight="false" outlineLevel="0" collapsed="false">
      <c r="A5847" s="3" t="s">
        <v>456</v>
      </c>
      <c r="B5847" s="4" t="s">
        <v>60</v>
      </c>
      <c r="C5847" s="4" t="n">
        <v>2</v>
      </c>
      <c r="D5847" s="4" t="s">
        <v>27</v>
      </c>
      <c r="E5847" s="3" t="s">
        <v>280</v>
      </c>
      <c r="F5847" s="4" t="str">
        <f aca="false">IF(I5847&gt;J5847,"Y","N")</f>
        <v>Y</v>
      </c>
      <c r="G5847" s="3" t="s">
        <v>272</v>
      </c>
      <c r="H5847" s="3" t="s">
        <v>21</v>
      </c>
      <c r="I5847" s="4" t="n">
        <v>8</v>
      </c>
      <c r="J5847" s="4" t="n">
        <f aca="false">LEN(E5847)-LEN(SUBSTITUTE(E5847,",",""))+1</f>
        <v>7</v>
      </c>
      <c r="K5847" s="3" t="str">
        <f aca="false">IFERROR(INDEX('Teacher Lookup'!$B$2:$B$200,MATCH(A5847,'Teacher Lookup'!$A$2:$A$200,0)),"")</f>
        <v>LI Judy</v>
      </c>
    </row>
    <row r="5848" customFormat="false" ht="15" hidden="false" customHeight="false" outlineLevel="0" collapsed="false">
      <c r="A5848" s="3" t="s">
        <v>456</v>
      </c>
      <c r="B5848" s="4" t="s">
        <v>60</v>
      </c>
      <c r="C5848" s="4" t="n">
        <v>2</v>
      </c>
      <c r="D5848" s="4" t="s">
        <v>28</v>
      </c>
      <c r="E5848" s="3" t="s">
        <v>280</v>
      </c>
      <c r="F5848" s="4" t="str">
        <f aca="false">IF(I5848&gt;J5848,"Y","N")</f>
        <v>Y</v>
      </c>
      <c r="G5848" s="3" t="s">
        <v>272</v>
      </c>
      <c r="H5848" s="3" t="s">
        <v>21</v>
      </c>
      <c r="I5848" s="4" t="n">
        <v>8</v>
      </c>
      <c r="J5848" s="4" t="n">
        <f aca="false">LEN(E5848)-LEN(SUBSTITUTE(E5848,",",""))+1</f>
        <v>7</v>
      </c>
      <c r="K5848" s="3" t="str">
        <f aca="false">IFERROR(INDEX('Teacher Lookup'!$B$2:$B$200,MATCH(A5848,'Teacher Lookup'!$A$2:$A$200,0)),"")</f>
        <v>LI Judy</v>
      </c>
    </row>
    <row r="5849" customFormat="false" ht="15" hidden="false" customHeight="false" outlineLevel="0" collapsed="false">
      <c r="A5849" s="3" t="s">
        <v>456</v>
      </c>
      <c r="B5849" s="4" t="s">
        <v>60</v>
      </c>
      <c r="C5849" s="4" t="n">
        <v>2</v>
      </c>
      <c r="D5849" s="4" t="s">
        <v>29</v>
      </c>
      <c r="E5849" s="3" t="s">
        <v>280</v>
      </c>
      <c r="F5849" s="4" t="str">
        <f aca="false">IF(I5849&gt;J5849,"Y","N")</f>
        <v>Y</v>
      </c>
      <c r="G5849" s="3" t="s">
        <v>272</v>
      </c>
      <c r="H5849" s="3" t="s">
        <v>21</v>
      </c>
      <c r="I5849" s="4" t="n">
        <v>8</v>
      </c>
      <c r="J5849" s="4" t="n">
        <f aca="false">LEN(E5849)-LEN(SUBSTITUTE(E5849,",",""))+1</f>
        <v>7</v>
      </c>
      <c r="K5849" s="3" t="str">
        <f aca="false">IFERROR(INDEX('Teacher Lookup'!$B$2:$B$200,MATCH(A5849,'Teacher Lookup'!$A$2:$A$200,0)),"")</f>
        <v>LI Judy</v>
      </c>
    </row>
    <row r="5850" customFormat="false" ht="15" hidden="false" customHeight="false" outlineLevel="0" collapsed="false">
      <c r="A5850" s="3" t="s">
        <v>456</v>
      </c>
      <c r="B5850" s="4" t="s">
        <v>60</v>
      </c>
      <c r="C5850" s="4" t="n">
        <v>2</v>
      </c>
      <c r="D5850" s="4" t="s">
        <v>30</v>
      </c>
      <c r="E5850" s="3" t="s">
        <v>280</v>
      </c>
      <c r="F5850" s="4" t="str">
        <f aca="false">IF(I5850&gt;J5850,"Y","N")</f>
        <v>Y</v>
      </c>
      <c r="G5850" s="3" t="s">
        <v>272</v>
      </c>
      <c r="H5850" s="3" t="s">
        <v>21</v>
      </c>
      <c r="I5850" s="4" t="n">
        <v>8</v>
      </c>
      <c r="J5850" s="4" t="n">
        <f aca="false">LEN(E5850)-LEN(SUBSTITUTE(E5850,",",""))+1</f>
        <v>7</v>
      </c>
      <c r="K5850" s="3" t="str">
        <f aca="false">IFERROR(INDEX('Teacher Lookup'!$B$2:$B$200,MATCH(A5850,'Teacher Lookup'!$A$2:$A$200,0)),"")</f>
        <v>LI Judy</v>
      </c>
    </row>
    <row r="5851" customFormat="false" ht="15" hidden="false" customHeight="false" outlineLevel="0" collapsed="false">
      <c r="A5851" s="3" t="s">
        <v>456</v>
      </c>
      <c r="B5851" s="4" t="s">
        <v>63</v>
      </c>
      <c r="C5851" s="4" t="n">
        <v>1</v>
      </c>
      <c r="D5851" s="4" t="s">
        <v>102</v>
      </c>
      <c r="E5851" s="3" t="s">
        <v>120</v>
      </c>
      <c r="F5851" s="4" t="str">
        <f aca="false">IF(I5851&gt;J5851,"Y","N")</f>
        <v>N</v>
      </c>
      <c r="G5851" s="3" t="s">
        <v>104</v>
      </c>
      <c r="H5851" s="3" t="s">
        <v>16</v>
      </c>
      <c r="I5851" s="4" t="n">
        <v>6</v>
      </c>
      <c r="J5851" s="4" t="n">
        <f aca="false">LEN(E5851)-LEN(SUBSTITUTE(E5851,",",""))+1</f>
        <v>6</v>
      </c>
      <c r="K5851" s="3" t="str">
        <f aca="false">IFERROR(INDEX('Teacher Lookup'!$B$2:$B$200,MATCH(A5851,'Teacher Lookup'!$A$2:$A$200,0)),"")</f>
        <v>LI Judy</v>
      </c>
    </row>
    <row r="5852" customFormat="false" ht="15" hidden="false" customHeight="false" outlineLevel="0" collapsed="false">
      <c r="A5852" s="3" t="s">
        <v>456</v>
      </c>
      <c r="B5852" s="4" t="s">
        <v>63</v>
      </c>
      <c r="C5852" s="4" t="n">
        <v>1</v>
      </c>
      <c r="D5852" s="4" t="s">
        <v>105</v>
      </c>
      <c r="E5852" s="3" t="s">
        <v>120</v>
      </c>
      <c r="F5852" s="4" t="str">
        <f aca="false">IF(I5852&gt;J5852,"Y","N")</f>
        <v>N</v>
      </c>
      <c r="G5852" s="3" t="s">
        <v>104</v>
      </c>
      <c r="H5852" s="3" t="s">
        <v>16</v>
      </c>
      <c r="I5852" s="4" t="n">
        <v>6</v>
      </c>
      <c r="J5852" s="4" t="n">
        <f aca="false">LEN(E5852)-LEN(SUBSTITUTE(E5852,",",""))+1</f>
        <v>6</v>
      </c>
      <c r="K5852" s="3" t="str">
        <f aca="false">IFERROR(INDEX('Teacher Lookup'!$B$2:$B$200,MATCH(A5852,'Teacher Lookup'!$A$2:$A$200,0)),"")</f>
        <v>LI Judy</v>
      </c>
    </row>
    <row r="5853" customFormat="false" ht="15" hidden="false" customHeight="false" outlineLevel="0" collapsed="false">
      <c r="A5853" s="3" t="s">
        <v>456</v>
      </c>
      <c r="B5853" s="4" t="s">
        <v>63</v>
      </c>
      <c r="C5853" s="4" t="n">
        <v>1</v>
      </c>
      <c r="D5853" s="4" t="s">
        <v>106</v>
      </c>
      <c r="E5853" s="3" t="s">
        <v>120</v>
      </c>
      <c r="F5853" s="4" t="str">
        <f aca="false">IF(I5853&gt;J5853,"Y","N")</f>
        <v>N</v>
      </c>
      <c r="G5853" s="3" t="s">
        <v>104</v>
      </c>
      <c r="H5853" s="3" t="s">
        <v>16</v>
      </c>
      <c r="I5853" s="4" t="n">
        <v>6</v>
      </c>
      <c r="J5853" s="4" t="n">
        <f aca="false">LEN(E5853)-LEN(SUBSTITUTE(E5853,",",""))+1</f>
        <v>6</v>
      </c>
      <c r="K5853" s="3" t="str">
        <f aca="false">IFERROR(INDEX('Teacher Lookup'!$B$2:$B$200,MATCH(A5853,'Teacher Lookup'!$A$2:$A$200,0)),"")</f>
        <v>LI Judy</v>
      </c>
    </row>
    <row r="5854" customFormat="false" ht="15" hidden="false" customHeight="false" outlineLevel="0" collapsed="false">
      <c r="A5854" s="3" t="s">
        <v>456</v>
      </c>
      <c r="B5854" s="4" t="s">
        <v>63</v>
      </c>
      <c r="C5854" s="4" t="n">
        <v>1</v>
      </c>
      <c r="D5854" s="4" t="s">
        <v>107</v>
      </c>
      <c r="E5854" s="3" t="s">
        <v>120</v>
      </c>
      <c r="F5854" s="4" t="str">
        <f aca="false">IF(I5854&gt;J5854,"Y","N")</f>
        <v>N</v>
      </c>
      <c r="G5854" s="3" t="s">
        <v>104</v>
      </c>
      <c r="H5854" s="3" t="s">
        <v>16</v>
      </c>
      <c r="I5854" s="4" t="n">
        <v>6</v>
      </c>
      <c r="J5854" s="4" t="n">
        <f aca="false">LEN(E5854)-LEN(SUBSTITUTE(E5854,",",""))+1</f>
        <v>6</v>
      </c>
      <c r="K5854" s="3" t="str">
        <f aca="false">IFERROR(INDEX('Teacher Lookup'!$B$2:$B$200,MATCH(A5854,'Teacher Lookup'!$A$2:$A$200,0)),"")</f>
        <v>LI Judy</v>
      </c>
    </row>
    <row r="5855" customFormat="false" ht="15" hidden="false" customHeight="false" outlineLevel="0" collapsed="false">
      <c r="A5855" s="3" t="s">
        <v>456</v>
      </c>
      <c r="B5855" s="4" t="s">
        <v>63</v>
      </c>
      <c r="C5855" s="4" t="n">
        <v>2</v>
      </c>
      <c r="D5855" s="4" t="s">
        <v>24</v>
      </c>
      <c r="E5855" s="3" t="s">
        <v>271</v>
      </c>
      <c r="F5855" s="4" t="str">
        <f aca="false">IF(I5855&gt;J5855,"Y","N")</f>
        <v>Y</v>
      </c>
      <c r="G5855" s="3" t="s">
        <v>272</v>
      </c>
      <c r="H5855" s="3" t="s">
        <v>21</v>
      </c>
      <c r="I5855" s="4" t="n">
        <v>8</v>
      </c>
      <c r="J5855" s="4" t="n">
        <f aca="false">LEN(E5855)-LEN(SUBSTITUTE(E5855,",",""))+1</f>
        <v>7</v>
      </c>
      <c r="K5855" s="3" t="str">
        <f aca="false">IFERROR(INDEX('Teacher Lookup'!$B$2:$B$200,MATCH(A5855,'Teacher Lookup'!$A$2:$A$200,0)),"")</f>
        <v>LI Judy</v>
      </c>
    </row>
    <row r="5856" customFormat="false" ht="15" hidden="false" customHeight="false" outlineLevel="0" collapsed="false">
      <c r="A5856" s="3" t="s">
        <v>456</v>
      </c>
      <c r="B5856" s="4" t="s">
        <v>63</v>
      </c>
      <c r="C5856" s="4" t="n">
        <v>2</v>
      </c>
      <c r="D5856" s="4" t="s">
        <v>27</v>
      </c>
      <c r="E5856" s="3" t="s">
        <v>271</v>
      </c>
      <c r="F5856" s="4" t="str">
        <f aca="false">IF(I5856&gt;J5856,"Y","N")</f>
        <v>Y</v>
      </c>
      <c r="G5856" s="3" t="s">
        <v>272</v>
      </c>
      <c r="H5856" s="3" t="s">
        <v>21</v>
      </c>
      <c r="I5856" s="4" t="n">
        <v>8</v>
      </c>
      <c r="J5856" s="4" t="n">
        <f aca="false">LEN(E5856)-LEN(SUBSTITUTE(E5856,",",""))+1</f>
        <v>7</v>
      </c>
      <c r="K5856" s="3" t="str">
        <f aca="false">IFERROR(INDEX('Teacher Lookup'!$B$2:$B$200,MATCH(A5856,'Teacher Lookup'!$A$2:$A$200,0)),"")</f>
        <v>LI Judy</v>
      </c>
    </row>
    <row r="5857" customFormat="false" ht="15" hidden="false" customHeight="false" outlineLevel="0" collapsed="false">
      <c r="A5857" s="3" t="s">
        <v>456</v>
      </c>
      <c r="B5857" s="4" t="s">
        <v>63</v>
      </c>
      <c r="C5857" s="4" t="n">
        <v>2</v>
      </c>
      <c r="D5857" s="4" t="s">
        <v>28</v>
      </c>
      <c r="E5857" s="3" t="s">
        <v>271</v>
      </c>
      <c r="F5857" s="4" t="str">
        <f aca="false">IF(I5857&gt;J5857,"Y","N")</f>
        <v>Y</v>
      </c>
      <c r="G5857" s="3" t="s">
        <v>272</v>
      </c>
      <c r="H5857" s="3" t="s">
        <v>21</v>
      </c>
      <c r="I5857" s="4" t="n">
        <v>8</v>
      </c>
      <c r="J5857" s="4" t="n">
        <f aca="false">LEN(E5857)-LEN(SUBSTITUTE(E5857,",",""))+1</f>
        <v>7</v>
      </c>
      <c r="K5857" s="3" t="str">
        <f aca="false">IFERROR(INDEX('Teacher Lookup'!$B$2:$B$200,MATCH(A5857,'Teacher Lookup'!$A$2:$A$200,0)),"")</f>
        <v>LI Judy</v>
      </c>
    </row>
    <row r="5858" customFormat="false" ht="15" hidden="false" customHeight="false" outlineLevel="0" collapsed="false">
      <c r="A5858" s="3" t="s">
        <v>456</v>
      </c>
      <c r="B5858" s="4" t="s">
        <v>63</v>
      </c>
      <c r="C5858" s="4" t="n">
        <v>2</v>
      </c>
      <c r="D5858" s="4" t="s">
        <v>29</v>
      </c>
      <c r="E5858" s="3" t="s">
        <v>271</v>
      </c>
      <c r="F5858" s="4" t="str">
        <f aca="false">IF(I5858&gt;J5858,"Y","N")</f>
        <v>Y</v>
      </c>
      <c r="G5858" s="3" t="s">
        <v>272</v>
      </c>
      <c r="H5858" s="3" t="s">
        <v>21</v>
      </c>
      <c r="I5858" s="4" t="n">
        <v>8</v>
      </c>
      <c r="J5858" s="4" t="n">
        <f aca="false">LEN(E5858)-LEN(SUBSTITUTE(E5858,",",""))+1</f>
        <v>7</v>
      </c>
      <c r="K5858" s="3" t="str">
        <f aca="false">IFERROR(INDEX('Teacher Lookup'!$B$2:$B$200,MATCH(A5858,'Teacher Lookup'!$A$2:$A$200,0)),"")</f>
        <v>LI Judy</v>
      </c>
    </row>
    <row r="5859" customFormat="false" ht="15" hidden="false" customHeight="false" outlineLevel="0" collapsed="false">
      <c r="A5859" s="3" t="s">
        <v>456</v>
      </c>
      <c r="B5859" s="4" t="s">
        <v>63</v>
      </c>
      <c r="C5859" s="4" t="n">
        <v>2</v>
      </c>
      <c r="D5859" s="4" t="s">
        <v>30</v>
      </c>
      <c r="E5859" s="3" t="s">
        <v>271</v>
      </c>
      <c r="F5859" s="4" t="str">
        <f aca="false">IF(I5859&gt;J5859,"Y","N")</f>
        <v>Y</v>
      </c>
      <c r="G5859" s="3" t="s">
        <v>272</v>
      </c>
      <c r="H5859" s="3" t="s">
        <v>21</v>
      </c>
      <c r="I5859" s="4" t="n">
        <v>8</v>
      </c>
      <c r="J5859" s="4" t="n">
        <f aca="false">LEN(E5859)-LEN(SUBSTITUTE(E5859,",",""))+1</f>
        <v>7</v>
      </c>
      <c r="K5859" s="3" t="str">
        <f aca="false">IFERROR(INDEX('Teacher Lookup'!$B$2:$B$200,MATCH(A5859,'Teacher Lookup'!$A$2:$A$200,0)),"")</f>
        <v>LI Judy</v>
      </c>
    </row>
    <row r="5860" customFormat="false" ht="15" hidden="false" customHeight="false" outlineLevel="0" collapsed="false">
      <c r="A5860" s="3" t="s">
        <v>456</v>
      </c>
      <c r="B5860" s="4" t="s">
        <v>65</v>
      </c>
      <c r="C5860" s="4" t="n">
        <v>4</v>
      </c>
      <c r="D5860" s="4" t="s">
        <v>24</v>
      </c>
      <c r="E5860" s="3" t="s">
        <v>282</v>
      </c>
      <c r="F5860" s="4" t="str">
        <f aca="false">IF(I5860&gt;J5860,"Y","N")</f>
        <v>Y</v>
      </c>
      <c r="G5860" s="3" t="s">
        <v>272</v>
      </c>
      <c r="H5860" s="3" t="s">
        <v>34</v>
      </c>
      <c r="I5860" s="4" t="n">
        <v>8</v>
      </c>
      <c r="J5860" s="4" t="n">
        <f aca="false">LEN(E5860)-LEN(SUBSTITUTE(E5860,",",""))+1</f>
        <v>7</v>
      </c>
      <c r="K5860" s="3" t="str">
        <f aca="false">IFERROR(INDEX('Teacher Lookup'!$B$2:$B$200,MATCH(A5860,'Teacher Lookup'!$A$2:$A$200,0)),"")</f>
        <v>LI Judy</v>
      </c>
    </row>
    <row r="5861" customFormat="false" ht="15" hidden="false" customHeight="false" outlineLevel="0" collapsed="false">
      <c r="A5861" s="3" t="s">
        <v>456</v>
      </c>
      <c r="B5861" s="4" t="s">
        <v>65</v>
      </c>
      <c r="C5861" s="4" t="n">
        <v>4</v>
      </c>
      <c r="D5861" s="4" t="s">
        <v>27</v>
      </c>
      <c r="E5861" s="3" t="s">
        <v>282</v>
      </c>
      <c r="F5861" s="4" t="str">
        <f aca="false">IF(I5861&gt;J5861,"Y","N")</f>
        <v>Y</v>
      </c>
      <c r="G5861" s="3" t="s">
        <v>272</v>
      </c>
      <c r="H5861" s="3" t="s">
        <v>34</v>
      </c>
      <c r="I5861" s="4" t="n">
        <v>8</v>
      </c>
      <c r="J5861" s="4" t="n">
        <f aca="false">LEN(E5861)-LEN(SUBSTITUTE(E5861,",",""))+1</f>
        <v>7</v>
      </c>
      <c r="K5861" s="3" t="str">
        <f aca="false">IFERROR(INDEX('Teacher Lookup'!$B$2:$B$200,MATCH(A5861,'Teacher Lookup'!$A$2:$A$200,0)),"")</f>
        <v>LI Judy</v>
      </c>
    </row>
    <row r="5862" customFormat="false" ht="15" hidden="false" customHeight="false" outlineLevel="0" collapsed="false">
      <c r="A5862" s="3" t="s">
        <v>456</v>
      </c>
      <c r="B5862" s="4" t="s">
        <v>65</v>
      </c>
      <c r="C5862" s="4" t="n">
        <v>4</v>
      </c>
      <c r="D5862" s="4" t="s">
        <v>28</v>
      </c>
      <c r="E5862" s="3" t="s">
        <v>282</v>
      </c>
      <c r="F5862" s="4" t="str">
        <f aca="false">IF(I5862&gt;J5862,"Y","N")</f>
        <v>Y</v>
      </c>
      <c r="G5862" s="3" t="s">
        <v>272</v>
      </c>
      <c r="H5862" s="3" t="s">
        <v>34</v>
      </c>
      <c r="I5862" s="4" t="n">
        <v>8</v>
      </c>
      <c r="J5862" s="4" t="n">
        <f aca="false">LEN(E5862)-LEN(SUBSTITUTE(E5862,",",""))+1</f>
        <v>7</v>
      </c>
      <c r="K5862" s="3" t="str">
        <f aca="false">IFERROR(INDEX('Teacher Lookup'!$B$2:$B$200,MATCH(A5862,'Teacher Lookup'!$A$2:$A$200,0)),"")</f>
        <v>LI Judy</v>
      </c>
    </row>
    <row r="5863" customFormat="false" ht="15" hidden="false" customHeight="false" outlineLevel="0" collapsed="false">
      <c r="A5863" s="3" t="s">
        <v>456</v>
      </c>
      <c r="B5863" s="4" t="s">
        <v>65</v>
      </c>
      <c r="C5863" s="4" t="n">
        <v>4</v>
      </c>
      <c r="D5863" s="4" t="s">
        <v>29</v>
      </c>
      <c r="E5863" s="3" t="s">
        <v>282</v>
      </c>
      <c r="F5863" s="4" t="str">
        <f aca="false">IF(I5863&gt;J5863,"Y","N")</f>
        <v>Y</v>
      </c>
      <c r="G5863" s="3" t="s">
        <v>272</v>
      </c>
      <c r="H5863" s="3" t="s">
        <v>34</v>
      </c>
      <c r="I5863" s="4" t="n">
        <v>8</v>
      </c>
      <c r="J5863" s="4" t="n">
        <f aca="false">LEN(E5863)-LEN(SUBSTITUTE(E5863,",",""))+1</f>
        <v>7</v>
      </c>
      <c r="K5863" s="3" t="str">
        <f aca="false">IFERROR(INDEX('Teacher Lookup'!$B$2:$B$200,MATCH(A5863,'Teacher Lookup'!$A$2:$A$200,0)),"")</f>
        <v>LI Judy</v>
      </c>
    </row>
    <row r="5864" customFormat="false" ht="15" hidden="false" customHeight="false" outlineLevel="0" collapsed="false">
      <c r="A5864" s="3" t="s">
        <v>456</v>
      </c>
      <c r="B5864" s="4" t="s">
        <v>65</v>
      </c>
      <c r="C5864" s="4" t="n">
        <v>4</v>
      </c>
      <c r="D5864" s="4" t="s">
        <v>30</v>
      </c>
      <c r="E5864" s="3" t="s">
        <v>282</v>
      </c>
      <c r="F5864" s="4" t="str">
        <f aca="false">IF(I5864&gt;J5864,"Y","N")</f>
        <v>Y</v>
      </c>
      <c r="G5864" s="3" t="s">
        <v>272</v>
      </c>
      <c r="H5864" s="3" t="s">
        <v>34</v>
      </c>
      <c r="I5864" s="4" t="n">
        <v>8</v>
      </c>
      <c r="J5864" s="4" t="n">
        <f aca="false">LEN(E5864)-LEN(SUBSTITUTE(E5864,",",""))+1</f>
        <v>7</v>
      </c>
      <c r="K5864" s="3" t="str">
        <f aca="false">IFERROR(INDEX('Teacher Lookup'!$B$2:$B$200,MATCH(A5864,'Teacher Lookup'!$A$2:$A$200,0)),"")</f>
        <v>LI Judy</v>
      </c>
    </row>
    <row r="5865" customFormat="false" ht="15" hidden="false" customHeight="false" outlineLevel="0" collapsed="false">
      <c r="A5865" s="3" t="s">
        <v>456</v>
      </c>
      <c r="B5865" s="4" t="s">
        <v>66</v>
      </c>
      <c r="C5865" s="4" t="n">
        <v>2</v>
      </c>
      <c r="D5865" s="4" t="s">
        <v>102</v>
      </c>
      <c r="E5865" s="3" t="s">
        <v>114</v>
      </c>
      <c r="F5865" s="4" t="str">
        <f aca="false">IF(I5865&gt;J5865,"Y","N")</f>
        <v>N</v>
      </c>
      <c r="G5865" s="3" t="s">
        <v>104</v>
      </c>
      <c r="H5865" s="3" t="s">
        <v>21</v>
      </c>
      <c r="I5865" s="4" t="n">
        <v>6</v>
      </c>
      <c r="J5865" s="4" t="n">
        <f aca="false">LEN(E5865)-LEN(SUBSTITUTE(E5865,",",""))+1</f>
        <v>6</v>
      </c>
      <c r="K5865" s="3" t="str">
        <f aca="false">IFERROR(INDEX('Teacher Lookup'!$B$2:$B$200,MATCH(A5865,'Teacher Lookup'!$A$2:$A$200,0)),"")</f>
        <v>LI Judy</v>
      </c>
    </row>
    <row r="5866" customFormat="false" ht="15" hidden="false" customHeight="false" outlineLevel="0" collapsed="false">
      <c r="A5866" s="3" t="s">
        <v>456</v>
      </c>
      <c r="B5866" s="4" t="s">
        <v>66</v>
      </c>
      <c r="C5866" s="4" t="n">
        <v>2</v>
      </c>
      <c r="D5866" s="4" t="s">
        <v>105</v>
      </c>
      <c r="E5866" s="3" t="s">
        <v>114</v>
      </c>
      <c r="F5866" s="4" t="str">
        <f aca="false">IF(I5866&gt;J5866,"Y","N")</f>
        <v>N</v>
      </c>
      <c r="G5866" s="3" t="s">
        <v>104</v>
      </c>
      <c r="H5866" s="3" t="s">
        <v>21</v>
      </c>
      <c r="I5866" s="4" t="n">
        <v>6</v>
      </c>
      <c r="J5866" s="4" t="n">
        <f aca="false">LEN(E5866)-LEN(SUBSTITUTE(E5866,",",""))+1</f>
        <v>6</v>
      </c>
      <c r="K5866" s="3" t="str">
        <f aca="false">IFERROR(INDEX('Teacher Lookup'!$B$2:$B$200,MATCH(A5866,'Teacher Lookup'!$A$2:$A$200,0)),"")</f>
        <v>LI Judy</v>
      </c>
    </row>
    <row r="5867" customFormat="false" ht="15" hidden="false" customHeight="false" outlineLevel="0" collapsed="false">
      <c r="A5867" s="3" t="s">
        <v>456</v>
      </c>
      <c r="B5867" s="4" t="s">
        <v>66</v>
      </c>
      <c r="C5867" s="4" t="n">
        <v>2</v>
      </c>
      <c r="D5867" s="4" t="s">
        <v>106</v>
      </c>
      <c r="E5867" s="3" t="s">
        <v>114</v>
      </c>
      <c r="F5867" s="4" t="str">
        <f aca="false">IF(I5867&gt;J5867,"Y","N")</f>
        <v>N</v>
      </c>
      <c r="G5867" s="3" t="s">
        <v>104</v>
      </c>
      <c r="H5867" s="3" t="s">
        <v>21</v>
      </c>
      <c r="I5867" s="4" t="n">
        <v>6</v>
      </c>
      <c r="J5867" s="4" t="n">
        <f aca="false">LEN(E5867)-LEN(SUBSTITUTE(E5867,",",""))+1</f>
        <v>6</v>
      </c>
      <c r="K5867" s="3" t="str">
        <f aca="false">IFERROR(INDEX('Teacher Lookup'!$B$2:$B$200,MATCH(A5867,'Teacher Lookup'!$A$2:$A$200,0)),"")</f>
        <v>LI Judy</v>
      </c>
    </row>
    <row r="5868" customFormat="false" ht="15" hidden="false" customHeight="false" outlineLevel="0" collapsed="false">
      <c r="A5868" s="3" t="s">
        <v>456</v>
      </c>
      <c r="B5868" s="4" t="s">
        <v>66</v>
      </c>
      <c r="C5868" s="4" t="n">
        <v>2</v>
      </c>
      <c r="D5868" s="4" t="s">
        <v>107</v>
      </c>
      <c r="E5868" s="3" t="s">
        <v>114</v>
      </c>
      <c r="F5868" s="4" t="str">
        <f aca="false">IF(I5868&gt;J5868,"Y","N")</f>
        <v>N</v>
      </c>
      <c r="G5868" s="3" t="s">
        <v>104</v>
      </c>
      <c r="H5868" s="3" t="s">
        <v>21</v>
      </c>
      <c r="I5868" s="4" t="n">
        <v>6</v>
      </c>
      <c r="J5868" s="4" t="n">
        <f aca="false">LEN(E5868)-LEN(SUBSTITUTE(E5868,",",""))+1</f>
        <v>6</v>
      </c>
      <c r="K5868" s="3" t="str">
        <f aca="false">IFERROR(INDEX('Teacher Lookup'!$B$2:$B$200,MATCH(A5868,'Teacher Lookup'!$A$2:$A$200,0)),"")</f>
        <v>LI Judy</v>
      </c>
    </row>
    <row r="5869" customFormat="false" ht="15" hidden="false" customHeight="false" outlineLevel="0" collapsed="false">
      <c r="A5869" s="3" t="s">
        <v>457</v>
      </c>
      <c r="B5869" s="4" t="s">
        <v>12</v>
      </c>
      <c r="C5869" s="4" t="n">
        <v>2</v>
      </c>
      <c r="D5869" s="4" t="s">
        <v>228</v>
      </c>
      <c r="E5869" s="3" t="s">
        <v>348</v>
      </c>
      <c r="F5869" s="4" t="str">
        <f aca="false">IF(I5869&gt;J5869,"Y","N")</f>
        <v>N</v>
      </c>
      <c r="G5869" s="3" t="s">
        <v>72</v>
      </c>
      <c r="H5869" s="3" t="s">
        <v>21</v>
      </c>
      <c r="I5869" s="4" t="n">
        <v>4</v>
      </c>
      <c r="J5869" s="4" t="n">
        <f aca="false">LEN(E5869)-LEN(SUBSTITUTE(E5869,",",""))+1</f>
        <v>4</v>
      </c>
      <c r="K5869" s="3" t="str">
        <f aca="false">IFERROR(INDEX('Teacher Lookup'!$B$2:$B$200,MATCH(A5869,'Teacher Lookup'!$A$2:$A$200,0)),"")</f>
        <v>CHEUNG Ken</v>
      </c>
    </row>
    <row r="5870" customFormat="false" ht="15" hidden="false" customHeight="false" outlineLevel="0" collapsed="false">
      <c r="A5870" s="3" t="s">
        <v>457</v>
      </c>
      <c r="B5870" s="4" t="s">
        <v>12</v>
      </c>
      <c r="C5870" s="4" t="n">
        <v>2</v>
      </c>
      <c r="D5870" s="4" t="s">
        <v>102</v>
      </c>
      <c r="E5870" s="3" t="s">
        <v>348</v>
      </c>
      <c r="F5870" s="4" t="str">
        <f aca="false">IF(I5870&gt;J5870,"Y","N")</f>
        <v>N</v>
      </c>
      <c r="G5870" s="3" t="s">
        <v>72</v>
      </c>
      <c r="H5870" s="3" t="s">
        <v>21</v>
      </c>
      <c r="I5870" s="4" t="n">
        <v>4</v>
      </c>
      <c r="J5870" s="4" t="n">
        <f aca="false">LEN(E5870)-LEN(SUBSTITUTE(E5870,",",""))+1</f>
        <v>4</v>
      </c>
      <c r="K5870" s="3" t="str">
        <f aca="false">IFERROR(INDEX('Teacher Lookup'!$B$2:$B$200,MATCH(A5870,'Teacher Lookup'!$A$2:$A$200,0)),"")</f>
        <v>CHEUNG Ken</v>
      </c>
    </row>
    <row r="5871" customFormat="false" ht="15" hidden="false" customHeight="false" outlineLevel="0" collapsed="false">
      <c r="A5871" s="3" t="s">
        <v>457</v>
      </c>
      <c r="B5871" s="4" t="s">
        <v>12</v>
      </c>
      <c r="C5871" s="4" t="n">
        <v>2</v>
      </c>
      <c r="D5871" s="4" t="s">
        <v>107</v>
      </c>
      <c r="E5871" s="3" t="s">
        <v>348</v>
      </c>
      <c r="F5871" s="4" t="str">
        <f aca="false">IF(I5871&gt;J5871,"Y","N")</f>
        <v>N</v>
      </c>
      <c r="G5871" s="3" t="s">
        <v>72</v>
      </c>
      <c r="H5871" s="3" t="s">
        <v>21</v>
      </c>
      <c r="I5871" s="4" t="n">
        <v>4</v>
      </c>
      <c r="J5871" s="4" t="n">
        <f aca="false">LEN(E5871)-LEN(SUBSTITUTE(E5871,",",""))+1</f>
        <v>4</v>
      </c>
      <c r="K5871" s="3" t="str">
        <f aca="false">IFERROR(INDEX('Teacher Lookup'!$B$2:$B$200,MATCH(A5871,'Teacher Lookup'!$A$2:$A$200,0)),"")</f>
        <v>CHEUNG Ken</v>
      </c>
    </row>
    <row r="5872" customFormat="false" ht="15" hidden="false" customHeight="false" outlineLevel="0" collapsed="false">
      <c r="A5872" s="3" t="s">
        <v>457</v>
      </c>
      <c r="B5872" s="4" t="s">
        <v>12</v>
      </c>
      <c r="C5872" s="4" t="n">
        <v>5</v>
      </c>
      <c r="D5872" s="4" t="s">
        <v>52</v>
      </c>
      <c r="E5872" s="3" t="s">
        <v>169</v>
      </c>
      <c r="F5872" s="4" t="str">
        <f aca="false">IF(I5872&gt;J5872,"Y","N")</f>
        <v>N</v>
      </c>
      <c r="G5872" s="3" t="s">
        <v>72</v>
      </c>
      <c r="H5872" s="3" t="s">
        <v>37</v>
      </c>
      <c r="I5872" s="4" t="n">
        <v>4</v>
      </c>
      <c r="J5872" s="4" t="n">
        <f aca="false">LEN(E5872)-LEN(SUBSTITUTE(E5872,",",""))+1</f>
        <v>4</v>
      </c>
      <c r="K5872" s="3" t="str">
        <f aca="false">IFERROR(INDEX('Teacher Lookup'!$B$2:$B$200,MATCH(A5872,'Teacher Lookup'!$A$2:$A$200,0)),"")</f>
        <v>CHEUNG Ken</v>
      </c>
    </row>
    <row r="5873" customFormat="false" ht="15" hidden="false" customHeight="false" outlineLevel="0" collapsed="false">
      <c r="A5873" s="3" t="s">
        <v>457</v>
      </c>
      <c r="B5873" s="4" t="s">
        <v>12</v>
      </c>
      <c r="C5873" s="4" t="n">
        <v>5</v>
      </c>
      <c r="D5873" s="4" t="s">
        <v>55</v>
      </c>
      <c r="E5873" s="3" t="s">
        <v>169</v>
      </c>
      <c r="F5873" s="4" t="str">
        <f aca="false">IF(I5873&gt;J5873,"Y","N")</f>
        <v>N</v>
      </c>
      <c r="G5873" s="3" t="s">
        <v>72</v>
      </c>
      <c r="H5873" s="3" t="s">
        <v>37</v>
      </c>
      <c r="I5873" s="4" t="n">
        <v>4</v>
      </c>
      <c r="J5873" s="4" t="n">
        <f aca="false">LEN(E5873)-LEN(SUBSTITUTE(E5873,",",""))+1</f>
        <v>4</v>
      </c>
      <c r="K5873" s="3" t="str">
        <f aca="false">IFERROR(INDEX('Teacher Lookup'!$B$2:$B$200,MATCH(A5873,'Teacher Lookup'!$A$2:$A$200,0)),"")</f>
        <v>CHEUNG Ken</v>
      </c>
    </row>
    <row r="5874" customFormat="false" ht="15" hidden="false" customHeight="false" outlineLevel="0" collapsed="false">
      <c r="A5874" s="3" t="s">
        <v>457</v>
      </c>
      <c r="B5874" s="4" t="s">
        <v>12</v>
      </c>
      <c r="C5874" s="4" t="n">
        <v>5</v>
      </c>
      <c r="D5874" s="4" t="s">
        <v>56</v>
      </c>
      <c r="E5874" s="3" t="s">
        <v>169</v>
      </c>
      <c r="F5874" s="4" t="str">
        <f aca="false">IF(I5874&gt;J5874,"Y","N")</f>
        <v>N</v>
      </c>
      <c r="G5874" s="3" t="s">
        <v>72</v>
      </c>
      <c r="H5874" s="3" t="s">
        <v>37</v>
      </c>
      <c r="I5874" s="4" t="n">
        <v>4</v>
      </c>
      <c r="J5874" s="4" t="n">
        <f aca="false">LEN(E5874)-LEN(SUBSTITUTE(E5874,",",""))+1</f>
        <v>4</v>
      </c>
      <c r="K5874" s="3" t="str">
        <f aca="false">IFERROR(INDEX('Teacher Lookup'!$B$2:$B$200,MATCH(A5874,'Teacher Lookup'!$A$2:$A$200,0)),"")</f>
        <v>CHEUNG Ken</v>
      </c>
    </row>
    <row r="5875" customFormat="false" ht="15" hidden="false" customHeight="false" outlineLevel="0" collapsed="false">
      <c r="A5875" s="3" t="s">
        <v>457</v>
      </c>
      <c r="B5875" s="4" t="s">
        <v>31</v>
      </c>
      <c r="C5875" s="4" t="n">
        <v>2</v>
      </c>
      <c r="D5875" s="4" t="s">
        <v>102</v>
      </c>
      <c r="E5875" s="3" t="s">
        <v>443</v>
      </c>
      <c r="F5875" s="4" t="str">
        <f aca="false">IF(I5875&gt;J5875,"Y","N")</f>
        <v>N</v>
      </c>
      <c r="G5875" s="3" t="s">
        <v>72</v>
      </c>
      <c r="H5875" s="3" t="s">
        <v>21</v>
      </c>
      <c r="I5875" s="4" t="n">
        <v>3</v>
      </c>
      <c r="J5875" s="4" t="n">
        <f aca="false">LEN(E5875)-LEN(SUBSTITUTE(E5875,",",""))+1</f>
        <v>3</v>
      </c>
      <c r="K5875" s="3" t="str">
        <f aca="false">IFERROR(INDEX('Teacher Lookup'!$B$2:$B$200,MATCH(A5875,'Teacher Lookup'!$A$2:$A$200,0)),"")</f>
        <v>CHEUNG Ken</v>
      </c>
    </row>
    <row r="5876" customFormat="false" ht="15" hidden="false" customHeight="false" outlineLevel="0" collapsed="false">
      <c r="A5876" s="3" t="s">
        <v>457</v>
      </c>
      <c r="B5876" s="4" t="s">
        <v>31</v>
      </c>
      <c r="C5876" s="4" t="n">
        <v>2</v>
      </c>
      <c r="D5876" s="4" t="s">
        <v>107</v>
      </c>
      <c r="E5876" s="3" t="s">
        <v>443</v>
      </c>
      <c r="F5876" s="4" t="str">
        <f aca="false">IF(I5876&gt;J5876,"Y","N")</f>
        <v>N</v>
      </c>
      <c r="G5876" s="3" t="s">
        <v>72</v>
      </c>
      <c r="H5876" s="3" t="s">
        <v>21</v>
      </c>
      <c r="I5876" s="4" t="n">
        <v>3</v>
      </c>
      <c r="J5876" s="4" t="n">
        <f aca="false">LEN(E5876)-LEN(SUBSTITUTE(E5876,",",""))+1</f>
        <v>3</v>
      </c>
      <c r="K5876" s="3" t="str">
        <f aca="false">IFERROR(INDEX('Teacher Lookup'!$B$2:$B$200,MATCH(A5876,'Teacher Lookup'!$A$2:$A$200,0)),"")</f>
        <v>CHEUNG Ken</v>
      </c>
    </row>
    <row r="5877" customFormat="false" ht="15" hidden="false" customHeight="false" outlineLevel="0" collapsed="false">
      <c r="A5877" s="3" t="s">
        <v>457</v>
      </c>
      <c r="B5877" s="4" t="s">
        <v>31</v>
      </c>
      <c r="C5877" s="4" t="n">
        <v>3</v>
      </c>
      <c r="D5877" s="4" t="s">
        <v>52</v>
      </c>
      <c r="E5877" s="3" t="s">
        <v>176</v>
      </c>
      <c r="F5877" s="4" t="str">
        <f aca="false">IF(I5877&gt;J5877,"Y","N")</f>
        <v>N</v>
      </c>
      <c r="G5877" s="3" t="s">
        <v>72</v>
      </c>
      <c r="H5877" s="3" t="s">
        <v>26</v>
      </c>
      <c r="I5877" s="4" t="n">
        <v>4</v>
      </c>
      <c r="J5877" s="4" t="n">
        <f aca="false">LEN(E5877)-LEN(SUBSTITUTE(E5877,",",""))+1</f>
        <v>4</v>
      </c>
      <c r="K5877" s="3" t="str">
        <f aca="false">IFERROR(INDEX('Teacher Lookup'!$B$2:$B$200,MATCH(A5877,'Teacher Lookup'!$A$2:$A$200,0)),"")</f>
        <v>CHEUNG Ken</v>
      </c>
    </row>
    <row r="5878" customFormat="false" ht="15" hidden="false" customHeight="false" outlineLevel="0" collapsed="false">
      <c r="A5878" s="3" t="s">
        <v>457</v>
      </c>
      <c r="B5878" s="4" t="s">
        <v>31</v>
      </c>
      <c r="C5878" s="4" t="n">
        <v>3</v>
      </c>
      <c r="D5878" s="4" t="s">
        <v>55</v>
      </c>
      <c r="E5878" s="3" t="s">
        <v>176</v>
      </c>
      <c r="F5878" s="4" t="str">
        <f aca="false">IF(I5878&gt;J5878,"Y","N")</f>
        <v>N</v>
      </c>
      <c r="G5878" s="3" t="s">
        <v>72</v>
      </c>
      <c r="H5878" s="3" t="s">
        <v>26</v>
      </c>
      <c r="I5878" s="4" t="n">
        <v>4</v>
      </c>
      <c r="J5878" s="4" t="n">
        <f aca="false">LEN(E5878)-LEN(SUBSTITUTE(E5878,",",""))+1</f>
        <v>4</v>
      </c>
      <c r="K5878" s="3" t="str">
        <f aca="false">IFERROR(INDEX('Teacher Lookup'!$B$2:$B$200,MATCH(A5878,'Teacher Lookup'!$A$2:$A$200,0)),"")</f>
        <v>CHEUNG Ken</v>
      </c>
    </row>
    <row r="5879" customFormat="false" ht="15" hidden="false" customHeight="false" outlineLevel="0" collapsed="false">
      <c r="A5879" s="3" t="s">
        <v>457</v>
      </c>
      <c r="B5879" s="4" t="s">
        <v>31</v>
      </c>
      <c r="C5879" s="4" t="n">
        <v>3</v>
      </c>
      <c r="D5879" s="4" t="s">
        <v>56</v>
      </c>
      <c r="E5879" s="3" t="s">
        <v>176</v>
      </c>
      <c r="F5879" s="4" t="str">
        <f aca="false">IF(I5879&gt;J5879,"Y","N")</f>
        <v>N</v>
      </c>
      <c r="G5879" s="3" t="s">
        <v>72</v>
      </c>
      <c r="H5879" s="3" t="s">
        <v>26</v>
      </c>
      <c r="I5879" s="4" t="n">
        <v>4</v>
      </c>
      <c r="J5879" s="4" t="n">
        <f aca="false">LEN(E5879)-LEN(SUBSTITUTE(E5879,",",""))+1</f>
        <v>4</v>
      </c>
      <c r="K5879" s="3" t="str">
        <f aca="false">IFERROR(INDEX('Teacher Lookup'!$B$2:$B$200,MATCH(A5879,'Teacher Lookup'!$A$2:$A$200,0)),"")</f>
        <v>CHEUNG Ken</v>
      </c>
    </row>
    <row r="5880" customFormat="false" ht="15" hidden="false" customHeight="false" outlineLevel="0" collapsed="false">
      <c r="A5880" s="3" t="s">
        <v>457</v>
      </c>
      <c r="B5880" s="4" t="s">
        <v>31</v>
      </c>
      <c r="C5880" s="4" t="n">
        <v>5</v>
      </c>
      <c r="D5880" s="4" t="s">
        <v>19</v>
      </c>
      <c r="E5880" s="3" t="s">
        <v>35</v>
      </c>
      <c r="F5880" s="4" t="str">
        <f aca="false">IF(I5880&gt;J5880,"Y","N")</f>
        <v>Y</v>
      </c>
      <c r="G5880" s="3" t="s">
        <v>36</v>
      </c>
      <c r="H5880" s="3" t="s">
        <v>37</v>
      </c>
      <c r="I5880" s="4" t="n">
        <v>17</v>
      </c>
      <c r="J5880" s="4" t="n">
        <f aca="false">LEN(E5880)-LEN(SUBSTITUTE(E5880,",",""))+1</f>
        <v>7</v>
      </c>
      <c r="K5880" s="3" t="str">
        <f aca="false">IFERROR(INDEX('Teacher Lookup'!$B$2:$B$200,MATCH(A5880,'Teacher Lookup'!$A$2:$A$200,0)),"")</f>
        <v>CHEUNG Ken</v>
      </c>
    </row>
    <row r="5881" customFormat="false" ht="15" hidden="false" customHeight="false" outlineLevel="0" collapsed="false">
      <c r="A5881" s="3" t="s">
        <v>457</v>
      </c>
      <c r="B5881" s="4" t="s">
        <v>31</v>
      </c>
      <c r="C5881" s="4" t="n">
        <v>5</v>
      </c>
      <c r="D5881" s="4" t="s">
        <v>22</v>
      </c>
      <c r="E5881" s="3" t="s">
        <v>35</v>
      </c>
      <c r="F5881" s="4" t="str">
        <f aca="false">IF(I5881&gt;J5881,"Y","N")</f>
        <v>Y</v>
      </c>
      <c r="G5881" s="3" t="s">
        <v>36</v>
      </c>
      <c r="H5881" s="3" t="s">
        <v>37</v>
      </c>
      <c r="I5881" s="4" t="n">
        <v>17</v>
      </c>
      <c r="J5881" s="4" t="n">
        <f aca="false">LEN(E5881)-LEN(SUBSTITUTE(E5881,",",""))+1</f>
        <v>7</v>
      </c>
      <c r="K5881" s="3" t="str">
        <f aca="false">IFERROR(INDEX('Teacher Lookup'!$B$2:$B$200,MATCH(A5881,'Teacher Lookup'!$A$2:$A$200,0)),"")</f>
        <v>CHEUNG Ken</v>
      </c>
    </row>
    <row r="5882" customFormat="false" ht="15" hidden="false" customHeight="false" outlineLevel="0" collapsed="false">
      <c r="A5882" s="3" t="s">
        <v>457</v>
      </c>
      <c r="B5882" s="4" t="s">
        <v>31</v>
      </c>
      <c r="C5882" s="4" t="n">
        <v>5</v>
      </c>
      <c r="D5882" s="4" t="s">
        <v>23</v>
      </c>
      <c r="E5882" s="3" t="s">
        <v>35</v>
      </c>
      <c r="F5882" s="4" t="str">
        <f aca="false">IF(I5882&gt;J5882,"Y","N")</f>
        <v>Y</v>
      </c>
      <c r="G5882" s="3" t="s">
        <v>36</v>
      </c>
      <c r="H5882" s="3" t="s">
        <v>37</v>
      </c>
      <c r="I5882" s="4" t="n">
        <v>17</v>
      </c>
      <c r="J5882" s="4" t="n">
        <f aca="false">LEN(E5882)-LEN(SUBSTITUTE(E5882,",",""))+1</f>
        <v>7</v>
      </c>
      <c r="K5882" s="3" t="str">
        <f aca="false">IFERROR(INDEX('Teacher Lookup'!$B$2:$B$200,MATCH(A5882,'Teacher Lookup'!$A$2:$A$200,0)),"")</f>
        <v>CHEUNG Ken</v>
      </c>
    </row>
    <row r="5883" customFormat="false" ht="15" hidden="false" customHeight="false" outlineLevel="0" collapsed="false">
      <c r="A5883" s="3" t="s">
        <v>457</v>
      </c>
      <c r="B5883" s="4" t="s">
        <v>31</v>
      </c>
      <c r="C5883" s="4" t="n">
        <v>5</v>
      </c>
      <c r="D5883" s="4" t="s">
        <v>13</v>
      </c>
      <c r="E5883" s="3" t="s">
        <v>35</v>
      </c>
      <c r="F5883" s="4" t="str">
        <f aca="false">IF(I5883&gt;J5883,"Y","N")</f>
        <v>Y</v>
      </c>
      <c r="G5883" s="3" t="s">
        <v>36</v>
      </c>
      <c r="H5883" s="3" t="s">
        <v>37</v>
      </c>
      <c r="I5883" s="4" t="n">
        <v>17</v>
      </c>
      <c r="J5883" s="4" t="n">
        <f aca="false">LEN(E5883)-LEN(SUBSTITUTE(E5883,",",""))+1</f>
        <v>7</v>
      </c>
      <c r="K5883" s="3" t="str">
        <f aca="false">IFERROR(INDEX('Teacher Lookup'!$B$2:$B$200,MATCH(A5883,'Teacher Lookup'!$A$2:$A$200,0)),"")</f>
        <v>CHEUNG Ken</v>
      </c>
    </row>
    <row r="5884" customFormat="false" ht="15" hidden="false" customHeight="false" outlineLevel="0" collapsed="false">
      <c r="A5884" s="3" t="s">
        <v>457</v>
      </c>
      <c r="B5884" s="4" t="s">
        <v>31</v>
      </c>
      <c r="C5884" s="4" t="n">
        <v>5</v>
      </c>
      <c r="D5884" s="4" t="s">
        <v>17</v>
      </c>
      <c r="E5884" s="3" t="s">
        <v>35</v>
      </c>
      <c r="F5884" s="4" t="str">
        <f aca="false">IF(I5884&gt;J5884,"Y","N")</f>
        <v>Y</v>
      </c>
      <c r="G5884" s="3" t="s">
        <v>36</v>
      </c>
      <c r="H5884" s="3" t="s">
        <v>37</v>
      </c>
      <c r="I5884" s="4" t="n">
        <v>17</v>
      </c>
      <c r="J5884" s="4" t="n">
        <f aca="false">LEN(E5884)-LEN(SUBSTITUTE(E5884,",",""))+1</f>
        <v>7</v>
      </c>
      <c r="K5884" s="3" t="str">
        <f aca="false">IFERROR(INDEX('Teacher Lookup'!$B$2:$B$200,MATCH(A5884,'Teacher Lookup'!$A$2:$A$200,0)),"")</f>
        <v>CHEUNG Ken</v>
      </c>
    </row>
    <row r="5885" customFormat="false" ht="15" hidden="false" customHeight="false" outlineLevel="0" collapsed="false">
      <c r="A5885" s="3" t="s">
        <v>457</v>
      </c>
      <c r="B5885" s="4" t="s">
        <v>31</v>
      </c>
      <c r="C5885" s="4" t="n">
        <v>5</v>
      </c>
      <c r="D5885" s="4" t="s">
        <v>18</v>
      </c>
      <c r="E5885" s="3" t="s">
        <v>35</v>
      </c>
      <c r="F5885" s="4" t="str">
        <f aca="false">IF(I5885&gt;J5885,"Y","N")</f>
        <v>Y</v>
      </c>
      <c r="G5885" s="3" t="s">
        <v>36</v>
      </c>
      <c r="H5885" s="3" t="s">
        <v>37</v>
      </c>
      <c r="I5885" s="4" t="n">
        <v>17</v>
      </c>
      <c r="J5885" s="4" t="n">
        <f aca="false">LEN(E5885)-LEN(SUBSTITUTE(E5885,",",""))+1</f>
        <v>7</v>
      </c>
      <c r="K5885" s="3" t="str">
        <f aca="false">IFERROR(INDEX('Teacher Lookup'!$B$2:$B$200,MATCH(A5885,'Teacher Lookup'!$A$2:$A$200,0)),"")</f>
        <v>CHEUNG Ken</v>
      </c>
    </row>
    <row r="5886" customFormat="false" ht="15" hidden="false" customHeight="false" outlineLevel="0" collapsed="false">
      <c r="A5886" s="3" t="s">
        <v>457</v>
      </c>
      <c r="B5886" s="4" t="s">
        <v>40</v>
      </c>
      <c r="C5886" s="4" t="n">
        <v>1</v>
      </c>
      <c r="D5886" s="4" t="s">
        <v>52</v>
      </c>
      <c r="E5886" s="3" t="s">
        <v>177</v>
      </c>
      <c r="F5886" s="4" t="str">
        <f aca="false">IF(I5886&gt;J5886,"Y","N")</f>
        <v>N</v>
      </c>
      <c r="G5886" s="3" t="s">
        <v>72</v>
      </c>
      <c r="H5886" s="3" t="s">
        <v>16</v>
      </c>
      <c r="I5886" s="4" t="n">
        <v>4</v>
      </c>
      <c r="J5886" s="4" t="n">
        <f aca="false">LEN(E5886)-LEN(SUBSTITUTE(E5886,",",""))+1</f>
        <v>4</v>
      </c>
      <c r="K5886" s="3" t="str">
        <f aca="false">IFERROR(INDEX('Teacher Lookup'!$B$2:$B$200,MATCH(A5886,'Teacher Lookup'!$A$2:$A$200,0)),"")</f>
        <v>CHEUNG Ken</v>
      </c>
    </row>
    <row r="5887" customFormat="false" ht="15" hidden="false" customHeight="false" outlineLevel="0" collapsed="false">
      <c r="A5887" s="3" t="s">
        <v>457</v>
      </c>
      <c r="B5887" s="4" t="s">
        <v>40</v>
      </c>
      <c r="C5887" s="4" t="n">
        <v>1</v>
      </c>
      <c r="D5887" s="4" t="s">
        <v>55</v>
      </c>
      <c r="E5887" s="3" t="s">
        <v>177</v>
      </c>
      <c r="F5887" s="4" t="str">
        <f aca="false">IF(I5887&gt;J5887,"Y","N")</f>
        <v>N</v>
      </c>
      <c r="G5887" s="3" t="s">
        <v>72</v>
      </c>
      <c r="H5887" s="3" t="s">
        <v>16</v>
      </c>
      <c r="I5887" s="4" t="n">
        <v>4</v>
      </c>
      <c r="J5887" s="4" t="n">
        <f aca="false">LEN(E5887)-LEN(SUBSTITUTE(E5887,",",""))+1</f>
        <v>4</v>
      </c>
      <c r="K5887" s="3" t="str">
        <f aca="false">IFERROR(INDEX('Teacher Lookup'!$B$2:$B$200,MATCH(A5887,'Teacher Lookup'!$A$2:$A$200,0)),"")</f>
        <v>CHEUNG Ken</v>
      </c>
    </row>
    <row r="5888" customFormat="false" ht="15" hidden="false" customHeight="false" outlineLevel="0" collapsed="false">
      <c r="A5888" s="3" t="s">
        <v>457</v>
      </c>
      <c r="B5888" s="4" t="s">
        <v>40</v>
      </c>
      <c r="C5888" s="4" t="n">
        <v>1</v>
      </c>
      <c r="D5888" s="4" t="s">
        <v>56</v>
      </c>
      <c r="E5888" s="3" t="s">
        <v>177</v>
      </c>
      <c r="F5888" s="4" t="str">
        <f aca="false">IF(I5888&gt;J5888,"Y","N")</f>
        <v>N</v>
      </c>
      <c r="G5888" s="3" t="s">
        <v>72</v>
      </c>
      <c r="H5888" s="3" t="s">
        <v>16</v>
      </c>
      <c r="I5888" s="4" t="n">
        <v>4</v>
      </c>
      <c r="J5888" s="4" t="n">
        <f aca="false">LEN(E5888)-LEN(SUBSTITUTE(E5888,",",""))+1</f>
        <v>4</v>
      </c>
      <c r="K5888" s="3" t="str">
        <f aca="false">IFERROR(INDEX('Teacher Lookup'!$B$2:$B$200,MATCH(A5888,'Teacher Lookup'!$A$2:$A$200,0)),"")</f>
        <v>CHEUNG Ken</v>
      </c>
    </row>
    <row r="5889" customFormat="false" ht="15" hidden="false" customHeight="false" outlineLevel="0" collapsed="false">
      <c r="A5889" s="3" t="s">
        <v>457</v>
      </c>
      <c r="B5889" s="4" t="s">
        <v>40</v>
      </c>
      <c r="C5889" s="4" t="n">
        <v>5</v>
      </c>
      <c r="D5889" s="4" t="s">
        <v>228</v>
      </c>
      <c r="E5889" s="3" t="s">
        <v>352</v>
      </c>
      <c r="F5889" s="4" t="str">
        <f aca="false">IF(I5889&gt;J5889,"Y","N")</f>
        <v>N</v>
      </c>
      <c r="G5889" s="3" t="s">
        <v>72</v>
      </c>
      <c r="H5889" s="3" t="s">
        <v>37</v>
      </c>
      <c r="I5889" s="4" t="n">
        <v>4</v>
      </c>
      <c r="J5889" s="4" t="n">
        <f aca="false">LEN(E5889)-LEN(SUBSTITUTE(E5889,",",""))+1</f>
        <v>4</v>
      </c>
      <c r="K5889" s="3" t="str">
        <f aca="false">IFERROR(INDEX('Teacher Lookup'!$B$2:$B$200,MATCH(A5889,'Teacher Lookup'!$A$2:$A$200,0)),"")</f>
        <v>CHEUNG Ken</v>
      </c>
    </row>
    <row r="5890" customFormat="false" ht="15" hidden="false" customHeight="false" outlineLevel="0" collapsed="false">
      <c r="A5890" s="3" t="s">
        <v>457</v>
      </c>
      <c r="B5890" s="4" t="s">
        <v>40</v>
      </c>
      <c r="C5890" s="4" t="n">
        <v>5</v>
      </c>
      <c r="D5890" s="4" t="s">
        <v>102</v>
      </c>
      <c r="E5890" s="3" t="s">
        <v>352</v>
      </c>
      <c r="F5890" s="4" t="str">
        <f aca="false">IF(I5890&gt;J5890,"Y","N")</f>
        <v>N</v>
      </c>
      <c r="G5890" s="3" t="s">
        <v>72</v>
      </c>
      <c r="H5890" s="3" t="s">
        <v>37</v>
      </c>
      <c r="I5890" s="4" t="n">
        <v>4</v>
      </c>
      <c r="J5890" s="4" t="n">
        <f aca="false">LEN(E5890)-LEN(SUBSTITUTE(E5890,",",""))+1</f>
        <v>4</v>
      </c>
      <c r="K5890" s="3" t="str">
        <f aca="false">IFERROR(INDEX('Teacher Lookup'!$B$2:$B$200,MATCH(A5890,'Teacher Lookup'!$A$2:$A$200,0)),"")</f>
        <v>CHEUNG Ken</v>
      </c>
    </row>
    <row r="5891" customFormat="false" ht="15" hidden="false" customHeight="false" outlineLevel="0" collapsed="false">
      <c r="A5891" s="3" t="s">
        <v>457</v>
      </c>
      <c r="B5891" s="4" t="s">
        <v>40</v>
      </c>
      <c r="C5891" s="4" t="n">
        <v>5</v>
      </c>
      <c r="D5891" s="4" t="s">
        <v>107</v>
      </c>
      <c r="E5891" s="3" t="s">
        <v>352</v>
      </c>
      <c r="F5891" s="4" t="str">
        <f aca="false">IF(I5891&gt;J5891,"Y","N")</f>
        <v>N</v>
      </c>
      <c r="G5891" s="3" t="s">
        <v>72</v>
      </c>
      <c r="H5891" s="3" t="s">
        <v>37</v>
      </c>
      <c r="I5891" s="4" t="n">
        <v>4</v>
      </c>
      <c r="J5891" s="4" t="n">
        <f aca="false">LEN(E5891)-LEN(SUBSTITUTE(E5891,",",""))+1</f>
        <v>4</v>
      </c>
      <c r="K5891" s="3" t="str">
        <f aca="false">IFERROR(INDEX('Teacher Lookup'!$B$2:$B$200,MATCH(A5891,'Teacher Lookup'!$A$2:$A$200,0)),"")</f>
        <v>CHEUNG Ken</v>
      </c>
    </row>
    <row r="5892" customFormat="false" ht="15" hidden="false" customHeight="false" outlineLevel="0" collapsed="false">
      <c r="A5892" s="3" t="s">
        <v>457</v>
      </c>
      <c r="B5892" s="4" t="s">
        <v>44</v>
      </c>
      <c r="C5892" s="4" t="n">
        <v>3</v>
      </c>
      <c r="D5892" s="4" t="s">
        <v>52</v>
      </c>
      <c r="E5892" s="3" t="s">
        <v>395</v>
      </c>
      <c r="F5892" s="4" t="str">
        <f aca="false">IF(I5892&gt;J5892,"Y","N")</f>
        <v>N</v>
      </c>
      <c r="G5892" s="3" t="s">
        <v>72</v>
      </c>
      <c r="H5892" s="3" t="s">
        <v>26</v>
      </c>
      <c r="I5892" s="4" t="n">
        <v>4</v>
      </c>
      <c r="J5892" s="4" t="n">
        <f aca="false">LEN(E5892)-LEN(SUBSTITUTE(E5892,",",""))+1</f>
        <v>4</v>
      </c>
      <c r="K5892" s="3" t="str">
        <f aca="false">IFERROR(INDEX('Teacher Lookup'!$B$2:$B$200,MATCH(A5892,'Teacher Lookup'!$A$2:$A$200,0)),"")</f>
        <v>CHEUNG Ken</v>
      </c>
    </row>
    <row r="5893" customFormat="false" ht="15" hidden="false" customHeight="false" outlineLevel="0" collapsed="false">
      <c r="A5893" s="3" t="s">
        <v>457</v>
      </c>
      <c r="B5893" s="4" t="s">
        <v>44</v>
      </c>
      <c r="C5893" s="4" t="n">
        <v>3</v>
      </c>
      <c r="D5893" s="4" t="s">
        <v>55</v>
      </c>
      <c r="E5893" s="3" t="s">
        <v>395</v>
      </c>
      <c r="F5893" s="4" t="str">
        <f aca="false">IF(I5893&gt;J5893,"Y","N")</f>
        <v>N</v>
      </c>
      <c r="G5893" s="3" t="s">
        <v>72</v>
      </c>
      <c r="H5893" s="3" t="s">
        <v>26</v>
      </c>
      <c r="I5893" s="4" t="n">
        <v>4</v>
      </c>
      <c r="J5893" s="4" t="n">
        <f aca="false">LEN(E5893)-LEN(SUBSTITUTE(E5893,",",""))+1</f>
        <v>4</v>
      </c>
      <c r="K5893" s="3" t="str">
        <f aca="false">IFERROR(INDEX('Teacher Lookup'!$B$2:$B$200,MATCH(A5893,'Teacher Lookup'!$A$2:$A$200,0)),"")</f>
        <v>CHEUNG Ken</v>
      </c>
    </row>
    <row r="5894" customFormat="false" ht="15" hidden="false" customHeight="false" outlineLevel="0" collapsed="false">
      <c r="A5894" s="3" t="s">
        <v>457</v>
      </c>
      <c r="B5894" s="4" t="s">
        <v>44</v>
      </c>
      <c r="C5894" s="4" t="n">
        <v>3</v>
      </c>
      <c r="D5894" s="4" t="s">
        <v>56</v>
      </c>
      <c r="E5894" s="3" t="s">
        <v>395</v>
      </c>
      <c r="F5894" s="4" t="str">
        <f aca="false">IF(I5894&gt;J5894,"Y","N")</f>
        <v>N</v>
      </c>
      <c r="G5894" s="3" t="s">
        <v>72</v>
      </c>
      <c r="H5894" s="3" t="s">
        <v>26</v>
      </c>
      <c r="I5894" s="4" t="n">
        <v>4</v>
      </c>
      <c r="J5894" s="4" t="n">
        <f aca="false">LEN(E5894)-LEN(SUBSTITUTE(E5894,",",""))+1</f>
        <v>4</v>
      </c>
      <c r="K5894" s="3" t="str">
        <f aca="false">IFERROR(INDEX('Teacher Lookup'!$B$2:$B$200,MATCH(A5894,'Teacher Lookup'!$A$2:$A$200,0)),"")</f>
        <v>CHEUNG Ken</v>
      </c>
    </row>
    <row r="5895" customFormat="false" ht="15" hidden="false" customHeight="false" outlineLevel="0" collapsed="false">
      <c r="A5895" s="3" t="s">
        <v>457</v>
      </c>
      <c r="B5895" s="4" t="s">
        <v>44</v>
      </c>
      <c r="C5895" s="4" t="n">
        <v>5</v>
      </c>
      <c r="D5895" s="4" t="s">
        <v>19</v>
      </c>
      <c r="E5895" s="3" t="s">
        <v>35</v>
      </c>
      <c r="F5895" s="4" t="str">
        <f aca="false">IF(I5895&gt;J5895,"Y","N")</f>
        <v>Y</v>
      </c>
      <c r="G5895" s="3" t="s">
        <v>36</v>
      </c>
      <c r="H5895" s="3" t="s">
        <v>37</v>
      </c>
      <c r="I5895" s="4" t="n">
        <v>17</v>
      </c>
      <c r="J5895" s="4" t="n">
        <f aca="false">LEN(E5895)-LEN(SUBSTITUTE(E5895,",",""))+1</f>
        <v>7</v>
      </c>
      <c r="K5895" s="3" t="str">
        <f aca="false">IFERROR(INDEX('Teacher Lookup'!$B$2:$B$200,MATCH(A5895,'Teacher Lookup'!$A$2:$A$200,0)),"")</f>
        <v>CHEUNG Ken</v>
      </c>
    </row>
    <row r="5896" customFormat="false" ht="15" hidden="false" customHeight="false" outlineLevel="0" collapsed="false">
      <c r="A5896" s="3" t="s">
        <v>457</v>
      </c>
      <c r="B5896" s="4" t="s">
        <v>44</v>
      </c>
      <c r="C5896" s="4" t="n">
        <v>5</v>
      </c>
      <c r="D5896" s="4" t="s">
        <v>22</v>
      </c>
      <c r="E5896" s="3" t="s">
        <v>35</v>
      </c>
      <c r="F5896" s="4" t="str">
        <f aca="false">IF(I5896&gt;J5896,"Y","N")</f>
        <v>Y</v>
      </c>
      <c r="G5896" s="3" t="s">
        <v>36</v>
      </c>
      <c r="H5896" s="3" t="s">
        <v>37</v>
      </c>
      <c r="I5896" s="4" t="n">
        <v>17</v>
      </c>
      <c r="J5896" s="4" t="n">
        <f aca="false">LEN(E5896)-LEN(SUBSTITUTE(E5896,",",""))+1</f>
        <v>7</v>
      </c>
      <c r="K5896" s="3" t="str">
        <f aca="false">IFERROR(INDEX('Teacher Lookup'!$B$2:$B$200,MATCH(A5896,'Teacher Lookup'!$A$2:$A$200,0)),"")</f>
        <v>CHEUNG Ken</v>
      </c>
    </row>
    <row r="5897" customFormat="false" ht="15" hidden="false" customHeight="false" outlineLevel="0" collapsed="false">
      <c r="A5897" s="3" t="s">
        <v>457</v>
      </c>
      <c r="B5897" s="4" t="s">
        <v>44</v>
      </c>
      <c r="C5897" s="4" t="n">
        <v>5</v>
      </c>
      <c r="D5897" s="4" t="s">
        <v>23</v>
      </c>
      <c r="E5897" s="3" t="s">
        <v>35</v>
      </c>
      <c r="F5897" s="4" t="str">
        <f aca="false">IF(I5897&gt;J5897,"Y","N")</f>
        <v>Y</v>
      </c>
      <c r="G5897" s="3" t="s">
        <v>36</v>
      </c>
      <c r="H5897" s="3" t="s">
        <v>37</v>
      </c>
      <c r="I5897" s="4" t="n">
        <v>17</v>
      </c>
      <c r="J5897" s="4" t="n">
        <f aca="false">LEN(E5897)-LEN(SUBSTITUTE(E5897,",",""))+1</f>
        <v>7</v>
      </c>
      <c r="K5897" s="3" t="str">
        <f aca="false">IFERROR(INDEX('Teacher Lookup'!$B$2:$B$200,MATCH(A5897,'Teacher Lookup'!$A$2:$A$200,0)),"")</f>
        <v>CHEUNG Ken</v>
      </c>
    </row>
    <row r="5898" customFormat="false" ht="15" hidden="false" customHeight="false" outlineLevel="0" collapsed="false">
      <c r="A5898" s="3" t="s">
        <v>457</v>
      </c>
      <c r="B5898" s="4" t="s">
        <v>44</v>
      </c>
      <c r="C5898" s="4" t="n">
        <v>5</v>
      </c>
      <c r="D5898" s="4" t="s">
        <v>13</v>
      </c>
      <c r="E5898" s="3" t="s">
        <v>35</v>
      </c>
      <c r="F5898" s="4" t="str">
        <f aca="false">IF(I5898&gt;J5898,"Y","N")</f>
        <v>Y</v>
      </c>
      <c r="G5898" s="3" t="s">
        <v>36</v>
      </c>
      <c r="H5898" s="3" t="s">
        <v>37</v>
      </c>
      <c r="I5898" s="4" t="n">
        <v>17</v>
      </c>
      <c r="J5898" s="4" t="n">
        <f aca="false">LEN(E5898)-LEN(SUBSTITUTE(E5898,",",""))+1</f>
        <v>7</v>
      </c>
      <c r="K5898" s="3" t="str">
        <f aca="false">IFERROR(INDEX('Teacher Lookup'!$B$2:$B$200,MATCH(A5898,'Teacher Lookup'!$A$2:$A$200,0)),"")</f>
        <v>CHEUNG Ken</v>
      </c>
    </row>
    <row r="5899" customFormat="false" ht="15" hidden="false" customHeight="false" outlineLevel="0" collapsed="false">
      <c r="A5899" s="3" t="s">
        <v>457</v>
      </c>
      <c r="B5899" s="4" t="s">
        <v>44</v>
      </c>
      <c r="C5899" s="4" t="n">
        <v>5</v>
      </c>
      <c r="D5899" s="4" t="s">
        <v>17</v>
      </c>
      <c r="E5899" s="3" t="s">
        <v>35</v>
      </c>
      <c r="F5899" s="4" t="str">
        <f aca="false">IF(I5899&gt;J5899,"Y","N")</f>
        <v>Y</v>
      </c>
      <c r="G5899" s="3" t="s">
        <v>36</v>
      </c>
      <c r="H5899" s="3" t="s">
        <v>37</v>
      </c>
      <c r="I5899" s="4" t="n">
        <v>17</v>
      </c>
      <c r="J5899" s="4" t="n">
        <f aca="false">LEN(E5899)-LEN(SUBSTITUTE(E5899,",",""))+1</f>
        <v>7</v>
      </c>
      <c r="K5899" s="3" t="str">
        <f aca="false">IFERROR(INDEX('Teacher Lookup'!$B$2:$B$200,MATCH(A5899,'Teacher Lookup'!$A$2:$A$200,0)),"")</f>
        <v>CHEUNG Ken</v>
      </c>
    </row>
    <row r="5900" customFormat="false" ht="15" hidden="false" customHeight="false" outlineLevel="0" collapsed="false">
      <c r="A5900" s="3" t="s">
        <v>457</v>
      </c>
      <c r="B5900" s="4" t="s">
        <v>44</v>
      </c>
      <c r="C5900" s="4" t="n">
        <v>5</v>
      </c>
      <c r="D5900" s="4" t="s">
        <v>18</v>
      </c>
      <c r="E5900" s="3" t="s">
        <v>35</v>
      </c>
      <c r="F5900" s="4" t="str">
        <f aca="false">IF(I5900&gt;J5900,"Y","N")</f>
        <v>Y</v>
      </c>
      <c r="G5900" s="3" t="s">
        <v>36</v>
      </c>
      <c r="H5900" s="3" t="s">
        <v>37</v>
      </c>
      <c r="I5900" s="4" t="n">
        <v>17</v>
      </c>
      <c r="J5900" s="4" t="n">
        <f aca="false">LEN(E5900)-LEN(SUBSTITUTE(E5900,",",""))+1</f>
        <v>7</v>
      </c>
      <c r="K5900" s="3" t="str">
        <f aca="false">IFERROR(INDEX('Teacher Lookup'!$B$2:$B$200,MATCH(A5900,'Teacher Lookup'!$A$2:$A$200,0)),"")</f>
        <v>CHEUNG Ken</v>
      </c>
    </row>
    <row r="5901" customFormat="false" ht="15" hidden="false" customHeight="false" outlineLevel="0" collapsed="false">
      <c r="A5901" s="3" t="s">
        <v>457</v>
      </c>
      <c r="B5901" s="4" t="s">
        <v>44</v>
      </c>
      <c r="C5901" s="4" t="n">
        <v>6</v>
      </c>
      <c r="D5901" s="4" t="s">
        <v>102</v>
      </c>
      <c r="E5901" s="3" t="s">
        <v>444</v>
      </c>
      <c r="F5901" s="4" t="str">
        <f aca="false">IF(I5901&gt;J5901,"Y","N")</f>
        <v>N</v>
      </c>
      <c r="G5901" s="3" t="s">
        <v>72</v>
      </c>
      <c r="H5901" s="3" t="s">
        <v>42</v>
      </c>
      <c r="I5901" s="4" t="n">
        <v>3</v>
      </c>
      <c r="J5901" s="4" t="n">
        <f aca="false">LEN(E5901)-LEN(SUBSTITUTE(E5901,",",""))+1</f>
        <v>3</v>
      </c>
      <c r="K5901" s="3" t="str">
        <f aca="false">IFERROR(INDEX('Teacher Lookup'!$B$2:$B$200,MATCH(A5901,'Teacher Lookup'!$A$2:$A$200,0)),"")</f>
        <v>CHEUNG Ken</v>
      </c>
    </row>
    <row r="5902" customFormat="false" ht="15" hidden="false" customHeight="false" outlineLevel="0" collapsed="false">
      <c r="A5902" s="3" t="s">
        <v>457</v>
      </c>
      <c r="B5902" s="4" t="s">
        <v>44</v>
      </c>
      <c r="C5902" s="4" t="n">
        <v>6</v>
      </c>
      <c r="D5902" s="4" t="s">
        <v>107</v>
      </c>
      <c r="E5902" s="3" t="s">
        <v>444</v>
      </c>
      <c r="F5902" s="4" t="str">
        <f aca="false">IF(I5902&gt;J5902,"Y","N")</f>
        <v>N</v>
      </c>
      <c r="G5902" s="3" t="s">
        <v>72</v>
      </c>
      <c r="H5902" s="3" t="s">
        <v>42</v>
      </c>
      <c r="I5902" s="4" t="n">
        <v>3</v>
      </c>
      <c r="J5902" s="4" t="n">
        <f aca="false">LEN(E5902)-LEN(SUBSTITUTE(E5902,",",""))+1</f>
        <v>3</v>
      </c>
      <c r="K5902" s="3" t="str">
        <f aca="false">IFERROR(INDEX('Teacher Lookup'!$B$2:$B$200,MATCH(A5902,'Teacher Lookup'!$A$2:$A$200,0)),"")</f>
        <v>CHEUNG Ken</v>
      </c>
    </row>
    <row r="5903" customFormat="false" ht="15" hidden="false" customHeight="false" outlineLevel="0" collapsed="false">
      <c r="A5903" s="3" t="s">
        <v>457</v>
      </c>
      <c r="B5903" s="4" t="s">
        <v>47</v>
      </c>
      <c r="C5903" s="4" t="n">
        <v>3</v>
      </c>
      <c r="D5903" s="4" t="s">
        <v>52</v>
      </c>
      <c r="E5903" s="3" t="s">
        <v>163</v>
      </c>
      <c r="F5903" s="4" t="str">
        <f aca="false">IF(I5903&gt;J5903,"Y","N")</f>
        <v>N</v>
      </c>
      <c r="G5903" s="3" t="s">
        <v>72</v>
      </c>
      <c r="H5903" s="3" t="s">
        <v>26</v>
      </c>
      <c r="I5903" s="4" t="n">
        <v>4</v>
      </c>
      <c r="J5903" s="4" t="n">
        <f aca="false">LEN(E5903)-LEN(SUBSTITUTE(E5903,",",""))+1</f>
        <v>4</v>
      </c>
      <c r="K5903" s="3" t="str">
        <f aca="false">IFERROR(INDEX('Teacher Lookup'!$B$2:$B$200,MATCH(A5903,'Teacher Lookup'!$A$2:$A$200,0)),"")</f>
        <v>CHEUNG Ken</v>
      </c>
    </row>
    <row r="5904" customFormat="false" ht="15" hidden="false" customHeight="false" outlineLevel="0" collapsed="false">
      <c r="A5904" s="3" t="s">
        <v>457</v>
      </c>
      <c r="B5904" s="4" t="s">
        <v>47</v>
      </c>
      <c r="C5904" s="4" t="n">
        <v>3</v>
      </c>
      <c r="D5904" s="4" t="s">
        <v>55</v>
      </c>
      <c r="E5904" s="3" t="s">
        <v>163</v>
      </c>
      <c r="F5904" s="4" t="str">
        <f aca="false">IF(I5904&gt;J5904,"Y","N")</f>
        <v>N</v>
      </c>
      <c r="G5904" s="3" t="s">
        <v>72</v>
      </c>
      <c r="H5904" s="3" t="s">
        <v>26</v>
      </c>
      <c r="I5904" s="4" t="n">
        <v>4</v>
      </c>
      <c r="J5904" s="4" t="n">
        <f aca="false">LEN(E5904)-LEN(SUBSTITUTE(E5904,",",""))+1</f>
        <v>4</v>
      </c>
      <c r="K5904" s="3" t="str">
        <f aca="false">IFERROR(INDEX('Teacher Lookup'!$B$2:$B$200,MATCH(A5904,'Teacher Lookup'!$A$2:$A$200,0)),"")</f>
        <v>CHEUNG Ken</v>
      </c>
    </row>
    <row r="5905" customFormat="false" ht="15" hidden="false" customHeight="false" outlineLevel="0" collapsed="false">
      <c r="A5905" s="3" t="s">
        <v>457</v>
      </c>
      <c r="B5905" s="4" t="s">
        <v>47</v>
      </c>
      <c r="C5905" s="4" t="n">
        <v>3</v>
      </c>
      <c r="D5905" s="4" t="s">
        <v>56</v>
      </c>
      <c r="E5905" s="3" t="s">
        <v>163</v>
      </c>
      <c r="F5905" s="4" t="str">
        <f aca="false">IF(I5905&gt;J5905,"Y","N")</f>
        <v>N</v>
      </c>
      <c r="G5905" s="3" t="s">
        <v>72</v>
      </c>
      <c r="H5905" s="3" t="s">
        <v>26</v>
      </c>
      <c r="I5905" s="4" t="n">
        <v>4</v>
      </c>
      <c r="J5905" s="4" t="n">
        <f aca="false">LEN(E5905)-LEN(SUBSTITUTE(E5905,",",""))+1</f>
        <v>4</v>
      </c>
      <c r="K5905" s="3" t="str">
        <f aca="false">IFERROR(INDEX('Teacher Lookup'!$B$2:$B$200,MATCH(A5905,'Teacher Lookup'!$A$2:$A$200,0)),"")</f>
        <v>CHEUNG Ken</v>
      </c>
    </row>
    <row r="5906" customFormat="false" ht="15" hidden="false" customHeight="false" outlineLevel="0" collapsed="false">
      <c r="A5906" s="3" t="s">
        <v>457</v>
      </c>
      <c r="B5906" s="4" t="s">
        <v>47</v>
      </c>
      <c r="C5906" s="4" t="n">
        <v>6</v>
      </c>
      <c r="D5906" s="4" t="s">
        <v>102</v>
      </c>
      <c r="E5906" s="3" t="s">
        <v>445</v>
      </c>
      <c r="F5906" s="4" t="str">
        <f aca="false">IF(I5906&gt;J5906,"Y","N")</f>
        <v>N</v>
      </c>
      <c r="G5906" s="3" t="s">
        <v>72</v>
      </c>
      <c r="H5906" s="3" t="s">
        <v>42</v>
      </c>
      <c r="I5906" s="4" t="n">
        <v>3</v>
      </c>
      <c r="J5906" s="4" t="n">
        <f aca="false">LEN(E5906)-LEN(SUBSTITUTE(E5906,",",""))+1</f>
        <v>3</v>
      </c>
      <c r="K5906" s="3" t="str">
        <f aca="false">IFERROR(INDEX('Teacher Lookup'!$B$2:$B$200,MATCH(A5906,'Teacher Lookup'!$A$2:$A$200,0)),"")</f>
        <v>CHEUNG Ken</v>
      </c>
    </row>
    <row r="5907" customFormat="false" ht="15" hidden="false" customHeight="false" outlineLevel="0" collapsed="false">
      <c r="A5907" s="3" t="s">
        <v>457</v>
      </c>
      <c r="B5907" s="4" t="s">
        <v>47</v>
      </c>
      <c r="C5907" s="4" t="n">
        <v>6</v>
      </c>
      <c r="D5907" s="4" t="s">
        <v>107</v>
      </c>
      <c r="E5907" s="3" t="s">
        <v>445</v>
      </c>
      <c r="F5907" s="4" t="str">
        <f aca="false">IF(I5907&gt;J5907,"Y","N")</f>
        <v>N</v>
      </c>
      <c r="G5907" s="3" t="s">
        <v>72</v>
      </c>
      <c r="H5907" s="3" t="s">
        <v>42</v>
      </c>
      <c r="I5907" s="4" t="n">
        <v>3</v>
      </c>
      <c r="J5907" s="4" t="n">
        <f aca="false">LEN(E5907)-LEN(SUBSTITUTE(E5907,",",""))+1</f>
        <v>3</v>
      </c>
      <c r="K5907" s="3" t="str">
        <f aca="false">IFERROR(INDEX('Teacher Lookup'!$B$2:$B$200,MATCH(A5907,'Teacher Lookup'!$A$2:$A$200,0)),"")</f>
        <v>CHEUNG Ken</v>
      </c>
    </row>
    <row r="5908" customFormat="false" ht="15" hidden="false" customHeight="false" outlineLevel="0" collapsed="false">
      <c r="A5908" s="3" t="s">
        <v>457</v>
      </c>
      <c r="B5908" s="4" t="s">
        <v>47</v>
      </c>
      <c r="C5908" s="4" t="n">
        <v>7</v>
      </c>
      <c r="D5908" s="4" t="s">
        <v>102</v>
      </c>
      <c r="E5908" s="3" t="s">
        <v>445</v>
      </c>
      <c r="F5908" s="4" t="str">
        <f aca="false">IF(I5908&gt;J5908,"Y","N")</f>
        <v>N</v>
      </c>
      <c r="G5908" s="3" t="s">
        <v>72</v>
      </c>
      <c r="H5908" s="3" t="s">
        <v>39</v>
      </c>
      <c r="I5908" s="4" t="n">
        <v>3</v>
      </c>
      <c r="J5908" s="4" t="n">
        <f aca="false">LEN(E5908)-LEN(SUBSTITUTE(E5908,",",""))+1</f>
        <v>3</v>
      </c>
      <c r="K5908" s="3" t="str">
        <f aca="false">IFERROR(INDEX('Teacher Lookup'!$B$2:$B$200,MATCH(A5908,'Teacher Lookup'!$A$2:$A$200,0)),"")</f>
        <v>CHEUNG Ken</v>
      </c>
    </row>
    <row r="5909" customFormat="false" ht="15" hidden="false" customHeight="false" outlineLevel="0" collapsed="false">
      <c r="A5909" s="3" t="s">
        <v>457</v>
      </c>
      <c r="B5909" s="4" t="s">
        <v>47</v>
      </c>
      <c r="C5909" s="4" t="n">
        <v>7</v>
      </c>
      <c r="D5909" s="4" t="s">
        <v>107</v>
      </c>
      <c r="E5909" s="3" t="s">
        <v>445</v>
      </c>
      <c r="F5909" s="4" t="str">
        <f aca="false">IF(I5909&gt;J5909,"Y","N")</f>
        <v>N</v>
      </c>
      <c r="G5909" s="3" t="s">
        <v>72</v>
      </c>
      <c r="H5909" s="3" t="s">
        <v>39</v>
      </c>
      <c r="I5909" s="4" t="n">
        <v>3</v>
      </c>
      <c r="J5909" s="4" t="n">
        <f aca="false">LEN(E5909)-LEN(SUBSTITUTE(E5909,",",""))+1</f>
        <v>3</v>
      </c>
      <c r="K5909" s="3" t="str">
        <f aca="false">IFERROR(INDEX('Teacher Lookup'!$B$2:$B$200,MATCH(A5909,'Teacher Lookup'!$A$2:$A$200,0)),"")</f>
        <v>CHEUNG Ken</v>
      </c>
    </row>
    <row r="5910" customFormat="false" ht="15" hidden="false" customHeight="false" outlineLevel="0" collapsed="false">
      <c r="A5910" s="3" t="s">
        <v>457</v>
      </c>
      <c r="B5910" s="4" t="s">
        <v>50</v>
      </c>
      <c r="C5910" s="4" t="n">
        <v>5</v>
      </c>
      <c r="D5910" s="4" t="s">
        <v>52</v>
      </c>
      <c r="E5910" s="3" t="s">
        <v>180</v>
      </c>
      <c r="F5910" s="4" t="str">
        <f aca="false">IF(I5910&gt;J5910,"Y","N")</f>
        <v>N</v>
      </c>
      <c r="G5910" s="3" t="s">
        <v>72</v>
      </c>
      <c r="H5910" s="3" t="s">
        <v>37</v>
      </c>
      <c r="I5910" s="4" t="n">
        <v>4</v>
      </c>
      <c r="J5910" s="4" t="n">
        <f aca="false">LEN(E5910)-LEN(SUBSTITUTE(E5910,",",""))+1</f>
        <v>4</v>
      </c>
      <c r="K5910" s="3" t="str">
        <f aca="false">IFERROR(INDEX('Teacher Lookup'!$B$2:$B$200,MATCH(A5910,'Teacher Lookup'!$A$2:$A$200,0)),"")</f>
        <v>CHEUNG Ken</v>
      </c>
    </row>
    <row r="5911" customFormat="false" ht="15" hidden="false" customHeight="false" outlineLevel="0" collapsed="false">
      <c r="A5911" s="3" t="s">
        <v>457</v>
      </c>
      <c r="B5911" s="4" t="s">
        <v>50</v>
      </c>
      <c r="C5911" s="4" t="n">
        <v>5</v>
      </c>
      <c r="D5911" s="4" t="s">
        <v>55</v>
      </c>
      <c r="E5911" s="3" t="s">
        <v>180</v>
      </c>
      <c r="F5911" s="4" t="str">
        <f aca="false">IF(I5911&gt;J5911,"Y","N")</f>
        <v>N</v>
      </c>
      <c r="G5911" s="3" t="s">
        <v>72</v>
      </c>
      <c r="H5911" s="3" t="s">
        <v>37</v>
      </c>
      <c r="I5911" s="4" t="n">
        <v>4</v>
      </c>
      <c r="J5911" s="4" t="n">
        <f aca="false">LEN(E5911)-LEN(SUBSTITUTE(E5911,",",""))+1</f>
        <v>4</v>
      </c>
      <c r="K5911" s="3" t="str">
        <f aca="false">IFERROR(INDEX('Teacher Lookup'!$B$2:$B$200,MATCH(A5911,'Teacher Lookup'!$A$2:$A$200,0)),"")</f>
        <v>CHEUNG Ken</v>
      </c>
    </row>
    <row r="5912" customFormat="false" ht="15" hidden="false" customHeight="false" outlineLevel="0" collapsed="false">
      <c r="A5912" s="3" t="s">
        <v>457</v>
      </c>
      <c r="B5912" s="4" t="s">
        <v>50</v>
      </c>
      <c r="C5912" s="4" t="n">
        <v>5</v>
      </c>
      <c r="D5912" s="4" t="s">
        <v>56</v>
      </c>
      <c r="E5912" s="3" t="s">
        <v>180</v>
      </c>
      <c r="F5912" s="4" t="str">
        <f aca="false">IF(I5912&gt;J5912,"Y","N")</f>
        <v>N</v>
      </c>
      <c r="G5912" s="3" t="s">
        <v>72</v>
      </c>
      <c r="H5912" s="3" t="s">
        <v>37</v>
      </c>
      <c r="I5912" s="4" t="n">
        <v>4</v>
      </c>
      <c r="J5912" s="4" t="n">
        <f aca="false">LEN(E5912)-LEN(SUBSTITUTE(E5912,",",""))+1</f>
        <v>4</v>
      </c>
      <c r="K5912" s="3" t="str">
        <f aca="false">IFERROR(INDEX('Teacher Lookup'!$B$2:$B$200,MATCH(A5912,'Teacher Lookup'!$A$2:$A$200,0)),"")</f>
        <v>CHEUNG Ken</v>
      </c>
    </row>
    <row r="5913" customFormat="false" ht="15" hidden="false" customHeight="false" outlineLevel="0" collapsed="false">
      <c r="A5913" s="3" t="s">
        <v>457</v>
      </c>
      <c r="B5913" s="4" t="s">
        <v>50</v>
      </c>
      <c r="C5913" s="4" t="n">
        <v>7</v>
      </c>
      <c r="D5913" s="4" t="s">
        <v>228</v>
      </c>
      <c r="E5913" s="3" t="s">
        <v>354</v>
      </c>
      <c r="F5913" s="4" t="str">
        <f aca="false">IF(I5913&gt;J5913,"Y","N")</f>
        <v>N</v>
      </c>
      <c r="G5913" s="3" t="s">
        <v>72</v>
      </c>
      <c r="H5913" s="3" t="s">
        <v>39</v>
      </c>
      <c r="I5913" s="4" t="n">
        <v>4</v>
      </c>
      <c r="J5913" s="4" t="n">
        <f aca="false">LEN(E5913)-LEN(SUBSTITUTE(E5913,",",""))+1</f>
        <v>4</v>
      </c>
      <c r="K5913" s="3" t="str">
        <f aca="false">IFERROR(INDEX('Teacher Lookup'!$B$2:$B$200,MATCH(A5913,'Teacher Lookup'!$A$2:$A$200,0)),"")</f>
        <v>CHEUNG Ken</v>
      </c>
    </row>
    <row r="5914" customFormat="false" ht="15" hidden="false" customHeight="false" outlineLevel="0" collapsed="false">
      <c r="A5914" s="3" t="s">
        <v>457</v>
      </c>
      <c r="B5914" s="4" t="s">
        <v>50</v>
      </c>
      <c r="C5914" s="4" t="n">
        <v>7</v>
      </c>
      <c r="D5914" s="4" t="s">
        <v>102</v>
      </c>
      <c r="E5914" s="3" t="s">
        <v>354</v>
      </c>
      <c r="F5914" s="4" t="str">
        <f aca="false">IF(I5914&gt;J5914,"Y","N")</f>
        <v>N</v>
      </c>
      <c r="G5914" s="3" t="s">
        <v>72</v>
      </c>
      <c r="H5914" s="3" t="s">
        <v>39</v>
      </c>
      <c r="I5914" s="4" t="n">
        <v>4</v>
      </c>
      <c r="J5914" s="4" t="n">
        <f aca="false">LEN(E5914)-LEN(SUBSTITUTE(E5914,",",""))+1</f>
        <v>4</v>
      </c>
      <c r="K5914" s="3" t="str">
        <f aca="false">IFERROR(INDEX('Teacher Lookup'!$B$2:$B$200,MATCH(A5914,'Teacher Lookup'!$A$2:$A$200,0)),"")</f>
        <v>CHEUNG Ken</v>
      </c>
    </row>
    <row r="5915" customFormat="false" ht="15" hidden="false" customHeight="false" outlineLevel="0" collapsed="false">
      <c r="A5915" s="3" t="s">
        <v>457</v>
      </c>
      <c r="B5915" s="4" t="s">
        <v>50</v>
      </c>
      <c r="C5915" s="4" t="n">
        <v>7</v>
      </c>
      <c r="D5915" s="4" t="s">
        <v>107</v>
      </c>
      <c r="E5915" s="3" t="s">
        <v>354</v>
      </c>
      <c r="F5915" s="4" t="str">
        <f aca="false">IF(I5915&gt;J5915,"Y","N")</f>
        <v>N</v>
      </c>
      <c r="G5915" s="3" t="s">
        <v>72</v>
      </c>
      <c r="H5915" s="3" t="s">
        <v>39</v>
      </c>
      <c r="I5915" s="4" t="n">
        <v>4</v>
      </c>
      <c r="J5915" s="4" t="n">
        <f aca="false">LEN(E5915)-LEN(SUBSTITUTE(E5915,",",""))+1</f>
        <v>4</v>
      </c>
      <c r="K5915" s="3" t="str">
        <f aca="false">IFERROR(INDEX('Teacher Lookup'!$B$2:$B$200,MATCH(A5915,'Teacher Lookup'!$A$2:$A$200,0)),"")</f>
        <v>CHEUNG Ken</v>
      </c>
    </row>
    <row r="5916" customFormat="false" ht="15" hidden="false" customHeight="false" outlineLevel="0" collapsed="false">
      <c r="A5916" s="3" t="s">
        <v>457</v>
      </c>
      <c r="B5916" s="4" t="s">
        <v>60</v>
      </c>
      <c r="C5916" s="4" t="n">
        <v>3</v>
      </c>
      <c r="D5916" s="4" t="s">
        <v>102</v>
      </c>
      <c r="E5916" s="3" t="s">
        <v>446</v>
      </c>
      <c r="F5916" s="4" t="str">
        <f aca="false">IF(I5916&gt;J5916,"Y","N")</f>
        <v>N</v>
      </c>
      <c r="G5916" s="3" t="s">
        <v>72</v>
      </c>
      <c r="H5916" s="3" t="s">
        <v>26</v>
      </c>
      <c r="I5916" s="4" t="n">
        <v>3</v>
      </c>
      <c r="J5916" s="4" t="n">
        <f aca="false">LEN(E5916)-LEN(SUBSTITUTE(E5916,",",""))+1</f>
        <v>3</v>
      </c>
      <c r="K5916" s="3" t="str">
        <f aca="false">IFERROR(INDEX('Teacher Lookup'!$B$2:$B$200,MATCH(A5916,'Teacher Lookup'!$A$2:$A$200,0)),"")</f>
        <v>CHEUNG Ken</v>
      </c>
    </row>
    <row r="5917" customFormat="false" ht="15" hidden="false" customHeight="false" outlineLevel="0" collapsed="false">
      <c r="A5917" s="3" t="s">
        <v>457</v>
      </c>
      <c r="B5917" s="4" t="s">
        <v>60</v>
      </c>
      <c r="C5917" s="4" t="n">
        <v>3</v>
      </c>
      <c r="D5917" s="4" t="s">
        <v>107</v>
      </c>
      <c r="E5917" s="3" t="s">
        <v>446</v>
      </c>
      <c r="F5917" s="4" t="str">
        <f aca="false">IF(I5917&gt;J5917,"Y","N")</f>
        <v>N</v>
      </c>
      <c r="G5917" s="3" t="s">
        <v>72</v>
      </c>
      <c r="H5917" s="3" t="s">
        <v>26</v>
      </c>
      <c r="I5917" s="4" t="n">
        <v>3</v>
      </c>
      <c r="J5917" s="4" t="n">
        <f aca="false">LEN(E5917)-LEN(SUBSTITUTE(E5917,",",""))+1</f>
        <v>3</v>
      </c>
      <c r="K5917" s="3" t="str">
        <f aca="false">IFERROR(INDEX('Teacher Lookup'!$B$2:$B$200,MATCH(A5917,'Teacher Lookup'!$A$2:$A$200,0)),"")</f>
        <v>CHEUNG Ken</v>
      </c>
    </row>
    <row r="5918" customFormat="false" ht="15" hidden="false" customHeight="false" outlineLevel="0" collapsed="false">
      <c r="A5918" s="3" t="s">
        <v>457</v>
      </c>
      <c r="B5918" s="4" t="s">
        <v>60</v>
      </c>
      <c r="C5918" s="4" t="n">
        <v>5</v>
      </c>
      <c r="D5918" s="4" t="s">
        <v>19</v>
      </c>
      <c r="E5918" s="3" t="s">
        <v>35</v>
      </c>
      <c r="F5918" s="4" t="str">
        <f aca="false">IF(I5918&gt;J5918,"Y","N")</f>
        <v>Y</v>
      </c>
      <c r="G5918" s="3" t="s">
        <v>36</v>
      </c>
      <c r="H5918" s="3" t="s">
        <v>37</v>
      </c>
      <c r="I5918" s="4" t="n">
        <v>17</v>
      </c>
      <c r="J5918" s="4" t="n">
        <f aca="false">LEN(E5918)-LEN(SUBSTITUTE(E5918,",",""))+1</f>
        <v>7</v>
      </c>
      <c r="K5918" s="3" t="str">
        <f aca="false">IFERROR(INDEX('Teacher Lookup'!$B$2:$B$200,MATCH(A5918,'Teacher Lookup'!$A$2:$A$200,0)),"")</f>
        <v>CHEUNG Ken</v>
      </c>
    </row>
    <row r="5919" customFormat="false" ht="15" hidden="false" customHeight="false" outlineLevel="0" collapsed="false">
      <c r="A5919" s="3" t="s">
        <v>457</v>
      </c>
      <c r="B5919" s="4" t="s">
        <v>60</v>
      </c>
      <c r="C5919" s="4" t="n">
        <v>5</v>
      </c>
      <c r="D5919" s="4" t="s">
        <v>22</v>
      </c>
      <c r="E5919" s="3" t="s">
        <v>35</v>
      </c>
      <c r="F5919" s="4" t="str">
        <f aca="false">IF(I5919&gt;J5919,"Y","N")</f>
        <v>Y</v>
      </c>
      <c r="G5919" s="3" t="s">
        <v>36</v>
      </c>
      <c r="H5919" s="3" t="s">
        <v>37</v>
      </c>
      <c r="I5919" s="4" t="n">
        <v>17</v>
      </c>
      <c r="J5919" s="4" t="n">
        <f aca="false">LEN(E5919)-LEN(SUBSTITUTE(E5919,",",""))+1</f>
        <v>7</v>
      </c>
      <c r="K5919" s="3" t="str">
        <f aca="false">IFERROR(INDEX('Teacher Lookup'!$B$2:$B$200,MATCH(A5919,'Teacher Lookup'!$A$2:$A$200,0)),"")</f>
        <v>CHEUNG Ken</v>
      </c>
    </row>
    <row r="5920" customFormat="false" ht="15" hidden="false" customHeight="false" outlineLevel="0" collapsed="false">
      <c r="A5920" s="3" t="s">
        <v>457</v>
      </c>
      <c r="B5920" s="4" t="s">
        <v>60</v>
      </c>
      <c r="C5920" s="4" t="n">
        <v>5</v>
      </c>
      <c r="D5920" s="4" t="s">
        <v>23</v>
      </c>
      <c r="E5920" s="3" t="s">
        <v>35</v>
      </c>
      <c r="F5920" s="4" t="str">
        <f aca="false">IF(I5920&gt;J5920,"Y","N")</f>
        <v>Y</v>
      </c>
      <c r="G5920" s="3" t="s">
        <v>36</v>
      </c>
      <c r="H5920" s="3" t="s">
        <v>37</v>
      </c>
      <c r="I5920" s="4" t="n">
        <v>17</v>
      </c>
      <c r="J5920" s="4" t="n">
        <f aca="false">LEN(E5920)-LEN(SUBSTITUTE(E5920,",",""))+1</f>
        <v>7</v>
      </c>
      <c r="K5920" s="3" t="str">
        <f aca="false">IFERROR(INDEX('Teacher Lookup'!$B$2:$B$200,MATCH(A5920,'Teacher Lookup'!$A$2:$A$200,0)),"")</f>
        <v>CHEUNG Ken</v>
      </c>
    </row>
    <row r="5921" customFormat="false" ht="15" hidden="false" customHeight="false" outlineLevel="0" collapsed="false">
      <c r="A5921" s="3" t="s">
        <v>457</v>
      </c>
      <c r="B5921" s="4" t="s">
        <v>60</v>
      </c>
      <c r="C5921" s="4" t="n">
        <v>5</v>
      </c>
      <c r="D5921" s="4" t="s">
        <v>13</v>
      </c>
      <c r="E5921" s="3" t="s">
        <v>35</v>
      </c>
      <c r="F5921" s="4" t="str">
        <f aca="false">IF(I5921&gt;J5921,"Y","N")</f>
        <v>Y</v>
      </c>
      <c r="G5921" s="3" t="s">
        <v>36</v>
      </c>
      <c r="H5921" s="3" t="s">
        <v>37</v>
      </c>
      <c r="I5921" s="4" t="n">
        <v>17</v>
      </c>
      <c r="J5921" s="4" t="n">
        <f aca="false">LEN(E5921)-LEN(SUBSTITUTE(E5921,",",""))+1</f>
        <v>7</v>
      </c>
      <c r="K5921" s="3" t="str">
        <f aca="false">IFERROR(INDEX('Teacher Lookup'!$B$2:$B$200,MATCH(A5921,'Teacher Lookup'!$A$2:$A$200,0)),"")</f>
        <v>CHEUNG Ken</v>
      </c>
    </row>
    <row r="5922" customFormat="false" ht="15" hidden="false" customHeight="false" outlineLevel="0" collapsed="false">
      <c r="A5922" s="3" t="s">
        <v>457</v>
      </c>
      <c r="B5922" s="4" t="s">
        <v>60</v>
      </c>
      <c r="C5922" s="4" t="n">
        <v>5</v>
      </c>
      <c r="D5922" s="4" t="s">
        <v>17</v>
      </c>
      <c r="E5922" s="3" t="s">
        <v>35</v>
      </c>
      <c r="F5922" s="4" t="str">
        <f aca="false">IF(I5922&gt;J5922,"Y","N")</f>
        <v>Y</v>
      </c>
      <c r="G5922" s="3" t="s">
        <v>36</v>
      </c>
      <c r="H5922" s="3" t="s">
        <v>37</v>
      </c>
      <c r="I5922" s="4" t="n">
        <v>17</v>
      </c>
      <c r="J5922" s="4" t="n">
        <f aca="false">LEN(E5922)-LEN(SUBSTITUTE(E5922,",",""))+1</f>
        <v>7</v>
      </c>
      <c r="K5922" s="3" t="str">
        <f aca="false">IFERROR(INDEX('Teacher Lookup'!$B$2:$B$200,MATCH(A5922,'Teacher Lookup'!$A$2:$A$200,0)),"")</f>
        <v>CHEUNG Ken</v>
      </c>
    </row>
    <row r="5923" customFormat="false" ht="15" hidden="false" customHeight="false" outlineLevel="0" collapsed="false">
      <c r="A5923" s="3" t="s">
        <v>457</v>
      </c>
      <c r="B5923" s="4" t="s">
        <v>60</v>
      </c>
      <c r="C5923" s="4" t="n">
        <v>5</v>
      </c>
      <c r="D5923" s="4" t="s">
        <v>18</v>
      </c>
      <c r="E5923" s="3" t="s">
        <v>35</v>
      </c>
      <c r="F5923" s="4" t="str">
        <f aca="false">IF(I5923&gt;J5923,"Y","N")</f>
        <v>Y</v>
      </c>
      <c r="G5923" s="3" t="s">
        <v>36</v>
      </c>
      <c r="H5923" s="3" t="s">
        <v>37</v>
      </c>
      <c r="I5923" s="4" t="n">
        <v>17</v>
      </c>
      <c r="J5923" s="4" t="n">
        <f aca="false">LEN(E5923)-LEN(SUBSTITUTE(E5923,",",""))+1</f>
        <v>7</v>
      </c>
      <c r="K5923" s="3" t="str">
        <f aca="false">IFERROR(INDEX('Teacher Lookup'!$B$2:$B$200,MATCH(A5923,'Teacher Lookup'!$A$2:$A$200,0)),"")</f>
        <v>CHEUNG Ken</v>
      </c>
    </row>
    <row r="5924" customFormat="false" ht="15" hidden="false" customHeight="false" outlineLevel="0" collapsed="false">
      <c r="A5924" s="3" t="s">
        <v>457</v>
      </c>
      <c r="B5924" s="4" t="s">
        <v>60</v>
      </c>
      <c r="C5924" s="4" t="n">
        <v>7</v>
      </c>
      <c r="D5924" s="4" t="s">
        <v>52</v>
      </c>
      <c r="E5924" s="3" t="s">
        <v>176</v>
      </c>
      <c r="F5924" s="4" t="str">
        <f aca="false">IF(I5924&gt;J5924,"Y","N")</f>
        <v>N</v>
      </c>
      <c r="G5924" s="3" t="s">
        <v>72</v>
      </c>
      <c r="H5924" s="3" t="s">
        <v>39</v>
      </c>
      <c r="I5924" s="4" t="n">
        <v>4</v>
      </c>
      <c r="J5924" s="4" t="n">
        <f aca="false">LEN(E5924)-LEN(SUBSTITUTE(E5924,",",""))+1</f>
        <v>4</v>
      </c>
      <c r="K5924" s="3" t="str">
        <f aca="false">IFERROR(INDEX('Teacher Lookup'!$B$2:$B$200,MATCH(A5924,'Teacher Lookup'!$A$2:$A$200,0)),"")</f>
        <v>CHEUNG Ken</v>
      </c>
    </row>
    <row r="5925" customFormat="false" ht="15" hidden="false" customHeight="false" outlineLevel="0" collapsed="false">
      <c r="A5925" s="3" t="s">
        <v>457</v>
      </c>
      <c r="B5925" s="4" t="s">
        <v>60</v>
      </c>
      <c r="C5925" s="4" t="n">
        <v>7</v>
      </c>
      <c r="D5925" s="4" t="s">
        <v>55</v>
      </c>
      <c r="E5925" s="3" t="s">
        <v>176</v>
      </c>
      <c r="F5925" s="4" t="str">
        <f aca="false">IF(I5925&gt;J5925,"Y","N")</f>
        <v>N</v>
      </c>
      <c r="G5925" s="3" t="s">
        <v>72</v>
      </c>
      <c r="H5925" s="3" t="s">
        <v>39</v>
      </c>
      <c r="I5925" s="4" t="n">
        <v>4</v>
      </c>
      <c r="J5925" s="4" t="n">
        <f aca="false">LEN(E5925)-LEN(SUBSTITUTE(E5925,",",""))+1</f>
        <v>4</v>
      </c>
      <c r="K5925" s="3" t="str">
        <f aca="false">IFERROR(INDEX('Teacher Lookup'!$B$2:$B$200,MATCH(A5925,'Teacher Lookup'!$A$2:$A$200,0)),"")</f>
        <v>CHEUNG Ken</v>
      </c>
    </row>
    <row r="5926" customFormat="false" ht="15" hidden="false" customHeight="false" outlineLevel="0" collapsed="false">
      <c r="A5926" s="3" t="s">
        <v>457</v>
      </c>
      <c r="B5926" s="4" t="s">
        <v>60</v>
      </c>
      <c r="C5926" s="4" t="n">
        <v>7</v>
      </c>
      <c r="D5926" s="4" t="s">
        <v>56</v>
      </c>
      <c r="E5926" s="3" t="s">
        <v>176</v>
      </c>
      <c r="F5926" s="4" t="str">
        <f aca="false">IF(I5926&gt;J5926,"Y","N")</f>
        <v>N</v>
      </c>
      <c r="G5926" s="3" t="s">
        <v>72</v>
      </c>
      <c r="H5926" s="3" t="s">
        <v>39</v>
      </c>
      <c r="I5926" s="4" t="n">
        <v>4</v>
      </c>
      <c r="J5926" s="4" t="n">
        <f aca="false">LEN(E5926)-LEN(SUBSTITUTE(E5926,",",""))+1</f>
        <v>4</v>
      </c>
      <c r="K5926" s="3" t="str">
        <f aca="false">IFERROR(INDEX('Teacher Lookup'!$B$2:$B$200,MATCH(A5926,'Teacher Lookup'!$A$2:$A$200,0)),"")</f>
        <v>CHEUNG Ken</v>
      </c>
    </row>
    <row r="5927" customFormat="false" ht="15" hidden="false" customHeight="false" outlineLevel="0" collapsed="false">
      <c r="A5927" s="3" t="s">
        <v>457</v>
      </c>
      <c r="B5927" s="4" t="s">
        <v>63</v>
      </c>
      <c r="C5927" s="4" t="n">
        <v>1</v>
      </c>
      <c r="D5927" s="4" t="s">
        <v>52</v>
      </c>
      <c r="E5927" s="3" t="s">
        <v>398</v>
      </c>
      <c r="F5927" s="4" t="str">
        <f aca="false">IF(I5927&gt;J5927,"Y","N")</f>
        <v>N</v>
      </c>
      <c r="G5927" s="3" t="s">
        <v>72</v>
      </c>
      <c r="H5927" s="3" t="s">
        <v>16</v>
      </c>
      <c r="I5927" s="4" t="n">
        <v>4</v>
      </c>
      <c r="J5927" s="4" t="n">
        <f aca="false">LEN(E5927)-LEN(SUBSTITUTE(E5927,",",""))+1</f>
        <v>4</v>
      </c>
      <c r="K5927" s="3" t="str">
        <f aca="false">IFERROR(INDEX('Teacher Lookup'!$B$2:$B$200,MATCH(A5927,'Teacher Lookup'!$A$2:$A$200,0)),"")</f>
        <v>CHEUNG Ken</v>
      </c>
    </row>
    <row r="5928" customFormat="false" ht="15" hidden="false" customHeight="false" outlineLevel="0" collapsed="false">
      <c r="A5928" s="3" t="s">
        <v>457</v>
      </c>
      <c r="B5928" s="4" t="s">
        <v>63</v>
      </c>
      <c r="C5928" s="4" t="n">
        <v>1</v>
      </c>
      <c r="D5928" s="4" t="s">
        <v>55</v>
      </c>
      <c r="E5928" s="3" t="s">
        <v>398</v>
      </c>
      <c r="F5928" s="4" t="str">
        <f aca="false">IF(I5928&gt;J5928,"Y","N")</f>
        <v>N</v>
      </c>
      <c r="G5928" s="3" t="s">
        <v>72</v>
      </c>
      <c r="H5928" s="3" t="s">
        <v>16</v>
      </c>
      <c r="I5928" s="4" t="n">
        <v>4</v>
      </c>
      <c r="J5928" s="4" t="n">
        <f aca="false">LEN(E5928)-LEN(SUBSTITUTE(E5928,",",""))+1</f>
        <v>4</v>
      </c>
      <c r="K5928" s="3" t="str">
        <f aca="false">IFERROR(INDEX('Teacher Lookup'!$B$2:$B$200,MATCH(A5928,'Teacher Lookup'!$A$2:$A$200,0)),"")</f>
        <v>CHEUNG Ken</v>
      </c>
    </row>
    <row r="5929" customFormat="false" ht="15" hidden="false" customHeight="false" outlineLevel="0" collapsed="false">
      <c r="A5929" s="3" t="s">
        <v>457</v>
      </c>
      <c r="B5929" s="4" t="s">
        <v>63</v>
      </c>
      <c r="C5929" s="4" t="n">
        <v>1</v>
      </c>
      <c r="D5929" s="4" t="s">
        <v>56</v>
      </c>
      <c r="E5929" s="3" t="s">
        <v>398</v>
      </c>
      <c r="F5929" s="4" t="str">
        <f aca="false">IF(I5929&gt;J5929,"Y","N")</f>
        <v>N</v>
      </c>
      <c r="G5929" s="3" t="s">
        <v>72</v>
      </c>
      <c r="H5929" s="3" t="s">
        <v>16</v>
      </c>
      <c r="I5929" s="4" t="n">
        <v>4</v>
      </c>
      <c r="J5929" s="4" t="n">
        <f aca="false">LEN(E5929)-LEN(SUBSTITUTE(E5929,",",""))+1</f>
        <v>4</v>
      </c>
      <c r="K5929" s="3" t="str">
        <f aca="false">IFERROR(INDEX('Teacher Lookup'!$B$2:$B$200,MATCH(A5929,'Teacher Lookup'!$A$2:$A$200,0)),"")</f>
        <v>CHEUNG Ken</v>
      </c>
    </row>
    <row r="5930" customFormat="false" ht="15" hidden="false" customHeight="false" outlineLevel="0" collapsed="false">
      <c r="A5930" s="3" t="s">
        <v>457</v>
      </c>
      <c r="B5930" s="4" t="s">
        <v>63</v>
      </c>
      <c r="C5930" s="4" t="n">
        <v>2</v>
      </c>
      <c r="D5930" s="4" t="s">
        <v>52</v>
      </c>
      <c r="E5930" s="3" t="s">
        <v>398</v>
      </c>
      <c r="F5930" s="4" t="str">
        <f aca="false">IF(I5930&gt;J5930,"Y","N")</f>
        <v>N</v>
      </c>
      <c r="G5930" s="3" t="s">
        <v>72</v>
      </c>
      <c r="H5930" s="3" t="s">
        <v>21</v>
      </c>
      <c r="I5930" s="4" t="n">
        <v>4</v>
      </c>
      <c r="J5930" s="4" t="n">
        <f aca="false">LEN(E5930)-LEN(SUBSTITUTE(E5930,",",""))+1</f>
        <v>4</v>
      </c>
      <c r="K5930" s="3" t="str">
        <f aca="false">IFERROR(INDEX('Teacher Lookup'!$B$2:$B$200,MATCH(A5930,'Teacher Lookup'!$A$2:$A$200,0)),"")</f>
        <v>CHEUNG Ken</v>
      </c>
    </row>
    <row r="5931" customFormat="false" ht="15" hidden="false" customHeight="false" outlineLevel="0" collapsed="false">
      <c r="A5931" s="3" t="s">
        <v>457</v>
      </c>
      <c r="B5931" s="4" t="s">
        <v>63</v>
      </c>
      <c r="C5931" s="4" t="n">
        <v>2</v>
      </c>
      <c r="D5931" s="4" t="s">
        <v>55</v>
      </c>
      <c r="E5931" s="3" t="s">
        <v>398</v>
      </c>
      <c r="F5931" s="4" t="str">
        <f aca="false">IF(I5931&gt;J5931,"Y","N")</f>
        <v>N</v>
      </c>
      <c r="G5931" s="3" t="s">
        <v>72</v>
      </c>
      <c r="H5931" s="3" t="s">
        <v>21</v>
      </c>
      <c r="I5931" s="4" t="n">
        <v>4</v>
      </c>
      <c r="J5931" s="4" t="n">
        <f aca="false">LEN(E5931)-LEN(SUBSTITUTE(E5931,",",""))+1</f>
        <v>4</v>
      </c>
      <c r="K5931" s="3" t="str">
        <f aca="false">IFERROR(INDEX('Teacher Lookup'!$B$2:$B$200,MATCH(A5931,'Teacher Lookup'!$A$2:$A$200,0)),"")</f>
        <v>CHEUNG Ken</v>
      </c>
    </row>
    <row r="5932" customFormat="false" ht="15" hidden="false" customHeight="false" outlineLevel="0" collapsed="false">
      <c r="A5932" s="3" t="s">
        <v>457</v>
      </c>
      <c r="B5932" s="4" t="s">
        <v>63</v>
      </c>
      <c r="C5932" s="4" t="n">
        <v>2</v>
      </c>
      <c r="D5932" s="4" t="s">
        <v>56</v>
      </c>
      <c r="E5932" s="3" t="s">
        <v>398</v>
      </c>
      <c r="F5932" s="4" t="str">
        <f aca="false">IF(I5932&gt;J5932,"Y","N")</f>
        <v>N</v>
      </c>
      <c r="G5932" s="3" t="s">
        <v>72</v>
      </c>
      <c r="H5932" s="3" t="s">
        <v>21</v>
      </c>
      <c r="I5932" s="4" t="n">
        <v>4</v>
      </c>
      <c r="J5932" s="4" t="n">
        <f aca="false">LEN(E5932)-LEN(SUBSTITUTE(E5932,",",""))+1</f>
        <v>4</v>
      </c>
      <c r="K5932" s="3" t="str">
        <f aca="false">IFERROR(INDEX('Teacher Lookup'!$B$2:$B$200,MATCH(A5932,'Teacher Lookup'!$A$2:$A$200,0)),"")</f>
        <v>CHEUNG Ken</v>
      </c>
    </row>
    <row r="5933" customFormat="false" ht="15" hidden="false" customHeight="false" outlineLevel="0" collapsed="false">
      <c r="A5933" s="3" t="s">
        <v>457</v>
      </c>
      <c r="B5933" s="4" t="s">
        <v>63</v>
      </c>
      <c r="C5933" s="4" t="n">
        <v>4</v>
      </c>
      <c r="D5933" s="4" t="s">
        <v>228</v>
      </c>
      <c r="E5933" s="3" t="s">
        <v>355</v>
      </c>
      <c r="F5933" s="4" t="str">
        <f aca="false">IF(I5933&gt;J5933,"Y","N")</f>
        <v>N</v>
      </c>
      <c r="G5933" s="3" t="s">
        <v>72</v>
      </c>
      <c r="H5933" s="3" t="s">
        <v>34</v>
      </c>
      <c r="I5933" s="4" t="n">
        <v>4</v>
      </c>
      <c r="J5933" s="4" t="n">
        <f aca="false">LEN(E5933)-LEN(SUBSTITUTE(E5933,",",""))+1</f>
        <v>4</v>
      </c>
      <c r="K5933" s="3" t="str">
        <f aca="false">IFERROR(INDEX('Teacher Lookup'!$B$2:$B$200,MATCH(A5933,'Teacher Lookup'!$A$2:$A$200,0)),"")</f>
        <v>CHEUNG Ken</v>
      </c>
    </row>
    <row r="5934" customFormat="false" ht="15" hidden="false" customHeight="false" outlineLevel="0" collapsed="false">
      <c r="A5934" s="3" t="s">
        <v>457</v>
      </c>
      <c r="B5934" s="4" t="s">
        <v>63</v>
      </c>
      <c r="C5934" s="4" t="n">
        <v>4</v>
      </c>
      <c r="D5934" s="4" t="s">
        <v>102</v>
      </c>
      <c r="E5934" s="3" t="s">
        <v>355</v>
      </c>
      <c r="F5934" s="4" t="str">
        <f aca="false">IF(I5934&gt;J5934,"Y","N")</f>
        <v>N</v>
      </c>
      <c r="G5934" s="3" t="s">
        <v>72</v>
      </c>
      <c r="H5934" s="3" t="s">
        <v>34</v>
      </c>
      <c r="I5934" s="4" t="n">
        <v>4</v>
      </c>
      <c r="J5934" s="4" t="n">
        <f aca="false">LEN(E5934)-LEN(SUBSTITUTE(E5934,",",""))+1</f>
        <v>4</v>
      </c>
      <c r="K5934" s="3" t="str">
        <f aca="false">IFERROR(INDEX('Teacher Lookup'!$B$2:$B$200,MATCH(A5934,'Teacher Lookup'!$A$2:$A$200,0)),"")</f>
        <v>CHEUNG Ken</v>
      </c>
    </row>
    <row r="5935" customFormat="false" ht="15" hidden="false" customHeight="false" outlineLevel="0" collapsed="false">
      <c r="A5935" s="3" t="s">
        <v>457</v>
      </c>
      <c r="B5935" s="4" t="s">
        <v>63</v>
      </c>
      <c r="C5935" s="4" t="n">
        <v>4</v>
      </c>
      <c r="D5935" s="4" t="s">
        <v>107</v>
      </c>
      <c r="E5935" s="3" t="s">
        <v>355</v>
      </c>
      <c r="F5935" s="4" t="str">
        <f aca="false">IF(I5935&gt;J5935,"Y","N")</f>
        <v>N</v>
      </c>
      <c r="G5935" s="3" t="s">
        <v>72</v>
      </c>
      <c r="H5935" s="3" t="s">
        <v>34</v>
      </c>
      <c r="I5935" s="4" t="n">
        <v>4</v>
      </c>
      <c r="J5935" s="4" t="n">
        <f aca="false">LEN(E5935)-LEN(SUBSTITUTE(E5935,",",""))+1</f>
        <v>4</v>
      </c>
      <c r="K5935" s="3" t="str">
        <f aca="false">IFERROR(INDEX('Teacher Lookup'!$B$2:$B$200,MATCH(A5935,'Teacher Lookup'!$A$2:$A$200,0)),"")</f>
        <v>CHEUNG Ken</v>
      </c>
    </row>
    <row r="5936" customFormat="false" ht="15" hidden="false" customHeight="false" outlineLevel="0" collapsed="false">
      <c r="A5936" s="3" t="s">
        <v>457</v>
      </c>
      <c r="B5936" s="4" t="s">
        <v>65</v>
      </c>
      <c r="C5936" s="4" t="n">
        <v>4</v>
      </c>
      <c r="D5936" s="4" t="s">
        <v>102</v>
      </c>
      <c r="E5936" s="3" t="s">
        <v>447</v>
      </c>
      <c r="F5936" s="4" t="str">
        <f aca="false">IF(I5936&gt;J5936,"Y","N")</f>
        <v>N</v>
      </c>
      <c r="G5936" s="3" t="s">
        <v>72</v>
      </c>
      <c r="H5936" s="3" t="s">
        <v>34</v>
      </c>
      <c r="I5936" s="4" t="n">
        <v>3</v>
      </c>
      <c r="J5936" s="4" t="n">
        <f aca="false">LEN(E5936)-LEN(SUBSTITUTE(E5936,",",""))+1</f>
        <v>3</v>
      </c>
      <c r="K5936" s="3" t="str">
        <f aca="false">IFERROR(INDEX('Teacher Lookup'!$B$2:$B$200,MATCH(A5936,'Teacher Lookup'!$A$2:$A$200,0)),"")</f>
        <v>CHEUNG Ken</v>
      </c>
    </row>
    <row r="5937" customFormat="false" ht="15" hidden="false" customHeight="false" outlineLevel="0" collapsed="false">
      <c r="A5937" s="3" t="s">
        <v>457</v>
      </c>
      <c r="B5937" s="4" t="s">
        <v>65</v>
      </c>
      <c r="C5937" s="4" t="n">
        <v>4</v>
      </c>
      <c r="D5937" s="4" t="s">
        <v>107</v>
      </c>
      <c r="E5937" s="3" t="s">
        <v>447</v>
      </c>
      <c r="F5937" s="4" t="str">
        <f aca="false">IF(I5937&gt;J5937,"Y","N")</f>
        <v>N</v>
      </c>
      <c r="G5937" s="3" t="s">
        <v>72</v>
      </c>
      <c r="H5937" s="3" t="s">
        <v>34</v>
      </c>
      <c r="I5937" s="4" t="n">
        <v>3</v>
      </c>
      <c r="J5937" s="4" t="n">
        <f aca="false">LEN(E5937)-LEN(SUBSTITUTE(E5937,",",""))+1</f>
        <v>3</v>
      </c>
      <c r="K5937" s="3" t="str">
        <f aca="false">IFERROR(INDEX('Teacher Lookup'!$B$2:$B$200,MATCH(A5937,'Teacher Lookup'!$A$2:$A$200,0)),"")</f>
        <v>CHEUNG Ken</v>
      </c>
    </row>
    <row r="5938" customFormat="false" ht="15" hidden="false" customHeight="false" outlineLevel="0" collapsed="false">
      <c r="A5938" s="3" t="s">
        <v>457</v>
      </c>
      <c r="B5938" s="4" t="s">
        <v>65</v>
      </c>
      <c r="C5938" s="4" t="n">
        <v>5</v>
      </c>
      <c r="D5938" s="4" t="s">
        <v>19</v>
      </c>
      <c r="E5938" s="3" t="s">
        <v>35</v>
      </c>
      <c r="F5938" s="4" t="str">
        <f aca="false">IF(I5938&gt;J5938,"Y","N")</f>
        <v>Y</v>
      </c>
      <c r="G5938" s="3" t="s">
        <v>36</v>
      </c>
      <c r="H5938" s="3" t="s">
        <v>37</v>
      </c>
      <c r="I5938" s="4" t="n">
        <v>17</v>
      </c>
      <c r="J5938" s="4" t="n">
        <f aca="false">LEN(E5938)-LEN(SUBSTITUTE(E5938,",",""))+1</f>
        <v>7</v>
      </c>
      <c r="K5938" s="3" t="str">
        <f aca="false">IFERROR(INDEX('Teacher Lookup'!$B$2:$B$200,MATCH(A5938,'Teacher Lookup'!$A$2:$A$200,0)),"")</f>
        <v>CHEUNG Ken</v>
      </c>
    </row>
    <row r="5939" customFormat="false" ht="15" hidden="false" customHeight="false" outlineLevel="0" collapsed="false">
      <c r="A5939" s="3" t="s">
        <v>457</v>
      </c>
      <c r="B5939" s="4" t="s">
        <v>65</v>
      </c>
      <c r="C5939" s="4" t="n">
        <v>5</v>
      </c>
      <c r="D5939" s="4" t="s">
        <v>22</v>
      </c>
      <c r="E5939" s="3" t="s">
        <v>35</v>
      </c>
      <c r="F5939" s="4" t="str">
        <f aca="false">IF(I5939&gt;J5939,"Y","N")</f>
        <v>Y</v>
      </c>
      <c r="G5939" s="3" t="s">
        <v>36</v>
      </c>
      <c r="H5939" s="3" t="s">
        <v>37</v>
      </c>
      <c r="I5939" s="4" t="n">
        <v>17</v>
      </c>
      <c r="J5939" s="4" t="n">
        <f aca="false">LEN(E5939)-LEN(SUBSTITUTE(E5939,",",""))+1</f>
        <v>7</v>
      </c>
      <c r="K5939" s="3" t="str">
        <f aca="false">IFERROR(INDEX('Teacher Lookup'!$B$2:$B$200,MATCH(A5939,'Teacher Lookup'!$A$2:$A$200,0)),"")</f>
        <v>CHEUNG Ken</v>
      </c>
    </row>
    <row r="5940" customFormat="false" ht="15" hidden="false" customHeight="false" outlineLevel="0" collapsed="false">
      <c r="A5940" s="3" t="s">
        <v>457</v>
      </c>
      <c r="B5940" s="4" t="s">
        <v>65</v>
      </c>
      <c r="C5940" s="4" t="n">
        <v>5</v>
      </c>
      <c r="D5940" s="4" t="s">
        <v>23</v>
      </c>
      <c r="E5940" s="3" t="s">
        <v>35</v>
      </c>
      <c r="F5940" s="4" t="str">
        <f aca="false">IF(I5940&gt;J5940,"Y","N")</f>
        <v>Y</v>
      </c>
      <c r="G5940" s="3" t="s">
        <v>36</v>
      </c>
      <c r="H5940" s="3" t="s">
        <v>37</v>
      </c>
      <c r="I5940" s="4" t="n">
        <v>17</v>
      </c>
      <c r="J5940" s="4" t="n">
        <f aca="false">LEN(E5940)-LEN(SUBSTITUTE(E5940,",",""))+1</f>
        <v>7</v>
      </c>
      <c r="K5940" s="3" t="str">
        <f aca="false">IFERROR(INDEX('Teacher Lookup'!$B$2:$B$200,MATCH(A5940,'Teacher Lookup'!$A$2:$A$200,0)),"")</f>
        <v>CHEUNG Ken</v>
      </c>
    </row>
    <row r="5941" customFormat="false" ht="15" hidden="false" customHeight="false" outlineLevel="0" collapsed="false">
      <c r="A5941" s="3" t="s">
        <v>457</v>
      </c>
      <c r="B5941" s="4" t="s">
        <v>65</v>
      </c>
      <c r="C5941" s="4" t="n">
        <v>5</v>
      </c>
      <c r="D5941" s="4" t="s">
        <v>13</v>
      </c>
      <c r="E5941" s="3" t="s">
        <v>35</v>
      </c>
      <c r="F5941" s="4" t="str">
        <f aca="false">IF(I5941&gt;J5941,"Y","N")</f>
        <v>Y</v>
      </c>
      <c r="G5941" s="3" t="s">
        <v>36</v>
      </c>
      <c r="H5941" s="3" t="s">
        <v>37</v>
      </c>
      <c r="I5941" s="4" t="n">
        <v>17</v>
      </c>
      <c r="J5941" s="4" t="n">
        <f aca="false">LEN(E5941)-LEN(SUBSTITUTE(E5941,",",""))+1</f>
        <v>7</v>
      </c>
      <c r="K5941" s="3" t="str">
        <f aca="false">IFERROR(INDEX('Teacher Lookup'!$B$2:$B$200,MATCH(A5941,'Teacher Lookup'!$A$2:$A$200,0)),"")</f>
        <v>CHEUNG Ken</v>
      </c>
    </row>
    <row r="5942" customFormat="false" ht="15" hidden="false" customHeight="false" outlineLevel="0" collapsed="false">
      <c r="A5942" s="3" t="s">
        <v>457</v>
      </c>
      <c r="B5942" s="4" t="s">
        <v>65</v>
      </c>
      <c r="C5942" s="4" t="n">
        <v>5</v>
      </c>
      <c r="D5942" s="4" t="s">
        <v>17</v>
      </c>
      <c r="E5942" s="3" t="s">
        <v>35</v>
      </c>
      <c r="F5942" s="4" t="str">
        <f aca="false">IF(I5942&gt;J5942,"Y","N")</f>
        <v>Y</v>
      </c>
      <c r="G5942" s="3" t="s">
        <v>36</v>
      </c>
      <c r="H5942" s="3" t="s">
        <v>37</v>
      </c>
      <c r="I5942" s="4" t="n">
        <v>17</v>
      </c>
      <c r="J5942" s="4" t="n">
        <f aca="false">LEN(E5942)-LEN(SUBSTITUTE(E5942,",",""))+1</f>
        <v>7</v>
      </c>
      <c r="K5942" s="3" t="str">
        <f aca="false">IFERROR(INDEX('Teacher Lookup'!$B$2:$B$200,MATCH(A5942,'Teacher Lookup'!$A$2:$A$200,0)),"")</f>
        <v>CHEUNG Ken</v>
      </c>
    </row>
    <row r="5943" customFormat="false" ht="15" hidden="false" customHeight="false" outlineLevel="0" collapsed="false">
      <c r="A5943" s="3" t="s">
        <v>457</v>
      </c>
      <c r="B5943" s="4" t="s">
        <v>65</v>
      </c>
      <c r="C5943" s="4" t="n">
        <v>5</v>
      </c>
      <c r="D5943" s="4" t="s">
        <v>18</v>
      </c>
      <c r="E5943" s="3" t="s">
        <v>35</v>
      </c>
      <c r="F5943" s="4" t="str">
        <f aca="false">IF(I5943&gt;J5943,"Y","N")</f>
        <v>Y</v>
      </c>
      <c r="G5943" s="3" t="s">
        <v>36</v>
      </c>
      <c r="H5943" s="3" t="s">
        <v>37</v>
      </c>
      <c r="I5943" s="4" t="n">
        <v>17</v>
      </c>
      <c r="J5943" s="4" t="n">
        <f aca="false">LEN(E5943)-LEN(SUBSTITUTE(E5943,",",""))+1</f>
        <v>7</v>
      </c>
      <c r="K5943" s="3" t="str">
        <f aca="false">IFERROR(INDEX('Teacher Lookup'!$B$2:$B$200,MATCH(A5943,'Teacher Lookup'!$A$2:$A$200,0)),"")</f>
        <v>CHEUNG Ken</v>
      </c>
    </row>
    <row r="5944" customFormat="false" ht="15" hidden="false" customHeight="false" outlineLevel="0" collapsed="false">
      <c r="A5944" s="3" t="s">
        <v>457</v>
      </c>
      <c r="B5944" s="4" t="s">
        <v>65</v>
      </c>
      <c r="C5944" s="4" t="n">
        <v>6</v>
      </c>
      <c r="D5944" s="4" t="s">
        <v>52</v>
      </c>
      <c r="E5944" s="3" t="s">
        <v>163</v>
      </c>
      <c r="F5944" s="4" t="str">
        <f aca="false">IF(I5944&gt;J5944,"Y","N")</f>
        <v>N</v>
      </c>
      <c r="G5944" s="3" t="s">
        <v>72</v>
      </c>
      <c r="H5944" s="3" t="s">
        <v>42</v>
      </c>
      <c r="I5944" s="4" t="n">
        <v>4</v>
      </c>
      <c r="J5944" s="4" t="n">
        <f aca="false">LEN(E5944)-LEN(SUBSTITUTE(E5944,",",""))+1</f>
        <v>4</v>
      </c>
      <c r="K5944" s="3" t="str">
        <f aca="false">IFERROR(INDEX('Teacher Lookup'!$B$2:$B$200,MATCH(A5944,'Teacher Lookup'!$A$2:$A$200,0)),"")</f>
        <v>CHEUNG Ken</v>
      </c>
    </row>
    <row r="5945" customFormat="false" ht="15" hidden="false" customHeight="false" outlineLevel="0" collapsed="false">
      <c r="A5945" s="3" t="s">
        <v>457</v>
      </c>
      <c r="B5945" s="4" t="s">
        <v>65</v>
      </c>
      <c r="C5945" s="4" t="n">
        <v>6</v>
      </c>
      <c r="D5945" s="4" t="s">
        <v>55</v>
      </c>
      <c r="E5945" s="3" t="s">
        <v>163</v>
      </c>
      <c r="F5945" s="4" t="str">
        <f aca="false">IF(I5945&gt;J5945,"Y","N")</f>
        <v>N</v>
      </c>
      <c r="G5945" s="3" t="s">
        <v>72</v>
      </c>
      <c r="H5945" s="3" t="s">
        <v>42</v>
      </c>
      <c r="I5945" s="4" t="n">
        <v>4</v>
      </c>
      <c r="J5945" s="4" t="n">
        <f aca="false">LEN(E5945)-LEN(SUBSTITUTE(E5945,",",""))+1</f>
        <v>4</v>
      </c>
      <c r="K5945" s="3" t="str">
        <f aca="false">IFERROR(INDEX('Teacher Lookup'!$B$2:$B$200,MATCH(A5945,'Teacher Lookup'!$A$2:$A$200,0)),"")</f>
        <v>CHEUNG Ken</v>
      </c>
    </row>
    <row r="5946" customFormat="false" ht="15" hidden="false" customHeight="false" outlineLevel="0" collapsed="false">
      <c r="A5946" s="3" t="s">
        <v>457</v>
      </c>
      <c r="B5946" s="4" t="s">
        <v>65</v>
      </c>
      <c r="C5946" s="4" t="n">
        <v>6</v>
      </c>
      <c r="D5946" s="4" t="s">
        <v>56</v>
      </c>
      <c r="E5946" s="3" t="s">
        <v>163</v>
      </c>
      <c r="F5946" s="4" t="str">
        <f aca="false">IF(I5946&gt;J5946,"Y","N")</f>
        <v>N</v>
      </c>
      <c r="G5946" s="3" t="s">
        <v>72</v>
      </c>
      <c r="H5946" s="3" t="s">
        <v>42</v>
      </c>
      <c r="I5946" s="4" t="n">
        <v>4</v>
      </c>
      <c r="J5946" s="4" t="n">
        <f aca="false">LEN(E5946)-LEN(SUBSTITUTE(E5946,",",""))+1</f>
        <v>4</v>
      </c>
      <c r="K5946" s="3" t="str">
        <f aca="false">IFERROR(INDEX('Teacher Lookup'!$B$2:$B$200,MATCH(A5946,'Teacher Lookup'!$A$2:$A$200,0)),"")</f>
        <v>CHEUNG Ken</v>
      </c>
    </row>
    <row r="5947" customFormat="false" ht="15" hidden="false" customHeight="false" outlineLevel="0" collapsed="false">
      <c r="A5947" s="3" t="s">
        <v>457</v>
      </c>
      <c r="B5947" s="4" t="s">
        <v>66</v>
      </c>
      <c r="C5947" s="4" t="n">
        <v>2</v>
      </c>
      <c r="D5947" s="4" t="s">
        <v>52</v>
      </c>
      <c r="E5947" s="3" t="s">
        <v>177</v>
      </c>
      <c r="F5947" s="4" t="str">
        <f aca="false">IF(I5947&gt;J5947,"Y","N")</f>
        <v>N</v>
      </c>
      <c r="G5947" s="3" t="s">
        <v>72</v>
      </c>
      <c r="H5947" s="3" t="s">
        <v>21</v>
      </c>
      <c r="I5947" s="4" t="n">
        <v>4</v>
      </c>
      <c r="J5947" s="4" t="n">
        <f aca="false">LEN(E5947)-LEN(SUBSTITUTE(E5947,",",""))+1</f>
        <v>4</v>
      </c>
      <c r="K5947" s="3" t="str">
        <f aca="false">IFERROR(INDEX('Teacher Lookup'!$B$2:$B$200,MATCH(A5947,'Teacher Lookup'!$A$2:$A$200,0)),"")</f>
        <v>CHEUNG Ken</v>
      </c>
    </row>
    <row r="5948" customFormat="false" ht="15" hidden="false" customHeight="false" outlineLevel="0" collapsed="false">
      <c r="A5948" s="3" t="s">
        <v>457</v>
      </c>
      <c r="B5948" s="4" t="s">
        <v>66</v>
      </c>
      <c r="C5948" s="4" t="n">
        <v>2</v>
      </c>
      <c r="D5948" s="4" t="s">
        <v>55</v>
      </c>
      <c r="E5948" s="3" t="s">
        <v>177</v>
      </c>
      <c r="F5948" s="4" t="str">
        <f aca="false">IF(I5948&gt;J5948,"Y","N")</f>
        <v>N</v>
      </c>
      <c r="G5948" s="3" t="s">
        <v>72</v>
      </c>
      <c r="H5948" s="3" t="s">
        <v>21</v>
      </c>
      <c r="I5948" s="4" t="n">
        <v>4</v>
      </c>
      <c r="J5948" s="4" t="n">
        <f aca="false">LEN(E5948)-LEN(SUBSTITUTE(E5948,",",""))+1</f>
        <v>4</v>
      </c>
      <c r="K5948" s="3" t="str">
        <f aca="false">IFERROR(INDEX('Teacher Lookup'!$B$2:$B$200,MATCH(A5948,'Teacher Lookup'!$A$2:$A$200,0)),"")</f>
        <v>CHEUNG Ken</v>
      </c>
    </row>
    <row r="5949" customFormat="false" ht="15" hidden="false" customHeight="false" outlineLevel="0" collapsed="false">
      <c r="A5949" s="3" t="s">
        <v>457</v>
      </c>
      <c r="B5949" s="4" t="s">
        <v>66</v>
      </c>
      <c r="C5949" s="4" t="n">
        <v>2</v>
      </c>
      <c r="D5949" s="4" t="s">
        <v>56</v>
      </c>
      <c r="E5949" s="3" t="s">
        <v>177</v>
      </c>
      <c r="F5949" s="4" t="str">
        <f aca="false">IF(I5949&gt;J5949,"Y","N")</f>
        <v>N</v>
      </c>
      <c r="G5949" s="3" t="s">
        <v>72</v>
      </c>
      <c r="H5949" s="3" t="s">
        <v>21</v>
      </c>
      <c r="I5949" s="4" t="n">
        <v>4</v>
      </c>
      <c r="J5949" s="4" t="n">
        <f aca="false">LEN(E5949)-LEN(SUBSTITUTE(E5949,",",""))+1</f>
        <v>4</v>
      </c>
      <c r="K5949" s="3" t="str">
        <f aca="false">IFERROR(INDEX('Teacher Lookup'!$B$2:$B$200,MATCH(A5949,'Teacher Lookup'!$A$2:$A$200,0)),"")</f>
        <v>CHEUNG Ken</v>
      </c>
    </row>
    <row r="5950" customFormat="false" ht="15" hidden="false" customHeight="false" outlineLevel="0" collapsed="false">
      <c r="A5950" s="3" t="s">
        <v>457</v>
      </c>
      <c r="B5950" s="4" t="s">
        <v>66</v>
      </c>
      <c r="C5950" s="4" t="n">
        <v>6</v>
      </c>
      <c r="D5950" s="4" t="s">
        <v>102</v>
      </c>
      <c r="E5950" s="3" t="s">
        <v>448</v>
      </c>
      <c r="F5950" s="4" t="str">
        <f aca="false">IF(I5950&gt;J5950,"Y","N")</f>
        <v>N</v>
      </c>
      <c r="G5950" s="3" t="s">
        <v>72</v>
      </c>
      <c r="H5950" s="3" t="s">
        <v>42</v>
      </c>
      <c r="I5950" s="4" t="n">
        <v>3</v>
      </c>
      <c r="J5950" s="4" t="n">
        <f aca="false">LEN(E5950)-LEN(SUBSTITUTE(E5950,",",""))+1</f>
        <v>3</v>
      </c>
      <c r="K5950" s="3" t="str">
        <f aca="false">IFERROR(INDEX('Teacher Lookup'!$B$2:$B$200,MATCH(A5950,'Teacher Lookup'!$A$2:$A$200,0)),"")</f>
        <v>CHEUNG Ken</v>
      </c>
    </row>
    <row r="5951" customFormat="false" ht="15" hidden="false" customHeight="false" outlineLevel="0" collapsed="false">
      <c r="A5951" s="3" t="s">
        <v>457</v>
      </c>
      <c r="B5951" s="4" t="s">
        <v>66</v>
      </c>
      <c r="C5951" s="4" t="n">
        <v>6</v>
      </c>
      <c r="D5951" s="4" t="s">
        <v>107</v>
      </c>
      <c r="E5951" s="3" t="s">
        <v>448</v>
      </c>
      <c r="F5951" s="4" t="str">
        <f aca="false">IF(I5951&gt;J5951,"Y","N")</f>
        <v>N</v>
      </c>
      <c r="G5951" s="3" t="s">
        <v>72</v>
      </c>
      <c r="H5951" s="3" t="s">
        <v>42</v>
      </c>
      <c r="I5951" s="4" t="n">
        <v>3</v>
      </c>
      <c r="J5951" s="4" t="n">
        <f aca="false">LEN(E5951)-LEN(SUBSTITUTE(E5951,",",""))+1</f>
        <v>3</v>
      </c>
      <c r="K5951" s="3" t="str">
        <f aca="false">IFERROR(INDEX('Teacher Lookup'!$B$2:$B$200,MATCH(A5951,'Teacher Lookup'!$A$2:$A$200,0)),"")</f>
        <v>CHEUNG Ken</v>
      </c>
    </row>
    <row r="5952" customFormat="false" ht="15" hidden="false" customHeight="false" outlineLevel="0" collapsed="false">
      <c r="A5952" s="3" t="s">
        <v>457</v>
      </c>
      <c r="B5952" s="4" t="s">
        <v>66</v>
      </c>
      <c r="C5952" s="4" t="n">
        <v>7</v>
      </c>
      <c r="D5952" s="4" t="s">
        <v>102</v>
      </c>
      <c r="E5952" s="3" t="s">
        <v>448</v>
      </c>
      <c r="F5952" s="4" t="str">
        <f aca="false">IF(I5952&gt;J5952,"Y","N")</f>
        <v>N</v>
      </c>
      <c r="G5952" s="3" t="s">
        <v>72</v>
      </c>
      <c r="H5952" s="3" t="s">
        <v>39</v>
      </c>
      <c r="I5952" s="4" t="n">
        <v>3</v>
      </c>
      <c r="J5952" s="4" t="n">
        <f aca="false">LEN(E5952)-LEN(SUBSTITUTE(E5952,",",""))+1</f>
        <v>3</v>
      </c>
      <c r="K5952" s="3" t="str">
        <f aca="false">IFERROR(INDEX('Teacher Lookup'!$B$2:$B$200,MATCH(A5952,'Teacher Lookup'!$A$2:$A$200,0)),"")</f>
        <v>CHEUNG Ken</v>
      </c>
    </row>
    <row r="5953" customFormat="false" ht="15" hidden="false" customHeight="false" outlineLevel="0" collapsed="false">
      <c r="A5953" s="3" t="s">
        <v>457</v>
      </c>
      <c r="B5953" s="4" t="s">
        <v>66</v>
      </c>
      <c r="C5953" s="4" t="n">
        <v>7</v>
      </c>
      <c r="D5953" s="4" t="s">
        <v>107</v>
      </c>
      <c r="E5953" s="3" t="s">
        <v>448</v>
      </c>
      <c r="F5953" s="4" t="str">
        <f aca="false">IF(I5953&gt;J5953,"Y","N")</f>
        <v>N</v>
      </c>
      <c r="G5953" s="3" t="s">
        <v>72</v>
      </c>
      <c r="H5953" s="3" t="s">
        <v>39</v>
      </c>
      <c r="I5953" s="4" t="n">
        <v>3</v>
      </c>
      <c r="J5953" s="4" t="n">
        <f aca="false">LEN(E5953)-LEN(SUBSTITUTE(E5953,",",""))+1</f>
        <v>3</v>
      </c>
      <c r="K5953" s="3" t="str">
        <f aca="false">IFERROR(INDEX('Teacher Lookup'!$B$2:$B$200,MATCH(A5953,'Teacher Lookup'!$A$2:$A$200,0)),"")</f>
        <v>CHEUNG Ken</v>
      </c>
    </row>
    <row r="5954" customFormat="false" ht="15" hidden="false" customHeight="false" outlineLevel="0" collapsed="false">
      <c r="A5954" s="3" t="s">
        <v>458</v>
      </c>
      <c r="B5954" s="4" t="s">
        <v>12</v>
      </c>
      <c r="C5954" s="4" t="n">
        <v>2</v>
      </c>
      <c r="D5954" s="4" t="s">
        <v>52</v>
      </c>
      <c r="E5954" s="3" t="s">
        <v>163</v>
      </c>
      <c r="F5954" s="4" t="str">
        <f aca="false">IF(I5954&gt;J5954,"Y","N")</f>
        <v>N</v>
      </c>
      <c r="G5954" s="3" t="s">
        <v>164</v>
      </c>
      <c r="H5954" s="3" t="s">
        <v>21</v>
      </c>
      <c r="I5954" s="4" t="n">
        <v>4</v>
      </c>
      <c r="J5954" s="4" t="n">
        <f aca="false">LEN(E5954)-LEN(SUBSTITUTE(E5954,",",""))+1</f>
        <v>4</v>
      </c>
      <c r="K5954" s="3" t="str">
        <f aca="false">IFERROR(INDEX('Teacher Lookup'!$B$2:$B$200,MATCH(A5954,'Teacher Lookup'!$A$2:$A$200,0)),"")</f>
        <v>DE GUZMAN Kevin</v>
      </c>
    </row>
    <row r="5955" customFormat="false" ht="15" hidden="false" customHeight="false" outlineLevel="0" collapsed="false">
      <c r="A5955" s="3" t="s">
        <v>458</v>
      </c>
      <c r="B5955" s="4" t="s">
        <v>12</v>
      </c>
      <c r="C5955" s="4" t="n">
        <v>2</v>
      </c>
      <c r="D5955" s="4" t="s">
        <v>55</v>
      </c>
      <c r="E5955" s="3" t="s">
        <v>163</v>
      </c>
      <c r="F5955" s="4" t="str">
        <f aca="false">IF(I5955&gt;J5955,"Y","N")</f>
        <v>N</v>
      </c>
      <c r="G5955" s="3" t="s">
        <v>164</v>
      </c>
      <c r="H5955" s="3" t="s">
        <v>21</v>
      </c>
      <c r="I5955" s="4" t="n">
        <v>4</v>
      </c>
      <c r="J5955" s="4" t="n">
        <f aca="false">LEN(E5955)-LEN(SUBSTITUTE(E5955,",",""))+1</f>
        <v>4</v>
      </c>
      <c r="K5955" s="3" t="str">
        <f aca="false">IFERROR(INDEX('Teacher Lookup'!$B$2:$B$200,MATCH(A5955,'Teacher Lookup'!$A$2:$A$200,0)),"")</f>
        <v>DE GUZMAN Kevin</v>
      </c>
    </row>
    <row r="5956" customFormat="false" ht="15" hidden="false" customHeight="false" outlineLevel="0" collapsed="false">
      <c r="A5956" s="3" t="s">
        <v>458</v>
      </c>
      <c r="B5956" s="4" t="s">
        <v>12</v>
      </c>
      <c r="C5956" s="4" t="n">
        <v>2</v>
      </c>
      <c r="D5956" s="4" t="s">
        <v>56</v>
      </c>
      <c r="E5956" s="3" t="s">
        <v>163</v>
      </c>
      <c r="F5956" s="4" t="str">
        <f aca="false">IF(I5956&gt;J5956,"Y","N")</f>
        <v>N</v>
      </c>
      <c r="G5956" s="3" t="s">
        <v>164</v>
      </c>
      <c r="H5956" s="3" t="s">
        <v>21</v>
      </c>
      <c r="I5956" s="4" t="n">
        <v>4</v>
      </c>
      <c r="J5956" s="4" t="n">
        <f aca="false">LEN(E5956)-LEN(SUBSTITUTE(E5956,",",""))+1</f>
        <v>4</v>
      </c>
      <c r="K5956" s="3" t="str">
        <f aca="false">IFERROR(INDEX('Teacher Lookup'!$B$2:$B$200,MATCH(A5956,'Teacher Lookup'!$A$2:$A$200,0)),"")</f>
        <v>DE GUZMAN Kevin</v>
      </c>
    </row>
    <row r="5957" customFormat="false" ht="15" hidden="false" customHeight="false" outlineLevel="0" collapsed="false">
      <c r="A5957" s="3" t="s">
        <v>458</v>
      </c>
      <c r="B5957" s="4" t="s">
        <v>12</v>
      </c>
      <c r="C5957" s="4" t="n">
        <v>6</v>
      </c>
      <c r="D5957" s="4" t="s">
        <v>13</v>
      </c>
      <c r="E5957" s="3" t="s">
        <v>323</v>
      </c>
      <c r="F5957" s="4" t="str">
        <f aca="false">IF(I5957&gt;J5957,"Y","N")</f>
        <v>N</v>
      </c>
      <c r="G5957" s="3" t="s">
        <v>164</v>
      </c>
      <c r="H5957" s="3" t="s">
        <v>42</v>
      </c>
      <c r="I5957" s="4" t="n">
        <v>4</v>
      </c>
      <c r="J5957" s="4" t="n">
        <f aca="false">LEN(E5957)-LEN(SUBSTITUTE(E5957,",",""))+1</f>
        <v>4</v>
      </c>
      <c r="K5957" s="3" t="str">
        <f aca="false">IFERROR(INDEX('Teacher Lookup'!$B$2:$B$200,MATCH(A5957,'Teacher Lookup'!$A$2:$A$200,0)),"")</f>
        <v>DE GUZMAN Kevin</v>
      </c>
    </row>
    <row r="5958" customFormat="false" ht="15" hidden="false" customHeight="false" outlineLevel="0" collapsed="false">
      <c r="A5958" s="3" t="s">
        <v>458</v>
      </c>
      <c r="B5958" s="4" t="s">
        <v>12</v>
      </c>
      <c r="C5958" s="4" t="n">
        <v>6</v>
      </c>
      <c r="D5958" s="4" t="s">
        <v>17</v>
      </c>
      <c r="E5958" s="3" t="s">
        <v>323</v>
      </c>
      <c r="F5958" s="4" t="str">
        <f aca="false">IF(I5958&gt;J5958,"Y","N")</f>
        <v>N</v>
      </c>
      <c r="G5958" s="3" t="s">
        <v>164</v>
      </c>
      <c r="H5958" s="3" t="s">
        <v>42</v>
      </c>
      <c r="I5958" s="4" t="n">
        <v>4</v>
      </c>
      <c r="J5958" s="4" t="n">
        <f aca="false">LEN(E5958)-LEN(SUBSTITUTE(E5958,",",""))+1</f>
        <v>4</v>
      </c>
      <c r="K5958" s="3" t="str">
        <f aca="false">IFERROR(INDEX('Teacher Lookup'!$B$2:$B$200,MATCH(A5958,'Teacher Lookup'!$A$2:$A$200,0)),"")</f>
        <v>DE GUZMAN Kevin</v>
      </c>
    </row>
    <row r="5959" customFormat="false" ht="15" hidden="false" customHeight="false" outlineLevel="0" collapsed="false">
      <c r="A5959" s="3" t="s">
        <v>458</v>
      </c>
      <c r="B5959" s="4" t="s">
        <v>12</v>
      </c>
      <c r="C5959" s="4" t="n">
        <v>6</v>
      </c>
      <c r="D5959" s="4" t="s">
        <v>18</v>
      </c>
      <c r="E5959" s="3" t="s">
        <v>323</v>
      </c>
      <c r="F5959" s="4" t="str">
        <f aca="false">IF(I5959&gt;J5959,"Y","N")</f>
        <v>N</v>
      </c>
      <c r="G5959" s="3" t="s">
        <v>164</v>
      </c>
      <c r="H5959" s="3" t="s">
        <v>42</v>
      </c>
      <c r="I5959" s="4" t="n">
        <v>4</v>
      </c>
      <c r="J5959" s="4" t="n">
        <f aca="false">LEN(E5959)-LEN(SUBSTITUTE(E5959,",",""))+1</f>
        <v>4</v>
      </c>
      <c r="K5959" s="3" t="str">
        <f aca="false">IFERROR(INDEX('Teacher Lookup'!$B$2:$B$200,MATCH(A5959,'Teacher Lookup'!$A$2:$A$200,0)),"")</f>
        <v>DE GUZMAN Kevin</v>
      </c>
    </row>
    <row r="5960" customFormat="false" ht="15" hidden="false" customHeight="false" outlineLevel="0" collapsed="false">
      <c r="A5960" s="3" t="s">
        <v>458</v>
      </c>
      <c r="B5960" s="4" t="s">
        <v>12</v>
      </c>
      <c r="C5960" s="4" t="n">
        <v>7</v>
      </c>
      <c r="D5960" s="4" t="s">
        <v>19</v>
      </c>
      <c r="E5960" s="3" t="s">
        <v>33</v>
      </c>
      <c r="F5960" s="4" t="str">
        <f aca="false">IF(I5960&gt;J5960,"Y","N")</f>
        <v>N</v>
      </c>
      <c r="G5960" s="3" t="s">
        <v>164</v>
      </c>
      <c r="H5960" s="3" t="s">
        <v>39</v>
      </c>
      <c r="I5960" s="4" t="n">
        <v>4</v>
      </c>
      <c r="J5960" s="4" t="n">
        <f aca="false">LEN(E5960)-LEN(SUBSTITUTE(E5960,",",""))+1</f>
        <v>4</v>
      </c>
      <c r="K5960" s="3" t="str">
        <f aca="false">IFERROR(INDEX('Teacher Lookup'!$B$2:$B$200,MATCH(A5960,'Teacher Lookup'!$A$2:$A$200,0)),"")</f>
        <v>DE GUZMAN Kevin</v>
      </c>
    </row>
    <row r="5961" customFormat="false" ht="15" hidden="false" customHeight="false" outlineLevel="0" collapsed="false">
      <c r="A5961" s="3" t="s">
        <v>458</v>
      </c>
      <c r="B5961" s="4" t="s">
        <v>12</v>
      </c>
      <c r="C5961" s="4" t="n">
        <v>7</v>
      </c>
      <c r="D5961" s="4" t="s">
        <v>22</v>
      </c>
      <c r="E5961" s="3" t="s">
        <v>33</v>
      </c>
      <c r="F5961" s="4" t="str">
        <f aca="false">IF(I5961&gt;J5961,"Y","N")</f>
        <v>N</v>
      </c>
      <c r="G5961" s="3" t="s">
        <v>164</v>
      </c>
      <c r="H5961" s="3" t="s">
        <v>39</v>
      </c>
      <c r="I5961" s="4" t="n">
        <v>4</v>
      </c>
      <c r="J5961" s="4" t="n">
        <f aca="false">LEN(E5961)-LEN(SUBSTITUTE(E5961,",",""))+1</f>
        <v>4</v>
      </c>
      <c r="K5961" s="3" t="str">
        <f aca="false">IFERROR(INDEX('Teacher Lookup'!$B$2:$B$200,MATCH(A5961,'Teacher Lookup'!$A$2:$A$200,0)),"")</f>
        <v>DE GUZMAN Kevin</v>
      </c>
    </row>
    <row r="5962" customFormat="false" ht="15" hidden="false" customHeight="false" outlineLevel="0" collapsed="false">
      <c r="A5962" s="3" t="s">
        <v>458</v>
      </c>
      <c r="B5962" s="4" t="s">
        <v>12</v>
      </c>
      <c r="C5962" s="4" t="n">
        <v>7</v>
      </c>
      <c r="D5962" s="4" t="s">
        <v>23</v>
      </c>
      <c r="E5962" s="3" t="s">
        <v>33</v>
      </c>
      <c r="F5962" s="4" t="str">
        <f aca="false">IF(I5962&gt;J5962,"Y","N")</f>
        <v>N</v>
      </c>
      <c r="G5962" s="3" t="s">
        <v>164</v>
      </c>
      <c r="H5962" s="3" t="s">
        <v>39</v>
      </c>
      <c r="I5962" s="4" t="n">
        <v>4</v>
      </c>
      <c r="J5962" s="4" t="n">
        <f aca="false">LEN(E5962)-LEN(SUBSTITUTE(E5962,",",""))+1</f>
        <v>4</v>
      </c>
      <c r="K5962" s="3" t="str">
        <f aca="false">IFERROR(INDEX('Teacher Lookup'!$B$2:$B$200,MATCH(A5962,'Teacher Lookup'!$A$2:$A$200,0)),"")</f>
        <v>DE GUZMAN Kevin</v>
      </c>
    </row>
    <row r="5963" customFormat="false" ht="15" hidden="false" customHeight="false" outlineLevel="0" collapsed="false">
      <c r="A5963" s="3" t="s">
        <v>458</v>
      </c>
      <c r="B5963" s="4" t="s">
        <v>31</v>
      </c>
      <c r="C5963" s="4" t="n">
        <v>2</v>
      </c>
      <c r="D5963" s="4" t="s">
        <v>19</v>
      </c>
      <c r="E5963" s="3" t="s">
        <v>33</v>
      </c>
      <c r="F5963" s="4" t="str">
        <f aca="false">IF(I5963&gt;J5963,"Y","N")</f>
        <v>N</v>
      </c>
      <c r="G5963" s="3" t="s">
        <v>164</v>
      </c>
      <c r="H5963" s="3" t="s">
        <v>21</v>
      </c>
      <c r="I5963" s="4" t="n">
        <v>4</v>
      </c>
      <c r="J5963" s="4" t="n">
        <f aca="false">LEN(E5963)-LEN(SUBSTITUTE(E5963,",",""))+1</f>
        <v>4</v>
      </c>
      <c r="K5963" s="3" t="str">
        <f aca="false">IFERROR(INDEX('Teacher Lookup'!$B$2:$B$200,MATCH(A5963,'Teacher Lookup'!$A$2:$A$200,0)),"")</f>
        <v>DE GUZMAN Kevin</v>
      </c>
    </row>
    <row r="5964" customFormat="false" ht="15" hidden="false" customHeight="false" outlineLevel="0" collapsed="false">
      <c r="A5964" s="3" t="s">
        <v>458</v>
      </c>
      <c r="B5964" s="4" t="s">
        <v>31</v>
      </c>
      <c r="C5964" s="4" t="n">
        <v>2</v>
      </c>
      <c r="D5964" s="4" t="s">
        <v>22</v>
      </c>
      <c r="E5964" s="3" t="s">
        <v>33</v>
      </c>
      <c r="F5964" s="4" t="str">
        <f aca="false">IF(I5964&gt;J5964,"Y","N")</f>
        <v>N</v>
      </c>
      <c r="G5964" s="3" t="s">
        <v>164</v>
      </c>
      <c r="H5964" s="3" t="s">
        <v>21</v>
      </c>
      <c r="I5964" s="4" t="n">
        <v>4</v>
      </c>
      <c r="J5964" s="4" t="n">
        <f aca="false">LEN(E5964)-LEN(SUBSTITUTE(E5964,",",""))+1</f>
        <v>4</v>
      </c>
      <c r="K5964" s="3" t="str">
        <f aca="false">IFERROR(INDEX('Teacher Lookup'!$B$2:$B$200,MATCH(A5964,'Teacher Lookup'!$A$2:$A$200,0)),"")</f>
        <v>DE GUZMAN Kevin</v>
      </c>
    </row>
    <row r="5965" customFormat="false" ht="15" hidden="false" customHeight="false" outlineLevel="0" collapsed="false">
      <c r="A5965" s="3" t="s">
        <v>458</v>
      </c>
      <c r="B5965" s="4" t="s">
        <v>31</v>
      </c>
      <c r="C5965" s="4" t="n">
        <v>2</v>
      </c>
      <c r="D5965" s="4" t="s">
        <v>23</v>
      </c>
      <c r="E5965" s="3" t="s">
        <v>33</v>
      </c>
      <c r="F5965" s="4" t="str">
        <f aca="false">IF(I5965&gt;J5965,"Y","N")</f>
        <v>N</v>
      </c>
      <c r="G5965" s="3" t="s">
        <v>164</v>
      </c>
      <c r="H5965" s="3" t="s">
        <v>21</v>
      </c>
      <c r="I5965" s="4" t="n">
        <v>4</v>
      </c>
      <c r="J5965" s="4" t="n">
        <f aca="false">LEN(E5965)-LEN(SUBSTITUTE(E5965,",",""))+1</f>
        <v>4</v>
      </c>
      <c r="K5965" s="3" t="str">
        <f aca="false">IFERROR(INDEX('Teacher Lookup'!$B$2:$B$200,MATCH(A5965,'Teacher Lookup'!$A$2:$A$200,0)),"")</f>
        <v>DE GUZMAN Kevin</v>
      </c>
    </row>
    <row r="5966" customFormat="false" ht="15" hidden="false" customHeight="false" outlineLevel="0" collapsed="false">
      <c r="A5966" s="3" t="s">
        <v>458</v>
      </c>
      <c r="B5966" s="4" t="s">
        <v>31</v>
      </c>
      <c r="C5966" s="4" t="n">
        <v>5</v>
      </c>
      <c r="D5966" s="4" t="s">
        <v>52</v>
      </c>
      <c r="E5966" s="3" t="s">
        <v>112</v>
      </c>
      <c r="F5966" s="4" t="str">
        <f aca="false">IF(I5966&gt;J5966,"Y","N")</f>
        <v>Y</v>
      </c>
      <c r="G5966" s="3" t="s">
        <v>36</v>
      </c>
      <c r="H5966" s="3" t="s">
        <v>37</v>
      </c>
      <c r="I5966" s="4" t="n">
        <v>16</v>
      </c>
      <c r="J5966" s="4" t="n">
        <f aca="false">LEN(E5966)-LEN(SUBSTITUTE(E5966,",",""))+1</f>
        <v>7</v>
      </c>
      <c r="K5966" s="3" t="str">
        <f aca="false">IFERROR(INDEX('Teacher Lookup'!$B$2:$B$200,MATCH(A5966,'Teacher Lookup'!$A$2:$A$200,0)),"")</f>
        <v>DE GUZMAN Kevin</v>
      </c>
    </row>
    <row r="5967" customFormat="false" ht="15" hidden="false" customHeight="false" outlineLevel="0" collapsed="false">
      <c r="A5967" s="3" t="s">
        <v>458</v>
      </c>
      <c r="B5967" s="4" t="s">
        <v>31</v>
      </c>
      <c r="C5967" s="4" t="n">
        <v>5</v>
      </c>
      <c r="D5967" s="4" t="s">
        <v>55</v>
      </c>
      <c r="E5967" s="3" t="s">
        <v>112</v>
      </c>
      <c r="F5967" s="4" t="str">
        <f aca="false">IF(I5967&gt;J5967,"Y","N")</f>
        <v>Y</v>
      </c>
      <c r="G5967" s="3" t="s">
        <v>36</v>
      </c>
      <c r="H5967" s="3" t="s">
        <v>37</v>
      </c>
      <c r="I5967" s="4" t="n">
        <v>16</v>
      </c>
      <c r="J5967" s="4" t="n">
        <f aca="false">LEN(E5967)-LEN(SUBSTITUTE(E5967,",",""))+1</f>
        <v>7</v>
      </c>
      <c r="K5967" s="3" t="str">
        <f aca="false">IFERROR(INDEX('Teacher Lookup'!$B$2:$B$200,MATCH(A5967,'Teacher Lookup'!$A$2:$A$200,0)),"")</f>
        <v>DE GUZMAN Kevin</v>
      </c>
    </row>
    <row r="5968" customFormat="false" ht="15" hidden="false" customHeight="false" outlineLevel="0" collapsed="false">
      <c r="A5968" s="3" t="s">
        <v>458</v>
      </c>
      <c r="B5968" s="4" t="s">
        <v>31</v>
      </c>
      <c r="C5968" s="4" t="n">
        <v>5</v>
      </c>
      <c r="D5968" s="4" t="s">
        <v>56</v>
      </c>
      <c r="E5968" s="3" t="s">
        <v>112</v>
      </c>
      <c r="F5968" s="4" t="str">
        <f aca="false">IF(I5968&gt;J5968,"Y","N")</f>
        <v>Y</v>
      </c>
      <c r="G5968" s="3" t="s">
        <v>36</v>
      </c>
      <c r="H5968" s="3" t="s">
        <v>37</v>
      </c>
      <c r="I5968" s="4" t="n">
        <v>16</v>
      </c>
      <c r="J5968" s="4" t="n">
        <f aca="false">LEN(E5968)-LEN(SUBSTITUTE(E5968,",",""))+1</f>
        <v>7</v>
      </c>
      <c r="K5968" s="3" t="str">
        <f aca="false">IFERROR(INDEX('Teacher Lookup'!$B$2:$B$200,MATCH(A5968,'Teacher Lookup'!$A$2:$A$200,0)),"")</f>
        <v>DE GUZMAN Kevin</v>
      </c>
    </row>
    <row r="5969" customFormat="false" ht="15" hidden="false" customHeight="false" outlineLevel="0" collapsed="false">
      <c r="A5969" s="3" t="s">
        <v>458</v>
      </c>
      <c r="B5969" s="4" t="s">
        <v>31</v>
      </c>
      <c r="C5969" s="4" t="n">
        <v>5</v>
      </c>
      <c r="D5969" s="4" t="s">
        <v>57</v>
      </c>
      <c r="E5969" s="3" t="s">
        <v>112</v>
      </c>
      <c r="F5969" s="4" t="str">
        <f aca="false">IF(I5969&gt;J5969,"Y","N")</f>
        <v>Y</v>
      </c>
      <c r="G5969" s="3" t="s">
        <v>36</v>
      </c>
      <c r="H5969" s="3" t="s">
        <v>37</v>
      </c>
      <c r="I5969" s="4" t="n">
        <v>16</v>
      </c>
      <c r="J5969" s="4" t="n">
        <f aca="false">LEN(E5969)-LEN(SUBSTITUTE(E5969,",",""))+1</f>
        <v>7</v>
      </c>
      <c r="K5969" s="3" t="str">
        <f aca="false">IFERROR(INDEX('Teacher Lookup'!$B$2:$B$200,MATCH(A5969,'Teacher Lookup'!$A$2:$A$200,0)),"")</f>
        <v>DE GUZMAN Kevin</v>
      </c>
    </row>
    <row r="5970" customFormat="false" ht="15" hidden="false" customHeight="false" outlineLevel="0" collapsed="false">
      <c r="A5970" s="3" t="s">
        <v>458</v>
      </c>
      <c r="B5970" s="4" t="s">
        <v>31</v>
      </c>
      <c r="C5970" s="4" t="n">
        <v>5</v>
      </c>
      <c r="D5970" s="4" t="s">
        <v>58</v>
      </c>
      <c r="E5970" s="3" t="s">
        <v>112</v>
      </c>
      <c r="F5970" s="4" t="str">
        <f aca="false">IF(I5970&gt;J5970,"Y","N")</f>
        <v>Y</v>
      </c>
      <c r="G5970" s="3" t="s">
        <v>36</v>
      </c>
      <c r="H5970" s="3" t="s">
        <v>37</v>
      </c>
      <c r="I5970" s="4" t="n">
        <v>16</v>
      </c>
      <c r="J5970" s="4" t="n">
        <f aca="false">LEN(E5970)-LEN(SUBSTITUTE(E5970,",",""))+1</f>
        <v>7</v>
      </c>
      <c r="K5970" s="3" t="str">
        <f aca="false">IFERROR(INDEX('Teacher Lookup'!$B$2:$B$200,MATCH(A5970,'Teacher Lookup'!$A$2:$A$200,0)),"")</f>
        <v>DE GUZMAN Kevin</v>
      </c>
    </row>
    <row r="5971" customFormat="false" ht="15" hidden="false" customHeight="false" outlineLevel="0" collapsed="false">
      <c r="A5971" s="3" t="s">
        <v>458</v>
      </c>
      <c r="B5971" s="4" t="s">
        <v>31</v>
      </c>
      <c r="C5971" s="4" t="n">
        <v>5</v>
      </c>
      <c r="D5971" s="4" t="s">
        <v>59</v>
      </c>
      <c r="E5971" s="3" t="s">
        <v>112</v>
      </c>
      <c r="F5971" s="4" t="str">
        <f aca="false">IF(I5971&gt;J5971,"Y","N")</f>
        <v>Y</v>
      </c>
      <c r="G5971" s="3" t="s">
        <v>36</v>
      </c>
      <c r="H5971" s="3" t="s">
        <v>37</v>
      </c>
      <c r="I5971" s="4" t="n">
        <v>16</v>
      </c>
      <c r="J5971" s="4" t="n">
        <f aca="false">LEN(E5971)-LEN(SUBSTITUTE(E5971,",",""))+1</f>
        <v>7</v>
      </c>
      <c r="K5971" s="3" t="str">
        <f aca="false">IFERROR(INDEX('Teacher Lookup'!$B$2:$B$200,MATCH(A5971,'Teacher Lookup'!$A$2:$A$200,0)),"")</f>
        <v>DE GUZMAN Kevin</v>
      </c>
    </row>
    <row r="5972" customFormat="false" ht="15" hidden="false" customHeight="false" outlineLevel="0" collapsed="false">
      <c r="A5972" s="3" t="s">
        <v>458</v>
      </c>
      <c r="B5972" s="4" t="s">
        <v>31</v>
      </c>
      <c r="C5972" s="4" t="n">
        <v>7</v>
      </c>
      <c r="D5972" s="4" t="s">
        <v>52</v>
      </c>
      <c r="E5972" s="3" t="s">
        <v>169</v>
      </c>
      <c r="F5972" s="4" t="str">
        <f aca="false">IF(I5972&gt;J5972,"Y","N")</f>
        <v>N</v>
      </c>
      <c r="G5972" s="3" t="s">
        <v>164</v>
      </c>
      <c r="H5972" s="3" t="s">
        <v>39</v>
      </c>
      <c r="I5972" s="4" t="n">
        <v>4</v>
      </c>
      <c r="J5972" s="4" t="n">
        <f aca="false">LEN(E5972)-LEN(SUBSTITUTE(E5972,",",""))+1</f>
        <v>4</v>
      </c>
      <c r="K5972" s="3" t="str">
        <f aca="false">IFERROR(INDEX('Teacher Lookup'!$B$2:$B$200,MATCH(A5972,'Teacher Lookup'!$A$2:$A$200,0)),"")</f>
        <v>DE GUZMAN Kevin</v>
      </c>
    </row>
    <row r="5973" customFormat="false" ht="15" hidden="false" customHeight="false" outlineLevel="0" collapsed="false">
      <c r="A5973" s="3" t="s">
        <v>458</v>
      </c>
      <c r="B5973" s="4" t="s">
        <v>31</v>
      </c>
      <c r="C5973" s="4" t="n">
        <v>7</v>
      </c>
      <c r="D5973" s="4" t="s">
        <v>55</v>
      </c>
      <c r="E5973" s="3" t="s">
        <v>169</v>
      </c>
      <c r="F5973" s="4" t="str">
        <f aca="false">IF(I5973&gt;J5973,"Y","N")</f>
        <v>N</v>
      </c>
      <c r="G5973" s="3" t="s">
        <v>164</v>
      </c>
      <c r="H5973" s="3" t="s">
        <v>39</v>
      </c>
      <c r="I5973" s="4" t="n">
        <v>4</v>
      </c>
      <c r="J5973" s="4" t="n">
        <f aca="false">LEN(E5973)-LEN(SUBSTITUTE(E5973,",",""))+1</f>
        <v>4</v>
      </c>
      <c r="K5973" s="3" t="str">
        <f aca="false">IFERROR(INDEX('Teacher Lookup'!$B$2:$B$200,MATCH(A5973,'Teacher Lookup'!$A$2:$A$200,0)),"")</f>
        <v>DE GUZMAN Kevin</v>
      </c>
    </row>
    <row r="5974" customFormat="false" ht="15" hidden="false" customHeight="false" outlineLevel="0" collapsed="false">
      <c r="A5974" s="3" t="s">
        <v>458</v>
      </c>
      <c r="B5974" s="4" t="s">
        <v>31</v>
      </c>
      <c r="C5974" s="4" t="n">
        <v>7</v>
      </c>
      <c r="D5974" s="4" t="s">
        <v>56</v>
      </c>
      <c r="E5974" s="3" t="s">
        <v>169</v>
      </c>
      <c r="F5974" s="4" t="str">
        <f aca="false">IF(I5974&gt;J5974,"Y","N")</f>
        <v>N</v>
      </c>
      <c r="G5974" s="3" t="s">
        <v>164</v>
      </c>
      <c r="H5974" s="3" t="s">
        <v>39</v>
      </c>
      <c r="I5974" s="4" t="n">
        <v>4</v>
      </c>
      <c r="J5974" s="4" t="n">
        <f aca="false">LEN(E5974)-LEN(SUBSTITUTE(E5974,",",""))+1</f>
        <v>4</v>
      </c>
      <c r="K5974" s="3" t="str">
        <f aca="false">IFERROR(INDEX('Teacher Lookup'!$B$2:$B$200,MATCH(A5974,'Teacher Lookup'!$A$2:$A$200,0)),"")</f>
        <v>DE GUZMAN Kevin</v>
      </c>
    </row>
    <row r="5975" customFormat="false" ht="15" hidden="false" customHeight="false" outlineLevel="0" collapsed="false">
      <c r="A5975" s="3" t="s">
        <v>458</v>
      </c>
      <c r="B5975" s="4" t="s">
        <v>40</v>
      </c>
      <c r="C5975" s="4" t="n">
        <v>2</v>
      </c>
      <c r="D5975" s="4" t="s">
        <v>19</v>
      </c>
      <c r="E5975" s="3" t="s">
        <v>419</v>
      </c>
      <c r="F5975" s="4" t="str">
        <f aca="false">IF(I5975&gt;J5975,"Y","N")</f>
        <v>N</v>
      </c>
      <c r="G5975" s="3" t="s">
        <v>164</v>
      </c>
      <c r="H5975" s="3" t="s">
        <v>21</v>
      </c>
      <c r="I5975" s="4" t="n">
        <v>4</v>
      </c>
      <c r="J5975" s="4" t="n">
        <f aca="false">LEN(E5975)-LEN(SUBSTITUTE(E5975,",",""))+1</f>
        <v>4</v>
      </c>
      <c r="K5975" s="3" t="str">
        <f aca="false">IFERROR(INDEX('Teacher Lookup'!$B$2:$B$200,MATCH(A5975,'Teacher Lookup'!$A$2:$A$200,0)),"")</f>
        <v>DE GUZMAN Kevin</v>
      </c>
    </row>
    <row r="5976" customFormat="false" ht="15" hidden="false" customHeight="false" outlineLevel="0" collapsed="false">
      <c r="A5976" s="3" t="s">
        <v>458</v>
      </c>
      <c r="B5976" s="4" t="s">
        <v>40</v>
      </c>
      <c r="C5976" s="4" t="n">
        <v>2</v>
      </c>
      <c r="D5976" s="4" t="s">
        <v>22</v>
      </c>
      <c r="E5976" s="3" t="s">
        <v>419</v>
      </c>
      <c r="F5976" s="4" t="str">
        <f aca="false">IF(I5976&gt;J5976,"Y","N")</f>
        <v>N</v>
      </c>
      <c r="G5976" s="3" t="s">
        <v>164</v>
      </c>
      <c r="H5976" s="3" t="s">
        <v>21</v>
      </c>
      <c r="I5976" s="4" t="n">
        <v>4</v>
      </c>
      <c r="J5976" s="4" t="n">
        <f aca="false">LEN(E5976)-LEN(SUBSTITUTE(E5976,",",""))+1</f>
        <v>4</v>
      </c>
      <c r="K5976" s="3" t="str">
        <f aca="false">IFERROR(INDEX('Teacher Lookup'!$B$2:$B$200,MATCH(A5976,'Teacher Lookup'!$A$2:$A$200,0)),"")</f>
        <v>DE GUZMAN Kevin</v>
      </c>
    </row>
    <row r="5977" customFormat="false" ht="15" hidden="false" customHeight="false" outlineLevel="0" collapsed="false">
      <c r="A5977" s="3" t="s">
        <v>458</v>
      </c>
      <c r="B5977" s="4" t="s">
        <v>40</v>
      </c>
      <c r="C5977" s="4" t="n">
        <v>2</v>
      </c>
      <c r="D5977" s="4" t="s">
        <v>23</v>
      </c>
      <c r="E5977" s="3" t="s">
        <v>419</v>
      </c>
      <c r="F5977" s="4" t="str">
        <f aca="false">IF(I5977&gt;J5977,"Y","N")</f>
        <v>N</v>
      </c>
      <c r="G5977" s="3" t="s">
        <v>164</v>
      </c>
      <c r="H5977" s="3" t="s">
        <v>21</v>
      </c>
      <c r="I5977" s="4" t="n">
        <v>4</v>
      </c>
      <c r="J5977" s="4" t="n">
        <f aca="false">LEN(E5977)-LEN(SUBSTITUTE(E5977,",",""))+1</f>
        <v>4</v>
      </c>
      <c r="K5977" s="3" t="str">
        <f aca="false">IFERROR(INDEX('Teacher Lookup'!$B$2:$B$200,MATCH(A5977,'Teacher Lookup'!$A$2:$A$200,0)),"")</f>
        <v>DE GUZMAN Kevin</v>
      </c>
    </row>
    <row r="5978" customFormat="false" ht="15" hidden="false" customHeight="false" outlineLevel="0" collapsed="false">
      <c r="A5978" s="3" t="s">
        <v>458</v>
      </c>
      <c r="B5978" s="4" t="s">
        <v>40</v>
      </c>
      <c r="C5978" s="4" t="n">
        <v>3</v>
      </c>
      <c r="D5978" s="4" t="s">
        <v>13</v>
      </c>
      <c r="E5978" s="3" t="s">
        <v>323</v>
      </c>
      <c r="F5978" s="4" t="str">
        <f aca="false">IF(I5978&gt;J5978,"Y","N")</f>
        <v>N</v>
      </c>
      <c r="G5978" s="3" t="s">
        <v>164</v>
      </c>
      <c r="H5978" s="3" t="s">
        <v>26</v>
      </c>
      <c r="I5978" s="4" t="n">
        <v>4</v>
      </c>
      <c r="J5978" s="4" t="n">
        <f aca="false">LEN(E5978)-LEN(SUBSTITUTE(E5978,",",""))+1</f>
        <v>4</v>
      </c>
      <c r="K5978" s="3" t="str">
        <f aca="false">IFERROR(INDEX('Teacher Lookup'!$B$2:$B$200,MATCH(A5978,'Teacher Lookup'!$A$2:$A$200,0)),"")</f>
        <v>DE GUZMAN Kevin</v>
      </c>
    </row>
    <row r="5979" customFormat="false" ht="15" hidden="false" customHeight="false" outlineLevel="0" collapsed="false">
      <c r="A5979" s="3" t="s">
        <v>458</v>
      </c>
      <c r="B5979" s="4" t="s">
        <v>40</v>
      </c>
      <c r="C5979" s="4" t="n">
        <v>3</v>
      </c>
      <c r="D5979" s="4" t="s">
        <v>17</v>
      </c>
      <c r="E5979" s="3" t="s">
        <v>323</v>
      </c>
      <c r="F5979" s="4" t="str">
        <f aca="false">IF(I5979&gt;J5979,"Y","N")</f>
        <v>N</v>
      </c>
      <c r="G5979" s="3" t="s">
        <v>164</v>
      </c>
      <c r="H5979" s="3" t="s">
        <v>26</v>
      </c>
      <c r="I5979" s="4" t="n">
        <v>4</v>
      </c>
      <c r="J5979" s="4" t="n">
        <f aca="false">LEN(E5979)-LEN(SUBSTITUTE(E5979,",",""))+1</f>
        <v>4</v>
      </c>
      <c r="K5979" s="3" t="str">
        <f aca="false">IFERROR(INDEX('Teacher Lookup'!$B$2:$B$200,MATCH(A5979,'Teacher Lookup'!$A$2:$A$200,0)),"")</f>
        <v>DE GUZMAN Kevin</v>
      </c>
    </row>
    <row r="5980" customFormat="false" ht="15" hidden="false" customHeight="false" outlineLevel="0" collapsed="false">
      <c r="A5980" s="3" t="s">
        <v>458</v>
      </c>
      <c r="B5980" s="4" t="s">
        <v>40</v>
      </c>
      <c r="C5980" s="4" t="n">
        <v>3</v>
      </c>
      <c r="D5980" s="4" t="s">
        <v>18</v>
      </c>
      <c r="E5980" s="3" t="s">
        <v>323</v>
      </c>
      <c r="F5980" s="4" t="str">
        <f aca="false">IF(I5980&gt;J5980,"Y","N")</f>
        <v>N</v>
      </c>
      <c r="G5980" s="3" t="s">
        <v>164</v>
      </c>
      <c r="H5980" s="3" t="s">
        <v>26</v>
      </c>
      <c r="I5980" s="4" t="n">
        <v>4</v>
      </c>
      <c r="J5980" s="4" t="n">
        <f aca="false">LEN(E5980)-LEN(SUBSTITUTE(E5980,",",""))+1</f>
        <v>4</v>
      </c>
      <c r="K5980" s="3" t="str">
        <f aca="false">IFERROR(INDEX('Teacher Lookup'!$B$2:$B$200,MATCH(A5980,'Teacher Lookup'!$A$2:$A$200,0)),"")</f>
        <v>DE GUZMAN Kevin</v>
      </c>
    </row>
    <row r="5981" customFormat="false" ht="15" hidden="false" customHeight="false" outlineLevel="0" collapsed="false">
      <c r="A5981" s="3" t="s">
        <v>458</v>
      </c>
      <c r="B5981" s="4" t="s">
        <v>40</v>
      </c>
      <c r="C5981" s="4" t="n">
        <v>4</v>
      </c>
      <c r="D5981" s="4" t="s">
        <v>13</v>
      </c>
      <c r="E5981" s="3" t="s">
        <v>323</v>
      </c>
      <c r="F5981" s="4" t="str">
        <f aca="false">IF(I5981&gt;J5981,"Y","N")</f>
        <v>N</v>
      </c>
      <c r="G5981" s="3" t="s">
        <v>164</v>
      </c>
      <c r="H5981" s="3" t="s">
        <v>34</v>
      </c>
      <c r="I5981" s="4" t="n">
        <v>4</v>
      </c>
      <c r="J5981" s="4" t="n">
        <f aca="false">LEN(E5981)-LEN(SUBSTITUTE(E5981,",",""))+1</f>
        <v>4</v>
      </c>
      <c r="K5981" s="3" t="str">
        <f aca="false">IFERROR(INDEX('Teacher Lookup'!$B$2:$B$200,MATCH(A5981,'Teacher Lookup'!$A$2:$A$200,0)),"")</f>
        <v>DE GUZMAN Kevin</v>
      </c>
    </row>
    <row r="5982" customFormat="false" ht="15" hidden="false" customHeight="false" outlineLevel="0" collapsed="false">
      <c r="A5982" s="3" t="s">
        <v>458</v>
      </c>
      <c r="B5982" s="4" t="s">
        <v>40</v>
      </c>
      <c r="C5982" s="4" t="n">
        <v>4</v>
      </c>
      <c r="D5982" s="4" t="s">
        <v>17</v>
      </c>
      <c r="E5982" s="3" t="s">
        <v>323</v>
      </c>
      <c r="F5982" s="4" t="str">
        <f aca="false">IF(I5982&gt;J5982,"Y","N")</f>
        <v>N</v>
      </c>
      <c r="G5982" s="3" t="s">
        <v>164</v>
      </c>
      <c r="H5982" s="3" t="s">
        <v>34</v>
      </c>
      <c r="I5982" s="4" t="n">
        <v>4</v>
      </c>
      <c r="J5982" s="4" t="n">
        <f aca="false">LEN(E5982)-LEN(SUBSTITUTE(E5982,",",""))+1</f>
        <v>4</v>
      </c>
      <c r="K5982" s="3" t="str">
        <f aca="false">IFERROR(INDEX('Teacher Lookup'!$B$2:$B$200,MATCH(A5982,'Teacher Lookup'!$A$2:$A$200,0)),"")</f>
        <v>DE GUZMAN Kevin</v>
      </c>
    </row>
    <row r="5983" customFormat="false" ht="15" hidden="false" customHeight="false" outlineLevel="0" collapsed="false">
      <c r="A5983" s="3" t="s">
        <v>458</v>
      </c>
      <c r="B5983" s="4" t="s">
        <v>40</v>
      </c>
      <c r="C5983" s="4" t="n">
        <v>4</v>
      </c>
      <c r="D5983" s="4" t="s">
        <v>18</v>
      </c>
      <c r="E5983" s="3" t="s">
        <v>323</v>
      </c>
      <c r="F5983" s="4" t="str">
        <f aca="false">IF(I5983&gt;J5983,"Y","N")</f>
        <v>N</v>
      </c>
      <c r="G5983" s="3" t="s">
        <v>164</v>
      </c>
      <c r="H5983" s="3" t="s">
        <v>34</v>
      </c>
      <c r="I5983" s="4" t="n">
        <v>4</v>
      </c>
      <c r="J5983" s="4" t="n">
        <f aca="false">LEN(E5983)-LEN(SUBSTITUTE(E5983,",",""))+1</f>
        <v>4</v>
      </c>
      <c r="K5983" s="3" t="str">
        <f aca="false">IFERROR(INDEX('Teacher Lookup'!$B$2:$B$200,MATCH(A5983,'Teacher Lookup'!$A$2:$A$200,0)),"")</f>
        <v>DE GUZMAN Kevin</v>
      </c>
    </row>
    <row r="5984" customFormat="false" ht="15" hidden="false" customHeight="false" outlineLevel="0" collapsed="false">
      <c r="A5984" s="3" t="s">
        <v>458</v>
      </c>
      <c r="B5984" s="4" t="s">
        <v>40</v>
      </c>
      <c r="C5984" s="4" t="n">
        <v>6</v>
      </c>
      <c r="D5984" s="4" t="s">
        <v>52</v>
      </c>
      <c r="E5984" s="3" t="s">
        <v>171</v>
      </c>
      <c r="F5984" s="4" t="str">
        <f aca="false">IF(I5984&gt;J5984,"Y","N")</f>
        <v>N</v>
      </c>
      <c r="G5984" s="3" t="s">
        <v>164</v>
      </c>
      <c r="H5984" s="3" t="s">
        <v>42</v>
      </c>
      <c r="I5984" s="4" t="n">
        <v>4</v>
      </c>
      <c r="J5984" s="4" t="n">
        <f aca="false">LEN(E5984)-LEN(SUBSTITUTE(E5984,",",""))+1</f>
        <v>4</v>
      </c>
      <c r="K5984" s="3" t="str">
        <f aca="false">IFERROR(INDEX('Teacher Lookup'!$B$2:$B$200,MATCH(A5984,'Teacher Lookup'!$A$2:$A$200,0)),"")</f>
        <v>DE GUZMAN Kevin</v>
      </c>
    </row>
    <row r="5985" customFormat="false" ht="15" hidden="false" customHeight="false" outlineLevel="0" collapsed="false">
      <c r="A5985" s="3" t="s">
        <v>458</v>
      </c>
      <c r="B5985" s="4" t="s">
        <v>40</v>
      </c>
      <c r="C5985" s="4" t="n">
        <v>6</v>
      </c>
      <c r="D5985" s="4" t="s">
        <v>55</v>
      </c>
      <c r="E5985" s="3" t="s">
        <v>171</v>
      </c>
      <c r="F5985" s="4" t="str">
        <f aca="false">IF(I5985&gt;J5985,"Y","N")</f>
        <v>N</v>
      </c>
      <c r="G5985" s="3" t="s">
        <v>164</v>
      </c>
      <c r="H5985" s="3" t="s">
        <v>42</v>
      </c>
      <c r="I5985" s="4" t="n">
        <v>4</v>
      </c>
      <c r="J5985" s="4" t="n">
        <f aca="false">LEN(E5985)-LEN(SUBSTITUTE(E5985,",",""))+1</f>
        <v>4</v>
      </c>
      <c r="K5985" s="3" t="str">
        <f aca="false">IFERROR(INDEX('Teacher Lookup'!$B$2:$B$200,MATCH(A5985,'Teacher Lookup'!$A$2:$A$200,0)),"")</f>
        <v>DE GUZMAN Kevin</v>
      </c>
    </row>
    <row r="5986" customFormat="false" ht="15" hidden="false" customHeight="false" outlineLevel="0" collapsed="false">
      <c r="A5986" s="3" t="s">
        <v>458</v>
      </c>
      <c r="B5986" s="4" t="s">
        <v>40</v>
      </c>
      <c r="C5986" s="4" t="n">
        <v>6</v>
      </c>
      <c r="D5986" s="4" t="s">
        <v>56</v>
      </c>
      <c r="E5986" s="3" t="s">
        <v>171</v>
      </c>
      <c r="F5986" s="4" t="str">
        <f aca="false">IF(I5986&gt;J5986,"Y","N")</f>
        <v>N</v>
      </c>
      <c r="G5986" s="3" t="s">
        <v>164</v>
      </c>
      <c r="H5986" s="3" t="s">
        <v>42</v>
      </c>
      <c r="I5986" s="4" t="n">
        <v>4</v>
      </c>
      <c r="J5986" s="4" t="n">
        <f aca="false">LEN(E5986)-LEN(SUBSTITUTE(E5986,",",""))+1</f>
        <v>4</v>
      </c>
      <c r="K5986" s="3" t="str">
        <f aca="false">IFERROR(INDEX('Teacher Lookup'!$B$2:$B$200,MATCH(A5986,'Teacher Lookup'!$A$2:$A$200,0)),"")</f>
        <v>DE GUZMAN Kevin</v>
      </c>
    </row>
    <row r="5987" customFormat="false" ht="15" hidden="false" customHeight="false" outlineLevel="0" collapsed="false">
      <c r="A5987" s="3" t="s">
        <v>458</v>
      </c>
      <c r="B5987" s="4" t="s">
        <v>40</v>
      </c>
      <c r="C5987" s="4" t="n">
        <v>7</v>
      </c>
      <c r="D5987" s="4" t="s">
        <v>52</v>
      </c>
      <c r="E5987" s="3" t="s">
        <v>171</v>
      </c>
      <c r="F5987" s="4" t="str">
        <f aca="false">IF(I5987&gt;J5987,"Y","N")</f>
        <v>N</v>
      </c>
      <c r="G5987" s="3" t="s">
        <v>164</v>
      </c>
      <c r="H5987" s="3" t="s">
        <v>39</v>
      </c>
      <c r="I5987" s="4" t="n">
        <v>4</v>
      </c>
      <c r="J5987" s="4" t="n">
        <f aca="false">LEN(E5987)-LEN(SUBSTITUTE(E5987,",",""))+1</f>
        <v>4</v>
      </c>
      <c r="K5987" s="3" t="str">
        <f aca="false">IFERROR(INDEX('Teacher Lookup'!$B$2:$B$200,MATCH(A5987,'Teacher Lookup'!$A$2:$A$200,0)),"")</f>
        <v>DE GUZMAN Kevin</v>
      </c>
    </row>
    <row r="5988" customFormat="false" ht="15" hidden="false" customHeight="false" outlineLevel="0" collapsed="false">
      <c r="A5988" s="3" t="s">
        <v>458</v>
      </c>
      <c r="B5988" s="4" t="s">
        <v>40</v>
      </c>
      <c r="C5988" s="4" t="n">
        <v>7</v>
      </c>
      <c r="D5988" s="4" t="s">
        <v>55</v>
      </c>
      <c r="E5988" s="3" t="s">
        <v>171</v>
      </c>
      <c r="F5988" s="4" t="str">
        <f aca="false">IF(I5988&gt;J5988,"Y","N")</f>
        <v>N</v>
      </c>
      <c r="G5988" s="3" t="s">
        <v>164</v>
      </c>
      <c r="H5988" s="3" t="s">
        <v>39</v>
      </c>
      <c r="I5988" s="4" t="n">
        <v>4</v>
      </c>
      <c r="J5988" s="4" t="n">
        <f aca="false">LEN(E5988)-LEN(SUBSTITUTE(E5988,",",""))+1</f>
        <v>4</v>
      </c>
      <c r="K5988" s="3" t="str">
        <f aca="false">IFERROR(INDEX('Teacher Lookup'!$B$2:$B$200,MATCH(A5988,'Teacher Lookup'!$A$2:$A$200,0)),"")</f>
        <v>DE GUZMAN Kevin</v>
      </c>
    </row>
    <row r="5989" customFormat="false" ht="15" hidden="false" customHeight="false" outlineLevel="0" collapsed="false">
      <c r="A5989" s="3" t="s">
        <v>458</v>
      </c>
      <c r="B5989" s="4" t="s">
        <v>40</v>
      </c>
      <c r="C5989" s="4" t="n">
        <v>7</v>
      </c>
      <c r="D5989" s="4" t="s">
        <v>56</v>
      </c>
      <c r="E5989" s="3" t="s">
        <v>171</v>
      </c>
      <c r="F5989" s="4" t="str">
        <f aca="false">IF(I5989&gt;J5989,"Y","N")</f>
        <v>N</v>
      </c>
      <c r="G5989" s="3" t="s">
        <v>164</v>
      </c>
      <c r="H5989" s="3" t="s">
        <v>39</v>
      </c>
      <c r="I5989" s="4" t="n">
        <v>4</v>
      </c>
      <c r="J5989" s="4" t="n">
        <f aca="false">LEN(E5989)-LEN(SUBSTITUTE(E5989,",",""))+1</f>
        <v>4</v>
      </c>
      <c r="K5989" s="3" t="str">
        <f aca="false">IFERROR(INDEX('Teacher Lookup'!$B$2:$B$200,MATCH(A5989,'Teacher Lookup'!$A$2:$A$200,0)),"")</f>
        <v>DE GUZMAN Kevin</v>
      </c>
    </row>
    <row r="5990" customFormat="false" ht="15" hidden="false" customHeight="false" outlineLevel="0" collapsed="false">
      <c r="A5990" s="3" t="s">
        <v>458</v>
      </c>
      <c r="B5990" s="4" t="s">
        <v>44</v>
      </c>
      <c r="C5990" s="4" t="n">
        <v>2</v>
      </c>
      <c r="D5990" s="4" t="s">
        <v>52</v>
      </c>
      <c r="E5990" s="3" t="s">
        <v>172</v>
      </c>
      <c r="F5990" s="4" t="str">
        <f aca="false">IF(I5990&gt;J5990,"Y","N")</f>
        <v>N</v>
      </c>
      <c r="G5990" s="3" t="s">
        <v>164</v>
      </c>
      <c r="H5990" s="3" t="s">
        <v>21</v>
      </c>
      <c r="I5990" s="4" t="n">
        <v>4</v>
      </c>
      <c r="J5990" s="4" t="n">
        <f aca="false">LEN(E5990)-LEN(SUBSTITUTE(E5990,",",""))+1</f>
        <v>4</v>
      </c>
      <c r="K5990" s="3" t="str">
        <f aca="false">IFERROR(INDEX('Teacher Lookup'!$B$2:$B$200,MATCH(A5990,'Teacher Lookup'!$A$2:$A$200,0)),"")</f>
        <v>DE GUZMAN Kevin</v>
      </c>
    </row>
    <row r="5991" customFormat="false" ht="15" hidden="false" customHeight="false" outlineLevel="0" collapsed="false">
      <c r="A5991" s="3" t="s">
        <v>458</v>
      </c>
      <c r="B5991" s="4" t="s">
        <v>44</v>
      </c>
      <c r="C5991" s="4" t="n">
        <v>2</v>
      </c>
      <c r="D5991" s="4" t="s">
        <v>55</v>
      </c>
      <c r="E5991" s="3" t="s">
        <v>172</v>
      </c>
      <c r="F5991" s="4" t="str">
        <f aca="false">IF(I5991&gt;J5991,"Y","N")</f>
        <v>N</v>
      </c>
      <c r="G5991" s="3" t="s">
        <v>164</v>
      </c>
      <c r="H5991" s="3" t="s">
        <v>21</v>
      </c>
      <c r="I5991" s="4" t="n">
        <v>4</v>
      </c>
      <c r="J5991" s="4" t="n">
        <f aca="false">LEN(E5991)-LEN(SUBSTITUTE(E5991,",",""))+1</f>
        <v>4</v>
      </c>
      <c r="K5991" s="3" t="str">
        <f aca="false">IFERROR(INDEX('Teacher Lookup'!$B$2:$B$200,MATCH(A5991,'Teacher Lookup'!$A$2:$A$200,0)),"")</f>
        <v>DE GUZMAN Kevin</v>
      </c>
    </row>
    <row r="5992" customFormat="false" ht="15" hidden="false" customHeight="false" outlineLevel="0" collapsed="false">
      <c r="A5992" s="3" t="s">
        <v>458</v>
      </c>
      <c r="B5992" s="4" t="s">
        <v>44</v>
      </c>
      <c r="C5992" s="4" t="n">
        <v>2</v>
      </c>
      <c r="D5992" s="4" t="s">
        <v>56</v>
      </c>
      <c r="E5992" s="3" t="s">
        <v>172</v>
      </c>
      <c r="F5992" s="4" t="str">
        <f aca="false">IF(I5992&gt;J5992,"Y","N")</f>
        <v>N</v>
      </c>
      <c r="G5992" s="3" t="s">
        <v>164</v>
      </c>
      <c r="H5992" s="3" t="s">
        <v>21</v>
      </c>
      <c r="I5992" s="4" t="n">
        <v>4</v>
      </c>
      <c r="J5992" s="4" t="n">
        <f aca="false">LEN(E5992)-LEN(SUBSTITUTE(E5992,",",""))+1</f>
        <v>4</v>
      </c>
      <c r="K5992" s="3" t="str">
        <f aca="false">IFERROR(INDEX('Teacher Lookup'!$B$2:$B$200,MATCH(A5992,'Teacher Lookup'!$A$2:$A$200,0)),"")</f>
        <v>DE GUZMAN Kevin</v>
      </c>
    </row>
    <row r="5993" customFormat="false" ht="15" hidden="false" customHeight="false" outlineLevel="0" collapsed="false">
      <c r="A5993" s="3" t="s">
        <v>458</v>
      </c>
      <c r="B5993" s="4" t="s">
        <v>44</v>
      </c>
      <c r="C5993" s="4" t="n">
        <v>4</v>
      </c>
      <c r="D5993" s="4" t="s">
        <v>13</v>
      </c>
      <c r="E5993" s="3" t="s">
        <v>43</v>
      </c>
      <c r="F5993" s="4" t="str">
        <f aca="false">IF(I5993&gt;J5993,"Y","N")</f>
        <v>N</v>
      </c>
      <c r="G5993" s="3" t="s">
        <v>164</v>
      </c>
      <c r="H5993" s="3" t="s">
        <v>34</v>
      </c>
      <c r="I5993" s="4" t="n">
        <v>4</v>
      </c>
      <c r="J5993" s="4" t="n">
        <f aca="false">LEN(E5993)-LEN(SUBSTITUTE(E5993,",",""))+1</f>
        <v>4</v>
      </c>
      <c r="K5993" s="3" t="str">
        <f aca="false">IFERROR(INDEX('Teacher Lookup'!$B$2:$B$200,MATCH(A5993,'Teacher Lookup'!$A$2:$A$200,0)),"")</f>
        <v>DE GUZMAN Kevin</v>
      </c>
    </row>
    <row r="5994" customFormat="false" ht="15" hidden="false" customHeight="false" outlineLevel="0" collapsed="false">
      <c r="A5994" s="3" t="s">
        <v>458</v>
      </c>
      <c r="B5994" s="4" t="s">
        <v>44</v>
      </c>
      <c r="C5994" s="4" t="n">
        <v>4</v>
      </c>
      <c r="D5994" s="4" t="s">
        <v>17</v>
      </c>
      <c r="E5994" s="3" t="s">
        <v>43</v>
      </c>
      <c r="F5994" s="4" t="str">
        <f aca="false">IF(I5994&gt;J5994,"Y","N")</f>
        <v>N</v>
      </c>
      <c r="G5994" s="3" t="s">
        <v>164</v>
      </c>
      <c r="H5994" s="3" t="s">
        <v>34</v>
      </c>
      <c r="I5994" s="4" t="n">
        <v>4</v>
      </c>
      <c r="J5994" s="4" t="n">
        <f aca="false">LEN(E5994)-LEN(SUBSTITUTE(E5994,",",""))+1</f>
        <v>4</v>
      </c>
      <c r="K5994" s="3" t="str">
        <f aca="false">IFERROR(INDEX('Teacher Lookup'!$B$2:$B$200,MATCH(A5994,'Teacher Lookup'!$A$2:$A$200,0)),"")</f>
        <v>DE GUZMAN Kevin</v>
      </c>
    </row>
    <row r="5995" customFormat="false" ht="15" hidden="false" customHeight="false" outlineLevel="0" collapsed="false">
      <c r="A5995" s="3" t="s">
        <v>458</v>
      </c>
      <c r="B5995" s="4" t="s">
        <v>44</v>
      </c>
      <c r="C5995" s="4" t="n">
        <v>4</v>
      </c>
      <c r="D5995" s="4" t="s">
        <v>18</v>
      </c>
      <c r="E5995" s="3" t="s">
        <v>43</v>
      </c>
      <c r="F5995" s="4" t="str">
        <f aca="false">IF(I5995&gt;J5995,"Y","N")</f>
        <v>N</v>
      </c>
      <c r="G5995" s="3" t="s">
        <v>164</v>
      </c>
      <c r="H5995" s="3" t="s">
        <v>34</v>
      </c>
      <c r="I5995" s="4" t="n">
        <v>4</v>
      </c>
      <c r="J5995" s="4" t="n">
        <f aca="false">LEN(E5995)-LEN(SUBSTITUTE(E5995,",",""))+1</f>
        <v>4</v>
      </c>
      <c r="K5995" s="3" t="str">
        <f aca="false">IFERROR(INDEX('Teacher Lookup'!$B$2:$B$200,MATCH(A5995,'Teacher Lookup'!$A$2:$A$200,0)),"")</f>
        <v>DE GUZMAN Kevin</v>
      </c>
    </row>
    <row r="5996" customFormat="false" ht="15" hidden="false" customHeight="false" outlineLevel="0" collapsed="false">
      <c r="A5996" s="3" t="s">
        <v>458</v>
      </c>
      <c r="B5996" s="4" t="s">
        <v>44</v>
      </c>
      <c r="C5996" s="4" t="n">
        <v>5</v>
      </c>
      <c r="D5996" s="4" t="s">
        <v>52</v>
      </c>
      <c r="E5996" s="3" t="s">
        <v>112</v>
      </c>
      <c r="F5996" s="4" t="str">
        <f aca="false">IF(I5996&gt;J5996,"Y","N")</f>
        <v>Y</v>
      </c>
      <c r="G5996" s="3" t="s">
        <v>36</v>
      </c>
      <c r="H5996" s="3" t="s">
        <v>37</v>
      </c>
      <c r="I5996" s="4" t="n">
        <v>16</v>
      </c>
      <c r="J5996" s="4" t="n">
        <f aca="false">LEN(E5996)-LEN(SUBSTITUTE(E5996,",",""))+1</f>
        <v>7</v>
      </c>
      <c r="K5996" s="3" t="str">
        <f aca="false">IFERROR(INDEX('Teacher Lookup'!$B$2:$B$200,MATCH(A5996,'Teacher Lookup'!$A$2:$A$200,0)),"")</f>
        <v>DE GUZMAN Kevin</v>
      </c>
    </row>
    <row r="5997" customFormat="false" ht="15" hidden="false" customHeight="false" outlineLevel="0" collapsed="false">
      <c r="A5997" s="3" t="s">
        <v>458</v>
      </c>
      <c r="B5997" s="4" t="s">
        <v>44</v>
      </c>
      <c r="C5997" s="4" t="n">
        <v>5</v>
      </c>
      <c r="D5997" s="4" t="s">
        <v>55</v>
      </c>
      <c r="E5997" s="3" t="s">
        <v>112</v>
      </c>
      <c r="F5997" s="4" t="str">
        <f aca="false">IF(I5997&gt;J5997,"Y","N")</f>
        <v>Y</v>
      </c>
      <c r="G5997" s="3" t="s">
        <v>36</v>
      </c>
      <c r="H5997" s="3" t="s">
        <v>37</v>
      </c>
      <c r="I5997" s="4" t="n">
        <v>16</v>
      </c>
      <c r="J5997" s="4" t="n">
        <f aca="false">LEN(E5997)-LEN(SUBSTITUTE(E5997,",",""))+1</f>
        <v>7</v>
      </c>
      <c r="K5997" s="3" t="str">
        <f aca="false">IFERROR(INDEX('Teacher Lookup'!$B$2:$B$200,MATCH(A5997,'Teacher Lookup'!$A$2:$A$200,0)),"")</f>
        <v>DE GUZMAN Kevin</v>
      </c>
    </row>
    <row r="5998" customFormat="false" ht="15" hidden="false" customHeight="false" outlineLevel="0" collapsed="false">
      <c r="A5998" s="3" t="s">
        <v>458</v>
      </c>
      <c r="B5998" s="4" t="s">
        <v>44</v>
      </c>
      <c r="C5998" s="4" t="n">
        <v>5</v>
      </c>
      <c r="D5998" s="4" t="s">
        <v>56</v>
      </c>
      <c r="E5998" s="3" t="s">
        <v>112</v>
      </c>
      <c r="F5998" s="4" t="str">
        <f aca="false">IF(I5998&gt;J5998,"Y","N")</f>
        <v>Y</v>
      </c>
      <c r="G5998" s="3" t="s">
        <v>36</v>
      </c>
      <c r="H5998" s="3" t="s">
        <v>37</v>
      </c>
      <c r="I5998" s="4" t="n">
        <v>16</v>
      </c>
      <c r="J5998" s="4" t="n">
        <f aca="false">LEN(E5998)-LEN(SUBSTITUTE(E5998,",",""))+1</f>
        <v>7</v>
      </c>
      <c r="K5998" s="3" t="str">
        <f aca="false">IFERROR(INDEX('Teacher Lookup'!$B$2:$B$200,MATCH(A5998,'Teacher Lookup'!$A$2:$A$200,0)),"")</f>
        <v>DE GUZMAN Kevin</v>
      </c>
    </row>
    <row r="5999" customFormat="false" ht="15" hidden="false" customHeight="false" outlineLevel="0" collapsed="false">
      <c r="A5999" s="3" t="s">
        <v>458</v>
      </c>
      <c r="B5999" s="4" t="s">
        <v>44</v>
      </c>
      <c r="C5999" s="4" t="n">
        <v>5</v>
      </c>
      <c r="D5999" s="4" t="s">
        <v>57</v>
      </c>
      <c r="E5999" s="3" t="s">
        <v>112</v>
      </c>
      <c r="F5999" s="4" t="str">
        <f aca="false">IF(I5999&gt;J5999,"Y","N")</f>
        <v>Y</v>
      </c>
      <c r="G5999" s="3" t="s">
        <v>36</v>
      </c>
      <c r="H5999" s="3" t="s">
        <v>37</v>
      </c>
      <c r="I5999" s="4" t="n">
        <v>16</v>
      </c>
      <c r="J5999" s="4" t="n">
        <f aca="false">LEN(E5999)-LEN(SUBSTITUTE(E5999,",",""))+1</f>
        <v>7</v>
      </c>
      <c r="K5999" s="3" t="str">
        <f aca="false">IFERROR(INDEX('Teacher Lookup'!$B$2:$B$200,MATCH(A5999,'Teacher Lookup'!$A$2:$A$200,0)),"")</f>
        <v>DE GUZMAN Kevin</v>
      </c>
    </row>
    <row r="6000" customFormat="false" ht="15" hidden="false" customHeight="false" outlineLevel="0" collapsed="false">
      <c r="A6000" s="3" t="s">
        <v>458</v>
      </c>
      <c r="B6000" s="4" t="s">
        <v>44</v>
      </c>
      <c r="C6000" s="4" t="n">
        <v>5</v>
      </c>
      <c r="D6000" s="4" t="s">
        <v>58</v>
      </c>
      <c r="E6000" s="3" t="s">
        <v>112</v>
      </c>
      <c r="F6000" s="4" t="str">
        <f aca="false">IF(I6000&gt;J6000,"Y","N")</f>
        <v>Y</v>
      </c>
      <c r="G6000" s="3" t="s">
        <v>36</v>
      </c>
      <c r="H6000" s="3" t="s">
        <v>37</v>
      </c>
      <c r="I6000" s="4" t="n">
        <v>16</v>
      </c>
      <c r="J6000" s="4" t="n">
        <f aca="false">LEN(E6000)-LEN(SUBSTITUTE(E6000,",",""))+1</f>
        <v>7</v>
      </c>
      <c r="K6000" s="3" t="str">
        <f aca="false">IFERROR(INDEX('Teacher Lookup'!$B$2:$B$200,MATCH(A6000,'Teacher Lookup'!$A$2:$A$200,0)),"")</f>
        <v>DE GUZMAN Kevin</v>
      </c>
    </row>
    <row r="6001" customFormat="false" ht="15" hidden="false" customHeight="false" outlineLevel="0" collapsed="false">
      <c r="A6001" s="3" t="s">
        <v>458</v>
      </c>
      <c r="B6001" s="4" t="s">
        <v>44</v>
      </c>
      <c r="C6001" s="4" t="n">
        <v>5</v>
      </c>
      <c r="D6001" s="4" t="s">
        <v>59</v>
      </c>
      <c r="E6001" s="3" t="s">
        <v>112</v>
      </c>
      <c r="F6001" s="4" t="str">
        <f aca="false">IF(I6001&gt;J6001,"Y","N")</f>
        <v>Y</v>
      </c>
      <c r="G6001" s="3" t="s">
        <v>36</v>
      </c>
      <c r="H6001" s="3" t="s">
        <v>37</v>
      </c>
      <c r="I6001" s="4" t="n">
        <v>16</v>
      </c>
      <c r="J6001" s="4" t="n">
        <f aca="false">LEN(E6001)-LEN(SUBSTITUTE(E6001,",",""))+1</f>
        <v>7</v>
      </c>
      <c r="K6001" s="3" t="str">
        <f aca="false">IFERROR(INDEX('Teacher Lookup'!$B$2:$B$200,MATCH(A6001,'Teacher Lookup'!$A$2:$A$200,0)),"")</f>
        <v>DE GUZMAN Kevin</v>
      </c>
    </row>
    <row r="6002" customFormat="false" ht="15" hidden="false" customHeight="false" outlineLevel="0" collapsed="false">
      <c r="A6002" s="3" t="s">
        <v>458</v>
      </c>
      <c r="B6002" s="4" t="s">
        <v>44</v>
      </c>
      <c r="C6002" s="4" t="n">
        <v>7</v>
      </c>
      <c r="D6002" s="4" t="s">
        <v>19</v>
      </c>
      <c r="E6002" s="3" t="s">
        <v>420</v>
      </c>
      <c r="F6002" s="4" t="str">
        <f aca="false">IF(I6002&gt;J6002,"Y","N")</f>
        <v>N</v>
      </c>
      <c r="G6002" s="3" t="s">
        <v>164</v>
      </c>
      <c r="H6002" s="3" t="s">
        <v>39</v>
      </c>
      <c r="I6002" s="4" t="n">
        <v>4</v>
      </c>
      <c r="J6002" s="4" t="n">
        <f aca="false">LEN(E6002)-LEN(SUBSTITUTE(E6002,",",""))+1</f>
        <v>4</v>
      </c>
      <c r="K6002" s="3" t="str">
        <f aca="false">IFERROR(INDEX('Teacher Lookup'!$B$2:$B$200,MATCH(A6002,'Teacher Lookup'!$A$2:$A$200,0)),"")</f>
        <v>DE GUZMAN Kevin</v>
      </c>
    </row>
    <row r="6003" customFormat="false" ht="15" hidden="false" customHeight="false" outlineLevel="0" collapsed="false">
      <c r="A6003" s="3" t="s">
        <v>458</v>
      </c>
      <c r="B6003" s="4" t="s">
        <v>44</v>
      </c>
      <c r="C6003" s="4" t="n">
        <v>7</v>
      </c>
      <c r="D6003" s="4" t="s">
        <v>22</v>
      </c>
      <c r="E6003" s="3" t="s">
        <v>420</v>
      </c>
      <c r="F6003" s="4" t="str">
        <f aca="false">IF(I6003&gt;J6003,"Y","N")</f>
        <v>N</v>
      </c>
      <c r="G6003" s="3" t="s">
        <v>164</v>
      </c>
      <c r="H6003" s="3" t="s">
        <v>39</v>
      </c>
      <c r="I6003" s="4" t="n">
        <v>4</v>
      </c>
      <c r="J6003" s="4" t="n">
        <f aca="false">LEN(E6003)-LEN(SUBSTITUTE(E6003,",",""))+1</f>
        <v>4</v>
      </c>
      <c r="K6003" s="3" t="str">
        <f aca="false">IFERROR(INDEX('Teacher Lookup'!$B$2:$B$200,MATCH(A6003,'Teacher Lookup'!$A$2:$A$200,0)),"")</f>
        <v>DE GUZMAN Kevin</v>
      </c>
    </row>
    <row r="6004" customFormat="false" ht="15" hidden="false" customHeight="false" outlineLevel="0" collapsed="false">
      <c r="A6004" s="3" t="s">
        <v>458</v>
      </c>
      <c r="B6004" s="4" t="s">
        <v>44</v>
      </c>
      <c r="C6004" s="4" t="n">
        <v>7</v>
      </c>
      <c r="D6004" s="4" t="s">
        <v>23</v>
      </c>
      <c r="E6004" s="3" t="s">
        <v>420</v>
      </c>
      <c r="F6004" s="4" t="str">
        <f aca="false">IF(I6004&gt;J6004,"Y","N")</f>
        <v>N</v>
      </c>
      <c r="G6004" s="3" t="s">
        <v>164</v>
      </c>
      <c r="H6004" s="3" t="s">
        <v>39</v>
      </c>
      <c r="I6004" s="4" t="n">
        <v>4</v>
      </c>
      <c r="J6004" s="4" t="n">
        <f aca="false">LEN(E6004)-LEN(SUBSTITUTE(E6004,",",""))+1</f>
        <v>4</v>
      </c>
      <c r="K6004" s="3" t="str">
        <f aca="false">IFERROR(INDEX('Teacher Lookup'!$B$2:$B$200,MATCH(A6004,'Teacher Lookup'!$A$2:$A$200,0)),"")</f>
        <v>DE GUZMAN Kevin</v>
      </c>
    </row>
    <row r="6005" customFormat="false" ht="15" hidden="false" customHeight="false" outlineLevel="0" collapsed="false">
      <c r="A6005" s="3" t="s">
        <v>458</v>
      </c>
      <c r="B6005" s="4" t="s">
        <v>47</v>
      </c>
      <c r="C6005" s="4" t="n">
        <v>4</v>
      </c>
      <c r="D6005" s="4" t="s">
        <v>52</v>
      </c>
      <c r="E6005" s="3" t="s">
        <v>176</v>
      </c>
      <c r="F6005" s="4" t="str">
        <f aca="false">IF(I6005&gt;J6005,"Y","N")</f>
        <v>N</v>
      </c>
      <c r="G6005" s="3" t="s">
        <v>164</v>
      </c>
      <c r="H6005" s="3" t="s">
        <v>34</v>
      </c>
      <c r="I6005" s="4" t="n">
        <v>4</v>
      </c>
      <c r="J6005" s="4" t="n">
        <f aca="false">LEN(E6005)-LEN(SUBSTITUTE(E6005,",",""))+1</f>
        <v>4</v>
      </c>
      <c r="K6005" s="3" t="str">
        <f aca="false">IFERROR(INDEX('Teacher Lookup'!$B$2:$B$200,MATCH(A6005,'Teacher Lookup'!$A$2:$A$200,0)),"")</f>
        <v>DE GUZMAN Kevin</v>
      </c>
    </row>
    <row r="6006" customFormat="false" ht="15" hidden="false" customHeight="false" outlineLevel="0" collapsed="false">
      <c r="A6006" s="3" t="s">
        <v>458</v>
      </c>
      <c r="B6006" s="4" t="s">
        <v>47</v>
      </c>
      <c r="C6006" s="4" t="n">
        <v>4</v>
      </c>
      <c r="D6006" s="4" t="s">
        <v>55</v>
      </c>
      <c r="E6006" s="3" t="s">
        <v>176</v>
      </c>
      <c r="F6006" s="4" t="str">
        <f aca="false">IF(I6006&gt;J6006,"Y","N")</f>
        <v>N</v>
      </c>
      <c r="G6006" s="3" t="s">
        <v>164</v>
      </c>
      <c r="H6006" s="3" t="s">
        <v>34</v>
      </c>
      <c r="I6006" s="4" t="n">
        <v>4</v>
      </c>
      <c r="J6006" s="4" t="n">
        <f aca="false">LEN(E6006)-LEN(SUBSTITUTE(E6006,",",""))+1</f>
        <v>4</v>
      </c>
      <c r="K6006" s="3" t="str">
        <f aca="false">IFERROR(INDEX('Teacher Lookup'!$B$2:$B$200,MATCH(A6006,'Teacher Lookup'!$A$2:$A$200,0)),"")</f>
        <v>DE GUZMAN Kevin</v>
      </c>
    </row>
    <row r="6007" customFormat="false" ht="15" hidden="false" customHeight="false" outlineLevel="0" collapsed="false">
      <c r="A6007" s="3" t="s">
        <v>458</v>
      </c>
      <c r="B6007" s="4" t="s">
        <v>47</v>
      </c>
      <c r="C6007" s="4" t="n">
        <v>4</v>
      </c>
      <c r="D6007" s="4" t="s">
        <v>56</v>
      </c>
      <c r="E6007" s="3" t="s">
        <v>176</v>
      </c>
      <c r="F6007" s="4" t="str">
        <f aca="false">IF(I6007&gt;J6007,"Y","N")</f>
        <v>N</v>
      </c>
      <c r="G6007" s="3" t="s">
        <v>164</v>
      </c>
      <c r="H6007" s="3" t="s">
        <v>34</v>
      </c>
      <c r="I6007" s="4" t="n">
        <v>4</v>
      </c>
      <c r="J6007" s="4" t="n">
        <f aca="false">LEN(E6007)-LEN(SUBSTITUTE(E6007,",",""))+1</f>
        <v>4</v>
      </c>
      <c r="K6007" s="3" t="str">
        <f aca="false">IFERROR(INDEX('Teacher Lookup'!$B$2:$B$200,MATCH(A6007,'Teacher Lookup'!$A$2:$A$200,0)),"")</f>
        <v>DE GUZMAN Kevin</v>
      </c>
    </row>
    <row r="6008" customFormat="false" ht="15" hidden="false" customHeight="false" outlineLevel="0" collapsed="false">
      <c r="A6008" s="3" t="s">
        <v>458</v>
      </c>
      <c r="B6008" s="4" t="s">
        <v>47</v>
      </c>
      <c r="C6008" s="4" t="n">
        <v>5</v>
      </c>
      <c r="D6008" s="4" t="s">
        <v>13</v>
      </c>
      <c r="E6008" s="3" t="s">
        <v>14</v>
      </c>
      <c r="F6008" s="4" t="str">
        <f aca="false">IF(I6008&gt;J6008,"Y","N")</f>
        <v>N</v>
      </c>
      <c r="G6008" s="3" t="s">
        <v>164</v>
      </c>
      <c r="H6008" s="3" t="s">
        <v>37</v>
      </c>
      <c r="I6008" s="4" t="n">
        <v>4</v>
      </c>
      <c r="J6008" s="4" t="n">
        <f aca="false">LEN(E6008)-LEN(SUBSTITUTE(E6008,",",""))+1</f>
        <v>4</v>
      </c>
      <c r="K6008" s="3" t="str">
        <f aca="false">IFERROR(INDEX('Teacher Lookup'!$B$2:$B$200,MATCH(A6008,'Teacher Lookup'!$A$2:$A$200,0)),"")</f>
        <v>DE GUZMAN Kevin</v>
      </c>
    </row>
    <row r="6009" customFormat="false" ht="15" hidden="false" customHeight="false" outlineLevel="0" collapsed="false">
      <c r="A6009" s="3" t="s">
        <v>458</v>
      </c>
      <c r="B6009" s="4" t="s">
        <v>47</v>
      </c>
      <c r="C6009" s="4" t="n">
        <v>5</v>
      </c>
      <c r="D6009" s="4" t="s">
        <v>17</v>
      </c>
      <c r="E6009" s="3" t="s">
        <v>14</v>
      </c>
      <c r="F6009" s="4" t="str">
        <f aca="false">IF(I6009&gt;J6009,"Y","N")</f>
        <v>N</v>
      </c>
      <c r="G6009" s="3" t="s">
        <v>164</v>
      </c>
      <c r="H6009" s="3" t="s">
        <v>37</v>
      </c>
      <c r="I6009" s="4" t="n">
        <v>4</v>
      </c>
      <c r="J6009" s="4" t="n">
        <f aca="false">LEN(E6009)-LEN(SUBSTITUTE(E6009,",",""))+1</f>
        <v>4</v>
      </c>
      <c r="K6009" s="3" t="str">
        <f aca="false">IFERROR(INDEX('Teacher Lookup'!$B$2:$B$200,MATCH(A6009,'Teacher Lookup'!$A$2:$A$200,0)),"")</f>
        <v>DE GUZMAN Kevin</v>
      </c>
    </row>
    <row r="6010" customFormat="false" ht="15" hidden="false" customHeight="false" outlineLevel="0" collapsed="false">
      <c r="A6010" s="3" t="s">
        <v>458</v>
      </c>
      <c r="B6010" s="4" t="s">
        <v>47</v>
      </c>
      <c r="C6010" s="4" t="n">
        <v>5</v>
      </c>
      <c r="D6010" s="4" t="s">
        <v>18</v>
      </c>
      <c r="E6010" s="3" t="s">
        <v>14</v>
      </c>
      <c r="F6010" s="4" t="str">
        <f aca="false">IF(I6010&gt;J6010,"Y","N")</f>
        <v>N</v>
      </c>
      <c r="G6010" s="3" t="s">
        <v>164</v>
      </c>
      <c r="H6010" s="3" t="s">
        <v>37</v>
      </c>
      <c r="I6010" s="4" t="n">
        <v>4</v>
      </c>
      <c r="J6010" s="4" t="n">
        <f aca="false">LEN(E6010)-LEN(SUBSTITUTE(E6010,",",""))+1</f>
        <v>4</v>
      </c>
      <c r="K6010" s="3" t="str">
        <f aca="false">IFERROR(INDEX('Teacher Lookup'!$B$2:$B$200,MATCH(A6010,'Teacher Lookup'!$A$2:$A$200,0)),"")</f>
        <v>DE GUZMAN Kevin</v>
      </c>
    </row>
    <row r="6011" customFormat="false" ht="15" hidden="false" customHeight="false" outlineLevel="0" collapsed="false">
      <c r="A6011" s="3" t="s">
        <v>458</v>
      </c>
      <c r="B6011" s="4" t="s">
        <v>47</v>
      </c>
      <c r="C6011" s="4" t="n">
        <v>6</v>
      </c>
      <c r="D6011" s="4" t="s">
        <v>19</v>
      </c>
      <c r="E6011" s="3" t="s">
        <v>421</v>
      </c>
      <c r="F6011" s="4" t="str">
        <f aca="false">IF(I6011&gt;J6011,"Y","N")</f>
        <v>N</v>
      </c>
      <c r="G6011" s="3" t="s">
        <v>164</v>
      </c>
      <c r="H6011" s="3" t="s">
        <v>42</v>
      </c>
      <c r="I6011" s="4" t="n">
        <v>4</v>
      </c>
      <c r="J6011" s="4" t="n">
        <f aca="false">LEN(E6011)-LEN(SUBSTITUTE(E6011,",",""))+1</f>
        <v>4</v>
      </c>
      <c r="K6011" s="3" t="str">
        <f aca="false">IFERROR(INDEX('Teacher Lookup'!$B$2:$B$200,MATCH(A6011,'Teacher Lookup'!$A$2:$A$200,0)),"")</f>
        <v>DE GUZMAN Kevin</v>
      </c>
    </row>
    <row r="6012" customFormat="false" ht="15" hidden="false" customHeight="false" outlineLevel="0" collapsed="false">
      <c r="A6012" s="3" t="s">
        <v>458</v>
      </c>
      <c r="B6012" s="4" t="s">
        <v>47</v>
      </c>
      <c r="C6012" s="4" t="n">
        <v>6</v>
      </c>
      <c r="D6012" s="4" t="s">
        <v>22</v>
      </c>
      <c r="E6012" s="3" t="s">
        <v>421</v>
      </c>
      <c r="F6012" s="4" t="str">
        <f aca="false">IF(I6012&gt;J6012,"Y","N")</f>
        <v>N</v>
      </c>
      <c r="G6012" s="3" t="s">
        <v>164</v>
      </c>
      <c r="H6012" s="3" t="s">
        <v>42</v>
      </c>
      <c r="I6012" s="4" t="n">
        <v>4</v>
      </c>
      <c r="J6012" s="4" t="n">
        <f aca="false">LEN(E6012)-LEN(SUBSTITUTE(E6012,",",""))+1</f>
        <v>4</v>
      </c>
      <c r="K6012" s="3" t="str">
        <f aca="false">IFERROR(INDEX('Teacher Lookup'!$B$2:$B$200,MATCH(A6012,'Teacher Lookup'!$A$2:$A$200,0)),"")</f>
        <v>DE GUZMAN Kevin</v>
      </c>
    </row>
    <row r="6013" customFormat="false" ht="15" hidden="false" customHeight="false" outlineLevel="0" collapsed="false">
      <c r="A6013" s="3" t="s">
        <v>458</v>
      </c>
      <c r="B6013" s="4" t="s">
        <v>47</v>
      </c>
      <c r="C6013" s="4" t="n">
        <v>6</v>
      </c>
      <c r="D6013" s="4" t="s">
        <v>23</v>
      </c>
      <c r="E6013" s="3" t="s">
        <v>421</v>
      </c>
      <c r="F6013" s="4" t="str">
        <f aca="false">IF(I6013&gt;J6013,"Y","N")</f>
        <v>N</v>
      </c>
      <c r="G6013" s="3" t="s">
        <v>164</v>
      </c>
      <c r="H6013" s="3" t="s">
        <v>42</v>
      </c>
      <c r="I6013" s="4" t="n">
        <v>4</v>
      </c>
      <c r="J6013" s="4" t="n">
        <f aca="false">LEN(E6013)-LEN(SUBSTITUTE(E6013,",",""))+1</f>
        <v>4</v>
      </c>
      <c r="K6013" s="3" t="str">
        <f aca="false">IFERROR(INDEX('Teacher Lookup'!$B$2:$B$200,MATCH(A6013,'Teacher Lookup'!$A$2:$A$200,0)),"")</f>
        <v>DE GUZMAN Kevin</v>
      </c>
    </row>
    <row r="6014" customFormat="false" ht="15" hidden="false" customHeight="false" outlineLevel="0" collapsed="false">
      <c r="A6014" s="3" t="s">
        <v>458</v>
      </c>
      <c r="B6014" s="4" t="s">
        <v>47</v>
      </c>
      <c r="C6014" s="4" t="n">
        <v>7</v>
      </c>
      <c r="D6014" s="4" t="s">
        <v>19</v>
      </c>
      <c r="E6014" s="3" t="s">
        <v>421</v>
      </c>
      <c r="F6014" s="4" t="str">
        <f aca="false">IF(I6014&gt;J6014,"Y","N")</f>
        <v>N</v>
      </c>
      <c r="G6014" s="3" t="s">
        <v>164</v>
      </c>
      <c r="H6014" s="3" t="s">
        <v>39</v>
      </c>
      <c r="I6014" s="4" t="n">
        <v>4</v>
      </c>
      <c r="J6014" s="4" t="n">
        <f aca="false">LEN(E6014)-LEN(SUBSTITUTE(E6014,",",""))+1</f>
        <v>4</v>
      </c>
      <c r="K6014" s="3" t="str">
        <f aca="false">IFERROR(INDEX('Teacher Lookup'!$B$2:$B$200,MATCH(A6014,'Teacher Lookup'!$A$2:$A$200,0)),"")</f>
        <v>DE GUZMAN Kevin</v>
      </c>
    </row>
    <row r="6015" customFormat="false" ht="15" hidden="false" customHeight="false" outlineLevel="0" collapsed="false">
      <c r="A6015" s="3" t="s">
        <v>458</v>
      </c>
      <c r="B6015" s="4" t="s">
        <v>47</v>
      </c>
      <c r="C6015" s="4" t="n">
        <v>7</v>
      </c>
      <c r="D6015" s="4" t="s">
        <v>22</v>
      </c>
      <c r="E6015" s="3" t="s">
        <v>421</v>
      </c>
      <c r="F6015" s="4" t="str">
        <f aca="false">IF(I6015&gt;J6015,"Y","N")</f>
        <v>N</v>
      </c>
      <c r="G6015" s="3" t="s">
        <v>164</v>
      </c>
      <c r="H6015" s="3" t="s">
        <v>39</v>
      </c>
      <c r="I6015" s="4" t="n">
        <v>4</v>
      </c>
      <c r="J6015" s="4" t="n">
        <f aca="false">LEN(E6015)-LEN(SUBSTITUTE(E6015,",",""))+1</f>
        <v>4</v>
      </c>
      <c r="K6015" s="3" t="str">
        <f aca="false">IFERROR(INDEX('Teacher Lookup'!$B$2:$B$200,MATCH(A6015,'Teacher Lookup'!$A$2:$A$200,0)),"")</f>
        <v>DE GUZMAN Kevin</v>
      </c>
    </row>
    <row r="6016" customFormat="false" ht="15" hidden="false" customHeight="false" outlineLevel="0" collapsed="false">
      <c r="A6016" s="3" t="s">
        <v>458</v>
      </c>
      <c r="B6016" s="4" t="s">
        <v>47</v>
      </c>
      <c r="C6016" s="4" t="n">
        <v>7</v>
      </c>
      <c r="D6016" s="4" t="s">
        <v>23</v>
      </c>
      <c r="E6016" s="3" t="s">
        <v>421</v>
      </c>
      <c r="F6016" s="4" t="str">
        <f aca="false">IF(I6016&gt;J6016,"Y","N")</f>
        <v>N</v>
      </c>
      <c r="G6016" s="3" t="s">
        <v>164</v>
      </c>
      <c r="H6016" s="3" t="s">
        <v>39</v>
      </c>
      <c r="I6016" s="4" t="n">
        <v>4</v>
      </c>
      <c r="J6016" s="4" t="n">
        <f aca="false">LEN(E6016)-LEN(SUBSTITUTE(E6016,",",""))+1</f>
        <v>4</v>
      </c>
      <c r="K6016" s="3" t="str">
        <f aca="false">IFERROR(INDEX('Teacher Lookup'!$B$2:$B$200,MATCH(A6016,'Teacher Lookup'!$A$2:$A$200,0)),"")</f>
        <v>DE GUZMAN Kevin</v>
      </c>
    </row>
    <row r="6017" customFormat="false" ht="15" hidden="false" customHeight="false" outlineLevel="0" collapsed="false">
      <c r="A6017" s="3" t="s">
        <v>458</v>
      </c>
      <c r="B6017" s="4" t="s">
        <v>50</v>
      </c>
      <c r="C6017" s="4" t="n">
        <v>3</v>
      </c>
      <c r="D6017" s="4" t="s">
        <v>13</v>
      </c>
      <c r="E6017" s="3" t="s">
        <v>360</v>
      </c>
      <c r="F6017" s="4" t="str">
        <f aca="false">IF(I6017&gt;J6017,"Y","N")</f>
        <v>N</v>
      </c>
      <c r="G6017" s="3" t="s">
        <v>164</v>
      </c>
      <c r="H6017" s="3" t="s">
        <v>26</v>
      </c>
      <c r="I6017" s="4" t="n">
        <v>4</v>
      </c>
      <c r="J6017" s="4" t="n">
        <f aca="false">LEN(E6017)-LEN(SUBSTITUTE(E6017,",",""))+1</f>
        <v>4</v>
      </c>
      <c r="K6017" s="3" t="str">
        <f aca="false">IFERROR(INDEX('Teacher Lookup'!$B$2:$B$200,MATCH(A6017,'Teacher Lookup'!$A$2:$A$200,0)),"")</f>
        <v>DE GUZMAN Kevin</v>
      </c>
    </row>
    <row r="6018" customFormat="false" ht="15" hidden="false" customHeight="false" outlineLevel="0" collapsed="false">
      <c r="A6018" s="3" t="s">
        <v>458</v>
      </c>
      <c r="B6018" s="4" t="s">
        <v>50</v>
      </c>
      <c r="C6018" s="4" t="n">
        <v>3</v>
      </c>
      <c r="D6018" s="4" t="s">
        <v>17</v>
      </c>
      <c r="E6018" s="3" t="s">
        <v>360</v>
      </c>
      <c r="F6018" s="4" t="str">
        <f aca="false">IF(I6018&gt;J6018,"Y","N")</f>
        <v>N</v>
      </c>
      <c r="G6018" s="3" t="s">
        <v>164</v>
      </c>
      <c r="H6018" s="3" t="s">
        <v>26</v>
      </c>
      <c r="I6018" s="4" t="n">
        <v>4</v>
      </c>
      <c r="J6018" s="4" t="n">
        <f aca="false">LEN(E6018)-LEN(SUBSTITUTE(E6018,",",""))+1</f>
        <v>4</v>
      </c>
      <c r="K6018" s="3" t="str">
        <f aca="false">IFERROR(INDEX('Teacher Lookup'!$B$2:$B$200,MATCH(A6018,'Teacher Lookup'!$A$2:$A$200,0)),"")</f>
        <v>DE GUZMAN Kevin</v>
      </c>
    </row>
    <row r="6019" customFormat="false" ht="15" hidden="false" customHeight="false" outlineLevel="0" collapsed="false">
      <c r="A6019" s="3" t="s">
        <v>458</v>
      </c>
      <c r="B6019" s="4" t="s">
        <v>50</v>
      </c>
      <c r="C6019" s="4" t="n">
        <v>3</v>
      </c>
      <c r="D6019" s="4" t="s">
        <v>18</v>
      </c>
      <c r="E6019" s="3" t="s">
        <v>360</v>
      </c>
      <c r="F6019" s="4" t="str">
        <f aca="false">IF(I6019&gt;J6019,"Y","N")</f>
        <v>N</v>
      </c>
      <c r="G6019" s="3" t="s">
        <v>164</v>
      </c>
      <c r="H6019" s="3" t="s">
        <v>26</v>
      </c>
      <c r="I6019" s="4" t="n">
        <v>4</v>
      </c>
      <c r="J6019" s="4" t="n">
        <f aca="false">LEN(E6019)-LEN(SUBSTITUTE(E6019,",",""))+1</f>
        <v>4</v>
      </c>
      <c r="K6019" s="3" t="str">
        <f aca="false">IFERROR(INDEX('Teacher Lookup'!$B$2:$B$200,MATCH(A6019,'Teacher Lookup'!$A$2:$A$200,0)),"")</f>
        <v>DE GUZMAN Kevin</v>
      </c>
    </row>
    <row r="6020" customFormat="false" ht="15" hidden="false" customHeight="false" outlineLevel="0" collapsed="false">
      <c r="A6020" s="3" t="s">
        <v>458</v>
      </c>
      <c r="B6020" s="4" t="s">
        <v>50</v>
      </c>
      <c r="C6020" s="4" t="n">
        <v>4</v>
      </c>
      <c r="D6020" s="4" t="s">
        <v>52</v>
      </c>
      <c r="E6020" s="3" t="s">
        <v>177</v>
      </c>
      <c r="F6020" s="4" t="str">
        <f aca="false">IF(I6020&gt;J6020,"Y","N")</f>
        <v>N</v>
      </c>
      <c r="G6020" s="3" t="s">
        <v>164</v>
      </c>
      <c r="H6020" s="3" t="s">
        <v>34</v>
      </c>
      <c r="I6020" s="4" t="n">
        <v>4</v>
      </c>
      <c r="J6020" s="4" t="n">
        <f aca="false">LEN(E6020)-LEN(SUBSTITUTE(E6020,",",""))+1</f>
        <v>4</v>
      </c>
      <c r="K6020" s="3" t="str">
        <f aca="false">IFERROR(INDEX('Teacher Lookup'!$B$2:$B$200,MATCH(A6020,'Teacher Lookup'!$A$2:$A$200,0)),"")</f>
        <v>DE GUZMAN Kevin</v>
      </c>
    </row>
    <row r="6021" customFormat="false" ht="15" hidden="false" customHeight="false" outlineLevel="0" collapsed="false">
      <c r="A6021" s="3" t="s">
        <v>458</v>
      </c>
      <c r="B6021" s="4" t="s">
        <v>50</v>
      </c>
      <c r="C6021" s="4" t="n">
        <v>4</v>
      </c>
      <c r="D6021" s="4" t="s">
        <v>55</v>
      </c>
      <c r="E6021" s="3" t="s">
        <v>177</v>
      </c>
      <c r="F6021" s="4" t="str">
        <f aca="false">IF(I6021&gt;J6021,"Y","N")</f>
        <v>N</v>
      </c>
      <c r="G6021" s="3" t="s">
        <v>164</v>
      </c>
      <c r="H6021" s="3" t="s">
        <v>34</v>
      </c>
      <c r="I6021" s="4" t="n">
        <v>4</v>
      </c>
      <c r="J6021" s="4" t="n">
        <f aca="false">LEN(E6021)-LEN(SUBSTITUTE(E6021,",",""))+1</f>
        <v>4</v>
      </c>
      <c r="K6021" s="3" t="str">
        <f aca="false">IFERROR(INDEX('Teacher Lookup'!$B$2:$B$200,MATCH(A6021,'Teacher Lookup'!$A$2:$A$200,0)),"")</f>
        <v>DE GUZMAN Kevin</v>
      </c>
    </row>
    <row r="6022" customFormat="false" ht="15" hidden="false" customHeight="false" outlineLevel="0" collapsed="false">
      <c r="A6022" s="3" t="s">
        <v>458</v>
      </c>
      <c r="B6022" s="4" t="s">
        <v>50</v>
      </c>
      <c r="C6022" s="4" t="n">
        <v>4</v>
      </c>
      <c r="D6022" s="4" t="s">
        <v>56</v>
      </c>
      <c r="E6022" s="3" t="s">
        <v>177</v>
      </c>
      <c r="F6022" s="4" t="str">
        <f aca="false">IF(I6022&gt;J6022,"Y","N")</f>
        <v>N</v>
      </c>
      <c r="G6022" s="3" t="s">
        <v>164</v>
      </c>
      <c r="H6022" s="3" t="s">
        <v>34</v>
      </c>
      <c r="I6022" s="4" t="n">
        <v>4</v>
      </c>
      <c r="J6022" s="4" t="n">
        <f aca="false">LEN(E6022)-LEN(SUBSTITUTE(E6022,",",""))+1</f>
        <v>4</v>
      </c>
      <c r="K6022" s="3" t="str">
        <f aca="false">IFERROR(INDEX('Teacher Lookup'!$B$2:$B$200,MATCH(A6022,'Teacher Lookup'!$A$2:$A$200,0)),"")</f>
        <v>DE GUZMAN Kevin</v>
      </c>
    </row>
    <row r="6023" customFormat="false" ht="15" hidden="false" customHeight="false" outlineLevel="0" collapsed="false">
      <c r="A6023" s="3" t="s">
        <v>458</v>
      </c>
      <c r="B6023" s="4" t="s">
        <v>50</v>
      </c>
      <c r="C6023" s="4" t="n">
        <v>5</v>
      </c>
      <c r="D6023" s="4" t="s">
        <v>19</v>
      </c>
      <c r="E6023" s="3" t="s">
        <v>422</v>
      </c>
      <c r="F6023" s="4" t="str">
        <f aca="false">IF(I6023&gt;J6023,"Y","N")</f>
        <v>N</v>
      </c>
      <c r="G6023" s="3" t="s">
        <v>164</v>
      </c>
      <c r="H6023" s="3" t="s">
        <v>37</v>
      </c>
      <c r="I6023" s="4" t="n">
        <v>4</v>
      </c>
      <c r="J6023" s="4" t="n">
        <f aca="false">LEN(E6023)-LEN(SUBSTITUTE(E6023,",",""))+1</f>
        <v>4</v>
      </c>
      <c r="K6023" s="3" t="str">
        <f aca="false">IFERROR(INDEX('Teacher Lookup'!$B$2:$B$200,MATCH(A6023,'Teacher Lookup'!$A$2:$A$200,0)),"")</f>
        <v>DE GUZMAN Kevin</v>
      </c>
    </row>
    <row r="6024" customFormat="false" ht="15" hidden="false" customHeight="false" outlineLevel="0" collapsed="false">
      <c r="A6024" s="3" t="s">
        <v>458</v>
      </c>
      <c r="B6024" s="4" t="s">
        <v>50</v>
      </c>
      <c r="C6024" s="4" t="n">
        <v>5</v>
      </c>
      <c r="D6024" s="4" t="s">
        <v>22</v>
      </c>
      <c r="E6024" s="3" t="s">
        <v>422</v>
      </c>
      <c r="F6024" s="4" t="str">
        <f aca="false">IF(I6024&gt;J6024,"Y","N")</f>
        <v>N</v>
      </c>
      <c r="G6024" s="3" t="s">
        <v>164</v>
      </c>
      <c r="H6024" s="3" t="s">
        <v>37</v>
      </c>
      <c r="I6024" s="4" t="n">
        <v>4</v>
      </c>
      <c r="J6024" s="4" t="n">
        <f aca="false">LEN(E6024)-LEN(SUBSTITUTE(E6024,",",""))+1</f>
        <v>4</v>
      </c>
      <c r="K6024" s="3" t="str">
        <f aca="false">IFERROR(INDEX('Teacher Lookup'!$B$2:$B$200,MATCH(A6024,'Teacher Lookup'!$A$2:$A$200,0)),"")</f>
        <v>DE GUZMAN Kevin</v>
      </c>
    </row>
    <row r="6025" customFormat="false" ht="15" hidden="false" customHeight="false" outlineLevel="0" collapsed="false">
      <c r="A6025" s="3" t="s">
        <v>458</v>
      </c>
      <c r="B6025" s="4" t="s">
        <v>50</v>
      </c>
      <c r="C6025" s="4" t="n">
        <v>5</v>
      </c>
      <c r="D6025" s="4" t="s">
        <v>23</v>
      </c>
      <c r="E6025" s="3" t="s">
        <v>422</v>
      </c>
      <c r="F6025" s="4" t="str">
        <f aca="false">IF(I6025&gt;J6025,"Y","N")</f>
        <v>N</v>
      </c>
      <c r="G6025" s="3" t="s">
        <v>164</v>
      </c>
      <c r="H6025" s="3" t="s">
        <v>37</v>
      </c>
      <c r="I6025" s="4" t="n">
        <v>4</v>
      </c>
      <c r="J6025" s="4" t="n">
        <f aca="false">LEN(E6025)-LEN(SUBSTITUTE(E6025,",",""))+1</f>
        <v>4</v>
      </c>
      <c r="K6025" s="3" t="str">
        <f aca="false">IFERROR(INDEX('Teacher Lookup'!$B$2:$B$200,MATCH(A6025,'Teacher Lookup'!$A$2:$A$200,0)),"")</f>
        <v>DE GUZMAN Kevin</v>
      </c>
    </row>
    <row r="6026" customFormat="false" ht="15" hidden="false" customHeight="false" outlineLevel="0" collapsed="false">
      <c r="A6026" s="3" t="s">
        <v>458</v>
      </c>
      <c r="B6026" s="4" t="s">
        <v>60</v>
      </c>
      <c r="C6026" s="4" t="n">
        <v>4</v>
      </c>
      <c r="D6026" s="4" t="s">
        <v>19</v>
      </c>
      <c r="E6026" s="3" t="s">
        <v>423</v>
      </c>
      <c r="F6026" s="4" t="str">
        <f aca="false">IF(I6026&gt;J6026,"Y","N")</f>
        <v>N</v>
      </c>
      <c r="G6026" s="3" t="s">
        <v>164</v>
      </c>
      <c r="H6026" s="3" t="s">
        <v>34</v>
      </c>
      <c r="I6026" s="4" t="n">
        <v>4</v>
      </c>
      <c r="J6026" s="4" t="n">
        <f aca="false">LEN(E6026)-LEN(SUBSTITUTE(E6026,",",""))+1</f>
        <v>4</v>
      </c>
      <c r="K6026" s="3" t="str">
        <f aca="false">IFERROR(INDEX('Teacher Lookup'!$B$2:$B$200,MATCH(A6026,'Teacher Lookup'!$A$2:$A$200,0)),"")</f>
        <v>DE GUZMAN Kevin</v>
      </c>
    </row>
    <row r="6027" customFormat="false" ht="15" hidden="false" customHeight="false" outlineLevel="0" collapsed="false">
      <c r="A6027" s="3" t="s">
        <v>458</v>
      </c>
      <c r="B6027" s="4" t="s">
        <v>60</v>
      </c>
      <c r="C6027" s="4" t="n">
        <v>4</v>
      </c>
      <c r="D6027" s="4" t="s">
        <v>22</v>
      </c>
      <c r="E6027" s="3" t="s">
        <v>423</v>
      </c>
      <c r="F6027" s="4" t="str">
        <f aca="false">IF(I6027&gt;J6027,"Y","N")</f>
        <v>N</v>
      </c>
      <c r="G6027" s="3" t="s">
        <v>164</v>
      </c>
      <c r="H6027" s="3" t="s">
        <v>34</v>
      </c>
      <c r="I6027" s="4" t="n">
        <v>4</v>
      </c>
      <c r="J6027" s="4" t="n">
        <f aca="false">LEN(E6027)-LEN(SUBSTITUTE(E6027,",",""))+1</f>
        <v>4</v>
      </c>
      <c r="K6027" s="3" t="str">
        <f aca="false">IFERROR(INDEX('Teacher Lookup'!$B$2:$B$200,MATCH(A6027,'Teacher Lookup'!$A$2:$A$200,0)),"")</f>
        <v>DE GUZMAN Kevin</v>
      </c>
    </row>
    <row r="6028" customFormat="false" ht="15" hidden="false" customHeight="false" outlineLevel="0" collapsed="false">
      <c r="A6028" s="3" t="s">
        <v>458</v>
      </c>
      <c r="B6028" s="4" t="s">
        <v>60</v>
      </c>
      <c r="C6028" s="4" t="n">
        <v>4</v>
      </c>
      <c r="D6028" s="4" t="s">
        <v>23</v>
      </c>
      <c r="E6028" s="3" t="s">
        <v>423</v>
      </c>
      <c r="F6028" s="4" t="str">
        <f aca="false">IF(I6028&gt;J6028,"Y","N")</f>
        <v>N</v>
      </c>
      <c r="G6028" s="3" t="s">
        <v>164</v>
      </c>
      <c r="H6028" s="3" t="s">
        <v>34</v>
      </c>
      <c r="I6028" s="4" t="n">
        <v>4</v>
      </c>
      <c r="J6028" s="4" t="n">
        <f aca="false">LEN(E6028)-LEN(SUBSTITUTE(E6028,",",""))+1</f>
        <v>4</v>
      </c>
      <c r="K6028" s="3" t="str">
        <f aca="false">IFERROR(INDEX('Teacher Lookup'!$B$2:$B$200,MATCH(A6028,'Teacher Lookup'!$A$2:$A$200,0)),"")</f>
        <v>DE GUZMAN Kevin</v>
      </c>
    </row>
    <row r="6029" customFormat="false" ht="15" hidden="false" customHeight="false" outlineLevel="0" collapsed="false">
      <c r="A6029" s="3" t="s">
        <v>458</v>
      </c>
      <c r="B6029" s="4" t="s">
        <v>60</v>
      </c>
      <c r="C6029" s="4" t="n">
        <v>5</v>
      </c>
      <c r="D6029" s="4" t="s">
        <v>52</v>
      </c>
      <c r="E6029" s="3" t="s">
        <v>112</v>
      </c>
      <c r="F6029" s="4" t="str">
        <f aca="false">IF(I6029&gt;J6029,"Y","N")</f>
        <v>Y</v>
      </c>
      <c r="G6029" s="3" t="s">
        <v>36</v>
      </c>
      <c r="H6029" s="3" t="s">
        <v>37</v>
      </c>
      <c r="I6029" s="4" t="n">
        <v>16</v>
      </c>
      <c r="J6029" s="4" t="n">
        <f aca="false">LEN(E6029)-LEN(SUBSTITUTE(E6029,",",""))+1</f>
        <v>7</v>
      </c>
      <c r="K6029" s="3" t="str">
        <f aca="false">IFERROR(INDEX('Teacher Lookup'!$B$2:$B$200,MATCH(A6029,'Teacher Lookup'!$A$2:$A$200,0)),"")</f>
        <v>DE GUZMAN Kevin</v>
      </c>
    </row>
    <row r="6030" customFormat="false" ht="15" hidden="false" customHeight="false" outlineLevel="0" collapsed="false">
      <c r="A6030" s="3" t="s">
        <v>458</v>
      </c>
      <c r="B6030" s="4" t="s">
        <v>60</v>
      </c>
      <c r="C6030" s="4" t="n">
        <v>5</v>
      </c>
      <c r="D6030" s="4" t="s">
        <v>55</v>
      </c>
      <c r="E6030" s="3" t="s">
        <v>112</v>
      </c>
      <c r="F6030" s="4" t="str">
        <f aca="false">IF(I6030&gt;J6030,"Y","N")</f>
        <v>Y</v>
      </c>
      <c r="G6030" s="3" t="s">
        <v>36</v>
      </c>
      <c r="H6030" s="3" t="s">
        <v>37</v>
      </c>
      <c r="I6030" s="4" t="n">
        <v>16</v>
      </c>
      <c r="J6030" s="4" t="n">
        <f aca="false">LEN(E6030)-LEN(SUBSTITUTE(E6030,",",""))+1</f>
        <v>7</v>
      </c>
      <c r="K6030" s="3" t="str">
        <f aca="false">IFERROR(INDEX('Teacher Lookup'!$B$2:$B$200,MATCH(A6030,'Teacher Lookup'!$A$2:$A$200,0)),"")</f>
        <v>DE GUZMAN Kevin</v>
      </c>
    </row>
    <row r="6031" customFormat="false" ht="15" hidden="false" customHeight="false" outlineLevel="0" collapsed="false">
      <c r="A6031" s="3" t="s">
        <v>458</v>
      </c>
      <c r="B6031" s="4" t="s">
        <v>60</v>
      </c>
      <c r="C6031" s="4" t="n">
        <v>5</v>
      </c>
      <c r="D6031" s="4" t="s">
        <v>56</v>
      </c>
      <c r="E6031" s="3" t="s">
        <v>112</v>
      </c>
      <c r="F6031" s="4" t="str">
        <f aca="false">IF(I6031&gt;J6031,"Y","N")</f>
        <v>Y</v>
      </c>
      <c r="G6031" s="3" t="s">
        <v>36</v>
      </c>
      <c r="H6031" s="3" t="s">
        <v>37</v>
      </c>
      <c r="I6031" s="4" t="n">
        <v>16</v>
      </c>
      <c r="J6031" s="4" t="n">
        <f aca="false">LEN(E6031)-LEN(SUBSTITUTE(E6031,",",""))+1</f>
        <v>7</v>
      </c>
      <c r="K6031" s="3" t="str">
        <f aca="false">IFERROR(INDEX('Teacher Lookup'!$B$2:$B$200,MATCH(A6031,'Teacher Lookup'!$A$2:$A$200,0)),"")</f>
        <v>DE GUZMAN Kevin</v>
      </c>
    </row>
    <row r="6032" customFormat="false" ht="15" hidden="false" customHeight="false" outlineLevel="0" collapsed="false">
      <c r="A6032" s="3" t="s">
        <v>458</v>
      </c>
      <c r="B6032" s="4" t="s">
        <v>60</v>
      </c>
      <c r="C6032" s="4" t="n">
        <v>5</v>
      </c>
      <c r="D6032" s="4" t="s">
        <v>57</v>
      </c>
      <c r="E6032" s="3" t="s">
        <v>112</v>
      </c>
      <c r="F6032" s="4" t="str">
        <f aca="false">IF(I6032&gt;J6032,"Y","N")</f>
        <v>Y</v>
      </c>
      <c r="G6032" s="3" t="s">
        <v>36</v>
      </c>
      <c r="H6032" s="3" t="s">
        <v>37</v>
      </c>
      <c r="I6032" s="4" t="n">
        <v>16</v>
      </c>
      <c r="J6032" s="4" t="n">
        <f aca="false">LEN(E6032)-LEN(SUBSTITUTE(E6032,",",""))+1</f>
        <v>7</v>
      </c>
      <c r="K6032" s="3" t="str">
        <f aca="false">IFERROR(INDEX('Teacher Lookup'!$B$2:$B$200,MATCH(A6032,'Teacher Lookup'!$A$2:$A$200,0)),"")</f>
        <v>DE GUZMAN Kevin</v>
      </c>
    </row>
    <row r="6033" customFormat="false" ht="15" hidden="false" customHeight="false" outlineLevel="0" collapsed="false">
      <c r="A6033" s="3" t="s">
        <v>458</v>
      </c>
      <c r="B6033" s="4" t="s">
        <v>60</v>
      </c>
      <c r="C6033" s="4" t="n">
        <v>5</v>
      </c>
      <c r="D6033" s="4" t="s">
        <v>58</v>
      </c>
      <c r="E6033" s="3" t="s">
        <v>112</v>
      </c>
      <c r="F6033" s="4" t="str">
        <f aca="false">IF(I6033&gt;J6033,"Y","N")</f>
        <v>Y</v>
      </c>
      <c r="G6033" s="3" t="s">
        <v>36</v>
      </c>
      <c r="H6033" s="3" t="s">
        <v>37</v>
      </c>
      <c r="I6033" s="4" t="n">
        <v>16</v>
      </c>
      <c r="J6033" s="4" t="n">
        <f aca="false">LEN(E6033)-LEN(SUBSTITUTE(E6033,",",""))+1</f>
        <v>7</v>
      </c>
      <c r="K6033" s="3" t="str">
        <f aca="false">IFERROR(INDEX('Teacher Lookup'!$B$2:$B$200,MATCH(A6033,'Teacher Lookup'!$A$2:$A$200,0)),"")</f>
        <v>DE GUZMAN Kevin</v>
      </c>
    </row>
    <row r="6034" customFormat="false" ht="15" hidden="false" customHeight="false" outlineLevel="0" collapsed="false">
      <c r="A6034" s="3" t="s">
        <v>458</v>
      </c>
      <c r="B6034" s="4" t="s">
        <v>60</v>
      </c>
      <c r="C6034" s="4" t="n">
        <v>5</v>
      </c>
      <c r="D6034" s="4" t="s">
        <v>59</v>
      </c>
      <c r="E6034" s="3" t="s">
        <v>112</v>
      </c>
      <c r="F6034" s="4" t="str">
        <f aca="false">IF(I6034&gt;J6034,"Y","N")</f>
        <v>Y</v>
      </c>
      <c r="G6034" s="3" t="s">
        <v>36</v>
      </c>
      <c r="H6034" s="3" t="s">
        <v>37</v>
      </c>
      <c r="I6034" s="4" t="n">
        <v>16</v>
      </c>
      <c r="J6034" s="4" t="n">
        <f aca="false">LEN(E6034)-LEN(SUBSTITUTE(E6034,",",""))+1</f>
        <v>7</v>
      </c>
      <c r="K6034" s="3" t="str">
        <f aca="false">IFERROR(INDEX('Teacher Lookup'!$B$2:$B$200,MATCH(A6034,'Teacher Lookup'!$A$2:$A$200,0)),"")</f>
        <v>DE GUZMAN Kevin</v>
      </c>
    </row>
    <row r="6035" customFormat="false" ht="15" hidden="false" customHeight="false" outlineLevel="0" collapsed="false">
      <c r="A6035" s="3" t="s">
        <v>458</v>
      </c>
      <c r="B6035" s="4" t="s">
        <v>60</v>
      </c>
      <c r="C6035" s="4" t="n">
        <v>6</v>
      </c>
      <c r="D6035" s="4" t="s">
        <v>52</v>
      </c>
      <c r="E6035" s="3" t="s">
        <v>169</v>
      </c>
      <c r="F6035" s="4" t="str">
        <f aca="false">IF(I6035&gt;J6035,"Y","N")</f>
        <v>N</v>
      </c>
      <c r="G6035" s="3" t="s">
        <v>164</v>
      </c>
      <c r="H6035" s="3" t="s">
        <v>42</v>
      </c>
      <c r="I6035" s="4" t="n">
        <v>4</v>
      </c>
      <c r="J6035" s="4" t="n">
        <f aca="false">LEN(E6035)-LEN(SUBSTITUTE(E6035,",",""))+1</f>
        <v>4</v>
      </c>
      <c r="K6035" s="3" t="str">
        <f aca="false">IFERROR(INDEX('Teacher Lookup'!$B$2:$B$200,MATCH(A6035,'Teacher Lookup'!$A$2:$A$200,0)),"")</f>
        <v>DE GUZMAN Kevin</v>
      </c>
    </row>
    <row r="6036" customFormat="false" ht="15" hidden="false" customHeight="false" outlineLevel="0" collapsed="false">
      <c r="A6036" s="3" t="s">
        <v>458</v>
      </c>
      <c r="B6036" s="4" t="s">
        <v>60</v>
      </c>
      <c r="C6036" s="4" t="n">
        <v>6</v>
      </c>
      <c r="D6036" s="4" t="s">
        <v>55</v>
      </c>
      <c r="E6036" s="3" t="s">
        <v>169</v>
      </c>
      <c r="F6036" s="4" t="str">
        <f aca="false">IF(I6036&gt;J6036,"Y","N")</f>
        <v>N</v>
      </c>
      <c r="G6036" s="3" t="s">
        <v>164</v>
      </c>
      <c r="H6036" s="3" t="s">
        <v>42</v>
      </c>
      <c r="I6036" s="4" t="n">
        <v>4</v>
      </c>
      <c r="J6036" s="4" t="n">
        <f aca="false">LEN(E6036)-LEN(SUBSTITUTE(E6036,",",""))+1</f>
        <v>4</v>
      </c>
      <c r="K6036" s="3" t="str">
        <f aca="false">IFERROR(INDEX('Teacher Lookup'!$B$2:$B$200,MATCH(A6036,'Teacher Lookup'!$A$2:$A$200,0)),"")</f>
        <v>DE GUZMAN Kevin</v>
      </c>
    </row>
    <row r="6037" customFormat="false" ht="15" hidden="false" customHeight="false" outlineLevel="0" collapsed="false">
      <c r="A6037" s="3" t="s">
        <v>458</v>
      </c>
      <c r="B6037" s="4" t="s">
        <v>60</v>
      </c>
      <c r="C6037" s="4" t="n">
        <v>6</v>
      </c>
      <c r="D6037" s="4" t="s">
        <v>56</v>
      </c>
      <c r="E6037" s="3" t="s">
        <v>169</v>
      </c>
      <c r="F6037" s="4" t="str">
        <f aca="false">IF(I6037&gt;J6037,"Y","N")</f>
        <v>N</v>
      </c>
      <c r="G6037" s="3" t="s">
        <v>164</v>
      </c>
      <c r="H6037" s="3" t="s">
        <v>42</v>
      </c>
      <c r="I6037" s="4" t="n">
        <v>4</v>
      </c>
      <c r="J6037" s="4" t="n">
        <f aca="false">LEN(E6037)-LEN(SUBSTITUTE(E6037,",",""))+1</f>
        <v>4</v>
      </c>
      <c r="K6037" s="3" t="str">
        <f aca="false">IFERROR(INDEX('Teacher Lookup'!$B$2:$B$200,MATCH(A6037,'Teacher Lookup'!$A$2:$A$200,0)),"")</f>
        <v>DE GUZMAN Kevin</v>
      </c>
    </row>
    <row r="6038" customFormat="false" ht="15" hidden="false" customHeight="false" outlineLevel="0" collapsed="false">
      <c r="A6038" s="3" t="s">
        <v>458</v>
      </c>
      <c r="B6038" s="4" t="s">
        <v>60</v>
      </c>
      <c r="C6038" s="4" t="n">
        <v>7</v>
      </c>
      <c r="D6038" s="4" t="s">
        <v>13</v>
      </c>
      <c r="E6038" s="3" t="s">
        <v>333</v>
      </c>
      <c r="F6038" s="4" t="str">
        <f aca="false">IF(I6038&gt;J6038,"Y","N")</f>
        <v>N</v>
      </c>
      <c r="G6038" s="3" t="s">
        <v>164</v>
      </c>
      <c r="H6038" s="3" t="s">
        <v>39</v>
      </c>
      <c r="I6038" s="4" t="n">
        <v>4</v>
      </c>
      <c r="J6038" s="4" t="n">
        <f aca="false">LEN(E6038)-LEN(SUBSTITUTE(E6038,",",""))+1</f>
        <v>4</v>
      </c>
      <c r="K6038" s="3" t="str">
        <f aca="false">IFERROR(INDEX('Teacher Lookup'!$B$2:$B$200,MATCH(A6038,'Teacher Lookup'!$A$2:$A$200,0)),"")</f>
        <v>DE GUZMAN Kevin</v>
      </c>
    </row>
    <row r="6039" customFormat="false" ht="15" hidden="false" customHeight="false" outlineLevel="0" collapsed="false">
      <c r="A6039" s="3" t="s">
        <v>458</v>
      </c>
      <c r="B6039" s="4" t="s">
        <v>60</v>
      </c>
      <c r="C6039" s="4" t="n">
        <v>7</v>
      </c>
      <c r="D6039" s="4" t="s">
        <v>17</v>
      </c>
      <c r="E6039" s="3" t="s">
        <v>333</v>
      </c>
      <c r="F6039" s="4" t="str">
        <f aca="false">IF(I6039&gt;J6039,"Y","N")</f>
        <v>N</v>
      </c>
      <c r="G6039" s="3" t="s">
        <v>164</v>
      </c>
      <c r="H6039" s="3" t="s">
        <v>39</v>
      </c>
      <c r="I6039" s="4" t="n">
        <v>4</v>
      </c>
      <c r="J6039" s="4" t="n">
        <f aca="false">LEN(E6039)-LEN(SUBSTITUTE(E6039,",",""))+1</f>
        <v>4</v>
      </c>
      <c r="K6039" s="3" t="str">
        <f aca="false">IFERROR(INDEX('Teacher Lookup'!$B$2:$B$200,MATCH(A6039,'Teacher Lookup'!$A$2:$A$200,0)),"")</f>
        <v>DE GUZMAN Kevin</v>
      </c>
    </row>
    <row r="6040" customFormat="false" ht="15" hidden="false" customHeight="false" outlineLevel="0" collapsed="false">
      <c r="A6040" s="3" t="s">
        <v>458</v>
      </c>
      <c r="B6040" s="4" t="s">
        <v>60</v>
      </c>
      <c r="C6040" s="4" t="n">
        <v>7</v>
      </c>
      <c r="D6040" s="4" t="s">
        <v>18</v>
      </c>
      <c r="E6040" s="3" t="s">
        <v>333</v>
      </c>
      <c r="F6040" s="4" t="str">
        <f aca="false">IF(I6040&gt;J6040,"Y","N")</f>
        <v>N</v>
      </c>
      <c r="G6040" s="3" t="s">
        <v>164</v>
      </c>
      <c r="H6040" s="3" t="s">
        <v>39</v>
      </c>
      <c r="I6040" s="4" t="n">
        <v>4</v>
      </c>
      <c r="J6040" s="4" t="n">
        <f aca="false">LEN(E6040)-LEN(SUBSTITUTE(E6040,",",""))+1</f>
        <v>4</v>
      </c>
      <c r="K6040" s="3" t="str">
        <f aca="false">IFERROR(INDEX('Teacher Lookup'!$B$2:$B$200,MATCH(A6040,'Teacher Lookup'!$A$2:$A$200,0)),"")</f>
        <v>DE GUZMAN Kevin</v>
      </c>
    </row>
    <row r="6041" customFormat="false" ht="15" hidden="false" customHeight="false" outlineLevel="0" collapsed="false">
      <c r="A6041" s="3" t="s">
        <v>458</v>
      </c>
      <c r="B6041" s="4" t="s">
        <v>63</v>
      </c>
      <c r="C6041" s="4" t="n">
        <v>3</v>
      </c>
      <c r="D6041" s="4" t="s">
        <v>52</v>
      </c>
      <c r="E6041" s="3" t="s">
        <v>180</v>
      </c>
      <c r="F6041" s="4" t="str">
        <f aca="false">IF(I6041&gt;J6041,"Y","N")</f>
        <v>N</v>
      </c>
      <c r="G6041" s="3" t="s">
        <v>164</v>
      </c>
      <c r="H6041" s="3" t="s">
        <v>26</v>
      </c>
      <c r="I6041" s="4" t="n">
        <v>4</v>
      </c>
      <c r="J6041" s="4" t="n">
        <f aca="false">LEN(E6041)-LEN(SUBSTITUTE(E6041,",",""))+1</f>
        <v>4</v>
      </c>
      <c r="K6041" s="3" t="str">
        <f aca="false">IFERROR(INDEX('Teacher Lookup'!$B$2:$B$200,MATCH(A6041,'Teacher Lookup'!$A$2:$A$200,0)),"")</f>
        <v>DE GUZMAN Kevin</v>
      </c>
    </row>
    <row r="6042" customFormat="false" ht="15" hidden="false" customHeight="false" outlineLevel="0" collapsed="false">
      <c r="A6042" s="3" t="s">
        <v>458</v>
      </c>
      <c r="B6042" s="4" t="s">
        <v>63</v>
      </c>
      <c r="C6042" s="4" t="n">
        <v>3</v>
      </c>
      <c r="D6042" s="4" t="s">
        <v>55</v>
      </c>
      <c r="E6042" s="3" t="s">
        <v>180</v>
      </c>
      <c r="F6042" s="4" t="str">
        <f aca="false">IF(I6042&gt;J6042,"Y","N")</f>
        <v>N</v>
      </c>
      <c r="G6042" s="3" t="s">
        <v>164</v>
      </c>
      <c r="H6042" s="3" t="s">
        <v>26</v>
      </c>
      <c r="I6042" s="4" t="n">
        <v>4</v>
      </c>
      <c r="J6042" s="4" t="n">
        <f aca="false">LEN(E6042)-LEN(SUBSTITUTE(E6042,",",""))+1</f>
        <v>4</v>
      </c>
      <c r="K6042" s="3" t="str">
        <f aca="false">IFERROR(INDEX('Teacher Lookup'!$B$2:$B$200,MATCH(A6042,'Teacher Lookup'!$A$2:$A$200,0)),"")</f>
        <v>DE GUZMAN Kevin</v>
      </c>
    </row>
    <row r="6043" customFormat="false" ht="15" hidden="false" customHeight="false" outlineLevel="0" collapsed="false">
      <c r="A6043" s="3" t="s">
        <v>458</v>
      </c>
      <c r="B6043" s="4" t="s">
        <v>63</v>
      </c>
      <c r="C6043" s="4" t="n">
        <v>3</v>
      </c>
      <c r="D6043" s="4" t="s">
        <v>56</v>
      </c>
      <c r="E6043" s="3" t="s">
        <v>180</v>
      </c>
      <c r="F6043" s="4" t="str">
        <f aca="false">IF(I6043&gt;J6043,"Y","N")</f>
        <v>N</v>
      </c>
      <c r="G6043" s="3" t="s">
        <v>164</v>
      </c>
      <c r="H6043" s="3" t="s">
        <v>26</v>
      </c>
      <c r="I6043" s="4" t="n">
        <v>4</v>
      </c>
      <c r="J6043" s="4" t="n">
        <f aca="false">LEN(E6043)-LEN(SUBSTITUTE(E6043,",",""))+1</f>
        <v>4</v>
      </c>
      <c r="K6043" s="3" t="str">
        <f aca="false">IFERROR(INDEX('Teacher Lookup'!$B$2:$B$200,MATCH(A6043,'Teacher Lookup'!$A$2:$A$200,0)),"")</f>
        <v>DE GUZMAN Kevin</v>
      </c>
    </row>
    <row r="6044" customFormat="false" ht="15" hidden="false" customHeight="false" outlineLevel="0" collapsed="false">
      <c r="A6044" s="3" t="s">
        <v>458</v>
      </c>
      <c r="B6044" s="4" t="s">
        <v>63</v>
      </c>
      <c r="C6044" s="4" t="n">
        <v>5</v>
      </c>
      <c r="D6044" s="4" t="s">
        <v>13</v>
      </c>
      <c r="E6044" s="3" t="s">
        <v>323</v>
      </c>
      <c r="F6044" s="4" t="str">
        <f aca="false">IF(I6044&gt;J6044,"Y","N")</f>
        <v>N</v>
      </c>
      <c r="G6044" s="3" t="s">
        <v>164</v>
      </c>
      <c r="H6044" s="3" t="s">
        <v>37</v>
      </c>
      <c r="I6044" s="4" t="n">
        <v>4</v>
      </c>
      <c r="J6044" s="4" t="n">
        <f aca="false">LEN(E6044)-LEN(SUBSTITUTE(E6044,",",""))+1</f>
        <v>4</v>
      </c>
      <c r="K6044" s="3" t="str">
        <f aca="false">IFERROR(INDEX('Teacher Lookup'!$B$2:$B$200,MATCH(A6044,'Teacher Lookup'!$A$2:$A$200,0)),"")</f>
        <v>DE GUZMAN Kevin</v>
      </c>
    </row>
    <row r="6045" customFormat="false" ht="15" hidden="false" customHeight="false" outlineLevel="0" collapsed="false">
      <c r="A6045" s="3" t="s">
        <v>458</v>
      </c>
      <c r="B6045" s="4" t="s">
        <v>63</v>
      </c>
      <c r="C6045" s="4" t="n">
        <v>5</v>
      </c>
      <c r="D6045" s="4" t="s">
        <v>17</v>
      </c>
      <c r="E6045" s="3" t="s">
        <v>323</v>
      </c>
      <c r="F6045" s="4" t="str">
        <f aca="false">IF(I6045&gt;J6045,"Y","N")</f>
        <v>N</v>
      </c>
      <c r="G6045" s="3" t="s">
        <v>164</v>
      </c>
      <c r="H6045" s="3" t="s">
        <v>37</v>
      </c>
      <c r="I6045" s="4" t="n">
        <v>4</v>
      </c>
      <c r="J6045" s="4" t="n">
        <f aca="false">LEN(E6045)-LEN(SUBSTITUTE(E6045,",",""))+1</f>
        <v>4</v>
      </c>
      <c r="K6045" s="3" t="str">
        <f aca="false">IFERROR(INDEX('Teacher Lookup'!$B$2:$B$200,MATCH(A6045,'Teacher Lookup'!$A$2:$A$200,0)),"")</f>
        <v>DE GUZMAN Kevin</v>
      </c>
    </row>
    <row r="6046" customFormat="false" ht="15" hidden="false" customHeight="false" outlineLevel="0" collapsed="false">
      <c r="A6046" s="3" t="s">
        <v>458</v>
      </c>
      <c r="B6046" s="4" t="s">
        <v>63</v>
      </c>
      <c r="C6046" s="4" t="n">
        <v>5</v>
      </c>
      <c r="D6046" s="4" t="s">
        <v>18</v>
      </c>
      <c r="E6046" s="3" t="s">
        <v>323</v>
      </c>
      <c r="F6046" s="4" t="str">
        <f aca="false">IF(I6046&gt;J6046,"Y","N")</f>
        <v>N</v>
      </c>
      <c r="G6046" s="3" t="s">
        <v>164</v>
      </c>
      <c r="H6046" s="3" t="s">
        <v>37</v>
      </c>
      <c r="I6046" s="4" t="n">
        <v>4</v>
      </c>
      <c r="J6046" s="4" t="n">
        <f aca="false">LEN(E6046)-LEN(SUBSTITUTE(E6046,",",""))+1</f>
        <v>4</v>
      </c>
      <c r="K6046" s="3" t="str">
        <f aca="false">IFERROR(INDEX('Teacher Lookup'!$B$2:$B$200,MATCH(A6046,'Teacher Lookup'!$A$2:$A$200,0)),"")</f>
        <v>DE GUZMAN Kevin</v>
      </c>
    </row>
    <row r="6047" customFormat="false" ht="15" hidden="false" customHeight="false" outlineLevel="0" collapsed="false">
      <c r="A6047" s="3" t="s">
        <v>458</v>
      </c>
      <c r="B6047" s="4" t="s">
        <v>65</v>
      </c>
      <c r="C6047" s="4" t="n">
        <v>1</v>
      </c>
      <c r="D6047" s="4" t="s">
        <v>13</v>
      </c>
      <c r="E6047" s="3" t="s">
        <v>14</v>
      </c>
      <c r="F6047" s="4" t="str">
        <f aca="false">IF(I6047&gt;J6047,"Y","N")</f>
        <v>N</v>
      </c>
      <c r="G6047" s="3" t="s">
        <v>164</v>
      </c>
      <c r="H6047" s="3" t="s">
        <v>16</v>
      </c>
      <c r="I6047" s="4" t="n">
        <v>4</v>
      </c>
      <c r="J6047" s="4" t="n">
        <f aca="false">LEN(E6047)-LEN(SUBSTITUTE(E6047,",",""))+1</f>
        <v>4</v>
      </c>
      <c r="K6047" s="3" t="str">
        <f aca="false">IFERROR(INDEX('Teacher Lookup'!$B$2:$B$200,MATCH(A6047,'Teacher Lookup'!$A$2:$A$200,0)),"")</f>
        <v>DE GUZMAN Kevin</v>
      </c>
    </row>
    <row r="6048" customFormat="false" ht="15" hidden="false" customHeight="false" outlineLevel="0" collapsed="false">
      <c r="A6048" s="3" t="s">
        <v>458</v>
      </c>
      <c r="B6048" s="4" t="s">
        <v>65</v>
      </c>
      <c r="C6048" s="4" t="n">
        <v>1</v>
      </c>
      <c r="D6048" s="4" t="s">
        <v>17</v>
      </c>
      <c r="E6048" s="3" t="s">
        <v>14</v>
      </c>
      <c r="F6048" s="4" t="str">
        <f aca="false">IF(I6048&gt;J6048,"Y","N")</f>
        <v>N</v>
      </c>
      <c r="G6048" s="3" t="s">
        <v>164</v>
      </c>
      <c r="H6048" s="3" t="s">
        <v>16</v>
      </c>
      <c r="I6048" s="4" t="n">
        <v>4</v>
      </c>
      <c r="J6048" s="4" t="n">
        <f aca="false">LEN(E6048)-LEN(SUBSTITUTE(E6048,",",""))+1</f>
        <v>4</v>
      </c>
      <c r="K6048" s="3" t="str">
        <f aca="false">IFERROR(INDEX('Teacher Lookup'!$B$2:$B$200,MATCH(A6048,'Teacher Lookup'!$A$2:$A$200,0)),"")</f>
        <v>DE GUZMAN Kevin</v>
      </c>
    </row>
    <row r="6049" customFormat="false" ht="15" hidden="false" customHeight="false" outlineLevel="0" collapsed="false">
      <c r="A6049" s="3" t="s">
        <v>458</v>
      </c>
      <c r="B6049" s="4" t="s">
        <v>65</v>
      </c>
      <c r="C6049" s="4" t="n">
        <v>1</v>
      </c>
      <c r="D6049" s="4" t="s">
        <v>18</v>
      </c>
      <c r="E6049" s="3" t="s">
        <v>14</v>
      </c>
      <c r="F6049" s="4" t="str">
        <f aca="false">IF(I6049&gt;J6049,"Y","N")</f>
        <v>N</v>
      </c>
      <c r="G6049" s="3" t="s">
        <v>164</v>
      </c>
      <c r="H6049" s="3" t="s">
        <v>16</v>
      </c>
      <c r="I6049" s="4" t="n">
        <v>4</v>
      </c>
      <c r="J6049" s="4" t="n">
        <f aca="false">LEN(E6049)-LEN(SUBSTITUTE(E6049,",",""))+1</f>
        <v>4</v>
      </c>
      <c r="K6049" s="3" t="str">
        <f aca="false">IFERROR(INDEX('Teacher Lookup'!$B$2:$B$200,MATCH(A6049,'Teacher Lookup'!$A$2:$A$200,0)),"")</f>
        <v>DE GUZMAN Kevin</v>
      </c>
    </row>
    <row r="6050" customFormat="false" ht="15" hidden="false" customHeight="false" outlineLevel="0" collapsed="false">
      <c r="A6050" s="3" t="s">
        <v>458</v>
      </c>
      <c r="B6050" s="4" t="s">
        <v>65</v>
      </c>
      <c r="C6050" s="4" t="n">
        <v>2</v>
      </c>
      <c r="D6050" s="4" t="s">
        <v>52</v>
      </c>
      <c r="E6050" s="3" t="s">
        <v>171</v>
      </c>
      <c r="F6050" s="4" t="str">
        <f aca="false">IF(I6050&gt;J6050,"Y","N")</f>
        <v>N</v>
      </c>
      <c r="G6050" s="3" t="s">
        <v>164</v>
      </c>
      <c r="H6050" s="3" t="s">
        <v>21</v>
      </c>
      <c r="I6050" s="4" t="n">
        <v>4</v>
      </c>
      <c r="J6050" s="4" t="n">
        <f aca="false">LEN(E6050)-LEN(SUBSTITUTE(E6050,",",""))+1</f>
        <v>4</v>
      </c>
      <c r="K6050" s="3" t="str">
        <f aca="false">IFERROR(INDEX('Teacher Lookup'!$B$2:$B$200,MATCH(A6050,'Teacher Lookup'!$A$2:$A$200,0)),"")</f>
        <v>DE GUZMAN Kevin</v>
      </c>
    </row>
    <row r="6051" customFormat="false" ht="15" hidden="false" customHeight="false" outlineLevel="0" collapsed="false">
      <c r="A6051" s="3" t="s">
        <v>458</v>
      </c>
      <c r="B6051" s="4" t="s">
        <v>65</v>
      </c>
      <c r="C6051" s="4" t="n">
        <v>2</v>
      </c>
      <c r="D6051" s="4" t="s">
        <v>55</v>
      </c>
      <c r="E6051" s="3" t="s">
        <v>171</v>
      </c>
      <c r="F6051" s="4" t="str">
        <f aca="false">IF(I6051&gt;J6051,"Y","N")</f>
        <v>N</v>
      </c>
      <c r="G6051" s="3" t="s">
        <v>164</v>
      </c>
      <c r="H6051" s="3" t="s">
        <v>21</v>
      </c>
      <c r="I6051" s="4" t="n">
        <v>4</v>
      </c>
      <c r="J6051" s="4" t="n">
        <f aca="false">LEN(E6051)-LEN(SUBSTITUTE(E6051,",",""))+1</f>
        <v>4</v>
      </c>
      <c r="K6051" s="3" t="str">
        <f aca="false">IFERROR(INDEX('Teacher Lookup'!$B$2:$B$200,MATCH(A6051,'Teacher Lookup'!$A$2:$A$200,0)),"")</f>
        <v>DE GUZMAN Kevin</v>
      </c>
    </row>
    <row r="6052" customFormat="false" ht="15" hidden="false" customHeight="false" outlineLevel="0" collapsed="false">
      <c r="A6052" s="3" t="s">
        <v>458</v>
      </c>
      <c r="B6052" s="4" t="s">
        <v>65</v>
      </c>
      <c r="C6052" s="4" t="n">
        <v>2</v>
      </c>
      <c r="D6052" s="4" t="s">
        <v>56</v>
      </c>
      <c r="E6052" s="3" t="s">
        <v>171</v>
      </c>
      <c r="F6052" s="4" t="str">
        <f aca="false">IF(I6052&gt;J6052,"Y","N")</f>
        <v>N</v>
      </c>
      <c r="G6052" s="3" t="s">
        <v>164</v>
      </c>
      <c r="H6052" s="3" t="s">
        <v>21</v>
      </c>
      <c r="I6052" s="4" t="n">
        <v>4</v>
      </c>
      <c r="J6052" s="4" t="n">
        <f aca="false">LEN(E6052)-LEN(SUBSTITUTE(E6052,",",""))+1</f>
        <v>4</v>
      </c>
      <c r="K6052" s="3" t="str">
        <f aca="false">IFERROR(INDEX('Teacher Lookup'!$B$2:$B$200,MATCH(A6052,'Teacher Lookup'!$A$2:$A$200,0)),"")</f>
        <v>DE GUZMAN Kevin</v>
      </c>
    </row>
    <row r="6053" customFormat="false" ht="15" hidden="false" customHeight="false" outlineLevel="0" collapsed="false">
      <c r="A6053" s="3" t="s">
        <v>458</v>
      </c>
      <c r="B6053" s="4" t="s">
        <v>65</v>
      </c>
      <c r="C6053" s="4" t="n">
        <v>4</v>
      </c>
      <c r="D6053" s="4" t="s">
        <v>19</v>
      </c>
      <c r="E6053" s="3" t="s">
        <v>322</v>
      </c>
      <c r="F6053" s="4" t="str">
        <f aca="false">IF(I6053&gt;J6053,"Y","N")</f>
        <v>N</v>
      </c>
      <c r="G6053" s="3" t="s">
        <v>164</v>
      </c>
      <c r="H6053" s="3" t="s">
        <v>34</v>
      </c>
      <c r="I6053" s="4" t="n">
        <v>4</v>
      </c>
      <c r="J6053" s="4" t="n">
        <f aca="false">LEN(E6053)-LEN(SUBSTITUTE(E6053,",",""))+1</f>
        <v>4</v>
      </c>
      <c r="K6053" s="3" t="str">
        <f aca="false">IFERROR(INDEX('Teacher Lookup'!$B$2:$B$200,MATCH(A6053,'Teacher Lookup'!$A$2:$A$200,0)),"")</f>
        <v>DE GUZMAN Kevin</v>
      </c>
    </row>
    <row r="6054" customFormat="false" ht="15" hidden="false" customHeight="false" outlineLevel="0" collapsed="false">
      <c r="A6054" s="3" t="s">
        <v>458</v>
      </c>
      <c r="B6054" s="4" t="s">
        <v>65</v>
      </c>
      <c r="C6054" s="4" t="n">
        <v>4</v>
      </c>
      <c r="D6054" s="4" t="s">
        <v>22</v>
      </c>
      <c r="E6054" s="3" t="s">
        <v>322</v>
      </c>
      <c r="F6054" s="4" t="str">
        <f aca="false">IF(I6054&gt;J6054,"Y","N")</f>
        <v>N</v>
      </c>
      <c r="G6054" s="3" t="s">
        <v>164</v>
      </c>
      <c r="H6054" s="3" t="s">
        <v>34</v>
      </c>
      <c r="I6054" s="4" t="n">
        <v>4</v>
      </c>
      <c r="J6054" s="4" t="n">
        <f aca="false">LEN(E6054)-LEN(SUBSTITUTE(E6054,",",""))+1</f>
        <v>4</v>
      </c>
      <c r="K6054" s="3" t="str">
        <f aca="false">IFERROR(INDEX('Teacher Lookup'!$B$2:$B$200,MATCH(A6054,'Teacher Lookup'!$A$2:$A$200,0)),"")</f>
        <v>DE GUZMAN Kevin</v>
      </c>
    </row>
    <row r="6055" customFormat="false" ht="15" hidden="false" customHeight="false" outlineLevel="0" collapsed="false">
      <c r="A6055" s="3" t="s">
        <v>458</v>
      </c>
      <c r="B6055" s="4" t="s">
        <v>65</v>
      </c>
      <c r="C6055" s="4" t="n">
        <v>4</v>
      </c>
      <c r="D6055" s="4" t="s">
        <v>23</v>
      </c>
      <c r="E6055" s="3" t="s">
        <v>322</v>
      </c>
      <c r="F6055" s="4" t="str">
        <f aca="false">IF(I6055&gt;J6055,"Y","N")</f>
        <v>N</v>
      </c>
      <c r="G6055" s="3" t="s">
        <v>164</v>
      </c>
      <c r="H6055" s="3" t="s">
        <v>34</v>
      </c>
      <c r="I6055" s="4" t="n">
        <v>4</v>
      </c>
      <c r="J6055" s="4" t="n">
        <f aca="false">LEN(E6055)-LEN(SUBSTITUTE(E6055,",",""))+1</f>
        <v>4</v>
      </c>
      <c r="K6055" s="3" t="str">
        <f aca="false">IFERROR(INDEX('Teacher Lookup'!$B$2:$B$200,MATCH(A6055,'Teacher Lookup'!$A$2:$A$200,0)),"")</f>
        <v>DE GUZMAN Kevin</v>
      </c>
    </row>
    <row r="6056" customFormat="false" ht="15" hidden="false" customHeight="false" outlineLevel="0" collapsed="false">
      <c r="A6056" s="3" t="s">
        <v>458</v>
      </c>
      <c r="B6056" s="4" t="s">
        <v>65</v>
      </c>
      <c r="C6056" s="4" t="n">
        <v>5</v>
      </c>
      <c r="D6056" s="4" t="s">
        <v>52</v>
      </c>
      <c r="E6056" s="3" t="s">
        <v>112</v>
      </c>
      <c r="F6056" s="4" t="str">
        <f aca="false">IF(I6056&gt;J6056,"Y","N")</f>
        <v>Y</v>
      </c>
      <c r="G6056" s="3" t="s">
        <v>36</v>
      </c>
      <c r="H6056" s="3" t="s">
        <v>37</v>
      </c>
      <c r="I6056" s="4" t="n">
        <v>16</v>
      </c>
      <c r="J6056" s="4" t="n">
        <f aca="false">LEN(E6056)-LEN(SUBSTITUTE(E6056,",",""))+1</f>
        <v>7</v>
      </c>
      <c r="K6056" s="3" t="str">
        <f aca="false">IFERROR(INDEX('Teacher Lookup'!$B$2:$B$200,MATCH(A6056,'Teacher Lookup'!$A$2:$A$200,0)),"")</f>
        <v>DE GUZMAN Kevin</v>
      </c>
    </row>
    <row r="6057" customFormat="false" ht="15" hidden="false" customHeight="false" outlineLevel="0" collapsed="false">
      <c r="A6057" s="3" t="s">
        <v>458</v>
      </c>
      <c r="B6057" s="4" t="s">
        <v>65</v>
      </c>
      <c r="C6057" s="4" t="n">
        <v>5</v>
      </c>
      <c r="D6057" s="4" t="s">
        <v>55</v>
      </c>
      <c r="E6057" s="3" t="s">
        <v>112</v>
      </c>
      <c r="F6057" s="4" t="str">
        <f aca="false">IF(I6057&gt;J6057,"Y","N")</f>
        <v>Y</v>
      </c>
      <c r="G6057" s="3" t="s">
        <v>36</v>
      </c>
      <c r="H6057" s="3" t="s">
        <v>37</v>
      </c>
      <c r="I6057" s="4" t="n">
        <v>16</v>
      </c>
      <c r="J6057" s="4" t="n">
        <f aca="false">LEN(E6057)-LEN(SUBSTITUTE(E6057,",",""))+1</f>
        <v>7</v>
      </c>
      <c r="K6057" s="3" t="str">
        <f aca="false">IFERROR(INDEX('Teacher Lookup'!$B$2:$B$200,MATCH(A6057,'Teacher Lookup'!$A$2:$A$200,0)),"")</f>
        <v>DE GUZMAN Kevin</v>
      </c>
    </row>
    <row r="6058" customFormat="false" ht="15" hidden="false" customHeight="false" outlineLevel="0" collapsed="false">
      <c r="A6058" s="3" t="s">
        <v>458</v>
      </c>
      <c r="B6058" s="4" t="s">
        <v>65</v>
      </c>
      <c r="C6058" s="4" t="n">
        <v>5</v>
      </c>
      <c r="D6058" s="4" t="s">
        <v>56</v>
      </c>
      <c r="E6058" s="3" t="s">
        <v>112</v>
      </c>
      <c r="F6058" s="4" t="str">
        <f aca="false">IF(I6058&gt;J6058,"Y","N")</f>
        <v>Y</v>
      </c>
      <c r="G6058" s="3" t="s">
        <v>36</v>
      </c>
      <c r="H6058" s="3" t="s">
        <v>37</v>
      </c>
      <c r="I6058" s="4" t="n">
        <v>16</v>
      </c>
      <c r="J6058" s="4" t="n">
        <f aca="false">LEN(E6058)-LEN(SUBSTITUTE(E6058,",",""))+1</f>
        <v>7</v>
      </c>
      <c r="K6058" s="3" t="str">
        <f aca="false">IFERROR(INDEX('Teacher Lookup'!$B$2:$B$200,MATCH(A6058,'Teacher Lookup'!$A$2:$A$200,0)),"")</f>
        <v>DE GUZMAN Kevin</v>
      </c>
    </row>
    <row r="6059" customFormat="false" ht="15" hidden="false" customHeight="false" outlineLevel="0" collapsed="false">
      <c r="A6059" s="3" t="s">
        <v>458</v>
      </c>
      <c r="B6059" s="4" t="s">
        <v>65</v>
      </c>
      <c r="C6059" s="4" t="n">
        <v>5</v>
      </c>
      <c r="D6059" s="4" t="s">
        <v>57</v>
      </c>
      <c r="E6059" s="3" t="s">
        <v>112</v>
      </c>
      <c r="F6059" s="4" t="str">
        <f aca="false">IF(I6059&gt;J6059,"Y","N")</f>
        <v>Y</v>
      </c>
      <c r="G6059" s="3" t="s">
        <v>36</v>
      </c>
      <c r="H6059" s="3" t="s">
        <v>37</v>
      </c>
      <c r="I6059" s="4" t="n">
        <v>16</v>
      </c>
      <c r="J6059" s="4" t="n">
        <f aca="false">LEN(E6059)-LEN(SUBSTITUTE(E6059,",",""))+1</f>
        <v>7</v>
      </c>
      <c r="K6059" s="3" t="str">
        <f aca="false">IFERROR(INDEX('Teacher Lookup'!$B$2:$B$200,MATCH(A6059,'Teacher Lookup'!$A$2:$A$200,0)),"")</f>
        <v>DE GUZMAN Kevin</v>
      </c>
    </row>
    <row r="6060" customFormat="false" ht="15" hidden="false" customHeight="false" outlineLevel="0" collapsed="false">
      <c r="A6060" s="3" t="s">
        <v>458</v>
      </c>
      <c r="B6060" s="4" t="s">
        <v>65</v>
      </c>
      <c r="C6060" s="4" t="n">
        <v>5</v>
      </c>
      <c r="D6060" s="4" t="s">
        <v>58</v>
      </c>
      <c r="E6060" s="3" t="s">
        <v>112</v>
      </c>
      <c r="F6060" s="4" t="str">
        <f aca="false">IF(I6060&gt;J6060,"Y","N")</f>
        <v>Y</v>
      </c>
      <c r="G6060" s="3" t="s">
        <v>36</v>
      </c>
      <c r="H6060" s="3" t="s">
        <v>37</v>
      </c>
      <c r="I6060" s="4" t="n">
        <v>16</v>
      </c>
      <c r="J6060" s="4" t="n">
        <f aca="false">LEN(E6060)-LEN(SUBSTITUTE(E6060,",",""))+1</f>
        <v>7</v>
      </c>
      <c r="K6060" s="3" t="str">
        <f aca="false">IFERROR(INDEX('Teacher Lookup'!$B$2:$B$200,MATCH(A6060,'Teacher Lookup'!$A$2:$A$200,0)),"")</f>
        <v>DE GUZMAN Kevin</v>
      </c>
    </row>
    <row r="6061" customFormat="false" ht="15" hidden="false" customHeight="false" outlineLevel="0" collapsed="false">
      <c r="A6061" s="3" t="s">
        <v>458</v>
      </c>
      <c r="B6061" s="4" t="s">
        <v>65</v>
      </c>
      <c r="C6061" s="4" t="n">
        <v>5</v>
      </c>
      <c r="D6061" s="4" t="s">
        <v>59</v>
      </c>
      <c r="E6061" s="3" t="s">
        <v>112</v>
      </c>
      <c r="F6061" s="4" t="str">
        <f aca="false">IF(I6061&gt;J6061,"Y","N")</f>
        <v>Y</v>
      </c>
      <c r="G6061" s="3" t="s">
        <v>36</v>
      </c>
      <c r="H6061" s="3" t="s">
        <v>37</v>
      </c>
      <c r="I6061" s="4" t="n">
        <v>16</v>
      </c>
      <c r="J6061" s="4" t="n">
        <f aca="false">LEN(E6061)-LEN(SUBSTITUTE(E6061,",",""))+1</f>
        <v>7</v>
      </c>
      <c r="K6061" s="3" t="str">
        <f aca="false">IFERROR(INDEX('Teacher Lookup'!$B$2:$B$200,MATCH(A6061,'Teacher Lookup'!$A$2:$A$200,0)),"")</f>
        <v>DE GUZMAN Kevin</v>
      </c>
    </row>
    <row r="6062" customFormat="false" ht="15" hidden="false" customHeight="false" outlineLevel="0" collapsed="false">
      <c r="A6062" s="3" t="s">
        <v>458</v>
      </c>
      <c r="B6062" s="4" t="s">
        <v>66</v>
      </c>
      <c r="C6062" s="4" t="n">
        <v>3</v>
      </c>
      <c r="D6062" s="4" t="s">
        <v>52</v>
      </c>
      <c r="E6062" s="3" t="s">
        <v>176</v>
      </c>
      <c r="F6062" s="4" t="str">
        <f aca="false">IF(I6062&gt;J6062,"Y","N")</f>
        <v>N</v>
      </c>
      <c r="G6062" s="3" t="s">
        <v>164</v>
      </c>
      <c r="H6062" s="3" t="s">
        <v>26</v>
      </c>
      <c r="I6062" s="4" t="n">
        <v>4</v>
      </c>
      <c r="J6062" s="4" t="n">
        <f aca="false">LEN(E6062)-LEN(SUBSTITUTE(E6062,",",""))+1</f>
        <v>4</v>
      </c>
      <c r="K6062" s="3" t="str">
        <f aca="false">IFERROR(INDEX('Teacher Lookup'!$B$2:$B$200,MATCH(A6062,'Teacher Lookup'!$A$2:$A$200,0)),"")</f>
        <v>DE GUZMAN Kevin</v>
      </c>
    </row>
    <row r="6063" customFormat="false" ht="15" hidden="false" customHeight="false" outlineLevel="0" collapsed="false">
      <c r="A6063" s="3" t="s">
        <v>458</v>
      </c>
      <c r="B6063" s="4" t="s">
        <v>66</v>
      </c>
      <c r="C6063" s="4" t="n">
        <v>3</v>
      </c>
      <c r="D6063" s="4" t="s">
        <v>55</v>
      </c>
      <c r="E6063" s="3" t="s">
        <v>176</v>
      </c>
      <c r="F6063" s="4" t="str">
        <f aca="false">IF(I6063&gt;J6063,"Y","N")</f>
        <v>N</v>
      </c>
      <c r="G6063" s="3" t="s">
        <v>164</v>
      </c>
      <c r="H6063" s="3" t="s">
        <v>26</v>
      </c>
      <c r="I6063" s="4" t="n">
        <v>4</v>
      </c>
      <c r="J6063" s="4" t="n">
        <f aca="false">LEN(E6063)-LEN(SUBSTITUTE(E6063,",",""))+1</f>
        <v>4</v>
      </c>
      <c r="K6063" s="3" t="str">
        <f aca="false">IFERROR(INDEX('Teacher Lookup'!$B$2:$B$200,MATCH(A6063,'Teacher Lookup'!$A$2:$A$200,0)),"")</f>
        <v>DE GUZMAN Kevin</v>
      </c>
    </row>
    <row r="6064" customFormat="false" ht="15" hidden="false" customHeight="false" outlineLevel="0" collapsed="false">
      <c r="A6064" s="3" t="s">
        <v>458</v>
      </c>
      <c r="B6064" s="4" t="s">
        <v>66</v>
      </c>
      <c r="C6064" s="4" t="n">
        <v>3</v>
      </c>
      <c r="D6064" s="4" t="s">
        <v>56</v>
      </c>
      <c r="E6064" s="3" t="s">
        <v>176</v>
      </c>
      <c r="F6064" s="4" t="str">
        <f aca="false">IF(I6064&gt;J6064,"Y","N")</f>
        <v>N</v>
      </c>
      <c r="G6064" s="3" t="s">
        <v>164</v>
      </c>
      <c r="H6064" s="3" t="s">
        <v>26</v>
      </c>
      <c r="I6064" s="4" t="n">
        <v>4</v>
      </c>
      <c r="J6064" s="4" t="n">
        <f aca="false">LEN(E6064)-LEN(SUBSTITUTE(E6064,",",""))+1</f>
        <v>4</v>
      </c>
      <c r="K6064" s="3" t="str">
        <f aca="false">IFERROR(INDEX('Teacher Lookup'!$B$2:$B$200,MATCH(A6064,'Teacher Lookup'!$A$2:$A$200,0)),"")</f>
        <v>DE GUZMAN Kevin</v>
      </c>
    </row>
    <row r="6065" customFormat="false" ht="15" hidden="false" customHeight="false" outlineLevel="0" collapsed="false">
      <c r="A6065" s="3" t="s">
        <v>458</v>
      </c>
      <c r="B6065" s="4" t="s">
        <v>66</v>
      </c>
      <c r="C6065" s="4" t="n">
        <v>6</v>
      </c>
      <c r="D6065" s="4" t="s">
        <v>13</v>
      </c>
      <c r="E6065" s="3" t="s">
        <v>360</v>
      </c>
      <c r="F6065" s="4" t="str">
        <f aca="false">IF(I6065&gt;J6065,"Y","N")</f>
        <v>N</v>
      </c>
      <c r="G6065" s="3" t="s">
        <v>164</v>
      </c>
      <c r="H6065" s="3" t="s">
        <v>42</v>
      </c>
      <c r="I6065" s="4" t="n">
        <v>4</v>
      </c>
      <c r="J6065" s="4" t="n">
        <f aca="false">LEN(E6065)-LEN(SUBSTITUTE(E6065,",",""))+1</f>
        <v>4</v>
      </c>
      <c r="K6065" s="3" t="str">
        <f aca="false">IFERROR(INDEX('Teacher Lookup'!$B$2:$B$200,MATCH(A6065,'Teacher Lookup'!$A$2:$A$200,0)),"")</f>
        <v>DE GUZMAN Kevin</v>
      </c>
    </row>
    <row r="6066" customFormat="false" ht="15" hidden="false" customHeight="false" outlineLevel="0" collapsed="false">
      <c r="A6066" s="3" t="s">
        <v>458</v>
      </c>
      <c r="B6066" s="4" t="s">
        <v>66</v>
      </c>
      <c r="C6066" s="4" t="n">
        <v>6</v>
      </c>
      <c r="D6066" s="4" t="s">
        <v>17</v>
      </c>
      <c r="E6066" s="3" t="s">
        <v>360</v>
      </c>
      <c r="F6066" s="4" t="str">
        <f aca="false">IF(I6066&gt;J6066,"Y","N")</f>
        <v>N</v>
      </c>
      <c r="G6066" s="3" t="s">
        <v>164</v>
      </c>
      <c r="H6066" s="3" t="s">
        <v>42</v>
      </c>
      <c r="I6066" s="4" t="n">
        <v>4</v>
      </c>
      <c r="J6066" s="4" t="n">
        <f aca="false">LEN(E6066)-LEN(SUBSTITUTE(E6066,",",""))+1</f>
        <v>4</v>
      </c>
      <c r="K6066" s="3" t="str">
        <f aca="false">IFERROR(INDEX('Teacher Lookup'!$B$2:$B$200,MATCH(A6066,'Teacher Lookup'!$A$2:$A$200,0)),"")</f>
        <v>DE GUZMAN Kevin</v>
      </c>
    </row>
    <row r="6067" customFormat="false" ht="15" hidden="false" customHeight="false" outlineLevel="0" collapsed="false">
      <c r="A6067" s="3" t="s">
        <v>458</v>
      </c>
      <c r="B6067" s="4" t="s">
        <v>66</v>
      </c>
      <c r="C6067" s="4" t="n">
        <v>6</v>
      </c>
      <c r="D6067" s="4" t="s">
        <v>18</v>
      </c>
      <c r="E6067" s="3" t="s">
        <v>360</v>
      </c>
      <c r="F6067" s="4" t="str">
        <f aca="false">IF(I6067&gt;J6067,"Y","N")</f>
        <v>N</v>
      </c>
      <c r="G6067" s="3" t="s">
        <v>164</v>
      </c>
      <c r="H6067" s="3" t="s">
        <v>42</v>
      </c>
      <c r="I6067" s="4" t="n">
        <v>4</v>
      </c>
      <c r="J6067" s="4" t="n">
        <f aca="false">LEN(E6067)-LEN(SUBSTITUTE(E6067,",",""))+1</f>
        <v>4</v>
      </c>
      <c r="K6067" s="3" t="str">
        <f aca="false">IFERROR(INDEX('Teacher Lookup'!$B$2:$B$200,MATCH(A6067,'Teacher Lookup'!$A$2:$A$200,0)),"")</f>
        <v>DE GUZMAN Kevin</v>
      </c>
    </row>
    <row r="6068" customFormat="false" ht="15" hidden="false" customHeight="false" outlineLevel="0" collapsed="false">
      <c r="A6068" s="3" t="s">
        <v>458</v>
      </c>
      <c r="B6068" s="4" t="s">
        <v>66</v>
      </c>
      <c r="C6068" s="4" t="n">
        <v>7</v>
      </c>
      <c r="D6068" s="4" t="s">
        <v>19</v>
      </c>
      <c r="E6068" s="3" t="s">
        <v>329</v>
      </c>
      <c r="F6068" s="4" t="str">
        <f aca="false">IF(I6068&gt;J6068,"Y","N")</f>
        <v>N</v>
      </c>
      <c r="G6068" s="3" t="s">
        <v>164</v>
      </c>
      <c r="H6068" s="3" t="s">
        <v>39</v>
      </c>
      <c r="I6068" s="4" t="n">
        <v>4</v>
      </c>
      <c r="J6068" s="4" t="n">
        <f aca="false">LEN(E6068)-LEN(SUBSTITUTE(E6068,",",""))+1</f>
        <v>4</v>
      </c>
      <c r="K6068" s="3" t="str">
        <f aca="false">IFERROR(INDEX('Teacher Lookup'!$B$2:$B$200,MATCH(A6068,'Teacher Lookup'!$A$2:$A$200,0)),"")</f>
        <v>DE GUZMAN Kevin</v>
      </c>
    </row>
    <row r="6069" customFormat="false" ht="15" hidden="false" customHeight="false" outlineLevel="0" collapsed="false">
      <c r="A6069" s="3" t="s">
        <v>458</v>
      </c>
      <c r="B6069" s="4" t="s">
        <v>66</v>
      </c>
      <c r="C6069" s="4" t="n">
        <v>7</v>
      </c>
      <c r="D6069" s="4" t="s">
        <v>22</v>
      </c>
      <c r="E6069" s="3" t="s">
        <v>329</v>
      </c>
      <c r="F6069" s="4" t="str">
        <f aca="false">IF(I6069&gt;J6069,"Y","N")</f>
        <v>N</v>
      </c>
      <c r="G6069" s="3" t="s">
        <v>164</v>
      </c>
      <c r="H6069" s="3" t="s">
        <v>39</v>
      </c>
      <c r="I6069" s="4" t="n">
        <v>4</v>
      </c>
      <c r="J6069" s="4" t="n">
        <f aca="false">LEN(E6069)-LEN(SUBSTITUTE(E6069,",",""))+1</f>
        <v>4</v>
      </c>
      <c r="K6069" s="3" t="str">
        <f aca="false">IFERROR(INDEX('Teacher Lookup'!$B$2:$B$200,MATCH(A6069,'Teacher Lookup'!$A$2:$A$200,0)),"")</f>
        <v>DE GUZMAN Kevin</v>
      </c>
    </row>
    <row r="6070" customFormat="false" ht="15" hidden="false" customHeight="false" outlineLevel="0" collapsed="false">
      <c r="A6070" s="3" t="s">
        <v>458</v>
      </c>
      <c r="B6070" s="4" t="s">
        <v>66</v>
      </c>
      <c r="C6070" s="4" t="n">
        <v>7</v>
      </c>
      <c r="D6070" s="4" t="s">
        <v>23</v>
      </c>
      <c r="E6070" s="3" t="s">
        <v>329</v>
      </c>
      <c r="F6070" s="4" t="str">
        <f aca="false">IF(I6070&gt;J6070,"Y","N")</f>
        <v>N</v>
      </c>
      <c r="G6070" s="3" t="s">
        <v>164</v>
      </c>
      <c r="H6070" s="3" t="s">
        <v>39</v>
      </c>
      <c r="I6070" s="4" t="n">
        <v>4</v>
      </c>
      <c r="J6070" s="4" t="n">
        <f aca="false">LEN(E6070)-LEN(SUBSTITUTE(E6070,",",""))+1</f>
        <v>4</v>
      </c>
      <c r="K6070" s="3" t="str">
        <f aca="false">IFERROR(INDEX('Teacher Lookup'!$B$2:$B$200,MATCH(A6070,'Teacher Lookup'!$A$2:$A$200,0)),"")</f>
        <v>DE GUZMAN Kevin</v>
      </c>
    </row>
    <row r="6071" customFormat="false" ht="15" hidden="false" customHeight="false" outlineLevel="0" collapsed="false">
      <c r="A6071" s="3" t="s">
        <v>459</v>
      </c>
      <c r="B6071" s="4" t="s">
        <v>12</v>
      </c>
      <c r="C6071" s="4" t="n">
        <v>3</v>
      </c>
      <c r="D6071" s="4" t="s">
        <v>140</v>
      </c>
      <c r="E6071" s="3" t="s">
        <v>144</v>
      </c>
      <c r="F6071" s="4" t="str">
        <f aca="false">IF(I6071&gt;J6071,"Y","N")</f>
        <v>N</v>
      </c>
      <c r="G6071" s="3" t="s">
        <v>164</v>
      </c>
      <c r="H6071" s="3" t="s">
        <v>26</v>
      </c>
      <c r="I6071" s="4" t="n">
        <v>4</v>
      </c>
      <c r="J6071" s="4" t="n">
        <f aca="false">LEN(E6071)-LEN(SUBSTITUTE(E6071,",",""))+1</f>
        <v>4</v>
      </c>
      <c r="K6071" s="3" t="str">
        <f aca="false">IFERROR(INDEX('Teacher Lookup'!$B$2:$B$200,MATCH(A6071,'Teacher Lookup'!$A$2:$A$200,0)),"")</f>
        <v>HUI Kelly</v>
      </c>
    </row>
    <row r="6072" customFormat="false" ht="15" hidden="false" customHeight="false" outlineLevel="0" collapsed="false">
      <c r="A6072" s="3" t="s">
        <v>459</v>
      </c>
      <c r="B6072" s="4" t="s">
        <v>12</v>
      </c>
      <c r="C6072" s="4" t="n">
        <v>3</v>
      </c>
      <c r="D6072" s="4" t="s">
        <v>142</v>
      </c>
      <c r="E6072" s="3" t="s">
        <v>144</v>
      </c>
      <c r="F6072" s="4" t="str">
        <f aca="false">IF(I6072&gt;J6072,"Y","N")</f>
        <v>N</v>
      </c>
      <c r="G6072" s="3" t="s">
        <v>164</v>
      </c>
      <c r="H6072" s="3" t="s">
        <v>26</v>
      </c>
      <c r="I6072" s="4" t="n">
        <v>4</v>
      </c>
      <c r="J6072" s="4" t="n">
        <f aca="false">LEN(E6072)-LEN(SUBSTITUTE(E6072,",",""))+1</f>
        <v>4</v>
      </c>
      <c r="K6072" s="3" t="str">
        <f aca="false">IFERROR(INDEX('Teacher Lookup'!$B$2:$B$200,MATCH(A6072,'Teacher Lookup'!$A$2:$A$200,0)),"")</f>
        <v>HUI Kelly</v>
      </c>
    </row>
    <row r="6073" customFormat="false" ht="15" hidden="false" customHeight="false" outlineLevel="0" collapsed="false">
      <c r="A6073" s="3" t="s">
        <v>459</v>
      </c>
      <c r="B6073" s="4" t="s">
        <v>12</v>
      </c>
      <c r="C6073" s="4" t="n">
        <v>3</v>
      </c>
      <c r="D6073" s="4" t="s">
        <v>127</v>
      </c>
      <c r="E6073" s="3" t="s">
        <v>144</v>
      </c>
      <c r="F6073" s="4" t="str">
        <f aca="false">IF(I6073&gt;J6073,"Y","N")</f>
        <v>N</v>
      </c>
      <c r="G6073" s="3" t="s">
        <v>164</v>
      </c>
      <c r="H6073" s="3" t="s">
        <v>26</v>
      </c>
      <c r="I6073" s="4" t="n">
        <v>4</v>
      </c>
      <c r="J6073" s="4" t="n">
        <f aca="false">LEN(E6073)-LEN(SUBSTITUTE(E6073,",",""))+1</f>
        <v>4</v>
      </c>
      <c r="K6073" s="3" t="str">
        <f aca="false">IFERROR(INDEX('Teacher Lookup'!$B$2:$B$200,MATCH(A6073,'Teacher Lookup'!$A$2:$A$200,0)),"")</f>
        <v>HUI Kelly</v>
      </c>
    </row>
    <row r="6074" customFormat="false" ht="15" hidden="false" customHeight="false" outlineLevel="0" collapsed="false">
      <c r="A6074" s="3" t="s">
        <v>459</v>
      </c>
      <c r="B6074" s="4" t="s">
        <v>12</v>
      </c>
      <c r="C6074" s="4" t="n">
        <v>4</v>
      </c>
      <c r="D6074" s="4" t="s">
        <v>137</v>
      </c>
      <c r="E6074" s="3" t="s">
        <v>138</v>
      </c>
      <c r="F6074" s="4" t="str">
        <f aca="false">IF(I6074&gt;J6074,"Y","N")</f>
        <v>N</v>
      </c>
      <c r="G6074" s="3" t="s">
        <v>164</v>
      </c>
      <c r="H6074" s="3" t="s">
        <v>34</v>
      </c>
      <c r="I6074" s="4" t="n">
        <v>4</v>
      </c>
      <c r="J6074" s="4" t="n">
        <f aca="false">LEN(E6074)-LEN(SUBSTITUTE(E6074,",",""))+1</f>
        <v>4</v>
      </c>
      <c r="K6074" s="3" t="str">
        <f aca="false">IFERROR(INDEX('Teacher Lookup'!$B$2:$B$200,MATCH(A6074,'Teacher Lookup'!$A$2:$A$200,0)),"")</f>
        <v>HUI Kelly</v>
      </c>
    </row>
    <row r="6075" customFormat="false" ht="15" hidden="false" customHeight="false" outlineLevel="0" collapsed="false">
      <c r="A6075" s="3" t="s">
        <v>459</v>
      </c>
      <c r="B6075" s="4" t="s">
        <v>12</v>
      </c>
      <c r="C6075" s="4" t="n">
        <v>4</v>
      </c>
      <c r="D6075" s="4" t="s">
        <v>124</v>
      </c>
      <c r="E6075" s="3" t="s">
        <v>138</v>
      </c>
      <c r="F6075" s="4" t="str">
        <f aca="false">IF(I6075&gt;J6075,"Y","N")</f>
        <v>N</v>
      </c>
      <c r="G6075" s="3" t="s">
        <v>164</v>
      </c>
      <c r="H6075" s="3" t="s">
        <v>34</v>
      </c>
      <c r="I6075" s="4" t="n">
        <v>4</v>
      </c>
      <c r="J6075" s="4" t="n">
        <f aca="false">LEN(E6075)-LEN(SUBSTITUTE(E6075,",",""))+1</f>
        <v>4</v>
      </c>
      <c r="K6075" s="3" t="str">
        <f aca="false">IFERROR(INDEX('Teacher Lookup'!$B$2:$B$200,MATCH(A6075,'Teacher Lookup'!$A$2:$A$200,0)),"")</f>
        <v>HUI Kelly</v>
      </c>
    </row>
    <row r="6076" customFormat="false" ht="15" hidden="false" customHeight="false" outlineLevel="0" collapsed="false">
      <c r="A6076" s="3" t="s">
        <v>459</v>
      </c>
      <c r="B6076" s="4" t="s">
        <v>12</v>
      </c>
      <c r="C6076" s="4" t="n">
        <v>4</v>
      </c>
      <c r="D6076" s="4" t="s">
        <v>139</v>
      </c>
      <c r="E6076" s="3" t="s">
        <v>138</v>
      </c>
      <c r="F6076" s="4" t="str">
        <f aca="false">IF(I6076&gt;J6076,"Y","N")</f>
        <v>N</v>
      </c>
      <c r="G6076" s="3" t="s">
        <v>164</v>
      </c>
      <c r="H6076" s="3" t="s">
        <v>34</v>
      </c>
      <c r="I6076" s="4" t="n">
        <v>4</v>
      </c>
      <c r="J6076" s="4" t="n">
        <f aca="false">LEN(E6076)-LEN(SUBSTITUTE(E6076,",",""))+1</f>
        <v>4</v>
      </c>
      <c r="K6076" s="3" t="str">
        <f aca="false">IFERROR(INDEX('Teacher Lookup'!$B$2:$B$200,MATCH(A6076,'Teacher Lookup'!$A$2:$A$200,0)),"")</f>
        <v>HUI Kelly</v>
      </c>
    </row>
    <row r="6077" customFormat="false" ht="15" hidden="false" customHeight="false" outlineLevel="0" collapsed="false">
      <c r="A6077" s="3" t="s">
        <v>459</v>
      </c>
      <c r="B6077" s="4" t="s">
        <v>12</v>
      </c>
      <c r="C6077" s="4" t="n">
        <v>5</v>
      </c>
      <c r="D6077" s="4" t="s">
        <v>70</v>
      </c>
      <c r="E6077" s="3" t="s">
        <v>71</v>
      </c>
      <c r="F6077" s="4" t="str">
        <f aca="false">IF(I6077&gt;J6077,"Y","N")</f>
        <v>N</v>
      </c>
      <c r="G6077" s="3" t="s">
        <v>164</v>
      </c>
      <c r="H6077" s="3" t="s">
        <v>37</v>
      </c>
      <c r="I6077" s="4" t="n">
        <v>4</v>
      </c>
      <c r="J6077" s="4" t="n">
        <f aca="false">LEN(E6077)-LEN(SUBSTITUTE(E6077,",",""))+1</f>
        <v>4</v>
      </c>
      <c r="K6077" s="3" t="str">
        <f aca="false">IFERROR(INDEX('Teacher Lookup'!$B$2:$B$200,MATCH(A6077,'Teacher Lookup'!$A$2:$A$200,0)),"")</f>
        <v>HUI Kelly</v>
      </c>
    </row>
    <row r="6078" customFormat="false" ht="15" hidden="false" customHeight="false" outlineLevel="0" collapsed="false">
      <c r="A6078" s="3" t="s">
        <v>459</v>
      </c>
      <c r="B6078" s="4" t="s">
        <v>12</v>
      </c>
      <c r="C6078" s="4" t="n">
        <v>5</v>
      </c>
      <c r="D6078" s="4" t="s">
        <v>73</v>
      </c>
      <c r="E6078" s="3" t="s">
        <v>71</v>
      </c>
      <c r="F6078" s="4" t="str">
        <f aca="false">IF(I6078&gt;J6078,"Y","N")</f>
        <v>N</v>
      </c>
      <c r="G6078" s="3" t="s">
        <v>164</v>
      </c>
      <c r="H6078" s="3" t="s">
        <v>37</v>
      </c>
      <c r="I6078" s="4" t="n">
        <v>4</v>
      </c>
      <c r="J6078" s="4" t="n">
        <f aca="false">LEN(E6078)-LEN(SUBSTITUTE(E6078,",",""))+1</f>
        <v>4</v>
      </c>
      <c r="K6078" s="3" t="str">
        <f aca="false">IFERROR(INDEX('Teacher Lookup'!$B$2:$B$200,MATCH(A6078,'Teacher Lookup'!$A$2:$A$200,0)),"")</f>
        <v>HUI Kelly</v>
      </c>
    </row>
    <row r="6079" customFormat="false" ht="15" hidden="false" customHeight="false" outlineLevel="0" collapsed="false">
      <c r="A6079" s="3" t="s">
        <v>459</v>
      </c>
      <c r="B6079" s="4" t="s">
        <v>12</v>
      </c>
      <c r="C6079" s="4" t="n">
        <v>5</v>
      </c>
      <c r="D6079" s="4" t="s">
        <v>74</v>
      </c>
      <c r="E6079" s="3" t="s">
        <v>71</v>
      </c>
      <c r="F6079" s="4" t="str">
        <f aca="false">IF(I6079&gt;J6079,"Y","N")</f>
        <v>N</v>
      </c>
      <c r="G6079" s="3" t="s">
        <v>164</v>
      </c>
      <c r="H6079" s="3" t="s">
        <v>37</v>
      </c>
      <c r="I6079" s="4" t="n">
        <v>4</v>
      </c>
      <c r="J6079" s="4" t="n">
        <f aca="false">LEN(E6079)-LEN(SUBSTITUTE(E6079,",",""))+1</f>
        <v>4</v>
      </c>
      <c r="K6079" s="3" t="str">
        <f aca="false">IFERROR(INDEX('Teacher Lookup'!$B$2:$B$200,MATCH(A6079,'Teacher Lookup'!$A$2:$A$200,0)),"")</f>
        <v>HUI Kelly</v>
      </c>
    </row>
    <row r="6080" customFormat="false" ht="15" hidden="false" customHeight="false" outlineLevel="0" collapsed="false">
      <c r="A6080" s="3" t="s">
        <v>459</v>
      </c>
      <c r="B6080" s="4" t="s">
        <v>31</v>
      </c>
      <c r="C6080" s="4" t="n">
        <v>2</v>
      </c>
      <c r="D6080" s="4" t="s">
        <v>137</v>
      </c>
      <c r="E6080" s="3" t="s">
        <v>146</v>
      </c>
      <c r="F6080" s="4" t="str">
        <f aca="false">IF(I6080&gt;J6080,"Y","N")</f>
        <v>N</v>
      </c>
      <c r="G6080" s="3" t="s">
        <v>164</v>
      </c>
      <c r="H6080" s="3" t="s">
        <v>21</v>
      </c>
      <c r="I6080" s="4" t="n">
        <v>4</v>
      </c>
      <c r="J6080" s="4" t="n">
        <f aca="false">LEN(E6080)-LEN(SUBSTITUTE(E6080,",",""))+1</f>
        <v>4</v>
      </c>
      <c r="K6080" s="3" t="str">
        <f aca="false">IFERROR(INDEX('Teacher Lookup'!$B$2:$B$200,MATCH(A6080,'Teacher Lookup'!$A$2:$A$200,0)),"")</f>
        <v>HUI Kelly</v>
      </c>
    </row>
    <row r="6081" customFormat="false" ht="15" hidden="false" customHeight="false" outlineLevel="0" collapsed="false">
      <c r="A6081" s="3" t="s">
        <v>459</v>
      </c>
      <c r="B6081" s="4" t="s">
        <v>31</v>
      </c>
      <c r="C6081" s="4" t="n">
        <v>2</v>
      </c>
      <c r="D6081" s="4" t="s">
        <v>124</v>
      </c>
      <c r="E6081" s="3" t="s">
        <v>146</v>
      </c>
      <c r="F6081" s="4" t="str">
        <f aca="false">IF(I6081&gt;J6081,"Y","N")</f>
        <v>N</v>
      </c>
      <c r="G6081" s="3" t="s">
        <v>164</v>
      </c>
      <c r="H6081" s="3" t="s">
        <v>21</v>
      </c>
      <c r="I6081" s="4" t="n">
        <v>4</v>
      </c>
      <c r="J6081" s="4" t="n">
        <f aca="false">LEN(E6081)-LEN(SUBSTITUTE(E6081,",",""))+1</f>
        <v>4</v>
      </c>
      <c r="K6081" s="3" t="str">
        <f aca="false">IFERROR(INDEX('Teacher Lookup'!$B$2:$B$200,MATCH(A6081,'Teacher Lookup'!$A$2:$A$200,0)),"")</f>
        <v>HUI Kelly</v>
      </c>
    </row>
    <row r="6082" customFormat="false" ht="15" hidden="false" customHeight="false" outlineLevel="0" collapsed="false">
      <c r="A6082" s="3" t="s">
        <v>459</v>
      </c>
      <c r="B6082" s="4" t="s">
        <v>31</v>
      </c>
      <c r="C6082" s="4" t="n">
        <v>2</v>
      </c>
      <c r="D6082" s="4" t="s">
        <v>139</v>
      </c>
      <c r="E6082" s="3" t="s">
        <v>146</v>
      </c>
      <c r="F6082" s="4" t="str">
        <f aca="false">IF(I6082&gt;J6082,"Y","N")</f>
        <v>N</v>
      </c>
      <c r="G6082" s="3" t="s">
        <v>164</v>
      </c>
      <c r="H6082" s="3" t="s">
        <v>21</v>
      </c>
      <c r="I6082" s="4" t="n">
        <v>4</v>
      </c>
      <c r="J6082" s="4" t="n">
        <f aca="false">LEN(E6082)-LEN(SUBSTITUTE(E6082,",",""))+1</f>
        <v>4</v>
      </c>
      <c r="K6082" s="3" t="str">
        <f aca="false">IFERROR(INDEX('Teacher Lookup'!$B$2:$B$200,MATCH(A6082,'Teacher Lookup'!$A$2:$A$200,0)),"")</f>
        <v>HUI Kelly</v>
      </c>
    </row>
    <row r="6083" customFormat="false" ht="15" hidden="false" customHeight="false" outlineLevel="0" collapsed="false">
      <c r="A6083" s="3" t="s">
        <v>459</v>
      </c>
      <c r="B6083" s="4" t="s">
        <v>31</v>
      </c>
      <c r="C6083" s="4" t="n">
        <v>4</v>
      </c>
      <c r="D6083" s="4" t="s">
        <v>140</v>
      </c>
      <c r="E6083" s="3" t="s">
        <v>144</v>
      </c>
      <c r="F6083" s="4" t="str">
        <f aca="false">IF(I6083&gt;J6083,"Y","N")</f>
        <v>N</v>
      </c>
      <c r="G6083" s="3" t="s">
        <v>164</v>
      </c>
      <c r="H6083" s="3" t="s">
        <v>34</v>
      </c>
      <c r="I6083" s="4" t="n">
        <v>4</v>
      </c>
      <c r="J6083" s="4" t="n">
        <f aca="false">LEN(E6083)-LEN(SUBSTITUTE(E6083,",",""))+1</f>
        <v>4</v>
      </c>
      <c r="K6083" s="3" t="str">
        <f aca="false">IFERROR(INDEX('Teacher Lookup'!$B$2:$B$200,MATCH(A6083,'Teacher Lookup'!$A$2:$A$200,0)),"")</f>
        <v>HUI Kelly</v>
      </c>
    </row>
    <row r="6084" customFormat="false" ht="15" hidden="false" customHeight="false" outlineLevel="0" collapsed="false">
      <c r="A6084" s="3" t="s">
        <v>459</v>
      </c>
      <c r="B6084" s="4" t="s">
        <v>31</v>
      </c>
      <c r="C6084" s="4" t="n">
        <v>4</v>
      </c>
      <c r="D6084" s="4" t="s">
        <v>142</v>
      </c>
      <c r="E6084" s="3" t="s">
        <v>144</v>
      </c>
      <c r="F6084" s="4" t="str">
        <f aca="false">IF(I6084&gt;J6084,"Y","N")</f>
        <v>N</v>
      </c>
      <c r="G6084" s="3" t="s">
        <v>164</v>
      </c>
      <c r="H6084" s="3" t="s">
        <v>34</v>
      </c>
      <c r="I6084" s="4" t="n">
        <v>4</v>
      </c>
      <c r="J6084" s="4" t="n">
        <f aca="false">LEN(E6084)-LEN(SUBSTITUTE(E6084,",",""))+1</f>
        <v>4</v>
      </c>
      <c r="K6084" s="3" t="str">
        <f aca="false">IFERROR(INDEX('Teacher Lookup'!$B$2:$B$200,MATCH(A6084,'Teacher Lookup'!$A$2:$A$200,0)),"")</f>
        <v>HUI Kelly</v>
      </c>
    </row>
    <row r="6085" customFormat="false" ht="15" hidden="false" customHeight="false" outlineLevel="0" collapsed="false">
      <c r="A6085" s="3" t="s">
        <v>459</v>
      </c>
      <c r="B6085" s="4" t="s">
        <v>31</v>
      </c>
      <c r="C6085" s="4" t="n">
        <v>4</v>
      </c>
      <c r="D6085" s="4" t="s">
        <v>127</v>
      </c>
      <c r="E6085" s="3" t="s">
        <v>144</v>
      </c>
      <c r="F6085" s="4" t="str">
        <f aca="false">IF(I6085&gt;J6085,"Y","N")</f>
        <v>N</v>
      </c>
      <c r="G6085" s="3" t="s">
        <v>164</v>
      </c>
      <c r="H6085" s="3" t="s">
        <v>34</v>
      </c>
      <c r="I6085" s="4" t="n">
        <v>4</v>
      </c>
      <c r="J6085" s="4" t="n">
        <f aca="false">LEN(E6085)-LEN(SUBSTITUTE(E6085,",",""))+1</f>
        <v>4</v>
      </c>
      <c r="K6085" s="3" t="str">
        <f aca="false">IFERROR(INDEX('Teacher Lookup'!$B$2:$B$200,MATCH(A6085,'Teacher Lookup'!$A$2:$A$200,0)),"")</f>
        <v>HUI Kelly</v>
      </c>
    </row>
    <row r="6086" customFormat="false" ht="15" hidden="false" customHeight="false" outlineLevel="0" collapsed="false">
      <c r="A6086" s="3" t="s">
        <v>459</v>
      </c>
      <c r="B6086" s="4" t="s">
        <v>31</v>
      </c>
      <c r="C6086" s="4" t="n">
        <v>5</v>
      </c>
      <c r="D6086" s="4" t="s">
        <v>137</v>
      </c>
      <c r="E6086" s="3" t="s">
        <v>185</v>
      </c>
      <c r="F6086" s="4" t="str">
        <f aca="false">IF(I6086&gt;J6086,"Y","N")</f>
        <v>Y</v>
      </c>
      <c r="G6086" s="3" t="s">
        <v>36</v>
      </c>
      <c r="H6086" s="3" t="s">
        <v>37</v>
      </c>
      <c r="I6086" s="4" t="n">
        <v>21</v>
      </c>
      <c r="J6086" s="4" t="n">
        <f aca="false">LEN(E6086)-LEN(SUBSTITUTE(E6086,",",""))+1</f>
        <v>7</v>
      </c>
      <c r="K6086" s="3" t="str">
        <f aca="false">IFERROR(INDEX('Teacher Lookup'!$B$2:$B$200,MATCH(A6086,'Teacher Lookup'!$A$2:$A$200,0)),"")</f>
        <v>HUI Kelly</v>
      </c>
    </row>
    <row r="6087" customFormat="false" ht="15" hidden="false" customHeight="false" outlineLevel="0" collapsed="false">
      <c r="A6087" s="3" t="s">
        <v>459</v>
      </c>
      <c r="B6087" s="4" t="s">
        <v>31</v>
      </c>
      <c r="C6087" s="4" t="n">
        <v>5</v>
      </c>
      <c r="D6087" s="4" t="s">
        <v>124</v>
      </c>
      <c r="E6087" s="3" t="s">
        <v>185</v>
      </c>
      <c r="F6087" s="4" t="str">
        <f aca="false">IF(I6087&gt;J6087,"Y","N")</f>
        <v>Y</v>
      </c>
      <c r="G6087" s="3" t="s">
        <v>36</v>
      </c>
      <c r="H6087" s="3" t="s">
        <v>37</v>
      </c>
      <c r="I6087" s="4" t="n">
        <v>21</v>
      </c>
      <c r="J6087" s="4" t="n">
        <f aca="false">LEN(E6087)-LEN(SUBSTITUTE(E6087,",",""))+1</f>
        <v>7</v>
      </c>
      <c r="K6087" s="3" t="str">
        <f aca="false">IFERROR(INDEX('Teacher Lookup'!$B$2:$B$200,MATCH(A6087,'Teacher Lookup'!$A$2:$A$200,0)),"")</f>
        <v>HUI Kelly</v>
      </c>
    </row>
    <row r="6088" customFormat="false" ht="15" hidden="false" customHeight="false" outlineLevel="0" collapsed="false">
      <c r="A6088" s="3" t="s">
        <v>459</v>
      </c>
      <c r="B6088" s="4" t="s">
        <v>31</v>
      </c>
      <c r="C6088" s="4" t="n">
        <v>5</v>
      </c>
      <c r="D6088" s="4" t="s">
        <v>139</v>
      </c>
      <c r="E6088" s="3" t="s">
        <v>185</v>
      </c>
      <c r="F6088" s="4" t="str">
        <f aca="false">IF(I6088&gt;J6088,"Y","N")</f>
        <v>Y</v>
      </c>
      <c r="G6088" s="3" t="s">
        <v>36</v>
      </c>
      <c r="H6088" s="3" t="s">
        <v>37</v>
      </c>
      <c r="I6088" s="4" t="n">
        <v>21</v>
      </c>
      <c r="J6088" s="4" t="n">
        <f aca="false">LEN(E6088)-LEN(SUBSTITUTE(E6088,",",""))+1</f>
        <v>7</v>
      </c>
      <c r="K6088" s="3" t="str">
        <f aca="false">IFERROR(INDEX('Teacher Lookup'!$B$2:$B$200,MATCH(A6088,'Teacher Lookup'!$A$2:$A$200,0)),"")</f>
        <v>HUI Kelly</v>
      </c>
    </row>
    <row r="6089" customFormat="false" ht="15" hidden="false" customHeight="false" outlineLevel="0" collapsed="false">
      <c r="A6089" s="3" t="s">
        <v>459</v>
      </c>
      <c r="B6089" s="4" t="s">
        <v>31</v>
      </c>
      <c r="C6089" s="4" t="n">
        <v>5</v>
      </c>
      <c r="D6089" s="4" t="s">
        <v>140</v>
      </c>
      <c r="E6089" s="3" t="s">
        <v>185</v>
      </c>
      <c r="F6089" s="4" t="str">
        <f aca="false">IF(I6089&gt;J6089,"Y","N")</f>
        <v>Y</v>
      </c>
      <c r="G6089" s="3" t="s">
        <v>36</v>
      </c>
      <c r="H6089" s="3" t="s">
        <v>37</v>
      </c>
      <c r="I6089" s="4" t="n">
        <v>21</v>
      </c>
      <c r="J6089" s="4" t="n">
        <f aca="false">LEN(E6089)-LEN(SUBSTITUTE(E6089,",",""))+1</f>
        <v>7</v>
      </c>
      <c r="K6089" s="3" t="str">
        <f aca="false">IFERROR(INDEX('Teacher Lookup'!$B$2:$B$200,MATCH(A6089,'Teacher Lookup'!$A$2:$A$200,0)),"")</f>
        <v>HUI Kelly</v>
      </c>
    </row>
    <row r="6090" customFormat="false" ht="15" hidden="false" customHeight="false" outlineLevel="0" collapsed="false">
      <c r="A6090" s="3" t="s">
        <v>459</v>
      </c>
      <c r="B6090" s="4" t="s">
        <v>31</v>
      </c>
      <c r="C6090" s="4" t="n">
        <v>5</v>
      </c>
      <c r="D6090" s="4" t="s">
        <v>142</v>
      </c>
      <c r="E6090" s="3" t="s">
        <v>185</v>
      </c>
      <c r="F6090" s="4" t="str">
        <f aca="false">IF(I6090&gt;J6090,"Y","N")</f>
        <v>Y</v>
      </c>
      <c r="G6090" s="3" t="s">
        <v>36</v>
      </c>
      <c r="H6090" s="3" t="s">
        <v>37</v>
      </c>
      <c r="I6090" s="4" t="n">
        <v>21</v>
      </c>
      <c r="J6090" s="4" t="n">
        <f aca="false">LEN(E6090)-LEN(SUBSTITUTE(E6090,",",""))+1</f>
        <v>7</v>
      </c>
      <c r="K6090" s="3" t="str">
        <f aca="false">IFERROR(INDEX('Teacher Lookup'!$B$2:$B$200,MATCH(A6090,'Teacher Lookup'!$A$2:$A$200,0)),"")</f>
        <v>HUI Kelly</v>
      </c>
    </row>
    <row r="6091" customFormat="false" ht="15" hidden="false" customHeight="false" outlineLevel="0" collapsed="false">
      <c r="A6091" s="3" t="s">
        <v>459</v>
      </c>
      <c r="B6091" s="4" t="s">
        <v>31</v>
      </c>
      <c r="C6091" s="4" t="n">
        <v>5</v>
      </c>
      <c r="D6091" s="4" t="s">
        <v>127</v>
      </c>
      <c r="E6091" s="3" t="s">
        <v>185</v>
      </c>
      <c r="F6091" s="4" t="str">
        <f aca="false">IF(I6091&gt;J6091,"Y","N")</f>
        <v>Y</v>
      </c>
      <c r="G6091" s="3" t="s">
        <v>36</v>
      </c>
      <c r="H6091" s="3" t="s">
        <v>37</v>
      </c>
      <c r="I6091" s="4" t="n">
        <v>21</v>
      </c>
      <c r="J6091" s="4" t="n">
        <f aca="false">LEN(E6091)-LEN(SUBSTITUTE(E6091,",",""))+1</f>
        <v>7</v>
      </c>
      <c r="K6091" s="3" t="str">
        <f aca="false">IFERROR(INDEX('Teacher Lookup'!$B$2:$B$200,MATCH(A6091,'Teacher Lookup'!$A$2:$A$200,0)),"")</f>
        <v>HUI Kelly</v>
      </c>
    </row>
    <row r="6092" customFormat="false" ht="15" hidden="false" customHeight="false" outlineLevel="0" collapsed="false">
      <c r="A6092" s="3" t="s">
        <v>459</v>
      </c>
      <c r="B6092" s="4" t="s">
        <v>31</v>
      </c>
      <c r="C6092" s="4" t="n">
        <v>6</v>
      </c>
      <c r="D6092" s="4" t="s">
        <v>70</v>
      </c>
      <c r="E6092" s="3" t="s">
        <v>371</v>
      </c>
      <c r="F6092" s="4" t="str">
        <f aca="false">IF(I6092&gt;J6092,"Y","N")</f>
        <v>N</v>
      </c>
      <c r="G6092" s="3" t="s">
        <v>164</v>
      </c>
      <c r="H6092" s="3" t="s">
        <v>42</v>
      </c>
      <c r="I6092" s="4" t="n">
        <v>4</v>
      </c>
      <c r="J6092" s="4" t="n">
        <f aca="false">LEN(E6092)-LEN(SUBSTITUTE(E6092,",",""))+1</f>
        <v>4</v>
      </c>
      <c r="K6092" s="3" t="str">
        <f aca="false">IFERROR(INDEX('Teacher Lookup'!$B$2:$B$200,MATCH(A6092,'Teacher Lookup'!$A$2:$A$200,0)),"")</f>
        <v>HUI Kelly</v>
      </c>
    </row>
    <row r="6093" customFormat="false" ht="15" hidden="false" customHeight="false" outlineLevel="0" collapsed="false">
      <c r="A6093" s="3" t="s">
        <v>459</v>
      </c>
      <c r="B6093" s="4" t="s">
        <v>31</v>
      </c>
      <c r="C6093" s="4" t="n">
        <v>6</v>
      </c>
      <c r="D6093" s="4" t="s">
        <v>73</v>
      </c>
      <c r="E6093" s="3" t="s">
        <v>371</v>
      </c>
      <c r="F6093" s="4" t="str">
        <f aca="false">IF(I6093&gt;J6093,"Y","N")</f>
        <v>N</v>
      </c>
      <c r="G6093" s="3" t="s">
        <v>164</v>
      </c>
      <c r="H6093" s="3" t="s">
        <v>42</v>
      </c>
      <c r="I6093" s="4" t="n">
        <v>4</v>
      </c>
      <c r="J6093" s="4" t="n">
        <f aca="false">LEN(E6093)-LEN(SUBSTITUTE(E6093,",",""))+1</f>
        <v>4</v>
      </c>
      <c r="K6093" s="3" t="str">
        <f aca="false">IFERROR(INDEX('Teacher Lookup'!$B$2:$B$200,MATCH(A6093,'Teacher Lookup'!$A$2:$A$200,0)),"")</f>
        <v>HUI Kelly</v>
      </c>
    </row>
    <row r="6094" customFormat="false" ht="15" hidden="false" customHeight="false" outlineLevel="0" collapsed="false">
      <c r="A6094" s="3" t="s">
        <v>459</v>
      </c>
      <c r="B6094" s="4" t="s">
        <v>31</v>
      </c>
      <c r="C6094" s="4" t="n">
        <v>6</v>
      </c>
      <c r="D6094" s="4" t="s">
        <v>74</v>
      </c>
      <c r="E6094" s="3" t="s">
        <v>371</v>
      </c>
      <c r="F6094" s="4" t="str">
        <f aca="false">IF(I6094&gt;J6094,"Y","N")</f>
        <v>N</v>
      </c>
      <c r="G6094" s="3" t="s">
        <v>164</v>
      </c>
      <c r="H6094" s="3" t="s">
        <v>42</v>
      </c>
      <c r="I6094" s="4" t="n">
        <v>4</v>
      </c>
      <c r="J6094" s="4" t="n">
        <f aca="false">LEN(E6094)-LEN(SUBSTITUTE(E6094,",",""))+1</f>
        <v>4</v>
      </c>
      <c r="K6094" s="3" t="str">
        <f aca="false">IFERROR(INDEX('Teacher Lookup'!$B$2:$B$200,MATCH(A6094,'Teacher Lookup'!$A$2:$A$200,0)),"")</f>
        <v>HUI Kelly</v>
      </c>
    </row>
    <row r="6095" customFormat="false" ht="15" hidden="false" customHeight="false" outlineLevel="0" collapsed="false">
      <c r="A6095" s="3" t="s">
        <v>459</v>
      </c>
      <c r="B6095" s="4" t="s">
        <v>40</v>
      </c>
      <c r="C6095" s="4" t="n">
        <v>3</v>
      </c>
      <c r="D6095" s="4" t="s">
        <v>137</v>
      </c>
      <c r="E6095" s="3" t="s">
        <v>186</v>
      </c>
      <c r="F6095" s="4" t="str">
        <f aca="false">IF(I6095&gt;J6095,"Y","N")</f>
        <v>N</v>
      </c>
      <c r="G6095" s="3" t="s">
        <v>164</v>
      </c>
      <c r="H6095" s="3" t="s">
        <v>26</v>
      </c>
      <c r="I6095" s="4" t="n">
        <v>4</v>
      </c>
      <c r="J6095" s="4" t="n">
        <f aca="false">LEN(E6095)-LEN(SUBSTITUTE(E6095,",",""))+1</f>
        <v>4</v>
      </c>
      <c r="K6095" s="3" t="str">
        <f aca="false">IFERROR(INDEX('Teacher Lookup'!$B$2:$B$200,MATCH(A6095,'Teacher Lookup'!$A$2:$A$200,0)),"")</f>
        <v>HUI Kelly</v>
      </c>
    </row>
    <row r="6096" customFormat="false" ht="15" hidden="false" customHeight="false" outlineLevel="0" collapsed="false">
      <c r="A6096" s="3" t="s">
        <v>459</v>
      </c>
      <c r="B6096" s="4" t="s">
        <v>40</v>
      </c>
      <c r="C6096" s="4" t="n">
        <v>3</v>
      </c>
      <c r="D6096" s="4" t="s">
        <v>124</v>
      </c>
      <c r="E6096" s="3" t="s">
        <v>186</v>
      </c>
      <c r="F6096" s="4" t="str">
        <f aca="false">IF(I6096&gt;J6096,"Y","N")</f>
        <v>N</v>
      </c>
      <c r="G6096" s="3" t="s">
        <v>164</v>
      </c>
      <c r="H6096" s="3" t="s">
        <v>26</v>
      </c>
      <c r="I6096" s="4" t="n">
        <v>4</v>
      </c>
      <c r="J6096" s="4" t="n">
        <f aca="false">LEN(E6096)-LEN(SUBSTITUTE(E6096,",",""))+1</f>
        <v>4</v>
      </c>
      <c r="K6096" s="3" t="str">
        <f aca="false">IFERROR(INDEX('Teacher Lookup'!$B$2:$B$200,MATCH(A6096,'Teacher Lookup'!$A$2:$A$200,0)),"")</f>
        <v>HUI Kelly</v>
      </c>
    </row>
    <row r="6097" customFormat="false" ht="15" hidden="false" customHeight="false" outlineLevel="0" collapsed="false">
      <c r="A6097" s="3" t="s">
        <v>459</v>
      </c>
      <c r="B6097" s="4" t="s">
        <v>40</v>
      </c>
      <c r="C6097" s="4" t="n">
        <v>3</v>
      </c>
      <c r="D6097" s="4" t="s">
        <v>139</v>
      </c>
      <c r="E6097" s="3" t="s">
        <v>186</v>
      </c>
      <c r="F6097" s="4" t="str">
        <f aca="false">IF(I6097&gt;J6097,"Y","N")</f>
        <v>N</v>
      </c>
      <c r="G6097" s="3" t="s">
        <v>164</v>
      </c>
      <c r="H6097" s="3" t="s">
        <v>26</v>
      </c>
      <c r="I6097" s="4" t="n">
        <v>4</v>
      </c>
      <c r="J6097" s="4" t="n">
        <f aca="false">LEN(E6097)-LEN(SUBSTITUTE(E6097,",",""))+1</f>
        <v>4</v>
      </c>
      <c r="K6097" s="3" t="str">
        <f aca="false">IFERROR(INDEX('Teacher Lookup'!$B$2:$B$200,MATCH(A6097,'Teacher Lookup'!$A$2:$A$200,0)),"")</f>
        <v>HUI Kelly</v>
      </c>
    </row>
    <row r="6098" customFormat="false" ht="15" hidden="false" customHeight="false" outlineLevel="0" collapsed="false">
      <c r="A6098" s="3" t="s">
        <v>459</v>
      </c>
      <c r="B6098" s="4" t="s">
        <v>40</v>
      </c>
      <c r="C6098" s="4" t="n">
        <v>4</v>
      </c>
      <c r="D6098" s="4" t="s">
        <v>137</v>
      </c>
      <c r="E6098" s="3" t="s">
        <v>186</v>
      </c>
      <c r="F6098" s="4" t="str">
        <f aca="false">IF(I6098&gt;J6098,"Y","N")</f>
        <v>N</v>
      </c>
      <c r="G6098" s="3" t="s">
        <v>164</v>
      </c>
      <c r="H6098" s="3" t="s">
        <v>34</v>
      </c>
      <c r="I6098" s="4" t="n">
        <v>4</v>
      </c>
      <c r="J6098" s="4" t="n">
        <f aca="false">LEN(E6098)-LEN(SUBSTITUTE(E6098,",",""))+1</f>
        <v>4</v>
      </c>
      <c r="K6098" s="3" t="str">
        <f aca="false">IFERROR(INDEX('Teacher Lookup'!$B$2:$B$200,MATCH(A6098,'Teacher Lookup'!$A$2:$A$200,0)),"")</f>
        <v>HUI Kelly</v>
      </c>
    </row>
    <row r="6099" customFormat="false" ht="15" hidden="false" customHeight="false" outlineLevel="0" collapsed="false">
      <c r="A6099" s="3" t="s">
        <v>459</v>
      </c>
      <c r="B6099" s="4" t="s">
        <v>40</v>
      </c>
      <c r="C6099" s="4" t="n">
        <v>4</v>
      </c>
      <c r="D6099" s="4" t="s">
        <v>124</v>
      </c>
      <c r="E6099" s="3" t="s">
        <v>186</v>
      </c>
      <c r="F6099" s="4" t="str">
        <f aca="false">IF(I6099&gt;J6099,"Y","N")</f>
        <v>N</v>
      </c>
      <c r="G6099" s="3" t="s">
        <v>164</v>
      </c>
      <c r="H6099" s="3" t="s">
        <v>34</v>
      </c>
      <c r="I6099" s="4" t="n">
        <v>4</v>
      </c>
      <c r="J6099" s="4" t="n">
        <f aca="false">LEN(E6099)-LEN(SUBSTITUTE(E6099,",",""))+1</f>
        <v>4</v>
      </c>
      <c r="K6099" s="3" t="str">
        <f aca="false">IFERROR(INDEX('Teacher Lookup'!$B$2:$B$200,MATCH(A6099,'Teacher Lookup'!$A$2:$A$200,0)),"")</f>
        <v>HUI Kelly</v>
      </c>
    </row>
    <row r="6100" customFormat="false" ht="15" hidden="false" customHeight="false" outlineLevel="0" collapsed="false">
      <c r="A6100" s="3" t="s">
        <v>459</v>
      </c>
      <c r="B6100" s="4" t="s">
        <v>40</v>
      </c>
      <c r="C6100" s="4" t="n">
        <v>4</v>
      </c>
      <c r="D6100" s="4" t="s">
        <v>139</v>
      </c>
      <c r="E6100" s="3" t="s">
        <v>186</v>
      </c>
      <c r="F6100" s="4" t="str">
        <f aca="false">IF(I6100&gt;J6100,"Y","N")</f>
        <v>N</v>
      </c>
      <c r="G6100" s="3" t="s">
        <v>164</v>
      </c>
      <c r="H6100" s="3" t="s">
        <v>34</v>
      </c>
      <c r="I6100" s="4" t="n">
        <v>4</v>
      </c>
      <c r="J6100" s="4" t="n">
        <f aca="false">LEN(E6100)-LEN(SUBSTITUTE(E6100,",",""))+1</f>
        <v>4</v>
      </c>
      <c r="K6100" s="3" t="str">
        <f aca="false">IFERROR(INDEX('Teacher Lookup'!$B$2:$B$200,MATCH(A6100,'Teacher Lookup'!$A$2:$A$200,0)),"")</f>
        <v>HUI Kelly</v>
      </c>
    </row>
    <row r="6101" customFormat="false" ht="15" hidden="false" customHeight="false" outlineLevel="0" collapsed="false">
      <c r="A6101" s="3" t="s">
        <v>459</v>
      </c>
      <c r="B6101" s="4" t="s">
        <v>40</v>
      </c>
      <c r="C6101" s="4" t="n">
        <v>5</v>
      </c>
      <c r="D6101" s="4" t="s">
        <v>140</v>
      </c>
      <c r="E6101" s="3" t="s">
        <v>144</v>
      </c>
      <c r="F6101" s="4" t="str">
        <f aca="false">IF(I6101&gt;J6101,"Y","N")</f>
        <v>N</v>
      </c>
      <c r="G6101" s="3" t="s">
        <v>164</v>
      </c>
      <c r="H6101" s="3" t="s">
        <v>37</v>
      </c>
      <c r="I6101" s="4" t="n">
        <v>4</v>
      </c>
      <c r="J6101" s="4" t="n">
        <f aca="false">LEN(E6101)-LEN(SUBSTITUTE(E6101,",",""))+1</f>
        <v>4</v>
      </c>
      <c r="K6101" s="3" t="str">
        <f aca="false">IFERROR(INDEX('Teacher Lookup'!$B$2:$B$200,MATCH(A6101,'Teacher Lookup'!$A$2:$A$200,0)),"")</f>
        <v>HUI Kelly</v>
      </c>
    </row>
    <row r="6102" customFormat="false" ht="15" hidden="false" customHeight="false" outlineLevel="0" collapsed="false">
      <c r="A6102" s="3" t="s">
        <v>459</v>
      </c>
      <c r="B6102" s="4" t="s">
        <v>40</v>
      </c>
      <c r="C6102" s="4" t="n">
        <v>5</v>
      </c>
      <c r="D6102" s="4" t="s">
        <v>142</v>
      </c>
      <c r="E6102" s="3" t="s">
        <v>144</v>
      </c>
      <c r="F6102" s="4" t="str">
        <f aca="false">IF(I6102&gt;J6102,"Y","N")</f>
        <v>N</v>
      </c>
      <c r="G6102" s="3" t="s">
        <v>164</v>
      </c>
      <c r="H6102" s="3" t="s">
        <v>37</v>
      </c>
      <c r="I6102" s="4" t="n">
        <v>4</v>
      </c>
      <c r="J6102" s="4" t="n">
        <f aca="false">LEN(E6102)-LEN(SUBSTITUTE(E6102,",",""))+1</f>
        <v>4</v>
      </c>
      <c r="K6102" s="3" t="str">
        <f aca="false">IFERROR(INDEX('Teacher Lookup'!$B$2:$B$200,MATCH(A6102,'Teacher Lookup'!$A$2:$A$200,0)),"")</f>
        <v>HUI Kelly</v>
      </c>
    </row>
    <row r="6103" customFormat="false" ht="15" hidden="false" customHeight="false" outlineLevel="0" collapsed="false">
      <c r="A6103" s="3" t="s">
        <v>459</v>
      </c>
      <c r="B6103" s="4" t="s">
        <v>40</v>
      </c>
      <c r="C6103" s="4" t="n">
        <v>5</v>
      </c>
      <c r="D6103" s="4" t="s">
        <v>127</v>
      </c>
      <c r="E6103" s="3" t="s">
        <v>144</v>
      </c>
      <c r="F6103" s="4" t="str">
        <f aca="false">IF(I6103&gt;J6103,"Y","N")</f>
        <v>N</v>
      </c>
      <c r="G6103" s="3" t="s">
        <v>164</v>
      </c>
      <c r="H6103" s="3" t="s">
        <v>37</v>
      </c>
      <c r="I6103" s="4" t="n">
        <v>4</v>
      </c>
      <c r="J6103" s="4" t="n">
        <f aca="false">LEN(E6103)-LEN(SUBSTITUTE(E6103,",",""))+1</f>
        <v>4</v>
      </c>
      <c r="K6103" s="3" t="str">
        <f aca="false">IFERROR(INDEX('Teacher Lookup'!$B$2:$B$200,MATCH(A6103,'Teacher Lookup'!$A$2:$A$200,0)),"")</f>
        <v>HUI Kelly</v>
      </c>
    </row>
    <row r="6104" customFormat="false" ht="15" hidden="false" customHeight="false" outlineLevel="0" collapsed="false">
      <c r="A6104" s="3" t="s">
        <v>459</v>
      </c>
      <c r="B6104" s="4" t="s">
        <v>40</v>
      </c>
      <c r="C6104" s="4" t="n">
        <v>6</v>
      </c>
      <c r="D6104" s="4" t="s">
        <v>70</v>
      </c>
      <c r="E6104" s="3" t="s">
        <v>225</v>
      </c>
      <c r="F6104" s="4" t="str">
        <f aca="false">IF(I6104&gt;J6104,"Y","N")</f>
        <v>N</v>
      </c>
      <c r="G6104" s="3" t="s">
        <v>164</v>
      </c>
      <c r="H6104" s="3" t="s">
        <v>42</v>
      </c>
      <c r="I6104" s="4" t="n">
        <v>4</v>
      </c>
      <c r="J6104" s="4" t="n">
        <f aca="false">LEN(E6104)-LEN(SUBSTITUTE(E6104,",",""))+1</f>
        <v>4</v>
      </c>
      <c r="K6104" s="3" t="str">
        <f aca="false">IFERROR(INDEX('Teacher Lookup'!$B$2:$B$200,MATCH(A6104,'Teacher Lookup'!$A$2:$A$200,0)),"")</f>
        <v>HUI Kelly</v>
      </c>
    </row>
    <row r="6105" customFormat="false" ht="15" hidden="false" customHeight="false" outlineLevel="0" collapsed="false">
      <c r="A6105" s="3" t="s">
        <v>459</v>
      </c>
      <c r="B6105" s="4" t="s">
        <v>40</v>
      </c>
      <c r="C6105" s="4" t="n">
        <v>6</v>
      </c>
      <c r="D6105" s="4" t="s">
        <v>73</v>
      </c>
      <c r="E6105" s="3" t="s">
        <v>225</v>
      </c>
      <c r="F6105" s="4" t="str">
        <f aca="false">IF(I6105&gt;J6105,"Y","N")</f>
        <v>N</v>
      </c>
      <c r="G6105" s="3" t="s">
        <v>164</v>
      </c>
      <c r="H6105" s="3" t="s">
        <v>42</v>
      </c>
      <c r="I6105" s="4" t="n">
        <v>4</v>
      </c>
      <c r="J6105" s="4" t="n">
        <f aca="false">LEN(E6105)-LEN(SUBSTITUTE(E6105,",",""))+1</f>
        <v>4</v>
      </c>
      <c r="K6105" s="3" t="str">
        <f aca="false">IFERROR(INDEX('Teacher Lookup'!$B$2:$B$200,MATCH(A6105,'Teacher Lookup'!$A$2:$A$200,0)),"")</f>
        <v>HUI Kelly</v>
      </c>
    </row>
    <row r="6106" customFormat="false" ht="15" hidden="false" customHeight="false" outlineLevel="0" collapsed="false">
      <c r="A6106" s="3" t="s">
        <v>459</v>
      </c>
      <c r="B6106" s="4" t="s">
        <v>40</v>
      </c>
      <c r="C6106" s="4" t="n">
        <v>6</v>
      </c>
      <c r="D6106" s="4" t="s">
        <v>74</v>
      </c>
      <c r="E6106" s="3" t="s">
        <v>225</v>
      </c>
      <c r="F6106" s="4" t="str">
        <f aca="false">IF(I6106&gt;J6106,"Y","N")</f>
        <v>N</v>
      </c>
      <c r="G6106" s="3" t="s">
        <v>164</v>
      </c>
      <c r="H6106" s="3" t="s">
        <v>42</v>
      </c>
      <c r="I6106" s="4" t="n">
        <v>4</v>
      </c>
      <c r="J6106" s="4" t="n">
        <f aca="false">LEN(E6106)-LEN(SUBSTITUTE(E6106,",",""))+1</f>
        <v>4</v>
      </c>
      <c r="K6106" s="3" t="str">
        <f aca="false">IFERROR(INDEX('Teacher Lookup'!$B$2:$B$200,MATCH(A6106,'Teacher Lookup'!$A$2:$A$200,0)),"")</f>
        <v>HUI Kelly</v>
      </c>
    </row>
    <row r="6107" customFormat="false" ht="15" hidden="false" customHeight="false" outlineLevel="0" collapsed="false">
      <c r="A6107" s="3" t="s">
        <v>459</v>
      </c>
      <c r="B6107" s="4" t="s">
        <v>44</v>
      </c>
      <c r="C6107" s="4" t="n">
        <v>4</v>
      </c>
      <c r="D6107" s="4" t="s">
        <v>140</v>
      </c>
      <c r="E6107" s="3" t="s">
        <v>187</v>
      </c>
      <c r="F6107" s="4" t="str">
        <f aca="false">IF(I6107&gt;J6107,"Y","N")</f>
        <v>N</v>
      </c>
      <c r="G6107" s="3" t="s">
        <v>164</v>
      </c>
      <c r="H6107" s="3" t="s">
        <v>34</v>
      </c>
      <c r="I6107" s="4" t="n">
        <v>4</v>
      </c>
      <c r="J6107" s="4" t="n">
        <f aca="false">LEN(E6107)-LEN(SUBSTITUTE(E6107,",",""))+1</f>
        <v>4</v>
      </c>
      <c r="K6107" s="3" t="str">
        <f aca="false">IFERROR(INDEX('Teacher Lookup'!$B$2:$B$200,MATCH(A6107,'Teacher Lookup'!$A$2:$A$200,0)),"")</f>
        <v>HUI Kelly</v>
      </c>
    </row>
    <row r="6108" customFormat="false" ht="15" hidden="false" customHeight="false" outlineLevel="0" collapsed="false">
      <c r="A6108" s="3" t="s">
        <v>459</v>
      </c>
      <c r="B6108" s="4" t="s">
        <v>44</v>
      </c>
      <c r="C6108" s="4" t="n">
        <v>4</v>
      </c>
      <c r="D6108" s="4" t="s">
        <v>142</v>
      </c>
      <c r="E6108" s="3" t="s">
        <v>187</v>
      </c>
      <c r="F6108" s="4" t="str">
        <f aca="false">IF(I6108&gt;J6108,"Y","N")</f>
        <v>N</v>
      </c>
      <c r="G6108" s="3" t="s">
        <v>164</v>
      </c>
      <c r="H6108" s="3" t="s">
        <v>34</v>
      </c>
      <c r="I6108" s="4" t="n">
        <v>4</v>
      </c>
      <c r="J6108" s="4" t="n">
        <f aca="false">LEN(E6108)-LEN(SUBSTITUTE(E6108,",",""))+1</f>
        <v>4</v>
      </c>
      <c r="K6108" s="3" t="str">
        <f aca="false">IFERROR(INDEX('Teacher Lookup'!$B$2:$B$200,MATCH(A6108,'Teacher Lookup'!$A$2:$A$200,0)),"")</f>
        <v>HUI Kelly</v>
      </c>
    </row>
    <row r="6109" customFormat="false" ht="15" hidden="false" customHeight="false" outlineLevel="0" collapsed="false">
      <c r="A6109" s="3" t="s">
        <v>459</v>
      </c>
      <c r="B6109" s="4" t="s">
        <v>44</v>
      </c>
      <c r="C6109" s="4" t="n">
        <v>4</v>
      </c>
      <c r="D6109" s="4" t="s">
        <v>127</v>
      </c>
      <c r="E6109" s="3" t="s">
        <v>187</v>
      </c>
      <c r="F6109" s="4" t="str">
        <f aca="false">IF(I6109&gt;J6109,"Y","N")</f>
        <v>N</v>
      </c>
      <c r="G6109" s="3" t="s">
        <v>164</v>
      </c>
      <c r="H6109" s="3" t="s">
        <v>34</v>
      </c>
      <c r="I6109" s="4" t="n">
        <v>4</v>
      </c>
      <c r="J6109" s="4" t="n">
        <f aca="false">LEN(E6109)-LEN(SUBSTITUTE(E6109,",",""))+1</f>
        <v>4</v>
      </c>
      <c r="K6109" s="3" t="str">
        <f aca="false">IFERROR(INDEX('Teacher Lookup'!$B$2:$B$200,MATCH(A6109,'Teacher Lookup'!$A$2:$A$200,0)),"")</f>
        <v>HUI Kelly</v>
      </c>
    </row>
    <row r="6110" customFormat="false" ht="15" hidden="false" customHeight="false" outlineLevel="0" collapsed="false">
      <c r="A6110" s="3" t="s">
        <v>459</v>
      </c>
      <c r="B6110" s="4" t="s">
        <v>44</v>
      </c>
      <c r="C6110" s="4" t="n">
        <v>5</v>
      </c>
      <c r="D6110" s="4" t="s">
        <v>137</v>
      </c>
      <c r="E6110" s="3" t="s">
        <v>185</v>
      </c>
      <c r="F6110" s="4" t="str">
        <f aca="false">IF(I6110&gt;J6110,"Y","N")</f>
        <v>Y</v>
      </c>
      <c r="G6110" s="3" t="s">
        <v>36</v>
      </c>
      <c r="H6110" s="3" t="s">
        <v>37</v>
      </c>
      <c r="I6110" s="4" t="n">
        <v>21</v>
      </c>
      <c r="J6110" s="4" t="n">
        <f aca="false">LEN(E6110)-LEN(SUBSTITUTE(E6110,",",""))+1</f>
        <v>7</v>
      </c>
      <c r="K6110" s="3" t="str">
        <f aca="false">IFERROR(INDEX('Teacher Lookup'!$B$2:$B$200,MATCH(A6110,'Teacher Lookup'!$A$2:$A$200,0)),"")</f>
        <v>HUI Kelly</v>
      </c>
    </row>
    <row r="6111" customFormat="false" ht="15" hidden="false" customHeight="false" outlineLevel="0" collapsed="false">
      <c r="A6111" s="3" t="s">
        <v>459</v>
      </c>
      <c r="B6111" s="4" t="s">
        <v>44</v>
      </c>
      <c r="C6111" s="4" t="n">
        <v>5</v>
      </c>
      <c r="D6111" s="4" t="s">
        <v>124</v>
      </c>
      <c r="E6111" s="3" t="s">
        <v>185</v>
      </c>
      <c r="F6111" s="4" t="str">
        <f aca="false">IF(I6111&gt;J6111,"Y","N")</f>
        <v>Y</v>
      </c>
      <c r="G6111" s="3" t="s">
        <v>36</v>
      </c>
      <c r="H6111" s="3" t="s">
        <v>37</v>
      </c>
      <c r="I6111" s="4" t="n">
        <v>21</v>
      </c>
      <c r="J6111" s="4" t="n">
        <f aca="false">LEN(E6111)-LEN(SUBSTITUTE(E6111,",",""))+1</f>
        <v>7</v>
      </c>
      <c r="K6111" s="3" t="str">
        <f aca="false">IFERROR(INDEX('Teacher Lookup'!$B$2:$B$200,MATCH(A6111,'Teacher Lookup'!$A$2:$A$200,0)),"")</f>
        <v>HUI Kelly</v>
      </c>
    </row>
    <row r="6112" customFormat="false" ht="15" hidden="false" customHeight="false" outlineLevel="0" collapsed="false">
      <c r="A6112" s="3" t="s">
        <v>459</v>
      </c>
      <c r="B6112" s="4" t="s">
        <v>44</v>
      </c>
      <c r="C6112" s="4" t="n">
        <v>5</v>
      </c>
      <c r="D6112" s="4" t="s">
        <v>139</v>
      </c>
      <c r="E6112" s="3" t="s">
        <v>185</v>
      </c>
      <c r="F6112" s="4" t="str">
        <f aca="false">IF(I6112&gt;J6112,"Y","N")</f>
        <v>Y</v>
      </c>
      <c r="G6112" s="3" t="s">
        <v>36</v>
      </c>
      <c r="H6112" s="3" t="s">
        <v>37</v>
      </c>
      <c r="I6112" s="4" t="n">
        <v>21</v>
      </c>
      <c r="J6112" s="4" t="n">
        <f aca="false">LEN(E6112)-LEN(SUBSTITUTE(E6112,",",""))+1</f>
        <v>7</v>
      </c>
      <c r="K6112" s="3" t="str">
        <f aca="false">IFERROR(INDEX('Teacher Lookup'!$B$2:$B$200,MATCH(A6112,'Teacher Lookup'!$A$2:$A$200,0)),"")</f>
        <v>HUI Kelly</v>
      </c>
    </row>
    <row r="6113" customFormat="false" ht="15" hidden="false" customHeight="false" outlineLevel="0" collapsed="false">
      <c r="A6113" s="3" t="s">
        <v>459</v>
      </c>
      <c r="B6113" s="4" t="s">
        <v>44</v>
      </c>
      <c r="C6113" s="4" t="n">
        <v>5</v>
      </c>
      <c r="D6113" s="4" t="s">
        <v>140</v>
      </c>
      <c r="E6113" s="3" t="s">
        <v>185</v>
      </c>
      <c r="F6113" s="4" t="str">
        <f aca="false">IF(I6113&gt;J6113,"Y","N")</f>
        <v>Y</v>
      </c>
      <c r="G6113" s="3" t="s">
        <v>36</v>
      </c>
      <c r="H6113" s="3" t="s">
        <v>37</v>
      </c>
      <c r="I6113" s="4" t="n">
        <v>21</v>
      </c>
      <c r="J6113" s="4" t="n">
        <f aca="false">LEN(E6113)-LEN(SUBSTITUTE(E6113,",",""))+1</f>
        <v>7</v>
      </c>
      <c r="K6113" s="3" t="str">
        <f aca="false">IFERROR(INDEX('Teacher Lookup'!$B$2:$B$200,MATCH(A6113,'Teacher Lookup'!$A$2:$A$200,0)),"")</f>
        <v>HUI Kelly</v>
      </c>
    </row>
    <row r="6114" customFormat="false" ht="15" hidden="false" customHeight="false" outlineLevel="0" collapsed="false">
      <c r="A6114" s="3" t="s">
        <v>459</v>
      </c>
      <c r="B6114" s="4" t="s">
        <v>44</v>
      </c>
      <c r="C6114" s="4" t="n">
        <v>5</v>
      </c>
      <c r="D6114" s="4" t="s">
        <v>142</v>
      </c>
      <c r="E6114" s="3" t="s">
        <v>185</v>
      </c>
      <c r="F6114" s="4" t="str">
        <f aca="false">IF(I6114&gt;J6114,"Y","N")</f>
        <v>Y</v>
      </c>
      <c r="G6114" s="3" t="s">
        <v>36</v>
      </c>
      <c r="H6114" s="3" t="s">
        <v>37</v>
      </c>
      <c r="I6114" s="4" t="n">
        <v>21</v>
      </c>
      <c r="J6114" s="4" t="n">
        <f aca="false">LEN(E6114)-LEN(SUBSTITUTE(E6114,",",""))+1</f>
        <v>7</v>
      </c>
      <c r="K6114" s="3" t="str">
        <f aca="false">IFERROR(INDEX('Teacher Lookup'!$B$2:$B$200,MATCH(A6114,'Teacher Lookup'!$A$2:$A$200,0)),"")</f>
        <v>HUI Kelly</v>
      </c>
    </row>
    <row r="6115" customFormat="false" ht="15" hidden="false" customHeight="false" outlineLevel="0" collapsed="false">
      <c r="A6115" s="3" t="s">
        <v>459</v>
      </c>
      <c r="B6115" s="4" t="s">
        <v>44</v>
      </c>
      <c r="C6115" s="4" t="n">
        <v>5</v>
      </c>
      <c r="D6115" s="4" t="s">
        <v>127</v>
      </c>
      <c r="E6115" s="3" t="s">
        <v>185</v>
      </c>
      <c r="F6115" s="4" t="str">
        <f aca="false">IF(I6115&gt;J6115,"Y","N")</f>
        <v>Y</v>
      </c>
      <c r="G6115" s="3" t="s">
        <v>36</v>
      </c>
      <c r="H6115" s="3" t="s">
        <v>37</v>
      </c>
      <c r="I6115" s="4" t="n">
        <v>21</v>
      </c>
      <c r="J6115" s="4" t="n">
        <f aca="false">LEN(E6115)-LEN(SUBSTITUTE(E6115,",",""))+1</f>
        <v>7</v>
      </c>
      <c r="K6115" s="3" t="str">
        <f aca="false">IFERROR(INDEX('Teacher Lookup'!$B$2:$B$200,MATCH(A6115,'Teacher Lookup'!$A$2:$A$200,0)),"")</f>
        <v>HUI Kelly</v>
      </c>
    </row>
    <row r="6116" customFormat="false" ht="15" hidden="false" customHeight="false" outlineLevel="0" collapsed="false">
      <c r="A6116" s="3" t="s">
        <v>459</v>
      </c>
      <c r="B6116" s="4" t="s">
        <v>44</v>
      </c>
      <c r="C6116" s="4" t="n">
        <v>6</v>
      </c>
      <c r="D6116" s="4" t="s">
        <v>70</v>
      </c>
      <c r="E6116" s="3" t="s">
        <v>372</v>
      </c>
      <c r="F6116" s="4" t="str">
        <f aca="false">IF(I6116&gt;J6116,"Y","N")</f>
        <v>N</v>
      </c>
      <c r="G6116" s="3" t="s">
        <v>164</v>
      </c>
      <c r="H6116" s="3" t="s">
        <v>42</v>
      </c>
      <c r="I6116" s="4" t="n">
        <v>4</v>
      </c>
      <c r="J6116" s="4" t="n">
        <f aca="false">LEN(E6116)-LEN(SUBSTITUTE(E6116,",",""))+1</f>
        <v>4</v>
      </c>
      <c r="K6116" s="3" t="str">
        <f aca="false">IFERROR(INDEX('Teacher Lookup'!$B$2:$B$200,MATCH(A6116,'Teacher Lookup'!$A$2:$A$200,0)),"")</f>
        <v>HUI Kelly</v>
      </c>
    </row>
    <row r="6117" customFormat="false" ht="15" hidden="false" customHeight="false" outlineLevel="0" collapsed="false">
      <c r="A6117" s="3" t="s">
        <v>459</v>
      </c>
      <c r="B6117" s="4" t="s">
        <v>44</v>
      </c>
      <c r="C6117" s="4" t="n">
        <v>6</v>
      </c>
      <c r="D6117" s="4" t="s">
        <v>73</v>
      </c>
      <c r="E6117" s="3" t="s">
        <v>372</v>
      </c>
      <c r="F6117" s="4" t="str">
        <f aca="false">IF(I6117&gt;J6117,"Y","N")</f>
        <v>N</v>
      </c>
      <c r="G6117" s="3" t="s">
        <v>164</v>
      </c>
      <c r="H6117" s="3" t="s">
        <v>42</v>
      </c>
      <c r="I6117" s="4" t="n">
        <v>4</v>
      </c>
      <c r="J6117" s="4" t="n">
        <f aca="false">LEN(E6117)-LEN(SUBSTITUTE(E6117,",",""))+1</f>
        <v>4</v>
      </c>
      <c r="K6117" s="3" t="str">
        <f aca="false">IFERROR(INDEX('Teacher Lookup'!$B$2:$B$200,MATCH(A6117,'Teacher Lookup'!$A$2:$A$200,0)),"")</f>
        <v>HUI Kelly</v>
      </c>
    </row>
    <row r="6118" customFormat="false" ht="15" hidden="false" customHeight="false" outlineLevel="0" collapsed="false">
      <c r="A6118" s="3" t="s">
        <v>459</v>
      </c>
      <c r="B6118" s="4" t="s">
        <v>44</v>
      </c>
      <c r="C6118" s="4" t="n">
        <v>6</v>
      </c>
      <c r="D6118" s="4" t="s">
        <v>74</v>
      </c>
      <c r="E6118" s="3" t="s">
        <v>372</v>
      </c>
      <c r="F6118" s="4" t="str">
        <f aca="false">IF(I6118&gt;J6118,"Y","N")</f>
        <v>N</v>
      </c>
      <c r="G6118" s="3" t="s">
        <v>164</v>
      </c>
      <c r="H6118" s="3" t="s">
        <v>42</v>
      </c>
      <c r="I6118" s="4" t="n">
        <v>4</v>
      </c>
      <c r="J6118" s="4" t="n">
        <f aca="false">LEN(E6118)-LEN(SUBSTITUTE(E6118,",",""))+1</f>
        <v>4</v>
      </c>
      <c r="K6118" s="3" t="str">
        <f aca="false">IFERROR(INDEX('Teacher Lookup'!$B$2:$B$200,MATCH(A6118,'Teacher Lookup'!$A$2:$A$200,0)),"")</f>
        <v>HUI Kelly</v>
      </c>
    </row>
    <row r="6119" customFormat="false" ht="15" hidden="false" customHeight="false" outlineLevel="0" collapsed="false">
      <c r="A6119" s="3" t="s">
        <v>459</v>
      </c>
      <c r="B6119" s="4" t="s">
        <v>44</v>
      </c>
      <c r="C6119" s="4" t="n">
        <v>7</v>
      </c>
      <c r="D6119" s="4" t="s">
        <v>137</v>
      </c>
      <c r="E6119" s="3" t="s">
        <v>146</v>
      </c>
      <c r="F6119" s="4" t="str">
        <f aca="false">IF(I6119&gt;J6119,"Y","N")</f>
        <v>N</v>
      </c>
      <c r="G6119" s="3" t="s">
        <v>164</v>
      </c>
      <c r="H6119" s="3" t="s">
        <v>39</v>
      </c>
      <c r="I6119" s="4" t="n">
        <v>4</v>
      </c>
      <c r="J6119" s="4" t="n">
        <f aca="false">LEN(E6119)-LEN(SUBSTITUTE(E6119,",",""))+1</f>
        <v>4</v>
      </c>
      <c r="K6119" s="3" t="str">
        <f aca="false">IFERROR(INDEX('Teacher Lookup'!$B$2:$B$200,MATCH(A6119,'Teacher Lookup'!$A$2:$A$200,0)),"")</f>
        <v>HUI Kelly</v>
      </c>
    </row>
    <row r="6120" customFormat="false" ht="15" hidden="false" customHeight="false" outlineLevel="0" collapsed="false">
      <c r="A6120" s="3" t="s">
        <v>459</v>
      </c>
      <c r="B6120" s="4" t="s">
        <v>44</v>
      </c>
      <c r="C6120" s="4" t="n">
        <v>7</v>
      </c>
      <c r="D6120" s="4" t="s">
        <v>124</v>
      </c>
      <c r="E6120" s="3" t="s">
        <v>146</v>
      </c>
      <c r="F6120" s="4" t="str">
        <f aca="false">IF(I6120&gt;J6120,"Y","N")</f>
        <v>N</v>
      </c>
      <c r="G6120" s="3" t="s">
        <v>164</v>
      </c>
      <c r="H6120" s="3" t="s">
        <v>39</v>
      </c>
      <c r="I6120" s="4" t="n">
        <v>4</v>
      </c>
      <c r="J6120" s="4" t="n">
        <f aca="false">LEN(E6120)-LEN(SUBSTITUTE(E6120,",",""))+1</f>
        <v>4</v>
      </c>
      <c r="K6120" s="3" t="str">
        <f aca="false">IFERROR(INDEX('Teacher Lookup'!$B$2:$B$200,MATCH(A6120,'Teacher Lookup'!$A$2:$A$200,0)),"")</f>
        <v>HUI Kelly</v>
      </c>
    </row>
    <row r="6121" customFormat="false" ht="15" hidden="false" customHeight="false" outlineLevel="0" collapsed="false">
      <c r="A6121" s="3" t="s">
        <v>459</v>
      </c>
      <c r="B6121" s="4" t="s">
        <v>44</v>
      </c>
      <c r="C6121" s="4" t="n">
        <v>7</v>
      </c>
      <c r="D6121" s="4" t="s">
        <v>139</v>
      </c>
      <c r="E6121" s="3" t="s">
        <v>146</v>
      </c>
      <c r="F6121" s="4" t="str">
        <f aca="false">IF(I6121&gt;J6121,"Y","N")</f>
        <v>N</v>
      </c>
      <c r="G6121" s="3" t="s">
        <v>164</v>
      </c>
      <c r="H6121" s="3" t="s">
        <v>39</v>
      </c>
      <c r="I6121" s="4" t="n">
        <v>4</v>
      </c>
      <c r="J6121" s="4" t="n">
        <f aca="false">LEN(E6121)-LEN(SUBSTITUTE(E6121,",",""))+1</f>
        <v>4</v>
      </c>
      <c r="K6121" s="3" t="str">
        <f aca="false">IFERROR(INDEX('Teacher Lookup'!$B$2:$B$200,MATCH(A6121,'Teacher Lookup'!$A$2:$A$200,0)),"")</f>
        <v>HUI Kelly</v>
      </c>
    </row>
    <row r="6122" customFormat="false" ht="15" hidden="false" customHeight="false" outlineLevel="0" collapsed="false">
      <c r="A6122" s="3" t="s">
        <v>459</v>
      </c>
      <c r="B6122" s="4" t="s">
        <v>47</v>
      </c>
      <c r="C6122" s="4" t="n">
        <v>1</v>
      </c>
      <c r="D6122" s="4" t="s">
        <v>70</v>
      </c>
      <c r="E6122" s="3" t="s">
        <v>371</v>
      </c>
      <c r="F6122" s="4" t="str">
        <f aca="false">IF(I6122&gt;J6122,"Y","N")</f>
        <v>N</v>
      </c>
      <c r="G6122" s="3" t="s">
        <v>164</v>
      </c>
      <c r="H6122" s="3" t="s">
        <v>16</v>
      </c>
      <c r="I6122" s="4" t="n">
        <v>4</v>
      </c>
      <c r="J6122" s="4" t="n">
        <f aca="false">LEN(E6122)-LEN(SUBSTITUTE(E6122,",",""))+1</f>
        <v>4</v>
      </c>
      <c r="K6122" s="3" t="str">
        <f aca="false">IFERROR(INDEX('Teacher Lookup'!$B$2:$B$200,MATCH(A6122,'Teacher Lookup'!$A$2:$A$200,0)),"")</f>
        <v>HUI Kelly</v>
      </c>
    </row>
    <row r="6123" customFormat="false" ht="15" hidden="false" customHeight="false" outlineLevel="0" collapsed="false">
      <c r="A6123" s="3" t="s">
        <v>459</v>
      </c>
      <c r="B6123" s="4" t="s">
        <v>47</v>
      </c>
      <c r="C6123" s="4" t="n">
        <v>1</v>
      </c>
      <c r="D6123" s="4" t="s">
        <v>73</v>
      </c>
      <c r="E6123" s="3" t="s">
        <v>371</v>
      </c>
      <c r="F6123" s="4" t="str">
        <f aca="false">IF(I6123&gt;J6123,"Y","N")</f>
        <v>N</v>
      </c>
      <c r="G6123" s="3" t="s">
        <v>164</v>
      </c>
      <c r="H6123" s="3" t="s">
        <v>16</v>
      </c>
      <c r="I6123" s="4" t="n">
        <v>4</v>
      </c>
      <c r="J6123" s="4" t="n">
        <f aca="false">LEN(E6123)-LEN(SUBSTITUTE(E6123,",",""))+1</f>
        <v>4</v>
      </c>
      <c r="K6123" s="3" t="str">
        <f aca="false">IFERROR(INDEX('Teacher Lookup'!$B$2:$B$200,MATCH(A6123,'Teacher Lookup'!$A$2:$A$200,0)),"")</f>
        <v>HUI Kelly</v>
      </c>
    </row>
    <row r="6124" customFormat="false" ht="15" hidden="false" customHeight="false" outlineLevel="0" collapsed="false">
      <c r="A6124" s="3" t="s">
        <v>459</v>
      </c>
      <c r="B6124" s="4" t="s">
        <v>47</v>
      </c>
      <c r="C6124" s="4" t="n">
        <v>1</v>
      </c>
      <c r="D6124" s="4" t="s">
        <v>74</v>
      </c>
      <c r="E6124" s="3" t="s">
        <v>371</v>
      </c>
      <c r="F6124" s="4" t="str">
        <f aca="false">IF(I6124&gt;J6124,"Y","N")</f>
        <v>N</v>
      </c>
      <c r="G6124" s="3" t="s">
        <v>164</v>
      </c>
      <c r="H6124" s="3" t="s">
        <v>16</v>
      </c>
      <c r="I6124" s="4" t="n">
        <v>4</v>
      </c>
      <c r="J6124" s="4" t="n">
        <f aca="false">LEN(E6124)-LEN(SUBSTITUTE(E6124,",",""))+1</f>
        <v>4</v>
      </c>
      <c r="K6124" s="3" t="str">
        <f aca="false">IFERROR(INDEX('Teacher Lookup'!$B$2:$B$200,MATCH(A6124,'Teacher Lookup'!$A$2:$A$200,0)),"")</f>
        <v>HUI Kelly</v>
      </c>
    </row>
    <row r="6125" customFormat="false" ht="15" hidden="false" customHeight="false" outlineLevel="0" collapsed="false">
      <c r="A6125" s="3" t="s">
        <v>459</v>
      </c>
      <c r="B6125" s="4" t="s">
        <v>47</v>
      </c>
      <c r="C6125" s="4" t="n">
        <v>5</v>
      </c>
      <c r="D6125" s="4" t="s">
        <v>137</v>
      </c>
      <c r="E6125" s="3" t="s">
        <v>188</v>
      </c>
      <c r="F6125" s="4" t="str">
        <f aca="false">IF(I6125&gt;J6125,"Y","N")</f>
        <v>N</v>
      </c>
      <c r="G6125" s="3" t="s">
        <v>164</v>
      </c>
      <c r="H6125" s="3" t="s">
        <v>37</v>
      </c>
      <c r="I6125" s="4" t="n">
        <v>4</v>
      </c>
      <c r="J6125" s="4" t="n">
        <f aca="false">LEN(E6125)-LEN(SUBSTITUTE(E6125,",",""))+1</f>
        <v>4</v>
      </c>
      <c r="K6125" s="3" t="str">
        <f aca="false">IFERROR(INDEX('Teacher Lookup'!$B$2:$B$200,MATCH(A6125,'Teacher Lookup'!$A$2:$A$200,0)),"")</f>
        <v>HUI Kelly</v>
      </c>
    </row>
    <row r="6126" customFormat="false" ht="15" hidden="false" customHeight="false" outlineLevel="0" collapsed="false">
      <c r="A6126" s="3" t="s">
        <v>459</v>
      </c>
      <c r="B6126" s="4" t="s">
        <v>47</v>
      </c>
      <c r="C6126" s="4" t="n">
        <v>5</v>
      </c>
      <c r="D6126" s="4" t="s">
        <v>124</v>
      </c>
      <c r="E6126" s="3" t="s">
        <v>188</v>
      </c>
      <c r="F6126" s="4" t="str">
        <f aca="false">IF(I6126&gt;J6126,"Y","N")</f>
        <v>N</v>
      </c>
      <c r="G6126" s="3" t="s">
        <v>164</v>
      </c>
      <c r="H6126" s="3" t="s">
        <v>37</v>
      </c>
      <c r="I6126" s="4" t="n">
        <v>4</v>
      </c>
      <c r="J6126" s="4" t="n">
        <f aca="false">LEN(E6126)-LEN(SUBSTITUTE(E6126,",",""))+1</f>
        <v>4</v>
      </c>
      <c r="K6126" s="3" t="str">
        <f aca="false">IFERROR(INDEX('Teacher Lookup'!$B$2:$B$200,MATCH(A6126,'Teacher Lookup'!$A$2:$A$200,0)),"")</f>
        <v>HUI Kelly</v>
      </c>
    </row>
    <row r="6127" customFormat="false" ht="15" hidden="false" customHeight="false" outlineLevel="0" collapsed="false">
      <c r="A6127" s="3" t="s">
        <v>459</v>
      </c>
      <c r="B6127" s="4" t="s">
        <v>47</v>
      </c>
      <c r="C6127" s="4" t="n">
        <v>5</v>
      </c>
      <c r="D6127" s="4" t="s">
        <v>139</v>
      </c>
      <c r="E6127" s="3" t="s">
        <v>188</v>
      </c>
      <c r="F6127" s="4" t="str">
        <f aca="false">IF(I6127&gt;J6127,"Y","N")</f>
        <v>N</v>
      </c>
      <c r="G6127" s="3" t="s">
        <v>164</v>
      </c>
      <c r="H6127" s="3" t="s">
        <v>37</v>
      </c>
      <c r="I6127" s="4" t="n">
        <v>4</v>
      </c>
      <c r="J6127" s="4" t="n">
        <f aca="false">LEN(E6127)-LEN(SUBSTITUTE(E6127,",",""))+1</f>
        <v>4</v>
      </c>
      <c r="K6127" s="3" t="str">
        <f aca="false">IFERROR(INDEX('Teacher Lookup'!$B$2:$B$200,MATCH(A6127,'Teacher Lookup'!$A$2:$A$200,0)),"")</f>
        <v>HUI Kelly</v>
      </c>
    </row>
    <row r="6128" customFormat="false" ht="15" hidden="false" customHeight="false" outlineLevel="0" collapsed="false">
      <c r="A6128" s="3" t="s">
        <v>459</v>
      </c>
      <c r="B6128" s="4" t="s">
        <v>47</v>
      </c>
      <c r="C6128" s="4" t="n">
        <v>6</v>
      </c>
      <c r="D6128" s="4" t="s">
        <v>140</v>
      </c>
      <c r="E6128" s="3" t="s">
        <v>157</v>
      </c>
      <c r="F6128" s="4" t="str">
        <f aca="false">IF(I6128&gt;J6128,"Y","N")</f>
        <v>N</v>
      </c>
      <c r="G6128" s="3" t="s">
        <v>164</v>
      </c>
      <c r="H6128" s="3" t="s">
        <v>42</v>
      </c>
      <c r="I6128" s="4" t="n">
        <v>4</v>
      </c>
      <c r="J6128" s="4" t="n">
        <f aca="false">LEN(E6128)-LEN(SUBSTITUTE(E6128,",",""))+1</f>
        <v>4</v>
      </c>
      <c r="K6128" s="3" t="str">
        <f aca="false">IFERROR(INDEX('Teacher Lookup'!$B$2:$B$200,MATCH(A6128,'Teacher Lookup'!$A$2:$A$200,0)),"")</f>
        <v>HUI Kelly</v>
      </c>
    </row>
    <row r="6129" customFormat="false" ht="15" hidden="false" customHeight="false" outlineLevel="0" collapsed="false">
      <c r="A6129" s="3" t="s">
        <v>459</v>
      </c>
      <c r="B6129" s="4" t="s">
        <v>47</v>
      </c>
      <c r="C6129" s="4" t="n">
        <v>6</v>
      </c>
      <c r="D6129" s="4" t="s">
        <v>142</v>
      </c>
      <c r="E6129" s="3" t="s">
        <v>157</v>
      </c>
      <c r="F6129" s="4" t="str">
        <f aca="false">IF(I6129&gt;J6129,"Y","N")</f>
        <v>N</v>
      </c>
      <c r="G6129" s="3" t="s">
        <v>164</v>
      </c>
      <c r="H6129" s="3" t="s">
        <v>42</v>
      </c>
      <c r="I6129" s="4" t="n">
        <v>4</v>
      </c>
      <c r="J6129" s="4" t="n">
        <f aca="false">LEN(E6129)-LEN(SUBSTITUTE(E6129,",",""))+1</f>
        <v>4</v>
      </c>
      <c r="K6129" s="3" t="str">
        <f aca="false">IFERROR(INDEX('Teacher Lookup'!$B$2:$B$200,MATCH(A6129,'Teacher Lookup'!$A$2:$A$200,0)),"")</f>
        <v>HUI Kelly</v>
      </c>
    </row>
    <row r="6130" customFormat="false" ht="15" hidden="false" customHeight="false" outlineLevel="0" collapsed="false">
      <c r="A6130" s="3" t="s">
        <v>459</v>
      </c>
      <c r="B6130" s="4" t="s">
        <v>47</v>
      </c>
      <c r="C6130" s="4" t="n">
        <v>6</v>
      </c>
      <c r="D6130" s="4" t="s">
        <v>127</v>
      </c>
      <c r="E6130" s="3" t="s">
        <v>157</v>
      </c>
      <c r="F6130" s="4" t="str">
        <f aca="false">IF(I6130&gt;J6130,"Y","N")</f>
        <v>N</v>
      </c>
      <c r="G6130" s="3" t="s">
        <v>164</v>
      </c>
      <c r="H6130" s="3" t="s">
        <v>42</v>
      </c>
      <c r="I6130" s="4" t="n">
        <v>4</v>
      </c>
      <c r="J6130" s="4" t="n">
        <f aca="false">LEN(E6130)-LEN(SUBSTITUTE(E6130,",",""))+1</f>
        <v>4</v>
      </c>
      <c r="K6130" s="3" t="str">
        <f aca="false">IFERROR(INDEX('Teacher Lookup'!$B$2:$B$200,MATCH(A6130,'Teacher Lookup'!$A$2:$A$200,0)),"")</f>
        <v>HUI Kelly</v>
      </c>
    </row>
    <row r="6131" customFormat="false" ht="15" hidden="false" customHeight="false" outlineLevel="0" collapsed="false">
      <c r="A6131" s="3" t="s">
        <v>459</v>
      </c>
      <c r="B6131" s="4" t="s">
        <v>47</v>
      </c>
      <c r="C6131" s="4" t="n">
        <v>7</v>
      </c>
      <c r="D6131" s="4" t="s">
        <v>140</v>
      </c>
      <c r="E6131" s="3" t="s">
        <v>157</v>
      </c>
      <c r="F6131" s="4" t="str">
        <f aca="false">IF(I6131&gt;J6131,"Y","N")</f>
        <v>N</v>
      </c>
      <c r="G6131" s="3" t="s">
        <v>164</v>
      </c>
      <c r="H6131" s="3" t="s">
        <v>39</v>
      </c>
      <c r="I6131" s="4" t="n">
        <v>4</v>
      </c>
      <c r="J6131" s="4" t="n">
        <f aca="false">LEN(E6131)-LEN(SUBSTITUTE(E6131,",",""))+1</f>
        <v>4</v>
      </c>
      <c r="K6131" s="3" t="str">
        <f aca="false">IFERROR(INDEX('Teacher Lookup'!$B$2:$B$200,MATCH(A6131,'Teacher Lookup'!$A$2:$A$200,0)),"")</f>
        <v>HUI Kelly</v>
      </c>
    </row>
    <row r="6132" customFormat="false" ht="15" hidden="false" customHeight="false" outlineLevel="0" collapsed="false">
      <c r="A6132" s="3" t="s">
        <v>459</v>
      </c>
      <c r="B6132" s="4" t="s">
        <v>47</v>
      </c>
      <c r="C6132" s="4" t="n">
        <v>7</v>
      </c>
      <c r="D6132" s="4" t="s">
        <v>142</v>
      </c>
      <c r="E6132" s="3" t="s">
        <v>157</v>
      </c>
      <c r="F6132" s="4" t="str">
        <f aca="false">IF(I6132&gt;J6132,"Y","N")</f>
        <v>N</v>
      </c>
      <c r="G6132" s="3" t="s">
        <v>164</v>
      </c>
      <c r="H6132" s="3" t="s">
        <v>39</v>
      </c>
      <c r="I6132" s="4" t="n">
        <v>4</v>
      </c>
      <c r="J6132" s="4" t="n">
        <f aca="false">LEN(E6132)-LEN(SUBSTITUTE(E6132,",",""))+1</f>
        <v>4</v>
      </c>
      <c r="K6132" s="3" t="str">
        <f aca="false">IFERROR(INDEX('Teacher Lookup'!$B$2:$B$200,MATCH(A6132,'Teacher Lookup'!$A$2:$A$200,0)),"")</f>
        <v>HUI Kelly</v>
      </c>
    </row>
    <row r="6133" customFormat="false" ht="15" hidden="false" customHeight="false" outlineLevel="0" collapsed="false">
      <c r="A6133" s="3" t="s">
        <v>459</v>
      </c>
      <c r="B6133" s="4" t="s">
        <v>47</v>
      </c>
      <c r="C6133" s="4" t="n">
        <v>7</v>
      </c>
      <c r="D6133" s="4" t="s">
        <v>127</v>
      </c>
      <c r="E6133" s="3" t="s">
        <v>157</v>
      </c>
      <c r="F6133" s="4" t="str">
        <f aca="false">IF(I6133&gt;J6133,"Y","N")</f>
        <v>N</v>
      </c>
      <c r="G6133" s="3" t="s">
        <v>164</v>
      </c>
      <c r="H6133" s="3" t="s">
        <v>39</v>
      </c>
      <c r="I6133" s="4" t="n">
        <v>4</v>
      </c>
      <c r="J6133" s="4" t="n">
        <f aca="false">LEN(E6133)-LEN(SUBSTITUTE(E6133,",",""))+1</f>
        <v>4</v>
      </c>
      <c r="K6133" s="3" t="str">
        <f aca="false">IFERROR(INDEX('Teacher Lookup'!$B$2:$B$200,MATCH(A6133,'Teacher Lookup'!$A$2:$A$200,0)),"")</f>
        <v>HUI Kelly</v>
      </c>
    </row>
    <row r="6134" customFormat="false" ht="15" hidden="false" customHeight="false" outlineLevel="0" collapsed="false">
      <c r="A6134" s="3" t="s">
        <v>459</v>
      </c>
      <c r="B6134" s="4" t="s">
        <v>50</v>
      </c>
      <c r="C6134" s="4" t="n">
        <v>1</v>
      </c>
      <c r="D6134" s="4" t="s">
        <v>70</v>
      </c>
      <c r="E6134" s="3" t="s">
        <v>373</v>
      </c>
      <c r="F6134" s="4" t="str">
        <f aca="false">IF(I6134&gt;J6134,"Y","N")</f>
        <v>N</v>
      </c>
      <c r="G6134" s="3" t="s">
        <v>164</v>
      </c>
      <c r="H6134" s="3" t="s">
        <v>16</v>
      </c>
      <c r="I6134" s="4" t="n">
        <v>4</v>
      </c>
      <c r="J6134" s="4" t="n">
        <f aca="false">LEN(E6134)-LEN(SUBSTITUTE(E6134,",",""))+1</f>
        <v>4</v>
      </c>
      <c r="K6134" s="3" t="str">
        <f aca="false">IFERROR(INDEX('Teacher Lookup'!$B$2:$B$200,MATCH(A6134,'Teacher Lookup'!$A$2:$A$200,0)),"")</f>
        <v>HUI Kelly</v>
      </c>
    </row>
    <row r="6135" customFormat="false" ht="15" hidden="false" customHeight="false" outlineLevel="0" collapsed="false">
      <c r="A6135" s="3" t="s">
        <v>459</v>
      </c>
      <c r="B6135" s="4" t="s">
        <v>50</v>
      </c>
      <c r="C6135" s="4" t="n">
        <v>1</v>
      </c>
      <c r="D6135" s="4" t="s">
        <v>73</v>
      </c>
      <c r="E6135" s="3" t="s">
        <v>373</v>
      </c>
      <c r="F6135" s="4" t="str">
        <f aca="false">IF(I6135&gt;J6135,"Y","N")</f>
        <v>N</v>
      </c>
      <c r="G6135" s="3" t="s">
        <v>164</v>
      </c>
      <c r="H6135" s="3" t="s">
        <v>16</v>
      </c>
      <c r="I6135" s="4" t="n">
        <v>4</v>
      </c>
      <c r="J6135" s="4" t="n">
        <f aca="false">LEN(E6135)-LEN(SUBSTITUTE(E6135,",",""))+1</f>
        <v>4</v>
      </c>
      <c r="K6135" s="3" t="str">
        <f aca="false">IFERROR(INDEX('Teacher Lookup'!$B$2:$B$200,MATCH(A6135,'Teacher Lookup'!$A$2:$A$200,0)),"")</f>
        <v>HUI Kelly</v>
      </c>
    </row>
    <row r="6136" customFormat="false" ht="15" hidden="false" customHeight="false" outlineLevel="0" collapsed="false">
      <c r="A6136" s="3" t="s">
        <v>459</v>
      </c>
      <c r="B6136" s="4" t="s">
        <v>50</v>
      </c>
      <c r="C6136" s="4" t="n">
        <v>1</v>
      </c>
      <c r="D6136" s="4" t="s">
        <v>74</v>
      </c>
      <c r="E6136" s="3" t="s">
        <v>373</v>
      </c>
      <c r="F6136" s="4" t="str">
        <f aca="false">IF(I6136&gt;J6136,"Y","N")</f>
        <v>N</v>
      </c>
      <c r="G6136" s="3" t="s">
        <v>164</v>
      </c>
      <c r="H6136" s="3" t="s">
        <v>16</v>
      </c>
      <c r="I6136" s="4" t="n">
        <v>4</v>
      </c>
      <c r="J6136" s="4" t="n">
        <f aca="false">LEN(E6136)-LEN(SUBSTITUTE(E6136,",",""))+1</f>
        <v>4</v>
      </c>
      <c r="K6136" s="3" t="str">
        <f aca="false">IFERROR(INDEX('Teacher Lookup'!$B$2:$B$200,MATCH(A6136,'Teacher Lookup'!$A$2:$A$200,0)),"")</f>
        <v>HUI Kelly</v>
      </c>
    </row>
    <row r="6137" customFormat="false" ht="15" hidden="false" customHeight="false" outlineLevel="0" collapsed="false">
      <c r="A6137" s="3" t="s">
        <v>459</v>
      </c>
      <c r="B6137" s="4" t="s">
        <v>50</v>
      </c>
      <c r="C6137" s="4" t="n">
        <v>4</v>
      </c>
      <c r="D6137" s="4" t="s">
        <v>137</v>
      </c>
      <c r="E6137" s="3" t="s">
        <v>221</v>
      </c>
      <c r="F6137" s="4" t="str">
        <f aca="false">IF(I6137&gt;J6137,"Y","N")</f>
        <v>Y</v>
      </c>
      <c r="G6137" s="3" t="s">
        <v>222</v>
      </c>
      <c r="H6137" s="3" t="s">
        <v>34</v>
      </c>
      <c r="I6137" s="4" t="n">
        <v>15</v>
      </c>
      <c r="J6137" s="4" t="n">
        <f aca="false">LEN(E6137)-LEN(SUBSTITUTE(E6137,",",""))+1</f>
        <v>7</v>
      </c>
      <c r="K6137" s="3" t="str">
        <f aca="false">IFERROR(INDEX('Teacher Lookup'!$B$2:$B$200,MATCH(A6137,'Teacher Lookup'!$A$2:$A$200,0)),"")</f>
        <v>HUI Kelly</v>
      </c>
    </row>
    <row r="6138" customFormat="false" ht="15" hidden="false" customHeight="false" outlineLevel="0" collapsed="false">
      <c r="A6138" s="3" t="s">
        <v>459</v>
      </c>
      <c r="B6138" s="4" t="s">
        <v>50</v>
      </c>
      <c r="C6138" s="4" t="n">
        <v>4</v>
      </c>
      <c r="D6138" s="4" t="s">
        <v>124</v>
      </c>
      <c r="E6138" s="3" t="s">
        <v>221</v>
      </c>
      <c r="F6138" s="4" t="str">
        <f aca="false">IF(I6138&gt;J6138,"Y","N")</f>
        <v>Y</v>
      </c>
      <c r="G6138" s="3" t="s">
        <v>222</v>
      </c>
      <c r="H6138" s="3" t="s">
        <v>34</v>
      </c>
      <c r="I6138" s="4" t="n">
        <v>15</v>
      </c>
      <c r="J6138" s="4" t="n">
        <f aca="false">LEN(E6138)-LEN(SUBSTITUTE(E6138,",",""))+1</f>
        <v>7</v>
      </c>
      <c r="K6138" s="3" t="str">
        <f aca="false">IFERROR(INDEX('Teacher Lookup'!$B$2:$B$200,MATCH(A6138,'Teacher Lookup'!$A$2:$A$200,0)),"")</f>
        <v>HUI Kelly</v>
      </c>
    </row>
    <row r="6139" customFormat="false" ht="15" hidden="false" customHeight="false" outlineLevel="0" collapsed="false">
      <c r="A6139" s="3" t="s">
        <v>459</v>
      </c>
      <c r="B6139" s="4" t="s">
        <v>50</v>
      </c>
      <c r="C6139" s="4" t="n">
        <v>4</v>
      </c>
      <c r="D6139" s="4" t="s">
        <v>139</v>
      </c>
      <c r="E6139" s="3" t="s">
        <v>221</v>
      </c>
      <c r="F6139" s="4" t="str">
        <f aca="false">IF(I6139&gt;J6139,"Y","N")</f>
        <v>Y</v>
      </c>
      <c r="G6139" s="3" t="s">
        <v>222</v>
      </c>
      <c r="H6139" s="3" t="s">
        <v>34</v>
      </c>
      <c r="I6139" s="4" t="n">
        <v>15</v>
      </c>
      <c r="J6139" s="4" t="n">
        <f aca="false">LEN(E6139)-LEN(SUBSTITUTE(E6139,",",""))+1</f>
        <v>7</v>
      </c>
      <c r="K6139" s="3" t="str">
        <f aca="false">IFERROR(INDEX('Teacher Lookup'!$B$2:$B$200,MATCH(A6139,'Teacher Lookup'!$A$2:$A$200,0)),"")</f>
        <v>HUI Kelly</v>
      </c>
    </row>
    <row r="6140" customFormat="false" ht="15" hidden="false" customHeight="false" outlineLevel="0" collapsed="false">
      <c r="A6140" s="3" t="s">
        <v>459</v>
      </c>
      <c r="B6140" s="4" t="s">
        <v>50</v>
      </c>
      <c r="C6140" s="4" t="n">
        <v>4</v>
      </c>
      <c r="D6140" s="4" t="s">
        <v>140</v>
      </c>
      <c r="E6140" s="3" t="s">
        <v>221</v>
      </c>
      <c r="F6140" s="4" t="str">
        <f aca="false">IF(I6140&gt;J6140,"Y","N")</f>
        <v>Y</v>
      </c>
      <c r="G6140" s="3" t="s">
        <v>222</v>
      </c>
      <c r="H6140" s="3" t="s">
        <v>34</v>
      </c>
      <c r="I6140" s="4" t="n">
        <v>15</v>
      </c>
      <c r="J6140" s="4" t="n">
        <f aca="false">LEN(E6140)-LEN(SUBSTITUTE(E6140,",",""))+1</f>
        <v>7</v>
      </c>
      <c r="K6140" s="3" t="str">
        <f aca="false">IFERROR(INDEX('Teacher Lookup'!$B$2:$B$200,MATCH(A6140,'Teacher Lookup'!$A$2:$A$200,0)),"")</f>
        <v>HUI Kelly</v>
      </c>
    </row>
    <row r="6141" customFormat="false" ht="15" hidden="false" customHeight="false" outlineLevel="0" collapsed="false">
      <c r="A6141" s="3" t="s">
        <v>459</v>
      </c>
      <c r="B6141" s="4" t="s">
        <v>50</v>
      </c>
      <c r="C6141" s="4" t="n">
        <v>4</v>
      </c>
      <c r="D6141" s="4" t="s">
        <v>142</v>
      </c>
      <c r="E6141" s="3" t="s">
        <v>221</v>
      </c>
      <c r="F6141" s="4" t="str">
        <f aca="false">IF(I6141&gt;J6141,"Y","N")</f>
        <v>Y</v>
      </c>
      <c r="G6141" s="3" t="s">
        <v>222</v>
      </c>
      <c r="H6141" s="3" t="s">
        <v>34</v>
      </c>
      <c r="I6141" s="4" t="n">
        <v>15</v>
      </c>
      <c r="J6141" s="4" t="n">
        <f aca="false">LEN(E6141)-LEN(SUBSTITUTE(E6141,",",""))+1</f>
        <v>7</v>
      </c>
      <c r="K6141" s="3" t="str">
        <f aca="false">IFERROR(INDEX('Teacher Lookup'!$B$2:$B$200,MATCH(A6141,'Teacher Lookup'!$A$2:$A$200,0)),"")</f>
        <v>HUI Kelly</v>
      </c>
    </row>
    <row r="6142" customFormat="false" ht="15" hidden="false" customHeight="false" outlineLevel="0" collapsed="false">
      <c r="A6142" s="3" t="s">
        <v>459</v>
      </c>
      <c r="B6142" s="4" t="s">
        <v>50</v>
      </c>
      <c r="C6142" s="4" t="n">
        <v>4</v>
      </c>
      <c r="D6142" s="4" t="s">
        <v>127</v>
      </c>
      <c r="E6142" s="3" t="s">
        <v>221</v>
      </c>
      <c r="F6142" s="4" t="str">
        <f aca="false">IF(I6142&gt;J6142,"Y","N")</f>
        <v>Y</v>
      </c>
      <c r="G6142" s="3" t="s">
        <v>222</v>
      </c>
      <c r="H6142" s="3" t="s">
        <v>34</v>
      </c>
      <c r="I6142" s="4" t="n">
        <v>15</v>
      </c>
      <c r="J6142" s="4" t="n">
        <f aca="false">LEN(E6142)-LEN(SUBSTITUTE(E6142,",",""))+1</f>
        <v>7</v>
      </c>
      <c r="K6142" s="3" t="str">
        <f aca="false">IFERROR(INDEX('Teacher Lookup'!$B$2:$B$200,MATCH(A6142,'Teacher Lookup'!$A$2:$A$200,0)),"")</f>
        <v>HUI Kelly</v>
      </c>
    </row>
    <row r="6143" customFormat="false" ht="15" hidden="false" customHeight="false" outlineLevel="0" collapsed="false">
      <c r="A6143" s="3" t="s">
        <v>459</v>
      </c>
      <c r="B6143" s="4" t="s">
        <v>50</v>
      </c>
      <c r="C6143" s="4" t="n">
        <v>5</v>
      </c>
      <c r="D6143" s="4" t="s">
        <v>137</v>
      </c>
      <c r="E6143" s="3" t="s">
        <v>221</v>
      </c>
      <c r="F6143" s="4" t="str">
        <f aca="false">IF(I6143&gt;J6143,"Y","N")</f>
        <v>Y</v>
      </c>
      <c r="G6143" s="3" t="s">
        <v>222</v>
      </c>
      <c r="H6143" s="3" t="s">
        <v>37</v>
      </c>
      <c r="I6143" s="4" t="n">
        <v>15</v>
      </c>
      <c r="J6143" s="4" t="n">
        <f aca="false">LEN(E6143)-LEN(SUBSTITUTE(E6143,",",""))+1</f>
        <v>7</v>
      </c>
      <c r="K6143" s="3" t="str">
        <f aca="false">IFERROR(INDEX('Teacher Lookup'!$B$2:$B$200,MATCH(A6143,'Teacher Lookup'!$A$2:$A$200,0)),"")</f>
        <v>HUI Kelly</v>
      </c>
    </row>
    <row r="6144" customFormat="false" ht="15" hidden="false" customHeight="false" outlineLevel="0" collapsed="false">
      <c r="A6144" s="3" t="s">
        <v>459</v>
      </c>
      <c r="B6144" s="4" t="s">
        <v>50</v>
      </c>
      <c r="C6144" s="4" t="n">
        <v>5</v>
      </c>
      <c r="D6144" s="4" t="s">
        <v>124</v>
      </c>
      <c r="E6144" s="3" t="s">
        <v>221</v>
      </c>
      <c r="F6144" s="4" t="str">
        <f aca="false">IF(I6144&gt;J6144,"Y","N")</f>
        <v>Y</v>
      </c>
      <c r="G6144" s="3" t="s">
        <v>222</v>
      </c>
      <c r="H6144" s="3" t="s">
        <v>37</v>
      </c>
      <c r="I6144" s="4" t="n">
        <v>15</v>
      </c>
      <c r="J6144" s="4" t="n">
        <f aca="false">LEN(E6144)-LEN(SUBSTITUTE(E6144,",",""))+1</f>
        <v>7</v>
      </c>
      <c r="K6144" s="3" t="str">
        <f aca="false">IFERROR(INDEX('Teacher Lookup'!$B$2:$B$200,MATCH(A6144,'Teacher Lookup'!$A$2:$A$200,0)),"")</f>
        <v>HUI Kelly</v>
      </c>
    </row>
    <row r="6145" customFormat="false" ht="15" hidden="false" customHeight="false" outlineLevel="0" collapsed="false">
      <c r="A6145" s="3" t="s">
        <v>459</v>
      </c>
      <c r="B6145" s="4" t="s">
        <v>50</v>
      </c>
      <c r="C6145" s="4" t="n">
        <v>5</v>
      </c>
      <c r="D6145" s="4" t="s">
        <v>139</v>
      </c>
      <c r="E6145" s="3" t="s">
        <v>221</v>
      </c>
      <c r="F6145" s="4" t="str">
        <f aca="false">IF(I6145&gt;J6145,"Y","N")</f>
        <v>Y</v>
      </c>
      <c r="G6145" s="3" t="s">
        <v>222</v>
      </c>
      <c r="H6145" s="3" t="s">
        <v>37</v>
      </c>
      <c r="I6145" s="4" t="n">
        <v>15</v>
      </c>
      <c r="J6145" s="4" t="n">
        <f aca="false">LEN(E6145)-LEN(SUBSTITUTE(E6145,",",""))+1</f>
        <v>7</v>
      </c>
      <c r="K6145" s="3" t="str">
        <f aca="false">IFERROR(INDEX('Teacher Lookup'!$B$2:$B$200,MATCH(A6145,'Teacher Lookup'!$A$2:$A$200,0)),"")</f>
        <v>HUI Kelly</v>
      </c>
    </row>
    <row r="6146" customFormat="false" ht="15" hidden="false" customHeight="false" outlineLevel="0" collapsed="false">
      <c r="A6146" s="3" t="s">
        <v>459</v>
      </c>
      <c r="B6146" s="4" t="s">
        <v>50</v>
      </c>
      <c r="C6146" s="4" t="n">
        <v>5</v>
      </c>
      <c r="D6146" s="4" t="s">
        <v>140</v>
      </c>
      <c r="E6146" s="3" t="s">
        <v>221</v>
      </c>
      <c r="F6146" s="4" t="str">
        <f aca="false">IF(I6146&gt;J6146,"Y","N")</f>
        <v>Y</v>
      </c>
      <c r="G6146" s="3" t="s">
        <v>222</v>
      </c>
      <c r="H6146" s="3" t="s">
        <v>37</v>
      </c>
      <c r="I6146" s="4" t="n">
        <v>15</v>
      </c>
      <c r="J6146" s="4" t="n">
        <f aca="false">LEN(E6146)-LEN(SUBSTITUTE(E6146,",",""))+1</f>
        <v>7</v>
      </c>
      <c r="K6146" s="3" t="str">
        <f aca="false">IFERROR(INDEX('Teacher Lookup'!$B$2:$B$200,MATCH(A6146,'Teacher Lookup'!$A$2:$A$200,0)),"")</f>
        <v>HUI Kelly</v>
      </c>
    </row>
    <row r="6147" customFormat="false" ht="15" hidden="false" customHeight="false" outlineLevel="0" collapsed="false">
      <c r="A6147" s="3" t="s">
        <v>459</v>
      </c>
      <c r="B6147" s="4" t="s">
        <v>50</v>
      </c>
      <c r="C6147" s="4" t="n">
        <v>5</v>
      </c>
      <c r="D6147" s="4" t="s">
        <v>142</v>
      </c>
      <c r="E6147" s="3" t="s">
        <v>221</v>
      </c>
      <c r="F6147" s="4" t="str">
        <f aca="false">IF(I6147&gt;J6147,"Y","N")</f>
        <v>Y</v>
      </c>
      <c r="G6147" s="3" t="s">
        <v>222</v>
      </c>
      <c r="H6147" s="3" t="s">
        <v>37</v>
      </c>
      <c r="I6147" s="4" t="n">
        <v>15</v>
      </c>
      <c r="J6147" s="4" t="n">
        <f aca="false">LEN(E6147)-LEN(SUBSTITUTE(E6147,",",""))+1</f>
        <v>7</v>
      </c>
      <c r="K6147" s="3" t="str">
        <f aca="false">IFERROR(INDEX('Teacher Lookup'!$B$2:$B$200,MATCH(A6147,'Teacher Lookup'!$A$2:$A$200,0)),"")</f>
        <v>HUI Kelly</v>
      </c>
    </row>
    <row r="6148" customFormat="false" ht="15" hidden="false" customHeight="false" outlineLevel="0" collapsed="false">
      <c r="A6148" s="3" t="s">
        <v>459</v>
      </c>
      <c r="B6148" s="4" t="s">
        <v>50</v>
      </c>
      <c r="C6148" s="4" t="n">
        <v>5</v>
      </c>
      <c r="D6148" s="4" t="s">
        <v>127</v>
      </c>
      <c r="E6148" s="3" t="s">
        <v>221</v>
      </c>
      <c r="F6148" s="4" t="str">
        <f aca="false">IF(I6148&gt;J6148,"Y","N")</f>
        <v>Y</v>
      </c>
      <c r="G6148" s="3" t="s">
        <v>222</v>
      </c>
      <c r="H6148" s="3" t="s">
        <v>37</v>
      </c>
      <c r="I6148" s="4" t="n">
        <v>15</v>
      </c>
      <c r="J6148" s="4" t="n">
        <f aca="false">LEN(E6148)-LEN(SUBSTITUTE(E6148,",",""))+1</f>
        <v>7</v>
      </c>
      <c r="K6148" s="3" t="str">
        <f aca="false">IFERROR(INDEX('Teacher Lookup'!$B$2:$B$200,MATCH(A6148,'Teacher Lookup'!$A$2:$A$200,0)),"")</f>
        <v>HUI Kelly</v>
      </c>
    </row>
    <row r="6149" customFormat="false" ht="15" hidden="false" customHeight="false" outlineLevel="0" collapsed="false">
      <c r="A6149" s="3" t="s">
        <v>459</v>
      </c>
      <c r="B6149" s="4" t="s">
        <v>50</v>
      </c>
      <c r="C6149" s="4" t="n">
        <v>6</v>
      </c>
      <c r="D6149" s="4" t="s">
        <v>137</v>
      </c>
      <c r="E6149" s="3" t="s">
        <v>146</v>
      </c>
      <c r="F6149" s="4" t="str">
        <f aca="false">IF(I6149&gt;J6149,"Y","N")</f>
        <v>N</v>
      </c>
      <c r="G6149" s="3" t="s">
        <v>164</v>
      </c>
      <c r="H6149" s="3" t="s">
        <v>42</v>
      </c>
      <c r="I6149" s="4" t="n">
        <v>4</v>
      </c>
      <c r="J6149" s="4" t="n">
        <f aca="false">LEN(E6149)-LEN(SUBSTITUTE(E6149,",",""))+1</f>
        <v>4</v>
      </c>
      <c r="K6149" s="3" t="str">
        <f aca="false">IFERROR(INDEX('Teacher Lookup'!$B$2:$B$200,MATCH(A6149,'Teacher Lookup'!$A$2:$A$200,0)),"")</f>
        <v>HUI Kelly</v>
      </c>
    </row>
    <row r="6150" customFormat="false" ht="15" hidden="false" customHeight="false" outlineLevel="0" collapsed="false">
      <c r="A6150" s="3" t="s">
        <v>459</v>
      </c>
      <c r="B6150" s="4" t="s">
        <v>50</v>
      </c>
      <c r="C6150" s="4" t="n">
        <v>6</v>
      </c>
      <c r="D6150" s="4" t="s">
        <v>124</v>
      </c>
      <c r="E6150" s="3" t="s">
        <v>146</v>
      </c>
      <c r="F6150" s="4" t="str">
        <f aca="false">IF(I6150&gt;J6150,"Y","N")</f>
        <v>N</v>
      </c>
      <c r="G6150" s="3" t="s">
        <v>164</v>
      </c>
      <c r="H6150" s="3" t="s">
        <v>42</v>
      </c>
      <c r="I6150" s="4" t="n">
        <v>4</v>
      </c>
      <c r="J6150" s="4" t="n">
        <f aca="false">LEN(E6150)-LEN(SUBSTITUTE(E6150,",",""))+1</f>
        <v>4</v>
      </c>
      <c r="K6150" s="3" t="str">
        <f aca="false">IFERROR(INDEX('Teacher Lookup'!$B$2:$B$200,MATCH(A6150,'Teacher Lookup'!$A$2:$A$200,0)),"")</f>
        <v>HUI Kelly</v>
      </c>
    </row>
    <row r="6151" customFormat="false" ht="15" hidden="false" customHeight="false" outlineLevel="0" collapsed="false">
      <c r="A6151" s="3" t="s">
        <v>459</v>
      </c>
      <c r="B6151" s="4" t="s">
        <v>50</v>
      </c>
      <c r="C6151" s="4" t="n">
        <v>6</v>
      </c>
      <c r="D6151" s="4" t="s">
        <v>139</v>
      </c>
      <c r="E6151" s="3" t="s">
        <v>146</v>
      </c>
      <c r="F6151" s="4" t="str">
        <f aca="false">IF(I6151&gt;J6151,"Y","N")</f>
        <v>N</v>
      </c>
      <c r="G6151" s="3" t="s">
        <v>164</v>
      </c>
      <c r="H6151" s="3" t="s">
        <v>42</v>
      </c>
      <c r="I6151" s="4" t="n">
        <v>4</v>
      </c>
      <c r="J6151" s="4" t="n">
        <f aca="false">LEN(E6151)-LEN(SUBSTITUTE(E6151,",",""))+1</f>
        <v>4</v>
      </c>
      <c r="K6151" s="3" t="str">
        <f aca="false">IFERROR(INDEX('Teacher Lookup'!$B$2:$B$200,MATCH(A6151,'Teacher Lookup'!$A$2:$A$200,0)),"")</f>
        <v>HUI Kelly</v>
      </c>
    </row>
    <row r="6152" customFormat="false" ht="15" hidden="false" customHeight="false" outlineLevel="0" collapsed="false">
      <c r="A6152" s="3" t="s">
        <v>459</v>
      </c>
      <c r="B6152" s="4" t="s">
        <v>50</v>
      </c>
      <c r="C6152" s="4" t="n">
        <v>7</v>
      </c>
      <c r="D6152" s="4" t="s">
        <v>140</v>
      </c>
      <c r="E6152" s="3" t="s">
        <v>144</v>
      </c>
      <c r="F6152" s="4" t="str">
        <f aca="false">IF(I6152&gt;J6152,"Y","N")</f>
        <v>N</v>
      </c>
      <c r="G6152" s="3" t="s">
        <v>164</v>
      </c>
      <c r="H6152" s="3" t="s">
        <v>39</v>
      </c>
      <c r="I6152" s="4" t="n">
        <v>4</v>
      </c>
      <c r="J6152" s="4" t="n">
        <f aca="false">LEN(E6152)-LEN(SUBSTITUTE(E6152,",",""))+1</f>
        <v>4</v>
      </c>
      <c r="K6152" s="3" t="str">
        <f aca="false">IFERROR(INDEX('Teacher Lookup'!$B$2:$B$200,MATCH(A6152,'Teacher Lookup'!$A$2:$A$200,0)),"")</f>
        <v>HUI Kelly</v>
      </c>
    </row>
    <row r="6153" customFormat="false" ht="15" hidden="false" customHeight="false" outlineLevel="0" collapsed="false">
      <c r="A6153" s="3" t="s">
        <v>459</v>
      </c>
      <c r="B6153" s="4" t="s">
        <v>50</v>
      </c>
      <c r="C6153" s="4" t="n">
        <v>7</v>
      </c>
      <c r="D6153" s="4" t="s">
        <v>142</v>
      </c>
      <c r="E6153" s="3" t="s">
        <v>144</v>
      </c>
      <c r="F6153" s="4" t="str">
        <f aca="false">IF(I6153&gt;J6153,"Y","N")</f>
        <v>N</v>
      </c>
      <c r="G6153" s="3" t="s">
        <v>164</v>
      </c>
      <c r="H6153" s="3" t="s">
        <v>39</v>
      </c>
      <c r="I6153" s="4" t="n">
        <v>4</v>
      </c>
      <c r="J6153" s="4" t="n">
        <f aca="false">LEN(E6153)-LEN(SUBSTITUTE(E6153,",",""))+1</f>
        <v>4</v>
      </c>
      <c r="K6153" s="3" t="str">
        <f aca="false">IFERROR(INDEX('Teacher Lookup'!$B$2:$B$200,MATCH(A6153,'Teacher Lookup'!$A$2:$A$200,0)),"")</f>
        <v>HUI Kelly</v>
      </c>
    </row>
    <row r="6154" customFormat="false" ht="15" hidden="false" customHeight="false" outlineLevel="0" collapsed="false">
      <c r="A6154" s="3" t="s">
        <v>459</v>
      </c>
      <c r="B6154" s="4" t="s">
        <v>50</v>
      </c>
      <c r="C6154" s="4" t="n">
        <v>7</v>
      </c>
      <c r="D6154" s="4" t="s">
        <v>127</v>
      </c>
      <c r="E6154" s="3" t="s">
        <v>144</v>
      </c>
      <c r="F6154" s="4" t="str">
        <f aca="false">IF(I6154&gt;J6154,"Y","N")</f>
        <v>N</v>
      </c>
      <c r="G6154" s="3" t="s">
        <v>164</v>
      </c>
      <c r="H6154" s="3" t="s">
        <v>39</v>
      </c>
      <c r="I6154" s="4" t="n">
        <v>4</v>
      </c>
      <c r="J6154" s="4" t="n">
        <f aca="false">LEN(E6154)-LEN(SUBSTITUTE(E6154,",",""))+1</f>
        <v>4</v>
      </c>
      <c r="K6154" s="3" t="str">
        <f aca="false">IFERROR(INDEX('Teacher Lookup'!$B$2:$B$200,MATCH(A6154,'Teacher Lookup'!$A$2:$A$200,0)),"")</f>
        <v>HUI Kelly</v>
      </c>
    </row>
    <row r="6155" customFormat="false" ht="15" hidden="false" customHeight="false" outlineLevel="0" collapsed="false">
      <c r="A6155" s="3" t="s">
        <v>459</v>
      </c>
      <c r="B6155" s="4" t="s">
        <v>60</v>
      </c>
      <c r="C6155" s="4" t="n">
        <v>3</v>
      </c>
      <c r="D6155" s="4" t="s">
        <v>137</v>
      </c>
      <c r="E6155" s="3" t="s">
        <v>189</v>
      </c>
      <c r="F6155" s="4" t="str">
        <f aca="false">IF(I6155&gt;J6155,"Y","N")</f>
        <v>N</v>
      </c>
      <c r="G6155" s="3" t="s">
        <v>164</v>
      </c>
      <c r="H6155" s="3" t="s">
        <v>26</v>
      </c>
      <c r="I6155" s="4" t="n">
        <v>4</v>
      </c>
      <c r="J6155" s="4" t="n">
        <f aca="false">LEN(E6155)-LEN(SUBSTITUTE(E6155,",",""))+1</f>
        <v>4</v>
      </c>
      <c r="K6155" s="3" t="str">
        <f aca="false">IFERROR(INDEX('Teacher Lookup'!$B$2:$B$200,MATCH(A6155,'Teacher Lookup'!$A$2:$A$200,0)),"")</f>
        <v>HUI Kelly</v>
      </c>
    </row>
    <row r="6156" customFormat="false" ht="15" hidden="false" customHeight="false" outlineLevel="0" collapsed="false">
      <c r="A6156" s="3" t="s">
        <v>459</v>
      </c>
      <c r="B6156" s="4" t="s">
        <v>60</v>
      </c>
      <c r="C6156" s="4" t="n">
        <v>3</v>
      </c>
      <c r="D6156" s="4" t="s">
        <v>124</v>
      </c>
      <c r="E6156" s="3" t="s">
        <v>189</v>
      </c>
      <c r="F6156" s="4" t="str">
        <f aca="false">IF(I6156&gt;J6156,"Y","N")</f>
        <v>N</v>
      </c>
      <c r="G6156" s="3" t="s">
        <v>164</v>
      </c>
      <c r="H6156" s="3" t="s">
        <v>26</v>
      </c>
      <c r="I6156" s="4" t="n">
        <v>4</v>
      </c>
      <c r="J6156" s="4" t="n">
        <f aca="false">LEN(E6156)-LEN(SUBSTITUTE(E6156,",",""))+1</f>
        <v>4</v>
      </c>
      <c r="K6156" s="3" t="str">
        <f aca="false">IFERROR(INDEX('Teacher Lookup'!$B$2:$B$200,MATCH(A6156,'Teacher Lookup'!$A$2:$A$200,0)),"")</f>
        <v>HUI Kelly</v>
      </c>
    </row>
    <row r="6157" customFormat="false" ht="15" hidden="false" customHeight="false" outlineLevel="0" collapsed="false">
      <c r="A6157" s="3" t="s">
        <v>459</v>
      </c>
      <c r="B6157" s="4" t="s">
        <v>60</v>
      </c>
      <c r="C6157" s="4" t="n">
        <v>3</v>
      </c>
      <c r="D6157" s="4" t="s">
        <v>139</v>
      </c>
      <c r="E6157" s="3" t="s">
        <v>189</v>
      </c>
      <c r="F6157" s="4" t="str">
        <f aca="false">IF(I6157&gt;J6157,"Y","N")</f>
        <v>N</v>
      </c>
      <c r="G6157" s="3" t="s">
        <v>164</v>
      </c>
      <c r="H6157" s="3" t="s">
        <v>26</v>
      </c>
      <c r="I6157" s="4" t="n">
        <v>4</v>
      </c>
      <c r="J6157" s="4" t="n">
        <f aca="false">LEN(E6157)-LEN(SUBSTITUTE(E6157,",",""))+1</f>
        <v>4</v>
      </c>
      <c r="K6157" s="3" t="str">
        <f aca="false">IFERROR(INDEX('Teacher Lookup'!$B$2:$B$200,MATCH(A6157,'Teacher Lookup'!$A$2:$A$200,0)),"")</f>
        <v>HUI Kelly</v>
      </c>
    </row>
    <row r="6158" customFormat="false" ht="15" hidden="false" customHeight="false" outlineLevel="0" collapsed="false">
      <c r="A6158" s="3" t="s">
        <v>459</v>
      </c>
      <c r="B6158" s="4" t="s">
        <v>60</v>
      </c>
      <c r="C6158" s="4" t="n">
        <v>5</v>
      </c>
      <c r="D6158" s="4" t="s">
        <v>137</v>
      </c>
      <c r="E6158" s="3" t="s">
        <v>185</v>
      </c>
      <c r="F6158" s="4" t="str">
        <f aca="false">IF(I6158&gt;J6158,"Y","N")</f>
        <v>Y</v>
      </c>
      <c r="G6158" s="3" t="s">
        <v>36</v>
      </c>
      <c r="H6158" s="3" t="s">
        <v>37</v>
      </c>
      <c r="I6158" s="4" t="n">
        <v>21</v>
      </c>
      <c r="J6158" s="4" t="n">
        <f aca="false">LEN(E6158)-LEN(SUBSTITUTE(E6158,",",""))+1</f>
        <v>7</v>
      </c>
      <c r="K6158" s="3" t="str">
        <f aca="false">IFERROR(INDEX('Teacher Lookup'!$B$2:$B$200,MATCH(A6158,'Teacher Lookup'!$A$2:$A$200,0)),"")</f>
        <v>HUI Kelly</v>
      </c>
    </row>
    <row r="6159" customFormat="false" ht="15" hidden="false" customHeight="false" outlineLevel="0" collapsed="false">
      <c r="A6159" s="3" t="s">
        <v>459</v>
      </c>
      <c r="B6159" s="4" t="s">
        <v>60</v>
      </c>
      <c r="C6159" s="4" t="n">
        <v>5</v>
      </c>
      <c r="D6159" s="4" t="s">
        <v>124</v>
      </c>
      <c r="E6159" s="3" t="s">
        <v>185</v>
      </c>
      <c r="F6159" s="4" t="str">
        <f aca="false">IF(I6159&gt;J6159,"Y","N")</f>
        <v>Y</v>
      </c>
      <c r="G6159" s="3" t="s">
        <v>36</v>
      </c>
      <c r="H6159" s="3" t="s">
        <v>37</v>
      </c>
      <c r="I6159" s="4" t="n">
        <v>21</v>
      </c>
      <c r="J6159" s="4" t="n">
        <f aca="false">LEN(E6159)-LEN(SUBSTITUTE(E6159,",",""))+1</f>
        <v>7</v>
      </c>
      <c r="K6159" s="3" t="str">
        <f aca="false">IFERROR(INDEX('Teacher Lookup'!$B$2:$B$200,MATCH(A6159,'Teacher Lookup'!$A$2:$A$200,0)),"")</f>
        <v>HUI Kelly</v>
      </c>
    </row>
    <row r="6160" customFormat="false" ht="15" hidden="false" customHeight="false" outlineLevel="0" collapsed="false">
      <c r="A6160" s="3" t="s">
        <v>459</v>
      </c>
      <c r="B6160" s="4" t="s">
        <v>60</v>
      </c>
      <c r="C6160" s="4" t="n">
        <v>5</v>
      </c>
      <c r="D6160" s="4" t="s">
        <v>139</v>
      </c>
      <c r="E6160" s="3" t="s">
        <v>185</v>
      </c>
      <c r="F6160" s="4" t="str">
        <f aca="false">IF(I6160&gt;J6160,"Y","N")</f>
        <v>Y</v>
      </c>
      <c r="G6160" s="3" t="s">
        <v>36</v>
      </c>
      <c r="H6160" s="3" t="s">
        <v>37</v>
      </c>
      <c r="I6160" s="4" t="n">
        <v>21</v>
      </c>
      <c r="J6160" s="4" t="n">
        <f aca="false">LEN(E6160)-LEN(SUBSTITUTE(E6160,",",""))+1</f>
        <v>7</v>
      </c>
      <c r="K6160" s="3" t="str">
        <f aca="false">IFERROR(INDEX('Teacher Lookup'!$B$2:$B$200,MATCH(A6160,'Teacher Lookup'!$A$2:$A$200,0)),"")</f>
        <v>HUI Kelly</v>
      </c>
    </row>
    <row r="6161" customFormat="false" ht="15" hidden="false" customHeight="false" outlineLevel="0" collapsed="false">
      <c r="A6161" s="3" t="s">
        <v>459</v>
      </c>
      <c r="B6161" s="4" t="s">
        <v>60</v>
      </c>
      <c r="C6161" s="4" t="n">
        <v>5</v>
      </c>
      <c r="D6161" s="4" t="s">
        <v>140</v>
      </c>
      <c r="E6161" s="3" t="s">
        <v>185</v>
      </c>
      <c r="F6161" s="4" t="str">
        <f aca="false">IF(I6161&gt;J6161,"Y","N")</f>
        <v>Y</v>
      </c>
      <c r="G6161" s="3" t="s">
        <v>36</v>
      </c>
      <c r="H6161" s="3" t="s">
        <v>37</v>
      </c>
      <c r="I6161" s="4" t="n">
        <v>21</v>
      </c>
      <c r="J6161" s="4" t="n">
        <f aca="false">LEN(E6161)-LEN(SUBSTITUTE(E6161,",",""))+1</f>
        <v>7</v>
      </c>
      <c r="K6161" s="3" t="str">
        <f aca="false">IFERROR(INDEX('Teacher Lookup'!$B$2:$B$200,MATCH(A6161,'Teacher Lookup'!$A$2:$A$200,0)),"")</f>
        <v>HUI Kelly</v>
      </c>
    </row>
    <row r="6162" customFormat="false" ht="15" hidden="false" customHeight="false" outlineLevel="0" collapsed="false">
      <c r="A6162" s="3" t="s">
        <v>459</v>
      </c>
      <c r="B6162" s="4" t="s">
        <v>60</v>
      </c>
      <c r="C6162" s="4" t="n">
        <v>5</v>
      </c>
      <c r="D6162" s="4" t="s">
        <v>142</v>
      </c>
      <c r="E6162" s="3" t="s">
        <v>185</v>
      </c>
      <c r="F6162" s="4" t="str">
        <f aca="false">IF(I6162&gt;J6162,"Y","N")</f>
        <v>Y</v>
      </c>
      <c r="G6162" s="3" t="s">
        <v>36</v>
      </c>
      <c r="H6162" s="3" t="s">
        <v>37</v>
      </c>
      <c r="I6162" s="4" t="n">
        <v>21</v>
      </c>
      <c r="J6162" s="4" t="n">
        <f aca="false">LEN(E6162)-LEN(SUBSTITUTE(E6162,",",""))+1</f>
        <v>7</v>
      </c>
      <c r="K6162" s="3" t="str">
        <f aca="false">IFERROR(INDEX('Teacher Lookup'!$B$2:$B$200,MATCH(A6162,'Teacher Lookup'!$A$2:$A$200,0)),"")</f>
        <v>HUI Kelly</v>
      </c>
    </row>
    <row r="6163" customFormat="false" ht="15" hidden="false" customHeight="false" outlineLevel="0" collapsed="false">
      <c r="A6163" s="3" t="s">
        <v>459</v>
      </c>
      <c r="B6163" s="4" t="s">
        <v>60</v>
      </c>
      <c r="C6163" s="4" t="n">
        <v>5</v>
      </c>
      <c r="D6163" s="4" t="s">
        <v>127</v>
      </c>
      <c r="E6163" s="3" t="s">
        <v>185</v>
      </c>
      <c r="F6163" s="4" t="str">
        <f aca="false">IF(I6163&gt;J6163,"Y","N")</f>
        <v>Y</v>
      </c>
      <c r="G6163" s="3" t="s">
        <v>36</v>
      </c>
      <c r="H6163" s="3" t="s">
        <v>37</v>
      </c>
      <c r="I6163" s="4" t="n">
        <v>21</v>
      </c>
      <c r="J6163" s="4" t="n">
        <f aca="false">LEN(E6163)-LEN(SUBSTITUTE(E6163,",",""))+1</f>
        <v>7</v>
      </c>
      <c r="K6163" s="3" t="str">
        <f aca="false">IFERROR(INDEX('Teacher Lookup'!$B$2:$B$200,MATCH(A6163,'Teacher Lookup'!$A$2:$A$200,0)),"")</f>
        <v>HUI Kelly</v>
      </c>
    </row>
    <row r="6164" customFormat="false" ht="15" hidden="false" customHeight="false" outlineLevel="0" collapsed="false">
      <c r="A6164" s="3" t="s">
        <v>459</v>
      </c>
      <c r="B6164" s="4" t="s">
        <v>60</v>
      </c>
      <c r="C6164" s="4" t="n">
        <v>6</v>
      </c>
      <c r="D6164" s="4" t="s">
        <v>70</v>
      </c>
      <c r="E6164" s="3" t="s">
        <v>83</v>
      </c>
      <c r="F6164" s="4" t="str">
        <f aca="false">IF(I6164&gt;J6164,"Y","N")</f>
        <v>N</v>
      </c>
      <c r="G6164" s="3" t="s">
        <v>164</v>
      </c>
      <c r="H6164" s="3" t="s">
        <v>42</v>
      </c>
      <c r="I6164" s="4" t="n">
        <v>4</v>
      </c>
      <c r="J6164" s="4" t="n">
        <f aca="false">LEN(E6164)-LEN(SUBSTITUTE(E6164,",",""))+1</f>
        <v>4</v>
      </c>
      <c r="K6164" s="3" t="str">
        <f aca="false">IFERROR(INDEX('Teacher Lookup'!$B$2:$B$200,MATCH(A6164,'Teacher Lookup'!$A$2:$A$200,0)),"")</f>
        <v>HUI Kelly</v>
      </c>
    </row>
    <row r="6165" customFormat="false" ht="15" hidden="false" customHeight="false" outlineLevel="0" collapsed="false">
      <c r="A6165" s="3" t="s">
        <v>459</v>
      </c>
      <c r="B6165" s="4" t="s">
        <v>60</v>
      </c>
      <c r="C6165" s="4" t="n">
        <v>6</v>
      </c>
      <c r="D6165" s="4" t="s">
        <v>73</v>
      </c>
      <c r="E6165" s="3" t="s">
        <v>83</v>
      </c>
      <c r="F6165" s="4" t="str">
        <f aca="false">IF(I6165&gt;J6165,"Y","N")</f>
        <v>N</v>
      </c>
      <c r="G6165" s="3" t="s">
        <v>164</v>
      </c>
      <c r="H6165" s="3" t="s">
        <v>42</v>
      </c>
      <c r="I6165" s="4" t="n">
        <v>4</v>
      </c>
      <c r="J6165" s="4" t="n">
        <f aca="false">LEN(E6165)-LEN(SUBSTITUTE(E6165,",",""))+1</f>
        <v>4</v>
      </c>
      <c r="K6165" s="3" t="str">
        <f aca="false">IFERROR(INDEX('Teacher Lookup'!$B$2:$B$200,MATCH(A6165,'Teacher Lookup'!$A$2:$A$200,0)),"")</f>
        <v>HUI Kelly</v>
      </c>
    </row>
    <row r="6166" customFormat="false" ht="15" hidden="false" customHeight="false" outlineLevel="0" collapsed="false">
      <c r="A6166" s="3" t="s">
        <v>459</v>
      </c>
      <c r="B6166" s="4" t="s">
        <v>60</v>
      </c>
      <c r="C6166" s="4" t="n">
        <v>6</v>
      </c>
      <c r="D6166" s="4" t="s">
        <v>74</v>
      </c>
      <c r="E6166" s="3" t="s">
        <v>83</v>
      </c>
      <c r="F6166" s="4" t="str">
        <f aca="false">IF(I6166&gt;J6166,"Y","N")</f>
        <v>N</v>
      </c>
      <c r="G6166" s="3" t="s">
        <v>164</v>
      </c>
      <c r="H6166" s="3" t="s">
        <v>42</v>
      </c>
      <c r="I6166" s="4" t="n">
        <v>4</v>
      </c>
      <c r="J6166" s="4" t="n">
        <f aca="false">LEN(E6166)-LEN(SUBSTITUTE(E6166,",",""))+1</f>
        <v>4</v>
      </c>
      <c r="K6166" s="3" t="str">
        <f aca="false">IFERROR(INDEX('Teacher Lookup'!$B$2:$B$200,MATCH(A6166,'Teacher Lookup'!$A$2:$A$200,0)),"")</f>
        <v>HUI Kelly</v>
      </c>
    </row>
    <row r="6167" customFormat="false" ht="15" hidden="false" customHeight="false" outlineLevel="0" collapsed="false">
      <c r="A6167" s="3" t="s">
        <v>459</v>
      </c>
      <c r="B6167" s="4" t="s">
        <v>60</v>
      </c>
      <c r="C6167" s="4" t="n">
        <v>7</v>
      </c>
      <c r="D6167" s="4" t="s">
        <v>140</v>
      </c>
      <c r="E6167" s="3" t="s">
        <v>141</v>
      </c>
      <c r="F6167" s="4" t="str">
        <f aca="false">IF(I6167&gt;J6167,"Y","N")</f>
        <v>N</v>
      </c>
      <c r="G6167" s="3" t="s">
        <v>164</v>
      </c>
      <c r="H6167" s="3" t="s">
        <v>39</v>
      </c>
      <c r="I6167" s="4" t="n">
        <v>4</v>
      </c>
      <c r="J6167" s="4" t="n">
        <f aca="false">LEN(E6167)-LEN(SUBSTITUTE(E6167,",",""))+1</f>
        <v>4</v>
      </c>
      <c r="K6167" s="3" t="str">
        <f aca="false">IFERROR(INDEX('Teacher Lookup'!$B$2:$B$200,MATCH(A6167,'Teacher Lookup'!$A$2:$A$200,0)),"")</f>
        <v>HUI Kelly</v>
      </c>
    </row>
    <row r="6168" customFormat="false" ht="15" hidden="false" customHeight="false" outlineLevel="0" collapsed="false">
      <c r="A6168" s="3" t="s">
        <v>459</v>
      </c>
      <c r="B6168" s="4" t="s">
        <v>60</v>
      </c>
      <c r="C6168" s="4" t="n">
        <v>7</v>
      </c>
      <c r="D6168" s="4" t="s">
        <v>142</v>
      </c>
      <c r="E6168" s="3" t="s">
        <v>141</v>
      </c>
      <c r="F6168" s="4" t="str">
        <f aca="false">IF(I6168&gt;J6168,"Y","N")</f>
        <v>N</v>
      </c>
      <c r="G6168" s="3" t="s">
        <v>164</v>
      </c>
      <c r="H6168" s="3" t="s">
        <v>39</v>
      </c>
      <c r="I6168" s="4" t="n">
        <v>4</v>
      </c>
      <c r="J6168" s="4" t="n">
        <f aca="false">LEN(E6168)-LEN(SUBSTITUTE(E6168,",",""))+1</f>
        <v>4</v>
      </c>
      <c r="K6168" s="3" t="str">
        <f aca="false">IFERROR(INDEX('Teacher Lookup'!$B$2:$B$200,MATCH(A6168,'Teacher Lookup'!$A$2:$A$200,0)),"")</f>
        <v>HUI Kelly</v>
      </c>
    </row>
    <row r="6169" customFormat="false" ht="15" hidden="false" customHeight="false" outlineLevel="0" collapsed="false">
      <c r="A6169" s="3" t="s">
        <v>459</v>
      </c>
      <c r="B6169" s="4" t="s">
        <v>60</v>
      </c>
      <c r="C6169" s="4" t="n">
        <v>7</v>
      </c>
      <c r="D6169" s="4" t="s">
        <v>127</v>
      </c>
      <c r="E6169" s="3" t="s">
        <v>141</v>
      </c>
      <c r="F6169" s="4" t="str">
        <f aca="false">IF(I6169&gt;J6169,"Y","N")</f>
        <v>N</v>
      </c>
      <c r="G6169" s="3" t="s">
        <v>164</v>
      </c>
      <c r="H6169" s="3" t="s">
        <v>39</v>
      </c>
      <c r="I6169" s="4" t="n">
        <v>4</v>
      </c>
      <c r="J6169" s="4" t="n">
        <f aca="false">LEN(E6169)-LEN(SUBSTITUTE(E6169,",",""))+1</f>
        <v>4</v>
      </c>
      <c r="K6169" s="3" t="str">
        <f aca="false">IFERROR(INDEX('Teacher Lookup'!$B$2:$B$200,MATCH(A6169,'Teacher Lookup'!$A$2:$A$200,0)),"")</f>
        <v>HUI Kelly</v>
      </c>
    </row>
    <row r="6170" customFormat="false" ht="15" hidden="false" customHeight="false" outlineLevel="0" collapsed="false">
      <c r="A6170" s="3" t="s">
        <v>459</v>
      </c>
      <c r="B6170" s="4" t="s">
        <v>63</v>
      </c>
      <c r="C6170" s="4" t="n">
        <v>5</v>
      </c>
      <c r="D6170" s="4" t="s">
        <v>137</v>
      </c>
      <c r="E6170" s="3" t="s">
        <v>186</v>
      </c>
      <c r="F6170" s="4" t="str">
        <f aca="false">IF(I6170&gt;J6170,"Y","N")</f>
        <v>N</v>
      </c>
      <c r="G6170" s="3" t="s">
        <v>164</v>
      </c>
      <c r="H6170" s="3" t="s">
        <v>37</v>
      </c>
      <c r="I6170" s="4" t="n">
        <v>4</v>
      </c>
      <c r="J6170" s="4" t="n">
        <f aca="false">LEN(E6170)-LEN(SUBSTITUTE(E6170,",",""))+1</f>
        <v>4</v>
      </c>
      <c r="K6170" s="3" t="str">
        <f aca="false">IFERROR(INDEX('Teacher Lookup'!$B$2:$B$200,MATCH(A6170,'Teacher Lookup'!$A$2:$A$200,0)),"")</f>
        <v>HUI Kelly</v>
      </c>
    </row>
    <row r="6171" customFormat="false" ht="15" hidden="false" customHeight="false" outlineLevel="0" collapsed="false">
      <c r="A6171" s="3" t="s">
        <v>459</v>
      </c>
      <c r="B6171" s="4" t="s">
        <v>63</v>
      </c>
      <c r="C6171" s="4" t="n">
        <v>5</v>
      </c>
      <c r="D6171" s="4" t="s">
        <v>124</v>
      </c>
      <c r="E6171" s="3" t="s">
        <v>186</v>
      </c>
      <c r="F6171" s="4" t="str">
        <f aca="false">IF(I6171&gt;J6171,"Y","N")</f>
        <v>N</v>
      </c>
      <c r="G6171" s="3" t="s">
        <v>164</v>
      </c>
      <c r="H6171" s="3" t="s">
        <v>37</v>
      </c>
      <c r="I6171" s="4" t="n">
        <v>4</v>
      </c>
      <c r="J6171" s="4" t="n">
        <f aca="false">LEN(E6171)-LEN(SUBSTITUTE(E6171,",",""))+1</f>
        <v>4</v>
      </c>
      <c r="K6171" s="3" t="str">
        <f aca="false">IFERROR(INDEX('Teacher Lookup'!$B$2:$B$200,MATCH(A6171,'Teacher Lookup'!$A$2:$A$200,0)),"")</f>
        <v>HUI Kelly</v>
      </c>
    </row>
    <row r="6172" customFormat="false" ht="15" hidden="false" customHeight="false" outlineLevel="0" collapsed="false">
      <c r="A6172" s="3" t="s">
        <v>459</v>
      </c>
      <c r="B6172" s="4" t="s">
        <v>63</v>
      </c>
      <c r="C6172" s="4" t="n">
        <v>5</v>
      </c>
      <c r="D6172" s="4" t="s">
        <v>139</v>
      </c>
      <c r="E6172" s="3" t="s">
        <v>186</v>
      </c>
      <c r="F6172" s="4" t="str">
        <f aca="false">IF(I6172&gt;J6172,"Y","N")</f>
        <v>N</v>
      </c>
      <c r="G6172" s="3" t="s">
        <v>164</v>
      </c>
      <c r="H6172" s="3" t="s">
        <v>37</v>
      </c>
      <c r="I6172" s="4" t="n">
        <v>4</v>
      </c>
      <c r="J6172" s="4" t="n">
        <f aca="false">LEN(E6172)-LEN(SUBSTITUTE(E6172,",",""))+1</f>
        <v>4</v>
      </c>
      <c r="K6172" s="3" t="str">
        <f aca="false">IFERROR(INDEX('Teacher Lookup'!$B$2:$B$200,MATCH(A6172,'Teacher Lookup'!$A$2:$A$200,0)),"")</f>
        <v>HUI Kelly</v>
      </c>
    </row>
    <row r="6173" customFormat="false" ht="15" hidden="false" customHeight="false" outlineLevel="0" collapsed="false">
      <c r="A6173" s="3" t="s">
        <v>459</v>
      </c>
      <c r="B6173" s="4" t="s">
        <v>63</v>
      </c>
      <c r="C6173" s="4" t="n">
        <v>6</v>
      </c>
      <c r="D6173" s="4" t="s">
        <v>70</v>
      </c>
      <c r="E6173" s="3" t="s">
        <v>85</v>
      </c>
      <c r="F6173" s="4" t="str">
        <f aca="false">IF(I6173&gt;J6173,"Y","N")</f>
        <v>N</v>
      </c>
      <c r="G6173" s="3" t="s">
        <v>164</v>
      </c>
      <c r="H6173" s="3" t="s">
        <v>42</v>
      </c>
      <c r="I6173" s="4" t="n">
        <v>4</v>
      </c>
      <c r="J6173" s="4" t="n">
        <f aca="false">LEN(E6173)-LEN(SUBSTITUTE(E6173,",",""))+1</f>
        <v>4</v>
      </c>
      <c r="K6173" s="3" t="str">
        <f aca="false">IFERROR(INDEX('Teacher Lookup'!$B$2:$B$200,MATCH(A6173,'Teacher Lookup'!$A$2:$A$200,0)),"")</f>
        <v>HUI Kelly</v>
      </c>
    </row>
    <row r="6174" customFormat="false" ht="15" hidden="false" customHeight="false" outlineLevel="0" collapsed="false">
      <c r="A6174" s="3" t="s">
        <v>459</v>
      </c>
      <c r="B6174" s="4" t="s">
        <v>63</v>
      </c>
      <c r="C6174" s="4" t="n">
        <v>6</v>
      </c>
      <c r="D6174" s="4" t="s">
        <v>73</v>
      </c>
      <c r="E6174" s="3" t="s">
        <v>85</v>
      </c>
      <c r="F6174" s="4" t="str">
        <f aca="false">IF(I6174&gt;J6174,"Y","N")</f>
        <v>N</v>
      </c>
      <c r="G6174" s="3" t="s">
        <v>164</v>
      </c>
      <c r="H6174" s="3" t="s">
        <v>42</v>
      </c>
      <c r="I6174" s="4" t="n">
        <v>4</v>
      </c>
      <c r="J6174" s="4" t="n">
        <f aca="false">LEN(E6174)-LEN(SUBSTITUTE(E6174,",",""))+1</f>
        <v>4</v>
      </c>
      <c r="K6174" s="3" t="str">
        <f aca="false">IFERROR(INDEX('Teacher Lookup'!$B$2:$B$200,MATCH(A6174,'Teacher Lookup'!$A$2:$A$200,0)),"")</f>
        <v>HUI Kelly</v>
      </c>
    </row>
    <row r="6175" customFormat="false" ht="15" hidden="false" customHeight="false" outlineLevel="0" collapsed="false">
      <c r="A6175" s="3" t="s">
        <v>459</v>
      </c>
      <c r="B6175" s="4" t="s">
        <v>63</v>
      </c>
      <c r="C6175" s="4" t="n">
        <v>6</v>
      </c>
      <c r="D6175" s="4" t="s">
        <v>74</v>
      </c>
      <c r="E6175" s="3" t="s">
        <v>85</v>
      </c>
      <c r="F6175" s="4" t="str">
        <f aca="false">IF(I6175&gt;J6175,"Y","N")</f>
        <v>N</v>
      </c>
      <c r="G6175" s="3" t="s">
        <v>164</v>
      </c>
      <c r="H6175" s="3" t="s">
        <v>42</v>
      </c>
      <c r="I6175" s="4" t="n">
        <v>4</v>
      </c>
      <c r="J6175" s="4" t="n">
        <f aca="false">LEN(E6175)-LEN(SUBSTITUTE(E6175,",",""))+1</f>
        <v>4</v>
      </c>
      <c r="K6175" s="3" t="str">
        <f aca="false">IFERROR(INDEX('Teacher Lookup'!$B$2:$B$200,MATCH(A6175,'Teacher Lookup'!$A$2:$A$200,0)),"")</f>
        <v>HUI Kelly</v>
      </c>
    </row>
    <row r="6176" customFormat="false" ht="15" hidden="false" customHeight="false" outlineLevel="0" collapsed="false">
      <c r="A6176" s="3" t="s">
        <v>459</v>
      </c>
      <c r="B6176" s="4" t="s">
        <v>63</v>
      </c>
      <c r="C6176" s="4" t="n">
        <v>7</v>
      </c>
      <c r="D6176" s="4" t="s">
        <v>140</v>
      </c>
      <c r="E6176" s="3" t="s">
        <v>152</v>
      </c>
      <c r="F6176" s="4" t="str">
        <f aca="false">IF(I6176&gt;J6176,"Y","N")</f>
        <v>N</v>
      </c>
      <c r="G6176" s="3" t="s">
        <v>164</v>
      </c>
      <c r="H6176" s="3" t="s">
        <v>39</v>
      </c>
      <c r="I6176" s="4" t="n">
        <v>4</v>
      </c>
      <c r="J6176" s="4" t="n">
        <f aca="false">LEN(E6176)-LEN(SUBSTITUTE(E6176,",",""))+1</f>
        <v>4</v>
      </c>
      <c r="K6176" s="3" t="str">
        <f aca="false">IFERROR(INDEX('Teacher Lookup'!$B$2:$B$200,MATCH(A6176,'Teacher Lookup'!$A$2:$A$200,0)),"")</f>
        <v>HUI Kelly</v>
      </c>
    </row>
    <row r="6177" customFormat="false" ht="15" hidden="false" customHeight="false" outlineLevel="0" collapsed="false">
      <c r="A6177" s="3" t="s">
        <v>459</v>
      </c>
      <c r="B6177" s="4" t="s">
        <v>63</v>
      </c>
      <c r="C6177" s="4" t="n">
        <v>7</v>
      </c>
      <c r="D6177" s="4" t="s">
        <v>142</v>
      </c>
      <c r="E6177" s="3" t="s">
        <v>152</v>
      </c>
      <c r="F6177" s="4" t="str">
        <f aca="false">IF(I6177&gt;J6177,"Y","N")</f>
        <v>N</v>
      </c>
      <c r="G6177" s="3" t="s">
        <v>164</v>
      </c>
      <c r="H6177" s="3" t="s">
        <v>39</v>
      </c>
      <c r="I6177" s="4" t="n">
        <v>4</v>
      </c>
      <c r="J6177" s="4" t="n">
        <f aca="false">LEN(E6177)-LEN(SUBSTITUTE(E6177,",",""))+1</f>
        <v>4</v>
      </c>
      <c r="K6177" s="3" t="str">
        <f aca="false">IFERROR(INDEX('Teacher Lookup'!$B$2:$B$200,MATCH(A6177,'Teacher Lookup'!$A$2:$A$200,0)),"")</f>
        <v>HUI Kelly</v>
      </c>
    </row>
    <row r="6178" customFormat="false" ht="15" hidden="false" customHeight="false" outlineLevel="0" collapsed="false">
      <c r="A6178" s="3" t="s">
        <v>459</v>
      </c>
      <c r="B6178" s="4" t="s">
        <v>63</v>
      </c>
      <c r="C6178" s="4" t="n">
        <v>7</v>
      </c>
      <c r="D6178" s="4" t="s">
        <v>127</v>
      </c>
      <c r="E6178" s="3" t="s">
        <v>152</v>
      </c>
      <c r="F6178" s="4" t="str">
        <f aca="false">IF(I6178&gt;J6178,"Y","N")</f>
        <v>N</v>
      </c>
      <c r="G6178" s="3" t="s">
        <v>164</v>
      </c>
      <c r="H6178" s="3" t="s">
        <v>39</v>
      </c>
      <c r="I6178" s="4" t="n">
        <v>4</v>
      </c>
      <c r="J6178" s="4" t="n">
        <f aca="false">LEN(E6178)-LEN(SUBSTITUTE(E6178,",",""))+1</f>
        <v>4</v>
      </c>
      <c r="K6178" s="3" t="str">
        <f aca="false">IFERROR(INDEX('Teacher Lookup'!$B$2:$B$200,MATCH(A6178,'Teacher Lookup'!$A$2:$A$200,0)),"")</f>
        <v>HUI Kelly</v>
      </c>
    </row>
    <row r="6179" customFormat="false" ht="15" hidden="false" customHeight="false" outlineLevel="0" collapsed="false">
      <c r="A6179" s="3" t="s">
        <v>459</v>
      </c>
      <c r="B6179" s="4" t="s">
        <v>65</v>
      </c>
      <c r="C6179" s="4" t="n">
        <v>2</v>
      </c>
      <c r="D6179" s="4" t="s">
        <v>137</v>
      </c>
      <c r="E6179" s="3" t="s">
        <v>146</v>
      </c>
      <c r="F6179" s="4" t="str">
        <f aca="false">IF(I6179&gt;J6179,"Y","N")</f>
        <v>N</v>
      </c>
      <c r="G6179" s="3" t="s">
        <v>164</v>
      </c>
      <c r="H6179" s="3" t="s">
        <v>21</v>
      </c>
      <c r="I6179" s="4" t="n">
        <v>4</v>
      </c>
      <c r="J6179" s="4" t="n">
        <f aca="false">LEN(E6179)-LEN(SUBSTITUTE(E6179,",",""))+1</f>
        <v>4</v>
      </c>
      <c r="K6179" s="3" t="str">
        <f aca="false">IFERROR(INDEX('Teacher Lookup'!$B$2:$B$200,MATCH(A6179,'Teacher Lookup'!$A$2:$A$200,0)),"")</f>
        <v>HUI Kelly</v>
      </c>
    </row>
    <row r="6180" customFormat="false" ht="15" hidden="false" customHeight="false" outlineLevel="0" collapsed="false">
      <c r="A6180" s="3" t="s">
        <v>459</v>
      </c>
      <c r="B6180" s="4" t="s">
        <v>65</v>
      </c>
      <c r="C6180" s="4" t="n">
        <v>2</v>
      </c>
      <c r="D6180" s="4" t="s">
        <v>124</v>
      </c>
      <c r="E6180" s="3" t="s">
        <v>146</v>
      </c>
      <c r="F6180" s="4" t="str">
        <f aca="false">IF(I6180&gt;J6180,"Y","N")</f>
        <v>N</v>
      </c>
      <c r="G6180" s="3" t="s">
        <v>164</v>
      </c>
      <c r="H6180" s="3" t="s">
        <v>21</v>
      </c>
      <c r="I6180" s="4" t="n">
        <v>4</v>
      </c>
      <c r="J6180" s="4" t="n">
        <f aca="false">LEN(E6180)-LEN(SUBSTITUTE(E6180,",",""))+1</f>
        <v>4</v>
      </c>
      <c r="K6180" s="3" t="str">
        <f aca="false">IFERROR(INDEX('Teacher Lookup'!$B$2:$B$200,MATCH(A6180,'Teacher Lookup'!$A$2:$A$200,0)),"")</f>
        <v>HUI Kelly</v>
      </c>
    </row>
    <row r="6181" customFormat="false" ht="15" hidden="false" customHeight="false" outlineLevel="0" collapsed="false">
      <c r="A6181" s="3" t="s">
        <v>459</v>
      </c>
      <c r="B6181" s="4" t="s">
        <v>65</v>
      </c>
      <c r="C6181" s="4" t="n">
        <v>2</v>
      </c>
      <c r="D6181" s="4" t="s">
        <v>139</v>
      </c>
      <c r="E6181" s="3" t="s">
        <v>146</v>
      </c>
      <c r="F6181" s="4" t="str">
        <f aca="false">IF(I6181&gt;J6181,"Y","N")</f>
        <v>N</v>
      </c>
      <c r="G6181" s="3" t="s">
        <v>164</v>
      </c>
      <c r="H6181" s="3" t="s">
        <v>21</v>
      </c>
      <c r="I6181" s="4" t="n">
        <v>4</v>
      </c>
      <c r="J6181" s="4" t="n">
        <f aca="false">LEN(E6181)-LEN(SUBSTITUTE(E6181,",",""))+1</f>
        <v>4</v>
      </c>
      <c r="K6181" s="3" t="str">
        <f aca="false">IFERROR(INDEX('Teacher Lookup'!$B$2:$B$200,MATCH(A6181,'Teacher Lookup'!$A$2:$A$200,0)),"")</f>
        <v>HUI Kelly</v>
      </c>
    </row>
    <row r="6182" customFormat="false" ht="15" hidden="false" customHeight="false" outlineLevel="0" collapsed="false">
      <c r="A6182" s="3" t="s">
        <v>459</v>
      </c>
      <c r="B6182" s="4" t="s">
        <v>65</v>
      </c>
      <c r="C6182" s="4" t="n">
        <v>3</v>
      </c>
      <c r="D6182" s="4" t="s">
        <v>140</v>
      </c>
      <c r="E6182" s="3" t="s">
        <v>152</v>
      </c>
      <c r="F6182" s="4" t="str">
        <f aca="false">IF(I6182&gt;J6182,"Y","N")</f>
        <v>N</v>
      </c>
      <c r="G6182" s="3" t="s">
        <v>164</v>
      </c>
      <c r="H6182" s="3" t="s">
        <v>26</v>
      </c>
      <c r="I6182" s="4" t="n">
        <v>4</v>
      </c>
      <c r="J6182" s="4" t="n">
        <f aca="false">LEN(E6182)-LEN(SUBSTITUTE(E6182,",",""))+1</f>
        <v>4</v>
      </c>
      <c r="K6182" s="3" t="str">
        <f aca="false">IFERROR(INDEX('Teacher Lookup'!$B$2:$B$200,MATCH(A6182,'Teacher Lookup'!$A$2:$A$200,0)),"")</f>
        <v>HUI Kelly</v>
      </c>
    </row>
    <row r="6183" customFormat="false" ht="15" hidden="false" customHeight="false" outlineLevel="0" collapsed="false">
      <c r="A6183" s="3" t="s">
        <v>459</v>
      </c>
      <c r="B6183" s="4" t="s">
        <v>65</v>
      </c>
      <c r="C6183" s="4" t="n">
        <v>3</v>
      </c>
      <c r="D6183" s="4" t="s">
        <v>142</v>
      </c>
      <c r="E6183" s="3" t="s">
        <v>152</v>
      </c>
      <c r="F6183" s="4" t="str">
        <f aca="false">IF(I6183&gt;J6183,"Y","N")</f>
        <v>N</v>
      </c>
      <c r="G6183" s="3" t="s">
        <v>164</v>
      </c>
      <c r="H6183" s="3" t="s">
        <v>26</v>
      </c>
      <c r="I6183" s="4" t="n">
        <v>4</v>
      </c>
      <c r="J6183" s="4" t="n">
        <f aca="false">LEN(E6183)-LEN(SUBSTITUTE(E6183,",",""))+1</f>
        <v>4</v>
      </c>
      <c r="K6183" s="3" t="str">
        <f aca="false">IFERROR(INDEX('Teacher Lookup'!$B$2:$B$200,MATCH(A6183,'Teacher Lookup'!$A$2:$A$200,0)),"")</f>
        <v>HUI Kelly</v>
      </c>
    </row>
    <row r="6184" customFormat="false" ht="15" hidden="false" customHeight="false" outlineLevel="0" collapsed="false">
      <c r="A6184" s="3" t="s">
        <v>459</v>
      </c>
      <c r="B6184" s="4" t="s">
        <v>65</v>
      </c>
      <c r="C6184" s="4" t="n">
        <v>3</v>
      </c>
      <c r="D6184" s="4" t="s">
        <v>127</v>
      </c>
      <c r="E6184" s="3" t="s">
        <v>152</v>
      </c>
      <c r="F6184" s="4" t="str">
        <f aca="false">IF(I6184&gt;J6184,"Y","N")</f>
        <v>N</v>
      </c>
      <c r="G6184" s="3" t="s">
        <v>164</v>
      </c>
      <c r="H6184" s="3" t="s">
        <v>26</v>
      </c>
      <c r="I6184" s="4" t="n">
        <v>4</v>
      </c>
      <c r="J6184" s="4" t="n">
        <f aca="false">LEN(E6184)-LEN(SUBSTITUTE(E6184,",",""))+1</f>
        <v>4</v>
      </c>
      <c r="K6184" s="3" t="str">
        <f aca="false">IFERROR(INDEX('Teacher Lookup'!$B$2:$B$200,MATCH(A6184,'Teacher Lookup'!$A$2:$A$200,0)),"")</f>
        <v>HUI Kelly</v>
      </c>
    </row>
    <row r="6185" customFormat="false" ht="15" hidden="false" customHeight="false" outlineLevel="0" collapsed="false">
      <c r="A6185" s="3" t="s">
        <v>459</v>
      </c>
      <c r="B6185" s="4" t="s">
        <v>65</v>
      </c>
      <c r="C6185" s="4" t="n">
        <v>5</v>
      </c>
      <c r="D6185" s="4" t="s">
        <v>137</v>
      </c>
      <c r="E6185" s="3" t="s">
        <v>185</v>
      </c>
      <c r="F6185" s="4" t="str">
        <f aca="false">IF(I6185&gt;J6185,"Y","N")</f>
        <v>Y</v>
      </c>
      <c r="G6185" s="3" t="s">
        <v>36</v>
      </c>
      <c r="H6185" s="3" t="s">
        <v>37</v>
      </c>
      <c r="I6185" s="4" t="n">
        <v>21</v>
      </c>
      <c r="J6185" s="4" t="n">
        <f aca="false">LEN(E6185)-LEN(SUBSTITUTE(E6185,",",""))+1</f>
        <v>7</v>
      </c>
      <c r="K6185" s="3" t="str">
        <f aca="false">IFERROR(INDEX('Teacher Lookup'!$B$2:$B$200,MATCH(A6185,'Teacher Lookup'!$A$2:$A$200,0)),"")</f>
        <v>HUI Kelly</v>
      </c>
    </row>
    <row r="6186" customFormat="false" ht="15" hidden="false" customHeight="false" outlineLevel="0" collapsed="false">
      <c r="A6186" s="3" t="s">
        <v>459</v>
      </c>
      <c r="B6186" s="4" t="s">
        <v>65</v>
      </c>
      <c r="C6186" s="4" t="n">
        <v>5</v>
      </c>
      <c r="D6186" s="4" t="s">
        <v>124</v>
      </c>
      <c r="E6186" s="3" t="s">
        <v>185</v>
      </c>
      <c r="F6186" s="4" t="str">
        <f aca="false">IF(I6186&gt;J6186,"Y","N")</f>
        <v>Y</v>
      </c>
      <c r="G6186" s="3" t="s">
        <v>36</v>
      </c>
      <c r="H6186" s="3" t="s">
        <v>37</v>
      </c>
      <c r="I6186" s="4" t="n">
        <v>21</v>
      </c>
      <c r="J6186" s="4" t="n">
        <f aca="false">LEN(E6186)-LEN(SUBSTITUTE(E6186,",",""))+1</f>
        <v>7</v>
      </c>
      <c r="K6186" s="3" t="str">
        <f aca="false">IFERROR(INDEX('Teacher Lookup'!$B$2:$B$200,MATCH(A6186,'Teacher Lookup'!$A$2:$A$200,0)),"")</f>
        <v>HUI Kelly</v>
      </c>
    </row>
    <row r="6187" customFormat="false" ht="15" hidden="false" customHeight="false" outlineLevel="0" collapsed="false">
      <c r="A6187" s="3" t="s">
        <v>459</v>
      </c>
      <c r="B6187" s="4" t="s">
        <v>65</v>
      </c>
      <c r="C6187" s="4" t="n">
        <v>5</v>
      </c>
      <c r="D6187" s="4" t="s">
        <v>139</v>
      </c>
      <c r="E6187" s="3" t="s">
        <v>185</v>
      </c>
      <c r="F6187" s="4" t="str">
        <f aca="false">IF(I6187&gt;J6187,"Y","N")</f>
        <v>Y</v>
      </c>
      <c r="G6187" s="3" t="s">
        <v>36</v>
      </c>
      <c r="H6187" s="3" t="s">
        <v>37</v>
      </c>
      <c r="I6187" s="4" t="n">
        <v>21</v>
      </c>
      <c r="J6187" s="4" t="n">
        <f aca="false">LEN(E6187)-LEN(SUBSTITUTE(E6187,",",""))+1</f>
        <v>7</v>
      </c>
      <c r="K6187" s="3" t="str">
        <f aca="false">IFERROR(INDEX('Teacher Lookup'!$B$2:$B$200,MATCH(A6187,'Teacher Lookup'!$A$2:$A$200,0)),"")</f>
        <v>HUI Kelly</v>
      </c>
    </row>
    <row r="6188" customFormat="false" ht="15" hidden="false" customHeight="false" outlineLevel="0" collapsed="false">
      <c r="A6188" s="3" t="s">
        <v>459</v>
      </c>
      <c r="B6188" s="4" t="s">
        <v>65</v>
      </c>
      <c r="C6188" s="4" t="n">
        <v>5</v>
      </c>
      <c r="D6188" s="4" t="s">
        <v>140</v>
      </c>
      <c r="E6188" s="3" t="s">
        <v>185</v>
      </c>
      <c r="F6188" s="4" t="str">
        <f aca="false">IF(I6188&gt;J6188,"Y","N")</f>
        <v>Y</v>
      </c>
      <c r="G6188" s="3" t="s">
        <v>36</v>
      </c>
      <c r="H6188" s="3" t="s">
        <v>37</v>
      </c>
      <c r="I6188" s="4" t="n">
        <v>21</v>
      </c>
      <c r="J6188" s="4" t="n">
        <f aca="false">LEN(E6188)-LEN(SUBSTITUTE(E6188,",",""))+1</f>
        <v>7</v>
      </c>
      <c r="K6188" s="3" t="str">
        <f aca="false">IFERROR(INDEX('Teacher Lookup'!$B$2:$B$200,MATCH(A6188,'Teacher Lookup'!$A$2:$A$200,0)),"")</f>
        <v>HUI Kelly</v>
      </c>
    </row>
    <row r="6189" customFormat="false" ht="15" hidden="false" customHeight="false" outlineLevel="0" collapsed="false">
      <c r="A6189" s="3" t="s">
        <v>459</v>
      </c>
      <c r="B6189" s="4" t="s">
        <v>65</v>
      </c>
      <c r="C6189" s="4" t="n">
        <v>5</v>
      </c>
      <c r="D6189" s="4" t="s">
        <v>142</v>
      </c>
      <c r="E6189" s="3" t="s">
        <v>185</v>
      </c>
      <c r="F6189" s="4" t="str">
        <f aca="false">IF(I6189&gt;J6189,"Y","N")</f>
        <v>Y</v>
      </c>
      <c r="G6189" s="3" t="s">
        <v>36</v>
      </c>
      <c r="H6189" s="3" t="s">
        <v>37</v>
      </c>
      <c r="I6189" s="4" t="n">
        <v>21</v>
      </c>
      <c r="J6189" s="4" t="n">
        <f aca="false">LEN(E6189)-LEN(SUBSTITUTE(E6189,",",""))+1</f>
        <v>7</v>
      </c>
      <c r="K6189" s="3" t="str">
        <f aca="false">IFERROR(INDEX('Teacher Lookup'!$B$2:$B$200,MATCH(A6189,'Teacher Lookup'!$A$2:$A$200,0)),"")</f>
        <v>HUI Kelly</v>
      </c>
    </row>
    <row r="6190" customFormat="false" ht="15" hidden="false" customHeight="false" outlineLevel="0" collapsed="false">
      <c r="A6190" s="3" t="s">
        <v>459</v>
      </c>
      <c r="B6190" s="4" t="s">
        <v>65</v>
      </c>
      <c r="C6190" s="4" t="n">
        <v>5</v>
      </c>
      <c r="D6190" s="4" t="s">
        <v>127</v>
      </c>
      <c r="E6190" s="3" t="s">
        <v>185</v>
      </c>
      <c r="F6190" s="4" t="str">
        <f aca="false">IF(I6190&gt;J6190,"Y","N")</f>
        <v>Y</v>
      </c>
      <c r="G6190" s="3" t="s">
        <v>36</v>
      </c>
      <c r="H6190" s="3" t="s">
        <v>37</v>
      </c>
      <c r="I6190" s="4" t="n">
        <v>21</v>
      </c>
      <c r="J6190" s="4" t="n">
        <f aca="false">LEN(E6190)-LEN(SUBSTITUTE(E6190,",",""))+1</f>
        <v>7</v>
      </c>
      <c r="K6190" s="3" t="str">
        <f aca="false">IFERROR(INDEX('Teacher Lookup'!$B$2:$B$200,MATCH(A6190,'Teacher Lookup'!$A$2:$A$200,0)),"")</f>
        <v>HUI Kelly</v>
      </c>
    </row>
    <row r="6191" customFormat="false" ht="15" hidden="false" customHeight="false" outlineLevel="0" collapsed="false">
      <c r="A6191" s="3" t="s">
        <v>459</v>
      </c>
      <c r="B6191" s="4" t="s">
        <v>65</v>
      </c>
      <c r="C6191" s="4" t="n">
        <v>6</v>
      </c>
      <c r="D6191" s="4" t="s">
        <v>70</v>
      </c>
      <c r="E6191" s="3" t="s">
        <v>218</v>
      </c>
      <c r="F6191" s="4" t="str">
        <f aca="false">IF(I6191&gt;J6191,"Y","N")</f>
        <v>N</v>
      </c>
      <c r="G6191" s="3" t="s">
        <v>164</v>
      </c>
      <c r="H6191" s="3" t="s">
        <v>42</v>
      </c>
      <c r="I6191" s="4" t="n">
        <v>4</v>
      </c>
      <c r="J6191" s="4" t="n">
        <f aca="false">LEN(E6191)-LEN(SUBSTITUTE(E6191,",",""))+1</f>
        <v>4</v>
      </c>
      <c r="K6191" s="3" t="str">
        <f aca="false">IFERROR(INDEX('Teacher Lookup'!$B$2:$B$200,MATCH(A6191,'Teacher Lookup'!$A$2:$A$200,0)),"")</f>
        <v>HUI Kelly</v>
      </c>
    </row>
    <row r="6192" customFormat="false" ht="15" hidden="false" customHeight="false" outlineLevel="0" collapsed="false">
      <c r="A6192" s="3" t="s">
        <v>459</v>
      </c>
      <c r="B6192" s="4" t="s">
        <v>65</v>
      </c>
      <c r="C6192" s="4" t="n">
        <v>6</v>
      </c>
      <c r="D6192" s="4" t="s">
        <v>73</v>
      </c>
      <c r="E6192" s="3" t="s">
        <v>218</v>
      </c>
      <c r="F6192" s="4" t="str">
        <f aca="false">IF(I6192&gt;J6192,"Y","N")</f>
        <v>N</v>
      </c>
      <c r="G6192" s="3" t="s">
        <v>164</v>
      </c>
      <c r="H6192" s="3" t="s">
        <v>42</v>
      </c>
      <c r="I6192" s="4" t="n">
        <v>4</v>
      </c>
      <c r="J6192" s="4" t="n">
        <f aca="false">LEN(E6192)-LEN(SUBSTITUTE(E6192,",",""))+1</f>
        <v>4</v>
      </c>
      <c r="K6192" s="3" t="str">
        <f aca="false">IFERROR(INDEX('Teacher Lookup'!$B$2:$B$200,MATCH(A6192,'Teacher Lookup'!$A$2:$A$200,0)),"")</f>
        <v>HUI Kelly</v>
      </c>
    </row>
    <row r="6193" customFormat="false" ht="15" hidden="false" customHeight="false" outlineLevel="0" collapsed="false">
      <c r="A6193" s="3" t="s">
        <v>459</v>
      </c>
      <c r="B6193" s="4" t="s">
        <v>65</v>
      </c>
      <c r="C6193" s="4" t="n">
        <v>6</v>
      </c>
      <c r="D6193" s="4" t="s">
        <v>74</v>
      </c>
      <c r="E6193" s="3" t="s">
        <v>218</v>
      </c>
      <c r="F6193" s="4" t="str">
        <f aca="false">IF(I6193&gt;J6193,"Y","N")</f>
        <v>N</v>
      </c>
      <c r="G6193" s="3" t="s">
        <v>164</v>
      </c>
      <c r="H6193" s="3" t="s">
        <v>42</v>
      </c>
      <c r="I6193" s="4" t="n">
        <v>4</v>
      </c>
      <c r="J6193" s="4" t="n">
        <f aca="false">LEN(E6193)-LEN(SUBSTITUTE(E6193,",",""))+1</f>
        <v>4</v>
      </c>
      <c r="K6193" s="3" t="str">
        <f aca="false">IFERROR(INDEX('Teacher Lookup'!$B$2:$B$200,MATCH(A6193,'Teacher Lookup'!$A$2:$A$200,0)),"")</f>
        <v>HUI Kelly</v>
      </c>
    </row>
    <row r="6194" customFormat="false" ht="15" hidden="false" customHeight="false" outlineLevel="0" collapsed="false">
      <c r="A6194" s="3" t="s">
        <v>459</v>
      </c>
      <c r="B6194" s="4" t="s">
        <v>65</v>
      </c>
      <c r="C6194" s="4" t="n">
        <v>7</v>
      </c>
      <c r="D6194" s="4" t="s">
        <v>70</v>
      </c>
      <c r="E6194" s="3" t="s">
        <v>218</v>
      </c>
      <c r="F6194" s="4" t="str">
        <f aca="false">IF(I6194&gt;J6194,"Y","N")</f>
        <v>N</v>
      </c>
      <c r="G6194" s="3" t="s">
        <v>164</v>
      </c>
      <c r="H6194" s="3" t="s">
        <v>39</v>
      </c>
      <c r="I6194" s="4" t="n">
        <v>4</v>
      </c>
      <c r="J6194" s="4" t="n">
        <f aca="false">LEN(E6194)-LEN(SUBSTITUTE(E6194,",",""))+1</f>
        <v>4</v>
      </c>
      <c r="K6194" s="3" t="str">
        <f aca="false">IFERROR(INDEX('Teacher Lookup'!$B$2:$B$200,MATCH(A6194,'Teacher Lookup'!$A$2:$A$200,0)),"")</f>
        <v>HUI Kelly</v>
      </c>
    </row>
    <row r="6195" customFormat="false" ht="15" hidden="false" customHeight="false" outlineLevel="0" collapsed="false">
      <c r="A6195" s="3" t="s">
        <v>459</v>
      </c>
      <c r="B6195" s="4" t="s">
        <v>65</v>
      </c>
      <c r="C6195" s="4" t="n">
        <v>7</v>
      </c>
      <c r="D6195" s="4" t="s">
        <v>73</v>
      </c>
      <c r="E6195" s="3" t="s">
        <v>218</v>
      </c>
      <c r="F6195" s="4" t="str">
        <f aca="false">IF(I6195&gt;J6195,"Y","N")</f>
        <v>N</v>
      </c>
      <c r="G6195" s="3" t="s">
        <v>164</v>
      </c>
      <c r="H6195" s="3" t="s">
        <v>39</v>
      </c>
      <c r="I6195" s="4" t="n">
        <v>4</v>
      </c>
      <c r="J6195" s="4" t="n">
        <f aca="false">LEN(E6195)-LEN(SUBSTITUTE(E6195,",",""))+1</f>
        <v>4</v>
      </c>
      <c r="K6195" s="3" t="str">
        <f aca="false">IFERROR(INDEX('Teacher Lookup'!$B$2:$B$200,MATCH(A6195,'Teacher Lookup'!$A$2:$A$200,0)),"")</f>
        <v>HUI Kelly</v>
      </c>
    </row>
    <row r="6196" customFormat="false" ht="15" hidden="false" customHeight="false" outlineLevel="0" collapsed="false">
      <c r="A6196" s="3" t="s">
        <v>459</v>
      </c>
      <c r="B6196" s="4" t="s">
        <v>65</v>
      </c>
      <c r="C6196" s="4" t="n">
        <v>7</v>
      </c>
      <c r="D6196" s="4" t="s">
        <v>74</v>
      </c>
      <c r="E6196" s="3" t="s">
        <v>218</v>
      </c>
      <c r="F6196" s="4" t="str">
        <f aca="false">IF(I6196&gt;J6196,"Y","N")</f>
        <v>N</v>
      </c>
      <c r="G6196" s="3" t="s">
        <v>164</v>
      </c>
      <c r="H6196" s="3" t="s">
        <v>39</v>
      </c>
      <c r="I6196" s="4" t="n">
        <v>4</v>
      </c>
      <c r="J6196" s="4" t="n">
        <f aca="false">LEN(E6196)-LEN(SUBSTITUTE(E6196,",",""))+1</f>
        <v>4</v>
      </c>
      <c r="K6196" s="3" t="str">
        <f aca="false">IFERROR(INDEX('Teacher Lookup'!$B$2:$B$200,MATCH(A6196,'Teacher Lookup'!$A$2:$A$200,0)),"")</f>
        <v>HUI Kelly</v>
      </c>
    </row>
    <row r="6197" customFormat="false" ht="15" hidden="false" customHeight="false" outlineLevel="0" collapsed="false">
      <c r="A6197" s="3" t="s">
        <v>459</v>
      </c>
      <c r="B6197" s="4" t="s">
        <v>66</v>
      </c>
      <c r="C6197" s="4" t="n">
        <v>2</v>
      </c>
      <c r="D6197" s="4" t="s">
        <v>70</v>
      </c>
      <c r="E6197" s="3" t="s">
        <v>91</v>
      </c>
      <c r="F6197" s="4" t="str">
        <f aca="false">IF(I6197&gt;J6197,"Y","N")</f>
        <v>N</v>
      </c>
      <c r="G6197" s="3" t="s">
        <v>164</v>
      </c>
      <c r="H6197" s="3" t="s">
        <v>21</v>
      </c>
      <c r="I6197" s="4" t="n">
        <v>4</v>
      </c>
      <c r="J6197" s="4" t="n">
        <f aca="false">LEN(E6197)-LEN(SUBSTITUTE(E6197,",",""))+1</f>
        <v>4</v>
      </c>
      <c r="K6197" s="3" t="str">
        <f aca="false">IFERROR(INDEX('Teacher Lookup'!$B$2:$B$200,MATCH(A6197,'Teacher Lookup'!$A$2:$A$200,0)),"")</f>
        <v>HUI Kelly</v>
      </c>
    </row>
    <row r="6198" customFormat="false" ht="15" hidden="false" customHeight="false" outlineLevel="0" collapsed="false">
      <c r="A6198" s="3" t="s">
        <v>459</v>
      </c>
      <c r="B6198" s="4" t="s">
        <v>66</v>
      </c>
      <c r="C6198" s="4" t="n">
        <v>2</v>
      </c>
      <c r="D6198" s="4" t="s">
        <v>73</v>
      </c>
      <c r="E6198" s="3" t="s">
        <v>91</v>
      </c>
      <c r="F6198" s="4" t="str">
        <f aca="false">IF(I6198&gt;J6198,"Y","N")</f>
        <v>N</v>
      </c>
      <c r="G6198" s="3" t="s">
        <v>164</v>
      </c>
      <c r="H6198" s="3" t="s">
        <v>21</v>
      </c>
      <c r="I6198" s="4" t="n">
        <v>4</v>
      </c>
      <c r="J6198" s="4" t="n">
        <f aca="false">LEN(E6198)-LEN(SUBSTITUTE(E6198,",",""))+1</f>
        <v>4</v>
      </c>
      <c r="K6198" s="3" t="str">
        <f aca="false">IFERROR(INDEX('Teacher Lookup'!$B$2:$B$200,MATCH(A6198,'Teacher Lookup'!$A$2:$A$200,0)),"")</f>
        <v>HUI Kelly</v>
      </c>
    </row>
    <row r="6199" customFormat="false" ht="15" hidden="false" customHeight="false" outlineLevel="0" collapsed="false">
      <c r="A6199" s="3" t="s">
        <v>459</v>
      </c>
      <c r="B6199" s="4" t="s">
        <v>66</v>
      </c>
      <c r="C6199" s="4" t="n">
        <v>2</v>
      </c>
      <c r="D6199" s="4" t="s">
        <v>74</v>
      </c>
      <c r="E6199" s="3" t="s">
        <v>91</v>
      </c>
      <c r="F6199" s="4" t="str">
        <f aca="false">IF(I6199&gt;J6199,"Y","N")</f>
        <v>N</v>
      </c>
      <c r="G6199" s="3" t="s">
        <v>164</v>
      </c>
      <c r="H6199" s="3" t="s">
        <v>21</v>
      </c>
      <c r="I6199" s="4" t="n">
        <v>4</v>
      </c>
      <c r="J6199" s="4" t="n">
        <f aca="false">LEN(E6199)-LEN(SUBSTITUTE(E6199,",",""))+1</f>
        <v>4</v>
      </c>
      <c r="K6199" s="3" t="str">
        <f aca="false">IFERROR(INDEX('Teacher Lookup'!$B$2:$B$200,MATCH(A6199,'Teacher Lookup'!$A$2:$A$200,0)),"")</f>
        <v>HUI Kelly</v>
      </c>
    </row>
    <row r="6200" customFormat="false" ht="15" hidden="false" customHeight="false" outlineLevel="0" collapsed="false">
      <c r="A6200" s="3" t="s">
        <v>459</v>
      </c>
      <c r="B6200" s="4" t="s">
        <v>66</v>
      </c>
      <c r="C6200" s="4" t="n">
        <v>5</v>
      </c>
      <c r="D6200" s="4" t="s">
        <v>137</v>
      </c>
      <c r="E6200" s="3" t="s">
        <v>146</v>
      </c>
      <c r="F6200" s="4" t="str">
        <f aca="false">IF(I6200&gt;J6200,"Y","N")</f>
        <v>N</v>
      </c>
      <c r="G6200" s="3" t="s">
        <v>164</v>
      </c>
      <c r="H6200" s="3" t="s">
        <v>37</v>
      </c>
      <c r="I6200" s="4" t="n">
        <v>4</v>
      </c>
      <c r="J6200" s="4" t="n">
        <f aca="false">LEN(E6200)-LEN(SUBSTITUTE(E6200,",",""))+1</f>
        <v>4</v>
      </c>
      <c r="K6200" s="3" t="str">
        <f aca="false">IFERROR(INDEX('Teacher Lookup'!$B$2:$B$200,MATCH(A6200,'Teacher Lookup'!$A$2:$A$200,0)),"")</f>
        <v>HUI Kelly</v>
      </c>
    </row>
    <row r="6201" customFormat="false" ht="15" hidden="false" customHeight="false" outlineLevel="0" collapsed="false">
      <c r="A6201" s="3" t="s">
        <v>459</v>
      </c>
      <c r="B6201" s="4" t="s">
        <v>66</v>
      </c>
      <c r="C6201" s="4" t="n">
        <v>5</v>
      </c>
      <c r="D6201" s="4" t="s">
        <v>124</v>
      </c>
      <c r="E6201" s="3" t="s">
        <v>146</v>
      </c>
      <c r="F6201" s="4" t="str">
        <f aca="false">IF(I6201&gt;J6201,"Y","N")</f>
        <v>N</v>
      </c>
      <c r="G6201" s="3" t="s">
        <v>164</v>
      </c>
      <c r="H6201" s="3" t="s">
        <v>37</v>
      </c>
      <c r="I6201" s="4" t="n">
        <v>4</v>
      </c>
      <c r="J6201" s="4" t="n">
        <f aca="false">LEN(E6201)-LEN(SUBSTITUTE(E6201,",",""))+1</f>
        <v>4</v>
      </c>
      <c r="K6201" s="3" t="str">
        <f aca="false">IFERROR(INDEX('Teacher Lookup'!$B$2:$B$200,MATCH(A6201,'Teacher Lookup'!$A$2:$A$200,0)),"")</f>
        <v>HUI Kelly</v>
      </c>
    </row>
    <row r="6202" customFormat="false" ht="15" hidden="false" customHeight="false" outlineLevel="0" collapsed="false">
      <c r="A6202" s="3" t="s">
        <v>459</v>
      </c>
      <c r="B6202" s="4" t="s">
        <v>66</v>
      </c>
      <c r="C6202" s="4" t="n">
        <v>5</v>
      </c>
      <c r="D6202" s="4" t="s">
        <v>139</v>
      </c>
      <c r="E6202" s="3" t="s">
        <v>146</v>
      </c>
      <c r="F6202" s="4" t="str">
        <f aca="false">IF(I6202&gt;J6202,"Y","N")</f>
        <v>N</v>
      </c>
      <c r="G6202" s="3" t="s">
        <v>164</v>
      </c>
      <c r="H6202" s="3" t="s">
        <v>37</v>
      </c>
      <c r="I6202" s="4" t="n">
        <v>4</v>
      </c>
      <c r="J6202" s="4" t="n">
        <f aca="false">LEN(E6202)-LEN(SUBSTITUTE(E6202,",",""))+1</f>
        <v>4</v>
      </c>
      <c r="K6202" s="3" t="str">
        <f aca="false">IFERROR(INDEX('Teacher Lookup'!$B$2:$B$200,MATCH(A6202,'Teacher Lookup'!$A$2:$A$200,0)),"")</f>
        <v>HUI Kelly</v>
      </c>
    </row>
    <row r="6203" customFormat="false" ht="15" hidden="false" customHeight="false" outlineLevel="0" collapsed="false">
      <c r="A6203" s="3" t="s">
        <v>459</v>
      </c>
      <c r="B6203" s="4" t="s">
        <v>66</v>
      </c>
      <c r="C6203" s="4" t="n">
        <v>6</v>
      </c>
      <c r="D6203" s="4" t="s">
        <v>140</v>
      </c>
      <c r="E6203" s="3" t="s">
        <v>152</v>
      </c>
      <c r="F6203" s="4" t="str">
        <f aca="false">IF(I6203&gt;J6203,"Y","N")</f>
        <v>N</v>
      </c>
      <c r="G6203" s="3" t="s">
        <v>164</v>
      </c>
      <c r="H6203" s="3" t="s">
        <v>42</v>
      </c>
      <c r="I6203" s="4" t="n">
        <v>4</v>
      </c>
      <c r="J6203" s="4" t="n">
        <f aca="false">LEN(E6203)-LEN(SUBSTITUTE(E6203,",",""))+1</f>
        <v>4</v>
      </c>
      <c r="K6203" s="3" t="str">
        <f aca="false">IFERROR(INDEX('Teacher Lookup'!$B$2:$B$200,MATCH(A6203,'Teacher Lookup'!$A$2:$A$200,0)),"")</f>
        <v>HUI Kelly</v>
      </c>
    </row>
    <row r="6204" customFormat="false" ht="15" hidden="false" customHeight="false" outlineLevel="0" collapsed="false">
      <c r="A6204" s="3" t="s">
        <v>459</v>
      </c>
      <c r="B6204" s="4" t="s">
        <v>66</v>
      </c>
      <c r="C6204" s="4" t="n">
        <v>6</v>
      </c>
      <c r="D6204" s="4" t="s">
        <v>142</v>
      </c>
      <c r="E6204" s="3" t="s">
        <v>152</v>
      </c>
      <c r="F6204" s="4" t="str">
        <f aca="false">IF(I6204&gt;J6204,"Y","N")</f>
        <v>N</v>
      </c>
      <c r="G6204" s="3" t="s">
        <v>164</v>
      </c>
      <c r="H6204" s="3" t="s">
        <v>42</v>
      </c>
      <c r="I6204" s="4" t="n">
        <v>4</v>
      </c>
      <c r="J6204" s="4" t="n">
        <f aca="false">LEN(E6204)-LEN(SUBSTITUTE(E6204,",",""))+1</f>
        <v>4</v>
      </c>
      <c r="K6204" s="3" t="str">
        <f aca="false">IFERROR(INDEX('Teacher Lookup'!$B$2:$B$200,MATCH(A6204,'Teacher Lookup'!$A$2:$A$200,0)),"")</f>
        <v>HUI Kelly</v>
      </c>
    </row>
    <row r="6205" customFormat="false" ht="15" hidden="false" customHeight="false" outlineLevel="0" collapsed="false">
      <c r="A6205" s="3" t="s">
        <v>459</v>
      </c>
      <c r="B6205" s="4" t="s">
        <v>66</v>
      </c>
      <c r="C6205" s="4" t="n">
        <v>6</v>
      </c>
      <c r="D6205" s="4" t="s">
        <v>127</v>
      </c>
      <c r="E6205" s="3" t="s">
        <v>152</v>
      </c>
      <c r="F6205" s="4" t="str">
        <f aca="false">IF(I6205&gt;J6205,"Y","N")</f>
        <v>N</v>
      </c>
      <c r="G6205" s="3" t="s">
        <v>164</v>
      </c>
      <c r="H6205" s="3" t="s">
        <v>42</v>
      </c>
      <c r="I6205" s="4" t="n">
        <v>4</v>
      </c>
      <c r="J6205" s="4" t="n">
        <f aca="false">LEN(E6205)-LEN(SUBSTITUTE(E6205,",",""))+1</f>
        <v>4</v>
      </c>
      <c r="K6205" s="3" t="str">
        <f aca="false">IFERROR(INDEX('Teacher Lookup'!$B$2:$B$200,MATCH(A6205,'Teacher Lookup'!$A$2:$A$200,0)),"")</f>
        <v>HUI Kelly</v>
      </c>
    </row>
    <row r="6206" customFormat="false" ht="15" hidden="false" customHeight="false" outlineLevel="0" collapsed="false">
      <c r="A6206" s="3" t="s">
        <v>460</v>
      </c>
      <c r="B6206" s="4" t="s">
        <v>12</v>
      </c>
      <c r="C6206" s="4" t="n">
        <v>3</v>
      </c>
      <c r="D6206" s="4" t="s">
        <v>23</v>
      </c>
      <c r="E6206" s="3" t="s">
        <v>125</v>
      </c>
      <c r="F6206" s="4" t="str">
        <f aca="false">IF(I6206&gt;J6206,"Y","N")</f>
        <v>N</v>
      </c>
      <c r="G6206" s="3" t="s">
        <v>126</v>
      </c>
      <c r="H6206" s="3" t="s">
        <v>26</v>
      </c>
      <c r="I6206" s="4" t="n">
        <v>1</v>
      </c>
      <c r="J6206" s="4" t="n">
        <f aca="false">LEN(E6206)-LEN(SUBSTITUTE(E6206,",",""))+1</f>
        <v>1</v>
      </c>
      <c r="K6206" s="3" t="str">
        <f aca="false">IFERROR(INDEX('Teacher Lookup'!$B$2:$B$200,MATCH(A6206,'Teacher Lookup'!$A$2:$A$200,0)),"")</f>
        <v>LEUNG Kelly</v>
      </c>
    </row>
    <row r="6207" customFormat="false" ht="15" hidden="false" customHeight="false" outlineLevel="0" collapsed="false">
      <c r="A6207" s="3" t="s">
        <v>460</v>
      </c>
      <c r="B6207" s="4" t="s">
        <v>12</v>
      </c>
      <c r="C6207" s="4" t="n">
        <v>4</v>
      </c>
      <c r="D6207" s="4" t="s">
        <v>102</v>
      </c>
      <c r="E6207" s="3" t="s">
        <v>103</v>
      </c>
      <c r="F6207" s="4" t="str">
        <f aca="false">IF(I6207&gt;J6207,"Y","N")</f>
        <v>N</v>
      </c>
      <c r="G6207" s="3" t="s">
        <v>104</v>
      </c>
      <c r="H6207" s="3" t="s">
        <v>34</v>
      </c>
      <c r="I6207" s="4" t="n">
        <v>6</v>
      </c>
      <c r="J6207" s="4" t="n">
        <f aca="false">LEN(E6207)-LEN(SUBSTITUTE(E6207,",",""))+1</f>
        <v>6</v>
      </c>
      <c r="K6207" s="3" t="str">
        <f aca="false">IFERROR(INDEX('Teacher Lookup'!$B$2:$B$200,MATCH(A6207,'Teacher Lookup'!$A$2:$A$200,0)),"")</f>
        <v>LEUNG Kelly</v>
      </c>
    </row>
    <row r="6208" customFormat="false" ht="15" hidden="false" customHeight="false" outlineLevel="0" collapsed="false">
      <c r="A6208" s="3" t="s">
        <v>460</v>
      </c>
      <c r="B6208" s="4" t="s">
        <v>12</v>
      </c>
      <c r="C6208" s="4" t="n">
        <v>4</v>
      </c>
      <c r="D6208" s="4" t="s">
        <v>105</v>
      </c>
      <c r="E6208" s="3" t="s">
        <v>103</v>
      </c>
      <c r="F6208" s="4" t="str">
        <f aca="false">IF(I6208&gt;J6208,"Y","N")</f>
        <v>N</v>
      </c>
      <c r="G6208" s="3" t="s">
        <v>104</v>
      </c>
      <c r="H6208" s="3" t="s">
        <v>34</v>
      </c>
      <c r="I6208" s="4" t="n">
        <v>6</v>
      </c>
      <c r="J6208" s="4" t="n">
        <f aca="false">LEN(E6208)-LEN(SUBSTITUTE(E6208,",",""))+1</f>
        <v>6</v>
      </c>
      <c r="K6208" s="3" t="str">
        <f aca="false">IFERROR(INDEX('Teacher Lookup'!$B$2:$B$200,MATCH(A6208,'Teacher Lookup'!$A$2:$A$200,0)),"")</f>
        <v>LEUNG Kelly</v>
      </c>
    </row>
    <row r="6209" customFormat="false" ht="15" hidden="false" customHeight="false" outlineLevel="0" collapsed="false">
      <c r="A6209" s="3" t="s">
        <v>460</v>
      </c>
      <c r="B6209" s="4" t="s">
        <v>12</v>
      </c>
      <c r="C6209" s="4" t="n">
        <v>4</v>
      </c>
      <c r="D6209" s="4" t="s">
        <v>106</v>
      </c>
      <c r="E6209" s="3" t="s">
        <v>103</v>
      </c>
      <c r="F6209" s="4" t="str">
        <f aca="false">IF(I6209&gt;J6209,"Y","N")</f>
        <v>N</v>
      </c>
      <c r="G6209" s="3" t="s">
        <v>104</v>
      </c>
      <c r="H6209" s="3" t="s">
        <v>34</v>
      </c>
      <c r="I6209" s="4" t="n">
        <v>6</v>
      </c>
      <c r="J6209" s="4" t="n">
        <f aca="false">LEN(E6209)-LEN(SUBSTITUTE(E6209,",",""))+1</f>
        <v>6</v>
      </c>
      <c r="K6209" s="3" t="str">
        <f aca="false">IFERROR(INDEX('Teacher Lookup'!$B$2:$B$200,MATCH(A6209,'Teacher Lookup'!$A$2:$A$200,0)),"")</f>
        <v>LEUNG Kelly</v>
      </c>
    </row>
    <row r="6210" customFormat="false" ht="15" hidden="false" customHeight="false" outlineLevel="0" collapsed="false">
      <c r="A6210" s="3" t="s">
        <v>460</v>
      </c>
      <c r="B6210" s="4" t="s">
        <v>12</v>
      </c>
      <c r="C6210" s="4" t="n">
        <v>4</v>
      </c>
      <c r="D6210" s="4" t="s">
        <v>107</v>
      </c>
      <c r="E6210" s="3" t="s">
        <v>103</v>
      </c>
      <c r="F6210" s="4" t="str">
        <f aca="false">IF(I6210&gt;J6210,"Y","N")</f>
        <v>N</v>
      </c>
      <c r="G6210" s="3" t="s">
        <v>104</v>
      </c>
      <c r="H6210" s="3" t="s">
        <v>34</v>
      </c>
      <c r="I6210" s="4" t="n">
        <v>6</v>
      </c>
      <c r="J6210" s="4" t="n">
        <f aca="false">LEN(E6210)-LEN(SUBSTITUTE(E6210,",",""))+1</f>
        <v>6</v>
      </c>
      <c r="K6210" s="3" t="str">
        <f aca="false">IFERROR(INDEX('Teacher Lookup'!$B$2:$B$200,MATCH(A6210,'Teacher Lookup'!$A$2:$A$200,0)),"")</f>
        <v>LEUNG Kelly</v>
      </c>
    </row>
    <row r="6211" customFormat="false" ht="15" hidden="false" customHeight="false" outlineLevel="0" collapsed="false">
      <c r="A6211" s="3" t="s">
        <v>460</v>
      </c>
      <c r="B6211" s="4" t="s">
        <v>12</v>
      </c>
      <c r="C6211" s="4" t="n">
        <v>5</v>
      </c>
      <c r="D6211" s="4" t="s">
        <v>102</v>
      </c>
      <c r="E6211" s="3" t="s">
        <v>103</v>
      </c>
      <c r="F6211" s="4" t="str">
        <f aca="false">IF(I6211&gt;J6211,"Y","N")</f>
        <v>N</v>
      </c>
      <c r="G6211" s="3" t="s">
        <v>104</v>
      </c>
      <c r="H6211" s="3" t="s">
        <v>37</v>
      </c>
      <c r="I6211" s="4" t="n">
        <v>6</v>
      </c>
      <c r="J6211" s="4" t="n">
        <f aca="false">LEN(E6211)-LEN(SUBSTITUTE(E6211,",",""))+1</f>
        <v>6</v>
      </c>
      <c r="K6211" s="3" t="str">
        <f aca="false">IFERROR(INDEX('Teacher Lookup'!$B$2:$B$200,MATCH(A6211,'Teacher Lookup'!$A$2:$A$200,0)),"")</f>
        <v>LEUNG Kelly</v>
      </c>
    </row>
    <row r="6212" customFormat="false" ht="15" hidden="false" customHeight="false" outlineLevel="0" collapsed="false">
      <c r="A6212" s="3" t="s">
        <v>460</v>
      </c>
      <c r="B6212" s="4" t="s">
        <v>12</v>
      </c>
      <c r="C6212" s="4" t="n">
        <v>5</v>
      </c>
      <c r="D6212" s="4" t="s">
        <v>105</v>
      </c>
      <c r="E6212" s="3" t="s">
        <v>103</v>
      </c>
      <c r="F6212" s="4" t="str">
        <f aca="false">IF(I6212&gt;J6212,"Y","N")</f>
        <v>N</v>
      </c>
      <c r="G6212" s="3" t="s">
        <v>104</v>
      </c>
      <c r="H6212" s="3" t="s">
        <v>37</v>
      </c>
      <c r="I6212" s="4" t="n">
        <v>6</v>
      </c>
      <c r="J6212" s="4" t="n">
        <f aca="false">LEN(E6212)-LEN(SUBSTITUTE(E6212,",",""))+1</f>
        <v>6</v>
      </c>
      <c r="K6212" s="3" t="str">
        <f aca="false">IFERROR(INDEX('Teacher Lookup'!$B$2:$B$200,MATCH(A6212,'Teacher Lookup'!$A$2:$A$200,0)),"")</f>
        <v>LEUNG Kelly</v>
      </c>
    </row>
    <row r="6213" customFormat="false" ht="15" hidden="false" customHeight="false" outlineLevel="0" collapsed="false">
      <c r="A6213" s="3" t="s">
        <v>460</v>
      </c>
      <c r="B6213" s="4" t="s">
        <v>12</v>
      </c>
      <c r="C6213" s="4" t="n">
        <v>5</v>
      </c>
      <c r="D6213" s="4" t="s">
        <v>106</v>
      </c>
      <c r="E6213" s="3" t="s">
        <v>103</v>
      </c>
      <c r="F6213" s="4" t="str">
        <f aca="false">IF(I6213&gt;J6213,"Y","N")</f>
        <v>N</v>
      </c>
      <c r="G6213" s="3" t="s">
        <v>104</v>
      </c>
      <c r="H6213" s="3" t="s">
        <v>37</v>
      </c>
      <c r="I6213" s="4" t="n">
        <v>6</v>
      </c>
      <c r="J6213" s="4" t="n">
        <f aca="false">LEN(E6213)-LEN(SUBSTITUTE(E6213,",",""))+1</f>
        <v>6</v>
      </c>
      <c r="K6213" s="3" t="str">
        <f aca="false">IFERROR(INDEX('Teacher Lookup'!$B$2:$B$200,MATCH(A6213,'Teacher Lookup'!$A$2:$A$200,0)),"")</f>
        <v>LEUNG Kelly</v>
      </c>
    </row>
    <row r="6214" customFormat="false" ht="15" hidden="false" customHeight="false" outlineLevel="0" collapsed="false">
      <c r="A6214" s="3" t="s">
        <v>460</v>
      </c>
      <c r="B6214" s="4" t="s">
        <v>12</v>
      </c>
      <c r="C6214" s="4" t="n">
        <v>5</v>
      </c>
      <c r="D6214" s="4" t="s">
        <v>107</v>
      </c>
      <c r="E6214" s="3" t="s">
        <v>103</v>
      </c>
      <c r="F6214" s="4" t="str">
        <f aca="false">IF(I6214&gt;J6214,"Y","N")</f>
        <v>N</v>
      </c>
      <c r="G6214" s="3" t="s">
        <v>104</v>
      </c>
      <c r="H6214" s="3" t="s">
        <v>37</v>
      </c>
      <c r="I6214" s="4" t="n">
        <v>6</v>
      </c>
      <c r="J6214" s="4" t="n">
        <f aca="false">LEN(E6214)-LEN(SUBSTITUTE(E6214,",",""))+1</f>
        <v>6</v>
      </c>
      <c r="K6214" s="3" t="str">
        <f aca="false">IFERROR(INDEX('Teacher Lookup'!$B$2:$B$200,MATCH(A6214,'Teacher Lookup'!$A$2:$A$200,0)),"")</f>
        <v>LEUNG Kelly</v>
      </c>
    </row>
    <row r="6215" customFormat="false" ht="15" hidden="false" customHeight="false" outlineLevel="0" collapsed="false">
      <c r="A6215" s="3" t="s">
        <v>460</v>
      </c>
      <c r="B6215" s="4" t="s">
        <v>31</v>
      </c>
      <c r="C6215" s="4" t="n">
        <v>1</v>
      </c>
      <c r="D6215" s="4" t="s">
        <v>23</v>
      </c>
      <c r="E6215" s="3" t="s">
        <v>133</v>
      </c>
      <c r="F6215" s="4" t="str">
        <f aca="false">IF(I6215&gt;J6215,"Y","N")</f>
        <v>N</v>
      </c>
      <c r="G6215" s="3" t="s">
        <v>126</v>
      </c>
      <c r="H6215" s="3" t="s">
        <v>16</v>
      </c>
      <c r="I6215" s="4" t="n">
        <v>1</v>
      </c>
      <c r="J6215" s="4" t="n">
        <f aca="false">LEN(E6215)-LEN(SUBSTITUTE(E6215,",",""))+1</f>
        <v>1</v>
      </c>
      <c r="K6215" s="3" t="str">
        <f aca="false">IFERROR(INDEX('Teacher Lookup'!$B$2:$B$200,MATCH(A6215,'Teacher Lookup'!$A$2:$A$200,0)),"")</f>
        <v>LEUNG Kelly</v>
      </c>
    </row>
    <row r="6216" customFormat="false" ht="15" hidden="false" customHeight="false" outlineLevel="0" collapsed="false">
      <c r="A6216" s="3" t="s">
        <v>460</v>
      </c>
      <c r="B6216" s="4" t="s">
        <v>31</v>
      </c>
      <c r="C6216" s="4" t="n">
        <v>2</v>
      </c>
      <c r="D6216" s="4" t="s">
        <v>76</v>
      </c>
      <c r="E6216" s="3" t="s">
        <v>246</v>
      </c>
      <c r="F6216" s="4" t="str">
        <f aca="false">IF(I6216&gt;J6216,"Y","N")</f>
        <v>N</v>
      </c>
      <c r="G6216" s="3" t="s">
        <v>235</v>
      </c>
      <c r="H6216" s="3" t="s">
        <v>21</v>
      </c>
      <c r="I6216" s="4" t="n">
        <v>1</v>
      </c>
      <c r="J6216" s="4" t="n">
        <f aca="false">LEN(E6216)-LEN(SUBSTITUTE(E6216,",",""))+1</f>
        <v>1</v>
      </c>
      <c r="K6216" s="3" t="str">
        <f aca="false">IFERROR(INDEX('Teacher Lookup'!$B$2:$B$200,MATCH(A6216,'Teacher Lookup'!$A$2:$A$200,0)),"")</f>
        <v>LEUNG Kelly</v>
      </c>
    </row>
    <row r="6217" customFormat="false" ht="15" hidden="false" customHeight="false" outlineLevel="0" collapsed="false">
      <c r="A6217" s="3" t="s">
        <v>460</v>
      </c>
      <c r="B6217" s="4" t="s">
        <v>31</v>
      </c>
      <c r="C6217" s="4" t="n">
        <v>3</v>
      </c>
      <c r="D6217" s="4" t="s">
        <v>102</v>
      </c>
      <c r="E6217" s="3" t="s">
        <v>110</v>
      </c>
      <c r="F6217" s="4" t="str">
        <f aca="false">IF(I6217&gt;J6217,"Y","N")</f>
        <v>N</v>
      </c>
      <c r="G6217" s="3" t="s">
        <v>104</v>
      </c>
      <c r="H6217" s="3" t="s">
        <v>26</v>
      </c>
      <c r="I6217" s="4" t="n">
        <v>6</v>
      </c>
      <c r="J6217" s="4" t="n">
        <f aca="false">LEN(E6217)-LEN(SUBSTITUTE(E6217,",",""))+1</f>
        <v>6</v>
      </c>
      <c r="K6217" s="3" t="str">
        <f aca="false">IFERROR(INDEX('Teacher Lookup'!$B$2:$B$200,MATCH(A6217,'Teacher Lookup'!$A$2:$A$200,0)),"")</f>
        <v>LEUNG Kelly</v>
      </c>
    </row>
    <row r="6218" customFormat="false" ht="15" hidden="false" customHeight="false" outlineLevel="0" collapsed="false">
      <c r="A6218" s="3" t="s">
        <v>460</v>
      </c>
      <c r="B6218" s="4" t="s">
        <v>31</v>
      </c>
      <c r="C6218" s="4" t="n">
        <v>3</v>
      </c>
      <c r="D6218" s="4" t="s">
        <v>105</v>
      </c>
      <c r="E6218" s="3" t="s">
        <v>110</v>
      </c>
      <c r="F6218" s="4" t="str">
        <f aca="false">IF(I6218&gt;J6218,"Y","N")</f>
        <v>N</v>
      </c>
      <c r="G6218" s="3" t="s">
        <v>104</v>
      </c>
      <c r="H6218" s="3" t="s">
        <v>26</v>
      </c>
      <c r="I6218" s="4" t="n">
        <v>6</v>
      </c>
      <c r="J6218" s="4" t="n">
        <f aca="false">LEN(E6218)-LEN(SUBSTITUTE(E6218,",",""))+1</f>
        <v>6</v>
      </c>
      <c r="K6218" s="3" t="str">
        <f aca="false">IFERROR(INDEX('Teacher Lookup'!$B$2:$B$200,MATCH(A6218,'Teacher Lookup'!$A$2:$A$200,0)),"")</f>
        <v>LEUNG Kelly</v>
      </c>
    </row>
    <row r="6219" customFormat="false" ht="15" hidden="false" customHeight="false" outlineLevel="0" collapsed="false">
      <c r="A6219" s="3" t="s">
        <v>460</v>
      </c>
      <c r="B6219" s="4" t="s">
        <v>31</v>
      </c>
      <c r="C6219" s="4" t="n">
        <v>3</v>
      </c>
      <c r="D6219" s="4" t="s">
        <v>106</v>
      </c>
      <c r="E6219" s="3" t="s">
        <v>110</v>
      </c>
      <c r="F6219" s="4" t="str">
        <f aca="false">IF(I6219&gt;J6219,"Y","N")</f>
        <v>N</v>
      </c>
      <c r="G6219" s="3" t="s">
        <v>104</v>
      </c>
      <c r="H6219" s="3" t="s">
        <v>26</v>
      </c>
      <c r="I6219" s="4" t="n">
        <v>6</v>
      </c>
      <c r="J6219" s="4" t="n">
        <f aca="false">LEN(E6219)-LEN(SUBSTITUTE(E6219,",",""))+1</f>
        <v>6</v>
      </c>
      <c r="K6219" s="3" t="str">
        <f aca="false">IFERROR(INDEX('Teacher Lookup'!$B$2:$B$200,MATCH(A6219,'Teacher Lookup'!$A$2:$A$200,0)),"")</f>
        <v>LEUNG Kelly</v>
      </c>
    </row>
    <row r="6220" customFormat="false" ht="15" hidden="false" customHeight="false" outlineLevel="0" collapsed="false">
      <c r="A6220" s="3" t="s">
        <v>460</v>
      </c>
      <c r="B6220" s="4" t="s">
        <v>31</v>
      </c>
      <c r="C6220" s="4" t="n">
        <v>3</v>
      </c>
      <c r="D6220" s="4" t="s">
        <v>107</v>
      </c>
      <c r="E6220" s="3" t="s">
        <v>110</v>
      </c>
      <c r="F6220" s="4" t="str">
        <f aca="false">IF(I6220&gt;J6220,"Y","N")</f>
        <v>N</v>
      </c>
      <c r="G6220" s="3" t="s">
        <v>104</v>
      </c>
      <c r="H6220" s="3" t="s">
        <v>26</v>
      </c>
      <c r="I6220" s="4" t="n">
        <v>6</v>
      </c>
      <c r="J6220" s="4" t="n">
        <f aca="false">LEN(E6220)-LEN(SUBSTITUTE(E6220,",",""))+1</f>
        <v>6</v>
      </c>
      <c r="K6220" s="3" t="str">
        <f aca="false">IFERROR(INDEX('Teacher Lookup'!$B$2:$B$200,MATCH(A6220,'Teacher Lookup'!$A$2:$A$200,0)),"")</f>
        <v>LEUNG Kelly</v>
      </c>
    </row>
    <row r="6221" customFormat="false" ht="15" hidden="false" customHeight="false" outlineLevel="0" collapsed="false">
      <c r="A6221" s="3" t="s">
        <v>460</v>
      </c>
      <c r="B6221" s="4" t="s">
        <v>31</v>
      </c>
      <c r="C6221" s="4" t="n">
        <v>5</v>
      </c>
      <c r="D6221" s="4" t="s">
        <v>19</v>
      </c>
      <c r="E6221" s="3" t="s">
        <v>35</v>
      </c>
      <c r="F6221" s="4" t="str">
        <f aca="false">IF(I6221&gt;J6221,"Y","N")</f>
        <v>Y</v>
      </c>
      <c r="G6221" s="3" t="s">
        <v>36</v>
      </c>
      <c r="H6221" s="3" t="s">
        <v>37</v>
      </c>
      <c r="I6221" s="4" t="n">
        <v>17</v>
      </c>
      <c r="J6221" s="4" t="n">
        <f aca="false">LEN(E6221)-LEN(SUBSTITUTE(E6221,",",""))+1</f>
        <v>7</v>
      </c>
      <c r="K6221" s="3" t="str">
        <f aca="false">IFERROR(INDEX('Teacher Lookup'!$B$2:$B$200,MATCH(A6221,'Teacher Lookup'!$A$2:$A$200,0)),"")</f>
        <v>LEUNG Kelly</v>
      </c>
    </row>
    <row r="6222" customFormat="false" ht="15" hidden="false" customHeight="false" outlineLevel="0" collapsed="false">
      <c r="A6222" s="3" t="s">
        <v>460</v>
      </c>
      <c r="B6222" s="4" t="s">
        <v>31</v>
      </c>
      <c r="C6222" s="4" t="n">
        <v>5</v>
      </c>
      <c r="D6222" s="4" t="s">
        <v>22</v>
      </c>
      <c r="E6222" s="3" t="s">
        <v>35</v>
      </c>
      <c r="F6222" s="4" t="str">
        <f aca="false">IF(I6222&gt;J6222,"Y","N")</f>
        <v>Y</v>
      </c>
      <c r="G6222" s="3" t="s">
        <v>36</v>
      </c>
      <c r="H6222" s="3" t="s">
        <v>37</v>
      </c>
      <c r="I6222" s="4" t="n">
        <v>17</v>
      </c>
      <c r="J6222" s="4" t="n">
        <f aca="false">LEN(E6222)-LEN(SUBSTITUTE(E6222,",",""))+1</f>
        <v>7</v>
      </c>
      <c r="K6222" s="3" t="str">
        <f aca="false">IFERROR(INDEX('Teacher Lookup'!$B$2:$B$200,MATCH(A6222,'Teacher Lookup'!$A$2:$A$200,0)),"")</f>
        <v>LEUNG Kelly</v>
      </c>
    </row>
    <row r="6223" customFormat="false" ht="15" hidden="false" customHeight="false" outlineLevel="0" collapsed="false">
      <c r="A6223" s="3" t="s">
        <v>460</v>
      </c>
      <c r="B6223" s="4" t="s">
        <v>31</v>
      </c>
      <c r="C6223" s="4" t="n">
        <v>5</v>
      </c>
      <c r="D6223" s="4" t="s">
        <v>23</v>
      </c>
      <c r="E6223" s="3" t="s">
        <v>35</v>
      </c>
      <c r="F6223" s="4" t="str">
        <f aca="false">IF(I6223&gt;J6223,"Y","N")</f>
        <v>Y</v>
      </c>
      <c r="G6223" s="3" t="s">
        <v>36</v>
      </c>
      <c r="H6223" s="3" t="s">
        <v>37</v>
      </c>
      <c r="I6223" s="4" t="n">
        <v>17</v>
      </c>
      <c r="J6223" s="4" t="n">
        <f aca="false">LEN(E6223)-LEN(SUBSTITUTE(E6223,",",""))+1</f>
        <v>7</v>
      </c>
      <c r="K6223" s="3" t="str">
        <f aca="false">IFERROR(INDEX('Teacher Lookup'!$B$2:$B$200,MATCH(A6223,'Teacher Lookup'!$A$2:$A$200,0)),"")</f>
        <v>LEUNG Kelly</v>
      </c>
    </row>
    <row r="6224" customFormat="false" ht="15" hidden="false" customHeight="false" outlineLevel="0" collapsed="false">
      <c r="A6224" s="3" t="s">
        <v>460</v>
      </c>
      <c r="B6224" s="4" t="s">
        <v>31</v>
      </c>
      <c r="C6224" s="4" t="n">
        <v>5</v>
      </c>
      <c r="D6224" s="4" t="s">
        <v>13</v>
      </c>
      <c r="E6224" s="3" t="s">
        <v>35</v>
      </c>
      <c r="F6224" s="4" t="str">
        <f aca="false">IF(I6224&gt;J6224,"Y","N")</f>
        <v>Y</v>
      </c>
      <c r="G6224" s="3" t="s">
        <v>36</v>
      </c>
      <c r="H6224" s="3" t="s">
        <v>37</v>
      </c>
      <c r="I6224" s="4" t="n">
        <v>17</v>
      </c>
      <c r="J6224" s="4" t="n">
        <f aca="false">LEN(E6224)-LEN(SUBSTITUTE(E6224,",",""))+1</f>
        <v>7</v>
      </c>
      <c r="K6224" s="3" t="str">
        <f aca="false">IFERROR(INDEX('Teacher Lookup'!$B$2:$B$200,MATCH(A6224,'Teacher Lookup'!$A$2:$A$200,0)),"")</f>
        <v>LEUNG Kelly</v>
      </c>
    </row>
    <row r="6225" customFormat="false" ht="15" hidden="false" customHeight="false" outlineLevel="0" collapsed="false">
      <c r="A6225" s="3" t="s">
        <v>460</v>
      </c>
      <c r="B6225" s="4" t="s">
        <v>31</v>
      </c>
      <c r="C6225" s="4" t="n">
        <v>5</v>
      </c>
      <c r="D6225" s="4" t="s">
        <v>17</v>
      </c>
      <c r="E6225" s="3" t="s">
        <v>35</v>
      </c>
      <c r="F6225" s="4" t="str">
        <f aca="false">IF(I6225&gt;J6225,"Y","N")</f>
        <v>Y</v>
      </c>
      <c r="G6225" s="3" t="s">
        <v>36</v>
      </c>
      <c r="H6225" s="3" t="s">
        <v>37</v>
      </c>
      <c r="I6225" s="4" t="n">
        <v>17</v>
      </c>
      <c r="J6225" s="4" t="n">
        <f aca="false">LEN(E6225)-LEN(SUBSTITUTE(E6225,",",""))+1</f>
        <v>7</v>
      </c>
      <c r="K6225" s="3" t="str">
        <f aca="false">IFERROR(INDEX('Teacher Lookup'!$B$2:$B$200,MATCH(A6225,'Teacher Lookup'!$A$2:$A$200,0)),"")</f>
        <v>LEUNG Kelly</v>
      </c>
    </row>
    <row r="6226" customFormat="false" ht="15" hidden="false" customHeight="false" outlineLevel="0" collapsed="false">
      <c r="A6226" s="3" t="s">
        <v>460</v>
      </c>
      <c r="B6226" s="4" t="s">
        <v>31</v>
      </c>
      <c r="C6226" s="4" t="n">
        <v>5</v>
      </c>
      <c r="D6226" s="4" t="s">
        <v>18</v>
      </c>
      <c r="E6226" s="3" t="s">
        <v>35</v>
      </c>
      <c r="F6226" s="4" t="str">
        <f aca="false">IF(I6226&gt;J6226,"Y","N")</f>
        <v>Y</v>
      </c>
      <c r="G6226" s="3" t="s">
        <v>36</v>
      </c>
      <c r="H6226" s="3" t="s">
        <v>37</v>
      </c>
      <c r="I6226" s="4" t="n">
        <v>17</v>
      </c>
      <c r="J6226" s="4" t="n">
        <f aca="false">LEN(E6226)-LEN(SUBSTITUTE(E6226,",",""))+1</f>
        <v>7</v>
      </c>
      <c r="K6226" s="3" t="str">
        <f aca="false">IFERROR(INDEX('Teacher Lookup'!$B$2:$B$200,MATCH(A6226,'Teacher Lookup'!$A$2:$A$200,0)),"")</f>
        <v>LEUNG Kelly</v>
      </c>
    </row>
    <row r="6227" customFormat="false" ht="15" hidden="false" customHeight="false" outlineLevel="0" collapsed="false">
      <c r="A6227" s="3" t="s">
        <v>460</v>
      </c>
      <c r="B6227" s="4" t="s">
        <v>31</v>
      </c>
      <c r="C6227" s="4" t="n">
        <v>7</v>
      </c>
      <c r="D6227" s="4" t="s">
        <v>17</v>
      </c>
      <c r="E6227" s="3" t="s">
        <v>292</v>
      </c>
      <c r="F6227" s="4" t="str">
        <f aca="false">IF(I6227&gt;J6227,"Y","N")</f>
        <v>N</v>
      </c>
      <c r="G6227" s="3" t="s">
        <v>126</v>
      </c>
      <c r="H6227" s="3" t="s">
        <v>39</v>
      </c>
      <c r="I6227" s="4" t="n">
        <v>1</v>
      </c>
      <c r="J6227" s="4" t="n">
        <f aca="false">LEN(E6227)-LEN(SUBSTITUTE(E6227,",",""))+1</f>
        <v>1</v>
      </c>
      <c r="K6227" s="3" t="str">
        <f aca="false">IFERROR(INDEX('Teacher Lookup'!$B$2:$B$200,MATCH(A6227,'Teacher Lookup'!$A$2:$A$200,0)),"")</f>
        <v>LEUNG Kelly</v>
      </c>
    </row>
    <row r="6228" customFormat="false" ht="15" hidden="false" customHeight="false" outlineLevel="0" collapsed="false">
      <c r="A6228" s="3" t="s">
        <v>460</v>
      </c>
      <c r="B6228" s="4" t="s">
        <v>40</v>
      </c>
      <c r="C6228" s="4" t="n">
        <v>1</v>
      </c>
      <c r="D6228" s="4" t="s">
        <v>102</v>
      </c>
      <c r="E6228" s="3" t="s">
        <v>114</v>
      </c>
      <c r="F6228" s="4" t="str">
        <f aca="false">IF(I6228&gt;J6228,"Y","N")</f>
        <v>N</v>
      </c>
      <c r="G6228" s="3" t="s">
        <v>104</v>
      </c>
      <c r="H6228" s="3" t="s">
        <v>16</v>
      </c>
      <c r="I6228" s="4" t="n">
        <v>6</v>
      </c>
      <c r="J6228" s="4" t="n">
        <f aca="false">LEN(E6228)-LEN(SUBSTITUTE(E6228,",",""))+1</f>
        <v>6</v>
      </c>
      <c r="K6228" s="3" t="str">
        <f aca="false">IFERROR(INDEX('Teacher Lookup'!$B$2:$B$200,MATCH(A6228,'Teacher Lookup'!$A$2:$A$200,0)),"")</f>
        <v>LEUNG Kelly</v>
      </c>
    </row>
    <row r="6229" customFormat="false" ht="15" hidden="false" customHeight="false" outlineLevel="0" collapsed="false">
      <c r="A6229" s="3" t="s">
        <v>460</v>
      </c>
      <c r="B6229" s="4" t="s">
        <v>40</v>
      </c>
      <c r="C6229" s="4" t="n">
        <v>1</v>
      </c>
      <c r="D6229" s="4" t="s">
        <v>105</v>
      </c>
      <c r="E6229" s="3" t="s">
        <v>114</v>
      </c>
      <c r="F6229" s="4" t="str">
        <f aca="false">IF(I6229&gt;J6229,"Y","N")</f>
        <v>N</v>
      </c>
      <c r="G6229" s="3" t="s">
        <v>104</v>
      </c>
      <c r="H6229" s="3" t="s">
        <v>16</v>
      </c>
      <c r="I6229" s="4" t="n">
        <v>6</v>
      </c>
      <c r="J6229" s="4" t="n">
        <f aca="false">LEN(E6229)-LEN(SUBSTITUTE(E6229,",",""))+1</f>
        <v>6</v>
      </c>
      <c r="K6229" s="3" t="str">
        <f aca="false">IFERROR(INDEX('Teacher Lookup'!$B$2:$B$200,MATCH(A6229,'Teacher Lookup'!$A$2:$A$200,0)),"")</f>
        <v>LEUNG Kelly</v>
      </c>
    </row>
    <row r="6230" customFormat="false" ht="15" hidden="false" customHeight="false" outlineLevel="0" collapsed="false">
      <c r="A6230" s="3" t="s">
        <v>460</v>
      </c>
      <c r="B6230" s="4" t="s">
        <v>40</v>
      </c>
      <c r="C6230" s="4" t="n">
        <v>1</v>
      </c>
      <c r="D6230" s="4" t="s">
        <v>106</v>
      </c>
      <c r="E6230" s="3" t="s">
        <v>114</v>
      </c>
      <c r="F6230" s="4" t="str">
        <f aca="false">IF(I6230&gt;J6230,"Y","N")</f>
        <v>N</v>
      </c>
      <c r="G6230" s="3" t="s">
        <v>104</v>
      </c>
      <c r="H6230" s="3" t="s">
        <v>16</v>
      </c>
      <c r="I6230" s="4" t="n">
        <v>6</v>
      </c>
      <c r="J6230" s="4" t="n">
        <f aca="false">LEN(E6230)-LEN(SUBSTITUTE(E6230,",",""))+1</f>
        <v>6</v>
      </c>
      <c r="K6230" s="3" t="str">
        <f aca="false">IFERROR(INDEX('Teacher Lookup'!$B$2:$B$200,MATCH(A6230,'Teacher Lookup'!$A$2:$A$200,0)),"")</f>
        <v>LEUNG Kelly</v>
      </c>
    </row>
    <row r="6231" customFormat="false" ht="15" hidden="false" customHeight="false" outlineLevel="0" collapsed="false">
      <c r="A6231" s="3" t="s">
        <v>460</v>
      </c>
      <c r="B6231" s="4" t="s">
        <v>40</v>
      </c>
      <c r="C6231" s="4" t="n">
        <v>1</v>
      </c>
      <c r="D6231" s="4" t="s">
        <v>107</v>
      </c>
      <c r="E6231" s="3" t="s">
        <v>114</v>
      </c>
      <c r="F6231" s="4" t="str">
        <f aca="false">IF(I6231&gt;J6231,"Y","N")</f>
        <v>N</v>
      </c>
      <c r="G6231" s="3" t="s">
        <v>104</v>
      </c>
      <c r="H6231" s="3" t="s">
        <v>16</v>
      </c>
      <c r="I6231" s="4" t="n">
        <v>6</v>
      </c>
      <c r="J6231" s="4" t="n">
        <f aca="false">LEN(E6231)-LEN(SUBSTITUTE(E6231,",",""))+1</f>
        <v>6</v>
      </c>
      <c r="K6231" s="3" t="str">
        <f aca="false">IFERROR(INDEX('Teacher Lookup'!$B$2:$B$200,MATCH(A6231,'Teacher Lookup'!$A$2:$A$200,0)),"")</f>
        <v>LEUNG Kelly</v>
      </c>
    </row>
    <row r="6232" customFormat="false" ht="15" hidden="false" customHeight="false" outlineLevel="0" collapsed="false">
      <c r="A6232" s="3" t="s">
        <v>460</v>
      </c>
      <c r="B6232" s="4" t="s">
        <v>40</v>
      </c>
      <c r="C6232" s="4" t="n">
        <v>3</v>
      </c>
      <c r="D6232" s="4" t="s">
        <v>23</v>
      </c>
      <c r="E6232" s="3" t="s">
        <v>133</v>
      </c>
      <c r="F6232" s="4" t="str">
        <f aca="false">IF(I6232&gt;J6232,"Y","N")</f>
        <v>N</v>
      </c>
      <c r="G6232" s="3" t="s">
        <v>126</v>
      </c>
      <c r="H6232" s="3" t="s">
        <v>26</v>
      </c>
      <c r="I6232" s="4" t="n">
        <v>1</v>
      </c>
      <c r="J6232" s="4" t="n">
        <f aca="false">LEN(E6232)-LEN(SUBSTITUTE(E6232,",",""))+1</f>
        <v>1</v>
      </c>
      <c r="K6232" s="3" t="str">
        <f aca="false">IFERROR(INDEX('Teacher Lookup'!$B$2:$B$200,MATCH(A6232,'Teacher Lookup'!$A$2:$A$200,0)),"")</f>
        <v>LEUNG Kelly</v>
      </c>
    </row>
    <row r="6233" customFormat="false" ht="15" hidden="false" customHeight="false" outlineLevel="0" collapsed="false">
      <c r="A6233" s="3" t="s">
        <v>460</v>
      </c>
      <c r="B6233" s="4" t="s">
        <v>40</v>
      </c>
      <c r="C6233" s="4" t="n">
        <v>6</v>
      </c>
      <c r="D6233" s="4" t="s">
        <v>17</v>
      </c>
      <c r="E6233" s="3" t="s">
        <v>125</v>
      </c>
      <c r="F6233" s="4" t="str">
        <f aca="false">IF(I6233&gt;J6233,"Y","N")</f>
        <v>N</v>
      </c>
      <c r="G6233" s="3" t="s">
        <v>126</v>
      </c>
      <c r="H6233" s="3" t="s">
        <v>42</v>
      </c>
      <c r="I6233" s="4" t="n">
        <v>1</v>
      </c>
      <c r="J6233" s="4" t="n">
        <f aca="false">LEN(E6233)-LEN(SUBSTITUTE(E6233,",",""))+1</f>
        <v>1</v>
      </c>
      <c r="K6233" s="3" t="str">
        <f aca="false">IFERROR(INDEX('Teacher Lookup'!$B$2:$B$200,MATCH(A6233,'Teacher Lookup'!$A$2:$A$200,0)),"")</f>
        <v>LEUNG Kelly</v>
      </c>
    </row>
    <row r="6234" customFormat="false" ht="15" hidden="false" customHeight="false" outlineLevel="0" collapsed="false">
      <c r="A6234" s="3" t="s">
        <v>460</v>
      </c>
      <c r="B6234" s="4" t="s">
        <v>44</v>
      </c>
      <c r="C6234" s="4" t="n">
        <v>1</v>
      </c>
      <c r="D6234" s="4" t="s">
        <v>17</v>
      </c>
      <c r="E6234" s="3" t="s">
        <v>292</v>
      </c>
      <c r="F6234" s="4" t="str">
        <f aca="false">IF(I6234&gt;J6234,"Y","N")</f>
        <v>N</v>
      </c>
      <c r="G6234" s="3" t="s">
        <v>126</v>
      </c>
      <c r="H6234" s="3" t="s">
        <v>16</v>
      </c>
      <c r="I6234" s="4" t="n">
        <v>1</v>
      </c>
      <c r="J6234" s="4" t="n">
        <f aca="false">LEN(E6234)-LEN(SUBSTITUTE(E6234,",",""))+1</f>
        <v>1</v>
      </c>
      <c r="K6234" s="3" t="str">
        <f aca="false">IFERROR(INDEX('Teacher Lookup'!$B$2:$B$200,MATCH(A6234,'Teacher Lookup'!$A$2:$A$200,0)),"")</f>
        <v>LEUNG Kelly</v>
      </c>
    </row>
    <row r="6235" customFormat="false" ht="15" hidden="false" customHeight="false" outlineLevel="0" collapsed="false">
      <c r="A6235" s="3" t="s">
        <v>460</v>
      </c>
      <c r="B6235" s="4" t="s">
        <v>44</v>
      </c>
      <c r="C6235" s="4" t="n">
        <v>2</v>
      </c>
      <c r="D6235" s="4" t="s">
        <v>102</v>
      </c>
      <c r="E6235" s="3" t="s">
        <v>110</v>
      </c>
      <c r="F6235" s="4" t="str">
        <f aca="false">IF(I6235&gt;J6235,"Y","N")</f>
        <v>N</v>
      </c>
      <c r="G6235" s="3" t="s">
        <v>104</v>
      </c>
      <c r="H6235" s="3" t="s">
        <v>21</v>
      </c>
      <c r="I6235" s="4" t="n">
        <v>6</v>
      </c>
      <c r="J6235" s="4" t="n">
        <f aca="false">LEN(E6235)-LEN(SUBSTITUTE(E6235,",",""))+1</f>
        <v>6</v>
      </c>
      <c r="K6235" s="3" t="str">
        <f aca="false">IFERROR(INDEX('Teacher Lookup'!$B$2:$B$200,MATCH(A6235,'Teacher Lookup'!$A$2:$A$200,0)),"")</f>
        <v>LEUNG Kelly</v>
      </c>
    </row>
    <row r="6236" customFormat="false" ht="15" hidden="false" customHeight="false" outlineLevel="0" collapsed="false">
      <c r="A6236" s="3" t="s">
        <v>460</v>
      </c>
      <c r="B6236" s="4" t="s">
        <v>44</v>
      </c>
      <c r="C6236" s="4" t="n">
        <v>2</v>
      </c>
      <c r="D6236" s="4" t="s">
        <v>105</v>
      </c>
      <c r="E6236" s="3" t="s">
        <v>110</v>
      </c>
      <c r="F6236" s="4" t="str">
        <f aca="false">IF(I6236&gt;J6236,"Y","N")</f>
        <v>N</v>
      </c>
      <c r="G6236" s="3" t="s">
        <v>104</v>
      </c>
      <c r="H6236" s="3" t="s">
        <v>21</v>
      </c>
      <c r="I6236" s="4" t="n">
        <v>6</v>
      </c>
      <c r="J6236" s="4" t="n">
        <f aca="false">LEN(E6236)-LEN(SUBSTITUTE(E6236,",",""))+1</f>
        <v>6</v>
      </c>
      <c r="K6236" s="3" t="str">
        <f aca="false">IFERROR(INDEX('Teacher Lookup'!$B$2:$B$200,MATCH(A6236,'Teacher Lookup'!$A$2:$A$200,0)),"")</f>
        <v>LEUNG Kelly</v>
      </c>
    </row>
    <row r="6237" customFormat="false" ht="15" hidden="false" customHeight="false" outlineLevel="0" collapsed="false">
      <c r="A6237" s="3" t="s">
        <v>460</v>
      </c>
      <c r="B6237" s="4" t="s">
        <v>44</v>
      </c>
      <c r="C6237" s="4" t="n">
        <v>2</v>
      </c>
      <c r="D6237" s="4" t="s">
        <v>106</v>
      </c>
      <c r="E6237" s="3" t="s">
        <v>110</v>
      </c>
      <c r="F6237" s="4" t="str">
        <f aca="false">IF(I6237&gt;J6237,"Y","N")</f>
        <v>N</v>
      </c>
      <c r="G6237" s="3" t="s">
        <v>104</v>
      </c>
      <c r="H6237" s="3" t="s">
        <v>21</v>
      </c>
      <c r="I6237" s="4" t="n">
        <v>6</v>
      </c>
      <c r="J6237" s="4" t="n">
        <f aca="false">LEN(E6237)-LEN(SUBSTITUTE(E6237,",",""))+1</f>
        <v>6</v>
      </c>
      <c r="K6237" s="3" t="str">
        <f aca="false">IFERROR(INDEX('Teacher Lookup'!$B$2:$B$200,MATCH(A6237,'Teacher Lookup'!$A$2:$A$200,0)),"")</f>
        <v>LEUNG Kelly</v>
      </c>
    </row>
    <row r="6238" customFormat="false" ht="15" hidden="false" customHeight="false" outlineLevel="0" collapsed="false">
      <c r="A6238" s="3" t="s">
        <v>460</v>
      </c>
      <c r="B6238" s="4" t="s">
        <v>44</v>
      </c>
      <c r="C6238" s="4" t="n">
        <v>2</v>
      </c>
      <c r="D6238" s="4" t="s">
        <v>107</v>
      </c>
      <c r="E6238" s="3" t="s">
        <v>110</v>
      </c>
      <c r="F6238" s="4" t="str">
        <f aca="false">IF(I6238&gt;J6238,"Y","N")</f>
        <v>N</v>
      </c>
      <c r="G6238" s="3" t="s">
        <v>104</v>
      </c>
      <c r="H6238" s="3" t="s">
        <v>21</v>
      </c>
      <c r="I6238" s="4" t="n">
        <v>6</v>
      </c>
      <c r="J6238" s="4" t="n">
        <f aca="false">LEN(E6238)-LEN(SUBSTITUTE(E6238,",",""))+1</f>
        <v>6</v>
      </c>
      <c r="K6238" s="3" t="str">
        <f aca="false">IFERROR(INDEX('Teacher Lookup'!$B$2:$B$200,MATCH(A6238,'Teacher Lookup'!$A$2:$A$200,0)),"")</f>
        <v>LEUNG Kelly</v>
      </c>
    </row>
    <row r="6239" customFormat="false" ht="15" hidden="false" customHeight="false" outlineLevel="0" collapsed="false">
      <c r="A6239" s="3" t="s">
        <v>460</v>
      </c>
      <c r="B6239" s="4" t="s">
        <v>44</v>
      </c>
      <c r="C6239" s="4" t="n">
        <v>5</v>
      </c>
      <c r="D6239" s="4" t="s">
        <v>19</v>
      </c>
      <c r="E6239" s="3" t="s">
        <v>35</v>
      </c>
      <c r="F6239" s="4" t="str">
        <f aca="false">IF(I6239&gt;J6239,"Y","N")</f>
        <v>Y</v>
      </c>
      <c r="G6239" s="3" t="s">
        <v>36</v>
      </c>
      <c r="H6239" s="3" t="s">
        <v>37</v>
      </c>
      <c r="I6239" s="4" t="n">
        <v>17</v>
      </c>
      <c r="J6239" s="4" t="n">
        <f aca="false">LEN(E6239)-LEN(SUBSTITUTE(E6239,",",""))+1</f>
        <v>7</v>
      </c>
      <c r="K6239" s="3" t="str">
        <f aca="false">IFERROR(INDEX('Teacher Lookup'!$B$2:$B$200,MATCH(A6239,'Teacher Lookup'!$A$2:$A$200,0)),"")</f>
        <v>LEUNG Kelly</v>
      </c>
    </row>
    <row r="6240" customFormat="false" ht="15" hidden="false" customHeight="false" outlineLevel="0" collapsed="false">
      <c r="A6240" s="3" t="s">
        <v>460</v>
      </c>
      <c r="B6240" s="4" t="s">
        <v>44</v>
      </c>
      <c r="C6240" s="4" t="n">
        <v>5</v>
      </c>
      <c r="D6240" s="4" t="s">
        <v>22</v>
      </c>
      <c r="E6240" s="3" t="s">
        <v>35</v>
      </c>
      <c r="F6240" s="4" t="str">
        <f aca="false">IF(I6240&gt;J6240,"Y","N")</f>
        <v>Y</v>
      </c>
      <c r="G6240" s="3" t="s">
        <v>36</v>
      </c>
      <c r="H6240" s="3" t="s">
        <v>37</v>
      </c>
      <c r="I6240" s="4" t="n">
        <v>17</v>
      </c>
      <c r="J6240" s="4" t="n">
        <f aca="false">LEN(E6240)-LEN(SUBSTITUTE(E6240,",",""))+1</f>
        <v>7</v>
      </c>
      <c r="K6240" s="3" t="str">
        <f aca="false">IFERROR(INDEX('Teacher Lookup'!$B$2:$B$200,MATCH(A6240,'Teacher Lookup'!$A$2:$A$200,0)),"")</f>
        <v>LEUNG Kelly</v>
      </c>
    </row>
    <row r="6241" customFormat="false" ht="15" hidden="false" customHeight="false" outlineLevel="0" collapsed="false">
      <c r="A6241" s="3" t="s">
        <v>460</v>
      </c>
      <c r="B6241" s="4" t="s">
        <v>44</v>
      </c>
      <c r="C6241" s="4" t="n">
        <v>5</v>
      </c>
      <c r="D6241" s="4" t="s">
        <v>23</v>
      </c>
      <c r="E6241" s="3" t="s">
        <v>35</v>
      </c>
      <c r="F6241" s="4" t="str">
        <f aca="false">IF(I6241&gt;J6241,"Y","N")</f>
        <v>Y</v>
      </c>
      <c r="G6241" s="3" t="s">
        <v>36</v>
      </c>
      <c r="H6241" s="3" t="s">
        <v>37</v>
      </c>
      <c r="I6241" s="4" t="n">
        <v>17</v>
      </c>
      <c r="J6241" s="4" t="n">
        <f aca="false">LEN(E6241)-LEN(SUBSTITUTE(E6241,",",""))+1</f>
        <v>7</v>
      </c>
      <c r="K6241" s="3" t="str">
        <f aca="false">IFERROR(INDEX('Teacher Lookup'!$B$2:$B$200,MATCH(A6241,'Teacher Lookup'!$A$2:$A$200,0)),"")</f>
        <v>LEUNG Kelly</v>
      </c>
    </row>
    <row r="6242" customFormat="false" ht="15" hidden="false" customHeight="false" outlineLevel="0" collapsed="false">
      <c r="A6242" s="3" t="s">
        <v>460</v>
      </c>
      <c r="B6242" s="4" t="s">
        <v>44</v>
      </c>
      <c r="C6242" s="4" t="n">
        <v>5</v>
      </c>
      <c r="D6242" s="4" t="s">
        <v>13</v>
      </c>
      <c r="E6242" s="3" t="s">
        <v>35</v>
      </c>
      <c r="F6242" s="4" t="str">
        <f aca="false">IF(I6242&gt;J6242,"Y","N")</f>
        <v>Y</v>
      </c>
      <c r="G6242" s="3" t="s">
        <v>36</v>
      </c>
      <c r="H6242" s="3" t="s">
        <v>37</v>
      </c>
      <c r="I6242" s="4" t="n">
        <v>17</v>
      </c>
      <c r="J6242" s="4" t="n">
        <f aca="false">LEN(E6242)-LEN(SUBSTITUTE(E6242,",",""))+1</f>
        <v>7</v>
      </c>
      <c r="K6242" s="3" t="str">
        <f aca="false">IFERROR(INDEX('Teacher Lookup'!$B$2:$B$200,MATCH(A6242,'Teacher Lookup'!$A$2:$A$200,0)),"")</f>
        <v>LEUNG Kelly</v>
      </c>
    </row>
    <row r="6243" customFormat="false" ht="15" hidden="false" customHeight="false" outlineLevel="0" collapsed="false">
      <c r="A6243" s="3" t="s">
        <v>460</v>
      </c>
      <c r="B6243" s="4" t="s">
        <v>44</v>
      </c>
      <c r="C6243" s="4" t="n">
        <v>5</v>
      </c>
      <c r="D6243" s="4" t="s">
        <v>17</v>
      </c>
      <c r="E6243" s="3" t="s">
        <v>35</v>
      </c>
      <c r="F6243" s="4" t="str">
        <f aca="false">IF(I6243&gt;J6243,"Y","N")</f>
        <v>Y</v>
      </c>
      <c r="G6243" s="3" t="s">
        <v>36</v>
      </c>
      <c r="H6243" s="3" t="s">
        <v>37</v>
      </c>
      <c r="I6243" s="4" t="n">
        <v>17</v>
      </c>
      <c r="J6243" s="4" t="n">
        <f aca="false">LEN(E6243)-LEN(SUBSTITUTE(E6243,",",""))+1</f>
        <v>7</v>
      </c>
      <c r="K6243" s="3" t="str">
        <f aca="false">IFERROR(INDEX('Teacher Lookup'!$B$2:$B$200,MATCH(A6243,'Teacher Lookup'!$A$2:$A$200,0)),"")</f>
        <v>LEUNG Kelly</v>
      </c>
    </row>
    <row r="6244" customFormat="false" ht="15" hidden="false" customHeight="false" outlineLevel="0" collapsed="false">
      <c r="A6244" s="3" t="s">
        <v>460</v>
      </c>
      <c r="B6244" s="4" t="s">
        <v>44</v>
      </c>
      <c r="C6244" s="4" t="n">
        <v>5</v>
      </c>
      <c r="D6244" s="4" t="s">
        <v>18</v>
      </c>
      <c r="E6244" s="3" t="s">
        <v>35</v>
      </c>
      <c r="F6244" s="4" t="str">
        <f aca="false">IF(I6244&gt;J6244,"Y","N")</f>
        <v>Y</v>
      </c>
      <c r="G6244" s="3" t="s">
        <v>36</v>
      </c>
      <c r="H6244" s="3" t="s">
        <v>37</v>
      </c>
      <c r="I6244" s="4" t="n">
        <v>17</v>
      </c>
      <c r="J6244" s="4" t="n">
        <f aca="false">LEN(E6244)-LEN(SUBSTITUTE(E6244,",",""))+1</f>
        <v>7</v>
      </c>
      <c r="K6244" s="3" t="str">
        <f aca="false">IFERROR(INDEX('Teacher Lookup'!$B$2:$B$200,MATCH(A6244,'Teacher Lookup'!$A$2:$A$200,0)),"")</f>
        <v>LEUNG Kelly</v>
      </c>
    </row>
    <row r="6245" customFormat="false" ht="15" hidden="false" customHeight="false" outlineLevel="0" collapsed="false">
      <c r="A6245" s="3" t="s">
        <v>460</v>
      </c>
      <c r="B6245" s="4" t="s">
        <v>44</v>
      </c>
      <c r="C6245" s="4" t="n">
        <v>6</v>
      </c>
      <c r="D6245" s="4" t="s">
        <v>23</v>
      </c>
      <c r="E6245" s="3" t="s">
        <v>125</v>
      </c>
      <c r="F6245" s="4" t="str">
        <f aca="false">IF(I6245&gt;J6245,"Y","N")</f>
        <v>N</v>
      </c>
      <c r="G6245" s="3" t="s">
        <v>126</v>
      </c>
      <c r="H6245" s="3" t="s">
        <v>42</v>
      </c>
      <c r="I6245" s="4" t="n">
        <v>1</v>
      </c>
      <c r="J6245" s="4" t="n">
        <f aca="false">LEN(E6245)-LEN(SUBSTITUTE(E6245,",",""))+1</f>
        <v>1</v>
      </c>
      <c r="K6245" s="3" t="str">
        <f aca="false">IFERROR(INDEX('Teacher Lookup'!$B$2:$B$200,MATCH(A6245,'Teacher Lookup'!$A$2:$A$200,0)),"")</f>
        <v>LEUNG Kelly</v>
      </c>
    </row>
    <row r="6246" customFormat="false" ht="15" hidden="false" customHeight="false" outlineLevel="0" collapsed="false">
      <c r="A6246" s="3" t="s">
        <v>460</v>
      </c>
      <c r="B6246" s="4" t="s">
        <v>47</v>
      </c>
      <c r="C6246" s="4" t="n">
        <v>2</v>
      </c>
      <c r="D6246" s="4" t="s">
        <v>17</v>
      </c>
      <c r="E6246" s="3" t="s">
        <v>133</v>
      </c>
      <c r="F6246" s="4" t="str">
        <f aca="false">IF(I6246&gt;J6246,"Y","N")</f>
        <v>N</v>
      </c>
      <c r="G6246" s="3" t="s">
        <v>126</v>
      </c>
      <c r="H6246" s="3" t="s">
        <v>21</v>
      </c>
      <c r="I6246" s="4" t="n">
        <v>1</v>
      </c>
      <c r="J6246" s="4" t="n">
        <f aca="false">LEN(E6246)-LEN(SUBSTITUTE(E6246,",",""))+1</f>
        <v>1</v>
      </c>
      <c r="K6246" s="3" t="str">
        <f aca="false">IFERROR(INDEX('Teacher Lookup'!$B$2:$B$200,MATCH(A6246,'Teacher Lookup'!$A$2:$A$200,0)),"")</f>
        <v>LEUNG Kelly</v>
      </c>
    </row>
    <row r="6247" customFormat="false" ht="15" hidden="false" customHeight="false" outlineLevel="0" collapsed="false">
      <c r="A6247" s="3" t="s">
        <v>460</v>
      </c>
      <c r="B6247" s="4" t="s">
        <v>47</v>
      </c>
      <c r="C6247" s="4" t="n">
        <v>3</v>
      </c>
      <c r="D6247" s="4" t="s">
        <v>73</v>
      </c>
      <c r="E6247" s="3" t="s">
        <v>129</v>
      </c>
      <c r="F6247" s="4" t="str">
        <f aca="false">IF(I6247&gt;J6247,"Y","N")</f>
        <v>N</v>
      </c>
      <c r="G6247" s="3" t="s">
        <v>235</v>
      </c>
      <c r="H6247" s="3" t="s">
        <v>26</v>
      </c>
      <c r="I6247" s="4" t="n">
        <v>1</v>
      </c>
      <c r="J6247" s="4" t="n">
        <f aca="false">LEN(E6247)-LEN(SUBSTITUTE(E6247,",",""))+1</f>
        <v>1</v>
      </c>
      <c r="K6247" s="3" t="str">
        <f aca="false">IFERROR(INDEX('Teacher Lookup'!$B$2:$B$200,MATCH(A6247,'Teacher Lookup'!$A$2:$A$200,0)),"")</f>
        <v>LEUNG Kelly</v>
      </c>
    </row>
    <row r="6248" customFormat="false" ht="15" hidden="false" customHeight="false" outlineLevel="0" collapsed="false">
      <c r="A6248" s="3" t="s">
        <v>460</v>
      </c>
      <c r="B6248" s="4" t="s">
        <v>47</v>
      </c>
      <c r="C6248" s="4" t="n">
        <v>5</v>
      </c>
      <c r="D6248" s="4" t="s">
        <v>102</v>
      </c>
      <c r="E6248" s="3" t="s">
        <v>116</v>
      </c>
      <c r="F6248" s="4" t="str">
        <f aca="false">IF(I6248&gt;J6248,"Y","N")</f>
        <v>N</v>
      </c>
      <c r="G6248" s="3" t="s">
        <v>104</v>
      </c>
      <c r="H6248" s="3" t="s">
        <v>37</v>
      </c>
      <c r="I6248" s="4" t="n">
        <v>6</v>
      </c>
      <c r="J6248" s="4" t="n">
        <f aca="false">LEN(E6248)-LEN(SUBSTITUTE(E6248,",",""))+1</f>
        <v>6</v>
      </c>
      <c r="K6248" s="3" t="str">
        <f aca="false">IFERROR(INDEX('Teacher Lookup'!$B$2:$B$200,MATCH(A6248,'Teacher Lookup'!$A$2:$A$200,0)),"")</f>
        <v>LEUNG Kelly</v>
      </c>
    </row>
    <row r="6249" customFormat="false" ht="15" hidden="false" customHeight="false" outlineLevel="0" collapsed="false">
      <c r="A6249" s="3" t="s">
        <v>460</v>
      </c>
      <c r="B6249" s="4" t="s">
        <v>47</v>
      </c>
      <c r="C6249" s="4" t="n">
        <v>5</v>
      </c>
      <c r="D6249" s="4" t="s">
        <v>105</v>
      </c>
      <c r="E6249" s="3" t="s">
        <v>116</v>
      </c>
      <c r="F6249" s="4" t="str">
        <f aca="false">IF(I6249&gt;J6249,"Y","N")</f>
        <v>N</v>
      </c>
      <c r="G6249" s="3" t="s">
        <v>104</v>
      </c>
      <c r="H6249" s="3" t="s">
        <v>37</v>
      </c>
      <c r="I6249" s="4" t="n">
        <v>6</v>
      </c>
      <c r="J6249" s="4" t="n">
        <f aca="false">LEN(E6249)-LEN(SUBSTITUTE(E6249,",",""))+1</f>
        <v>6</v>
      </c>
      <c r="K6249" s="3" t="str">
        <f aca="false">IFERROR(INDEX('Teacher Lookup'!$B$2:$B$200,MATCH(A6249,'Teacher Lookup'!$A$2:$A$200,0)),"")</f>
        <v>LEUNG Kelly</v>
      </c>
    </row>
    <row r="6250" customFormat="false" ht="15" hidden="false" customHeight="false" outlineLevel="0" collapsed="false">
      <c r="A6250" s="3" t="s">
        <v>460</v>
      </c>
      <c r="B6250" s="4" t="s">
        <v>47</v>
      </c>
      <c r="C6250" s="4" t="n">
        <v>5</v>
      </c>
      <c r="D6250" s="4" t="s">
        <v>106</v>
      </c>
      <c r="E6250" s="3" t="s">
        <v>116</v>
      </c>
      <c r="F6250" s="4" t="str">
        <f aca="false">IF(I6250&gt;J6250,"Y","N")</f>
        <v>N</v>
      </c>
      <c r="G6250" s="3" t="s">
        <v>104</v>
      </c>
      <c r="H6250" s="3" t="s">
        <v>37</v>
      </c>
      <c r="I6250" s="4" t="n">
        <v>6</v>
      </c>
      <c r="J6250" s="4" t="n">
        <f aca="false">LEN(E6250)-LEN(SUBSTITUTE(E6250,",",""))+1</f>
        <v>6</v>
      </c>
      <c r="K6250" s="3" t="str">
        <f aca="false">IFERROR(INDEX('Teacher Lookup'!$B$2:$B$200,MATCH(A6250,'Teacher Lookup'!$A$2:$A$200,0)),"")</f>
        <v>LEUNG Kelly</v>
      </c>
    </row>
    <row r="6251" customFormat="false" ht="15" hidden="false" customHeight="false" outlineLevel="0" collapsed="false">
      <c r="A6251" s="3" t="s">
        <v>460</v>
      </c>
      <c r="B6251" s="4" t="s">
        <v>47</v>
      </c>
      <c r="C6251" s="4" t="n">
        <v>5</v>
      </c>
      <c r="D6251" s="4" t="s">
        <v>107</v>
      </c>
      <c r="E6251" s="3" t="s">
        <v>116</v>
      </c>
      <c r="F6251" s="4" t="str">
        <f aca="false">IF(I6251&gt;J6251,"Y","N")</f>
        <v>N</v>
      </c>
      <c r="G6251" s="3" t="s">
        <v>104</v>
      </c>
      <c r="H6251" s="3" t="s">
        <v>37</v>
      </c>
      <c r="I6251" s="4" t="n">
        <v>6</v>
      </c>
      <c r="J6251" s="4" t="n">
        <f aca="false">LEN(E6251)-LEN(SUBSTITUTE(E6251,",",""))+1</f>
        <v>6</v>
      </c>
      <c r="K6251" s="3" t="str">
        <f aca="false">IFERROR(INDEX('Teacher Lookup'!$B$2:$B$200,MATCH(A6251,'Teacher Lookup'!$A$2:$A$200,0)),"")</f>
        <v>LEUNG Kelly</v>
      </c>
    </row>
    <row r="6252" customFormat="false" ht="15" hidden="false" customHeight="false" outlineLevel="0" collapsed="false">
      <c r="A6252" s="3" t="s">
        <v>460</v>
      </c>
      <c r="B6252" s="4" t="s">
        <v>50</v>
      </c>
      <c r="C6252" s="4" t="n">
        <v>1</v>
      </c>
      <c r="D6252" s="4" t="s">
        <v>17</v>
      </c>
      <c r="E6252" s="3" t="s">
        <v>133</v>
      </c>
      <c r="F6252" s="4" t="str">
        <f aca="false">IF(I6252&gt;J6252,"Y","N")</f>
        <v>N</v>
      </c>
      <c r="G6252" s="3" t="s">
        <v>126</v>
      </c>
      <c r="H6252" s="3" t="s">
        <v>16</v>
      </c>
      <c r="I6252" s="4" t="n">
        <v>1</v>
      </c>
      <c r="J6252" s="4" t="n">
        <f aca="false">LEN(E6252)-LEN(SUBSTITUTE(E6252,",",""))+1</f>
        <v>1</v>
      </c>
      <c r="K6252" s="3" t="str">
        <f aca="false">IFERROR(INDEX('Teacher Lookup'!$B$2:$B$200,MATCH(A6252,'Teacher Lookup'!$A$2:$A$200,0)),"")</f>
        <v>LEUNG Kelly</v>
      </c>
    </row>
    <row r="6253" customFormat="false" ht="15" hidden="false" customHeight="false" outlineLevel="0" collapsed="false">
      <c r="A6253" s="3" t="s">
        <v>460</v>
      </c>
      <c r="B6253" s="4" t="s">
        <v>50</v>
      </c>
      <c r="C6253" s="4" t="n">
        <v>2</v>
      </c>
      <c r="D6253" s="4" t="s">
        <v>102</v>
      </c>
      <c r="E6253" s="3" t="s">
        <v>118</v>
      </c>
      <c r="F6253" s="4" t="str">
        <f aca="false">IF(I6253&gt;J6253,"Y","N")</f>
        <v>N</v>
      </c>
      <c r="G6253" s="3" t="s">
        <v>104</v>
      </c>
      <c r="H6253" s="3" t="s">
        <v>21</v>
      </c>
      <c r="I6253" s="4" t="n">
        <v>6</v>
      </c>
      <c r="J6253" s="4" t="n">
        <f aca="false">LEN(E6253)-LEN(SUBSTITUTE(E6253,",",""))+1</f>
        <v>6</v>
      </c>
      <c r="K6253" s="3" t="str">
        <f aca="false">IFERROR(INDEX('Teacher Lookup'!$B$2:$B$200,MATCH(A6253,'Teacher Lookup'!$A$2:$A$200,0)),"")</f>
        <v>LEUNG Kelly</v>
      </c>
    </row>
    <row r="6254" customFormat="false" ht="15" hidden="false" customHeight="false" outlineLevel="0" collapsed="false">
      <c r="A6254" s="3" t="s">
        <v>460</v>
      </c>
      <c r="B6254" s="4" t="s">
        <v>50</v>
      </c>
      <c r="C6254" s="4" t="n">
        <v>2</v>
      </c>
      <c r="D6254" s="4" t="s">
        <v>105</v>
      </c>
      <c r="E6254" s="3" t="s">
        <v>118</v>
      </c>
      <c r="F6254" s="4" t="str">
        <f aca="false">IF(I6254&gt;J6254,"Y","N")</f>
        <v>N</v>
      </c>
      <c r="G6254" s="3" t="s">
        <v>104</v>
      </c>
      <c r="H6254" s="3" t="s">
        <v>21</v>
      </c>
      <c r="I6254" s="4" t="n">
        <v>6</v>
      </c>
      <c r="J6254" s="4" t="n">
        <f aca="false">LEN(E6254)-LEN(SUBSTITUTE(E6254,",",""))+1</f>
        <v>6</v>
      </c>
      <c r="K6254" s="3" t="str">
        <f aca="false">IFERROR(INDEX('Teacher Lookup'!$B$2:$B$200,MATCH(A6254,'Teacher Lookup'!$A$2:$A$200,0)),"")</f>
        <v>LEUNG Kelly</v>
      </c>
    </row>
    <row r="6255" customFormat="false" ht="15" hidden="false" customHeight="false" outlineLevel="0" collapsed="false">
      <c r="A6255" s="3" t="s">
        <v>460</v>
      </c>
      <c r="B6255" s="4" t="s">
        <v>50</v>
      </c>
      <c r="C6255" s="4" t="n">
        <v>2</v>
      </c>
      <c r="D6255" s="4" t="s">
        <v>106</v>
      </c>
      <c r="E6255" s="3" t="s">
        <v>118</v>
      </c>
      <c r="F6255" s="4" t="str">
        <f aca="false">IF(I6255&gt;J6255,"Y","N")</f>
        <v>N</v>
      </c>
      <c r="G6255" s="3" t="s">
        <v>104</v>
      </c>
      <c r="H6255" s="3" t="s">
        <v>21</v>
      </c>
      <c r="I6255" s="4" t="n">
        <v>6</v>
      </c>
      <c r="J6255" s="4" t="n">
        <f aca="false">LEN(E6255)-LEN(SUBSTITUTE(E6255,",",""))+1</f>
        <v>6</v>
      </c>
      <c r="K6255" s="3" t="str">
        <f aca="false">IFERROR(INDEX('Teacher Lookup'!$B$2:$B$200,MATCH(A6255,'Teacher Lookup'!$A$2:$A$200,0)),"")</f>
        <v>LEUNG Kelly</v>
      </c>
    </row>
    <row r="6256" customFormat="false" ht="15" hidden="false" customHeight="false" outlineLevel="0" collapsed="false">
      <c r="A6256" s="3" t="s">
        <v>460</v>
      </c>
      <c r="B6256" s="4" t="s">
        <v>50</v>
      </c>
      <c r="C6256" s="4" t="n">
        <v>2</v>
      </c>
      <c r="D6256" s="4" t="s">
        <v>107</v>
      </c>
      <c r="E6256" s="3" t="s">
        <v>118</v>
      </c>
      <c r="F6256" s="4" t="str">
        <f aca="false">IF(I6256&gt;J6256,"Y","N")</f>
        <v>N</v>
      </c>
      <c r="G6256" s="3" t="s">
        <v>104</v>
      </c>
      <c r="H6256" s="3" t="s">
        <v>21</v>
      </c>
      <c r="I6256" s="4" t="n">
        <v>6</v>
      </c>
      <c r="J6256" s="4" t="n">
        <f aca="false">LEN(E6256)-LEN(SUBSTITUTE(E6256,",",""))+1</f>
        <v>6</v>
      </c>
      <c r="K6256" s="3" t="str">
        <f aca="false">IFERROR(INDEX('Teacher Lookup'!$B$2:$B$200,MATCH(A6256,'Teacher Lookup'!$A$2:$A$200,0)),"")</f>
        <v>LEUNG Kelly</v>
      </c>
    </row>
    <row r="6257" customFormat="false" ht="15" hidden="false" customHeight="false" outlineLevel="0" collapsed="false">
      <c r="A6257" s="3" t="s">
        <v>460</v>
      </c>
      <c r="B6257" s="4" t="s">
        <v>50</v>
      </c>
      <c r="C6257" s="4" t="n">
        <v>3</v>
      </c>
      <c r="D6257" s="4" t="s">
        <v>73</v>
      </c>
      <c r="E6257" s="3" t="s">
        <v>133</v>
      </c>
      <c r="F6257" s="4" t="str">
        <f aca="false">IF(I6257&gt;J6257,"Y","N")</f>
        <v>N</v>
      </c>
      <c r="G6257" s="3" t="s">
        <v>235</v>
      </c>
      <c r="H6257" s="3" t="s">
        <v>26</v>
      </c>
      <c r="I6257" s="4" t="n">
        <v>1</v>
      </c>
      <c r="J6257" s="4" t="n">
        <f aca="false">LEN(E6257)-LEN(SUBSTITUTE(E6257,",",""))+1</f>
        <v>1</v>
      </c>
      <c r="K6257" s="3" t="str">
        <f aca="false">IFERROR(INDEX('Teacher Lookup'!$B$2:$B$200,MATCH(A6257,'Teacher Lookup'!$A$2:$A$200,0)),"")</f>
        <v>LEUNG Kelly</v>
      </c>
    </row>
    <row r="6258" customFormat="false" ht="15" hidden="false" customHeight="false" outlineLevel="0" collapsed="false">
      <c r="A6258" s="3" t="s">
        <v>460</v>
      </c>
      <c r="B6258" s="4" t="s">
        <v>50</v>
      </c>
      <c r="C6258" s="4" t="n">
        <v>5</v>
      </c>
      <c r="D6258" s="4" t="s">
        <v>76</v>
      </c>
      <c r="E6258" s="3" t="s">
        <v>125</v>
      </c>
      <c r="F6258" s="4" t="str">
        <f aca="false">IF(I6258&gt;J6258,"Y","N")</f>
        <v>N</v>
      </c>
      <c r="G6258" s="3" t="s">
        <v>235</v>
      </c>
      <c r="H6258" s="3" t="s">
        <v>37</v>
      </c>
      <c r="I6258" s="4" t="n">
        <v>1</v>
      </c>
      <c r="J6258" s="4" t="n">
        <f aca="false">LEN(E6258)-LEN(SUBSTITUTE(E6258,",",""))+1</f>
        <v>1</v>
      </c>
      <c r="K6258" s="3" t="str">
        <f aca="false">IFERROR(INDEX('Teacher Lookup'!$B$2:$B$200,MATCH(A6258,'Teacher Lookup'!$A$2:$A$200,0)),"")</f>
        <v>LEUNG Kelly</v>
      </c>
    </row>
    <row r="6259" customFormat="false" ht="15" hidden="false" customHeight="false" outlineLevel="0" collapsed="false">
      <c r="A6259" s="3" t="s">
        <v>460</v>
      </c>
      <c r="B6259" s="4" t="s">
        <v>50</v>
      </c>
      <c r="C6259" s="4" t="n">
        <v>6</v>
      </c>
      <c r="D6259" s="4" t="s">
        <v>23</v>
      </c>
      <c r="E6259" s="3" t="s">
        <v>125</v>
      </c>
      <c r="F6259" s="4" t="str">
        <f aca="false">IF(I6259&gt;J6259,"Y","N")</f>
        <v>N</v>
      </c>
      <c r="G6259" s="3" t="s">
        <v>126</v>
      </c>
      <c r="H6259" s="3" t="s">
        <v>42</v>
      </c>
      <c r="I6259" s="4" t="n">
        <v>1</v>
      </c>
      <c r="J6259" s="4" t="n">
        <f aca="false">LEN(E6259)-LEN(SUBSTITUTE(E6259,",",""))+1</f>
        <v>1</v>
      </c>
      <c r="K6259" s="3" t="str">
        <f aca="false">IFERROR(INDEX('Teacher Lookup'!$B$2:$B$200,MATCH(A6259,'Teacher Lookup'!$A$2:$A$200,0)),"")</f>
        <v>LEUNG Kelly</v>
      </c>
    </row>
    <row r="6260" customFormat="false" ht="15" hidden="false" customHeight="false" outlineLevel="0" collapsed="false">
      <c r="A6260" s="3" t="s">
        <v>460</v>
      </c>
      <c r="B6260" s="4" t="s">
        <v>60</v>
      </c>
      <c r="C6260" s="4" t="n">
        <v>2</v>
      </c>
      <c r="D6260" s="4" t="s">
        <v>76</v>
      </c>
      <c r="E6260" s="3" t="s">
        <v>134</v>
      </c>
      <c r="F6260" s="4" t="str">
        <f aca="false">IF(I6260&gt;J6260,"Y","N")</f>
        <v>N</v>
      </c>
      <c r="G6260" s="3" t="s">
        <v>235</v>
      </c>
      <c r="H6260" s="3" t="s">
        <v>21</v>
      </c>
      <c r="I6260" s="4" t="n">
        <v>1</v>
      </c>
      <c r="J6260" s="4" t="n">
        <f aca="false">LEN(E6260)-LEN(SUBSTITUTE(E6260,",",""))+1</f>
        <v>1</v>
      </c>
      <c r="K6260" s="3" t="str">
        <f aca="false">IFERROR(INDEX('Teacher Lookup'!$B$2:$B$200,MATCH(A6260,'Teacher Lookup'!$A$2:$A$200,0)),"")</f>
        <v>LEUNG Kelly</v>
      </c>
    </row>
    <row r="6261" customFormat="false" ht="15" hidden="false" customHeight="false" outlineLevel="0" collapsed="false">
      <c r="A6261" s="3" t="s">
        <v>460</v>
      </c>
      <c r="B6261" s="4" t="s">
        <v>60</v>
      </c>
      <c r="C6261" s="4" t="n">
        <v>3</v>
      </c>
      <c r="D6261" s="4" t="s">
        <v>23</v>
      </c>
      <c r="E6261" s="3" t="s">
        <v>125</v>
      </c>
      <c r="F6261" s="4" t="str">
        <f aca="false">IF(I6261&gt;J6261,"Y","N")</f>
        <v>N</v>
      </c>
      <c r="G6261" s="3" t="s">
        <v>126</v>
      </c>
      <c r="H6261" s="3" t="s">
        <v>26</v>
      </c>
      <c r="I6261" s="4" t="n">
        <v>1</v>
      </c>
      <c r="J6261" s="4" t="n">
        <f aca="false">LEN(E6261)-LEN(SUBSTITUTE(E6261,",",""))+1</f>
        <v>1</v>
      </c>
      <c r="K6261" s="3" t="str">
        <f aca="false">IFERROR(INDEX('Teacher Lookup'!$B$2:$B$200,MATCH(A6261,'Teacher Lookup'!$A$2:$A$200,0)),"")</f>
        <v>LEUNG Kelly</v>
      </c>
    </row>
    <row r="6262" customFormat="false" ht="15" hidden="false" customHeight="false" outlineLevel="0" collapsed="false">
      <c r="A6262" s="3" t="s">
        <v>460</v>
      </c>
      <c r="B6262" s="4" t="s">
        <v>60</v>
      </c>
      <c r="C6262" s="4" t="n">
        <v>5</v>
      </c>
      <c r="D6262" s="4" t="s">
        <v>19</v>
      </c>
      <c r="E6262" s="3" t="s">
        <v>35</v>
      </c>
      <c r="F6262" s="4" t="str">
        <f aca="false">IF(I6262&gt;J6262,"Y","N")</f>
        <v>Y</v>
      </c>
      <c r="G6262" s="3" t="s">
        <v>36</v>
      </c>
      <c r="H6262" s="3" t="s">
        <v>37</v>
      </c>
      <c r="I6262" s="4" t="n">
        <v>17</v>
      </c>
      <c r="J6262" s="4" t="n">
        <f aca="false">LEN(E6262)-LEN(SUBSTITUTE(E6262,",",""))+1</f>
        <v>7</v>
      </c>
      <c r="K6262" s="3" t="str">
        <f aca="false">IFERROR(INDEX('Teacher Lookup'!$B$2:$B$200,MATCH(A6262,'Teacher Lookup'!$A$2:$A$200,0)),"")</f>
        <v>LEUNG Kelly</v>
      </c>
    </row>
    <row r="6263" customFormat="false" ht="15" hidden="false" customHeight="false" outlineLevel="0" collapsed="false">
      <c r="A6263" s="3" t="s">
        <v>460</v>
      </c>
      <c r="B6263" s="4" t="s">
        <v>60</v>
      </c>
      <c r="C6263" s="4" t="n">
        <v>5</v>
      </c>
      <c r="D6263" s="4" t="s">
        <v>22</v>
      </c>
      <c r="E6263" s="3" t="s">
        <v>35</v>
      </c>
      <c r="F6263" s="4" t="str">
        <f aca="false">IF(I6263&gt;J6263,"Y","N")</f>
        <v>Y</v>
      </c>
      <c r="G6263" s="3" t="s">
        <v>36</v>
      </c>
      <c r="H6263" s="3" t="s">
        <v>37</v>
      </c>
      <c r="I6263" s="4" t="n">
        <v>17</v>
      </c>
      <c r="J6263" s="4" t="n">
        <f aca="false">LEN(E6263)-LEN(SUBSTITUTE(E6263,",",""))+1</f>
        <v>7</v>
      </c>
      <c r="K6263" s="3" t="str">
        <f aca="false">IFERROR(INDEX('Teacher Lookup'!$B$2:$B$200,MATCH(A6263,'Teacher Lookup'!$A$2:$A$200,0)),"")</f>
        <v>LEUNG Kelly</v>
      </c>
    </row>
    <row r="6264" customFormat="false" ht="15" hidden="false" customHeight="false" outlineLevel="0" collapsed="false">
      <c r="A6264" s="3" t="s">
        <v>460</v>
      </c>
      <c r="B6264" s="4" t="s">
        <v>60</v>
      </c>
      <c r="C6264" s="4" t="n">
        <v>5</v>
      </c>
      <c r="D6264" s="4" t="s">
        <v>23</v>
      </c>
      <c r="E6264" s="3" t="s">
        <v>35</v>
      </c>
      <c r="F6264" s="4" t="str">
        <f aca="false">IF(I6264&gt;J6264,"Y","N")</f>
        <v>Y</v>
      </c>
      <c r="G6264" s="3" t="s">
        <v>36</v>
      </c>
      <c r="H6264" s="3" t="s">
        <v>37</v>
      </c>
      <c r="I6264" s="4" t="n">
        <v>17</v>
      </c>
      <c r="J6264" s="4" t="n">
        <f aca="false">LEN(E6264)-LEN(SUBSTITUTE(E6264,",",""))+1</f>
        <v>7</v>
      </c>
      <c r="K6264" s="3" t="str">
        <f aca="false">IFERROR(INDEX('Teacher Lookup'!$B$2:$B$200,MATCH(A6264,'Teacher Lookup'!$A$2:$A$200,0)),"")</f>
        <v>LEUNG Kelly</v>
      </c>
    </row>
    <row r="6265" customFormat="false" ht="15" hidden="false" customHeight="false" outlineLevel="0" collapsed="false">
      <c r="A6265" s="3" t="s">
        <v>460</v>
      </c>
      <c r="B6265" s="4" t="s">
        <v>60</v>
      </c>
      <c r="C6265" s="4" t="n">
        <v>5</v>
      </c>
      <c r="D6265" s="4" t="s">
        <v>13</v>
      </c>
      <c r="E6265" s="3" t="s">
        <v>35</v>
      </c>
      <c r="F6265" s="4" t="str">
        <f aca="false">IF(I6265&gt;J6265,"Y","N")</f>
        <v>Y</v>
      </c>
      <c r="G6265" s="3" t="s">
        <v>36</v>
      </c>
      <c r="H6265" s="3" t="s">
        <v>37</v>
      </c>
      <c r="I6265" s="4" t="n">
        <v>17</v>
      </c>
      <c r="J6265" s="4" t="n">
        <f aca="false">LEN(E6265)-LEN(SUBSTITUTE(E6265,",",""))+1</f>
        <v>7</v>
      </c>
      <c r="K6265" s="3" t="str">
        <f aca="false">IFERROR(INDEX('Teacher Lookup'!$B$2:$B$200,MATCH(A6265,'Teacher Lookup'!$A$2:$A$200,0)),"")</f>
        <v>LEUNG Kelly</v>
      </c>
    </row>
    <row r="6266" customFormat="false" ht="15" hidden="false" customHeight="false" outlineLevel="0" collapsed="false">
      <c r="A6266" s="3" t="s">
        <v>460</v>
      </c>
      <c r="B6266" s="4" t="s">
        <v>60</v>
      </c>
      <c r="C6266" s="4" t="n">
        <v>5</v>
      </c>
      <c r="D6266" s="4" t="s">
        <v>17</v>
      </c>
      <c r="E6266" s="3" t="s">
        <v>35</v>
      </c>
      <c r="F6266" s="4" t="str">
        <f aca="false">IF(I6266&gt;J6266,"Y","N")</f>
        <v>Y</v>
      </c>
      <c r="G6266" s="3" t="s">
        <v>36</v>
      </c>
      <c r="H6266" s="3" t="s">
        <v>37</v>
      </c>
      <c r="I6266" s="4" t="n">
        <v>17</v>
      </c>
      <c r="J6266" s="4" t="n">
        <f aca="false">LEN(E6266)-LEN(SUBSTITUTE(E6266,",",""))+1</f>
        <v>7</v>
      </c>
      <c r="K6266" s="3" t="str">
        <f aca="false">IFERROR(INDEX('Teacher Lookup'!$B$2:$B$200,MATCH(A6266,'Teacher Lookup'!$A$2:$A$200,0)),"")</f>
        <v>LEUNG Kelly</v>
      </c>
    </row>
    <row r="6267" customFormat="false" ht="15" hidden="false" customHeight="false" outlineLevel="0" collapsed="false">
      <c r="A6267" s="3" t="s">
        <v>460</v>
      </c>
      <c r="B6267" s="4" t="s">
        <v>60</v>
      </c>
      <c r="C6267" s="4" t="n">
        <v>5</v>
      </c>
      <c r="D6267" s="4" t="s">
        <v>18</v>
      </c>
      <c r="E6267" s="3" t="s">
        <v>35</v>
      </c>
      <c r="F6267" s="4" t="str">
        <f aca="false">IF(I6267&gt;J6267,"Y","N")</f>
        <v>Y</v>
      </c>
      <c r="G6267" s="3" t="s">
        <v>36</v>
      </c>
      <c r="H6267" s="3" t="s">
        <v>37</v>
      </c>
      <c r="I6267" s="4" t="n">
        <v>17</v>
      </c>
      <c r="J6267" s="4" t="n">
        <f aca="false">LEN(E6267)-LEN(SUBSTITUTE(E6267,",",""))+1</f>
        <v>7</v>
      </c>
      <c r="K6267" s="3" t="str">
        <f aca="false">IFERROR(INDEX('Teacher Lookup'!$B$2:$B$200,MATCH(A6267,'Teacher Lookup'!$A$2:$A$200,0)),"")</f>
        <v>LEUNG Kelly</v>
      </c>
    </row>
    <row r="6268" customFormat="false" ht="15" hidden="false" customHeight="false" outlineLevel="0" collapsed="false">
      <c r="A6268" s="3" t="s">
        <v>460</v>
      </c>
      <c r="B6268" s="4" t="s">
        <v>60</v>
      </c>
      <c r="C6268" s="4" t="n">
        <v>6</v>
      </c>
      <c r="D6268" s="4" t="s">
        <v>17</v>
      </c>
      <c r="E6268" s="3" t="s">
        <v>125</v>
      </c>
      <c r="F6268" s="4" t="str">
        <f aca="false">IF(I6268&gt;J6268,"Y","N")</f>
        <v>N</v>
      </c>
      <c r="G6268" s="3" t="s">
        <v>126</v>
      </c>
      <c r="H6268" s="3" t="s">
        <v>42</v>
      </c>
      <c r="I6268" s="4" t="n">
        <v>1</v>
      </c>
      <c r="J6268" s="4" t="n">
        <f aca="false">LEN(E6268)-LEN(SUBSTITUTE(E6268,",",""))+1</f>
        <v>1</v>
      </c>
      <c r="K6268" s="3" t="str">
        <f aca="false">IFERROR(INDEX('Teacher Lookup'!$B$2:$B$200,MATCH(A6268,'Teacher Lookup'!$A$2:$A$200,0)),"")</f>
        <v>LEUNG Kelly</v>
      </c>
    </row>
    <row r="6269" customFormat="false" ht="15" hidden="false" customHeight="false" outlineLevel="0" collapsed="false">
      <c r="A6269" s="3" t="s">
        <v>460</v>
      </c>
      <c r="B6269" s="4" t="s">
        <v>63</v>
      </c>
      <c r="C6269" s="4" t="n">
        <v>1</v>
      </c>
      <c r="D6269" s="4" t="s">
        <v>102</v>
      </c>
      <c r="E6269" s="3" t="s">
        <v>120</v>
      </c>
      <c r="F6269" s="4" t="str">
        <f aca="false">IF(I6269&gt;J6269,"Y","N")</f>
        <v>N</v>
      </c>
      <c r="G6269" s="3" t="s">
        <v>104</v>
      </c>
      <c r="H6269" s="3" t="s">
        <v>16</v>
      </c>
      <c r="I6269" s="4" t="n">
        <v>6</v>
      </c>
      <c r="J6269" s="4" t="n">
        <f aca="false">LEN(E6269)-LEN(SUBSTITUTE(E6269,",",""))+1</f>
        <v>6</v>
      </c>
      <c r="K6269" s="3" t="str">
        <f aca="false">IFERROR(INDEX('Teacher Lookup'!$B$2:$B$200,MATCH(A6269,'Teacher Lookup'!$A$2:$A$200,0)),"")</f>
        <v>LEUNG Kelly</v>
      </c>
    </row>
    <row r="6270" customFormat="false" ht="15" hidden="false" customHeight="false" outlineLevel="0" collapsed="false">
      <c r="A6270" s="3" t="s">
        <v>460</v>
      </c>
      <c r="B6270" s="4" t="s">
        <v>63</v>
      </c>
      <c r="C6270" s="4" t="n">
        <v>1</v>
      </c>
      <c r="D6270" s="4" t="s">
        <v>105</v>
      </c>
      <c r="E6270" s="3" t="s">
        <v>120</v>
      </c>
      <c r="F6270" s="4" t="str">
        <f aca="false">IF(I6270&gt;J6270,"Y","N")</f>
        <v>N</v>
      </c>
      <c r="G6270" s="3" t="s">
        <v>104</v>
      </c>
      <c r="H6270" s="3" t="s">
        <v>16</v>
      </c>
      <c r="I6270" s="4" t="n">
        <v>6</v>
      </c>
      <c r="J6270" s="4" t="n">
        <f aca="false">LEN(E6270)-LEN(SUBSTITUTE(E6270,",",""))+1</f>
        <v>6</v>
      </c>
      <c r="K6270" s="3" t="str">
        <f aca="false">IFERROR(INDEX('Teacher Lookup'!$B$2:$B$200,MATCH(A6270,'Teacher Lookup'!$A$2:$A$200,0)),"")</f>
        <v>LEUNG Kelly</v>
      </c>
    </row>
    <row r="6271" customFormat="false" ht="15" hidden="false" customHeight="false" outlineLevel="0" collapsed="false">
      <c r="A6271" s="3" t="s">
        <v>460</v>
      </c>
      <c r="B6271" s="4" t="s">
        <v>63</v>
      </c>
      <c r="C6271" s="4" t="n">
        <v>1</v>
      </c>
      <c r="D6271" s="4" t="s">
        <v>106</v>
      </c>
      <c r="E6271" s="3" t="s">
        <v>120</v>
      </c>
      <c r="F6271" s="4" t="str">
        <f aca="false">IF(I6271&gt;J6271,"Y","N")</f>
        <v>N</v>
      </c>
      <c r="G6271" s="3" t="s">
        <v>104</v>
      </c>
      <c r="H6271" s="3" t="s">
        <v>16</v>
      </c>
      <c r="I6271" s="4" t="n">
        <v>6</v>
      </c>
      <c r="J6271" s="4" t="n">
        <f aca="false">LEN(E6271)-LEN(SUBSTITUTE(E6271,",",""))+1</f>
        <v>6</v>
      </c>
      <c r="K6271" s="3" t="str">
        <f aca="false">IFERROR(INDEX('Teacher Lookup'!$B$2:$B$200,MATCH(A6271,'Teacher Lookup'!$A$2:$A$200,0)),"")</f>
        <v>LEUNG Kelly</v>
      </c>
    </row>
    <row r="6272" customFormat="false" ht="15" hidden="false" customHeight="false" outlineLevel="0" collapsed="false">
      <c r="A6272" s="3" t="s">
        <v>460</v>
      </c>
      <c r="B6272" s="4" t="s">
        <v>63</v>
      </c>
      <c r="C6272" s="4" t="n">
        <v>1</v>
      </c>
      <c r="D6272" s="4" t="s">
        <v>107</v>
      </c>
      <c r="E6272" s="3" t="s">
        <v>120</v>
      </c>
      <c r="F6272" s="4" t="str">
        <f aca="false">IF(I6272&gt;J6272,"Y","N")</f>
        <v>N</v>
      </c>
      <c r="G6272" s="3" t="s">
        <v>104</v>
      </c>
      <c r="H6272" s="3" t="s">
        <v>16</v>
      </c>
      <c r="I6272" s="4" t="n">
        <v>6</v>
      </c>
      <c r="J6272" s="4" t="n">
        <f aca="false">LEN(E6272)-LEN(SUBSTITUTE(E6272,",",""))+1</f>
        <v>6</v>
      </c>
      <c r="K6272" s="3" t="str">
        <f aca="false">IFERROR(INDEX('Teacher Lookup'!$B$2:$B$200,MATCH(A6272,'Teacher Lookup'!$A$2:$A$200,0)),"")</f>
        <v>LEUNG Kelly</v>
      </c>
    </row>
    <row r="6273" customFormat="false" ht="15" hidden="false" customHeight="false" outlineLevel="0" collapsed="false">
      <c r="A6273" s="3" t="s">
        <v>460</v>
      </c>
      <c r="B6273" s="4" t="s">
        <v>63</v>
      </c>
      <c r="C6273" s="4" t="n">
        <v>4</v>
      </c>
      <c r="D6273" s="4" t="s">
        <v>17</v>
      </c>
      <c r="E6273" s="3" t="s">
        <v>246</v>
      </c>
      <c r="F6273" s="4" t="str">
        <f aca="false">IF(I6273&gt;J6273,"Y","N")</f>
        <v>N</v>
      </c>
      <c r="G6273" s="3" t="s">
        <v>126</v>
      </c>
      <c r="H6273" s="3" t="s">
        <v>34</v>
      </c>
      <c r="I6273" s="4" t="n">
        <v>1</v>
      </c>
      <c r="J6273" s="4" t="n">
        <f aca="false">LEN(E6273)-LEN(SUBSTITUTE(E6273,",",""))+1</f>
        <v>1</v>
      </c>
      <c r="K6273" s="3" t="str">
        <f aca="false">IFERROR(INDEX('Teacher Lookup'!$B$2:$B$200,MATCH(A6273,'Teacher Lookup'!$A$2:$A$200,0)),"")</f>
        <v>LEUNG Kelly</v>
      </c>
    </row>
    <row r="6274" customFormat="false" ht="15" hidden="false" customHeight="false" outlineLevel="0" collapsed="false">
      <c r="A6274" s="3" t="s">
        <v>460</v>
      </c>
      <c r="B6274" s="4" t="s">
        <v>63</v>
      </c>
      <c r="C6274" s="4" t="n">
        <v>7</v>
      </c>
      <c r="D6274" s="4" t="s">
        <v>23</v>
      </c>
      <c r="E6274" s="3" t="s">
        <v>311</v>
      </c>
      <c r="F6274" s="4" t="str">
        <f aca="false">IF(I6274&gt;J6274,"Y","N")</f>
        <v>N</v>
      </c>
      <c r="G6274" s="3" t="s">
        <v>126</v>
      </c>
      <c r="H6274" s="3" t="s">
        <v>39</v>
      </c>
      <c r="I6274" s="4" t="n">
        <v>1</v>
      </c>
      <c r="J6274" s="4" t="n">
        <f aca="false">LEN(E6274)-LEN(SUBSTITUTE(E6274,",",""))+1</f>
        <v>1</v>
      </c>
      <c r="K6274" s="3" t="str">
        <f aca="false">IFERROR(INDEX('Teacher Lookup'!$B$2:$B$200,MATCH(A6274,'Teacher Lookup'!$A$2:$A$200,0)),"")</f>
        <v>LEUNG Kelly</v>
      </c>
    </row>
    <row r="6275" customFormat="false" ht="15" hidden="false" customHeight="false" outlineLevel="0" collapsed="false">
      <c r="A6275" s="3" t="s">
        <v>460</v>
      </c>
      <c r="B6275" s="4" t="s">
        <v>65</v>
      </c>
      <c r="C6275" s="4" t="n">
        <v>2</v>
      </c>
      <c r="D6275" s="4" t="s">
        <v>17</v>
      </c>
      <c r="E6275" s="3" t="s">
        <v>133</v>
      </c>
      <c r="F6275" s="4" t="str">
        <f aca="false">IF(I6275&gt;J6275,"Y","N")</f>
        <v>N</v>
      </c>
      <c r="G6275" s="3" t="s">
        <v>126</v>
      </c>
      <c r="H6275" s="3" t="s">
        <v>21</v>
      </c>
      <c r="I6275" s="4" t="n">
        <v>1</v>
      </c>
      <c r="J6275" s="4" t="n">
        <f aca="false">LEN(E6275)-LEN(SUBSTITUTE(E6275,",",""))+1</f>
        <v>1</v>
      </c>
      <c r="K6275" s="3" t="str">
        <f aca="false">IFERROR(INDEX('Teacher Lookup'!$B$2:$B$200,MATCH(A6275,'Teacher Lookup'!$A$2:$A$200,0)),"")</f>
        <v>LEUNG Kelly</v>
      </c>
    </row>
    <row r="6276" customFormat="false" ht="15" hidden="false" customHeight="false" outlineLevel="0" collapsed="false">
      <c r="A6276" s="3" t="s">
        <v>460</v>
      </c>
      <c r="B6276" s="4" t="s">
        <v>65</v>
      </c>
      <c r="C6276" s="4" t="n">
        <v>4</v>
      </c>
      <c r="D6276" s="4" t="s">
        <v>73</v>
      </c>
      <c r="E6276" s="3" t="s">
        <v>246</v>
      </c>
      <c r="F6276" s="4" t="str">
        <f aca="false">IF(I6276&gt;J6276,"Y","N")</f>
        <v>N</v>
      </c>
      <c r="G6276" s="3" t="s">
        <v>235</v>
      </c>
      <c r="H6276" s="3" t="s">
        <v>34</v>
      </c>
      <c r="I6276" s="4" t="n">
        <v>1</v>
      </c>
      <c r="J6276" s="4" t="n">
        <f aca="false">LEN(E6276)-LEN(SUBSTITUTE(E6276,",",""))+1</f>
        <v>1</v>
      </c>
      <c r="K6276" s="3" t="str">
        <f aca="false">IFERROR(INDEX('Teacher Lookup'!$B$2:$B$200,MATCH(A6276,'Teacher Lookup'!$A$2:$A$200,0)),"")</f>
        <v>LEUNG Kelly</v>
      </c>
    </row>
    <row r="6277" customFormat="false" ht="15" hidden="false" customHeight="false" outlineLevel="0" collapsed="false">
      <c r="A6277" s="3" t="s">
        <v>460</v>
      </c>
      <c r="B6277" s="4" t="s">
        <v>65</v>
      </c>
      <c r="C6277" s="4" t="n">
        <v>5</v>
      </c>
      <c r="D6277" s="4" t="s">
        <v>19</v>
      </c>
      <c r="E6277" s="3" t="s">
        <v>35</v>
      </c>
      <c r="F6277" s="4" t="str">
        <f aca="false">IF(I6277&gt;J6277,"Y","N")</f>
        <v>Y</v>
      </c>
      <c r="G6277" s="3" t="s">
        <v>36</v>
      </c>
      <c r="H6277" s="3" t="s">
        <v>37</v>
      </c>
      <c r="I6277" s="4" t="n">
        <v>17</v>
      </c>
      <c r="J6277" s="4" t="n">
        <f aca="false">LEN(E6277)-LEN(SUBSTITUTE(E6277,",",""))+1</f>
        <v>7</v>
      </c>
      <c r="K6277" s="3" t="str">
        <f aca="false">IFERROR(INDEX('Teacher Lookup'!$B$2:$B$200,MATCH(A6277,'Teacher Lookup'!$A$2:$A$200,0)),"")</f>
        <v>LEUNG Kelly</v>
      </c>
    </row>
    <row r="6278" customFormat="false" ht="15" hidden="false" customHeight="false" outlineLevel="0" collapsed="false">
      <c r="A6278" s="3" t="s">
        <v>460</v>
      </c>
      <c r="B6278" s="4" t="s">
        <v>65</v>
      </c>
      <c r="C6278" s="4" t="n">
        <v>5</v>
      </c>
      <c r="D6278" s="4" t="s">
        <v>22</v>
      </c>
      <c r="E6278" s="3" t="s">
        <v>35</v>
      </c>
      <c r="F6278" s="4" t="str">
        <f aca="false">IF(I6278&gt;J6278,"Y","N")</f>
        <v>Y</v>
      </c>
      <c r="G6278" s="3" t="s">
        <v>36</v>
      </c>
      <c r="H6278" s="3" t="s">
        <v>37</v>
      </c>
      <c r="I6278" s="4" t="n">
        <v>17</v>
      </c>
      <c r="J6278" s="4" t="n">
        <f aca="false">LEN(E6278)-LEN(SUBSTITUTE(E6278,",",""))+1</f>
        <v>7</v>
      </c>
      <c r="K6278" s="3" t="str">
        <f aca="false">IFERROR(INDEX('Teacher Lookup'!$B$2:$B$200,MATCH(A6278,'Teacher Lookup'!$A$2:$A$200,0)),"")</f>
        <v>LEUNG Kelly</v>
      </c>
    </row>
    <row r="6279" customFormat="false" ht="15" hidden="false" customHeight="false" outlineLevel="0" collapsed="false">
      <c r="A6279" s="3" t="s">
        <v>460</v>
      </c>
      <c r="B6279" s="4" t="s">
        <v>65</v>
      </c>
      <c r="C6279" s="4" t="n">
        <v>5</v>
      </c>
      <c r="D6279" s="4" t="s">
        <v>23</v>
      </c>
      <c r="E6279" s="3" t="s">
        <v>35</v>
      </c>
      <c r="F6279" s="4" t="str">
        <f aca="false">IF(I6279&gt;J6279,"Y","N")</f>
        <v>Y</v>
      </c>
      <c r="G6279" s="3" t="s">
        <v>36</v>
      </c>
      <c r="H6279" s="3" t="s">
        <v>37</v>
      </c>
      <c r="I6279" s="4" t="n">
        <v>17</v>
      </c>
      <c r="J6279" s="4" t="n">
        <f aca="false">LEN(E6279)-LEN(SUBSTITUTE(E6279,",",""))+1</f>
        <v>7</v>
      </c>
      <c r="K6279" s="3" t="str">
        <f aca="false">IFERROR(INDEX('Teacher Lookup'!$B$2:$B$200,MATCH(A6279,'Teacher Lookup'!$A$2:$A$200,0)),"")</f>
        <v>LEUNG Kelly</v>
      </c>
    </row>
    <row r="6280" customFormat="false" ht="15" hidden="false" customHeight="false" outlineLevel="0" collapsed="false">
      <c r="A6280" s="3" t="s">
        <v>460</v>
      </c>
      <c r="B6280" s="4" t="s">
        <v>65</v>
      </c>
      <c r="C6280" s="4" t="n">
        <v>5</v>
      </c>
      <c r="D6280" s="4" t="s">
        <v>13</v>
      </c>
      <c r="E6280" s="3" t="s">
        <v>35</v>
      </c>
      <c r="F6280" s="4" t="str">
        <f aca="false">IF(I6280&gt;J6280,"Y","N")</f>
        <v>Y</v>
      </c>
      <c r="G6280" s="3" t="s">
        <v>36</v>
      </c>
      <c r="H6280" s="3" t="s">
        <v>37</v>
      </c>
      <c r="I6280" s="4" t="n">
        <v>17</v>
      </c>
      <c r="J6280" s="4" t="n">
        <f aca="false">LEN(E6280)-LEN(SUBSTITUTE(E6280,",",""))+1</f>
        <v>7</v>
      </c>
      <c r="K6280" s="3" t="str">
        <f aca="false">IFERROR(INDEX('Teacher Lookup'!$B$2:$B$200,MATCH(A6280,'Teacher Lookup'!$A$2:$A$200,0)),"")</f>
        <v>LEUNG Kelly</v>
      </c>
    </row>
    <row r="6281" customFormat="false" ht="15" hidden="false" customHeight="false" outlineLevel="0" collapsed="false">
      <c r="A6281" s="3" t="s">
        <v>460</v>
      </c>
      <c r="B6281" s="4" t="s">
        <v>65</v>
      </c>
      <c r="C6281" s="4" t="n">
        <v>5</v>
      </c>
      <c r="D6281" s="4" t="s">
        <v>17</v>
      </c>
      <c r="E6281" s="3" t="s">
        <v>35</v>
      </c>
      <c r="F6281" s="4" t="str">
        <f aca="false">IF(I6281&gt;J6281,"Y","N")</f>
        <v>Y</v>
      </c>
      <c r="G6281" s="3" t="s">
        <v>36</v>
      </c>
      <c r="H6281" s="3" t="s">
        <v>37</v>
      </c>
      <c r="I6281" s="4" t="n">
        <v>17</v>
      </c>
      <c r="J6281" s="4" t="n">
        <f aca="false">LEN(E6281)-LEN(SUBSTITUTE(E6281,",",""))+1</f>
        <v>7</v>
      </c>
      <c r="K6281" s="3" t="str">
        <f aca="false">IFERROR(INDEX('Teacher Lookup'!$B$2:$B$200,MATCH(A6281,'Teacher Lookup'!$A$2:$A$200,0)),"")</f>
        <v>LEUNG Kelly</v>
      </c>
    </row>
    <row r="6282" customFormat="false" ht="15" hidden="false" customHeight="false" outlineLevel="0" collapsed="false">
      <c r="A6282" s="3" t="s">
        <v>460</v>
      </c>
      <c r="B6282" s="4" t="s">
        <v>65</v>
      </c>
      <c r="C6282" s="4" t="n">
        <v>5</v>
      </c>
      <c r="D6282" s="4" t="s">
        <v>18</v>
      </c>
      <c r="E6282" s="3" t="s">
        <v>35</v>
      </c>
      <c r="F6282" s="4" t="str">
        <f aca="false">IF(I6282&gt;J6282,"Y","N")</f>
        <v>Y</v>
      </c>
      <c r="G6282" s="3" t="s">
        <v>36</v>
      </c>
      <c r="H6282" s="3" t="s">
        <v>37</v>
      </c>
      <c r="I6282" s="4" t="n">
        <v>17</v>
      </c>
      <c r="J6282" s="4" t="n">
        <f aca="false">LEN(E6282)-LEN(SUBSTITUTE(E6282,",",""))+1</f>
        <v>7</v>
      </c>
      <c r="K6282" s="3" t="str">
        <f aca="false">IFERROR(INDEX('Teacher Lookup'!$B$2:$B$200,MATCH(A6282,'Teacher Lookup'!$A$2:$A$200,0)),"")</f>
        <v>LEUNG Kelly</v>
      </c>
    </row>
    <row r="6283" customFormat="false" ht="15" hidden="false" customHeight="false" outlineLevel="0" collapsed="false">
      <c r="A6283" s="3" t="s">
        <v>460</v>
      </c>
      <c r="B6283" s="4" t="s">
        <v>65</v>
      </c>
      <c r="C6283" s="4" t="n">
        <v>7</v>
      </c>
      <c r="D6283" s="4" t="s">
        <v>23</v>
      </c>
      <c r="E6283" s="3" t="s">
        <v>133</v>
      </c>
      <c r="F6283" s="4" t="str">
        <f aca="false">IF(I6283&gt;J6283,"Y","N")</f>
        <v>N</v>
      </c>
      <c r="G6283" s="3" t="s">
        <v>126</v>
      </c>
      <c r="H6283" s="3" t="s">
        <v>39</v>
      </c>
      <c r="I6283" s="4" t="n">
        <v>1</v>
      </c>
      <c r="J6283" s="4" t="n">
        <f aca="false">LEN(E6283)-LEN(SUBSTITUTE(E6283,",",""))+1</f>
        <v>1</v>
      </c>
      <c r="K6283" s="3" t="str">
        <f aca="false">IFERROR(INDEX('Teacher Lookup'!$B$2:$B$200,MATCH(A6283,'Teacher Lookup'!$A$2:$A$200,0)),"")</f>
        <v>LEUNG Kelly</v>
      </c>
    </row>
    <row r="6284" customFormat="false" ht="15" hidden="false" customHeight="false" outlineLevel="0" collapsed="false">
      <c r="A6284" s="3" t="s">
        <v>460</v>
      </c>
      <c r="B6284" s="4" t="s">
        <v>66</v>
      </c>
      <c r="C6284" s="4" t="n">
        <v>1</v>
      </c>
      <c r="D6284" s="4" t="s">
        <v>17</v>
      </c>
      <c r="E6284" s="3" t="s">
        <v>133</v>
      </c>
      <c r="F6284" s="4" t="str">
        <f aca="false">IF(I6284&gt;J6284,"Y","N")</f>
        <v>N</v>
      </c>
      <c r="G6284" s="3" t="s">
        <v>126</v>
      </c>
      <c r="H6284" s="3" t="s">
        <v>16</v>
      </c>
      <c r="I6284" s="4" t="n">
        <v>1</v>
      </c>
      <c r="J6284" s="4" t="n">
        <f aca="false">LEN(E6284)-LEN(SUBSTITUTE(E6284,",",""))+1</f>
        <v>1</v>
      </c>
      <c r="K6284" s="3" t="str">
        <f aca="false">IFERROR(INDEX('Teacher Lookup'!$B$2:$B$200,MATCH(A6284,'Teacher Lookup'!$A$2:$A$200,0)),"")</f>
        <v>LEUNG Kelly</v>
      </c>
    </row>
    <row r="6285" customFormat="false" ht="15" hidden="false" customHeight="false" outlineLevel="0" collapsed="false">
      <c r="A6285" s="3" t="s">
        <v>460</v>
      </c>
      <c r="B6285" s="4" t="s">
        <v>66</v>
      </c>
      <c r="C6285" s="4" t="n">
        <v>2</v>
      </c>
      <c r="D6285" s="4" t="s">
        <v>102</v>
      </c>
      <c r="E6285" s="3" t="s">
        <v>114</v>
      </c>
      <c r="F6285" s="4" t="str">
        <f aca="false">IF(I6285&gt;J6285,"Y","N")</f>
        <v>N</v>
      </c>
      <c r="G6285" s="3" t="s">
        <v>104</v>
      </c>
      <c r="H6285" s="3" t="s">
        <v>21</v>
      </c>
      <c r="I6285" s="4" t="n">
        <v>6</v>
      </c>
      <c r="J6285" s="4" t="n">
        <f aca="false">LEN(E6285)-LEN(SUBSTITUTE(E6285,",",""))+1</f>
        <v>6</v>
      </c>
      <c r="K6285" s="3" t="str">
        <f aca="false">IFERROR(INDEX('Teacher Lookup'!$B$2:$B$200,MATCH(A6285,'Teacher Lookup'!$A$2:$A$200,0)),"")</f>
        <v>LEUNG Kelly</v>
      </c>
    </row>
    <row r="6286" customFormat="false" ht="15" hidden="false" customHeight="false" outlineLevel="0" collapsed="false">
      <c r="A6286" s="3" t="s">
        <v>460</v>
      </c>
      <c r="B6286" s="4" t="s">
        <v>66</v>
      </c>
      <c r="C6286" s="4" t="n">
        <v>2</v>
      </c>
      <c r="D6286" s="4" t="s">
        <v>105</v>
      </c>
      <c r="E6286" s="3" t="s">
        <v>114</v>
      </c>
      <c r="F6286" s="4" t="str">
        <f aca="false">IF(I6286&gt;J6286,"Y","N")</f>
        <v>N</v>
      </c>
      <c r="G6286" s="3" t="s">
        <v>104</v>
      </c>
      <c r="H6286" s="3" t="s">
        <v>21</v>
      </c>
      <c r="I6286" s="4" t="n">
        <v>6</v>
      </c>
      <c r="J6286" s="4" t="n">
        <f aca="false">LEN(E6286)-LEN(SUBSTITUTE(E6286,",",""))+1</f>
        <v>6</v>
      </c>
      <c r="K6286" s="3" t="str">
        <f aca="false">IFERROR(INDEX('Teacher Lookup'!$B$2:$B$200,MATCH(A6286,'Teacher Lookup'!$A$2:$A$200,0)),"")</f>
        <v>LEUNG Kelly</v>
      </c>
    </row>
    <row r="6287" customFormat="false" ht="15" hidden="false" customHeight="false" outlineLevel="0" collapsed="false">
      <c r="A6287" s="3" t="s">
        <v>460</v>
      </c>
      <c r="B6287" s="4" t="s">
        <v>66</v>
      </c>
      <c r="C6287" s="4" t="n">
        <v>2</v>
      </c>
      <c r="D6287" s="4" t="s">
        <v>106</v>
      </c>
      <c r="E6287" s="3" t="s">
        <v>114</v>
      </c>
      <c r="F6287" s="4" t="str">
        <f aca="false">IF(I6287&gt;J6287,"Y","N")</f>
        <v>N</v>
      </c>
      <c r="G6287" s="3" t="s">
        <v>104</v>
      </c>
      <c r="H6287" s="3" t="s">
        <v>21</v>
      </c>
      <c r="I6287" s="4" t="n">
        <v>6</v>
      </c>
      <c r="J6287" s="4" t="n">
        <f aca="false">LEN(E6287)-LEN(SUBSTITUTE(E6287,",",""))+1</f>
        <v>6</v>
      </c>
      <c r="K6287" s="3" t="str">
        <f aca="false">IFERROR(INDEX('Teacher Lookup'!$B$2:$B$200,MATCH(A6287,'Teacher Lookup'!$A$2:$A$200,0)),"")</f>
        <v>LEUNG Kelly</v>
      </c>
    </row>
    <row r="6288" customFormat="false" ht="15" hidden="false" customHeight="false" outlineLevel="0" collapsed="false">
      <c r="A6288" s="3" t="s">
        <v>460</v>
      </c>
      <c r="B6288" s="4" t="s">
        <v>66</v>
      </c>
      <c r="C6288" s="4" t="n">
        <v>2</v>
      </c>
      <c r="D6288" s="4" t="s">
        <v>107</v>
      </c>
      <c r="E6288" s="3" t="s">
        <v>114</v>
      </c>
      <c r="F6288" s="4" t="str">
        <f aca="false">IF(I6288&gt;J6288,"Y","N")</f>
        <v>N</v>
      </c>
      <c r="G6288" s="3" t="s">
        <v>104</v>
      </c>
      <c r="H6288" s="3" t="s">
        <v>21</v>
      </c>
      <c r="I6288" s="4" t="n">
        <v>6</v>
      </c>
      <c r="J6288" s="4" t="n">
        <f aca="false">LEN(E6288)-LEN(SUBSTITUTE(E6288,",",""))+1</f>
        <v>6</v>
      </c>
      <c r="K6288" s="3" t="str">
        <f aca="false">IFERROR(INDEX('Teacher Lookup'!$B$2:$B$200,MATCH(A6288,'Teacher Lookup'!$A$2:$A$200,0)),"")</f>
        <v>LEUNG Kelly</v>
      </c>
    </row>
    <row r="6289" customFormat="false" ht="15" hidden="false" customHeight="false" outlineLevel="0" collapsed="false">
      <c r="A6289" s="3" t="s">
        <v>460</v>
      </c>
      <c r="B6289" s="4" t="s">
        <v>66</v>
      </c>
      <c r="C6289" s="4" t="n">
        <v>3</v>
      </c>
      <c r="D6289" s="4" t="s">
        <v>23</v>
      </c>
      <c r="E6289" s="3" t="s">
        <v>353</v>
      </c>
      <c r="F6289" s="4" t="str">
        <f aca="false">IF(I6289&gt;J6289,"Y","N")</f>
        <v>N</v>
      </c>
      <c r="G6289" s="3" t="s">
        <v>126</v>
      </c>
      <c r="H6289" s="3" t="s">
        <v>26</v>
      </c>
      <c r="I6289" s="4" t="n">
        <v>1</v>
      </c>
      <c r="J6289" s="4" t="n">
        <f aca="false">LEN(E6289)-LEN(SUBSTITUTE(E6289,",",""))+1</f>
        <v>1</v>
      </c>
      <c r="K6289" s="3" t="str">
        <f aca="false">IFERROR(INDEX('Teacher Lookup'!$B$2:$B$200,MATCH(A6289,'Teacher Lookup'!$A$2:$A$200,0)),"")</f>
        <v>LEUNG Kelly</v>
      </c>
    </row>
    <row r="6290" customFormat="false" ht="15" hidden="false" customHeight="false" outlineLevel="0" collapsed="false">
      <c r="A6290" s="3" t="s">
        <v>461</v>
      </c>
      <c r="B6290" s="4" t="s">
        <v>12</v>
      </c>
      <c r="C6290" s="4" t="n">
        <v>4</v>
      </c>
      <c r="D6290" s="4" t="s">
        <v>142</v>
      </c>
      <c r="E6290" s="3" t="s">
        <v>462</v>
      </c>
      <c r="F6290" s="4" t="str">
        <f aca="false">IF(I6290&gt;J6290,"Y","N")</f>
        <v>N</v>
      </c>
      <c r="G6290" s="3" t="s">
        <v>463</v>
      </c>
      <c r="H6290" s="3" t="s">
        <v>34</v>
      </c>
      <c r="I6290" s="4" t="n">
        <v>1</v>
      </c>
      <c r="J6290" s="4" t="n">
        <f aca="false">LEN(E6290)-LEN(SUBSTITUTE(E6290,",",""))+1</f>
        <v>1</v>
      </c>
      <c r="K6290" s="3" t="str">
        <f aca="false">IFERROR(INDEX('Teacher Lookup'!$B$2:$B$200,MATCH(A6290,'Teacher Lookup'!$A$2:$A$200,0)),"")</f>
        <v>TSUI Kami</v>
      </c>
    </row>
    <row r="6291" customFormat="false" ht="15" hidden="false" customHeight="false" outlineLevel="0" collapsed="false">
      <c r="A6291" s="3" t="s">
        <v>461</v>
      </c>
      <c r="B6291" s="4" t="s">
        <v>12</v>
      </c>
      <c r="C6291" s="4" t="n">
        <v>5</v>
      </c>
      <c r="D6291" s="4" t="s">
        <v>142</v>
      </c>
      <c r="E6291" s="3" t="s">
        <v>462</v>
      </c>
      <c r="F6291" s="4" t="str">
        <f aca="false">IF(I6291&gt;J6291,"Y","N")</f>
        <v>N</v>
      </c>
      <c r="G6291" s="3" t="s">
        <v>463</v>
      </c>
      <c r="H6291" s="3" t="s">
        <v>37</v>
      </c>
      <c r="I6291" s="4" t="n">
        <v>1</v>
      </c>
      <c r="J6291" s="4" t="n">
        <f aca="false">LEN(E6291)-LEN(SUBSTITUTE(E6291,",",""))+1</f>
        <v>1</v>
      </c>
      <c r="K6291" s="3" t="str">
        <f aca="false">IFERROR(INDEX('Teacher Lookup'!$B$2:$B$200,MATCH(A6291,'Teacher Lookup'!$A$2:$A$200,0)),"")</f>
        <v>TSUI Kami</v>
      </c>
    </row>
    <row r="6292" customFormat="false" ht="15" hidden="false" customHeight="false" outlineLevel="0" collapsed="false">
      <c r="A6292" s="3" t="s">
        <v>461</v>
      </c>
      <c r="B6292" s="4" t="s">
        <v>31</v>
      </c>
      <c r="C6292" s="4" t="n">
        <v>1</v>
      </c>
      <c r="D6292" s="4" t="s">
        <v>17</v>
      </c>
      <c r="E6292" s="3" t="s">
        <v>462</v>
      </c>
      <c r="F6292" s="4" t="str">
        <f aca="false">IF(I6292&gt;J6292,"Y","N")</f>
        <v>Y</v>
      </c>
      <c r="G6292" s="3" t="s">
        <v>463</v>
      </c>
      <c r="H6292" s="3" t="s">
        <v>16</v>
      </c>
      <c r="I6292" s="4" t="n">
        <v>2</v>
      </c>
      <c r="J6292" s="4" t="n">
        <f aca="false">LEN(E6292)-LEN(SUBSTITUTE(E6292,",",""))+1</f>
        <v>1</v>
      </c>
      <c r="K6292" s="3" t="str">
        <f aca="false">IFERROR(INDEX('Teacher Lookup'!$B$2:$B$200,MATCH(A6292,'Teacher Lookup'!$A$2:$A$200,0)),"")</f>
        <v>TSUI Kami</v>
      </c>
    </row>
    <row r="6293" customFormat="false" ht="15" hidden="false" customHeight="false" outlineLevel="0" collapsed="false">
      <c r="A6293" s="3" t="s">
        <v>461</v>
      </c>
      <c r="B6293" s="4" t="s">
        <v>31</v>
      </c>
      <c r="C6293" s="4" t="n">
        <v>2</v>
      </c>
      <c r="D6293" s="4" t="s">
        <v>17</v>
      </c>
      <c r="E6293" s="3" t="s">
        <v>462</v>
      </c>
      <c r="F6293" s="4" t="str">
        <f aca="false">IF(I6293&gt;J6293,"Y","N")</f>
        <v>Y</v>
      </c>
      <c r="G6293" s="3" t="s">
        <v>463</v>
      </c>
      <c r="H6293" s="3" t="s">
        <v>21</v>
      </c>
      <c r="I6293" s="4" t="n">
        <v>2</v>
      </c>
      <c r="J6293" s="4" t="n">
        <f aca="false">LEN(E6293)-LEN(SUBSTITUTE(E6293,",",""))+1</f>
        <v>1</v>
      </c>
      <c r="K6293" s="3" t="str">
        <f aca="false">IFERROR(INDEX('Teacher Lookup'!$B$2:$B$200,MATCH(A6293,'Teacher Lookup'!$A$2:$A$200,0)),"")</f>
        <v>TSUI Kami</v>
      </c>
    </row>
    <row r="6294" customFormat="false" ht="15" hidden="false" customHeight="false" outlineLevel="0" collapsed="false">
      <c r="A6294" s="3" t="s">
        <v>461</v>
      </c>
      <c r="B6294" s="4" t="s">
        <v>31</v>
      </c>
      <c r="C6294" s="4" t="n">
        <v>5</v>
      </c>
      <c r="D6294" s="4" t="s">
        <v>19</v>
      </c>
      <c r="E6294" s="3" t="s">
        <v>35</v>
      </c>
      <c r="F6294" s="4" t="str">
        <f aca="false">IF(I6294&gt;J6294,"Y","N")</f>
        <v>Y</v>
      </c>
      <c r="G6294" s="3" t="s">
        <v>36</v>
      </c>
      <c r="H6294" s="3" t="s">
        <v>37</v>
      </c>
      <c r="I6294" s="4" t="n">
        <v>17</v>
      </c>
      <c r="J6294" s="4" t="n">
        <f aca="false">LEN(E6294)-LEN(SUBSTITUTE(E6294,",",""))+1</f>
        <v>7</v>
      </c>
      <c r="K6294" s="3" t="str">
        <f aca="false">IFERROR(INDEX('Teacher Lookup'!$B$2:$B$200,MATCH(A6294,'Teacher Lookup'!$A$2:$A$200,0)),"")</f>
        <v>TSUI Kami</v>
      </c>
    </row>
    <row r="6295" customFormat="false" ht="15" hidden="false" customHeight="false" outlineLevel="0" collapsed="false">
      <c r="A6295" s="3" t="s">
        <v>461</v>
      </c>
      <c r="B6295" s="4" t="s">
        <v>31</v>
      </c>
      <c r="C6295" s="4" t="n">
        <v>5</v>
      </c>
      <c r="D6295" s="4" t="s">
        <v>22</v>
      </c>
      <c r="E6295" s="3" t="s">
        <v>35</v>
      </c>
      <c r="F6295" s="4" t="str">
        <f aca="false">IF(I6295&gt;J6295,"Y","N")</f>
        <v>Y</v>
      </c>
      <c r="G6295" s="3" t="s">
        <v>36</v>
      </c>
      <c r="H6295" s="3" t="s">
        <v>37</v>
      </c>
      <c r="I6295" s="4" t="n">
        <v>17</v>
      </c>
      <c r="J6295" s="4" t="n">
        <f aca="false">LEN(E6295)-LEN(SUBSTITUTE(E6295,",",""))+1</f>
        <v>7</v>
      </c>
      <c r="K6295" s="3" t="str">
        <f aca="false">IFERROR(INDEX('Teacher Lookup'!$B$2:$B$200,MATCH(A6295,'Teacher Lookup'!$A$2:$A$200,0)),"")</f>
        <v>TSUI Kami</v>
      </c>
    </row>
    <row r="6296" customFormat="false" ht="15" hidden="false" customHeight="false" outlineLevel="0" collapsed="false">
      <c r="A6296" s="3" t="s">
        <v>461</v>
      </c>
      <c r="B6296" s="4" t="s">
        <v>31</v>
      </c>
      <c r="C6296" s="4" t="n">
        <v>5</v>
      </c>
      <c r="D6296" s="4" t="s">
        <v>23</v>
      </c>
      <c r="E6296" s="3" t="s">
        <v>35</v>
      </c>
      <c r="F6296" s="4" t="str">
        <f aca="false">IF(I6296&gt;J6296,"Y","N")</f>
        <v>Y</v>
      </c>
      <c r="G6296" s="3" t="s">
        <v>36</v>
      </c>
      <c r="H6296" s="3" t="s">
        <v>37</v>
      </c>
      <c r="I6296" s="4" t="n">
        <v>17</v>
      </c>
      <c r="J6296" s="4" t="n">
        <f aca="false">LEN(E6296)-LEN(SUBSTITUTE(E6296,",",""))+1</f>
        <v>7</v>
      </c>
      <c r="K6296" s="3" t="str">
        <f aca="false">IFERROR(INDEX('Teacher Lookup'!$B$2:$B$200,MATCH(A6296,'Teacher Lookup'!$A$2:$A$200,0)),"")</f>
        <v>TSUI Kami</v>
      </c>
    </row>
    <row r="6297" customFormat="false" ht="15" hidden="false" customHeight="false" outlineLevel="0" collapsed="false">
      <c r="A6297" s="3" t="s">
        <v>461</v>
      </c>
      <c r="B6297" s="4" t="s">
        <v>31</v>
      </c>
      <c r="C6297" s="4" t="n">
        <v>5</v>
      </c>
      <c r="D6297" s="4" t="s">
        <v>13</v>
      </c>
      <c r="E6297" s="3" t="s">
        <v>35</v>
      </c>
      <c r="F6297" s="4" t="str">
        <f aca="false">IF(I6297&gt;J6297,"Y","N")</f>
        <v>Y</v>
      </c>
      <c r="G6297" s="3" t="s">
        <v>36</v>
      </c>
      <c r="H6297" s="3" t="s">
        <v>37</v>
      </c>
      <c r="I6297" s="4" t="n">
        <v>17</v>
      </c>
      <c r="J6297" s="4" t="n">
        <f aca="false">LEN(E6297)-LEN(SUBSTITUTE(E6297,",",""))+1</f>
        <v>7</v>
      </c>
      <c r="K6297" s="3" t="str">
        <f aca="false">IFERROR(INDEX('Teacher Lookup'!$B$2:$B$200,MATCH(A6297,'Teacher Lookup'!$A$2:$A$200,0)),"")</f>
        <v>TSUI Kami</v>
      </c>
    </row>
    <row r="6298" customFormat="false" ht="15" hidden="false" customHeight="false" outlineLevel="0" collapsed="false">
      <c r="A6298" s="3" t="s">
        <v>461</v>
      </c>
      <c r="B6298" s="4" t="s">
        <v>31</v>
      </c>
      <c r="C6298" s="4" t="n">
        <v>5</v>
      </c>
      <c r="D6298" s="4" t="s">
        <v>17</v>
      </c>
      <c r="E6298" s="3" t="s">
        <v>35</v>
      </c>
      <c r="F6298" s="4" t="str">
        <f aca="false">IF(I6298&gt;J6298,"Y","N")</f>
        <v>Y</v>
      </c>
      <c r="G6298" s="3" t="s">
        <v>36</v>
      </c>
      <c r="H6298" s="3" t="s">
        <v>37</v>
      </c>
      <c r="I6298" s="4" t="n">
        <v>17</v>
      </c>
      <c r="J6298" s="4" t="n">
        <f aca="false">LEN(E6298)-LEN(SUBSTITUTE(E6298,",",""))+1</f>
        <v>7</v>
      </c>
      <c r="K6298" s="3" t="str">
        <f aca="false">IFERROR(INDEX('Teacher Lookup'!$B$2:$B$200,MATCH(A6298,'Teacher Lookup'!$A$2:$A$200,0)),"")</f>
        <v>TSUI Kami</v>
      </c>
    </row>
    <row r="6299" customFormat="false" ht="15" hidden="false" customHeight="false" outlineLevel="0" collapsed="false">
      <c r="A6299" s="3" t="s">
        <v>461</v>
      </c>
      <c r="B6299" s="4" t="s">
        <v>31</v>
      </c>
      <c r="C6299" s="4" t="n">
        <v>5</v>
      </c>
      <c r="D6299" s="4" t="s">
        <v>18</v>
      </c>
      <c r="E6299" s="3" t="s">
        <v>35</v>
      </c>
      <c r="F6299" s="4" t="str">
        <f aca="false">IF(I6299&gt;J6299,"Y","N")</f>
        <v>Y</v>
      </c>
      <c r="G6299" s="3" t="s">
        <v>36</v>
      </c>
      <c r="H6299" s="3" t="s">
        <v>37</v>
      </c>
      <c r="I6299" s="4" t="n">
        <v>17</v>
      </c>
      <c r="J6299" s="4" t="n">
        <f aca="false">LEN(E6299)-LEN(SUBSTITUTE(E6299,",",""))+1</f>
        <v>7</v>
      </c>
      <c r="K6299" s="3" t="str">
        <f aca="false">IFERROR(INDEX('Teacher Lookup'!$B$2:$B$200,MATCH(A6299,'Teacher Lookup'!$A$2:$A$200,0)),"")</f>
        <v>TSUI Kami</v>
      </c>
    </row>
    <row r="6300" customFormat="false" ht="15" hidden="false" customHeight="false" outlineLevel="0" collapsed="false">
      <c r="A6300" s="3" t="s">
        <v>461</v>
      </c>
      <c r="B6300" s="4" t="s">
        <v>31</v>
      </c>
      <c r="C6300" s="4" t="n">
        <v>6</v>
      </c>
      <c r="D6300" s="4" t="s">
        <v>22</v>
      </c>
      <c r="E6300" s="3" t="s">
        <v>462</v>
      </c>
      <c r="F6300" s="4" t="str">
        <f aca="false">IF(I6300&gt;J6300,"Y","N")</f>
        <v>Y</v>
      </c>
      <c r="G6300" s="3" t="s">
        <v>463</v>
      </c>
      <c r="H6300" s="3" t="s">
        <v>42</v>
      </c>
      <c r="I6300" s="4" t="n">
        <v>2</v>
      </c>
      <c r="J6300" s="4" t="n">
        <f aca="false">LEN(E6300)-LEN(SUBSTITUTE(E6300,",",""))+1</f>
        <v>1</v>
      </c>
      <c r="K6300" s="3" t="str">
        <f aca="false">IFERROR(INDEX('Teacher Lookup'!$B$2:$B$200,MATCH(A6300,'Teacher Lookup'!$A$2:$A$200,0)),"")</f>
        <v>TSUI Kami</v>
      </c>
    </row>
    <row r="6301" customFormat="false" ht="15" hidden="false" customHeight="false" outlineLevel="0" collapsed="false">
      <c r="A6301" s="3" t="s">
        <v>461</v>
      </c>
      <c r="B6301" s="4" t="s">
        <v>31</v>
      </c>
      <c r="C6301" s="4" t="n">
        <v>7</v>
      </c>
      <c r="D6301" s="4" t="s">
        <v>22</v>
      </c>
      <c r="E6301" s="3" t="s">
        <v>462</v>
      </c>
      <c r="F6301" s="4" t="str">
        <f aca="false">IF(I6301&gt;J6301,"Y","N")</f>
        <v>Y</v>
      </c>
      <c r="G6301" s="3" t="s">
        <v>463</v>
      </c>
      <c r="H6301" s="3" t="s">
        <v>39</v>
      </c>
      <c r="I6301" s="4" t="n">
        <v>2</v>
      </c>
      <c r="J6301" s="4" t="n">
        <f aca="false">LEN(E6301)-LEN(SUBSTITUTE(E6301,",",""))+1</f>
        <v>1</v>
      </c>
      <c r="K6301" s="3" t="str">
        <f aca="false">IFERROR(INDEX('Teacher Lookup'!$B$2:$B$200,MATCH(A6301,'Teacher Lookup'!$A$2:$A$200,0)),"")</f>
        <v>TSUI Kami</v>
      </c>
    </row>
    <row r="6302" customFormat="false" ht="15" hidden="false" customHeight="false" outlineLevel="0" collapsed="false">
      <c r="A6302" s="3" t="s">
        <v>461</v>
      </c>
      <c r="B6302" s="4" t="s">
        <v>40</v>
      </c>
      <c r="C6302" s="4" t="n">
        <v>4</v>
      </c>
      <c r="D6302" s="4" t="s">
        <v>23</v>
      </c>
      <c r="E6302" s="3" t="s">
        <v>462</v>
      </c>
      <c r="F6302" s="4" t="str">
        <f aca="false">IF(I6302&gt;J6302,"Y","N")</f>
        <v>Y</v>
      </c>
      <c r="G6302" s="3" t="s">
        <v>463</v>
      </c>
      <c r="H6302" s="3" t="s">
        <v>34</v>
      </c>
      <c r="I6302" s="4" t="n">
        <v>2</v>
      </c>
      <c r="J6302" s="4" t="n">
        <f aca="false">LEN(E6302)-LEN(SUBSTITUTE(E6302,",",""))+1</f>
        <v>1</v>
      </c>
      <c r="K6302" s="3" t="str">
        <f aca="false">IFERROR(INDEX('Teacher Lookup'!$B$2:$B$200,MATCH(A6302,'Teacher Lookup'!$A$2:$A$200,0)),"")</f>
        <v>TSUI Kami</v>
      </c>
    </row>
    <row r="6303" customFormat="false" ht="15" hidden="false" customHeight="false" outlineLevel="0" collapsed="false">
      <c r="A6303" s="3" t="s">
        <v>461</v>
      </c>
      <c r="B6303" s="4" t="s">
        <v>40</v>
      </c>
      <c r="C6303" s="4" t="n">
        <v>5</v>
      </c>
      <c r="D6303" s="4" t="s">
        <v>23</v>
      </c>
      <c r="E6303" s="3" t="s">
        <v>462</v>
      </c>
      <c r="F6303" s="4" t="str">
        <f aca="false">IF(I6303&gt;J6303,"Y","N")</f>
        <v>Y</v>
      </c>
      <c r="G6303" s="3" t="s">
        <v>463</v>
      </c>
      <c r="H6303" s="3" t="s">
        <v>37</v>
      </c>
      <c r="I6303" s="4" t="n">
        <v>2</v>
      </c>
      <c r="J6303" s="4" t="n">
        <f aca="false">LEN(E6303)-LEN(SUBSTITUTE(E6303,",",""))+1</f>
        <v>1</v>
      </c>
      <c r="K6303" s="3" t="str">
        <f aca="false">IFERROR(INDEX('Teacher Lookup'!$B$2:$B$200,MATCH(A6303,'Teacher Lookup'!$A$2:$A$200,0)),"")</f>
        <v>TSUI Kami</v>
      </c>
    </row>
    <row r="6304" customFormat="false" ht="15" hidden="false" customHeight="false" outlineLevel="0" collapsed="false">
      <c r="A6304" s="3" t="s">
        <v>461</v>
      </c>
      <c r="B6304" s="4" t="s">
        <v>44</v>
      </c>
      <c r="C6304" s="4" t="n">
        <v>1</v>
      </c>
      <c r="D6304" s="4" t="s">
        <v>124</v>
      </c>
      <c r="E6304" s="3" t="s">
        <v>462</v>
      </c>
      <c r="F6304" s="4" t="str">
        <f aca="false">IF(I6304&gt;J6304,"Y","N")</f>
        <v>N</v>
      </c>
      <c r="G6304" s="3" t="s">
        <v>463</v>
      </c>
      <c r="H6304" s="3" t="s">
        <v>16</v>
      </c>
      <c r="I6304" s="4" t="n">
        <v>1</v>
      </c>
      <c r="J6304" s="4" t="n">
        <f aca="false">LEN(E6304)-LEN(SUBSTITUTE(E6304,",",""))+1</f>
        <v>1</v>
      </c>
      <c r="K6304" s="3" t="str">
        <f aca="false">IFERROR(INDEX('Teacher Lookup'!$B$2:$B$200,MATCH(A6304,'Teacher Lookup'!$A$2:$A$200,0)),"")</f>
        <v>TSUI Kami</v>
      </c>
    </row>
    <row r="6305" customFormat="false" ht="15" hidden="false" customHeight="false" outlineLevel="0" collapsed="false">
      <c r="A6305" s="3" t="s">
        <v>461</v>
      </c>
      <c r="B6305" s="4" t="s">
        <v>44</v>
      </c>
      <c r="C6305" s="4" t="n">
        <v>2</v>
      </c>
      <c r="D6305" s="4" t="s">
        <v>124</v>
      </c>
      <c r="E6305" s="3" t="s">
        <v>462</v>
      </c>
      <c r="F6305" s="4" t="str">
        <f aca="false">IF(I6305&gt;J6305,"Y","N")</f>
        <v>N</v>
      </c>
      <c r="G6305" s="3" t="s">
        <v>463</v>
      </c>
      <c r="H6305" s="3" t="s">
        <v>21</v>
      </c>
      <c r="I6305" s="4" t="n">
        <v>1</v>
      </c>
      <c r="J6305" s="4" t="n">
        <f aca="false">LEN(E6305)-LEN(SUBSTITUTE(E6305,",",""))+1</f>
        <v>1</v>
      </c>
      <c r="K6305" s="3" t="str">
        <f aca="false">IFERROR(INDEX('Teacher Lookup'!$B$2:$B$200,MATCH(A6305,'Teacher Lookup'!$A$2:$A$200,0)),"")</f>
        <v>TSUI Kami</v>
      </c>
    </row>
    <row r="6306" customFormat="false" ht="15" hidden="false" customHeight="false" outlineLevel="0" collapsed="false">
      <c r="A6306" s="3" t="s">
        <v>461</v>
      </c>
      <c r="B6306" s="4" t="s">
        <v>44</v>
      </c>
      <c r="C6306" s="4" t="n">
        <v>5</v>
      </c>
      <c r="D6306" s="4" t="s">
        <v>19</v>
      </c>
      <c r="E6306" s="3" t="s">
        <v>35</v>
      </c>
      <c r="F6306" s="4" t="str">
        <f aca="false">IF(I6306&gt;J6306,"Y","N")</f>
        <v>Y</v>
      </c>
      <c r="G6306" s="3" t="s">
        <v>36</v>
      </c>
      <c r="H6306" s="3" t="s">
        <v>37</v>
      </c>
      <c r="I6306" s="4" t="n">
        <v>17</v>
      </c>
      <c r="J6306" s="4" t="n">
        <f aca="false">LEN(E6306)-LEN(SUBSTITUTE(E6306,",",""))+1</f>
        <v>7</v>
      </c>
      <c r="K6306" s="3" t="str">
        <f aca="false">IFERROR(INDEX('Teacher Lookup'!$B$2:$B$200,MATCH(A6306,'Teacher Lookup'!$A$2:$A$200,0)),"")</f>
        <v>TSUI Kami</v>
      </c>
    </row>
    <row r="6307" customFormat="false" ht="15" hidden="false" customHeight="false" outlineLevel="0" collapsed="false">
      <c r="A6307" s="3" t="s">
        <v>461</v>
      </c>
      <c r="B6307" s="4" t="s">
        <v>44</v>
      </c>
      <c r="C6307" s="4" t="n">
        <v>5</v>
      </c>
      <c r="D6307" s="4" t="s">
        <v>22</v>
      </c>
      <c r="E6307" s="3" t="s">
        <v>35</v>
      </c>
      <c r="F6307" s="4" t="str">
        <f aca="false">IF(I6307&gt;J6307,"Y","N")</f>
        <v>Y</v>
      </c>
      <c r="G6307" s="3" t="s">
        <v>36</v>
      </c>
      <c r="H6307" s="3" t="s">
        <v>37</v>
      </c>
      <c r="I6307" s="4" t="n">
        <v>17</v>
      </c>
      <c r="J6307" s="4" t="n">
        <f aca="false">LEN(E6307)-LEN(SUBSTITUTE(E6307,",",""))+1</f>
        <v>7</v>
      </c>
      <c r="K6307" s="3" t="str">
        <f aca="false">IFERROR(INDEX('Teacher Lookup'!$B$2:$B$200,MATCH(A6307,'Teacher Lookup'!$A$2:$A$200,0)),"")</f>
        <v>TSUI Kami</v>
      </c>
    </row>
    <row r="6308" customFormat="false" ht="15" hidden="false" customHeight="false" outlineLevel="0" collapsed="false">
      <c r="A6308" s="3" t="s">
        <v>461</v>
      </c>
      <c r="B6308" s="4" t="s">
        <v>44</v>
      </c>
      <c r="C6308" s="4" t="n">
        <v>5</v>
      </c>
      <c r="D6308" s="4" t="s">
        <v>23</v>
      </c>
      <c r="E6308" s="3" t="s">
        <v>35</v>
      </c>
      <c r="F6308" s="4" t="str">
        <f aca="false">IF(I6308&gt;J6308,"Y","N")</f>
        <v>Y</v>
      </c>
      <c r="G6308" s="3" t="s">
        <v>36</v>
      </c>
      <c r="H6308" s="3" t="s">
        <v>37</v>
      </c>
      <c r="I6308" s="4" t="n">
        <v>17</v>
      </c>
      <c r="J6308" s="4" t="n">
        <f aca="false">LEN(E6308)-LEN(SUBSTITUTE(E6308,",",""))+1</f>
        <v>7</v>
      </c>
      <c r="K6308" s="3" t="str">
        <f aca="false">IFERROR(INDEX('Teacher Lookup'!$B$2:$B$200,MATCH(A6308,'Teacher Lookup'!$A$2:$A$200,0)),"")</f>
        <v>TSUI Kami</v>
      </c>
    </row>
    <row r="6309" customFormat="false" ht="15" hidden="false" customHeight="false" outlineLevel="0" collapsed="false">
      <c r="A6309" s="3" t="s">
        <v>461</v>
      </c>
      <c r="B6309" s="4" t="s">
        <v>44</v>
      </c>
      <c r="C6309" s="4" t="n">
        <v>5</v>
      </c>
      <c r="D6309" s="4" t="s">
        <v>13</v>
      </c>
      <c r="E6309" s="3" t="s">
        <v>35</v>
      </c>
      <c r="F6309" s="4" t="str">
        <f aca="false">IF(I6309&gt;J6309,"Y","N")</f>
        <v>Y</v>
      </c>
      <c r="G6309" s="3" t="s">
        <v>36</v>
      </c>
      <c r="H6309" s="3" t="s">
        <v>37</v>
      </c>
      <c r="I6309" s="4" t="n">
        <v>17</v>
      </c>
      <c r="J6309" s="4" t="n">
        <f aca="false">LEN(E6309)-LEN(SUBSTITUTE(E6309,",",""))+1</f>
        <v>7</v>
      </c>
      <c r="K6309" s="3" t="str">
        <f aca="false">IFERROR(INDEX('Teacher Lookup'!$B$2:$B$200,MATCH(A6309,'Teacher Lookup'!$A$2:$A$200,0)),"")</f>
        <v>TSUI Kami</v>
      </c>
    </row>
    <row r="6310" customFormat="false" ht="15" hidden="false" customHeight="false" outlineLevel="0" collapsed="false">
      <c r="A6310" s="3" t="s">
        <v>461</v>
      </c>
      <c r="B6310" s="4" t="s">
        <v>44</v>
      </c>
      <c r="C6310" s="4" t="n">
        <v>5</v>
      </c>
      <c r="D6310" s="4" t="s">
        <v>17</v>
      </c>
      <c r="E6310" s="3" t="s">
        <v>35</v>
      </c>
      <c r="F6310" s="4" t="str">
        <f aca="false">IF(I6310&gt;J6310,"Y","N")</f>
        <v>Y</v>
      </c>
      <c r="G6310" s="3" t="s">
        <v>36</v>
      </c>
      <c r="H6310" s="3" t="s">
        <v>37</v>
      </c>
      <c r="I6310" s="4" t="n">
        <v>17</v>
      </c>
      <c r="J6310" s="4" t="n">
        <f aca="false">LEN(E6310)-LEN(SUBSTITUTE(E6310,",",""))+1</f>
        <v>7</v>
      </c>
      <c r="K6310" s="3" t="str">
        <f aca="false">IFERROR(INDEX('Teacher Lookup'!$B$2:$B$200,MATCH(A6310,'Teacher Lookup'!$A$2:$A$200,0)),"")</f>
        <v>TSUI Kami</v>
      </c>
    </row>
    <row r="6311" customFormat="false" ht="15" hidden="false" customHeight="false" outlineLevel="0" collapsed="false">
      <c r="A6311" s="3" t="s">
        <v>461</v>
      </c>
      <c r="B6311" s="4" t="s">
        <v>44</v>
      </c>
      <c r="C6311" s="4" t="n">
        <v>5</v>
      </c>
      <c r="D6311" s="4" t="s">
        <v>18</v>
      </c>
      <c r="E6311" s="3" t="s">
        <v>35</v>
      </c>
      <c r="F6311" s="4" t="str">
        <f aca="false">IF(I6311&gt;J6311,"Y","N")</f>
        <v>Y</v>
      </c>
      <c r="G6311" s="3" t="s">
        <v>36</v>
      </c>
      <c r="H6311" s="3" t="s">
        <v>37</v>
      </c>
      <c r="I6311" s="4" t="n">
        <v>17</v>
      </c>
      <c r="J6311" s="4" t="n">
        <f aca="false">LEN(E6311)-LEN(SUBSTITUTE(E6311,",",""))+1</f>
        <v>7</v>
      </c>
      <c r="K6311" s="3" t="str">
        <f aca="false">IFERROR(INDEX('Teacher Lookup'!$B$2:$B$200,MATCH(A6311,'Teacher Lookup'!$A$2:$A$200,0)),"")</f>
        <v>TSUI Kami</v>
      </c>
    </row>
    <row r="6312" customFormat="false" ht="15" hidden="false" customHeight="false" outlineLevel="0" collapsed="false">
      <c r="A6312" s="3" t="s">
        <v>461</v>
      </c>
      <c r="B6312" s="4" t="s">
        <v>50</v>
      </c>
      <c r="C6312" s="4" t="n">
        <v>4</v>
      </c>
      <c r="D6312" s="4" t="s">
        <v>137</v>
      </c>
      <c r="E6312" s="3" t="s">
        <v>221</v>
      </c>
      <c r="F6312" s="4" t="str">
        <f aca="false">IF(I6312&gt;J6312,"Y","N")</f>
        <v>Y</v>
      </c>
      <c r="G6312" s="3" t="s">
        <v>222</v>
      </c>
      <c r="H6312" s="3" t="s">
        <v>34</v>
      </c>
      <c r="I6312" s="4" t="n">
        <v>15</v>
      </c>
      <c r="J6312" s="4" t="n">
        <f aca="false">LEN(E6312)-LEN(SUBSTITUTE(E6312,",",""))+1</f>
        <v>7</v>
      </c>
      <c r="K6312" s="3" t="str">
        <f aca="false">IFERROR(INDEX('Teacher Lookup'!$B$2:$B$200,MATCH(A6312,'Teacher Lookup'!$A$2:$A$200,0)),"")</f>
        <v>TSUI Kami</v>
      </c>
    </row>
    <row r="6313" customFormat="false" ht="15" hidden="false" customHeight="false" outlineLevel="0" collapsed="false">
      <c r="A6313" s="3" t="s">
        <v>461</v>
      </c>
      <c r="B6313" s="4" t="s">
        <v>50</v>
      </c>
      <c r="C6313" s="4" t="n">
        <v>4</v>
      </c>
      <c r="D6313" s="4" t="s">
        <v>124</v>
      </c>
      <c r="E6313" s="3" t="s">
        <v>221</v>
      </c>
      <c r="F6313" s="4" t="str">
        <f aca="false">IF(I6313&gt;J6313,"Y","N")</f>
        <v>Y</v>
      </c>
      <c r="G6313" s="3" t="s">
        <v>222</v>
      </c>
      <c r="H6313" s="3" t="s">
        <v>34</v>
      </c>
      <c r="I6313" s="4" t="n">
        <v>15</v>
      </c>
      <c r="J6313" s="4" t="n">
        <f aca="false">LEN(E6313)-LEN(SUBSTITUTE(E6313,",",""))+1</f>
        <v>7</v>
      </c>
      <c r="K6313" s="3" t="str">
        <f aca="false">IFERROR(INDEX('Teacher Lookup'!$B$2:$B$200,MATCH(A6313,'Teacher Lookup'!$A$2:$A$200,0)),"")</f>
        <v>TSUI Kami</v>
      </c>
    </row>
    <row r="6314" customFormat="false" ht="15" hidden="false" customHeight="false" outlineLevel="0" collapsed="false">
      <c r="A6314" s="3" t="s">
        <v>461</v>
      </c>
      <c r="B6314" s="4" t="s">
        <v>50</v>
      </c>
      <c r="C6314" s="4" t="n">
        <v>4</v>
      </c>
      <c r="D6314" s="4" t="s">
        <v>139</v>
      </c>
      <c r="E6314" s="3" t="s">
        <v>221</v>
      </c>
      <c r="F6314" s="4" t="str">
        <f aca="false">IF(I6314&gt;J6314,"Y","N")</f>
        <v>Y</v>
      </c>
      <c r="G6314" s="3" t="s">
        <v>222</v>
      </c>
      <c r="H6314" s="3" t="s">
        <v>34</v>
      </c>
      <c r="I6314" s="4" t="n">
        <v>15</v>
      </c>
      <c r="J6314" s="4" t="n">
        <f aca="false">LEN(E6314)-LEN(SUBSTITUTE(E6314,",",""))+1</f>
        <v>7</v>
      </c>
      <c r="K6314" s="3" t="str">
        <f aca="false">IFERROR(INDEX('Teacher Lookup'!$B$2:$B$200,MATCH(A6314,'Teacher Lookup'!$A$2:$A$200,0)),"")</f>
        <v>TSUI Kami</v>
      </c>
    </row>
    <row r="6315" customFormat="false" ht="15" hidden="false" customHeight="false" outlineLevel="0" collapsed="false">
      <c r="A6315" s="3" t="s">
        <v>461</v>
      </c>
      <c r="B6315" s="4" t="s">
        <v>50</v>
      </c>
      <c r="C6315" s="4" t="n">
        <v>4</v>
      </c>
      <c r="D6315" s="4" t="s">
        <v>140</v>
      </c>
      <c r="E6315" s="3" t="s">
        <v>221</v>
      </c>
      <c r="F6315" s="4" t="str">
        <f aca="false">IF(I6315&gt;J6315,"Y","N")</f>
        <v>Y</v>
      </c>
      <c r="G6315" s="3" t="s">
        <v>222</v>
      </c>
      <c r="H6315" s="3" t="s">
        <v>34</v>
      </c>
      <c r="I6315" s="4" t="n">
        <v>15</v>
      </c>
      <c r="J6315" s="4" t="n">
        <f aca="false">LEN(E6315)-LEN(SUBSTITUTE(E6315,",",""))+1</f>
        <v>7</v>
      </c>
      <c r="K6315" s="3" t="str">
        <f aca="false">IFERROR(INDEX('Teacher Lookup'!$B$2:$B$200,MATCH(A6315,'Teacher Lookup'!$A$2:$A$200,0)),"")</f>
        <v>TSUI Kami</v>
      </c>
    </row>
    <row r="6316" customFormat="false" ht="15" hidden="false" customHeight="false" outlineLevel="0" collapsed="false">
      <c r="A6316" s="3" t="s">
        <v>461</v>
      </c>
      <c r="B6316" s="4" t="s">
        <v>50</v>
      </c>
      <c r="C6316" s="4" t="n">
        <v>4</v>
      </c>
      <c r="D6316" s="4" t="s">
        <v>142</v>
      </c>
      <c r="E6316" s="3" t="s">
        <v>221</v>
      </c>
      <c r="F6316" s="4" t="str">
        <f aca="false">IF(I6316&gt;J6316,"Y","N")</f>
        <v>Y</v>
      </c>
      <c r="G6316" s="3" t="s">
        <v>222</v>
      </c>
      <c r="H6316" s="3" t="s">
        <v>34</v>
      </c>
      <c r="I6316" s="4" t="n">
        <v>15</v>
      </c>
      <c r="J6316" s="4" t="n">
        <f aca="false">LEN(E6316)-LEN(SUBSTITUTE(E6316,",",""))+1</f>
        <v>7</v>
      </c>
      <c r="K6316" s="3" t="str">
        <f aca="false">IFERROR(INDEX('Teacher Lookup'!$B$2:$B$200,MATCH(A6316,'Teacher Lookup'!$A$2:$A$200,0)),"")</f>
        <v>TSUI Kami</v>
      </c>
    </row>
    <row r="6317" customFormat="false" ht="15" hidden="false" customHeight="false" outlineLevel="0" collapsed="false">
      <c r="A6317" s="3" t="s">
        <v>461</v>
      </c>
      <c r="B6317" s="4" t="s">
        <v>50</v>
      </c>
      <c r="C6317" s="4" t="n">
        <v>4</v>
      </c>
      <c r="D6317" s="4" t="s">
        <v>127</v>
      </c>
      <c r="E6317" s="3" t="s">
        <v>221</v>
      </c>
      <c r="F6317" s="4" t="str">
        <f aca="false">IF(I6317&gt;J6317,"Y","N")</f>
        <v>Y</v>
      </c>
      <c r="G6317" s="3" t="s">
        <v>222</v>
      </c>
      <c r="H6317" s="3" t="s">
        <v>34</v>
      </c>
      <c r="I6317" s="4" t="n">
        <v>15</v>
      </c>
      <c r="J6317" s="4" t="n">
        <f aca="false">LEN(E6317)-LEN(SUBSTITUTE(E6317,",",""))+1</f>
        <v>7</v>
      </c>
      <c r="K6317" s="3" t="str">
        <f aca="false">IFERROR(INDEX('Teacher Lookup'!$B$2:$B$200,MATCH(A6317,'Teacher Lookup'!$A$2:$A$200,0)),"")</f>
        <v>TSUI Kami</v>
      </c>
    </row>
    <row r="6318" customFormat="false" ht="15" hidden="false" customHeight="false" outlineLevel="0" collapsed="false">
      <c r="A6318" s="3" t="s">
        <v>461</v>
      </c>
      <c r="B6318" s="4" t="s">
        <v>50</v>
      </c>
      <c r="C6318" s="4" t="n">
        <v>5</v>
      </c>
      <c r="D6318" s="4" t="s">
        <v>137</v>
      </c>
      <c r="E6318" s="3" t="s">
        <v>221</v>
      </c>
      <c r="F6318" s="4" t="str">
        <f aca="false">IF(I6318&gt;J6318,"Y","N")</f>
        <v>Y</v>
      </c>
      <c r="G6318" s="3" t="s">
        <v>222</v>
      </c>
      <c r="H6318" s="3" t="s">
        <v>37</v>
      </c>
      <c r="I6318" s="4" t="n">
        <v>15</v>
      </c>
      <c r="J6318" s="4" t="n">
        <f aca="false">LEN(E6318)-LEN(SUBSTITUTE(E6318,",",""))+1</f>
        <v>7</v>
      </c>
      <c r="K6318" s="3" t="str">
        <f aca="false">IFERROR(INDEX('Teacher Lookup'!$B$2:$B$200,MATCH(A6318,'Teacher Lookup'!$A$2:$A$200,0)),"")</f>
        <v>TSUI Kami</v>
      </c>
    </row>
    <row r="6319" customFormat="false" ht="15" hidden="false" customHeight="false" outlineLevel="0" collapsed="false">
      <c r="A6319" s="3" t="s">
        <v>461</v>
      </c>
      <c r="B6319" s="4" t="s">
        <v>50</v>
      </c>
      <c r="C6319" s="4" t="n">
        <v>5</v>
      </c>
      <c r="D6319" s="4" t="s">
        <v>124</v>
      </c>
      <c r="E6319" s="3" t="s">
        <v>221</v>
      </c>
      <c r="F6319" s="4" t="str">
        <f aca="false">IF(I6319&gt;J6319,"Y","N")</f>
        <v>Y</v>
      </c>
      <c r="G6319" s="3" t="s">
        <v>222</v>
      </c>
      <c r="H6319" s="3" t="s">
        <v>37</v>
      </c>
      <c r="I6319" s="4" t="n">
        <v>15</v>
      </c>
      <c r="J6319" s="4" t="n">
        <f aca="false">LEN(E6319)-LEN(SUBSTITUTE(E6319,",",""))+1</f>
        <v>7</v>
      </c>
      <c r="K6319" s="3" t="str">
        <f aca="false">IFERROR(INDEX('Teacher Lookup'!$B$2:$B$200,MATCH(A6319,'Teacher Lookup'!$A$2:$A$200,0)),"")</f>
        <v>TSUI Kami</v>
      </c>
    </row>
    <row r="6320" customFormat="false" ht="15" hidden="false" customHeight="false" outlineLevel="0" collapsed="false">
      <c r="A6320" s="3" t="s">
        <v>461</v>
      </c>
      <c r="B6320" s="4" t="s">
        <v>50</v>
      </c>
      <c r="C6320" s="4" t="n">
        <v>5</v>
      </c>
      <c r="D6320" s="4" t="s">
        <v>139</v>
      </c>
      <c r="E6320" s="3" t="s">
        <v>221</v>
      </c>
      <c r="F6320" s="4" t="str">
        <f aca="false">IF(I6320&gt;J6320,"Y","N")</f>
        <v>Y</v>
      </c>
      <c r="G6320" s="3" t="s">
        <v>222</v>
      </c>
      <c r="H6320" s="3" t="s">
        <v>37</v>
      </c>
      <c r="I6320" s="4" t="n">
        <v>15</v>
      </c>
      <c r="J6320" s="4" t="n">
        <f aca="false">LEN(E6320)-LEN(SUBSTITUTE(E6320,",",""))+1</f>
        <v>7</v>
      </c>
      <c r="K6320" s="3" t="str">
        <f aca="false">IFERROR(INDEX('Teacher Lookup'!$B$2:$B$200,MATCH(A6320,'Teacher Lookup'!$A$2:$A$200,0)),"")</f>
        <v>TSUI Kami</v>
      </c>
    </row>
    <row r="6321" customFormat="false" ht="15" hidden="false" customHeight="false" outlineLevel="0" collapsed="false">
      <c r="A6321" s="3" t="s">
        <v>461</v>
      </c>
      <c r="B6321" s="4" t="s">
        <v>50</v>
      </c>
      <c r="C6321" s="4" t="n">
        <v>5</v>
      </c>
      <c r="D6321" s="4" t="s">
        <v>140</v>
      </c>
      <c r="E6321" s="3" t="s">
        <v>221</v>
      </c>
      <c r="F6321" s="4" t="str">
        <f aca="false">IF(I6321&gt;J6321,"Y","N")</f>
        <v>Y</v>
      </c>
      <c r="G6321" s="3" t="s">
        <v>222</v>
      </c>
      <c r="H6321" s="3" t="s">
        <v>37</v>
      </c>
      <c r="I6321" s="4" t="n">
        <v>15</v>
      </c>
      <c r="J6321" s="4" t="n">
        <f aca="false">LEN(E6321)-LEN(SUBSTITUTE(E6321,",",""))+1</f>
        <v>7</v>
      </c>
      <c r="K6321" s="3" t="str">
        <f aca="false">IFERROR(INDEX('Teacher Lookup'!$B$2:$B$200,MATCH(A6321,'Teacher Lookup'!$A$2:$A$200,0)),"")</f>
        <v>TSUI Kami</v>
      </c>
    </row>
    <row r="6322" customFormat="false" ht="15" hidden="false" customHeight="false" outlineLevel="0" collapsed="false">
      <c r="A6322" s="3" t="s">
        <v>461</v>
      </c>
      <c r="B6322" s="4" t="s">
        <v>50</v>
      </c>
      <c r="C6322" s="4" t="n">
        <v>5</v>
      </c>
      <c r="D6322" s="4" t="s">
        <v>142</v>
      </c>
      <c r="E6322" s="3" t="s">
        <v>221</v>
      </c>
      <c r="F6322" s="4" t="str">
        <f aca="false">IF(I6322&gt;J6322,"Y","N")</f>
        <v>Y</v>
      </c>
      <c r="G6322" s="3" t="s">
        <v>222</v>
      </c>
      <c r="H6322" s="3" t="s">
        <v>37</v>
      </c>
      <c r="I6322" s="4" t="n">
        <v>15</v>
      </c>
      <c r="J6322" s="4" t="n">
        <f aca="false">LEN(E6322)-LEN(SUBSTITUTE(E6322,",",""))+1</f>
        <v>7</v>
      </c>
      <c r="K6322" s="3" t="str">
        <f aca="false">IFERROR(INDEX('Teacher Lookup'!$B$2:$B$200,MATCH(A6322,'Teacher Lookup'!$A$2:$A$200,0)),"")</f>
        <v>TSUI Kami</v>
      </c>
    </row>
    <row r="6323" customFormat="false" ht="15" hidden="false" customHeight="false" outlineLevel="0" collapsed="false">
      <c r="A6323" s="3" t="s">
        <v>461</v>
      </c>
      <c r="B6323" s="4" t="s">
        <v>50</v>
      </c>
      <c r="C6323" s="4" t="n">
        <v>5</v>
      </c>
      <c r="D6323" s="4" t="s">
        <v>127</v>
      </c>
      <c r="E6323" s="3" t="s">
        <v>221</v>
      </c>
      <c r="F6323" s="4" t="str">
        <f aca="false">IF(I6323&gt;J6323,"Y","N")</f>
        <v>Y</v>
      </c>
      <c r="G6323" s="3" t="s">
        <v>222</v>
      </c>
      <c r="H6323" s="3" t="s">
        <v>37</v>
      </c>
      <c r="I6323" s="4" t="n">
        <v>15</v>
      </c>
      <c r="J6323" s="4" t="n">
        <f aca="false">LEN(E6323)-LEN(SUBSTITUTE(E6323,",",""))+1</f>
        <v>7</v>
      </c>
      <c r="K6323" s="3" t="str">
        <f aca="false">IFERROR(INDEX('Teacher Lookup'!$B$2:$B$200,MATCH(A6323,'Teacher Lookup'!$A$2:$A$200,0)),"")</f>
        <v>TSUI Kami</v>
      </c>
    </row>
    <row r="6324" customFormat="false" ht="15" hidden="false" customHeight="false" outlineLevel="0" collapsed="false">
      <c r="A6324" s="3" t="s">
        <v>461</v>
      </c>
      <c r="B6324" s="4" t="s">
        <v>50</v>
      </c>
      <c r="C6324" s="4" t="n">
        <v>6</v>
      </c>
      <c r="D6324" s="4" t="s">
        <v>22</v>
      </c>
      <c r="E6324" s="3" t="s">
        <v>462</v>
      </c>
      <c r="F6324" s="4" t="str">
        <f aca="false">IF(I6324&gt;J6324,"Y","N")</f>
        <v>Y</v>
      </c>
      <c r="G6324" s="3" t="s">
        <v>463</v>
      </c>
      <c r="H6324" s="3" t="s">
        <v>42</v>
      </c>
      <c r="I6324" s="4" t="n">
        <v>2</v>
      </c>
      <c r="J6324" s="4" t="n">
        <f aca="false">LEN(E6324)-LEN(SUBSTITUTE(E6324,",",""))+1</f>
        <v>1</v>
      </c>
      <c r="K6324" s="3" t="str">
        <f aca="false">IFERROR(INDEX('Teacher Lookup'!$B$2:$B$200,MATCH(A6324,'Teacher Lookup'!$A$2:$A$200,0)),"")</f>
        <v>TSUI Kami</v>
      </c>
    </row>
    <row r="6325" customFormat="false" ht="15" hidden="false" customHeight="false" outlineLevel="0" collapsed="false">
      <c r="A6325" s="3" t="s">
        <v>461</v>
      </c>
      <c r="B6325" s="4" t="s">
        <v>50</v>
      </c>
      <c r="C6325" s="4" t="n">
        <v>7</v>
      </c>
      <c r="D6325" s="4" t="s">
        <v>22</v>
      </c>
      <c r="E6325" s="3" t="s">
        <v>462</v>
      </c>
      <c r="F6325" s="4" t="str">
        <f aca="false">IF(I6325&gt;J6325,"Y","N")</f>
        <v>Y</v>
      </c>
      <c r="G6325" s="3" t="s">
        <v>463</v>
      </c>
      <c r="H6325" s="3" t="s">
        <v>39</v>
      </c>
      <c r="I6325" s="4" t="n">
        <v>2</v>
      </c>
      <c r="J6325" s="4" t="n">
        <f aca="false">LEN(E6325)-LEN(SUBSTITUTE(E6325,",",""))+1</f>
        <v>1</v>
      </c>
      <c r="K6325" s="3" t="str">
        <f aca="false">IFERROR(INDEX('Teacher Lookup'!$B$2:$B$200,MATCH(A6325,'Teacher Lookup'!$A$2:$A$200,0)),"")</f>
        <v>TSUI Kami</v>
      </c>
    </row>
    <row r="6326" customFormat="false" ht="15" hidden="false" customHeight="false" outlineLevel="0" collapsed="false">
      <c r="A6326" s="3" t="s">
        <v>461</v>
      </c>
      <c r="B6326" s="4" t="s">
        <v>60</v>
      </c>
      <c r="C6326" s="4" t="n">
        <v>5</v>
      </c>
      <c r="D6326" s="4" t="s">
        <v>19</v>
      </c>
      <c r="E6326" s="3" t="s">
        <v>35</v>
      </c>
      <c r="F6326" s="4" t="str">
        <f aca="false">IF(I6326&gt;J6326,"Y","N")</f>
        <v>Y</v>
      </c>
      <c r="G6326" s="3" t="s">
        <v>36</v>
      </c>
      <c r="H6326" s="3" t="s">
        <v>37</v>
      </c>
      <c r="I6326" s="4" t="n">
        <v>17</v>
      </c>
      <c r="J6326" s="4" t="n">
        <f aca="false">LEN(E6326)-LEN(SUBSTITUTE(E6326,",",""))+1</f>
        <v>7</v>
      </c>
      <c r="K6326" s="3" t="str">
        <f aca="false">IFERROR(INDEX('Teacher Lookup'!$B$2:$B$200,MATCH(A6326,'Teacher Lookup'!$A$2:$A$200,0)),"")</f>
        <v>TSUI Kami</v>
      </c>
    </row>
    <row r="6327" customFormat="false" ht="15" hidden="false" customHeight="false" outlineLevel="0" collapsed="false">
      <c r="A6327" s="3" t="s">
        <v>461</v>
      </c>
      <c r="B6327" s="4" t="s">
        <v>60</v>
      </c>
      <c r="C6327" s="4" t="n">
        <v>5</v>
      </c>
      <c r="D6327" s="4" t="s">
        <v>22</v>
      </c>
      <c r="E6327" s="3" t="s">
        <v>35</v>
      </c>
      <c r="F6327" s="4" t="str">
        <f aca="false">IF(I6327&gt;J6327,"Y","N")</f>
        <v>Y</v>
      </c>
      <c r="G6327" s="3" t="s">
        <v>36</v>
      </c>
      <c r="H6327" s="3" t="s">
        <v>37</v>
      </c>
      <c r="I6327" s="4" t="n">
        <v>17</v>
      </c>
      <c r="J6327" s="4" t="n">
        <f aca="false">LEN(E6327)-LEN(SUBSTITUTE(E6327,",",""))+1</f>
        <v>7</v>
      </c>
      <c r="K6327" s="3" t="str">
        <f aca="false">IFERROR(INDEX('Teacher Lookup'!$B$2:$B$200,MATCH(A6327,'Teacher Lookup'!$A$2:$A$200,0)),"")</f>
        <v>TSUI Kami</v>
      </c>
    </row>
    <row r="6328" customFormat="false" ht="15" hidden="false" customHeight="false" outlineLevel="0" collapsed="false">
      <c r="A6328" s="3" t="s">
        <v>461</v>
      </c>
      <c r="B6328" s="4" t="s">
        <v>60</v>
      </c>
      <c r="C6328" s="4" t="n">
        <v>5</v>
      </c>
      <c r="D6328" s="4" t="s">
        <v>23</v>
      </c>
      <c r="E6328" s="3" t="s">
        <v>35</v>
      </c>
      <c r="F6328" s="4" t="str">
        <f aca="false">IF(I6328&gt;J6328,"Y","N")</f>
        <v>Y</v>
      </c>
      <c r="G6328" s="3" t="s">
        <v>36</v>
      </c>
      <c r="H6328" s="3" t="s">
        <v>37</v>
      </c>
      <c r="I6328" s="4" t="n">
        <v>17</v>
      </c>
      <c r="J6328" s="4" t="n">
        <f aca="false">LEN(E6328)-LEN(SUBSTITUTE(E6328,",",""))+1</f>
        <v>7</v>
      </c>
      <c r="K6328" s="3" t="str">
        <f aca="false">IFERROR(INDEX('Teacher Lookup'!$B$2:$B$200,MATCH(A6328,'Teacher Lookup'!$A$2:$A$200,0)),"")</f>
        <v>TSUI Kami</v>
      </c>
    </row>
    <row r="6329" customFormat="false" ht="15" hidden="false" customHeight="false" outlineLevel="0" collapsed="false">
      <c r="A6329" s="3" t="s">
        <v>461</v>
      </c>
      <c r="B6329" s="4" t="s">
        <v>60</v>
      </c>
      <c r="C6329" s="4" t="n">
        <v>5</v>
      </c>
      <c r="D6329" s="4" t="s">
        <v>13</v>
      </c>
      <c r="E6329" s="3" t="s">
        <v>35</v>
      </c>
      <c r="F6329" s="4" t="str">
        <f aca="false">IF(I6329&gt;J6329,"Y","N")</f>
        <v>Y</v>
      </c>
      <c r="G6329" s="3" t="s">
        <v>36</v>
      </c>
      <c r="H6329" s="3" t="s">
        <v>37</v>
      </c>
      <c r="I6329" s="4" t="n">
        <v>17</v>
      </c>
      <c r="J6329" s="4" t="n">
        <f aca="false">LEN(E6329)-LEN(SUBSTITUTE(E6329,",",""))+1</f>
        <v>7</v>
      </c>
      <c r="K6329" s="3" t="str">
        <f aca="false">IFERROR(INDEX('Teacher Lookup'!$B$2:$B$200,MATCH(A6329,'Teacher Lookup'!$A$2:$A$200,0)),"")</f>
        <v>TSUI Kami</v>
      </c>
    </row>
    <row r="6330" customFormat="false" ht="15" hidden="false" customHeight="false" outlineLevel="0" collapsed="false">
      <c r="A6330" s="3" t="s">
        <v>461</v>
      </c>
      <c r="B6330" s="4" t="s">
        <v>60</v>
      </c>
      <c r="C6330" s="4" t="n">
        <v>5</v>
      </c>
      <c r="D6330" s="4" t="s">
        <v>17</v>
      </c>
      <c r="E6330" s="3" t="s">
        <v>35</v>
      </c>
      <c r="F6330" s="4" t="str">
        <f aca="false">IF(I6330&gt;J6330,"Y","N")</f>
        <v>Y</v>
      </c>
      <c r="G6330" s="3" t="s">
        <v>36</v>
      </c>
      <c r="H6330" s="3" t="s">
        <v>37</v>
      </c>
      <c r="I6330" s="4" t="n">
        <v>17</v>
      </c>
      <c r="J6330" s="4" t="n">
        <f aca="false">LEN(E6330)-LEN(SUBSTITUTE(E6330,",",""))+1</f>
        <v>7</v>
      </c>
      <c r="K6330" s="3" t="str">
        <f aca="false">IFERROR(INDEX('Teacher Lookup'!$B$2:$B$200,MATCH(A6330,'Teacher Lookup'!$A$2:$A$200,0)),"")</f>
        <v>TSUI Kami</v>
      </c>
    </row>
    <row r="6331" customFormat="false" ht="15" hidden="false" customHeight="false" outlineLevel="0" collapsed="false">
      <c r="A6331" s="3" t="s">
        <v>461</v>
      </c>
      <c r="B6331" s="4" t="s">
        <v>60</v>
      </c>
      <c r="C6331" s="4" t="n">
        <v>5</v>
      </c>
      <c r="D6331" s="4" t="s">
        <v>18</v>
      </c>
      <c r="E6331" s="3" t="s">
        <v>35</v>
      </c>
      <c r="F6331" s="4" t="str">
        <f aca="false">IF(I6331&gt;J6331,"Y","N")</f>
        <v>Y</v>
      </c>
      <c r="G6331" s="3" t="s">
        <v>36</v>
      </c>
      <c r="H6331" s="3" t="s">
        <v>37</v>
      </c>
      <c r="I6331" s="4" t="n">
        <v>17</v>
      </c>
      <c r="J6331" s="4" t="n">
        <f aca="false">LEN(E6331)-LEN(SUBSTITUTE(E6331,",",""))+1</f>
        <v>7</v>
      </c>
      <c r="K6331" s="3" t="str">
        <f aca="false">IFERROR(INDEX('Teacher Lookup'!$B$2:$B$200,MATCH(A6331,'Teacher Lookup'!$A$2:$A$200,0)),"")</f>
        <v>TSUI Kami</v>
      </c>
    </row>
    <row r="6332" customFormat="false" ht="15" hidden="false" customHeight="false" outlineLevel="0" collapsed="false">
      <c r="A6332" s="3" t="s">
        <v>461</v>
      </c>
      <c r="B6332" s="4" t="s">
        <v>60</v>
      </c>
      <c r="C6332" s="4" t="n">
        <v>6</v>
      </c>
      <c r="D6332" s="4" t="s">
        <v>78</v>
      </c>
      <c r="E6332" s="3" t="s">
        <v>462</v>
      </c>
      <c r="F6332" s="4" t="str">
        <f aca="false">IF(I6332&gt;J6332,"Y","N")</f>
        <v>Y</v>
      </c>
      <c r="G6332" s="3" t="s">
        <v>463</v>
      </c>
      <c r="H6332" s="3" t="s">
        <v>42</v>
      </c>
      <c r="I6332" s="4" t="n">
        <v>2</v>
      </c>
      <c r="J6332" s="4" t="n">
        <f aca="false">LEN(E6332)-LEN(SUBSTITUTE(E6332,",",""))+1</f>
        <v>1</v>
      </c>
      <c r="K6332" s="3" t="str">
        <f aca="false">IFERROR(INDEX('Teacher Lookup'!$B$2:$B$200,MATCH(A6332,'Teacher Lookup'!$A$2:$A$200,0)),"")</f>
        <v>TSUI Kami</v>
      </c>
    </row>
    <row r="6333" customFormat="false" ht="15" hidden="false" customHeight="false" outlineLevel="0" collapsed="false">
      <c r="A6333" s="3" t="s">
        <v>461</v>
      </c>
      <c r="B6333" s="4" t="s">
        <v>60</v>
      </c>
      <c r="C6333" s="4" t="n">
        <v>7</v>
      </c>
      <c r="D6333" s="4" t="s">
        <v>78</v>
      </c>
      <c r="E6333" s="3" t="s">
        <v>462</v>
      </c>
      <c r="F6333" s="4" t="str">
        <f aca="false">IF(I6333&gt;J6333,"Y","N")</f>
        <v>Y</v>
      </c>
      <c r="G6333" s="3" t="s">
        <v>463</v>
      </c>
      <c r="H6333" s="3" t="s">
        <v>39</v>
      </c>
      <c r="I6333" s="4" t="n">
        <v>2</v>
      </c>
      <c r="J6333" s="4" t="n">
        <f aca="false">LEN(E6333)-LEN(SUBSTITUTE(E6333,",",""))+1</f>
        <v>1</v>
      </c>
      <c r="K6333" s="3" t="str">
        <f aca="false">IFERROR(INDEX('Teacher Lookup'!$B$2:$B$200,MATCH(A6333,'Teacher Lookup'!$A$2:$A$200,0)),"")</f>
        <v>TSUI Kami</v>
      </c>
    </row>
    <row r="6334" customFormat="false" ht="15" hidden="false" customHeight="false" outlineLevel="0" collapsed="false">
      <c r="A6334" s="3" t="s">
        <v>461</v>
      </c>
      <c r="B6334" s="4" t="s">
        <v>63</v>
      </c>
      <c r="C6334" s="4" t="n">
        <v>4</v>
      </c>
      <c r="D6334" s="4" t="s">
        <v>23</v>
      </c>
      <c r="E6334" s="3" t="s">
        <v>462</v>
      </c>
      <c r="F6334" s="4" t="str">
        <f aca="false">IF(I6334&gt;J6334,"Y","N")</f>
        <v>Y</v>
      </c>
      <c r="G6334" s="3" t="s">
        <v>463</v>
      </c>
      <c r="H6334" s="3" t="s">
        <v>34</v>
      </c>
      <c r="I6334" s="4" t="n">
        <v>2</v>
      </c>
      <c r="J6334" s="4" t="n">
        <f aca="false">LEN(E6334)-LEN(SUBSTITUTE(E6334,",",""))+1</f>
        <v>1</v>
      </c>
      <c r="K6334" s="3" t="str">
        <f aca="false">IFERROR(INDEX('Teacher Lookup'!$B$2:$B$200,MATCH(A6334,'Teacher Lookup'!$A$2:$A$200,0)),"")</f>
        <v>TSUI Kami</v>
      </c>
    </row>
    <row r="6335" customFormat="false" ht="15" hidden="false" customHeight="false" outlineLevel="0" collapsed="false">
      <c r="A6335" s="3" t="s">
        <v>461</v>
      </c>
      <c r="B6335" s="4" t="s">
        <v>63</v>
      </c>
      <c r="C6335" s="4" t="n">
        <v>5</v>
      </c>
      <c r="D6335" s="4" t="s">
        <v>23</v>
      </c>
      <c r="E6335" s="3" t="s">
        <v>462</v>
      </c>
      <c r="F6335" s="4" t="str">
        <f aca="false">IF(I6335&gt;J6335,"Y","N")</f>
        <v>Y</v>
      </c>
      <c r="G6335" s="3" t="s">
        <v>463</v>
      </c>
      <c r="H6335" s="3" t="s">
        <v>37</v>
      </c>
      <c r="I6335" s="4" t="n">
        <v>2</v>
      </c>
      <c r="J6335" s="4" t="n">
        <f aca="false">LEN(E6335)-LEN(SUBSTITUTE(E6335,",",""))+1</f>
        <v>1</v>
      </c>
      <c r="K6335" s="3" t="str">
        <f aca="false">IFERROR(INDEX('Teacher Lookup'!$B$2:$B$200,MATCH(A6335,'Teacher Lookup'!$A$2:$A$200,0)),"")</f>
        <v>TSUI Kami</v>
      </c>
    </row>
    <row r="6336" customFormat="false" ht="15" hidden="false" customHeight="false" outlineLevel="0" collapsed="false">
      <c r="A6336" s="3" t="s">
        <v>461</v>
      </c>
      <c r="B6336" s="4" t="s">
        <v>63</v>
      </c>
      <c r="C6336" s="4" t="n">
        <v>6</v>
      </c>
      <c r="D6336" s="4" t="s">
        <v>124</v>
      </c>
      <c r="E6336" s="3" t="s">
        <v>462</v>
      </c>
      <c r="F6336" s="4" t="str">
        <f aca="false">IF(I6336&gt;J6336,"Y","N")</f>
        <v>N</v>
      </c>
      <c r="G6336" s="3" t="s">
        <v>463</v>
      </c>
      <c r="H6336" s="3" t="s">
        <v>42</v>
      </c>
      <c r="I6336" s="4" t="n">
        <v>1</v>
      </c>
      <c r="J6336" s="4" t="n">
        <f aca="false">LEN(E6336)-LEN(SUBSTITUTE(E6336,",",""))+1</f>
        <v>1</v>
      </c>
      <c r="K6336" s="3" t="str">
        <f aca="false">IFERROR(INDEX('Teacher Lookup'!$B$2:$B$200,MATCH(A6336,'Teacher Lookup'!$A$2:$A$200,0)),"")</f>
        <v>TSUI Kami</v>
      </c>
    </row>
    <row r="6337" customFormat="false" ht="15" hidden="false" customHeight="false" outlineLevel="0" collapsed="false">
      <c r="A6337" s="3" t="s">
        <v>461</v>
      </c>
      <c r="B6337" s="4" t="s">
        <v>63</v>
      </c>
      <c r="C6337" s="4" t="n">
        <v>7</v>
      </c>
      <c r="D6337" s="4" t="s">
        <v>124</v>
      </c>
      <c r="E6337" s="3" t="s">
        <v>462</v>
      </c>
      <c r="F6337" s="4" t="str">
        <f aca="false">IF(I6337&gt;J6337,"Y","N")</f>
        <v>N</v>
      </c>
      <c r="G6337" s="3" t="s">
        <v>463</v>
      </c>
      <c r="H6337" s="3" t="s">
        <v>39</v>
      </c>
      <c r="I6337" s="4" t="n">
        <v>1</v>
      </c>
      <c r="J6337" s="4" t="n">
        <f aca="false">LEN(E6337)-LEN(SUBSTITUTE(E6337,",",""))+1</f>
        <v>1</v>
      </c>
      <c r="K6337" s="3" t="str">
        <f aca="false">IFERROR(INDEX('Teacher Lookup'!$B$2:$B$200,MATCH(A6337,'Teacher Lookup'!$A$2:$A$200,0)),"")</f>
        <v>TSUI Kami</v>
      </c>
    </row>
    <row r="6338" customFormat="false" ht="15" hidden="false" customHeight="false" outlineLevel="0" collapsed="false">
      <c r="A6338" s="3" t="s">
        <v>461</v>
      </c>
      <c r="B6338" s="4" t="s">
        <v>65</v>
      </c>
      <c r="C6338" s="4" t="n">
        <v>1</v>
      </c>
      <c r="D6338" s="4" t="s">
        <v>142</v>
      </c>
      <c r="E6338" s="3" t="s">
        <v>462</v>
      </c>
      <c r="F6338" s="4" t="str">
        <f aca="false">IF(I6338&gt;J6338,"Y","N")</f>
        <v>N</v>
      </c>
      <c r="G6338" s="3" t="s">
        <v>463</v>
      </c>
      <c r="H6338" s="3" t="s">
        <v>16</v>
      </c>
      <c r="I6338" s="4" t="n">
        <v>1</v>
      </c>
      <c r="J6338" s="4" t="n">
        <f aca="false">LEN(E6338)-LEN(SUBSTITUTE(E6338,",",""))+1</f>
        <v>1</v>
      </c>
      <c r="K6338" s="3" t="str">
        <f aca="false">IFERROR(INDEX('Teacher Lookup'!$B$2:$B$200,MATCH(A6338,'Teacher Lookup'!$A$2:$A$200,0)),"")</f>
        <v>TSUI Kami</v>
      </c>
    </row>
    <row r="6339" customFormat="false" ht="15" hidden="false" customHeight="false" outlineLevel="0" collapsed="false">
      <c r="A6339" s="3" t="s">
        <v>461</v>
      </c>
      <c r="B6339" s="4" t="s">
        <v>65</v>
      </c>
      <c r="C6339" s="4" t="n">
        <v>2</v>
      </c>
      <c r="D6339" s="4" t="s">
        <v>142</v>
      </c>
      <c r="E6339" s="3" t="s">
        <v>462</v>
      </c>
      <c r="F6339" s="4" t="str">
        <f aca="false">IF(I6339&gt;J6339,"Y","N")</f>
        <v>N</v>
      </c>
      <c r="G6339" s="3" t="s">
        <v>463</v>
      </c>
      <c r="H6339" s="3" t="s">
        <v>21</v>
      </c>
      <c r="I6339" s="4" t="n">
        <v>1</v>
      </c>
      <c r="J6339" s="4" t="n">
        <f aca="false">LEN(E6339)-LEN(SUBSTITUTE(E6339,",",""))+1</f>
        <v>1</v>
      </c>
      <c r="K6339" s="3" t="str">
        <f aca="false">IFERROR(INDEX('Teacher Lookup'!$B$2:$B$200,MATCH(A6339,'Teacher Lookup'!$A$2:$A$200,0)),"")</f>
        <v>TSUI Kami</v>
      </c>
    </row>
    <row r="6340" customFormat="false" ht="15" hidden="false" customHeight="false" outlineLevel="0" collapsed="false">
      <c r="A6340" s="3" t="s">
        <v>461</v>
      </c>
      <c r="B6340" s="4" t="s">
        <v>65</v>
      </c>
      <c r="C6340" s="4" t="n">
        <v>5</v>
      </c>
      <c r="D6340" s="4" t="s">
        <v>19</v>
      </c>
      <c r="E6340" s="3" t="s">
        <v>35</v>
      </c>
      <c r="F6340" s="4" t="str">
        <f aca="false">IF(I6340&gt;J6340,"Y","N")</f>
        <v>Y</v>
      </c>
      <c r="G6340" s="3" t="s">
        <v>36</v>
      </c>
      <c r="H6340" s="3" t="s">
        <v>37</v>
      </c>
      <c r="I6340" s="4" t="n">
        <v>17</v>
      </c>
      <c r="J6340" s="4" t="n">
        <f aca="false">LEN(E6340)-LEN(SUBSTITUTE(E6340,",",""))+1</f>
        <v>7</v>
      </c>
      <c r="K6340" s="3" t="str">
        <f aca="false">IFERROR(INDEX('Teacher Lookup'!$B$2:$B$200,MATCH(A6340,'Teacher Lookup'!$A$2:$A$200,0)),"")</f>
        <v>TSUI Kami</v>
      </c>
    </row>
    <row r="6341" customFormat="false" ht="15" hidden="false" customHeight="false" outlineLevel="0" collapsed="false">
      <c r="A6341" s="3" t="s">
        <v>461</v>
      </c>
      <c r="B6341" s="4" t="s">
        <v>65</v>
      </c>
      <c r="C6341" s="4" t="n">
        <v>5</v>
      </c>
      <c r="D6341" s="4" t="s">
        <v>22</v>
      </c>
      <c r="E6341" s="3" t="s">
        <v>35</v>
      </c>
      <c r="F6341" s="4" t="str">
        <f aca="false">IF(I6341&gt;J6341,"Y","N")</f>
        <v>Y</v>
      </c>
      <c r="G6341" s="3" t="s">
        <v>36</v>
      </c>
      <c r="H6341" s="3" t="s">
        <v>37</v>
      </c>
      <c r="I6341" s="4" t="n">
        <v>17</v>
      </c>
      <c r="J6341" s="4" t="n">
        <f aca="false">LEN(E6341)-LEN(SUBSTITUTE(E6341,",",""))+1</f>
        <v>7</v>
      </c>
      <c r="K6341" s="3" t="str">
        <f aca="false">IFERROR(INDEX('Teacher Lookup'!$B$2:$B$200,MATCH(A6341,'Teacher Lookup'!$A$2:$A$200,0)),"")</f>
        <v>TSUI Kami</v>
      </c>
    </row>
    <row r="6342" customFormat="false" ht="15" hidden="false" customHeight="false" outlineLevel="0" collapsed="false">
      <c r="A6342" s="3" t="s">
        <v>461</v>
      </c>
      <c r="B6342" s="4" t="s">
        <v>65</v>
      </c>
      <c r="C6342" s="4" t="n">
        <v>5</v>
      </c>
      <c r="D6342" s="4" t="s">
        <v>23</v>
      </c>
      <c r="E6342" s="3" t="s">
        <v>35</v>
      </c>
      <c r="F6342" s="4" t="str">
        <f aca="false">IF(I6342&gt;J6342,"Y","N")</f>
        <v>Y</v>
      </c>
      <c r="G6342" s="3" t="s">
        <v>36</v>
      </c>
      <c r="H6342" s="3" t="s">
        <v>37</v>
      </c>
      <c r="I6342" s="4" t="n">
        <v>17</v>
      </c>
      <c r="J6342" s="4" t="n">
        <f aca="false">LEN(E6342)-LEN(SUBSTITUTE(E6342,",",""))+1</f>
        <v>7</v>
      </c>
      <c r="K6342" s="3" t="str">
        <f aca="false">IFERROR(INDEX('Teacher Lookup'!$B$2:$B$200,MATCH(A6342,'Teacher Lookup'!$A$2:$A$200,0)),"")</f>
        <v>TSUI Kami</v>
      </c>
    </row>
    <row r="6343" customFormat="false" ht="15" hidden="false" customHeight="false" outlineLevel="0" collapsed="false">
      <c r="A6343" s="3" t="s">
        <v>461</v>
      </c>
      <c r="B6343" s="4" t="s">
        <v>65</v>
      </c>
      <c r="C6343" s="4" t="n">
        <v>5</v>
      </c>
      <c r="D6343" s="4" t="s">
        <v>13</v>
      </c>
      <c r="E6343" s="3" t="s">
        <v>35</v>
      </c>
      <c r="F6343" s="4" t="str">
        <f aca="false">IF(I6343&gt;J6343,"Y","N")</f>
        <v>Y</v>
      </c>
      <c r="G6343" s="3" t="s">
        <v>36</v>
      </c>
      <c r="H6343" s="3" t="s">
        <v>37</v>
      </c>
      <c r="I6343" s="4" t="n">
        <v>17</v>
      </c>
      <c r="J6343" s="4" t="n">
        <f aca="false">LEN(E6343)-LEN(SUBSTITUTE(E6343,",",""))+1</f>
        <v>7</v>
      </c>
      <c r="K6343" s="3" t="str">
        <f aca="false">IFERROR(INDEX('Teacher Lookup'!$B$2:$B$200,MATCH(A6343,'Teacher Lookup'!$A$2:$A$200,0)),"")</f>
        <v>TSUI Kami</v>
      </c>
    </row>
    <row r="6344" customFormat="false" ht="15" hidden="false" customHeight="false" outlineLevel="0" collapsed="false">
      <c r="A6344" s="3" t="s">
        <v>461</v>
      </c>
      <c r="B6344" s="4" t="s">
        <v>65</v>
      </c>
      <c r="C6344" s="4" t="n">
        <v>5</v>
      </c>
      <c r="D6344" s="4" t="s">
        <v>17</v>
      </c>
      <c r="E6344" s="3" t="s">
        <v>35</v>
      </c>
      <c r="F6344" s="4" t="str">
        <f aca="false">IF(I6344&gt;J6344,"Y","N")</f>
        <v>Y</v>
      </c>
      <c r="G6344" s="3" t="s">
        <v>36</v>
      </c>
      <c r="H6344" s="3" t="s">
        <v>37</v>
      </c>
      <c r="I6344" s="4" t="n">
        <v>17</v>
      </c>
      <c r="J6344" s="4" t="n">
        <f aca="false">LEN(E6344)-LEN(SUBSTITUTE(E6344,",",""))+1</f>
        <v>7</v>
      </c>
      <c r="K6344" s="3" t="str">
        <f aca="false">IFERROR(INDEX('Teacher Lookup'!$B$2:$B$200,MATCH(A6344,'Teacher Lookup'!$A$2:$A$200,0)),"")</f>
        <v>TSUI Kami</v>
      </c>
    </row>
    <row r="6345" customFormat="false" ht="15" hidden="false" customHeight="false" outlineLevel="0" collapsed="false">
      <c r="A6345" s="3" t="s">
        <v>461</v>
      </c>
      <c r="B6345" s="4" t="s">
        <v>65</v>
      </c>
      <c r="C6345" s="4" t="n">
        <v>5</v>
      </c>
      <c r="D6345" s="4" t="s">
        <v>18</v>
      </c>
      <c r="E6345" s="3" t="s">
        <v>35</v>
      </c>
      <c r="F6345" s="4" t="str">
        <f aca="false">IF(I6345&gt;J6345,"Y","N")</f>
        <v>Y</v>
      </c>
      <c r="G6345" s="3" t="s">
        <v>36</v>
      </c>
      <c r="H6345" s="3" t="s">
        <v>37</v>
      </c>
      <c r="I6345" s="4" t="n">
        <v>17</v>
      </c>
      <c r="J6345" s="4" t="n">
        <f aca="false">LEN(E6345)-LEN(SUBSTITUTE(E6345,",",""))+1</f>
        <v>7</v>
      </c>
      <c r="K6345" s="3" t="str">
        <f aca="false">IFERROR(INDEX('Teacher Lookup'!$B$2:$B$200,MATCH(A6345,'Teacher Lookup'!$A$2:$A$200,0)),"")</f>
        <v>TSUI Kami</v>
      </c>
    </row>
    <row r="6346" customFormat="false" ht="15" hidden="false" customHeight="false" outlineLevel="0" collapsed="false">
      <c r="A6346" s="3" t="s">
        <v>461</v>
      </c>
      <c r="B6346" s="4" t="s">
        <v>66</v>
      </c>
      <c r="C6346" s="4" t="n">
        <v>3</v>
      </c>
      <c r="D6346" s="4" t="s">
        <v>17</v>
      </c>
      <c r="E6346" s="3" t="s">
        <v>462</v>
      </c>
      <c r="F6346" s="4" t="str">
        <f aca="false">IF(I6346&gt;J6346,"Y","N")</f>
        <v>Y</v>
      </c>
      <c r="G6346" s="3" t="s">
        <v>463</v>
      </c>
      <c r="H6346" s="3" t="s">
        <v>26</v>
      </c>
      <c r="I6346" s="4" t="n">
        <v>2</v>
      </c>
      <c r="J6346" s="4" t="n">
        <f aca="false">LEN(E6346)-LEN(SUBSTITUTE(E6346,",",""))+1</f>
        <v>1</v>
      </c>
      <c r="K6346" s="3" t="str">
        <f aca="false">IFERROR(INDEX('Teacher Lookup'!$B$2:$B$200,MATCH(A6346,'Teacher Lookup'!$A$2:$A$200,0)),"")</f>
        <v>TSUI Kami</v>
      </c>
    </row>
    <row r="6347" customFormat="false" ht="15" hidden="false" customHeight="false" outlineLevel="0" collapsed="false">
      <c r="A6347" s="3" t="s">
        <v>461</v>
      </c>
      <c r="B6347" s="4" t="s">
        <v>66</v>
      </c>
      <c r="C6347" s="4" t="n">
        <v>4</v>
      </c>
      <c r="D6347" s="4" t="s">
        <v>17</v>
      </c>
      <c r="E6347" s="3" t="s">
        <v>462</v>
      </c>
      <c r="F6347" s="4" t="str">
        <f aca="false">IF(I6347&gt;J6347,"Y","N")</f>
        <v>Y</v>
      </c>
      <c r="G6347" s="3" t="s">
        <v>463</v>
      </c>
      <c r="H6347" s="3" t="s">
        <v>34</v>
      </c>
      <c r="I6347" s="4" t="n">
        <v>2</v>
      </c>
      <c r="J6347" s="4" t="n">
        <f aca="false">LEN(E6347)-LEN(SUBSTITUTE(E6347,",",""))+1</f>
        <v>1</v>
      </c>
      <c r="K6347" s="3" t="str">
        <f aca="false">IFERROR(INDEX('Teacher Lookup'!$B$2:$B$200,MATCH(A6347,'Teacher Lookup'!$A$2:$A$200,0)),"")</f>
        <v>TSUI Kami</v>
      </c>
    </row>
    <row r="6348" customFormat="false" ht="15" hidden="false" customHeight="false" outlineLevel="0" collapsed="false">
      <c r="A6348" s="3" t="s">
        <v>461</v>
      </c>
      <c r="B6348" s="4" t="s">
        <v>66</v>
      </c>
      <c r="C6348" s="4" t="n">
        <v>6</v>
      </c>
      <c r="D6348" s="4" t="s">
        <v>73</v>
      </c>
      <c r="E6348" s="3" t="s">
        <v>462</v>
      </c>
      <c r="F6348" s="4" t="str">
        <f aca="false">IF(I6348&gt;J6348,"Y","N")</f>
        <v>Y</v>
      </c>
      <c r="G6348" s="3" t="s">
        <v>463</v>
      </c>
      <c r="H6348" s="3" t="s">
        <v>42</v>
      </c>
      <c r="I6348" s="4" t="n">
        <v>2</v>
      </c>
      <c r="J6348" s="4" t="n">
        <f aca="false">LEN(E6348)-LEN(SUBSTITUTE(E6348,",",""))+1</f>
        <v>1</v>
      </c>
      <c r="K6348" s="3" t="str">
        <f aca="false">IFERROR(INDEX('Teacher Lookup'!$B$2:$B$200,MATCH(A6348,'Teacher Lookup'!$A$2:$A$200,0)),"")</f>
        <v>TSUI Kami</v>
      </c>
    </row>
    <row r="6349" customFormat="false" ht="15" hidden="false" customHeight="false" outlineLevel="0" collapsed="false">
      <c r="A6349" s="3" t="s">
        <v>461</v>
      </c>
      <c r="B6349" s="4" t="s">
        <v>66</v>
      </c>
      <c r="C6349" s="4" t="n">
        <v>7</v>
      </c>
      <c r="D6349" s="4" t="s">
        <v>73</v>
      </c>
      <c r="E6349" s="3" t="s">
        <v>462</v>
      </c>
      <c r="F6349" s="4" t="str">
        <f aca="false">IF(I6349&gt;J6349,"Y","N")</f>
        <v>Y</v>
      </c>
      <c r="G6349" s="3" t="s">
        <v>463</v>
      </c>
      <c r="H6349" s="3" t="s">
        <v>39</v>
      </c>
      <c r="I6349" s="4" t="n">
        <v>2</v>
      </c>
      <c r="J6349" s="4" t="n">
        <f aca="false">LEN(E6349)-LEN(SUBSTITUTE(E6349,",",""))+1</f>
        <v>1</v>
      </c>
      <c r="K6349" s="3" t="str">
        <f aca="false">IFERROR(INDEX('Teacher Lookup'!$B$2:$B$200,MATCH(A6349,'Teacher Lookup'!$A$2:$A$200,0)),"")</f>
        <v>TSUI Kami</v>
      </c>
    </row>
    <row r="6350" customFormat="false" ht="15" hidden="false" customHeight="false" outlineLevel="0" collapsed="false">
      <c r="A6350" s="3" t="s">
        <v>464</v>
      </c>
      <c r="B6350" s="4" t="s">
        <v>12</v>
      </c>
      <c r="C6350" s="4" t="n">
        <v>2</v>
      </c>
      <c r="D6350" s="4" t="s">
        <v>24</v>
      </c>
      <c r="E6350" s="3" t="s">
        <v>271</v>
      </c>
      <c r="F6350" s="4" t="str">
        <f aca="false">IF(I6350&gt;J6350,"Y","N")</f>
        <v>Y</v>
      </c>
      <c r="G6350" s="3" t="s">
        <v>272</v>
      </c>
      <c r="H6350" s="3" t="s">
        <v>21</v>
      </c>
      <c r="I6350" s="4" t="n">
        <v>8</v>
      </c>
      <c r="J6350" s="4" t="n">
        <f aca="false">LEN(E6350)-LEN(SUBSTITUTE(E6350,",",""))+1</f>
        <v>7</v>
      </c>
      <c r="K6350" s="3" t="str">
        <f aca="false">IFERROR(INDEX('Teacher Lookup'!$B$2:$B$200,MATCH(A6350,'Teacher Lookup'!$A$2:$A$200,0)),"")</f>
        <v>CHEUK Laurence</v>
      </c>
    </row>
    <row r="6351" customFormat="false" ht="15" hidden="false" customHeight="false" outlineLevel="0" collapsed="false">
      <c r="A6351" s="3" t="s">
        <v>464</v>
      </c>
      <c r="B6351" s="4" t="s">
        <v>12</v>
      </c>
      <c r="C6351" s="4" t="n">
        <v>2</v>
      </c>
      <c r="D6351" s="4" t="s">
        <v>27</v>
      </c>
      <c r="E6351" s="3" t="s">
        <v>271</v>
      </c>
      <c r="F6351" s="4" t="str">
        <f aca="false">IF(I6351&gt;J6351,"Y","N")</f>
        <v>Y</v>
      </c>
      <c r="G6351" s="3" t="s">
        <v>272</v>
      </c>
      <c r="H6351" s="3" t="s">
        <v>21</v>
      </c>
      <c r="I6351" s="4" t="n">
        <v>8</v>
      </c>
      <c r="J6351" s="4" t="n">
        <f aca="false">LEN(E6351)-LEN(SUBSTITUTE(E6351,",",""))+1</f>
        <v>7</v>
      </c>
      <c r="K6351" s="3" t="str">
        <f aca="false">IFERROR(INDEX('Teacher Lookup'!$B$2:$B$200,MATCH(A6351,'Teacher Lookup'!$A$2:$A$200,0)),"")</f>
        <v>CHEUK Laurence</v>
      </c>
    </row>
    <row r="6352" customFormat="false" ht="15" hidden="false" customHeight="false" outlineLevel="0" collapsed="false">
      <c r="A6352" s="3" t="s">
        <v>464</v>
      </c>
      <c r="B6352" s="4" t="s">
        <v>12</v>
      </c>
      <c r="C6352" s="4" t="n">
        <v>2</v>
      </c>
      <c r="D6352" s="4" t="s">
        <v>28</v>
      </c>
      <c r="E6352" s="3" t="s">
        <v>271</v>
      </c>
      <c r="F6352" s="4" t="str">
        <f aca="false">IF(I6352&gt;J6352,"Y","N")</f>
        <v>Y</v>
      </c>
      <c r="G6352" s="3" t="s">
        <v>272</v>
      </c>
      <c r="H6352" s="3" t="s">
        <v>21</v>
      </c>
      <c r="I6352" s="4" t="n">
        <v>8</v>
      </c>
      <c r="J6352" s="4" t="n">
        <f aca="false">LEN(E6352)-LEN(SUBSTITUTE(E6352,",",""))+1</f>
        <v>7</v>
      </c>
      <c r="K6352" s="3" t="str">
        <f aca="false">IFERROR(INDEX('Teacher Lookup'!$B$2:$B$200,MATCH(A6352,'Teacher Lookup'!$A$2:$A$200,0)),"")</f>
        <v>CHEUK Laurence</v>
      </c>
    </row>
    <row r="6353" customFormat="false" ht="15" hidden="false" customHeight="false" outlineLevel="0" collapsed="false">
      <c r="A6353" s="3" t="s">
        <v>464</v>
      </c>
      <c r="B6353" s="4" t="s">
        <v>12</v>
      </c>
      <c r="C6353" s="4" t="n">
        <v>2</v>
      </c>
      <c r="D6353" s="4" t="s">
        <v>29</v>
      </c>
      <c r="E6353" s="3" t="s">
        <v>271</v>
      </c>
      <c r="F6353" s="4" t="str">
        <f aca="false">IF(I6353&gt;J6353,"Y","N")</f>
        <v>Y</v>
      </c>
      <c r="G6353" s="3" t="s">
        <v>272</v>
      </c>
      <c r="H6353" s="3" t="s">
        <v>21</v>
      </c>
      <c r="I6353" s="4" t="n">
        <v>8</v>
      </c>
      <c r="J6353" s="4" t="n">
        <f aca="false">LEN(E6353)-LEN(SUBSTITUTE(E6353,",",""))+1</f>
        <v>7</v>
      </c>
      <c r="K6353" s="3" t="str">
        <f aca="false">IFERROR(INDEX('Teacher Lookup'!$B$2:$B$200,MATCH(A6353,'Teacher Lookup'!$A$2:$A$200,0)),"")</f>
        <v>CHEUK Laurence</v>
      </c>
    </row>
    <row r="6354" customFormat="false" ht="15" hidden="false" customHeight="false" outlineLevel="0" collapsed="false">
      <c r="A6354" s="3" t="s">
        <v>464</v>
      </c>
      <c r="B6354" s="4" t="s">
        <v>12</v>
      </c>
      <c r="C6354" s="4" t="n">
        <v>2</v>
      </c>
      <c r="D6354" s="4" t="s">
        <v>30</v>
      </c>
      <c r="E6354" s="3" t="s">
        <v>271</v>
      </c>
      <c r="F6354" s="4" t="str">
        <f aca="false">IF(I6354&gt;J6354,"Y","N")</f>
        <v>Y</v>
      </c>
      <c r="G6354" s="3" t="s">
        <v>272</v>
      </c>
      <c r="H6354" s="3" t="s">
        <v>21</v>
      </c>
      <c r="I6354" s="4" t="n">
        <v>8</v>
      </c>
      <c r="J6354" s="4" t="n">
        <f aca="false">LEN(E6354)-LEN(SUBSTITUTE(E6354,",",""))+1</f>
        <v>7</v>
      </c>
      <c r="K6354" s="3" t="str">
        <f aca="false">IFERROR(INDEX('Teacher Lookup'!$B$2:$B$200,MATCH(A6354,'Teacher Lookup'!$A$2:$A$200,0)),"")</f>
        <v>CHEUK Laurence</v>
      </c>
    </row>
    <row r="6355" customFormat="false" ht="15" hidden="false" customHeight="false" outlineLevel="0" collapsed="false">
      <c r="A6355" s="3" t="s">
        <v>464</v>
      </c>
      <c r="B6355" s="4" t="s">
        <v>12</v>
      </c>
      <c r="C6355" s="4" t="n">
        <v>4</v>
      </c>
      <c r="D6355" s="4" t="s">
        <v>19</v>
      </c>
      <c r="E6355" s="3" t="s">
        <v>390</v>
      </c>
      <c r="F6355" s="4" t="str">
        <f aca="false">IF(I6355&gt;J6355,"Y","N")</f>
        <v>Y</v>
      </c>
      <c r="G6355" s="3" t="s">
        <v>222</v>
      </c>
      <c r="H6355" s="3" t="s">
        <v>34</v>
      </c>
      <c r="I6355" s="4" t="n">
        <v>14</v>
      </c>
      <c r="J6355" s="4" t="n">
        <f aca="false">LEN(E6355)-LEN(SUBSTITUTE(E6355,",",""))+1</f>
        <v>7</v>
      </c>
      <c r="K6355" s="3" t="str">
        <f aca="false">IFERROR(INDEX('Teacher Lookup'!$B$2:$B$200,MATCH(A6355,'Teacher Lookup'!$A$2:$A$200,0)),"")</f>
        <v>CHEUK Laurence</v>
      </c>
    </row>
    <row r="6356" customFormat="false" ht="15" hidden="false" customHeight="false" outlineLevel="0" collapsed="false">
      <c r="A6356" s="3" t="s">
        <v>464</v>
      </c>
      <c r="B6356" s="4" t="s">
        <v>12</v>
      </c>
      <c r="C6356" s="4" t="n">
        <v>4</v>
      </c>
      <c r="D6356" s="4" t="s">
        <v>22</v>
      </c>
      <c r="E6356" s="3" t="s">
        <v>390</v>
      </c>
      <c r="F6356" s="4" t="str">
        <f aca="false">IF(I6356&gt;J6356,"Y","N")</f>
        <v>Y</v>
      </c>
      <c r="G6356" s="3" t="s">
        <v>222</v>
      </c>
      <c r="H6356" s="3" t="s">
        <v>34</v>
      </c>
      <c r="I6356" s="4" t="n">
        <v>14</v>
      </c>
      <c r="J6356" s="4" t="n">
        <f aca="false">LEN(E6356)-LEN(SUBSTITUTE(E6356,",",""))+1</f>
        <v>7</v>
      </c>
      <c r="K6356" s="3" t="str">
        <f aca="false">IFERROR(INDEX('Teacher Lookup'!$B$2:$B$200,MATCH(A6356,'Teacher Lookup'!$A$2:$A$200,0)),"")</f>
        <v>CHEUK Laurence</v>
      </c>
    </row>
    <row r="6357" customFormat="false" ht="15" hidden="false" customHeight="false" outlineLevel="0" collapsed="false">
      <c r="A6357" s="3" t="s">
        <v>464</v>
      </c>
      <c r="B6357" s="4" t="s">
        <v>12</v>
      </c>
      <c r="C6357" s="4" t="n">
        <v>4</v>
      </c>
      <c r="D6357" s="4" t="s">
        <v>23</v>
      </c>
      <c r="E6357" s="3" t="s">
        <v>390</v>
      </c>
      <c r="F6357" s="4" t="str">
        <f aca="false">IF(I6357&gt;J6357,"Y","N")</f>
        <v>Y</v>
      </c>
      <c r="G6357" s="3" t="s">
        <v>222</v>
      </c>
      <c r="H6357" s="3" t="s">
        <v>34</v>
      </c>
      <c r="I6357" s="4" t="n">
        <v>14</v>
      </c>
      <c r="J6357" s="4" t="n">
        <f aca="false">LEN(E6357)-LEN(SUBSTITUTE(E6357,",",""))+1</f>
        <v>7</v>
      </c>
      <c r="K6357" s="3" t="str">
        <f aca="false">IFERROR(INDEX('Teacher Lookup'!$B$2:$B$200,MATCH(A6357,'Teacher Lookup'!$A$2:$A$200,0)),"")</f>
        <v>CHEUK Laurence</v>
      </c>
    </row>
    <row r="6358" customFormat="false" ht="15" hidden="false" customHeight="false" outlineLevel="0" collapsed="false">
      <c r="A6358" s="3" t="s">
        <v>464</v>
      </c>
      <c r="B6358" s="4" t="s">
        <v>12</v>
      </c>
      <c r="C6358" s="4" t="n">
        <v>4</v>
      </c>
      <c r="D6358" s="4" t="s">
        <v>13</v>
      </c>
      <c r="E6358" s="3" t="s">
        <v>390</v>
      </c>
      <c r="F6358" s="4" t="str">
        <f aca="false">IF(I6358&gt;J6358,"Y","N")</f>
        <v>Y</v>
      </c>
      <c r="G6358" s="3" t="s">
        <v>222</v>
      </c>
      <c r="H6358" s="3" t="s">
        <v>34</v>
      </c>
      <c r="I6358" s="4" t="n">
        <v>14</v>
      </c>
      <c r="J6358" s="4" t="n">
        <f aca="false">LEN(E6358)-LEN(SUBSTITUTE(E6358,",",""))+1</f>
        <v>7</v>
      </c>
      <c r="K6358" s="3" t="str">
        <f aca="false">IFERROR(INDEX('Teacher Lookup'!$B$2:$B$200,MATCH(A6358,'Teacher Lookup'!$A$2:$A$200,0)),"")</f>
        <v>CHEUK Laurence</v>
      </c>
    </row>
    <row r="6359" customFormat="false" ht="15" hidden="false" customHeight="false" outlineLevel="0" collapsed="false">
      <c r="A6359" s="3" t="s">
        <v>464</v>
      </c>
      <c r="B6359" s="4" t="s">
        <v>12</v>
      </c>
      <c r="C6359" s="4" t="n">
        <v>4</v>
      </c>
      <c r="D6359" s="4" t="s">
        <v>17</v>
      </c>
      <c r="E6359" s="3" t="s">
        <v>390</v>
      </c>
      <c r="F6359" s="4" t="str">
        <f aca="false">IF(I6359&gt;J6359,"Y","N")</f>
        <v>Y</v>
      </c>
      <c r="G6359" s="3" t="s">
        <v>222</v>
      </c>
      <c r="H6359" s="3" t="s">
        <v>34</v>
      </c>
      <c r="I6359" s="4" t="n">
        <v>14</v>
      </c>
      <c r="J6359" s="4" t="n">
        <f aca="false">LEN(E6359)-LEN(SUBSTITUTE(E6359,",",""))+1</f>
        <v>7</v>
      </c>
      <c r="K6359" s="3" t="str">
        <f aca="false">IFERROR(INDEX('Teacher Lookup'!$B$2:$B$200,MATCH(A6359,'Teacher Lookup'!$A$2:$A$200,0)),"")</f>
        <v>CHEUK Laurence</v>
      </c>
    </row>
    <row r="6360" customFormat="false" ht="15" hidden="false" customHeight="false" outlineLevel="0" collapsed="false">
      <c r="A6360" s="3" t="s">
        <v>464</v>
      </c>
      <c r="B6360" s="4" t="s">
        <v>12</v>
      </c>
      <c r="C6360" s="4" t="n">
        <v>4</v>
      </c>
      <c r="D6360" s="4" t="s">
        <v>18</v>
      </c>
      <c r="E6360" s="3" t="s">
        <v>390</v>
      </c>
      <c r="F6360" s="4" t="str">
        <f aca="false">IF(I6360&gt;J6360,"Y","N")</f>
        <v>Y</v>
      </c>
      <c r="G6360" s="3" t="s">
        <v>222</v>
      </c>
      <c r="H6360" s="3" t="s">
        <v>34</v>
      </c>
      <c r="I6360" s="4" t="n">
        <v>14</v>
      </c>
      <c r="J6360" s="4" t="n">
        <f aca="false">LEN(E6360)-LEN(SUBSTITUTE(E6360,",",""))+1</f>
        <v>7</v>
      </c>
      <c r="K6360" s="3" t="str">
        <f aca="false">IFERROR(INDEX('Teacher Lookup'!$B$2:$B$200,MATCH(A6360,'Teacher Lookup'!$A$2:$A$200,0)),"")</f>
        <v>CHEUK Laurence</v>
      </c>
    </row>
    <row r="6361" customFormat="false" ht="15" hidden="false" customHeight="false" outlineLevel="0" collapsed="false">
      <c r="A6361" s="3" t="s">
        <v>464</v>
      </c>
      <c r="B6361" s="4" t="s">
        <v>12</v>
      </c>
      <c r="C6361" s="4" t="n">
        <v>5</v>
      </c>
      <c r="D6361" s="4" t="s">
        <v>19</v>
      </c>
      <c r="E6361" s="3" t="s">
        <v>390</v>
      </c>
      <c r="F6361" s="4" t="str">
        <f aca="false">IF(I6361&gt;J6361,"Y","N")</f>
        <v>Y</v>
      </c>
      <c r="G6361" s="3" t="s">
        <v>222</v>
      </c>
      <c r="H6361" s="3" t="s">
        <v>37</v>
      </c>
      <c r="I6361" s="4" t="n">
        <v>14</v>
      </c>
      <c r="J6361" s="4" t="n">
        <f aca="false">LEN(E6361)-LEN(SUBSTITUTE(E6361,",",""))+1</f>
        <v>7</v>
      </c>
      <c r="K6361" s="3" t="str">
        <f aca="false">IFERROR(INDEX('Teacher Lookup'!$B$2:$B$200,MATCH(A6361,'Teacher Lookup'!$A$2:$A$200,0)),"")</f>
        <v>CHEUK Laurence</v>
      </c>
    </row>
    <row r="6362" customFormat="false" ht="15" hidden="false" customHeight="false" outlineLevel="0" collapsed="false">
      <c r="A6362" s="3" t="s">
        <v>464</v>
      </c>
      <c r="B6362" s="4" t="s">
        <v>12</v>
      </c>
      <c r="C6362" s="4" t="n">
        <v>5</v>
      </c>
      <c r="D6362" s="4" t="s">
        <v>22</v>
      </c>
      <c r="E6362" s="3" t="s">
        <v>390</v>
      </c>
      <c r="F6362" s="4" t="str">
        <f aca="false">IF(I6362&gt;J6362,"Y","N")</f>
        <v>Y</v>
      </c>
      <c r="G6362" s="3" t="s">
        <v>222</v>
      </c>
      <c r="H6362" s="3" t="s">
        <v>37</v>
      </c>
      <c r="I6362" s="4" t="n">
        <v>14</v>
      </c>
      <c r="J6362" s="4" t="n">
        <f aca="false">LEN(E6362)-LEN(SUBSTITUTE(E6362,",",""))+1</f>
        <v>7</v>
      </c>
      <c r="K6362" s="3" t="str">
        <f aca="false">IFERROR(INDEX('Teacher Lookup'!$B$2:$B$200,MATCH(A6362,'Teacher Lookup'!$A$2:$A$200,0)),"")</f>
        <v>CHEUK Laurence</v>
      </c>
    </row>
    <row r="6363" customFormat="false" ht="15" hidden="false" customHeight="false" outlineLevel="0" collapsed="false">
      <c r="A6363" s="3" t="s">
        <v>464</v>
      </c>
      <c r="B6363" s="4" t="s">
        <v>12</v>
      </c>
      <c r="C6363" s="4" t="n">
        <v>5</v>
      </c>
      <c r="D6363" s="4" t="s">
        <v>23</v>
      </c>
      <c r="E6363" s="3" t="s">
        <v>390</v>
      </c>
      <c r="F6363" s="4" t="str">
        <f aca="false">IF(I6363&gt;J6363,"Y","N")</f>
        <v>Y</v>
      </c>
      <c r="G6363" s="3" t="s">
        <v>222</v>
      </c>
      <c r="H6363" s="3" t="s">
        <v>37</v>
      </c>
      <c r="I6363" s="4" t="n">
        <v>14</v>
      </c>
      <c r="J6363" s="4" t="n">
        <f aca="false">LEN(E6363)-LEN(SUBSTITUTE(E6363,",",""))+1</f>
        <v>7</v>
      </c>
      <c r="K6363" s="3" t="str">
        <f aca="false">IFERROR(INDEX('Teacher Lookup'!$B$2:$B$200,MATCH(A6363,'Teacher Lookup'!$A$2:$A$200,0)),"")</f>
        <v>CHEUK Laurence</v>
      </c>
    </row>
    <row r="6364" customFormat="false" ht="15" hidden="false" customHeight="false" outlineLevel="0" collapsed="false">
      <c r="A6364" s="3" t="s">
        <v>464</v>
      </c>
      <c r="B6364" s="4" t="s">
        <v>12</v>
      </c>
      <c r="C6364" s="4" t="n">
        <v>5</v>
      </c>
      <c r="D6364" s="4" t="s">
        <v>13</v>
      </c>
      <c r="E6364" s="3" t="s">
        <v>390</v>
      </c>
      <c r="F6364" s="4" t="str">
        <f aca="false">IF(I6364&gt;J6364,"Y","N")</f>
        <v>Y</v>
      </c>
      <c r="G6364" s="3" t="s">
        <v>222</v>
      </c>
      <c r="H6364" s="3" t="s">
        <v>37</v>
      </c>
      <c r="I6364" s="4" t="n">
        <v>14</v>
      </c>
      <c r="J6364" s="4" t="n">
        <f aca="false">LEN(E6364)-LEN(SUBSTITUTE(E6364,",",""))+1</f>
        <v>7</v>
      </c>
      <c r="K6364" s="3" t="str">
        <f aca="false">IFERROR(INDEX('Teacher Lookup'!$B$2:$B$200,MATCH(A6364,'Teacher Lookup'!$A$2:$A$200,0)),"")</f>
        <v>CHEUK Laurence</v>
      </c>
    </row>
    <row r="6365" customFormat="false" ht="15" hidden="false" customHeight="false" outlineLevel="0" collapsed="false">
      <c r="A6365" s="3" t="s">
        <v>464</v>
      </c>
      <c r="B6365" s="4" t="s">
        <v>12</v>
      </c>
      <c r="C6365" s="4" t="n">
        <v>5</v>
      </c>
      <c r="D6365" s="4" t="s">
        <v>17</v>
      </c>
      <c r="E6365" s="3" t="s">
        <v>390</v>
      </c>
      <c r="F6365" s="4" t="str">
        <f aca="false">IF(I6365&gt;J6365,"Y","N")</f>
        <v>Y</v>
      </c>
      <c r="G6365" s="3" t="s">
        <v>222</v>
      </c>
      <c r="H6365" s="3" t="s">
        <v>37</v>
      </c>
      <c r="I6365" s="4" t="n">
        <v>14</v>
      </c>
      <c r="J6365" s="4" t="n">
        <f aca="false">LEN(E6365)-LEN(SUBSTITUTE(E6365,",",""))+1</f>
        <v>7</v>
      </c>
      <c r="K6365" s="3" t="str">
        <f aca="false">IFERROR(INDEX('Teacher Lookup'!$B$2:$B$200,MATCH(A6365,'Teacher Lookup'!$A$2:$A$200,0)),"")</f>
        <v>CHEUK Laurence</v>
      </c>
    </row>
    <row r="6366" customFormat="false" ht="15" hidden="false" customHeight="false" outlineLevel="0" collapsed="false">
      <c r="A6366" s="3" t="s">
        <v>464</v>
      </c>
      <c r="B6366" s="4" t="s">
        <v>12</v>
      </c>
      <c r="C6366" s="4" t="n">
        <v>5</v>
      </c>
      <c r="D6366" s="4" t="s">
        <v>18</v>
      </c>
      <c r="E6366" s="3" t="s">
        <v>390</v>
      </c>
      <c r="F6366" s="4" t="str">
        <f aca="false">IF(I6366&gt;J6366,"Y","N")</f>
        <v>Y</v>
      </c>
      <c r="G6366" s="3" t="s">
        <v>222</v>
      </c>
      <c r="H6366" s="3" t="s">
        <v>37</v>
      </c>
      <c r="I6366" s="4" t="n">
        <v>14</v>
      </c>
      <c r="J6366" s="4" t="n">
        <f aca="false">LEN(E6366)-LEN(SUBSTITUTE(E6366,",",""))+1</f>
        <v>7</v>
      </c>
      <c r="K6366" s="3" t="str">
        <f aca="false">IFERROR(INDEX('Teacher Lookup'!$B$2:$B$200,MATCH(A6366,'Teacher Lookup'!$A$2:$A$200,0)),"")</f>
        <v>CHEUK Laurence</v>
      </c>
    </row>
    <row r="6367" customFormat="false" ht="15" hidden="false" customHeight="false" outlineLevel="0" collapsed="false">
      <c r="A6367" s="3" t="s">
        <v>464</v>
      </c>
      <c r="B6367" s="4" t="s">
        <v>12</v>
      </c>
      <c r="C6367" s="4" t="n">
        <v>7</v>
      </c>
      <c r="D6367" s="4" t="s">
        <v>102</v>
      </c>
      <c r="E6367" s="3" t="s">
        <v>465</v>
      </c>
      <c r="F6367" s="4" t="str">
        <f aca="false">IF(I6367&gt;J6367,"Y","N")</f>
        <v>N</v>
      </c>
      <c r="G6367" s="3" t="s">
        <v>466</v>
      </c>
      <c r="H6367" s="3" t="s">
        <v>39</v>
      </c>
      <c r="I6367" s="4" t="n">
        <v>4</v>
      </c>
      <c r="J6367" s="4" t="n">
        <f aca="false">LEN(E6367)-LEN(SUBSTITUTE(E6367,",",""))+1</f>
        <v>4</v>
      </c>
      <c r="K6367" s="3" t="str">
        <f aca="false">IFERROR(INDEX('Teacher Lookup'!$B$2:$B$200,MATCH(A6367,'Teacher Lookup'!$A$2:$A$200,0)),"")</f>
        <v>CHEUK Laurence</v>
      </c>
    </row>
    <row r="6368" customFormat="false" ht="15" hidden="false" customHeight="false" outlineLevel="0" collapsed="false">
      <c r="A6368" s="3" t="s">
        <v>464</v>
      </c>
      <c r="B6368" s="4" t="s">
        <v>12</v>
      </c>
      <c r="C6368" s="4" t="n">
        <v>7</v>
      </c>
      <c r="D6368" s="4" t="s">
        <v>107</v>
      </c>
      <c r="E6368" s="3" t="s">
        <v>465</v>
      </c>
      <c r="F6368" s="4" t="str">
        <f aca="false">IF(I6368&gt;J6368,"Y","N")</f>
        <v>N</v>
      </c>
      <c r="G6368" s="3" t="s">
        <v>466</v>
      </c>
      <c r="H6368" s="3" t="s">
        <v>39</v>
      </c>
      <c r="I6368" s="4" t="n">
        <v>4</v>
      </c>
      <c r="J6368" s="4" t="n">
        <f aca="false">LEN(E6368)-LEN(SUBSTITUTE(E6368,",",""))+1</f>
        <v>4</v>
      </c>
      <c r="K6368" s="3" t="str">
        <f aca="false">IFERROR(INDEX('Teacher Lookup'!$B$2:$B$200,MATCH(A6368,'Teacher Lookup'!$A$2:$A$200,0)),"")</f>
        <v>CHEUK Laurence</v>
      </c>
    </row>
    <row r="6369" customFormat="false" ht="15" hidden="false" customHeight="false" outlineLevel="0" collapsed="false">
      <c r="A6369" s="3" t="s">
        <v>464</v>
      </c>
      <c r="B6369" s="4" t="s">
        <v>31</v>
      </c>
      <c r="C6369" s="4" t="n">
        <v>1</v>
      </c>
      <c r="D6369" s="4" t="s">
        <v>24</v>
      </c>
      <c r="E6369" s="3" t="s">
        <v>274</v>
      </c>
      <c r="F6369" s="4" t="str">
        <f aca="false">IF(I6369&gt;J6369,"Y","N")</f>
        <v>Y</v>
      </c>
      <c r="G6369" s="3" t="s">
        <v>272</v>
      </c>
      <c r="H6369" s="3" t="s">
        <v>16</v>
      </c>
      <c r="I6369" s="4" t="n">
        <v>8</v>
      </c>
      <c r="J6369" s="4" t="n">
        <f aca="false">LEN(E6369)-LEN(SUBSTITUTE(E6369,",",""))+1</f>
        <v>7</v>
      </c>
      <c r="K6369" s="3" t="str">
        <f aca="false">IFERROR(INDEX('Teacher Lookup'!$B$2:$B$200,MATCH(A6369,'Teacher Lookup'!$A$2:$A$200,0)),"")</f>
        <v>CHEUK Laurence</v>
      </c>
    </row>
    <row r="6370" customFormat="false" ht="15" hidden="false" customHeight="false" outlineLevel="0" collapsed="false">
      <c r="A6370" s="3" t="s">
        <v>464</v>
      </c>
      <c r="B6370" s="4" t="s">
        <v>31</v>
      </c>
      <c r="C6370" s="4" t="n">
        <v>1</v>
      </c>
      <c r="D6370" s="4" t="s">
        <v>27</v>
      </c>
      <c r="E6370" s="3" t="s">
        <v>274</v>
      </c>
      <c r="F6370" s="4" t="str">
        <f aca="false">IF(I6370&gt;J6370,"Y","N")</f>
        <v>Y</v>
      </c>
      <c r="G6370" s="3" t="s">
        <v>272</v>
      </c>
      <c r="H6370" s="3" t="s">
        <v>16</v>
      </c>
      <c r="I6370" s="4" t="n">
        <v>8</v>
      </c>
      <c r="J6370" s="4" t="n">
        <f aca="false">LEN(E6370)-LEN(SUBSTITUTE(E6370,",",""))+1</f>
        <v>7</v>
      </c>
      <c r="K6370" s="3" t="str">
        <f aca="false">IFERROR(INDEX('Teacher Lookup'!$B$2:$B$200,MATCH(A6370,'Teacher Lookup'!$A$2:$A$200,0)),"")</f>
        <v>CHEUK Laurence</v>
      </c>
    </row>
    <row r="6371" customFormat="false" ht="15" hidden="false" customHeight="false" outlineLevel="0" collapsed="false">
      <c r="A6371" s="3" t="s">
        <v>464</v>
      </c>
      <c r="B6371" s="4" t="s">
        <v>31</v>
      </c>
      <c r="C6371" s="4" t="n">
        <v>1</v>
      </c>
      <c r="D6371" s="4" t="s">
        <v>28</v>
      </c>
      <c r="E6371" s="3" t="s">
        <v>274</v>
      </c>
      <c r="F6371" s="4" t="str">
        <f aca="false">IF(I6371&gt;J6371,"Y","N")</f>
        <v>Y</v>
      </c>
      <c r="G6371" s="3" t="s">
        <v>272</v>
      </c>
      <c r="H6371" s="3" t="s">
        <v>16</v>
      </c>
      <c r="I6371" s="4" t="n">
        <v>8</v>
      </c>
      <c r="J6371" s="4" t="n">
        <f aca="false">LEN(E6371)-LEN(SUBSTITUTE(E6371,",",""))+1</f>
        <v>7</v>
      </c>
      <c r="K6371" s="3" t="str">
        <f aca="false">IFERROR(INDEX('Teacher Lookup'!$B$2:$B$200,MATCH(A6371,'Teacher Lookup'!$A$2:$A$200,0)),"")</f>
        <v>CHEUK Laurence</v>
      </c>
    </row>
    <row r="6372" customFormat="false" ht="15" hidden="false" customHeight="false" outlineLevel="0" collapsed="false">
      <c r="A6372" s="3" t="s">
        <v>464</v>
      </c>
      <c r="B6372" s="4" t="s">
        <v>31</v>
      </c>
      <c r="C6372" s="4" t="n">
        <v>1</v>
      </c>
      <c r="D6372" s="4" t="s">
        <v>29</v>
      </c>
      <c r="E6372" s="3" t="s">
        <v>274</v>
      </c>
      <c r="F6372" s="4" t="str">
        <f aca="false">IF(I6372&gt;J6372,"Y","N")</f>
        <v>Y</v>
      </c>
      <c r="G6372" s="3" t="s">
        <v>272</v>
      </c>
      <c r="H6372" s="3" t="s">
        <v>16</v>
      </c>
      <c r="I6372" s="4" t="n">
        <v>8</v>
      </c>
      <c r="J6372" s="4" t="n">
        <f aca="false">LEN(E6372)-LEN(SUBSTITUTE(E6372,",",""))+1</f>
        <v>7</v>
      </c>
      <c r="K6372" s="3" t="str">
        <f aca="false">IFERROR(INDEX('Teacher Lookup'!$B$2:$B$200,MATCH(A6372,'Teacher Lookup'!$A$2:$A$200,0)),"")</f>
        <v>CHEUK Laurence</v>
      </c>
    </row>
    <row r="6373" customFormat="false" ht="15" hidden="false" customHeight="false" outlineLevel="0" collapsed="false">
      <c r="A6373" s="3" t="s">
        <v>464</v>
      </c>
      <c r="B6373" s="4" t="s">
        <v>31</v>
      </c>
      <c r="C6373" s="4" t="n">
        <v>1</v>
      </c>
      <c r="D6373" s="4" t="s">
        <v>30</v>
      </c>
      <c r="E6373" s="3" t="s">
        <v>274</v>
      </c>
      <c r="F6373" s="4" t="str">
        <f aca="false">IF(I6373&gt;J6373,"Y","N")</f>
        <v>Y</v>
      </c>
      <c r="G6373" s="3" t="s">
        <v>272</v>
      </c>
      <c r="H6373" s="3" t="s">
        <v>16</v>
      </c>
      <c r="I6373" s="4" t="n">
        <v>8</v>
      </c>
      <c r="J6373" s="4" t="n">
        <f aca="false">LEN(E6373)-LEN(SUBSTITUTE(E6373,",",""))+1</f>
        <v>7</v>
      </c>
      <c r="K6373" s="3" t="str">
        <f aca="false">IFERROR(INDEX('Teacher Lookup'!$B$2:$B$200,MATCH(A6373,'Teacher Lookup'!$A$2:$A$200,0)),"")</f>
        <v>CHEUK Laurence</v>
      </c>
    </row>
    <row r="6374" customFormat="false" ht="15" hidden="false" customHeight="false" outlineLevel="0" collapsed="false">
      <c r="A6374" s="3" t="s">
        <v>464</v>
      </c>
      <c r="B6374" s="4" t="s">
        <v>31</v>
      </c>
      <c r="C6374" s="4" t="n">
        <v>2</v>
      </c>
      <c r="D6374" s="4" t="s">
        <v>70</v>
      </c>
      <c r="E6374" s="3" t="s">
        <v>297</v>
      </c>
      <c r="F6374" s="4" t="str">
        <f aca="false">IF(I6374&gt;J6374,"Y","N")</f>
        <v>Y</v>
      </c>
      <c r="G6374" s="3" t="s">
        <v>296</v>
      </c>
      <c r="H6374" s="3" t="s">
        <v>21</v>
      </c>
      <c r="I6374" s="4" t="n">
        <v>2</v>
      </c>
      <c r="J6374" s="4" t="n">
        <f aca="false">LEN(E6374)-LEN(SUBSTITUTE(E6374,",",""))+1</f>
        <v>1</v>
      </c>
      <c r="K6374" s="3" t="str">
        <f aca="false">IFERROR(INDEX('Teacher Lookup'!$B$2:$B$200,MATCH(A6374,'Teacher Lookup'!$A$2:$A$200,0)),"")</f>
        <v>CHEUK Laurence</v>
      </c>
    </row>
    <row r="6375" customFormat="false" ht="15" hidden="false" customHeight="false" outlineLevel="0" collapsed="false">
      <c r="A6375" s="3" t="s">
        <v>464</v>
      </c>
      <c r="B6375" s="4" t="s">
        <v>31</v>
      </c>
      <c r="C6375" s="4" t="n">
        <v>5</v>
      </c>
      <c r="D6375" s="4" t="s">
        <v>70</v>
      </c>
      <c r="E6375" s="3" t="s">
        <v>81</v>
      </c>
      <c r="F6375" s="4" t="str">
        <f aca="false">IF(I6375&gt;J6375,"Y","N")</f>
        <v>Y</v>
      </c>
      <c r="G6375" s="3" t="s">
        <v>36</v>
      </c>
      <c r="H6375" s="3" t="s">
        <v>37</v>
      </c>
      <c r="I6375" s="4" t="n">
        <v>15</v>
      </c>
      <c r="J6375" s="4" t="n">
        <f aca="false">LEN(E6375)-LEN(SUBSTITUTE(E6375,",",""))+1</f>
        <v>7</v>
      </c>
      <c r="K6375" s="3" t="str">
        <f aca="false">IFERROR(INDEX('Teacher Lookup'!$B$2:$B$200,MATCH(A6375,'Teacher Lookup'!$A$2:$A$200,0)),"")</f>
        <v>CHEUK Laurence</v>
      </c>
    </row>
    <row r="6376" customFormat="false" ht="15" hidden="false" customHeight="false" outlineLevel="0" collapsed="false">
      <c r="A6376" s="3" t="s">
        <v>464</v>
      </c>
      <c r="B6376" s="4" t="s">
        <v>31</v>
      </c>
      <c r="C6376" s="4" t="n">
        <v>5</v>
      </c>
      <c r="D6376" s="4" t="s">
        <v>73</v>
      </c>
      <c r="E6376" s="3" t="s">
        <v>81</v>
      </c>
      <c r="F6376" s="4" t="str">
        <f aca="false">IF(I6376&gt;J6376,"Y","N")</f>
        <v>Y</v>
      </c>
      <c r="G6376" s="3" t="s">
        <v>36</v>
      </c>
      <c r="H6376" s="3" t="s">
        <v>37</v>
      </c>
      <c r="I6376" s="4" t="n">
        <v>15</v>
      </c>
      <c r="J6376" s="4" t="n">
        <f aca="false">LEN(E6376)-LEN(SUBSTITUTE(E6376,",",""))+1</f>
        <v>7</v>
      </c>
      <c r="K6376" s="3" t="str">
        <f aca="false">IFERROR(INDEX('Teacher Lookup'!$B$2:$B$200,MATCH(A6376,'Teacher Lookup'!$A$2:$A$200,0)),"")</f>
        <v>CHEUK Laurence</v>
      </c>
    </row>
    <row r="6377" customFormat="false" ht="15" hidden="false" customHeight="false" outlineLevel="0" collapsed="false">
      <c r="A6377" s="3" t="s">
        <v>464</v>
      </c>
      <c r="B6377" s="4" t="s">
        <v>31</v>
      </c>
      <c r="C6377" s="4" t="n">
        <v>5</v>
      </c>
      <c r="D6377" s="4" t="s">
        <v>74</v>
      </c>
      <c r="E6377" s="3" t="s">
        <v>81</v>
      </c>
      <c r="F6377" s="4" t="str">
        <f aca="false">IF(I6377&gt;J6377,"Y","N")</f>
        <v>Y</v>
      </c>
      <c r="G6377" s="3" t="s">
        <v>36</v>
      </c>
      <c r="H6377" s="3" t="s">
        <v>37</v>
      </c>
      <c r="I6377" s="4" t="n">
        <v>15</v>
      </c>
      <c r="J6377" s="4" t="n">
        <f aca="false">LEN(E6377)-LEN(SUBSTITUTE(E6377,",",""))+1</f>
        <v>7</v>
      </c>
      <c r="K6377" s="3" t="str">
        <f aca="false">IFERROR(INDEX('Teacher Lookup'!$B$2:$B$200,MATCH(A6377,'Teacher Lookup'!$A$2:$A$200,0)),"")</f>
        <v>CHEUK Laurence</v>
      </c>
    </row>
    <row r="6378" customFormat="false" ht="15" hidden="false" customHeight="false" outlineLevel="0" collapsed="false">
      <c r="A6378" s="3" t="s">
        <v>464</v>
      </c>
      <c r="B6378" s="4" t="s">
        <v>31</v>
      </c>
      <c r="C6378" s="4" t="n">
        <v>5</v>
      </c>
      <c r="D6378" s="4" t="s">
        <v>76</v>
      </c>
      <c r="E6378" s="3" t="s">
        <v>81</v>
      </c>
      <c r="F6378" s="4" t="str">
        <f aca="false">IF(I6378&gt;J6378,"Y","N")</f>
        <v>Y</v>
      </c>
      <c r="G6378" s="3" t="s">
        <v>36</v>
      </c>
      <c r="H6378" s="3" t="s">
        <v>37</v>
      </c>
      <c r="I6378" s="4" t="n">
        <v>15</v>
      </c>
      <c r="J6378" s="4" t="n">
        <f aca="false">LEN(E6378)-LEN(SUBSTITUTE(E6378,",",""))+1</f>
        <v>7</v>
      </c>
      <c r="K6378" s="3" t="str">
        <f aca="false">IFERROR(INDEX('Teacher Lookup'!$B$2:$B$200,MATCH(A6378,'Teacher Lookup'!$A$2:$A$200,0)),"")</f>
        <v>CHEUK Laurence</v>
      </c>
    </row>
    <row r="6379" customFormat="false" ht="15" hidden="false" customHeight="false" outlineLevel="0" collapsed="false">
      <c r="A6379" s="3" t="s">
        <v>464</v>
      </c>
      <c r="B6379" s="4" t="s">
        <v>31</v>
      </c>
      <c r="C6379" s="4" t="n">
        <v>5</v>
      </c>
      <c r="D6379" s="4" t="s">
        <v>78</v>
      </c>
      <c r="E6379" s="3" t="s">
        <v>81</v>
      </c>
      <c r="F6379" s="4" t="str">
        <f aca="false">IF(I6379&gt;J6379,"Y","N")</f>
        <v>Y</v>
      </c>
      <c r="G6379" s="3" t="s">
        <v>36</v>
      </c>
      <c r="H6379" s="3" t="s">
        <v>37</v>
      </c>
      <c r="I6379" s="4" t="n">
        <v>15</v>
      </c>
      <c r="J6379" s="4" t="n">
        <f aca="false">LEN(E6379)-LEN(SUBSTITUTE(E6379,",",""))+1</f>
        <v>7</v>
      </c>
      <c r="K6379" s="3" t="str">
        <f aca="false">IFERROR(INDEX('Teacher Lookup'!$B$2:$B$200,MATCH(A6379,'Teacher Lookup'!$A$2:$A$200,0)),"")</f>
        <v>CHEUK Laurence</v>
      </c>
    </row>
    <row r="6380" customFormat="false" ht="15" hidden="false" customHeight="false" outlineLevel="0" collapsed="false">
      <c r="A6380" s="3" t="s">
        <v>464</v>
      </c>
      <c r="B6380" s="4" t="s">
        <v>31</v>
      </c>
      <c r="C6380" s="4" t="n">
        <v>5</v>
      </c>
      <c r="D6380" s="4" t="s">
        <v>79</v>
      </c>
      <c r="E6380" s="3" t="s">
        <v>81</v>
      </c>
      <c r="F6380" s="4" t="str">
        <f aca="false">IF(I6380&gt;J6380,"Y","N")</f>
        <v>Y</v>
      </c>
      <c r="G6380" s="3" t="s">
        <v>36</v>
      </c>
      <c r="H6380" s="3" t="s">
        <v>37</v>
      </c>
      <c r="I6380" s="4" t="n">
        <v>15</v>
      </c>
      <c r="J6380" s="4" t="n">
        <f aca="false">LEN(E6380)-LEN(SUBSTITUTE(E6380,",",""))+1</f>
        <v>7</v>
      </c>
      <c r="K6380" s="3" t="str">
        <f aca="false">IFERROR(INDEX('Teacher Lookup'!$B$2:$B$200,MATCH(A6380,'Teacher Lookup'!$A$2:$A$200,0)),"")</f>
        <v>CHEUK Laurence</v>
      </c>
    </row>
    <row r="6381" customFormat="false" ht="15" hidden="false" customHeight="false" outlineLevel="0" collapsed="false">
      <c r="A6381" s="3" t="s">
        <v>464</v>
      </c>
      <c r="B6381" s="4" t="s">
        <v>31</v>
      </c>
      <c r="C6381" s="4" t="n">
        <v>6</v>
      </c>
      <c r="D6381" s="4" t="s">
        <v>102</v>
      </c>
      <c r="E6381" s="3" t="s">
        <v>467</v>
      </c>
      <c r="F6381" s="4" t="str">
        <f aca="false">IF(I6381&gt;J6381,"Y","N")</f>
        <v>N</v>
      </c>
      <c r="G6381" s="3" t="s">
        <v>466</v>
      </c>
      <c r="H6381" s="3" t="s">
        <v>42</v>
      </c>
      <c r="I6381" s="4" t="n">
        <v>4</v>
      </c>
      <c r="J6381" s="4" t="n">
        <f aca="false">LEN(E6381)-LEN(SUBSTITUTE(E6381,",",""))+1</f>
        <v>4</v>
      </c>
      <c r="K6381" s="3" t="str">
        <f aca="false">IFERROR(INDEX('Teacher Lookup'!$B$2:$B$200,MATCH(A6381,'Teacher Lookup'!$A$2:$A$200,0)),"")</f>
        <v>CHEUK Laurence</v>
      </c>
    </row>
    <row r="6382" customFormat="false" ht="15" hidden="false" customHeight="false" outlineLevel="0" collapsed="false">
      <c r="A6382" s="3" t="s">
        <v>464</v>
      </c>
      <c r="B6382" s="4" t="s">
        <v>31</v>
      </c>
      <c r="C6382" s="4" t="n">
        <v>6</v>
      </c>
      <c r="D6382" s="4" t="s">
        <v>107</v>
      </c>
      <c r="E6382" s="3" t="s">
        <v>467</v>
      </c>
      <c r="F6382" s="4" t="str">
        <f aca="false">IF(I6382&gt;J6382,"Y","N")</f>
        <v>N</v>
      </c>
      <c r="G6382" s="3" t="s">
        <v>466</v>
      </c>
      <c r="H6382" s="3" t="s">
        <v>42</v>
      </c>
      <c r="I6382" s="4" t="n">
        <v>4</v>
      </c>
      <c r="J6382" s="4" t="n">
        <f aca="false">LEN(E6382)-LEN(SUBSTITUTE(E6382,",",""))+1</f>
        <v>4</v>
      </c>
      <c r="K6382" s="3" t="str">
        <f aca="false">IFERROR(INDEX('Teacher Lookup'!$B$2:$B$200,MATCH(A6382,'Teacher Lookup'!$A$2:$A$200,0)),"")</f>
        <v>CHEUK Laurence</v>
      </c>
    </row>
    <row r="6383" customFormat="false" ht="15" hidden="false" customHeight="false" outlineLevel="0" collapsed="false">
      <c r="A6383" s="3" t="s">
        <v>464</v>
      </c>
      <c r="B6383" s="4" t="s">
        <v>31</v>
      </c>
      <c r="C6383" s="4" t="n">
        <v>7</v>
      </c>
      <c r="D6383" s="4" t="s">
        <v>102</v>
      </c>
      <c r="E6383" s="3" t="s">
        <v>467</v>
      </c>
      <c r="F6383" s="4" t="str">
        <f aca="false">IF(I6383&gt;J6383,"Y","N")</f>
        <v>N</v>
      </c>
      <c r="G6383" s="3" t="s">
        <v>466</v>
      </c>
      <c r="H6383" s="3" t="s">
        <v>39</v>
      </c>
      <c r="I6383" s="4" t="n">
        <v>4</v>
      </c>
      <c r="J6383" s="4" t="n">
        <f aca="false">LEN(E6383)-LEN(SUBSTITUTE(E6383,",",""))+1</f>
        <v>4</v>
      </c>
      <c r="K6383" s="3" t="str">
        <f aca="false">IFERROR(INDEX('Teacher Lookup'!$B$2:$B$200,MATCH(A6383,'Teacher Lookup'!$A$2:$A$200,0)),"")</f>
        <v>CHEUK Laurence</v>
      </c>
    </row>
    <row r="6384" customFormat="false" ht="15" hidden="false" customHeight="false" outlineLevel="0" collapsed="false">
      <c r="A6384" s="3" t="s">
        <v>464</v>
      </c>
      <c r="B6384" s="4" t="s">
        <v>31</v>
      </c>
      <c r="C6384" s="4" t="n">
        <v>7</v>
      </c>
      <c r="D6384" s="4" t="s">
        <v>107</v>
      </c>
      <c r="E6384" s="3" t="s">
        <v>467</v>
      </c>
      <c r="F6384" s="4" t="str">
        <f aca="false">IF(I6384&gt;J6384,"Y","N")</f>
        <v>N</v>
      </c>
      <c r="G6384" s="3" t="s">
        <v>466</v>
      </c>
      <c r="H6384" s="3" t="s">
        <v>39</v>
      </c>
      <c r="I6384" s="4" t="n">
        <v>4</v>
      </c>
      <c r="J6384" s="4" t="n">
        <f aca="false">LEN(E6384)-LEN(SUBSTITUTE(E6384,",",""))+1</f>
        <v>4</v>
      </c>
      <c r="K6384" s="3" t="str">
        <f aca="false">IFERROR(INDEX('Teacher Lookup'!$B$2:$B$200,MATCH(A6384,'Teacher Lookup'!$A$2:$A$200,0)),"")</f>
        <v>CHEUK Laurence</v>
      </c>
    </row>
    <row r="6385" customFormat="false" ht="15" hidden="false" customHeight="false" outlineLevel="0" collapsed="false">
      <c r="A6385" s="3" t="s">
        <v>464</v>
      </c>
      <c r="B6385" s="4" t="s">
        <v>40</v>
      </c>
      <c r="C6385" s="4" t="n">
        <v>2</v>
      </c>
      <c r="D6385" s="4" t="s">
        <v>102</v>
      </c>
      <c r="E6385" s="3" t="s">
        <v>468</v>
      </c>
      <c r="F6385" s="4" t="str">
        <f aca="false">IF(I6385&gt;J6385,"Y","N")</f>
        <v>N</v>
      </c>
      <c r="G6385" s="3" t="s">
        <v>466</v>
      </c>
      <c r="H6385" s="3" t="s">
        <v>21</v>
      </c>
      <c r="I6385" s="4" t="n">
        <v>4</v>
      </c>
      <c r="J6385" s="4" t="n">
        <f aca="false">LEN(E6385)-LEN(SUBSTITUTE(E6385,",",""))+1</f>
        <v>4</v>
      </c>
      <c r="K6385" s="3" t="str">
        <f aca="false">IFERROR(INDEX('Teacher Lookup'!$B$2:$B$200,MATCH(A6385,'Teacher Lookup'!$A$2:$A$200,0)),"")</f>
        <v>CHEUK Laurence</v>
      </c>
    </row>
    <row r="6386" customFormat="false" ht="15" hidden="false" customHeight="false" outlineLevel="0" collapsed="false">
      <c r="A6386" s="3" t="s">
        <v>464</v>
      </c>
      <c r="B6386" s="4" t="s">
        <v>40</v>
      </c>
      <c r="C6386" s="4" t="n">
        <v>2</v>
      </c>
      <c r="D6386" s="4" t="s">
        <v>107</v>
      </c>
      <c r="E6386" s="3" t="s">
        <v>468</v>
      </c>
      <c r="F6386" s="4" t="str">
        <f aca="false">IF(I6386&gt;J6386,"Y","N")</f>
        <v>N</v>
      </c>
      <c r="G6386" s="3" t="s">
        <v>466</v>
      </c>
      <c r="H6386" s="3" t="s">
        <v>21</v>
      </c>
      <c r="I6386" s="4" t="n">
        <v>4</v>
      </c>
      <c r="J6386" s="4" t="n">
        <f aca="false">LEN(E6386)-LEN(SUBSTITUTE(E6386,",",""))+1</f>
        <v>4</v>
      </c>
      <c r="K6386" s="3" t="str">
        <f aca="false">IFERROR(INDEX('Teacher Lookup'!$B$2:$B$200,MATCH(A6386,'Teacher Lookup'!$A$2:$A$200,0)),"")</f>
        <v>CHEUK Laurence</v>
      </c>
    </row>
    <row r="6387" customFormat="false" ht="15" hidden="false" customHeight="false" outlineLevel="0" collapsed="false">
      <c r="A6387" s="3" t="s">
        <v>464</v>
      </c>
      <c r="B6387" s="4" t="s">
        <v>40</v>
      </c>
      <c r="C6387" s="4" t="n">
        <v>3</v>
      </c>
      <c r="D6387" s="4" t="s">
        <v>24</v>
      </c>
      <c r="E6387" s="3" t="s">
        <v>275</v>
      </c>
      <c r="F6387" s="4" t="str">
        <f aca="false">IF(I6387&gt;J6387,"Y","N")</f>
        <v>Y</v>
      </c>
      <c r="G6387" s="3" t="s">
        <v>272</v>
      </c>
      <c r="H6387" s="3" t="s">
        <v>26</v>
      </c>
      <c r="I6387" s="4" t="n">
        <v>8</v>
      </c>
      <c r="J6387" s="4" t="n">
        <f aca="false">LEN(E6387)-LEN(SUBSTITUTE(E6387,",",""))+1</f>
        <v>7</v>
      </c>
      <c r="K6387" s="3" t="str">
        <f aca="false">IFERROR(INDEX('Teacher Lookup'!$B$2:$B$200,MATCH(A6387,'Teacher Lookup'!$A$2:$A$200,0)),"")</f>
        <v>CHEUK Laurence</v>
      </c>
    </row>
    <row r="6388" customFormat="false" ht="15" hidden="false" customHeight="false" outlineLevel="0" collapsed="false">
      <c r="A6388" s="3" t="s">
        <v>464</v>
      </c>
      <c r="B6388" s="4" t="s">
        <v>40</v>
      </c>
      <c r="C6388" s="4" t="n">
        <v>3</v>
      </c>
      <c r="D6388" s="4" t="s">
        <v>27</v>
      </c>
      <c r="E6388" s="3" t="s">
        <v>275</v>
      </c>
      <c r="F6388" s="4" t="str">
        <f aca="false">IF(I6388&gt;J6388,"Y","N")</f>
        <v>Y</v>
      </c>
      <c r="G6388" s="3" t="s">
        <v>272</v>
      </c>
      <c r="H6388" s="3" t="s">
        <v>26</v>
      </c>
      <c r="I6388" s="4" t="n">
        <v>8</v>
      </c>
      <c r="J6388" s="4" t="n">
        <f aca="false">LEN(E6388)-LEN(SUBSTITUTE(E6388,",",""))+1</f>
        <v>7</v>
      </c>
      <c r="K6388" s="3" t="str">
        <f aca="false">IFERROR(INDEX('Teacher Lookup'!$B$2:$B$200,MATCH(A6388,'Teacher Lookup'!$A$2:$A$200,0)),"")</f>
        <v>CHEUK Laurence</v>
      </c>
    </row>
    <row r="6389" customFormat="false" ht="15" hidden="false" customHeight="false" outlineLevel="0" collapsed="false">
      <c r="A6389" s="3" t="s">
        <v>464</v>
      </c>
      <c r="B6389" s="4" t="s">
        <v>40</v>
      </c>
      <c r="C6389" s="4" t="n">
        <v>3</v>
      </c>
      <c r="D6389" s="4" t="s">
        <v>28</v>
      </c>
      <c r="E6389" s="3" t="s">
        <v>275</v>
      </c>
      <c r="F6389" s="4" t="str">
        <f aca="false">IF(I6389&gt;J6389,"Y","N")</f>
        <v>Y</v>
      </c>
      <c r="G6389" s="3" t="s">
        <v>272</v>
      </c>
      <c r="H6389" s="3" t="s">
        <v>26</v>
      </c>
      <c r="I6389" s="4" t="n">
        <v>8</v>
      </c>
      <c r="J6389" s="4" t="n">
        <f aca="false">LEN(E6389)-LEN(SUBSTITUTE(E6389,",",""))+1</f>
        <v>7</v>
      </c>
      <c r="K6389" s="3" t="str">
        <f aca="false">IFERROR(INDEX('Teacher Lookup'!$B$2:$B$200,MATCH(A6389,'Teacher Lookup'!$A$2:$A$200,0)),"")</f>
        <v>CHEUK Laurence</v>
      </c>
    </row>
    <row r="6390" customFormat="false" ht="15" hidden="false" customHeight="false" outlineLevel="0" collapsed="false">
      <c r="A6390" s="3" t="s">
        <v>464</v>
      </c>
      <c r="B6390" s="4" t="s">
        <v>40</v>
      </c>
      <c r="C6390" s="4" t="n">
        <v>3</v>
      </c>
      <c r="D6390" s="4" t="s">
        <v>29</v>
      </c>
      <c r="E6390" s="3" t="s">
        <v>275</v>
      </c>
      <c r="F6390" s="4" t="str">
        <f aca="false">IF(I6390&gt;J6390,"Y","N")</f>
        <v>Y</v>
      </c>
      <c r="G6390" s="3" t="s">
        <v>272</v>
      </c>
      <c r="H6390" s="3" t="s">
        <v>26</v>
      </c>
      <c r="I6390" s="4" t="n">
        <v>8</v>
      </c>
      <c r="J6390" s="4" t="n">
        <f aca="false">LEN(E6390)-LEN(SUBSTITUTE(E6390,",",""))+1</f>
        <v>7</v>
      </c>
      <c r="K6390" s="3" t="str">
        <f aca="false">IFERROR(INDEX('Teacher Lookup'!$B$2:$B$200,MATCH(A6390,'Teacher Lookup'!$A$2:$A$200,0)),"")</f>
        <v>CHEUK Laurence</v>
      </c>
    </row>
    <row r="6391" customFormat="false" ht="15" hidden="false" customHeight="false" outlineLevel="0" collapsed="false">
      <c r="A6391" s="3" t="s">
        <v>464</v>
      </c>
      <c r="B6391" s="4" t="s">
        <v>40</v>
      </c>
      <c r="C6391" s="4" t="n">
        <v>3</v>
      </c>
      <c r="D6391" s="4" t="s">
        <v>30</v>
      </c>
      <c r="E6391" s="3" t="s">
        <v>275</v>
      </c>
      <c r="F6391" s="4" t="str">
        <f aca="false">IF(I6391&gt;J6391,"Y","N")</f>
        <v>Y</v>
      </c>
      <c r="G6391" s="3" t="s">
        <v>272</v>
      </c>
      <c r="H6391" s="3" t="s">
        <v>26</v>
      </c>
      <c r="I6391" s="4" t="n">
        <v>8</v>
      </c>
      <c r="J6391" s="4" t="n">
        <f aca="false">LEN(E6391)-LEN(SUBSTITUTE(E6391,",",""))+1</f>
        <v>7</v>
      </c>
      <c r="K6391" s="3" t="str">
        <f aca="false">IFERROR(INDEX('Teacher Lookup'!$B$2:$B$200,MATCH(A6391,'Teacher Lookup'!$A$2:$A$200,0)),"")</f>
        <v>CHEUK Laurence</v>
      </c>
    </row>
    <row r="6392" customFormat="false" ht="15" hidden="false" customHeight="false" outlineLevel="0" collapsed="false">
      <c r="A6392" s="3" t="s">
        <v>464</v>
      </c>
      <c r="B6392" s="4" t="s">
        <v>40</v>
      </c>
      <c r="C6392" s="4" t="n">
        <v>4</v>
      </c>
      <c r="D6392" s="4" t="s">
        <v>76</v>
      </c>
      <c r="E6392" s="3" t="s">
        <v>297</v>
      </c>
      <c r="F6392" s="4" t="str">
        <f aca="false">IF(I6392&gt;J6392,"Y","N")</f>
        <v>Y</v>
      </c>
      <c r="G6392" s="3" t="s">
        <v>296</v>
      </c>
      <c r="H6392" s="3" t="s">
        <v>34</v>
      </c>
      <c r="I6392" s="4" t="n">
        <v>2</v>
      </c>
      <c r="J6392" s="4" t="n">
        <f aca="false">LEN(E6392)-LEN(SUBSTITUTE(E6392,",",""))+1</f>
        <v>1</v>
      </c>
      <c r="K6392" s="3" t="str">
        <f aca="false">IFERROR(INDEX('Teacher Lookup'!$B$2:$B$200,MATCH(A6392,'Teacher Lookup'!$A$2:$A$200,0)),"")</f>
        <v>CHEUK Laurence</v>
      </c>
    </row>
    <row r="6393" customFormat="false" ht="15" hidden="false" customHeight="false" outlineLevel="0" collapsed="false">
      <c r="A6393" s="3" t="s">
        <v>464</v>
      </c>
      <c r="B6393" s="4" t="s">
        <v>44</v>
      </c>
      <c r="C6393" s="4" t="n">
        <v>4</v>
      </c>
      <c r="D6393" s="4" t="s">
        <v>102</v>
      </c>
      <c r="E6393" s="3" t="s">
        <v>469</v>
      </c>
      <c r="F6393" s="4" t="str">
        <f aca="false">IF(I6393&gt;J6393,"Y","N")</f>
        <v>N</v>
      </c>
      <c r="G6393" s="3" t="s">
        <v>466</v>
      </c>
      <c r="H6393" s="3" t="s">
        <v>34</v>
      </c>
      <c r="I6393" s="4" t="n">
        <v>4</v>
      </c>
      <c r="J6393" s="4" t="n">
        <f aca="false">LEN(E6393)-LEN(SUBSTITUTE(E6393,",",""))+1</f>
        <v>4</v>
      </c>
      <c r="K6393" s="3" t="str">
        <f aca="false">IFERROR(INDEX('Teacher Lookup'!$B$2:$B$200,MATCH(A6393,'Teacher Lookup'!$A$2:$A$200,0)),"")</f>
        <v>CHEUK Laurence</v>
      </c>
    </row>
    <row r="6394" customFormat="false" ht="15" hidden="false" customHeight="false" outlineLevel="0" collapsed="false">
      <c r="A6394" s="3" t="s">
        <v>464</v>
      </c>
      <c r="B6394" s="4" t="s">
        <v>44</v>
      </c>
      <c r="C6394" s="4" t="n">
        <v>4</v>
      </c>
      <c r="D6394" s="4" t="s">
        <v>107</v>
      </c>
      <c r="E6394" s="3" t="s">
        <v>469</v>
      </c>
      <c r="F6394" s="4" t="str">
        <f aca="false">IF(I6394&gt;J6394,"Y","N")</f>
        <v>N</v>
      </c>
      <c r="G6394" s="3" t="s">
        <v>466</v>
      </c>
      <c r="H6394" s="3" t="s">
        <v>34</v>
      </c>
      <c r="I6394" s="4" t="n">
        <v>4</v>
      </c>
      <c r="J6394" s="4" t="n">
        <f aca="false">LEN(E6394)-LEN(SUBSTITUTE(E6394,",",""))+1</f>
        <v>4</v>
      </c>
      <c r="K6394" s="3" t="str">
        <f aca="false">IFERROR(INDEX('Teacher Lookup'!$B$2:$B$200,MATCH(A6394,'Teacher Lookup'!$A$2:$A$200,0)),"")</f>
        <v>CHEUK Laurence</v>
      </c>
    </row>
    <row r="6395" customFormat="false" ht="15" hidden="false" customHeight="false" outlineLevel="0" collapsed="false">
      <c r="A6395" s="3" t="s">
        <v>464</v>
      </c>
      <c r="B6395" s="4" t="s">
        <v>44</v>
      </c>
      <c r="C6395" s="4" t="n">
        <v>5</v>
      </c>
      <c r="D6395" s="4" t="s">
        <v>70</v>
      </c>
      <c r="E6395" s="3" t="s">
        <v>81</v>
      </c>
      <c r="F6395" s="4" t="str">
        <f aca="false">IF(I6395&gt;J6395,"Y","N")</f>
        <v>Y</v>
      </c>
      <c r="G6395" s="3" t="s">
        <v>36</v>
      </c>
      <c r="H6395" s="3" t="s">
        <v>37</v>
      </c>
      <c r="I6395" s="4" t="n">
        <v>15</v>
      </c>
      <c r="J6395" s="4" t="n">
        <f aca="false">LEN(E6395)-LEN(SUBSTITUTE(E6395,",",""))+1</f>
        <v>7</v>
      </c>
      <c r="K6395" s="3" t="str">
        <f aca="false">IFERROR(INDEX('Teacher Lookup'!$B$2:$B$200,MATCH(A6395,'Teacher Lookup'!$A$2:$A$200,0)),"")</f>
        <v>CHEUK Laurence</v>
      </c>
    </row>
    <row r="6396" customFormat="false" ht="15" hidden="false" customHeight="false" outlineLevel="0" collapsed="false">
      <c r="A6396" s="3" t="s">
        <v>464</v>
      </c>
      <c r="B6396" s="4" t="s">
        <v>44</v>
      </c>
      <c r="C6396" s="4" t="n">
        <v>5</v>
      </c>
      <c r="D6396" s="4" t="s">
        <v>73</v>
      </c>
      <c r="E6396" s="3" t="s">
        <v>81</v>
      </c>
      <c r="F6396" s="4" t="str">
        <f aca="false">IF(I6396&gt;J6396,"Y","N")</f>
        <v>Y</v>
      </c>
      <c r="G6396" s="3" t="s">
        <v>36</v>
      </c>
      <c r="H6396" s="3" t="s">
        <v>37</v>
      </c>
      <c r="I6396" s="4" t="n">
        <v>15</v>
      </c>
      <c r="J6396" s="4" t="n">
        <f aca="false">LEN(E6396)-LEN(SUBSTITUTE(E6396,",",""))+1</f>
        <v>7</v>
      </c>
      <c r="K6396" s="3" t="str">
        <f aca="false">IFERROR(INDEX('Teacher Lookup'!$B$2:$B$200,MATCH(A6396,'Teacher Lookup'!$A$2:$A$200,0)),"")</f>
        <v>CHEUK Laurence</v>
      </c>
    </row>
    <row r="6397" customFormat="false" ht="15" hidden="false" customHeight="false" outlineLevel="0" collapsed="false">
      <c r="A6397" s="3" t="s">
        <v>464</v>
      </c>
      <c r="B6397" s="4" t="s">
        <v>44</v>
      </c>
      <c r="C6397" s="4" t="n">
        <v>5</v>
      </c>
      <c r="D6397" s="4" t="s">
        <v>74</v>
      </c>
      <c r="E6397" s="3" t="s">
        <v>81</v>
      </c>
      <c r="F6397" s="4" t="str">
        <f aca="false">IF(I6397&gt;J6397,"Y","N")</f>
        <v>Y</v>
      </c>
      <c r="G6397" s="3" t="s">
        <v>36</v>
      </c>
      <c r="H6397" s="3" t="s">
        <v>37</v>
      </c>
      <c r="I6397" s="4" t="n">
        <v>15</v>
      </c>
      <c r="J6397" s="4" t="n">
        <f aca="false">LEN(E6397)-LEN(SUBSTITUTE(E6397,",",""))+1</f>
        <v>7</v>
      </c>
      <c r="K6397" s="3" t="str">
        <f aca="false">IFERROR(INDEX('Teacher Lookup'!$B$2:$B$200,MATCH(A6397,'Teacher Lookup'!$A$2:$A$200,0)),"")</f>
        <v>CHEUK Laurence</v>
      </c>
    </row>
    <row r="6398" customFormat="false" ht="15" hidden="false" customHeight="false" outlineLevel="0" collapsed="false">
      <c r="A6398" s="3" t="s">
        <v>464</v>
      </c>
      <c r="B6398" s="4" t="s">
        <v>44</v>
      </c>
      <c r="C6398" s="4" t="n">
        <v>5</v>
      </c>
      <c r="D6398" s="4" t="s">
        <v>76</v>
      </c>
      <c r="E6398" s="3" t="s">
        <v>81</v>
      </c>
      <c r="F6398" s="4" t="str">
        <f aca="false">IF(I6398&gt;J6398,"Y","N")</f>
        <v>Y</v>
      </c>
      <c r="G6398" s="3" t="s">
        <v>36</v>
      </c>
      <c r="H6398" s="3" t="s">
        <v>37</v>
      </c>
      <c r="I6398" s="4" t="n">
        <v>15</v>
      </c>
      <c r="J6398" s="4" t="n">
        <f aca="false">LEN(E6398)-LEN(SUBSTITUTE(E6398,",",""))+1</f>
        <v>7</v>
      </c>
      <c r="K6398" s="3" t="str">
        <f aca="false">IFERROR(INDEX('Teacher Lookup'!$B$2:$B$200,MATCH(A6398,'Teacher Lookup'!$A$2:$A$200,0)),"")</f>
        <v>CHEUK Laurence</v>
      </c>
    </row>
    <row r="6399" customFormat="false" ht="15" hidden="false" customHeight="false" outlineLevel="0" collapsed="false">
      <c r="A6399" s="3" t="s">
        <v>464</v>
      </c>
      <c r="B6399" s="4" t="s">
        <v>44</v>
      </c>
      <c r="C6399" s="4" t="n">
        <v>5</v>
      </c>
      <c r="D6399" s="4" t="s">
        <v>78</v>
      </c>
      <c r="E6399" s="3" t="s">
        <v>81</v>
      </c>
      <c r="F6399" s="4" t="str">
        <f aca="false">IF(I6399&gt;J6399,"Y","N")</f>
        <v>Y</v>
      </c>
      <c r="G6399" s="3" t="s">
        <v>36</v>
      </c>
      <c r="H6399" s="3" t="s">
        <v>37</v>
      </c>
      <c r="I6399" s="4" t="n">
        <v>15</v>
      </c>
      <c r="J6399" s="4" t="n">
        <f aca="false">LEN(E6399)-LEN(SUBSTITUTE(E6399,",",""))+1</f>
        <v>7</v>
      </c>
      <c r="K6399" s="3" t="str">
        <f aca="false">IFERROR(INDEX('Teacher Lookup'!$B$2:$B$200,MATCH(A6399,'Teacher Lookup'!$A$2:$A$200,0)),"")</f>
        <v>CHEUK Laurence</v>
      </c>
    </row>
    <row r="6400" customFormat="false" ht="15" hidden="false" customHeight="false" outlineLevel="0" collapsed="false">
      <c r="A6400" s="3" t="s">
        <v>464</v>
      </c>
      <c r="B6400" s="4" t="s">
        <v>44</v>
      </c>
      <c r="C6400" s="4" t="n">
        <v>5</v>
      </c>
      <c r="D6400" s="4" t="s">
        <v>79</v>
      </c>
      <c r="E6400" s="3" t="s">
        <v>81</v>
      </c>
      <c r="F6400" s="4" t="str">
        <f aca="false">IF(I6400&gt;J6400,"Y","N")</f>
        <v>Y</v>
      </c>
      <c r="G6400" s="3" t="s">
        <v>36</v>
      </c>
      <c r="H6400" s="3" t="s">
        <v>37</v>
      </c>
      <c r="I6400" s="4" t="n">
        <v>15</v>
      </c>
      <c r="J6400" s="4" t="n">
        <f aca="false">LEN(E6400)-LEN(SUBSTITUTE(E6400,",",""))+1</f>
        <v>7</v>
      </c>
      <c r="K6400" s="3" t="str">
        <f aca="false">IFERROR(INDEX('Teacher Lookup'!$B$2:$B$200,MATCH(A6400,'Teacher Lookup'!$A$2:$A$200,0)),"")</f>
        <v>CHEUK Laurence</v>
      </c>
    </row>
    <row r="6401" customFormat="false" ht="15" hidden="false" customHeight="false" outlineLevel="0" collapsed="false">
      <c r="A6401" s="3" t="s">
        <v>464</v>
      </c>
      <c r="B6401" s="4" t="s">
        <v>47</v>
      </c>
      <c r="C6401" s="4" t="n">
        <v>1</v>
      </c>
      <c r="D6401" s="4" t="s">
        <v>24</v>
      </c>
      <c r="E6401" s="3" t="s">
        <v>277</v>
      </c>
      <c r="F6401" s="4" t="str">
        <f aca="false">IF(I6401&gt;J6401,"Y","N")</f>
        <v>Y</v>
      </c>
      <c r="G6401" s="3" t="s">
        <v>272</v>
      </c>
      <c r="H6401" s="3" t="s">
        <v>16</v>
      </c>
      <c r="I6401" s="4" t="n">
        <v>8</v>
      </c>
      <c r="J6401" s="4" t="n">
        <f aca="false">LEN(E6401)-LEN(SUBSTITUTE(E6401,",",""))+1</f>
        <v>7</v>
      </c>
      <c r="K6401" s="3" t="str">
        <f aca="false">IFERROR(INDEX('Teacher Lookup'!$B$2:$B$200,MATCH(A6401,'Teacher Lookup'!$A$2:$A$200,0)),"")</f>
        <v>CHEUK Laurence</v>
      </c>
    </row>
    <row r="6402" customFormat="false" ht="15" hidden="false" customHeight="false" outlineLevel="0" collapsed="false">
      <c r="A6402" s="3" t="s">
        <v>464</v>
      </c>
      <c r="B6402" s="4" t="s">
        <v>47</v>
      </c>
      <c r="C6402" s="4" t="n">
        <v>1</v>
      </c>
      <c r="D6402" s="4" t="s">
        <v>27</v>
      </c>
      <c r="E6402" s="3" t="s">
        <v>277</v>
      </c>
      <c r="F6402" s="4" t="str">
        <f aca="false">IF(I6402&gt;J6402,"Y","N")</f>
        <v>Y</v>
      </c>
      <c r="G6402" s="3" t="s">
        <v>272</v>
      </c>
      <c r="H6402" s="3" t="s">
        <v>16</v>
      </c>
      <c r="I6402" s="4" t="n">
        <v>8</v>
      </c>
      <c r="J6402" s="4" t="n">
        <f aca="false">LEN(E6402)-LEN(SUBSTITUTE(E6402,",",""))+1</f>
        <v>7</v>
      </c>
      <c r="K6402" s="3" t="str">
        <f aca="false">IFERROR(INDEX('Teacher Lookup'!$B$2:$B$200,MATCH(A6402,'Teacher Lookup'!$A$2:$A$200,0)),"")</f>
        <v>CHEUK Laurence</v>
      </c>
    </row>
    <row r="6403" customFormat="false" ht="15" hidden="false" customHeight="false" outlineLevel="0" collapsed="false">
      <c r="A6403" s="3" t="s">
        <v>464</v>
      </c>
      <c r="B6403" s="4" t="s">
        <v>47</v>
      </c>
      <c r="C6403" s="4" t="n">
        <v>1</v>
      </c>
      <c r="D6403" s="4" t="s">
        <v>28</v>
      </c>
      <c r="E6403" s="3" t="s">
        <v>277</v>
      </c>
      <c r="F6403" s="4" t="str">
        <f aca="false">IF(I6403&gt;J6403,"Y","N")</f>
        <v>Y</v>
      </c>
      <c r="G6403" s="3" t="s">
        <v>272</v>
      </c>
      <c r="H6403" s="3" t="s">
        <v>16</v>
      </c>
      <c r="I6403" s="4" t="n">
        <v>8</v>
      </c>
      <c r="J6403" s="4" t="n">
        <f aca="false">LEN(E6403)-LEN(SUBSTITUTE(E6403,",",""))+1</f>
        <v>7</v>
      </c>
      <c r="K6403" s="3" t="str">
        <f aca="false">IFERROR(INDEX('Teacher Lookup'!$B$2:$B$200,MATCH(A6403,'Teacher Lookup'!$A$2:$A$200,0)),"")</f>
        <v>CHEUK Laurence</v>
      </c>
    </row>
    <row r="6404" customFormat="false" ht="15" hidden="false" customHeight="false" outlineLevel="0" collapsed="false">
      <c r="A6404" s="3" t="s">
        <v>464</v>
      </c>
      <c r="B6404" s="4" t="s">
        <v>47</v>
      </c>
      <c r="C6404" s="4" t="n">
        <v>1</v>
      </c>
      <c r="D6404" s="4" t="s">
        <v>29</v>
      </c>
      <c r="E6404" s="3" t="s">
        <v>277</v>
      </c>
      <c r="F6404" s="4" t="str">
        <f aca="false">IF(I6404&gt;J6404,"Y","N")</f>
        <v>Y</v>
      </c>
      <c r="G6404" s="3" t="s">
        <v>272</v>
      </c>
      <c r="H6404" s="3" t="s">
        <v>16</v>
      </c>
      <c r="I6404" s="4" t="n">
        <v>8</v>
      </c>
      <c r="J6404" s="4" t="n">
        <f aca="false">LEN(E6404)-LEN(SUBSTITUTE(E6404,",",""))+1</f>
        <v>7</v>
      </c>
      <c r="K6404" s="3" t="str">
        <f aca="false">IFERROR(INDEX('Teacher Lookup'!$B$2:$B$200,MATCH(A6404,'Teacher Lookup'!$A$2:$A$200,0)),"")</f>
        <v>CHEUK Laurence</v>
      </c>
    </row>
    <row r="6405" customFormat="false" ht="15" hidden="false" customHeight="false" outlineLevel="0" collapsed="false">
      <c r="A6405" s="3" t="s">
        <v>464</v>
      </c>
      <c r="B6405" s="4" t="s">
        <v>47</v>
      </c>
      <c r="C6405" s="4" t="n">
        <v>1</v>
      </c>
      <c r="D6405" s="4" t="s">
        <v>30</v>
      </c>
      <c r="E6405" s="3" t="s">
        <v>277</v>
      </c>
      <c r="F6405" s="4" t="str">
        <f aca="false">IF(I6405&gt;J6405,"Y","N")</f>
        <v>Y</v>
      </c>
      <c r="G6405" s="3" t="s">
        <v>272</v>
      </c>
      <c r="H6405" s="3" t="s">
        <v>16</v>
      </c>
      <c r="I6405" s="4" t="n">
        <v>8</v>
      </c>
      <c r="J6405" s="4" t="n">
        <f aca="false">LEN(E6405)-LEN(SUBSTITUTE(E6405,",",""))+1</f>
        <v>7</v>
      </c>
      <c r="K6405" s="3" t="str">
        <f aca="false">IFERROR(INDEX('Teacher Lookup'!$B$2:$B$200,MATCH(A6405,'Teacher Lookup'!$A$2:$A$200,0)),"")</f>
        <v>CHEUK Laurence</v>
      </c>
    </row>
    <row r="6406" customFormat="false" ht="15" hidden="false" customHeight="false" outlineLevel="0" collapsed="false">
      <c r="A6406" s="3" t="s">
        <v>464</v>
      </c>
      <c r="B6406" s="4" t="s">
        <v>47</v>
      </c>
      <c r="C6406" s="4" t="n">
        <v>2</v>
      </c>
      <c r="D6406" s="4" t="s">
        <v>70</v>
      </c>
      <c r="E6406" s="3" t="s">
        <v>297</v>
      </c>
      <c r="F6406" s="4" t="str">
        <f aca="false">IF(I6406&gt;J6406,"Y","N")</f>
        <v>Y</v>
      </c>
      <c r="G6406" s="3" t="s">
        <v>296</v>
      </c>
      <c r="H6406" s="3" t="s">
        <v>21</v>
      </c>
      <c r="I6406" s="4" t="n">
        <v>2</v>
      </c>
      <c r="J6406" s="4" t="n">
        <f aca="false">LEN(E6406)-LEN(SUBSTITUTE(E6406,",",""))+1</f>
        <v>1</v>
      </c>
      <c r="K6406" s="3" t="str">
        <f aca="false">IFERROR(INDEX('Teacher Lookup'!$B$2:$B$200,MATCH(A6406,'Teacher Lookup'!$A$2:$A$200,0)),"")</f>
        <v>CHEUK Laurence</v>
      </c>
    </row>
    <row r="6407" customFormat="false" ht="15" hidden="false" customHeight="false" outlineLevel="0" collapsed="false">
      <c r="A6407" s="3" t="s">
        <v>464</v>
      </c>
      <c r="B6407" s="4" t="s">
        <v>47</v>
      </c>
      <c r="C6407" s="4" t="n">
        <v>5</v>
      </c>
      <c r="D6407" s="4" t="s">
        <v>76</v>
      </c>
      <c r="E6407" s="3" t="s">
        <v>297</v>
      </c>
      <c r="F6407" s="4" t="str">
        <f aca="false">IF(I6407&gt;J6407,"Y","N")</f>
        <v>Y</v>
      </c>
      <c r="G6407" s="3" t="s">
        <v>296</v>
      </c>
      <c r="H6407" s="3" t="s">
        <v>37</v>
      </c>
      <c r="I6407" s="4" t="n">
        <v>2</v>
      </c>
      <c r="J6407" s="4" t="n">
        <f aca="false">LEN(E6407)-LEN(SUBSTITUTE(E6407,",",""))+1</f>
        <v>1</v>
      </c>
      <c r="K6407" s="3" t="str">
        <f aca="false">IFERROR(INDEX('Teacher Lookup'!$B$2:$B$200,MATCH(A6407,'Teacher Lookup'!$A$2:$A$200,0)),"")</f>
        <v>CHEUK Laurence</v>
      </c>
    </row>
    <row r="6408" customFormat="false" ht="15" hidden="false" customHeight="false" outlineLevel="0" collapsed="false">
      <c r="A6408" s="3" t="s">
        <v>464</v>
      </c>
      <c r="B6408" s="4" t="s">
        <v>50</v>
      </c>
      <c r="C6408" s="4" t="n">
        <v>4</v>
      </c>
      <c r="D6408" s="4" t="s">
        <v>24</v>
      </c>
      <c r="E6408" s="3" t="s">
        <v>278</v>
      </c>
      <c r="F6408" s="4" t="str">
        <f aca="false">IF(I6408&gt;J6408,"Y","N")</f>
        <v>Y</v>
      </c>
      <c r="G6408" s="3" t="s">
        <v>272</v>
      </c>
      <c r="H6408" s="3" t="s">
        <v>34</v>
      </c>
      <c r="I6408" s="4" t="n">
        <v>8</v>
      </c>
      <c r="J6408" s="4" t="n">
        <f aca="false">LEN(E6408)-LEN(SUBSTITUTE(E6408,",",""))+1</f>
        <v>7</v>
      </c>
      <c r="K6408" s="3" t="str">
        <f aca="false">IFERROR(INDEX('Teacher Lookup'!$B$2:$B$200,MATCH(A6408,'Teacher Lookup'!$A$2:$A$200,0)),"")</f>
        <v>CHEUK Laurence</v>
      </c>
    </row>
    <row r="6409" customFormat="false" ht="15" hidden="false" customHeight="false" outlineLevel="0" collapsed="false">
      <c r="A6409" s="3" t="s">
        <v>464</v>
      </c>
      <c r="B6409" s="4" t="s">
        <v>50</v>
      </c>
      <c r="C6409" s="4" t="n">
        <v>4</v>
      </c>
      <c r="D6409" s="4" t="s">
        <v>27</v>
      </c>
      <c r="E6409" s="3" t="s">
        <v>278</v>
      </c>
      <c r="F6409" s="4" t="str">
        <f aca="false">IF(I6409&gt;J6409,"Y","N")</f>
        <v>Y</v>
      </c>
      <c r="G6409" s="3" t="s">
        <v>272</v>
      </c>
      <c r="H6409" s="3" t="s">
        <v>34</v>
      </c>
      <c r="I6409" s="4" t="n">
        <v>8</v>
      </c>
      <c r="J6409" s="4" t="n">
        <f aca="false">LEN(E6409)-LEN(SUBSTITUTE(E6409,",",""))+1</f>
        <v>7</v>
      </c>
      <c r="K6409" s="3" t="str">
        <f aca="false">IFERROR(INDEX('Teacher Lookup'!$B$2:$B$200,MATCH(A6409,'Teacher Lookup'!$A$2:$A$200,0)),"")</f>
        <v>CHEUK Laurence</v>
      </c>
    </row>
    <row r="6410" customFormat="false" ht="15" hidden="false" customHeight="false" outlineLevel="0" collapsed="false">
      <c r="A6410" s="3" t="s">
        <v>464</v>
      </c>
      <c r="B6410" s="4" t="s">
        <v>50</v>
      </c>
      <c r="C6410" s="4" t="n">
        <v>4</v>
      </c>
      <c r="D6410" s="4" t="s">
        <v>28</v>
      </c>
      <c r="E6410" s="3" t="s">
        <v>278</v>
      </c>
      <c r="F6410" s="4" t="str">
        <f aca="false">IF(I6410&gt;J6410,"Y","N")</f>
        <v>Y</v>
      </c>
      <c r="G6410" s="3" t="s">
        <v>272</v>
      </c>
      <c r="H6410" s="3" t="s">
        <v>34</v>
      </c>
      <c r="I6410" s="4" t="n">
        <v>8</v>
      </c>
      <c r="J6410" s="4" t="n">
        <f aca="false">LEN(E6410)-LEN(SUBSTITUTE(E6410,",",""))+1</f>
        <v>7</v>
      </c>
      <c r="K6410" s="3" t="str">
        <f aca="false">IFERROR(INDEX('Teacher Lookup'!$B$2:$B$200,MATCH(A6410,'Teacher Lookup'!$A$2:$A$200,0)),"")</f>
        <v>CHEUK Laurence</v>
      </c>
    </row>
    <row r="6411" customFormat="false" ht="15" hidden="false" customHeight="false" outlineLevel="0" collapsed="false">
      <c r="A6411" s="3" t="s">
        <v>464</v>
      </c>
      <c r="B6411" s="4" t="s">
        <v>50</v>
      </c>
      <c r="C6411" s="4" t="n">
        <v>4</v>
      </c>
      <c r="D6411" s="4" t="s">
        <v>29</v>
      </c>
      <c r="E6411" s="3" t="s">
        <v>278</v>
      </c>
      <c r="F6411" s="4" t="str">
        <f aca="false">IF(I6411&gt;J6411,"Y","N")</f>
        <v>Y</v>
      </c>
      <c r="G6411" s="3" t="s">
        <v>272</v>
      </c>
      <c r="H6411" s="3" t="s">
        <v>34</v>
      </c>
      <c r="I6411" s="4" t="n">
        <v>8</v>
      </c>
      <c r="J6411" s="4" t="n">
        <f aca="false">LEN(E6411)-LEN(SUBSTITUTE(E6411,",",""))+1</f>
        <v>7</v>
      </c>
      <c r="K6411" s="3" t="str">
        <f aca="false">IFERROR(INDEX('Teacher Lookup'!$B$2:$B$200,MATCH(A6411,'Teacher Lookup'!$A$2:$A$200,0)),"")</f>
        <v>CHEUK Laurence</v>
      </c>
    </row>
    <row r="6412" customFormat="false" ht="15" hidden="false" customHeight="false" outlineLevel="0" collapsed="false">
      <c r="A6412" s="3" t="s">
        <v>464</v>
      </c>
      <c r="B6412" s="4" t="s">
        <v>50</v>
      </c>
      <c r="C6412" s="4" t="n">
        <v>4</v>
      </c>
      <c r="D6412" s="4" t="s">
        <v>30</v>
      </c>
      <c r="E6412" s="3" t="s">
        <v>278</v>
      </c>
      <c r="F6412" s="4" t="str">
        <f aca="false">IF(I6412&gt;J6412,"Y","N")</f>
        <v>Y</v>
      </c>
      <c r="G6412" s="3" t="s">
        <v>272</v>
      </c>
      <c r="H6412" s="3" t="s">
        <v>34</v>
      </c>
      <c r="I6412" s="4" t="n">
        <v>8</v>
      </c>
      <c r="J6412" s="4" t="n">
        <f aca="false">LEN(E6412)-LEN(SUBSTITUTE(E6412,",",""))+1</f>
        <v>7</v>
      </c>
      <c r="K6412" s="3" t="str">
        <f aca="false">IFERROR(INDEX('Teacher Lookup'!$B$2:$B$200,MATCH(A6412,'Teacher Lookup'!$A$2:$A$200,0)),"")</f>
        <v>CHEUK Laurence</v>
      </c>
    </row>
    <row r="6413" customFormat="false" ht="15" hidden="false" customHeight="false" outlineLevel="0" collapsed="false">
      <c r="A6413" s="3" t="s">
        <v>464</v>
      </c>
      <c r="B6413" s="4" t="s">
        <v>50</v>
      </c>
      <c r="C6413" s="4" t="n">
        <v>5</v>
      </c>
      <c r="D6413" s="4" t="s">
        <v>24</v>
      </c>
      <c r="E6413" s="3" t="s">
        <v>278</v>
      </c>
      <c r="F6413" s="4" t="str">
        <f aca="false">IF(I6413&gt;J6413,"Y","N")</f>
        <v>Y</v>
      </c>
      <c r="G6413" s="3" t="s">
        <v>272</v>
      </c>
      <c r="H6413" s="3" t="s">
        <v>37</v>
      </c>
      <c r="I6413" s="4" t="n">
        <v>8</v>
      </c>
      <c r="J6413" s="4" t="n">
        <f aca="false">LEN(E6413)-LEN(SUBSTITUTE(E6413,",",""))+1</f>
        <v>7</v>
      </c>
      <c r="K6413" s="3" t="str">
        <f aca="false">IFERROR(INDEX('Teacher Lookup'!$B$2:$B$200,MATCH(A6413,'Teacher Lookup'!$A$2:$A$200,0)),"")</f>
        <v>CHEUK Laurence</v>
      </c>
    </row>
    <row r="6414" customFormat="false" ht="15" hidden="false" customHeight="false" outlineLevel="0" collapsed="false">
      <c r="A6414" s="3" t="s">
        <v>464</v>
      </c>
      <c r="B6414" s="4" t="s">
        <v>50</v>
      </c>
      <c r="C6414" s="4" t="n">
        <v>5</v>
      </c>
      <c r="D6414" s="4" t="s">
        <v>27</v>
      </c>
      <c r="E6414" s="3" t="s">
        <v>278</v>
      </c>
      <c r="F6414" s="4" t="str">
        <f aca="false">IF(I6414&gt;J6414,"Y","N")</f>
        <v>Y</v>
      </c>
      <c r="G6414" s="3" t="s">
        <v>272</v>
      </c>
      <c r="H6414" s="3" t="s">
        <v>37</v>
      </c>
      <c r="I6414" s="4" t="n">
        <v>8</v>
      </c>
      <c r="J6414" s="4" t="n">
        <f aca="false">LEN(E6414)-LEN(SUBSTITUTE(E6414,",",""))+1</f>
        <v>7</v>
      </c>
      <c r="K6414" s="3" t="str">
        <f aca="false">IFERROR(INDEX('Teacher Lookup'!$B$2:$B$200,MATCH(A6414,'Teacher Lookup'!$A$2:$A$200,0)),"")</f>
        <v>CHEUK Laurence</v>
      </c>
    </row>
    <row r="6415" customFormat="false" ht="15" hidden="false" customHeight="false" outlineLevel="0" collapsed="false">
      <c r="A6415" s="3" t="s">
        <v>464</v>
      </c>
      <c r="B6415" s="4" t="s">
        <v>50</v>
      </c>
      <c r="C6415" s="4" t="n">
        <v>5</v>
      </c>
      <c r="D6415" s="4" t="s">
        <v>28</v>
      </c>
      <c r="E6415" s="3" t="s">
        <v>278</v>
      </c>
      <c r="F6415" s="4" t="str">
        <f aca="false">IF(I6415&gt;J6415,"Y","N")</f>
        <v>Y</v>
      </c>
      <c r="G6415" s="3" t="s">
        <v>272</v>
      </c>
      <c r="H6415" s="3" t="s">
        <v>37</v>
      </c>
      <c r="I6415" s="4" t="n">
        <v>8</v>
      </c>
      <c r="J6415" s="4" t="n">
        <f aca="false">LEN(E6415)-LEN(SUBSTITUTE(E6415,",",""))+1</f>
        <v>7</v>
      </c>
      <c r="K6415" s="3" t="str">
        <f aca="false">IFERROR(INDEX('Teacher Lookup'!$B$2:$B$200,MATCH(A6415,'Teacher Lookup'!$A$2:$A$200,0)),"")</f>
        <v>CHEUK Laurence</v>
      </c>
    </row>
    <row r="6416" customFormat="false" ht="15" hidden="false" customHeight="false" outlineLevel="0" collapsed="false">
      <c r="A6416" s="3" t="s">
        <v>464</v>
      </c>
      <c r="B6416" s="4" t="s">
        <v>50</v>
      </c>
      <c r="C6416" s="4" t="n">
        <v>5</v>
      </c>
      <c r="D6416" s="4" t="s">
        <v>29</v>
      </c>
      <c r="E6416" s="3" t="s">
        <v>278</v>
      </c>
      <c r="F6416" s="4" t="str">
        <f aca="false">IF(I6416&gt;J6416,"Y","N")</f>
        <v>Y</v>
      </c>
      <c r="G6416" s="3" t="s">
        <v>272</v>
      </c>
      <c r="H6416" s="3" t="s">
        <v>37</v>
      </c>
      <c r="I6416" s="4" t="n">
        <v>8</v>
      </c>
      <c r="J6416" s="4" t="n">
        <f aca="false">LEN(E6416)-LEN(SUBSTITUTE(E6416,",",""))+1</f>
        <v>7</v>
      </c>
      <c r="K6416" s="3" t="str">
        <f aca="false">IFERROR(INDEX('Teacher Lookup'!$B$2:$B$200,MATCH(A6416,'Teacher Lookup'!$A$2:$A$200,0)),"")</f>
        <v>CHEUK Laurence</v>
      </c>
    </row>
    <row r="6417" customFormat="false" ht="15" hidden="false" customHeight="false" outlineLevel="0" collapsed="false">
      <c r="A6417" s="3" t="s">
        <v>464</v>
      </c>
      <c r="B6417" s="4" t="s">
        <v>50</v>
      </c>
      <c r="C6417" s="4" t="n">
        <v>5</v>
      </c>
      <c r="D6417" s="4" t="s">
        <v>30</v>
      </c>
      <c r="E6417" s="3" t="s">
        <v>278</v>
      </c>
      <c r="F6417" s="4" t="str">
        <f aca="false">IF(I6417&gt;J6417,"Y","N")</f>
        <v>Y</v>
      </c>
      <c r="G6417" s="3" t="s">
        <v>272</v>
      </c>
      <c r="H6417" s="3" t="s">
        <v>37</v>
      </c>
      <c r="I6417" s="4" t="n">
        <v>8</v>
      </c>
      <c r="J6417" s="4" t="n">
        <f aca="false">LEN(E6417)-LEN(SUBSTITUTE(E6417,",",""))+1</f>
        <v>7</v>
      </c>
      <c r="K6417" s="3" t="str">
        <f aca="false">IFERROR(INDEX('Teacher Lookup'!$B$2:$B$200,MATCH(A6417,'Teacher Lookup'!$A$2:$A$200,0)),"")</f>
        <v>CHEUK Laurence</v>
      </c>
    </row>
    <row r="6418" customFormat="false" ht="15" hidden="false" customHeight="false" outlineLevel="0" collapsed="false">
      <c r="A6418" s="3" t="s">
        <v>464</v>
      </c>
      <c r="B6418" s="4" t="s">
        <v>50</v>
      </c>
      <c r="C6418" s="4" t="n">
        <v>6</v>
      </c>
      <c r="D6418" s="4" t="s">
        <v>102</v>
      </c>
      <c r="E6418" s="3" t="s">
        <v>470</v>
      </c>
      <c r="F6418" s="4" t="str">
        <f aca="false">IF(I6418&gt;J6418,"Y","N")</f>
        <v>N</v>
      </c>
      <c r="G6418" s="3" t="s">
        <v>466</v>
      </c>
      <c r="H6418" s="3" t="s">
        <v>42</v>
      </c>
      <c r="I6418" s="4" t="n">
        <v>4</v>
      </c>
      <c r="J6418" s="4" t="n">
        <f aca="false">LEN(E6418)-LEN(SUBSTITUTE(E6418,",",""))+1</f>
        <v>4</v>
      </c>
      <c r="K6418" s="3" t="str">
        <f aca="false">IFERROR(INDEX('Teacher Lookup'!$B$2:$B$200,MATCH(A6418,'Teacher Lookup'!$A$2:$A$200,0)),"")</f>
        <v>CHEUK Laurence</v>
      </c>
    </row>
    <row r="6419" customFormat="false" ht="15" hidden="false" customHeight="false" outlineLevel="0" collapsed="false">
      <c r="A6419" s="3" t="s">
        <v>464</v>
      </c>
      <c r="B6419" s="4" t="s">
        <v>50</v>
      </c>
      <c r="C6419" s="4" t="n">
        <v>6</v>
      </c>
      <c r="D6419" s="4" t="s">
        <v>107</v>
      </c>
      <c r="E6419" s="3" t="s">
        <v>470</v>
      </c>
      <c r="F6419" s="4" t="str">
        <f aca="false">IF(I6419&gt;J6419,"Y","N")</f>
        <v>N</v>
      </c>
      <c r="G6419" s="3" t="s">
        <v>466</v>
      </c>
      <c r="H6419" s="3" t="s">
        <v>42</v>
      </c>
      <c r="I6419" s="4" t="n">
        <v>4</v>
      </c>
      <c r="J6419" s="4" t="n">
        <f aca="false">LEN(E6419)-LEN(SUBSTITUTE(E6419,",",""))+1</f>
        <v>4</v>
      </c>
      <c r="K6419" s="3" t="str">
        <f aca="false">IFERROR(INDEX('Teacher Lookup'!$B$2:$B$200,MATCH(A6419,'Teacher Lookup'!$A$2:$A$200,0)),"")</f>
        <v>CHEUK Laurence</v>
      </c>
    </row>
    <row r="6420" customFormat="false" ht="15" hidden="false" customHeight="false" outlineLevel="0" collapsed="false">
      <c r="A6420" s="3" t="s">
        <v>464</v>
      </c>
      <c r="B6420" s="4" t="s">
        <v>60</v>
      </c>
      <c r="C6420" s="4" t="n">
        <v>2</v>
      </c>
      <c r="D6420" s="4" t="s">
        <v>24</v>
      </c>
      <c r="E6420" s="3" t="s">
        <v>280</v>
      </c>
      <c r="F6420" s="4" t="str">
        <f aca="false">IF(I6420&gt;J6420,"Y","N")</f>
        <v>Y</v>
      </c>
      <c r="G6420" s="3" t="s">
        <v>272</v>
      </c>
      <c r="H6420" s="3" t="s">
        <v>21</v>
      </c>
      <c r="I6420" s="4" t="n">
        <v>8</v>
      </c>
      <c r="J6420" s="4" t="n">
        <f aca="false">LEN(E6420)-LEN(SUBSTITUTE(E6420,",",""))+1</f>
        <v>7</v>
      </c>
      <c r="K6420" s="3" t="str">
        <f aca="false">IFERROR(INDEX('Teacher Lookup'!$B$2:$B$200,MATCH(A6420,'Teacher Lookup'!$A$2:$A$200,0)),"")</f>
        <v>CHEUK Laurence</v>
      </c>
    </row>
    <row r="6421" customFormat="false" ht="15" hidden="false" customHeight="false" outlineLevel="0" collapsed="false">
      <c r="A6421" s="3" t="s">
        <v>464</v>
      </c>
      <c r="B6421" s="4" t="s">
        <v>60</v>
      </c>
      <c r="C6421" s="4" t="n">
        <v>2</v>
      </c>
      <c r="D6421" s="4" t="s">
        <v>27</v>
      </c>
      <c r="E6421" s="3" t="s">
        <v>280</v>
      </c>
      <c r="F6421" s="4" t="str">
        <f aca="false">IF(I6421&gt;J6421,"Y","N")</f>
        <v>Y</v>
      </c>
      <c r="G6421" s="3" t="s">
        <v>272</v>
      </c>
      <c r="H6421" s="3" t="s">
        <v>21</v>
      </c>
      <c r="I6421" s="4" t="n">
        <v>8</v>
      </c>
      <c r="J6421" s="4" t="n">
        <f aca="false">LEN(E6421)-LEN(SUBSTITUTE(E6421,",",""))+1</f>
        <v>7</v>
      </c>
      <c r="K6421" s="3" t="str">
        <f aca="false">IFERROR(INDEX('Teacher Lookup'!$B$2:$B$200,MATCH(A6421,'Teacher Lookup'!$A$2:$A$200,0)),"")</f>
        <v>CHEUK Laurence</v>
      </c>
    </row>
    <row r="6422" customFormat="false" ht="15" hidden="false" customHeight="false" outlineLevel="0" collapsed="false">
      <c r="A6422" s="3" t="s">
        <v>464</v>
      </c>
      <c r="B6422" s="4" t="s">
        <v>60</v>
      </c>
      <c r="C6422" s="4" t="n">
        <v>2</v>
      </c>
      <c r="D6422" s="4" t="s">
        <v>28</v>
      </c>
      <c r="E6422" s="3" t="s">
        <v>280</v>
      </c>
      <c r="F6422" s="4" t="str">
        <f aca="false">IF(I6422&gt;J6422,"Y","N")</f>
        <v>Y</v>
      </c>
      <c r="G6422" s="3" t="s">
        <v>272</v>
      </c>
      <c r="H6422" s="3" t="s">
        <v>21</v>
      </c>
      <c r="I6422" s="4" t="n">
        <v>8</v>
      </c>
      <c r="J6422" s="4" t="n">
        <f aca="false">LEN(E6422)-LEN(SUBSTITUTE(E6422,",",""))+1</f>
        <v>7</v>
      </c>
      <c r="K6422" s="3" t="str">
        <f aca="false">IFERROR(INDEX('Teacher Lookup'!$B$2:$B$200,MATCH(A6422,'Teacher Lookup'!$A$2:$A$200,0)),"")</f>
        <v>CHEUK Laurence</v>
      </c>
    </row>
    <row r="6423" customFormat="false" ht="15" hidden="false" customHeight="false" outlineLevel="0" collapsed="false">
      <c r="A6423" s="3" t="s">
        <v>464</v>
      </c>
      <c r="B6423" s="4" t="s">
        <v>60</v>
      </c>
      <c r="C6423" s="4" t="n">
        <v>2</v>
      </c>
      <c r="D6423" s="4" t="s">
        <v>29</v>
      </c>
      <c r="E6423" s="3" t="s">
        <v>280</v>
      </c>
      <c r="F6423" s="4" t="str">
        <f aca="false">IF(I6423&gt;J6423,"Y","N")</f>
        <v>Y</v>
      </c>
      <c r="G6423" s="3" t="s">
        <v>272</v>
      </c>
      <c r="H6423" s="3" t="s">
        <v>21</v>
      </c>
      <c r="I6423" s="4" t="n">
        <v>8</v>
      </c>
      <c r="J6423" s="4" t="n">
        <f aca="false">LEN(E6423)-LEN(SUBSTITUTE(E6423,",",""))+1</f>
        <v>7</v>
      </c>
      <c r="K6423" s="3" t="str">
        <f aca="false">IFERROR(INDEX('Teacher Lookup'!$B$2:$B$200,MATCH(A6423,'Teacher Lookup'!$A$2:$A$200,0)),"")</f>
        <v>CHEUK Laurence</v>
      </c>
    </row>
    <row r="6424" customFormat="false" ht="15" hidden="false" customHeight="false" outlineLevel="0" collapsed="false">
      <c r="A6424" s="3" t="s">
        <v>464</v>
      </c>
      <c r="B6424" s="4" t="s">
        <v>60</v>
      </c>
      <c r="C6424" s="4" t="n">
        <v>2</v>
      </c>
      <c r="D6424" s="4" t="s">
        <v>30</v>
      </c>
      <c r="E6424" s="3" t="s">
        <v>280</v>
      </c>
      <c r="F6424" s="4" t="str">
        <f aca="false">IF(I6424&gt;J6424,"Y","N")</f>
        <v>Y</v>
      </c>
      <c r="G6424" s="3" t="s">
        <v>272</v>
      </c>
      <c r="H6424" s="3" t="s">
        <v>21</v>
      </c>
      <c r="I6424" s="4" t="n">
        <v>8</v>
      </c>
      <c r="J6424" s="4" t="n">
        <f aca="false">LEN(E6424)-LEN(SUBSTITUTE(E6424,",",""))+1</f>
        <v>7</v>
      </c>
      <c r="K6424" s="3" t="str">
        <f aca="false">IFERROR(INDEX('Teacher Lookup'!$B$2:$B$200,MATCH(A6424,'Teacher Lookup'!$A$2:$A$200,0)),"")</f>
        <v>CHEUK Laurence</v>
      </c>
    </row>
    <row r="6425" customFormat="false" ht="15" hidden="false" customHeight="false" outlineLevel="0" collapsed="false">
      <c r="A6425" s="3" t="s">
        <v>464</v>
      </c>
      <c r="B6425" s="4" t="s">
        <v>60</v>
      </c>
      <c r="C6425" s="4" t="n">
        <v>5</v>
      </c>
      <c r="D6425" s="4" t="s">
        <v>70</v>
      </c>
      <c r="E6425" s="3" t="s">
        <v>81</v>
      </c>
      <c r="F6425" s="4" t="str">
        <f aca="false">IF(I6425&gt;J6425,"Y","N")</f>
        <v>Y</v>
      </c>
      <c r="G6425" s="3" t="s">
        <v>36</v>
      </c>
      <c r="H6425" s="3" t="s">
        <v>37</v>
      </c>
      <c r="I6425" s="4" t="n">
        <v>15</v>
      </c>
      <c r="J6425" s="4" t="n">
        <f aca="false">LEN(E6425)-LEN(SUBSTITUTE(E6425,",",""))+1</f>
        <v>7</v>
      </c>
      <c r="K6425" s="3" t="str">
        <f aca="false">IFERROR(INDEX('Teacher Lookup'!$B$2:$B$200,MATCH(A6425,'Teacher Lookup'!$A$2:$A$200,0)),"")</f>
        <v>CHEUK Laurence</v>
      </c>
    </row>
    <row r="6426" customFormat="false" ht="15" hidden="false" customHeight="false" outlineLevel="0" collapsed="false">
      <c r="A6426" s="3" t="s">
        <v>464</v>
      </c>
      <c r="B6426" s="4" t="s">
        <v>60</v>
      </c>
      <c r="C6426" s="4" t="n">
        <v>5</v>
      </c>
      <c r="D6426" s="4" t="s">
        <v>73</v>
      </c>
      <c r="E6426" s="3" t="s">
        <v>81</v>
      </c>
      <c r="F6426" s="4" t="str">
        <f aca="false">IF(I6426&gt;J6426,"Y","N")</f>
        <v>Y</v>
      </c>
      <c r="G6426" s="3" t="s">
        <v>36</v>
      </c>
      <c r="H6426" s="3" t="s">
        <v>37</v>
      </c>
      <c r="I6426" s="4" t="n">
        <v>15</v>
      </c>
      <c r="J6426" s="4" t="n">
        <f aca="false">LEN(E6426)-LEN(SUBSTITUTE(E6426,",",""))+1</f>
        <v>7</v>
      </c>
      <c r="K6426" s="3" t="str">
        <f aca="false">IFERROR(INDEX('Teacher Lookup'!$B$2:$B$200,MATCH(A6426,'Teacher Lookup'!$A$2:$A$200,0)),"")</f>
        <v>CHEUK Laurence</v>
      </c>
    </row>
    <row r="6427" customFormat="false" ht="15" hidden="false" customHeight="false" outlineLevel="0" collapsed="false">
      <c r="A6427" s="3" t="s">
        <v>464</v>
      </c>
      <c r="B6427" s="4" t="s">
        <v>60</v>
      </c>
      <c r="C6427" s="4" t="n">
        <v>5</v>
      </c>
      <c r="D6427" s="4" t="s">
        <v>74</v>
      </c>
      <c r="E6427" s="3" t="s">
        <v>81</v>
      </c>
      <c r="F6427" s="4" t="str">
        <f aca="false">IF(I6427&gt;J6427,"Y","N")</f>
        <v>Y</v>
      </c>
      <c r="G6427" s="3" t="s">
        <v>36</v>
      </c>
      <c r="H6427" s="3" t="s">
        <v>37</v>
      </c>
      <c r="I6427" s="4" t="n">
        <v>15</v>
      </c>
      <c r="J6427" s="4" t="n">
        <f aca="false">LEN(E6427)-LEN(SUBSTITUTE(E6427,",",""))+1</f>
        <v>7</v>
      </c>
      <c r="K6427" s="3" t="str">
        <f aca="false">IFERROR(INDEX('Teacher Lookup'!$B$2:$B$200,MATCH(A6427,'Teacher Lookup'!$A$2:$A$200,0)),"")</f>
        <v>CHEUK Laurence</v>
      </c>
    </row>
    <row r="6428" customFormat="false" ht="15" hidden="false" customHeight="false" outlineLevel="0" collapsed="false">
      <c r="A6428" s="3" t="s">
        <v>464</v>
      </c>
      <c r="B6428" s="4" t="s">
        <v>60</v>
      </c>
      <c r="C6428" s="4" t="n">
        <v>5</v>
      </c>
      <c r="D6428" s="4" t="s">
        <v>76</v>
      </c>
      <c r="E6428" s="3" t="s">
        <v>81</v>
      </c>
      <c r="F6428" s="4" t="str">
        <f aca="false">IF(I6428&gt;J6428,"Y","N")</f>
        <v>Y</v>
      </c>
      <c r="G6428" s="3" t="s">
        <v>36</v>
      </c>
      <c r="H6428" s="3" t="s">
        <v>37</v>
      </c>
      <c r="I6428" s="4" t="n">
        <v>15</v>
      </c>
      <c r="J6428" s="4" t="n">
        <f aca="false">LEN(E6428)-LEN(SUBSTITUTE(E6428,",",""))+1</f>
        <v>7</v>
      </c>
      <c r="K6428" s="3" t="str">
        <f aca="false">IFERROR(INDEX('Teacher Lookup'!$B$2:$B$200,MATCH(A6428,'Teacher Lookup'!$A$2:$A$200,0)),"")</f>
        <v>CHEUK Laurence</v>
      </c>
    </row>
    <row r="6429" customFormat="false" ht="15" hidden="false" customHeight="false" outlineLevel="0" collapsed="false">
      <c r="A6429" s="3" t="s">
        <v>464</v>
      </c>
      <c r="B6429" s="4" t="s">
        <v>60</v>
      </c>
      <c r="C6429" s="4" t="n">
        <v>5</v>
      </c>
      <c r="D6429" s="4" t="s">
        <v>78</v>
      </c>
      <c r="E6429" s="3" t="s">
        <v>81</v>
      </c>
      <c r="F6429" s="4" t="str">
        <f aca="false">IF(I6429&gt;J6429,"Y","N")</f>
        <v>Y</v>
      </c>
      <c r="G6429" s="3" t="s">
        <v>36</v>
      </c>
      <c r="H6429" s="3" t="s">
        <v>37</v>
      </c>
      <c r="I6429" s="4" t="n">
        <v>15</v>
      </c>
      <c r="J6429" s="4" t="n">
        <f aca="false">LEN(E6429)-LEN(SUBSTITUTE(E6429,",",""))+1</f>
        <v>7</v>
      </c>
      <c r="K6429" s="3" t="str">
        <f aca="false">IFERROR(INDEX('Teacher Lookup'!$B$2:$B$200,MATCH(A6429,'Teacher Lookup'!$A$2:$A$200,0)),"")</f>
        <v>CHEUK Laurence</v>
      </c>
    </row>
    <row r="6430" customFormat="false" ht="15" hidden="false" customHeight="false" outlineLevel="0" collapsed="false">
      <c r="A6430" s="3" t="s">
        <v>464</v>
      </c>
      <c r="B6430" s="4" t="s">
        <v>60</v>
      </c>
      <c r="C6430" s="4" t="n">
        <v>5</v>
      </c>
      <c r="D6430" s="4" t="s">
        <v>79</v>
      </c>
      <c r="E6430" s="3" t="s">
        <v>81</v>
      </c>
      <c r="F6430" s="4" t="str">
        <f aca="false">IF(I6430&gt;J6430,"Y","N")</f>
        <v>Y</v>
      </c>
      <c r="G6430" s="3" t="s">
        <v>36</v>
      </c>
      <c r="H6430" s="3" t="s">
        <v>37</v>
      </c>
      <c r="I6430" s="4" t="n">
        <v>15</v>
      </c>
      <c r="J6430" s="4" t="n">
        <f aca="false">LEN(E6430)-LEN(SUBSTITUTE(E6430,",",""))+1</f>
        <v>7</v>
      </c>
      <c r="K6430" s="3" t="str">
        <f aca="false">IFERROR(INDEX('Teacher Lookup'!$B$2:$B$200,MATCH(A6430,'Teacher Lookup'!$A$2:$A$200,0)),"")</f>
        <v>CHEUK Laurence</v>
      </c>
    </row>
    <row r="6431" customFormat="false" ht="15" hidden="false" customHeight="false" outlineLevel="0" collapsed="false">
      <c r="A6431" s="3" t="s">
        <v>464</v>
      </c>
      <c r="B6431" s="4" t="s">
        <v>63</v>
      </c>
      <c r="C6431" s="4" t="n">
        <v>2</v>
      </c>
      <c r="D6431" s="4" t="s">
        <v>24</v>
      </c>
      <c r="E6431" s="3" t="s">
        <v>271</v>
      </c>
      <c r="F6431" s="4" t="str">
        <f aca="false">IF(I6431&gt;J6431,"Y","N")</f>
        <v>Y</v>
      </c>
      <c r="G6431" s="3" t="s">
        <v>272</v>
      </c>
      <c r="H6431" s="3" t="s">
        <v>21</v>
      </c>
      <c r="I6431" s="4" t="n">
        <v>8</v>
      </c>
      <c r="J6431" s="4" t="n">
        <f aca="false">LEN(E6431)-LEN(SUBSTITUTE(E6431,",",""))+1</f>
        <v>7</v>
      </c>
      <c r="K6431" s="3" t="str">
        <f aca="false">IFERROR(INDEX('Teacher Lookup'!$B$2:$B$200,MATCH(A6431,'Teacher Lookup'!$A$2:$A$200,0)),"")</f>
        <v>CHEUK Laurence</v>
      </c>
    </row>
    <row r="6432" customFormat="false" ht="15" hidden="false" customHeight="false" outlineLevel="0" collapsed="false">
      <c r="A6432" s="3" t="s">
        <v>464</v>
      </c>
      <c r="B6432" s="4" t="s">
        <v>63</v>
      </c>
      <c r="C6432" s="4" t="n">
        <v>2</v>
      </c>
      <c r="D6432" s="4" t="s">
        <v>27</v>
      </c>
      <c r="E6432" s="3" t="s">
        <v>271</v>
      </c>
      <c r="F6432" s="4" t="str">
        <f aca="false">IF(I6432&gt;J6432,"Y","N")</f>
        <v>Y</v>
      </c>
      <c r="G6432" s="3" t="s">
        <v>272</v>
      </c>
      <c r="H6432" s="3" t="s">
        <v>21</v>
      </c>
      <c r="I6432" s="4" t="n">
        <v>8</v>
      </c>
      <c r="J6432" s="4" t="n">
        <f aca="false">LEN(E6432)-LEN(SUBSTITUTE(E6432,",",""))+1</f>
        <v>7</v>
      </c>
      <c r="K6432" s="3" t="str">
        <f aca="false">IFERROR(INDEX('Teacher Lookup'!$B$2:$B$200,MATCH(A6432,'Teacher Lookup'!$A$2:$A$200,0)),"")</f>
        <v>CHEUK Laurence</v>
      </c>
    </row>
    <row r="6433" customFormat="false" ht="15" hidden="false" customHeight="false" outlineLevel="0" collapsed="false">
      <c r="A6433" s="3" t="s">
        <v>464</v>
      </c>
      <c r="B6433" s="4" t="s">
        <v>63</v>
      </c>
      <c r="C6433" s="4" t="n">
        <v>2</v>
      </c>
      <c r="D6433" s="4" t="s">
        <v>28</v>
      </c>
      <c r="E6433" s="3" t="s">
        <v>271</v>
      </c>
      <c r="F6433" s="4" t="str">
        <f aca="false">IF(I6433&gt;J6433,"Y","N")</f>
        <v>Y</v>
      </c>
      <c r="G6433" s="3" t="s">
        <v>272</v>
      </c>
      <c r="H6433" s="3" t="s">
        <v>21</v>
      </c>
      <c r="I6433" s="4" t="n">
        <v>8</v>
      </c>
      <c r="J6433" s="4" t="n">
        <f aca="false">LEN(E6433)-LEN(SUBSTITUTE(E6433,",",""))+1</f>
        <v>7</v>
      </c>
      <c r="K6433" s="3" t="str">
        <f aca="false">IFERROR(INDEX('Teacher Lookup'!$B$2:$B$200,MATCH(A6433,'Teacher Lookup'!$A$2:$A$200,0)),"")</f>
        <v>CHEUK Laurence</v>
      </c>
    </row>
    <row r="6434" customFormat="false" ht="15" hidden="false" customHeight="false" outlineLevel="0" collapsed="false">
      <c r="A6434" s="3" t="s">
        <v>464</v>
      </c>
      <c r="B6434" s="4" t="s">
        <v>63</v>
      </c>
      <c r="C6434" s="4" t="n">
        <v>2</v>
      </c>
      <c r="D6434" s="4" t="s">
        <v>29</v>
      </c>
      <c r="E6434" s="3" t="s">
        <v>271</v>
      </c>
      <c r="F6434" s="4" t="str">
        <f aca="false">IF(I6434&gt;J6434,"Y","N")</f>
        <v>Y</v>
      </c>
      <c r="G6434" s="3" t="s">
        <v>272</v>
      </c>
      <c r="H6434" s="3" t="s">
        <v>21</v>
      </c>
      <c r="I6434" s="4" t="n">
        <v>8</v>
      </c>
      <c r="J6434" s="4" t="n">
        <f aca="false">LEN(E6434)-LEN(SUBSTITUTE(E6434,",",""))+1</f>
        <v>7</v>
      </c>
      <c r="K6434" s="3" t="str">
        <f aca="false">IFERROR(INDEX('Teacher Lookup'!$B$2:$B$200,MATCH(A6434,'Teacher Lookup'!$A$2:$A$200,0)),"")</f>
        <v>CHEUK Laurence</v>
      </c>
    </row>
    <row r="6435" customFormat="false" ht="15" hidden="false" customHeight="false" outlineLevel="0" collapsed="false">
      <c r="A6435" s="3" t="s">
        <v>464</v>
      </c>
      <c r="B6435" s="4" t="s">
        <v>63</v>
      </c>
      <c r="C6435" s="4" t="n">
        <v>2</v>
      </c>
      <c r="D6435" s="4" t="s">
        <v>30</v>
      </c>
      <c r="E6435" s="3" t="s">
        <v>271</v>
      </c>
      <c r="F6435" s="4" t="str">
        <f aca="false">IF(I6435&gt;J6435,"Y","N")</f>
        <v>Y</v>
      </c>
      <c r="G6435" s="3" t="s">
        <v>272</v>
      </c>
      <c r="H6435" s="3" t="s">
        <v>21</v>
      </c>
      <c r="I6435" s="4" t="n">
        <v>8</v>
      </c>
      <c r="J6435" s="4" t="n">
        <f aca="false">LEN(E6435)-LEN(SUBSTITUTE(E6435,",",""))+1</f>
        <v>7</v>
      </c>
      <c r="K6435" s="3" t="str">
        <f aca="false">IFERROR(INDEX('Teacher Lookup'!$B$2:$B$200,MATCH(A6435,'Teacher Lookup'!$A$2:$A$200,0)),"")</f>
        <v>CHEUK Laurence</v>
      </c>
    </row>
    <row r="6436" customFormat="false" ht="15" hidden="false" customHeight="false" outlineLevel="0" collapsed="false">
      <c r="A6436" s="3" t="s">
        <v>464</v>
      </c>
      <c r="B6436" s="4" t="s">
        <v>63</v>
      </c>
      <c r="C6436" s="4" t="n">
        <v>3</v>
      </c>
      <c r="D6436" s="4" t="s">
        <v>102</v>
      </c>
      <c r="E6436" s="3" t="s">
        <v>471</v>
      </c>
      <c r="F6436" s="4" t="str">
        <f aca="false">IF(I6436&gt;J6436,"Y","N")</f>
        <v>N</v>
      </c>
      <c r="G6436" s="3" t="s">
        <v>466</v>
      </c>
      <c r="H6436" s="3" t="s">
        <v>26</v>
      </c>
      <c r="I6436" s="4" t="n">
        <v>4</v>
      </c>
      <c r="J6436" s="4" t="n">
        <f aca="false">LEN(E6436)-LEN(SUBSTITUTE(E6436,",",""))+1</f>
        <v>4</v>
      </c>
      <c r="K6436" s="3" t="str">
        <f aca="false">IFERROR(INDEX('Teacher Lookup'!$B$2:$B$200,MATCH(A6436,'Teacher Lookup'!$A$2:$A$200,0)),"")</f>
        <v>CHEUK Laurence</v>
      </c>
    </row>
    <row r="6437" customFormat="false" ht="15" hidden="false" customHeight="false" outlineLevel="0" collapsed="false">
      <c r="A6437" s="3" t="s">
        <v>464</v>
      </c>
      <c r="B6437" s="4" t="s">
        <v>63</v>
      </c>
      <c r="C6437" s="4" t="n">
        <v>3</v>
      </c>
      <c r="D6437" s="4" t="s">
        <v>107</v>
      </c>
      <c r="E6437" s="3" t="s">
        <v>471</v>
      </c>
      <c r="F6437" s="4" t="str">
        <f aca="false">IF(I6437&gt;J6437,"Y","N")</f>
        <v>N</v>
      </c>
      <c r="G6437" s="3" t="s">
        <v>466</v>
      </c>
      <c r="H6437" s="3" t="s">
        <v>26</v>
      </c>
      <c r="I6437" s="4" t="n">
        <v>4</v>
      </c>
      <c r="J6437" s="4" t="n">
        <f aca="false">LEN(E6437)-LEN(SUBSTITUTE(E6437,",",""))+1</f>
        <v>4</v>
      </c>
      <c r="K6437" s="3" t="str">
        <f aca="false">IFERROR(INDEX('Teacher Lookup'!$B$2:$B$200,MATCH(A6437,'Teacher Lookup'!$A$2:$A$200,0)),"")</f>
        <v>CHEUK Laurence</v>
      </c>
    </row>
    <row r="6438" customFormat="false" ht="15" hidden="false" customHeight="false" outlineLevel="0" collapsed="false">
      <c r="A6438" s="3" t="s">
        <v>464</v>
      </c>
      <c r="B6438" s="4" t="s">
        <v>63</v>
      </c>
      <c r="C6438" s="4" t="n">
        <v>4</v>
      </c>
      <c r="D6438" s="4" t="s">
        <v>70</v>
      </c>
      <c r="E6438" s="3" t="s">
        <v>213</v>
      </c>
      <c r="F6438" s="4" t="str">
        <f aca="false">IF(I6438&gt;J6438,"Y","N")</f>
        <v>Y</v>
      </c>
      <c r="G6438" s="3" t="s">
        <v>214</v>
      </c>
      <c r="H6438" s="3" t="s">
        <v>34</v>
      </c>
      <c r="I6438" s="4" t="n">
        <v>20</v>
      </c>
      <c r="J6438" s="4" t="n">
        <f aca="false">LEN(E6438)-LEN(SUBSTITUTE(E6438,",",""))+1</f>
        <v>6</v>
      </c>
      <c r="K6438" s="3" t="str">
        <f aca="false">IFERROR(INDEX('Teacher Lookup'!$B$2:$B$200,MATCH(A6438,'Teacher Lookup'!$A$2:$A$200,0)),"")</f>
        <v>CHEUK Laurence</v>
      </c>
    </row>
    <row r="6439" customFormat="false" ht="15" hidden="false" customHeight="false" outlineLevel="0" collapsed="false">
      <c r="A6439" s="3" t="s">
        <v>464</v>
      </c>
      <c r="B6439" s="4" t="s">
        <v>63</v>
      </c>
      <c r="C6439" s="4" t="n">
        <v>4</v>
      </c>
      <c r="D6439" s="4" t="s">
        <v>73</v>
      </c>
      <c r="E6439" s="3" t="s">
        <v>213</v>
      </c>
      <c r="F6439" s="4" t="str">
        <f aca="false">IF(I6439&gt;J6439,"Y","N")</f>
        <v>Y</v>
      </c>
      <c r="G6439" s="3" t="s">
        <v>214</v>
      </c>
      <c r="H6439" s="3" t="s">
        <v>34</v>
      </c>
      <c r="I6439" s="4" t="n">
        <v>20</v>
      </c>
      <c r="J6439" s="4" t="n">
        <f aca="false">LEN(E6439)-LEN(SUBSTITUTE(E6439,",",""))+1</f>
        <v>6</v>
      </c>
      <c r="K6439" s="3" t="str">
        <f aca="false">IFERROR(INDEX('Teacher Lookup'!$B$2:$B$200,MATCH(A6439,'Teacher Lookup'!$A$2:$A$200,0)),"")</f>
        <v>CHEUK Laurence</v>
      </c>
    </row>
    <row r="6440" customFormat="false" ht="15" hidden="false" customHeight="false" outlineLevel="0" collapsed="false">
      <c r="A6440" s="3" t="s">
        <v>464</v>
      </c>
      <c r="B6440" s="4" t="s">
        <v>63</v>
      </c>
      <c r="C6440" s="4" t="n">
        <v>4</v>
      </c>
      <c r="D6440" s="4" t="s">
        <v>74</v>
      </c>
      <c r="E6440" s="3" t="s">
        <v>213</v>
      </c>
      <c r="F6440" s="4" t="str">
        <f aca="false">IF(I6440&gt;J6440,"Y","N")</f>
        <v>Y</v>
      </c>
      <c r="G6440" s="3" t="s">
        <v>214</v>
      </c>
      <c r="H6440" s="3" t="s">
        <v>34</v>
      </c>
      <c r="I6440" s="4" t="n">
        <v>20</v>
      </c>
      <c r="J6440" s="4" t="n">
        <f aca="false">LEN(E6440)-LEN(SUBSTITUTE(E6440,",",""))+1</f>
        <v>6</v>
      </c>
      <c r="K6440" s="3" t="str">
        <f aca="false">IFERROR(INDEX('Teacher Lookup'!$B$2:$B$200,MATCH(A6440,'Teacher Lookup'!$A$2:$A$200,0)),"")</f>
        <v>CHEUK Laurence</v>
      </c>
    </row>
    <row r="6441" customFormat="false" ht="15" hidden="false" customHeight="false" outlineLevel="0" collapsed="false">
      <c r="A6441" s="3" t="s">
        <v>464</v>
      </c>
      <c r="B6441" s="4" t="s">
        <v>63</v>
      </c>
      <c r="C6441" s="4" t="n">
        <v>4</v>
      </c>
      <c r="D6441" s="4" t="s">
        <v>76</v>
      </c>
      <c r="E6441" s="3" t="s">
        <v>213</v>
      </c>
      <c r="F6441" s="4" t="str">
        <f aca="false">IF(I6441&gt;J6441,"Y","N")</f>
        <v>Y</v>
      </c>
      <c r="G6441" s="3" t="s">
        <v>214</v>
      </c>
      <c r="H6441" s="3" t="s">
        <v>34</v>
      </c>
      <c r="I6441" s="4" t="n">
        <v>20</v>
      </c>
      <c r="J6441" s="4" t="n">
        <f aca="false">LEN(E6441)-LEN(SUBSTITUTE(E6441,",",""))+1</f>
        <v>6</v>
      </c>
      <c r="K6441" s="3" t="str">
        <f aca="false">IFERROR(INDEX('Teacher Lookup'!$B$2:$B$200,MATCH(A6441,'Teacher Lookup'!$A$2:$A$200,0)),"")</f>
        <v>CHEUK Laurence</v>
      </c>
    </row>
    <row r="6442" customFormat="false" ht="15" hidden="false" customHeight="false" outlineLevel="0" collapsed="false">
      <c r="A6442" s="3" t="s">
        <v>464</v>
      </c>
      <c r="B6442" s="4" t="s">
        <v>63</v>
      </c>
      <c r="C6442" s="4" t="n">
        <v>4</v>
      </c>
      <c r="D6442" s="4" t="s">
        <v>78</v>
      </c>
      <c r="E6442" s="3" t="s">
        <v>213</v>
      </c>
      <c r="F6442" s="4" t="str">
        <f aca="false">IF(I6442&gt;J6442,"Y","N")</f>
        <v>Y</v>
      </c>
      <c r="G6442" s="3" t="s">
        <v>214</v>
      </c>
      <c r="H6442" s="3" t="s">
        <v>34</v>
      </c>
      <c r="I6442" s="4" t="n">
        <v>20</v>
      </c>
      <c r="J6442" s="4" t="n">
        <f aca="false">LEN(E6442)-LEN(SUBSTITUTE(E6442,",",""))+1</f>
        <v>6</v>
      </c>
      <c r="K6442" s="3" t="str">
        <f aca="false">IFERROR(INDEX('Teacher Lookup'!$B$2:$B$200,MATCH(A6442,'Teacher Lookup'!$A$2:$A$200,0)),"")</f>
        <v>CHEUK Laurence</v>
      </c>
    </row>
    <row r="6443" customFormat="false" ht="15" hidden="false" customHeight="false" outlineLevel="0" collapsed="false">
      <c r="A6443" s="3" t="s">
        <v>464</v>
      </c>
      <c r="B6443" s="4" t="s">
        <v>63</v>
      </c>
      <c r="C6443" s="4" t="n">
        <v>4</v>
      </c>
      <c r="D6443" s="4" t="s">
        <v>79</v>
      </c>
      <c r="E6443" s="3" t="s">
        <v>213</v>
      </c>
      <c r="F6443" s="4" t="str">
        <f aca="false">IF(I6443&gt;J6443,"Y","N")</f>
        <v>Y</v>
      </c>
      <c r="G6443" s="3" t="s">
        <v>214</v>
      </c>
      <c r="H6443" s="3" t="s">
        <v>34</v>
      </c>
      <c r="I6443" s="4" t="n">
        <v>20</v>
      </c>
      <c r="J6443" s="4" t="n">
        <f aca="false">LEN(E6443)-LEN(SUBSTITUTE(E6443,",",""))+1</f>
        <v>6</v>
      </c>
      <c r="K6443" s="3" t="str">
        <f aca="false">IFERROR(INDEX('Teacher Lookup'!$B$2:$B$200,MATCH(A6443,'Teacher Lookup'!$A$2:$A$200,0)),"")</f>
        <v>CHEUK Laurence</v>
      </c>
    </row>
    <row r="6444" customFormat="false" ht="15" hidden="false" customHeight="false" outlineLevel="0" collapsed="false">
      <c r="A6444" s="3" t="s">
        <v>464</v>
      </c>
      <c r="B6444" s="4" t="s">
        <v>63</v>
      </c>
      <c r="C6444" s="4" t="n">
        <v>5</v>
      </c>
      <c r="D6444" s="4" t="s">
        <v>70</v>
      </c>
      <c r="E6444" s="3" t="s">
        <v>213</v>
      </c>
      <c r="F6444" s="4" t="str">
        <f aca="false">IF(I6444&gt;J6444,"Y","N")</f>
        <v>Y</v>
      </c>
      <c r="G6444" s="3" t="s">
        <v>214</v>
      </c>
      <c r="H6444" s="3" t="s">
        <v>37</v>
      </c>
      <c r="I6444" s="4" t="n">
        <v>20</v>
      </c>
      <c r="J6444" s="4" t="n">
        <f aca="false">LEN(E6444)-LEN(SUBSTITUTE(E6444,",",""))+1</f>
        <v>6</v>
      </c>
      <c r="K6444" s="3" t="str">
        <f aca="false">IFERROR(INDEX('Teacher Lookup'!$B$2:$B$200,MATCH(A6444,'Teacher Lookup'!$A$2:$A$200,0)),"")</f>
        <v>CHEUK Laurence</v>
      </c>
    </row>
    <row r="6445" customFormat="false" ht="15" hidden="false" customHeight="false" outlineLevel="0" collapsed="false">
      <c r="A6445" s="3" t="s">
        <v>464</v>
      </c>
      <c r="B6445" s="4" t="s">
        <v>63</v>
      </c>
      <c r="C6445" s="4" t="n">
        <v>5</v>
      </c>
      <c r="D6445" s="4" t="s">
        <v>73</v>
      </c>
      <c r="E6445" s="3" t="s">
        <v>213</v>
      </c>
      <c r="F6445" s="4" t="str">
        <f aca="false">IF(I6445&gt;J6445,"Y","N")</f>
        <v>Y</v>
      </c>
      <c r="G6445" s="3" t="s">
        <v>214</v>
      </c>
      <c r="H6445" s="3" t="s">
        <v>37</v>
      </c>
      <c r="I6445" s="4" t="n">
        <v>20</v>
      </c>
      <c r="J6445" s="4" t="n">
        <f aca="false">LEN(E6445)-LEN(SUBSTITUTE(E6445,",",""))+1</f>
        <v>6</v>
      </c>
      <c r="K6445" s="3" t="str">
        <f aca="false">IFERROR(INDEX('Teacher Lookup'!$B$2:$B$200,MATCH(A6445,'Teacher Lookup'!$A$2:$A$200,0)),"")</f>
        <v>CHEUK Laurence</v>
      </c>
    </row>
    <row r="6446" customFormat="false" ht="15" hidden="false" customHeight="false" outlineLevel="0" collapsed="false">
      <c r="A6446" s="3" t="s">
        <v>464</v>
      </c>
      <c r="B6446" s="4" t="s">
        <v>63</v>
      </c>
      <c r="C6446" s="4" t="n">
        <v>5</v>
      </c>
      <c r="D6446" s="4" t="s">
        <v>74</v>
      </c>
      <c r="E6446" s="3" t="s">
        <v>213</v>
      </c>
      <c r="F6446" s="4" t="str">
        <f aca="false">IF(I6446&gt;J6446,"Y","N")</f>
        <v>Y</v>
      </c>
      <c r="G6446" s="3" t="s">
        <v>214</v>
      </c>
      <c r="H6446" s="3" t="s">
        <v>37</v>
      </c>
      <c r="I6446" s="4" t="n">
        <v>20</v>
      </c>
      <c r="J6446" s="4" t="n">
        <f aca="false">LEN(E6446)-LEN(SUBSTITUTE(E6446,",",""))+1</f>
        <v>6</v>
      </c>
      <c r="K6446" s="3" t="str">
        <f aca="false">IFERROR(INDEX('Teacher Lookup'!$B$2:$B$200,MATCH(A6446,'Teacher Lookup'!$A$2:$A$200,0)),"")</f>
        <v>CHEUK Laurence</v>
      </c>
    </row>
    <row r="6447" customFormat="false" ht="15" hidden="false" customHeight="false" outlineLevel="0" collapsed="false">
      <c r="A6447" s="3" t="s">
        <v>464</v>
      </c>
      <c r="B6447" s="4" t="s">
        <v>63</v>
      </c>
      <c r="C6447" s="4" t="n">
        <v>5</v>
      </c>
      <c r="D6447" s="4" t="s">
        <v>76</v>
      </c>
      <c r="E6447" s="3" t="s">
        <v>213</v>
      </c>
      <c r="F6447" s="4" t="str">
        <f aca="false">IF(I6447&gt;J6447,"Y","N")</f>
        <v>Y</v>
      </c>
      <c r="G6447" s="3" t="s">
        <v>214</v>
      </c>
      <c r="H6447" s="3" t="s">
        <v>37</v>
      </c>
      <c r="I6447" s="4" t="n">
        <v>20</v>
      </c>
      <c r="J6447" s="4" t="n">
        <f aca="false">LEN(E6447)-LEN(SUBSTITUTE(E6447,",",""))+1</f>
        <v>6</v>
      </c>
      <c r="K6447" s="3" t="str">
        <f aca="false">IFERROR(INDEX('Teacher Lookup'!$B$2:$B$200,MATCH(A6447,'Teacher Lookup'!$A$2:$A$200,0)),"")</f>
        <v>CHEUK Laurence</v>
      </c>
    </row>
    <row r="6448" customFormat="false" ht="15" hidden="false" customHeight="false" outlineLevel="0" collapsed="false">
      <c r="A6448" s="3" t="s">
        <v>464</v>
      </c>
      <c r="B6448" s="4" t="s">
        <v>63</v>
      </c>
      <c r="C6448" s="4" t="n">
        <v>5</v>
      </c>
      <c r="D6448" s="4" t="s">
        <v>78</v>
      </c>
      <c r="E6448" s="3" t="s">
        <v>213</v>
      </c>
      <c r="F6448" s="4" t="str">
        <f aca="false">IF(I6448&gt;J6448,"Y","N")</f>
        <v>Y</v>
      </c>
      <c r="G6448" s="3" t="s">
        <v>214</v>
      </c>
      <c r="H6448" s="3" t="s">
        <v>37</v>
      </c>
      <c r="I6448" s="4" t="n">
        <v>20</v>
      </c>
      <c r="J6448" s="4" t="n">
        <f aca="false">LEN(E6448)-LEN(SUBSTITUTE(E6448,",",""))+1</f>
        <v>6</v>
      </c>
      <c r="K6448" s="3" t="str">
        <f aca="false">IFERROR(INDEX('Teacher Lookup'!$B$2:$B$200,MATCH(A6448,'Teacher Lookup'!$A$2:$A$200,0)),"")</f>
        <v>CHEUK Laurence</v>
      </c>
    </row>
    <row r="6449" customFormat="false" ht="15" hidden="false" customHeight="false" outlineLevel="0" collapsed="false">
      <c r="A6449" s="3" t="s">
        <v>464</v>
      </c>
      <c r="B6449" s="4" t="s">
        <v>63</v>
      </c>
      <c r="C6449" s="4" t="n">
        <v>5</v>
      </c>
      <c r="D6449" s="4" t="s">
        <v>79</v>
      </c>
      <c r="E6449" s="3" t="s">
        <v>213</v>
      </c>
      <c r="F6449" s="4" t="str">
        <f aca="false">IF(I6449&gt;J6449,"Y","N")</f>
        <v>Y</v>
      </c>
      <c r="G6449" s="3" t="s">
        <v>214</v>
      </c>
      <c r="H6449" s="3" t="s">
        <v>37</v>
      </c>
      <c r="I6449" s="4" t="n">
        <v>20</v>
      </c>
      <c r="J6449" s="4" t="n">
        <f aca="false">LEN(E6449)-LEN(SUBSTITUTE(E6449,",",""))+1</f>
        <v>6</v>
      </c>
      <c r="K6449" s="3" t="str">
        <f aca="false">IFERROR(INDEX('Teacher Lookup'!$B$2:$B$200,MATCH(A6449,'Teacher Lookup'!$A$2:$A$200,0)),"")</f>
        <v>CHEUK Laurence</v>
      </c>
    </row>
    <row r="6450" customFormat="false" ht="15" hidden="false" customHeight="false" outlineLevel="0" collapsed="false">
      <c r="A6450" s="3" t="s">
        <v>464</v>
      </c>
      <c r="B6450" s="4" t="s">
        <v>65</v>
      </c>
      <c r="C6450" s="4" t="n">
        <v>3</v>
      </c>
      <c r="D6450" s="4" t="s">
        <v>102</v>
      </c>
      <c r="E6450" s="3" t="s">
        <v>468</v>
      </c>
      <c r="F6450" s="4" t="str">
        <f aca="false">IF(I6450&gt;J6450,"Y","N")</f>
        <v>N</v>
      </c>
      <c r="G6450" s="3" t="s">
        <v>466</v>
      </c>
      <c r="H6450" s="3" t="s">
        <v>26</v>
      </c>
      <c r="I6450" s="4" t="n">
        <v>4</v>
      </c>
      <c r="J6450" s="4" t="n">
        <f aca="false">LEN(E6450)-LEN(SUBSTITUTE(E6450,",",""))+1</f>
        <v>4</v>
      </c>
      <c r="K6450" s="3" t="str">
        <f aca="false">IFERROR(INDEX('Teacher Lookup'!$B$2:$B$200,MATCH(A6450,'Teacher Lookup'!$A$2:$A$200,0)),"")</f>
        <v>CHEUK Laurence</v>
      </c>
    </row>
    <row r="6451" customFormat="false" ht="15" hidden="false" customHeight="false" outlineLevel="0" collapsed="false">
      <c r="A6451" s="3" t="s">
        <v>464</v>
      </c>
      <c r="B6451" s="4" t="s">
        <v>65</v>
      </c>
      <c r="C6451" s="4" t="n">
        <v>3</v>
      </c>
      <c r="D6451" s="4" t="s">
        <v>107</v>
      </c>
      <c r="E6451" s="3" t="s">
        <v>468</v>
      </c>
      <c r="F6451" s="4" t="str">
        <f aca="false">IF(I6451&gt;J6451,"Y","N")</f>
        <v>N</v>
      </c>
      <c r="G6451" s="3" t="s">
        <v>466</v>
      </c>
      <c r="H6451" s="3" t="s">
        <v>26</v>
      </c>
      <c r="I6451" s="4" t="n">
        <v>4</v>
      </c>
      <c r="J6451" s="4" t="n">
        <f aca="false">LEN(E6451)-LEN(SUBSTITUTE(E6451,",",""))+1</f>
        <v>4</v>
      </c>
      <c r="K6451" s="3" t="str">
        <f aca="false">IFERROR(INDEX('Teacher Lookup'!$B$2:$B$200,MATCH(A6451,'Teacher Lookup'!$A$2:$A$200,0)),"")</f>
        <v>CHEUK Laurence</v>
      </c>
    </row>
    <row r="6452" customFormat="false" ht="15" hidden="false" customHeight="false" outlineLevel="0" collapsed="false">
      <c r="A6452" s="3" t="s">
        <v>464</v>
      </c>
      <c r="B6452" s="4" t="s">
        <v>65</v>
      </c>
      <c r="C6452" s="4" t="n">
        <v>4</v>
      </c>
      <c r="D6452" s="4" t="s">
        <v>24</v>
      </c>
      <c r="E6452" s="3" t="s">
        <v>282</v>
      </c>
      <c r="F6452" s="4" t="str">
        <f aca="false">IF(I6452&gt;J6452,"Y","N")</f>
        <v>Y</v>
      </c>
      <c r="G6452" s="3" t="s">
        <v>272</v>
      </c>
      <c r="H6452" s="3" t="s">
        <v>34</v>
      </c>
      <c r="I6452" s="4" t="n">
        <v>8</v>
      </c>
      <c r="J6452" s="4" t="n">
        <f aca="false">LEN(E6452)-LEN(SUBSTITUTE(E6452,",",""))+1</f>
        <v>7</v>
      </c>
      <c r="K6452" s="3" t="str">
        <f aca="false">IFERROR(INDEX('Teacher Lookup'!$B$2:$B$200,MATCH(A6452,'Teacher Lookup'!$A$2:$A$200,0)),"")</f>
        <v>CHEUK Laurence</v>
      </c>
    </row>
    <row r="6453" customFormat="false" ht="15" hidden="false" customHeight="false" outlineLevel="0" collapsed="false">
      <c r="A6453" s="3" t="s">
        <v>464</v>
      </c>
      <c r="B6453" s="4" t="s">
        <v>65</v>
      </c>
      <c r="C6453" s="4" t="n">
        <v>4</v>
      </c>
      <c r="D6453" s="4" t="s">
        <v>27</v>
      </c>
      <c r="E6453" s="3" t="s">
        <v>282</v>
      </c>
      <c r="F6453" s="4" t="str">
        <f aca="false">IF(I6453&gt;J6453,"Y","N")</f>
        <v>Y</v>
      </c>
      <c r="G6453" s="3" t="s">
        <v>272</v>
      </c>
      <c r="H6453" s="3" t="s">
        <v>34</v>
      </c>
      <c r="I6453" s="4" t="n">
        <v>8</v>
      </c>
      <c r="J6453" s="4" t="n">
        <f aca="false">LEN(E6453)-LEN(SUBSTITUTE(E6453,",",""))+1</f>
        <v>7</v>
      </c>
      <c r="K6453" s="3" t="str">
        <f aca="false">IFERROR(INDEX('Teacher Lookup'!$B$2:$B$200,MATCH(A6453,'Teacher Lookup'!$A$2:$A$200,0)),"")</f>
        <v>CHEUK Laurence</v>
      </c>
    </row>
    <row r="6454" customFormat="false" ht="15" hidden="false" customHeight="false" outlineLevel="0" collapsed="false">
      <c r="A6454" s="3" t="s">
        <v>464</v>
      </c>
      <c r="B6454" s="4" t="s">
        <v>65</v>
      </c>
      <c r="C6454" s="4" t="n">
        <v>4</v>
      </c>
      <c r="D6454" s="4" t="s">
        <v>28</v>
      </c>
      <c r="E6454" s="3" t="s">
        <v>282</v>
      </c>
      <c r="F6454" s="4" t="str">
        <f aca="false">IF(I6454&gt;J6454,"Y","N")</f>
        <v>Y</v>
      </c>
      <c r="G6454" s="3" t="s">
        <v>272</v>
      </c>
      <c r="H6454" s="3" t="s">
        <v>34</v>
      </c>
      <c r="I6454" s="4" t="n">
        <v>8</v>
      </c>
      <c r="J6454" s="4" t="n">
        <f aca="false">LEN(E6454)-LEN(SUBSTITUTE(E6454,",",""))+1</f>
        <v>7</v>
      </c>
      <c r="K6454" s="3" t="str">
        <f aca="false">IFERROR(INDEX('Teacher Lookup'!$B$2:$B$200,MATCH(A6454,'Teacher Lookup'!$A$2:$A$200,0)),"")</f>
        <v>CHEUK Laurence</v>
      </c>
    </row>
    <row r="6455" customFormat="false" ht="15" hidden="false" customHeight="false" outlineLevel="0" collapsed="false">
      <c r="A6455" s="3" t="s">
        <v>464</v>
      </c>
      <c r="B6455" s="4" t="s">
        <v>65</v>
      </c>
      <c r="C6455" s="4" t="n">
        <v>4</v>
      </c>
      <c r="D6455" s="4" t="s">
        <v>29</v>
      </c>
      <c r="E6455" s="3" t="s">
        <v>282</v>
      </c>
      <c r="F6455" s="4" t="str">
        <f aca="false">IF(I6455&gt;J6455,"Y","N")</f>
        <v>Y</v>
      </c>
      <c r="G6455" s="3" t="s">
        <v>272</v>
      </c>
      <c r="H6455" s="3" t="s">
        <v>34</v>
      </c>
      <c r="I6455" s="4" t="n">
        <v>8</v>
      </c>
      <c r="J6455" s="4" t="n">
        <f aca="false">LEN(E6455)-LEN(SUBSTITUTE(E6455,",",""))+1</f>
        <v>7</v>
      </c>
      <c r="K6455" s="3" t="str">
        <f aca="false">IFERROR(INDEX('Teacher Lookup'!$B$2:$B$200,MATCH(A6455,'Teacher Lookup'!$A$2:$A$200,0)),"")</f>
        <v>CHEUK Laurence</v>
      </c>
    </row>
    <row r="6456" customFormat="false" ht="15" hidden="false" customHeight="false" outlineLevel="0" collapsed="false">
      <c r="A6456" s="3" t="s">
        <v>464</v>
      </c>
      <c r="B6456" s="4" t="s">
        <v>65</v>
      </c>
      <c r="C6456" s="4" t="n">
        <v>4</v>
      </c>
      <c r="D6456" s="4" t="s">
        <v>30</v>
      </c>
      <c r="E6456" s="3" t="s">
        <v>282</v>
      </c>
      <c r="F6456" s="4" t="str">
        <f aca="false">IF(I6456&gt;J6456,"Y","N")</f>
        <v>Y</v>
      </c>
      <c r="G6456" s="3" t="s">
        <v>272</v>
      </c>
      <c r="H6456" s="3" t="s">
        <v>34</v>
      </c>
      <c r="I6456" s="4" t="n">
        <v>8</v>
      </c>
      <c r="J6456" s="4" t="n">
        <f aca="false">LEN(E6456)-LEN(SUBSTITUTE(E6456,",",""))+1</f>
        <v>7</v>
      </c>
      <c r="K6456" s="3" t="str">
        <f aca="false">IFERROR(INDEX('Teacher Lookup'!$B$2:$B$200,MATCH(A6456,'Teacher Lookup'!$A$2:$A$200,0)),"")</f>
        <v>CHEUK Laurence</v>
      </c>
    </row>
    <row r="6457" customFormat="false" ht="15" hidden="false" customHeight="false" outlineLevel="0" collapsed="false">
      <c r="A6457" s="3" t="s">
        <v>464</v>
      </c>
      <c r="B6457" s="4" t="s">
        <v>65</v>
      </c>
      <c r="C6457" s="4" t="n">
        <v>5</v>
      </c>
      <c r="D6457" s="4" t="s">
        <v>70</v>
      </c>
      <c r="E6457" s="3" t="s">
        <v>81</v>
      </c>
      <c r="F6457" s="4" t="str">
        <f aca="false">IF(I6457&gt;J6457,"Y","N")</f>
        <v>Y</v>
      </c>
      <c r="G6457" s="3" t="s">
        <v>36</v>
      </c>
      <c r="H6457" s="3" t="s">
        <v>37</v>
      </c>
      <c r="I6457" s="4" t="n">
        <v>15</v>
      </c>
      <c r="J6457" s="4" t="n">
        <f aca="false">LEN(E6457)-LEN(SUBSTITUTE(E6457,",",""))+1</f>
        <v>7</v>
      </c>
      <c r="K6457" s="3" t="str">
        <f aca="false">IFERROR(INDEX('Teacher Lookup'!$B$2:$B$200,MATCH(A6457,'Teacher Lookup'!$A$2:$A$200,0)),"")</f>
        <v>CHEUK Laurence</v>
      </c>
    </row>
    <row r="6458" customFormat="false" ht="15" hidden="false" customHeight="false" outlineLevel="0" collapsed="false">
      <c r="A6458" s="3" t="s">
        <v>464</v>
      </c>
      <c r="B6458" s="4" t="s">
        <v>65</v>
      </c>
      <c r="C6458" s="4" t="n">
        <v>5</v>
      </c>
      <c r="D6458" s="4" t="s">
        <v>73</v>
      </c>
      <c r="E6458" s="3" t="s">
        <v>81</v>
      </c>
      <c r="F6458" s="4" t="str">
        <f aca="false">IF(I6458&gt;J6458,"Y","N")</f>
        <v>Y</v>
      </c>
      <c r="G6458" s="3" t="s">
        <v>36</v>
      </c>
      <c r="H6458" s="3" t="s">
        <v>37</v>
      </c>
      <c r="I6458" s="4" t="n">
        <v>15</v>
      </c>
      <c r="J6458" s="4" t="n">
        <f aca="false">LEN(E6458)-LEN(SUBSTITUTE(E6458,",",""))+1</f>
        <v>7</v>
      </c>
      <c r="K6458" s="3" t="str">
        <f aca="false">IFERROR(INDEX('Teacher Lookup'!$B$2:$B$200,MATCH(A6458,'Teacher Lookup'!$A$2:$A$200,0)),"")</f>
        <v>CHEUK Laurence</v>
      </c>
    </row>
    <row r="6459" customFormat="false" ht="15" hidden="false" customHeight="false" outlineLevel="0" collapsed="false">
      <c r="A6459" s="3" t="s">
        <v>464</v>
      </c>
      <c r="B6459" s="4" t="s">
        <v>65</v>
      </c>
      <c r="C6459" s="4" t="n">
        <v>5</v>
      </c>
      <c r="D6459" s="4" t="s">
        <v>74</v>
      </c>
      <c r="E6459" s="3" t="s">
        <v>81</v>
      </c>
      <c r="F6459" s="4" t="str">
        <f aca="false">IF(I6459&gt;J6459,"Y","N")</f>
        <v>Y</v>
      </c>
      <c r="G6459" s="3" t="s">
        <v>36</v>
      </c>
      <c r="H6459" s="3" t="s">
        <v>37</v>
      </c>
      <c r="I6459" s="4" t="n">
        <v>15</v>
      </c>
      <c r="J6459" s="4" t="n">
        <f aca="false">LEN(E6459)-LEN(SUBSTITUTE(E6459,",",""))+1</f>
        <v>7</v>
      </c>
      <c r="K6459" s="3" t="str">
        <f aca="false">IFERROR(INDEX('Teacher Lookup'!$B$2:$B$200,MATCH(A6459,'Teacher Lookup'!$A$2:$A$200,0)),"")</f>
        <v>CHEUK Laurence</v>
      </c>
    </row>
    <row r="6460" customFormat="false" ht="15" hidden="false" customHeight="false" outlineLevel="0" collapsed="false">
      <c r="A6460" s="3" t="s">
        <v>464</v>
      </c>
      <c r="B6460" s="4" t="s">
        <v>65</v>
      </c>
      <c r="C6460" s="4" t="n">
        <v>5</v>
      </c>
      <c r="D6460" s="4" t="s">
        <v>76</v>
      </c>
      <c r="E6460" s="3" t="s">
        <v>81</v>
      </c>
      <c r="F6460" s="4" t="str">
        <f aca="false">IF(I6460&gt;J6460,"Y","N")</f>
        <v>Y</v>
      </c>
      <c r="G6460" s="3" t="s">
        <v>36</v>
      </c>
      <c r="H6460" s="3" t="s">
        <v>37</v>
      </c>
      <c r="I6460" s="4" t="n">
        <v>15</v>
      </c>
      <c r="J6460" s="4" t="n">
        <f aca="false">LEN(E6460)-LEN(SUBSTITUTE(E6460,",",""))+1</f>
        <v>7</v>
      </c>
      <c r="K6460" s="3" t="str">
        <f aca="false">IFERROR(INDEX('Teacher Lookup'!$B$2:$B$200,MATCH(A6460,'Teacher Lookup'!$A$2:$A$200,0)),"")</f>
        <v>CHEUK Laurence</v>
      </c>
    </row>
    <row r="6461" customFormat="false" ht="15" hidden="false" customHeight="false" outlineLevel="0" collapsed="false">
      <c r="A6461" s="3" t="s">
        <v>464</v>
      </c>
      <c r="B6461" s="4" t="s">
        <v>65</v>
      </c>
      <c r="C6461" s="4" t="n">
        <v>5</v>
      </c>
      <c r="D6461" s="4" t="s">
        <v>78</v>
      </c>
      <c r="E6461" s="3" t="s">
        <v>81</v>
      </c>
      <c r="F6461" s="4" t="str">
        <f aca="false">IF(I6461&gt;J6461,"Y","N")</f>
        <v>Y</v>
      </c>
      <c r="G6461" s="3" t="s">
        <v>36</v>
      </c>
      <c r="H6461" s="3" t="s">
        <v>37</v>
      </c>
      <c r="I6461" s="4" t="n">
        <v>15</v>
      </c>
      <c r="J6461" s="4" t="n">
        <f aca="false">LEN(E6461)-LEN(SUBSTITUTE(E6461,",",""))+1</f>
        <v>7</v>
      </c>
      <c r="K6461" s="3" t="str">
        <f aca="false">IFERROR(INDEX('Teacher Lookup'!$B$2:$B$200,MATCH(A6461,'Teacher Lookup'!$A$2:$A$200,0)),"")</f>
        <v>CHEUK Laurence</v>
      </c>
    </row>
    <row r="6462" customFormat="false" ht="15" hidden="false" customHeight="false" outlineLevel="0" collapsed="false">
      <c r="A6462" s="3" t="s">
        <v>464</v>
      </c>
      <c r="B6462" s="4" t="s">
        <v>65</v>
      </c>
      <c r="C6462" s="4" t="n">
        <v>5</v>
      </c>
      <c r="D6462" s="4" t="s">
        <v>79</v>
      </c>
      <c r="E6462" s="3" t="s">
        <v>81</v>
      </c>
      <c r="F6462" s="4" t="str">
        <f aca="false">IF(I6462&gt;J6462,"Y","N")</f>
        <v>Y</v>
      </c>
      <c r="G6462" s="3" t="s">
        <v>36</v>
      </c>
      <c r="H6462" s="3" t="s">
        <v>37</v>
      </c>
      <c r="I6462" s="4" t="n">
        <v>15</v>
      </c>
      <c r="J6462" s="4" t="n">
        <f aca="false">LEN(E6462)-LEN(SUBSTITUTE(E6462,",",""))+1</f>
        <v>7</v>
      </c>
      <c r="K6462" s="3" t="str">
        <f aca="false">IFERROR(INDEX('Teacher Lookup'!$B$2:$B$200,MATCH(A6462,'Teacher Lookup'!$A$2:$A$200,0)),"")</f>
        <v>CHEUK Laurence</v>
      </c>
    </row>
    <row r="6463" customFormat="false" ht="15" hidden="false" customHeight="false" outlineLevel="0" collapsed="false">
      <c r="A6463" s="3" t="s">
        <v>464</v>
      </c>
      <c r="B6463" s="4" t="s">
        <v>66</v>
      </c>
      <c r="C6463" s="4" t="n">
        <v>2</v>
      </c>
      <c r="D6463" s="4" t="s">
        <v>76</v>
      </c>
      <c r="E6463" s="3" t="s">
        <v>297</v>
      </c>
      <c r="F6463" s="4" t="str">
        <f aca="false">IF(I6463&gt;J6463,"Y","N")</f>
        <v>Y</v>
      </c>
      <c r="G6463" s="3" t="s">
        <v>296</v>
      </c>
      <c r="H6463" s="3" t="s">
        <v>21</v>
      </c>
      <c r="I6463" s="4" t="n">
        <v>2</v>
      </c>
      <c r="J6463" s="4" t="n">
        <f aca="false">LEN(E6463)-LEN(SUBSTITUTE(E6463,",",""))+1</f>
        <v>1</v>
      </c>
      <c r="K6463" s="3" t="str">
        <f aca="false">IFERROR(INDEX('Teacher Lookup'!$B$2:$B$200,MATCH(A6463,'Teacher Lookup'!$A$2:$A$200,0)),"")</f>
        <v>CHEUK Laurence</v>
      </c>
    </row>
    <row r="6464" customFormat="false" ht="15" hidden="false" customHeight="false" outlineLevel="0" collapsed="false">
      <c r="A6464" s="3" t="s">
        <v>464</v>
      </c>
      <c r="B6464" s="4" t="s">
        <v>66</v>
      </c>
      <c r="C6464" s="4" t="n">
        <v>4</v>
      </c>
      <c r="D6464" s="4" t="s">
        <v>102</v>
      </c>
      <c r="E6464" s="3" t="s">
        <v>472</v>
      </c>
      <c r="F6464" s="4" t="str">
        <f aca="false">IF(I6464&gt;J6464,"Y","N")</f>
        <v>N</v>
      </c>
      <c r="G6464" s="3" t="s">
        <v>466</v>
      </c>
      <c r="H6464" s="3" t="s">
        <v>34</v>
      </c>
      <c r="I6464" s="4" t="n">
        <v>4</v>
      </c>
      <c r="J6464" s="4" t="n">
        <f aca="false">LEN(E6464)-LEN(SUBSTITUTE(E6464,",",""))+1</f>
        <v>4</v>
      </c>
      <c r="K6464" s="3" t="str">
        <f aca="false">IFERROR(INDEX('Teacher Lookup'!$B$2:$B$200,MATCH(A6464,'Teacher Lookup'!$A$2:$A$200,0)),"")</f>
        <v>CHEUK Laurence</v>
      </c>
    </row>
    <row r="6465" customFormat="false" ht="15" hidden="false" customHeight="false" outlineLevel="0" collapsed="false">
      <c r="A6465" s="3" t="s">
        <v>464</v>
      </c>
      <c r="B6465" s="4" t="s">
        <v>66</v>
      </c>
      <c r="C6465" s="4" t="n">
        <v>4</v>
      </c>
      <c r="D6465" s="4" t="s">
        <v>107</v>
      </c>
      <c r="E6465" s="3" t="s">
        <v>472</v>
      </c>
      <c r="F6465" s="4" t="str">
        <f aca="false">IF(I6465&gt;J6465,"Y","N")</f>
        <v>N</v>
      </c>
      <c r="G6465" s="3" t="s">
        <v>466</v>
      </c>
      <c r="H6465" s="3" t="s">
        <v>34</v>
      </c>
      <c r="I6465" s="4" t="n">
        <v>4</v>
      </c>
      <c r="J6465" s="4" t="n">
        <f aca="false">LEN(E6465)-LEN(SUBSTITUTE(E6465,",",""))+1</f>
        <v>4</v>
      </c>
      <c r="K6465" s="3" t="str">
        <f aca="false">IFERROR(INDEX('Teacher Lookup'!$B$2:$B$200,MATCH(A6465,'Teacher Lookup'!$A$2:$A$200,0)),"")</f>
        <v>CHEUK Laurence</v>
      </c>
    </row>
    <row r="6466" customFormat="false" ht="15" hidden="false" customHeight="false" outlineLevel="0" collapsed="false">
      <c r="A6466" s="3" t="s">
        <v>464</v>
      </c>
      <c r="B6466" s="4" t="s">
        <v>66</v>
      </c>
      <c r="C6466" s="4" t="n">
        <v>6</v>
      </c>
      <c r="D6466" s="4" t="s">
        <v>70</v>
      </c>
      <c r="E6466" s="3" t="s">
        <v>297</v>
      </c>
      <c r="F6466" s="4" t="str">
        <f aca="false">IF(I6466&gt;J6466,"Y","N")</f>
        <v>Y</v>
      </c>
      <c r="G6466" s="3" t="s">
        <v>296</v>
      </c>
      <c r="H6466" s="3" t="s">
        <v>42</v>
      </c>
      <c r="I6466" s="4" t="n">
        <v>2</v>
      </c>
      <c r="J6466" s="4" t="n">
        <f aca="false">LEN(E6466)-LEN(SUBSTITUTE(E6466,",",""))+1</f>
        <v>1</v>
      </c>
      <c r="K6466" s="3" t="str">
        <f aca="false">IFERROR(INDEX('Teacher Lookup'!$B$2:$B$200,MATCH(A6466,'Teacher Lookup'!$A$2:$A$200,0)),"")</f>
        <v>CHEUK Laurence</v>
      </c>
    </row>
    <row r="6467" customFormat="false" ht="15" hidden="false" customHeight="false" outlineLevel="0" collapsed="false">
      <c r="A6467" s="3" t="s">
        <v>473</v>
      </c>
      <c r="B6467" s="4" t="s">
        <v>12</v>
      </c>
      <c r="C6467" s="4" t="n">
        <v>1</v>
      </c>
      <c r="D6467" s="4" t="s">
        <v>140</v>
      </c>
      <c r="E6467" s="3" t="s">
        <v>297</v>
      </c>
      <c r="F6467" s="4" t="str">
        <f aca="false">IF(I6467&gt;J6467,"Y","N")</f>
        <v>Y</v>
      </c>
      <c r="G6467" s="3" t="s">
        <v>296</v>
      </c>
      <c r="H6467" s="3" t="s">
        <v>16</v>
      </c>
      <c r="I6467" s="4" t="n">
        <v>2</v>
      </c>
      <c r="J6467" s="4" t="n">
        <f aca="false">LEN(E6467)-LEN(SUBSTITUTE(E6467,",",""))+1</f>
        <v>1</v>
      </c>
      <c r="K6467" s="3" t="str">
        <f aca="false">IFERROR(INDEX('Teacher Lookup'!$B$2:$B$200,MATCH(A6467,'Teacher Lookup'!$A$2:$A$200,0)),"")</f>
        <v>GESKE Luis</v>
      </c>
    </row>
    <row r="6468" customFormat="false" ht="15" hidden="false" customHeight="false" outlineLevel="0" collapsed="false">
      <c r="A6468" s="3" t="s">
        <v>473</v>
      </c>
      <c r="B6468" s="4" t="s">
        <v>12</v>
      </c>
      <c r="C6468" s="4" t="n">
        <v>4</v>
      </c>
      <c r="D6468" s="4" t="s">
        <v>19</v>
      </c>
      <c r="E6468" s="3" t="s">
        <v>390</v>
      </c>
      <c r="F6468" s="4" t="str">
        <f aca="false">IF(I6468&gt;J6468,"Y","N")</f>
        <v>Y</v>
      </c>
      <c r="G6468" s="3" t="s">
        <v>222</v>
      </c>
      <c r="H6468" s="3" t="s">
        <v>34</v>
      </c>
      <c r="I6468" s="4" t="n">
        <v>14</v>
      </c>
      <c r="J6468" s="4" t="n">
        <f aca="false">LEN(E6468)-LEN(SUBSTITUTE(E6468,",",""))+1</f>
        <v>7</v>
      </c>
      <c r="K6468" s="3" t="str">
        <f aca="false">IFERROR(INDEX('Teacher Lookup'!$B$2:$B$200,MATCH(A6468,'Teacher Lookup'!$A$2:$A$200,0)),"")</f>
        <v>GESKE Luis</v>
      </c>
    </row>
    <row r="6469" customFormat="false" ht="15" hidden="false" customHeight="false" outlineLevel="0" collapsed="false">
      <c r="A6469" s="3" t="s">
        <v>473</v>
      </c>
      <c r="B6469" s="4" t="s">
        <v>12</v>
      </c>
      <c r="C6469" s="4" t="n">
        <v>4</v>
      </c>
      <c r="D6469" s="4" t="s">
        <v>22</v>
      </c>
      <c r="E6469" s="3" t="s">
        <v>390</v>
      </c>
      <c r="F6469" s="4" t="str">
        <f aca="false">IF(I6469&gt;J6469,"Y","N")</f>
        <v>Y</v>
      </c>
      <c r="G6469" s="3" t="s">
        <v>222</v>
      </c>
      <c r="H6469" s="3" t="s">
        <v>34</v>
      </c>
      <c r="I6469" s="4" t="n">
        <v>14</v>
      </c>
      <c r="J6469" s="4" t="n">
        <f aca="false">LEN(E6469)-LEN(SUBSTITUTE(E6469,",",""))+1</f>
        <v>7</v>
      </c>
      <c r="K6469" s="3" t="str">
        <f aca="false">IFERROR(INDEX('Teacher Lookup'!$B$2:$B$200,MATCH(A6469,'Teacher Lookup'!$A$2:$A$200,0)),"")</f>
        <v>GESKE Luis</v>
      </c>
    </row>
    <row r="6470" customFormat="false" ht="15" hidden="false" customHeight="false" outlineLevel="0" collapsed="false">
      <c r="A6470" s="3" t="s">
        <v>473</v>
      </c>
      <c r="B6470" s="4" t="s">
        <v>12</v>
      </c>
      <c r="C6470" s="4" t="n">
        <v>4</v>
      </c>
      <c r="D6470" s="4" t="s">
        <v>23</v>
      </c>
      <c r="E6470" s="3" t="s">
        <v>390</v>
      </c>
      <c r="F6470" s="4" t="str">
        <f aca="false">IF(I6470&gt;J6470,"Y","N")</f>
        <v>Y</v>
      </c>
      <c r="G6470" s="3" t="s">
        <v>222</v>
      </c>
      <c r="H6470" s="3" t="s">
        <v>34</v>
      </c>
      <c r="I6470" s="4" t="n">
        <v>14</v>
      </c>
      <c r="J6470" s="4" t="n">
        <f aca="false">LEN(E6470)-LEN(SUBSTITUTE(E6470,",",""))+1</f>
        <v>7</v>
      </c>
      <c r="K6470" s="3" t="str">
        <f aca="false">IFERROR(INDEX('Teacher Lookup'!$B$2:$B$200,MATCH(A6470,'Teacher Lookup'!$A$2:$A$200,0)),"")</f>
        <v>GESKE Luis</v>
      </c>
    </row>
    <row r="6471" customFormat="false" ht="15" hidden="false" customHeight="false" outlineLevel="0" collapsed="false">
      <c r="A6471" s="3" t="s">
        <v>473</v>
      </c>
      <c r="B6471" s="4" t="s">
        <v>12</v>
      </c>
      <c r="C6471" s="4" t="n">
        <v>4</v>
      </c>
      <c r="D6471" s="4" t="s">
        <v>13</v>
      </c>
      <c r="E6471" s="3" t="s">
        <v>390</v>
      </c>
      <c r="F6471" s="4" t="str">
        <f aca="false">IF(I6471&gt;J6471,"Y","N")</f>
        <v>Y</v>
      </c>
      <c r="G6471" s="3" t="s">
        <v>222</v>
      </c>
      <c r="H6471" s="3" t="s">
        <v>34</v>
      </c>
      <c r="I6471" s="4" t="n">
        <v>14</v>
      </c>
      <c r="J6471" s="4" t="n">
        <f aca="false">LEN(E6471)-LEN(SUBSTITUTE(E6471,",",""))+1</f>
        <v>7</v>
      </c>
      <c r="K6471" s="3" t="str">
        <f aca="false">IFERROR(INDEX('Teacher Lookup'!$B$2:$B$200,MATCH(A6471,'Teacher Lookup'!$A$2:$A$200,0)),"")</f>
        <v>GESKE Luis</v>
      </c>
    </row>
    <row r="6472" customFormat="false" ht="15" hidden="false" customHeight="false" outlineLevel="0" collapsed="false">
      <c r="A6472" s="3" t="s">
        <v>473</v>
      </c>
      <c r="B6472" s="4" t="s">
        <v>12</v>
      </c>
      <c r="C6472" s="4" t="n">
        <v>4</v>
      </c>
      <c r="D6472" s="4" t="s">
        <v>17</v>
      </c>
      <c r="E6472" s="3" t="s">
        <v>390</v>
      </c>
      <c r="F6472" s="4" t="str">
        <f aca="false">IF(I6472&gt;J6472,"Y","N")</f>
        <v>Y</v>
      </c>
      <c r="G6472" s="3" t="s">
        <v>222</v>
      </c>
      <c r="H6472" s="3" t="s">
        <v>34</v>
      </c>
      <c r="I6472" s="4" t="n">
        <v>14</v>
      </c>
      <c r="J6472" s="4" t="n">
        <f aca="false">LEN(E6472)-LEN(SUBSTITUTE(E6472,",",""))+1</f>
        <v>7</v>
      </c>
      <c r="K6472" s="3" t="str">
        <f aca="false">IFERROR(INDEX('Teacher Lookup'!$B$2:$B$200,MATCH(A6472,'Teacher Lookup'!$A$2:$A$200,0)),"")</f>
        <v>GESKE Luis</v>
      </c>
    </row>
    <row r="6473" customFormat="false" ht="15" hidden="false" customHeight="false" outlineLevel="0" collapsed="false">
      <c r="A6473" s="3" t="s">
        <v>473</v>
      </c>
      <c r="B6473" s="4" t="s">
        <v>12</v>
      </c>
      <c r="C6473" s="4" t="n">
        <v>4</v>
      </c>
      <c r="D6473" s="4" t="s">
        <v>18</v>
      </c>
      <c r="E6473" s="3" t="s">
        <v>390</v>
      </c>
      <c r="F6473" s="4" t="str">
        <f aca="false">IF(I6473&gt;J6473,"Y","N")</f>
        <v>Y</v>
      </c>
      <c r="G6473" s="3" t="s">
        <v>222</v>
      </c>
      <c r="H6473" s="3" t="s">
        <v>34</v>
      </c>
      <c r="I6473" s="4" t="n">
        <v>14</v>
      </c>
      <c r="J6473" s="4" t="n">
        <f aca="false">LEN(E6473)-LEN(SUBSTITUTE(E6473,",",""))+1</f>
        <v>7</v>
      </c>
      <c r="K6473" s="3" t="str">
        <f aca="false">IFERROR(INDEX('Teacher Lookup'!$B$2:$B$200,MATCH(A6473,'Teacher Lookup'!$A$2:$A$200,0)),"")</f>
        <v>GESKE Luis</v>
      </c>
    </row>
    <row r="6474" customFormat="false" ht="15" hidden="false" customHeight="false" outlineLevel="0" collapsed="false">
      <c r="A6474" s="3" t="s">
        <v>473</v>
      </c>
      <c r="B6474" s="4" t="s">
        <v>12</v>
      </c>
      <c r="C6474" s="4" t="n">
        <v>5</v>
      </c>
      <c r="D6474" s="4" t="s">
        <v>19</v>
      </c>
      <c r="E6474" s="3" t="s">
        <v>390</v>
      </c>
      <c r="F6474" s="4" t="str">
        <f aca="false">IF(I6474&gt;J6474,"Y","N")</f>
        <v>Y</v>
      </c>
      <c r="G6474" s="3" t="s">
        <v>222</v>
      </c>
      <c r="H6474" s="3" t="s">
        <v>37</v>
      </c>
      <c r="I6474" s="4" t="n">
        <v>14</v>
      </c>
      <c r="J6474" s="4" t="n">
        <f aca="false">LEN(E6474)-LEN(SUBSTITUTE(E6474,",",""))+1</f>
        <v>7</v>
      </c>
      <c r="K6474" s="3" t="str">
        <f aca="false">IFERROR(INDEX('Teacher Lookup'!$B$2:$B$200,MATCH(A6474,'Teacher Lookup'!$A$2:$A$200,0)),"")</f>
        <v>GESKE Luis</v>
      </c>
    </row>
    <row r="6475" customFormat="false" ht="15" hidden="false" customHeight="false" outlineLevel="0" collapsed="false">
      <c r="A6475" s="3" t="s">
        <v>473</v>
      </c>
      <c r="B6475" s="4" t="s">
        <v>12</v>
      </c>
      <c r="C6475" s="4" t="n">
        <v>5</v>
      </c>
      <c r="D6475" s="4" t="s">
        <v>22</v>
      </c>
      <c r="E6475" s="3" t="s">
        <v>390</v>
      </c>
      <c r="F6475" s="4" t="str">
        <f aca="false">IF(I6475&gt;J6475,"Y","N")</f>
        <v>Y</v>
      </c>
      <c r="G6475" s="3" t="s">
        <v>222</v>
      </c>
      <c r="H6475" s="3" t="s">
        <v>37</v>
      </c>
      <c r="I6475" s="4" t="n">
        <v>14</v>
      </c>
      <c r="J6475" s="4" t="n">
        <f aca="false">LEN(E6475)-LEN(SUBSTITUTE(E6475,",",""))+1</f>
        <v>7</v>
      </c>
      <c r="K6475" s="3" t="str">
        <f aca="false">IFERROR(INDEX('Teacher Lookup'!$B$2:$B$200,MATCH(A6475,'Teacher Lookup'!$A$2:$A$200,0)),"")</f>
        <v>GESKE Luis</v>
      </c>
    </row>
    <row r="6476" customFormat="false" ht="15" hidden="false" customHeight="false" outlineLevel="0" collapsed="false">
      <c r="A6476" s="3" t="s">
        <v>473</v>
      </c>
      <c r="B6476" s="4" t="s">
        <v>12</v>
      </c>
      <c r="C6476" s="4" t="n">
        <v>5</v>
      </c>
      <c r="D6476" s="4" t="s">
        <v>23</v>
      </c>
      <c r="E6476" s="3" t="s">
        <v>390</v>
      </c>
      <c r="F6476" s="4" t="str">
        <f aca="false">IF(I6476&gt;J6476,"Y","N")</f>
        <v>Y</v>
      </c>
      <c r="G6476" s="3" t="s">
        <v>222</v>
      </c>
      <c r="H6476" s="3" t="s">
        <v>37</v>
      </c>
      <c r="I6476" s="4" t="n">
        <v>14</v>
      </c>
      <c r="J6476" s="4" t="n">
        <f aca="false">LEN(E6476)-LEN(SUBSTITUTE(E6476,",",""))+1</f>
        <v>7</v>
      </c>
      <c r="K6476" s="3" t="str">
        <f aca="false">IFERROR(INDEX('Teacher Lookup'!$B$2:$B$200,MATCH(A6476,'Teacher Lookup'!$A$2:$A$200,0)),"")</f>
        <v>GESKE Luis</v>
      </c>
    </row>
    <row r="6477" customFormat="false" ht="15" hidden="false" customHeight="false" outlineLevel="0" collapsed="false">
      <c r="A6477" s="3" t="s">
        <v>473</v>
      </c>
      <c r="B6477" s="4" t="s">
        <v>12</v>
      </c>
      <c r="C6477" s="4" t="n">
        <v>5</v>
      </c>
      <c r="D6477" s="4" t="s">
        <v>13</v>
      </c>
      <c r="E6477" s="3" t="s">
        <v>390</v>
      </c>
      <c r="F6477" s="4" t="str">
        <f aca="false">IF(I6477&gt;J6477,"Y","N")</f>
        <v>Y</v>
      </c>
      <c r="G6477" s="3" t="s">
        <v>222</v>
      </c>
      <c r="H6477" s="3" t="s">
        <v>37</v>
      </c>
      <c r="I6477" s="4" t="n">
        <v>14</v>
      </c>
      <c r="J6477" s="4" t="n">
        <f aca="false">LEN(E6477)-LEN(SUBSTITUTE(E6477,",",""))+1</f>
        <v>7</v>
      </c>
      <c r="K6477" s="3" t="str">
        <f aca="false">IFERROR(INDEX('Teacher Lookup'!$B$2:$B$200,MATCH(A6477,'Teacher Lookup'!$A$2:$A$200,0)),"")</f>
        <v>GESKE Luis</v>
      </c>
    </row>
    <row r="6478" customFormat="false" ht="15" hidden="false" customHeight="false" outlineLevel="0" collapsed="false">
      <c r="A6478" s="3" t="s">
        <v>473</v>
      </c>
      <c r="B6478" s="4" t="s">
        <v>12</v>
      </c>
      <c r="C6478" s="4" t="n">
        <v>5</v>
      </c>
      <c r="D6478" s="4" t="s">
        <v>17</v>
      </c>
      <c r="E6478" s="3" t="s">
        <v>390</v>
      </c>
      <c r="F6478" s="4" t="str">
        <f aca="false">IF(I6478&gt;J6478,"Y","N")</f>
        <v>Y</v>
      </c>
      <c r="G6478" s="3" t="s">
        <v>222</v>
      </c>
      <c r="H6478" s="3" t="s">
        <v>37</v>
      </c>
      <c r="I6478" s="4" t="n">
        <v>14</v>
      </c>
      <c r="J6478" s="4" t="n">
        <f aca="false">LEN(E6478)-LEN(SUBSTITUTE(E6478,",",""))+1</f>
        <v>7</v>
      </c>
      <c r="K6478" s="3" t="str">
        <f aca="false">IFERROR(INDEX('Teacher Lookup'!$B$2:$B$200,MATCH(A6478,'Teacher Lookup'!$A$2:$A$200,0)),"")</f>
        <v>GESKE Luis</v>
      </c>
    </row>
    <row r="6479" customFormat="false" ht="15" hidden="false" customHeight="false" outlineLevel="0" collapsed="false">
      <c r="A6479" s="3" t="s">
        <v>473</v>
      </c>
      <c r="B6479" s="4" t="s">
        <v>12</v>
      </c>
      <c r="C6479" s="4" t="n">
        <v>5</v>
      </c>
      <c r="D6479" s="4" t="s">
        <v>18</v>
      </c>
      <c r="E6479" s="3" t="s">
        <v>390</v>
      </c>
      <c r="F6479" s="4" t="str">
        <f aca="false">IF(I6479&gt;J6479,"Y","N")</f>
        <v>Y</v>
      </c>
      <c r="G6479" s="3" t="s">
        <v>222</v>
      </c>
      <c r="H6479" s="3" t="s">
        <v>37</v>
      </c>
      <c r="I6479" s="4" t="n">
        <v>14</v>
      </c>
      <c r="J6479" s="4" t="n">
        <f aca="false">LEN(E6479)-LEN(SUBSTITUTE(E6479,",",""))+1</f>
        <v>7</v>
      </c>
      <c r="K6479" s="3" t="str">
        <f aca="false">IFERROR(INDEX('Teacher Lookup'!$B$2:$B$200,MATCH(A6479,'Teacher Lookup'!$A$2:$A$200,0)),"")</f>
        <v>GESKE Luis</v>
      </c>
    </row>
    <row r="6480" customFormat="false" ht="15" hidden="false" customHeight="false" outlineLevel="0" collapsed="false">
      <c r="A6480" s="3" t="s">
        <v>473</v>
      </c>
      <c r="B6480" s="4" t="s">
        <v>12</v>
      </c>
      <c r="C6480" s="4" t="n">
        <v>6</v>
      </c>
      <c r="D6480" s="4" t="s">
        <v>137</v>
      </c>
      <c r="E6480" s="3" t="s">
        <v>298</v>
      </c>
      <c r="F6480" s="4" t="str">
        <f aca="false">IF(I6480&gt;J6480,"Y","N")</f>
        <v>N</v>
      </c>
      <c r="G6480" s="3" t="s">
        <v>299</v>
      </c>
      <c r="H6480" s="3" t="s">
        <v>42</v>
      </c>
      <c r="I6480" s="4" t="n">
        <v>2</v>
      </c>
      <c r="J6480" s="4" t="n">
        <f aca="false">LEN(E6480)-LEN(SUBSTITUTE(E6480,",",""))+1</f>
        <v>2</v>
      </c>
      <c r="K6480" s="3" t="str">
        <f aca="false">IFERROR(INDEX('Teacher Lookup'!$B$2:$B$200,MATCH(A6480,'Teacher Lookup'!$A$2:$A$200,0)),"")</f>
        <v>GESKE Luis</v>
      </c>
    </row>
    <row r="6481" customFormat="false" ht="15" hidden="false" customHeight="false" outlineLevel="0" collapsed="false">
      <c r="A6481" s="3" t="s">
        <v>473</v>
      </c>
      <c r="B6481" s="4" t="s">
        <v>31</v>
      </c>
      <c r="C6481" s="4" t="n">
        <v>1</v>
      </c>
      <c r="D6481" s="4" t="s">
        <v>142</v>
      </c>
      <c r="E6481" s="3" t="s">
        <v>298</v>
      </c>
      <c r="F6481" s="4" t="str">
        <f aca="false">IF(I6481&gt;J6481,"Y","N")</f>
        <v>N</v>
      </c>
      <c r="G6481" s="3" t="s">
        <v>299</v>
      </c>
      <c r="H6481" s="3" t="s">
        <v>16</v>
      </c>
      <c r="I6481" s="4" t="n">
        <v>2</v>
      </c>
      <c r="J6481" s="4" t="n">
        <f aca="false">LEN(E6481)-LEN(SUBSTITUTE(E6481,",",""))+1</f>
        <v>2</v>
      </c>
      <c r="K6481" s="3" t="str">
        <f aca="false">IFERROR(INDEX('Teacher Lookup'!$B$2:$B$200,MATCH(A6481,'Teacher Lookup'!$A$2:$A$200,0)),"")</f>
        <v>GESKE Luis</v>
      </c>
    </row>
    <row r="6482" customFormat="false" ht="15" hidden="false" customHeight="false" outlineLevel="0" collapsed="false">
      <c r="A6482" s="3" t="s">
        <v>473</v>
      </c>
      <c r="B6482" s="4" t="s">
        <v>31</v>
      </c>
      <c r="C6482" s="4" t="n">
        <v>6</v>
      </c>
      <c r="D6482" s="4" t="s">
        <v>19</v>
      </c>
      <c r="E6482" s="3" t="s">
        <v>297</v>
      </c>
      <c r="F6482" s="4" t="str">
        <f aca="false">IF(I6482&gt;J6482,"Y","N")</f>
        <v>Y</v>
      </c>
      <c r="G6482" s="3" t="s">
        <v>296</v>
      </c>
      <c r="H6482" s="3" t="s">
        <v>42</v>
      </c>
      <c r="I6482" s="4" t="n">
        <v>2</v>
      </c>
      <c r="J6482" s="4" t="n">
        <f aca="false">LEN(E6482)-LEN(SUBSTITUTE(E6482,",",""))+1</f>
        <v>1</v>
      </c>
      <c r="K6482" s="3" t="str">
        <f aca="false">IFERROR(INDEX('Teacher Lookup'!$B$2:$B$200,MATCH(A6482,'Teacher Lookup'!$A$2:$A$200,0)),"")</f>
        <v>GESKE Luis</v>
      </c>
    </row>
    <row r="6483" customFormat="false" ht="15" hidden="false" customHeight="false" outlineLevel="0" collapsed="false">
      <c r="A6483" s="3" t="s">
        <v>473</v>
      </c>
      <c r="B6483" s="4" t="s">
        <v>31</v>
      </c>
      <c r="C6483" s="4" t="n">
        <v>7</v>
      </c>
      <c r="D6483" s="4" t="s">
        <v>139</v>
      </c>
      <c r="E6483" s="3" t="s">
        <v>297</v>
      </c>
      <c r="F6483" s="4" t="str">
        <f aca="false">IF(I6483&gt;J6483,"Y","N")</f>
        <v>Y</v>
      </c>
      <c r="G6483" s="3" t="s">
        <v>296</v>
      </c>
      <c r="H6483" s="3" t="s">
        <v>39</v>
      </c>
      <c r="I6483" s="4" t="n">
        <v>2</v>
      </c>
      <c r="J6483" s="4" t="n">
        <f aca="false">LEN(E6483)-LEN(SUBSTITUTE(E6483,",",""))+1</f>
        <v>1</v>
      </c>
      <c r="K6483" s="3" t="str">
        <f aca="false">IFERROR(INDEX('Teacher Lookup'!$B$2:$B$200,MATCH(A6483,'Teacher Lookup'!$A$2:$A$200,0)),"")</f>
        <v>GESKE Luis</v>
      </c>
    </row>
    <row r="6484" customFormat="false" ht="15" hidden="false" customHeight="false" outlineLevel="0" collapsed="false">
      <c r="A6484" s="3" t="s">
        <v>473</v>
      </c>
      <c r="B6484" s="4" t="s">
        <v>40</v>
      </c>
      <c r="C6484" s="4" t="n">
        <v>5</v>
      </c>
      <c r="D6484" s="4" t="s">
        <v>139</v>
      </c>
      <c r="E6484" s="3" t="s">
        <v>297</v>
      </c>
      <c r="F6484" s="4" t="str">
        <f aca="false">IF(I6484&gt;J6484,"Y","N")</f>
        <v>Y</v>
      </c>
      <c r="G6484" s="3" t="s">
        <v>296</v>
      </c>
      <c r="H6484" s="3" t="s">
        <v>37</v>
      </c>
      <c r="I6484" s="4" t="n">
        <v>2</v>
      </c>
      <c r="J6484" s="4" t="n">
        <f aca="false">LEN(E6484)-LEN(SUBSTITUTE(E6484,",",""))+1</f>
        <v>1</v>
      </c>
      <c r="K6484" s="3" t="str">
        <f aca="false">IFERROR(INDEX('Teacher Lookup'!$B$2:$B$200,MATCH(A6484,'Teacher Lookup'!$A$2:$A$200,0)),"")</f>
        <v>GESKE Luis</v>
      </c>
    </row>
    <row r="6485" customFormat="false" ht="15" hidden="false" customHeight="false" outlineLevel="0" collapsed="false">
      <c r="A6485" s="3" t="s">
        <v>473</v>
      </c>
      <c r="B6485" s="4" t="s">
        <v>40</v>
      </c>
      <c r="C6485" s="4" t="n">
        <v>6</v>
      </c>
      <c r="D6485" s="4" t="s">
        <v>18</v>
      </c>
      <c r="E6485" s="3" t="s">
        <v>297</v>
      </c>
      <c r="F6485" s="4" t="str">
        <f aca="false">IF(I6485&gt;J6485,"Y","N")</f>
        <v>Y</v>
      </c>
      <c r="G6485" s="3" t="s">
        <v>296</v>
      </c>
      <c r="H6485" s="3" t="s">
        <v>42</v>
      </c>
      <c r="I6485" s="4" t="n">
        <v>2</v>
      </c>
      <c r="J6485" s="4" t="n">
        <f aca="false">LEN(E6485)-LEN(SUBSTITUTE(E6485,",",""))+1</f>
        <v>1</v>
      </c>
      <c r="K6485" s="3" t="str">
        <f aca="false">IFERROR(INDEX('Teacher Lookup'!$B$2:$B$200,MATCH(A6485,'Teacher Lookup'!$A$2:$A$200,0)),"")</f>
        <v>GESKE Luis</v>
      </c>
    </row>
    <row r="6486" customFormat="false" ht="15" hidden="false" customHeight="false" outlineLevel="0" collapsed="false">
      <c r="A6486" s="3" t="s">
        <v>473</v>
      </c>
      <c r="B6486" s="4" t="s">
        <v>40</v>
      </c>
      <c r="C6486" s="4" t="n">
        <v>7</v>
      </c>
      <c r="D6486" s="4" t="s">
        <v>140</v>
      </c>
      <c r="E6486" s="3" t="s">
        <v>297</v>
      </c>
      <c r="F6486" s="4" t="str">
        <f aca="false">IF(I6486&gt;J6486,"Y","N")</f>
        <v>Y</v>
      </c>
      <c r="G6486" s="3" t="s">
        <v>296</v>
      </c>
      <c r="H6486" s="3" t="s">
        <v>39</v>
      </c>
      <c r="I6486" s="4" t="n">
        <v>2</v>
      </c>
      <c r="J6486" s="4" t="n">
        <f aca="false">LEN(E6486)-LEN(SUBSTITUTE(E6486,",",""))+1</f>
        <v>1</v>
      </c>
      <c r="K6486" s="3" t="str">
        <f aca="false">IFERROR(INDEX('Teacher Lookup'!$B$2:$B$200,MATCH(A6486,'Teacher Lookup'!$A$2:$A$200,0)),"")</f>
        <v>GESKE Luis</v>
      </c>
    </row>
    <row r="6487" customFormat="false" ht="15" hidden="false" customHeight="false" outlineLevel="0" collapsed="false">
      <c r="A6487" s="3" t="s">
        <v>473</v>
      </c>
      <c r="B6487" s="4" t="s">
        <v>44</v>
      </c>
      <c r="C6487" s="4" t="n">
        <v>2</v>
      </c>
      <c r="D6487" s="4" t="s">
        <v>13</v>
      </c>
      <c r="E6487" s="3" t="s">
        <v>298</v>
      </c>
      <c r="F6487" s="4" t="str">
        <f aca="false">IF(I6487&gt;J6487,"Y","N")</f>
        <v>N</v>
      </c>
      <c r="G6487" s="3" t="s">
        <v>299</v>
      </c>
      <c r="H6487" s="3" t="s">
        <v>21</v>
      </c>
      <c r="I6487" s="4" t="n">
        <v>2</v>
      </c>
      <c r="J6487" s="4" t="n">
        <f aca="false">LEN(E6487)-LEN(SUBSTITUTE(E6487,",",""))+1</f>
        <v>2</v>
      </c>
      <c r="K6487" s="3" t="str">
        <f aca="false">IFERROR(INDEX('Teacher Lookup'!$B$2:$B$200,MATCH(A6487,'Teacher Lookup'!$A$2:$A$200,0)),"")</f>
        <v>GESKE Luis</v>
      </c>
    </row>
    <row r="6488" customFormat="false" ht="15" hidden="false" customHeight="false" outlineLevel="0" collapsed="false">
      <c r="A6488" s="3" t="s">
        <v>473</v>
      </c>
      <c r="B6488" s="4" t="s">
        <v>44</v>
      </c>
      <c r="C6488" s="4" t="n">
        <v>4</v>
      </c>
      <c r="D6488" s="4" t="s">
        <v>19</v>
      </c>
      <c r="E6488" s="3" t="s">
        <v>297</v>
      </c>
      <c r="F6488" s="4" t="str">
        <f aca="false">IF(I6488&gt;J6488,"Y","N")</f>
        <v>Y</v>
      </c>
      <c r="G6488" s="3" t="s">
        <v>296</v>
      </c>
      <c r="H6488" s="3" t="s">
        <v>34</v>
      </c>
      <c r="I6488" s="4" t="n">
        <v>2</v>
      </c>
      <c r="J6488" s="4" t="n">
        <f aca="false">LEN(E6488)-LEN(SUBSTITUTE(E6488,",",""))+1</f>
        <v>1</v>
      </c>
      <c r="K6488" s="3" t="str">
        <f aca="false">IFERROR(INDEX('Teacher Lookup'!$B$2:$B$200,MATCH(A6488,'Teacher Lookup'!$A$2:$A$200,0)),"")</f>
        <v>GESKE Luis</v>
      </c>
    </row>
    <row r="6489" customFormat="false" ht="15" hidden="false" customHeight="false" outlineLevel="0" collapsed="false">
      <c r="A6489" s="3" t="s">
        <v>473</v>
      </c>
      <c r="B6489" s="4" t="s">
        <v>44</v>
      </c>
      <c r="C6489" s="4" t="n">
        <v>6</v>
      </c>
      <c r="D6489" s="4" t="s">
        <v>127</v>
      </c>
      <c r="E6489" s="3" t="s">
        <v>298</v>
      </c>
      <c r="F6489" s="4" t="str">
        <f aca="false">IF(I6489&gt;J6489,"Y","N")</f>
        <v>N</v>
      </c>
      <c r="G6489" s="3" t="s">
        <v>299</v>
      </c>
      <c r="H6489" s="3" t="s">
        <v>42</v>
      </c>
      <c r="I6489" s="4" t="n">
        <v>2</v>
      </c>
      <c r="J6489" s="4" t="n">
        <f aca="false">LEN(E6489)-LEN(SUBSTITUTE(E6489,",",""))+1</f>
        <v>2</v>
      </c>
      <c r="K6489" s="3" t="str">
        <f aca="false">IFERROR(INDEX('Teacher Lookup'!$B$2:$B$200,MATCH(A6489,'Teacher Lookup'!$A$2:$A$200,0)),"")</f>
        <v>GESKE Luis</v>
      </c>
    </row>
    <row r="6490" customFormat="false" ht="15" hidden="false" customHeight="false" outlineLevel="0" collapsed="false">
      <c r="A6490" s="3" t="s">
        <v>473</v>
      </c>
      <c r="B6490" s="4" t="s">
        <v>47</v>
      </c>
      <c r="C6490" s="4" t="n">
        <v>3</v>
      </c>
      <c r="D6490" s="4" t="s">
        <v>124</v>
      </c>
      <c r="E6490" s="3" t="s">
        <v>298</v>
      </c>
      <c r="F6490" s="4" t="str">
        <f aca="false">IF(I6490&gt;J6490,"Y","N")</f>
        <v>N</v>
      </c>
      <c r="G6490" s="3" t="s">
        <v>299</v>
      </c>
      <c r="H6490" s="3" t="s">
        <v>26</v>
      </c>
      <c r="I6490" s="4" t="n">
        <v>2</v>
      </c>
      <c r="J6490" s="4" t="n">
        <f aca="false">LEN(E6490)-LEN(SUBSTITUTE(E6490,",",""))+1</f>
        <v>2</v>
      </c>
      <c r="K6490" s="3" t="str">
        <f aca="false">IFERROR(INDEX('Teacher Lookup'!$B$2:$B$200,MATCH(A6490,'Teacher Lookup'!$A$2:$A$200,0)),"")</f>
        <v>GESKE Luis</v>
      </c>
    </row>
    <row r="6491" customFormat="false" ht="15" hidden="false" customHeight="false" outlineLevel="0" collapsed="false">
      <c r="A6491" s="3" t="s">
        <v>473</v>
      </c>
      <c r="B6491" s="4" t="s">
        <v>47</v>
      </c>
      <c r="C6491" s="4" t="n">
        <v>4</v>
      </c>
      <c r="D6491" s="4" t="s">
        <v>18</v>
      </c>
      <c r="E6491" s="3" t="s">
        <v>297</v>
      </c>
      <c r="F6491" s="4" t="str">
        <f aca="false">IF(I6491&gt;J6491,"Y","N")</f>
        <v>Y</v>
      </c>
      <c r="G6491" s="3" t="s">
        <v>296</v>
      </c>
      <c r="H6491" s="3" t="s">
        <v>34</v>
      </c>
      <c r="I6491" s="4" t="n">
        <v>2</v>
      </c>
      <c r="J6491" s="4" t="n">
        <f aca="false">LEN(E6491)-LEN(SUBSTITUTE(E6491,",",""))+1</f>
        <v>1</v>
      </c>
      <c r="K6491" s="3" t="str">
        <f aca="false">IFERROR(INDEX('Teacher Lookup'!$B$2:$B$200,MATCH(A6491,'Teacher Lookup'!$A$2:$A$200,0)),"")</f>
        <v>GESKE Luis</v>
      </c>
    </row>
    <row r="6492" customFormat="false" ht="15" hidden="false" customHeight="false" outlineLevel="0" collapsed="false">
      <c r="A6492" s="3" t="s">
        <v>473</v>
      </c>
      <c r="B6492" s="4" t="s">
        <v>50</v>
      </c>
      <c r="C6492" s="4" t="n">
        <v>4</v>
      </c>
      <c r="D6492" s="4" t="s">
        <v>137</v>
      </c>
      <c r="E6492" s="3" t="s">
        <v>221</v>
      </c>
      <c r="F6492" s="4" t="str">
        <f aca="false">IF(I6492&gt;J6492,"Y","N")</f>
        <v>Y</v>
      </c>
      <c r="G6492" s="3" t="s">
        <v>222</v>
      </c>
      <c r="H6492" s="3" t="s">
        <v>34</v>
      </c>
      <c r="I6492" s="4" t="n">
        <v>15</v>
      </c>
      <c r="J6492" s="4" t="n">
        <f aca="false">LEN(E6492)-LEN(SUBSTITUTE(E6492,",",""))+1</f>
        <v>7</v>
      </c>
      <c r="K6492" s="3" t="str">
        <f aca="false">IFERROR(INDEX('Teacher Lookup'!$B$2:$B$200,MATCH(A6492,'Teacher Lookup'!$A$2:$A$200,0)),"")</f>
        <v>GESKE Luis</v>
      </c>
    </row>
    <row r="6493" customFormat="false" ht="15" hidden="false" customHeight="false" outlineLevel="0" collapsed="false">
      <c r="A6493" s="3" t="s">
        <v>473</v>
      </c>
      <c r="B6493" s="4" t="s">
        <v>50</v>
      </c>
      <c r="C6493" s="4" t="n">
        <v>4</v>
      </c>
      <c r="D6493" s="4" t="s">
        <v>124</v>
      </c>
      <c r="E6493" s="3" t="s">
        <v>221</v>
      </c>
      <c r="F6493" s="4" t="str">
        <f aca="false">IF(I6493&gt;J6493,"Y","N")</f>
        <v>Y</v>
      </c>
      <c r="G6493" s="3" t="s">
        <v>222</v>
      </c>
      <c r="H6493" s="3" t="s">
        <v>34</v>
      </c>
      <c r="I6493" s="4" t="n">
        <v>15</v>
      </c>
      <c r="J6493" s="4" t="n">
        <f aca="false">LEN(E6493)-LEN(SUBSTITUTE(E6493,",",""))+1</f>
        <v>7</v>
      </c>
      <c r="K6493" s="3" t="str">
        <f aca="false">IFERROR(INDEX('Teacher Lookup'!$B$2:$B$200,MATCH(A6493,'Teacher Lookup'!$A$2:$A$200,0)),"")</f>
        <v>GESKE Luis</v>
      </c>
    </row>
    <row r="6494" customFormat="false" ht="15" hidden="false" customHeight="false" outlineLevel="0" collapsed="false">
      <c r="A6494" s="3" t="s">
        <v>473</v>
      </c>
      <c r="B6494" s="4" t="s">
        <v>50</v>
      </c>
      <c r="C6494" s="4" t="n">
        <v>4</v>
      </c>
      <c r="D6494" s="4" t="s">
        <v>139</v>
      </c>
      <c r="E6494" s="3" t="s">
        <v>221</v>
      </c>
      <c r="F6494" s="4" t="str">
        <f aca="false">IF(I6494&gt;J6494,"Y","N")</f>
        <v>Y</v>
      </c>
      <c r="G6494" s="3" t="s">
        <v>222</v>
      </c>
      <c r="H6494" s="3" t="s">
        <v>34</v>
      </c>
      <c r="I6494" s="4" t="n">
        <v>15</v>
      </c>
      <c r="J6494" s="4" t="n">
        <f aca="false">LEN(E6494)-LEN(SUBSTITUTE(E6494,",",""))+1</f>
        <v>7</v>
      </c>
      <c r="K6494" s="3" t="str">
        <f aca="false">IFERROR(INDEX('Teacher Lookup'!$B$2:$B$200,MATCH(A6494,'Teacher Lookup'!$A$2:$A$200,0)),"")</f>
        <v>GESKE Luis</v>
      </c>
    </row>
    <row r="6495" customFormat="false" ht="15" hidden="false" customHeight="false" outlineLevel="0" collapsed="false">
      <c r="A6495" s="3" t="s">
        <v>473</v>
      </c>
      <c r="B6495" s="4" t="s">
        <v>50</v>
      </c>
      <c r="C6495" s="4" t="n">
        <v>4</v>
      </c>
      <c r="D6495" s="4" t="s">
        <v>140</v>
      </c>
      <c r="E6495" s="3" t="s">
        <v>221</v>
      </c>
      <c r="F6495" s="4" t="str">
        <f aca="false">IF(I6495&gt;J6495,"Y","N")</f>
        <v>Y</v>
      </c>
      <c r="G6495" s="3" t="s">
        <v>222</v>
      </c>
      <c r="H6495" s="3" t="s">
        <v>34</v>
      </c>
      <c r="I6495" s="4" t="n">
        <v>15</v>
      </c>
      <c r="J6495" s="4" t="n">
        <f aca="false">LEN(E6495)-LEN(SUBSTITUTE(E6495,",",""))+1</f>
        <v>7</v>
      </c>
      <c r="K6495" s="3" t="str">
        <f aca="false">IFERROR(INDEX('Teacher Lookup'!$B$2:$B$200,MATCH(A6495,'Teacher Lookup'!$A$2:$A$200,0)),"")</f>
        <v>GESKE Luis</v>
      </c>
    </row>
    <row r="6496" customFormat="false" ht="15" hidden="false" customHeight="false" outlineLevel="0" collapsed="false">
      <c r="A6496" s="3" t="s">
        <v>473</v>
      </c>
      <c r="B6496" s="4" t="s">
        <v>50</v>
      </c>
      <c r="C6496" s="4" t="n">
        <v>4</v>
      </c>
      <c r="D6496" s="4" t="s">
        <v>142</v>
      </c>
      <c r="E6496" s="3" t="s">
        <v>221</v>
      </c>
      <c r="F6496" s="4" t="str">
        <f aca="false">IF(I6496&gt;J6496,"Y","N")</f>
        <v>Y</v>
      </c>
      <c r="G6496" s="3" t="s">
        <v>222</v>
      </c>
      <c r="H6496" s="3" t="s">
        <v>34</v>
      </c>
      <c r="I6496" s="4" t="n">
        <v>15</v>
      </c>
      <c r="J6496" s="4" t="n">
        <f aca="false">LEN(E6496)-LEN(SUBSTITUTE(E6496,",",""))+1</f>
        <v>7</v>
      </c>
      <c r="K6496" s="3" t="str">
        <f aca="false">IFERROR(INDEX('Teacher Lookup'!$B$2:$B$200,MATCH(A6496,'Teacher Lookup'!$A$2:$A$200,0)),"")</f>
        <v>GESKE Luis</v>
      </c>
    </row>
    <row r="6497" customFormat="false" ht="15" hidden="false" customHeight="false" outlineLevel="0" collapsed="false">
      <c r="A6497" s="3" t="s">
        <v>473</v>
      </c>
      <c r="B6497" s="4" t="s">
        <v>50</v>
      </c>
      <c r="C6497" s="4" t="n">
        <v>4</v>
      </c>
      <c r="D6497" s="4" t="s">
        <v>127</v>
      </c>
      <c r="E6497" s="3" t="s">
        <v>221</v>
      </c>
      <c r="F6497" s="4" t="str">
        <f aca="false">IF(I6497&gt;J6497,"Y","N")</f>
        <v>Y</v>
      </c>
      <c r="G6497" s="3" t="s">
        <v>222</v>
      </c>
      <c r="H6497" s="3" t="s">
        <v>34</v>
      </c>
      <c r="I6497" s="4" t="n">
        <v>15</v>
      </c>
      <c r="J6497" s="4" t="n">
        <f aca="false">LEN(E6497)-LEN(SUBSTITUTE(E6497,",",""))+1</f>
        <v>7</v>
      </c>
      <c r="K6497" s="3" t="str">
        <f aca="false">IFERROR(INDEX('Teacher Lookup'!$B$2:$B$200,MATCH(A6497,'Teacher Lookup'!$A$2:$A$200,0)),"")</f>
        <v>GESKE Luis</v>
      </c>
    </row>
    <row r="6498" customFormat="false" ht="15" hidden="false" customHeight="false" outlineLevel="0" collapsed="false">
      <c r="A6498" s="3" t="s">
        <v>473</v>
      </c>
      <c r="B6498" s="4" t="s">
        <v>50</v>
      </c>
      <c r="C6498" s="4" t="n">
        <v>5</v>
      </c>
      <c r="D6498" s="4" t="s">
        <v>137</v>
      </c>
      <c r="E6498" s="3" t="s">
        <v>221</v>
      </c>
      <c r="F6498" s="4" t="str">
        <f aca="false">IF(I6498&gt;J6498,"Y","N")</f>
        <v>Y</v>
      </c>
      <c r="G6498" s="3" t="s">
        <v>222</v>
      </c>
      <c r="H6498" s="3" t="s">
        <v>37</v>
      </c>
      <c r="I6498" s="4" t="n">
        <v>15</v>
      </c>
      <c r="J6498" s="4" t="n">
        <f aca="false">LEN(E6498)-LEN(SUBSTITUTE(E6498,",",""))+1</f>
        <v>7</v>
      </c>
      <c r="K6498" s="3" t="str">
        <f aca="false">IFERROR(INDEX('Teacher Lookup'!$B$2:$B$200,MATCH(A6498,'Teacher Lookup'!$A$2:$A$200,0)),"")</f>
        <v>GESKE Luis</v>
      </c>
    </row>
    <row r="6499" customFormat="false" ht="15" hidden="false" customHeight="false" outlineLevel="0" collapsed="false">
      <c r="A6499" s="3" t="s">
        <v>473</v>
      </c>
      <c r="B6499" s="4" t="s">
        <v>50</v>
      </c>
      <c r="C6499" s="4" t="n">
        <v>5</v>
      </c>
      <c r="D6499" s="4" t="s">
        <v>124</v>
      </c>
      <c r="E6499" s="3" t="s">
        <v>221</v>
      </c>
      <c r="F6499" s="4" t="str">
        <f aca="false">IF(I6499&gt;J6499,"Y","N")</f>
        <v>Y</v>
      </c>
      <c r="G6499" s="3" t="s">
        <v>222</v>
      </c>
      <c r="H6499" s="3" t="s">
        <v>37</v>
      </c>
      <c r="I6499" s="4" t="n">
        <v>15</v>
      </c>
      <c r="J6499" s="4" t="n">
        <f aca="false">LEN(E6499)-LEN(SUBSTITUTE(E6499,",",""))+1</f>
        <v>7</v>
      </c>
      <c r="K6499" s="3" t="str">
        <f aca="false">IFERROR(INDEX('Teacher Lookup'!$B$2:$B$200,MATCH(A6499,'Teacher Lookup'!$A$2:$A$200,0)),"")</f>
        <v>GESKE Luis</v>
      </c>
    </row>
    <row r="6500" customFormat="false" ht="15" hidden="false" customHeight="false" outlineLevel="0" collapsed="false">
      <c r="A6500" s="3" t="s">
        <v>473</v>
      </c>
      <c r="B6500" s="4" t="s">
        <v>50</v>
      </c>
      <c r="C6500" s="4" t="n">
        <v>5</v>
      </c>
      <c r="D6500" s="4" t="s">
        <v>139</v>
      </c>
      <c r="E6500" s="3" t="s">
        <v>221</v>
      </c>
      <c r="F6500" s="4" t="str">
        <f aca="false">IF(I6500&gt;J6500,"Y","N")</f>
        <v>Y</v>
      </c>
      <c r="G6500" s="3" t="s">
        <v>222</v>
      </c>
      <c r="H6500" s="3" t="s">
        <v>37</v>
      </c>
      <c r="I6500" s="4" t="n">
        <v>15</v>
      </c>
      <c r="J6500" s="4" t="n">
        <f aca="false">LEN(E6500)-LEN(SUBSTITUTE(E6500,",",""))+1</f>
        <v>7</v>
      </c>
      <c r="K6500" s="3" t="str">
        <f aca="false">IFERROR(INDEX('Teacher Lookup'!$B$2:$B$200,MATCH(A6500,'Teacher Lookup'!$A$2:$A$200,0)),"")</f>
        <v>GESKE Luis</v>
      </c>
    </row>
    <row r="6501" customFormat="false" ht="15" hidden="false" customHeight="false" outlineLevel="0" collapsed="false">
      <c r="A6501" s="3" t="s">
        <v>473</v>
      </c>
      <c r="B6501" s="4" t="s">
        <v>50</v>
      </c>
      <c r="C6501" s="4" t="n">
        <v>5</v>
      </c>
      <c r="D6501" s="4" t="s">
        <v>140</v>
      </c>
      <c r="E6501" s="3" t="s">
        <v>221</v>
      </c>
      <c r="F6501" s="4" t="str">
        <f aca="false">IF(I6501&gt;J6501,"Y","N")</f>
        <v>Y</v>
      </c>
      <c r="G6501" s="3" t="s">
        <v>222</v>
      </c>
      <c r="H6501" s="3" t="s">
        <v>37</v>
      </c>
      <c r="I6501" s="4" t="n">
        <v>15</v>
      </c>
      <c r="J6501" s="4" t="n">
        <f aca="false">LEN(E6501)-LEN(SUBSTITUTE(E6501,",",""))+1</f>
        <v>7</v>
      </c>
      <c r="K6501" s="3" t="str">
        <f aca="false">IFERROR(INDEX('Teacher Lookup'!$B$2:$B$200,MATCH(A6501,'Teacher Lookup'!$A$2:$A$200,0)),"")</f>
        <v>GESKE Luis</v>
      </c>
    </row>
    <row r="6502" customFormat="false" ht="15" hidden="false" customHeight="false" outlineLevel="0" collapsed="false">
      <c r="A6502" s="3" t="s">
        <v>473</v>
      </c>
      <c r="B6502" s="4" t="s">
        <v>50</v>
      </c>
      <c r="C6502" s="4" t="n">
        <v>5</v>
      </c>
      <c r="D6502" s="4" t="s">
        <v>142</v>
      </c>
      <c r="E6502" s="3" t="s">
        <v>221</v>
      </c>
      <c r="F6502" s="4" t="str">
        <f aca="false">IF(I6502&gt;J6502,"Y","N")</f>
        <v>Y</v>
      </c>
      <c r="G6502" s="3" t="s">
        <v>222</v>
      </c>
      <c r="H6502" s="3" t="s">
        <v>37</v>
      </c>
      <c r="I6502" s="4" t="n">
        <v>15</v>
      </c>
      <c r="J6502" s="4" t="n">
        <f aca="false">LEN(E6502)-LEN(SUBSTITUTE(E6502,",",""))+1</f>
        <v>7</v>
      </c>
      <c r="K6502" s="3" t="str">
        <f aca="false">IFERROR(INDEX('Teacher Lookup'!$B$2:$B$200,MATCH(A6502,'Teacher Lookup'!$A$2:$A$200,0)),"")</f>
        <v>GESKE Luis</v>
      </c>
    </row>
    <row r="6503" customFormat="false" ht="15" hidden="false" customHeight="false" outlineLevel="0" collapsed="false">
      <c r="A6503" s="3" t="s">
        <v>473</v>
      </c>
      <c r="B6503" s="4" t="s">
        <v>50</v>
      </c>
      <c r="C6503" s="4" t="n">
        <v>5</v>
      </c>
      <c r="D6503" s="4" t="s">
        <v>127</v>
      </c>
      <c r="E6503" s="3" t="s">
        <v>221</v>
      </c>
      <c r="F6503" s="4" t="str">
        <f aca="false">IF(I6503&gt;J6503,"Y","N")</f>
        <v>Y</v>
      </c>
      <c r="G6503" s="3" t="s">
        <v>222</v>
      </c>
      <c r="H6503" s="3" t="s">
        <v>37</v>
      </c>
      <c r="I6503" s="4" t="n">
        <v>15</v>
      </c>
      <c r="J6503" s="4" t="n">
        <f aca="false">LEN(E6503)-LEN(SUBSTITUTE(E6503,",",""))+1</f>
        <v>7</v>
      </c>
      <c r="K6503" s="3" t="str">
        <f aca="false">IFERROR(INDEX('Teacher Lookup'!$B$2:$B$200,MATCH(A6503,'Teacher Lookup'!$A$2:$A$200,0)),"")</f>
        <v>GESKE Luis</v>
      </c>
    </row>
    <row r="6504" customFormat="false" ht="15" hidden="false" customHeight="false" outlineLevel="0" collapsed="false">
      <c r="A6504" s="3" t="s">
        <v>473</v>
      </c>
      <c r="B6504" s="4" t="s">
        <v>50</v>
      </c>
      <c r="C6504" s="4" t="n">
        <v>7</v>
      </c>
      <c r="D6504" s="4" t="s">
        <v>19</v>
      </c>
      <c r="E6504" s="3" t="s">
        <v>298</v>
      </c>
      <c r="F6504" s="4" t="str">
        <f aca="false">IF(I6504&gt;J6504,"Y","N")</f>
        <v>N</v>
      </c>
      <c r="G6504" s="3" t="s">
        <v>299</v>
      </c>
      <c r="H6504" s="3" t="s">
        <v>39</v>
      </c>
      <c r="I6504" s="4" t="n">
        <v>2</v>
      </c>
      <c r="J6504" s="4" t="n">
        <f aca="false">LEN(E6504)-LEN(SUBSTITUTE(E6504,",",""))+1</f>
        <v>2</v>
      </c>
      <c r="K6504" s="3" t="str">
        <f aca="false">IFERROR(INDEX('Teacher Lookup'!$B$2:$B$200,MATCH(A6504,'Teacher Lookup'!$A$2:$A$200,0)),"")</f>
        <v>GESKE Luis</v>
      </c>
    </row>
    <row r="6505" customFormat="false" ht="15" hidden="false" customHeight="false" outlineLevel="0" collapsed="false">
      <c r="A6505" s="3" t="s">
        <v>473</v>
      </c>
      <c r="B6505" s="4" t="s">
        <v>60</v>
      </c>
      <c r="C6505" s="4" t="n">
        <v>1</v>
      </c>
      <c r="D6505" s="4" t="s">
        <v>127</v>
      </c>
      <c r="E6505" s="3" t="s">
        <v>297</v>
      </c>
      <c r="F6505" s="4" t="str">
        <f aca="false">IF(I6505&gt;J6505,"Y","N")</f>
        <v>Y</v>
      </c>
      <c r="G6505" s="3" t="s">
        <v>296</v>
      </c>
      <c r="H6505" s="3" t="s">
        <v>16</v>
      </c>
      <c r="I6505" s="4" t="n">
        <v>2</v>
      </c>
      <c r="J6505" s="4" t="n">
        <f aca="false">LEN(E6505)-LEN(SUBSTITUTE(E6505,",",""))+1</f>
        <v>1</v>
      </c>
      <c r="K6505" s="3" t="str">
        <f aca="false">IFERROR(INDEX('Teacher Lookup'!$B$2:$B$200,MATCH(A6505,'Teacher Lookup'!$A$2:$A$200,0)),"")</f>
        <v>GESKE Luis</v>
      </c>
    </row>
    <row r="6506" customFormat="false" ht="15" hidden="false" customHeight="false" outlineLevel="0" collapsed="false">
      <c r="A6506" s="3" t="s">
        <v>473</v>
      </c>
      <c r="B6506" s="4" t="s">
        <v>60</v>
      </c>
      <c r="C6506" s="4" t="n">
        <v>2</v>
      </c>
      <c r="D6506" s="4" t="s">
        <v>124</v>
      </c>
      <c r="E6506" s="3" t="s">
        <v>297</v>
      </c>
      <c r="F6506" s="4" t="str">
        <f aca="false">IF(I6506&gt;J6506,"Y","N")</f>
        <v>Y</v>
      </c>
      <c r="G6506" s="3" t="s">
        <v>296</v>
      </c>
      <c r="H6506" s="3" t="s">
        <v>21</v>
      </c>
      <c r="I6506" s="4" t="n">
        <v>2</v>
      </c>
      <c r="J6506" s="4" t="n">
        <f aca="false">LEN(E6506)-LEN(SUBSTITUTE(E6506,",",""))+1</f>
        <v>1</v>
      </c>
      <c r="K6506" s="3" t="str">
        <f aca="false">IFERROR(INDEX('Teacher Lookup'!$B$2:$B$200,MATCH(A6506,'Teacher Lookup'!$A$2:$A$200,0)),"")</f>
        <v>GESKE Luis</v>
      </c>
    </row>
    <row r="6507" customFormat="false" ht="15" hidden="false" customHeight="false" outlineLevel="0" collapsed="false">
      <c r="A6507" s="3" t="s">
        <v>473</v>
      </c>
      <c r="B6507" s="4" t="s">
        <v>60</v>
      </c>
      <c r="C6507" s="4" t="n">
        <v>6</v>
      </c>
      <c r="D6507" s="4" t="s">
        <v>13</v>
      </c>
      <c r="E6507" s="3" t="s">
        <v>297</v>
      </c>
      <c r="F6507" s="4" t="str">
        <f aca="false">IF(I6507&gt;J6507,"Y","N")</f>
        <v>Y</v>
      </c>
      <c r="G6507" s="3" t="s">
        <v>296</v>
      </c>
      <c r="H6507" s="3" t="s">
        <v>42</v>
      </c>
      <c r="I6507" s="4" t="n">
        <v>2</v>
      </c>
      <c r="J6507" s="4" t="n">
        <f aca="false">LEN(E6507)-LEN(SUBSTITUTE(E6507,",",""))+1</f>
        <v>1</v>
      </c>
      <c r="K6507" s="3" t="str">
        <f aca="false">IFERROR(INDEX('Teacher Lookup'!$B$2:$B$200,MATCH(A6507,'Teacher Lookup'!$A$2:$A$200,0)),"")</f>
        <v>GESKE Luis</v>
      </c>
    </row>
    <row r="6508" customFormat="false" ht="15" hidden="false" customHeight="false" outlineLevel="0" collapsed="false">
      <c r="A6508" s="3" t="s">
        <v>473</v>
      </c>
      <c r="B6508" s="4" t="s">
        <v>63</v>
      </c>
      <c r="C6508" s="4" t="n">
        <v>2</v>
      </c>
      <c r="D6508" s="4" t="s">
        <v>137</v>
      </c>
      <c r="E6508" s="3" t="s">
        <v>297</v>
      </c>
      <c r="F6508" s="4" t="str">
        <f aca="false">IF(I6508&gt;J6508,"Y","N")</f>
        <v>Y</v>
      </c>
      <c r="G6508" s="3" t="s">
        <v>296</v>
      </c>
      <c r="H6508" s="3" t="s">
        <v>21</v>
      </c>
      <c r="I6508" s="4" t="n">
        <v>2</v>
      </c>
      <c r="J6508" s="4" t="n">
        <f aca="false">LEN(E6508)-LEN(SUBSTITUTE(E6508,",",""))+1</f>
        <v>1</v>
      </c>
      <c r="K6508" s="3" t="str">
        <f aca="false">IFERROR(INDEX('Teacher Lookup'!$B$2:$B$200,MATCH(A6508,'Teacher Lookup'!$A$2:$A$200,0)),"")</f>
        <v>GESKE Luis</v>
      </c>
    </row>
    <row r="6509" customFormat="false" ht="15" hidden="false" customHeight="false" outlineLevel="0" collapsed="false">
      <c r="A6509" s="3" t="s">
        <v>473</v>
      </c>
      <c r="B6509" s="4" t="s">
        <v>63</v>
      </c>
      <c r="C6509" s="4" t="n">
        <v>3</v>
      </c>
      <c r="D6509" s="4" t="s">
        <v>142</v>
      </c>
      <c r="E6509" s="3" t="s">
        <v>297</v>
      </c>
      <c r="F6509" s="4" t="str">
        <f aca="false">IF(I6509&gt;J6509,"Y","N")</f>
        <v>Y</v>
      </c>
      <c r="G6509" s="3" t="s">
        <v>296</v>
      </c>
      <c r="H6509" s="3" t="s">
        <v>26</v>
      </c>
      <c r="I6509" s="4" t="n">
        <v>2</v>
      </c>
      <c r="J6509" s="4" t="n">
        <f aca="false">LEN(E6509)-LEN(SUBSTITUTE(E6509,",",""))+1</f>
        <v>1</v>
      </c>
      <c r="K6509" s="3" t="str">
        <f aca="false">IFERROR(INDEX('Teacher Lookup'!$B$2:$B$200,MATCH(A6509,'Teacher Lookup'!$A$2:$A$200,0)),"")</f>
        <v>GESKE Luis</v>
      </c>
    </row>
    <row r="6510" customFormat="false" ht="15" hidden="false" customHeight="false" outlineLevel="0" collapsed="false">
      <c r="A6510" s="3" t="s">
        <v>473</v>
      </c>
      <c r="B6510" s="4" t="s">
        <v>63</v>
      </c>
      <c r="C6510" s="4" t="n">
        <v>6</v>
      </c>
      <c r="D6510" s="4" t="s">
        <v>127</v>
      </c>
      <c r="E6510" s="3" t="s">
        <v>297</v>
      </c>
      <c r="F6510" s="4" t="str">
        <f aca="false">IF(I6510&gt;J6510,"Y","N")</f>
        <v>Y</v>
      </c>
      <c r="G6510" s="3" t="s">
        <v>296</v>
      </c>
      <c r="H6510" s="3" t="s">
        <v>42</v>
      </c>
      <c r="I6510" s="4" t="n">
        <v>2</v>
      </c>
      <c r="J6510" s="4" t="n">
        <f aca="false">LEN(E6510)-LEN(SUBSTITUTE(E6510,",",""))+1</f>
        <v>1</v>
      </c>
      <c r="K6510" s="3" t="str">
        <f aca="false">IFERROR(INDEX('Teacher Lookup'!$B$2:$B$200,MATCH(A6510,'Teacher Lookup'!$A$2:$A$200,0)),"")</f>
        <v>GESKE Luis</v>
      </c>
    </row>
    <row r="6511" customFormat="false" ht="15" hidden="false" customHeight="false" outlineLevel="0" collapsed="false">
      <c r="A6511" s="3" t="s">
        <v>473</v>
      </c>
      <c r="B6511" s="4" t="s">
        <v>63</v>
      </c>
      <c r="C6511" s="4" t="n">
        <v>7</v>
      </c>
      <c r="D6511" s="4" t="s">
        <v>13</v>
      </c>
      <c r="E6511" s="3" t="s">
        <v>297</v>
      </c>
      <c r="F6511" s="4" t="str">
        <f aca="false">IF(I6511&gt;J6511,"Y","N")</f>
        <v>Y</v>
      </c>
      <c r="G6511" s="3" t="s">
        <v>296</v>
      </c>
      <c r="H6511" s="3" t="s">
        <v>39</v>
      </c>
      <c r="I6511" s="4" t="n">
        <v>2</v>
      </c>
      <c r="J6511" s="4" t="n">
        <f aca="false">LEN(E6511)-LEN(SUBSTITUTE(E6511,",",""))+1</f>
        <v>1</v>
      </c>
      <c r="K6511" s="3" t="str">
        <f aca="false">IFERROR(INDEX('Teacher Lookup'!$B$2:$B$200,MATCH(A6511,'Teacher Lookup'!$A$2:$A$200,0)),"")</f>
        <v>GESKE Luis</v>
      </c>
    </row>
    <row r="6512" customFormat="false" ht="15" hidden="false" customHeight="false" outlineLevel="0" collapsed="false">
      <c r="A6512" s="3" t="s">
        <v>473</v>
      </c>
      <c r="B6512" s="4" t="s">
        <v>65</v>
      </c>
      <c r="C6512" s="4" t="n">
        <v>1</v>
      </c>
      <c r="D6512" s="4" t="s">
        <v>140</v>
      </c>
      <c r="E6512" s="3" t="s">
        <v>298</v>
      </c>
      <c r="F6512" s="4" t="str">
        <f aca="false">IF(I6512&gt;J6512,"Y","N")</f>
        <v>N</v>
      </c>
      <c r="G6512" s="3" t="s">
        <v>299</v>
      </c>
      <c r="H6512" s="3" t="s">
        <v>16</v>
      </c>
      <c r="I6512" s="4" t="n">
        <v>2</v>
      </c>
      <c r="J6512" s="4" t="n">
        <f aca="false">LEN(E6512)-LEN(SUBSTITUTE(E6512,",",""))+1</f>
        <v>2</v>
      </c>
      <c r="K6512" s="3" t="str">
        <f aca="false">IFERROR(INDEX('Teacher Lookup'!$B$2:$B$200,MATCH(A6512,'Teacher Lookup'!$A$2:$A$200,0)),"")</f>
        <v>GESKE Luis</v>
      </c>
    </row>
    <row r="6513" customFormat="false" ht="15" hidden="false" customHeight="false" outlineLevel="0" collapsed="false">
      <c r="A6513" s="3" t="s">
        <v>473</v>
      </c>
      <c r="B6513" s="4" t="s">
        <v>65</v>
      </c>
      <c r="C6513" s="4" t="n">
        <v>4</v>
      </c>
      <c r="D6513" s="4" t="s">
        <v>137</v>
      </c>
      <c r="E6513" s="3" t="s">
        <v>297</v>
      </c>
      <c r="F6513" s="4" t="str">
        <f aca="false">IF(I6513&gt;J6513,"Y","N")</f>
        <v>Y</v>
      </c>
      <c r="G6513" s="3" t="s">
        <v>296</v>
      </c>
      <c r="H6513" s="3" t="s">
        <v>34</v>
      </c>
      <c r="I6513" s="4" t="n">
        <v>2</v>
      </c>
      <c r="J6513" s="4" t="n">
        <f aca="false">LEN(E6513)-LEN(SUBSTITUTE(E6513,",",""))+1</f>
        <v>1</v>
      </c>
      <c r="K6513" s="3" t="str">
        <f aca="false">IFERROR(INDEX('Teacher Lookup'!$B$2:$B$200,MATCH(A6513,'Teacher Lookup'!$A$2:$A$200,0)),"")</f>
        <v>GESKE Luis</v>
      </c>
    </row>
    <row r="6514" customFormat="false" ht="15" hidden="false" customHeight="false" outlineLevel="0" collapsed="false">
      <c r="A6514" s="3" t="s">
        <v>473</v>
      </c>
      <c r="B6514" s="4" t="s">
        <v>65</v>
      </c>
      <c r="C6514" s="4" t="n">
        <v>6</v>
      </c>
      <c r="D6514" s="4" t="s">
        <v>139</v>
      </c>
      <c r="E6514" s="3" t="s">
        <v>298</v>
      </c>
      <c r="F6514" s="4" t="str">
        <f aca="false">IF(I6514&gt;J6514,"Y","N")</f>
        <v>N</v>
      </c>
      <c r="G6514" s="3" t="s">
        <v>299</v>
      </c>
      <c r="H6514" s="3" t="s">
        <v>42</v>
      </c>
      <c r="I6514" s="4" t="n">
        <v>2</v>
      </c>
      <c r="J6514" s="4" t="n">
        <f aca="false">LEN(E6514)-LEN(SUBSTITUTE(E6514,",",""))+1</f>
        <v>2</v>
      </c>
      <c r="K6514" s="3" t="str">
        <f aca="false">IFERROR(INDEX('Teacher Lookup'!$B$2:$B$200,MATCH(A6514,'Teacher Lookup'!$A$2:$A$200,0)),"")</f>
        <v>GESKE Luis</v>
      </c>
    </row>
    <row r="6515" customFormat="false" ht="15" hidden="false" customHeight="false" outlineLevel="0" collapsed="false">
      <c r="A6515" s="3" t="s">
        <v>473</v>
      </c>
      <c r="B6515" s="4" t="s">
        <v>66</v>
      </c>
      <c r="C6515" s="4" t="n">
        <v>2</v>
      </c>
      <c r="D6515" s="4" t="s">
        <v>18</v>
      </c>
      <c r="E6515" s="3" t="s">
        <v>298</v>
      </c>
      <c r="F6515" s="4" t="str">
        <f aca="false">IF(I6515&gt;J6515,"Y","N")</f>
        <v>N</v>
      </c>
      <c r="G6515" s="3" t="s">
        <v>299</v>
      </c>
      <c r="H6515" s="3" t="s">
        <v>21</v>
      </c>
      <c r="I6515" s="4" t="n">
        <v>2</v>
      </c>
      <c r="J6515" s="4" t="n">
        <f aca="false">LEN(E6515)-LEN(SUBSTITUTE(E6515,",",""))+1</f>
        <v>2</v>
      </c>
      <c r="K6515" s="3" t="str">
        <f aca="false">IFERROR(INDEX('Teacher Lookup'!$B$2:$B$200,MATCH(A6515,'Teacher Lookup'!$A$2:$A$200,0)),"")</f>
        <v>GESKE Luis</v>
      </c>
    </row>
    <row r="6516" customFormat="false" ht="15" hidden="false" customHeight="false" outlineLevel="0" collapsed="false">
      <c r="A6516" s="3" t="s">
        <v>473</v>
      </c>
      <c r="B6516" s="4" t="s">
        <v>66</v>
      </c>
      <c r="C6516" s="4" t="n">
        <v>4</v>
      </c>
      <c r="D6516" s="4" t="s">
        <v>124</v>
      </c>
      <c r="E6516" s="3" t="s">
        <v>297</v>
      </c>
      <c r="F6516" s="4" t="str">
        <f aca="false">IF(I6516&gt;J6516,"Y","N")</f>
        <v>Y</v>
      </c>
      <c r="G6516" s="3" t="s">
        <v>296</v>
      </c>
      <c r="H6516" s="3" t="s">
        <v>34</v>
      </c>
      <c r="I6516" s="4" t="n">
        <v>2</v>
      </c>
      <c r="J6516" s="4" t="n">
        <f aca="false">LEN(E6516)-LEN(SUBSTITUTE(E6516,",",""))+1</f>
        <v>1</v>
      </c>
      <c r="K6516" s="3" t="str">
        <f aca="false">IFERROR(INDEX('Teacher Lookup'!$B$2:$B$200,MATCH(A6516,'Teacher Lookup'!$A$2:$A$200,0)),"")</f>
        <v>GESKE Luis</v>
      </c>
    </row>
    <row r="6517" customFormat="false" ht="15" hidden="false" customHeight="false" outlineLevel="0" collapsed="false">
      <c r="A6517" s="3" t="s">
        <v>473</v>
      </c>
      <c r="B6517" s="4" t="s">
        <v>66</v>
      </c>
      <c r="C6517" s="4" t="n">
        <v>7</v>
      </c>
      <c r="D6517" s="4" t="s">
        <v>142</v>
      </c>
      <c r="E6517" s="3" t="s">
        <v>297</v>
      </c>
      <c r="F6517" s="4" t="str">
        <f aca="false">IF(I6517&gt;J6517,"Y","N")</f>
        <v>Y</v>
      </c>
      <c r="G6517" s="3" t="s">
        <v>296</v>
      </c>
      <c r="H6517" s="3" t="s">
        <v>39</v>
      </c>
      <c r="I6517" s="4" t="n">
        <v>2</v>
      </c>
      <c r="J6517" s="4" t="n">
        <f aca="false">LEN(E6517)-LEN(SUBSTITUTE(E6517,",",""))+1</f>
        <v>1</v>
      </c>
      <c r="K6517" s="3" t="str">
        <f aca="false">IFERROR(INDEX('Teacher Lookup'!$B$2:$B$200,MATCH(A6517,'Teacher Lookup'!$A$2:$A$200,0)),"")</f>
        <v>GESKE Luis</v>
      </c>
    </row>
    <row r="6518" customFormat="false" ht="15" hidden="false" customHeight="false" outlineLevel="0" collapsed="false">
      <c r="A6518" s="3" t="s">
        <v>474</v>
      </c>
      <c r="B6518" s="4" t="s">
        <v>12</v>
      </c>
      <c r="C6518" s="4" t="n">
        <v>1</v>
      </c>
      <c r="D6518" s="4" t="s">
        <v>28</v>
      </c>
      <c r="E6518" s="3" t="s">
        <v>362</v>
      </c>
      <c r="F6518" s="4" t="str">
        <f aca="false">IF(I6518&gt;J6518,"Y","N")</f>
        <v>N</v>
      </c>
      <c r="G6518" s="3" t="s">
        <v>99</v>
      </c>
      <c r="H6518" s="3" t="s">
        <v>16</v>
      </c>
      <c r="I6518" s="4" t="n">
        <v>1</v>
      </c>
      <c r="J6518" s="4" t="n">
        <f aca="false">LEN(E6518)-LEN(SUBSTITUTE(E6518,",",""))+1</f>
        <v>1</v>
      </c>
      <c r="K6518" s="3" t="str">
        <f aca="false">IFERROR(INDEX('Teacher Lookup'!$B$2:$B$200,MATCH(A6518,'Teacher Lookup'!$A$2:$A$200,0)),"")</f>
        <v>TSANG Leo</v>
      </c>
    </row>
    <row r="6519" customFormat="false" ht="15" hidden="false" customHeight="false" outlineLevel="0" collapsed="false">
      <c r="A6519" s="3" t="s">
        <v>474</v>
      </c>
      <c r="B6519" s="4" t="s">
        <v>12</v>
      </c>
      <c r="C6519" s="4" t="n">
        <v>2</v>
      </c>
      <c r="D6519" s="4" t="s">
        <v>24</v>
      </c>
      <c r="E6519" s="3" t="s">
        <v>271</v>
      </c>
      <c r="F6519" s="4" t="str">
        <f aca="false">IF(I6519&gt;J6519,"Y","N")</f>
        <v>Y</v>
      </c>
      <c r="G6519" s="3" t="s">
        <v>272</v>
      </c>
      <c r="H6519" s="3" t="s">
        <v>21</v>
      </c>
      <c r="I6519" s="4" t="n">
        <v>8</v>
      </c>
      <c r="J6519" s="4" t="n">
        <f aca="false">LEN(E6519)-LEN(SUBSTITUTE(E6519,",",""))+1</f>
        <v>7</v>
      </c>
      <c r="K6519" s="3" t="str">
        <f aca="false">IFERROR(INDEX('Teacher Lookup'!$B$2:$B$200,MATCH(A6519,'Teacher Lookup'!$A$2:$A$200,0)),"")</f>
        <v>TSANG Leo</v>
      </c>
    </row>
    <row r="6520" customFormat="false" ht="15" hidden="false" customHeight="false" outlineLevel="0" collapsed="false">
      <c r="A6520" s="3" t="s">
        <v>474</v>
      </c>
      <c r="B6520" s="4" t="s">
        <v>12</v>
      </c>
      <c r="C6520" s="4" t="n">
        <v>2</v>
      </c>
      <c r="D6520" s="4" t="s">
        <v>27</v>
      </c>
      <c r="E6520" s="3" t="s">
        <v>271</v>
      </c>
      <c r="F6520" s="4" t="str">
        <f aca="false">IF(I6520&gt;J6520,"Y","N")</f>
        <v>Y</v>
      </c>
      <c r="G6520" s="3" t="s">
        <v>272</v>
      </c>
      <c r="H6520" s="3" t="s">
        <v>21</v>
      </c>
      <c r="I6520" s="4" t="n">
        <v>8</v>
      </c>
      <c r="J6520" s="4" t="n">
        <f aca="false">LEN(E6520)-LEN(SUBSTITUTE(E6520,",",""))+1</f>
        <v>7</v>
      </c>
      <c r="K6520" s="3" t="str">
        <f aca="false">IFERROR(INDEX('Teacher Lookup'!$B$2:$B$200,MATCH(A6520,'Teacher Lookup'!$A$2:$A$200,0)),"")</f>
        <v>TSANG Leo</v>
      </c>
    </row>
    <row r="6521" customFormat="false" ht="15" hidden="false" customHeight="false" outlineLevel="0" collapsed="false">
      <c r="A6521" s="3" t="s">
        <v>474</v>
      </c>
      <c r="B6521" s="4" t="s">
        <v>12</v>
      </c>
      <c r="C6521" s="4" t="n">
        <v>2</v>
      </c>
      <c r="D6521" s="4" t="s">
        <v>28</v>
      </c>
      <c r="E6521" s="3" t="s">
        <v>271</v>
      </c>
      <c r="F6521" s="4" t="str">
        <f aca="false">IF(I6521&gt;J6521,"Y","N")</f>
        <v>Y</v>
      </c>
      <c r="G6521" s="3" t="s">
        <v>272</v>
      </c>
      <c r="H6521" s="3" t="s">
        <v>21</v>
      </c>
      <c r="I6521" s="4" t="n">
        <v>8</v>
      </c>
      <c r="J6521" s="4" t="n">
        <f aca="false">LEN(E6521)-LEN(SUBSTITUTE(E6521,",",""))+1</f>
        <v>7</v>
      </c>
      <c r="K6521" s="3" t="str">
        <f aca="false">IFERROR(INDEX('Teacher Lookup'!$B$2:$B$200,MATCH(A6521,'Teacher Lookup'!$A$2:$A$200,0)),"")</f>
        <v>TSANG Leo</v>
      </c>
    </row>
    <row r="6522" customFormat="false" ht="15" hidden="false" customHeight="false" outlineLevel="0" collapsed="false">
      <c r="A6522" s="3" t="s">
        <v>474</v>
      </c>
      <c r="B6522" s="4" t="s">
        <v>12</v>
      </c>
      <c r="C6522" s="4" t="n">
        <v>2</v>
      </c>
      <c r="D6522" s="4" t="s">
        <v>29</v>
      </c>
      <c r="E6522" s="3" t="s">
        <v>271</v>
      </c>
      <c r="F6522" s="4" t="str">
        <f aca="false">IF(I6522&gt;J6522,"Y","N")</f>
        <v>Y</v>
      </c>
      <c r="G6522" s="3" t="s">
        <v>272</v>
      </c>
      <c r="H6522" s="3" t="s">
        <v>21</v>
      </c>
      <c r="I6522" s="4" t="n">
        <v>8</v>
      </c>
      <c r="J6522" s="4" t="n">
        <f aca="false">LEN(E6522)-LEN(SUBSTITUTE(E6522,",",""))+1</f>
        <v>7</v>
      </c>
      <c r="K6522" s="3" t="str">
        <f aca="false">IFERROR(INDEX('Teacher Lookup'!$B$2:$B$200,MATCH(A6522,'Teacher Lookup'!$A$2:$A$200,0)),"")</f>
        <v>TSANG Leo</v>
      </c>
    </row>
    <row r="6523" customFormat="false" ht="15" hidden="false" customHeight="false" outlineLevel="0" collapsed="false">
      <c r="A6523" s="3" t="s">
        <v>474</v>
      </c>
      <c r="B6523" s="4" t="s">
        <v>12</v>
      </c>
      <c r="C6523" s="4" t="n">
        <v>2</v>
      </c>
      <c r="D6523" s="4" t="s">
        <v>30</v>
      </c>
      <c r="E6523" s="3" t="s">
        <v>271</v>
      </c>
      <c r="F6523" s="4" t="str">
        <f aca="false">IF(I6523&gt;J6523,"Y","N")</f>
        <v>Y</v>
      </c>
      <c r="G6523" s="3" t="s">
        <v>272</v>
      </c>
      <c r="H6523" s="3" t="s">
        <v>21</v>
      </c>
      <c r="I6523" s="4" t="n">
        <v>8</v>
      </c>
      <c r="J6523" s="4" t="n">
        <f aca="false">LEN(E6523)-LEN(SUBSTITUTE(E6523,",",""))+1</f>
        <v>7</v>
      </c>
      <c r="K6523" s="3" t="str">
        <f aca="false">IFERROR(INDEX('Teacher Lookup'!$B$2:$B$200,MATCH(A6523,'Teacher Lookup'!$A$2:$A$200,0)),"")</f>
        <v>TSANG Leo</v>
      </c>
    </row>
    <row r="6524" customFormat="false" ht="15" hidden="false" customHeight="false" outlineLevel="0" collapsed="false">
      <c r="A6524" s="3" t="s">
        <v>474</v>
      </c>
      <c r="B6524" s="4" t="s">
        <v>12</v>
      </c>
      <c r="C6524" s="4" t="n">
        <v>3</v>
      </c>
      <c r="D6524" s="4" t="s">
        <v>79</v>
      </c>
      <c r="E6524" s="3" t="s">
        <v>234</v>
      </c>
      <c r="F6524" s="4" t="str">
        <f aca="false">IF(I6524&gt;J6524,"Y","N")</f>
        <v>N</v>
      </c>
      <c r="G6524" s="3" t="s">
        <v>99</v>
      </c>
      <c r="H6524" s="3" t="s">
        <v>26</v>
      </c>
      <c r="I6524" s="4" t="n">
        <v>1</v>
      </c>
      <c r="J6524" s="4" t="n">
        <f aca="false">LEN(E6524)-LEN(SUBSTITUTE(E6524,",",""))+1</f>
        <v>1</v>
      </c>
      <c r="K6524" s="3" t="str">
        <f aca="false">IFERROR(INDEX('Teacher Lookup'!$B$2:$B$200,MATCH(A6524,'Teacher Lookup'!$A$2:$A$200,0)),"")</f>
        <v>TSANG Leo</v>
      </c>
    </row>
    <row r="6525" customFormat="false" ht="15" hidden="false" customHeight="false" outlineLevel="0" collapsed="false">
      <c r="A6525" s="3" t="s">
        <v>474</v>
      </c>
      <c r="B6525" s="4" t="s">
        <v>12</v>
      </c>
      <c r="C6525" s="4" t="n">
        <v>4</v>
      </c>
      <c r="D6525" s="4" t="s">
        <v>74</v>
      </c>
      <c r="E6525" s="3" t="s">
        <v>316</v>
      </c>
      <c r="F6525" s="4" t="str">
        <f aca="false">IF(I6525&gt;J6525,"Y","N")</f>
        <v>N</v>
      </c>
      <c r="G6525" s="3" t="s">
        <v>99</v>
      </c>
      <c r="H6525" s="3" t="s">
        <v>34</v>
      </c>
      <c r="I6525" s="4" t="n">
        <v>1</v>
      </c>
      <c r="J6525" s="4" t="n">
        <f aca="false">LEN(E6525)-LEN(SUBSTITUTE(E6525,",",""))+1</f>
        <v>1</v>
      </c>
      <c r="K6525" s="3" t="str">
        <f aca="false">IFERROR(INDEX('Teacher Lookup'!$B$2:$B$200,MATCH(A6525,'Teacher Lookup'!$A$2:$A$200,0)),"")</f>
        <v>TSANG Leo</v>
      </c>
    </row>
    <row r="6526" customFormat="false" ht="15" hidden="false" customHeight="false" outlineLevel="0" collapsed="false">
      <c r="A6526" s="3" t="s">
        <v>474</v>
      </c>
      <c r="B6526" s="4" t="s">
        <v>12</v>
      </c>
      <c r="C6526" s="4" t="n">
        <v>7</v>
      </c>
      <c r="D6526" s="4" t="s">
        <v>127</v>
      </c>
      <c r="E6526" s="3" t="s">
        <v>128</v>
      </c>
      <c r="F6526" s="4" t="str">
        <f aca="false">IF(I6526&gt;J6526,"Y","N")</f>
        <v>N</v>
      </c>
      <c r="G6526" s="3" t="s">
        <v>99</v>
      </c>
      <c r="H6526" s="3" t="s">
        <v>39</v>
      </c>
      <c r="I6526" s="4" t="n">
        <v>1</v>
      </c>
      <c r="J6526" s="4" t="n">
        <f aca="false">LEN(E6526)-LEN(SUBSTITUTE(E6526,",",""))+1</f>
        <v>1</v>
      </c>
      <c r="K6526" s="3" t="str">
        <f aca="false">IFERROR(INDEX('Teacher Lookup'!$B$2:$B$200,MATCH(A6526,'Teacher Lookup'!$A$2:$A$200,0)),"")</f>
        <v>TSANG Leo</v>
      </c>
    </row>
    <row r="6527" customFormat="false" ht="15" hidden="false" customHeight="false" outlineLevel="0" collapsed="false">
      <c r="A6527" s="3" t="s">
        <v>474</v>
      </c>
      <c r="B6527" s="4" t="s">
        <v>31</v>
      </c>
      <c r="C6527" s="4" t="n">
        <v>1</v>
      </c>
      <c r="D6527" s="4" t="s">
        <v>24</v>
      </c>
      <c r="E6527" s="3" t="s">
        <v>274</v>
      </c>
      <c r="F6527" s="4" t="str">
        <f aca="false">IF(I6527&gt;J6527,"Y","N")</f>
        <v>Y</v>
      </c>
      <c r="G6527" s="3" t="s">
        <v>272</v>
      </c>
      <c r="H6527" s="3" t="s">
        <v>16</v>
      </c>
      <c r="I6527" s="4" t="n">
        <v>8</v>
      </c>
      <c r="J6527" s="4" t="n">
        <f aca="false">LEN(E6527)-LEN(SUBSTITUTE(E6527,",",""))+1</f>
        <v>7</v>
      </c>
      <c r="K6527" s="3" t="str">
        <f aca="false">IFERROR(INDEX('Teacher Lookup'!$B$2:$B$200,MATCH(A6527,'Teacher Lookup'!$A$2:$A$200,0)),"")</f>
        <v>TSANG Leo</v>
      </c>
    </row>
    <row r="6528" customFormat="false" ht="15" hidden="false" customHeight="false" outlineLevel="0" collapsed="false">
      <c r="A6528" s="3" t="s">
        <v>474</v>
      </c>
      <c r="B6528" s="4" t="s">
        <v>31</v>
      </c>
      <c r="C6528" s="4" t="n">
        <v>1</v>
      </c>
      <c r="D6528" s="4" t="s">
        <v>27</v>
      </c>
      <c r="E6528" s="3" t="s">
        <v>274</v>
      </c>
      <c r="F6528" s="4" t="str">
        <f aca="false">IF(I6528&gt;J6528,"Y","N")</f>
        <v>Y</v>
      </c>
      <c r="G6528" s="3" t="s">
        <v>272</v>
      </c>
      <c r="H6528" s="3" t="s">
        <v>16</v>
      </c>
      <c r="I6528" s="4" t="n">
        <v>8</v>
      </c>
      <c r="J6528" s="4" t="n">
        <f aca="false">LEN(E6528)-LEN(SUBSTITUTE(E6528,",",""))+1</f>
        <v>7</v>
      </c>
      <c r="K6528" s="3" t="str">
        <f aca="false">IFERROR(INDEX('Teacher Lookup'!$B$2:$B$200,MATCH(A6528,'Teacher Lookup'!$A$2:$A$200,0)),"")</f>
        <v>TSANG Leo</v>
      </c>
    </row>
    <row r="6529" customFormat="false" ht="15" hidden="false" customHeight="false" outlineLevel="0" collapsed="false">
      <c r="A6529" s="3" t="s">
        <v>474</v>
      </c>
      <c r="B6529" s="4" t="s">
        <v>31</v>
      </c>
      <c r="C6529" s="4" t="n">
        <v>1</v>
      </c>
      <c r="D6529" s="4" t="s">
        <v>28</v>
      </c>
      <c r="E6529" s="3" t="s">
        <v>274</v>
      </c>
      <c r="F6529" s="4" t="str">
        <f aca="false">IF(I6529&gt;J6529,"Y","N")</f>
        <v>Y</v>
      </c>
      <c r="G6529" s="3" t="s">
        <v>272</v>
      </c>
      <c r="H6529" s="3" t="s">
        <v>16</v>
      </c>
      <c r="I6529" s="4" t="n">
        <v>8</v>
      </c>
      <c r="J6529" s="4" t="n">
        <f aca="false">LEN(E6529)-LEN(SUBSTITUTE(E6529,",",""))+1</f>
        <v>7</v>
      </c>
      <c r="K6529" s="3" t="str">
        <f aca="false">IFERROR(INDEX('Teacher Lookup'!$B$2:$B$200,MATCH(A6529,'Teacher Lookup'!$A$2:$A$200,0)),"")</f>
        <v>TSANG Leo</v>
      </c>
    </row>
    <row r="6530" customFormat="false" ht="15" hidden="false" customHeight="false" outlineLevel="0" collapsed="false">
      <c r="A6530" s="3" t="s">
        <v>474</v>
      </c>
      <c r="B6530" s="4" t="s">
        <v>31</v>
      </c>
      <c r="C6530" s="4" t="n">
        <v>1</v>
      </c>
      <c r="D6530" s="4" t="s">
        <v>29</v>
      </c>
      <c r="E6530" s="3" t="s">
        <v>274</v>
      </c>
      <c r="F6530" s="4" t="str">
        <f aca="false">IF(I6530&gt;J6530,"Y","N")</f>
        <v>Y</v>
      </c>
      <c r="G6530" s="3" t="s">
        <v>272</v>
      </c>
      <c r="H6530" s="3" t="s">
        <v>16</v>
      </c>
      <c r="I6530" s="4" t="n">
        <v>8</v>
      </c>
      <c r="J6530" s="4" t="n">
        <f aca="false">LEN(E6530)-LEN(SUBSTITUTE(E6530,",",""))+1</f>
        <v>7</v>
      </c>
      <c r="K6530" s="3" t="str">
        <f aca="false">IFERROR(INDEX('Teacher Lookup'!$B$2:$B$200,MATCH(A6530,'Teacher Lookup'!$A$2:$A$200,0)),"")</f>
        <v>TSANG Leo</v>
      </c>
    </row>
    <row r="6531" customFormat="false" ht="15" hidden="false" customHeight="false" outlineLevel="0" collapsed="false">
      <c r="A6531" s="3" t="s">
        <v>474</v>
      </c>
      <c r="B6531" s="4" t="s">
        <v>31</v>
      </c>
      <c r="C6531" s="4" t="n">
        <v>1</v>
      </c>
      <c r="D6531" s="4" t="s">
        <v>30</v>
      </c>
      <c r="E6531" s="3" t="s">
        <v>274</v>
      </c>
      <c r="F6531" s="4" t="str">
        <f aca="false">IF(I6531&gt;J6531,"Y","N")</f>
        <v>Y</v>
      </c>
      <c r="G6531" s="3" t="s">
        <v>272</v>
      </c>
      <c r="H6531" s="3" t="s">
        <v>16</v>
      </c>
      <c r="I6531" s="4" t="n">
        <v>8</v>
      </c>
      <c r="J6531" s="4" t="n">
        <f aca="false">LEN(E6531)-LEN(SUBSTITUTE(E6531,",",""))+1</f>
        <v>7</v>
      </c>
      <c r="K6531" s="3" t="str">
        <f aca="false">IFERROR(INDEX('Teacher Lookup'!$B$2:$B$200,MATCH(A6531,'Teacher Lookup'!$A$2:$A$200,0)),"")</f>
        <v>TSANG Leo</v>
      </c>
    </row>
    <row r="6532" customFormat="false" ht="15" hidden="false" customHeight="false" outlineLevel="0" collapsed="false">
      <c r="A6532" s="3" t="s">
        <v>474</v>
      </c>
      <c r="B6532" s="4" t="s">
        <v>31</v>
      </c>
      <c r="C6532" s="4" t="n">
        <v>2</v>
      </c>
      <c r="D6532" s="4" t="s">
        <v>73</v>
      </c>
      <c r="E6532" s="3" t="s">
        <v>438</v>
      </c>
      <c r="F6532" s="4" t="str">
        <f aca="false">IF(I6532&gt;J6532,"Y","N")</f>
        <v>N</v>
      </c>
      <c r="G6532" s="3" t="s">
        <v>99</v>
      </c>
      <c r="H6532" s="3" t="s">
        <v>21</v>
      </c>
      <c r="I6532" s="4" t="n">
        <v>1</v>
      </c>
      <c r="J6532" s="4" t="n">
        <f aca="false">LEN(E6532)-LEN(SUBSTITUTE(E6532,",",""))+1</f>
        <v>1</v>
      </c>
      <c r="K6532" s="3" t="str">
        <f aca="false">IFERROR(INDEX('Teacher Lookup'!$B$2:$B$200,MATCH(A6532,'Teacher Lookup'!$A$2:$A$200,0)),"")</f>
        <v>TSANG Leo</v>
      </c>
    </row>
    <row r="6533" customFormat="false" ht="15" hidden="false" customHeight="false" outlineLevel="0" collapsed="false">
      <c r="A6533" s="3" t="s">
        <v>474</v>
      </c>
      <c r="B6533" s="4" t="s">
        <v>31</v>
      </c>
      <c r="C6533" s="4" t="n">
        <v>5</v>
      </c>
      <c r="D6533" s="4" t="s">
        <v>24</v>
      </c>
      <c r="E6533" s="3" t="s">
        <v>131</v>
      </c>
      <c r="F6533" s="4" t="str">
        <f aca="false">IF(I6533&gt;J6533,"Y","N")</f>
        <v>Y</v>
      </c>
      <c r="G6533" s="3" t="s">
        <v>36</v>
      </c>
      <c r="H6533" s="3" t="s">
        <v>37</v>
      </c>
      <c r="I6533" s="4" t="n">
        <v>15</v>
      </c>
      <c r="J6533" s="4" t="n">
        <f aca="false">LEN(E6533)-LEN(SUBSTITUTE(E6533,",",""))+1</f>
        <v>7</v>
      </c>
      <c r="K6533" s="3" t="str">
        <f aca="false">IFERROR(INDEX('Teacher Lookup'!$B$2:$B$200,MATCH(A6533,'Teacher Lookup'!$A$2:$A$200,0)),"")</f>
        <v>TSANG Leo</v>
      </c>
    </row>
    <row r="6534" customFormat="false" ht="15" hidden="false" customHeight="false" outlineLevel="0" collapsed="false">
      <c r="A6534" s="3" t="s">
        <v>474</v>
      </c>
      <c r="B6534" s="4" t="s">
        <v>31</v>
      </c>
      <c r="C6534" s="4" t="n">
        <v>5</v>
      </c>
      <c r="D6534" s="4" t="s">
        <v>132</v>
      </c>
      <c r="E6534" s="3" t="s">
        <v>131</v>
      </c>
      <c r="F6534" s="4" t="str">
        <f aca="false">IF(I6534&gt;J6534,"Y","N")</f>
        <v>Y</v>
      </c>
      <c r="G6534" s="3" t="s">
        <v>36</v>
      </c>
      <c r="H6534" s="3" t="s">
        <v>37</v>
      </c>
      <c r="I6534" s="4" t="n">
        <v>15</v>
      </c>
      <c r="J6534" s="4" t="n">
        <f aca="false">LEN(E6534)-LEN(SUBSTITUTE(E6534,",",""))+1</f>
        <v>7</v>
      </c>
      <c r="K6534" s="3" t="str">
        <f aca="false">IFERROR(INDEX('Teacher Lookup'!$B$2:$B$200,MATCH(A6534,'Teacher Lookup'!$A$2:$A$200,0)),"")</f>
        <v>TSANG Leo</v>
      </c>
    </row>
    <row r="6535" customFormat="false" ht="15" hidden="false" customHeight="false" outlineLevel="0" collapsed="false">
      <c r="A6535" s="3" t="s">
        <v>474</v>
      </c>
      <c r="B6535" s="4" t="s">
        <v>31</v>
      </c>
      <c r="C6535" s="4" t="n">
        <v>5</v>
      </c>
      <c r="D6535" s="4" t="s">
        <v>27</v>
      </c>
      <c r="E6535" s="3" t="s">
        <v>131</v>
      </c>
      <c r="F6535" s="4" t="str">
        <f aca="false">IF(I6535&gt;J6535,"Y","N")</f>
        <v>Y</v>
      </c>
      <c r="G6535" s="3" t="s">
        <v>36</v>
      </c>
      <c r="H6535" s="3" t="s">
        <v>37</v>
      </c>
      <c r="I6535" s="4" t="n">
        <v>15</v>
      </c>
      <c r="J6535" s="4" t="n">
        <f aca="false">LEN(E6535)-LEN(SUBSTITUTE(E6535,",",""))+1</f>
        <v>7</v>
      </c>
      <c r="K6535" s="3" t="str">
        <f aca="false">IFERROR(INDEX('Teacher Lookup'!$B$2:$B$200,MATCH(A6535,'Teacher Lookup'!$A$2:$A$200,0)),"")</f>
        <v>TSANG Leo</v>
      </c>
    </row>
    <row r="6536" customFormat="false" ht="15" hidden="false" customHeight="false" outlineLevel="0" collapsed="false">
      <c r="A6536" s="3" t="s">
        <v>474</v>
      </c>
      <c r="B6536" s="4" t="s">
        <v>31</v>
      </c>
      <c r="C6536" s="4" t="n">
        <v>5</v>
      </c>
      <c r="D6536" s="4" t="s">
        <v>28</v>
      </c>
      <c r="E6536" s="3" t="s">
        <v>131</v>
      </c>
      <c r="F6536" s="4" t="str">
        <f aca="false">IF(I6536&gt;J6536,"Y","N")</f>
        <v>Y</v>
      </c>
      <c r="G6536" s="3" t="s">
        <v>36</v>
      </c>
      <c r="H6536" s="3" t="s">
        <v>37</v>
      </c>
      <c r="I6536" s="4" t="n">
        <v>15</v>
      </c>
      <c r="J6536" s="4" t="n">
        <f aca="false">LEN(E6536)-LEN(SUBSTITUTE(E6536,",",""))+1</f>
        <v>7</v>
      </c>
      <c r="K6536" s="3" t="str">
        <f aca="false">IFERROR(INDEX('Teacher Lookup'!$B$2:$B$200,MATCH(A6536,'Teacher Lookup'!$A$2:$A$200,0)),"")</f>
        <v>TSANG Leo</v>
      </c>
    </row>
    <row r="6537" customFormat="false" ht="15" hidden="false" customHeight="false" outlineLevel="0" collapsed="false">
      <c r="A6537" s="3" t="s">
        <v>474</v>
      </c>
      <c r="B6537" s="4" t="s">
        <v>31</v>
      </c>
      <c r="C6537" s="4" t="n">
        <v>5</v>
      </c>
      <c r="D6537" s="4" t="s">
        <v>29</v>
      </c>
      <c r="E6537" s="3" t="s">
        <v>131</v>
      </c>
      <c r="F6537" s="4" t="str">
        <f aca="false">IF(I6537&gt;J6537,"Y","N")</f>
        <v>Y</v>
      </c>
      <c r="G6537" s="3" t="s">
        <v>36</v>
      </c>
      <c r="H6537" s="3" t="s">
        <v>37</v>
      </c>
      <c r="I6537" s="4" t="n">
        <v>15</v>
      </c>
      <c r="J6537" s="4" t="n">
        <f aca="false">LEN(E6537)-LEN(SUBSTITUTE(E6537,",",""))+1</f>
        <v>7</v>
      </c>
      <c r="K6537" s="3" t="str">
        <f aca="false">IFERROR(INDEX('Teacher Lookup'!$B$2:$B$200,MATCH(A6537,'Teacher Lookup'!$A$2:$A$200,0)),"")</f>
        <v>TSANG Leo</v>
      </c>
    </row>
    <row r="6538" customFormat="false" ht="15" hidden="false" customHeight="false" outlineLevel="0" collapsed="false">
      <c r="A6538" s="3" t="s">
        <v>474</v>
      </c>
      <c r="B6538" s="4" t="s">
        <v>31</v>
      </c>
      <c r="C6538" s="4" t="n">
        <v>5</v>
      </c>
      <c r="D6538" s="4" t="s">
        <v>30</v>
      </c>
      <c r="E6538" s="3" t="s">
        <v>131</v>
      </c>
      <c r="F6538" s="4" t="str">
        <f aca="false">IF(I6538&gt;J6538,"Y","N")</f>
        <v>Y</v>
      </c>
      <c r="G6538" s="3" t="s">
        <v>36</v>
      </c>
      <c r="H6538" s="3" t="s">
        <v>37</v>
      </c>
      <c r="I6538" s="4" t="n">
        <v>15</v>
      </c>
      <c r="J6538" s="4" t="n">
        <f aca="false">LEN(E6538)-LEN(SUBSTITUTE(E6538,",",""))+1</f>
        <v>7</v>
      </c>
      <c r="K6538" s="3" t="str">
        <f aca="false">IFERROR(INDEX('Teacher Lookup'!$B$2:$B$200,MATCH(A6538,'Teacher Lookup'!$A$2:$A$200,0)),"")</f>
        <v>TSANG Leo</v>
      </c>
    </row>
    <row r="6539" customFormat="false" ht="15" hidden="false" customHeight="false" outlineLevel="0" collapsed="false">
      <c r="A6539" s="3" t="s">
        <v>474</v>
      </c>
      <c r="B6539" s="4" t="s">
        <v>31</v>
      </c>
      <c r="C6539" s="4" t="n">
        <v>6</v>
      </c>
      <c r="D6539" s="4" t="s">
        <v>28</v>
      </c>
      <c r="E6539" s="3" t="s">
        <v>362</v>
      </c>
      <c r="F6539" s="4" t="str">
        <f aca="false">IF(I6539&gt;J6539,"Y","N")</f>
        <v>N</v>
      </c>
      <c r="G6539" s="3" t="s">
        <v>99</v>
      </c>
      <c r="H6539" s="3" t="s">
        <v>42</v>
      </c>
      <c r="I6539" s="4" t="n">
        <v>1</v>
      </c>
      <c r="J6539" s="4" t="n">
        <f aca="false">LEN(E6539)-LEN(SUBSTITUTE(E6539,",",""))+1</f>
        <v>1</v>
      </c>
      <c r="K6539" s="3" t="str">
        <f aca="false">IFERROR(INDEX('Teacher Lookup'!$B$2:$B$200,MATCH(A6539,'Teacher Lookup'!$A$2:$A$200,0)),"")</f>
        <v>TSANG Leo</v>
      </c>
    </row>
    <row r="6540" customFormat="false" ht="15" hidden="false" customHeight="false" outlineLevel="0" collapsed="false">
      <c r="A6540" s="3" t="s">
        <v>474</v>
      </c>
      <c r="B6540" s="4" t="s">
        <v>40</v>
      </c>
      <c r="C6540" s="4" t="n">
        <v>1</v>
      </c>
      <c r="D6540" s="4" t="s">
        <v>74</v>
      </c>
      <c r="E6540" s="3" t="s">
        <v>316</v>
      </c>
      <c r="F6540" s="4" t="str">
        <f aca="false">IF(I6540&gt;J6540,"Y","N")</f>
        <v>N</v>
      </c>
      <c r="G6540" s="3" t="s">
        <v>99</v>
      </c>
      <c r="H6540" s="3" t="s">
        <v>16</v>
      </c>
      <c r="I6540" s="4" t="n">
        <v>1</v>
      </c>
      <c r="J6540" s="4" t="n">
        <f aca="false">LEN(E6540)-LEN(SUBSTITUTE(E6540,",",""))+1</f>
        <v>1</v>
      </c>
      <c r="K6540" s="3" t="str">
        <f aca="false">IFERROR(INDEX('Teacher Lookup'!$B$2:$B$200,MATCH(A6540,'Teacher Lookup'!$A$2:$A$200,0)),"")</f>
        <v>TSANG Leo</v>
      </c>
    </row>
    <row r="6541" customFormat="false" ht="15" hidden="false" customHeight="false" outlineLevel="0" collapsed="false">
      <c r="A6541" s="3" t="s">
        <v>474</v>
      </c>
      <c r="B6541" s="4" t="s">
        <v>40</v>
      </c>
      <c r="C6541" s="4" t="n">
        <v>3</v>
      </c>
      <c r="D6541" s="4" t="s">
        <v>24</v>
      </c>
      <c r="E6541" s="3" t="s">
        <v>275</v>
      </c>
      <c r="F6541" s="4" t="str">
        <f aca="false">IF(I6541&gt;J6541,"Y","N")</f>
        <v>Y</v>
      </c>
      <c r="G6541" s="3" t="s">
        <v>272</v>
      </c>
      <c r="H6541" s="3" t="s">
        <v>26</v>
      </c>
      <c r="I6541" s="4" t="n">
        <v>8</v>
      </c>
      <c r="J6541" s="4" t="n">
        <f aca="false">LEN(E6541)-LEN(SUBSTITUTE(E6541,",",""))+1</f>
        <v>7</v>
      </c>
      <c r="K6541" s="3" t="str">
        <f aca="false">IFERROR(INDEX('Teacher Lookup'!$B$2:$B$200,MATCH(A6541,'Teacher Lookup'!$A$2:$A$200,0)),"")</f>
        <v>TSANG Leo</v>
      </c>
    </row>
    <row r="6542" customFormat="false" ht="15" hidden="false" customHeight="false" outlineLevel="0" collapsed="false">
      <c r="A6542" s="3" t="s">
        <v>474</v>
      </c>
      <c r="B6542" s="4" t="s">
        <v>40</v>
      </c>
      <c r="C6542" s="4" t="n">
        <v>3</v>
      </c>
      <c r="D6542" s="4" t="s">
        <v>27</v>
      </c>
      <c r="E6542" s="3" t="s">
        <v>275</v>
      </c>
      <c r="F6542" s="4" t="str">
        <f aca="false">IF(I6542&gt;J6542,"Y","N")</f>
        <v>Y</v>
      </c>
      <c r="G6542" s="3" t="s">
        <v>272</v>
      </c>
      <c r="H6542" s="3" t="s">
        <v>26</v>
      </c>
      <c r="I6542" s="4" t="n">
        <v>8</v>
      </c>
      <c r="J6542" s="4" t="n">
        <f aca="false">LEN(E6542)-LEN(SUBSTITUTE(E6542,",",""))+1</f>
        <v>7</v>
      </c>
      <c r="K6542" s="3" t="str">
        <f aca="false">IFERROR(INDEX('Teacher Lookup'!$B$2:$B$200,MATCH(A6542,'Teacher Lookup'!$A$2:$A$200,0)),"")</f>
        <v>TSANG Leo</v>
      </c>
    </row>
    <row r="6543" customFormat="false" ht="15" hidden="false" customHeight="false" outlineLevel="0" collapsed="false">
      <c r="A6543" s="3" t="s">
        <v>474</v>
      </c>
      <c r="B6543" s="4" t="s">
        <v>40</v>
      </c>
      <c r="C6543" s="4" t="n">
        <v>3</v>
      </c>
      <c r="D6543" s="4" t="s">
        <v>28</v>
      </c>
      <c r="E6543" s="3" t="s">
        <v>275</v>
      </c>
      <c r="F6543" s="4" t="str">
        <f aca="false">IF(I6543&gt;J6543,"Y","N")</f>
        <v>Y</v>
      </c>
      <c r="G6543" s="3" t="s">
        <v>272</v>
      </c>
      <c r="H6543" s="3" t="s">
        <v>26</v>
      </c>
      <c r="I6543" s="4" t="n">
        <v>8</v>
      </c>
      <c r="J6543" s="4" t="n">
        <f aca="false">LEN(E6543)-LEN(SUBSTITUTE(E6543,",",""))+1</f>
        <v>7</v>
      </c>
      <c r="K6543" s="3" t="str">
        <f aca="false">IFERROR(INDEX('Teacher Lookup'!$B$2:$B$200,MATCH(A6543,'Teacher Lookup'!$A$2:$A$200,0)),"")</f>
        <v>TSANG Leo</v>
      </c>
    </row>
    <row r="6544" customFormat="false" ht="15" hidden="false" customHeight="false" outlineLevel="0" collapsed="false">
      <c r="A6544" s="3" t="s">
        <v>474</v>
      </c>
      <c r="B6544" s="4" t="s">
        <v>40</v>
      </c>
      <c r="C6544" s="4" t="n">
        <v>3</v>
      </c>
      <c r="D6544" s="4" t="s">
        <v>29</v>
      </c>
      <c r="E6544" s="3" t="s">
        <v>275</v>
      </c>
      <c r="F6544" s="4" t="str">
        <f aca="false">IF(I6544&gt;J6544,"Y","N")</f>
        <v>Y</v>
      </c>
      <c r="G6544" s="3" t="s">
        <v>272</v>
      </c>
      <c r="H6544" s="3" t="s">
        <v>26</v>
      </c>
      <c r="I6544" s="4" t="n">
        <v>8</v>
      </c>
      <c r="J6544" s="4" t="n">
        <f aca="false">LEN(E6544)-LEN(SUBSTITUTE(E6544,",",""))+1</f>
        <v>7</v>
      </c>
      <c r="K6544" s="3" t="str">
        <f aca="false">IFERROR(INDEX('Teacher Lookup'!$B$2:$B$200,MATCH(A6544,'Teacher Lookup'!$A$2:$A$200,0)),"")</f>
        <v>TSANG Leo</v>
      </c>
    </row>
    <row r="6545" customFormat="false" ht="15" hidden="false" customHeight="false" outlineLevel="0" collapsed="false">
      <c r="A6545" s="3" t="s">
        <v>474</v>
      </c>
      <c r="B6545" s="4" t="s">
        <v>40</v>
      </c>
      <c r="C6545" s="4" t="n">
        <v>3</v>
      </c>
      <c r="D6545" s="4" t="s">
        <v>30</v>
      </c>
      <c r="E6545" s="3" t="s">
        <v>275</v>
      </c>
      <c r="F6545" s="4" t="str">
        <f aca="false">IF(I6545&gt;J6545,"Y","N")</f>
        <v>Y</v>
      </c>
      <c r="G6545" s="3" t="s">
        <v>272</v>
      </c>
      <c r="H6545" s="3" t="s">
        <v>26</v>
      </c>
      <c r="I6545" s="4" t="n">
        <v>8</v>
      </c>
      <c r="J6545" s="4" t="n">
        <f aca="false">LEN(E6545)-LEN(SUBSTITUTE(E6545,",",""))+1</f>
        <v>7</v>
      </c>
      <c r="K6545" s="3" t="str">
        <f aca="false">IFERROR(INDEX('Teacher Lookup'!$B$2:$B$200,MATCH(A6545,'Teacher Lookup'!$A$2:$A$200,0)),"")</f>
        <v>TSANG Leo</v>
      </c>
    </row>
    <row r="6546" customFormat="false" ht="15" hidden="false" customHeight="false" outlineLevel="0" collapsed="false">
      <c r="A6546" s="3" t="s">
        <v>474</v>
      </c>
      <c r="B6546" s="4" t="s">
        <v>40</v>
      </c>
      <c r="C6546" s="4" t="n">
        <v>4</v>
      </c>
      <c r="D6546" s="4" t="s">
        <v>78</v>
      </c>
      <c r="E6546" s="3" t="s">
        <v>135</v>
      </c>
      <c r="F6546" s="4" t="str">
        <f aca="false">IF(I6546&gt;J6546,"Y","N")</f>
        <v>N</v>
      </c>
      <c r="G6546" s="3" t="s">
        <v>99</v>
      </c>
      <c r="H6546" s="3" t="s">
        <v>34</v>
      </c>
      <c r="I6546" s="4" t="n">
        <v>1</v>
      </c>
      <c r="J6546" s="4" t="n">
        <f aca="false">LEN(E6546)-LEN(SUBSTITUTE(E6546,",",""))+1</f>
        <v>1</v>
      </c>
      <c r="K6546" s="3" t="str">
        <f aca="false">IFERROR(INDEX('Teacher Lookup'!$B$2:$B$200,MATCH(A6546,'Teacher Lookup'!$A$2:$A$200,0)),"")</f>
        <v>TSANG Leo</v>
      </c>
    </row>
    <row r="6547" customFormat="false" ht="15" hidden="false" customHeight="false" outlineLevel="0" collapsed="false">
      <c r="A6547" s="3" t="s">
        <v>474</v>
      </c>
      <c r="B6547" s="4" t="s">
        <v>40</v>
      </c>
      <c r="C6547" s="4" t="n">
        <v>6</v>
      </c>
      <c r="D6547" s="4" t="s">
        <v>127</v>
      </c>
      <c r="E6547" s="3" t="s">
        <v>128</v>
      </c>
      <c r="F6547" s="4" t="str">
        <f aca="false">IF(I6547&gt;J6547,"Y","N")</f>
        <v>N</v>
      </c>
      <c r="G6547" s="3" t="s">
        <v>99</v>
      </c>
      <c r="H6547" s="3" t="s">
        <v>42</v>
      </c>
      <c r="I6547" s="4" t="n">
        <v>1</v>
      </c>
      <c r="J6547" s="4" t="n">
        <f aca="false">LEN(E6547)-LEN(SUBSTITUTE(E6547,",",""))+1</f>
        <v>1</v>
      </c>
      <c r="K6547" s="3" t="str">
        <f aca="false">IFERROR(INDEX('Teacher Lookup'!$B$2:$B$200,MATCH(A6547,'Teacher Lookup'!$A$2:$A$200,0)),"")</f>
        <v>TSANG Leo</v>
      </c>
    </row>
    <row r="6548" customFormat="false" ht="15" hidden="false" customHeight="false" outlineLevel="0" collapsed="false">
      <c r="A6548" s="3" t="s">
        <v>474</v>
      </c>
      <c r="B6548" s="4" t="s">
        <v>44</v>
      </c>
      <c r="C6548" s="4" t="n">
        <v>3</v>
      </c>
      <c r="D6548" s="4" t="s">
        <v>73</v>
      </c>
      <c r="E6548" s="3" t="s">
        <v>438</v>
      </c>
      <c r="F6548" s="4" t="str">
        <f aca="false">IF(I6548&gt;J6548,"Y","N")</f>
        <v>N</v>
      </c>
      <c r="G6548" s="3" t="s">
        <v>99</v>
      </c>
      <c r="H6548" s="3" t="s">
        <v>26</v>
      </c>
      <c r="I6548" s="4" t="n">
        <v>1</v>
      </c>
      <c r="J6548" s="4" t="n">
        <f aca="false">LEN(E6548)-LEN(SUBSTITUTE(E6548,",",""))+1</f>
        <v>1</v>
      </c>
      <c r="K6548" s="3" t="str">
        <f aca="false">IFERROR(INDEX('Teacher Lookup'!$B$2:$B$200,MATCH(A6548,'Teacher Lookup'!$A$2:$A$200,0)),"")</f>
        <v>TSANG Leo</v>
      </c>
    </row>
    <row r="6549" customFormat="false" ht="15" hidden="false" customHeight="false" outlineLevel="0" collapsed="false">
      <c r="A6549" s="3" t="s">
        <v>474</v>
      </c>
      <c r="B6549" s="4" t="s">
        <v>44</v>
      </c>
      <c r="C6549" s="4" t="n">
        <v>5</v>
      </c>
      <c r="D6549" s="4" t="s">
        <v>24</v>
      </c>
      <c r="E6549" s="3" t="s">
        <v>131</v>
      </c>
      <c r="F6549" s="4" t="str">
        <f aca="false">IF(I6549&gt;J6549,"Y","N")</f>
        <v>Y</v>
      </c>
      <c r="G6549" s="3" t="s">
        <v>36</v>
      </c>
      <c r="H6549" s="3" t="s">
        <v>37</v>
      </c>
      <c r="I6549" s="4" t="n">
        <v>15</v>
      </c>
      <c r="J6549" s="4" t="n">
        <f aca="false">LEN(E6549)-LEN(SUBSTITUTE(E6549,",",""))+1</f>
        <v>7</v>
      </c>
      <c r="K6549" s="3" t="str">
        <f aca="false">IFERROR(INDEX('Teacher Lookup'!$B$2:$B$200,MATCH(A6549,'Teacher Lookup'!$A$2:$A$200,0)),"")</f>
        <v>TSANG Leo</v>
      </c>
    </row>
    <row r="6550" customFormat="false" ht="15" hidden="false" customHeight="false" outlineLevel="0" collapsed="false">
      <c r="A6550" s="3" t="s">
        <v>474</v>
      </c>
      <c r="B6550" s="4" t="s">
        <v>44</v>
      </c>
      <c r="C6550" s="4" t="n">
        <v>5</v>
      </c>
      <c r="D6550" s="4" t="s">
        <v>132</v>
      </c>
      <c r="E6550" s="3" t="s">
        <v>131</v>
      </c>
      <c r="F6550" s="4" t="str">
        <f aca="false">IF(I6550&gt;J6550,"Y","N")</f>
        <v>Y</v>
      </c>
      <c r="G6550" s="3" t="s">
        <v>36</v>
      </c>
      <c r="H6550" s="3" t="s">
        <v>37</v>
      </c>
      <c r="I6550" s="4" t="n">
        <v>15</v>
      </c>
      <c r="J6550" s="4" t="n">
        <f aca="false">LEN(E6550)-LEN(SUBSTITUTE(E6550,",",""))+1</f>
        <v>7</v>
      </c>
      <c r="K6550" s="3" t="str">
        <f aca="false">IFERROR(INDEX('Teacher Lookup'!$B$2:$B$200,MATCH(A6550,'Teacher Lookup'!$A$2:$A$200,0)),"")</f>
        <v>TSANG Leo</v>
      </c>
    </row>
    <row r="6551" customFormat="false" ht="15" hidden="false" customHeight="false" outlineLevel="0" collapsed="false">
      <c r="A6551" s="3" t="s">
        <v>474</v>
      </c>
      <c r="B6551" s="4" t="s">
        <v>44</v>
      </c>
      <c r="C6551" s="4" t="n">
        <v>5</v>
      </c>
      <c r="D6551" s="4" t="s">
        <v>27</v>
      </c>
      <c r="E6551" s="3" t="s">
        <v>131</v>
      </c>
      <c r="F6551" s="4" t="str">
        <f aca="false">IF(I6551&gt;J6551,"Y","N")</f>
        <v>Y</v>
      </c>
      <c r="G6551" s="3" t="s">
        <v>36</v>
      </c>
      <c r="H6551" s="3" t="s">
        <v>37</v>
      </c>
      <c r="I6551" s="4" t="n">
        <v>15</v>
      </c>
      <c r="J6551" s="4" t="n">
        <f aca="false">LEN(E6551)-LEN(SUBSTITUTE(E6551,",",""))+1</f>
        <v>7</v>
      </c>
      <c r="K6551" s="3" t="str">
        <f aca="false">IFERROR(INDEX('Teacher Lookup'!$B$2:$B$200,MATCH(A6551,'Teacher Lookup'!$A$2:$A$200,0)),"")</f>
        <v>TSANG Leo</v>
      </c>
    </row>
    <row r="6552" customFormat="false" ht="15" hidden="false" customHeight="false" outlineLevel="0" collapsed="false">
      <c r="A6552" s="3" t="s">
        <v>474</v>
      </c>
      <c r="B6552" s="4" t="s">
        <v>44</v>
      </c>
      <c r="C6552" s="4" t="n">
        <v>5</v>
      </c>
      <c r="D6552" s="4" t="s">
        <v>28</v>
      </c>
      <c r="E6552" s="3" t="s">
        <v>131</v>
      </c>
      <c r="F6552" s="4" t="str">
        <f aca="false">IF(I6552&gt;J6552,"Y","N")</f>
        <v>Y</v>
      </c>
      <c r="G6552" s="3" t="s">
        <v>36</v>
      </c>
      <c r="H6552" s="3" t="s">
        <v>37</v>
      </c>
      <c r="I6552" s="4" t="n">
        <v>15</v>
      </c>
      <c r="J6552" s="4" t="n">
        <f aca="false">LEN(E6552)-LEN(SUBSTITUTE(E6552,",",""))+1</f>
        <v>7</v>
      </c>
      <c r="K6552" s="3" t="str">
        <f aca="false">IFERROR(INDEX('Teacher Lookup'!$B$2:$B$200,MATCH(A6552,'Teacher Lookup'!$A$2:$A$200,0)),"")</f>
        <v>TSANG Leo</v>
      </c>
    </row>
    <row r="6553" customFormat="false" ht="15" hidden="false" customHeight="false" outlineLevel="0" collapsed="false">
      <c r="A6553" s="3" t="s">
        <v>474</v>
      </c>
      <c r="B6553" s="4" t="s">
        <v>44</v>
      </c>
      <c r="C6553" s="4" t="n">
        <v>5</v>
      </c>
      <c r="D6553" s="4" t="s">
        <v>29</v>
      </c>
      <c r="E6553" s="3" t="s">
        <v>131</v>
      </c>
      <c r="F6553" s="4" t="str">
        <f aca="false">IF(I6553&gt;J6553,"Y","N")</f>
        <v>Y</v>
      </c>
      <c r="G6553" s="3" t="s">
        <v>36</v>
      </c>
      <c r="H6553" s="3" t="s">
        <v>37</v>
      </c>
      <c r="I6553" s="4" t="n">
        <v>15</v>
      </c>
      <c r="J6553" s="4" t="n">
        <f aca="false">LEN(E6553)-LEN(SUBSTITUTE(E6553,",",""))+1</f>
        <v>7</v>
      </c>
      <c r="K6553" s="3" t="str">
        <f aca="false">IFERROR(INDEX('Teacher Lookup'!$B$2:$B$200,MATCH(A6553,'Teacher Lookup'!$A$2:$A$200,0)),"")</f>
        <v>TSANG Leo</v>
      </c>
    </row>
    <row r="6554" customFormat="false" ht="15" hidden="false" customHeight="false" outlineLevel="0" collapsed="false">
      <c r="A6554" s="3" t="s">
        <v>474</v>
      </c>
      <c r="B6554" s="4" t="s">
        <v>44</v>
      </c>
      <c r="C6554" s="4" t="n">
        <v>5</v>
      </c>
      <c r="D6554" s="4" t="s">
        <v>30</v>
      </c>
      <c r="E6554" s="3" t="s">
        <v>131</v>
      </c>
      <c r="F6554" s="4" t="str">
        <f aca="false">IF(I6554&gt;J6554,"Y","N")</f>
        <v>Y</v>
      </c>
      <c r="G6554" s="3" t="s">
        <v>36</v>
      </c>
      <c r="H6554" s="3" t="s">
        <v>37</v>
      </c>
      <c r="I6554" s="4" t="n">
        <v>15</v>
      </c>
      <c r="J6554" s="4" t="n">
        <f aca="false">LEN(E6554)-LEN(SUBSTITUTE(E6554,",",""))+1</f>
        <v>7</v>
      </c>
      <c r="K6554" s="3" t="str">
        <f aca="false">IFERROR(INDEX('Teacher Lookup'!$B$2:$B$200,MATCH(A6554,'Teacher Lookup'!$A$2:$A$200,0)),"")</f>
        <v>TSANG Leo</v>
      </c>
    </row>
    <row r="6555" customFormat="false" ht="15" hidden="false" customHeight="false" outlineLevel="0" collapsed="false">
      <c r="A6555" s="3" t="s">
        <v>474</v>
      </c>
      <c r="B6555" s="4" t="s">
        <v>44</v>
      </c>
      <c r="C6555" s="4" t="n">
        <v>6</v>
      </c>
      <c r="D6555" s="4" t="s">
        <v>28</v>
      </c>
      <c r="E6555" s="3" t="s">
        <v>362</v>
      </c>
      <c r="F6555" s="4" t="str">
        <f aca="false">IF(I6555&gt;J6555,"Y","N")</f>
        <v>N</v>
      </c>
      <c r="G6555" s="3" t="s">
        <v>99</v>
      </c>
      <c r="H6555" s="3" t="s">
        <v>42</v>
      </c>
      <c r="I6555" s="4" t="n">
        <v>1</v>
      </c>
      <c r="J6555" s="4" t="n">
        <f aca="false">LEN(E6555)-LEN(SUBSTITUTE(E6555,",",""))+1</f>
        <v>1</v>
      </c>
      <c r="K6555" s="3" t="str">
        <f aca="false">IFERROR(INDEX('Teacher Lookup'!$B$2:$B$200,MATCH(A6555,'Teacher Lookup'!$A$2:$A$200,0)),"")</f>
        <v>TSANG Leo</v>
      </c>
    </row>
    <row r="6556" customFormat="false" ht="15" hidden="false" customHeight="false" outlineLevel="0" collapsed="false">
      <c r="A6556" s="3" t="s">
        <v>474</v>
      </c>
      <c r="B6556" s="4" t="s">
        <v>44</v>
      </c>
      <c r="C6556" s="4" t="n">
        <v>7</v>
      </c>
      <c r="D6556" s="4" t="s">
        <v>79</v>
      </c>
      <c r="E6556" s="3" t="s">
        <v>234</v>
      </c>
      <c r="F6556" s="4" t="str">
        <f aca="false">IF(I6556&gt;J6556,"Y","N")</f>
        <v>N</v>
      </c>
      <c r="G6556" s="3" t="s">
        <v>99</v>
      </c>
      <c r="H6556" s="3" t="s">
        <v>39</v>
      </c>
      <c r="I6556" s="4" t="n">
        <v>1</v>
      </c>
      <c r="J6556" s="4" t="n">
        <f aca="false">LEN(E6556)-LEN(SUBSTITUTE(E6556,",",""))+1</f>
        <v>1</v>
      </c>
      <c r="K6556" s="3" t="str">
        <f aca="false">IFERROR(INDEX('Teacher Lookup'!$B$2:$B$200,MATCH(A6556,'Teacher Lookup'!$A$2:$A$200,0)),"")</f>
        <v>TSANG Leo</v>
      </c>
    </row>
    <row r="6557" customFormat="false" ht="15" hidden="false" customHeight="false" outlineLevel="0" collapsed="false">
      <c r="A6557" s="3" t="s">
        <v>474</v>
      </c>
      <c r="B6557" s="4" t="s">
        <v>47</v>
      </c>
      <c r="C6557" s="4" t="n">
        <v>1</v>
      </c>
      <c r="D6557" s="4" t="s">
        <v>24</v>
      </c>
      <c r="E6557" s="3" t="s">
        <v>277</v>
      </c>
      <c r="F6557" s="4" t="str">
        <f aca="false">IF(I6557&gt;J6557,"Y","N")</f>
        <v>Y</v>
      </c>
      <c r="G6557" s="3" t="s">
        <v>272</v>
      </c>
      <c r="H6557" s="3" t="s">
        <v>16</v>
      </c>
      <c r="I6557" s="4" t="n">
        <v>8</v>
      </c>
      <c r="J6557" s="4" t="n">
        <f aca="false">LEN(E6557)-LEN(SUBSTITUTE(E6557,",",""))+1</f>
        <v>7</v>
      </c>
      <c r="K6557" s="3" t="str">
        <f aca="false">IFERROR(INDEX('Teacher Lookup'!$B$2:$B$200,MATCH(A6557,'Teacher Lookup'!$A$2:$A$200,0)),"")</f>
        <v>TSANG Leo</v>
      </c>
    </row>
    <row r="6558" customFormat="false" ht="15" hidden="false" customHeight="false" outlineLevel="0" collapsed="false">
      <c r="A6558" s="3" t="s">
        <v>474</v>
      </c>
      <c r="B6558" s="4" t="s">
        <v>47</v>
      </c>
      <c r="C6558" s="4" t="n">
        <v>1</v>
      </c>
      <c r="D6558" s="4" t="s">
        <v>27</v>
      </c>
      <c r="E6558" s="3" t="s">
        <v>277</v>
      </c>
      <c r="F6558" s="4" t="str">
        <f aca="false">IF(I6558&gt;J6558,"Y","N")</f>
        <v>Y</v>
      </c>
      <c r="G6558" s="3" t="s">
        <v>272</v>
      </c>
      <c r="H6558" s="3" t="s">
        <v>16</v>
      </c>
      <c r="I6558" s="4" t="n">
        <v>8</v>
      </c>
      <c r="J6558" s="4" t="n">
        <f aca="false">LEN(E6558)-LEN(SUBSTITUTE(E6558,",",""))+1</f>
        <v>7</v>
      </c>
      <c r="K6558" s="3" t="str">
        <f aca="false">IFERROR(INDEX('Teacher Lookup'!$B$2:$B$200,MATCH(A6558,'Teacher Lookup'!$A$2:$A$200,0)),"")</f>
        <v>TSANG Leo</v>
      </c>
    </row>
    <row r="6559" customFormat="false" ht="15" hidden="false" customHeight="false" outlineLevel="0" collapsed="false">
      <c r="A6559" s="3" t="s">
        <v>474</v>
      </c>
      <c r="B6559" s="4" t="s">
        <v>47</v>
      </c>
      <c r="C6559" s="4" t="n">
        <v>1</v>
      </c>
      <c r="D6559" s="4" t="s">
        <v>28</v>
      </c>
      <c r="E6559" s="3" t="s">
        <v>277</v>
      </c>
      <c r="F6559" s="4" t="str">
        <f aca="false">IF(I6559&gt;J6559,"Y","N")</f>
        <v>Y</v>
      </c>
      <c r="G6559" s="3" t="s">
        <v>272</v>
      </c>
      <c r="H6559" s="3" t="s">
        <v>16</v>
      </c>
      <c r="I6559" s="4" t="n">
        <v>8</v>
      </c>
      <c r="J6559" s="4" t="n">
        <f aca="false">LEN(E6559)-LEN(SUBSTITUTE(E6559,",",""))+1</f>
        <v>7</v>
      </c>
      <c r="K6559" s="3" t="str">
        <f aca="false">IFERROR(INDEX('Teacher Lookup'!$B$2:$B$200,MATCH(A6559,'Teacher Lookup'!$A$2:$A$200,0)),"")</f>
        <v>TSANG Leo</v>
      </c>
    </row>
    <row r="6560" customFormat="false" ht="15" hidden="false" customHeight="false" outlineLevel="0" collapsed="false">
      <c r="A6560" s="3" t="s">
        <v>474</v>
      </c>
      <c r="B6560" s="4" t="s">
        <v>47</v>
      </c>
      <c r="C6560" s="4" t="n">
        <v>1</v>
      </c>
      <c r="D6560" s="4" t="s">
        <v>29</v>
      </c>
      <c r="E6560" s="3" t="s">
        <v>277</v>
      </c>
      <c r="F6560" s="4" t="str">
        <f aca="false">IF(I6560&gt;J6560,"Y","N")</f>
        <v>Y</v>
      </c>
      <c r="G6560" s="3" t="s">
        <v>272</v>
      </c>
      <c r="H6560" s="3" t="s">
        <v>16</v>
      </c>
      <c r="I6560" s="4" t="n">
        <v>8</v>
      </c>
      <c r="J6560" s="4" t="n">
        <f aca="false">LEN(E6560)-LEN(SUBSTITUTE(E6560,",",""))+1</f>
        <v>7</v>
      </c>
      <c r="K6560" s="3" t="str">
        <f aca="false">IFERROR(INDEX('Teacher Lookup'!$B$2:$B$200,MATCH(A6560,'Teacher Lookup'!$A$2:$A$200,0)),"")</f>
        <v>TSANG Leo</v>
      </c>
    </row>
    <row r="6561" customFormat="false" ht="15" hidden="false" customHeight="false" outlineLevel="0" collapsed="false">
      <c r="A6561" s="3" t="s">
        <v>474</v>
      </c>
      <c r="B6561" s="4" t="s">
        <v>47</v>
      </c>
      <c r="C6561" s="4" t="n">
        <v>1</v>
      </c>
      <c r="D6561" s="4" t="s">
        <v>30</v>
      </c>
      <c r="E6561" s="3" t="s">
        <v>277</v>
      </c>
      <c r="F6561" s="4" t="str">
        <f aca="false">IF(I6561&gt;J6561,"Y","N")</f>
        <v>Y</v>
      </c>
      <c r="G6561" s="3" t="s">
        <v>272</v>
      </c>
      <c r="H6561" s="3" t="s">
        <v>16</v>
      </c>
      <c r="I6561" s="4" t="n">
        <v>8</v>
      </c>
      <c r="J6561" s="4" t="n">
        <f aca="false">LEN(E6561)-LEN(SUBSTITUTE(E6561,",",""))+1</f>
        <v>7</v>
      </c>
      <c r="K6561" s="3" t="str">
        <f aca="false">IFERROR(INDEX('Teacher Lookup'!$B$2:$B$200,MATCH(A6561,'Teacher Lookup'!$A$2:$A$200,0)),"")</f>
        <v>TSANG Leo</v>
      </c>
    </row>
    <row r="6562" customFormat="false" ht="15" hidden="false" customHeight="false" outlineLevel="0" collapsed="false">
      <c r="A6562" s="3" t="s">
        <v>474</v>
      </c>
      <c r="B6562" s="4" t="s">
        <v>47</v>
      </c>
      <c r="C6562" s="4" t="n">
        <v>2</v>
      </c>
      <c r="D6562" s="4" t="s">
        <v>28</v>
      </c>
      <c r="E6562" s="3" t="s">
        <v>362</v>
      </c>
      <c r="F6562" s="4" t="str">
        <f aca="false">IF(I6562&gt;J6562,"Y","N")</f>
        <v>N</v>
      </c>
      <c r="G6562" s="3" t="s">
        <v>99</v>
      </c>
      <c r="H6562" s="3" t="s">
        <v>21</v>
      </c>
      <c r="I6562" s="4" t="n">
        <v>1</v>
      </c>
      <c r="J6562" s="4" t="n">
        <f aca="false">LEN(E6562)-LEN(SUBSTITUTE(E6562,",",""))+1</f>
        <v>1</v>
      </c>
      <c r="K6562" s="3" t="str">
        <f aca="false">IFERROR(INDEX('Teacher Lookup'!$B$2:$B$200,MATCH(A6562,'Teacher Lookup'!$A$2:$A$200,0)),"")</f>
        <v>TSANG Leo</v>
      </c>
    </row>
    <row r="6563" customFormat="false" ht="15" hidden="false" customHeight="false" outlineLevel="0" collapsed="false">
      <c r="A6563" s="3" t="s">
        <v>474</v>
      </c>
      <c r="B6563" s="4" t="s">
        <v>47</v>
      </c>
      <c r="C6563" s="4" t="n">
        <v>6</v>
      </c>
      <c r="D6563" s="4" t="s">
        <v>78</v>
      </c>
      <c r="E6563" s="3" t="s">
        <v>135</v>
      </c>
      <c r="F6563" s="4" t="str">
        <f aca="false">IF(I6563&gt;J6563,"Y","N")</f>
        <v>N</v>
      </c>
      <c r="G6563" s="3" t="s">
        <v>99</v>
      </c>
      <c r="H6563" s="3" t="s">
        <v>42</v>
      </c>
      <c r="I6563" s="4" t="n">
        <v>1</v>
      </c>
      <c r="J6563" s="4" t="n">
        <f aca="false">LEN(E6563)-LEN(SUBSTITUTE(E6563,",",""))+1</f>
        <v>1</v>
      </c>
      <c r="K6563" s="3" t="str">
        <f aca="false">IFERROR(INDEX('Teacher Lookup'!$B$2:$B$200,MATCH(A6563,'Teacher Lookup'!$A$2:$A$200,0)),"")</f>
        <v>TSANG Leo</v>
      </c>
    </row>
    <row r="6564" customFormat="false" ht="15" hidden="false" customHeight="false" outlineLevel="0" collapsed="false">
      <c r="A6564" s="3" t="s">
        <v>474</v>
      </c>
      <c r="B6564" s="4" t="s">
        <v>50</v>
      </c>
      <c r="C6564" s="4" t="n">
        <v>1</v>
      </c>
      <c r="D6564" s="4" t="s">
        <v>28</v>
      </c>
      <c r="E6564" s="3" t="s">
        <v>362</v>
      </c>
      <c r="F6564" s="4" t="str">
        <f aca="false">IF(I6564&gt;J6564,"Y","N")</f>
        <v>N</v>
      </c>
      <c r="G6564" s="3" t="s">
        <v>99</v>
      </c>
      <c r="H6564" s="3" t="s">
        <v>16</v>
      </c>
      <c r="I6564" s="4" t="n">
        <v>1</v>
      </c>
      <c r="J6564" s="4" t="n">
        <f aca="false">LEN(E6564)-LEN(SUBSTITUTE(E6564,",",""))+1</f>
        <v>1</v>
      </c>
      <c r="K6564" s="3" t="str">
        <f aca="false">IFERROR(INDEX('Teacher Lookup'!$B$2:$B$200,MATCH(A6564,'Teacher Lookup'!$A$2:$A$200,0)),"")</f>
        <v>TSANG Leo</v>
      </c>
    </row>
    <row r="6565" customFormat="false" ht="15" hidden="false" customHeight="false" outlineLevel="0" collapsed="false">
      <c r="A6565" s="3" t="s">
        <v>474</v>
      </c>
      <c r="B6565" s="4" t="s">
        <v>50</v>
      </c>
      <c r="C6565" s="4" t="n">
        <v>3</v>
      </c>
      <c r="D6565" s="4" t="s">
        <v>74</v>
      </c>
      <c r="E6565" s="3" t="s">
        <v>316</v>
      </c>
      <c r="F6565" s="4" t="str">
        <f aca="false">IF(I6565&gt;J6565,"Y","N")</f>
        <v>N</v>
      </c>
      <c r="G6565" s="3" t="s">
        <v>99</v>
      </c>
      <c r="H6565" s="3" t="s">
        <v>26</v>
      </c>
      <c r="I6565" s="4" t="n">
        <v>1</v>
      </c>
      <c r="J6565" s="4" t="n">
        <f aca="false">LEN(E6565)-LEN(SUBSTITUTE(E6565,",",""))+1</f>
        <v>1</v>
      </c>
      <c r="K6565" s="3" t="str">
        <f aca="false">IFERROR(INDEX('Teacher Lookup'!$B$2:$B$200,MATCH(A6565,'Teacher Lookup'!$A$2:$A$200,0)),"")</f>
        <v>TSANG Leo</v>
      </c>
    </row>
    <row r="6566" customFormat="false" ht="15" hidden="false" customHeight="false" outlineLevel="0" collapsed="false">
      <c r="A6566" s="3" t="s">
        <v>474</v>
      </c>
      <c r="B6566" s="4" t="s">
        <v>50</v>
      </c>
      <c r="C6566" s="4" t="n">
        <v>4</v>
      </c>
      <c r="D6566" s="4" t="s">
        <v>24</v>
      </c>
      <c r="E6566" s="3" t="s">
        <v>278</v>
      </c>
      <c r="F6566" s="4" t="str">
        <f aca="false">IF(I6566&gt;J6566,"Y","N")</f>
        <v>Y</v>
      </c>
      <c r="G6566" s="3" t="s">
        <v>272</v>
      </c>
      <c r="H6566" s="3" t="s">
        <v>34</v>
      </c>
      <c r="I6566" s="4" t="n">
        <v>8</v>
      </c>
      <c r="J6566" s="4" t="n">
        <f aca="false">LEN(E6566)-LEN(SUBSTITUTE(E6566,",",""))+1</f>
        <v>7</v>
      </c>
      <c r="K6566" s="3" t="str">
        <f aca="false">IFERROR(INDEX('Teacher Lookup'!$B$2:$B$200,MATCH(A6566,'Teacher Lookup'!$A$2:$A$200,0)),"")</f>
        <v>TSANG Leo</v>
      </c>
    </row>
    <row r="6567" customFormat="false" ht="15" hidden="false" customHeight="false" outlineLevel="0" collapsed="false">
      <c r="A6567" s="3" t="s">
        <v>474</v>
      </c>
      <c r="B6567" s="4" t="s">
        <v>50</v>
      </c>
      <c r="C6567" s="4" t="n">
        <v>4</v>
      </c>
      <c r="D6567" s="4" t="s">
        <v>27</v>
      </c>
      <c r="E6567" s="3" t="s">
        <v>278</v>
      </c>
      <c r="F6567" s="4" t="str">
        <f aca="false">IF(I6567&gt;J6567,"Y","N")</f>
        <v>Y</v>
      </c>
      <c r="G6567" s="3" t="s">
        <v>272</v>
      </c>
      <c r="H6567" s="3" t="s">
        <v>34</v>
      </c>
      <c r="I6567" s="4" t="n">
        <v>8</v>
      </c>
      <c r="J6567" s="4" t="n">
        <f aca="false">LEN(E6567)-LEN(SUBSTITUTE(E6567,",",""))+1</f>
        <v>7</v>
      </c>
      <c r="K6567" s="3" t="str">
        <f aca="false">IFERROR(INDEX('Teacher Lookup'!$B$2:$B$200,MATCH(A6567,'Teacher Lookup'!$A$2:$A$200,0)),"")</f>
        <v>TSANG Leo</v>
      </c>
    </row>
    <row r="6568" customFormat="false" ht="15" hidden="false" customHeight="false" outlineLevel="0" collapsed="false">
      <c r="A6568" s="3" t="s">
        <v>474</v>
      </c>
      <c r="B6568" s="4" t="s">
        <v>50</v>
      </c>
      <c r="C6568" s="4" t="n">
        <v>4</v>
      </c>
      <c r="D6568" s="4" t="s">
        <v>28</v>
      </c>
      <c r="E6568" s="3" t="s">
        <v>278</v>
      </c>
      <c r="F6568" s="4" t="str">
        <f aca="false">IF(I6568&gt;J6568,"Y","N")</f>
        <v>Y</v>
      </c>
      <c r="G6568" s="3" t="s">
        <v>272</v>
      </c>
      <c r="H6568" s="3" t="s">
        <v>34</v>
      </c>
      <c r="I6568" s="4" t="n">
        <v>8</v>
      </c>
      <c r="J6568" s="4" t="n">
        <f aca="false">LEN(E6568)-LEN(SUBSTITUTE(E6568,",",""))+1</f>
        <v>7</v>
      </c>
      <c r="K6568" s="3" t="str">
        <f aca="false">IFERROR(INDEX('Teacher Lookup'!$B$2:$B$200,MATCH(A6568,'Teacher Lookup'!$A$2:$A$200,0)),"")</f>
        <v>TSANG Leo</v>
      </c>
    </row>
    <row r="6569" customFormat="false" ht="15" hidden="false" customHeight="false" outlineLevel="0" collapsed="false">
      <c r="A6569" s="3" t="s">
        <v>474</v>
      </c>
      <c r="B6569" s="4" t="s">
        <v>50</v>
      </c>
      <c r="C6569" s="4" t="n">
        <v>4</v>
      </c>
      <c r="D6569" s="4" t="s">
        <v>29</v>
      </c>
      <c r="E6569" s="3" t="s">
        <v>278</v>
      </c>
      <c r="F6569" s="4" t="str">
        <f aca="false">IF(I6569&gt;J6569,"Y","N")</f>
        <v>Y</v>
      </c>
      <c r="G6569" s="3" t="s">
        <v>272</v>
      </c>
      <c r="H6569" s="3" t="s">
        <v>34</v>
      </c>
      <c r="I6569" s="4" t="n">
        <v>8</v>
      </c>
      <c r="J6569" s="4" t="n">
        <f aca="false">LEN(E6569)-LEN(SUBSTITUTE(E6569,",",""))+1</f>
        <v>7</v>
      </c>
      <c r="K6569" s="3" t="str">
        <f aca="false">IFERROR(INDEX('Teacher Lookup'!$B$2:$B$200,MATCH(A6569,'Teacher Lookup'!$A$2:$A$200,0)),"")</f>
        <v>TSANG Leo</v>
      </c>
    </row>
    <row r="6570" customFormat="false" ht="15" hidden="false" customHeight="false" outlineLevel="0" collapsed="false">
      <c r="A6570" s="3" t="s">
        <v>474</v>
      </c>
      <c r="B6570" s="4" t="s">
        <v>50</v>
      </c>
      <c r="C6570" s="4" t="n">
        <v>4</v>
      </c>
      <c r="D6570" s="4" t="s">
        <v>30</v>
      </c>
      <c r="E6570" s="3" t="s">
        <v>278</v>
      </c>
      <c r="F6570" s="4" t="str">
        <f aca="false">IF(I6570&gt;J6570,"Y","N")</f>
        <v>Y</v>
      </c>
      <c r="G6570" s="3" t="s">
        <v>272</v>
      </c>
      <c r="H6570" s="3" t="s">
        <v>34</v>
      </c>
      <c r="I6570" s="4" t="n">
        <v>8</v>
      </c>
      <c r="J6570" s="4" t="n">
        <f aca="false">LEN(E6570)-LEN(SUBSTITUTE(E6570,",",""))+1</f>
        <v>7</v>
      </c>
      <c r="K6570" s="3" t="str">
        <f aca="false">IFERROR(INDEX('Teacher Lookup'!$B$2:$B$200,MATCH(A6570,'Teacher Lookup'!$A$2:$A$200,0)),"")</f>
        <v>TSANG Leo</v>
      </c>
    </row>
    <row r="6571" customFormat="false" ht="15" hidden="false" customHeight="false" outlineLevel="0" collapsed="false">
      <c r="A6571" s="3" t="s">
        <v>474</v>
      </c>
      <c r="B6571" s="4" t="s">
        <v>50</v>
      </c>
      <c r="C6571" s="4" t="n">
        <v>5</v>
      </c>
      <c r="D6571" s="4" t="s">
        <v>24</v>
      </c>
      <c r="E6571" s="3" t="s">
        <v>278</v>
      </c>
      <c r="F6571" s="4" t="str">
        <f aca="false">IF(I6571&gt;J6571,"Y","N")</f>
        <v>Y</v>
      </c>
      <c r="G6571" s="3" t="s">
        <v>272</v>
      </c>
      <c r="H6571" s="3" t="s">
        <v>37</v>
      </c>
      <c r="I6571" s="4" t="n">
        <v>8</v>
      </c>
      <c r="J6571" s="4" t="n">
        <f aca="false">LEN(E6571)-LEN(SUBSTITUTE(E6571,",",""))+1</f>
        <v>7</v>
      </c>
      <c r="K6571" s="3" t="str">
        <f aca="false">IFERROR(INDEX('Teacher Lookup'!$B$2:$B$200,MATCH(A6571,'Teacher Lookup'!$A$2:$A$200,0)),"")</f>
        <v>TSANG Leo</v>
      </c>
    </row>
    <row r="6572" customFormat="false" ht="15" hidden="false" customHeight="false" outlineLevel="0" collapsed="false">
      <c r="A6572" s="3" t="s">
        <v>474</v>
      </c>
      <c r="B6572" s="4" t="s">
        <v>50</v>
      </c>
      <c r="C6572" s="4" t="n">
        <v>5</v>
      </c>
      <c r="D6572" s="4" t="s">
        <v>27</v>
      </c>
      <c r="E6572" s="3" t="s">
        <v>278</v>
      </c>
      <c r="F6572" s="4" t="str">
        <f aca="false">IF(I6572&gt;J6572,"Y","N")</f>
        <v>Y</v>
      </c>
      <c r="G6572" s="3" t="s">
        <v>272</v>
      </c>
      <c r="H6572" s="3" t="s">
        <v>37</v>
      </c>
      <c r="I6572" s="4" t="n">
        <v>8</v>
      </c>
      <c r="J6572" s="4" t="n">
        <f aca="false">LEN(E6572)-LEN(SUBSTITUTE(E6572,",",""))+1</f>
        <v>7</v>
      </c>
      <c r="K6572" s="3" t="str">
        <f aca="false">IFERROR(INDEX('Teacher Lookup'!$B$2:$B$200,MATCH(A6572,'Teacher Lookup'!$A$2:$A$200,0)),"")</f>
        <v>TSANG Leo</v>
      </c>
    </row>
    <row r="6573" customFormat="false" ht="15" hidden="false" customHeight="false" outlineLevel="0" collapsed="false">
      <c r="A6573" s="3" t="s">
        <v>474</v>
      </c>
      <c r="B6573" s="4" t="s">
        <v>50</v>
      </c>
      <c r="C6573" s="4" t="n">
        <v>5</v>
      </c>
      <c r="D6573" s="4" t="s">
        <v>28</v>
      </c>
      <c r="E6573" s="3" t="s">
        <v>278</v>
      </c>
      <c r="F6573" s="4" t="str">
        <f aca="false">IF(I6573&gt;J6573,"Y","N")</f>
        <v>Y</v>
      </c>
      <c r="G6573" s="3" t="s">
        <v>272</v>
      </c>
      <c r="H6573" s="3" t="s">
        <v>37</v>
      </c>
      <c r="I6573" s="4" t="n">
        <v>8</v>
      </c>
      <c r="J6573" s="4" t="n">
        <f aca="false">LEN(E6573)-LEN(SUBSTITUTE(E6573,",",""))+1</f>
        <v>7</v>
      </c>
      <c r="K6573" s="3" t="str">
        <f aca="false">IFERROR(INDEX('Teacher Lookup'!$B$2:$B$200,MATCH(A6573,'Teacher Lookup'!$A$2:$A$200,0)),"")</f>
        <v>TSANG Leo</v>
      </c>
    </row>
    <row r="6574" customFormat="false" ht="15" hidden="false" customHeight="false" outlineLevel="0" collapsed="false">
      <c r="A6574" s="3" t="s">
        <v>474</v>
      </c>
      <c r="B6574" s="4" t="s">
        <v>50</v>
      </c>
      <c r="C6574" s="4" t="n">
        <v>5</v>
      </c>
      <c r="D6574" s="4" t="s">
        <v>29</v>
      </c>
      <c r="E6574" s="3" t="s">
        <v>278</v>
      </c>
      <c r="F6574" s="4" t="str">
        <f aca="false">IF(I6574&gt;J6574,"Y","N")</f>
        <v>Y</v>
      </c>
      <c r="G6574" s="3" t="s">
        <v>272</v>
      </c>
      <c r="H6574" s="3" t="s">
        <v>37</v>
      </c>
      <c r="I6574" s="4" t="n">
        <v>8</v>
      </c>
      <c r="J6574" s="4" t="n">
        <f aca="false">LEN(E6574)-LEN(SUBSTITUTE(E6574,",",""))+1</f>
        <v>7</v>
      </c>
      <c r="K6574" s="3" t="str">
        <f aca="false">IFERROR(INDEX('Teacher Lookup'!$B$2:$B$200,MATCH(A6574,'Teacher Lookup'!$A$2:$A$200,0)),"")</f>
        <v>TSANG Leo</v>
      </c>
    </row>
    <row r="6575" customFormat="false" ht="15" hidden="false" customHeight="false" outlineLevel="0" collapsed="false">
      <c r="A6575" s="3" t="s">
        <v>474</v>
      </c>
      <c r="B6575" s="4" t="s">
        <v>50</v>
      </c>
      <c r="C6575" s="4" t="n">
        <v>5</v>
      </c>
      <c r="D6575" s="4" t="s">
        <v>30</v>
      </c>
      <c r="E6575" s="3" t="s">
        <v>278</v>
      </c>
      <c r="F6575" s="4" t="str">
        <f aca="false">IF(I6575&gt;J6575,"Y","N")</f>
        <v>Y</v>
      </c>
      <c r="G6575" s="3" t="s">
        <v>272</v>
      </c>
      <c r="H6575" s="3" t="s">
        <v>37</v>
      </c>
      <c r="I6575" s="4" t="n">
        <v>8</v>
      </c>
      <c r="J6575" s="4" t="n">
        <f aca="false">LEN(E6575)-LEN(SUBSTITUTE(E6575,",",""))+1</f>
        <v>7</v>
      </c>
      <c r="K6575" s="3" t="str">
        <f aca="false">IFERROR(INDEX('Teacher Lookup'!$B$2:$B$200,MATCH(A6575,'Teacher Lookup'!$A$2:$A$200,0)),"")</f>
        <v>TSANG Leo</v>
      </c>
    </row>
    <row r="6576" customFormat="false" ht="15" hidden="false" customHeight="false" outlineLevel="0" collapsed="false">
      <c r="A6576" s="3" t="s">
        <v>474</v>
      </c>
      <c r="B6576" s="4" t="s">
        <v>50</v>
      </c>
      <c r="C6576" s="4" t="n">
        <v>6</v>
      </c>
      <c r="D6576" s="4" t="s">
        <v>73</v>
      </c>
      <c r="E6576" s="3" t="s">
        <v>438</v>
      </c>
      <c r="F6576" s="4" t="str">
        <f aca="false">IF(I6576&gt;J6576,"Y","N")</f>
        <v>N</v>
      </c>
      <c r="G6576" s="3" t="s">
        <v>99</v>
      </c>
      <c r="H6576" s="3" t="s">
        <v>42</v>
      </c>
      <c r="I6576" s="4" t="n">
        <v>1</v>
      </c>
      <c r="J6576" s="4" t="n">
        <f aca="false">LEN(E6576)-LEN(SUBSTITUTE(E6576,",",""))+1</f>
        <v>1</v>
      </c>
      <c r="K6576" s="3" t="str">
        <f aca="false">IFERROR(INDEX('Teacher Lookup'!$B$2:$B$200,MATCH(A6576,'Teacher Lookup'!$A$2:$A$200,0)),"")</f>
        <v>TSANG Leo</v>
      </c>
    </row>
    <row r="6577" customFormat="false" ht="15" hidden="false" customHeight="false" outlineLevel="0" collapsed="false">
      <c r="A6577" s="3" t="s">
        <v>474</v>
      </c>
      <c r="B6577" s="4" t="s">
        <v>60</v>
      </c>
      <c r="C6577" s="4" t="n">
        <v>2</v>
      </c>
      <c r="D6577" s="4" t="s">
        <v>24</v>
      </c>
      <c r="E6577" s="3" t="s">
        <v>280</v>
      </c>
      <c r="F6577" s="4" t="str">
        <f aca="false">IF(I6577&gt;J6577,"Y","N")</f>
        <v>Y</v>
      </c>
      <c r="G6577" s="3" t="s">
        <v>272</v>
      </c>
      <c r="H6577" s="3" t="s">
        <v>21</v>
      </c>
      <c r="I6577" s="4" t="n">
        <v>8</v>
      </c>
      <c r="J6577" s="4" t="n">
        <f aca="false">LEN(E6577)-LEN(SUBSTITUTE(E6577,",",""))+1</f>
        <v>7</v>
      </c>
      <c r="K6577" s="3" t="str">
        <f aca="false">IFERROR(INDEX('Teacher Lookup'!$B$2:$B$200,MATCH(A6577,'Teacher Lookup'!$A$2:$A$200,0)),"")</f>
        <v>TSANG Leo</v>
      </c>
    </row>
    <row r="6578" customFormat="false" ht="15" hidden="false" customHeight="false" outlineLevel="0" collapsed="false">
      <c r="A6578" s="3" t="s">
        <v>474</v>
      </c>
      <c r="B6578" s="4" t="s">
        <v>60</v>
      </c>
      <c r="C6578" s="4" t="n">
        <v>2</v>
      </c>
      <c r="D6578" s="4" t="s">
        <v>27</v>
      </c>
      <c r="E6578" s="3" t="s">
        <v>280</v>
      </c>
      <c r="F6578" s="4" t="str">
        <f aca="false">IF(I6578&gt;J6578,"Y","N")</f>
        <v>Y</v>
      </c>
      <c r="G6578" s="3" t="s">
        <v>272</v>
      </c>
      <c r="H6578" s="3" t="s">
        <v>21</v>
      </c>
      <c r="I6578" s="4" t="n">
        <v>8</v>
      </c>
      <c r="J6578" s="4" t="n">
        <f aca="false">LEN(E6578)-LEN(SUBSTITUTE(E6578,",",""))+1</f>
        <v>7</v>
      </c>
      <c r="K6578" s="3" t="str">
        <f aca="false">IFERROR(INDEX('Teacher Lookup'!$B$2:$B$200,MATCH(A6578,'Teacher Lookup'!$A$2:$A$200,0)),"")</f>
        <v>TSANG Leo</v>
      </c>
    </row>
    <row r="6579" customFormat="false" ht="15" hidden="false" customHeight="false" outlineLevel="0" collapsed="false">
      <c r="A6579" s="3" t="s">
        <v>474</v>
      </c>
      <c r="B6579" s="4" t="s">
        <v>60</v>
      </c>
      <c r="C6579" s="4" t="n">
        <v>2</v>
      </c>
      <c r="D6579" s="4" t="s">
        <v>28</v>
      </c>
      <c r="E6579" s="3" t="s">
        <v>280</v>
      </c>
      <c r="F6579" s="4" t="str">
        <f aca="false">IF(I6579&gt;J6579,"Y","N")</f>
        <v>Y</v>
      </c>
      <c r="G6579" s="3" t="s">
        <v>272</v>
      </c>
      <c r="H6579" s="3" t="s">
        <v>21</v>
      </c>
      <c r="I6579" s="4" t="n">
        <v>8</v>
      </c>
      <c r="J6579" s="4" t="n">
        <f aca="false">LEN(E6579)-LEN(SUBSTITUTE(E6579,",",""))+1</f>
        <v>7</v>
      </c>
      <c r="K6579" s="3" t="str">
        <f aca="false">IFERROR(INDEX('Teacher Lookup'!$B$2:$B$200,MATCH(A6579,'Teacher Lookup'!$A$2:$A$200,0)),"")</f>
        <v>TSANG Leo</v>
      </c>
    </row>
    <row r="6580" customFormat="false" ht="15" hidden="false" customHeight="false" outlineLevel="0" collapsed="false">
      <c r="A6580" s="3" t="s">
        <v>474</v>
      </c>
      <c r="B6580" s="4" t="s">
        <v>60</v>
      </c>
      <c r="C6580" s="4" t="n">
        <v>2</v>
      </c>
      <c r="D6580" s="4" t="s">
        <v>29</v>
      </c>
      <c r="E6580" s="3" t="s">
        <v>280</v>
      </c>
      <c r="F6580" s="4" t="str">
        <f aca="false">IF(I6580&gt;J6580,"Y","N")</f>
        <v>Y</v>
      </c>
      <c r="G6580" s="3" t="s">
        <v>272</v>
      </c>
      <c r="H6580" s="3" t="s">
        <v>21</v>
      </c>
      <c r="I6580" s="4" t="n">
        <v>8</v>
      </c>
      <c r="J6580" s="4" t="n">
        <f aca="false">LEN(E6580)-LEN(SUBSTITUTE(E6580,",",""))+1</f>
        <v>7</v>
      </c>
      <c r="K6580" s="3" t="str">
        <f aca="false">IFERROR(INDEX('Teacher Lookup'!$B$2:$B$200,MATCH(A6580,'Teacher Lookup'!$A$2:$A$200,0)),"")</f>
        <v>TSANG Leo</v>
      </c>
    </row>
    <row r="6581" customFormat="false" ht="15" hidden="false" customHeight="false" outlineLevel="0" collapsed="false">
      <c r="A6581" s="3" t="s">
        <v>474</v>
      </c>
      <c r="B6581" s="4" t="s">
        <v>60</v>
      </c>
      <c r="C6581" s="4" t="n">
        <v>2</v>
      </c>
      <c r="D6581" s="4" t="s">
        <v>30</v>
      </c>
      <c r="E6581" s="3" t="s">
        <v>280</v>
      </c>
      <c r="F6581" s="4" t="str">
        <f aca="false">IF(I6581&gt;J6581,"Y","N")</f>
        <v>Y</v>
      </c>
      <c r="G6581" s="3" t="s">
        <v>272</v>
      </c>
      <c r="H6581" s="3" t="s">
        <v>21</v>
      </c>
      <c r="I6581" s="4" t="n">
        <v>8</v>
      </c>
      <c r="J6581" s="4" t="n">
        <f aca="false">LEN(E6581)-LEN(SUBSTITUTE(E6581,",",""))+1</f>
        <v>7</v>
      </c>
      <c r="K6581" s="3" t="str">
        <f aca="false">IFERROR(INDEX('Teacher Lookup'!$B$2:$B$200,MATCH(A6581,'Teacher Lookup'!$A$2:$A$200,0)),"")</f>
        <v>TSANG Leo</v>
      </c>
    </row>
    <row r="6582" customFormat="false" ht="15" hidden="false" customHeight="false" outlineLevel="0" collapsed="false">
      <c r="A6582" s="3" t="s">
        <v>474</v>
      </c>
      <c r="B6582" s="4" t="s">
        <v>60</v>
      </c>
      <c r="C6582" s="4" t="n">
        <v>5</v>
      </c>
      <c r="D6582" s="4" t="s">
        <v>24</v>
      </c>
      <c r="E6582" s="3" t="s">
        <v>131</v>
      </c>
      <c r="F6582" s="4" t="str">
        <f aca="false">IF(I6582&gt;J6582,"Y","N")</f>
        <v>Y</v>
      </c>
      <c r="G6582" s="3" t="s">
        <v>36</v>
      </c>
      <c r="H6582" s="3" t="s">
        <v>37</v>
      </c>
      <c r="I6582" s="4" t="n">
        <v>15</v>
      </c>
      <c r="J6582" s="4" t="n">
        <f aca="false">LEN(E6582)-LEN(SUBSTITUTE(E6582,",",""))+1</f>
        <v>7</v>
      </c>
      <c r="K6582" s="3" t="str">
        <f aca="false">IFERROR(INDEX('Teacher Lookup'!$B$2:$B$200,MATCH(A6582,'Teacher Lookup'!$A$2:$A$200,0)),"")</f>
        <v>TSANG Leo</v>
      </c>
    </row>
    <row r="6583" customFormat="false" ht="15" hidden="false" customHeight="false" outlineLevel="0" collapsed="false">
      <c r="A6583" s="3" t="s">
        <v>474</v>
      </c>
      <c r="B6583" s="4" t="s">
        <v>60</v>
      </c>
      <c r="C6583" s="4" t="n">
        <v>5</v>
      </c>
      <c r="D6583" s="4" t="s">
        <v>132</v>
      </c>
      <c r="E6583" s="3" t="s">
        <v>131</v>
      </c>
      <c r="F6583" s="4" t="str">
        <f aca="false">IF(I6583&gt;J6583,"Y","N")</f>
        <v>Y</v>
      </c>
      <c r="G6583" s="3" t="s">
        <v>36</v>
      </c>
      <c r="H6583" s="3" t="s">
        <v>37</v>
      </c>
      <c r="I6583" s="4" t="n">
        <v>15</v>
      </c>
      <c r="J6583" s="4" t="n">
        <f aca="false">LEN(E6583)-LEN(SUBSTITUTE(E6583,",",""))+1</f>
        <v>7</v>
      </c>
      <c r="K6583" s="3" t="str">
        <f aca="false">IFERROR(INDEX('Teacher Lookup'!$B$2:$B$200,MATCH(A6583,'Teacher Lookup'!$A$2:$A$200,0)),"")</f>
        <v>TSANG Leo</v>
      </c>
    </row>
    <row r="6584" customFormat="false" ht="15" hidden="false" customHeight="false" outlineLevel="0" collapsed="false">
      <c r="A6584" s="3" t="s">
        <v>474</v>
      </c>
      <c r="B6584" s="4" t="s">
        <v>60</v>
      </c>
      <c r="C6584" s="4" t="n">
        <v>5</v>
      </c>
      <c r="D6584" s="4" t="s">
        <v>27</v>
      </c>
      <c r="E6584" s="3" t="s">
        <v>131</v>
      </c>
      <c r="F6584" s="4" t="str">
        <f aca="false">IF(I6584&gt;J6584,"Y","N")</f>
        <v>Y</v>
      </c>
      <c r="G6584" s="3" t="s">
        <v>36</v>
      </c>
      <c r="H6584" s="3" t="s">
        <v>37</v>
      </c>
      <c r="I6584" s="4" t="n">
        <v>15</v>
      </c>
      <c r="J6584" s="4" t="n">
        <f aca="false">LEN(E6584)-LEN(SUBSTITUTE(E6584,",",""))+1</f>
        <v>7</v>
      </c>
      <c r="K6584" s="3" t="str">
        <f aca="false">IFERROR(INDEX('Teacher Lookup'!$B$2:$B$200,MATCH(A6584,'Teacher Lookup'!$A$2:$A$200,0)),"")</f>
        <v>TSANG Leo</v>
      </c>
    </row>
    <row r="6585" customFormat="false" ht="15" hidden="false" customHeight="false" outlineLevel="0" collapsed="false">
      <c r="A6585" s="3" t="s">
        <v>474</v>
      </c>
      <c r="B6585" s="4" t="s">
        <v>60</v>
      </c>
      <c r="C6585" s="4" t="n">
        <v>5</v>
      </c>
      <c r="D6585" s="4" t="s">
        <v>28</v>
      </c>
      <c r="E6585" s="3" t="s">
        <v>131</v>
      </c>
      <c r="F6585" s="4" t="str">
        <f aca="false">IF(I6585&gt;J6585,"Y","N")</f>
        <v>Y</v>
      </c>
      <c r="G6585" s="3" t="s">
        <v>36</v>
      </c>
      <c r="H6585" s="3" t="s">
        <v>37</v>
      </c>
      <c r="I6585" s="4" t="n">
        <v>15</v>
      </c>
      <c r="J6585" s="4" t="n">
        <f aca="false">LEN(E6585)-LEN(SUBSTITUTE(E6585,",",""))+1</f>
        <v>7</v>
      </c>
      <c r="K6585" s="3" t="str">
        <f aca="false">IFERROR(INDEX('Teacher Lookup'!$B$2:$B$200,MATCH(A6585,'Teacher Lookup'!$A$2:$A$200,0)),"")</f>
        <v>TSANG Leo</v>
      </c>
    </row>
    <row r="6586" customFormat="false" ht="15" hidden="false" customHeight="false" outlineLevel="0" collapsed="false">
      <c r="A6586" s="3" t="s">
        <v>474</v>
      </c>
      <c r="B6586" s="4" t="s">
        <v>60</v>
      </c>
      <c r="C6586" s="4" t="n">
        <v>5</v>
      </c>
      <c r="D6586" s="4" t="s">
        <v>29</v>
      </c>
      <c r="E6586" s="3" t="s">
        <v>131</v>
      </c>
      <c r="F6586" s="4" t="str">
        <f aca="false">IF(I6586&gt;J6586,"Y","N")</f>
        <v>Y</v>
      </c>
      <c r="G6586" s="3" t="s">
        <v>36</v>
      </c>
      <c r="H6586" s="3" t="s">
        <v>37</v>
      </c>
      <c r="I6586" s="4" t="n">
        <v>15</v>
      </c>
      <c r="J6586" s="4" t="n">
        <f aca="false">LEN(E6586)-LEN(SUBSTITUTE(E6586,",",""))+1</f>
        <v>7</v>
      </c>
      <c r="K6586" s="3" t="str">
        <f aca="false">IFERROR(INDEX('Teacher Lookup'!$B$2:$B$200,MATCH(A6586,'Teacher Lookup'!$A$2:$A$200,0)),"")</f>
        <v>TSANG Leo</v>
      </c>
    </row>
    <row r="6587" customFormat="false" ht="15" hidden="false" customHeight="false" outlineLevel="0" collapsed="false">
      <c r="A6587" s="3" t="s">
        <v>474</v>
      </c>
      <c r="B6587" s="4" t="s">
        <v>60</v>
      </c>
      <c r="C6587" s="4" t="n">
        <v>5</v>
      </c>
      <c r="D6587" s="4" t="s">
        <v>30</v>
      </c>
      <c r="E6587" s="3" t="s">
        <v>131</v>
      </c>
      <c r="F6587" s="4" t="str">
        <f aca="false">IF(I6587&gt;J6587,"Y","N")</f>
        <v>Y</v>
      </c>
      <c r="G6587" s="3" t="s">
        <v>36</v>
      </c>
      <c r="H6587" s="3" t="s">
        <v>37</v>
      </c>
      <c r="I6587" s="4" t="n">
        <v>15</v>
      </c>
      <c r="J6587" s="4" t="n">
        <f aca="false">LEN(E6587)-LEN(SUBSTITUTE(E6587,",",""))+1</f>
        <v>7</v>
      </c>
      <c r="K6587" s="3" t="str">
        <f aca="false">IFERROR(INDEX('Teacher Lookup'!$B$2:$B$200,MATCH(A6587,'Teacher Lookup'!$A$2:$A$200,0)),"")</f>
        <v>TSANG Leo</v>
      </c>
    </row>
    <row r="6588" customFormat="false" ht="15" hidden="false" customHeight="false" outlineLevel="0" collapsed="false">
      <c r="A6588" s="3" t="s">
        <v>474</v>
      </c>
      <c r="B6588" s="4" t="s">
        <v>63</v>
      </c>
      <c r="C6588" s="4" t="n">
        <v>1</v>
      </c>
      <c r="D6588" s="4" t="s">
        <v>78</v>
      </c>
      <c r="E6588" s="3" t="s">
        <v>135</v>
      </c>
      <c r="F6588" s="4" t="str">
        <f aca="false">IF(I6588&gt;J6588,"Y","N")</f>
        <v>N</v>
      </c>
      <c r="G6588" s="3" t="s">
        <v>99</v>
      </c>
      <c r="H6588" s="3" t="s">
        <v>16</v>
      </c>
      <c r="I6588" s="4" t="n">
        <v>1</v>
      </c>
      <c r="J6588" s="4" t="n">
        <f aca="false">LEN(E6588)-LEN(SUBSTITUTE(E6588,",",""))+1</f>
        <v>1</v>
      </c>
      <c r="K6588" s="3" t="str">
        <f aca="false">IFERROR(INDEX('Teacher Lookup'!$B$2:$B$200,MATCH(A6588,'Teacher Lookup'!$A$2:$A$200,0)),"")</f>
        <v>TSANG Leo</v>
      </c>
    </row>
    <row r="6589" customFormat="false" ht="15" hidden="false" customHeight="false" outlineLevel="0" collapsed="false">
      <c r="A6589" s="3" t="s">
        <v>474</v>
      </c>
      <c r="B6589" s="4" t="s">
        <v>63</v>
      </c>
      <c r="C6589" s="4" t="n">
        <v>2</v>
      </c>
      <c r="D6589" s="4" t="s">
        <v>24</v>
      </c>
      <c r="E6589" s="3" t="s">
        <v>271</v>
      </c>
      <c r="F6589" s="4" t="str">
        <f aca="false">IF(I6589&gt;J6589,"Y","N")</f>
        <v>Y</v>
      </c>
      <c r="G6589" s="3" t="s">
        <v>272</v>
      </c>
      <c r="H6589" s="3" t="s">
        <v>21</v>
      </c>
      <c r="I6589" s="4" t="n">
        <v>8</v>
      </c>
      <c r="J6589" s="4" t="n">
        <f aca="false">LEN(E6589)-LEN(SUBSTITUTE(E6589,",",""))+1</f>
        <v>7</v>
      </c>
      <c r="K6589" s="3" t="str">
        <f aca="false">IFERROR(INDEX('Teacher Lookup'!$B$2:$B$200,MATCH(A6589,'Teacher Lookup'!$A$2:$A$200,0)),"")</f>
        <v>TSANG Leo</v>
      </c>
    </row>
    <row r="6590" customFormat="false" ht="15" hidden="false" customHeight="false" outlineLevel="0" collapsed="false">
      <c r="A6590" s="3" t="s">
        <v>474</v>
      </c>
      <c r="B6590" s="4" t="s">
        <v>63</v>
      </c>
      <c r="C6590" s="4" t="n">
        <v>2</v>
      </c>
      <c r="D6590" s="4" t="s">
        <v>27</v>
      </c>
      <c r="E6590" s="3" t="s">
        <v>271</v>
      </c>
      <c r="F6590" s="4" t="str">
        <f aca="false">IF(I6590&gt;J6590,"Y","N")</f>
        <v>Y</v>
      </c>
      <c r="G6590" s="3" t="s">
        <v>272</v>
      </c>
      <c r="H6590" s="3" t="s">
        <v>21</v>
      </c>
      <c r="I6590" s="4" t="n">
        <v>8</v>
      </c>
      <c r="J6590" s="4" t="n">
        <f aca="false">LEN(E6590)-LEN(SUBSTITUTE(E6590,",",""))+1</f>
        <v>7</v>
      </c>
      <c r="K6590" s="3" t="str">
        <f aca="false">IFERROR(INDEX('Teacher Lookup'!$B$2:$B$200,MATCH(A6590,'Teacher Lookup'!$A$2:$A$200,0)),"")</f>
        <v>TSANG Leo</v>
      </c>
    </row>
    <row r="6591" customFormat="false" ht="15" hidden="false" customHeight="false" outlineLevel="0" collapsed="false">
      <c r="A6591" s="3" t="s">
        <v>474</v>
      </c>
      <c r="B6591" s="4" t="s">
        <v>63</v>
      </c>
      <c r="C6591" s="4" t="n">
        <v>2</v>
      </c>
      <c r="D6591" s="4" t="s">
        <v>28</v>
      </c>
      <c r="E6591" s="3" t="s">
        <v>271</v>
      </c>
      <c r="F6591" s="4" t="str">
        <f aca="false">IF(I6591&gt;J6591,"Y","N")</f>
        <v>Y</v>
      </c>
      <c r="G6591" s="3" t="s">
        <v>272</v>
      </c>
      <c r="H6591" s="3" t="s">
        <v>21</v>
      </c>
      <c r="I6591" s="4" t="n">
        <v>8</v>
      </c>
      <c r="J6591" s="4" t="n">
        <f aca="false">LEN(E6591)-LEN(SUBSTITUTE(E6591,",",""))+1</f>
        <v>7</v>
      </c>
      <c r="K6591" s="3" t="str">
        <f aca="false">IFERROR(INDEX('Teacher Lookup'!$B$2:$B$200,MATCH(A6591,'Teacher Lookup'!$A$2:$A$200,0)),"")</f>
        <v>TSANG Leo</v>
      </c>
    </row>
    <row r="6592" customFormat="false" ht="15" hidden="false" customHeight="false" outlineLevel="0" collapsed="false">
      <c r="A6592" s="3" t="s">
        <v>474</v>
      </c>
      <c r="B6592" s="4" t="s">
        <v>63</v>
      </c>
      <c r="C6592" s="4" t="n">
        <v>2</v>
      </c>
      <c r="D6592" s="4" t="s">
        <v>29</v>
      </c>
      <c r="E6592" s="3" t="s">
        <v>271</v>
      </c>
      <c r="F6592" s="4" t="str">
        <f aca="false">IF(I6592&gt;J6592,"Y","N")</f>
        <v>Y</v>
      </c>
      <c r="G6592" s="3" t="s">
        <v>272</v>
      </c>
      <c r="H6592" s="3" t="s">
        <v>21</v>
      </c>
      <c r="I6592" s="4" t="n">
        <v>8</v>
      </c>
      <c r="J6592" s="4" t="n">
        <f aca="false">LEN(E6592)-LEN(SUBSTITUTE(E6592,",",""))+1</f>
        <v>7</v>
      </c>
      <c r="K6592" s="3" t="str">
        <f aca="false">IFERROR(INDEX('Teacher Lookup'!$B$2:$B$200,MATCH(A6592,'Teacher Lookup'!$A$2:$A$200,0)),"")</f>
        <v>TSANG Leo</v>
      </c>
    </row>
    <row r="6593" customFormat="false" ht="15" hidden="false" customHeight="false" outlineLevel="0" collapsed="false">
      <c r="A6593" s="3" t="s">
        <v>474</v>
      </c>
      <c r="B6593" s="4" t="s">
        <v>63</v>
      </c>
      <c r="C6593" s="4" t="n">
        <v>2</v>
      </c>
      <c r="D6593" s="4" t="s">
        <v>30</v>
      </c>
      <c r="E6593" s="3" t="s">
        <v>271</v>
      </c>
      <c r="F6593" s="4" t="str">
        <f aca="false">IF(I6593&gt;J6593,"Y","N")</f>
        <v>Y</v>
      </c>
      <c r="G6593" s="3" t="s">
        <v>272</v>
      </c>
      <c r="H6593" s="3" t="s">
        <v>21</v>
      </c>
      <c r="I6593" s="4" t="n">
        <v>8</v>
      </c>
      <c r="J6593" s="4" t="n">
        <f aca="false">LEN(E6593)-LEN(SUBSTITUTE(E6593,",",""))+1</f>
        <v>7</v>
      </c>
      <c r="K6593" s="3" t="str">
        <f aca="false">IFERROR(INDEX('Teacher Lookup'!$B$2:$B$200,MATCH(A6593,'Teacher Lookup'!$A$2:$A$200,0)),"")</f>
        <v>TSANG Leo</v>
      </c>
    </row>
    <row r="6594" customFormat="false" ht="15" hidden="false" customHeight="false" outlineLevel="0" collapsed="false">
      <c r="A6594" s="3" t="s">
        <v>474</v>
      </c>
      <c r="B6594" s="4" t="s">
        <v>63</v>
      </c>
      <c r="C6594" s="4" t="n">
        <v>3</v>
      </c>
      <c r="D6594" s="4" t="s">
        <v>28</v>
      </c>
      <c r="E6594" s="3" t="s">
        <v>362</v>
      </c>
      <c r="F6594" s="4" t="str">
        <f aca="false">IF(I6594&gt;J6594,"Y","N")</f>
        <v>N</v>
      </c>
      <c r="G6594" s="3" t="s">
        <v>99</v>
      </c>
      <c r="H6594" s="3" t="s">
        <v>26</v>
      </c>
      <c r="I6594" s="4" t="n">
        <v>1</v>
      </c>
      <c r="J6594" s="4" t="n">
        <f aca="false">LEN(E6594)-LEN(SUBSTITUTE(E6594,",",""))+1</f>
        <v>1</v>
      </c>
      <c r="K6594" s="3" t="str">
        <f aca="false">IFERROR(INDEX('Teacher Lookup'!$B$2:$B$200,MATCH(A6594,'Teacher Lookup'!$A$2:$A$200,0)),"")</f>
        <v>TSANG Leo</v>
      </c>
    </row>
    <row r="6595" customFormat="false" ht="15" hidden="false" customHeight="false" outlineLevel="0" collapsed="false">
      <c r="A6595" s="3" t="s">
        <v>474</v>
      </c>
      <c r="B6595" s="4" t="s">
        <v>63</v>
      </c>
      <c r="C6595" s="4" t="n">
        <v>4</v>
      </c>
      <c r="D6595" s="4" t="s">
        <v>127</v>
      </c>
      <c r="E6595" s="3" t="s">
        <v>128</v>
      </c>
      <c r="F6595" s="4" t="str">
        <f aca="false">IF(I6595&gt;J6595,"Y","N")</f>
        <v>N</v>
      </c>
      <c r="G6595" s="3" t="s">
        <v>99</v>
      </c>
      <c r="H6595" s="3" t="s">
        <v>34</v>
      </c>
      <c r="I6595" s="4" t="n">
        <v>1</v>
      </c>
      <c r="J6595" s="4" t="n">
        <f aca="false">LEN(E6595)-LEN(SUBSTITUTE(E6595,",",""))+1</f>
        <v>1</v>
      </c>
      <c r="K6595" s="3" t="str">
        <f aca="false">IFERROR(INDEX('Teacher Lookup'!$B$2:$B$200,MATCH(A6595,'Teacher Lookup'!$A$2:$A$200,0)),"")</f>
        <v>TSANG Leo</v>
      </c>
    </row>
    <row r="6596" customFormat="false" ht="15" hidden="false" customHeight="false" outlineLevel="0" collapsed="false">
      <c r="A6596" s="3" t="s">
        <v>474</v>
      </c>
      <c r="B6596" s="4" t="s">
        <v>65</v>
      </c>
      <c r="C6596" s="4" t="n">
        <v>1</v>
      </c>
      <c r="D6596" s="4" t="s">
        <v>28</v>
      </c>
      <c r="E6596" s="3" t="s">
        <v>362</v>
      </c>
      <c r="F6596" s="4" t="str">
        <f aca="false">IF(I6596&gt;J6596,"Y","N")</f>
        <v>N</v>
      </c>
      <c r="G6596" s="3" t="s">
        <v>99</v>
      </c>
      <c r="H6596" s="3" t="s">
        <v>16</v>
      </c>
      <c r="I6596" s="4" t="n">
        <v>1</v>
      </c>
      <c r="J6596" s="4" t="n">
        <f aca="false">LEN(E6596)-LEN(SUBSTITUTE(E6596,",",""))+1</f>
        <v>1</v>
      </c>
      <c r="K6596" s="3" t="str">
        <f aca="false">IFERROR(INDEX('Teacher Lookup'!$B$2:$B$200,MATCH(A6596,'Teacher Lookup'!$A$2:$A$200,0)),"")</f>
        <v>TSANG Leo</v>
      </c>
    </row>
    <row r="6597" customFormat="false" ht="15" hidden="false" customHeight="false" outlineLevel="0" collapsed="false">
      <c r="A6597" s="3" t="s">
        <v>474</v>
      </c>
      <c r="B6597" s="4" t="s">
        <v>65</v>
      </c>
      <c r="C6597" s="4" t="n">
        <v>4</v>
      </c>
      <c r="D6597" s="4" t="s">
        <v>24</v>
      </c>
      <c r="E6597" s="3" t="s">
        <v>282</v>
      </c>
      <c r="F6597" s="4" t="str">
        <f aca="false">IF(I6597&gt;J6597,"Y","N")</f>
        <v>Y</v>
      </c>
      <c r="G6597" s="3" t="s">
        <v>272</v>
      </c>
      <c r="H6597" s="3" t="s">
        <v>34</v>
      </c>
      <c r="I6597" s="4" t="n">
        <v>8</v>
      </c>
      <c r="J6597" s="4" t="n">
        <f aca="false">LEN(E6597)-LEN(SUBSTITUTE(E6597,",",""))+1</f>
        <v>7</v>
      </c>
      <c r="K6597" s="3" t="str">
        <f aca="false">IFERROR(INDEX('Teacher Lookup'!$B$2:$B$200,MATCH(A6597,'Teacher Lookup'!$A$2:$A$200,0)),"")</f>
        <v>TSANG Leo</v>
      </c>
    </row>
    <row r="6598" customFormat="false" ht="15" hidden="false" customHeight="false" outlineLevel="0" collapsed="false">
      <c r="A6598" s="3" t="s">
        <v>474</v>
      </c>
      <c r="B6598" s="4" t="s">
        <v>65</v>
      </c>
      <c r="C6598" s="4" t="n">
        <v>4</v>
      </c>
      <c r="D6598" s="4" t="s">
        <v>27</v>
      </c>
      <c r="E6598" s="3" t="s">
        <v>282</v>
      </c>
      <c r="F6598" s="4" t="str">
        <f aca="false">IF(I6598&gt;J6598,"Y","N")</f>
        <v>Y</v>
      </c>
      <c r="G6598" s="3" t="s">
        <v>272</v>
      </c>
      <c r="H6598" s="3" t="s">
        <v>34</v>
      </c>
      <c r="I6598" s="4" t="n">
        <v>8</v>
      </c>
      <c r="J6598" s="4" t="n">
        <f aca="false">LEN(E6598)-LEN(SUBSTITUTE(E6598,",",""))+1</f>
        <v>7</v>
      </c>
      <c r="K6598" s="3" t="str">
        <f aca="false">IFERROR(INDEX('Teacher Lookup'!$B$2:$B$200,MATCH(A6598,'Teacher Lookup'!$A$2:$A$200,0)),"")</f>
        <v>TSANG Leo</v>
      </c>
    </row>
    <row r="6599" customFormat="false" ht="15" hidden="false" customHeight="false" outlineLevel="0" collapsed="false">
      <c r="A6599" s="3" t="s">
        <v>474</v>
      </c>
      <c r="B6599" s="4" t="s">
        <v>65</v>
      </c>
      <c r="C6599" s="4" t="n">
        <v>4</v>
      </c>
      <c r="D6599" s="4" t="s">
        <v>28</v>
      </c>
      <c r="E6599" s="3" t="s">
        <v>282</v>
      </c>
      <c r="F6599" s="4" t="str">
        <f aca="false">IF(I6599&gt;J6599,"Y","N")</f>
        <v>Y</v>
      </c>
      <c r="G6599" s="3" t="s">
        <v>272</v>
      </c>
      <c r="H6599" s="3" t="s">
        <v>34</v>
      </c>
      <c r="I6599" s="4" t="n">
        <v>8</v>
      </c>
      <c r="J6599" s="4" t="n">
        <f aca="false">LEN(E6599)-LEN(SUBSTITUTE(E6599,",",""))+1</f>
        <v>7</v>
      </c>
      <c r="K6599" s="3" t="str">
        <f aca="false">IFERROR(INDEX('Teacher Lookup'!$B$2:$B$200,MATCH(A6599,'Teacher Lookup'!$A$2:$A$200,0)),"")</f>
        <v>TSANG Leo</v>
      </c>
    </row>
    <row r="6600" customFormat="false" ht="15" hidden="false" customHeight="false" outlineLevel="0" collapsed="false">
      <c r="A6600" s="3" t="s">
        <v>474</v>
      </c>
      <c r="B6600" s="4" t="s">
        <v>65</v>
      </c>
      <c r="C6600" s="4" t="n">
        <v>4</v>
      </c>
      <c r="D6600" s="4" t="s">
        <v>29</v>
      </c>
      <c r="E6600" s="3" t="s">
        <v>282</v>
      </c>
      <c r="F6600" s="4" t="str">
        <f aca="false">IF(I6600&gt;J6600,"Y","N")</f>
        <v>Y</v>
      </c>
      <c r="G6600" s="3" t="s">
        <v>272</v>
      </c>
      <c r="H6600" s="3" t="s">
        <v>34</v>
      </c>
      <c r="I6600" s="4" t="n">
        <v>8</v>
      </c>
      <c r="J6600" s="4" t="n">
        <f aca="false">LEN(E6600)-LEN(SUBSTITUTE(E6600,",",""))+1</f>
        <v>7</v>
      </c>
      <c r="K6600" s="3" t="str">
        <f aca="false">IFERROR(INDEX('Teacher Lookup'!$B$2:$B$200,MATCH(A6600,'Teacher Lookup'!$A$2:$A$200,0)),"")</f>
        <v>TSANG Leo</v>
      </c>
    </row>
    <row r="6601" customFormat="false" ht="15" hidden="false" customHeight="false" outlineLevel="0" collapsed="false">
      <c r="A6601" s="3" t="s">
        <v>474</v>
      </c>
      <c r="B6601" s="4" t="s">
        <v>65</v>
      </c>
      <c r="C6601" s="4" t="n">
        <v>4</v>
      </c>
      <c r="D6601" s="4" t="s">
        <v>30</v>
      </c>
      <c r="E6601" s="3" t="s">
        <v>282</v>
      </c>
      <c r="F6601" s="4" t="str">
        <f aca="false">IF(I6601&gt;J6601,"Y","N")</f>
        <v>Y</v>
      </c>
      <c r="G6601" s="3" t="s">
        <v>272</v>
      </c>
      <c r="H6601" s="3" t="s">
        <v>34</v>
      </c>
      <c r="I6601" s="4" t="n">
        <v>8</v>
      </c>
      <c r="J6601" s="4" t="n">
        <f aca="false">LEN(E6601)-LEN(SUBSTITUTE(E6601,",",""))+1</f>
        <v>7</v>
      </c>
      <c r="K6601" s="3" t="str">
        <f aca="false">IFERROR(INDEX('Teacher Lookup'!$B$2:$B$200,MATCH(A6601,'Teacher Lookup'!$A$2:$A$200,0)),"")</f>
        <v>TSANG Leo</v>
      </c>
    </row>
    <row r="6602" customFormat="false" ht="15" hidden="false" customHeight="false" outlineLevel="0" collapsed="false">
      <c r="A6602" s="3" t="s">
        <v>474</v>
      </c>
      <c r="B6602" s="4" t="s">
        <v>65</v>
      </c>
      <c r="C6602" s="4" t="n">
        <v>5</v>
      </c>
      <c r="D6602" s="4" t="s">
        <v>24</v>
      </c>
      <c r="E6602" s="3" t="s">
        <v>131</v>
      </c>
      <c r="F6602" s="4" t="str">
        <f aca="false">IF(I6602&gt;J6602,"Y","N")</f>
        <v>Y</v>
      </c>
      <c r="G6602" s="3" t="s">
        <v>36</v>
      </c>
      <c r="H6602" s="3" t="s">
        <v>37</v>
      </c>
      <c r="I6602" s="4" t="n">
        <v>15</v>
      </c>
      <c r="J6602" s="4" t="n">
        <f aca="false">LEN(E6602)-LEN(SUBSTITUTE(E6602,",",""))+1</f>
        <v>7</v>
      </c>
      <c r="K6602" s="3" t="str">
        <f aca="false">IFERROR(INDEX('Teacher Lookup'!$B$2:$B$200,MATCH(A6602,'Teacher Lookup'!$A$2:$A$200,0)),"")</f>
        <v>TSANG Leo</v>
      </c>
    </row>
    <row r="6603" customFormat="false" ht="15" hidden="false" customHeight="false" outlineLevel="0" collapsed="false">
      <c r="A6603" s="3" t="s">
        <v>474</v>
      </c>
      <c r="B6603" s="4" t="s">
        <v>65</v>
      </c>
      <c r="C6603" s="4" t="n">
        <v>5</v>
      </c>
      <c r="D6603" s="4" t="s">
        <v>132</v>
      </c>
      <c r="E6603" s="3" t="s">
        <v>131</v>
      </c>
      <c r="F6603" s="4" t="str">
        <f aca="false">IF(I6603&gt;J6603,"Y","N")</f>
        <v>Y</v>
      </c>
      <c r="G6603" s="3" t="s">
        <v>36</v>
      </c>
      <c r="H6603" s="3" t="s">
        <v>37</v>
      </c>
      <c r="I6603" s="4" t="n">
        <v>15</v>
      </c>
      <c r="J6603" s="4" t="n">
        <f aca="false">LEN(E6603)-LEN(SUBSTITUTE(E6603,",",""))+1</f>
        <v>7</v>
      </c>
      <c r="K6603" s="3" t="str">
        <f aca="false">IFERROR(INDEX('Teacher Lookup'!$B$2:$B$200,MATCH(A6603,'Teacher Lookup'!$A$2:$A$200,0)),"")</f>
        <v>TSANG Leo</v>
      </c>
    </row>
    <row r="6604" customFormat="false" ht="15" hidden="false" customHeight="false" outlineLevel="0" collapsed="false">
      <c r="A6604" s="3" t="s">
        <v>474</v>
      </c>
      <c r="B6604" s="4" t="s">
        <v>65</v>
      </c>
      <c r="C6604" s="4" t="n">
        <v>5</v>
      </c>
      <c r="D6604" s="4" t="s">
        <v>27</v>
      </c>
      <c r="E6604" s="3" t="s">
        <v>131</v>
      </c>
      <c r="F6604" s="4" t="str">
        <f aca="false">IF(I6604&gt;J6604,"Y","N")</f>
        <v>Y</v>
      </c>
      <c r="G6604" s="3" t="s">
        <v>36</v>
      </c>
      <c r="H6604" s="3" t="s">
        <v>37</v>
      </c>
      <c r="I6604" s="4" t="n">
        <v>15</v>
      </c>
      <c r="J6604" s="4" t="n">
        <f aca="false">LEN(E6604)-LEN(SUBSTITUTE(E6604,",",""))+1</f>
        <v>7</v>
      </c>
      <c r="K6604" s="3" t="str">
        <f aca="false">IFERROR(INDEX('Teacher Lookup'!$B$2:$B$200,MATCH(A6604,'Teacher Lookup'!$A$2:$A$200,0)),"")</f>
        <v>TSANG Leo</v>
      </c>
    </row>
    <row r="6605" customFormat="false" ht="15" hidden="false" customHeight="false" outlineLevel="0" collapsed="false">
      <c r="A6605" s="3" t="s">
        <v>474</v>
      </c>
      <c r="B6605" s="4" t="s">
        <v>65</v>
      </c>
      <c r="C6605" s="4" t="n">
        <v>5</v>
      </c>
      <c r="D6605" s="4" t="s">
        <v>28</v>
      </c>
      <c r="E6605" s="3" t="s">
        <v>131</v>
      </c>
      <c r="F6605" s="4" t="str">
        <f aca="false">IF(I6605&gt;J6605,"Y","N")</f>
        <v>Y</v>
      </c>
      <c r="G6605" s="3" t="s">
        <v>36</v>
      </c>
      <c r="H6605" s="3" t="s">
        <v>37</v>
      </c>
      <c r="I6605" s="4" t="n">
        <v>15</v>
      </c>
      <c r="J6605" s="4" t="n">
        <f aca="false">LEN(E6605)-LEN(SUBSTITUTE(E6605,",",""))+1</f>
        <v>7</v>
      </c>
      <c r="K6605" s="3" t="str">
        <f aca="false">IFERROR(INDEX('Teacher Lookup'!$B$2:$B$200,MATCH(A6605,'Teacher Lookup'!$A$2:$A$200,0)),"")</f>
        <v>TSANG Leo</v>
      </c>
    </row>
    <row r="6606" customFormat="false" ht="15" hidden="false" customHeight="false" outlineLevel="0" collapsed="false">
      <c r="A6606" s="3" t="s">
        <v>474</v>
      </c>
      <c r="B6606" s="4" t="s">
        <v>65</v>
      </c>
      <c r="C6606" s="4" t="n">
        <v>5</v>
      </c>
      <c r="D6606" s="4" t="s">
        <v>29</v>
      </c>
      <c r="E6606" s="3" t="s">
        <v>131</v>
      </c>
      <c r="F6606" s="4" t="str">
        <f aca="false">IF(I6606&gt;J6606,"Y","N")</f>
        <v>Y</v>
      </c>
      <c r="G6606" s="3" t="s">
        <v>36</v>
      </c>
      <c r="H6606" s="3" t="s">
        <v>37</v>
      </c>
      <c r="I6606" s="4" t="n">
        <v>15</v>
      </c>
      <c r="J6606" s="4" t="n">
        <f aca="false">LEN(E6606)-LEN(SUBSTITUTE(E6606,",",""))+1</f>
        <v>7</v>
      </c>
      <c r="K6606" s="3" t="str">
        <f aca="false">IFERROR(INDEX('Teacher Lookup'!$B$2:$B$200,MATCH(A6606,'Teacher Lookup'!$A$2:$A$200,0)),"")</f>
        <v>TSANG Leo</v>
      </c>
    </row>
    <row r="6607" customFormat="false" ht="15" hidden="false" customHeight="false" outlineLevel="0" collapsed="false">
      <c r="A6607" s="3" t="s">
        <v>474</v>
      </c>
      <c r="B6607" s="4" t="s">
        <v>65</v>
      </c>
      <c r="C6607" s="4" t="n">
        <v>5</v>
      </c>
      <c r="D6607" s="4" t="s">
        <v>30</v>
      </c>
      <c r="E6607" s="3" t="s">
        <v>131</v>
      </c>
      <c r="F6607" s="4" t="str">
        <f aca="false">IF(I6607&gt;J6607,"Y","N")</f>
        <v>Y</v>
      </c>
      <c r="G6607" s="3" t="s">
        <v>36</v>
      </c>
      <c r="H6607" s="3" t="s">
        <v>37</v>
      </c>
      <c r="I6607" s="4" t="n">
        <v>15</v>
      </c>
      <c r="J6607" s="4" t="n">
        <f aca="false">LEN(E6607)-LEN(SUBSTITUTE(E6607,",",""))+1</f>
        <v>7</v>
      </c>
      <c r="K6607" s="3" t="str">
        <f aca="false">IFERROR(INDEX('Teacher Lookup'!$B$2:$B$200,MATCH(A6607,'Teacher Lookup'!$A$2:$A$200,0)),"")</f>
        <v>TSANG Leo</v>
      </c>
    </row>
    <row r="6608" customFormat="false" ht="15" hidden="false" customHeight="false" outlineLevel="0" collapsed="false">
      <c r="A6608" s="3" t="s">
        <v>474</v>
      </c>
      <c r="B6608" s="4" t="s">
        <v>66</v>
      </c>
      <c r="C6608" s="4" t="n">
        <v>1</v>
      </c>
      <c r="D6608" s="4" t="s">
        <v>28</v>
      </c>
      <c r="E6608" s="3" t="s">
        <v>362</v>
      </c>
      <c r="F6608" s="4" t="str">
        <f aca="false">IF(I6608&gt;J6608,"Y","N")</f>
        <v>N</v>
      </c>
      <c r="G6608" s="3" t="s">
        <v>99</v>
      </c>
      <c r="H6608" s="3" t="s">
        <v>16</v>
      </c>
      <c r="I6608" s="4" t="n">
        <v>1</v>
      </c>
      <c r="J6608" s="4" t="n">
        <f aca="false">LEN(E6608)-LEN(SUBSTITUTE(E6608,",",""))+1</f>
        <v>1</v>
      </c>
      <c r="K6608" s="3" t="str">
        <f aca="false">IFERROR(INDEX('Teacher Lookup'!$B$2:$B$200,MATCH(A6608,'Teacher Lookup'!$A$2:$A$200,0)),"")</f>
        <v>TSANG Leo</v>
      </c>
    </row>
    <row r="6609" customFormat="false" ht="15" hidden="false" customHeight="false" outlineLevel="0" collapsed="false">
      <c r="A6609" s="3" t="s">
        <v>474</v>
      </c>
      <c r="B6609" s="4" t="s">
        <v>66</v>
      </c>
      <c r="C6609" s="4" t="n">
        <v>2</v>
      </c>
      <c r="D6609" s="4" t="s">
        <v>28</v>
      </c>
      <c r="E6609" s="3" t="s">
        <v>362</v>
      </c>
      <c r="F6609" s="4" t="str">
        <f aca="false">IF(I6609&gt;J6609,"Y","N")</f>
        <v>N</v>
      </c>
      <c r="G6609" s="3" t="s">
        <v>99</v>
      </c>
      <c r="H6609" s="3" t="s">
        <v>21</v>
      </c>
      <c r="I6609" s="4" t="n">
        <v>1</v>
      </c>
      <c r="J6609" s="4" t="n">
        <f aca="false">LEN(E6609)-LEN(SUBSTITUTE(E6609,",",""))+1</f>
        <v>1</v>
      </c>
      <c r="K6609" s="3" t="str">
        <f aca="false">IFERROR(INDEX('Teacher Lookup'!$B$2:$B$200,MATCH(A6609,'Teacher Lookup'!$A$2:$A$200,0)),"")</f>
        <v>TSANG Leo</v>
      </c>
    </row>
    <row r="6610" customFormat="false" ht="15" hidden="false" customHeight="false" outlineLevel="0" collapsed="false">
      <c r="A6610" s="3" t="s">
        <v>474</v>
      </c>
      <c r="B6610" s="4" t="s">
        <v>66</v>
      </c>
      <c r="C6610" s="4" t="n">
        <v>3</v>
      </c>
      <c r="D6610" s="4" t="s">
        <v>79</v>
      </c>
      <c r="E6610" s="3" t="s">
        <v>234</v>
      </c>
      <c r="F6610" s="4" t="str">
        <f aca="false">IF(I6610&gt;J6610,"Y","N")</f>
        <v>N</v>
      </c>
      <c r="G6610" s="3" t="s">
        <v>99</v>
      </c>
      <c r="H6610" s="3" t="s">
        <v>26</v>
      </c>
      <c r="I6610" s="4" t="n">
        <v>1</v>
      </c>
      <c r="J6610" s="4" t="n">
        <f aca="false">LEN(E6610)-LEN(SUBSTITUTE(E6610,",",""))+1</f>
        <v>1</v>
      </c>
      <c r="K6610" s="3" t="str">
        <f aca="false">IFERROR(INDEX('Teacher Lookup'!$B$2:$B$200,MATCH(A6610,'Teacher Lookup'!$A$2:$A$200,0)),"")</f>
        <v>TSANG Leo</v>
      </c>
    </row>
    <row r="6611" customFormat="false" ht="15" hidden="false" customHeight="false" outlineLevel="0" collapsed="false">
      <c r="A6611" s="3" t="s">
        <v>475</v>
      </c>
      <c r="B6611" s="4" t="s">
        <v>12</v>
      </c>
      <c r="C6611" s="4" t="n">
        <v>1</v>
      </c>
      <c r="D6611" s="4" t="s">
        <v>24</v>
      </c>
      <c r="E6611" s="3" t="s">
        <v>402</v>
      </c>
      <c r="F6611" s="4" t="str">
        <f aca="false">IF(I6611&gt;J6611,"Y","N")</f>
        <v>N</v>
      </c>
      <c r="G6611" s="3" t="s">
        <v>164</v>
      </c>
      <c r="H6611" s="3" t="s">
        <v>16</v>
      </c>
      <c r="I6611" s="4" t="n">
        <v>3</v>
      </c>
      <c r="J6611" s="4" t="n">
        <f aca="false">LEN(E6611)-LEN(SUBSTITUTE(E6611,",",""))+1</f>
        <v>3</v>
      </c>
      <c r="K6611" s="3" t="str">
        <f aca="false">IFERROR(INDEX('Teacher Lookup'!$B$2:$B$200,MATCH(A6611,'Teacher Lookup'!$A$2:$A$200,0)),"")</f>
        <v>TO Lorraine</v>
      </c>
    </row>
    <row r="6612" customFormat="false" ht="15" hidden="false" customHeight="false" outlineLevel="0" collapsed="false">
      <c r="A6612" s="3" t="s">
        <v>475</v>
      </c>
      <c r="B6612" s="4" t="s">
        <v>12</v>
      </c>
      <c r="C6612" s="4" t="n">
        <v>1</v>
      </c>
      <c r="D6612" s="4" t="s">
        <v>27</v>
      </c>
      <c r="E6612" s="3" t="s">
        <v>402</v>
      </c>
      <c r="F6612" s="4" t="str">
        <f aca="false">IF(I6612&gt;J6612,"Y","N")</f>
        <v>N</v>
      </c>
      <c r="G6612" s="3" t="s">
        <v>164</v>
      </c>
      <c r="H6612" s="3" t="s">
        <v>16</v>
      </c>
      <c r="I6612" s="4" t="n">
        <v>3</v>
      </c>
      <c r="J6612" s="4" t="n">
        <f aca="false">LEN(E6612)-LEN(SUBSTITUTE(E6612,",",""))+1</f>
        <v>3</v>
      </c>
      <c r="K6612" s="3" t="str">
        <f aca="false">IFERROR(INDEX('Teacher Lookup'!$B$2:$B$200,MATCH(A6612,'Teacher Lookup'!$A$2:$A$200,0)),"")</f>
        <v>TO Lorraine</v>
      </c>
    </row>
    <row r="6613" customFormat="false" ht="15" hidden="false" customHeight="false" outlineLevel="0" collapsed="false">
      <c r="A6613" s="3" t="s">
        <v>475</v>
      </c>
      <c r="B6613" s="4" t="s">
        <v>12</v>
      </c>
      <c r="C6613" s="4" t="n">
        <v>7</v>
      </c>
      <c r="D6613" s="4" t="s">
        <v>102</v>
      </c>
      <c r="E6613" s="3" t="s">
        <v>465</v>
      </c>
      <c r="F6613" s="4" t="str">
        <f aca="false">IF(I6613&gt;J6613,"Y","N")</f>
        <v>N</v>
      </c>
      <c r="G6613" s="3" t="s">
        <v>466</v>
      </c>
      <c r="H6613" s="3" t="s">
        <v>39</v>
      </c>
      <c r="I6613" s="4" t="n">
        <v>4</v>
      </c>
      <c r="J6613" s="4" t="n">
        <f aca="false">LEN(E6613)-LEN(SUBSTITUTE(E6613,",",""))+1</f>
        <v>4</v>
      </c>
      <c r="K6613" s="3" t="str">
        <f aca="false">IFERROR(INDEX('Teacher Lookup'!$B$2:$B$200,MATCH(A6613,'Teacher Lookup'!$A$2:$A$200,0)),"")</f>
        <v>TO Lorraine</v>
      </c>
    </row>
    <row r="6614" customFormat="false" ht="15" hidden="false" customHeight="false" outlineLevel="0" collapsed="false">
      <c r="A6614" s="3" t="s">
        <v>475</v>
      </c>
      <c r="B6614" s="4" t="s">
        <v>12</v>
      </c>
      <c r="C6614" s="4" t="n">
        <v>7</v>
      </c>
      <c r="D6614" s="4" t="s">
        <v>107</v>
      </c>
      <c r="E6614" s="3" t="s">
        <v>465</v>
      </c>
      <c r="F6614" s="4" t="str">
        <f aca="false">IF(I6614&gt;J6614,"Y","N")</f>
        <v>N</v>
      </c>
      <c r="G6614" s="3" t="s">
        <v>466</v>
      </c>
      <c r="H6614" s="3" t="s">
        <v>39</v>
      </c>
      <c r="I6614" s="4" t="n">
        <v>4</v>
      </c>
      <c r="J6614" s="4" t="n">
        <f aca="false">LEN(E6614)-LEN(SUBSTITUTE(E6614,",",""))+1</f>
        <v>4</v>
      </c>
      <c r="K6614" s="3" t="str">
        <f aca="false">IFERROR(INDEX('Teacher Lookup'!$B$2:$B$200,MATCH(A6614,'Teacher Lookup'!$A$2:$A$200,0)),"")</f>
        <v>TO Lorraine</v>
      </c>
    </row>
    <row r="6615" customFormat="false" ht="15" hidden="false" customHeight="false" outlineLevel="0" collapsed="false">
      <c r="A6615" s="3" t="s">
        <v>475</v>
      </c>
      <c r="B6615" s="4" t="s">
        <v>31</v>
      </c>
      <c r="C6615" s="4" t="n">
        <v>4</v>
      </c>
      <c r="D6615" s="4" t="s">
        <v>24</v>
      </c>
      <c r="E6615" s="3" t="s">
        <v>403</v>
      </c>
      <c r="F6615" s="4" t="str">
        <f aca="false">IF(I6615&gt;J6615,"Y","N")</f>
        <v>N</v>
      </c>
      <c r="G6615" s="3" t="s">
        <v>164</v>
      </c>
      <c r="H6615" s="3" t="s">
        <v>34</v>
      </c>
      <c r="I6615" s="4" t="n">
        <v>3</v>
      </c>
      <c r="J6615" s="4" t="n">
        <f aca="false">LEN(E6615)-LEN(SUBSTITUTE(E6615,",",""))+1</f>
        <v>3</v>
      </c>
      <c r="K6615" s="3" t="str">
        <f aca="false">IFERROR(INDEX('Teacher Lookup'!$B$2:$B$200,MATCH(A6615,'Teacher Lookup'!$A$2:$A$200,0)),"")</f>
        <v>TO Lorraine</v>
      </c>
    </row>
    <row r="6616" customFormat="false" ht="15" hidden="false" customHeight="false" outlineLevel="0" collapsed="false">
      <c r="A6616" s="3" t="s">
        <v>475</v>
      </c>
      <c r="B6616" s="4" t="s">
        <v>31</v>
      </c>
      <c r="C6616" s="4" t="n">
        <v>4</v>
      </c>
      <c r="D6616" s="4" t="s">
        <v>27</v>
      </c>
      <c r="E6616" s="3" t="s">
        <v>403</v>
      </c>
      <c r="F6616" s="4" t="str">
        <f aca="false">IF(I6616&gt;J6616,"Y","N")</f>
        <v>N</v>
      </c>
      <c r="G6616" s="3" t="s">
        <v>164</v>
      </c>
      <c r="H6616" s="3" t="s">
        <v>34</v>
      </c>
      <c r="I6616" s="4" t="n">
        <v>3</v>
      </c>
      <c r="J6616" s="4" t="n">
        <f aca="false">LEN(E6616)-LEN(SUBSTITUTE(E6616,",",""))+1</f>
        <v>3</v>
      </c>
      <c r="K6616" s="3" t="str">
        <f aca="false">IFERROR(INDEX('Teacher Lookup'!$B$2:$B$200,MATCH(A6616,'Teacher Lookup'!$A$2:$A$200,0)),"")</f>
        <v>TO Lorraine</v>
      </c>
    </row>
    <row r="6617" customFormat="false" ht="15" hidden="false" customHeight="false" outlineLevel="0" collapsed="false">
      <c r="A6617" s="3" t="s">
        <v>475</v>
      </c>
      <c r="B6617" s="4" t="s">
        <v>31</v>
      </c>
      <c r="C6617" s="4" t="n">
        <v>5</v>
      </c>
      <c r="D6617" s="4" t="s">
        <v>19</v>
      </c>
      <c r="E6617" s="3" t="s">
        <v>35</v>
      </c>
      <c r="F6617" s="4" t="str">
        <f aca="false">IF(I6617&gt;J6617,"Y","N")</f>
        <v>Y</v>
      </c>
      <c r="G6617" s="3" t="s">
        <v>36</v>
      </c>
      <c r="H6617" s="3" t="s">
        <v>37</v>
      </c>
      <c r="I6617" s="4" t="n">
        <v>17</v>
      </c>
      <c r="J6617" s="4" t="n">
        <f aca="false">LEN(E6617)-LEN(SUBSTITUTE(E6617,",",""))+1</f>
        <v>7</v>
      </c>
      <c r="K6617" s="3" t="str">
        <f aca="false">IFERROR(INDEX('Teacher Lookup'!$B$2:$B$200,MATCH(A6617,'Teacher Lookup'!$A$2:$A$200,0)),"")</f>
        <v>TO Lorraine</v>
      </c>
    </row>
    <row r="6618" customFormat="false" ht="15" hidden="false" customHeight="false" outlineLevel="0" collapsed="false">
      <c r="A6618" s="3" t="s">
        <v>475</v>
      </c>
      <c r="B6618" s="4" t="s">
        <v>31</v>
      </c>
      <c r="C6618" s="4" t="n">
        <v>5</v>
      </c>
      <c r="D6618" s="4" t="s">
        <v>22</v>
      </c>
      <c r="E6618" s="3" t="s">
        <v>35</v>
      </c>
      <c r="F6618" s="4" t="str">
        <f aca="false">IF(I6618&gt;J6618,"Y","N")</f>
        <v>Y</v>
      </c>
      <c r="G6618" s="3" t="s">
        <v>36</v>
      </c>
      <c r="H6618" s="3" t="s">
        <v>37</v>
      </c>
      <c r="I6618" s="4" t="n">
        <v>17</v>
      </c>
      <c r="J6618" s="4" t="n">
        <f aca="false">LEN(E6618)-LEN(SUBSTITUTE(E6618,",",""))+1</f>
        <v>7</v>
      </c>
      <c r="K6618" s="3" t="str">
        <f aca="false">IFERROR(INDEX('Teacher Lookup'!$B$2:$B$200,MATCH(A6618,'Teacher Lookup'!$A$2:$A$200,0)),"")</f>
        <v>TO Lorraine</v>
      </c>
    </row>
    <row r="6619" customFormat="false" ht="15" hidden="false" customHeight="false" outlineLevel="0" collapsed="false">
      <c r="A6619" s="3" t="s">
        <v>475</v>
      </c>
      <c r="B6619" s="4" t="s">
        <v>31</v>
      </c>
      <c r="C6619" s="4" t="n">
        <v>5</v>
      </c>
      <c r="D6619" s="4" t="s">
        <v>23</v>
      </c>
      <c r="E6619" s="3" t="s">
        <v>35</v>
      </c>
      <c r="F6619" s="4" t="str">
        <f aca="false">IF(I6619&gt;J6619,"Y","N")</f>
        <v>Y</v>
      </c>
      <c r="G6619" s="3" t="s">
        <v>36</v>
      </c>
      <c r="H6619" s="3" t="s">
        <v>37</v>
      </c>
      <c r="I6619" s="4" t="n">
        <v>17</v>
      </c>
      <c r="J6619" s="4" t="n">
        <f aca="false">LEN(E6619)-LEN(SUBSTITUTE(E6619,",",""))+1</f>
        <v>7</v>
      </c>
      <c r="K6619" s="3" t="str">
        <f aca="false">IFERROR(INDEX('Teacher Lookup'!$B$2:$B$200,MATCH(A6619,'Teacher Lookup'!$A$2:$A$200,0)),"")</f>
        <v>TO Lorraine</v>
      </c>
    </row>
    <row r="6620" customFormat="false" ht="15" hidden="false" customHeight="false" outlineLevel="0" collapsed="false">
      <c r="A6620" s="3" t="s">
        <v>475</v>
      </c>
      <c r="B6620" s="4" t="s">
        <v>31</v>
      </c>
      <c r="C6620" s="4" t="n">
        <v>5</v>
      </c>
      <c r="D6620" s="4" t="s">
        <v>13</v>
      </c>
      <c r="E6620" s="3" t="s">
        <v>35</v>
      </c>
      <c r="F6620" s="4" t="str">
        <f aca="false">IF(I6620&gt;J6620,"Y","N")</f>
        <v>Y</v>
      </c>
      <c r="G6620" s="3" t="s">
        <v>36</v>
      </c>
      <c r="H6620" s="3" t="s">
        <v>37</v>
      </c>
      <c r="I6620" s="4" t="n">
        <v>17</v>
      </c>
      <c r="J6620" s="4" t="n">
        <f aca="false">LEN(E6620)-LEN(SUBSTITUTE(E6620,",",""))+1</f>
        <v>7</v>
      </c>
      <c r="K6620" s="3" t="str">
        <f aca="false">IFERROR(INDEX('Teacher Lookup'!$B$2:$B$200,MATCH(A6620,'Teacher Lookup'!$A$2:$A$200,0)),"")</f>
        <v>TO Lorraine</v>
      </c>
    </row>
    <row r="6621" customFormat="false" ht="15" hidden="false" customHeight="false" outlineLevel="0" collapsed="false">
      <c r="A6621" s="3" t="s">
        <v>475</v>
      </c>
      <c r="B6621" s="4" t="s">
        <v>31</v>
      </c>
      <c r="C6621" s="4" t="n">
        <v>5</v>
      </c>
      <c r="D6621" s="4" t="s">
        <v>17</v>
      </c>
      <c r="E6621" s="3" t="s">
        <v>35</v>
      </c>
      <c r="F6621" s="4" t="str">
        <f aca="false">IF(I6621&gt;J6621,"Y","N")</f>
        <v>Y</v>
      </c>
      <c r="G6621" s="3" t="s">
        <v>36</v>
      </c>
      <c r="H6621" s="3" t="s">
        <v>37</v>
      </c>
      <c r="I6621" s="4" t="n">
        <v>17</v>
      </c>
      <c r="J6621" s="4" t="n">
        <f aca="false">LEN(E6621)-LEN(SUBSTITUTE(E6621,",",""))+1</f>
        <v>7</v>
      </c>
      <c r="K6621" s="3" t="str">
        <f aca="false">IFERROR(INDEX('Teacher Lookup'!$B$2:$B$200,MATCH(A6621,'Teacher Lookup'!$A$2:$A$200,0)),"")</f>
        <v>TO Lorraine</v>
      </c>
    </row>
    <row r="6622" customFormat="false" ht="15" hidden="false" customHeight="false" outlineLevel="0" collapsed="false">
      <c r="A6622" s="3" t="s">
        <v>475</v>
      </c>
      <c r="B6622" s="4" t="s">
        <v>31</v>
      </c>
      <c r="C6622" s="4" t="n">
        <v>5</v>
      </c>
      <c r="D6622" s="4" t="s">
        <v>18</v>
      </c>
      <c r="E6622" s="3" t="s">
        <v>35</v>
      </c>
      <c r="F6622" s="4" t="str">
        <f aca="false">IF(I6622&gt;J6622,"Y","N")</f>
        <v>Y</v>
      </c>
      <c r="G6622" s="3" t="s">
        <v>36</v>
      </c>
      <c r="H6622" s="3" t="s">
        <v>37</v>
      </c>
      <c r="I6622" s="4" t="n">
        <v>17</v>
      </c>
      <c r="J6622" s="4" t="n">
        <f aca="false">LEN(E6622)-LEN(SUBSTITUTE(E6622,",",""))+1</f>
        <v>7</v>
      </c>
      <c r="K6622" s="3" t="str">
        <f aca="false">IFERROR(INDEX('Teacher Lookup'!$B$2:$B$200,MATCH(A6622,'Teacher Lookup'!$A$2:$A$200,0)),"")</f>
        <v>TO Lorraine</v>
      </c>
    </row>
    <row r="6623" customFormat="false" ht="15" hidden="false" customHeight="false" outlineLevel="0" collapsed="false">
      <c r="A6623" s="3" t="s">
        <v>475</v>
      </c>
      <c r="B6623" s="4" t="s">
        <v>31</v>
      </c>
      <c r="C6623" s="4" t="n">
        <v>6</v>
      </c>
      <c r="D6623" s="4" t="s">
        <v>102</v>
      </c>
      <c r="E6623" s="3" t="s">
        <v>467</v>
      </c>
      <c r="F6623" s="4" t="str">
        <f aca="false">IF(I6623&gt;J6623,"Y","N")</f>
        <v>N</v>
      </c>
      <c r="G6623" s="3" t="s">
        <v>466</v>
      </c>
      <c r="H6623" s="3" t="s">
        <v>42</v>
      </c>
      <c r="I6623" s="4" t="n">
        <v>4</v>
      </c>
      <c r="J6623" s="4" t="n">
        <f aca="false">LEN(E6623)-LEN(SUBSTITUTE(E6623,",",""))+1</f>
        <v>4</v>
      </c>
      <c r="K6623" s="3" t="str">
        <f aca="false">IFERROR(INDEX('Teacher Lookup'!$B$2:$B$200,MATCH(A6623,'Teacher Lookup'!$A$2:$A$200,0)),"")</f>
        <v>TO Lorraine</v>
      </c>
    </row>
    <row r="6624" customFormat="false" ht="15" hidden="false" customHeight="false" outlineLevel="0" collapsed="false">
      <c r="A6624" s="3" t="s">
        <v>475</v>
      </c>
      <c r="B6624" s="4" t="s">
        <v>31</v>
      </c>
      <c r="C6624" s="4" t="n">
        <v>6</v>
      </c>
      <c r="D6624" s="4" t="s">
        <v>107</v>
      </c>
      <c r="E6624" s="3" t="s">
        <v>467</v>
      </c>
      <c r="F6624" s="4" t="str">
        <f aca="false">IF(I6624&gt;J6624,"Y","N")</f>
        <v>N</v>
      </c>
      <c r="G6624" s="3" t="s">
        <v>466</v>
      </c>
      <c r="H6624" s="3" t="s">
        <v>42</v>
      </c>
      <c r="I6624" s="4" t="n">
        <v>4</v>
      </c>
      <c r="J6624" s="4" t="n">
        <f aca="false">LEN(E6624)-LEN(SUBSTITUTE(E6624,",",""))+1</f>
        <v>4</v>
      </c>
      <c r="K6624" s="3" t="str">
        <f aca="false">IFERROR(INDEX('Teacher Lookup'!$B$2:$B$200,MATCH(A6624,'Teacher Lookup'!$A$2:$A$200,0)),"")</f>
        <v>TO Lorraine</v>
      </c>
    </row>
    <row r="6625" customFormat="false" ht="15" hidden="false" customHeight="false" outlineLevel="0" collapsed="false">
      <c r="A6625" s="3" t="s">
        <v>475</v>
      </c>
      <c r="B6625" s="4" t="s">
        <v>31</v>
      </c>
      <c r="C6625" s="4" t="n">
        <v>7</v>
      </c>
      <c r="D6625" s="4" t="s">
        <v>102</v>
      </c>
      <c r="E6625" s="3" t="s">
        <v>467</v>
      </c>
      <c r="F6625" s="4" t="str">
        <f aca="false">IF(I6625&gt;J6625,"Y","N")</f>
        <v>N</v>
      </c>
      <c r="G6625" s="3" t="s">
        <v>466</v>
      </c>
      <c r="H6625" s="3" t="s">
        <v>39</v>
      </c>
      <c r="I6625" s="4" t="n">
        <v>4</v>
      </c>
      <c r="J6625" s="4" t="n">
        <f aca="false">LEN(E6625)-LEN(SUBSTITUTE(E6625,",",""))+1</f>
        <v>4</v>
      </c>
      <c r="K6625" s="3" t="str">
        <f aca="false">IFERROR(INDEX('Teacher Lookup'!$B$2:$B$200,MATCH(A6625,'Teacher Lookup'!$A$2:$A$200,0)),"")</f>
        <v>TO Lorraine</v>
      </c>
    </row>
    <row r="6626" customFormat="false" ht="15" hidden="false" customHeight="false" outlineLevel="0" collapsed="false">
      <c r="A6626" s="3" t="s">
        <v>475</v>
      </c>
      <c r="B6626" s="4" t="s">
        <v>31</v>
      </c>
      <c r="C6626" s="4" t="n">
        <v>7</v>
      </c>
      <c r="D6626" s="4" t="s">
        <v>107</v>
      </c>
      <c r="E6626" s="3" t="s">
        <v>467</v>
      </c>
      <c r="F6626" s="4" t="str">
        <f aca="false">IF(I6626&gt;J6626,"Y","N")</f>
        <v>N</v>
      </c>
      <c r="G6626" s="3" t="s">
        <v>466</v>
      </c>
      <c r="H6626" s="3" t="s">
        <v>39</v>
      </c>
      <c r="I6626" s="4" t="n">
        <v>4</v>
      </c>
      <c r="J6626" s="4" t="n">
        <f aca="false">LEN(E6626)-LEN(SUBSTITUTE(E6626,",",""))+1</f>
        <v>4</v>
      </c>
      <c r="K6626" s="3" t="str">
        <f aca="false">IFERROR(INDEX('Teacher Lookup'!$B$2:$B$200,MATCH(A6626,'Teacher Lookup'!$A$2:$A$200,0)),"")</f>
        <v>TO Lorraine</v>
      </c>
    </row>
    <row r="6627" customFormat="false" ht="15" hidden="false" customHeight="false" outlineLevel="0" collapsed="false">
      <c r="A6627" s="3" t="s">
        <v>475</v>
      </c>
      <c r="B6627" s="4" t="s">
        <v>40</v>
      </c>
      <c r="C6627" s="4" t="n">
        <v>2</v>
      </c>
      <c r="D6627" s="4" t="s">
        <v>102</v>
      </c>
      <c r="E6627" s="3" t="s">
        <v>468</v>
      </c>
      <c r="F6627" s="4" t="str">
        <f aca="false">IF(I6627&gt;J6627,"Y","N")</f>
        <v>N</v>
      </c>
      <c r="G6627" s="3" t="s">
        <v>466</v>
      </c>
      <c r="H6627" s="3" t="s">
        <v>21</v>
      </c>
      <c r="I6627" s="4" t="n">
        <v>4</v>
      </c>
      <c r="J6627" s="4" t="n">
        <f aca="false">LEN(E6627)-LEN(SUBSTITUTE(E6627,",",""))+1</f>
        <v>4</v>
      </c>
      <c r="K6627" s="3" t="str">
        <f aca="false">IFERROR(INDEX('Teacher Lookup'!$B$2:$B$200,MATCH(A6627,'Teacher Lookup'!$A$2:$A$200,0)),"")</f>
        <v>TO Lorraine</v>
      </c>
    </row>
    <row r="6628" customFormat="false" ht="15" hidden="false" customHeight="false" outlineLevel="0" collapsed="false">
      <c r="A6628" s="3" t="s">
        <v>475</v>
      </c>
      <c r="B6628" s="4" t="s">
        <v>40</v>
      </c>
      <c r="C6628" s="4" t="n">
        <v>2</v>
      </c>
      <c r="D6628" s="4" t="s">
        <v>107</v>
      </c>
      <c r="E6628" s="3" t="s">
        <v>468</v>
      </c>
      <c r="F6628" s="4" t="str">
        <f aca="false">IF(I6628&gt;J6628,"Y","N")</f>
        <v>N</v>
      </c>
      <c r="G6628" s="3" t="s">
        <v>466</v>
      </c>
      <c r="H6628" s="3" t="s">
        <v>21</v>
      </c>
      <c r="I6628" s="4" t="n">
        <v>4</v>
      </c>
      <c r="J6628" s="4" t="n">
        <f aca="false">LEN(E6628)-LEN(SUBSTITUTE(E6628,",",""))+1</f>
        <v>4</v>
      </c>
      <c r="K6628" s="3" t="str">
        <f aca="false">IFERROR(INDEX('Teacher Lookup'!$B$2:$B$200,MATCH(A6628,'Teacher Lookup'!$A$2:$A$200,0)),"")</f>
        <v>TO Lorraine</v>
      </c>
    </row>
    <row r="6629" customFormat="false" ht="15" hidden="false" customHeight="false" outlineLevel="0" collapsed="false">
      <c r="A6629" s="3" t="s">
        <v>475</v>
      </c>
      <c r="B6629" s="4" t="s">
        <v>40</v>
      </c>
      <c r="C6629" s="4" t="n">
        <v>5</v>
      </c>
      <c r="D6629" s="4" t="s">
        <v>24</v>
      </c>
      <c r="E6629" s="3" t="s">
        <v>405</v>
      </c>
      <c r="F6629" s="4" t="str">
        <f aca="false">IF(I6629&gt;J6629,"Y","N")</f>
        <v>N</v>
      </c>
      <c r="G6629" s="3" t="s">
        <v>164</v>
      </c>
      <c r="H6629" s="3" t="s">
        <v>37</v>
      </c>
      <c r="I6629" s="4" t="n">
        <v>3</v>
      </c>
      <c r="J6629" s="4" t="n">
        <f aca="false">LEN(E6629)-LEN(SUBSTITUTE(E6629,",",""))+1</f>
        <v>3</v>
      </c>
      <c r="K6629" s="3" t="str">
        <f aca="false">IFERROR(INDEX('Teacher Lookup'!$B$2:$B$200,MATCH(A6629,'Teacher Lookup'!$A$2:$A$200,0)),"")</f>
        <v>TO Lorraine</v>
      </c>
    </row>
    <row r="6630" customFormat="false" ht="15" hidden="false" customHeight="false" outlineLevel="0" collapsed="false">
      <c r="A6630" s="3" t="s">
        <v>475</v>
      </c>
      <c r="B6630" s="4" t="s">
        <v>40</v>
      </c>
      <c r="C6630" s="4" t="n">
        <v>5</v>
      </c>
      <c r="D6630" s="4" t="s">
        <v>27</v>
      </c>
      <c r="E6630" s="3" t="s">
        <v>405</v>
      </c>
      <c r="F6630" s="4" t="str">
        <f aca="false">IF(I6630&gt;J6630,"Y","N")</f>
        <v>N</v>
      </c>
      <c r="G6630" s="3" t="s">
        <v>164</v>
      </c>
      <c r="H6630" s="3" t="s">
        <v>37</v>
      </c>
      <c r="I6630" s="4" t="n">
        <v>3</v>
      </c>
      <c r="J6630" s="4" t="n">
        <f aca="false">LEN(E6630)-LEN(SUBSTITUTE(E6630,",",""))+1</f>
        <v>3</v>
      </c>
      <c r="K6630" s="3" t="str">
        <f aca="false">IFERROR(INDEX('Teacher Lookup'!$B$2:$B$200,MATCH(A6630,'Teacher Lookup'!$A$2:$A$200,0)),"")</f>
        <v>TO Lorraine</v>
      </c>
    </row>
    <row r="6631" customFormat="false" ht="15" hidden="false" customHeight="false" outlineLevel="0" collapsed="false">
      <c r="A6631" s="3" t="s">
        <v>475</v>
      </c>
      <c r="B6631" s="4" t="s">
        <v>44</v>
      </c>
      <c r="C6631" s="4" t="n">
        <v>4</v>
      </c>
      <c r="D6631" s="4" t="s">
        <v>102</v>
      </c>
      <c r="E6631" s="3" t="s">
        <v>469</v>
      </c>
      <c r="F6631" s="4" t="str">
        <f aca="false">IF(I6631&gt;J6631,"Y","N")</f>
        <v>N</v>
      </c>
      <c r="G6631" s="3" t="s">
        <v>466</v>
      </c>
      <c r="H6631" s="3" t="s">
        <v>34</v>
      </c>
      <c r="I6631" s="4" t="n">
        <v>4</v>
      </c>
      <c r="J6631" s="4" t="n">
        <f aca="false">LEN(E6631)-LEN(SUBSTITUTE(E6631,",",""))+1</f>
        <v>4</v>
      </c>
      <c r="K6631" s="3" t="str">
        <f aca="false">IFERROR(INDEX('Teacher Lookup'!$B$2:$B$200,MATCH(A6631,'Teacher Lookup'!$A$2:$A$200,0)),"")</f>
        <v>TO Lorraine</v>
      </c>
    </row>
    <row r="6632" customFormat="false" ht="15" hidden="false" customHeight="false" outlineLevel="0" collapsed="false">
      <c r="A6632" s="3" t="s">
        <v>475</v>
      </c>
      <c r="B6632" s="4" t="s">
        <v>44</v>
      </c>
      <c r="C6632" s="4" t="n">
        <v>4</v>
      </c>
      <c r="D6632" s="4" t="s">
        <v>107</v>
      </c>
      <c r="E6632" s="3" t="s">
        <v>469</v>
      </c>
      <c r="F6632" s="4" t="str">
        <f aca="false">IF(I6632&gt;J6632,"Y","N")</f>
        <v>N</v>
      </c>
      <c r="G6632" s="3" t="s">
        <v>466</v>
      </c>
      <c r="H6632" s="3" t="s">
        <v>34</v>
      </c>
      <c r="I6632" s="4" t="n">
        <v>4</v>
      </c>
      <c r="J6632" s="4" t="n">
        <f aca="false">LEN(E6632)-LEN(SUBSTITUTE(E6632,",",""))+1</f>
        <v>4</v>
      </c>
      <c r="K6632" s="3" t="str">
        <f aca="false">IFERROR(INDEX('Teacher Lookup'!$B$2:$B$200,MATCH(A6632,'Teacher Lookup'!$A$2:$A$200,0)),"")</f>
        <v>TO Lorraine</v>
      </c>
    </row>
    <row r="6633" customFormat="false" ht="15" hidden="false" customHeight="false" outlineLevel="0" collapsed="false">
      <c r="A6633" s="3" t="s">
        <v>475</v>
      </c>
      <c r="B6633" s="4" t="s">
        <v>44</v>
      </c>
      <c r="C6633" s="4" t="n">
        <v>5</v>
      </c>
      <c r="D6633" s="4" t="s">
        <v>19</v>
      </c>
      <c r="E6633" s="3" t="s">
        <v>35</v>
      </c>
      <c r="F6633" s="4" t="str">
        <f aca="false">IF(I6633&gt;J6633,"Y","N")</f>
        <v>Y</v>
      </c>
      <c r="G6633" s="3" t="s">
        <v>36</v>
      </c>
      <c r="H6633" s="3" t="s">
        <v>37</v>
      </c>
      <c r="I6633" s="4" t="n">
        <v>17</v>
      </c>
      <c r="J6633" s="4" t="n">
        <f aca="false">LEN(E6633)-LEN(SUBSTITUTE(E6633,",",""))+1</f>
        <v>7</v>
      </c>
      <c r="K6633" s="3" t="str">
        <f aca="false">IFERROR(INDEX('Teacher Lookup'!$B$2:$B$200,MATCH(A6633,'Teacher Lookup'!$A$2:$A$200,0)),"")</f>
        <v>TO Lorraine</v>
      </c>
    </row>
    <row r="6634" customFormat="false" ht="15" hidden="false" customHeight="false" outlineLevel="0" collapsed="false">
      <c r="A6634" s="3" t="s">
        <v>475</v>
      </c>
      <c r="B6634" s="4" t="s">
        <v>44</v>
      </c>
      <c r="C6634" s="4" t="n">
        <v>5</v>
      </c>
      <c r="D6634" s="4" t="s">
        <v>22</v>
      </c>
      <c r="E6634" s="3" t="s">
        <v>35</v>
      </c>
      <c r="F6634" s="4" t="str">
        <f aca="false">IF(I6634&gt;J6634,"Y","N")</f>
        <v>Y</v>
      </c>
      <c r="G6634" s="3" t="s">
        <v>36</v>
      </c>
      <c r="H6634" s="3" t="s">
        <v>37</v>
      </c>
      <c r="I6634" s="4" t="n">
        <v>17</v>
      </c>
      <c r="J6634" s="4" t="n">
        <f aca="false">LEN(E6634)-LEN(SUBSTITUTE(E6634,",",""))+1</f>
        <v>7</v>
      </c>
      <c r="K6634" s="3" t="str">
        <f aca="false">IFERROR(INDEX('Teacher Lookup'!$B$2:$B$200,MATCH(A6634,'Teacher Lookup'!$A$2:$A$200,0)),"")</f>
        <v>TO Lorraine</v>
      </c>
    </row>
    <row r="6635" customFormat="false" ht="15" hidden="false" customHeight="false" outlineLevel="0" collapsed="false">
      <c r="A6635" s="3" t="s">
        <v>475</v>
      </c>
      <c r="B6635" s="4" t="s">
        <v>44</v>
      </c>
      <c r="C6635" s="4" t="n">
        <v>5</v>
      </c>
      <c r="D6635" s="4" t="s">
        <v>23</v>
      </c>
      <c r="E6635" s="3" t="s">
        <v>35</v>
      </c>
      <c r="F6635" s="4" t="str">
        <f aca="false">IF(I6635&gt;J6635,"Y","N")</f>
        <v>Y</v>
      </c>
      <c r="G6635" s="3" t="s">
        <v>36</v>
      </c>
      <c r="H6635" s="3" t="s">
        <v>37</v>
      </c>
      <c r="I6635" s="4" t="n">
        <v>17</v>
      </c>
      <c r="J6635" s="4" t="n">
        <f aca="false">LEN(E6635)-LEN(SUBSTITUTE(E6635,",",""))+1</f>
        <v>7</v>
      </c>
      <c r="K6635" s="3" t="str">
        <f aca="false">IFERROR(INDEX('Teacher Lookup'!$B$2:$B$200,MATCH(A6635,'Teacher Lookup'!$A$2:$A$200,0)),"")</f>
        <v>TO Lorraine</v>
      </c>
    </row>
    <row r="6636" customFormat="false" ht="15" hidden="false" customHeight="false" outlineLevel="0" collapsed="false">
      <c r="A6636" s="3" t="s">
        <v>475</v>
      </c>
      <c r="B6636" s="4" t="s">
        <v>44</v>
      </c>
      <c r="C6636" s="4" t="n">
        <v>5</v>
      </c>
      <c r="D6636" s="4" t="s">
        <v>13</v>
      </c>
      <c r="E6636" s="3" t="s">
        <v>35</v>
      </c>
      <c r="F6636" s="4" t="str">
        <f aca="false">IF(I6636&gt;J6636,"Y","N")</f>
        <v>Y</v>
      </c>
      <c r="G6636" s="3" t="s">
        <v>36</v>
      </c>
      <c r="H6636" s="3" t="s">
        <v>37</v>
      </c>
      <c r="I6636" s="4" t="n">
        <v>17</v>
      </c>
      <c r="J6636" s="4" t="n">
        <f aca="false">LEN(E6636)-LEN(SUBSTITUTE(E6636,",",""))+1</f>
        <v>7</v>
      </c>
      <c r="K6636" s="3" t="str">
        <f aca="false">IFERROR(INDEX('Teacher Lookup'!$B$2:$B$200,MATCH(A6636,'Teacher Lookup'!$A$2:$A$200,0)),"")</f>
        <v>TO Lorraine</v>
      </c>
    </row>
    <row r="6637" customFormat="false" ht="15" hidden="false" customHeight="false" outlineLevel="0" collapsed="false">
      <c r="A6637" s="3" t="s">
        <v>475</v>
      </c>
      <c r="B6637" s="4" t="s">
        <v>44</v>
      </c>
      <c r="C6637" s="4" t="n">
        <v>5</v>
      </c>
      <c r="D6637" s="4" t="s">
        <v>17</v>
      </c>
      <c r="E6637" s="3" t="s">
        <v>35</v>
      </c>
      <c r="F6637" s="4" t="str">
        <f aca="false">IF(I6637&gt;J6637,"Y","N")</f>
        <v>Y</v>
      </c>
      <c r="G6637" s="3" t="s">
        <v>36</v>
      </c>
      <c r="H6637" s="3" t="s">
        <v>37</v>
      </c>
      <c r="I6637" s="4" t="n">
        <v>17</v>
      </c>
      <c r="J6637" s="4" t="n">
        <f aca="false">LEN(E6637)-LEN(SUBSTITUTE(E6637,",",""))+1</f>
        <v>7</v>
      </c>
      <c r="K6637" s="3" t="str">
        <f aca="false">IFERROR(INDEX('Teacher Lookup'!$B$2:$B$200,MATCH(A6637,'Teacher Lookup'!$A$2:$A$200,0)),"")</f>
        <v>TO Lorraine</v>
      </c>
    </row>
    <row r="6638" customFormat="false" ht="15" hidden="false" customHeight="false" outlineLevel="0" collapsed="false">
      <c r="A6638" s="3" t="s">
        <v>475</v>
      </c>
      <c r="B6638" s="4" t="s">
        <v>44</v>
      </c>
      <c r="C6638" s="4" t="n">
        <v>5</v>
      </c>
      <c r="D6638" s="4" t="s">
        <v>18</v>
      </c>
      <c r="E6638" s="3" t="s">
        <v>35</v>
      </c>
      <c r="F6638" s="4" t="str">
        <f aca="false">IF(I6638&gt;J6638,"Y","N")</f>
        <v>Y</v>
      </c>
      <c r="G6638" s="3" t="s">
        <v>36</v>
      </c>
      <c r="H6638" s="3" t="s">
        <v>37</v>
      </c>
      <c r="I6638" s="4" t="n">
        <v>17</v>
      </c>
      <c r="J6638" s="4" t="n">
        <f aca="false">LEN(E6638)-LEN(SUBSTITUTE(E6638,",",""))+1</f>
        <v>7</v>
      </c>
      <c r="K6638" s="3" t="str">
        <f aca="false">IFERROR(INDEX('Teacher Lookup'!$B$2:$B$200,MATCH(A6638,'Teacher Lookup'!$A$2:$A$200,0)),"")</f>
        <v>TO Lorraine</v>
      </c>
    </row>
    <row r="6639" customFormat="false" ht="15" hidden="false" customHeight="false" outlineLevel="0" collapsed="false">
      <c r="A6639" s="3" t="s">
        <v>475</v>
      </c>
      <c r="B6639" s="4" t="s">
        <v>44</v>
      </c>
      <c r="C6639" s="4" t="n">
        <v>6</v>
      </c>
      <c r="D6639" s="4" t="s">
        <v>24</v>
      </c>
      <c r="E6639" s="3" t="s">
        <v>407</v>
      </c>
      <c r="F6639" s="4" t="str">
        <f aca="false">IF(I6639&gt;J6639,"Y","N")</f>
        <v>N</v>
      </c>
      <c r="G6639" s="3" t="s">
        <v>164</v>
      </c>
      <c r="H6639" s="3" t="s">
        <v>42</v>
      </c>
      <c r="I6639" s="4" t="n">
        <v>3</v>
      </c>
      <c r="J6639" s="4" t="n">
        <f aca="false">LEN(E6639)-LEN(SUBSTITUTE(E6639,",",""))+1</f>
        <v>3</v>
      </c>
      <c r="K6639" s="3" t="str">
        <f aca="false">IFERROR(INDEX('Teacher Lookup'!$B$2:$B$200,MATCH(A6639,'Teacher Lookup'!$A$2:$A$200,0)),"")</f>
        <v>TO Lorraine</v>
      </c>
    </row>
    <row r="6640" customFormat="false" ht="15" hidden="false" customHeight="false" outlineLevel="0" collapsed="false">
      <c r="A6640" s="3" t="s">
        <v>475</v>
      </c>
      <c r="B6640" s="4" t="s">
        <v>44</v>
      </c>
      <c r="C6640" s="4" t="n">
        <v>6</v>
      </c>
      <c r="D6640" s="4" t="s">
        <v>27</v>
      </c>
      <c r="E6640" s="3" t="s">
        <v>407</v>
      </c>
      <c r="F6640" s="4" t="str">
        <f aca="false">IF(I6640&gt;J6640,"Y","N")</f>
        <v>N</v>
      </c>
      <c r="G6640" s="3" t="s">
        <v>164</v>
      </c>
      <c r="H6640" s="3" t="s">
        <v>42</v>
      </c>
      <c r="I6640" s="4" t="n">
        <v>3</v>
      </c>
      <c r="J6640" s="4" t="n">
        <f aca="false">LEN(E6640)-LEN(SUBSTITUTE(E6640,",",""))+1</f>
        <v>3</v>
      </c>
      <c r="K6640" s="3" t="str">
        <f aca="false">IFERROR(INDEX('Teacher Lookup'!$B$2:$B$200,MATCH(A6640,'Teacher Lookup'!$A$2:$A$200,0)),"")</f>
        <v>TO Lorraine</v>
      </c>
    </row>
    <row r="6641" customFormat="false" ht="15" hidden="false" customHeight="false" outlineLevel="0" collapsed="false">
      <c r="A6641" s="3" t="s">
        <v>475</v>
      </c>
      <c r="B6641" s="4" t="s">
        <v>47</v>
      </c>
      <c r="C6641" s="4" t="n">
        <v>6</v>
      </c>
      <c r="D6641" s="4" t="s">
        <v>24</v>
      </c>
      <c r="E6641" s="3" t="s">
        <v>408</v>
      </c>
      <c r="F6641" s="4" t="str">
        <f aca="false">IF(I6641&gt;J6641,"Y","N")</f>
        <v>N</v>
      </c>
      <c r="G6641" s="3" t="s">
        <v>164</v>
      </c>
      <c r="H6641" s="3" t="s">
        <v>42</v>
      </c>
      <c r="I6641" s="4" t="n">
        <v>3</v>
      </c>
      <c r="J6641" s="4" t="n">
        <f aca="false">LEN(E6641)-LEN(SUBSTITUTE(E6641,",",""))+1</f>
        <v>3</v>
      </c>
      <c r="K6641" s="3" t="str">
        <f aca="false">IFERROR(INDEX('Teacher Lookup'!$B$2:$B$200,MATCH(A6641,'Teacher Lookup'!$A$2:$A$200,0)),"")</f>
        <v>TO Lorraine</v>
      </c>
    </row>
    <row r="6642" customFormat="false" ht="15" hidden="false" customHeight="false" outlineLevel="0" collapsed="false">
      <c r="A6642" s="3" t="s">
        <v>475</v>
      </c>
      <c r="B6642" s="4" t="s">
        <v>47</v>
      </c>
      <c r="C6642" s="4" t="n">
        <v>6</v>
      </c>
      <c r="D6642" s="4" t="s">
        <v>27</v>
      </c>
      <c r="E6642" s="3" t="s">
        <v>408</v>
      </c>
      <c r="F6642" s="4" t="str">
        <f aca="false">IF(I6642&gt;J6642,"Y","N")</f>
        <v>N</v>
      </c>
      <c r="G6642" s="3" t="s">
        <v>164</v>
      </c>
      <c r="H6642" s="3" t="s">
        <v>42</v>
      </c>
      <c r="I6642" s="4" t="n">
        <v>3</v>
      </c>
      <c r="J6642" s="4" t="n">
        <f aca="false">LEN(E6642)-LEN(SUBSTITUTE(E6642,",",""))+1</f>
        <v>3</v>
      </c>
      <c r="K6642" s="3" t="str">
        <f aca="false">IFERROR(INDEX('Teacher Lookup'!$B$2:$B$200,MATCH(A6642,'Teacher Lookup'!$A$2:$A$200,0)),"")</f>
        <v>TO Lorraine</v>
      </c>
    </row>
    <row r="6643" customFormat="false" ht="15" hidden="false" customHeight="false" outlineLevel="0" collapsed="false">
      <c r="A6643" s="3" t="s">
        <v>475</v>
      </c>
      <c r="B6643" s="4" t="s">
        <v>50</v>
      </c>
      <c r="C6643" s="4" t="n">
        <v>1</v>
      </c>
      <c r="D6643" s="4" t="s">
        <v>24</v>
      </c>
      <c r="E6643" s="3" t="s">
        <v>409</v>
      </c>
      <c r="F6643" s="4" t="str">
        <f aca="false">IF(I6643&gt;J6643,"Y","N")</f>
        <v>N</v>
      </c>
      <c r="G6643" s="3" t="s">
        <v>164</v>
      </c>
      <c r="H6643" s="3" t="s">
        <v>16</v>
      </c>
      <c r="I6643" s="4" t="n">
        <v>3</v>
      </c>
      <c r="J6643" s="4" t="n">
        <f aca="false">LEN(E6643)-LEN(SUBSTITUTE(E6643,",",""))+1</f>
        <v>3</v>
      </c>
      <c r="K6643" s="3" t="str">
        <f aca="false">IFERROR(INDEX('Teacher Lookup'!$B$2:$B$200,MATCH(A6643,'Teacher Lookup'!$A$2:$A$200,0)),"")</f>
        <v>TO Lorraine</v>
      </c>
    </row>
    <row r="6644" customFormat="false" ht="15" hidden="false" customHeight="false" outlineLevel="0" collapsed="false">
      <c r="A6644" s="3" t="s">
        <v>475</v>
      </c>
      <c r="B6644" s="4" t="s">
        <v>50</v>
      </c>
      <c r="C6644" s="4" t="n">
        <v>1</v>
      </c>
      <c r="D6644" s="4" t="s">
        <v>27</v>
      </c>
      <c r="E6644" s="3" t="s">
        <v>409</v>
      </c>
      <c r="F6644" s="4" t="str">
        <f aca="false">IF(I6644&gt;J6644,"Y","N")</f>
        <v>N</v>
      </c>
      <c r="G6644" s="3" t="s">
        <v>164</v>
      </c>
      <c r="H6644" s="3" t="s">
        <v>16</v>
      </c>
      <c r="I6644" s="4" t="n">
        <v>3</v>
      </c>
      <c r="J6644" s="4" t="n">
        <f aca="false">LEN(E6644)-LEN(SUBSTITUTE(E6644,",",""))+1</f>
        <v>3</v>
      </c>
      <c r="K6644" s="3" t="str">
        <f aca="false">IFERROR(INDEX('Teacher Lookup'!$B$2:$B$200,MATCH(A6644,'Teacher Lookup'!$A$2:$A$200,0)),"")</f>
        <v>TO Lorraine</v>
      </c>
    </row>
    <row r="6645" customFormat="false" ht="15" hidden="false" customHeight="false" outlineLevel="0" collapsed="false">
      <c r="A6645" s="3" t="s">
        <v>475</v>
      </c>
      <c r="B6645" s="4" t="s">
        <v>50</v>
      </c>
      <c r="C6645" s="4" t="n">
        <v>6</v>
      </c>
      <c r="D6645" s="4" t="s">
        <v>102</v>
      </c>
      <c r="E6645" s="3" t="s">
        <v>470</v>
      </c>
      <c r="F6645" s="4" t="str">
        <f aca="false">IF(I6645&gt;J6645,"Y","N")</f>
        <v>N</v>
      </c>
      <c r="G6645" s="3" t="s">
        <v>466</v>
      </c>
      <c r="H6645" s="3" t="s">
        <v>42</v>
      </c>
      <c r="I6645" s="4" t="n">
        <v>4</v>
      </c>
      <c r="J6645" s="4" t="n">
        <f aca="false">LEN(E6645)-LEN(SUBSTITUTE(E6645,",",""))+1</f>
        <v>4</v>
      </c>
      <c r="K6645" s="3" t="str">
        <f aca="false">IFERROR(INDEX('Teacher Lookup'!$B$2:$B$200,MATCH(A6645,'Teacher Lookup'!$A$2:$A$200,0)),"")</f>
        <v>TO Lorraine</v>
      </c>
    </row>
    <row r="6646" customFormat="false" ht="15" hidden="false" customHeight="false" outlineLevel="0" collapsed="false">
      <c r="A6646" s="3" t="s">
        <v>475</v>
      </c>
      <c r="B6646" s="4" t="s">
        <v>50</v>
      </c>
      <c r="C6646" s="4" t="n">
        <v>6</v>
      </c>
      <c r="D6646" s="4" t="s">
        <v>107</v>
      </c>
      <c r="E6646" s="3" t="s">
        <v>470</v>
      </c>
      <c r="F6646" s="4" t="str">
        <f aca="false">IF(I6646&gt;J6646,"Y","N")</f>
        <v>N</v>
      </c>
      <c r="G6646" s="3" t="s">
        <v>466</v>
      </c>
      <c r="H6646" s="3" t="s">
        <v>42</v>
      </c>
      <c r="I6646" s="4" t="n">
        <v>4</v>
      </c>
      <c r="J6646" s="4" t="n">
        <f aca="false">LEN(E6646)-LEN(SUBSTITUTE(E6646,",",""))+1</f>
        <v>4</v>
      </c>
      <c r="K6646" s="3" t="str">
        <f aca="false">IFERROR(INDEX('Teacher Lookup'!$B$2:$B$200,MATCH(A6646,'Teacher Lookup'!$A$2:$A$200,0)),"")</f>
        <v>TO Lorraine</v>
      </c>
    </row>
    <row r="6647" customFormat="false" ht="15" hidden="false" customHeight="false" outlineLevel="0" collapsed="false">
      <c r="A6647" s="3" t="s">
        <v>475</v>
      </c>
      <c r="B6647" s="4" t="s">
        <v>60</v>
      </c>
      <c r="C6647" s="4" t="n">
        <v>5</v>
      </c>
      <c r="D6647" s="4" t="s">
        <v>19</v>
      </c>
      <c r="E6647" s="3" t="s">
        <v>35</v>
      </c>
      <c r="F6647" s="4" t="str">
        <f aca="false">IF(I6647&gt;J6647,"Y","N")</f>
        <v>Y</v>
      </c>
      <c r="G6647" s="3" t="s">
        <v>36</v>
      </c>
      <c r="H6647" s="3" t="s">
        <v>37</v>
      </c>
      <c r="I6647" s="4" t="n">
        <v>17</v>
      </c>
      <c r="J6647" s="4" t="n">
        <f aca="false">LEN(E6647)-LEN(SUBSTITUTE(E6647,",",""))+1</f>
        <v>7</v>
      </c>
      <c r="K6647" s="3" t="str">
        <f aca="false">IFERROR(INDEX('Teacher Lookup'!$B$2:$B$200,MATCH(A6647,'Teacher Lookup'!$A$2:$A$200,0)),"")</f>
        <v>TO Lorraine</v>
      </c>
    </row>
    <row r="6648" customFormat="false" ht="15" hidden="false" customHeight="false" outlineLevel="0" collapsed="false">
      <c r="A6648" s="3" t="s">
        <v>475</v>
      </c>
      <c r="B6648" s="4" t="s">
        <v>60</v>
      </c>
      <c r="C6648" s="4" t="n">
        <v>5</v>
      </c>
      <c r="D6648" s="4" t="s">
        <v>22</v>
      </c>
      <c r="E6648" s="3" t="s">
        <v>35</v>
      </c>
      <c r="F6648" s="4" t="str">
        <f aca="false">IF(I6648&gt;J6648,"Y","N")</f>
        <v>Y</v>
      </c>
      <c r="G6648" s="3" t="s">
        <v>36</v>
      </c>
      <c r="H6648" s="3" t="s">
        <v>37</v>
      </c>
      <c r="I6648" s="4" t="n">
        <v>17</v>
      </c>
      <c r="J6648" s="4" t="n">
        <f aca="false">LEN(E6648)-LEN(SUBSTITUTE(E6648,",",""))+1</f>
        <v>7</v>
      </c>
      <c r="K6648" s="3" t="str">
        <f aca="false">IFERROR(INDEX('Teacher Lookup'!$B$2:$B$200,MATCH(A6648,'Teacher Lookup'!$A$2:$A$200,0)),"")</f>
        <v>TO Lorraine</v>
      </c>
    </row>
    <row r="6649" customFormat="false" ht="15" hidden="false" customHeight="false" outlineLevel="0" collapsed="false">
      <c r="A6649" s="3" t="s">
        <v>475</v>
      </c>
      <c r="B6649" s="4" t="s">
        <v>60</v>
      </c>
      <c r="C6649" s="4" t="n">
        <v>5</v>
      </c>
      <c r="D6649" s="4" t="s">
        <v>23</v>
      </c>
      <c r="E6649" s="3" t="s">
        <v>35</v>
      </c>
      <c r="F6649" s="4" t="str">
        <f aca="false">IF(I6649&gt;J6649,"Y","N")</f>
        <v>Y</v>
      </c>
      <c r="G6649" s="3" t="s">
        <v>36</v>
      </c>
      <c r="H6649" s="3" t="s">
        <v>37</v>
      </c>
      <c r="I6649" s="4" t="n">
        <v>17</v>
      </c>
      <c r="J6649" s="4" t="n">
        <f aca="false">LEN(E6649)-LEN(SUBSTITUTE(E6649,",",""))+1</f>
        <v>7</v>
      </c>
      <c r="K6649" s="3" t="str">
        <f aca="false">IFERROR(INDEX('Teacher Lookup'!$B$2:$B$200,MATCH(A6649,'Teacher Lookup'!$A$2:$A$200,0)),"")</f>
        <v>TO Lorraine</v>
      </c>
    </row>
    <row r="6650" customFormat="false" ht="15" hidden="false" customHeight="false" outlineLevel="0" collapsed="false">
      <c r="A6650" s="3" t="s">
        <v>475</v>
      </c>
      <c r="B6650" s="4" t="s">
        <v>60</v>
      </c>
      <c r="C6650" s="4" t="n">
        <v>5</v>
      </c>
      <c r="D6650" s="4" t="s">
        <v>13</v>
      </c>
      <c r="E6650" s="3" t="s">
        <v>35</v>
      </c>
      <c r="F6650" s="4" t="str">
        <f aca="false">IF(I6650&gt;J6650,"Y","N")</f>
        <v>Y</v>
      </c>
      <c r="G6650" s="3" t="s">
        <v>36</v>
      </c>
      <c r="H6650" s="3" t="s">
        <v>37</v>
      </c>
      <c r="I6650" s="4" t="n">
        <v>17</v>
      </c>
      <c r="J6650" s="4" t="n">
        <f aca="false">LEN(E6650)-LEN(SUBSTITUTE(E6650,",",""))+1</f>
        <v>7</v>
      </c>
      <c r="K6650" s="3" t="str">
        <f aca="false">IFERROR(INDEX('Teacher Lookup'!$B$2:$B$200,MATCH(A6650,'Teacher Lookup'!$A$2:$A$200,0)),"")</f>
        <v>TO Lorraine</v>
      </c>
    </row>
    <row r="6651" customFormat="false" ht="15" hidden="false" customHeight="false" outlineLevel="0" collapsed="false">
      <c r="A6651" s="3" t="s">
        <v>475</v>
      </c>
      <c r="B6651" s="4" t="s">
        <v>60</v>
      </c>
      <c r="C6651" s="4" t="n">
        <v>5</v>
      </c>
      <c r="D6651" s="4" t="s">
        <v>17</v>
      </c>
      <c r="E6651" s="3" t="s">
        <v>35</v>
      </c>
      <c r="F6651" s="4" t="str">
        <f aca="false">IF(I6651&gt;J6651,"Y","N")</f>
        <v>Y</v>
      </c>
      <c r="G6651" s="3" t="s">
        <v>36</v>
      </c>
      <c r="H6651" s="3" t="s">
        <v>37</v>
      </c>
      <c r="I6651" s="4" t="n">
        <v>17</v>
      </c>
      <c r="J6651" s="4" t="n">
        <f aca="false">LEN(E6651)-LEN(SUBSTITUTE(E6651,",",""))+1</f>
        <v>7</v>
      </c>
      <c r="K6651" s="3" t="str">
        <f aca="false">IFERROR(INDEX('Teacher Lookup'!$B$2:$B$200,MATCH(A6651,'Teacher Lookup'!$A$2:$A$200,0)),"")</f>
        <v>TO Lorraine</v>
      </c>
    </row>
    <row r="6652" customFormat="false" ht="15" hidden="false" customHeight="false" outlineLevel="0" collapsed="false">
      <c r="A6652" s="3" t="s">
        <v>475</v>
      </c>
      <c r="B6652" s="4" t="s">
        <v>60</v>
      </c>
      <c r="C6652" s="4" t="n">
        <v>5</v>
      </c>
      <c r="D6652" s="4" t="s">
        <v>18</v>
      </c>
      <c r="E6652" s="3" t="s">
        <v>35</v>
      </c>
      <c r="F6652" s="4" t="str">
        <f aca="false">IF(I6652&gt;J6652,"Y","N")</f>
        <v>Y</v>
      </c>
      <c r="G6652" s="3" t="s">
        <v>36</v>
      </c>
      <c r="H6652" s="3" t="s">
        <v>37</v>
      </c>
      <c r="I6652" s="4" t="n">
        <v>17</v>
      </c>
      <c r="J6652" s="4" t="n">
        <f aca="false">LEN(E6652)-LEN(SUBSTITUTE(E6652,",",""))+1</f>
        <v>7</v>
      </c>
      <c r="K6652" s="3" t="str">
        <f aca="false">IFERROR(INDEX('Teacher Lookup'!$B$2:$B$200,MATCH(A6652,'Teacher Lookup'!$A$2:$A$200,0)),"")</f>
        <v>TO Lorraine</v>
      </c>
    </row>
    <row r="6653" customFormat="false" ht="15" hidden="false" customHeight="false" outlineLevel="0" collapsed="false">
      <c r="A6653" s="3" t="s">
        <v>475</v>
      </c>
      <c r="B6653" s="4" t="s">
        <v>60</v>
      </c>
      <c r="C6653" s="4" t="n">
        <v>7</v>
      </c>
      <c r="D6653" s="4" t="s">
        <v>24</v>
      </c>
      <c r="E6653" s="3" t="s">
        <v>408</v>
      </c>
      <c r="F6653" s="4" t="str">
        <f aca="false">IF(I6653&gt;J6653,"Y","N")</f>
        <v>N</v>
      </c>
      <c r="G6653" s="3" t="s">
        <v>164</v>
      </c>
      <c r="H6653" s="3" t="s">
        <v>39</v>
      </c>
      <c r="I6653" s="4" t="n">
        <v>3</v>
      </c>
      <c r="J6653" s="4" t="n">
        <f aca="false">LEN(E6653)-LEN(SUBSTITUTE(E6653,",",""))+1</f>
        <v>3</v>
      </c>
      <c r="K6653" s="3" t="str">
        <f aca="false">IFERROR(INDEX('Teacher Lookup'!$B$2:$B$200,MATCH(A6653,'Teacher Lookup'!$A$2:$A$200,0)),"")</f>
        <v>TO Lorraine</v>
      </c>
    </row>
    <row r="6654" customFormat="false" ht="15" hidden="false" customHeight="false" outlineLevel="0" collapsed="false">
      <c r="A6654" s="3" t="s">
        <v>475</v>
      </c>
      <c r="B6654" s="4" t="s">
        <v>60</v>
      </c>
      <c r="C6654" s="4" t="n">
        <v>7</v>
      </c>
      <c r="D6654" s="4" t="s">
        <v>27</v>
      </c>
      <c r="E6654" s="3" t="s">
        <v>408</v>
      </c>
      <c r="F6654" s="4" t="str">
        <f aca="false">IF(I6654&gt;J6654,"Y","N")</f>
        <v>N</v>
      </c>
      <c r="G6654" s="3" t="s">
        <v>164</v>
      </c>
      <c r="H6654" s="3" t="s">
        <v>39</v>
      </c>
      <c r="I6654" s="4" t="n">
        <v>3</v>
      </c>
      <c r="J6654" s="4" t="n">
        <f aca="false">LEN(E6654)-LEN(SUBSTITUTE(E6654,",",""))+1</f>
        <v>3</v>
      </c>
      <c r="K6654" s="3" t="str">
        <f aca="false">IFERROR(INDEX('Teacher Lookup'!$B$2:$B$200,MATCH(A6654,'Teacher Lookup'!$A$2:$A$200,0)),"")</f>
        <v>TO Lorraine</v>
      </c>
    </row>
    <row r="6655" customFormat="false" ht="15" hidden="false" customHeight="false" outlineLevel="0" collapsed="false">
      <c r="A6655" s="3" t="s">
        <v>475</v>
      </c>
      <c r="B6655" s="4" t="s">
        <v>63</v>
      </c>
      <c r="C6655" s="4" t="n">
        <v>3</v>
      </c>
      <c r="D6655" s="4" t="s">
        <v>102</v>
      </c>
      <c r="E6655" s="3" t="s">
        <v>471</v>
      </c>
      <c r="F6655" s="4" t="str">
        <f aca="false">IF(I6655&gt;J6655,"Y","N")</f>
        <v>N</v>
      </c>
      <c r="G6655" s="3" t="s">
        <v>466</v>
      </c>
      <c r="H6655" s="3" t="s">
        <v>26</v>
      </c>
      <c r="I6655" s="4" t="n">
        <v>4</v>
      </c>
      <c r="J6655" s="4" t="n">
        <f aca="false">LEN(E6655)-LEN(SUBSTITUTE(E6655,",",""))+1</f>
        <v>4</v>
      </c>
      <c r="K6655" s="3" t="str">
        <f aca="false">IFERROR(INDEX('Teacher Lookup'!$B$2:$B$200,MATCH(A6655,'Teacher Lookup'!$A$2:$A$200,0)),"")</f>
        <v>TO Lorraine</v>
      </c>
    </row>
    <row r="6656" customFormat="false" ht="15" hidden="false" customHeight="false" outlineLevel="0" collapsed="false">
      <c r="A6656" s="3" t="s">
        <v>475</v>
      </c>
      <c r="B6656" s="4" t="s">
        <v>63</v>
      </c>
      <c r="C6656" s="4" t="n">
        <v>3</v>
      </c>
      <c r="D6656" s="4" t="s">
        <v>107</v>
      </c>
      <c r="E6656" s="3" t="s">
        <v>471</v>
      </c>
      <c r="F6656" s="4" t="str">
        <f aca="false">IF(I6656&gt;J6656,"Y","N")</f>
        <v>N</v>
      </c>
      <c r="G6656" s="3" t="s">
        <v>466</v>
      </c>
      <c r="H6656" s="3" t="s">
        <v>26</v>
      </c>
      <c r="I6656" s="4" t="n">
        <v>4</v>
      </c>
      <c r="J6656" s="4" t="n">
        <f aca="false">LEN(E6656)-LEN(SUBSTITUTE(E6656,",",""))+1</f>
        <v>4</v>
      </c>
      <c r="K6656" s="3" t="str">
        <f aca="false">IFERROR(INDEX('Teacher Lookup'!$B$2:$B$200,MATCH(A6656,'Teacher Lookup'!$A$2:$A$200,0)),"")</f>
        <v>TO Lorraine</v>
      </c>
    </row>
    <row r="6657" customFormat="false" ht="15" hidden="false" customHeight="false" outlineLevel="0" collapsed="false">
      <c r="A6657" s="3" t="s">
        <v>475</v>
      </c>
      <c r="B6657" s="4" t="s">
        <v>63</v>
      </c>
      <c r="C6657" s="4" t="n">
        <v>4</v>
      </c>
      <c r="D6657" s="4" t="s">
        <v>70</v>
      </c>
      <c r="E6657" s="3" t="s">
        <v>213</v>
      </c>
      <c r="F6657" s="4" t="str">
        <f aca="false">IF(I6657&gt;J6657,"Y","N")</f>
        <v>Y</v>
      </c>
      <c r="G6657" s="3" t="s">
        <v>214</v>
      </c>
      <c r="H6657" s="3" t="s">
        <v>34</v>
      </c>
      <c r="I6657" s="4" t="n">
        <v>20</v>
      </c>
      <c r="J6657" s="4" t="n">
        <f aca="false">LEN(E6657)-LEN(SUBSTITUTE(E6657,",",""))+1</f>
        <v>6</v>
      </c>
      <c r="K6657" s="3" t="str">
        <f aca="false">IFERROR(INDEX('Teacher Lookup'!$B$2:$B$200,MATCH(A6657,'Teacher Lookup'!$A$2:$A$200,0)),"")</f>
        <v>TO Lorraine</v>
      </c>
    </row>
    <row r="6658" customFormat="false" ht="15" hidden="false" customHeight="false" outlineLevel="0" collapsed="false">
      <c r="A6658" s="3" t="s">
        <v>475</v>
      </c>
      <c r="B6658" s="4" t="s">
        <v>63</v>
      </c>
      <c r="C6658" s="4" t="n">
        <v>4</v>
      </c>
      <c r="D6658" s="4" t="s">
        <v>73</v>
      </c>
      <c r="E6658" s="3" t="s">
        <v>213</v>
      </c>
      <c r="F6658" s="4" t="str">
        <f aca="false">IF(I6658&gt;J6658,"Y","N")</f>
        <v>Y</v>
      </c>
      <c r="G6658" s="3" t="s">
        <v>214</v>
      </c>
      <c r="H6658" s="3" t="s">
        <v>34</v>
      </c>
      <c r="I6658" s="4" t="n">
        <v>20</v>
      </c>
      <c r="J6658" s="4" t="n">
        <f aca="false">LEN(E6658)-LEN(SUBSTITUTE(E6658,",",""))+1</f>
        <v>6</v>
      </c>
      <c r="K6658" s="3" t="str">
        <f aca="false">IFERROR(INDEX('Teacher Lookup'!$B$2:$B$200,MATCH(A6658,'Teacher Lookup'!$A$2:$A$200,0)),"")</f>
        <v>TO Lorraine</v>
      </c>
    </row>
    <row r="6659" customFormat="false" ht="15" hidden="false" customHeight="false" outlineLevel="0" collapsed="false">
      <c r="A6659" s="3" t="s">
        <v>475</v>
      </c>
      <c r="B6659" s="4" t="s">
        <v>63</v>
      </c>
      <c r="C6659" s="4" t="n">
        <v>4</v>
      </c>
      <c r="D6659" s="4" t="s">
        <v>74</v>
      </c>
      <c r="E6659" s="3" t="s">
        <v>213</v>
      </c>
      <c r="F6659" s="4" t="str">
        <f aca="false">IF(I6659&gt;J6659,"Y","N")</f>
        <v>Y</v>
      </c>
      <c r="G6659" s="3" t="s">
        <v>214</v>
      </c>
      <c r="H6659" s="3" t="s">
        <v>34</v>
      </c>
      <c r="I6659" s="4" t="n">
        <v>20</v>
      </c>
      <c r="J6659" s="4" t="n">
        <f aca="false">LEN(E6659)-LEN(SUBSTITUTE(E6659,",",""))+1</f>
        <v>6</v>
      </c>
      <c r="K6659" s="3" t="str">
        <f aca="false">IFERROR(INDEX('Teacher Lookup'!$B$2:$B$200,MATCH(A6659,'Teacher Lookup'!$A$2:$A$200,0)),"")</f>
        <v>TO Lorraine</v>
      </c>
    </row>
    <row r="6660" customFormat="false" ht="15" hidden="false" customHeight="false" outlineLevel="0" collapsed="false">
      <c r="A6660" s="3" t="s">
        <v>475</v>
      </c>
      <c r="B6660" s="4" t="s">
        <v>63</v>
      </c>
      <c r="C6660" s="4" t="n">
        <v>4</v>
      </c>
      <c r="D6660" s="4" t="s">
        <v>76</v>
      </c>
      <c r="E6660" s="3" t="s">
        <v>213</v>
      </c>
      <c r="F6660" s="4" t="str">
        <f aca="false">IF(I6660&gt;J6660,"Y","N")</f>
        <v>Y</v>
      </c>
      <c r="G6660" s="3" t="s">
        <v>214</v>
      </c>
      <c r="H6660" s="3" t="s">
        <v>34</v>
      </c>
      <c r="I6660" s="4" t="n">
        <v>20</v>
      </c>
      <c r="J6660" s="4" t="n">
        <f aca="false">LEN(E6660)-LEN(SUBSTITUTE(E6660,",",""))+1</f>
        <v>6</v>
      </c>
      <c r="K6660" s="3" t="str">
        <f aca="false">IFERROR(INDEX('Teacher Lookup'!$B$2:$B$200,MATCH(A6660,'Teacher Lookup'!$A$2:$A$200,0)),"")</f>
        <v>TO Lorraine</v>
      </c>
    </row>
    <row r="6661" customFormat="false" ht="15" hidden="false" customHeight="false" outlineLevel="0" collapsed="false">
      <c r="A6661" s="3" t="s">
        <v>475</v>
      </c>
      <c r="B6661" s="4" t="s">
        <v>63</v>
      </c>
      <c r="C6661" s="4" t="n">
        <v>4</v>
      </c>
      <c r="D6661" s="4" t="s">
        <v>78</v>
      </c>
      <c r="E6661" s="3" t="s">
        <v>213</v>
      </c>
      <c r="F6661" s="4" t="str">
        <f aca="false">IF(I6661&gt;J6661,"Y","N")</f>
        <v>Y</v>
      </c>
      <c r="G6661" s="3" t="s">
        <v>214</v>
      </c>
      <c r="H6661" s="3" t="s">
        <v>34</v>
      </c>
      <c r="I6661" s="4" t="n">
        <v>20</v>
      </c>
      <c r="J6661" s="4" t="n">
        <f aca="false">LEN(E6661)-LEN(SUBSTITUTE(E6661,",",""))+1</f>
        <v>6</v>
      </c>
      <c r="K6661" s="3" t="str">
        <f aca="false">IFERROR(INDEX('Teacher Lookup'!$B$2:$B$200,MATCH(A6661,'Teacher Lookup'!$A$2:$A$200,0)),"")</f>
        <v>TO Lorraine</v>
      </c>
    </row>
    <row r="6662" customFormat="false" ht="15" hidden="false" customHeight="false" outlineLevel="0" collapsed="false">
      <c r="A6662" s="3" t="s">
        <v>475</v>
      </c>
      <c r="B6662" s="4" t="s">
        <v>63</v>
      </c>
      <c r="C6662" s="4" t="n">
        <v>4</v>
      </c>
      <c r="D6662" s="4" t="s">
        <v>79</v>
      </c>
      <c r="E6662" s="3" t="s">
        <v>213</v>
      </c>
      <c r="F6662" s="4" t="str">
        <f aca="false">IF(I6662&gt;J6662,"Y","N")</f>
        <v>Y</v>
      </c>
      <c r="G6662" s="3" t="s">
        <v>214</v>
      </c>
      <c r="H6662" s="3" t="s">
        <v>34</v>
      </c>
      <c r="I6662" s="4" t="n">
        <v>20</v>
      </c>
      <c r="J6662" s="4" t="n">
        <f aca="false">LEN(E6662)-LEN(SUBSTITUTE(E6662,",",""))+1</f>
        <v>6</v>
      </c>
      <c r="K6662" s="3" t="str">
        <f aca="false">IFERROR(INDEX('Teacher Lookup'!$B$2:$B$200,MATCH(A6662,'Teacher Lookup'!$A$2:$A$200,0)),"")</f>
        <v>TO Lorraine</v>
      </c>
    </row>
    <row r="6663" customFormat="false" ht="15" hidden="false" customHeight="false" outlineLevel="0" collapsed="false">
      <c r="A6663" s="3" t="s">
        <v>475</v>
      </c>
      <c r="B6663" s="4" t="s">
        <v>63</v>
      </c>
      <c r="C6663" s="4" t="n">
        <v>5</v>
      </c>
      <c r="D6663" s="4" t="s">
        <v>70</v>
      </c>
      <c r="E6663" s="3" t="s">
        <v>213</v>
      </c>
      <c r="F6663" s="4" t="str">
        <f aca="false">IF(I6663&gt;J6663,"Y","N")</f>
        <v>Y</v>
      </c>
      <c r="G6663" s="3" t="s">
        <v>214</v>
      </c>
      <c r="H6663" s="3" t="s">
        <v>37</v>
      </c>
      <c r="I6663" s="4" t="n">
        <v>20</v>
      </c>
      <c r="J6663" s="4" t="n">
        <f aca="false">LEN(E6663)-LEN(SUBSTITUTE(E6663,",",""))+1</f>
        <v>6</v>
      </c>
      <c r="K6663" s="3" t="str">
        <f aca="false">IFERROR(INDEX('Teacher Lookup'!$B$2:$B$200,MATCH(A6663,'Teacher Lookup'!$A$2:$A$200,0)),"")</f>
        <v>TO Lorraine</v>
      </c>
    </row>
    <row r="6664" customFormat="false" ht="15" hidden="false" customHeight="false" outlineLevel="0" collapsed="false">
      <c r="A6664" s="3" t="s">
        <v>475</v>
      </c>
      <c r="B6664" s="4" t="s">
        <v>63</v>
      </c>
      <c r="C6664" s="4" t="n">
        <v>5</v>
      </c>
      <c r="D6664" s="4" t="s">
        <v>73</v>
      </c>
      <c r="E6664" s="3" t="s">
        <v>213</v>
      </c>
      <c r="F6664" s="4" t="str">
        <f aca="false">IF(I6664&gt;J6664,"Y","N")</f>
        <v>Y</v>
      </c>
      <c r="G6664" s="3" t="s">
        <v>214</v>
      </c>
      <c r="H6664" s="3" t="s">
        <v>37</v>
      </c>
      <c r="I6664" s="4" t="n">
        <v>20</v>
      </c>
      <c r="J6664" s="4" t="n">
        <f aca="false">LEN(E6664)-LEN(SUBSTITUTE(E6664,",",""))+1</f>
        <v>6</v>
      </c>
      <c r="K6664" s="3" t="str">
        <f aca="false">IFERROR(INDEX('Teacher Lookup'!$B$2:$B$200,MATCH(A6664,'Teacher Lookup'!$A$2:$A$200,0)),"")</f>
        <v>TO Lorraine</v>
      </c>
    </row>
    <row r="6665" customFormat="false" ht="15" hidden="false" customHeight="false" outlineLevel="0" collapsed="false">
      <c r="A6665" s="3" t="s">
        <v>475</v>
      </c>
      <c r="B6665" s="4" t="s">
        <v>63</v>
      </c>
      <c r="C6665" s="4" t="n">
        <v>5</v>
      </c>
      <c r="D6665" s="4" t="s">
        <v>74</v>
      </c>
      <c r="E6665" s="3" t="s">
        <v>213</v>
      </c>
      <c r="F6665" s="4" t="str">
        <f aca="false">IF(I6665&gt;J6665,"Y","N")</f>
        <v>Y</v>
      </c>
      <c r="G6665" s="3" t="s">
        <v>214</v>
      </c>
      <c r="H6665" s="3" t="s">
        <v>37</v>
      </c>
      <c r="I6665" s="4" t="n">
        <v>20</v>
      </c>
      <c r="J6665" s="4" t="n">
        <f aca="false">LEN(E6665)-LEN(SUBSTITUTE(E6665,",",""))+1</f>
        <v>6</v>
      </c>
      <c r="K6665" s="3" t="str">
        <f aca="false">IFERROR(INDEX('Teacher Lookup'!$B$2:$B$200,MATCH(A6665,'Teacher Lookup'!$A$2:$A$200,0)),"")</f>
        <v>TO Lorraine</v>
      </c>
    </row>
    <row r="6666" customFormat="false" ht="15" hidden="false" customHeight="false" outlineLevel="0" collapsed="false">
      <c r="A6666" s="3" t="s">
        <v>475</v>
      </c>
      <c r="B6666" s="4" t="s">
        <v>63</v>
      </c>
      <c r="C6666" s="4" t="n">
        <v>5</v>
      </c>
      <c r="D6666" s="4" t="s">
        <v>76</v>
      </c>
      <c r="E6666" s="3" t="s">
        <v>213</v>
      </c>
      <c r="F6666" s="4" t="str">
        <f aca="false">IF(I6666&gt;J6666,"Y","N")</f>
        <v>Y</v>
      </c>
      <c r="G6666" s="3" t="s">
        <v>214</v>
      </c>
      <c r="H6666" s="3" t="s">
        <v>37</v>
      </c>
      <c r="I6666" s="4" t="n">
        <v>20</v>
      </c>
      <c r="J6666" s="4" t="n">
        <f aca="false">LEN(E6666)-LEN(SUBSTITUTE(E6666,",",""))+1</f>
        <v>6</v>
      </c>
      <c r="K6666" s="3" t="str">
        <f aca="false">IFERROR(INDEX('Teacher Lookup'!$B$2:$B$200,MATCH(A6666,'Teacher Lookup'!$A$2:$A$200,0)),"")</f>
        <v>TO Lorraine</v>
      </c>
    </row>
    <row r="6667" customFormat="false" ht="15" hidden="false" customHeight="false" outlineLevel="0" collapsed="false">
      <c r="A6667" s="3" t="s">
        <v>475</v>
      </c>
      <c r="B6667" s="4" t="s">
        <v>63</v>
      </c>
      <c r="C6667" s="4" t="n">
        <v>5</v>
      </c>
      <c r="D6667" s="4" t="s">
        <v>78</v>
      </c>
      <c r="E6667" s="3" t="s">
        <v>213</v>
      </c>
      <c r="F6667" s="4" t="str">
        <f aca="false">IF(I6667&gt;J6667,"Y","N")</f>
        <v>Y</v>
      </c>
      <c r="G6667" s="3" t="s">
        <v>214</v>
      </c>
      <c r="H6667" s="3" t="s">
        <v>37</v>
      </c>
      <c r="I6667" s="4" t="n">
        <v>20</v>
      </c>
      <c r="J6667" s="4" t="n">
        <f aca="false">LEN(E6667)-LEN(SUBSTITUTE(E6667,",",""))+1</f>
        <v>6</v>
      </c>
      <c r="K6667" s="3" t="str">
        <f aca="false">IFERROR(INDEX('Teacher Lookup'!$B$2:$B$200,MATCH(A6667,'Teacher Lookup'!$A$2:$A$200,0)),"")</f>
        <v>TO Lorraine</v>
      </c>
    </row>
    <row r="6668" customFormat="false" ht="15" hidden="false" customHeight="false" outlineLevel="0" collapsed="false">
      <c r="A6668" s="3" t="s">
        <v>475</v>
      </c>
      <c r="B6668" s="4" t="s">
        <v>63</v>
      </c>
      <c r="C6668" s="4" t="n">
        <v>5</v>
      </c>
      <c r="D6668" s="4" t="s">
        <v>79</v>
      </c>
      <c r="E6668" s="3" t="s">
        <v>213</v>
      </c>
      <c r="F6668" s="4" t="str">
        <f aca="false">IF(I6668&gt;J6668,"Y","N")</f>
        <v>Y</v>
      </c>
      <c r="G6668" s="3" t="s">
        <v>214</v>
      </c>
      <c r="H6668" s="3" t="s">
        <v>37</v>
      </c>
      <c r="I6668" s="4" t="n">
        <v>20</v>
      </c>
      <c r="J6668" s="4" t="n">
        <f aca="false">LEN(E6668)-LEN(SUBSTITUTE(E6668,",",""))+1</f>
        <v>6</v>
      </c>
      <c r="K6668" s="3" t="str">
        <f aca="false">IFERROR(INDEX('Teacher Lookup'!$B$2:$B$200,MATCH(A6668,'Teacher Lookup'!$A$2:$A$200,0)),"")</f>
        <v>TO Lorraine</v>
      </c>
    </row>
    <row r="6669" customFormat="false" ht="15" hidden="false" customHeight="false" outlineLevel="0" collapsed="false">
      <c r="A6669" s="3" t="s">
        <v>475</v>
      </c>
      <c r="B6669" s="4" t="s">
        <v>63</v>
      </c>
      <c r="C6669" s="4" t="n">
        <v>6</v>
      </c>
      <c r="D6669" s="4" t="s">
        <v>24</v>
      </c>
      <c r="E6669" s="3" t="s">
        <v>86</v>
      </c>
      <c r="F6669" s="4" t="str">
        <f aca="false">IF(I6669&gt;J6669,"Y","N")</f>
        <v>N</v>
      </c>
      <c r="G6669" s="3" t="s">
        <v>164</v>
      </c>
      <c r="H6669" s="3" t="s">
        <v>42</v>
      </c>
      <c r="I6669" s="4" t="n">
        <v>3</v>
      </c>
      <c r="J6669" s="4" t="n">
        <f aca="false">LEN(E6669)-LEN(SUBSTITUTE(E6669,",",""))+1</f>
        <v>3</v>
      </c>
      <c r="K6669" s="3" t="str">
        <f aca="false">IFERROR(INDEX('Teacher Lookup'!$B$2:$B$200,MATCH(A6669,'Teacher Lookup'!$A$2:$A$200,0)),"")</f>
        <v>TO Lorraine</v>
      </c>
    </row>
    <row r="6670" customFormat="false" ht="15" hidden="false" customHeight="false" outlineLevel="0" collapsed="false">
      <c r="A6670" s="3" t="s">
        <v>475</v>
      </c>
      <c r="B6670" s="4" t="s">
        <v>63</v>
      </c>
      <c r="C6670" s="4" t="n">
        <v>6</v>
      </c>
      <c r="D6670" s="4" t="s">
        <v>27</v>
      </c>
      <c r="E6670" s="3" t="s">
        <v>86</v>
      </c>
      <c r="F6670" s="4" t="str">
        <f aca="false">IF(I6670&gt;J6670,"Y","N")</f>
        <v>N</v>
      </c>
      <c r="G6670" s="3" t="s">
        <v>164</v>
      </c>
      <c r="H6670" s="3" t="s">
        <v>42</v>
      </c>
      <c r="I6670" s="4" t="n">
        <v>3</v>
      </c>
      <c r="J6670" s="4" t="n">
        <f aca="false">LEN(E6670)-LEN(SUBSTITUTE(E6670,",",""))+1</f>
        <v>3</v>
      </c>
      <c r="K6670" s="3" t="str">
        <f aca="false">IFERROR(INDEX('Teacher Lookup'!$B$2:$B$200,MATCH(A6670,'Teacher Lookup'!$A$2:$A$200,0)),"")</f>
        <v>TO Lorraine</v>
      </c>
    </row>
    <row r="6671" customFormat="false" ht="15" hidden="false" customHeight="false" outlineLevel="0" collapsed="false">
      <c r="A6671" s="3" t="s">
        <v>475</v>
      </c>
      <c r="B6671" s="4" t="s">
        <v>63</v>
      </c>
      <c r="C6671" s="4" t="n">
        <v>7</v>
      </c>
      <c r="D6671" s="4" t="s">
        <v>24</v>
      </c>
      <c r="E6671" s="3" t="s">
        <v>86</v>
      </c>
      <c r="F6671" s="4" t="str">
        <f aca="false">IF(I6671&gt;J6671,"Y","N")</f>
        <v>N</v>
      </c>
      <c r="G6671" s="3" t="s">
        <v>164</v>
      </c>
      <c r="H6671" s="3" t="s">
        <v>39</v>
      </c>
      <c r="I6671" s="4" t="n">
        <v>3</v>
      </c>
      <c r="J6671" s="4" t="n">
        <f aca="false">LEN(E6671)-LEN(SUBSTITUTE(E6671,",",""))+1</f>
        <v>3</v>
      </c>
      <c r="K6671" s="3" t="str">
        <f aca="false">IFERROR(INDEX('Teacher Lookup'!$B$2:$B$200,MATCH(A6671,'Teacher Lookup'!$A$2:$A$200,0)),"")</f>
        <v>TO Lorraine</v>
      </c>
    </row>
    <row r="6672" customFormat="false" ht="15" hidden="false" customHeight="false" outlineLevel="0" collapsed="false">
      <c r="A6672" s="3" t="s">
        <v>475</v>
      </c>
      <c r="B6672" s="4" t="s">
        <v>63</v>
      </c>
      <c r="C6672" s="4" t="n">
        <v>7</v>
      </c>
      <c r="D6672" s="4" t="s">
        <v>27</v>
      </c>
      <c r="E6672" s="3" t="s">
        <v>86</v>
      </c>
      <c r="F6672" s="4" t="str">
        <f aca="false">IF(I6672&gt;J6672,"Y","N")</f>
        <v>N</v>
      </c>
      <c r="G6672" s="3" t="s">
        <v>164</v>
      </c>
      <c r="H6672" s="3" t="s">
        <v>39</v>
      </c>
      <c r="I6672" s="4" t="n">
        <v>3</v>
      </c>
      <c r="J6672" s="4" t="n">
        <f aca="false">LEN(E6672)-LEN(SUBSTITUTE(E6672,",",""))+1</f>
        <v>3</v>
      </c>
      <c r="K6672" s="3" t="str">
        <f aca="false">IFERROR(INDEX('Teacher Lookup'!$B$2:$B$200,MATCH(A6672,'Teacher Lookup'!$A$2:$A$200,0)),"")</f>
        <v>TO Lorraine</v>
      </c>
    </row>
    <row r="6673" customFormat="false" ht="15" hidden="false" customHeight="false" outlineLevel="0" collapsed="false">
      <c r="A6673" s="3" t="s">
        <v>475</v>
      </c>
      <c r="B6673" s="4" t="s">
        <v>65</v>
      </c>
      <c r="C6673" s="4" t="n">
        <v>1</v>
      </c>
      <c r="D6673" s="4" t="s">
        <v>24</v>
      </c>
      <c r="E6673" s="3" t="s">
        <v>408</v>
      </c>
      <c r="F6673" s="4" t="str">
        <f aca="false">IF(I6673&gt;J6673,"Y","N")</f>
        <v>N</v>
      </c>
      <c r="G6673" s="3" t="s">
        <v>164</v>
      </c>
      <c r="H6673" s="3" t="s">
        <v>16</v>
      </c>
      <c r="I6673" s="4" t="n">
        <v>3</v>
      </c>
      <c r="J6673" s="4" t="n">
        <f aca="false">LEN(E6673)-LEN(SUBSTITUTE(E6673,",",""))+1</f>
        <v>3</v>
      </c>
      <c r="K6673" s="3" t="str">
        <f aca="false">IFERROR(INDEX('Teacher Lookup'!$B$2:$B$200,MATCH(A6673,'Teacher Lookup'!$A$2:$A$200,0)),"")</f>
        <v>TO Lorraine</v>
      </c>
    </row>
    <row r="6674" customFormat="false" ht="15" hidden="false" customHeight="false" outlineLevel="0" collapsed="false">
      <c r="A6674" s="3" t="s">
        <v>475</v>
      </c>
      <c r="B6674" s="4" t="s">
        <v>65</v>
      </c>
      <c r="C6674" s="4" t="n">
        <v>1</v>
      </c>
      <c r="D6674" s="4" t="s">
        <v>27</v>
      </c>
      <c r="E6674" s="3" t="s">
        <v>408</v>
      </c>
      <c r="F6674" s="4" t="str">
        <f aca="false">IF(I6674&gt;J6674,"Y","N")</f>
        <v>N</v>
      </c>
      <c r="G6674" s="3" t="s">
        <v>164</v>
      </c>
      <c r="H6674" s="3" t="s">
        <v>16</v>
      </c>
      <c r="I6674" s="4" t="n">
        <v>3</v>
      </c>
      <c r="J6674" s="4" t="n">
        <f aca="false">LEN(E6674)-LEN(SUBSTITUTE(E6674,",",""))+1</f>
        <v>3</v>
      </c>
      <c r="K6674" s="3" t="str">
        <f aca="false">IFERROR(INDEX('Teacher Lookup'!$B$2:$B$200,MATCH(A6674,'Teacher Lookup'!$A$2:$A$200,0)),"")</f>
        <v>TO Lorraine</v>
      </c>
    </row>
    <row r="6675" customFormat="false" ht="15" hidden="false" customHeight="false" outlineLevel="0" collapsed="false">
      <c r="A6675" s="3" t="s">
        <v>475</v>
      </c>
      <c r="B6675" s="4" t="s">
        <v>65</v>
      </c>
      <c r="C6675" s="4" t="n">
        <v>3</v>
      </c>
      <c r="D6675" s="4" t="s">
        <v>102</v>
      </c>
      <c r="E6675" s="3" t="s">
        <v>468</v>
      </c>
      <c r="F6675" s="4" t="str">
        <f aca="false">IF(I6675&gt;J6675,"Y","N")</f>
        <v>N</v>
      </c>
      <c r="G6675" s="3" t="s">
        <v>466</v>
      </c>
      <c r="H6675" s="3" t="s">
        <v>26</v>
      </c>
      <c r="I6675" s="4" t="n">
        <v>4</v>
      </c>
      <c r="J6675" s="4" t="n">
        <f aca="false">LEN(E6675)-LEN(SUBSTITUTE(E6675,",",""))+1</f>
        <v>4</v>
      </c>
      <c r="K6675" s="3" t="str">
        <f aca="false">IFERROR(INDEX('Teacher Lookup'!$B$2:$B$200,MATCH(A6675,'Teacher Lookup'!$A$2:$A$200,0)),"")</f>
        <v>TO Lorraine</v>
      </c>
    </row>
    <row r="6676" customFormat="false" ht="15" hidden="false" customHeight="false" outlineLevel="0" collapsed="false">
      <c r="A6676" s="3" t="s">
        <v>475</v>
      </c>
      <c r="B6676" s="4" t="s">
        <v>65</v>
      </c>
      <c r="C6676" s="4" t="n">
        <v>3</v>
      </c>
      <c r="D6676" s="4" t="s">
        <v>107</v>
      </c>
      <c r="E6676" s="3" t="s">
        <v>468</v>
      </c>
      <c r="F6676" s="4" t="str">
        <f aca="false">IF(I6676&gt;J6676,"Y","N")</f>
        <v>N</v>
      </c>
      <c r="G6676" s="3" t="s">
        <v>466</v>
      </c>
      <c r="H6676" s="3" t="s">
        <v>26</v>
      </c>
      <c r="I6676" s="4" t="n">
        <v>4</v>
      </c>
      <c r="J6676" s="4" t="n">
        <f aca="false">LEN(E6676)-LEN(SUBSTITUTE(E6676,",",""))+1</f>
        <v>4</v>
      </c>
      <c r="K6676" s="3" t="str">
        <f aca="false">IFERROR(INDEX('Teacher Lookup'!$B$2:$B$200,MATCH(A6676,'Teacher Lookup'!$A$2:$A$200,0)),"")</f>
        <v>TO Lorraine</v>
      </c>
    </row>
    <row r="6677" customFormat="false" ht="15" hidden="false" customHeight="false" outlineLevel="0" collapsed="false">
      <c r="A6677" s="3" t="s">
        <v>475</v>
      </c>
      <c r="B6677" s="4" t="s">
        <v>65</v>
      </c>
      <c r="C6677" s="4" t="n">
        <v>5</v>
      </c>
      <c r="D6677" s="4" t="s">
        <v>19</v>
      </c>
      <c r="E6677" s="3" t="s">
        <v>35</v>
      </c>
      <c r="F6677" s="4" t="str">
        <f aca="false">IF(I6677&gt;J6677,"Y","N")</f>
        <v>Y</v>
      </c>
      <c r="G6677" s="3" t="s">
        <v>36</v>
      </c>
      <c r="H6677" s="3" t="s">
        <v>37</v>
      </c>
      <c r="I6677" s="4" t="n">
        <v>17</v>
      </c>
      <c r="J6677" s="4" t="n">
        <f aca="false">LEN(E6677)-LEN(SUBSTITUTE(E6677,",",""))+1</f>
        <v>7</v>
      </c>
      <c r="K6677" s="3" t="str">
        <f aca="false">IFERROR(INDEX('Teacher Lookup'!$B$2:$B$200,MATCH(A6677,'Teacher Lookup'!$A$2:$A$200,0)),"")</f>
        <v>TO Lorraine</v>
      </c>
    </row>
    <row r="6678" customFormat="false" ht="15" hidden="false" customHeight="false" outlineLevel="0" collapsed="false">
      <c r="A6678" s="3" t="s">
        <v>475</v>
      </c>
      <c r="B6678" s="4" t="s">
        <v>65</v>
      </c>
      <c r="C6678" s="4" t="n">
        <v>5</v>
      </c>
      <c r="D6678" s="4" t="s">
        <v>22</v>
      </c>
      <c r="E6678" s="3" t="s">
        <v>35</v>
      </c>
      <c r="F6678" s="4" t="str">
        <f aca="false">IF(I6678&gt;J6678,"Y","N")</f>
        <v>Y</v>
      </c>
      <c r="G6678" s="3" t="s">
        <v>36</v>
      </c>
      <c r="H6678" s="3" t="s">
        <v>37</v>
      </c>
      <c r="I6678" s="4" t="n">
        <v>17</v>
      </c>
      <c r="J6678" s="4" t="n">
        <f aca="false">LEN(E6678)-LEN(SUBSTITUTE(E6678,",",""))+1</f>
        <v>7</v>
      </c>
      <c r="K6678" s="3" t="str">
        <f aca="false">IFERROR(INDEX('Teacher Lookup'!$B$2:$B$200,MATCH(A6678,'Teacher Lookup'!$A$2:$A$200,0)),"")</f>
        <v>TO Lorraine</v>
      </c>
    </row>
    <row r="6679" customFormat="false" ht="15" hidden="false" customHeight="false" outlineLevel="0" collapsed="false">
      <c r="A6679" s="3" t="s">
        <v>475</v>
      </c>
      <c r="B6679" s="4" t="s">
        <v>65</v>
      </c>
      <c r="C6679" s="4" t="n">
        <v>5</v>
      </c>
      <c r="D6679" s="4" t="s">
        <v>23</v>
      </c>
      <c r="E6679" s="3" t="s">
        <v>35</v>
      </c>
      <c r="F6679" s="4" t="str">
        <f aca="false">IF(I6679&gt;J6679,"Y","N")</f>
        <v>Y</v>
      </c>
      <c r="G6679" s="3" t="s">
        <v>36</v>
      </c>
      <c r="H6679" s="3" t="s">
        <v>37</v>
      </c>
      <c r="I6679" s="4" t="n">
        <v>17</v>
      </c>
      <c r="J6679" s="4" t="n">
        <f aca="false">LEN(E6679)-LEN(SUBSTITUTE(E6679,",",""))+1</f>
        <v>7</v>
      </c>
      <c r="K6679" s="3" t="str">
        <f aca="false">IFERROR(INDEX('Teacher Lookup'!$B$2:$B$200,MATCH(A6679,'Teacher Lookup'!$A$2:$A$200,0)),"")</f>
        <v>TO Lorraine</v>
      </c>
    </row>
    <row r="6680" customFormat="false" ht="15" hidden="false" customHeight="false" outlineLevel="0" collapsed="false">
      <c r="A6680" s="3" t="s">
        <v>475</v>
      </c>
      <c r="B6680" s="4" t="s">
        <v>65</v>
      </c>
      <c r="C6680" s="4" t="n">
        <v>5</v>
      </c>
      <c r="D6680" s="4" t="s">
        <v>13</v>
      </c>
      <c r="E6680" s="3" t="s">
        <v>35</v>
      </c>
      <c r="F6680" s="4" t="str">
        <f aca="false">IF(I6680&gt;J6680,"Y","N")</f>
        <v>Y</v>
      </c>
      <c r="G6680" s="3" t="s">
        <v>36</v>
      </c>
      <c r="H6680" s="3" t="s">
        <v>37</v>
      </c>
      <c r="I6680" s="4" t="n">
        <v>17</v>
      </c>
      <c r="J6680" s="4" t="n">
        <f aca="false">LEN(E6680)-LEN(SUBSTITUTE(E6680,",",""))+1</f>
        <v>7</v>
      </c>
      <c r="K6680" s="3" t="str">
        <f aca="false">IFERROR(INDEX('Teacher Lookup'!$B$2:$B$200,MATCH(A6680,'Teacher Lookup'!$A$2:$A$200,0)),"")</f>
        <v>TO Lorraine</v>
      </c>
    </row>
    <row r="6681" customFormat="false" ht="15" hidden="false" customHeight="false" outlineLevel="0" collapsed="false">
      <c r="A6681" s="3" t="s">
        <v>475</v>
      </c>
      <c r="B6681" s="4" t="s">
        <v>65</v>
      </c>
      <c r="C6681" s="4" t="n">
        <v>5</v>
      </c>
      <c r="D6681" s="4" t="s">
        <v>17</v>
      </c>
      <c r="E6681" s="3" t="s">
        <v>35</v>
      </c>
      <c r="F6681" s="4" t="str">
        <f aca="false">IF(I6681&gt;J6681,"Y","N")</f>
        <v>Y</v>
      </c>
      <c r="G6681" s="3" t="s">
        <v>36</v>
      </c>
      <c r="H6681" s="3" t="s">
        <v>37</v>
      </c>
      <c r="I6681" s="4" t="n">
        <v>17</v>
      </c>
      <c r="J6681" s="4" t="n">
        <f aca="false">LEN(E6681)-LEN(SUBSTITUTE(E6681,",",""))+1</f>
        <v>7</v>
      </c>
      <c r="K6681" s="3" t="str">
        <f aca="false">IFERROR(INDEX('Teacher Lookup'!$B$2:$B$200,MATCH(A6681,'Teacher Lookup'!$A$2:$A$200,0)),"")</f>
        <v>TO Lorraine</v>
      </c>
    </row>
    <row r="6682" customFormat="false" ht="15" hidden="false" customHeight="false" outlineLevel="0" collapsed="false">
      <c r="A6682" s="3" t="s">
        <v>475</v>
      </c>
      <c r="B6682" s="4" t="s">
        <v>65</v>
      </c>
      <c r="C6682" s="4" t="n">
        <v>5</v>
      </c>
      <c r="D6682" s="4" t="s">
        <v>18</v>
      </c>
      <c r="E6682" s="3" t="s">
        <v>35</v>
      </c>
      <c r="F6682" s="4" t="str">
        <f aca="false">IF(I6682&gt;J6682,"Y","N")</f>
        <v>Y</v>
      </c>
      <c r="G6682" s="3" t="s">
        <v>36</v>
      </c>
      <c r="H6682" s="3" t="s">
        <v>37</v>
      </c>
      <c r="I6682" s="4" t="n">
        <v>17</v>
      </c>
      <c r="J6682" s="4" t="n">
        <f aca="false">LEN(E6682)-LEN(SUBSTITUTE(E6682,",",""))+1</f>
        <v>7</v>
      </c>
      <c r="K6682" s="3" t="str">
        <f aca="false">IFERROR(INDEX('Teacher Lookup'!$B$2:$B$200,MATCH(A6682,'Teacher Lookup'!$A$2:$A$200,0)),"")</f>
        <v>TO Lorraine</v>
      </c>
    </row>
    <row r="6683" customFormat="false" ht="15" hidden="false" customHeight="false" outlineLevel="0" collapsed="false">
      <c r="A6683" s="3" t="s">
        <v>475</v>
      </c>
      <c r="B6683" s="4" t="s">
        <v>66</v>
      </c>
      <c r="C6683" s="4" t="n">
        <v>4</v>
      </c>
      <c r="D6683" s="4" t="s">
        <v>102</v>
      </c>
      <c r="E6683" s="3" t="s">
        <v>472</v>
      </c>
      <c r="F6683" s="4" t="str">
        <f aca="false">IF(I6683&gt;J6683,"Y","N")</f>
        <v>N</v>
      </c>
      <c r="G6683" s="3" t="s">
        <v>466</v>
      </c>
      <c r="H6683" s="3" t="s">
        <v>34</v>
      </c>
      <c r="I6683" s="4" t="n">
        <v>4</v>
      </c>
      <c r="J6683" s="4" t="n">
        <f aca="false">LEN(E6683)-LEN(SUBSTITUTE(E6683,",",""))+1</f>
        <v>4</v>
      </c>
      <c r="K6683" s="3" t="str">
        <f aca="false">IFERROR(INDEX('Teacher Lookup'!$B$2:$B$200,MATCH(A6683,'Teacher Lookup'!$A$2:$A$200,0)),"")</f>
        <v>TO Lorraine</v>
      </c>
    </row>
    <row r="6684" customFormat="false" ht="15" hidden="false" customHeight="false" outlineLevel="0" collapsed="false">
      <c r="A6684" s="3" t="s">
        <v>475</v>
      </c>
      <c r="B6684" s="4" t="s">
        <v>66</v>
      </c>
      <c r="C6684" s="4" t="n">
        <v>4</v>
      </c>
      <c r="D6684" s="4" t="s">
        <v>107</v>
      </c>
      <c r="E6684" s="3" t="s">
        <v>472</v>
      </c>
      <c r="F6684" s="4" t="str">
        <f aca="false">IF(I6684&gt;J6684,"Y","N")</f>
        <v>N</v>
      </c>
      <c r="G6684" s="3" t="s">
        <v>466</v>
      </c>
      <c r="H6684" s="3" t="s">
        <v>34</v>
      </c>
      <c r="I6684" s="4" t="n">
        <v>4</v>
      </c>
      <c r="J6684" s="4" t="n">
        <f aca="false">LEN(E6684)-LEN(SUBSTITUTE(E6684,",",""))+1</f>
        <v>4</v>
      </c>
      <c r="K6684" s="3" t="str">
        <f aca="false">IFERROR(INDEX('Teacher Lookup'!$B$2:$B$200,MATCH(A6684,'Teacher Lookup'!$A$2:$A$200,0)),"")</f>
        <v>TO Lorraine</v>
      </c>
    </row>
    <row r="6685" customFormat="false" ht="15" hidden="false" customHeight="false" outlineLevel="0" collapsed="false">
      <c r="A6685" s="3" t="s">
        <v>475</v>
      </c>
      <c r="B6685" s="4" t="s">
        <v>66</v>
      </c>
      <c r="C6685" s="4" t="n">
        <v>7</v>
      </c>
      <c r="D6685" s="4" t="s">
        <v>24</v>
      </c>
      <c r="E6685" s="3" t="s">
        <v>413</v>
      </c>
      <c r="F6685" s="4" t="str">
        <f aca="false">IF(I6685&gt;J6685,"Y","N")</f>
        <v>N</v>
      </c>
      <c r="G6685" s="3" t="s">
        <v>164</v>
      </c>
      <c r="H6685" s="3" t="s">
        <v>39</v>
      </c>
      <c r="I6685" s="4" t="n">
        <v>3</v>
      </c>
      <c r="J6685" s="4" t="n">
        <f aca="false">LEN(E6685)-LEN(SUBSTITUTE(E6685,",",""))+1</f>
        <v>3</v>
      </c>
      <c r="K6685" s="3" t="str">
        <f aca="false">IFERROR(INDEX('Teacher Lookup'!$B$2:$B$200,MATCH(A6685,'Teacher Lookup'!$A$2:$A$200,0)),"")</f>
        <v>TO Lorraine</v>
      </c>
    </row>
    <row r="6686" customFormat="false" ht="15" hidden="false" customHeight="false" outlineLevel="0" collapsed="false">
      <c r="A6686" s="3" t="s">
        <v>475</v>
      </c>
      <c r="B6686" s="4" t="s">
        <v>66</v>
      </c>
      <c r="C6686" s="4" t="n">
        <v>7</v>
      </c>
      <c r="D6686" s="4" t="s">
        <v>27</v>
      </c>
      <c r="E6686" s="3" t="s">
        <v>413</v>
      </c>
      <c r="F6686" s="4" t="str">
        <f aca="false">IF(I6686&gt;J6686,"Y","N")</f>
        <v>N</v>
      </c>
      <c r="G6686" s="3" t="s">
        <v>164</v>
      </c>
      <c r="H6686" s="3" t="s">
        <v>39</v>
      </c>
      <c r="I6686" s="4" t="n">
        <v>3</v>
      </c>
      <c r="J6686" s="4" t="n">
        <f aca="false">LEN(E6686)-LEN(SUBSTITUTE(E6686,",",""))+1</f>
        <v>3</v>
      </c>
      <c r="K6686" s="3" t="str">
        <f aca="false">IFERROR(INDEX('Teacher Lookup'!$B$2:$B$200,MATCH(A6686,'Teacher Lookup'!$A$2:$A$200,0)),"")</f>
        <v>TO Lorraine</v>
      </c>
    </row>
    <row r="6687" customFormat="false" ht="15" hidden="false" customHeight="false" outlineLevel="0" collapsed="false">
      <c r="A6687" s="3" t="s">
        <v>476</v>
      </c>
      <c r="B6687" s="4" t="s">
        <v>12</v>
      </c>
      <c r="C6687" s="4" t="n">
        <v>1</v>
      </c>
      <c r="D6687" s="4" t="s">
        <v>19</v>
      </c>
      <c r="E6687" s="3" t="s">
        <v>322</v>
      </c>
      <c r="F6687" s="4" t="str">
        <f aca="false">IF(I6687&gt;J6687,"Y","N")</f>
        <v>N</v>
      </c>
      <c r="G6687" s="3" t="s">
        <v>72</v>
      </c>
      <c r="H6687" s="3" t="s">
        <v>16</v>
      </c>
      <c r="I6687" s="4" t="n">
        <v>4</v>
      </c>
      <c r="J6687" s="4" t="n">
        <f aca="false">LEN(E6687)-LEN(SUBSTITUTE(E6687,",",""))+1</f>
        <v>4</v>
      </c>
      <c r="K6687" s="3" t="str">
        <f aca="false">IFERROR(INDEX('Teacher Lookup'!$B$2:$B$200,MATCH(A6687,'Teacher Lookup'!$A$2:$A$200,0)),"")</f>
        <v>YAM Lydia</v>
      </c>
    </row>
    <row r="6688" customFormat="false" ht="15" hidden="false" customHeight="false" outlineLevel="0" collapsed="false">
      <c r="A6688" s="3" t="s">
        <v>476</v>
      </c>
      <c r="B6688" s="4" t="s">
        <v>12</v>
      </c>
      <c r="C6688" s="4" t="n">
        <v>1</v>
      </c>
      <c r="D6688" s="4" t="s">
        <v>22</v>
      </c>
      <c r="E6688" s="3" t="s">
        <v>322</v>
      </c>
      <c r="F6688" s="4" t="str">
        <f aca="false">IF(I6688&gt;J6688,"Y","N")</f>
        <v>N</v>
      </c>
      <c r="G6688" s="3" t="s">
        <v>72</v>
      </c>
      <c r="H6688" s="3" t="s">
        <v>16</v>
      </c>
      <c r="I6688" s="4" t="n">
        <v>4</v>
      </c>
      <c r="J6688" s="4" t="n">
        <f aca="false">LEN(E6688)-LEN(SUBSTITUTE(E6688,",",""))+1</f>
        <v>4</v>
      </c>
      <c r="K6688" s="3" t="str">
        <f aca="false">IFERROR(INDEX('Teacher Lookup'!$B$2:$B$200,MATCH(A6688,'Teacher Lookup'!$A$2:$A$200,0)),"")</f>
        <v>YAM Lydia</v>
      </c>
    </row>
    <row r="6689" customFormat="false" ht="15" hidden="false" customHeight="false" outlineLevel="0" collapsed="false">
      <c r="A6689" s="3" t="s">
        <v>476</v>
      </c>
      <c r="B6689" s="4" t="s">
        <v>12</v>
      </c>
      <c r="C6689" s="4" t="n">
        <v>1</v>
      </c>
      <c r="D6689" s="4" t="s">
        <v>23</v>
      </c>
      <c r="E6689" s="3" t="s">
        <v>322</v>
      </c>
      <c r="F6689" s="4" t="str">
        <f aca="false">IF(I6689&gt;J6689,"Y","N")</f>
        <v>N</v>
      </c>
      <c r="G6689" s="3" t="s">
        <v>72</v>
      </c>
      <c r="H6689" s="3" t="s">
        <v>16</v>
      </c>
      <c r="I6689" s="4" t="n">
        <v>4</v>
      </c>
      <c r="J6689" s="4" t="n">
        <f aca="false">LEN(E6689)-LEN(SUBSTITUTE(E6689,",",""))+1</f>
        <v>4</v>
      </c>
      <c r="K6689" s="3" t="str">
        <f aca="false">IFERROR(INDEX('Teacher Lookup'!$B$2:$B$200,MATCH(A6689,'Teacher Lookup'!$A$2:$A$200,0)),"")</f>
        <v>YAM Lydia</v>
      </c>
    </row>
    <row r="6690" customFormat="false" ht="15" hidden="false" customHeight="false" outlineLevel="0" collapsed="false">
      <c r="A6690" s="3" t="s">
        <v>476</v>
      </c>
      <c r="B6690" s="4" t="s">
        <v>12</v>
      </c>
      <c r="C6690" s="4" t="n">
        <v>3</v>
      </c>
      <c r="D6690" s="4" t="s">
        <v>13</v>
      </c>
      <c r="E6690" s="3" t="s">
        <v>323</v>
      </c>
      <c r="F6690" s="4" t="str">
        <f aca="false">IF(I6690&gt;J6690,"Y","N")</f>
        <v>N</v>
      </c>
      <c r="G6690" s="3" t="s">
        <v>72</v>
      </c>
      <c r="H6690" s="3" t="s">
        <v>26</v>
      </c>
      <c r="I6690" s="4" t="n">
        <v>4</v>
      </c>
      <c r="J6690" s="4" t="n">
        <f aca="false">LEN(E6690)-LEN(SUBSTITUTE(E6690,",",""))+1</f>
        <v>4</v>
      </c>
      <c r="K6690" s="3" t="str">
        <f aca="false">IFERROR(INDEX('Teacher Lookup'!$B$2:$B$200,MATCH(A6690,'Teacher Lookup'!$A$2:$A$200,0)),"")</f>
        <v>YAM Lydia</v>
      </c>
    </row>
    <row r="6691" customFormat="false" ht="15" hidden="false" customHeight="false" outlineLevel="0" collapsed="false">
      <c r="A6691" s="3" t="s">
        <v>476</v>
      </c>
      <c r="B6691" s="4" t="s">
        <v>12</v>
      </c>
      <c r="C6691" s="4" t="n">
        <v>3</v>
      </c>
      <c r="D6691" s="4" t="s">
        <v>17</v>
      </c>
      <c r="E6691" s="3" t="s">
        <v>323</v>
      </c>
      <c r="F6691" s="4" t="str">
        <f aca="false">IF(I6691&gt;J6691,"Y","N")</f>
        <v>N</v>
      </c>
      <c r="G6691" s="3" t="s">
        <v>72</v>
      </c>
      <c r="H6691" s="3" t="s">
        <v>26</v>
      </c>
      <c r="I6691" s="4" t="n">
        <v>4</v>
      </c>
      <c r="J6691" s="4" t="n">
        <f aca="false">LEN(E6691)-LEN(SUBSTITUTE(E6691,",",""))+1</f>
        <v>4</v>
      </c>
      <c r="K6691" s="3" t="str">
        <f aca="false">IFERROR(INDEX('Teacher Lookup'!$B$2:$B$200,MATCH(A6691,'Teacher Lookup'!$A$2:$A$200,0)),"")</f>
        <v>YAM Lydia</v>
      </c>
    </row>
    <row r="6692" customFormat="false" ht="15" hidden="false" customHeight="false" outlineLevel="0" collapsed="false">
      <c r="A6692" s="3" t="s">
        <v>476</v>
      </c>
      <c r="B6692" s="4" t="s">
        <v>12</v>
      </c>
      <c r="C6692" s="4" t="n">
        <v>3</v>
      </c>
      <c r="D6692" s="4" t="s">
        <v>18</v>
      </c>
      <c r="E6692" s="3" t="s">
        <v>323</v>
      </c>
      <c r="F6692" s="4" t="str">
        <f aca="false">IF(I6692&gt;J6692,"Y","N")</f>
        <v>N</v>
      </c>
      <c r="G6692" s="3" t="s">
        <v>72</v>
      </c>
      <c r="H6692" s="3" t="s">
        <v>26</v>
      </c>
      <c r="I6692" s="4" t="n">
        <v>4</v>
      </c>
      <c r="J6692" s="4" t="n">
        <f aca="false">LEN(E6692)-LEN(SUBSTITUTE(E6692,",",""))+1</f>
        <v>4</v>
      </c>
      <c r="K6692" s="3" t="str">
        <f aca="false">IFERROR(INDEX('Teacher Lookup'!$B$2:$B$200,MATCH(A6692,'Teacher Lookup'!$A$2:$A$200,0)),"")</f>
        <v>YAM Lydia</v>
      </c>
    </row>
    <row r="6693" customFormat="false" ht="15" hidden="false" customHeight="false" outlineLevel="0" collapsed="false">
      <c r="A6693" s="3" t="s">
        <v>476</v>
      </c>
      <c r="B6693" s="4" t="s">
        <v>12</v>
      </c>
      <c r="C6693" s="4" t="n">
        <v>5</v>
      </c>
      <c r="D6693" s="4" t="s">
        <v>28</v>
      </c>
      <c r="E6693" s="3" t="s">
        <v>143</v>
      </c>
      <c r="F6693" s="4" t="str">
        <f aca="false">IF(I6693&gt;J6693,"Y","N")</f>
        <v>N</v>
      </c>
      <c r="G6693" s="3" t="s">
        <v>72</v>
      </c>
      <c r="H6693" s="3" t="s">
        <v>37</v>
      </c>
      <c r="I6693" s="4" t="n">
        <v>4</v>
      </c>
      <c r="J6693" s="4" t="n">
        <f aca="false">LEN(E6693)-LEN(SUBSTITUTE(E6693,",",""))+1</f>
        <v>4</v>
      </c>
      <c r="K6693" s="3" t="str">
        <f aca="false">IFERROR(INDEX('Teacher Lookup'!$B$2:$B$200,MATCH(A6693,'Teacher Lookup'!$A$2:$A$200,0)),"")</f>
        <v>YAM Lydia</v>
      </c>
    </row>
    <row r="6694" customFormat="false" ht="15" hidden="false" customHeight="false" outlineLevel="0" collapsed="false">
      <c r="A6694" s="3" t="s">
        <v>476</v>
      </c>
      <c r="B6694" s="4" t="s">
        <v>12</v>
      </c>
      <c r="C6694" s="4" t="n">
        <v>5</v>
      </c>
      <c r="D6694" s="4" t="s">
        <v>29</v>
      </c>
      <c r="E6694" s="3" t="s">
        <v>143</v>
      </c>
      <c r="F6694" s="4" t="str">
        <f aca="false">IF(I6694&gt;J6694,"Y","N")</f>
        <v>N</v>
      </c>
      <c r="G6694" s="3" t="s">
        <v>72</v>
      </c>
      <c r="H6694" s="3" t="s">
        <v>37</v>
      </c>
      <c r="I6694" s="4" t="n">
        <v>4</v>
      </c>
      <c r="J6694" s="4" t="n">
        <f aca="false">LEN(E6694)-LEN(SUBSTITUTE(E6694,",",""))+1</f>
        <v>4</v>
      </c>
      <c r="K6694" s="3" t="str">
        <f aca="false">IFERROR(INDEX('Teacher Lookup'!$B$2:$B$200,MATCH(A6694,'Teacher Lookup'!$A$2:$A$200,0)),"")</f>
        <v>YAM Lydia</v>
      </c>
    </row>
    <row r="6695" customFormat="false" ht="15" hidden="false" customHeight="false" outlineLevel="0" collapsed="false">
      <c r="A6695" s="3" t="s">
        <v>476</v>
      </c>
      <c r="B6695" s="4" t="s">
        <v>12</v>
      </c>
      <c r="C6695" s="4" t="n">
        <v>5</v>
      </c>
      <c r="D6695" s="4" t="s">
        <v>30</v>
      </c>
      <c r="E6695" s="3" t="s">
        <v>143</v>
      </c>
      <c r="F6695" s="4" t="str">
        <f aca="false">IF(I6695&gt;J6695,"Y","N")</f>
        <v>N</v>
      </c>
      <c r="G6695" s="3" t="s">
        <v>72</v>
      </c>
      <c r="H6695" s="3" t="s">
        <v>37</v>
      </c>
      <c r="I6695" s="4" t="n">
        <v>4</v>
      </c>
      <c r="J6695" s="4" t="n">
        <f aca="false">LEN(E6695)-LEN(SUBSTITUTE(E6695,",",""))+1</f>
        <v>4</v>
      </c>
      <c r="K6695" s="3" t="str">
        <f aca="false">IFERROR(INDEX('Teacher Lookup'!$B$2:$B$200,MATCH(A6695,'Teacher Lookup'!$A$2:$A$200,0)),"")</f>
        <v>YAM Lydia</v>
      </c>
    </row>
    <row r="6696" customFormat="false" ht="15" hidden="false" customHeight="false" outlineLevel="0" collapsed="false">
      <c r="A6696" s="3" t="s">
        <v>476</v>
      </c>
      <c r="B6696" s="4" t="s">
        <v>31</v>
      </c>
      <c r="C6696" s="4" t="n">
        <v>3</v>
      </c>
      <c r="D6696" s="4" t="s">
        <v>19</v>
      </c>
      <c r="E6696" s="3" t="s">
        <v>326</v>
      </c>
      <c r="F6696" s="4" t="str">
        <f aca="false">IF(I6696&gt;J6696,"Y","N")</f>
        <v>N</v>
      </c>
      <c r="G6696" s="3" t="s">
        <v>72</v>
      </c>
      <c r="H6696" s="3" t="s">
        <v>26</v>
      </c>
      <c r="I6696" s="4" t="n">
        <v>4</v>
      </c>
      <c r="J6696" s="4" t="n">
        <f aca="false">LEN(E6696)-LEN(SUBSTITUTE(E6696,",",""))+1</f>
        <v>4</v>
      </c>
      <c r="K6696" s="3" t="str">
        <f aca="false">IFERROR(INDEX('Teacher Lookup'!$B$2:$B$200,MATCH(A6696,'Teacher Lookup'!$A$2:$A$200,0)),"")</f>
        <v>YAM Lydia</v>
      </c>
    </row>
    <row r="6697" customFormat="false" ht="15" hidden="false" customHeight="false" outlineLevel="0" collapsed="false">
      <c r="A6697" s="3" t="s">
        <v>476</v>
      </c>
      <c r="B6697" s="4" t="s">
        <v>31</v>
      </c>
      <c r="C6697" s="4" t="n">
        <v>3</v>
      </c>
      <c r="D6697" s="4" t="s">
        <v>22</v>
      </c>
      <c r="E6697" s="3" t="s">
        <v>326</v>
      </c>
      <c r="F6697" s="4" t="str">
        <f aca="false">IF(I6697&gt;J6697,"Y","N")</f>
        <v>N</v>
      </c>
      <c r="G6697" s="3" t="s">
        <v>72</v>
      </c>
      <c r="H6697" s="3" t="s">
        <v>26</v>
      </c>
      <c r="I6697" s="4" t="n">
        <v>4</v>
      </c>
      <c r="J6697" s="4" t="n">
        <f aca="false">LEN(E6697)-LEN(SUBSTITUTE(E6697,",",""))+1</f>
        <v>4</v>
      </c>
      <c r="K6697" s="3" t="str">
        <f aca="false">IFERROR(INDEX('Teacher Lookup'!$B$2:$B$200,MATCH(A6697,'Teacher Lookup'!$A$2:$A$200,0)),"")</f>
        <v>YAM Lydia</v>
      </c>
    </row>
    <row r="6698" customFormat="false" ht="15" hidden="false" customHeight="false" outlineLevel="0" collapsed="false">
      <c r="A6698" s="3" t="s">
        <v>476</v>
      </c>
      <c r="B6698" s="4" t="s">
        <v>31</v>
      </c>
      <c r="C6698" s="4" t="n">
        <v>3</v>
      </c>
      <c r="D6698" s="4" t="s">
        <v>23</v>
      </c>
      <c r="E6698" s="3" t="s">
        <v>326</v>
      </c>
      <c r="F6698" s="4" t="str">
        <f aca="false">IF(I6698&gt;J6698,"Y","N")</f>
        <v>N</v>
      </c>
      <c r="G6698" s="3" t="s">
        <v>72</v>
      </c>
      <c r="H6698" s="3" t="s">
        <v>26</v>
      </c>
      <c r="I6698" s="4" t="n">
        <v>4</v>
      </c>
      <c r="J6698" s="4" t="n">
        <f aca="false">LEN(E6698)-LEN(SUBSTITUTE(E6698,",",""))+1</f>
        <v>4</v>
      </c>
      <c r="K6698" s="3" t="str">
        <f aca="false">IFERROR(INDEX('Teacher Lookup'!$B$2:$B$200,MATCH(A6698,'Teacher Lookup'!$A$2:$A$200,0)),"")</f>
        <v>YAM Lydia</v>
      </c>
    </row>
    <row r="6699" customFormat="false" ht="15" hidden="false" customHeight="false" outlineLevel="0" collapsed="false">
      <c r="A6699" s="3" t="s">
        <v>476</v>
      </c>
      <c r="B6699" s="4" t="s">
        <v>31</v>
      </c>
      <c r="C6699" s="4" t="n">
        <v>4</v>
      </c>
      <c r="D6699" s="4" t="s">
        <v>28</v>
      </c>
      <c r="E6699" s="3" t="s">
        <v>145</v>
      </c>
      <c r="F6699" s="4" t="str">
        <f aca="false">IF(I6699&gt;J6699,"Y","N")</f>
        <v>N</v>
      </c>
      <c r="G6699" s="3" t="s">
        <v>72</v>
      </c>
      <c r="H6699" s="3" t="s">
        <v>34</v>
      </c>
      <c r="I6699" s="4" t="n">
        <v>4</v>
      </c>
      <c r="J6699" s="4" t="n">
        <f aca="false">LEN(E6699)-LEN(SUBSTITUTE(E6699,",",""))+1</f>
        <v>4</v>
      </c>
      <c r="K6699" s="3" t="str">
        <f aca="false">IFERROR(INDEX('Teacher Lookup'!$B$2:$B$200,MATCH(A6699,'Teacher Lookup'!$A$2:$A$200,0)),"")</f>
        <v>YAM Lydia</v>
      </c>
    </row>
    <row r="6700" customFormat="false" ht="15" hidden="false" customHeight="false" outlineLevel="0" collapsed="false">
      <c r="A6700" s="3" t="s">
        <v>476</v>
      </c>
      <c r="B6700" s="4" t="s">
        <v>31</v>
      </c>
      <c r="C6700" s="4" t="n">
        <v>4</v>
      </c>
      <c r="D6700" s="4" t="s">
        <v>29</v>
      </c>
      <c r="E6700" s="3" t="s">
        <v>145</v>
      </c>
      <c r="F6700" s="4" t="str">
        <f aca="false">IF(I6700&gt;J6700,"Y","N")</f>
        <v>N</v>
      </c>
      <c r="G6700" s="3" t="s">
        <v>72</v>
      </c>
      <c r="H6700" s="3" t="s">
        <v>34</v>
      </c>
      <c r="I6700" s="4" t="n">
        <v>4</v>
      </c>
      <c r="J6700" s="4" t="n">
        <f aca="false">LEN(E6700)-LEN(SUBSTITUTE(E6700,",",""))+1</f>
        <v>4</v>
      </c>
      <c r="K6700" s="3" t="str">
        <f aca="false">IFERROR(INDEX('Teacher Lookup'!$B$2:$B$200,MATCH(A6700,'Teacher Lookup'!$A$2:$A$200,0)),"")</f>
        <v>YAM Lydia</v>
      </c>
    </row>
    <row r="6701" customFormat="false" ht="15" hidden="false" customHeight="false" outlineLevel="0" collapsed="false">
      <c r="A6701" s="3" t="s">
        <v>476</v>
      </c>
      <c r="B6701" s="4" t="s">
        <v>31</v>
      </c>
      <c r="C6701" s="4" t="n">
        <v>4</v>
      </c>
      <c r="D6701" s="4" t="s">
        <v>30</v>
      </c>
      <c r="E6701" s="3" t="s">
        <v>145</v>
      </c>
      <c r="F6701" s="4" t="str">
        <f aca="false">IF(I6701&gt;J6701,"Y","N")</f>
        <v>N</v>
      </c>
      <c r="G6701" s="3" t="s">
        <v>72</v>
      </c>
      <c r="H6701" s="3" t="s">
        <v>34</v>
      </c>
      <c r="I6701" s="4" t="n">
        <v>4</v>
      </c>
      <c r="J6701" s="4" t="n">
        <f aca="false">LEN(E6701)-LEN(SUBSTITUTE(E6701,",",""))+1</f>
        <v>4</v>
      </c>
      <c r="K6701" s="3" t="str">
        <f aca="false">IFERROR(INDEX('Teacher Lookup'!$B$2:$B$200,MATCH(A6701,'Teacher Lookup'!$A$2:$A$200,0)),"")</f>
        <v>YAM Lydia</v>
      </c>
    </row>
    <row r="6702" customFormat="false" ht="15" hidden="false" customHeight="false" outlineLevel="0" collapsed="false">
      <c r="A6702" s="3" t="s">
        <v>476</v>
      </c>
      <c r="B6702" s="4" t="s">
        <v>31</v>
      </c>
      <c r="C6702" s="4" t="n">
        <v>5</v>
      </c>
      <c r="D6702" s="4" t="s">
        <v>19</v>
      </c>
      <c r="E6702" s="3" t="s">
        <v>35</v>
      </c>
      <c r="F6702" s="4" t="str">
        <f aca="false">IF(I6702&gt;J6702,"Y","N")</f>
        <v>Y</v>
      </c>
      <c r="G6702" s="3" t="s">
        <v>36</v>
      </c>
      <c r="H6702" s="3" t="s">
        <v>37</v>
      </c>
      <c r="I6702" s="4" t="n">
        <v>17</v>
      </c>
      <c r="J6702" s="4" t="n">
        <f aca="false">LEN(E6702)-LEN(SUBSTITUTE(E6702,",",""))+1</f>
        <v>7</v>
      </c>
      <c r="K6702" s="3" t="str">
        <f aca="false">IFERROR(INDEX('Teacher Lookup'!$B$2:$B$200,MATCH(A6702,'Teacher Lookup'!$A$2:$A$200,0)),"")</f>
        <v>YAM Lydia</v>
      </c>
    </row>
    <row r="6703" customFormat="false" ht="15" hidden="false" customHeight="false" outlineLevel="0" collapsed="false">
      <c r="A6703" s="3" t="s">
        <v>476</v>
      </c>
      <c r="B6703" s="4" t="s">
        <v>31</v>
      </c>
      <c r="C6703" s="4" t="n">
        <v>5</v>
      </c>
      <c r="D6703" s="4" t="s">
        <v>22</v>
      </c>
      <c r="E6703" s="3" t="s">
        <v>35</v>
      </c>
      <c r="F6703" s="4" t="str">
        <f aca="false">IF(I6703&gt;J6703,"Y","N")</f>
        <v>Y</v>
      </c>
      <c r="G6703" s="3" t="s">
        <v>36</v>
      </c>
      <c r="H6703" s="3" t="s">
        <v>37</v>
      </c>
      <c r="I6703" s="4" t="n">
        <v>17</v>
      </c>
      <c r="J6703" s="4" t="n">
        <f aca="false">LEN(E6703)-LEN(SUBSTITUTE(E6703,",",""))+1</f>
        <v>7</v>
      </c>
      <c r="K6703" s="3" t="str">
        <f aca="false">IFERROR(INDEX('Teacher Lookup'!$B$2:$B$200,MATCH(A6703,'Teacher Lookup'!$A$2:$A$200,0)),"")</f>
        <v>YAM Lydia</v>
      </c>
    </row>
    <row r="6704" customFormat="false" ht="15" hidden="false" customHeight="false" outlineLevel="0" collapsed="false">
      <c r="A6704" s="3" t="s">
        <v>476</v>
      </c>
      <c r="B6704" s="4" t="s">
        <v>31</v>
      </c>
      <c r="C6704" s="4" t="n">
        <v>5</v>
      </c>
      <c r="D6704" s="4" t="s">
        <v>23</v>
      </c>
      <c r="E6704" s="3" t="s">
        <v>35</v>
      </c>
      <c r="F6704" s="4" t="str">
        <f aca="false">IF(I6704&gt;J6704,"Y","N")</f>
        <v>Y</v>
      </c>
      <c r="G6704" s="3" t="s">
        <v>36</v>
      </c>
      <c r="H6704" s="3" t="s">
        <v>37</v>
      </c>
      <c r="I6704" s="4" t="n">
        <v>17</v>
      </c>
      <c r="J6704" s="4" t="n">
        <f aca="false">LEN(E6704)-LEN(SUBSTITUTE(E6704,",",""))+1</f>
        <v>7</v>
      </c>
      <c r="K6704" s="3" t="str">
        <f aca="false">IFERROR(INDEX('Teacher Lookup'!$B$2:$B$200,MATCH(A6704,'Teacher Lookup'!$A$2:$A$200,0)),"")</f>
        <v>YAM Lydia</v>
      </c>
    </row>
    <row r="6705" customFormat="false" ht="15" hidden="false" customHeight="false" outlineLevel="0" collapsed="false">
      <c r="A6705" s="3" t="s">
        <v>476</v>
      </c>
      <c r="B6705" s="4" t="s">
        <v>31</v>
      </c>
      <c r="C6705" s="4" t="n">
        <v>5</v>
      </c>
      <c r="D6705" s="4" t="s">
        <v>13</v>
      </c>
      <c r="E6705" s="3" t="s">
        <v>35</v>
      </c>
      <c r="F6705" s="4" t="str">
        <f aca="false">IF(I6705&gt;J6705,"Y","N")</f>
        <v>Y</v>
      </c>
      <c r="G6705" s="3" t="s">
        <v>36</v>
      </c>
      <c r="H6705" s="3" t="s">
        <v>37</v>
      </c>
      <c r="I6705" s="4" t="n">
        <v>17</v>
      </c>
      <c r="J6705" s="4" t="n">
        <f aca="false">LEN(E6705)-LEN(SUBSTITUTE(E6705,",",""))+1</f>
        <v>7</v>
      </c>
      <c r="K6705" s="3" t="str">
        <f aca="false">IFERROR(INDEX('Teacher Lookup'!$B$2:$B$200,MATCH(A6705,'Teacher Lookup'!$A$2:$A$200,0)),"")</f>
        <v>YAM Lydia</v>
      </c>
    </row>
    <row r="6706" customFormat="false" ht="15" hidden="false" customHeight="false" outlineLevel="0" collapsed="false">
      <c r="A6706" s="3" t="s">
        <v>476</v>
      </c>
      <c r="B6706" s="4" t="s">
        <v>31</v>
      </c>
      <c r="C6706" s="4" t="n">
        <v>5</v>
      </c>
      <c r="D6706" s="4" t="s">
        <v>17</v>
      </c>
      <c r="E6706" s="3" t="s">
        <v>35</v>
      </c>
      <c r="F6706" s="4" t="str">
        <f aca="false">IF(I6706&gt;J6706,"Y","N")</f>
        <v>Y</v>
      </c>
      <c r="G6706" s="3" t="s">
        <v>36</v>
      </c>
      <c r="H6706" s="3" t="s">
        <v>37</v>
      </c>
      <c r="I6706" s="4" t="n">
        <v>17</v>
      </c>
      <c r="J6706" s="4" t="n">
        <f aca="false">LEN(E6706)-LEN(SUBSTITUTE(E6706,",",""))+1</f>
        <v>7</v>
      </c>
      <c r="K6706" s="3" t="str">
        <f aca="false">IFERROR(INDEX('Teacher Lookup'!$B$2:$B$200,MATCH(A6706,'Teacher Lookup'!$A$2:$A$200,0)),"")</f>
        <v>YAM Lydia</v>
      </c>
    </row>
    <row r="6707" customFormat="false" ht="15" hidden="false" customHeight="false" outlineLevel="0" collapsed="false">
      <c r="A6707" s="3" t="s">
        <v>476</v>
      </c>
      <c r="B6707" s="4" t="s">
        <v>31</v>
      </c>
      <c r="C6707" s="4" t="n">
        <v>5</v>
      </c>
      <c r="D6707" s="4" t="s">
        <v>18</v>
      </c>
      <c r="E6707" s="3" t="s">
        <v>35</v>
      </c>
      <c r="F6707" s="4" t="str">
        <f aca="false">IF(I6707&gt;J6707,"Y","N")</f>
        <v>Y</v>
      </c>
      <c r="G6707" s="3" t="s">
        <v>36</v>
      </c>
      <c r="H6707" s="3" t="s">
        <v>37</v>
      </c>
      <c r="I6707" s="4" t="n">
        <v>17</v>
      </c>
      <c r="J6707" s="4" t="n">
        <f aca="false">LEN(E6707)-LEN(SUBSTITUTE(E6707,",",""))+1</f>
        <v>7</v>
      </c>
      <c r="K6707" s="3" t="str">
        <f aca="false">IFERROR(INDEX('Teacher Lookup'!$B$2:$B$200,MATCH(A6707,'Teacher Lookup'!$A$2:$A$200,0)),"")</f>
        <v>YAM Lydia</v>
      </c>
    </row>
    <row r="6708" customFormat="false" ht="15" hidden="false" customHeight="false" outlineLevel="0" collapsed="false">
      <c r="A6708" s="3" t="s">
        <v>476</v>
      </c>
      <c r="B6708" s="4" t="s">
        <v>31</v>
      </c>
      <c r="C6708" s="4" t="n">
        <v>6</v>
      </c>
      <c r="D6708" s="4" t="s">
        <v>13</v>
      </c>
      <c r="E6708" s="3" t="s">
        <v>323</v>
      </c>
      <c r="F6708" s="4" t="str">
        <f aca="false">IF(I6708&gt;J6708,"Y","N")</f>
        <v>N</v>
      </c>
      <c r="G6708" s="3" t="s">
        <v>72</v>
      </c>
      <c r="H6708" s="3" t="s">
        <v>42</v>
      </c>
      <c r="I6708" s="4" t="n">
        <v>4</v>
      </c>
      <c r="J6708" s="4" t="n">
        <f aca="false">LEN(E6708)-LEN(SUBSTITUTE(E6708,",",""))+1</f>
        <v>4</v>
      </c>
      <c r="K6708" s="3" t="str">
        <f aca="false">IFERROR(INDEX('Teacher Lookup'!$B$2:$B$200,MATCH(A6708,'Teacher Lookup'!$A$2:$A$200,0)),"")</f>
        <v>YAM Lydia</v>
      </c>
    </row>
    <row r="6709" customFormat="false" ht="15" hidden="false" customHeight="false" outlineLevel="0" collapsed="false">
      <c r="A6709" s="3" t="s">
        <v>476</v>
      </c>
      <c r="B6709" s="4" t="s">
        <v>31</v>
      </c>
      <c r="C6709" s="4" t="n">
        <v>6</v>
      </c>
      <c r="D6709" s="4" t="s">
        <v>17</v>
      </c>
      <c r="E6709" s="3" t="s">
        <v>323</v>
      </c>
      <c r="F6709" s="4" t="str">
        <f aca="false">IF(I6709&gt;J6709,"Y","N")</f>
        <v>N</v>
      </c>
      <c r="G6709" s="3" t="s">
        <v>72</v>
      </c>
      <c r="H6709" s="3" t="s">
        <v>42</v>
      </c>
      <c r="I6709" s="4" t="n">
        <v>4</v>
      </c>
      <c r="J6709" s="4" t="n">
        <f aca="false">LEN(E6709)-LEN(SUBSTITUTE(E6709,",",""))+1</f>
        <v>4</v>
      </c>
      <c r="K6709" s="3" t="str">
        <f aca="false">IFERROR(INDEX('Teacher Lookup'!$B$2:$B$200,MATCH(A6709,'Teacher Lookup'!$A$2:$A$200,0)),"")</f>
        <v>YAM Lydia</v>
      </c>
    </row>
    <row r="6710" customFormat="false" ht="15" hidden="false" customHeight="false" outlineLevel="0" collapsed="false">
      <c r="A6710" s="3" t="s">
        <v>476</v>
      </c>
      <c r="B6710" s="4" t="s">
        <v>31</v>
      </c>
      <c r="C6710" s="4" t="n">
        <v>6</v>
      </c>
      <c r="D6710" s="4" t="s">
        <v>18</v>
      </c>
      <c r="E6710" s="3" t="s">
        <v>323</v>
      </c>
      <c r="F6710" s="4" t="str">
        <f aca="false">IF(I6710&gt;J6710,"Y","N")</f>
        <v>N</v>
      </c>
      <c r="G6710" s="3" t="s">
        <v>72</v>
      </c>
      <c r="H6710" s="3" t="s">
        <v>42</v>
      </c>
      <c r="I6710" s="4" t="n">
        <v>4</v>
      </c>
      <c r="J6710" s="4" t="n">
        <f aca="false">LEN(E6710)-LEN(SUBSTITUTE(E6710,",",""))+1</f>
        <v>4</v>
      </c>
      <c r="K6710" s="3" t="str">
        <f aca="false">IFERROR(INDEX('Teacher Lookup'!$B$2:$B$200,MATCH(A6710,'Teacher Lookup'!$A$2:$A$200,0)),"")</f>
        <v>YAM Lydia</v>
      </c>
    </row>
    <row r="6711" customFormat="false" ht="15" hidden="false" customHeight="false" outlineLevel="0" collapsed="false">
      <c r="A6711" s="3" t="s">
        <v>476</v>
      </c>
      <c r="B6711" s="4" t="s">
        <v>40</v>
      </c>
      <c r="C6711" s="4" t="n">
        <v>1</v>
      </c>
      <c r="D6711" s="4" t="s">
        <v>19</v>
      </c>
      <c r="E6711" s="3" t="s">
        <v>33</v>
      </c>
      <c r="F6711" s="4" t="str">
        <f aca="false">IF(I6711&gt;J6711,"Y","N")</f>
        <v>N</v>
      </c>
      <c r="G6711" s="3" t="s">
        <v>72</v>
      </c>
      <c r="H6711" s="3" t="s">
        <v>16</v>
      </c>
      <c r="I6711" s="4" t="n">
        <v>4</v>
      </c>
      <c r="J6711" s="4" t="n">
        <f aca="false">LEN(E6711)-LEN(SUBSTITUTE(E6711,",",""))+1</f>
        <v>4</v>
      </c>
      <c r="K6711" s="3" t="str">
        <f aca="false">IFERROR(INDEX('Teacher Lookup'!$B$2:$B$200,MATCH(A6711,'Teacher Lookup'!$A$2:$A$200,0)),"")</f>
        <v>YAM Lydia</v>
      </c>
    </row>
    <row r="6712" customFormat="false" ht="15" hidden="false" customHeight="false" outlineLevel="0" collapsed="false">
      <c r="A6712" s="3" t="s">
        <v>476</v>
      </c>
      <c r="B6712" s="4" t="s">
        <v>40</v>
      </c>
      <c r="C6712" s="4" t="n">
        <v>1</v>
      </c>
      <c r="D6712" s="4" t="s">
        <v>22</v>
      </c>
      <c r="E6712" s="3" t="s">
        <v>33</v>
      </c>
      <c r="F6712" s="4" t="str">
        <f aca="false">IF(I6712&gt;J6712,"Y","N")</f>
        <v>N</v>
      </c>
      <c r="G6712" s="3" t="s">
        <v>72</v>
      </c>
      <c r="H6712" s="3" t="s">
        <v>16</v>
      </c>
      <c r="I6712" s="4" t="n">
        <v>4</v>
      </c>
      <c r="J6712" s="4" t="n">
        <f aca="false">LEN(E6712)-LEN(SUBSTITUTE(E6712,",",""))+1</f>
        <v>4</v>
      </c>
      <c r="K6712" s="3" t="str">
        <f aca="false">IFERROR(INDEX('Teacher Lookup'!$B$2:$B$200,MATCH(A6712,'Teacher Lookup'!$A$2:$A$200,0)),"")</f>
        <v>YAM Lydia</v>
      </c>
    </row>
    <row r="6713" customFormat="false" ht="15" hidden="false" customHeight="false" outlineLevel="0" collapsed="false">
      <c r="A6713" s="3" t="s">
        <v>476</v>
      </c>
      <c r="B6713" s="4" t="s">
        <v>40</v>
      </c>
      <c r="C6713" s="4" t="n">
        <v>1</v>
      </c>
      <c r="D6713" s="4" t="s">
        <v>23</v>
      </c>
      <c r="E6713" s="3" t="s">
        <v>33</v>
      </c>
      <c r="F6713" s="4" t="str">
        <f aca="false">IF(I6713&gt;J6713,"Y","N")</f>
        <v>N</v>
      </c>
      <c r="G6713" s="3" t="s">
        <v>72</v>
      </c>
      <c r="H6713" s="3" t="s">
        <v>16</v>
      </c>
      <c r="I6713" s="4" t="n">
        <v>4</v>
      </c>
      <c r="J6713" s="4" t="n">
        <f aca="false">LEN(E6713)-LEN(SUBSTITUTE(E6713,",",""))+1</f>
        <v>4</v>
      </c>
      <c r="K6713" s="3" t="str">
        <f aca="false">IFERROR(INDEX('Teacher Lookup'!$B$2:$B$200,MATCH(A6713,'Teacher Lookup'!$A$2:$A$200,0)),"")</f>
        <v>YAM Lydia</v>
      </c>
    </row>
    <row r="6714" customFormat="false" ht="15" hidden="false" customHeight="false" outlineLevel="0" collapsed="false">
      <c r="A6714" s="3" t="s">
        <v>476</v>
      </c>
      <c r="B6714" s="4" t="s">
        <v>40</v>
      </c>
      <c r="C6714" s="4" t="n">
        <v>2</v>
      </c>
      <c r="D6714" s="4" t="s">
        <v>13</v>
      </c>
      <c r="E6714" s="3" t="s">
        <v>46</v>
      </c>
      <c r="F6714" s="4" t="str">
        <f aca="false">IF(I6714&gt;J6714,"Y","N")</f>
        <v>N</v>
      </c>
      <c r="G6714" s="3" t="s">
        <v>72</v>
      </c>
      <c r="H6714" s="3" t="s">
        <v>21</v>
      </c>
      <c r="I6714" s="4" t="n">
        <v>4</v>
      </c>
      <c r="J6714" s="4" t="n">
        <f aca="false">LEN(E6714)-LEN(SUBSTITUTE(E6714,",",""))+1</f>
        <v>4</v>
      </c>
      <c r="K6714" s="3" t="str">
        <f aca="false">IFERROR(INDEX('Teacher Lookup'!$B$2:$B$200,MATCH(A6714,'Teacher Lookup'!$A$2:$A$200,0)),"")</f>
        <v>YAM Lydia</v>
      </c>
    </row>
    <row r="6715" customFormat="false" ht="15" hidden="false" customHeight="false" outlineLevel="0" collapsed="false">
      <c r="A6715" s="3" t="s">
        <v>476</v>
      </c>
      <c r="B6715" s="4" t="s">
        <v>40</v>
      </c>
      <c r="C6715" s="4" t="n">
        <v>2</v>
      </c>
      <c r="D6715" s="4" t="s">
        <v>17</v>
      </c>
      <c r="E6715" s="3" t="s">
        <v>46</v>
      </c>
      <c r="F6715" s="4" t="str">
        <f aca="false">IF(I6715&gt;J6715,"Y","N")</f>
        <v>N</v>
      </c>
      <c r="G6715" s="3" t="s">
        <v>72</v>
      </c>
      <c r="H6715" s="3" t="s">
        <v>21</v>
      </c>
      <c r="I6715" s="4" t="n">
        <v>4</v>
      </c>
      <c r="J6715" s="4" t="n">
        <f aca="false">LEN(E6715)-LEN(SUBSTITUTE(E6715,",",""))+1</f>
        <v>4</v>
      </c>
      <c r="K6715" s="3" t="str">
        <f aca="false">IFERROR(INDEX('Teacher Lookup'!$B$2:$B$200,MATCH(A6715,'Teacher Lookup'!$A$2:$A$200,0)),"")</f>
        <v>YAM Lydia</v>
      </c>
    </row>
    <row r="6716" customFormat="false" ht="15" hidden="false" customHeight="false" outlineLevel="0" collapsed="false">
      <c r="A6716" s="3" t="s">
        <v>476</v>
      </c>
      <c r="B6716" s="4" t="s">
        <v>40</v>
      </c>
      <c r="C6716" s="4" t="n">
        <v>2</v>
      </c>
      <c r="D6716" s="4" t="s">
        <v>18</v>
      </c>
      <c r="E6716" s="3" t="s">
        <v>46</v>
      </c>
      <c r="F6716" s="4" t="str">
        <f aca="false">IF(I6716&gt;J6716,"Y","N")</f>
        <v>N</v>
      </c>
      <c r="G6716" s="3" t="s">
        <v>72</v>
      </c>
      <c r="H6716" s="3" t="s">
        <v>21</v>
      </c>
      <c r="I6716" s="4" t="n">
        <v>4</v>
      </c>
      <c r="J6716" s="4" t="n">
        <f aca="false">LEN(E6716)-LEN(SUBSTITUTE(E6716,",",""))+1</f>
        <v>4</v>
      </c>
      <c r="K6716" s="3" t="str">
        <f aca="false">IFERROR(INDEX('Teacher Lookup'!$B$2:$B$200,MATCH(A6716,'Teacher Lookup'!$A$2:$A$200,0)),"")</f>
        <v>YAM Lydia</v>
      </c>
    </row>
    <row r="6717" customFormat="false" ht="15" hidden="false" customHeight="false" outlineLevel="0" collapsed="false">
      <c r="A6717" s="3" t="s">
        <v>476</v>
      </c>
      <c r="B6717" s="4" t="s">
        <v>40</v>
      </c>
      <c r="C6717" s="4" t="n">
        <v>6</v>
      </c>
      <c r="D6717" s="4" t="s">
        <v>28</v>
      </c>
      <c r="E6717" s="3" t="s">
        <v>149</v>
      </c>
      <c r="F6717" s="4" t="str">
        <f aca="false">IF(I6717&gt;J6717,"Y","N")</f>
        <v>N</v>
      </c>
      <c r="G6717" s="3" t="s">
        <v>72</v>
      </c>
      <c r="H6717" s="3" t="s">
        <v>42</v>
      </c>
      <c r="I6717" s="4" t="n">
        <v>4</v>
      </c>
      <c r="J6717" s="4" t="n">
        <f aca="false">LEN(E6717)-LEN(SUBSTITUTE(E6717,",",""))+1</f>
        <v>4</v>
      </c>
      <c r="K6717" s="3" t="str">
        <f aca="false">IFERROR(INDEX('Teacher Lookup'!$B$2:$B$200,MATCH(A6717,'Teacher Lookup'!$A$2:$A$200,0)),"")</f>
        <v>YAM Lydia</v>
      </c>
    </row>
    <row r="6718" customFormat="false" ht="15" hidden="false" customHeight="false" outlineLevel="0" collapsed="false">
      <c r="A6718" s="3" t="s">
        <v>476</v>
      </c>
      <c r="B6718" s="4" t="s">
        <v>40</v>
      </c>
      <c r="C6718" s="4" t="n">
        <v>6</v>
      </c>
      <c r="D6718" s="4" t="s">
        <v>29</v>
      </c>
      <c r="E6718" s="3" t="s">
        <v>149</v>
      </c>
      <c r="F6718" s="4" t="str">
        <f aca="false">IF(I6718&gt;J6718,"Y","N")</f>
        <v>N</v>
      </c>
      <c r="G6718" s="3" t="s">
        <v>72</v>
      </c>
      <c r="H6718" s="3" t="s">
        <v>42</v>
      </c>
      <c r="I6718" s="4" t="n">
        <v>4</v>
      </c>
      <c r="J6718" s="4" t="n">
        <f aca="false">LEN(E6718)-LEN(SUBSTITUTE(E6718,",",""))+1</f>
        <v>4</v>
      </c>
      <c r="K6718" s="3" t="str">
        <f aca="false">IFERROR(INDEX('Teacher Lookup'!$B$2:$B$200,MATCH(A6718,'Teacher Lookup'!$A$2:$A$200,0)),"")</f>
        <v>YAM Lydia</v>
      </c>
    </row>
    <row r="6719" customFormat="false" ht="15" hidden="false" customHeight="false" outlineLevel="0" collapsed="false">
      <c r="A6719" s="3" t="s">
        <v>476</v>
      </c>
      <c r="B6719" s="4" t="s">
        <v>40</v>
      </c>
      <c r="C6719" s="4" t="n">
        <v>6</v>
      </c>
      <c r="D6719" s="4" t="s">
        <v>30</v>
      </c>
      <c r="E6719" s="3" t="s">
        <v>149</v>
      </c>
      <c r="F6719" s="4" t="str">
        <f aca="false">IF(I6719&gt;J6719,"Y","N")</f>
        <v>N</v>
      </c>
      <c r="G6719" s="3" t="s">
        <v>72</v>
      </c>
      <c r="H6719" s="3" t="s">
        <v>42</v>
      </c>
      <c r="I6719" s="4" t="n">
        <v>4</v>
      </c>
      <c r="J6719" s="4" t="n">
        <f aca="false">LEN(E6719)-LEN(SUBSTITUTE(E6719,",",""))+1</f>
        <v>4</v>
      </c>
      <c r="K6719" s="3" t="str">
        <f aca="false">IFERROR(INDEX('Teacher Lookup'!$B$2:$B$200,MATCH(A6719,'Teacher Lookup'!$A$2:$A$200,0)),"")</f>
        <v>YAM Lydia</v>
      </c>
    </row>
    <row r="6720" customFormat="false" ht="15" hidden="false" customHeight="false" outlineLevel="0" collapsed="false">
      <c r="A6720" s="3" t="s">
        <v>476</v>
      </c>
      <c r="B6720" s="4" t="s">
        <v>40</v>
      </c>
      <c r="C6720" s="4" t="n">
        <v>7</v>
      </c>
      <c r="D6720" s="4" t="s">
        <v>28</v>
      </c>
      <c r="E6720" s="3" t="s">
        <v>149</v>
      </c>
      <c r="F6720" s="4" t="str">
        <f aca="false">IF(I6720&gt;J6720,"Y","N")</f>
        <v>N</v>
      </c>
      <c r="G6720" s="3" t="s">
        <v>72</v>
      </c>
      <c r="H6720" s="3" t="s">
        <v>39</v>
      </c>
      <c r="I6720" s="4" t="n">
        <v>4</v>
      </c>
      <c r="J6720" s="4" t="n">
        <f aca="false">LEN(E6720)-LEN(SUBSTITUTE(E6720,",",""))+1</f>
        <v>4</v>
      </c>
      <c r="K6720" s="3" t="str">
        <f aca="false">IFERROR(INDEX('Teacher Lookup'!$B$2:$B$200,MATCH(A6720,'Teacher Lookup'!$A$2:$A$200,0)),"")</f>
        <v>YAM Lydia</v>
      </c>
    </row>
    <row r="6721" customFormat="false" ht="15" hidden="false" customHeight="false" outlineLevel="0" collapsed="false">
      <c r="A6721" s="3" t="s">
        <v>476</v>
      </c>
      <c r="B6721" s="4" t="s">
        <v>40</v>
      </c>
      <c r="C6721" s="4" t="n">
        <v>7</v>
      </c>
      <c r="D6721" s="4" t="s">
        <v>29</v>
      </c>
      <c r="E6721" s="3" t="s">
        <v>149</v>
      </c>
      <c r="F6721" s="4" t="str">
        <f aca="false">IF(I6721&gt;J6721,"Y","N")</f>
        <v>N</v>
      </c>
      <c r="G6721" s="3" t="s">
        <v>72</v>
      </c>
      <c r="H6721" s="3" t="s">
        <v>39</v>
      </c>
      <c r="I6721" s="4" t="n">
        <v>4</v>
      </c>
      <c r="J6721" s="4" t="n">
        <f aca="false">LEN(E6721)-LEN(SUBSTITUTE(E6721,",",""))+1</f>
        <v>4</v>
      </c>
      <c r="K6721" s="3" t="str">
        <f aca="false">IFERROR(INDEX('Teacher Lookup'!$B$2:$B$200,MATCH(A6721,'Teacher Lookup'!$A$2:$A$200,0)),"")</f>
        <v>YAM Lydia</v>
      </c>
    </row>
    <row r="6722" customFormat="false" ht="15" hidden="false" customHeight="false" outlineLevel="0" collapsed="false">
      <c r="A6722" s="3" t="s">
        <v>476</v>
      </c>
      <c r="B6722" s="4" t="s">
        <v>40</v>
      </c>
      <c r="C6722" s="4" t="n">
        <v>7</v>
      </c>
      <c r="D6722" s="4" t="s">
        <v>30</v>
      </c>
      <c r="E6722" s="3" t="s">
        <v>149</v>
      </c>
      <c r="F6722" s="4" t="str">
        <f aca="false">IF(I6722&gt;J6722,"Y","N")</f>
        <v>N</v>
      </c>
      <c r="G6722" s="3" t="s">
        <v>72</v>
      </c>
      <c r="H6722" s="3" t="s">
        <v>39</v>
      </c>
      <c r="I6722" s="4" t="n">
        <v>4</v>
      </c>
      <c r="J6722" s="4" t="n">
        <f aca="false">LEN(E6722)-LEN(SUBSTITUTE(E6722,",",""))+1</f>
        <v>4</v>
      </c>
      <c r="K6722" s="3" t="str">
        <f aca="false">IFERROR(INDEX('Teacher Lookup'!$B$2:$B$200,MATCH(A6722,'Teacher Lookup'!$A$2:$A$200,0)),"")</f>
        <v>YAM Lydia</v>
      </c>
    </row>
    <row r="6723" customFormat="false" ht="15" hidden="false" customHeight="false" outlineLevel="0" collapsed="false">
      <c r="A6723" s="3" t="s">
        <v>476</v>
      </c>
      <c r="B6723" s="4" t="s">
        <v>44</v>
      </c>
      <c r="C6723" s="4" t="n">
        <v>3</v>
      </c>
      <c r="D6723" s="4" t="s">
        <v>19</v>
      </c>
      <c r="E6723" s="3" t="s">
        <v>33</v>
      </c>
      <c r="F6723" s="4" t="str">
        <f aca="false">IF(I6723&gt;J6723,"Y","N")</f>
        <v>N</v>
      </c>
      <c r="G6723" s="3" t="s">
        <v>72</v>
      </c>
      <c r="H6723" s="3" t="s">
        <v>26</v>
      </c>
      <c r="I6723" s="4" t="n">
        <v>4</v>
      </c>
      <c r="J6723" s="4" t="n">
        <f aca="false">LEN(E6723)-LEN(SUBSTITUTE(E6723,",",""))+1</f>
        <v>4</v>
      </c>
      <c r="K6723" s="3" t="str">
        <f aca="false">IFERROR(INDEX('Teacher Lookup'!$B$2:$B$200,MATCH(A6723,'Teacher Lookup'!$A$2:$A$200,0)),"")</f>
        <v>YAM Lydia</v>
      </c>
    </row>
    <row r="6724" customFormat="false" ht="15" hidden="false" customHeight="false" outlineLevel="0" collapsed="false">
      <c r="A6724" s="3" t="s">
        <v>476</v>
      </c>
      <c r="B6724" s="4" t="s">
        <v>44</v>
      </c>
      <c r="C6724" s="4" t="n">
        <v>3</v>
      </c>
      <c r="D6724" s="4" t="s">
        <v>22</v>
      </c>
      <c r="E6724" s="3" t="s">
        <v>33</v>
      </c>
      <c r="F6724" s="4" t="str">
        <f aca="false">IF(I6724&gt;J6724,"Y","N")</f>
        <v>N</v>
      </c>
      <c r="G6724" s="3" t="s">
        <v>72</v>
      </c>
      <c r="H6724" s="3" t="s">
        <v>26</v>
      </c>
      <c r="I6724" s="4" t="n">
        <v>4</v>
      </c>
      <c r="J6724" s="4" t="n">
        <f aca="false">LEN(E6724)-LEN(SUBSTITUTE(E6724,",",""))+1</f>
        <v>4</v>
      </c>
      <c r="K6724" s="3" t="str">
        <f aca="false">IFERROR(INDEX('Teacher Lookup'!$B$2:$B$200,MATCH(A6724,'Teacher Lookup'!$A$2:$A$200,0)),"")</f>
        <v>YAM Lydia</v>
      </c>
    </row>
    <row r="6725" customFormat="false" ht="15" hidden="false" customHeight="false" outlineLevel="0" collapsed="false">
      <c r="A6725" s="3" t="s">
        <v>476</v>
      </c>
      <c r="B6725" s="4" t="s">
        <v>44</v>
      </c>
      <c r="C6725" s="4" t="n">
        <v>3</v>
      </c>
      <c r="D6725" s="4" t="s">
        <v>23</v>
      </c>
      <c r="E6725" s="3" t="s">
        <v>33</v>
      </c>
      <c r="F6725" s="4" t="str">
        <f aca="false">IF(I6725&gt;J6725,"Y","N")</f>
        <v>N</v>
      </c>
      <c r="G6725" s="3" t="s">
        <v>72</v>
      </c>
      <c r="H6725" s="3" t="s">
        <v>26</v>
      </c>
      <c r="I6725" s="4" t="n">
        <v>4</v>
      </c>
      <c r="J6725" s="4" t="n">
        <f aca="false">LEN(E6725)-LEN(SUBSTITUTE(E6725,",",""))+1</f>
        <v>4</v>
      </c>
      <c r="K6725" s="3" t="str">
        <f aca="false">IFERROR(INDEX('Teacher Lookup'!$B$2:$B$200,MATCH(A6725,'Teacher Lookup'!$A$2:$A$200,0)),"")</f>
        <v>YAM Lydia</v>
      </c>
    </row>
    <row r="6726" customFormat="false" ht="15" hidden="false" customHeight="false" outlineLevel="0" collapsed="false">
      <c r="A6726" s="3" t="s">
        <v>476</v>
      </c>
      <c r="B6726" s="4" t="s">
        <v>44</v>
      </c>
      <c r="C6726" s="4" t="n">
        <v>5</v>
      </c>
      <c r="D6726" s="4" t="s">
        <v>19</v>
      </c>
      <c r="E6726" s="3" t="s">
        <v>35</v>
      </c>
      <c r="F6726" s="4" t="str">
        <f aca="false">IF(I6726&gt;J6726,"Y","N")</f>
        <v>Y</v>
      </c>
      <c r="G6726" s="3" t="s">
        <v>36</v>
      </c>
      <c r="H6726" s="3" t="s">
        <v>37</v>
      </c>
      <c r="I6726" s="4" t="n">
        <v>17</v>
      </c>
      <c r="J6726" s="4" t="n">
        <f aca="false">LEN(E6726)-LEN(SUBSTITUTE(E6726,",",""))+1</f>
        <v>7</v>
      </c>
      <c r="K6726" s="3" t="str">
        <f aca="false">IFERROR(INDEX('Teacher Lookup'!$B$2:$B$200,MATCH(A6726,'Teacher Lookup'!$A$2:$A$200,0)),"")</f>
        <v>YAM Lydia</v>
      </c>
    </row>
    <row r="6727" customFormat="false" ht="15" hidden="false" customHeight="false" outlineLevel="0" collapsed="false">
      <c r="A6727" s="3" t="s">
        <v>476</v>
      </c>
      <c r="B6727" s="4" t="s">
        <v>44</v>
      </c>
      <c r="C6727" s="4" t="n">
        <v>5</v>
      </c>
      <c r="D6727" s="4" t="s">
        <v>22</v>
      </c>
      <c r="E6727" s="3" t="s">
        <v>35</v>
      </c>
      <c r="F6727" s="4" t="str">
        <f aca="false">IF(I6727&gt;J6727,"Y","N")</f>
        <v>Y</v>
      </c>
      <c r="G6727" s="3" t="s">
        <v>36</v>
      </c>
      <c r="H6727" s="3" t="s">
        <v>37</v>
      </c>
      <c r="I6727" s="4" t="n">
        <v>17</v>
      </c>
      <c r="J6727" s="4" t="n">
        <f aca="false">LEN(E6727)-LEN(SUBSTITUTE(E6727,",",""))+1</f>
        <v>7</v>
      </c>
      <c r="K6727" s="3" t="str">
        <f aca="false">IFERROR(INDEX('Teacher Lookup'!$B$2:$B$200,MATCH(A6727,'Teacher Lookup'!$A$2:$A$200,0)),"")</f>
        <v>YAM Lydia</v>
      </c>
    </row>
    <row r="6728" customFormat="false" ht="15" hidden="false" customHeight="false" outlineLevel="0" collapsed="false">
      <c r="A6728" s="3" t="s">
        <v>476</v>
      </c>
      <c r="B6728" s="4" t="s">
        <v>44</v>
      </c>
      <c r="C6728" s="4" t="n">
        <v>5</v>
      </c>
      <c r="D6728" s="4" t="s">
        <v>23</v>
      </c>
      <c r="E6728" s="3" t="s">
        <v>35</v>
      </c>
      <c r="F6728" s="4" t="str">
        <f aca="false">IF(I6728&gt;J6728,"Y","N")</f>
        <v>Y</v>
      </c>
      <c r="G6728" s="3" t="s">
        <v>36</v>
      </c>
      <c r="H6728" s="3" t="s">
        <v>37</v>
      </c>
      <c r="I6728" s="4" t="n">
        <v>17</v>
      </c>
      <c r="J6728" s="4" t="n">
        <f aca="false">LEN(E6728)-LEN(SUBSTITUTE(E6728,",",""))+1</f>
        <v>7</v>
      </c>
      <c r="K6728" s="3" t="str">
        <f aca="false">IFERROR(INDEX('Teacher Lookup'!$B$2:$B$200,MATCH(A6728,'Teacher Lookup'!$A$2:$A$200,0)),"")</f>
        <v>YAM Lydia</v>
      </c>
    </row>
    <row r="6729" customFormat="false" ht="15" hidden="false" customHeight="false" outlineLevel="0" collapsed="false">
      <c r="A6729" s="3" t="s">
        <v>476</v>
      </c>
      <c r="B6729" s="4" t="s">
        <v>44</v>
      </c>
      <c r="C6729" s="4" t="n">
        <v>5</v>
      </c>
      <c r="D6729" s="4" t="s">
        <v>13</v>
      </c>
      <c r="E6729" s="3" t="s">
        <v>35</v>
      </c>
      <c r="F6729" s="4" t="str">
        <f aca="false">IF(I6729&gt;J6729,"Y","N")</f>
        <v>Y</v>
      </c>
      <c r="G6729" s="3" t="s">
        <v>36</v>
      </c>
      <c r="H6729" s="3" t="s">
        <v>37</v>
      </c>
      <c r="I6729" s="4" t="n">
        <v>17</v>
      </c>
      <c r="J6729" s="4" t="n">
        <f aca="false">LEN(E6729)-LEN(SUBSTITUTE(E6729,",",""))+1</f>
        <v>7</v>
      </c>
      <c r="K6729" s="3" t="str">
        <f aca="false">IFERROR(INDEX('Teacher Lookup'!$B$2:$B$200,MATCH(A6729,'Teacher Lookup'!$A$2:$A$200,0)),"")</f>
        <v>YAM Lydia</v>
      </c>
    </row>
    <row r="6730" customFormat="false" ht="15" hidden="false" customHeight="false" outlineLevel="0" collapsed="false">
      <c r="A6730" s="3" t="s">
        <v>476</v>
      </c>
      <c r="B6730" s="4" t="s">
        <v>44</v>
      </c>
      <c r="C6730" s="4" t="n">
        <v>5</v>
      </c>
      <c r="D6730" s="4" t="s">
        <v>17</v>
      </c>
      <c r="E6730" s="3" t="s">
        <v>35</v>
      </c>
      <c r="F6730" s="4" t="str">
        <f aca="false">IF(I6730&gt;J6730,"Y","N")</f>
        <v>Y</v>
      </c>
      <c r="G6730" s="3" t="s">
        <v>36</v>
      </c>
      <c r="H6730" s="3" t="s">
        <v>37</v>
      </c>
      <c r="I6730" s="4" t="n">
        <v>17</v>
      </c>
      <c r="J6730" s="4" t="n">
        <f aca="false">LEN(E6730)-LEN(SUBSTITUTE(E6730,",",""))+1</f>
        <v>7</v>
      </c>
      <c r="K6730" s="3" t="str">
        <f aca="false">IFERROR(INDEX('Teacher Lookup'!$B$2:$B$200,MATCH(A6730,'Teacher Lookup'!$A$2:$A$200,0)),"")</f>
        <v>YAM Lydia</v>
      </c>
    </row>
    <row r="6731" customFormat="false" ht="15" hidden="false" customHeight="false" outlineLevel="0" collapsed="false">
      <c r="A6731" s="3" t="s">
        <v>476</v>
      </c>
      <c r="B6731" s="4" t="s">
        <v>44</v>
      </c>
      <c r="C6731" s="4" t="n">
        <v>5</v>
      </c>
      <c r="D6731" s="4" t="s">
        <v>18</v>
      </c>
      <c r="E6731" s="3" t="s">
        <v>35</v>
      </c>
      <c r="F6731" s="4" t="str">
        <f aca="false">IF(I6731&gt;J6731,"Y","N")</f>
        <v>Y</v>
      </c>
      <c r="G6731" s="3" t="s">
        <v>36</v>
      </c>
      <c r="H6731" s="3" t="s">
        <v>37</v>
      </c>
      <c r="I6731" s="4" t="n">
        <v>17</v>
      </c>
      <c r="J6731" s="4" t="n">
        <f aca="false">LEN(E6731)-LEN(SUBSTITUTE(E6731,",",""))+1</f>
        <v>7</v>
      </c>
      <c r="K6731" s="3" t="str">
        <f aca="false">IFERROR(INDEX('Teacher Lookup'!$B$2:$B$200,MATCH(A6731,'Teacher Lookup'!$A$2:$A$200,0)),"")</f>
        <v>YAM Lydia</v>
      </c>
    </row>
    <row r="6732" customFormat="false" ht="15" hidden="false" customHeight="false" outlineLevel="0" collapsed="false">
      <c r="A6732" s="3" t="s">
        <v>476</v>
      </c>
      <c r="B6732" s="4" t="s">
        <v>44</v>
      </c>
      <c r="C6732" s="4" t="n">
        <v>6</v>
      </c>
      <c r="D6732" s="4" t="s">
        <v>13</v>
      </c>
      <c r="E6732" s="3" t="s">
        <v>323</v>
      </c>
      <c r="F6732" s="4" t="str">
        <f aca="false">IF(I6732&gt;J6732,"Y","N")</f>
        <v>N</v>
      </c>
      <c r="G6732" s="3" t="s">
        <v>72</v>
      </c>
      <c r="H6732" s="3" t="s">
        <v>42</v>
      </c>
      <c r="I6732" s="4" t="n">
        <v>4</v>
      </c>
      <c r="J6732" s="4" t="n">
        <f aca="false">LEN(E6732)-LEN(SUBSTITUTE(E6732,",",""))+1</f>
        <v>4</v>
      </c>
      <c r="K6732" s="3" t="str">
        <f aca="false">IFERROR(INDEX('Teacher Lookup'!$B$2:$B$200,MATCH(A6732,'Teacher Lookup'!$A$2:$A$200,0)),"")</f>
        <v>YAM Lydia</v>
      </c>
    </row>
    <row r="6733" customFormat="false" ht="15" hidden="false" customHeight="false" outlineLevel="0" collapsed="false">
      <c r="A6733" s="3" t="s">
        <v>476</v>
      </c>
      <c r="B6733" s="4" t="s">
        <v>44</v>
      </c>
      <c r="C6733" s="4" t="n">
        <v>6</v>
      </c>
      <c r="D6733" s="4" t="s">
        <v>17</v>
      </c>
      <c r="E6733" s="3" t="s">
        <v>323</v>
      </c>
      <c r="F6733" s="4" t="str">
        <f aca="false">IF(I6733&gt;J6733,"Y","N")</f>
        <v>N</v>
      </c>
      <c r="G6733" s="3" t="s">
        <v>72</v>
      </c>
      <c r="H6733" s="3" t="s">
        <v>42</v>
      </c>
      <c r="I6733" s="4" t="n">
        <v>4</v>
      </c>
      <c r="J6733" s="4" t="n">
        <f aca="false">LEN(E6733)-LEN(SUBSTITUTE(E6733,",",""))+1</f>
        <v>4</v>
      </c>
      <c r="K6733" s="3" t="str">
        <f aca="false">IFERROR(INDEX('Teacher Lookup'!$B$2:$B$200,MATCH(A6733,'Teacher Lookup'!$A$2:$A$200,0)),"")</f>
        <v>YAM Lydia</v>
      </c>
    </row>
    <row r="6734" customFormat="false" ht="15" hidden="false" customHeight="false" outlineLevel="0" collapsed="false">
      <c r="A6734" s="3" t="s">
        <v>476</v>
      </c>
      <c r="B6734" s="4" t="s">
        <v>44</v>
      </c>
      <c r="C6734" s="4" t="n">
        <v>6</v>
      </c>
      <c r="D6734" s="4" t="s">
        <v>18</v>
      </c>
      <c r="E6734" s="3" t="s">
        <v>323</v>
      </c>
      <c r="F6734" s="4" t="str">
        <f aca="false">IF(I6734&gt;J6734,"Y","N")</f>
        <v>N</v>
      </c>
      <c r="G6734" s="3" t="s">
        <v>72</v>
      </c>
      <c r="H6734" s="3" t="s">
        <v>42</v>
      </c>
      <c r="I6734" s="4" t="n">
        <v>4</v>
      </c>
      <c r="J6734" s="4" t="n">
        <f aca="false">LEN(E6734)-LEN(SUBSTITUTE(E6734,",",""))+1</f>
        <v>4</v>
      </c>
      <c r="K6734" s="3" t="str">
        <f aca="false">IFERROR(INDEX('Teacher Lookup'!$B$2:$B$200,MATCH(A6734,'Teacher Lookup'!$A$2:$A$200,0)),"")</f>
        <v>YAM Lydia</v>
      </c>
    </row>
    <row r="6735" customFormat="false" ht="15" hidden="false" customHeight="false" outlineLevel="0" collapsed="false">
      <c r="A6735" s="3" t="s">
        <v>476</v>
      </c>
      <c r="B6735" s="4" t="s">
        <v>44</v>
      </c>
      <c r="C6735" s="4" t="n">
        <v>7</v>
      </c>
      <c r="D6735" s="4" t="s">
        <v>28</v>
      </c>
      <c r="E6735" s="3" t="s">
        <v>143</v>
      </c>
      <c r="F6735" s="4" t="str">
        <f aca="false">IF(I6735&gt;J6735,"Y","N")</f>
        <v>N</v>
      </c>
      <c r="G6735" s="3" t="s">
        <v>72</v>
      </c>
      <c r="H6735" s="3" t="s">
        <v>39</v>
      </c>
      <c r="I6735" s="4" t="n">
        <v>4</v>
      </c>
      <c r="J6735" s="4" t="n">
        <f aca="false">LEN(E6735)-LEN(SUBSTITUTE(E6735,",",""))+1</f>
        <v>4</v>
      </c>
      <c r="K6735" s="3" t="str">
        <f aca="false">IFERROR(INDEX('Teacher Lookup'!$B$2:$B$200,MATCH(A6735,'Teacher Lookup'!$A$2:$A$200,0)),"")</f>
        <v>YAM Lydia</v>
      </c>
    </row>
    <row r="6736" customFormat="false" ht="15" hidden="false" customHeight="false" outlineLevel="0" collapsed="false">
      <c r="A6736" s="3" t="s">
        <v>476</v>
      </c>
      <c r="B6736" s="4" t="s">
        <v>44</v>
      </c>
      <c r="C6736" s="4" t="n">
        <v>7</v>
      </c>
      <c r="D6736" s="4" t="s">
        <v>29</v>
      </c>
      <c r="E6736" s="3" t="s">
        <v>143</v>
      </c>
      <c r="F6736" s="4" t="str">
        <f aca="false">IF(I6736&gt;J6736,"Y","N")</f>
        <v>N</v>
      </c>
      <c r="G6736" s="3" t="s">
        <v>72</v>
      </c>
      <c r="H6736" s="3" t="s">
        <v>39</v>
      </c>
      <c r="I6736" s="4" t="n">
        <v>4</v>
      </c>
      <c r="J6736" s="4" t="n">
        <f aca="false">LEN(E6736)-LEN(SUBSTITUTE(E6736,",",""))+1</f>
        <v>4</v>
      </c>
      <c r="K6736" s="3" t="str">
        <f aca="false">IFERROR(INDEX('Teacher Lookup'!$B$2:$B$200,MATCH(A6736,'Teacher Lookup'!$A$2:$A$200,0)),"")</f>
        <v>YAM Lydia</v>
      </c>
    </row>
    <row r="6737" customFormat="false" ht="15" hidden="false" customHeight="false" outlineLevel="0" collapsed="false">
      <c r="A6737" s="3" t="s">
        <v>476</v>
      </c>
      <c r="B6737" s="4" t="s">
        <v>44</v>
      </c>
      <c r="C6737" s="4" t="n">
        <v>7</v>
      </c>
      <c r="D6737" s="4" t="s">
        <v>30</v>
      </c>
      <c r="E6737" s="3" t="s">
        <v>143</v>
      </c>
      <c r="F6737" s="4" t="str">
        <f aca="false">IF(I6737&gt;J6737,"Y","N")</f>
        <v>N</v>
      </c>
      <c r="G6737" s="3" t="s">
        <v>72</v>
      </c>
      <c r="H6737" s="3" t="s">
        <v>39</v>
      </c>
      <c r="I6737" s="4" t="n">
        <v>4</v>
      </c>
      <c r="J6737" s="4" t="n">
        <f aca="false">LEN(E6737)-LEN(SUBSTITUTE(E6737,",",""))+1</f>
        <v>4</v>
      </c>
      <c r="K6737" s="3" t="str">
        <f aca="false">IFERROR(INDEX('Teacher Lookup'!$B$2:$B$200,MATCH(A6737,'Teacher Lookup'!$A$2:$A$200,0)),"")</f>
        <v>YAM Lydia</v>
      </c>
    </row>
    <row r="6738" customFormat="false" ht="15" hidden="false" customHeight="false" outlineLevel="0" collapsed="false">
      <c r="A6738" s="3" t="s">
        <v>476</v>
      </c>
      <c r="B6738" s="4" t="s">
        <v>47</v>
      </c>
      <c r="C6738" s="4" t="n">
        <v>3</v>
      </c>
      <c r="D6738" s="4" t="s">
        <v>13</v>
      </c>
      <c r="E6738" s="3" t="s">
        <v>327</v>
      </c>
      <c r="F6738" s="4" t="str">
        <f aca="false">IF(I6738&gt;J6738,"Y","N")</f>
        <v>N</v>
      </c>
      <c r="G6738" s="3" t="s">
        <v>72</v>
      </c>
      <c r="H6738" s="3" t="s">
        <v>26</v>
      </c>
      <c r="I6738" s="4" t="n">
        <v>4</v>
      </c>
      <c r="J6738" s="4" t="n">
        <f aca="false">LEN(E6738)-LEN(SUBSTITUTE(E6738,",",""))+1</f>
        <v>4</v>
      </c>
      <c r="K6738" s="3" t="str">
        <f aca="false">IFERROR(INDEX('Teacher Lookup'!$B$2:$B$200,MATCH(A6738,'Teacher Lookup'!$A$2:$A$200,0)),"")</f>
        <v>YAM Lydia</v>
      </c>
    </row>
    <row r="6739" customFormat="false" ht="15" hidden="false" customHeight="false" outlineLevel="0" collapsed="false">
      <c r="A6739" s="3" t="s">
        <v>476</v>
      </c>
      <c r="B6739" s="4" t="s">
        <v>47</v>
      </c>
      <c r="C6739" s="4" t="n">
        <v>3</v>
      </c>
      <c r="D6739" s="4" t="s">
        <v>17</v>
      </c>
      <c r="E6739" s="3" t="s">
        <v>327</v>
      </c>
      <c r="F6739" s="4" t="str">
        <f aca="false">IF(I6739&gt;J6739,"Y","N")</f>
        <v>N</v>
      </c>
      <c r="G6739" s="3" t="s">
        <v>72</v>
      </c>
      <c r="H6739" s="3" t="s">
        <v>26</v>
      </c>
      <c r="I6739" s="4" t="n">
        <v>4</v>
      </c>
      <c r="J6739" s="4" t="n">
        <f aca="false">LEN(E6739)-LEN(SUBSTITUTE(E6739,",",""))+1</f>
        <v>4</v>
      </c>
      <c r="K6739" s="3" t="str">
        <f aca="false">IFERROR(INDEX('Teacher Lookup'!$B$2:$B$200,MATCH(A6739,'Teacher Lookup'!$A$2:$A$200,0)),"")</f>
        <v>YAM Lydia</v>
      </c>
    </row>
    <row r="6740" customFormat="false" ht="15" hidden="false" customHeight="false" outlineLevel="0" collapsed="false">
      <c r="A6740" s="3" t="s">
        <v>476</v>
      </c>
      <c r="B6740" s="4" t="s">
        <v>47</v>
      </c>
      <c r="C6740" s="4" t="n">
        <v>3</v>
      </c>
      <c r="D6740" s="4" t="s">
        <v>18</v>
      </c>
      <c r="E6740" s="3" t="s">
        <v>327</v>
      </c>
      <c r="F6740" s="4" t="str">
        <f aca="false">IF(I6740&gt;J6740,"Y","N")</f>
        <v>N</v>
      </c>
      <c r="G6740" s="3" t="s">
        <v>72</v>
      </c>
      <c r="H6740" s="3" t="s">
        <v>26</v>
      </c>
      <c r="I6740" s="4" t="n">
        <v>4</v>
      </c>
      <c r="J6740" s="4" t="n">
        <f aca="false">LEN(E6740)-LEN(SUBSTITUTE(E6740,",",""))+1</f>
        <v>4</v>
      </c>
      <c r="K6740" s="3" t="str">
        <f aca="false">IFERROR(INDEX('Teacher Lookup'!$B$2:$B$200,MATCH(A6740,'Teacher Lookup'!$A$2:$A$200,0)),"")</f>
        <v>YAM Lydia</v>
      </c>
    </row>
    <row r="6741" customFormat="false" ht="15" hidden="false" customHeight="false" outlineLevel="0" collapsed="false">
      <c r="A6741" s="3" t="s">
        <v>476</v>
      </c>
      <c r="B6741" s="4" t="s">
        <v>47</v>
      </c>
      <c r="C6741" s="4" t="n">
        <v>4</v>
      </c>
      <c r="D6741" s="4" t="s">
        <v>19</v>
      </c>
      <c r="E6741" s="3" t="s">
        <v>33</v>
      </c>
      <c r="F6741" s="4" t="str">
        <f aca="false">IF(I6741&gt;J6741,"Y","N")</f>
        <v>N</v>
      </c>
      <c r="G6741" s="3" t="s">
        <v>72</v>
      </c>
      <c r="H6741" s="3" t="s">
        <v>34</v>
      </c>
      <c r="I6741" s="4" t="n">
        <v>4</v>
      </c>
      <c r="J6741" s="4" t="n">
        <f aca="false">LEN(E6741)-LEN(SUBSTITUTE(E6741,",",""))+1</f>
        <v>4</v>
      </c>
      <c r="K6741" s="3" t="str">
        <f aca="false">IFERROR(INDEX('Teacher Lookup'!$B$2:$B$200,MATCH(A6741,'Teacher Lookup'!$A$2:$A$200,0)),"")</f>
        <v>YAM Lydia</v>
      </c>
    </row>
    <row r="6742" customFormat="false" ht="15" hidden="false" customHeight="false" outlineLevel="0" collapsed="false">
      <c r="A6742" s="3" t="s">
        <v>476</v>
      </c>
      <c r="B6742" s="4" t="s">
        <v>47</v>
      </c>
      <c r="C6742" s="4" t="n">
        <v>4</v>
      </c>
      <c r="D6742" s="4" t="s">
        <v>22</v>
      </c>
      <c r="E6742" s="3" t="s">
        <v>33</v>
      </c>
      <c r="F6742" s="4" t="str">
        <f aca="false">IF(I6742&gt;J6742,"Y","N")</f>
        <v>N</v>
      </c>
      <c r="G6742" s="3" t="s">
        <v>72</v>
      </c>
      <c r="H6742" s="3" t="s">
        <v>34</v>
      </c>
      <c r="I6742" s="4" t="n">
        <v>4</v>
      </c>
      <c r="J6742" s="4" t="n">
        <f aca="false">LEN(E6742)-LEN(SUBSTITUTE(E6742,",",""))+1</f>
        <v>4</v>
      </c>
      <c r="K6742" s="3" t="str">
        <f aca="false">IFERROR(INDEX('Teacher Lookup'!$B$2:$B$200,MATCH(A6742,'Teacher Lookup'!$A$2:$A$200,0)),"")</f>
        <v>YAM Lydia</v>
      </c>
    </row>
    <row r="6743" customFormat="false" ht="15" hidden="false" customHeight="false" outlineLevel="0" collapsed="false">
      <c r="A6743" s="3" t="s">
        <v>476</v>
      </c>
      <c r="B6743" s="4" t="s">
        <v>47</v>
      </c>
      <c r="C6743" s="4" t="n">
        <v>4</v>
      </c>
      <c r="D6743" s="4" t="s">
        <v>23</v>
      </c>
      <c r="E6743" s="3" t="s">
        <v>33</v>
      </c>
      <c r="F6743" s="4" t="str">
        <f aca="false">IF(I6743&gt;J6743,"Y","N")</f>
        <v>N</v>
      </c>
      <c r="G6743" s="3" t="s">
        <v>72</v>
      </c>
      <c r="H6743" s="3" t="s">
        <v>34</v>
      </c>
      <c r="I6743" s="4" t="n">
        <v>4</v>
      </c>
      <c r="J6743" s="4" t="n">
        <f aca="false">LEN(E6743)-LEN(SUBSTITUTE(E6743,",",""))+1</f>
        <v>4</v>
      </c>
      <c r="K6743" s="3" t="str">
        <f aca="false">IFERROR(INDEX('Teacher Lookup'!$B$2:$B$200,MATCH(A6743,'Teacher Lookup'!$A$2:$A$200,0)),"")</f>
        <v>YAM Lydia</v>
      </c>
    </row>
    <row r="6744" customFormat="false" ht="15" hidden="false" customHeight="false" outlineLevel="0" collapsed="false">
      <c r="A6744" s="3" t="s">
        <v>476</v>
      </c>
      <c r="B6744" s="4" t="s">
        <v>47</v>
      </c>
      <c r="C6744" s="4" t="n">
        <v>6</v>
      </c>
      <c r="D6744" s="4" t="s">
        <v>28</v>
      </c>
      <c r="E6744" s="3" t="s">
        <v>153</v>
      </c>
      <c r="F6744" s="4" t="str">
        <f aca="false">IF(I6744&gt;J6744,"Y","N")</f>
        <v>N</v>
      </c>
      <c r="G6744" s="3" t="s">
        <v>72</v>
      </c>
      <c r="H6744" s="3" t="s">
        <v>42</v>
      </c>
      <c r="I6744" s="4" t="n">
        <v>4</v>
      </c>
      <c r="J6744" s="4" t="n">
        <f aca="false">LEN(E6744)-LEN(SUBSTITUTE(E6744,",",""))+1</f>
        <v>4</v>
      </c>
      <c r="K6744" s="3" t="str">
        <f aca="false">IFERROR(INDEX('Teacher Lookup'!$B$2:$B$200,MATCH(A6744,'Teacher Lookup'!$A$2:$A$200,0)),"")</f>
        <v>YAM Lydia</v>
      </c>
    </row>
    <row r="6745" customFormat="false" ht="15" hidden="false" customHeight="false" outlineLevel="0" collapsed="false">
      <c r="A6745" s="3" t="s">
        <v>476</v>
      </c>
      <c r="B6745" s="4" t="s">
        <v>47</v>
      </c>
      <c r="C6745" s="4" t="n">
        <v>6</v>
      </c>
      <c r="D6745" s="4" t="s">
        <v>29</v>
      </c>
      <c r="E6745" s="3" t="s">
        <v>153</v>
      </c>
      <c r="F6745" s="4" t="str">
        <f aca="false">IF(I6745&gt;J6745,"Y","N")</f>
        <v>N</v>
      </c>
      <c r="G6745" s="3" t="s">
        <v>72</v>
      </c>
      <c r="H6745" s="3" t="s">
        <v>42</v>
      </c>
      <c r="I6745" s="4" t="n">
        <v>4</v>
      </c>
      <c r="J6745" s="4" t="n">
        <f aca="false">LEN(E6745)-LEN(SUBSTITUTE(E6745,",",""))+1</f>
        <v>4</v>
      </c>
      <c r="K6745" s="3" t="str">
        <f aca="false">IFERROR(INDEX('Teacher Lookup'!$B$2:$B$200,MATCH(A6745,'Teacher Lookup'!$A$2:$A$200,0)),"")</f>
        <v>YAM Lydia</v>
      </c>
    </row>
    <row r="6746" customFormat="false" ht="15" hidden="false" customHeight="false" outlineLevel="0" collapsed="false">
      <c r="A6746" s="3" t="s">
        <v>476</v>
      </c>
      <c r="B6746" s="4" t="s">
        <v>47</v>
      </c>
      <c r="C6746" s="4" t="n">
        <v>6</v>
      </c>
      <c r="D6746" s="4" t="s">
        <v>30</v>
      </c>
      <c r="E6746" s="3" t="s">
        <v>153</v>
      </c>
      <c r="F6746" s="4" t="str">
        <f aca="false">IF(I6746&gt;J6746,"Y","N")</f>
        <v>N</v>
      </c>
      <c r="G6746" s="3" t="s">
        <v>72</v>
      </c>
      <c r="H6746" s="3" t="s">
        <v>42</v>
      </c>
      <c r="I6746" s="4" t="n">
        <v>4</v>
      </c>
      <c r="J6746" s="4" t="n">
        <f aca="false">LEN(E6746)-LEN(SUBSTITUTE(E6746,",",""))+1</f>
        <v>4</v>
      </c>
      <c r="K6746" s="3" t="str">
        <f aca="false">IFERROR(INDEX('Teacher Lookup'!$B$2:$B$200,MATCH(A6746,'Teacher Lookup'!$A$2:$A$200,0)),"")</f>
        <v>YAM Lydia</v>
      </c>
    </row>
    <row r="6747" customFormat="false" ht="15" hidden="false" customHeight="false" outlineLevel="0" collapsed="false">
      <c r="A6747" s="3" t="s">
        <v>476</v>
      </c>
      <c r="B6747" s="4" t="s">
        <v>50</v>
      </c>
      <c r="C6747" s="4" t="n">
        <v>3</v>
      </c>
      <c r="D6747" s="4" t="s">
        <v>19</v>
      </c>
      <c r="E6747" s="3" t="s">
        <v>329</v>
      </c>
      <c r="F6747" s="4" t="str">
        <f aca="false">IF(I6747&gt;J6747,"Y","N")</f>
        <v>N</v>
      </c>
      <c r="G6747" s="3" t="s">
        <v>72</v>
      </c>
      <c r="H6747" s="3" t="s">
        <v>26</v>
      </c>
      <c r="I6747" s="4" t="n">
        <v>4</v>
      </c>
      <c r="J6747" s="4" t="n">
        <f aca="false">LEN(E6747)-LEN(SUBSTITUTE(E6747,",",""))+1</f>
        <v>4</v>
      </c>
      <c r="K6747" s="3" t="str">
        <f aca="false">IFERROR(INDEX('Teacher Lookup'!$B$2:$B$200,MATCH(A6747,'Teacher Lookup'!$A$2:$A$200,0)),"")</f>
        <v>YAM Lydia</v>
      </c>
    </row>
    <row r="6748" customFormat="false" ht="15" hidden="false" customHeight="false" outlineLevel="0" collapsed="false">
      <c r="A6748" s="3" t="s">
        <v>476</v>
      </c>
      <c r="B6748" s="4" t="s">
        <v>50</v>
      </c>
      <c r="C6748" s="4" t="n">
        <v>3</v>
      </c>
      <c r="D6748" s="4" t="s">
        <v>22</v>
      </c>
      <c r="E6748" s="3" t="s">
        <v>329</v>
      </c>
      <c r="F6748" s="4" t="str">
        <f aca="false">IF(I6748&gt;J6748,"Y","N")</f>
        <v>N</v>
      </c>
      <c r="G6748" s="3" t="s">
        <v>72</v>
      </c>
      <c r="H6748" s="3" t="s">
        <v>26</v>
      </c>
      <c r="I6748" s="4" t="n">
        <v>4</v>
      </c>
      <c r="J6748" s="4" t="n">
        <f aca="false">LEN(E6748)-LEN(SUBSTITUTE(E6748,",",""))+1</f>
        <v>4</v>
      </c>
      <c r="K6748" s="3" t="str">
        <f aca="false">IFERROR(INDEX('Teacher Lookup'!$B$2:$B$200,MATCH(A6748,'Teacher Lookup'!$A$2:$A$200,0)),"")</f>
        <v>YAM Lydia</v>
      </c>
    </row>
    <row r="6749" customFormat="false" ht="15" hidden="false" customHeight="false" outlineLevel="0" collapsed="false">
      <c r="A6749" s="3" t="s">
        <v>476</v>
      </c>
      <c r="B6749" s="4" t="s">
        <v>50</v>
      </c>
      <c r="C6749" s="4" t="n">
        <v>3</v>
      </c>
      <c r="D6749" s="4" t="s">
        <v>23</v>
      </c>
      <c r="E6749" s="3" t="s">
        <v>329</v>
      </c>
      <c r="F6749" s="4" t="str">
        <f aca="false">IF(I6749&gt;J6749,"Y","N")</f>
        <v>N</v>
      </c>
      <c r="G6749" s="3" t="s">
        <v>72</v>
      </c>
      <c r="H6749" s="3" t="s">
        <v>26</v>
      </c>
      <c r="I6749" s="4" t="n">
        <v>4</v>
      </c>
      <c r="J6749" s="4" t="n">
        <f aca="false">LEN(E6749)-LEN(SUBSTITUTE(E6749,",",""))+1</f>
        <v>4</v>
      </c>
      <c r="K6749" s="3" t="str">
        <f aca="false">IFERROR(INDEX('Teacher Lookup'!$B$2:$B$200,MATCH(A6749,'Teacher Lookup'!$A$2:$A$200,0)),"")</f>
        <v>YAM Lydia</v>
      </c>
    </row>
    <row r="6750" customFormat="false" ht="15" hidden="false" customHeight="false" outlineLevel="0" collapsed="false">
      <c r="A6750" s="3" t="s">
        <v>476</v>
      </c>
      <c r="B6750" s="4" t="s">
        <v>50</v>
      </c>
      <c r="C6750" s="4" t="n">
        <v>5</v>
      </c>
      <c r="D6750" s="4" t="s">
        <v>13</v>
      </c>
      <c r="E6750" s="3" t="s">
        <v>330</v>
      </c>
      <c r="F6750" s="4" t="str">
        <f aca="false">IF(I6750&gt;J6750,"Y","N")</f>
        <v>N</v>
      </c>
      <c r="G6750" s="3" t="s">
        <v>72</v>
      </c>
      <c r="H6750" s="3" t="s">
        <v>37</v>
      </c>
      <c r="I6750" s="4" t="n">
        <v>4</v>
      </c>
      <c r="J6750" s="4" t="n">
        <f aca="false">LEN(E6750)-LEN(SUBSTITUTE(E6750,",",""))+1</f>
        <v>4</v>
      </c>
      <c r="K6750" s="3" t="str">
        <f aca="false">IFERROR(INDEX('Teacher Lookup'!$B$2:$B$200,MATCH(A6750,'Teacher Lookup'!$A$2:$A$200,0)),"")</f>
        <v>YAM Lydia</v>
      </c>
    </row>
    <row r="6751" customFormat="false" ht="15" hidden="false" customHeight="false" outlineLevel="0" collapsed="false">
      <c r="A6751" s="3" t="s">
        <v>476</v>
      </c>
      <c r="B6751" s="4" t="s">
        <v>50</v>
      </c>
      <c r="C6751" s="4" t="n">
        <v>5</v>
      </c>
      <c r="D6751" s="4" t="s">
        <v>17</v>
      </c>
      <c r="E6751" s="3" t="s">
        <v>330</v>
      </c>
      <c r="F6751" s="4" t="str">
        <f aca="false">IF(I6751&gt;J6751,"Y","N")</f>
        <v>N</v>
      </c>
      <c r="G6751" s="3" t="s">
        <v>72</v>
      </c>
      <c r="H6751" s="3" t="s">
        <v>37</v>
      </c>
      <c r="I6751" s="4" t="n">
        <v>4</v>
      </c>
      <c r="J6751" s="4" t="n">
        <f aca="false">LEN(E6751)-LEN(SUBSTITUTE(E6751,",",""))+1</f>
        <v>4</v>
      </c>
      <c r="K6751" s="3" t="str">
        <f aca="false">IFERROR(INDEX('Teacher Lookup'!$B$2:$B$200,MATCH(A6751,'Teacher Lookup'!$A$2:$A$200,0)),"")</f>
        <v>YAM Lydia</v>
      </c>
    </row>
    <row r="6752" customFormat="false" ht="15" hidden="false" customHeight="false" outlineLevel="0" collapsed="false">
      <c r="A6752" s="3" t="s">
        <v>476</v>
      </c>
      <c r="B6752" s="4" t="s">
        <v>50</v>
      </c>
      <c r="C6752" s="4" t="n">
        <v>5</v>
      </c>
      <c r="D6752" s="4" t="s">
        <v>18</v>
      </c>
      <c r="E6752" s="3" t="s">
        <v>330</v>
      </c>
      <c r="F6752" s="4" t="str">
        <f aca="false">IF(I6752&gt;J6752,"Y","N")</f>
        <v>N</v>
      </c>
      <c r="G6752" s="3" t="s">
        <v>72</v>
      </c>
      <c r="H6752" s="3" t="s">
        <v>37</v>
      </c>
      <c r="I6752" s="4" t="n">
        <v>4</v>
      </c>
      <c r="J6752" s="4" t="n">
        <f aca="false">LEN(E6752)-LEN(SUBSTITUTE(E6752,",",""))+1</f>
        <v>4</v>
      </c>
      <c r="K6752" s="3" t="str">
        <f aca="false">IFERROR(INDEX('Teacher Lookup'!$B$2:$B$200,MATCH(A6752,'Teacher Lookup'!$A$2:$A$200,0)),"")</f>
        <v>YAM Lydia</v>
      </c>
    </row>
    <row r="6753" customFormat="false" ht="15" hidden="false" customHeight="false" outlineLevel="0" collapsed="false">
      <c r="A6753" s="3" t="s">
        <v>476</v>
      </c>
      <c r="B6753" s="4" t="s">
        <v>50</v>
      </c>
      <c r="C6753" s="4" t="n">
        <v>6</v>
      </c>
      <c r="D6753" s="4" t="s">
        <v>28</v>
      </c>
      <c r="E6753" s="3" t="s">
        <v>156</v>
      </c>
      <c r="F6753" s="4" t="str">
        <f aca="false">IF(I6753&gt;J6753,"Y","N")</f>
        <v>N</v>
      </c>
      <c r="G6753" s="3" t="s">
        <v>72</v>
      </c>
      <c r="H6753" s="3" t="s">
        <v>42</v>
      </c>
      <c r="I6753" s="4" t="n">
        <v>4</v>
      </c>
      <c r="J6753" s="4" t="n">
        <f aca="false">LEN(E6753)-LEN(SUBSTITUTE(E6753,",",""))+1</f>
        <v>4</v>
      </c>
      <c r="K6753" s="3" t="str">
        <f aca="false">IFERROR(INDEX('Teacher Lookup'!$B$2:$B$200,MATCH(A6753,'Teacher Lookup'!$A$2:$A$200,0)),"")</f>
        <v>YAM Lydia</v>
      </c>
    </row>
    <row r="6754" customFormat="false" ht="15" hidden="false" customHeight="false" outlineLevel="0" collapsed="false">
      <c r="A6754" s="3" t="s">
        <v>476</v>
      </c>
      <c r="B6754" s="4" t="s">
        <v>50</v>
      </c>
      <c r="C6754" s="4" t="n">
        <v>6</v>
      </c>
      <c r="D6754" s="4" t="s">
        <v>29</v>
      </c>
      <c r="E6754" s="3" t="s">
        <v>156</v>
      </c>
      <c r="F6754" s="4" t="str">
        <f aca="false">IF(I6754&gt;J6754,"Y","N")</f>
        <v>N</v>
      </c>
      <c r="G6754" s="3" t="s">
        <v>72</v>
      </c>
      <c r="H6754" s="3" t="s">
        <v>42</v>
      </c>
      <c r="I6754" s="4" t="n">
        <v>4</v>
      </c>
      <c r="J6754" s="4" t="n">
        <f aca="false">LEN(E6754)-LEN(SUBSTITUTE(E6754,",",""))+1</f>
        <v>4</v>
      </c>
      <c r="K6754" s="3" t="str">
        <f aca="false">IFERROR(INDEX('Teacher Lookup'!$B$2:$B$200,MATCH(A6754,'Teacher Lookup'!$A$2:$A$200,0)),"")</f>
        <v>YAM Lydia</v>
      </c>
    </row>
    <row r="6755" customFormat="false" ht="15" hidden="false" customHeight="false" outlineLevel="0" collapsed="false">
      <c r="A6755" s="3" t="s">
        <v>476</v>
      </c>
      <c r="B6755" s="4" t="s">
        <v>50</v>
      </c>
      <c r="C6755" s="4" t="n">
        <v>6</v>
      </c>
      <c r="D6755" s="4" t="s">
        <v>30</v>
      </c>
      <c r="E6755" s="3" t="s">
        <v>156</v>
      </c>
      <c r="F6755" s="4" t="str">
        <f aca="false">IF(I6755&gt;J6755,"Y","N")</f>
        <v>N</v>
      </c>
      <c r="G6755" s="3" t="s">
        <v>72</v>
      </c>
      <c r="H6755" s="3" t="s">
        <v>42</v>
      </c>
      <c r="I6755" s="4" t="n">
        <v>4</v>
      </c>
      <c r="J6755" s="4" t="n">
        <f aca="false">LEN(E6755)-LEN(SUBSTITUTE(E6755,",",""))+1</f>
        <v>4</v>
      </c>
      <c r="K6755" s="3" t="str">
        <f aca="false">IFERROR(INDEX('Teacher Lookup'!$B$2:$B$200,MATCH(A6755,'Teacher Lookup'!$A$2:$A$200,0)),"")</f>
        <v>YAM Lydia</v>
      </c>
    </row>
    <row r="6756" customFormat="false" ht="15" hidden="false" customHeight="false" outlineLevel="0" collapsed="false">
      <c r="A6756" s="3" t="s">
        <v>476</v>
      </c>
      <c r="B6756" s="4" t="s">
        <v>60</v>
      </c>
      <c r="C6756" s="4" t="n">
        <v>1</v>
      </c>
      <c r="D6756" s="4" t="s">
        <v>19</v>
      </c>
      <c r="E6756" s="3" t="s">
        <v>20</v>
      </c>
      <c r="F6756" s="4" t="str">
        <f aca="false">IF(I6756&gt;J6756,"Y","N")</f>
        <v>N</v>
      </c>
      <c r="G6756" s="3" t="s">
        <v>72</v>
      </c>
      <c r="H6756" s="3" t="s">
        <v>16</v>
      </c>
      <c r="I6756" s="4" t="n">
        <v>4</v>
      </c>
      <c r="J6756" s="4" t="n">
        <f aca="false">LEN(E6756)-LEN(SUBSTITUTE(E6756,",",""))+1</f>
        <v>4</v>
      </c>
      <c r="K6756" s="3" t="str">
        <f aca="false">IFERROR(INDEX('Teacher Lookup'!$B$2:$B$200,MATCH(A6756,'Teacher Lookup'!$A$2:$A$200,0)),"")</f>
        <v>YAM Lydia</v>
      </c>
    </row>
    <row r="6757" customFormat="false" ht="15" hidden="false" customHeight="false" outlineLevel="0" collapsed="false">
      <c r="A6757" s="3" t="s">
        <v>476</v>
      </c>
      <c r="B6757" s="4" t="s">
        <v>60</v>
      </c>
      <c r="C6757" s="4" t="n">
        <v>1</v>
      </c>
      <c r="D6757" s="4" t="s">
        <v>22</v>
      </c>
      <c r="E6757" s="3" t="s">
        <v>20</v>
      </c>
      <c r="F6757" s="4" t="str">
        <f aca="false">IF(I6757&gt;J6757,"Y","N")</f>
        <v>N</v>
      </c>
      <c r="G6757" s="3" t="s">
        <v>72</v>
      </c>
      <c r="H6757" s="3" t="s">
        <v>16</v>
      </c>
      <c r="I6757" s="4" t="n">
        <v>4</v>
      </c>
      <c r="J6757" s="4" t="n">
        <f aca="false">LEN(E6757)-LEN(SUBSTITUTE(E6757,",",""))+1</f>
        <v>4</v>
      </c>
      <c r="K6757" s="3" t="str">
        <f aca="false">IFERROR(INDEX('Teacher Lookup'!$B$2:$B$200,MATCH(A6757,'Teacher Lookup'!$A$2:$A$200,0)),"")</f>
        <v>YAM Lydia</v>
      </c>
    </row>
    <row r="6758" customFormat="false" ht="15" hidden="false" customHeight="false" outlineLevel="0" collapsed="false">
      <c r="A6758" s="3" t="s">
        <v>476</v>
      </c>
      <c r="B6758" s="4" t="s">
        <v>60</v>
      </c>
      <c r="C6758" s="4" t="n">
        <v>1</v>
      </c>
      <c r="D6758" s="4" t="s">
        <v>23</v>
      </c>
      <c r="E6758" s="3" t="s">
        <v>20</v>
      </c>
      <c r="F6758" s="4" t="str">
        <f aca="false">IF(I6758&gt;J6758,"Y","N")</f>
        <v>N</v>
      </c>
      <c r="G6758" s="3" t="s">
        <v>72</v>
      </c>
      <c r="H6758" s="3" t="s">
        <v>16</v>
      </c>
      <c r="I6758" s="4" t="n">
        <v>4</v>
      </c>
      <c r="J6758" s="4" t="n">
        <f aca="false">LEN(E6758)-LEN(SUBSTITUTE(E6758,",",""))+1</f>
        <v>4</v>
      </c>
      <c r="K6758" s="3" t="str">
        <f aca="false">IFERROR(INDEX('Teacher Lookup'!$B$2:$B$200,MATCH(A6758,'Teacher Lookup'!$A$2:$A$200,0)),"")</f>
        <v>YAM Lydia</v>
      </c>
    </row>
    <row r="6759" customFormat="false" ht="15" hidden="false" customHeight="false" outlineLevel="0" collapsed="false">
      <c r="A6759" s="3" t="s">
        <v>476</v>
      </c>
      <c r="B6759" s="4" t="s">
        <v>60</v>
      </c>
      <c r="C6759" s="4" t="n">
        <v>4</v>
      </c>
      <c r="D6759" s="4" t="s">
        <v>13</v>
      </c>
      <c r="E6759" s="3" t="s">
        <v>333</v>
      </c>
      <c r="F6759" s="4" t="str">
        <f aca="false">IF(I6759&gt;J6759,"Y","N")</f>
        <v>N</v>
      </c>
      <c r="G6759" s="3" t="s">
        <v>72</v>
      </c>
      <c r="H6759" s="3" t="s">
        <v>34</v>
      </c>
      <c r="I6759" s="4" t="n">
        <v>4</v>
      </c>
      <c r="J6759" s="4" t="n">
        <f aca="false">LEN(E6759)-LEN(SUBSTITUTE(E6759,",",""))+1</f>
        <v>4</v>
      </c>
      <c r="K6759" s="3" t="str">
        <f aca="false">IFERROR(INDEX('Teacher Lookup'!$B$2:$B$200,MATCH(A6759,'Teacher Lookup'!$A$2:$A$200,0)),"")</f>
        <v>YAM Lydia</v>
      </c>
    </row>
    <row r="6760" customFormat="false" ht="15" hidden="false" customHeight="false" outlineLevel="0" collapsed="false">
      <c r="A6760" s="3" t="s">
        <v>476</v>
      </c>
      <c r="B6760" s="4" t="s">
        <v>60</v>
      </c>
      <c r="C6760" s="4" t="n">
        <v>4</v>
      </c>
      <c r="D6760" s="4" t="s">
        <v>17</v>
      </c>
      <c r="E6760" s="3" t="s">
        <v>333</v>
      </c>
      <c r="F6760" s="4" t="str">
        <f aca="false">IF(I6760&gt;J6760,"Y","N")</f>
        <v>N</v>
      </c>
      <c r="G6760" s="3" t="s">
        <v>72</v>
      </c>
      <c r="H6760" s="3" t="s">
        <v>34</v>
      </c>
      <c r="I6760" s="4" t="n">
        <v>4</v>
      </c>
      <c r="J6760" s="4" t="n">
        <f aca="false">LEN(E6760)-LEN(SUBSTITUTE(E6760,",",""))+1</f>
        <v>4</v>
      </c>
      <c r="K6760" s="3" t="str">
        <f aca="false">IFERROR(INDEX('Teacher Lookup'!$B$2:$B$200,MATCH(A6760,'Teacher Lookup'!$A$2:$A$200,0)),"")</f>
        <v>YAM Lydia</v>
      </c>
    </row>
    <row r="6761" customFormat="false" ht="15" hidden="false" customHeight="false" outlineLevel="0" collapsed="false">
      <c r="A6761" s="3" t="s">
        <v>476</v>
      </c>
      <c r="B6761" s="4" t="s">
        <v>60</v>
      </c>
      <c r="C6761" s="4" t="n">
        <v>4</v>
      </c>
      <c r="D6761" s="4" t="s">
        <v>18</v>
      </c>
      <c r="E6761" s="3" t="s">
        <v>333</v>
      </c>
      <c r="F6761" s="4" t="str">
        <f aca="false">IF(I6761&gt;J6761,"Y","N")</f>
        <v>N</v>
      </c>
      <c r="G6761" s="3" t="s">
        <v>72</v>
      </c>
      <c r="H6761" s="3" t="s">
        <v>34</v>
      </c>
      <c r="I6761" s="4" t="n">
        <v>4</v>
      </c>
      <c r="J6761" s="4" t="n">
        <f aca="false">LEN(E6761)-LEN(SUBSTITUTE(E6761,",",""))+1</f>
        <v>4</v>
      </c>
      <c r="K6761" s="3" t="str">
        <f aca="false">IFERROR(INDEX('Teacher Lookup'!$B$2:$B$200,MATCH(A6761,'Teacher Lookup'!$A$2:$A$200,0)),"")</f>
        <v>YAM Lydia</v>
      </c>
    </row>
    <row r="6762" customFormat="false" ht="15" hidden="false" customHeight="false" outlineLevel="0" collapsed="false">
      <c r="A6762" s="3" t="s">
        <v>476</v>
      </c>
      <c r="B6762" s="4" t="s">
        <v>60</v>
      </c>
      <c r="C6762" s="4" t="n">
        <v>5</v>
      </c>
      <c r="D6762" s="4" t="s">
        <v>19</v>
      </c>
      <c r="E6762" s="3" t="s">
        <v>35</v>
      </c>
      <c r="F6762" s="4" t="str">
        <f aca="false">IF(I6762&gt;J6762,"Y","N")</f>
        <v>Y</v>
      </c>
      <c r="G6762" s="3" t="s">
        <v>36</v>
      </c>
      <c r="H6762" s="3" t="s">
        <v>37</v>
      </c>
      <c r="I6762" s="4" t="n">
        <v>17</v>
      </c>
      <c r="J6762" s="4" t="n">
        <f aca="false">LEN(E6762)-LEN(SUBSTITUTE(E6762,",",""))+1</f>
        <v>7</v>
      </c>
      <c r="K6762" s="3" t="str">
        <f aca="false">IFERROR(INDEX('Teacher Lookup'!$B$2:$B$200,MATCH(A6762,'Teacher Lookup'!$A$2:$A$200,0)),"")</f>
        <v>YAM Lydia</v>
      </c>
    </row>
    <row r="6763" customFormat="false" ht="15" hidden="false" customHeight="false" outlineLevel="0" collapsed="false">
      <c r="A6763" s="3" t="s">
        <v>476</v>
      </c>
      <c r="B6763" s="4" t="s">
        <v>60</v>
      </c>
      <c r="C6763" s="4" t="n">
        <v>5</v>
      </c>
      <c r="D6763" s="4" t="s">
        <v>22</v>
      </c>
      <c r="E6763" s="3" t="s">
        <v>35</v>
      </c>
      <c r="F6763" s="4" t="str">
        <f aca="false">IF(I6763&gt;J6763,"Y","N")</f>
        <v>Y</v>
      </c>
      <c r="G6763" s="3" t="s">
        <v>36</v>
      </c>
      <c r="H6763" s="3" t="s">
        <v>37</v>
      </c>
      <c r="I6763" s="4" t="n">
        <v>17</v>
      </c>
      <c r="J6763" s="4" t="n">
        <f aca="false">LEN(E6763)-LEN(SUBSTITUTE(E6763,",",""))+1</f>
        <v>7</v>
      </c>
      <c r="K6763" s="3" t="str">
        <f aca="false">IFERROR(INDEX('Teacher Lookup'!$B$2:$B$200,MATCH(A6763,'Teacher Lookup'!$A$2:$A$200,0)),"")</f>
        <v>YAM Lydia</v>
      </c>
    </row>
    <row r="6764" customFormat="false" ht="15" hidden="false" customHeight="false" outlineLevel="0" collapsed="false">
      <c r="A6764" s="3" t="s">
        <v>476</v>
      </c>
      <c r="B6764" s="4" t="s">
        <v>60</v>
      </c>
      <c r="C6764" s="4" t="n">
        <v>5</v>
      </c>
      <c r="D6764" s="4" t="s">
        <v>23</v>
      </c>
      <c r="E6764" s="3" t="s">
        <v>35</v>
      </c>
      <c r="F6764" s="4" t="str">
        <f aca="false">IF(I6764&gt;J6764,"Y","N")</f>
        <v>Y</v>
      </c>
      <c r="G6764" s="3" t="s">
        <v>36</v>
      </c>
      <c r="H6764" s="3" t="s">
        <v>37</v>
      </c>
      <c r="I6764" s="4" t="n">
        <v>17</v>
      </c>
      <c r="J6764" s="4" t="n">
        <f aca="false">LEN(E6764)-LEN(SUBSTITUTE(E6764,",",""))+1</f>
        <v>7</v>
      </c>
      <c r="K6764" s="3" t="str">
        <f aca="false">IFERROR(INDEX('Teacher Lookup'!$B$2:$B$200,MATCH(A6764,'Teacher Lookup'!$A$2:$A$200,0)),"")</f>
        <v>YAM Lydia</v>
      </c>
    </row>
    <row r="6765" customFormat="false" ht="15" hidden="false" customHeight="false" outlineLevel="0" collapsed="false">
      <c r="A6765" s="3" t="s">
        <v>476</v>
      </c>
      <c r="B6765" s="4" t="s">
        <v>60</v>
      </c>
      <c r="C6765" s="4" t="n">
        <v>5</v>
      </c>
      <c r="D6765" s="4" t="s">
        <v>13</v>
      </c>
      <c r="E6765" s="3" t="s">
        <v>35</v>
      </c>
      <c r="F6765" s="4" t="str">
        <f aca="false">IF(I6765&gt;J6765,"Y","N")</f>
        <v>Y</v>
      </c>
      <c r="G6765" s="3" t="s">
        <v>36</v>
      </c>
      <c r="H6765" s="3" t="s">
        <v>37</v>
      </c>
      <c r="I6765" s="4" t="n">
        <v>17</v>
      </c>
      <c r="J6765" s="4" t="n">
        <f aca="false">LEN(E6765)-LEN(SUBSTITUTE(E6765,",",""))+1</f>
        <v>7</v>
      </c>
      <c r="K6765" s="3" t="str">
        <f aca="false">IFERROR(INDEX('Teacher Lookup'!$B$2:$B$200,MATCH(A6765,'Teacher Lookup'!$A$2:$A$200,0)),"")</f>
        <v>YAM Lydia</v>
      </c>
    </row>
    <row r="6766" customFormat="false" ht="15" hidden="false" customHeight="false" outlineLevel="0" collapsed="false">
      <c r="A6766" s="3" t="s">
        <v>476</v>
      </c>
      <c r="B6766" s="4" t="s">
        <v>60</v>
      </c>
      <c r="C6766" s="4" t="n">
        <v>5</v>
      </c>
      <c r="D6766" s="4" t="s">
        <v>17</v>
      </c>
      <c r="E6766" s="3" t="s">
        <v>35</v>
      </c>
      <c r="F6766" s="4" t="str">
        <f aca="false">IF(I6766&gt;J6766,"Y","N")</f>
        <v>Y</v>
      </c>
      <c r="G6766" s="3" t="s">
        <v>36</v>
      </c>
      <c r="H6766" s="3" t="s">
        <v>37</v>
      </c>
      <c r="I6766" s="4" t="n">
        <v>17</v>
      </c>
      <c r="J6766" s="4" t="n">
        <f aca="false">LEN(E6766)-LEN(SUBSTITUTE(E6766,",",""))+1</f>
        <v>7</v>
      </c>
      <c r="K6766" s="3" t="str">
        <f aca="false">IFERROR(INDEX('Teacher Lookup'!$B$2:$B$200,MATCH(A6766,'Teacher Lookup'!$A$2:$A$200,0)),"")</f>
        <v>YAM Lydia</v>
      </c>
    </row>
    <row r="6767" customFormat="false" ht="15" hidden="false" customHeight="false" outlineLevel="0" collapsed="false">
      <c r="A6767" s="3" t="s">
        <v>476</v>
      </c>
      <c r="B6767" s="4" t="s">
        <v>60</v>
      </c>
      <c r="C6767" s="4" t="n">
        <v>5</v>
      </c>
      <c r="D6767" s="4" t="s">
        <v>18</v>
      </c>
      <c r="E6767" s="3" t="s">
        <v>35</v>
      </c>
      <c r="F6767" s="4" t="str">
        <f aca="false">IF(I6767&gt;J6767,"Y","N")</f>
        <v>Y</v>
      </c>
      <c r="G6767" s="3" t="s">
        <v>36</v>
      </c>
      <c r="H6767" s="3" t="s">
        <v>37</v>
      </c>
      <c r="I6767" s="4" t="n">
        <v>17</v>
      </c>
      <c r="J6767" s="4" t="n">
        <f aca="false">LEN(E6767)-LEN(SUBSTITUTE(E6767,",",""))+1</f>
        <v>7</v>
      </c>
      <c r="K6767" s="3" t="str">
        <f aca="false">IFERROR(INDEX('Teacher Lookup'!$B$2:$B$200,MATCH(A6767,'Teacher Lookup'!$A$2:$A$200,0)),"")</f>
        <v>YAM Lydia</v>
      </c>
    </row>
    <row r="6768" customFormat="false" ht="15" hidden="false" customHeight="false" outlineLevel="0" collapsed="false">
      <c r="A6768" s="3" t="s">
        <v>476</v>
      </c>
      <c r="B6768" s="4" t="s">
        <v>60</v>
      </c>
      <c r="C6768" s="4" t="n">
        <v>7</v>
      </c>
      <c r="D6768" s="4" t="s">
        <v>28</v>
      </c>
      <c r="E6768" s="3" t="s">
        <v>153</v>
      </c>
      <c r="F6768" s="4" t="str">
        <f aca="false">IF(I6768&gt;J6768,"Y","N")</f>
        <v>N</v>
      </c>
      <c r="G6768" s="3" t="s">
        <v>72</v>
      </c>
      <c r="H6768" s="3" t="s">
        <v>39</v>
      </c>
      <c r="I6768" s="4" t="n">
        <v>4</v>
      </c>
      <c r="J6768" s="4" t="n">
        <f aca="false">LEN(E6768)-LEN(SUBSTITUTE(E6768,",",""))+1</f>
        <v>4</v>
      </c>
      <c r="K6768" s="3" t="str">
        <f aca="false">IFERROR(INDEX('Teacher Lookup'!$B$2:$B$200,MATCH(A6768,'Teacher Lookup'!$A$2:$A$200,0)),"")</f>
        <v>YAM Lydia</v>
      </c>
    </row>
    <row r="6769" customFormat="false" ht="15" hidden="false" customHeight="false" outlineLevel="0" collapsed="false">
      <c r="A6769" s="3" t="s">
        <v>476</v>
      </c>
      <c r="B6769" s="4" t="s">
        <v>60</v>
      </c>
      <c r="C6769" s="4" t="n">
        <v>7</v>
      </c>
      <c r="D6769" s="4" t="s">
        <v>29</v>
      </c>
      <c r="E6769" s="3" t="s">
        <v>153</v>
      </c>
      <c r="F6769" s="4" t="str">
        <f aca="false">IF(I6769&gt;J6769,"Y","N")</f>
        <v>N</v>
      </c>
      <c r="G6769" s="3" t="s">
        <v>72</v>
      </c>
      <c r="H6769" s="3" t="s">
        <v>39</v>
      </c>
      <c r="I6769" s="4" t="n">
        <v>4</v>
      </c>
      <c r="J6769" s="4" t="n">
        <f aca="false">LEN(E6769)-LEN(SUBSTITUTE(E6769,",",""))+1</f>
        <v>4</v>
      </c>
      <c r="K6769" s="3" t="str">
        <f aca="false">IFERROR(INDEX('Teacher Lookup'!$B$2:$B$200,MATCH(A6769,'Teacher Lookup'!$A$2:$A$200,0)),"")</f>
        <v>YAM Lydia</v>
      </c>
    </row>
    <row r="6770" customFormat="false" ht="15" hidden="false" customHeight="false" outlineLevel="0" collapsed="false">
      <c r="A6770" s="3" t="s">
        <v>476</v>
      </c>
      <c r="B6770" s="4" t="s">
        <v>60</v>
      </c>
      <c r="C6770" s="4" t="n">
        <v>7</v>
      </c>
      <c r="D6770" s="4" t="s">
        <v>30</v>
      </c>
      <c r="E6770" s="3" t="s">
        <v>153</v>
      </c>
      <c r="F6770" s="4" t="str">
        <f aca="false">IF(I6770&gt;J6770,"Y","N")</f>
        <v>N</v>
      </c>
      <c r="G6770" s="3" t="s">
        <v>72</v>
      </c>
      <c r="H6770" s="3" t="s">
        <v>39</v>
      </c>
      <c r="I6770" s="4" t="n">
        <v>4</v>
      </c>
      <c r="J6770" s="4" t="n">
        <f aca="false">LEN(E6770)-LEN(SUBSTITUTE(E6770,",",""))+1</f>
        <v>4</v>
      </c>
      <c r="K6770" s="3" t="str">
        <f aca="false">IFERROR(INDEX('Teacher Lookup'!$B$2:$B$200,MATCH(A6770,'Teacher Lookup'!$A$2:$A$200,0)),"")</f>
        <v>YAM Lydia</v>
      </c>
    </row>
    <row r="6771" customFormat="false" ht="15" hidden="false" customHeight="false" outlineLevel="0" collapsed="false">
      <c r="A6771" s="3" t="s">
        <v>476</v>
      </c>
      <c r="B6771" s="4" t="s">
        <v>63</v>
      </c>
      <c r="C6771" s="4" t="n">
        <v>1</v>
      </c>
      <c r="D6771" s="4" t="s">
        <v>13</v>
      </c>
      <c r="E6771" s="3" t="s">
        <v>327</v>
      </c>
      <c r="F6771" s="4" t="str">
        <f aca="false">IF(I6771&gt;J6771,"Y","N")</f>
        <v>N</v>
      </c>
      <c r="G6771" s="3" t="s">
        <v>72</v>
      </c>
      <c r="H6771" s="3" t="s">
        <v>16</v>
      </c>
      <c r="I6771" s="4" t="n">
        <v>4</v>
      </c>
      <c r="J6771" s="4" t="n">
        <f aca="false">LEN(E6771)-LEN(SUBSTITUTE(E6771,",",""))+1</f>
        <v>4</v>
      </c>
      <c r="K6771" s="3" t="str">
        <f aca="false">IFERROR(INDEX('Teacher Lookup'!$B$2:$B$200,MATCH(A6771,'Teacher Lookup'!$A$2:$A$200,0)),"")</f>
        <v>YAM Lydia</v>
      </c>
    </row>
    <row r="6772" customFormat="false" ht="15" hidden="false" customHeight="false" outlineLevel="0" collapsed="false">
      <c r="A6772" s="3" t="s">
        <v>476</v>
      </c>
      <c r="B6772" s="4" t="s">
        <v>63</v>
      </c>
      <c r="C6772" s="4" t="n">
        <v>1</v>
      </c>
      <c r="D6772" s="4" t="s">
        <v>17</v>
      </c>
      <c r="E6772" s="3" t="s">
        <v>327</v>
      </c>
      <c r="F6772" s="4" t="str">
        <f aca="false">IF(I6772&gt;J6772,"Y","N")</f>
        <v>N</v>
      </c>
      <c r="G6772" s="3" t="s">
        <v>72</v>
      </c>
      <c r="H6772" s="3" t="s">
        <v>16</v>
      </c>
      <c r="I6772" s="4" t="n">
        <v>4</v>
      </c>
      <c r="J6772" s="4" t="n">
        <f aca="false">LEN(E6772)-LEN(SUBSTITUTE(E6772,",",""))+1</f>
        <v>4</v>
      </c>
      <c r="K6772" s="3" t="str">
        <f aca="false">IFERROR(INDEX('Teacher Lookup'!$B$2:$B$200,MATCH(A6772,'Teacher Lookup'!$A$2:$A$200,0)),"")</f>
        <v>YAM Lydia</v>
      </c>
    </row>
    <row r="6773" customFormat="false" ht="15" hidden="false" customHeight="false" outlineLevel="0" collapsed="false">
      <c r="A6773" s="3" t="s">
        <v>476</v>
      </c>
      <c r="B6773" s="4" t="s">
        <v>63</v>
      </c>
      <c r="C6773" s="4" t="n">
        <v>1</v>
      </c>
      <c r="D6773" s="4" t="s">
        <v>18</v>
      </c>
      <c r="E6773" s="3" t="s">
        <v>327</v>
      </c>
      <c r="F6773" s="4" t="str">
        <f aca="false">IF(I6773&gt;J6773,"Y","N")</f>
        <v>N</v>
      </c>
      <c r="G6773" s="3" t="s">
        <v>72</v>
      </c>
      <c r="H6773" s="3" t="s">
        <v>16</v>
      </c>
      <c r="I6773" s="4" t="n">
        <v>4</v>
      </c>
      <c r="J6773" s="4" t="n">
        <f aca="false">LEN(E6773)-LEN(SUBSTITUTE(E6773,",",""))+1</f>
        <v>4</v>
      </c>
      <c r="K6773" s="3" t="str">
        <f aca="false">IFERROR(INDEX('Teacher Lookup'!$B$2:$B$200,MATCH(A6773,'Teacher Lookup'!$A$2:$A$200,0)),"")</f>
        <v>YAM Lydia</v>
      </c>
    </row>
    <row r="6774" customFormat="false" ht="15" hidden="false" customHeight="false" outlineLevel="0" collapsed="false">
      <c r="A6774" s="3" t="s">
        <v>476</v>
      </c>
      <c r="B6774" s="4" t="s">
        <v>63</v>
      </c>
      <c r="C6774" s="4" t="n">
        <v>2</v>
      </c>
      <c r="D6774" s="4" t="s">
        <v>13</v>
      </c>
      <c r="E6774" s="3" t="s">
        <v>327</v>
      </c>
      <c r="F6774" s="4" t="str">
        <f aca="false">IF(I6774&gt;J6774,"Y","N")</f>
        <v>N</v>
      </c>
      <c r="G6774" s="3" t="s">
        <v>72</v>
      </c>
      <c r="H6774" s="3" t="s">
        <v>21</v>
      </c>
      <c r="I6774" s="4" t="n">
        <v>4</v>
      </c>
      <c r="J6774" s="4" t="n">
        <f aca="false">LEN(E6774)-LEN(SUBSTITUTE(E6774,",",""))+1</f>
        <v>4</v>
      </c>
      <c r="K6774" s="3" t="str">
        <f aca="false">IFERROR(INDEX('Teacher Lookup'!$B$2:$B$200,MATCH(A6774,'Teacher Lookup'!$A$2:$A$200,0)),"")</f>
        <v>YAM Lydia</v>
      </c>
    </row>
    <row r="6775" customFormat="false" ht="15" hidden="false" customHeight="false" outlineLevel="0" collapsed="false">
      <c r="A6775" s="3" t="s">
        <v>476</v>
      </c>
      <c r="B6775" s="4" t="s">
        <v>63</v>
      </c>
      <c r="C6775" s="4" t="n">
        <v>2</v>
      </c>
      <c r="D6775" s="4" t="s">
        <v>17</v>
      </c>
      <c r="E6775" s="3" t="s">
        <v>327</v>
      </c>
      <c r="F6775" s="4" t="str">
        <f aca="false">IF(I6775&gt;J6775,"Y","N")</f>
        <v>N</v>
      </c>
      <c r="G6775" s="3" t="s">
        <v>72</v>
      </c>
      <c r="H6775" s="3" t="s">
        <v>21</v>
      </c>
      <c r="I6775" s="4" t="n">
        <v>4</v>
      </c>
      <c r="J6775" s="4" t="n">
        <f aca="false">LEN(E6775)-LEN(SUBSTITUTE(E6775,",",""))+1</f>
        <v>4</v>
      </c>
      <c r="K6775" s="3" t="str">
        <f aca="false">IFERROR(INDEX('Teacher Lookup'!$B$2:$B$200,MATCH(A6775,'Teacher Lookup'!$A$2:$A$200,0)),"")</f>
        <v>YAM Lydia</v>
      </c>
    </row>
    <row r="6776" customFormat="false" ht="15" hidden="false" customHeight="false" outlineLevel="0" collapsed="false">
      <c r="A6776" s="3" t="s">
        <v>476</v>
      </c>
      <c r="B6776" s="4" t="s">
        <v>63</v>
      </c>
      <c r="C6776" s="4" t="n">
        <v>2</v>
      </c>
      <c r="D6776" s="4" t="s">
        <v>18</v>
      </c>
      <c r="E6776" s="3" t="s">
        <v>327</v>
      </c>
      <c r="F6776" s="4" t="str">
        <f aca="false">IF(I6776&gt;J6776,"Y","N")</f>
        <v>N</v>
      </c>
      <c r="G6776" s="3" t="s">
        <v>72</v>
      </c>
      <c r="H6776" s="3" t="s">
        <v>21</v>
      </c>
      <c r="I6776" s="4" t="n">
        <v>4</v>
      </c>
      <c r="J6776" s="4" t="n">
        <f aca="false">LEN(E6776)-LEN(SUBSTITUTE(E6776,",",""))+1</f>
        <v>4</v>
      </c>
      <c r="K6776" s="3" t="str">
        <f aca="false">IFERROR(INDEX('Teacher Lookup'!$B$2:$B$200,MATCH(A6776,'Teacher Lookup'!$A$2:$A$200,0)),"")</f>
        <v>YAM Lydia</v>
      </c>
    </row>
    <row r="6777" customFormat="false" ht="15" hidden="false" customHeight="false" outlineLevel="0" collapsed="false">
      <c r="A6777" s="3" t="s">
        <v>476</v>
      </c>
      <c r="B6777" s="4" t="s">
        <v>63</v>
      </c>
      <c r="C6777" s="4" t="n">
        <v>3</v>
      </c>
      <c r="D6777" s="4" t="s">
        <v>19</v>
      </c>
      <c r="E6777" s="3" t="s">
        <v>334</v>
      </c>
      <c r="F6777" s="4" t="str">
        <f aca="false">IF(I6777&gt;J6777,"Y","N")</f>
        <v>N</v>
      </c>
      <c r="G6777" s="3" t="s">
        <v>72</v>
      </c>
      <c r="H6777" s="3" t="s">
        <v>26</v>
      </c>
      <c r="I6777" s="4" t="n">
        <v>4</v>
      </c>
      <c r="J6777" s="4" t="n">
        <f aca="false">LEN(E6777)-LEN(SUBSTITUTE(E6777,",",""))+1</f>
        <v>4</v>
      </c>
      <c r="K6777" s="3" t="str">
        <f aca="false">IFERROR(INDEX('Teacher Lookup'!$B$2:$B$200,MATCH(A6777,'Teacher Lookup'!$A$2:$A$200,0)),"")</f>
        <v>YAM Lydia</v>
      </c>
    </row>
    <row r="6778" customFormat="false" ht="15" hidden="false" customHeight="false" outlineLevel="0" collapsed="false">
      <c r="A6778" s="3" t="s">
        <v>476</v>
      </c>
      <c r="B6778" s="4" t="s">
        <v>63</v>
      </c>
      <c r="C6778" s="4" t="n">
        <v>3</v>
      </c>
      <c r="D6778" s="4" t="s">
        <v>22</v>
      </c>
      <c r="E6778" s="3" t="s">
        <v>334</v>
      </c>
      <c r="F6778" s="4" t="str">
        <f aca="false">IF(I6778&gt;J6778,"Y","N")</f>
        <v>N</v>
      </c>
      <c r="G6778" s="3" t="s">
        <v>72</v>
      </c>
      <c r="H6778" s="3" t="s">
        <v>26</v>
      </c>
      <c r="I6778" s="4" t="n">
        <v>4</v>
      </c>
      <c r="J6778" s="4" t="n">
        <f aca="false">LEN(E6778)-LEN(SUBSTITUTE(E6778,",",""))+1</f>
        <v>4</v>
      </c>
      <c r="K6778" s="3" t="str">
        <f aca="false">IFERROR(INDEX('Teacher Lookup'!$B$2:$B$200,MATCH(A6778,'Teacher Lookup'!$A$2:$A$200,0)),"")</f>
        <v>YAM Lydia</v>
      </c>
    </row>
    <row r="6779" customFormat="false" ht="15" hidden="false" customHeight="false" outlineLevel="0" collapsed="false">
      <c r="A6779" s="3" t="s">
        <v>476</v>
      </c>
      <c r="B6779" s="4" t="s">
        <v>63</v>
      </c>
      <c r="C6779" s="4" t="n">
        <v>3</v>
      </c>
      <c r="D6779" s="4" t="s">
        <v>23</v>
      </c>
      <c r="E6779" s="3" t="s">
        <v>334</v>
      </c>
      <c r="F6779" s="4" t="str">
        <f aca="false">IF(I6779&gt;J6779,"Y","N")</f>
        <v>N</v>
      </c>
      <c r="G6779" s="3" t="s">
        <v>72</v>
      </c>
      <c r="H6779" s="3" t="s">
        <v>26</v>
      </c>
      <c r="I6779" s="4" t="n">
        <v>4</v>
      </c>
      <c r="J6779" s="4" t="n">
        <f aca="false">LEN(E6779)-LEN(SUBSTITUTE(E6779,",",""))+1</f>
        <v>4</v>
      </c>
      <c r="K6779" s="3" t="str">
        <f aca="false">IFERROR(INDEX('Teacher Lookup'!$B$2:$B$200,MATCH(A6779,'Teacher Lookup'!$A$2:$A$200,0)),"")</f>
        <v>YAM Lydia</v>
      </c>
    </row>
    <row r="6780" customFormat="false" ht="15" hidden="false" customHeight="false" outlineLevel="0" collapsed="false">
      <c r="A6780" s="3" t="s">
        <v>476</v>
      </c>
      <c r="B6780" s="4" t="s">
        <v>63</v>
      </c>
      <c r="C6780" s="4" t="n">
        <v>6</v>
      </c>
      <c r="D6780" s="4" t="s">
        <v>28</v>
      </c>
      <c r="E6780" s="3" t="s">
        <v>158</v>
      </c>
      <c r="F6780" s="4" t="str">
        <f aca="false">IF(I6780&gt;J6780,"Y","N")</f>
        <v>N</v>
      </c>
      <c r="G6780" s="3" t="s">
        <v>72</v>
      </c>
      <c r="H6780" s="3" t="s">
        <v>42</v>
      </c>
      <c r="I6780" s="4" t="n">
        <v>4</v>
      </c>
      <c r="J6780" s="4" t="n">
        <f aca="false">LEN(E6780)-LEN(SUBSTITUTE(E6780,",",""))+1</f>
        <v>4</v>
      </c>
      <c r="K6780" s="3" t="str">
        <f aca="false">IFERROR(INDEX('Teacher Lookup'!$B$2:$B$200,MATCH(A6780,'Teacher Lookup'!$A$2:$A$200,0)),"")</f>
        <v>YAM Lydia</v>
      </c>
    </row>
    <row r="6781" customFormat="false" ht="15" hidden="false" customHeight="false" outlineLevel="0" collapsed="false">
      <c r="A6781" s="3" t="s">
        <v>476</v>
      </c>
      <c r="B6781" s="4" t="s">
        <v>63</v>
      </c>
      <c r="C6781" s="4" t="n">
        <v>6</v>
      </c>
      <c r="D6781" s="4" t="s">
        <v>29</v>
      </c>
      <c r="E6781" s="3" t="s">
        <v>158</v>
      </c>
      <c r="F6781" s="4" t="str">
        <f aca="false">IF(I6781&gt;J6781,"Y","N")</f>
        <v>N</v>
      </c>
      <c r="G6781" s="3" t="s">
        <v>72</v>
      </c>
      <c r="H6781" s="3" t="s">
        <v>42</v>
      </c>
      <c r="I6781" s="4" t="n">
        <v>4</v>
      </c>
      <c r="J6781" s="4" t="n">
        <f aca="false">LEN(E6781)-LEN(SUBSTITUTE(E6781,",",""))+1</f>
        <v>4</v>
      </c>
      <c r="K6781" s="3" t="str">
        <f aca="false">IFERROR(INDEX('Teacher Lookup'!$B$2:$B$200,MATCH(A6781,'Teacher Lookup'!$A$2:$A$200,0)),"")</f>
        <v>YAM Lydia</v>
      </c>
    </row>
    <row r="6782" customFormat="false" ht="15" hidden="false" customHeight="false" outlineLevel="0" collapsed="false">
      <c r="A6782" s="3" t="s">
        <v>476</v>
      </c>
      <c r="B6782" s="4" t="s">
        <v>63</v>
      </c>
      <c r="C6782" s="4" t="n">
        <v>6</v>
      </c>
      <c r="D6782" s="4" t="s">
        <v>30</v>
      </c>
      <c r="E6782" s="3" t="s">
        <v>158</v>
      </c>
      <c r="F6782" s="4" t="str">
        <f aca="false">IF(I6782&gt;J6782,"Y","N")</f>
        <v>N</v>
      </c>
      <c r="G6782" s="3" t="s">
        <v>72</v>
      </c>
      <c r="H6782" s="3" t="s">
        <v>42</v>
      </c>
      <c r="I6782" s="4" t="n">
        <v>4</v>
      </c>
      <c r="J6782" s="4" t="n">
        <f aca="false">LEN(E6782)-LEN(SUBSTITUTE(E6782,",",""))+1</f>
        <v>4</v>
      </c>
      <c r="K6782" s="3" t="str">
        <f aca="false">IFERROR(INDEX('Teacher Lookup'!$B$2:$B$200,MATCH(A6782,'Teacher Lookup'!$A$2:$A$200,0)),"")</f>
        <v>YAM Lydia</v>
      </c>
    </row>
    <row r="6783" customFormat="false" ht="15" hidden="false" customHeight="false" outlineLevel="0" collapsed="false">
      <c r="A6783" s="3" t="s">
        <v>476</v>
      </c>
      <c r="B6783" s="4" t="s">
        <v>65</v>
      </c>
      <c r="C6783" s="4" t="n">
        <v>1</v>
      </c>
      <c r="D6783" s="4" t="s">
        <v>19</v>
      </c>
      <c r="E6783" s="3" t="s">
        <v>51</v>
      </c>
      <c r="F6783" s="4" t="str">
        <f aca="false">IF(I6783&gt;J6783,"Y","N")</f>
        <v>N</v>
      </c>
      <c r="G6783" s="3" t="s">
        <v>72</v>
      </c>
      <c r="H6783" s="3" t="s">
        <v>16</v>
      </c>
      <c r="I6783" s="4" t="n">
        <v>4</v>
      </c>
      <c r="J6783" s="4" t="n">
        <f aca="false">LEN(E6783)-LEN(SUBSTITUTE(E6783,",",""))+1</f>
        <v>4</v>
      </c>
      <c r="K6783" s="3" t="str">
        <f aca="false">IFERROR(INDEX('Teacher Lookup'!$B$2:$B$200,MATCH(A6783,'Teacher Lookup'!$A$2:$A$200,0)),"")</f>
        <v>YAM Lydia</v>
      </c>
    </row>
    <row r="6784" customFormat="false" ht="15" hidden="false" customHeight="false" outlineLevel="0" collapsed="false">
      <c r="A6784" s="3" t="s">
        <v>476</v>
      </c>
      <c r="B6784" s="4" t="s">
        <v>65</v>
      </c>
      <c r="C6784" s="4" t="n">
        <v>1</v>
      </c>
      <c r="D6784" s="4" t="s">
        <v>22</v>
      </c>
      <c r="E6784" s="3" t="s">
        <v>51</v>
      </c>
      <c r="F6784" s="4" t="str">
        <f aca="false">IF(I6784&gt;J6784,"Y","N")</f>
        <v>N</v>
      </c>
      <c r="G6784" s="3" t="s">
        <v>72</v>
      </c>
      <c r="H6784" s="3" t="s">
        <v>16</v>
      </c>
      <c r="I6784" s="4" t="n">
        <v>4</v>
      </c>
      <c r="J6784" s="4" t="n">
        <f aca="false">LEN(E6784)-LEN(SUBSTITUTE(E6784,",",""))+1</f>
        <v>4</v>
      </c>
      <c r="K6784" s="3" t="str">
        <f aca="false">IFERROR(INDEX('Teacher Lookup'!$B$2:$B$200,MATCH(A6784,'Teacher Lookup'!$A$2:$A$200,0)),"")</f>
        <v>YAM Lydia</v>
      </c>
    </row>
    <row r="6785" customFormat="false" ht="15" hidden="false" customHeight="false" outlineLevel="0" collapsed="false">
      <c r="A6785" s="3" t="s">
        <v>476</v>
      </c>
      <c r="B6785" s="4" t="s">
        <v>65</v>
      </c>
      <c r="C6785" s="4" t="n">
        <v>1</v>
      </c>
      <c r="D6785" s="4" t="s">
        <v>23</v>
      </c>
      <c r="E6785" s="3" t="s">
        <v>51</v>
      </c>
      <c r="F6785" s="4" t="str">
        <f aca="false">IF(I6785&gt;J6785,"Y","N")</f>
        <v>N</v>
      </c>
      <c r="G6785" s="3" t="s">
        <v>72</v>
      </c>
      <c r="H6785" s="3" t="s">
        <v>16</v>
      </c>
      <c r="I6785" s="4" t="n">
        <v>4</v>
      </c>
      <c r="J6785" s="4" t="n">
        <f aca="false">LEN(E6785)-LEN(SUBSTITUTE(E6785,",",""))+1</f>
        <v>4</v>
      </c>
      <c r="K6785" s="3" t="str">
        <f aca="false">IFERROR(INDEX('Teacher Lookup'!$B$2:$B$200,MATCH(A6785,'Teacher Lookup'!$A$2:$A$200,0)),"")</f>
        <v>YAM Lydia</v>
      </c>
    </row>
    <row r="6786" customFormat="false" ht="15" hidden="false" customHeight="false" outlineLevel="0" collapsed="false">
      <c r="A6786" s="3" t="s">
        <v>476</v>
      </c>
      <c r="B6786" s="4" t="s">
        <v>65</v>
      </c>
      <c r="C6786" s="4" t="n">
        <v>5</v>
      </c>
      <c r="D6786" s="4" t="s">
        <v>19</v>
      </c>
      <c r="E6786" s="3" t="s">
        <v>35</v>
      </c>
      <c r="F6786" s="4" t="str">
        <f aca="false">IF(I6786&gt;J6786,"Y","N")</f>
        <v>Y</v>
      </c>
      <c r="G6786" s="3" t="s">
        <v>36</v>
      </c>
      <c r="H6786" s="3" t="s">
        <v>37</v>
      </c>
      <c r="I6786" s="4" t="n">
        <v>17</v>
      </c>
      <c r="J6786" s="4" t="n">
        <f aca="false">LEN(E6786)-LEN(SUBSTITUTE(E6786,",",""))+1</f>
        <v>7</v>
      </c>
      <c r="K6786" s="3" t="str">
        <f aca="false">IFERROR(INDEX('Teacher Lookup'!$B$2:$B$200,MATCH(A6786,'Teacher Lookup'!$A$2:$A$200,0)),"")</f>
        <v>YAM Lydia</v>
      </c>
    </row>
    <row r="6787" customFormat="false" ht="15" hidden="false" customHeight="false" outlineLevel="0" collapsed="false">
      <c r="A6787" s="3" t="s">
        <v>476</v>
      </c>
      <c r="B6787" s="4" t="s">
        <v>65</v>
      </c>
      <c r="C6787" s="4" t="n">
        <v>5</v>
      </c>
      <c r="D6787" s="4" t="s">
        <v>22</v>
      </c>
      <c r="E6787" s="3" t="s">
        <v>35</v>
      </c>
      <c r="F6787" s="4" t="str">
        <f aca="false">IF(I6787&gt;J6787,"Y","N")</f>
        <v>Y</v>
      </c>
      <c r="G6787" s="3" t="s">
        <v>36</v>
      </c>
      <c r="H6787" s="3" t="s">
        <v>37</v>
      </c>
      <c r="I6787" s="4" t="n">
        <v>17</v>
      </c>
      <c r="J6787" s="4" t="n">
        <f aca="false">LEN(E6787)-LEN(SUBSTITUTE(E6787,",",""))+1</f>
        <v>7</v>
      </c>
      <c r="K6787" s="3" t="str">
        <f aca="false">IFERROR(INDEX('Teacher Lookup'!$B$2:$B$200,MATCH(A6787,'Teacher Lookup'!$A$2:$A$200,0)),"")</f>
        <v>YAM Lydia</v>
      </c>
    </row>
    <row r="6788" customFormat="false" ht="15" hidden="false" customHeight="false" outlineLevel="0" collapsed="false">
      <c r="A6788" s="3" t="s">
        <v>476</v>
      </c>
      <c r="B6788" s="4" t="s">
        <v>65</v>
      </c>
      <c r="C6788" s="4" t="n">
        <v>5</v>
      </c>
      <c r="D6788" s="4" t="s">
        <v>23</v>
      </c>
      <c r="E6788" s="3" t="s">
        <v>35</v>
      </c>
      <c r="F6788" s="4" t="str">
        <f aca="false">IF(I6788&gt;J6788,"Y","N")</f>
        <v>Y</v>
      </c>
      <c r="G6788" s="3" t="s">
        <v>36</v>
      </c>
      <c r="H6788" s="3" t="s">
        <v>37</v>
      </c>
      <c r="I6788" s="4" t="n">
        <v>17</v>
      </c>
      <c r="J6788" s="4" t="n">
        <f aca="false">LEN(E6788)-LEN(SUBSTITUTE(E6788,",",""))+1</f>
        <v>7</v>
      </c>
      <c r="K6788" s="3" t="str">
        <f aca="false">IFERROR(INDEX('Teacher Lookup'!$B$2:$B$200,MATCH(A6788,'Teacher Lookup'!$A$2:$A$200,0)),"")</f>
        <v>YAM Lydia</v>
      </c>
    </row>
    <row r="6789" customFormat="false" ht="15" hidden="false" customHeight="false" outlineLevel="0" collapsed="false">
      <c r="A6789" s="3" t="s">
        <v>476</v>
      </c>
      <c r="B6789" s="4" t="s">
        <v>65</v>
      </c>
      <c r="C6789" s="4" t="n">
        <v>5</v>
      </c>
      <c r="D6789" s="4" t="s">
        <v>13</v>
      </c>
      <c r="E6789" s="3" t="s">
        <v>35</v>
      </c>
      <c r="F6789" s="4" t="str">
        <f aca="false">IF(I6789&gt;J6789,"Y","N")</f>
        <v>Y</v>
      </c>
      <c r="G6789" s="3" t="s">
        <v>36</v>
      </c>
      <c r="H6789" s="3" t="s">
        <v>37</v>
      </c>
      <c r="I6789" s="4" t="n">
        <v>17</v>
      </c>
      <c r="J6789" s="4" t="n">
        <f aca="false">LEN(E6789)-LEN(SUBSTITUTE(E6789,",",""))+1</f>
        <v>7</v>
      </c>
      <c r="K6789" s="3" t="str">
        <f aca="false">IFERROR(INDEX('Teacher Lookup'!$B$2:$B$200,MATCH(A6789,'Teacher Lookup'!$A$2:$A$200,0)),"")</f>
        <v>YAM Lydia</v>
      </c>
    </row>
    <row r="6790" customFormat="false" ht="15" hidden="false" customHeight="false" outlineLevel="0" collapsed="false">
      <c r="A6790" s="3" t="s">
        <v>476</v>
      </c>
      <c r="B6790" s="4" t="s">
        <v>65</v>
      </c>
      <c r="C6790" s="4" t="n">
        <v>5</v>
      </c>
      <c r="D6790" s="4" t="s">
        <v>17</v>
      </c>
      <c r="E6790" s="3" t="s">
        <v>35</v>
      </c>
      <c r="F6790" s="4" t="str">
        <f aca="false">IF(I6790&gt;J6790,"Y","N")</f>
        <v>Y</v>
      </c>
      <c r="G6790" s="3" t="s">
        <v>36</v>
      </c>
      <c r="H6790" s="3" t="s">
        <v>37</v>
      </c>
      <c r="I6790" s="4" t="n">
        <v>17</v>
      </c>
      <c r="J6790" s="4" t="n">
        <f aca="false">LEN(E6790)-LEN(SUBSTITUTE(E6790,",",""))+1</f>
        <v>7</v>
      </c>
      <c r="K6790" s="3" t="str">
        <f aca="false">IFERROR(INDEX('Teacher Lookup'!$B$2:$B$200,MATCH(A6790,'Teacher Lookup'!$A$2:$A$200,0)),"")</f>
        <v>YAM Lydia</v>
      </c>
    </row>
    <row r="6791" customFormat="false" ht="15" hidden="false" customHeight="false" outlineLevel="0" collapsed="false">
      <c r="A6791" s="3" t="s">
        <v>476</v>
      </c>
      <c r="B6791" s="4" t="s">
        <v>65</v>
      </c>
      <c r="C6791" s="4" t="n">
        <v>5</v>
      </c>
      <c r="D6791" s="4" t="s">
        <v>18</v>
      </c>
      <c r="E6791" s="3" t="s">
        <v>35</v>
      </c>
      <c r="F6791" s="4" t="str">
        <f aca="false">IF(I6791&gt;J6791,"Y","N")</f>
        <v>Y</v>
      </c>
      <c r="G6791" s="3" t="s">
        <v>36</v>
      </c>
      <c r="H6791" s="3" t="s">
        <v>37</v>
      </c>
      <c r="I6791" s="4" t="n">
        <v>17</v>
      </c>
      <c r="J6791" s="4" t="n">
        <f aca="false">LEN(E6791)-LEN(SUBSTITUTE(E6791,",",""))+1</f>
        <v>7</v>
      </c>
      <c r="K6791" s="3" t="str">
        <f aca="false">IFERROR(INDEX('Teacher Lookup'!$B$2:$B$200,MATCH(A6791,'Teacher Lookup'!$A$2:$A$200,0)),"")</f>
        <v>YAM Lydia</v>
      </c>
    </row>
    <row r="6792" customFormat="false" ht="15" hidden="false" customHeight="false" outlineLevel="0" collapsed="false">
      <c r="A6792" s="3" t="s">
        <v>476</v>
      </c>
      <c r="B6792" s="4" t="s">
        <v>65</v>
      </c>
      <c r="C6792" s="4" t="n">
        <v>6</v>
      </c>
      <c r="D6792" s="4" t="s">
        <v>13</v>
      </c>
      <c r="E6792" s="3" t="s">
        <v>336</v>
      </c>
      <c r="F6792" s="4" t="str">
        <f aca="false">IF(I6792&gt;J6792,"Y","N")</f>
        <v>N</v>
      </c>
      <c r="G6792" s="3" t="s">
        <v>72</v>
      </c>
      <c r="H6792" s="3" t="s">
        <v>42</v>
      </c>
      <c r="I6792" s="4" t="n">
        <v>4</v>
      </c>
      <c r="J6792" s="4" t="n">
        <f aca="false">LEN(E6792)-LEN(SUBSTITUTE(E6792,",",""))+1</f>
        <v>4</v>
      </c>
      <c r="K6792" s="3" t="str">
        <f aca="false">IFERROR(INDEX('Teacher Lookup'!$B$2:$B$200,MATCH(A6792,'Teacher Lookup'!$A$2:$A$200,0)),"")</f>
        <v>YAM Lydia</v>
      </c>
    </row>
    <row r="6793" customFormat="false" ht="15" hidden="false" customHeight="false" outlineLevel="0" collapsed="false">
      <c r="A6793" s="3" t="s">
        <v>476</v>
      </c>
      <c r="B6793" s="4" t="s">
        <v>65</v>
      </c>
      <c r="C6793" s="4" t="n">
        <v>6</v>
      </c>
      <c r="D6793" s="4" t="s">
        <v>17</v>
      </c>
      <c r="E6793" s="3" t="s">
        <v>336</v>
      </c>
      <c r="F6793" s="4" t="str">
        <f aca="false">IF(I6793&gt;J6793,"Y","N")</f>
        <v>N</v>
      </c>
      <c r="G6793" s="3" t="s">
        <v>72</v>
      </c>
      <c r="H6793" s="3" t="s">
        <v>42</v>
      </c>
      <c r="I6793" s="4" t="n">
        <v>4</v>
      </c>
      <c r="J6793" s="4" t="n">
        <f aca="false">LEN(E6793)-LEN(SUBSTITUTE(E6793,",",""))+1</f>
        <v>4</v>
      </c>
      <c r="K6793" s="3" t="str">
        <f aca="false">IFERROR(INDEX('Teacher Lookup'!$B$2:$B$200,MATCH(A6793,'Teacher Lookup'!$A$2:$A$200,0)),"")</f>
        <v>YAM Lydia</v>
      </c>
    </row>
    <row r="6794" customFormat="false" ht="15" hidden="false" customHeight="false" outlineLevel="0" collapsed="false">
      <c r="A6794" s="3" t="s">
        <v>476</v>
      </c>
      <c r="B6794" s="4" t="s">
        <v>65</v>
      </c>
      <c r="C6794" s="4" t="n">
        <v>6</v>
      </c>
      <c r="D6794" s="4" t="s">
        <v>18</v>
      </c>
      <c r="E6794" s="3" t="s">
        <v>336</v>
      </c>
      <c r="F6794" s="4" t="str">
        <f aca="false">IF(I6794&gt;J6794,"Y","N")</f>
        <v>N</v>
      </c>
      <c r="G6794" s="3" t="s">
        <v>72</v>
      </c>
      <c r="H6794" s="3" t="s">
        <v>42</v>
      </c>
      <c r="I6794" s="4" t="n">
        <v>4</v>
      </c>
      <c r="J6794" s="4" t="n">
        <f aca="false">LEN(E6794)-LEN(SUBSTITUTE(E6794,",",""))+1</f>
        <v>4</v>
      </c>
      <c r="K6794" s="3" t="str">
        <f aca="false">IFERROR(INDEX('Teacher Lookup'!$B$2:$B$200,MATCH(A6794,'Teacher Lookup'!$A$2:$A$200,0)),"")</f>
        <v>YAM Lydia</v>
      </c>
    </row>
    <row r="6795" customFormat="false" ht="15" hidden="false" customHeight="false" outlineLevel="0" collapsed="false">
      <c r="A6795" s="3" t="s">
        <v>476</v>
      </c>
      <c r="B6795" s="4" t="s">
        <v>65</v>
      </c>
      <c r="C6795" s="4" t="n">
        <v>7</v>
      </c>
      <c r="D6795" s="4" t="s">
        <v>28</v>
      </c>
      <c r="E6795" s="3" t="s">
        <v>159</v>
      </c>
      <c r="F6795" s="4" t="str">
        <f aca="false">IF(I6795&gt;J6795,"Y","N")</f>
        <v>N</v>
      </c>
      <c r="G6795" s="3" t="s">
        <v>72</v>
      </c>
      <c r="H6795" s="3" t="s">
        <v>39</v>
      </c>
      <c r="I6795" s="4" t="n">
        <v>4</v>
      </c>
      <c r="J6795" s="4" t="n">
        <f aca="false">LEN(E6795)-LEN(SUBSTITUTE(E6795,",",""))+1</f>
        <v>4</v>
      </c>
      <c r="K6795" s="3" t="str">
        <f aca="false">IFERROR(INDEX('Teacher Lookup'!$B$2:$B$200,MATCH(A6795,'Teacher Lookup'!$A$2:$A$200,0)),"")</f>
        <v>YAM Lydia</v>
      </c>
    </row>
    <row r="6796" customFormat="false" ht="15" hidden="false" customHeight="false" outlineLevel="0" collapsed="false">
      <c r="A6796" s="3" t="s">
        <v>476</v>
      </c>
      <c r="B6796" s="4" t="s">
        <v>65</v>
      </c>
      <c r="C6796" s="4" t="n">
        <v>7</v>
      </c>
      <c r="D6796" s="4" t="s">
        <v>29</v>
      </c>
      <c r="E6796" s="3" t="s">
        <v>159</v>
      </c>
      <c r="F6796" s="4" t="str">
        <f aca="false">IF(I6796&gt;J6796,"Y","N")</f>
        <v>N</v>
      </c>
      <c r="G6796" s="3" t="s">
        <v>72</v>
      </c>
      <c r="H6796" s="3" t="s">
        <v>39</v>
      </c>
      <c r="I6796" s="4" t="n">
        <v>4</v>
      </c>
      <c r="J6796" s="4" t="n">
        <f aca="false">LEN(E6796)-LEN(SUBSTITUTE(E6796,",",""))+1</f>
        <v>4</v>
      </c>
      <c r="K6796" s="3" t="str">
        <f aca="false">IFERROR(INDEX('Teacher Lookup'!$B$2:$B$200,MATCH(A6796,'Teacher Lookup'!$A$2:$A$200,0)),"")</f>
        <v>YAM Lydia</v>
      </c>
    </row>
    <row r="6797" customFormat="false" ht="15" hidden="false" customHeight="false" outlineLevel="0" collapsed="false">
      <c r="A6797" s="3" t="s">
        <v>476</v>
      </c>
      <c r="B6797" s="4" t="s">
        <v>65</v>
      </c>
      <c r="C6797" s="4" t="n">
        <v>7</v>
      </c>
      <c r="D6797" s="4" t="s">
        <v>30</v>
      </c>
      <c r="E6797" s="3" t="s">
        <v>159</v>
      </c>
      <c r="F6797" s="4" t="str">
        <f aca="false">IF(I6797&gt;J6797,"Y","N")</f>
        <v>N</v>
      </c>
      <c r="G6797" s="3" t="s">
        <v>72</v>
      </c>
      <c r="H6797" s="3" t="s">
        <v>39</v>
      </c>
      <c r="I6797" s="4" t="n">
        <v>4</v>
      </c>
      <c r="J6797" s="4" t="n">
        <f aca="false">LEN(E6797)-LEN(SUBSTITUTE(E6797,",",""))+1</f>
        <v>4</v>
      </c>
      <c r="K6797" s="3" t="str">
        <f aca="false">IFERROR(INDEX('Teacher Lookup'!$B$2:$B$200,MATCH(A6797,'Teacher Lookup'!$A$2:$A$200,0)),"")</f>
        <v>YAM Lydia</v>
      </c>
    </row>
    <row r="6798" customFormat="false" ht="15" hidden="false" customHeight="false" outlineLevel="0" collapsed="false">
      <c r="A6798" s="3" t="s">
        <v>476</v>
      </c>
      <c r="B6798" s="4" t="s">
        <v>66</v>
      </c>
      <c r="C6798" s="4" t="n">
        <v>1</v>
      </c>
      <c r="D6798" s="4" t="s">
        <v>19</v>
      </c>
      <c r="E6798" s="3" t="s">
        <v>33</v>
      </c>
      <c r="F6798" s="4" t="str">
        <f aca="false">IF(I6798&gt;J6798,"Y","N")</f>
        <v>N</v>
      </c>
      <c r="G6798" s="3" t="s">
        <v>72</v>
      </c>
      <c r="H6798" s="3" t="s">
        <v>16</v>
      </c>
      <c r="I6798" s="4" t="n">
        <v>4</v>
      </c>
      <c r="J6798" s="4" t="n">
        <f aca="false">LEN(E6798)-LEN(SUBSTITUTE(E6798,",",""))+1</f>
        <v>4</v>
      </c>
      <c r="K6798" s="3" t="str">
        <f aca="false">IFERROR(INDEX('Teacher Lookup'!$B$2:$B$200,MATCH(A6798,'Teacher Lookup'!$A$2:$A$200,0)),"")</f>
        <v>YAM Lydia</v>
      </c>
    </row>
    <row r="6799" customFormat="false" ht="15" hidden="false" customHeight="false" outlineLevel="0" collapsed="false">
      <c r="A6799" s="3" t="s">
        <v>476</v>
      </c>
      <c r="B6799" s="4" t="s">
        <v>66</v>
      </c>
      <c r="C6799" s="4" t="n">
        <v>1</v>
      </c>
      <c r="D6799" s="4" t="s">
        <v>22</v>
      </c>
      <c r="E6799" s="3" t="s">
        <v>33</v>
      </c>
      <c r="F6799" s="4" t="str">
        <f aca="false">IF(I6799&gt;J6799,"Y","N")</f>
        <v>N</v>
      </c>
      <c r="G6799" s="3" t="s">
        <v>72</v>
      </c>
      <c r="H6799" s="3" t="s">
        <v>16</v>
      </c>
      <c r="I6799" s="4" t="n">
        <v>4</v>
      </c>
      <c r="J6799" s="4" t="n">
        <f aca="false">LEN(E6799)-LEN(SUBSTITUTE(E6799,",",""))+1</f>
        <v>4</v>
      </c>
      <c r="K6799" s="3" t="str">
        <f aca="false">IFERROR(INDEX('Teacher Lookup'!$B$2:$B$200,MATCH(A6799,'Teacher Lookup'!$A$2:$A$200,0)),"")</f>
        <v>YAM Lydia</v>
      </c>
    </row>
    <row r="6800" customFormat="false" ht="15" hidden="false" customHeight="false" outlineLevel="0" collapsed="false">
      <c r="A6800" s="3" t="s">
        <v>476</v>
      </c>
      <c r="B6800" s="4" t="s">
        <v>66</v>
      </c>
      <c r="C6800" s="4" t="n">
        <v>1</v>
      </c>
      <c r="D6800" s="4" t="s">
        <v>23</v>
      </c>
      <c r="E6800" s="3" t="s">
        <v>33</v>
      </c>
      <c r="F6800" s="4" t="str">
        <f aca="false">IF(I6800&gt;J6800,"Y","N")</f>
        <v>N</v>
      </c>
      <c r="G6800" s="3" t="s">
        <v>72</v>
      </c>
      <c r="H6800" s="3" t="s">
        <v>16</v>
      </c>
      <c r="I6800" s="4" t="n">
        <v>4</v>
      </c>
      <c r="J6800" s="4" t="n">
        <f aca="false">LEN(E6800)-LEN(SUBSTITUTE(E6800,",",""))+1</f>
        <v>4</v>
      </c>
      <c r="K6800" s="3" t="str">
        <f aca="false">IFERROR(INDEX('Teacher Lookup'!$B$2:$B$200,MATCH(A6800,'Teacher Lookup'!$A$2:$A$200,0)),"")</f>
        <v>YAM Lydia</v>
      </c>
    </row>
    <row r="6801" customFormat="false" ht="15" hidden="false" customHeight="false" outlineLevel="0" collapsed="false">
      <c r="A6801" s="3" t="s">
        <v>476</v>
      </c>
      <c r="B6801" s="4" t="s">
        <v>66</v>
      </c>
      <c r="C6801" s="4" t="n">
        <v>2</v>
      </c>
      <c r="D6801" s="4" t="s">
        <v>19</v>
      </c>
      <c r="E6801" s="3" t="s">
        <v>33</v>
      </c>
      <c r="F6801" s="4" t="str">
        <f aca="false">IF(I6801&gt;J6801,"Y","N")</f>
        <v>N</v>
      </c>
      <c r="G6801" s="3" t="s">
        <v>72</v>
      </c>
      <c r="H6801" s="3" t="s">
        <v>21</v>
      </c>
      <c r="I6801" s="4" t="n">
        <v>4</v>
      </c>
      <c r="J6801" s="4" t="n">
        <f aca="false">LEN(E6801)-LEN(SUBSTITUTE(E6801,",",""))+1</f>
        <v>4</v>
      </c>
      <c r="K6801" s="3" t="str">
        <f aca="false">IFERROR(INDEX('Teacher Lookup'!$B$2:$B$200,MATCH(A6801,'Teacher Lookup'!$A$2:$A$200,0)),"")</f>
        <v>YAM Lydia</v>
      </c>
    </row>
    <row r="6802" customFormat="false" ht="15" hidden="false" customHeight="false" outlineLevel="0" collapsed="false">
      <c r="A6802" s="3" t="s">
        <v>476</v>
      </c>
      <c r="B6802" s="4" t="s">
        <v>66</v>
      </c>
      <c r="C6802" s="4" t="n">
        <v>2</v>
      </c>
      <c r="D6802" s="4" t="s">
        <v>22</v>
      </c>
      <c r="E6802" s="3" t="s">
        <v>33</v>
      </c>
      <c r="F6802" s="4" t="str">
        <f aca="false">IF(I6802&gt;J6802,"Y","N")</f>
        <v>N</v>
      </c>
      <c r="G6802" s="3" t="s">
        <v>72</v>
      </c>
      <c r="H6802" s="3" t="s">
        <v>21</v>
      </c>
      <c r="I6802" s="4" t="n">
        <v>4</v>
      </c>
      <c r="J6802" s="4" t="n">
        <f aca="false">LEN(E6802)-LEN(SUBSTITUTE(E6802,",",""))+1</f>
        <v>4</v>
      </c>
      <c r="K6802" s="3" t="str">
        <f aca="false">IFERROR(INDEX('Teacher Lookup'!$B$2:$B$200,MATCH(A6802,'Teacher Lookup'!$A$2:$A$200,0)),"")</f>
        <v>YAM Lydia</v>
      </c>
    </row>
    <row r="6803" customFormat="false" ht="15" hidden="false" customHeight="false" outlineLevel="0" collapsed="false">
      <c r="A6803" s="3" t="s">
        <v>476</v>
      </c>
      <c r="B6803" s="4" t="s">
        <v>66</v>
      </c>
      <c r="C6803" s="4" t="n">
        <v>2</v>
      </c>
      <c r="D6803" s="4" t="s">
        <v>23</v>
      </c>
      <c r="E6803" s="3" t="s">
        <v>33</v>
      </c>
      <c r="F6803" s="4" t="str">
        <f aca="false">IF(I6803&gt;J6803,"Y","N")</f>
        <v>N</v>
      </c>
      <c r="G6803" s="3" t="s">
        <v>72</v>
      </c>
      <c r="H6803" s="3" t="s">
        <v>21</v>
      </c>
      <c r="I6803" s="4" t="n">
        <v>4</v>
      </c>
      <c r="J6803" s="4" t="n">
        <f aca="false">LEN(E6803)-LEN(SUBSTITUTE(E6803,",",""))+1</f>
        <v>4</v>
      </c>
      <c r="K6803" s="3" t="str">
        <f aca="false">IFERROR(INDEX('Teacher Lookup'!$B$2:$B$200,MATCH(A6803,'Teacher Lookup'!$A$2:$A$200,0)),"")</f>
        <v>YAM Lydia</v>
      </c>
    </row>
    <row r="6804" customFormat="false" ht="15" hidden="false" customHeight="false" outlineLevel="0" collapsed="false">
      <c r="A6804" s="3" t="s">
        <v>476</v>
      </c>
      <c r="B6804" s="4" t="s">
        <v>66</v>
      </c>
      <c r="C6804" s="4" t="n">
        <v>5</v>
      </c>
      <c r="D6804" s="4" t="s">
        <v>13</v>
      </c>
      <c r="E6804" s="3" t="s">
        <v>337</v>
      </c>
      <c r="F6804" s="4" t="str">
        <f aca="false">IF(I6804&gt;J6804,"Y","N")</f>
        <v>N</v>
      </c>
      <c r="G6804" s="3" t="s">
        <v>72</v>
      </c>
      <c r="H6804" s="3" t="s">
        <v>37</v>
      </c>
      <c r="I6804" s="4" t="n">
        <v>4</v>
      </c>
      <c r="J6804" s="4" t="n">
        <f aca="false">LEN(E6804)-LEN(SUBSTITUTE(E6804,",",""))+1</f>
        <v>4</v>
      </c>
      <c r="K6804" s="3" t="str">
        <f aca="false">IFERROR(INDEX('Teacher Lookup'!$B$2:$B$200,MATCH(A6804,'Teacher Lookup'!$A$2:$A$200,0)),"")</f>
        <v>YAM Lydia</v>
      </c>
    </row>
    <row r="6805" customFormat="false" ht="15" hidden="false" customHeight="false" outlineLevel="0" collapsed="false">
      <c r="A6805" s="3" t="s">
        <v>476</v>
      </c>
      <c r="B6805" s="4" t="s">
        <v>66</v>
      </c>
      <c r="C6805" s="4" t="n">
        <v>5</v>
      </c>
      <c r="D6805" s="4" t="s">
        <v>17</v>
      </c>
      <c r="E6805" s="3" t="s">
        <v>337</v>
      </c>
      <c r="F6805" s="4" t="str">
        <f aca="false">IF(I6805&gt;J6805,"Y","N")</f>
        <v>N</v>
      </c>
      <c r="G6805" s="3" t="s">
        <v>72</v>
      </c>
      <c r="H6805" s="3" t="s">
        <v>37</v>
      </c>
      <c r="I6805" s="4" t="n">
        <v>4</v>
      </c>
      <c r="J6805" s="4" t="n">
        <f aca="false">LEN(E6805)-LEN(SUBSTITUTE(E6805,",",""))+1</f>
        <v>4</v>
      </c>
      <c r="K6805" s="3" t="str">
        <f aca="false">IFERROR(INDEX('Teacher Lookup'!$B$2:$B$200,MATCH(A6805,'Teacher Lookup'!$A$2:$A$200,0)),"")</f>
        <v>YAM Lydia</v>
      </c>
    </row>
    <row r="6806" customFormat="false" ht="15" hidden="false" customHeight="false" outlineLevel="0" collapsed="false">
      <c r="A6806" s="3" t="s">
        <v>476</v>
      </c>
      <c r="B6806" s="4" t="s">
        <v>66</v>
      </c>
      <c r="C6806" s="4" t="n">
        <v>5</v>
      </c>
      <c r="D6806" s="4" t="s">
        <v>18</v>
      </c>
      <c r="E6806" s="3" t="s">
        <v>337</v>
      </c>
      <c r="F6806" s="4" t="str">
        <f aca="false">IF(I6806&gt;J6806,"Y","N")</f>
        <v>N</v>
      </c>
      <c r="G6806" s="3" t="s">
        <v>72</v>
      </c>
      <c r="H6806" s="3" t="s">
        <v>37</v>
      </c>
      <c r="I6806" s="4" t="n">
        <v>4</v>
      </c>
      <c r="J6806" s="4" t="n">
        <f aca="false">LEN(E6806)-LEN(SUBSTITUTE(E6806,",",""))+1</f>
        <v>4</v>
      </c>
      <c r="K6806" s="3" t="str">
        <f aca="false">IFERROR(INDEX('Teacher Lookup'!$B$2:$B$200,MATCH(A6806,'Teacher Lookup'!$A$2:$A$200,0)),"")</f>
        <v>YAM Lydia</v>
      </c>
    </row>
    <row r="6807" customFormat="false" ht="15" hidden="false" customHeight="false" outlineLevel="0" collapsed="false">
      <c r="A6807" s="3" t="s">
        <v>476</v>
      </c>
      <c r="B6807" s="4" t="s">
        <v>66</v>
      </c>
      <c r="C6807" s="4" t="n">
        <v>7</v>
      </c>
      <c r="D6807" s="4" t="s">
        <v>28</v>
      </c>
      <c r="E6807" s="3" t="s">
        <v>149</v>
      </c>
      <c r="F6807" s="4" t="str">
        <f aca="false">IF(I6807&gt;J6807,"Y","N")</f>
        <v>N</v>
      </c>
      <c r="G6807" s="3" t="s">
        <v>72</v>
      </c>
      <c r="H6807" s="3" t="s">
        <v>39</v>
      </c>
      <c r="I6807" s="4" t="n">
        <v>4</v>
      </c>
      <c r="J6807" s="4" t="n">
        <f aca="false">LEN(E6807)-LEN(SUBSTITUTE(E6807,",",""))+1</f>
        <v>4</v>
      </c>
      <c r="K6807" s="3" t="str">
        <f aca="false">IFERROR(INDEX('Teacher Lookup'!$B$2:$B$200,MATCH(A6807,'Teacher Lookup'!$A$2:$A$200,0)),"")</f>
        <v>YAM Lydia</v>
      </c>
    </row>
    <row r="6808" customFormat="false" ht="15" hidden="false" customHeight="false" outlineLevel="0" collapsed="false">
      <c r="A6808" s="3" t="s">
        <v>476</v>
      </c>
      <c r="B6808" s="4" t="s">
        <v>66</v>
      </c>
      <c r="C6808" s="4" t="n">
        <v>7</v>
      </c>
      <c r="D6808" s="4" t="s">
        <v>29</v>
      </c>
      <c r="E6808" s="3" t="s">
        <v>149</v>
      </c>
      <c r="F6808" s="4" t="str">
        <f aca="false">IF(I6808&gt;J6808,"Y","N")</f>
        <v>N</v>
      </c>
      <c r="G6808" s="3" t="s">
        <v>72</v>
      </c>
      <c r="H6808" s="3" t="s">
        <v>39</v>
      </c>
      <c r="I6808" s="4" t="n">
        <v>4</v>
      </c>
      <c r="J6808" s="4" t="n">
        <f aca="false">LEN(E6808)-LEN(SUBSTITUTE(E6808,",",""))+1</f>
        <v>4</v>
      </c>
      <c r="K6808" s="3" t="str">
        <f aca="false">IFERROR(INDEX('Teacher Lookup'!$B$2:$B$200,MATCH(A6808,'Teacher Lookup'!$A$2:$A$200,0)),"")</f>
        <v>YAM Lydia</v>
      </c>
    </row>
    <row r="6809" customFormat="false" ht="15" hidden="false" customHeight="false" outlineLevel="0" collapsed="false">
      <c r="A6809" s="3" t="s">
        <v>476</v>
      </c>
      <c r="B6809" s="4" t="s">
        <v>66</v>
      </c>
      <c r="C6809" s="4" t="n">
        <v>7</v>
      </c>
      <c r="D6809" s="4" t="s">
        <v>30</v>
      </c>
      <c r="E6809" s="3" t="s">
        <v>149</v>
      </c>
      <c r="F6809" s="4" t="str">
        <f aca="false">IF(I6809&gt;J6809,"Y","N")</f>
        <v>N</v>
      </c>
      <c r="G6809" s="3" t="s">
        <v>72</v>
      </c>
      <c r="H6809" s="3" t="s">
        <v>39</v>
      </c>
      <c r="I6809" s="4" t="n">
        <v>4</v>
      </c>
      <c r="J6809" s="4" t="n">
        <f aca="false">LEN(E6809)-LEN(SUBSTITUTE(E6809,",",""))+1</f>
        <v>4</v>
      </c>
      <c r="K6809" s="3" t="str">
        <f aca="false">IFERROR(INDEX('Teacher Lookup'!$B$2:$B$200,MATCH(A6809,'Teacher Lookup'!$A$2:$A$200,0)),"")</f>
        <v>YAM Lydia</v>
      </c>
    </row>
    <row r="6810" customFormat="false" ht="15" hidden="false" customHeight="false" outlineLevel="0" collapsed="false">
      <c r="A6810" s="3" t="s">
        <v>477</v>
      </c>
      <c r="B6810" s="4" t="s">
        <v>12</v>
      </c>
      <c r="C6810" s="4" t="n">
        <v>4</v>
      </c>
      <c r="D6810" s="4" t="s">
        <v>102</v>
      </c>
      <c r="E6810" s="3" t="s">
        <v>103</v>
      </c>
      <c r="F6810" s="4" t="str">
        <f aca="false">IF(I6810&gt;J6810,"Y","N")</f>
        <v>N</v>
      </c>
      <c r="G6810" s="3" t="s">
        <v>104</v>
      </c>
      <c r="H6810" s="3" t="s">
        <v>34</v>
      </c>
      <c r="I6810" s="4" t="n">
        <v>6</v>
      </c>
      <c r="J6810" s="4" t="n">
        <f aca="false">LEN(E6810)-LEN(SUBSTITUTE(E6810,",",""))+1</f>
        <v>6</v>
      </c>
      <c r="K6810" s="3" t="str">
        <f aca="false">IFERROR(INDEX('Teacher Lookup'!$B$2:$B$200,MATCH(A6810,'Teacher Lookup'!$A$2:$A$200,0)),"")</f>
        <v>CHOW Michael</v>
      </c>
    </row>
    <row r="6811" customFormat="false" ht="15" hidden="false" customHeight="false" outlineLevel="0" collapsed="false">
      <c r="A6811" s="3" t="s">
        <v>477</v>
      </c>
      <c r="B6811" s="4" t="s">
        <v>12</v>
      </c>
      <c r="C6811" s="4" t="n">
        <v>4</v>
      </c>
      <c r="D6811" s="4" t="s">
        <v>105</v>
      </c>
      <c r="E6811" s="3" t="s">
        <v>103</v>
      </c>
      <c r="F6811" s="4" t="str">
        <f aca="false">IF(I6811&gt;J6811,"Y","N")</f>
        <v>N</v>
      </c>
      <c r="G6811" s="3" t="s">
        <v>104</v>
      </c>
      <c r="H6811" s="3" t="s">
        <v>34</v>
      </c>
      <c r="I6811" s="4" t="n">
        <v>6</v>
      </c>
      <c r="J6811" s="4" t="n">
        <f aca="false">LEN(E6811)-LEN(SUBSTITUTE(E6811,",",""))+1</f>
        <v>6</v>
      </c>
      <c r="K6811" s="3" t="str">
        <f aca="false">IFERROR(INDEX('Teacher Lookup'!$B$2:$B$200,MATCH(A6811,'Teacher Lookup'!$A$2:$A$200,0)),"")</f>
        <v>CHOW Michael</v>
      </c>
    </row>
    <row r="6812" customFormat="false" ht="15" hidden="false" customHeight="false" outlineLevel="0" collapsed="false">
      <c r="A6812" s="3" t="s">
        <v>477</v>
      </c>
      <c r="B6812" s="4" t="s">
        <v>12</v>
      </c>
      <c r="C6812" s="4" t="n">
        <v>4</v>
      </c>
      <c r="D6812" s="4" t="s">
        <v>106</v>
      </c>
      <c r="E6812" s="3" t="s">
        <v>103</v>
      </c>
      <c r="F6812" s="4" t="str">
        <f aca="false">IF(I6812&gt;J6812,"Y","N")</f>
        <v>N</v>
      </c>
      <c r="G6812" s="3" t="s">
        <v>104</v>
      </c>
      <c r="H6812" s="3" t="s">
        <v>34</v>
      </c>
      <c r="I6812" s="4" t="n">
        <v>6</v>
      </c>
      <c r="J6812" s="4" t="n">
        <f aca="false">LEN(E6812)-LEN(SUBSTITUTE(E6812,",",""))+1</f>
        <v>6</v>
      </c>
      <c r="K6812" s="3" t="str">
        <f aca="false">IFERROR(INDEX('Teacher Lookup'!$B$2:$B$200,MATCH(A6812,'Teacher Lookup'!$A$2:$A$200,0)),"")</f>
        <v>CHOW Michael</v>
      </c>
    </row>
    <row r="6813" customFormat="false" ht="15" hidden="false" customHeight="false" outlineLevel="0" collapsed="false">
      <c r="A6813" s="3" t="s">
        <v>477</v>
      </c>
      <c r="B6813" s="4" t="s">
        <v>12</v>
      </c>
      <c r="C6813" s="4" t="n">
        <v>4</v>
      </c>
      <c r="D6813" s="4" t="s">
        <v>107</v>
      </c>
      <c r="E6813" s="3" t="s">
        <v>103</v>
      </c>
      <c r="F6813" s="4" t="str">
        <f aca="false">IF(I6813&gt;J6813,"Y","N")</f>
        <v>N</v>
      </c>
      <c r="G6813" s="3" t="s">
        <v>104</v>
      </c>
      <c r="H6813" s="3" t="s">
        <v>34</v>
      </c>
      <c r="I6813" s="4" t="n">
        <v>6</v>
      </c>
      <c r="J6813" s="4" t="n">
        <f aca="false">LEN(E6813)-LEN(SUBSTITUTE(E6813,",",""))+1</f>
        <v>6</v>
      </c>
      <c r="K6813" s="3" t="str">
        <f aca="false">IFERROR(INDEX('Teacher Lookup'!$B$2:$B$200,MATCH(A6813,'Teacher Lookup'!$A$2:$A$200,0)),"")</f>
        <v>CHOW Michael</v>
      </c>
    </row>
    <row r="6814" customFormat="false" ht="15" hidden="false" customHeight="false" outlineLevel="0" collapsed="false">
      <c r="A6814" s="3" t="s">
        <v>477</v>
      </c>
      <c r="B6814" s="4" t="s">
        <v>12</v>
      </c>
      <c r="C6814" s="4" t="n">
        <v>5</v>
      </c>
      <c r="D6814" s="4" t="s">
        <v>102</v>
      </c>
      <c r="E6814" s="3" t="s">
        <v>103</v>
      </c>
      <c r="F6814" s="4" t="str">
        <f aca="false">IF(I6814&gt;J6814,"Y","N")</f>
        <v>N</v>
      </c>
      <c r="G6814" s="3" t="s">
        <v>104</v>
      </c>
      <c r="H6814" s="3" t="s">
        <v>37</v>
      </c>
      <c r="I6814" s="4" t="n">
        <v>6</v>
      </c>
      <c r="J6814" s="4" t="n">
        <f aca="false">LEN(E6814)-LEN(SUBSTITUTE(E6814,",",""))+1</f>
        <v>6</v>
      </c>
      <c r="K6814" s="3" t="str">
        <f aca="false">IFERROR(INDEX('Teacher Lookup'!$B$2:$B$200,MATCH(A6814,'Teacher Lookup'!$A$2:$A$200,0)),"")</f>
        <v>CHOW Michael</v>
      </c>
    </row>
    <row r="6815" customFormat="false" ht="15" hidden="false" customHeight="false" outlineLevel="0" collapsed="false">
      <c r="A6815" s="3" t="s">
        <v>477</v>
      </c>
      <c r="B6815" s="4" t="s">
        <v>12</v>
      </c>
      <c r="C6815" s="4" t="n">
        <v>5</v>
      </c>
      <c r="D6815" s="4" t="s">
        <v>105</v>
      </c>
      <c r="E6815" s="3" t="s">
        <v>103</v>
      </c>
      <c r="F6815" s="4" t="str">
        <f aca="false">IF(I6815&gt;J6815,"Y","N")</f>
        <v>N</v>
      </c>
      <c r="G6815" s="3" t="s">
        <v>104</v>
      </c>
      <c r="H6815" s="3" t="s">
        <v>37</v>
      </c>
      <c r="I6815" s="4" t="n">
        <v>6</v>
      </c>
      <c r="J6815" s="4" t="n">
        <f aca="false">LEN(E6815)-LEN(SUBSTITUTE(E6815,",",""))+1</f>
        <v>6</v>
      </c>
      <c r="K6815" s="3" t="str">
        <f aca="false">IFERROR(INDEX('Teacher Lookup'!$B$2:$B$200,MATCH(A6815,'Teacher Lookup'!$A$2:$A$200,0)),"")</f>
        <v>CHOW Michael</v>
      </c>
    </row>
    <row r="6816" customFormat="false" ht="15" hidden="false" customHeight="false" outlineLevel="0" collapsed="false">
      <c r="A6816" s="3" t="s">
        <v>477</v>
      </c>
      <c r="B6816" s="4" t="s">
        <v>12</v>
      </c>
      <c r="C6816" s="4" t="n">
        <v>5</v>
      </c>
      <c r="D6816" s="4" t="s">
        <v>106</v>
      </c>
      <c r="E6816" s="3" t="s">
        <v>103</v>
      </c>
      <c r="F6816" s="4" t="str">
        <f aca="false">IF(I6816&gt;J6816,"Y","N")</f>
        <v>N</v>
      </c>
      <c r="G6816" s="3" t="s">
        <v>104</v>
      </c>
      <c r="H6816" s="3" t="s">
        <v>37</v>
      </c>
      <c r="I6816" s="4" t="n">
        <v>6</v>
      </c>
      <c r="J6816" s="4" t="n">
        <f aca="false">LEN(E6816)-LEN(SUBSTITUTE(E6816,",",""))+1</f>
        <v>6</v>
      </c>
      <c r="K6816" s="3" t="str">
        <f aca="false">IFERROR(INDEX('Teacher Lookup'!$B$2:$B$200,MATCH(A6816,'Teacher Lookup'!$A$2:$A$200,0)),"")</f>
        <v>CHOW Michael</v>
      </c>
    </row>
    <row r="6817" customFormat="false" ht="15" hidden="false" customHeight="false" outlineLevel="0" collapsed="false">
      <c r="A6817" s="3" t="s">
        <v>477</v>
      </c>
      <c r="B6817" s="4" t="s">
        <v>12</v>
      </c>
      <c r="C6817" s="4" t="n">
        <v>5</v>
      </c>
      <c r="D6817" s="4" t="s">
        <v>107</v>
      </c>
      <c r="E6817" s="3" t="s">
        <v>103</v>
      </c>
      <c r="F6817" s="4" t="str">
        <f aca="false">IF(I6817&gt;J6817,"Y","N")</f>
        <v>N</v>
      </c>
      <c r="G6817" s="3" t="s">
        <v>104</v>
      </c>
      <c r="H6817" s="3" t="s">
        <v>37</v>
      </c>
      <c r="I6817" s="4" t="n">
        <v>6</v>
      </c>
      <c r="J6817" s="4" t="n">
        <f aca="false">LEN(E6817)-LEN(SUBSTITUTE(E6817,",",""))+1</f>
        <v>6</v>
      </c>
      <c r="K6817" s="3" t="str">
        <f aca="false">IFERROR(INDEX('Teacher Lookup'!$B$2:$B$200,MATCH(A6817,'Teacher Lookup'!$A$2:$A$200,0)),"")</f>
        <v>CHOW Michael</v>
      </c>
    </row>
    <row r="6818" customFormat="false" ht="15" hidden="false" customHeight="false" outlineLevel="0" collapsed="false">
      <c r="A6818" s="3" t="s">
        <v>477</v>
      </c>
      <c r="B6818" s="4" t="s">
        <v>12</v>
      </c>
      <c r="C6818" s="4" t="n">
        <v>6</v>
      </c>
      <c r="D6818" s="4" t="s">
        <v>228</v>
      </c>
      <c r="E6818" s="3" t="s">
        <v>273</v>
      </c>
      <c r="F6818" s="4" t="str">
        <f aca="false">IF(I6818&gt;J6818,"Y","N")</f>
        <v>N</v>
      </c>
      <c r="G6818" s="3" t="s">
        <v>192</v>
      </c>
      <c r="H6818" s="3" t="s">
        <v>42</v>
      </c>
      <c r="I6818" s="4" t="n">
        <v>2</v>
      </c>
      <c r="J6818" s="4" t="n">
        <f aca="false">LEN(E6818)-LEN(SUBSTITUTE(E6818,",",""))+1</f>
        <v>2</v>
      </c>
      <c r="K6818" s="3" t="str">
        <f aca="false">IFERROR(INDEX('Teacher Lookup'!$B$2:$B$200,MATCH(A6818,'Teacher Lookup'!$A$2:$A$200,0)),"")</f>
        <v>CHOW Michael</v>
      </c>
    </row>
    <row r="6819" customFormat="false" ht="15" hidden="false" customHeight="false" outlineLevel="0" collapsed="false">
      <c r="A6819" s="3" t="s">
        <v>477</v>
      </c>
      <c r="B6819" s="4" t="s">
        <v>31</v>
      </c>
      <c r="C6819" s="4" t="n">
        <v>3</v>
      </c>
      <c r="D6819" s="4" t="s">
        <v>102</v>
      </c>
      <c r="E6819" s="3" t="s">
        <v>110</v>
      </c>
      <c r="F6819" s="4" t="str">
        <f aca="false">IF(I6819&gt;J6819,"Y","N")</f>
        <v>N</v>
      </c>
      <c r="G6819" s="3" t="s">
        <v>104</v>
      </c>
      <c r="H6819" s="3" t="s">
        <v>26</v>
      </c>
      <c r="I6819" s="4" t="n">
        <v>6</v>
      </c>
      <c r="J6819" s="4" t="n">
        <f aca="false">LEN(E6819)-LEN(SUBSTITUTE(E6819,",",""))+1</f>
        <v>6</v>
      </c>
      <c r="K6819" s="3" t="str">
        <f aca="false">IFERROR(INDEX('Teacher Lookup'!$B$2:$B$200,MATCH(A6819,'Teacher Lookup'!$A$2:$A$200,0)),"")</f>
        <v>CHOW Michael</v>
      </c>
    </row>
    <row r="6820" customFormat="false" ht="15" hidden="false" customHeight="false" outlineLevel="0" collapsed="false">
      <c r="A6820" s="3" t="s">
        <v>477</v>
      </c>
      <c r="B6820" s="4" t="s">
        <v>31</v>
      </c>
      <c r="C6820" s="4" t="n">
        <v>3</v>
      </c>
      <c r="D6820" s="4" t="s">
        <v>105</v>
      </c>
      <c r="E6820" s="3" t="s">
        <v>110</v>
      </c>
      <c r="F6820" s="4" t="str">
        <f aca="false">IF(I6820&gt;J6820,"Y","N")</f>
        <v>N</v>
      </c>
      <c r="G6820" s="3" t="s">
        <v>104</v>
      </c>
      <c r="H6820" s="3" t="s">
        <v>26</v>
      </c>
      <c r="I6820" s="4" t="n">
        <v>6</v>
      </c>
      <c r="J6820" s="4" t="n">
        <f aca="false">LEN(E6820)-LEN(SUBSTITUTE(E6820,",",""))+1</f>
        <v>6</v>
      </c>
      <c r="K6820" s="3" t="str">
        <f aca="false">IFERROR(INDEX('Teacher Lookup'!$B$2:$B$200,MATCH(A6820,'Teacher Lookup'!$A$2:$A$200,0)),"")</f>
        <v>CHOW Michael</v>
      </c>
    </row>
    <row r="6821" customFormat="false" ht="15" hidden="false" customHeight="false" outlineLevel="0" collapsed="false">
      <c r="A6821" s="3" t="s">
        <v>477</v>
      </c>
      <c r="B6821" s="4" t="s">
        <v>31</v>
      </c>
      <c r="C6821" s="4" t="n">
        <v>3</v>
      </c>
      <c r="D6821" s="4" t="s">
        <v>106</v>
      </c>
      <c r="E6821" s="3" t="s">
        <v>110</v>
      </c>
      <c r="F6821" s="4" t="str">
        <f aca="false">IF(I6821&gt;J6821,"Y","N")</f>
        <v>N</v>
      </c>
      <c r="G6821" s="3" t="s">
        <v>104</v>
      </c>
      <c r="H6821" s="3" t="s">
        <v>26</v>
      </c>
      <c r="I6821" s="4" t="n">
        <v>6</v>
      </c>
      <c r="J6821" s="4" t="n">
        <f aca="false">LEN(E6821)-LEN(SUBSTITUTE(E6821,",",""))+1</f>
        <v>6</v>
      </c>
      <c r="K6821" s="3" t="str">
        <f aca="false">IFERROR(INDEX('Teacher Lookup'!$B$2:$B$200,MATCH(A6821,'Teacher Lookup'!$A$2:$A$200,0)),"")</f>
        <v>CHOW Michael</v>
      </c>
    </row>
    <row r="6822" customFormat="false" ht="15" hidden="false" customHeight="false" outlineLevel="0" collapsed="false">
      <c r="A6822" s="3" t="s">
        <v>477</v>
      </c>
      <c r="B6822" s="4" t="s">
        <v>31</v>
      </c>
      <c r="C6822" s="4" t="n">
        <v>3</v>
      </c>
      <c r="D6822" s="4" t="s">
        <v>107</v>
      </c>
      <c r="E6822" s="3" t="s">
        <v>110</v>
      </c>
      <c r="F6822" s="4" t="str">
        <f aca="false">IF(I6822&gt;J6822,"Y","N")</f>
        <v>N</v>
      </c>
      <c r="G6822" s="3" t="s">
        <v>104</v>
      </c>
      <c r="H6822" s="3" t="s">
        <v>26</v>
      </c>
      <c r="I6822" s="4" t="n">
        <v>6</v>
      </c>
      <c r="J6822" s="4" t="n">
        <f aca="false">LEN(E6822)-LEN(SUBSTITUTE(E6822,",",""))+1</f>
        <v>6</v>
      </c>
      <c r="K6822" s="3" t="str">
        <f aca="false">IFERROR(INDEX('Teacher Lookup'!$B$2:$B$200,MATCH(A6822,'Teacher Lookup'!$A$2:$A$200,0)),"")</f>
        <v>CHOW Michael</v>
      </c>
    </row>
    <row r="6823" customFormat="false" ht="15" hidden="false" customHeight="false" outlineLevel="0" collapsed="false">
      <c r="A6823" s="3" t="s">
        <v>477</v>
      </c>
      <c r="B6823" s="4" t="s">
        <v>31</v>
      </c>
      <c r="C6823" s="4" t="n">
        <v>5</v>
      </c>
      <c r="D6823" s="4" t="s">
        <v>228</v>
      </c>
      <c r="E6823" s="3" t="s">
        <v>229</v>
      </c>
      <c r="F6823" s="4" t="str">
        <f aca="false">IF(I6823&gt;J6823,"Y","N")</f>
        <v>Y</v>
      </c>
      <c r="G6823" s="3" t="s">
        <v>36</v>
      </c>
      <c r="H6823" s="3" t="s">
        <v>37</v>
      </c>
      <c r="I6823" s="4" t="n">
        <v>14</v>
      </c>
      <c r="J6823" s="4" t="n">
        <f aca="false">LEN(E6823)-LEN(SUBSTITUTE(E6823,",",""))+1</f>
        <v>6</v>
      </c>
      <c r="K6823" s="3" t="str">
        <f aca="false">IFERROR(INDEX('Teacher Lookup'!$B$2:$B$200,MATCH(A6823,'Teacher Lookup'!$A$2:$A$200,0)),"")</f>
        <v>CHOW Michael</v>
      </c>
    </row>
    <row r="6824" customFormat="false" ht="15" hidden="false" customHeight="false" outlineLevel="0" collapsed="false">
      <c r="A6824" s="3" t="s">
        <v>477</v>
      </c>
      <c r="B6824" s="4" t="s">
        <v>31</v>
      </c>
      <c r="C6824" s="4" t="n">
        <v>5</v>
      </c>
      <c r="D6824" s="4" t="s">
        <v>102</v>
      </c>
      <c r="E6824" s="3" t="s">
        <v>229</v>
      </c>
      <c r="F6824" s="4" t="str">
        <f aca="false">IF(I6824&gt;J6824,"Y","N")</f>
        <v>Y</v>
      </c>
      <c r="G6824" s="3" t="s">
        <v>36</v>
      </c>
      <c r="H6824" s="3" t="s">
        <v>37</v>
      </c>
      <c r="I6824" s="4" t="n">
        <v>14</v>
      </c>
      <c r="J6824" s="4" t="n">
        <f aca="false">LEN(E6824)-LEN(SUBSTITUTE(E6824,",",""))+1</f>
        <v>6</v>
      </c>
      <c r="K6824" s="3" t="str">
        <f aca="false">IFERROR(INDEX('Teacher Lookup'!$B$2:$B$200,MATCH(A6824,'Teacher Lookup'!$A$2:$A$200,0)),"")</f>
        <v>CHOW Michael</v>
      </c>
    </row>
    <row r="6825" customFormat="false" ht="15" hidden="false" customHeight="false" outlineLevel="0" collapsed="false">
      <c r="A6825" s="3" t="s">
        <v>477</v>
      </c>
      <c r="B6825" s="4" t="s">
        <v>31</v>
      </c>
      <c r="C6825" s="4" t="n">
        <v>5</v>
      </c>
      <c r="D6825" s="4" t="s">
        <v>105</v>
      </c>
      <c r="E6825" s="3" t="s">
        <v>229</v>
      </c>
      <c r="F6825" s="4" t="str">
        <f aca="false">IF(I6825&gt;J6825,"Y","N")</f>
        <v>Y</v>
      </c>
      <c r="G6825" s="3" t="s">
        <v>36</v>
      </c>
      <c r="H6825" s="3" t="s">
        <v>37</v>
      </c>
      <c r="I6825" s="4" t="n">
        <v>14</v>
      </c>
      <c r="J6825" s="4" t="n">
        <f aca="false">LEN(E6825)-LEN(SUBSTITUTE(E6825,",",""))+1</f>
        <v>6</v>
      </c>
      <c r="K6825" s="3" t="str">
        <f aca="false">IFERROR(INDEX('Teacher Lookup'!$B$2:$B$200,MATCH(A6825,'Teacher Lookup'!$A$2:$A$200,0)),"")</f>
        <v>CHOW Michael</v>
      </c>
    </row>
    <row r="6826" customFormat="false" ht="15" hidden="false" customHeight="false" outlineLevel="0" collapsed="false">
      <c r="A6826" s="3" t="s">
        <v>477</v>
      </c>
      <c r="B6826" s="4" t="s">
        <v>31</v>
      </c>
      <c r="C6826" s="4" t="n">
        <v>5</v>
      </c>
      <c r="D6826" s="4" t="s">
        <v>106</v>
      </c>
      <c r="E6826" s="3" t="s">
        <v>229</v>
      </c>
      <c r="F6826" s="4" t="str">
        <f aca="false">IF(I6826&gt;J6826,"Y","N")</f>
        <v>Y</v>
      </c>
      <c r="G6826" s="3" t="s">
        <v>36</v>
      </c>
      <c r="H6826" s="3" t="s">
        <v>37</v>
      </c>
      <c r="I6826" s="4" t="n">
        <v>14</v>
      </c>
      <c r="J6826" s="4" t="n">
        <f aca="false">LEN(E6826)-LEN(SUBSTITUTE(E6826,",",""))+1</f>
        <v>6</v>
      </c>
      <c r="K6826" s="3" t="str">
        <f aca="false">IFERROR(INDEX('Teacher Lookup'!$B$2:$B$200,MATCH(A6826,'Teacher Lookup'!$A$2:$A$200,0)),"")</f>
        <v>CHOW Michael</v>
      </c>
    </row>
    <row r="6827" customFormat="false" ht="15" hidden="false" customHeight="false" outlineLevel="0" collapsed="false">
      <c r="A6827" s="3" t="s">
        <v>477</v>
      </c>
      <c r="B6827" s="4" t="s">
        <v>31</v>
      </c>
      <c r="C6827" s="4" t="n">
        <v>5</v>
      </c>
      <c r="D6827" s="4" t="s">
        <v>107</v>
      </c>
      <c r="E6827" s="3" t="s">
        <v>229</v>
      </c>
      <c r="F6827" s="4" t="str">
        <f aca="false">IF(I6827&gt;J6827,"Y","N")</f>
        <v>Y</v>
      </c>
      <c r="G6827" s="3" t="s">
        <v>36</v>
      </c>
      <c r="H6827" s="3" t="s">
        <v>37</v>
      </c>
      <c r="I6827" s="4" t="n">
        <v>14</v>
      </c>
      <c r="J6827" s="4" t="n">
        <f aca="false">LEN(E6827)-LEN(SUBSTITUTE(E6827,",",""))+1</f>
        <v>6</v>
      </c>
      <c r="K6827" s="3" t="str">
        <f aca="false">IFERROR(INDEX('Teacher Lookup'!$B$2:$B$200,MATCH(A6827,'Teacher Lookup'!$A$2:$A$200,0)),"")</f>
        <v>CHOW Michael</v>
      </c>
    </row>
    <row r="6828" customFormat="false" ht="15" hidden="false" customHeight="false" outlineLevel="0" collapsed="false">
      <c r="A6828" s="3" t="s">
        <v>477</v>
      </c>
      <c r="B6828" s="4" t="s">
        <v>31</v>
      </c>
      <c r="C6828" s="4" t="n">
        <v>6</v>
      </c>
      <c r="D6828" s="4" t="s">
        <v>228</v>
      </c>
      <c r="E6828" s="3" t="s">
        <v>273</v>
      </c>
      <c r="F6828" s="4" t="str">
        <f aca="false">IF(I6828&gt;J6828,"Y","N")</f>
        <v>N</v>
      </c>
      <c r="G6828" s="3" t="s">
        <v>192</v>
      </c>
      <c r="H6828" s="3" t="s">
        <v>42</v>
      </c>
      <c r="I6828" s="4" t="n">
        <v>2</v>
      </c>
      <c r="J6828" s="4" t="n">
        <f aca="false">LEN(E6828)-LEN(SUBSTITUTE(E6828,",",""))+1</f>
        <v>2</v>
      </c>
      <c r="K6828" s="3" t="str">
        <f aca="false">IFERROR(INDEX('Teacher Lookup'!$B$2:$B$200,MATCH(A6828,'Teacher Lookup'!$A$2:$A$200,0)),"")</f>
        <v>CHOW Michael</v>
      </c>
    </row>
    <row r="6829" customFormat="false" ht="15" hidden="false" customHeight="false" outlineLevel="0" collapsed="false">
      <c r="A6829" s="3" t="s">
        <v>477</v>
      </c>
      <c r="B6829" s="4" t="s">
        <v>31</v>
      </c>
      <c r="C6829" s="4" t="n">
        <v>7</v>
      </c>
      <c r="D6829" s="4" t="s">
        <v>228</v>
      </c>
      <c r="E6829" s="3" t="s">
        <v>273</v>
      </c>
      <c r="F6829" s="4" t="str">
        <f aca="false">IF(I6829&gt;J6829,"Y","N")</f>
        <v>N</v>
      </c>
      <c r="G6829" s="3" t="s">
        <v>192</v>
      </c>
      <c r="H6829" s="3" t="s">
        <v>39</v>
      </c>
      <c r="I6829" s="4" t="n">
        <v>2</v>
      </c>
      <c r="J6829" s="4" t="n">
        <f aca="false">LEN(E6829)-LEN(SUBSTITUTE(E6829,",",""))+1</f>
        <v>2</v>
      </c>
      <c r="K6829" s="3" t="str">
        <f aca="false">IFERROR(INDEX('Teacher Lookup'!$B$2:$B$200,MATCH(A6829,'Teacher Lookup'!$A$2:$A$200,0)),"")</f>
        <v>CHOW Michael</v>
      </c>
    </row>
    <row r="6830" customFormat="false" ht="15" hidden="false" customHeight="false" outlineLevel="0" collapsed="false">
      <c r="A6830" s="3" t="s">
        <v>477</v>
      </c>
      <c r="B6830" s="4" t="s">
        <v>40</v>
      </c>
      <c r="C6830" s="4" t="n">
        <v>1</v>
      </c>
      <c r="D6830" s="4" t="s">
        <v>102</v>
      </c>
      <c r="E6830" s="3" t="s">
        <v>114</v>
      </c>
      <c r="F6830" s="4" t="str">
        <f aca="false">IF(I6830&gt;J6830,"Y","N")</f>
        <v>N</v>
      </c>
      <c r="G6830" s="3" t="s">
        <v>104</v>
      </c>
      <c r="H6830" s="3" t="s">
        <v>16</v>
      </c>
      <c r="I6830" s="4" t="n">
        <v>6</v>
      </c>
      <c r="J6830" s="4" t="n">
        <f aca="false">LEN(E6830)-LEN(SUBSTITUTE(E6830,",",""))+1</f>
        <v>6</v>
      </c>
      <c r="K6830" s="3" t="str">
        <f aca="false">IFERROR(INDEX('Teacher Lookup'!$B$2:$B$200,MATCH(A6830,'Teacher Lookup'!$A$2:$A$200,0)),"")</f>
        <v>CHOW Michael</v>
      </c>
    </row>
    <row r="6831" customFormat="false" ht="15" hidden="false" customHeight="false" outlineLevel="0" collapsed="false">
      <c r="A6831" s="3" t="s">
        <v>477</v>
      </c>
      <c r="B6831" s="4" t="s">
        <v>40</v>
      </c>
      <c r="C6831" s="4" t="n">
        <v>1</v>
      </c>
      <c r="D6831" s="4" t="s">
        <v>105</v>
      </c>
      <c r="E6831" s="3" t="s">
        <v>114</v>
      </c>
      <c r="F6831" s="4" t="str">
        <f aca="false">IF(I6831&gt;J6831,"Y","N")</f>
        <v>N</v>
      </c>
      <c r="G6831" s="3" t="s">
        <v>104</v>
      </c>
      <c r="H6831" s="3" t="s">
        <v>16</v>
      </c>
      <c r="I6831" s="4" t="n">
        <v>6</v>
      </c>
      <c r="J6831" s="4" t="n">
        <f aca="false">LEN(E6831)-LEN(SUBSTITUTE(E6831,",",""))+1</f>
        <v>6</v>
      </c>
      <c r="K6831" s="3" t="str">
        <f aca="false">IFERROR(INDEX('Teacher Lookup'!$B$2:$B$200,MATCH(A6831,'Teacher Lookup'!$A$2:$A$200,0)),"")</f>
        <v>CHOW Michael</v>
      </c>
    </row>
    <row r="6832" customFormat="false" ht="15" hidden="false" customHeight="false" outlineLevel="0" collapsed="false">
      <c r="A6832" s="3" t="s">
        <v>477</v>
      </c>
      <c r="B6832" s="4" t="s">
        <v>40</v>
      </c>
      <c r="C6832" s="4" t="n">
        <v>1</v>
      </c>
      <c r="D6832" s="4" t="s">
        <v>106</v>
      </c>
      <c r="E6832" s="3" t="s">
        <v>114</v>
      </c>
      <c r="F6832" s="4" t="str">
        <f aca="false">IF(I6832&gt;J6832,"Y","N")</f>
        <v>N</v>
      </c>
      <c r="G6832" s="3" t="s">
        <v>104</v>
      </c>
      <c r="H6832" s="3" t="s">
        <v>16</v>
      </c>
      <c r="I6832" s="4" t="n">
        <v>6</v>
      </c>
      <c r="J6832" s="4" t="n">
        <f aca="false">LEN(E6832)-LEN(SUBSTITUTE(E6832,",",""))+1</f>
        <v>6</v>
      </c>
      <c r="K6832" s="3" t="str">
        <f aca="false">IFERROR(INDEX('Teacher Lookup'!$B$2:$B$200,MATCH(A6832,'Teacher Lookup'!$A$2:$A$200,0)),"")</f>
        <v>CHOW Michael</v>
      </c>
    </row>
    <row r="6833" customFormat="false" ht="15" hidden="false" customHeight="false" outlineLevel="0" collapsed="false">
      <c r="A6833" s="3" t="s">
        <v>477</v>
      </c>
      <c r="B6833" s="4" t="s">
        <v>40</v>
      </c>
      <c r="C6833" s="4" t="n">
        <v>1</v>
      </c>
      <c r="D6833" s="4" t="s">
        <v>107</v>
      </c>
      <c r="E6833" s="3" t="s">
        <v>114</v>
      </c>
      <c r="F6833" s="4" t="str">
        <f aca="false">IF(I6833&gt;J6833,"Y","N")</f>
        <v>N</v>
      </c>
      <c r="G6833" s="3" t="s">
        <v>104</v>
      </c>
      <c r="H6833" s="3" t="s">
        <v>16</v>
      </c>
      <c r="I6833" s="4" t="n">
        <v>6</v>
      </c>
      <c r="J6833" s="4" t="n">
        <f aca="false">LEN(E6833)-LEN(SUBSTITUTE(E6833,",",""))+1</f>
        <v>6</v>
      </c>
      <c r="K6833" s="3" t="str">
        <f aca="false">IFERROR(INDEX('Teacher Lookup'!$B$2:$B$200,MATCH(A6833,'Teacher Lookup'!$A$2:$A$200,0)),"")</f>
        <v>CHOW Michael</v>
      </c>
    </row>
    <row r="6834" customFormat="false" ht="15" hidden="false" customHeight="false" outlineLevel="0" collapsed="false">
      <c r="A6834" s="3" t="s">
        <v>477</v>
      </c>
      <c r="B6834" s="4" t="s">
        <v>40</v>
      </c>
      <c r="C6834" s="4" t="n">
        <v>4</v>
      </c>
      <c r="D6834" s="4" t="s">
        <v>228</v>
      </c>
      <c r="E6834" s="3" t="s">
        <v>276</v>
      </c>
      <c r="F6834" s="4" t="str">
        <f aca="false">IF(I6834&gt;J6834,"Y","N")</f>
        <v>N</v>
      </c>
      <c r="G6834" s="3" t="s">
        <v>192</v>
      </c>
      <c r="H6834" s="3" t="s">
        <v>34</v>
      </c>
      <c r="I6834" s="4" t="n">
        <v>2</v>
      </c>
      <c r="J6834" s="4" t="n">
        <f aca="false">LEN(E6834)-LEN(SUBSTITUTE(E6834,",",""))+1</f>
        <v>2</v>
      </c>
      <c r="K6834" s="3" t="str">
        <f aca="false">IFERROR(INDEX('Teacher Lookup'!$B$2:$B$200,MATCH(A6834,'Teacher Lookup'!$A$2:$A$200,0)),"")</f>
        <v>CHOW Michael</v>
      </c>
    </row>
    <row r="6835" customFormat="false" ht="15" hidden="false" customHeight="false" outlineLevel="0" collapsed="false">
      <c r="A6835" s="3" t="s">
        <v>477</v>
      </c>
      <c r="B6835" s="4" t="s">
        <v>44</v>
      </c>
      <c r="C6835" s="4" t="n">
        <v>2</v>
      </c>
      <c r="D6835" s="4" t="s">
        <v>102</v>
      </c>
      <c r="E6835" s="3" t="s">
        <v>110</v>
      </c>
      <c r="F6835" s="4" t="str">
        <f aca="false">IF(I6835&gt;J6835,"Y","N")</f>
        <v>N</v>
      </c>
      <c r="G6835" s="3" t="s">
        <v>104</v>
      </c>
      <c r="H6835" s="3" t="s">
        <v>21</v>
      </c>
      <c r="I6835" s="4" t="n">
        <v>6</v>
      </c>
      <c r="J6835" s="4" t="n">
        <f aca="false">LEN(E6835)-LEN(SUBSTITUTE(E6835,",",""))+1</f>
        <v>6</v>
      </c>
      <c r="K6835" s="3" t="str">
        <f aca="false">IFERROR(INDEX('Teacher Lookup'!$B$2:$B$200,MATCH(A6835,'Teacher Lookup'!$A$2:$A$200,0)),"")</f>
        <v>CHOW Michael</v>
      </c>
    </row>
    <row r="6836" customFormat="false" ht="15" hidden="false" customHeight="false" outlineLevel="0" collapsed="false">
      <c r="A6836" s="3" t="s">
        <v>477</v>
      </c>
      <c r="B6836" s="4" t="s">
        <v>44</v>
      </c>
      <c r="C6836" s="4" t="n">
        <v>2</v>
      </c>
      <c r="D6836" s="4" t="s">
        <v>105</v>
      </c>
      <c r="E6836" s="3" t="s">
        <v>110</v>
      </c>
      <c r="F6836" s="4" t="str">
        <f aca="false">IF(I6836&gt;J6836,"Y","N")</f>
        <v>N</v>
      </c>
      <c r="G6836" s="3" t="s">
        <v>104</v>
      </c>
      <c r="H6836" s="3" t="s">
        <v>21</v>
      </c>
      <c r="I6836" s="4" t="n">
        <v>6</v>
      </c>
      <c r="J6836" s="4" t="n">
        <f aca="false">LEN(E6836)-LEN(SUBSTITUTE(E6836,",",""))+1</f>
        <v>6</v>
      </c>
      <c r="K6836" s="3" t="str">
        <f aca="false">IFERROR(INDEX('Teacher Lookup'!$B$2:$B$200,MATCH(A6836,'Teacher Lookup'!$A$2:$A$200,0)),"")</f>
        <v>CHOW Michael</v>
      </c>
    </row>
    <row r="6837" customFormat="false" ht="15" hidden="false" customHeight="false" outlineLevel="0" collapsed="false">
      <c r="A6837" s="3" t="s">
        <v>477</v>
      </c>
      <c r="B6837" s="4" t="s">
        <v>44</v>
      </c>
      <c r="C6837" s="4" t="n">
        <v>2</v>
      </c>
      <c r="D6837" s="4" t="s">
        <v>106</v>
      </c>
      <c r="E6837" s="3" t="s">
        <v>110</v>
      </c>
      <c r="F6837" s="4" t="str">
        <f aca="false">IF(I6837&gt;J6837,"Y","N")</f>
        <v>N</v>
      </c>
      <c r="G6837" s="3" t="s">
        <v>104</v>
      </c>
      <c r="H6837" s="3" t="s">
        <v>21</v>
      </c>
      <c r="I6837" s="4" t="n">
        <v>6</v>
      </c>
      <c r="J6837" s="4" t="n">
        <f aca="false">LEN(E6837)-LEN(SUBSTITUTE(E6837,",",""))+1</f>
        <v>6</v>
      </c>
      <c r="K6837" s="3" t="str">
        <f aca="false">IFERROR(INDEX('Teacher Lookup'!$B$2:$B$200,MATCH(A6837,'Teacher Lookup'!$A$2:$A$200,0)),"")</f>
        <v>CHOW Michael</v>
      </c>
    </row>
    <row r="6838" customFormat="false" ht="15" hidden="false" customHeight="false" outlineLevel="0" collapsed="false">
      <c r="A6838" s="3" t="s">
        <v>477</v>
      </c>
      <c r="B6838" s="4" t="s">
        <v>44</v>
      </c>
      <c r="C6838" s="4" t="n">
        <v>2</v>
      </c>
      <c r="D6838" s="4" t="s">
        <v>107</v>
      </c>
      <c r="E6838" s="3" t="s">
        <v>110</v>
      </c>
      <c r="F6838" s="4" t="str">
        <f aca="false">IF(I6838&gt;J6838,"Y","N")</f>
        <v>N</v>
      </c>
      <c r="G6838" s="3" t="s">
        <v>104</v>
      </c>
      <c r="H6838" s="3" t="s">
        <v>21</v>
      </c>
      <c r="I6838" s="4" t="n">
        <v>6</v>
      </c>
      <c r="J6838" s="4" t="n">
        <f aca="false">LEN(E6838)-LEN(SUBSTITUTE(E6838,",",""))+1</f>
        <v>6</v>
      </c>
      <c r="K6838" s="3" t="str">
        <f aca="false">IFERROR(INDEX('Teacher Lookup'!$B$2:$B$200,MATCH(A6838,'Teacher Lookup'!$A$2:$A$200,0)),"")</f>
        <v>CHOW Michael</v>
      </c>
    </row>
    <row r="6839" customFormat="false" ht="15" hidden="false" customHeight="false" outlineLevel="0" collapsed="false">
      <c r="A6839" s="3" t="s">
        <v>477</v>
      </c>
      <c r="B6839" s="4" t="s">
        <v>44</v>
      </c>
      <c r="C6839" s="4" t="n">
        <v>5</v>
      </c>
      <c r="D6839" s="4" t="s">
        <v>228</v>
      </c>
      <c r="E6839" s="3" t="s">
        <v>229</v>
      </c>
      <c r="F6839" s="4" t="str">
        <f aca="false">IF(I6839&gt;J6839,"Y","N")</f>
        <v>Y</v>
      </c>
      <c r="G6839" s="3" t="s">
        <v>36</v>
      </c>
      <c r="H6839" s="3" t="s">
        <v>37</v>
      </c>
      <c r="I6839" s="4" t="n">
        <v>14</v>
      </c>
      <c r="J6839" s="4" t="n">
        <f aca="false">LEN(E6839)-LEN(SUBSTITUTE(E6839,",",""))+1</f>
        <v>6</v>
      </c>
      <c r="K6839" s="3" t="str">
        <f aca="false">IFERROR(INDEX('Teacher Lookup'!$B$2:$B$200,MATCH(A6839,'Teacher Lookup'!$A$2:$A$200,0)),"")</f>
        <v>CHOW Michael</v>
      </c>
    </row>
    <row r="6840" customFormat="false" ht="15" hidden="false" customHeight="false" outlineLevel="0" collapsed="false">
      <c r="A6840" s="3" t="s">
        <v>477</v>
      </c>
      <c r="B6840" s="4" t="s">
        <v>44</v>
      </c>
      <c r="C6840" s="4" t="n">
        <v>5</v>
      </c>
      <c r="D6840" s="4" t="s">
        <v>102</v>
      </c>
      <c r="E6840" s="3" t="s">
        <v>229</v>
      </c>
      <c r="F6840" s="4" t="str">
        <f aca="false">IF(I6840&gt;J6840,"Y","N")</f>
        <v>Y</v>
      </c>
      <c r="G6840" s="3" t="s">
        <v>36</v>
      </c>
      <c r="H6840" s="3" t="s">
        <v>37</v>
      </c>
      <c r="I6840" s="4" t="n">
        <v>14</v>
      </c>
      <c r="J6840" s="4" t="n">
        <f aca="false">LEN(E6840)-LEN(SUBSTITUTE(E6840,",",""))+1</f>
        <v>6</v>
      </c>
      <c r="K6840" s="3" t="str">
        <f aca="false">IFERROR(INDEX('Teacher Lookup'!$B$2:$B$200,MATCH(A6840,'Teacher Lookup'!$A$2:$A$200,0)),"")</f>
        <v>CHOW Michael</v>
      </c>
    </row>
    <row r="6841" customFormat="false" ht="15" hidden="false" customHeight="false" outlineLevel="0" collapsed="false">
      <c r="A6841" s="3" t="s">
        <v>477</v>
      </c>
      <c r="B6841" s="4" t="s">
        <v>44</v>
      </c>
      <c r="C6841" s="4" t="n">
        <v>5</v>
      </c>
      <c r="D6841" s="4" t="s">
        <v>105</v>
      </c>
      <c r="E6841" s="3" t="s">
        <v>229</v>
      </c>
      <c r="F6841" s="4" t="str">
        <f aca="false">IF(I6841&gt;J6841,"Y","N")</f>
        <v>Y</v>
      </c>
      <c r="G6841" s="3" t="s">
        <v>36</v>
      </c>
      <c r="H6841" s="3" t="s">
        <v>37</v>
      </c>
      <c r="I6841" s="4" t="n">
        <v>14</v>
      </c>
      <c r="J6841" s="4" t="n">
        <f aca="false">LEN(E6841)-LEN(SUBSTITUTE(E6841,",",""))+1</f>
        <v>6</v>
      </c>
      <c r="K6841" s="3" t="str">
        <f aca="false">IFERROR(INDEX('Teacher Lookup'!$B$2:$B$200,MATCH(A6841,'Teacher Lookup'!$A$2:$A$200,0)),"")</f>
        <v>CHOW Michael</v>
      </c>
    </row>
    <row r="6842" customFormat="false" ht="15" hidden="false" customHeight="false" outlineLevel="0" collapsed="false">
      <c r="A6842" s="3" t="s">
        <v>477</v>
      </c>
      <c r="B6842" s="4" t="s">
        <v>44</v>
      </c>
      <c r="C6842" s="4" t="n">
        <v>5</v>
      </c>
      <c r="D6842" s="4" t="s">
        <v>106</v>
      </c>
      <c r="E6842" s="3" t="s">
        <v>229</v>
      </c>
      <c r="F6842" s="4" t="str">
        <f aca="false">IF(I6842&gt;J6842,"Y","N")</f>
        <v>Y</v>
      </c>
      <c r="G6842" s="3" t="s">
        <v>36</v>
      </c>
      <c r="H6842" s="3" t="s">
        <v>37</v>
      </c>
      <c r="I6842" s="4" t="n">
        <v>14</v>
      </c>
      <c r="J6842" s="4" t="n">
        <f aca="false">LEN(E6842)-LEN(SUBSTITUTE(E6842,",",""))+1</f>
        <v>6</v>
      </c>
      <c r="K6842" s="3" t="str">
        <f aca="false">IFERROR(INDEX('Teacher Lookup'!$B$2:$B$200,MATCH(A6842,'Teacher Lookup'!$A$2:$A$200,0)),"")</f>
        <v>CHOW Michael</v>
      </c>
    </row>
    <row r="6843" customFormat="false" ht="15" hidden="false" customHeight="false" outlineLevel="0" collapsed="false">
      <c r="A6843" s="3" t="s">
        <v>477</v>
      </c>
      <c r="B6843" s="4" t="s">
        <v>44</v>
      </c>
      <c r="C6843" s="4" t="n">
        <v>5</v>
      </c>
      <c r="D6843" s="4" t="s">
        <v>107</v>
      </c>
      <c r="E6843" s="3" t="s">
        <v>229</v>
      </c>
      <c r="F6843" s="4" t="str">
        <f aca="false">IF(I6843&gt;J6843,"Y","N")</f>
        <v>Y</v>
      </c>
      <c r="G6843" s="3" t="s">
        <v>36</v>
      </c>
      <c r="H6843" s="3" t="s">
        <v>37</v>
      </c>
      <c r="I6843" s="4" t="n">
        <v>14</v>
      </c>
      <c r="J6843" s="4" t="n">
        <f aca="false">LEN(E6843)-LEN(SUBSTITUTE(E6843,",",""))+1</f>
        <v>6</v>
      </c>
      <c r="K6843" s="3" t="str">
        <f aca="false">IFERROR(INDEX('Teacher Lookup'!$B$2:$B$200,MATCH(A6843,'Teacher Lookup'!$A$2:$A$200,0)),"")</f>
        <v>CHOW Michael</v>
      </c>
    </row>
    <row r="6844" customFormat="false" ht="15" hidden="false" customHeight="false" outlineLevel="0" collapsed="false">
      <c r="A6844" s="3" t="s">
        <v>477</v>
      </c>
      <c r="B6844" s="4" t="s">
        <v>44</v>
      </c>
      <c r="C6844" s="4" t="n">
        <v>6</v>
      </c>
      <c r="D6844" s="4" t="s">
        <v>228</v>
      </c>
      <c r="E6844" s="3" t="s">
        <v>273</v>
      </c>
      <c r="F6844" s="4" t="str">
        <f aca="false">IF(I6844&gt;J6844,"Y","N")</f>
        <v>N</v>
      </c>
      <c r="G6844" s="3" t="s">
        <v>192</v>
      </c>
      <c r="H6844" s="3" t="s">
        <v>42</v>
      </c>
      <c r="I6844" s="4" t="n">
        <v>2</v>
      </c>
      <c r="J6844" s="4" t="n">
        <f aca="false">LEN(E6844)-LEN(SUBSTITUTE(E6844,",",""))+1</f>
        <v>2</v>
      </c>
      <c r="K6844" s="3" t="str">
        <f aca="false">IFERROR(INDEX('Teacher Lookup'!$B$2:$B$200,MATCH(A6844,'Teacher Lookup'!$A$2:$A$200,0)),"")</f>
        <v>CHOW Michael</v>
      </c>
    </row>
    <row r="6845" customFormat="false" ht="15" hidden="false" customHeight="false" outlineLevel="0" collapsed="false">
      <c r="A6845" s="3" t="s">
        <v>477</v>
      </c>
      <c r="B6845" s="4" t="s">
        <v>44</v>
      </c>
      <c r="C6845" s="4" t="n">
        <v>7</v>
      </c>
      <c r="D6845" s="4" t="s">
        <v>228</v>
      </c>
      <c r="E6845" s="3" t="s">
        <v>273</v>
      </c>
      <c r="F6845" s="4" t="str">
        <f aca="false">IF(I6845&gt;J6845,"Y","N")</f>
        <v>N</v>
      </c>
      <c r="G6845" s="3" t="s">
        <v>192</v>
      </c>
      <c r="H6845" s="3" t="s">
        <v>39</v>
      </c>
      <c r="I6845" s="4" t="n">
        <v>2</v>
      </c>
      <c r="J6845" s="4" t="n">
        <f aca="false">LEN(E6845)-LEN(SUBSTITUTE(E6845,",",""))+1</f>
        <v>2</v>
      </c>
      <c r="K6845" s="3" t="str">
        <f aca="false">IFERROR(INDEX('Teacher Lookup'!$B$2:$B$200,MATCH(A6845,'Teacher Lookup'!$A$2:$A$200,0)),"")</f>
        <v>CHOW Michael</v>
      </c>
    </row>
    <row r="6846" customFormat="false" ht="15" hidden="false" customHeight="false" outlineLevel="0" collapsed="false">
      <c r="A6846" s="3" t="s">
        <v>477</v>
      </c>
      <c r="B6846" s="4" t="s">
        <v>47</v>
      </c>
      <c r="C6846" s="4" t="n">
        <v>4</v>
      </c>
      <c r="D6846" s="4" t="s">
        <v>228</v>
      </c>
      <c r="E6846" s="3" t="s">
        <v>273</v>
      </c>
      <c r="F6846" s="4" t="str">
        <f aca="false">IF(I6846&gt;J6846,"Y","N")</f>
        <v>N</v>
      </c>
      <c r="G6846" s="3" t="s">
        <v>192</v>
      </c>
      <c r="H6846" s="3" t="s">
        <v>34</v>
      </c>
      <c r="I6846" s="4" t="n">
        <v>2</v>
      </c>
      <c r="J6846" s="4" t="n">
        <f aca="false">LEN(E6846)-LEN(SUBSTITUTE(E6846,",",""))+1</f>
        <v>2</v>
      </c>
      <c r="K6846" s="3" t="str">
        <f aca="false">IFERROR(INDEX('Teacher Lookup'!$B$2:$B$200,MATCH(A6846,'Teacher Lookup'!$A$2:$A$200,0)),"")</f>
        <v>CHOW Michael</v>
      </c>
    </row>
    <row r="6847" customFormat="false" ht="15" hidden="false" customHeight="false" outlineLevel="0" collapsed="false">
      <c r="A6847" s="3" t="s">
        <v>477</v>
      </c>
      <c r="B6847" s="4" t="s">
        <v>47</v>
      </c>
      <c r="C6847" s="4" t="n">
        <v>5</v>
      </c>
      <c r="D6847" s="4" t="s">
        <v>102</v>
      </c>
      <c r="E6847" s="3" t="s">
        <v>116</v>
      </c>
      <c r="F6847" s="4" t="str">
        <f aca="false">IF(I6847&gt;J6847,"Y","N")</f>
        <v>N</v>
      </c>
      <c r="G6847" s="3" t="s">
        <v>104</v>
      </c>
      <c r="H6847" s="3" t="s">
        <v>37</v>
      </c>
      <c r="I6847" s="4" t="n">
        <v>6</v>
      </c>
      <c r="J6847" s="4" t="n">
        <f aca="false">LEN(E6847)-LEN(SUBSTITUTE(E6847,",",""))+1</f>
        <v>6</v>
      </c>
      <c r="K6847" s="3" t="str">
        <f aca="false">IFERROR(INDEX('Teacher Lookup'!$B$2:$B$200,MATCH(A6847,'Teacher Lookup'!$A$2:$A$200,0)),"")</f>
        <v>CHOW Michael</v>
      </c>
    </row>
    <row r="6848" customFormat="false" ht="15" hidden="false" customHeight="false" outlineLevel="0" collapsed="false">
      <c r="A6848" s="3" t="s">
        <v>477</v>
      </c>
      <c r="B6848" s="4" t="s">
        <v>47</v>
      </c>
      <c r="C6848" s="4" t="n">
        <v>5</v>
      </c>
      <c r="D6848" s="4" t="s">
        <v>105</v>
      </c>
      <c r="E6848" s="3" t="s">
        <v>116</v>
      </c>
      <c r="F6848" s="4" t="str">
        <f aca="false">IF(I6848&gt;J6848,"Y","N")</f>
        <v>N</v>
      </c>
      <c r="G6848" s="3" t="s">
        <v>104</v>
      </c>
      <c r="H6848" s="3" t="s">
        <v>37</v>
      </c>
      <c r="I6848" s="4" t="n">
        <v>6</v>
      </c>
      <c r="J6848" s="4" t="n">
        <f aca="false">LEN(E6848)-LEN(SUBSTITUTE(E6848,",",""))+1</f>
        <v>6</v>
      </c>
      <c r="K6848" s="3" t="str">
        <f aca="false">IFERROR(INDEX('Teacher Lookup'!$B$2:$B$200,MATCH(A6848,'Teacher Lookup'!$A$2:$A$200,0)),"")</f>
        <v>CHOW Michael</v>
      </c>
    </row>
    <row r="6849" customFormat="false" ht="15" hidden="false" customHeight="false" outlineLevel="0" collapsed="false">
      <c r="A6849" s="3" t="s">
        <v>477</v>
      </c>
      <c r="B6849" s="4" t="s">
        <v>47</v>
      </c>
      <c r="C6849" s="4" t="n">
        <v>5</v>
      </c>
      <c r="D6849" s="4" t="s">
        <v>106</v>
      </c>
      <c r="E6849" s="3" t="s">
        <v>116</v>
      </c>
      <c r="F6849" s="4" t="str">
        <f aca="false">IF(I6849&gt;J6849,"Y","N")</f>
        <v>N</v>
      </c>
      <c r="G6849" s="3" t="s">
        <v>104</v>
      </c>
      <c r="H6849" s="3" t="s">
        <v>37</v>
      </c>
      <c r="I6849" s="4" t="n">
        <v>6</v>
      </c>
      <c r="J6849" s="4" t="n">
        <f aca="false">LEN(E6849)-LEN(SUBSTITUTE(E6849,",",""))+1</f>
        <v>6</v>
      </c>
      <c r="K6849" s="3" t="str">
        <f aca="false">IFERROR(INDEX('Teacher Lookup'!$B$2:$B$200,MATCH(A6849,'Teacher Lookup'!$A$2:$A$200,0)),"")</f>
        <v>CHOW Michael</v>
      </c>
    </row>
    <row r="6850" customFormat="false" ht="15" hidden="false" customHeight="false" outlineLevel="0" collapsed="false">
      <c r="A6850" s="3" t="s">
        <v>477</v>
      </c>
      <c r="B6850" s="4" t="s">
        <v>47</v>
      </c>
      <c r="C6850" s="4" t="n">
        <v>5</v>
      </c>
      <c r="D6850" s="4" t="s">
        <v>107</v>
      </c>
      <c r="E6850" s="3" t="s">
        <v>116</v>
      </c>
      <c r="F6850" s="4" t="str">
        <f aca="false">IF(I6850&gt;J6850,"Y","N")</f>
        <v>N</v>
      </c>
      <c r="G6850" s="3" t="s">
        <v>104</v>
      </c>
      <c r="H6850" s="3" t="s">
        <v>37</v>
      </c>
      <c r="I6850" s="4" t="n">
        <v>6</v>
      </c>
      <c r="J6850" s="4" t="n">
        <f aca="false">LEN(E6850)-LEN(SUBSTITUTE(E6850,",",""))+1</f>
        <v>6</v>
      </c>
      <c r="K6850" s="3" t="str">
        <f aca="false">IFERROR(INDEX('Teacher Lookup'!$B$2:$B$200,MATCH(A6850,'Teacher Lookup'!$A$2:$A$200,0)),"")</f>
        <v>CHOW Michael</v>
      </c>
    </row>
    <row r="6851" customFormat="false" ht="15" hidden="false" customHeight="false" outlineLevel="0" collapsed="false">
      <c r="A6851" s="3" t="s">
        <v>477</v>
      </c>
      <c r="B6851" s="4" t="s">
        <v>50</v>
      </c>
      <c r="C6851" s="4" t="n">
        <v>2</v>
      </c>
      <c r="D6851" s="4" t="s">
        <v>102</v>
      </c>
      <c r="E6851" s="3" t="s">
        <v>118</v>
      </c>
      <c r="F6851" s="4" t="str">
        <f aca="false">IF(I6851&gt;J6851,"Y","N")</f>
        <v>N</v>
      </c>
      <c r="G6851" s="3" t="s">
        <v>104</v>
      </c>
      <c r="H6851" s="3" t="s">
        <v>21</v>
      </c>
      <c r="I6851" s="4" t="n">
        <v>6</v>
      </c>
      <c r="J6851" s="4" t="n">
        <f aca="false">LEN(E6851)-LEN(SUBSTITUTE(E6851,",",""))+1</f>
        <v>6</v>
      </c>
      <c r="K6851" s="3" t="str">
        <f aca="false">IFERROR(INDEX('Teacher Lookup'!$B$2:$B$200,MATCH(A6851,'Teacher Lookup'!$A$2:$A$200,0)),"")</f>
        <v>CHOW Michael</v>
      </c>
    </row>
    <row r="6852" customFormat="false" ht="15" hidden="false" customHeight="false" outlineLevel="0" collapsed="false">
      <c r="A6852" s="3" t="s">
        <v>477</v>
      </c>
      <c r="B6852" s="4" t="s">
        <v>50</v>
      </c>
      <c r="C6852" s="4" t="n">
        <v>2</v>
      </c>
      <c r="D6852" s="4" t="s">
        <v>105</v>
      </c>
      <c r="E6852" s="3" t="s">
        <v>118</v>
      </c>
      <c r="F6852" s="4" t="str">
        <f aca="false">IF(I6852&gt;J6852,"Y","N")</f>
        <v>N</v>
      </c>
      <c r="G6852" s="3" t="s">
        <v>104</v>
      </c>
      <c r="H6852" s="3" t="s">
        <v>21</v>
      </c>
      <c r="I6852" s="4" t="n">
        <v>6</v>
      </c>
      <c r="J6852" s="4" t="n">
        <f aca="false">LEN(E6852)-LEN(SUBSTITUTE(E6852,",",""))+1</f>
        <v>6</v>
      </c>
      <c r="K6852" s="3" t="str">
        <f aca="false">IFERROR(INDEX('Teacher Lookup'!$B$2:$B$200,MATCH(A6852,'Teacher Lookup'!$A$2:$A$200,0)),"")</f>
        <v>CHOW Michael</v>
      </c>
    </row>
    <row r="6853" customFormat="false" ht="15" hidden="false" customHeight="false" outlineLevel="0" collapsed="false">
      <c r="A6853" s="3" t="s">
        <v>477</v>
      </c>
      <c r="B6853" s="4" t="s">
        <v>50</v>
      </c>
      <c r="C6853" s="4" t="n">
        <v>2</v>
      </c>
      <c r="D6853" s="4" t="s">
        <v>106</v>
      </c>
      <c r="E6853" s="3" t="s">
        <v>118</v>
      </c>
      <c r="F6853" s="4" t="str">
        <f aca="false">IF(I6853&gt;J6853,"Y","N")</f>
        <v>N</v>
      </c>
      <c r="G6853" s="3" t="s">
        <v>104</v>
      </c>
      <c r="H6853" s="3" t="s">
        <v>21</v>
      </c>
      <c r="I6853" s="4" t="n">
        <v>6</v>
      </c>
      <c r="J6853" s="4" t="n">
        <f aca="false">LEN(E6853)-LEN(SUBSTITUTE(E6853,",",""))+1</f>
        <v>6</v>
      </c>
      <c r="K6853" s="3" t="str">
        <f aca="false">IFERROR(INDEX('Teacher Lookup'!$B$2:$B$200,MATCH(A6853,'Teacher Lookup'!$A$2:$A$200,0)),"")</f>
        <v>CHOW Michael</v>
      </c>
    </row>
    <row r="6854" customFormat="false" ht="15" hidden="false" customHeight="false" outlineLevel="0" collapsed="false">
      <c r="A6854" s="3" t="s">
        <v>477</v>
      </c>
      <c r="B6854" s="4" t="s">
        <v>50</v>
      </c>
      <c r="C6854" s="4" t="n">
        <v>2</v>
      </c>
      <c r="D6854" s="4" t="s">
        <v>107</v>
      </c>
      <c r="E6854" s="3" t="s">
        <v>118</v>
      </c>
      <c r="F6854" s="4" t="str">
        <f aca="false">IF(I6854&gt;J6854,"Y","N")</f>
        <v>N</v>
      </c>
      <c r="G6854" s="3" t="s">
        <v>104</v>
      </c>
      <c r="H6854" s="3" t="s">
        <v>21</v>
      </c>
      <c r="I6854" s="4" t="n">
        <v>6</v>
      </c>
      <c r="J6854" s="4" t="n">
        <f aca="false">LEN(E6854)-LEN(SUBSTITUTE(E6854,",",""))+1</f>
        <v>6</v>
      </c>
      <c r="K6854" s="3" t="str">
        <f aca="false">IFERROR(INDEX('Teacher Lookup'!$B$2:$B$200,MATCH(A6854,'Teacher Lookup'!$A$2:$A$200,0)),"")</f>
        <v>CHOW Michael</v>
      </c>
    </row>
    <row r="6855" customFormat="false" ht="15" hidden="false" customHeight="false" outlineLevel="0" collapsed="false">
      <c r="A6855" s="3" t="s">
        <v>477</v>
      </c>
      <c r="B6855" s="4" t="s">
        <v>50</v>
      </c>
      <c r="C6855" s="4" t="n">
        <v>6</v>
      </c>
      <c r="D6855" s="4" t="s">
        <v>228</v>
      </c>
      <c r="E6855" s="3" t="s">
        <v>279</v>
      </c>
      <c r="F6855" s="4" t="str">
        <f aca="false">IF(I6855&gt;J6855,"Y","N")</f>
        <v>N</v>
      </c>
      <c r="G6855" s="3" t="s">
        <v>192</v>
      </c>
      <c r="H6855" s="3" t="s">
        <v>42</v>
      </c>
      <c r="I6855" s="4" t="n">
        <v>2</v>
      </c>
      <c r="J6855" s="4" t="n">
        <f aca="false">LEN(E6855)-LEN(SUBSTITUTE(E6855,",",""))+1</f>
        <v>2</v>
      </c>
      <c r="K6855" s="3" t="str">
        <f aca="false">IFERROR(INDEX('Teacher Lookup'!$B$2:$B$200,MATCH(A6855,'Teacher Lookup'!$A$2:$A$200,0)),"")</f>
        <v>CHOW Michael</v>
      </c>
    </row>
    <row r="6856" customFormat="false" ht="15" hidden="false" customHeight="false" outlineLevel="0" collapsed="false">
      <c r="A6856" s="3" t="s">
        <v>477</v>
      </c>
      <c r="B6856" s="4" t="s">
        <v>60</v>
      </c>
      <c r="C6856" s="4" t="n">
        <v>5</v>
      </c>
      <c r="D6856" s="4" t="s">
        <v>228</v>
      </c>
      <c r="E6856" s="3" t="s">
        <v>229</v>
      </c>
      <c r="F6856" s="4" t="str">
        <f aca="false">IF(I6856&gt;J6856,"Y","N")</f>
        <v>Y</v>
      </c>
      <c r="G6856" s="3" t="s">
        <v>36</v>
      </c>
      <c r="H6856" s="3" t="s">
        <v>37</v>
      </c>
      <c r="I6856" s="4" t="n">
        <v>14</v>
      </c>
      <c r="J6856" s="4" t="n">
        <f aca="false">LEN(E6856)-LEN(SUBSTITUTE(E6856,",",""))+1</f>
        <v>6</v>
      </c>
      <c r="K6856" s="3" t="str">
        <f aca="false">IFERROR(INDEX('Teacher Lookup'!$B$2:$B$200,MATCH(A6856,'Teacher Lookup'!$A$2:$A$200,0)),"")</f>
        <v>CHOW Michael</v>
      </c>
    </row>
    <row r="6857" customFormat="false" ht="15" hidden="false" customHeight="false" outlineLevel="0" collapsed="false">
      <c r="A6857" s="3" t="s">
        <v>477</v>
      </c>
      <c r="B6857" s="4" t="s">
        <v>60</v>
      </c>
      <c r="C6857" s="4" t="n">
        <v>5</v>
      </c>
      <c r="D6857" s="4" t="s">
        <v>102</v>
      </c>
      <c r="E6857" s="3" t="s">
        <v>229</v>
      </c>
      <c r="F6857" s="4" t="str">
        <f aca="false">IF(I6857&gt;J6857,"Y","N")</f>
        <v>Y</v>
      </c>
      <c r="G6857" s="3" t="s">
        <v>36</v>
      </c>
      <c r="H6857" s="3" t="s">
        <v>37</v>
      </c>
      <c r="I6857" s="4" t="n">
        <v>14</v>
      </c>
      <c r="J6857" s="4" t="n">
        <f aca="false">LEN(E6857)-LEN(SUBSTITUTE(E6857,",",""))+1</f>
        <v>6</v>
      </c>
      <c r="K6857" s="3" t="str">
        <f aca="false">IFERROR(INDEX('Teacher Lookup'!$B$2:$B$200,MATCH(A6857,'Teacher Lookup'!$A$2:$A$200,0)),"")</f>
        <v>CHOW Michael</v>
      </c>
    </row>
    <row r="6858" customFormat="false" ht="15" hidden="false" customHeight="false" outlineLevel="0" collapsed="false">
      <c r="A6858" s="3" t="s">
        <v>477</v>
      </c>
      <c r="B6858" s="4" t="s">
        <v>60</v>
      </c>
      <c r="C6858" s="4" t="n">
        <v>5</v>
      </c>
      <c r="D6858" s="4" t="s">
        <v>105</v>
      </c>
      <c r="E6858" s="3" t="s">
        <v>229</v>
      </c>
      <c r="F6858" s="4" t="str">
        <f aca="false">IF(I6858&gt;J6858,"Y","N")</f>
        <v>Y</v>
      </c>
      <c r="G6858" s="3" t="s">
        <v>36</v>
      </c>
      <c r="H6858" s="3" t="s">
        <v>37</v>
      </c>
      <c r="I6858" s="4" t="n">
        <v>14</v>
      </c>
      <c r="J6858" s="4" t="n">
        <f aca="false">LEN(E6858)-LEN(SUBSTITUTE(E6858,",",""))+1</f>
        <v>6</v>
      </c>
      <c r="K6858" s="3" t="str">
        <f aca="false">IFERROR(INDEX('Teacher Lookup'!$B$2:$B$200,MATCH(A6858,'Teacher Lookup'!$A$2:$A$200,0)),"")</f>
        <v>CHOW Michael</v>
      </c>
    </row>
    <row r="6859" customFormat="false" ht="15" hidden="false" customHeight="false" outlineLevel="0" collapsed="false">
      <c r="A6859" s="3" t="s">
        <v>477</v>
      </c>
      <c r="B6859" s="4" t="s">
        <v>60</v>
      </c>
      <c r="C6859" s="4" t="n">
        <v>5</v>
      </c>
      <c r="D6859" s="4" t="s">
        <v>106</v>
      </c>
      <c r="E6859" s="3" t="s">
        <v>229</v>
      </c>
      <c r="F6859" s="4" t="str">
        <f aca="false">IF(I6859&gt;J6859,"Y","N")</f>
        <v>Y</v>
      </c>
      <c r="G6859" s="3" t="s">
        <v>36</v>
      </c>
      <c r="H6859" s="3" t="s">
        <v>37</v>
      </c>
      <c r="I6859" s="4" t="n">
        <v>14</v>
      </c>
      <c r="J6859" s="4" t="n">
        <f aca="false">LEN(E6859)-LEN(SUBSTITUTE(E6859,",",""))+1</f>
        <v>6</v>
      </c>
      <c r="K6859" s="3" t="str">
        <f aca="false">IFERROR(INDEX('Teacher Lookup'!$B$2:$B$200,MATCH(A6859,'Teacher Lookup'!$A$2:$A$200,0)),"")</f>
        <v>CHOW Michael</v>
      </c>
    </row>
    <row r="6860" customFormat="false" ht="15" hidden="false" customHeight="false" outlineLevel="0" collapsed="false">
      <c r="A6860" s="3" t="s">
        <v>477</v>
      </c>
      <c r="B6860" s="4" t="s">
        <v>60</v>
      </c>
      <c r="C6860" s="4" t="n">
        <v>5</v>
      </c>
      <c r="D6860" s="4" t="s">
        <v>107</v>
      </c>
      <c r="E6860" s="3" t="s">
        <v>229</v>
      </c>
      <c r="F6860" s="4" t="str">
        <f aca="false">IF(I6860&gt;J6860,"Y","N")</f>
        <v>Y</v>
      </c>
      <c r="G6860" s="3" t="s">
        <v>36</v>
      </c>
      <c r="H6860" s="3" t="s">
        <v>37</v>
      </c>
      <c r="I6860" s="4" t="n">
        <v>14</v>
      </c>
      <c r="J6860" s="4" t="n">
        <f aca="false">LEN(E6860)-LEN(SUBSTITUTE(E6860,",",""))+1</f>
        <v>6</v>
      </c>
      <c r="K6860" s="3" t="str">
        <f aca="false">IFERROR(INDEX('Teacher Lookup'!$B$2:$B$200,MATCH(A6860,'Teacher Lookup'!$A$2:$A$200,0)),"")</f>
        <v>CHOW Michael</v>
      </c>
    </row>
    <row r="6861" customFormat="false" ht="15" hidden="false" customHeight="false" outlineLevel="0" collapsed="false">
      <c r="A6861" s="3" t="s">
        <v>477</v>
      </c>
      <c r="B6861" s="4" t="s">
        <v>60</v>
      </c>
      <c r="C6861" s="4" t="n">
        <v>6</v>
      </c>
      <c r="D6861" s="4" t="s">
        <v>228</v>
      </c>
      <c r="E6861" s="3" t="s">
        <v>273</v>
      </c>
      <c r="F6861" s="4" t="str">
        <f aca="false">IF(I6861&gt;J6861,"Y","N")</f>
        <v>N</v>
      </c>
      <c r="G6861" s="3" t="s">
        <v>192</v>
      </c>
      <c r="H6861" s="3" t="s">
        <v>42</v>
      </c>
      <c r="I6861" s="4" t="n">
        <v>2</v>
      </c>
      <c r="J6861" s="4" t="n">
        <f aca="false">LEN(E6861)-LEN(SUBSTITUTE(E6861,",",""))+1</f>
        <v>2</v>
      </c>
      <c r="K6861" s="3" t="str">
        <f aca="false">IFERROR(INDEX('Teacher Lookup'!$B$2:$B$200,MATCH(A6861,'Teacher Lookup'!$A$2:$A$200,0)),"")</f>
        <v>CHOW Michael</v>
      </c>
    </row>
    <row r="6862" customFormat="false" ht="15" hidden="false" customHeight="false" outlineLevel="0" collapsed="false">
      <c r="A6862" s="3" t="s">
        <v>477</v>
      </c>
      <c r="B6862" s="4" t="s">
        <v>60</v>
      </c>
      <c r="C6862" s="4" t="n">
        <v>7</v>
      </c>
      <c r="D6862" s="4" t="s">
        <v>228</v>
      </c>
      <c r="E6862" s="3" t="s">
        <v>273</v>
      </c>
      <c r="F6862" s="4" t="str">
        <f aca="false">IF(I6862&gt;J6862,"Y","N")</f>
        <v>N</v>
      </c>
      <c r="G6862" s="3" t="s">
        <v>192</v>
      </c>
      <c r="H6862" s="3" t="s">
        <v>39</v>
      </c>
      <c r="I6862" s="4" t="n">
        <v>2</v>
      </c>
      <c r="J6862" s="4" t="n">
        <f aca="false">LEN(E6862)-LEN(SUBSTITUTE(E6862,",",""))+1</f>
        <v>2</v>
      </c>
      <c r="K6862" s="3" t="str">
        <f aca="false">IFERROR(INDEX('Teacher Lookup'!$B$2:$B$200,MATCH(A6862,'Teacher Lookup'!$A$2:$A$200,0)),"")</f>
        <v>CHOW Michael</v>
      </c>
    </row>
    <row r="6863" customFormat="false" ht="15" hidden="false" customHeight="false" outlineLevel="0" collapsed="false">
      <c r="A6863" s="3" t="s">
        <v>477</v>
      </c>
      <c r="B6863" s="4" t="s">
        <v>63</v>
      </c>
      <c r="C6863" s="4" t="n">
        <v>1</v>
      </c>
      <c r="D6863" s="4" t="s">
        <v>102</v>
      </c>
      <c r="E6863" s="3" t="s">
        <v>120</v>
      </c>
      <c r="F6863" s="4" t="str">
        <f aca="false">IF(I6863&gt;J6863,"Y","N")</f>
        <v>N</v>
      </c>
      <c r="G6863" s="3" t="s">
        <v>104</v>
      </c>
      <c r="H6863" s="3" t="s">
        <v>16</v>
      </c>
      <c r="I6863" s="4" t="n">
        <v>6</v>
      </c>
      <c r="J6863" s="4" t="n">
        <f aca="false">LEN(E6863)-LEN(SUBSTITUTE(E6863,",",""))+1</f>
        <v>6</v>
      </c>
      <c r="K6863" s="3" t="str">
        <f aca="false">IFERROR(INDEX('Teacher Lookup'!$B$2:$B$200,MATCH(A6863,'Teacher Lookup'!$A$2:$A$200,0)),"")</f>
        <v>CHOW Michael</v>
      </c>
    </row>
    <row r="6864" customFormat="false" ht="15" hidden="false" customHeight="false" outlineLevel="0" collapsed="false">
      <c r="A6864" s="3" t="s">
        <v>477</v>
      </c>
      <c r="B6864" s="4" t="s">
        <v>63</v>
      </c>
      <c r="C6864" s="4" t="n">
        <v>1</v>
      </c>
      <c r="D6864" s="4" t="s">
        <v>105</v>
      </c>
      <c r="E6864" s="3" t="s">
        <v>120</v>
      </c>
      <c r="F6864" s="4" t="str">
        <f aca="false">IF(I6864&gt;J6864,"Y","N")</f>
        <v>N</v>
      </c>
      <c r="G6864" s="3" t="s">
        <v>104</v>
      </c>
      <c r="H6864" s="3" t="s">
        <v>16</v>
      </c>
      <c r="I6864" s="4" t="n">
        <v>6</v>
      </c>
      <c r="J6864" s="4" t="n">
        <f aca="false">LEN(E6864)-LEN(SUBSTITUTE(E6864,",",""))+1</f>
        <v>6</v>
      </c>
      <c r="K6864" s="3" t="str">
        <f aca="false">IFERROR(INDEX('Teacher Lookup'!$B$2:$B$200,MATCH(A6864,'Teacher Lookup'!$A$2:$A$200,0)),"")</f>
        <v>CHOW Michael</v>
      </c>
    </row>
    <row r="6865" customFormat="false" ht="15" hidden="false" customHeight="false" outlineLevel="0" collapsed="false">
      <c r="A6865" s="3" t="s">
        <v>477</v>
      </c>
      <c r="B6865" s="4" t="s">
        <v>63</v>
      </c>
      <c r="C6865" s="4" t="n">
        <v>1</v>
      </c>
      <c r="D6865" s="4" t="s">
        <v>106</v>
      </c>
      <c r="E6865" s="3" t="s">
        <v>120</v>
      </c>
      <c r="F6865" s="4" t="str">
        <f aca="false">IF(I6865&gt;J6865,"Y","N")</f>
        <v>N</v>
      </c>
      <c r="G6865" s="3" t="s">
        <v>104</v>
      </c>
      <c r="H6865" s="3" t="s">
        <v>16</v>
      </c>
      <c r="I6865" s="4" t="n">
        <v>6</v>
      </c>
      <c r="J6865" s="4" t="n">
        <f aca="false">LEN(E6865)-LEN(SUBSTITUTE(E6865,",",""))+1</f>
        <v>6</v>
      </c>
      <c r="K6865" s="3" t="str">
        <f aca="false">IFERROR(INDEX('Teacher Lookup'!$B$2:$B$200,MATCH(A6865,'Teacher Lookup'!$A$2:$A$200,0)),"")</f>
        <v>CHOW Michael</v>
      </c>
    </row>
    <row r="6866" customFormat="false" ht="15" hidden="false" customHeight="false" outlineLevel="0" collapsed="false">
      <c r="A6866" s="3" t="s">
        <v>477</v>
      </c>
      <c r="B6866" s="4" t="s">
        <v>63</v>
      </c>
      <c r="C6866" s="4" t="n">
        <v>1</v>
      </c>
      <c r="D6866" s="4" t="s">
        <v>107</v>
      </c>
      <c r="E6866" s="3" t="s">
        <v>120</v>
      </c>
      <c r="F6866" s="4" t="str">
        <f aca="false">IF(I6866&gt;J6866,"Y","N")</f>
        <v>N</v>
      </c>
      <c r="G6866" s="3" t="s">
        <v>104</v>
      </c>
      <c r="H6866" s="3" t="s">
        <v>16</v>
      </c>
      <c r="I6866" s="4" t="n">
        <v>6</v>
      </c>
      <c r="J6866" s="4" t="n">
        <f aca="false">LEN(E6866)-LEN(SUBSTITUTE(E6866,",",""))+1</f>
        <v>6</v>
      </c>
      <c r="K6866" s="3" t="str">
        <f aca="false">IFERROR(INDEX('Teacher Lookup'!$B$2:$B$200,MATCH(A6866,'Teacher Lookup'!$A$2:$A$200,0)),"")</f>
        <v>CHOW Michael</v>
      </c>
    </row>
    <row r="6867" customFormat="false" ht="15" hidden="false" customHeight="false" outlineLevel="0" collapsed="false">
      <c r="A6867" s="3" t="s">
        <v>477</v>
      </c>
      <c r="B6867" s="4" t="s">
        <v>63</v>
      </c>
      <c r="C6867" s="4" t="n">
        <v>3</v>
      </c>
      <c r="D6867" s="4" t="s">
        <v>228</v>
      </c>
      <c r="E6867" s="3" t="s">
        <v>281</v>
      </c>
      <c r="F6867" s="4" t="str">
        <f aca="false">IF(I6867&gt;J6867,"Y","N")</f>
        <v>N</v>
      </c>
      <c r="G6867" s="3" t="s">
        <v>192</v>
      </c>
      <c r="H6867" s="3" t="s">
        <v>26</v>
      </c>
      <c r="I6867" s="4" t="n">
        <v>2</v>
      </c>
      <c r="J6867" s="4" t="n">
        <f aca="false">LEN(E6867)-LEN(SUBSTITUTE(E6867,",",""))+1</f>
        <v>2</v>
      </c>
      <c r="K6867" s="3" t="str">
        <f aca="false">IFERROR(INDEX('Teacher Lookup'!$B$2:$B$200,MATCH(A6867,'Teacher Lookup'!$A$2:$A$200,0)),"")</f>
        <v>CHOW Michael</v>
      </c>
    </row>
    <row r="6868" customFormat="false" ht="15" hidden="false" customHeight="false" outlineLevel="0" collapsed="false">
      <c r="A6868" s="3" t="s">
        <v>477</v>
      </c>
      <c r="B6868" s="4" t="s">
        <v>65</v>
      </c>
      <c r="C6868" s="4" t="n">
        <v>5</v>
      </c>
      <c r="D6868" s="4" t="s">
        <v>228</v>
      </c>
      <c r="E6868" s="3" t="s">
        <v>229</v>
      </c>
      <c r="F6868" s="4" t="str">
        <f aca="false">IF(I6868&gt;J6868,"Y","N")</f>
        <v>Y</v>
      </c>
      <c r="G6868" s="3" t="s">
        <v>36</v>
      </c>
      <c r="H6868" s="3" t="s">
        <v>37</v>
      </c>
      <c r="I6868" s="4" t="n">
        <v>14</v>
      </c>
      <c r="J6868" s="4" t="n">
        <f aca="false">LEN(E6868)-LEN(SUBSTITUTE(E6868,",",""))+1</f>
        <v>6</v>
      </c>
      <c r="K6868" s="3" t="str">
        <f aca="false">IFERROR(INDEX('Teacher Lookup'!$B$2:$B$200,MATCH(A6868,'Teacher Lookup'!$A$2:$A$200,0)),"")</f>
        <v>CHOW Michael</v>
      </c>
    </row>
    <row r="6869" customFormat="false" ht="15" hidden="false" customHeight="false" outlineLevel="0" collapsed="false">
      <c r="A6869" s="3" t="s">
        <v>477</v>
      </c>
      <c r="B6869" s="4" t="s">
        <v>65</v>
      </c>
      <c r="C6869" s="4" t="n">
        <v>5</v>
      </c>
      <c r="D6869" s="4" t="s">
        <v>102</v>
      </c>
      <c r="E6869" s="3" t="s">
        <v>229</v>
      </c>
      <c r="F6869" s="4" t="str">
        <f aca="false">IF(I6869&gt;J6869,"Y","N")</f>
        <v>Y</v>
      </c>
      <c r="G6869" s="3" t="s">
        <v>36</v>
      </c>
      <c r="H6869" s="3" t="s">
        <v>37</v>
      </c>
      <c r="I6869" s="4" t="n">
        <v>14</v>
      </c>
      <c r="J6869" s="4" t="n">
        <f aca="false">LEN(E6869)-LEN(SUBSTITUTE(E6869,",",""))+1</f>
        <v>6</v>
      </c>
      <c r="K6869" s="3" t="str">
        <f aca="false">IFERROR(INDEX('Teacher Lookup'!$B$2:$B$200,MATCH(A6869,'Teacher Lookup'!$A$2:$A$200,0)),"")</f>
        <v>CHOW Michael</v>
      </c>
    </row>
    <row r="6870" customFormat="false" ht="15" hidden="false" customHeight="false" outlineLevel="0" collapsed="false">
      <c r="A6870" s="3" t="s">
        <v>477</v>
      </c>
      <c r="B6870" s="4" t="s">
        <v>65</v>
      </c>
      <c r="C6870" s="4" t="n">
        <v>5</v>
      </c>
      <c r="D6870" s="4" t="s">
        <v>105</v>
      </c>
      <c r="E6870" s="3" t="s">
        <v>229</v>
      </c>
      <c r="F6870" s="4" t="str">
        <f aca="false">IF(I6870&gt;J6870,"Y","N")</f>
        <v>Y</v>
      </c>
      <c r="G6870" s="3" t="s">
        <v>36</v>
      </c>
      <c r="H6870" s="3" t="s">
        <v>37</v>
      </c>
      <c r="I6870" s="4" t="n">
        <v>14</v>
      </c>
      <c r="J6870" s="4" t="n">
        <f aca="false">LEN(E6870)-LEN(SUBSTITUTE(E6870,",",""))+1</f>
        <v>6</v>
      </c>
      <c r="K6870" s="3" t="str">
        <f aca="false">IFERROR(INDEX('Teacher Lookup'!$B$2:$B$200,MATCH(A6870,'Teacher Lookup'!$A$2:$A$200,0)),"")</f>
        <v>CHOW Michael</v>
      </c>
    </row>
    <row r="6871" customFormat="false" ht="15" hidden="false" customHeight="false" outlineLevel="0" collapsed="false">
      <c r="A6871" s="3" t="s">
        <v>477</v>
      </c>
      <c r="B6871" s="4" t="s">
        <v>65</v>
      </c>
      <c r="C6871" s="4" t="n">
        <v>5</v>
      </c>
      <c r="D6871" s="4" t="s">
        <v>106</v>
      </c>
      <c r="E6871" s="3" t="s">
        <v>229</v>
      </c>
      <c r="F6871" s="4" t="str">
        <f aca="false">IF(I6871&gt;J6871,"Y","N")</f>
        <v>Y</v>
      </c>
      <c r="G6871" s="3" t="s">
        <v>36</v>
      </c>
      <c r="H6871" s="3" t="s">
        <v>37</v>
      </c>
      <c r="I6871" s="4" t="n">
        <v>14</v>
      </c>
      <c r="J6871" s="4" t="n">
        <f aca="false">LEN(E6871)-LEN(SUBSTITUTE(E6871,",",""))+1</f>
        <v>6</v>
      </c>
      <c r="K6871" s="3" t="str">
        <f aca="false">IFERROR(INDEX('Teacher Lookup'!$B$2:$B$200,MATCH(A6871,'Teacher Lookup'!$A$2:$A$200,0)),"")</f>
        <v>CHOW Michael</v>
      </c>
    </row>
    <row r="6872" customFormat="false" ht="15" hidden="false" customHeight="false" outlineLevel="0" collapsed="false">
      <c r="A6872" s="3" t="s">
        <v>477</v>
      </c>
      <c r="B6872" s="4" t="s">
        <v>65</v>
      </c>
      <c r="C6872" s="4" t="n">
        <v>5</v>
      </c>
      <c r="D6872" s="4" t="s">
        <v>107</v>
      </c>
      <c r="E6872" s="3" t="s">
        <v>229</v>
      </c>
      <c r="F6872" s="4" t="str">
        <f aca="false">IF(I6872&gt;J6872,"Y","N")</f>
        <v>Y</v>
      </c>
      <c r="G6872" s="3" t="s">
        <v>36</v>
      </c>
      <c r="H6872" s="3" t="s">
        <v>37</v>
      </c>
      <c r="I6872" s="4" t="n">
        <v>14</v>
      </c>
      <c r="J6872" s="4" t="n">
        <f aca="false">LEN(E6872)-LEN(SUBSTITUTE(E6872,",",""))+1</f>
        <v>6</v>
      </c>
      <c r="K6872" s="3" t="str">
        <f aca="false">IFERROR(INDEX('Teacher Lookup'!$B$2:$B$200,MATCH(A6872,'Teacher Lookup'!$A$2:$A$200,0)),"")</f>
        <v>CHOW Michael</v>
      </c>
    </row>
    <row r="6873" customFormat="false" ht="15" hidden="false" customHeight="false" outlineLevel="0" collapsed="false">
      <c r="A6873" s="3" t="s">
        <v>477</v>
      </c>
      <c r="B6873" s="4" t="s">
        <v>65</v>
      </c>
      <c r="C6873" s="4" t="n">
        <v>6</v>
      </c>
      <c r="D6873" s="4" t="s">
        <v>228</v>
      </c>
      <c r="E6873" s="3" t="s">
        <v>273</v>
      </c>
      <c r="F6873" s="4" t="str">
        <f aca="false">IF(I6873&gt;J6873,"Y","N")</f>
        <v>N</v>
      </c>
      <c r="G6873" s="3" t="s">
        <v>192</v>
      </c>
      <c r="H6873" s="3" t="s">
        <v>42</v>
      </c>
      <c r="I6873" s="4" t="n">
        <v>2</v>
      </c>
      <c r="J6873" s="4" t="n">
        <f aca="false">LEN(E6873)-LEN(SUBSTITUTE(E6873,",",""))+1</f>
        <v>2</v>
      </c>
      <c r="K6873" s="3" t="str">
        <f aca="false">IFERROR(INDEX('Teacher Lookup'!$B$2:$B$200,MATCH(A6873,'Teacher Lookup'!$A$2:$A$200,0)),"")</f>
        <v>CHOW Michael</v>
      </c>
    </row>
    <row r="6874" customFormat="false" ht="15" hidden="false" customHeight="false" outlineLevel="0" collapsed="false">
      <c r="A6874" s="3" t="s">
        <v>477</v>
      </c>
      <c r="B6874" s="4" t="s">
        <v>66</v>
      </c>
      <c r="C6874" s="4" t="n">
        <v>2</v>
      </c>
      <c r="D6874" s="4" t="s">
        <v>102</v>
      </c>
      <c r="E6874" s="3" t="s">
        <v>114</v>
      </c>
      <c r="F6874" s="4" t="str">
        <f aca="false">IF(I6874&gt;J6874,"Y","N")</f>
        <v>N</v>
      </c>
      <c r="G6874" s="3" t="s">
        <v>104</v>
      </c>
      <c r="H6874" s="3" t="s">
        <v>21</v>
      </c>
      <c r="I6874" s="4" t="n">
        <v>6</v>
      </c>
      <c r="J6874" s="4" t="n">
        <f aca="false">LEN(E6874)-LEN(SUBSTITUTE(E6874,",",""))+1</f>
        <v>6</v>
      </c>
      <c r="K6874" s="3" t="str">
        <f aca="false">IFERROR(INDEX('Teacher Lookup'!$B$2:$B$200,MATCH(A6874,'Teacher Lookup'!$A$2:$A$200,0)),"")</f>
        <v>CHOW Michael</v>
      </c>
    </row>
    <row r="6875" customFormat="false" ht="15" hidden="false" customHeight="false" outlineLevel="0" collapsed="false">
      <c r="A6875" s="3" t="s">
        <v>477</v>
      </c>
      <c r="B6875" s="4" t="s">
        <v>66</v>
      </c>
      <c r="C6875" s="4" t="n">
        <v>2</v>
      </c>
      <c r="D6875" s="4" t="s">
        <v>105</v>
      </c>
      <c r="E6875" s="3" t="s">
        <v>114</v>
      </c>
      <c r="F6875" s="4" t="str">
        <f aca="false">IF(I6875&gt;J6875,"Y","N")</f>
        <v>N</v>
      </c>
      <c r="G6875" s="3" t="s">
        <v>104</v>
      </c>
      <c r="H6875" s="3" t="s">
        <v>21</v>
      </c>
      <c r="I6875" s="4" t="n">
        <v>6</v>
      </c>
      <c r="J6875" s="4" t="n">
        <f aca="false">LEN(E6875)-LEN(SUBSTITUTE(E6875,",",""))+1</f>
        <v>6</v>
      </c>
      <c r="K6875" s="3" t="str">
        <f aca="false">IFERROR(INDEX('Teacher Lookup'!$B$2:$B$200,MATCH(A6875,'Teacher Lookup'!$A$2:$A$200,0)),"")</f>
        <v>CHOW Michael</v>
      </c>
    </row>
    <row r="6876" customFormat="false" ht="15" hidden="false" customHeight="false" outlineLevel="0" collapsed="false">
      <c r="A6876" s="3" t="s">
        <v>477</v>
      </c>
      <c r="B6876" s="4" t="s">
        <v>66</v>
      </c>
      <c r="C6876" s="4" t="n">
        <v>2</v>
      </c>
      <c r="D6876" s="4" t="s">
        <v>106</v>
      </c>
      <c r="E6876" s="3" t="s">
        <v>114</v>
      </c>
      <c r="F6876" s="4" t="str">
        <f aca="false">IF(I6876&gt;J6876,"Y","N")</f>
        <v>N</v>
      </c>
      <c r="G6876" s="3" t="s">
        <v>104</v>
      </c>
      <c r="H6876" s="3" t="s">
        <v>21</v>
      </c>
      <c r="I6876" s="4" t="n">
        <v>6</v>
      </c>
      <c r="J6876" s="4" t="n">
        <f aca="false">LEN(E6876)-LEN(SUBSTITUTE(E6876,",",""))+1</f>
        <v>6</v>
      </c>
      <c r="K6876" s="3" t="str">
        <f aca="false">IFERROR(INDEX('Teacher Lookup'!$B$2:$B$200,MATCH(A6876,'Teacher Lookup'!$A$2:$A$200,0)),"")</f>
        <v>CHOW Michael</v>
      </c>
    </row>
    <row r="6877" customFormat="false" ht="15" hidden="false" customHeight="false" outlineLevel="0" collapsed="false">
      <c r="A6877" s="3" t="s">
        <v>477</v>
      </c>
      <c r="B6877" s="4" t="s">
        <v>66</v>
      </c>
      <c r="C6877" s="4" t="n">
        <v>2</v>
      </c>
      <c r="D6877" s="4" t="s">
        <v>107</v>
      </c>
      <c r="E6877" s="3" t="s">
        <v>114</v>
      </c>
      <c r="F6877" s="4" t="str">
        <f aca="false">IF(I6877&gt;J6877,"Y","N")</f>
        <v>N</v>
      </c>
      <c r="G6877" s="3" t="s">
        <v>104</v>
      </c>
      <c r="H6877" s="3" t="s">
        <v>21</v>
      </c>
      <c r="I6877" s="4" t="n">
        <v>6</v>
      </c>
      <c r="J6877" s="4" t="n">
        <f aca="false">LEN(E6877)-LEN(SUBSTITUTE(E6877,",",""))+1</f>
        <v>6</v>
      </c>
      <c r="K6877" s="3" t="str">
        <f aca="false">IFERROR(INDEX('Teacher Lookup'!$B$2:$B$200,MATCH(A6877,'Teacher Lookup'!$A$2:$A$200,0)),"")</f>
        <v>CHOW Michael</v>
      </c>
    </row>
    <row r="6878" customFormat="false" ht="15" hidden="false" customHeight="false" outlineLevel="0" collapsed="false">
      <c r="A6878" s="3" t="s">
        <v>477</v>
      </c>
      <c r="B6878" s="4" t="s">
        <v>66</v>
      </c>
      <c r="C6878" s="4" t="n">
        <v>4</v>
      </c>
      <c r="D6878" s="4" t="s">
        <v>228</v>
      </c>
      <c r="E6878" s="3" t="s">
        <v>273</v>
      </c>
      <c r="F6878" s="4" t="str">
        <f aca="false">IF(I6878&gt;J6878,"Y","N")</f>
        <v>N</v>
      </c>
      <c r="G6878" s="3" t="s">
        <v>192</v>
      </c>
      <c r="H6878" s="3" t="s">
        <v>34</v>
      </c>
      <c r="I6878" s="4" t="n">
        <v>2</v>
      </c>
      <c r="J6878" s="4" t="n">
        <f aca="false">LEN(E6878)-LEN(SUBSTITUTE(E6878,",",""))+1</f>
        <v>2</v>
      </c>
      <c r="K6878" s="3" t="str">
        <f aca="false">IFERROR(INDEX('Teacher Lookup'!$B$2:$B$200,MATCH(A6878,'Teacher Lookup'!$A$2:$A$200,0)),"")</f>
        <v>CHOW Michael</v>
      </c>
    </row>
    <row r="6879" customFormat="false" ht="15" hidden="false" customHeight="false" outlineLevel="0" collapsed="false">
      <c r="A6879" s="3" t="s">
        <v>477</v>
      </c>
      <c r="B6879" s="4" t="s">
        <v>66</v>
      </c>
      <c r="C6879" s="4" t="n">
        <v>5</v>
      </c>
      <c r="D6879" s="4" t="s">
        <v>228</v>
      </c>
      <c r="E6879" s="3" t="s">
        <v>273</v>
      </c>
      <c r="F6879" s="4" t="str">
        <f aca="false">IF(I6879&gt;J6879,"Y","N")</f>
        <v>N</v>
      </c>
      <c r="G6879" s="3" t="s">
        <v>192</v>
      </c>
      <c r="H6879" s="3" t="s">
        <v>37</v>
      </c>
      <c r="I6879" s="4" t="n">
        <v>2</v>
      </c>
      <c r="J6879" s="4" t="n">
        <f aca="false">LEN(E6879)-LEN(SUBSTITUTE(E6879,",",""))+1</f>
        <v>2</v>
      </c>
      <c r="K6879" s="3" t="str">
        <f aca="false">IFERROR(INDEX('Teacher Lookup'!$B$2:$B$200,MATCH(A6879,'Teacher Lookup'!$A$2:$A$200,0)),"")</f>
        <v>CHOW Michael</v>
      </c>
    </row>
    <row r="6880" customFormat="false" ht="15" hidden="false" customHeight="false" outlineLevel="0" collapsed="false">
      <c r="A6880" s="3" t="s">
        <v>478</v>
      </c>
      <c r="B6880" s="4" t="s">
        <v>12</v>
      </c>
      <c r="C6880" s="4" t="n">
        <v>1</v>
      </c>
      <c r="D6880" s="4" t="s">
        <v>140</v>
      </c>
      <c r="E6880" s="3" t="s">
        <v>297</v>
      </c>
      <c r="F6880" s="4" t="str">
        <f aca="false">IF(I6880&gt;J6880,"Y","N")</f>
        <v>Y</v>
      </c>
      <c r="G6880" s="3" t="s">
        <v>296</v>
      </c>
      <c r="H6880" s="3" t="s">
        <v>16</v>
      </c>
      <c r="I6880" s="4" t="n">
        <v>2</v>
      </c>
      <c r="J6880" s="4" t="n">
        <f aca="false">LEN(E6880)-LEN(SUBSTITUTE(E6880,",",""))+1</f>
        <v>1</v>
      </c>
      <c r="K6880" s="3" t="str">
        <f aca="false">IFERROR(INDEX('Teacher Lookup'!$B$2:$B$200,MATCH(A6880,'Teacher Lookup'!$A$2:$A$200,0)),"")</f>
        <v>HO Matthew</v>
      </c>
    </row>
    <row r="6881" customFormat="false" ht="15" hidden="false" customHeight="false" outlineLevel="0" collapsed="false">
      <c r="A6881" s="3" t="s">
        <v>478</v>
      </c>
      <c r="B6881" s="4" t="s">
        <v>12</v>
      </c>
      <c r="C6881" s="4" t="n">
        <v>2</v>
      </c>
      <c r="D6881" s="4" t="s">
        <v>17</v>
      </c>
      <c r="E6881" s="3" t="s">
        <v>295</v>
      </c>
      <c r="F6881" s="4" t="str">
        <f aca="false">IF(I6881&gt;J6881,"Y","N")</f>
        <v>N</v>
      </c>
      <c r="G6881" s="3" t="s">
        <v>296</v>
      </c>
      <c r="H6881" s="3" t="s">
        <v>21</v>
      </c>
      <c r="I6881" s="4" t="n">
        <v>2</v>
      </c>
      <c r="J6881" s="4" t="n">
        <f aca="false">LEN(E6881)-LEN(SUBSTITUTE(E6881,",",""))+1</f>
        <v>2</v>
      </c>
      <c r="K6881" s="3" t="str">
        <f aca="false">IFERROR(INDEX('Teacher Lookup'!$B$2:$B$200,MATCH(A6881,'Teacher Lookup'!$A$2:$A$200,0)),"")</f>
        <v>HO Matthew</v>
      </c>
    </row>
    <row r="6882" customFormat="false" ht="15" hidden="false" customHeight="false" outlineLevel="0" collapsed="false">
      <c r="A6882" s="3" t="s">
        <v>478</v>
      </c>
      <c r="B6882" s="4" t="s">
        <v>12</v>
      </c>
      <c r="C6882" s="4" t="n">
        <v>3</v>
      </c>
      <c r="D6882" s="4" t="s">
        <v>78</v>
      </c>
      <c r="E6882" s="3" t="s">
        <v>297</v>
      </c>
      <c r="F6882" s="4" t="str">
        <f aca="false">IF(I6882&gt;J6882,"Y","N")</f>
        <v>Y</v>
      </c>
      <c r="G6882" s="3" t="s">
        <v>296</v>
      </c>
      <c r="H6882" s="3" t="s">
        <v>26</v>
      </c>
      <c r="I6882" s="4" t="n">
        <v>2</v>
      </c>
      <c r="J6882" s="4" t="n">
        <f aca="false">LEN(E6882)-LEN(SUBSTITUTE(E6882,",",""))+1</f>
        <v>1</v>
      </c>
      <c r="K6882" s="3" t="str">
        <f aca="false">IFERROR(INDEX('Teacher Lookup'!$B$2:$B$200,MATCH(A6882,'Teacher Lookup'!$A$2:$A$200,0)),"")</f>
        <v>HO Matthew</v>
      </c>
    </row>
    <row r="6883" customFormat="false" ht="15" hidden="false" customHeight="false" outlineLevel="0" collapsed="false">
      <c r="A6883" s="3" t="s">
        <v>478</v>
      </c>
      <c r="B6883" s="4" t="s">
        <v>12</v>
      </c>
      <c r="C6883" s="4" t="n">
        <v>7</v>
      </c>
      <c r="D6883" s="4" t="s">
        <v>137</v>
      </c>
      <c r="E6883" s="3" t="s">
        <v>298</v>
      </c>
      <c r="F6883" s="4" t="str">
        <f aca="false">IF(I6883&gt;J6883,"Y","N")</f>
        <v>N</v>
      </c>
      <c r="G6883" s="3" t="s">
        <v>299</v>
      </c>
      <c r="H6883" s="3" t="s">
        <v>39</v>
      </c>
      <c r="I6883" s="4" t="n">
        <v>2</v>
      </c>
      <c r="J6883" s="4" t="n">
        <f aca="false">LEN(E6883)-LEN(SUBSTITUTE(E6883,",",""))+1</f>
        <v>2</v>
      </c>
      <c r="K6883" s="3" t="str">
        <f aca="false">IFERROR(INDEX('Teacher Lookup'!$B$2:$B$200,MATCH(A6883,'Teacher Lookup'!$A$2:$A$200,0)),"")</f>
        <v>HO Matthew</v>
      </c>
    </row>
    <row r="6884" customFormat="false" ht="15" hidden="false" customHeight="false" outlineLevel="0" collapsed="false">
      <c r="A6884" s="3" t="s">
        <v>478</v>
      </c>
      <c r="B6884" s="4" t="s">
        <v>31</v>
      </c>
      <c r="C6884" s="4" t="n">
        <v>2</v>
      </c>
      <c r="D6884" s="4" t="s">
        <v>142</v>
      </c>
      <c r="E6884" s="3" t="s">
        <v>298</v>
      </c>
      <c r="F6884" s="4" t="str">
        <f aca="false">IF(I6884&gt;J6884,"Y","N")</f>
        <v>N</v>
      </c>
      <c r="G6884" s="3" t="s">
        <v>299</v>
      </c>
      <c r="H6884" s="3" t="s">
        <v>21</v>
      </c>
      <c r="I6884" s="4" t="n">
        <v>2</v>
      </c>
      <c r="J6884" s="4" t="n">
        <f aca="false">LEN(E6884)-LEN(SUBSTITUTE(E6884,",",""))+1</f>
        <v>2</v>
      </c>
      <c r="K6884" s="3" t="str">
        <f aca="false">IFERROR(INDEX('Teacher Lookup'!$B$2:$B$200,MATCH(A6884,'Teacher Lookup'!$A$2:$A$200,0)),"")</f>
        <v>HO Matthew</v>
      </c>
    </row>
    <row r="6885" customFormat="false" ht="15" hidden="false" customHeight="false" outlineLevel="0" collapsed="false">
      <c r="A6885" s="3" t="s">
        <v>478</v>
      </c>
      <c r="B6885" s="4" t="s">
        <v>31</v>
      </c>
      <c r="C6885" s="4" t="n">
        <v>4</v>
      </c>
      <c r="D6885" s="4" t="s">
        <v>73</v>
      </c>
      <c r="E6885" s="3" t="s">
        <v>297</v>
      </c>
      <c r="F6885" s="4" t="str">
        <f aca="false">IF(I6885&gt;J6885,"Y","N")</f>
        <v>Y</v>
      </c>
      <c r="G6885" s="3" t="s">
        <v>296</v>
      </c>
      <c r="H6885" s="3" t="s">
        <v>34</v>
      </c>
      <c r="I6885" s="4" t="n">
        <v>2</v>
      </c>
      <c r="J6885" s="4" t="n">
        <f aca="false">LEN(E6885)-LEN(SUBSTITUTE(E6885,",",""))+1</f>
        <v>1</v>
      </c>
      <c r="K6885" s="3" t="str">
        <f aca="false">IFERROR(INDEX('Teacher Lookup'!$B$2:$B$200,MATCH(A6885,'Teacher Lookup'!$A$2:$A$200,0)),"")</f>
        <v>HO Matthew</v>
      </c>
    </row>
    <row r="6886" customFormat="false" ht="15" hidden="false" customHeight="false" outlineLevel="0" collapsed="false">
      <c r="A6886" s="3" t="s">
        <v>478</v>
      </c>
      <c r="B6886" s="4" t="s">
        <v>31</v>
      </c>
      <c r="C6886" s="4" t="n">
        <v>5</v>
      </c>
      <c r="D6886" s="4" t="s">
        <v>137</v>
      </c>
      <c r="E6886" s="3" t="s">
        <v>185</v>
      </c>
      <c r="F6886" s="4" t="str">
        <f aca="false">IF(I6886&gt;J6886,"Y","N")</f>
        <v>Y</v>
      </c>
      <c r="G6886" s="3" t="s">
        <v>36</v>
      </c>
      <c r="H6886" s="3" t="s">
        <v>37</v>
      </c>
      <c r="I6886" s="4" t="n">
        <v>21</v>
      </c>
      <c r="J6886" s="4" t="n">
        <f aca="false">LEN(E6886)-LEN(SUBSTITUTE(E6886,",",""))+1</f>
        <v>7</v>
      </c>
      <c r="K6886" s="3" t="str">
        <f aca="false">IFERROR(INDEX('Teacher Lookup'!$B$2:$B$200,MATCH(A6886,'Teacher Lookup'!$A$2:$A$200,0)),"")</f>
        <v>HO Matthew</v>
      </c>
    </row>
    <row r="6887" customFormat="false" ht="15" hidden="false" customHeight="false" outlineLevel="0" collapsed="false">
      <c r="A6887" s="3" t="s">
        <v>478</v>
      </c>
      <c r="B6887" s="4" t="s">
        <v>31</v>
      </c>
      <c r="C6887" s="4" t="n">
        <v>5</v>
      </c>
      <c r="D6887" s="4" t="s">
        <v>124</v>
      </c>
      <c r="E6887" s="3" t="s">
        <v>185</v>
      </c>
      <c r="F6887" s="4" t="str">
        <f aca="false">IF(I6887&gt;J6887,"Y","N")</f>
        <v>Y</v>
      </c>
      <c r="G6887" s="3" t="s">
        <v>36</v>
      </c>
      <c r="H6887" s="3" t="s">
        <v>37</v>
      </c>
      <c r="I6887" s="4" t="n">
        <v>21</v>
      </c>
      <c r="J6887" s="4" t="n">
        <f aca="false">LEN(E6887)-LEN(SUBSTITUTE(E6887,",",""))+1</f>
        <v>7</v>
      </c>
      <c r="K6887" s="3" t="str">
        <f aca="false">IFERROR(INDEX('Teacher Lookup'!$B$2:$B$200,MATCH(A6887,'Teacher Lookup'!$A$2:$A$200,0)),"")</f>
        <v>HO Matthew</v>
      </c>
    </row>
    <row r="6888" customFormat="false" ht="15" hidden="false" customHeight="false" outlineLevel="0" collapsed="false">
      <c r="A6888" s="3" t="s">
        <v>478</v>
      </c>
      <c r="B6888" s="4" t="s">
        <v>31</v>
      </c>
      <c r="C6888" s="4" t="n">
        <v>5</v>
      </c>
      <c r="D6888" s="4" t="s">
        <v>139</v>
      </c>
      <c r="E6888" s="3" t="s">
        <v>185</v>
      </c>
      <c r="F6888" s="4" t="str">
        <f aca="false">IF(I6888&gt;J6888,"Y","N")</f>
        <v>Y</v>
      </c>
      <c r="G6888" s="3" t="s">
        <v>36</v>
      </c>
      <c r="H6888" s="3" t="s">
        <v>37</v>
      </c>
      <c r="I6888" s="4" t="n">
        <v>21</v>
      </c>
      <c r="J6888" s="4" t="n">
        <f aca="false">LEN(E6888)-LEN(SUBSTITUTE(E6888,",",""))+1</f>
        <v>7</v>
      </c>
      <c r="K6888" s="3" t="str">
        <f aca="false">IFERROR(INDEX('Teacher Lookup'!$B$2:$B$200,MATCH(A6888,'Teacher Lookup'!$A$2:$A$200,0)),"")</f>
        <v>HO Matthew</v>
      </c>
    </row>
    <row r="6889" customFormat="false" ht="15" hidden="false" customHeight="false" outlineLevel="0" collapsed="false">
      <c r="A6889" s="3" t="s">
        <v>478</v>
      </c>
      <c r="B6889" s="4" t="s">
        <v>31</v>
      </c>
      <c r="C6889" s="4" t="n">
        <v>5</v>
      </c>
      <c r="D6889" s="4" t="s">
        <v>140</v>
      </c>
      <c r="E6889" s="3" t="s">
        <v>185</v>
      </c>
      <c r="F6889" s="4" t="str">
        <f aca="false">IF(I6889&gt;J6889,"Y","N")</f>
        <v>Y</v>
      </c>
      <c r="G6889" s="3" t="s">
        <v>36</v>
      </c>
      <c r="H6889" s="3" t="s">
        <v>37</v>
      </c>
      <c r="I6889" s="4" t="n">
        <v>21</v>
      </c>
      <c r="J6889" s="4" t="n">
        <f aca="false">LEN(E6889)-LEN(SUBSTITUTE(E6889,",",""))+1</f>
        <v>7</v>
      </c>
      <c r="K6889" s="3" t="str">
        <f aca="false">IFERROR(INDEX('Teacher Lookup'!$B$2:$B$200,MATCH(A6889,'Teacher Lookup'!$A$2:$A$200,0)),"")</f>
        <v>HO Matthew</v>
      </c>
    </row>
    <row r="6890" customFormat="false" ht="15" hidden="false" customHeight="false" outlineLevel="0" collapsed="false">
      <c r="A6890" s="3" t="s">
        <v>478</v>
      </c>
      <c r="B6890" s="4" t="s">
        <v>31</v>
      </c>
      <c r="C6890" s="4" t="n">
        <v>5</v>
      </c>
      <c r="D6890" s="4" t="s">
        <v>142</v>
      </c>
      <c r="E6890" s="3" t="s">
        <v>185</v>
      </c>
      <c r="F6890" s="4" t="str">
        <f aca="false">IF(I6890&gt;J6890,"Y","N")</f>
        <v>Y</v>
      </c>
      <c r="G6890" s="3" t="s">
        <v>36</v>
      </c>
      <c r="H6890" s="3" t="s">
        <v>37</v>
      </c>
      <c r="I6890" s="4" t="n">
        <v>21</v>
      </c>
      <c r="J6890" s="4" t="n">
        <f aca="false">LEN(E6890)-LEN(SUBSTITUTE(E6890,",",""))+1</f>
        <v>7</v>
      </c>
      <c r="K6890" s="3" t="str">
        <f aca="false">IFERROR(INDEX('Teacher Lookup'!$B$2:$B$200,MATCH(A6890,'Teacher Lookup'!$A$2:$A$200,0)),"")</f>
        <v>HO Matthew</v>
      </c>
    </row>
    <row r="6891" customFormat="false" ht="15" hidden="false" customHeight="false" outlineLevel="0" collapsed="false">
      <c r="A6891" s="3" t="s">
        <v>478</v>
      </c>
      <c r="B6891" s="4" t="s">
        <v>31</v>
      </c>
      <c r="C6891" s="4" t="n">
        <v>5</v>
      </c>
      <c r="D6891" s="4" t="s">
        <v>127</v>
      </c>
      <c r="E6891" s="3" t="s">
        <v>185</v>
      </c>
      <c r="F6891" s="4" t="str">
        <f aca="false">IF(I6891&gt;J6891,"Y","N")</f>
        <v>Y</v>
      </c>
      <c r="G6891" s="3" t="s">
        <v>36</v>
      </c>
      <c r="H6891" s="3" t="s">
        <v>37</v>
      </c>
      <c r="I6891" s="4" t="n">
        <v>21</v>
      </c>
      <c r="J6891" s="4" t="n">
        <f aca="false">LEN(E6891)-LEN(SUBSTITUTE(E6891,",",""))+1</f>
        <v>7</v>
      </c>
      <c r="K6891" s="3" t="str">
        <f aca="false">IFERROR(INDEX('Teacher Lookup'!$B$2:$B$200,MATCH(A6891,'Teacher Lookup'!$A$2:$A$200,0)),"")</f>
        <v>HO Matthew</v>
      </c>
    </row>
    <row r="6892" customFormat="false" ht="15" hidden="false" customHeight="false" outlineLevel="0" collapsed="false">
      <c r="A6892" s="3" t="s">
        <v>478</v>
      </c>
      <c r="B6892" s="4" t="s">
        <v>31</v>
      </c>
      <c r="C6892" s="4" t="n">
        <v>7</v>
      </c>
      <c r="D6892" s="4" t="s">
        <v>139</v>
      </c>
      <c r="E6892" s="3" t="s">
        <v>297</v>
      </c>
      <c r="F6892" s="4" t="str">
        <f aca="false">IF(I6892&gt;J6892,"Y","N")</f>
        <v>Y</v>
      </c>
      <c r="G6892" s="3" t="s">
        <v>296</v>
      </c>
      <c r="H6892" s="3" t="s">
        <v>39</v>
      </c>
      <c r="I6892" s="4" t="n">
        <v>2</v>
      </c>
      <c r="J6892" s="4" t="n">
        <f aca="false">LEN(E6892)-LEN(SUBSTITUTE(E6892,",",""))+1</f>
        <v>1</v>
      </c>
      <c r="K6892" s="3" t="str">
        <f aca="false">IFERROR(INDEX('Teacher Lookup'!$B$2:$B$200,MATCH(A6892,'Teacher Lookup'!$A$2:$A$200,0)),"")</f>
        <v>HO Matthew</v>
      </c>
    </row>
    <row r="6893" customFormat="false" ht="15" hidden="false" customHeight="false" outlineLevel="0" collapsed="false">
      <c r="A6893" s="3" t="s">
        <v>478</v>
      </c>
      <c r="B6893" s="4" t="s">
        <v>40</v>
      </c>
      <c r="C6893" s="4" t="n">
        <v>2</v>
      </c>
      <c r="D6893" s="4" t="s">
        <v>74</v>
      </c>
      <c r="E6893" s="3" t="s">
        <v>297</v>
      </c>
      <c r="F6893" s="4" t="str">
        <f aca="false">IF(I6893&gt;J6893,"Y","N")</f>
        <v>Y</v>
      </c>
      <c r="G6893" s="3" t="s">
        <v>296</v>
      </c>
      <c r="H6893" s="3" t="s">
        <v>21</v>
      </c>
      <c r="I6893" s="4" t="n">
        <v>2</v>
      </c>
      <c r="J6893" s="4" t="n">
        <f aca="false">LEN(E6893)-LEN(SUBSTITUTE(E6893,",",""))+1</f>
        <v>1</v>
      </c>
      <c r="K6893" s="3" t="str">
        <f aca="false">IFERROR(INDEX('Teacher Lookup'!$B$2:$B$200,MATCH(A6893,'Teacher Lookup'!$A$2:$A$200,0)),"")</f>
        <v>HO Matthew</v>
      </c>
    </row>
    <row r="6894" customFormat="false" ht="15" hidden="false" customHeight="false" outlineLevel="0" collapsed="false">
      <c r="A6894" s="3" t="s">
        <v>478</v>
      </c>
      <c r="B6894" s="4" t="s">
        <v>40</v>
      </c>
      <c r="C6894" s="4" t="n">
        <v>5</v>
      </c>
      <c r="D6894" s="4" t="s">
        <v>139</v>
      </c>
      <c r="E6894" s="3" t="s">
        <v>297</v>
      </c>
      <c r="F6894" s="4" t="str">
        <f aca="false">IF(I6894&gt;J6894,"Y","N")</f>
        <v>Y</v>
      </c>
      <c r="G6894" s="3" t="s">
        <v>296</v>
      </c>
      <c r="H6894" s="3" t="s">
        <v>37</v>
      </c>
      <c r="I6894" s="4" t="n">
        <v>2</v>
      </c>
      <c r="J6894" s="4" t="n">
        <f aca="false">LEN(E6894)-LEN(SUBSTITUTE(E6894,",",""))+1</f>
        <v>1</v>
      </c>
      <c r="K6894" s="3" t="str">
        <f aca="false">IFERROR(INDEX('Teacher Lookup'!$B$2:$B$200,MATCH(A6894,'Teacher Lookup'!$A$2:$A$200,0)),"")</f>
        <v>HO Matthew</v>
      </c>
    </row>
    <row r="6895" customFormat="false" ht="15" hidden="false" customHeight="false" outlineLevel="0" collapsed="false">
      <c r="A6895" s="3" t="s">
        <v>478</v>
      </c>
      <c r="B6895" s="4" t="s">
        <v>40</v>
      </c>
      <c r="C6895" s="4" t="n">
        <v>7</v>
      </c>
      <c r="D6895" s="4" t="s">
        <v>140</v>
      </c>
      <c r="E6895" s="3" t="s">
        <v>297</v>
      </c>
      <c r="F6895" s="4" t="str">
        <f aca="false">IF(I6895&gt;J6895,"Y","N")</f>
        <v>Y</v>
      </c>
      <c r="G6895" s="3" t="s">
        <v>296</v>
      </c>
      <c r="H6895" s="3" t="s">
        <v>39</v>
      </c>
      <c r="I6895" s="4" t="n">
        <v>2</v>
      </c>
      <c r="J6895" s="4" t="n">
        <f aca="false">LEN(E6895)-LEN(SUBSTITUTE(E6895,",",""))+1</f>
        <v>1</v>
      </c>
      <c r="K6895" s="3" t="str">
        <f aca="false">IFERROR(INDEX('Teacher Lookup'!$B$2:$B$200,MATCH(A6895,'Teacher Lookup'!$A$2:$A$200,0)),"")</f>
        <v>HO Matthew</v>
      </c>
    </row>
    <row r="6896" customFormat="false" ht="15" hidden="false" customHeight="false" outlineLevel="0" collapsed="false">
      <c r="A6896" s="3" t="s">
        <v>478</v>
      </c>
      <c r="B6896" s="4" t="s">
        <v>44</v>
      </c>
      <c r="C6896" s="4" t="n">
        <v>1</v>
      </c>
      <c r="D6896" s="4" t="s">
        <v>73</v>
      </c>
      <c r="E6896" s="3" t="s">
        <v>297</v>
      </c>
      <c r="F6896" s="4" t="str">
        <f aca="false">IF(I6896&gt;J6896,"Y","N")</f>
        <v>Y</v>
      </c>
      <c r="G6896" s="3" t="s">
        <v>296</v>
      </c>
      <c r="H6896" s="3" t="s">
        <v>16</v>
      </c>
      <c r="I6896" s="4" t="n">
        <v>2</v>
      </c>
      <c r="J6896" s="4" t="n">
        <f aca="false">LEN(E6896)-LEN(SUBSTITUTE(E6896,",",""))+1</f>
        <v>1</v>
      </c>
      <c r="K6896" s="3" t="str">
        <f aca="false">IFERROR(INDEX('Teacher Lookup'!$B$2:$B$200,MATCH(A6896,'Teacher Lookup'!$A$2:$A$200,0)),"")</f>
        <v>HO Matthew</v>
      </c>
    </row>
    <row r="6897" customFormat="false" ht="15" hidden="false" customHeight="false" outlineLevel="0" collapsed="false">
      <c r="A6897" s="3" t="s">
        <v>478</v>
      </c>
      <c r="B6897" s="4" t="s">
        <v>44</v>
      </c>
      <c r="C6897" s="4" t="n">
        <v>2</v>
      </c>
      <c r="D6897" s="4" t="s">
        <v>78</v>
      </c>
      <c r="E6897" s="3" t="s">
        <v>297</v>
      </c>
      <c r="F6897" s="4" t="str">
        <f aca="false">IF(I6897&gt;J6897,"Y","N")</f>
        <v>Y</v>
      </c>
      <c r="G6897" s="3" t="s">
        <v>296</v>
      </c>
      <c r="H6897" s="3" t="s">
        <v>21</v>
      </c>
      <c r="I6897" s="4" t="n">
        <v>2</v>
      </c>
      <c r="J6897" s="4" t="n">
        <f aca="false">LEN(E6897)-LEN(SUBSTITUTE(E6897,",",""))+1</f>
        <v>1</v>
      </c>
      <c r="K6897" s="3" t="str">
        <f aca="false">IFERROR(INDEX('Teacher Lookup'!$B$2:$B$200,MATCH(A6897,'Teacher Lookup'!$A$2:$A$200,0)),"")</f>
        <v>HO Matthew</v>
      </c>
    </row>
    <row r="6898" customFormat="false" ht="15" hidden="false" customHeight="false" outlineLevel="0" collapsed="false">
      <c r="A6898" s="3" t="s">
        <v>478</v>
      </c>
      <c r="B6898" s="4" t="s">
        <v>44</v>
      </c>
      <c r="C6898" s="4" t="n">
        <v>3</v>
      </c>
      <c r="D6898" s="4" t="s">
        <v>17</v>
      </c>
      <c r="E6898" s="3" t="s">
        <v>295</v>
      </c>
      <c r="F6898" s="4" t="str">
        <f aca="false">IF(I6898&gt;J6898,"Y","N")</f>
        <v>N</v>
      </c>
      <c r="G6898" s="3" t="s">
        <v>296</v>
      </c>
      <c r="H6898" s="3" t="s">
        <v>26</v>
      </c>
      <c r="I6898" s="4" t="n">
        <v>2</v>
      </c>
      <c r="J6898" s="4" t="n">
        <f aca="false">LEN(E6898)-LEN(SUBSTITUTE(E6898,",",""))+1</f>
        <v>2</v>
      </c>
      <c r="K6898" s="3" t="str">
        <f aca="false">IFERROR(INDEX('Teacher Lookup'!$B$2:$B$200,MATCH(A6898,'Teacher Lookup'!$A$2:$A$200,0)),"")</f>
        <v>HO Matthew</v>
      </c>
    </row>
    <row r="6899" customFormat="false" ht="15" hidden="false" customHeight="false" outlineLevel="0" collapsed="false">
      <c r="A6899" s="3" t="s">
        <v>478</v>
      </c>
      <c r="B6899" s="4" t="s">
        <v>44</v>
      </c>
      <c r="C6899" s="4" t="n">
        <v>5</v>
      </c>
      <c r="D6899" s="4" t="s">
        <v>137</v>
      </c>
      <c r="E6899" s="3" t="s">
        <v>185</v>
      </c>
      <c r="F6899" s="4" t="str">
        <f aca="false">IF(I6899&gt;J6899,"Y","N")</f>
        <v>Y</v>
      </c>
      <c r="G6899" s="3" t="s">
        <v>36</v>
      </c>
      <c r="H6899" s="3" t="s">
        <v>37</v>
      </c>
      <c r="I6899" s="4" t="n">
        <v>21</v>
      </c>
      <c r="J6899" s="4" t="n">
        <f aca="false">LEN(E6899)-LEN(SUBSTITUTE(E6899,",",""))+1</f>
        <v>7</v>
      </c>
      <c r="K6899" s="3" t="str">
        <f aca="false">IFERROR(INDEX('Teacher Lookup'!$B$2:$B$200,MATCH(A6899,'Teacher Lookup'!$A$2:$A$200,0)),"")</f>
        <v>HO Matthew</v>
      </c>
    </row>
    <row r="6900" customFormat="false" ht="15" hidden="false" customHeight="false" outlineLevel="0" collapsed="false">
      <c r="A6900" s="3" t="s">
        <v>478</v>
      </c>
      <c r="B6900" s="4" t="s">
        <v>44</v>
      </c>
      <c r="C6900" s="4" t="n">
        <v>5</v>
      </c>
      <c r="D6900" s="4" t="s">
        <v>124</v>
      </c>
      <c r="E6900" s="3" t="s">
        <v>185</v>
      </c>
      <c r="F6900" s="4" t="str">
        <f aca="false">IF(I6900&gt;J6900,"Y","N")</f>
        <v>Y</v>
      </c>
      <c r="G6900" s="3" t="s">
        <v>36</v>
      </c>
      <c r="H6900" s="3" t="s">
        <v>37</v>
      </c>
      <c r="I6900" s="4" t="n">
        <v>21</v>
      </c>
      <c r="J6900" s="4" t="n">
        <f aca="false">LEN(E6900)-LEN(SUBSTITUTE(E6900,",",""))+1</f>
        <v>7</v>
      </c>
      <c r="K6900" s="3" t="str">
        <f aca="false">IFERROR(INDEX('Teacher Lookup'!$B$2:$B$200,MATCH(A6900,'Teacher Lookup'!$A$2:$A$200,0)),"")</f>
        <v>HO Matthew</v>
      </c>
    </row>
    <row r="6901" customFormat="false" ht="15" hidden="false" customHeight="false" outlineLevel="0" collapsed="false">
      <c r="A6901" s="3" t="s">
        <v>478</v>
      </c>
      <c r="B6901" s="4" t="s">
        <v>44</v>
      </c>
      <c r="C6901" s="4" t="n">
        <v>5</v>
      </c>
      <c r="D6901" s="4" t="s">
        <v>139</v>
      </c>
      <c r="E6901" s="3" t="s">
        <v>185</v>
      </c>
      <c r="F6901" s="4" t="str">
        <f aca="false">IF(I6901&gt;J6901,"Y","N")</f>
        <v>Y</v>
      </c>
      <c r="G6901" s="3" t="s">
        <v>36</v>
      </c>
      <c r="H6901" s="3" t="s">
        <v>37</v>
      </c>
      <c r="I6901" s="4" t="n">
        <v>21</v>
      </c>
      <c r="J6901" s="4" t="n">
        <f aca="false">LEN(E6901)-LEN(SUBSTITUTE(E6901,",",""))+1</f>
        <v>7</v>
      </c>
      <c r="K6901" s="3" t="str">
        <f aca="false">IFERROR(INDEX('Teacher Lookup'!$B$2:$B$200,MATCH(A6901,'Teacher Lookup'!$A$2:$A$200,0)),"")</f>
        <v>HO Matthew</v>
      </c>
    </row>
    <row r="6902" customFormat="false" ht="15" hidden="false" customHeight="false" outlineLevel="0" collapsed="false">
      <c r="A6902" s="3" t="s">
        <v>478</v>
      </c>
      <c r="B6902" s="4" t="s">
        <v>44</v>
      </c>
      <c r="C6902" s="4" t="n">
        <v>5</v>
      </c>
      <c r="D6902" s="4" t="s">
        <v>140</v>
      </c>
      <c r="E6902" s="3" t="s">
        <v>185</v>
      </c>
      <c r="F6902" s="4" t="str">
        <f aca="false">IF(I6902&gt;J6902,"Y","N")</f>
        <v>Y</v>
      </c>
      <c r="G6902" s="3" t="s">
        <v>36</v>
      </c>
      <c r="H6902" s="3" t="s">
        <v>37</v>
      </c>
      <c r="I6902" s="4" t="n">
        <v>21</v>
      </c>
      <c r="J6902" s="4" t="n">
        <f aca="false">LEN(E6902)-LEN(SUBSTITUTE(E6902,",",""))+1</f>
        <v>7</v>
      </c>
      <c r="K6902" s="3" t="str">
        <f aca="false">IFERROR(INDEX('Teacher Lookup'!$B$2:$B$200,MATCH(A6902,'Teacher Lookup'!$A$2:$A$200,0)),"")</f>
        <v>HO Matthew</v>
      </c>
    </row>
    <row r="6903" customFormat="false" ht="15" hidden="false" customHeight="false" outlineLevel="0" collapsed="false">
      <c r="A6903" s="3" t="s">
        <v>478</v>
      </c>
      <c r="B6903" s="4" t="s">
        <v>44</v>
      </c>
      <c r="C6903" s="4" t="n">
        <v>5</v>
      </c>
      <c r="D6903" s="4" t="s">
        <v>142</v>
      </c>
      <c r="E6903" s="3" t="s">
        <v>185</v>
      </c>
      <c r="F6903" s="4" t="str">
        <f aca="false">IF(I6903&gt;J6903,"Y","N")</f>
        <v>Y</v>
      </c>
      <c r="G6903" s="3" t="s">
        <v>36</v>
      </c>
      <c r="H6903" s="3" t="s">
        <v>37</v>
      </c>
      <c r="I6903" s="4" t="n">
        <v>21</v>
      </c>
      <c r="J6903" s="4" t="n">
        <f aca="false">LEN(E6903)-LEN(SUBSTITUTE(E6903,",",""))+1</f>
        <v>7</v>
      </c>
      <c r="K6903" s="3" t="str">
        <f aca="false">IFERROR(INDEX('Teacher Lookup'!$B$2:$B$200,MATCH(A6903,'Teacher Lookup'!$A$2:$A$200,0)),"")</f>
        <v>HO Matthew</v>
      </c>
    </row>
    <row r="6904" customFormat="false" ht="15" hidden="false" customHeight="false" outlineLevel="0" collapsed="false">
      <c r="A6904" s="3" t="s">
        <v>478</v>
      </c>
      <c r="B6904" s="4" t="s">
        <v>44</v>
      </c>
      <c r="C6904" s="4" t="n">
        <v>5</v>
      </c>
      <c r="D6904" s="4" t="s">
        <v>127</v>
      </c>
      <c r="E6904" s="3" t="s">
        <v>185</v>
      </c>
      <c r="F6904" s="4" t="str">
        <f aca="false">IF(I6904&gt;J6904,"Y","N")</f>
        <v>Y</v>
      </c>
      <c r="G6904" s="3" t="s">
        <v>36</v>
      </c>
      <c r="H6904" s="3" t="s">
        <v>37</v>
      </c>
      <c r="I6904" s="4" t="n">
        <v>21</v>
      </c>
      <c r="J6904" s="4" t="n">
        <f aca="false">LEN(E6904)-LEN(SUBSTITUTE(E6904,",",""))+1</f>
        <v>7</v>
      </c>
      <c r="K6904" s="3" t="str">
        <f aca="false">IFERROR(INDEX('Teacher Lookup'!$B$2:$B$200,MATCH(A6904,'Teacher Lookup'!$A$2:$A$200,0)),"")</f>
        <v>HO Matthew</v>
      </c>
    </row>
    <row r="6905" customFormat="false" ht="15" hidden="false" customHeight="false" outlineLevel="0" collapsed="false">
      <c r="A6905" s="3" t="s">
        <v>478</v>
      </c>
      <c r="B6905" s="4" t="s">
        <v>47</v>
      </c>
      <c r="C6905" s="4" t="n">
        <v>2</v>
      </c>
      <c r="D6905" s="4" t="s">
        <v>22</v>
      </c>
      <c r="E6905" s="3" t="s">
        <v>298</v>
      </c>
      <c r="F6905" s="4" t="str">
        <f aca="false">IF(I6905&gt;J6905,"Y","N")</f>
        <v>N</v>
      </c>
      <c r="G6905" s="3" t="s">
        <v>299</v>
      </c>
      <c r="H6905" s="3" t="s">
        <v>21</v>
      </c>
      <c r="I6905" s="4" t="n">
        <v>2</v>
      </c>
      <c r="J6905" s="4" t="n">
        <f aca="false">LEN(E6905)-LEN(SUBSTITUTE(E6905,",",""))+1</f>
        <v>2</v>
      </c>
      <c r="K6905" s="3" t="str">
        <f aca="false">IFERROR(INDEX('Teacher Lookup'!$B$2:$B$200,MATCH(A6905,'Teacher Lookup'!$A$2:$A$200,0)),"")</f>
        <v>HO Matthew</v>
      </c>
    </row>
    <row r="6906" customFormat="false" ht="15" hidden="false" customHeight="false" outlineLevel="0" collapsed="false">
      <c r="A6906" s="3" t="s">
        <v>478</v>
      </c>
      <c r="B6906" s="4" t="s">
        <v>47</v>
      </c>
      <c r="C6906" s="4" t="n">
        <v>3</v>
      </c>
      <c r="D6906" s="4" t="s">
        <v>74</v>
      </c>
      <c r="E6906" s="3" t="s">
        <v>297</v>
      </c>
      <c r="F6906" s="4" t="str">
        <f aca="false">IF(I6906&gt;J6906,"Y","N")</f>
        <v>Y</v>
      </c>
      <c r="G6906" s="3" t="s">
        <v>296</v>
      </c>
      <c r="H6906" s="3" t="s">
        <v>26</v>
      </c>
      <c r="I6906" s="4" t="n">
        <v>2</v>
      </c>
      <c r="J6906" s="4" t="n">
        <f aca="false">LEN(E6906)-LEN(SUBSTITUTE(E6906,",",""))+1</f>
        <v>1</v>
      </c>
      <c r="K6906" s="3" t="str">
        <f aca="false">IFERROR(INDEX('Teacher Lookup'!$B$2:$B$200,MATCH(A6906,'Teacher Lookup'!$A$2:$A$200,0)),"")</f>
        <v>HO Matthew</v>
      </c>
    </row>
    <row r="6907" customFormat="false" ht="15" hidden="false" customHeight="false" outlineLevel="0" collapsed="false">
      <c r="A6907" s="3" t="s">
        <v>478</v>
      </c>
      <c r="B6907" s="4" t="s">
        <v>50</v>
      </c>
      <c r="C6907" s="4" t="n">
        <v>2</v>
      </c>
      <c r="D6907" s="4" t="s">
        <v>73</v>
      </c>
      <c r="E6907" s="3" t="s">
        <v>297</v>
      </c>
      <c r="F6907" s="4" t="str">
        <f aca="false">IF(I6907&gt;J6907,"Y","N")</f>
        <v>Y</v>
      </c>
      <c r="G6907" s="3" t="s">
        <v>296</v>
      </c>
      <c r="H6907" s="3" t="s">
        <v>21</v>
      </c>
      <c r="I6907" s="4" t="n">
        <v>2</v>
      </c>
      <c r="J6907" s="4" t="n">
        <f aca="false">LEN(E6907)-LEN(SUBSTITUTE(E6907,",",""))+1</f>
        <v>1</v>
      </c>
      <c r="K6907" s="3" t="str">
        <f aca="false">IFERROR(INDEX('Teacher Lookup'!$B$2:$B$200,MATCH(A6907,'Teacher Lookup'!$A$2:$A$200,0)),"")</f>
        <v>HO Matthew</v>
      </c>
    </row>
    <row r="6908" customFormat="false" ht="15" hidden="false" customHeight="false" outlineLevel="0" collapsed="false">
      <c r="A6908" s="3" t="s">
        <v>478</v>
      </c>
      <c r="B6908" s="4" t="s">
        <v>50</v>
      </c>
      <c r="C6908" s="4" t="n">
        <v>3</v>
      </c>
      <c r="D6908" s="4" t="s">
        <v>78</v>
      </c>
      <c r="E6908" s="3" t="s">
        <v>297</v>
      </c>
      <c r="F6908" s="4" t="str">
        <f aca="false">IF(I6908&gt;J6908,"Y","N")</f>
        <v>Y</v>
      </c>
      <c r="G6908" s="3" t="s">
        <v>296</v>
      </c>
      <c r="H6908" s="3" t="s">
        <v>26</v>
      </c>
      <c r="I6908" s="4" t="n">
        <v>2</v>
      </c>
      <c r="J6908" s="4" t="n">
        <f aca="false">LEN(E6908)-LEN(SUBSTITUTE(E6908,",",""))+1</f>
        <v>1</v>
      </c>
      <c r="K6908" s="3" t="str">
        <f aca="false">IFERROR(INDEX('Teacher Lookup'!$B$2:$B$200,MATCH(A6908,'Teacher Lookup'!$A$2:$A$200,0)),"")</f>
        <v>HO Matthew</v>
      </c>
    </row>
    <row r="6909" customFormat="false" ht="15" hidden="false" customHeight="false" outlineLevel="0" collapsed="false">
      <c r="A6909" s="3" t="s">
        <v>478</v>
      </c>
      <c r="B6909" s="4" t="s">
        <v>50</v>
      </c>
      <c r="C6909" s="4" t="n">
        <v>4</v>
      </c>
      <c r="D6909" s="4" t="s">
        <v>137</v>
      </c>
      <c r="E6909" s="3" t="s">
        <v>221</v>
      </c>
      <c r="F6909" s="4" t="str">
        <f aca="false">IF(I6909&gt;J6909,"Y","N")</f>
        <v>Y</v>
      </c>
      <c r="G6909" s="3" t="s">
        <v>222</v>
      </c>
      <c r="H6909" s="3" t="s">
        <v>34</v>
      </c>
      <c r="I6909" s="4" t="n">
        <v>15</v>
      </c>
      <c r="J6909" s="4" t="n">
        <f aca="false">LEN(E6909)-LEN(SUBSTITUTE(E6909,",",""))+1</f>
        <v>7</v>
      </c>
      <c r="K6909" s="3" t="str">
        <f aca="false">IFERROR(INDEX('Teacher Lookup'!$B$2:$B$200,MATCH(A6909,'Teacher Lookup'!$A$2:$A$200,0)),"")</f>
        <v>HO Matthew</v>
      </c>
    </row>
    <row r="6910" customFormat="false" ht="15" hidden="false" customHeight="false" outlineLevel="0" collapsed="false">
      <c r="A6910" s="3" t="s">
        <v>478</v>
      </c>
      <c r="B6910" s="4" t="s">
        <v>50</v>
      </c>
      <c r="C6910" s="4" t="n">
        <v>4</v>
      </c>
      <c r="D6910" s="4" t="s">
        <v>124</v>
      </c>
      <c r="E6910" s="3" t="s">
        <v>221</v>
      </c>
      <c r="F6910" s="4" t="str">
        <f aca="false">IF(I6910&gt;J6910,"Y","N")</f>
        <v>Y</v>
      </c>
      <c r="G6910" s="3" t="s">
        <v>222</v>
      </c>
      <c r="H6910" s="3" t="s">
        <v>34</v>
      </c>
      <c r="I6910" s="4" t="n">
        <v>15</v>
      </c>
      <c r="J6910" s="4" t="n">
        <f aca="false">LEN(E6910)-LEN(SUBSTITUTE(E6910,",",""))+1</f>
        <v>7</v>
      </c>
      <c r="K6910" s="3" t="str">
        <f aca="false">IFERROR(INDEX('Teacher Lookup'!$B$2:$B$200,MATCH(A6910,'Teacher Lookup'!$A$2:$A$200,0)),"")</f>
        <v>HO Matthew</v>
      </c>
    </row>
    <row r="6911" customFormat="false" ht="15" hidden="false" customHeight="false" outlineLevel="0" collapsed="false">
      <c r="A6911" s="3" t="s">
        <v>478</v>
      </c>
      <c r="B6911" s="4" t="s">
        <v>50</v>
      </c>
      <c r="C6911" s="4" t="n">
        <v>4</v>
      </c>
      <c r="D6911" s="4" t="s">
        <v>139</v>
      </c>
      <c r="E6911" s="3" t="s">
        <v>221</v>
      </c>
      <c r="F6911" s="4" t="str">
        <f aca="false">IF(I6911&gt;J6911,"Y","N")</f>
        <v>Y</v>
      </c>
      <c r="G6911" s="3" t="s">
        <v>222</v>
      </c>
      <c r="H6911" s="3" t="s">
        <v>34</v>
      </c>
      <c r="I6911" s="4" t="n">
        <v>15</v>
      </c>
      <c r="J6911" s="4" t="n">
        <f aca="false">LEN(E6911)-LEN(SUBSTITUTE(E6911,",",""))+1</f>
        <v>7</v>
      </c>
      <c r="K6911" s="3" t="str">
        <f aca="false">IFERROR(INDEX('Teacher Lookup'!$B$2:$B$200,MATCH(A6911,'Teacher Lookup'!$A$2:$A$200,0)),"")</f>
        <v>HO Matthew</v>
      </c>
    </row>
    <row r="6912" customFormat="false" ht="15" hidden="false" customHeight="false" outlineLevel="0" collapsed="false">
      <c r="A6912" s="3" t="s">
        <v>478</v>
      </c>
      <c r="B6912" s="4" t="s">
        <v>50</v>
      </c>
      <c r="C6912" s="4" t="n">
        <v>4</v>
      </c>
      <c r="D6912" s="4" t="s">
        <v>140</v>
      </c>
      <c r="E6912" s="3" t="s">
        <v>221</v>
      </c>
      <c r="F6912" s="4" t="str">
        <f aca="false">IF(I6912&gt;J6912,"Y","N")</f>
        <v>Y</v>
      </c>
      <c r="G6912" s="3" t="s">
        <v>222</v>
      </c>
      <c r="H6912" s="3" t="s">
        <v>34</v>
      </c>
      <c r="I6912" s="4" t="n">
        <v>15</v>
      </c>
      <c r="J6912" s="4" t="n">
        <f aca="false">LEN(E6912)-LEN(SUBSTITUTE(E6912,",",""))+1</f>
        <v>7</v>
      </c>
      <c r="K6912" s="3" t="str">
        <f aca="false">IFERROR(INDEX('Teacher Lookup'!$B$2:$B$200,MATCH(A6912,'Teacher Lookup'!$A$2:$A$200,0)),"")</f>
        <v>HO Matthew</v>
      </c>
    </row>
    <row r="6913" customFormat="false" ht="15" hidden="false" customHeight="false" outlineLevel="0" collapsed="false">
      <c r="A6913" s="3" t="s">
        <v>478</v>
      </c>
      <c r="B6913" s="4" t="s">
        <v>50</v>
      </c>
      <c r="C6913" s="4" t="n">
        <v>4</v>
      </c>
      <c r="D6913" s="4" t="s">
        <v>142</v>
      </c>
      <c r="E6913" s="3" t="s">
        <v>221</v>
      </c>
      <c r="F6913" s="4" t="str">
        <f aca="false">IF(I6913&gt;J6913,"Y","N")</f>
        <v>Y</v>
      </c>
      <c r="G6913" s="3" t="s">
        <v>222</v>
      </c>
      <c r="H6913" s="3" t="s">
        <v>34</v>
      </c>
      <c r="I6913" s="4" t="n">
        <v>15</v>
      </c>
      <c r="J6913" s="4" t="n">
        <f aca="false">LEN(E6913)-LEN(SUBSTITUTE(E6913,",",""))+1</f>
        <v>7</v>
      </c>
      <c r="K6913" s="3" t="str">
        <f aca="false">IFERROR(INDEX('Teacher Lookup'!$B$2:$B$200,MATCH(A6913,'Teacher Lookup'!$A$2:$A$200,0)),"")</f>
        <v>HO Matthew</v>
      </c>
    </row>
    <row r="6914" customFormat="false" ht="15" hidden="false" customHeight="false" outlineLevel="0" collapsed="false">
      <c r="A6914" s="3" t="s">
        <v>478</v>
      </c>
      <c r="B6914" s="4" t="s">
        <v>50</v>
      </c>
      <c r="C6914" s="4" t="n">
        <v>4</v>
      </c>
      <c r="D6914" s="4" t="s">
        <v>127</v>
      </c>
      <c r="E6914" s="3" t="s">
        <v>221</v>
      </c>
      <c r="F6914" s="4" t="str">
        <f aca="false">IF(I6914&gt;J6914,"Y","N")</f>
        <v>Y</v>
      </c>
      <c r="G6914" s="3" t="s">
        <v>222</v>
      </c>
      <c r="H6914" s="3" t="s">
        <v>34</v>
      </c>
      <c r="I6914" s="4" t="n">
        <v>15</v>
      </c>
      <c r="J6914" s="4" t="n">
        <f aca="false">LEN(E6914)-LEN(SUBSTITUTE(E6914,",",""))+1</f>
        <v>7</v>
      </c>
      <c r="K6914" s="3" t="str">
        <f aca="false">IFERROR(INDEX('Teacher Lookup'!$B$2:$B$200,MATCH(A6914,'Teacher Lookup'!$A$2:$A$200,0)),"")</f>
        <v>HO Matthew</v>
      </c>
    </row>
    <row r="6915" customFormat="false" ht="15" hidden="false" customHeight="false" outlineLevel="0" collapsed="false">
      <c r="A6915" s="3" t="s">
        <v>478</v>
      </c>
      <c r="B6915" s="4" t="s">
        <v>50</v>
      </c>
      <c r="C6915" s="4" t="n">
        <v>5</v>
      </c>
      <c r="D6915" s="4" t="s">
        <v>137</v>
      </c>
      <c r="E6915" s="3" t="s">
        <v>221</v>
      </c>
      <c r="F6915" s="4" t="str">
        <f aca="false">IF(I6915&gt;J6915,"Y","N")</f>
        <v>Y</v>
      </c>
      <c r="G6915" s="3" t="s">
        <v>222</v>
      </c>
      <c r="H6915" s="3" t="s">
        <v>37</v>
      </c>
      <c r="I6915" s="4" t="n">
        <v>15</v>
      </c>
      <c r="J6915" s="4" t="n">
        <f aca="false">LEN(E6915)-LEN(SUBSTITUTE(E6915,",",""))+1</f>
        <v>7</v>
      </c>
      <c r="K6915" s="3" t="str">
        <f aca="false">IFERROR(INDEX('Teacher Lookup'!$B$2:$B$200,MATCH(A6915,'Teacher Lookup'!$A$2:$A$200,0)),"")</f>
        <v>HO Matthew</v>
      </c>
    </row>
    <row r="6916" customFormat="false" ht="15" hidden="false" customHeight="false" outlineLevel="0" collapsed="false">
      <c r="A6916" s="3" t="s">
        <v>478</v>
      </c>
      <c r="B6916" s="4" t="s">
        <v>50</v>
      </c>
      <c r="C6916" s="4" t="n">
        <v>5</v>
      </c>
      <c r="D6916" s="4" t="s">
        <v>124</v>
      </c>
      <c r="E6916" s="3" t="s">
        <v>221</v>
      </c>
      <c r="F6916" s="4" t="str">
        <f aca="false">IF(I6916&gt;J6916,"Y","N")</f>
        <v>Y</v>
      </c>
      <c r="G6916" s="3" t="s">
        <v>222</v>
      </c>
      <c r="H6916" s="3" t="s">
        <v>37</v>
      </c>
      <c r="I6916" s="4" t="n">
        <v>15</v>
      </c>
      <c r="J6916" s="4" t="n">
        <f aca="false">LEN(E6916)-LEN(SUBSTITUTE(E6916,",",""))+1</f>
        <v>7</v>
      </c>
      <c r="K6916" s="3" t="str">
        <f aca="false">IFERROR(INDEX('Teacher Lookup'!$B$2:$B$200,MATCH(A6916,'Teacher Lookup'!$A$2:$A$200,0)),"")</f>
        <v>HO Matthew</v>
      </c>
    </row>
    <row r="6917" customFormat="false" ht="15" hidden="false" customHeight="false" outlineLevel="0" collapsed="false">
      <c r="A6917" s="3" t="s">
        <v>478</v>
      </c>
      <c r="B6917" s="4" t="s">
        <v>50</v>
      </c>
      <c r="C6917" s="4" t="n">
        <v>5</v>
      </c>
      <c r="D6917" s="4" t="s">
        <v>139</v>
      </c>
      <c r="E6917" s="3" t="s">
        <v>221</v>
      </c>
      <c r="F6917" s="4" t="str">
        <f aca="false">IF(I6917&gt;J6917,"Y","N")</f>
        <v>Y</v>
      </c>
      <c r="G6917" s="3" t="s">
        <v>222</v>
      </c>
      <c r="H6917" s="3" t="s">
        <v>37</v>
      </c>
      <c r="I6917" s="4" t="n">
        <v>15</v>
      </c>
      <c r="J6917" s="4" t="n">
        <f aca="false">LEN(E6917)-LEN(SUBSTITUTE(E6917,",",""))+1</f>
        <v>7</v>
      </c>
      <c r="K6917" s="3" t="str">
        <f aca="false">IFERROR(INDEX('Teacher Lookup'!$B$2:$B$200,MATCH(A6917,'Teacher Lookup'!$A$2:$A$200,0)),"")</f>
        <v>HO Matthew</v>
      </c>
    </row>
    <row r="6918" customFormat="false" ht="15" hidden="false" customHeight="false" outlineLevel="0" collapsed="false">
      <c r="A6918" s="3" t="s">
        <v>478</v>
      </c>
      <c r="B6918" s="4" t="s">
        <v>50</v>
      </c>
      <c r="C6918" s="4" t="n">
        <v>5</v>
      </c>
      <c r="D6918" s="4" t="s">
        <v>140</v>
      </c>
      <c r="E6918" s="3" t="s">
        <v>221</v>
      </c>
      <c r="F6918" s="4" t="str">
        <f aca="false">IF(I6918&gt;J6918,"Y","N")</f>
        <v>Y</v>
      </c>
      <c r="G6918" s="3" t="s">
        <v>222</v>
      </c>
      <c r="H6918" s="3" t="s">
        <v>37</v>
      </c>
      <c r="I6918" s="4" t="n">
        <v>15</v>
      </c>
      <c r="J6918" s="4" t="n">
        <f aca="false">LEN(E6918)-LEN(SUBSTITUTE(E6918,",",""))+1</f>
        <v>7</v>
      </c>
      <c r="K6918" s="3" t="str">
        <f aca="false">IFERROR(INDEX('Teacher Lookup'!$B$2:$B$200,MATCH(A6918,'Teacher Lookup'!$A$2:$A$200,0)),"")</f>
        <v>HO Matthew</v>
      </c>
    </row>
    <row r="6919" customFormat="false" ht="15" hidden="false" customHeight="false" outlineLevel="0" collapsed="false">
      <c r="A6919" s="3" t="s">
        <v>478</v>
      </c>
      <c r="B6919" s="4" t="s">
        <v>50</v>
      </c>
      <c r="C6919" s="4" t="n">
        <v>5</v>
      </c>
      <c r="D6919" s="4" t="s">
        <v>142</v>
      </c>
      <c r="E6919" s="3" t="s">
        <v>221</v>
      </c>
      <c r="F6919" s="4" t="str">
        <f aca="false">IF(I6919&gt;J6919,"Y","N")</f>
        <v>Y</v>
      </c>
      <c r="G6919" s="3" t="s">
        <v>222</v>
      </c>
      <c r="H6919" s="3" t="s">
        <v>37</v>
      </c>
      <c r="I6919" s="4" t="n">
        <v>15</v>
      </c>
      <c r="J6919" s="4" t="n">
        <f aca="false">LEN(E6919)-LEN(SUBSTITUTE(E6919,",",""))+1</f>
        <v>7</v>
      </c>
      <c r="K6919" s="3" t="str">
        <f aca="false">IFERROR(INDEX('Teacher Lookup'!$B$2:$B$200,MATCH(A6919,'Teacher Lookup'!$A$2:$A$200,0)),"")</f>
        <v>HO Matthew</v>
      </c>
    </row>
    <row r="6920" customFormat="false" ht="15" hidden="false" customHeight="false" outlineLevel="0" collapsed="false">
      <c r="A6920" s="3" t="s">
        <v>478</v>
      </c>
      <c r="B6920" s="4" t="s">
        <v>50</v>
      </c>
      <c r="C6920" s="4" t="n">
        <v>5</v>
      </c>
      <c r="D6920" s="4" t="s">
        <v>127</v>
      </c>
      <c r="E6920" s="3" t="s">
        <v>221</v>
      </c>
      <c r="F6920" s="4" t="str">
        <f aca="false">IF(I6920&gt;J6920,"Y","N")</f>
        <v>Y</v>
      </c>
      <c r="G6920" s="3" t="s">
        <v>222</v>
      </c>
      <c r="H6920" s="3" t="s">
        <v>37</v>
      </c>
      <c r="I6920" s="4" t="n">
        <v>15</v>
      </c>
      <c r="J6920" s="4" t="n">
        <f aca="false">LEN(E6920)-LEN(SUBSTITUTE(E6920,",",""))+1</f>
        <v>7</v>
      </c>
      <c r="K6920" s="3" t="str">
        <f aca="false">IFERROR(INDEX('Teacher Lookup'!$B$2:$B$200,MATCH(A6920,'Teacher Lookup'!$A$2:$A$200,0)),"")</f>
        <v>HO Matthew</v>
      </c>
    </row>
    <row r="6921" customFormat="false" ht="15" hidden="false" customHeight="false" outlineLevel="0" collapsed="false">
      <c r="A6921" s="3" t="s">
        <v>478</v>
      </c>
      <c r="B6921" s="4" t="s">
        <v>60</v>
      </c>
      <c r="C6921" s="4" t="n">
        <v>2</v>
      </c>
      <c r="D6921" s="4" t="s">
        <v>17</v>
      </c>
      <c r="E6921" s="3" t="s">
        <v>298</v>
      </c>
      <c r="F6921" s="4" t="str">
        <f aca="false">IF(I6921&gt;J6921,"Y","N")</f>
        <v>N</v>
      </c>
      <c r="G6921" s="3" t="s">
        <v>299</v>
      </c>
      <c r="H6921" s="3" t="s">
        <v>21</v>
      </c>
      <c r="I6921" s="4" t="n">
        <v>2</v>
      </c>
      <c r="J6921" s="4" t="n">
        <f aca="false">LEN(E6921)-LEN(SUBSTITUTE(E6921,",",""))+1</f>
        <v>2</v>
      </c>
      <c r="K6921" s="3" t="str">
        <f aca="false">IFERROR(INDEX('Teacher Lookup'!$B$2:$B$200,MATCH(A6921,'Teacher Lookup'!$A$2:$A$200,0)),"")</f>
        <v>HO Matthew</v>
      </c>
    </row>
    <row r="6922" customFormat="false" ht="15" hidden="false" customHeight="false" outlineLevel="0" collapsed="false">
      <c r="A6922" s="3" t="s">
        <v>478</v>
      </c>
      <c r="B6922" s="4" t="s">
        <v>60</v>
      </c>
      <c r="C6922" s="4" t="n">
        <v>3</v>
      </c>
      <c r="D6922" s="4" t="s">
        <v>22</v>
      </c>
      <c r="E6922" s="3" t="s">
        <v>297</v>
      </c>
      <c r="F6922" s="4" t="str">
        <f aca="false">IF(I6922&gt;J6922,"Y","N")</f>
        <v>Y</v>
      </c>
      <c r="G6922" s="3" t="s">
        <v>296</v>
      </c>
      <c r="H6922" s="3" t="s">
        <v>26</v>
      </c>
      <c r="I6922" s="4" t="n">
        <v>2</v>
      </c>
      <c r="J6922" s="4" t="n">
        <f aca="false">LEN(E6922)-LEN(SUBSTITUTE(E6922,",",""))+1</f>
        <v>1</v>
      </c>
      <c r="K6922" s="3" t="str">
        <f aca="false">IFERROR(INDEX('Teacher Lookup'!$B$2:$B$200,MATCH(A6922,'Teacher Lookup'!$A$2:$A$200,0)),"")</f>
        <v>HO Matthew</v>
      </c>
    </row>
    <row r="6923" customFormat="false" ht="15" hidden="false" customHeight="false" outlineLevel="0" collapsed="false">
      <c r="A6923" s="3" t="s">
        <v>478</v>
      </c>
      <c r="B6923" s="4" t="s">
        <v>60</v>
      </c>
      <c r="C6923" s="4" t="n">
        <v>5</v>
      </c>
      <c r="D6923" s="4" t="s">
        <v>137</v>
      </c>
      <c r="E6923" s="3" t="s">
        <v>185</v>
      </c>
      <c r="F6923" s="4" t="str">
        <f aca="false">IF(I6923&gt;J6923,"Y","N")</f>
        <v>Y</v>
      </c>
      <c r="G6923" s="3" t="s">
        <v>36</v>
      </c>
      <c r="H6923" s="3" t="s">
        <v>37</v>
      </c>
      <c r="I6923" s="4" t="n">
        <v>21</v>
      </c>
      <c r="J6923" s="4" t="n">
        <f aca="false">LEN(E6923)-LEN(SUBSTITUTE(E6923,",",""))+1</f>
        <v>7</v>
      </c>
      <c r="K6923" s="3" t="str">
        <f aca="false">IFERROR(INDEX('Teacher Lookup'!$B$2:$B$200,MATCH(A6923,'Teacher Lookup'!$A$2:$A$200,0)),"")</f>
        <v>HO Matthew</v>
      </c>
    </row>
    <row r="6924" customFormat="false" ht="15" hidden="false" customHeight="false" outlineLevel="0" collapsed="false">
      <c r="A6924" s="3" t="s">
        <v>478</v>
      </c>
      <c r="B6924" s="4" t="s">
        <v>60</v>
      </c>
      <c r="C6924" s="4" t="n">
        <v>5</v>
      </c>
      <c r="D6924" s="4" t="s">
        <v>124</v>
      </c>
      <c r="E6924" s="3" t="s">
        <v>185</v>
      </c>
      <c r="F6924" s="4" t="str">
        <f aca="false">IF(I6924&gt;J6924,"Y","N")</f>
        <v>Y</v>
      </c>
      <c r="G6924" s="3" t="s">
        <v>36</v>
      </c>
      <c r="H6924" s="3" t="s">
        <v>37</v>
      </c>
      <c r="I6924" s="4" t="n">
        <v>21</v>
      </c>
      <c r="J6924" s="4" t="n">
        <f aca="false">LEN(E6924)-LEN(SUBSTITUTE(E6924,",",""))+1</f>
        <v>7</v>
      </c>
      <c r="K6924" s="3" t="str">
        <f aca="false">IFERROR(INDEX('Teacher Lookup'!$B$2:$B$200,MATCH(A6924,'Teacher Lookup'!$A$2:$A$200,0)),"")</f>
        <v>HO Matthew</v>
      </c>
    </row>
    <row r="6925" customFormat="false" ht="15" hidden="false" customHeight="false" outlineLevel="0" collapsed="false">
      <c r="A6925" s="3" t="s">
        <v>478</v>
      </c>
      <c r="B6925" s="4" t="s">
        <v>60</v>
      </c>
      <c r="C6925" s="4" t="n">
        <v>5</v>
      </c>
      <c r="D6925" s="4" t="s">
        <v>139</v>
      </c>
      <c r="E6925" s="3" t="s">
        <v>185</v>
      </c>
      <c r="F6925" s="4" t="str">
        <f aca="false">IF(I6925&gt;J6925,"Y","N")</f>
        <v>Y</v>
      </c>
      <c r="G6925" s="3" t="s">
        <v>36</v>
      </c>
      <c r="H6925" s="3" t="s">
        <v>37</v>
      </c>
      <c r="I6925" s="4" t="n">
        <v>21</v>
      </c>
      <c r="J6925" s="4" t="n">
        <f aca="false">LEN(E6925)-LEN(SUBSTITUTE(E6925,",",""))+1</f>
        <v>7</v>
      </c>
      <c r="K6925" s="3" t="str">
        <f aca="false">IFERROR(INDEX('Teacher Lookup'!$B$2:$B$200,MATCH(A6925,'Teacher Lookup'!$A$2:$A$200,0)),"")</f>
        <v>HO Matthew</v>
      </c>
    </row>
    <row r="6926" customFormat="false" ht="15" hidden="false" customHeight="false" outlineLevel="0" collapsed="false">
      <c r="A6926" s="3" t="s">
        <v>478</v>
      </c>
      <c r="B6926" s="4" t="s">
        <v>60</v>
      </c>
      <c r="C6926" s="4" t="n">
        <v>5</v>
      </c>
      <c r="D6926" s="4" t="s">
        <v>140</v>
      </c>
      <c r="E6926" s="3" t="s">
        <v>185</v>
      </c>
      <c r="F6926" s="4" t="str">
        <f aca="false">IF(I6926&gt;J6926,"Y","N")</f>
        <v>Y</v>
      </c>
      <c r="G6926" s="3" t="s">
        <v>36</v>
      </c>
      <c r="H6926" s="3" t="s">
        <v>37</v>
      </c>
      <c r="I6926" s="4" t="n">
        <v>21</v>
      </c>
      <c r="J6926" s="4" t="n">
        <f aca="false">LEN(E6926)-LEN(SUBSTITUTE(E6926,",",""))+1</f>
        <v>7</v>
      </c>
      <c r="K6926" s="3" t="str">
        <f aca="false">IFERROR(INDEX('Teacher Lookup'!$B$2:$B$200,MATCH(A6926,'Teacher Lookup'!$A$2:$A$200,0)),"")</f>
        <v>HO Matthew</v>
      </c>
    </row>
    <row r="6927" customFormat="false" ht="15" hidden="false" customHeight="false" outlineLevel="0" collapsed="false">
      <c r="A6927" s="3" t="s">
        <v>478</v>
      </c>
      <c r="B6927" s="4" t="s">
        <v>60</v>
      </c>
      <c r="C6927" s="4" t="n">
        <v>5</v>
      </c>
      <c r="D6927" s="4" t="s">
        <v>142</v>
      </c>
      <c r="E6927" s="3" t="s">
        <v>185</v>
      </c>
      <c r="F6927" s="4" t="str">
        <f aca="false">IF(I6927&gt;J6927,"Y","N")</f>
        <v>Y</v>
      </c>
      <c r="G6927" s="3" t="s">
        <v>36</v>
      </c>
      <c r="H6927" s="3" t="s">
        <v>37</v>
      </c>
      <c r="I6927" s="4" t="n">
        <v>21</v>
      </c>
      <c r="J6927" s="4" t="n">
        <f aca="false">LEN(E6927)-LEN(SUBSTITUTE(E6927,",",""))+1</f>
        <v>7</v>
      </c>
      <c r="K6927" s="3" t="str">
        <f aca="false">IFERROR(INDEX('Teacher Lookup'!$B$2:$B$200,MATCH(A6927,'Teacher Lookup'!$A$2:$A$200,0)),"")</f>
        <v>HO Matthew</v>
      </c>
    </row>
    <row r="6928" customFormat="false" ht="15" hidden="false" customHeight="false" outlineLevel="0" collapsed="false">
      <c r="A6928" s="3" t="s">
        <v>478</v>
      </c>
      <c r="B6928" s="4" t="s">
        <v>60</v>
      </c>
      <c r="C6928" s="4" t="n">
        <v>5</v>
      </c>
      <c r="D6928" s="4" t="s">
        <v>127</v>
      </c>
      <c r="E6928" s="3" t="s">
        <v>185</v>
      </c>
      <c r="F6928" s="4" t="str">
        <f aca="false">IF(I6928&gt;J6928,"Y","N")</f>
        <v>Y</v>
      </c>
      <c r="G6928" s="3" t="s">
        <v>36</v>
      </c>
      <c r="H6928" s="3" t="s">
        <v>37</v>
      </c>
      <c r="I6928" s="4" t="n">
        <v>21</v>
      </c>
      <c r="J6928" s="4" t="n">
        <f aca="false">LEN(E6928)-LEN(SUBSTITUTE(E6928,",",""))+1</f>
        <v>7</v>
      </c>
      <c r="K6928" s="3" t="str">
        <f aca="false">IFERROR(INDEX('Teacher Lookup'!$B$2:$B$200,MATCH(A6928,'Teacher Lookup'!$A$2:$A$200,0)),"")</f>
        <v>HO Matthew</v>
      </c>
    </row>
    <row r="6929" customFormat="false" ht="15" hidden="false" customHeight="false" outlineLevel="0" collapsed="false">
      <c r="A6929" s="3" t="s">
        <v>478</v>
      </c>
      <c r="B6929" s="4" t="s">
        <v>63</v>
      </c>
      <c r="C6929" s="4" t="n">
        <v>1</v>
      </c>
      <c r="D6929" s="4" t="s">
        <v>22</v>
      </c>
      <c r="E6929" s="3" t="s">
        <v>297</v>
      </c>
      <c r="F6929" s="4" t="str">
        <f aca="false">IF(I6929&gt;J6929,"Y","N")</f>
        <v>Y</v>
      </c>
      <c r="G6929" s="3" t="s">
        <v>296</v>
      </c>
      <c r="H6929" s="3" t="s">
        <v>16</v>
      </c>
      <c r="I6929" s="4" t="n">
        <v>2</v>
      </c>
      <c r="J6929" s="4" t="n">
        <f aca="false">LEN(E6929)-LEN(SUBSTITUTE(E6929,",",""))+1</f>
        <v>1</v>
      </c>
      <c r="K6929" s="3" t="str">
        <f aca="false">IFERROR(INDEX('Teacher Lookup'!$B$2:$B$200,MATCH(A6929,'Teacher Lookup'!$A$2:$A$200,0)),"")</f>
        <v>HO Matthew</v>
      </c>
    </row>
    <row r="6930" customFormat="false" ht="15" hidden="false" customHeight="false" outlineLevel="0" collapsed="false">
      <c r="A6930" s="3" t="s">
        <v>478</v>
      </c>
      <c r="B6930" s="4" t="s">
        <v>63</v>
      </c>
      <c r="C6930" s="4" t="n">
        <v>2</v>
      </c>
      <c r="D6930" s="4" t="s">
        <v>137</v>
      </c>
      <c r="E6930" s="3" t="s">
        <v>297</v>
      </c>
      <c r="F6930" s="4" t="str">
        <f aca="false">IF(I6930&gt;J6930,"Y","N")</f>
        <v>Y</v>
      </c>
      <c r="G6930" s="3" t="s">
        <v>296</v>
      </c>
      <c r="H6930" s="3" t="s">
        <v>21</v>
      </c>
      <c r="I6930" s="4" t="n">
        <v>2</v>
      </c>
      <c r="J6930" s="4" t="n">
        <f aca="false">LEN(E6930)-LEN(SUBSTITUTE(E6930,",",""))+1</f>
        <v>1</v>
      </c>
      <c r="K6930" s="3" t="str">
        <f aca="false">IFERROR(INDEX('Teacher Lookup'!$B$2:$B$200,MATCH(A6930,'Teacher Lookup'!$A$2:$A$200,0)),"")</f>
        <v>HO Matthew</v>
      </c>
    </row>
    <row r="6931" customFormat="false" ht="15" hidden="false" customHeight="false" outlineLevel="0" collapsed="false">
      <c r="A6931" s="3" t="s">
        <v>478</v>
      </c>
      <c r="B6931" s="4" t="s">
        <v>63</v>
      </c>
      <c r="C6931" s="4" t="n">
        <v>3</v>
      </c>
      <c r="D6931" s="4" t="s">
        <v>142</v>
      </c>
      <c r="E6931" s="3" t="s">
        <v>297</v>
      </c>
      <c r="F6931" s="4" t="str">
        <f aca="false">IF(I6931&gt;J6931,"Y","N")</f>
        <v>Y</v>
      </c>
      <c r="G6931" s="3" t="s">
        <v>296</v>
      </c>
      <c r="H6931" s="3" t="s">
        <v>26</v>
      </c>
      <c r="I6931" s="4" t="n">
        <v>2</v>
      </c>
      <c r="J6931" s="4" t="n">
        <f aca="false">LEN(E6931)-LEN(SUBSTITUTE(E6931,",",""))+1</f>
        <v>1</v>
      </c>
      <c r="K6931" s="3" t="str">
        <f aca="false">IFERROR(INDEX('Teacher Lookup'!$B$2:$B$200,MATCH(A6931,'Teacher Lookup'!$A$2:$A$200,0)),"")</f>
        <v>HO Matthew</v>
      </c>
    </row>
    <row r="6932" customFormat="false" ht="15" hidden="false" customHeight="false" outlineLevel="0" collapsed="false">
      <c r="A6932" s="3" t="s">
        <v>478</v>
      </c>
      <c r="B6932" s="4" t="s">
        <v>63</v>
      </c>
      <c r="C6932" s="4" t="n">
        <v>4</v>
      </c>
      <c r="D6932" s="4" t="s">
        <v>70</v>
      </c>
      <c r="E6932" s="3" t="s">
        <v>213</v>
      </c>
      <c r="F6932" s="4" t="str">
        <f aca="false">IF(I6932&gt;J6932,"Y","N")</f>
        <v>Y</v>
      </c>
      <c r="G6932" s="3" t="s">
        <v>214</v>
      </c>
      <c r="H6932" s="3" t="s">
        <v>34</v>
      </c>
      <c r="I6932" s="4" t="n">
        <v>20</v>
      </c>
      <c r="J6932" s="4" t="n">
        <f aca="false">LEN(E6932)-LEN(SUBSTITUTE(E6932,",",""))+1</f>
        <v>6</v>
      </c>
      <c r="K6932" s="3" t="str">
        <f aca="false">IFERROR(INDEX('Teacher Lookup'!$B$2:$B$200,MATCH(A6932,'Teacher Lookup'!$A$2:$A$200,0)),"")</f>
        <v>HO Matthew</v>
      </c>
    </row>
    <row r="6933" customFormat="false" ht="15" hidden="false" customHeight="false" outlineLevel="0" collapsed="false">
      <c r="A6933" s="3" t="s">
        <v>478</v>
      </c>
      <c r="B6933" s="4" t="s">
        <v>63</v>
      </c>
      <c r="C6933" s="4" t="n">
        <v>4</v>
      </c>
      <c r="D6933" s="4" t="s">
        <v>73</v>
      </c>
      <c r="E6933" s="3" t="s">
        <v>213</v>
      </c>
      <c r="F6933" s="4" t="str">
        <f aca="false">IF(I6933&gt;J6933,"Y","N")</f>
        <v>Y</v>
      </c>
      <c r="G6933" s="3" t="s">
        <v>214</v>
      </c>
      <c r="H6933" s="3" t="s">
        <v>34</v>
      </c>
      <c r="I6933" s="4" t="n">
        <v>20</v>
      </c>
      <c r="J6933" s="4" t="n">
        <f aca="false">LEN(E6933)-LEN(SUBSTITUTE(E6933,",",""))+1</f>
        <v>6</v>
      </c>
      <c r="K6933" s="3" t="str">
        <f aca="false">IFERROR(INDEX('Teacher Lookup'!$B$2:$B$200,MATCH(A6933,'Teacher Lookup'!$A$2:$A$200,0)),"")</f>
        <v>HO Matthew</v>
      </c>
    </row>
    <row r="6934" customFormat="false" ht="15" hidden="false" customHeight="false" outlineLevel="0" collapsed="false">
      <c r="A6934" s="3" t="s">
        <v>478</v>
      </c>
      <c r="B6934" s="4" t="s">
        <v>63</v>
      </c>
      <c r="C6934" s="4" t="n">
        <v>4</v>
      </c>
      <c r="D6934" s="4" t="s">
        <v>74</v>
      </c>
      <c r="E6934" s="3" t="s">
        <v>213</v>
      </c>
      <c r="F6934" s="4" t="str">
        <f aca="false">IF(I6934&gt;J6934,"Y","N")</f>
        <v>Y</v>
      </c>
      <c r="G6934" s="3" t="s">
        <v>214</v>
      </c>
      <c r="H6934" s="3" t="s">
        <v>34</v>
      </c>
      <c r="I6934" s="4" t="n">
        <v>20</v>
      </c>
      <c r="J6934" s="4" t="n">
        <f aca="false">LEN(E6934)-LEN(SUBSTITUTE(E6934,",",""))+1</f>
        <v>6</v>
      </c>
      <c r="K6934" s="3" t="str">
        <f aca="false">IFERROR(INDEX('Teacher Lookup'!$B$2:$B$200,MATCH(A6934,'Teacher Lookup'!$A$2:$A$200,0)),"")</f>
        <v>HO Matthew</v>
      </c>
    </row>
    <row r="6935" customFormat="false" ht="15" hidden="false" customHeight="false" outlineLevel="0" collapsed="false">
      <c r="A6935" s="3" t="s">
        <v>478</v>
      </c>
      <c r="B6935" s="4" t="s">
        <v>63</v>
      </c>
      <c r="C6935" s="4" t="n">
        <v>4</v>
      </c>
      <c r="D6935" s="4" t="s">
        <v>76</v>
      </c>
      <c r="E6935" s="3" t="s">
        <v>213</v>
      </c>
      <c r="F6935" s="4" t="str">
        <f aca="false">IF(I6935&gt;J6935,"Y","N")</f>
        <v>Y</v>
      </c>
      <c r="G6935" s="3" t="s">
        <v>214</v>
      </c>
      <c r="H6935" s="3" t="s">
        <v>34</v>
      </c>
      <c r="I6935" s="4" t="n">
        <v>20</v>
      </c>
      <c r="J6935" s="4" t="n">
        <f aca="false">LEN(E6935)-LEN(SUBSTITUTE(E6935,",",""))+1</f>
        <v>6</v>
      </c>
      <c r="K6935" s="3" t="str">
        <f aca="false">IFERROR(INDEX('Teacher Lookup'!$B$2:$B$200,MATCH(A6935,'Teacher Lookup'!$A$2:$A$200,0)),"")</f>
        <v>HO Matthew</v>
      </c>
    </row>
    <row r="6936" customFormat="false" ht="15" hidden="false" customHeight="false" outlineLevel="0" collapsed="false">
      <c r="A6936" s="3" t="s">
        <v>478</v>
      </c>
      <c r="B6936" s="4" t="s">
        <v>63</v>
      </c>
      <c r="C6936" s="4" t="n">
        <v>4</v>
      </c>
      <c r="D6936" s="4" t="s">
        <v>78</v>
      </c>
      <c r="E6936" s="3" t="s">
        <v>213</v>
      </c>
      <c r="F6936" s="4" t="str">
        <f aca="false">IF(I6936&gt;J6936,"Y","N")</f>
        <v>Y</v>
      </c>
      <c r="G6936" s="3" t="s">
        <v>214</v>
      </c>
      <c r="H6936" s="3" t="s">
        <v>34</v>
      </c>
      <c r="I6936" s="4" t="n">
        <v>20</v>
      </c>
      <c r="J6936" s="4" t="n">
        <f aca="false">LEN(E6936)-LEN(SUBSTITUTE(E6936,",",""))+1</f>
        <v>6</v>
      </c>
      <c r="K6936" s="3" t="str">
        <f aca="false">IFERROR(INDEX('Teacher Lookup'!$B$2:$B$200,MATCH(A6936,'Teacher Lookup'!$A$2:$A$200,0)),"")</f>
        <v>HO Matthew</v>
      </c>
    </row>
    <row r="6937" customFormat="false" ht="15" hidden="false" customHeight="false" outlineLevel="0" collapsed="false">
      <c r="A6937" s="3" t="s">
        <v>478</v>
      </c>
      <c r="B6937" s="4" t="s">
        <v>63</v>
      </c>
      <c r="C6937" s="4" t="n">
        <v>4</v>
      </c>
      <c r="D6937" s="4" t="s">
        <v>79</v>
      </c>
      <c r="E6937" s="3" t="s">
        <v>213</v>
      </c>
      <c r="F6937" s="4" t="str">
        <f aca="false">IF(I6937&gt;J6937,"Y","N")</f>
        <v>Y</v>
      </c>
      <c r="G6937" s="3" t="s">
        <v>214</v>
      </c>
      <c r="H6937" s="3" t="s">
        <v>34</v>
      </c>
      <c r="I6937" s="4" t="n">
        <v>20</v>
      </c>
      <c r="J6937" s="4" t="n">
        <f aca="false">LEN(E6937)-LEN(SUBSTITUTE(E6937,",",""))+1</f>
        <v>6</v>
      </c>
      <c r="K6937" s="3" t="str">
        <f aca="false">IFERROR(INDEX('Teacher Lookup'!$B$2:$B$200,MATCH(A6937,'Teacher Lookup'!$A$2:$A$200,0)),"")</f>
        <v>HO Matthew</v>
      </c>
    </row>
    <row r="6938" customFormat="false" ht="15" hidden="false" customHeight="false" outlineLevel="0" collapsed="false">
      <c r="A6938" s="3" t="s">
        <v>478</v>
      </c>
      <c r="B6938" s="4" t="s">
        <v>63</v>
      </c>
      <c r="C6938" s="4" t="n">
        <v>5</v>
      </c>
      <c r="D6938" s="4" t="s">
        <v>70</v>
      </c>
      <c r="E6938" s="3" t="s">
        <v>213</v>
      </c>
      <c r="F6938" s="4" t="str">
        <f aca="false">IF(I6938&gt;J6938,"Y","N")</f>
        <v>Y</v>
      </c>
      <c r="G6938" s="3" t="s">
        <v>214</v>
      </c>
      <c r="H6938" s="3" t="s">
        <v>37</v>
      </c>
      <c r="I6938" s="4" t="n">
        <v>20</v>
      </c>
      <c r="J6938" s="4" t="n">
        <f aca="false">LEN(E6938)-LEN(SUBSTITUTE(E6938,",",""))+1</f>
        <v>6</v>
      </c>
      <c r="K6938" s="3" t="str">
        <f aca="false">IFERROR(INDEX('Teacher Lookup'!$B$2:$B$200,MATCH(A6938,'Teacher Lookup'!$A$2:$A$200,0)),"")</f>
        <v>HO Matthew</v>
      </c>
    </row>
    <row r="6939" customFormat="false" ht="15" hidden="false" customHeight="false" outlineLevel="0" collapsed="false">
      <c r="A6939" s="3" t="s">
        <v>478</v>
      </c>
      <c r="B6939" s="4" t="s">
        <v>63</v>
      </c>
      <c r="C6939" s="4" t="n">
        <v>5</v>
      </c>
      <c r="D6939" s="4" t="s">
        <v>73</v>
      </c>
      <c r="E6939" s="3" t="s">
        <v>213</v>
      </c>
      <c r="F6939" s="4" t="str">
        <f aca="false">IF(I6939&gt;J6939,"Y","N")</f>
        <v>Y</v>
      </c>
      <c r="G6939" s="3" t="s">
        <v>214</v>
      </c>
      <c r="H6939" s="3" t="s">
        <v>37</v>
      </c>
      <c r="I6939" s="4" t="n">
        <v>20</v>
      </c>
      <c r="J6939" s="4" t="n">
        <f aca="false">LEN(E6939)-LEN(SUBSTITUTE(E6939,",",""))+1</f>
        <v>6</v>
      </c>
      <c r="K6939" s="3" t="str">
        <f aca="false">IFERROR(INDEX('Teacher Lookup'!$B$2:$B$200,MATCH(A6939,'Teacher Lookup'!$A$2:$A$200,0)),"")</f>
        <v>HO Matthew</v>
      </c>
    </row>
    <row r="6940" customFormat="false" ht="15" hidden="false" customHeight="false" outlineLevel="0" collapsed="false">
      <c r="A6940" s="3" t="s">
        <v>478</v>
      </c>
      <c r="B6940" s="4" t="s">
        <v>63</v>
      </c>
      <c r="C6940" s="4" t="n">
        <v>5</v>
      </c>
      <c r="D6940" s="4" t="s">
        <v>74</v>
      </c>
      <c r="E6940" s="3" t="s">
        <v>213</v>
      </c>
      <c r="F6940" s="4" t="str">
        <f aca="false">IF(I6940&gt;J6940,"Y","N")</f>
        <v>Y</v>
      </c>
      <c r="G6940" s="3" t="s">
        <v>214</v>
      </c>
      <c r="H6940" s="3" t="s">
        <v>37</v>
      </c>
      <c r="I6940" s="4" t="n">
        <v>20</v>
      </c>
      <c r="J6940" s="4" t="n">
        <f aca="false">LEN(E6940)-LEN(SUBSTITUTE(E6940,",",""))+1</f>
        <v>6</v>
      </c>
      <c r="K6940" s="3" t="str">
        <f aca="false">IFERROR(INDEX('Teacher Lookup'!$B$2:$B$200,MATCH(A6940,'Teacher Lookup'!$A$2:$A$200,0)),"")</f>
        <v>HO Matthew</v>
      </c>
    </row>
    <row r="6941" customFormat="false" ht="15" hidden="false" customHeight="false" outlineLevel="0" collapsed="false">
      <c r="A6941" s="3" t="s">
        <v>478</v>
      </c>
      <c r="B6941" s="4" t="s">
        <v>63</v>
      </c>
      <c r="C6941" s="4" t="n">
        <v>5</v>
      </c>
      <c r="D6941" s="4" t="s">
        <v>76</v>
      </c>
      <c r="E6941" s="3" t="s">
        <v>213</v>
      </c>
      <c r="F6941" s="4" t="str">
        <f aca="false">IF(I6941&gt;J6941,"Y","N")</f>
        <v>Y</v>
      </c>
      <c r="G6941" s="3" t="s">
        <v>214</v>
      </c>
      <c r="H6941" s="3" t="s">
        <v>37</v>
      </c>
      <c r="I6941" s="4" t="n">
        <v>20</v>
      </c>
      <c r="J6941" s="4" t="n">
        <f aca="false">LEN(E6941)-LEN(SUBSTITUTE(E6941,",",""))+1</f>
        <v>6</v>
      </c>
      <c r="K6941" s="3" t="str">
        <f aca="false">IFERROR(INDEX('Teacher Lookup'!$B$2:$B$200,MATCH(A6941,'Teacher Lookup'!$A$2:$A$200,0)),"")</f>
        <v>HO Matthew</v>
      </c>
    </row>
    <row r="6942" customFormat="false" ht="15" hidden="false" customHeight="false" outlineLevel="0" collapsed="false">
      <c r="A6942" s="3" t="s">
        <v>478</v>
      </c>
      <c r="B6942" s="4" t="s">
        <v>63</v>
      </c>
      <c r="C6942" s="4" t="n">
        <v>5</v>
      </c>
      <c r="D6942" s="4" t="s">
        <v>78</v>
      </c>
      <c r="E6942" s="3" t="s">
        <v>213</v>
      </c>
      <c r="F6942" s="4" t="str">
        <f aca="false">IF(I6942&gt;J6942,"Y","N")</f>
        <v>Y</v>
      </c>
      <c r="G6942" s="3" t="s">
        <v>214</v>
      </c>
      <c r="H6942" s="3" t="s">
        <v>37</v>
      </c>
      <c r="I6942" s="4" t="n">
        <v>20</v>
      </c>
      <c r="J6942" s="4" t="n">
        <f aca="false">LEN(E6942)-LEN(SUBSTITUTE(E6942,",",""))+1</f>
        <v>6</v>
      </c>
      <c r="K6942" s="3" t="str">
        <f aca="false">IFERROR(INDEX('Teacher Lookup'!$B$2:$B$200,MATCH(A6942,'Teacher Lookup'!$A$2:$A$200,0)),"")</f>
        <v>HO Matthew</v>
      </c>
    </row>
    <row r="6943" customFormat="false" ht="15" hidden="false" customHeight="false" outlineLevel="0" collapsed="false">
      <c r="A6943" s="3" t="s">
        <v>478</v>
      </c>
      <c r="B6943" s="4" t="s">
        <v>63</v>
      </c>
      <c r="C6943" s="4" t="n">
        <v>5</v>
      </c>
      <c r="D6943" s="4" t="s">
        <v>79</v>
      </c>
      <c r="E6943" s="3" t="s">
        <v>213</v>
      </c>
      <c r="F6943" s="4" t="str">
        <f aca="false">IF(I6943&gt;J6943,"Y","N")</f>
        <v>Y</v>
      </c>
      <c r="G6943" s="3" t="s">
        <v>214</v>
      </c>
      <c r="H6943" s="3" t="s">
        <v>37</v>
      </c>
      <c r="I6943" s="4" t="n">
        <v>20</v>
      </c>
      <c r="J6943" s="4" t="n">
        <f aca="false">LEN(E6943)-LEN(SUBSTITUTE(E6943,",",""))+1</f>
        <v>6</v>
      </c>
      <c r="K6943" s="3" t="str">
        <f aca="false">IFERROR(INDEX('Teacher Lookup'!$B$2:$B$200,MATCH(A6943,'Teacher Lookup'!$A$2:$A$200,0)),"")</f>
        <v>HO Matthew</v>
      </c>
    </row>
    <row r="6944" customFormat="false" ht="15" hidden="false" customHeight="false" outlineLevel="0" collapsed="false">
      <c r="A6944" s="3" t="s">
        <v>478</v>
      </c>
      <c r="B6944" s="4" t="s">
        <v>65</v>
      </c>
      <c r="C6944" s="4" t="n">
        <v>2</v>
      </c>
      <c r="D6944" s="4" t="s">
        <v>140</v>
      </c>
      <c r="E6944" s="3" t="s">
        <v>298</v>
      </c>
      <c r="F6944" s="4" t="str">
        <f aca="false">IF(I6944&gt;J6944,"Y","N")</f>
        <v>N</v>
      </c>
      <c r="G6944" s="3" t="s">
        <v>299</v>
      </c>
      <c r="H6944" s="3" t="s">
        <v>21</v>
      </c>
      <c r="I6944" s="4" t="n">
        <v>2</v>
      </c>
      <c r="J6944" s="4" t="n">
        <f aca="false">LEN(E6944)-LEN(SUBSTITUTE(E6944,",",""))+1</f>
        <v>2</v>
      </c>
      <c r="K6944" s="3" t="str">
        <f aca="false">IFERROR(INDEX('Teacher Lookup'!$B$2:$B$200,MATCH(A6944,'Teacher Lookup'!$A$2:$A$200,0)),"")</f>
        <v>HO Matthew</v>
      </c>
    </row>
    <row r="6945" customFormat="false" ht="15" hidden="false" customHeight="false" outlineLevel="0" collapsed="false">
      <c r="A6945" s="3" t="s">
        <v>478</v>
      </c>
      <c r="B6945" s="4" t="s">
        <v>65</v>
      </c>
      <c r="C6945" s="4" t="n">
        <v>4</v>
      </c>
      <c r="D6945" s="4" t="s">
        <v>137</v>
      </c>
      <c r="E6945" s="3" t="s">
        <v>297</v>
      </c>
      <c r="F6945" s="4" t="str">
        <f aca="false">IF(I6945&gt;J6945,"Y","N")</f>
        <v>Y</v>
      </c>
      <c r="G6945" s="3" t="s">
        <v>296</v>
      </c>
      <c r="H6945" s="3" t="s">
        <v>34</v>
      </c>
      <c r="I6945" s="4" t="n">
        <v>2</v>
      </c>
      <c r="J6945" s="4" t="n">
        <f aca="false">LEN(E6945)-LEN(SUBSTITUTE(E6945,",",""))+1</f>
        <v>1</v>
      </c>
      <c r="K6945" s="3" t="str">
        <f aca="false">IFERROR(INDEX('Teacher Lookup'!$B$2:$B$200,MATCH(A6945,'Teacher Lookup'!$A$2:$A$200,0)),"")</f>
        <v>HO Matthew</v>
      </c>
    </row>
    <row r="6946" customFormat="false" ht="15" hidden="false" customHeight="false" outlineLevel="0" collapsed="false">
      <c r="A6946" s="3" t="s">
        <v>478</v>
      </c>
      <c r="B6946" s="4" t="s">
        <v>65</v>
      </c>
      <c r="C6946" s="4" t="n">
        <v>5</v>
      </c>
      <c r="D6946" s="4" t="s">
        <v>137</v>
      </c>
      <c r="E6946" s="3" t="s">
        <v>185</v>
      </c>
      <c r="F6946" s="4" t="str">
        <f aca="false">IF(I6946&gt;J6946,"Y","N")</f>
        <v>Y</v>
      </c>
      <c r="G6946" s="3" t="s">
        <v>36</v>
      </c>
      <c r="H6946" s="3" t="s">
        <v>37</v>
      </c>
      <c r="I6946" s="4" t="n">
        <v>21</v>
      </c>
      <c r="J6946" s="4" t="n">
        <f aca="false">LEN(E6946)-LEN(SUBSTITUTE(E6946,",",""))+1</f>
        <v>7</v>
      </c>
      <c r="K6946" s="3" t="str">
        <f aca="false">IFERROR(INDEX('Teacher Lookup'!$B$2:$B$200,MATCH(A6946,'Teacher Lookup'!$A$2:$A$200,0)),"")</f>
        <v>HO Matthew</v>
      </c>
    </row>
    <row r="6947" customFormat="false" ht="15" hidden="false" customHeight="false" outlineLevel="0" collapsed="false">
      <c r="A6947" s="3" t="s">
        <v>478</v>
      </c>
      <c r="B6947" s="4" t="s">
        <v>65</v>
      </c>
      <c r="C6947" s="4" t="n">
        <v>5</v>
      </c>
      <c r="D6947" s="4" t="s">
        <v>124</v>
      </c>
      <c r="E6947" s="3" t="s">
        <v>185</v>
      </c>
      <c r="F6947" s="4" t="str">
        <f aca="false">IF(I6947&gt;J6947,"Y","N")</f>
        <v>Y</v>
      </c>
      <c r="G6947" s="3" t="s">
        <v>36</v>
      </c>
      <c r="H6947" s="3" t="s">
        <v>37</v>
      </c>
      <c r="I6947" s="4" t="n">
        <v>21</v>
      </c>
      <c r="J6947" s="4" t="n">
        <f aca="false">LEN(E6947)-LEN(SUBSTITUTE(E6947,",",""))+1</f>
        <v>7</v>
      </c>
      <c r="K6947" s="3" t="str">
        <f aca="false">IFERROR(INDEX('Teacher Lookup'!$B$2:$B$200,MATCH(A6947,'Teacher Lookup'!$A$2:$A$200,0)),"")</f>
        <v>HO Matthew</v>
      </c>
    </row>
    <row r="6948" customFormat="false" ht="15" hidden="false" customHeight="false" outlineLevel="0" collapsed="false">
      <c r="A6948" s="3" t="s">
        <v>478</v>
      </c>
      <c r="B6948" s="4" t="s">
        <v>65</v>
      </c>
      <c r="C6948" s="4" t="n">
        <v>5</v>
      </c>
      <c r="D6948" s="4" t="s">
        <v>139</v>
      </c>
      <c r="E6948" s="3" t="s">
        <v>185</v>
      </c>
      <c r="F6948" s="4" t="str">
        <f aca="false">IF(I6948&gt;J6948,"Y","N")</f>
        <v>Y</v>
      </c>
      <c r="G6948" s="3" t="s">
        <v>36</v>
      </c>
      <c r="H6948" s="3" t="s">
        <v>37</v>
      </c>
      <c r="I6948" s="4" t="n">
        <v>21</v>
      </c>
      <c r="J6948" s="4" t="n">
        <f aca="false">LEN(E6948)-LEN(SUBSTITUTE(E6948,",",""))+1</f>
        <v>7</v>
      </c>
      <c r="K6948" s="3" t="str">
        <f aca="false">IFERROR(INDEX('Teacher Lookup'!$B$2:$B$200,MATCH(A6948,'Teacher Lookup'!$A$2:$A$200,0)),"")</f>
        <v>HO Matthew</v>
      </c>
    </row>
    <row r="6949" customFormat="false" ht="15" hidden="false" customHeight="false" outlineLevel="0" collapsed="false">
      <c r="A6949" s="3" t="s">
        <v>478</v>
      </c>
      <c r="B6949" s="4" t="s">
        <v>65</v>
      </c>
      <c r="C6949" s="4" t="n">
        <v>5</v>
      </c>
      <c r="D6949" s="4" t="s">
        <v>140</v>
      </c>
      <c r="E6949" s="3" t="s">
        <v>185</v>
      </c>
      <c r="F6949" s="4" t="str">
        <f aca="false">IF(I6949&gt;J6949,"Y","N")</f>
        <v>Y</v>
      </c>
      <c r="G6949" s="3" t="s">
        <v>36</v>
      </c>
      <c r="H6949" s="3" t="s">
        <v>37</v>
      </c>
      <c r="I6949" s="4" t="n">
        <v>21</v>
      </c>
      <c r="J6949" s="4" t="n">
        <f aca="false">LEN(E6949)-LEN(SUBSTITUTE(E6949,",",""))+1</f>
        <v>7</v>
      </c>
      <c r="K6949" s="3" t="str">
        <f aca="false">IFERROR(INDEX('Teacher Lookup'!$B$2:$B$200,MATCH(A6949,'Teacher Lookup'!$A$2:$A$200,0)),"")</f>
        <v>HO Matthew</v>
      </c>
    </row>
    <row r="6950" customFormat="false" ht="15" hidden="false" customHeight="false" outlineLevel="0" collapsed="false">
      <c r="A6950" s="3" t="s">
        <v>478</v>
      </c>
      <c r="B6950" s="4" t="s">
        <v>65</v>
      </c>
      <c r="C6950" s="4" t="n">
        <v>5</v>
      </c>
      <c r="D6950" s="4" t="s">
        <v>142</v>
      </c>
      <c r="E6950" s="3" t="s">
        <v>185</v>
      </c>
      <c r="F6950" s="4" t="str">
        <f aca="false">IF(I6950&gt;J6950,"Y","N")</f>
        <v>Y</v>
      </c>
      <c r="G6950" s="3" t="s">
        <v>36</v>
      </c>
      <c r="H6950" s="3" t="s">
        <v>37</v>
      </c>
      <c r="I6950" s="4" t="n">
        <v>21</v>
      </c>
      <c r="J6950" s="4" t="n">
        <f aca="false">LEN(E6950)-LEN(SUBSTITUTE(E6950,",",""))+1</f>
        <v>7</v>
      </c>
      <c r="K6950" s="3" t="str">
        <f aca="false">IFERROR(INDEX('Teacher Lookup'!$B$2:$B$200,MATCH(A6950,'Teacher Lookup'!$A$2:$A$200,0)),"")</f>
        <v>HO Matthew</v>
      </c>
    </row>
    <row r="6951" customFormat="false" ht="15" hidden="false" customHeight="false" outlineLevel="0" collapsed="false">
      <c r="A6951" s="3" t="s">
        <v>478</v>
      </c>
      <c r="B6951" s="4" t="s">
        <v>65</v>
      </c>
      <c r="C6951" s="4" t="n">
        <v>5</v>
      </c>
      <c r="D6951" s="4" t="s">
        <v>127</v>
      </c>
      <c r="E6951" s="3" t="s">
        <v>185</v>
      </c>
      <c r="F6951" s="4" t="str">
        <f aca="false">IF(I6951&gt;J6951,"Y","N")</f>
        <v>Y</v>
      </c>
      <c r="G6951" s="3" t="s">
        <v>36</v>
      </c>
      <c r="H6951" s="3" t="s">
        <v>37</v>
      </c>
      <c r="I6951" s="4" t="n">
        <v>21</v>
      </c>
      <c r="J6951" s="4" t="n">
        <f aca="false">LEN(E6951)-LEN(SUBSTITUTE(E6951,",",""))+1</f>
        <v>7</v>
      </c>
      <c r="K6951" s="3" t="str">
        <f aca="false">IFERROR(INDEX('Teacher Lookup'!$B$2:$B$200,MATCH(A6951,'Teacher Lookup'!$A$2:$A$200,0)),"")</f>
        <v>HO Matthew</v>
      </c>
    </row>
    <row r="6952" customFormat="false" ht="15" hidden="false" customHeight="false" outlineLevel="0" collapsed="false">
      <c r="A6952" s="3" t="s">
        <v>478</v>
      </c>
      <c r="B6952" s="4" t="s">
        <v>65</v>
      </c>
      <c r="C6952" s="4" t="n">
        <v>7</v>
      </c>
      <c r="D6952" s="4" t="s">
        <v>139</v>
      </c>
      <c r="E6952" s="3" t="s">
        <v>298</v>
      </c>
      <c r="F6952" s="4" t="str">
        <f aca="false">IF(I6952&gt;J6952,"Y","N")</f>
        <v>N</v>
      </c>
      <c r="G6952" s="3" t="s">
        <v>299</v>
      </c>
      <c r="H6952" s="3" t="s">
        <v>39</v>
      </c>
      <c r="I6952" s="4" t="n">
        <v>2</v>
      </c>
      <c r="J6952" s="4" t="n">
        <f aca="false">LEN(E6952)-LEN(SUBSTITUTE(E6952,",",""))+1</f>
        <v>2</v>
      </c>
      <c r="K6952" s="3" t="str">
        <f aca="false">IFERROR(INDEX('Teacher Lookup'!$B$2:$B$200,MATCH(A6952,'Teacher Lookup'!$A$2:$A$200,0)),"")</f>
        <v>HO Matthew</v>
      </c>
    </row>
    <row r="6953" customFormat="false" ht="15" hidden="false" customHeight="false" outlineLevel="0" collapsed="false">
      <c r="A6953" s="3" t="s">
        <v>478</v>
      </c>
      <c r="B6953" s="4" t="s">
        <v>66</v>
      </c>
      <c r="C6953" s="4" t="n">
        <v>1</v>
      </c>
      <c r="D6953" s="4" t="s">
        <v>74</v>
      </c>
      <c r="E6953" s="3" t="s">
        <v>297</v>
      </c>
      <c r="F6953" s="4" t="str">
        <f aca="false">IF(I6953&gt;J6953,"Y","N")</f>
        <v>Y</v>
      </c>
      <c r="G6953" s="3" t="s">
        <v>296</v>
      </c>
      <c r="H6953" s="3" t="s">
        <v>16</v>
      </c>
      <c r="I6953" s="4" t="n">
        <v>2</v>
      </c>
      <c r="J6953" s="4" t="n">
        <f aca="false">LEN(E6953)-LEN(SUBSTITUTE(E6953,",",""))+1</f>
        <v>1</v>
      </c>
      <c r="K6953" s="3" t="str">
        <f aca="false">IFERROR(INDEX('Teacher Lookup'!$B$2:$B$200,MATCH(A6953,'Teacher Lookup'!$A$2:$A$200,0)),"")</f>
        <v>HO Matthew</v>
      </c>
    </row>
    <row r="6954" customFormat="false" ht="15" hidden="false" customHeight="false" outlineLevel="0" collapsed="false">
      <c r="A6954" s="3" t="s">
        <v>478</v>
      </c>
      <c r="B6954" s="4" t="s">
        <v>66</v>
      </c>
      <c r="C6954" s="4" t="n">
        <v>7</v>
      </c>
      <c r="D6954" s="4" t="s">
        <v>142</v>
      </c>
      <c r="E6954" s="3" t="s">
        <v>297</v>
      </c>
      <c r="F6954" s="4" t="str">
        <f aca="false">IF(I6954&gt;J6954,"Y","N")</f>
        <v>Y</v>
      </c>
      <c r="G6954" s="3" t="s">
        <v>296</v>
      </c>
      <c r="H6954" s="3" t="s">
        <v>39</v>
      </c>
      <c r="I6954" s="4" t="n">
        <v>2</v>
      </c>
      <c r="J6954" s="4" t="n">
        <f aca="false">LEN(E6954)-LEN(SUBSTITUTE(E6954,",",""))+1</f>
        <v>1</v>
      </c>
      <c r="K6954" s="3" t="str">
        <f aca="false">IFERROR(INDEX('Teacher Lookup'!$B$2:$B$200,MATCH(A6954,'Teacher Lookup'!$A$2:$A$200,0)),"")</f>
        <v>HO Matthew</v>
      </c>
    </row>
    <row r="6955" customFormat="false" ht="15" hidden="false" customHeight="false" outlineLevel="0" collapsed="false">
      <c r="A6955" s="3" t="s">
        <v>479</v>
      </c>
      <c r="B6955" s="4" t="s">
        <v>12</v>
      </c>
      <c r="C6955" s="4" t="n">
        <v>6</v>
      </c>
      <c r="D6955" s="4" t="s">
        <v>74</v>
      </c>
      <c r="E6955" s="3" t="s">
        <v>134</v>
      </c>
      <c r="F6955" s="4" t="str">
        <f aca="false">IF(I6955&gt;J6955,"Y","N")</f>
        <v>N</v>
      </c>
      <c r="G6955" s="3" t="s">
        <v>235</v>
      </c>
      <c r="H6955" s="3" t="s">
        <v>42</v>
      </c>
      <c r="I6955" s="4" t="n">
        <v>1</v>
      </c>
      <c r="J6955" s="4" t="n">
        <f aca="false">LEN(E6955)-LEN(SUBSTITUTE(E6955,",",""))+1</f>
        <v>1</v>
      </c>
      <c r="K6955" s="3" t="str">
        <f aca="false">IFERROR(INDEX('Teacher Lookup'!$B$2:$B$200,MATCH(A6955,'Teacher Lookup'!$A$2:$A$200,0)),"")</f>
        <v>LAM Matthew</v>
      </c>
    </row>
    <row r="6956" customFormat="false" ht="15" hidden="false" customHeight="false" outlineLevel="0" collapsed="false">
      <c r="A6956" s="3" t="s">
        <v>479</v>
      </c>
      <c r="B6956" s="4" t="s">
        <v>12</v>
      </c>
      <c r="C6956" s="4" t="n">
        <v>7</v>
      </c>
      <c r="D6956" s="4" t="s">
        <v>102</v>
      </c>
      <c r="E6956" s="3" t="s">
        <v>465</v>
      </c>
      <c r="F6956" s="4" t="str">
        <f aca="false">IF(I6956&gt;J6956,"Y","N")</f>
        <v>N</v>
      </c>
      <c r="G6956" s="3" t="s">
        <v>466</v>
      </c>
      <c r="H6956" s="3" t="s">
        <v>39</v>
      </c>
      <c r="I6956" s="4" t="n">
        <v>4</v>
      </c>
      <c r="J6956" s="4" t="n">
        <f aca="false">LEN(E6956)-LEN(SUBSTITUTE(E6956,",",""))+1</f>
        <v>4</v>
      </c>
      <c r="K6956" s="3" t="str">
        <f aca="false">IFERROR(INDEX('Teacher Lookup'!$B$2:$B$200,MATCH(A6956,'Teacher Lookup'!$A$2:$A$200,0)),"")</f>
        <v>LAM Matthew</v>
      </c>
    </row>
    <row r="6957" customFormat="false" ht="15" hidden="false" customHeight="false" outlineLevel="0" collapsed="false">
      <c r="A6957" s="3" t="s">
        <v>479</v>
      </c>
      <c r="B6957" s="4" t="s">
        <v>12</v>
      </c>
      <c r="C6957" s="4" t="n">
        <v>7</v>
      </c>
      <c r="D6957" s="4" t="s">
        <v>107</v>
      </c>
      <c r="E6957" s="3" t="s">
        <v>465</v>
      </c>
      <c r="F6957" s="4" t="str">
        <f aca="false">IF(I6957&gt;J6957,"Y","N")</f>
        <v>N</v>
      </c>
      <c r="G6957" s="3" t="s">
        <v>466</v>
      </c>
      <c r="H6957" s="3" t="s">
        <v>39</v>
      </c>
      <c r="I6957" s="4" t="n">
        <v>4</v>
      </c>
      <c r="J6957" s="4" t="n">
        <f aca="false">LEN(E6957)-LEN(SUBSTITUTE(E6957,",",""))+1</f>
        <v>4</v>
      </c>
      <c r="K6957" s="3" t="str">
        <f aca="false">IFERROR(INDEX('Teacher Lookup'!$B$2:$B$200,MATCH(A6957,'Teacher Lookup'!$A$2:$A$200,0)),"")</f>
        <v>LAM Matthew</v>
      </c>
    </row>
    <row r="6958" customFormat="false" ht="15" hidden="false" customHeight="false" outlineLevel="0" collapsed="false">
      <c r="A6958" s="3" t="s">
        <v>479</v>
      </c>
      <c r="B6958" s="4" t="s">
        <v>31</v>
      </c>
      <c r="C6958" s="4" t="n">
        <v>1</v>
      </c>
      <c r="D6958" s="4" t="s">
        <v>52</v>
      </c>
      <c r="E6958" s="3" t="s">
        <v>246</v>
      </c>
      <c r="F6958" s="4" t="str">
        <f aca="false">IF(I6958&gt;J6958,"Y","N")</f>
        <v>N</v>
      </c>
      <c r="G6958" s="3" t="s">
        <v>235</v>
      </c>
      <c r="H6958" s="3" t="s">
        <v>16</v>
      </c>
      <c r="I6958" s="4" t="n">
        <v>1</v>
      </c>
      <c r="J6958" s="4" t="n">
        <f aca="false">LEN(E6958)-LEN(SUBSTITUTE(E6958,",",""))+1</f>
        <v>1</v>
      </c>
      <c r="K6958" s="3" t="str">
        <f aca="false">IFERROR(INDEX('Teacher Lookup'!$B$2:$B$200,MATCH(A6958,'Teacher Lookup'!$A$2:$A$200,0)),"")</f>
        <v>LAM Matthew</v>
      </c>
    </row>
    <row r="6959" customFormat="false" ht="15" hidden="false" customHeight="false" outlineLevel="0" collapsed="false">
      <c r="A6959" s="3" t="s">
        <v>479</v>
      </c>
      <c r="B6959" s="4" t="s">
        <v>31</v>
      </c>
      <c r="C6959" s="4" t="n">
        <v>2</v>
      </c>
      <c r="D6959" s="4" t="s">
        <v>24</v>
      </c>
      <c r="E6959" s="3" t="s">
        <v>377</v>
      </c>
      <c r="F6959" s="4" t="str">
        <f aca="false">IF(I6959&gt;J6959,"Y","N")</f>
        <v>N</v>
      </c>
      <c r="G6959" s="3" t="s">
        <v>378</v>
      </c>
      <c r="H6959" s="3" t="s">
        <v>21</v>
      </c>
      <c r="I6959" s="4" t="n">
        <v>8</v>
      </c>
      <c r="J6959" s="4" t="n">
        <f aca="false">LEN(E6959)-LEN(SUBSTITUTE(E6959,",",""))+1</f>
        <v>8</v>
      </c>
      <c r="K6959" s="3" t="str">
        <f aca="false">IFERROR(INDEX('Teacher Lookup'!$B$2:$B$200,MATCH(A6959,'Teacher Lookup'!$A$2:$A$200,0)),"")</f>
        <v>LAM Matthew</v>
      </c>
    </row>
    <row r="6960" customFormat="false" ht="15" hidden="false" customHeight="false" outlineLevel="0" collapsed="false">
      <c r="A6960" s="3" t="s">
        <v>479</v>
      </c>
      <c r="B6960" s="4" t="s">
        <v>31</v>
      </c>
      <c r="C6960" s="4" t="n">
        <v>2</v>
      </c>
      <c r="D6960" s="4" t="s">
        <v>27</v>
      </c>
      <c r="E6960" s="3" t="s">
        <v>377</v>
      </c>
      <c r="F6960" s="4" t="str">
        <f aca="false">IF(I6960&gt;J6960,"Y","N")</f>
        <v>N</v>
      </c>
      <c r="G6960" s="3" t="s">
        <v>378</v>
      </c>
      <c r="H6960" s="3" t="s">
        <v>21</v>
      </c>
      <c r="I6960" s="4" t="n">
        <v>8</v>
      </c>
      <c r="J6960" s="4" t="n">
        <f aca="false">LEN(E6960)-LEN(SUBSTITUTE(E6960,",",""))+1</f>
        <v>8</v>
      </c>
      <c r="K6960" s="3" t="str">
        <f aca="false">IFERROR(INDEX('Teacher Lookup'!$B$2:$B$200,MATCH(A6960,'Teacher Lookup'!$A$2:$A$200,0)),"")</f>
        <v>LAM Matthew</v>
      </c>
    </row>
    <row r="6961" customFormat="false" ht="15" hidden="false" customHeight="false" outlineLevel="0" collapsed="false">
      <c r="A6961" s="3" t="s">
        <v>479</v>
      </c>
      <c r="B6961" s="4" t="s">
        <v>31</v>
      </c>
      <c r="C6961" s="4" t="n">
        <v>2</v>
      </c>
      <c r="D6961" s="4" t="s">
        <v>28</v>
      </c>
      <c r="E6961" s="3" t="s">
        <v>377</v>
      </c>
      <c r="F6961" s="4" t="str">
        <f aca="false">IF(I6961&gt;J6961,"Y","N")</f>
        <v>N</v>
      </c>
      <c r="G6961" s="3" t="s">
        <v>378</v>
      </c>
      <c r="H6961" s="3" t="s">
        <v>21</v>
      </c>
      <c r="I6961" s="4" t="n">
        <v>8</v>
      </c>
      <c r="J6961" s="4" t="n">
        <f aca="false">LEN(E6961)-LEN(SUBSTITUTE(E6961,",",""))+1</f>
        <v>8</v>
      </c>
      <c r="K6961" s="3" t="str">
        <f aca="false">IFERROR(INDEX('Teacher Lookup'!$B$2:$B$200,MATCH(A6961,'Teacher Lookup'!$A$2:$A$200,0)),"")</f>
        <v>LAM Matthew</v>
      </c>
    </row>
    <row r="6962" customFormat="false" ht="15" hidden="false" customHeight="false" outlineLevel="0" collapsed="false">
      <c r="A6962" s="3" t="s">
        <v>479</v>
      </c>
      <c r="B6962" s="4" t="s">
        <v>31</v>
      </c>
      <c r="C6962" s="4" t="n">
        <v>2</v>
      </c>
      <c r="D6962" s="4" t="s">
        <v>29</v>
      </c>
      <c r="E6962" s="3" t="s">
        <v>377</v>
      </c>
      <c r="F6962" s="4" t="str">
        <f aca="false">IF(I6962&gt;J6962,"Y","N")</f>
        <v>N</v>
      </c>
      <c r="G6962" s="3" t="s">
        <v>378</v>
      </c>
      <c r="H6962" s="3" t="s">
        <v>21</v>
      </c>
      <c r="I6962" s="4" t="n">
        <v>8</v>
      </c>
      <c r="J6962" s="4" t="n">
        <f aca="false">LEN(E6962)-LEN(SUBSTITUTE(E6962,",",""))+1</f>
        <v>8</v>
      </c>
      <c r="K6962" s="3" t="str">
        <f aca="false">IFERROR(INDEX('Teacher Lookup'!$B$2:$B$200,MATCH(A6962,'Teacher Lookup'!$A$2:$A$200,0)),"")</f>
        <v>LAM Matthew</v>
      </c>
    </row>
    <row r="6963" customFormat="false" ht="15" hidden="false" customHeight="false" outlineLevel="0" collapsed="false">
      <c r="A6963" s="3" t="s">
        <v>479</v>
      </c>
      <c r="B6963" s="4" t="s">
        <v>31</v>
      </c>
      <c r="C6963" s="4" t="n">
        <v>2</v>
      </c>
      <c r="D6963" s="4" t="s">
        <v>30</v>
      </c>
      <c r="E6963" s="3" t="s">
        <v>377</v>
      </c>
      <c r="F6963" s="4" t="str">
        <f aca="false">IF(I6963&gt;J6963,"Y","N")</f>
        <v>N</v>
      </c>
      <c r="G6963" s="3" t="s">
        <v>378</v>
      </c>
      <c r="H6963" s="3" t="s">
        <v>21</v>
      </c>
      <c r="I6963" s="4" t="n">
        <v>8</v>
      </c>
      <c r="J6963" s="4" t="n">
        <f aca="false">LEN(E6963)-LEN(SUBSTITUTE(E6963,",",""))+1</f>
        <v>8</v>
      </c>
      <c r="K6963" s="3" t="str">
        <f aca="false">IFERROR(INDEX('Teacher Lookup'!$B$2:$B$200,MATCH(A6963,'Teacher Lookup'!$A$2:$A$200,0)),"")</f>
        <v>LAM Matthew</v>
      </c>
    </row>
    <row r="6964" customFormat="false" ht="15" hidden="false" customHeight="false" outlineLevel="0" collapsed="false">
      <c r="A6964" s="3" t="s">
        <v>479</v>
      </c>
      <c r="B6964" s="4" t="s">
        <v>31</v>
      </c>
      <c r="C6964" s="4" t="n">
        <v>5</v>
      </c>
      <c r="D6964" s="4" t="s">
        <v>228</v>
      </c>
      <c r="E6964" s="3" t="s">
        <v>229</v>
      </c>
      <c r="F6964" s="4" t="str">
        <f aca="false">IF(I6964&gt;J6964,"Y","N")</f>
        <v>Y</v>
      </c>
      <c r="G6964" s="3" t="s">
        <v>36</v>
      </c>
      <c r="H6964" s="3" t="s">
        <v>37</v>
      </c>
      <c r="I6964" s="4" t="n">
        <v>14</v>
      </c>
      <c r="J6964" s="4" t="n">
        <f aca="false">LEN(E6964)-LEN(SUBSTITUTE(E6964,",",""))+1</f>
        <v>6</v>
      </c>
      <c r="K6964" s="3" t="str">
        <f aca="false">IFERROR(INDEX('Teacher Lookup'!$B$2:$B$200,MATCH(A6964,'Teacher Lookup'!$A$2:$A$200,0)),"")</f>
        <v>LAM Matthew</v>
      </c>
    </row>
    <row r="6965" customFormat="false" ht="15" hidden="false" customHeight="false" outlineLevel="0" collapsed="false">
      <c r="A6965" s="3" t="s">
        <v>479</v>
      </c>
      <c r="B6965" s="4" t="s">
        <v>31</v>
      </c>
      <c r="C6965" s="4" t="n">
        <v>5</v>
      </c>
      <c r="D6965" s="4" t="s">
        <v>102</v>
      </c>
      <c r="E6965" s="3" t="s">
        <v>229</v>
      </c>
      <c r="F6965" s="4" t="str">
        <f aca="false">IF(I6965&gt;J6965,"Y","N")</f>
        <v>Y</v>
      </c>
      <c r="G6965" s="3" t="s">
        <v>36</v>
      </c>
      <c r="H6965" s="3" t="s">
        <v>37</v>
      </c>
      <c r="I6965" s="4" t="n">
        <v>14</v>
      </c>
      <c r="J6965" s="4" t="n">
        <f aca="false">LEN(E6965)-LEN(SUBSTITUTE(E6965,",",""))+1</f>
        <v>6</v>
      </c>
      <c r="K6965" s="3" t="str">
        <f aca="false">IFERROR(INDEX('Teacher Lookup'!$B$2:$B$200,MATCH(A6965,'Teacher Lookup'!$A$2:$A$200,0)),"")</f>
        <v>LAM Matthew</v>
      </c>
    </row>
    <row r="6966" customFormat="false" ht="15" hidden="false" customHeight="false" outlineLevel="0" collapsed="false">
      <c r="A6966" s="3" t="s">
        <v>479</v>
      </c>
      <c r="B6966" s="4" t="s">
        <v>31</v>
      </c>
      <c r="C6966" s="4" t="n">
        <v>5</v>
      </c>
      <c r="D6966" s="4" t="s">
        <v>105</v>
      </c>
      <c r="E6966" s="3" t="s">
        <v>229</v>
      </c>
      <c r="F6966" s="4" t="str">
        <f aca="false">IF(I6966&gt;J6966,"Y","N")</f>
        <v>Y</v>
      </c>
      <c r="G6966" s="3" t="s">
        <v>36</v>
      </c>
      <c r="H6966" s="3" t="s">
        <v>37</v>
      </c>
      <c r="I6966" s="4" t="n">
        <v>14</v>
      </c>
      <c r="J6966" s="4" t="n">
        <f aca="false">LEN(E6966)-LEN(SUBSTITUTE(E6966,",",""))+1</f>
        <v>6</v>
      </c>
      <c r="K6966" s="3" t="str">
        <f aca="false">IFERROR(INDEX('Teacher Lookup'!$B$2:$B$200,MATCH(A6966,'Teacher Lookup'!$A$2:$A$200,0)),"")</f>
        <v>LAM Matthew</v>
      </c>
    </row>
    <row r="6967" customFormat="false" ht="15" hidden="false" customHeight="false" outlineLevel="0" collapsed="false">
      <c r="A6967" s="3" t="s">
        <v>479</v>
      </c>
      <c r="B6967" s="4" t="s">
        <v>31</v>
      </c>
      <c r="C6967" s="4" t="n">
        <v>5</v>
      </c>
      <c r="D6967" s="4" t="s">
        <v>106</v>
      </c>
      <c r="E6967" s="3" t="s">
        <v>229</v>
      </c>
      <c r="F6967" s="4" t="str">
        <f aca="false">IF(I6967&gt;J6967,"Y","N")</f>
        <v>Y</v>
      </c>
      <c r="G6967" s="3" t="s">
        <v>36</v>
      </c>
      <c r="H6967" s="3" t="s">
        <v>37</v>
      </c>
      <c r="I6967" s="4" t="n">
        <v>14</v>
      </c>
      <c r="J6967" s="4" t="n">
        <f aca="false">LEN(E6967)-LEN(SUBSTITUTE(E6967,",",""))+1</f>
        <v>6</v>
      </c>
      <c r="K6967" s="3" t="str">
        <f aca="false">IFERROR(INDEX('Teacher Lookup'!$B$2:$B$200,MATCH(A6967,'Teacher Lookup'!$A$2:$A$200,0)),"")</f>
        <v>LAM Matthew</v>
      </c>
    </row>
    <row r="6968" customFormat="false" ht="15" hidden="false" customHeight="false" outlineLevel="0" collapsed="false">
      <c r="A6968" s="3" t="s">
        <v>479</v>
      </c>
      <c r="B6968" s="4" t="s">
        <v>31</v>
      </c>
      <c r="C6968" s="4" t="n">
        <v>5</v>
      </c>
      <c r="D6968" s="4" t="s">
        <v>107</v>
      </c>
      <c r="E6968" s="3" t="s">
        <v>229</v>
      </c>
      <c r="F6968" s="4" t="str">
        <f aca="false">IF(I6968&gt;J6968,"Y","N")</f>
        <v>Y</v>
      </c>
      <c r="G6968" s="3" t="s">
        <v>36</v>
      </c>
      <c r="H6968" s="3" t="s">
        <v>37</v>
      </c>
      <c r="I6968" s="4" t="n">
        <v>14</v>
      </c>
      <c r="J6968" s="4" t="n">
        <f aca="false">LEN(E6968)-LEN(SUBSTITUTE(E6968,",",""))+1</f>
        <v>6</v>
      </c>
      <c r="K6968" s="3" t="str">
        <f aca="false">IFERROR(INDEX('Teacher Lookup'!$B$2:$B$200,MATCH(A6968,'Teacher Lookup'!$A$2:$A$200,0)),"")</f>
        <v>LAM Matthew</v>
      </c>
    </row>
    <row r="6969" customFormat="false" ht="15" hidden="false" customHeight="false" outlineLevel="0" collapsed="false">
      <c r="A6969" s="3" t="s">
        <v>479</v>
      </c>
      <c r="B6969" s="4" t="s">
        <v>31</v>
      </c>
      <c r="C6969" s="4" t="n">
        <v>6</v>
      </c>
      <c r="D6969" s="4" t="s">
        <v>102</v>
      </c>
      <c r="E6969" s="3" t="s">
        <v>467</v>
      </c>
      <c r="F6969" s="4" t="str">
        <f aca="false">IF(I6969&gt;J6969,"Y","N")</f>
        <v>N</v>
      </c>
      <c r="G6969" s="3" t="s">
        <v>466</v>
      </c>
      <c r="H6969" s="3" t="s">
        <v>42</v>
      </c>
      <c r="I6969" s="4" t="n">
        <v>4</v>
      </c>
      <c r="J6969" s="4" t="n">
        <f aca="false">LEN(E6969)-LEN(SUBSTITUTE(E6969,",",""))+1</f>
        <v>4</v>
      </c>
      <c r="K6969" s="3" t="str">
        <f aca="false">IFERROR(INDEX('Teacher Lookup'!$B$2:$B$200,MATCH(A6969,'Teacher Lookup'!$A$2:$A$200,0)),"")</f>
        <v>LAM Matthew</v>
      </c>
    </row>
    <row r="6970" customFormat="false" ht="15" hidden="false" customHeight="false" outlineLevel="0" collapsed="false">
      <c r="A6970" s="3" t="s">
        <v>479</v>
      </c>
      <c r="B6970" s="4" t="s">
        <v>31</v>
      </c>
      <c r="C6970" s="4" t="n">
        <v>6</v>
      </c>
      <c r="D6970" s="4" t="s">
        <v>107</v>
      </c>
      <c r="E6970" s="3" t="s">
        <v>467</v>
      </c>
      <c r="F6970" s="4" t="str">
        <f aca="false">IF(I6970&gt;J6970,"Y","N")</f>
        <v>N</v>
      </c>
      <c r="G6970" s="3" t="s">
        <v>466</v>
      </c>
      <c r="H6970" s="3" t="s">
        <v>42</v>
      </c>
      <c r="I6970" s="4" t="n">
        <v>4</v>
      </c>
      <c r="J6970" s="4" t="n">
        <f aca="false">LEN(E6970)-LEN(SUBSTITUTE(E6970,",",""))+1</f>
        <v>4</v>
      </c>
      <c r="K6970" s="3" t="str">
        <f aca="false">IFERROR(INDEX('Teacher Lookup'!$B$2:$B$200,MATCH(A6970,'Teacher Lookup'!$A$2:$A$200,0)),"")</f>
        <v>LAM Matthew</v>
      </c>
    </row>
    <row r="6971" customFormat="false" ht="15" hidden="false" customHeight="false" outlineLevel="0" collapsed="false">
      <c r="A6971" s="3" t="s">
        <v>479</v>
      </c>
      <c r="B6971" s="4" t="s">
        <v>31</v>
      </c>
      <c r="C6971" s="4" t="n">
        <v>7</v>
      </c>
      <c r="D6971" s="4" t="s">
        <v>102</v>
      </c>
      <c r="E6971" s="3" t="s">
        <v>467</v>
      </c>
      <c r="F6971" s="4" t="str">
        <f aca="false">IF(I6971&gt;J6971,"Y","N")</f>
        <v>N</v>
      </c>
      <c r="G6971" s="3" t="s">
        <v>466</v>
      </c>
      <c r="H6971" s="3" t="s">
        <v>39</v>
      </c>
      <c r="I6971" s="4" t="n">
        <v>4</v>
      </c>
      <c r="J6971" s="4" t="n">
        <f aca="false">LEN(E6971)-LEN(SUBSTITUTE(E6971,",",""))+1</f>
        <v>4</v>
      </c>
      <c r="K6971" s="3" t="str">
        <f aca="false">IFERROR(INDEX('Teacher Lookup'!$B$2:$B$200,MATCH(A6971,'Teacher Lookup'!$A$2:$A$200,0)),"")</f>
        <v>LAM Matthew</v>
      </c>
    </row>
    <row r="6972" customFormat="false" ht="15" hidden="false" customHeight="false" outlineLevel="0" collapsed="false">
      <c r="A6972" s="3" t="s">
        <v>479</v>
      </c>
      <c r="B6972" s="4" t="s">
        <v>31</v>
      </c>
      <c r="C6972" s="4" t="n">
        <v>7</v>
      </c>
      <c r="D6972" s="4" t="s">
        <v>107</v>
      </c>
      <c r="E6972" s="3" t="s">
        <v>467</v>
      </c>
      <c r="F6972" s="4" t="str">
        <f aca="false">IF(I6972&gt;J6972,"Y","N")</f>
        <v>N</v>
      </c>
      <c r="G6972" s="3" t="s">
        <v>466</v>
      </c>
      <c r="H6972" s="3" t="s">
        <v>39</v>
      </c>
      <c r="I6972" s="4" t="n">
        <v>4</v>
      </c>
      <c r="J6972" s="4" t="n">
        <f aca="false">LEN(E6972)-LEN(SUBSTITUTE(E6972,",",""))+1</f>
        <v>4</v>
      </c>
      <c r="K6972" s="3" t="str">
        <f aca="false">IFERROR(INDEX('Teacher Lookup'!$B$2:$B$200,MATCH(A6972,'Teacher Lookup'!$A$2:$A$200,0)),"")</f>
        <v>LAM Matthew</v>
      </c>
    </row>
    <row r="6973" customFormat="false" ht="15" hidden="false" customHeight="false" outlineLevel="0" collapsed="false">
      <c r="A6973" s="3" t="s">
        <v>479</v>
      </c>
      <c r="B6973" s="4" t="s">
        <v>40</v>
      </c>
      <c r="C6973" s="4" t="n">
        <v>2</v>
      </c>
      <c r="D6973" s="4" t="s">
        <v>102</v>
      </c>
      <c r="E6973" s="3" t="s">
        <v>468</v>
      </c>
      <c r="F6973" s="4" t="str">
        <f aca="false">IF(I6973&gt;J6973,"Y","N")</f>
        <v>N</v>
      </c>
      <c r="G6973" s="3" t="s">
        <v>466</v>
      </c>
      <c r="H6973" s="3" t="s">
        <v>21</v>
      </c>
      <c r="I6973" s="4" t="n">
        <v>4</v>
      </c>
      <c r="J6973" s="4" t="n">
        <f aca="false">LEN(E6973)-LEN(SUBSTITUTE(E6973,",",""))+1</f>
        <v>4</v>
      </c>
      <c r="K6973" s="3" t="str">
        <f aca="false">IFERROR(INDEX('Teacher Lookup'!$B$2:$B$200,MATCH(A6973,'Teacher Lookup'!$A$2:$A$200,0)),"")</f>
        <v>LAM Matthew</v>
      </c>
    </row>
    <row r="6974" customFormat="false" ht="15" hidden="false" customHeight="false" outlineLevel="0" collapsed="false">
      <c r="A6974" s="3" t="s">
        <v>479</v>
      </c>
      <c r="B6974" s="4" t="s">
        <v>40</v>
      </c>
      <c r="C6974" s="4" t="n">
        <v>2</v>
      </c>
      <c r="D6974" s="4" t="s">
        <v>107</v>
      </c>
      <c r="E6974" s="3" t="s">
        <v>468</v>
      </c>
      <c r="F6974" s="4" t="str">
        <f aca="false">IF(I6974&gt;J6974,"Y","N")</f>
        <v>N</v>
      </c>
      <c r="G6974" s="3" t="s">
        <v>466</v>
      </c>
      <c r="H6974" s="3" t="s">
        <v>21</v>
      </c>
      <c r="I6974" s="4" t="n">
        <v>4</v>
      </c>
      <c r="J6974" s="4" t="n">
        <f aca="false">LEN(E6974)-LEN(SUBSTITUTE(E6974,",",""))+1</f>
        <v>4</v>
      </c>
      <c r="K6974" s="3" t="str">
        <f aca="false">IFERROR(INDEX('Teacher Lookup'!$B$2:$B$200,MATCH(A6974,'Teacher Lookup'!$A$2:$A$200,0)),"")</f>
        <v>LAM Matthew</v>
      </c>
    </row>
    <row r="6975" customFormat="false" ht="15" hidden="false" customHeight="false" outlineLevel="0" collapsed="false">
      <c r="A6975" s="3" t="s">
        <v>479</v>
      </c>
      <c r="B6975" s="4" t="s">
        <v>40</v>
      </c>
      <c r="C6975" s="4" t="n">
        <v>3</v>
      </c>
      <c r="D6975" s="4" t="s">
        <v>52</v>
      </c>
      <c r="E6975" s="3" t="s">
        <v>246</v>
      </c>
      <c r="F6975" s="4" t="str">
        <f aca="false">IF(I6975&gt;J6975,"Y","N")</f>
        <v>N</v>
      </c>
      <c r="G6975" s="3" t="s">
        <v>235</v>
      </c>
      <c r="H6975" s="3" t="s">
        <v>26</v>
      </c>
      <c r="I6975" s="4" t="n">
        <v>1</v>
      </c>
      <c r="J6975" s="4" t="n">
        <f aca="false">LEN(E6975)-LEN(SUBSTITUTE(E6975,",",""))+1</f>
        <v>1</v>
      </c>
      <c r="K6975" s="3" t="str">
        <f aca="false">IFERROR(INDEX('Teacher Lookup'!$B$2:$B$200,MATCH(A6975,'Teacher Lookup'!$A$2:$A$200,0)),"")</f>
        <v>LAM Matthew</v>
      </c>
    </row>
    <row r="6976" customFormat="false" ht="15" hidden="false" customHeight="false" outlineLevel="0" collapsed="false">
      <c r="A6976" s="3" t="s">
        <v>479</v>
      </c>
      <c r="B6976" s="4" t="s">
        <v>40</v>
      </c>
      <c r="C6976" s="4" t="n">
        <v>4</v>
      </c>
      <c r="D6976" s="4" t="s">
        <v>24</v>
      </c>
      <c r="E6976" s="3" t="s">
        <v>379</v>
      </c>
      <c r="F6976" s="4" t="str">
        <f aca="false">IF(I6976&gt;J6976,"Y","N")</f>
        <v>Y</v>
      </c>
      <c r="G6976" s="3" t="s">
        <v>378</v>
      </c>
      <c r="H6976" s="3" t="s">
        <v>34</v>
      </c>
      <c r="I6976" s="4" t="n">
        <v>9</v>
      </c>
      <c r="J6976" s="4" t="n">
        <f aca="false">LEN(E6976)-LEN(SUBSTITUTE(E6976,",",""))+1</f>
        <v>8</v>
      </c>
      <c r="K6976" s="3" t="str">
        <f aca="false">IFERROR(INDEX('Teacher Lookup'!$B$2:$B$200,MATCH(A6976,'Teacher Lookup'!$A$2:$A$200,0)),"")</f>
        <v>LAM Matthew</v>
      </c>
    </row>
    <row r="6977" customFormat="false" ht="15" hidden="false" customHeight="false" outlineLevel="0" collapsed="false">
      <c r="A6977" s="3" t="s">
        <v>479</v>
      </c>
      <c r="B6977" s="4" t="s">
        <v>40</v>
      </c>
      <c r="C6977" s="4" t="n">
        <v>4</v>
      </c>
      <c r="D6977" s="4" t="s">
        <v>27</v>
      </c>
      <c r="E6977" s="3" t="s">
        <v>379</v>
      </c>
      <c r="F6977" s="4" t="str">
        <f aca="false">IF(I6977&gt;J6977,"Y","N")</f>
        <v>Y</v>
      </c>
      <c r="G6977" s="3" t="s">
        <v>378</v>
      </c>
      <c r="H6977" s="3" t="s">
        <v>34</v>
      </c>
      <c r="I6977" s="4" t="n">
        <v>9</v>
      </c>
      <c r="J6977" s="4" t="n">
        <f aca="false">LEN(E6977)-LEN(SUBSTITUTE(E6977,",",""))+1</f>
        <v>8</v>
      </c>
      <c r="K6977" s="3" t="str">
        <f aca="false">IFERROR(INDEX('Teacher Lookup'!$B$2:$B$200,MATCH(A6977,'Teacher Lookup'!$A$2:$A$200,0)),"")</f>
        <v>LAM Matthew</v>
      </c>
    </row>
    <row r="6978" customFormat="false" ht="15" hidden="false" customHeight="false" outlineLevel="0" collapsed="false">
      <c r="A6978" s="3" t="s">
        <v>479</v>
      </c>
      <c r="B6978" s="4" t="s">
        <v>40</v>
      </c>
      <c r="C6978" s="4" t="n">
        <v>4</v>
      </c>
      <c r="D6978" s="4" t="s">
        <v>28</v>
      </c>
      <c r="E6978" s="3" t="s">
        <v>379</v>
      </c>
      <c r="F6978" s="4" t="str">
        <f aca="false">IF(I6978&gt;J6978,"Y","N")</f>
        <v>Y</v>
      </c>
      <c r="G6978" s="3" t="s">
        <v>378</v>
      </c>
      <c r="H6978" s="3" t="s">
        <v>34</v>
      </c>
      <c r="I6978" s="4" t="n">
        <v>9</v>
      </c>
      <c r="J6978" s="4" t="n">
        <f aca="false">LEN(E6978)-LEN(SUBSTITUTE(E6978,",",""))+1</f>
        <v>8</v>
      </c>
      <c r="K6978" s="3" t="str">
        <f aca="false">IFERROR(INDEX('Teacher Lookup'!$B$2:$B$200,MATCH(A6978,'Teacher Lookup'!$A$2:$A$200,0)),"")</f>
        <v>LAM Matthew</v>
      </c>
    </row>
    <row r="6979" customFormat="false" ht="15" hidden="false" customHeight="false" outlineLevel="0" collapsed="false">
      <c r="A6979" s="3" t="s">
        <v>479</v>
      </c>
      <c r="B6979" s="4" t="s">
        <v>40</v>
      </c>
      <c r="C6979" s="4" t="n">
        <v>4</v>
      </c>
      <c r="D6979" s="4" t="s">
        <v>29</v>
      </c>
      <c r="E6979" s="3" t="s">
        <v>379</v>
      </c>
      <c r="F6979" s="4" t="str">
        <f aca="false">IF(I6979&gt;J6979,"Y","N")</f>
        <v>Y</v>
      </c>
      <c r="G6979" s="3" t="s">
        <v>378</v>
      </c>
      <c r="H6979" s="3" t="s">
        <v>34</v>
      </c>
      <c r="I6979" s="4" t="n">
        <v>9</v>
      </c>
      <c r="J6979" s="4" t="n">
        <f aca="false">LEN(E6979)-LEN(SUBSTITUTE(E6979,",",""))+1</f>
        <v>8</v>
      </c>
      <c r="K6979" s="3" t="str">
        <f aca="false">IFERROR(INDEX('Teacher Lookup'!$B$2:$B$200,MATCH(A6979,'Teacher Lookup'!$A$2:$A$200,0)),"")</f>
        <v>LAM Matthew</v>
      </c>
    </row>
    <row r="6980" customFormat="false" ht="15" hidden="false" customHeight="false" outlineLevel="0" collapsed="false">
      <c r="A6980" s="3" t="s">
        <v>479</v>
      </c>
      <c r="B6980" s="4" t="s">
        <v>40</v>
      </c>
      <c r="C6980" s="4" t="n">
        <v>4</v>
      </c>
      <c r="D6980" s="4" t="s">
        <v>30</v>
      </c>
      <c r="E6980" s="3" t="s">
        <v>379</v>
      </c>
      <c r="F6980" s="4" t="str">
        <f aca="false">IF(I6980&gt;J6980,"Y","N")</f>
        <v>Y</v>
      </c>
      <c r="G6980" s="3" t="s">
        <v>378</v>
      </c>
      <c r="H6980" s="3" t="s">
        <v>34</v>
      </c>
      <c r="I6980" s="4" t="n">
        <v>9</v>
      </c>
      <c r="J6980" s="4" t="n">
        <f aca="false">LEN(E6980)-LEN(SUBSTITUTE(E6980,",",""))+1</f>
        <v>8</v>
      </c>
      <c r="K6980" s="3" t="str">
        <f aca="false">IFERROR(INDEX('Teacher Lookup'!$B$2:$B$200,MATCH(A6980,'Teacher Lookup'!$A$2:$A$200,0)),"")</f>
        <v>LAM Matthew</v>
      </c>
    </row>
    <row r="6981" customFormat="false" ht="15" hidden="false" customHeight="false" outlineLevel="0" collapsed="false">
      <c r="A6981" s="3" t="s">
        <v>479</v>
      </c>
      <c r="B6981" s="4" t="s">
        <v>44</v>
      </c>
      <c r="C6981" s="4" t="n">
        <v>1</v>
      </c>
      <c r="D6981" s="4" t="s">
        <v>24</v>
      </c>
      <c r="E6981" s="3" t="s">
        <v>380</v>
      </c>
      <c r="F6981" s="4" t="str">
        <f aca="false">IF(I6981&gt;J6981,"Y","N")</f>
        <v>Y</v>
      </c>
      <c r="G6981" s="3" t="s">
        <v>378</v>
      </c>
      <c r="H6981" s="3" t="s">
        <v>16</v>
      </c>
      <c r="I6981" s="4" t="n">
        <v>9</v>
      </c>
      <c r="J6981" s="4" t="n">
        <f aca="false">LEN(E6981)-LEN(SUBSTITUTE(E6981,",",""))+1</f>
        <v>8</v>
      </c>
      <c r="K6981" s="3" t="str">
        <f aca="false">IFERROR(INDEX('Teacher Lookup'!$B$2:$B$200,MATCH(A6981,'Teacher Lookup'!$A$2:$A$200,0)),"")</f>
        <v>LAM Matthew</v>
      </c>
    </row>
    <row r="6982" customFormat="false" ht="15" hidden="false" customHeight="false" outlineLevel="0" collapsed="false">
      <c r="A6982" s="3" t="s">
        <v>479</v>
      </c>
      <c r="B6982" s="4" t="s">
        <v>44</v>
      </c>
      <c r="C6982" s="4" t="n">
        <v>1</v>
      </c>
      <c r="D6982" s="4" t="s">
        <v>27</v>
      </c>
      <c r="E6982" s="3" t="s">
        <v>380</v>
      </c>
      <c r="F6982" s="4" t="str">
        <f aca="false">IF(I6982&gt;J6982,"Y","N")</f>
        <v>Y</v>
      </c>
      <c r="G6982" s="3" t="s">
        <v>378</v>
      </c>
      <c r="H6982" s="3" t="s">
        <v>16</v>
      </c>
      <c r="I6982" s="4" t="n">
        <v>9</v>
      </c>
      <c r="J6982" s="4" t="n">
        <f aca="false">LEN(E6982)-LEN(SUBSTITUTE(E6982,",",""))+1</f>
        <v>8</v>
      </c>
      <c r="K6982" s="3" t="str">
        <f aca="false">IFERROR(INDEX('Teacher Lookup'!$B$2:$B$200,MATCH(A6982,'Teacher Lookup'!$A$2:$A$200,0)),"")</f>
        <v>LAM Matthew</v>
      </c>
    </row>
    <row r="6983" customFormat="false" ht="15" hidden="false" customHeight="false" outlineLevel="0" collapsed="false">
      <c r="A6983" s="3" t="s">
        <v>479</v>
      </c>
      <c r="B6983" s="4" t="s">
        <v>44</v>
      </c>
      <c r="C6983" s="4" t="n">
        <v>1</v>
      </c>
      <c r="D6983" s="4" t="s">
        <v>28</v>
      </c>
      <c r="E6983" s="3" t="s">
        <v>380</v>
      </c>
      <c r="F6983" s="4" t="str">
        <f aca="false">IF(I6983&gt;J6983,"Y","N")</f>
        <v>Y</v>
      </c>
      <c r="G6983" s="3" t="s">
        <v>378</v>
      </c>
      <c r="H6983" s="3" t="s">
        <v>16</v>
      </c>
      <c r="I6983" s="4" t="n">
        <v>9</v>
      </c>
      <c r="J6983" s="4" t="n">
        <f aca="false">LEN(E6983)-LEN(SUBSTITUTE(E6983,",",""))+1</f>
        <v>8</v>
      </c>
      <c r="K6983" s="3" t="str">
        <f aca="false">IFERROR(INDEX('Teacher Lookup'!$B$2:$B$200,MATCH(A6983,'Teacher Lookup'!$A$2:$A$200,0)),"")</f>
        <v>LAM Matthew</v>
      </c>
    </row>
    <row r="6984" customFormat="false" ht="15" hidden="false" customHeight="false" outlineLevel="0" collapsed="false">
      <c r="A6984" s="3" t="s">
        <v>479</v>
      </c>
      <c r="B6984" s="4" t="s">
        <v>44</v>
      </c>
      <c r="C6984" s="4" t="n">
        <v>1</v>
      </c>
      <c r="D6984" s="4" t="s">
        <v>29</v>
      </c>
      <c r="E6984" s="3" t="s">
        <v>380</v>
      </c>
      <c r="F6984" s="4" t="str">
        <f aca="false">IF(I6984&gt;J6984,"Y","N")</f>
        <v>Y</v>
      </c>
      <c r="G6984" s="3" t="s">
        <v>378</v>
      </c>
      <c r="H6984" s="3" t="s">
        <v>16</v>
      </c>
      <c r="I6984" s="4" t="n">
        <v>9</v>
      </c>
      <c r="J6984" s="4" t="n">
        <f aca="false">LEN(E6984)-LEN(SUBSTITUTE(E6984,",",""))+1</f>
        <v>8</v>
      </c>
      <c r="K6984" s="3" t="str">
        <f aca="false">IFERROR(INDEX('Teacher Lookup'!$B$2:$B$200,MATCH(A6984,'Teacher Lookup'!$A$2:$A$200,0)),"")</f>
        <v>LAM Matthew</v>
      </c>
    </row>
    <row r="6985" customFormat="false" ht="15" hidden="false" customHeight="false" outlineLevel="0" collapsed="false">
      <c r="A6985" s="3" t="s">
        <v>479</v>
      </c>
      <c r="B6985" s="4" t="s">
        <v>44</v>
      </c>
      <c r="C6985" s="4" t="n">
        <v>1</v>
      </c>
      <c r="D6985" s="4" t="s">
        <v>30</v>
      </c>
      <c r="E6985" s="3" t="s">
        <v>380</v>
      </c>
      <c r="F6985" s="4" t="str">
        <f aca="false">IF(I6985&gt;J6985,"Y","N")</f>
        <v>Y</v>
      </c>
      <c r="G6985" s="3" t="s">
        <v>378</v>
      </c>
      <c r="H6985" s="3" t="s">
        <v>16</v>
      </c>
      <c r="I6985" s="4" t="n">
        <v>9</v>
      </c>
      <c r="J6985" s="4" t="n">
        <f aca="false">LEN(E6985)-LEN(SUBSTITUTE(E6985,",",""))+1</f>
        <v>8</v>
      </c>
      <c r="K6985" s="3" t="str">
        <f aca="false">IFERROR(INDEX('Teacher Lookup'!$B$2:$B$200,MATCH(A6985,'Teacher Lookup'!$A$2:$A$200,0)),"")</f>
        <v>LAM Matthew</v>
      </c>
    </row>
    <row r="6986" customFormat="false" ht="15" hidden="false" customHeight="false" outlineLevel="0" collapsed="false">
      <c r="A6986" s="3" t="s">
        <v>479</v>
      </c>
      <c r="B6986" s="4" t="s">
        <v>44</v>
      </c>
      <c r="C6986" s="4" t="n">
        <v>4</v>
      </c>
      <c r="D6986" s="4" t="s">
        <v>102</v>
      </c>
      <c r="E6986" s="3" t="s">
        <v>469</v>
      </c>
      <c r="F6986" s="4" t="str">
        <f aca="false">IF(I6986&gt;J6986,"Y","N")</f>
        <v>N</v>
      </c>
      <c r="G6986" s="3" t="s">
        <v>466</v>
      </c>
      <c r="H6986" s="3" t="s">
        <v>34</v>
      </c>
      <c r="I6986" s="4" t="n">
        <v>4</v>
      </c>
      <c r="J6986" s="4" t="n">
        <f aca="false">LEN(E6986)-LEN(SUBSTITUTE(E6986,",",""))+1</f>
        <v>4</v>
      </c>
      <c r="K6986" s="3" t="str">
        <f aca="false">IFERROR(INDEX('Teacher Lookup'!$B$2:$B$200,MATCH(A6986,'Teacher Lookup'!$A$2:$A$200,0)),"")</f>
        <v>LAM Matthew</v>
      </c>
    </row>
    <row r="6987" customFormat="false" ht="15" hidden="false" customHeight="false" outlineLevel="0" collapsed="false">
      <c r="A6987" s="3" t="s">
        <v>479</v>
      </c>
      <c r="B6987" s="4" t="s">
        <v>44</v>
      </c>
      <c r="C6987" s="4" t="n">
        <v>4</v>
      </c>
      <c r="D6987" s="4" t="s">
        <v>107</v>
      </c>
      <c r="E6987" s="3" t="s">
        <v>469</v>
      </c>
      <c r="F6987" s="4" t="str">
        <f aca="false">IF(I6987&gt;J6987,"Y","N")</f>
        <v>N</v>
      </c>
      <c r="G6987" s="3" t="s">
        <v>466</v>
      </c>
      <c r="H6987" s="3" t="s">
        <v>34</v>
      </c>
      <c r="I6987" s="4" t="n">
        <v>4</v>
      </c>
      <c r="J6987" s="4" t="n">
        <f aca="false">LEN(E6987)-LEN(SUBSTITUTE(E6987,",",""))+1</f>
        <v>4</v>
      </c>
      <c r="K6987" s="3" t="str">
        <f aca="false">IFERROR(INDEX('Teacher Lookup'!$B$2:$B$200,MATCH(A6987,'Teacher Lookup'!$A$2:$A$200,0)),"")</f>
        <v>LAM Matthew</v>
      </c>
    </row>
    <row r="6988" customFormat="false" ht="15" hidden="false" customHeight="false" outlineLevel="0" collapsed="false">
      <c r="A6988" s="3" t="s">
        <v>479</v>
      </c>
      <c r="B6988" s="4" t="s">
        <v>44</v>
      </c>
      <c r="C6988" s="4" t="n">
        <v>5</v>
      </c>
      <c r="D6988" s="4" t="s">
        <v>228</v>
      </c>
      <c r="E6988" s="3" t="s">
        <v>229</v>
      </c>
      <c r="F6988" s="4" t="str">
        <f aca="false">IF(I6988&gt;J6988,"Y","N")</f>
        <v>Y</v>
      </c>
      <c r="G6988" s="3" t="s">
        <v>36</v>
      </c>
      <c r="H6988" s="3" t="s">
        <v>37</v>
      </c>
      <c r="I6988" s="4" t="n">
        <v>14</v>
      </c>
      <c r="J6988" s="4" t="n">
        <f aca="false">LEN(E6988)-LEN(SUBSTITUTE(E6988,",",""))+1</f>
        <v>6</v>
      </c>
      <c r="K6988" s="3" t="str">
        <f aca="false">IFERROR(INDEX('Teacher Lookup'!$B$2:$B$200,MATCH(A6988,'Teacher Lookup'!$A$2:$A$200,0)),"")</f>
        <v>LAM Matthew</v>
      </c>
    </row>
    <row r="6989" customFormat="false" ht="15" hidden="false" customHeight="false" outlineLevel="0" collapsed="false">
      <c r="A6989" s="3" t="s">
        <v>479</v>
      </c>
      <c r="B6989" s="4" t="s">
        <v>44</v>
      </c>
      <c r="C6989" s="4" t="n">
        <v>5</v>
      </c>
      <c r="D6989" s="4" t="s">
        <v>102</v>
      </c>
      <c r="E6989" s="3" t="s">
        <v>229</v>
      </c>
      <c r="F6989" s="4" t="str">
        <f aca="false">IF(I6989&gt;J6989,"Y","N")</f>
        <v>Y</v>
      </c>
      <c r="G6989" s="3" t="s">
        <v>36</v>
      </c>
      <c r="H6989" s="3" t="s">
        <v>37</v>
      </c>
      <c r="I6989" s="4" t="n">
        <v>14</v>
      </c>
      <c r="J6989" s="4" t="n">
        <f aca="false">LEN(E6989)-LEN(SUBSTITUTE(E6989,",",""))+1</f>
        <v>6</v>
      </c>
      <c r="K6989" s="3" t="str">
        <f aca="false">IFERROR(INDEX('Teacher Lookup'!$B$2:$B$200,MATCH(A6989,'Teacher Lookup'!$A$2:$A$200,0)),"")</f>
        <v>LAM Matthew</v>
      </c>
    </row>
    <row r="6990" customFormat="false" ht="15" hidden="false" customHeight="false" outlineLevel="0" collapsed="false">
      <c r="A6990" s="3" t="s">
        <v>479</v>
      </c>
      <c r="B6990" s="4" t="s">
        <v>44</v>
      </c>
      <c r="C6990" s="4" t="n">
        <v>5</v>
      </c>
      <c r="D6990" s="4" t="s">
        <v>105</v>
      </c>
      <c r="E6990" s="3" t="s">
        <v>229</v>
      </c>
      <c r="F6990" s="4" t="str">
        <f aca="false">IF(I6990&gt;J6990,"Y","N")</f>
        <v>Y</v>
      </c>
      <c r="G6990" s="3" t="s">
        <v>36</v>
      </c>
      <c r="H6990" s="3" t="s">
        <v>37</v>
      </c>
      <c r="I6990" s="4" t="n">
        <v>14</v>
      </c>
      <c r="J6990" s="4" t="n">
        <f aca="false">LEN(E6990)-LEN(SUBSTITUTE(E6990,",",""))+1</f>
        <v>6</v>
      </c>
      <c r="K6990" s="3" t="str">
        <f aca="false">IFERROR(INDEX('Teacher Lookup'!$B$2:$B$200,MATCH(A6990,'Teacher Lookup'!$A$2:$A$200,0)),"")</f>
        <v>LAM Matthew</v>
      </c>
    </row>
    <row r="6991" customFormat="false" ht="15" hidden="false" customHeight="false" outlineLevel="0" collapsed="false">
      <c r="A6991" s="3" t="s">
        <v>479</v>
      </c>
      <c r="B6991" s="4" t="s">
        <v>44</v>
      </c>
      <c r="C6991" s="4" t="n">
        <v>5</v>
      </c>
      <c r="D6991" s="4" t="s">
        <v>106</v>
      </c>
      <c r="E6991" s="3" t="s">
        <v>229</v>
      </c>
      <c r="F6991" s="4" t="str">
        <f aca="false">IF(I6991&gt;J6991,"Y","N")</f>
        <v>Y</v>
      </c>
      <c r="G6991" s="3" t="s">
        <v>36</v>
      </c>
      <c r="H6991" s="3" t="s">
        <v>37</v>
      </c>
      <c r="I6991" s="4" t="n">
        <v>14</v>
      </c>
      <c r="J6991" s="4" t="n">
        <f aca="false">LEN(E6991)-LEN(SUBSTITUTE(E6991,",",""))+1</f>
        <v>6</v>
      </c>
      <c r="K6991" s="3" t="str">
        <f aca="false">IFERROR(INDEX('Teacher Lookup'!$B$2:$B$200,MATCH(A6991,'Teacher Lookup'!$A$2:$A$200,0)),"")</f>
        <v>LAM Matthew</v>
      </c>
    </row>
    <row r="6992" customFormat="false" ht="15" hidden="false" customHeight="false" outlineLevel="0" collapsed="false">
      <c r="A6992" s="3" t="s">
        <v>479</v>
      </c>
      <c r="B6992" s="4" t="s">
        <v>44</v>
      </c>
      <c r="C6992" s="4" t="n">
        <v>5</v>
      </c>
      <c r="D6992" s="4" t="s">
        <v>107</v>
      </c>
      <c r="E6992" s="3" t="s">
        <v>229</v>
      </c>
      <c r="F6992" s="4" t="str">
        <f aca="false">IF(I6992&gt;J6992,"Y","N")</f>
        <v>Y</v>
      </c>
      <c r="G6992" s="3" t="s">
        <v>36</v>
      </c>
      <c r="H6992" s="3" t="s">
        <v>37</v>
      </c>
      <c r="I6992" s="4" t="n">
        <v>14</v>
      </c>
      <c r="J6992" s="4" t="n">
        <f aca="false">LEN(E6992)-LEN(SUBSTITUTE(E6992,",",""))+1</f>
        <v>6</v>
      </c>
      <c r="K6992" s="3" t="str">
        <f aca="false">IFERROR(INDEX('Teacher Lookup'!$B$2:$B$200,MATCH(A6992,'Teacher Lookup'!$A$2:$A$200,0)),"")</f>
        <v>LAM Matthew</v>
      </c>
    </row>
    <row r="6993" customFormat="false" ht="15" hidden="false" customHeight="false" outlineLevel="0" collapsed="false">
      <c r="A6993" s="3" t="s">
        <v>479</v>
      </c>
      <c r="B6993" s="4" t="s">
        <v>44</v>
      </c>
      <c r="C6993" s="4" t="n">
        <v>6</v>
      </c>
      <c r="D6993" s="4" t="s">
        <v>52</v>
      </c>
      <c r="E6993" s="3" t="s">
        <v>246</v>
      </c>
      <c r="F6993" s="4" t="str">
        <f aca="false">IF(I6993&gt;J6993,"Y","N")</f>
        <v>N</v>
      </c>
      <c r="G6993" s="3" t="s">
        <v>235</v>
      </c>
      <c r="H6993" s="3" t="s">
        <v>42</v>
      </c>
      <c r="I6993" s="4" t="n">
        <v>1</v>
      </c>
      <c r="J6993" s="4" t="n">
        <f aca="false">LEN(E6993)-LEN(SUBSTITUTE(E6993,",",""))+1</f>
        <v>1</v>
      </c>
      <c r="K6993" s="3" t="str">
        <f aca="false">IFERROR(INDEX('Teacher Lookup'!$B$2:$B$200,MATCH(A6993,'Teacher Lookup'!$A$2:$A$200,0)),"")</f>
        <v>LAM Matthew</v>
      </c>
    </row>
    <row r="6994" customFormat="false" ht="15" hidden="false" customHeight="false" outlineLevel="0" collapsed="false">
      <c r="A6994" s="3" t="s">
        <v>479</v>
      </c>
      <c r="B6994" s="4" t="s">
        <v>47</v>
      </c>
      <c r="C6994" s="4" t="n">
        <v>3</v>
      </c>
      <c r="D6994" s="4" t="s">
        <v>24</v>
      </c>
      <c r="E6994" s="3" t="s">
        <v>381</v>
      </c>
      <c r="F6994" s="4" t="str">
        <f aca="false">IF(I6994&gt;J6994,"Y","N")</f>
        <v>N</v>
      </c>
      <c r="G6994" s="3" t="s">
        <v>378</v>
      </c>
      <c r="H6994" s="3" t="s">
        <v>26</v>
      </c>
      <c r="I6994" s="4" t="n">
        <v>8</v>
      </c>
      <c r="J6994" s="4" t="n">
        <f aca="false">LEN(E6994)-LEN(SUBSTITUTE(E6994,",",""))+1</f>
        <v>8</v>
      </c>
      <c r="K6994" s="3" t="str">
        <f aca="false">IFERROR(INDEX('Teacher Lookup'!$B$2:$B$200,MATCH(A6994,'Teacher Lookup'!$A$2:$A$200,0)),"")</f>
        <v>LAM Matthew</v>
      </c>
    </row>
    <row r="6995" customFormat="false" ht="15" hidden="false" customHeight="false" outlineLevel="0" collapsed="false">
      <c r="A6995" s="3" t="s">
        <v>479</v>
      </c>
      <c r="B6995" s="4" t="s">
        <v>47</v>
      </c>
      <c r="C6995" s="4" t="n">
        <v>3</v>
      </c>
      <c r="D6995" s="4" t="s">
        <v>27</v>
      </c>
      <c r="E6995" s="3" t="s">
        <v>381</v>
      </c>
      <c r="F6995" s="4" t="str">
        <f aca="false">IF(I6995&gt;J6995,"Y","N")</f>
        <v>N</v>
      </c>
      <c r="G6995" s="3" t="s">
        <v>378</v>
      </c>
      <c r="H6995" s="3" t="s">
        <v>26</v>
      </c>
      <c r="I6995" s="4" t="n">
        <v>8</v>
      </c>
      <c r="J6995" s="4" t="n">
        <f aca="false">LEN(E6995)-LEN(SUBSTITUTE(E6995,",",""))+1</f>
        <v>8</v>
      </c>
      <c r="K6995" s="3" t="str">
        <f aca="false">IFERROR(INDEX('Teacher Lookup'!$B$2:$B$200,MATCH(A6995,'Teacher Lookup'!$A$2:$A$200,0)),"")</f>
        <v>LAM Matthew</v>
      </c>
    </row>
    <row r="6996" customFormat="false" ht="15" hidden="false" customHeight="false" outlineLevel="0" collapsed="false">
      <c r="A6996" s="3" t="s">
        <v>479</v>
      </c>
      <c r="B6996" s="4" t="s">
        <v>47</v>
      </c>
      <c r="C6996" s="4" t="n">
        <v>3</v>
      </c>
      <c r="D6996" s="4" t="s">
        <v>28</v>
      </c>
      <c r="E6996" s="3" t="s">
        <v>381</v>
      </c>
      <c r="F6996" s="4" t="str">
        <f aca="false">IF(I6996&gt;J6996,"Y","N")</f>
        <v>N</v>
      </c>
      <c r="G6996" s="3" t="s">
        <v>378</v>
      </c>
      <c r="H6996" s="3" t="s">
        <v>26</v>
      </c>
      <c r="I6996" s="4" t="n">
        <v>8</v>
      </c>
      <c r="J6996" s="4" t="n">
        <f aca="false">LEN(E6996)-LEN(SUBSTITUTE(E6996,",",""))+1</f>
        <v>8</v>
      </c>
      <c r="K6996" s="3" t="str">
        <f aca="false">IFERROR(INDEX('Teacher Lookup'!$B$2:$B$200,MATCH(A6996,'Teacher Lookup'!$A$2:$A$200,0)),"")</f>
        <v>LAM Matthew</v>
      </c>
    </row>
    <row r="6997" customFormat="false" ht="15" hidden="false" customHeight="false" outlineLevel="0" collapsed="false">
      <c r="A6997" s="3" t="s">
        <v>479</v>
      </c>
      <c r="B6997" s="4" t="s">
        <v>47</v>
      </c>
      <c r="C6997" s="4" t="n">
        <v>3</v>
      </c>
      <c r="D6997" s="4" t="s">
        <v>29</v>
      </c>
      <c r="E6997" s="3" t="s">
        <v>381</v>
      </c>
      <c r="F6997" s="4" t="str">
        <f aca="false">IF(I6997&gt;J6997,"Y","N")</f>
        <v>N</v>
      </c>
      <c r="G6997" s="3" t="s">
        <v>378</v>
      </c>
      <c r="H6997" s="3" t="s">
        <v>26</v>
      </c>
      <c r="I6997" s="4" t="n">
        <v>8</v>
      </c>
      <c r="J6997" s="4" t="n">
        <f aca="false">LEN(E6997)-LEN(SUBSTITUTE(E6997,",",""))+1</f>
        <v>8</v>
      </c>
      <c r="K6997" s="3" t="str">
        <f aca="false">IFERROR(INDEX('Teacher Lookup'!$B$2:$B$200,MATCH(A6997,'Teacher Lookup'!$A$2:$A$200,0)),"")</f>
        <v>LAM Matthew</v>
      </c>
    </row>
    <row r="6998" customFormat="false" ht="15" hidden="false" customHeight="false" outlineLevel="0" collapsed="false">
      <c r="A6998" s="3" t="s">
        <v>479</v>
      </c>
      <c r="B6998" s="4" t="s">
        <v>47</v>
      </c>
      <c r="C6998" s="4" t="n">
        <v>3</v>
      </c>
      <c r="D6998" s="4" t="s">
        <v>30</v>
      </c>
      <c r="E6998" s="3" t="s">
        <v>381</v>
      </c>
      <c r="F6998" s="4" t="str">
        <f aca="false">IF(I6998&gt;J6998,"Y","N")</f>
        <v>N</v>
      </c>
      <c r="G6998" s="3" t="s">
        <v>378</v>
      </c>
      <c r="H6998" s="3" t="s">
        <v>26</v>
      </c>
      <c r="I6998" s="4" t="n">
        <v>8</v>
      </c>
      <c r="J6998" s="4" t="n">
        <f aca="false">LEN(E6998)-LEN(SUBSTITUTE(E6998,",",""))+1</f>
        <v>8</v>
      </c>
      <c r="K6998" s="3" t="str">
        <f aca="false">IFERROR(INDEX('Teacher Lookup'!$B$2:$B$200,MATCH(A6998,'Teacher Lookup'!$A$2:$A$200,0)),"")</f>
        <v>LAM Matthew</v>
      </c>
    </row>
    <row r="6999" customFormat="false" ht="15" hidden="false" customHeight="false" outlineLevel="0" collapsed="false">
      <c r="A6999" s="3" t="s">
        <v>479</v>
      </c>
      <c r="B6999" s="4" t="s">
        <v>47</v>
      </c>
      <c r="C6999" s="4" t="n">
        <v>4</v>
      </c>
      <c r="D6999" s="4" t="s">
        <v>24</v>
      </c>
      <c r="E6999" s="3" t="s">
        <v>381</v>
      </c>
      <c r="F6999" s="4" t="str">
        <f aca="false">IF(I6999&gt;J6999,"Y","N")</f>
        <v>N</v>
      </c>
      <c r="G6999" s="3" t="s">
        <v>378</v>
      </c>
      <c r="H6999" s="3" t="s">
        <v>34</v>
      </c>
      <c r="I6999" s="4" t="n">
        <v>8</v>
      </c>
      <c r="J6999" s="4" t="n">
        <f aca="false">LEN(E6999)-LEN(SUBSTITUTE(E6999,",",""))+1</f>
        <v>8</v>
      </c>
      <c r="K6999" s="3" t="str">
        <f aca="false">IFERROR(INDEX('Teacher Lookup'!$B$2:$B$200,MATCH(A6999,'Teacher Lookup'!$A$2:$A$200,0)),"")</f>
        <v>LAM Matthew</v>
      </c>
    </row>
    <row r="7000" customFormat="false" ht="15" hidden="false" customHeight="false" outlineLevel="0" collapsed="false">
      <c r="A7000" s="3" t="s">
        <v>479</v>
      </c>
      <c r="B7000" s="4" t="s">
        <v>47</v>
      </c>
      <c r="C7000" s="4" t="n">
        <v>4</v>
      </c>
      <c r="D7000" s="4" t="s">
        <v>27</v>
      </c>
      <c r="E7000" s="3" t="s">
        <v>381</v>
      </c>
      <c r="F7000" s="4" t="str">
        <f aca="false">IF(I7000&gt;J7000,"Y","N")</f>
        <v>N</v>
      </c>
      <c r="G7000" s="3" t="s">
        <v>378</v>
      </c>
      <c r="H7000" s="3" t="s">
        <v>34</v>
      </c>
      <c r="I7000" s="4" t="n">
        <v>8</v>
      </c>
      <c r="J7000" s="4" t="n">
        <f aca="false">LEN(E7000)-LEN(SUBSTITUTE(E7000,",",""))+1</f>
        <v>8</v>
      </c>
      <c r="K7000" s="3" t="str">
        <f aca="false">IFERROR(INDEX('Teacher Lookup'!$B$2:$B$200,MATCH(A7000,'Teacher Lookup'!$A$2:$A$200,0)),"")</f>
        <v>LAM Matthew</v>
      </c>
    </row>
    <row r="7001" customFormat="false" ht="15" hidden="false" customHeight="false" outlineLevel="0" collapsed="false">
      <c r="A7001" s="3" t="s">
        <v>479</v>
      </c>
      <c r="B7001" s="4" t="s">
        <v>47</v>
      </c>
      <c r="C7001" s="4" t="n">
        <v>4</v>
      </c>
      <c r="D7001" s="4" t="s">
        <v>28</v>
      </c>
      <c r="E7001" s="3" t="s">
        <v>381</v>
      </c>
      <c r="F7001" s="4" t="str">
        <f aca="false">IF(I7001&gt;J7001,"Y","N")</f>
        <v>N</v>
      </c>
      <c r="G7001" s="3" t="s">
        <v>378</v>
      </c>
      <c r="H7001" s="3" t="s">
        <v>34</v>
      </c>
      <c r="I7001" s="4" t="n">
        <v>8</v>
      </c>
      <c r="J7001" s="4" t="n">
        <f aca="false">LEN(E7001)-LEN(SUBSTITUTE(E7001,",",""))+1</f>
        <v>8</v>
      </c>
      <c r="K7001" s="3" t="str">
        <f aca="false">IFERROR(INDEX('Teacher Lookup'!$B$2:$B$200,MATCH(A7001,'Teacher Lookup'!$A$2:$A$200,0)),"")</f>
        <v>LAM Matthew</v>
      </c>
    </row>
    <row r="7002" customFormat="false" ht="15" hidden="false" customHeight="false" outlineLevel="0" collapsed="false">
      <c r="A7002" s="3" t="s">
        <v>479</v>
      </c>
      <c r="B7002" s="4" t="s">
        <v>47</v>
      </c>
      <c r="C7002" s="4" t="n">
        <v>4</v>
      </c>
      <c r="D7002" s="4" t="s">
        <v>29</v>
      </c>
      <c r="E7002" s="3" t="s">
        <v>381</v>
      </c>
      <c r="F7002" s="4" t="str">
        <f aca="false">IF(I7002&gt;J7002,"Y","N")</f>
        <v>N</v>
      </c>
      <c r="G7002" s="3" t="s">
        <v>378</v>
      </c>
      <c r="H7002" s="3" t="s">
        <v>34</v>
      </c>
      <c r="I7002" s="4" t="n">
        <v>8</v>
      </c>
      <c r="J7002" s="4" t="n">
        <f aca="false">LEN(E7002)-LEN(SUBSTITUTE(E7002,",",""))+1</f>
        <v>8</v>
      </c>
      <c r="K7002" s="3" t="str">
        <f aca="false">IFERROR(INDEX('Teacher Lookup'!$B$2:$B$200,MATCH(A7002,'Teacher Lookup'!$A$2:$A$200,0)),"")</f>
        <v>LAM Matthew</v>
      </c>
    </row>
    <row r="7003" customFormat="false" ht="15" hidden="false" customHeight="false" outlineLevel="0" collapsed="false">
      <c r="A7003" s="3" t="s">
        <v>479</v>
      </c>
      <c r="B7003" s="4" t="s">
        <v>47</v>
      </c>
      <c r="C7003" s="4" t="n">
        <v>4</v>
      </c>
      <c r="D7003" s="4" t="s">
        <v>30</v>
      </c>
      <c r="E7003" s="3" t="s">
        <v>381</v>
      </c>
      <c r="F7003" s="4" t="str">
        <f aca="false">IF(I7003&gt;J7003,"Y","N")</f>
        <v>N</v>
      </c>
      <c r="G7003" s="3" t="s">
        <v>378</v>
      </c>
      <c r="H7003" s="3" t="s">
        <v>34</v>
      </c>
      <c r="I7003" s="4" t="n">
        <v>8</v>
      </c>
      <c r="J7003" s="4" t="n">
        <f aca="false">LEN(E7003)-LEN(SUBSTITUTE(E7003,",",""))+1</f>
        <v>8</v>
      </c>
      <c r="K7003" s="3" t="str">
        <f aca="false">IFERROR(INDEX('Teacher Lookup'!$B$2:$B$200,MATCH(A7003,'Teacher Lookup'!$A$2:$A$200,0)),"")</f>
        <v>LAM Matthew</v>
      </c>
    </row>
    <row r="7004" customFormat="false" ht="15" hidden="false" customHeight="false" outlineLevel="0" collapsed="false">
      <c r="A7004" s="3" t="s">
        <v>479</v>
      </c>
      <c r="B7004" s="4" t="s">
        <v>47</v>
      </c>
      <c r="C7004" s="4" t="n">
        <v>5</v>
      </c>
      <c r="D7004" s="4" t="s">
        <v>52</v>
      </c>
      <c r="E7004" s="3" t="s">
        <v>246</v>
      </c>
      <c r="F7004" s="4" t="str">
        <f aca="false">IF(I7004&gt;J7004,"Y","N")</f>
        <v>N</v>
      </c>
      <c r="G7004" s="3" t="s">
        <v>235</v>
      </c>
      <c r="H7004" s="3" t="s">
        <v>37</v>
      </c>
      <c r="I7004" s="4" t="n">
        <v>1</v>
      </c>
      <c r="J7004" s="4" t="n">
        <f aca="false">LEN(E7004)-LEN(SUBSTITUTE(E7004,",",""))+1</f>
        <v>1</v>
      </c>
      <c r="K7004" s="3" t="str">
        <f aca="false">IFERROR(INDEX('Teacher Lookup'!$B$2:$B$200,MATCH(A7004,'Teacher Lookup'!$A$2:$A$200,0)),"")</f>
        <v>LAM Matthew</v>
      </c>
    </row>
    <row r="7005" customFormat="false" ht="15" hidden="false" customHeight="false" outlineLevel="0" collapsed="false">
      <c r="A7005" s="3" t="s">
        <v>479</v>
      </c>
      <c r="B7005" s="4" t="s">
        <v>50</v>
      </c>
      <c r="C7005" s="4" t="n">
        <v>1</v>
      </c>
      <c r="D7005" s="4" t="s">
        <v>52</v>
      </c>
      <c r="E7005" s="3" t="s">
        <v>286</v>
      </c>
      <c r="F7005" s="4" t="str">
        <f aca="false">IF(I7005&gt;J7005,"Y","N")</f>
        <v>N</v>
      </c>
      <c r="G7005" s="3" t="s">
        <v>235</v>
      </c>
      <c r="H7005" s="3" t="s">
        <v>16</v>
      </c>
      <c r="I7005" s="4" t="n">
        <v>1</v>
      </c>
      <c r="J7005" s="4" t="n">
        <f aca="false">LEN(E7005)-LEN(SUBSTITUTE(E7005,",",""))+1</f>
        <v>1</v>
      </c>
      <c r="K7005" s="3" t="str">
        <f aca="false">IFERROR(INDEX('Teacher Lookup'!$B$2:$B$200,MATCH(A7005,'Teacher Lookup'!$A$2:$A$200,0)),"")</f>
        <v>LAM Matthew</v>
      </c>
    </row>
    <row r="7006" customFormat="false" ht="15" hidden="false" customHeight="false" outlineLevel="0" collapsed="false">
      <c r="A7006" s="3" t="s">
        <v>479</v>
      </c>
      <c r="B7006" s="4" t="s">
        <v>50</v>
      </c>
      <c r="C7006" s="4" t="n">
        <v>5</v>
      </c>
      <c r="D7006" s="4" t="s">
        <v>74</v>
      </c>
      <c r="E7006" s="3" t="s">
        <v>316</v>
      </c>
      <c r="F7006" s="4" t="str">
        <f aca="false">IF(I7006&gt;J7006,"Y","N")</f>
        <v>N</v>
      </c>
      <c r="G7006" s="3" t="s">
        <v>235</v>
      </c>
      <c r="H7006" s="3" t="s">
        <v>37</v>
      </c>
      <c r="I7006" s="4" t="n">
        <v>1</v>
      </c>
      <c r="J7006" s="4" t="n">
        <f aca="false">LEN(E7006)-LEN(SUBSTITUTE(E7006,",",""))+1</f>
        <v>1</v>
      </c>
      <c r="K7006" s="3" t="str">
        <f aca="false">IFERROR(INDEX('Teacher Lookup'!$B$2:$B$200,MATCH(A7006,'Teacher Lookup'!$A$2:$A$200,0)),"")</f>
        <v>LAM Matthew</v>
      </c>
    </row>
    <row r="7007" customFormat="false" ht="15" hidden="false" customHeight="false" outlineLevel="0" collapsed="false">
      <c r="A7007" s="3" t="s">
        <v>479</v>
      </c>
      <c r="B7007" s="4" t="s">
        <v>50</v>
      </c>
      <c r="C7007" s="4" t="n">
        <v>6</v>
      </c>
      <c r="D7007" s="4" t="s">
        <v>102</v>
      </c>
      <c r="E7007" s="3" t="s">
        <v>470</v>
      </c>
      <c r="F7007" s="4" t="str">
        <f aca="false">IF(I7007&gt;J7007,"Y","N")</f>
        <v>N</v>
      </c>
      <c r="G7007" s="3" t="s">
        <v>466</v>
      </c>
      <c r="H7007" s="3" t="s">
        <v>42</v>
      </c>
      <c r="I7007" s="4" t="n">
        <v>4</v>
      </c>
      <c r="J7007" s="4" t="n">
        <f aca="false">LEN(E7007)-LEN(SUBSTITUTE(E7007,",",""))+1</f>
        <v>4</v>
      </c>
      <c r="K7007" s="3" t="str">
        <f aca="false">IFERROR(INDEX('Teacher Lookup'!$B$2:$B$200,MATCH(A7007,'Teacher Lookup'!$A$2:$A$200,0)),"")</f>
        <v>LAM Matthew</v>
      </c>
    </row>
    <row r="7008" customFormat="false" ht="15" hidden="false" customHeight="false" outlineLevel="0" collapsed="false">
      <c r="A7008" s="3" t="s">
        <v>479</v>
      </c>
      <c r="B7008" s="4" t="s">
        <v>50</v>
      </c>
      <c r="C7008" s="4" t="n">
        <v>6</v>
      </c>
      <c r="D7008" s="4" t="s">
        <v>107</v>
      </c>
      <c r="E7008" s="3" t="s">
        <v>470</v>
      </c>
      <c r="F7008" s="4" t="str">
        <f aca="false">IF(I7008&gt;J7008,"Y","N")</f>
        <v>N</v>
      </c>
      <c r="G7008" s="3" t="s">
        <v>466</v>
      </c>
      <c r="H7008" s="3" t="s">
        <v>42</v>
      </c>
      <c r="I7008" s="4" t="n">
        <v>4</v>
      </c>
      <c r="J7008" s="4" t="n">
        <f aca="false">LEN(E7008)-LEN(SUBSTITUTE(E7008,",",""))+1</f>
        <v>4</v>
      </c>
      <c r="K7008" s="3" t="str">
        <f aca="false">IFERROR(INDEX('Teacher Lookup'!$B$2:$B$200,MATCH(A7008,'Teacher Lookup'!$A$2:$A$200,0)),"")</f>
        <v>LAM Matthew</v>
      </c>
    </row>
    <row r="7009" customFormat="false" ht="15" hidden="false" customHeight="false" outlineLevel="0" collapsed="false">
      <c r="A7009" s="3" t="s">
        <v>479</v>
      </c>
      <c r="B7009" s="4" t="s">
        <v>50</v>
      </c>
      <c r="C7009" s="4" t="n">
        <v>7</v>
      </c>
      <c r="D7009" s="4" t="s">
        <v>24</v>
      </c>
      <c r="E7009" s="3" t="s">
        <v>382</v>
      </c>
      <c r="F7009" s="4" t="str">
        <f aca="false">IF(I7009&gt;J7009,"Y","N")</f>
        <v>N</v>
      </c>
      <c r="G7009" s="3" t="s">
        <v>378</v>
      </c>
      <c r="H7009" s="3" t="s">
        <v>39</v>
      </c>
      <c r="I7009" s="4" t="n">
        <v>8</v>
      </c>
      <c r="J7009" s="4" t="n">
        <f aca="false">LEN(E7009)-LEN(SUBSTITUTE(E7009,",",""))+1</f>
        <v>8</v>
      </c>
      <c r="K7009" s="3" t="str">
        <f aca="false">IFERROR(INDEX('Teacher Lookup'!$B$2:$B$200,MATCH(A7009,'Teacher Lookup'!$A$2:$A$200,0)),"")</f>
        <v>LAM Matthew</v>
      </c>
    </row>
    <row r="7010" customFormat="false" ht="15" hidden="false" customHeight="false" outlineLevel="0" collapsed="false">
      <c r="A7010" s="3" t="s">
        <v>479</v>
      </c>
      <c r="B7010" s="4" t="s">
        <v>50</v>
      </c>
      <c r="C7010" s="4" t="n">
        <v>7</v>
      </c>
      <c r="D7010" s="4" t="s">
        <v>27</v>
      </c>
      <c r="E7010" s="3" t="s">
        <v>382</v>
      </c>
      <c r="F7010" s="4" t="str">
        <f aca="false">IF(I7010&gt;J7010,"Y","N")</f>
        <v>N</v>
      </c>
      <c r="G7010" s="3" t="s">
        <v>378</v>
      </c>
      <c r="H7010" s="3" t="s">
        <v>39</v>
      </c>
      <c r="I7010" s="4" t="n">
        <v>8</v>
      </c>
      <c r="J7010" s="4" t="n">
        <f aca="false">LEN(E7010)-LEN(SUBSTITUTE(E7010,",",""))+1</f>
        <v>8</v>
      </c>
      <c r="K7010" s="3" t="str">
        <f aca="false">IFERROR(INDEX('Teacher Lookup'!$B$2:$B$200,MATCH(A7010,'Teacher Lookup'!$A$2:$A$200,0)),"")</f>
        <v>LAM Matthew</v>
      </c>
    </row>
    <row r="7011" customFormat="false" ht="15" hidden="false" customHeight="false" outlineLevel="0" collapsed="false">
      <c r="A7011" s="3" t="s">
        <v>479</v>
      </c>
      <c r="B7011" s="4" t="s">
        <v>50</v>
      </c>
      <c r="C7011" s="4" t="n">
        <v>7</v>
      </c>
      <c r="D7011" s="4" t="s">
        <v>28</v>
      </c>
      <c r="E7011" s="3" t="s">
        <v>382</v>
      </c>
      <c r="F7011" s="4" t="str">
        <f aca="false">IF(I7011&gt;J7011,"Y","N")</f>
        <v>N</v>
      </c>
      <c r="G7011" s="3" t="s">
        <v>378</v>
      </c>
      <c r="H7011" s="3" t="s">
        <v>39</v>
      </c>
      <c r="I7011" s="4" t="n">
        <v>8</v>
      </c>
      <c r="J7011" s="4" t="n">
        <f aca="false">LEN(E7011)-LEN(SUBSTITUTE(E7011,",",""))+1</f>
        <v>8</v>
      </c>
      <c r="K7011" s="3" t="str">
        <f aca="false">IFERROR(INDEX('Teacher Lookup'!$B$2:$B$200,MATCH(A7011,'Teacher Lookup'!$A$2:$A$200,0)),"")</f>
        <v>LAM Matthew</v>
      </c>
    </row>
    <row r="7012" customFormat="false" ht="15" hidden="false" customHeight="false" outlineLevel="0" collapsed="false">
      <c r="A7012" s="3" t="s">
        <v>479</v>
      </c>
      <c r="B7012" s="4" t="s">
        <v>50</v>
      </c>
      <c r="C7012" s="4" t="n">
        <v>7</v>
      </c>
      <c r="D7012" s="4" t="s">
        <v>29</v>
      </c>
      <c r="E7012" s="3" t="s">
        <v>382</v>
      </c>
      <c r="F7012" s="4" t="str">
        <f aca="false">IF(I7012&gt;J7012,"Y","N")</f>
        <v>N</v>
      </c>
      <c r="G7012" s="3" t="s">
        <v>378</v>
      </c>
      <c r="H7012" s="3" t="s">
        <v>39</v>
      </c>
      <c r="I7012" s="4" t="n">
        <v>8</v>
      </c>
      <c r="J7012" s="4" t="n">
        <f aca="false">LEN(E7012)-LEN(SUBSTITUTE(E7012,",",""))+1</f>
        <v>8</v>
      </c>
      <c r="K7012" s="3" t="str">
        <f aca="false">IFERROR(INDEX('Teacher Lookup'!$B$2:$B$200,MATCH(A7012,'Teacher Lookup'!$A$2:$A$200,0)),"")</f>
        <v>LAM Matthew</v>
      </c>
    </row>
    <row r="7013" customFormat="false" ht="15" hidden="false" customHeight="false" outlineLevel="0" collapsed="false">
      <c r="A7013" s="3" t="s">
        <v>479</v>
      </c>
      <c r="B7013" s="4" t="s">
        <v>50</v>
      </c>
      <c r="C7013" s="4" t="n">
        <v>7</v>
      </c>
      <c r="D7013" s="4" t="s">
        <v>30</v>
      </c>
      <c r="E7013" s="3" t="s">
        <v>382</v>
      </c>
      <c r="F7013" s="4" t="str">
        <f aca="false">IF(I7013&gt;J7013,"Y","N")</f>
        <v>N</v>
      </c>
      <c r="G7013" s="3" t="s">
        <v>378</v>
      </c>
      <c r="H7013" s="3" t="s">
        <v>39</v>
      </c>
      <c r="I7013" s="4" t="n">
        <v>8</v>
      </c>
      <c r="J7013" s="4" t="n">
        <f aca="false">LEN(E7013)-LEN(SUBSTITUTE(E7013,",",""))+1</f>
        <v>8</v>
      </c>
      <c r="K7013" s="3" t="str">
        <f aca="false">IFERROR(INDEX('Teacher Lookup'!$B$2:$B$200,MATCH(A7013,'Teacher Lookup'!$A$2:$A$200,0)),"")</f>
        <v>LAM Matthew</v>
      </c>
    </row>
    <row r="7014" customFormat="false" ht="15" hidden="false" customHeight="false" outlineLevel="0" collapsed="false">
      <c r="A7014" s="3" t="s">
        <v>479</v>
      </c>
      <c r="B7014" s="4" t="s">
        <v>60</v>
      </c>
      <c r="C7014" s="4" t="n">
        <v>1</v>
      </c>
      <c r="D7014" s="4" t="s">
        <v>52</v>
      </c>
      <c r="E7014" s="3" t="s">
        <v>286</v>
      </c>
      <c r="F7014" s="4" t="str">
        <f aca="false">IF(I7014&gt;J7014,"Y","N")</f>
        <v>N</v>
      </c>
      <c r="G7014" s="3" t="s">
        <v>235</v>
      </c>
      <c r="H7014" s="3" t="s">
        <v>16</v>
      </c>
      <c r="I7014" s="4" t="n">
        <v>1</v>
      </c>
      <c r="J7014" s="4" t="n">
        <f aca="false">LEN(E7014)-LEN(SUBSTITUTE(E7014,",",""))+1</f>
        <v>1</v>
      </c>
      <c r="K7014" s="3" t="str">
        <f aca="false">IFERROR(INDEX('Teacher Lookup'!$B$2:$B$200,MATCH(A7014,'Teacher Lookup'!$A$2:$A$200,0)),"")</f>
        <v>LAM Matthew</v>
      </c>
    </row>
    <row r="7015" customFormat="false" ht="15" hidden="false" customHeight="false" outlineLevel="0" collapsed="false">
      <c r="A7015" s="3" t="s">
        <v>479</v>
      </c>
      <c r="B7015" s="4" t="s">
        <v>60</v>
      </c>
      <c r="C7015" s="4" t="n">
        <v>3</v>
      </c>
      <c r="D7015" s="4" t="s">
        <v>24</v>
      </c>
      <c r="E7015" s="3" t="s">
        <v>383</v>
      </c>
      <c r="F7015" s="4" t="str">
        <f aca="false">IF(I7015&gt;J7015,"Y","N")</f>
        <v>N</v>
      </c>
      <c r="G7015" s="3" t="s">
        <v>378</v>
      </c>
      <c r="H7015" s="3" t="s">
        <v>26</v>
      </c>
      <c r="I7015" s="4" t="n">
        <v>8</v>
      </c>
      <c r="J7015" s="4" t="n">
        <f aca="false">LEN(E7015)-LEN(SUBSTITUTE(E7015,",",""))+1</f>
        <v>8</v>
      </c>
      <c r="K7015" s="3" t="str">
        <f aca="false">IFERROR(INDEX('Teacher Lookup'!$B$2:$B$200,MATCH(A7015,'Teacher Lookup'!$A$2:$A$200,0)),"")</f>
        <v>LAM Matthew</v>
      </c>
    </row>
    <row r="7016" customFormat="false" ht="15" hidden="false" customHeight="false" outlineLevel="0" collapsed="false">
      <c r="A7016" s="3" t="s">
        <v>479</v>
      </c>
      <c r="B7016" s="4" t="s">
        <v>60</v>
      </c>
      <c r="C7016" s="4" t="n">
        <v>3</v>
      </c>
      <c r="D7016" s="4" t="s">
        <v>27</v>
      </c>
      <c r="E7016" s="3" t="s">
        <v>383</v>
      </c>
      <c r="F7016" s="4" t="str">
        <f aca="false">IF(I7016&gt;J7016,"Y","N")</f>
        <v>N</v>
      </c>
      <c r="G7016" s="3" t="s">
        <v>378</v>
      </c>
      <c r="H7016" s="3" t="s">
        <v>26</v>
      </c>
      <c r="I7016" s="4" t="n">
        <v>8</v>
      </c>
      <c r="J7016" s="4" t="n">
        <f aca="false">LEN(E7016)-LEN(SUBSTITUTE(E7016,",",""))+1</f>
        <v>8</v>
      </c>
      <c r="K7016" s="3" t="str">
        <f aca="false">IFERROR(INDEX('Teacher Lookup'!$B$2:$B$200,MATCH(A7016,'Teacher Lookup'!$A$2:$A$200,0)),"")</f>
        <v>LAM Matthew</v>
      </c>
    </row>
    <row r="7017" customFormat="false" ht="15" hidden="false" customHeight="false" outlineLevel="0" collapsed="false">
      <c r="A7017" s="3" t="s">
        <v>479</v>
      </c>
      <c r="B7017" s="4" t="s">
        <v>60</v>
      </c>
      <c r="C7017" s="4" t="n">
        <v>3</v>
      </c>
      <c r="D7017" s="4" t="s">
        <v>28</v>
      </c>
      <c r="E7017" s="3" t="s">
        <v>383</v>
      </c>
      <c r="F7017" s="4" t="str">
        <f aca="false">IF(I7017&gt;J7017,"Y","N")</f>
        <v>N</v>
      </c>
      <c r="G7017" s="3" t="s">
        <v>378</v>
      </c>
      <c r="H7017" s="3" t="s">
        <v>26</v>
      </c>
      <c r="I7017" s="4" t="n">
        <v>8</v>
      </c>
      <c r="J7017" s="4" t="n">
        <f aca="false">LEN(E7017)-LEN(SUBSTITUTE(E7017,",",""))+1</f>
        <v>8</v>
      </c>
      <c r="K7017" s="3" t="str">
        <f aca="false">IFERROR(INDEX('Teacher Lookup'!$B$2:$B$200,MATCH(A7017,'Teacher Lookup'!$A$2:$A$200,0)),"")</f>
        <v>LAM Matthew</v>
      </c>
    </row>
    <row r="7018" customFormat="false" ht="15" hidden="false" customHeight="false" outlineLevel="0" collapsed="false">
      <c r="A7018" s="3" t="s">
        <v>479</v>
      </c>
      <c r="B7018" s="4" t="s">
        <v>60</v>
      </c>
      <c r="C7018" s="4" t="n">
        <v>3</v>
      </c>
      <c r="D7018" s="4" t="s">
        <v>29</v>
      </c>
      <c r="E7018" s="3" t="s">
        <v>383</v>
      </c>
      <c r="F7018" s="4" t="str">
        <f aca="false">IF(I7018&gt;J7018,"Y","N")</f>
        <v>N</v>
      </c>
      <c r="G7018" s="3" t="s">
        <v>378</v>
      </c>
      <c r="H7018" s="3" t="s">
        <v>26</v>
      </c>
      <c r="I7018" s="4" t="n">
        <v>8</v>
      </c>
      <c r="J7018" s="4" t="n">
        <f aca="false">LEN(E7018)-LEN(SUBSTITUTE(E7018,",",""))+1</f>
        <v>8</v>
      </c>
      <c r="K7018" s="3" t="str">
        <f aca="false">IFERROR(INDEX('Teacher Lookup'!$B$2:$B$200,MATCH(A7018,'Teacher Lookup'!$A$2:$A$200,0)),"")</f>
        <v>LAM Matthew</v>
      </c>
    </row>
    <row r="7019" customFormat="false" ht="15" hidden="false" customHeight="false" outlineLevel="0" collapsed="false">
      <c r="A7019" s="3" t="s">
        <v>479</v>
      </c>
      <c r="B7019" s="4" t="s">
        <v>60</v>
      </c>
      <c r="C7019" s="4" t="n">
        <v>3</v>
      </c>
      <c r="D7019" s="4" t="s">
        <v>30</v>
      </c>
      <c r="E7019" s="3" t="s">
        <v>383</v>
      </c>
      <c r="F7019" s="4" t="str">
        <f aca="false">IF(I7019&gt;J7019,"Y","N")</f>
        <v>N</v>
      </c>
      <c r="G7019" s="3" t="s">
        <v>378</v>
      </c>
      <c r="H7019" s="3" t="s">
        <v>26</v>
      </c>
      <c r="I7019" s="4" t="n">
        <v>8</v>
      </c>
      <c r="J7019" s="4" t="n">
        <f aca="false">LEN(E7019)-LEN(SUBSTITUTE(E7019,",",""))+1</f>
        <v>8</v>
      </c>
      <c r="K7019" s="3" t="str">
        <f aca="false">IFERROR(INDEX('Teacher Lookup'!$B$2:$B$200,MATCH(A7019,'Teacher Lookup'!$A$2:$A$200,0)),"")</f>
        <v>LAM Matthew</v>
      </c>
    </row>
    <row r="7020" customFormat="false" ht="15" hidden="false" customHeight="false" outlineLevel="0" collapsed="false">
      <c r="A7020" s="3" t="s">
        <v>479</v>
      </c>
      <c r="B7020" s="4" t="s">
        <v>60</v>
      </c>
      <c r="C7020" s="4" t="n">
        <v>5</v>
      </c>
      <c r="D7020" s="4" t="s">
        <v>228</v>
      </c>
      <c r="E7020" s="3" t="s">
        <v>229</v>
      </c>
      <c r="F7020" s="4" t="str">
        <f aca="false">IF(I7020&gt;J7020,"Y","N")</f>
        <v>Y</v>
      </c>
      <c r="G7020" s="3" t="s">
        <v>36</v>
      </c>
      <c r="H7020" s="3" t="s">
        <v>37</v>
      </c>
      <c r="I7020" s="4" t="n">
        <v>14</v>
      </c>
      <c r="J7020" s="4" t="n">
        <f aca="false">LEN(E7020)-LEN(SUBSTITUTE(E7020,",",""))+1</f>
        <v>6</v>
      </c>
      <c r="K7020" s="3" t="str">
        <f aca="false">IFERROR(INDEX('Teacher Lookup'!$B$2:$B$200,MATCH(A7020,'Teacher Lookup'!$A$2:$A$200,0)),"")</f>
        <v>LAM Matthew</v>
      </c>
    </row>
    <row r="7021" customFormat="false" ht="15" hidden="false" customHeight="false" outlineLevel="0" collapsed="false">
      <c r="A7021" s="3" t="s">
        <v>479</v>
      </c>
      <c r="B7021" s="4" t="s">
        <v>60</v>
      </c>
      <c r="C7021" s="4" t="n">
        <v>5</v>
      </c>
      <c r="D7021" s="4" t="s">
        <v>102</v>
      </c>
      <c r="E7021" s="3" t="s">
        <v>229</v>
      </c>
      <c r="F7021" s="4" t="str">
        <f aca="false">IF(I7021&gt;J7021,"Y","N")</f>
        <v>Y</v>
      </c>
      <c r="G7021" s="3" t="s">
        <v>36</v>
      </c>
      <c r="H7021" s="3" t="s">
        <v>37</v>
      </c>
      <c r="I7021" s="4" t="n">
        <v>14</v>
      </c>
      <c r="J7021" s="4" t="n">
        <f aca="false">LEN(E7021)-LEN(SUBSTITUTE(E7021,",",""))+1</f>
        <v>6</v>
      </c>
      <c r="K7021" s="3" t="str">
        <f aca="false">IFERROR(INDEX('Teacher Lookup'!$B$2:$B$200,MATCH(A7021,'Teacher Lookup'!$A$2:$A$200,0)),"")</f>
        <v>LAM Matthew</v>
      </c>
    </row>
    <row r="7022" customFormat="false" ht="15" hidden="false" customHeight="false" outlineLevel="0" collapsed="false">
      <c r="A7022" s="3" t="s">
        <v>479</v>
      </c>
      <c r="B7022" s="4" t="s">
        <v>60</v>
      </c>
      <c r="C7022" s="4" t="n">
        <v>5</v>
      </c>
      <c r="D7022" s="4" t="s">
        <v>105</v>
      </c>
      <c r="E7022" s="3" t="s">
        <v>229</v>
      </c>
      <c r="F7022" s="4" t="str">
        <f aca="false">IF(I7022&gt;J7022,"Y","N")</f>
        <v>Y</v>
      </c>
      <c r="G7022" s="3" t="s">
        <v>36</v>
      </c>
      <c r="H7022" s="3" t="s">
        <v>37</v>
      </c>
      <c r="I7022" s="4" t="n">
        <v>14</v>
      </c>
      <c r="J7022" s="4" t="n">
        <f aca="false">LEN(E7022)-LEN(SUBSTITUTE(E7022,",",""))+1</f>
        <v>6</v>
      </c>
      <c r="K7022" s="3" t="str">
        <f aca="false">IFERROR(INDEX('Teacher Lookup'!$B$2:$B$200,MATCH(A7022,'Teacher Lookup'!$A$2:$A$200,0)),"")</f>
        <v>LAM Matthew</v>
      </c>
    </row>
    <row r="7023" customFormat="false" ht="15" hidden="false" customHeight="false" outlineLevel="0" collapsed="false">
      <c r="A7023" s="3" t="s">
        <v>479</v>
      </c>
      <c r="B7023" s="4" t="s">
        <v>60</v>
      </c>
      <c r="C7023" s="4" t="n">
        <v>5</v>
      </c>
      <c r="D7023" s="4" t="s">
        <v>106</v>
      </c>
      <c r="E7023" s="3" t="s">
        <v>229</v>
      </c>
      <c r="F7023" s="4" t="str">
        <f aca="false">IF(I7023&gt;J7023,"Y","N")</f>
        <v>Y</v>
      </c>
      <c r="G7023" s="3" t="s">
        <v>36</v>
      </c>
      <c r="H7023" s="3" t="s">
        <v>37</v>
      </c>
      <c r="I7023" s="4" t="n">
        <v>14</v>
      </c>
      <c r="J7023" s="4" t="n">
        <f aca="false">LEN(E7023)-LEN(SUBSTITUTE(E7023,",",""))+1</f>
        <v>6</v>
      </c>
      <c r="K7023" s="3" t="str">
        <f aca="false">IFERROR(INDEX('Teacher Lookup'!$B$2:$B$200,MATCH(A7023,'Teacher Lookup'!$A$2:$A$200,0)),"")</f>
        <v>LAM Matthew</v>
      </c>
    </row>
    <row r="7024" customFormat="false" ht="15" hidden="false" customHeight="false" outlineLevel="0" collapsed="false">
      <c r="A7024" s="3" t="s">
        <v>479</v>
      </c>
      <c r="B7024" s="4" t="s">
        <v>60</v>
      </c>
      <c r="C7024" s="4" t="n">
        <v>5</v>
      </c>
      <c r="D7024" s="4" t="s">
        <v>107</v>
      </c>
      <c r="E7024" s="3" t="s">
        <v>229</v>
      </c>
      <c r="F7024" s="4" t="str">
        <f aca="false">IF(I7024&gt;J7024,"Y","N")</f>
        <v>Y</v>
      </c>
      <c r="G7024" s="3" t="s">
        <v>36</v>
      </c>
      <c r="H7024" s="3" t="s">
        <v>37</v>
      </c>
      <c r="I7024" s="4" t="n">
        <v>14</v>
      </c>
      <c r="J7024" s="4" t="n">
        <f aca="false">LEN(E7024)-LEN(SUBSTITUTE(E7024,",",""))+1</f>
        <v>6</v>
      </c>
      <c r="K7024" s="3" t="str">
        <f aca="false">IFERROR(INDEX('Teacher Lookup'!$B$2:$B$200,MATCH(A7024,'Teacher Lookup'!$A$2:$A$200,0)),"")</f>
        <v>LAM Matthew</v>
      </c>
    </row>
    <row r="7025" customFormat="false" ht="15" hidden="false" customHeight="false" outlineLevel="0" collapsed="false">
      <c r="A7025" s="3" t="s">
        <v>479</v>
      </c>
      <c r="B7025" s="4" t="s">
        <v>63</v>
      </c>
      <c r="C7025" s="4" t="n">
        <v>3</v>
      </c>
      <c r="D7025" s="4" t="s">
        <v>102</v>
      </c>
      <c r="E7025" s="3" t="s">
        <v>471</v>
      </c>
      <c r="F7025" s="4" t="str">
        <f aca="false">IF(I7025&gt;J7025,"Y","N")</f>
        <v>N</v>
      </c>
      <c r="G7025" s="3" t="s">
        <v>466</v>
      </c>
      <c r="H7025" s="3" t="s">
        <v>26</v>
      </c>
      <c r="I7025" s="4" t="n">
        <v>4</v>
      </c>
      <c r="J7025" s="4" t="n">
        <f aca="false">LEN(E7025)-LEN(SUBSTITUTE(E7025,",",""))+1</f>
        <v>4</v>
      </c>
      <c r="K7025" s="3" t="str">
        <f aca="false">IFERROR(INDEX('Teacher Lookup'!$B$2:$B$200,MATCH(A7025,'Teacher Lookup'!$A$2:$A$200,0)),"")</f>
        <v>LAM Matthew</v>
      </c>
    </row>
    <row r="7026" customFormat="false" ht="15" hidden="false" customHeight="false" outlineLevel="0" collapsed="false">
      <c r="A7026" s="3" t="s">
        <v>479</v>
      </c>
      <c r="B7026" s="4" t="s">
        <v>63</v>
      </c>
      <c r="C7026" s="4" t="n">
        <v>3</v>
      </c>
      <c r="D7026" s="4" t="s">
        <v>107</v>
      </c>
      <c r="E7026" s="3" t="s">
        <v>471</v>
      </c>
      <c r="F7026" s="4" t="str">
        <f aca="false">IF(I7026&gt;J7026,"Y","N")</f>
        <v>N</v>
      </c>
      <c r="G7026" s="3" t="s">
        <v>466</v>
      </c>
      <c r="H7026" s="3" t="s">
        <v>26</v>
      </c>
      <c r="I7026" s="4" t="n">
        <v>4</v>
      </c>
      <c r="J7026" s="4" t="n">
        <f aca="false">LEN(E7026)-LEN(SUBSTITUTE(E7026,",",""))+1</f>
        <v>4</v>
      </c>
      <c r="K7026" s="3" t="str">
        <f aca="false">IFERROR(INDEX('Teacher Lookup'!$B$2:$B$200,MATCH(A7026,'Teacher Lookup'!$A$2:$A$200,0)),"")</f>
        <v>LAM Matthew</v>
      </c>
    </row>
    <row r="7027" customFormat="false" ht="15" hidden="false" customHeight="false" outlineLevel="0" collapsed="false">
      <c r="A7027" s="3" t="s">
        <v>479</v>
      </c>
      <c r="B7027" s="4" t="s">
        <v>65</v>
      </c>
      <c r="C7027" s="4" t="n">
        <v>1</v>
      </c>
      <c r="D7027" s="4" t="s">
        <v>52</v>
      </c>
      <c r="E7027" s="3" t="s">
        <v>246</v>
      </c>
      <c r="F7027" s="4" t="str">
        <f aca="false">IF(I7027&gt;J7027,"Y","N")</f>
        <v>N</v>
      </c>
      <c r="G7027" s="3" t="s">
        <v>235</v>
      </c>
      <c r="H7027" s="3" t="s">
        <v>16</v>
      </c>
      <c r="I7027" s="4" t="n">
        <v>1</v>
      </c>
      <c r="J7027" s="4" t="n">
        <f aca="false">LEN(E7027)-LEN(SUBSTITUTE(E7027,",",""))+1</f>
        <v>1</v>
      </c>
      <c r="K7027" s="3" t="str">
        <f aca="false">IFERROR(INDEX('Teacher Lookup'!$B$2:$B$200,MATCH(A7027,'Teacher Lookup'!$A$2:$A$200,0)),"")</f>
        <v>LAM Matthew</v>
      </c>
    </row>
    <row r="7028" customFormat="false" ht="15" hidden="false" customHeight="false" outlineLevel="0" collapsed="false">
      <c r="A7028" s="3" t="s">
        <v>479</v>
      </c>
      <c r="B7028" s="4" t="s">
        <v>65</v>
      </c>
      <c r="C7028" s="4" t="n">
        <v>3</v>
      </c>
      <c r="D7028" s="4" t="s">
        <v>102</v>
      </c>
      <c r="E7028" s="3" t="s">
        <v>468</v>
      </c>
      <c r="F7028" s="4" t="str">
        <f aca="false">IF(I7028&gt;J7028,"Y","N")</f>
        <v>N</v>
      </c>
      <c r="G7028" s="3" t="s">
        <v>466</v>
      </c>
      <c r="H7028" s="3" t="s">
        <v>26</v>
      </c>
      <c r="I7028" s="4" t="n">
        <v>4</v>
      </c>
      <c r="J7028" s="4" t="n">
        <f aca="false">LEN(E7028)-LEN(SUBSTITUTE(E7028,",",""))+1</f>
        <v>4</v>
      </c>
      <c r="K7028" s="3" t="str">
        <f aca="false">IFERROR(INDEX('Teacher Lookup'!$B$2:$B$200,MATCH(A7028,'Teacher Lookup'!$A$2:$A$200,0)),"")</f>
        <v>LAM Matthew</v>
      </c>
    </row>
    <row r="7029" customFormat="false" ht="15" hidden="false" customHeight="false" outlineLevel="0" collapsed="false">
      <c r="A7029" s="3" t="s">
        <v>479</v>
      </c>
      <c r="B7029" s="4" t="s">
        <v>65</v>
      </c>
      <c r="C7029" s="4" t="n">
        <v>3</v>
      </c>
      <c r="D7029" s="4" t="s">
        <v>107</v>
      </c>
      <c r="E7029" s="3" t="s">
        <v>468</v>
      </c>
      <c r="F7029" s="4" t="str">
        <f aca="false">IF(I7029&gt;J7029,"Y","N")</f>
        <v>N</v>
      </c>
      <c r="G7029" s="3" t="s">
        <v>466</v>
      </c>
      <c r="H7029" s="3" t="s">
        <v>26</v>
      </c>
      <c r="I7029" s="4" t="n">
        <v>4</v>
      </c>
      <c r="J7029" s="4" t="n">
        <f aca="false">LEN(E7029)-LEN(SUBSTITUTE(E7029,",",""))+1</f>
        <v>4</v>
      </c>
      <c r="K7029" s="3" t="str">
        <f aca="false">IFERROR(INDEX('Teacher Lookup'!$B$2:$B$200,MATCH(A7029,'Teacher Lookup'!$A$2:$A$200,0)),"")</f>
        <v>LAM Matthew</v>
      </c>
    </row>
    <row r="7030" customFormat="false" ht="15" hidden="false" customHeight="false" outlineLevel="0" collapsed="false">
      <c r="A7030" s="3" t="s">
        <v>479</v>
      </c>
      <c r="B7030" s="4" t="s">
        <v>65</v>
      </c>
      <c r="C7030" s="4" t="n">
        <v>5</v>
      </c>
      <c r="D7030" s="4" t="s">
        <v>228</v>
      </c>
      <c r="E7030" s="3" t="s">
        <v>229</v>
      </c>
      <c r="F7030" s="4" t="str">
        <f aca="false">IF(I7030&gt;J7030,"Y","N")</f>
        <v>Y</v>
      </c>
      <c r="G7030" s="3" t="s">
        <v>36</v>
      </c>
      <c r="H7030" s="3" t="s">
        <v>37</v>
      </c>
      <c r="I7030" s="4" t="n">
        <v>14</v>
      </c>
      <c r="J7030" s="4" t="n">
        <f aca="false">LEN(E7030)-LEN(SUBSTITUTE(E7030,",",""))+1</f>
        <v>6</v>
      </c>
      <c r="K7030" s="3" t="str">
        <f aca="false">IFERROR(INDEX('Teacher Lookup'!$B$2:$B$200,MATCH(A7030,'Teacher Lookup'!$A$2:$A$200,0)),"")</f>
        <v>LAM Matthew</v>
      </c>
    </row>
    <row r="7031" customFormat="false" ht="15" hidden="false" customHeight="false" outlineLevel="0" collapsed="false">
      <c r="A7031" s="3" t="s">
        <v>479</v>
      </c>
      <c r="B7031" s="4" t="s">
        <v>65</v>
      </c>
      <c r="C7031" s="4" t="n">
        <v>5</v>
      </c>
      <c r="D7031" s="4" t="s">
        <v>102</v>
      </c>
      <c r="E7031" s="3" t="s">
        <v>229</v>
      </c>
      <c r="F7031" s="4" t="str">
        <f aca="false">IF(I7031&gt;J7031,"Y","N")</f>
        <v>Y</v>
      </c>
      <c r="G7031" s="3" t="s">
        <v>36</v>
      </c>
      <c r="H7031" s="3" t="s">
        <v>37</v>
      </c>
      <c r="I7031" s="4" t="n">
        <v>14</v>
      </c>
      <c r="J7031" s="4" t="n">
        <f aca="false">LEN(E7031)-LEN(SUBSTITUTE(E7031,",",""))+1</f>
        <v>6</v>
      </c>
      <c r="K7031" s="3" t="str">
        <f aca="false">IFERROR(INDEX('Teacher Lookup'!$B$2:$B$200,MATCH(A7031,'Teacher Lookup'!$A$2:$A$200,0)),"")</f>
        <v>LAM Matthew</v>
      </c>
    </row>
    <row r="7032" customFormat="false" ht="15" hidden="false" customHeight="false" outlineLevel="0" collapsed="false">
      <c r="A7032" s="3" t="s">
        <v>479</v>
      </c>
      <c r="B7032" s="4" t="s">
        <v>65</v>
      </c>
      <c r="C7032" s="4" t="n">
        <v>5</v>
      </c>
      <c r="D7032" s="4" t="s">
        <v>105</v>
      </c>
      <c r="E7032" s="3" t="s">
        <v>229</v>
      </c>
      <c r="F7032" s="4" t="str">
        <f aca="false">IF(I7032&gt;J7032,"Y","N")</f>
        <v>Y</v>
      </c>
      <c r="G7032" s="3" t="s">
        <v>36</v>
      </c>
      <c r="H7032" s="3" t="s">
        <v>37</v>
      </c>
      <c r="I7032" s="4" t="n">
        <v>14</v>
      </c>
      <c r="J7032" s="4" t="n">
        <f aca="false">LEN(E7032)-LEN(SUBSTITUTE(E7032,",",""))+1</f>
        <v>6</v>
      </c>
      <c r="K7032" s="3" t="str">
        <f aca="false">IFERROR(INDEX('Teacher Lookup'!$B$2:$B$200,MATCH(A7032,'Teacher Lookup'!$A$2:$A$200,0)),"")</f>
        <v>LAM Matthew</v>
      </c>
    </row>
    <row r="7033" customFormat="false" ht="15" hidden="false" customHeight="false" outlineLevel="0" collapsed="false">
      <c r="A7033" s="3" t="s">
        <v>479</v>
      </c>
      <c r="B7033" s="4" t="s">
        <v>65</v>
      </c>
      <c r="C7033" s="4" t="n">
        <v>5</v>
      </c>
      <c r="D7033" s="4" t="s">
        <v>106</v>
      </c>
      <c r="E7033" s="3" t="s">
        <v>229</v>
      </c>
      <c r="F7033" s="4" t="str">
        <f aca="false">IF(I7033&gt;J7033,"Y","N")</f>
        <v>Y</v>
      </c>
      <c r="G7033" s="3" t="s">
        <v>36</v>
      </c>
      <c r="H7033" s="3" t="s">
        <v>37</v>
      </c>
      <c r="I7033" s="4" t="n">
        <v>14</v>
      </c>
      <c r="J7033" s="4" t="n">
        <f aca="false">LEN(E7033)-LEN(SUBSTITUTE(E7033,",",""))+1</f>
        <v>6</v>
      </c>
      <c r="K7033" s="3" t="str">
        <f aca="false">IFERROR(INDEX('Teacher Lookup'!$B$2:$B$200,MATCH(A7033,'Teacher Lookup'!$A$2:$A$200,0)),"")</f>
        <v>LAM Matthew</v>
      </c>
    </row>
    <row r="7034" customFormat="false" ht="15" hidden="false" customHeight="false" outlineLevel="0" collapsed="false">
      <c r="A7034" s="3" t="s">
        <v>479</v>
      </c>
      <c r="B7034" s="4" t="s">
        <v>65</v>
      </c>
      <c r="C7034" s="4" t="n">
        <v>5</v>
      </c>
      <c r="D7034" s="4" t="s">
        <v>107</v>
      </c>
      <c r="E7034" s="3" t="s">
        <v>229</v>
      </c>
      <c r="F7034" s="4" t="str">
        <f aca="false">IF(I7034&gt;J7034,"Y","N")</f>
        <v>Y</v>
      </c>
      <c r="G7034" s="3" t="s">
        <v>36</v>
      </c>
      <c r="H7034" s="3" t="s">
        <v>37</v>
      </c>
      <c r="I7034" s="4" t="n">
        <v>14</v>
      </c>
      <c r="J7034" s="4" t="n">
        <f aca="false">LEN(E7034)-LEN(SUBSTITUTE(E7034,",",""))+1</f>
        <v>6</v>
      </c>
      <c r="K7034" s="3" t="str">
        <f aca="false">IFERROR(INDEX('Teacher Lookup'!$B$2:$B$200,MATCH(A7034,'Teacher Lookup'!$A$2:$A$200,0)),"")</f>
        <v>LAM Matthew</v>
      </c>
    </row>
    <row r="7035" customFormat="false" ht="15" hidden="false" customHeight="false" outlineLevel="0" collapsed="false">
      <c r="A7035" s="3" t="s">
        <v>479</v>
      </c>
      <c r="B7035" s="4" t="s">
        <v>65</v>
      </c>
      <c r="C7035" s="4" t="n">
        <v>6</v>
      </c>
      <c r="D7035" s="4" t="s">
        <v>24</v>
      </c>
      <c r="E7035" s="3" t="s">
        <v>384</v>
      </c>
      <c r="F7035" s="4" t="str">
        <f aca="false">IF(I7035&gt;J7035,"Y","N")</f>
        <v>Y</v>
      </c>
      <c r="G7035" s="3" t="s">
        <v>378</v>
      </c>
      <c r="H7035" s="3" t="s">
        <v>42</v>
      </c>
      <c r="I7035" s="4" t="n">
        <v>9</v>
      </c>
      <c r="J7035" s="4" t="n">
        <f aca="false">LEN(E7035)-LEN(SUBSTITUTE(E7035,",",""))+1</f>
        <v>8</v>
      </c>
      <c r="K7035" s="3" t="str">
        <f aca="false">IFERROR(INDEX('Teacher Lookup'!$B$2:$B$200,MATCH(A7035,'Teacher Lookup'!$A$2:$A$200,0)),"")</f>
        <v>LAM Matthew</v>
      </c>
    </row>
    <row r="7036" customFormat="false" ht="15" hidden="false" customHeight="false" outlineLevel="0" collapsed="false">
      <c r="A7036" s="3" t="s">
        <v>479</v>
      </c>
      <c r="B7036" s="4" t="s">
        <v>65</v>
      </c>
      <c r="C7036" s="4" t="n">
        <v>6</v>
      </c>
      <c r="D7036" s="4" t="s">
        <v>27</v>
      </c>
      <c r="E7036" s="3" t="s">
        <v>384</v>
      </c>
      <c r="F7036" s="4" t="str">
        <f aca="false">IF(I7036&gt;J7036,"Y","N")</f>
        <v>Y</v>
      </c>
      <c r="G7036" s="3" t="s">
        <v>378</v>
      </c>
      <c r="H7036" s="3" t="s">
        <v>42</v>
      </c>
      <c r="I7036" s="4" t="n">
        <v>9</v>
      </c>
      <c r="J7036" s="4" t="n">
        <f aca="false">LEN(E7036)-LEN(SUBSTITUTE(E7036,",",""))+1</f>
        <v>8</v>
      </c>
      <c r="K7036" s="3" t="str">
        <f aca="false">IFERROR(INDEX('Teacher Lookup'!$B$2:$B$200,MATCH(A7036,'Teacher Lookup'!$A$2:$A$200,0)),"")</f>
        <v>LAM Matthew</v>
      </c>
    </row>
    <row r="7037" customFormat="false" ht="15" hidden="false" customHeight="false" outlineLevel="0" collapsed="false">
      <c r="A7037" s="3" t="s">
        <v>479</v>
      </c>
      <c r="B7037" s="4" t="s">
        <v>65</v>
      </c>
      <c r="C7037" s="4" t="n">
        <v>6</v>
      </c>
      <c r="D7037" s="4" t="s">
        <v>28</v>
      </c>
      <c r="E7037" s="3" t="s">
        <v>384</v>
      </c>
      <c r="F7037" s="4" t="str">
        <f aca="false">IF(I7037&gt;J7037,"Y","N")</f>
        <v>Y</v>
      </c>
      <c r="G7037" s="3" t="s">
        <v>378</v>
      </c>
      <c r="H7037" s="3" t="s">
        <v>42</v>
      </c>
      <c r="I7037" s="4" t="n">
        <v>9</v>
      </c>
      <c r="J7037" s="4" t="n">
        <f aca="false">LEN(E7037)-LEN(SUBSTITUTE(E7037,",",""))+1</f>
        <v>8</v>
      </c>
      <c r="K7037" s="3" t="str">
        <f aca="false">IFERROR(INDEX('Teacher Lookup'!$B$2:$B$200,MATCH(A7037,'Teacher Lookup'!$A$2:$A$200,0)),"")</f>
        <v>LAM Matthew</v>
      </c>
    </row>
    <row r="7038" customFormat="false" ht="15" hidden="false" customHeight="false" outlineLevel="0" collapsed="false">
      <c r="A7038" s="3" t="s">
        <v>479</v>
      </c>
      <c r="B7038" s="4" t="s">
        <v>65</v>
      </c>
      <c r="C7038" s="4" t="n">
        <v>6</v>
      </c>
      <c r="D7038" s="4" t="s">
        <v>29</v>
      </c>
      <c r="E7038" s="3" t="s">
        <v>384</v>
      </c>
      <c r="F7038" s="4" t="str">
        <f aca="false">IF(I7038&gt;J7038,"Y","N")</f>
        <v>Y</v>
      </c>
      <c r="G7038" s="3" t="s">
        <v>378</v>
      </c>
      <c r="H7038" s="3" t="s">
        <v>42</v>
      </c>
      <c r="I7038" s="4" t="n">
        <v>9</v>
      </c>
      <c r="J7038" s="4" t="n">
        <f aca="false">LEN(E7038)-LEN(SUBSTITUTE(E7038,",",""))+1</f>
        <v>8</v>
      </c>
      <c r="K7038" s="3" t="str">
        <f aca="false">IFERROR(INDEX('Teacher Lookup'!$B$2:$B$200,MATCH(A7038,'Teacher Lookup'!$A$2:$A$200,0)),"")</f>
        <v>LAM Matthew</v>
      </c>
    </row>
    <row r="7039" customFormat="false" ht="15" hidden="false" customHeight="false" outlineLevel="0" collapsed="false">
      <c r="A7039" s="3" t="s">
        <v>479</v>
      </c>
      <c r="B7039" s="4" t="s">
        <v>65</v>
      </c>
      <c r="C7039" s="4" t="n">
        <v>6</v>
      </c>
      <c r="D7039" s="4" t="s">
        <v>30</v>
      </c>
      <c r="E7039" s="3" t="s">
        <v>384</v>
      </c>
      <c r="F7039" s="4" t="str">
        <f aca="false">IF(I7039&gt;J7039,"Y","N")</f>
        <v>Y</v>
      </c>
      <c r="G7039" s="3" t="s">
        <v>378</v>
      </c>
      <c r="H7039" s="3" t="s">
        <v>42</v>
      </c>
      <c r="I7039" s="4" t="n">
        <v>9</v>
      </c>
      <c r="J7039" s="4" t="n">
        <f aca="false">LEN(E7039)-LEN(SUBSTITUTE(E7039,",",""))+1</f>
        <v>8</v>
      </c>
      <c r="K7039" s="3" t="str">
        <f aca="false">IFERROR(INDEX('Teacher Lookup'!$B$2:$B$200,MATCH(A7039,'Teacher Lookup'!$A$2:$A$200,0)),"")</f>
        <v>LAM Matthew</v>
      </c>
    </row>
    <row r="7040" customFormat="false" ht="15" hidden="false" customHeight="false" outlineLevel="0" collapsed="false">
      <c r="A7040" s="3" t="s">
        <v>479</v>
      </c>
      <c r="B7040" s="4" t="s">
        <v>66</v>
      </c>
      <c r="C7040" s="4" t="n">
        <v>3</v>
      </c>
      <c r="D7040" s="4" t="s">
        <v>74</v>
      </c>
      <c r="E7040" s="3" t="s">
        <v>246</v>
      </c>
      <c r="F7040" s="4" t="str">
        <f aca="false">IF(I7040&gt;J7040,"Y","N")</f>
        <v>N</v>
      </c>
      <c r="G7040" s="3" t="s">
        <v>235</v>
      </c>
      <c r="H7040" s="3" t="s">
        <v>26</v>
      </c>
      <c r="I7040" s="4" t="n">
        <v>1</v>
      </c>
      <c r="J7040" s="4" t="n">
        <f aca="false">LEN(E7040)-LEN(SUBSTITUTE(E7040,",",""))+1</f>
        <v>1</v>
      </c>
      <c r="K7040" s="3" t="str">
        <f aca="false">IFERROR(INDEX('Teacher Lookup'!$B$2:$B$200,MATCH(A7040,'Teacher Lookup'!$A$2:$A$200,0)),"")</f>
        <v>LAM Matthew</v>
      </c>
    </row>
    <row r="7041" customFormat="false" ht="15" hidden="false" customHeight="false" outlineLevel="0" collapsed="false">
      <c r="A7041" s="3" t="s">
        <v>479</v>
      </c>
      <c r="B7041" s="4" t="s">
        <v>66</v>
      </c>
      <c r="C7041" s="4" t="n">
        <v>4</v>
      </c>
      <c r="D7041" s="4" t="s">
        <v>102</v>
      </c>
      <c r="E7041" s="3" t="s">
        <v>472</v>
      </c>
      <c r="F7041" s="4" t="str">
        <f aca="false">IF(I7041&gt;J7041,"Y","N")</f>
        <v>N</v>
      </c>
      <c r="G7041" s="3" t="s">
        <v>466</v>
      </c>
      <c r="H7041" s="3" t="s">
        <v>34</v>
      </c>
      <c r="I7041" s="4" t="n">
        <v>4</v>
      </c>
      <c r="J7041" s="4" t="n">
        <f aca="false">LEN(E7041)-LEN(SUBSTITUTE(E7041,",",""))+1</f>
        <v>4</v>
      </c>
      <c r="K7041" s="3" t="str">
        <f aca="false">IFERROR(INDEX('Teacher Lookup'!$B$2:$B$200,MATCH(A7041,'Teacher Lookup'!$A$2:$A$200,0)),"")</f>
        <v>LAM Matthew</v>
      </c>
    </row>
    <row r="7042" customFormat="false" ht="15" hidden="false" customHeight="false" outlineLevel="0" collapsed="false">
      <c r="A7042" s="3" t="s">
        <v>479</v>
      </c>
      <c r="B7042" s="4" t="s">
        <v>66</v>
      </c>
      <c r="C7042" s="4" t="n">
        <v>4</v>
      </c>
      <c r="D7042" s="4" t="s">
        <v>107</v>
      </c>
      <c r="E7042" s="3" t="s">
        <v>472</v>
      </c>
      <c r="F7042" s="4" t="str">
        <f aca="false">IF(I7042&gt;J7042,"Y","N")</f>
        <v>N</v>
      </c>
      <c r="G7042" s="3" t="s">
        <v>466</v>
      </c>
      <c r="H7042" s="3" t="s">
        <v>34</v>
      </c>
      <c r="I7042" s="4" t="n">
        <v>4</v>
      </c>
      <c r="J7042" s="4" t="n">
        <f aca="false">LEN(E7042)-LEN(SUBSTITUTE(E7042,",",""))+1</f>
        <v>4</v>
      </c>
      <c r="K7042" s="3" t="str">
        <f aca="false">IFERROR(INDEX('Teacher Lookup'!$B$2:$B$200,MATCH(A7042,'Teacher Lookup'!$A$2:$A$200,0)),"")</f>
        <v>LAM Matthew</v>
      </c>
    </row>
    <row r="7043" customFormat="false" ht="15" hidden="false" customHeight="false" outlineLevel="0" collapsed="false">
      <c r="A7043" s="3" t="s">
        <v>479</v>
      </c>
      <c r="B7043" s="4" t="s">
        <v>66</v>
      </c>
      <c r="C7043" s="4" t="n">
        <v>6</v>
      </c>
      <c r="D7043" s="4" t="s">
        <v>24</v>
      </c>
      <c r="E7043" s="3" t="s">
        <v>385</v>
      </c>
      <c r="F7043" s="4" t="str">
        <f aca="false">IF(I7043&gt;J7043,"Y","N")</f>
        <v>N</v>
      </c>
      <c r="G7043" s="3" t="s">
        <v>378</v>
      </c>
      <c r="H7043" s="3" t="s">
        <v>42</v>
      </c>
      <c r="I7043" s="4" t="n">
        <v>8</v>
      </c>
      <c r="J7043" s="4" t="n">
        <f aca="false">LEN(E7043)-LEN(SUBSTITUTE(E7043,",",""))+1</f>
        <v>8</v>
      </c>
      <c r="K7043" s="3" t="str">
        <f aca="false">IFERROR(INDEX('Teacher Lookup'!$B$2:$B$200,MATCH(A7043,'Teacher Lookup'!$A$2:$A$200,0)),"")</f>
        <v>LAM Matthew</v>
      </c>
    </row>
    <row r="7044" customFormat="false" ht="15" hidden="false" customHeight="false" outlineLevel="0" collapsed="false">
      <c r="A7044" s="3" t="s">
        <v>479</v>
      </c>
      <c r="B7044" s="4" t="s">
        <v>66</v>
      </c>
      <c r="C7044" s="4" t="n">
        <v>6</v>
      </c>
      <c r="D7044" s="4" t="s">
        <v>27</v>
      </c>
      <c r="E7044" s="3" t="s">
        <v>385</v>
      </c>
      <c r="F7044" s="4" t="str">
        <f aca="false">IF(I7044&gt;J7044,"Y","N")</f>
        <v>N</v>
      </c>
      <c r="G7044" s="3" t="s">
        <v>378</v>
      </c>
      <c r="H7044" s="3" t="s">
        <v>42</v>
      </c>
      <c r="I7044" s="4" t="n">
        <v>8</v>
      </c>
      <c r="J7044" s="4" t="n">
        <f aca="false">LEN(E7044)-LEN(SUBSTITUTE(E7044,",",""))+1</f>
        <v>8</v>
      </c>
      <c r="K7044" s="3" t="str">
        <f aca="false">IFERROR(INDEX('Teacher Lookup'!$B$2:$B$200,MATCH(A7044,'Teacher Lookup'!$A$2:$A$200,0)),"")</f>
        <v>LAM Matthew</v>
      </c>
    </row>
    <row r="7045" customFormat="false" ht="15" hidden="false" customHeight="false" outlineLevel="0" collapsed="false">
      <c r="A7045" s="3" t="s">
        <v>479</v>
      </c>
      <c r="B7045" s="4" t="s">
        <v>66</v>
      </c>
      <c r="C7045" s="4" t="n">
        <v>6</v>
      </c>
      <c r="D7045" s="4" t="s">
        <v>28</v>
      </c>
      <c r="E7045" s="3" t="s">
        <v>385</v>
      </c>
      <c r="F7045" s="4" t="str">
        <f aca="false">IF(I7045&gt;J7045,"Y","N")</f>
        <v>N</v>
      </c>
      <c r="G7045" s="3" t="s">
        <v>378</v>
      </c>
      <c r="H7045" s="3" t="s">
        <v>42</v>
      </c>
      <c r="I7045" s="4" t="n">
        <v>8</v>
      </c>
      <c r="J7045" s="4" t="n">
        <f aca="false">LEN(E7045)-LEN(SUBSTITUTE(E7045,",",""))+1</f>
        <v>8</v>
      </c>
      <c r="K7045" s="3" t="str">
        <f aca="false">IFERROR(INDEX('Teacher Lookup'!$B$2:$B$200,MATCH(A7045,'Teacher Lookup'!$A$2:$A$200,0)),"")</f>
        <v>LAM Matthew</v>
      </c>
    </row>
    <row r="7046" customFormat="false" ht="15" hidden="false" customHeight="false" outlineLevel="0" collapsed="false">
      <c r="A7046" s="3" t="s">
        <v>479</v>
      </c>
      <c r="B7046" s="4" t="s">
        <v>66</v>
      </c>
      <c r="C7046" s="4" t="n">
        <v>6</v>
      </c>
      <c r="D7046" s="4" t="s">
        <v>29</v>
      </c>
      <c r="E7046" s="3" t="s">
        <v>385</v>
      </c>
      <c r="F7046" s="4" t="str">
        <f aca="false">IF(I7046&gt;J7046,"Y","N")</f>
        <v>N</v>
      </c>
      <c r="G7046" s="3" t="s">
        <v>378</v>
      </c>
      <c r="H7046" s="3" t="s">
        <v>42</v>
      </c>
      <c r="I7046" s="4" t="n">
        <v>8</v>
      </c>
      <c r="J7046" s="4" t="n">
        <f aca="false">LEN(E7046)-LEN(SUBSTITUTE(E7046,",",""))+1</f>
        <v>8</v>
      </c>
      <c r="K7046" s="3" t="str">
        <f aca="false">IFERROR(INDEX('Teacher Lookup'!$B$2:$B$200,MATCH(A7046,'Teacher Lookup'!$A$2:$A$200,0)),"")</f>
        <v>LAM Matthew</v>
      </c>
    </row>
    <row r="7047" customFormat="false" ht="15" hidden="false" customHeight="false" outlineLevel="0" collapsed="false">
      <c r="A7047" s="3" t="s">
        <v>479</v>
      </c>
      <c r="B7047" s="4" t="s">
        <v>66</v>
      </c>
      <c r="C7047" s="4" t="n">
        <v>6</v>
      </c>
      <c r="D7047" s="4" t="s">
        <v>30</v>
      </c>
      <c r="E7047" s="3" t="s">
        <v>385</v>
      </c>
      <c r="F7047" s="4" t="str">
        <f aca="false">IF(I7047&gt;J7047,"Y","N")</f>
        <v>N</v>
      </c>
      <c r="G7047" s="3" t="s">
        <v>378</v>
      </c>
      <c r="H7047" s="3" t="s">
        <v>42</v>
      </c>
      <c r="I7047" s="4" t="n">
        <v>8</v>
      </c>
      <c r="J7047" s="4" t="n">
        <f aca="false">LEN(E7047)-LEN(SUBSTITUTE(E7047,",",""))+1</f>
        <v>8</v>
      </c>
      <c r="K7047" s="3" t="str">
        <f aca="false">IFERROR(INDEX('Teacher Lookup'!$B$2:$B$200,MATCH(A7047,'Teacher Lookup'!$A$2:$A$200,0)),"")</f>
        <v>LAM Matthew</v>
      </c>
    </row>
    <row r="7048" customFormat="false" ht="15" hidden="false" customHeight="false" outlineLevel="0" collapsed="false">
      <c r="A7048" s="3" t="s">
        <v>479</v>
      </c>
      <c r="B7048" s="4" t="s">
        <v>66</v>
      </c>
      <c r="C7048" s="4" t="n">
        <v>7</v>
      </c>
      <c r="D7048" s="4" t="s">
        <v>52</v>
      </c>
      <c r="E7048" s="3" t="s">
        <v>246</v>
      </c>
      <c r="F7048" s="4" t="str">
        <f aca="false">IF(I7048&gt;J7048,"Y","N")</f>
        <v>N</v>
      </c>
      <c r="G7048" s="3" t="s">
        <v>235</v>
      </c>
      <c r="H7048" s="3" t="s">
        <v>39</v>
      </c>
      <c r="I7048" s="4" t="n">
        <v>1</v>
      </c>
      <c r="J7048" s="4" t="n">
        <f aca="false">LEN(E7048)-LEN(SUBSTITUTE(E7048,",",""))+1</f>
        <v>1</v>
      </c>
      <c r="K7048" s="3" t="str">
        <f aca="false">IFERROR(INDEX('Teacher Lookup'!$B$2:$B$200,MATCH(A7048,'Teacher Lookup'!$A$2:$A$200,0)),"")</f>
        <v>LAM Matthew</v>
      </c>
    </row>
    <row r="7049" customFormat="false" ht="15" hidden="false" customHeight="false" outlineLevel="0" collapsed="false">
      <c r="A7049" s="3" t="s">
        <v>480</v>
      </c>
      <c r="B7049" s="4" t="s">
        <v>12</v>
      </c>
      <c r="C7049" s="4" t="n">
        <v>1</v>
      </c>
      <c r="D7049" s="4" t="s">
        <v>102</v>
      </c>
      <c r="E7049" s="3" t="s">
        <v>309</v>
      </c>
      <c r="F7049" s="4" t="str">
        <f aca="false">IF(I7049&gt;J7049,"Y","N")</f>
        <v>Y</v>
      </c>
      <c r="G7049" s="3" t="s">
        <v>310</v>
      </c>
      <c r="H7049" s="3" t="s">
        <v>16</v>
      </c>
      <c r="I7049" s="4" t="n">
        <v>7</v>
      </c>
      <c r="J7049" s="4" t="n">
        <f aca="false">LEN(E7049)-LEN(SUBSTITUTE(E7049,",",""))+1</f>
        <v>6</v>
      </c>
      <c r="K7049" s="3" t="str">
        <f aca="false">IFERROR(INDEX('Teacher Lookup'!$B$2:$B$200,MATCH(A7049,'Teacher Lookup'!$A$2:$A$200,0)),"")</f>
        <v>LAM Matt</v>
      </c>
    </row>
    <row r="7050" customFormat="false" ht="15" hidden="false" customHeight="false" outlineLevel="0" collapsed="false">
      <c r="A7050" s="3" t="s">
        <v>480</v>
      </c>
      <c r="B7050" s="4" t="s">
        <v>12</v>
      </c>
      <c r="C7050" s="4" t="n">
        <v>1</v>
      </c>
      <c r="D7050" s="4" t="s">
        <v>105</v>
      </c>
      <c r="E7050" s="3" t="s">
        <v>309</v>
      </c>
      <c r="F7050" s="4" t="str">
        <f aca="false">IF(I7050&gt;J7050,"Y","N")</f>
        <v>Y</v>
      </c>
      <c r="G7050" s="3" t="s">
        <v>310</v>
      </c>
      <c r="H7050" s="3" t="s">
        <v>16</v>
      </c>
      <c r="I7050" s="4" t="n">
        <v>7</v>
      </c>
      <c r="J7050" s="4" t="n">
        <f aca="false">LEN(E7050)-LEN(SUBSTITUTE(E7050,",",""))+1</f>
        <v>6</v>
      </c>
      <c r="K7050" s="3" t="str">
        <f aca="false">IFERROR(INDEX('Teacher Lookup'!$B$2:$B$200,MATCH(A7050,'Teacher Lookup'!$A$2:$A$200,0)),"")</f>
        <v>LAM Matt</v>
      </c>
    </row>
    <row r="7051" customFormat="false" ht="15" hidden="false" customHeight="false" outlineLevel="0" collapsed="false">
      <c r="A7051" s="3" t="s">
        <v>480</v>
      </c>
      <c r="B7051" s="4" t="s">
        <v>12</v>
      </c>
      <c r="C7051" s="4" t="n">
        <v>1</v>
      </c>
      <c r="D7051" s="4" t="s">
        <v>106</v>
      </c>
      <c r="E7051" s="3" t="s">
        <v>309</v>
      </c>
      <c r="F7051" s="4" t="str">
        <f aca="false">IF(I7051&gt;J7051,"Y","N")</f>
        <v>Y</v>
      </c>
      <c r="G7051" s="3" t="s">
        <v>310</v>
      </c>
      <c r="H7051" s="3" t="s">
        <v>16</v>
      </c>
      <c r="I7051" s="4" t="n">
        <v>7</v>
      </c>
      <c r="J7051" s="4" t="n">
        <f aca="false">LEN(E7051)-LEN(SUBSTITUTE(E7051,",",""))+1</f>
        <v>6</v>
      </c>
      <c r="K7051" s="3" t="str">
        <f aca="false">IFERROR(INDEX('Teacher Lookup'!$B$2:$B$200,MATCH(A7051,'Teacher Lookup'!$A$2:$A$200,0)),"")</f>
        <v>LAM Matt</v>
      </c>
    </row>
    <row r="7052" customFormat="false" ht="15" hidden="false" customHeight="false" outlineLevel="0" collapsed="false">
      <c r="A7052" s="3" t="s">
        <v>480</v>
      </c>
      <c r="B7052" s="4" t="s">
        <v>12</v>
      </c>
      <c r="C7052" s="4" t="n">
        <v>1</v>
      </c>
      <c r="D7052" s="4" t="s">
        <v>107</v>
      </c>
      <c r="E7052" s="3" t="s">
        <v>309</v>
      </c>
      <c r="F7052" s="4" t="str">
        <f aca="false">IF(I7052&gt;J7052,"Y","N")</f>
        <v>Y</v>
      </c>
      <c r="G7052" s="3" t="s">
        <v>310</v>
      </c>
      <c r="H7052" s="3" t="s">
        <v>16</v>
      </c>
      <c r="I7052" s="4" t="n">
        <v>7</v>
      </c>
      <c r="J7052" s="4" t="n">
        <f aca="false">LEN(E7052)-LEN(SUBSTITUTE(E7052,",",""))+1</f>
        <v>6</v>
      </c>
      <c r="K7052" s="3" t="str">
        <f aca="false">IFERROR(INDEX('Teacher Lookup'!$B$2:$B$200,MATCH(A7052,'Teacher Lookup'!$A$2:$A$200,0)),"")</f>
        <v>LAM Matt</v>
      </c>
    </row>
    <row r="7053" customFormat="false" ht="15" hidden="false" customHeight="false" outlineLevel="0" collapsed="false">
      <c r="A7053" s="3" t="s">
        <v>480</v>
      </c>
      <c r="B7053" s="4" t="s">
        <v>12</v>
      </c>
      <c r="C7053" s="4" t="n">
        <v>2</v>
      </c>
      <c r="D7053" s="4" t="s">
        <v>24</v>
      </c>
      <c r="E7053" s="3" t="s">
        <v>271</v>
      </c>
      <c r="F7053" s="4" t="str">
        <f aca="false">IF(I7053&gt;J7053,"Y","N")</f>
        <v>Y</v>
      </c>
      <c r="G7053" s="3" t="s">
        <v>272</v>
      </c>
      <c r="H7053" s="3" t="s">
        <v>21</v>
      </c>
      <c r="I7053" s="4" t="n">
        <v>8</v>
      </c>
      <c r="J7053" s="4" t="n">
        <f aca="false">LEN(E7053)-LEN(SUBSTITUTE(E7053,",",""))+1</f>
        <v>7</v>
      </c>
      <c r="K7053" s="3" t="str">
        <f aca="false">IFERROR(INDEX('Teacher Lookup'!$B$2:$B$200,MATCH(A7053,'Teacher Lookup'!$A$2:$A$200,0)),"")</f>
        <v>LAM Matt</v>
      </c>
    </row>
    <row r="7054" customFormat="false" ht="15" hidden="false" customHeight="false" outlineLevel="0" collapsed="false">
      <c r="A7054" s="3" t="s">
        <v>480</v>
      </c>
      <c r="B7054" s="4" t="s">
        <v>12</v>
      </c>
      <c r="C7054" s="4" t="n">
        <v>2</v>
      </c>
      <c r="D7054" s="4" t="s">
        <v>27</v>
      </c>
      <c r="E7054" s="3" t="s">
        <v>271</v>
      </c>
      <c r="F7054" s="4" t="str">
        <f aca="false">IF(I7054&gt;J7054,"Y","N")</f>
        <v>Y</v>
      </c>
      <c r="G7054" s="3" t="s">
        <v>272</v>
      </c>
      <c r="H7054" s="3" t="s">
        <v>21</v>
      </c>
      <c r="I7054" s="4" t="n">
        <v>8</v>
      </c>
      <c r="J7054" s="4" t="n">
        <f aca="false">LEN(E7054)-LEN(SUBSTITUTE(E7054,",",""))+1</f>
        <v>7</v>
      </c>
      <c r="K7054" s="3" t="str">
        <f aca="false">IFERROR(INDEX('Teacher Lookup'!$B$2:$B$200,MATCH(A7054,'Teacher Lookup'!$A$2:$A$200,0)),"")</f>
        <v>LAM Matt</v>
      </c>
    </row>
    <row r="7055" customFormat="false" ht="15" hidden="false" customHeight="false" outlineLevel="0" collapsed="false">
      <c r="A7055" s="3" t="s">
        <v>480</v>
      </c>
      <c r="B7055" s="4" t="s">
        <v>12</v>
      </c>
      <c r="C7055" s="4" t="n">
        <v>2</v>
      </c>
      <c r="D7055" s="4" t="s">
        <v>28</v>
      </c>
      <c r="E7055" s="3" t="s">
        <v>271</v>
      </c>
      <c r="F7055" s="4" t="str">
        <f aca="false">IF(I7055&gt;J7055,"Y","N")</f>
        <v>Y</v>
      </c>
      <c r="G7055" s="3" t="s">
        <v>272</v>
      </c>
      <c r="H7055" s="3" t="s">
        <v>21</v>
      </c>
      <c r="I7055" s="4" t="n">
        <v>8</v>
      </c>
      <c r="J7055" s="4" t="n">
        <f aca="false">LEN(E7055)-LEN(SUBSTITUTE(E7055,",",""))+1</f>
        <v>7</v>
      </c>
      <c r="K7055" s="3" t="str">
        <f aca="false">IFERROR(INDEX('Teacher Lookup'!$B$2:$B$200,MATCH(A7055,'Teacher Lookup'!$A$2:$A$200,0)),"")</f>
        <v>LAM Matt</v>
      </c>
    </row>
    <row r="7056" customFormat="false" ht="15" hidden="false" customHeight="false" outlineLevel="0" collapsed="false">
      <c r="A7056" s="3" t="s">
        <v>480</v>
      </c>
      <c r="B7056" s="4" t="s">
        <v>12</v>
      </c>
      <c r="C7056" s="4" t="n">
        <v>2</v>
      </c>
      <c r="D7056" s="4" t="s">
        <v>29</v>
      </c>
      <c r="E7056" s="3" t="s">
        <v>271</v>
      </c>
      <c r="F7056" s="4" t="str">
        <f aca="false">IF(I7056&gt;J7056,"Y","N")</f>
        <v>Y</v>
      </c>
      <c r="G7056" s="3" t="s">
        <v>272</v>
      </c>
      <c r="H7056" s="3" t="s">
        <v>21</v>
      </c>
      <c r="I7056" s="4" t="n">
        <v>8</v>
      </c>
      <c r="J7056" s="4" t="n">
        <f aca="false">LEN(E7056)-LEN(SUBSTITUTE(E7056,",",""))+1</f>
        <v>7</v>
      </c>
      <c r="K7056" s="3" t="str">
        <f aca="false">IFERROR(INDEX('Teacher Lookup'!$B$2:$B$200,MATCH(A7056,'Teacher Lookup'!$A$2:$A$200,0)),"")</f>
        <v>LAM Matt</v>
      </c>
    </row>
    <row r="7057" customFormat="false" ht="15" hidden="false" customHeight="false" outlineLevel="0" collapsed="false">
      <c r="A7057" s="3" t="s">
        <v>480</v>
      </c>
      <c r="B7057" s="4" t="s">
        <v>12</v>
      </c>
      <c r="C7057" s="4" t="n">
        <v>2</v>
      </c>
      <c r="D7057" s="4" t="s">
        <v>30</v>
      </c>
      <c r="E7057" s="3" t="s">
        <v>271</v>
      </c>
      <c r="F7057" s="4" t="str">
        <f aca="false">IF(I7057&gt;J7057,"Y","N")</f>
        <v>Y</v>
      </c>
      <c r="G7057" s="3" t="s">
        <v>272</v>
      </c>
      <c r="H7057" s="3" t="s">
        <v>21</v>
      </c>
      <c r="I7057" s="4" t="n">
        <v>8</v>
      </c>
      <c r="J7057" s="4" t="n">
        <f aca="false">LEN(E7057)-LEN(SUBSTITUTE(E7057,",",""))+1</f>
        <v>7</v>
      </c>
      <c r="K7057" s="3" t="str">
        <f aca="false">IFERROR(INDEX('Teacher Lookup'!$B$2:$B$200,MATCH(A7057,'Teacher Lookup'!$A$2:$A$200,0)),"")</f>
        <v>LAM Matt</v>
      </c>
    </row>
    <row r="7058" customFormat="false" ht="15" hidden="false" customHeight="false" outlineLevel="0" collapsed="false">
      <c r="A7058" s="3" t="s">
        <v>480</v>
      </c>
      <c r="B7058" s="4" t="s">
        <v>12</v>
      </c>
      <c r="C7058" s="4" t="n">
        <v>7</v>
      </c>
      <c r="D7058" s="4" t="s">
        <v>132</v>
      </c>
      <c r="E7058" s="3" t="s">
        <v>293</v>
      </c>
      <c r="F7058" s="4" t="str">
        <f aca="false">IF(I7058&gt;J7058,"Y","N")</f>
        <v>N</v>
      </c>
      <c r="G7058" s="3" t="s">
        <v>235</v>
      </c>
      <c r="H7058" s="3" t="s">
        <v>39</v>
      </c>
      <c r="I7058" s="4" t="n">
        <v>1</v>
      </c>
      <c r="J7058" s="4" t="n">
        <f aca="false">LEN(E7058)-LEN(SUBSTITUTE(E7058,",",""))+1</f>
        <v>1</v>
      </c>
      <c r="K7058" s="3" t="str">
        <f aca="false">IFERROR(INDEX('Teacher Lookup'!$B$2:$B$200,MATCH(A7058,'Teacher Lookup'!$A$2:$A$200,0)),"")</f>
        <v>LAM Matt</v>
      </c>
    </row>
    <row r="7059" customFormat="false" ht="15" hidden="false" customHeight="false" outlineLevel="0" collapsed="false">
      <c r="A7059" s="3" t="s">
        <v>480</v>
      </c>
      <c r="B7059" s="4" t="s">
        <v>31</v>
      </c>
      <c r="C7059" s="4" t="n">
        <v>1</v>
      </c>
      <c r="D7059" s="4" t="s">
        <v>24</v>
      </c>
      <c r="E7059" s="3" t="s">
        <v>274</v>
      </c>
      <c r="F7059" s="4" t="str">
        <f aca="false">IF(I7059&gt;J7059,"Y","N")</f>
        <v>Y</v>
      </c>
      <c r="G7059" s="3" t="s">
        <v>272</v>
      </c>
      <c r="H7059" s="3" t="s">
        <v>16</v>
      </c>
      <c r="I7059" s="4" t="n">
        <v>8</v>
      </c>
      <c r="J7059" s="4" t="n">
        <f aca="false">LEN(E7059)-LEN(SUBSTITUTE(E7059,",",""))+1</f>
        <v>7</v>
      </c>
      <c r="K7059" s="3" t="str">
        <f aca="false">IFERROR(INDEX('Teacher Lookup'!$B$2:$B$200,MATCH(A7059,'Teacher Lookup'!$A$2:$A$200,0)),"")</f>
        <v>LAM Matt</v>
      </c>
    </row>
    <row r="7060" customFormat="false" ht="15" hidden="false" customHeight="false" outlineLevel="0" collapsed="false">
      <c r="A7060" s="3" t="s">
        <v>480</v>
      </c>
      <c r="B7060" s="4" t="s">
        <v>31</v>
      </c>
      <c r="C7060" s="4" t="n">
        <v>1</v>
      </c>
      <c r="D7060" s="4" t="s">
        <v>27</v>
      </c>
      <c r="E7060" s="3" t="s">
        <v>274</v>
      </c>
      <c r="F7060" s="4" t="str">
        <f aca="false">IF(I7060&gt;J7060,"Y","N")</f>
        <v>Y</v>
      </c>
      <c r="G7060" s="3" t="s">
        <v>272</v>
      </c>
      <c r="H7060" s="3" t="s">
        <v>16</v>
      </c>
      <c r="I7060" s="4" t="n">
        <v>8</v>
      </c>
      <c r="J7060" s="4" t="n">
        <f aca="false">LEN(E7060)-LEN(SUBSTITUTE(E7060,",",""))+1</f>
        <v>7</v>
      </c>
      <c r="K7060" s="3" t="str">
        <f aca="false">IFERROR(INDEX('Teacher Lookup'!$B$2:$B$200,MATCH(A7060,'Teacher Lookup'!$A$2:$A$200,0)),"")</f>
        <v>LAM Matt</v>
      </c>
    </row>
    <row r="7061" customFormat="false" ht="15" hidden="false" customHeight="false" outlineLevel="0" collapsed="false">
      <c r="A7061" s="3" t="s">
        <v>480</v>
      </c>
      <c r="B7061" s="4" t="s">
        <v>31</v>
      </c>
      <c r="C7061" s="4" t="n">
        <v>1</v>
      </c>
      <c r="D7061" s="4" t="s">
        <v>28</v>
      </c>
      <c r="E7061" s="3" t="s">
        <v>274</v>
      </c>
      <c r="F7061" s="4" t="str">
        <f aca="false">IF(I7061&gt;J7061,"Y","N")</f>
        <v>Y</v>
      </c>
      <c r="G7061" s="3" t="s">
        <v>272</v>
      </c>
      <c r="H7061" s="3" t="s">
        <v>16</v>
      </c>
      <c r="I7061" s="4" t="n">
        <v>8</v>
      </c>
      <c r="J7061" s="4" t="n">
        <f aca="false">LEN(E7061)-LEN(SUBSTITUTE(E7061,",",""))+1</f>
        <v>7</v>
      </c>
      <c r="K7061" s="3" t="str">
        <f aca="false">IFERROR(INDEX('Teacher Lookup'!$B$2:$B$200,MATCH(A7061,'Teacher Lookup'!$A$2:$A$200,0)),"")</f>
        <v>LAM Matt</v>
      </c>
    </row>
    <row r="7062" customFormat="false" ht="15" hidden="false" customHeight="false" outlineLevel="0" collapsed="false">
      <c r="A7062" s="3" t="s">
        <v>480</v>
      </c>
      <c r="B7062" s="4" t="s">
        <v>31</v>
      </c>
      <c r="C7062" s="4" t="n">
        <v>1</v>
      </c>
      <c r="D7062" s="4" t="s">
        <v>29</v>
      </c>
      <c r="E7062" s="3" t="s">
        <v>274</v>
      </c>
      <c r="F7062" s="4" t="str">
        <f aca="false">IF(I7062&gt;J7062,"Y","N")</f>
        <v>Y</v>
      </c>
      <c r="G7062" s="3" t="s">
        <v>272</v>
      </c>
      <c r="H7062" s="3" t="s">
        <v>16</v>
      </c>
      <c r="I7062" s="4" t="n">
        <v>8</v>
      </c>
      <c r="J7062" s="4" t="n">
        <f aca="false">LEN(E7062)-LEN(SUBSTITUTE(E7062,",",""))+1</f>
        <v>7</v>
      </c>
      <c r="K7062" s="3" t="str">
        <f aca="false">IFERROR(INDEX('Teacher Lookup'!$B$2:$B$200,MATCH(A7062,'Teacher Lookup'!$A$2:$A$200,0)),"")</f>
        <v>LAM Matt</v>
      </c>
    </row>
    <row r="7063" customFormat="false" ht="15" hidden="false" customHeight="false" outlineLevel="0" collapsed="false">
      <c r="A7063" s="3" t="s">
        <v>480</v>
      </c>
      <c r="B7063" s="4" t="s">
        <v>31</v>
      </c>
      <c r="C7063" s="4" t="n">
        <v>1</v>
      </c>
      <c r="D7063" s="4" t="s">
        <v>30</v>
      </c>
      <c r="E7063" s="3" t="s">
        <v>274</v>
      </c>
      <c r="F7063" s="4" t="str">
        <f aca="false">IF(I7063&gt;J7063,"Y","N")</f>
        <v>Y</v>
      </c>
      <c r="G7063" s="3" t="s">
        <v>272</v>
      </c>
      <c r="H7063" s="3" t="s">
        <v>16</v>
      </c>
      <c r="I7063" s="4" t="n">
        <v>8</v>
      </c>
      <c r="J7063" s="4" t="n">
        <f aca="false">LEN(E7063)-LEN(SUBSTITUTE(E7063,",",""))+1</f>
        <v>7</v>
      </c>
      <c r="K7063" s="3" t="str">
        <f aca="false">IFERROR(INDEX('Teacher Lookup'!$B$2:$B$200,MATCH(A7063,'Teacher Lookup'!$A$2:$A$200,0)),"")</f>
        <v>LAM Matt</v>
      </c>
    </row>
    <row r="7064" customFormat="false" ht="15" hidden="false" customHeight="false" outlineLevel="0" collapsed="false">
      <c r="A7064" s="3" t="s">
        <v>480</v>
      </c>
      <c r="B7064" s="4" t="s">
        <v>31</v>
      </c>
      <c r="C7064" s="4" t="n">
        <v>3</v>
      </c>
      <c r="D7064" s="4" t="s">
        <v>132</v>
      </c>
      <c r="E7064" s="3" t="s">
        <v>134</v>
      </c>
      <c r="F7064" s="4" t="str">
        <f aca="false">IF(I7064&gt;J7064,"Y","N")</f>
        <v>N</v>
      </c>
      <c r="G7064" s="3" t="s">
        <v>235</v>
      </c>
      <c r="H7064" s="3" t="s">
        <v>26</v>
      </c>
      <c r="I7064" s="4" t="n">
        <v>1</v>
      </c>
      <c r="J7064" s="4" t="n">
        <f aca="false">LEN(E7064)-LEN(SUBSTITUTE(E7064,",",""))+1</f>
        <v>1</v>
      </c>
      <c r="K7064" s="3" t="str">
        <f aca="false">IFERROR(INDEX('Teacher Lookup'!$B$2:$B$200,MATCH(A7064,'Teacher Lookup'!$A$2:$A$200,0)),"")</f>
        <v>LAM Matt</v>
      </c>
    </row>
    <row r="7065" customFormat="false" ht="15" hidden="false" customHeight="false" outlineLevel="0" collapsed="false">
      <c r="A7065" s="3" t="s">
        <v>480</v>
      </c>
      <c r="B7065" s="4" t="s">
        <v>31</v>
      </c>
      <c r="C7065" s="4" t="n">
        <v>4</v>
      </c>
      <c r="D7065" s="4" t="s">
        <v>102</v>
      </c>
      <c r="E7065" s="3" t="s">
        <v>313</v>
      </c>
      <c r="F7065" s="4" t="str">
        <f aca="false">IF(I7065&gt;J7065,"Y","N")</f>
        <v>Y</v>
      </c>
      <c r="G7065" s="3" t="s">
        <v>310</v>
      </c>
      <c r="H7065" s="3" t="s">
        <v>34</v>
      </c>
      <c r="I7065" s="4" t="n">
        <v>7</v>
      </c>
      <c r="J7065" s="4" t="n">
        <f aca="false">LEN(E7065)-LEN(SUBSTITUTE(E7065,",",""))+1</f>
        <v>6</v>
      </c>
      <c r="K7065" s="3" t="str">
        <f aca="false">IFERROR(INDEX('Teacher Lookup'!$B$2:$B$200,MATCH(A7065,'Teacher Lookup'!$A$2:$A$200,0)),"")</f>
        <v>LAM Matt</v>
      </c>
    </row>
    <row r="7066" customFormat="false" ht="15" hidden="false" customHeight="false" outlineLevel="0" collapsed="false">
      <c r="A7066" s="3" t="s">
        <v>480</v>
      </c>
      <c r="B7066" s="4" t="s">
        <v>31</v>
      </c>
      <c r="C7066" s="4" t="n">
        <v>4</v>
      </c>
      <c r="D7066" s="4" t="s">
        <v>105</v>
      </c>
      <c r="E7066" s="3" t="s">
        <v>313</v>
      </c>
      <c r="F7066" s="4" t="str">
        <f aca="false">IF(I7066&gt;J7066,"Y","N")</f>
        <v>Y</v>
      </c>
      <c r="G7066" s="3" t="s">
        <v>310</v>
      </c>
      <c r="H7066" s="3" t="s">
        <v>34</v>
      </c>
      <c r="I7066" s="4" t="n">
        <v>7</v>
      </c>
      <c r="J7066" s="4" t="n">
        <f aca="false">LEN(E7066)-LEN(SUBSTITUTE(E7066,",",""))+1</f>
        <v>6</v>
      </c>
      <c r="K7066" s="3" t="str">
        <f aca="false">IFERROR(INDEX('Teacher Lookup'!$B$2:$B$200,MATCH(A7066,'Teacher Lookup'!$A$2:$A$200,0)),"")</f>
        <v>LAM Matt</v>
      </c>
    </row>
    <row r="7067" customFormat="false" ht="15" hidden="false" customHeight="false" outlineLevel="0" collapsed="false">
      <c r="A7067" s="3" t="s">
        <v>480</v>
      </c>
      <c r="B7067" s="4" t="s">
        <v>31</v>
      </c>
      <c r="C7067" s="4" t="n">
        <v>4</v>
      </c>
      <c r="D7067" s="4" t="s">
        <v>106</v>
      </c>
      <c r="E7067" s="3" t="s">
        <v>313</v>
      </c>
      <c r="F7067" s="4" t="str">
        <f aca="false">IF(I7067&gt;J7067,"Y","N")</f>
        <v>Y</v>
      </c>
      <c r="G7067" s="3" t="s">
        <v>310</v>
      </c>
      <c r="H7067" s="3" t="s">
        <v>34</v>
      </c>
      <c r="I7067" s="4" t="n">
        <v>7</v>
      </c>
      <c r="J7067" s="4" t="n">
        <f aca="false">LEN(E7067)-LEN(SUBSTITUTE(E7067,",",""))+1</f>
        <v>6</v>
      </c>
      <c r="K7067" s="3" t="str">
        <f aca="false">IFERROR(INDEX('Teacher Lookup'!$B$2:$B$200,MATCH(A7067,'Teacher Lookup'!$A$2:$A$200,0)),"")</f>
        <v>LAM Matt</v>
      </c>
    </row>
    <row r="7068" customFormat="false" ht="15" hidden="false" customHeight="false" outlineLevel="0" collapsed="false">
      <c r="A7068" s="3" t="s">
        <v>480</v>
      </c>
      <c r="B7068" s="4" t="s">
        <v>31</v>
      </c>
      <c r="C7068" s="4" t="n">
        <v>4</v>
      </c>
      <c r="D7068" s="4" t="s">
        <v>107</v>
      </c>
      <c r="E7068" s="3" t="s">
        <v>313</v>
      </c>
      <c r="F7068" s="4" t="str">
        <f aca="false">IF(I7068&gt;J7068,"Y","N")</f>
        <v>Y</v>
      </c>
      <c r="G7068" s="3" t="s">
        <v>310</v>
      </c>
      <c r="H7068" s="3" t="s">
        <v>34</v>
      </c>
      <c r="I7068" s="4" t="n">
        <v>7</v>
      </c>
      <c r="J7068" s="4" t="n">
        <f aca="false">LEN(E7068)-LEN(SUBSTITUTE(E7068,",",""))+1</f>
        <v>6</v>
      </c>
      <c r="K7068" s="3" t="str">
        <f aca="false">IFERROR(INDEX('Teacher Lookup'!$B$2:$B$200,MATCH(A7068,'Teacher Lookup'!$A$2:$A$200,0)),"")</f>
        <v>LAM Matt</v>
      </c>
    </row>
    <row r="7069" customFormat="false" ht="15" hidden="false" customHeight="false" outlineLevel="0" collapsed="false">
      <c r="A7069" s="3" t="s">
        <v>480</v>
      </c>
      <c r="B7069" s="4" t="s">
        <v>31</v>
      </c>
      <c r="C7069" s="4" t="n">
        <v>5</v>
      </c>
      <c r="D7069" s="4" t="s">
        <v>24</v>
      </c>
      <c r="E7069" s="3" t="s">
        <v>131</v>
      </c>
      <c r="F7069" s="4" t="str">
        <f aca="false">IF(I7069&gt;J7069,"Y","N")</f>
        <v>Y</v>
      </c>
      <c r="G7069" s="3" t="s">
        <v>36</v>
      </c>
      <c r="H7069" s="3" t="s">
        <v>37</v>
      </c>
      <c r="I7069" s="4" t="n">
        <v>15</v>
      </c>
      <c r="J7069" s="4" t="n">
        <f aca="false">LEN(E7069)-LEN(SUBSTITUTE(E7069,",",""))+1</f>
        <v>7</v>
      </c>
      <c r="K7069" s="3" t="str">
        <f aca="false">IFERROR(INDEX('Teacher Lookup'!$B$2:$B$200,MATCH(A7069,'Teacher Lookup'!$A$2:$A$200,0)),"")</f>
        <v>LAM Matt</v>
      </c>
    </row>
    <row r="7070" customFormat="false" ht="15" hidden="false" customHeight="false" outlineLevel="0" collapsed="false">
      <c r="A7070" s="3" t="s">
        <v>480</v>
      </c>
      <c r="B7070" s="4" t="s">
        <v>31</v>
      </c>
      <c r="C7070" s="4" t="n">
        <v>5</v>
      </c>
      <c r="D7070" s="4" t="s">
        <v>132</v>
      </c>
      <c r="E7070" s="3" t="s">
        <v>131</v>
      </c>
      <c r="F7070" s="4" t="str">
        <f aca="false">IF(I7070&gt;J7070,"Y","N")</f>
        <v>Y</v>
      </c>
      <c r="G7070" s="3" t="s">
        <v>36</v>
      </c>
      <c r="H7070" s="3" t="s">
        <v>37</v>
      </c>
      <c r="I7070" s="4" t="n">
        <v>15</v>
      </c>
      <c r="J7070" s="4" t="n">
        <f aca="false">LEN(E7070)-LEN(SUBSTITUTE(E7070,",",""))+1</f>
        <v>7</v>
      </c>
      <c r="K7070" s="3" t="str">
        <f aca="false">IFERROR(INDEX('Teacher Lookup'!$B$2:$B$200,MATCH(A7070,'Teacher Lookup'!$A$2:$A$200,0)),"")</f>
        <v>LAM Matt</v>
      </c>
    </row>
    <row r="7071" customFormat="false" ht="15" hidden="false" customHeight="false" outlineLevel="0" collapsed="false">
      <c r="A7071" s="3" t="s">
        <v>480</v>
      </c>
      <c r="B7071" s="4" t="s">
        <v>31</v>
      </c>
      <c r="C7071" s="4" t="n">
        <v>5</v>
      </c>
      <c r="D7071" s="4" t="s">
        <v>27</v>
      </c>
      <c r="E7071" s="3" t="s">
        <v>131</v>
      </c>
      <c r="F7071" s="4" t="str">
        <f aca="false">IF(I7071&gt;J7071,"Y","N")</f>
        <v>Y</v>
      </c>
      <c r="G7071" s="3" t="s">
        <v>36</v>
      </c>
      <c r="H7071" s="3" t="s">
        <v>37</v>
      </c>
      <c r="I7071" s="4" t="n">
        <v>15</v>
      </c>
      <c r="J7071" s="4" t="n">
        <f aca="false">LEN(E7071)-LEN(SUBSTITUTE(E7071,",",""))+1</f>
        <v>7</v>
      </c>
      <c r="K7071" s="3" t="str">
        <f aca="false">IFERROR(INDEX('Teacher Lookup'!$B$2:$B$200,MATCH(A7071,'Teacher Lookup'!$A$2:$A$200,0)),"")</f>
        <v>LAM Matt</v>
      </c>
    </row>
    <row r="7072" customFormat="false" ht="15" hidden="false" customHeight="false" outlineLevel="0" collapsed="false">
      <c r="A7072" s="3" t="s">
        <v>480</v>
      </c>
      <c r="B7072" s="4" t="s">
        <v>31</v>
      </c>
      <c r="C7072" s="4" t="n">
        <v>5</v>
      </c>
      <c r="D7072" s="4" t="s">
        <v>28</v>
      </c>
      <c r="E7072" s="3" t="s">
        <v>131</v>
      </c>
      <c r="F7072" s="4" t="str">
        <f aca="false">IF(I7072&gt;J7072,"Y","N")</f>
        <v>Y</v>
      </c>
      <c r="G7072" s="3" t="s">
        <v>36</v>
      </c>
      <c r="H7072" s="3" t="s">
        <v>37</v>
      </c>
      <c r="I7072" s="4" t="n">
        <v>15</v>
      </c>
      <c r="J7072" s="4" t="n">
        <f aca="false">LEN(E7072)-LEN(SUBSTITUTE(E7072,",",""))+1</f>
        <v>7</v>
      </c>
      <c r="K7072" s="3" t="str">
        <f aca="false">IFERROR(INDEX('Teacher Lookup'!$B$2:$B$200,MATCH(A7072,'Teacher Lookup'!$A$2:$A$200,0)),"")</f>
        <v>LAM Matt</v>
      </c>
    </row>
    <row r="7073" customFormat="false" ht="15" hidden="false" customHeight="false" outlineLevel="0" collapsed="false">
      <c r="A7073" s="3" t="s">
        <v>480</v>
      </c>
      <c r="B7073" s="4" t="s">
        <v>31</v>
      </c>
      <c r="C7073" s="4" t="n">
        <v>5</v>
      </c>
      <c r="D7073" s="4" t="s">
        <v>29</v>
      </c>
      <c r="E7073" s="3" t="s">
        <v>131</v>
      </c>
      <c r="F7073" s="4" t="str">
        <f aca="false">IF(I7073&gt;J7073,"Y","N")</f>
        <v>Y</v>
      </c>
      <c r="G7073" s="3" t="s">
        <v>36</v>
      </c>
      <c r="H7073" s="3" t="s">
        <v>37</v>
      </c>
      <c r="I7073" s="4" t="n">
        <v>15</v>
      </c>
      <c r="J7073" s="4" t="n">
        <f aca="false">LEN(E7073)-LEN(SUBSTITUTE(E7073,",",""))+1</f>
        <v>7</v>
      </c>
      <c r="K7073" s="3" t="str">
        <f aca="false">IFERROR(INDEX('Teacher Lookup'!$B$2:$B$200,MATCH(A7073,'Teacher Lookup'!$A$2:$A$200,0)),"")</f>
        <v>LAM Matt</v>
      </c>
    </row>
    <row r="7074" customFormat="false" ht="15" hidden="false" customHeight="false" outlineLevel="0" collapsed="false">
      <c r="A7074" s="3" t="s">
        <v>480</v>
      </c>
      <c r="B7074" s="4" t="s">
        <v>31</v>
      </c>
      <c r="C7074" s="4" t="n">
        <v>5</v>
      </c>
      <c r="D7074" s="4" t="s">
        <v>30</v>
      </c>
      <c r="E7074" s="3" t="s">
        <v>131</v>
      </c>
      <c r="F7074" s="4" t="str">
        <f aca="false">IF(I7074&gt;J7074,"Y","N")</f>
        <v>Y</v>
      </c>
      <c r="G7074" s="3" t="s">
        <v>36</v>
      </c>
      <c r="H7074" s="3" t="s">
        <v>37</v>
      </c>
      <c r="I7074" s="4" t="n">
        <v>15</v>
      </c>
      <c r="J7074" s="4" t="n">
        <f aca="false">LEN(E7074)-LEN(SUBSTITUTE(E7074,",",""))+1</f>
        <v>7</v>
      </c>
      <c r="K7074" s="3" t="str">
        <f aca="false">IFERROR(INDEX('Teacher Lookup'!$B$2:$B$200,MATCH(A7074,'Teacher Lookup'!$A$2:$A$200,0)),"")</f>
        <v>LAM Matt</v>
      </c>
    </row>
    <row r="7075" customFormat="false" ht="15" hidden="false" customHeight="false" outlineLevel="0" collapsed="false">
      <c r="A7075" s="3" t="s">
        <v>480</v>
      </c>
      <c r="B7075" s="4" t="s">
        <v>40</v>
      </c>
      <c r="C7075" s="4" t="n">
        <v>3</v>
      </c>
      <c r="D7075" s="4" t="s">
        <v>24</v>
      </c>
      <c r="E7075" s="3" t="s">
        <v>275</v>
      </c>
      <c r="F7075" s="4" t="str">
        <f aca="false">IF(I7075&gt;J7075,"Y","N")</f>
        <v>Y</v>
      </c>
      <c r="G7075" s="3" t="s">
        <v>272</v>
      </c>
      <c r="H7075" s="3" t="s">
        <v>26</v>
      </c>
      <c r="I7075" s="4" t="n">
        <v>8</v>
      </c>
      <c r="J7075" s="4" t="n">
        <f aca="false">LEN(E7075)-LEN(SUBSTITUTE(E7075,",",""))+1</f>
        <v>7</v>
      </c>
      <c r="K7075" s="3" t="str">
        <f aca="false">IFERROR(INDEX('Teacher Lookup'!$B$2:$B$200,MATCH(A7075,'Teacher Lookup'!$A$2:$A$200,0)),"")</f>
        <v>LAM Matt</v>
      </c>
    </row>
    <row r="7076" customFormat="false" ht="15" hidden="false" customHeight="false" outlineLevel="0" collapsed="false">
      <c r="A7076" s="3" t="s">
        <v>480</v>
      </c>
      <c r="B7076" s="4" t="s">
        <v>40</v>
      </c>
      <c r="C7076" s="4" t="n">
        <v>3</v>
      </c>
      <c r="D7076" s="4" t="s">
        <v>27</v>
      </c>
      <c r="E7076" s="3" t="s">
        <v>275</v>
      </c>
      <c r="F7076" s="4" t="str">
        <f aca="false">IF(I7076&gt;J7076,"Y","N")</f>
        <v>Y</v>
      </c>
      <c r="G7076" s="3" t="s">
        <v>272</v>
      </c>
      <c r="H7076" s="3" t="s">
        <v>26</v>
      </c>
      <c r="I7076" s="4" t="n">
        <v>8</v>
      </c>
      <c r="J7076" s="4" t="n">
        <f aca="false">LEN(E7076)-LEN(SUBSTITUTE(E7076,",",""))+1</f>
        <v>7</v>
      </c>
      <c r="K7076" s="3" t="str">
        <f aca="false">IFERROR(INDEX('Teacher Lookup'!$B$2:$B$200,MATCH(A7076,'Teacher Lookup'!$A$2:$A$200,0)),"")</f>
        <v>LAM Matt</v>
      </c>
    </row>
    <row r="7077" customFormat="false" ht="15" hidden="false" customHeight="false" outlineLevel="0" collapsed="false">
      <c r="A7077" s="3" t="s">
        <v>480</v>
      </c>
      <c r="B7077" s="4" t="s">
        <v>40</v>
      </c>
      <c r="C7077" s="4" t="n">
        <v>3</v>
      </c>
      <c r="D7077" s="4" t="s">
        <v>28</v>
      </c>
      <c r="E7077" s="3" t="s">
        <v>275</v>
      </c>
      <c r="F7077" s="4" t="str">
        <f aca="false">IF(I7077&gt;J7077,"Y","N")</f>
        <v>Y</v>
      </c>
      <c r="G7077" s="3" t="s">
        <v>272</v>
      </c>
      <c r="H7077" s="3" t="s">
        <v>26</v>
      </c>
      <c r="I7077" s="4" t="n">
        <v>8</v>
      </c>
      <c r="J7077" s="4" t="n">
        <f aca="false">LEN(E7077)-LEN(SUBSTITUTE(E7077,",",""))+1</f>
        <v>7</v>
      </c>
      <c r="K7077" s="3" t="str">
        <f aca="false">IFERROR(INDEX('Teacher Lookup'!$B$2:$B$200,MATCH(A7077,'Teacher Lookup'!$A$2:$A$200,0)),"")</f>
        <v>LAM Matt</v>
      </c>
    </row>
    <row r="7078" customFormat="false" ht="15" hidden="false" customHeight="false" outlineLevel="0" collapsed="false">
      <c r="A7078" s="3" t="s">
        <v>480</v>
      </c>
      <c r="B7078" s="4" t="s">
        <v>40</v>
      </c>
      <c r="C7078" s="4" t="n">
        <v>3</v>
      </c>
      <c r="D7078" s="4" t="s">
        <v>29</v>
      </c>
      <c r="E7078" s="3" t="s">
        <v>275</v>
      </c>
      <c r="F7078" s="4" t="str">
        <f aca="false">IF(I7078&gt;J7078,"Y","N")</f>
        <v>Y</v>
      </c>
      <c r="G7078" s="3" t="s">
        <v>272</v>
      </c>
      <c r="H7078" s="3" t="s">
        <v>26</v>
      </c>
      <c r="I7078" s="4" t="n">
        <v>8</v>
      </c>
      <c r="J7078" s="4" t="n">
        <f aca="false">LEN(E7078)-LEN(SUBSTITUTE(E7078,",",""))+1</f>
        <v>7</v>
      </c>
      <c r="K7078" s="3" t="str">
        <f aca="false">IFERROR(INDEX('Teacher Lookup'!$B$2:$B$200,MATCH(A7078,'Teacher Lookup'!$A$2:$A$200,0)),"")</f>
        <v>LAM Matt</v>
      </c>
    </row>
    <row r="7079" customFormat="false" ht="15" hidden="false" customHeight="false" outlineLevel="0" collapsed="false">
      <c r="A7079" s="3" t="s">
        <v>480</v>
      </c>
      <c r="B7079" s="4" t="s">
        <v>40</v>
      </c>
      <c r="C7079" s="4" t="n">
        <v>3</v>
      </c>
      <c r="D7079" s="4" t="s">
        <v>30</v>
      </c>
      <c r="E7079" s="3" t="s">
        <v>275</v>
      </c>
      <c r="F7079" s="4" t="str">
        <f aca="false">IF(I7079&gt;J7079,"Y","N")</f>
        <v>Y</v>
      </c>
      <c r="G7079" s="3" t="s">
        <v>272</v>
      </c>
      <c r="H7079" s="3" t="s">
        <v>26</v>
      </c>
      <c r="I7079" s="4" t="n">
        <v>8</v>
      </c>
      <c r="J7079" s="4" t="n">
        <f aca="false">LEN(E7079)-LEN(SUBSTITUTE(E7079,",",""))+1</f>
        <v>7</v>
      </c>
      <c r="K7079" s="3" t="str">
        <f aca="false">IFERROR(INDEX('Teacher Lookup'!$B$2:$B$200,MATCH(A7079,'Teacher Lookup'!$A$2:$A$200,0)),"")</f>
        <v>LAM Matt</v>
      </c>
    </row>
    <row r="7080" customFormat="false" ht="15" hidden="false" customHeight="false" outlineLevel="0" collapsed="false">
      <c r="A7080" s="3" t="s">
        <v>480</v>
      </c>
      <c r="B7080" s="4" t="s">
        <v>40</v>
      </c>
      <c r="C7080" s="4" t="n">
        <v>4</v>
      </c>
      <c r="D7080" s="4" t="s">
        <v>132</v>
      </c>
      <c r="E7080" s="3" t="s">
        <v>246</v>
      </c>
      <c r="F7080" s="4" t="str">
        <f aca="false">IF(I7080&gt;J7080,"Y","N")</f>
        <v>N</v>
      </c>
      <c r="G7080" s="3" t="s">
        <v>235</v>
      </c>
      <c r="H7080" s="3" t="s">
        <v>34</v>
      </c>
      <c r="I7080" s="4" t="n">
        <v>1</v>
      </c>
      <c r="J7080" s="4" t="n">
        <f aca="false">LEN(E7080)-LEN(SUBSTITUTE(E7080,",",""))+1</f>
        <v>1</v>
      </c>
      <c r="K7080" s="3" t="str">
        <f aca="false">IFERROR(INDEX('Teacher Lookup'!$B$2:$B$200,MATCH(A7080,'Teacher Lookup'!$A$2:$A$200,0)),"")</f>
        <v>LAM Matt</v>
      </c>
    </row>
    <row r="7081" customFormat="false" ht="15" hidden="false" customHeight="false" outlineLevel="0" collapsed="false">
      <c r="A7081" s="3" t="s">
        <v>480</v>
      </c>
      <c r="B7081" s="4" t="s">
        <v>40</v>
      </c>
      <c r="C7081" s="4" t="n">
        <v>5</v>
      </c>
      <c r="D7081" s="4" t="s">
        <v>132</v>
      </c>
      <c r="E7081" s="3" t="s">
        <v>246</v>
      </c>
      <c r="F7081" s="4" t="str">
        <f aca="false">IF(I7081&gt;J7081,"Y","N")</f>
        <v>N</v>
      </c>
      <c r="G7081" s="3" t="s">
        <v>235</v>
      </c>
      <c r="H7081" s="3" t="s">
        <v>37</v>
      </c>
      <c r="I7081" s="4" t="n">
        <v>1</v>
      </c>
      <c r="J7081" s="4" t="n">
        <f aca="false">LEN(E7081)-LEN(SUBSTITUTE(E7081,",",""))+1</f>
        <v>1</v>
      </c>
      <c r="K7081" s="3" t="str">
        <f aca="false">IFERROR(INDEX('Teacher Lookup'!$B$2:$B$200,MATCH(A7081,'Teacher Lookup'!$A$2:$A$200,0)),"")</f>
        <v>LAM Matt</v>
      </c>
    </row>
    <row r="7082" customFormat="false" ht="15" hidden="false" customHeight="false" outlineLevel="0" collapsed="false">
      <c r="A7082" s="3" t="s">
        <v>480</v>
      </c>
      <c r="B7082" s="4" t="s">
        <v>40</v>
      </c>
      <c r="C7082" s="4" t="n">
        <v>6</v>
      </c>
      <c r="D7082" s="4" t="s">
        <v>102</v>
      </c>
      <c r="E7082" s="3" t="s">
        <v>314</v>
      </c>
      <c r="F7082" s="4" t="str">
        <f aca="false">IF(I7082&gt;J7082,"Y","N")</f>
        <v>Y</v>
      </c>
      <c r="G7082" s="3" t="s">
        <v>310</v>
      </c>
      <c r="H7082" s="3" t="s">
        <v>42</v>
      </c>
      <c r="I7082" s="4" t="n">
        <v>7</v>
      </c>
      <c r="J7082" s="4" t="n">
        <f aca="false">LEN(E7082)-LEN(SUBSTITUTE(E7082,",",""))+1</f>
        <v>6</v>
      </c>
      <c r="K7082" s="3" t="str">
        <f aca="false">IFERROR(INDEX('Teacher Lookup'!$B$2:$B$200,MATCH(A7082,'Teacher Lookup'!$A$2:$A$200,0)),"")</f>
        <v>LAM Matt</v>
      </c>
    </row>
    <row r="7083" customFormat="false" ht="15" hidden="false" customHeight="false" outlineLevel="0" collapsed="false">
      <c r="A7083" s="3" t="s">
        <v>480</v>
      </c>
      <c r="B7083" s="4" t="s">
        <v>40</v>
      </c>
      <c r="C7083" s="4" t="n">
        <v>6</v>
      </c>
      <c r="D7083" s="4" t="s">
        <v>105</v>
      </c>
      <c r="E7083" s="3" t="s">
        <v>314</v>
      </c>
      <c r="F7083" s="4" t="str">
        <f aca="false">IF(I7083&gt;J7083,"Y","N")</f>
        <v>Y</v>
      </c>
      <c r="G7083" s="3" t="s">
        <v>310</v>
      </c>
      <c r="H7083" s="3" t="s">
        <v>42</v>
      </c>
      <c r="I7083" s="4" t="n">
        <v>7</v>
      </c>
      <c r="J7083" s="4" t="n">
        <f aca="false">LEN(E7083)-LEN(SUBSTITUTE(E7083,",",""))+1</f>
        <v>6</v>
      </c>
      <c r="K7083" s="3" t="str">
        <f aca="false">IFERROR(INDEX('Teacher Lookup'!$B$2:$B$200,MATCH(A7083,'Teacher Lookup'!$A$2:$A$200,0)),"")</f>
        <v>LAM Matt</v>
      </c>
    </row>
    <row r="7084" customFormat="false" ht="15" hidden="false" customHeight="false" outlineLevel="0" collapsed="false">
      <c r="A7084" s="3" t="s">
        <v>480</v>
      </c>
      <c r="B7084" s="4" t="s">
        <v>40</v>
      </c>
      <c r="C7084" s="4" t="n">
        <v>6</v>
      </c>
      <c r="D7084" s="4" t="s">
        <v>106</v>
      </c>
      <c r="E7084" s="3" t="s">
        <v>314</v>
      </c>
      <c r="F7084" s="4" t="str">
        <f aca="false">IF(I7084&gt;J7084,"Y","N")</f>
        <v>Y</v>
      </c>
      <c r="G7084" s="3" t="s">
        <v>310</v>
      </c>
      <c r="H7084" s="3" t="s">
        <v>42</v>
      </c>
      <c r="I7084" s="4" t="n">
        <v>7</v>
      </c>
      <c r="J7084" s="4" t="n">
        <f aca="false">LEN(E7084)-LEN(SUBSTITUTE(E7084,",",""))+1</f>
        <v>6</v>
      </c>
      <c r="K7084" s="3" t="str">
        <f aca="false">IFERROR(INDEX('Teacher Lookup'!$B$2:$B$200,MATCH(A7084,'Teacher Lookup'!$A$2:$A$200,0)),"")</f>
        <v>LAM Matt</v>
      </c>
    </row>
    <row r="7085" customFormat="false" ht="15" hidden="false" customHeight="false" outlineLevel="0" collapsed="false">
      <c r="A7085" s="3" t="s">
        <v>480</v>
      </c>
      <c r="B7085" s="4" t="s">
        <v>40</v>
      </c>
      <c r="C7085" s="4" t="n">
        <v>6</v>
      </c>
      <c r="D7085" s="4" t="s">
        <v>107</v>
      </c>
      <c r="E7085" s="3" t="s">
        <v>314</v>
      </c>
      <c r="F7085" s="4" t="str">
        <f aca="false">IF(I7085&gt;J7085,"Y","N")</f>
        <v>Y</v>
      </c>
      <c r="G7085" s="3" t="s">
        <v>310</v>
      </c>
      <c r="H7085" s="3" t="s">
        <v>42</v>
      </c>
      <c r="I7085" s="4" t="n">
        <v>7</v>
      </c>
      <c r="J7085" s="4" t="n">
        <f aca="false">LEN(E7085)-LEN(SUBSTITUTE(E7085,",",""))+1</f>
        <v>6</v>
      </c>
      <c r="K7085" s="3" t="str">
        <f aca="false">IFERROR(INDEX('Teacher Lookup'!$B$2:$B$200,MATCH(A7085,'Teacher Lookup'!$A$2:$A$200,0)),"")</f>
        <v>LAM Matt</v>
      </c>
    </row>
    <row r="7086" customFormat="false" ht="15" hidden="false" customHeight="false" outlineLevel="0" collapsed="false">
      <c r="A7086" s="3" t="s">
        <v>480</v>
      </c>
      <c r="B7086" s="4" t="s">
        <v>40</v>
      </c>
      <c r="C7086" s="4" t="n">
        <v>7</v>
      </c>
      <c r="D7086" s="4" t="s">
        <v>102</v>
      </c>
      <c r="E7086" s="3" t="s">
        <v>314</v>
      </c>
      <c r="F7086" s="4" t="str">
        <f aca="false">IF(I7086&gt;J7086,"Y","N")</f>
        <v>Y</v>
      </c>
      <c r="G7086" s="3" t="s">
        <v>310</v>
      </c>
      <c r="H7086" s="3" t="s">
        <v>39</v>
      </c>
      <c r="I7086" s="4" t="n">
        <v>7</v>
      </c>
      <c r="J7086" s="4" t="n">
        <f aca="false">LEN(E7086)-LEN(SUBSTITUTE(E7086,",",""))+1</f>
        <v>6</v>
      </c>
      <c r="K7086" s="3" t="str">
        <f aca="false">IFERROR(INDEX('Teacher Lookup'!$B$2:$B$200,MATCH(A7086,'Teacher Lookup'!$A$2:$A$200,0)),"")</f>
        <v>LAM Matt</v>
      </c>
    </row>
    <row r="7087" customFormat="false" ht="15" hidden="false" customHeight="false" outlineLevel="0" collapsed="false">
      <c r="A7087" s="3" t="s">
        <v>480</v>
      </c>
      <c r="B7087" s="4" t="s">
        <v>40</v>
      </c>
      <c r="C7087" s="4" t="n">
        <v>7</v>
      </c>
      <c r="D7087" s="4" t="s">
        <v>105</v>
      </c>
      <c r="E7087" s="3" t="s">
        <v>314</v>
      </c>
      <c r="F7087" s="4" t="str">
        <f aca="false">IF(I7087&gt;J7087,"Y","N")</f>
        <v>Y</v>
      </c>
      <c r="G7087" s="3" t="s">
        <v>310</v>
      </c>
      <c r="H7087" s="3" t="s">
        <v>39</v>
      </c>
      <c r="I7087" s="4" t="n">
        <v>7</v>
      </c>
      <c r="J7087" s="4" t="n">
        <f aca="false">LEN(E7087)-LEN(SUBSTITUTE(E7087,",",""))+1</f>
        <v>6</v>
      </c>
      <c r="K7087" s="3" t="str">
        <f aca="false">IFERROR(INDEX('Teacher Lookup'!$B$2:$B$200,MATCH(A7087,'Teacher Lookup'!$A$2:$A$200,0)),"")</f>
        <v>LAM Matt</v>
      </c>
    </row>
    <row r="7088" customFormat="false" ht="15" hidden="false" customHeight="false" outlineLevel="0" collapsed="false">
      <c r="A7088" s="3" t="s">
        <v>480</v>
      </c>
      <c r="B7088" s="4" t="s">
        <v>40</v>
      </c>
      <c r="C7088" s="4" t="n">
        <v>7</v>
      </c>
      <c r="D7088" s="4" t="s">
        <v>106</v>
      </c>
      <c r="E7088" s="3" t="s">
        <v>314</v>
      </c>
      <c r="F7088" s="4" t="str">
        <f aca="false">IF(I7088&gt;J7088,"Y","N")</f>
        <v>Y</v>
      </c>
      <c r="G7088" s="3" t="s">
        <v>310</v>
      </c>
      <c r="H7088" s="3" t="s">
        <v>39</v>
      </c>
      <c r="I7088" s="4" t="n">
        <v>7</v>
      </c>
      <c r="J7088" s="4" t="n">
        <f aca="false">LEN(E7088)-LEN(SUBSTITUTE(E7088,",",""))+1</f>
        <v>6</v>
      </c>
      <c r="K7088" s="3" t="str">
        <f aca="false">IFERROR(INDEX('Teacher Lookup'!$B$2:$B$200,MATCH(A7088,'Teacher Lookup'!$A$2:$A$200,0)),"")</f>
        <v>LAM Matt</v>
      </c>
    </row>
    <row r="7089" customFormat="false" ht="15" hidden="false" customHeight="false" outlineLevel="0" collapsed="false">
      <c r="A7089" s="3" t="s">
        <v>480</v>
      </c>
      <c r="B7089" s="4" t="s">
        <v>40</v>
      </c>
      <c r="C7089" s="4" t="n">
        <v>7</v>
      </c>
      <c r="D7089" s="4" t="s">
        <v>107</v>
      </c>
      <c r="E7089" s="3" t="s">
        <v>314</v>
      </c>
      <c r="F7089" s="4" t="str">
        <f aca="false">IF(I7089&gt;J7089,"Y","N")</f>
        <v>Y</v>
      </c>
      <c r="G7089" s="3" t="s">
        <v>310</v>
      </c>
      <c r="H7089" s="3" t="s">
        <v>39</v>
      </c>
      <c r="I7089" s="4" t="n">
        <v>7</v>
      </c>
      <c r="J7089" s="4" t="n">
        <f aca="false">LEN(E7089)-LEN(SUBSTITUTE(E7089,",",""))+1</f>
        <v>6</v>
      </c>
      <c r="K7089" s="3" t="str">
        <f aca="false">IFERROR(INDEX('Teacher Lookup'!$B$2:$B$200,MATCH(A7089,'Teacher Lookup'!$A$2:$A$200,0)),"")</f>
        <v>LAM Matt</v>
      </c>
    </row>
    <row r="7090" customFormat="false" ht="15" hidden="false" customHeight="false" outlineLevel="0" collapsed="false">
      <c r="A7090" s="3" t="s">
        <v>480</v>
      </c>
      <c r="B7090" s="4" t="s">
        <v>44</v>
      </c>
      <c r="C7090" s="4" t="n">
        <v>5</v>
      </c>
      <c r="D7090" s="4" t="s">
        <v>24</v>
      </c>
      <c r="E7090" s="3" t="s">
        <v>131</v>
      </c>
      <c r="F7090" s="4" t="str">
        <f aca="false">IF(I7090&gt;J7090,"Y","N")</f>
        <v>Y</v>
      </c>
      <c r="G7090" s="3" t="s">
        <v>36</v>
      </c>
      <c r="H7090" s="3" t="s">
        <v>37</v>
      </c>
      <c r="I7090" s="4" t="n">
        <v>15</v>
      </c>
      <c r="J7090" s="4" t="n">
        <f aca="false">LEN(E7090)-LEN(SUBSTITUTE(E7090,",",""))+1</f>
        <v>7</v>
      </c>
      <c r="K7090" s="3" t="str">
        <f aca="false">IFERROR(INDEX('Teacher Lookup'!$B$2:$B$200,MATCH(A7090,'Teacher Lookup'!$A$2:$A$200,0)),"")</f>
        <v>LAM Matt</v>
      </c>
    </row>
    <row r="7091" customFormat="false" ht="15" hidden="false" customHeight="false" outlineLevel="0" collapsed="false">
      <c r="A7091" s="3" t="s">
        <v>480</v>
      </c>
      <c r="B7091" s="4" t="s">
        <v>44</v>
      </c>
      <c r="C7091" s="4" t="n">
        <v>5</v>
      </c>
      <c r="D7091" s="4" t="s">
        <v>132</v>
      </c>
      <c r="E7091" s="3" t="s">
        <v>131</v>
      </c>
      <c r="F7091" s="4" t="str">
        <f aca="false">IF(I7091&gt;J7091,"Y","N")</f>
        <v>Y</v>
      </c>
      <c r="G7091" s="3" t="s">
        <v>36</v>
      </c>
      <c r="H7091" s="3" t="s">
        <v>37</v>
      </c>
      <c r="I7091" s="4" t="n">
        <v>15</v>
      </c>
      <c r="J7091" s="4" t="n">
        <f aca="false">LEN(E7091)-LEN(SUBSTITUTE(E7091,",",""))+1</f>
        <v>7</v>
      </c>
      <c r="K7091" s="3" t="str">
        <f aca="false">IFERROR(INDEX('Teacher Lookup'!$B$2:$B$200,MATCH(A7091,'Teacher Lookup'!$A$2:$A$200,0)),"")</f>
        <v>LAM Matt</v>
      </c>
    </row>
    <row r="7092" customFormat="false" ht="15" hidden="false" customHeight="false" outlineLevel="0" collapsed="false">
      <c r="A7092" s="3" t="s">
        <v>480</v>
      </c>
      <c r="B7092" s="4" t="s">
        <v>44</v>
      </c>
      <c r="C7092" s="4" t="n">
        <v>5</v>
      </c>
      <c r="D7092" s="4" t="s">
        <v>27</v>
      </c>
      <c r="E7092" s="3" t="s">
        <v>131</v>
      </c>
      <c r="F7092" s="4" t="str">
        <f aca="false">IF(I7092&gt;J7092,"Y","N")</f>
        <v>Y</v>
      </c>
      <c r="G7092" s="3" t="s">
        <v>36</v>
      </c>
      <c r="H7092" s="3" t="s">
        <v>37</v>
      </c>
      <c r="I7092" s="4" t="n">
        <v>15</v>
      </c>
      <c r="J7092" s="4" t="n">
        <f aca="false">LEN(E7092)-LEN(SUBSTITUTE(E7092,",",""))+1</f>
        <v>7</v>
      </c>
      <c r="K7092" s="3" t="str">
        <f aca="false">IFERROR(INDEX('Teacher Lookup'!$B$2:$B$200,MATCH(A7092,'Teacher Lookup'!$A$2:$A$200,0)),"")</f>
        <v>LAM Matt</v>
      </c>
    </row>
    <row r="7093" customFormat="false" ht="15" hidden="false" customHeight="false" outlineLevel="0" collapsed="false">
      <c r="A7093" s="3" t="s">
        <v>480</v>
      </c>
      <c r="B7093" s="4" t="s">
        <v>44</v>
      </c>
      <c r="C7093" s="4" t="n">
        <v>5</v>
      </c>
      <c r="D7093" s="4" t="s">
        <v>28</v>
      </c>
      <c r="E7093" s="3" t="s">
        <v>131</v>
      </c>
      <c r="F7093" s="4" t="str">
        <f aca="false">IF(I7093&gt;J7093,"Y","N")</f>
        <v>Y</v>
      </c>
      <c r="G7093" s="3" t="s">
        <v>36</v>
      </c>
      <c r="H7093" s="3" t="s">
        <v>37</v>
      </c>
      <c r="I7093" s="4" t="n">
        <v>15</v>
      </c>
      <c r="J7093" s="4" t="n">
        <f aca="false">LEN(E7093)-LEN(SUBSTITUTE(E7093,",",""))+1</f>
        <v>7</v>
      </c>
      <c r="K7093" s="3" t="str">
        <f aca="false">IFERROR(INDEX('Teacher Lookup'!$B$2:$B$200,MATCH(A7093,'Teacher Lookup'!$A$2:$A$200,0)),"")</f>
        <v>LAM Matt</v>
      </c>
    </row>
    <row r="7094" customFormat="false" ht="15" hidden="false" customHeight="false" outlineLevel="0" collapsed="false">
      <c r="A7094" s="3" t="s">
        <v>480</v>
      </c>
      <c r="B7094" s="4" t="s">
        <v>44</v>
      </c>
      <c r="C7094" s="4" t="n">
        <v>5</v>
      </c>
      <c r="D7094" s="4" t="s">
        <v>29</v>
      </c>
      <c r="E7094" s="3" t="s">
        <v>131</v>
      </c>
      <c r="F7094" s="4" t="str">
        <f aca="false">IF(I7094&gt;J7094,"Y","N")</f>
        <v>Y</v>
      </c>
      <c r="G7094" s="3" t="s">
        <v>36</v>
      </c>
      <c r="H7094" s="3" t="s">
        <v>37</v>
      </c>
      <c r="I7094" s="4" t="n">
        <v>15</v>
      </c>
      <c r="J7094" s="4" t="n">
        <f aca="false">LEN(E7094)-LEN(SUBSTITUTE(E7094,",",""))+1</f>
        <v>7</v>
      </c>
      <c r="K7094" s="3" t="str">
        <f aca="false">IFERROR(INDEX('Teacher Lookup'!$B$2:$B$200,MATCH(A7094,'Teacher Lookup'!$A$2:$A$200,0)),"")</f>
        <v>LAM Matt</v>
      </c>
    </row>
    <row r="7095" customFormat="false" ht="15" hidden="false" customHeight="false" outlineLevel="0" collapsed="false">
      <c r="A7095" s="3" t="s">
        <v>480</v>
      </c>
      <c r="B7095" s="4" t="s">
        <v>44</v>
      </c>
      <c r="C7095" s="4" t="n">
        <v>5</v>
      </c>
      <c r="D7095" s="4" t="s">
        <v>30</v>
      </c>
      <c r="E7095" s="3" t="s">
        <v>131</v>
      </c>
      <c r="F7095" s="4" t="str">
        <f aca="false">IF(I7095&gt;J7095,"Y","N")</f>
        <v>Y</v>
      </c>
      <c r="G7095" s="3" t="s">
        <v>36</v>
      </c>
      <c r="H7095" s="3" t="s">
        <v>37</v>
      </c>
      <c r="I7095" s="4" t="n">
        <v>15</v>
      </c>
      <c r="J7095" s="4" t="n">
        <f aca="false">LEN(E7095)-LEN(SUBSTITUTE(E7095,",",""))+1</f>
        <v>7</v>
      </c>
      <c r="K7095" s="3" t="str">
        <f aca="false">IFERROR(INDEX('Teacher Lookup'!$B$2:$B$200,MATCH(A7095,'Teacher Lookup'!$A$2:$A$200,0)),"")</f>
        <v>LAM Matt</v>
      </c>
    </row>
    <row r="7096" customFormat="false" ht="15" hidden="false" customHeight="false" outlineLevel="0" collapsed="false">
      <c r="A7096" s="3" t="s">
        <v>480</v>
      </c>
      <c r="B7096" s="4" t="s">
        <v>47</v>
      </c>
      <c r="C7096" s="4" t="n">
        <v>1</v>
      </c>
      <c r="D7096" s="4" t="s">
        <v>24</v>
      </c>
      <c r="E7096" s="3" t="s">
        <v>277</v>
      </c>
      <c r="F7096" s="4" t="str">
        <f aca="false">IF(I7096&gt;J7096,"Y","N")</f>
        <v>Y</v>
      </c>
      <c r="G7096" s="3" t="s">
        <v>272</v>
      </c>
      <c r="H7096" s="3" t="s">
        <v>16</v>
      </c>
      <c r="I7096" s="4" t="n">
        <v>8</v>
      </c>
      <c r="J7096" s="4" t="n">
        <f aca="false">LEN(E7096)-LEN(SUBSTITUTE(E7096,",",""))+1</f>
        <v>7</v>
      </c>
      <c r="K7096" s="3" t="str">
        <f aca="false">IFERROR(INDEX('Teacher Lookup'!$B$2:$B$200,MATCH(A7096,'Teacher Lookup'!$A$2:$A$200,0)),"")</f>
        <v>LAM Matt</v>
      </c>
    </row>
    <row r="7097" customFormat="false" ht="15" hidden="false" customHeight="false" outlineLevel="0" collapsed="false">
      <c r="A7097" s="3" t="s">
        <v>480</v>
      </c>
      <c r="B7097" s="4" t="s">
        <v>47</v>
      </c>
      <c r="C7097" s="4" t="n">
        <v>1</v>
      </c>
      <c r="D7097" s="4" t="s">
        <v>27</v>
      </c>
      <c r="E7097" s="3" t="s">
        <v>277</v>
      </c>
      <c r="F7097" s="4" t="str">
        <f aca="false">IF(I7097&gt;J7097,"Y","N")</f>
        <v>Y</v>
      </c>
      <c r="G7097" s="3" t="s">
        <v>272</v>
      </c>
      <c r="H7097" s="3" t="s">
        <v>16</v>
      </c>
      <c r="I7097" s="4" t="n">
        <v>8</v>
      </c>
      <c r="J7097" s="4" t="n">
        <f aca="false">LEN(E7097)-LEN(SUBSTITUTE(E7097,",",""))+1</f>
        <v>7</v>
      </c>
      <c r="K7097" s="3" t="str">
        <f aca="false">IFERROR(INDEX('Teacher Lookup'!$B$2:$B$200,MATCH(A7097,'Teacher Lookup'!$A$2:$A$200,0)),"")</f>
        <v>LAM Matt</v>
      </c>
    </row>
    <row r="7098" customFormat="false" ht="15" hidden="false" customHeight="false" outlineLevel="0" collapsed="false">
      <c r="A7098" s="3" t="s">
        <v>480</v>
      </c>
      <c r="B7098" s="4" t="s">
        <v>47</v>
      </c>
      <c r="C7098" s="4" t="n">
        <v>1</v>
      </c>
      <c r="D7098" s="4" t="s">
        <v>28</v>
      </c>
      <c r="E7098" s="3" t="s">
        <v>277</v>
      </c>
      <c r="F7098" s="4" t="str">
        <f aca="false">IF(I7098&gt;J7098,"Y","N")</f>
        <v>Y</v>
      </c>
      <c r="G7098" s="3" t="s">
        <v>272</v>
      </c>
      <c r="H7098" s="3" t="s">
        <v>16</v>
      </c>
      <c r="I7098" s="4" t="n">
        <v>8</v>
      </c>
      <c r="J7098" s="4" t="n">
        <f aca="false">LEN(E7098)-LEN(SUBSTITUTE(E7098,",",""))+1</f>
        <v>7</v>
      </c>
      <c r="K7098" s="3" t="str">
        <f aca="false">IFERROR(INDEX('Teacher Lookup'!$B$2:$B$200,MATCH(A7098,'Teacher Lookup'!$A$2:$A$200,0)),"")</f>
        <v>LAM Matt</v>
      </c>
    </row>
    <row r="7099" customFormat="false" ht="15" hidden="false" customHeight="false" outlineLevel="0" collapsed="false">
      <c r="A7099" s="3" t="s">
        <v>480</v>
      </c>
      <c r="B7099" s="4" t="s">
        <v>47</v>
      </c>
      <c r="C7099" s="4" t="n">
        <v>1</v>
      </c>
      <c r="D7099" s="4" t="s">
        <v>29</v>
      </c>
      <c r="E7099" s="3" t="s">
        <v>277</v>
      </c>
      <c r="F7099" s="4" t="str">
        <f aca="false">IF(I7099&gt;J7099,"Y","N")</f>
        <v>Y</v>
      </c>
      <c r="G7099" s="3" t="s">
        <v>272</v>
      </c>
      <c r="H7099" s="3" t="s">
        <v>16</v>
      </c>
      <c r="I7099" s="4" t="n">
        <v>8</v>
      </c>
      <c r="J7099" s="4" t="n">
        <f aca="false">LEN(E7099)-LEN(SUBSTITUTE(E7099,",",""))+1</f>
        <v>7</v>
      </c>
      <c r="K7099" s="3" t="str">
        <f aca="false">IFERROR(INDEX('Teacher Lookup'!$B$2:$B$200,MATCH(A7099,'Teacher Lookup'!$A$2:$A$200,0)),"")</f>
        <v>LAM Matt</v>
      </c>
    </row>
    <row r="7100" customFormat="false" ht="15" hidden="false" customHeight="false" outlineLevel="0" collapsed="false">
      <c r="A7100" s="3" t="s">
        <v>480</v>
      </c>
      <c r="B7100" s="4" t="s">
        <v>47</v>
      </c>
      <c r="C7100" s="4" t="n">
        <v>1</v>
      </c>
      <c r="D7100" s="4" t="s">
        <v>30</v>
      </c>
      <c r="E7100" s="3" t="s">
        <v>277</v>
      </c>
      <c r="F7100" s="4" t="str">
        <f aca="false">IF(I7100&gt;J7100,"Y","N")</f>
        <v>Y</v>
      </c>
      <c r="G7100" s="3" t="s">
        <v>272</v>
      </c>
      <c r="H7100" s="3" t="s">
        <v>16</v>
      </c>
      <c r="I7100" s="4" t="n">
        <v>8</v>
      </c>
      <c r="J7100" s="4" t="n">
        <f aca="false">LEN(E7100)-LEN(SUBSTITUTE(E7100,",",""))+1</f>
        <v>7</v>
      </c>
      <c r="K7100" s="3" t="str">
        <f aca="false">IFERROR(INDEX('Teacher Lookup'!$B$2:$B$200,MATCH(A7100,'Teacher Lookup'!$A$2:$A$200,0)),"")</f>
        <v>LAM Matt</v>
      </c>
    </row>
    <row r="7101" customFormat="false" ht="15" hidden="false" customHeight="false" outlineLevel="0" collapsed="false">
      <c r="A7101" s="3" t="s">
        <v>480</v>
      </c>
      <c r="B7101" s="4" t="s">
        <v>47</v>
      </c>
      <c r="C7101" s="4" t="n">
        <v>2</v>
      </c>
      <c r="D7101" s="4" t="s">
        <v>102</v>
      </c>
      <c r="E7101" s="3" t="s">
        <v>315</v>
      </c>
      <c r="F7101" s="4" t="str">
        <f aca="false">IF(I7101&gt;J7101,"Y","N")</f>
        <v>Y</v>
      </c>
      <c r="G7101" s="3" t="s">
        <v>310</v>
      </c>
      <c r="H7101" s="3" t="s">
        <v>21</v>
      </c>
      <c r="I7101" s="4" t="n">
        <v>7</v>
      </c>
      <c r="J7101" s="4" t="n">
        <f aca="false">LEN(E7101)-LEN(SUBSTITUTE(E7101,",",""))+1</f>
        <v>6</v>
      </c>
      <c r="K7101" s="3" t="str">
        <f aca="false">IFERROR(INDEX('Teacher Lookup'!$B$2:$B$200,MATCH(A7101,'Teacher Lookup'!$A$2:$A$200,0)),"")</f>
        <v>LAM Matt</v>
      </c>
    </row>
    <row r="7102" customFormat="false" ht="15" hidden="false" customHeight="false" outlineLevel="0" collapsed="false">
      <c r="A7102" s="3" t="s">
        <v>480</v>
      </c>
      <c r="B7102" s="4" t="s">
        <v>47</v>
      </c>
      <c r="C7102" s="4" t="n">
        <v>2</v>
      </c>
      <c r="D7102" s="4" t="s">
        <v>105</v>
      </c>
      <c r="E7102" s="3" t="s">
        <v>315</v>
      </c>
      <c r="F7102" s="4" t="str">
        <f aca="false">IF(I7102&gt;J7102,"Y","N")</f>
        <v>Y</v>
      </c>
      <c r="G7102" s="3" t="s">
        <v>310</v>
      </c>
      <c r="H7102" s="3" t="s">
        <v>21</v>
      </c>
      <c r="I7102" s="4" t="n">
        <v>7</v>
      </c>
      <c r="J7102" s="4" t="n">
        <f aca="false">LEN(E7102)-LEN(SUBSTITUTE(E7102,",",""))+1</f>
        <v>6</v>
      </c>
      <c r="K7102" s="3" t="str">
        <f aca="false">IFERROR(INDEX('Teacher Lookup'!$B$2:$B$200,MATCH(A7102,'Teacher Lookup'!$A$2:$A$200,0)),"")</f>
        <v>LAM Matt</v>
      </c>
    </row>
    <row r="7103" customFormat="false" ht="15" hidden="false" customHeight="false" outlineLevel="0" collapsed="false">
      <c r="A7103" s="3" t="s">
        <v>480</v>
      </c>
      <c r="B7103" s="4" t="s">
        <v>47</v>
      </c>
      <c r="C7103" s="4" t="n">
        <v>2</v>
      </c>
      <c r="D7103" s="4" t="s">
        <v>106</v>
      </c>
      <c r="E7103" s="3" t="s">
        <v>315</v>
      </c>
      <c r="F7103" s="4" t="str">
        <f aca="false">IF(I7103&gt;J7103,"Y","N")</f>
        <v>Y</v>
      </c>
      <c r="G7103" s="3" t="s">
        <v>310</v>
      </c>
      <c r="H7103" s="3" t="s">
        <v>21</v>
      </c>
      <c r="I7103" s="4" t="n">
        <v>7</v>
      </c>
      <c r="J7103" s="4" t="n">
        <f aca="false">LEN(E7103)-LEN(SUBSTITUTE(E7103,",",""))+1</f>
        <v>6</v>
      </c>
      <c r="K7103" s="3" t="str">
        <f aca="false">IFERROR(INDEX('Teacher Lookup'!$B$2:$B$200,MATCH(A7103,'Teacher Lookup'!$A$2:$A$200,0)),"")</f>
        <v>LAM Matt</v>
      </c>
    </row>
    <row r="7104" customFormat="false" ht="15" hidden="false" customHeight="false" outlineLevel="0" collapsed="false">
      <c r="A7104" s="3" t="s">
        <v>480</v>
      </c>
      <c r="B7104" s="4" t="s">
        <v>47</v>
      </c>
      <c r="C7104" s="4" t="n">
        <v>2</v>
      </c>
      <c r="D7104" s="4" t="s">
        <v>107</v>
      </c>
      <c r="E7104" s="3" t="s">
        <v>315</v>
      </c>
      <c r="F7104" s="4" t="str">
        <f aca="false">IF(I7104&gt;J7104,"Y","N")</f>
        <v>Y</v>
      </c>
      <c r="G7104" s="3" t="s">
        <v>310</v>
      </c>
      <c r="H7104" s="3" t="s">
        <v>21</v>
      </c>
      <c r="I7104" s="4" t="n">
        <v>7</v>
      </c>
      <c r="J7104" s="4" t="n">
        <f aca="false">LEN(E7104)-LEN(SUBSTITUTE(E7104,",",""))+1</f>
        <v>6</v>
      </c>
      <c r="K7104" s="3" t="str">
        <f aca="false">IFERROR(INDEX('Teacher Lookup'!$B$2:$B$200,MATCH(A7104,'Teacher Lookup'!$A$2:$A$200,0)),"")</f>
        <v>LAM Matt</v>
      </c>
    </row>
    <row r="7105" customFormat="false" ht="15" hidden="false" customHeight="false" outlineLevel="0" collapsed="false">
      <c r="A7105" s="3" t="s">
        <v>480</v>
      </c>
      <c r="B7105" s="4" t="s">
        <v>47</v>
      </c>
      <c r="C7105" s="4" t="n">
        <v>6</v>
      </c>
      <c r="D7105" s="4" t="s">
        <v>132</v>
      </c>
      <c r="E7105" s="3" t="s">
        <v>246</v>
      </c>
      <c r="F7105" s="4" t="str">
        <f aca="false">IF(I7105&gt;J7105,"Y","N")</f>
        <v>N</v>
      </c>
      <c r="G7105" s="3" t="s">
        <v>235</v>
      </c>
      <c r="H7105" s="3" t="s">
        <v>42</v>
      </c>
      <c r="I7105" s="4" t="n">
        <v>1</v>
      </c>
      <c r="J7105" s="4" t="n">
        <f aca="false">LEN(E7105)-LEN(SUBSTITUTE(E7105,",",""))+1</f>
        <v>1</v>
      </c>
      <c r="K7105" s="3" t="str">
        <f aca="false">IFERROR(INDEX('Teacher Lookup'!$B$2:$B$200,MATCH(A7105,'Teacher Lookup'!$A$2:$A$200,0)),"")</f>
        <v>LAM Matt</v>
      </c>
    </row>
    <row r="7106" customFormat="false" ht="15" hidden="false" customHeight="false" outlineLevel="0" collapsed="false">
      <c r="A7106" s="3" t="s">
        <v>480</v>
      </c>
      <c r="B7106" s="4" t="s">
        <v>47</v>
      </c>
      <c r="C7106" s="4" t="n">
        <v>7</v>
      </c>
      <c r="D7106" s="4" t="s">
        <v>132</v>
      </c>
      <c r="E7106" s="3" t="s">
        <v>246</v>
      </c>
      <c r="F7106" s="4" t="str">
        <f aca="false">IF(I7106&gt;J7106,"Y","N")</f>
        <v>N</v>
      </c>
      <c r="G7106" s="3" t="s">
        <v>235</v>
      </c>
      <c r="H7106" s="3" t="s">
        <v>39</v>
      </c>
      <c r="I7106" s="4" t="n">
        <v>1</v>
      </c>
      <c r="J7106" s="4" t="n">
        <f aca="false">LEN(E7106)-LEN(SUBSTITUTE(E7106,",",""))+1</f>
        <v>1</v>
      </c>
      <c r="K7106" s="3" t="str">
        <f aca="false">IFERROR(INDEX('Teacher Lookup'!$B$2:$B$200,MATCH(A7106,'Teacher Lookup'!$A$2:$A$200,0)),"")</f>
        <v>LAM Matt</v>
      </c>
    </row>
    <row r="7107" customFormat="false" ht="15" hidden="false" customHeight="false" outlineLevel="0" collapsed="false">
      <c r="A7107" s="3" t="s">
        <v>480</v>
      </c>
      <c r="B7107" s="4" t="s">
        <v>50</v>
      </c>
      <c r="C7107" s="4" t="n">
        <v>3</v>
      </c>
      <c r="D7107" s="4" t="s">
        <v>102</v>
      </c>
      <c r="E7107" s="3" t="s">
        <v>317</v>
      </c>
      <c r="F7107" s="4" t="str">
        <f aca="false">IF(I7107&gt;J7107,"Y","N")</f>
        <v>Y</v>
      </c>
      <c r="G7107" s="3" t="s">
        <v>310</v>
      </c>
      <c r="H7107" s="3" t="s">
        <v>26</v>
      </c>
      <c r="I7107" s="4" t="n">
        <v>7</v>
      </c>
      <c r="J7107" s="4" t="n">
        <f aca="false">LEN(E7107)-LEN(SUBSTITUTE(E7107,",",""))+1</f>
        <v>6</v>
      </c>
      <c r="K7107" s="3" t="str">
        <f aca="false">IFERROR(INDEX('Teacher Lookup'!$B$2:$B$200,MATCH(A7107,'Teacher Lookup'!$A$2:$A$200,0)),"")</f>
        <v>LAM Matt</v>
      </c>
    </row>
    <row r="7108" customFormat="false" ht="15" hidden="false" customHeight="false" outlineLevel="0" collapsed="false">
      <c r="A7108" s="3" t="s">
        <v>480</v>
      </c>
      <c r="B7108" s="4" t="s">
        <v>50</v>
      </c>
      <c r="C7108" s="4" t="n">
        <v>3</v>
      </c>
      <c r="D7108" s="4" t="s">
        <v>105</v>
      </c>
      <c r="E7108" s="3" t="s">
        <v>317</v>
      </c>
      <c r="F7108" s="4" t="str">
        <f aca="false">IF(I7108&gt;J7108,"Y","N")</f>
        <v>Y</v>
      </c>
      <c r="G7108" s="3" t="s">
        <v>310</v>
      </c>
      <c r="H7108" s="3" t="s">
        <v>26</v>
      </c>
      <c r="I7108" s="4" t="n">
        <v>7</v>
      </c>
      <c r="J7108" s="4" t="n">
        <f aca="false">LEN(E7108)-LEN(SUBSTITUTE(E7108,",",""))+1</f>
        <v>6</v>
      </c>
      <c r="K7108" s="3" t="str">
        <f aca="false">IFERROR(INDEX('Teacher Lookup'!$B$2:$B$200,MATCH(A7108,'Teacher Lookup'!$A$2:$A$200,0)),"")</f>
        <v>LAM Matt</v>
      </c>
    </row>
    <row r="7109" customFormat="false" ht="15" hidden="false" customHeight="false" outlineLevel="0" collapsed="false">
      <c r="A7109" s="3" t="s">
        <v>480</v>
      </c>
      <c r="B7109" s="4" t="s">
        <v>50</v>
      </c>
      <c r="C7109" s="4" t="n">
        <v>3</v>
      </c>
      <c r="D7109" s="4" t="s">
        <v>106</v>
      </c>
      <c r="E7109" s="3" t="s">
        <v>317</v>
      </c>
      <c r="F7109" s="4" t="str">
        <f aca="false">IF(I7109&gt;J7109,"Y","N")</f>
        <v>Y</v>
      </c>
      <c r="G7109" s="3" t="s">
        <v>310</v>
      </c>
      <c r="H7109" s="3" t="s">
        <v>26</v>
      </c>
      <c r="I7109" s="4" t="n">
        <v>7</v>
      </c>
      <c r="J7109" s="4" t="n">
        <f aca="false">LEN(E7109)-LEN(SUBSTITUTE(E7109,",",""))+1</f>
        <v>6</v>
      </c>
      <c r="K7109" s="3" t="str">
        <f aca="false">IFERROR(INDEX('Teacher Lookup'!$B$2:$B$200,MATCH(A7109,'Teacher Lookup'!$A$2:$A$200,0)),"")</f>
        <v>LAM Matt</v>
      </c>
    </row>
    <row r="7110" customFormat="false" ht="15" hidden="false" customHeight="false" outlineLevel="0" collapsed="false">
      <c r="A7110" s="3" t="s">
        <v>480</v>
      </c>
      <c r="B7110" s="4" t="s">
        <v>50</v>
      </c>
      <c r="C7110" s="4" t="n">
        <v>3</v>
      </c>
      <c r="D7110" s="4" t="s">
        <v>107</v>
      </c>
      <c r="E7110" s="3" t="s">
        <v>317</v>
      </c>
      <c r="F7110" s="4" t="str">
        <f aca="false">IF(I7110&gt;J7110,"Y","N")</f>
        <v>Y</v>
      </c>
      <c r="G7110" s="3" t="s">
        <v>310</v>
      </c>
      <c r="H7110" s="3" t="s">
        <v>26</v>
      </c>
      <c r="I7110" s="4" t="n">
        <v>7</v>
      </c>
      <c r="J7110" s="4" t="n">
        <f aca="false">LEN(E7110)-LEN(SUBSTITUTE(E7110,",",""))+1</f>
        <v>6</v>
      </c>
      <c r="K7110" s="3" t="str">
        <f aca="false">IFERROR(INDEX('Teacher Lookup'!$B$2:$B$200,MATCH(A7110,'Teacher Lookup'!$A$2:$A$200,0)),"")</f>
        <v>LAM Matt</v>
      </c>
    </row>
    <row r="7111" customFormat="false" ht="15" hidden="false" customHeight="false" outlineLevel="0" collapsed="false">
      <c r="A7111" s="3" t="s">
        <v>480</v>
      </c>
      <c r="B7111" s="4" t="s">
        <v>50</v>
      </c>
      <c r="C7111" s="4" t="n">
        <v>4</v>
      </c>
      <c r="D7111" s="4" t="s">
        <v>24</v>
      </c>
      <c r="E7111" s="3" t="s">
        <v>278</v>
      </c>
      <c r="F7111" s="4" t="str">
        <f aca="false">IF(I7111&gt;J7111,"Y","N")</f>
        <v>Y</v>
      </c>
      <c r="G7111" s="3" t="s">
        <v>272</v>
      </c>
      <c r="H7111" s="3" t="s">
        <v>34</v>
      </c>
      <c r="I7111" s="4" t="n">
        <v>8</v>
      </c>
      <c r="J7111" s="4" t="n">
        <f aca="false">LEN(E7111)-LEN(SUBSTITUTE(E7111,",",""))+1</f>
        <v>7</v>
      </c>
      <c r="K7111" s="3" t="str">
        <f aca="false">IFERROR(INDEX('Teacher Lookup'!$B$2:$B$200,MATCH(A7111,'Teacher Lookup'!$A$2:$A$200,0)),"")</f>
        <v>LAM Matt</v>
      </c>
    </row>
    <row r="7112" customFormat="false" ht="15" hidden="false" customHeight="false" outlineLevel="0" collapsed="false">
      <c r="A7112" s="3" t="s">
        <v>480</v>
      </c>
      <c r="B7112" s="4" t="s">
        <v>50</v>
      </c>
      <c r="C7112" s="4" t="n">
        <v>4</v>
      </c>
      <c r="D7112" s="4" t="s">
        <v>27</v>
      </c>
      <c r="E7112" s="3" t="s">
        <v>278</v>
      </c>
      <c r="F7112" s="4" t="str">
        <f aca="false">IF(I7112&gt;J7112,"Y","N")</f>
        <v>Y</v>
      </c>
      <c r="G7112" s="3" t="s">
        <v>272</v>
      </c>
      <c r="H7112" s="3" t="s">
        <v>34</v>
      </c>
      <c r="I7112" s="4" t="n">
        <v>8</v>
      </c>
      <c r="J7112" s="4" t="n">
        <f aca="false">LEN(E7112)-LEN(SUBSTITUTE(E7112,",",""))+1</f>
        <v>7</v>
      </c>
      <c r="K7112" s="3" t="str">
        <f aca="false">IFERROR(INDEX('Teacher Lookup'!$B$2:$B$200,MATCH(A7112,'Teacher Lookup'!$A$2:$A$200,0)),"")</f>
        <v>LAM Matt</v>
      </c>
    </row>
    <row r="7113" customFormat="false" ht="15" hidden="false" customHeight="false" outlineLevel="0" collapsed="false">
      <c r="A7113" s="3" t="s">
        <v>480</v>
      </c>
      <c r="B7113" s="4" t="s">
        <v>50</v>
      </c>
      <c r="C7113" s="4" t="n">
        <v>4</v>
      </c>
      <c r="D7113" s="4" t="s">
        <v>28</v>
      </c>
      <c r="E7113" s="3" t="s">
        <v>278</v>
      </c>
      <c r="F7113" s="4" t="str">
        <f aca="false">IF(I7113&gt;J7113,"Y","N")</f>
        <v>Y</v>
      </c>
      <c r="G7113" s="3" t="s">
        <v>272</v>
      </c>
      <c r="H7113" s="3" t="s">
        <v>34</v>
      </c>
      <c r="I7113" s="4" t="n">
        <v>8</v>
      </c>
      <c r="J7113" s="4" t="n">
        <f aca="false">LEN(E7113)-LEN(SUBSTITUTE(E7113,",",""))+1</f>
        <v>7</v>
      </c>
      <c r="K7113" s="3" t="str">
        <f aca="false">IFERROR(INDEX('Teacher Lookup'!$B$2:$B$200,MATCH(A7113,'Teacher Lookup'!$A$2:$A$200,0)),"")</f>
        <v>LAM Matt</v>
      </c>
    </row>
    <row r="7114" customFormat="false" ht="15" hidden="false" customHeight="false" outlineLevel="0" collapsed="false">
      <c r="A7114" s="3" t="s">
        <v>480</v>
      </c>
      <c r="B7114" s="4" t="s">
        <v>50</v>
      </c>
      <c r="C7114" s="4" t="n">
        <v>4</v>
      </c>
      <c r="D7114" s="4" t="s">
        <v>29</v>
      </c>
      <c r="E7114" s="3" t="s">
        <v>278</v>
      </c>
      <c r="F7114" s="4" t="str">
        <f aca="false">IF(I7114&gt;J7114,"Y","N")</f>
        <v>Y</v>
      </c>
      <c r="G7114" s="3" t="s">
        <v>272</v>
      </c>
      <c r="H7114" s="3" t="s">
        <v>34</v>
      </c>
      <c r="I7114" s="4" t="n">
        <v>8</v>
      </c>
      <c r="J7114" s="4" t="n">
        <f aca="false">LEN(E7114)-LEN(SUBSTITUTE(E7114,",",""))+1</f>
        <v>7</v>
      </c>
      <c r="K7114" s="3" t="str">
        <f aca="false">IFERROR(INDEX('Teacher Lookup'!$B$2:$B$200,MATCH(A7114,'Teacher Lookup'!$A$2:$A$200,0)),"")</f>
        <v>LAM Matt</v>
      </c>
    </row>
    <row r="7115" customFormat="false" ht="15" hidden="false" customHeight="false" outlineLevel="0" collapsed="false">
      <c r="A7115" s="3" t="s">
        <v>480</v>
      </c>
      <c r="B7115" s="4" t="s">
        <v>50</v>
      </c>
      <c r="C7115" s="4" t="n">
        <v>4</v>
      </c>
      <c r="D7115" s="4" t="s">
        <v>30</v>
      </c>
      <c r="E7115" s="3" t="s">
        <v>278</v>
      </c>
      <c r="F7115" s="4" t="str">
        <f aca="false">IF(I7115&gt;J7115,"Y","N")</f>
        <v>Y</v>
      </c>
      <c r="G7115" s="3" t="s">
        <v>272</v>
      </c>
      <c r="H7115" s="3" t="s">
        <v>34</v>
      </c>
      <c r="I7115" s="4" t="n">
        <v>8</v>
      </c>
      <c r="J7115" s="4" t="n">
        <f aca="false">LEN(E7115)-LEN(SUBSTITUTE(E7115,",",""))+1</f>
        <v>7</v>
      </c>
      <c r="K7115" s="3" t="str">
        <f aca="false">IFERROR(INDEX('Teacher Lookup'!$B$2:$B$200,MATCH(A7115,'Teacher Lookup'!$A$2:$A$200,0)),"")</f>
        <v>LAM Matt</v>
      </c>
    </row>
    <row r="7116" customFormat="false" ht="15" hidden="false" customHeight="false" outlineLevel="0" collapsed="false">
      <c r="A7116" s="3" t="s">
        <v>480</v>
      </c>
      <c r="B7116" s="4" t="s">
        <v>50</v>
      </c>
      <c r="C7116" s="4" t="n">
        <v>5</v>
      </c>
      <c r="D7116" s="4" t="s">
        <v>24</v>
      </c>
      <c r="E7116" s="3" t="s">
        <v>278</v>
      </c>
      <c r="F7116" s="4" t="str">
        <f aca="false">IF(I7116&gt;J7116,"Y","N")</f>
        <v>Y</v>
      </c>
      <c r="G7116" s="3" t="s">
        <v>272</v>
      </c>
      <c r="H7116" s="3" t="s">
        <v>37</v>
      </c>
      <c r="I7116" s="4" t="n">
        <v>8</v>
      </c>
      <c r="J7116" s="4" t="n">
        <f aca="false">LEN(E7116)-LEN(SUBSTITUTE(E7116,",",""))+1</f>
        <v>7</v>
      </c>
      <c r="K7116" s="3" t="str">
        <f aca="false">IFERROR(INDEX('Teacher Lookup'!$B$2:$B$200,MATCH(A7116,'Teacher Lookup'!$A$2:$A$200,0)),"")</f>
        <v>LAM Matt</v>
      </c>
    </row>
    <row r="7117" customFormat="false" ht="15" hidden="false" customHeight="false" outlineLevel="0" collapsed="false">
      <c r="A7117" s="3" t="s">
        <v>480</v>
      </c>
      <c r="B7117" s="4" t="s">
        <v>50</v>
      </c>
      <c r="C7117" s="4" t="n">
        <v>5</v>
      </c>
      <c r="D7117" s="4" t="s">
        <v>27</v>
      </c>
      <c r="E7117" s="3" t="s">
        <v>278</v>
      </c>
      <c r="F7117" s="4" t="str">
        <f aca="false">IF(I7117&gt;J7117,"Y","N")</f>
        <v>Y</v>
      </c>
      <c r="G7117" s="3" t="s">
        <v>272</v>
      </c>
      <c r="H7117" s="3" t="s">
        <v>37</v>
      </c>
      <c r="I7117" s="4" t="n">
        <v>8</v>
      </c>
      <c r="J7117" s="4" t="n">
        <f aca="false">LEN(E7117)-LEN(SUBSTITUTE(E7117,",",""))+1</f>
        <v>7</v>
      </c>
      <c r="K7117" s="3" t="str">
        <f aca="false">IFERROR(INDEX('Teacher Lookup'!$B$2:$B$200,MATCH(A7117,'Teacher Lookup'!$A$2:$A$200,0)),"")</f>
        <v>LAM Matt</v>
      </c>
    </row>
    <row r="7118" customFormat="false" ht="15" hidden="false" customHeight="false" outlineLevel="0" collapsed="false">
      <c r="A7118" s="3" t="s">
        <v>480</v>
      </c>
      <c r="B7118" s="4" t="s">
        <v>50</v>
      </c>
      <c r="C7118" s="4" t="n">
        <v>5</v>
      </c>
      <c r="D7118" s="4" t="s">
        <v>28</v>
      </c>
      <c r="E7118" s="3" t="s">
        <v>278</v>
      </c>
      <c r="F7118" s="4" t="str">
        <f aca="false">IF(I7118&gt;J7118,"Y","N")</f>
        <v>Y</v>
      </c>
      <c r="G7118" s="3" t="s">
        <v>272</v>
      </c>
      <c r="H7118" s="3" t="s">
        <v>37</v>
      </c>
      <c r="I7118" s="4" t="n">
        <v>8</v>
      </c>
      <c r="J7118" s="4" t="n">
        <f aca="false">LEN(E7118)-LEN(SUBSTITUTE(E7118,",",""))+1</f>
        <v>7</v>
      </c>
      <c r="K7118" s="3" t="str">
        <f aca="false">IFERROR(INDEX('Teacher Lookup'!$B$2:$B$200,MATCH(A7118,'Teacher Lookup'!$A$2:$A$200,0)),"")</f>
        <v>LAM Matt</v>
      </c>
    </row>
    <row r="7119" customFormat="false" ht="15" hidden="false" customHeight="false" outlineLevel="0" collapsed="false">
      <c r="A7119" s="3" t="s">
        <v>480</v>
      </c>
      <c r="B7119" s="4" t="s">
        <v>50</v>
      </c>
      <c r="C7119" s="4" t="n">
        <v>5</v>
      </c>
      <c r="D7119" s="4" t="s">
        <v>29</v>
      </c>
      <c r="E7119" s="3" t="s">
        <v>278</v>
      </c>
      <c r="F7119" s="4" t="str">
        <f aca="false">IF(I7119&gt;J7119,"Y","N")</f>
        <v>Y</v>
      </c>
      <c r="G7119" s="3" t="s">
        <v>272</v>
      </c>
      <c r="H7119" s="3" t="s">
        <v>37</v>
      </c>
      <c r="I7119" s="4" t="n">
        <v>8</v>
      </c>
      <c r="J7119" s="4" t="n">
        <f aca="false">LEN(E7119)-LEN(SUBSTITUTE(E7119,",",""))+1</f>
        <v>7</v>
      </c>
      <c r="K7119" s="3" t="str">
        <f aca="false">IFERROR(INDEX('Teacher Lookup'!$B$2:$B$200,MATCH(A7119,'Teacher Lookup'!$A$2:$A$200,0)),"")</f>
        <v>LAM Matt</v>
      </c>
    </row>
    <row r="7120" customFormat="false" ht="15" hidden="false" customHeight="false" outlineLevel="0" collapsed="false">
      <c r="A7120" s="3" t="s">
        <v>480</v>
      </c>
      <c r="B7120" s="4" t="s">
        <v>50</v>
      </c>
      <c r="C7120" s="4" t="n">
        <v>5</v>
      </c>
      <c r="D7120" s="4" t="s">
        <v>30</v>
      </c>
      <c r="E7120" s="3" t="s">
        <v>278</v>
      </c>
      <c r="F7120" s="4" t="str">
        <f aca="false">IF(I7120&gt;J7120,"Y","N")</f>
        <v>Y</v>
      </c>
      <c r="G7120" s="3" t="s">
        <v>272</v>
      </c>
      <c r="H7120" s="3" t="s">
        <v>37</v>
      </c>
      <c r="I7120" s="4" t="n">
        <v>8</v>
      </c>
      <c r="J7120" s="4" t="n">
        <f aca="false">LEN(E7120)-LEN(SUBSTITUTE(E7120,",",""))+1</f>
        <v>7</v>
      </c>
      <c r="K7120" s="3" t="str">
        <f aca="false">IFERROR(INDEX('Teacher Lookup'!$B$2:$B$200,MATCH(A7120,'Teacher Lookup'!$A$2:$A$200,0)),"")</f>
        <v>LAM Matt</v>
      </c>
    </row>
    <row r="7121" customFormat="false" ht="15" hidden="false" customHeight="false" outlineLevel="0" collapsed="false">
      <c r="A7121" s="3" t="s">
        <v>480</v>
      </c>
      <c r="B7121" s="4" t="s">
        <v>50</v>
      </c>
      <c r="C7121" s="4" t="n">
        <v>7</v>
      </c>
      <c r="D7121" s="4" t="s">
        <v>132</v>
      </c>
      <c r="E7121" s="3" t="s">
        <v>293</v>
      </c>
      <c r="F7121" s="4" t="str">
        <f aca="false">IF(I7121&gt;J7121,"Y","N")</f>
        <v>N</v>
      </c>
      <c r="G7121" s="3" t="s">
        <v>235</v>
      </c>
      <c r="H7121" s="3" t="s">
        <v>39</v>
      </c>
      <c r="I7121" s="4" t="n">
        <v>1</v>
      </c>
      <c r="J7121" s="4" t="n">
        <f aca="false">LEN(E7121)-LEN(SUBSTITUTE(E7121,",",""))+1</f>
        <v>1</v>
      </c>
      <c r="K7121" s="3" t="str">
        <f aca="false">IFERROR(INDEX('Teacher Lookup'!$B$2:$B$200,MATCH(A7121,'Teacher Lookup'!$A$2:$A$200,0)),"")</f>
        <v>LAM Matt</v>
      </c>
    </row>
    <row r="7122" customFormat="false" ht="15" hidden="false" customHeight="false" outlineLevel="0" collapsed="false">
      <c r="A7122" s="3" t="s">
        <v>480</v>
      </c>
      <c r="B7122" s="4" t="s">
        <v>60</v>
      </c>
      <c r="C7122" s="4" t="n">
        <v>2</v>
      </c>
      <c r="D7122" s="4" t="s">
        <v>24</v>
      </c>
      <c r="E7122" s="3" t="s">
        <v>280</v>
      </c>
      <c r="F7122" s="4" t="str">
        <f aca="false">IF(I7122&gt;J7122,"Y","N")</f>
        <v>Y</v>
      </c>
      <c r="G7122" s="3" t="s">
        <v>272</v>
      </c>
      <c r="H7122" s="3" t="s">
        <v>21</v>
      </c>
      <c r="I7122" s="4" t="n">
        <v>8</v>
      </c>
      <c r="J7122" s="4" t="n">
        <f aca="false">LEN(E7122)-LEN(SUBSTITUTE(E7122,",",""))+1</f>
        <v>7</v>
      </c>
      <c r="K7122" s="3" t="str">
        <f aca="false">IFERROR(INDEX('Teacher Lookup'!$B$2:$B$200,MATCH(A7122,'Teacher Lookup'!$A$2:$A$200,0)),"")</f>
        <v>LAM Matt</v>
      </c>
    </row>
    <row r="7123" customFormat="false" ht="15" hidden="false" customHeight="false" outlineLevel="0" collapsed="false">
      <c r="A7123" s="3" t="s">
        <v>480</v>
      </c>
      <c r="B7123" s="4" t="s">
        <v>60</v>
      </c>
      <c r="C7123" s="4" t="n">
        <v>2</v>
      </c>
      <c r="D7123" s="4" t="s">
        <v>27</v>
      </c>
      <c r="E7123" s="3" t="s">
        <v>280</v>
      </c>
      <c r="F7123" s="4" t="str">
        <f aca="false">IF(I7123&gt;J7123,"Y","N")</f>
        <v>Y</v>
      </c>
      <c r="G7123" s="3" t="s">
        <v>272</v>
      </c>
      <c r="H7123" s="3" t="s">
        <v>21</v>
      </c>
      <c r="I7123" s="4" t="n">
        <v>8</v>
      </c>
      <c r="J7123" s="4" t="n">
        <f aca="false">LEN(E7123)-LEN(SUBSTITUTE(E7123,",",""))+1</f>
        <v>7</v>
      </c>
      <c r="K7123" s="3" t="str">
        <f aca="false">IFERROR(INDEX('Teacher Lookup'!$B$2:$B$200,MATCH(A7123,'Teacher Lookup'!$A$2:$A$200,0)),"")</f>
        <v>LAM Matt</v>
      </c>
    </row>
    <row r="7124" customFormat="false" ht="15" hidden="false" customHeight="false" outlineLevel="0" collapsed="false">
      <c r="A7124" s="3" t="s">
        <v>480</v>
      </c>
      <c r="B7124" s="4" t="s">
        <v>60</v>
      </c>
      <c r="C7124" s="4" t="n">
        <v>2</v>
      </c>
      <c r="D7124" s="4" t="s">
        <v>28</v>
      </c>
      <c r="E7124" s="3" t="s">
        <v>280</v>
      </c>
      <c r="F7124" s="4" t="str">
        <f aca="false">IF(I7124&gt;J7124,"Y","N")</f>
        <v>Y</v>
      </c>
      <c r="G7124" s="3" t="s">
        <v>272</v>
      </c>
      <c r="H7124" s="3" t="s">
        <v>21</v>
      </c>
      <c r="I7124" s="4" t="n">
        <v>8</v>
      </c>
      <c r="J7124" s="4" t="n">
        <f aca="false">LEN(E7124)-LEN(SUBSTITUTE(E7124,",",""))+1</f>
        <v>7</v>
      </c>
      <c r="K7124" s="3" t="str">
        <f aca="false">IFERROR(INDEX('Teacher Lookup'!$B$2:$B$200,MATCH(A7124,'Teacher Lookup'!$A$2:$A$200,0)),"")</f>
        <v>LAM Matt</v>
      </c>
    </row>
    <row r="7125" customFormat="false" ht="15" hidden="false" customHeight="false" outlineLevel="0" collapsed="false">
      <c r="A7125" s="3" t="s">
        <v>480</v>
      </c>
      <c r="B7125" s="4" t="s">
        <v>60</v>
      </c>
      <c r="C7125" s="4" t="n">
        <v>2</v>
      </c>
      <c r="D7125" s="4" t="s">
        <v>29</v>
      </c>
      <c r="E7125" s="3" t="s">
        <v>280</v>
      </c>
      <c r="F7125" s="4" t="str">
        <f aca="false">IF(I7125&gt;J7125,"Y","N")</f>
        <v>Y</v>
      </c>
      <c r="G7125" s="3" t="s">
        <v>272</v>
      </c>
      <c r="H7125" s="3" t="s">
        <v>21</v>
      </c>
      <c r="I7125" s="4" t="n">
        <v>8</v>
      </c>
      <c r="J7125" s="4" t="n">
        <f aca="false">LEN(E7125)-LEN(SUBSTITUTE(E7125,",",""))+1</f>
        <v>7</v>
      </c>
      <c r="K7125" s="3" t="str">
        <f aca="false">IFERROR(INDEX('Teacher Lookup'!$B$2:$B$200,MATCH(A7125,'Teacher Lookup'!$A$2:$A$200,0)),"")</f>
        <v>LAM Matt</v>
      </c>
    </row>
    <row r="7126" customFormat="false" ht="15" hidden="false" customHeight="false" outlineLevel="0" collapsed="false">
      <c r="A7126" s="3" t="s">
        <v>480</v>
      </c>
      <c r="B7126" s="4" t="s">
        <v>60</v>
      </c>
      <c r="C7126" s="4" t="n">
        <v>2</v>
      </c>
      <c r="D7126" s="4" t="s">
        <v>30</v>
      </c>
      <c r="E7126" s="3" t="s">
        <v>280</v>
      </c>
      <c r="F7126" s="4" t="str">
        <f aca="false">IF(I7126&gt;J7126,"Y","N")</f>
        <v>Y</v>
      </c>
      <c r="G7126" s="3" t="s">
        <v>272</v>
      </c>
      <c r="H7126" s="3" t="s">
        <v>21</v>
      </c>
      <c r="I7126" s="4" t="n">
        <v>8</v>
      </c>
      <c r="J7126" s="4" t="n">
        <f aca="false">LEN(E7126)-LEN(SUBSTITUTE(E7126,",",""))+1</f>
        <v>7</v>
      </c>
      <c r="K7126" s="3" t="str">
        <f aca="false">IFERROR(INDEX('Teacher Lookup'!$B$2:$B$200,MATCH(A7126,'Teacher Lookup'!$A$2:$A$200,0)),"")</f>
        <v>LAM Matt</v>
      </c>
    </row>
    <row r="7127" customFormat="false" ht="15" hidden="false" customHeight="false" outlineLevel="0" collapsed="false">
      <c r="A7127" s="3" t="s">
        <v>480</v>
      </c>
      <c r="B7127" s="4" t="s">
        <v>60</v>
      </c>
      <c r="C7127" s="4" t="n">
        <v>4</v>
      </c>
      <c r="D7127" s="4" t="s">
        <v>102</v>
      </c>
      <c r="E7127" s="3" t="s">
        <v>318</v>
      </c>
      <c r="F7127" s="4" t="str">
        <f aca="false">IF(I7127&gt;J7127,"Y","N")</f>
        <v>Y</v>
      </c>
      <c r="G7127" s="3" t="s">
        <v>310</v>
      </c>
      <c r="H7127" s="3" t="s">
        <v>34</v>
      </c>
      <c r="I7127" s="4" t="n">
        <v>7</v>
      </c>
      <c r="J7127" s="4" t="n">
        <f aca="false">LEN(E7127)-LEN(SUBSTITUTE(E7127,",",""))+1</f>
        <v>6</v>
      </c>
      <c r="K7127" s="3" t="str">
        <f aca="false">IFERROR(INDEX('Teacher Lookup'!$B$2:$B$200,MATCH(A7127,'Teacher Lookup'!$A$2:$A$200,0)),"")</f>
        <v>LAM Matt</v>
      </c>
    </row>
    <row r="7128" customFormat="false" ht="15" hidden="false" customHeight="false" outlineLevel="0" collapsed="false">
      <c r="A7128" s="3" t="s">
        <v>480</v>
      </c>
      <c r="B7128" s="4" t="s">
        <v>60</v>
      </c>
      <c r="C7128" s="4" t="n">
        <v>4</v>
      </c>
      <c r="D7128" s="4" t="s">
        <v>105</v>
      </c>
      <c r="E7128" s="3" t="s">
        <v>318</v>
      </c>
      <c r="F7128" s="4" t="str">
        <f aca="false">IF(I7128&gt;J7128,"Y","N")</f>
        <v>Y</v>
      </c>
      <c r="G7128" s="3" t="s">
        <v>310</v>
      </c>
      <c r="H7128" s="3" t="s">
        <v>34</v>
      </c>
      <c r="I7128" s="4" t="n">
        <v>7</v>
      </c>
      <c r="J7128" s="4" t="n">
        <f aca="false">LEN(E7128)-LEN(SUBSTITUTE(E7128,",",""))+1</f>
        <v>6</v>
      </c>
      <c r="K7128" s="3" t="str">
        <f aca="false">IFERROR(INDEX('Teacher Lookup'!$B$2:$B$200,MATCH(A7128,'Teacher Lookup'!$A$2:$A$200,0)),"")</f>
        <v>LAM Matt</v>
      </c>
    </row>
    <row r="7129" customFormat="false" ht="15" hidden="false" customHeight="false" outlineLevel="0" collapsed="false">
      <c r="A7129" s="3" t="s">
        <v>480</v>
      </c>
      <c r="B7129" s="4" t="s">
        <v>60</v>
      </c>
      <c r="C7129" s="4" t="n">
        <v>4</v>
      </c>
      <c r="D7129" s="4" t="s">
        <v>106</v>
      </c>
      <c r="E7129" s="3" t="s">
        <v>318</v>
      </c>
      <c r="F7129" s="4" t="str">
        <f aca="false">IF(I7129&gt;J7129,"Y","N")</f>
        <v>Y</v>
      </c>
      <c r="G7129" s="3" t="s">
        <v>310</v>
      </c>
      <c r="H7129" s="3" t="s">
        <v>34</v>
      </c>
      <c r="I7129" s="4" t="n">
        <v>7</v>
      </c>
      <c r="J7129" s="4" t="n">
        <f aca="false">LEN(E7129)-LEN(SUBSTITUTE(E7129,",",""))+1</f>
        <v>6</v>
      </c>
      <c r="K7129" s="3" t="str">
        <f aca="false">IFERROR(INDEX('Teacher Lookup'!$B$2:$B$200,MATCH(A7129,'Teacher Lookup'!$A$2:$A$200,0)),"")</f>
        <v>LAM Matt</v>
      </c>
    </row>
    <row r="7130" customFormat="false" ht="15" hidden="false" customHeight="false" outlineLevel="0" collapsed="false">
      <c r="A7130" s="3" t="s">
        <v>480</v>
      </c>
      <c r="B7130" s="4" t="s">
        <v>60</v>
      </c>
      <c r="C7130" s="4" t="n">
        <v>4</v>
      </c>
      <c r="D7130" s="4" t="s">
        <v>107</v>
      </c>
      <c r="E7130" s="3" t="s">
        <v>318</v>
      </c>
      <c r="F7130" s="4" t="str">
        <f aca="false">IF(I7130&gt;J7130,"Y","N")</f>
        <v>Y</v>
      </c>
      <c r="G7130" s="3" t="s">
        <v>310</v>
      </c>
      <c r="H7130" s="3" t="s">
        <v>34</v>
      </c>
      <c r="I7130" s="4" t="n">
        <v>7</v>
      </c>
      <c r="J7130" s="4" t="n">
        <f aca="false">LEN(E7130)-LEN(SUBSTITUTE(E7130,",",""))+1</f>
        <v>6</v>
      </c>
      <c r="K7130" s="3" t="str">
        <f aca="false">IFERROR(INDEX('Teacher Lookup'!$B$2:$B$200,MATCH(A7130,'Teacher Lookup'!$A$2:$A$200,0)),"")</f>
        <v>LAM Matt</v>
      </c>
    </row>
    <row r="7131" customFormat="false" ht="15" hidden="false" customHeight="false" outlineLevel="0" collapsed="false">
      <c r="A7131" s="3" t="s">
        <v>480</v>
      </c>
      <c r="B7131" s="4" t="s">
        <v>60</v>
      </c>
      <c r="C7131" s="4" t="n">
        <v>5</v>
      </c>
      <c r="D7131" s="4" t="s">
        <v>24</v>
      </c>
      <c r="E7131" s="3" t="s">
        <v>131</v>
      </c>
      <c r="F7131" s="4" t="str">
        <f aca="false">IF(I7131&gt;J7131,"Y","N")</f>
        <v>Y</v>
      </c>
      <c r="G7131" s="3" t="s">
        <v>36</v>
      </c>
      <c r="H7131" s="3" t="s">
        <v>37</v>
      </c>
      <c r="I7131" s="4" t="n">
        <v>15</v>
      </c>
      <c r="J7131" s="4" t="n">
        <f aca="false">LEN(E7131)-LEN(SUBSTITUTE(E7131,",",""))+1</f>
        <v>7</v>
      </c>
      <c r="K7131" s="3" t="str">
        <f aca="false">IFERROR(INDEX('Teacher Lookup'!$B$2:$B$200,MATCH(A7131,'Teacher Lookup'!$A$2:$A$200,0)),"")</f>
        <v>LAM Matt</v>
      </c>
    </row>
    <row r="7132" customFormat="false" ht="15" hidden="false" customHeight="false" outlineLevel="0" collapsed="false">
      <c r="A7132" s="3" t="s">
        <v>480</v>
      </c>
      <c r="B7132" s="4" t="s">
        <v>60</v>
      </c>
      <c r="C7132" s="4" t="n">
        <v>5</v>
      </c>
      <c r="D7132" s="4" t="s">
        <v>132</v>
      </c>
      <c r="E7132" s="3" t="s">
        <v>131</v>
      </c>
      <c r="F7132" s="4" t="str">
        <f aca="false">IF(I7132&gt;J7132,"Y","N")</f>
        <v>Y</v>
      </c>
      <c r="G7132" s="3" t="s">
        <v>36</v>
      </c>
      <c r="H7132" s="3" t="s">
        <v>37</v>
      </c>
      <c r="I7132" s="4" t="n">
        <v>15</v>
      </c>
      <c r="J7132" s="4" t="n">
        <f aca="false">LEN(E7132)-LEN(SUBSTITUTE(E7132,",",""))+1</f>
        <v>7</v>
      </c>
      <c r="K7132" s="3" t="str">
        <f aca="false">IFERROR(INDEX('Teacher Lookup'!$B$2:$B$200,MATCH(A7132,'Teacher Lookup'!$A$2:$A$200,0)),"")</f>
        <v>LAM Matt</v>
      </c>
    </row>
    <row r="7133" customFormat="false" ht="15" hidden="false" customHeight="false" outlineLevel="0" collapsed="false">
      <c r="A7133" s="3" t="s">
        <v>480</v>
      </c>
      <c r="B7133" s="4" t="s">
        <v>60</v>
      </c>
      <c r="C7133" s="4" t="n">
        <v>5</v>
      </c>
      <c r="D7133" s="4" t="s">
        <v>27</v>
      </c>
      <c r="E7133" s="3" t="s">
        <v>131</v>
      </c>
      <c r="F7133" s="4" t="str">
        <f aca="false">IF(I7133&gt;J7133,"Y","N")</f>
        <v>Y</v>
      </c>
      <c r="G7133" s="3" t="s">
        <v>36</v>
      </c>
      <c r="H7133" s="3" t="s">
        <v>37</v>
      </c>
      <c r="I7133" s="4" t="n">
        <v>15</v>
      </c>
      <c r="J7133" s="4" t="n">
        <f aca="false">LEN(E7133)-LEN(SUBSTITUTE(E7133,",",""))+1</f>
        <v>7</v>
      </c>
      <c r="K7133" s="3" t="str">
        <f aca="false">IFERROR(INDEX('Teacher Lookup'!$B$2:$B$200,MATCH(A7133,'Teacher Lookup'!$A$2:$A$200,0)),"")</f>
        <v>LAM Matt</v>
      </c>
    </row>
    <row r="7134" customFormat="false" ht="15" hidden="false" customHeight="false" outlineLevel="0" collapsed="false">
      <c r="A7134" s="3" t="s">
        <v>480</v>
      </c>
      <c r="B7134" s="4" t="s">
        <v>60</v>
      </c>
      <c r="C7134" s="4" t="n">
        <v>5</v>
      </c>
      <c r="D7134" s="4" t="s">
        <v>28</v>
      </c>
      <c r="E7134" s="3" t="s">
        <v>131</v>
      </c>
      <c r="F7134" s="4" t="str">
        <f aca="false">IF(I7134&gt;J7134,"Y","N")</f>
        <v>Y</v>
      </c>
      <c r="G7134" s="3" t="s">
        <v>36</v>
      </c>
      <c r="H7134" s="3" t="s">
        <v>37</v>
      </c>
      <c r="I7134" s="4" t="n">
        <v>15</v>
      </c>
      <c r="J7134" s="4" t="n">
        <f aca="false">LEN(E7134)-LEN(SUBSTITUTE(E7134,",",""))+1</f>
        <v>7</v>
      </c>
      <c r="K7134" s="3" t="str">
        <f aca="false">IFERROR(INDEX('Teacher Lookup'!$B$2:$B$200,MATCH(A7134,'Teacher Lookup'!$A$2:$A$200,0)),"")</f>
        <v>LAM Matt</v>
      </c>
    </row>
    <row r="7135" customFormat="false" ht="15" hidden="false" customHeight="false" outlineLevel="0" collapsed="false">
      <c r="A7135" s="3" t="s">
        <v>480</v>
      </c>
      <c r="B7135" s="4" t="s">
        <v>60</v>
      </c>
      <c r="C7135" s="4" t="n">
        <v>5</v>
      </c>
      <c r="D7135" s="4" t="s">
        <v>29</v>
      </c>
      <c r="E7135" s="3" t="s">
        <v>131</v>
      </c>
      <c r="F7135" s="4" t="str">
        <f aca="false">IF(I7135&gt;J7135,"Y","N")</f>
        <v>Y</v>
      </c>
      <c r="G7135" s="3" t="s">
        <v>36</v>
      </c>
      <c r="H7135" s="3" t="s">
        <v>37</v>
      </c>
      <c r="I7135" s="4" t="n">
        <v>15</v>
      </c>
      <c r="J7135" s="4" t="n">
        <f aca="false">LEN(E7135)-LEN(SUBSTITUTE(E7135,",",""))+1</f>
        <v>7</v>
      </c>
      <c r="K7135" s="3" t="str">
        <f aca="false">IFERROR(INDEX('Teacher Lookup'!$B$2:$B$200,MATCH(A7135,'Teacher Lookup'!$A$2:$A$200,0)),"")</f>
        <v>LAM Matt</v>
      </c>
    </row>
    <row r="7136" customFormat="false" ht="15" hidden="false" customHeight="false" outlineLevel="0" collapsed="false">
      <c r="A7136" s="3" t="s">
        <v>480</v>
      </c>
      <c r="B7136" s="4" t="s">
        <v>60</v>
      </c>
      <c r="C7136" s="4" t="n">
        <v>5</v>
      </c>
      <c r="D7136" s="4" t="s">
        <v>30</v>
      </c>
      <c r="E7136" s="3" t="s">
        <v>131</v>
      </c>
      <c r="F7136" s="4" t="str">
        <f aca="false">IF(I7136&gt;J7136,"Y","N")</f>
        <v>Y</v>
      </c>
      <c r="G7136" s="3" t="s">
        <v>36</v>
      </c>
      <c r="H7136" s="3" t="s">
        <v>37</v>
      </c>
      <c r="I7136" s="4" t="n">
        <v>15</v>
      </c>
      <c r="J7136" s="4" t="n">
        <f aca="false">LEN(E7136)-LEN(SUBSTITUTE(E7136,",",""))+1</f>
        <v>7</v>
      </c>
      <c r="K7136" s="3" t="str">
        <f aca="false">IFERROR(INDEX('Teacher Lookup'!$B$2:$B$200,MATCH(A7136,'Teacher Lookup'!$A$2:$A$200,0)),"")</f>
        <v>LAM Matt</v>
      </c>
    </row>
    <row r="7137" customFormat="false" ht="15" hidden="false" customHeight="false" outlineLevel="0" collapsed="false">
      <c r="A7137" s="3" t="s">
        <v>480</v>
      </c>
      <c r="B7137" s="4" t="s">
        <v>60</v>
      </c>
      <c r="C7137" s="4" t="n">
        <v>6</v>
      </c>
      <c r="D7137" s="4" t="s">
        <v>132</v>
      </c>
      <c r="E7137" s="3" t="s">
        <v>246</v>
      </c>
      <c r="F7137" s="4" t="str">
        <f aca="false">IF(I7137&gt;J7137,"Y","N")</f>
        <v>N</v>
      </c>
      <c r="G7137" s="3" t="s">
        <v>235</v>
      </c>
      <c r="H7137" s="3" t="s">
        <v>42</v>
      </c>
      <c r="I7137" s="4" t="n">
        <v>1</v>
      </c>
      <c r="J7137" s="4" t="n">
        <f aca="false">LEN(E7137)-LEN(SUBSTITUTE(E7137,",",""))+1</f>
        <v>1</v>
      </c>
      <c r="K7137" s="3" t="str">
        <f aca="false">IFERROR(INDEX('Teacher Lookup'!$B$2:$B$200,MATCH(A7137,'Teacher Lookup'!$A$2:$A$200,0)),"")</f>
        <v>LAM Matt</v>
      </c>
    </row>
    <row r="7138" customFormat="false" ht="15" hidden="false" customHeight="false" outlineLevel="0" collapsed="false">
      <c r="A7138" s="3" t="s">
        <v>480</v>
      </c>
      <c r="B7138" s="4" t="s">
        <v>60</v>
      </c>
      <c r="C7138" s="4" t="n">
        <v>7</v>
      </c>
      <c r="D7138" s="4" t="s">
        <v>132</v>
      </c>
      <c r="E7138" s="3" t="s">
        <v>246</v>
      </c>
      <c r="F7138" s="4" t="str">
        <f aca="false">IF(I7138&gt;J7138,"Y","N")</f>
        <v>N</v>
      </c>
      <c r="G7138" s="3" t="s">
        <v>235</v>
      </c>
      <c r="H7138" s="3" t="s">
        <v>39</v>
      </c>
      <c r="I7138" s="4" t="n">
        <v>1</v>
      </c>
      <c r="J7138" s="4" t="n">
        <f aca="false">LEN(E7138)-LEN(SUBSTITUTE(E7138,",",""))+1</f>
        <v>1</v>
      </c>
      <c r="K7138" s="3" t="str">
        <f aca="false">IFERROR(INDEX('Teacher Lookup'!$B$2:$B$200,MATCH(A7138,'Teacher Lookup'!$A$2:$A$200,0)),"")</f>
        <v>LAM Matt</v>
      </c>
    </row>
    <row r="7139" customFormat="false" ht="15" hidden="false" customHeight="false" outlineLevel="0" collapsed="false">
      <c r="A7139" s="3" t="s">
        <v>480</v>
      </c>
      <c r="B7139" s="4" t="s">
        <v>63</v>
      </c>
      <c r="C7139" s="4" t="n">
        <v>2</v>
      </c>
      <c r="D7139" s="4" t="s">
        <v>24</v>
      </c>
      <c r="E7139" s="3" t="s">
        <v>271</v>
      </c>
      <c r="F7139" s="4" t="str">
        <f aca="false">IF(I7139&gt;J7139,"Y","N")</f>
        <v>Y</v>
      </c>
      <c r="G7139" s="3" t="s">
        <v>272</v>
      </c>
      <c r="H7139" s="3" t="s">
        <v>21</v>
      </c>
      <c r="I7139" s="4" t="n">
        <v>8</v>
      </c>
      <c r="J7139" s="4" t="n">
        <f aca="false">LEN(E7139)-LEN(SUBSTITUTE(E7139,",",""))+1</f>
        <v>7</v>
      </c>
      <c r="K7139" s="3" t="str">
        <f aca="false">IFERROR(INDEX('Teacher Lookup'!$B$2:$B$200,MATCH(A7139,'Teacher Lookup'!$A$2:$A$200,0)),"")</f>
        <v>LAM Matt</v>
      </c>
    </row>
    <row r="7140" customFormat="false" ht="15" hidden="false" customHeight="false" outlineLevel="0" collapsed="false">
      <c r="A7140" s="3" t="s">
        <v>480</v>
      </c>
      <c r="B7140" s="4" t="s">
        <v>63</v>
      </c>
      <c r="C7140" s="4" t="n">
        <v>2</v>
      </c>
      <c r="D7140" s="4" t="s">
        <v>27</v>
      </c>
      <c r="E7140" s="3" t="s">
        <v>271</v>
      </c>
      <c r="F7140" s="4" t="str">
        <f aca="false">IF(I7140&gt;J7140,"Y","N")</f>
        <v>Y</v>
      </c>
      <c r="G7140" s="3" t="s">
        <v>272</v>
      </c>
      <c r="H7140" s="3" t="s">
        <v>21</v>
      </c>
      <c r="I7140" s="4" t="n">
        <v>8</v>
      </c>
      <c r="J7140" s="4" t="n">
        <f aca="false">LEN(E7140)-LEN(SUBSTITUTE(E7140,",",""))+1</f>
        <v>7</v>
      </c>
      <c r="K7140" s="3" t="str">
        <f aca="false">IFERROR(INDEX('Teacher Lookup'!$B$2:$B$200,MATCH(A7140,'Teacher Lookup'!$A$2:$A$200,0)),"")</f>
        <v>LAM Matt</v>
      </c>
    </row>
    <row r="7141" customFormat="false" ht="15" hidden="false" customHeight="false" outlineLevel="0" collapsed="false">
      <c r="A7141" s="3" t="s">
        <v>480</v>
      </c>
      <c r="B7141" s="4" t="s">
        <v>63</v>
      </c>
      <c r="C7141" s="4" t="n">
        <v>2</v>
      </c>
      <c r="D7141" s="4" t="s">
        <v>28</v>
      </c>
      <c r="E7141" s="3" t="s">
        <v>271</v>
      </c>
      <c r="F7141" s="4" t="str">
        <f aca="false">IF(I7141&gt;J7141,"Y","N")</f>
        <v>Y</v>
      </c>
      <c r="G7141" s="3" t="s">
        <v>272</v>
      </c>
      <c r="H7141" s="3" t="s">
        <v>21</v>
      </c>
      <c r="I7141" s="4" t="n">
        <v>8</v>
      </c>
      <c r="J7141" s="4" t="n">
        <f aca="false">LEN(E7141)-LEN(SUBSTITUTE(E7141,",",""))+1</f>
        <v>7</v>
      </c>
      <c r="K7141" s="3" t="str">
        <f aca="false">IFERROR(INDEX('Teacher Lookup'!$B$2:$B$200,MATCH(A7141,'Teacher Lookup'!$A$2:$A$200,0)),"")</f>
        <v>LAM Matt</v>
      </c>
    </row>
    <row r="7142" customFormat="false" ht="15" hidden="false" customHeight="false" outlineLevel="0" collapsed="false">
      <c r="A7142" s="3" t="s">
        <v>480</v>
      </c>
      <c r="B7142" s="4" t="s">
        <v>63</v>
      </c>
      <c r="C7142" s="4" t="n">
        <v>2</v>
      </c>
      <c r="D7142" s="4" t="s">
        <v>29</v>
      </c>
      <c r="E7142" s="3" t="s">
        <v>271</v>
      </c>
      <c r="F7142" s="4" t="str">
        <f aca="false">IF(I7142&gt;J7142,"Y","N")</f>
        <v>Y</v>
      </c>
      <c r="G7142" s="3" t="s">
        <v>272</v>
      </c>
      <c r="H7142" s="3" t="s">
        <v>21</v>
      </c>
      <c r="I7142" s="4" t="n">
        <v>8</v>
      </c>
      <c r="J7142" s="4" t="n">
        <f aca="false">LEN(E7142)-LEN(SUBSTITUTE(E7142,",",""))+1</f>
        <v>7</v>
      </c>
      <c r="K7142" s="3" t="str">
        <f aca="false">IFERROR(INDEX('Teacher Lookup'!$B$2:$B$200,MATCH(A7142,'Teacher Lookup'!$A$2:$A$200,0)),"")</f>
        <v>LAM Matt</v>
      </c>
    </row>
    <row r="7143" customFormat="false" ht="15" hidden="false" customHeight="false" outlineLevel="0" collapsed="false">
      <c r="A7143" s="3" t="s">
        <v>480</v>
      </c>
      <c r="B7143" s="4" t="s">
        <v>63</v>
      </c>
      <c r="C7143" s="4" t="n">
        <v>2</v>
      </c>
      <c r="D7143" s="4" t="s">
        <v>30</v>
      </c>
      <c r="E7143" s="3" t="s">
        <v>271</v>
      </c>
      <c r="F7143" s="4" t="str">
        <f aca="false">IF(I7143&gt;J7143,"Y","N")</f>
        <v>Y</v>
      </c>
      <c r="G7143" s="3" t="s">
        <v>272</v>
      </c>
      <c r="H7143" s="3" t="s">
        <v>21</v>
      </c>
      <c r="I7143" s="4" t="n">
        <v>8</v>
      </c>
      <c r="J7143" s="4" t="n">
        <f aca="false">LEN(E7143)-LEN(SUBSTITUTE(E7143,",",""))+1</f>
        <v>7</v>
      </c>
      <c r="K7143" s="3" t="str">
        <f aca="false">IFERROR(INDEX('Teacher Lookup'!$B$2:$B$200,MATCH(A7143,'Teacher Lookup'!$A$2:$A$200,0)),"")</f>
        <v>LAM Matt</v>
      </c>
    </row>
    <row r="7144" customFormat="false" ht="15" hidden="false" customHeight="false" outlineLevel="0" collapsed="false">
      <c r="A7144" s="3" t="s">
        <v>480</v>
      </c>
      <c r="B7144" s="4" t="s">
        <v>63</v>
      </c>
      <c r="C7144" s="4" t="n">
        <v>6</v>
      </c>
      <c r="D7144" s="4" t="s">
        <v>132</v>
      </c>
      <c r="E7144" s="3" t="s">
        <v>134</v>
      </c>
      <c r="F7144" s="4" t="str">
        <f aca="false">IF(I7144&gt;J7144,"Y","N")</f>
        <v>N</v>
      </c>
      <c r="G7144" s="3" t="s">
        <v>235</v>
      </c>
      <c r="H7144" s="3" t="s">
        <v>42</v>
      </c>
      <c r="I7144" s="4" t="n">
        <v>1</v>
      </c>
      <c r="J7144" s="4" t="n">
        <f aca="false">LEN(E7144)-LEN(SUBSTITUTE(E7144,",",""))+1</f>
        <v>1</v>
      </c>
      <c r="K7144" s="3" t="str">
        <f aca="false">IFERROR(INDEX('Teacher Lookup'!$B$2:$B$200,MATCH(A7144,'Teacher Lookup'!$A$2:$A$200,0)),"")</f>
        <v>LAM Matt</v>
      </c>
    </row>
    <row r="7145" customFormat="false" ht="15" hidden="false" customHeight="false" outlineLevel="0" collapsed="false">
      <c r="A7145" s="3" t="s">
        <v>480</v>
      </c>
      <c r="B7145" s="4" t="s">
        <v>63</v>
      </c>
      <c r="C7145" s="4" t="n">
        <v>7</v>
      </c>
      <c r="D7145" s="4" t="s">
        <v>102</v>
      </c>
      <c r="E7145" s="3" t="s">
        <v>319</v>
      </c>
      <c r="F7145" s="4" t="str">
        <f aca="false">IF(I7145&gt;J7145,"Y","N")</f>
        <v>Y</v>
      </c>
      <c r="G7145" s="3" t="s">
        <v>310</v>
      </c>
      <c r="H7145" s="3" t="s">
        <v>39</v>
      </c>
      <c r="I7145" s="4" t="n">
        <v>7</v>
      </c>
      <c r="J7145" s="4" t="n">
        <f aca="false">LEN(E7145)-LEN(SUBSTITUTE(E7145,",",""))+1</f>
        <v>6</v>
      </c>
      <c r="K7145" s="3" t="str">
        <f aca="false">IFERROR(INDEX('Teacher Lookup'!$B$2:$B$200,MATCH(A7145,'Teacher Lookup'!$A$2:$A$200,0)),"")</f>
        <v>LAM Matt</v>
      </c>
    </row>
    <row r="7146" customFormat="false" ht="15" hidden="false" customHeight="false" outlineLevel="0" collapsed="false">
      <c r="A7146" s="3" t="s">
        <v>480</v>
      </c>
      <c r="B7146" s="4" t="s">
        <v>63</v>
      </c>
      <c r="C7146" s="4" t="n">
        <v>7</v>
      </c>
      <c r="D7146" s="4" t="s">
        <v>105</v>
      </c>
      <c r="E7146" s="3" t="s">
        <v>319</v>
      </c>
      <c r="F7146" s="4" t="str">
        <f aca="false">IF(I7146&gt;J7146,"Y","N")</f>
        <v>Y</v>
      </c>
      <c r="G7146" s="3" t="s">
        <v>310</v>
      </c>
      <c r="H7146" s="3" t="s">
        <v>39</v>
      </c>
      <c r="I7146" s="4" t="n">
        <v>7</v>
      </c>
      <c r="J7146" s="4" t="n">
        <f aca="false">LEN(E7146)-LEN(SUBSTITUTE(E7146,",",""))+1</f>
        <v>6</v>
      </c>
      <c r="K7146" s="3" t="str">
        <f aca="false">IFERROR(INDEX('Teacher Lookup'!$B$2:$B$200,MATCH(A7146,'Teacher Lookup'!$A$2:$A$200,0)),"")</f>
        <v>LAM Matt</v>
      </c>
    </row>
    <row r="7147" customFormat="false" ht="15" hidden="false" customHeight="false" outlineLevel="0" collapsed="false">
      <c r="A7147" s="3" t="s">
        <v>480</v>
      </c>
      <c r="B7147" s="4" t="s">
        <v>63</v>
      </c>
      <c r="C7147" s="4" t="n">
        <v>7</v>
      </c>
      <c r="D7147" s="4" t="s">
        <v>106</v>
      </c>
      <c r="E7147" s="3" t="s">
        <v>319</v>
      </c>
      <c r="F7147" s="4" t="str">
        <f aca="false">IF(I7147&gt;J7147,"Y","N")</f>
        <v>Y</v>
      </c>
      <c r="G7147" s="3" t="s">
        <v>310</v>
      </c>
      <c r="H7147" s="3" t="s">
        <v>39</v>
      </c>
      <c r="I7147" s="4" t="n">
        <v>7</v>
      </c>
      <c r="J7147" s="4" t="n">
        <f aca="false">LEN(E7147)-LEN(SUBSTITUTE(E7147,",",""))+1</f>
        <v>6</v>
      </c>
      <c r="K7147" s="3" t="str">
        <f aca="false">IFERROR(INDEX('Teacher Lookup'!$B$2:$B$200,MATCH(A7147,'Teacher Lookup'!$A$2:$A$200,0)),"")</f>
        <v>LAM Matt</v>
      </c>
    </row>
    <row r="7148" customFormat="false" ht="15" hidden="false" customHeight="false" outlineLevel="0" collapsed="false">
      <c r="A7148" s="3" t="s">
        <v>480</v>
      </c>
      <c r="B7148" s="4" t="s">
        <v>63</v>
      </c>
      <c r="C7148" s="4" t="n">
        <v>7</v>
      </c>
      <c r="D7148" s="4" t="s">
        <v>107</v>
      </c>
      <c r="E7148" s="3" t="s">
        <v>319</v>
      </c>
      <c r="F7148" s="4" t="str">
        <f aca="false">IF(I7148&gt;J7148,"Y","N")</f>
        <v>Y</v>
      </c>
      <c r="G7148" s="3" t="s">
        <v>310</v>
      </c>
      <c r="H7148" s="3" t="s">
        <v>39</v>
      </c>
      <c r="I7148" s="4" t="n">
        <v>7</v>
      </c>
      <c r="J7148" s="4" t="n">
        <f aca="false">LEN(E7148)-LEN(SUBSTITUTE(E7148,",",""))+1</f>
        <v>6</v>
      </c>
      <c r="K7148" s="3" t="str">
        <f aca="false">IFERROR(INDEX('Teacher Lookup'!$B$2:$B$200,MATCH(A7148,'Teacher Lookup'!$A$2:$A$200,0)),"")</f>
        <v>LAM Matt</v>
      </c>
    </row>
    <row r="7149" customFormat="false" ht="15" hidden="false" customHeight="false" outlineLevel="0" collapsed="false">
      <c r="A7149" s="3" t="s">
        <v>480</v>
      </c>
      <c r="B7149" s="4" t="s">
        <v>65</v>
      </c>
      <c r="C7149" s="4" t="n">
        <v>1</v>
      </c>
      <c r="D7149" s="4" t="s">
        <v>132</v>
      </c>
      <c r="E7149" s="3" t="s">
        <v>125</v>
      </c>
      <c r="F7149" s="4" t="str">
        <f aca="false">IF(I7149&gt;J7149,"Y","N")</f>
        <v>N</v>
      </c>
      <c r="G7149" s="3" t="s">
        <v>235</v>
      </c>
      <c r="H7149" s="3" t="s">
        <v>16</v>
      </c>
      <c r="I7149" s="4" t="n">
        <v>1</v>
      </c>
      <c r="J7149" s="4" t="n">
        <f aca="false">LEN(E7149)-LEN(SUBSTITUTE(E7149,",",""))+1</f>
        <v>1</v>
      </c>
      <c r="K7149" s="3" t="str">
        <f aca="false">IFERROR(INDEX('Teacher Lookup'!$B$2:$B$200,MATCH(A7149,'Teacher Lookup'!$A$2:$A$200,0)),"")</f>
        <v>LAM Matt</v>
      </c>
    </row>
    <row r="7150" customFormat="false" ht="15" hidden="false" customHeight="false" outlineLevel="0" collapsed="false">
      <c r="A7150" s="3" t="s">
        <v>480</v>
      </c>
      <c r="B7150" s="4" t="s">
        <v>65</v>
      </c>
      <c r="C7150" s="4" t="n">
        <v>4</v>
      </c>
      <c r="D7150" s="4" t="s">
        <v>24</v>
      </c>
      <c r="E7150" s="3" t="s">
        <v>282</v>
      </c>
      <c r="F7150" s="4" t="str">
        <f aca="false">IF(I7150&gt;J7150,"Y","N")</f>
        <v>Y</v>
      </c>
      <c r="G7150" s="3" t="s">
        <v>272</v>
      </c>
      <c r="H7150" s="3" t="s">
        <v>34</v>
      </c>
      <c r="I7150" s="4" t="n">
        <v>8</v>
      </c>
      <c r="J7150" s="4" t="n">
        <f aca="false">LEN(E7150)-LEN(SUBSTITUTE(E7150,",",""))+1</f>
        <v>7</v>
      </c>
      <c r="K7150" s="3" t="str">
        <f aca="false">IFERROR(INDEX('Teacher Lookup'!$B$2:$B$200,MATCH(A7150,'Teacher Lookup'!$A$2:$A$200,0)),"")</f>
        <v>LAM Matt</v>
      </c>
    </row>
    <row r="7151" customFormat="false" ht="15" hidden="false" customHeight="false" outlineLevel="0" collapsed="false">
      <c r="A7151" s="3" t="s">
        <v>480</v>
      </c>
      <c r="B7151" s="4" t="s">
        <v>65</v>
      </c>
      <c r="C7151" s="4" t="n">
        <v>4</v>
      </c>
      <c r="D7151" s="4" t="s">
        <v>27</v>
      </c>
      <c r="E7151" s="3" t="s">
        <v>282</v>
      </c>
      <c r="F7151" s="4" t="str">
        <f aca="false">IF(I7151&gt;J7151,"Y","N")</f>
        <v>Y</v>
      </c>
      <c r="G7151" s="3" t="s">
        <v>272</v>
      </c>
      <c r="H7151" s="3" t="s">
        <v>34</v>
      </c>
      <c r="I7151" s="4" t="n">
        <v>8</v>
      </c>
      <c r="J7151" s="4" t="n">
        <f aca="false">LEN(E7151)-LEN(SUBSTITUTE(E7151,",",""))+1</f>
        <v>7</v>
      </c>
      <c r="K7151" s="3" t="str">
        <f aca="false">IFERROR(INDEX('Teacher Lookup'!$B$2:$B$200,MATCH(A7151,'Teacher Lookup'!$A$2:$A$200,0)),"")</f>
        <v>LAM Matt</v>
      </c>
    </row>
    <row r="7152" customFormat="false" ht="15" hidden="false" customHeight="false" outlineLevel="0" collapsed="false">
      <c r="A7152" s="3" t="s">
        <v>480</v>
      </c>
      <c r="B7152" s="4" t="s">
        <v>65</v>
      </c>
      <c r="C7152" s="4" t="n">
        <v>4</v>
      </c>
      <c r="D7152" s="4" t="s">
        <v>28</v>
      </c>
      <c r="E7152" s="3" t="s">
        <v>282</v>
      </c>
      <c r="F7152" s="4" t="str">
        <f aca="false">IF(I7152&gt;J7152,"Y","N")</f>
        <v>Y</v>
      </c>
      <c r="G7152" s="3" t="s">
        <v>272</v>
      </c>
      <c r="H7152" s="3" t="s">
        <v>34</v>
      </c>
      <c r="I7152" s="4" t="n">
        <v>8</v>
      </c>
      <c r="J7152" s="4" t="n">
        <f aca="false">LEN(E7152)-LEN(SUBSTITUTE(E7152,",",""))+1</f>
        <v>7</v>
      </c>
      <c r="K7152" s="3" t="str">
        <f aca="false">IFERROR(INDEX('Teacher Lookup'!$B$2:$B$200,MATCH(A7152,'Teacher Lookup'!$A$2:$A$200,0)),"")</f>
        <v>LAM Matt</v>
      </c>
    </row>
    <row r="7153" customFormat="false" ht="15" hidden="false" customHeight="false" outlineLevel="0" collapsed="false">
      <c r="A7153" s="3" t="s">
        <v>480</v>
      </c>
      <c r="B7153" s="4" t="s">
        <v>65</v>
      </c>
      <c r="C7153" s="4" t="n">
        <v>4</v>
      </c>
      <c r="D7153" s="4" t="s">
        <v>29</v>
      </c>
      <c r="E7153" s="3" t="s">
        <v>282</v>
      </c>
      <c r="F7153" s="4" t="str">
        <f aca="false">IF(I7153&gt;J7153,"Y","N")</f>
        <v>Y</v>
      </c>
      <c r="G7153" s="3" t="s">
        <v>272</v>
      </c>
      <c r="H7153" s="3" t="s">
        <v>34</v>
      </c>
      <c r="I7153" s="4" t="n">
        <v>8</v>
      </c>
      <c r="J7153" s="4" t="n">
        <f aca="false">LEN(E7153)-LEN(SUBSTITUTE(E7153,",",""))+1</f>
        <v>7</v>
      </c>
      <c r="K7153" s="3" t="str">
        <f aca="false">IFERROR(INDEX('Teacher Lookup'!$B$2:$B$200,MATCH(A7153,'Teacher Lookup'!$A$2:$A$200,0)),"")</f>
        <v>LAM Matt</v>
      </c>
    </row>
    <row r="7154" customFormat="false" ht="15" hidden="false" customHeight="false" outlineLevel="0" collapsed="false">
      <c r="A7154" s="3" t="s">
        <v>480</v>
      </c>
      <c r="B7154" s="4" t="s">
        <v>65</v>
      </c>
      <c r="C7154" s="4" t="n">
        <v>4</v>
      </c>
      <c r="D7154" s="4" t="s">
        <v>30</v>
      </c>
      <c r="E7154" s="3" t="s">
        <v>282</v>
      </c>
      <c r="F7154" s="4" t="str">
        <f aca="false">IF(I7154&gt;J7154,"Y","N")</f>
        <v>Y</v>
      </c>
      <c r="G7154" s="3" t="s">
        <v>272</v>
      </c>
      <c r="H7154" s="3" t="s">
        <v>34</v>
      </c>
      <c r="I7154" s="4" t="n">
        <v>8</v>
      </c>
      <c r="J7154" s="4" t="n">
        <f aca="false">LEN(E7154)-LEN(SUBSTITUTE(E7154,",",""))+1</f>
        <v>7</v>
      </c>
      <c r="K7154" s="3" t="str">
        <f aca="false">IFERROR(INDEX('Teacher Lookup'!$B$2:$B$200,MATCH(A7154,'Teacher Lookup'!$A$2:$A$200,0)),"")</f>
        <v>LAM Matt</v>
      </c>
    </row>
    <row r="7155" customFormat="false" ht="15" hidden="false" customHeight="false" outlineLevel="0" collapsed="false">
      <c r="A7155" s="3" t="s">
        <v>480</v>
      </c>
      <c r="B7155" s="4" t="s">
        <v>65</v>
      </c>
      <c r="C7155" s="4" t="n">
        <v>5</v>
      </c>
      <c r="D7155" s="4" t="s">
        <v>24</v>
      </c>
      <c r="E7155" s="3" t="s">
        <v>131</v>
      </c>
      <c r="F7155" s="4" t="str">
        <f aca="false">IF(I7155&gt;J7155,"Y","N")</f>
        <v>Y</v>
      </c>
      <c r="G7155" s="3" t="s">
        <v>36</v>
      </c>
      <c r="H7155" s="3" t="s">
        <v>37</v>
      </c>
      <c r="I7155" s="4" t="n">
        <v>15</v>
      </c>
      <c r="J7155" s="4" t="n">
        <f aca="false">LEN(E7155)-LEN(SUBSTITUTE(E7155,",",""))+1</f>
        <v>7</v>
      </c>
      <c r="K7155" s="3" t="str">
        <f aca="false">IFERROR(INDEX('Teacher Lookup'!$B$2:$B$200,MATCH(A7155,'Teacher Lookup'!$A$2:$A$200,0)),"")</f>
        <v>LAM Matt</v>
      </c>
    </row>
    <row r="7156" customFormat="false" ht="15" hidden="false" customHeight="false" outlineLevel="0" collapsed="false">
      <c r="A7156" s="3" t="s">
        <v>480</v>
      </c>
      <c r="B7156" s="4" t="s">
        <v>65</v>
      </c>
      <c r="C7156" s="4" t="n">
        <v>5</v>
      </c>
      <c r="D7156" s="4" t="s">
        <v>132</v>
      </c>
      <c r="E7156" s="3" t="s">
        <v>131</v>
      </c>
      <c r="F7156" s="4" t="str">
        <f aca="false">IF(I7156&gt;J7156,"Y","N")</f>
        <v>Y</v>
      </c>
      <c r="G7156" s="3" t="s">
        <v>36</v>
      </c>
      <c r="H7156" s="3" t="s">
        <v>37</v>
      </c>
      <c r="I7156" s="4" t="n">
        <v>15</v>
      </c>
      <c r="J7156" s="4" t="n">
        <f aca="false">LEN(E7156)-LEN(SUBSTITUTE(E7156,",",""))+1</f>
        <v>7</v>
      </c>
      <c r="K7156" s="3" t="str">
        <f aca="false">IFERROR(INDEX('Teacher Lookup'!$B$2:$B$200,MATCH(A7156,'Teacher Lookup'!$A$2:$A$200,0)),"")</f>
        <v>LAM Matt</v>
      </c>
    </row>
    <row r="7157" customFormat="false" ht="15" hidden="false" customHeight="false" outlineLevel="0" collapsed="false">
      <c r="A7157" s="3" t="s">
        <v>480</v>
      </c>
      <c r="B7157" s="4" t="s">
        <v>65</v>
      </c>
      <c r="C7157" s="4" t="n">
        <v>5</v>
      </c>
      <c r="D7157" s="4" t="s">
        <v>27</v>
      </c>
      <c r="E7157" s="3" t="s">
        <v>131</v>
      </c>
      <c r="F7157" s="4" t="str">
        <f aca="false">IF(I7157&gt;J7157,"Y","N")</f>
        <v>Y</v>
      </c>
      <c r="G7157" s="3" t="s">
        <v>36</v>
      </c>
      <c r="H7157" s="3" t="s">
        <v>37</v>
      </c>
      <c r="I7157" s="4" t="n">
        <v>15</v>
      </c>
      <c r="J7157" s="4" t="n">
        <f aca="false">LEN(E7157)-LEN(SUBSTITUTE(E7157,",",""))+1</f>
        <v>7</v>
      </c>
      <c r="K7157" s="3" t="str">
        <f aca="false">IFERROR(INDEX('Teacher Lookup'!$B$2:$B$200,MATCH(A7157,'Teacher Lookup'!$A$2:$A$200,0)),"")</f>
        <v>LAM Matt</v>
      </c>
    </row>
    <row r="7158" customFormat="false" ht="15" hidden="false" customHeight="false" outlineLevel="0" collapsed="false">
      <c r="A7158" s="3" t="s">
        <v>480</v>
      </c>
      <c r="B7158" s="4" t="s">
        <v>65</v>
      </c>
      <c r="C7158" s="4" t="n">
        <v>5</v>
      </c>
      <c r="D7158" s="4" t="s">
        <v>28</v>
      </c>
      <c r="E7158" s="3" t="s">
        <v>131</v>
      </c>
      <c r="F7158" s="4" t="str">
        <f aca="false">IF(I7158&gt;J7158,"Y","N")</f>
        <v>Y</v>
      </c>
      <c r="G7158" s="3" t="s">
        <v>36</v>
      </c>
      <c r="H7158" s="3" t="s">
        <v>37</v>
      </c>
      <c r="I7158" s="4" t="n">
        <v>15</v>
      </c>
      <c r="J7158" s="4" t="n">
        <f aca="false">LEN(E7158)-LEN(SUBSTITUTE(E7158,",",""))+1</f>
        <v>7</v>
      </c>
      <c r="K7158" s="3" t="str">
        <f aca="false">IFERROR(INDEX('Teacher Lookup'!$B$2:$B$200,MATCH(A7158,'Teacher Lookup'!$A$2:$A$200,0)),"")</f>
        <v>LAM Matt</v>
      </c>
    </row>
    <row r="7159" customFormat="false" ht="15" hidden="false" customHeight="false" outlineLevel="0" collapsed="false">
      <c r="A7159" s="3" t="s">
        <v>480</v>
      </c>
      <c r="B7159" s="4" t="s">
        <v>65</v>
      </c>
      <c r="C7159" s="4" t="n">
        <v>5</v>
      </c>
      <c r="D7159" s="4" t="s">
        <v>29</v>
      </c>
      <c r="E7159" s="3" t="s">
        <v>131</v>
      </c>
      <c r="F7159" s="4" t="str">
        <f aca="false">IF(I7159&gt;J7159,"Y","N")</f>
        <v>Y</v>
      </c>
      <c r="G7159" s="3" t="s">
        <v>36</v>
      </c>
      <c r="H7159" s="3" t="s">
        <v>37</v>
      </c>
      <c r="I7159" s="4" t="n">
        <v>15</v>
      </c>
      <c r="J7159" s="4" t="n">
        <f aca="false">LEN(E7159)-LEN(SUBSTITUTE(E7159,",",""))+1</f>
        <v>7</v>
      </c>
      <c r="K7159" s="3" t="str">
        <f aca="false">IFERROR(INDEX('Teacher Lookup'!$B$2:$B$200,MATCH(A7159,'Teacher Lookup'!$A$2:$A$200,0)),"")</f>
        <v>LAM Matt</v>
      </c>
    </row>
    <row r="7160" customFormat="false" ht="15" hidden="false" customHeight="false" outlineLevel="0" collapsed="false">
      <c r="A7160" s="3" t="s">
        <v>480</v>
      </c>
      <c r="B7160" s="4" t="s">
        <v>65</v>
      </c>
      <c r="C7160" s="4" t="n">
        <v>5</v>
      </c>
      <c r="D7160" s="4" t="s">
        <v>30</v>
      </c>
      <c r="E7160" s="3" t="s">
        <v>131</v>
      </c>
      <c r="F7160" s="4" t="str">
        <f aca="false">IF(I7160&gt;J7160,"Y","N")</f>
        <v>Y</v>
      </c>
      <c r="G7160" s="3" t="s">
        <v>36</v>
      </c>
      <c r="H7160" s="3" t="s">
        <v>37</v>
      </c>
      <c r="I7160" s="4" t="n">
        <v>15</v>
      </c>
      <c r="J7160" s="4" t="n">
        <f aca="false">LEN(E7160)-LEN(SUBSTITUTE(E7160,",",""))+1</f>
        <v>7</v>
      </c>
      <c r="K7160" s="3" t="str">
        <f aca="false">IFERROR(INDEX('Teacher Lookup'!$B$2:$B$200,MATCH(A7160,'Teacher Lookup'!$A$2:$A$200,0)),"")</f>
        <v>LAM Matt</v>
      </c>
    </row>
    <row r="7161" customFormat="false" ht="15" hidden="false" customHeight="false" outlineLevel="0" collapsed="false">
      <c r="A7161" s="3" t="s">
        <v>480</v>
      </c>
      <c r="B7161" s="4" t="s">
        <v>66</v>
      </c>
      <c r="C7161" s="4" t="n">
        <v>1</v>
      </c>
      <c r="D7161" s="4" t="s">
        <v>132</v>
      </c>
      <c r="E7161" s="3" t="s">
        <v>246</v>
      </c>
      <c r="F7161" s="4" t="str">
        <f aca="false">IF(I7161&gt;J7161,"Y","N")</f>
        <v>N</v>
      </c>
      <c r="G7161" s="3" t="s">
        <v>235</v>
      </c>
      <c r="H7161" s="3" t="s">
        <v>16</v>
      </c>
      <c r="I7161" s="4" t="n">
        <v>1</v>
      </c>
      <c r="J7161" s="4" t="n">
        <f aca="false">LEN(E7161)-LEN(SUBSTITUTE(E7161,",",""))+1</f>
        <v>1</v>
      </c>
      <c r="K7161" s="3" t="str">
        <f aca="false">IFERROR(INDEX('Teacher Lookup'!$B$2:$B$200,MATCH(A7161,'Teacher Lookup'!$A$2:$A$200,0)),"")</f>
        <v>LAM Matt</v>
      </c>
    </row>
    <row r="7162" customFormat="false" ht="15" hidden="false" customHeight="false" outlineLevel="0" collapsed="false">
      <c r="A7162" s="3" t="s">
        <v>480</v>
      </c>
      <c r="B7162" s="4" t="s">
        <v>66</v>
      </c>
      <c r="C7162" s="4" t="n">
        <v>5</v>
      </c>
      <c r="D7162" s="4" t="s">
        <v>102</v>
      </c>
      <c r="E7162" s="3" t="s">
        <v>320</v>
      </c>
      <c r="F7162" s="4" t="str">
        <f aca="false">IF(I7162&gt;J7162,"Y","N")</f>
        <v>Y</v>
      </c>
      <c r="G7162" s="3" t="s">
        <v>310</v>
      </c>
      <c r="H7162" s="3" t="s">
        <v>37</v>
      </c>
      <c r="I7162" s="4" t="n">
        <v>7</v>
      </c>
      <c r="J7162" s="4" t="n">
        <f aca="false">LEN(E7162)-LEN(SUBSTITUTE(E7162,",",""))+1</f>
        <v>6</v>
      </c>
      <c r="K7162" s="3" t="str">
        <f aca="false">IFERROR(INDEX('Teacher Lookup'!$B$2:$B$200,MATCH(A7162,'Teacher Lookup'!$A$2:$A$200,0)),"")</f>
        <v>LAM Matt</v>
      </c>
    </row>
    <row r="7163" customFormat="false" ht="15" hidden="false" customHeight="false" outlineLevel="0" collapsed="false">
      <c r="A7163" s="3" t="s">
        <v>480</v>
      </c>
      <c r="B7163" s="4" t="s">
        <v>66</v>
      </c>
      <c r="C7163" s="4" t="n">
        <v>5</v>
      </c>
      <c r="D7163" s="4" t="s">
        <v>105</v>
      </c>
      <c r="E7163" s="3" t="s">
        <v>320</v>
      </c>
      <c r="F7163" s="4" t="str">
        <f aca="false">IF(I7163&gt;J7163,"Y","N")</f>
        <v>Y</v>
      </c>
      <c r="G7163" s="3" t="s">
        <v>310</v>
      </c>
      <c r="H7163" s="3" t="s">
        <v>37</v>
      </c>
      <c r="I7163" s="4" t="n">
        <v>7</v>
      </c>
      <c r="J7163" s="4" t="n">
        <f aca="false">LEN(E7163)-LEN(SUBSTITUTE(E7163,",",""))+1</f>
        <v>6</v>
      </c>
      <c r="K7163" s="3" t="str">
        <f aca="false">IFERROR(INDEX('Teacher Lookup'!$B$2:$B$200,MATCH(A7163,'Teacher Lookup'!$A$2:$A$200,0)),"")</f>
        <v>LAM Matt</v>
      </c>
    </row>
    <row r="7164" customFormat="false" ht="15" hidden="false" customHeight="false" outlineLevel="0" collapsed="false">
      <c r="A7164" s="3" t="s">
        <v>480</v>
      </c>
      <c r="B7164" s="4" t="s">
        <v>66</v>
      </c>
      <c r="C7164" s="4" t="n">
        <v>5</v>
      </c>
      <c r="D7164" s="4" t="s">
        <v>106</v>
      </c>
      <c r="E7164" s="3" t="s">
        <v>320</v>
      </c>
      <c r="F7164" s="4" t="str">
        <f aca="false">IF(I7164&gt;J7164,"Y","N")</f>
        <v>Y</v>
      </c>
      <c r="G7164" s="3" t="s">
        <v>310</v>
      </c>
      <c r="H7164" s="3" t="s">
        <v>37</v>
      </c>
      <c r="I7164" s="4" t="n">
        <v>7</v>
      </c>
      <c r="J7164" s="4" t="n">
        <f aca="false">LEN(E7164)-LEN(SUBSTITUTE(E7164,",",""))+1</f>
        <v>6</v>
      </c>
      <c r="K7164" s="3" t="str">
        <f aca="false">IFERROR(INDEX('Teacher Lookup'!$B$2:$B$200,MATCH(A7164,'Teacher Lookup'!$A$2:$A$200,0)),"")</f>
        <v>LAM Matt</v>
      </c>
    </row>
    <row r="7165" customFormat="false" ht="15" hidden="false" customHeight="false" outlineLevel="0" collapsed="false">
      <c r="A7165" s="3" t="s">
        <v>480</v>
      </c>
      <c r="B7165" s="4" t="s">
        <v>66</v>
      </c>
      <c r="C7165" s="4" t="n">
        <v>5</v>
      </c>
      <c r="D7165" s="4" t="s">
        <v>107</v>
      </c>
      <c r="E7165" s="3" t="s">
        <v>320</v>
      </c>
      <c r="F7165" s="4" t="str">
        <f aca="false">IF(I7165&gt;J7165,"Y","N")</f>
        <v>Y</v>
      </c>
      <c r="G7165" s="3" t="s">
        <v>310</v>
      </c>
      <c r="H7165" s="3" t="s">
        <v>37</v>
      </c>
      <c r="I7165" s="4" t="n">
        <v>7</v>
      </c>
      <c r="J7165" s="4" t="n">
        <f aca="false">LEN(E7165)-LEN(SUBSTITUTE(E7165,",",""))+1</f>
        <v>6</v>
      </c>
      <c r="K7165" s="3" t="str">
        <f aca="false">IFERROR(INDEX('Teacher Lookup'!$B$2:$B$200,MATCH(A7165,'Teacher Lookup'!$A$2:$A$200,0)),"")</f>
        <v>LAM Matt</v>
      </c>
    </row>
    <row r="7166" customFormat="false" ht="15" hidden="false" customHeight="false" outlineLevel="0" collapsed="false">
      <c r="A7166" s="3" t="s">
        <v>214</v>
      </c>
      <c r="B7166" s="4" t="s">
        <v>12</v>
      </c>
      <c r="C7166" s="4" t="n">
        <v>4</v>
      </c>
      <c r="D7166" s="4" t="s">
        <v>76</v>
      </c>
      <c r="E7166" s="3" t="s">
        <v>165</v>
      </c>
      <c r="F7166" s="4" t="str">
        <f aca="false">IF(I7166&gt;J7166,"Y","N")</f>
        <v>N</v>
      </c>
      <c r="G7166" s="3" t="s">
        <v>164</v>
      </c>
      <c r="H7166" s="3" t="s">
        <v>34</v>
      </c>
      <c r="I7166" s="4" t="n">
        <v>4</v>
      </c>
      <c r="J7166" s="4" t="n">
        <f aca="false">LEN(E7166)-LEN(SUBSTITUTE(E7166,",",""))+1</f>
        <v>4</v>
      </c>
      <c r="K7166" s="3" t="str">
        <f aca="false">IFERROR(INDEX('Teacher Lookup'!$B$2:$B$200,MATCH(A7166,'Teacher Lookup'!$A$2:$A$200,0)),"")</f>
        <v>SUAIBU Muthu</v>
      </c>
    </row>
    <row r="7167" customFormat="false" ht="15" hidden="false" customHeight="false" outlineLevel="0" collapsed="false">
      <c r="A7167" s="3" t="s">
        <v>214</v>
      </c>
      <c r="B7167" s="4" t="s">
        <v>12</v>
      </c>
      <c r="C7167" s="4" t="n">
        <v>4</v>
      </c>
      <c r="D7167" s="4" t="s">
        <v>78</v>
      </c>
      <c r="E7167" s="3" t="s">
        <v>165</v>
      </c>
      <c r="F7167" s="4" t="str">
        <f aca="false">IF(I7167&gt;J7167,"Y","N")</f>
        <v>N</v>
      </c>
      <c r="G7167" s="3" t="s">
        <v>164</v>
      </c>
      <c r="H7167" s="3" t="s">
        <v>34</v>
      </c>
      <c r="I7167" s="4" t="n">
        <v>4</v>
      </c>
      <c r="J7167" s="4" t="n">
        <f aca="false">LEN(E7167)-LEN(SUBSTITUTE(E7167,",",""))+1</f>
        <v>4</v>
      </c>
      <c r="K7167" s="3" t="str">
        <f aca="false">IFERROR(INDEX('Teacher Lookup'!$B$2:$B$200,MATCH(A7167,'Teacher Lookup'!$A$2:$A$200,0)),"")</f>
        <v>SUAIBU Muthu</v>
      </c>
    </row>
    <row r="7168" customFormat="false" ht="15" hidden="false" customHeight="false" outlineLevel="0" collapsed="false">
      <c r="A7168" s="3" t="s">
        <v>214</v>
      </c>
      <c r="B7168" s="4" t="s">
        <v>12</v>
      </c>
      <c r="C7168" s="4" t="n">
        <v>4</v>
      </c>
      <c r="D7168" s="4" t="s">
        <v>79</v>
      </c>
      <c r="E7168" s="3" t="s">
        <v>165</v>
      </c>
      <c r="F7168" s="4" t="str">
        <f aca="false">IF(I7168&gt;J7168,"Y","N")</f>
        <v>N</v>
      </c>
      <c r="G7168" s="3" t="s">
        <v>164</v>
      </c>
      <c r="H7168" s="3" t="s">
        <v>34</v>
      </c>
      <c r="I7168" s="4" t="n">
        <v>4</v>
      </c>
      <c r="J7168" s="4" t="n">
        <f aca="false">LEN(E7168)-LEN(SUBSTITUTE(E7168,",",""))+1</f>
        <v>4</v>
      </c>
      <c r="K7168" s="3" t="str">
        <f aca="false">IFERROR(INDEX('Teacher Lookup'!$B$2:$B$200,MATCH(A7168,'Teacher Lookup'!$A$2:$A$200,0)),"")</f>
        <v>SUAIBU Muthu</v>
      </c>
    </row>
    <row r="7169" customFormat="false" ht="15" hidden="false" customHeight="false" outlineLevel="0" collapsed="false">
      <c r="A7169" s="3" t="s">
        <v>214</v>
      </c>
      <c r="B7169" s="4" t="s">
        <v>12</v>
      </c>
      <c r="C7169" s="4" t="n">
        <v>6</v>
      </c>
      <c r="D7169" s="4" t="s">
        <v>13</v>
      </c>
      <c r="E7169" s="3" t="s">
        <v>323</v>
      </c>
      <c r="F7169" s="4" t="str">
        <f aca="false">IF(I7169&gt;J7169,"Y","N")</f>
        <v>N</v>
      </c>
      <c r="G7169" s="3" t="s">
        <v>164</v>
      </c>
      <c r="H7169" s="3" t="s">
        <v>42</v>
      </c>
      <c r="I7169" s="4" t="n">
        <v>4</v>
      </c>
      <c r="J7169" s="4" t="n">
        <f aca="false">LEN(E7169)-LEN(SUBSTITUTE(E7169,",",""))+1</f>
        <v>4</v>
      </c>
      <c r="K7169" s="3" t="str">
        <f aca="false">IFERROR(INDEX('Teacher Lookup'!$B$2:$B$200,MATCH(A7169,'Teacher Lookup'!$A$2:$A$200,0)),"")</f>
        <v>SUAIBU Muthu</v>
      </c>
    </row>
    <row r="7170" customFormat="false" ht="15" hidden="false" customHeight="false" outlineLevel="0" collapsed="false">
      <c r="A7170" s="3" t="s">
        <v>214</v>
      </c>
      <c r="B7170" s="4" t="s">
        <v>12</v>
      </c>
      <c r="C7170" s="4" t="n">
        <v>6</v>
      </c>
      <c r="D7170" s="4" t="s">
        <v>17</v>
      </c>
      <c r="E7170" s="3" t="s">
        <v>323</v>
      </c>
      <c r="F7170" s="4" t="str">
        <f aca="false">IF(I7170&gt;J7170,"Y","N")</f>
        <v>N</v>
      </c>
      <c r="G7170" s="3" t="s">
        <v>164</v>
      </c>
      <c r="H7170" s="3" t="s">
        <v>42</v>
      </c>
      <c r="I7170" s="4" t="n">
        <v>4</v>
      </c>
      <c r="J7170" s="4" t="n">
        <f aca="false">LEN(E7170)-LEN(SUBSTITUTE(E7170,",",""))+1</f>
        <v>4</v>
      </c>
      <c r="K7170" s="3" t="str">
        <f aca="false">IFERROR(INDEX('Teacher Lookup'!$B$2:$B$200,MATCH(A7170,'Teacher Lookup'!$A$2:$A$200,0)),"")</f>
        <v>SUAIBU Muthu</v>
      </c>
    </row>
    <row r="7171" customFormat="false" ht="15" hidden="false" customHeight="false" outlineLevel="0" collapsed="false">
      <c r="A7171" s="3" t="s">
        <v>214</v>
      </c>
      <c r="B7171" s="4" t="s">
        <v>12</v>
      </c>
      <c r="C7171" s="4" t="n">
        <v>6</v>
      </c>
      <c r="D7171" s="4" t="s">
        <v>18</v>
      </c>
      <c r="E7171" s="3" t="s">
        <v>323</v>
      </c>
      <c r="F7171" s="4" t="str">
        <f aca="false">IF(I7171&gt;J7171,"Y","N")</f>
        <v>N</v>
      </c>
      <c r="G7171" s="3" t="s">
        <v>164</v>
      </c>
      <c r="H7171" s="3" t="s">
        <v>42</v>
      </c>
      <c r="I7171" s="4" t="n">
        <v>4</v>
      </c>
      <c r="J7171" s="4" t="n">
        <f aca="false">LEN(E7171)-LEN(SUBSTITUTE(E7171,",",""))+1</f>
        <v>4</v>
      </c>
      <c r="K7171" s="3" t="str">
        <f aca="false">IFERROR(INDEX('Teacher Lookup'!$B$2:$B$200,MATCH(A7171,'Teacher Lookup'!$A$2:$A$200,0)),"")</f>
        <v>SUAIBU Muthu</v>
      </c>
    </row>
    <row r="7172" customFormat="false" ht="15" hidden="false" customHeight="false" outlineLevel="0" collapsed="false">
      <c r="A7172" s="3" t="s">
        <v>214</v>
      </c>
      <c r="B7172" s="4" t="s">
        <v>12</v>
      </c>
      <c r="C7172" s="4" t="n">
        <v>7</v>
      </c>
      <c r="D7172" s="4" t="s">
        <v>19</v>
      </c>
      <c r="E7172" s="3" t="s">
        <v>33</v>
      </c>
      <c r="F7172" s="4" t="str">
        <f aca="false">IF(I7172&gt;J7172,"Y","N")</f>
        <v>N</v>
      </c>
      <c r="G7172" s="3" t="s">
        <v>164</v>
      </c>
      <c r="H7172" s="3" t="s">
        <v>39</v>
      </c>
      <c r="I7172" s="4" t="n">
        <v>4</v>
      </c>
      <c r="J7172" s="4" t="n">
        <f aca="false">LEN(E7172)-LEN(SUBSTITUTE(E7172,",",""))+1</f>
        <v>4</v>
      </c>
      <c r="K7172" s="3" t="str">
        <f aca="false">IFERROR(INDEX('Teacher Lookup'!$B$2:$B$200,MATCH(A7172,'Teacher Lookup'!$A$2:$A$200,0)),"")</f>
        <v>SUAIBU Muthu</v>
      </c>
    </row>
    <row r="7173" customFormat="false" ht="15" hidden="false" customHeight="false" outlineLevel="0" collapsed="false">
      <c r="A7173" s="3" t="s">
        <v>214</v>
      </c>
      <c r="B7173" s="4" t="s">
        <v>12</v>
      </c>
      <c r="C7173" s="4" t="n">
        <v>7</v>
      </c>
      <c r="D7173" s="4" t="s">
        <v>22</v>
      </c>
      <c r="E7173" s="3" t="s">
        <v>33</v>
      </c>
      <c r="F7173" s="4" t="str">
        <f aca="false">IF(I7173&gt;J7173,"Y","N")</f>
        <v>N</v>
      </c>
      <c r="G7173" s="3" t="s">
        <v>164</v>
      </c>
      <c r="H7173" s="3" t="s">
        <v>39</v>
      </c>
      <c r="I7173" s="4" t="n">
        <v>4</v>
      </c>
      <c r="J7173" s="4" t="n">
        <f aca="false">LEN(E7173)-LEN(SUBSTITUTE(E7173,",",""))+1</f>
        <v>4</v>
      </c>
      <c r="K7173" s="3" t="str">
        <f aca="false">IFERROR(INDEX('Teacher Lookup'!$B$2:$B$200,MATCH(A7173,'Teacher Lookup'!$A$2:$A$200,0)),"")</f>
        <v>SUAIBU Muthu</v>
      </c>
    </row>
    <row r="7174" customFormat="false" ht="15" hidden="false" customHeight="false" outlineLevel="0" collapsed="false">
      <c r="A7174" s="3" t="s">
        <v>214</v>
      </c>
      <c r="B7174" s="4" t="s">
        <v>12</v>
      </c>
      <c r="C7174" s="4" t="n">
        <v>7</v>
      </c>
      <c r="D7174" s="4" t="s">
        <v>23</v>
      </c>
      <c r="E7174" s="3" t="s">
        <v>33</v>
      </c>
      <c r="F7174" s="4" t="str">
        <f aca="false">IF(I7174&gt;J7174,"Y","N")</f>
        <v>N</v>
      </c>
      <c r="G7174" s="3" t="s">
        <v>164</v>
      </c>
      <c r="H7174" s="3" t="s">
        <v>39</v>
      </c>
      <c r="I7174" s="4" t="n">
        <v>4</v>
      </c>
      <c r="J7174" s="4" t="n">
        <f aca="false">LEN(E7174)-LEN(SUBSTITUTE(E7174,",",""))+1</f>
        <v>4</v>
      </c>
      <c r="K7174" s="3" t="str">
        <f aca="false">IFERROR(INDEX('Teacher Lookup'!$B$2:$B$200,MATCH(A7174,'Teacher Lookup'!$A$2:$A$200,0)),"")</f>
        <v>SUAIBU Muthu</v>
      </c>
    </row>
    <row r="7175" customFormat="false" ht="15" hidden="false" customHeight="false" outlineLevel="0" collapsed="false">
      <c r="A7175" s="3" t="s">
        <v>214</v>
      </c>
      <c r="B7175" s="4" t="s">
        <v>31</v>
      </c>
      <c r="C7175" s="4" t="n">
        <v>2</v>
      </c>
      <c r="D7175" s="4" t="s">
        <v>19</v>
      </c>
      <c r="E7175" s="3" t="s">
        <v>33</v>
      </c>
      <c r="F7175" s="4" t="str">
        <f aca="false">IF(I7175&gt;J7175,"Y","N")</f>
        <v>N</v>
      </c>
      <c r="G7175" s="3" t="s">
        <v>164</v>
      </c>
      <c r="H7175" s="3" t="s">
        <v>21</v>
      </c>
      <c r="I7175" s="4" t="n">
        <v>4</v>
      </c>
      <c r="J7175" s="4" t="n">
        <f aca="false">LEN(E7175)-LEN(SUBSTITUTE(E7175,",",""))+1</f>
        <v>4</v>
      </c>
      <c r="K7175" s="3" t="str">
        <f aca="false">IFERROR(INDEX('Teacher Lookup'!$B$2:$B$200,MATCH(A7175,'Teacher Lookup'!$A$2:$A$200,0)),"")</f>
        <v>SUAIBU Muthu</v>
      </c>
    </row>
    <row r="7176" customFormat="false" ht="15" hidden="false" customHeight="false" outlineLevel="0" collapsed="false">
      <c r="A7176" s="3" t="s">
        <v>214</v>
      </c>
      <c r="B7176" s="4" t="s">
        <v>31</v>
      </c>
      <c r="C7176" s="4" t="n">
        <v>2</v>
      </c>
      <c r="D7176" s="4" t="s">
        <v>22</v>
      </c>
      <c r="E7176" s="3" t="s">
        <v>33</v>
      </c>
      <c r="F7176" s="4" t="str">
        <f aca="false">IF(I7176&gt;J7176,"Y","N")</f>
        <v>N</v>
      </c>
      <c r="G7176" s="3" t="s">
        <v>164</v>
      </c>
      <c r="H7176" s="3" t="s">
        <v>21</v>
      </c>
      <c r="I7176" s="4" t="n">
        <v>4</v>
      </c>
      <c r="J7176" s="4" t="n">
        <f aca="false">LEN(E7176)-LEN(SUBSTITUTE(E7176,",",""))+1</f>
        <v>4</v>
      </c>
      <c r="K7176" s="3" t="str">
        <f aca="false">IFERROR(INDEX('Teacher Lookup'!$B$2:$B$200,MATCH(A7176,'Teacher Lookup'!$A$2:$A$200,0)),"")</f>
        <v>SUAIBU Muthu</v>
      </c>
    </row>
    <row r="7177" customFormat="false" ht="15" hidden="false" customHeight="false" outlineLevel="0" collapsed="false">
      <c r="A7177" s="3" t="s">
        <v>214</v>
      </c>
      <c r="B7177" s="4" t="s">
        <v>31</v>
      </c>
      <c r="C7177" s="4" t="n">
        <v>2</v>
      </c>
      <c r="D7177" s="4" t="s">
        <v>23</v>
      </c>
      <c r="E7177" s="3" t="s">
        <v>33</v>
      </c>
      <c r="F7177" s="4" t="str">
        <f aca="false">IF(I7177&gt;J7177,"Y","N")</f>
        <v>N</v>
      </c>
      <c r="G7177" s="3" t="s">
        <v>164</v>
      </c>
      <c r="H7177" s="3" t="s">
        <v>21</v>
      </c>
      <c r="I7177" s="4" t="n">
        <v>4</v>
      </c>
      <c r="J7177" s="4" t="n">
        <f aca="false">LEN(E7177)-LEN(SUBSTITUTE(E7177,",",""))+1</f>
        <v>4</v>
      </c>
      <c r="K7177" s="3" t="str">
        <f aca="false">IFERROR(INDEX('Teacher Lookup'!$B$2:$B$200,MATCH(A7177,'Teacher Lookup'!$A$2:$A$200,0)),"")</f>
        <v>SUAIBU Muthu</v>
      </c>
    </row>
    <row r="7178" customFormat="false" ht="15" hidden="false" customHeight="false" outlineLevel="0" collapsed="false">
      <c r="A7178" s="3" t="s">
        <v>214</v>
      </c>
      <c r="B7178" s="4" t="s">
        <v>31</v>
      </c>
      <c r="C7178" s="4" t="n">
        <v>3</v>
      </c>
      <c r="D7178" s="4" t="s">
        <v>76</v>
      </c>
      <c r="E7178" s="3" t="s">
        <v>168</v>
      </c>
      <c r="F7178" s="4" t="str">
        <f aca="false">IF(I7178&gt;J7178,"Y","N")</f>
        <v>N</v>
      </c>
      <c r="G7178" s="3" t="s">
        <v>164</v>
      </c>
      <c r="H7178" s="3" t="s">
        <v>26</v>
      </c>
      <c r="I7178" s="4" t="n">
        <v>4</v>
      </c>
      <c r="J7178" s="4" t="n">
        <f aca="false">LEN(E7178)-LEN(SUBSTITUTE(E7178,",",""))+1</f>
        <v>4</v>
      </c>
      <c r="K7178" s="3" t="str">
        <f aca="false">IFERROR(INDEX('Teacher Lookup'!$B$2:$B$200,MATCH(A7178,'Teacher Lookup'!$A$2:$A$200,0)),"")</f>
        <v>SUAIBU Muthu</v>
      </c>
    </row>
    <row r="7179" customFormat="false" ht="15" hidden="false" customHeight="false" outlineLevel="0" collapsed="false">
      <c r="A7179" s="3" t="s">
        <v>214</v>
      </c>
      <c r="B7179" s="4" t="s">
        <v>31</v>
      </c>
      <c r="C7179" s="4" t="n">
        <v>3</v>
      </c>
      <c r="D7179" s="4" t="s">
        <v>78</v>
      </c>
      <c r="E7179" s="3" t="s">
        <v>168</v>
      </c>
      <c r="F7179" s="4" t="str">
        <f aca="false">IF(I7179&gt;J7179,"Y","N")</f>
        <v>N</v>
      </c>
      <c r="G7179" s="3" t="s">
        <v>164</v>
      </c>
      <c r="H7179" s="3" t="s">
        <v>26</v>
      </c>
      <c r="I7179" s="4" t="n">
        <v>4</v>
      </c>
      <c r="J7179" s="4" t="n">
        <f aca="false">LEN(E7179)-LEN(SUBSTITUTE(E7179,",",""))+1</f>
        <v>4</v>
      </c>
      <c r="K7179" s="3" t="str">
        <f aca="false">IFERROR(INDEX('Teacher Lookup'!$B$2:$B$200,MATCH(A7179,'Teacher Lookup'!$A$2:$A$200,0)),"")</f>
        <v>SUAIBU Muthu</v>
      </c>
    </row>
    <row r="7180" customFormat="false" ht="15" hidden="false" customHeight="false" outlineLevel="0" collapsed="false">
      <c r="A7180" s="3" t="s">
        <v>214</v>
      </c>
      <c r="B7180" s="4" t="s">
        <v>31</v>
      </c>
      <c r="C7180" s="4" t="n">
        <v>3</v>
      </c>
      <c r="D7180" s="4" t="s">
        <v>79</v>
      </c>
      <c r="E7180" s="3" t="s">
        <v>168</v>
      </c>
      <c r="F7180" s="4" t="str">
        <f aca="false">IF(I7180&gt;J7180,"Y","N")</f>
        <v>N</v>
      </c>
      <c r="G7180" s="3" t="s">
        <v>164</v>
      </c>
      <c r="H7180" s="3" t="s">
        <v>26</v>
      </c>
      <c r="I7180" s="4" t="n">
        <v>4</v>
      </c>
      <c r="J7180" s="4" t="n">
        <f aca="false">LEN(E7180)-LEN(SUBSTITUTE(E7180,",",""))+1</f>
        <v>4</v>
      </c>
      <c r="K7180" s="3" t="str">
        <f aca="false">IFERROR(INDEX('Teacher Lookup'!$B$2:$B$200,MATCH(A7180,'Teacher Lookup'!$A$2:$A$200,0)),"")</f>
        <v>SUAIBU Muthu</v>
      </c>
    </row>
    <row r="7181" customFormat="false" ht="15" hidden="false" customHeight="false" outlineLevel="0" collapsed="false">
      <c r="A7181" s="3" t="s">
        <v>214</v>
      </c>
      <c r="B7181" s="4" t="s">
        <v>31</v>
      </c>
      <c r="C7181" s="4" t="n">
        <v>5</v>
      </c>
      <c r="D7181" s="4" t="s">
        <v>19</v>
      </c>
      <c r="E7181" s="3" t="s">
        <v>35</v>
      </c>
      <c r="F7181" s="4" t="str">
        <f aca="false">IF(I7181&gt;J7181,"Y","N")</f>
        <v>Y</v>
      </c>
      <c r="G7181" s="3" t="s">
        <v>36</v>
      </c>
      <c r="H7181" s="3" t="s">
        <v>37</v>
      </c>
      <c r="I7181" s="4" t="n">
        <v>17</v>
      </c>
      <c r="J7181" s="4" t="n">
        <f aca="false">LEN(E7181)-LEN(SUBSTITUTE(E7181,",",""))+1</f>
        <v>7</v>
      </c>
      <c r="K7181" s="3" t="str">
        <f aca="false">IFERROR(INDEX('Teacher Lookup'!$B$2:$B$200,MATCH(A7181,'Teacher Lookup'!$A$2:$A$200,0)),"")</f>
        <v>SUAIBU Muthu</v>
      </c>
    </row>
    <row r="7182" customFormat="false" ht="15" hidden="false" customHeight="false" outlineLevel="0" collapsed="false">
      <c r="A7182" s="3" t="s">
        <v>214</v>
      </c>
      <c r="B7182" s="4" t="s">
        <v>31</v>
      </c>
      <c r="C7182" s="4" t="n">
        <v>5</v>
      </c>
      <c r="D7182" s="4" t="s">
        <v>22</v>
      </c>
      <c r="E7182" s="3" t="s">
        <v>35</v>
      </c>
      <c r="F7182" s="4" t="str">
        <f aca="false">IF(I7182&gt;J7182,"Y","N")</f>
        <v>Y</v>
      </c>
      <c r="G7182" s="3" t="s">
        <v>36</v>
      </c>
      <c r="H7182" s="3" t="s">
        <v>37</v>
      </c>
      <c r="I7182" s="4" t="n">
        <v>17</v>
      </c>
      <c r="J7182" s="4" t="n">
        <f aca="false">LEN(E7182)-LEN(SUBSTITUTE(E7182,",",""))+1</f>
        <v>7</v>
      </c>
      <c r="K7182" s="3" t="str">
        <f aca="false">IFERROR(INDEX('Teacher Lookup'!$B$2:$B$200,MATCH(A7182,'Teacher Lookup'!$A$2:$A$200,0)),"")</f>
        <v>SUAIBU Muthu</v>
      </c>
    </row>
    <row r="7183" customFormat="false" ht="15" hidden="false" customHeight="false" outlineLevel="0" collapsed="false">
      <c r="A7183" s="3" t="s">
        <v>214</v>
      </c>
      <c r="B7183" s="4" t="s">
        <v>31</v>
      </c>
      <c r="C7183" s="4" t="n">
        <v>5</v>
      </c>
      <c r="D7183" s="4" t="s">
        <v>23</v>
      </c>
      <c r="E7183" s="3" t="s">
        <v>35</v>
      </c>
      <c r="F7183" s="4" t="str">
        <f aca="false">IF(I7183&gt;J7183,"Y","N")</f>
        <v>Y</v>
      </c>
      <c r="G7183" s="3" t="s">
        <v>36</v>
      </c>
      <c r="H7183" s="3" t="s">
        <v>37</v>
      </c>
      <c r="I7183" s="4" t="n">
        <v>17</v>
      </c>
      <c r="J7183" s="4" t="n">
        <f aca="false">LEN(E7183)-LEN(SUBSTITUTE(E7183,",",""))+1</f>
        <v>7</v>
      </c>
      <c r="K7183" s="3" t="str">
        <f aca="false">IFERROR(INDEX('Teacher Lookup'!$B$2:$B$200,MATCH(A7183,'Teacher Lookup'!$A$2:$A$200,0)),"")</f>
        <v>SUAIBU Muthu</v>
      </c>
    </row>
    <row r="7184" customFormat="false" ht="15" hidden="false" customHeight="false" outlineLevel="0" collapsed="false">
      <c r="A7184" s="3" t="s">
        <v>214</v>
      </c>
      <c r="B7184" s="4" t="s">
        <v>31</v>
      </c>
      <c r="C7184" s="4" t="n">
        <v>5</v>
      </c>
      <c r="D7184" s="4" t="s">
        <v>13</v>
      </c>
      <c r="E7184" s="3" t="s">
        <v>35</v>
      </c>
      <c r="F7184" s="4" t="str">
        <f aca="false">IF(I7184&gt;J7184,"Y","N")</f>
        <v>Y</v>
      </c>
      <c r="G7184" s="3" t="s">
        <v>36</v>
      </c>
      <c r="H7184" s="3" t="s">
        <v>37</v>
      </c>
      <c r="I7184" s="4" t="n">
        <v>17</v>
      </c>
      <c r="J7184" s="4" t="n">
        <f aca="false">LEN(E7184)-LEN(SUBSTITUTE(E7184,",",""))+1</f>
        <v>7</v>
      </c>
      <c r="K7184" s="3" t="str">
        <f aca="false">IFERROR(INDEX('Teacher Lookup'!$B$2:$B$200,MATCH(A7184,'Teacher Lookup'!$A$2:$A$200,0)),"")</f>
        <v>SUAIBU Muthu</v>
      </c>
    </row>
    <row r="7185" customFormat="false" ht="15" hidden="false" customHeight="false" outlineLevel="0" collapsed="false">
      <c r="A7185" s="3" t="s">
        <v>214</v>
      </c>
      <c r="B7185" s="4" t="s">
        <v>31</v>
      </c>
      <c r="C7185" s="4" t="n">
        <v>5</v>
      </c>
      <c r="D7185" s="4" t="s">
        <v>17</v>
      </c>
      <c r="E7185" s="3" t="s">
        <v>35</v>
      </c>
      <c r="F7185" s="4" t="str">
        <f aca="false">IF(I7185&gt;J7185,"Y","N")</f>
        <v>Y</v>
      </c>
      <c r="G7185" s="3" t="s">
        <v>36</v>
      </c>
      <c r="H7185" s="3" t="s">
        <v>37</v>
      </c>
      <c r="I7185" s="4" t="n">
        <v>17</v>
      </c>
      <c r="J7185" s="4" t="n">
        <f aca="false">LEN(E7185)-LEN(SUBSTITUTE(E7185,",",""))+1</f>
        <v>7</v>
      </c>
      <c r="K7185" s="3" t="str">
        <f aca="false">IFERROR(INDEX('Teacher Lookup'!$B$2:$B$200,MATCH(A7185,'Teacher Lookup'!$A$2:$A$200,0)),"")</f>
        <v>SUAIBU Muthu</v>
      </c>
    </row>
    <row r="7186" customFormat="false" ht="15" hidden="false" customHeight="false" outlineLevel="0" collapsed="false">
      <c r="A7186" s="3" t="s">
        <v>214</v>
      </c>
      <c r="B7186" s="4" t="s">
        <v>31</v>
      </c>
      <c r="C7186" s="4" t="n">
        <v>5</v>
      </c>
      <c r="D7186" s="4" t="s">
        <v>18</v>
      </c>
      <c r="E7186" s="3" t="s">
        <v>35</v>
      </c>
      <c r="F7186" s="4" t="str">
        <f aca="false">IF(I7186&gt;J7186,"Y","N")</f>
        <v>Y</v>
      </c>
      <c r="G7186" s="3" t="s">
        <v>36</v>
      </c>
      <c r="H7186" s="3" t="s">
        <v>37</v>
      </c>
      <c r="I7186" s="4" t="n">
        <v>17</v>
      </c>
      <c r="J7186" s="4" t="n">
        <f aca="false">LEN(E7186)-LEN(SUBSTITUTE(E7186,",",""))+1</f>
        <v>7</v>
      </c>
      <c r="K7186" s="3" t="str">
        <f aca="false">IFERROR(INDEX('Teacher Lookup'!$B$2:$B$200,MATCH(A7186,'Teacher Lookup'!$A$2:$A$200,0)),"")</f>
        <v>SUAIBU Muthu</v>
      </c>
    </row>
    <row r="7187" customFormat="false" ht="15" hidden="false" customHeight="false" outlineLevel="0" collapsed="false">
      <c r="A7187" s="3" t="s">
        <v>214</v>
      </c>
      <c r="B7187" s="4" t="s">
        <v>40</v>
      </c>
      <c r="C7187" s="4" t="n">
        <v>2</v>
      </c>
      <c r="D7187" s="4" t="s">
        <v>19</v>
      </c>
      <c r="E7187" s="3" t="s">
        <v>419</v>
      </c>
      <c r="F7187" s="4" t="str">
        <f aca="false">IF(I7187&gt;J7187,"Y","N")</f>
        <v>N</v>
      </c>
      <c r="G7187" s="3" t="s">
        <v>164</v>
      </c>
      <c r="H7187" s="3" t="s">
        <v>21</v>
      </c>
      <c r="I7187" s="4" t="n">
        <v>4</v>
      </c>
      <c r="J7187" s="4" t="n">
        <f aca="false">LEN(E7187)-LEN(SUBSTITUTE(E7187,",",""))+1</f>
        <v>4</v>
      </c>
      <c r="K7187" s="3" t="str">
        <f aca="false">IFERROR(INDEX('Teacher Lookup'!$B$2:$B$200,MATCH(A7187,'Teacher Lookup'!$A$2:$A$200,0)),"")</f>
        <v>SUAIBU Muthu</v>
      </c>
    </row>
    <row r="7188" customFormat="false" ht="15" hidden="false" customHeight="false" outlineLevel="0" collapsed="false">
      <c r="A7188" s="3" t="s">
        <v>214</v>
      </c>
      <c r="B7188" s="4" t="s">
        <v>40</v>
      </c>
      <c r="C7188" s="4" t="n">
        <v>2</v>
      </c>
      <c r="D7188" s="4" t="s">
        <v>22</v>
      </c>
      <c r="E7188" s="3" t="s">
        <v>419</v>
      </c>
      <c r="F7188" s="4" t="str">
        <f aca="false">IF(I7188&gt;J7188,"Y","N")</f>
        <v>N</v>
      </c>
      <c r="G7188" s="3" t="s">
        <v>164</v>
      </c>
      <c r="H7188" s="3" t="s">
        <v>21</v>
      </c>
      <c r="I7188" s="4" t="n">
        <v>4</v>
      </c>
      <c r="J7188" s="4" t="n">
        <f aca="false">LEN(E7188)-LEN(SUBSTITUTE(E7188,",",""))+1</f>
        <v>4</v>
      </c>
      <c r="K7188" s="3" t="str">
        <f aca="false">IFERROR(INDEX('Teacher Lookup'!$B$2:$B$200,MATCH(A7188,'Teacher Lookup'!$A$2:$A$200,0)),"")</f>
        <v>SUAIBU Muthu</v>
      </c>
    </row>
    <row r="7189" customFormat="false" ht="15" hidden="false" customHeight="false" outlineLevel="0" collapsed="false">
      <c r="A7189" s="3" t="s">
        <v>214</v>
      </c>
      <c r="B7189" s="4" t="s">
        <v>40</v>
      </c>
      <c r="C7189" s="4" t="n">
        <v>2</v>
      </c>
      <c r="D7189" s="4" t="s">
        <v>23</v>
      </c>
      <c r="E7189" s="3" t="s">
        <v>419</v>
      </c>
      <c r="F7189" s="4" t="str">
        <f aca="false">IF(I7189&gt;J7189,"Y","N")</f>
        <v>N</v>
      </c>
      <c r="G7189" s="3" t="s">
        <v>164</v>
      </c>
      <c r="H7189" s="3" t="s">
        <v>21</v>
      </c>
      <c r="I7189" s="4" t="n">
        <v>4</v>
      </c>
      <c r="J7189" s="4" t="n">
        <f aca="false">LEN(E7189)-LEN(SUBSTITUTE(E7189,",",""))+1</f>
        <v>4</v>
      </c>
      <c r="K7189" s="3" t="str">
        <f aca="false">IFERROR(INDEX('Teacher Lookup'!$B$2:$B$200,MATCH(A7189,'Teacher Lookup'!$A$2:$A$200,0)),"")</f>
        <v>SUAIBU Muthu</v>
      </c>
    </row>
    <row r="7190" customFormat="false" ht="15" hidden="false" customHeight="false" outlineLevel="0" collapsed="false">
      <c r="A7190" s="3" t="s">
        <v>214</v>
      </c>
      <c r="B7190" s="4" t="s">
        <v>40</v>
      </c>
      <c r="C7190" s="4" t="n">
        <v>3</v>
      </c>
      <c r="D7190" s="4" t="s">
        <v>13</v>
      </c>
      <c r="E7190" s="3" t="s">
        <v>323</v>
      </c>
      <c r="F7190" s="4" t="str">
        <f aca="false">IF(I7190&gt;J7190,"Y","N")</f>
        <v>N</v>
      </c>
      <c r="G7190" s="3" t="s">
        <v>164</v>
      </c>
      <c r="H7190" s="3" t="s">
        <v>26</v>
      </c>
      <c r="I7190" s="4" t="n">
        <v>4</v>
      </c>
      <c r="J7190" s="4" t="n">
        <f aca="false">LEN(E7190)-LEN(SUBSTITUTE(E7190,",",""))+1</f>
        <v>4</v>
      </c>
      <c r="K7190" s="3" t="str">
        <f aca="false">IFERROR(INDEX('Teacher Lookup'!$B$2:$B$200,MATCH(A7190,'Teacher Lookup'!$A$2:$A$200,0)),"")</f>
        <v>SUAIBU Muthu</v>
      </c>
    </row>
    <row r="7191" customFormat="false" ht="15" hidden="false" customHeight="false" outlineLevel="0" collapsed="false">
      <c r="A7191" s="3" t="s">
        <v>214</v>
      </c>
      <c r="B7191" s="4" t="s">
        <v>40</v>
      </c>
      <c r="C7191" s="4" t="n">
        <v>3</v>
      </c>
      <c r="D7191" s="4" t="s">
        <v>17</v>
      </c>
      <c r="E7191" s="3" t="s">
        <v>323</v>
      </c>
      <c r="F7191" s="4" t="str">
        <f aca="false">IF(I7191&gt;J7191,"Y","N")</f>
        <v>N</v>
      </c>
      <c r="G7191" s="3" t="s">
        <v>164</v>
      </c>
      <c r="H7191" s="3" t="s">
        <v>26</v>
      </c>
      <c r="I7191" s="4" t="n">
        <v>4</v>
      </c>
      <c r="J7191" s="4" t="n">
        <f aca="false">LEN(E7191)-LEN(SUBSTITUTE(E7191,",",""))+1</f>
        <v>4</v>
      </c>
      <c r="K7191" s="3" t="str">
        <f aca="false">IFERROR(INDEX('Teacher Lookup'!$B$2:$B$200,MATCH(A7191,'Teacher Lookup'!$A$2:$A$200,0)),"")</f>
        <v>SUAIBU Muthu</v>
      </c>
    </row>
    <row r="7192" customFormat="false" ht="15" hidden="false" customHeight="false" outlineLevel="0" collapsed="false">
      <c r="A7192" s="3" t="s">
        <v>214</v>
      </c>
      <c r="B7192" s="4" t="s">
        <v>40</v>
      </c>
      <c r="C7192" s="4" t="n">
        <v>3</v>
      </c>
      <c r="D7192" s="4" t="s">
        <v>18</v>
      </c>
      <c r="E7192" s="3" t="s">
        <v>323</v>
      </c>
      <c r="F7192" s="4" t="str">
        <f aca="false">IF(I7192&gt;J7192,"Y","N")</f>
        <v>N</v>
      </c>
      <c r="G7192" s="3" t="s">
        <v>164</v>
      </c>
      <c r="H7192" s="3" t="s">
        <v>26</v>
      </c>
      <c r="I7192" s="4" t="n">
        <v>4</v>
      </c>
      <c r="J7192" s="4" t="n">
        <f aca="false">LEN(E7192)-LEN(SUBSTITUTE(E7192,",",""))+1</f>
        <v>4</v>
      </c>
      <c r="K7192" s="3" t="str">
        <f aca="false">IFERROR(INDEX('Teacher Lookup'!$B$2:$B$200,MATCH(A7192,'Teacher Lookup'!$A$2:$A$200,0)),"")</f>
        <v>SUAIBU Muthu</v>
      </c>
    </row>
    <row r="7193" customFormat="false" ht="15" hidden="false" customHeight="false" outlineLevel="0" collapsed="false">
      <c r="A7193" s="3" t="s">
        <v>214</v>
      </c>
      <c r="B7193" s="4" t="s">
        <v>40</v>
      </c>
      <c r="C7193" s="4" t="n">
        <v>4</v>
      </c>
      <c r="D7193" s="4" t="s">
        <v>13</v>
      </c>
      <c r="E7193" s="3" t="s">
        <v>323</v>
      </c>
      <c r="F7193" s="4" t="str">
        <f aca="false">IF(I7193&gt;J7193,"Y","N")</f>
        <v>N</v>
      </c>
      <c r="G7193" s="3" t="s">
        <v>164</v>
      </c>
      <c r="H7193" s="3" t="s">
        <v>34</v>
      </c>
      <c r="I7193" s="4" t="n">
        <v>4</v>
      </c>
      <c r="J7193" s="4" t="n">
        <f aca="false">LEN(E7193)-LEN(SUBSTITUTE(E7193,",",""))+1</f>
        <v>4</v>
      </c>
      <c r="K7193" s="3" t="str">
        <f aca="false">IFERROR(INDEX('Teacher Lookup'!$B$2:$B$200,MATCH(A7193,'Teacher Lookup'!$A$2:$A$200,0)),"")</f>
        <v>SUAIBU Muthu</v>
      </c>
    </row>
    <row r="7194" customFormat="false" ht="15" hidden="false" customHeight="false" outlineLevel="0" collapsed="false">
      <c r="A7194" s="3" t="s">
        <v>214</v>
      </c>
      <c r="B7194" s="4" t="s">
        <v>40</v>
      </c>
      <c r="C7194" s="4" t="n">
        <v>4</v>
      </c>
      <c r="D7194" s="4" t="s">
        <v>17</v>
      </c>
      <c r="E7194" s="3" t="s">
        <v>323</v>
      </c>
      <c r="F7194" s="4" t="str">
        <f aca="false">IF(I7194&gt;J7194,"Y","N")</f>
        <v>N</v>
      </c>
      <c r="G7194" s="3" t="s">
        <v>164</v>
      </c>
      <c r="H7194" s="3" t="s">
        <v>34</v>
      </c>
      <c r="I7194" s="4" t="n">
        <v>4</v>
      </c>
      <c r="J7194" s="4" t="n">
        <f aca="false">LEN(E7194)-LEN(SUBSTITUTE(E7194,",",""))+1</f>
        <v>4</v>
      </c>
      <c r="K7194" s="3" t="str">
        <f aca="false">IFERROR(INDEX('Teacher Lookup'!$B$2:$B$200,MATCH(A7194,'Teacher Lookup'!$A$2:$A$200,0)),"")</f>
        <v>SUAIBU Muthu</v>
      </c>
    </row>
    <row r="7195" customFormat="false" ht="15" hidden="false" customHeight="false" outlineLevel="0" collapsed="false">
      <c r="A7195" s="3" t="s">
        <v>214</v>
      </c>
      <c r="B7195" s="4" t="s">
        <v>40</v>
      </c>
      <c r="C7195" s="4" t="n">
        <v>4</v>
      </c>
      <c r="D7195" s="4" t="s">
        <v>18</v>
      </c>
      <c r="E7195" s="3" t="s">
        <v>323</v>
      </c>
      <c r="F7195" s="4" t="str">
        <f aca="false">IF(I7195&gt;J7195,"Y","N")</f>
        <v>N</v>
      </c>
      <c r="G7195" s="3" t="s">
        <v>164</v>
      </c>
      <c r="H7195" s="3" t="s">
        <v>34</v>
      </c>
      <c r="I7195" s="4" t="n">
        <v>4</v>
      </c>
      <c r="J7195" s="4" t="n">
        <f aca="false">LEN(E7195)-LEN(SUBSTITUTE(E7195,",",""))+1</f>
        <v>4</v>
      </c>
      <c r="K7195" s="3" t="str">
        <f aca="false">IFERROR(INDEX('Teacher Lookup'!$B$2:$B$200,MATCH(A7195,'Teacher Lookup'!$A$2:$A$200,0)),"")</f>
        <v>SUAIBU Muthu</v>
      </c>
    </row>
    <row r="7196" customFormat="false" ht="15" hidden="false" customHeight="false" outlineLevel="0" collapsed="false">
      <c r="A7196" s="3" t="s">
        <v>214</v>
      </c>
      <c r="B7196" s="4" t="s">
        <v>40</v>
      </c>
      <c r="C7196" s="4" t="n">
        <v>5</v>
      </c>
      <c r="D7196" s="4" t="s">
        <v>76</v>
      </c>
      <c r="E7196" s="3" t="s">
        <v>84</v>
      </c>
      <c r="F7196" s="4" t="str">
        <f aca="false">IF(I7196&gt;J7196,"Y","N")</f>
        <v>N</v>
      </c>
      <c r="G7196" s="3" t="s">
        <v>164</v>
      </c>
      <c r="H7196" s="3" t="s">
        <v>37</v>
      </c>
      <c r="I7196" s="4" t="n">
        <v>4</v>
      </c>
      <c r="J7196" s="4" t="n">
        <f aca="false">LEN(E7196)-LEN(SUBSTITUTE(E7196,",",""))+1</f>
        <v>4</v>
      </c>
      <c r="K7196" s="3" t="str">
        <f aca="false">IFERROR(INDEX('Teacher Lookup'!$B$2:$B$200,MATCH(A7196,'Teacher Lookup'!$A$2:$A$200,0)),"")</f>
        <v>SUAIBU Muthu</v>
      </c>
    </row>
    <row r="7197" customFormat="false" ht="15" hidden="false" customHeight="false" outlineLevel="0" collapsed="false">
      <c r="A7197" s="3" t="s">
        <v>214</v>
      </c>
      <c r="B7197" s="4" t="s">
        <v>40</v>
      </c>
      <c r="C7197" s="4" t="n">
        <v>5</v>
      </c>
      <c r="D7197" s="4" t="s">
        <v>78</v>
      </c>
      <c r="E7197" s="3" t="s">
        <v>84</v>
      </c>
      <c r="F7197" s="4" t="str">
        <f aca="false">IF(I7197&gt;J7197,"Y","N")</f>
        <v>N</v>
      </c>
      <c r="G7197" s="3" t="s">
        <v>164</v>
      </c>
      <c r="H7197" s="3" t="s">
        <v>37</v>
      </c>
      <c r="I7197" s="4" t="n">
        <v>4</v>
      </c>
      <c r="J7197" s="4" t="n">
        <f aca="false">LEN(E7197)-LEN(SUBSTITUTE(E7197,",",""))+1</f>
        <v>4</v>
      </c>
      <c r="K7197" s="3" t="str">
        <f aca="false">IFERROR(INDEX('Teacher Lookup'!$B$2:$B$200,MATCH(A7197,'Teacher Lookup'!$A$2:$A$200,0)),"")</f>
        <v>SUAIBU Muthu</v>
      </c>
    </row>
    <row r="7198" customFormat="false" ht="15" hidden="false" customHeight="false" outlineLevel="0" collapsed="false">
      <c r="A7198" s="3" t="s">
        <v>214</v>
      </c>
      <c r="B7198" s="4" t="s">
        <v>40</v>
      </c>
      <c r="C7198" s="4" t="n">
        <v>5</v>
      </c>
      <c r="D7198" s="4" t="s">
        <v>79</v>
      </c>
      <c r="E7198" s="3" t="s">
        <v>84</v>
      </c>
      <c r="F7198" s="4" t="str">
        <f aca="false">IF(I7198&gt;J7198,"Y","N")</f>
        <v>N</v>
      </c>
      <c r="G7198" s="3" t="s">
        <v>164</v>
      </c>
      <c r="H7198" s="3" t="s">
        <v>37</v>
      </c>
      <c r="I7198" s="4" t="n">
        <v>4</v>
      </c>
      <c r="J7198" s="4" t="n">
        <f aca="false">LEN(E7198)-LEN(SUBSTITUTE(E7198,",",""))+1</f>
        <v>4</v>
      </c>
      <c r="K7198" s="3" t="str">
        <f aca="false">IFERROR(INDEX('Teacher Lookup'!$B$2:$B$200,MATCH(A7198,'Teacher Lookup'!$A$2:$A$200,0)),"")</f>
        <v>SUAIBU Muthu</v>
      </c>
    </row>
    <row r="7199" customFormat="false" ht="15" hidden="false" customHeight="false" outlineLevel="0" collapsed="false">
      <c r="A7199" s="3" t="s">
        <v>214</v>
      </c>
      <c r="B7199" s="4" t="s">
        <v>44</v>
      </c>
      <c r="C7199" s="4" t="n">
        <v>1</v>
      </c>
      <c r="D7199" s="4" t="s">
        <v>76</v>
      </c>
      <c r="E7199" s="3" t="s">
        <v>90</v>
      </c>
      <c r="F7199" s="4" t="str">
        <f aca="false">IF(I7199&gt;J7199,"Y","N")</f>
        <v>N</v>
      </c>
      <c r="G7199" s="3" t="s">
        <v>164</v>
      </c>
      <c r="H7199" s="3" t="s">
        <v>16</v>
      </c>
      <c r="I7199" s="4" t="n">
        <v>4</v>
      </c>
      <c r="J7199" s="4" t="n">
        <f aca="false">LEN(E7199)-LEN(SUBSTITUTE(E7199,",",""))+1</f>
        <v>4</v>
      </c>
      <c r="K7199" s="3" t="str">
        <f aca="false">IFERROR(INDEX('Teacher Lookup'!$B$2:$B$200,MATCH(A7199,'Teacher Lookup'!$A$2:$A$200,0)),"")</f>
        <v>SUAIBU Muthu</v>
      </c>
    </row>
    <row r="7200" customFormat="false" ht="15" hidden="false" customHeight="false" outlineLevel="0" collapsed="false">
      <c r="A7200" s="3" t="s">
        <v>214</v>
      </c>
      <c r="B7200" s="4" t="s">
        <v>44</v>
      </c>
      <c r="C7200" s="4" t="n">
        <v>1</v>
      </c>
      <c r="D7200" s="4" t="s">
        <v>78</v>
      </c>
      <c r="E7200" s="3" t="s">
        <v>90</v>
      </c>
      <c r="F7200" s="4" t="str">
        <f aca="false">IF(I7200&gt;J7200,"Y","N")</f>
        <v>N</v>
      </c>
      <c r="G7200" s="3" t="s">
        <v>164</v>
      </c>
      <c r="H7200" s="3" t="s">
        <v>16</v>
      </c>
      <c r="I7200" s="4" t="n">
        <v>4</v>
      </c>
      <c r="J7200" s="4" t="n">
        <f aca="false">LEN(E7200)-LEN(SUBSTITUTE(E7200,",",""))+1</f>
        <v>4</v>
      </c>
      <c r="K7200" s="3" t="str">
        <f aca="false">IFERROR(INDEX('Teacher Lookup'!$B$2:$B$200,MATCH(A7200,'Teacher Lookup'!$A$2:$A$200,0)),"")</f>
        <v>SUAIBU Muthu</v>
      </c>
    </row>
    <row r="7201" customFormat="false" ht="15" hidden="false" customHeight="false" outlineLevel="0" collapsed="false">
      <c r="A7201" s="3" t="s">
        <v>214</v>
      </c>
      <c r="B7201" s="4" t="s">
        <v>44</v>
      </c>
      <c r="C7201" s="4" t="n">
        <v>1</v>
      </c>
      <c r="D7201" s="4" t="s">
        <v>79</v>
      </c>
      <c r="E7201" s="3" t="s">
        <v>90</v>
      </c>
      <c r="F7201" s="4" t="str">
        <f aca="false">IF(I7201&gt;J7201,"Y","N")</f>
        <v>N</v>
      </c>
      <c r="G7201" s="3" t="s">
        <v>164</v>
      </c>
      <c r="H7201" s="3" t="s">
        <v>16</v>
      </c>
      <c r="I7201" s="4" t="n">
        <v>4</v>
      </c>
      <c r="J7201" s="4" t="n">
        <f aca="false">LEN(E7201)-LEN(SUBSTITUTE(E7201,",",""))+1</f>
        <v>4</v>
      </c>
      <c r="K7201" s="3" t="str">
        <f aca="false">IFERROR(INDEX('Teacher Lookup'!$B$2:$B$200,MATCH(A7201,'Teacher Lookup'!$A$2:$A$200,0)),"")</f>
        <v>SUAIBU Muthu</v>
      </c>
    </row>
    <row r="7202" customFormat="false" ht="15" hidden="false" customHeight="false" outlineLevel="0" collapsed="false">
      <c r="A7202" s="3" t="s">
        <v>214</v>
      </c>
      <c r="B7202" s="4" t="s">
        <v>44</v>
      </c>
      <c r="C7202" s="4" t="n">
        <v>4</v>
      </c>
      <c r="D7202" s="4" t="s">
        <v>13</v>
      </c>
      <c r="E7202" s="3" t="s">
        <v>43</v>
      </c>
      <c r="F7202" s="4" t="str">
        <f aca="false">IF(I7202&gt;J7202,"Y","N")</f>
        <v>N</v>
      </c>
      <c r="G7202" s="3" t="s">
        <v>164</v>
      </c>
      <c r="H7202" s="3" t="s">
        <v>34</v>
      </c>
      <c r="I7202" s="4" t="n">
        <v>4</v>
      </c>
      <c r="J7202" s="4" t="n">
        <f aca="false">LEN(E7202)-LEN(SUBSTITUTE(E7202,",",""))+1</f>
        <v>4</v>
      </c>
      <c r="K7202" s="3" t="str">
        <f aca="false">IFERROR(INDEX('Teacher Lookup'!$B$2:$B$200,MATCH(A7202,'Teacher Lookup'!$A$2:$A$200,0)),"")</f>
        <v>SUAIBU Muthu</v>
      </c>
    </row>
    <row r="7203" customFormat="false" ht="15" hidden="false" customHeight="false" outlineLevel="0" collapsed="false">
      <c r="A7203" s="3" t="s">
        <v>214</v>
      </c>
      <c r="B7203" s="4" t="s">
        <v>44</v>
      </c>
      <c r="C7203" s="4" t="n">
        <v>4</v>
      </c>
      <c r="D7203" s="4" t="s">
        <v>17</v>
      </c>
      <c r="E7203" s="3" t="s">
        <v>43</v>
      </c>
      <c r="F7203" s="4" t="str">
        <f aca="false">IF(I7203&gt;J7203,"Y","N")</f>
        <v>N</v>
      </c>
      <c r="G7203" s="3" t="s">
        <v>164</v>
      </c>
      <c r="H7203" s="3" t="s">
        <v>34</v>
      </c>
      <c r="I7203" s="4" t="n">
        <v>4</v>
      </c>
      <c r="J7203" s="4" t="n">
        <f aca="false">LEN(E7203)-LEN(SUBSTITUTE(E7203,",",""))+1</f>
        <v>4</v>
      </c>
      <c r="K7203" s="3" t="str">
        <f aca="false">IFERROR(INDEX('Teacher Lookup'!$B$2:$B$200,MATCH(A7203,'Teacher Lookup'!$A$2:$A$200,0)),"")</f>
        <v>SUAIBU Muthu</v>
      </c>
    </row>
    <row r="7204" customFormat="false" ht="15" hidden="false" customHeight="false" outlineLevel="0" collapsed="false">
      <c r="A7204" s="3" t="s">
        <v>214</v>
      </c>
      <c r="B7204" s="4" t="s">
        <v>44</v>
      </c>
      <c r="C7204" s="4" t="n">
        <v>4</v>
      </c>
      <c r="D7204" s="4" t="s">
        <v>18</v>
      </c>
      <c r="E7204" s="3" t="s">
        <v>43</v>
      </c>
      <c r="F7204" s="4" t="str">
        <f aca="false">IF(I7204&gt;J7204,"Y","N")</f>
        <v>N</v>
      </c>
      <c r="G7204" s="3" t="s">
        <v>164</v>
      </c>
      <c r="H7204" s="3" t="s">
        <v>34</v>
      </c>
      <c r="I7204" s="4" t="n">
        <v>4</v>
      </c>
      <c r="J7204" s="4" t="n">
        <f aca="false">LEN(E7204)-LEN(SUBSTITUTE(E7204,",",""))+1</f>
        <v>4</v>
      </c>
      <c r="K7204" s="3" t="str">
        <f aca="false">IFERROR(INDEX('Teacher Lookup'!$B$2:$B$200,MATCH(A7204,'Teacher Lookup'!$A$2:$A$200,0)),"")</f>
        <v>SUAIBU Muthu</v>
      </c>
    </row>
    <row r="7205" customFormat="false" ht="15" hidden="false" customHeight="false" outlineLevel="0" collapsed="false">
      <c r="A7205" s="3" t="s">
        <v>214</v>
      </c>
      <c r="B7205" s="4" t="s">
        <v>44</v>
      </c>
      <c r="C7205" s="4" t="n">
        <v>5</v>
      </c>
      <c r="D7205" s="4" t="s">
        <v>19</v>
      </c>
      <c r="E7205" s="3" t="s">
        <v>35</v>
      </c>
      <c r="F7205" s="4" t="str">
        <f aca="false">IF(I7205&gt;J7205,"Y","N")</f>
        <v>Y</v>
      </c>
      <c r="G7205" s="3" t="s">
        <v>36</v>
      </c>
      <c r="H7205" s="3" t="s">
        <v>37</v>
      </c>
      <c r="I7205" s="4" t="n">
        <v>17</v>
      </c>
      <c r="J7205" s="4" t="n">
        <f aca="false">LEN(E7205)-LEN(SUBSTITUTE(E7205,",",""))+1</f>
        <v>7</v>
      </c>
      <c r="K7205" s="3" t="str">
        <f aca="false">IFERROR(INDEX('Teacher Lookup'!$B$2:$B$200,MATCH(A7205,'Teacher Lookup'!$A$2:$A$200,0)),"")</f>
        <v>SUAIBU Muthu</v>
      </c>
    </row>
    <row r="7206" customFormat="false" ht="15" hidden="false" customHeight="false" outlineLevel="0" collapsed="false">
      <c r="A7206" s="3" t="s">
        <v>214</v>
      </c>
      <c r="B7206" s="4" t="s">
        <v>44</v>
      </c>
      <c r="C7206" s="4" t="n">
        <v>5</v>
      </c>
      <c r="D7206" s="4" t="s">
        <v>22</v>
      </c>
      <c r="E7206" s="3" t="s">
        <v>35</v>
      </c>
      <c r="F7206" s="4" t="str">
        <f aca="false">IF(I7206&gt;J7206,"Y","N")</f>
        <v>Y</v>
      </c>
      <c r="G7206" s="3" t="s">
        <v>36</v>
      </c>
      <c r="H7206" s="3" t="s">
        <v>37</v>
      </c>
      <c r="I7206" s="4" t="n">
        <v>17</v>
      </c>
      <c r="J7206" s="4" t="n">
        <f aca="false">LEN(E7206)-LEN(SUBSTITUTE(E7206,",",""))+1</f>
        <v>7</v>
      </c>
      <c r="K7206" s="3" t="str">
        <f aca="false">IFERROR(INDEX('Teacher Lookup'!$B$2:$B$200,MATCH(A7206,'Teacher Lookup'!$A$2:$A$200,0)),"")</f>
        <v>SUAIBU Muthu</v>
      </c>
    </row>
    <row r="7207" customFormat="false" ht="15" hidden="false" customHeight="false" outlineLevel="0" collapsed="false">
      <c r="A7207" s="3" t="s">
        <v>214</v>
      </c>
      <c r="B7207" s="4" t="s">
        <v>44</v>
      </c>
      <c r="C7207" s="4" t="n">
        <v>5</v>
      </c>
      <c r="D7207" s="4" t="s">
        <v>23</v>
      </c>
      <c r="E7207" s="3" t="s">
        <v>35</v>
      </c>
      <c r="F7207" s="4" t="str">
        <f aca="false">IF(I7207&gt;J7207,"Y","N")</f>
        <v>Y</v>
      </c>
      <c r="G7207" s="3" t="s">
        <v>36</v>
      </c>
      <c r="H7207" s="3" t="s">
        <v>37</v>
      </c>
      <c r="I7207" s="4" t="n">
        <v>17</v>
      </c>
      <c r="J7207" s="4" t="n">
        <f aca="false">LEN(E7207)-LEN(SUBSTITUTE(E7207,",",""))+1</f>
        <v>7</v>
      </c>
      <c r="K7207" s="3" t="str">
        <f aca="false">IFERROR(INDEX('Teacher Lookup'!$B$2:$B$200,MATCH(A7207,'Teacher Lookup'!$A$2:$A$200,0)),"")</f>
        <v>SUAIBU Muthu</v>
      </c>
    </row>
    <row r="7208" customFormat="false" ht="15" hidden="false" customHeight="false" outlineLevel="0" collapsed="false">
      <c r="A7208" s="3" t="s">
        <v>214</v>
      </c>
      <c r="B7208" s="4" t="s">
        <v>44</v>
      </c>
      <c r="C7208" s="4" t="n">
        <v>5</v>
      </c>
      <c r="D7208" s="4" t="s">
        <v>13</v>
      </c>
      <c r="E7208" s="3" t="s">
        <v>35</v>
      </c>
      <c r="F7208" s="4" t="str">
        <f aca="false">IF(I7208&gt;J7208,"Y","N")</f>
        <v>Y</v>
      </c>
      <c r="G7208" s="3" t="s">
        <v>36</v>
      </c>
      <c r="H7208" s="3" t="s">
        <v>37</v>
      </c>
      <c r="I7208" s="4" t="n">
        <v>17</v>
      </c>
      <c r="J7208" s="4" t="n">
        <f aca="false">LEN(E7208)-LEN(SUBSTITUTE(E7208,",",""))+1</f>
        <v>7</v>
      </c>
      <c r="K7208" s="3" t="str">
        <f aca="false">IFERROR(INDEX('Teacher Lookup'!$B$2:$B$200,MATCH(A7208,'Teacher Lookup'!$A$2:$A$200,0)),"")</f>
        <v>SUAIBU Muthu</v>
      </c>
    </row>
    <row r="7209" customFormat="false" ht="15" hidden="false" customHeight="false" outlineLevel="0" collapsed="false">
      <c r="A7209" s="3" t="s">
        <v>214</v>
      </c>
      <c r="B7209" s="4" t="s">
        <v>44</v>
      </c>
      <c r="C7209" s="4" t="n">
        <v>5</v>
      </c>
      <c r="D7209" s="4" t="s">
        <v>17</v>
      </c>
      <c r="E7209" s="3" t="s">
        <v>35</v>
      </c>
      <c r="F7209" s="4" t="str">
        <f aca="false">IF(I7209&gt;J7209,"Y","N")</f>
        <v>Y</v>
      </c>
      <c r="G7209" s="3" t="s">
        <v>36</v>
      </c>
      <c r="H7209" s="3" t="s">
        <v>37</v>
      </c>
      <c r="I7209" s="4" t="n">
        <v>17</v>
      </c>
      <c r="J7209" s="4" t="n">
        <f aca="false">LEN(E7209)-LEN(SUBSTITUTE(E7209,",",""))+1</f>
        <v>7</v>
      </c>
      <c r="K7209" s="3" t="str">
        <f aca="false">IFERROR(INDEX('Teacher Lookup'!$B$2:$B$200,MATCH(A7209,'Teacher Lookup'!$A$2:$A$200,0)),"")</f>
        <v>SUAIBU Muthu</v>
      </c>
    </row>
    <row r="7210" customFormat="false" ht="15" hidden="false" customHeight="false" outlineLevel="0" collapsed="false">
      <c r="A7210" s="3" t="s">
        <v>214</v>
      </c>
      <c r="B7210" s="4" t="s">
        <v>44</v>
      </c>
      <c r="C7210" s="4" t="n">
        <v>5</v>
      </c>
      <c r="D7210" s="4" t="s">
        <v>18</v>
      </c>
      <c r="E7210" s="3" t="s">
        <v>35</v>
      </c>
      <c r="F7210" s="4" t="str">
        <f aca="false">IF(I7210&gt;J7210,"Y","N")</f>
        <v>Y</v>
      </c>
      <c r="G7210" s="3" t="s">
        <v>36</v>
      </c>
      <c r="H7210" s="3" t="s">
        <v>37</v>
      </c>
      <c r="I7210" s="4" t="n">
        <v>17</v>
      </c>
      <c r="J7210" s="4" t="n">
        <f aca="false">LEN(E7210)-LEN(SUBSTITUTE(E7210,",",""))+1</f>
        <v>7</v>
      </c>
      <c r="K7210" s="3" t="str">
        <f aca="false">IFERROR(INDEX('Teacher Lookup'!$B$2:$B$200,MATCH(A7210,'Teacher Lookup'!$A$2:$A$200,0)),"")</f>
        <v>SUAIBU Muthu</v>
      </c>
    </row>
    <row r="7211" customFormat="false" ht="15" hidden="false" customHeight="false" outlineLevel="0" collapsed="false">
      <c r="A7211" s="3" t="s">
        <v>214</v>
      </c>
      <c r="B7211" s="4" t="s">
        <v>44</v>
      </c>
      <c r="C7211" s="4" t="n">
        <v>7</v>
      </c>
      <c r="D7211" s="4" t="s">
        <v>19</v>
      </c>
      <c r="E7211" s="3" t="s">
        <v>420</v>
      </c>
      <c r="F7211" s="4" t="str">
        <f aca="false">IF(I7211&gt;J7211,"Y","N")</f>
        <v>N</v>
      </c>
      <c r="G7211" s="3" t="s">
        <v>164</v>
      </c>
      <c r="H7211" s="3" t="s">
        <v>39</v>
      </c>
      <c r="I7211" s="4" t="n">
        <v>4</v>
      </c>
      <c r="J7211" s="4" t="n">
        <f aca="false">LEN(E7211)-LEN(SUBSTITUTE(E7211,",",""))+1</f>
        <v>4</v>
      </c>
      <c r="K7211" s="3" t="str">
        <f aca="false">IFERROR(INDEX('Teacher Lookup'!$B$2:$B$200,MATCH(A7211,'Teacher Lookup'!$A$2:$A$200,0)),"")</f>
        <v>SUAIBU Muthu</v>
      </c>
    </row>
    <row r="7212" customFormat="false" ht="15" hidden="false" customHeight="false" outlineLevel="0" collapsed="false">
      <c r="A7212" s="3" t="s">
        <v>214</v>
      </c>
      <c r="B7212" s="4" t="s">
        <v>44</v>
      </c>
      <c r="C7212" s="4" t="n">
        <v>7</v>
      </c>
      <c r="D7212" s="4" t="s">
        <v>22</v>
      </c>
      <c r="E7212" s="3" t="s">
        <v>420</v>
      </c>
      <c r="F7212" s="4" t="str">
        <f aca="false">IF(I7212&gt;J7212,"Y","N")</f>
        <v>N</v>
      </c>
      <c r="G7212" s="3" t="s">
        <v>164</v>
      </c>
      <c r="H7212" s="3" t="s">
        <v>39</v>
      </c>
      <c r="I7212" s="4" t="n">
        <v>4</v>
      </c>
      <c r="J7212" s="4" t="n">
        <f aca="false">LEN(E7212)-LEN(SUBSTITUTE(E7212,",",""))+1</f>
        <v>4</v>
      </c>
      <c r="K7212" s="3" t="str">
        <f aca="false">IFERROR(INDEX('Teacher Lookup'!$B$2:$B$200,MATCH(A7212,'Teacher Lookup'!$A$2:$A$200,0)),"")</f>
        <v>SUAIBU Muthu</v>
      </c>
    </row>
    <row r="7213" customFormat="false" ht="15" hidden="false" customHeight="false" outlineLevel="0" collapsed="false">
      <c r="A7213" s="3" t="s">
        <v>214</v>
      </c>
      <c r="B7213" s="4" t="s">
        <v>44</v>
      </c>
      <c r="C7213" s="4" t="n">
        <v>7</v>
      </c>
      <c r="D7213" s="4" t="s">
        <v>23</v>
      </c>
      <c r="E7213" s="3" t="s">
        <v>420</v>
      </c>
      <c r="F7213" s="4" t="str">
        <f aca="false">IF(I7213&gt;J7213,"Y","N")</f>
        <v>N</v>
      </c>
      <c r="G7213" s="3" t="s">
        <v>164</v>
      </c>
      <c r="H7213" s="3" t="s">
        <v>39</v>
      </c>
      <c r="I7213" s="4" t="n">
        <v>4</v>
      </c>
      <c r="J7213" s="4" t="n">
        <f aca="false">LEN(E7213)-LEN(SUBSTITUTE(E7213,",",""))+1</f>
        <v>4</v>
      </c>
      <c r="K7213" s="3" t="str">
        <f aca="false">IFERROR(INDEX('Teacher Lookup'!$B$2:$B$200,MATCH(A7213,'Teacher Lookup'!$A$2:$A$200,0)),"")</f>
        <v>SUAIBU Muthu</v>
      </c>
    </row>
    <row r="7214" customFormat="false" ht="15" hidden="false" customHeight="false" outlineLevel="0" collapsed="false">
      <c r="A7214" s="3" t="s">
        <v>214</v>
      </c>
      <c r="B7214" s="4" t="s">
        <v>47</v>
      </c>
      <c r="C7214" s="4" t="n">
        <v>2</v>
      </c>
      <c r="D7214" s="4" t="s">
        <v>76</v>
      </c>
      <c r="E7214" s="3" t="s">
        <v>174</v>
      </c>
      <c r="F7214" s="4" t="str">
        <f aca="false">IF(I7214&gt;J7214,"Y","N")</f>
        <v>N</v>
      </c>
      <c r="G7214" s="3" t="s">
        <v>164</v>
      </c>
      <c r="H7214" s="3" t="s">
        <v>21</v>
      </c>
      <c r="I7214" s="4" t="n">
        <v>4</v>
      </c>
      <c r="J7214" s="4" t="n">
        <f aca="false">LEN(E7214)-LEN(SUBSTITUTE(E7214,",",""))+1</f>
        <v>4</v>
      </c>
      <c r="K7214" s="3" t="str">
        <f aca="false">IFERROR(INDEX('Teacher Lookup'!$B$2:$B$200,MATCH(A7214,'Teacher Lookup'!$A$2:$A$200,0)),"")</f>
        <v>SUAIBU Muthu</v>
      </c>
    </row>
    <row r="7215" customFormat="false" ht="15" hidden="false" customHeight="false" outlineLevel="0" collapsed="false">
      <c r="A7215" s="3" t="s">
        <v>214</v>
      </c>
      <c r="B7215" s="4" t="s">
        <v>47</v>
      </c>
      <c r="C7215" s="4" t="n">
        <v>2</v>
      </c>
      <c r="D7215" s="4" t="s">
        <v>78</v>
      </c>
      <c r="E7215" s="3" t="s">
        <v>174</v>
      </c>
      <c r="F7215" s="4" t="str">
        <f aca="false">IF(I7215&gt;J7215,"Y","N")</f>
        <v>N</v>
      </c>
      <c r="G7215" s="3" t="s">
        <v>164</v>
      </c>
      <c r="H7215" s="3" t="s">
        <v>21</v>
      </c>
      <c r="I7215" s="4" t="n">
        <v>4</v>
      </c>
      <c r="J7215" s="4" t="n">
        <f aca="false">LEN(E7215)-LEN(SUBSTITUTE(E7215,",",""))+1</f>
        <v>4</v>
      </c>
      <c r="K7215" s="3" t="str">
        <f aca="false">IFERROR(INDEX('Teacher Lookup'!$B$2:$B$200,MATCH(A7215,'Teacher Lookup'!$A$2:$A$200,0)),"")</f>
        <v>SUAIBU Muthu</v>
      </c>
    </row>
    <row r="7216" customFormat="false" ht="15" hidden="false" customHeight="false" outlineLevel="0" collapsed="false">
      <c r="A7216" s="3" t="s">
        <v>214</v>
      </c>
      <c r="B7216" s="4" t="s">
        <v>47</v>
      </c>
      <c r="C7216" s="4" t="n">
        <v>2</v>
      </c>
      <c r="D7216" s="4" t="s">
        <v>79</v>
      </c>
      <c r="E7216" s="3" t="s">
        <v>174</v>
      </c>
      <c r="F7216" s="4" t="str">
        <f aca="false">IF(I7216&gt;J7216,"Y","N")</f>
        <v>N</v>
      </c>
      <c r="G7216" s="3" t="s">
        <v>164</v>
      </c>
      <c r="H7216" s="3" t="s">
        <v>21</v>
      </c>
      <c r="I7216" s="4" t="n">
        <v>4</v>
      </c>
      <c r="J7216" s="4" t="n">
        <f aca="false">LEN(E7216)-LEN(SUBSTITUTE(E7216,",",""))+1</f>
        <v>4</v>
      </c>
      <c r="K7216" s="3" t="str">
        <f aca="false">IFERROR(INDEX('Teacher Lookup'!$B$2:$B$200,MATCH(A7216,'Teacher Lookup'!$A$2:$A$200,0)),"")</f>
        <v>SUAIBU Muthu</v>
      </c>
    </row>
    <row r="7217" customFormat="false" ht="15" hidden="false" customHeight="false" outlineLevel="0" collapsed="false">
      <c r="A7217" s="3" t="s">
        <v>214</v>
      </c>
      <c r="B7217" s="4" t="s">
        <v>47</v>
      </c>
      <c r="C7217" s="4" t="n">
        <v>5</v>
      </c>
      <c r="D7217" s="4" t="s">
        <v>13</v>
      </c>
      <c r="E7217" s="3" t="s">
        <v>14</v>
      </c>
      <c r="F7217" s="4" t="str">
        <f aca="false">IF(I7217&gt;J7217,"Y","N")</f>
        <v>N</v>
      </c>
      <c r="G7217" s="3" t="s">
        <v>164</v>
      </c>
      <c r="H7217" s="3" t="s">
        <v>37</v>
      </c>
      <c r="I7217" s="4" t="n">
        <v>4</v>
      </c>
      <c r="J7217" s="4" t="n">
        <f aca="false">LEN(E7217)-LEN(SUBSTITUTE(E7217,",",""))+1</f>
        <v>4</v>
      </c>
      <c r="K7217" s="3" t="str">
        <f aca="false">IFERROR(INDEX('Teacher Lookup'!$B$2:$B$200,MATCH(A7217,'Teacher Lookup'!$A$2:$A$200,0)),"")</f>
        <v>SUAIBU Muthu</v>
      </c>
    </row>
    <row r="7218" customFormat="false" ht="15" hidden="false" customHeight="false" outlineLevel="0" collapsed="false">
      <c r="A7218" s="3" t="s">
        <v>214</v>
      </c>
      <c r="B7218" s="4" t="s">
        <v>47</v>
      </c>
      <c r="C7218" s="4" t="n">
        <v>5</v>
      </c>
      <c r="D7218" s="4" t="s">
        <v>17</v>
      </c>
      <c r="E7218" s="3" t="s">
        <v>14</v>
      </c>
      <c r="F7218" s="4" t="str">
        <f aca="false">IF(I7218&gt;J7218,"Y","N")</f>
        <v>N</v>
      </c>
      <c r="G7218" s="3" t="s">
        <v>164</v>
      </c>
      <c r="H7218" s="3" t="s">
        <v>37</v>
      </c>
      <c r="I7218" s="4" t="n">
        <v>4</v>
      </c>
      <c r="J7218" s="4" t="n">
        <f aca="false">LEN(E7218)-LEN(SUBSTITUTE(E7218,",",""))+1</f>
        <v>4</v>
      </c>
      <c r="K7218" s="3" t="str">
        <f aca="false">IFERROR(INDEX('Teacher Lookup'!$B$2:$B$200,MATCH(A7218,'Teacher Lookup'!$A$2:$A$200,0)),"")</f>
        <v>SUAIBU Muthu</v>
      </c>
    </row>
    <row r="7219" customFormat="false" ht="15" hidden="false" customHeight="false" outlineLevel="0" collapsed="false">
      <c r="A7219" s="3" t="s">
        <v>214</v>
      </c>
      <c r="B7219" s="4" t="s">
        <v>47</v>
      </c>
      <c r="C7219" s="4" t="n">
        <v>5</v>
      </c>
      <c r="D7219" s="4" t="s">
        <v>18</v>
      </c>
      <c r="E7219" s="3" t="s">
        <v>14</v>
      </c>
      <c r="F7219" s="4" t="str">
        <f aca="false">IF(I7219&gt;J7219,"Y","N")</f>
        <v>N</v>
      </c>
      <c r="G7219" s="3" t="s">
        <v>164</v>
      </c>
      <c r="H7219" s="3" t="s">
        <v>37</v>
      </c>
      <c r="I7219" s="4" t="n">
        <v>4</v>
      </c>
      <c r="J7219" s="4" t="n">
        <f aca="false">LEN(E7219)-LEN(SUBSTITUTE(E7219,",",""))+1</f>
        <v>4</v>
      </c>
      <c r="K7219" s="3" t="str">
        <f aca="false">IFERROR(INDEX('Teacher Lookup'!$B$2:$B$200,MATCH(A7219,'Teacher Lookup'!$A$2:$A$200,0)),"")</f>
        <v>SUAIBU Muthu</v>
      </c>
    </row>
    <row r="7220" customFormat="false" ht="15" hidden="false" customHeight="false" outlineLevel="0" collapsed="false">
      <c r="A7220" s="3" t="s">
        <v>214</v>
      </c>
      <c r="B7220" s="4" t="s">
        <v>47</v>
      </c>
      <c r="C7220" s="4" t="n">
        <v>6</v>
      </c>
      <c r="D7220" s="4" t="s">
        <v>19</v>
      </c>
      <c r="E7220" s="3" t="s">
        <v>421</v>
      </c>
      <c r="F7220" s="4" t="str">
        <f aca="false">IF(I7220&gt;J7220,"Y","N")</f>
        <v>N</v>
      </c>
      <c r="G7220" s="3" t="s">
        <v>164</v>
      </c>
      <c r="H7220" s="3" t="s">
        <v>42</v>
      </c>
      <c r="I7220" s="4" t="n">
        <v>4</v>
      </c>
      <c r="J7220" s="4" t="n">
        <f aca="false">LEN(E7220)-LEN(SUBSTITUTE(E7220,",",""))+1</f>
        <v>4</v>
      </c>
      <c r="K7220" s="3" t="str">
        <f aca="false">IFERROR(INDEX('Teacher Lookup'!$B$2:$B$200,MATCH(A7220,'Teacher Lookup'!$A$2:$A$200,0)),"")</f>
        <v>SUAIBU Muthu</v>
      </c>
    </row>
    <row r="7221" customFormat="false" ht="15" hidden="false" customHeight="false" outlineLevel="0" collapsed="false">
      <c r="A7221" s="3" t="s">
        <v>214</v>
      </c>
      <c r="B7221" s="4" t="s">
        <v>47</v>
      </c>
      <c r="C7221" s="4" t="n">
        <v>6</v>
      </c>
      <c r="D7221" s="4" t="s">
        <v>22</v>
      </c>
      <c r="E7221" s="3" t="s">
        <v>421</v>
      </c>
      <c r="F7221" s="4" t="str">
        <f aca="false">IF(I7221&gt;J7221,"Y","N")</f>
        <v>N</v>
      </c>
      <c r="G7221" s="3" t="s">
        <v>164</v>
      </c>
      <c r="H7221" s="3" t="s">
        <v>42</v>
      </c>
      <c r="I7221" s="4" t="n">
        <v>4</v>
      </c>
      <c r="J7221" s="4" t="n">
        <f aca="false">LEN(E7221)-LEN(SUBSTITUTE(E7221,",",""))+1</f>
        <v>4</v>
      </c>
      <c r="K7221" s="3" t="str">
        <f aca="false">IFERROR(INDEX('Teacher Lookup'!$B$2:$B$200,MATCH(A7221,'Teacher Lookup'!$A$2:$A$200,0)),"")</f>
        <v>SUAIBU Muthu</v>
      </c>
    </row>
    <row r="7222" customFormat="false" ht="15" hidden="false" customHeight="false" outlineLevel="0" collapsed="false">
      <c r="A7222" s="3" t="s">
        <v>214</v>
      </c>
      <c r="B7222" s="4" t="s">
        <v>47</v>
      </c>
      <c r="C7222" s="4" t="n">
        <v>6</v>
      </c>
      <c r="D7222" s="4" t="s">
        <v>23</v>
      </c>
      <c r="E7222" s="3" t="s">
        <v>421</v>
      </c>
      <c r="F7222" s="4" t="str">
        <f aca="false">IF(I7222&gt;J7222,"Y","N")</f>
        <v>N</v>
      </c>
      <c r="G7222" s="3" t="s">
        <v>164</v>
      </c>
      <c r="H7222" s="3" t="s">
        <v>42</v>
      </c>
      <c r="I7222" s="4" t="n">
        <v>4</v>
      </c>
      <c r="J7222" s="4" t="n">
        <f aca="false">LEN(E7222)-LEN(SUBSTITUTE(E7222,",",""))+1</f>
        <v>4</v>
      </c>
      <c r="K7222" s="3" t="str">
        <f aca="false">IFERROR(INDEX('Teacher Lookup'!$B$2:$B$200,MATCH(A7222,'Teacher Lookup'!$A$2:$A$200,0)),"")</f>
        <v>SUAIBU Muthu</v>
      </c>
    </row>
    <row r="7223" customFormat="false" ht="15" hidden="false" customHeight="false" outlineLevel="0" collapsed="false">
      <c r="A7223" s="3" t="s">
        <v>214</v>
      </c>
      <c r="B7223" s="4" t="s">
        <v>47</v>
      </c>
      <c r="C7223" s="4" t="n">
        <v>7</v>
      </c>
      <c r="D7223" s="4" t="s">
        <v>19</v>
      </c>
      <c r="E7223" s="3" t="s">
        <v>421</v>
      </c>
      <c r="F7223" s="4" t="str">
        <f aca="false">IF(I7223&gt;J7223,"Y","N")</f>
        <v>N</v>
      </c>
      <c r="G7223" s="3" t="s">
        <v>164</v>
      </c>
      <c r="H7223" s="3" t="s">
        <v>39</v>
      </c>
      <c r="I7223" s="4" t="n">
        <v>4</v>
      </c>
      <c r="J7223" s="4" t="n">
        <f aca="false">LEN(E7223)-LEN(SUBSTITUTE(E7223,",",""))+1</f>
        <v>4</v>
      </c>
      <c r="K7223" s="3" t="str">
        <f aca="false">IFERROR(INDEX('Teacher Lookup'!$B$2:$B$200,MATCH(A7223,'Teacher Lookup'!$A$2:$A$200,0)),"")</f>
        <v>SUAIBU Muthu</v>
      </c>
    </row>
    <row r="7224" customFormat="false" ht="15" hidden="false" customHeight="false" outlineLevel="0" collapsed="false">
      <c r="A7224" s="3" t="s">
        <v>214</v>
      </c>
      <c r="B7224" s="4" t="s">
        <v>47</v>
      </c>
      <c r="C7224" s="4" t="n">
        <v>7</v>
      </c>
      <c r="D7224" s="4" t="s">
        <v>22</v>
      </c>
      <c r="E7224" s="3" t="s">
        <v>421</v>
      </c>
      <c r="F7224" s="4" t="str">
        <f aca="false">IF(I7224&gt;J7224,"Y","N")</f>
        <v>N</v>
      </c>
      <c r="G7224" s="3" t="s">
        <v>164</v>
      </c>
      <c r="H7224" s="3" t="s">
        <v>39</v>
      </c>
      <c r="I7224" s="4" t="n">
        <v>4</v>
      </c>
      <c r="J7224" s="4" t="n">
        <f aca="false">LEN(E7224)-LEN(SUBSTITUTE(E7224,",",""))+1</f>
        <v>4</v>
      </c>
      <c r="K7224" s="3" t="str">
        <f aca="false">IFERROR(INDEX('Teacher Lookup'!$B$2:$B$200,MATCH(A7224,'Teacher Lookup'!$A$2:$A$200,0)),"")</f>
        <v>SUAIBU Muthu</v>
      </c>
    </row>
    <row r="7225" customFormat="false" ht="15" hidden="false" customHeight="false" outlineLevel="0" collapsed="false">
      <c r="A7225" s="3" t="s">
        <v>214</v>
      </c>
      <c r="B7225" s="4" t="s">
        <v>47</v>
      </c>
      <c r="C7225" s="4" t="n">
        <v>7</v>
      </c>
      <c r="D7225" s="4" t="s">
        <v>23</v>
      </c>
      <c r="E7225" s="3" t="s">
        <v>421</v>
      </c>
      <c r="F7225" s="4" t="str">
        <f aca="false">IF(I7225&gt;J7225,"Y","N")</f>
        <v>N</v>
      </c>
      <c r="G7225" s="3" t="s">
        <v>164</v>
      </c>
      <c r="H7225" s="3" t="s">
        <v>39</v>
      </c>
      <c r="I7225" s="4" t="n">
        <v>4</v>
      </c>
      <c r="J7225" s="4" t="n">
        <f aca="false">LEN(E7225)-LEN(SUBSTITUTE(E7225,",",""))+1</f>
        <v>4</v>
      </c>
      <c r="K7225" s="3" t="str">
        <f aca="false">IFERROR(INDEX('Teacher Lookup'!$B$2:$B$200,MATCH(A7225,'Teacher Lookup'!$A$2:$A$200,0)),"")</f>
        <v>SUAIBU Muthu</v>
      </c>
    </row>
    <row r="7226" customFormat="false" ht="15" hidden="false" customHeight="false" outlineLevel="0" collapsed="false">
      <c r="A7226" s="3" t="s">
        <v>214</v>
      </c>
      <c r="B7226" s="4" t="s">
        <v>50</v>
      </c>
      <c r="C7226" s="4" t="n">
        <v>2</v>
      </c>
      <c r="D7226" s="4" t="s">
        <v>76</v>
      </c>
      <c r="E7226" s="3" t="s">
        <v>90</v>
      </c>
      <c r="F7226" s="4" t="str">
        <f aca="false">IF(I7226&gt;J7226,"Y","N")</f>
        <v>N</v>
      </c>
      <c r="G7226" s="3" t="s">
        <v>164</v>
      </c>
      <c r="H7226" s="3" t="s">
        <v>21</v>
      </c>
      <c r="I7226" s="4" t="n">
        <v>4</v>
      </c>
      <c r="J7226" s="4" t="n">
        <f aca="false">LEN(E7226)-LEN(SUBSTITUTE(E7226,",",""))+1</f>
        <v>4</v>
      </c>
      <c r="K7226" s="3" t="str">
        <f aca="false">IFERROR(INDEX('Teacher Lookup'!$B$2:$B$200,MATCH(A7226,'Teacher Lookup'!$A$2:$A$200,0)),"")</f>
        <v>SUAIBU Muthu</v>
      </c>
    </row>
    <row r="7227" customFormat="false" ht="15" hidden="false" customHeight="false" outlineLevel="0" collapsed="false">
      <c r="A7227" s="3" t="s">
        <v>214</v>
      </c>
      <c r="B7227" s="4" t="s">
        <v>50</v>
      </c>
      <c r="C7227" s="4" t="n">
        <v>2</v>
      </c>
      <c r="D7227" s="4" t="s">
        <v>78</v>
      </c>
      <c r="E7227" s="3" t="s">
        <v>90</v>
      </c>
      <c r="F7227" s="4" t="str">
        <f aca="false">IF(I7227&gt;J7227,"Y","N")</f>
        <v>N</v>
      </c>
      <c r="G7227" s="3" t="s">
        <v>164</v>
      </c>
      <c r="H7227" s="3" t="s">
        <v>21</v>
      </c>
      <c r="I7227" s="4" t="n">
        <v>4</v>
      </c>
      <c r="J7227" s="4" t="n">
        <f aca="false">LEN(E7227)-LEN(SUBSTITUTE(E7227,",",""))+1</f>
        <v>4</v>
      </c>
      <c r="K7227" s="3" t="str">
        <f aca="false">IFERROR(INDEX('Teacher Lookup'!$B$2:$B$200,MATCH(A7227,'Teacher Lookup'!$A$2:$A$200,0)),"")</f>
        <v>SUAIBU Muthu</v>
      </c>
    </row>
    <row r="7228" customFormat="false" ht="15" hidden="false" customHeight="false" outlineLevel="0" collapsed="false">
      <c r="A7228" s="3" t="s">
        <v>214</v>
      </c>
      <c r="B7228" s="4" t="s">
        <v>50</v>
      </c>
      <c r="C7228" s="4" t="n">
        <v>2</v>
      </c>
      <c r="D7228" s="4" t="s">
        <v>79</v>
      </c>
      <c r="E7228" s="3" t="s">
        <v>90</v>
      </c>
      <c r="F7228" s="4" t="str">
        <f aca="false">IF(I7228&gt;J7228,"Y","N")</f>
        <v>N</v>
      </c>
      <c r="G7228" s="3" t="s">
        <v>164</v>
      </c>
      <c r="H7228" s="3" t="s">
        <v>21</v>
      </c>
      <c r="I7228" s="4" t="n">
        <v>4</v>
      </c>
      <c r="J7228" s="4" t="n">
        <f aca="false">LEN(E7228)-LEN(SUBSTITUTE(E7228,",",""))+1</f>
        <v>4</v>
      </c>
      <c r="K7228" s="3" t="str">
        <f aca="false">IFERROR(INDEX('Teacher Lookup'!$B$2:$B$200,MATCH(A7228,'Teacher Lookup'!$A$2:$A$200,0)),"")</f>
        <v>SUAIBU Muthu</v>
      </c>
    </row>
    <row r="7229" customFormat="false" ht="15" hidden="false" customHeight="false" outlineLevel="0" collapsed="false">
      <c r="A7229" s="3" t="s">
        <v>214</v>
      </c>
      <c r="B7229" s="4" t="s">
        <v>50</v>
      </c>
      <c r="C7229" s="4" t="n">
        <v>3</v>
      </c>
      <c r="D7229" s="4" t="s">
        <v>13</v>
      </c>
      <c r="E7229" s="3" t="s">
        <v>360</v>
      </c>
      <c r="F7229" s="4" t="str">
        <f aca="false">IF(I7229&gt;J7229,"Y","N")</f>
        <v>N</v>
      </c>
      <c r="G7229" s="3" t="s">
        <v>164</v>
      </c>
      <c r="H7229" s="3" t="s">
        <v>26</v>
      </c>
      <c r="I7229" s="4" t="n">
        <v>4</v>
      </c>
      <c r="J7229" s="4" t="n">
        <f aca="false">LEN(E7229)-LEN(SUBSTITUTE(E7229,",",""))+1</f>
        <v>4</v>
      </c>
      <c r="K7229" s="3" t="str">
        <f aca="false">IFERROR(INDEX('Teacher Lookup'!$B$2:$B$200,MATCH(A7229,'Teacher Lookup'!$A$2:$A$200,0)),"")</f>
        <v>SUAIBU Muthu</v>
      </c>
    </row>
    <row r="7230" customFormat="false" ht="15" hidden="false" customHeight="false" outlineLevel="0" collapsed="false">
      <c r="A7230" s="3" t="s">
        <v>214</v>
      </c>
      <c r="B7230" s="4" t="s">
        <v>50</v>
      </c>
      <c r="C7230" s="4" t="n">
        <v>3</v>
      </c>
      <c r="D7230" s="4" t="s">
        <v>17</v>
      </c>
      <c r="E7230" s="3" t="s">
        <v>360</v>
      </c>
      <c r="F7230" s="4" t="str">
        <f aca="false">IF(I7230&gt;J7230,"Y","N")</f>
        <v>N</v>
      </c>
      <c r="G7230" s="3" t="s">
        <v>164</v>
      </c>
      <c r="H7230" s="3" t="s">
        <v>26</v>
      </c>
      <c r="I7230" s="4" t="n">
        <v>4</v>
      </c>
      <c r="J7230" s="4" t="n">
        <f aca="false">LEN(E7230)-LEN(SUBSTITUTE(E7230,",",""))+1</f>
        <v>4</v>
      </c>
      <c r="K7230" s="3" t="str">
        <f aca="false">IFERROR(INDEX('Teacher Lookup'!$B$2:$B$200,MATCH(A7230,'Teacher Lookup'!$A$2:$A$200,0)),"")</f>
        <v>SUAIBU Muthu</v>
      </c>
    </row>
    <row r="7231" customFormat="false" ht="15" hidden="false" customHeight="false" outlineLevel="0" collapsed="false">
      <c r="A7231" s="3" t="s">
        <v>214</v>
      </c>
      <c r="B7231" s="4" t="s">
        <v>50</v>
      </c>
      <c r="C7231" s="4" t="n">
        <v>3</v>
      </c>
      <c r="D7231" s="4" t="s">
        <v>18</v>
      </c>
      <c r="E7231" s="3" t="s">
        <v>360</v>
      </c>
      <c r="F7231" s="4" t="str">
        <f aca="false">IF(I7231&gt;J7231,"Y","N")</f>
        <v>N</v>
      </c>
      <c r="G7231" s="3" t="s">
        <v>164</v>
      </c>
      <c r="H7231" s="3" t="s">
        <v>26</v>
      </c>
      <c r="I7231" s="4" t="n">
        <v>4</v>
      </c>
      <c r="J7231" s="4" t="n">
        <f aca="false">LEN(E7231)-LEN(SUBSTITUTE(E7231,",",""))+1</f>
        <v>4</v>
      </c>
      <c r="K7231" s="3" t="str">
        <f aca="false">IFERROR(INDEX('Teacher Lookup'!$B$2:$B$200,MATCH(A7231,'Teacher Lookup'!$A$2:$A$200,0)),"")</f>
        <v>SUAIBU Muthu</v>
      </c>
    </row>
    <row r="7232" customFormat="false" ht="15" hidden="false" customHeight="false" outlineLevel="0" collapsed="false">
      <c r="A7232" s="3" t="s">
        <v>214</v>
      </c>
      <c r="B7232" s="4" t="s">
        <v>50</v>
      </c>
      <c r="C7232" s="4" t="n">
        <v>5</v>
      </c>
      <c r="D7232" s="4" t="s">
        <v>19</v>
      </c>
      <c r="E7232" s="3" t="s">
        <v>422</v>
      </c>
      <c r="F7232" s="4" t="str">
        <f aca="false">IF(I7232&gt;J7232,"Y","N")</f>
        <v>N</v>
      </c>
      <c r="G7232" s="3" t="s">
        <v>164</v>
      </c>
      <c r="H7232" s="3" t="s">
        <v>37</v>
      </c>
      <c r="I7232" s="4" t="n">
        <v>4</v>
      </c>
      <c r="J7232" s="4" t="n">
        <f aca="false">LEN(E7232)-LEN(SUBSTITUTE(E7232,",",""))+1</f>
        <v>4</v>
      </c>
      <c r="K7232" s="3" t="str">
        <f aca="false">IFERROR(INDEX('Teacher Lookup'!$B$2:$B$200,MATCH(A7232,'Teacher Lookup'!$A$2:$A$200,0)),"")</f>
        <v>SUAIBU Muthu</v>
      </c>
    </row>
    <row r="7233" customFormat="false" ht="15" hidden="false" customHeight="false" outlineLevel="0" collapsed="false">
      <c r="A7233" s="3" t="s">
        <v>214</v>
      </c>
      <c r="B7233" s="4" t="s">
        <v>50</v>
      </c>
      <c r="C7233" s="4" t="n">
        <v>5</v>
      </c>
      <c r="D7233" s="4" t="s">
        <v>22</v>
      </c>
      <c r="E7233" s="3" t="s">
        <v>422</v>
      </c>
      <c r="F7233" s="4" t="str">
        <f aca="false">IF(I7233&gt;J7233,"Y","N")</f>
        <v>N</v>
      </c>
      <c r="G7233" s="3" t="s">
        <v>164</v>
      </c>
      <c r="H7233" s="3" t="s">
        <v>37</v>
      </c>
      <c r="I7233" s="4" t="n">
        <v>4</v>
      </c>
      <c r="J7233" s="4" t="n">
        <f aca="false">LEN(E7233)-LEN(SUBSTITUTE(E7233,",",""))+1</f>
        <v>4</v>
      </c>
      <c r="K7233" s="3" t="str">
        <f aca="false">IFERROR(INDEX('Teacher Lookup'!$B$2:$B$200,MATCH(A7233,'Teacher Lookup'!$A$2:$A$200,0)),"")</f>
        <v>SUAIBU Muthu</v>
      </c>
    </row>
    <row r="7234" customFormat="false" ht="15" hidden="false" customHeight="false" outlineLevel="0" collapsed="false">
      <c r="A7234" s="3" t="s">
        <v>214</v>
      </c>
      <c r="B7234" s="4" t="s">
        <v>50</v>
      </c>
      <c r="C7234" s="4" t="n">
        <v>5</v>
      </c>
      <c r="D7234" s="4" t="s">
        <v>23</v>
      </c>
      <c r="E7234" s="3" t="s">
        <v>422</v>
      </c>
      <c r="F7234" s="4" t="str">
        <f aca="false">IF(I7234&gt;J7234,"Y","N")</f>
        <v>N</v>
      </c>
      <c r="G7234" s="3" t="s">
        <v>164</v>
      </c>
      <c r="H7234" s="3" t="s">
        <v>37</v>
      </c>
      <c r="I7234" s="4" t="n">
        <v>4</v>
      </c>
      <c r="J7234" s="4" t="n">
        <f aca="false">LEN(E7234)-LEN(SUBSTITUTE(E7234,",",""))+1</f>
        <v>4</v>
      </c>
      <c r="K7234" s="3" t="str">
        <f aca="false">IFERROR(INDEX('Teacher Lookup'!$B$2:$B$200,MATCH(A7234,'Teacher Lookup'!$A$2:$A$200,0)),"")</f>
        <v>SUAIBU Muthu</v>
      </c>
    </row>
    <row r="7235" customFormat="false" ht="15" hidden="false" customHeight="false" outlineLevel="0" collapsed="false">
      <c r="A7235" s="3" t="s">
        <v>214</v>
      </c>
      <c r="B7235" s="4" t="s">
        <v>60</v>
      </c>
      <c r="C7235" s="4" t="n">
        <v>3</v>
      </c>
      <c r="D7235" s="4" t="s">
        <v>76</v>
      </c>
      <c r="E7235" s="3" t="s">
        <v>80</v>
      </c>
      <c r="F7235" s="4" t="str">
        <f aca="false">IF(I7235&gt;J7235,"Y","N")</f>
        <v>N</v>
      </c>
      <c r="G7235" s="3" t="s">
        <v>164</v>
      </c>
      <c r="H7235" s="3" t="s">
        <v>26</v>
      </c>
      <c r="I7235" s="4" t="n">
        <v>4</v>
      </c>
      <c r="J7235" s="4" t="n">
        <f aca="false">LEN(E7235)-LEN(SUBSTITUTE(E7235,",",""))+1</f>
        <v>4</v>
      </c>
      <c r="K7235" s="3" t="str">
        <f aca="false">IFERROR(INDEX('Teacher Lookup'!$B$2:$B$200,MATCH(A7235,'Teacher Lookup'!$A$2:$A$200,0)),"")</f>
        <v>SUAIBU Muthu</v>
      </c>
    </row>
    <row r="7236" customFormat="false" ht="15" hidden="false" customHeight="false" outlineLevel="0" collapsed="false">
      <c r="A7236" s="3" t="s">
        <v>214</v>
      </c>
      <c r="B7236" s="4" t="s">
        <v>60</v>
      </c>
      <c r="C7236" s="4" t="n">
        <v>3</v>
      </c>
      <c r="D7236" s="4" t="s">
        <v>78</v>
      </c>
      <c r="E7236" s="3" t="s">
        <v>80</v>
      </c>
      <c r="F7236" s="4" t="str">
        <f aca="false">IF(I7236&gt;J7236,"Y","N")</f>
        <v>N</v>
      </c>
      <c r="G7236" s="3" t="s">
        <v>164</v>
      </c>
      <c r="H7236" s="3" t="s">
        <v>26</v>
      </c>
      <c r="I7236" s="4" t="n">
        <v>4</v>
      </c>
      <c r="J7236" s="4" t="n">
        <f aca="false">LEN(E7236)-LEN(SUBSTITUTE(E7236,",",""))+1</f>
        <v>4</v>
      </c>
      <c r="K7236" s="3" t="str">
        <f aca="false">IFERROR(INDEX('Teacher Lookup'!$B$2:$B$200,MATCH(A7236,'Teacher Lookup'!$A$2:$A$200,0)),"")</f>
        <v>SUAIBU Muthu</v>
      </c>
    </row>
    <row r="7237" customFormat="false" ht="15" hidden="false" customHeight="false" outlineLevel="0" collapsed="false">
      <c r="A7237" s="3" t="s">
        <v>214</v>
      </c>
      <c r="B7237" s="4" t="s">
        <v>60</v>
      </c>
      <c r="C7237" s="4" t="n">
        <v>3</v>
      </c>
      <c r="D7237" s="4" t="s">
        <v>79</v>
      </c>
      <c r="E7237" s="3" t="s">
        <v>80</v>
      </c>
      <c r="F7237" s="4" t="str">
        <f aca="false">IF(I7237&gt;J7237,"Y","N")</f>
        <v>N</v>
      </c>
      <c r="G7237" s="3" t="s">
        <v>164</v>
      </c>
      <c r="H7237" s="3" t="s">
        <v>26</v>
      </c>
      <c r="I7237" s="4" t="n">
        <v>4</v>
      </c>
      <c r="J7237" s="4" t="n">
        <f aca="false">LEN(E7237)-LEN(SUBSTITUTE(E7237,",",""))+1</f>
        <v>4</v>
      </c>
      <c r="K7237" s="3" t="str">
        <f aca="false">IFERROR(INDEX('Teacher Lookup'!$B$2:$B$200,MATCH(A7237,'Teacher Lookup'!$A$2:$A$200,0)),"")</f>
        <v>SUAIBU Muthu</v>
      </c>
    </row>
    <row r="7238" customFormat="false" ht="15" hidden="false" customHeight="false" outlineLevel="0" collapsed="false">
      <c r="A7238" s="3" t="s">
        <v>214</v>
      </c>
      <c r="B7238" s="4" t="s">
        <v>60</v>
      </c>
      <c r="C7238" s="4" t="n">
        <v>4</v>
      </c>
      <c r="D7238" s="4" t="s">
        <v>19</v>
      </c>
      <c r="E7238" s="3" t="s">
        <v>423</v>
      </c>
      <c r="F7238" s="4" t="str">
        <f aca="false">IF(I7238&gt;J7238,"Y","N")</f>
        <v>N</v>
      </c>
      <c r="G7238" s="3" t="s">
        <v>164</v>
      </c>
      <c r="H7238" s="3" t="s">
        <v>34</v>
      </c>
      <c r="I7238" s="4" t="n">
        <v>4</v>
      </c>
      <c r="J7238" s="4" t="n">
        <f aca="false">LEN(E7238)-LEN(SUBSTITUTE(E7238,",",""))+1</f>
        <v>4</v>
      </c>
      <c r="K7238" s="3" t="str">
        <f aca="false">IFERROR(INDEX('Teacher Lookup'!$B$2:$B$200,MATCH(A7238,'Teacher Lookup'!$A$2:$A$200,0)),"")</f>
        <v>SUAIBU Muthu</v>
      </c>
    </row>
    <row r="7239" customFormat="false" ht="15" hidden="false" customHeight="false" outlineLevel="0" collapsed="false">
      <c r="A7239" s="3" t="s">
        <v>214</v>
      </c>
      <c r="B7239" s="4" t="s">
        <v>60</v>
      </c>
      <c r="C7239" s="4" t="n">
        <v>4</v>
      </c>
      <c r="D7239" s="4" t="s">
        <v>22</v>
      </c>
      <c r="E7239" s="3" t="s">
        <v>423</v>
      </c>
      <c r="F7239" s="4" t="str">
        <f aca="false">IF(I7239&gt;J7239,"Y","N")</f>
        <v>N</v>
      </c>
      <c r="G7239" s="3" t="s">
        <v>164</v>
      </c>
      <c r="H7239" s="3" t="s">
        <v>34</v>
      </c>
      <c r="I7239" s="4" t="n">
        <v>4</v>
      </c>
      <c r="J7239" s="4" t="n">
        <f aca="false">LEN(E7239)-LEN(SUBSTITUTE(E7239,",",""))+1</f>
        <v>4</v>
      </c>
      <c r="K7239" s="3" t="str">
        <f aca="false">IFERROR(INDEX('Teacher Lookup'!$B$2:$B$200,MATCH(A7239,'Teacher Lookup'!$A$2:$A$200,0)),"")</f>
        <v>SUAIBU Muthu</v>
      </c>
    </row>
    <row r="7240" customFormat="false" ht="15" hidden="false" customHeight="false" outlineLevel="0" collapsed="false">
      <c r="A7240" s="3" t="s">
        <v>214</v>
      </c>
      <c r="B7240" s="4" t="s">
        <v>60</v>
      </c>
      <c r="C7240" s="4" t="n">
        <v>4</v>
      </c>
      <c r="D7240" s="4" t="s">
        <v>23</v>
      </c>
      <c r="E7240" s="3" t="s">
        <v>423</v>
      </c>
      <c r="F7240" s="4" t="str">
        <f aca="false">IF(I7240&gt;J7240,"Y","N")</f>
        <v>N</v>
      </c>
      <c r="G7240" s="3" t="s">
        <v>164</v>
      </c>
      <c r="H7240" s="3" t="s">
        <v>34</v>
      </c>
      <c r="I7240" s="4" t="n">
        <v>4</v>
      </c>
      <c r="J7240" s="4" t="n">
        <f aca="false">LEN(E7240)-LEN(SUBSTITUTE(E7240,",",""))+1</f>
        <v>4</v>
      </c>
      <c r="K7240" s="3" t="str">
        <f aca="false">IFERROR(INDEX('Teacher Lookup'!$B$2:$B$200,MATCH(A7240,'Teacher Lookup'!$A$2:$A$200,0)),"")</f>
        <v>SUAIBU Muthu</v>
      </c>
    </row>
    <row r="7241" customFormat="false" ht="15" hidden="false" customHeight="false" outlineLevel="0" collapsed="false">
      <c r="A7241" s="3" t="s">
        <v>214</v>
      </c>
      <c r="B7241" s="4" t="s">
        <v>60</v>
      </c>
      <c r="C7241" s="4" t="n">
        <v>5</v>
      </c>
      <c r="D7241" s="4" t="s">
        <v>19</v>
      </c>
      <c r="E7241" s="3" t="s">
        <v>35</v>
      </c>
      <c r="F7241" s="4" t="str">
        <f aca="false">IF(I7241&gt;J7241,"Y","N")</f>
        <v>Y</v>
      </c>
      <c r="G7241" s="3" t="s">
        <v>36</v>
      </c>
      <c r="H7241" s="3" t="s">
        <v>37</v>
      </c>
      <c r="I7241" s="4" t="n">
        <v>17</v>
      </c>
      <c r="J7241" s="4" t="n">
        <f aca="false">LEN(E7241)-LEN(SUBSTITUTE(E7241,",",""))+1</f>
        <v>7</v>
      </c>
      <c r="K7241" s="3" t="str">
        <f aca="false">IFERROR(INDEX('Teacher Lookup'!$B$2:$B$200,MATCH(A7241,'Teacher Lookup'!$A$2:$A$200,0)),"")</f>
        <v>SUAIBU Muthu</v>
      </c>
    </row>
    <row r="7242" customFormat="false" ht="15" hidden="false" customHeight="false" outlineLevel="0" collapsed="false">
      <c r="A7242" s="3" t="s">
        <v>214</v>
      </c>
      <c r="B7242" s="4" t="s">
        <v>60</v>
      </c>
      <c r="C7242" s="4" t="n">
        <v>5</v>
      </c>
      <c r="D7242" s="4" t="s">
        <v>22</v>
      </c>
      <c r="E7242" s="3" t="s">
        <v>35</v>
      </c>
      <c r="F7242" s="4" t="str">
        <f aca="false">IF(I7242&gt;J7242,"Y","N")</f>
        <v>Y</v>
      </c>
      <c r="G7242" s="3" t="s">
        <v>36</v>
      </c>
      <c r="H7242" s="3" t="s">
        <v>37</v>
      </c>
      <c r="I7242" s="4" t="n">
        <v>17</v>
      </c>
      <c r="J7242" s="4" t="n">
        <f aca="false">LEN(E7242)-LEN(SUBSTITUTE(E7242,",",""))+1</f>
        <v>7</v>
      </c>
      <c r="K7242" s="3" t="str">
        <f aca="false">IFERROR(INDEX('Teacher Lookup'!$B$2:$B$200,MATCH(A7242,'Teacher Lookup'!$A$2:$A$200,0)),"")</f>
        <v>SUAIBU Muthu</v>
      </c>
    </row>
    <row r="7243" customFormat="false" ht="15" hidden="false" customHeight="false" outlineLevel="0" collapsed="false">
      <c r="A7243" s="3" t="s">
        <v>214</v>
      </c>
      <c r="B7243" s="4" t="s">
        <v>60</v>
      </c>
      <c r="C7243" s="4" t="n">
        <v>5</v>
      </c>
      <c r="D7243" s="4" t="s">
        <v>23</v>
      </c>
      <c r="E7243" s="3" t="s">
        <v>35</v>
      </c>
      <c r="F7243" s="4" t="str">
        <f aca="false">IF(I7243&gt;J7243,"Y","N")</f>
        <v>Y</v>
      </c>
      <c r="G7243" s="3" t="s">
        <v>36</v>
      </c>
      <c r="H7243" s="3" t="s">
        <v>37</v>
      </c>
      <c r="I7243" s="4" t="n">
        <v>17</v>
      </c>
      <c r="J7243" s="4" t="n">
        <f aca="false">LEN(E7243)-LEN(SUBSTITUTE(E7243,",",""))+1</f>
        <v>7</v>
      </c>
      <c r="K7243" s="3" t="str">
        <f aca="false">IFERROR(INDEX('Teacher Lookup'!$B$2:$B$200,MATCH(A7243,'Teacher Lookup'!$A$2:$A$200,0)),"")</f>
        <v>SUAIBU Muthu</v>
      </c>
    </row>
    <row r="7244" customFormat="false" ht="15" hidden="false" customHeight="false" outlineLevel="0" collapsed="false">
      <c r="A7244" s="3" t="s">
        <v>214</v>
      </c>
      <c r="B7244" s="4" t="s">
        <v>60</v>
      </c>
      <c r="C7244" s="4" t="n">
        <v>5</v>
      </c>
      <c r="D7244" s="4" t="s">
        <v>13</v>
      </c>
      <c r="E7244" s="3" t="s">
        <v>35</v>
      </c>
      <c r="F7244" s="4" t="str">
        <f aca="false">IF(I7244&gt;J7244,"Y","N")</f>
        <v>Y</v>
      </c>
      <c r="G7244" s="3" t="s">
        <v>36</v>
      </c>
      <c r="H7244" s="3" t="s">
        <v>37</v>
      </c>
      <c r="I7244" s="4" t="n">
        <v>17</v>
      </c>
      <c r="J7244" s="4" t="n">
        <f aca="false">LEN(E7244)-LEN(SUBSTITUTE(E7244,",",""))+1</f>
        <v>7</v>
      </c>
      <c r="K7244" s="3" t="str">
        <f aca="false">IFERROR(INDEX('Teacher Lookup'!$B$2:$B$200,MATCH(A7244,'Teacher Lookup'!$A$2:$A$200,0)),"")</f>
        <v>SUAIBU Muthu</v>
      </c>
    </row>
    <row r="7245" customFormat="false" ht="15" hidden="false" customHeight="false" outlineLevel="0" collapsed="false">
      <c r="A7245" s="3" t="s">
        <v>214</v>
      </c>
      <c r="B7245" s="4" t="s">
        <v>60</v>
      </c>
      <c r="C7245" s="4" t="n">
        <v>5</v>
      </c>
      <c r="D7245" s="4" t="s">
        <v>17</v>
      </c>
      <c r="E7245" s="3" t="s">
        <v>35</v>
      </c>
      <c r="F7245" s="4" t="str">
        <f aca="false">IF(I7245&gt;J7245,"Y","N")</f>
        <v>Y</v>
      </c>
      <c r="G7245" s="3" t="s">
        <v>36</v>
      </c>
      <c r="H7245" s="3" t="s">
        <v>37</v>
      </c>
      <c r="I7245" s="4" t="n">
        <v>17</v>
      </c>
      <c r="J7245" s="4" t="n">
        <f aca="false">LEN(E7245)-LEN(SUBSTITUTE(E7245,",",""))+1</f>
        <v>7</v>
      </c>
      <c r="K7245" s="3" t="str">
        <f aca="false">IFERROR(INDEX('Teacher Lookup'!$B$2:$B$200,MATCH(A7245,'Teacher Lookup'!$A$2:$A$200,0)),"")</f>
        <v>SUAIBU Muthu</v>
      </c>
    </row>
    <row r="7246" customFormat="false" ht="15" hidden="false" customHeight="false" outlineLevel="0" collapsed="false">
      <c r="A7246" s="3" t="s">
        <v>214</v>
      </c>
      <c r="B7246" s="4" t="s">
        <v>60</v>
      </c>
      <c r="C7246" s="4" t="n">
        <v>5</v>
      </c>
      <c r="D7246" s="4" t="s">
        <v>18</v>
      </c>
      <c r="E7246" s="3" t="s">
        <v>35</v>
      </c>
      <c r="F7246" s="4" t="str">
        <f aca="false">IF(I7246&gt;J7246,"Y","N")</f>
        <v>Y</v>
      </c>
      <c r="G7246" s="3" t="s">
        <v>36</v>
      </c>
      <c r="H7246" s="3" t="s">
        <v>37</v>
      </c>
      <c r="I7246" s="4" t="n">
        <v>17</v>
      </c>
      <c r="J7246" s="4" t="n">
        <f aca="false">LEN(E7246)-LEN(SUBSTITUTE(E7246,",",""))+1</f>
        <v>7</v>
      </c>
      <c r="K7246" s="3" t="str">
        <f aca="false">IFERROR(INDEX('Teacher Lookup'!$B$2:$B$200,MATCH(A7246,'Teacher Lookup'!$A$2:$A$200,0)),"")</f>
        <v>SUAIBU Muthu</v>
      </c>
    </row>
    <row r="7247" customFormat="false" ht="15" hidden="false" customHeight="false" outlineLevel="0" collapsed="false">
      <c r="A7247" s="3" t="s">
        <v>214</v>
      </c>
      <c r="B7247" s="4" t="s">
        <v>60</v>
      </c>
      <c r="C7247" s="4" t="n">
        <v>7</v>
      </c>
      <c r="D7247" s="4" t="s">
        <v>13</v>
      </c>
      <c r="E7247" s="3" t="s">
        <v>333</v>
      </c>
      <c r="F7247" s="4" t="str">
        <f aca="false">IF(I7247&gt;J7247,"Y","N")</f>
        <v>N</v>
      </c>
      <c r="G7247" s="3" t="s">
        <v>164</v>
      </c>
      <c r="H7247" s="3" t="s">
        <v>39</v>
      </c>
      <c r="I7247" s="4" t="n">
        <v>4</v>
      </c>
      <c r="J7247" s="4" t="n">
        <f aca="false">LEN(E7247)-LEN(SUBSTITUTE(E7247,",",""))+1</f>
        <v>4</v>
      </c>
      <c r="K7247" s="3" t="str">
        <f aca="false">IFERROR(INDEX('Teacher Lookup'!$B$2:$B$200,MATCH(A7247,'Teacher Lookup'!$A$2:$A$200,0)),"")</f>
        <v>SUAIBU Muthu</v>
      </c>
    </row>
    <row r="7248" customFormat="false" ht="15" hidden="false" customHeight="false" outlineLevel="0" collapsed="false">
      <c r="A7248" s="3" t="s">
        <v>214</v>
      </c>
      <c r="B7248" s="4" t="s">
        <v>60</v>
      </c>
      <c r="C7248" s="4" t="n">
        <v>7</v>
      </c>
      <c r="D7248" s="4" t="s">
        <v>17</v>
      </c>
      <c r="E7248" s="3" t="s">
        <v>333</v>
      </c>
      <c r="F7248" s="4" t="str">
        <f aca="false">IF(I7248&gt;J7248,"Y","N")</f>
        <v>N</v>
      </c>
      <c r="G7248" s="3" t="s">
        <v>164</v>
      </c>
      <c r="H7248" s="3" t="s">
        <v>39</v>
      </c>
      <c r="I7248" s="4" t="n">
        <v>4</v>
      </c>
      <c r="J7248" s="4" t="n">
        <f aca="false">LEN(E7248)-LEN(SUBSTITUTE(E7248,",",""))+1</f>
        <v>4</v>
      </c>
      <c r="K7248" s="3" t="str">
        <f aca="false">IFERROR(INDEX('Teacher Lookup'!$B$2:$B$200,MATCH(A7248,'Teacher Lookup'!$A$2:$A$200,0)),"")</f>
        <v>SUAIBU Muthu</v>
      </c>
    </row>
    <row r="7249" customFormat="false" ht="15" hidden="false" customHeight="false" outlineLevel="0" collapsed="false">
      <c r="A7249" s="3" t="s">
        <v>214</v>
      </c>
      <c r="B7249" s="4" t="s">
        <v>60</v>
      </c>
      <c r="C7249" s="4" t="n">
        <v>7</v>
      </c>
      <c r="D7249" s="4" t="s">
        <v>18</v>
      </c>
      <c r="E7249" s="3" t="s">
        <v>333</v>
      </c>
      <c r="F7249" s="4" t="str">
        <f aca="false">IF(I7249&gt;J7249,"Y","N")</f>
        <v>N</v>
      </c>
      <c r="G7249" s="3" t="s">
        <v>164</v>
      </c>
      <c r="H7249" s="3" t="s">
        <v>39</v>
      </c>
      <c r="I7249" s="4" t="n">
        <v>4</v>
      </c>
      <c r="J7249" s="4" t="n">
        <f aca="false">LEN(E7249)-LEN(SUBSTITUTE(E7249,",",""))+1</f>
        <v>4</v>
      </c>
      <c r="K7249" s="3" t="str">
        <f aca="false">IFERROR(INDEX('Teacher Lookup'!$B$2:$B$200,MATCH(A7249,'Teacher Lookup'!$A$2:$A$200,0)),"")</f>
        <v>SUAIBU Muthu</v>
      </c>
    </row>
    <row r="7250" customFormat="false" ht="15" hidden="false" customHeight="false" outlineLevel="0" collapsed="false">
      <c r="A7250" s="3" t="s">
        <v>214</v>
      </c>
      <c r="B7250" s="4" t="s">
        <v>63</v>
      </c>
      <c r="C7250" s="4" t="n">
        <v>5</v>
      </c>
      <c r="D7250" s="4" t="s">
        <v>13</v>
      </c>
      <c r="E7250" s="3" t="s">
        <v>323</v>
      </c>
      <c r="F7250" s="4" t="str">
        <f aca="false">IF(I7250&gt;J7250,"Y","N")</f>
        <v>N</v>
      </c>
      <c r="G7250" s="3" t="s">
        <v>164</v>
      </c>
      <c r="H7250" s="3" t="s">
        <v>37</v>
      </c>
      <c r="I7250" s="4" t="n">
        <v>4</v>
      </c>
      <c r="J7250" s="4" t="n">
        <f aca="false">LEN(E7250)-LEN(SUBSTITUTE(E7250,",",""))+1</f>
        <v>4</v>
      </c>
      <c r="K7250" s="3" t="str">
        <f aca="false">IFERROR(INDEX('Teacher Lookup'!$B$2:$B$200,MATCH(A7250,'Teacher Lookup'!$A$2:$A$200,0)),"")</f>
        <v>SUAIBU Muthu</v>
      </c>
    </row>
    <row r="7251" customFormat="false" ht="15" hidden="false" customHeight="false" outlineLevel="0" collapsed="false">
      <c r="A7251" s="3" t="s">
        <v>214</v>
      </c>
      <c r="B7251" s="4" t="s">
        <v>63</v>
      </c>
      <c r="C7251" s="4" t="n">
        <v>5</v>
      </c>
      <c r="D7251" s="4" t="s">
        <v>17</v>
      </c>
      <c r="E7251" s="3" t="s">
        <v>323</v>
      </c>
      <c r="F7251" s="4" t="str">
        <f aca="false">IF(I7251&gt;J7251,"Y","N")</f>
        <v>N</v>
      </c>
      <c r="G7251" s="3" t="s">
        <v>164</v>
      </c>
      <c r="H7251" s="3" t="s">
        <v>37</v>
      </c>
      <c r="I7251" s="4" t="n">
        <v>4</v>
      </c>
      <c r="J7251" s="4" t="n">
        <f aca="false">LEN(E7251)-LEN(SUBSTITUTE(E7251,",",""))+1</f>
        <v>4</v>
      </c>
      <c r="K7251" s="3" t="str">
        <f aca="false">IFERROR(INDEX('Teacher Lookup'!$B$2:$B$200,MATCH(A7251,'Teacher Lookup'!$A$2:$A$200,0)),"")</f>
        <v>SUAIBU Muthu</v>
      </c>
    </row>
    <row r="7252" customFormat="false" ht="15" hidden="false" customHeight="false" outlineLevel="0" collapsed="false">
      <c r="A7252" s="3" t="s">
        <v>214</v>
      </c>
      <c r="B7252" s="4" t="s">
        <v>63</v>
      </c>
      <c r="C7252" s="4" t="n">
        <v>5</v>
      </c>
      <c r="D7252" s="4" t="s">
        <v>18</v>
      </c>
      <c r="E7252" s="3" t="s">
        <v>323</v>
      </c>
      <c r="F7252" s="4" t="str">
        <f aca="false">IF(I7252&gt;J7252,"Y","N")</f>
        <v>N</v>
      </c>
      <c r="G7252" s="3" t="s">
        <v>164</v>
      </c>
      <c r="H7252" s="3" t="s">
        <v>37</v>
      </c>
      <c r="I7252" s="4" t="n">
        <v>4</v>
      </c>
      <c r="J7252" s="4" t="n">
        <f aca="false">LEN(E7252)-LEN(SUBSTITUTE(E7252,",",""))+1</f>
        <v>4</v>
      </c>
      <c r="K7252" s="3" t="str">
        <f aca="false">IFERROR(INDEX('Teacher Lookup'!$B$2:$B$200,MATCH(A7252,'Teacher Lookup'!$A$2:$A$200,0)),"")</f>
        <v>SUAIBU Muthu</v>
      </c>
    </row>
    <row r="7253" customFormat="false" ht="15" hidden="false" customHeight="false" outlineLevel="0" collapsed="false">
      <c r="A7253" s="3" t="s">
        <v>214</v>
      </c>
      <c r="B7253" s="4" t="s">
        <v>63</v>
      </c>
      <c r="C7253" s="4" t="n">
        <v>7</v>
      </c>
      <c r="D7253" s="4" t="s">
        <v>76</v>
      </c>
      <c r="E7253" s="3" t="s">
        <v>88</v>
      </c>
      <c r="F7253" s="4" t="str">
        <f aca="false">IF(I7253&gt;J7253,"Y","N")</f>
        <v>N</v>
      </c>
      <c r="G7253" s="3" t="s">
        <v>164</v>
      </c>
      <c r="H7253" s="3" t="s">
        <v>39</v>
      </c>
      <c r="I7253" s="4" t="n">
        <v>4</v>
      </c>
      <c r="J7253" s="4" t="n">
        <f aca="false">LEN(E7253)-LEN(SUBSTITUTE(E7253,",",""))+1</f>
        <v>4</v>
      </c>
      <c r="K7253" s="3" t="str">
        <f aca="false">IFERROR(INDEX('Teacher Lookup'!$B$2:$B$200,MATCH(A7253,'Teacher Lookup'!$A$2:$A$200,0)),"")</f>
        <v>SUAIBU Muthu</v>
      </c>
    </row>
    <row r="7254" customFormat="false" ht="15" hidden="false" customHeight="false" outlineLevel="0" collapsed="false">
      <c r="A7254" s="3" t="s">
        <v>214</v>
      </c>
      <c r="B7254" s="4" t="s">
        <v>63</v>
      </c>
      <c r="C7254" s="4" t="n">
        <v>7</v>
      </c>
      <c r="D7254" s="4" t="s">
        <v>78</v>
      </c>
      <c r="E7254" s="3" t="s">
        <v>88</v>
      </c>
      <c r="F7254" s="4" t="str">
        <f aca="false">IF(I7254&gt;J7254,"Y","N")</f>
        <v>N</v>
      </c>
      <c r="G7254" s="3" t="s">
        <v>164</v>
      </c>
      <c r="H7254" s="3" t="s">
        <v>39</v>
      </c>
      <c r="I7254" s="4" t="n">
        <v>4</v>
      </c>
      <c r="J7254" s="4" t="n">
        <f aca="false">LEN(E7254)-LEN(SUBSTITUTE(E7254,",",""))+1</f>
        <v>4</v>
      </c>
      <c r="K7254" s="3" t="str">
        <f aca="false">IFERROR(INDEX('Teacher Lookup'!$B$2:$B$200,MATCH(A7254,'Teacher Lookup'!$A$2:$A$200,0)),"")</f>
        <v>SUAIBU Muthu</v>
      </c>
    </row>
    <row r="7255" customFormat="false" ht="15" hidden="false" customHeight="false" outlineLevel="0" collapsed="false">
      <c r="A7255" s="3" t="s">
        <v>214</v>
      </c>
      <c r="B7255" s="4" t="s">
        <v>63</v>
      </c>
      <c r="C7255" s="4" t="n">
        <v>7</v>
      </c>
      <c r="D7255" s="4" t="s">
        <v>79</v>
      </c>
      <c r="E7255" s="3" t="s">
        <v>88</v>
      </c>
      <c r="F7255" s="4" t="str">
        <f aca="false">IF(I7255&gt;J7255,"Y","N")</f>
        <v>N</v>
      </c>
      <c r="G7255" s="3" t="s">
        <v>164</v>
      </c>
      <c r="H7255" s="3" t="s">
        <v>39</v>
      </c>
      <c r="I7255" s="4" t="n">
        <v>4</v>
      </c>
      <c r="J7255" s="4" t="n">
        <f aca="false">LEN(E7255)-LEN(SUBSTITUTE(E7255,",",""))+1</f>
        <v>4</v>
      </c>
      <c r="K7255" s="3" t="str">
        <f aca="false">IFERROR(INDEX('Teacher Lookup'!$B$2:$B$200,MATCH(A7255,'Teacher Lookup'!$A$2:$A$200,0)),"")</f>
        <v>SUAIBU Muthu</v>
      </c>
    </row>
    <row r="7256" customFormat="false" ht="15" hidden="false" customHeight="false" outlineLevel="0" collapsed="false">
      <c r="A7256" s="3" t="s">
        <v>214</v>
      </c>
      <c r="B7256" s="4" t="s">
        <v>65</v>
      </c>
      <c r="C7256" s="4" t="n">
        <v>1</v>
      </c>
      <c r="D7256" s="4" t="s">
        <v>13</v>
      </c>
      <c r="E7256" s="3" t="s">
        <v>14</v>
      </c>
      <c r="F7256" s="4" t="str">
        <f aca="false">IF(I7256&gt;J7256,"Y","N")</f>
        <v>N</v>
      </c>
      <c r="G7256" s="3" t="s">
        <v>164</v>
      </c>
      <c r="H7256" s="3" t="s">
        <v>16</v>
      </c>
      <c r="I7256" s="4" t="n">
        <v>4</v>
      </c>
      <c r="J7256" s="4" t="n">
        <f aca="false">LEN(E7256)-LEN(SUBSTITUTE(E7256,",",""))+1</f>
        <v>4</v>
      </c>
      <c r="K7256" s="3" t="str">
        <f aca="false">IFERROR(INDEX('Teacher Lookup'!$B$2:$B$200,MATCH(A7256,'Teacher Lookup'!$A$2:$A$200,0)),"")</f>
        <v>SUAIBU Muthu</v>
      </c>
    </row>
    <row r="7257" customFormat="false" ht="15" hidden="false" customHeight="false" outlineLevel="0" collapsed="false">
      <c r="A7257" s="3" t="s">
        <v>214</v>
      </c>
      <c r="B7257" s="4" t="s">
        <v>65</v>
      </c>
      <c r="C7257" s="4" t="n">
        <v>1</v>
      </c>
      <c r="D7257" s="4" t="s">
        <v>17</v>
      </c>
      <c r="E7257" s="3" t="s">
        <v>14</v>
      </c>
      <c r="F7257" s="4" t="str">
        <f aca="false">IF(I7257&gt;J7257,"Y","N")</f>
        <v>N</v>
      </c>
      <c r="G7257" s="3" t="s">
        <v>164</v>
      </c>
      <c r="H7257" s="3" t="s">
        <v>16</v>
      </c>
      <c r="I7257" s="4" t="n">
        <v>4</v>
      </c>
      <c r="J7257" s="4" t="n">
        <f aca="false">LEN(E7257)-LEN(SUBSTITUTE(E7257,",",""))+1</f>
        <v>4</v>
      </c>
      <c r="K7257" s="3" t="str">
        <f aca="false">IFERROR(INDEX('Teacher Lookup'!$B$2:$B$200,MATCH(A7257,'Teacher Lookup'!$A$2:$A$200,0)),"")</f>
        <v>SUAIBU Muthu</v>
      </c>
    </row>
    <row r="7258" customFormat="false" ht="15" hidden="false" customHeight="false" outlineLevel="0" collapsed="false">
      <c r="A7258" s="3" t="s">
        <v>214</v>
      </c>
      <c r="B7258" s="4" t="s">
        <v>65</v>
      </c>
      <c r="C7258" s="4" t="n">
        <v>1</v>
      </c>
      <c r="D7258" s="4" t="s">
        <v>18</v>
      </c>
      <c r="E7258" s="3" t="s">
        <v>14</v>
      </c>
      <c r="F7258" s="4" t="str">
        <f aca="false">IF(I7258&gt;J7258,"Y","N")</f>
        <v>N</v>
      </c>
      <c r="G7258" s="3" t="s">
        <v>164</v>
      </c>
      <c r="H7258" s="3" t="s">
        <v>16</v>
      </c>
      <c r="I7258" s="4" t="n">
        <v>4</v>
      </c>
      <c r="J7258" s="4" t="n">
        <f aca="false">LEN(E7258)-LEN(SUBSTITUTE(E7258,",",""))+1</f>
        <v>4</v>
      </c>
      <c r="K7258" s="3" t="str">
        <f aca="false">IFERROR(INDEX('Teacher Lookup'!$B$2:$B$200,MATCH(A7258,'Teacher Lookup'!$A$2:$A$200,0)),"")</f>
        <v>SUAIBU Muthu</v>
      </c>
    </row>
    <row r="7259" customFormat="false" ht="15" hidden="false" customHeight="false" outlineLevel="0" collapsed="false">
      <c r="A7259" s="3" t="s">
        <v>214</v>
      </c>
      <c r="B7259" s="4" t="s">
        <v>65</v>
      </c>
      <c r="C7259" s="4" t="n">
        <v>3</v>
      </c>
      <c r="D7259" s="4" t="s">
        <v>76</v>
      </c>
      <c r="E7259" s="3" t="s">
        <v>181</v>
      </c>
      <c r="F7259" s="4" t="str">
        <f aca="false">IF(I7259&gt;J7259,"Y","N")</f>
        <v>N</v>
      </c>
      <c r="G7259" s="3" t="s">
        <v>164</v>
      </c>
      <c r="H7259" s="3" t="s">
        <v>26</v>
      </c>
      <c r="I7259" s="4" t="n">
        <v>4</v>
      </c>
      <c r="J7259" s="4" t="n">
        <f aca="false">LEN(E7259)-LEN(SUBSTITUTE(E7259,",",""))+1</f>
        <v>4</v>
      </c>
      <c r="K7259" s="3" t="str">
        <f aca="false">IFERROR(INDEX('Teacher Lookup'!$B$2:$B$200,MATCH(A7259,'Teacher Lookup'!$A$2:$A$200,0)),"")</f>
        <v>SUAIBU Muthu</v>
      </c>
    </row>
    <row r="7260" customFormat="false" ht="15" hidden="false" customHeight="false" outlineLevel="0" collapsed="false">
      <c r="A7260" s="3" t="s">
        <v>214</v>
      </c>
      <c r="B7260" s="4" t="s">
        <v>65</v>
      </c>
      <c r="C7260" s="4" t="n">
        <v>3</v>
      </c>
      <c r="D7260" s="4" t="s">
        <v>78</v>
      </c>
      <c r="E7260" s="3" t="s">
        <v>181</v>
      </c>
      <c r="F7260" s="4" t="str">
        <f aca="false">IF(I7260&gt;J7260,"Y","N")</f>
        <v>N</v>
      </c>
      <c r="G7260" s="3" t="s">
        <v>164</v>
      </c>
      <c r="H7260" s="3" t="s">
        <v>26</v>
      </c>
      <c r="I7260" s="4" t="n">
        <v>4</v>
      </c>
      <c r="J7260" s="4" t="n">
        <f aca="false">LEN(E7260)-LEN(SUBSTITUTE(E7260,",",""))+1</f>
        <v>4</v>
      </c>
      <c r="K7260" s="3" t="str">
        <f aca="false">IFERROR(INDEX('Teacher Lookup'!$B$2:$B$200,MATCH(A7260,'Teacher Lookup'!$A$2:$A$200,0)),"")</f>
        <v>SUAIBU Muthu</v>
      </c>
    </row>
    <row r="7261" customFormat="false" ht="15" hidden="false" customHeight="false" outlineLevel="0" collapsed="false">
      <c r="A7261" s="3" t="s">
        <v>214</v>
      </c>
      <c r="B7261" s="4" t="s">
        <v>65</v>
      </c>
      <c r="C7261" s="4" t="n">
        <v>3</v>
      </c>
      <c r="D7261" s="4" t="s">
        <v>79</v>
      </c>
      <c r="E7261" s="3" t="s">
        <v>181</v>
      </c>
      <c r="F7261" s="4" t="str">
        <f aca="false">IF(I7261&gt;J7261,"Y","N")</f>
        <v>N</v>
      </c>
      <c r="G7261" s="3" t="s">
        <v>164</v>
      </c>
      <c r="H7261" s="3" t="s">
        <v>26</v>
      </c>
      <c r="I7261" s="4" t="n">
        <v>4</v>
      </c>
      <c r="J7261" s="4" t="n">
        <f aca="false">LEN(E7261)-LEN(SUBSTITUTE(E7261,",",""))+1</f>
        <v>4</v>
      </c>
      <c r="K7261" s="3" t="str">
        <f aca="false">IFERROR(INDEX('Teacher Lookup'!$B$2:$B$200,MATCH(A7261,'Teacher Lookup'!$A$2:$A$200,0)),"")</f>
        <v>SUAIBU Muthu</v>
      </c>
    </row>
    <row r="7262" customFormat="false" ht="15" hidden="false" customHeight="false" outlineLevel="0" collapsed="false">
      <c r="A7262" s="3" t="s">
        <v>214</v>
      </c>
      <c r="B7262" s="4" t="s">
        <v>65</v>
      </c>
      <c r="C7262" s="4" t="n">
        <v>4</v>
      </c>
      <c r="D7262" s="4" t="s">
        <v>19</v>
      </c>
      <c r="E7262" s="3" t="s">
        <v>322</v>
      </c>
      <c r="F7262" s="4" t="str">
        <f aca="false">IF(I7262&gt;J7262,"Y","N")</f>
        <v>N</v>
      </c>
      <c r="G7262" s="3" t="s">
        <v>164</v>
      </c>
      <c r="H7262" s="3" t="s">
        <v>34</v>
      </c>
      <c r="I7262" s="4" t="n">
        <v>4</v>
      </c>
      <c r="J7262" s="4" t="n">
        <f aca="false">LEN(E7262)-LEN(SUBSTITUTE(E7262,",",""))+1</f>
        <v>4</v>
      </c>
      <c r="K7262" s="3" t="str">
        <f aca="false">IFERROR(INDEX('Teacher Lookup'!$B$2:$B$200,MATCH(A7262,'Teacher Lookup'!$A$2:$A$200,0)),"")</f>
        <v>SUAIBU Muthu</v>
      </c>
    </row>
    <row r="7263" customFormat="false" ht="15" hidden="false" customHeight="false" outlineLevel="0" collapsed="false">
      <c r="A7263" s="3" t="s">
        <v>214</v>
      </c>
      <c r="B7263" s="4" t="s">
        <v>65</v>
      </c>
      <c r="C7263" s="4" t="n">
        <v>4</v>
      </c>
      <c r="D7263" s="4" t="s">
        <v>22</v>
      </c>
      <c r="E7263" s="3" t="s">
        <v>322</v>
      </c>
      <c r="F7263" s="4" t="str">
        <f aca="false">IF(I7263&gt;J7263,"Y","N")</f>
        <v>N</v>
      </c>
      <c r="G7263" s="3" t="s">
        <v>164</v>
      </c>
      <c r="H7263" s="3" t="s">
        <v>34</v>
      </c>
      <c r="I7263" s="4" t="n">
        <v>4</v>
      </c>
      <c r="J7263" s="4" t="n">
        <f aca="false">LEN(E7263)-LEN(SUBSTITUTE(E7263,",",""))+1</f>
        <v>4</v>
      </c>
      <c r="K7263" s="3" t="str">
        <f aca="false">IFERROR(INDEX('Teacher Lookup'!$B$2:$B$200,MATCH(A7263,'Teacher Lookup'!$A$2:$A$200,0)),"")</f>
        <v>SUAIBU Muthu</v>
      </c>
    </row>
    <row r="7264" customFormat="false" ht="15" hidden="false" customHeight="false" outlineLevel="0" collapsed="false">
      <c r="A7264" s="3" t="s">
        <v>214</v>
      </c>
      <c r="B7264" s="4" t="s">
        <v>65</v>
      </c>
      <c r="C7264" s="4" t="n">
        <v>4</v>
      </c>
      <c r="D7264" s="4" t="s">
        <v>23</v>
      </c>
      <c r="E7264" s="3" t="s">
        <v>322</v>
      </c>
      <c r="F7264" s="4" t="str">
        <f aca="false">IF(I7264&gt;J7264,"Y","N")</f>
        <v>N</v>
      </c>
      <c r="G7264" s="3" t="s">
        <v>164</v>
      </c>
      <c r="H7264" s="3" t="s">
        <v>34</v>
      </c>
      <c r="I7264" s="4" t="n">
        <v>4</v>
      </c>
      <c r="J7264" s="4" t="n">
        <f aca="false">LEN(E7264)-LEN(SUBSTITUTE(E7264,",",""))+1</f>
        <v>4</v>
      </c>
      <c r="K7264" s="3" t="str">
        <f aca="false">IFERROR(INDEX('Teacher Lookup'!$B$2:$B$200,MATCH(A7264,'Teacher Lookup'!$A$2:$A$200,0)),"")</f>
        <v>SUAIBU Muthu</v>
      </c>
    </row>
    <row r="7265" customFormat="false" ht="15" hidden="false" customHeight="false" outlineLevel="0" collapsed="false">
      <c r="A7265" s="3" t="s">
        <v>214</v>
      </c>
      <c r="B7265" s="4" t="s">
        <v>65</v>
      </c>
      <c r="C7265" s="4" t="n">
        <v>5</v>
      </c>
      <c r="D7265" s="4" t="s">
        <v>19</v>
      </c>
      <c r="E7265" s="3" t="s">
        <v>35</v>
      </c>
      <c r="F7265" s="4" t="str">
        <f aca="false">IF(I7265&gt;J7265,"Y","N")</f>
        <v>Y</v>
      </c>
      <c r="G7265" s="3" t="s">
        <v>36</v>
      </c>
      <c r="H7265" s="3" t="s">
        <v>37</v>
      </c>
      <c r="I7265" s="4" t="n">
        <v>17</v>
      </c>
      <c r="J7265" s="4" t="n">
        <f aca="false">LEN(E7265)-LEN(SUBSTITUTE(E7265,",",""))+1</f>
        <v>7</v>
      </c>
      <c r="K7265" s="3" t="str">
        <f aca="false">IFERROR(INDEX('Teacher Lookup'!$B$2:$B$200,MATCH(A7265,'Teacher Lookup'!$A$2:$A$200,0)),"")</f>
        <v>SUAIBU Muthu</v>
      </c>
    </row>
    <row r="7266" customFormat="false" ht="15" hidden="false" customHeight="false" outlineLevel="0" collapsed="false">
      <c r="A7266" s="3" t="s">
        <v>214</v>
      </c>
      <c r="B7266" s="4" t="s">
        <v>65</v>
      </c>
      <c r="C7266" s="4" t="n">
        <v>5</v>
      </c>
      <c r="D7266" s="4" t="s">
        <v>22</v>
      </c>
      <c r="E7266" s="3" t="s">
        <v>35</v>
      </c>
      <c r="F7266" s="4" t="str">
        <f aca="false">IF(I7266&gt;J7266,"Y","N")</f>
        <v>Y</v>
      </c>
      <c r="G7266" s="3" t="s">
        <v>36</v>
      </c>
      <c r="H7266" s="3" t="s">
        <v>37</v>
      </c>
      <c r="I7266" s="4" t="n">
        <v>17</v>
      </c>
      <c r="J7266" s="4" t="n">
        <f aca="false">LEN(E7266)-LEN(SUBSTITUTE(E7266,",",""))+1</f>
        <v>7</v>
      </c>
      <c r="K7266" s="3" t="str">
        <f aca="false">IFERROR(INDEX('Teacher Lookup'!$B$2:$B$200,MATCH(A7266,'Teacher Lookup'!$A$2:$A$200,0)),"")</f>
        <v>SUAIBU Muthu</v>
      </c>
    </row>
    <row r="7267" customFormat="false" ht="15" hidden="false" customHeight="false" outlineLevel="0" collapsed="false">
      <c r="A7267" s="3" t="s">
        <v>214</v>
      </c>
      <c r="B7267" s="4" t="s">
        <v>65</v>
      </c>
      <c r="C7267" s="4" t="n">
        <v>5</v>
      </c>
      <c r="D7267" s="4" t="s">
        <v>23</v>
      </c>
      <c r="E7267" s="3" t="s">
        <v>35</v>
      </c>
      <c r="F7267" s="4" t="str">
        <f aca="false">IF(I7267&gt;J7267,"Y","N")</f>
        <v>Y</v>
      </c>
      <c r="G7267" s="3" t="s">
        <v>36</v>
      </c>
      <c r="H7267" s="3" t="s">
        <v>37</v>
      </c>
      <c r="I7267" s="4" t="n">
        <v>17</v>
      </c>
      <c r="J7267" s="4" t="n">
        <f aca="false">LEN(E7267)-LEN(SUBSTITUTE(E7267,",",""))+1</f>
        <v>7</v>
      </c>
      <c r="K7267" s="3" t="str">
        <f aca="false">IFERROR(INDEX('Teacher Lookup'!$B$2:$B$200,MATCH(A7267,'Teacher Lookup'!$A$2:$A$200,0)),"")</f>
        <v>SUAIBU Muthu</v>
      </c>
    </row>
    <row r="7268" customFormat="false" ht="15" hidden="false" customHeight="false" outlineLevel="0" collapsed="false">
      <c r="A7268" s="3" t="s">
        <v>214</v>
      </c>
      <c r="B7268" s="4" t="s">
        <v>65</v>
      </c>
      <c r="C7268" s="4" t="n">
        <v>5</v>
      </c>
      <c r="D7268" s="4" t="s">
        <v>13</v>
      </c>
      <c r="E7268" s="3" t="s">
        <v>35</v>
      </c>
      <c r="F7268" s="4" t="str">
        <f aca="false">IF(I7268&gt;J7268,"Y","N")</f>
        <v>Y</v>
      </c>
      <c r="G7268" s="3" t="s">
        <v>36</v>
      </c>
      <c r="H7268" s="3" t="s">
        <v>37</v>
      </c>
      <c r="I7268" s="4" t="n">
        <v>17</v>
      </c>
      <c r="J7268" s="4" t="n">
        <f aca="false">LEN(E7268)-LEN(SUBSTITUTE(E7268,",",""))+1</f>
        <v>7</v>
      </c>
      <c r="K7268" s="3" t="str">
        <f aca="false">IFERROR(INDEX('Teacher Lookup'!$B$2:$B$200,MATCH(A7268,'Teacher Lookup'!$A$2:$A$200,0)),"")</f>
        <v>SUAIBU Muthu</v>
      </c>
    </row>
    <row r="7269" customFormat="false" ht="15" hidden="false" customHeight="false" outlineLevel="0" collapsed="false">
      <c r="A7269" s="3" t="s">
        <v>214</v>
      </c>
      <c r="B7269" s="4" t="s">
        <v>65</v>
      </c>
      <c r="C7269" s="4" t="n">
        <v>5</v>
      </c>
      <c r="D7269" s="4" t="s">
        <v>17</v>
      </c>
      <c r="E7269" s="3" t="s">
        <v>35</v>
      </c>
      <c r="F7269" s="4" t="str">
        <f aca="false">IF(I7269&gt;J7269,"Y","N")</f>
        <v>Y</v>
      </c>
      <c r="G7269" s="3" t="s">
        <v>36</v>
      </c>
      <c r="H7269" s="3" t="s">
        <v>37</v>
      </c>
      <c r="I7269" s="4" t="n">
        <v>17</v>
      </c>
      <c r="J7269" s="4" t="n">
        <f aca="false">LEN(E7269)-LEN(SUBSTITUTE(E7269,",",""))+1</f>
        <v>7</v>
      </c>
      <c r="K7269" s="3" t="str">
        <f aca="false">IFERROR(INDEX('Teacher Lookup'!$B$2:$B$200,MATCH(A7269,'Teacher Lookup'!$A$2:$A$200,0)),"")</f>
        <v>SUAIBU Muthu</v>
      </c>
    </row>
    <row r="7270" customFormat="false" ht="15" hidden="false" customHeight="false" outlineLevel="0" collapsed="false">
      <c r="A7270" s="3" t="s">
        <v>214</v>
      </c>
      <c r="B7270" s="4" t="s">
        <v>65</v>
      </c>
      <c r="C7270" s="4" t="n">
        <v>5</v>
      </c>
      <c r="D7270" s="4" t="s">
        <v>18</v>
      </c>
      <c r="E7270" s="3" t="s">
        <v>35</v>
      </c>
      <c r="F7270" s="4" t="str">
        <f aca="false">IF(I7270&gt;J7270,"Y","N")</f>
        <v>Y</v>
      </c>
      <c r="G7270" s="3" t="s">
        <v>36</v>
      </c>
      <c r="H7270" s="3" t="s">
        <v>37</v>
      </c>
      <c r="I7270" s="4" t="n">
        <v>17</v>
      </c>
      <c r="J7270" s="4" t="n">
        <f aca="false">LEN(E7270)-LEN(SUBSTITUTE(E7270,",",""))+1</f>
        <v>7</v>
      </c>
      <c r="K7270" s="3" t="str">
        <f aca="false">IFERROR(INDEX('Teacher Lookup'!$B$2:$B$200,MATCH(A7270,'Teacher Lookup'!$A$2:$A$200,0)),"")</f>
        <v>SUAIBU Muthu</v>
      </c>
    </row>
    <row r="7271" customFormat="false" ht="15" hidden="false" customHeight="false" outlineLevel="0" collapsed="false">
      <c r="A7271" s="3" t="s">
        <v>214</v>
      </c>
      <c r="B7271" s="4" t="s">
        <v>66</v>
      </c>
      <c r="C7271" s="4" t="n">
        <v>4</v>
      </c>
      <c r="D7271" s="4" t="s">
        <v>76</v>
      </c>
      <c r="E7271" s="3" t="s">
        <v>182</v>
      </c>
      <c r="F7271" s="4" t="str">
        <f aca="false">IF(I7271&gt;J7271,"Y","N")</f>
        <v>N</v>
      </c>
      <c r="G7271" s="3" t="s">
        <v>164</v>
      </c>
      <c r="H7271" s="3" t="s">
        <v>34</v>
      </c>
      <c r="I7271" s="4" t="n">
        <v>4</v>
      </c>
      <c r="J7271" s="4" t="n">
        <f aca="false">LEN(E7271)-LEN(SUBSTITUTE(E7271,",",""))+1</f>
        <v>4</v>
      </c>
      <c r="K7271" s="3" t="str">
        <f aca="false">IFERROR(INDEX('Teacher Lookup'!$B$2:$B$200,MATCH(A7271,'Teacher Lookup'!$A$2:$A$200,0)),"")</f>
        <v>SUAIBU Muthu</v>
      </c>
    </row>
    <row r="7272" customFormat="false" ht="15" hidden="false" customHeight="false" outlineLevel="0" collapsed="false">
      <c r="A7272" s="3" t="s">
        <v>214</v>
      </c>
      <c r="B7272" s="4" t="s">
        <v>66</v>
      </c>
      <c r="C7272" s="4" t="n">
        <v>4</v>
      </c>
      <c r="D7272" s="4" t="s">
        <v>78</v>
      </c>
      <c r="E7272" s="3" t="s">
        <v>182</v>
      </c>
      <c r="F7272" s="4" t="str">
        <f aca="false">IF(I7272&gt;J7272,"Y","N")</f>
        <v>N</v>
      </c>
      <c r="G7272" s="3" t="s">
        <v>164</v>
      </c>
      <c r="H7272" s="3" t="s">
        <v>34</v>
      </c>
      <c r="I7272" s="4" t="n">
        <v>4</v>
      </c>
      <c r="J7272" s="4" t="n">
        <f aca="false">LEN(E7272)-LEN(SUBSTITUTE(E7272,",",""))+1</f>
        <v>4</v>
      </c>
      <c r="K7272" s="3" t="str">
        <f aca="false">IFERROR(INDEX('Teacher Lookup'!$B$2:$B$200,MATCH(A7272,'Teacher Lookup'!$A$2:$A$200,0)),"")</f>
        <v>SUAIBU Muthu</v>
      </c>
    </row>
    <row r="7273" customFormat="false" ht="15" hidden="false" customHeight="false" outlineLevel="0" collapsed="false">
      <c r="A7273" s="3" t="s">
        <v>214</v>
      </c>
      <c r="B7273" s="4" t="s">
        <v>66</v>
      </c>
      <c r="C7273" s="4" t="n">
        <v>4</v>
      </c>
      <c r="D7273" s="4" t="s">
        <v>79</v>
      </c>
      <c r="E7273" s="3" t="s">
        <v>182</v>
      </c>
      <c r="F7273" s="4" t="str">
        <f aca="false">IF(I7273&gt;J7273,"Y","N")</f>
        <v>N</v>
      </c>
      <c r="G7273" s="3" t="s">
        <v>164</v>
      </c>
      <c r="H7273" s="3" t="s">
        <v>34</v>
      </c>
      <c r="I7273" s="4" t="n">
        <v>4</v>
      </c>
      <c r="J7273" s="4" t="n">
        <f aca="false">LEN(E7273)-LEN(SUBSTITUTE(E7273,",",""))+1</f>
        <v>4</v>
      </c>
      <c r="K7273" s="3" t="str">
        <f aca="false">IFERROR(INDEX('Teacher Lookup'!$B$2:$B$200,MATCH(A7273,'Teacher Lookup'!$A$2:$A$200,0)),"")</f>
        <v>SUAIBU Muthu</v>
      </c>
    </row>
    <row r="7274" customFormat="false" ht="15" hidden="false" customHeight="false" outlineLevel="0" collapsed="false">
      <c r="A7274" s="3" t="s">
        <v>214</v>
      </c>
      <c r="B7274" s="4" t="s">
        <v>66</v>
      </c>
      <c r="C7274" s="4" t="n">
        <v>5</v>
      </c>
      <c r="D7274" s="4" t="s">
        <v>76</v>
      </c>
      <c r="E7274" s="3" t="s">
        <v>182</v>
      </c>
      <c r="F7274" s="4" t="str">
        <f aca="false">IF(I7274&gt;J7274,"Y","N")</f>
        <v>N</v>
      </c>
      <c r="G7274" s="3" t="s">
        <v>164</v>
      </c>
      <c r="H7274" s="3" t="s">
        <v>37</v>
      </c>
      <c r="I7274" s="4" t="n">
        <v>4</v>
      </c>
      <c r="J7274" s="4" t="n">
        <f aca="false">LEN(E7274)-LEN(SUBSTITUTE(E7274,",",""))+1</f>
        <v>4</v>
      </c>
      <c r="K7274" s="3" t="str">
        <f aca="false">IFERROR(INDEX('Teacher Lookup'!$B$2:$B$200,MATCH(A7274,'Teacher Lookup'!$A$2:$A$200,0)),"")</f>
        <v>SUAIBU Muthu</v>
      </c>
    </row>
    <row r="7275" customFormat="false" ht="15" hidden="false" customHeight="false" outlineLevel="0" collapsed="false">
      <c r="A7275" s="3" t="s">
        <v>214</v>
      </c>
      <c r="B7275" s="4" t="s">
        <v>66</v>
      </c>
      <c r="C7275" s="4" t="n">
        <v>5</v>
      </c>
      <c r="D7275" s="4" t="s">
        <v>78</v>
      </c>
      <c r="E7275" s="3" t="s">
        <v>182</v>
      </c>
      <c r="F7275" s="4" t="str">
        <f aca="false">IF(I7275&gt;J7275,"Y","N")</f>
        <v>N</v>
      </c>
      <c r="G7275" s="3" t="s">
        <v>164</v>
      </c>
      <c r="H7275" s="3" t="s">
        <v>37</v>
      </c>
      <c r="I7275" s="4" t="n">
        <v>4</v>
      </c>
      <c r="J7275" s="4" t="n">
        <f aca="false">LEN(E7275)-LEN(SUBSTITUTE(E7275,",",""))+1</f>
        <v>4</v>
      </c>
      <c r="K7275" s="3" t="str">
        <f aca="false">IFERROR(INDEX('Teacher Lookup'!$B$2:$B$200,MATCH(A7275,'Teacher Lookup'!$A$2:$A$200,0)),"")</f>
        <v>SUAIBU Muthu</v>
      </c>
    </row>
    <row r="7276" customFormat="false" ht="15" hidden="false" customHeight="false" outlineLevel="0" collapsed="false">
      <c r="A7276" s="3" t="s">
        <v>214</v>
      </c>
      <c r="B7276" s="4" t="s">
        <v>66</v>
      </c>
      <c r="C7276" s="4" t="n">
        <v>5</v>
      </c>
      <c r="D7276" s="4" t="s">
        <v>79</v>
      </c>
      <c r="E7276" s="3" t="s">
        <v>182</v>
      </c>
      <c r="F7276" s="4" t="str">
        <f aca="false">IF(I7276&gt;J7276,"Y","N")</f>
        <v>N</v>
      </c>
      <c r="G7276" s="3" t="s">
        <v>164</v>
      </c>
      <c r="H7276" s="3" t="s">
        <v>37</v>
      </c>
      <c r="I7276" s="4" t="n">
        <v>4</v>
      </c>
      <c r="J7276" s="4" t="n">
        <f aca="false">LEN(E7276)-LEN(SUBSTITUTE(E7276,",",""))+1</f>
        <v>4</v>
      </c>
      <c r="K7276" s="3" t="str">
        <f aca="false">IFERROR(INDEX('Teacher Lookup'!$B$2:$B$200,MATCH(A7276,'Teacher Lookup'!$A$2:$A$200,0)),"")</f>
        <v>SUAIBU Muthu</v>
      </c>
    </row>
    <row r="7277" customFormat="false" ht="15" hidden="false" customHeight="false" outlineLevel="0" collapsed="false">
      <c r="A7277" s="3" t="s">
        <v>214</v>
      </c>
      <c r="B7277" s="4" t="s">
        <v>66</v>
      </c>
      <c r="C7277" s="4" t="n">
        <v>6</v>
      </c>
      <c r="D7277" s="4" t="s">
        <v>13</v>
      </c>
      <c r="E7277" s="3" t="s">
        <v>360</v>
      </c>
      <c r="F7277" s="4" t="str">
        <f aca="false">IF(I7277&gt;J7277,"Y","N")</f>
        <v>N</v>
      </c>
      <c r="G7277" s="3" t="s">
        <v>164</v>
      </c>
      <c r="H7277" s="3" t="s">
        <v>42</v>
      </c>
      <c r="I7277" s="4" t="n">
        <v>4</v>
      </c>
      <c r="J7277" s="4" t="n">
        <f aca="false">LEN(E7277)-LEN(SUBSTITUTE(E7277,",",""))+1</f>
        <v>4</v>
      </c>
      <c r="K7277" s="3" t="str">
        <f aca="false">IFERROR(INDEX('Teacher Lookup'!$B$2:$B$200,MATCH(A7277,'Teacher Lookup'!$A$2:$A$200,0)),"")</f>
        <v>SUAIBU Muthu</v>
      </c>
    </row>
    <row r="7278" customFormat="false" ht="15" hidden="false" customHeight="false" outlineLevel="0" collapsed="false">
      <c r="A7278" s="3" t="s">
        <v>214</v>
      </c>
      <c r="B7278" s="4" t="s">
        <v>66</v>
      </c>
      <c r="C7278" s="4" t="n">
        <v>6</v>
      </c>
      <c r="D7278" s="4" t="s">
        <v>17</v>
      </c>
      <c r="E7278" s="3" t="s">
        <v>360</v>
      </c>
      <c r="F7278" s="4" t="str">
        <f aca="false">IF(I7278&gt;J7278,"Y","N")</f>
        <v>N</v>
      </c>
      <c r="G7278" s="3" t="s">
        <v>164</v>
      </c>
      <c r="H7278" s="3" t="s">
        <v>42</v>
      </c>
      <c r="I7278" s="4" t="n">
        <v>4</v>
      </c>
      <c r="J7278" s="4" t="n">
        <f aca="false">LEN(E7278)-LEN(SUBSTITUTE(E7278,",",""))+1</f>
        <v>4</v>
      </c>
      <c r="K7278" s="3" t="str">
        <f aca="false">IFERROR(INDEX('Teacher Lookup'!$B$2:$B$200,MATCH(A7278,'Teacher Lookup'!$A$2:$A$200,0)),"")</f>
        <v>SUAIBU Muthu</v>
      </c>
    </row>
    <row r="7279" customFormat="false" ht="15" hidden="false" customHeight="false" outlineLevel="0" collapsed="false">
      <c r="A7279" s="3" t="s">
        <v>214</v>
      </c>
      <c r="B7279" s="4" t="s">
        <v>66</v>
      </c>
      <c r="C7279" s="4" t="n">
        <v>6</v>
      </c>
      <c r="D7279" s="4" t="s">
        <v>18</v>
      </c>
      <c r="E7279" s="3" t="s">
        <v>360</v>
      </c>
      <c r="F7279" s="4" t="str">
        <f aca="false">IF(I7279&gt;J7279,"Y","N")</f>
        <v>N</v>
      </c>
      <c r="G7279" s="3" t="s">
        <v>164</v>
      </c>
      <c r="H7279" s="3" t="s">
        <v>42</v>
      </c>
      <c r="I7279" s="4" t="n">
        <v>4</v>
      </c>
      <c r="J7279" s="4" t="n">
        <f aca="false">LEN(E7279)-LEN(SUBSTITUTE(E7279,",",""))+1</f>
        <v>4</v>
      </c>
      <c r="K7279" s="3" t="str">
        <f aca="false">IFERROR(INDEX('Teacher Lookup'!$B$2:$B$200,MATCH(A7279,'Teacher Lookup'!$A$2:$A$200,0)),"")</f>
        <v>SUAIBU Muthu</v>
      </c>
    </row>
    <row r="7280" customFormat="false" ht="15" hidden="false" customHeight="false" outlineLevel="0" collapsed="false">
      <c r="A7280" s="3" t="s">
        <v>214</v>
      </c>
      <c r="B7280" s="4" t="s">
        <v>66</v>
      </c>
      <c r="C7280" s="4" t="n">
        <v>7</v>
      </c>
      <c r="D7280" s="4" t="s">
        <v>19</v>
      </c>
      <c r="E7280" s="3" t="s">
        <v>329</v>
      </c>
      <c r="F7280" s="4" t="str">
        <f aca="false">IF(I7280&gt;J7280,"Y","N")</f>
        <v>N</v>
      </c>
      <c r="G7280" s="3" t="s">
        <v>164</v>
      </c>
      <c r="H7280" s="3" t="s">
        <v>39</v>
      </c>
      <c r="I7280" s="4" t="n">
        <v>4</v>
      </c>
      <c r="J7280" s="4" t="n">
        <f aca="false">LEN(E7280)-LEN(SUBSTITUTE(E7280,",",""))+1</f>
        <v>4</v>
      </c>
      <c r="K7280" s="3" t="str">
        <f aca="false">IFERROR(INDEX('Teacher Lookup'!$B$2:$B$200,MATCH(A7280,'Teacher Lookup'!$A$2:$A$200,0)),"")</f>
        <v>SUAIBU Muthu</v>
      </c>
    </row>
    <row r="7281" customFormat="false" ht="15" hidden="false" customHeight="false" outlineLevel="0" collapsed="false">
      <c r="A7281" s="3" t="s">
        <v>214</v>
      </c>
      <c r="B7281" s="4" t="s">
        <v>66</v>
      </c>
      <c r="C7281" s="4" t="n">
        <v>7</v>
      </c>
      <c r="D7281" s="4" t="s">
        <v>22</v>
      </c>
      <c r="E7281" s="3" t="s">
        <v>329</v>
      </c>
      <c r="F7281" s="4" t="str">
        <f aca="false">IF(I7281&gt;J7281,"Y","N")</f>
        <v>N</v>
      </c>
      <c r="G7281" s="3" t="s">
        <v>164</v>
      </c>
      <c r="H7281" s="3" t="s">
        <v>39</v>
      </c>
      <c r="I7281" s="4" t="n">
        <v>4</v>
      </c>
      <c r="J7281" s="4" t="n">
        <f aca="false">LEN(E7281)-LEN(SUBSTITUTE(E7281,",",""))+1</f>
        <v>4</v>
      </c>
      <c r="K7281" s="3" t="str">
        <f aca="false">IFERROR(INDEX('Teacher Lookup'!$B$2:$B$200,MATCH(A7281,'Teacher Lookup'!$A$2:$A$200,0)),"")</f>
        <v>SUAIBU Muthu</v>
      </c>
    </row>
    <row r="7282" customFormat="false" ht="15" hidden="false" customHeight="false" outlineLevel="0" collapsed="false">
      <c r="A7282" s="3" t="s">
        <v>214</v>
      </c>
      <c r="B7282" s="4" t="s">
        <v>66</v>
      </c>
      <c r="C7282" s="4" t="n">
        <v>7</v>
      </c>
      <c r="D7282" s="4" t="s">
        <v>23</v>
      </c>
      <c r="E7282" s="3" t="s">
        <v>329</v>
      </c>
      <c r="F7282" s="4" t="str">
        <f aca="false">IF(I7282&gt;J7282,"Y","N")</f>
        <v>N</v>
      </c>
      <c r="G7282" s="3" t="s">
        <v>164</v>
      </c>
      <c r="H7282" s="3" t="s">
        <v>39</v>
      </c>
      <c r="I7282" s="4" t="n">
        <v>4</v>
      </c>
      <c r="J7282" s="4" t="n">
        <f aca="false">LEN(E7282)-LEN(SUBSTITUTE(E7282,",",""))+1</f>
        <v>4</v>
      </c>
      <c r="K7282" s="3" t="str">
        <f aca="false">IFERROR(INDEX('Teacher Lookup'!$B$2:$B$200,MATCH(A7282,'Teacher Lookup'!$A$2:$A$200,0)),"")</f>
        <v>SUAIBU Muthu</v>
      </c>
    </row>
    <row r="7283" customFormat="false" ht="15" hidden="false" customHeight="false" outlineLevel="0" collapsed="false">
      <c r="A7283" s="3" t="s">
        <v>481</v>
      </c>
      <c r="B7283" s="4" t="s">
        <v>12</v>
      </c>
      <c r="C7283" s="4" t="n">
        <v>1</v>
      </c>
      <c r="D7283" s="4" t="s">
        <v>74</v>
      </c>
      <c r="E7283" s="3" t="s">
        <v>316</v>
      </c>
      <c r="F7283" s="4" t="str">
        <f aca="false">IF(I7283&gt;J7283,"Y","N")</f>
        <v>N</v>
      </c>
      <c r="G7283" s="3" t="s">
        <v>437</v>
      </c>
      <c r="H7283" s="3" t="s">
        <v>16</v>
      </c>
      <c r="I7283" s="4" t="n">
        <v>1</v>
      </c>
      <c r="J7283" s="4" t="n">
        <f aca="false">LEN(E7283)-LEN(SUBSTITUTE(E7283,",",""))+1</f>
        <v>1</v>
      </c>
      <c r="K7283" s="3" t="str">
        <f aca="false">IFERROR(INDEX('Teacher Lookup'!$B$2:$B$200,MATCH(A7283,'Teacher Lookup'!$A$2:$A$200,0)),"")</f>
        <v>WONG Melissa</v>
      </c>
    </row>
    <row r="7284" customFormat="false" ht="15" hidden="false" customHeight="false" outlineLevel="0" collapsed="false">
      <c r="A7284" s="3" t="s">
        <v>481</v>
      </c>
      <c r="B7284" s="4" t="s">
        <v>12</v>
      </c>
      <c r="C7284" s="4" t="n">
        <v>2</v>
      </c>
      <c r="D7284" s="4" t="s">
        <v>24</v>
      </c>
      <c r="E7284" s="3" t="s">
        <v>271</v>
      </c>
      <c r="F7284" s="4" t="str">
        <f aca="false">IF(I7284&gt;J7284,"Y","N")</f>
        <v>Y</v>
      </c>
      <c r="G7284" s="3" t="s">
        <v>272</v>
      </c>
      <c r="H7284" s="3" t="s">
        <v>21</v>
      </c>
      <c r="I7284" s="4" t="n">
        <v>8</v>
      </c>
      <c r="J7284" s="4" t="n">
        <f aca="false">LEN(E7284)-LEN(SUBSTITUTE(E7284,",",""))+1</f>
        <v>7</v>
      </c>
      <c r="K7284" s="3" t="str">
        <f aca="false">IFERROR(INDEX('Teacher Lookup'!$B$2:$B$200,MATCH(A7284,'Teacher Lookup'!$A$2:$A$200,0)),"")</f>
        <v>WONG Melissa</v>
      </c>
    </row>
    <row r="7285" customFormat="false" ht="15" hidden="false" customHeight="false" outlineLevel="0" collapsed="false">
      <c r="A7285" s="3" t="s">
        <v>481</v>
      </c>
      <c r="B7285" s="4" t="s">
        <v>12</v>
      </c>
      <c r="C7285" s="4" t="n">
        <v>2</v>
      </c>
      <c r="D7285" s="4" t="s">
        <v>27</v>
      </c>
      <c r="E7285" s="3" t="s">
        <v>271</v>
      </c>
      <c r="F7285" s="4" t="str">
        <f aca="false">IF(I7285&gt;J7285,"Y","N")</f>
        <v>Y</v>
      </c>
      <c r="G7285" s="3" t="s">
        <v>272</v>
      </c>
      <c r="H7285" s="3" t="s">
        <v>21</v>
      </c>
      <c r="I7285" s="4" t="n">
        <v>8</v>
      </c>
      <c r="J7285" s="4" t="n">
        <f aca="false">LEN(E7285)-LEN(SUBSTITUTE(E7285,",",""))+1</f>
        <v>7</v>
      </c>
      <c r="K7285" s="3" t="str">
        <f aca="false">IFERROR(INDEX('Teacher Lookup'!$B$2:$B$200,MATCH(A7285,'Teacher Lookup'!$A$2:$A$200,0)),"")</f>
        <v>WONG Melissa</v>
      </c>
    </row>
    <row r="7286" customFormat="false" ht="15" hidden="false" customHeight="false" outlineLevel="0" collapsed="false">
      <c r="A7286" s="3" t="s">
        <v>481</v>
      </c>
      <c r="B7286" s="4" t="s">
        <v>12</v>
      </c>
      <c r="C7286" s="4" t="n">
        <v>2</v>
      </c>
      <c r="D7286" s="4" t="s">
        <v>28</v>
      </c>
      <c r="E7286" s="3" t="s">
        <v>271</v>
      </c>
      <c r="F7286" s="4" t="str">
        <f aca="false">IF(I7286&gt;J7286,"Y","N")</f>
        <v>Y</v>
      </c>
      <c r="G7286" s="3" t="s">
        <v>272</v>
      </c>
      <c r="H7286" s="3" t="s">
        <v>21</v>
      </c>
      <c r="I7286" s="4" t="n">
        <v>8</v>
      </c>
      <c r="J7286" s="4" t="n">
        <f aca="false">LEN(E7286)-LEN(SUBSTITUTE(E7286,",",""))+1</f>
        <v>7</v>
      </c>
      <c r="K7286" s="3" t="str">
        <f aca="false">IFERROR(INDEX('Teacher Lookup'!$B$2:$B$200,MATCH(A7286,'Teacher Lookup'!$A$2:$A$200,0)),"")</f>
        <v>WONG Melissa</v>
      </c>
    </row>
    <row r="7287" customFormat="false" ht="15" hidden="false" customHeight="false" outlineLevel="0" collapsed="false">
      <c r="A7287" s="3" t="s">
        <v>481</v>
      </c>
      <c r="B7287" s="4" t="s">
        <v>12</v>
      </c>
      <c r="C7287" s="4" t="n">
        <v>2</v>
      </c>
      <c r="D7287" s="4" t="s">
        <v>29</v>
      </c>
      <c r="E7287" s="3" t="s">
        <v>271</v>
      </c>
      <c r="F7287" s="4" t="str">
        <f aca="false">IF(I7287&gt;J7287,"Y","N")</f>
        <v>Y</v>
      </c>
      <c r="G7287" s="3" t="s">
        <v>272</v>
      </c>
      <c r="H7287" s="3" t="s">
        <v>21</v>
      </c>
      <c r="I7287" s="4" t="n">
        <v>8</v>
      </c>
      <c r="J7287" s="4" t="n">
        <f aca="false">LEN(E7287)-LEN(SUBSTITUTE(E7287,",",""))+1</f>
        <v>7</v>
      </c>
      <c r="K7287" s="3" t="str">
        <f aca="false">IFERROR(INDEX('Teacher Lookup'!$B$2:$B$200,MATCH(A7287,'Teacher Lookup'!$A$2:$A$200,0)),"")</f>
        <v>WONG Melissa</v>
      </c>
    </row>
    <row r="7288" customFormat="false" ht="15" hidden="false" customHeight="false" outlineLevel="0" collapsed="false">
      <c r="A7288" s="3" t="s">
        <v>481</v>
      </c>
      <c r="B7288" s="4" t="s">
        <v>12</v>
      </c>
      <c r="C7288" s="4" t="n">
        <v>2</v>
      </c>
      <c r="D7288" s="4" t="s">
        <v>30</v>
      </c>
      <c r="E7288" s="3" t="s">
        <v>271</v>
      </c>
      <c r="F7288" s="4" t="str">
        <f aca="false">IF(I7288&gt;J7288,"Y","N")</f>
        <v>Y</v>
      </c>
      <c r="G7288" s="3" t="s">
        <v>272</v>
      </c>
      <c r="H7288" s="3" t="s">
        <v>21</v>
      </c>
      <c r="I7288" s="4" t="n">
        <v>8</v>
      </c>
      <c r="J7288" s="4" t="n">
        <f aca="false">LEN(E7288)-LEN(SUBSTITUTE(E7288,",",""))+1</f>
        <v>7</v>
      </c>
      <c r="K7288" s="3" t="str">
        <f aca="false">IFERROR(INDEX('Teacher Lookup'!$B$2:$B$200,MATCH(A7288,'Teacher Lookup'!$A$2:$A$200,0)),"")</f>
        <v>WONG Melissa</v>
      </c>
    </row>
    <row r="7289" customFormat="false" ht="15" hidden="false" customHeight="false" outlineLevel="0" collapsed="false">
      <c r="A7289" s="3" t="s">
        <v>481</v>
      </c>
      <c r="B7289" s="4" t="s">
        <v>12</v>
      </c>
      <c r="C7289" s="4" t="n">
        <v>4</v>
      </c>
      <c r="D7289" s="4" t="s">
        <v>70</v>
      </c>
      <c r="E7289" s="3" t="s">
        <v>108</v>
      </c>
      <c r="F7289" s="4" t="str">
        <f aca="false">IF(I7289&gt;J7289,"Y","N")</f>
        <v>N</v>
      </c>
      <c r="G7289" s="3" t="s">
        <v>437</v>
      </c>
      <c r="H7289" s="3" t="s">
        <v>34</v>
      </c>
      <c r="I7289" s="4" t="n">
        <v>1</v>
      </c>
      <c r="J7289" s="4" t="n">
        <f aca="false">LEN(E7289)-LEN(SUBSTITUTE(E7289,",",""))+1</f>
        <v>1</v>
      </c>
      <c r="K7289" s="3" t="str">
        <f aca="false">IFERROR(INDEX('Teacher Lookup'!$B$2:$B$200,MATCH(A7289,'Teacher Lookup'!$A$2:$A$200,0)),"")</f>
        <v>WONG Melissa</v>
      </c>
    </row>
    <row r="7290" customFormat="false" ht="15" hidden="false" customHeight="false" outlineLevel="0" collapsed="false">
      <c r="A7290" s="3" t="s">
        <v>481</v>
      </c>
      <c r="B7290" s="4" t="s">
        <v>12</v>
      </c>
      <c r="C7290" s="4" t="n">
        <v>7</v>
      </c>
      <c r="D7290" s="4" t="s">
        <v>140</v>
      </c>
      <c r="E7290" s="3" t="s">
        <v>289</v>
      </c>
      <c r="F7290" s="4" t="str">
        <f aca="false">IF(I7290&gt;J7290,"Y","N")</f>
        <v>N</v>
      </c>
      <c r="G7290" s="3" t="s">
        <v>437</v>
      </c>
      <c r="H7290" s="3" t="s">
        <v>39</v>
      </c>
      <c r="I7290" s="4" t="n">
        <v>1</v>
      </c>
      <c r="J7290" s="4" t="n">
        <f aca="false">LEN(E7290)-LEN(SUBSTITUTE(E7290,",",""))+1</f>
        <v>1</v>
      </c>
      <c r="K7290" s="3" t="str">
        <f aca="false">IFERROR(INDEX('Teacher Lookup'!$B$2:$B$200,MATCH(A7290,'Teacher Lookup'!$A$2:$A$200,0)),"")</f>
        <v>WONG Melissa</v>
      </c>
    </row>
    <row r="7291" customFormat="false" ht="15" hidden="false" customHeight="false" outlineLevel="0" collapsed="false">
      <c r="A7291" s="3" t="s">
        <v>481</v>
      </c>
      <c r="B7291" s="4" t="s">
        <v>31</v>
      </c>
      <c r="C7291" s="4" t="n">
        <v>1</v>
      </c>
      <c r="D7291" s="4" t="s">
        <v>24</v>
      </c>
      <c r="E7291" s="3" t="s">
        <v>274</v>
      </c>
      <c r="F7291" s="4" t="str">
        <f aca="false">IF(I7291&gt;J7291,"Y","N")</f>
        <v>Y</v>
      </c>
      <c r="G7291" s="3" t="s">
        <v>272</v>
      </c>
      <c r="H7291" s="3" t="s">
        <v>16</v>
      </c>
      <c r="I7291" s="4" t="n">
        <v>8</v>
      </c>
      <c r="J7291" s="4" t="n">
        <f aca="false">LEN(E7291)-LEN(SUBSTITUTE(E7291,",",""))+1</f>
        <v>7</v>
      </c>
      <c r="K7291" s="3" t="str">
        <f aca="false">IFERROR(INDEX('Teacher Lookup'!$B$2:$B$200,MATCH(A7291,'Teacher Lookup'!$A$2:$A$200,0)),"")</f>
        <v>WONG Melissa</v>
      </c>
    </row>
    <row r="7292" customFormat="false" ht="15" hidden="false" customHeight="false" outlineLevel="0" collapsed="false">
      <c r="A7292" s="3" t="s">
        <v>481</v>
      </c>
      <c r="B7292" s="4" t="s">
        <v>31</v>
      </c>
      <c r="C7292" s="4" t="n">
        <v>1</v>
      </c>
      <c r="D7292" s="4" t="s">
        <v>27</v>
      </c>
      <c r="E7292" s="3" t="s">
        <v>274</v>
      </c>
      <c r="F7292" s="4" t="str">
        <f aca="false">IF(I7292&gt;J7292,"Y","N")</f>
        <v>Y</v>
      </c>
      <c r="G7292" s="3" t="s">
        <v>272</v>
      </c>
      <c r="H7292" s="3" t="s">
        <v>16</v>
      </c>
      <c r="I7292" s="4" t="n">
        <v>8</v>
      </c>
      <c r="J7292" s="4" t="n">
        <f aca="false">LEN(E7292)-LEN(SUBSTITUTE(E7292,",",""))+1</f>
        <v>7</v>
      </c>
      <c r="K7292" s="3" t="str">
        <f aca="false">IFERROR(INDEX('Teacher Lookup'!$B$2:$B$200,MATCH(A7292,'Teacher Lookup'!$A$2:$A$200,0)),"")</f>
        <v>WONG Melissa</v>
      </c>
    </row>
    <row r="7293" customFormat="false" ht="15" hidden="false" customHeight="false" outlineLevel="0" collapsed="false">
      <c r="A7293" s="3" t="s">
        <v>481</v>
      </c>
      <c r="B7293" s="4" t="s">
        <v>31</v>
      </c>
      <c r="C7293" s="4" t="n">
        <v>1</v>
      </c>
      <c r="D7293" s="4" t="s">
        <v>28</v>
      </c>
      <c r="E7293" s="3" t="s">
        <v>274</v>
      </c>
      <c r="F7293" s="4" t="str">
        <f aca="false">IF(I7293&gt;J7293,"Y","N")</f>
        <v>Y</v>
      </c>
      <c r="G7293" s="3" t="s">
        <v>272</v>
      </c>
      <c r="H7293" s="3" t="s">
        <v>16</v>
      </c>
      <c r="I7293" s="4" t="n">
        <v>8</v>
      </c>
      <c r="J7293" s="4" t="n">
        <f aca="false">LEN(E7293)-LEN(SUBSTITUTE(E7293,",",""))+1</f>
        <v>7</v>
      </c>
      <c r="K7293" s="3" t="str">
        <f aca="false">IFERROR(INDEX('Teacher Lookup'!$B$2:$B$200,MATCH(A7293,'Teacher Lookup'!$A$2:$A$200,0)),"")</f>
        <v>WONG Melissa</v>
      </c>
    </row>
    <row r="7294" customFormat="false" ht="15" hidden="false" customHeight="false" outlineLevel="0" collapsed="false">
      <c r="A7294" s="3" t="s">
        <v>481</v>
      </c>
      <c r="B7294" s="4" t="s">
        <v>31</v>
      </c>
      <c r="C7294" s="4" t="n">
        <v>1</v>
      </c>
      <c r="D7294" s="4" t="s">
        <v>29</v>
      </c>
      <c r="E7294" s="3" t="s">
        <v>274</v>
      </c>
      <c r="F7294" s="4" t="str">
        <f aca="false">IF(I7294&gt;J7294,"Y","N")</f>
        <v>Y</v>
      </c>
      <c r="G7294" s="3" t="s">
        <v>272</v>
      </c>
      <c r="H7294" s="3" t="s">
        <v>16</v>
      </c>
      <c r="I7294" s="4" t="n">
        <v>8</v>
      </c>
      <c r="J7294" s="4" t="n">
        <f aca="false">LEN(E7294)-LEN(SUBSTITUTE(E7294,",",""))+1</f>
        <v>7</v>
      </c>
      <c r="K7294" s="3" t="str">
        <f aca="false">IFERROR(INDEX('Teacher Lookup'!$B$2:$B$200,MATCH(A7294,'Teacher Lookup'!$A$2:$A$200,0)),"")</f>
        <v>WONG Melissa</v>
      </c>
    </row>
    <row r="7295" customFormat="false" ht="15" hidden="false" customHeight="false" outlineLevel="0" collapsed="false">
      <c r="A7295" s="3" t="s">
        <v>481</v>
      </c>
      <c r="B7295" s="4" t="s">
        <v>31</v>
      </c>
      <c r="C7295" s="4" t="n">
        <v>1</v>
      </c>
      <c r="D7295" s="4" t="s">
        <v>30</v>
      </c>
      <c r="E7295" s="3" t="s">
        <v>274</v>
      </c>
      <c r="F7295" s="4" t="str">
        <f aca="false">IF(I7295&gt;J7295,"Y","N")</f>
        <v>Y</v>
      </c>
      <c r="G7295" s="3" t="s">
        <v>272</v>
      </c>
      <c r="H7295" s="3" t="s">
        <v>16</v>
      </c>
      <c r="I7295" s="4" t="n">
        <v>8</v>
      </c>
      <c r="J7295" s="4" t="n">
        <f aca="false">LEN(E7295)-LEN(SUBSTITUTE(E7295,",",""))+1</f>
        <v>7</v>
      </c>
      <c r="K7295" s="3" t="str">
        <f aca="false">IFERROR(INDEX('Teacher Lookup'!$B$2:$B$200,MATCH(A7295,'Teacher Lookup'!$A$2:$A$200,0)),"")</f>
        <v>WONG Melissa</v>
      </c>
    </row>
    <row r="7296" customFormat="false" ht="15" hidden="false" customHeight="false" outlineLevel="0" collapsed="false">
      <c r="A7296" s="3" t="s">
        <v>481</v>
      </c>
      <c r="B7296" s="4" t="s">
        <v>31</v>
      </c>
      <c r="C7296" s="4" t="n">
        <v>5</v>
      </c>
      <c r="D7296" s="4" t="s">
        <v>70</v>
      </c>
      <c r="E7296" s="3" t="s">
        <v>81</v>
      </c>
      <c r="F7296" s="4" t="str">
        <f aca="false">IF(I7296&gt;J7296,"Y","N")</f>
        <v>Y</v>
      </c>
      <c r="G7296" s="3" t="s">
        <v>36</v>
      </c>
      <c r="H7296" s="3" t="s">
        <v>37</v>
      </c>
      <c r="I7296" s="4" t="n">
        <v>15</v>
      </c>
      <c r="J7296" s="4" t="n">
        <f aca="false">LEN(E7296)-LEN(SUBSTITUTE(E7296,",",""))+1</f>
        <v>7</v>
      </c>
      <c r="K7296" s="3" t="str">
        <f aca="false">IFERROR(INDEX('Teacher Lookup'!$B$2:$B$200,MATCH(A7296,'Teacher Lookup'!$A$2:$A$200,0)),"")</f>
        <v>WONG Melissa</v>
      </c>
    </row>
    <row r="7297" customFormat="false" ht="15" hidden="false" customHeight="false" outlineLevel="0" collapsed="false">
      <c r="A7297" s="3" t="s">
        <v>481</v>
      </c>
      <c r="B7297" s="4" t="s">
        <v>31</v>
      </c>
      <c r="C7297" s="4" t="n">
        <v>5</v>
      </c>
      <c r="D7297" s="4" t="s">
        <v>73</v>
      </c>
      <c r="E7297" s="3" t="s">
        <v>81</v>
      </c>
      <c r="F7297" s="4" t="str">
        <f aca="false">IF(I7297&gt;J7297,"Y","N")</f>
        <v>Y</v>
      </c>
      <c r="G7297" s="3" t="s">
        <v>36</v>
      </c>
      <c r="H7297" s="3" t="s">
        <v>37</v>
      </c>
      <c r="I7297" s="4" t="n">
        <v>15</v>
      </c>
      <c r="J7297" s="4" t="n">
        <f aca="false">LEN(E7297)-LEN(SUBSTITUTE(E7297,",",""))+1</f>
        <v>7</v>
      </c>
      <c r="K7297" s="3" t="str">
        <f aca="false">IFERROR(INDEX('Teacher Lookup'!$B$2:$B$200,MATCH(A7297,'Teacher Lookup'!$A$2:$A$200,0)),"")</f>
        <v>WONG Melissa</v>
      </c>
    </row>
    <row r="7298" customFormat="false" ht="15" hidden="false" customHeight="false" outlineLevel="0" collapsed="false">
      <c r="A7298" s="3" t="s">
        <v>481</v>
      </c>
      <c r="B7298" s="4" t="s">
        <v>31</v>
      </c>
      <c r="C7298" s="4" t="n">
        <v>5</v>
      </c>
      <c r="D7298" s="4" t="s">
        <v>74</v>
      </c>
      <c r="E7298" s="3" t="s">
        <v>81</v>
      </c>
      <c r="F7298" s="4" t="str">
        <f aca="false">IF(I7298&gt;J7298,"Y","N")</f>
        <v>Y</v>
      </c>
      <c r="G7298" s="3" t="s">
        <v>36</v>
      </c>
      <c r="H7298" s="3" t="s">
        <v>37</v>
      </c>
      <c r="I7298" s="4" t="n">
        <v>15</v>
      </c>
      <c r="J7298" s="4" t="n">
        <f aca="false">LEN(E7298)-LEN(SUBSTITUTE(E7298,",",""))+1</f>
        <v>7</v>
      </c>
      <c r="K7298" s="3" t="str">
        <f aca="false">IFERROR(INDEX('Teacher Lookup'!$B$2:$B$200,MATCH(A7298,'Teacher Lookup'!$A$2:$A$200,0)),"")</f>
        <v>WONG Melissa</v>
      </c>
    </row>
    <row r="7299" customFormat="false" ht="15" hidden="false" customHeight="false" outlineLevel="0" collapsed="false">
      <c r="A7299" s="3" t="s">
        <v>481</v>
      </c>
      <c r="B7299" s="4" t="s">
        <v>31</v>
      </c>
      <c r="C7299" s="4" t="n">
        <v>5</v>
      </c>
      <c r="D7299" s="4" t="s">
        <v>76</v>
      </c>
      <c r="E7299" s="3" t="s">
        <v>81</v>
      </c>
      <c r="F7299" s="4" t="str">
        <f aca="false">IF(I7299&gt;J7299,"Y","N")</f>
        <v>Y</v>
      </c>
      <c r="G7299" s="3" t="s">
        <v>36</v>
      </c>
      <c r="H7299" s="3" t="s">
        <v>37</v>
      </c>
      <c r="I7299" s="4" t="n">
        <v>15</v>
      </c>
      <c r="J7299" s="4" t="n">
        <f aca="false">LEN(E7299)-LEN(SUBSTITUTE(E7299,",",""))+1</f>
        <v>7</v>
      </c>
      <c r="K7299" s="3" t="str">
        <f aca="false">IFERROR(INDEX('Teacher Lookup'!$B$2:$B$200,MATCH(A7299,'Teacher Lookup'!$A$2:$A$200,0)),"")</f>
        <v>WONG Melissa</v>
      </c>
    </row>
    <row r="7300" customFormat="false" ht="15" hidden="false" customHeight="false" outlineLevel="0" collapsed="false">
      <c r="A7300" s="3" t="s">
        <v>481</v>
      </c>
      <c r="B7300" s="4" t="s">
        <v>31</v>
      </c>
      <c r="C7300" s="4" t="n">
        <v>5</v>
      </c>
      <c r="D7300" s="4" t="s">
        <v>78</v>
      </c>
      <c r="E7300" s="3" t="s">
        <v>81</v>
      </c>
      <c r="F7300" s="4" t="str">
        <f aca="false">IF(I7300&gt;J7300,"Y","N")</f>
        <v>Y</v>
      </c>
      <c r="G7300" s="3" t="s">
        <v>36</v>
      </c>
      <c r="H7300" s="3" t="s">
        <v>37</v>
      </c>
      <c r="I7300" s="4" t="n">
        <v>15</v>
      </c>
      <c r="J7300" s="4" t="n">
        <f aca="false">LEN(E7300)-LEN(SUBSTITUTE(E7300,",",""))+1</f>
        <v>7</v>
      </c>
      <c r="K7300" s="3" t="str">
        <f aca="false">IFERROR(INDEX('Teacher Lookup'!$B$2:$B$200,MATCH(A7300,'Teacher Lookup'!$A$2:$A$200,0)),"")</f>
        <v>WONG Melissa</v>
      </c>
    </row>
    <row r="7301" customFormat="false" ht="15" hidden="false" customHeight="false" outlineLevel="0" collapsed="false">
      <c r="A7301" s="3" t="s">
        <v>481</v>
      </c>
      <c r="B7301" s="4" t="s">
        <v>31</v>
      </c>
      <c r="C7301" s="4" t="n">
        <v>5</v>
      </c>
      <c r="D7301" s="4" t="s">
        <v>79</v>
      </c>
      <c r="E7301" s="3" t="s">
        <v>81</v>
      </c>
      <c r="F7301" s="4" t="str">
        <f aca="false">IF(I7301&gt;J7301,"Y","N")</f>
        <v>Y</v>
      </c>
      <c r="G7301" s="3" t="s">
        <v>36</v>
      </c>
      <c r="H7301" s="3" t="s">
        <v>37</v>
      </c>
      <c r="I7301" s="4" t="n">
        <v>15</v>
      </c>
      <c r="J7301" s="4" t="n">
        <f aca="false">LEN(E7301)-LEN(SUBSTITUTE(E7301,",",""))+1</f>
        <v>7</v>
      </c>
      <c r="K7301" s="3" t="str">
        <f aca="false">IFERROR(INDEX('Teacher Lookup'!$B$2:$B$200,MATCH(A7301,'Teacher Lookup'!$A$2:$A$200,0)),"")</f>
        <v>WONG Melissa</v>
      </c>
    </row>
    <row r="7302" customFormat="false" ht="15" hidden="false" customHeight="false" outlineLevel="0" collapsed="false">
      <c r="A7302" s="3" t="s">
        <v>481</v>
      </c>
      <c r="B7302" s="4" t="s">
        <v>31</v>
      </c>
      <c r="C7302" s="4" t="n">
        <v>6</v>
      </c>
      <c r="D7302" s="4" t="s">
        <v>140</v>
      </c>
      <c r="E7302" s="3" t="s">
        <v>289</v>
      </c>
      <c r="F7302" s="4" t="str">
        <f aca="false">IF(I7302&gt;J7302,"Y","N")</f>
        <v>N</v>
      </c>
      <c r="G7302" s="3" t="s">
        <v>437</v>
      </c>
      <c r="H7302" s="3" t="s">
        <v>42</v>
      </c>
      <c r="I7302" s="4" t="n">
        <v>1</v>
      </c>
      <c r="J7302" s="4" t="n">
        <f aca="false">LEN(E7302)-LEN(SUBSTITUTE(E7302,",",""))+1</f>
        <v>1</v>
      </c>
      <c r="K7302" s="3" t="str">
        <f aca="false">IFERROR(INDEX('Teacher Lookup'!$B$2:$B$200,MATCH(A7302,'Teacher Lookup'!$A$2:$A$200,0)),"")</f>
        <v>WONG Melissa</v>
      </c>
    </row>
    <row r="7303" customFormat="false" ht="15" hidden="false" customHeight="false" outlineLevel="0" collapsed="false">
      <c r="A7303" s="3" t="s">
        <v>481</v>
      </c>
      <c r="B7303" s="4" t="s">
        <v>31</v>
      </c>
      <c r="C7303" s="4" t="n">
        <v>7</v>
      </c>
      <c r="D7303" s="4" t="s">
        <v>13</v>
      </c>
      <c r="E7303" s="3" t="s">
        <v>351</v>
      </c>
      <c r="F7303" s="4" t="str">
        <f aca="false">IF(I7303&gt;J7303,"Y","N")</f>
        <v>N</v>
      </c>
      <c r="G7303" s="3" t="s">
        <v>437</v>
      </c>
      <c r="H7303" s="3" t="s">
        <v>39</v>
      </c>
      <c r="I7303" s="4" t="n">
        <v>1</v>
      </c>
      <c r="J7303" s="4" t="n">
        <f aca="false">LEN(E7303)-LEN(SUBSTITUTE(E7303,",",""))+1</f>
        <v>1</v>
      </c>
      <c r="K7303" s="3" t="str">
        <f aca="false">IFERROR(INDEX('Teacher Lookup'!$B$2:$B$200,MATCH(A7303,'Teacher Lookup'!$A$2:$A$200,0)),"")</f>
        <v>WONG Melissa</v>
      </c>
    </row>
    <row r="7304" customFormat="false" ht="15" hidden="false" customHeight="false" outlineLevel="0" collapsed="false">
      <c r="A7304" s="3" t="s">
        <v>481</v>
      </c>
      <c r="B7304" s="4" t="s">
        <v>40</v>
      </c>
      <c r="C7304" s="4" t="n">
        <v>3</v>
      </c>
      <c r="D7304" s="4" t="s">
        <v>24</v>
      </c>
      <c r="E7304" s="3" t="s">
        <v>275</v>
      </c>
      <c r="F7304" s="4" t="str">
        <f aca="false">IF(I7304&gt;J7304,"Y","N")</f>
        <v>Y</v>
      </c>
      <c r="G7304" s="3" t="s">
        <v>272</v>
      </c>
      <c r="H7304" s="3" t="s">
        <v>26</v>
      </c>
      <c r="I7304" s="4" t="n">
        <v>8</v>
      </c>
      <c r="J7304" s="4" t="n">
        <f aca="false">LEN(E7304)-LEN(SUBSTITUTE(E7304,",",""))+1</f>
        <v>7</v>
      </c>
      <c r="K7304" s="3" t="str">
        <f aca="false">IFERROR(INDEX('Teacher Lookup'!$B$2:$B$200,MATCH(A7304,'Teacher Lookup'!$A$2:$A$200,0)),"")</f>
        <v>WONG Melissa</v>
      </c>
    </row>
    <row r="7305" customFormat="false" ht="15" hidden="false" customHeight="false" outlineLevel="0" collapsed="false">
      <c r="A7305" s="3" t="s">
        <v>481</v>
      </c>
      <c r="B7305" s="4" t="s">
        <v>40</v>
      </c>
      <c r="C7305" s="4" t="n">
        <v>3</v>
      </c>
      <c r="D7305" s="4" t="s">
        <v>27</v>
      </c>
      <c r="E7305" s="3" t="s">
        <v>275</v>
      </c>
      <c r="F7305" s="4" t="str">
        <f aca="false">IF(I7305&gt;J7305,"Y","N")</f>
        <v>Y</v>
      </c>
      <c r="G7305" s="3" t="s">
        <v>272</v>
      </c>
      <c r="H7305" s="3" t="s">
        <v>26</v>
      </c>
      <c r="I7305" s="4" t="n">
        <v>8</v>
      </c>
      <c r="J7305" s="4" t="n">
        <f aca="false">LEN(E7305)-LEN(SUBSTITUTE(E7305,",",""))+1</f>
        <v>7</v>
      </c>
      <c r="K7305" s="3" t="str">
        <f aca="false">IFERROR(INDEX('Teacher Lookup'!$B$2:$B$200,MATCH(A7305,'Teacher Lookup'!$A$2:$A$200,0)),"")</f>
        <v>WONG Melissa</v>
      </c>
    </row>
    <row r="7306" customFormat="false" ht="15" hidden="false" customHeight="false" outlineLevel="0" collapsed="false">
      <c r="A7306" s="3" t="s">
        <v>481</v>
      </c>
      <c r="B7306" s="4" t="s">
        <v>40</v>
      </c>
      <c r="C7306" s="4" t="n">
        <v>3</v>
      </c>
      <c r="D7306" s="4" t="s">
        <v>28</v>
      </c>
      <c r="E7306" s="3" t="s">
        <v>275</v>
      </c>
      <c r="F7306" s="4" t="str">
        <f aca="false">IF(I7306&gt;J7306,"Y","N")</f>
        <v>Y</v>
      </c>
      <c r="G7306" s="3" t="s">
        <v>272</v>
      </c>
      <c r="H7306" s="3" t="s">
        <v>26</v>
      </c>
      <c r="I7306" s="4" t="n">
        <v>8</v>
      </c>
      <c r="J7306" s="4" t="n">
        <f aca="false">LEN(E7306)-LEN(SUBSTITUTE(E7306,",",""))+1</f>
        <v>7</v>
      </c>
      <c r="K7306" s="3" t="str">
        <f aca="false">IFERROR(INDEX('Teacher Lookup'!$B$2:$B$200,MATCH(A7306,'Teacher Lookup'!$A$2:$A$200,0)),"")</f>
        <v>WONG Melissa</v>
      </c>
    </row>
    <row r="7307" customFormat="false" ht="15" hidden="false" customHeight="false" outlineLevel="0" collapsed="false">
      <c r="A7307" s="3" t="s">
        <v>481</v>
      </c>
      <c r="B7307" s="4" t="s">
        <v>40</v>
      </c>
      <c r="C7307" s="4" t="n">
        <v>3</v>
      </c>
      <c r="D7307" s="4" t="s">
        <v>29</v>
      </c>
      <c r="E7307" s="3" t="s">
        <v>275</v>
      </c>
      <c r="F7307" s="4" t="str">
        <f aca="false">IF(I7307&gt;J7307,"Y","N")</f>
        <v>Y</v>
      </c>
      <c r="G7307" s="3" t="s">
        <v>272</v>
      </c>
      <c r="H7307" s="3" t="s">
        <v>26</v>
      </c>
      <c r="I7307" s="4" t="n">
        <v>8</v>
      </c>
      <c r="J7307" s="4" t="n">
        <f aca="false">LEN(E7307)-LEN(SUBSTITUTE(E7307,",",""))+1</f>
        <v>7</v>
      </c>
      <c r="K7307" s="3" t="str">
        <f aca="false">IFERROR(INDEX('Teacher Lookup'!$B$2:$B$200,MATCH(A7307,'Teacher Lookup'!$A$2:$A$200,0)),"")</f>
        <v>WONG Melissa</v>
      </c>
    </row>
    <row r="7308" customFormat="false" ht="15" hidden="false" customHeight="false" outlineLevel="0" collapsed="false">
      <c r="A7308" s="3" t="s">
        <v>481</v>
      </c>
      <c r="B7308" s="4" t="s">
        <v>40</v>
      </c>
      <c r="C7308" s="4" t="n">
        <v>3</v>
      </c>
      <c r="D7308" s="4" t="s">
        <v>30</v>
      </c>
      <c r="E7308" s="3" t="s">
        <v>275</v>
      </c>
      <c r="F7308" s="4" t="str">
        <f aca="false">IF(I7308&gt;J7308,"Y","N")</f>
        <v>Y</v>
      </c>
      <c r="G7308" s="3" t="s">
        <v>272</v>
      </c>
      <c r="H7308" s="3" t="s">
        <v>26</v>
      </c>
      <c r="I7308" s="4" t="n">
        <v>8</v>
      </c>
      <c r="J7308" s="4" t="n">
        <f aca="false">LEN(E7308)-LEN(SUBSTITUTE(E7308,",",""))+1</f>
        <v>7</v>
      </c>
      <c r="K7308" s="3" t="str">
        <f aca="false">IFERROR(INDEX('Teacher Lookup'!$B$2:$B$200,MATCH(A7308,'Teacher Lookup'!$A$2:$A$200,0)),"")</f>
        <v>WONG Melissa</v>
      </c>
    </row>
    <row r="7309" customFormat="false" ht="15" hidden="false" customHeight="false" outlineLevel="0" collapsed="false">
      <c r="A7309" s="3" t="s">
        <v>481</v>
      </c>
      <c r="B7309" s="4" t="s">
        <v>44</v>
      </c>
      <c r="C7309" s="4" t="n">
        <v>1</v>
      </c>
      <c r="D7309" s="4" t="s">
        <v>137</v>
      </c>
      <c r="E7309" s="3" t="s">
        <v>434</v>
      </c>
      <c r="F7309" s="4" t="str">
        <f aca="false">IF(I7309&gt;J7309,"Y","N")</f>
        <v>N</v>
      </c>
      <c r="G7309" s="3" t="s">
        <v>437</v>
      </c>
      <c r="H7309" s="3" t="s">
        <v>16</v>
      </c>
      <c r="I7309" s="4" t="n">
        <v>1</v>
      </c>
      <c r="J7309" s="4" t="n">
        <f aca="false">LEN(E7309)-LEN(SUBSTITUTE(E7309,",",""))+1</f>
        <v>1</v>
      </c>
      <c r="K7309" s="3" t="str">
        <f aca="false">IFERROR(INDEX('Teacher Lookup'!$B$2:$B$200,MATCH(A7309,'Teacher Lookup'!$A$2:$A$200,0)),"")</f>
        <v>WONG Melissa</v>
      </c>
    </row>
    <row r="7310" customFormat="false" ht="15" hidden="false" customHeight="false" outlineLevel="0" collapsed="false">
      <c r="A7310" s="3" t="s">
        <v>481</v>
      </c>
      <c r="B7310" s="4" t="s">
        <v>44</v>
      </c>
      <c r="C7310" s="4" t="n">
        <v>3</v>
      </c>
      <c r="D7310" s="4" t="s">
        <v>74</v>
      </c>
      <c r="E7310" s="3" t="s">
        <v>316</v>
      </c>
      <c r="F7310" s="4" t="str">
        <f aca="false">IF(I7310&gt;J7310,"Y","N")</f>
        <v>N</v>
      </c>
      <c r="G7310" s="3" t="s">
        <v>437</v>
      </c>
      <c r="H7310" s="3" t="s">
        <v>26</v>
      </c>
      <c r="I7310" s="4" t="n">
        <v>1</v>
      </c>
      <c r="J7310" s="4" t="n">
        <f aca="false">LEN(E7310)-LEN(SUBSTITUTE(E7310,",",""))+1</f>
        <v>1</v>
      </c>
      <c r="K7310" s="3" t="str">
        <f aca="false">IFERROR(INDEX('Teacher Lookup'!$B$2:$B$200,MATCH(A7310,'Teacher Lookup'!$A$2:$A$200,0)),"")</f>
        <v>WONG Melissa</v>
      </c>
    </row>
    <row r="7311" customFormat="false" ht="15" hidden="false" customHeight="false" outlineLevel="0" collapsed="false">
      <c r="A7311" s="3" t="s">
        <v>481</v>
      </c>
      <c r="B7311" s="4" t="s">
        <v>44</v>
      </c>
      <c r="C7311" s="4" t="n">
        <v>4</v>
      </c>
      <c r="D7311" s="4" t="s">
        <v>70</v>
      </c>
      <c r="E7311" s="3" t="s">
        <v>108</v>
      </c>
      <c r="F7311" s="4" t="str">
        <f aca="false">IF(I7311&gt;J7311,"Y","N")</f>
        <v>N</v>
      </c>
      <c r="G7311" s="3" t="s">
        <v>437</v>
      </c>
      <c r="H7311" s="3" t="s">
        <v>34</v>
      </c>
      <c r="I7311" s="4" t="n">
        <v>1</v>
      </c>
      <c r="J7311" s="4" t="n">
        <f aca="false">LEN(E7311)-LEN(SUBSTITUTE(E7311,",",""))+1</f>
        <v>1</v>
      </c>
      <c r="K7311" s="3" t="str">
        <f aca="false">IFERROR(INDEX('Teacher Lookup'!$B$2:$B$200,MATCH(A7311,'Teacher Lookup'!$A$2:$A$200,0)),"")</f>
        <v>WONG Melissa</v>
      </c>
    </row>
    <row r="7312" customFormat="false" ht="15" hidden="false" customHeight="false" outlineLevel="0" collapsed="false">
      <c r="A7312" s="3" t="s">
        <v>481</v>
      </c>
      <c r="B7312" s="4" t="s">
        <v>44</v>
      </c>
      <c r="C7312" s="4" t="n">
        <v>5</v>
      </c>
      <c r="D7312" s="4" t="s">
        <v>70</v>
      </c>
      <c r="E7312" s="3" t="s">
        <v>81</v>
      </c>
      <c r="F7312" s="4" t="str">
        <f aca="false">IF(I7312&gt;J7312,"Y","N")</f>
        <v>Y</v>
      </c>
      <c r="G7312" s="3" t="s">
        <v>36</v>
      </c>
      <c r="H7312" s="3" t="s">
        <v>37</v>
      </c>
      <c r="I7312" s="4" t="n">
        <v>15</v>
      </c>
      <c r="J7312" s="4" t="n">
        <f aca="false">LEN(E7312)-LEN(SUBSTITUTE(E7312,",",""))+1</f>
        <v>7</v>
      </c>
      <c r="K7312" s="3" t="str">
        <f aca="false">IFERROR(INDEX('Teacher Lookup'!$B$2:$B$200,MATCH(A7312,'Teacher Lookup'!$A$2:$A$200,0)),"")</f>
        <v>WONG Melissa</v>
      </c>
    </row>
    <row r="7313" customFormat="false" ht="15" hidden="false" customHeight="false" outlineLevel="0" collapsed="false">
      <c r="A7313" s="3" t="s">
        <v>481</v>
      </c>
      <c r="B7313" s="4" t="s">
        <v>44</v>
      </c>
      <c r="C7313" s="4" t="n">
        <v>5</v>
      </c>
      <c r="D7313" s="4" t="s">
        <v>73</v>
      </c>
      <c r="E7313" s="3" t="s">
        <v>81</v>
      </c>
      <c r="F7313" s="4" t="str">
        <f aca="false">IF(I7313&gt;J7313,"Y","N")</f>
        <v>Y</v>
      </c>
      <c r="G7313" s="3" t="s">
        <v>36</v>
      </c>
      <c r="H7313" s="3" t="s">
        <v>37</v>
      </c>
      <c r="I7313" s="4" t="n">
        <v>15</v>
      </c>
      <c r="J7313" s="4" t="n">
        <f aca="false">LEN(E7313)-LEN(SUBSTITUTE(E7313,",",""))+1</f>
        <v>7</v>
      </c>
      <c r="K7313" s="3" t="str">
        <f aca="false">IFERROR(INDEX('Teacher Lookup'!$B$2:$B$200,MATCH(A7313,'Teacher Lookup'!$A$2:$A$200,0)),"")</f>
        <v>WONG Melissa</v>
      </c>
    </row>
    <row r="7314" customFormat="false" ht="15" hidden="false" customHeight="false" outlineLevel="0" collapsed="false">
      <c r="A7314" s="3" t="s">
        <v>481</v>
      </c>
      <c r="B7314" s="4" t="s">
        <v>44</v>
      </c>
      <c r="C7314" s="4" t="n">
        <v>5</v>
      </c>
      <c r="D7314" s="4" t="s">
        <v>74</v>
      </c>
      <c r="E7314" s="3" t="s">
        <v>81</v>
      </c>
      <c r="F7314" s="4" t="str">
        <f aca="false">IF(I7314&gt;J7314,"Y","N")</f>
        <v>Y</v>
      </c>
      <c r="G7314" s="3" t="s">
        <v>36</v>
      </c>
      <c r="H7314" s="3" t="s">
        <v>37</v>
      </c>
      <c r="I7314" s="4" t="n">
        <v>15</v>
      </c>
      <c r="J7314" s="4" t="n">
        <f aca="false">LEN(E7314)-LEN(SUBSTITUTE(E7314,",",""))+1</f>
        <v>7</v>
      </c>
      <c r="K7314" s="3" t="str">
        <f aca="false">IFERROR(INDEX('Teacher Lookup'!$B$2:$B$200,MATCH(A7314,'Teacher Lookup'!$A$2:$A$200,0)),"")</f>
        <v>WONG Melissa</v>
      </c>
    </row>
    <row r="7315" customFormat="false" ht="15" hidden="false" customHeight="false" outlineLevel="0" collapsed="false">
      <c r="A7315" s="3" t="s">
        <v>481</v>
      </c>
      <c r="B7315" s="4" t="s">
        <v>44</v>
      </c>
      <c r="C7315" s="4" t="n">
        <v>5</v>
      </c>
      <c r="D7315" s="4" t="s">
        <v>76</v>
      </c>
      <c r="E7315" s="3" t="s">
        <v>81</v>
      </c>
      <c r="F7315" s="4" t="str">
        <f aca="false">IF(I7315&gt;J7315,"Y","N")</f>
        <v>Y</v>
      </c>
      <c r="G7315" s="3" t="s">
        <v>36</v>
      </c>
      <c r="H7315" s="3" t="s">
        <v>37</v>
      </c>
      <c r="I7315" s="4" t="n">
        <v>15</v>
      </c>
      <c r="J7315" s="4" t="n">
        <f aca="false">LEN(E7315)-LEN(SUBSTITUTE(E7315,",",""))+1</f>
        <v>7</v>
      </c>
      <c r="K7315" s="3" t="str">
        <f aca="false">IFERROR(INDEX('Teacher Lookup'!$B$2:$B$200,MATCH(A7315,'Teacher Lookup'!$A$2:$A$200,0)),"")</f>
        <v>WONG Melissa</v>
      </c>
    </row>
    <row r="7316" customFormat="false" ht="15" hidden="false" customHeight="false" outlineLevel="0" collapsed="false">
      <c r="A7316" s="3" t="s">
        <v>481</v>
      </c>
      <c r="B7316" s="4" t="s">
        <v>44</v>
      </c>
      <c r="C7316" s="4" t="n">
        <v>5</v>
      </c>
      <c r="D7316" s="4" t="s">
        <v>78</v>
      </c>
      <c r="E7316" s="3" t="s">
        <v>81</v>
      </c>
      <c r="F7316" s="4" t="str">
        <f aca="false">IF(I7316&gt;J7316,"Y","N")</f>
        <v>Y</v>
      </c>
      <c r="G7316" s="3" t="s">
        <v>36</v>
      </c>
      <c r="H7316" s="3" t="s">
        <v>37</v>
      </c>
      <c r="I7316" s="4" t="n">
        <v>15</v>
      </c>
      <c r="J7316" s="4" t="n">
        <f aca="false">LEN(E7316)-LEN(SUBSTITUTE(E7316,",",""))+1</f>
        <v>7</v>
      </c>
      <c r="K7316" s="3" t="str">
        <f aca="false">IFERROR(INDEX('Teacher Lookup'!$B$2:$B$200,MATCH(A7316,'Teacher Lookup'!$A$2:$A$200,0)),"")</f>
        <v>WONG Melissa</v>
      </c>
    </row>
    <row r="7317" customFormat="false" ht="15" hidden="false" customHeight="false" outlineLevel="0" collapsed="false">
      <c r="A7317" s="3" t="s">
        <v>481</v>
      </c>
      <c r="B7317" s="4" t="s">
        <v>44</v>
      </c>
      <c r="C7317" s="4" t="n">
        <v>5</v>
      </c>
      <c r="D7317" s="4" t="s">
        <v>79</v>
      </c>
      <c r="E7317" s="3" t="s">
        <v>81</v>
      </c>
      <c r="F7317" s="4" t="str">
        <f aca="false">IF(I7317&gt;J7317,"Y","N")</f>
        <v>Y</v>
      </c>
      <c r="G7317" s="3" t="s">
        <v>36</v>
      </c>
      <c r="H7317" s="3" t="s">
        <v>37</v>
      </c>
      <c r="I7317" s="4" t="n">
        <v>15</v>
      </c>
      <c r="J7317" s="4" t="n">
        <f aca="false">LEN(E7317)-LEN(SUBSTITUTE(E7317,",",""))+1</f>
        <v>7</v>
      </c>
      <c r="K7317" s="3" t="str">
        <f aca="false">IFERROR(INDEX('Teacher Lookup'!$B$2:$B$200,MATCH(A7317,'Teacher Lookup'!$A$2:$A$200,0)),"")</f>
        <v>WONG Melissa</v>
      </c>
    </row>
    <row r="7318" customFormat="false" ht="15" hidden="false" customHeight="false" outlineLevel="0" collapsed="false">
      <c r="A7318" s="3" t="s">
        <v>481</v>
      </c>
      <c r="B7318" s="4" t="s">
        <v>47</v>
      </c>
      <c r="C7318" s="4" t="n">
        <v>1</v>
      </c>
      <c r="D7318" s="4" t="s">
        <v>24</v>
      </c>
      <c r="E7318" s="3" t="s">
        <v>277</v>
      </c>
      <c r="F7318" s="4" t="str">
        <f aca="false">IF(I7318&gt;J7318,"Y","N")</f>
        <v>Y</v>
      </c>
      <c r="G7318" s="3" t="s">
        <v>272</v>
      </c>
      <c r="H7318" s="3" t="s">
        <v>16</v>
      </c>
      <c r="I7318" s="4" t="n">
        <v>8</v>
      </c>
      <c r="J7318" s="4" t="n">
        <f aca="false">LEN(E7318)-LEN(SUBSTITUTE(E7318,",",""))+1</f>
        <v>7</v>
      </c>
      <c r="K7318" s="3" t="str">
        <f aca="false">IFERROR(INDEX('Teacher Lookup'!$B$2:$B$200,MATCH(A7318,'Teacher Lookup'!$A$2:$A$200,0)),"")</f>
        <v>WONG Melissa</v>
      </c>
    </row>
    <row r="7319" customFormat="false" ht="15" hidden="false" customHeight="false" outlineLevel="0" collapsed="false">
      <c r="A7319" s="3" t="s">
        <v>481</v>
      </c>
      <c r="B7319" s="4" t="s">
        <v>47</v>
      </c>
      <c r="C7319" s="4" t="n">
        <v>1</v>
      </c>
      <c r="D7319" s="4" t="s">
        <v>27</v>
      </c>
      <c r="E7319" s="3" t="s">
        <v>277</v>
      </c>
      <c r="F7319" s="4" t="str">
        <f aca="false">IF(I7319&gt;J7319,"Y","N")</f>
        <v>Y</v>
      </c>
      <c r="G7319" s="3" t="s">
        <v>272</v>
      </c>
      <c r="H7319" s="3" t="s">
        <v>16</v>
      </c>
      <c r="I7319" s="4" t="n">
        <v>8</v>
      </c>
      <c r="J7319" s="4" t="n">
        <f aca="false">LEN(E7319)-LEN(SUBSTITUTE(E7319,",",""))+1</f>
        <v>7</v>
      </c>
      <c r="K7319" s="3" t="str">
        <f aca="false">IFERROR(INDEX('Teacher Lookup'!$B$2:$B$200,MATCH(A7319,'Teacher Lookup'!$A$2:$A$200,0)),"")</f>
        <v>WONG Melissa</v>
      </c>
    </row>
    <row r="7320" customFormat="false" ht="15" hidden="false" customHeight="false" outlineLevel="0" collapsed="false">
      <c r="A7320" s="3" t="s">
        <v>481</v>
      </c>
      <c r="B7320" s="4" t="s">
        <v>47</v>
      </c>
      <c r="C7320" s="4" t="n">
        <v>1</v>
      </c>
      <c r="D7320" s="4" t="s">
        <v>28</v>
      </c>
      <c r="E7320" s="3" t="s">
        <v>277</v>
      </c>
      <c r="F7320" s="4" t="str">
        <f aca="false">IF(I7320&gt;J7320,"Y","N")</f>
        <v>Y</v>
      </c>
      <c r="G7320" s="3" t="s">
        <v>272</v>
      </c>
      <c r="H7320" s="3" t="s">
        <v>16</v>
      </c>
      <c r="I7320" s="4" t="n">
        <v>8</v>
      </c>
      <c r="J7320" s="4" t="n">
        <f aca="false">LEN(E7320)-LEN(SUBSTITUTE(E7320,",",""))+1</f>
        <v>7</v>
      </c>
      <c r="K7320" s="3" t="str">
        <f aca="false">IFERROR(INDEX('Teacher Lookup'!$B$2:$B$200,MATCH(A7320,'Teacher Lookup'!$A$2:$A$200,0)),"")</f>
        <v>WONG Melissa</v>
      </c>
    </row>
    <row r="7321" customFormat="false" ht="15" hidden="false" customHeight="false" outlineLevel="0" collapsed="false">
      <c r="A7321" s="3" t="s">
        <v>481</v>
      </c>
      <c r="B7321" s="4" t="s">
        <v>47</v>
      </c>
      <c r="C7321" s="4" t="n">
        <v>1</v>
      </c>
      <c r="D7321" s="4" t="s">
        <v>29</v>
      </c>
      <c r="E7321" s="3" t="s">
        <v>277</v>
      </c>
      <c r="F7321" s="4" t="str">
        <f aca="false">IF(I7321&gt;J7321,"Y","N")</f>
        <v>Y</v>
      </c>
      <c r="G7321" s="3" t="s">
        <v>272</v>
      </c>
      <c r="H7321" s="3" t="s">
        <v>16</v>
      </c>
      <c r="I7321" s="4" t="n">
        <v>8</v>
      </c>
      <c r="J7321" s="4" t="n">
        <f aca="false">LEN(E7321)-LEN(SUBSTITUTE(E7321,",",""))+1</f>
        <v>7</v>
      </c>
      <c r="K7321" s="3" t="str">
        <f aca="false">IFERROR(INDEX('Teacher Lookup'!$B$2:$B$200,MATCH(A7321,'Teacher Lookup'!$A$2:$A$200,0)),"")</f>
        <v>WONG Melissa</v>
      </c>
    </row>
    <row r="7322" customFormat="false" ht="15" hidden="false" customHeight="false" outlineLevel="0" collapsed="false">
      <c r="A7322" s="3" t="s">
        <v>481</v>
      </c>
      <c r="B7322" s="4" t="s">
        <v>47</v>
      </c>
      <c r="C7322" s="4" t="n">
        <v>1</v>
      </c>
      <c r="D7322" s="4" t="s">
        <v>30</v>
      </c>
      <c r="E7322" s="3" t="s">
        <v>277</v>
      </c>
      <c r="F7322" s="4" t="str">
        <f aca="false">IF(I7322&gt;J7322,"Y","N")</f>
        <v>Y</v>
      </c>
      <c r="G7322" s="3" t="s">
        <v>272</v>
      </c>
      <c r="H7322" s="3" t="s">
        <v>16</v>
      </c>
      <c r="I7322" s="4" t="n">
        <v>8</v>
      </c>
      <c r="J7322" s="4" t="n">
        <f aca="false">LEN(E7322)-LEN(SUBSTITUTE(E7322,",",""))+1</f>
        <v>7</v>
      </c>
      <c r="K7322" s="3" t="str">
        <f aca="false">IFERROR(INDEX('Teacher Lookup'!$B$2:$B$200,MATCH(A7322,'Teacher Lookup'!$A$2:$A$200,0)),"")</f>
        <v>WONG Melissa</v>
      </c>
    </row>
    <row r="7323" customFormat="false" ht="15" hidden="false" customHeight="false" outlineLevel="0" collapsed="false">
      <c r="A7323" s="3" t="s">
        <v>481</v>
      </c>
      <c r="B7323" s="4" t="s">
        <v>47</v>
      </c>
      <c r="C7323" s="4" t="n">
        <v>3</v>
      </c>
      <c r="D7323" s="4" t="s">
        <v>79</v>
      </c>
      <c r="E7323" s="3" t="s">
        <v>234</v>
      </c>
      <c r="F7323" s="4" t="str">
        <f aca="false">IF(I7323&gt;J7323,"Y","N")</f>
        <v>N</v>
      </c>
      <c r="G7323" s="3" t="s">
        <v>437</v>
      </c>
      <c r="H7323" s="3" t="s">
        <v>26</v>
      </c>
      <c r="I7323" s="4" t="n">
        <v>1</v>
      </c>
      <c r="J7323" s="4" t="n">
        <f aca="false">LEN(E7323)-LEN(SUBSTITUTE(E7323,",",""))+1</f>
        <v>1</v>
      </c>
      <c r="K7323" s="3" t="str">
        <f aca="false">IFERROR(INDEX('Teacher Lookup'!$B$2:$B$200,MATCH(A7323,'Teacher Lookup'!$A$2:$A$200,0)),"")</f>
        <v>WONG Melissa</v>
      </c>
    </row>
    <row r="7324" customFormat="false" ht="15" hidden="false" customHeight="false" outlineLevel="0" collapsed="false">
      <c r="A7324" s="3" t="s">
        <v>481</v>
      </c>
      <c r="B7324" s="4" t="s">
        <v>47</v>
      </c>
      <c r="C7324" s="4" t="n">
        <v>4</v>
      </c>
      <c r="D7324" s="4" t="s">
        <v>137</v>
      </c>
      <c r="E7324" s="3" t="s">
        <v>434</v>
      </c>
      <c r="F7324" s="4" t="str">
        <f aca="false">IF(I7324&gt;J7324,"Y","N")</f>
        <v>N</v>
      </c>
      <c r="G7324" s="3" t="s">
        <v>437</v>
      </c>
      <c r="H7324" s="3" t="s">
        <v>34</v>
      </c>
      <c r="I7324" s="4" t="n">
        <v>1</v>
      </c>
      <c r="J7324" s="4" t="n">
        <f aca="false">LEN(E7324)-LEN(SUBSTITUTE(E7324,",",""))+1</f>
        <v>1</v>
      </c>
      <c r="K7324" s="3" t="str">
        <f aca="false">IFERROR(INDEX('Teacher Lookup'!$B$2:$B$200,MATCH(A7324,'Teacher Lookup'!$A$2:$A$200,0)),"")</f>
        <v>WONG Melissa</v>
      </c>
    </row>
    <row r="7325" customFormat="false" ht="15" hidden="false" customHeight="false" outlineLevel="0" collapsed="false">
      <c r="A7325" s="3" t="s">
        <v>481</v>
      </c>
      <c r="B7325" s="4" t="s">
        <v>47</v>
      </c>
      <c r="C7325" s="4" t="n">
        <v>5</v>
      </c>
      <c r="D7325" s="4" t="s">
        <v>23</v>
      </c>
      <c r="E7325" s="3" t="s">
        <v>353</v>
      </c>
      <c r="F7325" s="4" t="str">
        <f aca="false">IF(I7325&gt;J7325,"Y","N")</f>
        <v>N</v>
      </c>
      <c r="G7325" s="3" t="s">
        <v>437</v>
      </c>
      <c r="H7325" s="3" t="s">
        <v>37</v>
      </c>
      <c r="I7325" s="4" t="n">
        <v>1</v>
      </c>
      <c r="J7325" s="4" t="n">
        <f aca="false">LEN(E7325)-LEN(SUBSTITUTE(E7325,",",""))+1</f>
        <v>1</v>
      </c>
      <c r="K7325" s="3" t="str">
        <f aca="false">IFERROR(INDEX('Teacher Lookup'!$B$2:$B$200,MATCH(A7325,'Teacher Lookup'!$A$2:$A$200,0)),"")</f>
        <v>WONG Melissa</v>
      </c>
    </row>
    <row r="7326" customFormat="false" ht="15" hidden="false" customHeight="false" outlineLevel="0" collapsed="false">
      <c r="A7326" s="3" t="s">
        <v>481</v>
      </c>
      <c r="B7326" s="4" t="s">
        <v>50</v>
      </c>
      <c r="C7326" s="4" t="n">
        <v>4</v>
      </c>
      <c r="D7326" s="4" t="s">
        <v>24</v>
      </c>
      <c r="E7326" s="3" t="s">
        <v>278</v>
      </c>
      <c r="F7326" s="4" t="str">
        <f aca="false">IF(I7326&gt;J7326,"Y","N")</f>
        <v>Y</v>
      </c>
      <c r="G7326" s="3" t="s">
        <v>272</v>
      </c>
      <c r="H7326" s="3" t="s">
        <v>34</v>
      </c>
      <c r="I7326" s="4" t="n">
        <v>8</v>
      </c>
      <c r="J7326" s="4" t="n">
        <f aca="false">LEN(E7326)-LEN(SUBSTITUTE(E7326,",",""))+1</f>
        <v>7</v>
      </c>
      <c r="K7326" s="3" t="str">
        <f aca="false">IFERROR(INDEX('Teacher Lookup'!$B$2:$B$200,MATCH(A7326,'Teacher Lookup'!$A$2:$A$200,0)),"")</f>
        <v>WONG Melissa</v>
      </c>
    </row>
    <row r="7327" customFormat="false" ht="15" hidden="false" customHeight="false" outlineLevel="0" collapsed="false">
      <c r="A7327" s="3" t="s">
        <v>481</v>
      </c>
      <c r="B7327" s="4" t="s">
        <v>50</v>
      </c>
      <c r="C7327" s="4" t="n">
        <v>4</v>
      </c>
      <c r="D7327" s="4" t="s">
        <v>27</v>
      </c>
      <c r="E7327" s="3" t="s">
        <v>278</v>
      </c>
      <c r="F7327" s="4" t="str">
        <f aca="false">IF(I7327&gt;J7327,"Y","N")</f>
        <v>Y</v>
      </c>
      <c r="G7327" s="3" t="s">
        <v>272</v>
      </c>
      <c r="H7327" s="3" t="s">
        <v>34</v>
      </c>
      <c r="I7327" s="4" t="n">
        <v>8</v>
      </c>
      <c r="J7327" s="4" t="n">
        <f aca="false">LEN(E7327)-LEN(SUBSTITUTE(E7327,",",""))+1</f>
        <v>7</v>
      </c>
      <c r="K7327" s="3" t="str">
        <f aca="false">IFERROR(INDEX('Teacher Lookup'!$B$2:$B$200,MATCH(A7327,'Teacher Lookup'!$A$2:$A$200,0)),"")</f>
        <v>WONG Melissa</v>
      </c>
    </row>
    <row r="7328" customFormat="false" ht="15" hidden="false" customHeight="false" outlineLevel="0" collapsed="false">
      <c r="A7328" s="3" t="s">
        <v>481</v>
      </c>
      <c r="B7328" s="4" t="s">
        <v>50</v>
      </c>
      <c r="C7328" s="4" t="n">
        <v>4</v>
      </c>
      <c r="D7328" s="4" t="s">
        <v>28</v>
      </c>
      <c r="E7328" s="3" t="s">
        <v>278</v>
      </c>
      <c r="F7328" s="4" t="str">
        <f aca="false">IF(I7328&gt;J7328,"Y","N")</f>
        <v>Y</v>
      </c>
      <c r="G7328" s="3" t="s">
        <v>272</v>
      </c>
      <c r="H7328" s="3" t="s">
        <v>34</v>
      </c>
      <c r="I7328" s="4" t="n">
        <v>8</v>
      </c>
      <c r="J7328" s="4" t="n">
        <f aca="false">LEN(E7328)-LEN(SUBSTITUTE(E7328,",",""))+1</f>
        <v>7</v>
      </c>
      <c r="K7328" s="3" t="str">
        <f aca="false">IFERROR(INDEX('Teacher Lookup'!$B$2:$B$200,MATCH(A7328,'Teacher Lookup'!$A$2:$A$200,0)),"")</f>
        <v>WONG Melissa</v>
      </c>
    </row>
    <row r="7329" customFormat="false" ht="15" hidden="false" customHeight="false" outlineLevel="0" collapsed="false">
      <c r="A7329" s="3" t="s">
        <v>481</v>
      </c>
      <c r="B7329" s="4" t="s">
        <v>50</v>
      </c>
      <c r="C7329" s="4" t="n">
        <v>4</v>
      </c>
      <c r="D7329" s="4" t="s">
        <v>29</v>
      </c>
      <c r="E7329" s="3" t="s">
        <v>278</v>
      </c>
      <c r="F7329" s="4" t="str">
        <f aca="false">IF(I7329&gt;J7329,"Y","N")</f>
        <v>Y</v>
      </c>
      <c r="G7329" s="3" t="s">
        <v>272</v>
      </c>
      <c r="H7329" s="3" t="s">
        <v>34</v>
      </c>
      <c r="I7329" s="4" t="n">
        <v>8</v>
      </c>
      <c r="J7329" s="4" t="n">
        <f aca="false">LEN(E7329)-LEN(SUBSTITUTE(E7329,",",""))+1</f>
        <v>7</v>
      </c>
      <c r="K7329" s="3" t="str">
        <f aca="false">IFERROR(INDEX('Teacher Lookup'!$B$2:$B$200,MATCH(A7329,'Teacher Lookup'!$A$2:$A$200,0)),"")</f>
        <v>WONG Melissa</v>
      </c>
    </row>
    <row r="7330" customFormat="false" ht="15" hidden="false" customHeight="false" outlineLevel="0" collapsed="false">
      <c r="A7330" s="3" t="s">
        <v>481</v>
      </c>
      <c r="B7330" s="4" t="s">
        <v>50</v>
      </c>
      <c r="C7330" s="4" t="n">
        <v>4</v>
      </c>
      <c r="D7330" s="4" t="s">
        <v>30</v>
      </c>
      <c r="E7330" s="3" t="s">
        <v>278</v>
      </c>
      <c r="F7330" s="4" t="str">
        <f aca="false">IF(I7330&gt;J7330,"Y","N")</f>
        <v>Y</v>
      </c>
      <c r="G7330" s="3" t="s">
        <v>272</v>
      </c>
      <c r="H7330" s="3" t="s">
        <v>34</v>
      </c>
      <c r="I7330" s="4" t="n">
        <v>8</v>
      </c>
      <c r="J7330" s="4" t="n">
        <f aca="false">LEN(E7330)-LEN(SUBSTITUTE(E7330,",",""))+1</f>
        <v>7</v>
      </c>
      <c r="K7330" s="3" t="str">
        <f aca="false">IFERROR(INDEX('Teacher Lookup'!$B$2:$B$200,MATCH(A7330,'Teacher Lookup'!$A$2:$A$200,0)),"")</f>
        <v>WONG Melissa</v>
      </c>
    </row>
    <row r="7331" customFormat="false" ht="15" hidden="false" customHeight="false" outlineLevel="0" collapsed="false">
      <c r="A7331" s="3" t="s">
        <v>481</v>
      </c>
      <c r="B7331" s="4" t="s">
        <v>50</v>
      </c>
      <c r="C7331" s="4" t="n">
        <v>5</v>
      </c>
      <c r="D7331" s="4" t="s">
        <v>24</v>
      </c>
      <c r="E7331" s="3" t="s">
        <v>278</v>
      </c>
      <c r="F7331" s="4" t="str">
        <f aca="false">IF(I7331&gt;J7331,"Y","N")</f>
        <v>Y</v>
      </c>
      <c r="G7331" s="3" t="s">
        <v>272</v>
      </c>
      <c r="H7331" s="3" t="s">
        <v>37</v>
      </c>
      <c r="I7331" s="4" t="n">
        <v>8</v>
      </c>
      <c r="J7331" s="4" t="n">
        <f aca="false">LEN(E7331)-LEN(SUBSTITUTE(E7331,",",""))+1</f>
        <v>7</v>
      </c>
      <c r="K7331" s="3" t="str">
        <f aca="false">IFERROR(INDEX('Teacher Lookup'!$B$2:$B$200,MATCH(A7331,'Teacher Lookup'!$A$2:$A$200,0)),"")</f>
        <v>WONG Melissa</v>
      </c>
    </row>
    <row r="7332" customFormat="false" ht="15" hidden="false" customHeight="false" outlineLevel="0" collapsed="false">
      <c r="A7332" s="3" t="s">
        <v>481</v>
      </c>
      <c r="B7332" s="4" t="s">
        <v>50</v>
      </c>
      <c r="C7332" s="4" t="n">
        <v>5</v>
      </c>
      <c r="D7332" s="4" t="s">
        <v>27</v>
      </c>
      <c r="E7332" s="3" t="s">
        <v>278</v>
      </c>
      <c r="F7332" s="4" t="str">
        <f aca="false">IF(I7332&gt;J7332,"Y","N")</f>
        <v>Y</v>
      </c>
      <c r="G7332" s="3" t="s">
        <v>272</v>
      </c>
      <c r="H7332" s="3" t="s">
        <v>37</v>
      </c>
      <c r="I7332" s="4" t="n">
        <v>8</v>
      </c>
      <c r="J7332" s="4" t="n">
        <f aca="false">LEN(E7332)-LEN(SUBSTITUTE(E7332,",",""))+1</f>
        <v>7</v>
      </c>
      <c r="K7332" s="3" t="str">
        <f aca="false">IFERROR(INDEX('Teacher Lookup'!$B$2:$B$200,MATCH(A7332,'Teacher Lookup'!$A$2:$A$200,0)),"")</f>
        <v>WONG Melissa</v>
      </c>
    </row>
    <row r="7333" customFormat="false" ht="15" hidden="false" customHeight="false" outlineLevel="0" collapsed="false">
      <c r="A7333" s="3" t="s">
        <v>481</v>
      </c>
      <c r="B7333" s="4" t="s">
        <v>50</v>
      </c>
      <c r="C7333" s="4" t="n">
        <v>5</v>
      </c>
      <c r="D7333" s="4" t="s">
        <v>28</v>
      </c>
      <c r="E7333" s="3" t="s">
        <v>278</v>
      </c>
      <c r="F7333" s="4" t="str">
        <f aca="false">IF(I7333&gt;J7333,"Y","N")</f>
        <v>Y</v>
      </c>
      <c r="G7333" s="3" t="s">
        <v>272</v>
      </c>
      <c r="H7333" s="3" t="s">
        <v>37</v>
      </c>
      <c r="I7333" s="4" t="n">
        <v>8</v>
      </c>
      <c r="J7333" s="4" t="n">
        <f aca="false">LEN(E7333)-LEN(SUBSTITUTE(E7333,",",""))+1</f>
        <v>7</v>
      </c>
      <c r="K7333" s="3" t="str">
        <f aca="false">IFERROR(INDEX('Teacher Lookup'!$B$2:$B$200,MATCH(A7333,'Teacher Lookup'!$A$2:$A$200,0)),"")</f>
        <v>WONG Melissa</v>
      </c>
    </row>
    <row r="7334" customFormat="false" ht="15" hidden="false" customHeight="false" outlineLevel="0" collapsed="false">
      <c r="A7334" s="3" t="s">
        <v>481</v>
      </c>
      <c r="B7334" s="4" t="s">
        <v>50</v>
      </c>
      <c r="C7334" s="4" t="n">
        <v>5</v>
      </c>
      <c r="D7334" s="4" t="s">
        <v>29</v>
      </c>
      <c r="E7334" s="3" t="s">
        <v>278</v>
      </c>
      <c r="F7334" s="4" t="str">
        <f aca="false">IF(I7334&gt;J7334,"Y","N")</f>
        <v>Y</v>
      </c>
      <c r="G7334" s="3" t="s">
        <v>272</v>
      </c>
      <c r="H7334" s="3" t="s">
        <v>37</v>
      </c>
      <c r="I7334" s="4" t="n">
        <v>8</v>
      </c>
      <c r="J7334" s="4" t="n">
        <f aca="false">LEN(E7334)-LEN(SUBSTITUTE(E7334,",",""))+1</f>
        <v>7</v>
      </c>
      <c r="K7334" s="3" t="str">
        <f aca="false">IFERROR(INDEX('Teacher Lookup'!$B$2:$B$200,MATCH(A7334,'Teacher Lookup'!$A$2:$A$200,0)),"")</f>
        <v>WONG Melissa</v>
      </c>
    </row>
    <row r="7335" customFormat="false" ht="15" hidden="false" customHeight="false" outlineLevel="0" collapsed="false">
      <c r="A7335" s="3" t="s">
        <v>481</v>
      </c>
      <c r="B7335" s="4" t="s">
        <v>50</v>
      </c>
      <c r="C7335" s="4" t="n">
        <v>5</v>
      </c>
      <c r="D7335" s="4" t="s">
        <v>30</v>
      </c>
      <c r="E7335" s="3" t="s">
        <v>278</v>
      </c>
      <c r="F7335" s="4" t="str">
        <f aca="false">IF(I7335&gt;J7335,"Y","N")</f>
        <v>Y</v>
      </c>
      <c r="G7335" s="3" t="s">
        <v>272</v>
      </c>
      <c r="H7335" s="3" t="s">
        <v>37</v>
      </c>
      <c r="I7335" s="4" t="n">
        <v>8</v>
      </c>
      <c r="J7335" s="4" t="n">
        <f aca="false">LEN(E7335)-LEN(SUBSTITUTE(E7335,",",""))+1</f>
        <v>7</v>
      </c>
      <c r="K7335" s="3" t="str">
        <f aca="false">IFERROR(INDEX('Teacher Lookup'!$B$2:$B$200,MATCH(A7335,'Teacher Lookup'!$A$2:$A$200,0)),"")</f>
        <v>WONG Melissa</v>
      </c>
    </row>
    <row r="7336" customFormat="false" ht="15" hidden="false" customHeight="false" outlineLevel="0" collapsed="false">
      <c r="A7336" s="3" t="s">
        <v>481</v>
      </c>
      <c r="B7336" s="4" t="s">
        <v>50</v>
      </c>
      <c r="C7336" s="4" t="n">
        <v>7</v>
      </c>
      <c r="D7336" s="4" t="s">
        <v>23</v>
      </c>
      <c r="E7336" s="3" t="s">
        <v>353</v>
      </c>
      <c r="F7336" s="4" t="str">
        <f aca="false">IF(I7336&gt;J7336,"Y","N")</f>
        <v>N</v>
      </c>
      <c r="G7336" s="3" t="s">
        <v>437</v>
      </c>
      <c r="H7336" s="3" t="s">
        <v>39</v>
      </c>
      <c r="I7336" s="4" t="n">
        <v>1</v>
      </c>
      <c r="J7336" s="4" t="n">
        <f aca="false">LEN(E7336)-LEN(SUBSTITUTE(E7336,",",""))+1</f>
        <v>1</v>
      </c>
      <c r="K7336" s="3" t="str">
        <f aca="false">IFERROR(INDEX('Teacher Lookup'!$B$2:$B$200,MATCH(A7336,'Teacher Lookup'!$A$2:$A$200,0)),"")</f>
        <v>WONG Melissa</v>
      </c>
    </row>
    <row r="7337" customFormat="false" ht="15" hidden="false" customHeight="false" outlineLevel="0" collapsed="false">
      <c r="A7337" s="3" t="s">
        <v>481</v>
      </c>
      <c r="B7337" s="4" t="s">
        <v>60</v>
      </c>
      <c r="C7337" s="4" t="n">
        <v>1</v>
      </c>
      <c r="D7337" s="4" t="s">
        <v>70</v>
      </c>
      <c r="E7337" s="3" t="s">
        <v>108</v>
      </c>
      <c r="F7337" s="4" t="str">
        <f aca="false">IF(I7337&gt;J7337,"Y","N")</f>
        <v>N</v>
      </c>
      <c r="G7337" s="3" t="s">
        <v>437</v>
      </c>
      <c r="H7337" s="3" t="s">
        <v>16</v>
      </c>
      <c r="I7337" s="4" t="n">
        <v>1</v>
      </c>
      <c r="J7337" s="4" t="n">
        <f aca="false">LEN(E7337)-LEN(SUBSTITUTE(E7337,",",""))+1</f>
        <v>1</v>
      </c>
      <c r="K7337" s="3" t="str">
        <f aca="false">IFERROR(INDEX('Teacher Lookup'!$B$2:$B$200,MATCH(A7337,'Teacher Lookup'!$A$2:$A$200,0)),"")</f>
        <v>WONG Melissa</v>
      </c>
    </row>
    <row r="7338" customFormat="false" ht="15" hidden="false" customHeight="false" outlineLevel="0" collapsed="false">
      <c r="A7338" s="3" t="s">
        <v>481</v>
      </c>
      <c r="B7338" s="4" t="s">
        <v>60</v>
      </c>
      <c r="C7338" s="4" t="n">
        <v>2</v>
      </c>
      <c r="D7338" s="4" t="s">
        <v>24</v>
      </c>
      <c r="E7338" s="3" t="s">
        <v>280</v>
      </c>
      <c r="F7338" s="4" t="str">
        <f aca="false">IF(I7338&gt;J7338,"Y","N")</f>
        <v>Y</v>
      </c>
      <c r="G7338" s="3" t="s">
        <v>272</v>
      </c>
      <c r="H7338" s="3" t="s">
        <v>21</v>
      </c>
      <c r="I7338" s="4" t="n">
        <v>8</v>
      </c>
      <c r="J7338" s="4" t="n">
        <f aca="false">LEN(E7338)-LEN(SUBSTITUTE(E7338,",",""))+1</f>
        <v>7</v>
      </c>
      <c r="K7338" s="3" t="str">
        <f aca="false">IFERROR(INDEX('Teacher Lookup'!$B$2:$B$200,MATCH(A7338,'Teacher Lookup'!$A$2:$A$200,0)),"")</f>
        <v>WONG Melissa</v>
      </c>
    </row>
    <row r="7339" customFormat="false" ht="15" hidden="false" customHeight="false" outlineLevel="0" collapsed="false">
      <c r="A7339" s="3" t="s">
        <v>481</v>
      </c>
      <c r="B7339" s="4" t="s">
        <v>60</v>
      </c>
      <c r="C7339" s="4" t="n">
        <v>2</v>
      </c>
      <c r="D7339" s="4" t="s">
        <v>27</v>
      </c>
      <c r="E7339" s="3" t="s">
        <v>280</v>
      </c>
      <c r="F7339" s="4" t="str">
        <f aca="false">IF(I7339&gt;J7339,"Y","N")</f>
        <v>Y</v>
      </c>
      <c r="G7339" s="3" t="s">
        <v>272</v>
      </c>
      <c r="H7339" s="3" t="s">
        <v>21</v>
      </c>
      <c r="I7339" s="4" t="n">
        <v>8</v>
      </c>
      <c r="J7339" s="4" t="n">
        <f aca="false">LEN(E7339)-LEN(SUBSTITUTE(E7339,",",""))+1</f>
        <v>7</v>
      </c>
      <c r="K7339" s="3" t="str">
        <f aca="false">IFERROR(INDEX('Teacher Lookup'!$B$2:$B$200,MATCH(A7339,'Teacher Lookup'!$A$2:$A$200,0)),"")</f>
        <v>WONG Melissa</v>
      </c>
    </row>
    <row r="7340" customFormat="false" ht="15" hidden="false" customHeight="false" outlineLevel="0" collapsed="false">
      <c r="A7340" s="3" t="s">
        <v>481</v>
      </c>
      <c r="B7340" s="4" t="s">
        <v>60</v>
      </c>
      <c r="C7340" s="4" t="n">
        <v>2</v>
      </c>
      <c r="D7340" s="4" t="s">
        <v>28</v>
      </c>
      <c r="E7340" s="3" t="s">
        <v>280</v>
      </c>
      <c r="F7340" s="4" t="str">
        <f aca="false">IF(I7340&gt;J7340,"Y","N")</f>
        <v>Y</v>
      </c>
      <c r="G7340" s="3" t="s">
        <v>272</v>
      </c>
      <c r="H7340" s="3" t="s">
        <v>21</v>
      </c>
      <c r="I7340" s="4" t="n">
        <v>8</v>
      </c>
      <c r="J7340" s="4" t="n">
        <f aca="false">LEN(E7340)-LEN(SUBSTITUTE(E7340,",",""))+1</f>
        <v>7</v>
      </c>
      <c r="K7340" s="3" t="str">
        <f aca="false">IFERROR(INDEX('Teacher Lookup'!$B$2:$B$200,MATCH(A7340,'Teacher Lookup'!$A$2:$A$200,0)),"")</f>
        <v>WONG Melissa</v>
      </c>
    </row>
    <row r="7341" customFormat="false" ht="15" hidden="false" customHeight="false" outlineLevel="0" collapsed="false">
      <c r="A7341" s="3" t="s">
        <v>481</v>
      </c>
      <c r="B7341" s="4" t="s">
        <v>60</v>
      </c>
      <c r="C7341" s="4" t="n">
        <v>2</v>
      </c>
      <c r="D7341" s="4" t="s">
        <v>29</v>
      </c>
      <c r="E7341" s="3" t="s">
        <v>280</v>
      </c>
      <c r="F7341" s="4" t="str">
        <f aca="false">IF(I7341&gt;J7341,"Y","N")</f>
        <v>Y</v>
      </c>
      <c r="G7341" s="3" t="s">
        <v>272</v>
      </c>
      <c r="H7341" s="3" t="s">
        <v>21</v>
      </c>
      <c r="I7341" s="4" t="n">
        <v>8</v>
      </c>
      <c r="J7341" s="4" t="n">
        <f aca="false">LEN(E7341)-LEN(SUBSTITUTE(E7341,",",""))+1</f>
        <v>7</v>
      </c>
      <c r="K7341" s="3" t="str">
        <f aca="false">IFERROR(INDEX('Teacher Lookup'!$B$2:$B$200,MATCH(A7341,'Teacher Lookup'!$A$2:$A$200,0)),"")</f>
        <v>WONG Melissa</v>
      </c>
    </row>
    <row r="7342" customFormat="false" ht="15" hidden="false" customHeight="false" outlineLevel="0" collapsed="false">
      <c r="A7342" s="3" t="s">
        <v>481</v>
      </c>
      <c r="B7342" s="4" t="s">
        <v>60</v>
      </c>
      <c r="C7342" s="4" t="n">
        <v>2</v>
      </c>
      <c r="D7342" s="4" t="s">
        <v>30</v>
      </c>
      <c r="E7342" s="3" t="s">
        <v>280</v>
      </c>
      <c r="F7342" s="4" t="str">
        <f aca="false">IF(I7342&gt;J7342,"Y","N")</f>
        <v>Y</v>
      </c>
      <c r="G7342" s="3" t="s">
        <v>272</v>
      </c>
      <c r="H7342" s="3" t="s">
        <v>21</v>
      </c>
      <c r="I7342" s="4" t="n">
        <v>8</v>
      </c>
      <c r="J7342" s="4" t="n">
        <f aca="false">LEN(E7342)-LEN(SUBSTITUTE(E7342,",",""))+1</f>
        <v>7</v>
      </c>
      <c r="K7342" s="3" t="str">
        <f aca="false">IFERROR(INDEX('Teacher Lookup'!$B$2:$B$200,MATCH(A7342,'Teacher Lookup'!$A$2:$A$200,0)),"")</f>
        <v>WONG Melissa</v>
      </c>
    </row>
    <row r="7343" customFormat="false" ht="15" hidden="false" customHeight="false" outlineLevel="0" collapsed="false">
      <c r="A7343" s="3" t="s">
        <v>481</v>
      </c>
      <c r="B7343" s="4" t="s">
        <v>60</v>
      </c>
      <c r="C7343" s="4" t="n">
        <v>5</v>
      </c>
      <c r="D7343" s="4" t="s">
        <v>70</v>
      </c>
      <c r="E7343" s="3" t="s">
        <v>81</v>
      </c>
      <c r="F7343" s="4" t="str">
        <f aca="false">IF(I7343&gt;J7343,"Y","N")</f>
        <v>Y</v>
      </c>
      <c r="G7343" s="3" t="s">
        <v>36</v>
      </c>
      <c r="H7343" s="3" t="s">
        <v>37</v>
      </c>
      <c r="I7343" s="4" t="n">
        <v>15</v>
      </c>
      <c r="J7343" s="4" t="n">
        <f aca="false">LEN(E7343)-LEN(SUBSTITUTE(E7343,",",""))+1</f>
        <v>7</v>
      </c>
      <c r="K7343" s="3" t="str">
        <f aca="false">IFERROR(INDEX('Teacher Lookup'!$B$2:$B$200,MATCH(A7343,'Teacher Lookup'!$A$2:$A$200,0)),"")</f>
        <v>WONG Melissa</v>
      </c>
    </row>
    <row r="7344" customFormat="false" ht="15" hidden="false" customHeight="false" outlineLevel="0" collapsed="false">
      <c r="A7344" s="3" t="s">
        <v>481</v>
      </c>
      <c r="B7344" s="4" t="s">
        <v>60</v>
      </c>
      <c r="C7344" s="4" t="n">
        <v>5</v>
      </c>
      <c r="D7344" s="4" t="s">
        <v>73</v>
      </c>
      <c r="E7344" s="3" t="s">
        <v>81</v>
      </c>
      <c r="F7344" s="4" t="str">
        <f aca="false">IF(I7344&gt;J7344,"Y","N")</f>
        <v>Y</v>
      </c>
      <c r="G7344" s="3" t="s">
        <v>36</v>
      </c>
      <c r="H7344" s="3" t="s">
        <v>37</v>
      </c>
      <c r="I7344" s="4" t="n">
        <v>15</v>
      </c>
      <c r="J7344" s="4" t="n">
        <f aca="false">LEN(E7344)-LEN(SUBSTITUTE(E7344,",",""))+1</f>
        <v>7</v>
      </c>
      <c r="K7344" s="3" t="str">
        <f aca="false">IFERROR(INDEX('Teacher Lookup'!$B$2:$B$200,MATCH(A7344,'Teacher Lookup'!$A$2:$A$200,0)),"")</f>
        <v>WONG Melissa</v>
      </c>
    </row>
    <row r="7345" customFormat="false" ht="15" hidden="false" customHeight="false" outlineLevel="0" collapsed="false">
      <c r="A7345" s="3" t="s">
        <v>481</v>
      </c>
      <c r="B7345" s="4" t="s">
        <v>60</v>
      </c>
      <c r="C7345" s="4" t="n">
        <v>5</v>
      </c>
      <c r="D7345" s="4" t="s">
        <v>74</v>
      </c>
      <c r="E7345" s="3" t="s">
        <v>81</v>
      </c>
      <c r="F7345" s="4" t="str">
        <f aca="false">IF(I7345&gt;J7345,"Y","N")</f>
        <v>Y</v>
      </c>
      <c r="G7345" s="3" t="s">
        <v>36</v>
      </c>
      <c r="H7345" s="3" t="s">
        <v>37</v>
      </c>
      <c r="I7345" s="4" t="n">
        <v>15</v>
      </c>
      <c r="J7345" s="4" t="n">
        <f aca="false">LEN(E7345)-LEN(SUBSTITUTE(E7345,",",""))+1</f>
        <v>7</v>
      </c>
      <c r="K7345" s="3" t="str">
        <f aca="false">IFERROR(INDEX('Teacher Lookup'!$B$2:$B$200,MATCH(A7345,'Teacher Lookup'!$A$2:$A$200,0)),"")</f>
        <v>WONG Melissa</v>
      </c>
    </row>
    <row r="7346" customFormat="false" ht="15" hidden="false" customHeight="false" outlineLevel="0" collapsed="false">
      <c r="A7346" s="3" t="s">
        <v>481</v>
      </c>
      <c r="B7346" s="4" t="s">
        <v>60</v>
      </c>
      <c r="C7346" s="4" t="n">
        <v>5</v>
      </c>
      <c r="D7346" s="4" t="s">
        <v>76</v>
      </c>
      <c r="E7346" s="3" t="s">
        <v>81</v>
      </c>
      <c r="F7346" s="4" t="str">
        <f aca="false">IF(I7346&gt;J7346,"Y","N")</f>
        <v>Y</v>
      </c>
      <c r="G7346" s="3" t="s">
        <v>36</v>
      </c>
      <c r="H7346" s="3" t="s">
        <v>37</v>
      </c>
      <c r="I7346" s="4" t="n">
        <v>15</v>
      </c>
      <c r="J7346" s="4" t="n">
        <f aca="false">LEN(E7346)-LEN(SUBSTITUTE(E7346,",",""))+1</f>
        <v>7</v>
      </c>
      <c r="K7346" s="3" t="str">
        <f aca="false">IFERROR(INDEX('Teacher Lookup'!$B$2:$B$200,MATCH(A7346,'Teacher Lookup'!$A$2:$A$200,0)),"")</f>
        <v>WONG Melissa</v>
      </c>
    </row>
    <row r="7347" customFormat="false" ht="15" hidden="false" customHeight="false" outlineLevel="0" collapsed="false">
      <c r="A7347" s="3" t="s">
        <v>481</v>
      </c>
      <c r="B7347" s="4" t="s">
        <v>60</v>
      </c>
      <c r="C7347" s="4" t="n">
        <v>5</v>
      </c>
      <c r="D7347" s="4" t="s">
        <v>78</v>
      </c>
      <c r="E7347" s="3" t="s">
        <v>81</v>
      </c>
      <c r="F7347" s="4" t="str">
        <f aca="false">IF(I7347&gt;J7347,"Y","N")</f>
        <v>Y</v>
      </c>
      <c r="G7347" s="3" t="s">
        <v>36</v>
      </c>
      <c r="H7347" s="3" t="s">
        <v>37</v>
      </c>
      <c r="I7347" s="4" t="n">
        <v>15</v>
      </c>
      <c r="J7347" s="4" t="n">
        <f aca="false">LEN(E7347)-LEN(SUBSTITUTE(E7347,",",""))+1</f>
        <v>7</v>
      </c>
      <c r="K7347" s="3" t="str">
        <f aca="false">IFERROR(INDEX('Teacher Lookup'!$B$2:$B$200,MATCH(A7347,'Teacher Lookup'!$A$2:$A$200,0)),"")</f>
        <v>WONG Melissa</v>
      </c>
    </row>
    <row r="7348" customFormat="false" ht="15" hidden="false" customHeight="false" outlineLevel="0" collapsed="false">
      <c r="A7348" s="3" t="s">
        <v>481</v>
      </c>
      <c r="B7348" s="4" t="s">
        <v>60</v>
      </c>
      <c r="C7348" s="4" t="n">
        <v>5</v>
      </c>
      <c r="D7348" s="4" t="s">
        <v>79</v>
      </c>
      <c r="E7348" s="3" t="s">
        <v>81</v>
      </c>
      <c r="F7348" s="4" t="str">
        <f aca="false">IF(I7348&gt;J7348,"Y","N")</f>
        <v>Y</v>
      </c>
      <c r="G7348" s="3" t="s">
        <v>36</v>
      </c>
      <c r="H7348" s="3" t="s">
        <v>37</v>
      </c>
      <c r="I7348" s="4" t="n">
        <v>15</v>
      </c>
      <c r="J7348" s="4" t="n">
        <f aca="false">LEN(E7348)-LEN(SUBSTITUTE(E7348,",",""))+1</f>
        <v>7</v>
      </c>
      <c r="K7348" s="3" t="str">
        <f aca="false">IFERROR(INDEX('Teacher Lookup'!$B$2:$B$200,MATCH(A7348,'Teacher Lookup'!$A$2:$A$200,0)),"")</f>
        <v>WONG Melissa</v>
      </c>
    </row>
    <row r="7349" customFormat="false" ht="15" hidden="false" customHeight="false" outlineLevel="0" collapsed="false">
      <c r="A7349" s="3" t="s">
        <v>481</v>
      </c>
      <c r="B7349" s="4" t="s">
        <v>60</v>
      </c>
      <c r="C7349" s="4" t="n">
        <v>7</v>
      </c>
      <c r="D7349" s="4" t="s">
        <v>79</v>
      </c>
      <c r="E7349" s="3" t="s">
        <v>234</v>
      </c>
      <c r="F7349" s="4" t="str">
        <f aca="false">IF(I7349&gt;J7349,"Y","N")</f>
        <v>N</v>
      </c>
      <c r="G7349" s="3" t="s">
        <v>437</v>
      </c>
      <c r="H7349" s="3" t="s">
        <v>39</v>
      </c>
      <c r="I7349" s="4" t="n">
        <v>1</v>
      </c>
      <c r="J7349" s="4" t="n">
        <f aca="false">LEN(E7349)-LEN(SUBSTITUTE(E7349,",",""))+1</f>
        <v>1</v>
      </c>
      <c r="K7349" s="3" t="str">
        <f aca="false">IFERROR(INDEX('Teacher Lookup'!$B$2:$B$200,MATCH(A7349,'Teacher Lookup'!$A$2:$A$200,0)),"")</f>
        <v>WONG Melissa</v>
      </c>
    </row>
    <row r="7350" customFormat="false" ht="15" hidden="false" customHeight="false" outlineLevel="0" collapsed="false">
      <c r="A7350" s="3" t="s">
        <v>481</v>
      </c>
      <c r="B7350" s="4" t="s">
        <v>63</v>
      </c>
      <c r="C7350" s="4" t="n">
        <v>1</v>
      </c>
      <c r="D7350" s="4" t="s">
        <v>23</v>
      </c>
      <c r="E7350" s="3" t="s">
        <v>353</v>
      </c>
      <c r="F7350" s="4" t="str">
        <f aca="false">IF(I7350&gt;J7350,"Y","N")</f>
        <v>N</v>
      </c>
      <c r="G7350" s="3" t="s">
        <v>437</v>
      </c>
      <c r="H7350" s="3" t="s">
        <v>16</v>
      </c>
      <c r="I7350" s="4" t="n">
        <v>1</v>
      </c>
      <c r="J7350" s="4" t="n">
        <f aca="false">LEN(E7350)-LEN(SUBSTITUTE(E7350,",",""))+1</f>
        <v>1</v>
      </c>
      <c r="K7350" s="3" t="str">
        <f aca="false">IFERROR(INDEX('Teacher Lookup'!$B$2:$B$200,MATCH(A7350,'Teacher Lookup'!$A$2:$A$200,0)),"")</f>
        <v>WONG Melissa</v>
      </c>
    </row>
    <row r="7351" customFormat="false" ht="15" hidden="false" customHeight="false" outlineLevel="0" collapsed="false">
      <c r="A7351" s="3" t="s">
        <v>481</v>
      </c>
      <c r="B7351" s="4" t="s">
        <v>63</v>
      </c>
      <c r="C7351" s="4" t="n">
        <v>2</v>
      </c>
      <c r="D7351" s="4" t="s">
        <v>24</v>
      </c>
      <c r="E7351" s="3" t="s">
        <v>271</v>
      </c>
      <c r="F7351" s="4" t="str">
        <f aca="false">IF(I7351&gt;J7351,"Y","N")</f>
        <v>Y</v>
      </c>
      <c r="G7351" s="3" t="s">
        <v>272</v>
      </c>
      <c r="H7351" s="3" t="s">
        <v>21</v>
      </c>
      <c r="I7351" s="4" t="n">
        <v>8</v>
      </c>
      <c r="J7351" s="4" t="n">
        <f aca="false">LEN(E7351)-LEN(SUBSTITUTE(E7351,",",""))+1</f>
        <v>7</v>
      </c>
      <c r="K7351" s="3" t="str">
        <f aca="false">IFERROR(INDEX('Teacher Lookup'!$B$2:$B$200,MATCH(A7351,'Teacher Lookup'!$A$2:$A$200,0)),"")</f>
        <v>WONG Melissa</v>
      </c>
    </row>
    <row r="7352" customFormat="false" ht="15" hidden="false" customHeight="false" outlineLevel="0" collapsed="false">
      <c r="A7352" s="3" t="s">
        <v>481</v>
      </c>
      <c r="B7352" s="4" t="s">
        <v>63</v>
      </c>
      <c r="C7352" s="4" t="n">
        <v>2</v>
      </c>
      <c r="D7352" s="4" t="s">
        <v>27</v>
      </c>
      <c r="E7352" s="3" t="s">
        <v>271</v>
      </c>
      <c r="F7352" s="4" t="str">
        <f aca="false">IF(I7352&gt;J7352,"Y","N")</f>
        <v>Y</v>
      </c>
      <c r="G7352" s="3" t="s">
        <v>272</v>
      </c>
      <c r="H7352" s="3" t="s">
        <v>21</v>
      </c>
      <c r="I7352" s="4" t="n">
        <v>8</v>
      </c>
      <c r="J7352" s="4" t="n">
        <f aca="false">LEN(E7352)-LEN(SUBSTITUTE(E7352,",",""))+1</f>
        <v>7</v>
      </c>
      <c r="K7352" s="3" t="str">
        <f aca="false">IFERROR(INDEX('Teacher Lookup'!$B$2:$B$200,MATCH(A7352,'Teacher Lookup'!$A$2:$A$200,0)),"")</f>
        <v>WONG Melissa</v>
      </c>
    </row>
    <row r="7353" customFormat="false" ht="15" hidden="false" customHeight="false" outlineLevel="0" collapsed="false">
      <c r="A7353" s="3" t="s">
        <v>481</v>
      </c>
      <c r="B7353" s="4" t="s">
        <v>63</v>
      </c>
      <c r="C7353" s="4" t="n">
        <v>2</v>
      </c>
      <c r="D7353" s="4" t="s">
        <v>28</v>
      </c>
      <c r="E7353" s="3" t="s">
        <v>271</v>
      </c>
      <c r="F7353" s="4" t="str">
        <f aca="false">IF(I7353&gt;J7353,"Y","N")</f>
        <v>Y</v>
      </c>
      <c r="G7353" s="3" t="s">
        <v>272</v>
      </c>
      <c r="H7353" s="3" t="s">
        <v>21</v>
      </c>
      <c r="I7353" s="4" t="n">
        <v>8</v>
      </c>
      <c r="J7353" s="4" t="n">
        <f aca="false">LEN(E7353)-LEN(SUBSTITUTE(E7353,",",""))+1</f>
        <v>7</v>
      </c>
      <c r="K7353" s="3" t="str">
        <f aca="false">IFERROR(INDEX('Teacher Lookup'!$B$2:$B$200,MATCH(A7353,'Teacher Lookup'!$A$2:$A$200,0)),"")</f>
        <v>WONG Melissa</v>
      </c>
    </row>
    <row r="7354" customFormat="false" ht="15" hidden="false" customHeight="false" outlineLevel="0" collapsed="false">
      <c r="A7354" s="3" t="s">
        <v>481</v>
      </c>
      <c r="B7354" s="4" t="s">
        <v>63</v>
      </c>
      <c r="C7354" s="4" t="n">
        <v>2</v>
      </c>
      <c r="D7354" s="4" t="s">
        <v>29</v>
      </c>
      <c r="E7354" s="3" t="s">
        <v>271</v>
      </c>
      <c r="F7354" s="4" t="str">
        <f aca="false">IF(I7354&gt;J7354,"Y","N")</f>
        <v>Y</v>
      </c>
      <c r="G7354" s="3" t="s">
        <v>272</v>
      </c>
      <c r="H7354" s="3" t="s">
        <v>21</v>
      </c>
      <c r="I7354" s="4" t="n">
        <v>8</v>
      </c>
      <c r="J7354" s="4" t="n">
        <f aca="false">LEN(E7354)-LEN(SUBSTITUTE(E7354,",",""))+1</f>
        <v>7</v>
      </c>
      <c r="K7354" s="3" t="str">
        <f aca="false">IFERROR(INDEX('Teacher Lookup'!$B$2:$B$200,MATCH(A7354,'Teacher Lookup'!$A$2:$A$200,0)),"")</f>
        <v>WONG Melissa</v>
      </c>
    </row>
    <row r="7355" customFormat="false" ht="15" hidden="false" customHeight="false" outlineLevel="0" collapsed="false">
      <c r="A7355" s="3" t="s">
        <v>481</v>
      </c>
      <c r="B7355" s="4" t="s">
        <v>63</v>
      </c>
      <c r="C7355" s="4" t="n">
        <v>2</v>
      </c>
      <c r="D7355" s="4" t="s">
        <v>30</v>
      </c>
      <c r="E7355" s="3" t="s">
        <v>271</v>
      </c>
      <c r="F7355" s="4" t="str">
        <f aca="false">IF(I7355&gt;J7355,"Y","N")</f>
        <v>Y</v>
      </c>
      <c r="G7355" s="3" t="s">
        <v>272</v>
      </c>
      <c r="H7355" s="3" t="s">
        <v>21</v>
      </c>
      <c r="I7355" s="4" t="n">
        <v>8</v>
      </c>
      <c r="J7355" s="4" t="n">
        <f aca="false">LEN(E7355)-LEN(SUBSTITUTE(E7355,",",""))+1</f>
        <v>7</v>
      </c>
      <c r="K7355" s="3" t="str">
        <f aca="false">IFERROR(INDEX('Teacher Lookup'!$B$2:$B$200,MATCH(A7355,'Teacher Lookup'!$A$2:$A$200,0)),"")</f>
        <v>WONG Melissa</v>
      </c>
    </row>
    <row r="7356" customFormat="false" ht="15" hidden="false" customHeight="false" outlineLevel="0" collapsed="false">
      <c r="A7356" s="3" t="s">
        <v>481</v>
      </c>
      <c r="B7356" s="4" t="s">
        <v>63</v>
      </c>
      <c r="C7356" s="4" t="n">
        <v>3</v>
      </c>
      <c r="D7356" s="4" t="s">
        <v>13</v>
      </c>
      <c r="E7356" s="3" t="s">
        <v>351</v>
      </c>
      <c r="F7356" s="4" t="str">
        <f aca="false">IF(I7356&gt;J7356,"Y","N")</f>
        <v>N</v>
      </c>
      <c r="G7356" s="3" t="s">
        <v>437</v>
      </c>
      <c r="H7356" s="3" t="s">
        <v>26</v>
      </c>
      <c r="I7356" s="4" t="n">
        <v>1</v>
      </c>
      <c r="J7356" s="4" t="n">
        <f aca="false">LEN(E7356)-LEN(SUBSTITUTE(E7356,",",""))+1</f>
        <v>1</v>
      </c>
      <c r="K7356" s="3" t="str">
        <f aca="false">IFERROR(INDEX('Teacher Lookup'!$B$2:$B$200,MATCH(A7356,'Teacher Lookup'!$A$2:$A$200,0)),"")</f>
        <v>WONG Melissa</v>
      </c>
    </row>
    <row r="7357" customFormat="false" ht="15" hidden="false" customHeight="false" outlineLevel="0" collapsed="false">
      <c r="A7357" s="3" t="s">
        <v>481</v>
      </c>
      <c r="B7357" s="4" t="s">
        <v>63</v>
      </c>
      <c r="C7357" s="4" t="n">
        <v>4</v>
      </c>
      <c r="D7357" s="4" t="s">
        <v>70</v>
      </c>
      <c r="E7357" s="3" t="s">
        <v>213</v>
      </c>
      <c r="F7357" s="4" t="str">
        <f aca="false">IF(I7357&gt;J7357,"Y","N")</f>
        <v>Y</v>
      </c>
      <c r="G7357" s="3" t="s">
        <v>214</v>
      </c>
      <c r="H7357" s="3" t="s">
        <v>34</v>
      </c>
      <c r="I7357" s="4" t="n">
        <v>20</v>
      </c>
      <c r="J7357" s="4" t="n">
        <f aca="false">LEN(E7357)-LEN(SUBSTITUTE(E7357,",",""))+1</f>
        <v>6</v>
      </c>
      <c r="K7357" s="3" t="str">
        <f aca="false">IFERROR(INDEX('Teacher Lookup'!$B$2:$B$200,MATCH(A7357,'Teacher Lookup'!$A$2:$A$200,0)),"")</f>
        <v>WONG Melissa</v>
      </c>
    </row>
    <row r="7358" customFormat="false" ht="15" hidden="false" customHeight="false" outlineLevel="0" collapsed="false">
      <c r="A7358" s="3" t="s">
        <v>481</v>
      </c>
      <c r="B7358" s="4" t="s">
        <v>63</v>
      </c>
      <c r="C7358" s="4" t="n">
        <v>4</v>
      </c>
      <c r="D7358" s="4" t="s">
        <v>73</v>
      </c>
      <c r="E7358" s="3" t="s">
        <v>213</v>
      </c>
      <c r="F7358" s="4" t="str">
        <f aca="false">IF(I7358&gt;J7358,"Y","N")</f>
        <v>Y</v>
      </c>
      <c r="G7358" s="3" t="s">
        <v>214</v>
      </c>
      <c r="H7358" s="3" t="s">
        <v>34</v>
      </c>
      <c r="I7358" s="4" t="n">
        <v>20</v>
      </c>
      <c r="J7358" s="4" t="n">
        <f aca="false">LEN(E7358)-LEN(SUBSTITUTE(E7358,",",""))+1</f>
        <v>6</v>
      </c>
      <c r="K7358" s="3" t="str">
        <f aca="false">IFERROR(INDEX('Teacher Lookup'!$B$2:$B$200,MATCH(A7358,'Teacher Lookup'!$A$2:$A$200,0)),"")</f>
        <v>WONG Melissa</v>
      </c>
    </row>
    <row r="7359" customFormat="false" ht="15" hidden="false" customHeight="false" outlineLevel="0" collapsed="false">
      <c r="A7359" s="3" t="s">
        <v>481</v>
      </c>
      <c r="B7359" s="4" t="s">
        <v>63</v>
      </c>
      <c r="C7359" s="4" t="n">
        <v>4</v>
      </c>
      <c r="D7359" s="4" t="s">
        <v>74</v>
      </c>
      <c r="E7359" s="3" t="s">
        <v>213</v>
      </c>
      <c r="F7359" s="4" t="str">
        <f aca="false">IF(I7359&gt;J7359,"Y","N")</f>
        <v>Y</v>
      </c>
      <c r="G7359" s="3" t="s">
        <v>214</v>
      </c>
      <c r="H7359" s="3" t="s">
        <v>34</v>
      </c>
      <c r="I7359" s="4" t="n">
        <v>20</v>
      </c>
      <c r="J7359" s="4" t="n">
        <f aca="false">LEN(E7359)-LEN(SUBSTITUTE(E7359,",",""))+1</f>
        <v>6</v>
      </c>
      <c r="K7359" s="3" t="str">
        <f aca="false">IFERROR(INDEX('Teacher Lookup'!$B$2:$B$200,MATCH(A7359,'Teacher Lookup'!$A$2:$A$200,0)),"")</f>
        <v>WONG Melissa</v>
      </c>
    </row>
    <row r="7360" customFormat="false" ht="15" hidden="false" customHeight="false" outlineLevel="0" collapsed="false">
      <c r="A7360" s="3" t="s">
        <v>481</v>
      </c>
      <c r="B7360" s="4" t="s">
        <v>63</v>
      </c>
      <c r="C7360" s="4" t="n">
        <v>4</v>
      </c>
      <c r="D7360" s="4" t="s">
        <v>76</v>
      </c>
      <c r="E7360" s="3" t="s">
        <v>213</v>
      </c>
      <c r="F7360" s="4" t="str">
        <f aca="false">IF(I7360&gt;J7360,"Y","N")</f>
        <v>Y</v>
      </c>
      <c r="G7360" s="3" t="s">
        <v>214</v>
      </c>
      <c r="H7360" s="3" t="s">
        <v>34</v>
      </c>
      <c r="I7360" s="4" t="n">
        <v>20</v>
      </c>
      <c r="J7360" s="4" t="n">
        <f aca="false">LEN(E7360)-LEN(SUBSTITUTE(E7360,",",""))+1</f>
        <v>6</v>
      </c>
      <c r="K7360" s="3" t="str">
        <f aca="false">IFERROR(INDEX('Teacher Lookup'!$B$2:$B$200,MATCH(A7360,'Teacher Lookup'!$A$2:$A$200,0)),"")</f>
        <v>WONG Melissa</v>
      </c>
    </row>
    <row r="7361" customFormat="false" ht="15" hidden="false" customHeight="false" outlineLevel="0" collapsed="false">
      <c r="A7361" s="3" t="s">
        <v>481</v>
      </c>
      <c r="B7361" s="4" t="s">
        <v>63</v>
      </c>
      <c r="C7361" s="4" t="n">
        <v>4</v>
      </c>
      <c r="D7361" s="4" t="s">
        <v>78</v>
      </c>
      <c r="E7361" s="3" t="s">
        <v>213</v>
      </c>
      <c r="F7361" s="4" t="str">
        <f aca="false">IF(I7361&gt;J7361,"Y","N")</f>
        <v>Y</v>
      </c>
      <c r="G7361" s="3" t="s">
        <v>214</v>
      </c>
      <c r="H7361" s="3" t="s">
        <v>34</v>
      </c>
      <c r="I7361" s="4" t="n">
        <v>20</v>
      </c>
      <c r="J7361" s="4" t="n">
        <f aca="false">LEN(E7361)-LEN(SUBSTITUTE(E7361,",",""))+1</f>
        <v>6</v>
      </c>
      <c r="K7361" s="3" t="str">
        <f aca="false">IFERROR(INDEX('Teacher Lookup'!$B$2:$B$200,MATCH(A7361,'Teacher Lookup'!$A$2:$A$200,0)),"")</f>
        <v>WONG Melissa</v>
      </c>
    </row>
    <row r="7362" customFormat="false" ht="15" hidden="false" customHeight="false" outlineLevel="0" collapsed="false">
      <c r="A7362" s="3" t="s">
        <v>481</v>
      </c>
      <c r="B7362" s="4" t="s">
        <v>63</v>
      </c>
      <c r="C7362" s="4" t="n">
        <v>4</v>
      </c>
      <c r="D7362" s="4" t="s">
        <v>79</v>
      </c>
      <c r="E7362" s="3" t="s">
        <v>213</v>
      </c>
      <c r="F7362" s="4" t="str">
        <f aca="false">IF(I7362&gt;J7362,"Y","N")</f>
        <v>Y</v>
      </c>
      <c r="G7362" s="3" t="s">
        <v>214</v>
      </c>
      <c r="H7362" s="3" t="s">
        <v>34</v>
      </c>
      <c r="I7362" s="4" t="n">
        <v>20</v>
      </c>
      <c r="J7362" s="4" t="n">
        <f aca="false">LEN(E7362)-LEN(SUBSTITUTE(E7362,",",""))+1</f>
        <v>6</v>
      </c>
      <c r="K7362" s="3" t="str">
        <f aca="false">IFERROR(INDEX('Teacher Lookup'!$B$2:$B$200,MATCH(A7362,'Teacher Lookup'!$A$2:$A$200,0)),"")</f>
        <v>WONG Melissa</v>
      </c>
    </row>
    <row r="7363" customFormat="false" ht="15" hidden="false" customHeight="false" outlineLevel="0" collapsed="false">
      <c r="A7363" s="3" t="s">
        <v>481</v>
      </c>
      <c r="B7363" s="4" t="s">
        <v>63</v>
      </c>
      <c r="C7363" s="4" t="n">
        <v>5</v>
      </c>
      <c r="D7363" s="4" t="s">
        <v>70</v>
      </c>
      <c r="E7363" s="3" t="s">
        <v>213</v>
      </c>
      <c r="F7363" s="4" t="str">
        <f aca="false">IF(I7363&gt;J7363,"Y","N")</f>
        <v>Y</v>
      </c>
      <c r="G7363" s="3" t="s">
        <v>214</v>
      </c>
      <c r="H7363" s="3" t="s">
        <v>37</v>
      </c>
      <c r="I7363" s="4" t="n">
        <v>20</v>
      </c>
      <c r="J7363" s="4" t="n">
        <f aca="false">LEN(E7363)-LEN(SUBSTITUTE(E7363,",",""))+1</f>
        <v>6</v>
      </c>
      <c r="K7363" s="3" t="str">
        <f aca="false">IFERROR(INDEX('Teacher Lookup'!$B$2:$B$200,MATCH(A7363,'Teacher Lookup'!$A$2:$A$200,0)),"")</f>
        <v>WONG Melissa</v>
      </c>
    </row>
    <row r="7364" customFormat="false" ht="15" hidden="false" customHeight="false" outlineLevel="0" collapsed="false">
      <c r="A7364" s="3" t="s">
        <v>481</v>
      </c>
      <c r="B7364" s="4" t="s">
        <v>63</v>
      </c>
      <c r="C7364" s="4" t="n">
        <v>5</v>
      </c>
      <c r="D7364" s="4" t="s">
        <v>73</v>
      </c>
      <c r="E7364" s="3" t="s">
        <v>213</v>
      </c>
      <c r="F7364" s="4" t="str">
        <f aca="false">IF(I7364&gt;J7364,"Y","N")</f>
        <v>Y</v>
      </c>
      <c r="G7364" s="3" t="s">
        <v>214</v>
      </c>
      <c r="H7364" s="3" t="s">
        <v>37</v>
      </c>
      <c r="I7364" s="4" t="n">
        <v>20</v>
      </c>
      <c r="J7364" s="4" t="n">
        <f aca="false">LEN(E7364)-LEN(SUBSTITUTE(E7364,",",""))+1</f>
        <v>6</v>
      </c>
      <c r="K7364" s="3" t="str">
        <f aca="false">IFERROR(INDEX('Teacher Lookup'!$B$2:$B$200,MATCH(A7364,'Teacher Lookup'!$A$2:$A$200,0)),"")</f>
        <v>WONG Melissa</v>
      </c>
    </row>
    <row r="7365" customFormat="false" ht="15" hidden="false" customHeight="false" outlineLevel="0" collapsed="false">
      <c r="A7365" s="3" t="s">
        <v>481</v>
      </c>
      <c r="B7365" s="4" t="s">
        <v>63</v>
      </c>
      <c r="C7365" s="4" t="n">
        <v>5</v>
      </c>
      <c r="D7365" s="4" t="s">
        <v>74</v>
      </c>
      <c r="E7365" s="3" t="s">
        <v>213</v>
      </c>
      <c r="F7365" s="4" t="str">
        <f aca="false">IF(I7365&gt;J7365,"Y","N")</f>
        <v>Y</v>
      </c>
      <c r="G7365" s="3" t="s">
        <v>214</v>
      </c>
      <c r="H7365" s="3" t="s">
        <v>37</v>
      </c>
      <c r="I7365" s="4" t="n">
        <v>20</v>
      </c>
      <c r="J7365" s="4" t="n">
        <f aca="false">LEN(E7365)-LEN(SUBSTITUTE(E7365,",",""))+1</f>
        <v>6</v>
      </c>
      <c r="K7365" s="3" t="str">
        <f aca="false">IFERROR(INDEX('Teacher Lookup'!$B$2:$B$200,MATCH(A7365,'Teacher Lookup'!$A$2:$A$200,0)),"")</f>
        <v>WONG Melissa</v>
      </c>
    </row>
    <row r="7366" customFormat="false" ht="15" hidden="false" customHeight="false" outlineLevel="0" collapsed="false">
      <c r="A7366" s="3" t="s">
        <v>481</v>
      </c>
      <c r="B7366" s="4" t="s">
        <v>63</v>
      </c>
      <c r="C7366" s="4" t="n">
        <v>5</v>
      </c>
      <c r="D7366" s="4" t="s">
        <v>76</v>
      </c>
      <c r="E7366" s="3" t="s">
        <v>213</v>
      </c>
      <c r="F7366" s="4" t="str">
        <f aca="false">IF(I7366&gt;J7366,"Y","N")</f>
        <v>Y</v>
      </c>
      <c r="G7366" s="3" t="s">
        <v>214</v>
      </c>
      <c r="H7366" s="3" t="s">
        <v>37</v>
      </c>
      <c r="I7366" s="4" t="n">
        <v>20</v>
      </c>
      <c r="J7366" s="4" t="n">
        <f aca="false">LEN(E7366)-LEN(SUBSTITUTE(E7366,",",""))+1</f>
        <v>6</v>
      </c>
      <c r="K7366" s="3" t="str">
        <f aca="false">IFERROR(INDEX('Teacher Lookup'!$B$2:$B$200,MATCH(A7366,'Teacher Lookup'!$A$2:$A$200,0)),"")</f>
        <v>WONG Melissa</v>
      </c>
    </row>
    <row r="7367" customFormat="false" ht="15" hidden="false" customHeight="false" outlineLevel="0" collapsed="false">
      <c r="A7367" s="3" t="s">
        <v>481</v>
      </c>
      <c r="B7367" s="4" t="s">
        <v>63</v>
      </c>
      <c r="C7367" s="4" t="n">
        <v>5</v>
      </c>
      <c r="D7367" s="4" t="s">
        <v>78</v>
      </c>
      <c r="E7367" s="3" t="s">
        <v>213</v>
      </c>
      <c r="F7367" s="4" t="str">
        <f aca="false">IF(I7367&gt;J7367,"Y","N")</f>
        <v>Y</v>
      </c>
      <c r="G7367" s="3" t="s">
        <v>214</v>
      </c>
      <c r="H7367" s="3" t="s">
        <v>37</v>
      </c>
      <c r="I7367" s="4" t="n">
        <v>20</v>
      </c>
      <c r="J7367" s="4" t="n">
        <f aca="false">LEN(E7367)-LEN(SUBSTITUTE(E7367,",",""))+1</f>
        <v>6</v>
      </c>
      <c r="K7367" s="3" t="str">
        <f aca="false">IFERROR(INDEX('Teacher Lookup'!$B$2:$B$200,MATCH(A7367,'Teacher Lookup'!$A$2:$A$200,0)),"")</f>
        <v>WONG Melissa</v>
      </c>
    </row>
    <row r="7368" customFormat="false" ht="15" hidden="false" customHeight="false" outlineLevel="0" collapsed="false">
      <c r="A7368" s="3" t="s">
        <v>481</v>
      </c>
      <c r="B7368" s="4" t="s">
        <v>63</v>
      </c>
      <c r="C7368" s="4" t="n">
        <v>5</v>
      </c>
      <c r="D7368" s="4" t="s">
        <v>79</v>
      </c>
      <c r="E7368" s="3" t="s">
        <v>213</v>
      </c>
      <c r="F7368" s="4" t="str">
        <f aca="false">IF(I7368&gt;J7368,"Y","N")</f>
        <v>Y</v>
      </c>
      <c r="G7368" s="3" t="s">
        <v>214</v>
      </c>
      <c r="H7368" s="3" t="s">
        <v>37</v>
      </c>
      <c r="I7368" s="4" t="n">
        <v>20</v>
      </c>
      <c r="J7368" s="4" t="n">
        <f aca="false">LEN(E7368)-LEN(SUBSTITUTE(E7368,",",""))+1</f>
        <v>6</v>
      </c>
      <c r="K7368" s="3" t="str">
        <f aca="false">IFERROR(INDEX('Teacher Lookup'!$B$2:$B$200,MATCH(A7368,'Teacher Lookup'!$A$2:$A$200,0)),"")</f>
        <v>WONG Melissa</v>
      </c>
    </row>
    <row r="7369" customFormat="false" ht="15" hidden="false" customHeight="false" outlineLevel="0" collapsed="false">
      <c r="A7369" s="3" t="s">
        <v>481</v>
      </c>
      <c r="B7369" s="4" t="s">
        <v>65</v>
      </c>
      <c r="C7369" s="4" t="n">
        <v>3</v>
      </c>
      <c r="D7369" s="4" t="s">
        <v>137</v>
      </c>
      <c r="E7369" s="3" t="s">
        <v>434</v>
      </c>
      <c r="F7369" s="4" t="str">
        <f aca="false">IF(I7369&gt;J7369,"Y","N")</f>
        <v>N</v>
      </c>
      <c r="G7369" s="3" t="s">
        <v>437</v>
      </c>
      <c r="H7369" s="3" t="s">
        <v>26</v>
      </c>
      <c r="I7369" s="4" t="n">
        <v>1</v>
      </c>
      <c r="J7369" s="4" t="n">
        <f aca="false">LEN(E7369)-LEN(SUBSTITUTE(E7369,",",""))+1</f>
        <v>1</v>
      </c>
      <c r="K7369" s="3" t="str">
        <f aca="false">IFERROR(INDEX('Teacher Lookup'!$B$2:$B$200,MATCH(A7369,'Teacher Lookup'!$A$2:$A$200,0)),"")</f>
        <v>WONG Melissa</v>
      </c>
    </row>
    <row r="7370" customFormat="false" ht="15" hidden="false" customHeight="false" outlineLevel="0" collapsed="false">
      <c r="A7370" s="3" t="s">
        <v>481</v>
      </c>
      <c r="B7370" s="4" t="s">
        <v>65</v>
      </c>
      <c r="C7370" s="4" t="n">
        <v>4</v>
      </c>
      <c r="D7370" s="4" t="s">
        <v>24</v>
      </c>
      <c r="E7370" s="3" t="s">
        <v>282</v>
      </c>
      <c r="F7370" s="4" t="str">
        <f aca="false">IF(I7370&gt;J7370,"Y","N")</f>
        <v>Y</v>
      </c>
      <c r="G7370" s="3" t="s">
        <v>272</v>
      </c>
      <c r="H7370" s="3" t="s">
        <v>34</v>
      </c>
      <c r="I7370" s="4" t="n">
        <v>8</v>
      </c>
      <c r="J7370" s="4" t="n">
        <f aca="false">LEN(E7370)-LEN(SUBSTITUTE(E7370,",",""))+1</f>
        <v>7</v>
      </c>
      <c r="K7370" s="3" t="str">
        <f aca="false">IFERROR(INDEX('Teacher Lookup'!$B$2:$B$200,MATCH(A7370,'Teacher Lookup'!$A$2:$A$200,0)),"")</f>
        <v>WONG Melissa</v>
      </c>
    </row>
    <row r="7371" customFormat="false" ht="15" hidden="false" customHeight="false" outlineLevel="0" collapsed="false">
      <c r="A7371" s="3" t="s">
        <v>481</v>
      </c>
      <c r="B7371" s="4" t="s">
        <v>65</v>
      </c>
      <c r="C7371" s="4" t="n">
        <v>4</v>
      </c>
      <c r="D7371" s="4" t="s">
        <v>27</v>
      </c>
      <c r="E7371" s="3" t="s">
        <v>282</v>
      </c>
      <c r="F7371" s="4" t="str">
        <f aca="false">IF(I7371&gt;J7371,"Y","N")</f>
        <v>Y</v>
      </c>
      <c r="G7371" s="3" t="s">
        <v>272</v>
      </c>
      <c r="H7371" s="3" t="s">
        <v>34</v>
      </c>
      <c r="I7371" s="4" t="n">
        <v>8</v>
      </c>
      <c r="J7371" s="4" t="n">
        <f aca="false">LEN(E7371)-LEN(SUBSTITUTE(E7371,",",""))+1</f>
        <v>7</v>
      </c>
      <c r="K7371" s="3" t="str">
        <f aca="false">IFERROR(INDEX('Teacher Lookup'!$B$2:$B$200,MATCH(A7371,'Teacher Lookup'!$A$2:$A$200,0)),"")</f>
        <v>WONG Melissa</v>
      </c>
    </row>
    <row r="7372" customFormat="false" ht="15" hidden="false" customHeight="false" outlineLevel="0" collapsed="false">
      <c r="A7372" s="3" t="s">
        <v>481</v>
      </c>
      <c r="B7372" s="4" t="s">
        <v>65</v>
      </c>
      <c r="C7372" s="4" t="n">
        <v>4</v>
      </c>
      <c r="D7372" s="4" t="s">
        <v>28</v>
      </c>
      <c r="E7372" s="3" t="s">
        <v>282</v>
      </c>
      <c r="F7372" s="4" t="str">
        <f aca="false">IF(I7372&gt;J7372,"Y","N")</f>
        <v>Y</v>
      </c>
      <c r="G7372" s="3" t="s">
        <v>272</v>
      </c>
      <c r="H7372" s="3" t="s">
        <v>34</v>
      </c>
      <c r="I7372" s="4" t="n">
        <v>8</v>
      </c>
      <c r="J7372" s="4" t="n">
        <f aca="false">LEN(E7372)-LEN(SUBSTITUTE(E7372,",",""))+1</f>
        <v>7</v>
      </c>
      <c r="K7372" s="3" t="str">
        <f aca="false">IFERROR(INDEX('Teacher Lookup'!$B$2:$B$200,MATCH(A7372,'Teacher Lookup'!$A$2:$A$200,0)),"")</f>
        <v>WONG Melissa</v>
      </c>
    </row>
    <row r="7373" customFormat="false" ht="15" hidden="false" customHeight="false" outlineLevel="0" collapsed="false">
      <c r="A7373" s="3" t="s">
        <v>481</v>
      </c>
      <c r="B7373" s="4" t="s">
        <v>65</v>
      </c>
      <c r="C7373" s="4" t="n">
        <v>4</v>
      </c>
      <c r="D7373" s="4" t="s">
        <v>29</v>
      </c>
      <c r="E7373" s="3" t="s">
        <v>282</v>
      </c>
      <c r="F7373" s="4" t="str">
        <f aca="false">IF(I7373&gt;J7373,"Y","N")</f>
        <v>Y</v>
      </c>
      <c r="G7373" s="3" t="s">
        <v>272</v>
      </c>
      <c r="H7373" s="3" t="s">
        <v>34</v>
      </c>
      <c r="I7373" s="4" t="n">
        <v>8</v>
      </c>
      <c r="J7373" s="4" t="n">
        <f aca="false">LEN(E7373)-LEN(SUBSTITUTE(E7373,",",""))+1</f>
        <v>7</v>
      </c>
      <c r="K7373" s="3" t="str">
        <f aca="false">IFERROR(INDEX('Teacher Lookup'!$B$2:$B$200,MATCH(A7373,'Teacher Lookup'!$A$2:$A$200,0)),"")</f>
        <v>WONG Melissa</v>
      </c>
    </row>
    <row r="7374" customFormat="false" ht="15" hidden="false" customHeight="false" outlineLevel="0" collapsed="false">
      <c r="A7374" s="3" t="s">
        <v>481</v>
      </c>
      <c r="B7374" s="4" t="s">
        <v>65</v>
      </c>
      <c r="C7374" s="4" t="n">
        <v>4</v>
      </c>
      <c r="D7374" s="4" t="s">
        <v>30</v>
      </c>
      <c r="E7374" s="3" t="s">
        <v>282</v>
      </c>
      <c r="F7374" s="4" t="str">
        <f aca="false">IF(I7374&gt;J7374,"Y","N")</f>
        <v>Y</v>
      </c>
      <c r="G7374" s="3" t="s">
        <v>272</v>
      </c>
      <c r="H7374" s="3" t="s">
        <v>34</v>
      </c>
      <c r="I7374" s="4" t="n">
        <v>8</v>
      </c>
      <c r="J7374" s="4" t="n">
        <f aca="false">LEN(E7374)-LEN(SUBSTITUTE(E7374,",",""))+1</f>
        <v>7</v>
      </c>
      <c r="K7374" s="3" t="str">
        <f aca="false">IFERROR(INDEX('Teacher Lookup'!$B$2:$B$200,MATCH(A7374,'Teacher Lookup'!$A$2:$A$200,0)),"")</f>
        <v>WONG Melissa</v>
      </c>
    </row>
    <row r="7375" customFormat="false" ht="15" hidden="false" customHeight="false" outlineLevel="0" collapsed="false">
      <c r="A7375" s="3" t="s">
        <v>481</v>
      </c>
      <c r="B7375" s="4" t="s">
        <v>65</v>
      </c>
      <c r="C7375" s="4" t="n">
        <v>5</v>
      </c>
      <c r="D7375" s="4" t="s">
        <v>70</v>
      </c>
      <c r="E7375" s="3" t="s">
        <v>81</v>
      </c>
      <c r="F7375" s="4" t="str">
        <f aca="false">IF(I7375&gt;J7375,"Y","N")</f>
        <v>Y</v>
      </c>
      <c r="G7375" s="3" t="s">
        <v>36</v>
      </c>
      <c r="H7375" s="3" t="s">
        <v>37</v>
      </c>
      <c r="I7375" s="4" t="n">
        <v>15</v>
      </c>
      <c r="J7375" s="4" t="n">
        <f aca="false">LEN(E7375)-LEN(SUBSTITUTE(E7375,",",""))+1</f>
        <v>7</v>
      </c>
      <c r="K7375" s="3" t="str">
        <f aca="false">IFERROR(INDEX('Teacher Lookup'!$B$2:$B$200,MATCH(A7375,'Teacher Lookup'!$A$2:$A$200,0)),"")</f>
        <v>WONG Melissa</v>
      </c>
    </row>
    <row r="7376" customFormat="false" ht="15" hidden="false" customHeight="false" outlineLevel="0" collapsed="false">
      <c r="A7376" s="3" t="s">
        <v>481</v>
      </c>
      <c r="B7376" s="4" t="s">
        <v>65</v>
      </c>
      <c r="C7376" s="4" t="n">
        <v>5</v>
      </c>
      <c r="D7376" s="4" t="s">
        <v>73</v>
      </c>
      <c r="E7376" s="3" t="s">
        <v>81</v>
      </c>
      <c r="F7376" s="4" t="str">
        <f aca="false">IF(I7376&gt;J7376,"Y","N")</f>
        <v>Y</v>
      </c>
      <c r="G7376" s="3" t="s">
        <v>36</v>
      </c>
      <c r="H7376" s="3" t="s">
        <v>37</v>
      </c>
      <c r="I7376" s="4" t="n">
        <v>15</v>
      </c>
      <c r="J7376" s="4" t="n">
        <f aca="false">LEN(E7376)-LEN(SUBSTITUTE(E7376,",",""))+1</f>
        <v>7</v>
      </c>
      <c r="K7376" s="3" t="str">
        <f aca="false">IFERROR(INDEX('Teacher Lookup'!$B$2:$B$200,MATCH(A7376,'Teacher Lookup'!$A$2:$A$200,0)),"")</f>
        <v>WONG Melissa</v>
      </c>
    </row>
    <row r="7377" customFormat="false" ht="15" hidden="false" customHeight="false" outlineLevel="0" collapsed="false">
      <c r="A7377" s="3" t="s">
        <v>481</v>
      </c>
      <c r="B7377" s="4" t="s">
        <v>65</v>
      </c>
      <c r="C7377" s="4" t="n">
        <v>5</v>
      </c>
      <c r="D7377" s="4" t="s">
        <v>74</v>
      </c>
      <c r="E7377" s="3" t="s">
        <v>81</v>
      </c>
      <c r="F7377" s="4" t="str">
        <f aca="false">IF(I7377&gt;J7377,"Y","N")</f>
        <v>Y</v>
      </c>
      <c r="G7377" s="3" t="s">
        <v>36</v>
      </c>
      <c r="H7377" s="3" t="s">
        <v>37</v>
      </c>
      <c r="I7377" s="4" t="n">
        <v>15</v>
      </c>
      <c r="J7377" s="4" t="n">
        <f aca="false">LEN(E7377)-LEN(SUBSTITUTE(E7377,",",""))+1</f>
        <v>7</v>
      </c>
      <c r="K7377" s="3" t="str">
        <f aca="false">IFERROR(INDEX('Teacher Lookup'!$B$2:$B$200,MATCH(A7377,'Teacher Lookup'!$A$2:$A$200,0)),"")</f>
        <v>WONG Melissa</v>
      </c>
    </row>
    <row r="7378" customFormat="false" ht="15" hidden="false" customHeight="false" outlineLevel="0" collapsed="false">
      <c r="A7378" s="3" t="s">
        <v>481</v>
      </c>
      <c r="B7378" s="4" t="s">
        <v>65</v>
      </c>
      <c r="C7378" s="4" t="n">
        <v>5</v>
      </c>
      <c r="D7378" s="4" t="s">
        <v>76</v>
      </c>
      <c r="E7378" s="3" t="s">
        <v>81</v>
      </c>
      <c r="F7378" s="4" t="str">
        <f aca="false">IF(I7378&gt;J7378,"Y","N")</f>
        <v>Y</v>
      </c>
      <c r="G7378" s="3" t="s">
        <v>36</v>
      </c>
      <c r="H7378" s="3" t="s">
        <v>37</v>
      </c>
      <c r="I7378" s="4" t="n">
        <v>15</v>
      </c>
      <c r="J7378" s="4" t="n">
        <f aca="false">LEN(E7378)-LEN(SUBSTITUTE(E7378,",",""))+1</f>
        <v>7</v>
      </c>
      <c r="K7378" s="3" t="str">
        <f aca="false">IFERROR(INDEX('Teacher Lookup'!$B$2:$B$200,MATCH(A7378,'Teacher Lookup'!$A$2:$A$200,0)),"")</f>
        <v>WONG Melissa</v>
      </c>
    </row>
    <row r="7379" customFormat="false" ht="15" hidden="false" customHeight="false" outlineLevel="0" collapsed="false">
      <c r="A7379" s="3" t="s">
        <v>481</v>
      </c>
      <c r="B7379" s="4" t="s">
        <v>65</v>
      </c>
      <c r="C7379" s="4" t="n">
        <v>5</v>
      </c>
      <c r="D7379" s="4" t="s">
        <v>78</v>
      </c>
      <c r="E7379" s="3" t="s">
        <v>81</v>
      </c>
      <c r="F7379" s="4" t="str">
        <f aca="false">IF(I7379&gt;J7379,"Y","N")</f>
        <v>Y</v>
      </c>
      <c r="G7379" s="3" t="s">
        <v>36</v>
      </c>
      <c r="H7379" s="3" t="s">
        <v>37</v>
      </c>
      <c r="I7379" s="4" t="n">
        <v>15</v>
      </c>
      <c r="J7379" s="4" t="n">
        <f aca="false">LEN(E7379)-LEN(SUBSTITUTE(E7379,",",""))+1</f>
        <v>7</v>
      </c>
      <c r="K7379" s="3" t="str">
        <f aca="false">IFERROR(INDEX('Teacher Lookup'!$B$2:$B$200,MATCH(A7379,'Teacher Lookup'!$A$2:$A$200,0)),"")</f>
        <v>WONG Melissa</v>
      </c>
    </row>
    <row r="7380" customFormat="false" ht="15" hidden="false" customHeight="false" outlineLevel="0" collapsed="false">
      <c r="A7380" s="3" t="s">
        <v>481</v>
      </c>
      <c r="B7380" s="4" t="s">
        <v>65</v>
      </c>
      <c r="C7380" s="4" t="n">
        <v>5</v>
      </c>
      <c r="D7380" s="4" t="s">
        <v>79</v>
      </c>
      <c r="E7380" s="3" t="s">
        <v>81</v>
      </c>
      <c r="F7380" s="4" t="str">
        <f aca="false">IF(I7380&gt;J7380,"Y","N")</f>
        <v>Y</v>
      </c>
      <c r="G7380" s="3" t="s">
        <v>36</v>
      </c>
      <c r="H7380" s="3" t="s">
        <v>37</v>
      </c>
      <c r="I7380" s="4" t="n">
        <v>15</v>
      </c>
      <c r="J7380" s="4" t="n">
        <f aca="false">LEN(E7380)-LEN(SUBSTITUTE(E7380,",",""))+1</f>
        <v>7</v>
      </c>
      <c r="K7380" s="3" t="str">
        <f aca="false">IFERROR(INDEX('Teacher Lookup'!$B$2:$B$200,MATCH(A7380,'Teacher Lookup'!$A$2:$A$200,0)),"")</f>
        <v>WONG Melissa</v>
      </c>
    </row>
    <row r="7381" customFormat="false" ht="15" hidden="false" customHeight="false" outlineLevel="0" collapsed="false">
      <c r="A7381" s="3" t="s">
        <v>481</v>
      </c>
      <c r="B7381" s="4" t="s">
        <v>66</v>
      </c>
      <c r="C7381" s="4" t="n">
        <v>2</v>
      </c>
      <c r="D7381" s="4" t="s">
        <v>79</v>
      </c>
      <c r="E7381" s="3" t="s">
        <v>234</v>
      </c>
      <c r="F7381" s="4" t="str">
        <f aca="false">IF(I7381&gt;J7381,"Y","N")</f>
        <v>N</v>
      </c>
      <c r="G7381" s="3" t="s">
        <v>437</v>
      </c>
      <c r="H7381" s="3" t="s">
        <v>21</v>
      </c>
      <c r="I7381" s="4" t="n">
        <v>1</v>
      </c>
      <c r="J7381" s="4" t="n">
        <f aca="false">LEN(E7381)-LEN(SUBSTITUTE(E7381,",",""))+1</f>
        <v>1</v>
      </c>
      <c r="K7381" s="3" t="str">
        <f aca="false">IFERROR(INDEX('Teacher Lookup'!$B$2:$B$200,MATCH(A7381,'Teacher Lookup'!$A$2:$A$200,0)),"")</f>
        <v>WONG Melissa</v>
      </c>
    </row>
    <row r="7382" customFormat="false" ht="15" hidden="false" customHeight="false" outlineLevel="0" collapsed="false">
      <c r="A7382" s="3" t="s">
        <v>481</v>
      </c>
      <c r="B7382" s="4" t="s">
        <v>66</v>
      </c>
      <c r="C7382" s="4" t="n">
        <v>3</v>
      </c>
      <c r="D7382" s="4" t="s">
        <v>13</v>
      </c>
      <c r="E7382" s="3" t="s">
        <v>351</v>
      </c>
      <c r="F7382" s="4" t="str">
        <f aca="false">IF(I7382&gt;J7382,"Y","N")</f>
        <v>N</v>
      </c>
      <c r="G7382" s="3" t="s">
        <v>437</v>
      </c>
      <c r="H7382" s="3" t="s">
        <v>26</v>
      </c>
      <c r="I7382" s="4" t="n">
        <v>1</v>
      </c>
      <c r="J7382" s="4" t="n">
        <f aca="false">LEN(E7382)-LEN(SUBSTITUTE(E7382,",",""))+1</f>
        <v>1</v>
      </c>
      <c r="K7382" s="3" t="str">
        <f aca="false">IFERROR(INDEX('Teacher Lookup'!$B$2:$B$200,MATCH(A7382,'Teacher Lookup'!$A$2:$A$200,0)),"")</f>
        <v>WONG Melissa</v>
      </c>
    </row>
    <row r="7383" customFormat="false" ht="15" hidden="false" customHeight="false" outlineLevel="0" collapsed="false">
      <c r="A7383" s="3" t="s">
        <v>481</v>
      </c>
      <c r="B7383" s="4" t="s">
        <v>66</v>
      </c>
      <c r="C7383" s="4" t="n">
        <v>6</v>
      </c>
      <c r="D7383" s="4" t="s">
        <v>74</v>
      </c>
      <c r="E7383" s="3" t="s">
        <v>316</v>
      </c>
      <c r="F7383" s="4" t="str">
        <f aca="false">IF(I7383&gt;J7383,"Y","N")</f>
        <v>N</v>
      </c>
      <c r="G7383" s="3" t="s">
        <v>437</v>
      </c>
      <c r="H7383" s="3" t="s">
        <v>42</v>
      </c>
      <c r="I7383" s="4" t="n">
        <v>1</v>
      </c>
      <c r="J7383" s="4" t="n">
        <f aca="false">LEN(E7383)-LEN(SUBSTITUTE(E7383,",",""))+1</f>
        <v>1</v>
      </c>
      <c r="K7383" s="3" t="str">
        <f aca="false">IFERROR(INDEX('Teacher Lookup'!$B$2:$B$200,MATCH(A7383,'Teacher Lookup'!$A$2:$A$200,0)),"")</f>
        <v>WONG Melissa</v>
      </c>
    </row>
    <row r="7384" customFormat="false" ht="15" hidden="false" customHeight="false" outlineLevel="0" collapsed="false">
      <c r="A7384" s="3" t="s">
        <v>481</v>
      </c>
      <c r="B7384" s="4" t="s">
        <v>66</v>
      </c>
      <c r="C7384" s="4" t="n">
        <v>7</v>
      </c>
      <c r="D7384" s="4" t="s">
        <v>140</v>
      </c>
      <c r="E7384" s="3" t="s">
        <v>289</v>
      </c>
      <c r="F7384" s="4" t="str">
        <f aca="false">IF(I7384&gt;J7384,"Y","N")</f>
        <v>N</v>
      </c>
      <c r="G7384" s="3" t="s">
        <v>437</v>
      </c>
      <c r="H7384" s="3" t="s">
        <v>39</v>
      </c>
      <c r="I7384" s="4" t="n">
        <v>1</v>
      </c>
      <c r="J7384" s="4" t="n">
        <f aca="false">LEN(E7384)-LEN(SUBSTITUTE(E7384,",",""))+1</f>
        <v>1</v>
      </c>
      <c r="K7384" s="3" t="str">
        <f aca="false">IFERROR(INDEX('Teacher Lookup'!$B$2:$B$200,MATCH(A7384,'Teacher Lookup'!$A$2:$A$200,0)),"")</f>
        <v>WONG Melissa</v>
      </c>
    </row>
    <row r="7385" customFormat="false" ht="15" hidden="false" customHeight="false" outlineLevel="0" collapsed="false">
      <c r="A7385" s="3" t="s">
        <v>482</v>
      </c>
      <c r="B7385" s="4" t="s">
        <v>12</v>
      </c>
      <c r="C7385" s="4" t="n">
        <v>1</v>
      </c>
      <c r="D7385" s="4" t="s">
        <v>102</v>
      </c>
      <c r="E7385" s="3" t="s">
        <v>309</v>
      </c>
      <c r="F7385" s="4" t="str">
        <f aca="false">IF(I7385&gt;J7385,"Y","N")</f>
        <v>Y</v>
      </c>
      <c r="G7385" s="3" t="s">
        <v>310</v>
      </c>
      <c r="H7385" s="3" t="s">
        <v>16</v>
      </c>
      <c r="I7385" s="4" t="n">
        <v>7</v>
      </c>
      <c r="J7385" s="4" t="n">
        <f aca="false">LEN(E7385)-LEN(SUBSTITUTE(E7385,",",""))+1</f>
        <v>6</v>
      </c>
      <c r="K7385" s="3" t="str">
        <f aca="false">IFERROR(INDEX('Teacher Lookup'!$B$2:$B$200,MATCH(A7385,'Teacher Lookup'!$A$2:$A$200,0)),"")</f>
        <v>LEE Michelle</v>
      </c>
    </row>
    <row r="7386" customFormat="false" ht="15" hidden="false" customHeight="false" outlineLevel="0" collapsed="false">
      <c r="A7386" s="3" t="s">
        <v>482</v>
      </c>
      <c r="B7386" s="4" t="s">
        <v>12</v>
      </c>
      <c r="C7386" s="4" t="n">
        <v>1</v>
      </c>
      <c r="D7386" s="4" t="s">
        <v>105</v>
      </c>
      <c r="E7386" s="3" t="s">
        <v>309</v>
      </c>
      <c r="F7386" s="4" t="str">
        <f aca="false">IF(I7386&gt;J7386,"Y","N")</f>
        <v>Y</v>
      </c>
      <c r="G7386" s="3" t="s">
        <v>310</v>
      </c>
      <c r="H7386" s="3" t="s">
        <v>16</v>
      </c>
      <c r="I7386" s="4" t="n">
        <v>7</v>
      </c>
      <c r="J7386" s="4" t="n">
        <f aca="false">LEN(E7386)-LEN(SUBSTITUTE(E7386,",",""))+1</f>
        <v>6</v>
      </c>
      <c r="K7386" s="3" t="str">
        <f aca="false">IFERROR(INDEX('Teacher Lookup'!$B$2:$B$200,MATCH(A7386,'Teacher Lookup'!$A$2:$A$200,0)),"")</f>
        <v>LEE Michelle</v>
      </c>
    </row>
    <row r="7387" customFormat="false" ht="15" hidden="false" customHeight="false" outlineLevel="0" collapsed="false">
      <c r="A7387" s="3" t="s">
        <v>482</v>
      </c>
      <c r="B7387" s="4" t="s">
        <v>12</v>
      </c>
      <c r="C7387" s="4" t="n">
        <v>1</v>
      </c>
      <c r="D7387" s="4" t="s">
        <v>106</v>
      </c>
      <c r="E7387" s="3" t="s">
        <v>309</v>
      </c>
      <c r="F7387" s="4" t="str">
        <f aca="false">IF(I7387&gt;J7387,"Y","N")</f>
        <v>Y</v>
      </c>
      <c r="G7387" s="3" t="s">
        <v>310</v>
      </c>
      <c r="H7387" s="3" t="s">
        <v>16</v>
      </c>
      <c r="I7387" s="4" t="n">
        <v>7</v>
      </c>
      <c r="J7387" s="4" t="n">
        <f aca="false">LEN(E7387)-LEN(SUBSTITUTE(E7387,",",""))+1</f>
        <v>6</v>
      </c>
      <c r="K7387" s="3" t="str">
        <f aca="false">IFERROR(INDEX('Teacher Lookup'!$B$2:$B$200,MATCH(A7387,'Teacher Lookup'!$A$2:$A$200,0)),"")</f>
        <v>LEE Michelle</v>
      </c>
    </row>
    <row r="7388" customFormat="false" ht="15" hidden="false" customHeight="false" outlineLevel="0" collapsed="false">
      <c r="A7388" s="3" t="s">
        <v>482</v>
      </c>
      <c r="B7388" s="4" t="s">
        <v>12</v>
      </c>
      <c r="C7388" s="4" t="n">
        <v>1</v>
      </c>
      <c r="D7388" s="4" t="s">
        <v>107</v>
      </c>
      <c r="E7388" s="3" t="s">
        <v>309</v>
      </c>
      <c r="F7388" s="4" t="str">
        <f aca="false">IF(I7388&gt;J7388,"Y","N")</f>
        <v>Y</v>
      </c>
      <c r="G7388" s="3" t="s">
        <v>310</v>
      </c>
      <c r="H7388" s="3" t="s">
        <v>16</v>
      </c>
      <c r="I7388" s="4" t="n">
        <v>7</v>
      </c>
      <c r="J7388" s="4" t="n">
        <f aca="false">LEN(E7388)-LEN(SUBSTITUTE(E7388,",",""))+1</f>
        <v>6</v>
      </c>
      <c r="K7388" s="3" t="str">
        <f aca="false">IFERROR(INDEX('Teacher Lookup'!$B$2:$B$200,MATCH(A7388,'Teacher Lookup'!$A$2:$A$200,0)),"")</f>
        <v>LEE Michelle</v>
      </c>
    </row>
    <row r="7389" customFormat="false" ht="15" hidden="false" customHeight="false" outlineLevel="0" collapsed="false">
      <c r="A7389" s="3" t="s">
        <v>482</v>
      </c>
      <c r="B7389" s="4" t="s">
        <v>12</v>
      </c>
      <c r="C7389" s="4" t="n">
        <v>6</v>
      </c>
      <c r="D7389" s="4" t="s">
        <v>29</v>
      </c>
      <c r="E7389" s="3" t="s">
        <v>236</v>
      </c>
      <c r="F7389" s="4" t="str">
        <f aca="false">IF(I7389&gt;J7389,"Y","N")</f>
        <v>N</v>
      </c>
      <c r="G7389" s="3" t="s">
        <v>237</v>
      </c>
      <c r="H7389" s="3" t="s">
        <v>42</v>
      </c>
      <c r="I7389" s="4" t="n">
        <v>3</v>
      </c>
      <c r="J7389" s="4" t="n">
        <f aca="false">LEN(E7389)-LEN(SUBSTITUTE(E7389,",",""))+1</f>
        <v>3</v>
      </c>
      <c r="K7389" s="3" t="str">
        <f aca="false">IFERROR(INDEX('Teacher Lookup'!$B$2:$B$200,MATCH(A7389,'Teacher Lookup'!$A$2:$A$200,0)),"")</f>
        <v>LEE Michelle</v>
      </c>
    </row>
    <row r="7390" customFormat="false" ht="15" hidden="false" customHeight="false" outlineLevel="0" collapsed="false">
      <c r="A7390" s="3" t="s">
        <v>482</v>
      </c>
      <c r="B7390" s="4" t="s">
        <v>12</v>
      </c>
      <c r="C7390" s="4" t="n">
        <v>6</v>
      </c>
      <c r="D7390" s="4" t="s">
        <v>30</v>
      </c>
      <c r="E7390" s="3" t="s">
        <v>236</v>
      </c>
      <c r="F7390" s="4" t="str">
        <f aca="false">IF(I7390&gt;J7390,"Y","N")</f>
        <v>N</v>
      </c>
      <c r="G7390" s="3" t="s">
        <v>237</v>
      </c>
      <c r="H7390" s="3" t="s">
        <v>42</v>
      </c>
      <c r="I7390" s="4" t="n">
        <v>3</v>
      </c>
      <c r="J7390" s="4" t="n">
        <f aca="false">LEN(E7390)-LEN(SUBSTITUTE(E7390,",",""))+1</f>
        <v>3</v>
      </c>
      <c r="K7390" s="3" t="str">
        <f aca="false">IFERROR(INDEX('Teacher Lookup'!$B$2:$B$200,MATCH(A7390,'Teacher Lookup'!$A$2:$A$200,0)),"")</f>
        <v>LEE Michelle</v>
      </c>
    </row>
    <row r="7391" customFormat="false" ht="15" hidden="false" customHeight="false" outlineLevel="0" collapsed="false">
      <c r="A7391" s="3" t="s">
        <v>482</v>
      </c>
      <c r="B7391" s="4" t="s">
        <v>12</v>
      </c>
      <c r="C7391" s="4" t="n">
        <v>7</v>
      </c>
      <c r="D7391" s="4" t="s">
        <v>29</v>
      </c>
      <c r="E7391" s="3" t="s">
        <v>236</v>
      </c>
      <c r="F7391" s="4" t="str">
        <f aca="false">IF(I7391&gt;J7391,"Y","N")</f>
        <v>N</v>
      </c>
      <c r="G7391" s="3" t="s">
        <v>237</v>
      </c>
      <c r="H7391" s="3" t="s">
        <v>39</v>
      </c>
      <c r="I7391" s="4" t="n">
        <v>3</v>
      </c>
      <c r="J7391" s="4" t="n">
        <f aca="false">LEN(E7391)-LEN(SUBSTITUTE(E7391,",",""))+1</f>
        <v>3</v>
      </c>
      <c r="K7391" s="3" t="str">
        <f aca="false">IFERROR(INDEX('Teacher Lookup'!$B$2:$B$200,MATCH(A7391,'Teacher Lookup'!$A$2:$A$200,0)),"")</f>
        <v>LEE Michelle</v>
      </c>
    </row>
    <row r="7392" customFormat="false" ht="15" hidden="false" customHeight="false" outlineLevel="0" collapsed="false">
      <c r="A7392" s="3" t="s">
        <v>482</v>
      </c>
      <c r="B7392" s="4" t="s">
        <v>12</v>
      </c>
      <c r="C7392" s="4" t="n">
        <v>7</v>
      </c>
      <c r="D7392" s="4" t="s">
        <v>30</v>
      </c>
      <c r="E7392" s="3" t="s">
        <v>236</v>
      </c>
      <c r="F7392" s="4" t="str">
        <f aca="false">IF(I7392&gt;J7392,"Y","N")</f>
        <v>N</v>
      </c>
      <c r="G7392" s="3" t="s">
        <v>237</v>
      </c>
      <c r="H7392" s="3" t="s">
        <v>39</v>
      </c>
      <c r="I7392" s="4" t="n">
        <v>3</v>
      </c>
      <c r="J7392" s="4" t="n">
        <f aca="false">LEN(E7392)-LEN(SUBSTITUTE(E7392,",",""))+1</f>
        <v>3</v>
      </c>
      <c r="K7392" s="3" t="str">
        <f aca="false">IFERROR(INDEX('Teacher Lookup'!$B$2:$B$200,MATCH(A7392,'Teacher Lookup'!$A$2:$A$200,0)),"")</f>
        <v>LEE Michelle</v>
      </c>
    </row>
    <row r="7393" customFormat="false" ht="15" hidden="false" customHeight="false" outlineLevel="0" collapsed="false">
      <c r="A7393" s="3" t="s">
        <v>482</v>
      </c>
      <c r="B7393" s="4" t="s">
        <v>31</v>
      </c>
      <c r="C7393" s="4" t="n">
        <v>4</v>
      </c>
      <c r="D7393" s="4" t="s">
        <v>102</v>
      </c>
      <c r="E7393" s="3" t="s">
        <v>313</v>
      </c>
      <c r="F7393" s="4" t="str">
        <f aca="false">IF(I7393&gt;J7393,"Y","N")</f>
        <v>Y</v>
      </c>
      <c r="G7393" s="3" t="s">
        <v>310</v>
      </c>
      <c r="H7393" s="3" t="s">
        <v>34</v>
      </c>
      <c r="I7393" s="4" t="n">
        <v>7</v>
      </c>
      <c r="J7393" s="4" t="n">
        <f aca="false">LEN(E7393)-LEN(SUBSTITUTE(E7393,",",""))+1</f>
        <v>6</v>
      </c>
      <c r="K7393" s="3" t="str">
        <f aca="false">IFERROR(INDEX('Teacher Lookup'!$B$2:$B$200,MATCH(A7393,'Teacher Lookup'!$A$2:$A$200,0)),"")</f>
        <v>LEE Michelle</v>
      </c>
    </row>
    <row r="7394" customFormat="false" ht="15" hidden="false" customHeight="false" outlineLevel="0" collapsed="false">
      <c r="A7394" s="3" t="s">
        <v>482</v>
      </c>
      <c r="B7394" s="4" t="s">
        <v>31</v>
      </c>
      <c r="C7394" s="4" t="n">
        <v>4</v>
      </c>
      <c r="D7394" s="4" t="s">
        <v>105</v>
      </c>
      <c r="E7394" s="3" t="s">
        <v>313</v>
      </c>
      <c r="F7394" s="4" t="str">
        <f aca="false">IF(I7394&gt;J7394,"Y","N")</f>
        <v>Y</v>
      </c>
      <c r="G7394" s="3" t="s">
        <v>310</v>
      </c>
      <c r="H7394" s="3" t="s">
        <v>34</v>
      </c>
      <c r="I7394" s="4" t="n">
        <v>7</v>
      </c>
      <c r="J7394" s="4" t="n">
        <f aca="false">LEN(E7394)-LEN(SUBSTITUTE(E7394,",",""))+1</f>
        <v>6</v>
      </c>
      <c r="K7394" s="3" t="str">
        <f aca="false">IFERROR(INDEX('Teacher Lookup'!$B$2:$B$200,MATCH(A7394,'Teacher Lookup'!$A$2:$A$200,0)),"")</f>
        <v>LEE Michelle</v>
      </c>
    </row>
    <row r="7395" customFormat="false" ht="15" hidden="false" customHeight="false" outlineLevel="0" collapsed="false">
      <c r="A7395" s="3" t="s">
        <v>482</v>
      </c>
      <c r="B7395" s="4" t="s">
        <v>31</v>
      </c>
      <c r="C7395" s="4" t="n">
        <v>4</v>
      </c>
      <c r="D7395" s="4" t="s">
        <v>106</v>
      </c>
      <c r="E7395" s="3" t="s">
        <v>313</v>
      </c>
      <c r="F7395" s="4" t="str">
        <f aca="false">IF(I7395&gt;J7395,"Y","N")</f>
        <v>Y</v>
      </c>
      <c r="G7395" s="3" t="s">
        <v>310</v>
      </c>
      <c r="H7395" s="3" t="s">
        <v>34</v>
      </c>
      <c r="I7395" s="4" t="n">
        <v>7</v>
      </c>
      <c r="J7395" s="4" t="n">
        <f aca="false">LEN(E7395)-LEN(SUBSTITUTE(E7395,",",""))+1</f>
        <v>6</v>
      </c>
      <c r="K7395" s="3" t="str">
        <f aca="false">IFERROR(INDEX('Teacher Lookup'!$B$2:$B$200,MATCH(A7395,'Teacher Lookup'!$A$2:$A$200,0)),"")</f>
        <v>LEE Michelle</v>
      </c>
    </row>
    <row r="7396" customFormat="false" ht="15" hidden="false" customHeight="false" outlineLevel="0" collapsed="false">
      <c r="A7396" s="3" t="s">
        <v>482</v>
      </c>
      <c r="B7396" s="4" t="s">
        <v>31</v>
      </c>
      <c r="C7396" s="4" t="n">
        <v>4</v>
      </c>
      <c r="D7396" s="4" t="s">
        <v>107</v>
      </c>
      <c r="E7396" s="3" t="s">
        <v>313</v>
      </c>
      <c r="F7396" s="4" t="str">
        <f aca="false">IF(I7396&gt;J7396,"Y","N")</f>
        <v>Y</v>
      </c>
      <c r="G7396" s="3" t="s">
        <v>310</v>
      </c>
      <c r="H7396" s="3" t="s">
        <v>34</v>
      </c>
      <c r="I7396" s="4" t="n">
        <v>7</v>
      </c>
      <c r="J7396" s="4" t="n">
        <f aca="false">LEN(E7396)-LEN(SUBSTITUTE(E7396,",",""))+1</f>
        <v>6</v>
      </c>
      <c r="K7396" s="3" t="str">
        <f aca="false">IFERROR(INDEX('Teacher Lookup'!$B$2:$B$200,MATCH(A7396,'Teacher Lookup'!$A$2:$A$200,0)),"")</f>
        <v>LEE Michelle</v>
      </c>
    </row>
    <row r="7397" customFormat="false" ht="15" hidden="false" customHeight="false" outlineLevel="0" collapsed="false">
      <c r="A7397" s="3" t="s">
        <v>482</v>
      </c>
      <c r="B7397" s="4" t="s">
        <v>31</v>
      </c>
      <c r="C7397" s="4" t="n">
        <v>5</v>
      </c>
      <c r="D7397" s="4" t="s">
        <v>19</v>
      </c>
      <c r="E7397" s="3" t="s">
        <v>35</v>
      </c>
      <c r="F7397" s="4" t="str">
        <f aca="false">IF(I7397&gt;J7397,"Y","N")</f>
        <v>Y</v>
      </c>
      <c r="G7397" s="3" t="s">
        <v>36</v>
      </c>
      <c r="H7397" s="3" t="s">
        <v>37</v>
      </c>
      <c r="I7397" s="4" t="n">
        <v>17</v>
      </c>
      <c r="J7397" s="4" t="n">
        <f aca="false">LEN(E7397)-LEN(SUBSTITUTE(E7397,",",""))+1</f>
        <v>7</v>
      </c>
      <c r="K7397" s="3" t="str">
        <f aca="false">IFERROR(INDEX('Teacher Lookup'!$B$2:$B$200,MATCH(A7397,'Teacher Lookup'!$A$2:$A$200,0)),"")</f>
        <v>LEE Michelle</v>
      </c>
    </row>
    <row r="7398" customFormat="false" ht="15" hidden="false" customHeight="false" outlineLevel="0" collapsed="false">
      <c r="A7398" s="3" t="s">
        <v>482</v>
      </c>
      <c r="B7398" s="4" t="s">
        <v>31</v>
      </c>
      <c r="C7398" s="4" t="n">
        <v>5</v>
      </c>
      <c r="D7398" s="4" t="s">
        <v>22</v>
      </c>
      <c r="E7398" s="3" t="s">
        <v>35</v>
      </c>
      <c r="F7398" s="4" t="str">
        <f aca="false">IF(I7398&gt;J7398,"Y","N")</f>
        <v>Y</v>
      </c>
      <c r="G7398" s="3" t="s">
        <v>36</v>
      </c>
      <c r="H7398" s="3" t="s">
        <v>37</v>
      </c>
      <c r="I7398" s="4" t="n">
        <v>17</v>
      </c>
      <c r="J7398" s="4" t="n">
        <f aca="false">LEN(E7398)-LEN(SUBSTITUTE(E7398,",",""))+1</f>
        <v>7</v>
      </c>
      <c r="K7398" s="3" t="str">
        <f aca="false">IFERROR(INDEX('Teacher Lookup'!$B$2:$B$200,MATCH(A7398,'Teacher Lookup'!$A$2:$A$200,0)),"")</f>
        <v>LEE Michelle</v>
      </c>
    </row>
    <row r="7399" customFormat="false" ht="15" hidden="false" customHeight="false" outlineLevel="0" collapsed="false">
      <c r="A7399" s="3" t="s">
        <v>482</v>
      </c>
      <c r="B7399" s="4" t="s">
        <v>31</v>
      </c>
      <c r="C7399" s="4" t="n">
        <v>5</v>
      </c>
      <c r="D7399" s="4" t="s">
        <v>23</v>
      </c>
      <c r="E7399" s="3" t="s">
        <v>35</v>
      </c>
      <c r="F7399" s="4" t="str">
        <f aca="false">IF(I7399&gt;J7399,"Y","N")</f>
        <v>Y</v>
      </c>
      <c r="G7399" s="3" t="s">
        <v>36</v>
      </c>
      <c r="H7399" s="3" t="s">
        <v>37</v>
      </c>
      <c r="I7399" s="4" t="n">
        <v>17</v>
      </c>
      <c r="J7399" s="4" t="n">
        <f aca="false">LEN(E7399)-LEN(SUBSTITUTE(E7399,",",""))+1</f>
        <v>7</v>
      </c>
      <c r="K7399" s="3" t="str">
        <f aca="false">IFERROR(INDEX('Teacher Lookup'!$B$2:$B$200,MATCH(A7399,'Teacher Lookup'!$A$2:$A$200,0)),"")</f>
        <v>LEE Michelle</v>
      </c>
    </row>
    <row r="7400" customFormat="false" ht="15" hidden="false" customHeight="false" outlineLevel="0" collapsed="false">
      <c r="A7400" s="3" t="s">
        <v>482</v>
      </c>
      <c r="B7400" s="4" t="s">
        <v>31</v>
      </c>
      <c r="C7400" s="4" t="n">
        <v>5</v>
      </c>
      <c r="D7400" s="4" t="s">
        <v>13</v>
      </c>
      <c r="E7400" s="3" t="s">
        <v>35</v>
      </c>
      <c r="F7400" s="4" t="str">
        <f aca="false">IF(I7400&gt;J7400,"Y","N")</f>
        <v>Y</v>
      </c>
      <c r="G7400" s="3" t="s">
        <v>36</v>
      </c>
      <c r="H7400" s="3" t="s">
        <v>37</v>
      </c>
      <c r="I7400" s="4" t="n">
        <v>17</v>
      </c>
      <c r="J7400" s="4" t="n">
        <f aca="false">LEN(E7400)-LEN(SUBSTITUTE(E7400,",",""))+1</f>
        <v>7</v>
      </c>
      <c r="K7400" s="3" t="str">
        <f aca="false">IFERROR(INDEX('Teacher Lookup'!$B$2:$B$200,MATCH(A7400,'Teacher Lookup'!$A$2:$A$200,0)),"")</f>
        <v>LEE Michelle</v>
      </c>
    </row>
    <row r="7401" customFormat="false" ht="15" hidden="false" customHeight="false" outlineLevel="0" collapsed="false">
      <c r="A7401" s="3" t="s">
        <v>482</v>
      </c>
      <c r="B7401" s="4" t="s">
        <v>31</v>
      </c>
      <c r="C7401" s="4" t="n">
        <v>5</v>
      </c>
      <c r="D7401" s="4" t="s">
        <v>17</v>
      </c>
      <c r="E7401" s="3" t="s">
        <v>35</v>
      </c>
      <c r="F7401" s="4" t="str">
        <f aca="false">IF(I7401&gt;J7401,"Y","N")</f>
        <v>Y</v>
      </c>
      <c r="G7401" s="3" t="s">
        <v>36</v>
      </c>
      <c r="H7401" s="3" t="s">
        <v>37</v>
      </c>
      <c r="I7401" s="4" t="n">
        <v>17</v>
      </c>
      <c r="J7401" s="4" t="n">
        <f aca="false">LEN(E7401)-LEN(SUBSTITUTE(E7401,",",""))+1</f>
        <v>7</v>
      </c>
      <c r="K7401" s="3" t="str">
        <f aca="false">IFERROR(INDEX('Teacher Lookup'!$B$2:$B$200,MATCH(A7401,'Teacher Lookup'!$A$2:$A$200,0)),"")</f>
        <v>LEE Michelle</v>
      </c>
    </row>
    <row r="7402" customFormat="false" ht="15" hidden="false" customHeight="false" outlineLevel="0" collapsed="false">
      <c r="A7402" s="3" t="s">
        <v>482</v>
      </c>
      <c r="B7402" s="4" t="s">
        <v>31</v>
      </c>
      <c r="C7402" s="4" t="n">
        <v>5</v>
      </c>
      <c r="D7402" s="4" t="s">
        <v>18</v>
      </c>
      <c r="E7402" s="3" t="s">
        <v>35</v>
      </c>
      <c r="F7402" s="4" t="str">
        <f aca="false">IF(I7402&gt;J7402,"Y","N")</f>
        <v>Y</v>
      </c>
      <c r="G7402" s="3" t="s">
        <v>36</v>
      </c>
      <c r="H7402" s="3" t="s">
        <v>37</v>
      </c>
      <c r="I7402" s="4" t="n">
        <v>17</v>
      </c>
      <c r="J7402" s="4" t="n">
        <f aca="false">LEN(E7402)-LEN(SUBSTITUTE(E7402,",",""))+1</f>
        <v>7</v>
      </c>
      <c r="K7402" s="3" t="str">
        <f aca="false">IFERROR(INDEX('Teacher Lookup'!$B$2:$B$200,MATCH(A7402,'Teacher Lookup'!$A$2:$A$200,0)),"")</f>
        <v>LEE Michelle</v>
      </c>
    </row>
    <row r="7403" customFormat="false" ht="15" hidden="false" customHeight="false" outlineLevel="0" collapsed="false">
      <c r="A7403" s="3" t="s">
        <v>482</v>
      </c>
      <c r="B7403" s="4" t="s">
        <v>31</v>
      </c>
      <c r="C7403" s="4" t="n">
        <v>6</v>
      </c>
      <c r="D7403" s="4" t="s">
        <v>22</v>
      </c>
      <c r="E7403" s="3" t="s">
        <v>462</v>
      </c>
      <c r="F7403" s="4" t="str">
        <f aca="false">IF(I7403&gt;J7403,"Y","N")</f>
        <v>Y</v>
      </c>
      <c r="G7403" s="3" t="s">
        <v>463</v>
      </c>
      <c r="H7403" s="3" t="s">
        <v>42</v>
      </c>
      <c r="I7403" s="4" t="n">
        <v>2</v>
      </c>
      <c r="J7403" s="4" t="n">
        <f aca="false">LEN(E7403)-LEN(SUBSTITUTE(E7403,",",""))+1</f>
        <v>1</v>
      </c>
      <c r="K7403" s="3" t="str">
        <f aca="false">IFERROR(INDEX('Teacher Lookup'!$B$2:$B$200,MATCH(A7403,'Teacher Lookup'!$A$2:$A$200,0)),"")</f>
        <v>LEE Michelle</v>
      </c>
    </row>
    <row r="7404" customFormat="false" ht="15" hidden="false" customHeight="false" outlineLevel="0" collapsed="false">
      <c r="A7404" s="3" t="s">
        <v>482</v>
      </c>
      <c r="B7404" s="4" t="s">
        <v>31</v>
      </c>
      <c r="C7404" s="4" t="n">
        <v>7</v>
      </c>
      <c r="D7404" s="4" t="s">
        <v>22</v>
      </c>
      <c r="E7404" s="3" t="s">
        <v>462</v>
      </c>
      <c r="F7404" s="4" t="str">
        <f aca="false">IF(I7404&gt;J7404,"Y","N")</f>
        <v>Y</v>
      </c>
      <c r="G7404" s="3" t="s">
        <v>463</v>
      </c>
      <c r="H7404" s="3" t="s">
        <v>39</v>
      </c>
      <c r="I7404" s="4" t="n">
        <v>2</v>
      </c>
      <c r="J7404" s="4" t="n">
        <f aca="false">LEN(E7404)-LEN(SUBSTITUTE(E7404,",",""))+1</f>
        <v>1</v>
      </c>
      <c r="K7404" s="3" t="str">
        <f aca="false">IFERROR(INDEX('Teacher Lookup'!$B$2:$B$200,MATCH(A7404,'Teacher Lookup'!$A$2:$A$200,0)),"")</f>
        <v>LEE Michelle</v>
      </c>
    </row>
    <row r="7405" customFormat="false" ht="15" hidden="false" customHeight="false" outlineLevel="0" collapsed="false">
      <c r="A7405" s="3" t="s">
        <v>482</v>
      </c>
      <c r="B7405" s="4" t="s">
        <v>40</v>
      </c>
      <c r="C7405" s="4" t="n">
        <v>5</v>
      </c>
      <c r="D7405" s="4" t="s">
        <v>29</v>
      </c>
      <c r="E7405" s="3" t="s">
        <v>241</v>
      </c>
      <c r="F7405" s="4" t="str">
        <f aca="false">IF(I7405&gt;J7405,"Y","N")</f>
        <v>N</v>
      </c>
      <c r="G7405" s="3" t="s">
        <v>237</v>
      </c>
      <c r="H7405" s="3" t="s">
        <v>37</v>
      </c>
      <c r="I7405" s="4" t="n">
        <v>3</v>
      </c>
      <c r="J7405" s="4" t="n">
        <f aca="false">LEN(E7405)-LEN(SUBSTITUTE(E7405,",",""))+1</f>
        <v>3</v>
      </c>
      <c r="K7405" s="3" t="str">
        <f aca="false">IFERROR(INDEX('Teacher Lookup'!$B$2:$B$200,MATCH(A7405,'Teacher Lookup'!$A$2:$A$200,0)),"")</f>
        <v>LEE Michelle</v>
      </c>
    </row>
    <row r="7406" customFormat="false" ht="15" hidden="false" customHeight="false" outlineLevel="0" collapsed="false">
      <c r="A7406" s="3" t="s">
        <v>482</v>
      </c>
      <c r="B7406" s="4" t="s">
        <v>40</v>
      </c>
      <c r="C7406" s="4" t="n">
        <v>5</v>
      </c>
      <c r="D7406" s="4" t="s">
        <v>30</v>
      </c>
      <c r="E7406" s="3" t="s">
        <v>241</v>
      </c>
      <c r="F7406" s="4" t="str">
        <f aca="false">IF(I7406&gt;J7406,"Y","N")</f>
        <v>N</v>
      </c>
      <c r="G7406" s="3" t="s">
        <v>237</v>
      </c>
      <c r="H7406" s="3" t="s">
        <v>37</v>
      </c>
      <c r="I7406" s="4" t="n">
        <v>3</v>
      </c>
      <c r="J7406" s="4" t="n">
        <f aca="false">LEN(E7406)-LEN(SUBSTITUTE(E7406,",",""))+1</f>
        <v>3</v>
      </c>
      <c r="K7406" s="3" t="str">
        <f aca="false">IFERROR(INDEX('Teacher Lookup'!$B$2:$B$200,MATCH(A7406,'Teacher Lookup'!$A$2:$A$200,0)),"")</f>
        <v>LEE Michelle</v>
      </c>
    </row>
    <row r="7407" customFormat="false" ht="15" hidden="false" customHeight="false" outlineLevel="0" collapsed="false">
      <c r="A7407" s="3" t="s">
        <v>482</v>
      </c>
      <c r="B7407" s="4" t="s">
        <v>40</v>
      </c>
      <c r="C7407" s="4" t="n">
        <v>6</v>
      </c>
      <c r="D7407" s="4" t="s">
        <v>102</v>
      </c>
      <c r="E7407" s="3" t="s">
        <v>314</v>
      </c>
      <c r="F7407" s="4" t="str">
        <f aca="false">IF(I7407&gt;J7407,"Y","N")</f>
        <v>Y</v>
      </c>
      <c r="G7407" s="3" t="s">
        <v>310</v>
      </c>
      <c r="H7407" s="3" t="s">
        <v>42</v>
      </c>
      <c r="I7407" s="4" t="n">
        <v>7</v>
      </c>
      <c r="J7407" s="4" t="n">
        <f aca="false">LEN(E7407)-LEN(SUBSTITUTE(E7407,",",""))+1</f>
        <v>6</v>
      </c>
      <c r="K7407" s="3" t="str">
        <f aca="false">IFERROR(INDEX('Teacher Lookup'!$B$2:$B$200,MATCH(A7407,'Teacher Lookup'!$A$2:$A$200,0)),"")</f>
        <v>LEE Michelle</v>
      </c>
    </row>
    <row r="7408" customFormat="false" ht="15" hidden="false" customHeight="false" outlineLevel="0" collapsed="false">
      <c r="A7408" s="3" t="s">
        <v>482</v>
      </c>
      <c r="B7408" s="4" t="s">
        <v>40</v>
      </c>
      <c r="C7408" s="4" t="n">
        <v>6</v>
      </c>
      <c r="D7408" s="4" t="s">
        <v>105</v>
      </c>
      <c r="E7408" s="3" t="s">
        <v>314</v>
      </c>
      <c r="F7408" s="4" t="str">
        <f aca="false">IF(I7408&gt;J7408,"Y","N")</f>
        <v>Y</v>
      </c>
      <c r="G7408" s="3" t="s">
        <v>310</v>
      </c>
      <c r="H7408" s="3" t="s">
        <v>42</v>
      </c>
      <c r="I7408" s="4" t="n">
        <v>7</v>
      </c>
      <c r="J7408" s="4" t="n">
        <f aca="false">LEN(E7408)-LEN(SUBSTITUTE(E7408,",",""))+1</f>
        <v>6</v>
      </c>
      <c r="K7408" s="3" t="str">
        <f aca="false">IFERROR(INDEX('Teacher Lookup'!$B$2:$B$200,MATCH(A7408,'Teacher Lookup'!$A$2:$A$200,0)),"")</f>
        <v>LEE Michelle</v>
      </c>
    </row>
    <row r="7409" customFormat="false" ht="15" hidden="false" customHeight="false" outlineLevel="0" collapsed="false">
      <c r="A7409" s="3" t="s">
        <v>482</v>
      </c>
      <c r="B7409" s="4" t="s">
        <v>40</v>
      </c>
      <c r="C7409" s="4" t="n">
        <v>6</v>
      </c>
      <c r="D7409" s="4" t="s">
        <v>106</v>
      </c>
      <c r="E7409" s="3" t="s">
        <v>314</v>
      </c>
      <c r="F7409" s="4" t="str">
        <f aca="false">IF(I7409&gt;J7409,"Y","N")</f>
        <v>Y</v>
      </c>
      <c r="G7409" s="3" t="s">
        <v>310</v>
      </c>
      <c r="H7409" s="3" t="s">
        <v>42</v>
      </c>
      <c r="I7409" s="4" t="n">
        <v>7</v>
      </c>
      <c r="J7409" s="4" t="n">
        <f aca="false">LEN(E7409)-LEN(SUBSTITUTE(E7409,",",""))+1</f>
        <v>6</v>
      </c>
      <c r="K7409" s="3" t="str">
        <f aca="false">IFERROR(INDEX('Teacher Lookup'!$B$2:$B$200,MATCH(A7409,'Teacher Lookup'!$A$2:$A$200,0)),"")</f>
        <v>LEE Michelle</v>
      </c>
    </row>
    <row r="7410" customFormat="false" ht="15" hidden="false" customHeight="false" outlineLevel="0" collapsed="false">
      <c r="A7410" s="3" t="s">
        <v>482</v>
      </c>
      <c r="B7410" s="4" t="s">
        <v>40</v>
      </c>
      <c r="C7410" s="4" t="n">
        <v>6</v>
      </c>
      <c r="D7410" s="4" t="s">
        <v>107</v>
      </c>
      <c r="E7410" s="3" t="s">
        <v>314</v>
      </c>
      <c r="F7410" s="4" t="str">
        <f aca="false">IF(I7410&gt;J7410,"Y","N")</f>
        <v>Y</v>
      </c>
      <c r="G7410" s="3" t="s">
        <v>310</v>
      </c>
      <c r="H7410" s="3" t="s">
        <v>42</v>
      </c>
      <c r="I7410" s="4" t="n">
        <v>7</v>
      </c>
      <c r="J7410" s="4" t="n">
        <f aca="false">LEN(E7410)-LEN(SUBSTITUTE(E7410,",",""))+1</f>
        <v>6</v>
      </c>
      <c r="K7410" s="3" t="str">
        <f aca="false">IFERROR(INDEX('Teacher Lookup'!$B$2:$B$200,MATCH(A7410,'Teacher Lookup'!$A$2:$A$200,0)),"")</f>
        <v>LEE Michelle</v>
      </c>
    </row>
    <row r="7411" customFormat="false" ht="15" hidden="false" customHeight="false" outlineLevel="0" collapsed="false">
      <c r="A7411" s="3" t="s">
        <v>482</v>
      </c>
      <c r="B7411" s="4" t="s">
        <v>40</v>
      </c>
      <c r="C7411" s="4" t="n">
        <v>7</v>
      </c>
      <c r="D7411" s="4" t="s">
        <v>102</v>
      </c>
      <c r="E7411" s="3" t="s">
        <v>314</v>
      </c>
      <c r="F7411" s="4" t="str">
        <f aca="false">IF(I7411&gt;J7411,"Y","N")</f>
        <v>Y</v>
      </c>
      <c r="G7411" s="3" t="s">
        <v>310</v>
      </c>
      <c r="H7411" s="3" t="s">
        <v>39</v>
      </c>
      <c r="I7411" s="4" t="n">
        <v>7</v>
      </c>
      <c r="J7411" s="4" t="n">
        <f aca="false">LEN(E7411)-LEN(SUBSTITUTE(E7411,",",""))+1</f>
        <v>6</v>
      </c>
      <c r="K7411" s="3" t="str">
        <f aca="false">IFERROR(INDEX('Teacher Lookup'!$B$2:$B$200,MATCH(A7411,'Teacher Lookup'!$A$2:$A$200,0)),"")</f>
        <v>LEE Michelle</v>
      </c>
    </row>
    <row r="7412" customFormat="false" ht="15" hidden="false" customHeight="false" outlineLevel="0" collapsed="false">
      <c r="A7412" s="3" t="s">
        <v>482</v>
      </c>
      <c r="B7412" s="4" t="s">
        <v>40</v>
      </c>
      <c r="C7412" s="4" t="n">
        <v>7</v>
      </c>
      <c r="D7412" s="4" t="s">
        <v>105</v>
      </c>
      <c r="E7412" s="3" t="s">
        <v>314</v>
      </c>
      <c r="F7412" s="4" t="str">
        <f aca="false">IF(I7412&gt;J7412,"Y","N")</f>
        <v>Y</v>
      </c>
      <c r="G7412" s="3" t="s">
        <v>310</v>
      </c>
      <c r="H7412" s="3" t="s">
        <v>39</v>
      </c>
      <c r="I7412" s="4" t="n">
        <v>7</v>
      </c>
      <c r="J7412" s="4" t="n">
        <f aca="false">LEN(E7412)-LEN(SUBSTITUTE(E7412,",",""))+1</f>
        <v>6</v>
      </c>
      <c r="K7412" s="3" t="str">
        <f aca="false">IFERROR(INDEX('Teacher Lookup'!$B$2:$B$200,MATCH(A7412,'Teacher Lookup'!$A$2:$A$200,0)),"")</f>
        <v>LEE Michelle</v>
      </c>
    </row>
    <row r="7413" customFormat="false" ht="15" hidden="false" customHeight="false" outlineLevel="0" collapsed="false">
      <c r="A7413" s="3" t="s">
        <v>482</v>
      </c>
      <c r="B7413" s="4" t="s">
        <v>40</v>
      </c>
      <c r="C7413" s="4" t="n">
        <v>7</v>
      </c>
      <c r="D7413" s="4" t="s">
        <v>106</v>
      </c>
      <c r="E7413" s="3" t="s">
        <v>314</v>
      </c>
      <c r="F7413" s="4" t="str">
        <f aca="false">IF(I7413&gt;J7413,"Y","N")</f>
        <v>Y</v>
      </c>
      <c r="G7413" s="3" t="s">
        <v>310</v>
      </c>
      <c r="H7413" s="3" t="s">
        <v>39</v>
      </c>
      <c r="I7413" s="4" t="n">
        <v>7</v>
      </c>
      <c r="J7413" s="4" t="n">
        <f aca="false">LEN(E7413)-LEN(SUBSTITUTE(E7413,",",""))+1</f>
        <v>6</v>
      </c>
      <c r="K7413" s="3" t="str">
        <f aca="false">IFERROR(INDEX('Teacher Lookup'!$B$2:$B$200,MATCH(A7413,'Teacher Lookup'!$A$2:$A$200,0)),"")</f>
        <v>LEE Michelle</v>
      </c>
    </row>
    <row r="7414" customFormat="false" ht="15" hidden="false" customHeight="false" outlineLevel="0" collapsed="false">
      <c r="A7414" s="3" t="s">
        <v>482</v>
      </c>
      <c r="B7414" s="4" t="s">
        <v>40</v>
      </c>
      <c r="C7414" s="4" t="n">
        <v>7</v>
      </c>
      <c r="D7414" s="4" t="s">
        <v>107</v>
      </c>
      <c r="E7414" s="3" t="s">
        <v>314</v>
      </c>
      <c r="F7414" s="4" t="str">
        <f aca="false">IF(I7414&gt;J7414,"Y","N")</f>
        <v>Y</v>
      </c>
      <c r="G7414" s="3" t="s">
        <v>310</v>
      </c>
      <c r="H7414" s="3" t="s">
        <v>39</v>
      </c>
      <c r="I7414" s="4" t="n">
        <v>7</v>
      </c>
      <c r="J7414" s="4" t="n">
        <f aca="false">LEN(E7414)-LEN(SUBSTITUTE(E7414,",",""))+1</f>
        <v>6</v>
      </c>
      <c r="K7414" s="3" t="str">
        <f aca="false">IFERROR(INDEX('Teacher Lookup'!$B$2:$B$200,MATCH(A7414,'Teacher Lookup'!$A$2:$A$200,0)),"")</f>
        <v>LEE Michelle</v>
      </c>
    </row>
    <row r="7415" customFormat="false" ht="15" hidden="false" customHeight="false" outlineLevel="0" collapsed="false">
      <c r="A7415" s="3" t="s">
        <v>482</v>
      </c>
      <c r="B7415" s="4" t="s">
        <v>44</v>
      </c>
      <c r="C7415" s="4" t="n">
        <v>3</v>
      </c>
      <c r="D7415" s="4" t="s">
        <v>29</v>
      </c>
      <c r="E7415" s="3" t="s">
        <v>242</v>
      </c>
      <c r="F7415" s="4" t="str">
        <f aca="false">IF(I7415&gt;J7415,"Y","N")</f>
        <v>N</v>
      </c>
      <c r="G7415" s="3" t="s">
        <v>237</v>
      </c>
      <c r="H7415" s="3" t="s">
        <v>26</v>
      </c>
      <c r="I7415" s="4" t="n">
        <v>3</v>
      </c>
      <c r="J7415" s="4" t="n">
        <f aca="false">LEN(E7415)-LEN(SUBSTITUTE(E7415,",",""))+1</f>
        <v>3</v>
      </c>
      <c r="K7415" s="3" t="str">
        <f aca="false">IFERROR(INDEX('Teacher Lookup'!$B$2:$B$200,MATCH(A7415,'Teacher Lookup'!$A$2:$A$200,0)),"")</f>
        <v>LEE Michelle</v>
      </c>
    </row>
    <row r="7416" customFormat="false" ht="15" hidden="false" customHeight="false" outlineLevel="0" collapsed="false">
      <c r="A7416" s="3" t="s">
        <v>482</v>
      </c>
      <c r="B7416" s="4" t="s">
        <v>44</v>
      </c>
      <c r="C7416" s="4" t="n">
        <v>3</v>
      </c>
      <c r="D7416" s="4" t="s">
        <v>30</v>
      </c>
      <c r="E7416" s="3" t="s">
        <v>242</v>
      </c>
      <c r="F7416" s="4" t="str">
        <f aca="false">IF(I7416&gt;J7416,"Y","N")</f>
        <v>N</v>
      </c>
      <c r="G7416" s="3" t="s">
        <v>237</v>
      </c>
      <c r="H7416" s="3" t="s">
        <v>26</v>
      </c>
      <c r="I7416" s="4" t="n">
        <v>3</v>
      </c>
      <c r="J7416" s="4" t="n">
        <f aca="false">LEN(E7416)-LEN(SUBSTITUTE(E7416,",",""))+1</f>
        <v>3</v>
      </c>
      <c r="K7416" s="3" t="str">
        <f aca="false">IFERROR(INDEX('Teacher Lookup'!$B$2:$B$200,MATCH(A7416,'Teacher Lookup'!$A$2:$A$200,0)),"")</f>
        <v>LEE Michelle</v>
      </c>
    </row>
    <row r="7417" customFormat="false" ht="15" hidden="false" customHeight="false" outlineLevel="0" collapsed="false">
      <c r="A7417" s="3" t="s">
        <v>482</v>
      </c>
      <c r="B7417" s="4" t="s">
        <v>44</v>
      </c>
      <c r="C7417" s="4" t="n">
        <v>5</v>
      </c>
      <c r="D7417" s="4" t="s">
        <v>19</v>
      </c>
      <c r="E7417" s="3" t="s">
        <v>35</v>
      </c>
      <c r="F7417" s="4" t="str">
        <f aca="false">IF(I7417&gt;J7417,"Y","N")</f>
        <v>Y</v>
      </c>
      <c r="G7417" s="3" t="s">
        <v>36</v>
      </c>
      <c r="H7417" s="3" t="s">
        <v>37</v>
      </c>
      <c r="I7417" s="4" t="n">
        <v>17</v>
      </c>
      <c r="J7417" s="4" t="n">
        <f aca="false">LEN(E7417)-LEN(SUBSTITUTE(E7417,",",""))+1</f>
        <v>7</v>
      </c>
      <c r="K7417" s="3" t="str">
        <f aca="false">IFERROR(INDEX('Teacher Lookup'!$B$2:$B$200,MATCH(A7417,'Teacher Lookup'!$A$2:$A$200,0)),"")</f>
        <v>LEE Michelle</v>
      </c>
    </row>
    <row r="7418" customFormat="false" ht="15" hidden="false" customHeight="false" outlineLevel="0" collapsed="false">
      <c r="A7418" s="3" t="s">
        <v>482</v>
      </c>
      <c r="B7418" s="4" t="s">
        <v>44</v>
      </c>
      <c r="C7418" s="4" t="n">
        <v>5</v>
      </c>
      <c r="D7418" s="4" t="s">
        <v>22</v>
      </c>
      <c r="E7418" s="3" t="s">
        <v>35</v>
      </c>
      <c r="F7418" s="4" t="str">
        <f aca="false">IF(I7418&gt;J7418,"Y","N")</f>
        <v>Y</v>
      </c>
      <c r="G7418" s="3" t="s">
        <v>36</v>
      </c>
      <c r="H7418" s="3" t="s">
        <v>37</v>
      </c>
      <c r="I7418" s="4" t="n">
        <v>17</v>
      </c>
      <c r="J7418" s="4" t="n">
        <f aca="false">LEN(E7418)-LEN(SUBSTITUTE(E7418,",",""))+1</f>
        <v>7</v>
      </c>
      <c r="K7418" s="3" t="str">
        <f aca="false">IFERROR(INDEX('Teacher Lookup'!$B$2:$B$200,MATCH(A7418,'Teacher Lookup'!$A$2:$A$200,0)),"")</f>
        <v>LEE Michelle</v>
      </c>
    </row>
    <row r="7419" customFormat="false" ht="15" hidden="false" customHeight="false" outlineLevel="0" collapsed="false">
      <c r="A7419" s="3" t="s">
        <v>482</v>
      </c>
      <c r="B7419" s="4" t="s">
        <v>44</v>
      </c>
      <c r="C7419" s="4" t="n">
        <v>5</v>
      </c>
      <c r="D7419" s="4" t="s">
        <v>23</v>
      </c>
      <c r="E7419" s="3" t="s">
        <v>35</v>
      </c>
      <c r="F7419" s="4" t="str">
        <f aca="false">IF(I7419&gt;J7419,"Y","N")</f>
        <v>Y</v>
      </c>
      <c r="G7419" s="3" t="s">
        <v>36</v>
      </c>
      <c r="H7419" s="3" t="s">
        <v>37</v>
      </c>
      <c r="I7419" s="4" t="n">
        <v>17</v>
      </c>
      <c r="J7419" s="4" t="n">
        <f aca="false">LEN(E7419)-LEN(SUBSTITUTE(E7419,",",""))+1</f>
        <v>7</v>
      </c>
      <c r="K7419" s="3" t="str">
        <f aca="false">IFERROR(INDEX('Teacher Lookup'!$B$2:$B$200,MATCH(A7419,'Teacher Lookup'!$A$2:$A$200,0)),"")</f>
        <v>LEE Michelle</v>
      </c>
    </row>
    <row r="7420" customFormat="false" ht="15" hidden="false" customHeight="false" outlineLevel="0" collapsed="false">
      <c r="A7420" s="3" t="s">
        <v>482</v>
      </c>
      <c r="B7420" s="4" t="s">
        <v>44</v>
      </c>
      <c r="C7420" s="4" t="n">
        <v>5</v>
      </c>
      <c r="D7420" s="4" t="s">
        <v>13</v>
      </c>
      <c r="E7420" s="3" t="s">
        <v>35</v>
      </c>
      <c r="F7420" s="4" t="str">
        <f aca="false">IF(I7420&gt;J7420,"Y","N")</f>
        <v>Y</v>
      </c>
      <c r="G7420" s="3" t="s">
        <v>36</v>
      </c>
      <c r="H7420" s="3" t="s">
        <v>37</v>
      </c>
      <c r="I7420" s="4" t="n">
        <v>17</v>
      </c>
      <c r="J7420" s="4" t="n">
        <f aca="false">LEN(E7420)-LEN(SUBSTITUTE(E7420,",",""))+1</f>
        <v>7</v>
      </c>
      <c r="K7420" s="3" t="str">
        <f aca="false">IFERROR(INDEX('Teacher Lookup'!$B$2:$B$200,MATCH(A7420,'Teacher Lookup'!$A$2:$A$200,0)),"")</f>
        <v>LEE Michelle</v>
      </c>
    </row>
    <row r="7421" customFormat="false" ht="15" hidden="false" customHeight="false" outlineLevel="0" collapsed="false">
      <c r="A7421" s="3" t="s">
        <v>482</v>
      </c>
      <c r="B7421" s="4" t="s">
        <v>44</v>
      </c>
      <c r="C7421" s="4" t="n">
        <v>5</v>
      </c>
      <c r="D7421" s="4" t="s">
        <v>17</v>
      </c>
      <c r="E7421" s="3" t="s">
        <v>35</v>
      </c>
      <c r="F7421" s="4" t="str">
        <f aca="false">IF(I7421&gt;J7421,"Y","N")</f>
        <v>Y</v>
      </c>
      <c r="G7421" s="3" t="s">
        <v>36</v>
      </c>
      <c r="H7421" s="3" t="s">
        <v>37</v>
      </c>
      <c r="I7421" s="4" t="n">
        <v>17</v>
      </c>
      <c r="J7421" s="4" t="n">
        <f aca="false">LEN(E7421)-LEN(SUBSTITUTE(E7421,",",""))+1</f>
        <v>7</v>
      </c>
      <c r="K7421" s="3" t="str">
        <f aca="false">IFERROR(INDEX('Teacher Lookup'!$B$2:$B$200,MATCH(A7421,'Teacher Lookup'!$A$2:$A$200,0)),"")</f>
        <v>LEE Michelle</v>
      </c>
    </row>
    <row r="7422" customFormat="false" ht="15" hidden="false" customHeight="false" outlineLevel="0" collapsed="false">
      <c r="A7422" s="3" t="s">
        <v>482</v>
      </c>
      <c r="B7422" s="4" t="s">
        <v>44</v>
      </c>
      <c r="C7422" s="4" t="n">
        <v>5</v>
      </c>
      <c r="D7422" s="4" t="s">
        <v>18</v>
      </c>
      <c r="E7422" s="3" t="s">
        <v>35</v>
      </c>
      <c r="F7422" s="4" t="str">
        <f aca="false">IF(I7422&gt;J7422,"Y","N")</f>
        <v>Y</v>
      </c>
      <c r="G7422" s="3" t="s">
        <v>36</v>
      </c>
      <c r="H7422" s="3" t="s">
        <v>37</v>
      </c>
      <c r="I7422" s="4" t="n">
        <v>17</v>
      </c>
      <c r="J7422" s="4" t="n">
        <f aca="false">LEN(E7422)-LEN(SUBSTITUTE(E7422,",",""))+1</f>
        <v>7</v>
      </c>
      <c r="K7422" s="3" t="str">
        <f aca="false">IFERROR(INDEX('Teacher Lookup'!$B$2:$B$200,MATCH(A7422,'Teacher Lookup'!$A$2:$A$200,0)),"")</f>
        <v>LEE Michelle</v>
      </c>
    </row>
    <row r="7423" customFormat="false" ht="15" hidden="false" customHeight="false" outlineLevel="0" collapsed="false">
      <c r="A7423" s="3" t="s">
        <v>482</v>
      </c>
      <c r="B7423" s="4" t="s">
        <v>47</v>
      </c>
      <c r="C7423" s="4" t="n">
        <v>2</v>
      </c>
      <c r="D7423" s="4" t="s">
        <v>102</v>
      </c>
      <c r="E7423" s="3" t="s">
        <v>315</v>
      </c>
      <c r="F7423" s="4" t="str">
        <f aca="false">IF(I7423&gt;J7423,"Y","N")</f>
        <v>Y</v>
      </c>
      <c r="G7423" s="3" t="s">
        <v>310</v>
      </c>
      <c r="H7423" s="3" t="s">
        <v>21</v>
      </c>
      <c r="I7423" s="4" t="n">
        <v>7</v>
      </c>
      <c r="J7423" s="4" t="n">
        <f aca="false">LEN(E7423)-LEN(SUBSTITUTE(E7423,",",""))+1</f>
        <v>6</v>
      </c>
      <c r="K7423" s="3" t="str">
        <f aca="false">IFERROR(INDEX('Teacher Lookup'!$B$2:$B$200,MATCH(A7423,'Teacher Lookup'!$A$2:$A$200,0)),"")</f>
        <v>LEE Michelle</v>
      </c>
    </row>
    <row r="7424" customFormat="false" ht="15" hidden="false" customHeight="false" outlineLevel="0" collapsed="false">
      <c r="A7424" s="3" t="s">
        <v>482</v>
      </c>
      <c r="B7424" s="4" t="s">
        <v>47</v>
      </c>
      <c r="C7424" s="4" t="n">
        <v>2</v>
      </c>
      <c r="D7424" s="4" t="s">
        <v>105</v>
      </c>
      <c r="E7424" s="3" t="s">
        <v>315</v>
      </c>
      <c r="F7424" s="4" t="str">
        <f aca="false">IF(I7424&gt;J7424,"Y","N")</f>
        <v>Y</v>
      </c>
      <c r="G7424" s="3" t="s">
        <v>310</v>
      </c>
      <c r="H7424" s="3" t="s">
        <v>21</v>
      </c>
      <c r="I7424" s="4" t="n">
        <v>7</v>
      </c>
      <c r="J7424" s="4" t="n">
        <f aca="false">LEN(E7424)-LEN(SUBSTITUTE(E7424,",",""))+1</f>
        <v>6</v>
      </c>
      <c r="K7424" s="3" t="str">
        <f aca="false">IFERROR(INDEX('Teacher Lookup'!$B$2:$B$200,MATCH(A7424,'Teacher Lookup'!$A$2:$A$200,0)),"")</f>
        <v>LEE Michelle</v>
      </c>
    </row>
    <row r="7425" customFormat="false" ht="15" hidden="false" customHeight="false" outlineLevel="0" collapsed="false">
      <c r="A7425" s="3" t="s">
        <v>482</v>
      </c>
      <c r="B7425" s="4" t="s">
        <v>47</v>
      </c>
      <c r="C7425" s="4" t="n">
        <v>2</v>
      </c>
      <c r="D7425" s="4" t="s">
        <v>106</v>
      </c>
      <c r="E7425" s="3" t="s">
        <v>315</v>
      </c>
      <c r="F7425" s="4" t="str">
        <f aca="false">IF(I7425&gt;J7425,"Y","N")</f>
        <v>Y</v>
      </c>
      <c r="G7425" s="3" t="s">
        <v>310</v>
      </c>
      <c r="H7425" s="3" t="s">
        <v>21</v>
      </c>
      <c r="I7425" s="4" t="n">
        <v>7</v>
      </c>
      <c r="J7425" s="4" t="n">
        <f aca="false">LEN(E7425)-LEN(SUBSTITUTE(E7425,",",""))+1</f>
        <v>6</v>
      </c>
      <c r="K7425" s="3" t="str">
        <f aca="false">IFERROR(INDEX('Teacher Lookup'!$B$2:$B$200,MATCH(A7425,'Teacher Lookup'!$A$2:$A$200,0)),"")</f>
        <v>LEE Michelle</v>
      </c>
    </row>
    <row r="7426" customFormat="false" ht="15" hidden="false" customHeight="false" outlineLevel="0" collapsed="false">
      <c r="A7426" s="3" t="s">
        <v>482</v>
      </c>
      <c r="B7426" s="4" t="s">
        <v>47</v>
      </c>
      <c r="C7426" s="4" t="n">
        <v>2</v>
      </c>
      <c r="D7426" s="4" t="s">
        <v>107</v>
      </c>
      <c r="E7426" s="3" t="s">
        <v>315</v>
      </c>
      <c r="F7426" s="4" t="str">
        <f aca="false">IF(I7426&gt;J7426,"Y","N")</f>
        <v>Y</v>
      </c>
      <c r="G7426" s="3" t="s">
        <v>310</v>
      </c>
      <c r="H7426" s="3" t="s">
        <v>21</v>
      </c>
      <c r="I7426" s="4" t="n">
        <v>7</v>
      </c>
      <c r="J7426" s="4" t="n">
        <f aca="false">LEN(E7426)-LEN(SUBSTITUTE(E7426,",",""))+1</f>
        <v>6</v>
      </c>
      <c r="K7426" s="3" t="str">
        <f aca="false">IFERROR(INDEX('Teacher Lookup'!$B$2:$B$200,MATCH(A7426,'Teacher Lookup'!$A$2:$A$200,0)),"")</f>
        <v>LEE Michelle</v>
      </c>
    </row>
    <row r="7427" customFormat="false" ht="15" hidden="false" customHeight="false" outlineLevel="0" collapsed="false">
      <c r="A7427" s="3" t="s">
        <v>482</v>
      </c>
      <c r="B7427" s="4" t="s">
        <v>47</v>
      </c>
      <c r="C7427" s="4" t="n">
        <v>6</v>
      </c>
      <c r="D7427" s="4" t="s">
        <v>74</v>
      </c>
      <c r="E7427" s="3" t="s">
        <v>462</v>
      </c>
      <c r="F7427" s="4" t="str">
        <f aca="false">IF(I7427&gt;J7427,"Y","N")</f>
        <v>Y</v>
      </c>
      <c r="G7427" s="3" t="s">
        <v>463</v>
      </c>
      <c r="H7427" s="3" t="s">
        <v>42</v>
      </c>
      <c r="I7427" s="4" t="n">
        <v>2</v>
      </c>
      <c r="J7427" s="4" t="n">
        <f aca="false">LEN(E7427)-LEN(SUBSTITUTE(E7427,",",""))+1</f>
        <v>1</v>
      </c>
      <c r="K7427" s="3" t="str">
        <f aca="false">IFERROR(INDEX('Teacher Lookup'!$B$2:$B$200,MATCH(A7427,'Teacher Lookup'!$A$2:$A$200,0)),"")</f>
        <v>LEE Michelle</v>
      </c>
    </row>
    <row r="7428" customFormat="false" ht="15" hidden="false" customHeight="false" outlineLevel="0" collapsed="false">
      <c r="A7428" s="3" t="s">
        <v>482</v>
      </c>
      <c r="B7428" s="4" t="s">
        <v>47</v>
      </c>
      <c r="C7428" s="4" t="n">
        <v>7</v>
      </c>
      <c r="D7428" s="4" t="s">
        <v>74</v>
      </c>
      <c r="E7428" s="3" t="s">
        <v>462</v>
      </c>
      <c r="F7428" s="4" t="str">
        <f aca="false">IF(I7428&gt;J7428,"Y","N")</f>
        <v>Y</v>
      </c>
      <c r="G7428" s="3" t="s">
        <v>463</v>
      </c>
      <c r="H7428" s="3" t="s">
        <v>39</v>
      </c>
      <c r="I7428" s="4" t="n">
        <v>2</v>
      </c>
      <c r="J7428" s="4" t="n">
        <f aca="false">LEN(E7428)-LEN(SUBSTITUTE(E7428,",",""))+1</f>
        <v>1</v>
      </c>
      <c r="K7428" s="3" t="str">
        <f aca="false">IFERROR(INDEX('Teacher Lookup'!$B$2:$B$200,MATCH(A7428,'Teacher Lookup'!$A$2:$A$200,0)),"")</f>
        <v>LEE Michelle</v>
      </c>
    </row>
    <row r="7429" customFormat="false" ht="15" hidden="false" customHeight="false" outlineLevel="0" collapsed="false">
      <c r="A7429" s="3" t="s">
        <v>482</v>
      </c>
      <c r="B7429" s="4" t="s">
        <v>50</v>
      </c>
      <c r="C7429" s="4" t="n">
        <v>1</v>
      </c>
      <c r="D7429" s="4" t="s">
        <v>29</v>
      </c>
      <c r="E7429" s="3" t="s">
        <v>245</v>
      </c>
      <c r="F7429" s="4" t="str">
        <f aca="false">IF(I7429&gt;J7429,"Y","N")</f>
        <v>N</v>
      </c>
      <c r="G7429" s="3" t="s">
        <v>237</v>
      </c>
      <c r="H7429" s="3" t="s">
        <v>16</v>
      </c>
      <c r="I7429" s="4" t="n">
        <v>3</v>
      </c>
      <c r="J7429" s="4" t="n">
        <f aca="false">LEN(E7429)-LEN(SUBSTITUTE(E7429,",",""))+1</f>
        <v>3</v>
      </c>
      <c r="K7429" s="3" t="str">
        <f aca="false">IFERROR(INDEX('Teacher Lookup'!$B$2:$B$200,MATCH(A7429,'Teacher Lookup'!$A$2:$A$200,0)),"")</f>
        <v>LEE Michelle</v>
      </c>
    </row>
    <row r="7430" customFormat="false" ht="15" hidden="false" customHeight="false" outlineLevel="0" collapsed="false">
      <c r="A7430" s="3" t="s">
        <v>482</v>
      </c>
      <c r="B7430" s="4" t="s">
        <v>50</v>
      </c>
      <c r="C7430" s="4" t="n">
        <v>1</v>
      </c>
      <c r="D7430" s="4" t="s">
        <v>30</v>
      </c>
      <c r="E7430" s="3" t="s">
        <v>245</v>
      </c>
      <c r="F7430" s="4" t="str">
        <f aca="false">IF(I7430&gt;J7430,"Y","N")</f>
        <v>N</v>
      </c>
      <c r="G7430" s="3" t="s">
        <v>237</v>
      </c>
      <c r="H7430" s="3" t="s">
        <v>16</v>
      </c>
      <c r="I7430" s="4" t="n">
        <v>3</v>
      </c>
      <c r="J7430" s="4" t="n">
        <f aca="false">LEN(E7430)-LEN(SUBSTITUTE(E7430,",",""))+1</f>
        <v>3</v>
      </c>
      <c r="K7430" s="3" t="str">
        <f aca="false">IFERROR(INDEX('Teacher Lookup'!$B$2:$B$200,MATCH(A7430,'Teacher Lookup'!$A$2:$A$200,0)),"")</f>
        <v>LEE Michelle</v>
      </c>
    </row>
    <row r="7431" customFormat="false" ht="15" hidden="false" customHeight="false" outlineLevel="0" collapsed="false">
      <c r="A7431" s="3" t="s">
        <v>482</v>
      </c>
      <c r="B7431" s="4" t="s">
        <v>50</v>
      </c>
      <c r="C7431" s="4" t="n">
        <v>3</v>
      </c>
      <c r="D7431" s="4" t="s">
        <v>102</v>
      </c>
      <c r="E7431" s="3" t="s">
        <v>317</v>
      </c>
      <c r="F7431" s="4" t="str">
        <f aca="false">IF(I7431&gt;J7431,"Y","N")</f>
        <v>Y</v>
      </c>
      <c r="G7431" s="3" t="s">
        <v>310</v>
      </c>
      <c r="H7431" s="3" t="s">
        <v>26</v>
      </c>
      <c r="I7431" s="4" t="n">
        <v>7</v>
      </c>
      <c r="J7431" s="4" t="n">
        <f aca="false">LEN(E7431)-LEN(SUBSTITUTE(E7431,",",""))+1</f>
        <v>6</v>
      </c>
      <c r="K7431" s="3" t="str">
        <f aca="false">IFERROR(INDEX('Teacher Lookup'!$B$2:$B$200,MATCH(A7431,'Teacher Lookup'!$A$2:$A$200,0)),"")</f>
        <v>LEE Michelle</v>
      </c>
    </row>
    <row r="7432" customFormat="false" ht="15" hidden="false" customHeight="false" outlineLevel="0" collapsed="false">
      <c r="A7432" s="3" t="s">
        <v>482</v>
      </c>
      <c r="B7432" s="4" t="s">
        <v>50</v>
      </c>
      <c r="C7432" s="4" t="n">
        <v>3</v>
      </c>
      <c r="D7432" s="4" t="s">
        <v>105</v>
      </c>
      <c r="E7432" s="3" t="s">
        <v>317</v>
      </c>
      <c r="F7432" s="4" t="str">
        <f aca="false">IF(I7432&gt;J7432,"Y","N")</f>
        <v>Y</v>
      </c>
      <c r="G7432" s="3" t="s">
        <v>310</v>
      </c>
      <c r="H7432" s="3" t="s">
        <v>26</v>
      </c>
      <c r="I7432" s="4" t="n">
        <v>7</v>
      </c>
      <c r="J7432" s="4" t="n">
        <f aca="false">LEN(E7432)-LEN(SUBSTITUTE(E7432,",",""))+1</f>
        <v>6</v>
      </c>
      <c r="K7432" s="3" t="str">
        <f aca="false">IFERROR(INDEX('Teacher Lookup'!$B$2:$B$200,MATCH(A7432,'Teacher Lookup'!$A$2:$A$200,0)),"")</f>
        <v>LEE Michelle</v>
      </c>
    </row>
    <row r="7433" customFormat="false" ht="15" hidden="false" customHeight="false" outlineLevel="0" collapsed="false">
      <c r="A7433" s="3" t="s">
        <v>482</v>
      </c>
      <c r="B7433" s="4" t="s">
        <v>50</v>
      </c>
      <c r="C7433" s="4" t="n">
        <v>3</v>
      </c>
      <c r="D7433" s="4" t="s">
        <v>106</v>
      </c>
      <c r="E7433" s="3" t="s">
        <v>317</v>
      </c>
      <c r="F7433" s="4" t="str">
        <f aca="false">IF(I7433&gt;J7433,"Y","N")</f>
        <v>Y</v>
      </c>
      <c r="G7433" s="3" t="s">
        <v>310</v>
      </c>
      <c r="H7433" s="3" t="s">
        <v>26</v>
      </c>
      <c r="I7433" s="4" t="n">
        <v>7</v>
      </c>
      <c r="J7433" s="4" t="n">
        <f aca="false">LEN(E7433)-LEN(SUBSTITUTE(E7433,",",""))+1</f>
        <v>6</v>
      </c>
      <c r="K7433" s="3" t="str">
        <f aca="false">IFERROR(INDEX('Teacher Lookup'!$B$2:$B$200,MATCH(A7433,'Teacher Lookup'!$A$2:$A$200,0)),"")</f>
        <v>LEE Michelle</v>
      </c>
    </row>
    <row r="7434" customFormat="false" ht="15" hidden="false" customHeight="false" outlineLevel="0" collapsed="false">
      <c r="A7434" s="3" t="s">
        <v>482</v>
      </c>
      <c r="B7434" s="4" t="s">
        <v>50</v>
      </c>
      <c r="C7434" s="4" t="n">
        <v>3</v>
      </c>
      <c r="D7434" s="4" t="s">
        <v>107</v>
      </c>
      <c r="E7434" s="3" t="s">
        <v>317</v>
      </c>
      <c r="F7434" s="4" t="str">
        <f aca="false">IF(I7434&gt;J7434,"Y","N")</f>
        <v>Y</v>
      </c>
      <c r="G7434" s="3" t="s">
        <v>310</v>
      </c>
      <c r="H7434" s="3" t="s">
        <v>26</v>
      </c>
      <c r="I7434" s="4" t="n">
        <v>7</v>
      </c>
      <c r="J7434" s="4" t="n">
        <f aca="false">LEN(E7434)-LEN(SUBSTITUTE(E7434,",",""))+1</f>
        <v>6</v>
      </c>
      <c r="K7434" s="3" t="str">
        <f aca="false">IFERROR(INDEX('Teacher Lookup'!$B$2:$B$200,MATCH(A7434,'Teacher Lookup'!$A$2:$A$200,0)),"")</f>
        <v>LEE Michelle</v>
      </c>
    </row>
    <row r="7435" customFormat="false" ht="15" hidden="false" customHeight="false" outlineLevel="0" collapsed="false">
      <c r="A7435" s="3" t="s">
        <v>482</v>
      </c>
      <c r="B7435" s="4" t="s">
        <v>50</v>
      </c>
      <c r="C7435" s="4" t="n">
        <v>6</v>
      </c>
      <c r="D7435" s="4" t="s">
        <v>22</v>
      </c>
      <c r="E7435" s="3" t="s">
        <v>462</v>
      </c>
      <c r="F7435" s="4" t="str">
        <f aca="false">IF(I7435&gt;J7435,"Y","N")</f>
        <v>Y</v>
      </c>
      <c r="G7435" s="3" t="s">
        <v>463</v>
      </c>
      <c r="H7435" s="3" t="s">
        <v>42</v>
      </c>
      <c r="I7435" s="4" t="n">
        <v>2</v>
      </c>
      <c r="J7435" s="4" t="n">
        <f aca="false">LEN(E7435)-LEN(SUBSTITUTE(E7435,",",""))+1</f>
        <v>1</v>
      </c>
      <c r="K7435" s="3" t="str">
        <f aca="false">IFERROR(INDEX('Teacher Lookup'!$B$2:$B$200,MATCH(A7435,'Teacher Lookup'!$A$2:$A$200,0)),"")</f>
        <v>LEE Michelle</v>
      </c>
    </row>
    <row r="7436" customFormat="false" ht="15" hidden="false" customHeight="false" outlineLevel="0" collapsed="false">
      <c r="A7436" s="3" t="s">
        <v>482</v>
      </c>
      <c r="B7436" s="4" t="s">
        <v>50</v>
      </c>
      <c r="C7436" s="4" t="n">
        <v>7</v>
      </c>
      <c r="D7436" s="4" t="s">
        <v>22</v>
      </c>
      <c r="E7436" s="3" t="s">
        <v>462</v>
      </c>
      <c r="F7436" s="4" t="str">
        <f aca="false">IF(I7436&gt;J7436,"Y","N")</f>
        <v>Y</v>
      </c>
      <c r="G7436" s="3" t="s">
        <v>463</v>
      </c>
      <c r="H7436" s="3" t="s">
        <v>39</v>
      </c>
      <c r="I7436" s="4" t="n">
        <v>2</v>
      </c>
      <c r="J7436" s="4" t="n">
        <f aca="false">LEN(E7436)-LEN(SUBSTITUTE(E7436,",",""))+1</f>
        <v>1</v>
      </c>
      <c r="K7436" s="3" t="str">
        <f aca="false">IFERROR(INDEX('Teacher Lookup'!$B$2:$B$200,MATCH(A7436,'Teacher Lookup'!$A$2:$A$200,0)),"")</f>
        <v>LEE Michelle</v>
      </c>
    </row>
    <row r="7437" customFormat="false" ht="15" hidden="false" customHeight="false" outlineLevel="0" collapsed="false">
      <c r="A7437" s="3" t="s">
        <v>482</v>
      </c>
      <c r="B7437" s="4" t="s">
        <v>60</v>
      </c>
      <c r="C7437" s="4" t="n">
        <v>1</v>
      </c>
      <c r="D7437" s="4" t="s">
        <v>29</v>
      </c>
      <c r="E7437" s="3" t="s">
        <v>247</v>
      </c>
      <c r="F7437" s="4" t="str">
        <f aca="false">IF(I7437&gt;J7437,"Y","N")</f>
        <v>N</v>
      </c>
      <c r="G7437" s="3" t="s">
        <v>237</v>
      </c>
      <c r="H7437" s="3" t="s">
        <v>16</v>
      </c>
      <c r="I7437" s="4" t="n">
        <v>3</v>
      </c>
      <c r="J7437" s="4" t="n">
        <f aca="false">LEN(E7437)-LEN(SUBSTITUTE(E7437,",",""))+1</f>
        <v>3</v>
      </c>
      <c r="K7437" s="3" t="str">
        <f aca="false">IFERROR(INDEX('Teacher Lookup'!$B$2:$B$200,MATCH(A7437,'Teacher Lookup'!$A$2:$A$200,0)),"")</f>
        <v>LEE Michelle</v>
      </c>
    </row>
    <row r="7438" customFormat="false" ht="15" hidden="false" customHeight="false" outlineLevel="0" collapsed="false">
      <c r="A7438" s="3" t="s">
        <v>482</v>
      </c>
      <c r="B7438" s="4" t="s">
        <v>60</v>
      </c>
      <c r="C7438" s="4" t="n">
        <v>1</v>
      </c>
      <c r="D7438" s="4" t="s">
        <v>30</v>
      </c>
      <c r="E7438" s="3" t="s">
        <v>247</v>
      </c>
      <c r="F7438" s="4" t="str">
        <f aca="false">IF(I7438&gt;J7438,"Y","N")</f>
        <v>N</v>
      </c>
      <c r="G7438" s="3" t="s">
        <v>237</v>
      </c>
      <c r="H7438" s="3" t="s">
        <v>16</v>
      </c>
      <c r="I7438" s="4" t="n">
        <v>3</v>
      </c>
      <c r="J7438" s="4" t="n">
        <f aca="false">LEN(E7438)-LEN(SUBSTITUTE(E7438,",",""))+1</f>
        <v>3</v>
      </c>
      <c r="K7438" s="3" t="str">
        <f aca="false">IFERROR(INDEX('Teacher Lookup'!$B$2:$B$200,MATCH(A7438,'Teacher Lookup'!$A$2:$A$200,0)),"")</f>
        <v>LEE Michelle</v>
      </c>
    </row>
    <row r="7439" customFormat="false" ht="15" hidden="false" customHeight="false" outlineLevel="0" collapsed="false">
      <c r="A7439" s="3" t="s">
        <v>482</v>
      </c>
      <c r="B7439" s="4" t="s">
        <v>60</v>
      </c>
      <c r="C7439" s="4" t="n">
        <v>4</v>
      </c>
      <c r="D7439" s="4" t="s">
        <v>102</v>
      </c>
      <c r="E7439" s="3" t="s">
        <v>318</v>
      </c>
      <c r="F7439" s="4" t="str">
        <f aca="false">IF(I7439&gt;J7439,"Y","N")</f>
        <v>Y</v>
      </c>
      <c r="G7439" s="3" t="s">
        <v>310</v>
      </c>
      <c r="H7439" s="3" t="s">
        <v>34</v>
      </c>
      <c r="I7439" s="4" t="n">
        <v>7</v>
      </c>
      <c r="J7439" s="4" t="n">
        <f aca="false">LEN(E7439)-LEN(SUBSTITUTE(E7439,",",""))+1</f>
        <v>6</v>
      </c>
      <c r="K7439" s="3" t="str">
        <f aca="false">IFERROR(INDEX('Teacher Lookup'!$B$2:$B$200,MATCH(A7439,'Teacher Lookup'!$A$2:$A$200,0)),"")</f>
        <v>LEE Michelle</v>
      </c>
    </row>
    <row r="7440" customFormat="false" ht="15" hidden="false" customHeight="false" outlineLevel="0" collapsed="false">
      <c r="A7440" s="3" t="s">
        <v>482</v>
      </c>
      <c r="B7440" s="4" t="s">
        <v>60</v>
      </c>
      <c r="C7440" s="4" t="n">
        <v>4</v>
      </c>
      <c r="D7440" s="4" t="s">
        <v>105</v>
      </c>
      <c r="E7440" s="3" t="s">
        <v>318</v>
      </c>
      <c r="F7440" s="4" t="str">
        <f aca="false">IF(I7440&gt;J7440,"Y","N")</f>
        <v>Y</v>
      </c>
      <c r="G7440" s="3" t="s">
        <v>310</v>
      </c>
      <c r="H7440" s="3" t="s">
        <v>34</v>
      </c>
      <c r="I7440" s="4" t="n">
        <v>7</v>
      </c>
      <c r="J7440" s="4" t="n">
        <f aca="false">LEN(E7440)-LEN(SUBSTITUTE(E7440,",",""))+1</f>
        <v>6</v>
      </c>
      <c r="K7440" s="3" t="str">
        <f aca="false">IFERROR(INDEX('Teacher Lookup'!$B$2:$B$200,MATCH(A7440,'Teacher Lookup'!$A$2:$A$200,0)),"")</f>
        <v>LEE Michelle</v>
      </c>
    </row>
    <row r="7441" customFormat="false" ht="15" hidden="false" customHeight="false" outlineLevel="0" collapsed="false">
      <c r="A7441" s="3" t="s">
        <v>482</v>
      </c>
      <c r="B7441" s="4" t="s">
        <v>60</v>
      </c>
      <c r="C7441" s="4" t="n">
        <v>4</v>
      </c>
      <c r="D7441" s="4" t="s">
        <v>106</v>
      </c>
      <c r="E7441" s="3" t="s">
        <v>318</v>
      </c>
      <c r="F7441" s="4" t="str">
        <f aca="false">IF(I7441&gt;J7441,"Y","N")</f>
        <v>Y</v>
      </c>
      <c r="G7441" s="3" t="s">
        <v>310</v>
      </c>
      <c r="H7441" s="3" t="s">
        <v>34</v>
      </c>
      <c r="I7441" s="4" t="n">
        <v>7</v>
      </c>
      <c r="J7441" s="4" t="n">
        <f aca="false">LEN(E7441)-LEN(SUBSTITUTE(E7441,",",""))+1</f>
        <v>6</v>
      </c>
      <c r="K7441" s="3" t="str">
        <f aca="false">IFERROR(INDEX('Teacher Lookup'!$B$2:$B$200,MATCH(A7441,'Teacher Lookup'!$A$2:$A$200,0)),"")</f>
        <v>LEE Michelle</v>
      </c>
    </row>
    <row r="7442" customFormat="false" ht="15" hidden="false" customHeight="false" outlineLevel="0" collapsed="false">
      <c r="A7442" s="3" t="s">
        <v>482</v>
      </c>
      <c r="B7442" s="4" t="s">
        <v>60</v>
      </c>
      <c r="C7442" s="4" t="n">
        <v>4</v>
      </c>
      <c r="D7442" s="4" t="s">
        <v>107</v>
      </c>
      <c r="E7442" s="3" t="s">
        <v>318</v>
      </c>
      <c r="F7442" s="4" t="str">
        <f aca="false">IF(I7442&gt;J7442,"Y","N")</f>
        <v>Y</v>
      </c>
      <c r="G7442" s="3" t="s">
        <v>310</v>
      </c>
      <c r="H7442" s="3" t="s">
        <v>34</v>
      </c>
      <c r="I7442" s="4" t="n">
        <v>7</v>
      </c>
      <c r="J7442" s="4" t="n">
        <f aca="false">LEN(E7442)-LEN(SUBSTITUTE(E7442,",",""))+1</f>
        <v>6</v>
      </c>
      <c r="K7442" s="3" t="str">
        <f aca="false">IFERROR(INDEX('Teacher Lookup'!$B$2:$B$200,MATCH(A7442,'Teacher Lookup'!$A$2:$A$200,0)),"")</f>
        <v>LEE Michelle</v>
      </c>
    </row>
    <row r="7443" customFormat="false" ht="15" hidden="false" customHeight="false" outlineLevel="0" collapsed="false">
      <c r="A7443" s="3" t="s">
        <v>482</v>
      </c>
      <c r="B7443" s="4" t="s">
        <v>60</v>
      </c>
      <c r="C7443" s="4" t="n">
        <v>5</v>
      </c>
      <c r="D7443" s="4" t="s">
        <v>19</v>
      </c>
      <c r="E7443" s="3" t="s">
        <v>35</v>
      </c>
      <c r="F7443" s="4" t="str">
        <f aca="false">IF(I7443&gt;J7443,"Y","N")</f>
        <v>Y</v>
      </c>
      <c r="G7443" s="3" t="s">
        <v>36</v>
      </c>
      <c r="H7443" s="3" t="s">
        <v>37</v>
      </c>
      <c r="I7443" s="4" t="n">
        <v>17</v>
      </c>
      <c r="J7443" s="4" t="n">
        <f aca="false">LEN(E7443)-LEN(SUBSTITUTE(E7443,",",""))+1</f>
        <v>7</v>
      </c>
      <c r="K7443" s="3" t="str">
        <f aca="false">IFERROR(INDEX('Teacher Lookup'!$B$2:$B$200,MATCH(A7443,'Teacher Lookup'!$A$2:$A$200,0)),"")</f>
        <v>LEE Michelle</v>
      </c>
    </row>
    <row r="7444" customFormat="false" ht="15" hidden="false" customHeight="false" outlineLevel="0" collapsed="false">
      <c r="A7444" s="3" t="s">
        <v>482</v>
      </c>
      <c r="B7444" s="4" t="s">
        <v>60</v>
      </c>
      <c r="C7444" s="4" t="n">
        <v>5</v>
      </c>
      <c r="D7444" s="4" t="s">
        <v>22</v>
      </c>
      <c r="E7444" s="3" t="s">
        <v>35</v>
      </c>
      <c r="F7444" s="4" t="str">
        <f aca="false">IF(I7444&gt;J7444,"Y","N")</f>
        <v>Y</v>
      </c>
      <c r="G7444" s="3" t="s">
        <v>36</v>
      </c>
      <c r="H7444" s="3" t="s">
        <v>37</v>
      </c>
      <c r="I7444" s="4" t="n">
        <v>17</v>
      </c>
      <c r="J7444" s="4" t="n">
        <f aca="false">LEN(E7444)-LEN(SUBSTITUTE(E7444,",",""))+1</f>
        <v>7</v>
      </c>
      <c r="K7444" s="3" t="str">
        <f aca="false">IFERROR(INDEX('Teacher Lookup'!$B$2:$B$200,MATCH(A7444,'Teacher Lookup'!$A$2:$A$200,0)),"")</f>
        <v>LEE Michelle</v>
      </c>
    </row>
    <row r="7445" customFormat="false" ht="15" hidden="false" customHeight="false" outlineLevel="0" collapsed="false">
      <c r="A7445" s="3" t="s">
        <v>482</v>
      </c>
      <c r="B7445" s="4" t="s">
        <v>60</v>
      </c>
      <c r="C7445" s="4" t="n">
        <v>5</v>
      </c>
      <c r="D7445" s="4" t="s">
        <v>23</v>
      </c>
      <c r="E7445" s="3" t="s">
        <v>35</v>
      </c>
      <c r="F7445" s="4" t="str">
        <f aca="false">IF(I7445&gt;J7445,"Y","N")</f>
        <v>Y</v>
      </c>
      <c r="G7445" s="3" t="s">
        <v>36</v>
      </c>
      <c r="H7445" s="3" t="s">
        <v>37</v>
      </c>
      <c r="I7445" s="4" t="n">
        <v>17</v>
      </c>
      <c r="J7445" s="4" t="n">
        <f aca="false">LEN(E7445)-LEN(SUBSTITUTE(E7445,",",""))+1</f>
        <v>7</v>
      </c>
      <c r="K7445" s="3" t="str">
        <f aca="false">IFERROR(INDEX('Teacher Lookup'!$B$2:$B$200,MATCH(A7445,'Teacher Lookup'!$A$2:$A$200,0)),"")</f>
        <v>LEE Michelle</v>
      </c>
    </row>
    <row r="7446" customFormat="false" ht="15" hidden="false" customHeight="false" outlineLevel="0" collapsed="false">
      <c r="A7446" s="3" t="s">
        <v>482</v>
      </c>
      <c r="B7446" s="4" t="s">
        <v>60</v>
      </c>
      <c r="C7446" s="4" t="n">
        <v>5</v>
      </c>
      <c r="D7446" s="4" t="s">
        <v>13</v>
      </c>
      <c r="E7446" s="3" t="s">
        <v>35</v>
      </c>
      <c r="F7446" s="4" t="str">
        <f aca="false">IF(I7446&gt;J7446,"Y","N")</f>
        <v>Y</v>
      </c>
      <c r="G7446" s="3" t="s">
        <v>36</v>
      </c>
      <c r="H7446" s="3" t="s">
        <v>37</v>
      </c>
      <c r="I7446" s="4" t="n">
        <v>17</v>
      </c>
      <c r="J7446" s="4" t="n">
        <f aca="false">LEN(E7446)-LEN(SUBSTITUTE(E7446,",",""))+1</f>
        <v>7</v>
      </c>
      <c r="K7446" s="3" t="str">
        <f aca="false">IFERROR(INDEX('Teacher Lookup'!$B$2:$B$200,MATCH(A7446,'Teacher Lookup'!$A$2:$A$200,0)),"")</f>
        <v>LEE Michelle</v>
      </c>
    </row>
    <row r="7447" customFormat="false" ht="15" hidden="false" customHeight="false" outlineLevel="0" collapsed="false">
      <c r="A7447" s="3" t="s">
        <v>482</v>
      </c>
      <c r="B7447" s="4" t="s">
        <v>60</v>
      </c>
      <c r="C7447" s="4" t="n">
        <v>5</v>
      </c>
      <c r="D7447" s="4" t="s">
        <v>17</v>
      </c>
      <c r="E7447" s="3" t="s">
        <v>35</v>
      </c>
      <c r="F7447" s="4" t="str">
        <f aca="false">IF(I7447&gt;J7447,"Y","N")</f>
        <v>Y</v>
      </c>
      <c r="G7447" s="3" t="s">
        <v>36</v>
      </c>
      <c r="H7447" s="3" t="s">
        <v>37</v>
      </c>
      <c r="I7447" s="4" t="n">
        <v>17</v>
      </c>
      <c r="J7447" s="4" t="n">
        <f aca="false">LEN(E7447)-LEN(SUBSTITUTE(E7447,",",""))+1</f>
        <v>7</v>
      </c>
      <c r="K7447" s="3" t="str">
        <f aca="false">IFERROR(INDEX('Teacher Lookup'!$B$2:$B$200,MATCH(A7447,'Teacher Lookup'!$A$2:$A$200,0)),"")</f>
        <v>LEE Michelle</v>
      </c>
    </row>
    <row r="7448" customFormat="false" ht="15" hidden="false" customHeight="false" outlineLevel="0" collapsed="false">
      <c r="A7448" s="3" t="s">
        <v>482</v>
      </c>
      <c r="B7448" s="4" t="s">
        <v>60</v>
      </c>
      <c r="C7448" s="4" t="n">
        <v>5</v>
      </c>
      <c r="D7448" s="4" t="s">
        <v>18</v>
      </c>
      <c r="E7448" s="3" t="s">
        <v>35</v>
      </c>
      <c r="F7448" s="4" t="str">
        <f aca="false">IF(I7448&gt;J7448,"Y","N")</f>
        <v>Y</v>
      </c>
      <c r="G7448" s="3" t="s">
        <v>36</v>
      </c>
      <c r="H7448" s="3" t="s">
        <v>37</v>
      </c>
      <c r="I7448" s="4" t="n">
        <v>17</v>
      </c>
      <c r="J7448" s="4" t="n">
        <f aca="false">LEN(E7448)-LEN(SUBSTITUTE(E7448,",",""))+1</f>
        <v>7</v>
      </c>
      <c r="K7448" s="3" t="str">
        <f aca="false">IFERROR(INDEX('Teacher Lookup'!$B$2:$B$200,MATCH(A7448,'Teacher Lookup'!$A$2:$A$200,0)),"")</f>
        <v>LEE Michelle</v>
      </c>
    </row>
    <row r="7449" customFormat="false" ht="15" hidden="false" customHeight="false" outlineLevel="0" collapsed="false">
      <c r="A7449" s="3" t="s">
        <v>482</v>
      </c>
      <c r="B7449" s="4" t="s">
        <v>63</v>
      </c>
      <c r="C7449" s="4" t="n">
        <v>3</v>
      </c>
      <c r="D7449" s="4" t="s">
        <v>29</v>
      </c>
      <c r="E7449" s="3" t="s">
        <v>236</v>
      </c>
      <c r="F7449" s="4" t="str">
        <f aca="false">IF(I7449&gt;J7449,"Y","N")</f>
        <v>N</v>
      </c>
      <c r="G7449" s="3" t="s">
        <v>237</v>
      </c>
      <c r="H7449" s="3" t="s">
        <v>26</v>
      </c>
      <c r="I7449" s="4" t="n">
        <v>3</v>
      </c>
      <c r="J7449" s="4" t="n">
        <f aca="false">LEN(E7449)-LEN(SUBSTITUTE(E7449,",",""))+1</f>
        <v>3</v>
      </c>
      <c r="K7449" s="3" t="str">
        <f aca="false">IFERROR(INDEX('Teacher Lookup'!$B$2:$B$200,MATCH(A7449,'Teacher Lookup'!$A$2:$A$200,0)),"")</f>
        <v>LEE Michelle</v>
      </c>
    </row>
    <row r="7450" customFormat="false" ht="15" hidden="false" customHeight="false" outlineLevel="0" collapsed="false">
      <c r="A7450" s="3" t="s">
        <v>482</v>
      </c>
      <c r="B7450" s="4" t="s">
        <v>63</v>
      </c>
      <c r="C7450" s="4" t="n">
        <v>3</v>
      </c>
      <c r="D7450" s="4" t="s">
        <v>30</v>
      </c>
      <c r="E7450" s="3" t="s">
        <v>236</v>
      </c>
      <c r="F7450" s="4" t="str">
        <f aca="false">IF(I7450&gt;J7450,"Y","N")</f>
        <v>N</v>
      </c>
      <c r="G7450" s="3" t="s">
        <v>237</v>
      </c>
      <c r="H7450" s="3" t="s">
        <v>26</v>
      </c>
      <c r="I7450" s="4" t="n">
        <v>3</v>
      </c>
      <c r="J7450" s="4" t="n">
        <f aca="false">LEN(E7450)-LEN(SUBSTITUTE(E7450,",",""))+1</f>
        <v>3</v>
      </c>
      <c r="K7450" s="3" t="str">
        <f aca="false">IFERROR(INDEX('Teacher Lookup'!$B$2:$B$200,MATCH(A7450,'Teacher Lookup'!$A$2:$A$200,0)),"")</f>
        <v>LEE Michelle</v>
      </c>
    </row>
    <row r="7451" customFormat="false" ht="15" hidden="false" customHeight="false" outlineLevel="0" collapsed="false">
      <c r="A7451" s="3" t="s">
        <v>482</v>
      </c>
      <c r="B7451" s="4" t="s">
        <v>63</v>
      </c>
      <c r="C7451" s="4" t="n">
        <v>4</v>
      </c>
      <c r="D7451" s="4" t="s">
        <v>70</v>
      </c>
      <c r="E7451" s="3" t="s">
        <v>213</v>
      </c>
      <c r="F7451" s="4" t="str">
        <f aca="false">IF(I7451&gt;J7451,"Y","N")</f>
        <v>Y</v>
      </c>
      <c r="G7451" s="3" t="s">
        <v>214</v>
      </c>
      <c r="H7451" s="3" t="s">
        <v>34</v>
      </c>
      <c r="I7451" s="4" t="n">
        <v>20</v>
      </c>
      <c r="J7451" s="4" t="n">
        <f aca="false">LEN(E7451)-LEN(SUBSTITUTE(E7451,",",""))+1</f>
        <v>6</v>
      </c>
      <c r="K7451" s="3" t="str">
        <f aca="false">IFERROR(INDEX('Teacher Lookup'!$B$2:$B$200,MATCH(A7451,'Teacher Lookup'!$A$2:$A$200,0)),"")</f>
        <v>LEE Michelle</v>
      </c>
    </row>
    <row r="7452" customFormat="false" ht="15" hidden="false" customHeight="false" outlineLevel="0" collapsed="false">
      <c r="A7452" s="3" t="s">
        <v>482</v>
      </c>
      <c r="B7452" s="4" t="s">
        <v>63</v>
      </c>
      <c r="C7452" s="4" t="n">
        <v>4</v>
      </c>
      <c r="D7452" s="4" t="s">
        <v>73</v>
      </c>
      <c r="E7452" s="3" t="s">
        <v>213</v>
      </c>
      <c r="F7452" s="4" t="str">
        <f aca="false">IF(I7452&gt;J7452,"Y","N")</f>
        <v>Y</v>
      </c>
      <c r="G7452" s="3" t="s">
        <v>214</v>
      </c>
      <c r="H7452" s="3" t="s">
        <v>34</v>
      </c>
      <c r="I7452" s="4" t="n">
        <v>20</v>
      </c>
      <c r="J7452" s="4" t="n">
        <f aca="false">LEN(E7452)-LEN(SUBSTITUTE(E7452,",",""))+1</f>
        <v>6</v>
      </c>
      <c r="K7452" s="3" t="str">
        <f aca="false">IFERROR(INDEX('Teacher Lookup'!$B$2:$B$200,MATCH(A7452,'Teacher Lookup'!$A$2:$A$200,0)),"")</f>
        <v>LEE Michelle</v>
      </c>
    </row>
    <row r="7453" customFormat="false" ht="15" hidden="false" customHeight="false" outlineLevel="0" collapsed="false">
      <c r="A7453" s="3" t="s">
        <v>482</v>
      </c>
      <c r="B7453" s="4" t="s">
        <v>63</v>
      </c>
      <c r="C7453" s="4" t="n">
        <v>4</v>
      </c>
      <c r="D7453" s="4" t="s">
        <v>74</v>
      </c>
      <c r="E7453" s="3" t="s">
        <v>213</v>
      </c>
      <c r="F7453" s="4" t="str">
        <f aca="false">IF(I7453&gt;J7453,"Y","N")</f>
        <v>Y</v>
      </c>
      <c r="G7453" s="3" t="s">
        <v>214</v>
      </c>
      <c r="H7453" s="3" t="s">
        <v>34</v>
      </c>
      <c r="I7453" s="4" t="n">
        <v>20</v>
      </c>
      <c r="J7453" s="4" t="n">
        <f aca="false">LEN(E7453)-LEN(SUBSTITUTE(E7453,",",""))+1</f>
        <v>6</v>
      </c>
      <c r="K7453" s="3" t="str">
        <f aca="false">IFERROR(INDEX('Teacher Lookup'!$B$2:$B$200,MATCH(A7453,'Teacher Lookup'!$A$2:$A$200,0)),"")</f>
        <v>LEE Michelle</v>
      </c>
    </row>
    <row r="7454" customFormat="false" ht="15" hidden="false" customHeight="false" outlineLevel="0" collapsed="false">
      <c r="A7454" s="3" t="s">
        <v>482</v>
      </c>
      <c r="B7454" s="4" t="s">
        <v>63</v>
      </c>
      <c r="C7454" s="4" t="n">
        <v>4</v>
      </c>
      <c r="D7454" s="4" t="s">
        <v>76</v>
      </c>
      <c r="E7454" s="3" t="s">
        <v>213</v>
      </c>
      <c r="F7454" s="4" t="str">
        <f aca="false">IF(I7454&gt;J7454,"Y","N")</f>
        <v>Y</v>
      </c>
      <c r="G7454" s="3" t="s">
        <v>214</v>
      </c>
      <c r="H7454" s="3" t="s">
        <v>34</v>
      </c>
      <c r="I7454" s="4" t="n">
        <v>20</v>
      </c>
      <c r="J7454" s="4" t="n">
        <f aca="false">LEN(E7454)-LEN(SUBSTITUTE(E7454,",",""))+1</f>
        <v>6</v>
      </c>
      <c r="K7454" s="3" t="str">
        <f aca="false">IFERROR(INDEX('Teacher Lookup'!$B$2:$B$200,MATCH(A7454,'Teacher Lookup'!$A$2:$A$200,0)),"")</f>
        <v>LEE Michelle</v>
      </c>
    </row>
    <row r="7455" customFormat="false" ht="15" hidden="false" customHeight="false" outlineLevel="0" collapsed="false">
      <c r="A7455" s="3" t="s">
        <v>482</v>
      </c>
      <c r="B7455" s="4" t="s">
        <v>63</v>
      </c>
      <c r="C7455" s="4" t="n">
        <v>4</v>
      </c>
      <c r="D7455" s="4" t="s">
        <v>78</v>
      </c>
      <c r="E7455" s="3" t="s">
        <v>213</v>
      </c>
      <c r="F7455" s="4" t="str">
        <f aca="false">IF(I7455&gt;J7455,"Y","N")</f>
        <v>Y</v>
      </c>
      <c r="G7455" s="3" t="s">
        <v>214</v>
      </c>
      <c r="H7455" s="3" t="s">
        <v>34</v>
      </c>
      <c r="I7455" s="4" t="n">
        <v>20</v>
      </c>
      <c r="J7455" s="4" t="n">
        <f aca="false">LEN(E7455)-LEN(SUBSTITUTE(E7455,",",""))+1</f>
        <v>6</v>
      </c>
      <c r="K7455" s="3" t="str">
        <f aca="false">IFERROR(INDEX('Teacher Lookup'!$B$2:$B$200,MATCH(A7455,'Teacher Lookup'!$A$2:$A$200,0)),"")</f>
        <v>LEE Michelle</v>
      </c>
    </row>
    <row r="7456" customFormat="false" ht="15" hidden="false" customHeight="false" outlineLevel="0" collapsed="false">
      <c r="A7456" s="3" t="s">
        <v>482</v>
      </c>
      <c r="B7456" s="4" t="s">
        <v>63</v>
      </c>
      <c r="C7456" s="4" t="n">
        <v>4</v>
      </c>
      <c r="D7456" s="4" t="s">
        <v>79</v>
      </c>
      <c r="E7456" s="3" t="s">
        <v>213</v>
      </c>
      <c r="F7456" s="4" t="str">
        <f aca="false">IF(I7456&gt;J7456,"Y","N")</f>
        <v>Y</v>
      </c>
      <c r="G7456" s="3" t="s">
        <v>214</v>
      </c>
      <c r="H7456" s="3" t="s">
        <v>34</v>
      </c>
      <c r="I7456" s="4" t="n">
        <v>20</v>
      </c>
      <c r="J7456" s="4" t="n">
        <f aca="false">LEN(E7456)-LEN(SUBSTITUTE(E7456,",",""))+1</f>
        <v>6</v>
      </c>
      <c r="K7456" s="3" t="str">
        <f aca="false">IFERROR(INDEX('Teacher Lookup'!$B$2:$B$200,MATCH(A7456,'Teacher Lookup'!$A$2:$A$200,0)),"")</f>
        <v>LEE Michelle</v>
      </c>
    </row>
    <row r="7457" customFormat="false" ht="15" hidden="false" customHeight="false" outlineLevel="0" collapsed="false">
      <c r="A7457" s="3" t="s">
        <v>482</v>
      </c>
      <c r="B7457" s="4" t="s">
        <v>63</v>
      </c>
      <c r="C7457" s="4" t="n">
        <v>5</v>
      </c>
      <c r="D7457" s="4" t="s">
        <v>70</v>
      </c>
      <c r="E7457" s="3" t="s">
        <v>213</v>
      </c>
      <c r="F7457" s="4" t="str">
        <f aca="false">IF(I7457&gt;J7457,"Y","N")</f>
        <v>Y</v>
      </c>
      <c r="G7457" s="3" t="s">
        <v>214</v>
      </c>
      <c r="H7457" s="3" t="s">
        <v>37</v>
      </c>
      <c r="I7457" s="4" t="n">
        <v>20</v>
      </c>
      <c r="J7457" s="4" t="n">
        <f aca="false">LEN(E7457)-LEN(SUBSTITUTE(E7457,",",""))+1</f>
        <v>6</v>
      </c>
      <c r="K7457" s="3" t="str">
        <f aca="false">IFERROR(INDEX('Teacher Lookup'!$B$2:$B$200,MATCH(A7457,'Teacher Lookup'!$A$2:$A$200,0)),"")</f>
        <v>LEE Michelle</v>
      </c>
    </row>
    <row r="7458" customFormat="false" ht="15" hidden="false" customHeight="false" outlineLevel="0" collapsed="false">
      <c r="A7458" s="3" t="s">
        <v>482</v>
      </c>
      <c r="B7458" s="4" t="s">
        <v>63</v>
      </c>
      <c r="C7458" s="4" t="n">
        <v>5</v>
      </c>
      <c r="D7458" s="4" t="s">
        <v>73</v>
      </c>
      <c r="E7458" s="3" t="s">
        <v>213</v>
      </c>
      <c r="F7458" s="4" t="str">
        <f aca="false">IF(I7458&gt;J7458,"Y","N")</f>
        <v>Y</v>
      </c>
      <c r="G7458" s="3" t="s">
        <v>214</v>
      </c>
      <c r="H7458" s="3" t="s">
        <v>37</v>
      </c>
      <c r="I7458" s="4" t="n">
        <v>20</v>
      </c>
      <c r="J7458" s="4" t="n">
        <f aca="false">LEN(E7458)-LEN(SUBSTITUTE(E7458,",",""))+1</f>
        <v>6</v>
      </c>
      <c r="K7458" s="3" t="str">
        <f aca="false">IFERROR(INDEX('Teacher Lookup'!$B$2:$B$200,MATCH(A7458,'Teacher Lookup'!$A$2:$A$200,0)),"")</f>
        <v>LEE Michelle</v>
      </c>
    </row>
    <row r="7459" customFormat="false" ht="15" hidden="false" customHeight="false" outlineLevel="0" collapsed="false">
      <c r="A7459" s="3" t="s">
        <v>482</v>
      </c>
      <c r="B7459" s="4" t="s">
        <v>63</v>
      </c>
      <c r="C7459" s="4" t="n">
        <v>5</v>
      </c>
      <c r="D7459" s="4" t="s">
        <v>74</v>
      </c>
      <c r="E7459" s="3" t="s">
        <v>213</v>
      </c>
      <c r="F7459" s="4" t="str">
        <f aca="false">IF(I7459&gt;J7459,"Y","N")</f>
        <v>Y</v>
      </c>
      <c r="G7459" s="3" t="s">
        <v>214</v>
      </c>
      <c r="H7459" s="3" t="s">
        <v>37</v>
      </c>
      <c r="I7459" s="4" t="n">
        <v>20</v>
      </c>
      <c r="J7459" s="4" t="n">
        <f aca="false">LEN(E7459)-LEN(SUBSTITUTE(E7459,",",""))+1</f>
        <v>6</v>
      </c>
      <c r="K7459" s="3" t="str">
        <f aca="false">IFERROR(INDEX('Teacher Lookup'!$B$2:$B$200,MATCH(A7459,'Teacher Lookup'!$A$2:$A$200,0)),"")</f>
        <v>LEE Michelle</v>
      </c>
    </row>
    <row r="7460" customFormat="false" ht="15" hidden="false" customHeight="false" outlineLevel="0" collapsed="false">
      <c r="A7460" s="3" t="s">
        <v>482</v>
      </c>
      <c r="B7460" s="4" t="s">
        <v>63</v>
      </c>
      <c r="C7460" s="4" t="n">
        <v>5</v>
      </c>
      <c r="D7460" s="4" t="s">
        <v>76</v>
      </c>
      <c r="E7460" s="3" t="s">
        <v>213</v>
      </c>
      <c r="F7460" s="4" t="str">
        <f aca="false">IF(I7460&gt;J7460,"Y","N")</f>
        <v>Y</v>
      </c>
      <c r="G7460" s="3" t="s">
        <v>214</v>
      </c>
      <c r="H7460" s="3" t="s">
        <v>37</v>
      </c>
      <c r="I7460" s="4" t="n">
        <v>20</v>
      </c>
      <c r="J7460" s="4" t="n">
        <f aca="false">LEN(E7460)-LEN(SUBSTITUTE(E7460,",",""))+1</f>
        <v>6</v>
      </c>
      <c r="K7460" s="3" t="str">
        <f aca="false">IFERROR(INDEX('Teacher Lookup'!$B$2:$B$200,MATCH(A7460,'Teacher Lookup'!$A$2:$A$200,0)),"")</f>
        <v>LEE Michelle</v>
      </c>
    </row>
    <row r="7461" customFormat="false" ht="15" hidden="false" customHeight="false" outlineLevel="0" collapsed="false">
      <c r="A7461" s="3" t="s">
        <v>482</v>
      </c>
      <c r="B7461" s="4" t="s">
        <v>63</v>
      </c>
      <c r="C7461" s="4" t="n">
        <v>5</v>
      </c>
      <c r="D7461" s="4" t="s">
        <v>78</v>
      </c>
      <c r="E7461" s="3" t="s">
        <v>213</v>
      </c>
      <c r="F7461" s="4" t="str">
        <f aca="false">IF(I7461&gt;J7461,"Y","N")</f>
        <v>Y</v>
      </c>
      <c r="G7461" s="3" t="s">
        <v>214</v>
      </c>
      <c r="H7461" s="3" t="s">
        <v>37</v>
      </c>
      <c r="I7461" s="4" t="n">
        <v>20</v>
      </c>
      <c r="J7461" s="4" t="n">
        <f aca="false">LEN(E7461)-LEN(SUBSTITUTE(E7461,",",""))+1</f>
        <v>6</v>
      </c>
      <c r="K7461" s="3" t="str">
        <f aca="false">IFERROR(INDEX('Teacher Lookup'!$B$2:$B$200,MATCH(A7461,'Teacher Lookup'!$A$2:$A$200,0)),"")</f>
        <v>LEE Michelle</v>
      </c>
    </row>
    <row r="7462" customFormat="false" ht="15" hidden="false" customHeight="false" outlineLevel="0" collapsed="false">
      <c r="A7462" s="3" t="s">
        <v>482</v>
      </c>
      <c r="B7462" s="4" t="s">
        <v>63</v>
      </c>
      <c r="C7462" s="4" t="n">
        <v>5</v>
      </c>
      <c r="D7462" s="4" t="s">
        <v>79</v>
      </c>
      <c r="E7462" s="3" t="s">
        <v>213</v>
      </c>
      <c r="F7462" s="4" t="str">
        <f aca="false">IF(I7462&gt;J7462,"Y","N")</f>
        <v>Y</v>
      </c>
      <c r="G7462" s="3" t="s">
        <v>214</v>
      </c>
      <c r="H7462" s="3" t="s">
        <v>37</v>
      </c>
      <c r="I7462" s="4" t="n">
        <v>20</v>
      </c>
      <c r="J7462" s="4" t="n">
        <f aca="false">LEN(E7462)-LEN(SUBSTITUTE(E7462,",",""))+1</f>
        <v>6</v>
      </c>
      <c r="K7462" s="3" t="str">
        <f aca="false">IFERROR(INDEX('Teacher Lookup'!$B$2:$B$200,MATCH(A7462,'Teacher Lookup'!$A$2:$A$200,0)),"")</f>
        <v>LEE Michelle</v>
      </c>
    </row>
    <row r="7463" customFormat="false" ht="15" hidden="false" customHeight="false" outlineLevel="0" collapsed="false">
      <c r="A7463" s="3" t="s">
        <v>482</v>
      </c>
      <c r="B7463" s="4" t="s">
        <v>63</v>
      </c>
      <c r="C7463" s="4" t="n">
        <v>7</v>
      </c>
      <c r="D7463" s="4" t="s">
        <v>102</v>
      </c>
      <c r="E7463" s="3" t="s">
        <v>319</v>
      </c>
      <c r="F7463" s="4" t="str">
        <f aca="false">IF(I7463&gt;J7463,"Y","N")</f>
        <v>Y</v>
      </c>
      <c r="G7463" s="3" t="s">
        <v>310</v>
      </c>
      <c r="H7463" s="3" t="s">
        <v>39</v>
      </c>
      <c r="I7463" s="4" t="n">
        <v>7</v>
      </c>
      <c r="J7463" s="4" t="n">
        <f aca="false">LEN(E7463)-LEN(SUBSTITUTE(E7463,",",""))+1</f>
        <v>6</v>
      </c>
      <c r="K7463" s="3" t="str">
        <f aca="false">IFERROR(INDEX('Teacher Lookup'!$B$2:$B$200,MATCH(A7463,'Teacher Lookup'!$A$2:$A$200,0)),"")</f>
        <v>LEE Michelle</v>
      </c>
    </row>
    <row r="7464" customFormat="false" ht="15" hidden="false" customHeight="false" outlineLevel="0" collapsed="false">
      <c r="A7464" s="3" t="s">
        <v>482</v>
      </c>
      <c r="B7464" s="4" t="s">
        <v>63</v>
      </c>
      <c r="C7464" s="4" t="n">
        <v>7</v>
      </c>
      <c r="D7464" s="4" t="s">
        <v>105</v>
      </c>
      <c r="E7464" s="3" t="s">
        <v>319</v>
      </c>
      <c r="F7464" s="4" t="str">
        <f aca="false">IF(I7464&gt;J7464,"Y","N")</f>
        <v>Y</v>
      </c>
      <c r="G7464" s="3" t="s">
        <v>310</v>
      </c>
      <c r="H7464" s="3" t="s">
        <v>39</v>
      </c>
      <c r="I7464" s="4" t="n">
        <v>7</v>
      </c>
      <c r="J7464" s="4" t="n">
        <f aca="false">LEN(E7464)-LEN(SUBSTITUTE(E7464,",",""))+1</f>
        <v>6</v>
      </c>
      <c r="K7464" s="3" t="str">
        <f aca="false">IFERROR(INDEX('Teacher Lookup'!$B$2:$B$200,MATCH(A7464,'Teacher Lookup'!$A$2:$A$200,0)),"")</f>
        <v>LEE Michelle</v>
      </c>
    </row>
    <row r="7465" customFormat="false" ht="15" hidden="false" customHeight="false" outlineLevel="0" collapsed="false">
      <c r="A7465" s="3" t="s">
        <v>482</v>
      </c>
      <c r="B7465" s="4" t="s">
        <v>63</v>
      </c>
      <c r="C7465" s="4" t="n">
        <v>7</v>
      </c>
      <c r="D7465" s="4" t="s">
        <v>106</v>
      </c>
      <c r="E7465" s="3" t="s">
        <v>319</v>
      </c>
      <c r="F7465" s="4" t="str">
        <f aca="false">IF(I7465&gt;J7465,"Y","N")</f>
        <v>Y</v>
      </c>
      <c r="G7465" s="3" t="s">
        <v>310</v>
      </c>
      <c r="H7465" s="3" t="s">
        <v>39</v>
      </c>
      <c r="I7465" s="4" t="n">
        <v>7</v>
      </c>
      <c r="J7465" s="4" t="n">
        <f aca="false">LEN(E7465)-LEN(SUBSTITUTE(E7465,",",""))+1</f>
        <v>6</v>
      </c>
      <c r="K7465" s="3" t="str">
        <f aca="false">IFERROR(INDEX('Teacher Lookup'!$B$2:$B$200,MATCH(A7465,'Teacher Lookup'!$A$2:$A$200,0)),"")</f>
        <v>LEE Michelle</v>
      </c>
    </row>
    <row r="7466" customFormat="false" ht="15" hidden="false" customHeight="false" outlineLevel="0" collapsed="false">
      <c r="A7466" s="3" t="s">
        <v>482</v>
      </c>
      <c r="B7466" s="4" t="s">
        <v>63</v>
      </c>
      <c r="C7466" s="4" t="n">
        <v>7</v>
      </c>
      <c r="D7466" s="4" t="s">
        <v>107</v>
      </c>
      <c r="E7466" s="3" t="s">
        <v>319</v>
      </c>
      <c r="F7466" s="4" t="str">
        <f aca="false">IF(I7466&gt;J7466,"Y","N")</f>
        <v>Y</v>
      </c>
      <c r="G7466" s="3" t="s">
        <v>310</v>
      </c>
      <c r="H7466" s="3" t="s">
        <v>39</v>
      </c>
      <c r="I7466" s="4" t="n">
        <v>7</v>
      </c>
      <c r="J7466" s="4" t="n">
        <f aca="false">LEN(E7466)-LEN(SUBSTITUTE(E7466,",",""))+1</f>
        <v>6</v>
      </c>
      <c r="K7466" s="3" t="str">
        <f aca="false">IFERROR(INDEX('Teacher Lookup'!$B$2:$B$200,MATCH(A7466,'Teacher Lookup'!$A$2:$A$200,0)),"")</f>
        <v>LEE Michelle</v>
      </c>
    </row>
    <row r="7467" customFormat="false" ht="15" hidden="false" customHeight="false" outlineLevel="0" collapsed="false">
      <c r="A7467" s="3" t="s">
        <v>482</v>
      </c>
      <c r="B7467" s="4" t="s">
        <v>65</v>
      </c>
      <c r="C7467" s="4" t="n">
        <v>1</v>
      </c>
      <c r="D7467" s="4" t="s">
        <v>29</v>
      </c>
      <c r="E7467" s="3" t="s">
        <v>250</v>
      </c>
      <c r="F7467" s="4" t="str">
        <f aca="false">IF(I7467&gt;J7467,"Y","N")</f>
        <v>N</v>
      </c>
      <c r="G7467" s="3" t="s">
        <v>237</v>
      </c>
      <c r="H7467" s="3" t="s">
        <v>16</v>
      </c>
      <c r="I7467" s="4" t="n">
        <v>3</v>
      </c>
      <c r="J7467" s="4" t="n">
        <f aca="false">LEN(E7467)-LEN(SUBSTITUTE(E7467,",",""))+1</f>
        <v>3</v>
      </c>
      <c r="K7467" s="3" t="str">
        <f aca="false">IFERROR(INDEX('Teacher Lookup'!$B$2:$B$200,MATCH(A7467,'Teacher Lookup'!$A$2:$A$200,0)),"")</f>
        <v>LEE Michelle</v>
      </c>
    </row>
    <row r="7468" customFormat="false" ht="15" hidden="false" customHeight="false" outlineLevel="0" collapsed="false">
      <c r="A7468" s="3" t="s">
        <v>482</v>
      </c>
      <c r="B7468" s="4" t="s">
        <v>65</v>
      </c>
      <c r="C7468" s="4" t="n">
        <v>1</v>
      </c>
      <c r="D7468" s="4" t="s">
        <v>30</v>
      </c>
      <c r="E7468" s="3" t="s">
        <v>250</v>
      </c>
      <c r="F7468" s="4" t="str">
        <f aca="false">IF(I7468&gt;J7468,"Y","N")</f>
        <v>N</v>
      </c>
      <c r="G7468" s="3" t="s">
        <v>237</v>
      </c>
      <c r="H7468" s="3" t="s">
        <v>16</v>
      </c>
      <c r="I7468" s="4" t="n">
        <v>3</v>
      </c>
      <c r="J7468" s="4" t="n">
        <f aca="false">LEN(E7468)-LEN(SUBSTITUTE(E7468,",",""))+1</f>
        <v>3</v>
      </c>
      <c r="K7468" s="3" t="str">
        <f aca="false">IFERROR(INDEX('Teacher Lookup'!$B$2:$B$200,MATCH(A7468,'Teacher Lookup'!$A$2:$A$200,0)),"")</f>
        <v>LEE Michelle</v>
      </c>
    </row>
    <row r="7469" customFormat="false" ht="15" hidden="false" customHeight="false" outlineLevel="0" collapsed="false">
      <c r="A7469" s="3" t="s">
        <v>482</v>
      </c>
      <c r="B7469" s="4" t="s">
        <v>65</v>
      </c>
      <c r="C7469" s="4" t="n">
        <v>5</v>
      </c>
      <c r="D7469" s="4" t="s">
        <v>19</v>
      </c>
      <c r="E7469" s="3" t="s">
        <v>35</v>
      </c>
      <c r="F7469" s="4" t="str">
        <f aca="false">IF(I7469&gt;J7469,"Y","N")</f>
        <v>Y</v>
      </c>
      <c r="G7469" s="3" t="s">
        <v>36</v>
      </c>
      <c r="H7469" s="3" t="s">
        <v>37</v>
      </c>
      <c r="I7469" s="4" t="n">
        <v>17</v>
      </c>
      <c r="J7469" s="4" t="n">
        <f aca="false">LEN(E7469)-LEN(SUBSTITUTE(E7469,",",""))+1</f>
        <v>7</v>
      </c>
      <c r="K7469" s="3" t="str">
        <f aca="false">IFERROR(INDEX('Teacher Lookup'!$B$2:$B$200,MATCH(A7469,'Teacher Lookup'!$A$2:$A$200,0)),"")</f>
        <v>LEE Michelle</v>
      </c>
    </row>
    <row r="7470" customFormat="false" ht="15" hidden="false" customHeight="false" outlineLevel="0" collapsed="false">
      <c r="A7470" s="3" t="s">
        <v>482</v>
      </c>
      <c r="B7470" s="4" t="s">
        <v>65</v>
      </c>
      <c r="C7470" s="4" t="n">
        <v>5</v>
      </c>
      <c r="D7470" s="4" t="s">
        <v>22</v>
      </c>
      <c r="E7470" s="3" t="s">
        <v>35</v>
      </c>
      <c r="F7470" s="4" t="str">
        <f aca="false">IF(I7470&gt;J7470,"Y","N")</f>
        <v>Y</v>
      </c>
      <c r="G7470" s="3" t="s">
        <v>36</v>
      </c>
      <c r="H7470" s="3" t="s">
        <v>37</v>
      </c>
      <c r="I7470" s="4" t="n">
        <v>17</v>
      </c>
      <c r="J7470" s="4" t="n">
        <f aca="false">LEN(E7470)-LEN(SUBSTITUTE(E7470,",",""))+1</f>
        <v>7</v>
      </c>
      <c r="K7470" s="3" t="str">
        <f aca="false">IFERROR(INDEX('Teacher Lookup'!$B$2:$B$200,MATCH(A7470,'Teacher Lookup'!$A$2:$A$200,0)),"")</f>
        <v>LEE Michelle</v>
      </c>
    </row>
    <row r="7471" customFormat="false" ht="15" hidden="false" customHeight="false" outlineLevel="0" collapsed="false">
      <c r="A7471" s="3" t="s">
        <v>482</v>
      </c>
      <c r="B7471" s="4" t="s">
        <v>65</v>
      </c>
      <c r="C7471" s="4" t="n">
        <v>5</v>
      </c>
      <c r="D7471" s="4" t="s">
        <v>23</v>
      </c>
      <c r="E7471" s="3" t="s">
        <v>35</v>
      </c>
      <c r="F7471" s="4" t="str">
        <f aca="false">IF(I7471&gt;J7471,"Y","N")</f>
        <v>Y</v>
      </c>
      <c r="G7471" s="3" t="s">
        <v>36</v>
      </c>
      <c r="H7471" s="3" t="s">
        <v>37</v>
      </c>
      <c r="I7471" s="4" t="n">
        <v>17</v>
      </c>
      <c r="J7471" s="4" t="n">
        <f aca="false">LEN(E7471)-LEN(SUBSTITUTE(E7471,",",""))+1</f>
        <v>7</v>
      </c>
      <c r="K7471" s="3" t="str">
        <f aca="false">IFERROR(INDEX('Teacher Lookup'!$B$2:$B$200,MATCH(A7471,'Teacher Lookup'!$A$2:$A$200,0)),"")</f>
        <v>LEE Michelle</v>
      </c>
    </row>
    <row r="7472" customFormat="false" ht="15" hidden="false" customHeight="false" outlineLevel="0" collapsed="false">
      <c r="A7472" s="3" t="s">
        <v>482</v>
      </c>
      <c r="B7472" s="4" t="s">
        <v>65</v>
      </c>
      <c r="C7472" s="4" t="n">
        <v>5</v>
      </c>
      <c r="D7472" s="4" t="s">
        <v>13</v>
      </c>
      <c r="E7472" s="3" t="s">
        <v>35</v>
      </c>
      <c r="F7472" s="4" t="str">
        <f aca="false">IF(I7472&gt;J7472,"Y","N")</f>
        <v>Y</v>
      </c>
      <c r="G7472" s="3" t="s">
        <v>36</v>
      </c>
      <c r="H7472" s="3" t="s">
        <v>37</v>
      </c>
      <c r="I7472" s="4" t="n">
        <v>17</v>
      </c>
      <c r="J7472" s="4" t="n">
        <f aca="false">LEN(E7472)-LEN(SUBSTITUTE(E7472,",",""))+1</f>
        <v>7</v>
      </c>
      <c r="K7472" s="3" t="str">
        <f aca="false">IFERROR(INDEX('Teacher Lookup'!$B$2:$B$200,MATCH(A7472,'Teacher Lookup'!$A$2:$A$200,0)),"")</f>
        <v>LEE Michelle</v>
      </c>
    </row>
    <row r="7473" customFormat="false" ht="15" hidden="false" customHeight="false" outlineLevel="0" collapsed="false">
      <c r="A7473" s="3" t="s">
        <v>482</v>
      </c>
      <c r="B7473" s="4" t="s">
        <v>65</v>
      </c>
      <c r="C7473" s="4" t="n">
        <v>5</v>
      </c>
      <c r="D7473" s="4" t="s">
        <v>17</v>
      </c>
      <c r="E7473" s="3" t="s">
        <v>35</v>
      </c>
      <c r="F7473" s="4" t="str">
        <f aca="false">IF(I7473&gt;J7473,"Y","N")</f>
        <v>Y</v>
      </c>
      <c r="G7473" s="3" t="s">
        <v>36</v>
      </c>
      <c r="H7473" s="3" t="s">
        <v>37</v>
      </c>
      <c r="I7473" s="4" t="n">
        <v>17</v>
      </c>
      <c r="J7473" s="4" t="n">
        <f aca="false">LEN(E7473)-LEN(SUBSTITUTE(E7473,",",""))+1</f>
        <v>7</v>
      </c>
      <c r="K7473" s="3" t="str">
        <f aca="false">IFERROR(INDEX('Teacher Lookup'!$B$2:$B$200,MATCH(A7473,'Teacher Lookup'!$A$2:$A$200,0)),"")</f>
        <v>LEE Michelle</v>
      </c>
    </row>
    <row r="7474" customFormat="false" ht="15" hidden="false" customHeight="false" outlineLevel="0" collapsed="false">
      <c r="A7474" s="3" t="s">
        <v>482</v>
      </c>
      <c r="B7474" s="4" t="s">
        <v>65</v>
      </c>
      <c r="C7474" s="4" t="n">
        <v>5</v>
      </c>
      <c r="D7474" s="4" t="s">
        <v>18</v>
      </c>
      <c r="E7474" s="3" t="s">
        <v>35</v>
      </c>
      <c r="F7474" s="4" t="str">
        <f aca="false">IF(I7474&gt;J7474,"Y","N")</f>
        <v>Y</v>
      </c>
      <c r="G7474" s="3" t="s">
        <v>36</v>
      </c>
      <c r="H7474" s="3" t="s">
        <v>37</v>
      </c>
      <c r="I7474" s="4" t="n">
        <v>17</v>
      </c>
      <c r="J7474" s="4" t="n">
        <f aca="false">LEN(E7474)-LEN(SUBSTITUTE(E7474,",",""))+1</f>
        <v>7</v>
      </c>
      <c r="K7474" s="3" t="str">
        <f aca="false">IFERROR(INDEX('Teacher Lookup'!$B$2:$B$200,MATCH(A7474,'Teacher Lookup'!$A$2:$A$200,0)),"")</f>
        <v>LEE Michelle</v>
      </c>
    </row>
    <row r="7475" customFormat="false" ht="15" hidden="false" customHeight="false" outlineLevel="0" collapsed="false">
      <c r="A7475" s="3" t="s">
        <v>482</v>
      </c>
      <c r="B7475" s="4" t="s">
        <v>66</v>
      </c>
      <c r="C7475" s="4" t="n">
        <v>4</v>
      </c>
      <c r="D7475" s="4" t="s">
        <v>29</v>
      </c>
      <c r="E7475" s="3" t="s">
        <v>250</v>
      </c>
      <c r="F7475" s="4" t="str">
        <f aca="false">IF(I7475&gt;J7475,"Y","N")</f>
        <v>N</v>
      </c>
      <c r="G7475" s="3" t="s">
        <v>237</v>
      </c>
      <c r="H7475" s="3" t="s">
        <v>34</v>
      </c>
      <c r="I7475" s="4" t="n">
        <v>3</v>
      </c>
      <c r="J7475" s="4" t="n">
        <f aca="false">LEN(E7475)-LEN(SUBSTITUTE(E7475,",",""))+1</f>
        <v>3</v>
      </c>
      <c r="K7475" s="3" t="str">
        <f aca="false">IFERROR(INDEX('Teacher Lookup'!$B$2:$B$200,MATCH(A7475,'Teacher Lookup'!$A$2:$A$200,0)),"")</f>
        <v>LEE Michelle</v>
      </c>
    </row>
    <row r="7476" customFormat="false" ht="15" hidden="false" customHeight="false" outlineLevel="0" collapsed="false">
      <c r="A7476" s="3" t="s">
        <v>482</v>
      </c>
      <c r="B7476" s="4" t="s">
        <v>66</v>
      </c>
      <c r="C7476" s="4" t="n">
        <v>4</v>
      </c>
      <c r="D7476" s="4" t="s">
        <v>30</v>
      </c>
      <c r="E7476" s="3" t="s">
        <v>250</v>
      </c>
      <c r="F7476" s="4" t="str">
        <f aca="false">IF(I7476&gt;J7476,"Y","N")</f>
        <v>N</v>
      </c>
      <c r="G7476" s="3" t="s">
        <v>237</v>
      </c>
      <c r="H7476" s="3" t="s">
        <v>34</v>
      </c>
      <c r="I7476" s="4" t="n">
        <v>3</v>
      </c>
      <c r="J7476" s="4" t="n">
        <f aca="false">LEN(E7476)-LEN(SUBSTITUTE(E7476,",",""))+1</f>
        <v>3</v>
      </c>
      <c r="K7476" s="3" t="str">
        <f aca="false">IFERROR(INDEX('Teacher Lookup'!$B$2:$B$200,MATCH(A7476,'Teacher Lookup'!$A$2:$A$200,0)),"")</f>
        <v>LEE Michelle</v>
      </c>
    </row>
    <row r="7477" customFormat="false" ht="15" hidden="false" customHeight="false" outlineLevel="0" collapsed="false">
      <c r="A7477" s="3" t="s">
        <v>482</v>
      </c>
      <c r="B7477" s="4" t="s">
        <v>66</v>
      </c>
      <c r="C7477" s="4" t="n">
        <v>5</v>
      </c>
      <c r="D7477" s="4" t="s">
        <v>102</v>
      </c>
      <c r="E7477" s="3" t="s">
        <v>320</v>
      </c>
      <c r="F7477" s="4" t="str">
        <f aca="false">IF(I7477&gt;J7477,"Y","N")</f>
        <v>Y</v>
      </c>
      <c r="G7477" s="3" t="s">
        <v>310</v>
      </c>
      <c r="H7477" s="3" t="s">
        <v>37</v>
      </c>
      <c r="I7477" s="4" t="n">
        <v>7</v>
      </c>
      <c r="J7477" s="4" t="n">
        <f aca="false">LEN(E7477)-LEN(SUBSTITUTE(E7477,",",""))+1</f>
        <v>6</v>
      </c>
      <c r="K7477" s="3" t="str">
        <f aca="false">IFERROR(INDEX('Teacher Lookup'!$B$2:$B$200,MATCH(A7477,'Teacher Lookup'!$A$2:$A$200,0)),"")</f>
        <v>LEE Michelle</v>
      </c>
    </row>
    <row r="7478" customFormat="false" ht="15" hidden="false" customHeight="false" outlineLevel="0" collapsed="false">
      <c r="A7478" s="3" t="s">
        <v>482</v>
      </c>
      <c r="B7478" s="4" t="s">
        <v>66</v>
      </c>
      <c r="C7478" s="4" t="n">
        <v>5</v>
      </c>
      <c r="D7478" s="4" t="s">
        <v>105</v>
      </c>
      <c r="E7478" s="3" t="s">
        <v>320</v>
      </c>
      <c r="F7478" s="4" t="str">
        <f aca="false">IF(I7478&gt;J7478,"Y","N")</f>
        <v>Y</v>
      </c>
      <c r="G7478" s="3" t="s">
        <v>310</v>
      </c>
      <c r="H7478" s="3" t="s">
        <v>37</v>
      </c>
      <c r="I7478" s="4" t="n">
        <v>7</v>
      </c>
      <c r="J7478" s="4" t="n">
        <f aca="false">LEN(E7478)-LEN(SUBSTITUTE(E7478,",",""))+1</f>
        <v>6</v>
      </c>
      <c r="K7478" s="3" t="str">
        <f aca="false">IFERROR(INDEX('Teacher Lookup'!$B$2:$B$200,MATCH(A7478,'Teacher Lookup'!$A$2:$A$200,0)),"")</f>
        <v>LEE Michelle</v>
      </c>
    </row>
    <row r="7479" customFormat="false" ht="15" hidden="false" customHeight="false" outlineLevel="0" collapsed="false">
      <c r="A7479" s="3" t="s">
        <v>482</v>
      </c>
      <c r="B7479" s="4" t="s">
        <v>66</v>
      </c>
      <c r="C7479" s="4" t="n">
        <v>5</v>
      </c>
      <c r="D7479" s="4" t="s">
        <v>106</v>
      </c>
      <c r="E7479" s="3" t="s">
        <v>320</v>
      </c>
      <c r="F7479" s="4" t="str">
        <f aca="false">IF(I7479&gt;J7479,"Y","N")</f>
        <v>Y</v>
      </c>
      <c r="G7479" s="3" t="s">
        <v>310</v>
      </c>
      <c r="H7479" s="3" t="s">
        <v>37</v>
      </c>
      <c r="I7479" s="4" t="n">
        <v>7</v>
      </c>
      <c r="J7479" s="4" t="n">
        <f aca="false">LEN(E7479)-LEN(SUBSTITUTE(E7479,",",""))+1</f>
        <v>6</v>
      </c>
      <c r="K7479" s="3" t="str">
        <f aca="false">IFERROR(INDEX('Teacher Lookup'!$B$2:$B$200,MATCH(A7479,'Teacher Lookup'!$A$2:$A$200,0)),"")</f>
        <v>LEE Michelle</v>
      </c>
    </row>
    <row r="7480" customFormat="false" ht="15" hidden="false" customHeight="false" outlineLevel="0" collapsed="false">
      <c r="A7480" s="3" t="s">
        <v>482</v>
      </c>
      <c r="B7480" s="4" t="s">
        <v>66</v>
      </c>
      <c r="C7480" s="4" t="n">
        <v>5</v>
      </c>
      <c r="D7480" s="4" t="s">
        <v>107</v>
      </c>
      <c r="E7480" s="3" t="s">
        <v>320</v>
      </c>
      <c r="F7480" s="4" t="str">
        <f aca="false">IF(I7480&gt;J7480,"Y","N")</f>
        <v>Y</v>
      </c>
      <c r="G7480" s="3" t="s">
        <v>310</v>
      </c>
      <c r="H7480" s="3" t="s">
        <v>37</v>
      </c>
      <c r="I7480" s="4" t="n">
        <v>7</v>
      </c>
      <c r="J7480" s="4" t="n">
        <f aca="false">LEN(E7480)-LEN(SUBSTITUTE(E7480,",",""))+1</f>
        <v>6</v>
      </c>
      <c r="K7480" s="3" t="str">
        <f aca="false">IFERROR(INDEX('Teacher Lookup'!$B$2:$B$200,MATCH(A7480,'Teacher Lookup'!$A$2:$A$200,0)),"")</f>
        <v>LEE Michelle</v>
      </c>
    </row>
    <row r="7481" customFormat="false" ht="15" hidden="false" customHeight="false" outlineLevel="0" collapsed="false">
      <c r="A7481" s="3" t="s">
        <v>483</v>
      </c>
      <c r="B7481" s="4" t="s">
        <v>12</v>
      </c>
      <c r="C7481" s="4" t="n">
        <v>1</v>
      </c>
      <c r="D7481" s="4" t="s">
        <v>52</v>
      </c>
      <c r="E7481" s="3" t="s">
        <v>301</v>
      </c>
      <c r="F7481" s="4" t="str">
        <f aca="false">IF(I7481&gt;J7481,"Y","N")</f>
        <v>N</v>
      </c>
      <c r="G7481" s="3" t="s">
        <v>15</v>
      </c>
      <c r="H7481" s="3" t="s">
        <v>16</v>
      </c>
      <c r="I7481" s="4" t="n">
        <v>7</v>
      </c>
      <c r="J7481" s="4" t="n">
        <f aca="false">LEN(E7481)-LEN(SUBSTITUTE(E7481,",",""))+1</f>
        <v>7</v>
      </c>
      <c r="K7481" s="3" t="str">
        <f aca="false">IFERROR(INDEX('Teacher Lookup'!$B$2:$B$200,MATCH(A7481,'Teacher Lookup'!$A$2:$A$200,0)),"")</f>
        <v>YIP Michael</v>
      </c>
    </row>
    <row r="7482" customFormat="false" ht="15" hidden="false" customHeight="false" outlineLevel="0" collapsed="false">
      <c r="A7482" s="3" t="s">
        <v>483</v>
      </c>
      <c r="B7482" s="4" t="s">
        <v>12</v>
      </c>
      <c r="C7482" s="4" t="n">
        <v>1</v>
      </c>
      <c r="D7482" s="4" t="s">
        <v>55</v>
      </c>
      <c r="E7482" s="3" t="s">
        <v>301</v>
      </c>
      <c r="F7482" s="4" t="str">
        <f aca="false">IF(I7482&gt;J7482,"Y","N")</f>
        <v>N</v>
      </c>
      <c r="G7482" s="3" t="s">
        <v>15</v>
      </c>
      <c r="H7482" s="3" t="s">
        <v>16</v>
      </c>
      <c r="I7482" s="4" t="n">
        <v>7</v>
      </c>
      <c r="J7482" s="4" t="n">
        <f aca="false">LEN(E7482)-LEN(SUBSTITUTE(E7482,",",""))+1</f>
        <v>7</v>
      </c>
      <c r="K7482" s="3" t="str">
        <f aca="false">IFERROR(INDEX('Teacher Lookup'!$B$2:$B$200,MATCH(A7482,'Teacher Lookup'!$A$2:$A$200,0)),"")</f>
        <v>YIP Michael</v>
      </c>
    </row>
    <row r="7483" customFormat="false" ht="15" hidden="false" customHeight="false" outlineLevel="0" collapsed="false">
      <c r="A7483" s="3" t="s">
        <v>483</v>
      </c>
      <c r="B7483" s="4" t="s">
        <v>12</v>
      </c>
      <c r="C7483" s="4" t="n">
        <v>1</v>
      </c>
      <c r="D7483" s="4" t="s">
        <v>56</v>
      </c>
      <c r="E7483" s="3" t="s">
        <v>301</v>
      </c>
      <c r="F7483" s="4" t="str">
        <f aca="false">IF(I7483&gt;J7483,"Y","N")</f>
        <v>N</v>
      </c>
      <c r="G7483" s="3" t="s">
        <v>15</v>
      </c>
      <c r="H7483" s="3" t="s">
        <v>16</v>
      </c>
      <c r="I7483" s="4" t="n">
        <v>7</v>
      </c>
      <c r="J7483" s="4" t="n">
        <f aca="false">LEN(E7483)-LEN(SUBSTITUTE(E7483,",",""))+1</f>
        <v>7</v>
      </c>
      <c r="K7483" s="3" t="str">
        <f aca="false">IFERROR(INDEX('Teacher Lookup'!$B$2:$B$200,MATCH(A7483,'Teacher Lookup'!$A$2:$A$200,0)),"")</f>
        <v>YIP Michael</v>
      </c>
    </row>
    <row r="7484" customFormat="false" ht="15" hidden="false" customHeight="false" outlineLevel="0" collapsed="false">
      <c r="A7484" s="3" t="s">
        <v>483</v>
      </c>
      <c r="B7484" s="4" t="s">
        <v>12</v>
      </c>
      <c r="C7484" s="4" t="n">
        <v>1</v>
      </c>
      <c r="D7484" s="4" t="s">
        <v>57</v>
      </c>
      <c r="E7484" s="3" t="s">
        <v>301</v>
      </c>
      <c r="F7484" s="4" t="str">
        <f aca="false">IF(I7484&gt;J7484,"Y","N")</f>
        <v>N</v>
      </c>
      <c r="G7484" s="3" t="s">
        <v>15</v>
      </c>
      <c r="H7484" s="3" t="s">
        <v>16</v>
      </c>
      <c r="I7484" s="4" t="n">
        <v>7</v>
      </c>
      <c r="J7484" s="4" t="n">
        <f aca="false">LEN(E7484)-LEN(SUBSTITUTE(E7484,",",""))+1</f>
        <v>7</v>
      </c>
      <c r="K7484" s="3" t="str">
        <f aca="false">IFERROR(INDEX('Teacher Lookup'!$B$2:$B$200,MATCH(A7484,'Teacher Lookup'!$A$2:$A$200,0)),"")</f>
        <v>YIP Michael</v>
      </c>
    </row>
    <row r="7485" customFormat="false" ht="15" hidden="false" customHeight="false" outlineLevel="0" collapsed="false">
      <c r="A7485" s="3" t="s">
        <v>483</v>
      </c>
      <c r="B7485" s="4" t="s">
        <v>12</v>
      </c>
      <c r="C7485" s="4" t="n">
        <v>1</v>
      </c>
      <c r="D7485" s="4" t="s">
        <v>58</v>
      </c>
      <c r="E7485" s="3" t="s">
        <v>301</v>
      </c>
      <c r="F7485" s="4" t="str">
        <f aca="false">IF(I7485&gt;J7485,"Y","N")</f>
        <v>N</v>
      </c>
      <c r="G7485" s="3" t="s">
        <v>15</v>
      </c>
      <c r="H7485" s="3" t="s">
        <v>16</v>
      </c>
      <c r="I7485" s="4" t="n">
        <v>7</v>
      </c>
      <c r="J7485" s="4" t="n">
        <f aca="false">LEN(E7485)-LEN(SUBSTITUTE(E7485,",",""))+1</f>
        <v>7</v>
      </c>
      <c r="K7485" s="3" t="str">
        <f aca="false">IFERROR(INDEX('Teacher Lookup'!$B$2:$B$200,MATCH(A7485,'Teacher Lookup'!$A$2:$A$200,0)),"")</f>
        <v>YIP Michael</v>
      </c>
    </row>
    <row r="7486" customFormat="false" ht="15" hidden="false" customHeight="false" outlineLevel="0" collapsed="false">
      <c r="A7486" s="3" t="s">
        <v>483</v>
      </c>
      <c r="B7486" s="4" t="s">
        <v>12</v>
      </c>
      <c r="C7486" s="4" t="n">
        <v>1</v>
      </c>
      <c r="D7486" s="4" t="s">
        <v>59</v>
      </c>
      <c r="E7486" s="3" t="s">
        <v>301</v>
      </c>
      <c r="F7486" s="4" t="str">
        <f aca="false">IF(I7486&gt;J7486,"Y","N")</f>
        <v>N</v>
      </c>
      <c r="G7486" s="3" t="s">
        <v>15</v>
      </c>
      <c r="H7486" s="3" t="s">
        <v>16</v>
      </c>
      <c r="I7486" s="4" t="n">
        <v>7</v>
      </c>
      <c r="J7486" s="4" t="n">
        <f aca="false">LEN(E7486)-LEN(SUBSTITUTE(E7486,",",""))+1</f>
        <v>7</v>
      </c>
      <c r="K7486" s="3" t="str">
        <f aca="false">IFERROR(INDEX('Teacher Lookup'!$B$2:$B$200,MATCH(A7486,'Teacher Lookup'!$A$2:$A$200,0)),"")</f>
        <v>YIP Michael</v>
      </c>
    </row>
    <row r="7487" customFormat="false" ht="15" hidden="false" customHeight="false" outlineLevel="0" collapsed="false">
      <c r="A7487" s="3" t="s">
        <v>483</v>
      </c>
      <c r="B7487" s="4" t="s">
        <v>12</v>
      </c>
      <c r="C7487" s="4" t="n">
        <v>5</v>
      </c>
      <c r="D7487" s="4" t="s">
        <v>137</v>
      </c>
      <c r="E7487" s="3" t="s">
        <v>138</v>
      </c>
      <c r="F7487" s="4" t="str">
        <f aca="false">IF(I7487&gt;J7487,"Y","N")</f>
        <v>N</v>
      </c>
      <c r="G7487" s="3" t="s">
        <v>15</v>
      </c>
      <c r="H7487" s="3" t="s">
        <v>37</v>
      </c>
      <c r="I7487" s="4" t="n">
        <v>4</v>
      </c>
      <c r="J7487" s="4" t="n">
        <f aca="false">LEN(E7487)-LEN(SUBSTITUTE(E7487,",",""))+1</f>
        <v>4</v>
      </c>
      <c r="K7487" s="3" t="str">
        <f aca="false">IFERROR(INDEX('Teacher Lookup'!$B$2:$B$200,MATCH(A7487,'Teacher Lookup'!$A$2:$A$200,0)),"")</f>
        <v>YIP Michael</v>
      </c>
    </row>
    <row r="7488" customFormat="false" ht="15" hidden="false" customHeight="false" outlineLevel="0" collapsed="false">
      <c r="A7488" s="3" t="s">
        <v>483</v>
      </c>
      <c r="B7488" s="4" t="s">
        <v>12</v>
      </c>
      <c r="C7488" s="4" t="n">
        <v>5</v>
      </c>
      <c r="D7488" s="4" t="s">
        <v>124</v>
      </c>
      <c r="E7488" s="3" t="s">
        <v>138</v>
      </c>
      <c r="F7488" s="4" t="str">
        <f aca="false">IF(I7488&gt;J7488,"Y","N")</f>
        <v>N</v>
      </c>
      <c r="G7488" s="3" t="s">
        <v>15</v>
      </c>
      <c r="H7488" s="3" t="s">
        <v>37</v>
      </c>
      <c r="I7488" s="4" t="n">
        <v>4</v>
      </c>
      <c r="J7488" s="4" t="n">
        <f aca="false">LEN(E7488)-LEN(SUBSTITUTE(E7488,",",""))+1</f>
        <v>4</v>
      </c>
      <c r="K7488" s="3" t="str">
        <f aca="false">IFERROR(INDEX('Teacher Lookup'!$B$2:$B$200,MATCH(A7488,'Teacher Lookup'!$A$2:$A$200,0)),"")</f>
        <v>YIP Michael</v>
      </c>
    </row>
    <row r="7489" customFormat="false" ht="15" hidden="false" customHeight="false" outlineLevel="0" collapsed="false">
      <c r="A7489" s="3" t="s">
        <v>483</v>
      </c>
      <c r="B7489" s="4" t="s">
        <v>12</v>
      </c>
      <c r="C7489" s="4" t="n">
        <v>5</v>
      </c>
      <c r="D7489" s="4" t="s">
        <v>139</v>
      </c>
      <c r="E7489" s="3" t="s">
        <v>138</v>
      </c>
      <c r="F7489" s="4" t="str">
        <f aca="false">IF(I7489&gt;J7489,"Y","N")</f>
        <v>N</v>
      </c>
      <c r="G7489" s="3" t="s">
        <v>15</v>
      </c>
      <c r="H7489" s="3" t="s">
        <v>37</v>
      </c>
      <c r="I7489" s="4" t="n">
        <v>4</v>
      </c>
      <c r="J7489" s="4" t="n">
        <f aca="false">LEN(E7489)-LEN(SUBSTITUTE(E7489,",",""))+1</f>
        <v>4</v>
      </c>
      <c r="K7489" s="3" t="str">
        <f aca="false">IFERROR(INDEX('Teacher Lookup'!$B$2:$B$200,MATCH(A7489,'Teacher Lookup'!$A$2:$A$200,0)),"")</f>
        <v>YIP Michael</v>
      </c>
    </row>
    <row r="7490" customFormat="false" ht="15" hidden="false" customHeight="false" outlineLevel="0" collapsed="false">
      <c r="A7490" s="3" t="s">
        <v>483</v>
      </c>
      <c r="B7490" s="4" t="s">
        <v>12</v>
      </c>
      <c r="C7490" s="4" t="n">
        <v>6</v>
      </c>
      <c r="D7490" s="4" t="s">
        <v>140</v>
      </c>
      <c r="E7490" s="3" t="s">
        <v>144</v>
      </c>
      <c r="F7490" s="4" t="str">
        <f aca="false">IF(I7490&gt;J7490,"Y","N")</f>
        <v>N</v>
      </c>
      <c r="G7490" s="3" t="s">
        <v>15</v>
      </c>
      <c r="H7490" s="3" t="s">
        <v>42</v>
      </c>
      <c r="I7490" s="4" t="n">
        <v>4</v>
      </c>
      <c r="J7490" s="4" t="n">
        <f aca="false">LEN(E7490)-LEN(SUBSTITUTE(E7490,",",""))+1</f>
        <v>4</v>
      </c>
      <c r="K7490" s="3" t="str">
        <f aca="false">IFERROR(INDEX('Teacher Lookup'!$B$2:$B$200,MATCH(A7490,'Teacher Lookup'!$A$2:$A$200,0)),"")</f>
        <v>YIP Michael</v>
      </c>
    </row>
    <row r="7491" customFormat="false" ht="15" hidden="false" customHeight="false" outlineLevel="0" collapsed="false">
      <c r="A7491" s="3" t="s">
        <v>483</v>
      </c>
      <c r="B7491" s="4" t="s">
        <v>12</v>
      </c>
      <c r="C7491" s="4" t="n">
        <v>6</v>
      </c>
      <c r="D7491" s="4" t="s">
        <v>142</v>
      </c>
      <c r="E7491" s="3" t="s">
        <v>144</v>
      </c>
      <c r="F7491" s="4" t="str">
        <f aca="false">IF(I7491&gt;J7491,"Y","N")</f>
        <v>N</v>
      </c>
      <c r="G7491" s="3" t="s">
        <v>15</v>
      </c>
      <c r="H7491" s="3" t="s">
        <v>42</v>
      </c>
      <c r="I7491" s="4" t="n">
        <v>4</v>
      </c>
      <c r="J7491" s="4" t="n">
        <f aca="false">LEN(E7491)-LEN(SUBSTITUTE(E7491,",",""))+1</f>
        <v>4</v>
      </c>
      <c r="K7491" s="3" t="str">
        <f aca="false">IFERROR(INDEX('Teacher Lookup'!$B$2:$B$200,MATCH(A7491,'Teacher Lookup'!$A$2:$A$200,0)),"")</f>
        <v>YIP Michael</v>
      </c>
    </row>
    <row r="7492" customFormat="false" ht="15" hidden="false" customHeight="false" outlineLevel="0" collapsed="false">
      <c r="A7492" s="3" t="s">
        <v>483</v>
      </c>
      <c r="B7492" s="4" t="s">
        <v>12</v>
      </c>
      <c r="C7492" s="4" t="n">
        <v>6</v>
      </c>
      <c r="D7492" s="4" t="s">
        <v>127</v>
      </c>
      <c r="E7492" s="3" t="s">
        <v>144</v>
      </c>
      <c r="F7492" s="4" t="str">
        <f aca="false">IF(I7492&gt;J7492,"Y","N")</f>
        <v>N</v>
      </c>
      <c r="G7492" s="3" t="s">
        <v>15</v>
      </c>
      <c r="H7492" s="3" t="s">
        <v>42</v>
      </c>
      <c r="I7492" s="4" t="n">
        <v>4</v>
      </c>
      <c r="J7492" s="4" t="n">
        <f aca="false">LEN(E7492)-LEN(SUBSTITUTE(E7492,",",""))+1</f>
        <v>4</v>
      </c>
      <c r="K7492" s="3" t="str">
        <f aca="false">IFERROR(INDEX('Teacher Lookup'!$B$2:$B$200,MATCH(A7492,'Teacher Lookup'!$A$2:$A$200,0)),"")</f>
        <v>YIP Michael</v>
      </c>
    </row>
    <row r="7493" customFormat="false" ht="15" hidden="false" customHeight="false" outlineLevel="0" collapsed="false">
      <c r="A7493" s="3" t="s">
        <v>483</v>
      </c>
      <c r="B7493" s="4" t="s">
        <v>31</v>
      </c>
      <c r="C7493" s="4" t="n">
        <v>1</v>
      </c>
      <c r="D7493" s="4" t="s">
        <v>137</v>
      </c>
      <c r="E7493" s="3" t="s">
        <v>146</v>
      </c>
      <c r="F7493" s="4" t="str">
        <f aca="false">IF(I7493&gt;J7493,"Y","N")</f>
        <v>N</v>
      </c>
      <c r="G7493" s="3" t="s">
        <v>15</v>
      </c>
      <c r="H7493" s="3" t="s">
        <v>16</v>
      </c>
      <c r="I7493" s="4" t="n">
        <v>4</v>
      </c>
      <c r="J7493" s="4" t="n">
        <f aca="false">LEN(E7493)-LEN(SUBSTITUTE(E7493,",",""))+1</f>
        <v>4</v>
      </c>
      <c r="K7493" s="3" t="str">
        <f aca="false">IFERROR(INDEX('Teacher Lookup'!$B$2:$B$200,MATCH(A7493,'Teacher Lookup'!$A$2:$A$200,0)),"")</f>
        <v>YIP Michael</v>
      </c>
    </row>
    <row r="7494" customFormat="false" ht="15" hidden="false" customHeight="false" outlineLevel="0" collapsed="false">
      <c r="A7494" s="3" t="s">
        <v>483</v>
      </c>
      <c r="B7494" s="4" t="s">
        <v>31</v>
      </c>
      <c r="C7494" s="4" t="n">
        <v>1</v>
      </c>
      <c r="D7494" s="4" t="s">
        <v>124</v>
      </c>
      <c r="E7494" s="3" t="s">
        <v>146</v>
      </c>
      <c r="F7494" s="4" t="str">
        <f aca="false">IF(I7494&gt;J7494,"Y","N")</f>
        <v>N</v>
      </c>
      <c r="G7494" s="3" t="s">
        <v>15</v>
      </c>
      <c r="H7494" s="3" t="s">
        <v>16</v>
      </c>
      <c r="I7494" s="4" t="n">
        <v>4</v>
      </c>
      <c r="J7494" s="4" t="n">
        <f aca="false">LEN(E7494)-LEN(SUBSTITUTE(E7494,",",""))+1</f>
        <v>4</v>
      </c>
      <c r="K7494" s="3" t="str">
        <f aca="false">IFERROR(INDEX('Teacher Lookup'!$B$2:$B$200,MATCH(A7494,'Teacher Lookup'!$A$2:$A$200,0)),"")</f>
        <v>YIP Michael</v>
      </c>
    </row>
    <row r="7495" customFormat="false" ht="15" hidden="false" customHeight="false" outlineLevel="0" collapsed="false">
      <c r="A7495" s="3" t="s">
        <v>483</v>
      </c>
      <c r="B7495" s="4" t="s">
        <v>31</v>
      </c>
      <c r="C7495" s="4" t="n">
        <v>1</v>
      </c>
      <c r="D7495" s="4" t="s">
        <v>139</v>
      </c>
      <c r="E7495" s="3" t="s">
        <v>146</v>
      </c>
      <c r="F7495" s="4" t="str">
        <f aca="false">IF(I7495&gt;J7495,"Y","N")</f>
        <v>N</v>
      </c>
      <c r="G7495" s="3" t="s">
        <v>15</v>
      </c>
      <c r="H7495" s="3" t="s">
        <v>16</v>
      </c>
      <c r="I7495" s="4" t="n">
        <v>4</v>
      </c>
      <c r="J7495" s="4" t="n">
        <f aca="false">LEN(E7495)-LEN(SUBSTITUTE(E7495,",",""))+1</f>
        <v>4</v>
      </c>
      <c r="K7495" s="3" t="str">
        <f aca="false">IFERROR(INDEX('Teacher Lookup'!$B$2:$B$200,MATCH(A7495,'Teacher Lookup'!$A$2:$A$200,0)),"")</f>
        <v>YIP Michael</v>
      </c>
    </row>
    <row r="7496" customFormat="false" ht="15" hidden="false" customHeight="false" outlineLevel="0" collapsed="false">
      <c r="A7496" s="3" t="s">
        <v>483</v>
      </c>
      <c r="B7496" s="4" t="s">
        <v>31</v>
      </c>
      <c r="C7496" s="4" t="n">
        <v>2</v>
      </c>
      <c r="D7496" s="4" t="s">
        <v>52</v>
      </c>
      <c r="E7496" s="3" t="s">
        <v>303</v>
      </c>
      <c r="F7496" s="4" t="str">
        <f aca="false">IF(I7496&gt;J7496,"Y","N")</f>
        <v>N</v>
      </c>
      <c r="G7496" s="3" t="s">
        <v>15</v>
      </c>
      <c r="H7496" s="3" t="s">
        <v>21</v>
      </c>
      <c r="I7496" s="4" t="n">
        <v>7</v>
      </c>
      <c r="J7496" s="4" t="n">
        <f aca="false">LEN(E7496)-LEN(SUBSTITUTE(E7496,",",""))+1</f>
        <v>7</v>
      </c>
      <c r="K7496" s="3" t="str">
        <f aca="false">IFERROR(INDEX('Teacher Lookup'!$B$2:$B$200,MATCH(A7496,'Teacher Lookup'!$A$2:$A$200,0)),"")</f>
        <v>YIP Michael</v>
      </c>
    </row>
    <row r="7497" customFormat="false" ht="15" hidden="false" customHeight="false" outlineLevel="0" collapsed="false">
      <c r="A7497" s="3" t="s">
        <v>483</v>
      </c>
      <c r="B7497" s="4" t="s">
        <v>31</v>
      </c>
      <c r="C7497" s="4" t="n">
        <v>2</v>
      </c>
      <c r="D7497" s="4" t="s">
        <v>55</v>
      </c>
      <c r="E7497" s="3" t="s">
        <v>303</v>
      </c>
      <c r="F7497" s="4" t="str">
        <f aca="false">IF(I7497&gt;J7497,"Y","N")</f>
        <v>N</v>
      </c>
      <c r="G7497" s="3" t="s">
        <v>15</v>
      </c>
      <c r="H7497" s="3" t="s">
        <v>21</v>
      </c>
      <c r="I7497" s="4" t="n">
        <v>7</v>
      </c>
      <c r="J7497" s="4" t="n">
        <f aca="false">LEN(E7497)-LEN(SUBSTITUTE(E7497,",",""))+1</f>
        <v>7</v>
      </c>
      <c r="K7497" s="3" t="str">
        <f aca="false">IFERROR(INDEX('Teacher Lookup'!$B$2:$B$200,MATCH(A7497,'Teacher Lookup'!$A$2:$A$200,0)),"")</f>
        <v>YIP Michael</v>
      </c>
    </row>
    <row r="7498" customFormat="false" ht="15" hidden="false" customHeight="false" outlineLevel="0" collapsed="false">
      <c r="A7498" s="3" t="s">
        <v>483</v>
      </c>
      <c r="B7498" s="4" t="s">
        <v>31</v>
      </c>
      <c r="C7498" s="4" t="n">
        <v>2</v>
      </c>
      <c r="D7498" s="4" t="s">
        <v>56</v>
      </c>
      <c r="E7498" s="3" t="s">
        <v>303</v>
      </c>
      <c r="F7498" s="4" t="str">
        <f aca="false">IF(I7498&gt;J7498,"Y","N")</f>
        <v>N</v>
      </c>
      <c r="G7498" s="3" t="s">
        <v>15</v>
      </c>
      <c r="H7498" s="3" t="s">
        <v>21</v>
      </c>
      <c r="I7498" s="4" t="n">
        <v>7</v>
      </c>
      <c r="J7498" s="4" t="n">
        <f aca="false">LEN(E7498)-LEN(SUBSTITUTE(E7498,",",""))+1</f>
        <v>7</v>
      </c>
      <c r="K7498" s="3" t="str">
        <f aca="false">IFERROR(INDEX('Teacher Lookup'!$B$2:$B$200,MATCH(A7498,'Teacher Lookup'!$A$2:$A$200,0)),"")</f>
        <v>YIP Michael</v>
      </c>
    </row>
    <row r="7499" customFormat="false" ht="15" hidden="false" customHeight="false" outlineLevel="0" collapsed="false">
      <c r="A7499" s="3" t="s">
        <v>483</v>
      </c>
      <c r="B7499" s="4" t="s">
        <v>31</v>
      </c>
      <c r="C7499" s="4" t="n">
        <v>2</v>
      </c>
      <c r="D7499" s="4" t="s">
        <v>57</v>
      </c>
      <c r="E7499" s="3" t="s">
        <v>303</v>
      </c>
      <c r="F7499" s="4" t="str">
        <f aca="false">IF(I7499&gt;J7499,"Y","N")</f>
        <v>N</v>
      </c>
      <c r="G7499" s="3" t="s">
        <v>15</v>
      </c>
      <c r="H7499" s="3" t="s">
        <v>21</v>
      </c>
      <c r="I7499" s="4" t="n">
        <v>7</v>
      </c>
      <c r="J7499" s="4" t="n">
        <f aca="false">LEN(E7499)-LEN(SUBSTITUTE(E7499,",",""))+1</f>
        <v>7</v>
      </c>
      <c r="K7499" s="3" t="str">
        <f aca="false">IFERROR(INDEX('Teacher Lookup'!$B$2:$B$200,MATCH(A7499,'Teacher Lookup'!$A$2:$A$200,0)),"")</f>
        <v>YIP Michael</v>
      </c>
    </row>
    <row r="7500" customFormat="false" ht="15" hidden="false" customHeight="false" outlineLevel="0" collapsed="false">
      <c r="A7500" s="3" t="s">
        <v>483</v>
      </c>
      <c r="B7500" s="4" t="s">
        <v>31</v>
      </c>
      <c r="C7500" s="4" t="n">
        <v>2</v>
      </c>
      <c r="D7500" s="4" t="s">
        <v>58</v>
      </c>
      <c r="E7500" s="3" t="s">
        <v>303</v>
      </c>
      <c r="F7500" s="4" t="str">
        <f aca="false">IF(I7500&gt;J7500,"Y","N")</f>
        <v>N</v>
      </c>
      <c r="G7500" s="3" t="s">
        <v>15</v>
      </c>
      <c r="H7500" s="3" t="s">
        <v>21</v>
      </c>
      <c r="I7500" s="4" t="n">
        <v>7</v>
      </c>
      <c r="J7500" s="4" t="n">
        <f aca="false">LEN(E7500)-LEN(SUBSTITUTE(E7500,",",""))+1</f>
        <v>7</v>
      </c>
      <c r="K7500" s="3" t="str">
        <f aca="false">IFERROR(INDEX('Teacher Lookup'!$B$2:$B$200,MATCH(A7500,'Teacher Lookup'!$A$2:$A$200,0)),"")</f>
        <v>YIP Michael</v>
      </c>
    </row>
    <row r="7501" customFormat="false" ht="15" hidden="false" customHeight="false" outlineLevel="0" collapsed="false">
      <c r="A7501" s="3" t="s">
        <v>483</v>
      </c>
      <c r="B7501" s="4" t="s">
        <v>31</v>
      </c>
      <c r="C7501" s="4" t="n">
        <v>2</v>
      </c>
      <c r="D7501" s="4" t="s">
        <v>59</v>
      </c>
      <c r="E7501" s="3" t="s">
        <v>303</v>
      </c>
      <c r="F7501" s="4" t="str">
        <f aca="false">IF(I7501&gt;J7501,"Y","N")</f>
        <v>N</v>
      </c>
      <c r="G7501" s="3" t="s">
        <v>15</v>
      </c>
      <c r="H7501" s="3" t="s">
        <v>21</v>
      </c>
      <c r="I7501" s="4" t="n">
        <v>7</v>
      </c>
      <c r="J7501" s="4" t="n">
        <f aca="false">LEN(E7501)-LEN(SUBSTITUTE(E7501,",",""))+1</f>
        <v>7</v>
      </c>
      <c r="K7501" s="3" t="str">
        <f aca="false">IFERROR(INDEX('Teacher Lookup'!$B$2:$B$200,MATCH(A7501,'Teacher Lookup'!$A$2:$A$200,0)),"")</f>
        <v>YIP Michael</v>
      </c>
    </row>
    <row r="7502" customFormat="false" ht="15" hidden="false" customHeight="false" outlineLevel="0" collapsed="false">
      <c r="A7502" s="3" t="s">
        <v>483</v>
      </c>
      <c r="B7502" s="4" t="s">
        <v>31</v>
      </c>
      <c r="C7502" s="4" t="n">
        <v>5</v>
      </c>
      <c r="D7502" s="4" t="s">
        <v>52</v>
      </c>
      <c r="E7502" s="3" t="s">
        <v>112</v>
      </c>
      <c r="F7502" s="4" t="str">
        <f aca="false">IF(I7502&gt;J7502,"Y","N")</f>
        <v>Y</v>
      </c>
      <c r="G7502" s="3" t="s">
        <v>36</v>
      </c>
      <c r="H7502" s="3" t="s">
        <v>37</v>
      </c>
      <c r="I7502" s="4" t="n">
        <v>16</v>
      </c>
      <c r="J7502" s="4" t="n">
        <f aca="false">LEN(E7502)-LEN(SUBSTITUTE(E7502,",",""))+1</f>
        <v>7</v>
      </c>
      <c r="K7502" s="3" t="str">
        <f aca="false">IFERROR(INDEX('Teacher Lookup'!$B$2:$B$200,MATCH(A7502,'Teacher Lookup'!$A$2:$A$200,0)),"")</f>
        <v>YIP Michael</v>
      </c>
    </row>
    <row r="7503" customFormat="false" ht="15" hidden="false" customHeight="false" outlineLevel="0" collapsed="false">
      <c r="A7503" s="3" t="s">
        <v>483</v>
      </c>
      <c r="B7503" s="4" t="s">
        <v>31</v>
      </c>
      <c r="C7503" s="4" t="n">
        <v>5</v>
      </c>
      <c r="D7503" s="4" t="s">
        <v>55</v>
      </c>
      <c r="E7503" s="3" t="s">
        <v>112</v>
      </c>
      <c r="F7503" s="4" t="str">
        <f aca="false">IF(I7503&gt;J7503,"Y","N")</f>
        <v>Y</v>
      </c>
      <c r="G7503" s="3" t="s">
        <v>36</v>
      </c>
      <c r="H7503" s="3" t="s">
        <v>37</v>
      </c>
      <c r="I7503" s="4" t="n">
        <v>16</v>
      </c>
      <c r="J7503" s="4" t="n">
        <f aca="false">LEN(E7503)-LEN(SUBSTITUTE(E7503,",",""))+1</f>
        <v>7</v>
      </c>
      <c r="K7503" s="3" t="str">
        <f aca="false">IFERROR(INDEX('Teacher Lookup'!$B$2:$B$200,MATCH(A7503,'Teacher Lookup'!$A$2:$A$200,0)),"")</f>
        <v>YIP Michael</v>
      </c>
    </row>
    <row r="7504" customFormat="false" ht="15" hidden="false" customHeight="false" outlineLevel="0" collapsed="false">
      <c r="A7504" s="3" t="s">
        <v>483</v>
      </c>
      <c r="B7504" s="4" t="s">
        <v>31</v>
      </c>
      <c r="C7504" s="4" t="n">
        <v>5</v>
      </c>
      <c r="D7504" s="4" t="s">
        <v>56</v>
      </c>
      <c r="E7504" s="3" t="s">
        <v>112</v>
      </c>
      <c r="F7504" s="4" t="str">
        <f aca="false">IF(I7504&gt;J7504,"Y","N")</f>
        <v>Y</v>
      </c>
      <c r="G7504" s="3" t="s">
        <v>36</v>
      </c>
      <c r="H7504" s="3" t="s">
        <v>37</v>
      </c>
      <c r="I7504" s="4" t="n">
        <v>16</v>
      </c>
      <c r="J7504" s="4" t="n">
        <f aca="false">LEN(E7504)-LEN(SUBSTITUTE(E7504,",",""))+1</f>
        <v>7</v>
      </c>
      <c r="K7504" s="3" t="str">
        <f aca="false">IFERROR(INDEX('Teacher Lookup'!$B$2:$B$200,MATCH(A7504,'Teacher Lookup'!$A$2:$A$200,0)),"")</f>
        <v>YIP Michael</v>
      </c>
    </row>
    <row r="7505" customFormat="false" ht="15" hidden="false" customHeight="false" outlineLevel="0" collapsed="false">
      <c r="A7505" s="3" t="s">
        <v>483</v>
      </c>
      <c r="B7505" s="4" t="s">
        <v>31</v>
      </c>
      <c r="C7505" s="4" t="n">
        <v>5</v>
      </c>
      <c r="D7505" s="4" t="s">
        <v>57</v>
      </c>
      <c r="E7505" s="3" t="s">
        <v>112</v>
      </c>
      <c r="F7505" s="4" t="str">
        <f aca="false">IF(I7505&gt;J7505,"Y","N")</f>
        <v>Y</v>
      </c>
      <c r="G7505" s="3" t="s">
        <v>36</v>
      </c>
      <c r="H7505" s="3" t="s">
        <v>37</v>
      </c>
      <c r="I7505" s="4" t="n">
        <v>16</v>
      </c>
      <c r="J7505" s="4" t="n">
        <f aca="false">LEN(E7505)-LEN(SUBSTITUTE(E7505,",",""))+1</f>
        <v>7</v>
      </c>
      <c r="K7505" s="3" t="str">
        <f aca="false">IFERROR(INDEX('Teacher Lookup'!$B$2:$B$200,MATCH(A7505,'Teacher Lookup'!$A$2:$A$200,0)),"")</f>
        <v>YIP Michael</v>
      </c>
    </row>
    <row r="7506" customFormat="false" ht="15" hidden="false" customHeight="false" outlineLevel="0" collapsed="false">
      <c r="A7506" s="3" t="s">
        <v>483</v>
      </c>
      <c r="B7506" s="4" t="s">
        <v>31</v>
      </c>
      <c r="C7506" s="4" t="n">
        <v>5</v>
      </c>
      <c r="D7506" s="4" t="s">
        <v>58</v>
      </c>
      <c r="E7506" s="3" t="s">
        <v>112</v>
      </c>
      <c r="F7506" s="4" t="str">
        <f aca="false">IF(I7506&gt;J7506,"Y","N")</f>
        <v>Y</v>
      </c>
      <c r="G7506" s="3" t="s">
        <v>36</v>
      </c>
      <c r="H7506" s="3" t="s">
        <v>37</v>
      </c>
      <c r="I7506" s="4" t="n">
        <v>16</v>
      </c>
      <c r="J7506" s="4" t="n">
        <f aca="false">LEN(E7506)-LEN(SUBSTITUTE(E7506,",",""))+1</f>
        <v>7</v>
      </c>
      <c r="K7506" s="3" t="str">
        <f aca="false">IFERROR(INDEX('Teacher Lookup'!$B$2:$B$200,MATCH(A7506,'Teacher Lookup'!$A$2:$A$200,0)),"")</f>
        <v>YIP Michael</v>
      </c>
    </row>
    <row r="7507" customFormat="false" ht="15" hidden="false" customHeight="false" outlineLevel="0" collapsed="false">
      <c r="A7507" s="3" t="s">
        <v>483</v>
      </c>
      <c r="B7507" s="4" t="s">
        <v>31</v>
      </c>
      <c r="C7507" s="4" t="n">
        <v>5</v>
      </c>
      <c r="D7507" s="4" t="s">
        <v>59</v>
      </c>
      <c r="E7507" s="3" t="s">
        <v>112</v>
      </c>
      <c r="F7507" s="4" t="str">
        <f aca="false">IF(I7507&gt;J7507,"Y","N")</f>
        <v>Y</v>
      </c>
      <c r="G7507" s="3" t="s">
        <v>36</v>
      </c>
      <c r="H7507" s="3" t="s">
        <v>37</v>
      </c>
      <c r="I7507" s="4" t="n">
        <v>16</v>
      </c>
      <c r="J7507" s="4" t="n">
        <f aca="false">LEN(E7507)-LEN(SUBSTITUTE(E7507,",",""))+1</f>
        <v>7</v>
      </c>
      <c r="K7507" s="3" t="str">
        <f aca="false">IFERROR(INDEX('Teacher Lookup'!$B$2:$B$200,MATCH(A7507,'Teacher Lookup'!$A$2:$A$200,0)),"")</f>
        <v>YIP Michael</v>
      </c>
    </row>
    <row r="7508" customFormat="false" ht="15" hidden="false" customHeight="false" outlineLevel="0" collapsed="false">
      <c r="A7508" s="3" t="s">
        <v>483</v>
      </c>
      <c r="B7508" s="4" t="s">
        <v>31</v>
      </c>
      <c r="C7508" s="4" t="n">
        <v>7</v>
      </c>
      <c r="D7508" s="4" t="s">
        <v>140</v>
      </c>
      <c r="E7508" s="3" t="s">
        <v>144</v>
      </c>
      <c r="F7508" s="4" t="str">
        <f aca="false">IF(I7508&gt;J7508,"Y","N")</f>
        <v>N</v>
      </c>
      <c r="G7508" s="3" t="s">
        <v>15</v>
      </c>
      <c r="H7508" s="3" t="s">
        <v>39</v>
      </c>
      <c r="I7508" s="4" t="n">
        <v>4</v>
      </c>
      <c r="J7508" s="4" t="n">
        <f aca="false">LEN(E7508)-LEN(SUBSTITUTE(E7508,",",""))+1</f>
        <v>4</v>
      </c>
      <c r="K7508" s="3" t="str">
        <f aca="false">IFERROR(INDEX('Teacher Lookup'!$B$2:$B$200,MATCH(A7508,'Teacher Lookup'!$A$2:$A$200,0)),"")</f>
        <v>YIP Michael</v>
      </c>
    </row>
    <row r="7509" customFormat="false" ht="15" hidden="false" customHeight="false" outlineLevel="0" collapsed="false">
      <c r="A7509" s="3" t="s">
        <v>483</v>
      </c>
      <c r="B7509" s="4" t="s">
        <v>31</v>
      </c>
      <c r="C7509" s="4" t="n">
        <v>7</v>
      </c>
      <c r="D7509" s="4" t="s">
        <v>142</v>
      </c>
      <c r="E7509" s="3" t="s">
        <v>144</v>
      </c>
      <c r="F7509" s="4" t="str">
        <f aca="false">IF(I7509&gt;J7509,"Y","N")</f>
        <v>N</v>
      </c>
      <c r="G7509" s="3" t="s">
        <v>15</v>
      </c>
      <c r="H7509" s="3" t="s">
        <v>39</v>
      </c>
      <c r="I7509" s="4" t="n">
        <v>4</v>
      </c>
      <c r="J7509" s="4" t="n">
        <f aca="false">LEN(E7509)-LEN(SUBSTITUTE(E7509,",",""))+1</f>
        <v>4</v>
      </c>
      <c r="K7509" s="3" t="str">
        <f aca="false">IFERROR(INDEX('Teacher Lookup'!$B$2:$B$200,MATCH(A7509,'Teacher Lookup'!$A$2:$A$200,0)),"")</f>
        <v>YIP Michael</v>
      </c>
    </row>
    <row r="7510" customFormat="false" ht="15" hidden="false" customHeight="false" outlineLevel="0" collapsed="false">
      <c r="A7510" s="3" t="s">
        <v>483</v>
      </c>
      <c r="B7510" s="4" t="s">
        <v>31</v>
      </c>
      <c r="C7510" s="4" t="n">
        <v>7</v>
      </c>
      <c r="D7510" s="4" t="s">
        <v>127</v>
      </c>
      <c r="E7510" s="3" t="s">
        <v>144</v>
      </c>
      <c r="F7510" s="4" t="str">
        <f aca="false">IF(I7510&gt;J7510,"Y","N")</f>
        <v>N</v>
      </c>
      <c r="G7510" s="3" t="s">
        <v>15</v>
      </c>
      <c r="H7510" s="3" t="s">
        <v>39</v>
      </c>
      <c r="I7510" s="4" t="n">
        <v>4</v>
      </c>
      <c r="J7510" s="4" t="n">
        <f aca="false">LEN(E7510)-LEN(SUBSTITUTE(E7510,",",""))+1</f>
        <v>4</v>
      </c>
      <c r="K7510" s="3" t="str">
        <f aca="false">IFERROR(INDEX('Teacher Lookup'!$B$2:$B$200,MATCH(A7510,'Teacher Lookup'!$A$2:$A$200,0)),"")</f>
        <v>YIP Michael</v>
      </c>
    </row>
    <row r="7511" customFormat="false" ht="15" hidden="false" customHeight="false" outlineLevel="0" collapsed="false">
      <c r="A7511" s="3" t="s">
        <v>483</v>
      </c>
      <c r="B7511" s="4" t="s">
        <v>40</v>
      </c>
      <c r="C7511" s="4" t="n">
        <v>1</v>
      </c>
      <c r="D7511" s="4" t="s">
        <v>137</v>
      </c>
      <c r="E7511" s="3" t="s">
        <v>205</v>
      </c>
      <c r="F7511" s="4" t="str">
        <f aca="false">IF(I7511&gt;J7511,"Y","N")</f>
        <v>N</v>
      </c>
      <c r="G7511" s="3" t="s">
        <v>15</v>
      </c>
      <c r="H7511" s="3" t="s">
        <v>16</v>
      </c>
      <c r="I7511" s="4" t="n">
        <v>4</v>
      </c>
      <c r="J7511" s="4" t="n">
        <f aca="false">LEN(E7511)-LEN(SUBSTITUTE(E7511,",",""))+1</f>
        <v>4</v>
      </c>
      <c r="K7511" s="3" t="str">
        <f aca="false">IFERROR(INDEX('Teacher Lookup'!$B$2:$B$200,MATCH(A7511,'Teacher Lookup'!$A$2:$A$200,0)),"")</f>
        <v>YIP Michael</v>
      </c>
    </row>
    <row r="7512" customFormat="false" ht="15" hidden="false" customHeight="false" outlineLevel="0" collapsed="false">
      <c r="A7512" s="3" t="s">
        <v>483</v>
      </c>
      <c r="B7512" s="4" t="s">
        <v>40</v>
      </c>
      <c r="C7512" s="4" t="n">
        <v>1</v>
      </c>
      <c r="D7512" s="4" t="s">
        <v>124</v>
      </c>
      <c r="E7512" s="3" t="s">
        <v>205</v>
      </c>
      <c r="F7512" s="4" t="str">
        <f aca="false">IF(I7512&gt;J7512,"Y","N")</f>
        <v>N</v>
      </c>
      <c r="G7512" s="3" t="s">
        <v>15</v>
      </c>
      <c r="H7512" s="3" t="s">
        <v>16</v>
      </c>
      <c r="I7512" s="4" t="n">
        <v>4</v>
      </c>
      <c r="J7512" s="4" t="n">
        <f aca="false">LEN(E7512)-LEN(SUBSTITUTE(E7512,",",""))+1</f>
        <v>4</v>
      </c>
      <c r="K7512" s="3" t="str">
        <f aca="false">IFERROR(INDEX('Teacher Lookup'!$B$2:$B$200,MATCH(A7512,'Teacher Lookup'!$A$2:$A$200,0)),"")</f>
        <v>YIP Michael</v>
      </c>
    </row>
    <row r="7513" customFormat="false" ht="15" hidden="false" customHeight="false" outlineLevel="0" collapsed="false">
      <c r="A7513" s="3" t="s">
        <v>483</v>
      </c>
      <c r="B7513" s="4" t="s">
        <v>40</v>
      </c>
      <c r="C7513" s="4" t="n">
        <v>1</v>
      </c>
      <c r="D7513" s="4" t="s">
        <v>139</v>
      </c>
      <c r="E7513" s="3" t="s">
        <v>205</v>
      </c>
      <c r="F7513" s="4" t="str">
        <f aca="false">IF(I7513&gt;J7513,"Y","N")</f>
        <v>N</v>
      </c>
      <c r="G7513" s="3" t="s">
        <v>15</v>
      </c>
      <c r="H7513" s="3" t="s">
        <v>16</v>
      </c>
      <c r="I7513" s="4" t="n">
        <v>4</v>
      </c>
      <c r="J7513" s="4" t="n">
        <f aca="false">LEN(E7513)-LEN(SUBSTITUTE(E7513,",",""))+1</f>
        <v>4</v>
      </c>
      <c r="K7513" s="3" t="str">
        <f aca="false">IFERROR(INDEX('Teacher Lookup'!$B$2:$B$200,MATCH(A7513,'Teacher Lookup'!$A$2:$A$200,0)),"")</f>
        <v>YIP Michael</v>
      </c>
    </row>
    <row r="7514" customFormat="false" ht="15" hidden="false" customHeight="false" outlineLevel="0" collapsed="false">
      <c r="A7514" s="3" t="s">
        <v>483</v>
      </c>
      <c r="B7514" s="4" t="s">
        <v>40</v>
      </c>
      <c r="C7514" s="4" t="n">
        <v>4</v>
      </c>
      <c r="D7514" s="4" t="s">
        <v>140</v>
      </c>
      <c r="E7514" s="3" t="s">
        <v>207</v>
      </c>
      <c r="F7514" s="4" t="str">
        <f aca="false">IF(I7514&gt;J7514,"Y","N")</f>
        <v>N</v>
      </c>
      <c r="G7514" s="3" t="s">
        <v>15</v>
      </c>
      <c r="H7514" s="3" t="s">
        <v>34</v>
      </c>
      <c r="I7514" s="4" t="n">
        <v>4</v>
      </c>
      <c r="J7514" s="4" t="n">
        <f aca="false">LEN(E7514)-LEN(SUBSTITUTE(E7514,",",""))+1</f>
        <v>4</v>
      </c>
      <c r="K7514" s="3" t="str">
        <f aca="false">IFERROR(INDEX('Teacher Lookup'!$B$2:$B$200,MATCH(A7514,'Teacher Lookup'!$A$2:$A$200,0)),"")</f>
        <v>YIP Michael</v>
      </c>
    </row>
    <row r="7515" customFormat="false" ht="15" hidden="false" customHeight="false" outlineLevel="0" collapsed="false">
      <c r="A7515" s="3" t="s">
        <v>483</v>
      </c>
      <c r="B7515" s="4" t="s">
        <v>40</v>
      </c>
      <c r="C7515" s="4" t="n">
        <v>4</v>
      </c>
      <c r="D7515" s="4" t="s">
        <v>142</v>
      </c>
      <c r="E7515" s="3" t="s">
        <v>207</v>
      </c>
      <c r="F7515" s="4" t="str">
        <f aca="false">IF(I7515&gt;J7515,"Y","N")</f>
        <v>N</v>
      </c>
      <c r="G7515" s="3" t="s">
        <v>15</v>
      </c>
      <c r="H7515" s="3" t="s">
        <v>34</v>
      </c>
      <c r="I7515" s="4" t="n">
        <v>4</v>
      </c>
      <c r="J7515" s="4" t="n">
        <f aca="false">LEN(E7515)-LEN(SUBSTITUTE(E7515,",",""))+1</f>
        <v>4</v>
      </c>
      <c r="K7515" s="3" t="str">
        <f aca="false">IFERROR(INDEX('Teacher Lookup'!$B$2:$B$200,MATCH(A7515,'Teacher Lookup'!$A$2:$A$200,0)),"")</f>
        <v>YIP Michael</v>
      </c>
    </row>
    <row r="7516" customFormat="false" ht="15" hidden="false" customHeight="false" outlineLevel="0" collapsed="false">
      <c r="A7516" s="3" t="s">
        <v>483</v>
      </c>
      <c r="B7516" s="4" t="s">
        <v>40</v>
      </c>
      <c r="C7516" s="4" t="n">
        <v>4</v>
      </c>
      <c r="D7516" s="4" t="s">
        <v>127</v>
      </c>
      <c r="E7516" s="3" t="s">
        <v>207</v>
      </c>
      <c r="F7516" s="4" t="str">
        <f aca="false">IF(I7516&gt;J7516,"Y","N")</f>
        <v>N</v>
      </c>
      <c r="G7516" s="3" t="s">
        <v>15</v>
      </c>
      <c r="H7516" s="3" t="s">
        <v>34</v>
      </c>
      <c r="I7516" s="4" t="n">
        <v>4</v>
      </c>
      <c r="J7516" s="4" t="n">
        <f aca="false">LEN(E7516)-LEN(SUBSTITUTE(E7516,",",""))+1</f>
        <v>4</v>
      </c>
      <c r="K7516" s="3" t="str">
        <f aca="false">IFERROR(INDEX('Teacher Lookup'!$B$2:$B$200,MATCH(A7516,'Teacher Lookup'!$A$2:$A$200,0)),"")</f>
        <v>YIP Michael</v>
      </c>
    </row>
    <row r="7517" customFormat="false" ht="15" hidden="false" customHeight="false" outlineLevel="0" collapsed="false">
      <c r="A7517" s="3" t="s">
        <v>483</v>
      </c>
      <c r="B7517" s="4" t="s">
        <v>40</v>
      </c>
      <c r="C7517" s="4" t="n">
        <v>5</v>
      </c>
      <c r="D7517" s="4" t="s">
        <v>52</v>
      </c>
      <c r="E7517" s="3" t="s">
        <v>304</v>
      </c>
      <c r="F7517" s="4" t="str">
        <f aca="false">IF(I7517&gt;J7517,"Y","N")</f>
        <v>N</v>
      </c>
      <c r="G7517" s="3" t="s">
        <v>15</v>
      </c>
      <c r="H7517" s="3" t="s">
        <v>37</v>
      </c>
      <c r="I7517" s="4" t="n">
        <v>7</v>
      </c>
      <c r="J7517" s="4" t="n">
        <f aca="false">LEN(E7517)-LEN(SUBSTITUTE(E7517,",",""))+1</f>
        <v>7</v>
      </c>
      <c r="K7517" s="3" t="str">
        <f aca="false">IFERROR(INDEX('Teacher Lookup'!$B$2:$B$200,MATCH(A7517,'Teacher Lookup'!$A$2:$A$200,0)),"")</f>
        <v>YIP Michael</v>
      </c>
    </row>
    <row r="7518" customFormat="false" ht="15" hidden="false" customHeight="false" outlineLevel="0" collapsed="false">
      <c r="A7518" s="3" t="s">
        <v>483</v>
      </c>
      <c r="B7518" s="4" t="s">
        <v>40</v>
      </c>
      <c r="C7518" s="4" t="n">
        <v>5</v>
      </c>
      <c r="D7518" s="4" t="s">
        <v>55</v>
      </c>
      <c r="E7518" s="3" t="s">
        <v>304</v>
      </c>
      <c r="F7518" s="4" t="str">
        <f aca="false">IF(I7518&gt;J7518,"Y","N")</f>
        <v>N</v>
      </c>
      <c r="G7518" s="3" t="s">
        <v>15</v>
      </c>
      <c r="H7518" s="3" t="s">
        <v>37</v>
      </c>
      <c r="I7518" s="4" t="n">
        <v>7</v>
      </c>
      <c r="J7518" s="4" t="n">
        <f aca="false">LEN(E7518)-LEN(SUBSTITUTE(E7518,",",""))+1</f>
        <v>7</v>
      </c>
      <c r="K7518" s="3" t="str">
        <f aca="false">IFERROR(INDEX('Teacher Lookup'!$B$2:$B$200,MATCH(A7518,'Teacher Lookup'!$A$2:$A$200,0)),"")</f>
        <v>YIP Michael</v>
      </c>
    </row>
    <row r="7519" customFormat="false" ht="15" hidden="false" customHeight="false" outlineLevel="0" collapsed="false">
      <c r="A7519" s="3" t="s">
        <v>483</v>
      </c>
      <c r="B7519" s="4" t="s">
        <v>40</v>
      </c>
      <c r="C7519" s="4" t="n">
        <v>5</v>
      </c>
      <c r="D7519" s="4" t="s">
        <v>56</v>
      </c>
      <c r="E7519" s="3" t="s">
        <v>304</v>
      </c>
      <c r="F7519" s="4" t="str">
        <f aca="false">IF(I7519&gt;J7519,"Y","N")</f>
        <v>N</v>
      </c>
      <c r="G7519" s="3" t="s">
        <v>15</v>
      </c>
      <c r="H7519" s="3" t="s">
        <v>37</v>
      </c>
      <c r="I7519" s="4" t="n">
        <v>7</v>
      </c>
      <c r="J7519" s="4" t="n">
        <f aca="false">LEN(E7519)-LEN(SUBSTITUTE(E7519,",",""))+1</f>
        <v>7</v>
      </c>
      <c r="K7519" s="3" t="str">
        <f aca="false">IFERROR(INDEX('Teacher Lookup'!$B$2:$B$200,MATCH(A7519,'Teacher Lookup'!$A$2:$A$200,0)),"")</f>
        <v>YIP Michael</v>
      </c>
    </row>
    <row r="7520" customFormat="false" ht="15" hidden="false" customHeight="false" outlineLevel="0" collapsed="false">
      <c r="A7520" s="3" t="s">
        <v>483</v>
      </c>
      <c r="B7520" s="4" t="s">
        <v>40</v>
      </c>
      <c r="C7520" s="4" t="n">
        <v>5</v>
      </c>
      <c r="D7520" s="4" t="s">
        <v>57</v>
      </c>
      <c r="E7520" s="3" t="s">
        <v>304</v>
      </c>
      <c r="F7520" s="4" t="str">
        <f aca="false">IF(I7520&gt;J7520,"Y","N")</f>
        <v>N</v>
      </c>
      <c r="G7520" s="3" t="s">
        <v>15</v>
      </c>
      <c r="H7520" s="3" t="s">
        <v>37</v>
      </c>
      <c r="I7520" s="4" t="n">
        <v>7</v>
      </c>
      <c r="J7520" s="4" t="n">
        <f aca="false">LEN(E7520)-LEN(SUBSTITUTE(E7520,",",""))+1</f>
        <v>7</v>
      </c>
      <c r="K7520" s="3" t="str">
        <f aca="false">IFERROR(INDEX('Teacher Lookup'!$B$2:$B$200,MATCH(A7520,'Teacher Lookup'!$A$2:$A$200,0)),"")</f>
        <v>YIP Michael</v>
      </c>
    </row>
    <row r="7521" customFormat="false" ht="15" hidden="false" customHeight="false" outlineLevel="0" collapsed="false">
      <c r="A7521" s="3" t="s">
        <v>483</v>
      </c>
      <c r="B7521" s="4" t="s">
        <v>40</v>
      </c>
      <c r="C7521" s="4" t="n">
        <v>5</v>
      </c>
      <c r="D7521" s="4" t="s">
        <v>58</v>
      </c>
      <c r="E7521" s="3" t="s">
        <v>304</v>
      </c>
      <c r="F7521" s="4" t="str">
        <f aca="false">IF(I7521&gt;J7521,"Y","N")</f>
        <v>N</v>
      </c>
      <c r="G7521" s="3" t="s">
        <v>15</v>
      </c>
      <c r="H7521" s="3" t="s">
        <v>37</v>
      </c>
      <c r="I7521" s="4" t="n">
        <v>7</v>
      </c>
      <c r="J7521" s="4" t="n">
        <f aca="false">LEN(E7521)-LEN(SUBSTITUTE(E7521,",",""))+1</f>
        <v>7</v>
      </c>
      <c r="K7521" s="3" t="str">
        <f aca="false">IFERROR(INDEX('Teacher Lookup'!$B$2:$B$200,MATCH(A7521,'Teacher Lookup'!$A$2:$A$200,0)),"")</f>
        <v>YIP Michael</v>
      </c>
    </row>
    <row r="7522" customFormat="false" ht="15" hidden="false" customHeight="false" outlineLevel="0" collapsed="false">
      <c r="A7522" s="3" t="s">
        <v>483</v>
      </c>
      <c r="B7522" s="4" t="s">
        <v>40</v>
      </c>
      <c r="C7522" s="4" t="n">
        <v>5</v>
      </c>
      <c r="D7522" s="4" t="s">
        <v>59</v>
      </c>
      <c r="E7522" s="3" t="s">
        <v>304</v>
      </c>
      <c r="F7522" s="4" t="str">
        <f aca="false">IF(I7522&gt;J7522,"Y","N")</f>
        <v>N</v>
      </c>
      <c r="G7522" s="3" t="s">
        <v>15</v>
      </c>
      <c r="H7522" s="3" t="s">
        <v>37</v>
      </c>
      <c r="I7522" s="4" t="n">
        <v>7</v>
      </c>
      <c r="J7522" s="4" t="n">
        <f aca="false">LEN(E7522)-LEN(SUBSTITUTE(E7522,",",""))+1</f>
        <v>7</v>
      </c>
      <c r="K7522" s="3" t="str">
        <f aca="false">IFERROR(INDEX('Teacher Lookup'!$B$2:$B$200,MATCH(A7522,'Teacher Lookup'!$A$2:$A$200,0)),"")</f>
        <v>YIP Michael</v>
      </c>
    </row>
    <row r="7523" customFormat="false" ht="15" hidden="false" customHeight="false" outlineLevel="0" collapsed="false">
      <c r="A7523" s="3" t="s">
        <v>483</v>
      </c>
      <c r="B7523" s="4" t="s">
        <v>44</v>
      </c>
      <c r="C7523" s="4" t="n">
        <v>1</v>
      </c>
      <c r="D7523" s="4" t="s">
        <v>52</v>
      </c>
      <c r="E7523" s="3" t="s">
        <v>305</v>
      </c>
      <c r="F7523" s="4" t="str">
        <f aca="false">IF(I7523&gt;J7523,"Y","N")</f>
        <v>N</v>
      </c>
      <c r="G7523" s="3" t="s">
        <v>15</v>
      </c>
      <c r="H7523" s="3" t="s">
        <v>16</v>
      </c>
      <c r="I7523" s="4" t="n">
        <v>7</v>
      </c>
      <c r="J7523" s="4" t="n">
        <f aca="false">LEN(E7523)-LEN(SUBSTITUTE(E7523,",",""))+1</f>
        <v>7</v>
      </c>
      <c r="K7523" s="3" t="str">
        <f aca="false">IFERROR(INDEX('Teacher Lookup'!$B$2:$B$200,MATCH(A7523,'Teacher Lookup'!$A$2:$A$200,0)),"")</f>
        <v>YIP Michael</v>
      </c>
    </row>
    <row r="7524" customFormat="false" ht="15" hidden="false" customHeight="false" outlineLevel="0" collapsed="false">
      <c r="A7524" s="3" t="s">
        <v>483</v>
      </c>
      <c r="B7524" s="4" t="s">
        <v>44</v>
      </c>
      <c r="C7524" s="4" t="n">
        <v>1</v>
      </c>
      <c r="D7524" s="4" t="s">
        <v>55</v>
      </c>
      <c r="E7524" s="3" t="s">
        <v>305</v>
      </c>
      <c r="F7524" s="4" t="str">
        <f aca="false">IF(I7524&gt;J7524,"Y","N")</f>
        <v>N</v>
      </c>
      <c r="G7524" s="3" t="s">
        <v>15</v>
      </c>
      <c r="H7524" s="3" t="s">
        <v>16</v>
      </c>
      <c r="I7524" s="4" t="n">
        <v>7</v>
      </c>
      <c r="J7524" s="4" t="n">
        <f aca="false">LEN(E7524)-LEN(SUBSTITUTE(E7524,",",""))+1</f>
        <v>7</v>
      </c>
      <c r="K7524" s="3" t="str">
        <f aca="false">IFERROR(INDEX('Teacher Lookup'!$B$2:$B$200,MATCH(A7524,'Teacher Lookup'!$A$2:$A$200,0)),"")</f>
        <v>YIP Michael</v>
      </c>
    </row>
    <row r="7525" customFormat="false" ht="15" hidden="false" customHeight="false" outlineLevel="0" collapsed="false">
      <c r="A7525" s="3" t="s">
        <v>483</v>
      </c>
      <c r="B7525" s="4" t="s">
        <v>44</v>
      </c>
      <c r="C7525" s="4" t="n">
        <v>1</v>
      </c>
      <c r="D7525" s="4" t="s">
        <v>56</v>
      </c>
      <c r="E7525" s="3" t="s">
        <v>305</v>
      </c>
      <c r="F7525" s="4" t="str">
        <f aca="false">IF(I7525&gt;J7525,"Y","N")</f>
        <v>N</v>
      </c>
      <c r="G7525" s="3" t="s">
        <v>15</v>
      </c>
      <c r="H7525" s="3" t="s">
        <v>16</v>
      </c>
      <c r="I7525" s="4" t="n">
        <v>7</v>
      </c>
      <c r="J7525" s="4" t="n">
        <f aca="false">LEN(E7525)-LEN(SUBSTITUTE(E7525,",",""))+1</f>
        <v>7</v>
      </c>
      <c r="K7525" s="3" t="str">
        <f aca="false">IFERROR(INDEX('Teacher Lookup'!$B$2:$B$200,MATCH(A7525,'Teacher Lookup'!$A$2:$A$200,0)),"")</f>
        <v>YIP Michael</v>
      </c>
    </row>
    <row r="7526" customFormat="false" ht="15" hidden="false" customHeight="false" outlineLevel="0" collapsed="false">
      <c r="A7526" s="3" t="s">
        <v>483</v>
      </c>
      <c r="B7526" s="4" t="s">
        <v>44</v>
      </c>
      <c r="C7526" s="4" t="n">
        <v>1</v>
      </c>
      <c r="D7526" s="4" t="s">
        <v>57</v>
      </c>
      <c r="E7526" s="3" t="s">
        <v>305</v>
      </c>
      <c r="F7526" s="4" t="str">
        <f aca="false">IF(I7526&gt;J7526,"Y","N")</f>
        <v>N</v>
      </c>
      <c r="G7526" s="3" t="s">
        <v>15</v>
      </c>
      <c r="H7526" s="3" t="s">
        <v>16</v>
      </c>
      <c r="I7526" s="4" t="n">
        <v>7</v>
      </c>
      <c r="J7526" s="4" t="n">
        <f aca="false">LEN(E7526)-LEN(SUBSTITUTE(E7526,",",""))+1</f>
        <v>7</v>
      </c>
      <c r="K7526" s="3" t="str">
        <f aca="false">IFERROR(INDEX('Teacher Lookup'!$B$2:$B$200,MATCH(A7526,'Teacher Lookup'!$A$2:$A$200,0)),"")</f>
        <v>YIP Michael</v>
      </c>
    </row>
    <row r="7527" customFormat="false" ht="15" hidden="false" customHeight="false" outlineLevel="0" collapsed="false">
      <c r="A7527" s="3" t="s">
        <v>483</v>
      </c>
      <c r="B7527" s="4" t="s">
        <v>44</v>
      </c>
      <c r="C7527" s="4" t="n">
        <v>1</v>
      </c>
      <c r="D7527" s="4" t="s">
        <v>58</v>
      </c>
      <c r="E7527" s="3" t="s">
        <v>305</v>
      </c>
      <c r="F7527" s="4" t="str">
        <f aca="false">IF(I7527&gt;J7527,"Y","N")</f>
        <v>N</v>
      </c>
      <c r="G7527" s="3" t="s">
        <v>15</v>
      </c>
      <c r="H7527" s="3" t="s">
        <v>16</v>
      </c>
      <c r="I7527" s="4" t="n">
        <v>7</v>
      </c>
      <c r="J7527" s="4" t="n">
        <f aca="false">LEN(E7527)-LEN(SUBSTITUTE(E7527,",",""))+1</f>
        <v>7</v>
      </c>
      <c r="K7527" s="3" t="str">
        <f aca="false">IFERROR(INDEX('Teacher Lookup'!$B$2:$B$200,MATCH(A7527,'Teacher Lookup'!$A$2:$A$200,0)),"")</f>
        <v>YIP Michael</v>
      </c>
    </row>
    <row r="7528" customFormat="false" ht="15" hidden="false" customHeight="false" outlineLevel="0" collapsed="false">
      <c r="A7528" s="3" t="s">
        <v>483</v>
      </c>
      <c r="B7528" s="4" t="s">
        <v>44</v>
      </c>
      <c r="C7528" s="4" t="n">
        <v>1</v>
      </c>
      <c r="D7528" s="4" t="s">
        <v>59</v>
      </c>
      <c r="E7528" s="3" t="s">
        <v>305</v>
      </c>
      <c r="F7528" s="4" t="str">
        <f aca="false">IF(I7528&gt;J7528,"Y","N")</f>
        <v>N</v>
      </c>
      <c r="G7528" s="3" t="s">
        <v>15</v>
      </c>
      <c r="H7528" s="3" t="s">
        <v>16</v>
      </c>
      <c r="I7528" s="4" t="n">
        <v>7</v>
      </c>
      <c r="J7528" s="4" t="n">
        <f aca="false">LEN(E7528)-LEN(SUBSTITUTE(E7528,",",""))+1</f>
        <v>7</v>
      </c>
      <c r="K7528" s="3" t="str">
        <f aca="false">IFERROR(INDEX('Teacher Lookup'!$B$2:$B$200,MATCH(A7528,'Teacher Lookup'!$A$2:$A$200,0)),"")</f>
        <v>YIP Michael</v>
      </c>
    </row>
    <row r="7529" customFormat="false" ht="15" hidden="false" customHeight="false" outlineLevel="0" collapsed="false">
      <c r="A7529" s="3" t="s">
        <v>483</v>
      </c>
      <c r="B7529" s="4" t="s">
        <v>44</v>
      </c>
      <c r="C7529" s="4" t="n">
        <v>2</v>
      </c>
      <c r="D7529" s="4" t="s">
        <v>140</v>
      </c>
      <c r="E7529" s="3" t="s">
        <v>144</v>
      </c>
      <c r="F7529" s="4" t="str">
        <f aca="false">IF(I7529&gt;J7529,"Y","N")</f>
        <v>N</v>
      </c>
      <c r="G7529" s="3" t="s">
        <v>15</v>
      </c>
      <c r="H7529" s="3" t="s">
        <v>21</v>
      </c>
      <c r="I7529" s="4" t="n">
        <v>4</v>
      </c>
      <c r="J7529" s="4" t="n">
        <f aca="false">LEN(E7529)-LEN(SUBSTITUTE(E7529,",",""))+1</f>
        <v>4</v>
      </c>
      <c r="K7529" s="3" t="str">
        <f aca="false">IFERROR(INDEX('Teacher Lookup'!$B$2:$B$200,MATCH(A7529,'Teacher Lookup'!$A$2:$A$200,0)),"")</f>
        <v>YIP Michael</v>
      </c>
    </row>
    <row r="7530" customFormat="false" ht="15" hidden="false" customHeight="false" outlineLevel="0" collapsed="false">
      <c r="A7530" s="3" t="s">
        <v>483</v>
      </c>
      <c r="B7530" s="4" t="s">
        <v>44</v>
      </c>
      <c r="C7530" s="4" t="n">
        <v>2</v>
      </c>
      <c r="D7530" s="4" t="s">
        <v>142</v>
      </c>
      <c r="E7530" s="3" t="s">
        <v>144</v>
      </c>
      <c r="F7530" s="4" t="str">
        <f aca="false">IF(I7530&gt;J7530,"Y","N")</f>
        <v>N</v>
      </c>
      <c r="G7530" s="3" t="s">
        <v>15</v>
      </c>
      <c r="H7530" s="3" t="s">
        <v>21</v>
      </c>
      <c r="I7530" s="4" t="n">
        <v>4</v>
      </c>
      <c r="J7530" s="4" t="n">
        <f aca="false">LEN(E7530)-LEN(SUBSTITUTE(E7530,",",""))+1</f>
        <v>4</v>
      </c>
      <c r="K7530" s="3" t="str">
        <f aca="false">IFERROR(INDEX('Teacher Lookup'!$B$2:$B$200,MATCH(A7530,'Teacher Lookup'!$A$2:$A$200,0)),"")</f>
        <v>YIP Michael</v>
      </c>
    </row>
    <row r="7531" customFormat="false" ht="15" hidden="false" customHeight="false" outlineLevel="0" collapsed="false">
      <c r="A7531" s="3" t="s">
        <v>483</v>
      </c>
      <c r="B7531" s="4" t="s">
        <v>44</v>
      </c>
      <c r="C7531" s="4" t="n">
        <v>2</v>
      </c>
      <c r="D7531" s="4" t="s">
        <v>127</v>
      </c>
      <c r="E7531" s="3" t="s">
        <v>144</v>
      </c>
      <c r="F7531" s="4" t="str">
        <f aca="false">IF(I7531&gt;J7531,"Y","N")</f>
        <v>N</v>
      </c>
      <c r="G7531" s="3" t="s">
        <v>15</v>
      </c>
      <c r="H7531" s="3" t="s">
        <v>21</v>
      </c>
      <c r="I7531" s="4" t="n">
        <v>4</v>
      </c>
      <c r="J7531" s="4" t="n">
        <f aca="false">LEN(E7531)-LEN(SUBSTITUTE(E7531,",",""))+1</f>
        <v>4</v>
      </c>
      <c r="K7531" s="3" t="str">
        <f aca="false">IFERROR(INDEX('Teacher Lookup'!$B$2:$B$200,MATCH(A7531,'Teacher Lookup'!$A$2:$A$200,0)),"")</f>
        <v>YIP Michael</v>
      </c>
    </row>
    <row r="7532" customFormat="false" ht="15" hidden="false" customHeight="false" outlineLevel="0" collapsed="false">
      <c r="A7532" s="3" t="s">
        <v>483</v>
      </c>
      <c r="B7532" s="4" t="s">
        <v>44</v>
      </c>
      <c r="C7532" s="4" t="n">
        <v>3</v>
      </c>
      <c r="D7532" s="4" t="s">
        <v>137</v>
      </c>
      <c r="E7532" s="3" t="s">
        <v>208</v>
      </c>
      <c r="F7532" s="4" t="str">
        <f aca="false">IF(I7532&gt;J7532,"Y","N")</f>
        <v>N</v>
      </c>
      <c r="G7532" s="3" t="s">
        <v>15</v>
      </c>
      <c r="H7532" s="3" t="s">
        <v>26</v>
      </c>
      <c r="I7532" s="4" t="n">
        <v>4</v>
      </c>
      <c r="J7532" s="4" t="n">
        <f aca="false">LEN(E7532)-LEN(SUBSTITUTE(E7532,",",""))+1</f>
        <v>4</v>
      </c>
      <c r="K7532" s="3" t="str">
        <f aca="false">IFERROR(INDEX('Teacher Lookup'!$B$2:$B$200,MATCH(A7532,'Teacher Lookup'!$A$2:$A$200,0)),"")</f>
        <v>YIP Michael</v>
      </c>
    </row>
    <row r="7533" customFormat="false" ht="15" hidden="false" customHeight="false" outlineLevel="0" collapsed="false">
      <c r="A7533" s="3" t="s">
        <v>483</v>
      </c>
      <c r="B7533" s="4" t="s">
        <v>44</v>
      </c>
      <c r="C7533" s="4" t="n">
        <v>3</v>
      </c>
      <c r="D7533" s="4" t="s">
        <v>124</v>
      </c>
      <c r="E7533" s="3" t="s">
        <v>208</v>
      </c>
      <c r="F7533" s="4" t="str">
        <f aca="false">IF(I7533&gt;J7533,"Y","N")</f>
        <v>N</v>
      </c>
      <c r="G7533" s="3" t="s">
        <v>15</v>
      </c>
      <c r="H7533" s="3" t="s">
        <v>26</v>
      </c>
      <c r="I7533" s="4" t="n">
        <v>4</v>
      </c>
      <c r="J7533" s="4" t="n">
        <f aca="false">LEN(E7533)-LEN(SUBSTITUTE(E7533,",",""))+1</f>
        <v>4</v>
      </c>
      <c r="K7533" s="3" t="str">
        <f aca="false">IFERROR(INDEX('Teacher Lookup'!$B$2:$B$200,MATCH(A7533,'Teacher Lookup'!$A$2:$A$200,0)),"")</f>
        <v>YIP Michael</v>
      </c>
    </row>
    <row r="7534" customFormat="false" ht="15" hidden="false" customHeight="false" outlineLevel="0" collapsed="false">
      <c r="A7534" s="3" t="s">
        <v>483</v>
      </c>
      <c r="B7534" s="4" t="s">
        <v>44</v>
      </c>
      <c r="C7534" s="4" t="n">
        <v>3</v>
      </c>
      <c r="D7534" s="4" t="s">
        <v>139</v>
      </c>
      <c r="E7534" s="3" t="s">
        <v>208</v>
      </c>
      <c r="F7534" s="4" t="str">
        <f aca="false">IF(I7534&gt;J7534,"Y","N")</f>
        <v>N</v>
      </c>
      <c r="G7534" s="3" t="s">
        <v>15</v>
      </c>
      <c r="H7534" s="3" t="s">
        <v>26</v>
      </c>
      <c r="I7534" s="4" t="n">
        <v>4</v>
      </c>
      <c r="J7534" s="4" t="n">
        <f aca="false">LEN(E7534)-LEN(SUBSTITUTE(E7534,",",""))+1</f>
        <v>4</v>
      </c>
      <c r="K7534" s="3" t="str">
        <f aca="false">IFERROR(INDEX('Teacher Lookup'!$B$2:$B$200,MATCH(A7534,'Teacher Lookup'!$A$2:$A$200,0)),"")</f>
        <v>YIP Michael</v>
      </c>
    </row>
    <row r="7535" customFormat="false" ht="15" hidden="false" customHeight="false" outlineLevel="0" collapsed="false">
      <c r="A7535" s="3" t="s">
        <v>483</v>
      </c>
      <c r="B7535" s="4" t="s">
        <v>44</v>
      </c>
      <c r="C7535" s="4" t="n">
        <v>5</v>
      </c>
      <c r="D7535" s="4" t="s">
        <v>52</v>
      </c>
      <c r="E7535" s="3" t="s">
        <v>112</v>
      </c>
      <c r="F7535" s="4" t="str">
        <f aca="false">IF(I7535&gt;J7535,"Y","N")</f>
        <v>Y</v>
      </c>
      <c r="G7535" s="3" t="s">
        <v>36</v>
      </c>
      <c r="H7535" s="3" t="s">
        <v>37</v>
      </c>
      <c r="I7535" s="4" t="n">
        <v>16</v>
      </c>
      <c r="J7535" s="4" t="n">
        <f aca="false">LEN(E7535)-LEN(SUBSTITUTE(E7535,",",""))+1</f>
        <v>7</v>
      </c>
      <c r="K7535" s="3" t="str">
        <f aca="false">IFERROR(INDEX('Teacher Lookup'!$B$2:$B$200,MATCH(A7535,'Teacher Lookup'!$A$2:$A$200,0)),"")</f>
        <v>YIP Michael</v>
      </c>
    </row>
    <row r="7536" customFormat="false" ht="15" hidden="false" customHeight="false" outlineLevel="0" collapsed="false">
      <c r="A7536" s="3" t="s">
        <v>483</v>
      </c>
      <c r="B7536" s="4" t="s">
        <v>44</v>
      </c>
      <c r="C7536" s="4" t="n">
        <v>5</v>
      </c>
      <c r="D7536" s="4" t="s">
        <v>55</v>
      </c>
      <c r="E7536" s="3" t="s">
        <v>112</v>
      </c>
      <c r="F7536" s="4" t="str">
        <f aca="false">IF(I7536&gt;J7536,"Y","N")</f>
        <v>Y</v>
      </c>
      <c r="G7536" s="3" t="s">
        <v>36</v>
      </c>
      <c r="H7536" s="3" t="s">
        <v>37</v>
      </c>
      <c r="I7536" s="4" t="n">
        <v>16</v>
      </c>
      <c r="J7536" s="4" t="n">
        <f aca="false">LEN(E7536)-LEN(SUBSTITUTE(E7536,",",""))+1</f>
        <v>7</v>
      </c>
      <c r="K7536" s="3" t="str">
        <f aca="false">IFERROR(INDEX('Teacher Lookup'!$B$2:$B$200,MATCH(A7536,'Teacher Lookup'!$A$2:$A$200,0)),"")</f>
        <v>YIP Michael</v>
      </c>
    </row>
    <row r="7537" customFormat="false" ht="15" hidden="false" customHeight="false" outlineLevel="0" collapsed="false">
      <c r="A7537" s="3" t="s">
        <v>483</v>
      </c>
      <c r="B7537" s="4" t="s">
        <v>44</v>
      </c>
      <c r="C7537" s="4" t="n">
        <v>5</v>
      </c>
      <c r="D7537" s="4" t="s">
        <v>56</v>
      </c>
      <c r="E7537" s="3" t="s">
        <v>112</v>
      </c>
      <c r="F7537" s="4" t="str">
        <f aca="false">IF(I7537&gt;J7537,"Y","N")</f>
        <v>Y</v>
      </c>
      <c r="G7537" s="3" t="s">
        <v>36</v>
      </c>
      <c r="H7537" s="3" t="s">
        <v>37</v>
      </c>
      <c r="I7537" s="4" t="n">
        <v>16</v>
      </c>
      <c r="J7537" s="4" t="n">
        <f aca="false">LEN(E7537)-LEN(SUBSTITUTE(E7537,",",""))+1</f>
        <v>7</v>
      </c>
      <c r="K7537" s="3" t="str">
        <f aca="false">IFERROR(INDEX('Teacher Lookup'!$B$2:$B$200,MATCH(A7537,'Teacher Lookup'!$A$2:$A$200,0)),"")</f>
        <v>YIP Michael</v>
      </c>
    </row>
    <row r="7538" customFormat="false" ht="15" hidden="false" customHeight="false" outlineLevel="0" collapsed="false">
      <c r="A7538" s="3" t="s">
        <v>483</v>
      </c>
      <c r="B7538" s="4" t="s">
        <v>44</v>
      </c>
      <c r="C7538" s="4" t="n">
        <v>5</v>
      </c>
      <c r="D7538" s="4" t="s">
        <v>57</v>
      </c>
      <c r="E7538" s="3" t="s">
        <v>112</v>
      </c>
      <c r="F7538" s="4" t="str">
        <f aca="false">IF(I7538&gt;J7538,"Y","N")</f>
        <v>Y</v>
      </c>
      <c r="G7538" s="3" t="s">
        <v>36</v>
      </c>
      <c r="H7538" s="3" t="s">
        <v>37</v>
      </c>
      <c r="I7538" s="4" t="n">
        <v>16</v>
      </c>
      <c r="J7538" s="4" t="n">
        <f aca="false">LEN(E7538)-LEN(SUBSTITUTE(E7538,",",""))+1</f>
        <v>7</v>
      </c>
      <c r="K7538" s="3" t="str">
        <f aca="false">IFERROR(INDEX('Teacher Lookup'!$B$2:$B$200,MATCH(A7538,'Teacher Lookup'!$A$2:$A$200,0)),"")</f>
        <v>YIP Michael</v>
      </c>
    </row>
    <row r="7539" customFormat="false" ht="15" hidden="false" customHeight="false" outlineLevel="0" collapsed="false">
      <c r="A7539" s="3" t="s">
        <v>483</v>
      </c>
      <c r="B7539" s="4" t="s">
        <v>44</v>
      </c>
      <c r="C7539" s="4" t="n">
        <v>5</v>
      </c>
      <c r="D7539" s="4" t="s">
        <v>58</v>
      </c>
      <c r="E7539" s="3" t="s">
        <v>112</v>
      </c>
      <c r="F7539" s="4" t="str">
        <f aca="false">IF(I7539&gt;J7539,"Y","N")</f>
        <v>Y</v>
      </c>
      <c r="G7539" s="3" t="s">
        <v>36</v>
      </c>
      <c r="H7539" s="3" t="s">
        <v>37</v>
      </c>
      <c r="I7539" s="4" t="n">
        <v>16</v>
      </c>
      <c r="J7539" s="4" t="n">
        <f aca="false">LEN(E7539)-LEN(SUBSTITUTE(E7539,",",""))+1</f>
        <v>7</v>
      </c>
      <c r="K7539" s="3" t="str">
        <f aca="false">IFERROR(INDEX('Teacher Lookup'!$B$2:$B$200,MATCH(A7539,'Teacher Lookup'!$A$2:$A$200,0)),"")</f>
        <v>YIP Michael</v>
      </c>
    </row>
    <row r="7540" customFormat="false" ht="15" hidden="false" customHeight="false" outlineLevel="0" collapsed="false">
      <c r="A7540" s="3" t="s">
        <v>483</v>
      </c>
      <c r="B7540" s="4" t="s">
        <v>44</v>
      </c>
      <c r="C7540" s="4" t="n">
        <v>5</v>
      </c>
      <c r="D7540" s="4" t="s">
        <v>59</v>
      </c>
      <c r="E7540" s="3" t="s">
        <v>112</v>
      </c>
      <c r="F7540" s="4" t="str">
        <f aca="false">IF(I7540&gt;J7540,"Y","N")</f>
        <v>Y</v>
      </c>
      <c r="G7540" s="3" t="s">
        <v>36</v>
      </c>
      <c r="H7540" s="3" t="s">
        <v>37</v>
      </c>
      <c r="I7540" s="4" t="n">
        <v>16</v>
      </c>
      <c r="J7540" s="4" t="n">
        <f aca="false">LEN(E7540)-LEN(SUBSTITUTE(E7540,",",""))+1</f>
        <v>7</v>
      </c>
      <c r="K7540" s="3" t="str">
        <f aca="false">IFERROR(INDEX('Teacher Lookup'!$B$2:$B$200,MATCH(A7540,'Teacher Lookup'!$A$2:$A$200,0)),"")</f>
        <v>YIP Michael</v>
      </c>
    </row>
    <row r="7541" customFormat="false" ht="15" hidden="false" customHeight="false" outlineLevel="0" collapsed="false">
      <c r="A7541" s="3" t="s">
        <v>483</v>
      </c>
      <c r="B7541" s="4" t="s">
        <v>47</v>
      </c>
      <c r="C7541" s="4" t="n">
        <v>2</v>
      </c>
      <c r="D7541" s="4" t="s">
        <v>52</v>
      </c>
      <c r="E7541" s="3" t="s">
        <v>306</v>
      </c>
      <c r="F7541" s="4" t="str">
        <f aca="false">IF(I7541&gt;J7541,"Y","N")</f>
        <v>N</v>
      </c>
      <c r="G7541" s="3" t="s">
        <v>15</v>
      </c>
      <c r="H7541" s="3" t="s">
        <v>21</v>
      </c>
      <c r="I7541" s="4" t="n">
        <v>7</v>
      </c>
      <c r="J7541" s="4" t="n">
        <f aca="false">LEN(E7541)-LEN(SUBSTITUTE(E7541,",",""))+1</f>
        <v>7</v>
      </c>
      <c r="K7541" s="3" t="str">
        <f aca="false">IFERROR(INDEX('Teacher Lookup'!$B$2:$B$200,MATCH(A7541,'Teacher Lookup'!$A$2:$A$200,0)),"")</f>
        <v>YIP Michael</v>
      </c>
    </row>
    <row r="7542" customFormat="false" ht="15" hidden="false" customHeight="false" outlineLevel="0" collapsed="false">
      <c r="A7542" s="3" t="s">
        <v>483</v>
      </c>
      <c r="B7542" s="4" t="s">
        <v>47</v>
      </c>
      <c r="C7542" s="4" t="n">
        <v>2</v>
      </c>
      <c r="D7542" s="4" t="s">
        <v>55</v>
      </c>
      <c r="E7542" s="3" t="s">
        <v>306</v>
      </c>
      <c r="F7542" s="4" t="str">
        <f aca="false">IF(I7542&gt;J7542,"Y","N")</f>
        <v>N</v>
      </c>
      <c r="G7542" s="3" t="s">
        <v>15</v>
      </c>
      <c r="H7542" s="3" t="s">
        <v>21</v>
      </c>
      <c r="I7542" s="4" t="n">
        <v>7</v>
      </c>
      <c r="J7542" s="4" t="n">
        <f aca="false">LEN(E7542)-LEN(SUBSTITUTE(E7542,",",""))+1</f>
        <v>7</v>
      </c>
      <c r="K7542" s="3" t="str">
        <f aca="false">IFERROR(INDEX('Teacher Lookup'!$B$2:$B$200,MATCH(A7542,'Teacher Lookup'!$A$2:$A$200,0)),"")</f>
        <v>YIP Michael</v>
      </c>
    </row>
    <row r="7543" customFormat="false" ht="15" hidden="false" customHeight="false" outlineLevel="0" collapsed="false">
      <c r="A7543" s="3" t="s">
        <v>483</v>
      </c>
      <c r="B7543" s="4" t="s">
        <v>47</v>
      </c>
      <c r="C7543" s="4" t="n">
        <v>2</v>
      </c>
      <c r="D7543" s="4" t="s">
        <v>56</v>
      </c>
      <c r="E7543" s="3" t="s">
        <v>306</v>
      </c>
      <c r="F7543" s="4" t="str">
        <f aca="false">IF(I7543&gt;J7543,"Y","N")</f>
        <v>N</v>
      </c>
      <c r="G7543" s="3" t="s">
        <v>15</v>
      </c>
      <c r="H7543" s="3" t="s">
        <v>21</v>
      </c>
      <c r="I7543" s="4" t="n">
        <v>7</v>
      </c>
      <c r="J7543" s="4" t="n">
        <f aca="false">LEN(E7543)-LEN(SUBSTITUTE(E7543,",",""))+1</f>
        <v>7</v>
      </c>
      <c r="K7543" s="3" t="str">
        <f aca="false">IFERROR(INDEX('Teacher Lookup'!$B$2:$B$200,MATCH(A7543,'Teacher Lookup'!$A$2:$A$200,0)),"")</f>
        <v>YIP Michael</v>
      </c>
    </row>
    <row r="7544" customFormat="false" ht="15" hidden="false" customHeight="false" outlineLevel="0" collapsed="false">
      <c r="A7544" s="3" t="s">
        <v>483</v>
      </c>
      <c r="B7544" s="4" t="s">
        <v>47</v>
      </c>
      <c r="C7544" s="4" t="n">
        <v>2</v>
      </c>
      <c r="D7544" s="4" t="s">
        <v>57</v>
      </c>
      <c r="E7544" s="3" t="s">
        <v>306</v>
      </c>
      <c r="F7544" s="4" t="str">
        <f aca="false">IF(I7544&gt;J7544,"Y","N")</f>
        <v>N</v>
      </c>
      <c r="G7544" s="3" t="s">
        <v>15</v>
      </c>
      <c r="H7544" s="3" t="s">
        <v>21</v>
      </c>
      <c r="I7544" s="4" t="n">
        <v>7</v>
      </c>
      <c r="J7544" s="4" t="n">
        <f aca="false">LEN(E7544)-LEN(SUBSTITUTE(E7544,",",""))+1</f>
        <v>7</v>
      </c>
      <c r="K7544" s="3" t="str">
        <f aca="false">IFERROR(INDEX('Teacher Lookup'!$B$2:$B$200,MATCH(A7544,'Teacher Lookup'!$A$2:$A$200,0)),"")</f>
        <v>YIP Michael</v>
      </c>
    </row>
    <row r="7545" customFormat="false" ht="15" hidden="false" customHeight="false" outlineLevel="0" collapsed="false">
      <c r="A7545" s="3" t="s">
        <v>483</v>
      </c>
      <c r="B7545" s="4" t="s">
        <v>47</v>
      </c>
      <c r="C7545" s="4" t="n">
        <v>2</v>
      </c>
      <c r="D7545" s="4" t="s">
        <v>58</v>
      </c>
      <c r="E7545" s="3" t="s">
        <v>306</v>
      </c>
      <c r="F7545" s="4" t="str">
        <f aca="false">IF(I7545&gt;J7545,"Y","N")</f>
        <v>N</v>
      </c>
      <c r="G7545" s="3" t="s">
        <v>15</v>
      </c>
      <c r="H7545" s="3" t="s">
        <v>21</v>
      </c>
      <c r="I7545" s="4" t="n">
        <v>7</v>
      </c>
      <c r="J7545" s="4" t="n">
        <f aca="false">LEN(E7545)-LEN(SUBSTITUTE(E7545,",",""))+1</f>
        <v>7</v>
      </c>
      <c r="K7545" s="3" t="str">
        <f aca="false">IFERROR(INDEX('Teacher Lookup'!$B$2:$B$200,MATCH(A7545,'Teacher Lookup'!$A$2:$A$200,0)),"")</f>
        <v>YIP Michael</v>
      </c>
    </row>
    <row r="7546" customFormat="false" ht="15" hidden="false" customHeight="false" outlineLevel="0" collapsed="false">
      <c r="A7546" s="3" t="s">
        <v>483</v>
      </c>
      <c r="B7546" s="4" t="s">
        <v>47</v>
      </c>
      <c r="C7546" s="4" t="n">
        <v>2</v>
      </c>
      <c r="D7546" s="4" t="s">
        <v>59</v>
      </c>
      <c r="E7546" s="3" t="s">
        <v>306</v>
      </c>
      <c r="F7546" s="4" t="str">
        <f aca="false">IF(I7546&gt;J7546,"Y","N")</f>
        <v>N</v>
      </c>
      <c r="G7546" s="3" t="s">
        <v>15</v>
      </c>
      <c r="H7546" s="3" t="s">
        <v>21</v>
      </c>
      <c r="I7546" s="4" t="n">
        <v>7</v>
      </c>
      <c r="J7546" s="4" t="n">
        <f aca="false">LEN(E7546)-LEN(SUBSTITUTE(E7546,",",""))+1</f>
        <v>7</v>
      </c>
      <c r="K7546" s="3" t="str">
        <f aca="false">IFERROR(INDEX('Teacher Lookup'!$B$2:$B$200,MATCH(A7546,'Teacher Lookup'!$A$2:$A$200,0)),"")</f>
        <v>YIP Michael</v>
      </c>
    </row>
    <row r="7547" customFormat="false" ht="15" hidden="false" customHeight="false" outlineLevel="0" collapsed="false">
      <c r="A7547" s="3" t="s">
        <v>483</v>
      </c>
      <c r="B7547" s="4" t="s">
        <v>47</v>
      </c>
      <c r="C7547" s="4" t="n">
        <v>5</v>
      </c>
      <c r="D7547" s="4" t="s">
        <v>140</v>
      </c>
      <c r="E7547" s="3" t="s">
        <v>210</v>
      </c>
      <c r="F7547" s="4" t="str">
        <f aca="false">IF(I7547&gt;J7547,"Y","N")</f>
        <v>N</v>
      </c>
      <c r="G7547" s="3" t="s">
        <v>15</v>
      </c>
      <c r="H7547" s="3" t="s">
        <v>37</v>
      </c>
      <c r="I7547" s="4" t="n">
        <v>4</v>
      </c>
      <c r="J7547" s="4" t="n">
        <f aca="false">LEN(E7547)-LEN(SUBSTITUTE(E7547,",",""))+1</f>
        <v>4</v>
      </c>
      <c r="K7547" s="3" t="str">
        <f aca="false">IFERROR(INDEX('Teacher Lookup'!$B$2:$B$200,MATCH(A7547,'Teacher Lookup'!$A$2:$A$200,0)),"")</f>
        <v>YIP Michael</v>
      </c>
    </row>
    <row r="7548" customFormat="false" ht="15" hidden="false" customHeight="false" outlineLevel="0" collapsed="false">
      <c r="A7548" s="3" t="s">
        <v>483</v>
      </c>
      <c r="B7548" s="4" t="s">
        <v>47</v>
      </c>
      <c r="C7548" s="4" t="n">
        <v>5</v>
      </c>
      <c r="D7548" s="4" t="s">
        <v>142</v>
      </c>
      <c r="E7548" s="3" t="s">
        <v>210</v>
      </c>
      <c r="F7548" s="4" t="str">
        <f aca="false">IF(I7548&gt;J7548,"Y","N")</f>
        <v>N</v>
      </c>
      <c r="G7548" s="3" t="s">
        <v>15</v>
      </c>
      <c r="H7548" s="3" t="s">
        <v>37</v>
      </c>
      <c r="I7548" s="4" t="n">
        <v>4</v>
      </c>
      <c r="J7548" s="4" t="n">
        <f aca="false">LEN(E7548)-LEN(SUBSTITUTE(E7548,",",""))+1</f>
        <v>4</v>
      </c>
      <c r="K7548" s="3" t="str">
        <f aca="false">IFERROR(INDEX('Teacher Lookup'!$B$2:$B$200,MATCH(A7548,'Teacher Lookup'!$A$2:$A$200,0)),"")</f>
        <v>YIP Michael</v>
      </c>
    </row>
    <row r="7549" customFormat="false" ht="15" hidden="false" customHeight="false" outlineLevel="0" collapsed="false">
      <c r="A7549" s="3" t="s">
        <v>483</v>
      </c>
      <c r="B7549" s="4" t="s">
        <v>47</v>
      </c>
      <c r="C7549" s="4" t="n">
        <v>5</v>
      </c>
      <c r="D7549" s="4" t="s">
        <v>127</v>
      </c>
      <c r="E7549" s="3" t="s">
        <v>210</v>
      </c>
      <c r="F7549" s="4" t="str">
        <f aca="false">IF(I7549&gt;J7549,"Y","N")</f>
        <v>N</v>
      </c>
      <c r="G7549" s="3" t="s">
        <v>15</v>
      </c>
      <c r="H7549" s="3" t="s">
        <v>37</v>
      </c>
      <c r="I7549" s="4" t="n">
        <v>4</v>
      </c>
      <c r="J7549" s="4" t="n">
        <f aca="false">LEN(E7549)-LEN(SUBSTITUTE(E7549,",",""))+1</f>
        <v>4</v>
      </c>
      <c r="K7549" s="3" t="str">
        <f aca="false">IFERROR(INDEX('Teacher Lookup'!$B$2:$B$200,MATCH(A7549,'Teacher Lookup'!$A$2:$A$200,0)),"")</f>
        <v>YIP Michael</v>
      </c>
    </row>
    <row r="7550" customFormat="false" ht="15" hidden="false" customHeight="false" outlineLevel="0" collapsed="false">
      <c r="A7550" s="3" t="s">
        <v>483</v>
      </c>
      <c r="B7550" s="4" t="s">
        <v>47</v>
      </c>
      <c r="C7550" s="4" t="n">
        <v>7</v>
      </c>
      <c r="D7550" s="4" t="s">
        <v>137</v>
      </c>
      <c r="E7550" s="3" t="s">
        <v>154</v>
      </c>
      <c r="F7550" s="4" t="str">
        <f aca="false">IF(I7550&gt;J7550,"Y","N")</f>
        <v>N</v>
      </c>
      <c r="G7550" s="3" t="s">
        <v>15</v>
      </c>
      <c r="H7550" s="3" t="s">
        <v>39</v>
      </c>
      <c r="I7550" s="4" t="n">
        <v>4</v>
      </c>
      <c r="J7550" s="4" t="n">
        <f aca="false">LEN(E7550)-LEN(SUBSTITUTE(E7550,",",""))+1</f>
        <v>4</v>
      </c>
      <c r="K7550" s="3" t="str">
        <f aca="false">IFERROR(INDEX('Teacher Lookup'!$B$2:$B$200,MATCH(A7550,'Teacher Lookup'!$A$2:$A$200,0)),"")</f>
        <v>YIP Michael</v>
      </c>
    </row>
    <row r="7551" customFormat="false" ht="15" hidden="false" customHeight="false" outlineLevel="0" collapsed="false">
      <c r="A7551" s="3" t="s">
        <v>483</v>
      </c>
      <c r="B7551" s="4" t="s">
        <v>47</v>
      </c>
      <c r="C7551" s="4" t="n">
        <v>7</v>
      </c>
      <c r="D7551" s="4" t="s">
        <v>124</v>
      </c>
      <c r="E7551" s="3" t="s">
        <v>154</v>
      </c>
      <c r="F7551" s="4" t="str">
        <f aca="false">IF(I7551&gt;J7551,"Y","N")</f>
        <v>N</v>
      </c>
      <c r="G7551" s="3" t="s">
        <v>15</v>
      </c>
      <c r="H7551" s="3" t="s">
        <v>39</v>
      </c>
      <c r="I7551" s="4" t="n">
        <v>4</v>
      </c>
      <c r="J7551" s="4" t="n">
        <f aca="false">LEN(E7551)-LEN(SUBSTITUTE(E7551,",",""))+1</f>
        <v>4</v>
      </c>
      <c r="K7551" s="3" t="str">
        <f aca="false">IFERROR(INDEX('Teacher Lookup'!$B$2:$B$200,MATCH(A7551,'Teacher Lookup'!$A$2:$A$200,0)),"")</f>
        <v>YIP Michael</v>
      </c>
    </row>
    <row r="7552" customFormat="false" ht="15" hidden="false" customHeight="false" outlineLevel="0" collapsed="false">
      <c r="A7552" s="3" t="s">
        <v>483</v>
      </c>
      <c r="B7552" s="4" t="s">
        <v>47</v>
      </c>
      <c r="C7552" s="4" t="n">
        <v>7</v>
      </c>
      <c r="D7552" s="4" t="s">
        <v>139</v>
      </c>
      <c r="E7552" s="3" t="s">
        <v>154</v>
      </c>
      <c r="F7552" s="4" t="str">
        <f aca="false">IF(I7552&gt;J7552,"Y","N")</f>
        <v>N</v>
      </c>
      <c r="G7552" s="3" t="s">
        <v>15</v>
      </c>
      <c r="H7552" s="3" t="s">
        <v>39</v>
      </c>
      <c r="I7552" s="4" t="n">
        <v>4</v>
      </c>
      <c r="J7552" s="4" t="n">
        <f aca="false">LEN(E7552)-LEN(SUBSTITUTE(E7552,",",""))+1</f>
        <v>4</v>
      </c>
      <c r="K7552" s="3" t="str">
        <f aca="false">IFERROR(INDEX('Teacher Lookup'!$B$2:$B$200,MATCH(A7552,'Teacher Lookup'!$A$2:$A$200,0)),"")</f>
        <v>YIP Michael</v>
      </c>
    </row>
    <row r="7553" customFormat="false" ht="15" hidden="false" customHeight="false" outlineLevel="0" collapsed="false">
      <c r="A7553" s="3" t="s">
        <v>483</v>
      </c>
      <c r="B7553" s="4" t="s">
        <v>50</v>
      </c>
      <c r="C7553" s="4" t="n">
        <v>1</v>
      </c>
      <c r="D7553" s="4" t="s">
        <v>140</v>
      </c>
      <c r="E7553" s="3" t="s">
        <v>211</v>
      </c>
      <c r="F7553" s="4" t="str">
        <f aca="false">IF(I7553&gt;J7553,"Y","N")</f>
        <v>N</v>
      </c>
      <c r="G7553" s="3" t="s">
        <v>15</v>
      </c>
      <c r="H7553" s="3" t="s">
        <v>16</v>
      </c>
      <c r="I7553" s="4" t="n">
        <v>4</v>
      </c>
      <c r="J7553" s="4" t="n">
        <f aca="false">LEN(E7553)-LEN(SUBSTITUTE(E7553,",",""))+1</f>
        <v>4</v>
      </c>
      <c r="K7553" s="3" t="str">
        <f aca="false">IFERROR(INDEX('Teacher Lookup'!$B$2:$B$200,MATCH(A7553,'Teacher Lookup'!$A$2:$A$200,0)),"")</f>
        <v>YIP Michael</v>
      </c>
    </row>
    <row r="7554" customFormat="false" ht="15" hidden="false" customHeight="false" outlineLevel="0" collapsed="false">
      <c r="A7554" s="3" t="s">
        <v>483</v>
      </c>
      <c r="B7554" s="4" t="s">
        <v>50</v>
      </c>
      <c r="C7554" s="4" t="n">
        <v>1</v>
      </c>
      <c r="D7554" s="4" t="s">
        <v>142</v>
      </c>
      <c r="E7554" s="3" t="s">
        <v>211</v>
      </c>
      <c r="F7554" s="4" t="str">
        <f aca="false">IF(I7554&gt;J7554,"Y","N")</f>
        <v>N</v>
      </c>
      <c r="G7554" s="3" t="s">
        <v>15</v>
      </c>
      <c r="H7554" s="3" t="s">
        <v>16</v>
      </c>
      <c r="I7554" s="4" t="n">
        <v>4</v>
      </c>
      <c r="J7554" s="4" t="n">
        <f aca="false">LEN(E7554)-LEN(SUBSTITUTE(E7554,",",""))+1</f>
        <v>4</v>
      </c>
      <c r="K7554" s="3" t="str">
        <f aca="false">IFERROR(INDEX('Teacher Lookup'!$B$2:$B$200,MATCH(A7554,'Teacher Lookup'!$A$2:$A$200,0)),"")</f>
        <v>YIP Michael</v>
      </c>
    </row>
    <row r="7555" customFormat="false" ht="15" hidden="false" customHeight="false" outlineLevel="0" collapsed="false">
      <c r="A7555" s="3" t="s">
        <v>483</v>
      </c>
      <c r="B7555" s="4" t="s">
        <v>50</v>
      </c>
      <c r="C7555" s="4" t="n">
        <v>1</v>
      </c>
      <c r="D7555" s="4" t="s">
        <v>127</v>
      </c>
      <c r="E7555" s="3" t="s">
        <v>211</v>
      </c>
      <c r="F7555" s="4" t="str">
        <f aca="false">IF(I7555&gt;J7555,"Y","N")</f>
        <v>N</v>
      </c>
      <c r="G7555" s="3" t="s">
        <v>15</v>
      </c>
      <c r="H7555" s="3" t="s">
        <v>16</v>
      </c>
      <c r="I7555" s="4" t="n">
        <v>4</v>
      </c>
      <c r="J7555" s="4" t="n">
        <f aca="false">LEN(E7555)-LEN(SUBSTITUTE(E7555,",",""))+1</f>
        <v>4</v>
      </c>
      <c r="K7555" s="3" t="str">
        <f aca="false">IFERROR(INDEX('Teacher Lookup'!$B$2:$B$200,MATCH(A7555,'Teacher Lookup'!$A$2:$A$200,0)),"")</f>
        <v>YIP Michael</v>
      </c>
    </row>
    <row r="7556" customFormat="false" ht="15" hidden="false" customHeight="false" outlineLevel="0" collapsed="false">
      <c r="A7556" s="3" t="s">
        <v>483</v>
      </c>
      <c r="B7556" s="4" t="s">
        <v>50</v>
      </c>
      <c r="C7556" s="4" t="n">
        <v>2</v>
      </c>
      <c r="D7556" s="4" t="s">
        <v>52</v>
      </c>
      <c r="E7556" s="3" t="s">
        <v>307</v>
      </c>
      <c r="F7556" s="4" t="str">
        <f aca="false">IF(I7556&gt;J7556,"Y","N")</f>
        <v>N</v>
      </c>
      <c r="G7556" s="3" t="s">
        <v>15</v>
      </c>
      <c r="H7556" s="3" t="s">
        <v>21</v>
      </c>
      <c r="I7556" s="4" t="n">
        <v>7</v>
      </c>
      <c r="J7556" s="4" t="n">
        <f aca="false">LEN(E7556)-LEN(SUBSTITUTE(E7556,",",""))+1</f>
        <v>7</v>
      </c>
      <c r="K7556" s="3" t="str">
        <f aca="false">IFERROR(INDEX('Teacher Lookup'!$B$2:$B$200,MATCH(A7556,'Teacher Lookup'!$A$2:$A$200,0)),"")</f>
        <v>YIP Michael</v>
      </c>
    </row>
    <row r="7557" customFormat="false" ht="15" hidden="false" customHeight="false" outlineLevel="0" collapsed="false">
      <c r="A7557" s="3" t="s">
        <v>483</v>
      </c>
      <c r="B7557" s="4" t="s">
        <v>50</v>
      </c>
      <c r="C7557" s="4" t="n">
        <v>2</v>
      </c>
      <c r="D7557" s="4" t="s">
        <v>55</v>
      </c>
      <c r="E7557" s="3" t="s">
        <v>307</v>
      </c>
      <c r="F7557" s="4" t="str">
        <f aca="false">IF(I7557&gt;J7557,"Y","N")</f>
        <v>N</v>
      </c>
      <c r="G7557" s="3" t="s">
        <v>15</v>
      </c>
      <c r="H7557" s="3" t="s">
        <v>21</v>
      </c>
      <c r="I7557" s="4" t="n">
        <v>7</v>
      </c>
      <c r="J7557" s="4" t="n">
        <f aca="false">LEN(E7557)-LEN(SUBSTITUTE(E7557,",",""))+1</f>
        <v>7</v>
      </c>
      <c r="K7557" s="3" t="str">
        <f aca="false">IFERROR(INDEX('Teacher Lookup'!$B$2:$B$200,MATCH(A7557,'Teacher Lookup'!$A$2:$A$200,0)),"")</f>
        <v>YIP Michael</v>
      </c>
    </row>
    <row r="7558" customFormat="false" ht="15" hidden="false" customHeight="false" outlineLevel="0" collapsed="false">
      <c r="A7558" s="3" t="s">
        <v>483</v>
      </c>
      <c r="B7558" s="4" t="s">
        <v>50</v>
      </c>
      <c r="C7558" s="4" t="n">
        <v>2</v>
      </c>
      <c r="D7558" s="4" t="s">
        <v>56</v>
      </c>
      <c r="E7558" s="3" t="s">
        <v>307</v>
      </c>
      <c r="F7558" s="4" t="str">
        <f aca="false">IF(I7558&gt;J7558,"Y","N")</f>
        <v>N</v>
      </c>
      <c r="G7558" s="3" t="s">
        <v>15</v>
      </c>
      <c r="H7558" s="3" t="s">
        <v>21</v>
      </c>
      <c r="I7558" s="4" t="n">
        <v>7</v>
      </c>
      <c r="J7558" s="4" t="n">
        <f aca="false">LEN(E7558)-LEN(SUBSTITUTE(E7558,",",""))+1</f>
        <v>7</v>
      </c>
      <c r="K7558" s="3" t="str">
        <f aca="false">IFERROR(INDEX('Teacher Lookup'!$B$2:$B$200,MATCH(A7558,'Teacher Lookup'!$A$2:$A$200,0)),"")</f>
        <v>YIP Michael</v>
      </c>
    </row>
    <row r="7559" customFormat="false" ht="15" hidden="false" customHeight="false" outlineLevel="0" collapsed="false">
      <c r="A7559" s="3" t="s">
        <v>483</v>
      </c>
      <c r="B7559" s="4" t="s">
        <v>50</v>
      </c>
      <c r="C7559" s="4" t="n">
        <v>2</v>
      </c>
      <c r="D7559" s="4" t="s">
        <v>57</v>
      </c>
      <c r="E7559" s="3" t="s">
        <v>307</v>
      </c>
      <c r="F7559" s="4" t="str">
        <f aca="false">IF(I7559&gt;J7559,"Y","N")</f>
        <v>N</v>
      </c>
      <c r="G7559" s="3" t="s">
        <v>15</v>
      </c>
      <c r="H7559" s="3" t="s">
        <v>21</v>
      </c>
      <c r="I7559" s="4" t="n">
        <v>7</v>
      </c>
      <c r="J7559" s="4" t="n">
        <f aca="false">LEN(E7559)-LEN(SUBSTITUTE(E7559,",",""))+1</f>
        <v>7</v>
      </c>
      <c r="K7559" s="3" t="str">
        <f aca="false">IFERROR(INDEX('Teacher Lookup'!$B$2:$B$200,MATCH(A7559,'Teacher Lookup'!$A$2:$A$200,0)),"")</f>
        <v>YIP Michael</v>
      </c>
    </row>
    <row r="7560" customFormat="false" ht="15" hidden="false" customHeight="false" outlineLevel="0" collapsed="false">
      <c r="A7560" s="3" t="s">
        <v>483</v>
      </c>
      <c r="B7560" s="4" t="s">
        <v>50</v>
      </c>
      <c r="C7560" s="4" t="n">
        <v>2</v>
      </c>
      <c r="D7560" s="4" t="s">
        <v>58</v>
      </c>
      <c r="E7560" s="3" t="s">
        <v>307</v>
      </c>
      <c r="F7560" s="4" t="str">
        <f aca="false">IF(I7560&gt;J7560,"Y","N")</f>
        <v>N</v>
      </c>
      <c r="G7560" s="3" t="s">
        <v>15</v>
      </c>
      <c r="H7560" s="3" t="s">
        <v>21</v>
      </c>
      <c r="I7560" s="4" t="n">
        <v>7</v>
      </c>
      <c r="J7560" s="4" t="n">
        <f aca="false">LEN(E7560)-LEN(SUBSTITUTE(E7560,",",""))+1</f>
        <v>7</v>
      </c>
      <c r="K7560" s="3" t="str">
        <f aca="false">IFERROR(INDEX('Teacher Lookup'!$B$2:$B$200,MATCH(A7560,'Teacher Lookup'!$A$2:$A$200,0)),"")</f>
        <v>YIP Michael</v>
      </c>
    </row>
    <row r="7561" customFormat="false" ht="15" hidden="false" customHeight="false" outlineLevel="0" collapsed="false">
      <c r="A7561" s="3" t="s">
        <v>483</v>
      </c>
      <c r="B7561" s="4" t="s">
        <v>50</v>
      </c>
      <c r="C7561" s="4" t="n">
        <v>2</v>
      </c>
      <c r="D7561" s="4" t="s">
        <v>59</v>
      </c>
      <c r="E7561" s="3" t="s">
        <v>307</v>
      </c>
      <c r="F7561" s="4" t="str">
        <f aca="false">IF(I7561&gt;J7561,"Y","N")</f>
        <v>N</v>
      </c>
      <c r="G7561" s="3" t="s">
        <v>15</v>
      </c>
      <c r="H7561" s="3" t="s">
        <v>21</v>
      </c>
      <c r="I7561" s="4" t="n">
        <v>7</v>
      </c>
      <c r="J7561" s="4" t="n">
        <f aca="false">LEN(E7561)-LEN(SUBSTITUTE(E7561,",",""))+1</f>
        <v>7</v>
      </c>
      <c r="K7561" s="3" t="str">
        <f aca="false">IFERROR(INDEX('Teacher Lookup'!$B$2:$B$200,MATCH(A7561,'Teacher Lookup'!$A$2:$A$200,0)),"")</f>
        <v>YIP Michael</v>
      </c>
    </row>
    <row r="7562" customFormat="false" ht="15" hidden="false" customHeight="false" outlineLevel="0" collapsed="false">
      <c r="A7562" s="3" t="s">
        <v>483</v>
      </c>
      <c r="B7562" s="4" t="s">
        <v>50</v>
      </c>
      <c r="C7562" s="4" t="n">
        <v>3</v>
      </c>
      <c r="D7562" s="4" t="s">
        <v>137</v>
      </c>
      <c r="E7562" s="3" t="s">
        <v>212</v>
      </c>
      <c r="F7562" s="4" t="str">
        <f aca="false">IF(I7562&gt;J7562,"Y","N")</f>
        <v>N</v>
      </c>
      <c r="G7562" s="3" t="s">
        <v>15</v>
      </c>
      <c r="H7562" s="3" t="s">
        <v>26</v>
      </c>
      <c r="I7562" s="4" t="n">
        <v>4</v>
      </c>
      <c r="J7562" s="4" t="n">
        <f aca="false">LEN(E7562)-LEN(SUBSTITUTE(E7562,",",""))+1</f>
        <v>4</v>
      </c>
      <c r="K7562" s="3" t="str">
        <f aca="false">IFERROR(INDEX('Teacher Lookup'!$B$2:$B$200,MATCH(A7562,'Teacher Lookup'!$A$2:$A$200,0)),"")</f>
        <v>YIP Michael</v>
      </c>
    </row>
    <row r="7563" customFormat="false" ht="15" hidden="false" customHeight="false" outlineLevel="0" collapsed="false">
      <c r="A7563" s="3" t="s">
        <v>483</v>
      </c>
      <c r="B7563" s="4" t="s">
        <v>50</v>
      </c>
      <c r="C7563" s="4" t="n">
        <v>3</v>
      </c>
      <c r="D7563" s="4" t="s">
        <v>124</v>
      </c>
      <c r="E7563" s="3" t="s">
        <v>212</v>
      </c>
      <c r="F7563" s="4" t="str">
        <f aca="false">IF(I7563&gt;J7563,"Y","N")</f>
        <v>N</v>
      </c>
      <c r="G7563" s="3" t="s">
        <v>15</v>
      </c>
      <c r="H7563" s="3" t="s">
        <v>26</v>
      </c>
      <c r="I7563" s="4" t="n">
        <v>4</v>
      </c>
      <c r="J7563" s="4" t="n">
        <f aca="false">LEN(E7563)-LEN(SUBSTITUTE(E7563,",",""))+1</f>
        <v>4</v>
      </c>
      <c r="K7563" s="3" t="str">
        <f aca="false">IFERROR(INDEX('Teacher Lookup'!$B$2:$B$200,MATCH(A7563,'Teacher Lookup'!$A$2:$A$200,0)),"")</f>
        <v>YIP Michael</v>
      </c>
    </row>
    <row r="7564" customFormat="false" ht="15" hidden="false" customHeight="false" outlineLevel="0" collapsed="false">
      <c r="A7564" s="3" t="s">
        <v>483</v>
      </c>
      <c r="B7564" s="4" t="s">
        <v>50</v>
      </c>
      <c r="C7564" s="4" t="n">
        <v>3</v>
      </c>
      <c r="D7564" s="4" t="s">
        <v>139</v>
      </c>
      <c r="E7564" s="3" t="s">
        <v>212</v>
      </c>
      <c r="F7564" s="4" t="str">
        <f aca="false">IF(I7564&gt;J7564,"Y","N")</f>
        <v>N</v>
      </c>
      <c r="G7564" s="3" t="s">
        <v>15</v>
      </c>
      <c r="H7564" s="3" t="s">
        <v>26</v>
      </c>
      <c r="I7564" s="4" t="n">
        <v>4</v>
      </c>
      <c r="J7564" s="4" t="n">
        <f aca="false">LEN(E7564)-LEN(SUBSTITUTE(E7564,",",""))+1</f>
        <v>4</v>
      </c>
      <c r="K7564" s="3" t="str">
        <f aca="false">IFERROR(INDEX('Teacher Lookup'!$B$2:$B$200,MATCH(A7564,'Teacher Lookup'!$A$2:$A$200,0)),"")</f>
        <v>YIP Michael</v>
      </c>
    </row>
    <row r="7565" customFormat="false" ht="15" hidden="false" customHeight="false" outlineLevel="0" collapsed="false">
      <c r="A7565" s="3" t="s">
        <v>483</v>
      </c>
      <c r="B7565" s="4" t="s">
        <v>60</v>
      </c>
      <c r="C7565" s="4" t="n">
        <v>2</v>
      </c>
      <c r="D7565" s="4" t="s">
        <v>140</v>
      </c>
      <c r="E7565" s="3" t="s">
        <v>144</v>
      </c>
      <c r="F7565" s="4" t="str">
        <f aca="false">IF(I7565&gt;J7565,"Y","N")</f>
        <v>N</v>
      </c>
      <c r="G7565" s="3" t="s">
        <v>15</v>
      </c>
      <c r="H7565" s="3" t="s">
        <v>21</v>
      </c>
      <c r="I7565" s="4" t="n">
        <v>4</v>
      </c>
      <c r="J7565" s="4" t="n">
        <f aca="false">LEN(E7565)-LEN(SUBSTITUTE(E7565,",",""))+1</f>
        <v>4</v>
      </c>
      <c r="K7565" s="3" t="str">
        <f aca="false">IFERROR(INDEX('Teacher Lookup'!$B$2:$B$200,MATCH(A7565,'Teacher Lookup'!$A$2:$A$200,0)),"")</f>
        <v>YIP Michael</v>
      </c>
    </row>
    <row r="7566" customFormat="false" ht="15" hidden="false" customHeight="false" outlineLevel="0" collapsed="false">
      <c r="A7566" s="3" t="s">
        <v>483</v>
      </c>
      <c r="B7566" s="4" t="s">
        <v>60</v>
      </c>
      <c r="C7566" s="4" t="n">
        <v>2</v>
      </c>
      <c r="D7566" s="4" t="s">
        <v>142</v>
      </c>
      <c r="E7566" s="3" t="s">
        <v>144</v>
      </c>
      <c r="F7566" s="4" t="str">
        <f aca="false">IF(I7566&gt;J7566,"Y","N")</f>
        <v>N</v>
      </c>
      <c r="G7566" s="3" t="s">
        <v>15</v>
      </c>
      <c r="H7566" s="3" t="s">
        <v>21</v>
      </c>
      <c r="I7566" s="4" t="n">
        <v>4</v>
      </c>
      <c r="J7566" s="4" t="n">
        <f aca="false">LEN(E7566)-LEN(SUBSTITUTE(E7566,",",""))+1</f>
        <v>4</v>
      </c>
      <c r="K7566" s="3" t="str">
        <f aca="false">IFERROR(INDEX('Teacher Lookup'!$B$2:$B$200,MATCH(A7566,'Teacher Lookup'!$A$2:$A$200,0)),"")</f>
        <v>YIP Michael</v>
      </c>
    </row>
    <row r="7567" customFormat="false" ht="15" hidden="false" customHeight="false" outlineLevel="0" collapsed="false">
      <c r="A7567" s="3" t="s">
        <v>483</v>
      </c>
      <c r="B7567" s="4" t="s">
        <v>60</v>
      </c>
      <c r="C7567" s="4" t="n">
        <v>2</v>
      </c>
      <c r="D7567" s="4" t="s">
        <v>127</v>
      </c>
      <c r="E7567" s="3" t="s">
        <v>144</v>
      </c>
      <c r="F7567" s="4" t="str">
        <f aca="false">IF(I7567&gt;J7567,"Y","N")</f>
        <v>N</v>
      </c>
      <c r="G7567" s="3" t="s">
        <v>15</v>
      </c>
      <c r="H7567" s="3" t="s">
        <v>21</v>
      </c>
      <c r="I7567" s="4" t="n">
        <v>4</v>
      </c>
      <c r="J7567" s="4" t="n">
        <f aca="false">LEN(E7567)-LEN(SUBSTITUTE(E7567,",",""))+1</f>
        <v>4</v>
      </c>
      <c r="K7567" s="3" t="str">
        <f aca="false">IFERROR(INDEX('Teacher Lookup'!$B$2:$B$200,MATCH(A7567,'Teacher Lookup'!$A$2:$A$200,0)),"")</f>
        <v>YIP Michael</v>
      </c>
    </row>
    <row r="7568" customFormat="false" ht="15" hidden="false" customHeight="false" outlineLevel="0" collapsed="false">
      <c r="A7568" s="3" t="s">
        <v>483</v>
      </c>
      <c r="B7568" s="4" t="s">
        <v>60</v>
      </c>
      <c r="C7568" s="4" t="n">
        <v>3</v>
      </c>
      <c r="D7568" s="4" t="s">
        <v>52</v>
      </c>
      <c r="E7568" s="3" t="s">
        <v>306</v>
      </c>
      <c r="F7568" s="4" t="str">
        <f aca="false">IF(I7568&gt;J7568,"Y","N")</f>
        <v>N</v>
      </c>
      <c r="G7568" s="3" t="s">
        <v>15</v>
      </c>
      <c r="H7568" s="3" t="s">
        <v>26</v>
      </c>
      <c r="I7568" s="4" t="n">
        <v>7</v>
      </c>
      <c r="J7568" s="4" t="n">
        <f aca="false">LEN(E7568)-LEN(SUBSTITUTE(E7568,",",""))+1</f>
        <v>7</v>
      </c>
      <c r="K7568" s="3" t="str">
        <f aca="false">IFERROR(INDEX('Teacher Lookup'!$B$2:$B$200,MATCH(A7568,'Teacher Lookup'!$A$2:$A$200,0)),"")</f>
        <v>YIP Michael</v>
      </c>
    </row>
    <row r="7569" customFormat="false" ht="15" hidden="false" customHeight="false" outlineLevel="0" collapsed="false">
      <c r="A7569" s="3" t="s">
        <v>483</v>
      </c>
      <c r="B7569" s="4" t="s">
        <v>60</v>
      </c>
      <c r="C7569" s="4" t="n">
        <v>3</v>
      </c>
      <c r="D7569" s="4" t="s">
        <v>55</v>
      </c>
      <c r="E7569" s="3" t="s">
        <v>306</v>
      </c>
      <c r="F7569" s="4" t="str">
        <f aca="false">IF(I7569&gt;J7569,"Y","N")</f>
        <v>N</v>
      </c>
      <c r="G7569" s="3" t="s">
        <v>15</v>
      </c>
      <c r="H7569" s="3" t="s">
        <v>26</v>
      </c>
      <c r="I7569" s="4" t="n">
        <v>7</v>
      </c>
      <c r="J7569" s="4" t="n">
        <f aca="false">LEN(E7569)-LEN(SUBSTITUTE(E7569,",",""))+1</f>
        <v>7</v>
      </c>
      <c r="K7569" s="3" t="str">
        <f aca="false">IFERROR(INDEX('Teacher Lookup'!$B$2:$B$200,MATCH(A7569,'Teacher Lookup'!$A$2:$A$200,0)),"")</f>
        <v>YIP Michael</v>
      </c>
    </row>
    <row r="7570" customFormat="false" ht="15" hidden="false" customHeight="false" outlineLevel="0" collapsed="false">
      <c r="A7570" s="3" t="s">
        <v>483</v>
      </c>
      <c r="B7570" s="4" t="s">
        <v>60</v>
      </c>
      <c r="C7570" s="4" t="n">
        <v>3</v>
      </c>
      <c r="D7570" s="4" t="s">
        <v>56</v>
      </c>
      <c r="E7570" s="3" t="s">
        <v>306</v>
      </c>
      <c r="F7570" s="4" t="str">
        <f aca="false">IF(I7570&gt;J7570,"Y","N")</f>
        <v>N</v>
      </c>
      <c r="G7570" s="3" t="s">
        <v>15</v>
      </c>
      <c r="H7570" s="3" t="s">
        <v>26</v>
      </c>
      <c r="I7570" s="4" t="n">
        <v>7</v>
      </c>
      <c r="J7570" s="4" t="n">
        <f aca="false">LEN(E7570)-LEN(SUBSTITUTE(E7570,",",""))+1</f>
        <v>7</v>
      </c>
      <c r="K7570" s="3" t="str">
        <f aca="false">IFERROR(INDEX('Teacher Lookup'!$B$2:$B$200,MATCH(A7570,'Teacher Lookup'!$A$2:$A$200,0)),"")</f>
        <v>YIP Michael</v>
      </c>
    </row>
    <row r="7571" customFormat="false" ht="15" hidden="false" customHeight="false" outlineLevel="0" collapsed="false">
      <c r="A7571" s="3" t="s">
        <v>483</v>
      </c>
      <c r="B7571" s="4" t="s">
        <v>60</v>
      </c>
      <c r="C7571" s="4" t="n">
        <v>3</v>
      </c>
      <c r="D7571" s="4" t="s">
        <v>57</v>
      </c>
      <c r="E7571" s="3" t="s">
        <v>306</v>
      </c>
      <c r="F7571" s="4" t="str">
        <f aca="false">IF(I7571&gt;J7571,"Y","N")</f>
        <v>N</v>
      </c>
      <c r="G7571" s="3" t="s">
        <v>15</v>
      </c>
      <c r="H7571" s="3" t="s">
        <v>26</v>
      </c>
      <c r="I7571" s="4" t="n">
        <v>7</v>
      </c>
      <c r="J7571" s="4" t="n">
        <f aca="false">LEN(E7571)-LEN(SUBSTITUTE(E7571,",",""))+1</f>
        <v>7</v>
      </c>
      <c r="K7571" s="3" t="str">
        <f aca="false">IFERROR(INDEX('Teacher Lookup'!$B$2:$B$200,MATCH(A7571,'Teacher Lookup'!$A$2:$A$200,0)),"")</f>
        <v>YIP Michael</v>
      </c>
    </row>
    <row r="7572" customFormat="false" ht="15" hidden="false" customHeight="false" outlineLevel="0" collapsed="false">
      <c r="A7572" s="3" t="s">
        <v>483</v>
      </c>
      <c r="B7572" s="4" t="s">
        <v>60</v>
      </c>
      <c r="C7572" s="4" t="n">
        <v>3</v>
      </c>
      <c r="D7572" s="4" t="s">
        <v>58</v>
      </c>
      <c r="E7572" s="3" t="s">
        <v>306</v>
      </c>
      <c r="F7572" s="4" t="str">
        <f aca="false">IF(I7572&gt;J7572,"Y","N")</f>
        <v>N</v>
      </c>
      <c r="G7572" s="3" t="s">
        <v>15</v>
      </c>
      <c r="H7572" s="3" t="s">
        <v>26</v>
      </c>
      <c r="I7572" s="4" t="n">
        <v>7</v>
      </c>
      <c r="J7572" s="4" t="n">
        <f aca="false">LEN(E7572)-LEN(SUBSTITUTE(E7572,",",""))+1</f>
        <v>7</v>
      </c>
      <c r="K7572" s="3" t="str">
        <f aca="false">IFERROR(INDEX('Teacher Lookup'!$B$2:$B$200,MATCH(A7572,'Teacher Lookup'!$A$2:$A$200,0)),"")</f>
        <v>YIP Michael</v>
      </c>
    </row>
    <row r="7573" customFormat="false" ht="15" hidden="false" customHeight="false" outlineLevel="0" collapsed="false">
      <c r="A7573" s="3" t="s">
        <v>483</v>
      </c>
      <c r="B7573" s="4" t="s">
        <v>60</v>
      </c>
      <c r="C7573" s="4" t="n">
        <v>3</v>
      </c>
      <c r="D7573" s="4" t="s">
        <v>59</v>
      </c>
      <c r="E7573" s="3" t="s">
        <v>306</v>
      </c>
      <c r="F7573" s="4" t="str">
        <f aca="false">IF(I7573&gt;J7573,"Y","N")</f>
        <v>N</v>
      </c>
      <c r="G7573" s="3" t="s">
        <v>15</v>
      </c>
      <c r="H7573" s="3" t="s">
        <v>26</v>
      </c>
      <c r="I7573" s="4" t="n">
        <v>7</v>
      </c>
      <c r="J7573" s="4" t="n">
        <f aca="false">LEN(E7573)-LEN(SUBSTITUTE(E7573,",",""))+1</f>
        <v>7</v>
      </c>
      <c r="K7573" s="3" t="str">
        <f aca="false">IFERROR(INDEX('Teacher Lookup'!$B$2:$B$200,MATCH(A7573,'Teacher Lookup'!$A$2:$A$200,0)),"")</f>
        <v>YIP Michael</v>
      </c>
    </row>
    <row r="7574" customFormat="false" ht="15" hidden="false" customHeight="false" outlineLevel="0" collapsed="false">
      <c r="A7574" s="3" t="s">
        <v>483</v>
      </c>
      <c r="B7574" s="4" t="s">
        <v>60</v>
      </c>
      <c r="C7574" s="4" t="n">
        <v>5</v>
      </c>
      <c r="D7574" s="4" t="s">
        <v>52</v>
      </c>
      <c r="E7574" s="3" t="s">
        <v>112</v>
      </c>
      <c r="F7574" s="4" t="str">
        <f aca="false">IF(I7574&gt;J7574,"Y","N")</f>
        <v>Y</v>
      </c>
      <c r="G7574" s="3" t="s">
        <v>36</v>
      </c>
      <c r="H7574" s="3" t="s">
        <v>37</v>
      </c>
      <c r="I7574" s="4" t="n">
        <v>16</v>
      </c>
      <c r="J7574" s="4" t="n">
        <f aca="false">LEN(E7574)-LEN(SUBSTITUTE(E7574,",",""))+1</f>
        <v>7</v>
      </c>
      <c r="K7574" s="3" t="str">
        <f aca="false">IFERROR(INDEX('Teacher Lookup'!$B$2:$B$200,MATCH(A7574,'Teacher Lookup'!$A$2:$A$200,0)),"")</f>
        <v>YIP Michael</v>
      </c>
    </row>
    <row r="7575" customFormat="false" ht="15" hidden="false" customHeight="false" outlineLevel="0" collapsed="false">
      <c r="A7575" s="3" t="s">
        <v>483</v>
      </c>
      <c r="B7575" s="4" t="s">
        <v>60</v>
      </c>
      <c r="C7575" s="4" t="n">
        <v>5</v>
      </c>
      <c r="D7575" s="4" t="s">
        <v>55</v>
      </c>
      <c r="E7575" s="3" t="s">
        <v>112</v>
      </c>
      <c r="F7575" s="4" t="str">
        <f aca="false">IF(I7575&gt;J7575,"Y","N")</f>
        <v>Y</v>
      </c>
      <c r="G7575" s="3" t="s">
        <v>36</v>
      </c>
      <c r="H7575" s="3" t="s">
        <v>37</v>
      </c>
      <c r="I7575" s="4" t="n">
        <v>16</v>
      </c>
      <c r="J7575" s="4" t="n">
        <f aca="false">LEN(E7575)-LEN(SUBSTITUTE(E7575,",",""))+1</f>
        <v>7</v>
      </c>
      <c r="K7575" s="3" t="str">
        <f aca="false">IFERROR(INDEX('Teacher Lookup'!$B$2:$B$200,MATCH(A7575,'Teacher Lookup'!$A$2:$A$200,0)),"")</f>
        <v>YIP Michael</v>
      </c>
    </row>
    <row r="7576" customFormat="false" ht="15" hidden="false" customHeight="false" outlineLevel="0" collapsed="false">
      <c r="A7576" s="3" t="s">
        <v>483</v>
      </c>
      <c r="B7576" s="4" t="s">
        <v>60</v>
      </c>
      <c r="C7576" s="4" t="n">
        <v>5</v>
      </c>
      <c r="D7576" s="4" t="s">
        <v>56</v>
      </c>
      <c r="E7576" s="3" t="s">
        <v>112</v>
      </c>
      <c r="F7576" s="4" t="str">
        <f aca="false">IF(I7576&gt;J7576,"Y","N")</f>
        <v>Y</v>
      </c>
      <c r="G7576" s="3" t="s">
        <v>36</v>
      </c>
      <c r="H7576" s="3" t="s">
        <v>37</v>
      </c>
      <c r="I7576" s="4" t="n">
        <v>16</v>
      </c>
      <c r="J7576" s="4" t="n">
        <f aca="false">LEN(E7576)-LEN(SUBSTITUTE(E7576,",",""))+1</f>
        <v>7</v>
      </c>
      <c r="K7576" s="3" t="str">
        <f aca="false">IFERROR(INDEX('Teacher Lookup'!$B$2:$B$200,MATCH(A7576,'Teacher Lookup'!$A$2:$A$200,0)),"")</f>
        <v>YIP Michael</v>
      </c>
    </row>
    <row r="7577" customFormat="false" ht="15" hidden="false" customHeight="false" outlineLevel="0" collapsed="false">
      <c r="A7577" s="3" t="s">
        <v>483</v>
      </c>
      <c r="B7577" s="4" t="s">
        <v>60</v>
      </c>
      <c r="C7577" s="4" t="n">
        <v>5</v>
      </c>
      <c r="D7577" s="4" t="s">
        <v>57</v>
      </c>
      <c r="E7577" s="3" t="s">
        <v>112</v>
      </c>
      <c r="F7577" s="4" t="str">
        <f aca="false">IF(I7577&gt;J7577,"Y","N")</f>
        <v>Y</v>
      </c>
      <c r="G7577" s="3" t="s">
        <v>36</v>
      </c>
      <c r="H7577" s="3" t="s">
        <v>37</v>
      </c>
      <c r="I7577" s="4" t="n">
        <v>16</v>
      </c>
      <c r="J7577" s="4" t="n">
        <f aca="false">LEN(E7577)-LEN(SUBSTITUTE(E7577,",",""))+1</f>
        <v>7</v>
      </c>
      <c r="K7577" s="3" t="str">
        <f aca="false">IFERROR(INDEX('Teacher Lookup'!$B$2:$B$200,MATCH(A7577,'Teacher Lookup'!$A$2:$A$200,0)),"")</f>
        <v>YIP Michael</v>
      </c>
    </row>
    <row r="7578" customFormat="false" ht="15" hidden="false" customHeight="false" outlineLevel="0" collapsed="false">
      <c r="A7578" s="3" t="s">
        <v>483</v>
      </c>
      <c r="B7578" s="4" t="s">
        <v>60</v>
      </c>
      <c r="C7578" s="4" t="n">
        <v>5</v>
      </c>
      <c r="D7578" s="4" t="s">
        <v>58</v>
      </c>
      <c r="E7578" s="3" t="s">
        <v>112</v>
      </c>
      <c r="F7578" s="4" t="str">
        <f aca="false">IF(I7578&gt;J7578,"Y","N")</f>
        <v>Y</v>
      </c>
      <c r="G7578" s="3" t="s">
        <v>36</v>
      </c>
      <c r="H7578" s="3" t="s">
        <v>37</v>
      </c>
      <c r="I7578" s="4" t="n">
        <v>16</v>
      </c>
      <c r="J7578" s="4" t="n">
        <f aca="false">LEN(E7578)-LEN(SUBSTITUTE(E7578,",",""))+1</f>
        <v>7</v>
      </c>
      <c r="K7578" s="3" t="str">
        <f aca="false">IFERROR(INDEX('Teacher Lookup'!$B$2:$B$200,MATCH(A7578,'Teacher Lookup'!$A$2:$A$200,0)),"")</f>
        <v>YIP Michael</v>
      </c>
    </row>
    <row r="7579" customFormat="false" ht="15" hidden="false" customHeight="false" outlineLevel="0" collapsed="false">
      <c r="A7579" s="3" t="s">
        <v>483</v>
      </c>
      <c r="B7579" s="4" t="s">
        <v>60</v>
      </c>
      <c r="C7579" s="4" t="n">
        <v>5</v>
      </c>
      <c r="D7579" s="4" t="s">
        <v>59</v>
      </c>
      <c r="E7579" s="3" t="s">
        <v>112</v>
      </c>
      <c r="F7579" s="4" t="str">
        <f aca="false">IF(I7579&gt;J7579,"Y","N")</f>
        <v>Y</v>
      </c>
      <c r="G7579" s="3" t="s">
        <v>36</v>
      </c>
      <c r="H7579" s="3" t="s">
        <v>37</v>
      </c>
      <c r="I7579" s="4" t="n">
        <v>16</v>
      </c>
      <c r="J7579" s="4" t="n">
        <f aca="false">LEN(E7579)-LEN(SUBSTITUTE(E7579,",",""))+1</f>
        <v>7</v>
      </c>
      <c r="K7579" s="3" t="str">
        <f aca="false">IFERROR(INDEX('Teacher Lookup'!$B$2:$B$200,MATCH(A7579,'Teacher Lookup'!$A$2:$A$200,0)),"")</f>
        <v>YIP Michael</v>
      </c>
    </row>
    <row r="7580" customFormat="false" ht="15" hidden="false" customHeight="false" outlineLevel="0" collapsed="false">
      <c r="A7580" s="3" t="s">
        <v>483</v>
      </c>
      <c r="B7580" s="4" t="s">
        <v>60</v>
      </c>
      <c r="C7580" s="4" t="n">
        <v>6</v>
      </c>
      <c r="D7580" s="4" t="s">
        <v>137</v>
      </c>
      <c r="E7580" s="3" t="s">
        <v>208</v>
      </c>
      <c r="F7580" s="4" t="str">
        <f aca="false">IF(I7580&gt;J7580,"Y","N")</f>
        <v>N</v>
      </c>
      <c r="G7580" s="3" t="s">
        <v>15</v>
      </c>
      <c r="H7580" s="3" t="s">
        <v>42</v>
      </c>
      <c r="I7580" s="4" t="n">
        <v>4</v>
      </c>
      <c r="J7580" s="4" t="n">
        <f aca="false">LEN(E7580)-LEN(SUBSTITUTE(E7580,",",""))+1</f>
        <v>4</v>
      </c>
      <c r="K7580" s="3" t="str">
        <f aca="false">IFERROR(INDEX('Teacher Lookup'!$B$2:$B$200,MATCH(A7580,'Teacher Lookup'!$A$2:$A$200,0)),"")</f>
        <v>YIP Michael</v>
      </c>
    </row>
    <row r="7581" customFormat="false" ht="15" hidden="false" customHeight="false" outlineLevel="0" collapsed="false">
      <c r="A7581" s="3" t="s">
        <v>483</v>
      </c>
      <c r="B7581" s="4" t="s">
        <v>60</v>
      </c>
      <c r="C7581" s="4" t="n">
        <v>6</v>
      </c>
      <c r="D7581" s="4" t="s">
        <v>124</v>
      </c>
      <c r="E7581" s="3" t="s">
        <v>208</v>
      </c>
      <c r="F7581" s="4" t="str">
        <f aca="false">IF(I7581&gt;J7581,"Y","N")</f>
        <v>N</v>
      </c>
      <c r="G7581" s="3" t="s">
        <v>15</v>
      </c>
      <c r="H7581" s="3" t="s">
        <v>42</v>
      </c>
      <c r="I7581" s="4" t="n">
        <v>4</v>
      </c>
      <c r="J7581" s="4" t="n">
        <f aca="false">LEN(E7581)-LEN(SUBSTITUTE(E7581,",",""))+1</f>
        <v>4</v>
      </c>
      <c r="K7581" s="3" t="str">
        <f aca="false">IFERROR(INDEX('Teacher Lookup'!$B$2:$B$200,MATCH(A7581,'Teacher Lookup'!$A$2:$A$200,0)),"")</f>
        <v>YIP Michael</v>
      </c>
    </row>
    <row r="7582" customFormat="false" ht="15" hidden="false" customHeight="false" outlineLevel="0" collapsed="false">
      <c r="A7582" s="3" t="s">
        <v>483</v>
      </c>
      <c r="B7582" s="4" t="s">
        <v>60</v>
      </c>
      <c r="C7582" s="4" t="n">
        <v>6</v>
      </c>
      <c r="D7582" s="4" t="s">
        <v>139</v>
      </c>
      <c r="E7582" s="3" t="s">
        <v>208</v>
      </c>
      <c r="F7582" s="4" t="str">
        <f aca="false">IF(I7582&gt;J7582,"Y","N")</f>
        <v>N</v>
      </c>
      <c r="G7582" s="3" t="s">
        <v>15</v>
      </c>
      <c r="H7582" s="3" t="s">
        <v>42</v>
      </c>
      <c r="I7582" s="4" t="n">
        <v>4</v>
      </c>
      <c r="J7582" s="4" t="n">
        <f aca="false">LEN(E7582)-LEN(SUBSTITUTE(E7582,",",""))+1</f>
        <v>4</v>
      </c>
      <c r="K7582" s="3" t="str">
        <f aca="false">IFERROR(INDEX('Teacher Lookup'!$B$2:$B$200,MATCH(A7582,'Teacher Lookup'!$A$2:$A$200,0)),"")</f>
        <v>YIP Michael</v>
      </c>
    </row>
    <row r="7583" customFormat="false" ht="15" hidden="false" customHeight="false" outlineLevel="0" collapsed="false">
      <c r="A7583" s="3" t="s">
        <v>483</v>
      </c>
      <c r="B7583" s="4" t="s">
        <v>63</v>
      </c>
      <c r="C7583" s="4" t="n">
        <v>1</v>
      </c>
      <c r="D7583" s="4" t="s">
        <v>137</v>
      </c>
      <c r="E7583" s="3" t="s">
        <v>186</v>
      </c>
      <c r="F7583" s="4" t="str">
        <f aca="false">IF(I7583&gt;J7583,"Y","N")</f>
        <v>N</v>
      </c>
      <c r="G7583" s="3" t="s">
        <v>15</v>
      </c>
      <c r="H7583" s="3" t="s">
        <v>16</v>
      </c>
      <c r="I7583" s="4" t="n">
        <v>4</v>
      </c>
      <c r="J7583" s="4" t="n">
        <f aca="false">LEN(E7583)-LEN(SUBSTITUTE(E7583,",",""))+1</f>
        <v>4</v>
      </c>
      <c r="K7583" s="3" t="str">
        <f aca="false">IFERROR(INDEX('Teacher Lookup'!$B$2:$B$200,MATCH(A7583,'Teacher Lookup'!$A$2:$A$200,0)),"")</f>
        <v>YIP Michael</v>
      </c>
    </row>
    <row r="7584" customFormat="false" ht="15" hidden="false" customHeight="false" outlineLevel="0" collapsed="false">
      <c r="A7584" s="3" t="s">
        <v>483</v>
      </c>
      <c r="B7584" s="4" t="s">
        <v>63</v>
      </c>
      <c r="C7584" s="4" t="n">
        <v>1</v>
      </c>
      <c r="D7584" s="4" t="s">
        <v>124</v>
      </c>
      <c r="E7584" s="3" t="s">
        <v>186</v>
      </c>
      <c r="F7584" s="4" t="str">
        <f aca="false">IF(I7584&gt;J7584,"Y","N")</f>
        <v>N</v>
      </c>
      <c r="G7584" s="3" t="s">
        <v>15</v>
      </c>
      <c r="H7584" s="3" t="s">
        <v>16</v>
      </c>
      <c r="I7584" s="4" t="n">
        <v>4</v>
      </c>
      <c r="J7584" s="4" t="n">
        <f aca="false">LEN(E7584)-LEN(SUBSTITUTE(E7584,",",""))+1</f>
        <v>4</v>
      </c>
      <c r="K7584" s="3" t="str">
        <f aca="false">IFERROR(INDEX('Teacher Lookup'!$B$2:$B$200,MATCH(A7584,'Teacher Lookup'!$A$2:$A$200,0)),"")</f>
        <v>YIP Michael</v>
      </c>
    </row>
    <row r="7585" customFormat="false" ht="15" hidden="false" customHeight="false" outlineLevel="0" collapsed="false">
      <c r="A7585" s="3" t="s">
        <v>483</v>
      </c>
      <c r="B7585" s="4" t="s">
        <v>63</v>
      </c>
      <c r="C7585" s="4" t="n">
        <v>1</v>
      </c>
      <c r="D7585" s="4" t="s">
        <v>139</v>
      </c>
      <c r="E7585" s="3" t="s">
        <v>186</v>
      </c>
      <c r="F7585" s="4" t="str">
        <f aca="false">IF(I7585&gt;J7585,"Y","N")</f>
        <v>N</v>
      </c>
      <c r="G7585" s="3" t="s">
        <v>15</v>
      </c>
      <c r="H7585" s="3" t="s">
        <v>16</v>
      </c>
      <c r="I7585" s="4" t="n">
        <v>4</v>
      </c>
      <c r="J7585" s="4" t="n">
        <f aca="false">LEN(E7585)-LEN(SUBSTITUTE(E7585,",",""))+1</f>
        <v>4</v>
      </c>
      <c r="K7585" s="3" t="str">
        <f aca="false">IFERROR(INDEX('Teacher Lookup'!$B$2:$B$200,MATCH(A7585,'Teacher Lookup'!$A$2:$A$200,0)),"")</f>
        <v>YIP Michael</v>
      </c>
    </row>
    <row r="7586" customFormat="false" ht="15" hidden="false" customHeight="false" outlineLevel="0" collapsed="false">
      <c r="A7586" s="3" t="s">
        <v>483</v>
      </c>
      <c r="B7586" s="4" t="s">
        <v>63</v>
      </c>
      <c r="C7586" s="4" t="n">
        <v>4</v>
      </c>
      <c r="D7586" s="4" t="s">
        <v>70</v>
      </c>
      <c r="E7586" s="3" t="s">
        <v>213</v>
      </c>
      <c r="F7586" s="4" t="str">
        <f aca="false">IF(I7586&gt;J7586,"Y","N")</f>
        <v>Y</v>
      </c>
      <c r="G7586" s="3" t="s">
        <v>214</v>
      </c>
      <c r="H7586" s="3" t="s">
        <v>34</v>
      </c>
      <c r="I7586" s="4" t="n">
        <v>20</v>
      </c>
      <c r="J7586" s="4" t="n">
        <f aca="false">LEN(E7586)-LEN(SUBSTITUTE(E7586,",",""))+1</f>
        <v>6</v>
      </c>
      <c r="K7586" s="3" t="str">
        <f aca="false">IFERROR(INDEX('Teacher Lookup'!$B$2:$B$200,MATCH(A7586,'Teacher Lookup'!$A$2:$A$200,0)),"")</f>
        <v>YIP Michael</v>
      </c>
    </row>
    <row r="7587" customFormat="false" ht="15" hidden="false" customHeight="false" outlineLevel="0" collapsed="false">
      <c r="A7587" s="3" t="s">
        <v>483</v>
      </c>
      <c r="B7587" s="4" t="s">
        <v>63</v>
      </c>
      <c r="C7587" s="4" t="n">
        <v>4</v>
      </c>
      <c r="D7587" s="4" t="s">
        <v>73</v>
      </c>
      <c r="E7587" s="3" t="s">
        <v>213</v>
      </c>
      <c r="F7587" s="4" t="str">
        <f aca="false">IF(I7587&gt;J7587,"Y","N")</f>
        <v>Y</v>
      </c>
      <c r="G7587" s="3" t="s">
        <v>214</v>
      </c>
      <c r="H7587" s="3" t="s">
        <v>34</v>
      </c>
      <c r="I7587" s="4" t="n">
        <v>20</v>
      </c>
      <c r="J7587" s="4" t="n">
        <f aca="false">LEN(E7587)-LEN(SUBSTITUTE(E7587,",",""))+1</f>
        <v>6</v>
      </c>
      <c r="K7587" s="3" t="str">
        <f aca="false">IFERROR(INDEX('Teacher Lookup'!$B$2:$B$200,MATCH(A7587,'Teacher Lookup'!$A$2:$A$200,0)),"")</f>
        <v>YIP Michael</v>
      </c>
    </row>
    <row r="7588" customFormat="false" ht="15" hidden="false" customHeight="false" outlineLevel="0" collapsed="false">
      <c r="A7588" s="3" t="s">
        <v>483</v>
      </c>
      <c r="B7588" s="4" t="s">
        <v>63</v>
      </c>
      <c r="C7588" s="4" t="n">
        <v>4</v>
      </c>
      <c r="D7588" s="4" t="s">
        <v>74</v>
      </c>
      <c r="E7588" s="3" t="s">
        <v>213</v>
      </c>
      <c r="F7588" s="4" t="str">
        <f aca="false">IF(I7588&gt;J7588,"Y","N")</f>
        <v>Y</v>
      </c>
      <c r="G7588" s="3" t="s">
        <v>214</v>
      </c>
      <c r="H7588" s="3" t="s">
        <v>34</v>
      </c>
      <c r="I7588" s="4" t="n">
        <v>20</v>
      </c>
      <c r="J7588" s="4" t="n">
        <f aca="false">LEN(E7588)-LEN(SUBSTITUTE(E7588,",",""))+1</f>
        <v>6</v>
      </c>
      <c r="K7588" s="3" t="str">
        <f aca="false">IFERROR(INDEX('Teacher Lookup'!$B$2:$B$200,MATCH(A7588,'Teacher Lookup'!$A$2:$A$200,0)),"")</f>
        <v>YIP Michael</v>
      </c>
    </row>
    <row r="7589" customFormat="false" ht="15" hidden="false" customHeight="false" outlineLevel="0" collapsed="false">
      <c r="A7589" s="3" t="s">
        <v>483</v>
      </c>
      <c r="B7589" s="4" t="s">
        <v>63</v>
      </c>
      <c r="C7589" s="4" t="n">
        <v>4</v>
      </c>
      <c r="D7589" s="4" t="s">
        <v>76</v>
      </c>
      <c r="E7589" s="3" t="s">
        <v>213</v>
      </c>
      <c r="F7589" s="4" t="str">
        <f aca="false">IF(I7589&gt;J7589,"Y","N")</f>
        <v>Y</v>
      </c>
      <c r="G7589" s="3" t="s">
        <v>214</v>
      </c>
      <c r="H7589" s="3" t="s">
        <v>34</v>
      </c>
      <c r="I7589" s="4" t="n">
        <v>20</v>
      </c>
      <c r="J7589" s="4" t="n">
        <f aca="false">LEN(E7589)-LEN(SUBSTITUTE(E7589,",",""))+1</f>
        <v>6</v>
      </c>
      <c r="K7589" s="3" t="str">
        <f aca="false">IFERROR(INDEX('Teacher Lookup'!$B$2:$B$200,MATCH(A7589,'Teacher Lookup'!$A$2:$A$200,0)),"")</f>
        <v>YIP Michael</v>
      </c>
    </row>
    <row r="7590" customFormat="false" ht="15" hidden="false" customHeight="false" outlineLevel="0" collapsed="false">
      <c r="A7590" s="3" t="s">
        <v>483</v>
      </c>
      <c r="B7590" s="4" t="s">
        <v>63</v>
      </c>
      <c r="C7590" s="4" t="n">
        <v>4</v>
      </c>
      <c r="D7590" s="4" t="s">
        <v>78</v>
      </c>
      <c r="E7590" s="3" t="s">
        <v>213</v>
      </c>
      <c r="F7590" s="4" t="str">
        <f aca="false">IF(I7590&gt;J7590,"Y","N")</f>
        <v>Y</v>
      </c>
      <c r="G7590" s="3" t="s">
        <v>214</v>
      </c>
      <c r="H7590" s="3" t="s">
        <v>34</v>
      </c>
      <c r="I7590" s="4" t="n">
        <v>20</v>
      </c>
      <c r="J7590" s="4" t="n">
        <f aca="false">LEN(E7590)-LEN(SUBSTITUTE(E7590,",",""))+1</f>
        <v>6</v>
      </c>
      <c r="K7590" s="3" t="str">
        <f aca="false">IFERROR(INDEX('Teacher Lookup'!$B$2:$B$200,MATCH(A7590,'Teacher Lookup'!$A$2:$A$200,0)),"")</f>
        <v>YIP Michael</v>
      </c>
    </row>
    <row r="7591" customFormat="false" ht="15" hidden="false" customHeight="false" outlineLevel="0" collapsed="false">
      <c r="A7591" s="3" t="s">
        <v>483</v>
      </c>
      <c r="B7591" s="4" t="s">
        <v>63</v>
      </c>
      <c r="C7591" s="4" t="n">
        <v>4</v>
      </c>
      <c r="D7591" s="4" t="s">
        <v>79</v>
      </c>
      <c r="E7591" s="3" t="s">
        <v>213</v>
      </c>
      <c r="F7591" s="4" t="str">
        <f aca="false">IF(I7591&gt;J7591,"Y","N")</f>
        <v>Y</v>
      </c>
      <c r="G7591" s="3" t="s">
        <v>214</v>
      </c>
      <c r="H7591" s="3" t="s">
        <v>34</v>
      </c>
      <c r="I7591" s="4" t="n">
        <v>20</v>
      </c>
      <c r="J7591" s="4" t="n">
        <f aca="false">LEN(E7591)-LEN(SUBSTITUTE(E7591,",",""))+1</f>
        <v>6</v>
      </c>
      <c r="K7591" s="3" t="str">
        <f aca="false">IFERROR(INDEX('Teacher Lookup'!$B$2:$B$200,MATCH(A7591,'Teacher Lookup'!$A$2:$A$200,0)),"")</f>
        <v>YIP Michael</v>
      </c>
    </row>
    <row r="7592" customFormat="false" ht="15" hidden="false" customHeight="false" outlineLevel="0" collapsed="false">
      <c r="A7592" s="3" t="s">
        <v>483</v>
      </c>
      <c r="B7592" s="4" t="s">
        <v>63</v>
      </c>
      <c r="C7592" s="4" t="n">
        <v>5</v>
      </c>
      <c r="D7592" s="4" t="s">
        <v>70</v>
      </c>
      <c r="E7592" s="3" t="s">
        <v>213</v>
      </c>
      <c r="F7592" s="4" t="str">
        <f aca="false">IF(I7592&gt;J7592,"Y","N")</f>
        <v>Y</v>
      </c>
      <c r="G7592" s="3" t="s">
        <v>214</v>
      </c>
      <c r="H7592" s="3" t="s">
        <v>37</v>
      </c>
      <c r="I7592" s="4" t="n">
        <v>20</v>
      </c>
      <c r="J7592" s="4" t="n">
        <f aca="false">LEN(E7592)-LEN(SUBSTITUTE(E7592,",",""))+1</f>
        <v>6</v>
      </c>
      <c r="K7592" s="3" t="str">
        <f aca="false">IFERROR(INDEX('Teacher Lookup'!$B$2:$B$200,MATCH(A7592,'Teacher Lookup'!$A$2:$A$200,0)),"")</f>
        <v>YIP Michael</v>
      </c>
    </row>
    <row r="7593" customFormat="false" ht="15" hidden="false" customHeight="false" outlineLevel="0" collapsed="false">
      <c r="A7593" s="3" t="s">
        <v>483</v>
      </c>
      <c r="B7593" s="4" t="s">
        <v>63</v>
      </c>
      <c r="C7593" s="4" t="n">
        <v>5</v>
      </c>
      <c r="D7593" s="4" t="s">
        <v>73</v>
      </c>
      <c r="E7593" s="3" t="s">
        <v>213</v>
      </c>
      <c r="F7593" s="4" t="str">
        <f aca="false">IF(I7593&gt;J7593,"Y","N")</f>
        <v>Y</v>
      </c>
      <c r="G7593" s="3" t="s">
        <v>214</v>
      </c>
      <c r="H7593" s="3" t="s">
        <v>37</v>
      </c>
      <c r="I7593" s="4" t="n">
        <v>20</v>
      </c>
      <c r="J7593" s="4" t="n">
        <f aca="false">LEN(E7593)-LEN(SUBSTITUTE(E7593,",",""))+1</f>
        <v>6</v>
      </c>
      <c r="K7593" s="3" t="str">
        <f aca="false">IFERROR(INDEX('Teacher Lookup'!$B$2:$B$200,MATCH(A7593,'Teacher Lookup'!$A$2:$A$200,0)),"")</f>
        <v>YIP Michael</v>
      </c>
    </row>
    <row r="7594" customFormat="false" ht="15" hidden="false" customHeight="false" outlineLevel="0" collapsed="false">
      <c r="A7594" s="3" t="s">
        <v>483</v>
      </c>
      <c r="B7594" s="4" t="s">
        <v>63</v>
      </c>
      <c r="C7594" s="4" t="n">
        <v>5</v>
      </c>
      <c r="D7594" s="4" t="s">
        <v>74</v>
      </c>
      <c r="E7594" s="3" t="s">
        <v>213</v>
      </c>
      <c r="F7594" s="4" t="str">
        <f aca="false">IF(I7594&gt;J7594,"Y","N")</f>
        <v>Y</v>
      </c>
      <c r="G7594" s="3" t="s">
        <v>214</v>
      </c>
      <c r="H7594" s="3" t="s">
        <v>37</v>
      </c>
      <c r="I7594" s="4" t="n">
        <v>20</v>
      </c>
      <c r="J7594" s="4" t="n">
        <f aca="false">LEN(E7594)-LEN(SUBSTITUTE(E7594,",",""))+1</f>
        <v>6</v>
      </c>
      <c r="K7594" s="3" t="str">
        <f aca="false">IFERROR(INDEX('Teacher Lookup'!$B$2:$B$200,MATCH(A7594,'Teacher Lookup'!$A$2:$A$200,0)),"")</f>
        <v>YIP Michael</v>
      </c>
    </row>
    <row r="7595" customFormat="false" ht="15" hidden="false" customHeight="false" outlineLevel="0" collapsed="false">
      <c r="A7595" s="3" t="s">
        <v>483</v>
      </c>
      <c r="B7595" s="4" t="s">
        <v>63</v>
      </c>
      <c r="C7595" s="4" t="n">
        <v>5</v>
      </c>
      <c r="D7595" s="4" t="s">
        <v>76</v>
      </c>
      <c r="E7595" s="3" t="s">
        <v>213</v>
      </c>
      <c r="F7595" s="4" t="str">
        <f aca="false">IF(I7595&gt;J7595,"Y","N")</f>
        <v>Y</v>
      </c>
      <c r="G7595" s="3" t="s">
        <v>214</v>
      </c>
      <c r="H7595" s="3" t="s">
        <v>37</v>
      </c>
      <c r="I7595" s="4" t="n">
        <v>20</v>
      </c>
      <c r="J7595" s="4" t="n">
        <f aca="false">LEN(E7595)-LEN(SUBSTITUTE(E7595,",",""))+1</f>
        <v>6</v>
      </c>
      <c r="K7595" s="3" t="str">
        <f aca="false">IFERROR(INDEX('Teacher Lookup'!$B$2:$B$200,MATCH(A7595,'Teacher Lookup'!$A$2:$A$200,0)),"")</f>
        <v>YIP Michael</v>
      </c>
    </row>
    <row r="7596" customFormat="false" ht="15" hidden="false" customHeight="false" outlineLevel="0" collapsed="false">
      <c r="A7596" s="3" t="s">
        <v>483</v>
      </c>
      <c r="B7596" s="4" t="s">
        <v>63</v>
      </c>
      <c r="C7596" s="4" t="n">
        <v>5</v>
      </c>
      <c r="D7596" s="4" t="s">
        <v>78</v>
      </c>
      <c r="E7596" s="3" t="s">
        <v>213</v>
      </c>
      <c r="F7596" s="4" t="str">
        <f aca="false">IF(I7596&gt;J7596,"Y","N")</f>
        <v>Y</v>
      </c>
      <c r="G7596" s="3" t="s">
        <v>214</v>
      </c>
      <c r="H7596" s="3" t="s">
        <v>37</v>
      </c>
      <c r="I7596" s="4" t="n">
        <v>20</v>
      </c>
      <c r="J7596" s="4" t="n">
        <f aca="false">LEN(E7596)-LEN(SUBSTITUTE(E7596,",",""))+1</f>
        <v>6</v>
      </c>
      <c r="K7596" s="3" t="str">
        <f aca="false">IFERROR(INDEX('Teacher Lookup'!$B$2:$B$200,MATCH(A7596,'Teacher Lookup'!$A$2:$A$200,0)),"")</f>
        <v>YIP Michael</v>
      </c>
    </row>
    <row r="7597" customFormat="false" ht="15" hidden="false" customHeight="false" outlineLevel="0" collapsed="false">
      <c r="A7597" s="3" t="s">
        <v>483</v>
      </c>
      <c r="B7597" s="4" t="s">
        <v>63</v>
      </c>
      <c r="C7597" s="4" t="n">
        <v>5</v>
      </c>
      <c r="D7597" s="4" t="s">
        <v>79</v>
      </c>
      <c r="E7597" s="3" t="s">
        <v>213</v>
      </c>
      <c r="F7597" s="4" t="str">
        <f aca="false">IF(I7597&gt;J7597,"Y","N")</f>
        <v>Y</v>
      </c>
      <c r="G7597" s="3" t="s">
        <v>214</v>
      </c>
      <c r="H7597" s="3" t="s">
        <v>37</v>
      </c>
      <c r="I7597" s="4" t="n">
        <v>20</v>
      </c>
      <c r="J7597" s="4" t="n">
        <f aca="false">LEN(E7597)-LEN(SUBSTITUTE(E7597,",",""))+1</f>
        <v>6</v>
      </c>
      <c r="K7597" s="3" t="str">
        <f aca="false">IFERROR(INDEX('Teacher Lookup'!$B$2:$B$200,MATCH(A7597,'Teacher Lookup'!$A$2:$A$200,0)),"")</f>
        <v>YIP Michael</v>
      </c>
    </row>
    <row r="7598" customFormat="false" ht="15" hidden="false" customHeight="false" outlineLevel="0" collapsed="false">
      <c r="A7598" s="3" t="s">
        <v>483</v>
      </c>
      <c r="B7598" s="4" t="s">
        <v>63</v>
      </c>
      <c r="C7598" s="4" t="n">
        <v>7</v>
      </c>
      <c r="D7598" s="4" t="s">
        <v>52</v>
      </c>
      <c r="E7598" s="3" t="s">
        <v>304</v>
      </c>
      <c r="F7598" s="4" t="str">
        <f aca="false">IF(I7598&gt;J7598,"Y","N")</f>
        <v>N</v>
      </c>
      <c r="G7598" s="3" t="s">
        <v>15</v>
      </c>
      <c r="H7598" s="3" t="s">
        <v>39</v>
      </c>
      <c r="I7598" s="4" t="n">
        <v>7</v>
      </c>
      <c r="J7598" s="4" t="n">
        <f aca="false">LEN(E7598)-LEN(SUBSTITUTE(E7598,",",""))+1</f>
        <v>7</v>
      </c>
      <c r="K7598" s="3" t="str">
        <f aca="false">IFERROR(INDEX('Teacher Lookup'!$B$2:$B$200,MATCH(A7598,'Teacher Lookup'!$A$2:$A$200,0)),"")</f>
        <v>YIP Michael</v>
      </c>
    </row>
    <row r="7599" customFormat="false" ht="15" hidden="false" customHeight="false" outlineLevel="0" collapsed="false">
      <c r="A7599" s="3" t="s">
        <v>483</v>
      </c>
      <c r="B7599" s="4" t="s">
        <v>63</v>
      </c>
      <c r="C7599" s="4" t="n">
        <v>7</v>
      </c>
      <c r="D7599" s="4" t="s">
        <v>55</v>
      </c>
      <c r="E7599" s="3" t="s">
        <v>304</v>
      </c>
      <c r="F7599" s="4" t="str">
        <f aca="false">IF(I7599&gt;J7599,"Y","N")</f>
        <v>N</v>
      </c>
      <c r="G7599" s="3" t="s">
        <v>15</v>
      </c>
      <c r="H7599" s="3" t="s">
        <v>39</v>
      </c>
      <c r="I7599" s="4" t="n">
        <v>7</v>
      </c>
      <c r="J7599" s="4" t="n">
        <f aca="false">LEN(E7599)-LEN(SUBSTITUTE(E7599,",",""))+1</f>
        <v>7</v>
      </c>
      <c r="K7599" s="3" t="str">
        <f aca="false">IFERROR(INDEX('Teacher Lookup'!$B$2:$B$200,MATCH(A7599,'Teacher Lookup'!$A$2:$A$200,0)),"")</f>
        <v>YIP Michael</v>
      </c>
    </row>
    <row r="7600" customFormat="false" ht="15" hidden="false" customHeight="false" outlineLevel="0" collapsed="false">
      <c r="A7600" s="3" t="s">
        <v>483</v>
      </c>
      <c r="B7600" s="4" t="s">
        <v>63</v>
      </c>
      <c r="C7600" s="4" t="n">
        <v>7</v>
      </c>
      <c r="D7600" s="4" t="s">
        <v>56</v>
      </c>
      <c r="E7600" s="3" t="s">
        <v>304</v>
      </c>
      <c r="F7600" s="4" t="str">
        <f aca="false">IF(I7600&gt;J7600,"Y","N")</f>
        <v>N</v>
      </c>
      <c r="G7600" s="3" t="s">
        <v>15</v>
      </c>
      <c r="H7600" s="3" t="s">
        <v>39</v>
      </c>
      <c r="I7600" s="4" t="n">
        <v>7</v>
      </c>
      <c r="J7600" s="4" t="n">
        <f aca="false">LEN(E7600)-LEN(SUBSTITUTE(E7600,",",""))+1</f>
        <v>7</v>
      </c>
      <c r="K7600" s="3" t="str">
        <f aca="false">IFERROR(INDEX('Teacher Lookup'!$B$2:$B$200,MATCH(A7600,'Teacher Lookup'!$A$2:$A$200,0)),"")</f>
        <v>YIP Michael</v>
      </c>
    </row>
    <row r="7601" customFormat="false" ht="15" hidden="false" customHeight="false" outlineLevel="0" collapsed="false">
      <c r="A7601" s="3" t="s">
        <v>483</v>
      </c>
      <c r="B7601" s="4" t="s">
        <v>63</v>
      </c>
      <c r="C7601" s="4" t="n">
        <v>7</v>
      </c>
      <c r="D7601" s="4" t="s">
        <v>57</v>
      </c>
      <c r="E7601" s="3" t="s">
        <v>304</v>
      </c>
      <c r="F7601" s="4" t="str">
        <f aca="false">IF(I7601&gt;J7601,"Y","N")</f>
        <v>N</v>
      </c>
      <c r="G7601" s="3" t="s">
        <v>15</v>
      </c>
      <c r="H7601" s="3" t="s">
        <v>39</v>
      </c>
      <c r="I7601" s="4" t="n">
        <v>7</v>
      </c>
      <c r="J7601" s="4" t="n">
        <f aca="false">LEN(E7601)-LEN(SUBSTITUTE(E7601,",",""))+1</f>
        <v>7</v>
      </c>
      <c r="K7601" s="3" t="str">
        <f aca="false">IFERROR(INDEX('Teacher Lookup'!$B$2:$B$200,MATCH(A7601,'Teacher Lookup'!$A$2:$A$200,0)),"")</f>
        <v>YIP Michael</v>
      </c>
    </row>
    <row r="7602" customFormat="false" ht="15" hidden="false" customHeight="false" outlineLevel="0" collapsed="false">
      <c r="A7602" s="3" t="s">
        <v>483</v>
      </c>
      <c r="B7602" s="4" t="s">
        <v>63</v>
      </c>
      <c r="C7602" s="4" t="n">
        <v>7</v>
      </c>
      <c r="D7602" s="4" t="s">
        <v>58</v>
      </c>
      <c r="E7602" s="3" t="s">
        <v>304</v>
      </c>
      <c r="F7602" s="4" t="str">
        <f aca="false">IF(I7602&gt;J7602,"Y","N")</f>
        <v>N</v>
      </c>
      <c r="G7602" s="3" t="s">
        <v>15</v>
      </c>
      <c r="H7602" s="3" t="s">
        <v>39</v>
      </c>
      <c r="I7602" s="4" t="n">
        <v>7</v>
      </c>
      <c r="J7602" s="4" t="n">
        <f aca="false">LEN(E7602)-LEN(SUBSTITUTE(E7602,",",""))+1</f>
        <v>7</v>
      </c>
      <c r="K7602" s="3" t="str">
        <f aca="false">IFERROR(INDEX('Teacher Lookup'!$B$2:$B$200,MATCH(A7602,'Teacher Lookup'!$A$2:$A$200,0)),"")</f>
        <v>YIP Michael</v>
      </c>
    </row>
    <row r="7603" customFormat="false" ht="15" hidden="false" customHeight="false" outlineLevel="0" collapsed="false">
      <c r="A7603" s="3" t="s">
        <v>483</v>
      </c>
      <c r="B7603" s="4" t="s">
        <v>63</v>
      </c>
      <c r="C7603" s="4" t="n">
        <v>7</v>
      </c>
      <c r="D7603" s="4" t="s">
        <v>59</v>
      </c>
      <c r="E7603" s="3" t="s">
        <v>304</v>
      </c>
      <c r="F7603" s="4" t="str">
        <f aca="false">IF(I7603&gt;J7603,"Y","N")</f>
        <v>N</v>
      </c>
      <c r="G7603" s="3" t="s">
        <v>15</v>
      </c>
      <c r="H7603" s="3" t="s">
        <v>39</v>
      </c>
      <c r="I7603" s="4" t="n">
        <v>7</v>
      </c>
      <c r="J7603" s="4" t="n">
        <f aca="false">LEN(E7603)-LEN(SUBSTITUTE(E7603,",",""))+1</f>
        <v>7</v>
      </c>
      <c r="K7603" s="3" t="str">
        <f aca="false">IFERROR(INDEX('Teacher Lookup'!$B$2:$B$200,MATCH(A7603,'Teacher Lookup'!$A$2:$A$200,0)),"")</f>
        <v>YIP Michael</v>
      </c>
    </row>
    <row r="7604" customFormat="false" ht="15" hidden="false" customHeight="false" outlineLevel="0" collapsed="false">
      <c r="A7604" s="3" t="s">
        <v>483</v>
      </c>
      <c r="B7604" s="4" t="s">
        <v>65</v>
      </c>
      <c r="C7604" s="4" t="n">
        <v>4</v>
      </c>
      <c r="D7604" s="4" t="s">
        <v>52</v>
      </c>
      <c r="E7604" s="3" t="s">
        <v>306</v>
      </c>
      <c r="F7604" s="4" t="str">
        <f aca="false">IF(I7604&gt;J7604,"Y","N")</f>
        <v>N</v>
      </c>
      <c r="G7604" s="3" t="s">
        <v>15</v>
      </c>
      <c r="H7604" s="3" t="s">
        <v>34</v>
      </c>
      <c r="I7604" s="4" t="n">
        <v>7</v>
      </c>
      <c r="J7604" s="4" t="n">
        <f aca="false">LEN(E7604)-LEN(SUBSTITUTE(E7604,",",""))+1</f>
        <v>7</v>
      </c>
      <c r="K7604" s="3" t="str">
        <f aca="false">IFERROR(INDEX('Teacher Lookup'!$B$2:$B$200,MATCH(A7604,'Teacher Lookup'!$A$2:$A$200,0)),"")</f>
        <v>YIP Michael</v>
      </c>
    </row>
    <row r="7605" customFormat="false" ht="15" hidden="false" customHeight="false" outlineLevel="0" collapsed="false">
      <c r="A7605" s="3" t="s">
        <v>483</v>
      </c>
      <c r="B7605" s="4" t="s">
        <v>65</v>
      </c>
      <c r="C7605" s="4" t="n">
        <v>4</v>
      </c>
      <c r="D7605" s="4" t="s">
        <v>55</v>
      </c>
      <c r="E7605" s="3" t="s">
        <v>306</v>
      </c>
      <c r="F7605" s="4" t="str">
        <f aca="false">IF(I7605&gt;J7605,"Y","N")</f>
        <v>N</v>
      </c>
      <c r="G7605" s="3" t="s">
        <v>15</v>
      </c>
      <c r="H7605" s="3" t="s">
        <v>34</v>
      </c>
      <c r="I7605" s="4" t="n">
        <v>7</v>
      </c>
      <c r="J7605" s="4" t="n">
        <f aca="false">LEN(E7605)-LEN(SUBSTITUTE(E7605,",",""))+1</f>
        <v>7</v>
      </c>
      <c r="K7605" s="3" t="str">
        <f aca="false">IFERROR(INDEX('Teacher Lookup'!$B$2:$B$200,MATCH(A7605,'Teacher Lookup'!$A$2:$A$200,0)),"")</f>
        <v>YIP Michael</v>
      </c>
    </row>
    <row r="7606" customFormat="false" ht="15" hidden="false" customHeight="false" outlineLevel="0" collapsed="false">
      <c r="A7606" s="3" t="s">
        <v>483</v>
      </c>
      <c r="B7606" s="4" t="s">
        <v>65</v>
      </c>
      <c r="C7606" s="4" t="n">
        <v>4</v>
      </c>
      <c r="D7606" s="4" t="s">
        <v>56</v>
      </c>
      <c r="E7606" s="3" t="s">
        <v>306</v>
      </c>
      <c r="F7606" s="4" t="str">
        <f aca="false">IF(I7606&gt;J7606,"Y","N")</f>
        <v>N</v>
      </c>
      <c r="G7606" s="3" t="s">
        <v>15</v>
      </c>
      <c r="H7606" s="3" t="s">
        <v>34</v>
      </c>
      <c r="I7606" s="4" t="n">
        <v>7</v>
      </c>
      <c r="J7606" s="4" t="n">
        <f aca="false">LEN(E7606)-LEN(SUBSTITUTE(E7606,",",""))+1</f>
        <v>7</v>
      </c>
      <c r="K7606" s="3" t="str">
        <f aca="false">IFERROR(INDEX('Teacher Lookup'!$B$2:$B$200,MATCH(A7606,'Teacher Lookup'!$A$2:$A$200,0)),"")</f>
        <v>YIP Michael</v>
      </c>
    </row>
    <row r="7607" customFormat="false" ht="15" hidden="false" customHeight="false" outlineLevel="0" collapsed="false">
      <c r="A7607" s="3" t="s">
        <v>483</v>
      </c>
      <c r="B7607" s="4" t="s">
        <v>65</v>
      </c>
      <c r="C7607" s="4" t="n">
        <v>4</v>
      </c>
      <c r="D7607" s="4" t="s">
        <v>57</v>
      </c>
      <c r="E7607" s="3" t="s">
        <v>306</v>
      </c>
      <c r="F7607" s="4" t="str">
        <f aca="false">IF(I7607&gt;J7607,"Y","N")</f>
        <v>N</v>
      </c>
      <c r="G7607" s="3" t="s">
        <v>15</v>
      </c>
      <c r="H7607" s="3" t="s">
        <v>34</v>
      </c>
      <c r="I7607" s="4" t="n">
        <v>7</v>
      </c>
      <c r="J7607" s="4" t="n">
        <f aca="false">LEN(E7607)-LEN(SUBSTITUTE(E7607,",",""))+1</f>
        <v>7</v>
      </c>
      <c r="K7607" s="3" t="str">
        <f aca="false">IFERROR(INDEX('Teacher Lookup'!$B$2:$B$200,MATCH(A7607,'Teacher Lookup'!$A$2:$A$200,0)),"")</f>
        <v>YIP Michael</v>
      </c>
    </row>
    <row r="7608" customFormat="false" ht="15" hidden="false" customHeight="false" outlineLevel="0" collapsed="false">
      <c r="A7608" s="3" t="s">
        <v>483</v>
      </c>
      <c r="B7608" s="4" t="s">
        <v>65</v>
      </c>
      <c r="C7608" s="4" t="n">
        <v>4</v>
      </c>
      <c r="D7608" s="4" t="s">
        <v>58</v>
      </c>
      <c r="E7608" s="3" t="s">
        <v>306</v>
      </c>
      <c r="F7608" s="4" t="str">
        <f aca="false">IF(I7608&gt;J7608,"Y","N")</f>
        <v>N</v>
      </c>
      <c r="G7608" s="3" t="s">
        <v>15</v>
      </c>
      <c r="H7608" s="3" t="s">
        <v>34</v>
      </c>
      <c r="I7608" s="4" t="n">
        <v>7</v>
      </c>
      <c r="J7608" s="4" t="n">
        <f aca="false">LEN(E7608)-LEN(SUBSTITUTE(E7608,",",""))+1</f>
        <v>7</v>
      </c>
      <c r="K7608" s="3" t="str">
        <f aca="false">IFERROR(INDEX('Teacher Lookup'!$B$2:$B$200,MATCH(A7608,'Teacher Lookup'!$A$2:$A$200,0)),"")</f>
        <v>YIP Michael</v>
      </c>
    </row>
    <row r="7609" customFormat="false" ht="15" hidden="false" customHeight="false" outlineLevel="0" collapsed="false">
      <c r="A7609" s="3" t="s">
        <v>483</v>
      </c>
      <c r="B7609" s="4" t="s">
        <v>65</v>
      </c>
      <c r="C7609" s="4" t="n">
        <v>4</v>
      </c>
      <c r="D7609" s="4" t="s">
        <v>59</v>
      </c>
      <c r="E7609" s="3" t="s">
        <v>306</v>
      </c>
      <c r="F7609" s="4" t="str">
        <f aca="false">IF(I7609&gt;J7609,"Y","N")</f>
        <v>N</v>
      </c>
      <c r="G7609" s="3" t="s">
        <v>15</v>
      </c>
      <c r="H7609" s="3" t="s">
        <v>34</v>
      </c>
      <c r="I7609" s="4" t="n">
        <v>7</v>
      </c>
      <c r="J7609" s="4" t="n">
        <f aca="false">LEN(E7609)-LEN(SUBSTITUTE(E7609,",",""))+1</f>
        <v>7</v>
      </c>
      <c r="K7609" s="3" t="str">
        <f aca="false">IFERROR(INDEX('Teacher Lookup'!$B$2:$B$200,MATCH(A7609,'Teacher Lookup'!$A$2:$A$200,0)),"")</f>
        <v>YIP Michael</v>
      </c>
    </row>
    <row r="7610" customFormat="false" ht="15" hidden="false" customHeight="false" outlineLevel="0" collapsed="false">
      <c r="A7610" s="3" t="s">
        <v>483</v>
      </c>
      <c r="B7610" s="4" t="s">
        <v>65</v>
      </c>
      <c r="C7610" s="4" t="n">
        <v>5</v>
      </c>
      <c r="D7610" s="4" t="s">
        <v>52</v>
      </c>
      <c r="E7610" s="3" t="s">
        <v>112</v>
      </c>
      <c r="F7610" s="4" t="str">
        <f aca="false">IF(I7610&gt;J7610,"Y","N")</f>
        <v>Y</v>
      </c>
      <c r="G7610" s="3" t="s">
        <v>36</v>
      </c>
      <c r="H7610" s="3" t="s">
        <v>37</v>
      </c>
      <c r="I7610" s="4" t="n">
        <v>16</v>
      </c>
      <c r="J7610" s="4" t="n">
        <f aca="false">LEN(E7610)-LEN(SUBSTITUTE(E7610,",",""))+1</f>
        <v>7</v>
      </c>
      <c r="K7610" s="3" t="str">
        <f aca="false">IFERROR(INDEX('Teacher Lookup'!$B$2:$B$200,MATCH(A7610,'Teacher Lookup'!$A$2:$A$200,0)),"")</f>
        <v>YIP Michael</v>
      </c>
    </row>
    <row r="7611" customFormat="false" ht="15" hidden="false" customHeight="false" outlineLevel="0" collapsed="false">
      <c r="A7611" s="3" t="s">
        <v>483</v>
      </c>
      <c r="B7611" s="4" t="s">
        <v>65</v>
      </c>
      <c r="C7611" s="4" t="n">
        <v>5</v>
      </c>
      <c r="D7611" s="4" t="s">
        <v>55</v>
      </c>
      <c r="E7611" s="3" t="s">
        <v>112</v>
      </c>
      <c r="F7611" s="4" t="str">
        <f aca="false">IF(I7611&gt;J7611,"Y","N")</f>
        <v>Y</v>
      </c>
      <c r="G7611" s="3" t="s">
        <v>36</v>
      </c>
      <c r="H7611" s="3" t="s">
        <v>37</v>
      </c>
      <c r="I7611" s="4" t="n">
        <v>16</v>
      </c>
      <c r="J7611" s="4" t="n">
        <f aca="false">LEN(E7611)-LEN(SUBSTITUTE(E7611,",",""))+1</f>
        <v>7</v>
      </c>
      <c r="K7611" s="3" t="str">
        <f aca="false">IFERROR(INDEX('Teacher Lookup'!$B$2:$B$200,MATCH(A7611,'Teacher Lookup'!$A$2:$A$200,0)),"")</f>
        <v>YIP Michael</v>
      </c>
    </row>
    <row r="7612" customFormat="false" ht="15" hidden="false" customHeight="false" outlineLevel="0" collapsed="false">
      <c r="A7612" s="3" t="s">
        <v>483</v>
      </c>
      <c r="B7612" s="4" t="s">
        <v>65</v>
      </c>
      <c r="C7612" s="4" t="n">
        <v>5</v>
      </c>
      <c r="D7612" s="4" t="s">
        <v>56</v>
      </c>
      <c r="E7612" s="3" t="s">
        <v>112</v>
      </c>
      <c r="F7612" s="4" t="str">
        <f aca="false">IF(I7612&gt;J7612,"Y","N")</f>
        <v>Y</v>
      </c>
      <c r="G7612" s="3" t="s">
        <v>36</v>
      </c>
      <c r="H7612" s="3" t="s">
        <v>37</v>
      </c>
      <c r="I7612" s="4" t="n">
        <v>16</v>
      </c>
      <c r="J7612" s="4" t="n">
        <f aca="false">LEN(E7612)-LEN(SUBSTITUTE(E7612,",",""))+1</f>
        <v>7</v>
      </c>
      <c r="K7612" s="3" t="str">
        <f aca="false">IFERROR(INDEX('Teacher Lookup'!$B$2:$B$200,MATCH(A7612,'Teacher Lookup'!$A$2:$A$200,0)),"")</f>
        <v>YIP Michael</v>
      </c>
    </row>
    <row r="7613" customFormat="false" ht="15" hidden="false" customHeight="false" outlineLevel="0" collapsed="false">
      <c r="A7613" s="3" t="s">
        <v>483</v>
      </c>
      <c r="B7613" s="4" t="s">
        <v>65</v>
      </c>
      <c r="C7613" s="4" t="n">
        <v>5</v>
      </c>
      <c r="D7613" s="4" t="s">
        <v>57</v>
      </c>
      <c r="E7613" s="3" t="s">
        <v>112</v>
      </c>
      <c r="F7613" s="4" t="str">
        <f aca="false">IF(I7613&gt;J7613,"Y","N")</f>
        <v>Y</v>
      </c>
      <c r="G7613" s="3" t="s">
        <v>36</v>
      </c>
      <c r="H7613" s="3" t="s">
        <v>37</v>
      </c>
      <c r="I7613" s="4" t="n">
        <v>16</v>
      </c>
      <c r="J7613" s="4" t="n">
        <f aca="false">LEN(E7613)-LEN(SUBSTITUTE(E7613,",",""))+1</f>
        <v>7</v>
      </c>
      <c r="K7613" s="3" t="str">
        <f aca="false">IFERROR(INDEX('Teacher Lookup'!$B$2:$B$200,MATCH(A7613,'Teacher Lookup'!$A$2:$A$200,0)),"")</f>
        <v>YIP Michael</v>
      </c>
    </row>
    <row r="7614" customFormat="false" ht="15" hidden="false" customHeight="false" outlineLevel="0" collapsed="false">
      <c r="A7614" s="3" t="s">
        <v>483</v>
      </c>
      <c r="B7614" s="4" t="s">
        <v>65</v>
      </c>
      <c r="C7614" s="4" t="n">
        <v>5</v>
      </c>
      <c r="D7614" s="4" t="s">
        <v>58</v>
      </c>
      <c r="E7614" s="3" t="s">
        <v>112</v>
      </c>
      <c r="F7614" s="4" t="str">
        <f aca="false">IF(I7614&gt;J7614,"Y","N")</f>
        <v>Y</v>
      </c>
      <c r="G7614" s="3" t="s">
        <v>36</v>
      </c>
      <c r="H7614" s="3" t="s">
        <v>37</v>
      </c>
      <c r="I7614" s="4" t="n">
        <v>16</v>
      </c>
      <c r="J7614" s="4" t="n">
        <f aca="false">LEN(E7614)-LEN(SUBSTITUTE(E7614,",",""))+1</f>
        <v>7</v>
      </c>
      <c r="K7614" s="3" t="str">
        <f aca="false">IFERROR(INDEX('Teacher Lookup'!$B$2:$B$200,MATCH(A7614,'Teacher Lookup'!$A$2:$A$200,0)),"")</f>
        <v>YIP Michael</v>
      </c>
    </row>
    <row r="7615" customFormat="false" ht="15" hidden="false" customHeight="false" outlineLevel="0" collapsed="false">
      <c r="A7615" s="3" t="s">
        <v>483</v>
      </c>
      <c r="B7615" s="4" t="s">
        <v>65</v>
      </c>
      <c r="C7615" s="4" t="n">
        <v>5</v>
      </c>
      <c r="D7615" s="4" t="s">
        <v>59</v>
      </c>
      <c r="E7615" s="3" t="s">
        <v>112</v>
      </c>
      <c r="F7615" s="4" t="str">
        <f aca="false">IF(I7615&gt;J7615,"Y","N")</f>
        <v>Y</v>
      </c>
      <c r="G7615" s="3" t="s">
        <v>36</v>
      </c>
      <c r="H7615" s="3" t="s">
        <v>37</v>
      </c>
      <c r="I7615" s="4" t="n">
        <v>16</v>
      </c>
      <c r="J7615" s="4" t="n">
        <f aca="false">LEN(E7615)-LEN(SUBSTITUTE(E7615,",",""))+1</f>
        <v>7</v>
      </c>
      <c r="K7615" s="3" t="str">
        <f aca="false">IFERROR(INDEX('Teacher Lookup'!$B$2:$B$200,MATCH(A7615,'Teacher Lookup'!$A$2:$A$200,0)),"")</f>
        <v>YIP Michael</v>
      </c>
    </row>
    <row r="7616" customFormat="false" ht="15" hidden="false" customHeight="false" outlineLevel="0" collapsed="false">
      <c r="A7616" s="3" t="s">
        <v>483</v>
      </c>
      <c r="B7616" s="4" t="s">
        <v>65</v>
      </c>
      <c r="C7616" s="4" t="n">
        <v>7</v>
      </c>
      <c r="D7616" s="4" t="s">
        <v>140</v>
      </c>
      <c r="E7616" s="3" t="s">
        <v>144</v>
      </c>
      <c r="F7616" s="4" t="str">
        <f aca="false">IF(I7616&gt;J7616,"Y","N")</f>
        <v>N</v>
      </c>
      <c r="G7616" s="3" t="s">
        <v>15</v>
      </c>
      <c r="H7616" s="3" t="s">
        <v>39</v>
      </c>
      <c r="I7616" s="4" t="n">
        <v>4</v>
      </c>
      <c r="J7616" s="4" t="n">
        <f aca="false">LEN(E7616)-LEN(SUBSTITUTE(E7616,",",""))+1</f>
        <v>4</v>
      </c>
      <c r="K7616" s="3" t="str">
        <f aca="false">IFERROR(INDEX('Teacher Lookup'!$B$2:$B$200,MATCH(A7616,'Teacher Lookup'!$A$2:$A$200,0)),"")</f>
        <v>YIP Michael</v>
      </c>
    </row>
    <row r="7617" customFormat="false" ht="15" hidden="false" customHeight="false" outlineLevel="0" collapsed="false">
      <c r="A7617" s="3" t="s">
        <v>483</v>
      </c>
      <c r="B7617" s="4" t="s">
        <v>65</v>
      </c>
      <c r="C7617" s="4" t="n">
        <v>7</v>
      </c>
      <c r="D7617" s="4" t="s">
        <v>142</v>
      </c>
      <c r="E7617" s="3" t="s">
        <v>144</v>
      </c>
      <c r="F7617" s="4" t="str">
        <f aca="false">IF(I7617&gt;J7617,"Y","N")</f>
        <v>N</v>
      </c>
      <c r="G7617" s="3" t="s">
        <v>15</v>
      </c>
      <c r="H7617" s="3" t="s">
        <v>39</v>
      </c>
      <c r="I7617" s="4" t="n">
        <v>4</v>
      </c>
      <c r="J7617" s="4" t="n">
        <f aca="false">LEN(E7617)-LEN(SUBSTITUTE(E7617,",",""))+1</f>
        <v>4</v>
      </c>
      <c r="K7617" s="3" t="str">
        <f aca="false">IFERROR(INDEX('Teacher Lookup'!$B$2:$B$200,MATCH(A7617,'Teacher Lookup'!$A$2:$A$200,0)),"")</f>
        <v>YIP Michael</v>
      </c>
    </row>
    <row r="7618" customFormat="false" ht="15" hidden="false" customHeight="false" outlineLevel="0" collapsed="false">
      <c r="A7618" s="3" t="s">
        <v>483</v>
      </c>
      <c r="B7618" s="4" t="s">
        <v>65</v>
      </c>
      <c r="C7618" s="4" t="n">
        <v>7</v>
      </c>
      <c r="D7618" s="4" t="s">
        <v>127</v>
      </c>
      <c r="E7618" s="3" t="s">
        <v>144</v>
      </c>
      <c r="F7618" s="4" t="str">
        <f aca="false">IF(I7618&gt;J7618,"Y","N")</f>
        <v>N</v>
      </c>
      <c r="G7618" s="3" t="s">
        <v>15</v>
      </c>
      <c r="H7618" s="3" t="s">
        <v>39</v>
      </c>
      <c r="I7618" s="4" t="n">
        <v>4</v>
      </c>
      <c r="J7618" s="4" t="n">
        <f aca="false">LEN(E7618)-LEN(SUBSTITUTE(E7618,",",""))+1</f>
        <v>4</v>
      </c>
      <c r="K7618" s="3" t="str">
        <f aca="false">IFERROR(INDEX('Teacher Lookup'!$B$2:$B$200,MATCH(A7618,'Teacher Lookup'!$A$2:$A$200,0)),"")</f>
        <v>YIP Michael</v>
      </c>
    </row>
    <row r="7619" customFormat="false" ht="15" hidden="false" customHeight="false" outlineLevel="0" collapsed="false">
      <c r="A7619" s="3" t="s">
        <v>483</v>
      </c>
      <c r="B7619" s="4" t="s">
        <v>66</v>
      </c>
      <c r="C7619" s="4" t="n">
        <v>1</v>
      </c>
      <c r="D7619" s="4" t="s">
        <v>137</v>
      </c>
      <c r="E7619" s="3" t="s">
        <v>215</v>
      </c>
      <c r="F7619" s="4" t="str">
        <f aca="false">IF(I7619&gt;J7619,"Y","N")</f>
        <v>N</v>
      </c>
      <c r="G7619" s="3" t="s">
        <v>15</v>
      </c>
      <c r="H7619" s="3" t="s">
        <v>16</v>
      </c>
      <c r="I7619" s="4" t="n">
        <v>4</v>
      </c>
      <c r="J7619" s="4" t="n">
        <f aca="false">LEN(E7619)-LEN(SUBSTITUTE(E7619,",",""))+1</f>
        <v>4</v>
      </c>
      <c r="K7619" s="3" t="str">
        <f aca="false">IFERROR(INDEX('Teacher Lookup'!$B$2:$B$200,MATCH(A7619,'Teacher Lookup'!$A$2:$A$200,0)),"")</f>
        <v>YIP Michael</v>
      </c>
    </row>
    <row r="7620" customFormat="false" ht="15" hidden="false" customHeight="false" outlineLevel="0" collapsed="false">
      <c r="A7620" s="3" t="s">
        <v>483</v>
      </c>
      <c r="B7620" s="4" t="s">
        <v>66</v>
      </c>
      <c r="C7620" s="4" t="n">
        <v>1</v>
      </c>
      <c r="D7620" s="4" t="s">
        <v>124</v>
      </c>
      <c r="E7620" s="3" t="s">
        <v>215</v>
      </c>
      <c r="F7620" s="4" t="str">
        <f aca="false">IF(I7620&gt;J7620,"Y","N")</f>
        <v>N</v>
      </c>
      <c r="G7620" s="3" t="s">
        <v>15</v>
      </c>
      <c r="H7620" s="3" t="s">
        <v>16</v>
      </c>
      <c r="I7620" s="4" t="n">
        <v>4</v>
      </c>
      <c r="J7620" s="4" t="n">
        <f aca="false">LEN(E7620)-LEN(SUBSTITUTE(E7620,",",""))+1</f>
        <v>4</v>
      </c>
      <c r="K7620" s="3" t="str">
        <f aca="false">IFERROR(INDEX('Teacher Lookup'!$B$2:$B$200,MATCH(A7620,'Teacher Lookup'!$A$2:$A$200,0)),"")</f>
        <v>YIP Michael</v>
      </c>
    </row>
    <row r="7621" customFormat="false" ht="15" hidden="false" customHeight="false" outlineLevel="0" collapsed="false">
      <c r="A7621" s="3" t="s">
        <v>483</v>
      </c>
      <c r="B7621" s="4" t="s">
        <v>66</v>
      </c>
      <c r="C7621" s="4" t="n">
        <v>1</v>
      </c>
      <c r="D7621" s="4" t="s">
        <v>139</v>
      </c>
      <c r="E7621" s="3" t="s">
        <v>215</v>
      </c>
      <c r="F7621" s="4" t="str">
        <f aca="false">IF(I7621&gt;J7621,"Y","N")</f>
        <v>N</v>
      </c>
      <c r="G7621" s="3" t="s">
        <v>15</v>
      </c>
      <c r="H7621" s="3" t="s">
        <v>16</v>
      </c>
      <c r="I7621" s="4" t="n">
        <v>4</v>
      </c>
      <c r="J7621" s="4" t="n">
        <f aca="false">LEN(E7621)-LEN(SUBSTITUTE(E7621,",",""))+1</f>
        <v>4</v>
      </c>
      <c r="K7621" s="3" t="str">
        <f aca="false">IFERROR(INDEX('Teacher Lookup'!$B$2:$B$200,MATCH(A7621,'Teacher Lookup'!$A$2:$A$200,0)),"")</f>
        <v>YIP Michael</v>
      </c>
    </row>
    <row r="7622" customFormat="false" ht="15" hidden="false" customHeight="false" outlineLevel="0" collapsed="false">
      <c r="A7622" s="3" t="s">
        <v>483</v>
      </c>
      <c r="B7622" s="4" t="s">
        <v>66</v>
      </c>
      <c r="C7622" s="4" t="n">
        <v>2</v>
      </c>
      <c r="D7622" s="4" t="s">
        <v>140</v>
      </c>
      <c r="E7622" s="3" t="s">
        <v>150</v>
      </c>
      <c r="F7622" s="4" t="str">
        <f aca="false">IF(I7622&gt;J7622,"Y","N")</f>
        <v>N</v>
      </c>
      <c r="G7622" s="3" t="s">
        <v>15</v>
      </c>
      <c r="H7622" s="3" t="s">
        <v>21</v>
      </c>
      <c r="I7622" s="4" t="n">
        <v>4</v>
      </c>
      <c r="J7622" s="4" t="n">
        <f aca="false">LEN(E7622)-LEN(SUBSTITUTE(E7622,",",""))+1</f>
        <v>4</v>
      </c>
      <c r="K7622" s="3" t="str">
        <f aca="false">IFERROR(INDEX('Teacher Lookup'!$B$2:$B$200,MATCH(A7622,'Teacher Lookup'!$A$2:$A$200,0)),"")</f>
        <v>YIP Michael</v>
      </c>
    </row>
    <row r="7623" customFormat="false" ht="15" hidden="false" customHeight="false" outlineLevel="0" collapsed="false">
      <c r="A7623" s="3" t="s">
        <v>483</v>
      </c>
      <c r="B7623" s="4" t="s">
        <v>66</v>
      </c>
      <c r="C7623" s="4" t="n">
        <v>2</v>
      </c>
      <c r="D7623" s="4" t="s">
        <v>142</v>
      </c>
      <c r="E7623" s="3" t="s">
        <v>150</v>
      </c>
      <c r="F7623" s="4" t="str">
        <f aca="false">IF(I7623&gt;J7623,"Y","N")</f>
        <v>N</v>
      </c>
      <c r="G7623" s="3" t="s">
        <v>15</v>
      </c>
      <c r="H7623" s="3" t="s">
        <v>21</v>
      </c>
      <c r="I7623" s="4" t="n">
        <v>4</v>
      </c>
      <c r="J7623" s="4" t="n">
        <f aca="false">LEN(E7623)-LEN(SUBSTITUTE(E7623,",",""))+1</f>
        <v>4</v>
      </c>
      <c r="K7623" s="3" t="str">
        <f aca="false">IFERROR(INDEX('Teacher Lookup'!$B$2:$B$200,MATCH(A7623,'Teacher Lookup'!$A$2:$A$200,0)),"")</f>
        <v>YIP Michael</v>
      </c>
    </row>
    <row r="7624" customFormat="false" ht="15" hidden="false" customHeight="false" outlineLevel="0" collapsed="false">
      <c r="A7624" s="3" t="s">
        <v>483</v>
      </c>
      <c r="B7624" s="4" t="s">
        <v>66</v>
      </c>
      <c r="C7624" s="4" t="n">
        <v>2</v>
      </c>
      <c r="D7624" s="4" t="s">
        <v>127</v>
      </c>
      <c r="E7624" s="3" t="s">
        <v>150</v>
      </c>
      <c r="F7624" s="4" t="str">
        <f aca="false">IF(I7624&gt;J7624,"Y","N")</f>
        <v>N</v>
      </c>
      <c r="G7624" s="3" t="s">
        <v>15</v>
      </c>
      <c r="H7624" s="3" t="s">
        <v>21</v>
      </c>
      <c r="I7624" s="4" t="n">
        <v>4</v>
      </c>
      <c r="J7624" s="4" t="n">
        <f aca="false">LEN(E7624)-LEN(SUBSTITUTE(E7624,",",""))+1</f>
        <v>4</v>
      </c>
      <c r="K7624" s="3" t="str">
        <f aca="false">IFERROR(INDEX('Teacher Lookup'!$B$2:$B$200,MATCH(A7624,'Teacher Lookup'!$A$2:$A$200,0)),"")</f>
        <v>YIP Michael</v>
      </c>
    </row>
    <row r="7625" customFormat="false" ht="15" hidden="false" customHeight="false" outlineLevel="0" collapsed="false">
      <c r="A7625" s="3" t="s">
        <v>483</v>
      </c>
      <c r="B7625" s="4" t="s">
        <v>66</v>
      </c>
      <c r="C7625" s="4" t="n">
        <v>6</v>
      </c>
      <c r="D7625" s="4" t="s">
        <v>52</v>
      </c>
      <c r="E7625" s="3" t="s">
        <v>306</v>
      </c>
      <c r="F7625" s="4" t="str">
        <f aca="false">IF(I7625&gt;J7625,"Y","N")</f>
        <v>N</v>
      </c>
      <c r="G7625" s="3" t="s">
        <v>15</v>
      </c>
      <c r="H7625" s="3" t="s">
        <v>42</v>
      </c>
      <c r="I7625" s="4" t="n">
        <v>7</v>
      </c>
      <c r="J7625" s="4" t="n">
        <f aca="false">LEN(E7625)-LEN(SUBSTITUTE(E7625,",",""))+1</f>
        <v>7</v>
      </c>
      <c r="K7625" s="3" t="str">
        <f aca="false">IFERROR(INDEX('Teacher Lookup'!$B$2:$B$200,MATCH(A7625,'Teacher Lookup'!$A$2:$A$200,0)),"")</f>
        <v>YIP Michael</v>
      </c>
    </row>
    <row r="7626" customFormat="false" ht="15" hidden="false" customHeight="false" outlineLevel="0" collapsed="false">
      <c r="A7626" s="3" t="s">
        <v>483</v>
      </c>
      <c r="B7626" s="4" t="s">
        <v>66</v>
      </c>
      <c r="C7626" s="4" t="n">
        <v>6</v>
      </c>
      <c r="D7626" s="4" t="s">
        <v>55</v>
      </c>
      <c r="E7626" s="3" t="s">
        <v>306</v>
      </c>
      <c r="F7626" s="4" t="str">
        <f aca="false">IF(I7626&gt;J7626,"Y","N")</f>
        <v>N</v>
      </c>
      <c r="G7626" s="3" t="s">
        <v>15</v>
      </c>
      <c r="H7626" s="3" t="s">
        <v>42</v>
      </c>
      <c r="I7626" s="4" t="n">
        <v>7</v>
      </c>
      <c r="J7626" s="4" t="n">
        <f aca="false">LEN(E7626)-LEN(SUBSTITUTE(E7626,",",""))+1</f>
        <v>7</v>
      </c>
      <c r="K7626" s="3" t="str">
        <f aca="false">IFERROR(INDEX('Teacher Lookup'!$B$2:$B$200,MATCH(A7626,'Teacher Lookup'!$A$2:$A$200,0)),"")</f>
        <v>YIP Michael</v>
      </c>
    </row>
    <row r="7627" customFormat="false" ht="15" hidden="false" customHeight="false" outlineLevel="0" collapsed="false">
      <c r="A7627" s="3" t="s">
        <v>483</v>
      </c>
      <c r="B7627" s="4" t="s">
        <v>66</v>
      </c>
      <c r="C7627" s="4" t="n">
        <v>6</v>
      </c>
      <c r="D7627" s="4" t="s">
        <v>56</v>
      </c>
      <c r="E7627" s="3" t="s">
        <v>306</v>
      </c>
      <c r="F7627" s="4" t="str">
        <f aca="false">IF(I7627&gt;J7627,"Y","N")</f>
        <v>N</v>
      </c>
      <c r="G7627" s="3" t="s">
        <v>15</v>
      </c>
      <c r="H7627" s="3" t="s">
        <v>42</v>
      </c>
      <c r="I7627" s="4" t="n">
        <v>7</v>
      </c>
      <c r="J7627" s="4" t="n">
        <f aca="false">LEN(E7627)-LEN(SUBSTITUTE(E7627,",",""))+1</f>
        <v>7</v>
      </c>
      <c r="K7627" s="3" t="str">
        <f aca="false">IFERROR(INDEX('Teacher Lookup'!$B$2:$B$200,MATCH(A7627,'Teacher Lookup'!$A$2:$A$200,0)),"")</f>
        <v>YIP Michael</v>
      </c>
    </row>
    <row r="7628" customFormat="false" ht="15" hidden="false" customHeight="false" outlineLevel="0" collapsed="false">
      <c r="A7628" s="3" t="s">
        <v>483</v>
      </c>
      <c r="B7628" s="4" t="s">
        <v>66</v>
      </c>
      <c r="C7628" s="4" t="n">
        <v>6</v>
      </c>
      <c r="D7628" s="4" t="s">
        <v>57</v>
      </c>
      <c r="E7628" s="3" t="s">
        <v>306</v>
      </c>
      <c r="F7628" s="4" t="str">
        <f aca="false">IF(I7628&gt;J7628,"Y","N")</f>
        <v>N</v>
      </c>
      <c r="G7628" s="3" t="s">
        <v>15</v>
      </c>
      <c r="H7628" s="3" t="s">
        <v>42</v>
      </c>
      <c r="I7628" s="4" t="n">
        <v>7</v>
      </c>
      <c r="J7628" s="4" t="n">
        <f aca="false">LEN(E7628)-LEN(SUBSTITUTE(E7628,",",""))+1</f>
        <v>7</v>
      </c>
      <c r="K7628" s="3" t="str">
        <f aca="false">IFERROR(INDEX('Teacher Lookup'!$B$2:$B$200,MATCH(A7628,'Teacher Lookup'!$A$2:$A$200,0)),"")</f>
        <v>YIP Michael</v>
      </c>
    </row>
    <row r="7629" customFormat="false" ht="15" hidden="false" customHeight="false" outlineLevel="0" collapsed="false">
      <c r="A7629" s="3" t="s">
        <v>483</v>
      </c>
      <c r="B7629" s="4" t="s">
        <v>66</v>
      </c>
      <c r="C7629" s="4" t="n">
        <v>6</v>
      </c>
      <c r="D7629" s="4" t="s">
        <v>58</v>
      </c>
      <c r="E7629" s="3" t="s">
        <v>306</v>
      </c>
      <c r="F7629" s="4" t="str">
        <f aca="false">IF(I7629&gt;J7629,"Y","N")</f>
        <v>N</v>
      </c>
      <c r="G7629" s="3" t="s">
        <v>15</v>
      </c>
      <c r="H7629" s="3" t="s">
        <v>42</v>
      </c>
      <c r="I7629" s="4" t="n">
        <v>7</v>
      </c>
      <c r="J7629" s="4" t="n">
        <f aca="false">LEN(E7629)-LEN(SUBSTITUTE(E7629,",",""))+1</f>
        <v>7</v>
      </c>
      <c r="K7629" s="3" t="str">
        <f aca="false">IFERROR(INDEX('Teacher Lookup'!$B$2:$B$200,MATCH(A7629,'Teacher Lookup'!$A$2:$A$200,0)),"")</f>
        <v>YIP Michael</v>
      </c>
    </row>
    <row r="7630" customFormat="false" ht="15" hidden="false" customHeight="false" outlineLevel="0" collapsed="false">
      <c r="A7630" s="3" t="s">
        <v>483</v>
      </c>
      <c r="B7630" s="4" t="s">
        <v>66</v>
      </c>
      <c r="C7630" s="4" t="n">
        <v>6</v>
      </c>
      <c r="D7630" s="4" t="s">
        <v>59</v>
      </c>
      <c r="E7630" s="3" t="s">
        <v>306</v>
      </c>
      <c r="F7630" s="4" t="str">
        <f aca="false">IF(I7630&gt;J7630,"Y","N")</f>
        <v>N</v>
      </c>
      <c r="G7630" s="3" t="s">
        <v>15</v>
      </c>
      <c r="H7630" s="3" t="s">
        <v>42</v>
      </c>
      <c r="I7630" s="4" t="n">
        <v>7</v>
      </c>
      <c r="J7630" s="4" t="n">
        <f aca="false">LEN(E7630)-LEN(SUBSTITUTE(E7630,",",""))+1</f>
        <v>7</v>
      </c>
      <c r="K7630" s="3" t="str">
        <f aca="false">IFERROR(INDEX('Teacher Lookup'!$B$2:$B$200,MATCH(A7630,'Teacher Lookup'!$A$2:$A$200,0)),"")</f>
        <v>YIP Michael</v>
      </c>
    </row>
    <row r="7631" customFormat="false" ht="15" hidden="false" customHeight="false" outlineLevel="0" collapsed="false">
      <c r="A7631" s="3" t="s">
        <v>484</v>
      </c>
      <c r="B7631" s="4" t="s">
        <v>12</v>
      </c>
      <c r="C7631" s="4" t="n">
        <v>1</v>
      </c>
      <c r="D7631" s="4" t="s">
        <v>78</v>
      </c>
      <c r="E7631" s="3" t="s">
        <v>135</v>
      </c>
      <c r="F7631" s="4" t="str">
        <f aca="false">IF(I7631&gt;J7631,"Y","N")</f>
        <v>N</v>
      </c>
      <c r="G7631" s="3" t="s">
        <v>376</v>
      </c>
      <c r="H7631" s="3" t="s">
        <v>16</v>
      </c>
      <c r="I7631" s="4" t="n">
        <v>1</v>
      </c>
      <c r="J7631" s="4" t="n">
        <f aca="false">LEN(E7631)-LEN(SUBSTITUTE(E7631,",",""))+1</f>
        <v>1</v>
      </c>
      <c r="K7631" s="3" t="str">
        <f aca="false">IFERROR(INDEX('Teacher Lookup'!$B$2:$B$200,MATCH(A7631,'Teacher Lookup'!$A$2:$A$200,0)),"")</f>
        <v>CHEUNG Nicole</v>
      </c>
    </row>
    <row r="7632" customFormat="false" ht="15" hidden="false" customHeight="false" outlineLevel="0" collapsed="false">
      <c r="A7632" s="3" t="s">
        <v>484</v>
      </c>
      <c r="B7632" s="4" t="s">
        <v>12</v>
      </c>
      <c r="C7632" s="4" t="n">
        <v>2</v>
      </c>
      <c r="D7632" s="4" t="s">
        <v>24</v>
      </c>
      <c r="E7632" s="3" t="s">
        <v>271</v>
      </c>
      <c r="F7632" s="4" t="str">
        <f aca="false">IF(I7632&gt;J7632,"Y","N")</f>
        <v>Y</v>
      </c>
      <c r="G7632" s="3" t="s">
        <v>272</v>
      </c>
      <c r="H7632" s="3" t="s">
        <v>21</v>
      </c>
      <c r="I7632" s="4" t="n">
        <v>8</v>
      </c>
      <c r="J7632" s="4" t="n">
        <f aca="false">LEN(E7632)-LEN(SUBSTITUTE(E7632,",",""))+1</f>
        <v>7</v>
      </c>
      <c r="K7632" s="3" t="str">
        <f aca="false">IFERROR(INDEX('Teacher Lookup'!$B$2:$B$200,MATCH(A7632,'Teacher Lookup'!$A$2:$A$200,0)),"")</f>
        <v>CHEUNG Nicole</v>
      </c>
    </row>
    <row r="7633" customFormat="false" ht="15" hidden="false" customHeight="false" outlineLevel="0" collapsed="false">
      <c r="A7633" s="3" t="s">
        <v>484</v>
      </c>
      <c r="B7633" s="4" t="s">
        <v>12</v>
      </c>
      <c r="C7633" s="4" t="n">
        <v>2</v>
      </c>
      <c r="D7633" s="4" t="s">
        <v>27</v>
      </c>
      <c r="E7633" s="3" t="s">
        <v>271</v>
      </c>
      <c r="F7633" s="4" t="str">
        <f aca="false">IF(I7633&gt;J7633,"Y","N")</f>
        <v>Y</v>
      </c>
      <c r="G7633" s="3" t="s">
        <v>272</v>
      </c>
      <c r="H7633" s="3" t="s">
        <v>21</v>
      </c>
      <c r="I7633" s="4" t="n">
        <v>8</v>
      </c>
      <c r="J7633" s="4" t="n">
        <f aca="false">LEN(E7633)-LEN(SUBSTITUTE(E7633,",",""))+1</f>
        <v>7</v>
      </c>
      <c r="K7633" s="3" t="str">
        <f aca="false">IFERROR(INDEX('Teacher Lookup'!$B$2:$B$200,MATCH(A7633,'Teacher Lookup'!$A$2:$A$200,0)),"")</f>
        <v>CHEUNG Nicole</v>
      </c>
    </row>
    <row r="7634" customFormat="false" ht="15" hidden="false" customHeight="false" outlineLevel="0" collapsed="false">
      <c r="A7634" s="3" t="s">
        <v>484</v>
      </c>
      <c r="B7634" s="4" t="s">
        <v>12</v>
      </c>
      <c r="C7634" s="4" t="n">
        <v>2</v>
      </c>
      <c r="D7634" s="4" t="s">
        <v>28</v>
      </c>
      <c r="E7634" s="3" t="s">
        <v>271</v>
      </c>
      <c r="F7634" s="4" t="str">
        <f aca="false">IF(I7634&gt;J7634,"Y","N")</f>
        <v>Y</v>
      </c>
      <c r="G7634" s="3" t="s">
        <v>272</v>
      </c>
      <c r="H7634" s="3" t="s">
        <v>21</v>
      </c>
      <c r="I7634" s="4" t="n">
        <v>8</v>
      </c>
      <c r="J7634" s="4" t="n">
        <f aca="false">LEN(E7634)-LEN(SUBSTITUTE(E7634,",",""))+1</f>
        <v>7</v>
      </c>
      <c r="K7634" s="3" t="str">
        <f aca="false">IFERROR(INDEX('Teacher Lookup'!$B$2:$B$200,MATCH(A7634,'Teacher Lookup'!$A$2:$A$200,0)),"")</f>
        <v>CHEUNG Nicole</v>
      </c>
    </row>
    <row r="7635" customFormat="false" ht="15" hidden="false" customHeight="false" outlineLevel="0" collapsed="false">
      <c r="A7635" s="3" t="s">
        <v>484</v>
      </c>
      <c r="B7635" s="4" t="s">
        <v>12</v>
      </c>
      <c r="C7635" s="4" t="n">
        <v>2</v>
      </c>
      <c r="D7635" s="4" t="s">
        <v>29</v>
      </c>
      <c r="E7635" s="3" t="s">
        <v>271</v>
      </c>
      <c r="F7635" s="4" t="str">
        <f aca="false">IF(I7635&gt;J7635,"Y","N")</f>
        <v>Y</v>
      </c>
      <c r="G7635" s="3" t="s">
        <v>272</v>
      </c>
      <c r="H7635" s="3" t="s">
        <v>21</v>
      </c>
      <c r="I7635" s="4" t="n">
        <v>8</v>
      </c>
      <c r="J7635" s="4" t="n">
        <f aca="false">LEN(E7635)-LEN(SUBSTITUTE(E7635,",",""))+1</f>
        <v>7</v>
      </c>
      <c r="K7635" s="3" t="str">
        <f aca="false">IFERROR(INDEX('Teacher Lookup'!$B$2:$B$200,MATCH(A7635,'Teacher Lookup'!$A$2:$A$200,0)),"")</f>
        <v>CHEUNG Nicole</v>
      </c>
    </row>
    <row r="7636" customFormat="false" ht="15" hidden="false" customHeight="false" outlineLevel="0" collapsed="false">
      <c r="A7636" s="3" t="s">
        <v>484</v>
      </c>
      <c r="B7636" s="4" t="s">
        <v>12</v>
      </c>
      <c r="C7636" s="4" t="n">
        <v>2</v>
      </c>
      <c r="D7636" s="4" t="s">
        <v>30</v>
      </c>
      <c r="E7636" s="3" t="s">
        <v>271</v>
      </c>
      <c r="F7636" s="4" t="str">
        <f aca="false">IF(I7636&gt;J7636,"Y","N")</f>
        <v>Y</v>
      </c>
      <c r="G7636" s="3" t="s">
        <v>272</v>
      </c>
      <c r="H7636" s="3" t="s">
        <v>21</v>
      </c>
      <c r="I7636" s="4" t="n">
        <v>8</v>
      </c>
      <c r="J7636" s="4" t="n">
        <f aca="false">LEN(E7636)-LEN(SUBSTITUTE(E7636,",",""))+1</f>
        <v>7</v>
      </c>
      <c r="K7636" s="3" t="str">
        <f aca="false">IFERROR(INDEX('Teacher Lookup'!$B$2:$B$200,MATCH(A7636,'Teacher Lookup'!$A$2:$A$200,0)),"")</f>
        <v>CHEUNG Nicole</v>
      </c>
    </row>
    <row r="7637" customFormat="false" ht="15" hidden="false" customHeight="false" outlineLevel="0" collapsed="false">
      <c r="A7637" s="3" t="s">
        <v>484</v>
      </c>
      <c r="B7637" s="4" t="s">
        <v>12</v>
      </c>
      <c r="C7637" s="4" t="n">
        <v>3</v>
      </c>
      <c r="D7637" s="4" t="s">
        <v>52</v>
      </c>
      <c r="E7637" s="3" t="s">
        <v>100</v>
      </c>
      <c r="F7637" s="4" t="str">
        <f aca="false">IF(I7637&gt;J7637,"Y","N")</f>
        <v>N</v>
      </c>
      <c r="G7637" s="3" t="s">
        <v>101</v>
      </c>
      <c r="H7637" s="3" t="s">
        <v>26</v>
      </c>
      <c r="I7637" s="4" t="n">
        <v>8</v>
      </c>
      <c r="J7637" s="4" t="n">
        <f aca="false">LEN(E7637)-LEN(SUBSTITUTE(E7637,",",""))+1</f>
        <v>8</v>
      </c>
      <c r="K7637" s="3" t="str">
        <f aca="false">IFERROR(INDEX('Teacher Lookup'!$B$2:$B$200,MATCH(A7637,'Teacher Lookup'!$A$2:$A$200,0)),"")</f>
        <v>CHEUNG Nicole</v>
      </c>
    </row>
    <row r="7638" customFormat="false" ht="15" hidden="false" customHeight="false" outlineLevel="0" collapsed="false">
      <c r="A7638" s="3" t="s">
        <v>484</v>
      </c>
      <c r="B7638" s="4" t="s">
        <v>12</v>
      </c>
      <c r="C7638" s="4" t="n">
        <v>3</v>
      </c>
      <c r="D7638" s="4" t="s">
        <v>55</v>
      </c>
      <c r="E7638" s="3" t="s">
        <v>100</v>
      </c>
      <c r="F7638" s="4" t="str">
        <f aca="false">IF(I7638&gt;J7638,"Y","N")</f>
        <v>N</v>
      </c>
      <c r="G7638" s="3" t="s">
        <v>101</v>
      </c>
      <c r="H7638" s="3" t="s">
        <v>26</v>
      </c>
      <c r="I7638" s="4" t="n">
        <v>8</v>
      </c>
      <c r="J7638" s="4" t="n">
        <f aca="false">LEN(E7638)-LEN(SUBSTITUTE(E7638,",",""))+1</f>
        <v>8</v>
      </c>
      <c r="K7638" s="3" t="str">
        <f aca="false">IFERROR(INDEX('Teacher Lookup'!$B$2:$B$200,MATCH(A7638,'Teacher Lookup'!$A$2:$A$200,0)),"")</f>
        <v>CHEUNG Nicole</v>
      </c>
    </row>
    <row r="7639" customFormat="false" ht="15" hidden="false" customHeight="false" outlineLevel="0" collapsed="false">
      <c r="A7639" s="3" t="s">
        <v>484</v>
      </c>
      <c r="B7639" s="4" t="s">
        <v>12</v>
      </c>
      <c r="C7639" s="4" t="n">
        <v>3</v>
      </c>
      <c r="D7639" s="4" t="s">
        <v>56</v>
      </c>
      <c r="E7639" s="3" t="s">
        <v>100</v>
      </c>
      <c r="F7639" s="4" t="str">
        <f aca="false">IF(I7639&gt;J7639,"Y","N")</f>
        <v>N</v>
      </c>
      <c r="G7639" s="3" t="s">
        <v>101</v>
      </c>
      <c r="H7639" s="3" t="s">
        <v>26</v>
      </c>
      <c r="I7639" s="4" t="n">
        <v>8</v>
      </c>
      <c r="J7639" s="4" t="n">
        <f aca="false">LEN(E7639)-LEN(SUBSTITUTE(E7639,",",""))+1</f>
        <v>8</v>
      </c>
      <c r="K7639" s="3" t="str">
        <f aca="false">IFERROR(INDEX('Teacher Lookup'!$B$2:$B$200,MATCH(A7639,'Teacher Lookup'!$A$2:$A$200,0)),"")</f>
        <v>CHEUNG Nicole</v>
      </c>
    </row>
    <row r="7640" customFormat="false" ht="15" hidden="false" customHeight="false" outlineLevel="0" collapsed="false">
      <c r="A7640" s="3" t="s">
        <v>484</v>
      </c>
      <c r="B7640" s="4" t="s">
        <v>12</v>
      </c>
      <c r="C7640" s="4" t="n">
        <v>3</v>
      </c>
      <c r="D7640" s="4" t="s">
        <v>57</v>
      </c>
      <c r="E7640" s="3" t="s">
        <v>100</v>
      </c>
      <c r="F7640" s="4" t="str">
        <f aca="false">IF(I7640&gt;J7640,"Y","N")</f>
        <v>N</v>
      </c>
      <c r="G7640" s="3" t="s">
        <v>101</v>
      </c>
      <c r="H7640" s="3" t="s">
        <v>26</v>
      </c>
      <c r="I7640" s="4" t="n">
        <v>8</v>
      </c>
      <c r="J7640" s="4" t="n">
        <f aca="false">LEN(E7640)-LEN(SUBSTITUTE(E7640,",",""))+1</f>
        <v>8</v>
      </c>
      <c r="K7640" s="3" t="str">
        <f aca="false">IFERROR(INDEX('Teacher Lookup'!$B$2:$B$200,MATCH(A7640,'Teacher Lookup'!$A$2:$A$200,0)),"")</f>
        <v>CHEUNG Nicole</v>
      </c>
    </row>
    <row r="7641" customFormat="false" ht="15" hidden="false" customHeight="false" outlineLevel="0" collapsed="false">
      <c r="A7641" s="3" t="s">
        <v>484</v>
      </c>
      <c r="B7641" s="4" t="s">
        <v>12</v>
      </c>
      <c r="C7641" s="4" t="n">
        <v>3</v>
      </c>
      <c r="D7641" s="4" t="s">
        <v>58</v>
      </c>
      <c r="E7641" s="3" t="s">
        <v>100</v>
      </c>
      <c r="F7641" s="4" t="str">
        <f aca="false">IF(I7641&gt;J7641,"Y","N")</f>
        <v>N</v>
      </c>
      <c r="G7641" s="3" t="s">
        <v>101</v>
      </c>
      <c r="H7641" s="3" t="s">
        <v>26</v>
      </c>
      <c r="I7641" s="4" t="n">
        <v>8</v>
      </c>
      <c r="J7641" s="4" t="n">
        <f aca="false">LEN(E7641)-LEN(SUBSTITUTE(E7641,",",""))+1</f>
        <v>8</v>
      </c>
      <c r="K7641" s="3" t="str">
        <f aca="false">IFERROR(INDEX('Teacher Lookup'!$B$2:$B$200,MATCH(A7641,'Teacher Lookup'!$A$2:$A$200,0)),"")</f>
        <v>CHEUNG Nicole</v>
      </c>
    </row>
    <row r="7642" customFormat="false" ht="15" hidden="false" customHeight="false" outlineLevel="0" collapsed="false">
      <c r="A7642" s="3" t="s">
        <v>484</v>
      </c>
      <c r="B7642" s="4" t="s">
        <v>12</v>
      </c>
      <c r="C7642" s="4" t="n">
        <v>3</v>
      </c>
      <c r="D7642" s="4" t="s">
        <v>59</v>
      </c>
      <c r="E7642" s="3" t="s">
        <v>100</v>
      </c>
      <c r="F7642" s="4" t="str">
        <f aca="false">IF(I7642&gt;J7642,"Y","N")</f>
        <v>N</v>
      </c>
      <c r="G7642" s="3" t="s">
        <v>101</v>
      </c>
      <c r="H7642" s="3" t="s">
        <v>26</v>
      </c>
      <c r="I7642" s="4" t="n">
        <v>8</v>
      </c>
      <c r="J7642" s="4" t="n">
        <f aca="false">LEN(E7642)-LEN(SUBSTITUTE(E7642,",",""))+1</f>
        <v>8</v>
      </c>
      <c r="K7642" s="3" t="str">
        <f aca="false">IFERROR(INDEX('Teacher Lookup'!$B$2:$B$200,MATCH(A7642,'Teacher Lookup'!$A$2:$A$200,0)),"")</f>
        <v>CHEUNG Nicole</v>
      </c>
    </row>
    <row r="7643" customFormat="false" ht="15" hidden="false" customHeight="false" outlineLevel="0" collapsed="false">
      <c r="A7643" s="3" t="s">
        <v>484</v>
      </c>
      <c r="B7643" s="4" t="s">
        <v>12</v>
      </c>
      <c r="C7643" s="4" t="n">
        <v>4</v>
      </c>
      <c r="D7643" s="4" t="s">
        <v>73</v>
      </c>
      <c r="E7643" s="3" t="s">
        <v>438</v>
      </c>
      <c r="F7643" s="4" t="str">
        <f aca="false">IF(I7643&gt;J7643,"Y","N")</f>
        <v>N</v>
      </c>
      <c r="G7643" s="3" t="s">
        <v>376</v>
      </c>
      <c r="H7643" s="3" t="s">
        <v>34</v>
      </c>
      <c r="I7643" s="4" t="n">
        <v>1</v>
      </c>
      <c r="J7643" s="4" t="n">
        <f aca="false">LEN(E7643)-LEN(SUBSTITUTE(E7643,",",""))+1</f>
        <v>1</v>
      </c>
      <c r="K7643" s="3" t="str">
        <f aca="false">IFERROR(INDEX('Teacher Lookup'!$B$2:$B$200,MATCH(A7643,'Teacher Lookup'!$A$2:$A$200,0)),"")</f>
        <v>CHEUNG Nicole</v>
      </c>
    </row>
    <row r="7644" customFormat="false" ht="15" hidden="false" customHeight="false" outlineLevel="0" collapsed="false">
      <c r="A7644" s="3" t="s">
        <v>484</v>
      </c>
      <c r="B7644" s="4" t="s">
        <v>12</v>
      </c>
      <c r="C7644" s="4" t="n">
        <v>7</v>
      </c>
      <c r="D7644" s="4" t="s">
        <v>24</v>
      </c>
      <c r="E7644" s="3" t="s">
        <v>485</v>
      </c>
      <c r="F7644" s="4" t="str">
        <f aca="false">IF(I7644&gt;J7644,"Y","N")</f>
        <v>N</v>
      </c>
      <c r="G7644" s="3" t="s">
        <v>486</v>
      </c>
      <c r="H7644" s="3" t="s">
        <v>39</v>
      </c>
      <c r="I7644" s="4" t="n">
        <v>1</v>
      </c>
      <c r="J7644" s="4" t="n">
        <f aca="false">LEN(E7644)-LEN(SUBSTITUTE(E7644,",",""))+1</f>
        <v>1</v>
      </c>
      <c r="K7644" s="3" t="str">
        <f aca="false">IFERROR(INDEX('Teacher Lookup'!$B$2:$B$200,MATCH(A7644,'Teacher Lookup'!$A$2:$A$200,0)),"")</f>
        <v>CHEUNG Nicole</v>
      </c>
    </row>
    <row r="7645" customFormat="false" ht="15" hidden="false" customHeight="false" outlineLevel="0" collapsed="false">
      <c r="A7645" s="3" t="s">
        <v>484</v>
      </c>
      <c r="B7645" s="4" t="s">
        <v>31</v>
      </c>
      <c r="C7645" s="4" t="n">
        <v>1</v>
      </c>
      <c r="D7645" s="4" t="s">
        <v>24</v>
      </c>
      <c r="E7645" s="3" t="s">
        <v>274</v>
      </c>
      <c r="F7645" s="4" t="str">
        <f aca="false">IF(I7645&gt;J7645,"Y","N")</f>
        <v>Y</v>
      </c>
      <c r="G7645" s="3" t="s">
        <v>272</v>
      </c>
      <c r="H7645" s="3" t="s">
        <v>16</v>
      </c>
      <c r="I7645" s="4" t="n">
        <v>8</v>
      </c>
      <c r="J7645" s="4" t="n">
        <f aca="false">LEN(E7645)-LEN(SUBSTITUTE(E7645,",",""))+1</f>
        <v>7</v>
      </c>
      <c r="K7645" s="3" t="str">
        <f aca="false">IFERROR(INDEX('Teacher Lookup'!$B$2:$B$200,MATCH(A7645,'Teacher Lookup'!$A$2:$A$200,0)),"")</f>
        <v>CHEUNG Nicole</v>
      </c>
    </row>
    <row r="7646" customFormat="false" ht="15" hidden="false" customHeight="false" outlineLevel="0" collapsed="false">
      <c r="A7646" s="3" t="s">
        <v>484</v>
      </c>
      <c r="B7646" s="4" t="s">
        <v>31</v>
      </c>
      <c r="C7646" s="4" t="n">
        <v>1</v>
      </c>
      <c r="D7646" s="4" t="s">
        <v>27</v>
      </c>
      <c r="E7646" s="3" t="s">
        <v>274</v>
      </c>
      <c r="F7646" s="4" t="str">
        <f aca="false">IF(I7646&gt;J7646,"Y","N")</f>
        <v>Y</v>
      </c>
      <c r="G7646" s="3" t="s">
        <v>272</v>
      </c>
      <c r="H7646" s="3" t="s">
        <v>16</v>
      </c>
      <c r="I7646" s="4" t="n">
        <v>8</v>
      </c>
      <c r="J7646" s="4" t="n">
        <f aca="false">LEN(E7646)-LEN(SUBSTITUTE(E7646,",",""))+1</f>
        <v>7</v>
      </c>
      <c r="K7646" s="3" t="str">
        <f aca="false">IFERROR(INDEX('Teacher Lookup'!$B$2:$B$200,MATCH(A7646,'Teacher Lookup'!$A$2:$A$200,0)),"")</f>
        <v>CHEUNG Nicole</v>
      </c>
    </row>
    <row r="7647" customFormat="false" ht="15" hidden="false" customHeight="false" outlineLevel="0" collapsed="false">
      <c r="A7647" s="3" t="s">
        <v>484</v>
      </c>
      <c r="B7647" s="4" t="s">
        <v>31</v>
      </c>
      <c r="C7647" s="4" t="n">
        <v>1</v>
      </c>
      <c r="D7647" s="4" t="s">
        <v>28</v>
      </c>
      <c r="E7647" s="3" t="s">
        <v>274</v>
      </c>
      <c r="F7647" s="4" t="str">
        <f aca="false">IF(I7647&gt;J7647,"Y","N")</f>
        <v>Y</v>
      </c>
      <c r="G7647" s="3" t="s">
        <v>272</v>
      </c>
      <c r="H7647" s="3" t="s">
        <v>16</v>
      </c>
      <c r="I7647" s="4" t="n">
        <v>8</v>
      </c>
      <c r="J7647" s="4" t="n">
        <f aca="false">LEN(E7647)-LEN(SUBSTITUTE(E7647,",",""))+1</f>
        <v>7</v>
      </c>
      <c r="K7647" s="3" t="str">
        <f aca="false">IFERROR(INDEX('Teacher Lookup'!$B$2:$B$200,MATCH(A7647,'Teacher Lookup'!$A$2:$A$200,0)),"")</f>
        <v>CHEUNG Nicole</v>
      </c>
    </row>
    <row r="7648" customFormat="false" ht="15" hidden="false" customHeight="false" outlineLevel="0" collapsed="false">
      <c r="A7648" s="3" t="s">
        <v>484</v>
      </c>
      <c r="B7648" s="4" t="s">
        <v>31</v>
      </c>
      <c r="C7648" s="4" t="n">
        <v>1</v>
      </c>
      <c r="D7648" s="4" t="s">
        <v>29</v>
      </c>
      <c r="E7648" s="3" t="s">
        <v>274</v>
      </c>
      <c r="F7648" s="4" t="str">
        <f aca="false">IF(I7648&gt;J7648,"Y","N")</f>
        <v>Y</v>
      </c>
      <c r="G7648" s="3" t="s">
        <v>272</v>
      </c>
      <c r="H7648" s="3" t="s">
        <v>16</v>
      </c>
      <c r="I7648" s="4" t="n">
        <v>8</v>
      </c>
      <c r="J7648" s="4" t="n">
        <f aca="false">LEN(E7648)-LEN(SUBSTITUTE(E7648,",",""))+1</f>
        <v>7</v>
      </c>
      <c r="K7648" s="3" t="str">
        <f aca="false">IFERROR(INDEX('Teacher Lookup'!$B$2:$B$200,MATCH(A7648,'Teacher Lookup'!$A$2:$A$200,0)),"")</f>
        <v>CHEUNG Nicole</v>
      </c>
    </row>
    <row r="7649" customFormat="false" ht="15" hidden="false" customHeight="false" outlineLevel="0" collapsed="false">
      <c r="A7649" s="3" t="s">
        <v>484</v>
      </c>
      <c r="B7649" s="4" t="s">
        <v>31</v>
      </c>
      <c r="C7649" s="4" t="n">
        <v>1</v>
      </c>
      <c r="D7649" s="4" t="s">
        <v>30</v>
      </c>
      <c r="E7649" s="3" t="s">
        <v>274</v>
      </c>
      <c r="F7649" s="4" t="str">
        <f aca="false">IF(I7649&gt;J7649,"Y","N")</f>
        <v>Y</v>
      </c>
      <c r="G7649" s="3" t="s">
        <v>272</v>
      </c>
      <c r="H7649" s="3" t="s">
        <v>16</v>
      </c>
      <c r="I7649" s="4" t="n">
        <v>8</v>
      </c>
      <c r="J7649" s="4" t="n">
        <f aca="false">LEN(E7649)-LEN(SUBSTITUTE(E7649,",",""))+1</f>
        <v>7</v>
      </c>
      <c r="K7649" s="3" t="str">
        <f aca="false">IFERROR(INDEX('Teacher Lookup'!$B$2:$B$200,MATCH(A7649,'Teacher Lookup'!$A$2:$A$200,0)),"")</f>
        <v>CHEUNG Nicole</v>
      </c>
    </row>
    <row r="7650" customFormat="false" ht="15" hidden="false" customHeight="false" outlineLevel="0" collapsed="false">
      <c r="A7650" s="3" t="s">
        <v>484</v>
      </c>
      <c r="B7650" s="4" t="s">
        <v>31</v>
      </c>
      <c r="C7650" s="4" t="n">
        <v>4</v>
      </c>
      <c r="D7650" s="4" t="s">
        <v>52</v>
      </c>
      <c r="E7650" s="3" t="s">
        <v>111</v>
      </c>
      <c r="F7650" s="4" t="str">
        <f aca="false">IF(I7650&gt;J7650,"Y","N")</f>
        <v>N</v>
      </c>
      <c r="G7650" s="3" t="s">
        <v>101</v>
      </c>
      <c r="H7650" s="3" t="s">
        <v>34</v>
      </c>
      <c r="I7650" s="4" t="n">
        <v>8</v>
      </c>
      <c r="J7650" s="4" t="n">
        <f aca="false">LEN(E7650)-LEN(SUBSTITUTE(E7650,",",""))+1</f>
        <v>8</v>
      </c>
      <c r="K7650" s="3" t="str">
        <f aca="false">IFERROR(INDEX('Teacher Lookup'!$B$2:$B$200,MATCH(A7650,'Teacher Lookup'!$A$2:$A$200,0)),"")</f>
        <v>CHEUNG Nicole</v>
      </c>
    </row>
    <row r="7651" customFormat="false" ht="15" hidden="false" customHeight="false" outlineLevel="0" collapsed="false">
      <c r="A7651" s="3" t="s">
        <v>484</v>
      </c>
      <c r="B7651" s="4" t="s">
        <v>31</v>
      </c>
      <c r="C7651" s="4" t="n">
        <v>4</v>
      </c>
      <c r="D7651" s="4" t="s">
        <v>55</v>
      </c>
      <c r="E7651" s="3" t="s">
        <v>111</v>
      </c>
      <c r="F7651" s="4" t="str">
        <f aca="false">IF(I7651&gt;J7651,"Y","N")</f>
        <v>N</v>
      </c>
      <c r="G7651" s="3" t="s">
        <v>101</v>
      </c>
      <c r="H7651" s="3" t="s">
        <v>34</v>
      </c>
      <c r="I7651" s="4" t="n">
        <v>8</v>
      </c>
      <c r="J7651" s="4" t="n">
        <f aca="false">LEN(E7651)-LEN(SUBSTITUTE(E7651,",",""))+1</f>
        <v>8</v>
      </c>
      <c r="K7651" s="3" t="str">
        <f aca="false">IFERROR(INDEX('Teacher Lookup'!$B$2:$B$200,MATCH(A7651,'Teacher Lookup'!$A$2:$A$200,0)),"")</f>
        <v>CHEUNG Nicole</v>
      </c>
    </row>
    <row r="7652" customFormat="false" ht="15" hidden="false" customHeight="false" outlineLevel="0" collapsed="false">
      <c r="A7652" s="3" t="s">
        <v>484</v>
      </c>
      <c r="B7652" s="4" t="s">
        <v>31</v>
      </c>
      <c r="C7652" s="4" t="n">
        <v>4</v>
      </c>
      <c r="D7652" s="4" t="s">
        <v>56</v>
      </c>
      <c r="E7652" s="3" t="s">
        <v>111</v>
      </c>
      <c r="F7652" s="4" t="str">
        <f aca="false">IF(I7652&gt;J7652,"Y","N")</f>
        <v>N</v>
      </c>
      <c r="G7652" s="3" t="s">
        <v>101</v>
      </c>
      <c r="H7652" s="3" t="s">
        <v>34</v>
      </c>
      <c r="I7652" s="4" t="n">
        <v>8</v>
      </c>
      <c r="J7652" s="4" t="n">
        <f aca="false">LEN(E7652)-LEN(SUBSTITUTE(E7652,",",""))+1</f>
        <v>8</v>
      </c>
      <c r="K7652" s="3" t="str">
        <f aca="false">IFERROR(INDEX('Teacher Lookup'!$B$2:$B$200,MATCH(A7652,'Teacher Lookup'!$A$2:$A$200,0)),"")</f>
        <v>CHEUNG Nicole</v>
      </c>
    </row>
    <row r="7653" customFormat="false" ht="15" hidden="false" customHeight="false" outlineLevel="0" collapsed="false">
      <c r="A7653" s="3" t="s">
        <v>484</v>
      </c>
      <c r="B7653" s="4" t="s">
        <v>31</v>
      </c>
      <c r="C7653" s="4" t="n">
        <v>4</v>
      </c>
      <c r="D7653" s="4" t="s">
        <v>57</v>
      </c>
      <c r="E7653" s="3" t="s">
        <v>111</v>
      </c>
      <c r="F7653" s="4" t="str">
        <f aca="false">IF(I7653&gt;J7653,"Y","N")</f>
        <v>N</v>
      </c>
      <c r="G7653" s="3" t="s">
        <v>101</v>
      </c>
      <c r="H7653" s="3" t="s">
        <v>34</v>
      </c>
      <c r="I7653" s="4" t="n">
        <v>8</v>
      </c>
      <c r="J7653" s="4" t="n">
        <f aca="false">LEN(E7653)-LEN(SUBSTITUTE(E7653,",",""))+1</f>
        <v>8</v>
      </c>
      <c r="K7653" s="3" t="str">
        <f aca="false">IFERROR(INDEX('Teacher Lookup'!$B$2:$B$200,MATCH(A7653,'Teacher Lookup'!$A$2:$A$200,0)),"")</f>
        <v>CHEUNG Nicole</v>
      </c>
    </row>
    <row r="7654" customFormat="false" ht="15" hidden="false" customHeight="false" outlineLevel="0" collapsed="false">
      <c r="A7654" s="3" t="s">
        <v>484</v>
      </c>
      <c r="B7654" s="4" t="s">
        <v>31</v>
      </c>
      <c r="C7654" s="4" t="n">
        <v>4</v>
      </c>
      <c r="D7654" s="4" t="s">
        <v>58</v>
      </c>
      <c r="E7654" s="3" t="s">
        <v>111</v>
      </c>
      <c r="F7654" s="4" t="str">
        <f aca="false">IF(I7654&gt;J7654,"Y","N")</f>
        <v>N</v>
      </c>
      <c r="G7654" s="3" t="s">
        <v>101</v>
      </c>
      <c r="H7654" s="3" t="s">
        <v>34</v>
      </c>
      <c r="I7654" s="4" t="n">
        <v>8</v>
      </c>
      <c r="J7654" s="4" t="n">
        <f aca="false">LEN(E7654)-LEN(SUBSTITUTE(E7654,",",""))+1</f>
        <v>8</v>
      </c>
      <c r="K7654" s="3" t="str">
        <f aca="false">IFERROR(INDEX('Teacher Lookup'!$B$2:$B$200,MATCH(A7654,'Teacher Lookup'!$A$2:$A$200,0)),"")</f>
        <v>CHEUNG Nicole</v>
      </c>
    </row>
    <row r="7655" customFormat="false" ht="15" hidden="false" customHeight="false" outlineLevel="0" collapsed="false">
      <c r="A7655" s="3" t="s">
        <v>484</v>
      </c>
      <c r="B7655" s="4" t="s">
        <v>31</v>
      </c>
      <c r="C7655" s="4" t="n">
        <v>4</v>
      </c>
      <c r="D7655" s="4" t="s">
        <v>59</v>
      </c>
      <c r="E7655" s="3" t="s">
        <v>111</v>
      </c>
      <c r="F7655" s="4" t="str">
        <f aca="false">IF(I7655&gt;J7655,"Y","N")</f>
        <v>N</v>
      </c>
      <c r="G7655" s="3" t="s">
        <v>101</v>
      </c>
      <c r="H7655" s="3" t="s">
        <v>34</v>
      </c>
      <c r="I7655" s="4" t="n">
        <v>8</v>
      </c>
      <c r="J7655" s="4" t="n">
        <f aca="false">LEN(E7655)-LEN(SUBSTITUTE(E7655,",",""))+1</f>
        <v>8</v>
      </c>
      <c r="K7655" s="3" t="str">
        <f aca="false">IFERROR(INDEX('Teacher Lookup'!$B$2:$B$200,MATCH(A7655,'Teacher Lookup'!$A$2:$A$200,0)),"")</f>
        <v>CHEUNG Nicole</v>
      </c>
    </row>
    <row r="7656" customFormat="false" ht="15" hidden="false" customHeight="false" outlineLevel="0" collapsed="false">
      <c r="A7656" s="3" t="s">
        <v>484</v>
      </c>
      <c r="B7656" s="4" t="s">
        <v>31</v>
      </c>
      <c r="C7656" s="4" t="n">
        <v>5</v>
      </c>
      <c r="D7656" s="4" t="s">
        <v>24</v>
      </c>
      <c r="E7656" s="3" t="s">
        <v>131</v>
      </c>
      <c r="F7656" s="4" t="str">
        <f aca="false">IF(I7656&gt;J7656,"Y","N")</f>
        <v>Y</v>
      </c>
      <c r="G7656" s="3" t="s">
        <v>36</v>
      </c>
      <c r="H7656" s="3" t="s">
        <v>37</v>
      </c>
      <c r="I7656" s="4" t="n">
        <v>15</v>
      </c>
      <c r="J7656" s="4" t="n">
        <f aca="false">LEN(E7656)-LEN(SUBSTITUTE(E7656,",",""))+1</f>
        <v>7</v>
      </c>
      <c r="K7656" s="3" t="str">
        <f aca="false">IFERROR(INDEX('Teacher Lookup'!$B$2:$B$200,MATCH(A7656,'Teacher Lookup'!$A$2:$A$200,0)),"")</f>
        <v>CHEUNG Nicole</v>
      </c>
    </row>
    <row r="7657" customFormat="false" ht="15" hidden="false" customHeight="false" outlineLevel="0" collapsed="false">
      <c r="A7657" s="3" t="s">
        <v>484</v>
      </c>
      <c r="B7657" s="4" t="s">
        <v>31</v>
      </c>
      <c r="C7657" s="4" t="n">
        <v>5</v>
      </c>
      <c r="D7657" s="4" t="s">
        <v>132</v>
      </c>
      <c r="E7657" s="3" t="s">
        <v>131</v>
      </c>
      <c r="F7657" s="4" t="str">
        <f aca="false">IF(I7657&gt;J7657,"Y","N")</f>
        <v>Y</v>
      </c>
      <c r="G7657" s="3" t="s">
        <v>36</v>
      </c>
      <c r="H7657" s="3" t="s">
        <v>37</v>
      </c>
      <c r="I7657" s="4" t="n">
        <v>15</v>
      </c>
      <c r="J7657" s="4" t="n">
        <f aca="false">LEN(E7657)-LEN(SUBSTITUTE(E7657,",",""))+1</f>
        <v>7</v>
      </c>
      <c r="K7657" s="3" t="str">
        <f aca="false">IFERROR(INDEX('Teacher Lookup'!$B$2:$B$200,MATCH(A7657,'Teacher Lookup'!$A$2:$A$200,0)),"")</f>
        <v>CHEUNG Nicole</v>
      </c>
    </row>
    <row r="7658" customFormat="false" ht="15" hidden="false" customHeight="false" outlineLevel="0" collapsed="false">
      <c r="A7658" s="3" t="s">
        <v>484</v>
      </c>
      <c r="B7658" s="4" t="s">
        <v>31</v>
      </c>
      <c r="C7658" s="4" t="n">
        <v>5</v>
      </c>
      <c r="D7658" s="4" t="s">
        <v>27</v>
      </c>
      <c r="E7658" s="3" t="s">
        <v>131</v>
      </c>
      <c r="F7658" s="4" t="str">
        <f aca="false">IF(I7658&gt;J7658,"Y","N")</f>
        <v>Y</v>
      </c>
      <c r="G7658" s="3" t="s">
        <v>36</v>
      </c>
      <c r="H7658" s="3" t="s">
        <v>37</v>
      </c>
      <c r="I7658" s="4" t="n">
        <v>15</v>
      </c>
      <c r="J7658" s="4" t="n">
        <f aca="false">LEN(E7658)-LEN(SUBSTITUTE(E7658,",",""))+1</f>
        <v>7</v>
      </c>
      <c r="K7658" s="3" t="str">
        <f aca="false">IFERROR(INDEX('Teacher Lookup'!$B$2:$B$200,MATCH(A7658,'Teacher Lookup'!$A$2:$A$200,0)),"")</f>
        <v>CHEUNG Nicole</v>
      </c>
    </row>
    <row r="7659" customFormat="false" ht="15" hidden="false" customHeight="false" outlineLevel="0" collapsed="false">
      <c r="A7659" s="3" t="s">
        <v>484</v>
      </c>
      <c r="B7659" s="4" t="s">
        <v>31</v>
      </c>
      <c r="C7659" s="4" t="n">
        <v>5</v>
      </c>
      <c r="D7659" s="4" t="s">
        <v>28</v>
      </c>
      <c r="E7659" s="3" t="s">
        <v>131</v>
      </c>
      <c r="F7659" s="4" t="str">
        <f aca="false">IF(I7659&gt;J7659,"Y","N")</f>
        <v>Y</v>
      </c>
      <c r="G7659" s="3" t="s">
        <v>36</v>
      </c>
      <c r="H7659" s="3" t="s">
        <v>37</v>
      </c>
      <c r="I7659" s="4" t="n">
        <v>15</v>
      </c>
      <c r="J7659" s="4" t="n">
        <f aca="false">LEN(E7659)-LEN(SUBSTITUTE(E7659,",",""))+1</f>
        <v>7</v>
      </c>
      <c r="K7659" s="3" t="str">
        <f aca="false">IFERROR(INDEX('Teacher Lookup'!$B$2:$B$200,MATCH(A7659,'Teacher Lookup'!$A$2:$A$200,0)),"")</f>
        <v>CHEUNG Nicole</v>
      </c>
    </row>
    <row r="7660" customFormat="false" ht="15" hidden="false" customHeight="false" outlineLevel="0" collapsed="false">
      <c r="A7660" s="3" t="s">
        <v>484</v>
      </c>
      <c r="B7660" s="4" t="s">
        <v>31</v>
      </c>
      <c r="C7660" s="4" t="n">
        <v>5</v>
      </c>
      <c r="D7660" s="4" t="s">
        <v>29</v>
      </c>
      <c r="E7660" s="3" t="s">
        <v>131</v>
      </c>
      <c r="F7660" s="4" t="str">
        <f aca="false">IF(I7660&gt;J7660,"Y","N")</f>
        <v>Y</v>
      </c>
      <c r="G7660" s="3" t="s">
        <v>36</v>
      </c>
      <c r="H7660" s="3" t="s">
        <v>37</v>
      </c>
      <c r="I7660" s="4" t="n">
        <v>15</v>
      </c>
      <c r="J7660" s="4" t="n">
        <f aca="false">LEN(E7660)-LEN(SUBSTITUTE(E7660,",",""))+1</f>
        <v>7</v>
      </c>
      <c r="K7660" s="3" t="str">
        <f aca="false">IFERROR(INDEX('Teacher Lookup'!$B$2:$B$200,MATCH(A7660,'Teacher Lookup'!$A$2:$A$200,0)),"")</f>
        <v>CHEUNG Nicole</v>
      </c>
    </row>
    <row r="7661" customFormat="false" ht="15" hidden="false" customHeight="false" outlineLevel="0" collapsed="false">
      <c r="A7661" s="3" t="s">
        <v>484</v>
      </c>
      <c r="B7661" s="4" t="s">
        <v>31</v>
      </c>
      <c r="C7661" s="4" t="n">
        <v>5</v>
      </c>
      <c r="D7661" s="4" t="s">
        <v>30</v>
      </c>
      <c r="E7661" s="3" t="s">
        <v>131</v>
      </c>
      <c r="F7661" s="4" t="str">
        <f aca="false">IF(I7661&gt;J7661,"Y","N")</f>
        <v>Y</v>
      </c>
      <c r="G7661" s="3" t="s">
        <v>36</v>
      </c>
      <c r="H7661" s="3" t="s">
        <v>37</v>
      </c>
      <c r="I7661" s="4" t="n">
        <v>15</v>
      </c>
      <c r="J7661" s="4" t="n">
        <f aca="false">LEN(E7661)-LEN(SUBSTITUTE(E7661,",",""))+1</f>
        <v>7</v>
      </c>
      <c r="K7661" s="3" t="str">
        <f aca="false">IFERROR(INDEX('Teacher Lookup'!$B$2:$B$200,MATCH(A7661,'Teacher Lookup'!$A$2:$A$200,0)),"")</f>
        <v>CHEUNG Nicole</v>
      </c>
    </row>
    <row r="7662" customFormat="false" ht="15" hidden="false" customHeight="false" outlineLevel="0" collapsed="false">
      <c r="A7662" s="3" t="s">
        <v>484</v>
      </c>
      <c r="B7662" s="4" t="s">
        <v>40</v>
      </c>
      <c r="C7662" s="4" t="n">
        <v>1</v>
      </c>
      <c r="D7662" s="4" t="s">
        <v>24</v>
      </c>
      <c r="E7662" s="3" t="s">
        <v>485</v>
      </c>
      <c r="F7662" s="4" t="str">
        <f aca="false">IF(I7662&gt;J7662,"Y","N")</f>
        <v>N</v>
      </c>
      <c r="G7662" s="3" t="s">
        <v>486</v>
      </c>
      <c r="H7662" s="3" t="s">
        <v>16</v>
      </c>
      <c r="I7662" s="4" t="n">
        <v>1</v>
      </c>
      <c r="J7662" s="4" t="n">
        <f aca="false">LEN(E7662)-LEN(SUBSTITUTE(E7662,",",""))+1</f>
        <v>1</v>
      </c>
      <c r="K7662" s="3" t="str">
        <f aca="false">IFERROR(INDEX('Teacher Lookup'!$B$2:$B$200,MATCH(A7662,'Teacher Lookup'!$A$2:$A$200,0)),"")</f>
        <v>CHEUNG Nicole</v>
      </c>
    </row>
    <row r="7663" customFormat="false" ht="15" hidden="false" customHeight="false" outlineLevel="0" collapsed="false">
      <c r="A7663" s="3" t="s">
        <v>484</v>
      </c>
      <c r="B7663" s="4" t="s">
        <v>40</v>
      </c>
      <c r="C7663" s="4" t="n">
        <v>3</v>
      </c>
      <c r="D7663" s="4" t="s">
        <v>24</v>
      </c>
      <c r="E7663" s="3" t="s">
        <v>275</v>
      </c>
      <c r="F7663" s="4" t="str">
        <f aca="false">IF(I7663&gt;J7663,"Y","N")</f>
        <v>Y</v>
      </c>
      <c r="G7663" s="3" t="s">
        <v>272</v>
      </c>
      <c r="H7663" s="3" t="s">
        <v>26</v>
      </c>
      <c r="I7663" s="4" t="n">
        <v>8</v>
      </c>
      <c r="J7663" s="4" t="n">
        <f aca="false">LEN(E7663)-LEN(SUBSTITUTE(E7663,",",""))+1</f>
        <v>7</v>
      </c>
      <c r="K7663" s="3" t="str">
        <f aca="false">IFERROR(INDEX('Teacher Lookup'!$B$2:$B$200,MATCH(A7663,'Teacher Lookup'!$A$2:$A$200,0)),"")</f>
        <v>CHEUNG Nicole</v>
      </c>
    </row>
    <row r="7664" customFormat="false" ht="15" hidden="false" customHeight="false" outlineLevel="0" collapsed="false">
      <c r="A7664" s="3" t="s">
        <v>484</v>
      </c>
      <c r="B7664" s="4" t="s">
        <v>40</v>
      </c>
      <c r="C7664" s="4" t="n">
        <v>3</v>
      </c>
      <c r="D7664" s="4" t="s">
        <v>27</v>
      </c>
      <c r="E7664" s="3" t="s">
        <v>275</v>
      </c>
      <c r="F7664" s="4" t="str">
        <f aca="false">IF(I7664&gt;J7664,"Y","N")</f>
        <v>Y</v>
      </c>
      <c r="G7664" s="3" t="s">
        <v>272</v>
      </c>
      <c r="H7664" s="3" t="s">
        <v>26</v>
      </c>
      <c r="I7664" s="4" t="n">
        <v>8</v>
      </c>
      <c r="J7664" s="4" t="n">
        <f aca="false">LEN(E7664)-LEN(SUBSTITUTE(E7664,",",""))+1</f>
        <v>7</v>
      </c>
      <c r="K7664" s="3" t="str">
        <f aca="false">IFERROR(INDEX('Teacher Lookup'!$B$2:$B$200,MATCH(A7664,'Teacher Lookup'!$A$2:$A$200,0)),"")</f>
        <v>CHEUNG Nicole</v>
      </c>
    </row>
    <row r="7665" customFormat="false" ht="15" hidden="false" customHeight="false" outlineLevel="0" collapsed="false">
      <c r="A7665" s="3" t="s">
        <v>484</v>
      </c>
      <c r="B7665" s="4" t="s">
        <v>40</v>
      </c>
      <c r="C7665" s="4" t="n">
        <v>3</v>
      </c>
      <c r="D7665" s="4" t="s">
        <v>28</v>
      </c>
      <c r="E7665" s="3" t="s">
        <v>275</v>
      </c>
      <c r="F7665" s="4" t="str">
        <f aca="false">IF(I7665&gt;J7665,"Y","N")</f>
        <v>Y</v>
      </c>
      <c r="G7665" s="3" t="s">
        <v>272</v>
      </c>
      <c r="H7665" s="3" t="s">
        <v>26</v>
      </c>
      <c r="I7665" s="4" t="n">
        <v>8</v>
      </c>
      <c r="J7665" s="4" t="n">
        <f aca="false">LEN(E7665)-LEN(SUBSTITUTE(E7665,",",""))+1</f>
        <v>7</v>
      </c>
      <c r="K7665" s="3" t="str">
        <f aca="false">IFERROR(INDEX('Teacher Lookup'!$B$2:$B$200,MATCH(A7665,'Teacher Lookup'!$A$2:$A$200,0)),"")</f>
        <v>CHEUNG Nicole</v>
      </c>
    </row>
    <row r="7666" customFormat="false" ht="15" hidden="false" customHeight="false" outlineLevel="0" collapsed="false">
      <c r="A7666" s="3" t="s">
        <v>484</v>
      </c>
      <c r="B7666" s="4" t="s">
        <v>40</v>
      </c>
      <c r="C7666" s="4" t="n">
        <v>3</v>
      </c>
      <c r="D7666" s="4" t="s">
        <v>29</v>
      </c>
      <c r="E7666" s="3" t="s">
        <v>275</v>
      </c>
      <c r="F7666" s="4" t="str">
        <f aca="false">IF(I7666&gt;J7666,"Y","N")</f>
        <v>Y</v>
      </c>
      <c r="G7666" s="3" t="s">
        <v>272</v>
      </c>
      <c r="H7666" s="3" t="s">
        <v>26</v>
      </c>
      <c r="I7666" s="4" t="n">
        <v>8</v>
      </c>
      <c r="J7666" s="4" t="n">
        <f aca="false">LEN(E7666)-LEN(SUBSTITUTE(E7666,",",""))+1</f>
        <v>7</v>
      </c>
      <c r="K7666" s="3" t="str">
        <f aca="false">IFERROR(INDEX('Teacher Lookup'!$B$2:$B$200,MATCH(A7666,'Teacher Lookup'!$A$2:$A$200,0)),"")</f>
        <v>CHEUNG Nicole</v>
      </c>
    </row>
    <row r="7667" customFormat="false" ht="15" hidden="false" customHeight="false" outlineLevel="0" collapsed="false">
      <c r="A7667" s="3" t="s">
        <v>484</v>
      </c>
      <c r="B7667" s="4" t="s">
        <v>40</v>
      </c>
      <c r="C7667" s="4" t="n">
        <v>3</v>
      </c>
      <c r="D7667" s="4" t="s">
        <v>30</v>
      </c>
      <c r="E7667" s="3" t="s">
        <v>275</v>
      </c>
      <c r="F7667" s="4" t="str">
        <f aca="false">IF(I7667&gt;J7667,"Y","N")</f>
        <v>Y</v>
      </c>
      <c r="G7667" s="3" t="s">
        <v>272</v>
      </c>
      <c r="H7667" s="3" t="s">
        <v>26</v>
      </c>
      <c r="I7667" s="4" t="n">
        <v>8</v>
      </c>
      <c r="J7667" s="4" t="n">
        <f aca="false">LEN(E7667)-LEN(SUBSTITUTE(E7667,",",""))+1</f>
        <v>7</v>
      </c>
      <c r="K7667" s="3" t="str">
        <f aca="false">IFERROR(INDEX('Teacher Lookup'!$B$2:$B$200,MATCH(A7667,'Teacher Lookup'!$A$2:$A$200,0)),"")</f>
        <v>CHEUNG Nicole</v>
      </c>
    </row>
    <row r="7668" customFormat="false" ht="15" hidden="false" customHeight="false" outlineLevel="0" collapsed="false">
      <c r="A7668" s="3" t="s">
        <v>484</v>
      </c>
      <c r="B7668" s="4" t="s">
        <v>44</v>
      </c>
      <c r="C7668" s="4" t="n">
        <v>1</v>
      </c>
      <c r="D7668" s="4" t="s">
        <v>74</v>
      </c>
      <c r="E7668" s="3" t="s">
        <v>316</v>
      </c>
      <c r="F7668" s="4" t="str">
        <f aca="false">IF(I7668&gt;J7668,"Y","N")</f>
        <v>N</v>
      </c>
      <c r="G7668" s="3" t="s">
        <v>376</v>
      </c>
      <c r="H7668" s="3" t="s">
        <v>16</v>
      </c>
      <c r="I7668" s="4" t="n">
        <v>1</v>
      </c>
      <c r="J7668" s="4" t="n">
        <f aca="false">LEN(E7668)-LEN(SUBSTITUTE(E7668,",",""))+1</f>
        <v>1</v>
      </c>
      <c r="K7668" s="3" t="str">
        <f aca="false">IFERROR(INDEX('Teacher Lookup'!$B$2:$B$200,MATCH(A7668,'Teacher Lookup'!$A$2:$A$200,0)),"")</f>
        <v>CHEUNG Nicole</v>
      </c>
    </row>
    <row r="7669" customFormat="false" ht="15" hidden="false" customHeight="false" outlineLevel="0" collapsed="false">
      <c r="A7669" s="3" t="s">
        <v>484</v>
      </c>
      <c r="B7669" s="4" t="s">
        <v>44</v>
      </c>
      <c r="C7669" s="4" t="n">
        <v>2</v>
      </c>
      <c r="D7669" s="4" t="s">
        <v>79</v>
      </c>
      <c r="E7669" s="3" t="s">
        <v>234</v>
      </c>
      <c r="F7669" s="4" t="str">
        <f aca="false">IF(I7669&gt;J7669,"Y","N")</f>
        <v>N</v>
      </c>
      <c r="G7669" s="3" t="s">
        <v>376</v>
      </c>
      <c r="H7669" s="3" t="s">
        <v>21</v>
      </c>
      <c r="I7669" s="4" t="n">
        <v>1</v>
      </c>
      <c r="J7669" s="4" t="n">
        <f aca="false">LEN(E7669)-LEN(SUBSTITUTE(E7669,",",""))+1</f>
        <v>1</v>
      </c>
      <c r="K7669" s="3" t="str">
        <f aca="false">IFERROR(INDEX('Teacher Lookup'!$B$2:$B$200,MATCH(A7669,'Teacher Lookup'!$A$2:$A$200,0)),"")</f>
        <v>CHEUNG Nicole</v>
      </c>
    </row>
    <row r="7670" customFormat="false" ht="15" hidden="false" customHeight="false" outlineLevel="0" collapsed="false">
      <c r="A7670" s="3" t="s">
        <v>484</v>
      </c>
      <c r="B7670" s="4" t="s">
        <v>44</v>
      </c>
      <c r="C7670" s="4" t="n">
        <v>4</v>
      </c>
      <c r="D7670" s="4" t="s">
        <v>52</v>
      </c>
      <c r="E7670" s="3" t="s">
        <v>115</v>
      </c>
      <c r="F7670" s="4" t="str">
        <f aca="false">IF(I7670&gt;J7670,"Y","N")</f>
        <v>Y</v>
      </c>
      <c r="G7670" s="3" t="s">
        <v>101</v>
      </c>
      <c r="H7670" s="3" t="s">
        <v>34</v>
      </c>
      <c r="I7670" s="4" t="n">
        <v>9</v>
      </c>
      <c r="J7670" s="4" t="n">
        <f aca="false">LEN(E7670)-LEN(SUBSTITUTE(E7670,",",""))+1</f>
        <v>8</v>
      </c>
      <c r="K7670" s="3" t="str">
        <f aca="false">IFERROR(INDEX('Teacher Lookup'!$B$2:$B$200,MATCH(A7670,'Teacher Lookup'!$A$2:$A$200,0)),"")</f>
        <v>CHEUNG Nicole</v>
      </c>
    </row>
    <row r="7671" customFormat="false" ht="15" hidden="false" customHeight="false" outlineLevel="0" collapsed="false">
      <c r="A7671" s="3" t="s">
        <v>484</v>
      </c>
      <c r="B7671" s="4" t="s">
        <v>44</v>
      </c>
      <c r="C7671" s="4" t="n">
        <v>4</v>
      </c>
      <c r="D7671" s="4" t="s">
        <v>55</v>
      </c>
      <c r="E7671" s="3" t="s">
        <v>115</v>
      </c>
      <c r="F7671" s="4" t="str">
        <f aca="false">IF(I7671&gt;J7671,"Y","N")</f>
        <v>Y</v>
      </c>
      <c r="G7671" s="3" t="s">
        <v>101</v>
      </c>
      <c r="H7671" s="3" t="s">
        <v>34</v>
      </c>
      <c r="I7671" s="4" t="n">
        <v>9</v>
      </c>
      <c r="J7671" s="4" t="n">
        <f aca="false">LEN(E7671)-LEN(SUBSTITUTE(E7671,",",""))+1</f>
        <v>8</v>
      </c>
      <c r="K7671" s="3" t="str">
        <f aca="false">IFERROR(INDEX('Teacher Lookup'!$B$2:$B$200,MATCH(A7671,'Teacher Lookup'!$A$2:$A$200,0)),"")</f>
        <v>CHEUNG Nicole</v>
      </c>
    </row>
    <row r="7672" customFormat="false" ht="15" hidden="false" customHeight="false" outlineLevel="0" collapsed="false">
      <c r="A7672" s="3" t="s">
        <v>484</v>
      </c>
      <c r="B7672" s="4" t="s">
        <v>44</v>
      </c>
      <c r="C7672" s="4" t="n">
        <v>4</v>
      </c>
      <c r="D7672" s="4" t="s">
        <v>56</v>
      </c>
      <c r="E7672" s="3" t="s">
        <v>115</v>
      </c>
      <c r="F7672" s="4" t="str">
        <f aca="false">IF(I7672&gt;J7672,"Y","N")</f>
        <v>Y</v>
      </c>
      <c r="G7672" s="3" t="s">
        <v>101</v>
      </c>
      <c r="H7672" s="3" t="s">
        <v>34</v>
      </c>
      <c r="I7672" s="4" t="n">
        <v>9</v>
      </c>
      <c r="J7672" s="4" t="n">
        <f aca="false">LEN(E7672)-LEN(SUBSTITUTE(E7672,",",""))+1</f>
        <v>8</v>
      </c>
      <c r="K7672" s="3" t="str">
        <f aca="false">IFERROR(INDEX('Teacher Lookup'!$B$2:$B$200,MATCH(A7672,'Teacher Lookup'!$A$2:$A$200,0)),"")</f>
        <v>CHEUNG Nicole</v>
      </c>
    </row>
    <row r="7673" customFormat="false" ht="15" hidden="false" customHeight="false" outlineLevel="0" collapsed="false">
      <c r="A7673" s="3" t="s">
        <v>484</v>
      </c>
      <c r="B7673" s="4" t="s">
        <v>44</v>
      </c>
      <c r="C7673" s="4" t="n">
        <v>4</v>
      </c>
      <c r="D7673" s="4" t="s">
        <v>57</v>
      </c>
      <c r="E7673" s="3" t="s">
        <v>115</v>
      </c>
      <c r="F7673" s="4" t="str">
        <f aca="false">IF(I7673&gt;J7673,"Y","N")</f>
        <v>Y</v>
      </c>
      <c r="G7673" s="3" t="s">
        <v>101</v>
      </c>
      <c r="H7673" s="3" t="s">
        <v>34</v>
      </c>
      <c r="I7673" s="4" t="n">
        <v>9</v>
      </c>
      <c r="J7673" s="4" t="n">
        <f aca="false">LEN(E7673)-LEN(SUBSTITUTE(E7673,",",""))+1</f>
        <v>8</v>
      </c>
      <c r="K7673" s="3" t="str">
        <f aca="false">IFERROR(INDEX('Teacher Lookup'!$B$2:$B$200,MATCH(A7673,'Teacher Lookup'!$A$2:$A$200,0)),"")</f>
        <v>CHEUNG Nicole</v>
      </c>
    </row>
    <row r="7674" customFormat="false" ht="15" hidden="false" customHeight="false" outlineLevel="0" collapsed="false">
      <c r="A7674" s="3" t="s">
        <v>484</v>
      </c>
      <c r="B7674" s="4" t="s">
        <v>44</v>
      </c>
      <c r="C7674" s="4" t="n">
        <v>4</v>
      </c>
      <c r="D7674" s="4" t="s">
        <v>58</v>
      </c>
      <c r="E7674" s="3" t="s">
        <v>115</v>
      </c>
      <c r="F7674" s="4" t="str">
        <f aca="false">IF(I7674&gt;J7674,"Y","N")</f>
        <v>Y</v>
      </c>
      <c r="G7674" s="3" t="s">
        <v>101</v>
      </c>
      <c r="H7674" s="3" t="s">
        <v>34</v>
      </c>
      <c r="I7674" s="4" t="n">
        <v>9</v>
      </c>
      <c r="J7674" s="4" t="n">
        <f aca="false">LEN(E7674)-LEN(SUBSTITUTE(E7674,",",""))+1</f>
        <v>8</v>
      </c>
      <c r="K7674" s="3" t="str">
        <f aca="false">IFERROR(INDEX('Teacher Lookup'!$B$2:$B$200,MATCH(A7674,'Teacher Lookup'!$A$2:$A$200,0)),"")</f>
        <v>CHEUNG Nicole</v>
      </c>
    </row>
    <row r="7675" customFormat="false" ht="15" hidden="false" customHeight="false" outlineLevel="0" collapsed="false">
      <c r="A7675" s="3" t="s">
        <v>484</v>
      </c>
      <c r="B7675" s="4" t="s">
        <v>44</v>
      </c>
      <c r="C7675" s="4" t="n">
        <v>4</v>
      </c>
      <c r="D7675" s="4" t="s">
        <v>59</v>
      </c>
      <c r="E7675" s="3" t="s">
        <v>115</v>
      </c>
      <c r="F7675" s="4" t="str">
        <f aca="false">IF(I7675&gt;J7675,"Y","N")</f>
        <v>Y</v>
      </c>
      <c r="G7675" s="3" t="s">
        <v>101</v>
      </c>
      <c r="H7675" s="3" t="s">
        <v>34</v>
      </c>
      <c r="I7675" s="4" t="n">
        <v>9</v>
      </c>
      <c r="J7675" s="4" t="n">
        <f aca="false">LEN(E7675)-LEN(SUBSTITUTE(E7675,",",""))+1</f>
        <v>8</v>
      </c>
      <c r="K7675" s="3" t="str">
        <f aca="false">IFERROR(INDEX('Teacher Lookup'!$B$2:$B$200,MATCH(A7675,'Teacher Lookup'!$A$2:$A$200,0)),"")</f>
        <v>CHEUNG Nicole</v>
      </c>
    </row>
    <row r="7676" customFormat="false" ht="15" hidden="false" customHeight="false" outlineLevel="0" collapsed="false">
      <c r="A7676" s="3" t="s">
        <v>484</v>
      </c>
      <c r="B7676" s="4" t="s">
        <v>44</v>
      </c>
      <c r="C7676" s="4" t="n">
        <v>5</v>
      </c>
      <c r="D7676" s="4" t="s">
        <v>24</v>
      </c>
      <c r="E7676" s="3" t="s">
        <v>131</v>
      </c>
      <c r="F7676" s="4" t="str">
        <f aca="false">IF(I7676&gt;J7676,"Y","N")</f>
        <v>Y</v>
      </c>
      <c r="G7676" s="3" t="s">
        <v>36</v>
      </c>
      <c r="H7676" s="3" t="s">
        <v>37</v>
      </c>
      <c r="I7676" s="4" t="n">
        <v>15</v>
      </c>
      <c r="J7676" s="4" t="n">
        <f aca="false">LEN(E7676)-LEN(SUBSTITUTE(E7676,",",""))+1</f>
        <v>7</v>
      </c>
      <c r="K7676" s="3" t="str">
        <f aca="false">IFERROR(INDEX('Teacher Lookup'!$B$2:$B$200,MATCH(A7676,'Teacher Lookup'!$A$2:$A$200,0)),"")</f>
        <v>CHEUNG Nicole</v>
      </c>
    </row>
    <row r="7677" customFormat="false" ht="15" hidden="false" customHeight="false" outlineLevel="0" collapsed="false">
      <c r="A7677" s="3" t="s">
        <v>484</v>
      </c>
      <c r="B7677" s="4" t="s">
        <v>44</v>
      </c>
      <c r="C7677" s="4" t="n">
        <v>5</v>
      </c>
      <c r="D7677" s="4" t="s">
        <v>132</v>
      </c>
      <c r="E7677" s="3" t="s">
        <v>131</v>
      </c>
      <c r="F7677" s="4" t="str">
        <f aca="false">IF(I7677&gt;J7677,"Y","N")</f>
        <v>Y</v>
      </c>
      <c r="G7677" s="3" t="s">
        <v>36</v>
      </c>
      <c r="H7677" s="3" t="s">
        <v>37</v>
      </c>
      <c r="I7677" s="4" t="n">
        <v>15</v>
      </c>
      <c r="J7677" s="4" t="n">
        <f aca="false">LEN(E7677)-LEN(SUBSTITUTE(E7677,",",""))+1</f>
        <v>7</v>
      </c>
      <c r="K7677" s="3" t="str">
        <f aca="false">IFERROR(INDEX('Teacher Lookup'!$B$2:$B$200,MATCH(A7677,'Teacher Lookup'!$A$2:$A$200,0)),"")</f>
        <v>CHEUNG Nicole</v>
      </c>
    </row>
    <row r="7678" customFormat="false" ht="15" hidden="false" customHeight="false" outlineLevel="0" collapsed="false">
      <c r="A7678" s="3" t="s">
        <v>484</v>
      </c>
      <c r="B7678" s="4" t="s">
        <v>44</v>
      </c>
      <c r="C7678" s="4" t="n">
        <v>5</v>
      </c>
      <c r="D7678" s="4" t="s">
        <v>27</v>
      </c>
      <c r="E7678" s="3" t="s">
        <v>131</v>
      </c>
      <c r="F7678" s="4" t="str">
        <f aca="false">IF(I7678&gt;J7678,"Y","N")</f>
        <v>Y</v>
      </c>
      <c r="G7678" s="3" t="s">
        <v>36</v>
      </c>
      <c r="H7678" s="3" t="s">
        <v>37</v>
      </c>
      <c r="I7678" s="4" t="n">
        <v>15</v>
      </c>
      <c r="J7678" s="4" t="n">
        <f aca="false">LEN(E7678)-LEN(SUBSTITUTE(E7678,",",""))+1</f>
        <v>7</v>
      </c>
      <c r="K7678" s="3" t="str">
        <f aca="false">IFERROR(INDEX('Teacher Lookup'!$B$2:$B$200,MATCH(A7678,'Teacher Lookup'!$A$2:$A$200,0)),"")</f>
        <v>CHEUNG Nicole</v>
      </c>
    </row>
    <row r="7679" customFormat="false" ht="15" hidden="false" customHeight="false" outlineLevel="0" collapsed="false">
      <c r="A7679" s="3" t="s">
        <v>484</v>
      </c>
      <c r="B7679" s="4" t="s">
        <v>44</v>
      </c>
      <c r="C7679" s="4" t="n">
        <v>5</v>
      </c>
      <c r="D7679" s="4" t="s">
        <v>28</v>
      </c>
      <c r="E7679" s="3" t="s">
        <v>131</v>
      </c>
      <c r="F7679" s="4" t="str">
        <f aca="false">IF(I7679&gt;J7679,"Y","N")</f>
        <v>Y</v>
      </c>
      <c r="G7679" s="3" t="s">
        <v>36</v>
      </c>
      <c r="H7679" s="3" t="s">
        <v>37</v>
      </c>
      <c r="I7679" s="4" t="n">
        <v>15</v>
      </c>
      <c r="J7679" s="4" t="n">
        <f aca="false">LEN(E7679)-LEN(SUBSTITUTE(E7679,",",""))+1</f>
        <v>7</v>
      </c>
      <c r="K7679" s="3" t="str">
        <f aca="false">IFERROR(INDEX('Teacher Lookup'!$B$2:$B$200,MATCH(A7679,'Teacher Lookup'!$A$2:$A$200,0)),"")</f>
        <v>CHEUNG Nicole</v>
      </c>
    </row>
    <row r="7680" customFormat="false" ht="15" hidden="false" customHeight="false" outlineLevel="0" collapsed="false">
      <c r="A7680" s="3" t="s">
        <v>484</v>
      </c>
      <c r="B7680" s="4" t="s">
        <v>44</v>
      </c>
      <c r="C7680" s="4" t="n">
        <v>5</v>
      </c>
      <c r="D7680" s="4" t="s">
        <v>29</v>
      </c>
      <c r="E7680" s="3" t="s">
        <v>131</v>
      </c>
      <c r="F7680" s="4" t="str">
        <f aca="false">IF(I7680&gt;J7680,"Y","N")</f>
        <v>Y</v>
      </c>
      <c r="G7680" s="3" t="s">
        <v>36</v>
      </c>
      <c r="H7680" s="3" t="s">
        <v>37</v>
      </c>
      <c r="I7680" s="4" t="n">
        <v>15</v>
      </c>
      <c r="J7680" s="4" t="n">
        <f aca="false">LEN(E7680)-LEN(SUBSTITUTE(E7680,",",""))+1</f>
        <v>7</v>
      </c>
      <c r="K7680" s="3" t="str">
        <f aca="false">IFERROR(INDEX('Teacher Lookup'!$B$2:$B$200,MATCH(A7680,'Teacher Lookup'!$A$2:$A$200,0)),"")</f>
        <v>CHEUNG Nicole</v>
      </c>
    </row>
    <row r="7681" customFormat="false" ht="15" hidden="false" customHeight="false" outlineLevel="0" collapsed="false">
      <c r="A7681" s="3" t="s">
        <v>484</v>
      </c>
      <c r="B7681" s="4" t="s">
        <v>44</v>
      </c>
      <c r="C7681" s="4" t="n">
        <v>5</v>
      </c>
      <c r="D7681" s="4" t="s">
        <v>30</v>
      </c>
      <c r="E7681" s="3" t="s">
        <v>131</v>
      </c>
      <c r="F7681" s="4" t="str">
        <f aca="false">IF(I7681&gt;J7681,"Y","N")</f>
        <v>Y</v>
      </c>
      <c r="G7681" s="3" t="s">
        <v>36</v>
      </c>
      <c r="H7681" s="3" t="s">
        <v>37</v>
      </c>
      <c r="I7681" s="4" t="n">
        <v>15</v>
      </c>
      <c r="J7681" s="4" t="n">
        <f aca="false">LEN(E7681)-LEN(SUBSTITUTE(E7681,",",""))+1</f>
        <v>7</v>
      </c>
      <c r="K7681" s="3" t="str">
        <f aca="false">IFERROR(INDEX('Teacher Lookup'!$B$2:$B$200,MATCH(A7681,'Teacher Lookup'!$A$2:$A$200,0)),"")</f>
        <v>CHEUNG Nicole</v>
      </c>
    </row>
    <row r="7682" customFormat="false" ht="15" hidden="false" customHeight="false" outlineLevel="0" collapsed="false">
      <c r="A7682" s="3" t="s">
        <v>484</v>
      </c>
      <c r="B7682" s="4" t="s">
        <v>47</v>
      </c>
      <c r="C7682" s="4" t="n">
        <v>1</v>
      </c>
      <c r="D7682" s="4" t="s">
        <v>24</v>
      </c>
      <c r="E7682" s="3" t="s">
        <v>277</v>
      </c>
      <c r="F7682" s="4" t="str">
        <f aca="false">IF(I7682&gt;J7682,"Y","N")</f>
        <v>Y</v>
      </c>
      <c r="G7682" s="3" t="s">
        <v>272</v>
      </c>
      <c r="H7682" s="3" t="s">
        <v>16</v>
      </c>
      <c r="I7682" s="4" t="n">
        <v>8</v>
      </c>
      <c r="J7682" s="4" t="n">
        <f aca="false">LEN(E7682)-LEN(SUBSTITUTE(E7682,",",""))+1</f>
        <v>7</v>
      </c>
      <c r="K7682" s="3" t="str">
        <f aca="false">IFERROR(INDEX('Teacher Lookup'!$B$2:$B$200,MATCH(A7682,'Teacher Lookup'!$A$2:$A$200,0)),"")</f>
        <v>CHEUNG Nicole</v>
      </c>
    </row>
    <row r="7683" customFormat="false" ht="15" hidden="false" customHeight="false" outlineLevel="0" collapsed="false">
      <c r="A7683" s="3" t="s">
        <v>484</v>
      </c>
      <c r="B7683" s="4" t="s">
        <v>47</v>
      </c>
      <c r="C7683" s="4" t="n">
        <v>1</v>
      </c>
      <c r="D7683" s="4" t="s">
        <v>27</v>
      </c>
      <c r="E7683" s="3" t="s">
        <v>277</v>
      </c>
      <c r="F7683" s="4" t="str">
        <f aca="false">IF(I7683&gt;J7683,"Y","N")</f>
        <v>Y</v>
      </c>
      <c r="G7683" s="3" t="s">
        <v>272</v>
      </c>
      <c r="H7683" s="3" t="s">
        <v>16</v>
      </c>
      <c r="I7683" s="4" t="n">
        <v>8</v>
      </c>
      <c r="J7683" s="4" t="n">
        <f aca="false">LEN(E7683)-LEN(SUBSTITUTE(E7683,",",""))+1</f>
        <v>7</v>
      </c>
      <c r="K7683" s="3" t="str">
        <f aca="false">IFERROR(INDEX('Teacher Lookup'!$B$2:$B$200,MATCH(A7683,'Teacher Lookup'!$A$2:$A$200,0)),"")</f>
        <v>CHEUNG Nicole</v>
      </c>
    </row>
    <row r="7684" customFormat="false" ht="15" hidden="false" customHeight="false" outlineLevel="0" collapsed="false">
      <c r="A7684" s="3" t="s">
        <v>484</v>
      </c>
      <c r="B7684" s="4" t="s">
        <v>47</v>
      </c>
      <c r="C7684" s="4" t="n">
        <v>1</v>
      </c>
      <c r="D7684" s="4" t="s">
        <v>28</v>
      </c>
      <c r="E7684" s="3" t="s">
        <v>277</v>
      </c>
      <c r="F7684" s="4" t="str">
        <f aca="false">IF(I7684&gt;J7684,"Y","N")</f>
        <v>Y</v>
      </c>
      <c r="G7684" s="3" t="s">
        <v>272</v>
      </c>
      <c r="H7684" s="3" t="s">
        <v>16</v>
      </c>
      <c r="I7684" s="4" t="n">
        <v>8</v>
      </c>
      <c r="J7684" s="4" t="n">
        <f aca="false">LEN(E7684)-LEN(SUBSTITUTE(E7684,",",""))+1</f>
        <v>7</v>
      </c>
      <c r="K7684" s="3" t="str">
        <f aca="false">IFERROR(INDEX('Teacher Lookup'!$B$2:$B$200,MATCH(A7684,'Teacher Lookup'!$A$2:$A$200,0)),"")</f>
        <v>CHEUNG Nicole</v>
      </c>
    </row>
    <row r="7685" customFormat="false" ht="15" hidden="false" customHeight="false" outlineLevel="0" collapsed="false">
      <c r="A7685" s="3" t="s">
        <v>484</v>
      </c>
      <c r="B7685" s="4" t="s">
        <v>47</v>
      </c>
      <c r="C7685" s="4" t="n">
        <v>1</v>
      </c>
      <c r="D7685" s="4" t="s">
        <v>29</v>
      </c>
      <c r="E7685" s="3" t="s">
        <v>277</v>
      </c>
      <c r="F7685" s="4" t="str">
        <f aca="false">IF(I7685&gt;J7685,"Y","N")</f>
        <v>Y</v>
      </c>
      <c r="G7685" s="3" t="s">
        <v>272</v>
      </c>
      <c r="H7685" s="3" t="s">
        <v>16</v>
      </c>
      <c r="I7685" s="4" t="n">
        <v>8</v>
      </c>
      <c r="J7685" s="4" t="n">
        <f aca="false">LEN(E7685)-LEN(SUBSTITUTE(E7685,",",""))+1</f>
        <v>7</v>
      </c>
      <c r="K7685" s="3" t="str">
        <f aca="false">IFERROR(INDEX('Teacher Lookup'!$B$2:$B$200,MATCH(A7685,'Teacher Lookup'!$A$2:$A$200,0)),"")</f>
        <v>CHEUNG Nicole</v>
      </c>
    </row>
    <row r="7686" customFormat="false" ht="15" hidden="false" customHeight="false" outlineLevel="0" collapsed="false">
      <c r="A7686" s="3" t="s">
        <v>484</v>
      </c>
      <c r="B7686" s="4" t="s">
        <v>47</v>
      </c>
      <c r="C7686" s="4" t="n">
        <v>1</v>
      </c>
      <c r="D7686" s="4" t="s">
        <v>30</v>
      </c>
      <c r="E7686" s="3" t="s">
        <v>277</v>
      </c>
      <c r="F7686" s="4" t="str">
        <f aca="false">IF(I7686&gt;J7686,"Y","N")</f>
        <v>Y</v>
      </c>
      <c r="G7686" s="3" t="s">
        <v>272</v>
      </c>
      <c r="H7686" s="3" t="s">
        <v>16</v>
      </c>
      <c r="I7686" s="4" t="n">
        <v>8</v>
      </c>
      <c r="J7686" s="4" t="n">
        <f aca="false">LEN(E7686)-LEN(SUBSTITUTE(E7686,",",""))+1</f>
        <v>7</v>
      </c>
      <c r="K7686" s="3" t="str">
        <f aca="false">IFERROR(INDEX('Teacher Lookup'!$B$2:$B$200,MATCH(A7686,'Teacher Lookup'!$A$2:$A$200,0)),"")</f>
        <v>CHEUNG Nicole</v>
      </c>
    </row>
    <row r="7687" customFormat="false" ht="15" hidden="false" customHeight="false" outlineLevel="0" collapsed="false">
      <c r="A7687" s="3" t="s">
        <v>484</v>
      </c>
      <c r="B7687" s="4" t="s">
        <v>47</v>
      </c>
      <c r="C7687" s="4" t="n">
        <v>6</v>
      </c>
      <c r="D7687" s="4" t="s">
        <v>52</v>
      </c>
      <c r="E7687" s="3" t="s">
        <v>117</v>
      </c>
      <c r="F7687" s="4" t="str">
        <f aca="false">IF(I7687&gt;J7687,"Y","N")</f>
        <v>N</v>
      </c>
      <c r="G7687" s="3" t="s">
        <v>101</v>
      </c>
      <c r="H7687" s="3" t="s">
        <v>42</v>
      </c>
      <c r="I7687" s="4" t="n">
        <v>8</v>
      </c>
      <c r="J7687" s="4" t="n">
        <f aca="false">LEN(E7687)-LEN(SUBSTITUTE(E7687,",",""))+1</f>
        <v>8</v>
      </c>
      <c r="K7687" s="3" t="str">
        <f aca="false">IFERROR(INDEX('Teacher Lookup'!$B$2:$B$200,MATCH(A7687,'Teacher Lookup'!$A$2:$A$200,0)),"")</f>
        <v>CHEUNG Nicole</v>
      </c>
    </row>
    <row r="7688" customFormat="false" ht="15" hidden="false" customHeight="false" outlineLevel="0" collapsed="false">
      <c r="A7688" s="3" t="s">
        <v>484</v>
      </c>
      <c r="B7688" s="4" t="s">
        <v>47</v>
      </c>
      <c r="C7688" s="4" t="n">
        <v>6</v>
      </c>
      <c r="D7688" s="4" t="s">
        <v>55</v>
      </c>
      <c r="E7688" s="3" t="s">
        <v>117</v>
      </c>
      <c r="F7688" s="4" t="str">
        <f aca="false">IF(I7688&gt;J7688,"Y","N")</f>
        <v>N</v>
      </c>
      <c r="G7688" s="3" t="s">
        <v>101</v>
      </c>
      <c r="H7688" s="3" t="s">
        <v>42</v>
      </c>
      <c r="I7688" s="4" t="n">
        <v>8</v>
      </c>
      <c r="J7688" s="4" t="n">
        <f aca="false">LEN(E7688)-LEN(SUBSTITUTE(E7688,",",""))+1</f>
        <v>8</v>
      </c>
      <c r="K7688" s="3" t="str">
        <f aca="false">IFERROR(INDEX('Teacher Lookup'!$B$2:$B$200,MATCH(A7688,'Teacher Lookup'!$A$2:$A$200,0)),"")</f>
        <v>CHEUNG Nicole</v>
      </c>
    </row>
    <row r="7689" customFormat="false" ht="15" hidden="false" customHeight="false" outlineLevel="0" collapsed="false">
      <c r="A7689" s="3" t="s">
        <v>484</v>
      </c>
      <c r="B7689" s="4" t="s">
        <v>47</v>
      </c>
      <c r="C7689" s="4" t="n">
        <v>6</v>
      </c>
      <c r="D7689" s="4" t="s">
        <v>56</v>
      </c>
      <c r="E7689" s="3" t="s">
        <v>117</v>
      </c>
      <c r="F7689" s="4" t="str">
        <f aca="false">IF(I7689&gt;J7689,"Y","N")</f>
        <v>N</v>
      </c>
      <c r="G7689" s="3" t="s">
        <v>101</v>
      </c>
      <c r="H7689" s="3" t="s">
        <v>42</v>
      </c>
      <c r="I7689" s="4" t="n">
        <v>8</v>
      </c>
      <c r="J7689" s="4" t="n">
        <f aca="false">LEN(E7689)-LEN(SUBSTITUTE(E7689,",",""))+1</f>
        <v>8</v>
      </c>
      <c r="K7689" s="3" t="str">
        <f aca="false">IFERROR(INDEX('Teacher Lookup'!$B$2:$B$200,MATCH(A7689,'Teacher Lookup'!$A$2:$A$200,0)),"")</f>
        <v>CHEUNG Nicole</v>
      </c>
    </row>
    <row r="7690" customFormat="false" ht="15" hidden="false" customHeight="false" outlineLevel="0" collapsed="false">
      <c r="A7690" s="3" t="s">
        <v>484</v>
      </c>
      <c r="B7690" s="4" t="s">
        <v>47</v>
      </c>
      <c r="C7690" s="4" t="n">
        <v>6</v>
      </c>
      <c r="D7690" s="4" t="s">
        <v>57</v>
      </c>
      <c r="E7690" s="3" t="s">
        <v>117</v>
      </c>
      <c r="F7690" s="4" t="str">
        <f aca="false">IF(I7690&gt;J7690,"Y","N")</f>
        <v>N</v>
      </c>
      <c r="G7690" s="3" t="s">
        <v>101</v>
      </c>
      <c r="H7690" s="3" t="s">
        <v>42</v>
      </c>
      <c r="I7690" s="4" t="n">
        <v>8</v>
      </c>
      <c r="J7690" s="4" t="n">
        <f aca="false">LEN(E7690)-LEN(SUBSTITUTE(E7690,",",""))+1</f>
        <v>8</v>
      </c>
      <c r="K7690" s="3" t="str">
        <f aca="false">IFERROR(INDEX('Teacher Lookup'!$B$2:$B$200,MATCH(A7690,'Teacher Lookup'!$A$2:$A$200,0)),"")</f>
        <v>CHEUNG Nicole</v>
      </c>
    </row>
    <row r="7691" customFormat="false" ht="15" hidden="false" customHeight="false" outlineLevel="0" collapsed="false">
      <c r="A7691" s="3" t="s">
        <v>484</v>
      </c>
      <c r="B7691" s="4" t="s">
        <v>47</v>
      </c>
      <c r="C7691" s="4" t="n">
        <v>6</v>
      </c>
      <c r="D7691" s="4" t="s">
        <v>58</v>
      </c>
      <c r="E7691" s="3" t="s">
        <v>117</v>
      </c>
      <c r="F7691" s="4" t="str">
        <f aca="false">IF(I7691&gt;J7691,"Y","N")</f>
        <v>N</v>
      </c>
      <c r="G7691" s="3" t="s">
        <v>101</v>
      </c>
      <c r="H7691" s="3" t="s">
        <v>42</v>
      </c>
      <c r="I7691" s="4" t="n">
        <v>8</v>
      </c>
      <c r="J7691" s="4" t="n">
        <f aca="false">LEN(E7691)-LEN(SUBSTITUTE(E7691,",",""))+1</f>
        <v>8</v>
      </c>
      <c r="K7691" s="3" t="str">
        <f aca="false">IFERROR(INDEX('Teacher Lookup'!$B$2:$B$200,MATCH(A7691,'Teacher Lookup'!$A$2:$A$200,0)),"")</f>
        <v>CHEUNG Nicole</v>
      </c>
    </row>
    <row r="7692" customFormat="false" ht="15" hidden="false" customHeight="false" outlineLevel="0" collapsed="false">
      <c r="A7692" s="3" t="s">
        <v>484</v>
      </c>
      <c r="B7692" s="4" t="s">
        <v>47</v>
      </c>
      <c r="C7692" s="4" t="n">
        <v>6</v>
      </c>
      <c r="D7692" s="4" t="s">
        <v>59</v>
      </c>
      <c r="E7692" s="3" t="s">
        <v>117</v>
      </c>
      <c r="F7692" s="4" t="str">
        <f aca="false">IF(I7692&gt;J7692,"Y","N")</f>
        <v>N</v>
      </c>
      <c r="G7692" s="3" t="s">
        <v>101</v>
      </c>
      <c r="H7692" s="3" t="s">
        <v>42</v>
      </c>
      <c r="I7692" s="4" t="n">
        <v>8</v>
      </c>
      <c r="J7692" s="4" t="n">
        <f aca="false">LEN(E7692)-LEN(SUBSTITUTE(E7692,",",""))+1</f>
        <v>8</v>
      </c>
      <c r="K7692" s="3" t="str">
        <f aca="false">IFERROR(INDEX('Teacher Lookup'!$B$2:$B$200,MATCH(A7692,'Teacher Lookup'!$A$2:$A$200,0)),"")</f>
        <v>CHEUNG Nicole</v>
      </c>
    </row>
    <row r="7693" customFormat="false" ht="15" hidden="false" customHeight="false" outlineLevel="0" collapsed="false">
      <c r="A7693" s="3" t="s">
        <v>484</v>
      </c>
      <c r="B7693" s="4" t="s">
        <v>47</v>
      </c>
      <c r="C7693" s="4" t="n">
        <v>7</v>
      </c>
      <c r="D7693" s="4" t="s">
        <v>24</v>
      </c>
      <c r="E7693" s="3" t="s">
        <v>485</v>
      </c>
      <c r="F7693" s="4" t="str">
        <f aca="false">IF(I7693&gt;J7693,"Y","N")</f>
        <v>N</v>
      </c>
      <c r="G7693" s="3" t="s">
        <v>486</v>
      </c>
      <c r="H7693" s="3" t="s">
        <v>39</v>
      </c>
      <c r="I7693" s="4" t="n">
        <v>1</v>
      </c>
      <c r="J7693" s="4" t="n">
        <f aca="false">LEN(E7693)-LEN(SUBSTITUTE(E7693,",",""))+1</f>
        <v>1</v>
      </c>
      <c r="K7693" s="3" t="str">
        <f aca="false">IFERROR(INDEX('Teacher Lookup'!$B$2:$B$200,MATCH(A7693,'Teacher Lookup'!$A$2:$A$200,0)),"")</f>
        <v>CHEUNG Nicole</v>
      </c>
    </row>
    <row r="7694" customFormat="false" ht="15" hidden="false" customHeight="false" outlineLevel="0" collapsed="false">
      <c r="A7694" s="3" t="s">
        <v>484</v>
      </c>
      <c r="B7694" s="4" t="s">
        <v>50</v>
      </c>
      <c r="C7694" s="4" t="n">
        <v>2</v>
      </c>
      <c r="D7694" s="4" t="s">
        <v>24</v>
      </c>
      <c r="E7694" s="3" t="s">
        <v>485</v>
      </c>
      <c r="F7694" s="4" t="str">
        <f aca="false">IF(I7694&gt;J7694,"Y","N")</f>
        <v>N</v>
      </c>
      <c r="G7694" s="3" t="s">
        <v>486</v>
      </c>
      <c r="H7694" s="3" t="s">
        <v>21</v>
      </c>
      <c r="I7694" s="4" t="n">
        <v>1</v>
      </c>
      <c r="J7694" s="4" t="n">
        <f aca="false">LEN(E7694)-LEN(SUBSTITUTE(E7694,",",""))+1</f>
        <v>1</v>
      </c>
      <c r="K7694" s="3" t="str">
        <f aca="false">IFERROR(INDEX('Teacher Lookup'!$B$2:$B$200,MATCH(A7694,'Teacher Lookup'!$A$2:$A$200,0)),"")</f>
        <v>CHEUNG Nicole</v>
      </c>
    </row>
    <row r="7695" customFormat="false" ht="15" hidden="false" customHeight="false" outlineLevel="0" collapsed="false">
      <c r="A7695" s="3" t="s">
        <v>484</v>
      </c>
      <c r="B7695" s="4" t="s">
        <v>50</v>
      </c>
      <c r="C7695" s="4" t="n">
        <v>3</v>
      </c>
      <c r="D7695" s="4" t="s">
        <v>52</v>
      </c>
      <c r="E7695" s="3" t="s">
        <v>115</v>
      </c>
      <c r="F7695" s="4" t="str">
        <f aca="false">IF(I7695&gt;J7695,"Y","N")</f>
        <v>Y</v>
      </c>
      <c r="G7695" s="3" t="s">
        <v>101</v>
      </c>
      <c r="H7695" s="3" t="s">
        <v>26</v>
      </c>
      <c r="I7695" s="4" t="n">
        <v>9</v>
      </c>
      <c r="J7695" s="4" t="n">
        <f aca="false">LEN(E7695)-LEN(SUBSTITUTE(E7695,",",""))+1</f>
        <v>8</v>
      </c>
      <c r="K7695" s="3" t="str">
        <f aca="false">IFERROR(INDEX('Teacher Lookup'!$B$2:$B$200,MATCH(A7695,'Teacher Lookup'!$A$2:$A$200,0)),"")</f>
        <v>CHEUNG Nicole</v>
      </c>
    </row>
    <row r="7696" customFormat="false" ht="15" hidden="false" customHeight="false" outlineLevel="0" collapsed="false">
      <c r="A7696" s="3" t="s">
        <v>484</v>
      </c>
      <c r="B7696" s="4" t="s">
        <v>50</v>
      </c>
      <c r="C7696" s="4" t="n">
        <v>3</v>
      </c>
      <c r="D7696" s="4" t="s">
        <v>55</v>
      </c>
      <c r="E7696" s="3" t="s">
        <v>115</v>
      </c>
      <c r="F7696" s="4" t="str">
        <f aca="false">IF(I7696&gt;J7696,"Y","N")</f>
        <v>Y</v>
      </c>
      <c r="G7696" s="3" t="s">
        <v>101</v>
      </c>
      <c r="H7696" s="3" t="s">
        <v>26</v>
      </c>
      <c r="I7696" s="4" t="n">
        <v>9</v>
      </c>
      <c r="J7696" s="4" t="n">
        <f aca="false">LEN(E7696)-LEN(SUBSTITUTE(E7696,",",""))+1</f>
        <v>8</v>
      </c>
      <c r="K7696" s="3" t="str">
        <f aca="false">IFERROR(INDEX('Teacher Lookup'!$B$2:$B$200,MATCH(A7696,'Teacher Lookup'!$A$2:$A$200,0)),"")</f>
        <v>CHEUNG Nicole</v>
      </c>
    </row>
    <row r="7697" customFormat="false" ht="15" hidden="false" customHeight="false" outlineLevel="0" collapsed="false">
      <c r="A7697" s="3" t="s">
        <v>484</v>
      </c>
      <c r="B7697" s="4" t="s">
        <v>50</v>
      </c>
      <c r="C7697" s="4" t="n">
        <v>3</v>
      </c>
      <c r="D7697" s="4" t="s">
        <v>56</v>
      </c>
      <c r="E7697" s="3" t="s">
        <v>115</v>
      </c>
      <c r="F7697" s="4" t="str">
        <f aca="false">IF(I7697&gt;J7697,"Y","N")</f>
        <v>Y</v>
      </c>
      <c r="G7697" s="3" t="s">
        <v>101</v>
      </c>
      <c r="H7697" s="3" t="s">
        <v>26</v>
      </c>
      <c r="I7697" s="4" t="n">
        <v>9</v>
      </c>
      <c r="J7697" s="4" t="n">
        <f aca="false">LEN(E7697)-LEN(SUBSTITUTE(E7697,",",""))+1</f>
        <v>8</v>
      </c>
      <c r="K7697" s="3" t="str">
        <f aca="false">IFERROR(INDEX('Teacher Lookup'!$B$2:$B$200,MATCH(A7697,'Teacher Lookup'!$A$2:$A$200,0)),"")</f>
        <v>CHEUNG Nicole</v>
      </c>
    </row>
    <row r="7698" customFormat="false" ht="15" hidden="false" customHeight="false" outlineLevel="0" collapsed="false">
      <c r="A7698" s="3" t="s">
        <v>484</v>
      </c>
      <c r="B7698" s="4" t="s">
        <v>50</v>
      </c>
      <c r="C7698" s="4" t="n">
        <v>3</v>
      </c>
      <c r="D7698" s="4" t="s">
        <v>57</v>
      </c>
      <c r="E7698" s="3" t="s">
        <v>115</v>
      </c>
      <c r="F7698" s="4" t="str">
        <f aca="false">IF(I7698&gt;J7698,"Y","N")</f>
        <v>Y</v>
      </c>
      <c r="G7698" s="3" t="s">
        <v>101</v>
      </c>
      <c r="H7698" s="3" t="s">
        <v>26</v>
      </c>
      <c r="I7698" s="4" t="n">
        <v>9</v>
      </c>
      <c r="J7698" s="4" t="n">
        <f aca="false">LEN(E7698)-LEN(SUBSTITUTE(E7698,",",""))+1</f>
        <v>8</v>
      </c>
      <c r="K7698" s="3" t="str">
        <f aca="false">IFERROR(INDEX('Teacher Lookup'!$B$2:$B$200,MATCH(A7698,'Teacher Lookup'!$A$2:$A$200,0)),"")</f>
        <v>CHEUNG Nicole</v>
      </c>
    </row>
    <row r="7699" customFormat="false" ht="15" hidden="false" customHeight="false" outlineLevel="0" collapsed="false">
      <c r="A7699" s="3" t="s">
        <v>484</v>
      </c>
      <c r="B7699" s="4" t="s">
        <v>50</v>
      </c>
      <c r="C7699" s="4" t="n">
        <v>3</v>
      </c>
      <c r="D7699" s="4" t="s">
        <v>58</v>
      </c>
      <c r="E7699" s="3" t="s">
        <v>115</v>
      </c>
      <c r="F7699" s="4" t="str">
        <f aca="false">IF(I7699&gt;J7699,"Y","N")</f>
        <v>Y</v>
      </c>
      <c r="G7699" s="3" t="s">
        <v>101</v>
      </c>
      <c r="H7699" s="3" t="s">
        <v>26</v>
      </c>
      <c r="I7699" s="4" t="n">
        <v>9</v>
      </c>
      <c r="J7699" s="4" t="n">
        <f aca="false">LEN(E7699)-LEN(SUBSTITUTE(E7699,",",""))+1</f>
        <v>8</v>
      </c>
      <c r="K7699" s="3" t="str">
        <f aca="false">IFERROR(INDEX('Teacher Lookup'!$B$2:$B$200,MATCH(A7699,'Teacher Lookup'!$A$2:$A$200,0)),"")</f>
        <v>CHEUNG Nicole</v>
      </c>
    </row>
    <row r="7700" customFormat="false" ht="15" hidden="false" customHeight="false" outlineLevel="0" collapsed="false">
      <c r="A7700" s="3" t="s">
        <v>484</v>
      </c>
      <c r="B7700" s="4" t="s">
        <v>50</v>
      </c>
      <c r="C7700" s="4" t="n">
        <v>3</v>
      </c>
      <c r="D7700" s="4" t="s">
        <v>59</v>
      </c>
      <c r="E7700" s="3" t="s">
        <v>115</v>
      </c>
      <c r="F7700" s="4" t="str">
        <f aca="false">IF(I7700&gt;J7700,"Y","N")</f>
        <v>Y</v>
      </c>
      <c r="G7700" s="3" t="s">
        <v>101</v>
      </c>
      <c r="H7700" s="3" t="s">
        <v>26</v>
      </c>
      <c r="I7700" s="4" t="n">
        <v>9</v>
      </c>
      <c r="J7700" s="4" t="n">
        <f aca="false">LEN(E7700)-LEN(SUBSTITUTE(E7700,",",""))+1</f>
        <v>8</v>
      </c>
      <c r="K7700" s="3" t="str">
        <f aca="false">IFERROR(INDEX('Teacher Lookup'!$B$2:$B$200,MATCH(A7700,'Teacher Lookup'!$A$2:$A$200,0)),"")</f>
        <v>CHEUNG Nicole</v>
      </c>
    </row>
    <row r="7701" customFormat="false" ht="15" hidden="false" customHeight="false" outlineLevel="0" collapsed="false">
      <c r="A7701" s="3" t="s">
        <v>484</v>
      </c>
      <c r="B7701" s="4" t="s">
        <v>50</v>
      </c>
      <c r="C7701" s="4" t="n">
        <v>4</v>
      </c>
      <c r="D7701" s="4" t="s">
        <v>24</v>
      </c>
      <c r="E7701" s="3" t="s">
        <v>278</v>
      </c>
      <c r="F7701" s="4" t="str">
        <f aca="false">IF(I7701&gt;J7701,"Y","N")</f>
        <v>Y</v>
      </c>
      <c r="G7701" s="3" t="s">
        <v>272</v>
      </c>
      <c r="H7701" s="3" t="s">
        <v>34</v>
      </c>
      <c r="I7701" s="4" t="n">
        <v>8</v>
      </c>
      <c r="J7701" s="4" t="n">
        <f aca="false">LEN(E7701)-LEN(SUBSTITUTE(E7701,",",""))+1</f>
        <v>7</v>
      </c>
      <c r="K7701" s="3" t="str">
        <f aca="false">IFERROR(INDEX('Teacher Lookup'!$B$2:$B$200,MATCH(A7701,'Teacher Lookup'!$A$2:$A$200,0)),"")</f>
        <v>CHEUNG Nicole</v>
      </c>
    </row>
    <row r="7702" customFormat="false" ht="15" hidden="false" customHeight="false" outlineLevel="0" collapsed="false">
      <c r="A7702" s="3" t="s">
        <v>484</v>
      </c>
      <c r="B7702" s="4" t="s">
        <v>50</v>
      </c>
      <c r="C7702" s="4" t="n">
        <v>4</v>
      </c>
      <c r="D7702" s="4" t="s">
        <v>27</v>
      </c>
      <c r="E7702" s="3" t="s">
        <v>278</v>
      </c>
      <c r="F7702" s="4" t="str">
        <f aca="false">IF(I7702&gt;J7702,"Y","N")</f>
        <v>Y</v>
      </c>
      <c r="G7702" s="3" t="s">
        <v>272</v>
      </c>
      <c r="H7702" s="3" t="s">
        <v>34</v>
      </c>
      <c r="I7702" s="4" t="n">
        <v>8</v>
      </c>
      <c r="J7702" s="4" t="n">
        <f aca="false">LEN(E7702)-LEN(SUBSTITUTE(E7702,",",""))+1</f>
        <v>7</v>
      </c>
      <c r="K7702" s="3" t="str">
        <f aca="false">IFERROR(INDEX('Teacher Lookup'!$B$2:$B$200,MATCH(A7702,'Teacher Lookup'!$A$2:$A$200,0)),"")</f>
        <v>CHEUNG Nicole</v>
      </c>
    </row>
    <row r="7703" customFormat="false" ht="15" hidden="false" customHeight="false" outlineLevel="0" collapsed="false">
      <c r="A7703" s="3" t="s">
        <v>484</v>
      </c>
      <c r="B7703" s="4" t="s">
        <v>50</v>
      </c>
      <c r="C7703" s="4" t="n">
        <v>4</v>
      </c>
      <c r="D7703" s="4" t="s">
        <v>28</v>
      </c>
      <c r="E7703" s="3" t="s">
        <v>278</v>
      </c>
      <c r="F7703" s="4" t="str">
        <f aca="false">IF(I7703&gt;J7703,"Y","N")</f>
        <v>Y</v>
      </c>
      <c r="G7703" s="3" t="s">
        <v>272</v>
      </c>
      <c r="H7703" s="3" t="s">
        <v>34</v>
      </c>
      <c r="I7703" s="4" t="n">
        <v>8</v>
      </c>
      <c r="J7703" s="4" t="n">
        <f aca="false">LEN(E7703)-LEN(SUBSTITUTE(E7703,",",""))+1</f>
        <v>7</v>
      </c>
      <c r="K7703" s="3" t="str">
        <f aca="false">IFERROR(INDEX('Teacher Lookup'!$B$2:$B$200,MATCH(A7703,'Teacher Lookup'!$A$2:$A$200,0)),"")</f>
        <v>CHEUNG Nicole</v>
      </c>
    </row>
    <row r="7704" customFormat="false" ht="15" hidden="false" customHeight="false" outlineLevel="0" collapsed="false">
      <c r="A7704" s="3" t="s">
        <v>484</v>
      </c>
      <c r="B7704" s="4" t="s">
        <v>50</v>
      </c>
      <c r="C7704" s="4" t="n">
        <v>4</v>
      </c>
      <c r="D7704" s="4" t="s">
        <v>29</v>
      </c>
      <c r="E7704" s="3" t="s">
        <v>278</v>
      </c>
      <c r="F7704" s="4" t="str">
        <f aca="false">IF(I7704&gt;J7704,"Y","N")</f>
        <v>Y</v>
      </c>
      <c r="G7704" s="3" t="s">
        <v>272</v>
      </c>
      <c r="H7704" s="3" t="s">
        <v>34</v>
      </c>
      <c r="I7704" s="4" t="n">
        <v>8</v>
      </c>
      <c r="J7704" s="4" t="n">
        <f aca="false">LEN(E7704)-LEN(SUBSTITUTE(E7704,",",""))+1</f>
        <v>7</v>
      </c>
      <c r="K7704" s="3" t="str">
        <f aca="false">IFERROR(INDEX('Teacher Lookup'!$B$2:$B$200,MATCH(A7704,'Teacher Lookup'!$A$2:$A$200,0)),"")</f>
        <v>CHEUNG Nicole</v>
      </c>
    </row>
    <row r="7705" customFormat="false" ht="15" hidden="false" customHeight="false" outlineLevel="0" collapsed="false">
      <c r="A7705" s="3" t="s">
        <v>484</v>
      </c>
      <c r="B7705" s="4" t="s">
        <v>50</v>
      </c>
      <c r="C7705" s="4" t="n">
        <v>4</v>
      </c>
      <c r="D7705" s="4" t="s">
        <v>30</v>
      </c>
      <c r="E7705" s="3" t="s">
        <v>278</v>
      </c>
      <c r="F7705" s="4" t="str">
        <f aca="false">IF(I7705&gt;J7705,"Y","N")</f>
        <v>Y</v>
      </c>
      <c r="G7705" s="3" t="s">
        <v>272</v>
      </c>
      <c r="H7705" s="3" t="s">
        <v>34</v>
      </c>
      <c r="I7705" s="4" t="n">
        <v>8</v>
      </c>
      <c r="J7705" s="4" t="n">
        <f aca="false">LEN(E7705)-LEN(SUBSTITUTE(E7705,",",""))+1</f>
        <v>7</v>
      </c>
      <c r="K7705" s="3" t="str">
        <f aca="false">IFERROR(INDEX('Teacher Lookup'!$B$2:$B$200,MATCH(A7705,'Teacher Lookup'!$A$2:$A$200,0)),"")</f>
        <v>CHEUNG Nicole</v>
      </c>
    </row>
    <row r="7706" customFormat="false" ht="15" hidden="false" customHeight="false" outlineLevel="0" collapsed="false">
      <c r="A7706" s="3" t="s">
        <v>484</v>
      </c>
      <c r="B7706" s="4" t="s">
        <v>50</v>
      </c>
      <c r="C7706" s="4" t="n">
        <v>5</v>
      </c>
      <c r="D7706" s="4" t="s">
        <v>24</v>
      </c>
      <c r="E7706" s="3" t="s">
        <v>278</v>
      </c>
      <c r="F7706" s="4" t="str">
        <f aca="false">IF(I7706&gt;J7706,"Y","N")</f>
        <v>Y</v>
      </c>
      <c r="G7706" s="3" t="s">
        <v>272</v>
      </c>
      <c r="H7706" s="3" t="s">
        <v>37</v>
      </c>
      <c r="I7706" s="4" t="n">
        <v>8</v>
      </c>
      <c r="J7706" s="4" t="n">
        <f aca="false">LEN(E7706)-LEN(SUBSTITUTE(E7706,",",""))+1</f>
        <v>7</v>
      </c>
      <c r="K7706" s="3" t="str">
        <f aca="false">IFERROR(INDEX('Teacher Lookup'!$B$2:$B$200,MATCH(A7706,'Teacher Lookup'!$A$2:$A$200,0)),"")</f>
        <v>CHEUNG Nicole</v>
      </c>
    </row>
    <row r="7707" customFormat="false" ht="15" hidden="false" customHeight="false" outlineLevel="0" collapsed="false">
      <c r="A7707" s="3" t="s">
        <v>484</v>
      </c>
      <c r="B7707" s="4" t="s">
        <v>50</v>
      </c>
      <c r="C7707" s="4" t="n">
        <v>5</v>
      </c>
      <c r="D7707" s="4" t="s">
        <v>27</v>
      </c>
      <c r="E7707" s="3" t="s">
        <v>278</v>
      </c>
      <c r="F7707" s="4" t="str">
        <f aca="false">IF(I7707&gt;J7707,"Y","N")</f>
        <v>Y</v>
      </c>
      <c r="G7707" s="3" t="s">
        <v>272</v>
      </c>
      <c r="H7707" s="3" t="s">
        <v>37</v>
      </c>
      <c r="I7707" s="4" t="n">
        <v>8</v>
      </c>
      <c r="J7707" s="4" t="n">
        <f aca="false">LEN(E7707)-LEN(SUBSTITUTE(E7707,",",""))+1</f>
        <v>7</v>
      </c>
      <c r="K7707" s="3" t="str">
        <f aca="false">IFERROR(INDEX('Teacher Lookup'!$B$2:$B$200,MATCH(A7707,'Teacher Lookup'!$A$2:$A$200,0)),"")</f>
        <v>CHEUNG Nicole</v>
      </c>
    </row>
    <row r="7708" customFormat="false" ht="15" hidden="false" customHeight="false" outlineLevel="0" collapsed="false">
      <c r="A7708" s="3" t="s">
        <v>484</v>
      </c>
      <c r="B7708" s="4" t="s">
        <v>50</v>
      </c>
      <c r="C7708" s="4" t="n">
        <v>5</v>
      </c>
      <c r="D7708" s="4" t="s">
        <v>28</v>
      </c>
      <c r="E7708" s="3" t="s">
        <v>278</v>
      </c>
      <c r="F7708" s="4" t="str">
        <f aca="false">IF(I7708&gt;J7708,"Y","N")</f>
        <v>Y</v>
      </c>
      <c r="G7708" s="3" t="s">
        <v>272</v>
      </c>
      <c r="H7708" s="3" t="s">
        <v>37</v>
      </c>
      <c r="I7708" s="4" t="n">
        <v>8</v>
      </c>
      <c r="J7708" s="4" t="n">
        <f aca="false">LEN(E7708)-LEN(SUBSTITUTE(E7708,",",""))+1</f>
        <v>7</v>
      </c>
      <c r="K7708" s="3" t="str">
        <f aca="false">IFERROR(INDEX('Teacher Lookup'!$B$2:$B$200,MATCH(A7708,'Teacher Lookup'!$A$2:$A$200,0)),"")</f>
        <v>CHEUNG Nicole</v>
      </c>
    </row>
    <row r="7709" customFormat="false" ht="15" hidden="false" customHeight="false" outlineLevel="0" collapsed="false">
      <c r="A7709" s="3" t="s">
        <v>484</v>
      </c>
      <c r="B7709" s="4" t="s">
        <v>50</v>
      </c>
      <c r="C7709" s="4" t="n">
        <v>5</v>
      </c>
      <c r="D7709" s="4" t="s">
        <v>29</v>
      </c>
      <c r="E7709" s="3" t="s">
        <v>278</v>
      </c>
      <c r="F7709" s="4" t="str">
        <f aca="false">IF(I7709&gt;J7709,"Y","N")</f>
        <v>Y</v>
      </c>
      <c r="G7709" s="3" t="s">
        <v>272</v>
      </c>
      <c r="H7709" s="3" t="s">
        <v>37</v>
      </c>
      <c r="I7709" s="4" t="n">
        <v>8</v>
      </c>
      <c r="J7709" s="4" t="n">
        <f aca="false">LEN(E7709)-LEN(SUBSTITUTE(E7709,",",""))+1</f>
        <v>7</v>
      </c>
      <c r="K7709" s="3" t="str">
        <f aca="false">IFERROR(INDEX('Teacher Lookup'!$B$2:$B$200,MATCH(A7709,'Teacher Lookup'!$A$2:$A$200,0)),"")</f>
        <v>CHEUNG Nicole</v>
      </c>
    </row>
    <row r="7710" customFormat="false" ht="15" hidden="false" customHeight="false" outlineLevel="0" collapsed="false">
      <c r="A7710" s="3" t="s">
        <v>484</v>
      </c>
      <c r="B7710" s="4" t="s">
        <v>50</v>
      </c>
      <c r="C7710" s="4" t="n">
        <v>5</v>
      </c>
      <c r="D7710" s="4" t="s">
        <v>30</v>
      </c>
      <c r="E7710" s="3" t="s">
        <v>278</v>
      </c>
      <c r="F7710" s="4" t="str">
        <f aca="false">IF(I7710&gt;J7710,"Y","N")</f>
        <v>Y</v>
      </c>
      <c r="G7710" s="3" t="s">
        <v>272</v>
      </c>
      <c r="H7710" s="3" t="s">
        <v>37</v>
      </c>
      <c r="I7710" s="4" t="n">
        <v>8</v>
      </c>
      <c r="J7710" s="4" t="n">
        <f aca="false">LEN(E7710)-LEN(SUBSTITUTE(E7710,",",""))+1</f>
        <v>7</v>
      </c>
      <c r="K7710" s="3" t="str">
        <f aca="false">IFERROR(INDEX('Teacher Lookup'!$B$2:$B$200,MATCH(A7710,'Teacher Lookup'!$A$2:$A$200,0)),"")</f>
        <v>CHEUNG Nicole</v>
      </c>
    </row>
    <row r="7711" customFormat="false" ht="15" hidden="false" customHeight="false" outlineLevel="0" collapsed="false">
      <c r="A7711" s="3" t="s">
        <v>484</v>
      </c>
      <c r="B7711" s="4" t="s">
        <v>60</v>
      </c>
      <c r="C7711" s="4" t="n">
        <v>1</v>
      </c>
      <c r="D7711" s="4" t="s">
        <v>24</v>
      </c>
      <c r="E7711" s="3" t="s">
        <v>485</v>
      </c>
      <c r="F7711" s="4" t="str">
        <f aca="false">IF(I7711&gt;J7711,"Y","N")</f>
        <v>N</v>
      </c>
      <c r="G7711" s="3" t="s">
        <v>486</v>
      </c>
      <c r="H7711" s="3" t="s">
        <v>16</v>
      </c>
      <c r="I7711" s="4" t="n">
        <v>1</v>
      </c>
      <c r="J7711" s="4" t="n">
        <f aca="false">LEN(E7711)-LEN(SUBSTITUTE(E7711,",",""))+1</f>
        <v>1</v>
      </c>
      <c r="K7711" s="3" t="str">
        <f aca="false">IFERROR(INDEX('Teacher Lookup'!$B$2:$B$200,MATCH(A7711,'Teacher Lookup'!$A$2:$A$200,0)),"")</f>
        <v>CHEUNG Nicole</v>
      </c>
    </row>
    <row r="7712" customFormat="false" ht="15" hidden="false" customHeight="false" outlineLevel="0" collapsed="false">
      <c r="A7712" s="3" t="s">
        <v>484</v>
      </c>
      <c r="B7712" s="4" t="s">
        <v>60</v>
      </c>
      <c r="C7712" s="4" t="n">
        <v>2</v>
      </c>
      <c r="D7712" s="4" t="s">
        <v>24</v>
      </c>
      <c r="E7712" s="3" t="s">
        <v>280</v>
      </c>
      <c r="F7712" s="4" t="str">
        <f aca="false">IF(I7712&gt;J7712,"Y","N")</f>
        <v>Y</v>
      </c>
      <c r="G7712" s="3" t="s">
        <v>272</v>
      </c>
      <c r="H7712" s="3" t="s">
        <v>21</v>
      </c>
      <c r="I7712" s="4" t="n">
        <v>8</v>
      </c>
      <c r="J7712" s="4" t="n">
        <f aca="false">LEN(E7712)-LEN(SUBSTITUTE(E7712,",",""))+1</f>
        <v>7</v>
      </c>
      <c r="K7712" s="3" t="str">
        <f aca="false">IFERROR(INDEX('Teacher Lookup'!$B$2:$B$200,MATCH(A7712,'Teacher Lookup'!$A$2:$A$200,0)),"")</f>
        <v>CHEUNG Nicole</v>
      </c>
    </row>
    <row r="7713" customFormat="false" ht="15" hidden="false" customHeight="false" outlineLevel="0" collapsed="false">
      <c r="A7713" s="3" t="s">
        <v>484</v>
      </c>
      <c r="B7713" s="4" t="s">
        <v>60</v>
      </c>
      <c r="C7713" s="4" t="n">
        <v>2</v>
      </c>
      <c r="D7713" s="4" t="s">
        <v>27</v>
      </c>
      <c r="E7713" s="3" t="s">
        <v>280</v>
      </c>
      <c r="F7713" s="4" t="str">
        <f aca="false">IF(I7713&gt;J7713,"Y","N")</f>
        <v>Y</v>
      </c>
      <c r="G7713" s="3" t="s">
        <v>272</v>
      </c>
      <c r="H7713" s="3" t="s">
        <v>21</v>
      </c>
      <c r="I7713" s="4" t="n">
        <v>8</v>
      </c>
      <c r="J7713" s="4" t="n">
        <f aca="false">LEN(E7713)-LEN(SUBSTITUTE(E7713,",",""))+1</f>
        <v>7</v>
      </c>
      <c r="K7713" s="3" t="str">
        <f aca="false">IFERROR(INDEX('Teacher Lookup'!$B$2:$B$200,MATCH(A7713,'Teacher Lookup'!$A$2:$A$200,0)),"")</f>
        <v>CHEUNG Nicole</v>
      </c>
    </row>
    <row r="7714" customFormat="false" ht="15" hidden="false" customHeight="false" outlineLevel="0" collapsed="false">
      <c r="A7714" s="3" t="s">
        <v>484</v>
      </c>
      <c r="B7714" s="4" t="s">
        <v>60</v>
      </c>
      <c r="C7714" s="4" t="n">
        <v>2</v>
      </c>
      <c r="D7714" s="4" t="s">
        <v>28</v>
      </c>
      <c r="E7714" s="3" t="s">
        <v>280</v>
      </c>
      <c r="F7714" s="4" t="str">
        <f aca="false">IF(I7714&gt;J7714,"Y","N")</f>
        <v>Y</v>
      </c>
      <c r="G7714" s="3" t="s">
        <v>272</v>
      </c>
      <c r="H7714" s="3" t="s">
        <v>21</v>
      </c>
      <c r="I7714" s="4" t="n">
        <v>8</v>
      </c>
      <c r="J7714" s="4" t="n">
        <f aca="false">LEN(E7714)-LEN(SUBSTITUTE(E7714,",",""))+1</f>
        <v>7</v>
      </c>
      <c r="K7714" s="3" t="str">
        <f aca="false">IFERROR(INDEX('Teacher Lookup'!$B$2:$B$200,MATCH(A7714,'Teacher Lookup'!$A$2:$A$200,0)),"")</f>
        <v>CHEUNG Nicole</v>
      </c>
    </row>
    <row r="7715" customFormat="false" ht="15" hidden="false" customHeight="false" outlineLevel="0" collapsed="false">
      <c r="A7715" s="3" t="s">
        <v>484</v>
      </c>
      <c r="B7715" s="4" t="s">
        <v>60</v>
      </c>
      <c r="C7715" s="4" t="n">
        <v>2</v>
      </c>
      <c r="D7715" s="4" t="s">
        <v>29</v>
      </c>
      <c r="E7715" s="3" t="s">
        <v>280</v>
      </c>
      <c r="F7715" s="4" t="str">
        <f aca="false">IF(I7715&gt;J7715,"Y","N")</f>
        <v>Y</v>
      </c>
      <c r="G7715" s="3" t="s">
        <v>272</v>
      </c>
      <c r="H7715" s="3" t="s">
        <v>21</v>
      </c>
      <c r="I7715" s="4" t="n">
        <v>8</v>
      </c>
      <c r="J7715" s="4" t="n">
        <f aca="false">LEN(E7715)-LEN(SUBSTITUTE(E7715,",",""))+1</f>
        <v>7</v>
      </c>
      <c r="K7715" s="3" t="str">
        <f aca="false">IFERROR(INDEX('Teacher Lookup'!$B$2:$B$200,MATCH(A7715,'Teacher Lookup'!$A$2:$A$200,0)),"")</f>
        <v>CHEUNG Nicole</v>
      </c>
    </row>
    <row r="7716" customFormat="false" ht="15" hidden="false" customHeight="false" outlineLevel="0" collapsed="false">
      <c r="A7716" s="3" t="s">
        <v>484</v>
      </c>
      <c r="B7716" s="4" t="s">
        <v>60</v>
      </c>
      <c r="C7716" s="4" t="n">
        <v>2</v>
      </c>
      <c r="D7716" s="4" t="s">
        <v>30</v>
      </c>
      <c r="E7716" s="3" t="s">
        <v>280</v>
      </c>
      <c r="F7716" s="4" t="str">
        <f aca="false">IF(I7716&gt;J7716,"Y","N")</f>
        <v>Y</v>
      </c>
      <c r="G7716" s="3" t="s">
        <v>272</v>
      </c>
      <c r="H7716" s="3" t="s">
        <v>21</v>
      </c>
      <c r="I7716" s="4" t="n">
        <v>8</v>
      </c>
      <c r="J7716" s="4" t="n">
        <f aca="false">LEN(E7716)-LEN(SUBSTITUTE(E7716,",",""))+1</f>
        <v>7</v>
      </c>
      <c r="K7716" s="3" t="str">
        <f aca="false">IFERROR(INDEX('Teacher Lookup'!$B$2:$B$200,MATCH(A7716,'Teacher Lookup'!$A$2:$A$200,0)),"")</f>
        <v>CHEUNG Nicole</v>
      </c>
    </row>
    <row r="7717" customFormat="false" ht="15" hidden="false" customHeight="false" outlineLevel="0" collapsed="false">
      <c r="A7717" s="3" t="s">
        <v>484</v>
      </c>
      <c r="B7717" s="4" t="s">
        <v>60</v>
      </c>
      <c r="C7717" s="4" t="n">
        <v>3</v>
      </c>
      <c r="D7717" s="4" t="s">
        <v>74</v>
      </c>
      <c r="E7717" s="3" t="s">
        <v>316</v>
      </c>
      <c r="F7717" s="4" t="str">
        <f aca="false">IF(I7717&gt;J7717,"Y","N")</f>
        <v>N</v>
      </c>
      <c r="G7717" s="3" t="s">
        <v>376</v>
      </c>
      <c r="H7717" s="3" t="s">
        <v>26</v>
      </c>
      <c r="I7717" s="4" t="n">
        <v>1</v>
      </c>
      <c r="J7717" s="4" t="n">
        <f aca="false">LEN(E7717)-LEN(SUBSTITUTE(E7717,",",""))+1</f>
        <v>1</v>
      </c>
      <c r="K7717" s="3" t="str">
        <f aca="false">IFERROR(INDEX('Teacher Lookup'!$B$2:$B$200,MATCH(A7717,'Teacher Lookup'!$A$2:$A$200,0)),"")</f>
        <v>CHEUNG Nicole</v>
      </c>
    </row>
    <row r="7718" customFormat="false" ht="15" hidden="false" customHeight="false" outlineLevel="0" collapsed="false">
      <c r="A7718" s="3" t="s">
        <v>484</v>
      </c>
      <c r="B7718" s="4" t="s">
        <v>60</v>
      </c>
      <c r="C7718" s="4" t="n">
        <v>4</v>
      </c>
      <c r="D7718" s="4" t="s">
        <v>52</v>
      </c>
      <c r="E7718" s="3" t="s">
        <v>119</v>
      </c>
      <c r="F7718" s="4" t="str">
        <f aca="false">IF(I7718&gt;J7718,"Y","N")</f>
        <v>N</v>
      </c>
      <c r="G7718" s="3" t="s">
        <v>101</v>
      </c>
      <c r="H7718" s="3" t="s">
        <v>34</v>
      </c>
      <c r="I7718" s="4" t="n">
        <v>8</v>
      </c>
      <c r="J7718" s="4" t="n">
        <f aca="false">LEN(E7718)-LEN(SUBSTITUTE(E7718,",",""))+1</f>
        <v>8</v>
      </c>
      <c r="K7718" s="3" t="str">
        <f aca="false">IFERROR(INDEX('Teacher Lookup'!$B$2:$B$200,MATCH(A7718,'Teacher Lookup'!$A$2:$A$200,0)),"")</f>
        <v>CHEUNG Nicole</v>
      </c>
    </row>
    <row r="7719" customFormat="false" ht="15" hidden="false" customHeight="false" outlineLevel="0" collapsed="false">
      <c r="A7719" s="3" t="s">
        <v>484</v>
      </c>
      <c r="B7719" s="4" t="s">
        <v>60</v>
      </c>
      <c r="C7719" s="4" t="n">
        <v>4</v>
      </c>
      <c r="D7719" s="4" t="s">
        <v>55</v>
      </c>
      <c r="E7719" s="3" t="s">
        <v>119</v>
      </c>
      <c r="F7719" s="4" t="str">
        <f aca="false">IF(I7719&gt;J7719,"Y","N")</f>
        <v>N</v>
      </c>
      <c r="G7719" s="3" t="s">
        <v>101</v>
      </c>
      <c r="H7719" s="3" t="s">
        <v>34</v>
      </c>
      <c r="I7719" s="4" t="n">
        <v>8</v>
      </c>
      <c r="J7719" s="4" t="n">
        <f aca="false">LEN(E7719)-LEN(SUBSTITUTE(E7719,",",""))+1</f>
        <v>8</v>
      </c>
      <c r="K7719" s="3" t="str">
        <f aca="false">IFERROR(INDEX('Teacher Lookup'!$B$2:$B$200,MATCH(A7719,'Teacher Lookup'!$A$2:$A$200,0)),"")</f>
        <v>CHEUNG Nicole</v>
      </c>
    </row>
    <row r="7720" customFormat="false" ht="15" hidden="false" customHeight="false" outlineLevel="0" collapsed="false">
      <c r="A7720" s="3" t="s">
        <v>484</v>
      </c>
      <c r="B7720" s="4" t="s">
        <v>60</v>
      </c>
      <c r="C7720" s="4" t="n">
        <v>4</v>
      </c>
      <c r="D7720" s="4" t="s">
        <v>56</v>
      </c>
      <c r="E7720" s="3" t="s">
        <v>119</v>
      </c>
      <c r="F7720" s="4" t="str">
        <f aca="false">IF(I7720&gt;J7720,"Y","N")</f>
        <v>N</v>
      </c>
      <c r="G7720" s="3" t="s">
        <v>101</v>
      </c>
      <c r="H7720" s="3" t="s">
        <v>34</v>
      </c>
      <c r="I7720" s="4" t="n">
        <v>8</v>
      </c>
      <c r="J7720" s="4" t="n">
        <f aca="false">LEN(E7720)-LEN(SUBSTITUTE(E7720,",",""))+1</f>
        <v>8</v>
      </c>
      <c r="K7720" s="3" t="str">
        <f aca="false">IFERROR(INDEX('Teacher Lookup'!$B$2:$B$200,MATCH(A7720,'Teacher Lookup'!$A$2:$A$200,0)),"")</f>
        <v>CHEUNG Nicole</v>
      </c>
    </row>
    <row r="7721" customFormat="false" ht="15" hidden="false" customHeight="false" outlineLevel="0" collapsed="false">
      <c r="A7721" s="3" t="s">
        <v>484</v>
      </c>
      <c r="B7721" s="4" t="s">
        <v>60</v>
      </c>
      <c r="C7721" s="4" t="n">
        <v>4</v>
      </c>
      <c r="D7721" s="4" t="s">
        <v>57</v>
      </c>
      <c r="E7721" s="3" t="s">
        <v>119</v>
      </c>
      <c r="F7721" s="4" t="str">
        <f aca="false">IF(I7721&gt;J7721,"Y","N")</f>
        <v>N</v>
      </c>
      <c r="G7721" s="3" t="s">
        <v>101</v>
      </c>
      <c r="H7721" s="3" t="s">
        <v>34</v>
      </c>
      <c r="I7721" s="4" t="n">
        <v>8</v>
      </c>
      <c r="J7721" s="4" t="n">
        <f aca="false">LEN(E7721)-LEN(SUBSTITUTE(E7721,",",""))+1</f>
        <v>8</v>
      </c>
      <c r="K7721" s="3" t="str">
        <f aca="false">IFERROR(INDEX('Teacher Lookup'!$B$2:$B$200,MATCH(A7721,'Teacher Lookup'!$A$2:$A$200,0)),"")</f>
        <v>CHEUNG Nicole</v>
      </c>
    </row>
    <row r="7722" customFormat="false" ht="15" hidden="false" customHeight="false" outlineLevel="0" collapsed="false">
      <c r="A7722" s="3" t="s">
        <v>484</v>
      </c>
      <c r="B7722" s="4" t="s">
        <v>60</v>
      </c>
      <c r="C7722" s="4" t="n">
        <v>4</v>
      </c>
      <c r="D7722" s="4" t="s">
        <v>58</v>
      </c>
      <c r="E7722" s="3" t="s">
        <v>119</v>
      </c>
      <c r="F7722" s="4" t="str">
        <f aca="false">IF(I7722&gt;J7722,"Y","N")</f>
        <v>N</v>
      </c>
      <c r="G7722" s="3" t="s">
        <v>101</v>
      </c>
      <c r="H7722" s="3" t="s">
        <v>34</v>
      </c>
      <c r="I7722" s="4" t="n">
        <v>8</v>
      </c>
      <c r="J7722" s="4" t="n">
        <f aca="false">LEN(E7722)-LEN(SUBSTITUTE(E7722,",",""))+1</f>
        <v>8</v>
      </c>
      <c r="K7722" s="3" t="str">
        <f aca="false">IFERROR(INDEX('Teacher Lookup'!$B$2:$B$200,MATCH(A7722,'Teacher Lookup'!$A$2:$A$200,0)),"")</f>
        <v>CHEUNG Nicole</v>
      </c>
    </row>
    <row r="7723" customFormat="false" ht="15" hidden="false" customHeight="false" outlineLevel="0" collapsed="false">
      <c r="A7723" s="3" t="s">
        <v>484</v>
      </c>
      <c r="B7723" s="4" t="s">
        <v>60</v>
      </c>
      <c r="C7723" s="4" t="n">
        <v>4</v>
      </c>
      <c r="D7723" s="4" t="s">
        <v>59</v>
      </c>
      <c r="E7723" s="3" t="s">
        <v>119</v>
      </c>
      <c r="F7723" s="4" t="str">
        <f aca="false">IF(I7723&gt;J7723,"Y","N")</f>
        <v>N</v>
      </c>
      <c r="G7723" s="3" t="s">
        <v>101</v>
      </c>
      <c r="H7723" s="3" t="s">
        <v>34</v>
      </c>
      <c r="I7723" s="4" t="n">
        <v>8</v>
      </c>
      <c r="J7723" s="4" t="n">
        <f aca="false">LEN(E7723)-LEN(SUBSTITUTE(E7723,",",""))+1</f>
        <v>8</v>
      </c>
      <c r="K7723" s="3" t="str">
        <f aca="false">IFERROR(INDEX('Teacher Lookup'!$B$2:$B$200,MATCH(A7723,'Teacher Lookup'!$A$2:$A$200,0)),"")</f>
        <v>CHEUNG Nicole</v>
      </c>
    </row>
    <row r="7724" customFormat="false" ht="15" hidden="false" customHeight="false" outlineLevel="0" collapsed="false">
      <c r="A7724" s="3" t="s">
        <v>484</v>
      </c>
      <c r="B7724" s="4" t="s">
        <v>60</v>
      </c>
      <c r="C7724" s="4" t="n">
        <v>5</v>
      </c>
      <c r="D7724" s="4" t="s">
        <v>24</v>
      </c>
      <c r="E7724" s="3" t="s">
        <v>131</v>
      </c>
      <c r="F7724" s="4" t="str">
        <f aca="false">IF(I7724&gt;J7724,"Y","N")</f>
        <v>Y</v>
      </c>
      <c r="G7724" s="3" t="s">
        <v>36</v>
      </c>
      <c r="H7724" s="3" t="s">
        <v>37</v>
      </c>
      <c r="I7724" s="4" t="n">
        <v>15</v>
      </c>
      <c r="J7724" s="4" t="n">
        <f aca="false">LEN(E7724)-LEN(SUBSTITUTE(E7724,",",""))+1</f>
        <v>7</v>
      </c>
      <c r="K7724" s="3" t="str">
        <f aca="false">IFERROR(INDEX('Teacher Lookup'!$B$2:$B$200,MATCH(A7724,'Teacher Lookup'!$A$2:$A$200,0)),"")</f>
        <v>CHEUNG Nicole</v>
      </c>
    </row>
    <row r="7725" customFormat="false" ht="15" hidden="false" customHeight="false" outlineLevel="0" collapsed="false">
      <c r="A7725" s="3" t="s">
        <v>484</v>
      </c>
      <c r="B7725" s="4" t="s">
        <v>60</v>
      </c>
      <c r="C7725" s="4" t="n">
        <v>5</v>
      </c>
      <c r="D7725" s="4" t="s">
        <v>132</v>
      </c>
      <c r="E7725" s="3" t="s">
        <v>131</v>
      </c>
      <c r="F7725" s="4" t="str">
        <f aca="false">IF(I7725&gt;J7725,"Y","N")</f>
        <v>Y</v>
      </c>
      <c r="G7725" s="3" t="s">
        <v>36</v>
      </c>
      <c r="H7725" s="3" t="s">
        <v>37</v>
      </c>
      <c r="I7725" s="4" t="n">
        <v>15</v>
      </c>
      <c r="J7725" s="4" t="n">
        <f aca="false">LEN(E7725)-LEN(SUBSTITUTE(E7725,",",""))+1</f>
        <v>7</v>
      </c>
      <c r="K7725" s="3" t="str">
        <f aca="false">IFERROR(INDEX('Teacher Lookup'!$B$2:$B$200,MATCH(A7725,'Teacher Lookup'!$A$2:$A$200,0)),"")</f>
        <v>CHEUNG Nicole</v>
      </c>
    </row>
    <row r="7726" customFormat="false" ht="15" hidden="false" customHeight="false" outlineLevel="0" collapsed="false">
      <c r="A7726" s="3" t="s">
        <v>484</v>
      </c>
      <c r="B7726" s="4" t="s">
        <v>60</v>
      </c>
      <c r="C7726" s="4" t="n">
        <v>5</v>
      </c>
      <c r="D7726" s="4" t="s">
        <v>27</v>
      </c>
      <c r="E7726" s="3" t="s">
        <v>131</v>
      </c>
      <c r="F7726" s="4" t="str">
        <f aca="false">IF(I7726&gt;J7726,"Y","N")</f>
        <v>Y</v>
      </c>
      <c r="G7726" s="3" t="s">
        <v>36</v>
      </c>
      <c r="H7726" s="3" t="s">
        <v>37</v>
      </c>
      <c r="I7726" s="4" t="n">
        <v>15</v>
      </c>
      <c r="J7726" s="4" t="n">
        <f aca="false">LEN(E7726)-LEN(SUBSTITUTE(E7726,",",""))+1</f>
        <v>7</v>
      </c>
      <c r="K7726" s="3" t="str">
        <f aca="false">IFERROR(INDEX('Teacher Lookup'!$B$2:$B$200,MATCH(A7726,'Teacher Lookup'!$A$2:$A$200,0)),"")</f>
        <v>CHEUNG Nicole</v>
      </c>
    </row>
    <row r="7727" customFormat="false" ht="15" hidden="false" customHeight="false" outlineLevel="0" collapsed="false">
      <c r="A7727" s="3" t="s">
        <v>484</v>
      </c>
      <c r="B7727" s="4" t="s">
        <v>60</v>
      </c>
      <c r="C7727" s="4" t="n">
        <v>5</v>
      </c>
      <c r="D7727" s="4" t="s">
        <v>28</v>
      </c>
      <c r="E7727" s="3" t="s">
        <v>131</v>
      </c>
      <c r="F7727" s="4" t="str">
        <f aca="false">IF(I7727&gt;J7727,"Y","N")</f>
        <v>Y</v>
      </c>
      <c r="G7727" s="3" t="s">
        <v>36</v>
      </c>
      <c r="H7727" s="3" t="s">
        <v>37</v>
      </c>
      <c r="I7727" s="4" t="n">
        <v>15</v>
      </c>
      <c r="J7727" s="4" t="n">
        <f aca="false">LEN(E7727)-LEN(SUBSTITUTE(E7727,",",""))+1</f>
        <v>7</v>
      </c>
      <c r="K7727" s="3" t="str">
        <f aca="false">IFERROR(INDEX('Teacher Lookup'!$B$2:$B$200,MATCH(A7727,'Teacher Lookup'!$A$2:$A$200,0)),"")</f>
        <v>CHEUNG Nicole</v>
      </c>
    </row>
    <row r="7728" customFormat="false" ht="15" hidden="false" customHeight="false" outlineLevel="0" collapsed="false">
      <c r="A7728" s="3" t="s">
        <v>484</v>
      </c>
      <c r="B7728" s="4" t="s">
        <v>60</v>
      </c>
      <c r="C7728" s="4" t="n">
        <v>5</v>
      </c>
      <c r="D7728" s="4" t="s">
        <v>29</v>
      </c>
      <c r="E7728" s="3" t="s">
        <v>131</v>
      </c>
      <c r="F7728" s="4" t="str">
        <f aca="false">IF(I7728&gt;J7728,"Y","N")</f>
        <v>Y</v>
      </c>
      <c r="G7728" s="3" t="s">
        <v>36</v>
      </c>
      <c r="H7728" s="3" t="s">
        <v>37</v>
      </c>
      <c r="I7728" s="4" t="n">
        <v>15</v>
      </c>
      <c r="J7728" s="4" t="n">
        <f aca="false">LEN(E7728)-LEN(SUBSTITUTE(E7728,",",""))+1</f>
        <v>7</v>
      </c>
      <c r="K7728" s="3" t="str">
        <f aca="false">IFERROR(INDEX('Teacher Lookup'!$B$2:$B$200,MATCH(A7728,'Teacher Lookup'!$A$2:$A$200,0)),"")</f>
        <v>CHEUNG Nicole</v>
      </c>
    </row>
    <row r="7729" customFormat="false" ht="15" hidden="false" customHeight="false" outlineLevel="0" collapsed="false">
      <c r="A7729" s="3" t="s">
        <v>484</v>
      </c>
      <c r="B7729" s="4" t="s">
        <v>60</v>
      </c>
      <c r="C7729" s="4" t="n">
        <v>5</v>
      </c>
      <c r="D7729" s="4" t="s">
        <v>30</v>
      </c>
      <c r="E7729" s="3" t="s">
        <v>131</v>
      </c>
      <c r="F7729" s="4" t="str">
        <f aca="false">IF(I7729&gt;J7729,"Y","N")</f>
        <v>Y</v>
      </c>
      <c r="G7729" s="3" t="s">
        <v>36</v>
      </c>
      <c r="H7729" s="3" t="s">
        <v>37</v>
      </c>
      <c r="I7729" s="4" t="n">
        <v>15</v>
      </c>
      <c r="J7729" s="4" t="n">
        <f aca="false">LEN(E7729)-LEN(SUBSTITUTE(E7729,",",""))+1</f>
        <v>7</v>
      </c>
      <c r="K7729" s="3" t="str">
        <f aca="false">IFERROR(INDEX('Teacher Lookup'!$B$2:$B$200,MATCH(A7729,'Teacher Lookup'!$A$2:$A$200,0)),"")</f>
        <v>CHEUNG Nicole</v>
      </c>
    </row>
    <row r="7730" customFormat="false" ht="15" hidden="false" customHeight="false" outlineLevel="0" collapsed="false">
      <c r="A7730" s="3" t="s">
        <v>484</v>
      </c>
      <c r="B7730" s="4" t="s">
        <v>63</v>
      </c>
      <c r="C7730" s="4" t="n">
        <v>1</v>
      </c>
      <c r="D7730" s="4" t="s">
        <v>73</v>
      </c>
      <c r="E7730" s="3" t="s">
        <v>438</v>
      </c>
      <c r="F7730" s="4" t="str">
        <f aca="false">IF(I7730&gt;J7730,"Y","N")</f>
        <v>N</v>
      </c>
      <c r="G7730" s="3" t="s">
        <v>376</v>
      </c>
      <c r="H7730" s="3" t="s">
        <v>16</v>
      </c>
      <c r="I7730" s="4" t="n">
        <v>1</v>
      </c>
      <c r="J7730" s="4" t="n">
        <f aca="false">LEN(E7730)-LEN(SUBSTITUTE(E7730,",",""))+1</f>
        <v>1</v>
      </c>
      <c r="K7730" s="3" t="str">
        <f aca="false">IFERROR(INDEX('Teacher Lookup'!$B$2:$B$200,MATCH(A7730,'Teacher Lookup'!$A$2:$A$200,0)),"")</f>
        <v>CHEUNG Nicole</v>
      </c>
    </row>
    <row r="7731" customFormat="false" ht="15" hidden="false" customHeight="false" outlineLevel="0" collapsed="false">
      <c r="A7731" s="3" t="s">
        <v>484</v>
      </c>
      <c r="B7731" s="4" t="s">
        <v>63</v>
      </c>
      <c r="C7731" s="4" t="n">
        <v>2</v>
      </c>
      <c r="D7731" s="4" t="s">
        <v>24</v>
      </c>
      <c r="E7731" s="3" t="s">
        <v>271</v>
      </c>
      <c r="F7731" s="4" t="str">
        <f aca="false">IF(I7731&gt;J7731,"Y","N")</f>
        <v>Y</v>
      </c>
      <c r="G7731" s="3" t="s">
        <v>272</v>
      </c>
      <c r="H7731" s="3" t="s">
        <v>21</v>
      </c>
      <c r="I7731" s="4" t="n">
        <v>8</v>
      </c>
      <c r="J7731" s="4" t="n">
        <f aca="false">LEN(E7731)-LEN(SUBSTITUTE(E7731,",",""))+1</f>
        <v>7</v>
      </c>
      <c r="K7731" s="3" t="str">
        <f aca="false">IFERROR(INDEX('Teacher Lookup'!$B$2:$B$200,MATCH(A7731,'Teacher Lookup'!$A$2:$A$200,0)),"")</f>
        <v>CHEUNG Nicole</v>
      </c>
    </row>
    <row r="7732" customFormat="false" ht="15" hidden="false" customHeight="false" outlineLevel="0" collapsed="false">
      <c r="A7732" s="3" t="s">
        <v>484</v>
      </c>
      <c r="B7732" s="4" t="s">
        <v>63</v>
      </c>
      <c r="C7732" s="4" t="n">
        <v>2</v>
      </c>
      <c r="D7732" s="4" t="s">
        <v>27</v>
      </c>
      <c r="E7732" s="3" t="s">
        <v>271</v>
      </c>
      <c r="F7732" s="4" t="str">
        <f aca="false">IF(I7732&gt;J7732,"Y","N")</f>
        <v>Y</v>
      </c>
      <c r="G7732" s="3" t="s">
        <v>272</v>
      </c>
      <c r="H7732" s="3" t="s">
        <v>21</v>
      </c>
      <c r="I7732" s="4" t="n">
        <v>8</v>
      </c>
      <c r="J7732" s="4" t="n">
        <f aca="false">LEN(E7732)-LEN(SUBSTITUTE(E7732,",",""))+1</f>
        <v>7</v>
      </c>
      <c r="K7732" s="3" t="str">
        <f aca="false">IFERROR(INDEX('Teacher Lookup'!$B$2:$B$200,MATCH(A7732,'Teacher Lookup'!$A$2:$A$200,0)),"")</f>
        <v>CHEUNG Nicole</v>
      </c>
    </row>
    <row r="7733" customFormat="false" ht="15" hidden="false" customHeight="false" outlineLevel="0" collapsed="false">
      <c r="A7733" s="3" t="s">
        <v>484</v>
      </c>
      <c r="B7733" s="4" t="s">
        <v>63</v>
      </c>
      <c r="C7733" s="4" t="n">
        <v>2</v>
      </c>
      <c r="D7733" s="4" t="s">
        <v>28</v>
      </c>
      <c r="E7733" s="3" t="s">
        <v>271</v>
      </c>
      <c r="F7733" s="4" t="str">
        <f aca="false">IF(I7733&gt;J7733,"Y","N")</f>
        <v>Y</v>
      </c>
      <c r="G7733" s="3" t="s">
        <v>272</v>
      </c>
      <c r="H7733" s="3" t="s">
        <v>21</v>
      </c>
      <c r="I7733" s="4" t="n">
        <v>8</v>
      </c>
      <c r="J7733" s="4" t="n">
        <f aca="false">LEN(E7733)-LEN(SUBSTITUTE(E7733,",",""))+1</f>
        <v>7</v>
      </c>
      <c r="K7733" s="3" t="str">
        <f aca="false">IFERROR(INDEX('Teacher Lookup'!$B$2:$B$200,MATCH(A7733,'Teacher Lookup'!$A$2:$A$200,0)),"")</f>
        <v>CHEUNG Nicole</v>
      </c>
    </row>
    <row r="7734" customFormat="false" ht="15" hidden="false" customHeight="false" outlineLevel="0" collapsed="false">
      <c r="A7734" s="3" t="s">
        <v>484</v>
      </c>
      <c r="B7734" s="4" t="s">
        <v>63</v>
      </c>
      <c r="C7734" s="4" t="n">
        <v>2</v>
      </c>
      <c r="D7734" s="4" t="s">
        <v>29</v>
      </c>
      <c r="E7734" s="3" t="s">
        <v>271</v>
      </c>
      <c r="F7734" s="4" t="str">
        <f aca="false">IF(I7734&gt;J7734,"Y","N")</f>
        <v>Y</v>
      </c>
      <c r="G7734" s="3" t="s">
        <v>272</v>
      </c>
      <c r="H7734" s="3" t="s">
        <v>21</v>
      </c>
      <c r="I7734" s="4" t="n">
        <v>8</v>
      </c>
      <c r="J7734" s="4" t="n">
        <f aca="false">LEN(E7734)-LEN(SUBSTITUTE(E7734,",",""))+1</f>
        <v>7</v>
      </c>
      <c r="K7734" s="3" t="str">
        <f aca="false">IFERROR(INDEX('Teacher Lookup'!$B$2:$B$200,MATCH(A7734,'Teacher Lookup'!$A$2:$A$200,0)),"")</f>
        <v>CHEUNG Nicole</v>
      </c>
    </row>
    <row r="7735" customFormat="false" ht="15" hidden="false" customHeight="false" outlineLevel="0" collapsed="false">
      <c r="A7735" s="3" t="s">
        <v>484</v>
      </c>
      <c r="B7735" s="4" t="s">
        <v>63</v>
      </c>
      <c r="C7735" s="4" t="n">
        <v>2</v>
      </c>
      <c r="D7735" s="4" t="s">
        <v>30</v>
      </c>
      <c r="E7735" s="3" t="s">
        <v>271</v>
      </c>
      <c r="F7735" s="4" t="str">
        <f aca="false">IF(I7735&gt;J7735,"Y","N")</f>
        <v>Y</v>
      </c>
      <c r="G7735" s="3" t="s">
        <v>272</v>
      </c>
      <c r="H7735" s="3" t="s">
        <v>21</v>
      </c>
      <c r="I7735" s="4" t="n">
        <v>8</v>
      </c>
      <c r="J7735" s="4" t="n">
        <f aca="false">LEN(E7735)-LEN(SUBSTITUTE(E7735,",",""))+1</f>
        <v>7</v>
      </c>
      <c r="K7735" s="3" t="str">
        <f aca="false">IFERROR(INDEX('Teacher Lookup'!$B$2:$B$200,MATCH(A7735,'Teacher Lookup'!$A$2:$A$200,0)),"")</f>
        <v>CHEUNG Nicole</v>
      </c>
    </row>
    <row r="7736" customFormat="false" ht="15" hidden="false" customHeight="false" outlineLevel="0" collapsed="false">
      <c r="A7736" s="3" t="s">
        <v>484</v>
      </c>
      <c r="B7736" s="4" t="s">
        <v>63</v>
      </c>
      <c r="C7736" s="4" t="n">
        <v>4</v>
      </c>
      <c r="D7736" s="4" t="s">
        <v>24</v>
      </c>
      <c r="E7736" s="3" t="s">
        <v>485</v>
      </c>
      <c r="F7736" s="4" t="str">
        <f aca="false">IF(I7736&gt;J7736,"Y","N")</f>
        <v>N</v>
      </c>
      <c r="G7736" s="3" t="s">
        <v>486</v>
      </c>
      <c r="H7736" s="3" t="s">
        <v>34</v>
      </c>
      <c r="I7736" s="4" t="n">
        <v>1</v>
      </c>
      <c r="J7736" s="4" t="n">
        <f aca="false">LEN(E7736)-LEN(SUBSTITUTE(E7736,",",""))+1</f>
        <v>1</v>
      </c>
      <c r="K7736" s="3" t="str">
        <f aca="false">IFERROR(INDEX('Teacher Lookup'!$B$2:$B$200,MATCH(A7736,'Teacher Lookup'!$A$2:$A$200,0)),"")</f>
        <v>CHEUNG Nicole</v>
      </c>
    </row>
    <row r="7737" customFormat="false" ht="15" hidden="false" customHeight="false" outlineLevel="0" collapsed="false">
      <c r="A7737" s="3" t="s">
        <v>484</v>
      </c>
      <c r="B7737" s="4" t="s">
        <v>65</v>
      </c>
      <c r="C7737" s="4" t="n">
        <v>1</v>
      </c>
      <c r="D7737" s="4" t="s">
        <v>79</v>
      </c>
      <c r="E7737" s="3" t="s">
        <v>234</v>
      </c>
      <c r="F7737" s="4" t="str">
        <f aca="false">IF(I7737&gt;J7737,"Y","N")</f>
        <v>N</v>
      </c>
      <c r="G7737" s="3" t="s">
        <v>376</v>
      </c>
      <c r="H7737" s="3" t="s">
        <v>16</v>
      </c>
      <c r="I7737" s="4" t="n">
        <v>1</v>
      </c>
      <c r="J7737" s="4" t="n">
        <f aca="false">LEN(E7737)-LEN(SUBSTITUTE(E7737,",",""))+1</f>
        <v>1</v>
      </c>
      <c r="K7737" s="3" t="str">
        <f aca="false">IFERROR(INDEX('Teacher Lookup'!$B$2:$B$200,MATCH(A7737,'Teacher Lookup'!$A$2:$A$200,0)),"")</f>
        <v>CHEUNG Nicole</v>
      </c>
    </row>
    <row r="7738" customFormat="false" ht="15" hidden="false" customHeight="false" outlineLevel="0" collapsed="false">
      <c r="A7738" s="3" t="s">
        <v>484</v>
      </c>
      <c r="B7738" s="4" t="s">
        <v>65</v>
      </c>
      <c r="C7738" s="4" t="n">
        <v>3</v>
      </c>
      <c r="D7738" s="4" t="s">
        <v>52</v>
      </c>
      <c r="E7738" s="3" t="s">
        <v>121</v>
      </c>
      <c r="F7738" s="4" t="str">
        <f aca="false">IF(I7738&gt;J7738,"Y","N")</f>
        <v>Y</v>
      </c>
      <c r="G7738" s="3" t="s">
        <v>101</v>
      </c>
      <c r="H7738" s="3" t="s">
        <v>26</v>
      </c>
      <c r="I7738" s="4" t="n">
        <v>9</v>
      </c>
      <c r="J7738" s="4" t="n">
        <f aca="false">LEN(E7738)-LEN(SUBSTITUTE(E7738,",",""))+1</f>
        <v>8</v>
      </c>
      <c r="K7738" s="3" t="str">
        <f aca="false">IFERROR(INDEX('Teacher Lookup'!$B$2:$B$200,MATCH(A7738,'Teacher Lookup'!$A$2:$A$200,0)),"")</f>
        <v>CHEUNG Nicole</v>
      </c>
    </row>
    <row r="7739" customFormat="false" ht="15" hidden="false" customHeight="false" outlineLevel="0" collapsed="false">
      <c r="A7739" s="3" t="s">
        <v>484</v>
      </c>
      <c r="B7739" s="4" t="s">
        <v>65</v>
      </c>
      <c r="C7739" s="4" t="n">
        <v>3</v>
      </c>
      <c r="D7739" s="4" t="s">
        <v>55</v>
      </c>
      <c r="E7739" s="3" t="s">
        <v>121</v>
      </c>
      <c r="F7739" s="4" t="str">
        <f aca="false">IF(I7739&gt;J7739,"Y","N")</f>
        <v>Y</v>
      </c>
      <c r="G7739" s="3" t="s">
        <v>101</v>
      </c>
      <c r="H7739" s="3" t="s">
        <v>26</v>
      </c>
      <c r="I7739" s="4" t="n">
        <v>9</v>
      </c>
      <c r="J7739" s="4" t="n">
        <f aca="false">LEN(E7739)-LEN(SUBSTITUTE(E7739,",",""))+1</f>
        <v>8</v>
      </c>
      <c r="K7739" s="3" t="str">
        <f aca="false">IFERROR(INDEX('Teacher Lookup'!$B$2:$B$200,MATCH(A7739,'Teacher Lookup'!$A$2:$A$200,0)),"")</f>
        <v>CHEUNG Nicole</v>
      </c>
    </row>
    <row r="7740" customFormat="false" ht="15" hidden="false" customHeight="false" outlineLevel="0" collapsed="false">
      <c r="A7740" s="3" t="s">
        <v>484</v>
      </c>
      <c r="B7740" s="4" t="s">
        <v>65</v>
      </c>
      <c r="C7740" s="4" t="n">
        <v>3</v>
      </c>
      <c r="D7740" s="4" t="s">
        <v>56</v>
      </c>
      <c r="E7740" s="3" t="s">
        <v>121</v>
      </c>
      <c r="F7740" s="4" t="str">
        <f aca="false">IF(I7740&gt;J7740,"Y","N")</f>
        <v>Y</v>
      </c>
      <c r="G7740" s="3" t="s">
        <v>101</v>
      </c>
      <c r="H7740" s="3" t="s">
        <v>26</v>
      </c>
      <c r="I7740" s="4" t="n">
        <v>9</v>
      </c>
      <c r="J7740" s="4" t="n">
        <f aca="false">LEN(E7740)-LEN(SUBSTITUTE(E7740,",",""))+1</f>
        <v>8</v>
      </c>
      <c r="K7740" s="3" t="str">
        <f aca="false">IFERROR(INDEX('Teacher Lookup'!$B$2:$B$200,MATCH(A7740,'Teacher Lookup'!$A$2:$A$200,0)),"")</f>
        <v>CHEUNG Nicole</v>
      </c>
    </row>
    <row r="7741" customFormat="false" ht="15" hidden="false" customHeight="false" outlineLevel="0" collapsed="false">
      <c r="A7741" s="3" t="s">
        <v>484</v>
      </c>
      <c r="B7741" s="4" t="s">
        <v>65</v>
      </c>
      <c r="C7741" s="4" t="n">
        <v>3</v>
      </c>
      <c r="D7741" s="4" t="s">
        <v>57</v>
      </c>
      <c r="E7741" s="3" t="s">
        <v>121</v>
      </c>
      <c r="F7741" s="4" t="str">
        <f aca="false">IF(I7741&gt;J7741,"Y","N")</f>
        <v>Y</v>
      </c>
      <c r="G7741" s="3" t="s">
        <v>101</v>
      </c>
      <c r="H7741" s="3" t="s">
        <v>26</v>
      </c>
      <c r="I7741" s="4" t="n">
        <v>9</v>
      </c>
      <c r="J7741" s="4" t="n">
        <f aca="false">LEN(E7741)-LEN(SUBSTITUTE(E7741,",",""))+1</f>
        <v>8</v>
      </c>
      <c r="K7741" s="3" t="str">
        <f aca="false">IFERROR(INDEX('Teacher Lookup'!$B$2:$B$200,MATCH(A7741,'Teacher Lookup'!$A$2:$A$200,0)),"")</f>
        <v>CHEUNG Nicole</v>
      </c>
    </row>
    <row r="7742" customFormat="false" ht="15" hidden="false" customHeight="false" outlineLevel="0" collapsed="false">
      <c r="A7742" s="3" t="s">
        <v>484</v>
      </c>
      <c r="B7742" s="4" t="s">
        <v>65</v>
      </c>
      <c r="C7742" s="4" t="n">
        <v>3</v>
      </c>
      <c r="D7742" s="4" t="s">
        <v>58</v>
      </c>
      <c r="E7742" s="3" t="s">
        <v>121</v>
      </c>
      <c r="F7742" s="4" t="str">
        <f aca="false">IF(I7742&gt;J7742,"Y","N")</f>
        <v>Y</v>
      </c>
      <c r="G7742" s="3" t="s">
        <v>101</v>
      </c>
      <c r="H7742" s="3" t="s">
        <v>26</v>
      </c>
      <c r="I7742" s="4" t="n">
        <v>9</v>
      </c>
      <c r="J7742" s="4" t="n">
        <f aca="false">LEN(E7742)-LEN(SUBSTITUTE(E7742,",",""))+1</f>
        <v>8</v>
      </c>
      <c r="K7742" s="3" t="str">
        <f aca="false">IFERROR(INDEX('Teacher Lookup'!$B$2:$B$200,MATCH(A7742,'Teacher Lookup'!$A$2:$A$200,0)),"")</f>
        <v>CHEUNG Nicole</v>
      </c>
    </row>
    <row r="7743" customFormat="false" ht="15" hidden="false" customHeight="false" outlineLevel="0" collapsed="false">
      <c r="A7743" s="3" t="s">
        <v>484</v>
      </c>
      <c r="B7743" s="4" t="s">
        <v>65</v>
      </c>
      <c r="C7743" s="4" t="n">
        <v>3</v>
      </c>
      <c r="D7743" s="4" t="s">
        <v>59</v>
      </c>
      <c r="E7743" s="3" t="s">
        <v>121</v>
      </c>
      <c r="F7743" s="4" t="str">
        <f aca="false">IF(I7743&gt;J7743,"Y","N")</f>
        <v>Y</v>
      </c>
      <c r="G7743" s="3" t="s">
        <v>101</v>
      </c>
      <c r="H7743" s="3" t="s">
        <v>26</v>
      </c>
      <c r="I7743" s="4" t="n">
        <v>9</v>
      </c>
      <c r="J7743" s="4" t="n">
        <f aca="false">LEN(E7743)-LEN(SUBSTITUTE(E7743,",",""))+1</f>
        <v>8</v>
      </c>
      <c r="K7743" s="3" t="str">
        <f aca="false">IFERROR(INDEX('Teacher Lookup'!$B$2:$B$200,MATCH(A7743,'Teacher Lookup'!$A$2:$A$200,0)),"")</f>
        <v>CHEUNG Nicole</v>
      </c>
    </row>
    <row r="7744" customFormat="false" ht="15" hidden="false" customHeight="false" outlineLevel="0" collapsed="false">
      <c r="A7744" s="3" t="s">
        <v>484</v>
      </c>
      <c r="B7744" s="4" t="s">
        <v>65</v>
      </c>
      <c r="C7744" s="4" t="n">
        <v>4</v>
      </c>
      <c r="D7744" s="4" t="s">
        <v>24</v>
      </c>
      <c r="E7744" s="3" t="s">
        <v>282</v>
      </c>
      <c r="F7744" s="4" t="str">
        <f aca="false">IF(I7744&gt;J7744,"Y","N")</f>
        <v>Y</v>
      </c>
      <c r="G7744" s="3" t="s">
        <v>272</v>
      </c>
      <c r="H7744" s="3" t="s">
        <v>34</v>
      </c>
      <c r="I7744" s="4" t="n">
        <v>8</v>
      </c>
      <c r="J7744" s="4" t="n">
        <f aca="false">LEN(E7744)-LEN(SUBSTITUTE(E7744,",",""))+1</f>
        <v>7</v>
      </c>
      <c r="K7744" s="3" t="str">
        <f aca="false">IFERROR(INDEX('Teacher Lookup'!$B$2:$B$200,MATCH(A7744,'Teacher Lookup'!$A$2:$A$200,0)),"")</f>
        <v>CHEUNG Nicole</v>
      </c>
    </row>
    <row r="7745" customFormat="false" ht="15" hidden="false" customHeight="false" outlineLevel="0" collapsed="false">
      <c r="A7745" s="3" t="s">
        <v>484</v>
      </c>
      <c r="B7745" s="4" t="s">
        <v>65</v>
      </c>
      <c r="C7745" s="4" t="n">
        <v>4</v>
      </c>
      <c r="D7745" s="4" t="s">
        <v>27</v>
      </c>
      <c r="E7745" s="3" t="s">
        <v>282</v>
      </c>
      <c r="F7745" s="4" t="str">
        <f aca="false">IF(I7745&gt;J7745,"Y","N")</f>
        <v>Y</v>
      </c>
      <c r="G7745" s="3" t="s">
        <v>272</v>
      </c>
      <c r="H7745" s="3" t="s">
        <v>34</v>
      </c>
      <c r="I7745" s="4" t="n">
        <v>8</v>
      </c>
      <c r="J7745" s="4" t="n">
        <f aca="false">LEN(E7745)-LEN(SUBSTITUTE(E7745,",",""))+1</f>
        <v>7</v>
      </c>
      <c r="K7745" s="3" t="str">
        <f aca="false">IFERROR(INDEX('Teacher Lookup'!$B$2:$B$200,MATCH(A7745,'Teacher Lookup'!$A$2:$A$200,0)),"")</f>
        <v>CHEUNG Nicole</v>
      </c>
    </row>
    <row r="7746" customFormat="false" ht="15" hidden="false" customHeight="false" outlineLevel="0" collapsed="false">
      <c r="A7746" s="3" t="s">
        <v>484</v>
      </c>
      <c r="B7746" s="4" t="s">
        <v>65</v>
      </c>
      <c r="C7746" s="4" t="n">
        <v>4</v>
      </c>
      <c r="D7746" s="4" t="s">
        <v>28</v>
      </c>
      <c r="E7746" s="3" t="s">
        <v>282</v>
      </c>
      <c r="F7746" s="4" t="str">
        <f aca="false">IF(I7746&gt;J7746,"Y","N")</f>
        <v>Y</v>
      </c>
      <c r="G7746" s="3" t="s">
        <v>272</v>
      </c>
      <c r="H7746" s="3" t="s">
        <v>34</v>
      </c>
      <c r="I7746" s="4" t="n">
        <v>8</v>
      </c>
      <c r="J7746" s="4" t="n">
        <f aca="false">LEN(E7746)-LEN(SUBSTITUTE(E7746,",",""))+1</f>
        <v>7</v>
      </c>
      <c r="K7746" s="3" t="str">
        <f aca="false">IFERROR(INDEX('Teacher Lookup'!$B$2:$B$200,MATCH(A7746,'Teacher Lookup'!$A$2:$A$200,0)),"")</f>
        <v>CHEUNG Nicole</v>
      </c>
    </row>
    <row r="7747" customFormat="false" ht="15" hidden="false" customHeight="false" outlineLevel="0" collapsed="false">
      <c r="A7747" s="3" t="s">
        <v>484</v>
      </c>
      <c r="B7747" s="4" t="s">
        <v>65</v>
      </c>
      <c r="C7747" s="4" t="n">
        <v>4</v>
      </c>
      <c r="D7747" s="4" t="s">
        <v>29</v>
      </c>
      <c r="E7747" s="3" t="s">
        <v>282</v>
      </c>
      <c r="F7747" s="4" t="str">
        <f aca="false">IF(I7747&gt;J7747,"Y","N")</f>
        <v>Y</v>
      </c>
      <c r="G7747" s="3" t="s">
        <v>272</v>
      </c>
      <c r="H7747" s="3" t="s">
        <v>34</v>
      </c>
      <c r="I7747" s="4" t="n">
        <v>8</v>
      </c>
      <c r="J7747" s="4" t="n">
        <f aca="false">LEN(E7747)-LEN(SUBSTITUTE(E7747,",",""))+1</f>
        <v>7</v>
      </c>
      <c r="K7747" s="3" t="str">
        <f aca="false">IFERROR(INDEX('Teacher Lookup'!$B$2:$B$200,MATCH(A7747,'Teacher Lookup'!$A$2:$A$200,0)),"")</f>
        <v>CHEUNG Nicole</v>
      </c>
    </row>
    <row r="7748" customFormat="false" ht="15" hidden="false" customHeight="false" outlineLevel="0" collapsed="false">
      <c r="A7748" s="3" t="s">
        <v>484</v>
      </c>
      <c r="B7748" s="4" t="s">
        <v>65</v>
      </c>
      <c r="C7748" s="4" t="n">
        <v>4</v>
      </c>
      <c r="D7748" s="4" t="s">
        <v>30</v>
      </c>
      <c r="E7748" s="3" t="s">
        <v>282</v>
      </c>
      <c r="F7748" s="4" t="str">
        <f aca="false">IF(I7748&gt;J7748,"Y","N")</f>
        <v>Y</v>
      </c>
      <c r="G7748" s="3" t="s">
        <v>272</v>
      </c>
      <c r="H7748" s="3" t="s">
        <v>34</v>
      </c>
      <c r="I7748" s="4" t="n">
        <v>8</v>
      </c>
      <c r="J7748" s="4" t="n">
        <f aca="false">LEN(E7748)-LEN(SUBSTITUTE(E7748,",",""))+1</f>
        <v>7</v>
      </c>
      <c r="K7748" s="3" t="str">
        <f aca="false">IFERROR(INDEX('Teacher Lookup'!$B$2:$B$200,MATCH(A7748,'Teacher Lookup'!$A$2:$A$200,0)),"")</f>
        <v>CHEUNG Nicole</v>
      </c>
    </row>
    <row r="7749" customFormat="false" ht="15" hidden="false" customHeight="false" outlineLevel="0" collapsed="false">
      <c r="A7749" s="3" t="s">
        <v>484</v>
      </c>
      <c r="B7749" s="4" t="s">
        <v>65</v>
      </c>
      <c r="C7749" s="4" t="n">
        <v>5</v>
      </c>
      <c r="D7749" s="4" t="s">
        <v>24</v>
      </c>
      <c r="E7749" s="3" t="s">
        <v>131</v>
      </c>
      <c r="F7749" s="4" t="str">
        <f aca="false">IF(I7749&gt;J7749,"Y","N")</f>
        <v>Y</v>
      </c>
      <c r="G7749" s="3" t="s">
        <v>36</v>
      </c>
      <c r="H7749" s="3" t="s">
        <v>37</v>
      </c>
      <c r="I7749" s="4" t="n">
        <v>15</v>
      </c>
      <c r="J7749" s="4" t="n">
        <f aca="false">LEN(E7749)-LEN(SUBSTITUTE(E7749,",",""))+1</f>
        <v>7</v>
      </c>
      <c r="K7749" s="3" t="str">
        <f aca="false">IFERROR(INDEX('Teacher Lookup'!$B$2:$B$200,MATCH(A7749,'Teacher Lookup'!$A$2:$A$200,0)),"")</f>
        <v>CHEUNG Nicole</v>
      </c>
    </row>
    <row r="7750" customFormat="false" ht="15" hidden="false" customHeight="false" outlineLevel="0" collapsed="false">
      <c r="A7750" s="3" t="s">
        <v>484</v>
      </c>
      <c r="B7750" s="4" t="s">
        <v>65</v>
      </c>
      <c r="C7750" s="4" t="n">
        <v>5</v>
      </c>
      <c r="D7750" s="4" t="s">
        <v>132</v>
      </c>
      <c r="E7750" s="3" t="s">
        <v>131</v>
      </c>
      <c r="F7750" s="4" t="str">
        <f aca="false">IF(I7750&gt;J7750,"Y","N")</f>
        <v>Y</v>
      </c>
      <c r="G7750" s="3" t="s">
        <v>36</v>
      </c>
      <c r="H7750" s="3" t="s">
        <v>37</v>
      </c>
      <c r="I7750" s="4" t="n">
        <v>15</v>
      </c>
      <c r="J7750" s="4" t="n">
        <f aca="false">LEN(E7750)-LEN(SUBSTITUTE(E7750,",",""))+1</f>
        <v>7</v>
      </c>
      <c r="K7750" s="3" t="str">
        <f aca="false">IFERROR(INDEX('Teacher Lookup'!$B$2:$B$200,MATCH(A7750,'Teacher Lookup'!$A$2:$A$200,0)),"")</f>
        <v>CHEUNG Nicole</v>
      </c>
    </row>
    <row r="7751" customFormat="false" ht="15" hidden="false" customHeight="false" outlineLevel="0" collapsed="false">
      <c r="A7751" s="3" t="s">
        <v>484</v>
      </c>
      <c r="B7751" s="4" t="s">
        <v>65</v>
      </c>
      <c r="C7751" s="4" t="n">
        <v>5</v>
      </c>
      <c r="D7751" s="4" t="s">
        <v>27</v>
      </c>
      <c r="E7751" s="3" t="s">
        <v>131</v>
      </c>
      <c r="F7751" s="4" t="str">
        <f aca="false">IF(I7751&gt;J7751,"Y","N")</f>
        <v>Y</v>
      </c>
      <c r="G7751" s="3" t="s">
        <v>36</v>
      </c>
      <c r="H7751" s="3" t="s">
        <v>37</v>
      </c>
      <c r="I7751" s="4" t="n">
        <v>15</v>
      </c>
      <c r="J7751" s="4" t="n">
        <f aca="false">LEN(E7751)-LEN(SUBSTITUTE(E7751,",",""))+1</f>
        <v>7</v>
      </c>
      <c r="K7751" s="3" t="str">
        <f aca="false">IFERROR(INDEX('Teacher Lookup'!$B$2:$B$200,MATCH(A7751,'Teacher Lookup'!$A$2:$A$200,0)),"")</f>
        <v>CHEUNG Nicole</v>
      </c>
    </row>
    <row r="7752" customFormat="false" ht="15" hidden="false" customHeight="false" outlineLevel="0" collapsed="false">
      <c r="A7752" s="3" t="s">
        <v>484</v>
      </c>
      <c r="B7752" s="4" t="s">
        <v>65</v>
      </c>
      <c r="C7752" s="4" t="n">
        <v>5</v>
      </c>
      <c r="D7752" s="4" t="s">
        <v>28</v>
      </c>
      <c r="E7752" s="3" t="s">
        <v>131</v>
      </c>
      <c r="F7752" s="4" t="str">
        <f aca="false">IF(I7752&gt;J7752,"Y","N")</f>
        <v>Y</v>
      </c>
      <c r="G7752" s="3" t="s">
        <v>36</v>
      </c>
      <c r="H7752" s="3" t="s">
        <v>37</v>
      </c>
      <c r="I7752" s="4" t="n">
        <v>15</v>
      </c>
      <c r="J7752" s="4" t="n">
        <f aca="false">LEN(E7752)-LEN(SUBSTITUTE(E7752,",",""))+1</f>
        <v>7</v>
      </c>
      <c r="K7752" s="3" t="str">
        <f aca="false">IFERROR(INDEX('Teacher Lookup'!$B$2:$B$200,MATCH(A7752,'Teacher Lookup'!$A$2:$A$200,0)),"")</f>
        <v>CHEUNG Nicole</v>
      </c>
    </row>
    <row r="7753" customFormat="false" ht="15" hidden="false" customHeight="false" outlineLevel="0" collapsed="false">
      <c r="A7753" s="3" t="s">
        <v>484</v>
      </c>
      <c r="B7753" s="4" t="s">
        <v>65</v>
      </c>
      <c r="C7753" s="4" t="n">
        <v>5</v>
      </c>
      <c r="D7753" s="4" t="s">
        <v>29</v>
      </c>
      <c r="E7753" s="3" t="s">
        <v>131</v>
      </c>
      <c r="F7753" s="4" t="str">
        <f aca="false">IF(I7753&gt;J7753,"Y","N")</f>
        <v>Y</v>
      </c>
      <c r="G7753" s="3" t="s">
        <v>36</v>
      </c>
      <c r="H7753" s="3" t="s">
        <v>37</v>
      </c>
      <c r="I7753" s="4" t="n">
        <v>15</v>
      </c>
      <c r="J7753" s="4" t="n">
        <f aca="false">LEN(E7753)-LEN(SUBSTITUTE(E7753,",",""))+1</f>
        <v>7</v>
      </c>
      <c r="K7753" s="3" t="str">
        <f aca="false">IFERROR(INDEX('Teacher Lookup'!$B$2:$B$200,MATCH(A7753,'Teacher Lookup'!$A$2:$A$200,0)),"")</f>
        <v>CHEUNG Nicole</v>
      </c>
    </row>
    <row r="7754" customFormat="false" ht="15" hidden="false" customHeight="false" outlineLevel="0" collapsed="false">
      <c r="A7754" s="3" t="s">
        <v>484</v>
      </c>
      <c r="B7754" s="4" t="s">
        <v>65</v>
      </c>
      <c r="C7754" s="4" t="n">
        <v>5</v>
      </c>
      <c r="D7754" s="4" t="s">
        <v>30</v>
      </c>
      <c r="E7754" s="3" t="s">
        <v>131</v>
      </c>
      <c r="F7754" s="4" t="str">
        <f aca="false">IF(I7754&gt;J7754,"Y","N")</f>
        <v>Y</v>
      </c>
      <c r="G7754" s="3" t="s">
        <v>36</v>
      </c>
      <c r="H7754" s="3" t="s">
        <v>37</v>
      </c>
      <c r="I7754" s="4" t="n">
        <v>15</v>
      </c>
      <c r="J7754" s="4" t="n">
        <f aca="false">LEN(E7754)-LEN(SUBSTITUTE(E7754,",",""))+1</f>
        <v>7</v>
      </c>
      <c r="K7754" s="3" t="str">
        <f aca="false">IFERROR(INDEX('Teacher Lookup'!$B$2:$B$200,MATCH(A7754,'Teacher Lookup'!$A$2:$A$200,0)),"")</f>
        <v>CHEUNG Nicole</v>
      </c>
    </row>
    <row r="7755" customFormat="false" ht="15" hidden="false" customHeight="false" outlineLevel="0" collapsed="false">
      <c r="A7755" s="3" t="s">
        <v>484</v>
      </c>
      <c r="B7755" s="4" t="s">
        <v>65</v>
      </c>
      <c r="C7755" s="4" t="n">
        <v>7</v>
      </c>
      <c r="D7755" s="4" t="s">
        <v>24</v>
      </c>
      <c r="E7755" s="3" t="s">
        <v>485</v>
      </c>
      <c r="F7755" s="4" t="str">
        <f aca="false">IF(I7755&gt;J7755,"Y","N")</f>
        <v>N</v>
      </c>
      <c r="G7755" s="3" t="s">
        <v>486</v>
      </c>
      <c r="H7755" s="3" t="s">
        <v>39</v>
      </c>
      <c r="I7755" s="4" t="n">
        <v>1</v>
      </c>
      <c r="J7755" s="4" t="n">
        <f aca="false">LEN(E7755)-LEN(SUBSTITUTE(E7755,",",""))+1</f>
        <v>1</v>
      </c>
      <c r="K7755" s="3" t="str">
        <f aca="false">IFERROR(INDEX('Teacher Lookup'!$B$2:$B$200,MATCH(A7755,'Teacher Lookup'!$A$2:$A$200,0)),"")</f>
        <v>CHEUNG Nicole</v>
      </c>
    </row>
    <row r="7756" customFormat="false" ht="15" hidden="false" customHeight="false" outlineLevel="0" collapsed="false">
      <c r="A7756" s="3" t="s">
        <v>484</v>
      </c>
      <c r="B7756" s="4" t="s">
        <v>66</v>
      </c>
      <c r="C7756" s="4" t="n">
        <v>1</v>
      </c>
      <c r="D7756" s="4" t="s">
        <v>24</v>
      </c>
      <c r="E7756" s="3" t="s">
        <v>485</v>
      </c>
      <c r="F7756" s="4" t="str">
        <f aca="false">IF(I7756&gt;J7756,"Y","N")</f>
        <v>N</v>
      </c>
      <c r="G7756" s="3" t="s">
        <v>486</v>
      </c>
      <c r="H7756" s="3" t="s">
        <v>16</v>
      </c>
      <c r="I7756" s="4" t="n">
        <v>1</v>
      </c>
      <c r="J7756" s="4" t="n">
        <f aca="false">LEN(E7756)-LEN(SUBSTITUTE(E7756,",",""))+1</f>
        <v>1</v>
      </c>
      <c r="K7756" s="3" t="str">
        <f aca="false">IFERROR(INDEX('Teacher Lookup'!$B$2:$B$200,MATCH(A7756,'Teacher Lookup'!$A$2:$A$200,0)),"")</f>
        <v>CHEUNG Nicole</v>
      </c>
    </row>
    <row r="7757" customFormat="false" ht="15" hidden="false" customHeight="false" outlineLevel="0" collapsed="false">
      <c r="A7757" s="3" t="s">
        <v>484</v>
      </c>
      <c r="B7757" s="4" t="s">
        <v>66</v>
      </c>
      <c r="C7757" s="4" t="n">
        <v>2</v>
      </c>
      <c r="D7757" s="4" t="s">
        <v>24</v>
      </c>
      <c r="E7757" s="3" t="s">
        <v>485</v>
      </c>
      <c r="F7757" s="4" t="str">
        <f aca="false">IF(I7757&gt;J7757,"Y","N")</f>
        <v>N</v>
      </c>
      <c r="G7757" s="3" t="s">
        <v>486</v>
      </c>
      <c r="H7757" s="3" t="s">
        <v>21</v>
      </c>
      <c r="I7757" s="4" t="n">
        <v>1</v>
      </c>
      <c r="J7757" s="4" t="n">
        <f aca="false">LEN(E7757)-LEN(SUBSTITUTE(E7757,",",""))+1</f>
        <v>1</v>
      </c>
      <c r="K7757" s="3" t="str">
        <f aca="false">IFERROR(INDEX('Teacher Lookup'!$B$2:$B$200,MATCH(A7757,'Teacher Lookup'!$A$2:$A$200,0)),"")</f>
        <v>CHEUNG Nicole</v>
      </c>
    </row>
    <row r="7758" customFormat="false" ht="15" hidden="false" customHeight="false" outlineLevel="0" collapsed="false">
      <c r="A7758" s="3" t="s">
        <v>484</v>
      </c>
      <c r="B7758" s="4" t="s">
        <v>66</v>
      </c>
      <c r="C7758" s="4" t="n">
        <v>5</v>
      </c>
      <c r="D7758" s="4" t="s">
        <v>52</v>
      </c>
      <c r="E7758" s="3" t="s">
        <v>122</v>
      </c>
      <c r="F7758" s="4" t="str">
        <f aca="false">IF(I7758&gt;J7758,"Y","N")</f>
        <v>N</v>
      </c>
      <c r="G7758" s="3" t="s">
        <v>101</v>
      </c>
      <c r="H7758" s="3" t="s">
        <v>37</v>
      </c>
      <c r="I7758" s="4" t="n">
        <v>8</v>
      </c>
      <c r="J7758" s="4" t="n">
        <f aca="false">LEN(E7758)-LEN(SUBSTITUTE(E7758,",",""))+1</f>
        <v>8</v>
      </c>
      <c r="K7758" s="3" t="str">
        <f aca="false">IFERROR(INDEX('Teacher Lookup'!$B$2:$B$200,MATCH(A7758,'Teacher Lookup'!$A$2:$A$200,0)),"")</f>
        <v>CHEUNG Nicole</v>
      </c>
    </row>
    <row r="7759" customFormat="false" ht="15" hidden="false" customHeight="false" outlineLevel="0" collapsed="false">
      <c r="A7759" s="3" t="s">
        <v>484</v>
      </c>
      <c r="B7759" s="4" t="s">
        <v>66</v>
      </c>
      <c r="C7759" s="4" t="n">
        <v>5</v>
      </c>
      <c r="D7759" s="4" t="s">
        <v>55</v>
      </c>
      <c r="E7759" s="3" t="s">
        <v>122</v>
      </c>
      <c r="F7759" s="4" t="str">
        <f aca="false">IF(I7759&gt;J7759,"Y","N")</f>
        <v>N</v>
      </c>
      <c r="G7759" s="3" t="s">
        <v>101</v>
      </c>
      <c r="H7759" s="3" t="s">
        <v>37</v>
      </c>
      <c r="I7759" s="4" t="n">
        <v>8</v>
      </c>
      <c r="J7759" s="4" t="n">
        <f aca="false">LEN(E7759)-LEN(SUBSTITUTE(E7759,",",""))+1</f>
        <v>8</v>
      </c>
      <c r="K7759" s="3" t="str">
        <f aca="false">IFERROR(INDEX('Teacher Lookup'!$B$2:$B$200,MATCH(A7759,'Teacher Lookup'!$A$2:$A$200,0)),"")</f>
        <v>CHEUNG Nicole</v>
      </c>
    </row>
    <row r="7760" customFormat="false" ht="15" hidden="false" customHeight="false" outlineLevel="0" collapsed="false">
      <c r="A7760" s="3" t="s">
        <v>484</v>
      </c>
      <c r="B7760" s="4" t="s">
        <v>66</v>
      </c>
      <c r="C7760" s="4" t="n">
        <v>5</v>
      </c>
      <c r="D7760" s="4" t="s">
        <v>56</v>
      </c>
      <c r="E7760" s="3" t="s">
        <v>122</v>
      </c>
      <c r="F7760" s="4" t="str">
        <f aca="false">IF(I7760&gt;J7760,"Y","N")</f>
        <v>N</v>
      </c>
      <c r="G7760" s="3" t="s">
        <v>101</v>
      </c>
      <c r="H7760" s="3" t="s">
        <v>37</v>
      </c>
      <c r="I7760" s="4" t="n">
        <v>8</v>
      </c>
      <c r="J7760" s="4" t="n">
        <f aca="false">LEN(E7760)-LEN(SUBSTITUTE(E7760,",",""))+1</f>
        <v>8</v>
      </c>
      <c r="K7760" s="3" t="str">
        <f aca="false">IFERROR(INDEX('Teacher Lookup'!$B$2:$B$200,MATCH(A7760,'Teacher Lookup'!$A$2:$A$200,0)),"")</f>
        <v>CHEUNG Nicole</v>
      </c>
    </row>
    <row r="7761" customFormat="false" ht="15" hidden="false" customHeight="false" outlineLevel="0" collapsed="false">
      <c r="A7761" s="3" t="s">
        <v>484</v>
      </c>
      <c r="B7761" s="4" t="s">
        <v>66</v>
      </c>
      <c r="C7761" s="4" t="n">
        <v>5</v>
      </c>
      <c r="D7761" s="4" t="s">
        <v>57</v>
      </c>
      <c r="E7761" s="3" t="s">
        <v>122</v>
      </c>
      <c r="F7761" s="4" t="str">
        <f aca="false">IF(I7761&gt;J7761,"Y","N")</f>
        <v>N</v>
      </c>
      <c r="G7761" s="3" t="s">
        <v>101</v>
      </c>
      <c r="H7761" s="3" t="s">
        <v>37</v>
      </c>
      <c r="I7761" s="4" t="n">
        <v>8</v>
      </c>
      <c r="J7761" s="4" t="n">
        <f aca="false">LEN(E7761)-LEN(SUBSTITUTE(E7761,",",""))+1</f>
        <v>8</v>
      </c>
      <c r="K7761" s="3" t="str">
        <f aca="false">IFERROR(INDEX('Teacher Lookup'!$B$2:$B$200,MATCH(A7761,'Teacher Lookup'!$A$2:$A$200,0)),"")</f>
        <v>CHEUNG Nicole</v>
      </c>
    </row>
    <row r="7762" customFormat="false" ht="15" hidden="false" customHeight="false" outlineLevel="0" collapsed="false">
      <c r="A7762" s="3" t="s">
        <v>484</v>
      </c>
      <c r="B7762" s="4" t="s">
        <v>66</v>
      </c>
      <c r="C7762" s="4" t="n">
        <v>5</v>
      </c>
      <c r="D7762" s="4" t="s">
        <v>58</v>
      </c>
      <c r="E7762" s="3" t="s">
        <v>122</v>
      </c>
      <c r="F7762" s="4" t="str">
        <f aca="false">IF(I7762&gt;J7762,"Y","N")</f>
        <v>N</v>
      </c>
      <c r="G7762" s="3" t="s">
        <v>101</v>
      </c>
      <c r="H7762" s="3" t="s">
        <v>37</v>
      </c>
      <c r="I7762" s="4" t="n">
        <v>8</v>
      </c>
      <c r="J7762" s="4" t="n">
        <f aca="false">LEN(E7762)-LEN(SUBSTITUTE(E7762,",",""))+1</f>
        <v>8</v>
      </c>
      <c r="K7762" s="3" t="str">
        <f aca="false">IFERROR(INDEX('Teacher Lookup'!$B$2:$B$200,MATCH(A7762,'Teacher Lookup'!$A$2:$A$200,0)),"")</f>
        <v>CHEUNG Nicole</v>
      </c>
    </row>
    <row r="7763" customFormat="false" ht="15" hidden="false" customHeight="false" outlineLevel="0" collapsed="false">
      <c r="A7763" s="3" t="s">
        <v>484</v>
      </c>
      <c r="B7763" s="4" t="s">
        <v>66</v>
      </c>
      <c r="C7763" s="4" t="n">
        <v>5</v>
      </c>
      <c r="D7763" s="4" t="s">
        <v>59</v>
      </c>
      <c r="E7763" s="3" t="s">
        <v>122</v>
      </c>
      <c r="F7763" s="4" t="str">
        <f aca="false">IF(I7763&gt;J7763,"Y","N")</f>
        <v>N</v>
      </c>
      <c r="G7763" s="3" t="s">
        <v>101</v>
      </c>
      <c r="H7763" s="3" t="s">
        <v>37</v>
      </c>
      <c r="I7763" s="4" t="n">
        <v>8</v>
      </c>
      <c r="J7763" s="4" t="n">
        <f aca="false">LEN(E7763)-LEN(SUBSTITUTE(E7763,",",""))+1</f>
        <v>8</v>
      </c>
      <c r="K7763" s="3" t="str">
        <f aca="false">IFERROR(INDEX('Teacher Lookup'!$B$2:$B$200,MATCH(A7763,'Teacher Lookup'!$A$2:$A$200,0)),"")</f>
        <v>CHEUNG Nicole</v>
      </c>
    </row>
    <row r="7764" customFormat="false" ht="15" hidden="false" customHeight="false" outlineLevel="0" collapsed="false">
      <c r="A7764" s="3" t="s">
        <v>484</v>
      </c>
      <c r="B7764" s="4" t="s">
        <v>66</v>
      </c>
      <c r="C7764" s="4" t="n">
        <v>6</v>
      </c>
      <c r="D7764" s="4" t="s">
        <v>78</v>
      </c>
      <c r="E7764" s="3" t="s">
        <v>135</v>
      </c>
      <c r="F7764" s="4" t="str">
        <f aca="false">IF(I7764&gt;J7764,"Y","N")</f>
        <v>N</v>
      </c>
      <c r="G7764" s="3" t="s">
        <v>376</v>
      </c>
      <c r="H7764" s="3" t="s">
        <v>42</v>
      </c>
      <c r="I7764" s="4" t="n">
        <v>1</v>
      </c>
      <c r="J7764" s="4" t="n">
        <f aca="false">LEN(E7764)-LEN(SUBSTITUTE(E7764,",",""))+1</f>
        <v>1</v>
      </c>
      <c r="K7764" s="3" t="str">
        <f aca="false">IFERROR(INDEX('Teacher Lookup'!$B$2:$B$200,MATCH(A7764,'Teacher Lookup'!$A$2:$A$200,0)),"")</f>
        <v>CHEUNG Nicole</v>
      </c>
    </row>
    <row r="7765" customFormat="false" ht="15" hidden="false" customHeight="false" outlineLevel="0" collapsed="false">
      <c r="A7765" s="3" t="s">
        <v>487</v>
      </c>
      <c r="B7765" s="4" t="s">
        <v>12</v>
      </c>
      <c r="C7765" s="4" t="n">
        <v>1</v>
      </c>
      <c r="D7765" s="4" t="s">
        <v>102</v>
      </c>
      <c r="E7765" s="3" t="s">
        <v>309</v>
      </c>
      <c r="F7765" s="4" t="str">
        <f aca="false">IF(I7765&gt;J7765,"Y","N")</f>
        <v>Y</v>
      </c>
      <c r="G7765" s="3" t="s">
        <v>310</v>
      </c>
      <c r="H7765" s="3" t="s">
        <v>16</v>
      </c>
      <c r="I7765" s="4" t="n">
        <v>7</v>
      </c>
      <c r="J7765" s="4" t="n">
        <f aca="false">LEN(E7765)-LEN(SUBSTITUTE(E7765,",",""))+1</f>
        <v>6</v>
      </c>
      <c r="K7765" s="3" t="str">
        <f aca="false">IFERROR(INDEX('Teacher Lookup'!$B$2:$B$200,MATCH(A7765,'Teacher Lookup'!$A$2:$A$200,0)),"")</f>
        <v>CHU Nick</v>
      </c>
    </row>
    <row r="7766" customFormat="false" ht="15" hidden="false" customHeight="false" outlineLevel="0" collapsed="false">
      <c r="A7766" s="3" t="s">
        <v>487</v>
      </c>
      <c r="B7766" s="4" t="s">
        <v>12</v>
      </c>
      <c r="C7766" s="4" t="n">
        <v>1</v>
      </c>
      <c r="D7766" s="4" t="s">
        <v>105</v>
      </c>
      <c r="E7766" s="3" t="s">
        <v>309</v>
      </c>
      <c r="F7766" s="4" t="str">
        <f aca="false">IF(I7766&gt;J7766,"Y","N")</f>
        <v>Y</v>
      </c>
      <c r="G7766" s="3" t="s">
        <v>310</v>
      </c>
      <c r="H7766" s="3" t="s">
        <v>16</v>
      </c>
      <c r="I7766" s="4" t="n">
        <v>7</v>
      </c>
      <c r="J7766" s="4" t="n">
        <f aca="false">LEN(E7766)-LEN(SUBSTITUTE(E7766,",",""))+1</f>
        <v>6</v>
      </c>
      <c r="K7766" s="3" t="str">
        <f aca="false">IFERROR(INDEX('Teacher Lookup'!$B$2:$B$200,MATCH(A7766,'Teacher Lookup'!$A$2:$A$200,0)),"")</f>
        <v>CHU Nick</v>
      </c>
    </row>
    <row r="7767" customFormat="false" ht="15" hidden="false" customHeight="false" outlineLevel="0" collapsed="false">
      <c r="A7767" s="3" t="s">
        <v>487</v>
      </c>
      <c r="B7767" s="4" t="s">
        <v>12</v>
      </c>
      <c r="C7767" s="4" t="n">
        <v>1</v>
      </c>
      <c r="D7767" s="4" t="s">
        <v>106</v>
      </c>
      <c r="E7767" s="3" t="s">
        <v>309</v>
      </c>
      <c r="F7767" s="4" t="str">
        <f aca="false">IF(I7767&gt;J7767,"Y","N")</f>
        <v>Y</v>
      </c>
      <c r="G7767" s="3" t="s">
        <v>310</v>
      </c>
      <c r="H7767" s="3" t="s">
        <v>16</v>
      </c>
      <c r="I7767" s="4" t="n">
        <v>7</v>
      </c>
      <c r="J7767" s="4" t="n">
        <f aca="false">LEN(E7767)-LEN(SUBSTITUTE(E7767,",",""))+1</f>
        <v>6</v>
      </c>
      <c r="K7767" s="3" t="str">
        <f aca="false">IFERROR(INDEX('Teacher Lookup'!$B$2:$B$200,MATCH(A7767,'Teacher Lookup'!$A$2:$A$200,0)),"")</f>
        <v>CHU Nick</v>
      </c>
    </row>
    <row r="7768" customFormat="false" ht="15" hidden="false" customHeight="false" outlineLevel="0" collapsed="false">
      <c r="A7768" s="3" t="s">
        <v>487</v>
      </c>
      <c r="B7768" s="4" t="s">
        <v>12</v>
      </c>
      <c r="C7768" s="4" t="n">
        <v>1</v>
      </c>
      <c r="D7768" s="4" t="s">
        <v>107</v>
      </c>
      <c r="E7768" s="3" t="s">
        <v>309</v>
      </c>
      <c r="F7768" s="4" t="str">
        <f aca="false">IF(I7768&gt;J7768,"Y","N")</f>
        <v>Y</v>
      </c>
      <c r="G7768" s="3" t="s">
        <v>310</v>
      </c>
      <c r="H7768" s="3" t="s">
        <v>16</v>
      </c>
      <c r="I7768" s="4" t="n">
        <v>7</v>
      </c>
      <c r="J7768" s="4" t="n">
        <f aca="false">LEN(E7768)-LEN(SUBSTITUTE(E7768,",",""))+1</f>
        <v>6</v>
      </c>
      <c r="K7768" s="3" t="str">
        <f aca="false">IFERROR(INDEX('Teacher Lookup'!$B$2:$B$200,MATCH(A7768,'Teacher Lookup'!$A$2:$A$200,0)),"")</f>
        <v>CHU Nick</v>
      </c>
    </row>
    <row r="7769" customFormat="false" ht="15" hidden="false" customHeight="false" outlineLevel="0" collapsed="false">
      <c r="A7769" s="3" t="s">
        <v>487</v>
      </c>
      <c r="B7769" s="4" t="s">
        <v>12</v>
      </c>
      <c r="C7769" s="4" t="n">
        <v>2</v>
      </c>
      <c r="D7769" s="4" t="s">
        <v>59</v>
      </c>
      <c r="E7769" s="3" t="s">
        <v>488</v>
      </c>
      <c r="F7769" s="4" t="str">
        <f aca="false">IF(I7769&gt;J7769,"Y","N")</f>
        <v>N</v>
      </c>
      <c r="G7769" s="3" t="s">
        <v>486</v>
      </c>
      <c r="H7769" s="3" t="s">
        <v>21</v>
      </c>
      <c r="I7769" s="4" t="n">
        <v>1</v>
      </c>
      <c r="J7769" s="4" t="n">
        <f aca="false">LEN(E7769)-LEN(SUBSTITUTE(E7769,",",""))+1</f>
        <v>1</v>
      </c>
      <c r="K7769" s="3" t="str">
        <f aca="false">IFERROR(INDEX('Teacher Lookup'!$B$2:$B$200,MATCH(A7769,'Teacher Lookup'!$A$2:$A$200,0)),"")</f>
        <v>CHU Nick</v>
      </c>
    </row>
    <row r="7770" customFormat="false" ht="15" hidden="false" customHeight="false" outlineLevel="0" collapsed="false">
      <c r="A7770" s="3" t="s">
        <v>487</v>
      </c>
      <c r="B7770" s="4" t="s">
        <v>31</v>
      </c>
      <c r="C7770" s="4" t="n">
        <v>2</v>
      </c>
      <c r="D7770" s="4" t="s">
        <v>24</v>
      </c>
      <c r="E7770" s="3" t="s">
        <v>377</v>
      </c>
      <c r="F7770" s="4" t="str">
        <f aca="false">IF(I7770&gt;J7770,"Y","N")</f>
        <v>N</v>
      </c>
      <c r="G7770" s="3" t="s">
        <v>378</v>
      </c>
      <c r="H7770" s="3" t="s">
        <v>21</v>
      </c>
      <c r="I7770" s="4" t="n">
        <v>8</v>
      </c>
      <c r="J7770" s="4" t="n">
        <f aca="false">LEN(E7770)-LEN(SUBSTITUTE(E7770,",",""))+1</f>
        <v>8</v>
      </c>
      <c r="K7770" s="3" t="str">
        <f aca="false">IFERROR(INDEX('Teacher Lookup'!$B$2:$B$200,MATCH(A7770,'Teacher Lookup'!$A$2:$A$200,0)),"")</f>
        <v>CHU Nick</v>
      </c>
    </row>
    <row r="7771" customFormat="false" ht="15" hidden="false" customHeight="false" outlineLevel="0" collapsed="false">
      <c r="A7771" s="3" t="s">
        <v>487</v>
      </c>
      <c r="B7771" s="4" t="s">
        <v>31</v>
      </c>
      <c r="C7771" s="4" t="n">
        <v>2</v>
      </c>
      <c r="D7771" s="4" t="s">
        <v>27</v>
      </c>
      <c r="E7771" s="3" t="s">
        <v>377</v>
      </c>
      <c r="F7771" s="4" t="str">
        <f aca="false">IF(I7771&gt;J7771,"Y","N")</f>
        <v>N</v>
      </c>
      <c r="G7771" s="3" t="s">
        <v>378</v>
      </c>
      <c r="H7771" s="3" t="s">
        <v>21</v>
      </c>
      <c r="I7771" s="4" t="n">
        <v>8</v>
      </c>
      <c r="J7771" s="4" t="n">
        <f aca="false">LEN(E7771)-LEN(SUBSTITUTE(E7771,",",""))+1</f>
        <v>8</v>
      </c>
      <c r="K7771" s="3" t="str">
        <f aca="false">IFERROR(INDEX('Teacher Lookup'!$B$2:$B$200,MATCH(A7771,'Teacher Lookup'!$A$2:$A$200,0)),"")</f>
        <v>CHU Nick</v>
      </c>
    </row>
    <row r="7772" customFormat="false" ht="15" hidden="false" customHeight="false" outlineLevel="0" collapsed="false">
      <c r="A7772" s="3" t="s">
        <v>487</v>
      </c>
      <c r="B7772" s="4" t="s">
        <v>31</v>
      </c>
      <c r="C7772" s="4" t="n">
        <v>2</v>
      </c>
      <c r="D7772" s="4" t="s">
        <v>28</v>
      </c>
      <c r="E7772" s="3" t="s">
        <v>377</v>
      </c>
      <c r="F7772" s="4" t="str">
        <f aca="false">IF(I7772&gt;J7772,"Y","N")</f>
        <v>N</v>
      </c>
      <c r="G7772" s="3" t="s">
        <v>378</v>
      </c>
      <c r="H7772" s="3" t="s">
        <v>21</v>
      </c>
      <c r="I7772" s="4" t="n">
        <v>8</v>
      </c>
      <c r="J7772" s="4" t="n">
        <f aca="false">LEN(E7772)-LEN(SUBSTITUTE(E7772,",",""))+1</f>
        <v>8</v>
      </c>
      <c r="K7772" s="3" t="str">
        <f aca="false">IFERROR(INDEX('Teacher Lookup'!$B$2:$B$200,MATCH(A7772,'Teacher Lookup'!$A$2:$A$200,0)),"")</f>
        <v>CHU Nick</v>
      </c>
    </row>
    <row r="7773" customFormat="false" ht="15" hidden="false" customHeight="false" outlineLevel="0" collapsed="false">
      <c r="A7773" s="3" t="s">
        <v>487</v>
      </c>
      <c r="B7773" s="4" t="s">
        <v>31</v>
      </c>
      <c r="C7773" s="4" t="n">
        <v>2</v>
      </c>
      <c r="D7773" s="4" t="s">
        <v>29</v>
      </c>
      <c r="E7773" s="3" t="s">
        <v>377</v>
      </c>
      <c r="F7773" s="4" t="str">
        <f aca="false">IF(I7773&gt;J7773,"Y","N")</f>
        <v>N</v>
      </c>
      <c r="G7773" s="3" t="s">
        <v>378</v>
      </c>
      <c r="H7773" s="3" t="s">
        <v>21</v>
      </c>
      <c r="I7773" s="4" t="n">
        <v>8</v>
      </c>
      <c r="J7773" s="4" t="n">
        <f aca="false">LEN(E7773)-LEN(SUBSTITUTE(E7773,",",""))+1</f>
        <v>8</v>
      </c>
      <c r="K7773" s="3" t="str">
        <f aca="false">IFERROR(INDEX('Teacher Lookup'!$B$2:$B$200,MATCH(A7773,'Teacher Lookup'!$A$2:$A$200,0)),"")</f>
        <v>CHU Nick</v>
      </c>
    </row>
    <row r="7774" customFormat="false" ht="15" hidden="false" customHeight="false" outlineLevel="0" collapsed="false">
      <c r="A7774" s="3" t="s">
        <v>487</v>
      </c>
      <c r="B7774" s="4" t="s">
        <v>31</v>
      </c>
      <c r="C7774" s="4" t="n">
        <v>2</v>
      </c>
      <c r="D7774" s="4" t="s">
        <v>30</v>
      </c>
      <c r="E7774" s="3" t="s">
        <v>377</v>
      </c>
      <c r="F7774" s="4" t="str">
        <f aca="false">IF(I7774&gt;J7774,"Y","N")</f>
        <v>N</v>
      </c>
      <c r="G7774" s="3" t="s">
        <v>378</v>
      </c>
      <c r="H7774" s="3" t="s">
        <v>21</v>
      </c>
      <c r="I7774" s="4" t="n">
        <v>8</v>
      </c>
      <c r="J7774" s="4" t="n">
        <f aca="false">LEN(E7774)-LEN(SUBSTITUTE(E7774,",",""))+1</f>
        <v>8</v>
      </c>
      <c r="K7774" s="3" t="str">
        <f aca="false">IFERROR(INDEX('Teacher Lookup'!$B$2:$B$200,MATCH(A7774,'Teacher Lookup'!$A$2:$A$200,0)),"")</f>
        <v>CHU Nick</v>
      </c>
    </row>
    <row r="7775" customFormat="false" ht="15" hidden="false" customHeight="false" outlineLevel="0" collapsed="false">
      <c r="A7775" s="3" t="s">
        <v>487</v>
      </c>
      <c r="B7775" s="4" t="s">
        <v>31</v>
      </c>
      <c r="C7775" s="4" t="n">
        <v>4</v>
      </c>
      <c r="D7775" s="4" t="s">
        <v>102</v>
      </c>
      <c r="E7775" s="3" t="s">
        <v>313</v>
      </c>
      <c r="F7775" s="4" t="str">
        <f aca="false">IF(I7775&gt;J7775,"Y","N")</f>
        <v>Y</v>
      </c>
      <c r="G7775" s="3" t="s">
        <v>310</v>
      </c>
      <c r="H7775" s="3" t="s">
        <v>34</v>
      </c>
      <c r="I7775" s="4" t="n">
        <v>7</v>
      </c>
      <c r="J7775" s="4" t="n">
        <f aca="false">LEN(E7775)-LEN(SUBSTITUTE(E7775,",",""))+1</f>
        <v>6</v>
      </c>
      <c r="K7775" s="3" t="str">
        <f aca="false">IFERROR(INDEX('Teacher Lookup'!$B$2:$B$200,MATCH(A7775,'Teacher Lookup'!$A$2:$A$200,0)),"")</f>
        <v>CHU Nick</v>
      </c>
    </row>
    <row r="7776" customFormat="false" ht="15" hidden="false" customHeight="false" outlineLevel="0" collapsed="false">
      <c r="A7776" s="3" t="s">
        <v>487</v>
      </c>
      <c r="B7776" s="4" t="s">
        <v>31</v>
      </c>
      <c r="C7776" s="4" t="n">
        <v>4</v>
      </c>
      <c r="D7776" s="4" t="s">
        <v>105</v>
      </c>
      <c r="E7776" s="3" t="s">
        <v>313</v>
      </c>
      <c r="F7776" s="4" t="str">
        <f aca="false">IF(I7776&gt;J7776,"Y","N")</f>
        <v>Y</v>
      </c>
      <c r="G7776" s="3" t="s">
        <v>310</v>
      </c>
      <c r="H7776" s="3" t="s">
        <v>34</v>
      </c>
      <c r="I7776" s="4" t="n">
        <v>7</v>
      </c>
      <c r="J7776" s="4" t="n">
        <f aca="false">LEN(E7776)-LEN(SUBSTITUTE(E7776,",",""))+1</f>
        <v>6</v>
      </c>
      <c r="K7776" s="3" t="str">
        <f aca="false">IFERROR(INDEX('Teacher Lookup'!$B$2:$B$200,MATCH(A7776,'Teacher Lookup'!$A$2:$A$200,0)),"")</f>
        <v>CHU Nick</v>
      </c>
    </row>
    <row r="7777" customFormat="false" ht="15" hidden="false" customHeight="false" outlineLevel="0" collapsed="false">
      <c r="A7777" s="3" t="s">
        <v>487</v>
      </c>
      <c r="B7777" s="4" t="s">
        <v>31</v>
      </c>
      <c r="C7777" s="4" t="n">
        <v>4</v>
      </c>
      <c r="D7777" s="4" t="s">
        <v>106</v>
      </c>
      <c r="E7777" s="3" t="s">
        <v>313</v>
      </c>
      <c r="F7777" s="4" t="str">
        <f aca="false">IF(I7777&gt;J7777,"Y","N")</f>
        <v>Y</v>
      </c>
      <c r="G7777" s="3" t="s">
        <v>310</v>
      </c>
      <c r="H7777" s="3" t="s">
        <v>34</v>
      </c>
      <c r="I7777" s="4" t="n">
        <v>7</v>
      </c>
      <c r="J7777" s="4" t="n">
        <f aca="false">LEN(E7777)-LEN(SUBSTITUTE(E7777,",",""))+1</f>
        <v>6</v>
      </c>
      <c r="K7777" s="3" t="str">
        <f aca="false">IFERROR(INDEX('Teacher Lookup'!$B$2:$B$200,MATCH(A7777,'Teacher Lookup'!$A$2:$A$200,0)),"")</f>
        <v>CHU Nick</v>
      </c>
    </row>
    <row r="7778" customFormat="false" ht="15" hidden="false" customHeight="false" outlineLevel="0" collapsed="false">
      <c r="A7778" s="3" t="s">
        <v>487</v>
      </c>
      <c r="B7778" s="4" t="s">
        <v>31</v>
      </c>
      <c r="C7778" s="4" t="n">
        <v>4</v>
      </c>
      <c r="D7778" s="4" t="s">
        <v>107</v>
      </c>
      <c r="E7778" s="3" t="s">
        <v>313</v>
      </c>
      <c r="F7778" s="4" t="str">
        <f aca="false">IF(I7778&gt;J7778,"Y","N")</f>
        <v>Y</v>
      </c>
      <c r="G7778" s="3" t="s">
        <v>310</v>
      </c>
      <c r="H7778" s="3" t="s">
        <v>34</v>
      </c>
      <c r="I7778" s="4" t="n">
        <v>7</v>
      </c>
      <c r="J7778" s="4" t="n">
        <f aca="false">LEN(E7778)-LEN(SUBSTITUTE(E7778,",",""))+1</f>
        <v>6</v>
      </c>
      <c r="K7778" s="3" t="str">
        <f aca="false">IFERROR(INDEX('Teacher Lookup'!$B$2:$B$200,MATCH(A7778,'Teacher Lookup'!$A$2:$A$200,0)),"")</f>
        <v>CHU Nick</v>
      </c>
    </row>
    <row r="7779" customFormat="false" ht="15" hidden="false" customHeight="false" outlineLevel="0" collapsed="false">
      <c r="A7779" s="3" t="s">
        <v>487</v>
      </c>
      <c r="B7779" s="4" t="s">
        <v>31</v>
      </c>
      <c r="C7779" s="4" t="n">
        <v>5</v>
      </c>
      <c r="D7779" s="4" t="s">
        <v>52</v>
      </c>
      <c r="E7779" s="3" t="s">
        <v>112</v>
      </c>
      <c r="F7779" s="4" t="str">
        <f aca="false">IF(I7779&gt;J7779,"Y","N")</f>
        <v>Y</v>
      </c>
      <c r="G7779" s="3" t="s">
        <v>36</v>
      </c>
      <c r="H7779" s="3" t="s">
        <v>37</v>
      </c>
      <c r="I7779" s="4" t="n">
        <v>16</v>
      </c>
      <c r="J7779" s="4" t="n">
        <f aca="false">LEN(E7779)-LEN(SUBSTITUTE(E7779,",",""))+1</f>
        <v>7</v>
      </c>
      <c r="K7779" s="3" t="str">
        <f aca="false">IFERROR(INDEX('Teacher Lookup'!$B$2:$B$200,MATCH(A7779,'Teacher Lookup'!$A$2:$A$200,0)),"")</f>
        <v>CHU Nick</v>
      </c>
    </row>
    <row r="7780" customFormat="false" ht="15" hidden="false" customHeight="false" outlineLevel="0" collapsed="false">
      <c r="A7780" s="3" t="s">
        <v>487</v>
      </c>
      <c r="B7780" s="4" t="s">
        <v>31</v>
      </c>
      <c r="C7780" s="4" t="n">
        <v>5</v>
      </c>
      <c r="D7780" s="4" t="s">
        <v>55</v>
      </c>
      <c r="E7780" s="3" t="s">
        <v>112</v>
      </c>
      <c r="F7780" s="4" t="str">
        <f aca="false">IF(I7780&gt;J7780,"Y","N")</f>
        <v>Y</v>
      </c>
      <c r="G7780" s="3" t="s">
        <v>36</v>
      </c>
      <c r="H7780" s="3" t="s">
        <v>37</v>
      </c>
      <c r="I7780" s="4" t="n">
        <v>16</v>
      </c>
      <c r="J7780" s="4" t="n">
        <f aca="false">LEN(E7780)-LEN(SUBSTITUTE(E7780,",",""))+1</f>
        <v>7</v>
      </c>
      <c r="K7780" s="3" t="str">
        <f aca="false">IFERROR(INDEX('Teacher Lookup'!$B$2:$B$200,MATCH(A7780,'Teacher Lookup'!$A$2:$A$200,0)),"")</f>
        <v>CHU Nick</v>
      </c>
    </row>
    <row r="7781" customFormat="false" ht="15" hidden="false" customHeight="false" outlineLevel="0" collapsed="false">
      <c r="A7781" s="3" t="s">
        <v>487</v>
      </c>
      <c r="B7781" s="4" t="s">
        <v>31</v>
      </c>
      <c r="C7781" s="4" t="n">
        <v>5</v>
      </c>
      <c r="D7781" s="4" t="s">
        <v>56</v>
      </c>
      <c r="E7781" s="3" t="s">
        <v>112</v>
      </c>
      <c r="F7781" s="4" t="str">
        <f aca="false">IF(I7781&gt;J7781,"Y","N")</f>
        <v>Y</v>
      </c>
      <c r="G7781" s="3" t="s">
        <v>36</v>
      </c>
      <c r="H7781" s="3" t="s">
        <v>37</v>
      </c>
      <c r="I7781" s="4" t="n">
        <v>16</v>
      </c>
      <c r="J7781" s="4" t="n">
        <f aca="false">LEN(E7781)-LEN(SUBSTITUTE(E7781,",",""))+1</f>
        <v>7</v>
      </c>
      <c r="K7781" s="3" t="str">
        <f aca="false">IFERROR(INDEX('Teacher Lookup'!$B$2:$B$200,MATCH(A7781,'Teacher Lookup'!$A$2:$A$200,0)),"")</f>
        <v>CHU Nick</v>
      </c>
    </row>
    <row r="7782" customFormat="false" ht="15" hidden="false" customHeight="false" outlineLevel="0" collapsed="false">
      <c r="A7782" s="3" t="s">
        <v>487</v>
      </c>
      <c r="B7782" s="4" t="s">
        <v>31</v>
      </c>
      <c r="C7782" s="4" t="n">
        <v>5</v>
      </c>
      <c r="D7782" s="4" t="s">
        <v>57</v>
      </c>
      <c r="E7782" s="3" t="s">
        <v>112</v>
      </c>
      <c r="F7782" s="4" t="str">
        <f aca="false">IF(I7782&gt;J7782,"Y","N")</f>
        <v>Y</v>
      </c>
      <c r="G7782" s="3" t="s">
        <v>36</v>
      </c>
      <c r="H7782" s="3" t="s">
        <v>37</v>
      </c>
      <c r="I7782" s="4" t="n">
        <v>16</v>
      </c>
      <c r="J7782" s="4" t="n">
        <f aca="false">LEN(E7782)-LEN(SUBSTITUTE(E7782,",",""))+1</f>
        <v>7</v>
      </c>
      <c r="K7782" s="3" t="str">
        <f aca="false">IFERROR(INDEX('Teacher Lookup'!$B$2:$B$200,MATCH(A7782,'Teacher Lookup'!$A$2:$A$200,0)),"")</f>
        <v>CHU Nick</v>
      </c>
    </row>
    <row r="7783" customFormat="false" ht="15" hidden="false" customHeight="false" outlineLevel="0" collapsed="false">
      <c r="A7783" s="3" t="s">
        <v>487</v>
      </c>
      <c r="B7783" s="4" t="s">
        <v>31</v>
      </c>
      <c r="C7783" s="4" t="n">
        <v>5</v>
      </c>
      <c r="D7783" s="4" t="s">
        <v>58</v>
      </c>
      <c r="E7783" s="3" t="s">
        <v>112</v>
      </c>
      <c r="F7783" s="4" t="str">
        <f aca="false">IF(I7783&gt;J7783,"Y","N")</f>
        <v>Y</v>
      </c>
      <c r="G7783" s="3" t="s">
        <v>36</v>
      </c>
      <c r="H7783" s="3" t="s">
        <v>37</v>
      </c>
      <c r="I7783" s="4" t="n">
        <v>16</v>
      </c>
      <c r="J7783" s="4" t="n">
        <f aca="false">LEN(E7783)-LEN(SUBSTITUTE(E7783,",",""))+1</f>
        <v>7</v>
      </c>
      <c r="K7783" s="3" t="str">
        <f aca="false">IFERROR(INDEX('Teacher Lookup'!$B$2:$B$200,MATCH(A7783,'Teacher Lookup'!$A$2:$A$200,0)),"")</f>
        <v>CHU Nick</v>
      </c>
    </row>
    <row r="7784" customFormat="false" ht="15" hidden="false" customHeight="false" outlineLevel="0" collapsed="false">
      <c r="A7784" s="3" t="s">
        <v>487</v>
      </c>
      <c r="B7784" s="4" t="s">
        <v>31</v>
      </c>
      <c r="C7784" s="4" t="n">
        <v>5</v>
      </c>
      <c r="D7784" s="4" t="s">
        <v>59</v>
      </c>
      <c r="E7784" s="3" t="s">
        <v>112</v>
      </c>
      <c r="F7784" s="4" t="str">
        <f aca="false">IF(I7784&gt;J7784,"Y","N")</f>
        <v>Y</v>
      </c>
      <c r="G7784" s="3" t="s">
        <v>36</v>
      </c>
      <c r="H7784" s="3" t="s">
        <v>37</v>
      </c>
      <c r="I7784" s="4" t="n">
        <v>16</v>
      </c>
      <c r="J7784" s="4" t="n">
        <f aca="false">LEN(E7784)-LEN(SUBSTITUTE(E7784,",",""))+1</f>
        <v>7</v>
      </c>
      <c r="K7784" s="3" t="str">
        <f aca="false">IFERROR(INDEX('Teacher Lookup'!$B$2:$B$200,MATCH(A7784,'Teacher Lookup'!$A$2:$A$200,0)),"")</f>
        <v>CHU Nick</v>
      </c>
    </row>
    <row r="7785" customFormat="false" ht="15" hidden="false" customHeight="false" outlineLevel="0" collapsed="false">
      <c r="A7785" s="3" t="s">
        <v>487</v>
      </c>
      <c r="B7785" s="4" t="s">
        <v>31</v>
      </c>
      <c r="C7785" s="4" t="n">
        <v>6</v>
      </c>
      <c r="D7785" s="4" t="s">
        <v>52</v>
      </c>
      <c r="E7785" s="3" t="s">
        <v>238</v>
      </c>
      <c r="F7785" s="4" t="str">
        <f aca="false">IF(I7785&gt;J7785,"Y","N")</f>
        <v>N</v>
      </c>
      <c r="G7785" s="3" t="s">
        <v>239</v>
      </c>
      <c r="H7785" s="3" t="s">
        <v>42</v>
      </c>
      <c r="I7785" s="4" t="n">
        <v>7</v>
      </c>
      <c r="J7785" s="4" t="n">
        <f aca="false">LEN(E7785)-LEN(SUBSTITUTE(E7785,",",""))+1</f>
        <v>7</v>
      </c>
      <c r="K7785" s="3" t="str">
        <f aca="false">IFERROR(INDEX('Teacher Lookup'!$B$2:$B$200,MATCH(A7785,'Teacher Lookup'!$A$2:$A$200,0)),"")</f>
        <v>CHU Nick</v>
      </c>
    </row>
    <row r="7786" customFormat="false" ht="15" hidden="false" customHeight="false" outlineLevel="0" collapsed="false">
      <c r="A7786" s="3" t="s">
        <v>487</v>
      </c>
      <c r="B7786" s="4" t="s">
        <v>31</v>
      </c>
      <c r="C7786" s="4" t="n">
        <v>6</v>
      </c>
      <c r="D7786" s="4" t="s">
        <v>55</v>
      </c>
      <c r="E7786" s="3" t="s">
        <v>238</v>
      </c>
      <c r="F7786" s="4" t="str">
        <f aca="false">IF(I7786&gt;J7786,"Y","N")</f>
        <v>N</v>
      </c>
      <c r="G7786" s="3" t="s">
        <v>239</v>
      </c>
      <c r="H7786" s="3" t="s">
        <v>42</v>
      </c>
      <c r="I7786" s="4" t="n">
        <v>7</v>
      </c>
      <c r="J7786" s="4" t="n">
        <f aca="false">LEN(E7786)-LEN(SUBSTITUTE(E7786,",",""))+1</f>
        <v>7</v>
      </c>
      <c r="K7786" s="3" t="str">
        <f aca="false">IFERROR(INDEX('Teacher Lookup'!$B$2:$B$200,MATCH(A7786,'Teacher Lookup'!$A$2:$A$200,0)),"")</f>
        <v>CHU Nick</v>
      </c>
    </row>
    <row r="7787" customFormat="false" ht="15" hidden="false" customHeight="false" outlineLevel="0" collapsed="false">
      <c r="A7787" s="3" t="s">
        <v>487</v>
      </c>
      <c r="B7787" s="4" t="s">
        <v>31</v>
      </c>
      <c r="C7787" s="4" t="n">
        <v>6</v>
      </c>
      <c r="D7787" s="4" t="s">
        <v>56</v>
      </c>
      <c r="E7787" s="3" t="s">
        <v>238</v>
      </c>
      <c r="F7787" s="4" t="str">
        <f aca="false">IF(I7787&gt;J7787,"Y","N")</f>
        <v>N</v>
      </c>
      <c r="G7787" s="3" t="s">
        <v>239</v>
      </c>
      <c r="H7787" s="3" t="s">
        <v>42</v>
      </c>
      <c r="I7787" s="4" t="n">
        <v>7</v>
      </c>
      <c r="J7787" s="4" t="n">
        <f aca="false">LEN(E7787)-LEN(SUBSTITUTE(E7787,",",""))+1</f>
        <v>7</v>
      </c>
      <c r="K7787" s="3" t="str">
        <f aca="false">IFERROR(INDEX('Teacher Lookup'!$B$2:$B$200,MATCH(A7787,'Teacher Lookup'!$A$2:$A$200,0)),"")</f>
        <v>CHU Nick</v>
      </c>
    </row>
    <row r="7788" customFormat="false" ht="15" hidden="false" customHeight="false" outlineLevel="0" collapsed="false">
      <c r="A7788" s="3" t="s">
        <v>487</v>
      </c>
      <c r="B7788" s="4" t="s">
        <v>31</v>
      </c>
      <c r="C7788" s="4" t="n">
        <v>6</v>
      </c>
      <c r="D7788" s="4" t="s">
        <v>57</v>
      </c>
      <c r="E7788" s="3" t="s">
        <v>238</v>
      </c>
      <c r="F7788" s="4" t="str">
        <f aca="false">IF(I7788&gt;J7788,"Y","N")</f>
        <v>N</v>
      </c>
      <c r="G7788" s="3" t="s">
        <v>239</v>
      </c>
      <c r="H7788" s="3" t="s">
        <v>42</v>
      </c>
      <c r="I7788" s="4" t="n">
        <v>7</v>
      </c>
      <c r="J7788" s="4" t="n">
        <f aca="false">LEN(E7788)-LEN(SUBSTITUTE(E7788,",",""))+1</f>
        <v>7</v>
      </c>
      <c r="K7788" s="3" t="str">
        <f aca="false">IFERROR(INDEX('Teacher Lookup'!$B$2:$B$200,MATCH(A7788,'Teacher Lookup'!$A$2:$A$200,0)),"")</f>
        <v>CHU Nick</v>
      </c>
    </row>
    <row r="7789" customFormat="false" ht="15" hidden="false" customHeight="false" outlineLevel="0" collapsed="false">
      <c r="A7789" s="3" t="s">
        <v>487</v>
      </c>
      <c r="B7789" s="4" t="s">
        <v>31</v>
      </c>
      <c r="C7789" s="4" t="n">
        <v>6</v>
      </c>
      <c r="D7789" s="4" t="s">
        <v>58</v>
      </c>
      <c r="E7789" s="3" t="s">
        <v>238</v>
      </c>
      <c r="F7789" s="4" t="str">
        <f aca="false">IF(I7789&gt;J7789,"Y","N")</f>
        <v>N</v>
      </c>
      <c r="G7789" s="3" t="s">
        <v>239</v>
      </c>
      <c r="H7789" s="3" t="s">
        <v>42</v>
      </c>
      <c r="I7789" s="4" t="n">
        <v>7</v>
      </c>
      <c r="J7789" s="4" t="n">
        <f aca="false">LEN(E7789)-LEN(SUBSTITUTE(E7789,",",""))+1</f>
        <v>7</v>
      </c>
      <c r="K7789" s="3" t="str">
        <f aca="false">IFERROR(INDEX('Teacher Lookup'!$B$2:$B$200,MATCH(A7789,'Teacher Lookup'!$A$2:$A$200,0)),"")</f>
        <v>CHU Nick</v>
      </c>
    </row>
    <row r="7790" customFormat="false" ht="15" hidden="false" customHeight="false" outlineLevel="0" collapsed="false">
      <c r="A7790" s="3" t="s">
        <v>487</v>
      </c>
      <c r="B7790" s="4" t="s">
        <v>31</v>
      </c>
      <c r="C7790" s="4" t="n">
        <v>6</v>
      </c>
      <c r="D7790" s="4" t="s">
        <v>59</v>
      </c>
      <c r="E7790" s="3" t="s">
        <v>238</v>
      </c>
      <c r="F7790" s="4" t="str">
        <f aca="false">IF(I7790&gt;J7790,"Y","N")</f>
        <v>N</v>
      </c>
      <c r="G7790" s="3" t="s">
        <v>239</v>
      </c>
      <c r="H7790" s="3" t="s">
        <v>42</v>
      </c>
      <c r="I7790" s="4" t="n">
        <v>7</v>
      </c>
      <c r="J7790" s="4" t="n">
        <f aca="false">LEN(E7790)-LEN(SUBSTITUTE(E7790,",",""))+1</f>
        <v>7</v>
      </c>
      <c r="K7790" s="3" t="str">
        <f aca="false">IFERROR(INDEX('Teacher Lookup'!$B$2:$B$200,MATCH(A7790,'Teacher Lookup'!$A$2:$A$200,0)),"")</f>
        <v>CHU Nick</v>
      </c>
    </row>
    <row r="7791" customFormat="false" ht="15" hidden="false" customHeight="false" outlineLevel="0" collapsed="false">
      <c r="A7791" s="3" t="s">
        <v>487</v>
      </c>
      <c r="B7791" s="4" t="s">
        <v>40</v>
      </c>
      <c r="C7791" s="4" t="n">
        <v>2</v>
      </c>
      <c r="D7791" s="4" t="s">
        <v>52</v>
      </c>
      <c r="E7791" s="3" t="s">
        <v>240</v>
      </c>
      <c r="F7791" s="4" t="str">
        <f aca="false">IF(I7791&gt;J7791,"Y","N")</f>
        <v>N</v>
      </c>
      <c r="G7791" s="3" t="s">
        <v>239</v>
      </c>
      <c r="H7791" s="3" t="s">
        <v>21</v>
      </c>
      <c r="I7791" s="4" t="n">
        <v>7</v>
      </c>
      <c r="J7791" s="4" t="n">
        <f aca="false">LEN(E7791)-LEN(SUBSTITUTE(E7791,",",""))+1</f>
        <v>7</v>
      </c>
      <c r="K7791" s="3" t="str">
        <f aca="false">IFERROR(INDEX('Teacher Lookup'!$B$2:$B$200,MATCH(A7791,'Teacher Lookup'!$A$2:$A$200,0)),"")</f>
        <v>CHU Nick</v>
      </c>
    </row>
    <row r="7792" customFormat="false" ht="15" hidden="false" customHeight="false" outlineLevel="0" collapsed="false">
      <c r="A7792" s="3" t="s">
        <v>487</v>
      </c>
      <c r="B7792" s="4" t="s">
        <v>40</v>
      </c>
      <c r="C7792" s="4" t="n">
        <v>2</v>
      </c>
      <c r="D7792" s="4" t="s">
        <v>55</v>
      </c>
      <c r="E7792" s="3" t="s">
        <v>240</v>
      </c>
      <c r="F7792" s="4" t="str">
        <f aca="false">IF(I7792&gt;J7792,"Y","N")</f>
        <v>N</v>
      </c>
      <c r="G7792" s="3" t="s">
        <v>239</v>
      </c>
      <c r="H7792" s="3" t="s">
        <v>21</v>
      </c>
      <c r="I7792" s="4" t="n">
        <v>7</v>
      </c>
      <c r="J7792" s="4" t="n">
        <f aca="false">LEN(E7792)-LEN(SUBSTITUTE(E7792,",",""))+1</f>
        <v>7</v>
      </c>
      <c r="K7792" s="3" t="str">
        <f aca="false">IFERROR(INDEX('Teacher Lookup'!$B$2:$B$200,MATCH(A7792,'Teacher Lookup'!$A$2:$A$200,0)),"")</f>
        <v>CHU Nick</v>
      </c>
    </row>
    <row r="7793" customFormat="false" ht="15" hidden="false" customHeight="false" outlineLevel="0" collapsed="false">
      <c r="A7793" s="3" t="s">
        <v>487</v>
      </c>
      <c r="B7793" s="4" t="s">
        <v>40</v>
      </c>
      <c r="C7793" s="4" t="n">
        <v>2</v>
      </c>
      <c r="D7793" s="4" t="s">
        <v>56</v>
      </c>
      <c r="E7793" s="3" t="s">
        <v>240</v>
      </c>
      <c r="F7793" s="4" t="str">
        <f aca="false">IF(I7793&gt;J7793,"Y","N")</f>
        <v>N</v>
      </c>
      <c r="G7793" s="3" t="s">
        <v>239</v>
      </c>
      <c r="H7793" s="3" t="s">
        <v>21</v>
      </c>
      <c r="I7793" s="4" t="n">
        <v>7</v>
      </c>
      <c r="J7793" s="4" t="n">
        <f aca="false">LEN(E7793)-LEN(SUBSTITUTE(E7793,",",""))+1</f>
        <v>7</v>
      </c>
      <c r="K7793" s="3" t="str">
        <f aca="false">IFERROR(INDEX('Teacher Lookup'!$B$2:$B$200,MATCH(A7793,'Teacher Lookup'!$A$2:$A$200,0)),"")</f>
        <v>CHU Nick</v>
      </c>
    </row>
    <row r="7794" customFormat="false" ht="15" hidden="false" customHeight="false" outlineLevel="0" collapsed="false">
      <c r="A7794" s="3" t="s">
        <v>487</v>
      </c>
      <c r="B7794" s="4" t="s">
        <v>40</v>
      </c>
      <c r="C7794" s="4" t="n">
        <v>2</v>
      </c>
      <c r="D7794" s="4" t="s">
        <v>57</v>
      </c>
      <c r="E7794" s="3" t="s">
        <v>240</v>
      </c>
      <c r="F7794" s="4" t="str">
        <f aca="false">IF(I7794&gt;J7794,"Y","N")</f>
        <v>N</v>
      </c>
      <c r="G7794" s="3" t="s">
        <v>239</v>
      </c>
      <c r="H7794" s="3" t="s">
        <v>21</v>
      </c>
      <c r="I7794" s="4" t="n">
        <v>7</v>
      </c>
      <c r="J7794" s="4" t="n">
        <f aca="false">LEN(E7794)-LEN(SUBSTITUTE(E7794,",",""))+1</f>
        <v>7</v>
      </c>
      <c r="K7794" s="3" t="str">
        <f aca="false">IFERROR(INDEX('Teacher Lookup'!$B$2:$B$200,MATCH(A7794,'Teacher Lookup'!$A$2:$A$200,0)),"")</f>
        <v>CHU Nick</v>
      </c>
    </row>
    <row r="7795" customFormat="false" ht="15" hidden="false" customHeight="false" outlineLevel="0" collapsed="false">
      <c r="A7795" s="3" t="s">
        <v>487</v>
      </c>
      <c r="B7795" s="4" t="s">
        <v>40</v>
      </c>
      <c r="C7795" s="4" t="n">
        <v>2</v>
      </c>
      <c r="D7795" s="4" t="s">
        <v>58</v>
      </c>
      <c r="E7795" s="3" t="s">
        <v>240</v>
      </c>
      <c r="F7795" s="4" t="str">
        <f aca="false">IF(I7795&gt;J7795,"Y","N")</f>
        <v>N</v>
      </c>
      <c r="G7795" s="3" t="s">
        <v>239</v>
      </c>
      <c r="H7795" s="3" t="s">
        <v>21</v>
      </c>
      <c r="I7795" s="4" t="n">
        <v>7</v>
      </c>
      <c r="J7795" s="4" t="n">
        <f aca="false">LEN(E7795)-LEN(SUBSTITUTE(E7795,",",""))+1</f>
        <v>7</v>
      </c>
      <c r="K7795" s="3" t="str">
        <f aca="false">IFERROR(INDEX('Teacher Lookup'!$B$2:$B$200,MATCH(A7795,'Teacher Lookup'!$A$2:$A$200,0)),"")</f>
        <v>CHU Nick</v>
      </c>
    </row>
    <row r="7796" customFormat="false" ht="15" hidden="false" customHeight="false" outlineLevel="0" collapsed="false">
      <c r="A7796" s="3" t="s">
        <v>487</v>
      </c>
      <c r="B7796" s="4" t="s">
        <v>40</v>
      </c>
      <c r="C7796" s="4" t="n">
        <v>2</v>
      </c>
      <c r="D7796" s="4" t="s">
        <v>59</v>
      </c>
      <c r="E7796" s="3" t="s">
        <v>240</v>
      </c>
      <c r="F7796" s="4" t="str">
        <f aca="false">IF(I7796&gt;J7796,"Y","N")</f>
        <v>N</v>
      </c>
      <c r="G7796" s="3" t="s">
        <v>239</v>
      </c>
      <c r="H7796" s="3" t="s">
        <v>21</v>
      </c>
      <c r="I7796" s="4" t="n">
        <v>7</v>
      </c>
      <c r="J7796" s="4" t="n">
        <f aca="false">LEN(E7796)-LEN(SUBSTITUTE(E7796,",",""))+1</f>
        <v>7</v>
      </c>
      <c r="K7796" s="3" t="str">
        <f aca="false">IFERROR(INDEX('Teacher Lookup'!$B$2:$B$200,MATCH(A7796,'Teacher Lookup'!$A$2:$A$200,0)),"")</f>
        <v>CHU Nick</v>
      </c>
    </row>
    <row r="7797" customFormat="false" ht="15" hidden="false" customHeight="false" outlineLevel="0" collapsed="false">
      <c r="A7797" s="3" t="s">
        <v>487</v>
      </c>
      <c r="B7797" s="4" t="s">
        <v>40</v>
      </c>
      <c r="C7797" s="4" t="n">
        <v>4</v>
      </c>
      <c r="D7797" s="4" t="s">
        <v>24</v>
      </c>
      <c r="E7797" s="3" t="s">
        <v>379</v>
      </c>
      <c r="F7797" s="4" t="str">
        <f aca="false">IF(I7797&gt;J7797,"Y","N")</f>
        <v>Y</v>
      </c>
      <c r="G7797" s="3" t="s">
        <v>378</v>
      </c>
      <c r="H7797" s="3" t="s">
        <v>34</v>
      </c>
      <c r="I7797" s="4" t="n">
        <v>9</v>
      </c>
      <c r="J7797" s="4" t="n">
        <f aca="false">LEN(E7797)-LEN(SUBSTITUTE(E7797,",",""))+1</f>
        <v>8</v>
      </c>
      <c r="K7797" s="3" t="str">
        <f aca="false">IFERROR(INDEX('Teacher Lookup'!$B$2:$B$200,MATCH(A7797,'Teacher Lookup'!$A$2:$A$200,0)),"")</f>
        <v>CHU Nick</v>
      </c>
    </row>
    <row r="7798" customFormat="false" ht="15" hidden="false" customHeight="false" outlineLevel="0" collapsed="false">
      <c r="A7798" s="3" t="s">
        <v>487</v>
      </c>
      <c r="B7798" s="4" t="s">
        <v>40</v>
      </c>
      <c r="C7798" s="4" t="n">
        <v>4</v>
      </c>
      <c r="D7798" s="4" t="s">
        <v>27</v>
      </c>
      <c r="E7798" s="3" t="s">
        <v>379</v>
      </c>
      <c r="F7798" s="4" t="str">
        <f aca="false">IF(I7798&gt;J7798,"Y","N")</f>
        <v>Y</v>
      </c>
      <c r="G7798" s="3" t="s">
        <v>378</v>
      </c>
      <c r="H7798" s="3" t="s">
        <v>34</v>
      </c>
      <c r="I7798" s="4" t="n">
        <v>9</v>
      </c>
      <c r="J7798" s="4" t="n">
        <f aca="false">LEN(E7798)-LEN(SUBSTITUTE(E7798,",",""))+1</f>
        <v>8</v>
      </c>
      <c r="K7798" s="3" t="str">
        <f aca="false">IFERROR(INDEX('Teacher Lookup'!$B$2:$B$200,MATCH(A7798,'Teacher Lookup'!$A$2:$A$200,0)),"")</f>
        <v>CHU Nick</v>
      </c>
    </row>
    <row r="7799" customFormat="false" ht="15" hidden="false" customHeight="false" outlineLevel="0" collapsed="false">
      <c r="A7799" s="3" t="s">
        <v>487</v>
      </c>
      <c r="B7799" s="4" t="s">
        <v>40</v>
      </c>
      <c r="C7799" s="4" t="n">
        <v>4</v>
      </c>
      <c r="D7799" s="4" t="s">
        <v>28</v>
      </c>
      <c r="E7799" s="3" t="s">
        <v>379</v>
      </c>
      <c r="F7799" s="4" t="str">
        <f aca="false">IF(I7799&gt;J7799,"Y","N")</f>
        <v>Y</v>
      </c>
      <c r="G7799" s="3" t="s">
        <v>378</v>
      </c>
      <c r="H7799" s="3" t="s">
        <v>34</v>
      </c>
      <c r="I7799" s="4" t="n">
        <v>9</v>
      </c>
      <c r="J7799" s="4" t="n">
        <f aca="false">LEN(E7799)-LEN(SUBSTITUTE(E7799,",",""))+1</f>
        <v>8</v>
      </c>
      <c r="K7799" s="3" t="str">
        <f aca="false">IFERROR(INDEX('Teacher Lookup'!$B$2:$B$200,MATCH(A7799,'Teacher Lookup'!$A$2:$A$200,0)),"")</f>
        <v>CHU Nick</v>
      </c>
    </row>
    <row r="7800" customFormat="false" ht="15" hidden="false" customHeight="false" outlineLevel="0" collapsed="false">
      <c r="A7800" s="3" t="s">
        <v>487</v>
      </c>
      <c r="B7800" s="4" t="s">
        <v>40</v>
      </c>
      <c r="C7800" s="4" t="n">
        <v>4</v>
      </c>
      <c r="D7800" s="4" t="s">
        <v>29</v>
      </c>
      <c r="E7800" s="3" t="s">
        <v>379</v>
      </c>
      <c r="F7800" s="4" t="str">
        <f aca="false">IF(I7800&gt;J7800,"Y","N")</f>
        <v>Y</v>
      </c>
      <c r="G7800" s="3" t="s">
        <v>378</v>
      </c>
      <c r="H7800" s="3" t="s">
        <v>34</v>
      </c>
      <c r="I7800" s="4" t="n">
        <v>9</v>
      </c>
      <c r="J7800" s="4" t="n">
        <f aca="false">LEN(E7800)-LEN(SUBSTITUTE(E7800,",",""))+1</f>
        <v>8</v>
      </c>
      <c r="K7800" s="3" t="str">
        <f aca="false">IFERROR(INDEX('Teacher Lookup'!$B$2:$B$200,MATCH(A7800,'Teacher Lookup'!$A$2:$A$200,0)),"")</f>
        <v>CHU Nick</v>
      </c>
    </row>
    <row r="7801" customFormat="false" ht="15" hidden="false" customHeight="false" outlineLevel="0" collapsed="false">
      <c r="A7801" s="3" t="s">
        <v>487</v>
      </c>
      <c r="B7801" s="4" t="s">
        <v>40</v>
      </c>
      <c r="C7801" s="4" t="n">
        <v>4</v>
      </c>
      <c r="D7801" s="4" t="s">
        <v>30</v>
      </c>
      <c r="E7801" s="3" t="s">
        <v>379</v>
      </c>
      <c r="F7801" s="4" t="str">
        <f aca="false">IF(I7801&gt;J7801,"Y","N")</f>
        <v>Y</v>
      </c>
      <c r="G7801" s="3" t="s">
        <v>378</v>
      </c>
      <c r="H7801" s="3" t="s">
        <v>34</v>
      </c>
      <c r="I7801" s="4" t="n">
        <v>9</v>
      </c>
      <c r="J7801" s="4" t="n">
        <f aca="false">LEN(E7801)-LEN(SUBSTITUTE(E7801,",",""))+1</f>
        <v>8</v>
      </c>
      <c r="K7801" s="3" t="str">
        <f aca="false">IFERROR(INDEX('Teacher Lookup'!$B$2:$B$200,MATCH(A7801,'Teacher Lookup'!$A$2:$A$200,0)),"")</f>
        <v>CHU Nick</v>
      </c>
    </row>
    <row r="7802" customFormat="false" ht="15" hidden="false" customHeight="false" outlineLevel="0" collapsed="false">
      <c r="A7802" s="3" t="s">
        <v>487</v>
      </c>
      <c r="B7802" s="4" t="s">
        <v>40</v>
      </c>
      <c r="C7802" s="4" t="n">
        <v>6</v>
      </c>
      <c r="D7802" s="4" t="s">
        <v>102</v>
      </c>
      <c r="E7802" s="3" t="s">
        <v>314</v>
      </c>
      <c r="F7802" s="4" t="str">
        <f aca="false">IF(I7802&gt;J7802,"Y","N")</f>
        <v>Y</v>
      </c>
      <c r="G7802" s="3" t="s">
        <v>310</v>
      </c>
      <c r="H7802" s="3" t="s">
        <v>42</v>
      </c>
      <c r="I7802" s="4" t="n">
        <v>7</v>
      </c>
      <c r="J7802" s="4" t="n">
        <f aca="false">LEN(E7802)-LEN(SUBSTITUTE(E7802,",",""))+1</f>
        <v>6</v>
      </c>
      <c r="K7802" s="3" t="str">
        <f aca="false">IFERROR(INDEX('Teacher Lookup'!$B$2:$B$200,MATCH(A7802,'Teacher Lookup'!$A$2:$A$200,0)),"")</f>
        <v>CHU Nick</v>
      </c>
    </row>
    <row r="7803" customFormat="false" ht="15" hidden="false" customHeight="false" outlineLevel="0" collapsed="false">
      <c r="A7803" s="3" t="s">
        <v>487</v>
      </c>
      <c r="B7803" s="4" t="s">
        <v>40</v>
      </c>
      <c r="C7803" s="4" t="n">
        <v>6</v>
      </c>
      <c r="D7803" s="4" t="s">
        <v>105</v>
      </c>
      <c r="E7803" s="3" t="s">
        <v>314</v>
      </c>
      <c r="F7803" s="4" t="str">
        <f aca="false">IF(I7803&gt;J7803,"Y","N")</f>
        <v>Y</v>
      </c>
      <c r="G7803" s="3" t="s">
        <v>310</v>
      </c>
      <c r="H7803" s="3" t="s">
        <v>42</v>
      </c>
      <c r="I7803" s="4" t="n">
        <v>7</v>
      </c>
      <c r="J7803" s="4" t="n">
        <f aca="false">LEN(E7803)-LEN(SUBSTITUTE(E7803,",",""))+1</f>
        <v>6</v>
      </c>
      <c r="K7803" s="3" t="str">
        <f aca="false">IFERROR(INDEX('Teacher Lookup'!$B$2:$B$200,MATCH(A7803,'Teacher Lookup'!$A$2:$A$200,0)),"")</f>
        <v>CHU Nick</v>
      </c>
    </row>
    <row r="7804" customFormat="false" ht="15" hidden="false" customHeight="false" outlineLevel="0" collapsed="false">
      <c r="A7804" s="3" t="s">
        <v>487</v>
      </c>
      <c r="B7804" s="4" t="s">
        <v>40</v>
      </c>
      <c r="C7804" s="4" t="n">
        <v>6</v>
      </c>
      <c r="D7804" s="4" t="s">
        <v>106</v>
      </c>
      <c r="E7804" s="3" t="s">
        <v>314</v>
      </c>
      <c r="F7804" s="4" t="str">
        <f aca="false">IF(I7804&gt;J7804,"Y","N")</f>
        <v>Y</v>
      </c>
      <c r="G7804" s="3" t="s">
        <v>310</v>
      </c>
      <c r="H7804" s="3" t="s">
        <v>42</v>
      </c>
      <c r="I7804" s="4" t="n">
        <v>7</v>
      </c>
      <c r="J7804" s="4" t="n">
        <f aca="false">LEN(E7804)-LEN(SUBSTITUTE(E7804,",",""))+1</f>
        <v>6</v>
      </c>
      <c r="K7804" s="3" t="str">
        <f aca="false">IFERROR(INDEX('Teacher Lookup'!$B$2:$B$200,MATCH(A7804,'Teacher Lookup'!$A$2:$A$200,0)),"")</f>
        <v>CHU Nick</v>
      </c>
    </row>
    <row r="7805" customFormat="false" ht="15" hidden="false" customHeight="false" outlineLevel="0" collapsed="false">
      <c r="A7805" s="3" t="s">
        <v>487</v>
      </c>
      <c r="B7805" s="4" t="s">
        <v>40</v>
      </c>
      <c r="C7805" s="4" t="n">
        <v>6</v>
      </c>
      <c r="D7805" s="4" t="s">
        <v>107</v>
      </c>
      <c r="E7805" s="3" t="s">
        <v>314</v>
      </c>
      <c r="F7805" s="4" t="str">
        <f aca="false">IF(I7805&gt;J7805,"Y","N")</f>
        <v>Y</v>
      </c>
      <c r="G7805" s="3" t="s">
        <v>310</v>
      </c>
      <c r="H7805" s="3" t="s">
        <v>42</v>
      </c>
      <c r="I7805" s="4" t="n">
        <v>7</v>
      </c>
      <c r="J7805" s="4" t="n">
        <f aca="false">LEN(E7805)-LEN(SUBSTITUTE(E7805,",",""))+1</f>
        <v>6</v>
      </c>
      <c r="K7805" s="3" t="str">
        <f aca="false">IFERROR(INDEX('Teacher Lookup'!$B$2:$B$200,MATCH(A7805,'Teacher Lookup'!$A$2:$A$200,0)),"")</f>
        <v>CHU Nick</v>
      </c>
    </row>
    <row r="7806" customFormat="false" ht="15" hidden="false" customHeight="false" outlineLevel="0" collapsed="false">
      <c r="A7806" s="3" t="s">
        <v>487</v>
      </c>
      <c r="B7806" s="4" t="s">
        <v>40</v>
      </c>
      <c r="C7806" s="4" t="n">
        <v>7</v>
      </c>
      <c r="D7806" s="4" t="s">
        <v>102</v>
      </c>
      <c r="E7806" s="3" t="s">
        <v>314</v>
      </c>
      <c r="F7806" s="4" t="str">
        <f aca="false">IF(I7806&gt;J7806,"Y","N")</f>
        <v>Y</v>
      </c>
      <c r="G7806" s="3" t="s">
        <v>310</v>
      </c>
      <c r="H7806" s="3" t="s">
        <v>39</v>
      </c>
      <c r="I7806" s="4" t="n">
        <v>7</v>
      </c>
      <c r="J7806" s="4" t="n">
        <f aca="false">LEN(E7806)-LEN(SUBSTITUTE(E7806,",",""))+1</f>
        <v>6</v>
      </c>
      <c r="K7806" s="3" t="str">
        <f aca="false">IFERROR(INDEX('Teacher Lookup'!$B$2:$B$200,MATCH(A7806,'Teacher Lookup'!$A$2:$A$200,0)),"")</f>
        <v>CHU Nick</v>
      </c>
    </row>
    <row r="7807" customFormat="false" ht="15" hidden="false" customHeight="false" outlineLevel="0" collapsed="false">
      <c r="A7807" s="3" t="s">
        <v>487</v>
      </c>
      <c r="B7807" s="4" t="s">
        <v>40</v>
      </c>
      <c r="C7807" s="4" t="n">
        <v>7</v>
      </c>
      <c r="D7807" s="4" t="s">
        <v>105</v>
      </c>
      <c r="E7807" s="3" t="s">
        <v>314</v>
      </c>
      <c r="F7807" s="4" t="str">
        <f aca="false">IF(I7807&gt;J7807,"Y","N")</f>
        <v>Y</v>
      </c>
      <c r="G7807" s="3" t="s">
        <v>310</v>
      </c>
      <c r="H7807" s="3" t="s">
        <v>39</v>
      </c>
      <c r="I7807" s="4" t="n">
        <v>7</v>
      </c>
      <c r="J7807" s="4" t="n">
        <f aca="false">LEN(E7807)-LEN(SUBSTITUTE(E7807,",",""))+1</f>
        <v>6</v>
      </c>
      <c r="K7807" s="3" t="str">
        <f aca="false">IFERROR(INDEX('Teacher Lookup'!$B$2:$B$200,MATCH(A7807,'Teacher Lookup'!$A$2:$A$200,0)),"")</f>
        <v>CHU Nick</v>
      </c>
    </row>
    <row r="7808" customFormat="false" ht="15" hidden="false" customHeight="false" outlineLevel="0" collapsed="false">
      <c r="A7808" s="3" t="s">
        <v>487</v>
      </c>
      <c r="B7808" s="4" t="s">
        <v>40</v>
      </c>
      <c r="C7808" s="4" t="n">
        <v>7</v>
      </c>
      <c r="D7808" s="4" t="s">
        <v>106</v>
      </c>
      <c r="E7808" s="3" t="s">
        <v>314</v>
      </c>
      <c r="F7808" s="4" t="str">
        <f aca="false">IF(I7808&gt;J7808,"Y","N")</f>
        <v>Y</v>
      </c>
      <c r="G7808" s="3" t="s">
        <v>310</v>
      </c>
      <c r="H7808" s="3" t="s">
        <v>39</v>
      </c>
      <c r="I7808" s="4" t="n">
        <v>7</v>
      </c>
      <c r="J7808" s="4" t="n">
        <f aca="false">LEN(E7808)-LEN(SUBSTITUTE(E7808,",",""))+1</f>
        <v>6</v>
      </c>
      <c r="K7808" s="3" t="str">
        <f aca="false">IFERROR(INDEX('Teacher Lookup'!$B$2:$B$200,MATCH(A7808,'Teacher Lookup'!$A$2:$A$200,0)),"")</f>
        <v>CHU Nick</v>
      </c>
    </row>
    <row r="7809" customFormat="false" ht="15" hidden="false" customHeight="false" outlineLevel="0" collapsed="false">
      <c r="A7809" s="3" t="s">
        <v>487</v>
      </c>
      <c r="B7809" s="4" t="s">
        <v>40</v>
      </c>
      <c r="C7809" s="4" t="n">
        <v>7</v>
      </c>
      <c r="D7809" s="4" t="s">
        <v>107</v>
      </c>
      <c r="E7809" s="3" t="s">
        <v>314</v>
      </c>
      <c r="F7809" s="4" t="str">
        <f aca="false">IF(I7809&gt;J7809,"Y","N")</f>
        <v>Y</v>
      </c>
      <c r="G7809" s="3" t="s">
        <v>310</v>
      </c>
      <c r="H7809" s="3" t="s">
        <v>39</v>
      </c>
      <c r="I7809" s="4" t="n">
        <v>7</v>
      </c>
      <c r="J7809" s="4" t="n">
        <f aca="false">LEN(E7809)-LEN(SUBSTITUTE(E7809,",",""))+1</f>
        <v>6</v>
      </c>
      <c r="K7809" s="3" t="str">
        <f aca="false">IFERROR(INDEX('Teacher Lookup'!$B$2:$B$200,MATCH(A7809,'Teacher Lookup'!$A$2:$A$200,0)),"")</f>
        <v>CHU Nick</v>
      </c>
    </row>
    <row r="7810" customFormat="false" ht="15" hidden="false" customHeight="false" outlineLevel="0" collapsed="false">
      <c r="A7810" s="3" t="s">
        <v>487</v>
      </c>
      <c r="B7810" s="4" t="s">
        <v>44</v>
      </c>
      <c r="C7810" s="4" t="n">
        <v>1</v>
      </c>
      <c r="D7810" s="4" t="s">
        <v>24</v>
      </c>
      <c r="E7810" s="3" t="s">
        <v>380</v>
      </c>
      <c r="F7810" s="4" t="str">
        <f aca="false">IF(I7810&gt;J7810,"Y","N")</f>
        <v>Y</v>
      </c>
      <c r="G7810" s="3" t="s">
        <v>378</v>
      </c>
      <c r="H7810" s="3" t="s">
        <v>16</v>
      </c>
      <c r="I7810" s="4" t="n">
        <v>9</v>
      </c>
      <c r="J7810" s="4" t="n">
        <f aca="false">LEN(E7810)-LEN(SUBSTITUTE(E7810,",",""))+1</f>
        <v>8</v>
      </c>
      <c r="K7810" s="3" t="str">
        <f aca="false">IFERROR(INDEX('Teacher Lookup'!$B$2:$B$200,MATCH(A7810,'Teacher Lookup'!$A$2:$A$200,0)),"")</f>
        <v>CHU Nick</v>
      </c>
    </row>
    <row r="7811" customFormat="false" ht="15" hidden="false" customHeight="false" outlineLevel="0" collapsed="false">
      <c r="A7811" s="3" t="s">
        <v>487</v>
      </c>
      <c r="B7811" s="4" t="s">
        <v>44</v>
      </c>
      <c r="C7811" s="4" t="n">
        <v>1</v>
      </c>
      <c r="D7811" s="4" t="s">
        <v>27</v>
      </c>
      <c r="E7811" s="3" t="s">
        <v>380</v>
      </c>
      <c r="F7811" s="4" t="str">
        <f aca="false">IF(I7811&gt;J7811,"Y","N")</f>
        <v>Y</v>
      </c>
      <c r="G7811" s="3" t="s">
        <v>378</v>
      </c>
      <c r="H7811" s="3" t="s">
        <v>16</v>
      </c>
      <c r="I7811" s="4" t="n">
        <v>9</v>
      </c>
      <c r="J7811" s="4" t="n">
        <f aca="false">LEN(E7811)-LEN(SUBSTITUTE(E7811,",",""))+1</f>
        <v>8</v>
      </c>
      <c r="K7811" s="3" t="str">
        <f aca="false">IFERROR(INDEX('Teacher Lookup'!$B$2:$B$200,MATCH(A7811,'Teacher Lookup'!$A$2:$A$200,0)),"")</f>
        <v>CHU Nick</v>
      </c>
    </row>
    <row r="7812" customFormat="false" ht="15" hidden="false" customHeight="false" outlineLevel="0" collapsed="false">
      <c r="A7812" s="3" t="s">
        <v>487</v>
      </c>
      <c r="B7812" s="4" t="s">
        <v>44</v>
      </c>
      <c r="C7812" s="4" t="n">
        <v>1</v>
      </c>
      <c r="D7812" s="4" t="s">
        <v>28</v>
      </c>
      <c r="E7812" s="3" t="s">
        <v>380</v>
      </c>
      <c r="F7812" s="4" t="str">
        <f aca="false">IF(I7812&gt;J7812,"Y","N")</f>
        <v>Y</v>
      </c>
      <c r="G7812" s="3" t="s">
        <v>378</v>
      </c>
      <c r="H7812" s="3" t="s">
        <v>16</v>
      </c>
      <c r="I7812" s="4" t="n">
        <v>9</v>
      </c>
      <c r="J7812" s="4" t="n">
        <f aca="false">LEN(E7812)-LEN(SUBSTITUTE(E7812,",",""))+1</f>
        <v>8</v>
      </c>
      <c r="K7812" s="3" t="str">
        <f aca="false">IFERROR(INDEX('Teacher Lookup'!$B$2:$B$200,MATCH(A7812,'Teacher Lookup'!$A$2:$A$200,0)),"")</f>
        <v>CHU Nick</v>
      </c>
    </row>
    <row r="7813" customFormat="false" ht="15" hidden="false" customHeight="false" outlineLevel="0" collapsed="false">
      <c r="A7813" s="3" t="s">
        <v>487</v>
      </c>
      <c r="B7813" s="4" t="s">
        <v>44</v>
      </c>
      <c r="C7813" s="4" t="n">
        <v>1</v>
      </c>
      <c r="D7813" s="4" t="s">
        <v>29</v>
      </c>
      <c r="E7813" s="3" t="s">
        <v>380</v>
      </c>
      <c r="F7813" s="4" t="str">
        <f aca="false">IF(I7813&gt;J7813,"Y","N")</f>
        <v>Y</v>
      </c>
      <c r="G7813" s="3" t="s">
        <v>378</v>
      </c>
      <c r="H7813" s="3" t="s">
        <v>16</v>
      </c>
      <c r="I7813" s="4" t="n">
        <v>9</v>
      </c>
      <c r="J7813" s="4" t="n">
        <f aca="false">LEN(E7813)-LEN(SUBSTITUTE(E7813,",",""))+1</f>
        <v>8</v>
      </c>
      <c r="K7813" s="3" t="str">
        <f aca="false">IFERROR(INDEX('Teacher Lookup'!$B$2:$B$200,MATCH(A7813,'Teacher Lookup'!$A$2:$A$200,0)),"")</f>
        <v>CHU Nick</v>
      </c>
    </row>
    <row r="7814" customFormat="false" ht="15" hidden="false" customHeight="false" outlineLevel="0" collapsed="false">
      <c r="A7814" s="3" t="s">
        <v>487</v>
      </c>
      <c r="B7814" s="4" t="s">
        <v>44</v>
      </c>
      <c r="C7814" s="4" t="n">
        <v>1</v>
      </c>
      <c r="D7814" s="4" t="s">
        <v>30</v>
      </c>
      <c r="E7814" s="3" t="s">
        <v>380</v>
      </c>
      <c r="F7814" s="4" t="str">
        <f aca="false">IF(I7814&gt;J7814,"Y","N")</f>
        <v>Y</v>
      </c>
      <c r="G7814" s="3" t="s">
        <v>378</v>
      </c>
      <c r="H7814" s="3" t="s">
        <v>16</v>
      </c>
      <c r="I7814" s="4" t="n">
        <v>9</v>
      </c>
      <c r="J7814" s="4" t="n">
        <f aca="false">LEN(E7814)-LEN(SUBSTITUTE(E7814,",",""))+1</f>
        <v>8</v>
      </c>
      <c r="K7814" s="3" t="str">
        <f aca="false">IFERROR(INDEX('Teacher Lookup'!$B$2:$B$200,MATCH(A7814,'Teacher Lookup'!$A$2:$A$200,0)),"")</f>
        <v>CHU Nick</v>
      </c>
    </row>
    <row r="7815" customFormat="false" ht="15" hidden="false" customHeight="false" outlineLevel="0" collapsed="false">
      <c r="A7815" s="3" t="s">
        <v>487</v>
      </c>
      <c r="B7815" s="4" t="s">
        <v>44</v>
      </c>
      <c r="C7815" s="4" t="n">
        <v>5</v>
      </c>
      <c r="D7815" s="4" t="s">
        <v>52</v>
      </c>
      <c r="E7815" s="3" t="s">
        <v>112</v>
      </c>
      <c r="F7815" s="4" t="str">
        <f aca="false">IF(I7815&gt;J7815,"Y","N")</f>
        <v>Y</v>
      </c>
      <c r="G7815" s="3" t="s">
        <v>36</v>
      </c>
      <c r="H7815" s="3" t="s">
        <v>37</v>
      </c>
      <c r="I7815" s="4" t="n">
        <v>16</v>
      </c>
      <c r="J7815" s="4" t="n">
        <f aca="false">LEN(E7815)-LEN(SUBSTITUTE(E7815,",",""))+1</f>
        <v>7</v>
      </c>
      <c r="K7815" s="3" t="str">
        <f aca="false">IFERROR(INDEX('Teacher Lookup'!$B$2:$B$200,MATCH(A7815,'Teacher Lookup'!$A$2:$A$200,0)),"")</f>
        <v>CHU Nick</v>
      </c>
    </row>
    <row r="7816" customFormat="false" ht="15" hidden="false" customHeight="false" outlineLevel="0" collapsed="false">
      <c r="A7816" s="3" t="s">
        <v>487</v>
      </c>
      <c r="B7816" s="4" t="s">
        <v>44</v>
      </c>
      <c r="C7816" s="4" t="n">
        <v>5</v>
      </c>
      <c r="D7816" s="4" t="s">
        <v>55</v>
      </c>
      <c r="E7816" s="3" t="s">
        <v>112</v>
      </c>
      <c r="F7816" s="4" t="str">
        <f aca="false">IF(I7816&gt;J7816,"Y","N")</f>
        <v>Y</v>
      </c>
      <c r="G7816" s="3" t="s">
        <v>36</v>
      </c>
      <c r="H7816" s="3" t="s">
        <v>37</v>
      </c>
      <c r="I7816" s="4" t="n">
        <v>16</v>
      </c>
      <c r="J7816" s="4" t="n">
        <f aca="false">LEN(E7816)-LEN(SUBSTITUTE(E7816,",",""))+1</f>
        <v>7</v>
      </c>
      <c r="K7816" s="3" t="str">
        <f aca="false">IFERROR(INDEX('Teacher Lookup'!$B$2:$B$200,MATCH(A7816,'Teacher Lookup'!$A$2:$A$200,0)),"")</f>
        <v>CHU Nick</v>
      </c>
    </row>
    <row r="7817" customFormat="false" ht="15" hidden="false" customHeight="false" outlineLevel="0" collapsed="false">
      <c r="A7817" s="3" t="s">
        <v>487</v>
      </c>
      <c r="B7817" s="4" t="s">
        <v>44</v>
      </c>
      <c r="C7817" s="4" t="n">
        <v>5</v>
      </c>
      <c r="D7817" s="4" t="s">
        <v>56</v>
      </c>
      <c r="E7817" s="3" t="s">
        <v>112</v>
      </c>
      <c r="F7817" s="4" t="str">
        <f aca="false">IF(I7817&gt;J7817,"Y","N")</f>
        <v>Y</v>
      </c>
      <c r="G7817" s="3" t="s">
        <v>36</v>
      </c>
      <c r="H7817" s="3" t="s">
        <v>37</v>
      </c>
      <c r="I7817" s="4" t="n">
        <v>16</v>
      </c>
      <c r="J7817" s="4" t="n">
        <f aca="false">LEN(E7817)-LEN(SUBSTITUTE(E7817,",",""))+1</f>
        <v>7</v>
      </c>
      <c r="K7817" s="3" t="str">
        <f aca="false">IFERROR(INDEX('Teacher Lookup'!$B$2:$B$200,MATCH(A7817,'Teacher Lookup'!$A$2:$A$200,0)),"")</f>
        <v>CHU Nick</v>
      </c>
    </row>
    <row r="7818" customFormat="false" ht="15" hidden="false" customHeight="false" outlineLevel="0" collapsed="false">
      <c r="A7818" s="3" t="s">
        <v>487</v>
      </c>
      <c r="B7818" s="4" t="s">
        <v>44</v>
      </c>
      <c r="C7818" s="4" t="n">
        <v>5</v>
      </c>
      <c r="D7818" s="4" t="s">
        <v>57</v>
      </c>
      <c r="E7818" s="3" t="s">
        <v>112</v>
      </c>
      <c r="F7818" s="4" t="str">
        <f aca="false">IF(I7818&gt;J7818,"Y","N")</f>
        <v>Y</v>
      </c>
      <c r="G7818" s="3" t="s">
        <v>36</v>
      </c>
      <c r="H7818" s="3" t="s">
        <v>37</v>
      </c>
      <c r="I7818" s="4" t="n">
        <v>16</v>
      </c>
      <c r="J7818" s="4" t="n">
        <f aca="false">LEN(E7818)-LEN(SUBSTITUTE(E7818,",",""))+1</f>
        <v>7</v>
      </c>
      <c r="K7818" s="3" t="str">
        <f aca="false">IFERROR(INDEX('Teacher Lookup'!$B$2:$B$200,MATCH(A7818,'Teacher Lookup'!$A$2:$A$200,0)),"")</f>
        <v>CHU Nick</v>
      </c>
    </row>
    <row r="7819" customFormat="false" ht="15" hidden="false" customHeight="false" outlineLevel="0" collapsed="false">
      <c r="A7819" s="3" t="s">
        <v>487</v>
      </c>
      <c r="B7819" s="4" t="s">
        <v>44</v>
      </c>
      <c r="C7819" s="4" t="n">
        <v>5</v>
      </c>
      <c r="D7819" s="4" t="s">
        <v>58</v>
      </c>
      <c r="E7819" s="3" t="s">
        <v>112</v>
      </c>
      <c r="F7819" s="4" t="str">
        <f aca="false">IF(I7819&gt;J7819,"Y","N")</f>
        <v>Y</v>
      </c>
      <c r="G7819" s="3" t="s">
        <v>36</v>
      </c>
      <c r="H7819" s="3" t="s">
        <v>37</v>
      </c>
      <c r="I7819" s="4" t="n">
        <v>16</v>
      </c>
      <c r="J7819" s="4" t="n">
        <f aca="false">LEN(E7819)-LEN(SUBSTITUTE(E7819,",",""))+1</f>
        <v>7</v>
      </c>
      <c r="K7819" s="3" t="str">
        <f aca="false">IFERROR(INDEX('Teacher Lookup'!$B$2:$B$200,MATCH(A7819,'Teacher Lookup'!$A$2:$A$200,0)),"")</f>
        <v>CHU Nick</v>
      </c>
    </row>
    <row r="7820" customFormat="false" ht="15" hidden="false" customHeight="false" outlineLevel="0" collapsed="false">
      <c r="A7820" s="3" t="s">
        <v>487</v>
      </c>
      <c r="B7820" s="4" t="s">
        <v>44</v>
      </c>
      <c r="C7820" s="4" t="n">
        <v>5</v>
      </c>
      <c r="D7820" s="4" t="s">
        <v>59</v>
      </c>
      <c r="E7820" s="3" t="s">
        <v>112</v>
      </c>
      <c r="F7820" s="4" t="str">
        <f aca="false">IF(I7820&gt;J7820,"Y","N")</f>
        <v>Y</v>
      </c>
      <c r="G7820" s="3" t="s">
        <v>36</v>
      </c>
      <c r="H7820" s="3" t="s">
        <v>37</v>
      </c>
      <c r="I7820" s="4" t="n">
        <v>16</v>
      </c>
      <c r="J7820" s="4" t="n">
        <f aca="false">LEN(E7820)-LEN(SUBSTITUTE(E7820,",",""))+1</f>
        <v>7</v>
      </c>
      <c r="K7820" s="3" t="str">
        <f aca="false">IFERROR(INDEX('Teacher Lookup'!$B$2:$B$200,MATCH(A7820,'Teacher Lookup'!$A$2:$A$200,0)),"")</f>
        <v>CHU Nick</v>
      </c>
    </row>
    <row r="7821" customFormat="false" ht="15" hidden="false" customHeight="false" outlineLevel="0" collapsed="false">
      <c r="A7821" s="3" t="s">
        <v>487</v>
      </c>
      <c r="B7821" s="4" t="s">
        <v>44</v>
      </c>
      <c r="C7821" s="4" t="n">
        <v>6</v>
      </c>
      <c r="D7821" s="4" t="s">
        <v>59</v>
      </c>
      <c r="E7821" s="3" t="s">
        <v>488</v>
      </c>
      <c r="F7821" s="4" t="str">
        <f aca="false">IF(I7821&gt;J7821,"Y","N")</f>
        <v>N</v>
      </c>
      <c r="G7821" s="3" t="s">
        <v>486</v>
      </c>
      <c r="H7821" s="3" t="s">
        <v>42</v>
      </c>
      <c r="I7821" s="4" t="n">
        <v>1</v>
      </c>
      <c r="J7821" s="4" t="n">
        <f aca="false">LEN(E7821)-LEN(SUBSTITUTE(E7821,",",""))+1</f>
        <v>1</v>
      </c>
      <c r="K7821" s="3" t="str">
        <f aca="false">IFERROR(INDEX('Teacher Lookup'!$B$2:$B$200,MATCH(A7821,'Teacher Lookup'!$A$2:$A$200,0)),"")</f>
        <v>CHU Nick</v>
      </c>
    </row>
    <row r="7822" customFormat="false" ht="15" hidden="false" customHeight="false" outlineLevel="0" collapsed="false">
      <c r="A7822" s="3" t="s">
        <v>487</v>
      </c>
      <c r="B7822" s="4" t="s">
        <v>44</v>
      </c>
      <c r="C7822" s="4" t="n">
        <v>7</v>
      </c>
      <c r="D7822" s="4" t="s">
        <v>52</v>
      </c>
      <c r="E7822" s="3" t="s">
        <v>243</v>
      </c>
      <c r="F7822" s="4" t="str">
        <f aca="false">IF(I7822&gt;J7822,"Y","N")</f>
        <v>N</v>
      </c>
      <c r="G7822" s="3" t="s">
        <v>239</v>
      </c>
      <c r="H7822" s="3" t="s">
        <v>39</v>
      </c>
      <c r="I7822" s="4" t="n">
        <v>7</v>
      </c>
      <c r="J7822" s="4" t="n">
        <f aca="false">LEN(E7822)-LEN(SUBSTITUTE(E7822,",",""))+1</f>
        <v>7</v>
      </c>
      <c r="K7822" s="3" t="str">
        <f aca="false">IFERROR(INDEX('Teacher Lookup'!$B$2:$B$200,MATCH(A7822,'Teacher Lookup'!$A$2:$A$200,0)),"")</f>
        <v>CHU Nick</v>
      </c>
    </row>
    <row r="7823" customFormat="false" ht="15" hidden="false" customHeight="false" outlineLevel="0" collapsed="false">
      <c r="A7823" s="3" t="s">
        <v>487</v>
      </c>
      <c r="B7823" s="4" t="s">
        <v>44</v>
      </c>
      <c r="C7823" s="4" t="n">
        <v>7</v>
      </c>
      <c r="D7823" s="4" t="s">
        <v>55</v>
      </c>
      <c r="E7823" s="3" t="s">
        <v>243</v>
      </c>
      <c r="F7823" s="4" t="str">
        <f aca="false">IF(I7823&gt;J7823,"Y","N")</f>
        <v>N</v>
      </c>
      <c r="G7823" s="3" t="s">
        <v>239</v>
      </c>
      <c r="H7823" s="3" t="s">
        <v>39</v>
      </c>
      <c r="I7823" s="4" t="n">
        <v>7</v>
      </c>
      <c r="J7823" s="4" t="n">
        <f aca="false">LEN(E7823)-LEN(SUBSTITUTE(E7823,",",""))+1</f>
        <v>7</v>
      </c>
      <c r="K7823" s="3" t="str">
        <f aca="false">IFERROR(INDEX('Teacher Lookup'!$B$2:$B$200,MATCH(A7823,'Teacher Lookup'!$A$2:$A$200,0)),"")</f>
        <v>CHU Nick</v>
      </c>
    </row>
    <row r="7824" customFormat="false" ht="15" hidden="false" customHeight="false" outlineLevel="0" collapsed="false">
      <c r="A7824" s="3" t="s">
        <v>487</v>
      </c>
      <c r="B7824" s="4" t="s">
        <v>44</v>
      </c>
      <c r="C7824" s="4" t="n">
        <v>7</v>
      </c>
      <c r="D7824" s="4" t="s">
        <v>56</v>
      </c>
      <c r="E7824" s="3" t="s">
        <v>243</v>
      </c>
      <c r="F7824" s="4" t="str">
        <f aca="false">IF(I7824&gt;J7824,"Y","N")</f>
        <v>N</v>
      </c>
      <c r="G7824" s="3" t="s">
        <v>239</v>
      </c>
      <c r="H7824" s="3" t="s">
        <v>39</v>
      </c>
      <c r="I7824" s="4" t="n">
        <v>7</v>
      </c>
      <c r="J7824" s="4" t="n">
        <f aca="false">LEN(E7824)-LEN(SUBSTITUTE(E7824,",",""))+1</f>
        <v>7</v>
      </c>
      <c r="K7824" s="3" t="str">
        <f aca="false">IFERROR(INDEX('Teacher Lookup'!$B$2:$B$200,MATCH(A7824,'Teacher Lookup'!$A$2:$A$200,0)),"")</f>
        <v>CHU Nick</v>
      </c>
    </row>
    <row r="7825" customFormat="false" ht="15" hidden="false" customHeight="false" outlineLevel="0" collapsed="false">
      <c r="A7825" s="3" t="s">
        <v>487</v>
      </c>
      <c r="B7825" s="4" t="s">
        <v>44</v>
      </c>
      <c r="C7825" s="4" t="n">
        <v>7</v>
      </c>
      <c r="D7825" s="4" t="s">
        <v>57</v>
      </c>
      <c r="E7825" s="3" t="s">
        <v>243</v>
      </c>
      <c r="F7825" s="4" t="str">
        <f aca="false">IF(I7825&gt;J7825,"Y","N")</f>
        <v>N</v>
      </c>
      <c r="G7825" s="3" t="s">
        <v>239</v>
      </c>
      <c r="H7825" s="3" t="s">
        <v>39</v>
      </c>
      <c r="I7825" s="4" t="n">
        <v>7</v>
      </c>
      <c r="J7825" s="4" t="n">
        <f aca="false">LEN(E7825)-LEN(SUBSTITUTE(E7825,",",""))+1</f>
        <v>7</v>
      </c>
      <c r="K7825" s="3" t="str">
        <f aca="false">IFERROR(INDEX('Teacher Lookup'!$B$2:$B$200,MATCH(A7825,'Teacher Lookup'!$A$2:$A$200,0)),"")</f>
        <v>CHU Nick</v>
      </c>
    </row>
    <row r="7826" customFormat="false" ht="15" hidden="false" customHeight="false" outlineLevel="0" collapsed="false">
      <c r="A7826" s="3" t="s">
        <v>487</v>
      </c>
      <c r="B7826" s="4" t="s">
        <v>44</v>
      </c>
      <c r="C7826" s="4" t="n">
        <v>7</v>
      </c>
      <c r="D7826" s="4" t="s">
        <v>58</v>
      </c>
      <c r="E7826" s="3" t="s">
        <v>243</v>
      </c>
      <c r="F7826" s="4" t="str">
        <f aca="false">IF(I7826&gt;J7826,"Y","N")</f>
        <v>N</v>
      </c>
      <c r="G7826" s="3" t="s">
        <v>239</v>
      </c>
      <c r="H7826" s="3" t="s">
        <v>39</v>
      </c>
      <c r="I7826" s="4" t="n">
        <v>7</v>
      </c>
      <c r="J7826" s="4" t="n">
        <f aca="false">LEN(E7826)-LEN(SUBSTITUTE(E7826,",",""))+1</f>
        <v>7</v>
      </c>
      <c r="K7826" s="3" t="str">
        <f aca="false">IFERROR(INDEX('Teacher Lookup'!$B$2:$B$200,MATCH(A7826,'Teacher Lookup'!$A$2:$A$200,0)),"")</f>
        <v>CHU Nick</v>
      </c>
    </row>
    <row r="7827" customFormat="false" ht="15" hidden="false" customHeight="false" outlineLevel="0" collapsed="false">
      <c r="A7827" s="3" t="s">
        <v>487</v>
      </c>
      <c r="B7827" s="4" t="s">
        <v>44</v>
      </c>
      <c r="C7827" s="4" t="n">
        <v>7</v>
      </c>
      <c r="D7827" s="4" t="s">
        <v>59</v>
      </c>
      <c r="E7827" s="3" t="s">
        <v>243</v>
      </c>
      <c r="F7827" s="4" t="str">
        <f aca="false">IF(I7827&gt;J7827,"Y","N")</f>
        <v>N</v>
      </c>
      <c r="G7827" s="3" t="s">
        <v>239</v>
      </c>
      <c r="H7827" s="3" t="s">
        <v>39</v>
      </c>
      <c r="I7827" s="4" t="n">
        <v>7</v>
      </c>
      <c r="J7827" s="4" t="n">
        <f aca="false">LEN(E7827)-LEN(SUBSTITUTE(E7827,",",""))+1</f>
        <v>7</v>
      </c>
      <c r="K7827" s="3" t="str">
        <f aca="false">IFERROR(INDEX('Teacher Lookup'!$B$2:$B$200,MATCH(A7827,'Teacher Lookup'!$A$2:$A$200,0)),"")</f>
        <v>CHU Nick</v>
      </c>
    </row>
    <row r="7828" customFormat="false" ht="15" hidden="false" customHeight="false" outlineLevel="0" collapsed="false">
      <c r="A7828" s="3" t="s">
        <v>487</v>
      </c>
      <c r="B7828" s="4" t="s">
        <v>47</v>
      </c>
      <c r="C7828" s="4" t="n">
        <v>2</v>
      </c>
      <c r="D7828" s="4" t="s">
        <v>102</v>
      </c>
      <c r="E7828" s="3" t="s">
        <v>315</v>
      </c>
      <c r="F7828" s="4" t="str">
        <f aca="false">IF(I7828&gt;J7828,"Y","N")</f>
        <v>Y</v>
      </c>
      <c r="G7828" s="3" t="s">
        <v>310</v>
      </c>
      <c r="H7828" s="3" t="s">
        <v>21</v>
      </c>
      <c r="I7828" s="4" t="n">
        <v>7</v>
      </c>
      <c r="J7828" s="4" t="n">
        <f aca="false">LEN(E7828)-LEN(SUBSTITUTE(E7828,",",""))+1</f>
        <v>6</v>
      </c>
      <c r="K7828" s="3" t="str">
        <f aca="false">IFERROR(INDEX('Teacher Lookup'!$B$2:$B$200,MATCH(A7828,'Teacher Lookup'!$A$2:$A$200,0)),"")</f>
        <v>CHU Nick</v>
      </c>
    </row>
    <row r="7829" customFormat="false" ht="15" hidden="false" customHeight="false" outlineLevel="0" collapsed="false">
      <c r="A7829" s="3" t="s">
        <v>487</v>
      </c>
      <c r="B7829" s="4" t="s">
        <v>47</v>
      </c>
      <c r="C7829" s="4" t="n">
        <v>2</v>
      </c>
      <c r="D7829" s="4" t="s">
        <v>105</v>
      </c>
      <c r="E7829" s="3" t="s">
        <v>315</v>
      </c>
      <c r="F7829" s="4" t="str">
        <f aca="false">IF(I7829&gt;J7829,"Y","N")</f>
        <v>Y</v>
      </c>
      <c r="G7829" s="3" t="s">
        <v>310</v>
      </c>
      <c r="H7829" s="3" t="s">
        <v>21</v>
      </c>
      <c r="I7829" s="4" t="n">
        <v>7</v>
      </c>
      <c r="J7829" s="4" t="n">
        <f aca="false">LEN(E7829)-LEN(SUBSTITUTE(E7829,",",""))+1</f>
        <v>6</v>
      </c>
      <c r="K7829" s="3" t="str">
        <f aca="false">IFERROR(INDEX('Teacher Lookup'!$B$2:$B$200,MATCH(A7829,'Teacher Lookup'!$A$2:$A$200,0)),"")</f>
        <v>CHU Nick</v>
      </c>
    </row>
    <row r="7830" customFormat="false" ht="15" hidden="false" customHeight="false" outlineLevel="0" collapsed="false">
      <c r="A7830" s="3" t="s">
        <v>487</v>
      </c>
      <c r="B7830" s="4" t="s">
        <v>47</v>
      </c>
      <c r="C7830" s="4" t="n">
        <v>2</v>
      </c>
      <c r="D7830" s="4" t="s">
        <v>106</v>
      </c>
      <c r="E7830" s="3" t="s">
        <v>315</v>
      </c>
      <c r="F7830" s="4" t="str">
        <f aca="false">IF(I7830&gt;J7830,"Y","N")</f>
        <v>Y</v>
      </c>
      <c r="G7830" s="3" t="s">
        <v>310</v>
      </c>
      <c r="H7830" s="3" t="s">
        <v>21</v>
      </c>
      <c r="I7830" s="4" t="n">
        <v>7</v>
      </c>
      <c r="J7830" s="4" t="n">
        <f aca="false">LEN(E7830)-LEN(SUBSTITUTE(E7830,",",""))+1</f>
        <v>6</v>
      </c>
      <c r="K7830" s="3" t="str">
        <f aca="false">IFERROR(INDEX('Teacher Lookup'!$B$2:$B$200,MATCH(A7830,'Teacher Lookup'!$A$2:$A$200,0)),"")</f>
        <v>CHU Nick</v>
      </c>
    </row>
    <row r="7831" customFormat="false" ht="15" hidden="false" customHeight="false" outlineLevel="0" collapsed="false">
      <c r="A7831" s="3" t="s">
        <v>487</v>
      </c>
      <c r="B7831" s="4" t="s">
        <v>47</v>
      </c>
      <c r="C7831" s="4" t="n">
        <v>2</v>
      </c>
      <c r="D7831" s="4" t="s">
        <v>107</v>
      </c>
      <c r="E7831" s="3" t="s">
        <v>315</v>
      </c>
      <c r="F7831" s="4" t="str">
        <f aca="false">IF(I7831&gt;J7831,"Y","N")</f>
        <v>Y</v>
      </c>
      <c r="G7831" s="3" t="s">
        <v>310</v>
      </c>
      <c r="H7831" s="3" t="s">
        <v>21</v>
      </c>
      <c r="I7831" s="4" t="n">
        <v>7</v>
      </c>
      <c r="J7831" s="4" t="n">
        <f aca="false">LEN(E7831)-LEN(SUBSTITUTE(E7831,",",""))+1</f>
        <v>6</v>
      </c>
      <c r="K7831" s="3" t="str">
        <f aca="false">IFERROR(INDEX('Teacher Lookup'!$B$2:$B$200,MATCH(A7831,'Teacher Lookup'!$A$2:$A$200,0)),"")</f>
        <v>CHU Nick</v>
      </c>
    </row>
    <row r="7832" customFormat="false" ht="15" hidden="false" customHeight="false" outlineLevel="0" collapsed="false">
      <c r="A7832" s="3" t="s">
        <v>487</v>
      </c>
      <c r="B7832" s="4" t="s">
        <v>47</v>
      </c>
      <c r="C7832" s="4" t="n">
        <v>3</v>
      </c>
      <c r="D7832" s="4" t="s">
        <v>24</v>
      </c>
      <c r="E7832" s="3" t="s">
        <v>381</v>
      </c>
      <c r="F7832" s="4" t="str">
        <f aca="false">IF(I7832&gt;J7832,"Y","N")</f>
        <v>N</v>
      </c>
      <c r="G7832" s="3" t="s">
        <v>378</v>
      </c>
      <c r="H7832" s="3" t="s">
        <v>26</v>
      </c>
      <c r="I7832" s="4" t="n">
        <v>8</v>
      </c>
      <c r="J7832" s="4" t="n">
        <f aca="false">LEN(E7832)-LEN(SUBSTITUTE(E7832,",",""))+1</f>
        <v>8</v>
      </c>
      <c r="K7832" s="3" t="str">
        <f aca="false">IFERROR(INDEX('Teacher Lookup'!$B$2:$B$200,MATCH(A7832,'Teacher Lookup'!$A$2:$A$200,0)),"")</f>
        <v>CHU Nick</v>
      </c>
    </row>
    <row r="7833" customFormat="false" ht="15" hidden="false" customHeight="false" outlineLevel="0" collapsed="false">
      <c r="A7833" s="3" t="s">
        <v>487</v>
      </c>
      <c r="B7833" s="4" t="s">
        <v>47</v>
      </c>
      <c r="C7833" s="4" t="n">
        <v>3</v>
      </c>
      <c r="D7833" s="4" t="s">
        <v>27</v>
      </c>
      <c r="E7833" s="3" t="s">
        <v>381</v>
      </c>
      <c r="F7833" s="4" t="str">
        <f aca="false">IF(I7833&gt;J7833,"Y","N")</f>
        <v>N</v>
      </c>
      <c r="G7833" s="3" t="s">
        <v>378</v>
      </c>
      <c r="H7833" s="3" t="s">
        <v>26</v>
      </c>
      <c r="I7833" s="4" t="n">
        <v>8</v>
      </c>
      <c r="J7833" s="4" t="n">
        <f aca="false">LEN(E7833)-LEN(SUBSTITUTE(E7833,",",""))+1</f>
        <v>8</v>
      </c>
      <c r="K7833" s="3" t="str">
        <f aca="false">IFERROR(INDEX('Teacher Lookup'!$B$2:$B$200,MATCH(A7833,'Teacher Lookup'!$A$2:$A$200,0)),"")</f>
        <v>CHU Nick</v>
      </c>
    </row>
    <row r="7834" customFormat="false" ht="15" hidden="false" customHeight="false" outlineLevel="0" collapsed="false">
      <c r="A7834" s="3" t="s">
        <v>487</v>
      </c>
      <c r="B7834" s="4" t="s">
        <v>47</v>
      </c>
      <c r="C7834" s="4" t="n">
        <v>3</v>
      </c>
      <c r="D7834" s="4" t="s">
        <v>28</v>
      </c>
      <c r="E7834" s="3" t="s">
        <v>381</v>
      </c>
      <c r="F7834" s="4" t="str">
        <f aca="false">IF(I7834&gt;J7834,"Y","N")</f>
        <v>N</v>
      </c>
      <c r="G7834" s="3" t="s">
        <v>378</v>
      </c>
      <c r="H7834" s="3" t="s">
        <v>26</v>
      </c>
      <c r="I7834" s="4" t="n">
        <v>8</v>
      </c>
      <c r="J7834" s="4" t="n">
        <f aca="false">LEN(E7834)-LEN(SUBSTITUTE(E7834,",",""))+1</f>
        <v>8</v>
      </c>
      <c r="K7834" s="3" t="str">
        <f aca="false">IFERROR(INDEX('Teacher Lookup'!$B$2:$B$200,MATCH(A7834,'Teacher Lookup'!$A$2:$A$200,0)),"")</f>
        <v>CHU Nick</v>
      </c>
    </row>
    <row r="7835" customFormat="false" ht="15" hidden="false" customHeight="false" outlineLevel="0" collapsed="false">
      <c r="A7835" s="3" t="s">
        <v>487</v>
      </c>
      <c r="B7835" s="4" t="s">
        <v>47</v>
      </c>
      <c r="C7835" s="4" t="n">
        <v>3</v>
      </c>
      <c r="D7835" s="4" t="s">
        <v>29</v>
      </c>
      <c r="E7835" s="3" t="s">
        <v>381</v>
      </c>
      <c r="F7835" s="4" t="str">
        <f aca="false">IF(I7835&gt;J7835,"Y","N")</f>
        <v>N</v>
      </c>
      <c r="G7835" s="3" t="s">
        <v>378</v>
      </c>
      <c r="H7835" s="3" t="s">
        <v>26</v>
      </c>
      <c r="I7835" s="4" t="n">
        <v>8</v>
      </c>
      <c r="J7835" s="4" t="n">
        <f aca="false">LEN(E7835)-LEN(SUBSTITUTE(E7835,",",""))+1</f>
        <v>8</v>
      </c>
      <c r="K7835" s="3" t="str">
        <f aca="false">IFERROR(INDEX('Teacher Lookup'!$B$2:$B$200,MATCH(A7835,'Teacher Lookup'!$A$2:$A$200,0)),"")</f>
        <v>CHU Nick</v>
      </c>
    </row>
    <row r="7836" customFormat="false" ht="15" hidden="false" customHeight="false" outlineLevel="0" collapsed="false">
      <c r="A7836" s="3" t="s">
        <v>487</v>
      </c>
      <c r="B7836" s="4" t="s">
        <v>47</v>
      </c>
      <c r="C7836" s="4" t="n">
        <v>3</v>
      </c>
      <c r="D7836" s="4" t="s">
        <v>30</v>
      </c>
      <c r="E7836" s="3" t="s">
        <v>381</v>
      </c>
      <c r="F7836" s="4" t="str">
        <f aca="false">IF(I7836&gt;J7836,"Y","N")</f>
        <v>N</v>
      </c>
      <c r="G7836" s="3" t="s">
        <v>378</v>
      </c>
      <c r="H7836" s="3" t="s">
        <v>26</v>
      </c>
      <c r="I7836" s="4" t="n">
        <v>8</v>
      </c>
      <c r="J7836" s="4" t="n">
        <f aca="false">LEN(E7836)-LEN(SUBSTITUTE(E7836,",",""))+1</f>
        <v>8</v>
      </c>
      <c r="K7836" s="3" t="str">
        <f aca="false">IFERROR(INDEX('Teacher Lookup'!$B$2:$B$200,MATCH(A7836,'Teacher Lookup'!$A$2:$A$200,0)),"")</f>
        <v>CHU Nick</v>
      </c>
    </row>
    <row r="7837" customFormat="false" ht="15" hidden="false" customHeight="false" outlineLevel="0" collapsed="false">
      <c r="A7837" s="3" t="s">
        <v>487</v>
      </c>
      <c r="B7837" s="4" t="s">
        <v>47</v>
      </c>
      <c r="C7837" s="4" t="n">
        <v>4</v>
      </c>
      <c r="D7837" s="4" t="s">
        <v>24</v>
      </c>
      <c r="E7837" s="3" t="s">
        <v>381</v>
      </c>
      <c r="F7837" s="4" t="str">
        <f aca="false">IF(I7837&gt;J7837,"Y","N")</f>
        <v>N</v>
      </c>
      <c r="G7837" s="3" t="s">
        <v>378</v>
      </c>
      <c r="H7837" s="3" t="s">
        <v>34</v>
      </c>
      <c r="I7837" s="4" t="n">
        <v>8</v>
      </c>
      <c r="J7837" s="4" t="n">
        <f aca="false">LEN(E7837)-LEN(SUBSTITUTE(E7837,",",""))+1</f>
        <v>8</v>
      </c>
      <c r="K7837" s="3" t="str">
        <f aca="false">IFERROR(INDEX('Teacher Lookup'!$B$2:$B$200,MATCH(A7837,'Teacher Lookup'!$A$2:$A$200,0)),"")</f>
        <v>CHU Nick</v>
      </c>
    </row>
    <row r="7838" customFormat="false" ht="15" hidden="false" customHeight="false" outlineLevel="0" collapsed="false">
      <c r="A7838" s="3" t="s">
        <v>487</v>
      </c>
      <c r="B7838" s="4" t="s">
        <v>47</v>
      </c>
      <c r="C7838" s="4" t="n">
        <v>4</v>
      </c>
      <c r="D7838" s="4" t="s">
        <v>27</v>
      </c>
      <c r="E7838" s="3" t="s">
        <v>381</v>
      </c>
      <c r="F7838" s="4" t="str">
        <f aca="false">IF(I7838&gt;J7838,"Y","N")</f>
        <v>N</v>
      </c>
      <c r="G7838" s="3" t="s">
        <v>378</v>
      </c>
      <c r="H7838" s="3" t="s">
        <v>34</v>
      </c>
      <c r="I7838" s="4" t="n">
        <v>8</v>
      </c>
      <c r="J7838" s="4" t="n">
        <f aca="false">LEN(E7838)-LEN(SUBSTITUTE(E7838,",",""))+1</f>
        <v>8</v>
      </c>
      <c r="K7838" s="3" t="str">
        <f aca="false">IFERROR(INDEX('Teacher Lookup'!$B$2:$B$200,MATCH(A7838,'Teacher Lookup'!$A$2:$A$200,0)),"")</f>
        <v>CHU Nick</v>
      </c>
    </row>
    <row r="7839" customFormat="false" ht="15" hidden="false" customHeight="false" outlineLevel="0" collapsed="false">
      <c r="A7839" s="3" t="s">
        <v>487</v>
      </c>
      <c r="B7839" s="4" t="s">
        <v>47</v>
      </c>
      <c r="C7839" s="4" t="n">
        <v>4</v>
      </c>
      <c r="D7839" s="4" t="s">
        <v>28</v>
      </c>
      <c r="E7839" s="3" t="s">
        <v>381</v>
      </c>
      <c r="F7839" s="4" t="str">
        <f aca="false">IF(I7839&gt;J7839,"Y","N")</f>
        <v>N</v>
      </c>
      <c r="G7839" s="3" t="s">
        <v>378</v>
      </c>
      <c r="H7839" s="3" t="s">
        <v>34</v>
      </c>
      <c r="I7839" s="4" t="n">
        <v>8</v>
      </c>
      <c r="J7839" s="4" t="n">
        <f aca="false">LEN(E7839)-LEN(SUBSTITUTE(E7839,",",""))+1</f>
        <v>8</v>
      </c>
      <c r="K7839" s="3" t="str">
        <f aca="false">IFERROR(INDEX('Teacher Lookup'!$B$2:$B$200,MATCH(A7839,'Teacher Lookup'!$A$2:$A$200,0)),"")</f>
        <v>CHU Nick</v>
      </c>
    </row>
    <row r="7840" customFormat="false" ht="15" hidden="false" customHeight="false" outlineLevel="0" collapsed="false">
      <c r="A7840" s="3" t="s">
        <v>487</v>
      </c>
      <c r="B7840" s="4" t="s">
        <v>47</v>
      </c>
      <c r="C7840" s="4" t="n">
        <v>4</v>
      </c>
      <c r="D7840" s="4" t="s">
        <v>29</v>
      </c>
      <c r="E7840" s="3" t="s">
        <v>381</v>
      </c>
      <c r="F7840" s="4" t="str">
        <f aca="false">IF(I7840&gt;J7840,"Y","N")</f>
        <v>N</v>
      </c>
      <c r="G7840" s="3" t="s">
        <v>378</v>
      </c>
      <c r="H7840" s="3" t="s">
        <v>34</v>
      </c>
      <c r="I7840" s="4" t="n">
        <v>8</v>
      </c>
      <c r="J7840" s="4" t="n">
        <f aca="false">LEN(E7840)-LEN(SUBSTITUTE(E7840,",",""))+1</f>
        <v>8</v>
      </c>
      <c r="K7840" s="3" t="str">
        <f aca="false">IFERROR(INDEX('Teacher Lookup'!$B$2:$B$200,MATCH(A7840,'Teacher Lookup'!$A$2:$A$200,0)),"")</f>
        <v>CHU Nick</v>
      </c>
    </row>
    <row r="7841" customFormat="false" ht="15" hidden="false" customHeight="false" outlineLevel="0" collapsed="false">
      <c r="A7841" s="3" t="s">
        <v>487</v>
      </c>
      <c r="B7841" s="4" t="s">
        <v>47</v>
      </c>
      <c r="C7841" s="4" t="n">
        <v>4</v>
      </c>
      <c r="D7841" s="4" t="s">
        <v>30</v>
      </c>
      <c r="E7841" s="3" t="s">
        <v>381</v>
      </c>
      <c r="F7841" s="4" t="str">
        <f aca="false">IF(I7841&gt;J7841,"Y","N")</f>
        <v>N</v>
      </c>
      <c r="G7841" s="3" t="s">
        <v>378</v>
      </c>
      <c r="H7841" s="3" t="s">
        <v>34</v>
      </c>
      <c r="I7841" s="4" t="n">
        <v>8</v>
      </c>
      <c r="J7841" s="4" t="n">
        <f aca="false">LEN(E7841)-LEN(SUBSTITUTE(E7841,",",""))+1</f>
        <v>8</v>
      </c>
      <c r="K7841" s="3" t="str">
        <f aca="false">IFERROR(INDEX('Teacher Lookup'!$B$2:$B$200,MATCH(A7841,'Teacher Lookup'!$A$2:$A$200,0)),"")</f>
        <v>CHU Nick</v>
      </c>
    </row>
    <row r="7842" customFormat="false" ht="15" hidden="false" customHeight="false" outlineLevel="0" collapsed="false">
      <c r="A7842" s="3" t="s">
        <v>487</v>
      </c>
      <c r="B7842" s="4" t="s">
        <v>47</v>
      </c>
      <c r="C7842" s="4" t="n">
        <v>5</v>
      </c>
      <c r="D7842" s="4" t="s">
        <v>59</v>
      </c>
      <c r="E7842" s="3" t="s">
        <v>488</v>
      </c>
      <c r="F7842" s="4" t="str">
        <f aca="false">IF(I7842&gt;J7842,"Y","N")</f>
        <v>N</v>
      </c>
      <c r="G7842" s="3" t="s">
        <v>486</v>
      </c>
      <c r="H7842" s="3" t="s">
        <v>37</v>
      </c>
      <c r="I7842" s="4" t="n">
        <v>1</v>
      </c>
      <c r="J7842" s="4" t="n">
        <f aca="false">LEN(E7842)-LEN(SUBSTITUTE(E7842,",",""))+1</f>
        <v>1</v>
      </c>
      <c r="K7842" s="3" t="str">
        <f aca="false">IFERROR(INDEX('Teacher Lookup'!$B$2:$B$200,MATCH(A7842,'Teacher Lookup'!$A$2:$A$200,0)),"")</f>
        <v>CHU Nick</v>
      </c>
    </row>
    <row r="7843" customFormat="false" ht="15" hidden="false" customHeight="false" outlineLevel="0" collapsed="false">
      <c r="A7843" s="3" t="s">
        <v>487</v>
      </c>
      <c r="B7843" s="4" t="s">
        <v>47</v>
      </c>
      <c r="C7843" s="4" t="n">
        <v>7</v>
      </c>
      <c r="D7843" s="4" t="s">
        <v>52</v>
      </c>
      <c r="E7843" s="3" t="s">
        <v>244</v>
      </c>
      <c r="F7843" s="4" t="str">
        <f aca="false">IF(I7843&gt;J7843,"Y","N")</f>
        <v>N</v>
      </c>
      <c r="G7843" s="3" t="s">
        <v>239</v>
      </c>
      <c r="H7843" s="3" t="s">
        <v>39</v>
      </c>
      <c r="I7843" s="4" t="n">
        <v>7</v>
      </c>
      <c r="J7843" s="4" t="n">
        <f aca="false">LEN(E7843)-LEN(SUBSTITUTE(E7843,",",""))+1</f>
        <v>7</v>
      </c>
      <c r="K7843" s="3" t="str">
        <f aca="false">IFERROR(INDEX('Teacher Lookup'!$B$2:$B$200,MATCH(A7843,'Teacher Lookup'!$A$2:$A$200,0)),"")</f>
        <v>CHU Nick</v>
      </c>
    </row>
    <row r="7844" customFormat="false" ht="15" hidden="false" customHeight="false" outlineLevel="0" collapsed="false">
      <c r="A7844" s="3" t="s">
        <v>487</v>
      </c>
      <c r="B7844" s="4" t="s">
        <v>47</v>
      </c>
      <c r="C7844" s="4" t="n">
        <v>7</v>
      </c>
      <c r="D7844" s="4" t="s">
        <v>55</v>
      </c>
      <c r="E7844" s="3" t="s">
        <v>244</v>
      </c>
      <c r="F7844" s="4" t="str">
        <f aca="false">IF(I7844&gt;J7844,"Y","N")</f>
        <v>N</v>
      </c>
      <c r="G7844" s="3" t="s">
        <v>239</v>
      </c>
      <c r="H7844" s="3" t="s">
        <v>39</v>
      </c>
      <c r="I7844" s="4" t="n">
        <v>7</v>
      </c>
      <c r="J7844" s="4" t="n">
        <f aca="false">LEN(E7844)-LEN(SUBSTITUTE(E7844,",",""))+1</f>
        <v>7</v>
      </c>
      <c r="K7844" s="3" t="str">
        <f aca="false">IFERROR(INDEX('Teacher Lookup'!$B$2:$B$200,MATCH(A7844,'Teacher Lookup'!$A$2:$A$200,0)),"")</f>
        <v>CHU Nick</v>
      </c>
    </row>
    <row r="7845" customFormat="false" ht="15" hidden="false" customHeight="false" outlineLevel="0" collapsed="false">
      <c r="A7845" s="3" t="s">
        <v>487</v>
      </c>
      <c r="B7845" s="4" t="s">
        <v>47</v>
      </c>
      <c r="C7845" s="4" t="n">
        <v>7</v>
      </c>
      <c r="D7845" s="4" t="s">
        <v>56</v>
      </c>
      <c r="E7845" s="3" t="s">
        <v>244</v>
      </c>
      <c r="F7845" s="4" t="str">
        <f aca="false">IF(I7845&gt;J7845,"Y","N")</f>
        <v>N</v>
      </c>
      <c r="G7845" s="3" t="s">
        <v>239</v>
      </c>
      <c r="H7845" s="3" t="s">
        <v>39</v>
      </c>
      <c r="I7845" s="4" t="n">
        <v>7</v>
      </c>
      <c r="J7845" s="4" t="n">
        <f aca="false">LEN(E7845)-LEN(SUBSTITUTE(E7845,",",""))+1</f>
        <v>7</v>
      </c>
      <c r="K7845" s="3" t="str">
        <f aca="false">IFERROR(INDEX('Teacher Lookup'!$B$2:$B$200,MATCH(A7845,'Teacher Lookup'!$A$2:$A$200,0)),"")</f>
        <v>CHU Nick</v>
      </c>
    </row>
    <row r="7846" customFormat="false" ht="15" hidden="false" customHeight="false" outlineLevel="0" collapsed="false">
      <c r="A7846" s="3" t="s">
        <v>487</v>
      </c>
      <c r="B7846" s="4" t="s">
        <v>47</v>
      </c>
      <c r="C7846" s="4" t="n">
        <v>7</v>
      </c>
      <c r="D7846" s="4" t="s">
        <v>57</v>
      </c>
      <c r="E7846" s="3" t="s">
        <v>244</v>
      </c>
      <c r="F7846" s="4" t="str">
        <f aca="false">IF(I7846&gt;J7846,"Y","N")</f>
        <v>N</v>
      </c>
      <c r="G7846" s="3" t="s">
        <v>239</v>
      </c>
      <c r="H7846" s="3" t="s">
        <v>39</v>
      </c>
      <c r="I7846" s="4" t="n">
        <v>7</v>
      </c>
      <c r="J7846" s="4" t="n">
        <f aca="false">LEN(E7846)-LEN(SUBSTITUTE(E7846,",",""))+1</f>
        <v>7</v>
      </c>
      <c r="K7846" s="3" t="str">
        <f aca="false">IFERROR(INDEX('Teacher Lookup'!$B$2:$B$200,MATCH(A7846,'Teacher Lookup'!$A$2:$A$200,0)),"")</f>
        <v>CHU Nick</v>
      </c>
    </row>
    <row r="7847" customFormat="false" ht="15" hidden="false" customHeight="false" outlineLevel="0" collapsed="false">
      <c r="A7847" s="3" t="s">
        <v>487</v>
      </c>
      <c r="B7847" s="4" t="s">
        <v>47</v>
      </c>
      <c r="C7847" s="4" t="n">
        <v>7</v>
      </c>
      <c r="D7847" s="4" t="s">
        <v>58</v>
      </c>
      <c r="E7847" s="3" t="s">
        <v>244</v>
      </c>
      <c r="F7847" s="4" t="str">
        <f aca="false">IF(I7847&gt;J7847,"Y","N")</f>
        <v>N</v>
      </c>
      <c r="G7847" s="3" t="s">
        <v>239</v>
      </c>
      <c r="H7847" s="3" t="s">
        <v>39</v>
      </c>
      <c r="I7847" s="4" t="n">
        <v>7</v>
      </c>
      <c r="J7847" s="4" t="n">
        <f aca="false">LEN(E7847)-LEN(SUBSTITUTE(E7847,",",""))+1</f>
        <v>7</v>
      </c>
      <c r="K7847" s="3" t="str">
        <f aca="false">IFERROR(INDEX('Teacher Lookup'!$B$2:$B$200,MATCH(A7847,'Teacher Lookup'!$A$2:$A$200,0)),"")</f>
        <v>CHU Nick</v>
      </c>
    </row>
    <row r="7848" customFormat="false" ht="15" hidden="false" customHeight="false" outlineLevel="0" collapsed="false">
      <c r="A7848" s="3" t="s">
        <v>487</v>
      </c>
      <c r="B7848" s="4" t="s">
        <v>47</v>
      </c>
      <c r="C7848" s="4" t="n">
        <v>7</v>
      </c>
      <c r="D7848" s="4" t="s">
        <v>59</v>
      </c>
      <c r="E7848" s="3" t="s">
        <v>244</v>
      </c>
      <c r="F7848" s="4" t="str">
        <f aca="false">IF(I7848&gt;J7848,"Y","N")</f>
        <v>N</v>
      </c>
      <c r="G7848" s="3" t="s">
        <v>239</v>
      </c>
      <c r="H7848" s="3" t="s">
        <v>39</v>
      </c>
      <c r="I7848" s="4" t="n">
        <v>7</v>
      </c>
      <c r="J7848" s="4" t="n">
        <f aca="false">LEN(E7848)-LEN(SUBSTITUTE(E7848,",",""))+1</f>
        <v>7</v>
      </c>
      <c r="K7848" s="3" t="str">
        <f aca="false">IFERROR(INDEX('Teacher Lookup'!$B$2:$B$200,MATCH(A7848,'Teacher Lookup'!$A$2:$A$200,0)),"")</f>
        <v>CHU Nick</v>
      </c>
    </row>
    <row r="7849" customFormat="false" ht="15" hidden="false" customHeight="false" outlineLevel="0" collapsed="false">
      <c r="A7849" s="3" t="s">
        <v>487</v>
      </c>
      <c r="B7849" s="4" t="s">
        <v>50</v>
      </c>
      <c r="C7849" s="4" t="n">
        <v>1</v>
      </c>
      <c r="D7849" s="4" t="s">
        <v>59</v>
      </c>
      <c r="E7849" s="3" t="s">
        <v>488</v>
      </c>
      <c r="F7849" s="4" t="str">
        <f aca="false">IF(I7849&gt;J7849,"Y","N")</f>
        <v>N</v>
      </c>
      <c r="G7849" s="3" t="s">
        <v>486</v>
      </c>
      <c r="H7849" s="3" t="s">
        <v>16</v>
      </c>
      <c r="I7849" s="4" t="n">
        <v>1</v>
      </c>
      <c r="J7849" s="4" t="n">
        <f aca="false">LEN(E7849)-LEN(SUBSTITUTE(E7849,",",""))+1</f>
        <v>1</v>
      </c>
      <c r="K7849" s="3" t="str">
        <f aca="false">IFERROR(INDEX('Teacher Lookup'!$B$2:$B$200,MATCH(A7849,'Teacher Lookup'!$A$2:$A$200,0)),"")</f>
        <v>CHU Nick</v>
      </c>
    </row>
    <row r="7850" customFormat="false" ht="15" hidden="false" customHeight="false" outlineLevel="0" collapsed="false">
      <c r="A7850" s="3" t="s">
        <v>487</v>
      </c>
      <c r="B7850" s="4" t="s">
        <v>50</v>
      </c>
      <c r="C7850" s="4" t="n">
        <v>3</v>
      </c>
      <c r="D7850" s="4" t="s">
        <v>102</v>
      </c>
      <c r="E7850" s="3" t="s">
        <v>317</v>
      </c>
      <c r="F7850" s="4" t="str">
        <f aca="false">IF(I7850&gt;J7850,"Y","N")</f>
        <v>Y</v>
      </c>
      <c r="G7850" s="3" t="s">
        <v>310</v>
      </c>
      <c r="H7850" s="3" t="s">
        <v>26</v>
      </c>
      <c r="I7850" s="4" t="n">
        <v>7</v>
      </c>
      <c r="J7850" s="4" t="n">
        <f aca="false">LEN(E7850)-LEN(SUBSTITUTE(E7850,",",""))+1</f>
        <v>6</v>
      </c>
      <c r="K7850" s="3" t="str">
        <f aca="false">IFERROR(INDEX('Teacher Lookup'!$B$2:$B$200,MATCH(A7850,'Teacher Lookup'!$A$2:$A$200,0)),"")</f>
        <v>CHU Nick</v>
      </c>
    </row>
    <row r="7851" customFormat="false" ht="15" hidden="false" customHeight="false" outlineLevel="0" collapsed="false">
      <c r="A7851" s="3" t="s">
        <v>487</v>
      </c>
      <c r="B7851" s="4" t="s">
        <v>50</v>
      </c>
      <c r="C7851" s="4" t="n">
        <v>3</v>
      </c>
      <c r="D7851" s="4" t="s">
        <v>105</v>
      </c>
      <c r="E7851" s="3" t="s">
        <v>317</v>
      </c>
      <c r="F7851" s="4" t="str">
        <f aca="false">IF(I7851&gt;J7851,"Y","N")</f>
        <v>Y</v>
      </c>
      <c r="G7851" s="3" t="s">
        <v>310</v>
      </c>
      <c r="H7851" s="3" t="s">
        <v>26</v>
      </c>
      <c r="I7851" s="4" t="n">
        <v>7</v>
      </c>
      <c r="J7851" s="4" t="n">
        <f aca="false">LEN(E7851)-LEN(SUBSTITUTE(E7851,",",""))+1</f>
        <v>6</v>
      </c>
      <c r="K7851" s="3" t="str">
        <f aca="false">IFERROR(INDEX('Teacher Lookup'!$B$2:$B$200,MATCH(A7851,'Teacher Lookup'!$A$2:$A$200,0)),"")</f>
        <v>CHU Nick</v>
      </c>
    </row>
    <row r="7852" customFormat="false" ht="15" hidden="false" customHeight="false" outlineLevel="0" collapsed="false">
      <c r="A7852" s="3" t="s">
        <v>487</v>
      </c>
      <c r="B7852" s="4" t="s">
        <v>50</v>
      </c>
      <c r="C7852" s="4" t="n">
        <v>3</v>
      </c>
      <c r="D7852" s="4" t="s">
        <v>106</v>
      </c>
      <c r="E7852" s="3" t="s">
        <v>317</v>
      </c>
      <c r="F7852" s="4" t="str">
        <f aca="false">IF(I7852&gt;J7852,"Y","N")</f>
        <v>Y</v>
      </c>
      <c r="G7852" s="3" t="s">
        <v>310</v>
      </c>
      <c r="H7852" s="3" t="s">
        <v>26</v>
      </c>
      <c r="I7852" s="4" t="n">
        <v>7</v>
      </c>
      <c r="J7852" s="4" t="n">
        <f aca="false">LEN(E7852)-LEN(SUBSTITUTE(E7852,",",""))+1</f>
        <v>6</v>
      </c>
      <c r="K7852" s="3" t="str">
        <f aca="false">IFERROR(INDEX('Teacher Lookup'!$B$2:$B$200,MATCH(A7852,'Teacher Lookup'!$A$2:$A$200,0)),"")</f>
        <v>CHU Nick</v>
      </c>
    </row>
    <row r="7853" customFormat="false" ht="15" hidden="false" customHeight="false" outlineLevel="0" collapsed="false">
      <c r="A7853" s="3" t="s">
        <v>487</v>
      </c>
      <c r="B7853" s="4" t="s">
        <v>50</v>
      </c>
      <c r="C7853" s="4" t="n">
        <v>3</v>
      </c>
      <c r="D7853" s="4" t="s">
        <v>107</v>
      </c>
      <c r="E7853" s="3" t="s">
        <v>317</v>
      </c>
      <c r="F7853" s="4" t="str">
        <f aca="false">IF(I7853&gt;J7853,"Y","N")</f>
        <v>Y</v>
      </c>
      <c r="G7853" s="3" t="s">
        <v>310</v>
      </c>
      <c r="H7853" s="3" t="s">
        <v>26</v>
      </c>
      <c r="I7853" s="4" t="n">
        <v>7</v>
      </c>
      <c r="J7853" s="4" t="n">
        <f aca="false">LEN(E7853)-LEN(SUBSTITUTE(E7853,",",""))+1</f>
        <v>6</v>
      </c>
      <c r="K7853" s="3" t="str">
        <f aca="false">IFERROR(INDEX('Teacher Lookup'!$B$2:$B$200,MATCH(A7853,'Teacher Lookup'!$A$2:$A$200,0)),"")</f>
        <v>CHU Nick</v>
      </c>
    </row>
    <row r="7854" customFormat="false" ht="15" hidden="false" customHeight="false" outlineLevel="0" collapsed="false">
      <c r="A7854" s="3" t="s">
        <v>487</v>
      </c>
      <c r="B7854" s="4" t="s">
        <v>50</v>
      </c>
      <c r="C7854" s="4" t="n">
        <v>7</v>
      </c>
      <c r="D7854" s="4" t="s">
        <v>24</v>
      </c>
      <c r="E7854" s="3" t="s">
        <v>382</v>
      </c>
      <c r="F7854" s="4" t="str">
        <f aca="false">IF(I7854&gt;J7854,"Y","N")</f>
        <v>N</v>
      </c>
      <c r="G7854" s="3" t="s">
        <v>378</v>
      </c>
      <c r="H7854" s="3" t="s">
        <v>39</v>
      </c>
      <c r="I7854" s="4" t="n">
        <v>8</v>
      </c>
      <c r="J7854" s="4" t="n">
        <f aca="false">LEN(E7854)-LEN(SUBSTITUTE(E7854,",",""))+1</f>
        <v>8</v>
      </c>
      <c r="K7854" s="3" t="str">
        <f aca="false">IFERROR(INDEX('Teacher Lookup'!$B$2:$B$200,MATCH(A7854,'Teacher Lookup'!$A$2:$A$200,0)),"")</f>
        <v>CHU Nick</v>
      </c>
    </row>
    <row r="7855" customFormat="false" ht="15" hidden="false" customHeight="false" outlineLevel="0" collapsed="false">
      <c r="A7855" s="3" t="s">
        <v>487</v>
      </c>
      <c r="B7855" s="4" t="s">
        <v>50</v>
      </c>
      <c r="C7855" s="4" t="n">
        <v>7</v>
      </c>
      <c r="D7855" s="4" t="s">
        <v>27</v>
      </c>
      <c r="E7855" s="3" t="s">
        <v>382</v>
      </c>
      <c r="F7855" s="4" t="str">
        <f aca="false">IF(I7855&gt;J7855,"Y","N")</f>
        <v>N</v>
      </c>
      <c r="G7855" s="3" t="s">
        <v>378</v>
      </c>
      <c r="H7855" s="3" t="s">
        <v>39</v>
      </c>
      <c r="I7855" s="4" t="n">
        <v>8</v>
      </c>
      <c r="J7855" s="4" t="n">
        <f aca="false">LEN(E7855)-LEN(SUBSTITUTE(E7855,",",""))+1</f>
        <v>8</v>
      </c>
      <c r="K7855" s="3" t="str">
        <f aca="false">IFERROR(INDEX('Teacher Lookup'!$B$2:$B$200,MATCH(A7855,'Teacher Lookup'!$A$2:$A$200,0)),"")</f>
        <v>CHU Nick</v>
      </c>
    </row>
    <row r="7856" customFormat="false" ht="15" hidden="false" customHeight="false" outlineLevel="0" collapsed="false">
      <c r="A7856" s="3" t="s">
        <v>487</v>
      </c>
      <c r="B7856" s="4" t="s">
        <v>50</v>
      </c>
      <c r="C7856" s="4" t="n">
        <v>7</v>
      </c>
      <c r="D7856" s="4" t="s">
        <v>28</v>
      </c>
      <c r="E7856" s="3" t="s">
        <v>382</v>
      </c>
      <c r="F7856" s="4" t="str">
        <f aca="false">IF(I7856&gt;J7856,"Y","N")</f>
        <v>N</v>
      </c>
      <c r="G7856" s="3" t="s">
        <v>378</v>
      </c>
      <c r="H7856" s="3" t="s">
        <v>39</v>
      </c>
      <c r="I7856" s="4" t="n">
        <v>8</v>
      </c>
      <c r="J7856" s="4" t="n">
        <f aca="false">LEN(E7856)-LEN(SUBSTITUTE(E7856,",",""))+1</f>
        <v>8</v>
      </c>
      <c r="K7856" s="3" t="str">
        <f aca="false">IFERROR(INDEX('Teacher Lookup'!$B$2:$B$200,MATCH(A7856,'Teacher Lookup'!$A$2:$A$200,0)),"")</f>
        <v>CHU Nick</v>
      </c>
    </row>
    <row r="7857" customFormat="false" ht="15" hidden="false" customHeight="false" outlineLevel="0" collapsed="false">
      <c r="A7857" s="3" t="s">
        <v>487</v>
      </c>
      <c r="B7857" s="4" t="s">
        <v>50</v>
      </c>
      <c r="C7857" s="4" t="n">
        <v>7</v>
      </c>
      <c r="D7857" s="4" t="s">
        <v>29</v>
      </c>
      <c r="E7857" s="3" t="s">
        <v>382</v>
      </c>
      <c r="F7857" s="4" t="str">
        <f aca="false">IF(I7857&gt;J7857,"Y","N")</f>
        <v>N</v>
      </c>
      <c r="G7857" s="3" t="s">
        <v>378</v>
      </c>
      <c r="H7857" s="3" t="s">
        <v>39</v>
      </c>
      <c r="I7857" s="4" t="n">
        <v>8</v>
      </c>
      <c r="J7857" s="4" t="n">
        <f aca="false">LEN(E7857)-LEN(SUBSTITUTE(E7857,",",""))+1</f>
        <v>8</v>
      </c>
      <c r="K7857" s="3" t="str">
        <f aca="false">IFERROR(INDEX('Teacher Lookup'!$B$2:$B$200,MATCH(A7857,'Teacher Lookup'!$A$2:$A$200,0)),"")</f>
        <v>CHU Nick</v>
      </c>
    </row>
    <row r="7858" customFormat="false" ht="15" hidden="false" customHeight="false" outlineLevel="0" collapsed="false">
      <c r="A7858" s="3" t="s">
        <v>487</v>
      </c>
      <c r="B7858" s="4" t="s">
        <v>50</v>
      </c>
      <c r="C7858" s="4" t="n">
        <v>7</v>
      </c>
      <c r="D7858" s="4" t="s">
        <v>30</v>
      </c>
      <c r="E7858" s="3" t="s">
        <v>382</v>
      </c>
      <c r="F7858" s="4" t="str">
        <f aca="false">IF(I7858&gt;J7858,"Y","N")</f>
        <v>N</v>
      </c>
      <c r="G7858" s="3" t="s">
        <v>378</v>
      </c>
      <c r="H7858" s="3" t="s">
        <v>39</v>
      </c>
      <c r="I7858" s="4" t="n">
        <v>8</v>
      </c>
      <c r="J7858" s="4" t="n">
        <f aca="false">LEN(E7858)-LEN(SUBSTITUTE(E7858,",",""))+1</f>
        <v>8</v>
      </c>
      <c r="K7858" s="3" t="str">
        <f aca="false">IFERROR(INDEX('Teacher Lookup'!$B$2:$B$200,MATCH(A7858,'Teacher Lookup'!$A$2:$A$200,0)),"")</f>
        <v>CHU Nick</v>
      </c>
    </row>
    <row r="7859" customFormat="false" ht="15" hidden="false" customHeight="false" outlineLevel="0" collapsed="false">
      <c r="A7859" s="3" t="s">
        <v>487</v>
      </c>
      <c r="B7859" s="4" t="s">
        <v>60</v>
      </c>
      <c r="C7859" s="4" t="n">
        <v>2</v>
      </c>
      <c r="D7859" s="4" t="s">
        <v>52</v>
      </c>
      <c r="E7859" s="3" t="s">
        <v>248</v>
      </c>
      <c r="F7859" s="4" t="str">
        <f aca="false">IF(I7859&gt;J7859,"Y","N")</f>
        <v>N</v>
      </c>
      <c r="G7859" s="3" t="s">
        <v>239</v>
      </c>
      <c r="H7859" s="3" t="s">
        <v>21</v>
      </c>
      <c r="I7859" s="4" t="n">
        <v>7</v>
      </c>
      <c r="J7859" s="4" t="n">
        <f aca="false">LEN(E7859)-LEN(SUBSTITUTE(E7859,",",""))+1</f>
        <v>7</v>
      </c>
      <c r="K7859" s="3" t="str">
        <f aca="false">IFERROR(INDEX('Teacher Lookup'!$B$2:$B$200,MATCH(A7859,'Teacher Lookup'!$A$2:$A$200,0)),"")</f>
        <v>CHU Nick</v>
      </c>
    </row>
    <row r="7860" customFormat="false" ht="15" hidden="false" customHeight="false" outlineLevel="0" collapsed="false">
      <c r="A7860" s="3" t="s">
        <v>487</v>
      </c>
      <c r="B7860" s="4" t="s">
        <v>60</v>
      </c>
      <c r="C7860" s="4" t="n">
        <v>2</v>
      </c>
      <c r="D7860" s="4" t="s">
        <v>55</v>
      </c>
      <c r="E7860" s="3" t="s">
        <v>248</v>
      </c>
      <c r="F7860" s="4" t="str">
        <f aca="false">IF(I7860&gt;J7860,"Y","N")</f>
        <v>N</v>
      </c>
      <c r="G7860" s="3" t="s">
        <v>239</v>
      </c>
      <c r="H7860" s="3" t="s">
        <v>21</v>
      </c>
      <c r="I7860" s="4" t="n">
        <v>7</v>
      </c>
      <c r="J7860" s="4" t="n">
        <f aca="false">LEN(E7860)-LEN(SUBSTITUTE(E7860,",",""))+1</f>
        <v>7</v>
      </c>
      <c r="K7860" s="3" t="str">
        <f aca="false">IFERROR(INDEX('Teacher Lookup'!$B$2:$B$200,MATCH(A7860,'Teacher Lookup'!$A$2:$A$200,0)),"")</f>
        <v>CHU Nick</v>
      </c>
    </row>
    <row r="7861" customFormat="false" ht="15" hidden="false" customHeight="false" outlineLevel="0" collapsed="false">
      <c r="A7861" s="3" t="s">
        <v>487</v>
      </c>
      <c r="B7861" s="4" t="s">
        <v>60</v>
      </c>
      <c r="C7861" s="4" t="n">
        <v>2</v>
      </c>
      <c r="D7861" s="4" t="s">
        <v>56</v>
      </c>
      <c r="E7861" s="3" t="s">
        <v>248</v>
      </c>
      <c r="F7861" s="4" t="str">
        <f aca="false">IF(I7861&gt;J7861,"Y","N")</f>
        <v>N</v>
      </c>
      <c r="G7861" s="3" t="s">
        <v>239</v>
      </c>
      <c r="H7861" s="3" t="s">
        <v>21</v>
      </c>
      <c r="I7861" s="4" t="n">
        <v>7</v>
      </c>
      <c r="J7861" s="4" t="n">
        <f aca="false">LEN(E7861)-LEN(SUBSTITUTE(E7861,",",""))+1</f>
        <v>7</v>
      </c>
      <c r="K7861" s="3" t="str">
        <f aca="false">IFERROR(INDEX('Teacher Lookup'!$B$2:$B$200,MATCH(A7861,'Teacher Lookup'!$A$2:$A$200,0)),"")</f>
        <v>CHU Nick</v>
      </c>
    </row>
    <row r="7862" customFormat="false" ht="15" hidden="false" customHeight="false" outlineLevel="0" collapsed="false">
      <c r="A7862" s="3" t="s">
        <v>487</v>
      </c>
      <c r="B7862" s="4" t="s">
        <v>60</v>
      </c>
      <c r="C7862" s="4" t="n">
        <v>2</v>
      </c>
      <c r="D7862" s="4" t="s">
        <v>57</v>
      </c>
      <c r="E7862" s="3" t="s">
        <v>248</v>
      </c>
      <c r="F7862" s="4" t="str">
        <f aca="false">IF(I7862&gt;J7862,"Y","N")</f>
        <v>N</v>
      </c>
      <c r="G7862" s="3" t="s">
        <v>239</v>
      </c>
      <c r="H7862" s="3" t="s">
        <v>21</v>
      </c>
      <c r="I7862" s="4" t="n">
        <v>7</v>
      </c>
      <c r="J7862" s="4" t="n">
        <f aca="false">LEN(E7862)-LEN(SUBSTITUTE(E7862,",",""))+1</f>
        <v>7</v>
      </c>
      <c r="K7862" s="3" t="str">
        <f aca="false">IFERROR(INDEX('Teacher Lookup'!$B$2:$B$200,MATCH(A7862,'Teacher Lookup'!$A$2:$A$200,0)),"")</f>
        <v>CHU Nick</v>
      </c>
    </row>
    <row r="7863" customFormat="false" ht="15" hidden="false" customHeight="false" outlineLevel="0" collapsed="false">
      <c r="A7863" s="3" t="s">
        <v>487</v>
      </c>
      <c r="B7863" s="4" t="s">
        <v>60</v>
      </c>
      <c r="C7863" s="4" t="n">
        <v>2</v>
      </c>
      <c r="D7863" s="4" t="s">
        <v>58</v>
      </c>
      <c r="E7863" s="3" t="s">
        <v>248</v>
      </c>
      <c r="F7863" s="4" t="str">
        <f aca="false">IF(I7863&gt;J7863,"Y","N")</f>
        <v>N</v>
      </c>
      <c r="G7863" s="3" t="s">
        <v>239</v>
      </c>
      <c r="H7863" s="3" t="s">
        <v>21</v>
      </c>
      <c r="I7863" s="4" t="n">
        <v>7</v>
      </c>
      <c r="J7863" s="4" t="n">
        <f aca="false">LEN(E7863)-LEN(SUBSTITUTE(E7863,",",""))+1</f>
        <v>7</v>
      </c>
      <c r="K7863" s="3" t="str">
        <f aca="false">IFERROR(INDEX('Teacher Lookup'!$B$2:$B$200,MATCH(A7863,'Teacher Lookup'!$A$2:$A$200,0)),"")</f>
        <v>CHU Nick</v>
      </c>
    </row>
    <row r="7864" customFormat="false" ht="15" hidden="false" customHeight="false" outlineLevel="0" collapsed="false">
      <c r="A7864" s="3" t="s">
        <v>487</v>
      </c>
      <c r="B7864" s="4" t="s">
        <v>60</v>
      </c>
      <c r="C7864" s="4" t="n">
        <v>2</v>
      </c>
      <c r="D7864" s="4" t="s">
        <v>59</v>
      </c>
      <c r="E7864" s="3" t="s">
        <v>248</v>
      </c>
      <c r="F7864" s="4" t="str">
        <f aca="false">IF(I7864&gt;J7864,"Y","N")</f>
        <v>N</v>
      </c>
      <c r="G7864" s="3" t="s">
        <v>239</v>
      </c>
      <c r="H7864" s="3" t="s">
        <v>21</v>
      </c>
      <c r="I7864" s="4" t="n">
        <v>7</v>
      </c>
      <c r="J7864" s="4" t="n">
        <f aca="false">LEN(E7864)-LEN(SUBSTITUTE(E7864,",",""))+1</f>
        <v>7</v>
      </c>
      <c r="K7864" s="3" t="str">
        <f aca="false">IFERROR(INDEX('Teacher Lookup'!$B$2:$B$200,MATCH(A7864,'Teacher Lookup'!$A$2:$A$200,0)),"")</f>
        <v>CHU Nick</v>
      </c>
    </row>
    <row r="7865" customFormat="false" ht="15" hidden="false" customHeight="false" outlineLevel="0" collapsed="false">
      <c r="A7865" s="3" t="s">
        <v>487</v>
      </c>
      <c r="B7865" s="4" t="s">
        <v>60</v>
      </c>
      <c r="C7865" s="4" t="n">
        <v>3</v>
      </c>
      <c r="D7865" s="4" t="s">
        <v>24</v>
      </c>
      <c r="E7865" s="3" t="s">
        <v>383</v>
      </c>
      <c r="F7865" s="4" t="str">
        <f aca="false">IF(I7865&gt;J7865,"Y","N")</f>
        <v>N</v>
      </c>
      <c r="G7865" s="3" t="s">
        <v>378</v>
      </c>
      <c r="H7865" s="3" t="s">
        <v>26</v>
      </c>
      <c r="I7865" s="4" t="n">
        <v>8</v>
      </c>
      <c r="J7865" s="4" t="n">
        <f aca="false">LEN(E7865)-LEN(SUBSTITUTE(E7865,",",""))+1</f>
        <v>8</v>
      </c>
      <c r="K7865" s="3" t="str">
        <f aca="false">IFERROR(INDEX('Teacher Lookup'!$B$2:$B$200,MATCH(A7865,'Teacher Lookup'!$A$2:$A$200,0)),"")</f>
        <v>CHU Nick</v>
      </c>
    </row>
    <row r="7866" customFormat="false" ht="15" hidden="false" customHeight="false" outlineLevel="0" collapsed="false">
      <c r="A7866" s="3" t="s">
        <v>487</v>
      </c>
      <c r="B7866" s="4" t="s">
        <v>60</v>
      </c>
      <c r="C7866" s="4" t="n">
        <v>3</v>
      </c>
      <c r="D7866" s="4" t="s">
        <v>27</v>
      </c>
      <c r="E7866" s="3" t="s">
        <v>383</v>
      </c>
      <c r="F7866" s="4" t="str">
        <f aca="false">IF(I7866&gt;J7866,"Y","N")</f>
        <v>N</v>
      </c>
      <c r="G7866" s="3" t="s">
        <v>378</v>
      </c>
      <c r="H7866" s="3" t="s">
        <v>26</v>
      </c>
      <c r="I7866" s="4" t="n">
        <v>8</v>
      </c>
      <c r="J7866" s="4" t="n">
        <f aca="false">LEN(E7866)-LEN(SUBSTITUTE(E7866,",",""))+1</f>
        <v>8</v>
      </c>
      <c r="K7866" s="3" t="str">
        <f aca="false">IFERROR(INDEX('Teacher Lookup'!$B$2:$B$200,MATCH(A7866,'Teacher Lookup'!$A$2:$A$200,0)),"")</f>
        <v>CHU Nick</v>
      </c>
    </row>
    <row r="7867" customFormat="false" ht="15" hidden="false" customHeight="false" outlineLevel="0" collapsed="false">
      <c r="A7867" s="3" t="s">
        <v>487</v>
      </c>
      <c r="B7867" s="4" t="s">
        <v>60</v>
      </c>
      <c r="C7867" s="4" t="n">
        <v>3</v>
      </c>
      <c r="D7867" s="4" t="s">
        <v>28</v>
      </c>
      <c r="E7867" s="3" t="s">
        <v>383</v>
      </c>
      <c r="F7867" s="4" t="str">
        <f aca="false">IF(I7867&gt;J7867,"Y","N")</f>
        <v>N</v>
      </c>
      <c r="G7867" s="3" t="s">
        <v>378</v>
      </c>
      <c r="H7867" s="3" t="s">
        <v>26</v>
      </c>
      <c r="I7867" s="4" t="n">
        <v>8</v>
      </c>
      <c r="J7867" s="4" t="n">
        <f aca="false">LEN(E7867)-LEN(SUBSTITUTE(E7867,",",""))+1</f>
        <v>8</v>
      </c>
      <c r="K7867" s="3" t="str">
        <f aca="false">IFERROR(INDEX('Teacher Lookup'!$B$2:$B$200,MATCH(A7867,'Teacher Lookup'!$A$2:$A$200,0)),"")</f>
        <v>CHU Nick</v>
      </c>
    </row>
    <row r="7868" customFormat="false" ht="15" hidden="false" customHeight="false" outlineLevel="0" collapsed="false">
      <c r="A7868" s="3" t="s">
        <v>487</v>
      </c>
      <c r="B7868" s="4" t="s">
        <v>60</v>
      </c>
      <c r="C7868" s="4" t="n">
        <v>3</v>
      </c>
      <c r="D7868" s="4" t="s">
        <v>29</v>
      </c>
      <c r="E7868" s="3" t="s">
        <v>383</v>
      </c>
      <c r="F7868" s="4" t="str">
        <f aca="false">IF(I7868&gt;J7868,"Y","N")</f>
        <v>N</v>
      </c>
      <c r="G7868" s="3" t="s">
        <v>378</v>
      </c>
      <c r="H7868" s="3" t="s">
        <v>26</v>
      </c>
      <c r="I7868" s="4" t="n">
        <v>8</v>
      </c>
      <c r="J7868" s="4" t="n">
        <f aca="false">LEN(E7868)-LEN(SUBSTITUTE(E7868,",",""))+1</f>
        <v>8</v>
      </c>
      <c r="K7868" s="3" t="str">
        <f aca="false">IFERROR(INDEX('Teacher Lookup'!$B$2:$B$200,MATCH(A7868,'Teacher Lookup'!$A$2:$A$200,0)),"")</f>
        <v>CHU Nick</v>
      </c>
    </row>
    <row r="7869" customFormat="false" ht="15" hidden="false" customHeight="false" outlineLevel="0" collapsed="false">
      <c r="A7869" s="3" t="s">
        <v>487</v>
      </c>
      <c r="B7869" s="4" t="s">
        <v>60</v>
      </c>
      <c r="C7869" s="4" t="n">
        <v>3</v>
      </c>
      <c r="D7869" s="4" t="s">
        <v>30</v>
      </c>
      <c r="E7869" s="3" t="s">
        <v>383</v>
      </c>
      <c r="F7869" s="4" t="str">
        <f aca="false">IF(I7869&gt;J7869,"Y","N")</f>
        <v>N</v>
      </c>
      <c r="G7869" s="3" t="s">
        <v>378</v>
      </c>
      <c r="H7869" s="3" t="s">
        <v>26</v>
      </c>
      <c r="I7869" s="4" t="n">
        <v>8</v>
      </c>
      <c r="J7869" s="4" t="n">
        <f aca="false">LEN(E7869)-LEN(SUBSTITUTE(E7869,",",""))+1</f>
        <v>8</v>
      </c>
      <c r="K7869" s="3" t="str">
        <f aca="false">IFERROR(INDEX('Teacher Lookup'!$B$2:$B$200,MATCH(A7869,'Teacher Lookup'!$A$2:$A$200,0)),"")</f>
        <v>CHU Nick</v>
      </c>
    </row>
    <row r="7870" customFormat="false" ht="15" hidden="false" customHeight="false" outlineLevel="0" collapsed="false">
      <c r="A7870" s="3" t="s">
        <v>487</v>
      </c>
      <c r="B7870" s="4" t="s">
        <v>60</v>
      </c>
      <c r="C7870" s="4" t="n">
        <v>4</v>
      </c>
      <c r="D7870" s="4" t="s">
        <v>102</v>
      </c>
      <c r="E7870" s="3" t="s">
        <v>318</v>
      </c>
      <c r="F7870" s="4" t="str">
        <f aca="false">IF(I7870&gt;J7870,"Y","N")</f>
        <v>Y</v>
      </c>
      <c r="G7870" s="3" t="s">
        <v>310</v>
      </c>
      <c r="H7870" s="3" t="s">
        <v>34</v>
      </c>
      <c r="I7870" s="4" t="n">
        <v>7</v>
      </c>
      <c r="J7870" s="4" t="n">
        <f aca="false">LEN(E7870)-LEN(SUBSTITUTE(E7870,",",""))+1</f>
        <v>6</v>
      </c>
      <c r="K7870" s="3" t="str">
        <f aca="false">IFERROR(INDEX('Teacher Lookup'!$B$2:$B$200,MATCH(A7870,'Teacher Lookup'!$A$2:$A$200,0)),"")</f>
        <v>CHU Nick</v>
      </c>
    </row>
    <row r="7871" customFormat="false" ht="15" hidden="false" customHeight="false" outlineLevel="0" collapsed="false">
      <c r="A7871" s="3" t="s">
        <v>487</v>
      </c>
      <c r="B7871" s="4" t="s">
        <v>60</v>
      </c>
      <c r="C7871" s="4" t="n">
        <v>4</v>
      </c>
      <c r="D7871" s="4" t="s">
        <v>105</v>
      </c>
      <c r="E7871" s="3" t="s">
        <v>318</v>
      </c>
      <c r="F7871" s="4" t="str">
        <f aca="false">IF(I7871&gt;J7871,"Y","N")</f>
        <v>Y</v>
      </c>
      <c r="G7871" s="3" t="s">
        <v>310</v>
      </c>
      <c r="H7871" s="3" t="s">
        <v>34</v>
      </c>
      <c r="I7871" s="4" t="n">
        <v>7</v>
      </c>
      <c r="J7871" s="4" t="n">
        <f aca="false">LEN(E7871)-LEN(SUBSTITUTE(E7871,",",""))+1</f>
        <v>6</v>
      </c>
      <c r="K7871" s="3" t="str">
        <f aca="false">IFERROR(INDEX('Teacher Lookup'!$B$2:$B$200,MATCH(A7871,'Teacher Lookup'!$A$2:$A$200,0)),"")</f>
        <v>CHU Nick</v>
      </c>
    </row>
    <row r="7872" customFormat="false" ht="15" hidden="false" customHeight="false" outlineLevel="0" collapsed="false">
      <c r="A7872" s="3" t="s">
        <v>487</v>
      </c>
      <c r="B7872" s="4" t="s">
        <v>60</v>
      </c>
      <c r="C7872" s="4" t="n">
        <v>4</v>
      </c>
      <c r="D7872" s="4" t="s">
        <v>106</v>
      </c>
      <c r="E7872" s="3" t="s">
        <v>318</v>
      </c>
      <c r="F7872" s="4" t="str">
        <f aca="false">IF(I7872&gt;J7872,"Y","N")</f>
        <v>Y</v>
      </c>
      <c r="G7872" s="3" t="s">
        <v>310</v>
      </c>
      <c r="H7872" s="3" t="s">
        <v>34</v>
      </c>
      <c r="I7872" s="4" t="n">
        <v>7</v>
      </c>
      <c r="J7872" s="4" t="n">
        <f aca="false">LEN(E7872)-LEN(SUBSTITUTE(E7872,",",""))+1</f>
        <v>6</v>
      </c>
      <c r="K7872" s="3" t="str">
        <f aca="false">IFERROR(INDEX('Teacher Lookup'!$B$2:$B$200,MATCH(A7872,'Teacher Lookup'!$A$2:$A$200,0)),"")</f>
        <v>CHU Nick</v>
      </c>
    </row>
    <row r="7873" customFormat="false" ht="15" hidden="false" customHeight="false" outlineLevel="0" collapsed="false">
      <c r="A7873" s="3" t="s">
        <v>487</v>
      </c>
      <c r="B7873" s="4" t="s">
        <v>60</v>
      </c>
      <c r="C7873" s="4" t="n">
        <v>4</v>
      </c>
      <c r="D7873" s="4" t="s">
        <v>107</v>
      </c>
      <c r="E7873" s="3" t="s">
        <v>318</v>
      </c>
      <c r="F7873" s="4" t="str">
        <f aca="false">IF(I7873&gt;J7873,"Y","N")</f>
        <v>Y</v>
      </c>
      <c r="G7873" s="3" t="s">
        <v>310</v>
      </c>
      <c r="H7873" s="3" t="s">
        <v>34</v>
      </c>
      <c r="I7873" s="4" t="n">
        <v>7</v>
      </c>
      <c r="J7873" s="4" t="n">
        <f aca="false">LEN(E7873)-LEN(SUBSTITUTE(E7873,",",""))+1</f>
        <v>6</v>
      </c>
      <c r="K7873" s="3" t="str">
        <f aca="false">IFERROR(INDEX('Teacher Lookup'!$B$2:$B$200,MATCH(A7873,'Teacher Lookup'!$A$2:$A$200,0)),"")</f>
        <v>CHU Nick</v>
      </c>
    </row>
    <row r="7874" customFormat="false" ht="15" hidden="false" customHeight="false" outlineLevel="0" collapsed="false">
      <c r="A7874" s="3" t="s">
        <v>487</v>
      </c>
      <c r="B7874" s="4" t="s">
        <v>60</v>
      </c>
      <c r="C7874" s="4" t="n">
        <v>5</v>
      </c>
      <c r="D7874" s="4" t="s">
        <v>52</v>
      </c>
      <c r="E7874" s="3" t="s">
        <v>112</v>
      </c>
      <c r="F7874" s="4" t="str">
        <f aca="false">IF(I7874&gt;J7874,"Y","N")</f>
        <v>Y</v>
      </c>
      <c r="G7874" s="3" t="s">
        <v>36</v>
      </c>
      <c r="H7874" s="3" t="s">
        <v>37</v>
      </c>
      <c r="I7874" s="4" t="n">
        <v>16</v>
      </c>
      <c r="J7874" s="4" t="n">
        <f aca="false">LEN(E7874)-LEN(SUBSTITUTE(E7874,",",""))+1</f>
        <v>7</v>
      </c>
      <c r="K7874" s="3" t="str">
        <f aca="false">IFERROR(INDEX('Teacher Lookup'!$B$2:$B$200,MATCH(A7874,'Teacher Lookup'!$A$2:$A$200,0)),"")</f>
        <v>CHU Nick</v>
      </c>
    </row>
    <row r="7875" customFormat="false" ht="15" hidden="false" customHeight="false" outlineLevel="0" collapsed="false">
      <c r="A7875" s="3" t="s">
        <v>487</v>
      </c>
      <c r="B7875" s="4" t="s">
        <v>60</v>
      </c>
      <c r="C7875" s="4" t="n">
        <v>5</v>
      </c>
      <c r="D7875" s="4" t="s">
        <v>55</v>
      </c>
      <c r="E7875" s="3" t="s">
        <v>112</v>
      </c>
      <c r="F7875" s="4" t="str">
        <f aca="false">IF(I7875&gt;J7875,"Y","N")</f>
        <v>Y</v>
      </c>
      <c r="G7875" s="3" t="s">
        <v>36</v>
      </c>
      <c r="H7875" s="3" t="s">
        <v>37</v>
      </c>
      <c r="I7875" s="4" t="n">
        <v>16</v>
      </c>
      <c r="J7875" s="4" t="n">
        <f aca="false">LEN(E7875)-LEN(SUBSTITUTE(E7875,",",""))+1</f>
        <v>7</v>
      </c>
      <c r="K7875" s="3" t="str">
        <f aca="false">IFERROR(INDEX('Teacher Lookup'!$B$2:$B$200,MATCH(A7875,'Teacher Lookup'!$A$2:$A$200,0)),"")</f>
        <v>CHU Nick</v>
      </c>
    </row>
    <row r="7876" customFormat="false" ht="15" hidden="false" customHeight="false" outlineLevel="0" collapsed="false">
      <c r="A7876" s="3" t="s">
        <v>487</v>
      </c>
      <c r="B7876" s="4" t="s">
        <v>60</v>
      </c>
      <c r="C7876" s="4" t="n">
        <v>5</v>
      </c>
      <c r="D7876" s="4" t="s">
        <v>56</v>
      </c>
      <c r="E7876" s="3" t="s">
        <v>112</v>
      </c>
      <c r="F7876" s="4" t="str">
        <f aca="false">IF(I7876&gt;J7876,"Y","N")</f>
        <v>Y</v>
      </c>
      <c r="G7876" s="3" t="s">
        <v>36</v>
      </c>
      <c r="H7876" s="3" t="s">
        <v>37</v>
      </c>
      <c r="I7876" s="4" t="n">
        <v>16</v>
      </c>
      <c r="J7876" s="4" t="n">
        <f aca="false">LEN(E7876)-LEN(SUBSTITUTE(E7876,",",""))+1</f>
        <v>7</v>
      </c>
      <c r="K7876" s="3" t="str">
        <f aca="false">IFERROR(INDEX('Teacher Lookup'!$B$2:$B$200,MATCH(A7876,'Teacher Lookup'!$A$2:$A$200,0)),"")</f>
        <v>CHU Nick</v>
      </c>
    </row>
    <row r="7877" customFormat="false" ht="15" hidden="false" customHeight="false" outlineLevel="0" collapsed="false">
      <c r="A7877" s="3" t="s">
        <v>487</v>
      </c>
      <c r="B7877" s="4" t="s">
        <v>60</v>
      </c>
      <c r="C7877" s="4" t="n">
        <v>5</v>
      </c>
      <c r="D7877" s="4" t="s">
        <v>57</v>
      </c>
      <c r="E7877" s="3" t="s">
        <v>112</v>
      </c>
      <c r="F7877" s="4" t="str">
        <f aca="false">IF(I7877&gt;J7877,"Y","N")</f>
        <v>Y</v>
      </c>
      <c r="G7877" s="3" t="s">
        <v>36</v>
      </c>
      <c r="H7877" s="3" t="s">
        <v>37</v>
      </c>
      <c r="I7877" s="4" t="n">
        <v>16</v>
      </c>
      <c r="J7877" s="4" t="n">
        <f aca="false">LEN(E7877)-LEN(SUBSTITUTE(E7877,",",""))+1</f>
        <v>7</v>
      </c>
      <c r="K7877" s="3" t="str">
        <f aca="false">IFERROR(INDEX('Teacher Lookup'!$B$2:$B$200,MATCH(A7877,'Teacher Lookup'!$A$2:$A$200,0)),"")</f>
        <v>CHU Nick</v>
      </c>
    </row>
    <row r="7878" customFormat="false" ht="15" hidden="false" customHeight="false" outlineLevel="0" collapsed="false">
      <c r="A7878" s="3" t="s">
        <v>487</v>
      </c>
      <c r="B7878" s="4" t="s">
        <v>60</v>
      </c>
      <c r="C7878" s="4" t="n">
        <v>5</v>
      </c>
      <c r="D7878" s="4" t="s">
        <v>58</v>
      </c>
      <c r="E7878" s="3" t="s">
        <v>112</v>
      </c>
      <c r="F7878" s="4" t="str">
        <f aca="false">IF(I7878&gt;J7878,"Y","N")</f>
        <v>Y</v>
      </c>
      <c r="G7878" s="3" t="s">
        <v>36</v>
      </c>
      <c r="H7878" s="3" t="s">
        <v>37</v>
      </c>
      <c r="I7878" s="4" t="n">
        <v>16</v>
      </c>
      <c r="J7878" s="4" t="n">
        <f aca="false">LEN(E7878)-LEN(SUBSTITUTE(E7878,",",""))+1</f>
        <v>7</v>
      </c>
      <c r="K7878" s="3" t="str">
        <f aca="false">IFERROR(INDEX('Teacher Lookup'!$B$2:$B$200,MATCH(A7878,'Teacher Lookup'!$A$2:$A$200,0)),"")</f>
        <v>CHU Nick</v>
      </c>
    </row>
    <row r="7879" customFormat="false" ht="15" hidden="false" customHeight="false" outlineLevel="0" collapsed="false">
      <c r="A7879" s="3" t="s">
        <v>487</v>
      </c>
      <c r="B7879" s="4" t="s">
        <v>60</v>
      </c>
      <c r="C7879" s="4" t="n">
        <v>5</v>
      </c>
      <c r="D7879" s="4" t="s">
        <v>59</v>
      </c>
      <c r="E7879" s="3" t="s">
        <v>112</v>
      </c>
      <c r="F7879" s="4" t="str">
        <f aca="false">IF(I7879&gt;J7879,"Y","N")</f>
        <v>Y</v>
      </c>
      <c r="G7879" s="3" t="s">
        <v>36</v>
      </c>
      <c r="H7879" s="3" t="s">
        <v>37</v>
      </c>
      <c r="I7879" s="4" t="n">
        <v>16</v>
      </c>
      <c r="J7879" s="4" t="n">
        <f aca="false">LEN(E7879)-LEN(SUBSTITUTE(E7879,",",""))+1</f>
        <v>7</v>
      </c>
      <c r="K7879" s="3" t="str">
        <f aca="false">IFERROR(INDEX('Teacher Lookup'!$B$2:$B$200,MATCH(A7879,'Teacher Lookup'!$A$2:$A$200,0)),"")</f>
        <v>CHU Nick</v>
      </c>
    </row>
    <row r="7880" customFormat="false" ht="15" hidden="false" customHeight="false" outlineLevel="0" collapsed="false">
      <c r="A7880" s="3" t="s">
        <v>487</v>
      </c>
      <c r="B7880" s="4" t="s">
        <v>60</v>
      </c>
      <c r="C7880" s="4" t="n">
        <v>7</v>
      </c>
      <c r="D7880" s="4" t="s">
        <v>59</v>
      </c>
      <c r="E7880" s="3" t="s">
        <v>488</v>
      </c>
      <c r="F7880" s="4" t="str">
        <f aca="false">IF(I7880&gt;J7880,"Y","N")</f>
        <v>N</v>
      </c>
      <c r="G7880" s="3" t="s">
        <v>486</v>
      </c>
      <c r="H7880" s="3" t="s">
        <v>39</v>
      </c>
      <c r="I7880" s="4" t="n">
        <v>1</v>
      </c>
      <c r="J7880" s="4" t="n">
        <f aca="false">LEN(E7880)-LEN(SUBSTITUTE(E7880,",",""))+1</f>
        <v>1</v>
      </c>
      <c r="K7880" s="3" t="str">
        <f aca="false">IFERROR(INDEX('Teacher Lookup'!$B$2:$B$200,MATCH(A7880,'Teacher Lookup'!$A$2:$A$200,0)),"")</f>
        <v>CHU Nick</v>
      </c>
    </row>
    <row r="7881" customFormat="false" ht="15" hidden="false" customHeight="false" outlineLevel="0" collapsed="false">
      <c r="A7881" s="3" t="s">
        <v>487</v>
      </c>
      <c r="B7881" s="4" t="s">
        <v>63</v>
      </c>
      <c r="C7881" s="4" t="n">
        <v>4</v>
      </c>
      <c r="D7881" s="4" t="s">
        <v>59</v>
      </c>
      <c r="E7881" s="3" t="s">
        <v>488</v>
      </c>
      <c r="F7881" s="4" t="str">
        <f aca="false">IF(I7881&gt;J7881,"Y","N")</f>
        <v>N</v>
      </c>
      <c r="G7881" s="3" t="s">
        <v>486</v>
      </c>
      <c r="H7881" s="3" t="s">
        <v>34</v>
      </c>
      <c r="I7881" s="4" t="n">
        <v>1</v>
      </c>
      <c r="J7881" s="4" t="n">
        <f aca="false">LEN(E7881)-LEN(SUBSTITUTE(E7881,",",""))+1</f>
        <v>1</v>
      </c>
      <c r="K7881" s="3" t="str">
        <f aca="false">IFERROR(INDEX('Teacher Lookup'!$B$2:$B$200,MATCH(A7881,'Teacher Lookup'!$A$2:$A$200,0)),"")</f>
        <v>CHU Nick</v>
      </c>
    </row>
    <row r="7882" customFormat="false" ht="15" hidden="false" customHeight="false" outlineLevel="0" collapsed="false">
      <c r="A7882" s="3" t="s">
        <v>487</v>
      </c>
      <c r="B7882" s="4" t="s">
        <v>63</v>
      </c>
      <c r="C7882" s="4" t="n">
        <v>6</v>
      </c>
      <c r="D7882" s="4" t="s">
        <v>52</v>
      </c>
      <c r="E7882" s="3" t="s">
        <v>249</v>
      </c>
      <c r="F7882" s="4" t="str">
        <f aca="false">IF(I7882&gt;J7882,"Y","N")</f>
        <v>N</v>
      </c>
      <c r="G7882" s="3" t="s">
        <v>239</v>
      </c>
      <c r="H7882" s="3" t="s">
        <v>42</v>
      </c>
      <c r="I7882" s="4" t="n">
        <v>7</v>
      </c>
      <c r="J7882" s="4" t="n">
        <f aca="false">LEN(E7882)-LEN(SUBSTITUTE(E7882,",",""))+1</f>
        <v>7</v>
      </c>
      <c r="K7882" s="3" t="str">
        <f aca="false">IFERROR(INDEX('Teacher Lookup'!$B$2:$B$200,MATCH(A7882,'Teacher Lookup'!$A$2:$A$200,0)),"")</f>
        <v>CHU Nick</v>
      </c>
    </row>
    <row r="7883" customFormat="false" ht="15" hidden="false" customHeight="false" outlineLevel="0" collapsed="false">
      <c r="A7883" s="3" t="s">
        <v>487</v>
      </c>
      <c r="B7883" s="4" t="s">
        <v>63</v>
      </c>
      <c r="C7883" s="4" t="n">
        <v>6</v>
      </c>
      <c r="D7883" s="4" t="s">
        <v>55</v>
      </c>
      <c r="E7883" s="3" t="s">
        <v>249</v>
      </c>
      <c r="F7883" s="4" t="str">
        <f aca="false">IF(I7883&gt;J7883,"Y","N")</f>
        <v>N</v>
      </c>
      <c r="G7883" s="3" t="s">
        <v>239</v>
      </c>
      <c r="H7883" s="3" t="s">
        <v>42</v>
      </c>
      <c r="I7883" s="4" t="n">
        <v>7</v>
      </c>
      <c r="J7883" s="4" t="n">
        <f aca="false">LEN(E7883)-LEN(SUBSTITUTE(E7883,",",""))+1</f>
        <v>7</v>
      </c>
      <c r="K7883" s="3" t="str">
        <f aca="false">IFERROR(INDEX('Teacher Lookup'!$B$2:$B$200,MATCH(A7883,'Teacher Lookup'!$A$2:$A$200,0)),"")</f>
        <v>CHU Nick</v>
      </c>
    </row>
    <row r="7884" customFormat="false" ht="15" hidden="false" customHeight="false" outlineLevel="0" collapsed="false">
      <c r="A7884" s="3" t="s">
        <v>487</v>
      </c>
      <c r="B7884" s="4" t="s">
        <v>63</v>
      </c>
      <c r="C7884" s="4" t="n">
        <v>6</v>
      </c>
      <c r="D7884" s="4" t="s">
        <v>56</v>
      </c>
      <c r="E7884" s="3" t="s">
        <v>249</v>
      </c>
      <c r="F7884" s="4" t="str">
        <f aca="false">IF(I7884&gt;J7884,"Y","N")</f>
        <v>N</v>
      </c>
      <c r="G7884" s="3" t="s">
        <v>239</v>
      </c>
      <c r="H7884" s="3" t="s">
        <v>42</v>
      </c>
      <c r="I7884" s="4" t="n">
        <v>7</v>
      </c>
      <c r="J7884" s="4" t="n">
        <f aca="false">LEN(E7884)-LEN(SUBSTITUTE(E7884,",",""))+1</f>
        <v>7</v>
      </c>
      <c r="K7884" s="3" t="str">
        <f aca="false">IFERROR(INDEX('Teacher Lookup'!$B$2:$B$200,MATCH(A7884,'Teacher Lookup'!$A$2:$A$200,0)),"")</f>
        <v>CHU Nick</v>
      </c>
    </row>
    <row r="7885" customFormat="false" ht="15" hidden="false" customHeight="false" outlineLevel="0" collapsed="false">
      <c r="A7885" s="3" t="s">
        <v>487</v>
      </c>
      <c r="B7885" s="4" t="s">
        <v>63</v>
      </c>
      <c r="C7885" s="4" t="n">
        <v>6</v>
      </c>
      <c r="D7885" s="4" t="s">
        <v>57</v>
      </c>
      <c r="E7885" s="3" t="s">
        <v>249</v>
      </c>
      <c r="F7885" s="4" t="str">
        <f aca="false">IF(I7885&gt;J7885,"Y","N")</f>
        <v>N</v>
      </c>
      <c r="G7885" s="3" t="s">
        <v>239</v>
      </c>
      <c r="H7885" s="3" t="s">
        <v>42</v>
      </c>
      <c r="I7885" s="4" t="n">
        <v>7</v>
      </c>
      <c r="J7885" s="4" t="n">
        <f aca="false">LEN(E7885)-LEN(SUBSTITUTE(E7885,",",""))+1</f>
        <v>7</v>
      </c>
      <c r="K7885" s="3" t="str">
        <f aca="false">IFERROR(INDEX('Teacher Lookup'!$B$2:$B$200,MATCH(A7885,'Teacher Lookup'!$A$2:$A$200,0)),"")</f>
        <v>CHU Nick</v>
      </c>
    </row>
    <row r="7886" customFormat="false" ht="15" hidden="false" customHeight="false" outlineLevel="0" collapsed="false">
      <c r="A7886" s="3" t="s">
        <v>487</v>
      </c>
      <c r="B7886" s="4" t="s">
        <v>63</v>
      </c>
      <c r="C7886" s="4" t="n">
        <v>6</v>
      </c>
      <c r="D7886" s="4" t="s">
        <v>58</v>
      </c>
      <c r="E7886" s="3" t="s">
        <v>249</v>
      </c>
      <c r="F7886" s="4" t="str">
        <f aca="false">IF(I7886&gt;J7886,"Y","N")</f>
        <v>N</v>
      </c>
      <c r="G7886" s="3" t="s">
        <v>239</v>
      </c>
      <c r="H7886" s="3" t="s">
        <v>42</v>
      </c>
      <c r="I7886" s="4" t="n">
        <v>7</v>
      </c>
      <c r="J7886" s="4" t="n">
        <f aca="false">LEN(E7886)-LEN(SUBSTITUTE(E7886,",",""))+1</f>
        <v>7</v>
      </c>
      <c r="K7886" s="3" t="str">
        <f aca="false">IFERROR(INDEX('Teacher Lookup'!$B$2:$B$200,MATCH(A7886,'Teacher Lookup'!$A$2:$A$200,0)),"")</f>
        <v>CHU Nick</v>
      </c>
    </row>
    <row r="7887" customFormat="false" ht="15" hidden="false" customHeight="false" outlineLevel="0" collapsed="false">
      <c r="A7887" s="3" t="s">
        <v>487</v>
      </c>
      <c r="B7887" s="4" t="s">
        <v>63</v>
      </c>
      <c r="C7887" s="4" t="n">
        <v>6</v>
      </c>
      <c r="D7887" s="4" t="s">
        <v>59</v>
      </c>
      <c r="E7887" s="3" t="s">
        <v>249</v>
      </c>
      <c r="F7887" s="4" t="str">
        <f aca="false">IF(I7887&gt;J7887,"Y","N")</f>
        <v>N</v>
      </c>
      <c r="G7887" s="3" t="s">
        <v>239</v>
      </c>
      <c r="H7887" s="3" t="s">
        <v>42</v>
      </c>
      <c r="I7887" s="4" t="n">
        <v>7</v>
      </c>
      <c r="J7887" s="4" t="n">
        <f aca="false">LEN(E7887)-LEN(SUBSTITUTE(E7887,",",""))+1</f>
        <v>7</v>
      </c>
      <c r="K7887" s="3" t="str">
        <f aca="false">IFERROR(INDEX('Teacher Lookup'!$B$2:$B$200,MATCH(A7887,'Teacher Lookup'!$A$2:$A$200,0)),"")</f>
        <v>CHU Nick</v>
      </c>
    </row>
    <row r="7888" customFormat="false" ht="15" hidden="false" customHeight="false" outlineLevel="0" collapsed="false">
      <c r="A7888" s="3" t="s">
        <v>487</v>
      </c>
      <c r="B7888" s="4" t="s">
        <v>63</v>
      </c>
      <c r="C7888" s="4" t="n">
        <v>7</v>
      </c>
      <c r="D7888" s="4" t="s">
        <v>102</v>
      </c>
      <c r="E7888" s="3" t="s">
        <v>319</v>
      </c>
      <c r="F7888" s="4" t="str">
        <f aca="false">IF(I7888&gt;J7888,"Y","N")</f>
        <v>Y</v>
      </c>
      <c r="G7888" s="3" t="s">
        <v>310</v>
      </c>
      <c r="H7888" s="3" t="s">
        <v>39</v>
      </c>
      <c r="I7888" s="4" t="n">
        <v>7</v>
      </c>
      <c r="J7888" s="4" t="n">
        <f aca="false">LEN(E7888)-LEN(SUBSTITUTE(E7888,",",""))+1</f>
        <v>6</v>
      </c>
      <c r="K7888" s="3" t="str">
        <f aca="false">IFERROR(INDEX('Teacher Lookup'!$B$2:$B$200,MATCH(A7888,'Teacher Lookup'!$A$2:$A$200,0)),"")</f>
        <v>CHU Nick</v>
      </c>
    </row>
    <row r="7889" customFormat="false" ht="15" hidden="false" customHeight="false" outlineLevel="0" collapsed="false">
      <c r="A7889" s="3" t="s">
        <v>487</v>
      </c>
      <c r="B7889" s="4" t="s">
        <v>63</v>
      </c>
      <c r="C7889" s="4" t="n">
        <v>7</v>
      </c>
      <c r="D7889" s="4" t="s">
        <v>105</v>
      </c>
      <c r="E7889" s="3" t="s">
        <v>319</v>
      </c>
      <c r="F7889" s="4" t="str">
        <f aca="false">IF(I7889&gt;J7889,"Y","N")</f>
        <v>Y</v>
      </c>
      <c r="G7889" s="3" t="s">
        <v>310</v>
      </c>
      <c r="H7889" s="3" t="s">
        <v>39</v>
      </c>
      <c r="I7889" s="4" t="n">
        <v>7</v>
      </c>
      <c r="J7889" s="4" t="n">
        <f aca="false">LEN(E7889)-LEN(SUBSTITUTE(E7889,",",""))+1</f>
        <v>6</v>
      </c>
      <c r="K7889" s="3" t="str">
        <f aca="false">IFERROR(INDEX('Teacher Lookup'!$B$2:$B$200,MATCH(A7889,'Teacher Lookup'!$A$2:$A$200,0)),"")</f>
        <v>CHU Nick</v>
      </c>
    </row>
    <row r="7890" customFormat="false" ht="15" hidden="false" customHeight="false" outlineLevel="0" collapsed="false">
      <c r="A7890" s="3" t="s">
        <v>487</v>
      </c>
      <c r="B7890" s="4" t="s">
        <v>63</v>
      </c>
      <c r="C7890" s="4" t="n">
        <v>7</v>
      </c>
      <c r="D7890" s="4" t="s">
        <v>106</v>
      </c>
      <c r="E7890" s="3" t="s">
        <v>319</v>
      </c>
      <c r="F7890" s="4" t="str">
        <f aca="false">IF(I7890&gt;J7890,"Y","N")</f>
        <v>Y</v>
      </c>
      <c r="G7890" s="3" t="s">
        <v>310</v>
      </c>
      <c r="H7890" s="3" t="s">
        <v>39</v>
      </c>
      <c r="I7890" s="4" t="n">
        <v>7</v>
      </c>
      <c r="J7890" s="4" t="n">
        <f aca="false">LEN(E7890)-LEN(SUBSTITUTE(E7890,",",""))+1</f>
        <v>6</v>
      </c>
      <c r="K7890" s="3" t="str">
        <f aca="false">IFERROR(INDEX('Teacher Lookup'!$B$2:$B$200,MATCH(A7890,'Teacher Lookup'!$A$2:$A$200,0)),"")</f>
        <v>CHU Nick</v>
      </c>
    </row>
    <row r="7891" customFormat="false" ht="15" hidden="false" customHeight="false" outlineLevel="0" collapsed="false">
      <c r="A7891" s="3" t="s">
        <v>487</v>
      </c>
      <c r="B7891" s="4" t="s">
        <v>63</v>
      </c>
      <c r="C7891" s="4" t="n">
        <v>7</v>
      </c>
      <c r="D7891" s="4" t="s">
        <v>107</v>
      </c>
      <c r="E7891" s="3" t="s">
        <v>319</v>
      </c>
      <c r="F7891" s="4" t="str">
        <f aca="false">IF(I7891&gt;J7891,"Y","N")</f>
        <v>Y</v>
      </c>
      <c r="G7891" s="3" t="s">
        <v>310</v>
      </c>
      <c r="H7891" s="3" t="s">
        <v>39</v>
      </c>
      <c r="I7891" s="4" t="n">
        <v>7</v>
      </c>
      <c r="J7891" s="4" t="n">
        <f aca="false">LEN(E7891)-LEN(SUBSTITUTE(E7891,",",""))+1</f>
        <v>6</v>
      </c>
      <c r="K7891" s="3" t="str">
        <f aca="false">IFERROR(INDEX('Teacher Lookup'!$B$2:$B$200,MATCH(A7891,'Teacher Lookup'!$A$2:$A$200,0)),"")</f>
        <v>CHU Nick</v>
      </c>
    </row>
    <row r="7892" customFormat="false" ht="15" hidden="false" customHeight="false" outlineLevel="0" collapsed="false">
      <c r="A7892" s="3" t="s">
        <v>487</v>
      </c>
      <c r="B7892" s="4" t="s">
        <v>65</v>
      </c>
      <c r="C7892" s="4" t="n">
        <v>1</v>
      </c>
      <c r="D7892" s="4" t="s">
        <v>59</v>
      </c>
      <c r="E7892" s="3" t="s">
        <v>488</v>
      </c>
      <c r="F7892" s="4" t="str">
        <f aca="false">IF(I7892&gt;J7892,"Y","N")</f>
        <v>N</v>
      </c>
      <c r="G7892" s="3" t="s">
        <v>486</v>
      </c>
      <c r="H7892" s="3" t="s">
        <v>16</v>
      </c>
      <c r="I7892" s="4" t="n">
        <v>1</v>
      </c>
      <c r="J7892" s="4" t="n">
        <f aca="false">LEN(E7892)-LEN(SUBSTITUTE(E7892,",",""))+1</f>
        <v>1</v>
      </c>
      <c r="K7892" s="3" t="str">
        <f aca="false">IFERROR(INDEX('Teacher Lookup'!$B$2:$B$200,MATCH(A7892,'Teacher Lookup'!$A$2:$A$200,0)),"")</f>
        <v>CHU Nick</v>
      </c>
    </row>
    <row r="7893" customFormat="false" ht="15" hidden="false" customHeight="false" outlineLevel="0" collapsed="false">
      <c r="A7893" s="3" t="s">
        <v>487</v>
      </c>
      <c r="B7893" s="4" t="s">
        <v>65</v>
      </c>
      <c r="C7893" s="4" t="n">
        <v>5</v>
      </c>
      <c r="D7893" s="4" t="s">
        <v>52</v>
      </c>
      <c r="E7893" s="3" t="s">
        <v>112</v>
      </c>
      <c r="F7893" s="4" t="str">
        <f aca="false">IF(I7893&gt;J7893,"Y","N")</f>
        <v>Y</v>
      </c>
      <c r="G7893" s="3" t="s">
        <v>36</v>
      </c>
      <c r="H7893" s="3" t="s">
        <v>37</v>
      </c>
      <c r="I7893" s="4" t="n">
        <v>16</v>
      </c>
      <c r="J7893" s="4" t="n">
        <f aca="false">LEN(E7893)-LEN(SUBSTITUTE(E7893,",",""))+1</f>
        <v>7</v>
      </c>
      <c r="K7893" s="3" t="str">
        <f aca="false">IFERROR(INDEX('Teacher Lookup'!$B$2:$B$200,MATCH(A7893,'Teacher Lookup'!$A$2:$A$200,0)),"")</f>
        <v>CHU Nick</v>
      </c>
    </row>
    <row r="7894" customFormat="false" ht="15" hidden="false" customHeight="false" outlineLevel="0" collapsed="false">
      <c r="A7894" s="3" t="s">
        <v>487</v>
      </c>
      <c r="B7894" s="4" t="s">
        <v>65</v>
      </c>
      <c r="C7894" s="4" t="n">
        <v>5</v>
      </c>
      <c r="D7894" s="4" t="s">
        <v>55</v>
      </c>
      <c r="E7894" s="3" t="s">
        <v>112</v>
      </c>
      <c r="F7894" s="4" t="str">
        <f aca="false">IF(I7894&gt;J7894,"Y","N")</f>
        <v>Y</v>
      </c>
      <c r="G7894" s="3" t="s">
        <v>36</v>
      </c>
      <c r="H7894" s="3" t="s">
        <v>37</v>
      </c>
      <c r="I7894" s="4" t="n">
        <v>16</v>
      </c>
      <c r="J7894" s="4" t="n">
        <f aca="false">LEN(E7894)-LEN(SUBSTITUTE(E7894,",",""))+1</f>
        <v>7</v>
      </c>
      <c r="K7894" s="3" t="str">
        <f aca="false">IFERROR(INDEX('Teacher Lookup'!$B$2:$B$200,MATCH(A7894,'Teacher Lookup'!$A$2:$A$200,0)),"")</f>
        <v>CHU Nick</v>
      </c>
    </row>
    <row r="7895" customFormat="false" ht="15" hidden="false" customHeight="false" outlineLevel="0" collapsed="false">
      <c r="A7895" s="3" t="s">
        <v>487</v>
      </c>
      <c r="B7895" s="4" t="s">
        <v>65</v>
      </c>
      <c r="C7895" s="4" t="n">
        <v>5</v>
      </c>
      <c r="D7895" s="4" t="s">
        <v>56</v>
      </c>
      <c r="E7895" s="3" t="s">
        <v>112</v>
      </c>
      <c r="F7895" s="4" t="str">
        <f aca="false">IF(I7895&gt;J7895,"Y","N")</f>
        <v>Y</v>
      </c>
      <c r="G7895" s="3" t="s">
        <v>36</v>
      </c>
      <c r="H7895" s="3" t="s">
        <v>37</v>
      </c>
      <c r="I7895" s="4" t="n">
        <v>16</v>
      </c>
      <c r="J7895" s="4" t="n">
        <f aca="false">LEN(E7895)-LEN(SUBSTITUTE(E7895,",",""))+1</f>
        <v>7</v>
      </c>
      <c r="K7895" s="3" t="str">
        <f aca="false">IFERROR(INDEX('Teacher Lookup'!$B$2:$B$200,MATCH(A7895,'Teacher Lookup'!$A$2:$A$200,0)),"")</f>
        <v>CHU Nick</v>
      </c>
    </row>
    <row r="7896" customFormat="false" ht="15" hidden="false" customHeight="false" outlineLevel="0" collapsed="false">
      <c r="A7896" s="3" t="s">
        <v>487</v>
      </c>
      <c r="B7896" s="4" t="s">
        <v>65</v>
      </c>
      <c r="C7896" s="4" t="n">
        <v>5</v>
      </c>
      <c r="D7896" s="4" t="s">
        <v>57</v>
      </c>
      <c r="E7896" s="3" t="s">
        <v>112</v>
      </c>
      <c r="F7896" s="4" t="str">
        <f aca="false">IF(I7896&gt;J7896,"Y","N")</f>
        <v>Y</v>
      </c>
      <c r="G7896" s="3" t="s">
        <v>36</v>
      </c>
      <c r="H7896" s="3" t="s">
        <v>37</v>
      </c>
      <c r="I7896" s="4" t="n">
        <v>16</v>
      </c>
      <c r="J7896" s="4" t="n">
        <f aca="false">LEN(E7896)-LEN(SUBSTITUTE(E7896,",",""))+1</f>
        <v>7</v>
      </c>
      <c r="K7896" s="3" t="str">
        <f aca="false">IFERROR(INDEX('Teacher Lookup'!$B$2:$B$200,MATCH(A7896,'Teacher Lookup'!$A$2:$A$200,0)),"")</f>
        <v>CHU Nick</v>
      </c>
    </row>
    <row r="7897" customFormat="false" ht="15" hidden="false" customHeight="false" outlineLevel="0" collapsed="false">
      <c r="A7897" s="3" t="s">
        <v>487</v>
      </c>
      <c r="B7897" s="4" t="s">
        <v>65</v>
      </c>
      <c r="C7897" s="4" t="n">
        <v>5</v>
      </c>
      <c r="D7897" s="4" t="s">
        <v>58</v>
      </c>
      <c r="E7897" s="3" t="s">
        <v>112</v>
      </c>
      <c r="F7897" s="4" t="str">
        <f aca="false">IF(I7897&gt;J7897,"Y","N")</f>
        <v>Y</v>
      </c>
      <c r="G7897" s="3" t="s">
        <v>36</v>
      </c>
      <c r="H7897" s="3" t="s">
        <v>37</v>
      </c>
      <c r="I7897" s="4" t="n">
        <v>16</v>
      </c>
      <c r="J7897" s="4" t="n">
        <f aca="false">LEN(E7897)-LEN(SUBSTITUTE(E7897,",",""))+1</f>
        <v>7</v>
      </c>
      <c r="K7897" s="3" t="str">
        <f aca="false">IFERROR(INDEX('Teacher Lookup'!$B$2:$B$200,MATCH(A7897,'Teacher Lookup'!$A$2:$A$200,0)),"")</f>
        <v>CHU Nick</v>
      </c>
    </row>
    <row r="7898" customFormat="false" ht="15" hidden="false" customHeight="false" outlineLevel="0" collapsed="false">
      <c r="A7898" s="3" t="s">
        <v>487</v>
      </c>
      <c r="B7898" s="4" t="s">
        <v>65</v>
      </c>
      <c r="C7898" s="4" t="n">
        <v>5</v>
      </c>
      <c r="D7898" s="4" t="s">
        <v>59</v>
      </c>
      <c r="E7898" s="3" t="s">
        <v>112</v>
      </c>
      <c r="F7898" s="4" t="str">
        <f aca="false">IF(I7898&gt;J7898,"Y","N")</f>
        <v>Y</v>
      </c>
      <c r="G7898" s="3" t="s">
        <v>36</v>
      </c>
      <c r="H7898" s="3" t="s">
        <v>37</v>
      </c>
      <c r="I7898" s="4" t="n">
        <v>16</v>
      </c>
      <c r="J7898" s="4" t="n">
        <f aca="false">LEN(E7898)-LEN(SUBSTITUTE(E7898,",",""))+1</f>
        <v>7</v>
      </c>
      <c r="K7898" s="3" t="str">
        <f aca="false">IFERROR(INDEX('Teacher Lookup'!$B$2:$B$200,MATCH(A7898,'Teacher Lookup'!$A$2:$A$200,0)),"")</f>
        <v>CHU Nick</v>
      </c>
    </row>
    <row r="7899" customFormat="false" ht="15" hidden="false" customHeight="false" outlineLevel="0" collapsed="false">
      <c r="A7899" s="3" t="s">
        <v>487</v>
      </c>
      <c r="B7899" s="4" t="s">
        <v>65</v>
      </c>
      <c r="C7899" s="4" t="n">
        <v>6</v>
      </c>
      <c r="D7899" s="4" t="s">
        <v>24</v>
      </c>
      <c r="E7899" s="3" t="s">
        <v>384</v>
      </c>
      <c r="F7899" s="4" t="str">
        <f aca="false">IF(I7899&gt;J7899,"Y","N")</f>
        <v>Y</v>
      </c>
      <c r="G7899" s="3" t="s">
        <v>378</v>
      </c>
      <c r="H7899" s="3" t="s">
        <v>42</v>
      </c>
      <c r="I7899" s="4" t="n">
        <v>9</v>
      </c>
      <c r="J7899" s="4" t="n">
        <f aca="false">LEN(E7899)-LEN(SUBSTITUTE(E7899,",",""))+1</f>
        <v>8</v>
      </c>
      <c r="K7899" s="3" t="str">
        <f aca="false">IFERROR(INDEX('Teacher Lookup'!$B$2:$B$200,MATCH(A7899,'Teacher Lookup'!$A$2:$A$200,0)),"")</f>
        <v>CHU Nick</v>
      </c>
    </row>
    <row r="7900" customFormat="false" ht="15" hidden="false" customHeight="false" outlineLevel="0" collapsed="false">
      <c r="A7900" s="3" t="s">
        <v>487</v>
      </c>
      <c r="B7900" s="4" t="s">
        <v>65</v>
      </c>
      <c r="C7900" s="4" t="n">
        <v>6</v>
      </c>
      <c r="D7900" s="4" t="s">
        <v>27</v>
      </c>
      <c r="E7900" s="3" t="s">
        <v>384</v>
      </c>
      <c r="F7900" s="4" t="str">
        <f aca="false">IF(I7900&gt;J7900,"Y","N")</f>
        <v>Y</v>
      </c>
      <c r="G7900" s="3" t="s">
        <v>378</v>
      </c>
      <c r="H7900" s="3" t="s">
        <v>42</v>
      </c>
      <c r="I7900" s="4" t="n">
        <v>9</v>
      </c>
      <c r="J7900" s="4" t="n">
        <f aca="false">LEN(E7900)-LEN(SUBSTITUTE(E7900,",",""))+1</f>
        <v>8</v>
      </c>
      <c r="K7900" s="3" t="str">
        <f aca="false">IFERROR(INDEX('Teacher Lookup'!$B$2:$B$200,MATCH(A7900,'Teacher Lookup'!$A$2:$A$200,0)),"")</f>
        <v>CHU Nick</v>
      </c>
    </row>
    <row r="7901" customFormat="false" ht="15" hidden="false" customHeight="false" outlineLevel="0" collapsed="false">
      <c r="A7901" s="3" t="s">
        <v>487</v>
      </c>
      <c r="B7901" s="4" t="s">
        <v>65</v>
      </c>
      <c r="C7901" s="4" t="n">
        <v>6</v>
      </c>
      <c r="D7901" s="4" t="s">
        <v>28</v>
      </c>
      <c r="E7901" s="3" t="s">
        <v>384</v>
      </c>
      <c r="F7901" s="4" t="str">
        <f aca="false">IF(I7901&gt;J7901,"Y","N")</f>
        <v>Y</v>
      </c>
      <c r="G7901" s="3" t="s">
        <v>378</v>
      </c>
      <c r="H7901" s="3" t="s">
        <v>42</v>
      </c>
      <c r="I7901" s="4" t="n">
        <v>9</v>
      </c>
      <c r="J7901" s="4" t="n">
        <f aca="false">LEN(E7901)-LEN(SUBSTITUTE(E7901,",",""))+1</f>
        <v>8</v>
      </c>
      <c r="K7901" s="3" t="str">
        <f aca="false">IFERROR(INDEX('Teacher Lookup'!$B$2:$B$200,MATCH(A7901,'Teacher Lookup'!$A$2:$A$200,0)),"")</f>
        <v>CHU Nick</v>
      </c>
    </row>
    <row r="7902" customFormat="false" ht="15" hidden="false" customHeight="false" outlineLevel="0" collapsed="false">
      <c r="A7902" s="3" t="s">
        <v>487</v>
      </c>
      <c r="B7902" s="4" t="s">
        <v>65</v>
      </c>
      <c r="C7902" s="4" t="n">
        <v>6</v>
      </c>
      <c r="D7902" s="4" t="s">
        <v>29</v>
      </c>
      <c r="E7902" s="3" t="s">
        <v>384</v>
      </c>
      <c r="F7902" s="4" t="str">
        <f aca="false">IF(I7902&gt;J7902,"Y","N")</f>
        <v>Y</v>
      </c>
      <c r="G7902" s="3" t="s">
        <v>378</v>
      </c>
      <c r="H7902" s="3" t="s">
        <v>42</v>
      </c>
      <c r="I7902" s="4" t="n">
        <v>9</v>
      </c>
      <c r="J7902" s="4" t="n">
        <f aca="false">LEN(E7902)-LEN(SUBSTITUTE(E7902,",",""))+1</f>
        <v>8</v>
      </c>
      <c r="K7902" s="3" t="str">
        <f aca="false">IFERROR(INDEX('Teacher Lookup'!$B$2:$B$200,MATCH(A7902,'Teacher Lookup'!$A$2:$A$200,0)),"")</f>
        <v>CHU Nick</v>
      </c>
    </row>
    <row r="7903" customFormat="false" ht="15" hidden="false" customHeight="false" outlineLevel="0" collapsed="false">
      <c r="A7903" s="3" t="s">
        <v>487</v>
      </c>
      <c r="B7903" s="4" t="s">
        <v>65</v>
      </c>
      <c r="C7903" s="4" t="n">
        <v>6</v>
      </c>
      <c r="D7903" s="4" t="s">
        <v>30</v>
      </c>
      <c r="E7903" s="3" t="s">
        <v>384</v>
      </c>
      <c r="F7903" s="4" t="str">
        <f aca="false">IF(I7903&gt;J7903,"Y","N")</f>
        <v>Y</v>
      </c>
      <c r="G7903" s="3" t="s">
        <v>378</v>
      </c>
      <c r="H7903" s="3" t="s">
        <v>42</v>
      </c>
      <c r="I7903" s="4" t="n">
        <v>9</v>
      </c>
      <c r="J7903" s="4" t="n">
        <f aca="false">LEN(E7903)-LEN(SUBSTITUTE(E7903,",",""))+1</f>
        <v>8</v>
      </c>
      <c r="K7903" s="3" t="str">
        <f aca="false">IFERROR(INDEX('Teacher Lookup'!$B$2:$B$200,MATCH(A7903,'Teacher Lookup'!$A$2:$A$200,0)),"")</f>
        <v>CHU Nick</v>
      </c>
    </row>
    <row r="7904" customFormat="false" ht="15" hidden="false" customHeight="false" outlineLevel="0" collapsed="false">
      <c r="A7904" s="3" t="s">
        <v>487</v>
      </c>
      <c r="B7904" s="4" t="s">
        <v>65</v>
      </c>
      <c r="C7904" s="4" t="n">
        <v>7</v>
      </c>
      <c r="D7904" s="4" t="s">
        <v>52</v>
      </c>
      <c r="E7904" s="3" t="s">
        <v>251</v>
      </c>
      <c r="F7904" s="4" t="str">
        <f aca="false">IF(I7904&gt;J7904,"Y","N")</f>
        <v>N</v>
      </c>
      <c r="G7904" s="3" t="s">
        <v>239</v>
      </c>
      <c r="H7904" s="3" t="s">
        <v>39</v>
      </c>
      <c r="I7904" s="4" t="n">
        <v>7</v>
      </c>
      <c r="J7904" s="4" t="n">
        <f aca="false">LEN(E7904)-LEN(SUBSTITUTE(E7904,",",""))+1</f>
        <v>7</v>
      </c>
      <c r="K7904" s="3" t="str">
        <f aca="false">IFERROR(INDEX('Teacher Lookup'!$B$2:$B$200,MATCH(A7904,'Teacher Lookup'!$A$2:$A$200,0)),"")</f>
        <v>CHU Nick</v>
      </c>
    </row>
    <row r="7905" customFormat="false" ht="15" hidden="false" customHeight="false" outlineLevel="0" collapsed="false">
      <c r="A7905" s="3" t="s">
        <v>487</v>
      </c>
      <c r="B7905" s="4" t="s">
        <v>65</v>
      </c>
      <c r="C7905" s="4" t="n">
        <v>7</v>
      </c>
      <c r="D7905" s="4" t="s">
        <v>55</v>
      </c>
      <c r="E7905" s="3" t="s">
        <v>251</v>
      </c>
      <c r="F7905" s="4" t="str">
        <f aca="false">IF(I7905&gt;J7905,"Y","N")</f>
        <v>N</v>
      </c>
      <c r="G7905" s="3" t="s">
        <v>239</v>
      </c>
      <c r="H7905" s="3" t="s">
        <v>39</v>
      </c>
      <c r="I7905" s="4" t="n">
        <v>7</v>
      </c>
      <c r="J7905" s="4" t="n">
        <f aca="false">LEN(E7905)-LEN(SUBSTITUTE(E7905,",",""))+1</f>
        <v>7</v>
      </c>
      <c r="K7905" s="3" t="str">
        <f aca="false">IFERROR(INDEX('Teacher Lookup'!$B$2:$B$200,MATCH(A7905,'Teacher Lookup'!$A$2:$A$200,0)),"")</f>
        <v>CHU Nick</v>
      </c>
    </row>
    <row r="7906" customFormat="false" ht="15" hidden="false" customHeight="false" outlineLevel="0" collapsed="false">
      <c r="A7906" s="3" t="s">
        <v>487</v>
      </c>
      <c r="B7906" s="4" t="s">
        <v>65</v>
      </c>
      <c r="C7906" s="4" t="n">
        <v>7</v>
      </c>
      <c r="D7906" s="4" t="s">
        <v>56</v>
      </c>
      <c r="E7906" s="3" t="s">
        <v>251</v>
      </c>
      <c r="F7906" s="4" t="str">
        <f aca="false">IF(I7906&gt;J7906,"Y","N")</f>
        <v>N</v>
      </c>
      <c r="G7906" s="3" t="s">
        <v>239</v>
      </c>
      <c r="H7906" s="3" t="s">
        <v>39</v>
      </c>
      <c r="I7906" s="4" t="n">
        <v>7</v>
      </c>
      <c r="J7906" s="4" t="n">
        <f aca="false">LEN(E7906)-LEN(SUBSTITUTE(E7906,",",""))+1</f>
        <v>7</v>
      </c>
      <c r="K7906" s="3" t="str">
        <f aca="false">IFERROR(INDEX('Teacher Lookup'!$B$2:$B$200,MATCH(A7906,'Teacher Lookup'!$A$2:$A$200,0)),"")</f>
        <v>CHU Nick</v>
      </c>
    </row>
    <row r="7907" customFormat="false" ht="15" hidden="false" customHeight="false" outlineLevel="0" collapsed="false">
      <c r="A7907" s="3" t="s">
        <v>487</v>
      </c>
      <c r="B7907" s="4" t="s">
        <v>65</v>
      </c>
      <c r="C7907" s="4" t="n">
        <v>7</v>
      </c>
      <c r="D7907" s="4" t="s">
        <v>57</v>
      </c>
      <c r="E7907" s="3" t="s">
        <v>251</v>
      </c>
      <c r="F7907" s="4" t="str">
        <f aca="false">IF(I7907&gt;J7907,"Y","N")</f>
        <v>N</v>
      </c>
      <c r="G7907" s="3" t="s">
        <v>239</v>
      </c>
      <c r="H7907" s="3" t="s">
        <v>39</v>
      </c>
      <c r="I7907" s="4" t="n">
        <v>7</v>
      </c>
      <c r="J7907" s="4" t="n">
        <f aca="false">LEN(E7907)-LEN(SUBSTITUTE(E7907,",",""))+1</f>
        <v>7</v>
      </c>
      <c r="K7907" s="3" t="str">
        <f aca="false">IFERROR(INDEX('Teacher Lookup'!$B$2:$B$200,MATCH(A7907,'Teacher Lookup'!$A$2:$A$200,0)),"")</f>
        <v>CHU Nick</v>
      </c>
    </row>
    <row r="7908" customFormat="false" ht="15" hidden="false" customHeight="false" outlineLevel="0" collapsed="false">
      <c r="A7908" s="3" t="s">
        <v>487</v>
      </c>
      <c r="B7908" s="4" t="s">
        <v>65</v>
      </c>
      <c r="C7908" s="4" t="n">
        <v>7</v>
      </c>
      <c r="D7908" s="4" t="s">
        <v>58</v>
      </c>
      <c r="E7908" s="3" t="s">
        <v>251</v>
      </c>
      <c r="F7908" s="4" t="str">
        <f aca="false">IF(I7908&gt;J7908,"Y","N")</f>
        <v>N</v>
      </c>
      <c r="G7908" s="3" t="s">
        <v>239</v>
      </c>
      <c r="H7908" s="3" t="s">
        <v>39</v>
      </c>
      <c r="I7908" s="4" t="n">
        <v>7</v>
      </c>
      <c r="J7908" s="4" t="n">
        <f aca="false">LEN(E7908)-LEN(SUBSTITUTE(E7908,",",""))+1</f>
        <v>7</v>
      </c>
      <c r="K7908" s="3" t="str">
        <f aca="false">IFERROR(INDEX('Teacher Lookup'!$B$2:$B$200,MATCH(A7908,'Teacher Lookup'!$A$2:$A$200,0)),"")</f>
        <v>CHU Nick</v>
      </c>
    </row>
    <row r="7909" customFormat="false" ht="15" hidden="false" customHeight="false" outlineLevel="0" collapsed="false">
      <c r="A7909" s="3" t="s">
        <v>487</v>
      </c>
      <c r="B7909" s="4" t="s">
        <v>65</v>
      </c>
      <c r="C7909" s="4" t="n">
        <v>7</v>
      </c>
      <c r="D7909" s="4" t="s">
        <v>59</v>
      </c>
      <c r="E7909" s="3" t="s">
        <v>251</v>
      </c>
      <c r="F7909" s="4" t="str">
        <f aca="false">IF(I7909&gt;J7909,"Y","N")</f>
        <v>N</v>
      </c>
      <c r="G7909" s="3" t="s">
        <v>239</v>
      </c>
      <c r="H7909" s="3" t="s">
        <v>39</v>
      </c>
      <c r="I7909" s="4" t="n">
        <v>7</v>
      </c>
      <c r="J7909" s="4" t="n">
        <f aca="false">LEN(E7909)-LEN(SUBSTITUTE(E7909,",",""))+1</f>
        <v>7</v>
      </c>
      <c r="K7909" s="3" t="str">
        <f aca="false">IFERROR(INDEX('Teacher Lookup'!$B$2:$B$200,MATCH(A7909,'Teacher Lookup'!$A$2:$A$200,0)),"")</f>
        <v>CHU Nick</v>
      </c>
    </row>
    <row r="7910" customFormat="false" ht="15" hidden="false" customHeight="false" outlineLevel="0" collapsed="false">
      <c r="A7910" s="3" t="s">
        <v>487</v>
      </c>
      <c r="B7910" s="4" t="s">
        <v>66</v>
      </c>
      <c r="C7910" s="4" t="n">
        <v>1</v>
      </c>
      <c r="D7910" s="4" t="s">
        <v>52</v>
      </c>
      <c r="E7910" s="3" t="s">
        <v>252</v>
      </c>
      <c r="F7910" s="4" t="str">
        <f aca="false">IF(I7910&gt;J7910,"Y","N")</f>
        <v>N</v>
      </c>
      <c r="G7910" s="3" t="s">
        <v>239</v>
      </c>
      <c r="H7910" s="3" t="s">
        <v>16</v>
      </c>
      <c r="I7910" s="4" t="n">
        <v>7</v>
      </c>
      <c r="J7910" s="4" t="n">
        <f aca="false">LEN(E7910)-LEN(SUBSTITUTE(E7910,",",""))+1</f>
        <v>7</v>
      </c>
      <c r="K7910" s="3" t="str">
        <f aca="false">IFERROR(INDEX('Teacher Lookup'!$B$2:$B$200,MATCH(A7910,'Teacher Lookup'!$A$2:$A$200,0)),"")</f>
        <v>CHU Nick</v>
      </c>
    </row>
    <row r="7911" customFormat="false" ht="15" hidden="false" customHeight="false" outlineLevel="0" collapsed="false">
      <c r="A7911" s="3" t="s">
        <v>487</v>
      </c>
      <c r="B7911" s="4" t="s">
        <v>66</v>
      </c>
      <c r="C7911" s="4" t="n">
        <v>1</v>
      </c>
      <c r="D7911" s="4" t="s">
        <v>55</v>
      </c>
      <c r="E7911" s="3" t="s">
        <v>252</v>
      </c>
      <c r="F7911" s="4" t="str">
        <f aca="false">IF(I7911&gt;J7911,"Y","N")</f>
        <v>N</v>
      </c>
      <c r="G7911" s="3" t="s">
        <v>239</v>
      </c>
      <c r="H7911" s="3" t="s">
        <v>16</v>
      </c>
      <c r="I7911" s="4" t="n">
        <v>7</v>
      </c>
      <c r="J7911" s="4" t="n">
        <f aca="false">LEN(E7911)-LEN(SUBSTITUTE(E7911,",",""))+1</f>
        <v>7</v>
      </c>
      <c r="K7911" s="3" t="str">
        <f aca="false">IFERROR(INDEX('Teacher Lookup'!$B$2:$B$200,MATCH(A7911,'Teacher Lookup'!$A$2:$A$200,0)),"")</f>
        <v>CHU Nick</v>
      </c>
    </row>
    <row r="7912" customFormat="false" ht="15" hidden="false" customHeight="false" outlineLevel="0" collapsed="false">
      <c r="A7912" s="3" t="s">
        <v>487</v>
      </c>
      <c r="B7912" s="4" t="s">
        <v>66</v>
      </c>
      <c r="C7912" s="4" t="n">
        <v>1</v>
      </c>
      <c r="D7912" s="4" t="s">
        <v>56</v>
      </c>
      <c r="E7912" s="3" t="s">
        <v>252</v>
      </c>
      <c r="F7912" s="4" t="str">
        <f aca="false">IF(I7912&gt;J7912,"Y","N")</f>
        <v>N</v>
      </c>
      <c r="G7912" s="3" t="s">
        <v>239</v>
      </c>
      <c r="H7912" s="3" t="s">
        <v>16</v>
      </c>
      <c r="I7912" s="4" t="n">
        <v>7</v>
      </c>
      <c r="J7912" s="4" t="n">
        <f aca="false">LEN(E7912)-LEN(SUBSTITUTE(E7912,",",""))+1</f>
        <v>7</v>
      </c>
      <c r="K7912" s="3" t="str">
        <f aca="false">IFERROR(INDEX('Teacher Lookup'!$B$2:$B$200,MATCH(A7912,'Teacher Lookup'!$A$2:$A$200,0)),"")</f>
        <v>CHU Nick</v>
      </c>
    </row>
    <row r="7913" customFormat="false" ht="15" hidden="false" customHeight="false" outlineLevel="0" collapsed="false">
      <c r="A7913" s="3" t="s">
        <v>487</v>
      </c>
      <c r="B7913" s="4" t="s">
        <v>66</v>
      </c>
      <c r="C7913" s="4" t="n">
        <v>1</v>
      </c>
      <c r="D7913" s="4" t="s">
        <v>57</v>
      </c>
      <c r="E7913" s="3" t="s">
        <v>252</v>
      </c>
      <c r="F7913" s="4" t="str">
        <f aca="false">IF(I7913&gt;J7913,"Y","N")</f>
        <v>N</v>
      </c>
      <c r="G7913" s="3" t="s">
        <v>239</v>
      </c>
      <c r="H7913" s="3" t="s">
        <v>16</v>
      </c>
      <c r="I7913" s="4" t="n">
        <v>7</v>
      </c>
      <c r="J7913" s="4" t="n">
        <f aca="false">LEN(E7913)-LEN(SUBSTITUTE(E7913,",",""))+1</f>
        <v>7</v>
      </c>
      <c r="K7913" s="3" t="str">
        <f aca="false">IFERROR(INDEX('Teacher Lookup'!$B$2:$B$200,MATCH(A7913,'Teacher Lookup'!$A$2:$A$200,0)),"")</f>
        <v>CHU Nick</v>
      </c>
    </row>
    <row r="7914" customFormat="false" ht="15" hidden="false" customHeight="false" outlineLevel="0" collapsed="false">
      <c r="A7914" s="3" t="s">
        <v>487</v>
      </c>
      <c r="B7914" s="4" t="s">
        <v>66</v>
      </c>
      <c r="C7914" s="4" t="n">
        <v>1</v>
      </c>
      <c r="D7914" s="4" t="s">
        <v>58</v>
      </c>
      <c r="E7914" s="3" t="s">
        <v>252</v>
      </c>
      <c r="F7914" s="4" t="str">
        <f aca="false">IF(I7914&gt;J7914,"Y","N")</f>
        <v>N</v>
      </c>
      <c r="G7914" s="3" t="s">
        <v>239</v>
      </c>
      <c r="H7914" s="3" t="s">
        <v>16</v>
      </c>
      <c r="I7914" s="4" t="n">
        <v>7</v>
      </c>
      <c r="J7914" s="4" t="n">
        <f aca="false">LEN(E7914)-LEN(SUBSTITUTE(E7914,",",""))+1</f>
        <v>7</v>
      </c>
      <c r="K7914" s="3" t="str">
        <f aca="false">IFERROR(INDEX('Teacher Lookup'!$B$2:$B$200,MATCH(A7914,'Teacher Lookup'!$A$2:$A$200,0)),"")</f>
        <v>CHU Nick</v>
      </c>
    </row>
    <row r="7915" customFormat="false" ht="15" hidden="false" customHeight="false" outlineLevel="0" collapsed="false">
      <c r="A7915" s="3" t="s">
        <v>487</v>
      </c>
      <c r="B7915" s="4" t="s">
        <v>66</v>
      </c>
      <c r="C7915" s="4" t="n">
        <v>1</v>
      </c>
      <c r="D7915" s="4" t="s">
        <v>59</v>
      </c>
      <c r="E7915" s="3" t="s">
        <v>252</v>
      </c>
      <c r="F7915" s="4" t="str">
        <f aca="false">IF(I7915&gt;J7915,"Y","N")</f>
        <v>N</v>
      </c>
      <c r="G7915" s="3" t="s">
        <v>239</v>
      </c>
      <c r="H7915" s="3" t="s">
        <v>16</v>
      </c>
      <c r="I7915" s="4" t="n">
        <v>7</v>
      </c>
      <c r="J7915" s="4" t="n">
        <f aca="false">LEN(E7915)-LEN(SUBSTITUTE(E7915,",",""))+1</f>
        <v>7</v>
      </c>
      <c r="K7915" s="3" t="str">
        <f aca="false">IFERROR(INDEX('Teacher Lookup'!$B$2:$B$200,MATCH(A7915,'Teacher Lookup'!$A$2:$A$200,0)),"")</f>
        <v>CHU Nick</v>
      </c>
    </row>
    <row r="7916" customFormat="false" ht="15" hidden="false" customHeight="false" outlineLevel="0" collapsed="false">
      <c r="A7916" s="3" t="s">
        <v>487</v>
      </c>
      <c r="B7916" s="4" t="s">
        <v>66</v>
      </c>
      <c r="C7916" s="4" t="n">
        <v>2</v>
      </c>
      <c r="D7916" s="4" t="s">
        <v>59</v>
      </c>
      <c r="E7916" s="3" t="s">
        <v>488</v>
      </c>
      <c r="F7916" s="4" t="str">
        <f aca="false">IF(I7916&gt;J7916,"Y","N")</f>
        <v>N</v>
      </c>
      <c r="G7916" s="3" t="s">
        <v>486</v>
      </c>
      <c r="H7916" s="3" t="s">
        <v>21</v>
      </c>
      <c r="I7916" s="4" t="n">
        <v>1</v>
      </c>
      <c r="J7916" s="4" t="n">
        <f aca="false">LEN(E7916)-LEN(SUBSTITUTE(E7916,",",""))+1</f>
        <v>1</v>
      </c>
      <c r="K7916" s="3" t="str">
        <f aca="false">IFERROR(INDEX('Teacher Lookup'!$B$2:$B$200,MATCH(A7916,'Teacher Lookup'!$A$2:$A$200,0)),"")</f>
        <v>CHU Nick</v>
      </c>
    </row>
    <row r="7917" customFormat="false" ht="15" hidden="false" customHeight="false" outlineLevel="0" collapsed="false">
      <c r="A7917" s="3" t="s">
        <v>487</v>
      </c>
      <c r="B7917" s="4" t="s">
        <v>66</v>
      </c>
      <c r="C7917" s="4" t="n">
        <v>5</v>
      </c>
      <c r="D7917" s="4" t="s">
        <v>102</v>
      </c>
      <c r="E7917" s="3" t="s">
        <v>320</v>
      </c>
      <c r="F7917" s="4" t="str">
        <f aca="false">IF(I7917&gt;J7917,"Y","N")</f>
        <v>Y</v>
      </c>
      <c r="G7917" s="3" t="s">
        <v>310</v>
      </c>
      <c r="H7917" s="3" t="s">
        <v>37</v>
      </c>
      <c r="I7917" s="4" t="n">
        <v>7</v>
      </c>
      <c r="J7917" s="4" t="n">
        <f aca="false">LEN(E7917)-LEN(SUBSTITUTE(E7917,",",""))+1</f>
        <v>6</v>
      </c>
      <c r="K7917" s="3" t="str">
        <f aca="false">IFERROR(INDEX('Teacher Lookup'!$B$2:$B$200,MATCH(A7917,'Teacher Lookup'!$A$2:$A$200,0)),"")</f>
        <v>CHU Nick</v>
      </c>
    </row>
    <row r="7918" customFormat="false" ht="15" hidden="false" customHeight="false" outlineLevel="0" collapsed="false">
      <c r="A7918" s="3" t="s">
        <v>487</v>
      </c>
      <c r="B7918" s="4" t="s">
        <v>66</v>
      </c>
      <c r="C7918" s="4" t="n">
        <v>5</v>
      </c>
      <c r="D7918" s="4" t="s">
        <v>105</v>
      </c>
      <c r="E7918" s="3" t="s">
        <v>320</v>
      </c>
      <c r="F7918" s="4" t="str">
        <f aca="false">IF(I7918&gt;J7918,"Y","N")</f>
        <v>Y</v>
      </c>
      <c r="G7918" s="3" t="s">
        <v>310</v>
      </c>
      <c r="H7918" s="3" t="s">
        <v>37</v>
      </c>
      <c r="I7918" s="4" t="n">
        <v>7</v>
      </c>
      <c r="J7918" s="4" t="n">
        <f aca="false">LEN(E7918)-LEN(SUBSTITUTE(E7918,",",""))+1</f>
        <v>6</v>
      </c>
      <c r="K7918" s="3" t="str">
        <f aca="false">IFERROR(INDEX('Teacher Lookup'!$B$2:$B$200,MATCH(A7918,'Teacher Lookup'!$A$2:$A$200,0)),"")</f>
        <v>CHU Nick</v>
      </c>
    </row>
    <row r="7919" customFormat="false" ht="15" hidden="false" customHeight="false" outlineLevel="0" collapsed="false">
      <c r="A7919" s="3" t="s">
        <v>487</v>
      </c>
      <c r="B7919" s="4" t="s">
        <v>66</v>
      </c>
      <c r="C7919" s="4" t="n">
        <v>5</v>
      </c>
      <c r="D7919" s="4" t="s">
        <v>106</v>
      </c>
      <c r="E7919" s="3" t="s">
        <v>320</v>
      </c>
      <c r="F7919" s="4" t="str">
        <f aca="false">IF(I7919&gt;J7919,"Y","N")</f>
        <v>Y</v>
      </c>
      <c r="G7919" s="3" t="s">
        <v>310</v>
      </c>
      <c r="H7919" s="3" t="s">
        <v>37</v>
      </c>
      <c r="I7919" s="4" t="n">
        <v>7</v>
      </c>
      <c r="J7919" s="4" t="n">
        <f aca="false">LEN(E7919)-LEN(SUBSTITUTE(E7919,",",""))+1</f>
        <v>6</v>
      </c>
      <c r="K7919" s="3" t="str">
        <f aca="false">IFERROR(INDEX('Teacher Lookup'!$B$2:$B$200,MATCH(A7919,'Teacher Lookup'!$A$2:$A$200,0)),"")</f>
        <v>CHU Nick</v>
      </c>
    </row>
    <row r="7920" customFormat="false" ht="15" hidden="false" customHeight="false" outlineLevel="0" collapsed="false">
      <c r="A7920" s="3" t="s">
        <v>487</v>
      </c>
      <c r="B7920" s="4" t="s">
        <v>66</v>
      </c>
      <c r="C7920" s="4" t="n">
        <v>5</v>
      </c>
      <c r="D7920" s="4" t="s">
        <v>107</v>
      </c>
      <c r="E7920" s="3" t="s">
        <v>320</v>
      </c>
      <c r="F7920" s="4" t="str">
        <f aca="false">IF(I7920&gt;J7920,"Y","N")</f>
        <v>Y</v>
      </c>
      <c r="G7920" s="3" t="s">
        <v>310</v>
      </c>
      <c r="H7920" s="3" t="s">
        <v>37</v>
      </c>
      <c r="I7920" s="4" t="n">
        <v>7</v>
      </c>
      <c r="J7920" s="4" t="n">
        <f aca="false">LEN(E7920)-LEN(SUBSTITUTE(E7920,",",""))+1</f>
        <v>6</v>
      </c>
      <c r="K7920" s="3" t="str">
        <f aca="false">IFERROR(INDEX('Teacher Lookup'!$B$2:$B$200,MATCH(A7920,'Teacher Lookup'!$A$2:$A$200,0)),"")</f>
        <v>CHU Nick</v>
      </c>
    </row>
    <row r="7921" customFormat="false" ht="15" hidden="false" customHeight="false" outlineLevel="0" collapsed="false">
      <c r="A7921" s="3" t="s">
        <v>487</v>
      </c>
      <c r="B7921" s="4" t="s">
        <v>66</v>
      </c>
      <c r="C7921" s="4" t="n">
        <v>6</v>
      </c>
      <c r="D7921" s="4" t="s">
        <v>24</v>
      </c>
      <c r="E7921" s="3" t="s">
        <v>385</v>
      </c>
      <c r="F7921" s="4" t="str">
        <f aca="false">IF(I7921&gt;J7921,"Y","N")</f>
        <v>N</v>
      </c>
      <c r="G7921" s="3" t="s">
        <v>378</v>
      </c>
      <c r="H7921" s="3" t="s">
        <v>42</v>
      </c>
      <c r="I7921" s="4" t="n">
        <v>8</v>
      </c>
      <c r="J7921" s="4" t="n">
        <f aca="false">LEN(E7921)-LEN(SUBSTITUTE(E7921,",",""))+1</f>
        <v>8</v>
      </c>
      <c r="K7921" s="3" t="str">
        <f aca="false">IFERROR(INDEX('Teacher Lookup'!$B$2:$B$200,MATCH(A7921,'Teacher Lookup'!$A$2:$A$200,0)),"")</f>
        <v>CHU Nick</v>
      </c>
    </row>
    <row r="7922" customFormat="false" ht="15" hidden="false" customHeight="false" outlineLevel="0" collapsed="false">
      <c r="A7922" s="3" t="s">
        <v>487</v>
      </c>
      <c r="B7922" s="4" t="s">
        <v>66</v>
      </c>
      <c r="C7922" s="4" t="n">
        <v>6</v>
      </c>
      <c r="D7922" s="4" t="s">
        <v>27</v>
      </c>
      <c r="E7922" s="3" t="s">
        <v>385</v>
      </c>
      <c r="F7922" s="4" t="str">
        <f aca="false">IF(I7922&gt;J7922,"Y","N")</f>
        <v>N</v>
      </c>
      <c r="G7922" s="3" t="s">
        <v>378</v>
      </c>
      <c r="H7922" s="3" t="s">
        <v>42</v>
      </c>
      <c r="I7922" s="4" t="n">
        <v>8</v>
      </c>
      <c r="J7922" s="4" t="n">
        <f aca="false">LEN(E7922)-LEN(SUBSTITUTE(E7922,",",""))+1</f>
        <v>8</v>
      </c>
      <c r="K7922" s="3" t="str">
        <f aca="false">IFERROR(INDEX('Teacher Lookup'!$B$2:$B$200,MATCH(A7922,'Teacher Lookup'!$A$2:$A$200,0)),"")</f>
        <v>CHU Nick</v>
      </c>
    </row>
    <row r="7923" customFormat="false" ht="15" hidden="false" customHeight="false" outlineLevel="0" collapsed="false">
      <c r="A7923" s="3" t="s">
        <v>487</v>
      </c>
      <c r="B7923" s="4" t="s">
        <v>66</v>
      </c>
      <c r="C7923" s="4" t="n">
        <v>6</v>
      </c>
      <c r="D7923" s="4" t="s">
        <v>28</v>
      </c>
      <c r="E7923" s="3" t="s">
        <v>385</v>
      </c>
      <c r="F7923" s="4" t="str">
        <f aca="false">IF(I7923&gt;J7923,"Y","N")</f>
        <v>N</v>
      </c>
      <c r="G7923" s="3" t="s">
        <v>378</v>
      </c>
      <c r="H7923" s="3" t="s">
        <v>42</v>
      </c>
      <c r="I7923" s="4" t="n">
        <v>8</v>
      </c>
      <c r="J7923" s="4" t="n">
        <f aca="false">LEN(E7923)-LEN(SUBSTITUTE(E7923,",",""))+1</f>
        <v>8</v>
      </c>
      <c r="K7923" s="3" t="str">
        <f aca="false">IFERROR(INDEX('Teacher Lookup'!$B$2:$B$200,MATCH(A7923,'Teacher Lookup'!$A$2:$A$200,0)),"")</f>
        <v>CHU Nick</v>
      </c>
    </row>
    <row r="7924" customFormat="false" ht="15" hidden="false" customHeight="false" outlineLevel="0" collapsed="false">
      <c r="A7924" s="3" t="s">
        <v>487</v>
      </c>
      <c r="B7924" s="4" t="s">
        <v>66</v>
      </c>
      <c r="C7924" s="4" t="n">
        <v>6</v>
      </c>
      <c r="D7924" s="4" t="s">
        <v>29</v>
      </c>
      <c r="E7924" s="3" t="s">
        <v>385</v>
      </c>
      <c r="F7924" s="4" t="str">
        <f aca="false">IF(I7924&gt;J7924,"Y","N")</f>
        <v>N</v>
      </c>
      <c r="G7924" s="3" t="s">
        <v>378</v>
      </c>
      <c r="H7924" s="3" t="s">
        <v>42</v>
      </c>
      <c r="I7924" s="4" t="n">
        <v>8</v>
      </c>
      <c r="J7924" s="4" t="n">
        <f aca="false">LEN(E7924)-LEN(SUBSTITUTE(E7924,",",""))+1</f>
        <v>8</v>
      </c>
      <c r="K7924" s="3" t="str">
        <f aca="false">IFERROR(INDEX('Teacher Lookup'!$B$2:$B$200,MATCH(A7924,'Teacher Lookup'!$A$2:$A$200,0)),"")</f>
        <v>CHU Nick</v>
      </c>
    </row>
    <row r="7925" customFormat="false" ht="15" hidden="false" customHeight="false" outlineLevel="0" collapsed="false">
      <c r="A7925" s="3" t="s">
        <v>487</v>
      </c>
      <c r="B7925" s="4" t="s">
        <v>66</v>
      </c>
      <c r="C7925" s="4" t="n">
        <v>6</v>
      </c>
      <c r="D7925" s="4" t="s">
        <v>30</v>
      </c>
      <c r="E7925" s="3" t="s">
        <v>385</v>
      </c>
      <c r="F7925" s="4" t="str">
        <f aca="false">IF(I7925&gt;J7925,"Y","N")</f>
        <v>N</v>
      </c>
      <c r="G7925" s="3" t="s">
        <v>378</v>
      </c>
      <c r="H7925" s="3" t="s">
        <v>42</v>
      </c>
      <c r="I7925" s="4" t="n">
        <v>8</v>
      </c>
      <c r="J7925" s="4" t="n">
        <f aca="false">LEN(E7925)-LEN(SUBSTITUTE(E7925,",",""))+1</f>
        <v>8</v>
      </c>
      <c r="K7925" s="3" t="str">
        <f aca="false">IFERROR(INDEX('Teacher Lookup'!$B$2:$B$200,MATCH(A7925,'Teacher Lookup'!$A$2:$A$200,0)),"")</f>
        <v>CHU Nick</v>
      </c>
    </row>
    <row r="7926" customFormat="false" ht="15" hidden="false" customHeight="false" outlineLevel="0" collapsed="false">
      <c r="A7926" s="3" t="s">
        <v>489</v>
      </c>
      <c r="B7926" s="4" t="s">
        <v>12</v>
      </c>
      <c r="C7926" s="4" t="n">
        <v>4</v>
      </c>
      <c r="D7926" s="4" t="s">
        <v>76</v>
      </c>
      <c r="E7926" s="3" t="s">
        <v>165</v>
      </c>
      <c r="F7926" s="4" t="str">
        <f aca="false">IF(I7926&gt;J7926,"Y","N")</f>
        <v>N</v>
      </c>
      <c r="G7926" s="3" t="s">
        <v>164</v>
      </c>
      <c r="H7926" s="3" t="s">
        <v>34</v>
      </c>
      <c r="I7926" s="4" t="n">
        <v>4</v>
      </c>
      <c r="J7926" s="4" t="n">
        <f aca="false">LEN(E7926)-LEN(SUBSTITUTE(E7926,",",""))+1</f>
        <v>4</v>
      </c>
      <c r="K7926" s="3" t="str">
        <f aca="false">IFERROR(INDEX('Teacher Lookup'!$B$2:$B$200,MATCH(A7926,'Teacher Lookup'!$A$2:$A$200,0)),"")</f>
        <v>PAIGE Nicole</v>
      </c>
    </row>
    <row r="7927" customFormat="false" ht="15" hidden="false" customHeight="false" outlineLevel="0" collapsed="false">
      <c r="A7927" s="3" t="s">
        <v>489</v>
      </c>
      <c r="B7927" s="4" t="s">
        <v>12</v>
      </c>
      <c r="C7927" s="4" t="n">
        <v>4</v>
      </c>
      <c r="D7927" s="4" t="s">
        <v>78</v>
      </c>
      <c r="E7927" s="3" t="s">
        <v>165</v>
      </c>
      <c r="F7927" s="4" t="str">
        <f aca="false">IF(I7927&gt;J7927,"Y","N")</f>
        <v>N</v>
      </c>
      <c r="G7927" s="3" t="s">
        <v>164</v>
      </c>
      <c r="H7927" s="3" t="s">
        <v>34</v>
      </c>
      <c r="I7927" s="4" t="n">
        <v>4</v>
      </c>
      <c r="J7927" s="4" t="n">
        <f aca="false">LEN(E7927)-LEN(SUBSTITUTE(E7927,",",""))+1</f>
        <v>4</v>
      </c>
      <c r="K7927" s="3" t="str">
        <f aca="false">IFERROR(INDEX('Teacher Lookup'!$B$2:$B$200,MATCH(A7927,'Teacher Lookup'!$A$2:$A$200,0)),"")</f>
        <v>PAIGE Nicole</v>
      </c>
    </row>
    <row r="7928" customFormat="false" ht="15" hidden="false" customHeight="false" outlineLevel="0" collapsed="false">
      <c r="A7928" s="3" t="s">
        <v>489</v>
      </c>
      <c r="B7928" s="4" t="s">
        <v>12</v>
      </c>
      <c r="C7928" s="4" t="n">
        <v>4</v>
      </c>
      <c r="D7928" s="4" t="s">
        <v>79</v>
      </c>
      <c r="E7928" s="3" t="s">
        <v>165</v>
      </c>
      <c r="F7928" s="4" t="str">
        <f aca="false">IF(I7928&gt;J7928,"Y","N")</f>
        <v>N</v>
      </c>
      <c r="G7928" s="3" t="s">
        <v>164</v>
      </c>
      <c r="H7928" s="3" t="s">
        <v>34</v>
      </c>
      <c r="I7928" s="4" t="n">
        <v>4</v>
      </c>
      <c r="J7928" s="4" t="n">
        <f aca="false">LEN(E7928)-LEN(SUBSTITUTE(E7928,",",""))+1</f>
        <v>4</v>
      </c>
      <c r="K7928" s="3" t="str">
        <f aca="false">IFERROR(INDEX('Teacher Lookup'!$B$2:$B$200,MATCH(A7928,'Teacher Lookup'!$A$2:$A$200,0)),"")</f>
        <v>PAIGE Nicole</v>
      </c>
    </row>
    <row r="7929" customFormat="false" ht="15" hidden="false" customHeight="false" outlineLevel="0" collapsed="false">
      <c r="A7929" s="3" t="s">
        <v>489</v>
      </c>
      <c r="B7929" s="4" t="s">
        <v>12</v>
      </c>
      <c r="C7929" s="4" t="n">
        <v>5</v>
      </c>
      <c r="D7929" s="4" t="s">
        <v>70</v>
      </c>
      <c r="E7929" s="3" t="s">
        <v>71</v>
      </c>
      <c r="F7929" s="4" t="str">
        <f aca="false">IF(I7929&gt;J7929,"Y","N")</f>
        <v>N</v>
      </c>
      <c r="G7929" s="3" t="s">
        <v>164</v>
      </c>
      <c r="H7929" s="3" t="s">
        <v>37</v>
      </c>
      <c r="I7929" s="4" t="n">
        <v>4</v>
      </c>
      <c r="J7929" s="4" t="n">
        <f aca="false">LEN(E7929)-LEN(SUBSTITUTE(E7929,",",""))+1</f>
        <v>4</v>
      </c>
      <c r="K7929" s="3" t="str">
        <f aca="false">IFERROR(INDEX('Teacher Lookup'!$B$2:$B$200,MATCH(A7929,'Teacher Lookup'!$A$2:$A$200,0)),"")</f>
        <v>PAIGE Nicole</v>
      </c>
    </row>
    <row r="7930" customFormat="false" ht="15" hidden="false" customHeight="false" outlineLevel="0" collapsed="false">
      <c r="A7930" s="3" t="s">
        <v>489</v>
      </c>
      <c r="B7930" s="4" t="s">
        <v>12</v>
      </c>
      <c r="C7930" s="4" t="n">
        <v>5</v>
      </c>
      <c r="D7930" s="4" t="s">
        <v>73</v>
      </c>
      <c r="E7930" s="3" t="s">
        <v>71</v>
      </c>
      <c r="F7930" s="4" t="str">
        <f aca="false">IF(I7930&gt;J7930,"Y","N")</f>
        <v>N</v>
      </c>
      <c r="G7930" s="3" t="s">
        <v>164</v>
      </c>
      <c r="H7930" s="3" t="s">
        <v>37</v>
      </c>
      <c r="I7930" s="4" t="n">
        <v>4</v>
      </c>
      <c r="J7930" s="4" t="n">
        <f aca="false">LEN(E7930)-LEN(SUBSTITUTE(E7930,",",""))+1</f>
        <v>4</v>
      </c>
      <c r="K7930" s="3" t="str">
        <f aca="false">IFERROR(INDEX('Teacher Lookup'!$B$2:$B$200,MATCH(A7930,'Teacher Lookup'!$A$2:$A$200,0)),"")</f>
        <v>PAIGE Nicole</v>
      </c>
    </row>
    <row r="7931" customFormat="false" ht="15" hidden="false" customHeight="false" outlineLevel="0" collapsed="false">
      <c r="A7931" s="3" t="s">
        <v>489</v>
      </c>
      <c r="B7931" s="4" t="s">
        <v>12</v>
      </c>
      <c r="C7931" s="4" t="n">
        <v>5</v>
      </c>
      <c r="D7931" s="4" t="s">
        <v>74</v>
      </c>
      <c r="E7931" s="3" t="s">
        <v>71</v>
      </c>
      <c r="F7931" s="4" t="str">
        <f aca="false">IF(I7931&gt;J7931,"Y","N")</f>
        <v>N</v>
      </c>
      <c r="G7931" s="3" t="s">
        <v>164</v>
      </c>
      <c r="H7931" s="3" t="s">
        <v>37</v>
      </c>
      <c r="I7931" s="4" t="n">
        <v>4</v>
      </c>
      <c r="J7931" s="4" t="n">
        <f aca="false">LEN(E7931)-LEN(SUBSTITUTE(E7931,",",""))+1</f>
        <v>4</v>
      </c>
      <c r="K7931" s="3" t="str">
        <f aca="false">IFERROR(INDEX('Teacher Lookup'!$B$2:$B$200,MATCH(A7931,'Teacher Lookup'!$A$2:$A$200,0)),"")</f>
        <v>PAIGE Nicole</v>
      </c>
    </row>
    <row r="7932" customFormat="false" ht="15" hidden="false" customHeight="false" outlineLevel="0" collapsed="false">
      <c r="A7932" s="3" t="s">
        <v>489</v>
      </c>
      <c r="B7932" s="4" t="s">
        <v>12</v>
      </c>
      <c r="C7932" s="4" t="n">
        <v>7</v>
      </c>
      <c r="D7932" s="4" t="s">
        <v>19</v>
      </c>
      <c r="E7932" s="3" t="s">
        <v>33</v>
      </c>
      <c r="F7932" s="4" t="str">
        <f aca="false">IF(I7932&gt;J7932,"Y","N")</f>
        <v>N</v>
      </c>
      <c r="G7932" s="3" t="s">
        <v>164</v>
      </c>
      <c r="H7932" s="3" t="s">
        <v>39</v>
      </c>
      <c r="I7932" s="4" t="n">
        <v>4</v>
      </c>
      <c r="J7932" s="4" t="n">
        <f aca="false">LEN(E7932)-LEN(SUBSTITUTE(E7932,",",""))+1</f>
        <v>4</v>
      </c>
      <c r="K7932" s="3" t="str">
        <f aca="false">IFERROR(INDEX('Teacher Lookup'!$B$2:$B$200,MATCH(A7932,'Teacher Lookup'!$A$2:$A$200,0)),"")</f>
        <v>PAIGE Nicole</v>
      </c>
    </row>
    <row r="7933" customFormat="false" ht="15" hidden="false" customHeight="false" outlineLevel="0" collapsed="false">
      <c r="A7933" s="3" t="s">
        <v>489</v>
      </c>
      <c r="B7933" s="4" t="s">
        <v>12</v>
      </c>
      <c r="C7933" s="4" t="n">
        <v>7</v>
      </c>
      <c r="D7933" s="4" t="s">
        <v>22</v>
      </c>
      <c r="E7933" s="3" t="s">
        <v>33</v>
      </c>
      <c r="F7933" s="4" t="str">
        <f aca="false">IF(I7933&gt;J7933,"Y","N")</f>
        <v>N</v>
      </c>
      <c r="G7933" s="3" t="s">
        <v>164</v>
      </c>
      <c r="H7933" s="3" t="s">
        <v>39</v>
      </c>
      <c r="I7933" s="4" t="n">
        <v>4</v>
      </c>
      <c r="J7933" s="4" t="n">
        <f aca="false">LEN(E7933)-LEN(SUBSTITUTE(E7933,",",""))+1</f>
        <v>4</v>
      </c>
      <c r="K7933" s="3" t="str">
        <f aca="false">IFERROR(INDEX('Teacher Lookup'!$B$2:$B$200,MATCH(A7933,'Teacher Lookup'!$A$2:$A$200,0)),"")</f>
        <v>PAIGE Nicole</v>
      </c>
    </row>
    <row r="7934" customFormat="false" ht="15" hidden="false" customHeight="false" outlineLevel="0" collapsed="false">
      <c r="A7934" s="3" t="s">
        <v>489</v>
      </c>
      <c r="B7934" s="4" t="s">
        <v>12</v>
      </c>
      <c r="C7934" s="4" t="n">
        <v>7</v>
      </c>
      <c r="D7934" s="4" t="s">
        <v>23</v>
      </c>
      <c r="E7934" s="3" t="s">
        <v>33</v>
      </c>
      <c r="F7934" s="4" t="str">
        <f aca="false">IF(I7934&gt;J7934,"Y","N")</f>
        <v>N</v>
      </c>
      <c r="G7934" s="3" t="s">
        <v>164</v>
      </c>
      <c r="H7934" s="3" t="s">
        <v>39</v>
      </c>
      <c r="I7934" s="4" t="n">
        <v>4</v>
      </c>
      <c r="J7934" s="4" t="n">
        <f aca="false">LEN(E7934)-LEN(SUBSTITUTE(E7934,",",""))+1</f>
        <v>4</v>
      </c>
      <c r="K7934" s="3" t="str">
        <f aca="false">IFERROR(INDEX('Teacher Lookup'!$B$2:$B$200,MATCH(A7934,'Teacher Lookup'!$A$2:$A$200,0)),"")</f>
        <v>PAIGE Nicole</v>
      </c>
    </row>
    <row r="7935" customFormat="false" ht="15" hidden="false" customHeight="false" outlineLevel="0" collapsed="false">
      <c r="A7935" s="3" t="s">
        <v>489</v>
      </c>
      <c r="B7935" s="4" t="s">
        <v>31</v>
      </c>
      <c r="C7935" s="4" t="n">
        <v>2</v>
      </c>
      <c r="D7935" s="4" t="s">
        <v>19</v>
      </c>
      <c r="E7935" s="3" t="s">
        <v>33</v>
      </c>
      <c r="F7935" s="4" t="str">
        <f aca="false">IF(I7935&gt;J7935,"Y","N")</f>
        <v>N</v>
      </c>
      <c r="G7935" s="3" t="s">
        <v>164</v>
      </c>
      <c r="H7935" s="3" t="s">
        <v>21</v>
      </c>
      <c r="I7935" s="4" t="n">
        <v>4</v>
      </c>
      <c r="J7935" s="4" t="n">
        <f aca="false">LEN(E7935)-LEN(SUBSTITUTE(E7935,",",""))+1</f>
        <v>4</v>
      </c>
      <c r="K7935" s="3" t="str">
        <f aca="false">IFERROR(INDEX('Teacher Lookup'!$B$2:$B$200,MATCH(A7935,'Teacher Lookup'!$A$2:$A$200,0)),"")</f>
        <v>PAIGE Nicole</v>
      </c>
    </row>
    <row r="7936" customFormat="false" ht="15" hidden="false" customHeight="false" outlineLevel="0" collapsed="false">
      <c r="A7936" s="3" t="s">
        <v>489</v>
      </c>
      <c r="B7936" s="4" t="s">
        <v>31</v>
      </c>
      <c r="C7936" s="4" t="n">
        <v>2</v>
      </c>
      <c r="D7936" s="4" t="s">
        <v>22</v>
      </c>
      <c r="E7936" s="3" t="s">
        <v>33</v>
      </c>
      <c r="F7936" s="4" t="str">
        <f aca="false">IF(I7936&gt;J7936,"Y","N")</f>
        <v>N</v>
      </c>
      <c r="G7936" s="3" t="s">
        <v>164</v>
      </c>
      <c r="H7936" s="3" t="s">
        <v>21</v>
      </c>
      <c r="I7936" s="4" t="n">
        <v>4</v>
      </c>
      <c r="J7936" s="4" t="n">
        <f aca="false">LEN(E7936)-LEN(SUBSTITUTE(E7936,",",""))+1</f>
        <v>4</v>
      </c>
      <c r="K7936" s="3" t="str">
        <f aca="false">IFERROR(INDEX('Teacher Lookup'!$B$2:$B$200,MATCH(A7936,'Teacher Lookup'!$A$2:$A$200,0)),"")</f>
        <v>PAIGE Nicole</v>
      </c>
    </row>
    <row r="7937" customFormat="false" ht="15" hidden="false" customHeight="false" outlineLevel="0" collapsed="false">
      <c r="A7937" s="3" t="s">
        <v>489</v>
      </c>
      <c r="B7937" s="4" t="s">
        <v>31</v>
      </c>
      <c r="C7937" s="4" t="n">
        <v>2</v>
      </c>
      <c r="D7937" s="4" t="s">
        <v>23</v>
      </c>
      <c r="E7937" s="3" t="s">
        <v>33</v>
      </c>
      <c r="F7937" s="4" t="str">
        <f aca="false">IF(I7937&gt;J7937,"Y","N")</f>
        <v>N</v>
      </c>
      <c r="G7937" s="3" t="s">
        <v>164</v>
      </c>
      <c r="H7937" s="3" t="s">
        <v>21</v>
      </c>
      <c r="I7937" s="4" t="n">
        <v>4</v>
      </c>
      <c r="J7937" s="4" t="n">
        <f aca="false">LEN(E7937)-LEN(SUBSTITUTE(E7937,",",""))+1</f>
        <v>4</v>
      </c>
      <c r="K7937" s="3" t="str">
        <f aca="false">IFERROR(INDEX('Teacher Lookup'!$B$2:$B$200,MATCH(A7937,'Teacher Lookup'!$A$2:$A$200,0)),"")</f>
        <v>PAIGE Nicole</v>
      </c>
    </row>
    <row r="7938" customFormat="false" ht="15" hidden="false" customHeight="false" outlineLevel="0" collapsed="false">
      <c r="A7938" s="3" t="s">
        <v>489</v>
      </c>
      <c r="B7938" s="4" t="s">
        <v>31</v>
      </c>
      <c r="C7938" s="4" t="n">
        <v>3</v>
      </c>
      <c r="D7938" s="4" t="s">
        <v>76</v>
      </c>
      <c r="E7938" s="3" t="s">
        <v>168</v>
      </c>
      <c r="F7938" s="4" t="str">
        <f aca="false">IF(I7938&gt;J7938,"Y","N")</f>
        <v>N</v>
      </c>
      <c r="G7938" s="3" t="s">
        <v>164</v>
      </c>
      <c r="H7938" s="3" t="s">
        <v>26</v>
      </c>
      <c r="I7938" s="4" t="n">
        <v>4</v>
      </c>
      <c r="J7938" s="4" t="n">
        <f aca="false">LEN(E7938)-LEN(SUBSTITUTE(E7938,",",""))+1</f>
        <v>4</v>
      </c>
      <c r="K7938" s="3" t="str">
        <f aca="false">IFERROR(INDEX('Teacher Lookup'!$B$2:$B$200,MATCH(A7938,'Teacher Lookup'!$A$2:$A$200,0)),"")</f>
        <v>PAIGE Nicole</v>
      </c>
    </row>
    <row r="7939" customFormat="false" ht="15" hidden="false" customHeight="false" outlineLevel="0" collapsed="false">
      <c r="A7939" s="3" t="s">
        <v>489</v>
      </c>
      <c r="B7939" s="4" t="s">
        <v>31</v>
      </c>
      <c r="C7939" s="4" t="n">
        <v>3</v>
      </c>
      <c r="D7939" s="4" t="s">
        <v>78</v>
      </c>
      <c r="E7939" s="3" t="s">
        <v>168</v>
      </c>
      <c r="F7939" s="4" t="str">
        <f aca="false">IF(I7939&gt;J7939,"Y","N")</f>
        <v>N</v>
      </c>
      <c r="G7939" s="3" t="s">
        <v>164</v>
      </c>
      <c r="H7939" s="3" t="s">
        <v>26</v>
      </c>
      <c r="I7939" s="4" t="n">
        <v>4</v>
      </c>
      <c r="J7939" s="4" t="n">
        <f aca="false">LEN(E7939)-LEN(SUBSTITUTE(E7939,",",""))+1</f>
        <v>4</v>
      </c>
      <c r="K7939" s="3" t="str">
        <f aca="false">IFERROR(INDEX('Teacher Lookup'!$B$2:$B$200,MATCH(A7939,'Teacher Lookup'!$A$2:$A$200,0)),"")</f>
        <v>PAIGE Nicole</v>
      </c>
    </row>
    <row r="7940" customFormat="false" ht="15" hidden="false" customHeight="false" outlineLevel="0" collapsed="false">
      <c r="A7940" s="3" t="s">
        <v>489</v>
      </c>
      <c r="B7940" s="4" t="s">
        <v>31</v>
      </c>
      <c r="C7940" s="4" t="n">
        <v>3</v>
      </c>
      <c r="D7940" s="4" t="s">
        <v>79</v>
      </c>
      <c r="E7940" s="3" t="s">
        <v>168</v>
      </c>
      <c r="F7940" s="4" t="str">
        <f aca="false">IF(I7940&gt;J7940,"Y","N")</f>
        <v>N</v>
      </c>
      <c r="G7940" s="3" t="s">
        <v>164</v>
      </c>
      <c r="H7940" s="3" t="s">
        <v>26</v>
      </c>
      <c r="I7940" s="4" t="n">
        <v>4</v>
      </c>
      <c r="J7940" s="4" t="n">
        <f aca="false">LEN(E7940)-LEN(SUBSTITUTE(E7940,",",""))+1</f>
        <v>4</v>
      </c>
      <c r="K7940" s="3" t="str">
        <f aca="false">IFERROR(INDEX('Teacher Lookup'!$B$2:$B$200,MATCH(A7940,'Teacher Lookup'!$A$2:$A$200,0)),"")</f>
        <v>PAIGE Nicole</v>
      </c>
    </row>
    <row r="7941" customFormat="false" ht="15" hidden="false" customHeight="false" outlineLevel="0" collapsed="false">
      <c r="A7941" s="3" t="s">
        <v>489</v>
      </c>
      <c r="B7941" s="4" t="s">
        <v>31</v>
      </c>
      <c r="C7941" s="4" t="n">
        <v>5</v>
      </c>
      <c r="D7941" s="4" t="s">
        <v>19</v>
      </c>
      <c r="E7941" s="3" t="s">
        <v>35</v>
      </c>
      <c r="F7941" s="4" t="str">
        <f aca="false">IF(I7941&gt;J7941,"Y","N")</f>
        <v>Y</v>
      </c>
      <c r="G7941" s="3" t="s">
        <v>36</v>
      </c>
      <c r="H7941" s="3" t="s">
        <v>37</v>
      </c>
      <c r="I7941" s="4" t="n">
        <v>17</v>
      </c>
      <c r="J7941" s="4" t="n">
        <f aca="false">LEN(E7941)-LEN(SUBSTITUTE(E7941,",",""))+1</f>
        <v>7</v>
      </c>
      <c r="K7941" s="3" t="str">
        <f aca="false">IFERROR(INDEX('Teacher Lookup'!$B$2:$B$200,MATCH(A7941,'Teacher Lookup'!$A$2:$A$200,0)),"")</f>
        <v>PAIGE Nicole</v>
      </c>
    </row>
    <row r="7942" customFormat="false" ht="15" hidden="false" customHeight="false" outlineLevel="0" collapsed="false">
      <c r="A7942" s="3" t="s">
        <v>489</v>
      </c>
      <c r="B7942" s="4" t="s">
        <v>31</v>
      </c>
      <c r="C7942" s="4" t="n">
        <v>5</v>
      </c>
      <c r="D7942" s="4" t="s">
        <v>22</v>
      </c>
      <c r="E7942" s="3" t="s">
        <v>35</v>
      </c>
      <c r="F7942" s="4" t="str">
        <f aca="false">IF(I7942&gt;J7942,"Y","N")</f>
        <v>Y</v>
      </c>
      <c r="G7942" s="3" t="s">
        <v>36</v>
      </c>
      <c r="H7942" s="3" t="s">
        <v>37</v>
      </c>
      <c r="I7942" s="4" t="n">
        <v>17</v>
      </c>
      <c r="J7942" s="4" t="n">
        <f aca="false">LEN(E7942)-LEN(SUBSTITUTE(E7942,",",""))+1</f>
        <v>7</v>
      </c>
      <c r="K7942" s="3" t="str">
        <f aca="false">IFERROR(INDEX('Teacher Lookup'!$B$2:$B$200,MATCH(A7942,'Teacher Lookup'!$A$2:$A$200,0)),"")</f>
        <v>PAIGE Nicole</v>
      </c>
    </row>
    <row r="7943" customFormat="false" ht="15" hidden="false" customHeight="false" outlineLevel="0" collapsed="false">
      <c r="A7943" s="3" t="s">
        <v>489</v>
      </c>
      <c r="B7943" s="4" t="s">
        <v>31</v>
      </c>
      <c r="C7943" s="4" t="n">
        <v>5</v>
      </c>
      <c r="D7943" s="4" t="s">
        <v>23</v>
      </c>
      <c r="E7943" s="3" t="s">
        <v>35</v>
      </c>
      <c r="F7943" s="4" t="str">
        <f aca="false">IF(I7943&gt;J7943,"Y","N")</f>
        <v>Y</v>
      </c>
      <c r="G7943" s="3" t="s">
        <v>36</v>
      </c>
      <c r="H7943" s="3" t="s">
        <v>37</v>
      </c>
      <c r="I7943" s="4" t="n">
        <v>17</v>
      </c>
      <c r="J7943" s="4" t="n">
        <f aca="false">LEN(E7943)-LEN(SUBSTITUTE(E7943,",",""))+1</f>
        <v>7</v>
      </c>
      <c r="K7943" s="3" t="str">
        <f aca="false">IFERROR(INDEX('Teacher Lookup'!$B$2:$B$200,MATCH(A7943,'Teacher Lookup'!$A$2:$A$200,0)),"")</f>
        <v>PAIGE Nicole</v>
      </c>
    </row>
    <row r="7944" customFormat="false" ht="15" hidden="false" customHeight="false" outlineLevel="0" collapsed="false">
      <c r="A7944" s="3" t="s">
        <v>489</v>
      </c>
      <c r="B7944" s="4" t="s">
        <v>31</v>
      </c>
      <c r="C7944" s="4" t="n">
        <v>5</v>
      </c>
      <c r="D7944" s="4" t="s">
        <v>13</v>
      </c>
      <c r="E7944" s="3" t="s">
        <v>35</v>
      </c>
      <c r="F7944" s="4" t="str">
        <f aca="false">IF(I7944&gt;J7944,"Y","N")</f>
        <v>Y</v>
      </c>
      <c r="G7944" s="3" t="s">
        <v>36</v>
      </c>
      <c r="H7944" s="3" t="s">
        <v>37</v>
      </c>
      <c r="I7944" s="4" t="n">
        <v>17</v>
      </c>
      <c r="J7944" s="4" t="n">
        <f aca="false">LEN(E7944)-LEN(SUBSTITUTE(E7944,",",""))+1</f>
        <v>7</v>
      </c>
      <c r="K7944" s="3" t="str">
        <f aca="false">IFERROR(INDEX('Teacher Lookup'!$B$2:$B$200,MATCH(A7944,'Teacher Lookup'!$A$2:$A$200,0)),"")</f>
        <v>PAIGE Nicole</v>
      </c>
    </row>
    <row r="7945" customFormat="false" ht="15" hidden="false" customHeight="false" outlineLevel="0" collapsed="false">
      <c r="A7945" s="3" t="s">
        <v>489</v>
      </c>
      <c r="B7945" s="4" t="s">
        <v>31</v>
      </c>
      <c r="C7945" s="4" t="n">
        <v>5</v>
      </c>
      <c r="D7945" s="4" t="s">
        <v>17</v>
      </c>
      <c r="E7945" s="3" t="s">
        <v>35</v>
      </c>
      <c r="F7945" s="4" t="str">
        <f aca="false">IF(I7945&gt;J7945,"Y","N")</f>
        <v>Y</v>
      </c>
      <c r="G7945" s="3" t="s">
        <v>36</v>
      </c>
      <c r="H7945" s="3" t="s">
        <v>37</v>
      </c>
      <c r="I7945" s="4" t="n">
        <v>17</v>
      </c>
      <c r="J7945" s="4" t="n">
        <f aca="false">LEN(E7945)-LEN(SUBSTITUTE(E7945,",",""))+1</f>
        <v>7</v>
      </c>
      <c r="K7945" s="3" t="str">
        <f aca="false">IFERROR(INDEX('Teacher Lookup'!$B$2:$B$200,MATCH(A7945,'Teacher Lookup'!$A$2:$A$200,0)),"")</f>
        <v>PAIGE Nicole</v>
      </c>
    </row>
    <row r="7946" customFormat="false" ht="15" hidden="false" customHeight="false" outlineLevel="0" collapsed="false">
      <c r="A7946" s="3" t="s">
        <v>489</v>
      </c>
      <c r="B7946" s="4" t="s">
        <v>31</v>
      </c>
      <c r="C7946" s="4" t="n">
        <v>5</v>
      </c>
      <c r="D7946" s="4" t="s">
        <v>18</v>
      </c>
      <c r="E7946" s="3" t="s">
        <v>35</v>
      </c>
      <c r="F7946" s="4" t="str">
        <f aca="false">IF(I7946&gt;J7946,"Y","N")</f>
        <v>Y</v>
      </c>
      <c r="G7946" s="3" t="s">
        <v>36</v>
      </c>
      <c r="H7946" s="3" t="s">
        <v>37</v>
      </c>
      <c r="I7946" s="4" t="n">
        <v>17</v>
      </c>
      <c r="J7946" s="4" t="n">
        <f aca="false">LEN(E7946)-LEN(SUBSTITUTE(E7946,",",""))+1</f>
        <v>7</v>
      </c>
      <c r="K7946" s="3" t="str">
        <f aca="false">IFERROR(INDEX('Teacher Lookup'!$B$2:$B$200,MATCH(A7946,'Teacher Lookup'!$A$2:$A$200,0)),"")</f>
        <v>PAIGE Nicole</v>
      </c>
    </row>
    <row r="7947" customFormat="false" ht="15" hidden="false" customHeight="false" outlineLevel="0" collapsed="false">
      <c r="A7947" s="3" t="s">
        <v>489</v>
      </c>
      <c r="B7947" s="4" t="s">
        <v>31</v>
      </c>
      <c r="C7947" s="4" t="n">
        <v>6</v>
      </c>
      <c r="D7947" s="4" t="s">
        <v>70</v>
      </c>
      <c r="E7947" s="3" t="s">
        <v>371</v>
      </c>
      <c r="F7947" s="4" t="str">
        <f aca="false">IF(I7947&gt;J7947,"Y","N")</f>
        <v>N</v>
      </c>
      <c r="G7947" s="3" t="s">
        <v>164</v>
      </c>
      <c r="H7947" s="3" t="s">
        <v>42</v>
      </c>
      <c r="I7947" s="4" t="n">
        <v>4</v>
      </c>
      <c r="J7947" s="4" t="n">
        <f aca="false">LEN(E7947)-LEN(SUBSTITUTE(E7947,",",""))+1</f>
        <v>4</v>
      </c>
      <c r="K7947" s="3" t="str">
        <f aca="false">IFERROR(INDEX('Teacher Lookup'!$B$2:$B$200,MATCH(A7947,'Teacher Lookup'!$A$2:$A$200,0)),"")</f>
        <v>PAIGE Nicole</v>
      </c>
    </row>
    <row r="7948" customFormat="false" ht="15" hidden="false" customHeight="false" outlineLevel="0" collapsed="false">
      <c r="A7948" s="3" t="s">
        <v>489</v>
      </c>
      <c r="B7948" s="4" t="s">
        <v>31</v>
      </c>
      <c r="C7948" s="4" t="n">
        <v>6</v>
      </c>
      <c r="D7948" s="4" t="s">
        <v>73</v>
      </c>
      <c r="E7948" s="3" t="s">
        <v>371</v>
      </c>
      <c r="F7948" s="4" t="str">
        <f aca="false">IF(I7948&gt;J7948,"Y","N")</f>
        <v>N</v>
      </c>
      <c r="G7948" s="3" t="s">
        <v>164</v>
      </c>
      <c r="H7948" s="3" t="s">
        <v>42</v>
      </c>
      <c r="I7948" s="4" t="n">
        <v>4</v>
      </c>
      <c r="J7948" s="4" t="n">
        <f aca="false">LEN(E7948)-LEN(SUBSTITUTE(E7948,",",""))+1</f>
        <v>4</v>
      </c>
      <c r="K7948" s="3" t="str">
        <f aca="false">IFERROR(INDEX('Teacher Lookup'!$B$2:$B$200,MATCH(A7948,'Teacher Lookup'!$A$2:$A$200,0)),"")</f>
        <v>PAIGE Nicole</v>
      </c>
    </row>
    <row r="7949" customFormat="false" ht="15" hidden="false" customHeight="false" outlineLevel="0" collapsed="false">
      <c r="A7949" s="3" t="s">
        <v>489</v>
      </c>
      <c r="B7949" s="4" t="s">
        <v>31</v>
      </c>
      <c r="C7949" s="4" t="n">
        <v>6</v>
      </c>
      <c r="D7949" s="4" t="s">
        <v>74</v>
      </c>
      <c r="E7949" s="3" t="s">
        <v>371</v>
      </c>
      <c r="F7949" s="4" t="str">
        <f aca="false">IF(I7949&gt;J7949,"Y","N")</f>
        <v>N</v>
      </c>
      <c r="G7949" s="3" t="s">
        <v>164</v>
      </c>
      <c r="H7949" s="3" t="s">
        <v>42</v>
      </c>
      <c r="I7949" s="4" t="n">
        <v>4</v>
      </c>
      <c r="J7949" s="4" t="n">
        <f aca="false">LEN(E7949)-LEN(SUBSTITUTE(E7949,",",""))+1</f>
        <v>4</v>
      </c>
      <c r="K7949" s="3" t="str">
        <f aca="false">IFERROR(INDEX('Teacher Lookup'!$B$2:$B$200,MATCH(A7949,'Teacher Lookup'!$A$2:$A$200,0)),"")</f>
        <v>PAIGE Nicole</v>
      </c>
    </row>
    <row r="7950" customFormat="false" ht="15" hidden="false" customHeight="false" outlineLevel="0" collapsed="false">
      <c r="A7950" s="3" t="s">
        <v>489</v>
      </c>
      <c r="B7950" s="4" t="s">
        <v>40</v>
      </c>
      <c r="C7950" s="4" t="n">
        <v>2</v>
      </c>
      <c r="D7950" s="4" t="s">
        <v>19</v>
      </c>
      <c r="E7950" s="3" t="s">
        <v>419</v>
      </c>
      <c r="F7950" s="4" t="str">
        <f aca="false">IF(I7950&gt;J7950,"Y","N")</f>
        <v>N</v>
      </c>
      <c r="G7950" s="3" t="s">
        <v>164</v>
      </c>
      <c r="H7950" s="3" t="s">
        <v>21</v>
      </c>
      <c r="I7950" s="4" t="n">
        <v>4</v>
      </c>
      <c r="J7950" s="4" t="n">
        <f aca="false">LEN(E7950)-LEN(SUBSTITUTE(E7950,",",""))+1</f>
        <v>4</v>
      </c>
      <c r="K7950" s="3" t="str">
        <f aca="false">IFERROR(INDEX('Teacher Lookup'!$B$2:$B$200,MATCH(A7950,'Teacher Lookup'!$A$2:$A$200,0)),"")</f>
        <v>PAIGE Nicole</v>
      </c>
    </row>
    <row r="7951" customFormat="false" ht="15" hidden="false" customHeight="false" outlineLevel="0" collapsed="false">
      <c r="A7951" s="3" t="s">
        <v>489</v>
      </c>
      <c r="B7951" s="4" t="s">
        <v>40</v>
      </c>
      <c r="C7951" s="4" t="n">
        <v>2</v>
      </c>
      <c r="D7951" s="4" t="s">
        <v>22</v>
      </c>
      <c r="E7951" s="3" t="s">
        <v>419</v>
      </c>
      <c r="F7951" s="4" t="str">
        <f aca="false">IF(I7951&gt;J7951,"Y","N")</f>
        <v>N</v>
      </c>
      <c r="G7951" s="3" t="s">
        <v>164</v>
      </c>
      <c r="H7951" s="3" t="s">
        <v>21</v>
      </c>
      <c r="I7951" s="4" t="n">
        <v>4</v>
      </c>
      <c r="J7951" s="4" t="n">
        <f aca="false">LEN(E7951)-LEN(SUBSTITUTE(E7951,",",""))+1</f>
        <v>4</v>
      </c>
      <c r="K7951" s="3" t="str">
        <f aca="false">IFERROR(INDEX('Teacher Lookup'!$B$2:$B$200,MATCH(A7951,'Teacher Lookup'!$A$2:$A$200,0)),"")</f>
        <v>PAIGE Nicole</v>
      </c>
    </row>
    <row r="7952" customFormat="false" ht="15" hidden="false" customHeight="false" outlineLevel="0" collapsed="false">
      <c r="A7952" s="3" t="s">
        <v>489</v>
      </c>
      <c r="B7952" s="4" t="s">
        <v>40</v>
      </c>
      <c r="C7952" s="4" t="n">
        <v>2</v>
      </c>
      <c r="D7952" s="4" t="s">
        <v>23</v>
      </c>
      <c r="E7952" s="3" t="s">
        <v>419</v>
      </c>
      <c r="F7952" s="4" t="str">
        <f aca="false">IF(I7952&gt;J7952,"Y","N")</f>
        <v>N</v>
      </c>
      <c r="G7952" s="3" t="s">
        <v>164</v>
      </c>
      <c r="H7952" s="3" t="s">
        <v>21</v>
      </c>
      <c r="I7952" s="4" t="n">
        <v>4</v>
      </c>
      <c r="J7952" s="4" t="n">
        <f aca="false">LEN(E7952)-LEN(SUBSTITUTE(E7952,",",""))+1</f>
        <v>4</v>
      </c>
      <c r="K7952" s="3" t="str">
        <f aca="false">IFERROR(INDEX('Teacher Lookup'!$B$2:$B$200,MATCH(A7952,'Teacher Lookup'!$A$2:$A$200,0)),"")</f>
        <v>PAIGE Nicole</v>
      </c>
    </row>
    <row r="7953" customFormat="false" ht="15" hidden="false" customHeight="false" outlineLevel="0" collapsed="false">
      <c r="A7953" s="3" t="s">
        <v>489</v>
      </c>
      <c r="B7953" s="4" t="s">
        <v>40</v>
      </c>
      <c r="C7953" s="4" t="n">
        <v>5</v>
      </c>
      <c r="D7953" s="4" t="s">
        <v>76</v>
      </c>
      <c r="E7953" s="3" t="s">
        <v>84</v>
      </c>
      <c r="F7953" s="4" t="str">
        <f aca="false">IF(I7953&gt;J7953,"Y","N")</f>
        <v>N</v>
      </c>
      <c r="G7953" s="3" t="s">
        <v>164</v>
      </c>
      <c r="H7953" s="3" t="s">
        <v>37</v>
      </c>
      <c r="I7953" s="4" t="n">
        <v>4</v>
      </c>
      <c r="J7953" s="4" t="n">
        <f aca="false">LEN(E7953)-LEN(SUBSTITUTE(E7953,",",""))+1</f>
        <v>4</v>
      </c>
      <c r="K7953" s="3" t="str">
        <f aca="false">IFERROR(INDEX('Teacher Lookup'!$B$2:$B$200,MATCH(A7953,'Teacher Lookup'!$A$2:$A$200,0)),"")</f>
        <v>PAIGE Nicole</v>
      </c>
    </row>
    <row r="7954" customFormat="false" ht="15" hidden="false" customHeight="false" outlineLevel="0" collapsed="false">
      <c r="A7954" s="3" t="s">
        <v>489</v>
      </c>
      <c r="B7954" s="4" t="s">
        <v>40</v>
      </c>
      <c r="C7954" s="4" t="n">
        <v>5</v>
      </c>
      <c r="D7954" s="4" t="s">
        <v>78</v>
      </c>
      <c r="E7954" s="3" t="s">
        <v>84</v>
      </c>
      <c r="F7954" s="4" t="str">
        <f aca="false">IF(I7954&gt;J7954,"Y","N")</f>
        <v>N</v>
      </c>
      <c r="G7954" s="3" t="s">
        <v>164</v>
      </c>
      <c r="H7954" s="3" t="s">
        <v>37</v>
      </c>
      <c r="I7954" s="4" t="n">
        <v>4</v>
      </c>
      <c r="J7954" s="4" t="n">
        <f aca="false">LEN(E7954)-LEN(SUBSTITUTE(E7954,",",""))+1</f>
        <v>4</v>
      </c>
      <c r="K7954" s="3" t="str">
        <f aca="false">IFERROR(INDEX('Teacher Lookup'!$B$2:$B$200,MATCH(A7954,'Teacher Lookup'!$A$2:$A$200,0)),"")</f>
        <v>PAIGE Nicole</v>
      </c>
    </row>
    <row r="7955" customFormat="false" ht="15" hidden="false" customHeight="false" outlineLevel="0" collapsed="false">
      <c r="A7955" s="3" t="s">
        <v>489</v>
      </c>
      <c r="B7955" s="4" t="s">
        <v>40</v>
      </c>
      <c r="C7955" s="4" t="n">
        <v>5</v>
      </c>
      <c r="D7955" s="4" t="s">
        <v>79</v>
      </c>
      <c r="E7955" s="3" t="s">
        <v>84</v>
      </c>
      <c r="F7955" s="4" t="str">
        <f aca="false">IF(I7955&gt;J7955,"Y","N")</f>
        <v>N</v>
      </c>
      <c r="G7955" s="3" t="s">
        <v>164</v>
      </c>
      <c r="H7955" s="3" t="s">
        <v>37</v>
      </c>
      <c r="I7955" s="4" t="n">
        <v>4</v>
      </c>
      <c r="J7955" s="4" t="n">
        <f aca="false">LEN(E7955)-LEN(SUBSTITUTE(E7955,",",""))+1</f>
        <v>4</v>
      </c>
      <c r="K7955" s="3" t="str">
        <f aca="false">IFERROR(INDEX('Teacher Lookup'!$B$2:$B$200,MATCH(A7955,'Teacher Lookup'!$A$2:$A$200,0)),"")</f>
        <v>PAIGE Nicole</v>
      </c>
    </row>
    <row r="7956" customFormat="false" ht="15" hidden="false" customHeight="false" outlineLevel="0" collapsed="false">
      <c r="A7956" s="3" t="s">
        <v>489</v>
      </c>
      <c r="B7956" s="4" t="s">
        <v>40</v>
      </c>
      <c r="C7956" s="4" t="n">
        <v>6</v>
      </c>
      <c r="D7956" s="4" t="s">
        <v>70</v>
      </c>
      <c r="E7956" s="3" t="s">
        <v>225</v>
      </c>
      <c r="F7956" s="4" t="str">
        <f aca="false">IF(I7956&gt;J7956,"Y","N")</f>
        <v>N</v>
      </c>
      <c r="G7956" s="3" t="s">
        <v>164</v>
      </c>
      <c r="H7956" s="3" t="s">
        <v>42</v>
      </c>
      <c r="I7956" s="4" t="n">
        <v>4</v>
      </c>
      <c r="J7956" s="4" t="n">
        <f aca="false">LEN(E7956)-LEN(SUBSTITUTE(E7956,",",""))+1</f>
        <v>4</v>
      </c>
      <c r="K7956" s="3" t="str">
        <f aca="false">IFERROR(INDEX('Teacher Lookup'!$B$2:$B$200,MATCH(A7956,'Teacher Lookup'!$A$2:$A$200,0)),"")</f>
        <v>PAIGE Nicole</v>
      </c>
    </row>
    <row r="7957" customFormat="false" ht="15" hidden="false" customHeight="false" outlineLevel="0" collapsed="false">
      <c r="A7957" s="3" t="s">
        <v>489</v>
      </c>
      <c r="B7957" s="4" t="s">
        <v>40</v>
      </c>
      <c r="C7957" s="4" t="n">
        <v>6</v>
      </c>
      <c r="D7957" s="4" t="s">
        <v>73</v>
      </c>
      <c r="E7957" s="3" t="s">
        <v>225</v>
      </c>
      <c r="F7957" s="4" t="str">
        <f aca="false">IF(I7957&gt;J7957,"Y","N")</f>
        <v>N</v>
      </c>
      <c r="G7957" s="3" t="s">
        <v>164</v>
      </c>
      <c r="H7957" s="3" t="s">
        <v>42</v>
      </c>
      <c r="I7957" s="4" t="n">
        <v>4</v>
      </c>
      <c r="J7957" s="4" t="n">
        <f aca="false">LEN(E7957)-LEN(SUBSTITUTE(E7957,",",""))+1</f>
        <v>4</v>
      </c>
      <c r="K7957" s="3" t="str">
        <f aca="false">IFERROR(INDEX('Teacher Lookup'!$B$2:$B$200,MATCH(A7957,'Teacher Lookup'!$A$2:$A$200,0)),"")</f>
        <v>PAIGE Nicole</v>
      </c>
    </row>
    <row r="7958" customFormat="false" ht="15" hidden="false" customHeight="false" outlineLevel="0" collapsed="false">
      <c r="A7958" s="3" t="s">
        <v>489</v>
      </c>
      <c r="B7958" s="4" t="s">
        <v>40</v>
      </c>
      <c r="C7958" s="4" t="n">
        <v>6</v>
      </c>
      <c r="D7958" s="4" t="s">
        <v>74</v>
      </c>
      <c r="E7958" s="3" t="s">
        <v>225</v>
      </c>
      <c r="F7958" s="4" t="str">
        <f aca="false">IF(I7958&gt;J7958,"Y","N")</f>
        <v>N</v>
      </c>
      <c r="G7958" s="3" t="s">
        <v>164</v>
      </c>
      <c r="H7958" s="3" t="s">
        <v>42</v>
      </c>
      <c r="I7958" s="4" t="n">
        <v>4</v>
      </c>
      <c r="J7958" s="4" t="n">
        <f aca="false">LEN(E7958)-LEN(SUBSTITUTE(E7958,",",""))+1</f>
        <v>4</v>
      </c>
      <c r="K7958" s="3" t="str">
        <f aca="false">IFERROR(INDEX('Teacher Lookup'!$B$2:$B$200,MATCH(A7958,'Teacher Lookup'!$A$2:$A$200,0)),"")</f>
        <v>PAIGE Nicole</v>
      </c>
    </row>
    <row r="7959" customFormat="false" ht="15" hidden="false" customHeight="false" outlineLevel="0" collapsed="false">
      <c r="A7959" s="3" t="s">
        <v>489</v>
      </c>
      <c r="B7959" s="4" t="s">
        <v>44</v>
      </c>
      <c r="C7959" s="4" t="n">
        <v>1</v>
      </c>
      <c r="D7959" s="4" t="s">
        <v>76</v>
      </c>
      <c r="E7959" s="3" t="s">
        <v>90</v>
      </c>
      <c r="F7959" s="4" t="str">
        <f aca="false">IF(I7959&gt;J7959,"Y","N")</f>
        <v>N</v>
      </c>
      <c r="G7959" s="3" t="s">
        <v>164</v>
      </c>
      <c r="H7959" s="3" t="s">
        <v>16</v>
      </c>
      <c r="I7959" s="4" t="n">
        <v>4</v>
      </c>
      <c r="J7959" s="4" t="n">
        <f aca="false">LEN(E7959)-LEN(SUBSTITUTE(E7959,",",""))+1</f>
        <v>4</v>
      </c>
      <c r="K7959" s="3" t="str">
        <f aca="false">IFERROR(INDEX('Teacher Lookup'!$B$2:$B$200,MATCH(A7959,'Teacher Lookup'!$A$2:$A$200,0)),"")</f>
        <v>PAIGE Nicole</v>
      </c>
    </row>
    <row r="7960" customFormat="false" ht="15" hidden="false" customHeight="false" outlineLevel="0" collapsed="false">
      <c r="A7960" s="3" t="s">
        <v>489</v>
      </c>
      <c r="B7960" s="4" t="s">
        <v>44</v>
      </c>
      <c r="C7960" s="4" t="n">
        <v>1</v>
      </c>
      <c r="D7960" s="4" t="s">
        <v>78</v>
      </c>
      <c r="E7960" s="3" t="s">
        <v>90</v>
      </c>
      <c r="F7960" s="4" t="str">
        <f aca="false">IF(I7960&gt;J7960,"Y","N")</f>
        <v>N</v>
      </c>
      <c r="G7960" s="3" t="s">
        <v>164</v>
      </c>
      <c r="H7960" s="3" t="s">
        <v>16</v>
      </c>
      <c r="I7960" s="4" t="n">
        <v>4</v>
      </c>
      <c r="J7960" s="4" t="n">
        <f aca="false">LEN(E7960)-LEN(SUBSTITUTE(E7960,",",""))+1</f>
        <v>4</v>
      </c>
      <c r="K7960" s="3" t="str">
        <f aca="false">IFERROR(INDEX('Teacher Lookup'!$B$2:$B$200,MATCH(A7960,'Teacher Lookup'!$A$2:$A$200,0)),"")</f>
        <v>PAIGE Nicole</v>
      </c>
    </row>
    <row r="7961" customFormat="false" ht="15" hidden="false" customHeight="false" outlineLevel="0" collapsed="false">
      <c r="A7961" s="3" t="s">
        <v>489</v>
      </c>
      <c r="B7961" s="4" t="s">
        <v>44</v>
      </c>
      <c r="C7961" s="4" t="n">
        <v>1</v>
      </c>
      <c r="D7961" s="4" t="s">
        <v>79</v>
      </c>
      <c r="E7961" s="3" t="s">
        <v>90</v>
      </c>
      <c r="F7961" s="4" t="str">
        <f aca="false">IF(I7961&gt;J7961,"Y","N")</f>
        <v>N</v>
      </c>
      <c r="G7961" s="3" t="s">
        <v>164</v>
      </c>
      <c r="H7961" s="3" t="s">
        <v>16</v>
      </c>
      <c r="I7961" s="4" t="n">
        <v>4</v>
      </c>
      <c r="J7961" s="4" t="n">
        <f aca="false">LEN(E7961)-LEN(SUBSTITUTE(E7961,",",""))+1</f>
        <v>4</v>
      </c>
      <c r="K7961" s="3" t="str">
        <f aca="false">IFERROR(INDEX('Teacher Lookup'!$B$2:$B$200,MATCH(A7961,'Teacher Lookup'!$A$2:$A$200,0)),"")</f>
        <v>PAIGE Nicole</v>
      </c>
    </row>
    <row r="7962" customFormat="false" ht="15" hidden="false" customHeight="false" outlineLevel="0" collapsed="false">
      <c r="A7962" s="3" t="s">
        <v>489</v>
      </c>
      <c r="B7962" s="4" t="s">
        <v>44</v>
      </c>
      <c r="C7962" s="4" t="n">
        <v>5</v>
      </c>
      <c r="D7962" s="4" t="s">
        <v>19</v>
      </c>
      <c r="E7962" s="3" t="s">
        <v>35</v>
      </c>
      <c r="F7962" s="4" t="str">
        <f aca="false">IF(I7962&gt;J7962,"Y","N")</f>
        <v>Y</v>
      </c>
      <c r="G7962" s="3" t="s">
        <v>36</v>
      </c>
      <c r="H7962" s="3" t="s">
        <v>37</v>
      </c>
      <c r="I7962" s="4" t="n">
        <v>17</v>
      </c>
      <c r="J7962" s="4" t="n">
        <f aca="false">LEN(E7962)-LEN(SUBSTITUTE(E7962,",",""))+1</f>
        <v>7</v>
      </c>
      <c r="K7962" s="3" t="str">
        <f aca="false">IFERROR(INDEX('Teacher Lookup'!$B$2:$B$200,MATCH(A7962,'Teacher Lookup'!$A$2:$A$200,0)),"")</f>
        <v>PAIGE Nicole</v>
      </c>
    </row>
    <row r="7963" customFormat="false" ht="15" hidden="false" customHeight="false" outlineLevel="0" collapsed="false">
      <c r="A7963" s="3" t="s">
        <v>489</v>
      </c>
      <c r="B7963" s="4" t="s">
        <v>44</v>
      </c>
      <c r="C7963" s="4" t="n">
        <v>5</v>
      </c>
      <c r="D7963" s="4" t="s">
        <v>22</v>
      </c>
      <c r="E7963" s="3" t="s">
        <v>35</v>
      </c>
      <c r="F7963" s="4" t="str">
        <f aca="false">IF(I7963&gt;J7963,"Y","N")</f>
        <v>Y</v>
      </c>
      <c r="G7963" s="3" t="s">
        <v>36</v>
      </c>
      <c r="H7963" s="3" t="s">
        <v>37</v>
      </c>
      <c r="I7963" s="4" t="n">
        <v>17</v>
      </c>
      <c r="J7963" s="4" t="n">
        <f aca="false">LEN(E7963)-LEN(SUBSTITUTE(E7963,",",""))+1</f>
        <v>7</v>
      </c>
      <c r="K7963" s="3" t="str">
        <f aca="false">IFERROR(INDEX('Teacher Lookup'!$B$2:$B$200,MATCH(A7963,'Teacher Lookup'!$A$2:$A$200,0)),"")</f>
        <v>PAIGE Nicole</v>
      </c>
    </row>
    <row r="7964" customFormat="false" ht="15" hidden="false" customHeight="false" outlineLevel="0" collapsed="false">
      <c r="A7964" s="3" t="s">
        <v>489</v>
      </c>
      <c r="B7964" s="4" t="s">
        <v>44</v>
      </c>
      <c r="C7964" s="4" t="n">
        <v>5</v>
      </c>
      <c r="D7964" s="4" t="s">
        <v>23</v>
      </c>
      <c r="E7964" s="3" t="s">
        <v>35</v>
      </c>
      <c r="F7964" s="4" t="str">
        <f aca="false">IF(I7964&gt;J7964,"Y","N")</f>
        <v>Y</v>
      </c>
      <c r="G7964" s="3" t="s">
        <v>36</v>
      </c>
      <c r="H7964" s="3" t="s">
        <v>37</v>
      </c>
      <c r="I7964" s="4" t="n">
        <v>17</v>
      </c>
      <c r="J7964" s="4" t="n">
        <f aca="false">LEN(E7964)-LEN(SUBSTITUTE(E7964,",",""))+1</f>
        <v>7</v>
      </c>
      <c r="K7964" s="3" t="str">
        <f aca="false">IFERROR(INDEX('Teacher Lookup'!$B$2:$B$200,MATCH(A7964,'Teacher Lookup'!$A$2:$A$200,0)),"")</f>
        <v>PAIGE Nicole</v>
      </c>
    </row>
    <row r="7965" customFormat="false" ht="15" hidden="false" customHeight="false" outlineLevel="0" collapsed="false">
      <c r="A7965" s="3" t="s">
        <v>489</v>
      </c>
      <c r="B7965" s="4" t="s">
        <v>44</v>
      </c>
      <c r="C7965" s="4" t="n">
        <v>5</v>
      </c>
      <c r="D7965" s="4" t="s">
        <v>13</v>
      </c>
      <c r="E7965" s="3" t="s">
        <v>35</v>
      </c>
      <c r="F7965" s="4" t="str">
        <f aca="false">IF(I7965&gt;J7965,"Y","N")</f>
        <v>Y</v>
      </c>
      <c r="G7965" s="3" t="s">
        <v>36</v>
      </c>
      <c r="H7965" s="3" t="s">
        <v>37</v>
      </c>
      <c r="I7965" s="4" t="n">
        <v>17</v>
      </c>
      <c r="J7965" s="4" t="n">
        <f aca="false">LEN(E7965)-LEN(SUBSTITUTE(E7965,",",""))+1</f>
        <v>7</v>
      </c>
      <c r="K7965" s="3" t="str">
        <f aca="false">IFERROR(INDEX('Teacher Lookup'!$B$2:$B$200,MATCH(A7965,'Teacher Lookup'!$A$2:$A$200,0)),"")</f>
        <v>PAIGE Nicole</v>
      </c>
    </row>
    <row r="7966" customFormat="false" ht="15" hidden="false" customHeight="false" outlineLevel="0" collapsed="false">
      <c r="A7966" s="3" t="s">
        <v>489</v>
      </c>
      <c r="B7966" s="4" t="s">
        <v>44</v>
      </c>
      <c r="C7966" s="4" t="n">
        <v>5</v>
      </c>
      <c r="D7966" s="4" t="s">
        <v>17</v>
      </c>
      <c r="E7966" s="3" t="s">
        <v>35</v>
      </c>
      <c r="F7966" s="4" t="str">
        <f aca="false">IF(I7966&gt;J7966,"Y","N")</f>
        <v>Y</v>
      </c>
      <c r="G7966" s="3" t="s">
        <v>36</v>
      </c>
      <c r="H7966" s="3" t="s">
        <v>37</v>
      </c>
      <c r="I7966" s="4" t="n">
        <v>17</v>
      </c>
      <c r="J7966" s="4" t="n">
        <f aca="false">LEN(E7966)-LEN(SUBSTITUTE(E7966,",",""))+1</f>
        <v>7</v>
      </c>
      <c r="K7966" s="3" t="str">
        <f aca="false">IFERROR(INDEX('Teacher Lookup'!$B$2:$B$200,MATCH(A7966,'Teacher Lookup'!$A$2:$A$200,0)),"")</f>
        <v>PAIGE Nicole</v>
      </c>
    </row>
    <row r="7967" customFormat="false" ht="15" hidden="false" customHeight="false" outlineLevel="0" collapsed="false">
      <c r="A7967" s="3" t="s">
        <v>489</v>
      </c>
      <c r="B7967" s="4" t="s">
        <v>44</v>
      </c>
      <c r="C7967" s="4" t="n">
        <v>5</v>
      </c>
      <c r="D7967" s="4" t="s">
        <v>18</v>
      </c>
      <c r="E7967" s="3" t="s">
        <v>35</v>
      </c>
      <c r="F7967" s="4" t="str">
        <f aca="false">IF(I7967&gt;J7967,"Y","N")</f>
        <v>Y</v>
      </c>
      <c r="G7967" s="3" t="s">
        <v>36</v>
      </c>
      <c r="H7967" s="3" t="s">
        <v>37</v>
      </c>
      <c r="I7967" s="4" t="n">
        <v>17</v>
      </c>
      <c r="J7967" s="4" t="n">
        <f aca="false">LEN(E7967)-LEN(SUBSTITUTE(E7967,",",""))+1</f>
        <v>7</v>
      </c>
      <c r="K7967" s="3" t="str">
        <f aca="false">IFERROR(INDEX('Teacher Lookup'!$B$2:$B$200,MATCH(A7967,'Teacher Lookup'!$A$2:$A$200,0)),"")</f>
        <v>PAIGE Nicole</v>
      </c>
    </row>
    <row r="7968" customFormat="false" ht="15" hidden="false" customHeight="false" outlineLevel="0" collapsed="false">
      <c r="A7968" s="3" t="s">
        <v>489</v>
      </c>
      <c r="B7968" s="4" t="s">
        <v>44</v>
      </c>
      <c r="C7968" s="4" t="n">
        <v>6</v>
      </c>
      <c r="D7968" s="4" t="s">
        <v>70</v>
      </c>
      <c r="E7968" s="3" t="s">
        <v>372</v>
      </c>
      <c r="F7968" s="4" t="str">
        <f aca="false">IF(I7968&gt;J7968,"Y","N")</f>
        <v>N</v>
      </c>
      <c r="G7968" s="3" t="s">
        <v>164</v>
      </c>
      <c r="H7968" s="3" t="s">
        <v>42</v>
      </c>
      <c r="I7968" s="4" t="n">
        <v>4</v>
      </c>
      <c r="J7968" s="4" t="n">
        <f aca="false">LEN(E7968)-LEN(SUBSTITUTE(E7968,",",""))+1</f>
        <v>4</v>
      </c>
      <c r="K7968" s="3" t="str">
        <f aca="false">IFERROR(INDEX('Teacher Lookup'!$B$2:$B$200,MATCH(A7968,'Teacher Lookup'!$A$2:$A$200,0)),"")</f>
        <v>PAIGE Nicole</v>
      </c>
    </row>
    <row r="7969" customFormat="false" ht="15" hidden="false" customHeight="false" outlineLevel="0" collapsed="false">
      <c r="A7969" s="3" t="s">
        <v>489</v>
      </c>
      <c r="B7969" s="4" t="s">
        <v>44</v>
      </c>
      <c r="C7969" s="4" t="n">
        <v>6</v>
      </c>
      <c r="D7969" s="4" t="s">
        <v>73</v>
      </c>
      <c r="E7969" s="3" t="s">
        <v>372</v>
      </c>
      <c r="F7969" s="4" t="str">
        <f aca="false">IF(I7969&gt;J7969,"Y","N")</f>
        <v>N</v>
      </c>
      <c r="G7969" s="3" t="s">
        <v>164</v>
      </c>
      <c r="H7969" s="3" t="s">
        <v>42</v>
      </c>
      <c r="I7969" s="4" t="n">
        <v>4</v>
      </c>
      <c r="J7969" s="4" t="n">
        <f aca="false">LEN(E7969)-LEN(SUBSTITUTE(E7969,",",""))+1</f>
        <v>4</v>
      </c>
      <c r="K7969" s="3" t="str">
        <f aca="false">IFERROR(INDEX('Teacher Lookup'!$B$2:$B$200,MATCH(A7969,'Teacher Lookup'!$A$2:$A$200,0)),"")</f>
        <v>PAIGE Nicole</v>
      </c>
    </row>
    <row r="7970" customFormat="false" ht="15" hidden="false" customHeight="false" outlineLevel="0" collapsed="false">
      <c r="A7970" s="3" t="s">
        <v>489</v>
      </c>
      <c r="B7970" s="4" t="s">
        <v>44</v>
      </c>
      <c r="C7970" s="4" t="n">
        <v>6</v>
      </c>
      <c r="D7970" s="4" t="s">
        <v>74</v>
      </c>
      <c r="E7970" s="3" t="s">
        <v>372</v>
      </c>
      <c r="F7970" s="4" t="str">
        <f aca="false">IF(I7970&gt;J7970,"Y","N")</f>
        <v>N</v>
      </c>
      <c r="G7970" s="3" t="s">
        <v>164</v>
      </c>
      <c r="H7970" s="3" t="s">
        <v>42</v>
      </c>
      <c r="I7970" s="4" t="n">
        <v>4</v>
      </c>
      <c r="J7970" s="4" t="n">
        <f aca="false">LEN(E7970)-LEN(SUBSTITUTE(E7970,",",""))+1</f>
        <v>4</v>
      </c>
      <c r="K7970" s="3" t="str">
        <f aca="false">IFERROR(INDEX('Teacher Lookup'!$B$2:$B$200,MATCH(A7970,'Teacher Lookup'!$A$2:$A$200,0)),"")</f>
        <v>PAIGE Nicole</v>
      </c>
    </row>
    <row r="7971" customFormat="false" ht="15" hidden="false" customHeight="false" outlineLevel="0" collapsed="false">
      <c r="A7971" s="3" t="s">
        <v>489</v>
      </c>
      <c r="B7971" s="4" t="s">
        <v>44</v>
      </c>
      <c r="C7971" s="4" t="n">
        <v>7</v>
      </c>
      <c r="D7971" s="4" t="s">
        <v>19</v>
      </c>
      <c r="E7971" s="3" t="s">
        <v>420</v>
      </c>
      <c r="F7971" s="4" t="str">
        <f aca="false">IF(I7971&gt;J7971,"Y","N")</f>
        <v>N</v>
      </c>
      <c r="G7971" s="3" t="s">
        <v>164</v>
      </c>
      <c r="H7971" s="3" t="s">
        <v>39</v>
      </c>
      <c r="I7971" s="4" t="n">
        <v>4</v>
      </c>
      <c r="J7971" s="4" t="n">
        <f aca="false">LEN(E7971)-LEN(SUBSTITUTE(E7971,",",""))+1</f>
        <v>4</v>
      </c>
      <c r="K7971" s="3" t="str">
        <f aca="false">IFERROR(INDEX('Teacher Lookup'!$B$2:$B$200,MATCH(A7971,'Teacher Lookup'!$A$2:$A$200,0)),"")</f>
        <v>PAIGE Nicole</v>
      </c>
    </row>
    <row r="7972" customFormat="false" ht="15" hidden="false" customHeight="false" outlineLevel="0" collapsed="false">
      <c r="A7972" s="3" t="s">
        <v>489</v>
      </c>
      <c r="B7972" s="4" t="s">
        <v>44</v>
      </c>
      <c r="C7972" s="4" t="n">
        <v>7</v>
      </c>
      <c r="D7972" s="4" t="s">
        <v>22</v>
      </c>
      <c r="E7972" s="3" t="s">
        <v>420</v>
      </c>
      <c r="F7972" s="4" t="str">
        <f aca="false">IF(I7972&gt;J7972,"Y","N")</f>
        <v>N</v>
      </c>
      <c r="G7972" s="3" t="s">
        <v>164</v>
      </c>
      <c r="H7972" s="3" t="s">
        <v>39</v>
      </c>
      <c r="I7972" s="4" t="n">
        <v>4</v>
      </c>
      <c r="J7972" s="4" t="n">
        <f aca="false">LEN(E7972)-LEN(SUBSTITUTE(E7972,",",""))+1</f>
        <v>4</v>
      </c>
      <c r="K7972" s="3" t="str">
        <f aca="false">IFERROR(INDEX('Teacher Lookup'!$B$2:$B$200,MATCH(A7972,'Teacher Lookup'!$A$2:$A$200,0)),"")</f>
        <v>PAIGE Nicole</v>
      </c>
    </row>
    <row r="7973" customFormat="false" ht="15" hidden="false" customHeight="false" outlineLevel="0" collapsed="false">
      <c r="A7973" s="3" t="s">
        <v>489</v>
      </c>
      <c r="B7973" s="4" t="s">
        <v>44</v>
      </c>
      <c r="C7973" s="4" t="n">
        <v>7</v>
      </c>
      <c r="D7973" s="4" t="s">
        <v>23</v>
      </c>
      <c r="E7973" s="3" t="s">
        <v>420</v>
      </c>
      <c r="F7973" s="4" t="str">
        <f aca="false">IF(I7973&gt;J7973,"Y","N")</f>
        <v>N</v>
      </c>
      <c r="G7973" s="3" t="s">
        <v>164</v>
      </c>
      <c r="H7973" s="3" t="s">
        <v>39</v>
      </c>
      <c r="I7973" s="4" t="n">
        <v>4</v>
      </c>
      <c r="J7973" s="4" t="n">
        <f aca="false">LEN(E7973)-LEN(SUBSTITUTE(E7973,",",""))+1</f>
        <v>4</v>
      </c>
      <c r="K7973" s="3" t="str">
        <f aca="false">IFERROR(INDEX('Teacher Lookup'!$B$2:$B$200,MATCH(A7973,'Teacher Lookup'!$A$2:$A$200,0)),"")</f>
        <v>PAIGE Nicole</v>
      </c>
    </row>
    <row r="7974" customFormat="false" ht="15" hidden="false" customHeight="false" outlineLevel="0" collapsed="false">
      <c r="A7974" s="3" t="s">
        <v>489</v>
      </c>
      <c r="B7974" s="4" t="s">
        <v>47</v>
      </c>
      <c r="C7974" s="4" t="n">
        <v>1</v>
      </c>
      <c r="D7974" s="4" t="s">
        <v>70</v>
      </c>
      <c r="E7974" s="3" t="s">
        <v>371</v>
      </c>
      <c r="F7974" s="4" t="str">
        <f aca="false">IF(I7974&gt;J7974,"Y","N")</f>
        <v>N</v>
      </c>
      <c r="G7974" s="3" t="s">
        <v>164</v>
      </c>
      <c r="H7974" s="3" t="s">
        <v>16</v>
      </c>
      <c r="I7974" s="4" t="n">
        <v>4</v>
      </c>
      <c r="J7974" s="4" t="n">
        <f aca="false">LEN(E7974)-LEN(SUBSTITUTE(E7974,",",""))+1</f>
        <v>4</v>
      </c>
      <c r="K7974" s="3" t="str">
        <f aca="false">IFERROR(INDEX('Teacher Lookup'!$B$2:$B$200,MATCH(A7974,'Teacher Lookup'!$A$2:$A$200,0)),"")</f>
        <v>PAIGE Nicole</v>
      </c>
    </row>
    <row r="7975" customFormat="false" ht="15" hidden="false" customHeight="false" outlineLevel="0" collapsed="false">
      <c r="A7975" s="3" t="s">
        <v>489</v>
      </c>
      <c r="B7975" s="4" t="s">
        <v>47</v>
      </c>
      <c r="C7975" s="4" t="n">
        <v>1</v>
      </c>
      <c r="D7975" s="4" t="s">
        <v>73</v>
      </c>
      <c r="E7975" s="3" t="s">
        <v>371</v>
      </c>
      <c r="F7975" s="4" t="str">
        <f aca="false">IF(I7975&gt;J7975,"Y","N")</f>
        <v>N</v>
      </c>
      <c r="G7975" s="3" t="s">
        <v>164</v>
      </c>
      <c r="H7975" s="3" t="s">
        <v>16</v>
      </c>
      <c r="I7975" s="4" t="n">
        <v>4</v>
      </c>
      <c r="J7975" s="4" t="n">
        <f aca="false">LEN(E7975)-LEN(SUBSTITUTE(E7975,",",""))+1</f>
        <v>4</v>
      </c>
      <c r="K7975" s="3" t="str">
        <f aca="false">IFERROR(INDEX('Teacher Lookup'!$B$2:$B$200,MATCH(A7975,'Teacher Lookup'!$A$2:$A$200,0)),"")</f>
        <v>PAIGE Nicole</v>
      </c>
    </row>
    <row r="7976" customFormat="false" ht="15" hidden="false" customHeight="false" outlineLevel="0" collapsed="false">
      <c r="A7976" s="3" t="s">
        <v>489</v>
      </c>
      <c r="B7976" s="4" t="s">
        <v>47</v>
      </c>
      <c r="C7976" s="4" t="n">
        <v>1</v>
      </c>
      <c r="D7976" s="4" t="s">
        <v>74</v>
      </c>
      <c r="E7976" s="3" t="s">
        <v>371</v>
      </c>
      <c r="F7976" s="4" t="str">
        <f aca="false">IF(I7976&gt;J7976,"Y","N")</f>
        <v>N</v>
      </c>
      <c r="G7976" s="3" t="s">
        <v>164</v>
      </c>
      <c r="H7976" s="3" t="s">
        <v>16</v>
      </c>
      <c r="I7976" s="4" t="n">
        <v>4</v>
      </c>
      <c r="J7976" s="4" t="n">
        <f aca="false">LEN(E7976)-LEN(SUBSTITUTE(E7976,",",""))+1</f>
        <v>4</v>
      </c>
      <c r="K7976" s="3" t="str">
        <f aca="false">IFERROR(INDEX('Teacher Lookup'!$B$2:$B$200,MATCH(A7976,'Teacher Lookup'!$A$2:$A$200,0)),"")</f>
        <v>PAIGE Nicole</v>
      </c>
    </row>
    <row r="7977" customFormat="false" ht="15" hidden="false" customHeight="false" outlineLevel="0" collapsed="false">
      <c r="A7977" s="3" t="s">
        <v>489</v>
      </c>
      <c r="B7977" s="4" t="s">
        <v>47</v>
      </c>
      <c r="C7977" s="4" t="n">
        <v>2</v>
      </c>
      <c r="D7977" s="4" t="s">
        <v>76</v>
      </c>
      <c r="E7977" s="3" t="s">
        <v>174</v>
      </c>
      <c r="F7977" s="4" t="str">
        <f aca="false">IF(I7977&gt;J7977,"Y","N")</f>
        <v>N</v>
      </c>
      <c r="G7977" s="3" t="s">
        <v>164</v>
      </c>
      <c r="H7977" s="3" t="s">
        <v>21</v>
      </c>
      <c r="I7977" s="4" t="n">
        <v>4</v>
      </c>
      <c r="J7977" s="4" t="n">
        <f aca="false">LEN(E7977)-LEN(SUBSTITUTE(E7977,",",""))+1</f>
        <v>4</v>
      </c>
      <c r="K7977" s="3" t="str">
        <f aca="false">IFERROR(INDEX('Teacher Lookup'!$B$2:$B$200,MATCH(A7977,'Teacher Lookup'!$A$2:$A$200,0)),"")</f>
        <v>PAIGE Nicole</v>
      </c>
    </row>
    <row r="7978" customFormat="false" ht="15" hidden="false" customHeight="false" outlineLevel="0" collapsed="false">
      <c r="A7978" s="3" t="s">
        <v>489</v>
      </c>
      <c r="B7978" s="4" t="s">
        <v>47</v>
      </c>
      <c r="C7978" s="4" t="n">
        <v>2</v>
      </c>
      <c r="D7978" s="4" t="s">
        <v>78</v>
      </c>
      <c r="E7978" s="3" t="s">
        <v>174</v>
      </c>
      <c r="F7978" s="4" t="str">
        <f aca="false">IF(I7978&gt;J7978,"Y","N")</f>
        <v>N</v>
      </c>
      <c r="G7978" s="3" t="s">
        <v>164</v>
      </c>
      <c r="H7978" s="3" t="s">
        <v>21</v>
      </c>
      <c r="I7978" s="4" t="n">
        <v>4</v>
      </c>
      <c r="J7978" s="4" t="n">
        <f aca="false">LEN(E7978)-LEN(SUBSTITUTE(E7978,",",""))+1</f>
        <v>4</v>
      </c>
      <c r="K7978" s="3" t="str">
        <f aca="false">IFERROR(INDEX('Teacher Lookup'!$B$2:$B$200,MATCH(A7978,'Teacher Lookup'!$A$2:$A$200,0)),"")</f>
        <v>PAIGE Nicole</v>
      </c>
    </row>
    <row r="7979" customFormat="false" ht="15" hidden="false" customHeight="false" outlineLevel="0" collapsed="false">
      <c r="A7979" s="3" t="s">
        <v>489</v>
      </c>
      <c r="B7979" s="4" t="s">
        <v>47</v>
      </c>
      <c r="C7979" s="4" t="n">
        <v>2</v>
      </c>
      <c r="D7979" s="4" t="s">
        <v>79</v>
      </c>
      <c r="E7979" s="3" t="s">
        <v>174</v>
      </c>
      <c r="F7979" s="4" t="str">
        <f aca="false">IF(I7979&gt;J7979,"Y","N")</f>
        <v>N</v>
      </c>
      <c r="G7979" s="3" t="s">
        <v>164</v>
      </c>
      <c r="H7979" s="3" t="s">
        <v>21</v>
      </c>
      <c r="I7979" s="4" t="n">
        <v>4</v>
      </c>
      <c r="J7979" s="4" t="n">
        <f aca="false">LEN(E7979)-LEN(SUBSTITUTE(E7979,",",""))+1</f>
        <v>4</v>
      </c>
      <c r="K7979" s="3" t="str">
        <f aca="false">IFERROR(INDEX('Teacher Lookup'!$B$2:$B$200,MATCH(A7979,'Teacher Lookup'!$A$2:$A$200,0)),"")</f>
        <v>PAIGE Nicole</v>
      </c>
    </row>
    <row r="7980" customFormat="false" ht="15" hidden="false" customHeight="false" outlineLevel="0" collapsed="false">
      <c r="A7980" s="3" t="s">
        <v>489</v>
      </c>
      <c r="B7980" s="4" t="s">
        <v>47</v>
      </c>
      <c r="C7980" s="4" t="n">
        <v>6</v>
      </c>
      <c r="D7980" s="4" t="s">
        <v>19</v>
      </c>
      <c r="E7980" s="3" t="s">
        <v>421</v>
      </c>
      <c r="F7980" s="4" t="str">
        <f aca="false">IF(I7980&gt;J7980,"Y","N")</f>
        <v>N</v>
      </c>
      <c r="G7980" s="3" t="s">
        <v>164</v>
      </c>
      <c r="H7980" s="3" t="s">
        <v>42</v>
      </c>
      <c r="I7980" s="4" t="n">
        <v>4</v>
      </c>
      <c r="J7980" s="4" t="n">
        <f aca="false">LEN(E7980)-LEN(SUBSTITUTE(E7980,",",""))+1</f>
        <v>4</v>
      </c>
      <c r="K7980" s="3" t="str">
        <f aca="false">IFERROR(INDEX('Teacher Lookup'!$B$2:$B$200,MATCH(A7980,'Teacher Lookup'!$A$2:$A$200,0)),"")</f>
        <v>PAIGE Nicole</v>
      </c>
    </row>
    <row r="7981" customFormat="false" ht="15" hidden="false" customHeight="false" outlineLevel="0" collapsed="false">
      <c r="A7981" s="3" t="s">
        <v>489</v>
      </c>
      <c r="B7981" s="4" t="s">
        <v>47</v>
      </c>
      <c r="C7981" s="4" t="n">
        <v>6</v>
      </c>
      <c r="D7981" s="4" t="s">
        <v>22</v>
      </c>
      <c r="E7981" s="3" t="s">
        <v>421</v>
      </c>
      <c r="F7981" s="4" t="str">
        <f aca="false">IF(I7981&gt;J7981,"Y","N")</f>
        <v>N</v>
      </c>
      <c r="G7981" s="3" t="s">
        <v>164</v>
      </c>
      <c r="H7981" s="3" t="s">
        <v>42</v>
      </c>
      <c r="I7981" s="4" t="n">
        <v>4</v>
      </c>
      <c r="J7981" s="4" t="n">
        <f aca="false">LEN(E7981)-LEN(SUBSTITUTE(E7981,",",""))+1</f>
        <v>4</v>
      </c>
      <c r="K7981" s="3" t="str">
        <f aca="false">IFERROR(INDEX('Teacher Lookup'!$B$2:$B$200,MATCH(A7981,'Teacher Lookup'!$A$2:$A$200,0)),"")</f>
        <v>PAIGE Nicole</v>
      </c>
    </row>
    <row r="7982" customFormat="false" ht="15" hidden="false" customHeight="false" outlineLevel="0" collapsed="false">
      <c r="A7982" s="3" t="s">
        <v>489</v>
      </c>
      <c r="B7982" s="4" t="s">
        <v>47</v>
      </c>
      <c r="C7982" s="4" t="n">
        <v>6</v>
      </c>
      <c r="D7982" s="4" t="s">
        <v>23</v>
      </c>
      <c r="E7982" s="3" t="s">
        <v>421</v>
      </c>
      <c r="F7982" s="4" t="str">
        <f aca="false">IF(I7982&gt;J7982,"Y","N")</f>
        <v>N</v>
      </c>
      <c r="G7982" s="3" t="s">
        <v>164</v>
      </c>
      <c r="H7982" s="3" t="s">
        <v>42</v>
      </c>
      <c r="I7982" s="4" t="n">
        <v>4</v>
      </c>
      <c r="J7982" s="4" t="n">
        <f aca="false">LEN(E7982)-LEN(SUBSTITUTE(E7982,",",""))+1</f>
        <v>4</v>
      </c>
      <c r="K7982" s="3" t="str">
        <f aca="false">IFERROR(INDEX('Teacher Lookup'!$B$2:$B$200,MATCH(A7982,'Teacher Lookup'!$A$2:$A$200,0)),"")</f>
        <v>PAIGE Nicole</v>
      </c>
    </row>
    <row r="7983" customFormat="false" ht="15" hidden="false" customHeight="false" outlineLevel="0" collapsed="false">
      <c r="A7983" s="3" t="s">
        <v>489</v>
      </c>
      <c r="B7983" s="4" t="s">
        <v>47</v>
      </c>
      <c r="C7983" s="4" t="n">
        <v>7</v>
      </c>
      <c r="D7983" s="4" t="s">
        <v>19</v>
      </c>
      <c r="E7983" s="3" t="s">
        <v>421</v>
      </c>
      <c r="F7983" s="4" t="str">
        <f aca="false">IF(I7983&gt;J7983,"Y","N")</f>
        <v>N</v>
      </c>
      <c r="G7983" s="3" t="s">
        <v>164</v>
      </c>
      <c r="H7983" s="3" t="s">
        <v>39</v>
      </c>
      <c r="I7983" s="4" t="n">
        <v>4</v>
      </c>
      <c r="J7983" s="4" t="n">
        <f aca="false">LEN(E7983)-LEN(SUBSTITUTE(E7983,",",""))+1</f>
        <v>4</v>
      </c>
      <c r="K7983" s="3" t="str">
        <f aca="false">IFERROR(INDEX('Teacher Lookup'!$B$2:$B$200,MATCH(A7983,'Teacher Lookup'!$A$2:$A$200,0)),"")</f>
        <v>PAIGE Nicole</v>
      </c>
    </row>
    <row r="7984" customFormat="false" ht="15" hidden="false" customHeight="false" outlineLevel="0" collapsed="false">
      <c r="A7984" s="3" t="s">
        <v>489</v>
      </c>
      <c r="B7984" s="4" t="s">
        <v>47</v>
      </c>
      <c r="C7984" s="4" t="n">
        <v>7</v>
      </c>
      <c r="D7984" s="4" t="s">
        <v>22</v>
      </c>
      <c r="E7984" s="3" t="s">
        <v>421</v>
      </c>
      <c r="F7984" s="4" t="str">
        <f aca="false">IF(I7984&gt;J7984,"Y","N")</f>
        <v>N</v>
      </c>
      <c r="G7984" s="3" t="s">
        <v>164</v>
      </c>
      <c r="H7984" s="3" t="s">
        <v>39</v>
      </c>
      <c r="I7984" s="4" t="n">
        <v>4</v>
      </c>
      <c r="J7984" s="4" t="n">
        <f aca="false">LEN(E7984)-LEN(SUBSTITUTE(E7984,",",""))+1</f>
        <v>4</v>
      </c>
      <c r="K7984" s="3" t="str">
        <f aca="false">IFERROR(INDEX('Teacher Lookup'!$B$2:$B$200,MATCH(A7984,'Teacher Lookup'!$A$2:$A$200,0)),"")</f>
        <v>PAIGE Nicole</v>
      </c>
    </row>
    <row r="7985" customFormat="false" ht="15" hidden="false" customHeight="false" outlineLevel="0" collapsed="false">
      <c r="A7985" s="3" t="s">
        <v>489</v>
      </c>
      <c r="B7985" s="4" t="s">
        <v>47</v>
      </c>
      <c r="C7985" s="4" t="n">
        <v>7</v>
      </c>
      <c r="D7985" s="4" t="s">
        <v>23</v>
      </c>
      <c r="E7985" s="3" t="s">
        <v>421</v>
      </c>
      <c r="F7985" s="4" t="str">
        <f aca="false">IF(I7985&gt;J7985,"Y","N")</f>
        <v>N</v>
      </c>
      <c r="G7985" s="3" t="s">
        <v>164</v>
      </c>
      <c r="H7985" s="3" t="s">
        <v>39</v>
      </c>
      <c r="I7985" s="4" t="n">
        <v>4</v>
      </c>
      <c r="J7985" s="4" t="n">
        <f aca="false">LEN(E7985)-LEN(SUBSTITUTE(E7985,",",""))+1</f>
        <v>4</v>
      </c>
      <c r="K7985" s="3" t="str">
        <f aca="false">IFERROR(INDEX('Teacher Lookup'!$B$2:$B$200,MATCH(A7985,'Teacher Lookup'!$A$2:$A$200,0)),"")</f>
        <v>PAIGE Nicole</v>
      </c>
    </row>
    <row r="7986" customFormat="false" ht="15" hidden="false" customHeight="false" outlineLevel="0" collapsed="false">
      <c r="A7986" s="3" t="s">
        <v>489</v>
      </c>
      <c r="B7986" s="4" t="s">
        <v>50</v>
      </c>
      <c r="C7986" s="4" t="n">
        <v>1</v>
      </c>
      <c r="D7986" s="4" t="s">
        <v>70</v>
      </c>
      <c r="E7986" s="3" t="s">
        <v>373</v>
      </c>
      <c r="F7986" s="4" t="str">
        <f aca="false">IF(I7986&gt;J7986,"Y","N")</f>
        <v>N</v>
      </c>
      <c r="G7986" s="3" t="s">
        <v>164</v>
      </c>
      <c r="H7986" s="3" t="s">
        <v>16</v>
      </c>
      <c r="I7986" s="4" t="n">
        <v>4</v>
      </c>
      <c r="J7986" s="4" t="n">
        <f aca="false">LEN(E7986)-LEN(SUBSTITUTE(E7986,",",""))+1</f>
        <v>4</v>
      </c>
      <c r="K7986" s="3" t="str">
        <f aca="false">IFERROR(INDEX('Teacher Lookup'!$B$2:$B$200,MATCH(A7986,'Teacher Lookup'!$A$2:$A$200,0)),"")</f>
        <v>PAIGE Nicole</v>
      </c>
    </row>
    <row r="7987" customFormat="false" ht="15" hidden="false" customHeight="false" outlineLevel="0" collapsed="false">
      <c r="A7987" s="3" t="s">
        <v>489</v>
      </c>
      <c r="B7987" s="4" t="s">
        <v>50</v>
      </c>
      <c r="C7987" s="4" t="n">
        <v>1</v>
      </c>
      <c r="D7987" s="4" t="s">
        <v>73</v>
      </c>
      <c r="E7987" s="3" t="s">
        <v>373</v>
      </c>
      <c r="F7987" s="4" t="str">
        <f aca="false">IF(I7987&gt;J7987,"Y","N")</f>
        <v>N</v>
      </c>
      <c r="G7987" s="3" t="s">
        <v>164</v>
      </c>
      <c r="H7987" s="3" t="s">
        <v>16</v>
      </c>
      <c r="I7987" s="4" t="n">
        <v>4</v>
      </c>
      <c r="J7987" s="4" t="n">
        <f aca="false">LEN(E7987)-LEN(SUBSTITUTE(E7987,",",""))+1</f>
        <v>4</v>
      </c>
      <c r="K7987" s="3" t="str">
        <f aca="false">IFERROR(INDEX('Teacher Lookup'!$B$2:$B$200,MATCH(A7987,'Teacher Lookup'!$A$2:$A$200,0)),"")</f>
        <v>PAIGE Nicole</v>
      </c>
    </row>
    <row r="7988" customFormat="false" ht="15" hidden="false" customHeight="false" outlineLevel="0" collapsed="false">
      <c r="A7988" s="3" t="s">
        <v>489</v>
      </c>
      <c r="B7988" s="4" t="s">
        <v>50</v>
      </c>
      <c r="C7988" s="4" t="n">
        <v>1</v>
      </c>
      <c r="D7988" s="4" t="s">
        <v>74</v>
      </c>
      <c r="E7988" s="3" t="s">
        <v>373</v>
      </c>
      <c r="F7988" s="4" t="str">
        <f aca="false">IF(I7988&gt;J7988,"Y","N")</f>
        <v>N</v>
      </c>
      <c r="G7988" s="3" t="s">
        <v>164</v>
      </c>
      <c r="H7988" s="3" t="s">
        <v>16</v>
      </c>
      <c r="I7988" s="4" t="n">
        <v>4</v>
      </c>
      <c r="J7988" s="4" t="n">
        <f aca="false">LEN(E7988)-LEN(SUBSTITUTE(E7988,",",""))+1</f>
        <v>4</v>
      </c>
      <c r="K7988" s="3" t="str">
        <f aca="false">IFERROR(INDEX('Teacher Lookup'!$B$2:$B$200,MATCH(A7988,'Teacher Lookup'!$A$2:$A$200,0)),"")</f>
        <v>PAIGE Nicole</v>
      </c>
    </row>
    <row r="7989" customFormat="false" ht="15" hidden="false" customHeight="false" outlineLevel="0" collapsed="false">
      <c r="A7989" s="3" t="s">
        <v>489</v>
      </c>
      <c r="B7989" s="4" t="s">
        <v>50</v>
      </c>
      <c r="C7989" s="4" t="n">
        <v>2</v>
      </c>
      <c r="D7989" s="4" t="s">
        <v>76</v>
      </c>
      <c r="E7989" s="3" t="s">
        <v>90</v>
      </c>
      <c r="F7989" s="4" t="str">
        <f aca="false">IF(I7989&gt;J7989,"Y","N")</f>
        <v>N</v>
      </c>
      <c r="G7989" s="3" t="s">
        <v>164</v>
      </c>
      <c r="H7989" s="3" t="s">
        <v>21</v>
      </c>
      <c r="I7989" s="4" t="n">
        <v>4</v>
      </c>
      <c r="J7989" s="4" t="n">
        <f aca="false">LEN(E7989)-LEN(SUBSTITUTE(E7989,",",""))+1</f>
        <v>4</v>
      </c>
      <c r="K7989" s="3" t="str">
        <f aca="false">IFERROR(INDEX('Teacher Lookup'!$B$2:$B$200,MATCH(A7989,'Teacher Lookup'!$A$2:$A$200,0)),"")</f>
        <v>PAIGE Nicole</v>
      </c>
    </row>
    <row r="7990" customFormat="false" ht="15" hidden="false" customHeight="false" outlineLevel="0" collapsed="false">
      <c r="A7990" s="3" t="s">
        <v>489</v>
      </c>
      <c r="B7990" s="4" t="s">
        <v>50</v>
      </c>
      <c r="C7990" s="4" t="n">
        <v>2</v>
      </c>
      <c r="D7990" s="4" t="s">
        <v>78</v>
      </c>
      <c r="E7990" s="3" t="s">
        <v>90</v>
      </c>
      <c r="F7990" s="4" t="str">
        <f aca="false">IF(I7990&gt;J7990,"Y","N")</f>
        <v>N</v>
      </c>
      <c r="G7990" s="3" t="s">
        <v>164</v>
      </c>
      <c r="H7990" s="3" t="s">
        <v>21</v>
      </c>
      <c r="I7990" s="4" t="n">
        <v>4</v>
      </c>
      <c r="J7990" s="4" t="n">
        <f aca="false">LEN(E7990)-LEN(SUBSTITUTE(E7990,",",""))+1</f>
        <v>4</v>
      </c>
      <c r="K7990" s="3" t="str">
        <f aca="false">IFERROR(INDEX('Teacher Lookup'!$B$2:$B$200,MATCH(A7990,'Teacher Lookup'!$A$2:$A$200,0)),"")</f>
        <v>PAIGE Nicole</v>
      </c>
    </row>
    <row r="7991" customFormat="false" ht="15" hidden="false" customHeight="false" outlineLevel="0" collapsed="false">
      <c r="A7991" s="3" t="s">
        <v>489</v>
      </c>
      <c r="B7991" s="4" t="s">
        <v>50</v>
      </c>
      <c r="C7991" s="4" t="n">
        <v>2</v>
      </c>
      <c r="D7991" s="4" t="s">
        <v>79</v>
      </c>
      <c r="E7991" s="3" t="s">
        <v>90</v>
      </c>
      <c r="F7991" s="4" t="str">
        <f aca="false">IF(I7991&gt;J7991,"Y","N")</f>
        <v>N</v>
      </c>
      <c r="G7991" s="3" t="s">
        <v>164</v>
      </c>
      <c r="H7991" s="3" t="s">
        <v>21</v>
      </c>
      <c r="I7991" s="4" t="n">
        <v>4</v>
      </c>
      <c r="J7991" s="4" t="n">
        <f aca="false">LEN(E7991)-LEN(SUBSTITUTE(E7991,",",""))+1</f>
        <v>4</v>
      </c>
      <c r="K7991" s="3" t="str">
        <f aca="false">IFERROR(INDEX('Teacher Lookup'!$B$2:$B$200,MATCH(A7991,'Teacher Lookup'!$A$2:$A$200,0)),"")</f>
        <v>PAIGE Nicole</v>
      </c>
    </row>
    <row r="7992" customFormat="false" ht="15" hidden="false" customHeight="false" outlineLevel="0" collapsed="false">
      <c r="A7992" s="3" t="s">
        <v>489</v>
      </c>
      <c r="B7992" s="4" t="s">
        <v>50</v>
      </c>
      <c r="C7992" s="4" t="n">
        <v>5</v>
      </c>
      <c r="D7992" s="4" t="s">
        <v>19</v>
      </c>
      <c r="E7992" s="3" t="s">
        <v>422</v>
      </c>
      <c r="F7992" s="4" t="str">
        <f aca="false">IF(I7992&gt;J7992,"Y","N")</f>
        <v>N</v>
      </c>
      <c r="G7992" s="3" t="s">
        <v>164</v>
      </c>
      <c r="H7992" s="3" t="s">
        <v>37</v>
      </c>
      <c r="I7992" s="4" t="n">
        <v>4</v>
      </c>
      <c r="J7992" s="4" t="n">
        <f aca="false">LEN(E7992)-LEN(SUBSTITUTE(E7992,",",""))+1</f>
        <v>4</v>
      </c>
      <c r="K7992" s="3" t="str">
        <f aca="false">IFERROR(INDEX('Teacher Lookup'!$B$2:$B$200,MATCH(A7992,'Teacher Lookup'!$A$2:$A$200,0)),"")</f>
        <v>PAIGE Nicole</v>
      </c>
    </row>
    <row r="7993" customFormat="false" ht="15" hidden="false" customHeight="false" outlineLevel="0" collapsed="false">
      <c r="A7993" s="3" t="s">
        <v>489</v>
      </c>
      <c r="B7993" s="4" t="s">
        <v>50</v>
      </c>
      <c r="C7993" s="4" t="n">
        <v>5</v>
      </c>
      <c r="D7993" s="4" t="s">
        <v>22</v>
      </c>
      <c r="E7993" s="3" t="s">
        <v>422</v>
      </c>
      <c r="F7993" s="4" t="str">
        <f aca="false">IF(I7993&gt;J7993,"Y","N")</f>
        <v>N</v>
      </c>
      <c r="G7993" s="3" t="s">
        <v>164</v>
      </c>
      <c r="H7993" s="3" t="s">
        <v>37</v>
      </c>
      <c r="I7993" s="4" t="n">
        <v>4</v>
      </c>
      <c r="J7993" s="4" t="n">
        <f aca="false">LEN(E7993)-LEN(SUBSTITUTE(E7993,",",""))+1</f>
        <v>4</v>
      </c>
      <c r="K7993" s="3" t="str">
        <f aca="false">IFERROR(INDEX('Teacher Lookup'!$B$2:$B$200,MATCH(A7993,'Teacher Lookup'!$A$2:$A$200,0)),"")</f>
        <v>PAIGE Nicole</v>
      </c>
    </row>
    <row r="7994" customFormat="false" ht="15" hidden="false" customHeight="false" outlineLevel="0" collapsed="false">
      <c r="A7994" s="3" t="s">
        <v>489</v>
      </c>
      <c r="B7994" s="4" t="s">
        <v>50</v>
      </c>
      <c r="C7994" s="4" t="n">
        <v>5</v>
      </c>
      <c r="D7994" s="4" t="s">
        <v>23</v>
      </c>
      <c r="E7994" s="3" t="s">
        <v>422</v>
      </c>
      <c r="F7994" s="4" t="str">
        <f aca="false">IF(I7994&gt;J7994,"Y","N")</f>
        <v>N</v>
      </c>
      <c r="G7994" s="3" t="s">
        <v>164</v>
      </c>
      <c r="H7994" s="3" t="s">
        <v>37</v>
      </c>
      <c r="I7994" s="4" t="n">
        <v>4</v>
      </c>
      <c r="J7994" s="4" t="n">
        <f aca="false">LEN(E7994)-LEN(SUBSTITUTE(E7994,",",""))+1</f>
        <v>4</v>
      </c>
      <c r="K7994" s="3" t="str">
        <f aca="false">IFERROR(INDEX('Teacher Lookup'!$B$2:$B$200,MATCH(A7994,'Teacher Lookup'!$A$2:$A$200,0)),"")</f>
        <v>PAIGE Nicole</v>
      </c>
    </row>
    <row r="7995" customFormat="false" ht="15" hidden="false" customHeight="false" outlineLevel="0" collapsed="false">
      <c r="A7995" s="3" t="s">
        <v>489</v>
      </c>
      <c r="B7995" s="4" t="s">
        <v>60</v>
      </c>
      <c r="C7995" s="4" t="n">
        <v>3</v>
      </c>
      <c r="D7995" s="4" t="s">
        <v>76</v>
      </c>
      <c r="E7995" s="3" t="s">
        <v>80</v>
      </c>
      <c r="F7995" s="4" t="str">
        <f aca="false">IF(I7995&gt;J7995,"Y","N")</f>
        <v>N</v>
      </c>
      <c r="G7995" s="3" t="s">
        <v>164</v>
      </c>
      <c r="H7995" s="3" t="s">
        <v>26</v>
      </c>
      <c r="I7995" s="4" t="n">
        <v>4</v>
      </c>
      <c r="J7995" s="4" t="n">
        <f aca="false">LEN(E7995)-LEN(SUBSTITUTE(E7995,",",""))+1</f>
        <v>4</v>
      </c>
      <c r="K7995" s="3" t="str">
        <f aca="false">IFERROR(INDEX('Teacher Lookup'!$B$2:$B$200,MATCH(A7995,'Teacher Lookup'!$A$2:$A$200,0)),"")</f>
        <v>PAIGE Nicole</v>
      </c>
    </row>
    <row r="7996" customFormat="false" ht="15" hidden="false" customHeight="false" outlineLevel="0" collapsed="false">
      <c r="A7996" s="3" t="s">
        <v>489</v>
      </c>
      <c r="B7996" s="4" t="s">
        <v>60</v>
      </c>
      <c r="C7996" s="4" t="n">
        <v>3</v>
      </c>
      <c r="D7996" s="4" t="s">
        <v>78</v>
      </c>
      <c r="E7996" s="3" t="s">
        <v>80</v>
      </c>
      <c r="F7996" s="4" t="str">
        <f aca="false">IF(I7996&gt;J7996,"Y","N")</f>
        <v>N</v>
      </c>
      <c r="G7996" s="3" t="s">
        <v>164</v>
      </c>
      <c r="H7996" s="3" t="s">
        <v>26</v>
      </c>
      <c r="I7996" s="4" t="n">
        <v>4</v>
      </c>
      <c r="J7996" s="4" t="n">
        <f aca="false">LEN(E7996)-LEN(SUBSTITUTE(E7996,",",""))+1</f>
        <v>4</v>
      </c>
      <c r="K7996" s="3" t="str">
        <f aca="false">IFERROR(INDEX('Teacher Lookup'!$B$2:$B$200,MATCH(A7996,'Teacher Lookup'!$A$2:$A$200,0)),"")</f>
        <v>PAIGE Nicole</v>
      </c>
    </row>
    <row r="7997" customFormat="false" ht="15" hidden="false" customHeight="false" outlineLevel="0" collapsed="false">
      <c r="A7997" s="3" t="s">
        <v>489</v>
      </c>
      <c r="B7997" s="4" t="s">
        <v>60</v>
      </c>
      <c r="C7997" s="4" t="n">
        <v>3</v>
      </c>
      <c r="D7997" s="4" t="s">
        <v>79</v>
      </c>
      <c r="E7997" s="3" t="s">
        <v>80</v>
      </c>
      <c r="F7997" s="4" t="str">
        <f aca="false">IF(I7997&gt;J7997,"Y","N")</f>
        <v>N</v>
      </c>
      <c r="G7997" s="3" t="s">
        <v>164</v>
      </c>
      <c r="H7997" s="3" t="s">
        <v>26</v>
      </c>
      <c r="I7997" s="4" t="n">
        <v>4</v>
      </c>
      <c r="J7997" s="4" t="n">
        <f aca="false">LEN(E7997)-LEN(SUBSTITUTE(E7997,",",""))+1</f>
        <v>4</v>
      </c>
      <c r="K7997" s="3" t="str">
        <f aca="false">IFERROR(INDEX('Teacher Lookup'!$B$2:$B$200,MATCH(A7997,'Teacher Lookup'!$A$2:$A$200,0)),"")</f>
        <v>PAIGE Nicole</v>
      </c>
    </row>
    <row r="7998" customFormat="false" ht="15" hidden="false" customHeight="false" outlineLevel="0" collapsed="false">
      <c r="A7998" s="3" t="s">
        <v>489</v>
      </c>
      <c r="B7998" s="4" t="s">
        <v>60</v>
      </c>
      <c r="C7998" s="4" t="n">
        <v>4</v>
      </c>
      <c r="D7998" s="4" t="s">
        <v>19</v>
      </c>
      <c r="E7998" s="3" t="s">
        <v>423</v>
      </c>
      <c r="F7998" s="4" t="str">
        <f aca="false">IF(I7998&gt;J7998,"Y","N")</f>
        <v>N</v>
      </c>
      <c r="G7998" s="3" t="s">
        <v>164</v>
      </c>
      <c r="H7998" s="3" t="s">
        <v>34</v>
      </c>
      <c r="I7998" s="4" t="n">
        <v>4</v>
      </c>
      <c r="J7998" s="4" t="n">
        <f aca="false">LEN(E7998)-LEN(SUBSTITUTE(E7998,",",""))+1</f>
        <v>4</v>
      </c>
      <c r="K7998" s="3" t="str">
        <f aca="false">IFERROR(INDEX('Teacher Lookup'!$B$2:$B$200,MATCH(A7998,'Teacher Lookup'!$A$2:$A$200,0)),"")</f>
        <v>PAIGE Nicole</v>
      </c>
    </row>
    <row r="7999" customFormat="false" ht="15" hidden="false" customHeight="false" outlineLevel="0" collapsed="false">
      <c r="A7999" s="3" t="s">
        <v>489</v>
      </c>
      <c r="B7999" s="4" t="s">
        <v>60</v>
      </c>
      <c r="C7999" s="4" t="n">
        <v>4</v>
      </c>
      <c r="D7999" s="4" t="s">
        <v>22</v>
      </c>
      <c r="E7999" s="3" t="s">
        <v>423</v>
      </c>
      <c r="F7999" s="4" t="str">
        <f aca="false">IF(I7999&gt;J7999,"Y","N")</f>
        <v>N</v>
      </c>
      <c r="G7999" s="3" t="s">
        <v>164</v>
      </c>
      <c r="H7999" s="3" t="s">
        <v>34</v>
      </c>
      <c r="I7999" s="4" t="n">
        <v>4</v>
      </c>
      <c r="J7999" s="4" t="n">
        <f aca="false">LEN(E7999)-LEN(SUBSTITUTE(E7999,",",""))+1</f>
        <v>4</v>
      </c>
      <c r="K7999" s="3" t="str">
        <f aca="false">IFERROR(INDEX('Teacher Lookup'!$B$2:$B$200,MATCH(A7999,'Teacher Lookup'!$A$2:$A$200,0)),"")</f>
        <v>PAIGE Nicole</v>
      </c>
    </row>
    <row r="8000" customFormat="false" ht="15" hidden="false" customHeight="false" outlineLevel="0" collapsed="false">
      <c r="A8000" s="3" t="s">
        <v>489</v>
      </c>
      <c r="B8000" s="4" t="s">
        <v>60</v>
      </c>
      <c r="C8000" s="4" t="n">
        <v>4</v>
      </c>
      <c r="D8000" s="4" t="s">
        <v>23</v>
      </c>
      <c r="E8000" s="3" t="s">
        <v>423</v>
      </c>
      <c r="F8000" s="4" t="str">
        <f aca="false">IF(I8000&gt;J8000,"Y","N")</f>
        <v>N</v>
      </c>
      <c r="G8000" s="3" t="s">
        <v>164</v>
      </c>
      <c r="H8000" s="3" t="s">
        <v>34</v>
      </c>
      <c r="I8000" s="4" t="n">
        <v>4</v>
      </c>
      <c r="J8000" s="4" t="n">
        <f aca="false">LEN(E8000)-LEN(SUBSTITUTE(E8000,",",""))+1</f>
        <v>4</v>
      </c>
      <c r="K8000" s="3" t="str">
        <f aca="false">IFERROR(INDEX('Teacher Lookup'!$B$2:$B$200,MATCH(A8000,'Teacher Lookup'!$A$2:$A$200,0)),"")</f>
        <v>PAIGE Nicole</v>
      </c>
    </row>
    <row r="8001" customFormat="false" ht="15" hidden="false" customHeight="false" outlineLevel="0" collapsed="false">
      <c r="A8001" s="3" t="s">
        <v>489</v>
      </c>
      <c r="B8001" s="4" t="s">
        <v>60</v>
      </c>
      <c r="C8001" s="4" t="n">
        <v>5</v>
      </c>
      <c r="D8001" s="4" t="s">
        <v>19</v>
      </c>
      <c r="E8001" s="3" t="s">
        <v>35</v>
      </c>
      <c r="F8001" s="4" t="str">
        <f aca="false">IF(I8001&gt;J8001,"Y","N")</f>
        <v>Y</v>
      </c>
      <c r="G8001" s="3" t="s">
        <v>36</v>
      </c>
      <c r="H8001" s="3" t="s">
        <v>37</v>
      </c>
      <c r="I8001" s="4" t="n">
        <v>17</v>
      </c>
      <c r="J8001" s="4" t="n">
        <f aca="false">LEN(E8001)-LEN(SUBSTITUTE(E8001,",",""))+1</f>
        <v>7</v>
      </c>
      <c r="K8001" s="3" t="str">
        <f aca="false">IFERROR(INDEX('Teacher Lookup'!$B$2:$B$200,MATCH(A8001,'Teacher Lookup'!$A$2:$A$200,0)),"")</f>
        <v>PAIGE Nicole</v>
      </c>
    </row>
    <row r="8002" customFormat="false" ht="15" hidden="false" customHeight="false" outlineLevel="0" collapsed="false">
      <c r="A8002" s="3" t="s">
        <v>489</v>
      </c>
      <c r="B8002" s="4" t="s">
        <v>60</v>
      </c>
      <c r="C8002" s="4" t="n">
        <v>5</v>
      </c>
      <c r="D8002" s="4" t="s">
        <v>22</v>
      </c>
      <c r="E8002" s="3" t="s">
        <v>35</v>
      </c>
      <c r="F8002" s="4" t="str">
        <f aca="false">IF(I8002&gt;J8002,"Y","N")</f>
        <v>Y</v>
      </c>
      <c r="G8002" s="3" t="s">
        <v>36</v>
      </c>
      <c r="H8002" s="3" t="s">
        <v>37</v>
      </c>
      <c r="I8002" s="4" t="n">
        <v>17</v>
      </c>
      <c r="J8002" s="4" t="n">
        <f aca="false">LEN(E8002)-LEN(SUBSTITUTE(E8002,",",""))+1</f>
        <v>7</v>
      </c>
      <c r="K8002" s="3" t="str">
        <f aca="false">IFERROR(INDEX('Teacher Lookup'!$B$2:$B$200,MATCH(A8002,'Teacher Lookup'!$A$2:$A$200,0)),"")</f>
        <v>PAIGE Nicole</v>
      </c>
    </row>
    <row r="8003" customFormat="false" ht="15" hidden="false" customHeight="false" outlineLevel="0" collapsed="false">
      <c r="A8003" s="3" t="s">
        <v>489</v>
      </c>
      <c r="B8003" s="4" t="s">
        <v>60</v>
      </c>
      <c r="C8003" s="4" t="n">
        <v>5</v>
      </c>
      <c r="D8003" s="4" t="s">
        <v>23</v>
      </c>
      <c r="E8003" s="3" t="s">
        <v>35</v>
      </c>
      <c r="F8003" s="4" t="str">
        <f aca="false">IF(I8003&gt;J8003,"Y","N")</f>
        <v>Y</v>
      </c>
      <c r="G8003" s="3" t="s">
        <v>36</v>
      </c>
      <c r="H8003" s="3" t="s">
        <v>37</v>
      </c>
      <c r="I8003" s="4" t="n">
        <v>17</v>
      </c>
      <c r="J8003" s="4" t="n">
        <f aca="false">LEN(E8003)-LEN(SUBSTITUTE(E8003,",",""))+1</f>
        <v>7</v>
      </c>
      <c r="K8003" s="3" t="str">
        <f aca="false">IFERROR(INDEX('Teacher Lookup'!$B$2:$B$200,MATCH(A8003,'Teacher Lookup'!$A$2:$A$200,0)),"")</f>
        <v>PAIGE Nicole</v>
      </c>
    </row>
    <row r="8004" customFormat="false" ht="15" hidden="false" customHeight="false" outlineLevel="0" collapsed="false">
      <c r="A8004" s="3" t="s">
        <v>489</v>
      </c>
      <c r="B8004" s="4" t="s">
        <v>60</v>
      </c>
      <c r="C8004" s="4" t="n">
        <v>5</v>
      </c>
      <c r="D8004" s="4" t="s">
        <v>13</v>
      </c>
      <c r="E8004" s="3" t="s">
        <v>35</v>
      </c>
      <c r="F8004" s="4" t="str">
        <f aca="false">IF(I8004&gt;J8004,"Y","N")</f>
        <v>Y</v>
      </c>
      <c r="G8004" s="3" t="s">
        <v>36</v>
      </c>
      <c r="H8004" s="3" t="s">
        <v>37</v>
      </c>
      <c r="I8004" s="4" t="n">
        <v>17</v>
      </c>
      <c r="J8004" s="4" t="n">
        <f aca="false">LEN(E8004)-LEN(SUBSTITUTE(E8004,",",""))+1</f>
        <v>7</v>
      </c>
      <c r="K8004" s="3" t="str">
        <f aca="false">IFERROR(INDEX('Teacher Lookup'!$B$2:$B$200,MATCH(A8004,'Teacher Lookup'!$A$2:$A$200,0)),"")</f>
        <v>PAIGE Nicole</v>
      </c>
    </row>
    <row r="8005" customFormat="false" ht="15" hidden="false" customHeight="false" outlineLevel="0" collapsed="false">
      <c r="A8005" s="3" t="s">
        <v>489</v>
      </c>
      <c r="B8005" s="4" t="s">
        <v>60</v>
      </c>
      <c r="C8005" s="4" t="n">
        <v>5</v>
      </c>
      <c r="D8005" s="4" t="s">
        <v>17</v>
      </c>
      <c r="E8005" s="3" t="s">
        <v>35</v>
      </c>
      <c r="F8005" s="4" t="str">
        <f aca="false">IF(I8005&gt;J8005,"Y","N")</f>
        <v>Y</v>
      </c>
      <c r="G8005" s="3" t="s">
        <v>36</v>
      </c>
      <c r="H8005" s="3" t="s">
        <v>37</v>
      </c>
      <c r="I8005" s="4" t="n">
        <v>17</v>
      </c>
      <c r="J8005" s="4" t="n">
        <f aca="false">LEN(E8005)-LEN(SUBSTITUTE(E8005,",",""))+1</f>
        <v>7</v>
      </c>
      <c r="K8005" s="3" t="str">
        <f aca="false">IFERROR(INDEX('Teacher Lookup'!$B$2:$B$200,MATCH(A8005,'Teacher Lookup'!$A$2:$A$200,0)),"")</f>
        <v>PAIGE Nicole</v>
      </c>
    </row>
    <row r="8006" customFormat="false" ht="15" hidden="false" customHeight="false" outlineLevel="0" collapsed="false">
      <c r="A8006" s="3" t="s">
        <v>489</v>
      </c>
      <c r="B8006" s="4" t="s">
        <v>60</v>
      </c>
      <c r="C8006" s="4" t="n">
        <v>5</v>
      </c>
      <c r="D8006" s="4" t="s">
        <v>18</v>
      </c>
      <c r="E8006" s="3" t="s">
        <v>35</v>
      </c>
      <c r="F8006" s="4" t="str">
        <f aca="false">IF(I8006&gt;J8006,"Y","N")</f>
        <v>Y</v>
      </c>
      <c r="G8006" s="3" t="s">
        <v>36</v>
      </c>
      <c r="H8006" s="3" t="s">
        <v>37</v>
      </c>
      <c r="I8006" s="4" t="n">
        <v>17</v>
      </c>
      <c r="J8006" s="4" t="n">
        <f aca="false">LEN(E8006)-LEN(SUBSTITUTE(E8006,",",""))+1</f>
        <v>7</v>
      </c>
      <c r="K8006" s="3" t="str">
        <f aca="false">IFERROR(INDEX('Teacher Lookup'!$B$2:$B$200,MATCH(A8006,'Teacher Lookup'!$A$2:$A$200,0)),"")</f>
        <v>PAIGE Nicole</v>
      </c>
    </row>
    <row r="8007" customFormat="false" ht="15" hidden="false" customHeight="false" outlineLevel="0" collapsed="false">
      <c r="A8007" s="3" t="s">
        <v>489</v>
      </c>
      <c r="B8007" s="4" t="s">
        <v>60</v>
      </c>
      <c r="C8007" s="4" t="n">
        <v>6</v>
      </c>
      <c r="D8007" s="4" t="s">
        <v>70</v>
      </c>
      <c r="E8007" s="3" t="s">
        <v>83</v>
      </c>
      <c r="F8007" s="4" t="str">
        <f aca="false">IF(I8007&gt;J8007,"Y","N")</f>
        <v>N</v>
      </c>
      <c r="G8007" s="3" t="s">
        <v>164</v>
      </c>
      <c r="H8007" s="3" t="s">
        <v>42</v>
      </c>
      <c r="I8007" s="4" t="n">
        <v>4</v>
      </c>
      <c r="J8007" s="4" t="n">
        <f aca="false">LEN(E8007)-LEN(SUBSTITUTE(E8007,",",""))+1</f>
        <v>4</v>
      </c>
      <c r="K8007" s="3" t="str">
        <f aca="false">IFERROR(INDEX('Teacher Lookup'!$B$2:$B$200,MATCH(A8007,'Teacher Lookup'!$A$2:$A$200,0)),"")</f>
        <v>PAIGE Nicole</v>
      </c>
    </row>
    <row r="8008" customFormat="false" ht="15" hidden="false" customHeight="false" outlineLevel="0" collapsed="false">
      <c r="A8008" s="3" t="s">
        <v>489</v>
      </c>
      <c r="B8008" s="4" t="s">
        <v>60</v>
      </c>
      <c r="C8008" s="4" t="n">
        <v>6</v>
      </c>
      <c r="D8008" s="4" t="s">
        <v>73</v>
      </c>
      <c r="E8008" s="3" t="s">
        <v>83</v>
      </c>
      <c r="F8008" s="4" t="str">
        <f aca="false">IF(I8008&gt;J8008,"Y","N")</f>
        <v>N</v>
      </c>
      <c r="G8008" s="3" t="s">
        <v>164</v>
      </c>
      <c r="H8008" s="3" t="s">
        <v>42</v>
      </c>
      <c r="I8008" s="4" t="n">
        <v>4</v>
      </c>
      <c r="J8008" s="4" t="n">
        <f aca="false">LEN(E8008)-LEN(SUBSTITUTE(E8008,",",""))+1</f>
        <v>4</v>
      </c>
      <c r="K8008" s="3" t="str">
        <f aca="false">IFERROR(INDEX('Teacher Lookup'!$B$2:$B$200,MATCH(A8008,'Teacher Lookup'!$A$2:$A$200,0)),"")</f>
        <v>PAIGE Nicole</v>
      </c>
    </row>
    <row r="8009" customFormat="false" ht="15" hidden="false" customHeight="false" outlineLevel="0" collapsed="false">
      <c r="A8009" s="3" t="s">
        <v>489</v>
      </c>
      <c r="B8009" s="4" t="s">
        <v>60</v>
      </c>
      <c r="C8009" s="4" t="n">
        <v>6</v>
      </c>
      <c r="D8009" s="4" t="s">
        <v>74</v>
      </c>
      <c r="E8009" s="3" t="s">
        <v>83</v>
      </c>
      <c r="F8009" s="4" t="str">
        <f aca="false">IF(I8009&gt;J8009,"Y","N")</f>
        <v>N</v>
      </c>
      <c r="G8009" s="3" t="s">
        <v>164</v>
      </c>
      <c r="H8009" s="3" t="s">
        <v>42</v>
      </c>
      <c r="I8009" s="4" t="n">
        <v>4</v>
      </c>
      <c r="J8009" s="4" t="n">
        <f aca="false">LEN(E8009)-LEN(SUBSTITUTE(E8009,",",""))+1</f>
        <v>4</v>
      </c>
      <c r="K8009" s="3" t="str">
        <f aca="false">IFERROR(INDEX('Teacher Lookup'!$B$2:$B$200,MATCH(A8009,'Teacher Lookup'!$A$2:$A$200,0)),"")</f>
        <v>PAIGE Nicole</v>
      </c>
    </row>
    <row r="8010" customFormat="false" ht="15" hidden="false" customHeight="false" outlineLevel="0" collapsed="false">
      <c r="A8010" s="3" t="s">
        <v>489</v>
      </c>
      <c r="B8010" s="4" t="s">
        <v>63</v>
      </c>
      <c r="C8010" s="4" t="n">
        <v>6</v>
      </c>
      <c r="D8010" s="4" t="s">
        <v>70</v>
      </c>
      <c r="E8010" s="3" t="s">
        <v>85</v>
      </c>
      <c r="F8010" s="4" t="str">
        <f aca="false">IF(I8010&gt;J8010,"Y","N")</f>
        <v>N</v>
      </c>
      <c r="G8010" s="3" t="s">
        <v>164</v>
      </c>
      <c r="H8010" s="3" t="s">
        <v>42</v>
      </c>
      <c r="I8010" s="4" t="n">
        <v>4</v>
      </c>
      <c r="J8010" s="4" t="n">
        <f aca="false">LEN(E8010)-LEN(SUBSTITUTE(E8010,",",""))+1</f>
        <v>4</v>
      </c>
      <c r="K8010" s="3" t="str">
        <f aca="false">IFERROR(INDEX('Teacher Lookup'!$B$2:$B$200,MATCH(A8010,'Teacher Lookup'!$A$2:$A$200,0)),"")</f>
        <v>PAIGE Nicole</v>
      </c>
    </row>
    <row r="8011" customFormat="false" ht="15" hidden="false" customHeight="false" outlineLevel="0" collapsed="false">
      <c r="A8011" s="3" t="s">
        <v>489</v>
      </c>
      <c r="B8011" s="4" t="s">
        <v>63</v>
      </c>
      <c r="C8011" s="4" t="n">
        <v>6</v>
      </c>
      <c r="D8011" s="4" t="s">
        <v>73</v>
      </c>
      <c r="E8011" s="3" t="s">
        <v>85</v>
      </c>
      <c r="F8011" s="4" t="str">
        <f aca="false">IF(I8011&gt;J8011,"Y","N")</f>
        <v>N</v>
      </c>
      <c r="G8011" s="3" t="s">
        <v>164</v>
      </c>
      <c r="H8011" s="3" t="s">
        <v>42</v>
      </c>
      <c r="I8011" s="4" t="n">
        <v>4</v>
      </c>
      <c r="J8011" s="4" t="n">
        <f aca="false">LEN(E8011)-LEN(SUBSTITUTE(E8011,",",""))+1</f>
        <v>4</v>
      </c>
      <c r="K8011" s="3" t="str">
        <f aca="false">IFERROR(INDEX('Teacher Lookup'!$B$2:$B$200,MATCH(A8011,'Teacher Lookup'!$A$2:$A$200,0)),"")</f>
        <v>PAIGE Nicole</v>
      </c>
    </row>
    <row r="8012" customFormat="false" ht="15" hidden="false" customHeight="false" outlineLevel="0" collapsed="false">
      <c r="A8012" s="3" t="s">
        <v>489</v>
      </c>
      <c r="B8012" s="4" t="s">
        <v>63</v>
      </c>
      <c r="C8012" s="4" t="n">
        <v>6</v>
      </c>
      <c r="D8012" s="4" t="s">
        <v>74</v>
      </c>
      <c r="E8012" s="3" t="s">
        <v>85</v>
      </c>
      <c r="F8012" s="4" t="str">
        <f aca="false">IF(I8012&gt;J8012,"Y","N")</f>
        <v>N</v>
      </c>
      <c r="G8012" s="3" t="s">
        <v>164</v>
      </c>
      <c r="H8012" s="3" t="s">
        <v>42</v>
      </c>
      <c r="I8012" s="4" t="n">
        <v>4</v>
      </c>
      <c r="J8012" s="4" t="n">
        <f aca="false">LEN(E8012)-LEN(SUBSTITUTE(E8012,",",""))+1</f>
        <v>4</v>
      </c>
      <c r="K8012" s="3" t="str">
        <f aca="false">IFERROR(INDEX('Teacher Lookup'!$B$2:$B$200,MATCH(A8012,'Teacher Lookup'!$A$2:$A$200,0)),"")</f>
        <v>PAIGE Nicole</v>
      </c>
    </row>
    <row r="8013" customFormat="false" ht="15" hidden="false" customHeight="false" outlineLevel="0" collapsed="false">
      <c r="A8013" s="3" t="s">
        <v>489</v>
      </c>
      <c r="B8013" s="4" t="s">
        <v>63</v>
      </c>
      <c r="C8013" s="4" t="n">
        <v>7</v>
      </c>
      <c r="D8013" s="4" t="s">
        <v>76</v>
      </c>
      <c r="E8013" s="3" t="s">
        <v>88</v>
      </c>
      <c r="F8013" s="4" t="str">
        <f aca="false">IF(I8013&gt;J8013,"Y","N")</f>
        <v>N</v>
      </c>
      <c r="G8013" s="3" t="s">
        <v>164</v>
      </c>
      <c r="H8013" s="3" t="s">
        <v>39</v>
      </c>
      <c r="I8013" s="4" t="n">
        <v>4</v>
      </c>
      <c r="J8013" s="4" t="n">
        <f aca="false">LEN(E8013)-LEN(SUBSTITUTE(E8013,",",""))+1</f>
        <v>4</v>
      </c>
      <c r="K8013" s="3" t="str">
        <f aca="false">IFERROR(INDEX('Teacher Lookup'!$B$2:$B$200,MATCH(A8013,'Teacher Lookup'!$A$2:$A$200,0)),"")</f>
        <v>PAIGE Nicole</v>
      </c>
    </row>
    <row r="8014" customFormat="false" ht="15" hidden="false" customHeight="false" outlineLevel="0" collapsed="false">
      <c r="A8014" s="3" t="s">
        <v>489</v>
      </c>
      <c r="B8014" s="4" t="s">
        <v>63</v>
      </c>
      <c r="C8014" s="4" t="n">
        <v>7</v>
      </c>
      <c r="D8014" s="4" t="s">
        <v>78</v>
      </c>
      <c r="E8014" s="3" t="s">
        <v>88</v>
      </c>
      <c r="F8014" s="4" t="str">
        <f aca="false">IF(I8014&gt;J8014,"Y","N")</f>
        <v>N</v>
      </c>
      <c r="G8014" s="3" t="s">
        <v>164</v>
      </c>
      <c r="H8014" s="3" t="s">
        <v>39</v>
      </c>
      <c r="I8014" s="4" t="n">
        <v>4</v>
      </c>
      <c r="J8014" s="4" t="n">
        <f aca="false">LEN(E8014)-LEN(SUBSTITUTE(E8014,",",""))+1</f>
        <v>4</v>
      </c>
      <c r="K8014" s="3" t="str">
        <f aca="false">IFERROR(INDEX('Teacher Lookup'!$B$2:$B$200,MATCH(A8014,'Teacher Lookup'!$A$2:$A$200,0)),"")</f>
        <v>PAIGE Nicole</v>
      </c>
    </row>
    <row r="8015" customFormat="false" ht="15" hidden="false" customHeight="false" outlineLevel="0" collapsed="false">
      <c r="A8015" s="3" t="s">
        <v>489</v>
      </c>
      <c r="B8015" s="4" t="s">
        <v>63</v>
      </c>
      <c r="C8015" s="4" t="n">
        <v>7</v>
      </c>
      <c r="D8015" s="4" t="s">
        <v>79</v>
      </c>
      <c r="E8015" s="3" t="s">
        <v>88</v>
      </c>
      <c r="F8015" s="4" t="str">
        <f aca="false">IF(I8015&gt;J8015,"Y","N")</f>
        <v>N</v>
      </c>
      <c r="G8015" s="3" t="s">
        <v>164</v>
      </c>
      <c r="H8015" s="3" t="s">
        <v>39</v>
      </c>
      <c r="I8015" s="4" t="n">
        <v>4</v>
      </c>
      <c r="J8015" s="4" t="n">
        <f aca="false">LEN(E8015)-LEN(SUBSTITUTE(E8015,",",""))+1</f>
        <v>4</v>
      </c>
      <c r="K8015" s="3" t="str">
        <f aca="false">IFERROR(INDEX('Teacher Lookup'!$B$2:$B$200,MATCH(A8015,'Teacher Lookup'!$A$2:$A$200,0)),"")</f>
        <v>PAIGE Nicole</v>
      </c>
    </row>
    <row r="8016" customFormat="false" ht="15" hidden="false" customHeight="false" outlineLevel="0" collapsed="false">
      <c r="A8016" s="3" t="s">
        <v>489</v>
      </c>
      <c r="B8016" s="4" t="s">
        <v>65</v>
      </c>
      <c r="C8016" s="4" t="n">
        <v>3</v>
      </c>
      <c r="D8016" s="4" t="s">
        <v>76</v>
      </c>
      <c r="E8016" s="3" t="s">
        <v>181</v>
      </c>
      <c r="F8016" s="4" t="str">
        <f aca="false">IF(I8016&gt;J8016,"Y","N")</f>
        <v>N</v>
      </c>
      <c r="G8016" s="3" t="s">
        <v>164</v>
      </c>
      <c r="H8016" s="3" t="s">
        <v>26</v>
      </c>
      <c r="I8016" s="4" t="n">
        <v>4</v>
      </c>
      <c r="J8016" s="4" t="n">
        <f aca="false">LEN(E8016)-LEN(SUBSTITUTE(E8016,",",""))+1</f>
        <v>4</v>
      </c>
      <c r="K8016" s="3" t="str">
        <f aca="false">IFERROR(INDEX('Teacher Lookup'!$B$2:$B$200,MATCH(A8016,'Teacher Lookup'!$A$2:$A$200,0)),"")</f>
        <v>PAIGE Nicole</v>
      </c>
    </row>
    <row r="8017" customFormat="false" ht="15" hidden="false" customHeight="false" outlineLevel="0" collapsed="false">
      <c r="A8017" s="3" t="s">
        <v>489</v>
      </c>
      <c r="B8017" s="4" t="s">
        <v>65</v>
      </c>
      <c r="C8017" s="4" t="n">
        <v>3</v>
      </c>
      <c r="D8017" s="4" t="s">
        <v>78</v>
      </c>
      <c r="E8017" s="3" t="s">
        <v>181</v>
      </c>
      <c r="F8017" s="4" t="str">
        <f aca="false">IF(I8017&gt;J8017,"Y","N")</f>
        <v>N</v>
      </c>
      <c r="G8017" s="3" t="s">
        <v>164</v>
      </c>
      <c r="H8017" s="3" t="s">
        <v>26</v>
      </c>
      <c r="I8017" s="4" t="n">
        <v>4</v>
      </c>
      <c r="J8017" s="4" t="n">
        <f aca="false">LEN(E8017)-LEN(SUBSTITUTE(E8017,",",""))+1</f>
        <v>4</v>
      </c>
      <c r="K8017" s="3" t="str">
        <f aca="false">IFERROR(INDEX('Teacher Lookup'!$B$2:$B$200,MATCH(A8017,'Teacher Lookup'!$A$2:$A$200,0)),"")</f>
        <v>PAIGE Nicole</v>
      </c>
    </row>
    <row r="8018" customFormat="false" ht="15" hidden="false" customHeight="false" outlineLevel="0" collapsed="false">
      <c r="A8018" s="3" t="s">
        <v>489</v>
      </c>
      <c r="B8018" s="4" t="s">
        <v>65</v>
      </c>
      <c r="C8018" s="4" t="n">
        <v>3</v>
      </c>
      <c r="D8018" s="4" t="s">
        <v>79</v>
      </c>
      <c r="E8018" s="3" t="s">
        <v>181</v>
      </c>
      <c r="F8018" s="4" t="str">
        <f aca="false">IF(I8018&gt;J8018,"Y","N")</f>
        <v>N</v>
      </c>
      <c r="G8018" s="3" t="s">
        <v>164</v>
      </c>
      <c r="H8018" s="3" t="s">
        <v>26</v>
      </c>
      <c r="I8018" s="4" t="n">
        <v>4</v>
      </c>
      <c r="J8018" s="4" t="n">
        <f aca="false">LEN(E8018)-LEN(SUBSTITUTE(E8018,",",""))+1</f>
        <v>4</v>
      </c>
      <c r="K8018" s="3" t="str">
        <f aca="false">IFERROR(INDEX('Teacher Lookup'!$B$2:$B$200,MATCH(A8018,'Teacher Lookup'!$A$2:$A$200,0)),"")</f>
        <v>PAIGE Nicole</v>
      </c>
    </row>
    <row r="8019" customFormat="false" ht="15" hidden="false" customHeight="false" outlineLevel="0" collapsed="false">
      <c r="A8019" s="3" t="s">
        <v>489</v>
      </c>
      <c r="B8019" s="4" t="s">
        <v>65</v>
      </c>
      <c r="C8019" s="4" t="n">
        <v>4</v>
      </c>
      <c r="D8019" s="4" t="s">
        <v>19</v>
      </c>
      <c r="E8019" s="3" t="s">
        <v>322</v>
      </c>
      <c r="F8019" s="4" t="str">
        <f aca="false">IF(I8019&gt;J8019,"Y","N")</f>
        <v>N</v>
      </c>
      <c r="G8019" s="3" t="s">
        <v>164</v>
      </c>
      <c r="H8019" s="3" t="s">
        <v>34</v>
      </c>
      <c r="I8019" s="4" t="n">
        <v>4</v>
      </c>
      <c r="J8019" s="4" t="n">
        <f aca="false">LEN(E8019)-LEN(SUBSTITUTE(E8019,",",""))+1</f>
        <v>4</v>
      </c>
      <c r="K8019" s="3" t="str">
        <f aca="false">IFERROR(INDEX('Teacher Lookup'!$B$2:$B$200,MATCH(A8019,'Teacher Lookup'!$A$2:$A$200,0)),"")</f>
        <v>PAIGE Nicole</v>
      </c>
    </row>
    <row r="8020" customFormat="false" ht="15" hidden="false" customHeight="false" outlineLevel="0" collapsed="false">
      <c r="A8020" s="3" t="s">
        <v>489</v>
      </c>
      <c r="B8020" s="4" t="s">
        <v>65</v>
      </c>
      <c r="C8020" s="4" t="n">
        <v>4</v>
      </c>
      <c r="D8020" s="4" t="s">
        <v>22</v>
      </c>
      <c r="E8020" s="3" t="s">
        <v>322</v>
      </c>
      <c r="F8020" s="4" t="str">
        <f aca="false">IF(I8020&gt;J8020,"Y","N")</f>
        <v>N</v>
      </c>
      <c r="G8020" s="3" t="s">
        <v>164</v>
      </c>
      <c r="H8020" s="3" t="s">
        <v>34</v>
      </c>
      <c r="I8020" s="4" t="n">
        <v>4</v>
      </c>
      <c r="J8020" s="4" t="n">
        <f aca="false">LEN(E8020)-LEN(SUBSTITUTE(E8020,",",""))+1</f>
        <v>4</v>
      </c>
      <c r="K8020" s="3" t="str">
        <f aca="false">IFERROR(INDEX('Teacher Lookup'!$B$2:$B$200,MATCH(A8020,'Teacher Lookup'!$A$2:$A$200,0)),"")</f>
        <v>PAIGE Nicole</v>
      </c>
    </row>
    <row r="8021" customFormat="false" ht="15" hidden="false" customHeight="false" outlineLevel="0" collapsed="false">
      <c r="A8021" s="3" t="s">
        <v>489</v>
      </c>
      <c r="B8021" s="4" t="s">
        <v>65</v>
      </c>
      <c r="C8021" s="4" t="n">
        <v>4</v>
      </c>
      <c r="D8021" s="4" t="s">
        <v>23</v>
      </c>
      <c r="E8021" s="3" t="s">
        <v>322</v>
      </c>
      <c r="F8021" s="4" t="str">
        <f aca="false">IF(I8021&gt;J8021,"Y","N")</f>
        <v>N</v>
      </c>
      <c r="G8021" s="3" t="s">
        <v>164</v>
      </c>
      <c r="H8021" s="3" t="s">
        <v>34</v>
      </c>
      <c r="I8021" s="4" t="n">
        <v>4</v>
      </c>
      <c r="J8021" s="4" t="n">
        <f aca="false">LEN(E8021)-LEN(SUBSTITUTE(E8021,",",""))+1</f>
        <v>4</v>
      </c>
      <c r="K8021" s="3" t="str">
        <f aca="false">IFERROR(INDEX('Teacher Lookup'!$B$2:$B$200,MATCH(A8021,'Teacher Lookup'!$A$2:$A$200,0)),"")</f>
        <v>PAIGE Nicole</v>
      </c>
    </row>
    <row r="8022" customFormat="false" ht="15" hidden="false" customHeight="false" outlineLevel="0" collapsed="false">
      <c r="A8022" s="3" t="s">
        <v>489</v>
      </c>
      <c r="B8022" s="4" t="s">
        <v>65</v>
      </c>
      <c r="C8022" s="4" t="n">
        <v>5</v>
      </c>
      <c r="D8022" s="4" t="s">
        <v>19</v>
      </c>
      <c r="E8022" s="3" t="s">
        <v>35</v>
      </c>
      <c r="F8022" s="4" t="str">
        <f aca="false">IF(I8022&gt;J8022,"Y","N")</f>
        <v>Y</v>
      </c>
      <c r="G8022" s="3" t="s">
        <v>36</v>
      </c>
      <c r="H8022" s="3" t="s">
        <v>37</v>
      </c>
      <c r="I8022" s="4" t="n">
        <v>17</v>
      </c>
      <c r="J8022" s="4" t="n">
        <f aca="false">LEN(E8022)-LEN(SUBSTITUTE(E8022,",",""))+1</f>
        <v>7</v>
      </c>
      <c r="K8022" s="3" t="str">
        <f aca="false">IFERROR(INDEX('Teacher Lookup'!$B$2:$B$200,MATCH(A8022,'Teacher Lookup'!$A$2:$A$200,0)),"")</f>
        <v>PAIGE Nicole</v>
      </c>
    </row>
    <row r="8023" customFormat="false" ht="15" hidden="false" customHeight="false" outlineLevel="0" collapsed="false">
      <c r="A8023" s="3" t="s">
        <v>489</v>
      </c>
      <c r="B8023" s="4" t="s">
        <v>65</v>
      </c>
      <c r="C8023" s="4" t="n">
        <v>5</v>
      </c>
      <c r="D8023" s="4" t="s">
        <v>22</v>
      </c>
      <c r="E8023" s="3" t="s">
        <v>35</v>
      </c>
      <c r="F8023" s="4" t="str">
        <f aca="false">IF(I8023&gt;J8023,"Y","N")</f>
        <v>Y</v>
      </c>
      <c r="G8023" s="3" t="s">
        <v>36</v>
      </c>
      <c r="H8023" s="3" t="s">
        <v>37</v>
      </c>
      <c r="I8023" s="4" t="n">
        <v>17</v>
      </c>
      <c r="J8023" s="4" t="n">
        <f aca="false">LEN(E8023)-LEN(SUBSTITUTE(E8023,",",""))+1</f>
        <v>7</v>
      </c>
      <c r="K8023" s="3" t="str">
        <f aca="false">IFERROR(INDEX('Teacher Lookup'!$B$2:$B$200,MATCH(A8023,'Teacher Lookup'!$A$2:$A$200,0)),"")</f>
        <v>PAIGE Nicole</v>
      </c>
    </row>
    <row r="8024" customFormat="false" ht="15" hidden="false" customHeight="false" outlineLevel="0" collapsed="false">
      <c r="A8024" s="3" t="s">
        <v>489</v>
      </c>
      <c r="B8024" s="4" t="s">
        <v>65</v>
      </c>
      <c r="C8024" s="4" t="n">
        <v>5</v>
      </c>
      <c r="D8024" s="4" t="s">
        <v>23</v>
      </c>
      <c r="E8024" s="3" t="s">
        <v>35</v>
      </c>
      <c r="F8024" s="4" t="str">
        <f aca="false">IF(I8024&gt;J8024,"Y","N")</f>
        <v>Y</v>
      </c>
      <c r="G8024" s="3" t="s">
        <v>36</v>
      </c>
      <c r="H8024" s="3" t="s">
        <v>37</v>
      </c>
      <c r="I8024" s="4" t="n">
        <v>17</v>
      </c>
      <c r="J8024" s="4" t="n">
        <f aca="false">LEN(E8024)-LEN(SUBSTITUTE(E8024,",",""))+1</f>
        <v>7</v>
      </c>
      <c r="K8024" s="3" t="str">
        <f aca="false">IFERROR(INDEX('Teacher Lookup'!$B$2:$B$200,MATCH(A8024,'Teacher Lookup'!$A$2:$A$200,0)),"")</f>
        <v>PAIGE Nicole</v>
      </c>
    </row>
    <row r="8025" customFormat="false" ht="15" hidden="false" customHeight="false" outlineLevel="0" collapsed="false">
      <c r="A8025" s="3" t="s">
        <v>489</v>
      </c>
      <c r="B8025" s="4" t="s">
        <v>65</v>
      </c>
      <c r="C8025" s="4" t="n">
        <v>5</v>
      </c>
      <c r="D8025" s="4" t="s">
        <v>13</v>
      </c>
      <c r="E8025" s="3" t="s">
        <v>35</v>
      </c>
      <c r="F8025" s="4" t="str">
        <f aca="false">IF(I8025&gt;J8025,"Y","N")</f>
        <v>Y</v>
      </c>
      <c r="G8025" s="3" t="s">
        <v>36</v>
      </c>
      <c r="H8025" s="3" t="s">
        <v>37</v>
      </c>
      <c r="I8025" s="4" t="n">
        <v>17</v>
      </c>
      <c r="J8025" s="4" t="n">
        <f aca="false">LEN(E8025)-LEN(SUBSTITUTE(E8025,",",""))+1</f>
        <v>7</v>
      </c>
      <c r="K8025" s="3" t="str">
        <f aca="false">IFERROR(INDEX('Teacher Lookup'!$B$2:$B$200,MATCH(A8025,'Teacher Lookup'!$A$2:$A$200,0)),"")</f>
        <v>PAIGE Nicole</v>
      </c>
    </row>
    <row r="8026" customFormat="false" ht="15" hidden="false" customHeight="false" outlineLevel="0" collapsed="false">
      <c r="A8026" s="3" t="s">
        <v>489</v>
      </c>
      <c r="B8026" s="4" t="s">
        <v>65</v>
      </c>
      <c r="C8026" s="4" t="n">
        <v>5</v>
      </c>
      <c r="D8026" s="4" t="s">
        <v>17</v>
      </c>
      <c r="E8026" s="3" t="s">
        <v>35</v>
      </c>
      <c r="F8026" s="4" t="str">
        <f aca="false">IF(I8026&gt;J8026,"Y","N")</f>
        <v>Y</v>
      </c>
      <c r="G8026" s="3" t="s">
        <v>36</v>
      </c>
      <c r="H8026" s="3" t="s">
        <v>37</v>
      </c>
      <c r="I8026" s="4" t="n">
        <v>17</v>
      </c>
      <c r="J8026" s="4" t="n">
        <f aca="false">LEN(E8026)-LEN(SUBSTITUTE(E8026,",",""))+1</f>
        <v>7</v>
      </c>
      <c r="K8026" s="3" t="str">
        <f aca="false">IFERROR(INDEX('Teacher Lookup'!$B$2:$B$200,MATCH(A8026,'Teacher Lookup'!$A$2:$A$200,0)),"")</f>
        <v>PAIGE Nicole</v>
      </c>
    </row>
    <row r="8027" customFormat="false" ht="15" hidden="false" customHeight="false" outlineLevel="0" collapsed="false">
      <c r="A8027" s="3" t="s">
        <v>489</v>
      </c>
      <c r="B8027" s="4" t="s">
        <v>65</v>
      </c>
      <c r="C8027" s="4" t="n">
        <v>5</v>
      </c>
      <c r="D8027" s="4" t="s">
        <v>18</v>
      </c>
      <c r="E8027" s="3" t="s">
        <v>35</v>
      </c>
      <c r="F8027" s="4" t="str">
        <f aca="false">IF(I8027&gt;J8027,"Y","N")</f>
        <v>Y</v>
      </c>
      <c r="G8027" s="3" t="s">
        <v>36</v>
      </c>
      <c r="H8027" s="3" t="s">
        <v>37</v>
      </c>
      <c r="I8027" s="4" t="n">
        <v>17</v>
      </c>
      <c r="J8027" s="4" t="n">
        <f aca="false">LEN(E8027)-LEN(SUBSTITUTE(E8027,",",""))+1</f>
        <v>7</v>
      </c>
      <c r="K8027" s="3" t="str">
        <f aca="false">IFERROR(INDEX('Teacher Lookup'!$B$2:$B$200,MATCH(A8027,'Teacher Lookup'!$A$2:$A$200,0)),"")</f>
        <v>PAIGE Nicole</v>
      </c>
    </row>
    <row r="8028" customFormat="false" ht="15" hidden="false" customHeight="false" outlineLevel="0" collapsed="false">
      <c r="A8028" s="3" t="s">
        <v>489</v>
      </c>
      <c r="B8028" s="4" t="s">
        <v>65</v>
      </c>
      <c r="C8028" s="4" t="n">
        <v>6</v>
      </c>
      <c r="D8028" s="4" t="s">
        <v>70</v>
      </c>
      <c r="E8028" s="3" t="s">
        <v>218</v>
      </c>
      <c r="F8028" s="4" t="str">
        <f aca="false">IF(I8028&gt;J8028,"Y","N")</f>
        <v>N</v>
      </c>
      <c r="G8028" s="3" t="s">
        <v>164</v>
      </c>
      <c r="H8028" s="3" t="s">
        <v>42</v>
      </c>
      <c r="I8028" s="4" t="n">
        <v>4</v>
      </c>
      <c r="J8028" s="4" t="n">
        <f aca="false">LEN(E8028)-LEN(SUBSTITUTE(E8028,",",""))+1</f>
        <v>4</v>
      </c>
      <c r="K8028" s="3" t="str">
        <f aca="false">IFERROR(INDEX('Teacher Lookup'!$B$2:$B$200,MATCH(A8028,'Teacher Lookup'!$A$2:$A$200,0)),"")</f>
        <v>PAIGE Nicole</v>
      </c>
    </row>
    <row r="8029" customFormat="false" ht="15" hidden="false" customHeight="false" outlineLevel="0" collapsed="false">
      <c r="A8029" s="3" t="s">
        <v>489</v>
      </c>
      <c r="B8029" s="4" t="s">
        <v>65</v>
      </c>
      <c r="C8029" s="4" t="n">
        <v>6</v>
      </c>
      <c r="D8029" s="4" t="s">
        <v>73</v>
      </c>
      <c r="E8029" s="3" t="s">
        <v>218</v>
      </c>
      <c r="F8029" s="4" t="str">
        <f aca="false">IF(I8029&gt;J8029,"Y","N")</f>
        <v>N</v>
      </c>
      <c r="G8029" s="3" t="s">
        <v>164</v>
      </c>
      <c r="H8029" s="3" t="s">
        <v>42</v>
      </c>
      <c r="I8029" s="4" t="n">
        <v>4</v>
      </c>
      <c r="J8029" s="4" t="n">
        <f aca="false">LEN(E8029)-LEN(SUBSTITUTE(E8029,",",""))+1</f>
        <v>4</v>
      </c>
      <c r="K8029" s="3" t="str">
        <f aca="false">IFERROR(INDEX('Teacher Lookup'!$B$2:$B$200,MATCH(A8029,'Teacher Lookup'!$A$2:$A$200,0)),"")</f>
        <v>PAIGE Nicole</v>
      </c>
    </row>
    <row r="8030" customFormat="false" ht="15" hidden="false" customHeight="false" outlineLevel="0" collapsed="false">
      <c r="A8030" s="3" t="s">
        <v>489</v>
      </c>
      <c r="B8030" s="4" t="s">
        <v>65</v>
      </c>
      <c r="C8030" s="4" t="n">
        <v>6</v>
      </c>
      <c r="D8030" s="4" t="s">
        <v>74</v>
      </c>
      <c r="E8030" s="3" t="s">
        <v>218</v>
      </c>
      <c r="F8030" s="4" t="str">
        <f aca="false">IF(I8030&gt;J8030,"Y","N")</f>
        <v>N</v>
      </c>
      <c r="G8030" s="3" t="s">
        <v>164</v>
      </c>
      <c r="H8030" s="3" t="s">
        <v>42</v>
      </c>
      <c r="I8030" s="4" t="n">
        <v>4</v>
      </c>
      <c r="J8030" s="4" t="n">
        <f aca="false">LEN(E8030)-LEN(SUBSTITUTE(E8030,",",""))+1</f>
        <v>4</v>
      </c>
      <c r="K8030" s="3" t="str">
        <f aca="false">IFERROR(INDEX('Teacher Lookup'!$B$2:$B$200,MATCH(A8030,'Teacher Lookup'!$A$2:$A$200,0)),"")</f>
        <v>PAIGE Nicole</v>
      </c>
    </row>
    <row r="8031" customFormat="false" ht="15" hidden="false" customHeight="false" outlineLevel="0" collapsed="false">
      <c r="A8031" s="3" t="s">
        <v>489</v>
      </c>
      <c r="B8031" s="4" t="s">
        <v>65</v>
      </c>
      <c r="C8031" s="4" t="n">
        <v>7</v>
      </c>
      <c r="D8031" s="4" t="s">
        <v>70</v>
      </c>
      <c r="E8031" s="3" t="s">
        <v>218</v>
      </c>
      <c r="F8031" s="4" t="str">
        <f aca="false">IF(I8031&gt;J8031,"Y","N")</f>
        <v>N</v>
      </c>
      <c r="G8031" s="3" t="s">
        <v>164</v>
      </c>
      <c r="H8031" s="3" t="s">
        <v>39</v>
      </c>
      <c r="I8031" s="4" t="n">
        <v>4</v>
      </c>
      <c r="J8031" s="4" t="n">
        <f aca="false">LEN(E8031)-LEN(SUBSTITUTE(E8031,",",""))+1</f>
        <v>4</v>
      </c>
      <c r="K8031" s="3" t="str">
        <f aca="false">IFERROR(INDEX('Teacher Lookup'!$B$2:$B$200,MATCH(A8031,'Teacher Lookup'!$A$2:$A$200,0)),"")</f>
        <v>PAIGE Nicole</v>
      </c>
    </row>
    <row r="8032" customFormat="false" ht="15" hidden="false" customHeight="false" outlineLevel="0" collapsed="false">
      <c r="A8032" s="3" t="s">
        <v>489</v>
      </c>
      <c r="B8032" s="4" t="s">
        <v>65</v>
      </c>
      <c r="C8032" s="4" t="n">
        <v>7</v>
      </c>
      <c r="D8032" s="4" t="s">
        <v>73</v>
      </c>
      <c r="E8032" s="3" t="s">
        <v>218</v>
      </c>
      <c r="F8032" s="4" t="str">
        <f aca="false">IF(I8032&gt;J8032,"Y","N")</f>
        <v>N</v>
      </c>
      <c r="G8032" s="3" t="s">
        <v>164</v>
      </c>
      <c r="H8032" s="3" t="s">
        <v>39</v>
      </c>
      <c r="I8032" s="4" t="n">
        <v>4</v>
      </c>
      <c r="J8032" s="4" t="n">
        <f aca="false">LEN(E8032)-LEN(SUBSTITUTE(E8032,",",""))+1</f>
        <v>4</v>
      </c>
      <c r="K8032" s="3" t="str">
        <f aca="false">IFERROR(INDEX('Teacher Lookup'!$B$2:$B$200,MATCH(A8032,'Teacher Lookup'!$A$2:$A$200,0)),"")</f>
        <v>PAIGE Nicole</v>
      </c>
    </row>
    <row r="8033" customFormat="false" ht="15" hidden="false" customHeight="false" outlineLevel="0" collapsed="false">
      <c r="A8033" s="3" t="s">
        <v>489</v>
      </c>
      <c r="B8033" s="4" t="s">
        <v>65</v>
      </c>
      <c r="C8033" s="4" t="n">
        <v>7</v>
      </c>
      <c r="D8033" s="4" t="s">
        <v>74</v>
      </c>
      <c r="E8033" s="3" t="s">
        <v>218</v>
      </c>
      <c r="F8033" s="4" t="str">
        <f aca="false">IF(I8033&gt;J8033,"Y","N")</f>
        <v>N</v>
      </c>
      <c r="G8033" s="3" t="s">
        <v>164</v>
      </c>
      <c r="H8033" s="3" t="s">
        <v>39</v>
      </c>
      <c r="I8033" s="4" t="n">
        <v>4</v>
      </c>
      <c r="J8033" s="4" t="n">
        <f aca="false">LEN(E8033)-LEN(SUBSTITUTE(E8033,",",""))+1</f>
        <v>4</v>
      </c>
      <c r="K8033" s="3" t="str">
        <f aca="false">IFERROR(INDEX('Teacher Lookup'!$B$2:$B$200,MATCH(A8033,'Teacher Lookup'!$A$2:$A$200,0)),"")</f>
        <v>PAIGE Nicole</v>
      </c>
    </row>
    <row r="8034" customFormat="false" ht="15" hidden="false" customHeight="false" outlineLevel="0" collapsed="false">
      <c r="A8034" s="3" t="s">
        <v>489</v>
      </c>
      <c r="B8034" s="4" t="s">
        <v>66</v>
      </c>
      <c r="C8034" s="4" t="n">
        <v>2</v>
      </c>
      <c r="D8034" s="4" t="s">
        <v>70</v>
      </c>
      <c r="E8034" s="3" t="s">
        <v>91</v>
      </c>
      <c r="F8034" s="4" t="str">
        <f aca="false">IF(I8034&gt;J8034,"Y","N")</f>
        <v>N</v>
      </c>
      <c r="G8034" s="3" t="s">
        <v>164</v>
      </c>
      <c r="H8034" s="3" t="s">
        <v>21</v>
      </c>
      <c r="I8034" s="4" t="n">
        <v>4</v>
      </c>
      <c r="J8034" s="4" t="n">
        <f aca="false">LEN(E8034)-LEN(SUBSTITUTE(E8034,",",""))+1</f>
        <v>4</v>
      </c>
      <c r="K8034" s="3" t="str">
        <f aca="false">IFERROR(INDEX('Teacher Lookup'!$B$2:$B$200,MATCH(A8034,'Teacher Lookup'!$A$2:$A$200,0)),"")</f>
        <v>PAIGE Nicole</v>
      </c>
    </row>
    <row r="8035" customFormat="false" ht="15" hidden="false" customHeight="false" outlineLevel="0" collapsed="false">
      <c r="A8035" s="3" t="s">
        <v>489</v>
      </c>
      <c r="B8035" s="4" t="s">
        <v>66</v>
      </c>
      <c r="C8035" s="4" t="n">
        <v>2</v>
      </c>
      <c r="D8035" s="4" t="s">
        <v>73</v>
      </c>
      <c r="E8035" s="3" t="s">
        <v>91</v>
      </c>
      <c r="F8035" s="4" t="str">
        <f aca="false">IF(I8035&gt;J8035,"Y","N")</f>
        <v>N</v>
      </c>
      <c r="G8035" s="3" t="s">
        <v>164</v>
      </c>
      <c r="H8035" s="3" t="s">
        <v>21</v>
      </c>
      <c r="I8035" s="4" t="n">
        <v>4</v>
      </c>
      <c r="J8035" s="4" t="n">
        <f aca="false">LEN(E8035)-LEN(SUBSTITUTE(E8035,",",""))+1</f>
        <v>4</v>
      </c>
      <c r="K8035" s="3" t="str">
        <f aca="false">IFERROR(INDEX('Teacher Lookup'!$B$2:$B$200,MATCH(A8035,'Teacher Lookup'!$A$2:$A$200,0)),"")</f>
        <v>PAIGE Nicole</v>
      </c>
    </row>
    <row r="8036" customFormat="false" ht="15" hidden="false" customHeight="false" outlineLevel="0" collapsed="false">
      <c r="A8036" s="3" t="s">
        <v>489</v>
      </c>
      <c r="B8036" s="4" t="s">
        <v>66</v>
      </c>
      <c r="C8036" s="4" t="n">
        <v>2</v>
      </c>
      <c r="D8036" s="4" t="s">
        <v>74</v>
      </c>
      <c r="E8036" s="3" t="s">
        <v>91</v>
      </c>
      <c r="F8036" s="4" t="str">
        <f aca="false">IF(I8036&gt;J8036,"Y","N")</f>
        <v>N</v>
      </c>
      <c r="G8036" s="3" t="s">
        <v>164</v>
      </c>
      <c r="H8036" s="3" t="s">
        <v>21</v>
      </c>
      <c r="I8036" s="4" t="n">
        <v>4</v>
      </c>
      <c r="J8036" s="4" t="n">
        <f aca="false">LEN(E8036)-LEN(SUBSTITUTE(E8036,",",""))+1</f>
        <v>4</v>
      </c>
      <c r="K8036" s="3" t="str">
        <f aca="false">IFERROR(INDEX('Teacher Lookup'!$B$2:$B$200,MATCH(A8036,'Teacher Lookup'!$A$2:$A$200,0)),"")</f>
        <v>PAIGE Nicole</v>
      </c>
    </row>
    <row r="8037" customFormat="false" ht="15" hidden="false" customHeight="false" outlineLevel="0" collapsed="false">
      <c r="A8037" s="3" t="s">
        <v>489</v>
      </c>
      <c r="B8037" s="4" t="s">
        <v>66</v>
      </c>
      <c r="C8037" s="4" t="n">
        <v>4</v>
      </c>
      <c r="D8037" s="4" t="s">
        <v>76</v>
      </c>
      <c r="E8037" s="3" t="s">
        <v>182</v>
      </c>
      <c r="F8037" s="4" t="str">
        <f aca="false">IF(I8037&gt;J8037,"Y","N")</f>
        <v>N</v>
      </c>
      <c r="G8037" s="3" t="s">
        <v>164</v>
      </c>
      <c r="H8037" s="3" t="s">
        <v>34</v>
      </c>
      <c r="I8037" s="4" t="n">
        <v>4</v>
      </c>
      <c r="J8037" s="4" t="n">
        <f aca="false">LEN(E8037)-LEN(SUBSTITUTE(E8037,",",""))+1</f>
        <v>4</v>
      </c>
      <c r="K8037" s="3" t="str">
        <f aca="false">IFERROR(INDEX('Teacher Lookup'!$B$2:$B$200,MATCH(A8037,'Teacher Lookup'!$A$2:$A$200,0)),"")</f>
        <v>PAIGE Nicole</v>
      </c>
    </row>
    <row r="8038" customFormat="false" ht="15" hidden="false" customHeight="false" outlineLevel="0" collapsed="false">
      <c r="A8038" s="3" t="s">
        <v>489</v>
      </c>
      <c r="B8038" s="4" t="s">
        <v>66</v>
      </c>
      <c r="C8038" s="4" t="n">
        <v>4</v>
      </c>
      <c r="D8038" s="4" t="s">
        <v>78</v>
      </c>
      <c r="E8038" s="3" t="s">
        <v>182</v>
      </c>
      <c r="F8038" s="4" t="str">
        <f aca="false">IF(I8038&gt;J8038,"Y","N")</f>
        <v>N</v>
      </c>
      <c r="G8038" s="3" t="s">
        <v>164</v>
      </c>
      <c r="H8038" s="3" t="s">
        <v>34</v>
      </c>
      <c r="I8038" s="4" t="n">
        <v>4</v>
      </c>
      <c r="J8038" s="4" t="n">
        <f aca="false">LEN(E8038)-LEN(SUBSTITUTE(E8038,",",""))+1</f>
        <v>4</v>
      </c>
      <c r="K8038" s="3" t="str">
        <f aca="false">IFERROR(INDEX('Teacher Lookup'!$B$2:$B$200,MATCH(A8038,'Teacher Lookup'!$A$2:$A$200,0)),"")</f>
        <v>PAIGE Nicole</v>
      </c>
    </row>
    <row r="8039" customFormat="false" ht="15" hidden="false" customHeight="false" outlineLevel="0" collapsed="false">
      <c r="A8039" s="3" t="s">
        <v>489</v>
      </c>
      <c r="B8039" s="4" t="s">
        <v>66</v>
      </c>
      <c r="C8039" s="4" t="n">
        <v>4</v>
      </c>
      <c r="D8039" s="4" t="s">
        <v>79</v>
      </c>
      <c r="E8039" s="3" t="s">
        <v>182</v>
      </c>
      <c r="F8039" s="4" t="str">
        <f aca="false">IF(I8039&gt;J8039,"Y","N")</f>
        <v>N</v>
      </c>
      <c r="G8039" s="3" t="s">
        <v>164</v>
      </c>
      <c r="H8039" s="3" t="s">
        <v>34</v>
      </c>
      <c r="I8039" s="4" t="n">
        <v>4</v>
      </c>
      <c r="J8039" s="4" t="n">
        <f aca="false">LEN(E8039)-LEN(SUBSTITUTE(E8039,",",""))+1</f>
        <v>4</v>
      </c>
      <c r="K8039" s="3" t="str">
        <f aca="false">IFERROR(INDEX('Teacher Lookup'!$B$2:$B$200,MATCH(A8039,'Teacher Lookup'!$A$2:$A$200,0)),"")</f>
        <v>PAIGE Nicole</v>
      </c>
    </row>
    <row r="8040" customFormat="false" ht="15" hidden="false" customHeight="false" outlineLevel="0" collapsed="false">
      <c r="A8040" s="3" t="s">
        <v>489</v>
      </c>
      <c r="B8040" s="4" t="s">
        <v>66</v>
      </c>
      <c r="C8040" s="4" t="n">
        <v>5</v>
      </c>
      <c r="D8040" s="4" t="s">
        <v>76</v>
      </c>
      <c r="E8040" s="3" t="s">
        <v>182</v>
      </c>
      <c r="F8040" s="4" t="str">
        <f aca="false">IF(I8040&gt;J8040,"Y","N")</f>
        <v>N</v>
      </c>
      <c r="G8040" s="3" t="s">
        <v>164</v>
      </c>
      <c r="H8040" s="3" t="s">
        <v>37</v>
      </c>
      <c r="I8040" s="4" t="n">
        <v>4</v>
      </c>
      <c r="J8040" s="4" t="n">
        <f aca="false">LEN(E8040)-LEN(SUBSTITUTE(E8040,",",""))+1</f>
        <v>4</v>
      </c>
      <c r="K8040" s="3" t="str">
        <f aca="false">IFERROR(INDEX('Teacher Lookup'!$B$2:$B$200,MATCH(A8040,'Teacher Lookup'!$A$2:$A$200,0)),"")</f>
        <v>PAIGE Nicole</v>
      </c>
    </row>
    <row r="8041" customFormat="false" ht="15" hidden="false" customHeight="false" outlineLevel="0" collapsed="false">
      <c r="A8041" s="3" t="s">
        <v>489</v>
      </c>
      <c r="B8041" s="4" t="s">
        <v>66</v>
      </c>
      <c r="C8041" s="4" t="n">
        <v>5</v>
      </c>
      <c r="D8041" s="4" t="s">
        <v>78</v>
      </c>
      <c r="E8041" s="3" t="s">
        <v>182</v>
      </c>
      <c r="F8041" s="4" t="str">
        <f aca="false">IF(I8041&gt;J8041,"Y","N")</f>
        <v>N</v>
      </c>
      <c r="G8041" s="3" t="s">
        <v>164</v>
      </c>
      <c r="H8041" s="3" t="s">
        <v>37</v>
      </c>
      <c r="I8041" s="4" t="n">
        <v>4</v>
      </c>
      <c r="J8041" s="4" t="n">
        <f aca="false">LEN(E8041)-LEN(SUBSTITUTE(E8041,",",""))+1</f>
        <v>4</v>
      </c>
      <c r="K8041" s="3" t="str">
        <f aca="false">IFERROR(INDEX('Teacher Lookup'!$B$2:$B$200,MATCH(A8041,'Teacher Lookup'!$A$2:$A$200,0)),"")</f>
        <v>PAIGE Nicole</v>
      </c>
    </row>
    <row r="8042" customFormat="false" ht="15" hidden="false" customHeight="false" outlineLevel="0" collapsed="false">
      <c r="A8042" s="3" t="s">
        <v>489</v>
      </c>
      <c r="B8042" s="4" t="s">
        <v>66</v>
      </c>
      <c r="C8042" s="4" t="n">
        <v>5</v>
      </c>
      <c r="D8042" s="4" t="s">
        <v>79</v>
      </c>
      <c r="E8042" s="3" t="s">
        <v>182</v>
      </c>
      <c r="F8042" s="4" t="str">
        <f aca="false">IF(I8042&gt;J8042,"Y","N")</f>
        <v>N</v>
      </c>
      <c r="G8042" s="3" t="s">
        <v>164</v>
      </c>
      <c r="H8042" s="3" t="s">
        <v>37</v>
      </c>
      <c r="I8042" s="4" t="n">
        <v>4</v>
      </c>
      <c r="J8042" s="4" t="n">
        <f aca="false">LEN(E8042)-LEN(SUBSTITUTE(E8042,",",""))+1</f>
        <v>4</v>
      </c>
      <c r="K8042" s="3" t="str">
        <f aca="false">IFERROR(INDEX('Teacher Lookup'!$B$2:$B$200,MATCH(A8042,'Teacher Lookup'!$A$2:$A$200,0)),"")</f>
        <v>PAIGE Nicole</v>
      </c>
    </row>
    <row r="8043" customFormat="false" ht="15" hidden="false" customHeight="false" outlineLevel="0" collapsed="false">
      <c r="A8043" s="3" t="s">
        <v>489</v>
      </c>
      <c r="B8043" s="4" t="s">
        <v>66</v>
      </c>
      <c r="C8043" s="4" t="n">
        <v>7</v>
      </c>
      <c r="D8043" s="4" t="s">
        <v>19</v>
      </c>
      <c r="E8043" s="3" t="s">
        <v>329</v>
      </c>
      <c r="F8043" s="4" t="str">
        <f aca="false">IF(I8043&gt;J8043,"Y","N")</f>
        <v>N</v>
      </c>
      <c r="G8043" s="3" t="s">
        <v>164</v>
      </c>
      <c r="H8043" s="3" t="s">
        <v>39</v>
      </c>
      <c r="I8043" s="4" t="n">
        <v>4</v>
      </c>
      <c r="J8043" s="4" t="n">
        <f aca="false">LEN(E8043)-LEN(SUBSTITUTE(E8043,",",""))+1</f>
        <v>4</v>
      </c>
      <c r="K8043" s="3" t="str">
        <f aca="false">IFERROR(INDEX('Teacher Lookup'!$B$2:$B$200,MATCH(A8043,'Teacher Lookup'!$A$2:$A$200,0)),"")</f>
        <v>PAIGE Nicole</v>
      </c>
    </row>
    <row r="8044" customFormat="false" ht="15" hidden="false" customHeight="false" outlineLevel="0" collapsed="false">
      <c r="A8044" s="3" t="s">
        <v>489</v>
      </c>
      <c r="B8044" s="4" t="s">
        <v>66</v>
      </c>
      <c r="C8044" s="4" t="n">
        <v>7</v>
      </c>
      <c r="D8044" s="4" t="s">
        <v>22</v>
      </c>
      <c r="E8044" s="3" t="s">
        <v>329</v>
      </c>
      <c r="F8044" s="4" t="str">
        <f aca="false">IF(I8044&gt;J8044,"Y","N")</f>
        <v>N</v>
      </c>
      <c r="G8044" s="3" t="s">
        <v>164</v>
      </c>
      <c r="H8044" s="3" t="s">
        <v>39</v>
      </c>
      <c r="I8044" s="4" t="n">
        <v>4</v>
      </c>
      <c r="J8044" s="4" t="n">
        <f aca="false">LEN(E8044)-LEN(SUBSTITUTE(E8044,",",""))+1</f>
        <v>4</v>
      </c>
      <c r="K8044" s="3" t="str">
        <f aca="false">IFERROR(INDEX('Teacher Lookup'!$B$2:$B$200,MATCH(A8044,'Teacher Lookup'!$A$2:$A$200,0)),"")</f>
        <v>PAIGE Nicole</v>
      </c>
    </row>
    <row r="8045" customFormat="false" ht="15" hidden="false" customHeight="false" outlineLevel="0" collapsed="false">
      <c r="A8045" s="3" t="s">
        <v>489</v>
      </c>
      <c r="B8045" s="4" t="s">
        <v>66</v>
      </c>
      <c r="C8045" s="4" t="n">
        <v>7</v>
      </c>
      <c r="D8045" s="4" t="s">
        <v>23</v>
      </c>
      <c r="E8045" s="3" t="s">
        <v>329</v>
      </c>
      <c r="F8045" s="4" t="str">
        <f aca="false">IF(I8045&gt;J8045,"Y","N")</f>
        <v>N</v>
      </c>
      <c r="G8045" s="3" t="s">
        <v>164</v>
      </c>
      <c r="H8045" s="3" t="s">
        <v>39</v>
      </c>
      <c r="I8045" s="4" t="n">
        <v>4</v>
      </c>
      <c r="J8045" s="4" t="n">
        <f aca="false">LEN(E8045)-LEN(SUBSTITUTE(E8045,",",""))+1</f>
        <v>4</v>
      </c>
      <c r="K8045" s="3" t="str">
        <f aca="false">IFERROR(INDEX('Teacher Lookup'!$B$2:$B$200,MATCH(A8045,'Teacher Lookup'!$A$2:$A$200,0)),"")</f>
        <v>PAIGE Nicole</v>
      </c>
    </row>
    <row r="8046" customFormat="false" ht="15" hidden="false" customHeight="false" outlineLevel="0" collapsed="false">
      <c r="A8046" s="3" t="s">
        <v>490</v>
      </c>
      <c r="B8046" s="4" t="s">
        <v>12</v>
      </c>
      <c r="C8046" s="4" t="n">
        <v>1</v>
      </c>
      <c r="D8046" s="4" t="s">
        <v>79</v>
      </c>
      <c r="E8046" s="3" t="s">
        <v>311</v>
      </c>
      <c r="F8046" s="4" t="str">
        <f aca="false">IF(I8046&gt;J8046,"Y","N")</f>
        <v>N</v>
      </c>
      <c r="G8046" s="3" t="s">
        <v>312</v>
      </c>
      <c r="H8046" s="3" t="s">
        <v>16</v>
      </c>
      <c r="I8046" s="4" t="n">
        <v>1</v>
      </c>
      <c r="J8046" s="4" t="n">
        <f aca="false">LEN(E8046)-LEN(SUBSTITUTE(E8046,",",""))+1</f>
        <v>1</v>
      </c>
      <c r="K8046" s="3" t="str">
        <f aca="false">IFERROR(INDEX('Teacher Lookup'!$B$2:$B$200,MATCH(A8046,'Teacher Lookup'!$A$2:$A$200,0)),"")</f>
        <v>CHUI Nicole</v>
      </c>
    </row>
    <row r="8047" customFormat="false" ht="15" hidden="false" customHeight="false" outlineLevel="0" collapsed="false">
      <c r="A8047" s="3" t="s">
        <v>490</v>
      </c>
      <c r="B8047" s="4" t="s">
        <v>12</v>
      </c>
      <c r="C8047" s="4" t="n">
        <v>2</v>
      </c>
      <c r="D8047" s="4" t="s">
        <v>24</v>
      </c>
      <c r="E8047" s="3" t="s">
        <v>271</v>
      </c>
      <c r="F8047" s="4" t="str">
        <f aca="false">IF(I8047&gt;J8047,"Y","N")</f>
        <v>Y</v>
      </c>
      <c r="G8047" s="3" t="s">
        <v>272</v>
      </c>
      <c r="H8047" s="3" t="s">
        <v>21</v>
      </c>
      <c r="I8047" s="4" t="n">
        <v>8</v>
      </c>
      <c r="J8047" s="4" t="n">
        <f aca="false">LEN(E8047)-LEN(SUBSTITUTE(E8047,",",""))+1</f>
        <v>7</v>
      </c>
      <c r="K8047" s="3" t="str">
        <f aca="false">IFERROR(INDEX('Teacher Lookup'!$B$2:$B$200,MATCH(A8047,'Teacher Lookup'!$A$2:$A$200,0)),"")</f>
        <v>CHUI Nicole</v>
      </c>
    </row>
    <row r="8048" customFormat="false" ht="15" hidden="false" customHeight="false" outlineLevel="0" collapsed="false">
      <c r="A8048" s="3" t="s">
        <v>490</v>
      </c>
      <c r="B8048" s="4" t="s">
        <v>12</v>
      </c>
      <c r="C8048" s="4" t="n">
        <v>2</v>
      </c>
      <c r="D8048" s="4" t="s">
        <v>27</v>
      </c>
      <c r="E8048" s="3" t="s">
        <v>271</v>
      </c>
      <c r="F8048" s="4" t="str">
        <f aca="false">IF(I8048&gt;J8048,"Y","N")</f>
        <v>Y</v>
      </c>
      <c r="G8048" s="3" t="s">
        <v>272</v>
      </c>
      <c r="H8048" s="3" t="s">
        <v>21</v>
      </c>
      <c r="I8048" s="4" t="n">
        <v>8</v>
      </c>
      <c r="J8048" s="4" t="n">
        <f aca="false">LEN(E8048)-LEN(SUBSTITUTE(E8048,",",""))+1</f>
        <v>7</v>
      </c>
      <c r="K8048" s="3" t="str">
        <f aca="false">IFERROR(INDEX('Teacher Lookup'!$B$2:$B$200,MATCH(A8048,'Teacher Lookup'!$A$2:$A$200,0)),"")</f>
        <v>CHUI Nicole</v>
      </c>
    </row>
    <row r="8049" customFormat="false" ht="15" hidden="false" customHeight="false" outlineLevel="0" collapsed="false">
      <c r="A8049" s="3" t="s">
        <v>490</v>
      </c>
      <c r="B8049" s="4" t="s">
        <v>12</v>
      </c>
      <c r="C8049" s="4" t="n">
        <v>2</v>
      </c>
      <c r="D8049" s="4" t="s">
        <v>28</v>
      </c>
      <c r="E8049" s="3" t="s">
        <v>271</v>
      </c>
      <c r="F8049" s="4" t="str">
        <f aca="false">IF(I8049&gt;J8049,"Y","N")</f>
        <v>Y</v>
      </c>
      <c r="G8049" s="3" t="s">
        <v>272</v>
      </c>
      <c r="H8049" s="3" t="s">
        <v>21</v>
      </c>
      <c r="I8049" s="4" t="n">
        <v>8</v>
      </c>
      <c r="J8049" s="4" t="n">
        <f aca="false">LEN(E8049)-LEN(SUBSTITUTE(E8049,",",""))+1</f>
        <v>7</v>
      </c>
      <c r="K8049" s="3" t="str">
        <f aca="false">IFERROR(INDEX('Teacher Lookup'!$B$2:$B$200,MATCH(A8049,'Teacher Lookup'!$A$2:$A$200,0)),"")</f>
        <v>CHUI Nicole</v>
      </c>
    </row>
    <row r="8050" customFormat="false" ht="15" hidden="false" customHeight="false" outlineLevel="0" collapsed="false">
      <c r="A8050" s="3" t="s">
        <v>490</v>
      </c>
      <c r="B8050" s="4" t="s">
        <v>12</v>
      </c>
      <c r="C8050" s="4" t="n">
        <v>2</v>
      </c>
      <c r="D8050" s="4" t="s">
        <v>29</v>
      </c>
      <c r="E8050" s="3" t="s">
        <v>271</v>
      </c>
      <c r="F8050" s="4" t="str">
        <f aca="false">IF(I8050&gt;J8050,"Y","N")</f>
        <v>Y</v>
      </c>
      <c r="G8050" s="3" t="s">
        <v>272</v>
      </c>
      <c r="H8050" s="3" t="s">
        <v>21</v>
      </c>
      <c r="I8050" s="4" t="n">
        <v>8</v>
      </c>
      <c r="J8050" s="4" t="n">
        <f aca="false">LEN(E8050)-LEN(SUBSTITUTE(E8050,",",""))+1</f>
        <v>7</v>
      </c>
      <c r="K8050" s="3" t="str">
        <f aca="false">IFERROR(INDEX('Teacher Lookup'!$B$2:$B$200,MATCH(A8050,'Teacher Lookup'!$A$2:$A$200,0)),"")</f>
        <v>CHUI Nicole</v>
      </c>
    </row>
    <row r="8051" customFormat="false" ht="15" hidden="false" customHeight="false" outlineLevel="0" collapsed="false">
      <c r="A8051" s="3" t="s">
        <v>490</v>
      </c>
      <c r="B8051" s="4" t="s">
        <v>12</v>
      </c>
      <c r="C8051" s="4" t="n">
        <v>2</v>
      </c>
      <c r="D8051" s="4" t="s">
        <v>30</v>
      </c>
      <c r="E8051" s="3" t="s">
        <v>271</v>
      </c>
      <c r="F8051" s="4" t="str">
        <f aca="false">IF(I8051&gt;J8051,"Y","N")</f>
        <v>Y</v>
      </c>
      <c r="G8051" s="3" t="s">
        <v>272</v>
      </c>
      <c r="H8051" s="3" t="s">
        <v>21</v>
      </c>
      <c r="I8051" s="4" t="n">
        <v>8</v>
      </c>
      <c r="J8051" s="4" t="n">
        <f aca="false">LEN(E8051)-LEN(SUBSTITUTE(E8051,",",""))+1</f>
        <v>7</v>
      </c>
      <c r="K8051" s="3" t="str">
        <f aca="false">IFERROR(INDEX('Teacher Lookup'!$B$2:$B$200,MATCH(A8051,'Teacher Lookup'!$A$2:$A$200,0)),"")</f>
        <v>CHUI Nicole</v>
      </c>
    </row>
    <row r="8052" customFormat="false" ht="15" hidden="false" customHeight="false" outlineLevel="0" collapsed="false">
      <c r="A8052" s="3" t="s">
        <v>490</v>
      </c>
      <c r="B8052" s="4" t="s">
        <v>12</v>
      </c>
      <c r="C8052" s="4" t="n">
        <v>4</v>
      </c>
      <c r="D8052" s="4" t="s">
        <v>56</v>
      </c>
      <c r="E8052" s="3" t="s">
        <v>491</v>
      </c>
      <c r="F8052" s="4" t="str">
        <f aca="false">IF(I8052&gt;J8052,"Y","N")</f>
        <v>N</v>
      </c>
      <c r="G8052" s="3" t="s">
        <v>492</v>
      </c>
      <c r="H8052" s="3" t="s">
        <v>34</v>
      </c>
      <c r="I8052" s="4" t="n">
        <v>2</v>
      </c>
      <c r="J8052" s="4" t="n">
        <f aca="false">LEN(E8052)-LEN(SUBSTITUTE(E8052,",",""))+1</f>
        <v>2</v>
      </c>
      <c r="K8052" s="3" t="str">
        <f aca="false">IFERROR(INDEX('Teacher Lookup'!$B$2:$B$200,MATCH(A8052,'Teacher Lookup'!$A$2:$A$200,0)),"")</f>
        <v>CHUI Nicole</v>
      </c>
    </row>
    <row r="8053" customFormat="false" ht="15" hidden="false" customHeight="false" outlineLevel="0" collapsed="false">
      <c r="A8053" s="3" t="s">
        <v>490</v>
      </c>
      <c r="B8053" s="4" t="s">
        <v>12</v>
      </c>
      <c r="C8053" s="4" t="n">
        <v>7</v>
      </c>
      <c r="D8053" s="4" t="s">
        <v>18</v>
      </c>
      <c r="E8053" s="3" t="s">
        <v>125</v>
      </c>
      <c r="F8053" s="4" t="str">
        <f aca="false">IF(I8053&gt;J8053,"Y","N")</f>
        <v>N</v>
      </c>
      <c r="G8053" s="3" t="s">
        <v>126</v>
      </c>
      <c r="H8053" s="3" t="s">
        <v>39</v>
      </c>
      <c r="I8053" s="4" t="n">
        <v>1</v>
      </c>
      <c r="J8053" s="4" t="n">
        <f aca="false">LEN(E8053)-LEN(SUBSTITUTE(E8053,",",""))+1</f>
        <v>1</v>
      </c>
      <c r="K8053" s="3" t="str">
        <f aca="false">IFERROR(INDEX('Teacher Lookup'!$B$2:$B$200,MATCH(A8053,'Teacher Lookup'!$A$2:$A$200,0)),"")</f>
        <v>CHUI Nicole</v>
      </c>
    </row>
    <row r="8054" customFormat="false" ht="15" hidden="false" customHeight="false" outlineLevel="0" collapsed="false">
      <c r="A8054" s="3" t="s">
        <v>490</v>
      </c>
      <c r="B8054" s="4" t="s">
        <v>31</v>
      </c>
      <c r="C8054" s="4" t="n">
        <v>1</v>
      </c>
      <c r="D8054" s="4" t="s">
        <v>24</v>
      </c>
      <c r="E8054" s="3" t="s">
        <v>274</v>
      </c>
      <c r="F8054" s="4" t="str">
        <f aca="false">IF(I8054&gt;J8054,"Y","N")</f>
        <v>Y</v>
      </c>
      <c r="G8054" s="3" t="s">
        <v>272</v>
      </c>
      <c r="H8054" s="3" t="s">
        <v>16</v>
      </c>
      <c r="I8054" s="4" t="n">
        <v>8</v>
      </c>
      <c r="J8054" s="4" t="n">
        <f aca="false">LEN(E8054)-LEN(SUBSTITUTE(E8054,",",""))+1</f>
        <v>7</v>
      </c>
      <c r="K8054" s="3" t="str">
        <f aca="false">IFERROR(INDEX('Teacher Lookup'!$B$2:$B$200,MATCH(A8054,'Teacher Lookup'!$A$2:$A$200,0)),"")</f>
        <v>CHUI Nicole</v>
      </c>
    </row>
    <row r="8055" customFormat="false" ht="15" hidden="false" customHeight="false" outlineLevel="0" collapsed="false">
      <c r="A8055" s="3" t="s">
        <v>490</v>
      </c>
      <c r="B8055" s="4" t="s">
        <v>31</v>
      </c>
      <c r="C8055" s="4" t="n">
        <v>1</v>
      </c>
      <c r="D8055" s="4" t="s">
        <v>27</v>
      </c>
      <c r="E8055" s="3" t="s">
        <v>274</v>
      </c>
      <c r="F8055" s="4" t="str">
        <f aca="false">IF(I8055&gt;J8055,"Y","N")</f>
        <v>Y</v>
      </c>
      <c r="G8055" s="3" t="s">
        <v>272</v>
      </c>
      <c r="H8055" s="3" t="s">
        <v>16</v>
      </c>
      <c r="I8055" s="4" t="n">
        <v>8</v>
      </c>
      <c r="J8055" s="4" t="n">
        <f aca="false">LEN(E8055)-LEN(SUBSTITUTE(E8055,",",""))+1</f>
        <v>7</v>
      </c>
      <c r="K8055" s="3" t="str">
        <f aca="false">IFERROR(INDEX('Teacher Lookup'!$B$2:$B$200,MATCH(A8055,'Teacher Lookup'!$A$2:$A$200,0)),"")</f>
        <v>CHUI Nicole</v>
      </c>
    </row>
    <row r="8056" customFormat="false" ht="15" hidden="false" customHeight="false" outlineLevel="0" collapsed="false">
      <c r="A8056" s="3" t="s">
        <v>490</v>
      </c>
      <c r="B8056" s="4" t="s">
        <v>31</v>
      </c>
      <c r="C8056" s="4" t="n">
        <v>1</v>
      </c>
      <c r="D8056" s="4" t="s">
        <v>28</v>
      </c>
      <c r="E8056" s="3" t="s">
        <v>274</v>
      </c>
      <c r="F8056" s="4" t="str">
        <f aca="false">IF(I8056&gt;J8056,"Y","N")</f>
        <v>Y</v>
      </c>
      <c r="G8056" s="3" t="s">
        <v>272</v>
      </c>
      <c r="H8056" s="3" t="s">
        <v>16</v>
      </c>
      <c r="I8056" s="4" t="n">
        <v>8</v>
      </c>
      <c r="J8056" s="4" t="n">
        <f aca="false">LEN(E8056)-LEN(SUBSTITUTE(E8056,",",""))+1</f>
        <v>7</v>
      </c>
      <c r="K8056" s="3" t="str">
        <f aca="false">IFERROR(INDEX('Teacher Lookup'!$B$2:$B$200,MATCH(A8056,'Teacher Lookup'!$A$2:$A$200,0)),"")</f>
        <v>CHUI Nicole</v>
      </c>
    </row>
    <row r="8057" customFormat="false" ht="15" hidden="false" customHeight="false" outlineLevel="0" collapsed="false">
      <c r="A8057" s="3" t="s">
        <v>490</v>
      </c>
      <c r="B8057" s="4" t="s">
        <v>31</v>
      </c>
      <c r="C8057" s="4" t="n">
        <v>1</v>
      </c>
      <c r="D8057" s="4" t="s">
        <v>29</v>
      </c>
      <c r="E8057" s="3" t="s">
        <v>274</v>
      </c>
      <c r="F8057" s="4" t="str">
        <f aca="false">IF(I8057&gt;J8057,"Y","N")</f>
        <v>Y</v>
      </c>
      <c r="G8057" s="3" t="s">
        <v>272</v>
      </c>
      <c r="H8057" s="3" t="s">
        <v>16</v>
      </c>
      <c r="I8057" s="4" t="n">
        <v>8</v>
      </c>
      <c r="J8057" s="4" t="n">
        <f aca="false">LEN(E8057)-LEN(SUBSTITUTE(E8057,",",""))+1</f>
        <v>7</v>
      </c>
      <c r="K8057" s="3" t="str">
        <f aca="false">IFERROR(INDEX('Teacher Lookup'!$B$2:$B$200,MATCH(A8057,'Teacher Lookup'!$A$2:$A$200,0)),"")</f>
        <v>CHUI Nicole</v>
      </c>
    </row>
    <row r="8058" customFormat="false" ht="15" hidden="false" customHeight="false" outlineLevel="0" collapsed="false">
      <c r="A8058" s="3" t="s">
        <v>490</v>
      </c>
      <c r="B8058" s="4" t="s">
        <v>31</v>
      </c>
      <c r="C8058" s="4" t="n">
        <v>1</v>
      </c>
      <c r="D8058" s="4" t="s">
        <v>30</v>
      </c>
      <c r="E8058" s="3" t="s">
        <v>274</v>
      </c>
      <c r="F8058" s="4" t="str">
        <f aca="false">IF(I8058&gt;J8058,"Y","N")</f>
        <v>Y</v>
      </c>
      <c r="G8058" s="3" t="s">
        <v>272</v>
      </c>
      <c r="H8058" s="3" t="s">
        <v>16</v>
      </c>
      <c r="I8058" s="4" t="n">
        <v>8</v>
      </c>
      <c r="J8058" s="4" t="n">
        <f aca="false">LEN(E8058)-LEN(SUBSTITUTE(E8058,",",""))+1</f>
        <v>7</v>
      </c>
      <c r="K8058" s="3" t="str">
        <f aca="false">IFERROR(INDEX('Teacher Lookup'!$B$2:$B$200,MATCH(A8058,'Teacher Lookup'!$A$2:$A$200,0)),"")</f>
        <v>CHUI Nicole</v>
      </c>
    </row>
    <row r="8059" customFormat="false" ht="15" hidden="false" customHeight="false" outlineLevel="0" collapsed="false">
      <c r="A8059" s="3" t="s">
        <v>490</v>
      </c>
      <c r="B8059" s="4" t="s">
        <v>31</v>
      </c>
      <c r="C8059" s="4" t="n">
        <v>4</v>
      </c>
      <c r="D8059" s="4" t="s">
        <v>18</v>
      </c>
      <c r="E8059" s="3" t="s">
        <v>133</v>
      </c>
      <c r="F8059" s="4" t="str">
        <f aca="false">IF(I8059&gt;J8059,"Y","N")</f>
        <v>N</v>
      </c>
      <c r="G8059" s="3" t="s">
        <v>126</v>
      </c>
      <c r="H8059" s="3" t="s">
        <v>34</v>
      </c>
      <c r="I8059" s="4" t="n">
        <v>1</v>
      </c>
      <c r="J8059" s="4" t="n">
        <f aca="false">LEN(E8059)-LEN(SUBSTITUTE(E8059,",",""))+1</f>
        <v>1</v>
      </c>
      <c r="K8059" s="3" t="str">
        <f aca="false">IFERROR(INDEX('Teacher Lookup'!$B$2:$B$200,MATCH(A8059,'Teacher Lookup'!$A$2:$A$200,0)),"")</f>
        <v>CHUI Nicole</v>
      </c>
    </row>
    <row r="8060" customFormat="false" ht="15" hidden="false" customHeight="false" outlineLevel="0" collapsed="false">
      <c r="A8060" s="3" t="s">
        <v>490</v>
      </c>
      <c r="B8060" s="4" t="s">
        <v>31</v>
      </c>
      <c r="C8060" s="4" t="n">
        <v>5</v>
      </c>
      <c r="D8060" s="4" t="s">
        <v>52</v>
      </c>
      <c r="E8060" s="3" t="s">
        <v>112</v>
      </c>
      <c r="F8060" s="4" t="str">
        <f aca="false">IF(I8060&gt;J8060,"Y","N")</f>
        <v>Y</v>
      </c>
      <c r="G8060" s="3" t="s">
        <v>36</v>
      </c>
      <c r="H8060" s="3" t="s">
        <v>37</v>
      </c>
      <c r="I8060" s="4" t="n">
        <v>16</v>
      </c>
      <c r="J8060" s="4" t="n">
        <f aca="false">LEN(E8060)-LEN(SUBSTITUTE(E8060,",",""))+1</f>
        <v>7</v>
      </c>
      <c r="K8060" s="3" t="str">
        <f aca="false">IFERROR(INDEX('Teacher Lookup'!$B$2:$B$200,MATCH(A8060,'Teacher Lookup'!$A$2:$A$200,0)),"")</f>
        <v>CHUI Nicole</v>
      </c>
    </row>
    <row r="8061" customFormat="false" ht="15" hidden="false" customHeight="false" outlineLevel="0" collapsed="false">
      <c r="A8061" s="3" t="s">
        <v>490</v>
      </c>
      <c r="B8061" s="4" t="s">
        <v>31</v>
      </c>
      <c r="C8061" s="4" t="n">
        <v>5</v>
      </c>
      <c r="D8061" s="4" t="s">
        <v>55</v>
      </c>
      <c r="E8061" s="3" t="s">
        <v>112</v>
      </c>
      <c r="F8061" s="4" t="str">
        <f aca="false">IF(I8061&gt;J8061,"Y","N")</f>
        <v>Y</v>
      </c>
      <c r="G8061" s="3" t="s">
        <v>36</v>
      </c>
      <c r="H8061" s="3" t="s">
        <v>37</v>
      </c>
      <c r="I8061" s="4" t="n">
        <v>16</v>
      </c>
      <c r="J8061" s="4" t="n">
        <f aca="false">LEN(E8061)-LEN(SUBSTITUTE(E8061,",",""))+1</f>
        <v>7</v>
      </c>
      <c r="K8061" s="3" t="str">
        <f aca="false">IFERROR(INDEX('Teacher Lookup'!$B$2:$B$200,MATCH(A8061,'Teacher Lookup'!$A$2:$A$200,0)),"")</f>
        <v>CHUI Nicole</v>
      </c>
    </row>
    <row r="8062" customFormat="false" ht="15" hidden="false" customHeight="false" outlineLevel="0" collapsed="false">
      <c r="A8062" s="3" t="s">
        <v>490</v>
      </c>
      <c r="B8062" s="4" t="s">
        <v>31</v>
      </c>
      <c r="C8062" s="4" t="n">
        <v>5</v>
      </c>
      <c r="D8062" s="4" t="s">
        <v>56</v>
      </c>
      <c r="E8062" s="3" t="s">
        <v>112</v>
      </c>
      <c r="F8062" s="4" t="str">
        <f aca="false">IF(I8062&gt;J8062,"Y","N")</f>
        <v>Y</v>
      </c>
      <c r="G8062" s="3" t="s">
        <v>36</v>
      </c>
      <c r="H8062" s="3" t="s">
        <v>37</v>
      </c>
      <c r="I8062" s="4" t="n">
        <v>16</v>
      </c>
      <c r="J8062" s="4" t="n">
        <f aca="false">LEN(E8062)-LEN(SUBSTITUTE(E8062,",",""))+1</f>
        <v>7</v>
      </c>
      <c r="K8062" s="3" t="str">
        <f aca="false">IFERROR(INDEX('Teacher Lookup'!$B$2:$B$200,MATCH(A8062,'Teacher Lookup'!$A$2:$A$200,0)),"")</f>
        <v>CHUI Nicole</v>
      </c>
    </row>
    <row r="8063" customFormat="false" ht="15" hidden="false" customHeight="false" outlineLevel="0" collapsed="false">
      <c r="A8063" s="3" t="s">
        <v>490</v>
      </c>
      <c r="B8063" s="4" t="s">
        <v>31</v>
      </c>
      <c r="C8063" s="4" t="n">
        <v>5</v>
      </c>
      <c r="D8063" s="4" t="s">
        <v>57</v>
      </c>
      <c r="E8063" s="3" t="s">
        <v>112</v>
      </c>
      <c r="F8063" s="4" t="str">
        <f aca="false">IF(I8063&gt;J8063,"Y","N")</f>
        <v>Y</v>
      </c>
      <c r="G8063" s="3" t="s">
        <v>36</v>
      </c>
      <c r="H8063" s="3" t="s">
        <v>37</v>
      </c>
      <c r="I8063" s="4" t="n">
        <v>16</v>
      </c>
      <c r="J8063" s="4" t="n">
        <f aca="false">LEN(E8063)-LEN(SUBSTITUTE(E8063,",",""))+1</f>
        <v>7</v>
      </c>
      <c r="K8063" s="3" t="str">
        <f aca="false">IFERROR(INDEX('Teacher Lookup'!$B$2:$B$200,MATCH(A8063,'Teacher Lookup'!$A$2:$A$200,0)),"")</f>
        <v>CHUI Nicole</v>
      </c>
    </row>
    <row r="8064" customFormat="false" ht="15" hidden="false" customHeight="false" outlineLevel="0" collapsed="false">
      <c r="A8064" s="3" t="s">
        <v>490</v>
      </c>
      <c r="B8064" s="4" t="s">
        <v>31</v>
      </c>
      <c r="C8064" s="4" t="n">
        <v>5</v>
      </c>
      <c r="D8064" s="4" t="s">
        <v>58</v>
      </c>
      <c r="E8064" s="3" t="s">
        <v>112</v>
      </c>
      <c r="F8064" s="4" t="str">
        <f aca="false">IF(I8064&gt;J8064,"Y","N")</f>
        <v>Y</v>
      </c>
      <c r="G8064" s="3" t="s">
        <v>36</v>
      </c>
      <c r="H8064" s="3" t="s">
        <v>37</v>
      </c>
      <c r="I8064" s="4" t="n">
        <v>16</v>
      </c>
      <c r="J8064" s="4" t="n">
        <f aca="false">LEN(E8064)-LEN(SUBSTITUTE(E8064,",",""))+1</f>
        <v>7</v>
      </c>
      <c r="K8064" s="3" t="str">
        <f aca="false">IFERROR(INDEX('Teacher Lookup'!$B$2:$B$200,MATCH(A8064,'Teacher Lookup'!$A$2:$A$200,0)),"")</f>
        <v>CHUI Nicole</v>
      </c>
    </row>
    <row r="8065" customFormat="false" ht="15" hidden="false" customHeight="false" outlineLevel="0" collapsed="false">
      <c r="A8065" s="3" t="s">
        <v>490</v>
      </c>
      <c r="B8065" s="4" t="s">
        <v>31</v>
      </c>
      <c r="C8065" s="4" t="n">
        <v>5</v>
      </c>
      <c r="D8065" s="4" t="s">
        <v>59</v>
      </c>
      <c r="E8065" s="3" t="s">
        <v>112</v>
      </c>
      <c r="F8065" s="4" t="str">
        <f aca="false">IF(I8065&gt;J8065,"Y","N")</f>
        <v>Y</v>
      </c>
      <c r="G8065" s="3" t="s">
        <v>36</v>
      </c>
      <c r="H8065" s="3" t="s">
        <v>37</v>
      </c>
      <c r="I8065" s="4" t="n">
        <v>16</v>
      </c>
      <c r="J8065" s="4" t="n">
        <f aca="false">LEN(E8065)-LEN(SUBSTITUTE(E8065,",",""))+1</f>
        <v>7</v>
      </c>
      <c r="K8065" s="3" t="str">
        <f aca="false">IFERROR(INDEX('Teacher Lookup'!$B$2:$B$200,MATCH(A8065,'Teacher Lookup'!$A$2:$A$200,0)),"")</f>
        <v>CHUI Nicole</v>
      </c>
    </row>
    <row r="8066" customFormat="false" ht="15" hidden="false" customHeight="false" outlineLevel="0" collapsed="false">
      <c r="A8066" s="3" t="s">
        <v>490</v>
      </c>
      <c r="B8066" s="4" t="s">
        <v>40</v>
      </c>
      <c r="C8066" s="4" t="n">
        <v>1</v>
      </c>
      <c r="D8066" s="4" t="s">
        <v>18</v>
      </c>
      <c r="E8066" s="3" t="s">
        <v>125</v>
      </c>
      <c r="F8066" s="4" t="str">
        <f aca="false">IF(I8066&gt;J8066,"Y","N")</f>
        <v>N</v>
      </c>
      <c r="G8066" s="3" t="s">
        <v>126</v>
      </c>
      <c r="H8066" s="3" t="s">
        <v>16</v>
      </c>
      <c r="I8066" s="4" t="n">
        <v>1</v>
      </c>
      <c r="J8066" s="4" t="n">
        <f aca="false">LEN(E8066)-LEN(SUBSTITUTE(E8066,",",""))+1</f>
        <v>1</v>
      </c>
      <c r="K8066" s="3" t="str">
        <f aca="false">IFERROR(INDEX('Teacher Lookup'!$B$2:$B$200,MATCH(A8066,'Teacher Lookup'!$A$2:$A$200,0)),"")</f>
        <v>CHUI Nicole</v>
      </c>
    </row>
    <row r="8067" customFormat="false" ht="15" hidden="false" customHeight="false" outlineLevel="0" collapsed="false">
      <c r="A8067" s="3" t="s">
        <v>490</v>
      </c>
      <c r="B8067" s="4" t="s">
        <v>40</v>
      </c>
      <c r="C8067" s="4" t="n">
        <v>2</v>
      </c>
      <c r="D8067" s="4" t="s">
        <v>73</v>
      </c>
      <c r="E8067" s="3" t="s">
        <v>125</v>
      </c>
      <c r="F8067" s="4" t="str">
        <f aca="false">IF(I8067&gt;J8067,"Y","N")</f>
        <v>N</v>
      </c>
      <c r="G8067" s="3" t="s">
        <v>312</v>
      </c>
      <c r="H8067" s="3" t="s">
        <v>21</v>
      </c>
      <c r="I8067" s="4" t="n">
        <v>1</v>
      </c>
      <c r="J8067" s="4" t="n">
        <f aca="false">LEN(E8067)-LEN(SUBSTITUTE(E8067,",",""))+1</f>
        <v>1</v>
      </c>
      <c r="K8067" s="3" t="str">
        <f aca="false">IFERROR(INDEX('Teacher Lookup'!$B$2:$B$200,MATCH(A8067,'Teacher Lookup'!$A$2:$A$200,0)),"")</f>
        <v>CHUI Nicole</v>
      </c>
    </row>
    <row r="8068" customFormat="false" ht="15" hidden="false" customHeight="false" outlineLevel="0" collapsed="false">
      <c r="A8068" s="3" t="s">
        <v>490</v>
      </c>
      <c r="B8068" s="4" t="s">
        <v>40</v>
      </c>
      <c r="C8068" s="4" t="n">
        <v>3</v>
      </c>
      <c r="D8068" s="4" t="s">
        <v>24</v>
      </c>
      <c r="E8068" s="3" t="s">
        <v>275</v>
      </c>
      <c r="F8068" s="4" t="str">
        <f aca="false">IF(I8068&gt;J8068,"Y","N")</f>
        <v>Y</v>
      </c>
      <c r="G8068" s="3" t="s">
        <v>272</v>
      </c>
      <c r="H8068" s="3" t="s">
        <v>26</v>
      </c>
      <c r="I8068" s="4" t="n">
        <v>8</v>
      </c>
      <c r="J8068" s="4" t="n">
        <f aca="false">LEN(E8068)-LEN(SUBSTITUTE(E8068,",",""))+1</f>
        <v>7</v>
      </c>
      <c r="K8068" s="3" t="str">
        <f aca="false">IFERROR(INDEX('Teacher Lookup'!$B$2:$B$200,MATCH(A8068,'Teacher Lookup'!$A$2:$A$200,0)),"")</f>
        <v>CHUI Nicole</v>
      </c>
    </row>
    <row r="8069" customFormat="false" ht="15" hidden="false" customHeight="false" outlineLevel="0" collapsed="false">
      <c r="A8069" s="3" t="s">
        <v>490</v>
      </c>
      <c r="B8069" s="4" t="s">
        <v>40</v>
      </c>
      <c r="C8069" s="4" t="n">
        <v>3</v>
      </c>
      <c r="D8069" s="4" t="s">
        <v>27</v>
      </c>
      <c r="E8069" s="3" t="s">
        <v>275</v>
      </c>
      <c r="F8069" s="4" t="str">
        <f aca="false">IF(I8069&gt;J8069,"Y","N")</f>
        <v>Y</v>
      </c>
      <c r="G8069" s="3" t="s">
        <v>272</v>
      </c>
      <c r="H8069" s="3" t="s">
        <v>26</v>
      </c>
      <c r="I8069" s="4" t="n">
        <v>8</v>
      </c>
      <c r="J8069" s="4" t="n">
        <f aca="false">LEN(E8069)-LEN(SUBSTITUTE(E8069,",",""))+1</f>
        <v>7</v>
      </c>
      <c r="K8069" s="3" t="str">
        <f aca="false">IFERROR(INDEX('Teacher Lookup'!$B$2:$B$200,MATCH(A8069,'Teacher Lookup'!$A$2:$A$200,0)),"")</f>
        <v>CHUI Nicole</v>
      </c>
    </row>
    <row r="8070" customFormat="false" ht="15" hidden="false" customHeight="false" outlineLevel="0" collapsed="false">
      <c r="A8070" s="3" t="s">
        <v>490</v>
      </c>
      <c r="B8070" s="4" t="s">
        <v>40</v>
      </c>
      <c r="C8070" s="4" t="n">
        <v>3</v>
      </c>
      <c r="D8070" s="4" t="s">
        <v>28</v>
      </c>
      <c r="E8070" s="3" t="s">
        <v>275</v>
      </c>
      <c r="F8070" s="4" t="str">
        <f aca="false">IF(I8070&gt;J8070,"Y","N")</f>
        <v>Y</v>
      </c>
      <c r="G8070" s="3" t="s">
        <v>272</v>
      </c>
      <c r="H8070" s="3" t="s">
        <v>26</v>
      </c>
      <c r="I8070" s="4" t="n">
        <v>8</v>
      </c>
      <c r="J8070" s="4" t="n">
        <f aca="false">LEN(E8070)-LEN(SUBSTITUTE(E8070,",",""))+1</f>
        <v>7</v>
      </c>
      <c r="K8070" s="3" t="str">
        <f aca="false">IFERROR(INDEX('Teacher Lookup'!$B$2:$B$200,MATCH(A8070,'Teacher Lookup'!$A$2:$A$200,0)),"")</f>
        <v>CHUI Nicole</v>
      </c>
    </row>
    <row r="8071" customFormat="false" ht="15" hidden="false" customHeight="false" outlineLevel="0" collapsed="false">
      <c r="A8071" s="3" t="s">
        <v>490</v>
      </c>
      <c r="B8071" s="4" t="s">
        <v>40</v>
      </c>
      <c r="C8071" s="4" t="n">
        <v>3</v>
      </c>
      <c r="D8071" s="4" t="s">
        <v>29</v>
      </c>
      <c r="E8071" s="3" t="s">
        <v>275</v>
      </c>
      <c r="F8071" s="4" t="str">
        <f aca="false">IF(I8071&gt;J8071,"Y","N")</f>
        <v>Y</v>
      </c>
      <c r="G8071" s="3" t="s">
        <v>272</v>
      </c>
      <c r="H8071" s="3" t="s">
        <v>26</v>
      </c>
      <c r="I8071" s="4" t="n">
        <v>8</v>
      </c>
      <c r="J8071" s="4" t="n">
        <f aca="false">LEN(E8071)-LEN(SUBSTITUTE(E8071,",",""))+1</f>
        <v>7</v>
      </c>
      <c r="K8071" s="3" t="str">
        <f aca="false">IFERROR(INDEX('Teacher Lookup'!$B$2:$B$200,MATCH(A8071,'Teacher Lookup'!$A$2:$A$200,0)),"")</f>
        <v>CHUI Nicole</v>
      </c>
    </row>
    <row r="8072" customFormat="false" ht="15" hidden="false" customHeight="false" outlineLevel="0" collapsed="false">
      <c r="A8072" s="3" t="s">
        <v>490</v>
      </c>
      <c r="B8072" s="4" t="s">
        <v>40</v>
      </c>
      <c r="C8072" s="4" t="n">
        <v>3</v>
      </c>
      <c r="D8072" s="4" t="s">
        <v>30</v>
      </c>
      <c r="E8072" s="3" t="s">
        <v>275</v>
      </c>
      <c r="F8072" s="4" t="str">
        <f aca="false">IF(I8072&gt;J8072,"Y","N")</f>
        <v>Y</v>
      </c>
      <c r="G8072" s="3" t="s">
        <v>272</v>
      </c>
      <c r="H8072" s="3" t="s">
        <v>26</v>
      </c>
      <c r="I8072" s="4" t="n">
        <v>8</v>
      </c>
      <c r="J8072" s="4" t="n">
        <f aca="false">LEN(E8072)-LEN(SUBSTITUTE(E8072,",",""))+1</f>
        <v>7</v>
      </c>
      <c r="K8072" s="3" t="str">
        <f aca="false">IFERROR(INDEX('Teacher Lookup'!$B$2:$B$200,MATCH(A8072,'Teacher Lookup'!$A$2:$A$200,0)),"")</f>
        <v>CHUI Nicole</v>
      </c>
    </row>
    <row r="8073" customFormat="false" ht="15" hidden="false" customHeight="false" outlineLevel="0" collapsed="false">
      <c r="A8073" s="3" t="s">
        <v>490</v>
      </c>
      <c r="B8073" s="4" t="s">
        <v>44</v>
      </c>
      <c r="C8073" s="4" t="n">
        <v>3</v>
      </c>
      <c r="D8073" s="4" t="s">
        <v>18</v>
      </c>
      <c r="E8073" s="3" t="s">
        <v>133</v>
      </c>
      <c r="F8073" s="4" t="str">
        <f aca="false">IF(I8073&gt;J8073,"Y","N")</f>
        <v>N</v>
      </c>
      <c r="G8073" s="3" t="s">
        <v>126</v>
      </c>
      <c r="H8073" s="3" t="s">
        <v>26</v>
      </c>
      <c r="I8073" s="4" t="n">
        <v>1</v>
      </c>
      <c r="J8073" s="4" t="n">
        <f aca="false">LEN(E8073)-LEN(SUBSTITUTE(E8073,",",""))+1</f>
        <v>1</v>
      </c>
      <c r="K8073" s="3" t="str">
        <f aca="false">IFERROR(INDEX('Teacher Lookup'!$B$2:$B$200,MATCH(A8073,'Teacher Lookup'!$A$2:$A$200,0)),"")</f>
        <v>CHUI Nicole</v>
      </c>
    </row>
    <row r="8074" customFormat="false" ht="15" hidden="false" customHeight="false" outlineLevel="0" collapsed="false">
      <c r="A8074" s="3" t="s">
        <v>490</v>
      </c>
      <c r="B8074" s="4" t="s">
        <v>44</v>
      </c>
      <c r="C8074" s="4" t="n">
        <v>5</v>
      </c>
      <c r="D8074" s="4" t="s">
        <v>52</v>
      </c>
      <c r="E8074" s="3" t="s">
        <v>112</v>
      </c>
      <c r="F8074" s="4" t="str">
        <f aca="false">IF(I8074&gt;J8074,"Y","N")</f>
        <v>Y</v>
      </c>
      <c r="G8074" s="3" t="s">
        <v>36</v>
      </c>
      <c r="H8074" s="3" t="s">
        <v>37</v>
      </c>
      <c r="I8074" s="4" t="n">
        <v>16</v>
      </c>
      <c r="J8074" s="4" t="n">
        <f aca="false">LEN(E8074)-LEN(SUBSTITUTE(E8074,",",""))+1</f>
        <v>7</v>
      </c>
      <c r="K8074" s="3" t="str">
        <f aca="false">IFERROR(INDEX('Teacher Lookup'!$B$2:$B$200,MATCH(A8074,'Teacher Lookup'!$A$2:$A$200,0)),"")</f>
        <v>CHUI Nicole</v>
      </c>
    </row>
    <row r="8075" customFormat="false" ht="15" hidden="false" customHeight="false" outlineLevel="0" collapsed="false">
      <c r="A8075" s="3" t="s">
        <v>490</v>
      </c>
      <c r="B8075" s="4" t="s">
        <v>44</v>
      </c>
      <c r="C8075" s="4" t="n">
        <v>5</v>
      </c>
      <c r="D8075" s="4" t="s">
        <v>55</v>
      </c>
      <c r="E8075" s="3" t="s">
        <v>112</v>
      </c>
      <c r="F8075" s="4" t="str">
        <f aca="false">IF(I8075&gt;J8075,"Y","N")</f>
        <v>Y</v>
      </c>
      <c r="G8075" s="3" t="s">
        <v>36</v>
      </c>
      <c r="H8075" s="3" t="s">
        <v>37</v>
      </c>
      <c r="I8075" s="4" t="n">
        <v>16</v>
      </c>
      <c r="J8075" s="4" t="n">
        <f aca="false">LEN(E8075)-LEN(SUBSTITUTE(E8075,",",""))+1</f>
        <v>7</v>
      </c>
      <c r="K8075" s="3" t="str">
        <f aca="false">IFERROR(INDEX('Teacher Lookup'!$B$2:$B$200,MATCH(A8075,'Teacher Lookup'!$A$2:$A$200,0)),"")</f>
        <v>CHUI Nicole</v>
      </c>
    </row>
    <row r="8076" customFormat="false" ht="15" hidden="false" customHeight="false" outlineLevel="0" collapsed="false">
      <c r="A8076" s="3" t="s">
        <v>490</v>
      </c>
      <c r="B8076" s="4" t="s">
        <v>44</v>
      </c>
      <c r="C8076" s="4" t="n">
        <v>5</v>
      </c>
      <c r="D8076" s="4" t="s">
        <v>56</v>
      </c>
      <c r="E8076" s="3" t="s">
        <v>112</v>
      </c>
      <c r="F8076" s="4" t="str">
        <f aca="false">IF(I8076&gt;J8076,"Y","N")</f>
        <v>Y</v>
      </c>
      <c r="G8076" s="3" t="s">
        <v>36</v>
      </c>
      <c r="H8076" s="3" t="s">
        <v>37</v>
      </c>
      <c r="I8076" s="4" t="n">
        <v>16</v>
      </c>
      <c r="J8076" s="4" t="n">
        <f aca="false">LEN(E8076)-LEN(SUBSTITUTE(E8076,",",""))+1</f>
        <v>7</v>
      </c>
      <c r="K8076" s="3" t="str">
        <f aca="false">IFERROR(INDEX('Teacher Lookup'!$B$2:$B$200,MATCH(A8076,'Teacher Lookup'!$A$2:$A$200,0)),"")</f>
        <v>CHUI Nicole</v>
      </c>
    </row>
    <row r="8077" customFormat="false" ht="15" hidden="false" customHeight="false" outlineLevel="0" collapsed="false">
      <c r="A8077" s="3" t="s">
        <v>490</v>
      </c>
      <c r="B8077" s="4" t="s">
        <v>44</v>
      </c>
      <c r="C8077" s="4" t="n">
        <v>5</v>
      </c>
      <c r="D8077" s="4" t="s">
        <v>57</v>
      </c>
      <c r="E8077" s="3" t="s">
        <v>112</v>
      </c>
      <c r="F8077" s="4" t="str">
        <f aca="false">IF(I8077&gt;J8077,"Y","N")</f>
        <v>Y</v>
      </c>
      <c r="G8077" s="3" t="s">
        <v>36</v>
      </c>
      <c r="H8077" s="3" t="s">
        <v>37</v>
      </c>
      <c r="I8077" s="4" t="n">
        <v>16</v>
      </c>
      <c r="J8077" s="4" t="n">
        <f aca="false">LEN(E8077)-LEN(SUBSTITUTE(E8077,",",""))+1</f>
        <v>7</v>
      </c>
      <c r="K8077" s="3" t="str">
        <f aca="false">IFERROR(INDEX('Teacher Lookup'!$B$2:$B$200,MATCH(A8077,'Teacher Lookup'!$A$2:$A$200,0)),"")</f>
        <v>CHUI Nicole</v>
      </c>
    </row>
    <row r="8078" customFormat="false" ht="15" hidden="false" customHeight="false" outlineLevel="0" collapsed="false">
      <c r="A8078" s="3" t="s">
        <v>490</v>
      </c>
      <c r="B8078" s="4" t="s">
        <v>44</v>
      </c>
      <c r="C8078" s="4" t="n">
        <v>5</v>
      </c>
      <c r="D8078" s="4" t="s">
        <v>58</v>
      </c>
      <c r="E8078" s="3" t="s">
        <v>112</v>
      </c>
      <c r="F8078" s="4" t="str">
        <f aca="false">IF(I8078&gt;J8078,"Y","N")</f>
        <v>Y</v>
      </c>
      <c r="G8078" s="3" t="s">
        <v>36</v>
      </c>
      <c r="H8078" s="3" t="s">
        <v>37</v>
      </c>
      <c r="I8078" s="4" t="n">
        <v>16</v>
      </c>
      <c r="J8078" s="4" t="n">
        <f aca="false">LEN(E8078)-LEN(SUBSTITUTE(E8078,",",""))+1</f>
        <v>7</v>
      </c>
      <c r="K8078" s="3" t="str">
        <f aca="false">IFERROR(INDEX('Teacher Lookup'!$B$2:$B$200,MATCH(A8078,'Teacher Lookup'!$A$2:$A$200,0)),"")</f>
        <v>CHUI Nicole</v>
      </c>
    </row>
    <row r="8079" customFormat="false" ht="15" hidden="false" customHeight="false" outlineLevel="0" collapsed="false">
      <c r="A8079" s="3" t="s">
        <v>490</v>
      </c>
      <c r="B8079" s="4" t="s">
        <v>44</v>
      </c>
      <c r="C8079" s="4" t="n">
        <v>5</v>
      </c>
      <c r="D8079" s="4" t="s">
        <v>59</v>
      </c>
      <c r="E8079" s="3" t="s">
        <v>112</v>
      </c>
      <c r="F8079" s="4" t="str">
        <f aca="false">IF(I8079&gt;J8079,"Y","N")</f>
        <v>Y</v>
      </c>
      <c r="G8079" s="3" t="s">
        <v>36</v>
      </c>
      <c r="H8079" s="3" t="s">
        <v>37</v>
      </c>
      <c r="I8079" s="4" t="n">
        <v>16</v>
      </c>
      <c r="J8079" s="4" t="n">
        <f aca="false">LEN(E8079)-LEN(SUBSTITUTE(E8079,",",""))+1</f>
        <v>7</v>
      </c>
      <c r="K8079" s="3" t="str">
        <f aca="false">IFERROR(INDEX('Teacher Lookup'!$B$2:$B$200,MATCH(A8079,'Teacher Lookup'!$A$2:$A$200,0)),"")</f>
        <v>CHUI Nicole</v>
      </c>
    </row>
    <row r="8080" customFormat="false" ht="15" hidden="false" customHeight="false" outlineLevel="0" collapsed="false">
      <c r="A8080" s="3" t="s">
        <v>490</v>
      </c>
      <c r="B8080" s="4" t="s">
        <v>44</v>
      </c>
      <c r="C8080" s="4" t="n">
        <v>6</v>
      </c>
      <c r="D8080" s="4" t="s">
        <v>56</v>
      </c>
      <c r="E8080" s="3" t="s">
        <v>493</v>
      </c>
      <c r="F8080" s="4" t="str">
        <f aca="false">IF(I8080&gt;J8080,"Y","N")</f>
        <v>N</v>
      </c>
      <c r="G8080" s="3" t="s">
        <v>492</v>
      </c>
      <c r="H8080" s="3" t="s">
        <v>42</v>
      </c>
      <c r="I8080" s="4" t="n">
        <v>2</v>
      </c>
      <c r="J8080" s="4" t="n">
        <f aca="false">LEN(E8080)-LEN(SUBSTITUTE(E8080,",",""))+1</f>
        <v>2</v>
      </c>
      <c r="K8080" s="3" t="str">
        <f aca="false">IFERROR(INDEX('Teacher Lookup'!$B$2:$B$200,MATCH(A8080,'Teacher Lookup'!$A$2:$A$200,0)),"")</f>
        <v>CHUI Nicole</v>
      </c>
    </row>
    <row r="8081" customFormat="false" ht="15" hidden="false" customHeight="false" outlineLevel="0" collapsed="false">
      <c r="A8081" s="3" t="s">
        <v>490</v>
      </c>
      <c r="B8081" s="4" t="s">
        <v>44</v>
      </c>
      <c r="C8081" s="4" t="n">
        <v>7</v>
      </c>
      <c r="D8081" s="4" t="s">
        <v>78</v>
      </c>
      <c r="E8081" s="3" t="s">
        <v>125</v>
      </c>
      <c r="F8081" s="4" t="str">
        <f aca="false">IF(I8081&gt;J8081,"Y","N")</f>
        <v>N</v>
      </c>
      <c r="G8081" s="3" t="s">
        <v>312</v>
      </c>
      <c r="H8081" s="3" t="s">
        <v>39</v>
      </c>
      <c r="I8081" s="4" t="n">
        <v>1</v>
      </c>
      <c r="J8081" s="4" t="n">
        <f aca="false">LEN(E8081)-LEN(SUBSTITUTE(E8081,",",""))+1</f>
        <v>1</v>
      </c>
      <c r="K8081" s="3" t="str">
        <f aca="false">IFERROR(INDEX('Teacher Lookup'!$B$2:$B$200,MATCH(A8081,'Teacher Lookup'!$A$2:$A$200,0)),"")</f>
        <v>CHUI Nicole</v>
      </c>
    </row>
    <row r="8082" customFormat="false" ht="15" hidden="false" customHeight="false" outlineLevel="0" collapsed="false">
      <c r="A8082" s="3" t="s">
        <v>490</v>
      </c>
      <c r="B8082" s="4" t="s">
        <v>47</v>
      </c>
      <c r="C8082" s="4" t="n">
        <v>1</v>
      </c>
      <c r="D8082" s="4" t="s">
        <v>24</v>
      </c>
      <c r="E8082" s="3" t="s">
        <v>277</v>
      </c>
      <c r="F8082" s="4" t="str">
        <f aca="false">IF(I8082&gt;J8082,"Y","N")</f>
        <v>Y</v>
      </c>
      <c r="G8082" s="3" t="s">
        <v>272</v>
      </c>
      <c r="H8082" s="3" t="s">
        <v>16</v>
      </c>
      <c r="I8082" s="4" t="n">
        <v>8</v>
      </c>
      <c r="J8082" s="4" t="n">
        <f aca="false">LEN(E8082)-LEN(SUBSTITUTE(E8082,",",""))+1</f>
        <v>7</v>
      </c>
      <c r="K8082" s="3" t="str">
        <f aca="false">IFERROR(INDEX('Teacher Lookup'!$B$2:$B$200,MATCH(A8082,'Teacher Lookup'!$A$2:$A$200,0)),"")</f>
        <v>CHUI Nicole</v>
      </c>
    </row>
    <row r="8083" customFormat="false" ht="15" hidden="false" customHeight="false" outlineLevel="0" collapsed="false">
      <c r="A8083" s="3" t="s">
        <v>490</v>
      </c>
      <c r="B8083" s="4" t="s">
        <v>47</v>
      </c>
      <c r="C8083" s="4" t="n">
        <v>1</v>
      </c>
      <c r="D8083" s="4" t="s">
        <v>27</v>
      </c>
      <c r="E8083" s="3" t="s">
        <v>277</v>
      </c>
      <c r="F8083" s="4" t="str">
        <f aca="false">IF(I8083&gt;J8083,"Y","N")</f>
        <v>Y</v>
      </c>
      <c r="G8083" s="3" t="s">
        <v>272</v>
      </c>
      <c r="H8083" s="3" t="s">
        <v>16</v>
      </c>
      <c r="I8083" s="4" t="n">
        <v>8</v>
      </c>
      <c r="J8083" s="4" t="n">
        <f aca="false">LEN(E8083)-LEN(SUBSTITUTE(E8083,",",""))+1</f>
        <v>7</v>
      </c>
      <c r="K8083" s="3" t="str">
        <f aca="false">IFERROR(INDEX('Teacher Lookup'!$B$2:$B$200,MATCH(A8083,'Teacher Lookup'!$A$2:$A$200,0)),"")</f>
        <v>CHUI Nicole</v>
      </c>
    </row>
    <row r="8084" customFormat="false" ht="15" hidden="false" customHeight="false" outlineLevel="0" collapsed="false">
      <c r="A8084" s="3" t="s">
        <v>490</v>
      </c>
      <c r="B8084" s="4" t="s">
        <v>47</v>
      </c>
      <c r="C8084" s="4" t="n">
        <v>1</v>
      </c>
      <c r="D8084" s="4" t="s">
        <v>28</v>
      </c>
      <c r="E8084" s="3" t="s">
        <v>277</v>
      </c>
      <c r="F8084" s="4" t="str">
        <f aca="false">IF(I8084&gt;J8084,"Y","N")</f>
        <v>Y</v>
      </c>
      <c r="G8084" s="3" t="s">
        <v>272</v>
      </c>
      <c r="H8084" s="3" t="s">
        <v>16</v>
      </c>
      <c r="I8084" s="4" t="n">
        <v>8</v>
      </c>
      <c r="J8084" s="4" t="n">
        <f aca="false">LEN(E8084)-LEN(SUBSTITUTE(E8084,",",""))+1</f>
        <v>7</v>
      </c>
      <c r="K8084" s="3" t="str">
        <f aca="false">IFERROR(INDEX('Teacher Lookup'!$B$2:$B$200,MATCH(A8084,'Teacher Lookup'!$A$2:$A$200,0)),"")</f>
        <v>CHUI Nicole</v>
      </c>
    </row>
    <row r="8085" customFormat="false" ht="15" hidden="false" customHeight="false" outlineLevel="0" collapsed="false">
      <c r="A8085" s="3" t="s">
        <v>490</v>
      </c>
      <c r="B8085" s="4" t="s">
        <v>47</v>
      </c>
      <c r="C8085" s="4" t="n">
        <v>1</v>
      </c>
      <c r="D8085" s="4" t="s">
        <v>29</v>
      </c>
      <c r="E8085" s="3" t="s">
        <v>277</v>
      </c>
      <c r="F8085" s="4" t="str">
        <f aca="false">IF(I8085&gt;J8085,"Y","N")</f>
        <v>Y</v>
      </c>
      <c r="G8085" s="3" t="s">
        <v>272</v>
      </c>
      <c r="H8085" s="3" t="s">
        <v>16</v>
      </c>
      <c r="I8085" s="4" t="n">
        <v>8</v>
      </c>
      <c r="J8085" s="4" t="n">
        <f aca="false">LEN(E8085)-LEN(SUBSTITUTE(E8085,",",""))+1</f>
        <v>7</v>
      </c>
      <c r="K8085" s="3" t="str">
        <f aca="false">IFERROR(INDEX('Teacher Lookup'!$B$2:$B$200,MATCH(A8085,'Teacher Lookup'!$A$2:$A$200,0)),"")</f>
        <v>CHUI Nicole</v>
      </c>
    </row>
    <row r="8086" customFormat="false" ht="15" hidden="false" customHeight="false" outlineLevel="0" collapsed="false">
      <c r="A8086" s="3" t="s">
        <v>490</v>
      </c>
      <c r="B8086" s="4" t="s">
        <v>47</v>
      </c>
      <c r="C8086" s="4" t="n">
        <v>1</v>
      </c>
      <c r="D8086" s="4" t="s">
        <v>30</v>
      </c>
      <c r="E8086" s="3" t="s">
        <v>277</v>
      </c>
      <c r="F8086" s="4" t="str">
        <f aca="false">IF(I8086&gt;J8086,"Y","N")</f>
        <v>Y</v>
      </c>
      <c r="G8086" s="3" t="s">
        <v>272</v>
      </c>
      <c r="H8086" s="3" t="s">
        <v>16</v>
      </c>
      <c r="I8086" s="4" t="n">
        <v>8</v>
      </c>
      <c r="J8086" s="4" t="n">
        <f aca="false">LEN(E8086)-LEN(SUBSTITUTE(E8086,",",""))+1</f>
        <v>7</v>
      </c>
      <c r="K8086" s="3" t="str">
        <f aca="false">IFERROR(INDEX('Teacher Lookup'!$B$2:$B$200,MATCH(A8086,'Teacher Lookup'!$A$2:$A$200,0)),"")</f>
        <v>CHUI Nicole</v>
      </c>
    </row>
    <row r="8087" customFormat="false" ht="15" hidden="false" customHeight="false" outlineLevel="0" collapsed="false">
      <c r="A8087" s="3" t="s">
        <v>490</v>
      </c>
      <c r="B8087" s="4" t="s">
        <v>47</v>
      </c>
      <c r="C8087" s="4" t="n">
        <v>2</v>
      </c>
      <c r="D8087" s="4" t="s">
        <v>73</v>
      </c>
      <c r="E8087" s="3" t="s">
        <v>311</v>
      </c>
      <c r="F8087" s="4" t="str">
        <f aca="false">IF(I8087&gt;J8087,"Y","N")</f>
        <v>N</v>
      </c>
      <c r="G8087" s="3" t="s">
        <v>312</v>
      </c>
      <c r="H8087" s="3" t="s">
        <v>21</v>
      </c>
      <c r="I8087" s="4" t="n">
        <v>1</v>
      </c>
      <c r="J8087" s="4" t="n">
        <f aca="false">LEN(E8087)-LEN(SUBSTITUTE(E8087,",",""))+1</f>
        <v>1</v>
      </c>
      <c r="K8087" s="3" t="str">
        <f aca="false">IFERROR(INDEX('Teacher Lookup'!$B$2:$B$200,MATCH(A8087,'Teacher Lookup'!$A$2:$A$200,0)),"")</f>
        <v>CHUI Nicole</v>
      </c>
    </row>
    <row r="8088" customFormat="false" ht="15" hidden="false" customHeight="false" outlineLevel="0" collapsed="false">
      <c r="A8088" s="3" t="s">
        <v>490</v>
      </c>
      <c r="B8088" s="4" t="s">
        <v>47</v>
      </c>
      <c r="C8088" s="4" t="n">
        <v>5</v>
      </c>
      <c r="D8088" s="4" t="s">
        <v>56</v>
      </c>
      <c r="E8088" s="3" t="s">
        <v>494</v>
      </c>
      <c r="F8088" s="4" t="str">
        <f aca="false">IF(I8088&gt;J8088,"Y","N")</f>
        <v>N</v>
      </c>
      <c r="G8088" s="3" t="s">
        <v>492</v>
      </c>
      <c r="H8088" s="3" t="s">
        <v>37</v>
      </c>
      <c r="I8088" s="4" t="n">
        <v>2</v>
      </c>
      <c r="J8088" s="4" t="n">
        <f aca="false">LEN(E8088)-LEN(SUBSTITUTE(E8088,",",""))+1</f>
        <v>2</v>
      </c>
      <c r="K8088" s="3" t="str">
        <f aca="false">IFERROR(INDEX('Teacher Lookup'!$B$2:$B$200,MATCH(A8088,'Teacher Lookup'!$A$2:$A$200,0)),"")</f>
        <v>CHUI Nicole</v>
      </c>
    </row>
    <row r="8089" customFormat="false" ht="15" hidden="false" customHeight="false" outlineLevel="0" collapsed="false">
      <c r="A8089" s="3" t="s">
        <v>490</v>
      </c>
      <c r="B8089" s="4" t="s">
        <v>47</v>
      </c>
      <c r="C8089" s="4" t="n">
        <v>6</v>
      </c>
      <c r="D8089" s="4" t="s">
        <v>79</v>
      </c>
      <c r="E8089" s="3" t="s">
        <v>125</v>
      </c>
      <c r="F8089" s="4" t="str">
        <f aca="false">IF(I8089&gt;J8089,"Y","N")</f>
        <v>N</v>
      </c>
      <c r="G8089" s="3" t="s">
        <v>312</v>
      </c>
      <c r="H8089" s="3" t="s">
        <v>42</v>
      </c>
      <c r="I8089" s="4" t="n">
        <v>1</v>
      </c>
      <c r="J8089" s="4" t="n">
        <f aca="false">LEN(E8089)-LEN(SUBSTITUTE(E8089,",",""))+1</f>
        <v>1</v>
      </c>
      <c r="K8089" s="3" t="str">
        <f aca="false">IFERROR(INDEX('Teacher Lookup'!$B$2:$B$200,MATCH(A8089,'Teacher Lookup'!$A$2:$A$200,0)),"")</f>
        <v>CHUI Nicole</v>
      </c>
    </row>
    <row r="8090" customFormat="false" ht="15" hidden="false" customHeight="false" outlineLevel="0" collapsed="false">
      <c r="A8090" s="3" t="s">
        <v>490</v>
      </c>
      <c r="B8090" s="4" t="s">
        <v>47</v>
      </c>
      <c r="C8090" s="4" t="n">
        <v>7</v>
      </c>
      <c r="D8090" s="4" t="s">
        <v>18</v>
      </c>
      <c r="E8090" s="3" t="s">
        <v>125</v>
      </c>
      <c r="F8090" s="4" t="str">
        <f aca="false">IF(I8090&gt;J8090,"Y","N")</f>
        <v>N</v>
      </c>
      <c r="G8090" s="3" t="s">
        <v>126</v>
      </c>
      <c r="H8090" s="3" t="s">
        <v>39</v>
      </c>
      <c r="I8090" s="4" t="n">
        <v>1</v>
      </c>
      <c r="J8090" s="4" t="n">
        <f aca="false">LEN(E8090)-LEN(SUBSTITUTE(E8090,",",""))+1</f>
        <v>1</v>
      </c>
      <c r="K8090" s="3" t="str">
        <f aca="false">IFERROR(INDEX('Teacher Lookup'!$B$2:$B$200,MATCH(A8090,'Teacher Lookup'!$A$2:$A$200,0)),"")</f>
        <v>CHUI Nicole</v>
      </c>
    </row>
    <row r="8091" customFormat="false" ht="15" hidden="false" customHeight="false" outlineLevel="0" collapsed="false">
      <c r="A8091" s="3" t="s">
        <v>490</v>
      </c>
      <c r="B8091" s="4" t="s">
        <v>50</v>
      </c>
      <c r="C8091" s="4" t="n">
        <v>1</v>
      </c>
      <c r="D8091" s="4" t="s">
        <v>56</v>
      </c>
      <c r="E8091" s="3" t="s">
        <v>493</v>
      </c>
      <c r="F8091" s="4" t="str">
        <f aca="false">IF(I8091&gt;J8091,"Y","N")</f>
        <v>N</v>
      </c>
      <c r="G8091" s="3" t="s">
        <v>492</v>
      </c>
      <c r="H8091" s="3" t="s">
        <v>16</v>
      </c>
      <c r="I8091" s="4" t="n">
        <v>2</v>
      </c>
      <c r="J8091" s="4" t="n">
        <f aca="false">LEN(E8091)-LEN(SUBSTITUTE(E8091,",",""))+1</f>
        <v>2</v>
      </c>
      <c r="K8091" s="3" t="str">
        <f aca="false">IFERROR(INDEX('Teacher Lookup'!$B$2:$B$200,MATCH(A8091,'Teacher Lookup'!$A$2:$A$200,0)),"")</f>
        <v>CHUI Nicole</v>
      </c>
    </row>
    <row r="8092" customFormat="false" ht="15" hidden="false" customHeight="false" outlineLevel="0" collapsed="false">
      <c r="A8092" s="3" t="s">
        <v>490</v>
      </c>
      <c r="B8092" s="4" t="s">
        <v>50</v>
      </c>
      <c r="C8092" s="4" t="n">
        <v>4</v>
      </c>
      <c r="D8092" s="4" t="s">
        <v>24</v>
      </c>
      <c r="E8092" s="3" t="s">
        <v>278</v>
      </c>
      <c r="F8092" s="4" t="str">
        <f aca="false">IF(I8092&gt;J8092,"Y","N")</f>
        <v>Y</v>
      </c>
      <c r="G8092" s="3" t="s">
        <v>272</v>
      </c>
      <c r="H8092" s="3" t="s">
        <v>34</v>
      </c>
      <c r="I8092" s="4" t="n">
        <v>8</v>
      </c>
      <c r="J8092" s="4" t="n">
        <f aca="false">LEN(E8092)-LEN(SUBSTITUTE(E8092,",",""))+1</f>
        <v>7</v>
      </c>
      <c r="K8092" s="3" t="str">
        <f aca="false">IFERROR(INDEX('Teacher Lookup'!$B$2:$B$200,MATCH(A8092,'Teacher Lookup'!$A$2:$A$200,0)),"")</f>
        <v>CHUI Nicole</v>
      </c>
    </row>
    <row r="8093" customFormat="false" ht="15" hidden="false" customHeight="false" outlineLevel="0" collapsed="false">
      <c r="A8093" s="3" t="s">
        <v>490</v>
      </c>
      <c r="B8093" s="4" t="s">
        <v>50</v>
      </c>
      <c r="C8093" s="4" t="n">
        <v>4</v>
      </c>
      <c r="D8093" s="4" t="s">
        <v>27</v>
      </c>
      <c r="E8093" s="3" t="s">
        <v>278</v>
      </c>
      <c r="F8093" s="4" t="str">
        <f aca="false">IF(I8093&gt;J8093,"Y","N")</f>
        <v>Y</v>
      </c>
      <c r="G8093" s="3" t="s">
        <v>272</v>
      </c>
      <c r="H8093" s="3" t="s">
        <v>34</v>
      </c>
      <c r="I8093" s="4" t="n">
        <v>8</v>
      </c>
      <c r="J8093" s="4" t="n">
        <f aca="false">LEN(E8093)-LEN(SUBSTITUTE(E8093,",",""))+1</f>
        <v>7</v>
      </c>
      <c r="K8093" s="3" t="str">
        <f aca="false">IFERROR(INDEX('Teacher Lookup'!$B$2:$B$200,MATCH(A8093,'Teacher Lookup'!$A$2:$A$200,0)),"")</f>
        <v>CHUI Nicole</v>
      </c>
    </row>
    <row r="8094" customFormat="false" ht="15" hidden="false" customHeight="false" outlineLevel="0" collapsed="false">
      <c r="A8094" s="3" t="s">
        <v>490</v>
      </c>
      <c r="B8094" s="4" t="s">
        <v>50</v>
      </c>
      <c r="C8094" s="4" t="n">
        <v>4</v>
      </c>
      <c r="D8094" s="4" t="s">
        <v>28</v>
      </c>
      <c r="E8094" s="3" t="s">
        <v>278</v>
      </c>
      <c r="F8094" s="4" t="str">
        <f aca="false">IF(I8094&gt;J8094,"Y","N")</f>
        <v>Y</v>
      </c>
      <c r="G8094" s="3" t="s">
        <v>272</v>
      </c>
      <c r="H8094" s="3" t="s">
        <v>34</v>
      </c>
      <c r="I8094" s="4" t="n">
        <v>8</v>
      </c>
      <c r="J8094" s="4" t="n">
        <f aca="false">LEN(E8094)-LEN(SUBSTITUTE(E8094,",",""))+1</f>
        <v>7</v>
      </c>
      <c r="K8094" s="3" t="str">
        <f aca="false">IFERROR(INDEX('Teacher Lookup'!$B$2:$B$200,MATCH(A8094,'Teacher Lookup'!$A$2:$A$200,0)),"")</f>
        <v>CHUI Nicole</v>
      </c>
    </row>
    <row r="8095" customFormat="false" ht="15" hidden="false" customHeight="false" outlineLevel="0" collapsed="false">
      <c r="A8095" s="3" t="s">
        <v>490</v>
      </c>
      <c r="B8095" s="4" t="s">
        <v>50</v>
      </c>
      <c r="C8095" s="4" t="n">
        <v>4</v>
      </c>
      <c r="D8095" s="4" t="s">
        <v>29</v>
      </c>
      <c r="E8095" s="3" t="s">
        <v>278</v>
      </c>
      <c r="F8095" s="4" t="str">
        <f aca="false">IF(I8095&gt;J8095,"Y","N")</f>
        <v>Y</v>
      </c>
      <c r="G8095" s="3" t="s">
        <v>272</v>
      </c>
      <c r="H8095" s="3" t="s">
        <v>34</v>
      </c>
      <c r="I8095" s="4" t="n">
        <v>8</v>
      </c>
      <c r="J8095" s="4" t="n">
        <f aca="false">LEN(E8095)-LEN(SUBSTITUTE(E8095,",",""))+1</f>
        <v>7</v>
      </c>
      <c r="K8095" s="3" t="str">
        <f aca="false">IFERROR(INDEX('Teacher Lookup'!$B$2:$B$200,MATCH(A8095,'Teacher Lookup'!$A$2:$A$200,0)),"")</f>
        <v>CHUI Nicole</v>
      </c>
    </row>
    <row r="8096" customFormat="false" ht="15" hidden="false" customHeight="false" outlineLevel="0" collapsed="false">
      <c r="A8096" s="3" t="s">
        <v>490</v>
      </c>
      <c r="B8096" s="4" t="s">
        <v>50</v>
      </c>
      <c r="C8096" s="4" t="n">
        <v>4</v>
      </c>
      <c r="D8096" s="4" t="s">
        <v>30</v>
      </c>
      <c r="E8096" s="3" t="s">
        <v>278</v>
      </c>
      <c r="F8096" s="4" t="str">
        <f aca="false">IF(I8096&gt;J8096,"Y","N")</f>
        <v>Y</v>
      </c>
      <c r="G8096" s="3" t="s">
        <v>272</v>
      </c>
      <c r="H8096" s="3" t="s">
        <v>34</v>
      </c>
      <c r="I8096" s="4" t="n">
        <v>8</v>
      </c>
      <c r="J8096" s="4" t="n">
        <f aca="false">LEN(E8096)-LEN(SUBSTITUTE(E8096,",",""))+1</f>
        <v>7</v>
      </c>
      <c r="K8096" s="3" t="str">
        <f aca="false">IFERROR(INDEX('Teacher Lookup'!$B$2:$B$200,MATCH(A8096,'Teacher Lookup'!$A$2:$A$200,0)),"")</f>
        <v>CHUI Nicole</v>
      </c>
    </row>
    <row r="8097" customFormat="false" ht="15" hidden="false" customHeight="false" outlineLevel="0" collapsed="false">
      <c r="A8097" s="3" t="s">
        <v>490</v>
      </c>
      <c r="B8097" s="4" t="s">
        <v>50</v>
      </c>
      <c r="C8097" s="4" t="n">
        <v>5</v>
      </c>
      <c r="D8097" s="4" t="s">
        <v>24</v>
      </c>
      <c r="E8097" s="3" t="s">
        <v>278</v>
      </c>
      <c r="F8097" s="4" t="str">
        <f aca="false">IF(I8097&gt;J8097,"Y","N")</f>
        <v>Y</v>
      </c>
      <c r="G8097" s="3" t="s">
        <v>272</v>
      </c>
      <c r="H8097" s="3" t="s">
        <v>37</v>
      </c>
      <c r="I8097" s="4" t="n">
        <v>8</v>
      </c>
      <c r="J8097" s="4" t="n">
        <f aca="false">LEN(E8097)-LEN(SUBSTITUTE(E8097,",",""))+1</f>
        <v>7</v>
      </c>
      <c r="K8097" s="3" t="str">
        <f aca="false">IFERROR(INDEX('Teacher Lookup'!$B$2:$B$200,MATCH(A8097,'Teacher Lookup'!$A$2:$A$200,0)),"")</f>
        <v>CHUI Nicole</v>
      </c>
    </row>
    <row r="8098" customFormat="false" ht="15" hidden="false" customHeight="false" outlineLevel="0" collapsed="false">
      <c r="A8098" s="3" t="s">
        <v>490</v>
      </c>
      <c r="B8098" s="4" t="s">
        <v>50</v>
      </c>
      <c r="C8098" s="4" t="n">
        <v>5</v>
      </c>
      <c r="D8098" s="4" t="s">
        <v>27</v>
      </c>
      <c r="E8098" s="3" t="s">
        <v>278</v>
      </c>
      <c r="F8098" s="4" t="str">
        <f aca="false">IF(I8098&gt;J8098,"Y","N")</f>
        <v>Y</v>
      </c>
      <c r="G8098" s="3" t="s">
        <v>272</v>
      </c>
      <c r="H8098" s="3" t="s">
        <v>37</v>
      </c>
      <c r="I8098" s="4" t="n">
        <v>8</v>
      </c>
      <c r="J8098" s="4" t="n">
        <f aca="false">LEN(E8098)-LEN(SUBSTITUTE(E8098,",",""))+1</f>
        <v>7</v>
      </c>
      <c r="K8098" s="3" t="str">
        <f aca="false">IFERROR(INDEX('Teacher Lookup'!$B$2:$B$200,MATCH(A8098,'Teacher Lookup'!$A$2:$A$200,0)),"")</f>
        <v>CHUI Nicole</v>
      </c>
    </row>
    <row r="8099" customFormat="false" ht="15" hidden="false" customHeight="false" outlineLevel="0" collapsed="false">
      <c r="A8099" s="3" t="s">
        <v>490</v>
      </c>
      <c r="B8099" s="4" t="s">
        <v>50</v>
      </c>
      <c r="C8099" s="4" t="n">
        <v>5</v>
      </c>
      <c r="D8099" s="4" t="s">
        <v>28</v>
      </c>
      <c r="E8099" s="3" t="s">
        <v>278</v>
      </c>
      <c r="F8099" s="4" t="str">
        <f aca="false">IF(I8099&gt;J8099,"Y","N")</f>
        <v>Y</v>
      </c>
      <c r="G8099" s="3" t="s">
        <v>272</v>
      </c>
      <c r="H8099" s="3" t="s">
        <v>37</v>
      </c>
      <c r="I8099" s="4" t="n">
        <v>8</v>
      </c>
      <c r="J8099" s="4" t="n">
        <f aca="false">LEN(E8099)-LEN(SUBSTITUTE(E8099,",",""))+1</f>
        <v>7</v>
      </c>
      <c r="K8099" s="3" t="str">
        <f aca="false">IFERROR(INDEX('Teacher Lookup'!$B$2:$B$200,MATCH(A8099,'Teacher Lookup'!$A$2:$A$200,0)),"")</f>
        <v>CHUI Nicole</v>
      </c>
    </row>
    <row r="8100" customFormat="false" ht="15" hidden="false" customHeight="false" outlineLevel="0" collapsed="false">
      <c r="A8100" s="3" t="s">
        <v>490</v>
      </c>
      <c r="B8100" s="4" t="s">
        <v>50</v>
      </c>
      <c r="C8100" s="4" t="n">
        <v>5</v>
      </c>
      <c r="D8100" s="4" t="s">
        <v>29</v>
      </c>
      <c r="E8100" s="3" t="s">
        <v>278</v>
      </c>
      <c r="F8100" s="4" t="str">
        <f aca="false">IF(I8100&gt;J8100,"Y","N")</f>
        <v>Y</v>
      </c>
      <c r="G8100" s="3" t="s">
        <v>272</v>
      </c>
      <c r="H8100" s="3" t="s">
        <v>37</v>
      </c>
      <c r="I8100" s="4" t="n">
        <v>8</v>
      </c>
      <c r="J8100" s="4" t="n">
        <f aca="false">LEN(E8100)-LEN(SUBSTITUTE(E8100,",",""))+1</f>
        <v>7</v>
      </c>
      <c r="K8100" s="3" t="str">
        <f aca="false">IFERROR(INDEX('Teacher Lookup'!$B$2:$B$200,MATCH(A8100,'Teacher Lookup'!$A$2:$A$200,0)),"")</f>
        <v>CHUI Nicole</v>
      </c>
    </row>
    <row r="8101" customFormat="false" ht="15" hidden="false" customHeight="false" outlineLevel="0" collapsed="false">
      <c r="A8101" s="3" t="s">
        <v>490</v>
      </c>
      <c r="B8101" s="4" t="s">
        <v>50</v>
      </c>
      <c r="C8101" s="4" t="n">
        <v>5</v>
      </c>
      <c r="D8101" s="4" t="s">
        <v>30</v>
      </c>
      <c r="E8101" s="3" t="s">
        <v>278</v>
      </c>
      <c r="F8101" s="4" t="str">
        <f aca="false">IF(I8101&gt;J8101,"Y","N")</f>
        <v>Y</v>
      </c>
      <c r="G8101" s="3" t="s">
        <v>272</v>
      </c>
      <c r="H8101" s="3" t="s">
        <v>37</v>
      </c>
      <c r="I8101" s="4" t="n">
        <v>8</v>
      </c>
      <c r="J8101" s="4" t="n">
        <f aca="false">LEN(E8101)-LEN(SUBSTITUTE(E8101,",",""))+1</f>
        <v>7</v>
      </c>
      <c r="K8101" s="3" t="str">
        <f aca="false">IFERROR(INDEX('Teacher Lookup'!$B$2:$B$200,MATCH(A8101,'Teacher Lookup'!$A$2:$A$200,0)),"")</f>
        <v>CHUI Nicole</v>
      </c>
    </row>
    <row r="8102" customFormat="false" ht="15" hidden="false" customHeight="false" outlineLevel="0" collapsed="false">
      <c r="A8102" s="3" t="s">
        <v>490</v>
      </c>
      <c r="B8102" s="4" t="s">
        <v>50</v>
      </c>
      <c r="C8102" s="4" t="n">
        <v>6</v>
      </c>
      <c r="D8102" s="4" t="s">
        <v>18</v>
      </c>
      <c r="E8102" s="3" t="s">
        <v>129</v>
      </c>
      <c r="F8102" s="4" t="str">
        <f aca="false">IF(I8102&gt;J8102,"Y","N")</f>
        <v>N</v>
      </c>
      <c r="G8102" s="3" t="s">
        <v>126</v>
      </c>
      <c r="H8102" s="3" t="s">
        <v>42</v>
      </c>
      <c r="I8102" s="4" t="n">
        <v>1</v>
      </c>
      <c r="J8102" s="4" t="n">
        <f aca="false">LEN(E8102)-LEN(SUBSTITUTE(E8102,",",""))+1</f>
        <v>1</v>
      </c>
      <c r="K8102" s="3" t="str">
        <f aca="false">IFERROR(INDEX('Teacher Lookup'!$B$2:$B$200,MATCH(A8102,'Teacher Lookup'!$A$2:$A$200,0)),"")</f>
        <v>CHUI Nicole</v>
      </c>
    </row>
    <row r="8103" customFormat="false" ht="15" hidden="false" customHeight="false" outlineLevel="0" collapsed="false">
      <c r="A8103" s="3" t="s">
        <v>490</v>
      </c>
      <c r="B8103" s="4" t="s">
        <v>50</v>
      </c>
      <c r="C8103" s="4" t="n">
        <v>7</v>
      </c>
      <c r="D8103" s="4" t="s">
        <v>78</v>
      </c>
      <c r="E8103" s="3" t="s">
        <v>135</v>
      </c>
      <c r="F8103" s="4" t="str">
        <f aca="false">IF(I8103&gt;J8103,"Y","N")</f>
        <v>N</v>
      </c>
      <c r="G8103" s="3" t="s">
        <v>312</v>
      </c>
      <c r="H8103" s="3" t="s">
        <v>39</v>
      </c>
      <c r="I8103" s="4" t="n">
        <v>1</v>
      </c>
      <c r="J8103" s="4" t="n">
        <f aca="false">LEN(E8103)-LEN(SUBSTITUTE(E8103,",",""))+1</f>
        <v>1</v>
      </c>
      <c r="K8103" s="3" t="str">
        <f aca="false">IFERROR(INDEX('Teacher Lookup'!$B$2:$B$200,MATCH(A8103,'Teacher Lookup'!$A$2:$A$200,0)),"")</f>
        <v>CHUI Nicole</v>
      </c>
    </row>
    <row r="8104" customFormat="false" ht="15" hidden="false" customHeight="false" outlineLevel="0" collapsed="false">
      <c r="A8104" s="3" t="s">
        <v>490</v>
      </c>
      <c r="B8104" s="4" t="s">
        <v>60</v>
      </c>
      <c r="C8104" s="4" t="n">
        <v>1</v>
      </c>
      <c r="D8104" s="4" t="s">
        <v>56</v>
      </c>
      <c r="E8104" s="3" t="s">
        <v>494</v>
      </c>
      <c r="F8104" s="4" t="str">
        <f aca="false">IF(I8104&gt;J8104,"Y","N")</f>
        <v>N</v>
      </c>
      <c r="G8104" s="3" t="s">
        <v>492</v>
      </c>
      <c r="H8104" s="3" t="s">
        <v>16</v>
      </c>
      <c r="I8104" s="4" t="n">
        <v>2</v>
      </c>
      <c r="J8104" s="4" t="n">
        <f aca="false">LEN(E8104)-LEN(SUBSTITUTE(E8104,",",""))+1</f>
        <v>2</v>
      </c>
      <c r="K8104" s="3" t="str">
        <f aca="false">IFERROR(INDEX('Teacher Lookup'!$B$2:$B$200,MATCH(A8104,'Teacher Lookup'!$A$2:$A$200,0)),"")</f>
        <v>CHUI Nicole</v>
      </c>
    </row>
    <row r="8105" customFormat="false" ht="15" hidden="false" customHeight="false" outlineLevel="0" collapsed="false">
      <c r="A8105" s="3" t="s">
        <v>490</v>
      </c>
      <c r="B8105" s="4" t="s">
        <v>60</v>
      </c>
      <c r="C8105" s="4" t="n">
        <v>2</v>
      </c>
      <c r="D8105" s="4" t="s">
        <v>24</v>
      </c>
      <c r="E8105" s="3" t="s">
        <v>280</v>
      </c>
      <c r="F8105" s="4" t="str">
        <f aca="false">IF(I8105&gt;J8105,"Y","N")</f>
        <v>Y</v>
      </c>
      <c r="G8105" s="3" t="s">
        <v>272</v>
      </c>
      <c r="H8105" s="3" t="s">
        <v>21</v>
      </c>
      <c r="I8105" s="4" t="n">
        <v>8</v>
      </c>
      <c r="J8105" s="4" t="n">
        <f aca="false">LEN(E8105)-LEN(SUBSTITUTE(E8105,",",""))+1</f>
        <v>7</v>
      </c>
      <c r="K8105" s="3" t="str">
        <f aca="false">IFERROR(INDEX('Teacher Lookup'!$B$2:$B$200,MATCH(A8105,'Teacher Lookup'!$A$2:$A$200,0)),"")</f>
        <v>CHUI Nicole</v>
      </c>
    </row>
    <row r="8106" customFormat="false" ht="15" hidden="false" customHeight="false" outlineLevel="0" collapsed="false">
      <c r="A8106" s="3" t="s">
        <v>490</v>
      </c>
      <c r="B8106" s="4" t="s">
        <v>60</v>
      </c>
      <c r="C8106" s="4" t="n">
        <v>2</v>
      </c>
      <c r="D8106" s="4" t="s">
        <v>27</v>
      </c>
      <c r="E8106" s="3" t="s">
        <v>280</v>
      </c>
      <c r="F8106" s="4" t="str">
        <f aca="false">IF(I8106&gt;J8106,"Y","N")</f>
        <v>Y</v>
      </c>
      <c r="G8106" s="3" t="s">
        <v>272</v>
      </c>
      <c r="H8106" s="3" t="s">
        <v>21</v>
      </c>
      <c r="I8106" s="4" t="n">
        <v>8</v>
      </c>
      <c r="J8106" s="4" t="n">
        <f aca="false">LEN(E8106)-LEN(SUBSTITUTE(E8106,",",""))+1</f>
        <v>7</v>
      </c>
      <c r="K8106" s="3" t="str">
        <f aca="false">IFERROR(INDEX('Teacher Lookup'!$B$2:$B$200,MATCH(A8106,'Teacher Lookup'!$A$2:$A$200,0)),"")</f>
        <v>CHUI Nicole</v>
      </c>
    </row>
    <row r="8107" customFormat="false" ht="15" hidden="false" customHeight="false" outlineLevel="0" collapsed="false">
      <c r="A8107" s="3" t="s">
        <v>490</v>
      </c>
      <c r="B8107" s="4" t="s">
        <v>60</v>
      </c>
      <c r="C8107" s="4" t="n">
        <v>2</v>
      </c>
      <c r="D8107" s="4" t="s">
        <v>28</v>
      </c>
      <c r="E8107" s="3" t="s">
        <v>280</v>
      </c>
      <c r="F8107" s="4" t="str">
        <f aca="false">IF(I8107&gt;J8107,"Y","N")</f>
        <v>Y</v>
      </c>
      <c r="G8107" s="3" t="s">
        <v>272</v>
      </c>
      <c r="H8107" s="3" t="s">
        <v>21</v>
      </c>
      <c r="I8107" s="4" t="n">
        <v>8</v>
      </c>
      <c r="J8107" s="4" t="n">
        <f aca="false">LEN(E8107)-LEN(SUBSTITUTE(E8107,",",""))+1</f>
        <v>7</v>
      </c>
      <c r="K8107" s="3" t="str">
        <f aca="false">IFERROR(INDEX('Teacher Lookup'!$B$2:$B$200,MATCH(A8107,'Teacher Lookup'!$A$2:$A$200,0)),"")</f>
        <v>CHUI Nicole</v>
      </c>
    </row>
    <row r="8108" customFormat="false" ht="15" hidden="false" customHeight="false" outlineLevel="0" collapsed="false">
      <c r="A8108" s="3" t="s">
        <v>490</v>
      </c>
      <c r="B8108" s="4" t="s">
        <v>60</v>
      </c>
      <c r="C8108" s="4" t="n">
        <v>2</v>
      </c>
      <c r="D8108" s="4" t="s">
        <v>29</v>
      </c>
      <c r="E8108" s="3" t="s">
        <v>280</v>
      </c>
      <c r="F8108" s="4" t="str">
        <f aca="false">IF(I8108&gt;J8108,"Y","N")</f>
        <v>Y</v>
      </c>
      <c r="G8108" s="3" t="s">
        <v>272</v>
      </c>
      <c r="H8108" s="3" t="s">
        <v>21</v>
      </c>
      <c r="I8108" s="4" t="n">
        <v>8</v>
      </c>
      <c r="J8108" s="4" t="n">
        <f aca="false">LEN(E8108)-LEN(SUBSTITUTE(E8108,",",""))+1</f>
        <v>7</v>
      </c>
      <c r="K8108" s="3" t="str">
        <f aca="false">IFERROR(INDEX('Teacher Lookup'!$B$2:$B$200,MATCH(A8108,'Teacher Lookup'!$A$2:$A$200,0)),"")</f>
        <v>CHUI Nicole</v>
      </c>
    </row>
    <row r="8109" customFormat="false" ht="15" hidden="false" customHeight="false" outlineLevel="0" collapsed="false">
      <c r="A8109" s="3" t="s">
        <v>490</v>
      </c>
      <c r="B8109" s="4" t="s">
        <v>60</v>
      </c>
      <c r="C8109" s="4" t="n">
        <v>2</v>
      </c>
      <c r="D8109" s="4" t="s">
        <v>30</v>
      </c>
      <c r="E8109" s="3" t="s">
        <v>280</v>
      </c>
      <c r="F8109" s="4" t="str">
        <f aca="false">IF(I8109&gt;J8109,"Y","N")</f>
        <v>Y</v>
      </c>
      <c r="G8109" s="3" t="s">
        <v>272</v>
      </c>
      <c r="H8109" s="3" t="s">
        <v>21</v>
      </c>
      <c r="I8109" s="4" t="n">
        <v>8</v>
      </c>
      <c r="J8109" s="4" t="n">
        <f aca="false">LEN(E8109)-LEN(SUBSTITUTE(E8109,",",""))+1</f>
        <v>7</v>
      </c>
      <c r="K8109" s="3" t="str">
        <f aca="false">IFERROR(INDEX('Teacher Lookup'!$B$2:$B$200,MATCH(A8109,'Teacher Lookup'!$A$2:$A$200,0)),"")</f>
        <v>CHUI Nicole</v>
      </c>
    </row>
    <row r="8110" customFormat="false" ht="15" hidden="false" customHeight="false" outlineLevel="0" collapsed="false">
      <c r="A8110" s="3" t="s">
        <v>490</v>
      </c>
      <c r="B8110" s="4" t="s">
        <v>60</v>
      </c>
      <c r="C8110" s="4" t="n">
        <v>3</v>
      </c>
      <c r="D8110" s="4" t="s">
        <v>18</v>
      </c>
      <c r="E8110" s="3" t="s">
        <v>133</v>
      </c>
      <c r="F8110" s="4" t="str">
        <f aca="false">IF(I8110&gt;J8110,"Y","N")</f>
        <v>N</v>
      </c>
      <c r="G8110" s="3" t="s">
        <v>126</v>
      </c>
      <c r="H8110" s="3" t="s">
        <v>26</v>
      </c>
      <c r="I8110" s="4" t="n">
        <v>1</v>
      </c>
      <c r="J8110" s="4" t="n">
        <f aca="false">LEN(E8110)-LEN(SUBSTITUTE(E8110,",",""))+1</f>
        <v>1</v>
      </c>
      <c r="K8110" s="3" t="str">
        <f aca="false">IFERROR(INDEX('Teacher Lookup'!$B$2:$B$200,MATCH(A8110,'Teacher Lookup'!$A$2:$A$200,0)),"")</f>
        <v>CHUI Nicole</v>
      </c>
    </row>
    <row r="8111" customFormat="false" ht="15" hidden="false" customHeight="false" outlineLevel="0" collapsed="false">
      <c r="A8111" s="3" t="s">
        <v>490</v>
      </c>
      <c r="B8111" s="4" t="s">
        <v>60</v>
      </c>
      <c r="C8111" s="4" t="n">
        <v>5</v>
      </c>
      <c r="D8111" s="4" t="s">
        <v>52</v>
      </c>
      <c r="E8111" s="3" t="s">
        <v>112</v>
      </c>
      <c r="F8111" s="4" t="str">
        <f aca="false">IF(I8111&gt;J8111,"Y","N")</f>
        <v>Y</v>
      </c>
      <c r="G8111" s="3" t="s">
        <v>36</v>
      </c>
      <c r="H8111" s="3" t="s">
        <v>37</v>
      </c>
      <c r="I8111" s="4" t="n">
        <v>16</v>
      </c>
      <c r="J8111" s="4" t="n">
        <f aca="false">LEN(E8111)-LEN(SUBSTITUTE(E8111,",",""))+1</f>
        <v>7</v>
      </c>
      <c r="K8111" s="3" t="str">
        <f aca="false">IFERROR(INDEX('Teacher Lookup'!$B$2:$B$200,MATCH(A8111,'Teacher Lookup'!$A$2:$A$200,0)),"")</f>
        <v>CHUI Nicole</v>
      </c>
    </row>
    <row r="8112" customFormat="false" ht="15" hidden="false" customHeight="false" outlineLevel="0" collapsed="false">
      <c r="A8112" s="3" t="s">
        <v>490</v>
      </c>
      <c r="B8112" s="4" t="s">
        <v>60</v>
      </c>
      <c r="C8112" s="4" t="n">
        <v>5</v>
      </c>
      <c r="D8112" s="4" t="s">
        <v>55</v>
      </c>
      <c r="E8112" s="3" t="s">
        <v>112</v>
      </c>
      <c r="F8112" s="4" t="str">
        <f aca="false">IF(I8112&gt;J8112,"Y","N")</f>
        <v>Y</v>
      </c>
      <c r="G8112" s="3" t="s">
        <v>36</v>
      </c>
      <c r="H8112" s="3" t="s">
        <v>37</v>
      </c>
      <c r="I8112" s="4" t="n">
        <v>16</v>
      </c>
      <c r="J8112" s="4" t="n">
        <f aca="false">LEN(E8112)-LEN(SUBSTITUTE(E8112,",",""))+1</f>
        <v>7</v>
      </c>
      <c r="K8112" s="3" t="str">
        <f aca="false">IFERROR(INDEX('Teacher Lookup'!$B$2:$B$200,MATCH(A8112,'Teacher Lookup'!$A$2:$A$200,0)),"")</f>
        <v>CHUI Nicole</v>
      </c>
    </row>
    <row r="8113" customFormat="false" ht="15" hidden="false" customHeight="false" outlineLevel="0" collapsed="false">
      <c r="A8113" s="3" t="s">
        <v>490</v>
      </c>
      <c r="B8113" s="4" t="s">
        <v>60</v>
      </c>
      <c r="C8113" s="4" t="n">
        <v>5</v>
      </c>
      <c r="D8113" s="4" t="s">
        <v>56</v>
      </c>
      <c r="E8113" s="3" t="s">
        <v>112</v>
      </c>
      <c r="F8113" s="4" t="str">
        <f aca="false">IF(I8113&gt;J8113,"Y","N")</f>
        <v>Y</v>
      </c>
      <c r="G8113" s="3" t="s">
        <v>36</v>
      </c>
      <c r="H8113" s="3" t="s">
        <v>37</v>
      </c>
      <c r="I8113" s="4" t="n">
        <v>16</v>
      </c>
      <c r="J8113" s="4" t="n">
        <f aca="false">LEN(E8113)-LEN(SUBSTITUTE(E8113,",",""))+1</f>
        <v>7</v>
      </c>
      <c r="K8113" s="3" t="str">
        <f aca="false">IFERROR(INDEX('Teacher Lookup'!$B$2:$B$200,MATCH(A8113,'Teacher Lookup'!$A$2:$A$200,0)),"")</f>
        <v>CHUI Nicole</v>
      </c>
    </row>
    <row r="8114" customFormat="false" ht="15" hidden="false" customHeight="false" outlineLevel="0" collapsed="false">
      <c r="A8114" s="3" t="s">
        <v>490</v>
      </c>
      <c r="B8114" s="4" t="s">
        <v>60</v>
      </c>
      <c r="C8114" s="4" t="n">
        <v>5</v>
      </c>
      <c r="D8114" s="4" t="s">
        <v>57</v>
      </c>
      <c r="E8114" s="3" t="s">
        <v>112</v>
      </c>
      <c r="F8114" s="4" t="str">
        <f aca="false">IF(I8114&gt;J8114,"Y","N")</f>
        <v>Y</v>
      </c>
      <c r="G8114" s="3" t="s">
        <v>36</v>
      </c>
      <c r="H8114" s="3" t="s">
        <v>37</v>
      </c>
      <c r="I8114" s="4" t="n">
        <v>16</v>
      </c>
      <c r="J8114" s="4" t="n">
        <f aca="false">LEN(E8114)-LEN(SUBSTITUTE(E8114,",",""))+1</f>
        <v>7</v>
      </c>
      <c r="K8114" s="3" t="str">
        <f aca="false">IFERROR(INDEX('Teacher Lookup'!$B$2:$B$200,MATCH(A8114,'Teacher Lookup'!$A$2:$A$200,0)),"")</f>
        <v>CHUI Nicole</v>
      </c>
    </row>
    <row r="8115" customFormat="false" ht="15" hidden="false" customHeight="false" outlineLevel="0" collapsed="false">
      <c r="A8115" s="3" t="s">
        <v>490</v>
      </c>
      <c r="B8115" s="4" t="s">
        <v>60</v>
      </c>
      <c r="C8115" s="4" t="n">
        <v>5</v>
      </c>
      <c r="D8115" s="4" t="s">
        <v>58</v>
      </c>
      <c r="E8115" s="3" t="s">
        <v>112</v>
      </c>
      <c r="F8115" s="4" t="str">
        <f aca="false">IF(I8115&gt;J8115,"Y","N")</f>
        <v>Y</v>
      </c>
      <c r="G8115" s="3" t="s">
        <v>36</v>
      </c>
      <c r="H8115" s="3" t="s">
        <v>37</v>
      </c>
      <c r="I8115" s="4" t="n">
        <v>16</v>
      </c>
      <c r="J8115" s="4" t="n">
        <f aca="false">LEN(E8115)-LEN(SUBSTITUTE(E8115,",",""))+1</f>
        <v>7</v>
      </c>
      <c r="K8115" s="3" t="str">
        <f aca="false">IFERROR(INDEX('Teacher Lookup'!$B$2:$B$200,MATCH(A8115,'Teacher Lookup'!$A$2:$A$200,0)),"")</f>
        <v>CHUI Nicole</v>
      </c>
    </row>
    <row r="8116" customFormat="false" ht="15" hidden="false" customHeight="false" outlineLevel="0" collapsed="false">
      <c r="A8116" s="3" t="s">
        <v>490</v>
      </c>
      <c r="B8116" s="4" t="s">
        <v>60</v>
      </c>
      <c r="C8116" s="4" t="n">
        <v>5</v>
      </c>
      <c r="D8116" s="4" t="s">
        <v>59</v>
      </c>
      <c r="E8116" s="3" t="s">
        <v>112</v>
      </c>
      <c r="F8116" s="4" t="str">
        <f aca="false">IF(I8116&gt;J8116,"Y","N")</f>
        <v>Y</v>
      </c>
      <c r="G8116" s="3" t="s">
        <v>36</v>
      </c>
      <c r="H8116" s="3" t="s">
        <v>37</v>
      </c>
      <c r="I8116" s="4" t="n">
        <v>16</v>
      </c>
      <c r="J8116" s="4" t="n">
        <f aca="false">LEN(E8116)-LEN(SUBSTITUTE(E8116,",",""))+1</f>
        <v>7</v>
      </c>
      <c r="K8116" s="3" t="str">
        <f aca="false">IFERROR(INDEX('Teacher Lookup'!$B$2:$B$200,MATCH(A8116,'Teacher Lookup'!$A$2:$A$200,0)),"")</f>
        <v>CHUI Nicole</v>
      </c>
    </row>
    <row r="8117" customFormat="false" ht="15" hidden="false" customHeight="false" outlineLevel="0" collapsed="false">
      <c r="A8117" s="3" t="s">
        <v>490</v>
      </c>
      <c r="B8117" s="4" t="s">
        <v>60</v>
      </c>
      <c r="C8117" s="4" t="n">
        <v>6</v>
      </c>
      <c r="D8117" s="4" t="s">
        <v>79</v>
      </c>
      <c r="E8117" s="3" t="s">
        <v>311</v>
      </c>
      <c r="F8117" s="4" t="str">
        <f aca="false">IF(I8117&gt;J8117,"Y","N")</f>
        <v>N</v>
      </c>
      <c r="G8117" s="3" t="s">
        <v>312</v>
      </c>
      <c r="H8117" s="3" t="s">
        <v>42</v>
      </c>
      <c r="I8117" s="4" t="n">
        <v>1</v>
      </c>
      <c r="J8117" s="4" t="n">
        <f aca="false">LEN(E8117)-LEN(SUBSTITUTE(E8117,",",""))+1</f>
        <v>1</v>
      </c>
      <c r="K8117" s="3" t="str">
        <f aca="false">IFERROR(INDEX('Teacher Lookup'!$B$2:$B$200,MATCH(A8117,'Teacher Lookup'!$A$2:$A$200,0)),"")</f>
        <v>CHUI Nicole</v>
      </c>
    </row>
    <row r="8118" customFormat="false" ht="15" hidden="false" customHeight="false" outlineLevel="0" collapsed="false">
      <c r="A8118" s="3" t="s">
        <v>490</v>
      </c>
      <c r="B8118" s="4" t="s">
        <v>63</v>
      </c>
      <c r="C8118" s="4" t="n">
        <v>2</v>
      </c>
      <c r="D8118" s="4" t="s">
        <v>24</v>
      </c>
      <c r="E8118" s="3" t="s">
        <v>271</v>
      </c>
      <c r="F8118" s="4" t="str">
        <f aca="false">IF(I8118&gt;J8118,"Y","N")</f>
        <v>Y</v>
      </c>
      <c r="G8118" s="3" t="s">
        <v>272</v>
      </c>
      <c r="H8118" s="3" t="s">
        <v>21</v>
      </c>
      <c r="I8118" s="4" t="n">
        <v>8</v>
      </c>
      <c r="J8118" s="4" t="n">
        <f aca="false">LEN(E8118)-LEN(SUBSTITUTE(E8118,",",""))+1</f>
        <v>7</v>
      </c>
      <c r="K8118" s="3" t="str">
        <f aca="false">IFERROR(INDEX('Teacher Lookup'!$B$2:$B$200,MATCH(A8118,'Teacher Lookup'!$A$2:$A$200,0)),"")</f>
        <v>CHUI Nicole</v>
      </c>
    </row>
    <row r="8119" customFormat="false" ht="15" hidden="false" customHeight="false" outlineLevel="0" collapsed="false">
      <c r="A8119" s="3" t="s">
        <v>490</v>
      </c>
      <c r="B8119" s="4" t="s">
        <v>63</v>
      </c>
      <c r="C8119" s="4" t="n">
        <v>2</v>
      </c>
      <c r="D8119" s="4" t="s">
        <v>27</v>
      </c>
      <c r="E8119" s="3" t="s">
        <v>271</v>
      </c>
      <c r="F8119" s="4" t="str">
        <f aca="false">IF(I8119&gt;J8119,"Y","N")</f>
        <v>Y</v>
      </c>
      <c r="G8119" s="3" t="s">
        <v>272</v>
      </c>
      <c r="H8119" s="3" t="s">
        <v>21</v>
      </c>
      <c r="I8119" s="4" t="n">
        <v>8</v>
      </c>
      <c r="J8119" s="4" t="n">
        <f aca="false">LEN(E8119)-LEN(SUBSTITUTE(E8119,",",""))+1</f>
        <v>7</v>
      </c>
      <c r="K8119" s="3" t="str">
        <f aca="false">IFERROR(INDEX('Teacher Lookup'!$B$2:$B$200,MATCH(A8119,'Teacher Lookup'!$A$2:$A$200,0)),"")</f>
        <v>CHUI Nicole</v>
      </c>
    </row>
    <row r="8120" customFormat="false" ht="15" hidden="false" customHeight="false" outlineLevel="0" collapsed="false">
      <c r="A8120" s="3" t="s">
        <v>490</v>
      </c>
      <c r="B8120" s="4" t="s">
        <v>63</v>
      </c>
      <c r="C8120" s="4" t="n">
        <v>2</v>
      </c>
      <c r="D8120" s="4" t="s">
        <v>28</v>
      </c>
      <c r="E8120" s="3" t="s">
        <v>271</v>
      </c>
      <c r="F8120" s="4" t="str">
        <f aca="false">IF(I8120&gt;J8120,"Y","N")</f>
        <v>Y</v>
      </c>
      <c r="G8120" s="3" t="s">
        <v>272</v>
      </c>
      <c r="H8120" s="3" t="s">
        <v>21</v>
      </c>
      <c r="I8120" s="4" t="n">
        <v>8</v>
      </c>
      <c r="J8120" s="4" t="n">
        <f aca="false">LEN(E8120)-LEN(SUBSTITUTE(E8120,",",""))+1</f>
        <v>7</v>
      </c>
      <c r="K8120" s="3" t="str">
        <f aca="false">IFERROR(INDEX('Teacher Lookup'!$B$2:$B$200,MATCH(A8120,'Teacher Lookup'!$A$2:$A$200,0)),"")</f>
        <v>CHUI Nicole</v>
      </c>
    </row>
    <row r="8121" customFormat="false" ht="15" hidden="false" customHeight="false" outlineLevel="0" collapsed="false">
      <c r="A8121" s="3" t="s">
        <v>490</v>
      </c>
      <c r="B8121" s="4" t="s">
        <v>63</v>
      </c>
      <c r="C8121" s="4" t="n">
        <v>2</v>
      </c>
      <c r="D8121" s="4" t="s">
        <v>29</v>
      </c>
      <c r="E8121" s="3" t="s">
        <v>271</v>
      </c>
      <c r="F8121" s="4" t="str">
        <f aca="false">IF(I8121&gt;J8121,"Y","N")</f>
        <v>Y</v>
      </c>
      <c r="G8121" s="3" t="s">
        <v>272</v>
      </c>
      <c r="H8121" s="3" t="s">
        <v>21</v>
      </c>
      <c r="I8121" s="4" t="n">
        <v>8</v>
      </c>
      <c r="J8121" s="4" t="n">
        <f aca="false">LEN(E8121)-LEN(SUBSTITUTE(E8121,",",""))+1</f>
        <v>7</v>
      </c>
      <c r="K8121" s="3" t="str">
        <f aca="false">IFERROR(INDEX('Teacher Lookup'!$B$2:$B$200,MATCH(A8121,'Teacher Lookup'!$A$2:$A$200,0)),"")</f>
        <v>CHUI Nicole</v>
      </c>
    </row>
    <row r="8122" customFormat="false" ht="15" hidden="false" customHeight="false" outlineLevel="0" collapsed="false">
      <c r="A8122" s="3" t="s">
        <v>490</v>
      </c>
      <c r="B8122" s="4" t="s">
        <v>63</v>
      </c>
      <c r="C8122" s="4" t="n">
        <v>2</v>
      </c>
      <c r="D8122" s="4" t="s">
        <v>30</v>
      </c>
      <c r="E8122" s="3" t="s">
        <v>271</v>
      </c>
      <c r="F8122" s="4" t="str">
        <f aca="false">IF(I8122&gt;J8122,"Y","N")</f>
        <v>Y</v>
      </c>
      <c r="G8122" s="3" t="s">
        <v>272</v>
      </c>
      <c r="H8122" s="3" t="s">
        <v>21</v>
      </c>
      <c r="I8122" s="4" t="n">
        <v>8</v>
      </c>
      <c r="J8122" s="4" t="n">
        <f aca="false">LEN(E8122)-LEN(SUBSTITUTE(E8122,",",""))+1</f>
        <v>7</v>
      </c>
      <c r="K8122" s="3" t="str">
        <f aca="false">IFERROR(INDEX('Teacher Lookup'!$B$2:$B$200,MATCH(A8122,'Teacher Lookup'!$A$2:$A$200,0)),"")</f>
        <v>CHUI Nicole</v>
      </c>
    </row>
    <row r="8123" customFormat="false" ht="15" hidden="false" customHeight="false" outlineLevel="0" collapsed="false">
      <c r="A8123" s="3" t="s">
        <v>490</v>
      </c>
      <c r="B8123" s="4" t="s">
        <v>63</v>
      </c>
      <c r="C8123" s="4" t="n">
        <v>4</v>
      </c>
      <c r="D8123" s="4" t="s">
        <v>18</v>
      </c>
      <c r="E8123" s="3" t="s">
        <v>349</v>
      </c>
      <c r="F8123" s="4" t="str">
        <f aca="false">IF(I8123&gt;J8123,"Y","N")</f>
        <v>N</v>
      </c>
      <c r="G8123" s="3" t="s">
        <v>126</v>
      </c>
      <c r="H8123" s="3" t="s">
        <v>34</v>
      </c>
      <c r="I8123" s="4" t="n">
        <v>1</v>
      </c>
      <c r="J8123" s="4" t="n">
        <f aca="false">LEN(E8123)-LEN(SUBSTITUTE(E8123,",",""))+1</f>
        <v>1</v>
      </c>
      <c r="K8123" s="3" t="str">
        <f aca="false">IFERROR(INDEX('Teacher Lookup'!$B$2:$B$200,MATCH(A8123,'Teacher Lookup'!$A$2:$A$200,0)),"")</f>
        <v>CHUI Nicole</v>
      </c>
    </row>
    <row r="8124" customFormat="false" ht="15" hidden="false" customHeight="false" outlineLevel="0" collapsed="false">
      <c r="A8124" s="3" t="s">
        <v>490</v>
      </c>
      <c r="B8124" s="4" t="s">
        <v>63</v>
      </c>
      <c r="C8124" s="4" t="n">
        <v>5</v>
      </c>
      <c r="D8124" s="4" t="s">
        <v>56</v>
      </c>
      <c r="E8124" s="3" t="s">
        <v>494</v>
      </c>
      <c r="F8124" s="4" t="str">
        <f aca="false">IF(I8124&gt;J8124,"Y","N")</f>
        <v>N</v>
      </c>
      <c r="G8124" s="3" t="s">
        <v>492</v>
      </c>
      <c r="H8124" s="3" t="s">
        <v>37</v>
      </c>
      <c r="I8124" s="4" t="n">
        <v>2</v>
      </c>
      <c r="J8124" s="4" t="n">
        <f aca="false">LEN(E8124)-LEN(SUBSTITUTE(E8124,",",""))+1</f>
        <v>2</v>
      </c>
      <c r="K8124" s="3" t="str">
        <f aca="false">IFERROR(INDEX('Teacher Lookup'!$B$2:$B$200,MATCH(A8124,'Teacher Lookup'!$A$2:$A$200,0)),"")</f>
        <v>CHUI Nicole</v>
      </c>
    </row>
    <row r="8125" customFormat="false" ht="15" hidden="false" customHeight="false" outlineLevel="0" collapsed="false">
      <c r="A8125" s="3" t="s">
        <v>490</v>
      </c>
      <c r="B8125" s="4" t="s">
        <v>65</v>
      </c>
      <c r="C8125" s="4" t="n">
        <v>1</v>
      </c>
      <c r="D8125" s="4" t="s">
        <v>56</v>
      </c>
      <c r="E8125" s="3" t="s">
        <v>495</v>
      </c>
      <c r="F8125" s="4" t="str">
        <f aca="false">IF(I8125&gt;J8125,"Y","N")</f>
        <v>N</v>
      </c>
      <c r="G8125" s="3" t="s">
        <v>492</v>
      </c>
      <c r="H8125" s="3" t="s">
        <v>16</v>
      </c>
      <c r="I8125" s="4" t="n">
        <v>2</v>
      </c>
      <c r="J8125" s="4" t="n">
        <f aca="false">LEN(E8125)-LEN(SUBSTITUTE(E8125,",",""))+1</f>
        <v>2</v>
      </c>
      <c r="K8125" s="3" t="str">
        <f aca="false">IFERROR(INDEX('Teacher Lookup'!$B$2:$B$200,MATCH(A8125,'Teacher Lookup'!$A$2:$A$200,0)),"")</f>
        <v>CHUI Nicole</v>
      </c>
    </row>
    <row r="8126" customFormat="false" ht="15" hidden="false" customHeight="false" outlineLevel="0" collapsed="false">
      <c r="A8126" s="3" t="s">
        <v>490</v>
      </c>
      <c r="B8126" s="4" t="s">
        <v>65</v>
      </c>
      <c r="C8126" s="4" t="n">
        <v>3</v>
      </c>
      <c r="D8126" s="4" t="s">
        <v>18</v>
      </c>
      <c r="E8126" s="3" t="s">
        <v>133</v>
      </c>
      <c r="F8126" s="4" t="str">
        <f aca="false">IF(I8126&gt;J8126,"Y","N")</f>
        <v>N</v>
      </c>
      <c r="G8126" s="3" t="s">
        <v>126</v>
      </c>
      <c r="H8126" s="3" t="s">
        <v>26</v>
      </c>
      <c r="I8126" s="4" t="n">
        <v>1</v>
      </c>
      <c r="J8126" s="4" t="n">
        <f aca="false">LEN(E8126)-LEN(SUBSTITUTE(E8126,",",""))+1</f>
        <v>1</v>
      </c>
      <c r="K8126" s="3" t="str">
        <f aca="false">IFERROR(INDEX('Teacher Lookup'!$B$2:$B$200,MATCH(A8126,'Teacher Lookup'!$A$2:$A$200,0)),"")</f>
        <v>CHUI Nicole</v>
      </c>
    </row>
    <row r="8127" customFormat="false" ht="15" hidden="false" customHeight="false" outlineLevel="0" collapsed="false">
      <c r="A8127" s="3" t="s">
        <v>490</v>
      </c>
      <c r="B8127" s="4" t="s">
        <v>65</v>
      </c>
      <c r="C8127" s="4" t="n">
        <v>4</v>
      </c>
      <c r="D8127" s="4" t="s">
        <v>24</v>
      </c>
      <c r="E8127" s="3" t="s">
        <v>282</v>
      </c>
      <c r="F8127" s="4" t="str">
        <f aca="false">IF(I8127&gt;J8127,"Y","N")</f>
        <v>Y</v>
      </c>
      <c r="G8127" s="3" t="s">
        <v>272</v>
      </c>
      <c r="H8127" s="3" t="s">
        <v>34</v>
      </c>
      <c r="I8127" s="4" t="n">
        <v>8</v>
      </c>
      <c r="J8127" s="4" t="n">
        <f aca="false">LEN(E8127)-LEN(SUBSTITUTE(E8127,",",""))+1</f>
        <v>7</v>
      </c>
      <c r="K8127" s="3" t="str">
        <f aca="false">IFERROR(INDEX('Teacher Lookup'!$B$2:$B$200,MATCH(A8127,'Teacher Lookup'!$A$2:$A$200,0)),"")</f>
        <v>CHUI Nicole</v>
      </c>
    </row>
    <row r="8128" customFormat="false" ht="15" hidden="false" customHeight="false" outlineLevel="0" collapsed="false">
      <c r="A8128" s="3" t="s">
        <v>490</v>
      </c>
      <c r="B8128" s="4" t="s">
        <v>65</v>
      </c>
      <c r="C8128" s="4" t="n">
        <v>4</v>
      </c>
      <c r="D8128" s="4" t="s">
        <v>27</v>
      </c>
      <c r="E8128" s="3" t="s">
        <v>282</v>
      </c>
      <c r="F8128" s="4" t="str">
        <f aca="false">IF(I8128&gt;J8128,"Y","N")</f>
        <v>Y</v>
      </c>
      <c r="G8128" s="3" t="s">
        <v>272</v>
      </c>
      <c r="H8128" s="3" t="s">
        <v>34</v>
      </c>
      <c r="I8128" s="4" t="n">
        <v>8</v>
      </c>
      <c r="J8128" s="4" t="n">
        <f aca="false">LEN(E8128)-LEN(SUBSTITUTE(E8128,",",""))+1</f>
        <v>7</v>
      </c>
      <c r="K8128" s="3" t="str">
        <f aca="false">IFERROR(INDEX('Teacher Lookup'!$B$2:$B$200,MATCH(A8128,'Teacher Lookup'!$A$2:$A$200,0)),"")</f>
        <v>CHUI Nicole</v>
      </c>
    </row>
    <row r="8129" customFormat="false" ht="15" hidden="false" customHeight="false" outlineLevel="0" collapsed="false">
      <c r="A8129" s="3" t="s">
        <v>490</v>
      </c>
      <c r="B8129" s="4" t="s">
        <v>65</v>
      </c>
      <c r="C8129" s="4" t="n">
        <v>4</v>
      </c>
      <c r="D8129" s="4" t="s">
        <v>28</v>
      </c>
      <c r="E8129" s="3" t="s">
        <v>282</v>
      </c>
      <c r="F8129" s="4" t="str">
        <f aca="false">IF(I8129&gt;J8129,"Y","N")</f>
        <v>Y</v>
      </c>
      <c r="G8129" s="3" t="s">
        <v>272</v>
      </c>
      <c r="H8129" s="3" t="s">
        <v>34</v>
      </c>
      <c r="I8129" s="4" t="n">
        <v>8</v>
      </c>
      <c r="J8129" s="4" t="n">
        <f aca="false">LEN(E8129)-LEN(SUBSTITUTE(E8129,",",""))+1</f>
        <v>7</v>
      </c>
      <c r="K8129" s="3" t="str">
        <f aca="false">IFERROR(INDEX('Teacher Lookup'!$B$2:$B$200,MATCH(A8129,'Teacher Lookup'!$A$2:$A$200,0)),"")</f>
        <v>CHUI Nicole</v>
      </c>
    </row>
    <row r="8130" customFormat="false" ht="15" hidden="false" customHeight="false" outlineLevel="0" collapsed="false">
      <c r="A8130" s="3" t="s">
        <v>490</v>
      </c>
      <c r="B8130" s="4" t="s">
        <v>65</v>
      </c>
      <c r="C8130" s="4" t="n">
        <v>4</v>
      </c>
      <c r="D8130" s="4" t="s">
        <v>29</v>
      </c>
      <c r="E8130" s="3" t="s">
        <v>282</v>
      </c>
      <c r="F8130" s="4" t="str">
        <f aca="false">IF(I8130&gt;J8130,"Y","N")</f>
        <v>Y</v>
      </c>
      <c r="G8130" s="3" t="s">
        <v>272</v>
      </c>
      <c r="H8130" s="3" t="s">
        <v>34</v>
      </c>
      <c r="I8130" s="4" t="n">
        <v>8</v>
      </c>
      <c r="J8130" s="4" t="n">
        <f aca="false">LEN(E8130)-LEN(SUBSTITUTE(E8130,",",""))+1</f>
        <v>7</v>
      </c>
      <c r="K8130" s="3" t="str">
        <f aca="false">IFERROR(INDEX('Teacher Lookup'!$B$2:$B$200,MATCH(A8130,'Teacher Lookup'!$A$2:$A$200,0)),"")</f>
        <v>CHUI Nicole</v>
      </c>
    </row>
    <row r="8131" customFormat="false" ht="15" hidden="false" customHeight="false" outlineLevel="0" collapsed="false">
      <c r="A8131" s="3" t="s">
        <v>490</v>
      </c>
      <c r="B8131" s="4" t="s">
        <v>65</v>
      </c>
      <c r="C8131" s="4" t="n">
        <v>4</v>
      </c>
      <c r="D8131" s="4" t="s">
        <v>30</v>
      </c>
      <c r="E8131" s="3" t="s">
        <v>282</v>
      </c>
      <c r="F8131" s="4" t="str">
        <f aca="false">IF(I8131&gt;J8131,"Y","N")</f>
        <v>Y</v>
      </c>
      <c r="G8131" s="3" t="s">
        <v>272</v>
      </c>
      <c r="H8131" s="3" t="s">
        <v>34</v>
      </c>
      <c r="I8131" s="4" t="n">
        <v>8</v>
      </c>
      <c r="J8131" s="4" t="n">
        <f aca="false">LEN(E8131)-LEN(SUBSTITUTE(E8131,",",""))+1</f>
        <v>7</v>
      </c>
      <c r="K8131" s="3" t="str">
        <f aca="false">IFERROR(INDEX('Teacher Lookup'!$B$2:$B$200,MATCH(A8131,'Teacher Lookup'!$A$2:$A$200,0)),"")</f>
        <v>CHUI Nicole</v>
      </c>
    </row>
    <row r="8132" customFormat="false" ht="15" hidden="false" customHeight="false" outlineLevel="0" collapsed="false">
      <c r="A8132" s="3" t="s">
        <v>490</v>
      </c>
      <c r="B8132" s="4" t="s">
        <v>65</v>
      </c>
      <c r="C8132" s="4" t="n">
        <v>5</v>
      </c>
      <c r="D8132" s="4" t="s">
        <v>52</v>
      </c>
      <c r="E8132" s="3" t="s">
        <v>112</v>
      </c>
      <c r="F8132" s="4" t="str">
        <f aca="false">IF(I8132&gt;J8132,"Y","N")</f>
        <v>Y</v>
      </c>
      <c r="G8132" s="3" t="s">
        <v>36</v>
      </c>
      <c r="H8132" s="3" t="s">
        <v>37</v>
      </c>
      <c r="I8132" s="4" t="n">
        <v>16</v>
      </c>
      <c r="J8132" s="4" t="n">
        <f aca="false">LEN(E8132)-LEN(SUBSTITUTE(E8132,",",""))+1</f>
        <v>7</v>
      </c>
      <c r="K8132" s="3" t="str">
        <f aca="false">IFERROR(INDEX('Teacher Lookup'!$B$2:$B$200,MATCH(A8132,'Teacher Lookup'!$A$2:$A$200,0)),"")</f>
        <v>CHUI Nicole</v>
      </c>
    </row>
    <row r="8133" customFormat="false" ht="15" hidden="false" customHeight="false" outlineLevel="0" collapsed="false">
      <c r="A8133" s="3" t="s">
        <v>490</v>
      </c>
      <c r="B8133" s="4" t="s">
        <v>65</v>
      </c>
      <c r="C8133" s="4" t="n">
        <v>5</v>
      </c>
      <c r="D8133" s="4" t="s">
        <v>55</v>
      </c>
      <c r="E8133" s="3" t="s">
        <v>112</v>
      </c>
      <c r="F8133" s="4" t="str">
        <f aca="false">IF(I8133&gt;J8133,"Y","N")</f>
        <v>Y</v>
      </c>
      <c r="G8133" s="3" t="s">
        <v>36</v>
      </c>
      <c r="H8133" s="3" t="s">
        <v>37</v>
      </c>
      <c r="I8133" s="4" t="n">
        <v>16</v>
      </c>
      <c r="J8133" s="4" t="n">
        <f aca="false">LEN(E8133)-LEN(SUBSTITUTE(E8133,",",""))+1</f>
        <v>7</v>
      </c>
      <c r="K8133" s="3" t="str">
        <f aca="false">IFERROR(INDEX('Teacher Lookup'!$B$2:$B$200,MATCH(A8133,'Teacher Lookup'!$A$2:$A$200,0)),"")</f>
        <v>CHUI Nicole</v>
      </c>
    </row>
    <row r="8134" customFormat="false" ht="15" hidden="false" customHeight="false" outlineLevel="0" collapsed="false">
      <c r="A8134" s="3" t="s">
        <v>490</v>
      </c>
      <c r="B8134" s="4" t="s">
        <v>65</v>
      </c>
      <c r="C8134" s="4" t="n">
        <v>5</v>
      </c>
      <c r="D8134" s="4" t="s">
        <v>56</v>
      </c>
      <c r="E8134" s="3" t="s">
        <v>112</v>
      </c>
      <c r="F8134" s="4" t="str">
        <f aca="false">IF(I8134&gt;J8134,"Y","N")</f>
        <v>Y</v>
      </c>
      <c r="G8134" s="3" t="s">
        <v>36</v>
      </c>
      <c r="H8134" s="3" t="s">
        <v>37</v>
      </c>
      <c r="I8134" s="4" t="n">
        <v>16</v>
      </c>
      <c r="J8134" s="4" t="n">
        <f aca="false">LEN(E8134)-LEN(SUBSTITUTE(E8134,",",""))+1</f>
        <v>7</v>
      </c>
      <c r="K8134" s="3" t="str">
        <f aca="false">IFERROR(INDEX('Teacher Lookup'!$B$2:$B$200,MATCH(A8134,'Teacher Lookup'!$A$2:$A$200,0)),"")</f>
        <v>CHUI Nicole</v>
      </c>
    </row>
    <row r="8135" customFormat="false" ht="15" hidden="false" customHeight="false" outlineLevel="0" collapsed="false">
      <c r="A8135" s="3" t="s">
        <v>490</v>
      </c>
      <c r="B8135" s="4" t="s">
        <v>65</v>
      </c>
      <c r="C8135" s="4" t="n">
        <v>5</v>
      </c>
      <c r="D8135" s="4" t="s">
        <v>57</v>
      </c>
      <c r="E8135" s="3" t="s">
        <v>112</v>
      </c>
      <c r="F8135" s="4" t="str">
        <f aca="false">IF(I8135&gt;J8135,"Y","N")</f>
        <v>Y</v>
      </c>
      <c r="G8135" s="3" t="s">
        <v>36</v>
      </c>
      <c r="H8135" s="3" t="s">
        <v>37</v>
      </c>
      <c r="I8135" s="4" t="n">
        <v>16</v>
      </c>
      <c r="J8135" s="4" t="n">
        <f aca="false">LEN(E8135)-LEN(SUBSTITUTE(E8135,",",""))+1</f>
        <v>7</v>
      </c>
      <c r="K8135" s="3" t="str">
        <f aca="false">IFERROR(INDEX('Teacher Lookup'!$B$2:$B$200,MATCH(A8135,'Teacher Lookup'!$A$2:$A$200,0)),"")</f>
        <v>CHUI Nicole</v>
      </c>
    </row>
    <row r="8136" customFormat="false" ht="15" hidden="false" customHeight="false" outlineLevel="0" collapsed="false">
      <c r="A8136" s="3" t="s">
        <v>490</v>
      </c>
      <c r="B8136" s="4" t="s">
        <v>65</v>
      </c>
      <c r="C8136" s="4" t="n">
        <v>5</v>
      </c>
      <c r="D8136" s="4" t="s">
        <v>58</v>
      </c>
      <c r="E8136" s="3" t="s">
        <v>112</v>
      </c>
      <c r="F8136" s="4" t="str">
        <f aca="false">IF(I8136&gt;J8136,"Y","N")</f>
        <v>Y</v>
      </c>
      <c r="G8136" s="3" t="s">
        <v>36</v>
      </c>
      <c r="H8136" s="3" t="s">
        <v>37</v>
      </c>
      <c r="I8136" s="4" t="n">
        <v>16</v>
      </c>
      <c r="J8136" s="4" t="n">
        <f aca="false">LEN(E8136)-LEN(SUBSTITUTE(E8136,",",""))+1</f>
        <v>7</v>
      </c>
      <c r="K8136" s="3" t="str">
        <f aca="false">IFERROR(INDEX('Teacher Lookup'!$B$2:$B$200,MATCH(A8136,'Teacher Lookup'!$A$2:$A$200,0)),"")</f>
        <v>CHUI Nicole</v>
      </c>
    </row>
    <row r="8137" customFormat="false" ht="15" hidden="false" customHeight="false" outlineLevel="0" collapsed="false">
      <c r="A8137" s="3" t="s">
        <v>490</v>
      </c>
      <c r="B8137" s="4" t="s">
        <v>65</v>
      </c>
      <c r="C8137" s="4" t="n">
        <v>5</v>
      </c>
      <c r="D8137" s="4" t="s">
        <v>59</v>
      </c>
      <c r="E8137" s="3" t="s">
        <v>112</v>
      </c>
      <c r="F8137" s="4" t="str">
        <f aca="false">IF(I8137&gt;J8137,"Y","N")</f>
        <v>Y</v>
      </c>
      <c r="G8137" s="3" t="s">
        <v>36</v>
      </c>
      <c r="H8137" s="3" t="s">
        <v>37</v>
      </c>
      <c r="I8137" s="4" t="n">
        <v>16</v>
      </c>
      <c r="J8137" s="4" t="n">
        <f aca="false">LEN(E8137)-LEN(SUBSTITUTE(E8137,",",""))+1</f>
        <v>7</v>
      </c>
      <c r="K8137" s="3" t="str">
        <f aca="false">IFERROR(INDEX('Teacher Lookup'!$B$2:$B$200,MATCH(A8137,'Teacher Lookup'!$A$2:$A$200,0)),"")</f>
        <v>CHUI Nicole</v>
      </c>
    </row>
    <row r="8138" customFormat="false" ht="15" hidden="false" customHeight="false" outlineLevel="0" collapsed="false">
      <c r="A8138" s="3" t="s">
        <v>490</v>
      </c>
      <c r="B8138" s="4" t="s">
        <v>66</v>
      </c>
      <c r="C8138" s="4" t="n">
        <v>1</v>
      </c>
      <c r="D8138" s="4" t="s">
        <v>73</v>
      </c>
      <c r="E8138" s="3" t="s">
        <v>311</v>
      </c>
      <c r="F8138" s="4" t="str">
        <f aca="false">IF(I8138&gt;J8138,"Y","N")</f>
        <v>N</v>
      </c>
      <c r="G8138" s="3" t="s">
        <v>312</v>
      </c>
      <c r="H8138" s="3" t="s">
        <v>16</v>
      </c>
      <c r="I8138" s="4" t="n">
        <v>1</v>
      </c>
      <c r="J8138" s="4" t="n">
        <f aca="false">LEN(E8138)-LEN(SUBSTITUTE(E8138,",",""))+1</f>
        <v>1</v>
      </c>
      <c r="K8138" s="3" t="str">
        <f aca="false">IFERROR(INDEX('Teacher Lookup'!$B$2:$B$200,MATCH(A8138,'Teacher Lookup'!$A$2:$A$200,0)),"")</f>
        <v>CHUI Nicole</v>
      </c>
    </row>
    <row r="8139" customFormat="false" ht="15" hidden="false" customHeight="false" outlineLevel="0" collapsed="false">
      <c r="A8139" s="3" t="s">
        <v>490</v>
      </c>
      <c r="B8139" s="4" t="s">
        <v>66</v>
      </c>
      <c r="C8139" s="4" t="n">
        <v>3</v>
      </c>
      <c r="D8139" s="4" t="s">
        <v>78</v>
      </c>
      <c r="E8139" s="3" t="s">
        <v>311</v>
      </c>
      <c r="F8139" s="4" t="str">
        <f aca="false">IF(I8139&gt;J8139,"Y","N")</f>
        <v>N</v>
      </c>
      <c r="G8139" s="3" t="s">
        <v>312</v>
      </c>
      <c r="H8139" s="3" t="s">
        <v>26</v>
      </c>
      <c r="I8139" s="4" t="n">
        <v>1</v>
      </c>
      <c r="J8139" s="4" t="n">
        <f aca="false">LEN(E8139)-LEN(SUBSTITUTE(E8139,",",""))+1</f>
        <v>1</v>
      </c>
      <c r="K8139" s="3" t="str">
        <f aca="false">IFERROR(INDEX('Teacher Lookup'!$B$2:$B$200,MATCH(A8139,'Teacher Lookup'!$A$2:$A$200,0)),"")</f>
        <v>CHUI Nicole</v>
      </c>
    </row>
    <row r="8140" customFormat="false" ht="15" hidden="false" customHeight="false" outlineLevel="0" collapsed="false">
      <c r="A8140" s="3" t="s">
        <v>490</v>
      </c>
      <c r="B8140" s="4" t="s">
        <v>66</v>
      </c>
      <c r="C8140" s="4" t="n">
        <v>7</v>
      </c>
      <c r="D8140" s="4" t="s">
        <v>56</v>
      </c>
      <c r="E8140" s="3" t="s">
        <v>494</v>
      </c>
      <c r="F8140" s="4" t="str">
        <f aca="false">IF(I8140&gt;J8140,"Y","N")</f>
        <v>N</v>
      </c>
      <c r="G8140" s="3" t="s">
        <v>492</v>
      </c>
      <c r="H8140" s="3" t="s">
        <v>39</v>
      </c>
      <c r="I8140" s="4" t="n">
        <v>2</v>
      </c>
      <c r="J8140" s="4" t="n">
        <f aca="false">LEN(E8140)-LEN(SUBSTITUTE(E8140,",",""))+1</f>
        <v>2</v>
      </c>
      <c r="K8140" s="3" t="str">
        <f aca="false">IFERROR(INDEX('Teacher Lookup'!$B$2:$B$200,MATCH(A8140,'Teacher Lookup'!$A$2:$A$200,0)),"")</f>
        <v>CHUI Nicole</v>
      </c>
    </row>
    <row r="8141" customFormat="false" ht="15" hidden="false" customHeight="false" outlineLevel="0" collapsed="false">
      <c r="A8141" s="3" t="s">
        <v>496</v>
      </c>
      <c r="B8141" s="4" t="s">
        <v>12</v>
      </c>
      <c r="C8141" s="4" t="n">
        <v>2</v>
      </c>
      <c r="D8141" s="4" t="s">
        <v>76</v>
      </c>
      <c r="E8141" s="3" t="s">
        <v>80</v>
      </c>
      <c r="F8141" s="4" t="str">
        <f aca="false">IF(I8141&gt;J8141,"Y","N")</f>
        <v>N</v>
      </c>
      <c r="G8141" s="3" t="s">
        <v>15</v>
      </c>
      <c r="H8141" s="3" t="s">
        <v>21</v>
      </c>
      <c r="I8141" s="4" t="n">
        <v>4</v>
      </c>
      <c r="J8141" s="4" t="n">
        <f aca="false">LEN(E8141)-LEN(SUBSTITUTE(E8141,",",""))+1</f>
        <v>4</v>
      </c>
      <c r="K8141" s="3" t="str">
        <f aca="false">IFERROR(INDEX('Teacher Lookup'!$B$2:$B$200,MATCH(A8141,'Teacher Lookup'!$A$2:$A$200,0)),"")</f>
        <v>FOK Phoebe</v>
      </c>
    </row>
    <row r="8142" customFormat="false" ht="15" hidden="false" customHeight="false" outlineLevel="0" collapsed="false">
      <c r="A8142" s="3" t="s">
        <v>496</v>
      </c>
      <c r="B8142" s="4" t="s">
        <v>12</v>
      </c>
      <c r="C8142" s="4" t="n">
        <v>2</v>
      </c>
      <c r="D8142" s="4" t="s">
        <v>78</v>
      </c>
      <c r="E8142" s="3" t="s">
        <v>80</v>
      </c>
      <c r="F8142" s="4" t="str">
        <f aca="false">IF(I8142&gt;J8142,"Y","N")</f>
        <v>N</v>
      </c>
      <c r="G8142" s="3" t="s">
        <v>15</v>
      </c>
      <c r="H8142" s="3" t="s">
        <v>21</v>
      </c>
      <c r="I8142" s="4" t="n">
        <v>4</v>
      </c>
      <c r="J8142" s="4" t="n">
        <f aca="false">LEN(E8142)-LEN(SUBSTITUTE(E8142,",",""))+1</f>
        <v>4</v>
      </c>
      <c r="K8142" s="3" t="str">
        <f aca="false">IFERROR(INDEX('Teacher Lookup'!$B$2:$B$200,MATCH(A8142,'Teacher Lookup'!$A$2:$A$200,0)),"")</f>
        <v>FOK Phoebe</v>
      </c>
    </row>
    <row r="8143" customFormat="false" ht="15" hidden="false" customHeight="false" outlineLevel="0" collapsed="false">
      <c r="A8143" s="3" t="s">
        <v>496</v>
      </c>
      <c r="B8143" s="4" t="s">
        <v>12</v>
      </c>
      <c r="C8143" s="4" t="n">
        <v>2</v>
      </c>
      <c r="D8143" s="4" t="s">
        <v>79</v>
      </c>
      <c r="E8143" s="3" t="s">
        <v>80</v>
      </c>
      <c r="F8143" s="4" t="str">
        <f aca="false">IF(I8143&gt;J8143,"Y","N")</f>
        <v>N</v>
      </c>
      <c r="G8143" s="3" t="s">
        <v>15</v>
      </c>
      <c r="H8143" s="3" t="s">
        <v>21</v>
      </c>
      <c r="I8143" s="4" t="n">
        <v>4</v>
      </c>
      <c r="J8143" s="4" t="n">
        <f aca="false">LEN(E8143)-LEN(SUBSTITUTE(E8143,",",""))+1</f>
        <v>4</v>
      </c>
      <c r="K8143" s="3" t="str">
        <f aca="false">IFERROR(INDEX('Teacher Lookup'!$B$2:$B$200,MATCH(A8143,'Teacher Lookup'!$A$2:$A$200,0)),"")</f>
        <v>FOK Phoebe</v>
      </c>
    </row>
    <row r="8144" customFormat="false" ht="15" hidden="false" customHeight="false" outlineLevel="0" collapsed="false">
      <c r="A8144" s="3" t="s">
        <v>496</v>
      </c>
      <c r="B8144" s="4" t="s">
        <v>12</v>
      </c>
      <c r="C8144" s="4" t="n">
        <v>3</v>
      </c>
      <c r="D8144" s="4" t="s">
        <v>24</v>
      </c>
      <c r="E8144" s="3" t="s">
        <v>25</v>
      </c>
      <c r="F8144" s="4" t="str">
        <f aca="false">IF(I8144&gt;J8144,"Y","N")</f>
        <v>N</v>
      </c>
      <c r="G8144" s="3" t="s">
        <v>15</v>
      </c>
      <c r="H8144" s="3" t="s">
        <v>26</v>
      </c>
      <c r="I8144" s="4" t="n">
        <v>6</v>
      </c>
      <c r="J8144" s="4" t="n">
        <f aca="false">LEN(E8144)-LEN(SUBSTITUTE(E8144,",",""))+1</f>
        <v>6</v>
      </c>
      <c r="K8144" s="3" t="str">
        <f aca="false">IFERROR(INDEX('Teacher Lookup'!$B$2:$B$200,MATCH(A8144,'Teacher Lookup'!$A$2:$A$200,0)),"")</f>
        <v>FOK Phoebe</v>
      </c>
    </row>
    <row r="8145" customFormat="false" ht="15" hidden="false" customHeight="false" outlineLevel="0" collapsed="false">
      <c r="A8145" s="3" t="s">
        <v>496</v>
      </c>
      <c r="B8145" s="4" t="s">
        <v>12</v>
      </c>
      <c r="C8145" s="4" t="n">
        <v>3</v>
      </c>
      <c r="D8145" s="4" t="s">
        <v>27</v>
      </c>
      <c r="E8145" s="3" t="s">
        <v>25</v>
      </c>
      <c r="F8145" s="4" t="str">
        <f aca="false">IF(I8145&gt;J8145,"Y","N")</f>
        <v>N</v>
      </c>
      <c r="G8145" s="3" t="s">
        <v>15</v>
      </c>
      <c r="H8145" s="3" t="s">
        <v>26</v>
      </c>
      <c r="I8145" s="4" t="n">
        <v>6</v>
      </c>
      <c r="J8145" s="4" t="n">
        <f aca="false">LEN(E8145)-LEN(SUBSTITUTE(E8145,",",""))+1</f>
        <v>6</v>
      </c>
      <c r="K8145" s="3" t="str">
        <f aca="false">IFERROR(INDEX('Teacher Lookup'!$B$2:$B$200,MATCH(A8145,'Teacher Lookup'!$A$2:$A$200,0)),"")</f>
        <v>FOK Phoebe</v>
      </c>
    </row>
    <row r="8146" customFormat="false" ht="15" hidden="false" customHeight="false" outlineLevel="0" collapsed="false">
      <c r="A8146" s="3" t="s">
        <v>496</v>
      </c>
      <c r="B8146" s="4" t="s">
        <v>12</v>
      </c>
      <c r="C8146" s="4" t="n">
        <v>3</v>
      </c>
      <c r="D8146" s="4" t="s">
        <v>28</v>
      </c>
      <c r="E8146" s="3" t="s">
        <v>25</v>
      </c>
      <c r="F8146" s="4" t="str">
        <f aca="false">IF(I8146&gt;J8146,"Y","N")</f>
        <v>N</v>
      </c>
      <c r="G8146" s="3" t="s">
        <v>15</v>
      </c>
      <c r="H8146" s="3" t="s">
        <v>26</v>
      </c>
      <c r="I8146" s="4" t="n">
        <v>6</v>
      </c>
      <c r="J8146" s="4" t="n">
        <f aca="false">LEN(E8146)-LEN(SUBSTITUTE(E8146,",",""))+1</f>
        <v>6</v>
      </c>
      <c r="K8146" s="3" t="str">
        <f aca="false">IFERROR(INDEX('Teacher Lookup'!$B$2:$B$200,MATCH(A8146,'Teacher Lookup'!$A$2:$A$200,0)),"")</f>
        <v>FOK Phoebe</v>
      </c>
    </row>
    <row r="8147" customFormat="false" ht="15" hidden="false" customHeight="false" outlineLevel="0" collapsed="false">
      <c r="A8147" s="3" t="s">
        <v>496</v>
      </c>
      <c r="B8147" s="4" t="s">
        <v>12</v>
      </c>
      <c r="C8147" s="4" t="n">
        <v>3</v>
      </c>
      <c r="D8147" s="4" t="s">
        <v>29</v>
      </c>
      <c r="E8147" s="3" t="s">
        <v>25</v>
      </c>
      <c r="F8147" s="4" t="str">
        <f aca="false">IF(I8147&gt;J8147,"Y","N")</f>
        <v>N</v>
      </c>
      <c r="G8147" s="3" t="s">
        <v>15</v>
      </c>
      <c r="H8147" s="3" t="s">
        <v>26</v>
      </c>
      <c r="I8147" s="4" t="n">
        <v>6</v>
      </c>
      <c r="J8147" s="4" t="n">
        <f aca="false">LEN(E8147)-LEN(SUBSTITUTE(E8147,",",""))+1</f>
        <v>6</v>
      </c>
      <c r="K8147" s="3" t="str">
        <f aca="false">IFERROR(INDEX('Teacher Lookup'!$B$2:$B$200,MATCH(A8147,'Teacher Lookup'!$A$2:$A$200,0)),"")</f>
        <v>FOK Phoebe</v>
      </c>
    </row>
    <row r="8148" customFormat="false" ht="15" hidden="false" customHeight="false" outlineLevel="0" collapsed="false">
      <c r="A8148" s="3" t="s">
        <v>496</v>
      </c>
      <c r="B8148" s="4" t="s">
        <v>12</v>
      </c>
      <c r="C8148" s="4" t="n">
        <v>3</v>
      </c>
      <c r="D8148" s="4" t="s">
        <v>30</v>
      </c>
      <c r="E8148" s="3" t="s">
        <v>25</v>
      </c>
      <c r="F8148" s="4" t="str">
        <f aca="false">IF(I8148&gt;J8148,"Y","N")</f>
        <v>N</v>
      </c>
      <c r="G8148" s="3" t="s">
        <v>15</v>
      </c>
      <c r="H8148" s="3" t="s">
        <v>26</v>
      </c>
      <c r="I8148" s="4" t="n">
        <v>6</v>
      </c>
      <c r="J8148" s="4" t="n">
        <f aca="false">LEN(E8148)-LEN(SUBSTITUTE(E8148,",",""))+1</f>
        <v>6</v>
      </c>
      <c r="K8148" s="3" t="str">
        <f aca="false">IFERROR(INDEX('Teacher Lookup'!$B$2:$B$200,MATCH(A8148,'Teacher Lookup'!$A$2:$A$200,0)),"")</f>
        <v>FOK Phoebe</v>
      </c>
    </row>
    <row r="8149" customFormat="false" ht="15" hidden="false" customHeight="false" outlineLevel="0" collapsed="false">
      <c r="A8149" s="3" t="s">
        <v>496</v>
      </c>
      <c r="B8149" s="4" t="s">
        <v>12</v>
      </c>
      <c r="C8149" s="4" t="n">
        <v>4</v>
      </c>
      <c r="D8149" s="4" t="s">
        <v>19</v>
      </c>
      <c r="E8149" s="3" t="s">
        <v>390</v>
      </c>
      <c r="F8149" s="4" t="str">
        <f aca="false">IF(I8149&gt;J8149,"Y","N")</f>
        <v>Y</v>
      </c>
      <c r="G8149" s="3" t="s">
        <v>222</v>
      </c>
      <c r="H8149" s="3" t="s">
        <v>34</v>
      </c>
      <c r="I8149" s="4" t="n">
        <v>14</v>
      </c>
      <c r="J8149" s="4" t="n">
        <f aca="false">LEN(E8149)-LEN(SUBSTITUTE(E8149,",",""))+1</f>
        <v>7</v>
      </c>
      <c r="K8149" s="3" t="str">
        <f aca="false">IFERROR(INDEX('Teacher Lookup'!$B$2:$B$200,MATCH(A8149,'Teacher Lookup'!$A$2:$A$200,0)),"")</f>
        <v>FOK Phoebe</v>
      </c>
    </row>
    <row r="8150" customFormat="false" ht="15" hidden="false" customHeight="false" outlineLevel="0" collapsed="false">
      <c r="A8150" s="3" t="s">
        <v>496</v>
      </c>
      <c r="B8150" s="4" t="s">
        <v>12</v>
      </c>
      <c r="C8150" s="4" t="n">
        <v>4</v>
      </c>
      <c r="D8150" s="4" t="s">
        <v>22</v>
      </c>
      <c r="E8150" s="3" t="s">
        <v>390</v>
      </c>
      <c r="F8150" s="4" t="str">
        <f aca="false">IF(I8150&gt;J8150,"Y","N")</f>
        <v>Y</v>
      </c>
      <c r="G8150" s="3" t="s">
        <v>222</v>
      </c>
      <c r="H8150" s="3" t="s">
        <v>34</v>
      </c>
      <c r="I8150" s="4" t="n">
        <v>14</v>
      </c>
      <c r="J8150" s="4" t="n">
        <f aca="false">LEN(E8150)-LEN(SUBSTITUTE(E8150,",",""))+1</f>
        <v>7</v>
      </c>
      <c r="K8150" s="3" t="str">
        <f aca="false">IFERROR(INDEX('Teacher Lookup'!$B$2:$B$200,MATCH(A8150,'Teacher Lookup'!$A$2:$A$200,0)),"")</f>
        <v>FOK Phoebe</v>
      </c>
    </row>
    <row r="8151" customFormat="false" ht="15" hidden="false" customHeight="false" outlineLevel="0" collapsed="false">
      <c r="A8151" s="3" t="s">
        <v>496</v>
      </c>
      <c r="B8151" s="4" t="s">
        <v>12</v>
      </c>
      <c r="C8151" s="4" t="n">
        <v>4</v>
      </c>
      <c r="D8151" s="4" t="s">
        <v>23</v>
      </c>
      <c r="E8151" s="3" t="s">
        <v>390</v>
      </c>
      <c r="F8151" s="4" t="str">
        <f aca="false">IF(I8151&gt;J8151,"Y","N")</f>
        <v>Y</v>
      </c>
      <c r="G8151" s="3" t="s">
        <v>222</v>
      </c>
      <c r="H8151" s="3" t="s">
        <v>34</v>
      </c>
      <c r="I8151" s="4" t="n">
        <v>14</v>
      </c>
      <c r="J8151" s="4" t="n">
        <f aca="false">LEN(E8151)-LEN(SUBSTITUTE(E8151,",",""))+1</f>
        <v>7</v>
      </c>
      <c r="K8151" s="3" t="str">
        <f aca="false">IFERROR(INDEX('Teacher Lookup'!$B$2:$B$200,MATCH(A8151,'Teacher Lookup'!$A$2:$A$200,0)),"")</f>
        <v>FOK Phoebe</v>
      </c>
    </row>
    <row r="8152" customFormat="false" ht="15" hidden="false" customHeight="false" outlineLevel="0" collapsed="false">
      <c r="A8152" s="3" t="s">
        <v>496</v>
      </c>
      <c r="B8152" s="4" t="s">
        <v>12</v>
      </c>
      <c r="C8152" s="4" t="n">
        <v>4</v>
      </c>
      <c r="D8152" s="4" t="s">
        <v>13</v>
      </c>
      <c r="E8152" s="3" t="s">
        <v>390</v>
      </c>
      <c r="F8152" s="4" t="str">
        <f aca="false">IF(I8152&gt;J8152,"Y","N")</f>
        <v>Y</v>
      </c>
      <c r="G8152" s="3" t="s">
        <v>222</v>
      </c>
      <c r="H8152" s="3" t="s">
        <v>34</v>
      </c>
      <c r="I8152" s="4" t="n">
        <v>14</v>
      </c>
      <c r="J8152" s="4" t="n">
        <f aca="false">LEN(E8152)-LEN(SUBSTITUTE(E8152,",",""))+1</f>
        <v>7</v>
      </c>
      <c r="K8152" s="3" t="str">
        <f aca="false">IFERROR(INDEX('Teacher Lookup'!$B$2:$B$200,MATCH(A8152,'Teacher Lookup'!$A$2:$A$200,0)),"")</f>
        <v>FOK Phoebe</v>
      </c>
    </row>
    <row r="8153" customFormat="false" ht="15" hidden="false" customHeight="false" outlineLevel="0" collapsed="false">
      <c r="A8153" s="3" t="s">
        <v>496</v>
      </c>
      <c r="B8153" s="4" t="s">
        <v>12</v>
      </c>
      <c r="C8153" s="4" t="n">
        <v>4</v>
      </c>
      <c r="D8153" s="4" t="s">
        <v>17</v>
      </c>
      <c r="E8153" s="3" t="s">
        <v>390</v>
      </c>
      <c r="F8153" s="4" t="str">
        <f aca="false">IF(I8153&gt;J8153,"Y","N")</f>
        <v>Y</v>
      </c>
      <c r="G8153" s="3" t="s">
        <v>222</v>
      </c>
      <c r="H8153" s="3" t="s">
        <v>34</v>
      </c>
      <c r="I8153" s="4" t="n">
        <v>14</v>
      </c>
      <c r="J8153" s="4" t="n">
        <f aca="false">LEN(E8153)-LEN(SUBSTITUTE(E8153,",",""))+1</f>
        <v>7</v>
      </c>
      <c r="K8153" s="3" t="str">
        <f aca="false">IFERROR(INDEX('Teacher Lookup'!$B$2:$B$200,MATCH(A8153,'Teacher Lookup'!$A$2:$A$200,0)),"")</f>
        <v>FOK Phoebe</v>
      </c>
    </row>
    <row r="8154" customFormat="false" ht="15" hidden="false" customHeight="false" outlineLevel="0" collapsed="false">
      <c r="A8154" s="3" t="s">
        <v>496</v>
      </c>
      <c r="B8154" s="4" t="s">
        <v>12</v>
      </c>
      <c r="C8154" s="4" t="n">
        <v>4</v>
      </c>
      <c r="D8154" s="4" t="s">
        <v>18</v>
      </c>
      <c r="E8154" s="3" t="s">
        <v>390</v>
      </c>
      <c r="F8154" s="4" t="str">
        <f aca="false">IF(I8154&gt;J8154,"Y","N")</f>
        <v>Y</v>
      </c>
      <c r="G8154" s="3" t="s">
        <v>222</v>
      </c>
      <c r="H8154" s="3" t="s">
        <v>34</v>
      </c>
      <c r="I8154" s="4" t="n">
        <v>14</v>
      </c>
      <c r="J8154" s="4" t="n">
        <f aca="false">LEN(E8154)-LEN(SUBSTITUTE(E8154,",",""))+1</f>
        <v>7</v>
      </c>
      <c r="K8154" s="3" t="str">
        <f aca="false">IFERROR(INDEX('Teacher Lookup'!$B$2:$B$200,MATCH(A8154,'Teacher Lookup'!$A$2:$A$200,0)),"")</f>
        <v>FOK Phoebe</v>
      </c>
    </row>
    <row r="8155" customFormat="false" ht="15" hidden="false" customHeight="false" outlineLevel="0" collapsed="false">
      <c r="A8155" s="3" t="s">
        <v>496</v>
      </c>
      <c r="B8155" s="4" t="s">
        <v>12</v>
      </c>
      <c r="C8155" s="4" t="n">
        <v>5</v>
      </c>
      <c r="D8155" s="4" t="s">
        <v>19</v>
      </c>
      <c r="E8155" s="3" t="s">
        <v>390</v>
      </c>
      <c r="F8155" s="4" t="str">
        <f aca="false">IF(I8155&gt;J8155,"Y","N")</f>
        <v>Y</v>
      </c>
      <c r="G8155" s="3" t="s">
        <v>222</v>
      </c>
      <c r="H8155" s="3" t="s">
        <v>37</v>
      </c>
      <c r="I8155" s="4" t="n">
        <v>14</v>
      </c>
      <c r="J8155" s="4" t="n">
        <f aca="false">LEN(E8155)-LEN(SUBSTITUTE(E8155,",",""))+1</f>
        <v>7</v>
      </c>
      <c r="K8155" s="3" t="str">
        <f aca="false">IFERROR(INDEX('Teacher Lookup'!$B$2:$B$200,MATCH(A8155,'Teacher Lookup'!$A$2:$A$200,0)),"")</f>
        <v>FOK Phoebe</v>
      </c>
    </row>
    <row r="8156" customFormat="false" ht="15" hidden="false" customHeight="false" outlineLevel="0" collapsed="false">
      <c r="A8156" s="3" t="s">
        <v>496</v>
      </c>
      <c r="B8156" s="4" t="s">
        <v>12</v>
      </c>
      <c r="C8156" s="4" t="n">
        <v>5</v>
      </c>
      <c r="D8156" s="4" t="s">
        <v>22</v>
      </c>
      <c r="E8156" s="3" t="s">
        <v>390</v>
      </c>
      <c r="F8156" s="4" t="str">
        <f aca="false">IF(I8156&gt;J8156,"Y","N")</f>
        <v>Y</v>
      </c>
      <c r="G8156" s="3" t="s">
        <v>222</v>
      </c>
      <c r="H8156" s="3" t="s">
        <v>37</v>
      </c>
      <c r="I8156" s="4" t="n">
        <v>14</v>
      </c>
      <c r="J8156" s="4" t="n">
        <f aca="false">LEN(E8156)-LEN(SUBSTITUTE(E8156,",",""))+1</f>
        <v>7</v>
      </c>
      <c r="K8156" s="3" t="str">
        <f aca="false">IFERROR(INDEX('Teacher Lookup'!$B$2:$B$200,MATCH(A8156,'Teacher Lookup'!$A$2:$A$200,0)),"")</f>
        <v>FOK Phoebe</v>
      </c>
    </row>
    <row r="8157" customFormat="false" ht="15" hidden="false" customHeight="false" outlineLevel="0" collapsed="false">
      <c r="A8157" s="3" t="s">
        <v>496</v>
      </c>
      <c r="B8157" s="4" t="s">
        <v>12</v>
      </c>
      <c r="C8157" s="4" t="n">
        <v>5</v>
      </c>
      <c r="D8157" s="4" t="s">
        <v>23</v>
      </c>
      <c r="E8157" s="3" t="s">
        <v>390</v>
      </c>
      <c r="F8157" s="4" t="str">
        <f aca="false">IF(I8157&gt;J8157,"Y","N")</f>
        <v>Y</v>
      </c>
      <c r="G8157" s="3" t="s">
        <v>222</v>
      </c>
      <c r="H8157" s="3" t="s">
        <v>37</v>
      </c>
      <c r="I8157" s="4" t="n">
        <v>14</v>
      </c>
      <c r="J8157" s="4" t="n">
        <f aca="false">LEN(E8157)-LEN(SUBSTITUTE(E8157,",",""))+1</f>
        <v>7</v>
      </c>
      <c r="K8157" s="3" t="str">
        <f aca="false">IFERROR(INDEX('Teacher Lookup'!$B$2:$B$200,MATCH(A8157,'Teacher Lookup'!$A$2:$A$200,0)),"")</f>
        <v>FOK Phoebe</v>
      </c>
    </row>
    <row r="8158" customFormat="false" ht="15" hidden="false" customHeight="false" outlineLevel="0" collapsed="false">
      <c r="A8158" s="3" t="s">
        <v>496</v>
      </c>
      <c r="B8158" s="4" t="s">
        <v>12</v>
      </c>
      <c r="C8158" s="4" t="n">
        <v>5</v>
      </c>
      <c r="D8158" s="4" t="s">
        <v>13</v>
      </c>
      <c r="E8158" s="3" t="s">
        <v>390</v>
      </c>
      <c r="F8158" s="4" t="str">
        <f aca="false">IF(I8158&gt;J8158,"Y","N")</f>
        <v>Y</v>
      </c>
      <c r="G8158" s="3" t="s">
        <v>222</v>
      </c>
      <c r="H8158" s="3" t="s">
        <v>37</v>
      </c>
      <c r="I8158" s="4" t="n">
        <v>14</v>
      </c>
      <c r="J8158" s="4" t="n">
        <f aca="false">LEN(E8158)-LEN(SUBSTITUTE(E8158,",",""))+1</f>
        <v>7</v>
      </c>
      <c r="K8158" s="3" t="str">
        <f aca="false">IFERROR(INDEX('Teacher Lookup'!$B$2:$B$200,MATCH(A8158,'Teacher Lookup'!$A$2:$A$200,0)),"")</f>
        <v>FOK Phoebe</v>
      </c>
    </row>
    <row r="8159" customFormat="false" ht="15" hidden="false" customHeight="false" outlineLevel="0" collapsed="false">
      <c r="A8159" s="3" t="s">
        <v>496</v>
      </c>
      <c r="B8159" s="4" t="s">
        <v>12</v>
      </c>
      <c r="C8159" s="4" t="n">
        <v>5</v>
      </c>
      <c r="D8159" s="4" t="s">
        <v>17</v>
      </c>
      <c r="E8159" s="3" t="s">
        <v>390</v>
      </c>
      <c r="F8159" s="4" t="str">
        <f aca="false">IF(I8159&gt;J8159,"Y","N")</f>
        <v>Y</v>
      </c>
      <c r="G8159" s="3" t="s">
        <v>222</v>
      </c>
      <c r="H8159" s="3" t="s">
        <v>37</v>
      </c>
      <c r="I8159" s="4" t="n">
        <v>14</v>
      </c>
      <c r="J8159" s="4" t="n">
        <f aca="false">LEN(E8159)-LEN(SUBSTITUTE(E8159,",",""))+1</f>
        <v>7</v>
      </c>
      <c r="K8159" s="3" t="str">
        <f aca="false">IFERROR(INDEX('Teacher Lookup'!$B$2:$B$200,MATCH(A8159,'Teacher Lookup'!$A$2:$A$200,0)),"")</f>
        <v>FOK Phoebe</v>
      </c>
    </row>
    <row r="8160" customFormat="false" ht="15" hidden="false" customHeight="false" outlineLevel="0" collapsed="false">
      <c r="A8160" s="3" t="s">
        <v>496</v>
      </c>
      <c r="B8160" s="4" t="s">
        <v>12</v>
      </c>
      <c r="C8160" s="4" t="n">
        <v>5</v>
      </c>
      <c r="D8160" s="4" t="s">
        <v>18</v>
      </c>
      <c r="E8160" s="3" t="s">
        <v>390</v>
      </c>
      <c r="F8160" s="4" t="str">
        <f aca="false">IF(I8160&gt;J8160,"Y","N")</f>
        <v>Y</v>
      </c>
      <c r="G8160" s="3" t="s">
        <v>222</v>
      </c>
      <c r="H8160" s="3" t="s">
        <v>37</v>
      </c>
      <c r="I8160" s="4" t="n">
        <v>14</v>
      </c>
      <c r="J8160" s="4" t="n">
        <f aca="false">LEN(E8160)-LEN(SUBSTITUTE(E8160,",",""))+1</f>
        <v>7</v>
      </c>
      <c r="K8160" s="3" t="str">
        <f aca="false">IFERROR(INDEX('Teacher Lookup'!$B$2:$B$200,MATCH(A8160,'Teacher Lookup'!$A$2:$A$200,0)),"")</f>
        <v>FOK Phoebe</v>
      </c>
    </row>
    <row r="8161" customFormat="false" ht="15" hidden="false" customHeight="false" outlineLevel="0" collapsed="false">
      <c r="A8161" s="3" t="s">
        <v>496</v>
      </c>
      <c r="B8161" s="4" t="s">
        <v>12</v>
      </c>
      <c r="C8161" s="4" t="n">
        <v>7</v>
      </c>
      <c r="D8161" s="4" t="s">
        <v>70</v>
      </c>
      <c r="E8161" s="3" t="s">
        <v>217</v>
      </c>
      <c r="F8161" s="4" t="str">
        <f aca="false">IF(I8161&gt;J8161,"Y","N")</f>
        <v>N</v>
      </c>
      <c r="G8161" s="3" t="s">
        <v>15</v>
      </c>
      <c r="H8161" s="3" t="s">
        <v>39</v>
      </c>
      <c r="I8161" s="4" t="n">
        <v>4</v>
      </c>
      <c r="J8161" s="4" t="n">
        <f aca="false">LEN(E8161)-LEN(SUBSTITUTE(E8161,",",""))+1</f>
        <v>4</v>
      </c>
      <c r="K8161" s="3" t="str">
        <f aca="false">IFERROR(INDEX('Teacher Lookup'!$B$2:$B$200,MATCH(A8161,'Teacher Lookup'!$A$2:$A$200,0)),"")</f>
        <v>FOK Phoebe</v>
      </c>
    </row>
    <row r="8162" customFormat="false" ht="15" hidden="false" customHeight="false" outlineLevel="0" collapsed="false">
      <c r="A8162" s="3" t="s">
        <v>496</v>
      </c>
      <c r="B8162" s="4" t="s">
        <v>12</v>
      </c>
      <c r="C8162" s="4" t="n">
        <v>7</v>
      </c>
      <c r="D8162" s="4" t="s">
        <v>73</v>
      </c>
      <c r="E8162" s="3" t="s">
        <v>217</v>
      </c>
      <c r="F8162" s="4" t="str">
        <f aca="false">IF(I8162&gt;J8162,"Y","N")</f>
        <v>N</v>
      </c>
      <c r="G8162" s="3" t="s">
        <v>15</v>
      </c>
      <c r="H8162" s="3" t="s">
        <v>39</v>
      </c>
      <c r="I8162" s="4" t="n">
        <v>4</v>
      </c>
      <c r="J8162" s="4" t="n">
        <f aca="false">LEN(E8162)-LEN(SUBSTITUTE(E8162,",",""))+1</f>
        <v>4</v>
      </c>
      <c r="K8162" s="3" t="str">
        <f aca="false">IFERROR(INDEX('Teacher Lookup'!$B$2:$B$200,MATCH(A8162,'Teacher Lookup'!$A$2:$A$200,0)),"")</f>
        <v>FOK Phoebe</v>
      </c>
    </row>
    <row r="8163" customFormat="false" ht="15" hidden="false" customHeight="false" outlineLevel="0" collapsed="false">
      <c r="A8163" s="3" t="s">
        <v>496</v>
      </c>
      <c r="B8163" s="4" t="s">
        <v>12</v>
      </c>
      <c r="C8163" s="4" t="n">
        <v>7</v>
      </c>
      <c r="D8163" s="4" t="s">
        <v>74</v>
      </c>
      <c r="E8163" s="3" t="s">
        <v>217</v>
      </c>
      <c r="F8163" s="4" t="str">
        <f aca="false">IF(I8163&gt;J8163,"Y","N")</f>
        <v>N</v>
      </c>
      <c r="G8163" s="3" t="s">
        <v>15</v>
      </c>
      <c r="H8163" s="3" t="s">
        <v>39</v>
      </c>
      <c r="I8163" s="4" t="n">
        <v>4</v>
      </c>
      <c r="J8163" s="4" t="n">
        <f aca="false">LEN(E8163)-LEN(SUBSTITUTE(E8163,",",""))+1</f>
        <v>4</v>
      </c>
      <c r="K8163" s="3" t="str">
        <f aca="false">IFERROR(INDEX('Teacher Lookup'!$B$2:$B$200,MATCH(A8163,'Teacher Lookup'!$A$2:$A$200,0)),"")</f>
        <v>FOK Phoebe</v>
      </c>
    </row>
    <row r="8164" customFormat="false" ht="15" hidden="false" customHeight="false" outlineLevel="0" collapsed="false">
      <c r="A8164" s="3" t="s">
        <v>496</v>
      </c>
      <c r="B8164" s="4" t="s">
        <v>31</v>
      </c>
      <c r="C8164" s="4" t="n">
        <v>3</v>
      </c>
      <c r="D8164" s="4" t="s">
        <v>70</v>
      </c>
      <c r="E8164" s="3" t="s">
        <v>218</v>
      </c>
      <c r="F8164" s="4" t="str">
        <f aca="false">IF(I8164&gt;J8164,"Y","N")</f>
        <v>N</v>
      </c>
      <c r="G8164" s="3" t="s">
        <v>15</v>
      </c>
      <c r="H8164" s="3" t="s">
        <v>26</v>
      </c>
      <c r="I8164" s="4" t="n">
        <v>4</v>
      </c>
      <c r="J8164" s="4" t="n">
        <f aca="false">LEN(E8164)-LEN(SUBSTITUTE(E8164,",",""))+1</f>
        <v>4</v>
      </c>
      <c r="K8164" s="3" t="str">
        <f aca="false">IFERROR(INDEX('Teacher Lookup'!$B$2:$B$200,MATCH(A8164,'Teacher Lookup'!$A$2:$A$200,0)),"")</f>
        <v>FOK Phoebe</v>
      </c>
    </row>
    <row r="8165" customFormat="false" ht="15" hidden="false" customHeight="false" outlineLevel="0" collapsed="false">
      <c r="A8165" s="3" t="s">
        <v>496</v>
      </c>
      <c r="B8165" s="4" t="s">
        <v>31</v>
      </c>
      <c r="C8165" s="4" t="n">
        <v>3</v>
      </c>
      <c r="D8165" s="4" t="s">
        <v>73</v>
      </c>
      <c r="E8165" s="3" t="s">
        <v>218</v>
      </c>
      <c r="F8165" s="4" t="str">
        <f aca="false">IF(I8165&gt;J8165,"Y","N")</f>
        <v>N</v>
      </c>
      <c r="G8165" s="3" t="s">
        <v>15</v>
      </c>
      <c r="H8165" s="3" t="s">
        <v>26</v>
      </c>
      <c r="I8165" s="4" t="n">
        <v>4</v>
      </c>
      <c r="J8165" s="4" t="n">
        <f aca="false">LEN(E8165)-LEN(SUBSTITUTE(E8165,",",""))+1</f>
        <v>4</v>
      </c>
      <c r="K8165" s="3" t="str">
        <f aca="false">IFERROR(INDEX('Teacher Lookup'!$B$2:$B$200,MATCH(A8165,'Teacher Lookup'!$A$2:$A$200,0)),"")</f>
        <v>FOK Phoebe</v>
      </c>
    </row>
    <row r="8166" customFormat="false" ht="15" hidden="false" customHeight="false" outlineLevel="0" collapsed="false">
      <c r="A8166" s="3" t="s">
        <v>496</v>
      </c>
      <c r="B8166" s="4" t="s">
        <v>31</v>
      </c>
      <c r="C8166" s="4" t="n">
        <v>3</v>
      </c>
      <c r="D8166" s="4" t="s">
        <v>74</v>
      </c>
      <c r="E8166" s="3" t="s">
        <v>218</v>
      </c>
      <c r="F8166" s="4" t="str">
        <f aca="false">IF(I8166&gt;J8166,"Y","N")</f>
        <v>N</v>
      </c>
      <c r="G8166" s="3" t="s">
        <v>15</v>
      </c>
      <c r="H8166" s="3" t="s">
        <v>26</v>
      </c>
      <c r="I8166" s="4" t="n">
        <v>4</v>
      </c>
      <c r="J8166" s="4" t="n">
        <f aca="false">LEN(E8166)-LEN(SUBSTITUTE(E8166,",",""))+1</f>
        <v>4</v>
      </c>
      <c r="K8166" s="3" t="str">
        <f aca="false">IFERROR(INDEX('Teacher Lookup'!$B$2:$B$200,MATCH(A8166,'Teacher Lookup'!$A$2:$A$200,0)),"")</f>
        <v>FOK Phoebe</v>
      </c>
    </row>
    <row r="8167" customFormat="false" ht="15" hidden="false" customHeight="false" outlineLevel="0" collapsed="false">
      <c r="A8167" s="3" t="s">
        <v>496</v>
      </c>
      <c r="B8167" s="4" t="s">
        <v>31</v>
      </c>
      <c r="C8167" s="4" t="n">
        <v>5</v>
      </c>
      <c r="D8167" s="4" t="s">
        <v>70</v>
      </c>
      <c r="E8167" s="3" t="s">
        <v>81</v>
      </c>
      <c r="F8167" s="4" t="str">
        <f aca="false">IF(I8167&gt;J8167,"Y","N")</f>
        <v>Y</v>
      </c>
      <c r="G8167" s="3" t="s">
        <v>36</v>
      </c>
      <c r="H8167" s="3" t="s">
        <v>37</v>
      </c>
      <c r="I8167" s="4" t="n">
        <v>15</v>
      </c>
      <c r="J8167" s="4" t="n">
        <f aca="false">LEN(E8167)-LEN(SUBSTITUTE(E8167,",",""))+1</f>
        <v>7</v>
      </c>
      <c r="K8167" s="3" t="str">
        <f aca="false">IFERROR(INDEX('Teacher Lookup'!$B$2:$B$200,MATCH(A8167,'Teacher Lookup'!$A$2:$A$200,0)),"")</f>
        <v>FOK Phoebe</v>
      </c>
    </row>
    <row r="8168" customFormat="false" ht="15" hidden="false" customHeight="false" outlineLevel="0" collapsed="false">
      <c r="A8168" s="3" t="s">
        <v>496</v>
      </c>
      <c r="B8168" s="4" t="s">
        <v>31</v>
      </c>
      <c r="C8168" s="4" t="n">
        <v>5</v>
      </c>
      <c r="D8168" s="4" t="s">
        <v>73</v>
      </c>
      <c r="E8168" s="3" t="s">
        <v>81</v>
      </c>
      <c r="F8168" s="4" t="str">
        <f aca="false">IF(I8168&gt;J8168,"Y","N")</f>
        <v>Y</v>
      </c>
      <c r="G8168" s="3" t="s">
        <v>36</v>
      </c>
      <c r="H8168" s="3" t="s">
        <v>37</v>
      </c>
      <c r="I8168" s="4" t="n">
        <v>15</v>
      </c>
      <c r="J8168" s="4" t="n">
        <f aca="false">LEN(E8168)-LEN(SUBSTITUTE(E8168,",",""))+1</f>
        <v>7</v>
      </c>
      <c r="K8168" s="3" t="str">
        <f aca="false">IFERROR(INDEX('Teacher Lookup'!$B$2:$B$200,MATCH(A8168,'Teacher Lookup'!$A$2:$A$200,0)),"")</f>
        <v>FOK Phoebe</v>
      </c>
    </row>
    <row r="8169" customFormat="false" ht="15" hidden="false" customHeight="false" outlineLevel="0" collapsed="false">
      <c r="A8169" s="3" t="s">
        <v>496</v>
      </c>
      <c r="B8169" s="4" t="s">
        <v>31</v>
      </c>
      <c r="C8169" s="4" t="n">
        <v>5</v>
      </c>
      <c r="D8169" s="4" t="s">
        <v>74</v>
      </c>
      <c r="E8169" s="3" t="s">
        <v>81</v>
      </c>
      <c r="F8169" s="4" t="str">
        <f aca="false">IF(I8169&gt;J8169,"Y","N")</f>
        <v>Y</v>
      </c>
      <c r="G8169" s="3" t="s">
        <v>36</v>
      </c>
      <c r="H8169" s="3" t="s">
        <v>37</v>
      </c>
      <c r="I8169" s="4" t="n">
        <v>15</v>
      </c>
      <c r="J8169" s="4" t="n">
        <f aca="false">LEN(E8169)-LEN(SUBSTITUTE(E8169,",",""))+1</f>
        <v>7</v>
      </c>
      <c r="K8169" s="3" t="str">
        <f aca="false">IFERROR(INDEX('Teacher Lookup'!$B$2:$B$200,MATCH(A8169,'Teacher Lookup'!$A$2:$A$200,0)),"")</f>
        <v>FOK Phoebe</v>
      </c>
    </row>
    <row r="8170" customFormat="false" ht="15" hidden="false" customHeight="false" outlineLevel="0" collapsed="false">
      <c r="A8170" s="3" t="s">
        <v>496</v>
      </c>
      <c r="B8170" s="4" t="s">
        <v>31</v>
      </c>
      <c r="C8170" s="4" t="n">
        <v>5</v>
      </c>
      <c r="D8170" s="4" t="s">
        <v>76</v>
      </c>
      <c r="E8170" s="3" t="s">
        <v>81</v>
      </c>
      <c r="F8170" s="4" t="str">
        <f aca="false">IF(I8170&gt;J8170,"Y","N")</f>
        <v>Y</v>
      </c>
      <c r="G8170" s="3" t="s">
        <v>36</v>
      </c>
      <c r="H8170" s="3" t="s">
        <v>37</v>
      </c>
      <c r="I8170" s="4" t="n">
        <v>15</v>
      </c>
      <c r="J8170" s="4" t="n">
        <f aca="false">LEN(E8170)-LEN(SUBSTITUTE(E8170,",",""))+1</f>
        <v>7</v>
      </c>
      <c r="K8170" s="3" t="str">
        <f aca="false">IFERROR(INDEX('Teacher Lookup'!$B$2:$B$200,MATCH(A8170,'Teacher Lookup'!$A$2:$A$200,0)),"")</f>
        <v>FOK Phoebe</v>
      </c>
    </row>
    <row r="8171" customFormat="false" ht="15" hidden="false" customHeight="false" outlineLevel="0" collapsed="false">
      <c r="A8171" s="3" t="s">
        <v>496</v>
      </c>
      <c r="B8171" s="4" t="s">
        <v>31</v>
      </c>
      <c r="C8171" s="4" t="n">
        <v>5</v>
      </c>
      <c r="D8171" s="4" t="s">
        <v>78</v>
      </c>
      <c r="E8171" s="3" t="s">
        <v>81</v>
      </c>
      <c r="F8171" s="4" t="str">
        <f aca="false">IF(I8171&gt;J8171,"Y","N")</f>
        <v>Y</v>
      </c>
      <c r="G8171" s="3" t="s">
        <v>36</v>
      </c>
      <c r="H8171" s="3" t="s">
        <v>37</v>
      </c>
      <c r="I8171" s="4" t="n">
        <v>15</v>
      </c>
      <c r="J8171" s="4" t="n">
        <f aca="false">LEN(E8171)-LEN(SUBSTITUTE(E8171,",",""))+1</f>
        <v>7</v>
      </c>
      <c r="K8171" s="3" t="str">
        <f aca="false">IFERROR(INDEX('Teacher Lookup'!$B$2:$B$200,MATCH(A8171,'Teacher Lookup'!$A$2:$A$200,0)),"")</f>
        <v>FOK Phoebe</v>
      </c>
    </row>
    <row r="8172" customFormat="false" ht="15" hidden="false" customHeight="false" outlineLevel="0" collapsed="false">
      <c r="A8172" s="3" t="s">
        <v>496</v>
      </c>
      <c r="B8172" s="4" t="s">
        <v>31</v>
      </c>
      <c r="C8172" s="4" t="n">
        <v>5</v>
      </c>
      <c r="D8172" s="4" t="s">
        <v>79</v>
      </c>
      <c r="E8172" s="3" t="s">
        <v>81</v>
      </c>
      <c r="F8172" s="4" t="str">
        <f aca="false">IF(I8172&gt;J8172,"Y","N")</f>
        <v>Y</v>
      </c>
      <c r="G8172" s="3" t="s">
        <v>36</v>
      </c>
      <c r="H8172" s="3" t="s">
        <v>37</v>
      </c>
      <c r="I8172" s="4" t="n">
        <v>15</v>
      </c>
      <c r="J8172" s="4" t="n">
        <f aca="false">LEN(E8172)-LEN(SUBSTITUTE(E8172,",",""))+1</f>
        <v>7</v>
      </c>
      <c r="K8172" s="3" t="str">
        <f aca="false">IFERROR(INDEX('Teacher Lookup'!$B$2:$B$200,MATCH(A8172,'Teacher Lookup'!$A$2:$A$200,0)),"")</f>
        <v>FOK Phoebe</v>
      </c>
    </row>
    <row r="8173" customFormat="false" ht="15" hidden="false" customHeight="false" outlineLevel="0" collapsed="false">
      <c r="A8173" s="3" t="s">
        <v>496</v>
      </c>
      <c r="B8173" s="4" t="s">
        <v>31</v>
      </c>
      <c r="C8173" s="4" t="n">
        <v>6</v>
      </c>
      <c r="D8173" s="4" t="s">
        <v>76</v>
      </c>
      <c r="E8173" s="3" t="s">
        <v>204</v>
      </c>
      <c r="F8173" s="4" t="str">
        <f aca="false">IF(I8173&gt;J8173,"Y","N")</f>
        <v>N</v>
      </c>
      <c r="G8173" s="3" t="s">
        <v>15</v>
      </c>
      <c r="H8173" s="3" t="s">
        <v>42</v>
      </c>
      <c r="I8173" s="4" t="n">
        <v>4</v>
      </c>
      <c r="J8173" s="4" t="n">
        <f aca="false">LEN(E8173)-LEN(SUBSTITUTE(E8173,",",""))+1</f>
        <v>4</v>
      </c>
      <c r="K8173" s="3" t="str">
        <f aca="false">IFERROR(INDEX('Teacher Lookup'!$B$2:$B$200,MATCH(A8173,'Teacher Lookup'!$A$2:$A$200,0)),"")</f>
        <v>FOK Phoebe</v>
      </c>
    </row>
    <row r="8174" customFormat="false" ht="15" hidden="false" customHeight="false" outlineLevel="0" collapsed="false">
      <c r="A8174" s="3" t="s">
        <v>496</v>
      </c>
      <c r="B8174" s="4" t="s">
        <v>31</v>
      </c>
      <c r="C8174" s="4" t="n">
        <v>6</v>
      </c>
      <c r="D8174" s="4" t="s">
        <v>78</v>
      </c>
      <c r="E8174" s="3" t="s">
        <v>204</v>
      </c>
      <c r="F8174" s="4" t="str">
        <f aca="false">IF(I8174&gt;J8174,"Y","N")</f>
        <v>N</v>
      </c>
      <c r="G8174" s="3" t="s">
        <v>15</v>
      </c>
      <c r="H8174" s="3" t="s">
        <v>42</v>
      </c>
      <c r="I8174" s="4" t="n">
        <v>4</v>
      </c>
      <c r="J8174" s="4" t="n">
        <f aca="false">LEN(E8174)-LEN(SUBSTITUTE(E8174,",",""))+1</f>
        <v>4</v>
      </c>
      <c r="K8174" s="3" t="str">
        <f aca="false">IFERROR(INDEX('Teacher Lookup'!$B$2:$B$200,MATCH(A8174,'Teacher Lookup'!$A$2:$A$200,0)),"")</f>
        <v>FOK Phoebe</v>
      </c>
    </row>
    <row r="8175" customFormat="false" ht="15" hidden="false" customHeight="false" outlineLevel="0" collapsed="false">
      <c r="A8175" s="3" t="s">
        <v>496</v>
      </c>
      <c r="B8175" s="4" t="s">
        <v>31</v>
      </c>
      <c r="C8175" s="4" t="n">
        <v>6</v>
      </c>
      <c r="D8175" s="4" t="s">
        <v>79</v>
      </c>
      <c r="E8175" s="3" t="s">
        <v>204</v>
      </c>
      <c r="F8175" s="4" t="str">
        <f aca="false">IF(I8175&gt;J8175,"Y","N")</f>
        <v>N</v>
      </c>
      <c r="G8175" s="3" t="s">
        <v>15</v>
      </c>
      <c r="H8175" s="3" t="s">
        <v>42</v>
      </c>
      <c r="I8175" s="4" t="n">
        <v>4</v>
      </c>
      <c r="J8175" s="4" t="n">
        <f aca="false">LEN(E8175)-LEN(SUBSTITUTE(E8175,",",""))+1</f>
        <v>4</v>
      </c>
      <c r="K8175" s="3" t="str">
        <f aca="false">IFERROR(INDEX('Teacher Lookup'!$B$2:$B$200,MATCH(A8175,'Teacher Lookup'!$A$2:$A$200,0)),"")</f>
        <v>FOK Phoebe</v>
      </c>
    </row>
    <row r="8176" customFormat="false" ht="15" hidden="false" customHeight="false" outlineLevel="0" collapsed="false">
      <c r="A8176" s="3" t="s">
        <v>496</v>
      </c>
      <c r="B8176" s="4" t="s">
        <v>31</v>
      </c>
      <c r="C8176" s="4" t="n">
        <v>7</v>
      </c>
      <c r="D8176" s="4" t="s">
        <v>24</v>
      </c>
      <c r="E8176" s="3" t="s">
        <v>38</v>
      </c>
      <c r="F8176" s="4" t="str">
        <f aca="false">IF(I8176&gt;J8176,"Y","N")</f>
        <v>N</v>
      </c>
      <c r="G8176" s="3" t="s">
        <v>15</v>
      </c>
      <c r="H8176" s="3" t="s">
        <v>39</v>
      </c>
      <c r="I8176" s="4" t="n">
        <v>6</v>
      </c>
      <c r="J8176" s="4" t="n">
        <f aca="false">LEN(E8176)-LEN(SUBSTITUTE(E8176,",",""))+1</f>
        <v>6</v>
      </c>
      <c r="K8176" s="3" t="str">
        <f aca="false">IFERROR(INDEX('Teacher Lookup'!$B$2:$B$200,MATCH(A8176,'Teacher Lookup'!$A$2:$A$200,0)),"")</f>
        <v>FOK Phoebe</v>
      </c>
    </row>
    <row r="8177" customFormat="false" ht="15" hidden="false" customHeight="false" outlineLevel="0" collapsed="false">
      <c r="A8177" s="3" t="s">
        <v>496</v>
      </c>
      <c r="B8177" s="4" t="s">
        <v>31</v>
      </c>
      <c r="C8177" s="4" t="n">
        <v>7</v>
      </c>
      <c r="D8177" s="4" t="s">
        <v>27</v>
      </c>
      <c r="E8177" s="3" t="s">
        <v>38</v>
      </c>
      <c r="F8177" s="4" t="str">
        <f aca="false">IF(I8177&gt;J8177,"Y","N")</f>
        <v>N</v>
      </c>
      <c r="G8177" s="3" t="s">
        <v>15</v>
      </c>
      <c r="H8177" s="3" t="s">
        <v>39</v>
      </c>
      <c r="I8177" s="4" t="n">
        <v>6</v>
      </c>
      <c r="J8177" s="4" t="n">
        <f aca="false">LEN(E8177)-LEN(SUBSTITUTE(E8177,",",""))+1</f>
        <v>6</v>
      </c>
      <c r="K8177" s="3" t="str">
        <f aca="false">IFERROR(INDEX('Teacher Lookup'!$B$2:$B$200,MATCH(A8177,'Teacher Lookup'!$A$2:$A$200,0)),"")</f>
        <v>FOK Phoebe</v>
      </c>
    </row>
    <row r="8178" customFormat="false" ht="15" hidden="false" customHeight="false" outlineLevel="0" collapsed="false">
      <c r="A8178" s="3" t="s">
        <v>496</v>
      </c>
      <c r="B8178" s="4" t="s">
        <v>31</v>
      </c>
      <c r="C8178" s="4" t="n">
        <v>7</v>
      </c>
      <c r="D8178" s="4" t="s">
        <v>28</v>
      </c>
      <c r="E8178" s="3" t="s">
        <v>38</v>
      </c>
      <c r="F8178" s="4" t="str">
        <f aca="false">IF(I8178&gt;J8178,"Y","N")</f>
        <v>N</v>
      </c>
      <c r="G8178" s="3" t="s">
        <v>15</v>
      </c>
      <c r="H8178" s="3" t="s">
        <v>39</v>
      </c>
      <c r="I8178" s="4" t="n">
        <v>6</v>
      </c>
      <c r="J8178" s="4" t="n">
        <f aca="false">LEN(E8178)-LEN(SUBSTITUTE(E8178,",",""))+1</f>
        <v>6</v>
      </c>
      <c r="K8178" s="3" t="str">
        <f aca="false">IFERROR(INDEX('Teacher Lookup'!$B$2:$B$200,MATCH(A8178,'Teacher Lookup'!$A$2:$A$200,0)),"")</f>
        <v>FOK Phoebe</v>
      </c>
    </row>
    <row r="8179" customFormat="false" ht="15" hidden="false" customHeight="false" outlineLevel="0" collapsed="false">
      <c r="A8179" s="3" t="s">
        <v>496</v>
      </c>
      <c r="B8179" s="4" t="s">
        <v>31</v>
      </c>
      <c r="C8179" s="4" t="n">
        <v>7</v>
      </c>
      <c r="D8179" s="4" t="s">
        <v>29</v>
      </c>
      <c r="E8179" s="3" t="s">
        <v>38</v>
      </c>
      <c r="F8179" s="4" t="str">
        <f aca="false">IF(I8179&gt;J8179,"Y","N")</f>
        <v>N</v>
      </c>
      <c r="G8179" s="3" t="s">
        <v>15</v>
      </c>
      <c r="H8179" s="3" t="s">
        <v>39</v>
      </c>
      <c r="I8179" s="4" t="n">
        <v>6</v>
      </c>
      <c r="J8179" s="4" t="n">
        <f aca="false">LEN(E8179)-LEN(SUBSTITUTE(E8179,",",""))+1</f>
        <v>6</v>
      </c>
      <c r="K8179" s="3" t="str">
        <f aca="false">IFERROR(INDEX('Teacher Lookup'!$B$2:$B$200,MATCH(A8179,'Teacher Lookup'!$A$2:$A$200,0)),"")</f>
        <v>FOK Phoebe</v>
      </c>
    </row>
    <row r="8180" customFormat="false" ht="15" hidden="false" customHeight="false" outlineLevel="0" collapsed="false">
      <c r="A8180" s="3" t="s">
        <v>496</v>
      </c>
      <c r="B8180" s="4" t="s">
        <v>31</v>
      </c>
      <c r="C8180" s="4" t="n">
        <v>7</v>
      </c>
      <c r="D8180" s="4" t="s">
        <v>30</v>
      </c>
      <c r="E8180" s="3" t="s">
        <v>38</v>
      </c>
      <c r="F8180" s="4" t="str">
        <f aca="false">IF(I8180&gt;J8180,"Y","N")</f>
        <v>N</v>
      </c>
      <c r="G8180" s="3" t="s">
        <v>15</v>
      </c>
      <c r="H8180" s="3" t="s">
        <v>39</v>
      </c>
      <c r="I8180" s="4" t="n">
        <v>6</v>
      </c>
      <c r="J8180" s="4" t="n">
        <f aca="false">LEN(E8180)-LEN(SUBSTITUTE(E8180,",",""))+1</f>
        <v>6</v>
      </c>
      <c r="K8180" s="3" t="str">
        <f aca="false">IFERROR(INDEX('Teacher Lookup'!$B$2:$B$200,MATCH(A8180,'Teacher Lookup'!$A$2:$A$200,0)),"")</f>
        <v>FOK Phoebe</v>
      </c>
    </row>
    <row r="8181" customFormat="false" ht="15" hidden="false" customHeight="false" outlineLevel="0" collapsed="false">
      <c r="A8181" s="3" t="s">
        <v>496</v>
      </c>
      <c r="B8181" s="4" t="s">
        <v>40</v>
      </c>
      <c r="C8181" s="4" t="n">
        <v>2</v>
      </c>
      <c r="D8181" s="4" t="s">
        <v>24</v>
      </c>
      <c r="E8181" s="3" t="s">
        <v>41</v>
      </c>
      <c r="F8181" s="4" t="str">
        <f aca="false">IF(I8181&gt;J8181,"Y","N")</f>
        <v>N</v>
      </c>
      <c r="G8181" s="3" t="s">
        <v>15</v>
      </c>
      <c r="H8181" s="3" t="s">
        <v>21</v>
      </c>
      <c r="I8181" s="4" t="n">
        <v>6</v>
      </c>
      <c r="J8181" s="4" t="n">
        <f aca="false">LEN(E8181)-LEN(SUBSTITUTE(E8181,",",""))+1</f>
        <v>6</v>
      </c>
      <c r="K8181" s="3" t="str">
        <f aca="false">IFERROR(INDEX('Teacher Lookup'!$B$2:$B$200,MATCH(A8181,'Teacher Lookup'!$A$2:$A$200,0)),"")</f>
        <v>FOK Phoebe</v>
      </c>
    </row>
    <row r="8182" customFormat="false" ht="15" hidden="false" customHeight="false" outlineLevel="0" collapsed="false">
      <c r="A8182" s="3" t="s">
        <v>496</v>
      </c>
      <c r="B8182" s="4" t="s">
        <v>40</v>
      </c>
      <c r="C8182" s="4" t="n">
        <v>2</v>
      </c>
      <c r="D8182" s="4" t="s">
        <v>27</v>
      </c>
      <c r="E8182" s="3" t="s">
        <v>41</v>
      </c>
      <c r="F8182" s="4" t="str">
        <f aca="false">IF(I8182&gt;J8182,"Y","N")</f>
        <v>N</v>
      </c>
      <c r="G8182" s="3" t="s">
        <v>15</v>
      </c>
      <c r="H8182" s="3" t="s">
        <v>21</v>
      </c>
      <c r="I8182" s="4" t="n">
        <v>6</v>
      </c>
      <c r="J8182" s="4" t="n">
        <f aca="false">LEN(E8182)-LEN(SUBSTITUTE(E8182,",",""))+1</f>
        <v>6</v>
      </c>
      <c r="K8182" s="3" t="str">
        <f aca="false">IFERROR(INDEX('Teacher Lookup'!$B$2:$B$200,MATCH(A8182,'Teacher Lookup'!$A$2:$A$200,0)),"")</f>
        <v>FOK Phoebe</v>
      </c>
    </row>
    <row r="8183" customFormat="false" ht="15" hidden="false" customHeight="false" outlineLevel="0" collapsed="false">
      <c r="A8183" s="3" t="s">
        <v>496</v>
      </c>
      <c r="B8183" s="4" t="s">
        <v>40</v>
      </c>
      <c r="C8183" s="4" t="n">
        <v>2</v>
      </c>
      <c r="D8183" s="4" t="s">
        <v>28</v>
      </c>
      <c r="E8183" s="3" t="s">
        <v>41</v>
      </c>
      <c r="F8183" s="4" t="str">
        <f aca="false">IF(I8183&gt;J8183,"Y","N")</f>
        <v>N</v>
      </c>
      <c r="G8183" s="3" t="s">
        <v>15</v>
      </c>
      <c r="H8183" s="3" t="s">
        <v>21</v>
      </c>
      <c r="I8183" s="4" t="n">
        <v>6</v>
      </c>
      <c r="J8183" s="4" t="n">
        <f aca="false">LEN(E8183)-LEN(SUBSTITUTE(E8183,",",""))+1</f>
        <v>6</v>
      </c>
      <c r="K8183" s="3" t="str">
        <f aca="false">IFERROR(INDEX('Teacher Lookup'!$B$2:$B$200,MATCH(A8183,'Teacher Lookup'!$A$2:$A$200,0)),"")</f>
        <v>FOK Phoebe</v>
      </c>
    </row>
    <row r="8184" customFormat="false" ht="15" hidden="false" customHeight="false" outlineLevel="0" collapsed="false">
      <c r="A8184" s="3" t="s">
        <v>496</v>
      </c>
      <c r="B8184" s="4" t="s">
        <v>40</v>
      </c>
      <c r="C8184" s="4" t="n">
        <v>2</v>
      </c>
      <c r="D8184" s="4" t="s">
        <v>29</v>
      </c>
      <c r="E8184" s="3" t="s">
        <v>41</v>
      </c>
      <c r="F8184" s="4" t="str">
        <f aca="false">IF(I8184&gt;J8184,"Y","N")</f>
        <v>N</v>
      </c>
      <c r="G8184" s="3" t="s">
        <v>15</v>
      </c>
      <c r="H8184" s="3" t="s">
        <v>21</v>
      </c>
      <c r="I8184" s="4" t="n">
        <v>6</v>
      </c>
      <c r="J8184" s="4" t="n">
        <f aca="false">LEN(E8184)-LEN(SUBSTITUTE(E8184,",",""))+1</f>
        <v>6</v>
      </c>
      <c r="K8184" s="3" t="str">
        <f aca="false">IFERROR(INDEX('Teacher Lookup'!$B$2:$B$200,MATCH(A8184,'Teacher Lookup'!$A$2:$A$200,0)),"")</f>
        <v>FOK Phoebe</v>
      </c>
    </row>
    <row r="8185" customFormat="false" ht="15" hidden="false" customHeight="false" outlineLevel="0" collapsed="false">
      <c r="A8185" s="3" t="s">
        <v>496</v>
      </c>
      <c r="B8185" s="4" t="s">
        <v>40</v>
      </c>
      <c r="C8185" s="4" t="n">
        <v>2</v>
      </c>
      <c r="D8185" s="4" t="s">
        <v>30</v>
      </c>
      <c r="E8185" s="3" t="s">
        <v>41</v>
      </c>
      <c r="F8185" s="4" t="str">
        <f aca="false">IF(I8185&gt;J8185,"Y","N")</f>
        <v>N</v>
      </c>
      <c r="G8185" s="3" t="s">
        <v>15</v>
      </c>
      <c r="H8185" s="3" t="s">
        <v>21</v>
      </c>
      <c r="I8185" s="4" t="n">
        <v>6</v>
      </c>
      <c r="J8185" s="4" t="n">
        <f aca="false">LEN(E8185)-LEN(SUBSTITUTE(E8185,",",""))+1</f>
        <v>6</v>
      </c>
      <c r="K8185" s="3" t="str">
        <f aca="false">IFERROR(INDEX('Teacher Lookup'!$B$2:$B$200,MATCH(A8185,'Teacher Lookup'!$A$2:$A$200,0)),"")</f>
        <v>FOK Phoebe</v>
      </c>
    </row>
    <row r="8186" customFormat="false" ht="15" hidden="false" customHeight="false" outlineLevel="0" collapsed="false">
      <c r="A8186" s="3" t="s">
        <v>496</v>
      </c>
      <c r="B8186" s="4" t="s">
        <v>40</v>
      </c>
      <c r="C8186" s="4" t="n">
        <v>3</v>
      </c>
      <c r="D8186" s="4" t="s">
        <v>76</v>
      </c>
      <c r="E8186" s="3" t="s">
        <v>206</v>
      </c>
      <c r="F8186" s="4" t="str">
        <f aca="false">IF(I8186&gt;J8186,"Y","N")</f>
        <v>N</v>
      </c>
      <c r="G8186" s="3" t="s">
        <v>15</v>
      </c>
      <c r="H8186" s="3" t="s">
        <v>26</v>
      </c>
      <c r="I8186" s="4" t="n">
        <v>4</v>
      </c>
      <c r="J8186" s="4" t="n">
        <f aca="false">LEN(E8186)-LEN(SUBSTITUTE(E8186,",",""))+1</f>
        <v>4</v>
      </c>
      <c r="K8186" s="3" t="str">
        <f aca="false">IFERROR(INDEX('Teacher Lookup'!$B$2:$B$200,MATCH(A8186,'Teacher Lookup'!$A$2:$A$200,0)),"")</f>
        <v>FOK Phoebe</v>
      </c>
    </row>
    <row r="8187" customFormat="false" ht="15" hidden="false" customHeight="false" outlineLevel="0" collapsed="false">
      <c r="A8187" s="3" t="s">
        <v>496</v>
      </c>
      <c r="B8187" s="4" t="s">
        <v>40</v>
      </c>
      <c r="C8187" s="4" t="n">
        <v>3</v>
      </c>
      <c r="D8187" s="4" t="s">
        <v>78</v>
      </c>
      <c r="E8187" s="3" t="s">
        <v>206</v>
      </c>
      <c r="F8187" s="4" t="str">
        <f aca="false">IF(I8187&gt;J8187,"Y","N")</f>
        <v>N</v>
      </c>
      <c r="G8187" s="3" t="s">
        <v>15</v>
      </c>
      <c r="H8187" s="3" t="s">
        <v>26</v>
      </c>
      <c r="I8187" s="4" t="n">
        <v>4</v>
      </c>
      <c r="J8187" s="4" t="n">
        <f aca="false">LEN(E8187)-LEN(SUBSTITUTE(E8187,",",""))+1</f>
        <v>4</v>
      </c>
      <c r="K8187" s="3" t="str">
        <f aca="false">IFERROR(INDEX('Teacher Lookup'!$B$2:$B$200,MATCH(A8187,'Teacher Lookup'!$A$2:$A$200,0)),"")</f>
        <v>FOK Phoebe</v>
      </c>
    </row>
    <row r="8188" customFormat="false" ht="15" hidden="false" customHeight="false" outlineLevel="0" collapsed="false">
      <c r="A8188" s="3" t="s">
        <v>496</v>
      </c>
      <c r="B8188" s="4" t="s">
        <v>40</v>
      </c>
      <c r="C8188" s="4" t="n">
        <v>3</v>
      </c>
      <c r="D8188" s="4" t="s">
        <v>79</v>
      </c>
      <c r="E8188" s="3" t="s">
        <v>206</v>
      </c>
      <c r="F8188" s="4" t="str">
        <f aca="false">IF(I8188&gt;J8188,"Y","N")</f>
        <v>N</v>
      </c>
      <c r="G8188" s="3" t="s">
        <v>15</v>
      </c>
      <c r="H8188" s="3" t="s">
        <v>26</v>
      </c>
      <c r="I8188" s="4" t="n">
        <v>4</v>
      </c>
      <c r="J8188" s="4" t="n">
        <f aca="false">LEN(E8188)-LEN(SUBSTITUTE(E8188,",",""))+1</f>
        <v>4</v>
      </c>
      <c r="K8188" s="3" t="str">
        <f aca="false">IFERROR(INDEX('Teacher Lookup'!$B$2:$B$200,MATCH(A8188,'Teacher Lookup'!$A$2:$A$200,0)),"")</f>
        <v>FOK Phoebe</v>
      </c>
    </row>
    <row r="8189" customFormat="false" ht="15" hidden="false" customHeight="false" outlineLevel="0" collapsed="false">
      <c r="A8189" s="3" t="s">
        <v>496</v>
      </c>
      <c r="B8189" s="4" t="s">
        <v>40</v>
      </c>
      <c r="C8189" s="4" t="n">
        <v>7</v>
      </c>
      <c r="D8189" s="4" t="s">
        <v>70</v>
      </c>
      <c r="E8189" s="3" t="s">
        <v>83</v>
      </c>
      <c r="F8189" s="4" t="str">
        <f aca="false">IF(I8189&gt;J8189,"Y","N")</f>
        <v>N</v>
      </c>
      <c r="G8189" s="3" t="s">
        <v>15</v>
      </c>
      <c r="H8189" s="3" t="s">
        <v>39</v>
      </c>
      <c r="I8189" s="4" t="n">
        <v>4</v>
      </c>
      <c r="J8189" s="4" t="n">
        <f aca="false">LEN(E8189)-LEN(SUBSTITUTE(E8189,",",""))+1</f>
        <v>4</v>
      </c>
      <c r="K8189" s="3" t="str">
        <f aca="false">IFERROR(INDEX('Teacher Lookup'!$B$2:$B$200,MATCH(A8189,'Teacher Lookup'!$A$2:$A$200,0)),"")</f>
        <v>FOK Phoebe</v>
      </c>
    </row>
    <row r="8190" customFormat="false" ht="15" hidden="false" customHeight="false" outlineLevel="0" collapsed="false">
      <c r="A8190" s="3" t="s">
        <v>496</v>
      </c>
      <c r="B8190" s="4" t="s">
        <v>40</v>
      </c>
      <c r="C8190" s="4" t="n">
        <v>7</v>
      </c>
      <c r="D8190" s="4" t="s">
        <v>73</v>
      </c>
      <c r="E8190" s="3" t="s">
        <v>83</v>
      </c>
      <c r="F8190" s="4" t="str">
        <f aca="false">IF(I8190&gt;J8190,"Y","N")</f>
        <v>N</v>
      </c>
      <c r="G8190" s="3" t="s">
        <v>15</v>
      </c>
      <c r="H8190" s="3" t="s">
        <v>39</v>
      </c>
      <c r="I8190" s="4" t="n">
        <v>4</v>
      </c>
      <c r="J8190" s="4" t="n">
        <f aca="false">LEN(E8190)-LEN(SUBSTITUTE(E8190,",",""))+1</f>
        <v>4</v>
      </c>
      <c r="K8190" s="3" t="str">
        <f aca="false">IFERROR(INDEX('Teacher Lookup'!$B$2:$B$200,MATCH(A8190,'Teacher Lookup'!$A$2:$A$200,0)),"")</f>
        <v>FOK Phoebe</v>
      </c>
    </row>
    <row r="8191" customFormat="false" ht="15" hidden="false" customHeight="false" outlineLevel="0" collapsed="false">
      <c r="A8191" s="3" t="s">
        <v>496</v>
      </c>
      <c r="B8191" s="4" t="s">
        <v>40</v>
      </c>
      <c r="C8191" s="4" t="n">
        <v>7</v>
      </c>
      <c r="D8191" s="4" t="s">
        <v>74</v>
      </c>
      <c r="E8191" s="3" t="s">
        <v>83</v>
      </c>
      <c r="F8191" s="4" t="str">
        <f aca="false">IF(I8191&gt;J8191,"Y","N")</f>
        <v>N</v>
      </c>
      <c r="G8191" s="3" t="s">
        <v>15</v>
      </c>
      <c r="H8191" s="3" t="s">
        <v>39</v>
      </c>
      <c r="I8191" s="4" t="n">
        <v>4</v>
      </c>
      <c r="J8191" s="4" t="n">
        <f aca="false">LEN(E8191)-LEN(SUBSTITUTE(E8191,",",""))+1</f>
        <v>4</v>
      </c>
      <c r="K8191" s="3" t="str">
        <f aca="false">IFERROR(INDEX('Teacher Lookup'!$B$2:$B$200,MATCH(A8191,'Teacher Lookup'!$A$2:$A$200,0)),"")</f>
        <v>FOK Phoebe</v>
      </c>
    </row>
    <row r="8192" customFormat="false" ht="15" hidden="false" customHeight="false" outlineLevel="0" collapsed="false">
      <c r="A8192" s="3" t="s">
        <v>496</v>
      </c>
      <c r="B8192" s="4" t="s">
        <v>44</v>
      </c>
      <c r="C8192" s="4" t="n">
        <v>2</v>
      </c>
      <c r="D8192" s="4" t="s">
        <v>24</v>
      </c>
      <c r="E8192" s="3" t="s">
        <v>45</v>
      </c>
      <c r="F8192" s="4" t="str">
        <f aca="false">IF(I8192&gt;J8192,"Y","N")</f>
        <v>N</v>
      </c>
      <c r="G8192" s="3" t="s">
        <v>15</v>
      </c>
      <c r="H8192" s="3" t="s">
        <v>21</v>
      </c>
      <c r="I8192" s="4" t="n">
        <v>6</v>
      </c>
      <c r="J8192" s="4" t="n">
        <f aca="false">LEN(E8192)-LEN(SUBSTITUTE(E8192,",",""))+1</f>
        <v>6</v>
      </c>
      <c r="K8192" s="3" t="str">
        <f aca="false">IFERROR(INDEX('Teacher Lookup'!$B$2:$B$200,MATCH(A8192,'Teacher Lookup'!$A$2:$A$200,0)),"")</f>
        <v>FOK Phoebe</v>
      </c>
    </row>
    <row r="8193" customFormat="false" ht="15" hidden="false" customHeight="false" outlineLevel="0" collapsed="false">
      <c r="A8193" s="3" t="s">
        <v>496</v>
      </c>
      <c r="B8193" s="4" t="s">
        <v>44</v>
      </c>
      <c r="C8193" s="4" t="n">
        <v>2</v>
      </c>
      <c r="D8193" s="4" t="s">
        <v>27</v>
      </c>
      <c r="E8193" s="3" t="s">
        <v>45</v>
      </c>
      <c r="F8193" s="4" t="str">
        <f aca="false">IF(I8193&gt;J8193,"Y","N")</f>
        <v>N</v>
      </c>
      <c r="G8193" s="3" t="s">
        <v>15</v>
      </c>
      <c r="H8193" s="3" t="s">
        <v>21</v>
      </c>
      <c r="I8193" s="4" t="n">
        <v>6</v>
      </c>
      <c r="J8193" s="4" t="n">
        <f aca="false">LEN(E8193)-LEN(SUBSTITUTE(E8193,",",""))+1</f>
        <v>6</v>
      </c>
      <c r="K8193" s="3" t="str">
        <f aca="false">IFERROR(INDEX('Teacher Lookup'!$B$2:$B$200,MATCH(A8193,'Teacher Lookup'!$A$2:$A$200,0)),"")</f>
        <v>FOK Phoebe</v>
      </c>
    </row>
    <row r="8194" customFormat="false" ht="15" hidden="false" customHeight="false" outlineLevel="0" collapsed="false">
      <c r="A8194" s="3" t="s">
        <v>496</v>
      </c>
      <c r="B8194" s="4" t="s">
        <v>44</v>
      </c>
      <c r="C8194" s="4" t="n">
        <v>2</v>
      </c>
      <c r="D8194" s="4" t="s">
        <v>28</v>
      </c>
      <c r="E8194" s="3" t="s">
        <v>45</v>
      </c>
      <c r="F8194" s="4" t="str">
        <f aca="false">IF(I8194&gt;J8194,"Y","N")</f>
        <v>N</v>
      </c>
      <c r="G8194" s="3" t="s">
        <v>15</v>
      </c>
      <c r="H8194" s="3" t="s">
        <v>21</v>
      </c>
      <c r="I8194" s="4" t="n">
        <v>6</v>
      </c>
      <c r="J8194" s="4" t="n">
        <f aca="false">LEN(E8194)-LEN(SUBSTITUTE(E8194,",",""))+1</f>
        <v>6</v>
      </c>
      <c r="K8194" s="3" t="str">
        <f aca="false">IFERROR(INDEX('Teacher Lookup'!$B$2:$B$200,MATCH(A8194,'Teacher Lookup'!$A$2:$A$200,0)),"")</f>
        <v>FOK Phoebe</v>
      </c>
    </row>
    <row r="8195" customFormat="false" ht="15" hidden="false" customHeight="false" outlineLevel="0" collapsed="false">
      <c r="A8195" s="3" t="s">
        <v>496</v>
      </c>
      <c r="B8195" s="4" t="s">
        <v>44</v>
      </c>
      <c r="C8195" s="4" t="n">
        <v>2</v>
      </c>
      <c r="D8195" s="4" t="s">
        <v>29</v>
      </c>
      <c r="E8195" s="3" t="s">
        <v>45</v>
      </c>
      <c r="F8195" s="4" t="str">
        <f aca="false">IF(I8195&gt;J8195,"Y","N")</f>
        <v>N</v>
      </c>
      <c r="G8195" s="3" t="s">
        <v>15</v>
      </c>
      <c r="H8195" s="3" t="s">
        <v>21</v>
      </c>
      <c r="I8195" s="4" t="n">
        <v>6</v>
      </c>
      <c r="J8195" s="4" t="n">
        <f aca="false">LEN(E8195)-LEN(SUBSTITUTE(E8195,",",""))+1</f>
        <v>6</v>
      </c>
      <c r="K8195" s="3" t="str">
        <f aca="false">IFERROR(INDEX('Teacher Lookup'!$B$2:$B$200,MATCH(A8195,'Teacher Lookup'!$A$2:$A$200,0)),"")</f>
        <v>FOK Phoebe</v>
      </c>
    </row>
    <row r="8196" customFormat="false" ht="15" hidden="false" customHeight="false" outlineLevel="0" collapsed="false">
      <c r="A8196" s="3" t="s">
        <v>496</v>
      </c>
      <c r="B8196" s="4" t="s">
        <v>44</v>
      </c>
      <c r="C8196" s="4" t="n">
        <v>2</v>
      </c>
      <c r="D8196" s="4" t="s">
        <v>30</v>
      </c>
      <c r="E8196" s="3" t="s">
        <v>45</v>
      </c>
      <c r="F8196" s="4" t="str">
        <f aca="false">IF(I8196&gt;J8196,"Y","N")</f>
        <v>N</v>
      </c>
      <c r="G8196" s="3" t="s">
        <v>15</v>
      </c>
      <c r="H8196" s="3" t="s">
        <v>21</v>
      </c>
      <c r="I8196" s="4" t="n">
        <v>6</v>
      </c>
      <c r="J8196" s="4" t="n">
        <f aca="false">LEN(E8196)-LEN(SUBSTITUTE(E8196,",",""))+1</f>
        <v>6</v>
      </c>
      <c r="K8196" s="3" t="str">
        <f aca="false">IFERROR(INDEX('Teacher Lookup'!$B$2:$B$200,MATCH(A8196,'Teacher Lookup'!$A$2:$A$200,0)),"")</f>
        <v>FOK Phoebe</v>
      </c>
    </row>
    <row r="8197" customFormat="false" ht="15" hidden="false" customHeight="false" outlineLevel="0" collapsed="false">
      <c r="A8197" s="3" t="s">
        <v>496</v>
      </c>
      <c r="B8197" s="4" t="s">
        <v>44</v>
      </c>
      <c r="C8197" s="4" t="n">
        <v>5</v>
      </c>
      <c r="D8197" s="4" t="s">
        <v>70</v>
      </c>
      <c r="E8197" s="3" t="s">
        <v>81</v>
      </c>
      <c r="F8197" s="4" t="str">
        <f aca="false">IF(I8197&gt;J8197,"Y","N")</f>
        <v>Y</v>
      </c>
      <c r="G8197" s="3" t="s">
        <v>36</v>
      </c>
      <c r="H8197" s="3" t="s">
        <v>37</v>
      </c>
      <c r="I8197" s="4" t="n">
        <v>15</v>
      </c>
      <c r="J8197" s="4" t="n">
        <f aca="false">LEN(E8197)-LEN(SUBSTITUTE(E8197,",",""))+1</f>
        <v>7</v>
      </c>
      <c r="K8197" s="3" t="str">
        <f aca="false">IFERROR(INDEX('Teacher Lookup'!$B$2:$B$200,MATCH(A8197,'Teacher Lookup'!$A$2:$A$200,0)),"")</f>
        <v>FOK Phoebe</v>
      </c>
    </row>
    <row r="8198" customFormat="false" ht="15" hidden="false" customHeight="false" outlineLevel="0" collapsed="false">
      <c r="A8198" s="3" t="s">
        <v>496</v>
      </c>
      <c r="B8198" s="4" t="s">
        <v>44</v>
      </c>
      <c r="C8198" s="4" t="n">
        <v>5</v>
      </c>
      <c r="D8198" s="4" t="s">
        <v>73</v>
      </c>
      <c r="E8198" s="3" t="s">
        <v>81</v>
      </c>
      <c r="F8198" s="4" t="str">
        <f aca="false">IF(I8198&gt;J8198,"Y","N")</f>
        <v>Y</v>
      </c>
      <c r="G8198" s="3" t="s">
        <v>36</v>
      </c>
      <c r="H8198" s="3" t="s">
        <v>37</v>
      </c>
      <c r="I8198" s="4" t="n">
        <v>15</v>
      </c>
      <c r="J8198" s="4" t="n">
        <f aca="false">LEN(E8198)-LEN(SUBSTITUTE(E8198,",",""))+1</f>
        <v>7</v>
      </c>
      <c r="K8198" s="3" t="str">
        <f aca="false">IFERROR(INDEX('Teacher Lookup'!$B$2:$B$200,MATCH(A8198,'Teacher Lookup'!$A$2:$A$200,0)),"")</f>
        <v>FOK Phoebe</v>
      </c>
    </row>
    <row r="8199" customFormat="false" ht="15" hidden="false" customHeight="false" outlineLevel="0" collapsed="false">
      <c r="A8199" s="3" t="s">
        <v>496</v>
      </c>
      <c r="B8199" s="4" t="s">
        <v>44</v>
      </c>
      <c r="C8199" s="4" t="n">
        <v>5</v>
      </c>
      <c r="D8199" s="4" t="s">
        <v>74</v>
      </c>
      <c r="E8199" s="3" t="s">
        <v>81</v>
      </c>
      <c r="F8199" s="4" t="str">
        <f aca="false">IF(I8199&gt;J8199,"Y","N")</f>
        <v>Y</v>
      </c>
      <c r="G8199" s="3" t="s">
        <v>36</v>
      </c>
      <c r="H8199" s="3" t="s">
        <v>37</v>
      </c>
      <c r="I8199" s="4" t="n">
        <v>15</v>
      </c>
      <c r="J8199" s="4" t="n">
        <f aca="false">LEN(E8199)-LEN(SUBSTITUTE(E8199,",",""))+1</f>
        <v>7</v>
      </c>
      <c r="K8199" s="3" t="str">
        <f aca="false">IFERROR(INDEX('Teacher Lookup'!$B$2:$B$200,MATCH(A8199,'Teacher Lookup'!$A$2:$A$200,0)),"")</f>
        <v>FOK Phoebe</v>
      </c>
    </row>
    <row r="8200" customFormat="false" ht="15" hidden="false" customHeight="false" outlineLevel="0" collapsed="false">
      <c r="A8200" s="3" t="s">
        <v>496</v>
      </c>
      <c r="B8200" s="4" t="s">
        <v>44</v>
      </c>
      <c r="C8200" s="4" t="n">
        <v>5</v>
      </c>
      <c r="D8200" s="4" t="s">
        <v>76</v>
      </c>
      <c r="E8200" s="3" t="s">
        <v>81</v>
      </c>
      <c r="F8200" s="4" t="str">
        <f aca="false">IF(I8200&gt;J8200,"Y","N")</f>
        <v>Y</v>
      </c>
      <c r="G8200" s="3" t="s">
        <v>36</v>
      </c>
      <c r="H8200" s="3" t="s">
        <v>37</v>
      </c>
      <c r="I8200" s="4" t="n">
        <v>15</v>
      </c>
      <c r="J8200" s="4" t="n">
        <f aca="false">LEN(E8200)-LEN(SUBSTITUTE(E8200,",",""))+1</f>
        <v>7</v>
      </c>
      <c r="K8200" s="3" t="str">
        <f aca="false">IFERROR(INDEX('Teacher Lookup'!$B$2:$B$200,MATCH(A8200,'Teacher Lookup'!$A$2:$A$200,0)),"")</f>
        <v>FOK Phoebe</v>
      </c>
    </row>
    <row r="8201" customFormat="false" ht="15" hidden="false" customHeight="false" outlineLevel="0" collapsed="false">
      <c r="A8201" s="3" t="s">
        <v>496</v>
      </c>
      <c r="B8201" s="4" t="s">
        <v>44</v>
      </c>
      <c r="C8201" s="4" t="n">
        <v>5</v>
      </c>
      <c r="D8201" s="4" t="s">
        <v>78</v>
      </c>
      <c r="E8201" s="3" t="s">
        <v>81</v>
      </c>
      <c r="F8201" s="4" t="str">
        <f aca="false">IF(I8201&gt;J8201,"Y","N")</f>
        <v>Y</v>
      </c>
      <c r="G8201" s="3" t="s">
        <v>36</v>
      </c>
      <c r="H8201" s="3" t="s">
        <v>37</v>
      </c>
      <c r="I8201" s="4" t="n">
        <v>15</v>
      </c>
      <c r="J8201" s="4" t="n">
        <f aca="false">LEN(E8201)-LEN(SUBSTITUTE(E8201,",",""))+1</f>
        <v>7</v>
      </c>
      <c r="K8201" s="3" t="str">
        <f aca="false">IFERROR(INDEX('Teacher Lookup'!$B$2:$B$200,MATCH(A8201,'Teacher Lookup'!$A$2:$A$200,0)),"")</f>
        <v>FOK Phoebe</v>
      </c>
    </row>
    <row r="8202" customFormat="false" ht="15" hidden="false" customHeight="false" outlineLevel="0" collapsed="false">
      <c r="A8202" s="3" t="s">
        <v>496</v>
      </c>
      <c r="B8202" s="4" t="s">
        <v>44</v>
      </c>
      <c r="C8202" s="4" t="n">
        <v>5</v>
      </c>
      <c r="D8202" s="4" t="s">
        <v>79</v>
      </c>
      <c r="E8202" s="3" t="s">
        <v>81</v>
      </c>
      <c r="F8202" s="4" t="str">
        <f aca="false">IF(I8202&gt;J8202,"Y","N")</f>
        <v>Y</v>
      </c>
      <c r="G8202" s="3" t="s">
        <v>36</v>
      </c>
      <c r="H8202" s="3" t="s">
        <v>37</v>
      </c>
      <c r="I8202" s="4" t="n">
        <v>15</v>
      </c>
      <c r="J8202" s="4" t="n">
        <f aca="false">LEN(E8202)-LEN(SUBSTITUTE(E8202,",",""))+1</f>
        <v>7</v>
      </c>
      <c r="K8202" s="3" t="str">
        <f aca="false">IFERROR(INDEX('Teacher Lookup'!$B$2:$B$200,MATCH(A8202,'Teacher Lookup'!$A$2:$A$200,0)),"")</f>
        <v>FOK Phoebe</v>
      </c>
    </row>
    <row r="8203" customFormat="false" ht="15" hidden="false" customHeight="false" outlineLevel="0" collapsed="false">
      <c r="A8203" s="3" t="s">
        <v>496</v>
      </c>
      <c r="B8203" s="4" t="s">
        <v>44</v>
      </c>
      <c r="C8203" s="4" t="n">
        <v>6</v>
      </c>
      <c r="D8203" s="4" t="s">
        <v>76</v>
      </c>
      <c r="E8203" s="3" t="s">
        <v>209</v>
      </c>
      <c r="F8203" s="4" t="str">
        <f aca="false">IF(I8203&gt;J8203,"Y","N")</f>
        <v>N</v>
      </c>
      <c r="G8203" s="3" t="s">
        <v>15</v>
      </c>
      <c r="H8203" s="3" t="s">
        <v>42</v>
      </c>
      <c r="I8203" s="4" t="n">
        <v>4</v>
      </c>
      <c r="J8203" s="4" t="n">
        <f aca="false">LEN(E8203)-LEN(SUBSTITUTE(E8203,",",""))+1</f>
        <v>4</v>
      </c>
      <c r="K8203" s="3" t="str">
        <f aca="false">IFERROR(INDEX('Teacher Lookup'!$B$2:$B$200,MATCH(A8203,'Teacher Lookup'!$A$2:$A$200,0)),"")</f>
        <v>FOK Phoebe</v>
      </c>
    </row>
    <row r="8204" customFormat="false" ht="15" hidden="false" customHeight="false" outlineLevel="0" collapsed="false">
      <c r="A8204" s="3" t="s">
        <v>496</v>
      </c>
      <c r="B8204" s="4" t="s">
        <v>44</v>
      </c>
      <c r="C8204" s="4" t="n">
        <v>6</v>
      </c>
      <c r="D8204" s="4" t="s">
        <v>78</v>
      </c>
      <c r="E8204" s="3" t="s">
        <v>209</v>
      </c>
      <c r="F8204" s="4" t="str">
        <f aca="false">IF(I8204&gt;J8204,"Y","N")</f>
        <v>N</v>
      </c>
      <c r="G8204" s="3" t="s">
        <v>15</v>
      </c>
      <c r="H8204" s="3" t="s">
        <v>42</v>
      </c>
      <c r="I8204" s="4" t="n">
        <v>4</v>
      </c>
      <c r="J8204" s="4" t="n">
        <f aca="false">LEN(E8204)-LEN(SUBSTITUTE(E8204,",",""))+1</f>
        <v>4</v>
      </c>
      <c r="K8204" s="3" t="str">
        <f aca="false">IFERROR(INDEX('Teacher Lookup'!$B$2:$B$200,MATCH(A8204,'Teacher Lookup'!$A$2:$A$200,0)),"")</f>
        <v>FOK Phoebe</v>
      </c>
    </row>
    <row r="8205" customFormat="false" ht="15" hidden="false" customHeight="false" outlineLevel="0" collapsed="false">
      <c r="A8205" s="3" t="s">
        <v>496</v>
      </c>
      <c r="B8205" s="4" t="s">
        <v>44</v>
      </c>
      <c r="C8205" s="4" t="n">
        <v>6</v>
      </c>
      <c r="D8205" s="4" t="s">
        <v>79</v>
      </c>
      <c r="E8205" s="3" t="s">
        <v>209</v>
      </c>
      <c r="F8205" s="4" t="str">
        <f aca="false">IF(I8205&gt;J8205,"Y","N")</f>
        <v>N</v>
      </c>
      <c r="G8205" s="3" t="s">
        <v>15</v>
      </c>
      <c r="H8205" s="3" t="s">
        <v>42</v>
      </c>
      <c r="I8205" s="4" t="n">
        <v>4</v>
      </c>
      <c r="J8205" s="4" t="n">
        <f aca="false">LEN(E8205)-LEN(SUBSTITUTE(E8205,",",""))+1</f>
        <v>4</v>
      </c>
      <c r="K8205" s="3" t="str">
        <f aca="false">IFERROR(INDEX('Teacher Lookup'!$B$2:$B$200,MATCH(A8205,'Teacher Lookup'!$A$2:$A$200,0)),"")</f>
        <v>FOK Phoebe</v>
      </c>
    </row>
    <row r="8206" customFormat="false" ht="15" hidden="false" customHeight="false" outlineLevel="0" collapsed="false">
      <c r="A8206" s="3" t="s">
        <v>496</v>
      </c>
      <c r="B8206" s="4" t="s">
        <v>44</v>
      </c>
      <c r="C8206" s="4" t="n">
        <v>7</v>
      </c>
      <c r="D8206" s="4" t="s">
        <v>70</v>
      </c>
      <c r="E8206" s="3" t="s">
        <v>219</v>
      </c>
      <c r="F8206" s="4" t="str">
        <f aca="false">IF(I8206&gt;J8206,"Y","N")</f>
        <v>N</v>
      </c>
      <c r="G8206" s="3" t="s">
        <v>15</v>
      </c>
      <c r="H8206" s="3" t="s">
        <v>39</v>
      </c>
      <c r="I8206" s="4" t="n">
        <v>4</v>
      </c>
      <c r="J8206" s="4" t="n">
        <f aca="false">LEN(E8206)-LEN(SUBSTITUTE(E8206,",",""))+1</f>
        <v>4</v>
      </c>
      <c r="K8206" s="3" t="str">
        <f aca="false">IFERROR(INDEX('Teacher Lookup'!$B$2:$B$200,MATCH(A8206,'Teacher Lookup'!$A$2:$A$200,0)),"")</f>
        <v>FOK Phoebe</v>
      </c>
    </row>
    <row r="8207" customFormat="false" ht="15" hidden="false" customHeight="false" outlineLevel="0" collapsed="false">
      <c r="A8207" s="3" t="s">
        <v>496</v>
      </c>
      <c r="B8207" s="4" t="s">
        <v>44</v>
      </c>
      <c r="C8207" s="4" t="n">
        <v>7</v>
      </c>
      <c r="D8207" s="4" t="s">
        <v>73</v>
      </c>
      <c r="E8207" s="3" t="s">
        <v>219</v>
      </c>
      <c r="F8207" s="4" t="str">
        <f aca="false">IF(I8207&gt;J8207,"Y","N")</f>
        <v>N</v>
      </c>
      <c r="G8207" s="3" t="s">
        <v>15</v>
      </c>
      <c r="H8207" s="3" t="s">
        <v>39</v>
      </c>
      <c r="I8207" s="4" t="n">
        <v>4</v>
      </c>
      <c r="J8207" s="4" t="n">
        <f aca="false">LEN(E8207)-LEN(SUBSTITUTE(E8207,",",""))+1</f>
        <v>4</v>
      </c>
      <c r="K8207" s="3" t="str">
        <f aca="false">IFERROR(INDEX('Teacher Lookup'!$B$2:$B$200,MATCH(A8207,'Teacher Lookup'!$A$2:$A$200,0)),"")</f>
        <v>FOK Phoebe</v>
      </c>
    </row>
    <row r="8208" customFormat="false" ht="15" hidden="false" customHeight="false" outlineLevel="0" collapsed="false">
      <c r="A8208" s="3" t="s">
        <v>496</v>
      </c>
      <c r="B8208" s="4" t="s">
        <v>44</v>
      </c>
      <c r="C8208" s="4" t="n">
        <v>7</v>
      </c>
      <c r="D8208" s="4" t="s">
        <v>74</v>
      </c>
      <c r="E8208" s="3" t="s">
        <v>219</v>
      </c>
      <c r="F8208" s="4" t="str">
        <f aca="false">IF(I8208&gt;J8208,"Y","N")</f>
        <v>N</v>
      </c>
      <c r="G8208" s="3" t="s">
        <v>15</v>
      </c>
      <c r="H8208" s="3" t="s">
        <v>39</v>
      </c>
      <c r="I8208" s="4" t="n">
        <v>4</v>
      </c>
      <c r="J8208" s="4" t="n">
        <f aca="false">LEN(E8208)-LEN(SUBSTITUTE(E8208,",",""))+1</f>
        <v>4</v>
      </c>
      <c r="K8208" s="3" t="str">
        <f aca="false">IFERROR(INDEX('Teacher Lookup'!$B$2:$B$200,MATCH(A8208,'Teacher Lookup'!$A$2:$A$200,0)),"")</f>
        <v>FOK Phoebe</v>
      </c>
    </row>
    <row r="8209" customFormat="false" ht="15" hidden="false" customHeight="false" outlineLevel="0" collapsed="false">
      <c r="A8209" s="3" t="s">
        <v>496</v>
      </c>
      <c r="B8209" s="4" t="s">
        <v>47</v>
      </c>
      <c r="C8209" s="4" t="n">
        <v>1</v>
      </c>
      <c r="D8209" s="4" t="s">
        <v>76</v>
      </c>
      <c r="E8209" s="3" t="s">
        <v>88</v>
      </c>
      <c r="F8209" s="4" t="str">
        <f aca="false">IF(I8209&gt;J8209,"Y","N")</f>
        <v>N</v>
      </c>
      <c r="G8209" s="3" t="s">
        <v>15</v>
      </c>
      <c r="H8209" s="3" t="s">
        <v>16</v>
      </c>
      <c r="I8209" s="4" t="n">
        <v>4</v>
      </c>
      <c r="J8209" s="4" t="n">
        <f aca="false">LEN(E8209)-LEN(SUBSTITUTE(E8209,",",""))+1</f>
        <v>4</v>
      </c>
      <c r="K8209" s="3" t="str">
        <f aca="false">IFERROR(INDEX('Teacher Lookup'!$B$2:$B$200,MATCH(A8209,'Teacher Lookup'!$A$2:$A$200,0)),"")</f>
        <v>FOK Phoebe</v>
      </c>
    </row>
    <row r="8210" customFormat="false" ht="15" hidden="false" customHeight="false" outlineLevel="0" collapsed="false">
      <c r="A8210" s="3" t="s">
        <v>496</v>
      </c>
      <c r="B8210" s="4" t="s">
        <v>47</v>
      </c>
      <c r="C8210" s="4" t="n">
        <v>1</v>
      </c>
      <c r="D8210" s="4" t="s">
        <v>78</v>
      </c>
      <c r="E8210" s="3" t="s">
        <v>88</v>
      </c>
      <c r="F8210" s="4" t="str">
        <f aca="false">IF(I8210&gt;J8210,"Y","N")</f>
        <v>N</v>
      </c>
      <c r="G8210" s="3" t="s">
        <v>15</v>
      </c>
      <c r="H8210" s="3" t="s">
        <v>16</v>
      </c>
      <c r="I8210" s="4" t="n">
        <v>4</v>
      </c>
      <c r="J8210" s="4" t="n">
        <f aca="false">LEN(E8210)-LEN(SUBSTITUTE(E8210,",",""))+1</f>
        <v>4</v>
      </c>
      <c r="K8210" s="3" t="str">
        <f aca="false">IFERROR(INDEX('Teacher Lookup'!$B$2:$B$200,MATCH(A8210,'Teacher Lookup'!$A$2:$A$200,0)),"")</f>
        <v>FOK Phoebe</v>
      </c>
    </row>
    <row r="8211" customFormat="false" ht="15" hidden="false" customHeight="false" outlineLevel="0" collapsed="false">
      <c r="A8211" s="3" t="s">
        <v>496</v>
      </c>
      <c r="B8211" s="4" t="s">
        <v>47</v>
      </c>
      <c r="C8211" s="4" t="n">
        <v>1</v>
      </c>
      <c r="D8211" s="4" t="s">
        <v>79</v>
      </c>
      <c r="E8211" s="3" t="s">
        <v>88</v>
      </c>
      <c r="F8211" s="4" t="str">
        <f aca="false">IF(I8211&gt;J8211,"Y","N")</f>
        <v>N</v>
      </c>
      <c r="G8211" s="3" t="s">
        <v>15</v>
      </c>
      <c r="H8211" s="3" t="s">
        <v>16</v>
      </c>
      <c r="I8211" s="4" t="n">
        <v>4</v>
      </c>
      <c r="J8211" s="4" t="n">
        <f aca="false">LEN(E8211)-LEN(SUBSTITUTE(E8211,",",""))+1</f>
        <v>4</v>
      </c>
      <c r="K8211" s="3" t="str">
        <f aca="false">IFERROR(INDEX('Teacher Lookup'!$B$2:$B$200,MATCH(A8211,'Teacher Lookup'!$A$2:$A$200,0)),"")</f>
        <v>FOK Phoebe</v>
      </c>
    </row>
    <row r="8212" customFormat="false" ht="15" hidden="false" customHeight="false" outlineLevel="0" collapsed="false">
      <c r="A8212" s="3" t="s">
        <v>496</v>
      </c>
      <c r="B8212" s="4" t="s">
        <v>47</v>
      </c>
      <c r="C8212" s="4" t="n">
        <v>4</v>
      </c>
      <c r="D8212" s="4" t="s">
        <v>70</v>
      </c>
      <c r="E8212" s="3" t="s">
        <v>220</v>
      </c>
      <c r="F8212" s="4" t="str">
        <f aca="false">IF(I8212&gt;J8212,"Y","N")</f>
        <v>N</v>
      </c>
      <c r="G8212" s="3" t="s">
        <v>15</v>
      </c>
      <c r="H8212" s="3" t="s">
        <v>34</v>
      </c>
      <c r="I8212" s="4" t="n">
        <v>4</v>
      </c>
      <c r="J8212" s="4" t="n">
        <f aca="false">LEN(E8212)-LEN(SUBSTITUTE(E8212,",",""))+1</f>
        <v>4</v>
      </c>
      <c r="K8212" s="3" t="str">
        <f aca="false">IFERROR(INDEX('Teacher Lookup'!$B$2:$B$200,MATCH(A8212,'Teacher Lookup'!$A$2:$A$200,0)),"")</f>
        <v>FOK Phoebe</v>
      </c>
    </row>
    <row r="8213" customFormat="false" ht="15" hidden="false" customHeight="false" outlineLevel="0" collapsed="false">
      <c r="A8213" s="3" t="s">
        <v>496</v>
      </c>
      <c r="B8213" s="4" t="s">
        <v>47</v>
      </c>
      <c r="C8213" s="4" t="n">
        <v>4</v>
      </c>
      <c r="D8213" s="4" t="s">
        <v>73</v>
      </c>
      <c r="E8213" s="3" t="s">
        <v>220</v>
      </c>
      <c r="F8213" s="4" t="str">
        <f aca="false">IF(I8213&gt;J8213,"Y","N")</f>
        <v>N</v>
      </c>
      <c r="G8213" s="3" t="s">
        <v>15</v>
      </c>
      <c r="H8213" s="3" t="s">
        <v>34</v>
      </c>
      <c r="I8213" s="4" t="n">
        <v>4</v>
      </c>
      <c r="J8213" s="4" t="n">
        <f aca="false">LEN(E8213)-LEN(SUBSTITUTE(E8213,",",""))+1</f>
        <v>4</v>
      </c>
      <c r="K8213" s="3" t="str">
        <f aca="false">IFERROR(INDEX('Teacher Lookup'!$B$2:$B$200,MATCH(A8213,'Teacher Lookup'!$A$2:$A$200,0)),"")</f>
        <v>FOK Phoebe</v>
      </c>
    </row>
    <row r="8214" customFormat="false" ht="15" hidden="false" customHeight="false" outlineLevel="0" collapsed="false">
      <c r="A8214" s="3" t="s">
        <v>496</v>
      </c>
      <c r="B8214" s="4" t="s">
        <v>47</v>
      </c>
      <c r="C8214" s="4" t="n">
        <v>4</v>
      </c>
      <c r="D8214" s="4" t="s">
        <v>74</v>
      </c>
      <c r="E8214" s="3" t="s">
        <v>220</v>
      </c>
      <c r="F8214" s="4" t="str">
        <f aca="false">IF(I8214&gt;J8214,"Y","N")</f>
        <v>N</v>
      </c>
      <c r="G8214" s="3" t="s">
        <v>15</v>
      </c>
      <c r="H8214" s="3" t="s">
        <v>34</v>
      </c>
      <c r="I8214" s="4" t="n">
        <v>4</v>
      </c>
      <c r="J8214" s="4" t="n">
        <f aca="false">LEN(E8214)-LEN(SUBSTITUTE(E8214,",",""))+1</f>
        <v>4</v>
      </c>
      <c r="K8214" s="3" t="str">
        <f aca="false">IFERROR(INDEX('Teacher Lookup'!$B$2:$B$200,MATCH(A8214,'Teacher Lookup'!$A$2:$A$200,0)),"")</f>
        <v>FOK Phoebe</v>
      </c>
    </row>
    <row r="8215" customFormat="false" ht="15" hidden="false" customHeight="false" outlineLevel="0" collapsed="false">
      <c r="A8215" s="3" t="s">
        <v>496</v>
      </c>
      <c r="B8215" s="4" t="s">
        <v>47</v>
      </c>
      <c r="C8215" s="4" t="n">
        <v>5</v>
      </c>
      <c r="D8215" s="4" t="s">
        <v>24</v>
      </c>
      <c r="E8215" s="3" t="s">
        <v>49</v>
      </c>
      <c r="F8215" s="4" t="str">
        <f aca="false">IF(I8215&gt;J8215,"Y","N")</f>
        <v>N</v>
      </c>
      <c r="G8215" s="3" t="s">
        <v>15</v>
      </c>
      <c r="H8215" s="3" t="s">
        <v>37</v>
      </c>
      <c r="I8215" s="4" t="n">
        <v>6</v>
      </c>
      <c r="J8215" s="4" t="n">
        <f aca="false">LEN(E8215)-LEN(SUBSTITUTE(E8215,",",""))+1</f>
        <v>6</v>
      </c>
      <c r="K8215" s="3" t="str">
        <f aca="false">IFERROR(INDEX('Teacher Lookup'!$B$2:$B$200,MATCH(A8215,'Teacher Lookup'!$A$2:$A$200,0)),"")</f>
        <v>FOK Phoebe</v>
      </c>
    </row>
    <row r="8216" customFormat="false" ht="15" hidden="false" customHeight="false" outlineLevel="0" collapsed="false">
      <c r="A8216" s="3" t="s">
        <v>496</v>
      </c>
      <c r="B8216" s="4" t="s">
        <v>47</v>
      </c>
      <c r="C8216" s="4" t="n">
        <v>5</v>
      </c>
      <c r="D8216" s="4" t="s">
        <v>27</v>
      </c>
      <c r="E8216" s="3" t="s">
        <v>49</v>
      </c>
      <c r="F8216" s="4" t="str">
        <f aca="false">IF(I8216&gt;J8216,"Y","N")</f>
        <v>N</v>
      </c>
      <c r="G8216" s="3" t="s">
        <v>15</v>
      </c>
      <c r="H8216" s="3" t="s">
        <v>37</v>
      </c>
      <c r="I8216" s="4" t="n">
        <v>6</v>
      </c>
      <c r="J8216" s="4" t="n">
        <f aca="false">LEN(E8216)-LEN(SUBSTITUTE(E8216,",",""))+1</f>
        <v>6</v>
      </c>
      <c r="K8216" s="3" t="str">
        <f aca="false">IFERROR(INDEX('Teacher Lookup'!$B$2:$B$200,MATCH(A8216,'Teacher Lookup'!$A$2:$A$200,0)),"")</f>
        <v>FOK Phoebe</v>
      </c>
    </row>
    <row r="8217" customFormat="false" ht="15" hidden="false" customHeight="false" outlineLevel="0" collapsed="false">
      <c r="A8217" s="3" t="s">
        <v>496</v>
      </c>
      <c r="B8217" s="4" t="s">
        <v>47</v>
      </c>
      <c r="C8217" s="4" t="n">
        <v>5</v>
      </c>
      <c r="D8217" s="4" t="s">
        <v>28</v>
      </c>
      <c r="E8217" s="3" t="s">
        <v>49</v>
      </c>
      <c r="F8217" s="4" t="str">
        <f aca="false">IF(I8217&gt;J8217,"Y","N")</f>
        <v>N</v>
      </c>
      <c r="G8217" s="3" t="s">
        <v>15</v>
      </c>
      <c r="H8217" s="3" t="s">
        <v>37</v>
      </c>
      <c r="I8217" s="4" t="n">
        <v>6</v>
      </c>
      <c r="J8217" s="4" t="n">
        <f aca="false">LEN(E8217)-LEN(SUBSTITUTE(E8217,",",""))+1</f>
        <v>6</v>
      </c>
      <c r="K8217" s="3" t="str">
        <f aca="false">IFERROR(INDEX('Teacher Lookup'!$B$2:$B$200,MATCH(A8217,'Teacher Lookup'!$A$2:$A$200,0)),"")</f>
        <v>FOK Phoebe</v>
      </c>
    </row>
    <row r="8218" customFormat="false" ht="15" hidden="false" customHeight="false" outlineLevel="0" collapsed="false">
      <c r="A8218" s="3" t="s">
        <v>496</v>
      </c>
      <c r="B8218" s="4" t="s">
        <v>47</v>
      </c>
      <c r="C8218" s="4" t="n">
        <v>5</v>
      </c>
      <c r="D8218" s="4" t="s">
        <v>29</v>
      </c>
      <c r="E8218" s="3" t="s">
        <v>49</v>
      </c>
      <c r="F8218" s="4" t="str">
        <f aca="false">IF(I8218&gt;J8218,"Y","N")</f>
        <v>N</v>
      </c>
      <c r="G8218" s="3" t="s">
        <v>15</v>
      </c>
      <c r="H8218" s="3" t="s">
        <v>37</v>
      </c>
      <c r="I8218" s="4" t="n">
        <v>6</v>
      </c>
      <c r="J8218" s="4" t="n">
        <f aca="false">LEN(E8218)-LEN(SUBSTITUTE(E8218,",",""))+1</f>
        <v>6</v>
      </c>
      <c r="K8218" s="3" t="str">
        <f aca="false">IFERROR(INDEX('Teacher Lookup'!$B$2:$B$200,MATCH(A8218,'Teacher Lookup'!$A$2:$A$200,0)),"")</f>
        <v>FOK Phoebe</v>
      </c>
    </row>
    <row r="8219" customFormat="false" ht="15" hidden="false" customHeight="false" outlineLevel="0" collapsed="false">
      <c r="A8219" s="3" t="s">
        <v>496</v>
      </c>
      <c r="B8219" s="4" t="s">
        <v>47</v>
      </c>
      <c r="C8219" s="4" t="n">
        <v>5</v>
      </c>
      <c r="D8219" s="4" t="s">
        <v>30</v>
      </c>
      <c r="E8219" s="3" t="s">
        <v>49</v>
      </c>
      <c r="F8219" s="4" t="str">
        <f aca="false">IF(I8219&gt;J8219,"Y","N")</f>
        <v>N</v>
      </c>
      <c r="G8219" s="3" t="s">
        <v>15</v>
      </c>
      <c r="H8219" s="3" t="s">
        <v>37</v>
      </c>
      <c r="I8219" s="4" t="n">
        <v>6</v>
      </c>
      <c r="J8219" s="4" t="n">
        <f aca="false">LEN(E8219)-LEN(SUBSTITUTE(E8219,",",""))+1</f>
        <v>6</v>
      </c>
      <c r="K8219" s="3" t="str">
        <f aca="false">IFERROR(INDEX('Teacher Lookup'!$B$2:$B$200,MATCH(A8219,'Teacher Lookup'!$A$2:$A$200,0)),"")</f>
        <v>FOK Phoebe</v>
      </c>
    </row>
    <row r="8220" customFormat="false" ht="15" hidden="false" customHeight="false" outlineLevel="0" collapsed="false">
      <c r="A8220" s="3" t="s">
        <v>496</v>
      </c>
      <c r="B8220" s="4" t="s">
        <v>50</v>
      </c>
      <c r="C8220" s="4" t="n">
        <v>3</v>
      </c>
      <c r="D8220" s="4" t="s">
        <v>24</v>
      </c>
      <c r="E8220" s="3" t="s">
        <v>41</v>
      </c>
      <c r="F8220" s="4" t="str">
        <f aca="false">IF(I8220&gt;J8220,"Y","N")</f>
        <v>N</v>
      </c>
      <c r="G8220" s="3" t="s">
        <v>15</v>
      </c>
      <c r="H8220" s="3" t="s">
        <v>26</v>
      </c>
      <c r="I8220" s="4" t="n">
        <v>6</v>
      </c>
      <c r="J8220" s="4" t="n">
        <f aca="false">LEN(E8220)-LEN(SUBSTITUTE(E8220,",",""))+1</f>
        <v>6</v>
      </c>
      <c r="K8220" s="3" t="str">
        <f aca="false">IFERROR(INDEX('Teacher Lookup'!$B$2:$B$200,MATCH(A8220,'Teacher Lookup'!$A$2:$A$200,0)),"")</f>
        <v>FOK Phoebe</v>
      </c>
    </row>
    <row r="8221" customFormat="false" ht="15" hidden="false" customHeight="false" outlineLevel="0" collapsed="false">
      <c r="A8221" s="3" t="s">
        <v>496</v>
      </c>
      <c r="B8221" s="4" t="s">
        <v>50</v>
      </c>
      <c r="C8221" s="4" t="n">
        <v>3</v>
      </c>
      <c r="D8221" s="4" t="s">
        <v>27</v>
      </c>
      <c r="E8221" s="3" t="s">
        <v>41</v>
      </c>
      <c r="F8221" s="4" t="str">
        <f aca="false">IF(I8221&gt;J8221,"Y","N")</f>
        <v>N</v>
      </c>
      <c r="G8221" s="3" t="s">
        <v>15</v>
      </c>
      <c r="H8221" s="3" t="s">
        <v>26</v>
      </c>
      <c r="I8221" s="4" t="n">
        <v>6</v>
      </c>
      <c r="J8221" s="4" t="n">
        <f aca="false">LEN(E8221)-LEN(SUBSTITUTE(E8221,",",""))+1</f>
        <v>6</v>
      </c>
      <c r="K8221" s="3" t="str">
        <f aca="false">IFERROR(INDEX('Teacher Lookup'!$B$2:$B$200,MATCH(A8221,'Teacher Lookup'!$A$2:$A$200,0)),"")</f>
        <v>FOK Phoebe</v>
      </c>
    </row>
    <row r="8222" customFormat="false" ht="15" hidden="false" customHeight="false" outlineLevel="0" collapsed="false">
      <c r="A8222" s="3" t="s">
        <v>496</v>
      </c>
      <c r="B8222" s="4" t="s">
        <v>50</v>
      </c>
      <c r="C8222" s="4" t="n">
        <v>3</v>
      </c>
      <c r="D8222" s="4" t="s">
        <v>28</v>
      </c>
      <c r="E8222" s="3" t="s">
        <v>41</v>
      </c>
      <c r="F8222" s="4" t="str">
        <f aca="false">IF(I8222&gt;J8222,"Y","N")</f>
        <v>N</v>
      </c>
      <c r="G8222" s="3" t="s">
        <v>15</v>
      </c>
      <c r="H8222" s="3" t="s">
        <v>26</v>
      </c>
      <c r="I8222" s="4" t="n">
        <v>6</v>
      </c>
      <c r="J8222" s="4" t="n">
        <f aca="false">LEN(E8222)-LEN(SUBSTITUTE(E8222,",",""))+1</f>
        <v>6</v>
      </c>
      <c r="K8222" s="3" t="str">
        <f aca="false">IFERROR(INDEX('Teacher Lookup'!$B$2:$B$200,MATCH(A8222,'Teacher Lookup'!$A$2:$A$200,0)),"")</f>
        <v>FOK Phoebe</v>
      </c>
    </row>
    <row r="8223" customFormat="false" ht="15" hidden="false" customHeight="false" outlineLevel="0" collapsed="false">
      <c r="A8223" s="3" t="s">
        <v>496</v>
      </c>
      <c r="B8223" s="4" t="s">
        <v>50</v>
      </c>
      <c r="C8223" s="4" t="n">
        <v>3</v>
      </c>
      <c r="D8223" s="4" t="s">
        <v>29</v>
      </c>
      <c r="E8223" s="3" t="s">
        <v>41</v>
      </c>
      <c r="F8223" s="4" t="str">
        <f aca="false">IF(I8223&gt;J8223,"Y","N")</f>
        <v>N</v>
      </c>
      <c r="G8223" s="3" t="s">
        <v>15</v>
      </c>
      <c r="H8223" s="3" t="s">
        <v>26</v>
      </c>
      <c r="I8223" s="4" t="n">
        <v>6</v>
      </c>
      <c r="J8223" s="4" t="n">
        <f aca="false">LEN(E8223)-LEN(SUBSTITUTE(E8223,",",""))+1</f>
        <v>6</v>
      </c>
      <c r="K8223" s="3" t="str">
        <f aca="false">IFERROR(INDEX('Teacher Lookup'!$B$2:$B$200,MATCH(A8223,'Teacher Lookup'!$A$2:$A$200,0)),"")</f>
        <v>FOK Phoebe</v>
      </c>
    </row>
    <row r="8224" customFormat="false" ht="15" hidden="false" customHeight="false" outlineLevel="0" collapsed="false">
      <c r="A8224" s="3" t="s">
        <v>496</v>
      </c>
      <c r="B8224" s="4" t="s">
        <v>50</v>
      </c>
      <c r="C8224" s="4" t="n">
        <v>3</v>
      </c>
      <c r="D8224" s="4" t="s">
        <v>30</v>
      </c>
      <c r="E8224" s="3" t="s">
        <v>41</v>
      </c>
      <c r="F8224" s="4" t="str">
        <f aca="false">IF(I8224&gt;J8224,"Y","N")</f>
        <v>N</v>
      </c>
      <c r="G8224" s="3" t="s">
        <v>15</v>
      </c>
      <c r="H8224" s="3" t="s">
        <v>26</v>
      </c>
      <c r="I8224" s="4" t="n">
        <v>6</v>
      </c>
      <c r="J8224" s="4" t="n">
        <f aca="false">LEN(E8224)-LEN(SUBSTITUTE(E8224,",",""))+1</f>
        <v>6</v>
      </c>
      <c r="K8224" s="3" t="str">
        <f aca="false">IFERROR(INDEX('Teacher Lookup'!$B$2:$B$200,MATCH(A8224,'Teacher Lookup'!$A$2:$A$200,0)),"")</f>
        <v>FOK Phoebe</v>
      </c>
    </row>
    <row r="8225" customFormat="false" ht="15" hidden="false" customHeight="false" outlineLevel="0" collapsed="false">
      <c r="A8225" s="3" t="s">
        <v>496</v>
      </c>
      <c r="B8225" s="4" t="s">
        <v>50</v>
      </c>
      <c r="C8225" s="4" t="n">
        <v>4</v>
      </c>
      <c r="D8225" s="4" t="s">
        <v>137</v>
      </c>
      <c r="E8225" s="3" t="s">
        <v>221</v>
      </c>
      <c r="F8225" s="4" t="str">
        <f aca="false">IF(I8225&gt;J8225,"Y","N")</f>
        <v>Y</v>
      </c>
      <c r="G8225" s="3" t="s">
        <v>222</v>
      </c>
      <c r="H8225" s="3" t="s">
        <v>34</v>
      </c>
      <c r="I8225" s="4" t="n">
        <v>15</v>
      </c>
      <c r="J8225" s="4" t="n">
        <f aca="false">LEN(E8225)-LEN(SUBSTITUTE(E8225,",",""))+1</f>
        <v>7</v>
      </c>
      <c r="K8225" s="3" t="str">
        <f aca="false">IFERROR(INDEX('Teacher Lookup'!$B$2:$B$200,MATCH(A8225,'Teacher Lookup'!$A$2:$A$200,0)),"")</f>
        <v>FOK Phoebe</v>
      </c>
    </row>
    <row r="8226" customFormat="false" ht="15" hidden="false" customHeight="false" outlineLevel="0" collapsed="false">
      <c r="A8226" s="3" t="s">
        <v>496</v>
      </c>
      <c r="B8226" s="4" t="s">
        <v>50</v>
      </c>
      <c r="C8226" s="4" t="n">
        <v>4</v>
      </c>
      <c r="D8226" s="4" t="s">
        <v>124</v>
      </c>
      <c r="E8226" s="3" t="s">
        <v>221</v>
      </c>
      <c r="F8226" s="4" t="str">
        <f aca="false">IF(I8226&gt;J8226,"Y","N")</f>
        <v>Y</v>
      </c>
      <c r="G8226" s="3" t="s">
        <v>222</v>
      </c>
      <c r="H8226" s="3" t="s">
        <v>34</v>
      </c>
      <c r="I8226" s="4" t="n">
        <v>15</v>
      </c>
      <c r="J8226" s="4" t="n">
        <f aca="false">LEN(E8226)-LEN(SUBSTITUTE(E8226,",",""))+1</f>
        <v>7</v>
      </c>
      <c r="K8226" s="3" t="str">
        <f aca="false">IFERROR(INDEX('Teacher Lookup'!$B$2:$B$200,MATCH(A8226,'Teacher Lookup'!$A$2:$A$200,0)),"")</f>
        <v>FOK Phoebe</v>
      </c>
    </row>
    <row r="8227" customFormat="false" ht="15" hidden="false" customHeight="false" outlineLevel="0" collapsed="false">
      <c r="A8227" s="3" t="s">
        <v>496</v>
      </c>
      <c r="B8227" s="4" t="s">
        <v>50</v>
      </c>
      <c r="C8227" s="4" t="n">
        <v>4</v>
      </c>
      <c r="D8227" s="4" t="s">
        <v>139</v>
      </c>
      <c r="E8227" s="3" t="s">
        <v>221</v>
      </c>
      <c r="F8227" s="4" t="str">
        <f aca="false">IF(I8227&gt;J8227,"Y","N")</f>
        <v>Y</v>
      </c>
      <c r="G8227" s="3" t="s">
        <v>222</v>
      </c>
      <c r="H8227" s="3" t="s">
        <v>34</v>
      </c>
      <c r="I8227" s="4" t="n">
        <v>15</v>
      </c>
      <c r="J8227" s="4" t="n">
        <f aca="false">LEN(E8227)-LEN(SUBSTITUTE(E8227,",",""))+1</f>
        <v>7</v>
      </c>
      <c r="K8227" s="3" t="str">
        <f aca="false">IFERROR(INDEX('Teacher Lookup'!$B$2:$B$200,MATCH(A8227,'Teacher Lookup'!$A$2:$A$200,0)),"")</f>
        <v>FOK Phoebe</v>
      </c>
    </row>
    <row r="8228" customFormat="false" ht="15" hidden="false" customHeight="false" outlineLevel="0" collapsed="false">
      <c r="A8228" s="3" t="s">
        <v>496</v>
      </c>
      <c r="B8228" s="4" t="s">
        <v>50</v>
      </c>
      <c r="C8228" s="4" t="n">
        <v>4</v>
      </c>
      <c r="D8228" s="4" t="s">
        <v>140</v>
      </c>
      <c r="E8228" s="3" t="s">
        <v>221</v>
      </c>
      <c r="F8228" s="4" t="str">
        <f aca="false">IF(I8228&gt;J8228,"Y","N")</f>
        <v>Y</v>
      </c>
      <c r="G8228" s="3" t="s">
        <v>222</v>
      </c>
      <c r="H8228" s="3" t="s">
        <v>34</v>
      </c>
      <c r="I8228" s="4" t="n">
        <v>15</v>
      </c>
      <c r="J8228" s="4" t="n">
        <f aca="false">LEN(E8228)-LEN(SUBSTITUTE(E8228,",",""))+1</f>
        <v>7</v>
      </c>
      <c r="K8228" s="3" t="str">
        <f aca="false">IFERROR(INDEX('Teacher Lookup'!$B$2:$B$200,MATCH(A8228,'Teacher Lookup'!$A$2:$A$200,0)),"")</f>
        <v>FOK Phoebe</v>
      </c>
    </row>
    <row r="8229" customFormat="false" ht="15" hidden="false" customHeight="false" outlineLevel="0" collapsed="false">
      <c r="A8229" s="3" t="s">
        <v>496</v>
      </c>
      <c r="B8229" s="4" t="s">
        <v>50</v>
      </c>
      <c r="C8229" s="4" t="n">
        <v>4</v>
      </c>
      <c r="D8229" s="4" t="s">
        <v>142</v>
      </c>
      <c r="E8229" s="3" t="s">
        <v>221</v>
      </c>
      <c r="F8229" s="4" t="str">
        <f aca="false">IF(I8229&gt;J8229,"Y","N")</f>
        <v>Y</v>
      </c>
      <c r="G8229" s="3" t="s">
        <v>222</v>
      </c>
      <c r="H8229" s="3" t="s">
        <v>34</v>
      </c>
      <c r="I8229" s="4" t="n">
        <v>15</v>
      </c>
      <c r="J8229" s="4" t="n">
        <f aca="false">LEN(E8229)-LEN(SUBSTITUTE(E8229,",",""))+1</f>
        <v>7</v>
      </c>
      <c r="K8229" s="3" t="str">
        <f aca="false">IFERROR(INDEX('Teacher Lookup'!$B$2:$B$200,MATCH(A8229,'Teacher Lookup'!$A$2:$A$200,0)),"")</f>
        <v>FOK Phoebe</v>
      </c>
    </row>
    <row r="8230" customFormat="false" ht="15" hidden="false" customHeight="false" outlineLevel="0" collapsed="false">
      <c r="A8230" s="3" t="s">
        <v>496</v>
      </c>
      <c r="B8230" s="4" t="s">
        <v>50</v>
      </c>
      <c r="C8230" s="4" t="n">
        <v>4</v>
      </c>
      <c r="D8230" s="4" t="s">
        <v>127</v>
      </c>
      <c r="E8230" s="3" t="s">
        <v>221</v>
      </c>
      <c r="F8230" s="4" t="str">
        <f aca="false">IF(I8230&gt;J8230,"Y","N")</f>
        <v>Y</v>
      </c>
      <c r="G8230" s="3" t="s">
        <v>222</v>
      </c>
      <c r="H8230" s="3" t="s">
        <v>34</v>
      </c>
      <c r="I8230" s="4" t="n">
        <v>15</v>
      </c>
      <c r="J8230" s="4" t="n">
        <f aca="false">LEN(E8230)-LEN(SUBSTITUTE(E8230,",",""))+1</f>
        <v>7</v>
      </c>
      <c r="K8230" s="3" t="str">
        <f aca="false">IFERROR(INDEX('Teacher Lookup'!$B$2:$B$200,MATCH(A8230,'Teacher Lookup'!$A$2:$A$200,0)),"")</f>
        <v>FOK Phoebe</v>
      </c>
    </row>
    <row r="8231" customFormat="false" ht="15" hidden="false" customHeight="false" outlineLevel="0" collapsed="false">
      <c r="A8231" s="3" t="s">
        <v>496</v>
      </c>
      <c r="B8231" s="4" t="s">
        <v>50</v>
      </c>
      <c r="C8231" s="4" t="n">
        <v>5</v>
      </c>
      <c r="D8231" s="4" t="s">
        <v>137</v>
      </c>
      <c r="E8231" s="3" t="s">
        <v>221</v>
      </c>
      <c r="F8231" s="4" t="str">
        <f aca="false">IF(I8231&gt;J8231,"Y","N")</f>
        <v>Y</v>
      </c>
      <c r="G8231" s="3" t="s">
        <v>222</v>
      </c>
      <c r="H8231" s="3" t="s">
        <v>37</v>
      </c>
      <c r="I8231" s="4" t="n">
        <v>15</v>
      </c>
      <c r="J8231" s="4" t="n">
        <f aca="false">LEN(E8231)-LEN(SUBSTITUTE(E8231,",",""))+1</f>
        <v>7</v>
      </c>
      <c r="K8231" s="3" t="str">
        <f aca="false">IFERROR(INDEX('Teacher Lookup'!$B$2:$B$200,MATCH(A8231,'Teacher Lookup'!$A$2:$A$200,0)),"")</f>
        <v>FOK Phoebe</v>
      </c>
    </row>
    <row r="8232" customFormat="false" ht="15" hidden="false" customHeight="false" outlineLevel="0" collapsed="false">
      <c r="A8232" s="3" t="s">
        <v>496</v>
      </c>
      <c r="B8232" s="4" t="s">
        <v>50</v>
      </c>
      <c r="C8232" s="4" t="n">
        <v>5</v>
      </c>
      <c r="D8232" s="4" t="s">
        <v>124</v>
      </c>
      <c r="E8232" s="3" t="s">
        <v>221</v>
      </c>
      <c r="F8232" s="4" t="str">
        <f aca="false">IF(I8232&gt;J8232,"Y","N")</f>
        <v>Y</v>
      </c>
      <c r="G8232" s="3" t="s">
        <v>222</v>
      </c>
      <c r="H8232" s="3" t="s">
        <v>37</v>
      </c>
      <c r="I8232" s="4" t="n">
        <v>15</v>
      </c>
      <c r="J8232" s="4" t="n">
        <f aca="false">LEN(E8232)-LEN(SUBSTITUTE(E8232,",",""))+1</f>
        <v>7</v>
      </c>
      <c r="K8232" s="3" t="str">
        <f aca="false">IFERROR(INDEX('Teacher Lookup'!$B$2:$B$200,MATCH(A8232,'Teacher Lookup'!$A$2:$A$200,0)),"")</f>
        <v>FOK Phoebe</v>
      </c>
    </row>
    <row r="8233" customFormat="false" ht="15" hidden="false" customHeight="false" outlineLevel="0" collapsed="false">
      <c r="A8233" s="3" t="s">
        <v>496</v>
      </c>
      <c r="B8233" s="4" t="s">
        <v>50</v>
      </c>
      <c r="C8233" s="4" t="n">
        <v>5</v>
      </c>
      <c r="D8233" s="4" t="s">
        <v>139</v>
      </c>
      <c r="E8233" s="3" t="s">
        <v>221</v>
      </c>
      <c r="F8233" s="4" t="str">
        <f aca="false">IF(I8233&gt;J8233,"Y","N")</f>
        <v>Y</v>
      </c>
      <c r="G8233" s="3" t="s">
        <v>222</v>
      </c>
      <c r="H8233" s="3" t="s">
        <v>37</v>
      </c>
      <c r="I8233" s="4" t="n">
        <v>15</v>
      </c>
      <c r="J8233" s="4" t="n">
        <f aca="false">LEN(E8233)-LEN(SUBSTITUTE(E8233,",",""))+1</f>
        <v>7</v>
      </c>
      <c r="K8233" s="3" t="str">
        <f aca="false">IFERROR(INDEX('Teacher Lookup'!$B$2:$B$200,MATCH(A8233,'Teacher Lookup'!$A$2:$A$200,0)),"")</f>
        <v>FOK Phoebe</v>
      </c>
    </row>
    <row r="8234" customFormat="false" ht="15" hidden="false" customHeight="false" outlineLevel="0" collapsed="false">
      <c r="A8234" s="3" t="s">
        <v>496</v>
      </c>
      <c r="B8234" s="4" t="s">
        <v>50</v>
      </c>
      <c r="C8234" s="4" t="n">
        <v>5</v>
      </c>
      <c r="D8234" s="4" t="s">
        <v>140</v>
      </c>
      <c r="E8234" s="3" t="s">
        <v>221</v>
      </c>
      <c r="F8234" s="4" t="str">
        <f aca="false">IF(I8234&gt;J8234,"Y","N")</f>
        <v>Y</v>
      </c>
      <c r="G8234" s="3" t="s">
        <v>222</v>
      </c>
      <c r="H8234" s="3" t="s">
        <v>37</v>
      </c>
      <c r="I8234" s="4" t="n">
        <v>15</v>
      </c>
      <c r="J8234" s="4" t="n">
        <f aca="false">LEN(E8234)-LEN(SUBSTITUTE(E8234,",",""))+1</f>
        <v>7</v>
      </c>
      <c r="K8234" s="3" t="str">
        <f aca="false">IFERROR(INDEX('Teacher Lookup'!$B$2:$B$200,MATCH(A8234,'Teacher Lookup'!$A$2:$A$200,0)),"")</f>
        <v>FOK Phoebe</v>
      </c>
    </row>
    <row r="8235" customFormat="false" ht="15" hidden="false" customHeight="false" outlineLevel="0" collapsed="false">
      <c r="A8235" s="3" t="s">
        <v>496</v>
      </c>
      <c r="B8235" s="4" t="s">
        <v>50</v>
      </c>
      <c r="C8235" s="4" t="n">
        <v>5</v>
      </c>
      <c r="D8235" s="4" t="s">
        <v>142</v>
      </c>
      <c r="E8235" s="3" t="s">
        <v>221</v>
      </c>
      <c r="F8235" s="4" t="str">
        <f aca="false">IF(I8235&gt;J8235,"Y","N")</f>
        <v>Y</v>
      </c>
      <c r="G8235" s="3" t="s">
        <v>222</v>
      </c>
      <c r="H8235" s="3" t="s">
        <v>37</v>
      </c>
      <c r="I8235" s="4" t="n">
        <v>15</v>
      </c>
      <c r="J8235" s="4" t="n">
        <f aca="false">LEN(E8235)-LEN(SUBSTITUTE(E8235,",",""))+1</f>
        <v>7</v>
      </c>
      <c r="K8235" s="3" t="str">
        <f aca="false">IFERROR(INDEX('Teacher Lookup'!$B$2:$B$200,MATCH(A8235,'Teacher Lookup'!$A$2:$A$200,0)),"")</f>
        <v>FOK Phoebe</v>
      </c>
    </row>
    <row r="8236" customFormat="false" ht="15" hidden="false" customHeight="false" outlineLevel="0" collapsed="false">
      <c r="A8236" s="3" t="s">
        <v>496</v>
      </c>
      <c r="B8236" s="4" t="s">
        <v>50</v>
      </c>
      <c r="C8236" s="4" t="n">
        <v>5</v>
      </c>
      <c r="D8236" s="4" t="s">
        <v>127</v>
      </c>
      <c r="E8236" s="3" t="s">
        <v>221</v>
      </c>
      <c r="F8236" s="4" t="str">
        <f aca="false">IF(I8236&gt;J8236,"Y","N")</f>
        <v>Y</v>
      </c>
      <c r="G8236" s="3" t="s">
        <v>222</v>
      </c>
      <c r="H8236" s="3" t="s">
        <v>37</v>
      </c>
      <c r="I8236" s="4" t="n">
        <v>15</v>
      </c>
      <c r="J8236" s="4" t="n">
        <f aca="false">LEN(E8236)-LEN(SUBSTITUTE(E8236,",",""))+1</f>
        <v>7</v>
      </c>
      <c r="K8236" s="3" t="str">
        <f aca="false">IFERROR(INDEX('Teacher Lookup'!$B$2:$B$200,MATCH(A8236,'Teacher Lookup'!$A$2:$A$200,0)),"")</f>
        <v>FOK Phoebe</v>
      </c>
    </row>
    <row r="8237" customFormat="false" ht="15" hidden="false" customHeight="false" outlineLevel="0" collapsed="false">
      <c r="A8237" s="3" t="s">
        <v>496</v>
      </c>
      <c r="B8237" s="4" t="s">
        <v>50</v>
      </c>
      <c r="C8237" s="4" t="n">
        <v>6</v>
      </c>
      <c r="D8237" s="4" t="s">
        <v>76</v>
      </c>
      <c r="E8237" s="3" t="s">
        <v>165</v>
      </c>
      <c r="F8237" s="4" t="str">
        <f aca="false">IF(I8237&gt;J8237,"Y","N")</f>
        <v>N</v>
      </c>
      <c r="G8237" s="3" t="s">
        <v>15</v>
      </c>
      <c r="H8237" s="3" t="s">
        <v>42</v>
      </c>
      <c r="I8237" s="4" t="n">
        <v>4</v>
      </c>
      <c r="J8237" s="4" t="n">
        <f aca="false">LEN(E8237)-LEN(SUBSTITUTE(E8237,",",""))+1</f>
        <v>4</v>
      </c>
      <c r="K8237" s="3" t="str">
        <f aca="false">IFERROR(INDEX('Teacher Lookup'!$B$2:$B$200,MATCH(A8237,'Teacher Lookup'!$A$2:$A$200,0)),"")</f>
        <v>FOK Phoebe</v>
      </c>
    </row>
    <row r="8238" customFormat="false" ht="15" hidden="false" customHeight="false" outlineLevel="0" collapsed="false">
      <c r="A8238" s="3" t="s">
        <v>496</v>
      </c>
      <c r="B8238" s="4" t="s">
        <v>50</v>
      </c>
      <c r="C8238" s="4" t="n">
        <v>6</v>
      </c>
      <c r="D8238" s="4" t="s">
        <v>78</v>
      </c>
      <c r="E8238" s="3" t="s">
        <v>165</v>
      </c>
      <c r="F8238" s="4" t="str">
        <f aca="false">IF(I8238&gt;J8238,"Y","N")</f>
        <v>N</v>
      </c>
      <c r="G8238" s="3" t="s">
        <v>15</v>
      </c>
      <c r="H8238" s="3" t="s">
        <v>42</v>
      </c>
      <c r="I8238" s="4" t="n">
        <v>4</v>
      </c>
      <c r="J8238" s="4" t="n">
        <f aca="false">LEN(E8238)-LEN(SUBSTITUTE(E8238,",",""))+1</f>
        <v>4</v>
      </c>
      <c r="K8238" s="3" t="str">
        <f aca="false">IFERROR(INDEX('Teacher Lookup'!$B$2:$B$200,MATCH(A8238,'Teacher Lookup'!$A$2:$A$200,0)),"")</f>
        <v>FOK Phoebe</v>
      </c>
    </row>
    <row r="8239" customFormat="false" ht="15" hidden="false" customHeight="false" outlineLevel="0" collapsed="false">
      <c r="A8239" s="3" t="s">
        <v>496</v>
      </c>
      <c r="B8239" s="4" t="s">
        <v>50</v>
      </c>
      <c r="C8239" s="4" t="n">
        <v>6</v>
      </c>
      <c r="D8239" s="4" t="s">
        <v>79</v>
      </c>
      <c r="E8239" s="3" t="s">
        <v>165</v>
      </c>
      <c r="F8239" s="4" t="str">
        <f aca="false">IF(I8239&gt;J8239,"Y","N")</f>
        <v>N</v>
      </c>
      <c r="G8239" s="3" t="s">
        <v>15</v>
      </c>
      <c r="H8239" s="3" t="s">
        <v>42</v>
      </c>
      <c r="I8239" s="4" t="n">
        <v>4</v>
      </c>
      <c r="J8239" s="4" t="n">
        <f aca="false">LEN(E8239)-LEN(SUBSTITUTE(E8239,",",""))+1</f>
        <v>4</v>
      </c>
      <c r="K8239" s="3" t="str">
        <f aca="false">IFERROR(INDEX('Teacher Lookup'!$B$2:$B$200,MATCH(A8239,'Teacher Lookup'!$A$2:$A$200,0)),"")</f>
        <v>FOK Phoebe</v>
      </c>
    </row>
    <row r="8240" customFormat="false" ht="15" hidden="false" customHeight="false" outlineLevel="0" collapsed="false">
      <c r="A8240" s="3" t="s">
        <v>496</v>
      </c>
      <c r="B8240" s="4" t="s">
        <v>50</v>
      </c>
      <c r="C8240" s="4" t="n">
        <v>7</v>
      </c>
      <c r="D8240" s="4" t="s">
        <v>70</v>
      </c>
      <c r="E8240" s="3" t="s">
        <v>83</v>
      </c>
      <c r="F8240" s="4" t="str">
        <f aca="false">IF(I8240&gt;J8240,"Y","N")</f>
        <v>N</v>
      </c>
      <c r="G8240" s="3" t="s">
        <v>15</v>
      </c>
      <c r="H8240" s="3" t="s">
        <v>39</v>
      </c>
      <c r="I8240" s="4" t="n">
        <v>4</v>
      </c>
      <c r="J8240" s="4" t="n">
        <f aca="false">LEN(E8240)-LEN(SUBSTITUTE(E8240,",",""))+1</f>
        <v>4</v>
      </c>
      <c r="K8240" s="3" t="str">
        <f aca="false">IFERROR(INDEX('Teacher Lookup'!$B$2:$B$200,MATCH(A8240,'Teacher Lookup'!$A$2:$A$200,0)),"")</f>
        <v>FOK Phoebe</v>
      </c>
    </row>
    <row r="8241" customFormat="false" ht="15" hidden="false" customHeight="false" outlineLevel="0" collapsed="false">
      <c r="A8241" s="3" t="s">
        <v>496</v>
      </c>
      <c r="B8241" s="4" t="s">
        <v>50</v>
      </c>
      <c r="C8241" s="4" t="n">
        <v>7</v>
      </c>
      <c r="D8241" s="4" t="s">
        <v>73</v>
      </c>
      <c r="E8241" s="3" t="s">
        <v>83</v>
      </c>
      <c r="F8241" s="4" t="str">
        <f aca="false">IF(I8241&gt;J8241,"Y","N")</f>
        <v>N</v>
      </c>
      <c r="G8241" s="3" t="s">
        <v>15</v>
      </c>
      <c r="H8241" s="3" t="s">
        <v>39</v>
      </c>
      <c r="I8241" s="4" t="n">
        <v>4</v>
      </c>
      <c r="J8241" s="4" t="n">
        <f aca="false">LEN(E8241)-LEN(SUBSTITUTE(E8241,",",""))+1</f>
        <v>4</v>
      </c>
      <c r="K8241" s="3" t="str">
        <f aca="false">IFERROR(INDEX('Teacher Lookup'!$B$2:$B$200,MATCH(A8241,'Teacher Lookup'!$A$2:$A$200,0)),"")</f>
        <v>FOK Phoebe</v>
      </c>
    </row>
    <row r="8242" customFormat="false" ht="15" hidden="false" customHeight="false" outlineLevel="0" collapsed="false">
      <c r="A8242" s="3" t="s">
        <v>496</v>
      </c>
      <c r="B8242" s="4" t="s">
        <v>50</v>
      </c>
      <c r="C8242" s="4" t="n">
        <v>7</v>
      </c>
      <c r="D8242" s="4" t="s">
        <v>74</v>
      </c>
      <c r="E8242" s="3" t="s">
        <v>83</v>
      </c>
      <c r="F8242" s="4" t="str">
        <f aca="false">IF(I8242&gt;J8242,"Y","N")</f>
        <v>N</v>
      </c>
      <c r="G8242" s="3" t="s">
        <v>15</v>
      </c>
      <c r="H8242" s="3" t="s">
        <v>39</v>
      </c>
      <c r="I8242" s="4" t="n">
        <v>4</v>
      </c>
      <c r="J8242" s="4" t="n">
        <f aca="false">LEN(E8242)-LEN(SUBSTITUTE(E8242,",",""))+1</f>
        <v>4</v>
      </c>
      <c r="K8242" s="3" t="str">
        <f aca="false">IFERROR(INDEX('Teacher Lookup'!$B$2:$B$200,MATCH(A8242,'Teacher Lookup'!$A$2:$A$200,0)),"")</f>
        <v>FOK Phoebe</v>
      </c>
    </row>
    <row r="8243" customFormat="false" ht="15" hidden="false" customHeight="false" outlineLevel="0" collapsed="false">
      <c r="A8243" s="3" t="s">
        <v>496</v>
      </c>
      <c r="B8243" s="4" t="s">
        <v>60</v>
      </c>
      <c r="C8243" s="4" t="n">
        <v>4</v>
      </c>
      <c r="D8243" s="4" t="s">
        <v>76</v>
      </c>
      <c r="E8243" s="3" t="s">
        <v>80</v>
      </c>
      <c r="F8243" s="4" t="str">
        <f aca="false">IF(I8243&gt;J8243,"Y","N")</f>
        <v>N</v>
      </c>
      <c r="G8243" s="3" t="s">
        <v>15</v>
      </c>
      <c r="H8243" s="3" t="s">
        <v>34</v>
      </c>
      <c r="I8243" s="4" t="n">
        <v>4</v>
      </c>
      <c r="J8243" s="4" t="n">
        <f aca="false">LEN(E8243)-LEN(SUBSTITUTE(E8243,",",""))+1</f>
        <v>4</v>
      </c>
      <c r="K8243" s="3" t="str">
        <f aca="false">IFERROR(INDEX('Teacher Lookup'!$B$2:$B$200,MATCH(A8243,'Teacher Lookup'!$A$2:$A$200,0)),"")</f>
        <v>FOK Phoebe</v>
      </c>
    </row>
    <row r="8244" customFormat="false" ht="15" hidden="false" customHeight="false" outlineLevel="0" collapsed="false">
      <c r="A8244" s="3" t="s">
        <v>496</v>
      </c>
      <c r="B8244" s="4" t="s">
        <v>60</v>
      </c>
      <c r="C8244" s="4" t="n">
        <v>4</v>
      </c>
      <c r="D8244" s="4" t="s">
        <v>78</v>
      </c>
      <c r="E8244" s="3" t="s">
        <v>80</v>
      </c>
      <c r="F8244" s="4" t="str">
        <f aca="false">IF(I8244&gt;J8244,"Y","N")</f>
        <v>N</v>
      </c>
      <c r="G8244" s="3" t="s">
        <v>15</v>
      </c>
      <c r="H8244" s="3" t="s">
        <v>34</v>
      </c>
      <c r="I8244" s="4" t="n">
        <v>4</v>
      </c>
      <c r="J8244" s="4" t="n">
        <f aca="false">LEN(E8244)-LEN(SUBSTITUTE(E8244,",",""))+1</f>
        <v>4</v>
      </c>
      <c r="K8244" s="3" t="str">
        <f aca="false">IFERROR(INDEX('Teacher Lookup'!$B$2:$B$200,MATCH(A8244,'Teacher Lookup'!$A$2:$A$200,0)),"")</f>
        <v>FOK Phoebe</v>
      </c>
    </row>
    <row r="8245" customFormat="false" ht="15" hidden="false" customHeight="false" outlineLevel="0" collapsed="false">
      <c r="A8245" s="3" t="s">
        <v>496</v>
      </c>
      <c r="B8245" s="4" t="s">
        <v>60</v>
      </c>
      <c r="C8245" s="4" t="n">
        <v>4</v>
      </c>
      <c r="D8245" s="4" t="s">
        <v>79</v>
      </c>
      <c r="E8245" s="3" t="s">
        <v>80</v>
      </c>
      <c r="F8245" s="4" t="str">
        <f aca="false">IF(I8245&gt;J8245,"Y","N")</f>
        <v>N</v>
      </c>
      <c r="G8245" s="3" t="s">
        <v>15</v>
      </c>
      <c r="H8245" s="3" t="s">
        <v>34</v>
      </c>
      <c r="I8245" s="4" t="n">
        <v>4</v>
      </c>
      <c r="J8245" s="4" t="n">
        <f aca="false">LEN(E8245)-LEN(SUBSTITUTE(E8245,",",""))+1</f>
        <v>4</v>
      </c>
      <c r="K8245" s="3" t="str">
        <f aca="false">IFERROR(INDEX('Teacher Lookup'!$B$2:$B$200,MATCH(A8245,'Teacher Lookup'!$A$2:$A$200,0)),"")</f>
        <v>FOK Phoebe</v>
      </c>
    </row>
    <row r="8246" customFormat="false" ht="15" hidden="false" customHeight="false" outlineLevel="0" collapsed="false">
      <c r="A8246" s="3" t="s">
        <v>496</v>
      </c>
      <c r="B8246" s="4" t="s">
        <v>60</v>
      </c>
      <c r="C8246" s="4" t="n">
        <v>5</v>
      </c>
      <c r="D8246" s="4" t="s">
        <v>70</v>
      </c>
      <c r="E8246" s="3" t="s">
        <v>81</v>
      </c>
      <c r="F8246" s="4" t="str">
        <f aca="false">IF(I8246&gt;J8246,"Y","N")</f>
        <v>Y</v>
      </c>
      <c r="G8246" s="3" t="s">
        <v>36</v>
      </c>
      <c r="H8246" s="3" t="s">
        <v>37</v>
      </c>
      <c r="I8246" s="4" t="n">
        <v>15</v>
      </c>
      <c r="J8246" s="4" t="n">
        <f aca="false">LEN(E8246)-LEN(SUBSTITUTE(E8246,",",""))+1</f>
        <v>7</v>
      </c>
      <c r="K8246" s="3" t="str">
        <f aca="false">IFERROR(INDEX('Teacher Lookup'!$B$2:$B$200,MATCH(A8246,'Teacher Lookup'!$A$2:$A$200,0)),"")</f>
        <v>FOK Phoebe</v>
      </c>
    </row>
    <row r="8247" customFormat="false" ht="15" hidden="false" customHeight="false" outlineLevel="0" collapsed="false">
      <c r="A8247" s="3" t="s">
        <v>496</v>
      </c>
      <c r="B8247" s="4" t="s">
        <v>60</v>
      </c>
      <c r="C8247" s="4" t="n">
        <v>5</v>
      </c>
      <c r="D8247" s="4" t="s">
        <v>73</v>
      </c>
      <c r="E8247" s="3" t="s">
        <v>81</v>
      </c>
      <c r="F8247" s="4" t="str">
        <f aca="false">IF(I8247&gt;J8247,"Y","N")</f>
        <v>Y</v>
      </c>
      <c r="G8247" s="3" t="s">
        <v>36</v>
      </c>
      <c r="H8247" s="3" t="s">
        <v>37</v>
      </c>
      <c r="I8247" s="4" t="n">
        <v>15</v>
      </c>
      <c r="J8247" s="4" t="n">
        <f aca="false">LEN(E8247)-LEN(SUBSTITUTE(E8247,",",""))+1</f>
        <v>7</v>
      </c>
      <c r="K8247" s="3" t="str">
        <f aca="false">IFERROR(INDEX('Teacher Lookup'!$B$2:$B$200,MATCH(A8247,'Teacher Lookup'!$A$2:$A$200,0)),"")</f>
        <v>FOK Phoebe</v>
      </c>
    </row>
    <row r="8248" customFormat="false" ht="15" hidden="false" customHeight="false" outlineLevel="0" collapsed="false">
      <c r="A8248" s="3" t="s">
        <v>496</v>
      </c>
      <c r="B8248" s="4" t="s">
        <v>60</v>
      </c>
      <c r="C8248" s="4" t="n">
        <v>5</v>
      </c>
      <c r="D8248" s="4" t="s">
        <v>74</v>
      </c>
      <c r="E8248" s="3" t="s">
        <v>81</v>
      </c>
      <c r="F8248" s="4" t="str">
        <f aca="false">IF(I8248&gt;J8248,"Y","N")</f>
        <v>Y</v>
      </c>
      <c r="G8248" s="3" t="s">
        <v>36</v>
      </c>
      <c r="H8248" s="3" t="s">
        <v>37</v>
      </c>
      <c r="I8248" s="4" t="n">
        <v>15</v>
      </c>
      <c r="J8248" s="4" t="n">
        <f aca="false">LEN(E8248)-LEN(SUBSTITUTE(E8248,",",""))+1</f>
        <v>7</v>
      </c>
      <c r="K8248" s="3" t="str">
        <f aca="false">IFERROR(INDEX('Teacher Lookup'!$B$2:$B$200,MATCH(A8248,'Teacher Lookup'!$A$2:$A$200,0)),"")</f>
        <v>FOK Phoebe</v>
      </c>
    </row>
    <row r="8249" customFormat="false" ht="15" hidden="false" customHeight="false" outlineLevel="0" collapsed="false">
      <c r="A8249" s="3" t="s">
        <v>496</v>
      </c>
      <c r="B8249" s="4" t="s">
        <v>60</v>
      </c>
      <c r="C8249" s="4" t="n">
        <v>5</v>
      </c>
      <c r="D8249" s="4" t="s">
        <v>76</v>
      </c>
      <c r="E8249" s="3" t="s">
        <v>81</v>
      </c>
      <c r="F8249" s="4" t="str">
        <f aca="false">IF(I8249&gt;J8249,"Y","N")</f>
        <v>Y</v>
      </c>
      <c r="G8249" s="3" t="s">
        <v>36</v>
      </c>
      <c r="H8249" s="3" t="s">
        <v>37</v>
      </c>
      <c r="I8249" s="4" t="n">
        <v>15</v>
      </c>
      <c r="J8249" s="4" t="n">
        <f aca="false">LEN(E8249)-LEN(SUBSTITUTE(E8249,",",""))+1</f>
        <v>7</v>
      </c>
      <c r="K8249" s="3" t="str">
        <f aca="false">IFERROR(INDEX('Teacher Lookup'!$B$2:$B$200,MATCH(A8249,'Teacher Lookup'!$A$2:$A$200,0)),"")</f>
        <v>FOK Phoebe</v>
      </c>
    </row>
    <row r="8250" customFormat="false" ht="15" hidden="false" customHeight="false" outlineLevel="0" collapsed="false">
      <c r="A8250" s="3" t="s">
        <v>496</v>
      </c>
      <c r="B8250" s="4" t="s">
        <v>60</v>
      </c>
      <c r="C8250" s="4" t="n">
        <v>5</v>
      </c>
      <c r="D8250" s="4" t="s">
        <v>78</v>
      </c>
      <c r="E8250" s="3" t="s">
        <v>81</v>
      </c>
      <c r="F8250" s="4" t="str">
        <f aca="false">IF(I8250&gt;J8250,"Y","N")</f>
        <v>Y</v>
      </c>
      <c r="G8250" s="3" t="s">
        <v>36</v>
      </c>
      <c r="H8250" s="3" t="s">
        <v>37</v>
      </c>
      <c r="I8250" s="4" t="n">
        <v>15</v>
      </c>
      <c r="J8250" s="4" t="n">
        <f aca="false">LEN(E8250)-LEN(SUBSTITUTE(E8250,",",""))+1</f>
        <v>7</v>
      </c>
      <c r="K8250" s="3" t="str">
        <f aca="false">IFERROR(INDEX('Teacher Lookup'!$B$2:$B$200,MATCH(A8250,'Teacher Lookup'!$A$2:$A$200,0)),"")</f>
        <v>FOK Phoebe</v>
      </c>
    </row>
    <row r="8251" customFormat="false" ht="15" hidden="false" customHeight="false" outlineLevel="0" collapsed="false">
      <c r="A8251" s="3" t="s">
        <v>496</v>
      </c>
      <c r="B8251" s="4" t="s">
        <v>60</v>
      </c>
      <c r="C8251" s="4" t="n">
        <v>5</v>
      </c>
      <c r="D8251" s="4" t="s">
        <v>79</v>
      </c>
      <c r="E8251" s="3" t="s">
        <v>81</v>
      </c>
      <c r="F8251" s="4" t="str">
        <f aca="false">IF(I8251&gt;J8251,"Y","N")</f>
        <v>Y</v>
      </c>
      <c r="G8251" s="3" t="s">
        <v>36</v>
      </c>
      <c r="H8251" s="3" t="s">
        <v>37</v>
      </c>
      <c r="I8251" s="4" t="n">
        <v>15</v>
      </c>
      <c r="J8251" s="4" t="n">
        <f aca="false">LEN(E8251)-LEN(SUBSTITUTE(E8251,",",""))+1</f>
        <v>7</v>
      </c>
      <c r="K8251" s="3" t="str">
        <f aca="false">IFERROR(INDEX('Teacher Lookup'!$B$2:$B$200,MATCH(A8251,'Teacher Lookup'!$A$2:$A$200,0)),"")</f>
        <v>FOK Phoebe</v>
      </c>
    </row>
    <row r="8252" customFormat="false" ht="15" hidden="false" customHeight="false" outlineLevel="0" collapsed="false">
      <c r="A8252" s="3" t="s">
        <v>496</v>
      </c>
      <c r="B8252" s="4" t="s">
        <v>60</v>
      </c>
      <c r="C8252" s="4" t="n">
        <v>6</v>
      </c>
      <c r="D8252" s="4" t="s">
        <v>24</v>
      </c>
      <c r="E8252" s="3" t="s">
        <v>61</v>
      </c>
      <c r="F8252" s="4" t="str">
        <f aca="false">IF(I8252&gt;J8252,"Y","N")</f>
        <v>N</v>
      </c>
      <c r="G8252" s="3" t="s">
        <v>15</v>
      </c>
      <c r="H8252" s="3" t="s">
        <v>42</v>
      </c>
      <c r="I8252" s="4" t="n">
        <v>6</v>
      </c>
      <c r="J8252" s="4" t="n">
        <f aca="false">LEN(E8252)-LEN(SUBSTITUTE(E8252,",",""))+1</f>
        <v>6</v>
      </c>
      <c r="K8252" s="3" t="str">
        <f aca="false">IFERROR(INDEX('Teacher Lookup'!$B$2:$B$200,MATCH(A8252,'Teacher Lookup'!$A$2:$A$200,0)),"")</f>
        <v>FOK Phoebe</v>
      </c>
    </row>
    <row r="8253" customFormat="false" ht="15" hidden="false" customHeight="false" outlineLevel="0" collapsed="false">
      <c r="A8253" s="3" t="s">
        <v>496</v>
      </c>
      <c r="B8253" s="4" t="s">
        <v>60</v>
      </c>
      <c r="C8253" s="4" t="n">
        <v>6</v>
      </c>
      <c r="D8253" s="4" t="s">
        <v>27</v>
      </c>
      <c r="E8253" s="3" t="s">
        <v>61</v>
      </c>
      <c r="F8253" s="4" t="str">
        <f aca="false">IF(I8253&gt;J8253,"Y","N")</f>
        <v>N</v>
      </c>
      <c r="G8253" s="3" t="s">
        <v>15</v>
      </c>
      <c r="H8253" s="3" t="s">
        <v>42</v>
      </c>
      <c r="I8253" s="4" t="n">
        <v>6</v>
      </c>
      <c r="J8253" s="4" t="n">
        <f aca="false">LEN(E8253)-LEN(SUBSTITUTE(E8253,",",""))+1</f>
        <v>6</v>
      </c>
      <c r="K8253" s="3" t="str">
        <f aca="false">IFERROR(INDEX('Teacher Lookup'!$B$2:$B$200,MATCH(A8253,'Teacher Lookup'!$A$2:$A$200,0)),"")</f>
        <v>FOK Phoebe</v>
      </c>
    </row>
    <row r="8254" customFormat="false" ht="15" hidden="false" customHeight="false" outlineLevel="0" collapsed="false">
      <c r="A8254" s="3" t="s">
        <v>496</v>
      </c>
      <c r="B8254" s="4" t="s">
        <v>60</v>
      </c>
      <c r="C8254" s="4" t="n">
        <v>6</v>
      </c>
      <c r="D8254" s="4" t="s">
        <v>28</v>
      </c>
      <c r="E8254" s="3" t="s">
        <v>61</v>
      </c>
      <c r="F8254" s="4" t="str">
        <f aca="false">IF(I8254&gt;J8254,"Y","N")</f>
        <v>N</v>
      </c>
      <c r="G8254" s="3" t="s">
        <v>15</v>
      </c>
      <c r="H8254" s="3" t="s">
        <v>42</v>
      </c>
      <c r="I8254" s="4" t="n">
        <v>6</v>
      </c>
      <c r="J8254" s="4" t="n">
        <f aca="false">LEN(E8254)-LEN(SUBSTITUTE(E8254,",",""))+1</f>
        <v>6</v>
      </c>
      <c r="K8254" s="3" t="str">
        <f aca="false">IFERROR(INDEX('Teacher Lookup'!$B$2:$B$200,MATCH(A8254,'Teacher Lookup'!$A$2:$A$200,0)),"")</f>
        <v>FOK Phoebe</v>
      </c>
    </row>
    <row r="8255" customFormat="false" ht="15" hidden="false" customHeight="false" outlineLevel="0" collapsed="false">
      <c r="A8255" s="3" t="s">
        <v>496</v>
      </c>
      <c r="B8255" s="4" t="s">
        <v>60</v>
      </c>
      <c r="C8255" s="4" t="n">
        <v>6</v>
      </c>
      <c r="D8255" s="4" t="s">
        <v>29</v>
      </c>
      <c r="E8255" s="3" t="s">
        <v>61</v>
      </c>
      <c r="F8255" s="4" t="str">
        <f aca="false">IF(I8255&gt;J8255,"Y","N")</f>
        <v>N</v>
      </c>
      <c r="G8255" s="3" t="s">
        <v>15</v>
      </c>
      <c r="H8255" s="3" t="s">
        <v>42</v>
      </c>
      <c r="I8255" s="4" t="n">
        <v>6</v>
      </c>
      <c r="J8255" s="4" t="n">
        <f aca="false">LEN(E8255)-LEN(SUBSTITUTE(E8255,",",""))+1</f>
        <v>6</v>
      </c>
      <c r="K8255" s="3" t="str">
        <f aca="false">IFERROR(INDEX('Teacher Lookup'!$B$2:$B$200,MATCH(A8255,'Teacher Lookup'!$A$2:$A$200,0)),"")</f>
        <v>FOK Phoebe</v>
      </c>
    </row>
    <row r="8256" customFormat="false" ht="15" hidden="false" customHeight="false" outlineLevel="0" collapsed="false">
      <c r="A8256" s="3" t="s">
        <v>496</v>
      </c>
      <c r="B8256" s="4" t="s">
        <v>60</v>
      </c>
      <c r="C8256" s="4" t="n">
        <v>6</v>
      </c>
      <c r="D8256" s="4" t="s">
        <v>30</v>
      </c>
      <c r="E8256" s="3" t="s">
        <v>61</v>
      </c>
      <c r="F8256" s="4" t="str">
        <f aca="false">IF(I8256&gt;J8256,"Y","N")</f>
        <v>N</v>
      </c>
      <c r="G8256" s="3" t="s">
        <v>15</v>
      </c>
      <c r="H8256" s="3" t="s">
        <v>42</v>
      </c>
      <c r="I8256" s="4" t="n">
        <v>6</v>
      </c>
      <c r="J8256" s="4" t="n">
        <f aca="false">LEN(E8256)-LEN(SUBSTITUTE(E8256,",",""))+1</f>
        <v>6</v>
      </c>
      <c r="K8256" s="3" t="str">
        <f aca="false">IFERROR(INDEX('Teacher Lookup'!$B$2:$B$200,MATCH(A8256,'Teacher Lookup'!$A$2:$A$200,0)),"")</f>
        <v>FOK Phoebe</v>
      </c>
    </row>
    <row r="8257" customFormat="false" ht="15" hidden="false" customHeight="false" outlineLevel="0" collapsed="false">
      <c r="A8257" s="3" t="s">
        <v>496</v>
      </c>
      <c r="B8257" s="4" t="s">
        <v>60</v>
      </c>
      <c r="C8257" s="4" t="n">
        <v>7</v>
      </c>
      <c r="D8257" s="4" t="s">
        <v>70</v>
      </c>
      <c r="E8257" s="3" t="s">
        <v>71</v>
      </c>
      <c r="F8257" s="4" t="str">
        <f aca="false">IF(I8257&gt;J8257,"Y","N")</f>
        <v>N</v>
      </c>
      <c r="G8257" s="3" t="s">
        <v>15</v>
      </c>
      <c r="H8257" s="3" t="s">
        <v>39</v>
      </c>
      <c r="I8257" s="4" t="n">
        <v>4</v>
      </c>
      <c r="J8257" s="4" t="n">
        <f aca="false">LEN(E8257)-LEN(SUBSTITUTE(E8257,",",""))+1</f>
        <v>4</v>
      </c>
      <c r="K8257" s="3" t="str">
        <f aca="false">IFERROR(INDEX('Teacher Lookup'!$B$2:$B$200,MATCH(A8257,'Teacher Lookup'!$A$2:$A$200,0)),"")</f>
        <v>FOK Phoebe</v>
      </c>
    </row>
    <row r="8258" customFormat="false" ht="15" hidden="false" customHeight="false" outlineLevel="0" collapsed="false">
      <c r="A8258" s="3" t="s">
        <v>496</v>
      </c>
      <c r="B8258" s="4" t="s">
        <v>60</v>
      </c>
      <c r="C8258" s="4" t="n">
        <v>7</v>
      </c>
      <c r="D8258" s="4" t="s">
        <v>73</v>
      </c>
      <c r="E8258" s="3" t="s">
        <v>71</v>
      </c>
      <c r="F8258" s="4" t="str">
        <f aca="false">IF(I8258&gt;J8258,"Y","N")</f>
        <v>N</v>
      </c>
      <c r="G8258" s="3" t="s">
        <v>15</v>
      </c>
      <c r="H8258" s="3" t="s">
        <v>39</v>
      </c>
      <c r="I8258" s="4" t="n">
        <v>4</v>
      </c>
      <c r="J8258" s="4" t="n">
        <f aca="false">LEN(E8258)-LEN(SUBSTITUTE(E8258,",",""))+1</f>
        <v>4</v>
      </c>
      <c r="K8258" s="3" t="str">
        <f aca="false">IFERROR(INDEX('Teacher Lookup'!$B$2:$B$200,MATCH(A8258,'Teacher Lookup'!$A$2:$A$200,0)),"")</f>
        <v>FOK Phoebe</v>
      </c>
    </row>
    <row r="8259" customFormat="false" ht="15" hidden="false" customHeight="false" outlineLevel="0" collapsed="false">
      <c r="A8259" s="3" t="s">
        <v>496</v>
      </c>
      <c r="B8259" s="4" t="s">
        <v>60</v>
      </c>
      <c r="C8259" s="4" t="n">
        <v>7</v>
      </c>
      <c r="D8259" s="4" t="s">
        <v>74</v>
      </c>
      <c r="E8259" s="3" t="s">
        <v>71</v>
      </c>
      <c r="F8259" s="4" t="str">
        <f aca="false">IF(I8259&gt;J8259,"Y","N")</f>
        <v>N</v>
      </c>
      <c r="G8259" s="3" t="s">
        <v>15</v>
      </c>
      <c r="H8259" s="3" t="s">
        <v>39</v>
      </c>
      <c r="I8259" s="4" t="n">
        <v>4</v>
      </c>
      <c r="J8259" s="4" t="n">
        <f aca="false">LEN(E8259)-LEN(SUBSTITUTE(E8259,",",""))+1</f>
        <v>4</v>
      </c>
      <c r="K8259" s="3" t="str">
        <f aca="false">IFERROR(INDEX('Teacher Lookup'!$B$2:$B$200,MATCH(A8259,'Teacher Lookup'!$A$2:$A$200,0)),"")</f>
        <v>FOK Phoebe</v>
      </c>
    </row>
    <row r="8260" customFormat="false" ht="15" hidden="false" customHeight="false" outlineLevel="0" collapsed="false">
      <c r="A8260" s="3" t="s">
        <v>496</v>
      </c>
      <c r="B8260" s="4" t="s">
        <v>63</v>
      </c>
      <c r="C8260" s="4" t="n">
        <v>1</v>
      </c>
      <c r="D8260" s="4" t="s">
        <v>24</v>
      </c>
      <c r="E8260" s="3" t="s">
        <v>64</v>
      </c>
      <c r="F8260" s="4" t="str">
        <f aca="false">IF(I8260&gt;J8260,"Y","N")</f>
        <v>N</v>
      </c>
      <c r="G8260" s="3" t="s">
        <v>15</v>
      </c>
      <c r="H8260" s="3" t="s">
        <v>16</v>
      </c>
      <c r="I8260" s="4" t="n">
        <v>6</v>
      </c>
      <c r="J8260" s="4" t="n">
        <f aca="false">LEN(E8260)-LEN(SUBSTITUTE(E8260,",",""))+1</f>
        <v>6</v>
      </c>
      <c r="K8260" s="3" t="str">
        <f aca="false">IFERROR(INDEX('Teacher Lookup'!$B$2:$B$200,MATCH(A8260,'Teacher Lookup'!$A$2:$A$200,0)),"")</f>
        <v>FOK Phoebe</v>
      </c>
    </row>
    <row r="8261" customFormat="false" ht="15" hidden="false" customHeight="false" outlineLevel="0" collapsed="false">
      <c r="A8261" s="3" t="s">
        <v>496</v>
      </c>
      <c r="B8261" s="4" t="s">
        <v>63</v>
      </c>
      <c r="C8261" s="4" t="n">
        <v>1</v>
      </c>
      <c r="D8261" s="4" t="s">
        <v>27</v>
      </c>
      <c r="E8261" s="3" t="s">
        <v>64</v>
      </c>
      <c r="F8261" s="4" t="str">
        <f aca="false">IF(I8261&gt;J8261,"Y","N")</f>
        <v>N</v>
      </c>
      <c r="G8261" s="3" t="s">
        <v>15</v>
      </c>
      <c r="H8261" s="3" t="s">
        <v>16</v>
      </c>
      <c r="I8261" s="4" t="n">
        <v>6</v>
      </c>
      <c r="J8261" s="4" t="n">
        <f aca="false">LEN(E8261)-LEN(SUBSTITUTE(E8261,",",""))+1</f>
        <v>6</v>
      </c>
      <c r="K8261" s="3" t="str">
        <f aca="false">IFERROR(INDEX('Teacher Lookup'!$B$2:$B$200,MATCH(A8261,'Teacher Lookup'!$A$2:$A$200,0)),"")</f>
        <v>FOK Phoebe</v>
      </c>
    </row>
    <row r="8262" customFormat="false" ht="15" hidden="false" customHeight="false" outlineLevel="0" collapsed="false">
      <c r="A8262" s="3" t="s">
        <v>496</v>
      </c>
      <c r="B8262" s="4" t="s">
        <v>63</v>
      </c>
      <c r="C8262" s="4" t="n">
        <v>1</v>
      </c>
      <c r="D8262" s="4" t="s">
        <v>28</v>
      </c>
      <c r="E8262" s="3" t="s">
        <v>64</v>
      </c>
      <c r="F8262" s="4" t="str">
        <f aca="false">IF(I8262&gt;J8262,"Y","N")</f>
        <v>N</v>
      </c>
      <c r="G8262" s="3" t="s">
        <v>15</v>
      </c>
      <c r="H8262" s="3" t="s">
        <v>16</v>
      </c>
      <c r="I8262" s="4" t="n">
        <v>6</v>
      </c>
      <c r="J8262" s="4" t="n">
        <f aca="false">LEN(E8262)-LEN(SUBSTITUTE(E8262,",",""))+1</f>
        <v>6</v>
      </c>
      <c r="K8262" s="3" t="str">
        <f aca="false">IFERROR(INDEX('Teacher Lookup'!$B$2:$B$200,MATCH(A8262,'Teacher Lookup'!$A$2:$A$200,0)),"")</f>
        <v>FOK Phoebe</v>
      </c>
    </row>
    <row r="8263" customFormat="false" ht="15" hidden="false" customHeight="false" outlineLevel="0" collapsed="false">
      <c r="A8263" s="3" t="s">
        <v>496</v>
      </c>
      <c r="B8263" s="4" t="s">
        <v>63</v>
      </c>
      <c r="C8263" s="4" t="n">
        <v>1</v>
      </c>
      <c r="D8263" s="4" t="s">
        <v>29</v>
      </c>
      <c r="E8263" s="3" t="s">
        <v>64</v>
      </c>
      <c r="F8263" s="4" t="str">
        <f aca="false">IF(I8263&gt;J8263,"Y","N")</f>
        <v>N</v>
      </c>
      <c r="G8263" s="3" t="s">
        <v>15</v>
      </c>
      <c r="H8263" s="3" t="s">
        <v>16</v>
      </c>
      <c r="I8263" s="4" t="n">
        <v>6</v>
      </c>
      <c r="J8263" s="4" t="n">
        <f aca="false">LEN(E8263)-LEN(SUBSTITUTE(E8263,",",""))+1</f>
        <v>6</v>
      </c>
      <c r="K8263" s="3" t="str">
        <f aca="false">IFERROR(INDEX('Teacher Lookup'!$B$2:$B$200,MATCH(A8263,'Teacher Lookup'!$A$2:$A$200,0)),"")</f>
        <v>FOK Phoebe</v>
      </c>
    </row>
    <row r="8264" customFormat="false" ht="15" hidden="false" customHeight="false" outlineLevel="0" collapsed="false">
      <c r="A8264" s="3" t="s">
        <v>496</v>
      </c>
      <c r="B8264" s="4" t="s">
        <v>63</v>
      </c>
      <c r="C8264" s="4" t="n">
        <v>1</v>
      </c>
      <c r="D8264" s="4" t="s">
        <v>30</v>
      </c>
      <c r="E8264" s="3" t="s">
        <v>64</v>
      </c>
      <c r="F8264" s="4" t="str">
        <f aca="false">IF(I8264&gt;J8264,"Y","N")</f>
        <v>N</v>
      </c>
      <c r="G8264" s="3" t="s">
        <v>15</v>
      </c>
      <c r="H8264" s="3" t="s">
        <v>16</v>
      </c>
      <c r="I8264" s="4" t="n">
        <v>6</v>
      </c>
      <c r="J8264" s="4" t="n">
        <f aca="false">LEN(E8264)-LEN(SUBSTITUTE(E8264,",",""))+1</f>
        <v>6</v>
      </c>
      <c r="K8264" s="3" t="str">
        <f aca="false">IFERROR(INDEX('Teacher Lookup'!$B$2:$B$200,MATCH(A8264,'Teacher Lookup'!$A$2:$A$200,0)),"")</f>
        <v>FOK Phoebe</v>
      </c>
    </row>
    <row r="8265" customFormat="false" ht="15" hidden="false" customHeight="false" outlineLevel="0" collapsed="false">
      <c r="A8265" s="3" t="s">
        <v>496</v>
      </c>
      <c r="B8265" s="4" t="s">
        <v>63</v>
      </c>
      <c r="C8265" s="4" t="n">
        <v>3</v>
      </c>
      <c r="D8265" s="4" t="s">
        <v>70</v>
      </c>
      <c r="E8265" s="3" t="s">
        <v>223</v>
      </c>
      <c r="F8265" s="4" t="str">
        <f aca="false">IF(I8265&gt;J8265,"Y","N")</f>
        <v>N</v>
      </c>
      <c r="G8265" s="3" t="s">
        <v>15</v>
      </c>
      <c r="H8265" s="3" t="s">
        <v>26</v>
      </c>
      <c r="I8265" s="4" t="n">
        <v>4</v>
      </c>
      <c r="J8265" s="4" t="n">
        <f aca="false">LEN(E8265)-LEN(SUBSTITUTE(E8265,",",""))+1</f>
        <v>4</v>
      </c>
      <c r="K8265" s="3" t="str">
        <f aca="false">IFERROR(INDEX('Teacher Lookup'!$B$2:$B$200,MATCH(A8265,'Teacher Lookup'!$A$2:$A$200,0)),"")</f>
        <v>FOK Phoebe</v>
      </c>
    </row>
    <row r="8266" customFormat="false" ht="15" hidden="false" customHeight="false" outlineLevel="0" collapsed="false">
      <c r="A8266" s="3" t="s">
        <v>496</v>
      </c>
      <c r="B8266" s="4" t="s">
        <v>63</v>
      </c>
      <c r="C8266" s="4" t="n">
        <v>3</v>
      </c>
      <c r="D8266" s="4" t="s">
        <v>73</v>
      </c>
      <c r="E8266" s="3" t="s">
        <v>223</v>
      </c>
      <c r="F8266" s="4" t="str">
        <f aca="false">IF(I8266&gt;J8266,"Y","N")</f>
        <v>N</v>
      </c>
      <c r="G8266" s="3" t="s">
        <v>15</v>
      </c>
      <c r="H8266" s="3" t="s">
        <v>26</v>
      </c>
      <c r="I8266" s="4" t="n">
        <v>4</v>
      </c>
      <c r="J8266" s="4" t="n">
        <f aca="false">LEN(E8266)-LEN(SUBSTITUTE(E8266,",",""))+1</f>
        <v>4</v>
      </c>
      <c r="K8266" s="3" t="str">
        <f aca="false">IFERROR(INDEX('Teacher Lookup'!$B$2:$B$200,MATCH(A8266,'Teacher Lookup'!$A$2:$A$200,0)),"")</f>
        <v>FOK Phoebe</v>
      </c>
    </row>
    <row r="8267" customFormat="false" ht="15" hidden="false" customHeight="false" outlineLevel="0" collapsed="false">
      <c r="A8267" s="3" t="s">
        <v>496</v>
      </c>
      <c r="B8267" s="4" t="s">
        <v>63</v>
      </c>
      <c r="C8267" s="4" t="n">
        <v>3</v>
      </c>
      <c r="D8267" s="4" t="s">
        <v>74</v>
      </c>
      <c r="E8267" s="3" t="s">
        <v>223</v>
      </c>
      <c r="F8267" s="4" t="str">
        <f aca="false">IF(I8267&gt;J8267,"Y","N")</f>
        <v>N</v>
      </c>
      <c r="G8267" s="3" t="s">
        <v>15</v>
      </c>
      <c r="H8267" s="3" t="s">
        <v>26</v>
      </c>
      <c r="I8267" s="4" t="n">
        <v>4</v>
      </c>
      <c r="J8267" s="4" t="n">
        <f aca="false">LEN(E8267)-LEN(SUBSTITUTE(E8267,",",""))+1</f>
        <v>4</v>
      </c>
      <c r="K8267" s="3" t="str">
        <f aca="false">IFERROR(INDEX('Teacher Lookup'!$B$2:$B$200,MATCH(A8267,'Teacher Lookup'!$A$2:$A$200,0)),"")</f>
        <v>FOK Phoebe</v>
      </c>
    </row>
    <row r="8268" customFormat="false" ht="15" hidden="false" customHeight="false" outlineLevel="0" collapsed="false">
      <c r="A8268" s="3" t="s">
        <v>496</v>
      </c>
      <c r="B8268" s="4" t="s">
        <v>63</v>
      </c>
      <c r="C8268" s="4" t="n">
        <v>6</v>
      </c>
      <c r="D8268" s="4" t="s">
        <v>76</v>
      </c>
      <c r="E8268" s="3" t="s">
        <v>77</v>
      </c>
      <c r="F8268" s="4" t="str">
        <f aca="false">IF(I8268&gt;J8268,"Y","N")</f>
        <v>N</v>
      </c>
      <c r="G8268" s="3" t="s">
        <v>15</v>
      </c>
      <c r="H8268" s="3" t="s">
        <v>42</v>
      </c>
      <c r="I8268" s="4" t="n">
        <v>4</v>
      </c>
      <c r="J8268" s="4" t="n">
        <f aca="false">LEN(E8268)-LEN(SUBSTITUTE(E8268,",",""))+1</f>
        <v>4</v>
      </c>
      <c r="K8268" s="3" t="str">
        <f aca="false">IFERROR(INDEX('Teacher Lookup'!$B$2:$B$200,MATCH(A8268,'Teacher Lookup'!$A$2:$A$200,0)),"")</f>
        <v>FOK Phoebe</v>
      </c>
    </row>
    <row r="8269" customFormat="false" ht="15" hidden="false" customHeight="false" outlineLevel="0" collapsed="false">
      <c r="A8269" s="3" t="s">
        <v>496</v>
      </c>
      <c r="B8269" s="4" t="s">
        <v>63</v>
      </c>
      <c r="C8269" s="4" t="n">
        <v>6</v>
      </c>
      <c r="D8269" s="4" t="s">
        <v>78</v>
      </c>
      <c r="E8269" s="3" t="s">
        <v>77</v>
      </c>
      <c r="F8269" s="4" t="str">
        <f aca="false">IF(I8269&gt;J8269,"Y","N")</f>
        <v>N</v>
      </c>
      <c r="G8269" s="3" t="s">
        <v>15</v>
      </c>
      <c r="H8269" s="3" t="s">
        <v>42</v>
      </c>
      <c r="I8269" s="4" t="n">
        <v>4</v>
      </c>
      <c r="J8269" s="4" t="n">
        <f aca="false">LEN(E8269)-LEN(SUBSTITUTE(E8269,",",""))+1</f>
        <v>4</v>
      </c>
      <c r="K8269" s="3" t="str">
        <f aca="false">IFERROR(INDEX('Teacher Lookup'!$B$2:$B$200,MATCH(A8269,'Teacher Lookup'!$A$2:$A$200,0)),"")</f>
        <v>FOK Phoebe</v>
      </c>
    </row>
    <row r="8270" customFormat="false" ht="15" hidden="false" customHeight="false" outlineLevel="0" collapsed="false">
      <c r="A8270" s="3" t="s">
        <v>496</v>
      </c>
      <c r="B8270" s="4" t="s">
        <v>63</v>
      </c>
      <c r="C8270" s="4" t="n">
        <v>6</v>
      </c>
      <c r="D8270" s="4" t="s">
        <v>79</v>
      </c>
      <c r="E8270" s="3" t="s">
        <v>77</v>
      </c>
      <c r="F8270" s="4" t="str">
        <f aca="false">IF(I8270&gt;J8270,"Y","N")</f>
        <v>N</v>
      </c>
      <c r="G8270" s="3" t="s">
        <v>15</v>
      </c>
      <c r="H8270" s="3" t="s">
        <v>42</v>
      </c>
      <c r="I8270" s="4" t="n">
        <v>4</v>
      </c>
      <c r="J8270" s="4" t="n">
        <f aca="false">LEN(E8270)-LEN(SUBSTITUTE(E8270,",",""))+1</f>
        <v>4</v>
      </c>
      <c r="K8270" s="3" t="str">
        <f aca="false">IFERROR(INDEX('Teacher Lookup'!$B$2:$B$200,MATCH(A8270,'Teacher Lookup'!$A$2:$A$200,0)),"")</f>
        <v>FOK Phoebe</v>
      </c>
    </row>
    <row r="8271" customFormat="false" ht="15" hidden="false" customHeight="false" outlineLevel="0" collapsed="false">
      <c r="A8271" s="3" t="s">
        <v>496</v>
      </c>
      <c r="B8271" s="4" t="s">
        <v>65</v>
      </c>
      <c r="C8271" s="4" t="n">
        <v>2</v>
      </c>
      <c r="D8271" s="4" t="s">
        <v>24</v>
      </c>
      <c r="E8271" s="3" t="s">
        <v>64</v>
      </c>
      <c r="F8271" s="4" t="str">
        <f aca="false">IF(I8271&gt;J8271,"Y","N")</f>
        <v>N</v>
      </c>
      <c r="G8271" s="3" t="s">
        <v>15</v>
      </c>
      <c r="H8271" s="3" t="s">
        <v>21</v>
      </c>
      <c r="I8271" s="4" t="n">
        <v>6</v>
      </c>
      <c r="J8271" s="4" t="n">
        <f aca="false">LEN(E8271)-LEN(SUBSTITUTE(E8271,",",""))+1</f>
        <v>6</v>
      </c>
      <c r="K8271" s="3" t="str">
        <f aca="false">IFERROR(INDEX('Teacher Lookup'!$B$2:$B$200,MATCH(A8271,'Teacher Lookup'!$A$2:$A$200,0)),"")</f>
        <v>FOK Phoebe</v>
      </c>
    </row>
    <row r="8272" customFormat="false" ht="15" hidden="false" customHeight="false" outlineLevel="0" collapsed="false">
      <c r="A8272" s="3" t="s">
        <v>496</v>
      </c>
      <c r="B8272" s="4" t="s">
        <v>65</v>
      </c>
      <c r="C8272" s="4" t="n">
        <v>2</v>
      </c>
      <c r="D8272" s="4" t="s">
        <v>27</v>
      </c>
      <c r="E8272" s="3" t="s">
        <v>64</v>
      </c>
      <c r="F8272" s="4" t="str">
        <f aca="false">IF(I8272&gt;J8272,"Y","N")</f>
        <v>N</v>
      </c>
      <c r="G8272" s="3" t="s">
        <v>15</v>
      </c>
      <c r="H8272" s="3" t="s">
        <v>21</v>
      </c>
      <c r="I8272" s="4" t="n">
        <v>6</v>
      </c>
      <c r="J8272" s="4" t="n">
        <f aca="false">LEN(E8272)-LEN(SUBSTITUTE(E8272,",",""))+1</f>
        <v>6</v>
      </c>
      <c r="K8272" s="3" t="str">
        <f aca="false">IFERROR(INDEX('Teacher Lookup'!$B$2:$B$200,MATCH(A8272,'Teacher Lookup'!$A$2:$A$200,0)),"")</f>
        <v>FOK Phoebe</v>
      </c>
    </row>
    <row r="8273" customFormat="false" ht="15" hidden="false" customHeight="false" outlineLevel="0" collapsed="false">
      <c r="A8273" s="3" t="s">
        <v>496</v>
      </c>
      <c r="B8273" s="4" t="s">
        <v>65</v>
      </c>
      <c r="C8273" s="4" t="n">
        <v>2</v>
      </c>
      <c r="D8273" s="4" t="s">
        <v>28</v>
      </c>
      <c r="E8273" s="3" t="s">
        <v>64</v>
      </c>
      <c r="F8273" s="4" t="str">
        <f aca="false">IF(I8273&gt;J8273,"Y","N")</f>
        <v>N</v>
      </c>
      <c r="G8273" s="3" t="s">
        <v>15</v>
      </c>
      <c r="H8273" s="3" t="s">
        <v>21</v>
      </c>
      <c r="I8273" s="4" t="n">
        <v>6</v>
      </c>
      <c r="J8273" s="4" t="n">
        <f aca="false">LEN(E8273)-LEN(SUBSTITUTE(E8273,",",""))+1</f>
        <v>6</v>
      </c>
      <c r="K8273" s="3" t="str">
        <f aca="false">IFERROR(INDEX('Teacher Lookup'!$B$2:$B$200,MATCH(A8273,'Teacher Lookup'!$A$2:$A$200,0)),"")</f>
        <v>FOK Phoebe</v>
      </c>
    </row>
    <row r="8274" customFormat="false" ht="15" hidden="false" customHeight="false" outlineLevel="0" collapsed="false">
      <c r="A8274" s="3" t="s">
        <v>496</v>
      </c>
      <c r="B8274" s="4" t="s">
        <v>65</v>
      </c>
      <c r="C8274" s="4" t="n">
        <v>2</v>
      </c>
      <c r="D8274" s="4" t="s">
        <v>29</v>
      </c>
      <c r="E8274" s="3" t="s">
        <v>64</v>
      </c>
      <c r="F8274" s="4" t="str">
        <f aca="false">IF(I8274&gt;J8274,"Y","N")</f>
        <v>N</v>
      </c>
      <c r="G8274" s="3" t="s">
        <v>15</v>
      </c>
      <c r="H8274" s="3" t="s">
        <v>21</v>
      </c>
      <c r="I8274" s="4" t="n">
        <v>6</v>
      </c>
      <c r="J8274" s="4" t="n">
        <f aca="false">LEN(E8274)-LEN(SUBSTITUTE(E8274,",",""))+1</f>
        <v>6</v>
      </c>
      <c r="K8274" s="3" t="str">
        <f aca="false">IFERROR(INDEX('Teacher Lookup'!$B$2:$B$200,MATCH(A8274,'Teacher Lookup'!$A$2:$A$200,0)),"")</f>
        <v>FOK Phoebe</v>
      </c>
    </row>
    <row r="8275" customFormat="false" ht="15" hidden="false" customHeight="false" outlineLevel="0" collapsed="false">
      <c r="A8275" s="3" t="s">
        <v>496</v>
      </c>
      <c r="B8275" s="4" t="s">
        <v>65</v>
      </c>
      <c r="C8275" s="4" t="n">
        <v>2</v>
      </c>
      <c r="D8275" s="4" t="s">
        <v>30</v>
      </c>
      <c r="E8275" s="3" t="s">
        <v>64</v>
      </c>
      <c r="F8275" s="4" t="str">
        <f aca="false">IF(I8275&gt;J8275,"Y","N")</f>
        <v>N</v>
      </c>
      <c r="G8275" s="3" t="s">
        <v>15</v>
      </c>
      <c r="H8275" s="3" t="s">
        <v>21</v>
      </c>
      <c r="I8275" s="4" t="n">
        <v>6</v>
      </c>
      <c r="J8275" s="4" t="n">
        <f aca="false">LEN(E8275)-LEN(SUBSTITUTE(E8275,",",""))+1</f>
        <v>6</v>
      </c>
      <c r="K8275" s="3" t="str">
        <f aca="false">IFERROR(INDEX('Teacher Lookup'!$B$2:$B$200,MATCH(A8275,'Teacher Lookup'!$A$2:$A$200,0)),"")</f>
        <v>FOK Phoebe</v>
      </c>
    </row>
    <row r="8276" customFormat="false" ht="15" hidden="false" customHeight="false" outlineLevel="0" collapsed="false">
      <c r="A8276" s="3" t="s">
        <v>496</v>
      </c>
      <c r="B8276" s="4" t="s">
        <v>65</v>
      </c>
      <c r="C8276" s="4" t="n">
        <v>3</v>
      </c>
      <c r="D8276" s="4" t="s">
        <v>70</v>
      </c>
      <c r="E8276" s="3" t="s">
        <v>224</v>
      </c>
      <c r="F8276" s="4" t="str">
        <f aca="false">IF(I8276&gt;J8276,"Y","N")</f>
        <v>N</v>
      </c>
      <c r="G8276" s="3" t="s">
        <v>15</v>
      </c>
      <c r="H8276" s="3" t="s">
        <v>26</v>
      </c>
      <c r="I8276" s="4" t="n">
        <v>4</v>
      </c>
      <c r="J8276" s="4" t="n">
        <f aca="false">LEN(E8276)-LEN(SUBSTITUTE(E8276,",",""))+1</f>
        <v>4</v>
      </c>
      <c r="K8276" s="3" t="str">
        <f aca="false">IFERROR(INDEX('Teacher Lookup'!$B$2:$B$200,MATCH(A8276,'Teacher Lookup'!$A$2:$A$200,0)),"")</f>
        <v>FOK Phoebe</v>
      </c>
    </row>
    <row r="8277" customFormat="false" ht="15" hidden="false" customHeight="false" outlineLevel="0" collapsed="false">
      <c r="A8277" s="3" t="s">
        <v>496</v>
      </c>
      <c r="B8277" s="4" t="s">
        <v>65</v>
      </c>
      <c r="C8277" s="4" t="n">
        <v>3</v>
      </c>
      <c r="D8277" s="4" t="s">
        <v>73</v>
      </c>
      <c r="E8277" s="3" t="s">
        <v>224</v>
      </c>
      <c r="F8277" s="4" t="str">
        <f aca="false">IF(I8277&gt;J8277,"Y","N")</f>
        <v>N</v>
      </c>
      <c r="G8277" s="3" t="s">
        <v>15</v>
      </c>
      <c r="H8277" s="3" t="s">
        <v>26</v>
      </c>
      <c r="I8277" s="4" t="n">
        <v>4</v>
      </c>
      <c r="J8277" s="4" t="n">
        <f aca="false">LEN(E8277)-LEN(SUBSTITUTE(E8277,",",""))+1</f>
        <v>4</v>
      </c>
      <c r="K8277" s="3" t="str">
        <f aca="false">IFERROR(INDEX('Teacher Lookup'!$B$2:$B$200,MATCH(A8277,'Teacher Lookup'!$A$2:$A$200,0)),"")</f>
        <v>FOK Phoebe</v>
      </c>
    </row>
    <row r="8278" customFormat="false" ht="15" hidden="false" customHeight="false" outlineLevel="0" collapsed="false">
      <c r="A8278" s="3" t="s">
        <v>496</v>
      </c>
      <c r="B8278" s="4" t="s">
        <v>65</v>
      </c>
      <c r="C8278" s="4" t="n">
        <v>3</v>
      </c>
      <c r="D8278" s="4" t="s">
        <v>74</v>
      </c>
      <c r="E8278" s="3" t="s">
        <v>224</v>
      </c>
      <c r="F8278" s="4" t="str">
        <f aca="false">IF(I8278&gt;J8278,"Y","N")</f>
        <v>N</v>
      </c>
      <c r="G8278" s="3" t="s">
        <v>15</v>
      </c>
      <c r="H8278" s="3" t="s">
        <v>26</v>
      </c>
      <c r="I8278" s="4" t="n">
        <v>4</v>
      </c>
      <c r="J8278" s="4" t="n">
        <f aca="false">LEN(E8278)-LEN(SUBSTITUTE(E8278,",",""))+1</f>
        <v>4</v>
      </c>
      <c r="K8278" s="3" t="str">
        <f aca="false">IFERROR(INDEX('Teacher Lookup'!$B$2:$B$200,MATCH(A8278,'Teacher Lookup'!$A$2:$A$200,0)),"")</f>
        <v>FOK Phoebe</v>
      </c>
    </row>
    <row r="8279" customFormat="false" ht="15" hidden="false" customHeight="false" outlineLevel="0" collapsed="false">
      <c r="A8279" s="3" t="s">
        <v>496</v>
      </c>
      <c r="B8279" s="4" t="s">
        <v>65</v>
      </c>
      <c r="C8279" s="4" t="n">
        <v>5</v>
      </c>
      <c r="D8279" s="4" t="s">
        <v>70</v>
      </c>
      <c r="E8279" s="3" t="s">
        <v>81</v>
      </c>
      <c r="F8279" s="4" t="str">
        <f aca="false">IF(I8279&gt;J8279,"Y","N")</f>
        <v>Y</v>
      </c>
      <c r="G8279" s="3" t="s">
        <v>36</v>
      </c>
      <c r="H8279" s="3" t="s">
        <v>37</v>
      </c>
      <c r="I8279" s="4" t="n">
        <v>15</v>
      </c>
      <c r="J8279" s="4" t="n">
        <f aca="false">LEN(E8279)-LEN(SUBSTITUTE(E8279,",",""))+1</f>
        <v>7</v>
      </c>
      <c r="K8279" s="3" t="str">
        <f aca="false">IFERROR(INDEX('Teacher Lookup'!$B$2:$B$200,MATCH(A8279,'Teacher Lookup'!$A$2:$A$200,0)),"")</f>
        <v>FOK Phoebe</v>
      </c>
    </row>
    <row r="8280" customFormat="false" ht="15" hidden="false" customHeight="false" outlineLevel="0" collapsed="false">
      <c r="A8280" s="3" t="s">
        <v>496</v>
      </c>
      <c r="B8280" s="4" t="s">
        <v>65</v>
      </c>
      <c r="C8280" s="4" t="n">
        <v>5</v>
      </c>
      <c r="D8280" s="4" t="s">
        <v>73</v>
      </c>
      <c r="E8280" s="3" t="s">
        <v>81</v>
      </c>
      <c r="F8280" s="4" t="str">
        <f aca="false">IF(I8280&gt;J8280,"Y","N")</f>
        <v>Y</v>
      </c>
      <c r="G8280" s="3" t="s">
        <v>36</v>
      </c>
      <c r="H8280" s="3" t="s">
        <v>37</v>
      </c>
      <c r="I8280" s="4" t="n">
        <v>15</v>
      </c>
      <c r="J8280" s="4" t="n">
        <f aca="false">LEN(E8280)-LEN(SUBSTITUTE(E8280,",",""))+1</f>
        <v>7</v>
      </c>
      <c r="K8280" s="3" t="str">
        <f aca="false">IFERROR(INDEX('Teacher Lookup'!$B$2:$B$200,MATCH(A8280,'Teacher Lookup'!$A$2:$A$200,0)),"")</f>
        <v>FOK Phoebe</v>
      </c>
    </row>
    <row r="8281" customFormat="false" ht="15" hidden="false" customHeight="false" outlineLevel="0" collapsed="false">
      <c r="A8281" s="3" t="s">
        <v>496</v>
      </c>
      <c r="B8281" s="4" t="s">
        <v>65</v>
      </c>
      <c r="C8281" s="4" t="n">
        <v>5</v>
      </c>
      <c r="D8281" s="4" t="s">
        <v>74</v>
      </c>
      <c r="E8281" s="3" t="s">
        <v>81</v>
      </c>
      <c r="F8281" s="4" t="str">
        <f aca="false">IF(I8281&gt;J8281,"Y","N")</f>
        <v>Y</v>
      </c>
      <c r="G8281" s="3" t="s">
        <v>36</v>
      </c>
      <c r="H8281" s="3" t="s">
        <v>37</v>
      </c>
      <c r="I8281" s="4" t="n">
        <v>15</v>
      </c>
      <c r="J8281" s="4" t="n">
        <f aca="false">LEN(E8281)-LEN(SUBSTITUTE(E8281,",",""))+1</f>
        <v>7</v>
      </c>
      <c r="K8281" s="3" t="str">
        <f aca="false">IFERROR(INDEX('Teacher Lookup'!$B$2:$B$200,MATCH(A8281,'Teacher Lookup'!$A$2:$A$200,0)),"")</f>
        <v>FOK Phoebe</v>
      </c>
    </row>
    <row r="8282" customFormat="false" ht="15" hidden="false" customHeight="false" outlineLevel="0" collapsed="false">
      <c r="A8282" s="3" t="s">
        <v>496</v>
      </c>
      <c r="B8282" s="4" t="s">
        <v>65</v>
      </c>
      <c r="C8282" s="4" t="n">
        <v>5</v>
      </c>
      <c r="D8282" s="4" t="s">
        <v>76</v>
      </c>
      <c r="E8282" s="3" t="s">
        <v>81</v>
      </c>
      <c r="F8282" s="4" t="str">
        <f aca="false">IF(I8282&gt;J8282,"Y","N")</f>
        <v>Y</v>
      </c>
      <c r="G8282" s="3" t="s">
        <v>36</v>
      </c>
      <c r="H8282" s="3" t="s">
        <v>37</v>
      </c>
      <c r="I8282" s="4" t="n">
        <v>15</v>
      </c>
      <c r="J8282" s="4" t="n">
        <f aca="false">LEN(E8282)-LEN(SUBSTITUTE(E8282,",",""))+1</f>
        <v>7</v>
      </c>
      <c r="K8282" s="3" t="str">
        <f aca="false">IFERROR(INDEX('Teacher Lookup'!$B$2:$B$200,MATCH(A8282,'Teacher Lookup'!$A$2:$A$200,0)),"")</f>
        <v>FOK Phoebe</v>
      </c>
    </row>
    <row r="8283" customFormat="false" ht="15" hidden="false" customHeight="false" outlineLevel="0" collapsed="false">
      <c r="A8283" s="3" t="s">
        <v>496</v>
      </c>
      <c r="B8283" s="4" t="s">
        <v>65</v>
      </c>
      <c r="C8283" s="4" t="n">
        <v>5</v>
      </c>
      <c r="D8283" s="4" t="s">
        <v>78</v>
      </c>
      <c r="E8283" s="3" t="s">
        <v>81</v>
      </c>
      <c r="F8283" s="4" t="str">
        <f aca="false">IF(I8283&gt;J8283,"Y","N")</f>
        <v>Y</v>
      </c>
      <c r="G8283" s="3" t="s">
        <v>36</v>
      </c>
      <c r="H8283" s="3" t="s">
        <v>37</v>
      </c>
      <c r="I8283" s="4" t="n">
        <v>15</v>
      </c>
      <c r="J8283" s="4" t="n">
        <f aca="false">LEN(E8283)-LEN(SUBSTITUTE(E8283,",",""))+1</f>
        <v>7</v>
      </c>
      <c r="K8283" s="3" t="str">
        <f aca="false">IFERROR(INDEX('Teacher Lookup'!$B$2:$B$200,MATCH(A8283,'Teacher Lookup'!$A$2:$A$200,0)),"")</f>
        <v>FOK Phoebe</v>
      </c>
    </row>
    <row r="8284" customFormat="false" ht="15" hidden="false" customHeight="false" outlineLevel="0" collapsed="false">
      <c r="A8284" s="3" t="s">
        <v>496</v>
      </c>
      <c r="B8284" s="4" t="s">
        <v>65</v>
      </c>
      <c r="C8284" s="4" t="n">
        <v>5</v>
      </c>
      <c r="D8284" s="4" t="s">
        <v>79</v>
      </c>
      <c r="E8284" s="3" t="s">
        <v>81</v>
      </c>
      <c r="F8284" s="4" t="str">
        <f aca="false">IF(I8284&gt;J8284,"Y","N")</f>
        <v>Y</v>
      </c>
      <c r="G8284" s="3" t="s">
        <v>36</v>
      </c>
      <c r="H8284" s="3" t="s">
        <v>37</v>
      </c>
      <c r="I8284" s="4" t="n">
        <v>15</v>
      </c>
      <c r="J8284" s="4" t="n">
        <f aca="false">LEN(E8284)-LEN(SUBSTITUTE(E8284,",",""))+1</f>
        <v>7</v>
      </c>
      <c r="K8284" s="3" t="str">
        <f aca="false">IFERROR(INDEX('Teacher Lookup'!$B$2:$B$200,MATCH(A8284,'Teacher Lookup'!$A$2:$A$200,0)),"")</f>
        <v>FOK Phoebe</v>
      </c>
    </row>
    <row r="8285" customFormat="false" ht="15" hidden="false" customHeight="false" outlineLevel="0" collapsed="false">
      <c r="A8285" s="3" t="s">
        <v>496</v>
      </c>
      <c r="B8285" s="4" t="s">
        <v>65</v>
      </c>
      <c r="C8285" s="4" t="n">
        <v>6</v>
      </c>
      <c r="D8285" s="4" t="s">
        <v>76</v>
      </c>
      <c r="E8285" s="3" t="s">
        <v>93</v>
      </c>
      <c r="F8285" s="4" t="str">
        <f aca="false">IF(I8285&gt;J8285,"Y","N")</f>
        <v>N</v>
      </c>
      <c r="G8285" s="3" t="s">
        <v>15</v>
      </c>
      <c r="H8285" s="3" t="s">
        <v>42</v>
      </c>
      <c r="I8285" s="4" t="n">
        <v>4</v>
      </c>
      <c r="J8285" s="4" t="n">
        <f aca="false">LEN(E8285)-LEN(SUBSTITUTE(E8285,",",""))+1</f>
        <v>4</v>
      </c>
      <c r="K8285" s="3" t="str">
        <f aca="false">IFERROR(INDEX('Teacher Lookup'!$B$2:$B$200,MATCH(A8285,'Teacher Lookup'!$A$2:$A$200,0)),"")</f>
        <v>FOK Phoebe</v>
      </c>
    </row>
    <row r="8286" customFormat="false" ht="15" hidden="false" customHeight="false" outlineLevel="0" collapsed="false">
      <c r="A8286" s="3" t="s">
        <v>496</v>
      </c>
      <c r="B8286" s="4" t="s">
        <v>65</v>
      </c>
      <c r="C8286" s="4" t="n">
        <v>6</v>
      </c>
      <c r="D8286" s="4" t="s">
        <v>78</v>
      </c>
      <c r="E8286" s="3" t="s">
        <v>93</v>
      </c>
      <c r="F8286" s="4" t="str">
        <f aca="false">IF(I8286&gt;J8286,"Y","N")</f>
        <v>N</v>
      </c>
      <c r="G8286" s="3" t="s">
        <v>15</v>
      </c>
      <c r="H8286" s="3" t="s">
        <v>42</v>
      </c>
      <c r="I8286" s="4" t="n">
        <v>4</v>
      </c>
      <c r="J8286" s="4" t="n">
        <f aca="false">LEN(E8286)-LEN(SUBSTITUTE(E8286,",",""))+1</f>
        <v>4</v>
      </c>
      <c r="K8286" s="3" t="str">
        <f aca="false">IFERROR(INDEX('Teacher Lookup'!$B$2:$B$200,MATCH(A8286,'Teacher Lookup'!$A$2:$A$200,0)),"")</f>
        <v>FOK Phoebe</v>
      </c>
    </row>
    <row r="8287" customFormat="false" ht="15" hidden="false" customHeight="false" outlineLevel="0" collapsed="false">
      <c r="A8287" s="3" t="s">
        <v>496</v>
      </c>
      <c r="B8287" s="4" t="s">
        <v>65</v>
      </c>
      <c r="C8287" s="4" t="n">
        <v>6</v>
      </c>
      <c r="D8287" s="4" t="s">
        <v>79</v>
      </c>
      <c r="E8287" s="3" t="s">
        <v>93</v>
      </c>
      <c r="F8287" s="4" t="str">
        <f aca="false">IF(I8287&gt;J8287,"Y","N")</f>
        <v>N</v>
      </c>
      <c r="G8287" s="3" t="s">
        <v>15</v>
      </c>
      <c r="H8287" s="3" t="s">
        <v>42</v>
      </c>
      <c r="I8287" s="4" t="n">
        <v>4</v>
      </c>
      <c r="J8287" s="4" t="n">
        <f aca="false">LEN(E8287)-LEN(SUBSTITUTE(E8287,",",""))+1</f>
        <v>4</v>
      </c>
      <c r="K8287" s="3" t="str">
        <f aca="false">IFERROR(INDEX('Teacher Lookup'!$B$2:$B$200,MATCH(A8287,'Teacher Lookup'!$A$2:$A$200,0)),"")</f>
        <v>FOK Phoebe</v>
      </c>
    </row>
    <row r="8288" customFormat="false" ht="15" hidden="false" customHeight="false" outlineLevel="0" collapsed="false">
      <c r="A8288" s="3" t="s">
        <v>496</v>
      </c>
      <c r="B8288" s="4" t="s">
        <v>66</v>
      </c>
      <c r="C8288" s="4" t="n">
        <v>3</v>
      </c>
      <c r="D8288" s="4" t="s">
        <v>24</v>
      </c>
      <c r="E8288" s="3" t="s">
        <v>67</v>
      </c>
      <c r="F8288" s="4" t="str">
        <f aca="false">IF(I8288&gt;J8288,"Y","N")</f>
        <v>N</v>
      </c>
      <c r="G8288" s="3" t="s">
        <v>15</v>
      </c>
      <c r="H8288" s="3" t="s">
        <v>26</v>
      </c>
      <c r="I8288" s="4" t="n">
        <v>6</v>
      </c>
      <c r="J8288" s="4" t="n">
        <f aca="false">LEN(E8288)-LEN(SUBSTITUTE(E8288,",",""))+1</f>
        <v>6</v>
      </c>
      <c r="K8288" s="3" t="str">
        <f aca="false">IFERROR(INDEX('Teacher Lookup'!$B$2:$B$200,MATCH(A8288,'Teacher Lookup'!$A$2:$A$200,0)),"")</f>
        <v>FOK Phoebe</v>
      </c>
    </row>
    <row r="8289" customFormat="false" ht="15" hidden="false" customHeight="false" outlineLevel="0" collapsed="false">
      <c r="A8289" s="3" t="s">
        <v>496</v>
      </c>
      <c r="B8289" s="4" t="s">
        <v>66</v>
      </c>
      <c r="C8289" s="4" t="n">
        <v>3</v>
      </c>
      <c r="D8289" s="4" t="s">
        <v>27</v>
      </c>
      <c r="E8289" s="3" t="s">
        <v>67</v>
      </c>
      <c r="F8289" s="4" t="str">
        <f aca="false">IF(I8289&gt;J8289,"Y","N")</f>
        <v>N</v>
      </c>
      <c r="G8289" s="3" t="s">
        <v>15</v>
      </c>
      <c r="H8289" s="3" t="s">
        <v>26</v>
      </c>
      <c r="I8289" s="4" t="n">
        <v>6</v>
      </c>
      <c r="J8289" s="4" t="n">
        <f aca="false">LEN(E8289)-LEN(SUBSTITUTE(E8289,",",""))+1</f>
        <v>6</v>
      </c>
      <c r="K8289" s="3" t="str">
        <f aca="false">IFERROR(INDEX('Teacher Lookup'!$B$2:$B$200,MATCH(A8289,'Teacher Lookup'!$A$2:$A$200,0)),"")</f>
        <v>FOK Phoebe</v>
      </c>
    </row>
    <row r="8290" customFormat="false" ht="15" hidden="false" customHeight="false" outlineLevel="0" collapsed="false">
      <c r="A8290" s="3" t="s">
        <v>496</v>
      </c>
      <c r="B8290" s="4" t="s">
        <v>66</v>
      </c>
      <c r="C8290" s="4" t="n">
        <v>3</v>
      </c>
      <c r="D8290" s="4" t="s">
        <v>28</v>
      </c>
      <c r="E8290" s="3" t="s">
        <v>67</v>
      </c>
      <c r="F8290" s="4" t="str">
        <f aca="false">IF(I8290&gt;J8290,"Y","N")</f>
        <v>N</v>
      </c>
      <c r="G8290" s="3" t="s">
        <v>15</v>
      </c>
      <c r="H8290" s="3" t="s">
        <v>26</v>
      </c>
      <c r="I8290" s="4" t="n">
        <v>6</v>
      </c>
      <c r="J8290" s="4" t="n">
        <f aca="false">LEN(E8290)-LEN(SUBSTITUTE(E8290,",",""))+1</f>
        <v>6</v>
      </c>
      <c r="K8290" s="3" t="str">
        <f aca="false">IFERROR(INDEX('Teacher Lookup'!$B$2:$B$200,MATCH(A8290,'Teacher Lookup'!$A$2:$A$200,0)),"")</f>
        <v>FOK Phoebe</v>
      </c>
    </row>
    <row r="8291" customFormat="false" ht="15" hidden="false" customHeight="false" outlineLevel="0" collapsed="false">
      <c r="A8291" s="3" t="s">
        <v>496</v>
      </c>
      <c r="B8291" s="4" t="s">
        <v>66</v>
      </c>
      <c r="C8291" s="4" t="n">
        <v>3</v>
      </c>
      <c r="D8291" s="4" t="s">
        <v>29</v>
      </c>
      <c r="E8291" s="3" t="s">
        <v>67</v>
      </c>
      <c r="F8291" s="4" t="str">
        <f aca="false">IF(I8291&gt;J8291,"Y","N")</f>
        <v>N</v>
      </c>
      <c r="G8291" s="3" t="s">
        <v>15</v>
      </c>
      <c r="H8291" s="3" t="s">
        <v>26</v>
      </c>
      <c r="I8291" s="4" t="n">
        <v>6</v>
      </c>
      <c r="J8291" s="4" t="n">
        <f aca="false">LEN(E8291)-LEN(SUBSTITUTE(E8291,",",""))+1</f>
        <v>6</v>
      </c>
      <c r="K8291" s="3" t="str">
        <f aca="false">IFERROR(INDEX('Teacher Lookup'!$B$2:$B$200,MATCH(A8291,'Teacher Lookup'!$A$2:$A$200,0)),"")</f>
        <v>FOK Phoebe</v>
      </c>
    </row>
    <row r="8292" customFormat="false" ht="15" hidden="false" customHeight="false" outlineLevel="0" collapsed="false">
      <c r="A8292" s="3" t="s">
        <v>496</v>
      </c>
      <c r="B8292" s="4" t="s">
        <v>66</v>
      </c>
      <c r="C8292" s="4" t="n">
        <v>3</v>
      </c>
      <c r="D8292" s="4" t="s">
        <v>30</v>
      </c>
      <c r="E8292" s="3" t="s">
        <v>67</v>
      </c>
      <c r="F8292" s="4" t="str">
        <f aca="false">IF(I8292&gt;J8292,"Y","N")</f>
        <v>N</v>
      </c>
      <c r="G8292" s="3" t="s">
        <v>15</v>
      </c>
      <c r="H8292" s="3" t="s">
        <v>26</v>
      </c>
      <c r="I8292" s="4" t="n">
        <v>6</v>
      </c>
      <c r="J8292" s="4" t="n">
        <f aca="false">LEN(E8292)-LEN(SUBSTITUTE(E8292,",",""))+1</f>
        <v>6</v>
      </c>
      <c r="K8292" s="3" t="str">
        <f aca="false">IFERROR(INDEX('Teacher Lookup'!$B$2:$B$200,MATCH(A8292,'Teacher Lookup'!$A$2:$A$200,0)),"")</f>
        <v>FOK Phoebe</v>
      </c>
    </row>
    <row r="8293" customFormat="false" ht="15" hidden="false" customHeight="false" outlineLevel="0" collapsed="false">
      <c r="A8293" s="3" t="s">
        <v>496</v>
      </c>
      <c r="B8293" s="4" t="s">
        <v>66</v>
      </c>
      <c r="C8293" s="4" t="n">
        <v>4</v>
      </c>
      <c r="D8293" s="4" t="s">
        <v>70</v>
      </c>
      <c r="E8293" s="3" t="s">
        <v>225</v>
      </c>
      <c r="F8293" s="4" t="str">
        <f aca="false">IF(I8293&gt;J8293,"Y","N")</f>
        <v>N</v>
      </c>
      <c r="G8293" s="3" t="s">
        <v>15</v>
      </c>
      <c r="H8293" s="3" t="s">
        <v>34</v>
      </c>
      <c r="I8293" s="4" t="n">
        <v>4</v>
      </c>
      <c r="J8293" s="4" t="n">
        <f aca="false">LEN(E8293)-LEN(SUBSTITUTE(E8293,",",""))+1</f>
        <v>4</v>
      </c>
      <c r="K8293" s="3" t="str">
        <f aca="false">IFERROR(INDEX('Teacher Lookup'!$B$2:$B$200,MATCH(A8293,'Teacher Lookup'!$A$2:$A$200,0)),"")</f>
        <v>FOK Phoebe</v>
      </c>
    </row>
    <row r="8294" customFormat="false" ht="15" hidden="false" customHeight="false" outlineLevel="0" collapsed="false">
      <c r="A8294" s="3" t="s">
        <v>496</v>
      </c>
      <c r="B8294" s="4" t="s">
        <v>66</v>
      </c>
      <c r="C8294" s="4" t="n">
        <v>4</v>
      </c>
      <c r="D8294" s="4" t="s">
        <v>73</v>
      </c>
      <c r="E8294" s="3" t="s">
        <v>225</v>
      </c>
      <c r="F8294" s="4" t="str">
        <f aca="false">IF(I8294&gt;J8294,"Y","N")</f>
        <v>N</v>
      </c>
      <c r="G8294" s="3" t="s">
        <v>15</v>
      </c>
      <c r="H8294" s="3" t="s">
        <v>34</v>
      </c>
      <c r="I8294" s="4" t="n">
        <v>4</v>
      </c>
      <c r="J8294" s="4" t="n">
        <f aca="false">LEN(E8294)-LEN(SUBSTITUTE(E8294,",",""))+1</f>
        <v>4</v>
      </c>
      <c r="K8294" s="3" t="str">
        <f aca="false">IFERROR(INDEX('Teacher Lookup'!$B$2:$B$200,MATCH(A8294,'Teacher Lookup'!$A$2:$A$200,0)),"")</f>
        <v>FOK Phoebe</v>
      </c>
    </row>
    <row r="8295" customFormat="false" ht="15" hidden="false" customHeight="false" outlineLevel="0" collapsed="false">
      <c r="A8295" s="3" t="s">
        <v>496</v>
      </c>
      <c r="B8295" s="4" t="s">
        <v>66</v>
      </c>
      <c r="C8295" s="4" t="n">
        <v>4</v>
      </c>
      <c r="D8295" s="4" t="s">
        <v>74</v>
      </c>
      <c r="E8295" s="3" t="s">
        <v>225</v>
      </c>
      <c r="F8295" s="4" t="str">
        <f aca="false">IF(I8295&gt;J8295,"Y","N")</f>
        <v>N</v>
      </c>
      <c r="G8295" s="3" t="s">
        <v>15</v>
      </c>
      <c r="H8295" s="3" t="s">
        <v>34</v>
      </c>
      <c r="I8295" s="4" t="n">
        <v>4</v>
      </c>
      <c r="J8295" s="4" t="n">
        <f aca="false">LEN(E8295)-LEN(SUBSTITUTE(E8295,",",""))+1</f>
        <v>4</v>
      </c>
      <c r="K8295" s="3" t="str">
        <f aca="false">IFERROR(INDEX('Teacher Lookup'!$B$2:$B$200,MATCH(A8295,'Teacher Lookup'!$A$2:$A$200,0)),"")</f>
        <v>FOK Phoebe</v>
      </c>
    </row>
    <row r="8296" customFormat="false" ht="15" hidden="false" customHeight="false" outlineLevel="0" collapsed="false">
      <c r="A8296" s="3" t="s">
        <v>496</v>
      </c>
      <c r="B8296" s="4" t="s">
        <v>66</v>
      </c>
      <c r="C8296" s="4" t="n">
        <v>7</v>
      </c>
      <c r="D8296" s="4" t="s">
        <v>76</v>
      </c>
      <c r="E8296" s="3" t="s">
        <v>84</v>
      </c>
      <c r="F8296" s="4" t="str">
        <f aca="false">IF(I8296&gt;J8296,"Y","N")</f>
        <v>N</v>
      </c>
      <c r="G8296" s="3" t="s">
        <v>15</v>
      </c>
      <c r="H8296" s="3" t="s">
        <v>39</v>
      </c>
      <c r="I8296" s="4" t="n">
        <v>4</v>
      </c>
      <c r="J8296" s="4" t="n">
        <f aca="false">LEN(E8296)-LEN(SUBSTITUTE(E8296,",",""))+1</f>
        <v>4</v>
      </c>
      <c r="K8296" s="3" t="str">
        <f aca="false">IFERROR(INDEX('Teacher Lookup'!$B$2:$B$200,MATCH(A8296,'Teacher Lookup'!$A$2:$A$200,0)),"")</f>
        <v>FOK Phoebe</v>
      </c>
    </row>
    <row r="8297" customFormat="false" ht="15" hidden="false" customHeight="false" outlineLevel="0" collapsed="false">
      <c r="A8297" s="3" t="s">
        <v>496</v>
      </c>
      <c r="B8297" s="4" t="s">
        <v>66</v>
      </c>
      <c r="C8297" s="4" t="n">
        <v>7</v>
      </c>
      <c r="D8297" s="4" t="s">
        <v>78</v>
      </c>
      <c r="E8297" s="3" t="s">
        <v>84</v>
      </c>
      <c r="F8297" s="4" t="str">
        <f aca="false">IF(I8297&gt;J8297,"Y","N")</f>
        <v>N</v>
      </c>
      <c r="G8297" s="3" t="s">
        <v>15</v>
      </c>
      <c r="H8297" s="3" t="s">
        <v>39</v>
      </c>
      <c r="I8297" s="4" t="n">
        <v>4</v>
      </c>
      <c r="J8297" s="4" t="n">
        <f aca="false">LEN(E8297)-LEN(SUBSTITUTE(E8297,",",""))+1</f>
        <v>4</v>
      </c>
      <c r="K8297" s="3" t="str">
        <f aca="false">IFERROR(INDEX('Teacher Lookup'!$B$2:$B$200,MATCH(A8297,'Teacher Lookup'!$A$2:$A$200,0)),"")</f>
        <v>FOK Phoebe</v>
      </c>
    </row>
    <row r="8298" customFormat="false" ht="15" hidden="false" customHeight="false" outlineLevel="0" collapsed="false">
      <c r="A8298" s="3" t="s">
        <v>496</v>
      </c>
      <c r="B8298" s="4" t="s">
        <v>66</v>
      </c>
      <c r="C8298" s="4" t="n">
        <v>7</v>
      </c>
      <c r="D8298" s="4" t="s">
        <v>79</v>
      </c>
      <c r="E8298" s="3" t="s">
        <v>84</v>
      </c>
      <c r="F8298" s="4" t="str">
        <f aca="false">IF(I8298&gt;J8298,"Y","N")</f>
        <v>N</v>
      </c>
      <c r="G8298" s="3" t="s">
        <v>15</v>
      </c>
      <c r="H8298" s="3" t="s">
        <v>39</v>
      </c>
      <c r="I8298" s="4" t="n">
        <v>4</v>
      </c>
      <c r="J8298" s="4" t="n">
        <f aca="false">LEN(E8298)-LEN(SUBSTITUTE(E8298,",",""))+1</f>
        <v>4</v>
      </c>
      <c r="K8298" s="3" t="str">
        <f aca="false">IFERROR(INDEX('Teacher Lookup'!$B$2:$B$200,MATCH(A8298,'Teacher Lookup'!$A$2:$A$200,0)),"")</f>
        <v>FOK Phoebe</v>
      </c>
    </row>
    <row r="8299" customFormat="false" ht="15" hidden="false" customHeight="false" outlineLevel="0" collapsed="false">
      <c r="A8299" s="3" t="s">
        <v>497</v>
      </c>
      <c r="B8299" s="4" t="s">
        <v>12</v>
      </c>
      <c r="C8299" s="4" t="n">
        <v>4</v>
      </c>
      <c r="D8299" s="4" t="s">
        <v>19</v>
      </c>
      <c r="E8299" s="3" t="s">
        <v>390</v>
      </c>
      <c r="F8299" s="4" t="str">
        <f aca="false">IF(I8299&gt;J8299,"Y","N")</f>
        <v>Y</v>
      </c>
      <c r="G8299" s="3" t="s">
        <v>222</v>
      </c>
      <c r="H8299" s="3" t="s">
        <v>34</v>
      </c>
      <c r="I8299" s="4" t="n">
        <v>14</v>
      </c>
      <c r="J8299" s="4" t="n">
        <f aca="false">LEN(E8299)-LEN(SUBSTITUTE(E8299,",",""))+1</f>
        <v>7</v>
      </c>
      <c r="K8299" s="3" t="str">
        <f aca="false">IFERROR(INDEX('Teacher Lookup'!$B$2:$B$200,MATCH(A8299,'Teacher Lookup'!$A$2:$A$200,0)),"")</f>
        <v>WAN Ping</v>
      </c>
    </row>
    <row r="8300" customFormat="false" ht="15" hidden="false" customHeight="false" outlineLevel="0" collapsed="false">
      <c r="A8300" s="3" t="s">
        <v>497</v>
      </c>
      <c r="B8300" s="4" t="s">
        <v>12</v>
      </c>
      <c r="C8300" s="4" t="n">
        <v>4</v>
      </c>
      <c r="D8300" s="4" t="s">
        <v>22</v>
      </c>
      <c r="E8300" s="3" t="s">
        <v>390</v>
      </c>
      <c r="F8300" s="4" t="str">
        <f aca="false">IF(I8300&gt;J8300,"Y","N")</f>
        <v>Y</v>
      </c>
      <c r="G8300" s="3" t="s">
        <v>222</v>
      </c>
      <c r="H8300" s="3" t="s">
        <v>34</v>
      </c>
      <c r="I8300" s="4" t="n">
        <v>14</v>
      </c>
      <c r="J8300" s="4" t="n">
        <f aca="false">LEN(E8300)-LEN(SUBSTITUTE(E8300,",",""))+1</f>
        <v>7</v>
      </c>
      <c r="K8300" s="3" t="str">
        <f aca="false">IFERROR(INDEX('Teacher Lookup'!$B$2:$B$200,MATCH(A8300,'Teacher Lookup'!$A$2:$A$200,0)),"")</f>
        <v>WAN Ping</v>
      </c>
    </row>
    <row r="8301" customFormat="false" ht="15" hidden="false" customHeight="false" outlineLevel="0" collapsed="false">
      <c r="A8301" s="3" t="s">
        <v>497</v>
      </c>
      <c r="B8301" s="4" t="s">
        <v>12</v>
      </c>
      <c r="C8301" s="4" t="n">
        <v>4</v>
      </c>
      <c r="D8301" s="4" t="s">
        <v>23</v>
      </c>
      <c r="E8301" s="3" t="s">
        <v>390</v>
      </c>
      <c r="F8301" s="4" t="str">
        <f aca="false">IF(I8301&gt;J8301,"Y","N")</f>
        <v>Y</v>
      </c>
      <c r="G8301" s="3" t="s">
        <v>222</v>
      </c>
      <c r="H8301" s="3" t="s">
        <v>34</v>
      </c>
      <c r="I8301" s="4" t="n">
        <v>14</v>
      </c>
      <c r="J8301" s="4" t="n">
        <f aca="false">LEN(E8301)-LEN(SUBSTITUTE(E8301,",",""))+1</f>
        <v>7</v>
      </c>
      <c r="K8301" s="3" t="str">
        <f aca="false">IFERROR(INDEX('Teacher Lookup'!$B$2:$B$200,MATCH(A8301,'Teacher Lookup'!$A$2:$A$200,0)),"")</f>
        <v>WAN Ping</v>
      </c>
    </row>
    <row r="8302" customFormat="false" ht="15" hidden="false" customHeight="false" outlineLevel="0" collapsed="false">
      <c r="A8302" s="3" t="s">
        <v>497</v>
      </c>
      <c r="B8302" s="4" t="s">
        <v>12</v>
      </c>
      <c r="C8302" s="4" t="n">
        <v>4</v>
      </c>
      <c r="D8302" s="4" t="s">
        <v>13</v>
      </c>
      <c r="E8302" s="3" t="s">
        <v>390</v>
      </c>
      <c r="F8302" s="4" t="str">
        <f aca="false">IF(I8302&gt;J8302,"Y","N")</f>
        <v>Y</v>
      </c>
      <c r="G8302" s="3" t="s">
        <v>222</v>
      </c>
      <c r="H8302" s="3" t="s">
        <v>34</v>
      </c>
      <c r="I8302" s="4" t="n">
        <v>14</v>
      </c>
      <c r="J8302" s="4" t="n">
        <f aca="false">LEN(E8302)-LEN(SUBSTITUTE(E8302,",",""))+1</f>
        <v>7</v>
      </c>
      <c r="K8302" s="3" t="str">
        <f aca="false">IFERROR(INDEX('Teacher Lookup'!$B$2:$B$200,MATCH(A8302,'Teacher Lookup'!$A$2:$A$200,0)),"")</f>
        <v>WAN Ping</v>
      </c>
    </row>
    <row r="8303" customFormat="false" ht="15" hidden="false" customHeight="false" outlineLevel="0" collapsed="false">
      <c r="A8303" s="3" t="s">
        <v>497</v>
      </c>
      <c r="B8303" s="4" t="s">
        <v>12</v>
      </c>
      <c r="C8303" s="4" t="n">
        <v>4</v>
      </c>
      <c r="D8303" s="4" t="s">
        <v>17</v>
      </c>
      <c r="E8303" s="3" t="s">
        <v>390</v>
      </c>
      <c r="F8303" s="4" t="str">
        <f aca="false">IF(I8303&gt;J8303,"Y","N")</f>
        <v>Y</v>
      </c>
      <c r="G8303" s="3" t="s">
        <v>222</v>
      </c>
      <c r="H8303" s="3" t="s">
        <v>34</v>
      </c>
      <c r="I8303" s="4" t="n">
        <v>14</v>
      </c>
      <c r="J8303" s="4" t="n">
        <f aca="false">LEN(E8303)-LEN(SUBSTITUTE(E8303,",",""))+1</f>
        <v>7</v>
      </c>
      <c r="K8303" s="3" t="str">
        <f aca="false">IFERROR(INDEX('Teacher Lookup'!$B$2:$B$200,MATCH(A8303,'Teacher Lookup'!$A$2:$A$200,0)),"")</f>
        <v>WAN Ping</v>
      </c>
    </row>
    <row r="8304" customFormat="false" ht="15" hidden="false" customHeight="false" outlineLevel="0" collapsed="false">
      <c r="A8304" s="3" t="s">
        <v>497</v>
      </c>
      <c r="B8304" s="4" t="s">
        <v>12</v>
      </c>
      <c r="C8304" s="4" t="n">
        <v>4</v>
      </c>
      <c r="D8304" s="4" t="s">
        <v>18</v>
      </c>
      <c r="E8304" s="3" t="s">
        <v>390</v>
      </c>
      <c r="F8304" s="4" t="str">
        <f aca="false">IF(I8304&gt;J8304,"Y","N")</f>
        <v>Y</v>
      </c>
      <c r="G8304" s="3" t="s">
        <v>222</v>
      </c>
      <c r="H8304" s="3" t="s">
        <v>34</v>
      </c>
      <c r="I8304" s="4" t="n">
        <v>14</v>
      </c>
      <c r="J8304" s="4" t="n">
        <f aca="false">LEN(E8304)-LEN(SUBSTITUTE(E8304,",",""))+1</f>
        <v>7</v>
      </c>
      <c r="K8304" s="3" t="str">
        <f aca="false">IFERROR(INDEX('Teacher Lookup'!$B$2:$B$200,MATCH(A8304,'Teacher Lookup'!$A$2:$A$200,0)),"")</f>
        <v>WAN Ping</v>
      </c>
    </row>
    <row r="8305" customFormat="false" ht="15" hidden="false" customHeight="false" outlineLevel="0" collapsed="false">
      <c r="A8305" s="3" t="s">
        <v>497</v>
      </c>
      <c r="B8305" s="4" t="s">
        <v>12</v>
      </c>
      <c r="C8305" s="4" t="n">
        <v>5</v>
      </c>
      <c r="D8305" s="4" t="s">
        <v>19</v>
      </c>
      <c r="E8305" s="3" t="s">
        <v>390</v>
      </c>
      <c r="F8305" s="4" t="str">
        <f aca="false">IF(I8305&gt;J8305,"Y","N")</f>
        <v>Y</v>
      </c>
      <c r="G8305" s="3" t="s">
        <v>222</v>
      </c>
      <c r="H8305" s="3" t="s">
        <v>37</v>
      </c>
      <c r="I8305" s="4" t="n">
        <v>14</v>
      </c>
      <c r="J8305" s="4" t="n">
        <f aca="false">LEN(E8305)-LEN(SUBSTITUTE(E8305,",",""))+1</f>
        <v>7</v>
      </c>
      <c r="K8305" s="3" t="str">
        <f aca="false">IFERROR(INDEX('Teacher Lookup'!$B$2:$B$200,MATCH(A8305,'Teacher Lookup'!$A$2:$A$200,0)),"")</f>
        <v>WAN Ping</v>
      </c>
    </row>
    <row r="8306" customFormat="false" ht="15" hidden="false" customHeight="false" outlineLevel="0" collapsed="false">
      <c r="A8306" s="3" t="s">
        <v>497</v>
      </c>
      <c r="B8306" s="4" t="s">
        <v>12</v>
      </c>
      <c r="C8306" s="4" t="n">
        <v>5</v>
      </c>
      <c r="D8306" s="4" t="s">
        <v>22</v>
      </c>
      <c r="E8306" s="3" t="s">
        <v>390</v>
      </c>
      <c r="F8306" s="4" t="str">
        <f aca="false">IF(I8306&gt;J8306,"Y","N")</f>
        <v>Y</v>
      </c>
      <c r="G8306" s="3" t="s">
        <v>222</v>
      </c>
      <c r="H8306" s="3" t="s">
        <v>37</v>
      </c>
      <c r="I8306" s="4" t="n">
        <v>14</v>
      </c>
      <c r="J8306" s="4" t="n">
        <f aca="false">LEN(E8306)-LEN(SUBSTITUTE(E8306,",",""))+1</f>
        <v>7</v>
      </c>
      <c r="K8306" s="3" t="str">
        <f aca="false">IFERROR(INDEX('Teacher Lookup'!$B$2:$B$200,MATCH(A8306,'Teacher Lookup'!$A$2:$A$200,0)),"")</f>
        <v>WAN Ping</v>
      </c>
    </row>
    <row r="8307" customFormat="false" ht="15" hidden="false" customHeight="false" outlineLevel="0" collapsed="false">
      <c r="A8307" s="3" t="s">
        <v>497</v>
      </c>
      <c r="B8307" s="4" t="s">
        <v>12</v>
      </c>
      <c r="C8307" s="4" t="n">
        <v>5</v>
      </c>
      <c r="D8307" s="4" t="s">
        <v>23</v>
      </c>
      <c r="E8307" s="3" t="s">
        <v>390</v>
      </c>
      <c r="F8307" s="4" t="str">
        <f aca="false">IF(I8307&gt;J8307,"Y","N")</f>
        <v>Y</v>
      </c>
      <c r="G8307" s="3" t="s">
        <v>222</v>
      </c>
      <c r="H8307" s="3" t="s">
        <v>37</v>
      </c>
      <c r="I8307" s="4" t="n">
        <v>14</v>
      </c>
      <c r="J8307" s="4" t="n">
        <f aca="false">LEN(E8307)-LEN(SUBSTITUTE(E8307,",",""))+1</f>
        <v>7</v>
      </c>
      <c r="K8307" s="3" t="str">
        <f aca="false">IFERROR(INDEX('Teacher Lookup'!$B$2:$B$200,MATCH(A8307,'Teacher Lookup'!$A$2:$A$200,0)),"")</f>
        <v>WAN Ping</v>
      </c>
    </row>
    <row r="8308" customFormat="false" ht="15" hidden="false" customHeight="false" outlineLevel="0" collapsed="false">
      <c r="A8308" s="3" t="s">
        <v>497</v>
      </c>
      <c r="B8308" s="4" t="s">
        <v>12</v>
      </c>
      <c r="C8308" s="4" t="n">
        <v>5</v>
      </c>
      <c r="D8308" s="4" t="s">
        <v>13</v>
      </c>
      <c r="E8308" s="3" t="s">
        <v>390</v>
      </c>
      <c r="F8308" s="4" t="str">
        <f aca="false">IF(I8308&gt;J8308,"Y","N")</f>
        <v>Y</v>
      </c>
      <c r="G8308" s="3" t="s">
        <v>222</v>
      </c>
      <c r="H8308" s="3" t="s">
        <v>37</v>
      </c>
      <c r="I8308" s="4" t="n">
        <v>14</v>
      </c>
      <c r="J8308" s="4" t="n">
        <f aca="false">LEN(E8308)-LEN(SUBSTITUTE(E8308,",",""))+1</f>
        <v>7</v>
      </c>
      <c r="K8308" s="3" t="str">
        <f aca="false">IFERROR(INDEX('Teacher Lookup'!$B$2:$B$200,MATCH(A8308,'Teacher Lookup'!$A$2:$A$200,0)),"")</f>
        <v>WAN Ping</v>
      </c>
    </row>
    <row r="8309" customFormat="false" ht="15" hidden="false" customHeight="false" outlineLevel="0" collapsed="false">
      <c r="A8309" s="3" t="s">
        <v>497</v>
      </c>
      <c r="B8309" s="4" t="s">
        <v>12</v>
      </c>
      <c r="C8309" s="4" t="n">
        <v>5</v>
      </c>
      <c r="D8309" s="4" t="s">
        <v>17</v>
      </c>
      <c r="E8309" s="3" t="s">
        <v>390</v>
      </c>
      <c r="F8309" s="4" t="str">
        <f aca="false">IF(I8309&gt;J8309,"Y","N")</f>
        <v>Y</v>
      </c>
      <c r="G8309" s="3" t="s">
        <v>222</v>
      </c>
      <c r="H8309" s="3" t="s">
        <v>37</v>
      </c>
      <c r="I8309" s="4" t="n">
        <v>14</v>
      </c>
      <c r="J8309" s="4" t="n">
        <f aca="false">LEN(E8309)-LEN(SUBSTITUTE(E8309,",",""))+1</f>
        <v>7</v>
      </c>
      <c r="K8309" s="3" t="str">
        <f aca="false">IFERROR(INDEX('Teacher Lookup'!$B$2:$B$200,MATCH(A8309,'Teacher Lookup'!$A$2:$A$200,0)),"")</f>
        <v>WAN Ping</v>
      </c>
    </row>
    <row r="8310" customFormat="false" ht="15" hidden="false" customHeight="false" outlineLevel="0" collapsed="false">
      <c r="A8310" s="3" t="s">
        <v>497</v>
      </c>
      <c r="B8310" s="4" t="s">
        <v>12</v>
      </c>
      <c r="C8310" s="4" t="n">
        <v>5</v>
      </c>
      <c r="D8310" s="4" t="s">
        <v>18</v>
      </c>
      <c r="E8310" s="3" t="s">
        <v>390</v>
      </c>
      <c r="F8310" s="4" t="str">
        <f aca="false">IF(I8310&gt;J8310,"Y","N")</f>
        <v>Y</v>
      </c>
      <c r="G8310" s="3" t="s">
        <v>222</v>
      </c>
      <c r="H8310" s="3" t="s">
        <v>37</v>
      </c>
      <c r="I8310" s="4" t="n">
        <v>14</v>
      </c>
      <c r="J8310" s="4" t="n">
        <f aca="false">LEN(E8310)-LEN(SUBSTITUTE(E8310,",",""))+1</f>
        <v>7</v>
      </c>
      <c r="K8310" s="3" t="str">
        <f aca="false">IFERROR(INDEX('Teacher Lookup'!$B$2:$B$200,MATCH(A8310,'Teacher Lookup'!$A$2:$A$200,0)),"")</f>
        <v>WAN Ping</v>
      </c>
    </row>
    <row r="8311" customFormat="false" ht="15" hidden="false" customHeight="false" outlineLevel="0" collapsed="false">
      <c r="A8311" s="3" t="s">
        <v>497</v>
      </c>
      <c r="B8311" s="4" t="s">
        <v>12</v>
      </c>
      <c r="C8311" s="4" t="n">
        <v>6</v>
      </c>
      <c r="D8311" s="4" t="s">
        <v>27</v>
      </c>
      <c r="E8311" s="3" t="s">
        <v>387</v>
      </c>
      <c r="F8311" s="4" t="str">
        <f aca="false">IF(I8311&gt;J8311,"Y","N")</f>
        <v>N</v>
      </c>
      <c r="G8311" s="3" t="s">
        <v>388</v>
      </c>
      <c r="H8311" s="3" t="s">
        <v>42</v>
      </c>
      <c r="I8311" s="4" t="n">
        <v>2</v>
      </c>
      <c r="J8311" s="4" t="n">
        <f aca="false">LEN(E8311)-LEN(SUBSTITUTE(E8311,",",""))+1</f>
        <v>2</v>
      </c>
      <c r="K8311" s="3" t="str">
        <f aca="false">IFERROR(INDEX('Teacher Lookup'!$B$2:$B$200,MATCH(A8311,'Teacher Lookup'!$A$2:$A$200,0)),"")</f>
        <v>WAN Ping</v>
      </c>
    </row>
    <row r="8312" customFormat="false" ht="15" hidden="false" customHeight="false" outlineLevel="0" collapsed="false">
      <c r="A8312" s="3" t="s">
        <v>497</v>
      </c>
      <c r="B8312" s="4" t="s">
        <v>12</v>
      </c>
      <c r="C8312" s="4" t="n">
        <v>6</v>
      </c>
      <c r="D8312" s="4" t="s">
        <v>28</v>
      </c>
      <c r="E8312" s="3" t="s">
        <v>387</v>
      </c>
      <c r="F8312" s="4" t="str">
        <f aca="false">IF(I8312&gt;J8312,"Y","N")</f>
        <v>N</v>
      </c>
      <c r="G8312" s="3" t="s">
        <v>388</v>
      </c>
      <c r="H8312" s="3" t="s">
        <v>42</v>
      </c>
      <c r="I8312" s="4" t="n">
        <v>2</v>
      </c>
      <c r="J8312" s="4" t="n">
        <f aca="false">LEN(E8312)-LEN(SUBSTITUTE(E8312,",",""))+1</f>
        <v>2</v>
      </c>
      <c r="K8312" s="3" t="str">
        <f aca="false">IFERROR(INDEX('Teacher Lookup'!$B$2:$B$200,MATCH(A8312,'Teacher Lookup'!$A$2:$A$200,0)),"")</f>
        <v>WAN Ping</v>
      </c>
    </row>
    <row r="8313" customFormat="false" ht="15" hidden="false" customHeight="false" outlineLevel="0" collapsed="false">
      <c r="A8313" s="3" t="s">
        <v>497</v>
      </c>
      <c r="B8313" s="4" t="s">
        <v>12</v>
      </c>
      <c r="C8313" s="4" t="n">
        <v>7</v>
      </c>
      <c r="D8313" s="4" t="s">
        <v>27</v>
      </c>
      <c r="E8313" s="3" t="s">
        <v>387</v>
      </c>
      <c r="F8313" s="4" t="str">
        <f aca="false">IF(I8313&gt;J8313,"Y","N")</f>
        <v>N</v>
      </c>
      <c r="G8313" s="3" t="s">
        <v>388</v>
      </c>
      <c r="H8313" s="3" t="s">
        <v>39</v>
      </c>
      <c r="I8313" s="4" t="n">
        <v>2</v>
      </c>
      <c r="J8313" s="4" t="n">
        <f aca="false">LEN(E8313)-LEN(SUBSTITUTE(E8313,",",""))+1</f>
        <v>2</v>
      </c>
      <c r="K8313" s="3" t="str">
        <f aca="false">IFERROR(INDEX('Teacher Lookup'!$B$2:$B$200,MATCH(A8313,'Teacher Lookup'!$A$2:$A$200,0)),"")</f>
        <v>WAN Ping</v>
      </c>
    </row>
    <row r="8314" customFormat="false" ht="15" hidden="false" customHeight="false" outlineLevel="0" collapsed="false">
      <c r="A8314" s="3" t="s">
        <v>497</v>
      </c>
      <c r="B8314" s="4" t="s">
        <v>12</v>
      </c>
      <c r="C8314" s="4" t="n">
        <v>7</v>
      </c>
      <c r="D8314" s="4" t="s">
        <v>28</v>
      </c>
      <c r="E8314" s="3" t="s">
        <v>387</v>
      </c>
      <c r="F8314" s="4" t="str">
        <f aca="false">IF(I8314&gt;J8314,"Y","N")</f>
        <v>N</v>
      </c>
      <c r="G8314" s="3" t="s">
        <v>388</v>
      </c>
      <c r="H8314" s="3" t="s">
        <v>39</v>
      </c>
      <c r="I8314" s="4" t="n">
        <v>2</v>
      </c>
      <c r="J8314" s="4" t="n">
        <f aca="false">LEN(E8314)-LEN(SUBSTITUTE(E8314,",",""))+1</f>
        <v>2</v>
      </c>
      <c r="K8314" s="3" t="str">
        <f aca="false">IFERROR(INDEX('Teacher Lookup'!$B$2:$B$200,MATCH(A8314,'Teacher Lookup'!$A$2:$A$200,0)),"")</f>
        <v>WAN Ping</v>
      </c>
    </row>
    <row r="8315" customFormat="false" ht="15" hidden="false" customHeight="false" outlineLevel="0" collapsed="false">
      <c r="A8315" s="3" t="s">
        <v>497</v>
      </c>
      <c r="B8315" s="4" t="s">
        <v>31</v>
      </c>
      <c r="C8315" s="4" t="n">
        <v>5</v>
      </c>
      <c r="D8315" s="4" t="s">
        <v>137</v>
      </c>
      <c r="E8315" s="3" t="s">
        <v>185</v>
      </c>
      <c r="F8315" s="4" t="str">
        <f aca="false">IF(I8315&gt;J8315,"Y","N")</f>
        <v>Y</v>
      </c>
      <c r="G8315" s="3" t="s">
        <v>36</v>
      </c>
      <c r="H8315" s="3" t="s">
        <v>37</v>
      </c>
      <c r="I8315" s="4" t="n">
        <v>21</v>
      </c>
      <c r="J8315" s="4" t="n">
        <f aca="false">LEN(E8315)-LEN(SUBSTITUTE(E8315,",",""))+1</f>
        <v>7</v>
      </c>
      <c r="K8315" s="3" t="str">
        <f aca="false">IFERROR(INDEX('Teacher Lookup'!$B$2:$B$200,MATCH(A8315,'Teacher Lookup'!$A$2:$A$200,0)),"")</f>
        <v>WAN Ping</v>
      </c>
    </row>
    <row r="8316" customFormat="false" ht="15" hidden="false" customHeight="false" outlineLevel="0" collapsed="false">
      <c r="A8316" s="3" t="s">
        <v>497</v>
      </c>
      <c r="B8316" s="4" t="s">
        <v>31</v>
      </c>
      <c r="C8316" s="4" t="n">
        <v>5</v>
      </c>
      <c r="D8316" s="4" t="s">
        <v>124</v>
      </c>
      <c r="E8316" s="3" t="s">
        <v>185</v>
      </c>
      <c r="F8316" s="4" t="str">
        <f aca="false">IF(I8316&gt;J8316,"Y","N")</f>
        <v>Y</v>
      </c>
      <c r="G8316" s="3" t="s">
        <v>36</v>
      </c>
      <c r="H8316" s="3" t="s">
        <v>37</v>
      </c>
      <c r="I8316" s="4" t="n">
        <v>21</v>
      </c>
      <c r="J8316" s="4" t="n">
        <f aca="false">LEN(E8316)-LEN(SUBSTITUTE(E8316,",",""))+1</f>
        <v>7</v>
      </c>
      <c r="K8316" s="3" t="str">
        <f aca="false">IFERROR(INDEX('Teacher Lookup'!$B$2:$B$200,MATCH(A8316,'Teacher Lookup'!$A$2:$A$200,0)),"")</f>
        <v>WAN Ping</v>
      </c>
    </row>
    <row r="8317" customFormat="false" ht="15" hidden="false" customHeight="false" outlineLevel="0" collapsed="false">
      <c r="A8317" s="3" t="s">
        <v>497</v>
      </c>
      <c r="B8317" s="4" t="s">
        <v>31</v>
      </c>
      <c r="C8317" s="4" t="n">
        <v>5</v>
      </c>
      <c r="D8317" s="4" t="s">
        <v>139</v>
      </c>
      <c r="E8317" s="3" t="s">
        <v>185</v>
      </c>
      <c r="F8317" s="4" t="str">
        <f aca="false">IF(I8317&gt;J8317,"Y","N")</f>
        <v>Y</v>
      </c>
      <c r="G8317" s="3" t="s">
        <v>36</v>
      </c>
      <c r="H8317" s="3" t="s">
        <v>37</v>
      </c>
      <c r="I8317" s="4" t="n">
        <v>21</v>
      </c>
      <c r="J8317" s="4" t="n">
        <f aca="false">LEN(E8317)-LEN(SUBSTITUTE(E8317,",",""))+1</f>
        <v>7</v>
      </c>
      <c r="K8317" s="3" t="str">
        <f aca="false">IFERROR(INDEX('Teacher Lookup'!$B$2:$B$200,MATCH(A8317,'Teacher Lookup'!$A$2:$A$200,0)),"")</f>
        <v>WAN Ping</v>
      </c>
    </row>
    <row r="8318" customFormat="false" ht="15" hidden="false" customHeight="false" outlineLevel="0" collapsed="false">
      <c r="A8318" s="3" t="s">
        <v>497</v>
      </c>
      <c r="B8318" s="4" t="s">
        <v>31</v>
      </c>
      <c r="C8318" s="4" t="n">
        <v>5</v>
      </c>
      <c r="D8318" s="4" t="s">
        <v>140</v>
      </c>
      <c r="E8318" s="3" t="s">
        <v>185</v>
      </c>
      <c r="F8318" s="4" t="str">
        <f aca="false">IF(I8318&gt;J8318,"Y","N")</f>
        <v>Y</v>
      </c>
      <c r="G8318" s="3" t="s">
        <v>36</v>
      </c>
      <c r="H8318" s="3" t="s">
        <v>37</v>
      </c>
      <c r="I8318" s="4" t="n">
        <v>21</v>
      </c>
      <c r="J8318" s="4" t="n">
        <f aca="false">LEN(E8318)-LEN(SUBSTITUTE(E8318,",",""))+1</f>
        <v>7</v>
      </c>
      <c r="K8318" s="3" t="str">
        <f aca="false">IFERROR(INDEX('Teacher Lookup'!$B$2:$B$200,MATCH(A8318,'Teacher Lookup'!$A$2:$A$200,0)),"")</f>
        <v>WAN Ping</v>
      </c>
    </row>
    <row r="8319" customFormat="false" ht="15" hidden="false" customHeight="false" outlineLevel="0" collapsed="false">
      <c r="A8319" s="3" t="s">
        <v>497</v>
      </c>
      <c r="B8319" s="4" t="s">
        <v>31</v>
      </c>
      <c r="C8319" s="4" t="n">
        <v>5</v>
      </c>
      <c r="D8319" s="4" t="s">
        <v>142</v>
      </c>
      <c r="E8319" s="3" t="s">
        <v>185</v>
      </c>
      <c r="F8319" s="4" t="str">
        <f aca="false">IF(I8319&gt;J8319,"Y","N")</f>
        <v>Y</v>
      </c>
      <c r="G8319" s="3" t="s">
        <v>36</v>
      </c>
      <c r="H8319" s="3" t="s">
        <v>37</v>
      </c>
      <c r="I8319" s="4" t="n">
        <v>21</v>
      </c>
      <c r="J8319" s="4" t="n">
        <f aca="false">LEN(E8319)-LEN(SUBSTITUTE(E8319,",",""))+1</f>
        <v>7</v>
      </c>
      <c r="K8319" s="3" t="str">
        <f aca="false">IFERROR(INDEX('Teacher Lookup'!$B$2:$B$200,MATCH(A8319,'Teacher Lookup'!$A$2:$A$200,0)),"")</f>
        <v>WAN Ping</v>
      </c>
    </row>
    <row r="8320" customFormat="false" ht="15" hidden="false" customHeight="false" outlineLevel="0" collapsed="false">
      <c r="A8320" s="3" t="s">
        <v>497</v>
      </c>
      <c r="B8320" s="4" t="s">
        <v>31</v>
      </c>
      <c r="C8320" s="4" t="n">
        <v>5</v>
      </c>
      <c r="D8320" s="4" t="s">
        <v>127</v>
      </c>
      <c r="E8320" s="3" t="s">
        <v>185</v>
      </c>
      <c r="F8320" s="4" t="str">
        <f aca="false">IF(I8320&gt;J8320,"Y","N")</f>
        <v>Y</v>
      </c>
      <c r="G8320" s="3" t="s">
        <v>36</v>
      </c>
      <c r="H8320" s="3" t="s">
        <v>37</v>
      </c>
      <c r="I8320" s="4" t="n">
        <v>21</v>
      </c>
      <c r="J8320" s="4" t="n">
        <f aca="false">LEN(E8320)-LEN(SUBSTITUTE(E8320,",",""))+1</f>
        <v>7</v>
      </c>
      <c r="K8320" s="3" t="str">
        <f aca="false">IFERROR(INDEX('Teacher Lookup'!$B$2:$B$200,MATCH(A8320,'Teacher Lookup'!$A$2:$A$200,0)),"")</f>
        <v>WAN Ping</v>
      </c>
    </row>
    <row r="8321" customFormat="false" ht="15" hidden="false" customHeight="false" outlineLevel="0" collapsed="false">
      <c r="A8321" s="3" t="s">
        <v>497</v>
      </c>
      <c r="B8321" s="4" t="s">
        <v>31</v>
      </c>
      <c r="C8321" s="4" t="n">
        <v>6</v>
      </c>
      <c r="D8321" s="4" t="s">
        <v>105</v>
      </c>
      <c r="E8321" s="3" t="s">
        <v>387</v>
      </c>
      <c r="F8321" s="4" t="str">
        <f aca="false">IF(I8321&gt;J8321,"Y","N")</f>
        <v>N</v>
      </c>
      <c r="G8321" s="3" t="s">
        <v>388</v>
      </c>
      <c r="H8321" s="3" t="s">
        <v>42</v>
      </c>
      <c r="I8321" s="4" t="n">
        <v>2</v>
      </c>
      <c r="J8321" s="4" t="n">
        <f aca="false">LEN(E8321)-LEN(SUBSTITUTE(E8321,",",""))+1</f>
        <v>2</v>
      </c>
      <c r="K8321" s="3" t="str">
        <f aca="false">IFERROR(INDEX('Teacher Lookup'!$B$2:$B$200,MATCH(A8321,'Teacher Lookup'!$A$2:$A$200,0)),"")</f>
        <v>WAN Ping</v>
      </c>
    </row>
    <row r="8322" customFormat="false" ht="15" hidden="false" customHeight="false" outlineLevel="0" collapsed="false">
      <c r="A8322" s="3" t="s">
        <v>497</v>
      </c>
      <c r="B8322" s="4" t="s">
        <v>31</v>
      </c>
      <c r="C8322" s="4" t="n">
        <v>6</v>
      </c>
      <c r="D8322" s="4" t="s">
        <v>106</v>
      </c>
      <c r="E8322" s="3" t="s">
        <v>387</v>
      </c>
      <c r="F8322" s="4" t="str">
        <f aca="false">IF(I8322&gt;J8322,"Y","N")</f>
        <v>N</v>
      </c>
      <c r="G8322" s="3" t="s">
        <v>388</v>
      </c>
      <c r="H8322" s="3" t="s">
        <v>42</v>
      </c>
      <c r="I8322" s="4" t="n">
        <v>2</v>
      </c>
      <c r="J8322" s="4" t="n">
        <f aca="false">LEN(E8322)-LEN(SUBSTITUTE(E8322,",",""))+1</f>
        <v>2</v>
      </c>
      <c r="K8322" s="3" t="str">
        <f aca="false">IFERROR(INDEX('Teacher Lookup'!$B$2:$B$200,MATCH(A8322,'Teacher Lookup'!$A$2:$A$200,0)),"")</f>
        <v>WAN Ping</v>
      </c>
    </row>
    <row r="8323" customFormat="false" ht="15" hidden="false" customHeight="false" outlineLevel="0" collapsed="false">
      <c r="A8323" s="3" t="s">
        <v>497</v>
      </c>
      <c r="B8323" s="4" t="s">
        <v>31</v>
      </c>
      <c r="C8323" s="4" t="n">
        <v>7</v>
      </c>
      <c r="D8323" s="4" t="s">
        <v>105</v>
      </c>
      <c r="E8323" s="3" t="s">
        <v>387</v>
      </c>
      <c r="F8323" s="4" t="str">
        <f aca="false">IF(I8323&gt;J8323,"Y","N")</f>
        <v>N</v>
      </c>
      <c r="G8323" s="3" t="s">
        <v>388</v>
      </c>
      <c r="H8323" s="3" t="s">
        <v>39</v>
      </c>
      <c r="I8323" s="4" t="n">
        <v>2</v>
      </c>
      <c r="J8323" s="4" t="n">
        <f aca="false">LEN(E8323)-LEN(SUBSTITUTE(E8323,",",""))+1</f>
        <v>2</v>
      </c>
      <c r="K8323" s="3" t="str">
        <f aca="false">IFERROR(INDEX('Teacher Lookup'!$B$2:$B$200,MATCH(A8323,'Teacher Lookup'!$A$2:$A$200,0)),"")</f>
        <v>WAN Ping</v>
      </c>
    </row>
    <row r="8324" customFormat="false" ht="15" hidden="false" customHeight="false" outlineLevel="0" collapsed="false">
      <c r="A8324" s="3" t="s">
        <v>497</v>
      </c>
      <c r="B8324" s="4" t="s">
        <v>31</v>
      </c>
      <c r="C8324" s="4" t="n">
        <v>7</v>
      </c>
      <c r="D8324" s="4" t="s">
        <v>106</v>
      </c>
      <c r="E8324" s="3" t="s">
        <v>387</v>
      </c>
      <c r="F8324" s="4" t="str">
        <f aca="false">IF(I8324&gt;J8324,"Y","N")</f>
        <v>N</v>
      </c>
      <c r="G8324" s="3" t="s">
        <v>388</v>
      </c>
      <c r="H8324" s="3" t="s">
        <v>39</v>
      </c>
      <c r="I8324" s="4" t="n">
        <v>2</v>
      </c>
      <c r="J8324" s="4" t="n">
        <f aca="false">LEN(E8324)-LEN(SUBSTITUTE(E8324,",",""))+1</f>
        <v>2</v>
      </c>
      <c r="K8324" s="3" t="str">
        <f aca="false">IFERROR(INDEX('Teacher Lookup'!$B$2:$B$200,MATCH(A8324,'Teacher Lookup'!$A$2:$A$200,0)),"")</f>
        <v>WAN Ping</v>
      </c>
    </row>
    <row r="8325" customFormat="false" ht="15" hidden="false" customHeight="false" outlineLevel="0" collapsed="false">
      <c r="A8325" s="3" t="s">
        <v>497</v>
      </c>
      <c r="B8325" s="4" t="s">
        <v>40</v>
      </c>
      <c r="C8325" s="4" t="n">
        <v>4</v>
      </c>
      <c r="D8325" s="4" t="s">
        <v>24</v>
      </c>
      <c r="E8325" s="3" t="s">
        <v>379</v>
      </c>
      <c r="F8325" s="4" t="str">
        <f aca="false">IF(I8325&gt;J8325,"Y","N")</f>
        <v>Y</v>
      </c>
      <c r="G8325" s="3" t="s">
        <v>378</v>
      </c>
      <c r="H8325" s="3" t="s">
        <v>34</v>
      </c>
      <c r="I8325" s="4" t="n">
        <v>9</v>
      </c>
      <c r="J8325" s="4" t="n">
        <f aca="false">LEN(E8325)-LEN(SUBSTITUTE(E8325,",",""))+1</f>
        <v>8</v>
      </c>
      <c r="K8325" s="3" t="str">
        <f aca="false">IFERROR(INDEX('Teacher Lookup'!$B$2:$B$200,MATCH(A8325,'Teacher Lookup'!$A$2:$A$200,0)),"")</f>
        <v>WAN Ping</v>
      </c>
    </row>
    <row r="8326" customFormat="false" ht="15" hidden="false" customHeight="false" outlineLevel="0" collapsed="false">
      <c r="A8326" s="3" t="s">
        <v>497</v>
      </c>
      <c r="B8326" s="4" t="s">
        <v>40</v>
      </c>
      <c r="C8326" s="4" t="n">
        <v>4</v>
      </c>
      <c r="D8326" s="4" t="s">
        <v>27</v>
      </c>
      <c r="E8326" s="3" t="s">
        <v>379</v>
      </c>
      <c r="F8326" s="4" t="str">
        <f aca="false">IF(I8326&gt;J8326,"Y","N")</f>
        <v>Y</v>
      </c>
      <c r="G8326" s="3" t="s">
        <v>378</v>
      </c>
      <c r="H8326" s="3" t="s">
        <v>34</v>
      </c>
      <c r="I8326" s="4" t="n">
        <v>9</v>
      </c>
      <c r="J8326" s="4" t="n">
        <f aca="false">LEN(E8326)-LEN(SUBSTITUTE(E8326,",",""))+1</f>
        <v>8</v>
      </c>
      <c r="K8326" s="3" t="str">
        <f aca="false">IFERROR(INDEX('Teacher Lookup'!$B$2:$B$200,MATCH(A8326,'Teacher Lookup'!$A$2:$A$200,0)),"")</f>
        <v>WAN Ping</v>
      </c>
    </row>
    <row r="8327" customFormat="false" ht="15" hidden="false" customHeight="false" outlineLevel="0" collapsed="false">
      <c r="A8327" s="3" t="s">
        <v>497</v>
      </c>
      <c r="B8327" s="4" t="s">
        <v>40</v>
      </c>
      <c r="C8327" s="4" t="n">
        <v>4</v>
      </c>
      <c r="D8327" s="4" t="s">
        <v>28</v>
      </c>
      <c r="E8327" s="3" t="s">
        <v>379</v>
      </c>
      <c r="F8327" s="4" t="str">
        <f aca="false">IF(I8327&gt;J8327,"Y","N")</f>
        <v>Y</v>
      </c>
      <c r="G8327" s="3" t="s">
        <v>378</v>
      </c>
      <c r="H8327" s="3" t="s">
        <v>34</v>
      </c>
      <c r="I8327" s="4" t="n">
        <v>9</v>
      </c>
      <c r="J8327" s="4" t="n">
        <f aca="false">LEN(E8327)-LEN(SUBSTITUTE(E8327,",",""))+1</f>
        <v>8</v>
      </c>
      <c r="K8327" s="3" t="str">
        <f aca="false">IFERROR(INDEX('Teacher Lookup'!$B$2:$B$200,MATCH(A8327,'Teacher Lookup'!$A$2:$A$200,0)),"")</f>
        <v>WAN Ping</v>
      </c>
    </row>
    <row r="8328" customFormat="false" ht="15" hidden="false" customHeight="false" outlineLevel="0" collapsed="false">
      <c r="A8328" s="3" t="s">
        <v>497</v>
      </c>
      <c r="B8328" s="4" t="s">
        <v>40</v>
      </c>
      <c r="C8328" s="4" t="n">
        <v>4</v>
      </c>
      <c r="D8328" s="4" t="s">
        <v>29</v>
      </c>
      <c r="E8328" s="3" t="s">
        <v>379</v>
      </c>
      <c r="F8328" s="4" t="str">
        <f aca="false">IF(I8328&gt;J8328,"Y","N")</f>
        <v>Y</v>
      </c>
      <c r="G8328" s="3" t="s">
        <v>378</v>
      </c>
      <c r="H8328" s="3" t="s">
        <v>34</v>
      </c>
      <c r="I8328" s="4" t="n">
        <v>9</v>
      </c>
      <c r="J8328" s="4" t="n">
        <f aca="false">LEN(E8328)-LEN(SUBSTITUTE(E8328,",",""))+1</f>
        <v>8</v>
      </c>
      <c r="K8328" s="3" t="str">
        <f aca="false">IFERROR(INDEX('Teacher Lookup'!$B$2:$B$200,MATCH(A8328,'Teacher Lookup'!$A$2:$A$200,0)),"")</f>
        <v>WAN Ping</v>
      </c>
    </row>
    <row r="8329" customFormat="false" ht="15" hidden="false" customHeight="false" outlineLevel="0" collapsed="false">
      <c r="A8329" s="3" t="s">
        <v>497</v>
      </c>
      <c r="B8329" s="4" t="s">
        <v>40</v>
      </c>
      <c r="C8329" s="4" t="n">
        <v>4</v>
      </c>
      <c r="D8329" s="4" t="s">
        <v>30</v>
      </c>
      <c r="E8329" s="3" t="s">
        <v>379</v>
      </c>
      <c r="F8329" s="4" t="str">
        <f aca="false">IF(I8329&gt;J8329,"Y","N")</f>
        <v>Y</v>
      </c>
      <c r="G8329" s="3" t="s">
        <v>378</v>
      </c>
      <c r="H8329" s="3" t="s">
        <v>34</v>
      </c>
      <c r="I8329" s="4" t="n">
        <v>9</v>
      </c>
      <c r="J8329" s="4" t="n">
        <f aca="false">LEN(E8329)-LEN(SUBSTITUTE(E8329,",",""))+1</f>
        <v>8</v>
      </c>
      <c r="K8329" s="3" t="str">
        <f aca="false">IFERROR(INDEX('Teacher Lookup'!$B$2:$B$200,MATCH(A8329,'Teacher Lookup'!$A$2:$A$200,0)),"")</f>
        <v>WAN Ping</v>
      </c>
    </row>
    <row r="8330" customFormat="false" ht="15" hidden="false" customHeight="false" outlineLevel="0" collapsed="false">
      <c r="A8330" s="3" t="s">
        <v>497</v>
      </c>
      <c r="B8330" s="4" t="s">
        <v>44</v>
      </c>
      <c r="C8330" s="4" t="n">
        <v>1</v>
      </c>
      <c r="D8330" s="4" t="s">
        <v>24</v>
      </c>
      <c r="E8330" s="3" t="s">
        <v>380</v>
      </c>
      <c r="F8330" s="4" t="str">
        <f aca="false">IF(I8330&gt;J8330,"Y","N")</f>
        <v>Y</v>
      </c>
      <c r="G8330" s="3" t="s">
        <v>378</v>
      </c>
      <c r="H8330" s="3" t="s">
        <v>16</v>
      </c>
      <c r="I8330" s="4" t="n">
        <v>9</v>
      </c>
      <c r="J8330" s="4" t="n">
        <f aca="false">LEN(E8330)-LEN(SUBSTITUTE(E8330,",",""))+1</f>
        <v>8</v>
      </c>
      <c r="K8330" s="3" t="str">
        <f aca="false">IFERROR(INDEX('Teacher Lookup'!$B$2:$B$200,MATCH(A8330,'Teacher Lookup'!$A$2:$A$200,0)),"")</f>
        <v>WAN Ping</v>
      </c>
    </row>
    <row r="8331" customFormat="false" ht="15" hidden="false" customHeight="false" outlineLevel="0" collapsed="false">
      <c r="A8331" s="3" t="s">
        <v>497</v>
      </c>
      <c r="B8331" s="4" t="s">
        <v>44</v>
      </c>
      <c r="C8331" s="4" t="n">
        <v>1</v>
      </c>
      <c r="D8331" s="4" t="s">
        <v>27</v>
      </c>
      <c r="E8331" s="3" t="s">
        <v>380</v>
      </c>
      <c r="F8331" s="4" t="str">
        <f aca="false">IF(I8331&gt;J8331,"Y","N")</f>
        <v>Y</v>
      </c>
      <c r="G8331" s="3" t="s">
        <v>378</v>
      </c>
      <c r="H8331" s="3" t="s">
        <v>16</v>
      </c>
      <c r="I8331" s="4" t="n">
        <v>9</v>
      </c>
      <c r="J8331" s="4" t="n">
        <f aca="false">LEN(E8331)-LEN(SUBSTITUTE(E8331,",",""))+1</f>
        <v>8</v>
      </c>
      <c r="K8331" s="3" t="str">
        <f aca="false">IFERROR(INDEX('Teacher Lookup'!$B$2:$B$200,MATCH(A8331,'Teacher Lookup'!$A$2:$A$200,0)),"")</f>
        <v>WAN Ping</v>
      </c>
    </row>
    <row r="8332" customFormat="false" ht="15" hidden="false" customHeight="false" outlineLevel="0" collapsed="false">
      <c r="A8332" s="3" t="s">
        <v>497</v>
      </c>
      <c r="B8332" s="4" t="s">
        <v>44</v>
      </c>
      <c r="C8332" s="4" t="n">
        <v>1</v>
      </c>
      <c r="D8332" s="4" t="s">
        <v>28</v>
      </c>
      <c r="E8332" s="3" t="s">
        <v>380</v>
      </c>
      <c r="F8332" s="4" t="str">
        <f aca="false">IF(I8332&gt;J8332,"Y","N")</f>
        <v>Y</v>
      </c>
      <c r="G8332" s="3" t="s">
        <v>378</v>
      </c>
      <c r="H8332" s="3" t="s">
        <v>16</v>
      </c>
      <c r="I8332" s="4" t="n">
        <v>9</v>
      </c>
      <c r="J8332" s="4" t="n">
        <f aca="false">LEN(E8332)-LEN(SUBSTITUTE(E8332,",",""))+1</f>
        <v>8</v>
      </c>
      <c r="K8332" s="3" t="str">
        <f aca="false">IFERROR(INDEX('Teacher Lookup'!$B$2:$B$200,MATCH(A8332,'Teacher Lookup'!$A$2:$A$200,0)),"")</f>
        <v>WAN Ping</v>
      </c>
    </row>
    <row r="8333" customFormat="false" ht="15" hidden="false" customHeight="false" outlineLevel="0" collapsed="false">
      <c r="A8333" s="3" t="s">
        <v>497</v>
      </c>
      <c r="B8333" s="4" t="s">
        <v>44</v>
      </c>
      <c r="C8333" s="4" t="n">
        <v>1</v>
      </c>
      <c r="D8333" s="4" t="s">
        <v>29</v>
      </c>
      <c r="E8333" s="3" t="s">
        <v>380</v>
      </c>
      <c r="F8333" s="4" t="str">
        <f aca="false">IF(I8333&gt;J8333,"Y","N")</f>
        <v>Y</v>
      </c>
      <c r="G8333" s="3" t="s">
        <v>378</v>
      </c>
      <c r="H8333" s="3" t="s">
        <v>16</v>
      </c>
      <c r="I8333" s="4" t="n">
        <v>9</v>
      </c>
      <c r="J8333" s="4" t="n">
        <f aca="false">LEN(E8333)-LEN(SUBSTITUTE(E8333,",",""))+1</f>
        <v>8</v>
      </c>
      <c r="K8333" s="3" t="str">
        <f aca="false">IFERROR(INDEX('Teacher Lookup'!$B$2:$B$200,MATCH(A8333,'Teacher Lookup'!$A$2:$A$200,0)),"")</f>
        <v>WAN Ping</v>
      </c>
    </row>
    <row r="8334" customFormat="false" ht="15" hidden="false" customHeight="false" outlineLevel="0" collapsed="false">
      <c r="A8334" s="3" t="s">
        <v>497</v>
      </c>
      <c r="B8334" s="4" t="s">
        <v>44</v>
      </c>
      <c r="C8334" s="4" t="n">
        <v>1</v>
      </c>
      <c r="D8334" s="4" t="s">
        <v>30</v>
      </c>
      <c r="E8334" s="3" t="s">
        <v>380</v>
      </c>
      <c r="F8334" s="4" t="str">
        <f aca="false">IF(I8334&gt;J8334,"Y","N")</f>
        <v>Y</v>
      </c>
      <c r="G8334" s="3" t="s">
        <v>378</v>
      </c>
      <c r="H8334" s="3" t="s">
        <v>16</v>
      </c>
      <c r="I8334" s="4" t="n">
        <v>9</v>
      </c>
      <c r="J8334" s="4" t="n">
        <f aca="false">LEN(E8334)-LEN(SUBSTITUTE(E8334,",",""))+1</f>
        <v>8</v>
      </c>
      <c r="K8334" s="3" t="str">
        <f aca="false">IFERROR(INDEX('Teacher Lookup'!$B$2:$B$200,MATCH(A8334,'Teacher Lookup'!$A$2:$A$200,0)),"")</f>
        <v>WAN Ping</v>
      </c>
    </row>
    <row r="8335" customFormat="false" ht="15" hidden="false" customHeight="false" outlineLevel="0" collapsed="false">
      <c r="A8335" s="3" t="s">
        <v>497</v>
      </c>
      <c r="B8335" s="4" t="s">
        <v>44</v>
      </c>
      <c r="C8335" s="4" t="n">
        <v>3</v>
      </c>
      <c r="D8335" s="4" t="s">
        <v>24</v>
      </c>
      <c r="E8335" s="3" t="s">
        <v>416</v>
      </c>
      <c r="F8335" s="4" t="str">
        <f aca="false">IF(I8335&gt;J8335,"Y","N")</f>
        <v>Y</v>
      </c>
      <c r="G8335" s="3" t="s">
        <v>388</v>
      </c>
      <c r="H8335" s="3" t="s">
        <v>26</v>
      </c>
      <c r="I8335" s="4" t="n">
        <v>2</v>
      </c>
      <c r="J8335" s="4" t="n">
        <f aca="false">LEN(E8335)-LEN(SUBSTITUTE(E8335,",",""))+1</f>
        <v>1</v>
      </c>
      <c r="K8335" s="3" t="str">
        <f aca="false">IFERROR(INDEX('Teacher Lookup'!$B$2:$B$200,MATCH(A8335,'Teacher Lookup'!$A$2:$A$200,0)),"")</f>
        <v>WAN Ping</v>
      </c>
    </row>
    <row r="8336" customFormat="false" ht="15" hidden="false" customHeight="false" outlineLevel="0" collapsed="false">
      <c r="A8336" s="3" t="s">
        <v>497</v>
      </c>
      <c r="B8336" s="4" t="s">
        <v>44</v>
      </c>
      <c r="C8336" s="4" t="n">
        <v>3</v>
      </c>
      <c r="D8336" s="4" t="s">
        <v>132</v>
      </c>
      <c r="E8336" s="3" t="s">
        <v>416</v>
      </c>
      <c r="F8336" s="4" t="str">
        <f aca="false">IF(I8336&gt;J8336,"Y","N")</f>
        <v>Y</v>
      </c>
      <c r="G8336" s="3" t="s">
        <v>388</v>
      </c>
      <c r="H8336" s="3" t="s">
        <v>26</v>
      </c>
      <c r="I8336" s="4" t="n">
        <v>2</v>
      </c>
      <c r="J8336" s="4" t="n">
        <f aca="false">LEN(E8336)-LEN(SUBSTITUTE(E8336,",",""))+1</f>
        <v>1</v>
      </c>
      <c r="K8336" s="3" t="str">
        <f aca="false">IFERROR(INDEX('Teacher Lookup'!$B$2:$B$200,MATCH(A8336,'Teacher Lookup'!$A$2:$A$200,0)),"")</f>
        <v>WAN Ping</v>
      </c>
    </row>
    <row r="8337" customFormat="false" ht="15" hidden="false" customHeight="false" outlineLevel="0" collapsed="false">
      <c r="A8337" s="3" t="s">
        <v>497</v>
      </c>
      <c r="B8337" s="4" t="s">
        <v>44</v>
      </c>
      <c r="C8337" s="4" t="n">
        <v>4</v>
      </c>
      <c r="D8337" s="4" t="s">
        <v>24</v>
      </c>
      <c r="E8337" s="3" t="s">
        <v>416</v>
      </c>
      <c r="F8337" s="4" t="str">
        <f aca="false">IF(I8337&gt;J8337,"Y","N")</f>
        <v>Y</v>
      </c>
      <c r="G8337" s="3" t="s">
        <v>388</v>
      </c>
      <c r="H8337" s="3" t="s">
        <v>34</v>
      </c>
      <c r="I8337" s="4" t="n">
        <v>2</v>
      </c>
      <c r="J8337" s="4" t="n">
        <f aca="false">LEN(E8337)-LEN(SUBSTITUTE(E8337,",",""))+1</f>
        <v>1</v>
      </c>
      <c r="K8337" s="3" t="str">
        <f aca="false">IFERROR(INDEX('Teacher Lookup'!$B$2:$B$200,MATCH(A8337,'Teacher Lookup'!$A$2:$A$200,0)),"")</f>
        <v>WAN Ping</v>
      </c>
    </row>
    <row r="8338" customFormat="false" ht="15" hidden="false" customHeight="false" outlineLevel="0" collapsed="false">
      <c r="A8338" s="3" t="s">
        <v>497</v>
      </c>
      <c r="B8338" s="4" t="s">
        <v>44</v>
      </c>
      <c r="C8338" s="4" t="n">
        <v>4</v>
      </c>
      <c r="D8338" s="4" t="s">
        <v>132</v>
      </c>
      <c r="E8338" s="3" t="s">
        <v>416</v>
      </c>
      <c r="F8338" s="4" t="str">
        <f aca="false">IF(I8338&gt;J8338,"Y","N")</f>
        <v>Y</v>
      </c>
      <c r="G8338" s="3" t="s">
        <v>388</v>
      </c>
      <c r="H8338" s="3" t="s">
        <v>34</v>
      </c>
      <c r="I8338" s="4" t="n">
        <v>2</v>
      </c>
      <c r="J8338" s="4" t="n">
        <f aca="false">LEN(E8338)-LEN(SUBSTITUTE(E8338,",",""))+1</f>
        <v>1</v>
      </c>
      <c r="K8338" s="3" t="str">
        <f aca="false">IFERROR(INDEX('Teacher Lookup'!$B$2:$B$200,MATCH(A8338,'Teacher Lookup'!$A$2:$A$200,0)),"")</f>
        <v>WAN Ping</v>
      </c>
    </row>
    <row r="8339" customFormat="false" ht="15" hidden="false" customHeight="false" outlineLevel="0" collapsed="false">
      <c r="A8339" s="3" t="s">
        <v>497</v>
      </c>
      <c r="B8339" s="4" t="s">
        <v>44</v>
      </c>
      <c r="C8339" s="4" t="n">
        <v>5</v>
      </c>
      <c r="D8339" s="4" t="s">
        <v>137</v>
      </c>
      <c r="E8339" s="3" t="s">
        <v>185</v>
      </c>
      <c r="F8339" s="4" t="str">
        <f aca="false">IF(I8339&gt;J8339,"Y","N")</f>
        <v>Y</v>
      </c>
      <c r="G8339" s="3" t="s">
        <v>36</v>
      </c>
      <c r="H8339" s="3" t="s">
        <v>37</v>
      </c>
      <c r="I8339" s="4" t="n">
        <v>21</v>
      </c>
      <c r="J8339" s="4" t="n">
        <f aca="false">LEN(E8339)-LEN(SUBSTITUTE(E8339,",",""))+1</f>
        <v>7</v>
      </c>
      <c r="K8339" s="3" t="str">
        <f aca="false">IFERROR(INDEX('Teacher Lookup'!$B$2:$B$200,MATCH(A8339,'Teacher Lookup'!$A$2:$A$200,0)),"")</f>
        <v>WAN Ping</v>
      </c>
    </row>
    <row r="8340" customFormat="false" ht="15" hidden="false" customHeight="false" outlineLevel="0" collapsed="false">
      <c r="A8340" s="3" t="s">
        <v>497</v>
      </c>
      <c r="B8340" s="4" t="s">
        <v>44</v>
      </c>
      <c r="C8340" s="4" t="n">
        <v>5</v>
      </c>
      <c r="D8340" s="4" t="s">
        <v>124</v>
      </c>
      <c r="E8340" s="3" t="s">
        <v>185</v>
      </c>
      <c r="F8340" s="4" t="str">
        <f aca="false">IF(I8340&gt;J8340,"Y","N")</f>
        <v>Y</v>
      </c>
      <c r="G8340" s="3" t="s">
        <v>36</v>
      </c>
      <c r="H8340" s="3" t="s">
        <v>37</v>
      </c>
      <c r="I8340" s="4" t="n">
        <v>21</v>
      </c>
      <c r="J8340" s="4" t="n">
        <f aca="false">LEN(E8340)-LEN(SUBSTITUTE(E8340,",",""))+1</f>
        <v>7</v>
      </c>
      <c r="K8340" s="3" t="str">
        <f aca="false">IFERROR(INDEX('Teacher Lookup'!$B$2:$B$200,MATCH(A8340,'Teacher Lookup'!$A$2:$A$200,0)),"")</f>
        <v>WAN Ping</v>
      </c>
    </row>
    <row r="8341" customFormat="false" ht="15" hidden="false" customHeight="false" outlineLevel="0" collapsed="false">
      <c r="A8341" s="3" t="s">
        <v>497</v>
      </c>
      <c r="B8341" s="4" t="s">
        <v>44</v>
      </c>
      <c r="C8341" s="4" t="n">
        <v>5</v>
      </c>
      <c r="D8341" s="4" t="s">
        <v>139</v>
      </c>
      <c r="E8341" s="3" t="s">
        <v>185</v>
      </c>
      <c r="F8341" s="4" t="str">
        <f aca="false">IF(I8341&gt;J8341,"Y","N")</f>
        <v>Y</v>
      </c>
      <c r="G8341" s="3" t="s">
        <v>36</v>
      </c>
      <c r="H8341" s="3" t="s">
        <v>37</v>
      </c>
      <c r="I8341" s="4" t="n">
        <v>21</v>
      </c>
      <c r="J8341" s="4" t="n">
        <f aca="false">LEN(E8341)-LEN(SUBSTITUTE(E8341,",",""))+1</f>
        <v>7</v>
      </c>
      <c r="K8341" s="3" t="str">
        <f aca="false">IFERROR(INDEX('Teacher Lookup'!$B$2:$B$200,MATCH(A8341,'Teacher Lookup'!$A$2:$A$200,0)),"")</f>
        <v>WAN Ping</v>
      </c>
    </row>
    <row r="8342" customFormat="false" ht="15" hidden="false" customHeight="false" outlineLevel="0" collapsed="false">
      <c r="A8342" s="3" t="s">
        <v>497</v>
      </c>
      <c r="B8342" s="4" t="s">
        <v>44</v>
      </c>
      <c r="C8342" s="4" t="n">
        <v>5</v>
      </c>
      <c r="D8342" s="4" t="s">
        <v>140</v>
      </c>
      <c r="E8342" s="3" t="s">
        <v>185</v>
      </c>
      <c r="F8342" s="4" t="str">
        <f aca="false">IF(I8342&gt;J8342,"Y","N")</f>
        <v>Y</v>
      </c>
      <c r="G8342" s="3" t="s">
        <v>36</v>
      </c>
      <c r="H8342" s="3" t="s">
        <v>37</v>
      </c>
      <c r="I8342" s="4" t="n">
        <v>21</v>
      </c>
      <c r="J8342" s="4" t="n">
        <f aca="false">LEN(E8342)-LEN(SUBSTITUTE(E8342,",",""))+1</f>
        <v>7</v>
      </c>
      <c r="K8342" s="3" t="str">
        <f aca="false">IFERROR(INDEX('Teacher Lookup'!$B$2:$B$200,MATCH(A8342,'Teacher Lookup'!$A$2:$A$200,0)),"")</f>
        <v>WAN Ping</v>
      </c>
    </row>
    <row r="8343" customFormat="false" ht="15" hidden="false" customHeight="false" outlineLevel="0" collapsed="false">
      <c r="A8343" s="3" t="s">
        <v>497</v>
      </c>
      <c r="B8343" s="4" t="s">
        <v>44</v>
      </c>
      <c r="C8343" s="4" t="n">
        <v>5</v>
      </c>
      <c r="D8343" s="4" t="s">
        <v>142</v>
      </c>
      <c r="E8343" s="3" t="s">
        <v>185</v>
      </c>
      <c r="F8343" s="4" t="str">
        <f aca="false">IF(I8343&gt;J8343,"Y","N")</f>
        <v>Y</v>
      </c>
      <c r="G8343" s="3" t="s">
        <v>36</v>
      </c>
      <c r="H8343" s="3" t="s">
        <v>37</v>
      </c>
      <c r="I8343" s="4" t="n">
        <v>21</v>
      </c>
      <c r="J8343" s="4" t="n">
        <f aca="false">LEN(E8343)-LEN(SUBSTITUTE(E8343,",",""))+1</f>
        <v>7</v>
      </c>
      <c r="K8343" s="3" t="str">
        <f aca="false">IFERROR(INDEX('Teacher Lookup'!$B$2:$B$200,MATCH(A8343,'Teacher Lookup'!$A$2:$A$200,0)),"")</f>
        <v>WAN Ping</v>
      </c>
    </row>
    <row r="8344" customFormat="false" ht="15" hidden="false" customHeight="false" outlineLevel="0" collapsed="false">
      <c r="A8344" s="3" t="s">
        <v>497</v>
      </c>
      <c r="B8344" s="4" t="s">
        <v>44</v>
      </c>
      <c r="C8344" s="4" t="n">
        <v>5</v>
      </c>
      <c r="D8344" s="4" t="s">
        <v>127</v>
      </c>
      <c r="E8344" s="3" t="s">
        <v>185</v>
      </c>
      <c r="F8344" s="4" t="str">
        <f aca="false">IF(I8344&gt;J8344,"Y","N")</f>
        <v>Y</v>
      </c>
      <c r="G8344" s="3" t="s">
        <v>36</v>
      </c>
      <c r="H8344" s="3" t="s">
        <v>37</v>
      </c>
      <c r="I8344" s="4" t="n">
        <v>21</v>
      </c>
      <c r="J8344" s="4" t="n">
        <f aca="false">LEN(E8344)-LEN(SUBSTITUTE(E8344,",",""))+1</f>
        <v>7</v>
      </c>
      <c r="K8344" s="3" t="str">
        <f aca="false">IFERROR(INDEX('Teacher Lookup'!$B$2:$B$200,MATCH(A8344,'Teacher Lookup'!$A$2:$A$200,0)),"")</f>
        <v>WAN Ping</v>
      </c>
    </row>
    <row r="8345" customFormat="false" ht="15" hidden="false" customHeight="false" outlineLevel="0" collapsed="false">
      <c r="A8345" s="3" t="s">
        <v>497</v>
      </c>
      <c r="B8345" s="4" t="s">
        <v>44</v>
      </c>
      <c r="C8345" s="4" t="n">
        <v>6</v>
      </c>
      <c r="D8345" s="4" t="s">
        <v>140</v>
      </c>
      <c r="E8345" s="3" t="s">
        <v>387</v>
      </c>
      <c r="F8345" s="4" t="str">
        <f aca="false">IF(I8345&gt;J8345,"Y","N")</f>
        <v>N</v>
      </c>
      <c r="G8345" s="3" t="s">
        <v>388</v>
      </c>
      <c r="H8345" s="3" t="s">
        <v>42</v>
      </c>
      <c r="I8345" s="4" t="n">
        <v>2</v>
      </c>
      <c r="J8345" s="4" t="n">
        <f aca="false">LEN(E8345)-LEN(SUBSTITUTE(E8345,",",""))+1</f>
        <v>2</v>
      </c>
      <c r="K8345" s="3" t="str">
        <f aca="false">IFERROR(INDEX('Teacher Lookup'!$B$2:$B$200,MATCH(A8345,'Teacher Lookup'!$A$2:$A$200,0)),"")</f>
        <v>WAN Ping</v>
      </c>
    </row>
    <row r="8346" customFormat="false" ht="15" hidden="false" customHeight="false" outlineLevel="0" collapsed="false">
      <c r="A8346" s="3" t="s">
        <v>497</v>
      </c>
      <c r="B8346" s="4" t="s">
        <v>44</v>
      </c>
      <c r="C8346" s="4" t="n">
        <v>6</v>
      </c>
      <c r="D8346" s="4" t="s">
        <v>142</v>
      </c>
      <c r="E8346" s="3" t="s">
        <v>387</v>
      </c>
      <c r="F8346" s="4" t="str">
        <f aca="false">IF(I8346&gt;J8346,"Y","N")</f>
        <v>N</v>
      </c>
      <c r="G8346" s="3" t="s">
        <v>388</v>
      </c>
      <c r="H8346" s="3" t="s">
        <v>42</v>
      </c>
      <c r="I8346" s="4" t="n">
        <v>2</v>
      </c>
      <c r="J8346" s="4" t="n">
        <f aca="false">LEN(E8346)-LEN(SUBSTITUTE(E8346,",",""))+1</f>
        <v>2</v>
      </c>
      <c r="K8346" s="3" t="str">
        <f aca="false">IFERROR(INDEX('Teacher Lookup'!$B$2:$B$200,MATCH(A8346,'Teacher Lookup'!$A$2:$A$200,0)),"")</f>
        <v>WAN Ping</v>
      </c>
    </row>
    <row r="8347" customFormat="false" ht="15" hidden="false" customHeight="false" outlineLevel="0" collapsed="false">
      <c r="A8347" s="3" t="s">
        <v>497</v>
      </c>
      <c r="B8347" s="4" t="s">
        <v>44</v>
      </c>
      <c r="C8347" s="4" t="n">
        <v>7</v>
      </c>
      <c r="D8347" s="4" t="s">
        <v>140</v>
      </c>
      <c r="E8347" s="3" t="s">
        <v>387</v>
      </c>
      <c r="F8347" s="4" t="str">
        <f aca="false">IF(I8347&gt;J8347,"Y","N")</f>
        <v>N</v>
      </c>
      <c r="G8347" s="3" t="s">
        <v>388</v>
      </c>
      <c r="H8347" s="3" t="s">
        <v>39</v>
      </c>
      <c r="I8347" s="4" t="n">
        <v>2</v>
      </c>
      <c r="J8347" s="4" t="n">
        <f aca="false">LEN(E8347)-LEN(SUBSTITUTE(E8347,",",""))+1</f>
        <v>2</v>
      </c>
      <c r="K8347" s="3" t="str">
        <f aca="false">IFERROR(INDEX('Teacher Lookup'!$B$2:$B$200,MATCH(A8347,'Teacher Lookup'!$A$2:$A$200,0)),"")</f>
        <v>WAN Ping</v>
      </c>
    </row>
    <row r="8348" customFormat="false" ht="15" hidden="false" customHeight="false" outlineLevel="0" collapsed="false">
      <c r="A8348" s="3" t="s">
        <v>497</v>
      </c>
      <c r="B8348" s="4" t="s">
        <v>44</v>
      </c>
      <c r="C8348" s="4" t="n">
        <v>7</v>
      </c>
      <c r="D8348" s="4" t="s">
        <v>142</v>
      </c>
      <c r="E8348" s="3" t="s">
        <v>387</v>
      </c>
      <c r="F8348" s="4" t="str">
        <f aca="false">IF(I8348&gt;J8348,"Y","N")</f>
        <v>N</v>
      </c>
      <c r="G8348" s="3" t="s">
        <v>388</v>
      </c>
      <c r="H8348" s="3" t="s">
        <v>39</v>
      </c>
      <c r="I8348" s="4" t="n">
        <v>2</v>
      </c>
      <c r="J8348" s="4" t="n">
        <f aca="false">LEN(E8348)-LEN(SUBSTITUTE(E8348,",",""))+1</f>
        <v>2</v>
      </c>
      <c r="K8348" s="3" t="str">
        <f aca="false">IFERROR(INDEX('Teacher Lookup'!$B$2:$B$200,MATCH(A8348,'Teacher Lookup'!$A$2:$A$200,0)),"")</f>
        <v>WAN Ping</v>
      </c>
    </row>
    <row r="8349" customFormat="false" ht="15" hidden="false" customHeight="false" outlineLevel="0" collapsed="false">
      <c r="A8349" s="3" t="s">
        <v>497</v>
      </c>
      <c r="B8349" s="4" t="s">
        <v>47</v>
      </c>
      <c r="C8349" s="4" t="n">
        <v>4</v>
      </c>
      <c r="D8349" s="4" t="s">
        <v>57</v>
      </c>
      <c r="E8349" s="3" t="s">
        <v>387</v>
      </c>
      <c r="F8349" s="4" t="str">
        <f aca="false">IF(I8349&gt;J8349,"Y","N")</f>
        <v>N</v>
      </c>
      <c r="G8349" s="3" t="s">
        <v>388</v>
      </c>
      <c r="H8349" s="3" t="s">
        <v>34</v>
      </c>
      <c r="I8349" s="4" t="n">
        <v>2</v>
      </c>
      <c r="J8349" s="4" t="n">
        <f aca="false">LEN(E8349)-LEN(SUBSTITUTE(E8349,",",""))+1</f>
        <v>2</v>
      </c>
      <c r="K8349" s="3" t="str">
        <f aca="false">IFERROR(INDEX('Teacher Lookup'!$B$2:$B$200,MATCH(A8349,'Teacher Lookup'!$A$2:$A$200,0)),"")</f>
        <v>WAN Ping</v>
      </c>
    </row>
    <row r="8350" customFormat="false" ht="15" hidden="false" customHeight="false" outlineLevel="0" collapsed="false">
      <c r="A8350" s="3" t="s">
        <v>497</v>
      </c>
      <c r="B8350" s="4" t="s">
        <v>47</v>
      </c>
      <c r="C8350" s="4" t="n">
        <v>4</v>
      </c>
      <c r="D8350" s="4" t="s">
        <v>58</v>
      </c>
      <c r="E8350" s="3" t="s">
        <v>387</v>
      </c>
      <c r="F8350" s="4" t="str">
        <f aca="false">IF(I8350&gt;J8350,"Y","N")</f>
        <v>N</v>
      </c>
      <c r="G8350" s="3" t="s">
        <v>388</v>
      </c>
      <c r="H8350" s="3" t="s">
        <v>34</v>
      </c>
      <c r="I8350" s="4" t="n">
        <v>2</v>
      </c>
      <c r="J8350" s="4" t="n">
        <f aca="false">LEN(E8350)-LEN(SUBSTITUTE(E8350,",",""))+1</f>
        <v>2</v>
      </c>
      <c r="K8350" s="3" t="str">
        <f aca="false">IFERROR(INDEX('Teacher Lookup'!$B$2:$B$200,MATCH(A8350,'Teacher Lookup'!$A$2:$A$200,0)),"")</f>
        <v>WAN Ping</v>
      </c>
    </row>
    <row r="8351" customFormat="false" ht="15" hidden="false" customHeight="false" outlineLevel="0" collapsed="false">
      <c r="A8351" s="3" t="s">
        <v>497</v>
      </c>
      <c r="B8351" s="4" t="s">
        <v>47</v>
      </c>
      <c r="C8351" s="4" t="n">
        <v>5</v>
      </c>
      <c r="D8351" s="4" t="s">
        <v>57</v>
      </c>
      <c r="E8351" s="3" t="s">
        <v>387</v>
      </c>
      <c r="F8351" s="4" t="str">
        <f aca="false">IF(I8351&gt;J8351,"Y","N")</f>
        <v>N</v>
      </c>
      <c r="G8351" s="3" t="s">
        <v>388</v>
      </c>
      <c r="H8351" s="3" t="s">
        <v>37</v>
      </c>
      <c r="I8351" s="4" t="n">
        <v>2</v>
      </c>
      <c r="J8351" s="4" t="n">
        <f aca="false">LEN(E8351)-LEN(SUBSTITUTE(E8351,",",""))+1</f>
        <v>2</v>
      </c>
      <c r="K8351" s="3" t="str">
        <f aca="false">IFERROR(INDEX('Teacher Lookup'!$B$2:$B$200,MATCH(A8351,'Teacher Lookup'!$A$2:$A$200,0)),"")</f>
        <v>WAN Ping</v>
      </c>
    </row>
    <row r="8352" customFormat="false" ht="15" hidden="false" customHeight="false" outlineLevel="0" collapsed="false">
      <c r="A8352" s="3" t="s">
        <v>497</v>
      </c>
      <c r="B8352" s="4" t="s">
        <v>47</v>
      </c>
      <c r="C8352" s="4" t="n">
        <v>5</v>
      </c>
      <c r="D8352" s="4" t="s">
        <v>58</v>
      </c>
      <c r="E8352" s="3" t="s">
        <v>387</v>
      </c>
      <c r="F8352" s="4" t="str">
        <f aca="false">IF(I8352&gt;J8352,"Y","N")</f>
        <v>N</v>
      </c>
      <c r="G8352" s="3" t="s">
        <v>388</v>
      </c>
      <c r="H8352" s="3" t="s">
        <v>37</v>
      </c>
      <c r="I8352" s="4" t="n">
        <v>2</v>
      </c>
      <c r="J8352" s="4" t="n">
        <f aca="false">LEN(E8352)-LEN(SUBSTITUTE(E8352,",",""))+1</f>
        <v>2</v>
      </c>
      <c r="K8352" s="3" t="str">
        <f aca="false">IFERROR(INDEX('Teacher Lookup'!$B$2:$B$200,MATCH(A8352,'Teacher Lookup'!$A$2:$A$200,0)),"")</f>
        <v>WAN Ping</v>
      </c>
    </row>
    <row r="8353" customFormat="false" ht="15" hidden="false" customHeight="false" outlineLevel="0" collapsed="false">
      <c r="A8353" s="3" t="s">
        <v>497</v>
      </c>
      <c r="B8353" s="4" t="s">
        <v>47</v>
      </c>
      <c r="C8353" s="4" t="n">
        <v>6</v>
      </c>
      <c r="D8353" s="4" t="s">
        <v>70</v>
      </c>
      <c r="E8353" s="3" t="s">
        <v>387</v>
      </c>
      <c r="F8353" s="4" t="str">
        <f aca="false">IF(I8353&gt;J8353,"Y","N")</f>
        <v>N</v>
      </c>
      <c r="G8353" s="3" t="s">
        <v>388</v>
      </c>
      <c r="H8353" s="3" t="s">
        <v>42</v>
      </c>
      <c r="I8353" s="4" t="n">
        <v>2</v>
      </c>
      <c r="J8353" s="4" t="n">
        <f aca="false">LEN(E8353)-LEN(SUBSTITUTE(E8353,",",""))+1</f>
        <v>2</v>
      </c>
      <c r="K8353" s="3" t="str">
        <f aca="false">IFERROR(INDEX('Teacher Lookup'!$B$2:$B$200,MATCH(A8353,'Teacher Lookup'!$A$2:$A$200,0)),"")</f>
        <v>WAN Ping</v>
      </c>
    </row>
    <row r="8354" customFormat="false" ht="15" hidden="false" customHeight="false" outlineLevel="0" collapsed="false">
      <c r="A8354" s="3" t="s">
        <v>497</v>
      </c>
      <c r="B8354" s="4" t="s">
        <v>47</v>
      </c>
      <c r="C8354" s="4" t="n">
        <v>6</v>
      </c>
      <c r="D8354" s="4" t="s">
        <v>73</v>
      </c>
      <c r="E8354" s="3" t="s">
        <v>387</v>
      </c>
      <c r="F8354" s="4" t="str">
        <f aca="false">IF(I8354&gt;J8354,"Y","N")</f>
        <v>N</v>
      </c>
      <c r="G8354" s="3" t="s">
        <v>388</v>
      </c>
      <c r="H8354" s="3" t="s">
        <v>42</v>
      </c>
      <c r="I8354" s="4" t="n">
        <v>2</v>
      </c>
      <c r="J8354" s="4" t="n">
        <f aca="false">LEN(E8354)-LEN(SUBSTITUTE(E8354,",",""))+1</f>
        <v>2</v>
      </c>
      <c r="K8354" s="3" t="str">
        <f aca="false">IFERROR(INDEX('Teacher Lookup'!$B$2:$B$200,MATCH(A8354,'Teacher Lookup'!$A$2:$A$200,0)),"")</f>
        <v>WAN Ping</v>
      </c>
    </row>
    <row r="8355" customFormat="false" ht="15" hidden="false" customHeight="false" outlineLevel="0" collapsed="false">
      <c r="A8355" s="3" t="s">
        <v>497</v>
      </c>
      <c r="B8355" s="4" t="s">
        <v>47</v>
      </c>
      <c r="C8355" s="4" t="n">
        <v>7</v>
      </c>
      <c r="D8355" s="4" t="s">
        <v>70</v>
      </c>
      <c r="E8355" s="3" t="s">
        <v>387</v>
      </c>
      <c r="F8355" s="4" t="str">
        <f aca="false">IF(I8355&gt;J8355,"Y","N")</f>
        <v>N</v>
      </c>
      <c r="G8355" s="3" t="s">
        <v>388</v>
      </c>
      <c r="H8355" s="3" t="s">
        <v>39</v>
      </c>
      <c r="I8355" s="4" t="n">
        <v>2</v>
      </c>
      <c r="J8355" s="4" t="n">
        <f aca="false">LEN(E8355)-LEN(SUBSTITUTE(E8355,",",""))+1</f>
        <v>2</v>
      </c>
      <c r="K8355" s="3" t="str">
        <f aca="false">IFERROR(INDEX('Teacher Lookup'!$B$2:$B$200,MATCH(A8355,'Teacher Lookup'!$A$2:$A$200,0)),"")</f>
        <v>WAN Ping</v>
      </c>
    </row>
    <row r="8356" customFormat="false" ht="15" hidden="false" customHeight="false" outlineLevel="0" collapsed="false">
      <c r="A8356" s="3" t="s">
        <v>497</v>
      </c>
      <c r="B8356" s="4" t="s">
        <v>47</v>
      </c>
      <c r="C8356" s="4" t="n">
        <v>7</v>
      </c>
      <c r="D8356" s="4" t="s">
        <v>73</v>
      </c>
      <c r="E8356" s="3" t="s">
        <v>387</v>
      </c>
      <c r="F8356" s="4" t="str">
        <f aca="false">IF(I8356&gt;J8356,"Y","N")</f>
        <v>N</v>
      </c>
      <c r="G8356" s="3" t="s">
        <v>388</v>
      </c>
      <c r="H8356" s="3" t="s">
        <v>39</v>
      </c>
      <c r="I8356" s="4" t="n">
        <v>2</v>
      </c>
      <c r="J8356" s="4" t="n">
        <f aca="false">LEN(E8356)-LEN(SUBSTITUTE(E8356,",",""))+1</f>
        <v>2</v>
      </c>
      <c r="K8356" s="3" t="str">
        <f aca="false">IFERROR(INDEX('Teacher Lookup'!$B$2:$B$200,MATCH(A8356,'Teacher Lookup'!$A$2:$A$200,0)),"")</f>
        <v>WAN Ping</v>
      </c>
    </row>
    <row r="8357" customFormat="false" ht="15" hidden="false" customHeight="false" outlineLevel="0" collapsed="false">
      <c r="A8357" s="3" t="s">
        <v>497</v>
      </c>
      <c r="B8357" s="4" t="s">
        <v>50</v>
      </c>
      <c r="C8357" s="4" t="n">
        <v>4</v>
      </c>
      <c r="D8357" s="4" t="s">
        <v>137</v>
      </c>
      <c r="E8357" s="3" t="s">
        <v>221</v>
      </c>
      <c r="F8357" s="4" t="str">
        <f aca="false">IF(I8357&gt;J8357,"Y","N")</f>
        <v>Y</v>
      </c>
      <c r="G8357" s="3" t="s">
        <v>222</v>
      </c>
      <c r="H8357" s="3" t="s">
        <v>34</v>
      </c>
      <c r="I8357" s="4" t="n">
        <v>15</v>
      </c>
      <c r="J8357" s="4" t="n">
        <f aca="false">LEN(E8357)-LEN(SUBSTITUTE(E8357,",",""))+1</f>
        <v>7</v>
      </c>
      <c r="K8357" s="3" t="str">
        <f aca="false">IFERROR(INDEX('Teacher Lookup'!$B$2:$B$200,MATCH(A8357,'Teacher Lookup'!$A$2:$A$200,0)),"")</f>
        <v>WAN Ping</v>
      </c>
    </row>
    <row r="8358" customFormat="false" ht="15" hidden="false" customHeight="false" outlineLevel="0" collapsed="false">
      <c r="A8358" s="3" t="s">
        <v>497</v>
      </c>
      <c r="B8358" s="4" t="s">
        <v>50</v>
      </c>
      <c r="C8358" s="4" t="n">
        <v>4</v>
      </c>
      <c r="D8358" s="4" t="s">
        <v>124</v>
      </c>
      <c r="E8358" s="3" t="s">
        <v>221</v>
      </c>
      <c r="F8358" s="4" t="str">
        <f aca="false">IF(I8358&gt;J8358,"Y","N")</f>
        <v>Y</v>
      </c>
      <c r="G8358" s="3" t="s">
        <v>222</v>
      </c>
      <c r="H8358" s="3" t="s">
        <v>34</v>
      </c>
      <c r="I8358" s="4" t="n">
        <v>15</v>
      </c>
      <c r="J8358" s="4" t="n">
        <f aca="false">LEN(E8358)-LEN(SUBSTITUTE(E8358,",",""))+1</f>
        <v>7</v>
      </c>
      <c r="K8358" s="3" t="str">
        <f aca="false">IFERROR(INDEX('Teacher Lookup'!$B$2:$B$200,MATCH(A8358,'Teacher Lookup'!$A$2:$A$200,0)),"")</f>
        <v>WAN Ping</v>
      </c>
    </row>
    <row r="8359" customFormat="false" ht="15" hidden="false" customHeight="false" outlineLevel="0" collapsed="false">
      <c r="A8359" s="3" t="s">
        <v>497</v>
      </c>
      <c r="B8359" s="4" t="s">
        <v>50</v>
      </c>
      <c r="C8359" s="4" t="n">
        <v>4</v>
      </c>
      <c r="D8359" s="4" t="s">
        <v>139</v>
      </c>
      <c r="E8359" s="3" t="s">
        <v>221</v>
      </c>
      <c r="F8359" s="4" t="str">
        <f aca="false">IF(I8359&gt;J8359,"Y","N")</f>
        <v>Y</v>
      </c>
      <c r="G8359" s="3" t="s">
        <v>222</v>
      </c>
      <c r="H8359" s="3" t="s">
        <v>34</v>
      </c>
      <c r="I8359" s="4" t="n">
        <v>15</v>
      </c>
      <c r="J8359" s="4" t="n">
        <f aca="false">LEN(E8359)-LEN(SUBSTITUTE(E8359,",",""))+1</f>
        <v>7</v>
      </c>
      <c r="K8359" s="3" t="str">
        <f aca="false">IFERROR(INDEX('Teacher Lookup'!$B$2:$B$200,MATCH(A8359,'Teacher Lookup'!$A$2:$A$200,0)),"")</f>
        <v>WAN Ping</v>
      </c>
    </row>
    <row r="8360" customFormat="false" ht="15" hidden="false" customHeight="false" outlineLevel="0" collapsed="false">
      <c r="A8360" s="3" t="s">
        <v>497</v>
      </c>
      <c r="B8360" s="4" t="s">
        <v>50</v>
      </c>
      <c r="C8360" s="4" t="n">
        <v>4</v>
      </c>
      <c r="D8360" s="4" t="s">
        <v>140</v>
      </c>
      <c r="E8360" s="3" t="s">
        <v>221</v>
      </c>
      <c r="F8360" s="4" t="str">
        <f aca="false">IF(I8360&gt;J8360,"Y","N")</f>
        <v>Y</v>
      </c>
      <c r="G8360" s="3" t="s">
        <v>222</v>
      </c>
      <c r="H8360" s="3" t="s">
        <v>34</v>
      </c>
      <c r="I8360" s="4" t="n">
        <v>15</v>
      </c>
      <c r="J8360" s="4" t="n">
        <f aca="false">LEN(E8360)-LEN(SUBSTITUTE(E8360,",",""))+1</f>
        <v>7</v>
      </c>
      <c r="K8360" s="3" t="str">
        <f aca="false">IFERROR(INDEX('Teacher Lookup'!$B$2:$B$200,MATCH(A8360,'Teacher Lookup'!$A$2:$A$200,0)),"")</f>
        <v>WAN Ping</v>
      </c>
    </row>
    <row r="8361" customFormat="false" ht="15" hidden="false" customHeight="false" outlineLevel="0" collapsed="false">
      <c r="A8361" s="3" t="s">
        <v>497</v>
      </c>
      <c r="B8361" s="4" t="s">
        <v>50</v>
      </c>
      <c r="C8361" s="4" t="n">
        <v>4</v>
      </c>
      <c r="D8361" s="4" t="s">
        <v>142</v>
      </c>
      <c r="E8361" s="3" t="s">
        <v>221</v>
      </c>
      <c r="F8361" s="4" t="str">
        <f aca="false">IF(I8361&gt;J8361,"Y","N")</f>
        <v>Y</v>
      </c>
      <c r="G8361" s="3" t="s">
        <v>222</v>
      </c>
      <c r="H8361" s="3" t="s">
        <v>34</v>
      </c>
      <c r="I8361" s="4" t="n">
        <v>15</v>
      </c>
      <c r="J8361" s="4" t="n">
        <f aca="false">LEN(E8361)-LEN(SUBSTITUTE(E8361,",",""))+1</f>
        <v>7</v>
      </c>
      <c r="K8361" s="3" t="str">
        <f aca="false">IFERROR(INDEX('Teacher Lookup'!$B$2:$B$200,MATCH(A8361,'Teacher Lookup'!$A$2:$A$200,0)),"")</f>
        <v>WAN Ping</v>
      </c>
    </row>
    <row r="8362" customFormat="false" ht="15" hidden="false" customHeight="false" outlineLevel="0" collapsed="false">
      <c r="A8362" s="3" t="s">
        <v>497</v>
      </c>
      <c r="B8362" s="4" t="s">
        <v>50</v>
      </c>
      <c r="C8362" s="4" t="n">
        <v>4</v>
      </c>
      <c r="D8362" s="4" t="s">
        <v>127</v>
      </c>
      <c r="E8362" s="3" t="s">
        <v>221</v>
      </c>
      <c r="F8362" s="4" t="str">
        <f aca="false">IF(I8362&gt;J8362,"Y","N")</f>
        <v>Y</v>
      </c>
      <c r="G8362" s="3" t="s">
        <v>222</v>
      </c>
      <c r="H8362" s="3" t="s">
        <v>34</v>
      </c>
      <c r="I8362" s="4" t="n">
        <v>15</v>
      </c>
      <c r="J8362" s="4" t="n">
        <f aca="false">LEN(E8362)-LEN(SUBSTITUTE(E8362,",",""))+1</f>
        <v>7</v>
      </c>
      <c r="K8362" s="3" t="str">
        <f aca="false">IFERROR(INDEX('Teacher Lookup'!$B$2:$B$200,MATCH(A8362,'Teacher Lookup'!$A$2:$A$200,0)),"")</f>
        <v>WAN Ping</v>
      </c>
    </row>
    <row r="8363" customFormat="false" ht="15" hidden="false" customHeight="false" outlineLevel="0" collapsed="false">
      <c r="A8363" s="3" t="s">
        <v>497</v>
      </c>
      <c r="B8363" s="4" t="s">
        <v>50</v>
      </c>
      <c r="C8363" s="4" t="n">
        <v>5</v>
      </c>
      <c r="D8363" s="4" t="s">
        <v>137</v>
      </c>
      <c r="E8363" s="3" t="s">
        <v>221</v>
      </c>
      <c r="F8363" s="4" t="str">
        <f aca="false">IF(I8363&gt;J8363,"Y","N")</f>
        <v>Y</v>
      </c>
      <c r="G8363" s="3" t="s">
        <v>222</v>
      </c>
      <c r="H8363" s="3" t="s">
        <v>37</v>
      </c>
      <c r="I8363" s="4" t="n">
        <v>15</v>
      </c>
      <c r="J8363" s="4" t="n">
        <f aca="false">LEN(E8363)-LEN(SUBSTITUTE(E8363,",",""))+1</f>
        <v>7</v>
      </c>
      <c r="K8363" s="3" t="str">
        <f aca="false">IFERROR(INDEX('Teacher Lookup'!$B$2:$B$200,MATCH(A8363,'Teacher Lookup'!$A$2:$A$200,0)),"")</f>
        <v>WAN Ping</v>
      </c>
    </row>
    <row r="8364" customFormat="false" ht="15" hidden="false" customHeight="false" outlineLevel="0" collapsed="false">
      <c r="A8364" s="3" t="s">
        <v>497</v>
      </c>
      <c r="B8364" s="4" t="s">
        <v>50</v>
      </c>
      <c r="C8364" s="4" t="n">
        <v>5</v>
      </c>
      <c r="D8364" s="4" t="s">
        <v>124</v>
      </c>
      <c r="E8364" s="3" t="s">
        <v>221</v>
      </c>
      <c r="F8364" s="4" t="str">
        <f aca="false">IF(I8364&gt;J8364,"Y","N")</f>
        <v>Y</v>
      </c>
      <c r="G8364" s="3" t="s">
        <v>222</v>
      </c>
      <c r="H8364" s="3" t="s">
        <v>37</v>
      </c>
      <c r="I8364" s="4" t="n">
        <v>15</v>
      </c>
      <c r="J8364" s="4" t="n">
        <f aca="false">LEN(E8364)-LEN(SUBSTITUTE(E8364,",",""))+1</f>
        <v>7</v>
      </c>
      <c r="K8364" s="3" t="str">
        <f aca="false">IFERROR(INDEX('Teacher Lookup'!$B$2:$B$200,MATCH(A8364,'Teacher Lookup'!$A$2:$A$200,0)),"")</f>
        <v>WAN Ping</v>
      </c>
    </row>
    <row r="8365" customFormat="false" ht="15" hidden="false" customHeight="false" outlineLevel="0" collapsed="false">
      <c r="A8365" s="3" t="s">
        <v>497</v>
      </c>
      <c r="B8365" s="4" t="s">
        <v>50</v>
      </c>
      <c r="C8365" s="4" t="n">
        <v>5</v>
      </c>
      <c r="D8365" s="4" t="s">
        <v>139</v>
      </c>
      <c r="E8365" s="3" t="s">
        <v>221</v>
      </c>
      <c r="F8365" s="4" t="str">
        <f aca="false">IF(I8365&gt;J8365,"Y","N")</f>
        <v>Y</v>
      </c>
      <c r="G8365" s="3" t="s">
        <v>222</v>
      </c>
      <c r="H8365" s="3" t="s">
        <v>37</v>
      </c>
      <c r="I8365" s="4" t="n">
        <v>15</v>
      </c>
      <c r="J8365" s="4" t="n">
        <f aca="false">LEN(E8365)-LEN(SUBSTITUTE(E8365,",",""))+1</f>
        <v>7</v>
      </c>
      <c r="K8365" s="3" t="str">
        <f aca="false">IFERROR(INDEX('Teacher Lookup'!$B$2:$B$200,MATCH(A8365,'Teacher Lookup'!$A$2:$A$200,0)),"")</f>
        <v>WAN Ping</v>
      </c>
    </row>
    <row r="8366" customFormat="false" ht="15" hidden="false" customHeight="false" outlineLevel="0" collapsed="false">
      <c r="A8366" s="3" t="s">
        <v>497</v>
      </c>
      <c r="B8366" s="4" t="s">
        <v>50</v>
      </c>
      <c r="C8366" s="4" t="n">
        <v>5</v>
      </c>
      <c r="D8366" s="4" t="s">
        <v>140</v>
      </c>
      <c r="E8366" s="3" t="s">
        <v>221</v>
      </c>
      <c r="F8366" s="4" t="str">
        <f aca="false">IF(I8366&gt;J8366,"Y","N")</f>
        <v>Y</v>
      </c>
      <c r="G8366" s="3" t="s">
        <v>222</v>
      </c>
      <c r="H8366" s="3" t="s">
        <v>37</v>
      </c>
      <c r="I8366" s="4" t="n">
        <v>15</v>
      </c>
      <c r="J8366" s="4" t="n">
        <f aca="false">LEN(E8366)-LEN(SUBSTITUTE(E8366,",",""))+1</f>
        <v>7</v>
      </c>
      <c r="K8366" s="3" t="str">
        <f aca="false">IFERROR(INDEX('Teacher Lookup'!$B$2:$B$200,MATCH(A8366,'Teacher Lookup'!$A$2:$A$200,0)),"")</f>
        <v>WAN Ping</v>
      </c>
    </row>
    <row r="8367" customFormat="false" ht="15" hidden="false" customHeight="false" outlineLevel="0" collapsed="false">
      <c r="A8367" s="3" t="s">
        <v>497</v>
      </c>
      <c r="B8367" s="4" t="s">
        <v>50</v>
      </c>
      <c r="C8367" s="4" t="n">
        <v>5</v>
      </c>
      <c r="D8367" s="4" t="s">
        <v>142</v>
      </c>
      <c r="E8367" s="3" t="s">
        <v>221</v>
      </c>
      <c r="F8367" s="4" t="str">
        <f aca="false">IF(I8367&gt;J8367,"Y","N")</f>
        <v>Y</v>
      </c>
      <c r="G8367" s="3" t="s">
        <v>222</v>
      </c>
      <c r="H8367" s="3" t="s">
        <v>37</v>
      </c>
      <c r="I8367" s="4" t="n">
        <v>15</v>
      </c>
      <c r="J8367" s="4" t="n">
        <f aca="false">LEN(E8367)-LEN(SUBSTITUTE(E8367,",",""))+1</f>
        <v>7</v>
      </c>
      <c r="K8367" s="3" t="str">
        <f aca="false">IFERROR(INDEX('Teacher Lookup'!$B$2:$B$200,MATCH(A8367,'Teacher Lookup'!$A$2:$A$200,0)),"")</f>
        <v>WAN Ping</v>
      </c>
    </row>
    <row r="8368" customFormat="false" ht="15" hidden="false" customHeight="false" outlineLevel="0" collapsed="false">
      <c r="A8368" s="3" t="s">
        <v>497</v>
      </c>
      <c r="B8368" s="4" t="s">
        <v>50</v>
      </c>
      <c r="C8368" s="4" t="n">
        <v>5</v>
      </c>
      <c r="D8368" s="4" t="s">
        <v>127</v>
      </c>
      <c r="E8368" s="3" t="s">
        <v>221</v>
      </c>
      <c r="F8368" s="4" t="str">
        <f aca="false">IF(I8368&gt;J8368,"Y","N")</f>
        <v>Y</v>
      </c>
      <c r="G8368" s="3" t="s">
        <v>222</v>
      </c>
      <c r="H8368" s="3" t="s">
        <v>37</v>
      </c>
      <c r="I8368" s="4" t="n">
        <v>15</v>
      </c>
      <c r="J8368" s="4" t="n">
        <f aca="false">LEN(E8368)-LEN(SUBSTITUTE(E8368,",",""))+1</f>
        <v>7</v>
      </c>
      <c r="K8368" s="3" t="str">
        <f aca="false">IFERROR(INDEX('Teacher Lookup'!$B$2:$B$200,MATCH(A8368,'Teacher Lookup'!$A$2:$A$200,0)),"")</f>
        <v>WAN Ping</v>
      </c>
    </row>
    <row r="8369" customFormat="false" ht="15" hidden="false" customHeight="false" outlineLevel="0" collapsed="false">
      <c r="A8369" s="3" t="s">
        <v>497</v>
      </c>
      <c r="B8369" s="4" t="s">
        <v>50</v>
      </c>
      <c r="C8369" s="4" t="n">
        <v>6</v>
      </c>
      <c r="D8369" s="4" t="s">
        <v>13</v>
      </c>
      <c r="E8369" s="3" t="s">
        <v>387</v>
      </c>
      <c r="F8369" s="4" t="str">
        <f aca="false">IF(I8369&gt;J8369,"Y","N")</f>
        <v>N</v>
      </c>
      <c r="G8369" s="3" t="s">
        <v>388</v>
      </c>
      <c r="H8369" s="3" t="s">
        <v>42</v>
      </c>
      <c r="I8369" s="4" t="n">
        <v>2</v>
      </c>
      <c r="J8369" s="4" t="n">
        <f aca="false">LEN(E8369)-LEN(SUBSTITUTE(E8369,",",""))+1</f>
        <v>2</v>
      </c>
      <c r="K8369" s="3" t="str">
        <f aca="false">IFERROR(INDEX('Teacher Lookup'!$B$2:$B$200,MATCH(A8369,'Teacher Lookup'!$A$2:$A$200,0)),"")</f>
        <v>WAN Ping</v>
      </c>
    </row>
    <row r="8370" customFormat="false" ht="15" hidden="false" customHeight="false" outlineLevel="0" collapsed="false">
      <c r="A8370" s="3" t="s">
        <v>497</v>
      </c>
      <c r="B8370" s="4" t="s">
        <v>50</v>
      </c>
      <c r="C8370" s="4" t="n">
        <v>6</v>
      </c>
      <c r="D8370" s="4" t="s">
        <v>17</v>
      </c>
      <c r="E8370" s="3" t="s">
        <v>387</v>
      </c>
      <c r="F8370" s="4" t="str">
        <f aca="false">IF(I8370&gt;J8370,"Y","N")</f>
        <v>N</v>
      </c>
      <c r="G8370" s="3" t="s">
        <v>388</v>
      </c>
      <c r="H8370" s="3" t="s">
        <v>42</v>
      </c>
      <c r="I8370" s="4" t="n">
        <v>2</v>
      </c>
      <c r="J8370" s="4" t="n">
        <f aca="false">LEN(E8370)-LEN(SUBSTITUTE(E8370,",",""))+1</f>
        <v>2</v>
      </c>
      <c r="K8370" s="3" t="str">
        <f aca="false">IFERROR(INDEX('Teacher Lookup'!$B$2:$B$200,MATCH(A8370,'Teacher Lookup'!$A$2:$A$200,0)),"")</f>
        <v>WAN Ping</v>
      </c>
    </row>
    <row r="8371" customFormat="false" ht="15" hidden="false" customHeight="false" outlineLevel="0" collapsed="false">
      <c r="A8371" s="3" t="s">
        <v>497</v>
      </c>
      <c r="B8371" s="4" t="s">
        <v>50</v>
      </c>
      <c r="C8371" s="4" t="n">
        <v>7</v>
      </c>
      <c r="D8371" s="4" t="s">
        <v>13</v>
      </c>
      <c r="E8371" s="3" t="s">
        <v>387</v>
      </c>
      <c r="F8371" s="4" t="str">
        <f aca="false">IF(I8371&gt;J8371,"Y","N")</f>
        <v>N</v>
      </c>
      <c r="G8371" s="3" t="s">
        <v>388</v>
      </c>
      <c r="H8371" s="3" t="s">
        <v>39</v>
      </c>
      <c r="I8371" s="4" t="n">
        <v>2</v>
      </c>
      <c r="J8371" s="4" t="n">
        <f aca="false">LEN(E8371)-LEN(SUBSTITUTE(E8371,",",""))+1</f>
        <v>2</v>
      </c>
      <c r="K8371" s="3" t="str">
        <f aca="false">IFERROR(INDEX('Teacher Lookup'!$B$2:$B$200,MATCH(A8371,'Teacher Lookup'!$A$2:$A$200,0)),"")</f>
        <v>WAN Ping</v>
      </c>
    </row>
    <row r="8372" customFormat="false" ht="15" hidden="false" customHeight="false" outlineLevel="0" collapsed="false">
      <c r="A8372" s="3" t="s">
        <v>497</v>
      </c>
      <c r="B8372" s="4" t="s">
        <v>50</v>
      </c>
      <c r="C8372" s="4" t="n">
        <v>7</v>
      </c>
      <c r="D8372" s="4" t="s">
        <v>17</v>
      </c>
      <c r="E8372" s="3" t="s">
        <v>387</v>
      </c>
      <c r="F8372" s="4" t="str">
        <f aca="false">IF(I8372&gt;J8372,"Y","N")</f>
        <v>N</v>
      </c>
      <c r="G8372" s="3" t="s">
        <v>388</v>
      </c>
      <c r="H8372" s="3" t="s">
        <v>39</v>
      </c>
      <c r="I8372" s="4" t="n">
        <v>2</v>
      </c>
      <c r="J8372" s="4" t="n">
        <f aca="false">LEN(E8372)-LEN(SUBSTITUTE(E8372,",",""))+1</f>
        <v>2</v>
      </c>
      <c r="K8372" s="3" t="str">
        <f aca="false">IFERROR(INDEX('Teacher Lookup'!$B$2:$B$200,MATCH(A8372,'Teacher Lookup'!$A$2:$A$200,0)),"")</f>
        <v>WAN Ping</v>
      </c>
    </row>
    <row r="8373" customFormat="false" ht="15" hidden="false" customHeight="false" outlineLevel="0" collapsed="false">
      <c r="A8373" s="3" t="s">
        <v>497</v>
      </c>
      <c r="B8373" s="4" t="s">
        <v>60</v>
      </c>
      <c r="C8373" s="4" t="n">
        <v>3</v>
      </c>
      <c r="D8373" s="4" t="s">
        <v>70</v>
      </c>
      <c r="E8373" s="3" t="s">
        <v>387</v>
      </c>
      <c r="F8373" s="4" t="str">
        <f aca="false">IF(I8373&gt;J8373,"Y","N")</f>
        <v>N</v>
      </c>
      <c r="G8373" s="3" t="s">
        <v>388</v>
      </c>
      <c r="H8373" s="3" t="s">
        <v>26</v>
      </c>
      <c r="I8373" s="4" t="n">
        <v>2</v>
      </c>
      <c r="J8373" s="4" t="n">
        <f aca="false">LEN(E8373)-LEN(SUBSTITUTE(E8373,",",""))+1</f>
        <v>2</v>
      </c>
      <c r="K8373" s="3" t="str">
        <f aca="false">IFERROR(INDEX('Teacher Lookup'!$B$2:$B$200,MATCH(A8373,'Teacher Lookup'!$A$2:$A$200,0)),"")</f>
        <v>WAN Ping</v>
      </c>
    </row>
    <row r="8374" customFormat="false" ht="15" hidden="false" customHeight="false" outlineLevel="0" collapsed="false">
      <c r="A8374" s="3" t="s">
        <v>497</v>
      </c>
      <c r="B8374" s="4" t="s">
        <v>60</v>
      </c>
      <c r="C8374" s="4" t="n">
        <v>3</v>
      </c>
      <c r="D8374" s="4" t="s">
        <v>73</v>
      </c>
      <c r="E8374" s="3" t="s">
        <v>387</v>
      </c>
      <c r="F8374" s="4" t="str">
        <f aca="false">IF(I8374&gt;J8374,"Y","N")</f>
        <v>N</v>
      </c>
      <c r="G8374" s="3" t="s">
        <v>388</v>
      </c>
      <c r="H8374" s="3" t="s">
        <v>26</v>
      </c>
      <c r="I8374" s="4" t="n">
        <v>2</v>
      </c>
      <c r="J8374" s="4" t="n">
        <f aca="false">LEN(E8374)-LEN(SUBSTITUTE(E8374,",",""))+1</f>
        <v>2</v>
      </c>
      <c r="K8374" s="3" t="str">
        <f aca="false">IFERROR(INDEX('Teacher Lookup'!$B$2:$B$200,MATCH(A8374,'Teacher Lookup'!$A$2:$A$200,0)),"")</f>
        <v>WAN Ping</v>
      </c>
    </row>
    <row r="8375" customFormat="false" ht="15" hidden="false" customHeight="false" outlineLevel="0" collapsed="false">
      <c r="A8375" s="3" t="s">
        <v>497</v>
      </c>
      <c r="B8375" s="4" t="s">
        <v>60</v>
      </c>
      <c r="C8375" s="4" t="n">
        <v>4</v>
      </c>
      <c r="D8375" s="4" t="s">
        <v>70</v>
      </c>
      <c r="E8375" s="3" t="s">
        <v>387</v>
      </c>
      <c r="F8375" s="4" t="str">
        <f aca="false">IF(I8375&gt;J8375,"Y","N")</f>
        <v>N</v>
      </c>
      <c r="G8375" s="3" t="s">
        <v>388</v>
      </c>
      <c r="H8375" s="3" t="s">
        <v>34</v>
      </c>
      <c r="I8375" s="4" t="n">
        <v>2</v>
      </c>
      <c r="J8375" s="4" t="n">
        <f aca="false">LEN(E8375)-LEN(SUBSTITUTE(E8375,",",""))+1</f>
        <v>2</v>
      </c>
      <c r="K8375" s="3" t="str">
        <f aca="false">IFERROR(INDEX('Teacher Lookup'!$B$2:$B$200,MATCH(A8375,'Teacher Lookup'!$A$2:$A$200,0)),"")</f>
        <v>WAN Ping</v>
      </c>
    </row>
    <row r="8376" customFormat="false" ht="15" hidden="false" customHeight="false" outlineLevel="0" collapsed="false">
      <c r="A8376" s="3" t="s">
        <v>497</v>
      </c>
      <c r="B8376" s="4" t="s">
        <v>60</v>
      </c>
      <c r="C8376" s="4" t="n">
        <v>4</v>
      </c>
      <c r="D8376" s="4" t="s">
        <v>73</v>
      </c>
      <c r="E8376" s="3" t="s">
        <v>387</v>
      </c>
      <c r="F8376" s="4" t="str">
        <f aca="false">IF(I8376&gt;J8376,"Y","N")</f>
        <v>N</v>
      </c>
      <c r="G8376" s="3" t="s">
        <v>388</v>
      </c>
      <c r="H8376" s="3" t="s">
        <v>34</v>
      </c>
      <c r="I8376" s="4" t="n">
        <v>2</v>
      </c>
      <c r="J8376" s="4" t="n">
        <f aca="false">LEN(E8376)-LEN(SUBSTITUTE(E8376,",",""))+1</f>
        <v>2</v>
      </c>
      <c r="K8376" s="3" t="str">
        <f aca="false">IFERROR(INDEX('Teacher Lookup'!$B$2:$B$200,MATCH(A8376,'Teacher Lookup'!$A$2:$A$200,0)),"")</f>
        <v>WAN Ping</v>
      </c>
    </row>
    <row r="8377" customFormat="false" ht="15" hidden="false" customHeight="false" outlineLevel="0" collapsed="false">
      <c r="A8377" s="3" t="s">
        <v>497</v>
      </c>
      <c r="B8377" s="4" t="s">
        <v>60</v>
      </c>
      <c r="C8377" s="4" t="n">
        <v>5</v>
      </c>
      <c r="D8377" s="4" t="s">
        <v>137</v>
      </c>
      <c r="E8377" s="3" t="s">
        <v>185</v>
      </c>
      <c r="F8377" s="4" t="str">
        <f aca="false">IF(I8377&gt;J8377,"Y","N")</f>
        <v>Y</v>
      </c>
      <c r="G8377" s="3" t="s">
        <v>36</v>
      </c>
      <c r="H8377" s="3" t="s">
        <v>37</v>
      </c>
      <c r="I8377" s="4" t="n">
        <v>21</v>
      </c>
      <c r="J8377" s="4" t="n">
        <f aca="false">LEN(E8377)-LEN(SUBSTITUTE(E8377,",",""))+1</f>
        <v>7</v>
      </c>
      <c r="K8377" s="3" t="str">
        <f aca="false">IFERROR(INDEX('Teacher Lookup'!$B$2:$B$200,MATCH(A8377,'Teacher Lookup'!$A$2:$A$200,0)),"")</f>
        <v>WAN Ping</v>
      </c>
    </row>
    <row r="8378" customFormat="false" ht="15" hidden="false" customHeight="false" outlineLevel="0" collapsed="false">
      <c r="A8378" s="3" t="s">
        <v>497</v>
      </c>
      <c r="B8378" s="4" t="s">
        <v>60</v>
      </c>
      <c r="C8378" s="4" t="n">
        <v>5</v>
      </c>
      <c r="D8378" s="4" t="s">
        <v>124</v>
      </c>
      <c r="E8378" s="3" t="s">
        <v>185</v>
      </c>
      <c r="F8378" s="4" t="str">
        <f aca="false">IF(I8378&gt;J8378,"Y","N")</f>
        <v>Y</v>
      </c>
      <c r="G8378" s="3" t="s">
        <v>36</v>
      </c>
      <c r="H8378" s="3" t="s">
        <v>37</v>
      </c>
      <c r="I8378" s="4" t="n">
        <v>21</v>
      </c>
      <c r="J8378" s="4" t="n">
        <f aca="false">LEN(E8378)-LEN(SUBSTITUTE(E8378,",",""))+1</f>
        <v>7</v>
      </c>
      <c r="K8378" s="3" t="str">
        <f aca="false">IFERROR(INDEX('Teacher Lookup'!$B$2:$B$200,MATCH(A8378,'Teacher Lookup'!$A$2:$A$200,0)),"")</f>
        <v>WAN Ping</v>
      </c>
    </row>
    <row r="8379" customFormat="false" ht="15" hidden="false" customHeight="false" outlineLevel="0" collapsed="false">
      <c r="A8379" s="3" t="s">
        <v>497</v>
      </c>
      <c r="B8379" s="4" t="s">
        <v>60</v>
      </c>
      <c r="C8379" s="4" t="n">
        <v>5</v>
      </c>
      <c r="D8379" s="4" t="s">
        <v>139</v>
      </c>
      <c r="E8379" s="3" t="s">
        <v>185</v>
      </c>
      <c r="F8379" s="4" t="str">
        <f aca="false">IF(I8379&gt;J8379,"Y","N")</f>
        <v>Y</v>
      </c>
      <c r="G8379" s="3" t="s">
        <v>36</v>
      </c>
      <c r="H8379" s="3" t="s">
        <v>37</v>
      </c>
      <c r="I8379" s="4" t="n">
        <v>21</v>
      </c>
      <c r="J8379" s="4" t="n">
        <f aca="false">LEN(E8379)-LEN(SUBSTITUTE(E8379,",",""))+1</f>
        <v>7</v>
      </c>
      <c r="K8379" s="3" t="str">
        <f aca="false">IFERROR(INDEX('Teacher Lookup'!$B$2:$B$200,MATCH(A8379,'Teacher Lookup'!$A$2:$A$200,0)),"")</f>
        <v>WAN Ping</v>
      </c>
    </row>
    <row r="8380" customFormat="false" ht="15" hidden="false" customHeight="false" outlineLevel="0" collapsed="false">
      <c r="A8380" s="3" t="s">
        <v>497</v>
      </c>
      <c r="B8380" s="4" t="s">
        <v>60</v>
      </c>
      <c r="C8380" s="4" t="n">
        <v>5</v>
      </c>
      <c r="D8380" s="4" t="s">
        <v>140</v>
      </c>
      <c r="E8380" s="3" t="s">
        <v>185</v>
      </c>
      <c r="F8380" s="4" t="str">
        <f aca="false">IF(I8380&gt;J8380,"Y","N")</f>
        <v>Y</v>
      </c>
      <c r="G8380" s="3" t="s">
        <v>36</v>
      </c>
      <c r="H8380" s="3" t="s">
        <v>37</v>
      </c>
      <c r="I8380" s="4" t="n">
        <v>21</v>
      </c>
      <c r="J8380" s="4" t="n">
        <f aca="false">LEN(E8380)-LEN(SUBSTITUTE(E8380,",",""))+1</f>
        <v>7</v>
      </c>
      <c r="K8380" s="3" t="str">
        <f aca="false">IFERROR(INDEX('Teacher Lookup'!$B$2:$B$200,MATCH(A8380,'Teacher Lookup'!$A$2:$A$200,0)),"")</f>
        <v>WAN Ping</v>
      </c>
    </row>
    <row r="8381" customFormat="false" ht="15" hidden="false" customHeight="false" outlineLevel="0" collapsed="false">
      <c r="A8381" s="3" t="s">
        <v>497</v>
      </c>
      <c r="B8381" s="4" t="s">
        <v>60</v>
      </c>
      <c r="C8381" s="4" t="n">
        <v>5</v>
      </c>
      <c r="D8381" s="4" t="s">
        <v>142</v>
      </c>
      <c r="E8381" s="3" t="s">
        <v>185</v>
      </c>
      <c r="F8381" s="4" t="str">
        <f aca="false">IF(I8381&gt;J8381,"Y","N")</f>
        <v>Y</v>
      </c>
      <c r="G8381" s="3" t="s">
        <v>36</v>
      </c>
      <c r="H8381" s="3" t="s">
        <v>37</v>
      </c>
      <c r="I8381" s="4" t="n">
        <v>21</v>
      </c>
      <c r="J8381" s="4" t="n">
        <f aca="false">LEN(E8381)-LEN(SUBSTITUTE(E8381,",",""))+1</f>
        <v>7</v>
      </c>
      <c r="K8381" s="3" t="str">
        <f aca="false">IFERROR(INDEX('Teacher Lookup'!$B$2:$B$200,MATCH(A8381,'Teacher Lookup'!$A$2:$A$200,0)),"")</f>
        <v>WAN Ping</v>
      </c>
    </row>
    <row r="8382" customFormat="false" ht="15" hidden="false" customHeight="false" outlineLevel="0" collapsed="false">
      <c r="A8382" s="3" t="s">
        <v>497</v>
      </c>
      <c r="B8382" s="4" t="s">
        <v>60</v>
      </c>
      <c r="C8382" s="4" t="n">
        <v>5</v>
      </c>
      <c r="D8382" s="4" t="s">
        <v>127</v>
      </c>
      <c r="E8382" s="3" t="s">
        <v>185</v>
      </c>
      <c r="F8382" s="4" t="str">
        <f aca="false">IF(I8382&gt;J8382,"Y","N")</f>
        <v>Y</v>
      </c>
      <c r="G8382" s="3" t="s">
        <v>36</v>
      </c>
      <c r="H8382" s="3" t="s">
        <v>37</v>
      </c>
      <c r="I8382" s="4" t="n">
        <v>21</v>
      </c>
      <c r="J8382" s="4" t="n">
        <f aca="false">LEN(E8382)-LEN(SUBSTITUTE(E8382,",",""))+1</f>
        <v>7</v>
      </c>
      <c r="K8382" s="3" t="str">
        <f aca="false">IFERROR(INDEX('Teacher Lookup'!$B$2:$B$200,MATCH(A8382,'Teacher Lookup'!$A$2:$A$200,0)),"")</f>
        <v>WAN Ping</v>
      </c>
    </row>
    <row r="8383" customFormat="false" ht="15" hidden="false" customHeight="false" outlineLevel="0" collapsed="false">
      <c r="A8383" s="3" t="s">
        <v>497</v>
      </c>
      <c r="B8383" s="4" t="s">
        <v>60</v>
      </c>
      <c r="C8383" s="4" t="n">
        <v>6</v>
      </c>
      <c r="D8383" s="4" t="s">
        <v>102</v>
      </c>
      <c r="E8383" s="3" t="s">
        <v>387</v>
      </c>
      <c r="F8383" s="4" t="str">
        <f aca="false">IF(I8383&gt;J8383,"Y","N")</f>
        <v>N</v>
      </c>
      <c r="G8383" s="3" t="s">
        <v>388</v>
      </c>
      <c r="H8383" s="3" t="s">
        <v>42</v>
      </c>
      <c r="I8383" s="4" t="n">
        <v>2</v>
      </c>
      <c r="J8383" s="4" t="n">
        <f aca="false">LEN(E8383)-LEN(SUBSTITUTE(E8383,",",""))+1</f>
        <v>2</v>
      </c>
      <c r="K8383" s="3" t="str">
        <f aca="false">IFERROR(INDEX('Teacher Lookup'!$B$2:$B$200,MATCH(A8383,'Teacher Lookup'!$A$2:$A$200,0)),"")</f>
        <v>WAN Ping</v>
      </c>
    </row>
    <row r="8384" customFormat="false" ht="15" hidden="false" customHeight="false" outlineLevel="0" collapsed="false">
      <c r="A8384" s="3" t="s">
        <v>497</v>
      </c>
      <c r="B8384" s="4" t="s">
        <v>60</v>
      </c>
      <c r="C8384" s="4" t="n">
        <v>6</v>
      </c>
      <c r="D8384" s="4" t="s">
        <v>107</v>
      </c>
      <c r="E8384" s="3" t="s">
        <v>387</v>
      </c>
      <c r="F8384" s="4" t="str">
        <f aca="false">IF(I8384&gt;J8384,"Y","N")</f>
        <v>N</v>
      </c>
      <c r="G8384" s="3" t="s">
        <v>388</v>
      </c>
      <c r="H8384" s="3" t="s">
        <v>42</v>
      </c>
      <c r="I8384" s="4" t="n">
        <v>2</v>
      </c>
      <c r="J8384" s="4" t="n">
        <f aca="false">LEN(E8384)-LEN(SUBSTITUTE(E8384,",",""))+1</f>
        <v>2</v>
      </c>
      <c r="K8384" s="3" t="str">
        <f aca="false">IFERROR(INDEX('Teacher Lookup'!$B$2:$B$200,MATCH(A8384,'Teacher Lookup'!$A$2:$A$200,0)),"")</f>
        <v>WAN Ping</v>
      </c>
    </row>
    <row r="8385" customFormat="false" ht="15" hidden="false" customHeight="false" outlineLevel="0" collapsed="false">
      <c r="A8385" s="3" t="s">
        <v>497</v>
      </c>
      <c r="B8385" s="4" t="s">
        <v>60</v>
      </c>
      <c r="C8385" s="4" t="n">
        <v>7</v>
      </c>
      <c r="D8385" s="4" t="s">
        <v>102</v>
      </c>
      <c r="E8385" s="3" t="s">
        <v>387</v>
      </c>
      <c r="F8385" s="4" t="str">
        <f aca="false">IF(I8385&gt;J8385,"Y","N")</f>
        <v>N</v>
      </c>
      <c r="G8385" s="3" t="s">
        <v>388</v>
      </c>
      <c r="H8385" s="3" t="s">
        <v>39</v>
      </c>
      <c r="I8385" s="4" t="n">
        <v>2</v>
      </c>
      <c r="J8385" s="4" t="n">
        <f aca="false">LEN(E8385)-LEN(SUBSTITUTE(E8385,",",""))+1</f>
        <v>2</v>
      </c>
      <c r="K8385" s="3" t="str">
        <f aca="false">IFERROR(INDEX('Teacher Lookup'!$B$2:$B$200,MATCH(A8385,'Teacher Lookup'!$A$2:$A$200,0)),"")</f>
        <v>WAN Ping</v>
      </c>
    </row>
    <row r="8386" customFormat="false" ht="15" hidden="false" customHeight="false" outlineLevel="0" collapsed="false">
      <c r="A8386" s="3" t="s">
        <v>497</v>
      </c>
      <c r="B8386" s="4" t="s">
        <v>60</v>
      </c>
      <c r="C8386" s="4" t="n">
        <v>7</v>
      </c>
      <c r="D8386" s="4" t="s">
        <v>107</v>
      </c>
      <c r="E8386" s="3" t="s">
        <v>387</v>
      </c>
      <c r="F8386" s="4" t="str">
        <f aca="false">IF(I8386&gt;J8386,"Y","N")</f>
        <v>N</v>
      </c>
      <c r="G8386" s="3" t="s">
        <v>388</v>
      </c>
      <c r="H8386" s="3" t="s">
        <v>39</v>
      </c>
      <c r="I8386" s="4" t="n">
        <v>2</v>
      </c>
      <c r="J8386" s="4" t="n">
        <f aca="false">LEN(E8386)-LEN(SUBSTITUTE(E8386,",",""))+1</f>
        <v>2</v>
      </c>
      <c r="K8386" s="3" t="str">
        <f aca="false">IFERROR(INDEX('Teacher Lookup'!$B$2:$B$200,MATCH(A8386,'Teacher Lookup'!$A$2:$A$200,0)),"")</f>
        <v>WAN Ping</v>
      </c>
    </row>
    <row r="8387" customFormat="false" ht="15" hidden="false" customHeight="false" outlineLevel="0" collapsed="false">
      <c r="A8387" s="3" t="s">
        <v>497</v>
      </c>
      <c r="B8387" s="4" t="s">
        <v>63</v>
      </c>
      <c r="C8387" s="4" t="n">
        <v>4</v>
      </c>
      <c r="D8387" s="4" t="s">
        <v>52</v>
      </c>
      <c r="E8387" s="3" t="s">
        <v>387</v>
      </c>
      <c r="F8387" s="4" t="str">
        <f aca="false">IF(I8387&gt;J8387,"Y","N")</f>
        <v>N</v>
      </c>
      <c r="G8387" s="3" t="s">
        <v>388</v>
      </c>
      <c r="H8387" s="3" t="s">
        <v>34</v>
      </c>
      <c r="I8387" s="4" t="n">
        <v>2</v>
      </c>
      <c r="J8387" s="4" t="n">
        <f aca="false">LEN(E8387)-LEN(SUBSTITUTE(E8387,",",""))+1</f>
        <v>2</v>
      </c>
      <c r="K8387" s="3" t="str">
        <f aca="false">IFERROR(INDEX('Teacher Lookup'!$B$2:$B$200,MATCH(A8387,'Teacher Lookup'!$A$2:$A$200,0)),"")</f>
        <v>WAN Ping</v>
      </c>
    </row>
    <row r="8388" customFormat="false" ht="15" hidden="false" customHeight="false" outlineLevel="0" collapsed="false">
      <c r="A8388" s="3" t="s">
        <v>497</v>
      </c>
      <c r="B8388" s="4" t="s">
        <v>63</v>
      </c>
      <c r="C8388" s="4" t="n">
        <v>4</v>
      </c>
      <c r="D8388" s="4" t="s">
        <v>55</v>
      </c>
      <c r="E8388" s="3" t="s">
        <v>387</v>
      </c>
      <c r="F8388" s="4" t="str">
        <f aca="false">IF(I8388&gt;J8388,"Y","N")</f>
        <v>N</v>
      </c>
      <c r="G8388" s="3" t="s">
        <v>388</v>
      </c>
      <c r="H8388" s="3" t="s">
        <v>34</v>
      </c>
      <c r="I8388" s="4" t="n">
        <v>2</v>
      </c>
      <c r="J8388" s="4" t="n">
        <f aca="false">LEN(E8388)-LEN(SUBSTITUTE(E8388,",",""))+1</f>
        <v>2</v>
      </c>
      <c r="K8388" s="3" t="str">
        <f aca="false">IFERROR(INDEX('Teacher Lookup'!$B$2:$B$200,MATCH(A8388,'Teacher Lookup'!$A$2:$A$200,0)),"")</f>
        <v>WAN Ping</v>
      </c>
    </row>
    <row r="8389" customFormat="false" ht="15" hidden="false" customHeight="false" outlineLevel="0" collapsed="false">
      <c r="A8389" s="3" t="s">
        <v>497</v>
      </c>
      <c r="B8389" s="4" t="s">
        <v>63</v>
      </c>
      <c r="C8389" s="4" t="n">
        <v>5</v>
      </c>
      <c r="D8389" s="4" t="s">
        <v>52</v>
      </c>
      <c r="E8389" s="3" t="s">
        <v>387</v>
      </c>
      <c r="F8389" s="4" t="str">
        <f aca="false">IF(I8389&gt;J8389,"Y","N")</f>
        <v>N</v>
      </c>
      <c r="G8389" s="3" t="s">
        <v>388</v>
      </c>
      <c r="H8389" s="3" t="s">
        <v>37</v>
      </c>
      <c r="I8389" s="4" t="n">
        <v>2</v>
      </c>
      <c r="J8389" s="4" t="n">
        <f aca="false">LEN(E8389)-LEN(SUBSTITUTE(E8389,",",""))+1</f>
        <v>2</v>
      </c>
      <c r="K8389" s="3" t="str">
        <f aca="false">IFERROR(INDEX('Teacher Lookup'!$B$2:$B$200,MATCH(A8389,'Teacher Lookup'!$A$2:$A$200,0)),"")</f>
        <v>WAN Ping</v>
      </c>
    </row>
    <row r="8390" customFormat="false" ht="15" hidden="false" customHeight="false" outlineLevel="0" collapsed="false">
      <c r="A8390" s="3" t="s">
        <v>497</v>
      </c>
      <c r="B8390" s="4" t="s">
        <v>63</v>
      </c>
      <c r="C8390" s="4" t="n">
        <v>5</v>
      </c>
      <c r="D8390" s="4" t="s">
        <v>55</v>
      </c>
      <c r="E8390" s="3" t="s">
        <v>387</v>
      </c>
      <c r="F8390" s="4" t="str">
        <f aca="false">IF(I8390&gt;J8390,"Y","N")</f>
        <v>N</v>
      </c>
      <c r="G8390" s="3" t="s">
        <v>388</v>
      </c>
      <c r="H8390" s="3" t="s">
        <v>37</v>
      </c>
      <c r="I8390" s="4" t="n">
        <v>2</v>
      </c>
      <c r="J8390" s="4" t="n">
        <f aca="false">LEN(E8390)-LEN(SUBSTITUTE(E8390,",",""))+1</f>
        <v>2</v>
      </c>
      <c r="K8390" s="3" t="str">
        <f aca="false">IFERROR(INDEX('Teacher Lookup'!$B$2:$B$200,MATCH(A8390,'Teacher Lookup'!$A$2:$A$200,0)),"")</f>
        <v>WAN Ping</v>
      </c>
    </row>
    <row r="8391" customFormat="false" ht="15" hidden="false" customHeight="false" outlineLevel="0" collapsed="false">
      <c r="A8391" s="3" t="s">
        <v>497</v>
      </c>
      <c r="B8391" s="4" t="s">
        <v>65</v>
      </c>
      <c r="C8391" s="4" t="n">
        <v>3</v>
      </c>
      <c r="D8391" s="4" t="s">
        <v>228</v>
      </c>
      <c r="E8391" s="3" t="s">
        <v>416</v>
      </c>
      <c r="F8391" s="4" t="str">
        <f aca="false">IF(I8391&gt;J8391,"Y","N")</f>
        <v>N</v>
      </c>
      <c r="G8391" s="3" t="s">
        <v>388</v>
      </c>
      <c r="H8391" s="3" t="s">
        <v>26</v>
      </c>
      <c r="I8391" s="4" t="n">
        <v>1</v>
      </c>
      <c r="J8391" s="4" t="n">
        <f aca="false">LEN(E8391)-LEN(SUBSTITUTE(E8391,",",""))+1</f>
        <v>1</v>
      </c>
      <c r="K8391" s="3" t="str">
        <f aca="false">IFERROR(INDEX('Teacher Lookup'!$B$2:$B$200,MATCH(A8391,'Teacher Lookup'!$A$2:$A$200,0)),"")</f>
        <v>WAN Ping</v>
      </c>
    </row>
    <row r="8392" customFormat="false" ht="15" hidden="false" customHeight="false" outlineLevel="0" collapsed="false">
      <c r="A8392" s="3" t="s">
        <v>497</v>
      </c>
      <c r="B8392" s="4" t="s">
        <v>65</v>
      </c>
      <c r="C8392" s="4" t="n">
        <v>4</v>
      </c>
      <c r="D8392" s="4" t="s">
        <v>228</v>
      </c>
      <c r="E8392" s="3" t="s">
        <v>416</v>
      </c>
      <c r="F8392" s="4" t="str">
        <f aca="false">IF(I8392&gt;J8392,"Y","N")</f>
        <v>N</v>
      </c>
      <c r="G8392" s="3" t="s">
        <v>388</v>
      </c>
      <c r="H8392" s="3" t="s">
        <v>34</v>
      </c>
      <c r="I8392" s="4" t="n">
        <v>1</v>
      </c>
      <c r="J8392" s="4" t="n">
        <f aca="false">LEN(E8392)-LEN(SUBSTITUTE(E8392,",",""))+1</f>
        <v>1</v>
      </c>
      <c r="K8392" s="3" t="str">
        <f aca="false">IFERROR(INDEX('Teacher Lookup'!$B$2:$B$200,MATCH(A8392,'Teacher Lookup'!$A$2:$A$200,0)),"")</f>
        <v>WAN Ping</v>
      </c>
    </row>
    <row r="8393" customFormat="false" ht="15" hidden="false" customHeight="false" outlineLevel="0" collapsed="false">
      <c r="A8393" s="3" t="s">
        <v>497</v>
      </c>
      <c r="B8393" s="4" t="s">
        <v>65</v>
      </c>
      <c r="C8393" s="4" t="n">
        <v>5</v>
      </c>
      <c r="D8393" s="4" t="s">
        <v>137</v>
      </c>
      <c r="E8393" s="3" t="s">
        <v>185</v>
      </c>
      <c r="F8393" s="4" t="str">
        <f aca="false">IF(I8393&gt;J8393,"Y","N")</f>
        <v>Y</v>
      </c>
      <c r="G8393" s="3" t="s">
        <v>36</v>
      </c>
      <c r="H8393" s="3" t="s">
        <v>37</v>
      </c>
      <c r="I8393" s="4" t="n">
        <v>21</v>
      </c>
      <c r="J8393" s="4" t="n">
        <f aca="false">LEN(E8393)-LEN(SUBSTITUTE(E8393,",",""))+1</f>
        <v>7</v>
      </c>
      <c r="K8393" s="3" t="str">
        <f aca="false">IFERROR(INDEX('Teacher Lookup'!$B$2:$B$200,MATCH(A8393,'Teacher Lookup'!$A$2:$A$200,0)),"")</f>
        <v>WAN Ping</v>
      </c>
    </row>
    <row r="8394" customFormat="false" ht="15" hidden="false" customHeight="false" outlineLevel="0" collapsed="false">
      <c r="A8394" s="3" t="s">
        <v>497</v>
      </c>
      <c r="B8394" s="4" t="s">
        <v>65</v>
      </c>
      <c r="C8394" s="4" t="n">
        <v>5</v>
      </c>
      <c r="D8394" s="4" t="s">
        <v>124</v>
      </c>
      <c r="E8394" s="3" t="s">
        <v>185</v>
      </c>
      <c r="F8394" s="4" t="str">
        <f aca="false">IF(I8394&gt;J8394,"Y","N")</f>
        <v>Y</v>
      </c>
      <c r="G8394" s="3" t="s">
        <v>36</v>
      </c>
      <c r="H8394" s="3" t="s">
        <v>37</v>
      </c>
      <c r="I8394" s="4" t="n">
        <v>21</v>
      </c>
      <c r="J8394" s="4" t="n">
        <f aca="false">LEN(E8394)-LEN(SUBSTITUTE(E8394,",",""))+1</f>
        <v>7</v>
      </c>
      <c r="K8394" s="3" t="str">
        <f aca="false">IFERROR(INDEX('Teacher Lookup'!$B$2:$B$200,MATCH(A8394,'Teacher Lookup'!$A$2:$A$200,0)),"")</f>
        <v>WAN Ping</v>
      </c>
    </row>
    <row r="8395" customFormat="false" ht="15" hidden="false" customHeight="false" outlineLevel="0" collapsed="false">
      <c r="A8395" s="3" t="s">
        <v>497</v>
      </c>
      <c r="B8395" s="4" t="s">
        <v>65</v>
      </c>
      <c r="C8395" s="4" t="n">
        <v>5</v>
      </c>
      <c r="D8395" s="4" t="s">
        <v>139</v>
      </c>
      <c r="E8395" s="3" t="s">
        <v>185</v>
      </c>
      <c r="F8395" s="4" t="str">
        <f aca="false">IF(I8395&gt;J8395,"Y","N")</f>
        <v>Y</v>
      </c>
      <c r="G8395" s="3" t="s">
        <v>36</v>
      </c>
      <c r="H8395" s="3" t="s">
        <v>37</v>
      </c>
      <c r="I8395" s="4" t="n">
        <v>21</v>
      </c>
      <c r="J8395" s="4" t="n">
        <f aca="false">LEN(E8395)-LEN(SUBSTITUTE(E8395,",",""))+1</f>
        <v>7</v>
      </c>
      <c r="K8395" s="3" t="str">
        <f aca="false">IFERROR(INDEX('Teacher Lookup'!$B$2:$B$200,MATCH(A8395,'Teacher Lookup'!$A$2:$A$200,0)),"")</f>
        <v>WAN Ping</v>
      </c>
    </row>
    <row r="8396" customFormat="false" ht="15" hidden="false" customHeight="false" outlineLevel="0" collapsed="false">
      <c r="A8396" s="3" t="s">
        <v>497</v>
      </c>
      <c r="B8396" s="4" t="s">
        <v>65</v>
      </c>
      <c r="C8396" s="4" t="n">
        <v>5</v>
      </c>
      <c r="D8396" s="4" t="s">
        <v>140</v>
      </c>
      <c r="E8396" s="3" t="s">
        <v>185</v>
      </c>
      <c r="F8396" s="4" t="str">
        <f aca="false">IF(I8396&gt;J8396,"Y","N")</f>
        <v>Y</v>
      </c>
      <c r="G8396" s="3" t="s">
        <v>36</v>
      </c>
      <c r="H8396" s="3" t="s">
        <v>37</v>
      </c>
      <c r="I8396" s="4" t="n">
        <v>21</v>
      </c>
      <c r="J8396" s="4" t="n">
        <f aca="false">LEN(E8396)-LEN(SUBSTITUTE(E8396,",",""))+1</f>
        <v>7</v>
      </c>
      <c r="K8396" s="3" t="str">
        <f aca="false">IFERROR(INDEX('Teacher Lookup'!$B$2:$B$200,MATCH(A8396,'Teacher Lookup'!$A$2:$A$200,0)),"")</f>
        <v>WAN Ping</v>
      </c>
    </row>
    <row r="8397" customFormat="false" ht="15" hidden="false" customHeight="false" outlineLevel="0" collapsed="false">
      <c r="A8397" s="3" t="s">
        <v>497</v>
      </c>
      <c r="B8397" s="4" t="s">
        <v>65</v>
      </c>
      <c r="C8397" s="4" t="n">
        <v>5</v>
      </c>
      <c r="D8397" s="4" t="s">
        <v>142</v>
      </c>
      <c r="E8397" s="3" t="s">
        <v>185</v>
      </c>
      <c r="F8397" s="4" t="str">
        <f aca="false">IF(I8397&gt;J8397,"Y","N")</f>
        <v>Y</v>
      </c>
      <c r="G8397" s="3" t="s">
        <v>36</v>
      </c>
      <c r="H8397" s="3" t="s">
        <v>37</v>
      </c>
      <c r="I8397" s="4" t="n">
        <v>21</v>
      </c>
      <c r="J8397" s="4" t="n">
        <f aca="false">LEN(E8397)-LEN(SUBSTITUTE(E8397,",",""))+1</f>
        <v>7</v>
      </c>
      <c r="K8397" s="3" t="str">
        <f aca="false">IFERROR(INDEX('Teacher Lookup'!$B$2:$B$200,MATCH(A8397,'Teacher Lookup'!$A$2:$A$200,0)),"")</f>
        <v>WAN Ping</v>
      </c>
    </row>
    <row r="8398" customFormat="false" ht="15" hidden="false" customHeight="false" outlineLevel="0" collapsed="false">
      <c r="A8398" s="3" t="s">
        <v>497</v>
      </c>
      <c r="B8398" s="4" t="s">
        <v>65</v>
      </c>
      <c r="C8398" s="4" t="n">
        <v>5</v>
      </c>
      <c r="D8398" s="4" t="s">
        <v>127</v>
      </c>
      <c r="E8398" s="3" t="s">
        <v>185</v>
      </c>
      <c r="F8398" s="4" t="str">
        <f aca="false">IF(I8398&gt;J8398,"Y","N")</f>
        <v>Y</v>
      </c>
      <c r="G8398" s="3" t="s">
        <v>36</v>
      </c>
      <c r="H8398" s="3" t="s">
        <v>37</v>
      </c>
      <c r="I8398" s="4" t="n">
        <v>21</v>
      </c>
      <c r="J8398" s="4" t="n">
        <f aca="false">LEN(E8398)-LEN(SUBSTITUTE(E8398,",",""))+1</f>
        <v>7</v>
      </c>
      <c r="K8398" s="3" t="str">
        <f aca="false">IFERROR(INDEX('Teacher Lookup'!$B$2:$B$200,MATCH(A8398,'Teacher Lookup'!$A$2:$A$200,0)),"")</f>
        <v>WAN Ping</v>
      </c>
    </row>
    <row r="8399" customFormat="false" ht="15" hidden="false" customHeight="false" outlineLevel="0" collapsed="false">
      <c r="A8399" s="3" t="s">
        <v>497</v>
      </c>
      <c r="B8399" s="4" t="s">
        <v>65</v>
      </c>
      <c r="C8399" s="4" t="n">
        <v>6</v>
      </c>
      <c r="D8399" s="4" t="s">
        <v>137</v>
      </c>
      <c r="E8399" s="3" t="s">
        <v>387</v>
      </c>
      <c r="F8399" s="4" t="str">
        <f aca="false">IF(I8399&gt;J8399,"Y","N")</f>
        <v>N</v>
      </c>
      <c r="G8399" s="3" t="s">
        <v>388</v>
      </c>
      <c r="H8399" s="3" t="s">
        <v>42</v>
      </c>
      <c r="I8399" s="4" t="n">
        <v>2</v>
      </c>
      <c r="J8399" s="4" t="n">
        <f aca="false">LEN(E8399)-LEN(SUBSTITUTE(E8399,",",""))+1</f>
        <v>2</v>
      </c>
      <c r="K8399" s="3" t="str">
        <f aca="false">IFERROR(INDEX('Teacher Lookup'!$B$2:$B$200,MATCH(A8399,'Teacher Lookup'!$A$2:$A$200,0)),"")</f>
        <v>WAN Ping</v>
      </c>
    </row>
    <row r="8400" customFormat="false" ht="15" hidden="false" customHeight="false" outlineLevel="0" collapsed="false">
      <c r="A8400" s="3" t="s">
        <v>497</v>
      </c>
      <c r="B8400" s="4" t="s">
        <v>65</v>
      </c>
      <c r="C8400" s="4" t="n">
        <v>6</v>
      </c>
      <c r="D8400" s="4" t="s">
        <v>124</v>
      </c>
      <c r="E8400" s="3" t="s">
        <v>387</v>
      </c>
      <c r="F8400" s="4" t="str">
        <f aca="false">IF(I8400&gt;J8400,"Y","N")</f>
        <v>N</v>
      </c>
      <c r="G8400" s="3" t="s">
        <v>388</v>
      </c>
      <c r="H8400" s="3" t="s">
        <v>42</v>
      </c>
      <c r="I8400" s="4" t="n">
        <v>2</v>
      </c>
      <c r="J8400" s="4" t="n">
        <f aca="false">LEN(E8400)-LEN(SUBSTITUTE(E8400,",",""))+1</f>
        <v>2</v>
      </c>
      <c r="K8400" s="3" t="str">
        <f aca="false">IFERROR(INDEX('Teacher Lookup'!$B$2:$B$200,MATCH(A8400,'Teacher Lookup'!$A$2:$A$200,0)),"")</f>
        <v>WAN Ping</v>
      </c>
    </row>
    <row r="8401" customFormat="false" ht="15" hidden="false" customHeight="false" outlineLevel="0" collapsed="false">
      <c r="A8401" s="3" t="s">
        <v>497</v>
      </c>
      <c r="B8401" s="4" t="s">
        <v>65</v>
      </c>
      <c r="C8401" s="4" t="n">
        <v>6</v>
      </c>
      <c r="D8401" s="4" t="s">
        <v>24</v>
      </c>
      <c r="E8401" s="3" t="s">
        <v>384</v>
      </c>
      <c r="F8401" s="4" t="str">
        <f aca="false">IF(I8401&gt;J8401,"Y","N")</f>
        <v>Y</v>
      </c>
      <c r="G8401" s="3" t="s">
        <v>378</v>
      </c>
      <c r="H8401" s="3" t="s">
        <v>42</v>
      </c>
      <c r="I8401" s="4" t="n">
        <v>9</v>
      </c>
      <c r="J8401" s="4" t="n">
        <f aca="false">LEN(E8401)-LEN(SUBSTITUTE(E8401,",",""))+1</f>
        <v>8</v>
      </c>
      <c r="K8401" s="3" t="str">
        <f aca="false">IFERROR(INDEX('Teacher Lookup'!$B$2:$B$200,MATCH(A8401,'Teacher Lookup'!$A$2:$A$200,0)),"")</f>
        <v>WAN Ping</v>
      </c>
    </row>
    <row r="8402" customFormat="false" ht="15" hidden="false" customHeight="false" outlineLevel="0" collapsed="false">
      <c r="A8402" s="3" t="s">
        <v>497</v>
      </c>
      <c r="B8402" s="4" t="s">
        <v>65</v>
      </c>
      <c r="C8402" s="4" t="n">
        <v>6</v>
      </c>
      <c r="D8402" s="4" t="s">
        <v>27</v>
      </c>
      <c r="E8402" s="3" t="s">
        <v>384</v>
      </c>
      <c r="F8402" s="4" t="str">
        <f aca="false">IF(I8402&gt;J8402,"Y","N")</f>
        <v>Y</v>
      </c>
      <c r="G8402" s="3" t="s">
        <v>378</v>
      </c>
      <c r="H8402" s="3" t="s">
        <v>42</v>
      </c>
      <c r="I8402" s="4" t="n">
        <v>9</v>
      </c>
      <c r="J8402" s="4" t="n">
        <f aca="false">LEN(E8402)-LEN(SUBSTITUTE(E8402,",",""))+1</f>
        <v>8</v>
      </c>
      <c r="K8402" s="3" t="str">
        <f aca="false">IFERROR(INDEX('Teacher Lookup'!$B$2:$B$200,MATCH(A8402,'Teacher Lookup'!$A$2:$A$200,0)),"")</f>
        <v>WAN Ping</v>
      </c>
    </row>
    <row r="8403" customFormat="false" ht="15" hidden="false" customHeight="false" outlineLevel="0" collapsed="false">
      <c r="A8403" s="3" t="s">
        <v>497</v>
      </c>
      <c r="B8403" s="4" t="s">
        <v>65</v>
      </c>
      <c r="C8403" s="4" t="n">
        <v>6</v>
      </c>
      <c r="D8403" s="4" t="s">
        <v>28</v>
      </c>
      <c r="E8403" s="3" t="s">
        <v>384</v>
      </c>
      <c r="F8403" s="4" t="str">
        <f aca="false">IF(I8403&gt;J8403,"Y","N")</f>
        <v>Y</v>
      </c>
      <c r="G8403" s="3" t="s">
        <v>378</v>
      </c>
      <c r="H8403" s="3" t="s">
        <v>42</v>
      </c>
      <c r="I8403" s="4" t="n">
        <v>9</v>
      </c>
      <c r="J8403" s="4" t="n">
        <f aca="false">LEN(E8403)-LEN(SUBSTITUTE(E8403,",",""))+1</f>
        <v>8</v>
      </c>
      <c r="K8403" s="3" t="str">
        <f aca="false">IFERROR(INDEX('Teacher Lookup'!$B$2:$B$200,MATCH(A8403,'Teacher Lookup'!$A$2:$A$200,0)),"")</f>
        <v>WAN Ping</v>
      </c>
    </row>
    <row r="8404" customFormat="false" ht="15" hidden="false" customHeight="false" outlineLevel="0" collapsed="false">
      <c r="A8404" s="3" t="s">
        <v>497</v>
      </c>
      <c r="B8404" s="4" t="s">
        <v>65</v>
      </c>
      <c r="C8404" s="4" t="n">
        <v>6</v>
      </c>
      <c r="D8404" s="4" t="s">
        <v>29</v>
      </c>
      <c r="E8404" s="3" t="s">
        <v>384</v>
      </c>
      <c r="F8404" s="4" t="str">
        <f aca="false">IF(I8404&gt;J8404,"Y","N")</f>
        <v>Y</v>
      </c>
      <c r="G8404" s="3" t="s">
        <v>378</v>
      </c>
      <c r="H8404" s="3" t="s">
        <v>42</v>
      </c>
      <c r="I8404" s="4" t="n">
        <v>9</v>
      </c>
      <c r="J8404" s="4" t="n">
        <f aca="false">LEN(E8404)-LEN(SUBSTITUTE(E8404,",",""))+1</f>
        <v>8</v>
      </c>
      <c r="K8404" s="3" t="str">
        <f aca="false">IFERROR(INDEX('Teacher Lookup'!$B$2:$B$200,MATCH(A8404,'Teacher Lookup'!$A$2:$A$200,0)),"")</f>
        <v>WAN Ping</v>
      </c>
    </row>
    <row r="8405" customFormat="false" ht="15" hidden="false" customHeight="false" outlineLevel="0" collapsed="false">
      <c r="A8405" s="3" t="s">
        <v>497</v>
      </c>
      <c r="B8405" s="4" t="s">
        <v>65</v>
      </c>
      <c r="C8405" s="4" t="n">
        <v>6</v>
      </c>
      <c r="D8405" s="4" t="s">
        <v>30</v>
      </c>
      <c r="E8405" s="3" t="s">
        <v>384</v>
      </c>
      <c r="F8405" s="4" t="str">
        <f aca="false">IF(I8405&gt;J8405,"Y","N")</f>
        <v>Y</v>
      </c>
      <c r="G8405" s="3" t="s">
        <v>378</v>
      </c>
      <c r="H8405" s="3" t="s">
        <v>42</v>
      </c>
      <c r="I8405" s="4" t="n">
        <v>9</v>
      </c>
      <c r="J8405" s="4" t="n">
        <f aca="false">LEN(E8405)-LEN(SUBSTITUTE(E8405,",",""))+1</f>
        <v>8</v>
      </c>
      <c r="K8405" s="3" t="str">
        <f aca="false">IFERROR(INDEX('Teacher Lookup'!$B$2:$B$200,MATCH(A8405,'Teacher Lookup'!$A$2:$A$200,0)),"")</f>
        <v>WAN Ping</v>
      </c>
    </row>
    <row r="8406" customFormat="false" ht="15" hidden="false" customHeight="false" outlineLevel="0" collapsed="false">
      <c r="A8406" s="3" t="s">
        <v>497</v>
      </c>
      <c r="B8406" s="4" t="s">
        <v>65</v>
      </c>
      <c r="C8406" s="4" t="n">
        <v>7</v>
      </c>
      <c r="D8406" s="4" t="s">
        <v>137</v>
      </c>
      <c r="E8406" s="3" t="s">
        <v>387</v>
      </c>
      <c r="F8406" s="4" t="str">
        <f aca="false">IF(I8406&gt;J8406,"Y","N")</f>
        <v>N</v>
      </c>
      <c r="G8406" s="3" t="s">
        <v>388</v>
      </c>
      <c r="H8406" s="3" t="s">
        <v>39</v>
      </c>
      <c r="I8406" s="4" t="n">
        <v>2</v>
      </c>
      <c r="J8406" s="4" t="n">
        <f aca="false">LEN(E8406)-LEN(SUBSTITUTE(E8406,",",""))+1</f>
        <v>2</v>
      </c>
      <c r="K8406" s="3" t="str">
        <f aca="false">IFERROR(INDEX('Teacher Lookup'!$B$2:$B$200,MATCH(A8406,'Teacher Lookup'!$A$2:$A$200,0)),"")</f>
        <v>WAN Ping</v>
      </c>
    </row>
    <row r="8407" customFormat="false" ht="15" hidden="false" customHeight="false" outlineLevel="0" collapsed="false">
      <c r="A8407" s="3" t="s">
        <v>497</v>
      </c>
      <c r="B8407" s="4" t="s">
        <v>65</v>
      </c>
      <c r="C8407" s="4" t="n">
        <v>7</v>
      </c>
      <c r="D8407" s="4" t="s">
        <v>124</v>
      </c>
      <c r="E8407" s="3" t="s">
        <v>387</v>
      </c>
      <c r="F8407" s="4" t="str">
        <f aca="false">IF(I8407&gt;J8407,"Y","N")</f>
        <v>N</v>
      </c>
      <c r="G8407" s="3" t="s">
        <v>388</v>
      </c>
      <c r="H8407" s="3" t="s">
        <v>39</v>
      </c>
      <c r="I8407" s="4" t="n">
        <v>2</v>
      </c>
      <c r="J8407" s="4" t="n">
        <f aca="false">LEN(E8407)-LEN(SUBSTITUTE(E8407,",",""))+1</f>
        <v>2</v>
      </c>
      <c r="K8407" s="3" t="str">
        <f aca="false">IFERROR(INDEX('Teacher Lookup'!$B$2:$B$200,MATCH(A8407,'Teacher Lookup'!$A$2:$A$200,0)),"")</f>
        <v>WAN Ping</v>
      </c>
    </row>
    <row r="8408" customFormat="false" ht="15" hidden="false" customHeight="false" outlineLevel="0" collapsed="false">
      <c r="A8408" s="3" t="s">
        <v>497</v>
      </c>
      <c r="B8408" s="4" t="s">
        <v>66</v>
      </c>
      <c r="C8408" s="4" t="n">
        <v>1</v>
      </c>
      <c r="D8408" s="4" t="s">
        <v>29</v>
      </c>
      <c r="E8408" s="3" t="s">
        <v>387</v>
      </c>
      <c r="F8408" s="4" t="str">
        <f aca="false">IF(I8408&gt;J8408,"Y","N")</f>
        <v>N</v>
      </c>
      <c r="G8408" s="3" t="s">
        <v>388</v>
      </c>
      <c r="H8408" s="3" t="s">
        <v>16</v>
      </c>
      <c r="I8408" s="4" t="n">
        <v>2</v>
      </c>
      <c r="J8408" s="4" t="n">
        <f aca="false">LEN(E8408)-LEN(SUBSTITUTE(E8408,",",""))+1</f>
        <v>2</v>
      </c>
      <c r="K8408" s="3" t="str">
        <f aca="false">IFERROR(INDEX('Teacher Lookup'!$B$2:$B$200,MATCH(A8408,'Teacher Lookup'!$A$2:$A$200,0)),"")</f>
        <v>WAN Ping</v>
      </c>
    </row>
    <row r="8409" customFormat="false" ht="15" hidden="false" customHeight="false" outlineLevel="0" collapsed="false">
      <c r="A8409" s="3" t="s">
        <v>497</v>
      </c>
      <c r="B8409" s="4" t="s">
        <v>66</v>
      </c>
      <c r="C8409" s="4" t="n">
        <v>1</v>
      </c>
      <c r="D8409" s="4" t="s">
        <v>30</v>
      </c>
      <c r="E8409" s="3" t="s">
        <v>387</v>
      </c>
      <c r="F8409" s="4" t="str">
        <f aca="false">IF(I8409&gt;J8409,"Y","N")</f>
        <v>N</v>
      </c>
      <c r="G8409" s="3" t="s">
        <v>388</v>
      </c>
      <c r="H8409" s="3" t="s">
        <v>16</v>
      </c>
      <c r="I8409" s="4" t="n">
        <v>2</v>
      </c>
      <c r="J8409" s="4" t="n">
        <f aca="false">LEN(E8409)-LEN(SUBSTITUTE(E8409,",",""))+1</f>
        <v>2</v>
      </c>
      <c r="K8409" s="3" t="str">
        <f aca="false">IFERROR(INDEX('Teacher Lookup'!$B$2:$B$200,MATCH(A8409,'Teacher Lookup'!$A$2:$A$200,0)),"")</f>
        <v>WAN Ping</v>
      </c>
    </row>
    <row r="8410" customFormat="false" ht="15" hidden="false" customHeight="false" outlineLevel="0" collapsed="false">
      <c r="A8410" s="3" t="s">
        <v>497</v>
      </c>
      <c r="B8410" s="4" t="s">
        <v>66</v>
      </c>
      <c r="C8410" s="4" t="n">
        <v>2</v>
      </c>
      <c r="D8410" s="4" t="s">
        <v>29</v>
      </c>
      <c r="E8410" s="3" t="s">
        <v>387</v>
      </c>
      <c r="F8410" s="4" t="str">
        <f aca="false">IF(I8410&gt;J8410,"Y","N")</f>
        <v>N</v>
      </c>
      <c r="G8410" s="3" t="s">
        <v>388</v>
      </c>
      <c r="H8410" s="3" t="s">
        <v>21</v>
      </c>
      <c r="I8410" s="4" t="n">
        <v>2</v>
      </c>
      <c r="J8410" s="4" t="n">
        <f aca="false">LEN(E8410)-LEN(SUBSTITUTE(E8410,",",""))+1</f>
        <v>2</v>
      </c>
      <c r="K8410" s="3" t="str">
        <f aca="false">IFERROR(INDEX('Teacher Lookup'!$B$2:$B$200,MATCH(A8410,'Teacher Lookup'!$A$2:$A$200,0)),"")</f>
        <v>WAN Ping</v>
      </c>
    </row>
    <row r="8411" customFormat="false" ht="15" hidden="false" customHeight="false" outlineLevel="0" collapsed="false">
      <c r="A8411" s="3" t="s">
        <v>497</v>
      </c>
      <c r="B8411" s="4" t="s">
        <v>66</v>
      </c>
      <c r="C8411" s="4" t="n">
        <v>2</v>
      </c>
      <c r="D8411" s="4" t="s">
        <v>30</v>
      </c>
      <c r="E8411" s="3" t="s">
        <v>387</v>
      </c>
      <c r="F8411" s="4" t="str">
        <f aca="false">IF(I8411&gt;J8411,"Y","N")</f>
        <v>N</v>
      </c>
      <c r="G8411" s="3" t="s">
        <v>388</v>
      </c>
      <c r="H8411" s="3" t="s">
        <v>21</v>
      </c>
      <c r="I8411" s="4" t="n">
        <v>2</v>
      </c>
      <c r="J8411" s="4" t="n">
        <f aca="false">LEN(E8411)-LEN(SUBSTITUTE(E8411,",",""))+1</f>
        <v>2</v>
      </c>
      <c r="K8411" s="3" t="str">
        <f aca="false">IFERROR(INDEX('Teacher Lookup'!$B$2:$B$200,MATCH(A8411,'Teacher Lookup'!$A$2:$A$200,0)),"")</f>
        <v>WAN Ping</v>
      </c>
    </row>
    <row r="8412" customFormat="false" ht="15" hidden="false" customHeight="false" outlineLevel="0" collapsed="false">
      <c r="A8412" s="3" t="s">
        <v>497</v>
      </c>
      <c r="B8412" s="4" t="s">
        <v>66</v>
      </c>
      <c r="C8412" s="4" t="n">
        <v>3</v>
      </c>
      <c r="D8412" s="4" t="s">
        <v>139</v>
      </c>
      <c r="E8412" s="3" t="s">
        <v>387</v>
      </c>
      <c r="F8412" s="4" t="str">
        <f aca="false">IF(I8412&gt;J8412,"Y","N")</f>
        <v>N</v>
      </c>
      <c r="G8412" s="3" t="s">
        <v>388</v>
      </c>
      <c r="H8412" s="3" t="s">
        <v>26</v>
      </c>
      <c r="I8412" s="4" t="n">
        <v>2</v>
      </c>
      <c r="J8412" s="4" t="n">
        <f aca="false">LEN(E8412)-LEN(SUBSTITUTE(E8412,",",""))+1</f>
        <v>2</v>
      </c>
      <c r="K8412" s="3" t="str">
        <f aca="false">IFERROR(INDEX('Teacher Lookup'!$B$2:$B$200,MATCH(A8412,'Teacher Lookup'!$A$2:$A$200,0)),"")</f>
        <v>WAN Ping</v>
      </c>
    </row>
    <row r="8413" customFormat="false" ht="15" hidden="false" customHeight="false" outlineLevel="0" collapsed="false">
      <c r="A8413" s="3" t="s">
        <v>497</v>
      </c>
      <c r="B8413" s="4" t="s">
        <v>66</v>
      </c>
      <c r="C8413" s="4" t="n">
        <v>3</v>
      </c>
      <c r="D8413" s="4" t="s">
        <v>127</v>
      </c>
      <c r="E8413" s="3" t="s">
        <v>387</v>
      </c>
      <c r="F8413" s="4" t="str">
        <f aca="false">IF(I8413&gt;J8413,"Y","N")</f>
        <v>N</v>
      </c>
      <c r="G8413" s="3" t="s">
        <v>388</v>
      </c>
      <c r="H8413" s="3" t="s">
        <v>26</v>
      </c>
      <c r="I8413" s="4" t="n">
        <v>2</v>
      </c>
      <c r="J8413" s="4" t="n">
        <f aca="false">LEN(E8413)-LEN(SUBSTITUTE(E8413,",",""))+1</f>
        <v>2</v>
      </c>
      <c r="K8413" s="3" t="str">
        <f aca="false">IFERROR(INDEX('Teacher Lookup'!$B$2:$B$200,MATCH(A8413,'Teacher Lookup'!$A$2:$A$200,0)),"")</f>
        <v>WAN Ping</v>
      </c>
    </row>
    <row r="8414" customFormat="false" ht="15" hidden="false" customHeight="false" outlineLevel="0" collapsed="false">
      <c r="A8414" s="3" t="s">
        <v>497</v>
      </c>
      <c r="B8414" s="4" t="s">
        <v>66</v>
      </c>
      <c r="C8414" s="4" t="n">
        <v>4</v>
      </c>
      <c r="D8414" s="4" t="s">
        <v>139</v>
      </c>
      <c r="E8414" s="3" t="s">
        <v>387</v>
      </c>
      <c r="F8414" s="4" t="str">
        <f aca="false">IF(I8414&gt;J8414,"Y","N")</f>
        <v>N</v>
      </c>
      <c r="G8414" s="3" t="s">
        <v>388</v>
      </c>
      <c r="H8414" s="3" t="s">
        <v>34</v>
      </c>
      <c r="I8414" s="4" t="n">
        <v>2</v>
      </c>
      <c r="J8414" s="4" t="n">
        <f aca="false">LEN(E8414)-LEN(SUBSTITUTE(E8414,",",""))+1</f>
        <v>2</v>
      </c>
      <c r="K8414" s="3" t="str">
        <f aca="false">IFERROR(INDEX('Teacher Lookup'!$B$2:$B$200,MATCH(A8414,'Teacher Lookup'!$A$2:$A$200,0)),"")</f>
        <v>WAN Ping</v>
      </c>
    </row>
    <row r="8415" customFormat="false" ht="15" hidden="false" customHeight="false" outlineLevel="0" collapsed="false">
      <c r="A8415" s="3" t="s">
        <v>497</v>
      </c>
      <c r="B8415" s="4" t="s">
        <v>66</v>
      </c>
      <c r="C8415" s="4" t="n">
        <v>4</v>
      </c>
      <c r="D8415" s="4" t="s">
        <v>127</v>
      </c>
      <c r="E8415" s="3" t="s">
        <v>387</v>
      </c>
      <c r="F8415" s="4" t="str">
        <f aca="false">IF(I8415&gt;J8415,"Y","N")</f>
        <v>N</v>
      </c>
      <c r="G8415" s="3" t="s">
        <v>388</v>
      </c>
      <c r="H8415" s="3" t="s">
        <v>34</v>
      </c>
      <c r="I8415" s="4" t="n">
        <v>2</v>
      </c>
      <c r="J8415" s="4" t="n">
        <f aca="false">LEN(E8415)-LEN(SUBSTITUTE(E8415,",",""))+1</f>
        <v>2</v>
      </c>
      <c r="K8415" s="3" t="str">
        <f aca="false">IFERROR(INDEX('Teacher Lookup'!$B$2:$B$200,MATCH(A8415,'Teacher Lookup'!$A$2:$A$200,0)),"")</f>
        <v>WAN Ping</v>
      </c>
    </row>
    <row r="8416" customFormat="false" ht="15" hidden="false" customHeight="false" outlineLevel="0" collapsed="false">
      <c r="A8416" s="3" t="s">
        <v>498</v>
      </c>
      <c r="B8416" s="4" t="s">
        <v>12</v>
      </c>
      <c r="C8416" s="4" t="n">
        <v>1</v>
      </c>
      <c r="D8416" s="4" t="s">
        <v>102</v>
      </c>
      <c r="E8416" s="3" t="s">
        <v>309</v>
      </c>
      <c r="F8416" s="4" t="str">
        <f aca="false">IF(I8416&gt;J8416,"Y","N")</f>
        <v>Y</v>
      </c>
      <c r="G8416" s="3" t="s">
        <v>310</v>
      </c>
      <c r="H8416" s="3" t="s">
        <v>16</v>
      </c>
      <c r="I8416" s="4" t="n">
        <v>7</v>
      </c>
      <c r="J8416" s="4" t="n">
        <f aca="false">LEN(E8416)-LEN(SUBSTITUTE(E8416,",",""))+1</f>
        <v>6</v>
      </c>
      <c r="K8416" s="3" t="str">
        <f aca="false">IFERROR(INDEX('Teacher Lookup'!$B$2:$B$200,MATCH(A8416,'Teacher Lookup'!$A$2:$A$200,0)),"")</f>
        <v>LAU Rachel</v>
      </c>
    </row>
    <row r="8417" customFormat="false" ht="15" hidden="false" customHeight="false" outlineLevel="0" collapsed="false">
      <c r="A8417" s="3" t="s">
        <v>498</v>
      </c>
      <c r="B8417" s="4" t="s">
        <v>12</v>
      </c>
      <c r="C8417" s="4" t="n">
        <v>1</v>
      </c>
      <c r="D8417" s="4" t="s">
        <v>105</v>
      </c>
      <c r="E8417" s="3" t="s">
        <v>309</v>
      </c>
      <c r="F8417" s="4" t="str">
        <f aca="false">IF(I8417&gt;J8417,"Y","N")</f>
        <v>Y</v>
      </c>
      <c r="G8417" s="3" t="s">
        <v>310</v>
      </c>
      <c r="H8417" s="3" t="s">
        <v>16</v>
      </c>
      <c r="I8417" s="4" t="n">
        <v>7</v>
      </c>
      <c r="J8417" s="4" t="n">
        <f aca="false">LEN(E8417)-LEN(SUBSTITUTE(E8417,",",""))+1</f>
        <v>6</v>
      </c>
      <c r="K8417" s="3" t="str">
        <f aca="false">IFERROR(INDEX('Teacher Lookup'!$B$2:$B$200,MATCH(A8417,'Teacher Lookup'!$A$2:$A$200,0)),"")</f>
        <v>LAU Rachel</v>
      </c>
    </row>
    <row r="8418" customFormat="false" ht="15" hidden="false" customHeight="false" outlineLevel="0" collapsed="false">
      <c r="A8418" s="3" t="s">
        <v>498</v>
      </c>
      <c r="B8418" s="4" t="s">
        <v>12</v>
      </c>
      <c r="C8418" s="4" t="n">
        <v>1</v>
      </c>
      <c r="D8418" s="4" t="s">
        <v>106</v>
      </c>
      <c r="E8418" s="3" t="s">
        <v>309</v>
      </c>
      <c r="F8418" s="4" t="str">
        <f aca="false">IF(I8418&gt;J8418,"Y","N")</f>
        <v>Y</v>
      </c>
      <c r="G8418" s="3" t="s">
        <v>310</v>
      </c>
      <c r="H8418" s="3" t="s">
        <v>16</v>
      </c>
      <c r="I8418" s="4" t="n">
        <v>7</v>
      </c>
      <c r="J8418" s="4" t="n">
        <f aca="false">LEN(E8418)-LEN(SUBSTITUTE(E8418,",",""))+1</f>
        <v>6</v>
      </c>
      <c r="K8418" s="3" t="str">
        <f aca="false">IFERROR(INDEX('Teacher Lookup'!$B$2:$B$200,MATCH(A8418,'Teacher Lookup'!$A$2:$A$200,0)),"")</f>
        <v>LAU Rachel</v>
      </c>
    </row>
    <row r="8419" customFormat="false" ht="15" hidden="false" customHeight="false" outlineLevel="0" collapsed="false">
      <c r="A8419" s="3" t="s">
        <v>498</v>
      </c>
      <c r="B8419" s="4" t="s">
        <v>12</v>
      </c>
      <c r="C8419" s="4" t="n">
        <v>1</v>
      </c>
      <c r="D8419" s="4" t="s">
        <v>107</v>
      </c>
      <c r="E8419" s="3" t="s">
        <v>309</v>
      </c>
      <c r="F8419" s="4" t="str">
        <f aca="false">IF(I8419&gt;J8419,"Y","N")</f>
        <v>Y</v>
      </c>
      <c r="G8419" s="3" t="s">
        <v>310</v>
      </c>
      <c r="H8419" s="3" t="s">
        <v>16</v>
      </c>
      <c r="I8419" s="4" t="n">
        <v>7</v>
      </c>
      <c r="J8419" s="4" t="n">
        <f aca="false">LEN(E8419)-LEN(SUBSTITUTE(E8419,",",""))+1</f>
        <v>6</v>
      </c>
      <c r="K8419" s="3" t="str">
        <f aca="false">IFERROR(INDEX('Teacher Lookup'!$B$2:$B$200,MATCH(A8419,'Teacher Lookup'!$A$2:$A$200,0)),"")</f>
        <v>LAU Rachel</v>
      </c>
    </row>
    <row r="8420" customFormat="false" ht="15" hidden="false" customHeight="false" outlineLevel="0" collapsed="false">
      <c r="A8420" s="3" t="s">
        <v>498</v>
      </c>
      <c r="B8420" s="4" t="s">
        <v>12</v>
      </c>
      <c r="C8420" s="4" t="n">
        <v>4</v>
      </c>
      <c r="D8420" s="4" t="s">
        <v>102</v>
      </c>
      <c r="E8420" s="3" t="s">
        <v>103</v>
      </c>
      <c r="F8420" s="4" t="str">
        <f aca="false">IF(I8420&gt;J8420,"Y","N")</f>
        <v>N</v>
      </c>
      <c r="G8420" s="3" t="s">
        <v>104</v>
      </c>
      <c r="H8420" s="3" t="s">
        <v>34</v>
      </c>
      <c r="I8420" s="4" t="n">
        <v>6</v>
      </c>
      <c r="J8420" s="4" t="n">
        <f aca="false">LEN(E8420)-LEN(SUBSTITUTE(E8420,",",""))+1</f>
        <v>6</v>
      </c>
      <c r="K8420" s="3" t="str">
        <f aca="false">IFERROR(INDEX('Teacher Lookup'!$B$2:$B$200,MATCH(A8420,'Teacher Lookup'!$A$2:$A$200,0)),"")</f>
        <v>LAU Rachel</v>
      </c>
    </row>
    <row r="8421" customFormat="false" ht="15" hidden="false" customHeight="false" outlineLevel="0" collapsed="false">
      <c r="A8421" s="3" t="s">
        <v>498</v>
      </c>
      <c r="B8421" s="4" t="s">
        <v>12</v>
      </c>
      <c r="C8421" s="4" t="n">
        <v>4</v>
      </c>
      <c r="D8421" s="4" t="s">
        <v>105</v>
      </c>
      <c r="E8421" s="3" t="s">
        <v>103</v>
      </c>
      <c r="F8421" s="4" t="str">
        <f aca="false">IF(I8421&gt;J8421,"Y","N")</f>
        <v>N</v>
      </c>
      <c r="G8421" s="3" t="s">
        <v>104</v>
      </c>
      <c r="H8421" s="3" t="s">
        <v>34</v>
      </c>
      <c r="I8421" s="4" t="n">
        <v>6</v>
      </c>
      <c r="J8421" s="4" t="n">
        <f aca="false">LEN(E8421)-LEN(SUBSTITUTE(E8421,",",""))+1</f>
        <v>6</v>
      </c>
      <c r="K8421" s="3" t="str">
        <f aca="false">IFERROR(INDEX('Teacher Lookup'!$B$2:$B$200,MATCH(A8421,'Teacher Lookup'!$A$2:$A$200,0)),"")</f>
        <v>LAU Rachel</v>
      </c>
    </row>
    <row r="8422" customFormat="false" ht="15" hidden="false" customHeight="false" outlineLevel="0" collapsed="false">
      <c r="A8422" s="3" t="s">
        <v>498</v>
      </c>
      <c r="B8422" s="4" t="s">
        <v>12</v>
      </c>
      <c r="C8422" s="4" t="n">
        <v>4</v>
      </c>
      <c r="D8422" s="4" t="s">
        <v>106</v>
      </c>
      <c r="E8422" s="3" t="s">
        <v>103</v>
      </c>
      <c r="F8422" s="4" t="str">
        <f aca="false">IF(I8422&gt;J8422,"Y","N")</f>
        <v>N</v>
      </c>
      <c r="G8422" s="3" t="s">
        <v>104</v>
      </c>
      <c r="H8422" s="3" t="s">
        <v>34</v>
      </c>
      <c r="I8422" s="4" t="n">
        <v>6</v>
      </c>
      <c r="J8422" s="4" t="n">
        <f aca="false">LEN(E8422)-LEN(SUBSTITUTE(E8422,",",""))+1</f>
        <v>6</v>
      </c>
      <c r="K8422" s="3" t="str">
        <f aca="false">IFERROR(INDEX('Teacher Lookup'!$B$2:$B$200,MATCH(A8422,'Teacher Lookup'!$A$2:$A$200,0)),"")</f>
        <v>LAU Rachel</v>
      </c>
    </row>
    <row r="8423" customFormat="false" ht="15" hidden="false" customHeight="false" outlineLevel="0" collapsed="false">
      <c r="A8423" s="3" t="s">
        <v>498</v>
      </c>
      <c r="B8423" s="4" t="s">
        <v>12</v>
      </c>
      <c r="C8423" s="4" t="n">
        <v>4</v>
      </c>
      <c r="D8423" s="4" t="s">
        <v>107</v>
      </c>
      <c r="E8423" s="3" t="s">
        <v>103</v>
      </c>
      <c r="F8423" s="4" t="str">
        <f aca="false">IF(I8423&gt;J8423,"Y","N")</f>
        <v>N</v>
      </c>
      <c r="G8423" s="3" t="s">
        <v>104</v>
      </c>
      <c r="H8423" s="3" t="s">
        <v>34</v>
      </c>
      <c r="I8423" s="4" t="n">
        <v>6</v>
      </c>
      <c r="J8423" s="4" t="n">
        <f aca="false">LEN(E8423)-LEN(SUBSTITUTE(E8423,",",""))+1</f>
        <v>6</v>
      </c>
      <c r="K8423" s="3" t="str">
        <f aca="false">IFERROR(INDEX('Teacher Lookup'!$B$2:$B$200,MATCH(A8423,'Teacher Lookup'!$A$2:$A$200,0)),"")</f>
        <v>LAU Rachel</v>
      </c>
    </row>
    <row r="8424" customFormat="false" ht="15" hidden="false" customHeight="false" outlineLevel="0" collapsed="false">
      <c r="A8424" s="3" t="s">
        <v>498</v>
      </c>
      <c r="B8424" s="4" t="s">
        <v>12</v>
      </c>
      <c r="C8424" s="4" t="n">
        <v>5</v>
      </c>
      <c r="D8424" s="4" t="s">
        <v>102</v>
      </c>
      <c r="E8424" s="3" t="s">
        <v>103</v>
      </c>
      <c r="F8424" s="4" t="str">
        <f aca="false">IF(I8424&gt;J8424,"Y","N")</f>
        <v>N</v>
      </c>
      <c r="G8424" s="3" t="s">
        <v>104</v>
      </c>
      <c r="H8424" s="3" t="s">
        <v>37</v>
      </c>
      <c r="I8424" s="4" t="n">
        <v>6</v>
      </c>
      <c r="J8424" s="4" t="n">
        <f aca="false">LEN(E8424)-LEN(SUBSTITUTE(E8424,",",""))+1</f>
        <v>6</v>
      </c>
      <c r="K8424" s="3" t="str">
        <f aca="false">IFERROR(INDEX('Teacher Lookup'!$B$2:$B$200,MATCH(A8424,'Teacher Lookup'!$A$2:$A$200,0)),"")</f>
        <v>LAU Rachel</v>
      </c>
    </row>
    <row r="8425" customFormat="false" ht="15" hidden="false" customHeight="false" outlineLevel="0" collapsed="false">
      <c r="A8425" s="3" t="s">
        <v>498</v>
      </c>
      <c r="B8425" s="4" t="s">
        <v>12</v>
      </c>
      <c r="C8425" s="4" t="n">
        <v>5</v>
      </c>
      <c r="D8425" s="4" t="s">
        <v>105</v>
      </c>
      <c r="E8425" s="3" t="s">
        <v>103</v>
      </c>
      <c r="F8425" s="4" t="str">
        <f aca="false">IF(I8425&gt;J8425,"Y","N")</f>
        <v>N</v>
      </c>
      <c r="G8425" s="3" t="s">
        <v>104</v>
      </c>
      <c r="H8425" s="3" t="s">
        <v>37</v>
      </c>
      <c r="I8425" s="4" t="n">
        <v>6</v>
      </c>
      <c r="J8425" s="4" t="n">
        <f aca="false">LEN(E8425)-LEN(SUBSTITUTE(E8425,",",""))+1</f>
        <v>6</v>
      </c>
      <c r="K8425" s="3" t="str">
        <f aca="false">IFERROR(INDEX('Teacher Lookup'!$B$2:$B$200,MATCH(A8425,'Teacher Lookup'!$A$2:$A$200,0)),"")</f>
        <v>LAU Rachel</v>
      </c>
    </row>
    <row r="8426" customFormat="false" ht="15" hidden="false" customHeight="false" outlineLevel="0" collapsed="false">
      <c r="A8426" s="3" t="s">
        <v>498</v>
      </c>
      <c r="B8426" s="4" t="s">
        <v>12</v>
      </c>
      <c r="C8426" s="4" t="n">
        <v>5</v>
      </c>
      <c r="D8426" s="4" t="s">
        <v>106</v>
      </c>
      <c r="E8426" s="3" t="s">
        <v>103</v>
      </c>
      <c r="F8426" s="4" t="str">
        <f aca="false">IF(I8426&gt;J8426,"Y","N")</f>
        <v>N</v>
      </c>
      <c r="G8426" s="3" t="s">
        <v>104</v>
      </c>
      <c r="H8426" s="3" t="s">
        <v>37</v>
      </c>
      <c r="I8426" s="4" t="n">
        <v>6</v>
      </c>
      <c r="J8426" s="4" t="n">
        <f aca="false">LEN(E8426)-LEN(SUBSTITUTE(E8426,",",""))+1</f>
        <v>6</v>
      </c>
      <c r="K8426" s="3" t="str">
        <f aca="false">IFERROR(INDEX('Teacher Lookup'!$B$2:$B$200,MATCH(A8426,'Teacher Lookup'!$A$2:$A$200,0)),"")</f>
        <v>LAU Rachel</v>
      </c>
    </row>
    <row r="8427" customFormat="false" ht="15" hidden="false" customHeight="false" outlineLevel="0" collapsed="false">
      <c r="A8427" s="3" t="s">
        <v>498</v>
      </c>
      <c r="B8427" s="4" t="s">
        <v>12</v>
      </c>
      <c r="C8427" s="4" t="n">
        <v>5</v>
      </c>
      <c r="D8427" s="4" t="s">
        <v>107</v>
      </c>
      <c r="E8427" s="3" t="s">
        <v>103</v>
      </c>
      <c r="F8427" s="4" t="str">
        <f aca="false">IF(I8427&gt;J8427,"Y","N")</f>
        <v>N</v>
      </c>
      <c r="G8427" s="3" t="s">
        <v>104</v>
      </c>
      <c r="H8427" s="3" t="s">
        <v>37</v>
      </c>
      <c r="I8427" s="4" t="n">
        <v>6</v>
      </c>
      <c r="J8427" s="4" t="n">
        <f aca="false">LEN(E8427)-LEN(SUBSTITUTE(E8427,",",""))+1</f>
        <v>6</v>
      </c>
      <c r="K8427" s="3" t="str">
        <f aca="false">IFERROR(INDEX('Teacher Lookup'!$B$2:$B$200,MATCH(A8427,'Teacher Lookup'!$A$2:$A$200,0)),"")</f>
        <v>LAU Rachel</v>
      </c>
    </row>
    <row r="8428" customFormat="false" ht="15" hidden="false" customHeight="false" outlineLevel="0" collapsed="false">
      <c r="A8428" s="3" t="s">
        <v>498</v>
      </c>
      <c r="B8428" s="4" t="s">
        <v>31</v>
      </c>
      <c r="C8428" s="4" t="n">
        <v>2</v>
      </c>
      <c r="D8428" s="4" t="s">
        <v>24</v>
      </c>
      <c r="E8428" s="3" t="s">
        <v>377</v>
      </c>
      <c r="F8428" s="4" t="str">
        <f aca="false">IF(I8428&gt;J8428,"Y","N")</f>
        <v>N</v>
      </c>
      <c r="G8428" s="3" t="s">
        <v>378</v>
      </c>
      <c r="H8428" s="3" t="s">
        <v>21</v>
      </c>
      <c r="I8428" s="4" t="n">
        <v>8</v>
      </c>
      <c r="J8428" s="4" t="n">
        <f aca="false">LEN(E8428)-LEN(SUBSTITUTE(E8428,",",""))+1</f>
        <v>8</v>
      </c>
      <c r="K8428" s="3" t="str">
        <f aca="false">IFERROR(INDEX('Teacher Lookup'!$B$2:$B$200,MATCH(A8428,'Teacher Lookup'!$A$2:$A$200,0)),"")</f>
        <v>LAU Rachel</v>
      </c>
    </row>
    <row r="8429" customFormat="false" ht="15" hidden="false" customHeight="false" outlineLevel="0" collapsed="false">
      <c r="A8429" s="3" t="s">
        <v>498</v>
      </c>
      <c r="B8429" s="4" t="s">
        <v>31</v>
      </c>
      <c r="C8429" s="4" t="n">
        <v>2</v>
      </c>
      <c r="D8429" s="4" t="s">
        <v>27</v>
      </c>
      <c r="E8429" s="3" t="s">
        <v>377</v>
      </c>
      <c r="F8429" s="4" t="str">
        <f aca="false">IF(I8429&gt;J8429,"Y","N")</f>
        <v>N</v>
      </c>
      <c r="G8429" s="3" t="s">
        <v>378</v>
      </c>
      <c r="H8429" s="3" t="s">
        <v>21</v>
      </c>
      <c r="I8429" s="4" t="n">
        <v>8</v>
      </c>
      <c r="J8429" s="4" t="n">
        <f aca="false">LEN(E8429)-LEN(SUBSTITUTE(E8429,",",""))+1</f>
        <v>8</v>
      </c>
      <c r="K8429" s="3" t="str">
        <f aca="false">IFERROR(INDEX('Teacher Lookup'!$B$2:$B$200,MATCH(A8429,'Teacher Lookup'!$A$2:$A$200,0)),"")</f>
        <v>LAU Rachel</v>
      </c>
    </row>
    <row r="8430" customFormat="false" ht="15" hidden="false" customHeight="false" outlineLevel="0" collapsed="false">
      <c r="A8430" s="3" t="s">
        <v>498</v>
      </c>
      <c r="B8430" s="4" t="s">
        <v>31</v>
      </c>
      <c r="C8430" s="4" t="n">
        <v>2</v>
      </c>
      <c r="D8430" s="4" t="s">
        <v>28</v>
      </c>
      <c r="E8430" s="3" t="s">
        <v>377</v>
      </c>
      <c r="F8430" s="4" t="str">
        <f aca="false">IF(I8430&gt;J8430,"Y","N")</f>
        <v>N</v>
      </c>
      <c r="G8430" s="3" t="s">
        <v>378</v>
      </c>
      <c r="H8430" s="3" t="s">
        <v>21</v>
      </c>
      <c r="I8430" s="4" t="n">
        <v>8</v>
      </c>
      <c r="J8430" s="4" t="n">
        <f aca="false">LEN(E8430)-LEN(SUBSTITUTE(E8430,",",""))+1</f>
        <v>8</v>
      </c>
      <c r="K8430" s="3" t="str">
        <f aca="false">IFERROR(INDEX('Teacher Lookup'!$B$2:$B$200,MATCH(A8430,'Teacher Lookup'!$A$2:$A$200,0)),"")</f>
        <v>LAU Rachel</v>
      </c>
    </row>
    <row r="8431" customFormat="false" ht="15" hidden="false" customHeight="false" outlineLevel="0" collapsed="false">
      <c r="A8431" s="3" t="s">
        <v>498</v>
      </c>
      <c r="B8431" s="4" t="s">
        <v>31</v>
      </c>
      <c r="C8431" s="4" t="n">
        <v>2</v>
      </c>
      <c r="D8431" s="4" t="s">
        <v>29</v>
      </c>
      <c r="E8431" s="3" t="s">
        <v>377</v>
      </c>
      <c r="F8431" s="4" t="str">
        <f aca="false">IF(I8431&gt;J8431,"Y","N")</f>
        <v>N</v>
      </c>
      <c r="G8431" s="3" t="s">
        <v>378</v>
      </c>
      <c r="H8431" s="3" t="s">
        <v>21</v>
      </c>
      <c r="I8431" s="4" t="n">
        <v>8</v>
      </c>
      <c r="J8431" s="4" t="n">
        <f aca="false">LEN(E8431)-LEN(SUBSTITUTE(E8431,",",""))+1</f>
        <v>8</v>
      </c>
      <c r="K8431" s="3" t="str">
        <f aca="false">IFERROR(INDEX('Teacher Lookup'!$B$2:$B$200,MATCH(A8431,'Teacher Lookup'!$A$2:$A$200,0)),"")</f>
        <v>LAU Rachel</v>
      </c>
    </row>
    <row r="8432" customFormat="false" ht="15" hidden="false" customHeight="false" outlineLevel="0" collapsed="false">
      <c r="A8432" s="3" t="s">
        <v>498</v>
      </c>
      <c r="B8432" s="4" t="s">
        <v>31</v>
      </c>
      <c r="C8432" s="4" t="n">
        <v>2</v>
      </c>
      <c r="D8432" s="4" t="s">
        <v>30</v>
      </c>
      <c r="E8432" s="3" t="s">
        <v>377</v>
      </c>
      <c r="F8432" s="4" t="str">
        <f aca="false">IF(I8432&gt;J8432,"Y","N")</f>
        <v>N</v>
      </c>
      <c r="G8432" s="3" t="s">
        <v>378</v>
      </c>
      <c r="H8432" s="3" t="s">
        <v>21</v>
      </c>
      <c r="I8432" s="4" t="n">
        <v>8</v>
      </c>
      <c r="J8432" s="4" t="n">
        <f aca="false">LEN(E8432)-LEN(SUBSTITUTE(E8432,",",""))+1</f>
        <v>8</v>
      </c>
      <c r="K8432" s="3" t="str">
        <f aca="false">IFERROR(INDEX('Teacher Lookup'!$B$2:$B$200,MATCH(A8432,'Teacher Lookup'!$A$2:$A$200,0)),"")</f>
        <v>LAU Rachel</v>
      </c>
    </row>
    <row r="8433" customFormat="false" ht="15" hidden="false" customHeight="false" outlineLevel="0" collapsed="false">
      <c r="A8433" s="3" t="s">
        <v>498</v>
      </c>
      <c r="B8433" s="4" t="s">
        <v>31</v>
      </c>
      <c r="C8433" s="4" t="n">
        <v>3</v>
      </c>
      <c r="D8433" s="4" t="s">
        <v>102</v>
      </c>
      <c r="E8433" s="3" t="s">
        <v>110</v>
      </c>
      <c r="F8433" s="4" t="str">
        <f aca="false">IF(I8433&gt;J8433,"Y","N")</f>
        <v>N</v>
      </c>
      <c r="G8433" s="3" t="s">
        <v>104</v>
      </c>
      <c r="H8433" s="3" t="s">
        <v>26</v>
      </c>
      <c r="I8433" s="4" t="n">
        <v>6</v>
      </c>
      <c r="J8433" s="4" t="n">
        <f aca="false">LEN(E8433)-LEN(SUBSTITUTE(E8433,",",""))+1</f>
        <v>6</v>
      </c>
      <c r="K8433" s="3" t="str">
        <f aca="false">IFERROR(INDEX('Teacher Lookup'!$B$2:$B$200,MATCH(A8433,'Teacher Lookup'!$A$2:$A$200,0)),"")</f>
        <v>LAU Rachel</v>
      </c>
    </row>
    <row r="8434" customFormat="false" ht="15" hidden="false" customHeight="false" outlineLevel="0" collapsed="false">
      <c r="A8434" s="3" t="s">
        <v>498</v>
      </c>
      <c r="B8434" s="4" t="s">
        <v>31</v>
      </c>
      <c r="C8434" s="4" t="n">
        <v>3</v>
      </c>
      <c r="D8434" s="4" t="s">
        <v>105</v>
      </c>
      <c r="E8434" s="3" t="s">
        <v>110</v>
      </c>
      <c r="F8434" s="4" t="str">
        <f aca="false">IF(I8434&gt;J8434,"Y","N")</f>
        <v>N</v>
      </c>
      <c r="G8434" s="3" t="s">
        <v>104</v>
      </c>
      <c r="H8434" s="3" t="s">
        <v>26</v>
      </c>
      <c r="I8434" s="4" t="n">
        <v>6</v>
      </c>
      <c r="J8434" s="4" t="n">
        <f aca="false">LEN(E8434)-LEN(SUBSTITUTE(E8434,",",""))+1</f>
        <v>6</v>
      </c>
      <c r="K8434" s="3" t="str">
        <f aca="false">IFERROR(INDEX('Teacher Lookup'!$B$2:$B$200,MATCH(A8434,'Teacher Lookup'!$A$2:$A$200,0)),"")</f>
        <v>LAU Rachel</v>
      </c>
    </row>
    <row r="8435" customFormat="false" ht="15" hidden="false" customHeight="false" outlineLevel="0" collapsed="false">
      <c r="A8435" s="3" t="s">
        <v>498</v>
      </c>
      <c r="B8435" s="4" t="s">
        <v>31</v>
      </c>
      <c r="C8435" s="4" t="n">
        <v>3</v>
      </c>
      <c r="D8435" s="4" t="s">
        <v>106</v>
      </c>
      <c r="E8435" s="3" t="s">
        <v>110</v>
      </c>
      <c r="F8435" s="4" t="str">
        <f aca="false">IF(I8435&gt;J8435,"Y","N")</f>
        <v>N</v>
      </c>
      <c r="G8435" s="3" t="s">
        <v>104</v>
      </c>
      <c r="H8435" s="3" t="s">
        <v>26</v>
      </c>
      <c r="I8435" s="4" t="n">
        <v>6</v>
      </c>
      <c r="J8435" s="4" t="n">
        <f aca="false">LEN(E8435)-LEN(SUBSTITUTE(E8435,",",""))+1</f>
        <v>6</v>
      </c>
      <c r="K8435" s="3" t="str">
        <f aca="false">IFERROR(INDEX('Teacher Lookup'!$B$2:$B$200,MATCH(A8435,'Teacher Lookup'!$A$2:$A$200,0)),"")</f>
        <v>LAU Rachel</v>
      </c>
    </row>
    <row r="8436" customFormat="false" ht="15" hidden="false" customHeight="false" outlineLevel="0" collapsed="false">
      <c r="A8436" s="3" t="s">
        <v>498</v>
      </c>
      <c r="B8436" s="4" t="s">
        <v>31</v>
      </c>
      <c r="C8436" s="4" t="n">
        <v>3</v>
      </c>
      <c r="D8436" s="4" t="s">
        <v>107</v>
      </c>
      <c r="E8436" s="3" t="s">
        <v>110</v>
      </c>
      <c r="F8436" s="4" t="str">
        <f aca="false">IF(I8436&gt;J8436,"Y","N")</f>
        <v>N</v>
      </c>
      <c r="G8436" s="3" t="s">
        <v>104</v>
      </c>
      <c r="H8436" s="3" t="s">
        <v>26</v>
      </c>
      <c r="I8436" s="4" t="n">
        <v>6</v>
      </c>
      <c r="J8436" s="4" t="n">
        <f aca="false">LEN(E8436)-LEN(SUBSTITUTE(E8436,",",""))+1</f>
        <v>6</v>
      </c>
      <c r="K8436" s="3" t="str">
        <f aca="false">IFERROR(INDEX('Teacher Lookup'!$B$2:$B$200,MATCH(A8436,'Teacher Lookup'!$A$2:$A$200,0)),"")</f>
        <v>LAU Rachel</v>
      </c>
    </row>
    <row r="8437" customFormat="false" ht="15" hidden="false" customHeight="false" outlineLevel="0" collapsed="false">
      <c r="A8437" s="3" t="s">
        <v>498</v>
      </c>
      <c r="B8437" s="4" t="s">
        <v>31</v>
      </c>
      <c r="C8437" s="4" t="n">
        <v>4</v>
      </c>
      <c r="D8437" s="4" t="s">
        <v>102</v>
      </c>
      <c r="E8437" s="3" t="s">
        <v>313</v>
      </c>
      <c r="F8437" s="4" t="str">
        <f aca="false">IF(I8437&gt;J8437,"Y","N")</f>
        <v>Y</v>
      </c>
      <c r="G8437" s="3" t="s">
        <v>310</v>
      </c>
      <c r="H8437" s="3" t="s">
        <v>34</v>
      </c>
      <c r="I8437" s="4" t="n">
        <v>7</v>
      </c>
      <c r="J8437" s="4" t="n">
        <f aca="false">LEN(E8437)-LEN(SUBSTITUTE(E8437,",",""))+1</f>
        <v>6</v>
      </c>
      <c r="K8437" s="3" t="str">
        <f aca="false">IFERROR(INDEX('Teacher Lookup'!$B$2:$B$200,MATCH(A8437,'Teacher Lookup'!$A$2:$A$200,0)),"")</f>
        <v>LAU Rachel</v>
      </c>
    </row>
    <row r="8438" customFormat="false" ht="15" hidden="false" customHeight="false" outlineLevel="0" collapsed="false">
      <c r="A8438" s="3" t="s">
        <v>498</v>
      </c>
      <c r="B8438" s="4" t="s">
        <v>31</v>
      </c>
      <c r="C8438" s="4" t="n">
        <v>4</v>
      </c>
      <c r="D8438" s="4" t="s">
        <v>105</v>
      </c>
      <c r="E8438" s="3" t="s">
        <v>313</v>
      </c>
      <c r="F8438" s="4" t="str">
        <f aca="false">IF(I8438&gt;J8438,"Y","N")</f>
        <v>Y</v>
      </c>
      <c r="G8438" s="3" t="s">
        <v>310</v>
      </c>
      <c r="H8438" s="3" t="s">
        <v>34</v>
      </c>
      <c r="I8438" s="4" t="n">
        <v>7</v>
      </c>
      <c r="J8438" s="4" t="n">
        <f aca="false">LEN(E8438)-LEN(SUBSTITUTE(E8438,",",""))+1</f>
        <v>6</v>
      </c>
      <c r="K8438" s="3" t="str">
        <f aca="false">IFERROR(INDEX('Teacher Lookup'!$B$2:$B$200,MATCH(A8438,'Teacher Lookup'!$A$2:$A$200,0)),"")</f>
        <v>LAU Rachel</v>
      </c>
    </row>
    <row r="8439" customFormat="false" ht="15" hidden="false" customHeight="false" outlineLevel="0" collapsed="false">
      <c r="A8439" s="3" t="s">
        <v>498</v>
      </c>
      <c r="B8439" s="4" t="s">
        <v>31</v>
      </c>
      <c r="C8439" s="4" t="n">
        <v>4</v>
      </c>
      <c r="D8439" s="4" t="s">
        <v>106</v>
      </c>
      <c r="E8439" s="3" t="s">
        <v>313</v>
      </c>
      <c r="F8439" s="4" t="str">
        <f aca="false">IF(I8439&gt;J8439,"Y","N")</f>
        <v>Y</v>
      </c>
      <c r="G8439" s="3" t="s">
        <v>310</v>
      </c>
      <c r="H8439" s="3" t="s">
        <v>34</v>
      </c>
      <c r="I8439" s="4" t="n">
        <v>7</v>
      </c>
      <c r="J8439" s="4" t="n">
        <f aca="false">LEN(E8439)-LEN(SUBSTITUTE(E8439,",",""))+1</f>
        <v>6</v>
      </c>
      <c r="K8439" s="3" t="str">
        <f aca="false">IFERROR(INDEX('Teacher Lookup'!$B$2:$B$200,MATCH(A8439,'Teacher Lookup'!$A$2:$A$200,0)),"")</f>
        <v>LAU Rachel</v>
      </c>
    </row>
    <row r="8440" customFormat="false" ht="15" hidden="false" customHeight="false" outlineLevel="0" collapsed="false">
      <c r="A8440" s="3" t="s">
        <v>498</v>
      </c>
      <c r="B8440" s="4" t="s">
        <v>31</v>
      </c>
      <c r="C8440" s="4" t="n">
        <v>4</v>
      </c>
      <c r="D8440" s="4" t="s">
        <v>107</v>
      </c>
      <c r="E8440" s="3" t="s">
        <v>313</v>
      </c>
      <c r="F8440" s="4" t="str">
        <f aca="false">IF(I8440&gt;J8440,"Y","N")</f>
        <v>Y</v>
      </c>
      <c r="G8440" s="3" t="s">
        <v>310</v>
      </c>
      <c r="H8440" s="3" t="s">
        <v>34</v>
      </c>
      <c r="I8440" s="4" t="n">
        <v>7</v>
      </c>
      <c r="J8440" s="4" t="n">
        <f aca="false">LEN(E8440)-LEN(SUBSTITUTE(E8440,",",""))+1</f>
        <v>6</v>
      </c>
      <c r="K8440" s="3" t="str">
        <f aca="false">IFERROR(INDEX('Teacher Lookup'!$B$2:$B$200,MATCH(A8440,'Teacher Lookup'!$A$2:$A$200,0)),"")</f>
        <v>LAU Rachel</v>
      </c>
    </row>
    <row r="8441" customFormat="false" ht="15" hidden="false" customHeight="false" outlineLevel="0" collapsed="false">
      <c r="A8441" s="3" t="s">
        <v>498</v>
      </c>
      <c r="B8441" s="4" t="s">
        <v>31</v>
      </c>
      <c r="C8441" s="4" t="n">
        <v>5</v>
      </c>
      <c r="D8441" s="4" t="s">
        <v>228</v>
      </c>
      <c r="E8441" s="3" t="s">
        <v>229</v>
      </c>
      <c r="F8441" s="4" t="str">
        <f aca="false">IF(I8441&gt;J8441,"Y","N")</f>
        <v>Y</v>
      </c>
      <c r="G8441" s="3" t="s">
        <v>36</v>
      </c>
      <c r="H8441" s="3" t="s">
        <v>37</v>
      </c>
      <c r="I8441" s="4" t="n">
        <v>14</v>
      </c>
      <c r="J8441" s="4" t="n">
        <f aca="false">LEN(E8441)-LEN(SUBSTITUTE(E8441,",",""))+1</f>
        <v>6</v>
      </c>
      <c r="K8441" s="3" t="str">
        <f aca="false">IFERROR(INDEX('Teacher Lookup'!$B$2:$B$200,MATCH(A8441,'Teacher Lookup'!$A$2:$A$200,0)),"")</f>
        <v>LAU Rachel</v>
      </c>
    </row>
    <row r="8442" customFormat="false" ht="15" hidden="false" customHeight="false" outlineLevel="0" collapsed="false">
      <c r="A8442" s="3" t="s">
        <v>498</v>
      </c>
      <c r="B8442" s="4" t="s">
        <v>31</v>
      </c>
      <c r="C8442" s="4" t="n">
        <v>5</v>
      </c>
      <c r="D8442" s="4" t="s">
        <v>102</v>
      </c>
      <c r="E8442" s="3" t="s">
        <v>229</v>
      </c>
      <c r="F8442" s="4" t="str">
        <f aca="false">IF(I8442&gt;J8442,"Y","N")</f>
        <v>Y</v>
      </c>
      <c r="G8442" s="3" t="s">
        <v>36</v>
      </c>
      <c r="H8442" s="3" t="s">
        <v>37</v>
      </c>
      <c r="I8442" s="4" t="n">
        <v>14</v>
      </c>
      <c r="J8442" s="4" t="n">
        <f aca="false">LEN(E8442)-LEN(SUBSTITUTE(E8442,",",""))+1</f>
        <v>6</v>
      </c>
      <c r="K8442" s="3" t="str">
        <f aca="false">IFERROR(INDEX('Teacher Lookup'!$B$2:$B$200,MATCH(A8442,'Teacher Lookup'!$A$2:$A$200,0)),"")</f>
        <v>LAU Rachel</v>
      </c>
    </row>
    <row r="8443" customFormat="false" ht="15" hidden="false" customHeight="false" outlineLevel="0" collapsed="false">
      <c r="A8443" s="3" t="s">
        <v>498</v>
      </c>
      <c r="B8443" s="4" t="s">
        <v>31</v>
      </c>
      <c r="C8443" s="4" t="n">
        <v>5</v>
      </c>
      <c r="D8443" s="4" t="s">
        <v>105</v>
      </c>
      <c r="E8443" s="3" t="s">
        <v>229</v>
      </c>
      <c r="F8443" s="4" t="str">
        <f aca="false">IF(I8443&gt;J8443,"Y","N")</f>
        <v>Y</v>
      </c>
      <c r="G8443" s="3" t="s">
        <v>36</v>
      </c>
      <c r="H8443" s="3" t="s">
        <v>37</v>
      </c>
      <c r="I8443" s="4" t="n">
        <v>14</v>
      </c>
      <c r="J8443" s="4" t="n">
        <f aca="false">LEN(E8443)-LEN(SUBSTITUTE(E8443,",",""))+1</f>
        <v>6</v>
      </c>
      <c r="K8443" s="3" t="str">
        <f aca="false">IFERROR(INDEX('Teacher Lookup'!$B$2:$B$200,MATCH(A8443,'Teacher Lookup'!$A$2:$A$200,0)),"")</f>
        <v>LAU Rachel</v>
      </c>
    </row>
    <row r="8444" customFormat="false" ht="15" hidden="false" customHeight="false" outlineLevel="0" collapsed="false">
      <c r="A8444" s="3" t="s">
        <v>498</v>
      </c>
      <c r="B8444" s="4" t="s">
        <v>31</v>
      </c>
      <c r="C8444" s="4" t="n">
        <v>5</v>
      </c>
      <c r="D8444" s="4" t="s">
        <v>106</v>
      </c>
      <c r="E8444" s="3" t="s">
        <v>229</v>
      </c>
      <c r="F8444" s="4" t="str">
        <f aca="false">IF(I8444&gt;J8444,"Y","N")</f>
        <v>Y</v>
      </c>
      <c r="G8444" s="3" t="s">
        <v>36</v>
      </c>
      <c r="H8444" s="3" t="s">
        <v>37</v>
      </c>
      <c r="I8444" s="4" t="n">
        <v>14</v>
      </c>
      <c r="J8444" s="4" t="n">
        <f aca="false">LEN(E8444)-LEN(SUBSTITUTE(E8444,",",""))+1</f>
        <v>6</v>
      </c>
      <c r="K8444" s="3" t="str">
        <f aca="false">IFERROR(INDEX('Teacher Lookup'!$B$2:$B$200,MATCH(A8444,'Teacher Lookup'!$A$2:$A$200,0)),"")</f>
        <v>LAU Rachel</v>
      </c>
    </row>
    <row r="8445" customFormat="false" ht="15" hidden="false" customHeight="false" outlineLevel="0" collapsed="false">
      <c r="A8445" s="3" t="s">
        <v>498</v>
      </c>
      <c r="B8445" s="4" t="s">
        <v>31</v>
      </c>
      <c r="C8445" s="4" t="n">
        <v>5</v>
      </c>
      <c r="D8445" s="4" t="s">
        <v>107</v>
      </c>
      <c r="E8445" s="3" t="s">
        <v>229</v>
      </c>
      <c r="F8445" s="4" t="str">
        <f aca="false">IF(I8445&gt;J8445,"Y","N")</f>
        <v>Y</v>
      </c>
      <c r="G8445" s="3" t="s">
        <v>36</v>
      </c>
      <c r="H8445" s="3" t="s">
        <v>37</v>
      </c>
      <c r="I8445" s="4" t="n">
        <v>14</v>
      </c>
      <c r="J8445" s="4" t="n">
        <f aca="false">LEN(E8445)-LEN(SUBSTITUTE(E8445,",",""))+1</f>
        <v>6</v>
      </c>
      <c r="K8445" s="3" t="str">
        <f aca="false">IFERROR(INDEX('Teacher Lookup'!$B$2:$B$200,MATCH(A8445,'Teacher Lookup'!$A$2:$A$200,0)),"")</f>
        <v>LAU Rachel</v>
      </c>
    </row>
    <row r="8446" customFormat="false" ht="15" hidden="false" customHeight="false" outlineLevel="0" collapsed="false">
      <c r="A8446" s="3" t="s">
        <v>498</v>
      </c>
      <c r="B8446" s="4" t="s">
        <v>31</v>
      </c>
      <c r="C8446" s="4" t="n">
        <v>6</v>
      </c>
      <c r="D8446" s="4" t="s">
        <v>52</v>
      </c>
      <c r="E8446" s="3" t="s">
        <v>238</v>
      </c>
      <c r="F8446" s="4" t="str">
        <f aca="false">IF(I8446&gt;J8446,"Y","N")</f>
        <v>N</v>
      </c>
      <c r="G8446" s="3" t="s">
        <v>239</v>
      </c>
      <c r="H8446" s="3" t="s">
        <v>42</v>
      </c>
      <c r="I8446" s="4" t="n">
        <v>7</v>
      </c>
      <c r="J8446" s="4" t="n">
        <f aca="false">LEN(E8446)-LEN(SUBSTITUTE(E8446,",",""))+1</f>
        <v>7</v>
      </c>
      <c r="K8446" s="3" t="str">
        <f aca="false">IFERROR(INDEX('Teacher Lookup'!$B$2:$B$200,MATCH(A8446,'Teacher Lookup'!$A$2:$A$200,0)),"")</f>
        <v>LAU Rachel</v>
      </c>
    </row>
    <row r="8447" customFormat="false" ht="15" hidden="false" customHeight="false" outlineLevel="0" collapsed="false">
      <c r="A8447" s="3" t="s">
        <v>498</v>
      </c>
      <c r="B8447" s="4" t="s">
        <v>31</v>
      </c>
      <c r="C8447" s="4" t="n">
        <v>6</v>
      </c>
      <c r="D8447" s="4" t="s">
        <v>55</v>
      </c>
      <c r="E8447" s="3" t="s">
        <v>238</v>
      </c>
      <c r="F8447" s="4" t="str">
        <f aca="false">IF(I8447&gt;J8447,"Y","N")</f>
        <v>N</v>
      </c>
      <c r="G8447" s="3" t="s">
        <v>239</v>
      </c>
      <c r="H8447" s="3" t="s">
        <v>42</v>
      </c>
      <c r="I8447" s="4" t="n">
        <v>7</v>
      </c>
      <c r="J8447" s="4" t="n">
        <f aca="false">LEN(E8447)-LEN(SUBSTITUTE(E8447,",",""))+1</f>
        <v>7</v>
      </c>
      <c r="K8447" s="3" t="str">
        <f aca="false">IFERROR(INDEX('Teacher Lookup'!$B$2:$B$200,MATCH(A8447,'Teacher Lookup'!$A$2:$A$200,0)),"")</f>
        <v>LAU Rachel</v>
      </c>
    </row>
    <row r="8448" customFormat="false" ht="15" hidden="false" customHeight="false" outlineLevel="0" collapsed="false">
      <c r="A8448" s="3" t="s">
        <v>498</v>
      </c>
      <c r="B8448" s="4" t="s">
        <v>31</v>
      </c>
      <c r="C8448" s="4" t="n">
        <v>6</v>
      </c>
      <c r="D8448" s="4" t="s">
        <v>56</v>
      </c>
      <c r="E8448" s="3" t="s">
        <v>238</v>
      </c>
      <c r="F8448" s="4" t="str">
        <f aca="false">IF(I8448&gt;J8448,"Y","N")</f>
        <v>N</v>
      </c>
      <c r="G8448" s="3" t="s">
        <v>239</v>
      </c>
      <c r="H8448" s="3" t="s">
        <v>42</v>
      </c>
      <c r="I8448" s="4" t="n">
        <v>7</v>
      </c>
      <c r="J8448" s="4" t="n">
        <f aca="false">LEN(E8448)-LEN(SUBSTITUTE(E8448,",",""))+1</f>
        <v>7</v>
      </c>
      <c r="K8448" s="3" t="str">
        <f aca="false">IFERROR(INDEX('Teacher Lookup'!$B$2:$B$200,MATCH(A8448,'Teacher Lookup'!$A$2:$A$200,0)),"")</f>
        <v>LAU Rachel</v>
      </c>
    </row>
    <row r="8449" customFormat="false" ht="15" hidden="false" customHeight="false" outlineLevel="0" collapsed="false">
      <c r="A8449" s="3" t="s">
        <v>498</v>
      </c>
      <c r="B8449" s="4" t="s">
        <v>31</v>
      </c>
      <c r="C8449" s="4" t="n">
        <v>6</v>
      </c>
      <c r="D8449" s="4" t="s">
        <v>57</v>
      </c>
      <c r="E8449" s="3" t="s">
        <v>238</v>
      </c>
      <c r="F8449" s="4" t="str">
        <f aca="false">IF(I8449&gt;J8449,"Y","N")</f>
        <v>N</v>
      </c>
      <c r="G8449" s="3" t="s">
        <v>239</v>
      </c>
      <c r="H8449" s="3" t="s">
        <v>42</v>
      </c>
      <c r="I8449" s="4" t="n">
        <v>7</v>
      </c>
      <c r="J8449" s="4" t="n">
        <f aca="false">LEN(E8449)-LEN(SUBSTITUTE(E8449,",",""))+1</f>
        <v>7</v>
      </c>
      <c r="K8449" s="3" t="str">
        <f aca="false">IFERROR(INDEX('Teacher Lookup'!$B$2:$B$200,MATCH(A8449,'Teacher Lookup'!$A$2:$A$200,0)),"")</f>
        <v>LAU Rachel</v>
      </c>
    </row>
    <row r="8450" customFormat="false" ht="15" hidden="false" customHeight="false" outlineLevel="0" collapsed="false">
      <c r="A8450" s="3" t="s">
        <v>498</v>
      </c>
      <c r="B8450" s="4" t="s">
        <v>31</v>
      </c>
      <c r="C8450" s="4" t="n">
        <v>6</v>
      </c>
      <c r="D8450" s="4" t="s">
        <v>58</v>
      </c>
      <c r="E8450" s="3" t="s">
        <v>238</v>
      </c>
      <c r="F8450" s="4" t="str">
        <f aca="false">IF(I8450&gt;J8450,"Y","N")</f>
        <v>N</v>
      </c>
      <c r="G8450" s="3" t="s">
        <v>239</v>
      </c>
      <c r="H8450" s="3" t="s">
        <v>42</v>
      </c>
      <c r="I8450" s="4" t="n">
        <v>7</v>
      </c>
      <c r="J8450" s="4" t="n">
        <f aca="false">LEN(E8450)-LEN(SUBSTITUTE(E8450,",",""))+1</f>
        <v>7</v>
      </c>
      <c r="K8450" s="3" t="str">
        <f aca="false">IFERROR(INDEX('Teacher Lookup'!$B$2:$B$200,MATCH(A8450,'Teacher Lookup'!$A$2:$A$200,0)),"")</f>
        <v>LAU Rachel</v>
      </c>
    </row>
    <row r="8451" customFormat="false" ht="15" hidden="false" customHeight="false" outlineLevel="0" collapsed="false">
      <c r="A8451" s="3" t="s">
        <v>498</v>
      </c>
      <c r="B8451" s="4" t="s">
        <v>31</v>
      </c>
      <c r="C8451" s="4" t="n">
        <v>6</v>
      </c>
      <c r="D8451" s="4" t="s">
        <v>59</v>
      </c>
      <c r="E8451" s="3" t="s">
        <v>238</v>
      </c>
      <c r="F8451" s="4" t="str">
        <f aca="false">IF(I8451&gt;J8451,"Y","N")</f>
        <v>N</v>
      </c>
      <c r="G8451" s="3" t="s">
        <v>239</v>
      </c>
      <c r="H8451" s="3" t="s">
        <v>42</v>
      </c>
      <c r="I8451" s="4" t="n">
        <v>7</v>
      </c>
      <c r="J8451" s="4" t="n">
        <f aca="false">LEN(E8451)-LEN(SUBSTITUTE(E8451,",",""))+1</f>
        <v>7</v>
      </c>
      <c r="K8451" s="3" t="str">
        <f aca="false">IFERROR(INDEX('Teacher Lookup'!$B$2:$B$200,MATCH(A8451,'Teacher Lookup'!$A$2:$A$200,0)),"")</f>
        <v>LAU Rachel</v>
      </c>
    </row>
    <row r="8452" customFormat="false" ht="15" hidden="false" customHeight="false" outlineLevel="0" collapsed="false">
      <c r="A8452" s="3" t="s">
        <v>498</v>
      </c>
      <c r="B8452" s="4" t="s">
        <v>40</v>
      </c>
      <c r="C8452" s="4" t="n">
        <v>1</v>
      </c>
      <c r="D8452" s="4" t="s">
        <v>102</v>
      </c>
      <c r="E8452" s="3" t="s">
        <v>114</v>
      </c>
      <c r="F8452" s="4" t="str">
        <f aca="false">IF(I8452&gt;J8452,"Y","N")</f>
        <v>N</v>
      </c>
      <c r="G8452" s="3" t="s">
        <v>104</v>
      </c>
      <c r="H8452" s="3" t="s">
        <v>16</v>
      </c>
      <c r="I8452" s="4" t="n">
        <v>6</v>
      </c>
      <c r="J8452" s="4" t="n">
        <f aca="false">LEN(E8452)-LEN(SUBSTITUTE(E8452,",",""))+1</f>
        <v>6</v>
      </c>
      <c r="K8452" s="3" t="str">
        <f aca="false">IFERROR(INDEX('Teacher Lookup'!$B$2:$B$200,MATCH(A8452,'Teacher Lookup'!$A$2:$A$200,0)),"")</f>
        <v>LAU Rachel</v>
      </c>
    </row>
    <row r="8453" customFormat="false" ht="15" hidden="false" customHeight="false" outlineLevel="0" collapsed="false">
      <c r="A8453" s="3" t="s">
        <v>498</v>
      </c>
      <c r="B8453" s="4" t="s">
        <v>40</v>
      </c>
      <c r="C8453" s="4" t="n">
        <v>1</v>
      </c>
      <c r="D8453" s="4" t="s">
        <v>105</v>
      </c>
      <c r="E8453" s="3" t="s">
        <v>114</v>
      </c>
      <c r="F8453" s="4" t="str">
        <f aca="false">IF(I8453&gt;J8453,"Y","N")</f>
        <v>N</v>
      </c>
      <c r="G8453" s="3" t="s">
        <v>104</v>
      </c>
      <c r="H8453" s="3" t="s">
        <v>16</v>
      </c>
      <c r="I8453" s="4" t="n">
        <v>6</v>
      </c>
      <c r="J8453" s="4" t="n">
        <f aca="false">LEN(E8453)-LEN(SUBSTITUTE(E8453,",",""))+1</f>
        <v>6</v>
      </c>
      <c r="K8453" s="3" t="str">
        <f aca="false">IFERROR(INDEX('Teacher Lookup'!$B$2:$B$200,MATCH(A8453,'Teacher Lookup'!$A$2:$A$200,0)),"")</f>
        <v>LAU Rachel</v>
      </c>
    </row>
    <row r="8454" customFormat="false" ht="15" hidden="false" customHeight="false" outlineLevel="0" collapsed="false">
      <c r="A8454" s="3" t="s">
        <v>498</v>
      </c>
      <c r="B8454" s="4" t="s">
        <v>40</v>
      </c>
      <c r="C8454" s="4" t="n">
        <v>1</v>
      </c>
      <c r="D8454" s="4" t="s">
        <v>106</v>
      </c>
      <c r="E8454" s="3" t="s">
        <v>114</v>
      </c>
      <c r="F8454" s="4" t="str">
        <f aca="false">IF(I8454&gt;J8454,"Y","N")</f>
        <v>N</v>
      </c>
      <c r="G8454" s="3" t="s">
        <v>104</v>
      </c>
      <c r="H8454" s="3" t="s">
        <v>16</v>
      </c>
      <c r="I8454" s="4" t="n">
        <v>6</v>
      </c>
      <c r="J8454" s="4" t="n">
        <f aca="false">LEN(E8454)-LEN(SUBSTITUTE(E8454,",",""))+1</f>
        <v>6</v>
      </c>
      <c r="K8454" s="3" t="str">
        <f aca="false">IFERROR(INDEX('Teacher Lookup'!$B$2:$B$200,MATCH(A8454,'Teacher Lookup'!$A$2:$A$200,0)),"")</f>
        <v>LAU Rachel</v>
      </c>
    </row>
    <row r="8455" customFormat="false" ht="15" hidden="false" customHeight="false" outlineLevel="0" collapsed="false">
      <c r="A8455" s="3" t="s">
        <v>498</v>
      </c>
      <c r="B8455" s="4" t="s">
        <v>40</v>
      </c>
      <c r="C8455" s="4" t="n">
        <v>1</v>
      </c>
      <c r="D8455" s="4" t="s">
        <v>107</v>
      </c>
      <c r="E8455" s="3" t="s">
        <v>114</v>
      </c>
      <c r="F8455" s="4" t="str">
        <f aca="false">IF(I8455&gt;J8455,"Y","N")</f>
        <v>N</v>
      </c>
      <c r="G8455" s="3" t="s">
        <v>104</v>
      </c>
      <c r="H8455" s="3" t="s">
        <v>16</v>
      </c>
      <c r="I8455" s="4" t="n">
        <v>6</v>
      </c>
      <c r="J8455" s="4" t="n">
        <f aca="false">LEN(E8455)-LEN(SUBSTITUTE(E8455,",",""))+1</f>
        <v>6</v>
      </c>
      <c r="K8455" s="3" t="str">
        <f aca="false">IFERROR(INDEX('Teacher Lookup'!$B$2:$B$200,MATCH(A8455,'Teacher Lookup'!$A$2:$A$200,0)),"")</f>
        <v>LAU Rachel</v>
      </c>
    </row>
    <row r="8456" customFormat="false" ht="15" hidden="false" customHeight="false" outlineLevel="0" collapsed="false">
      <c r="A8456" s="3" t="s">
        <v>498</v>
      </c>
      <c r="B8456" s="4" t="s">
        <v>40</v>
      </c>
      <c r="C8456" s="4" t="n">
        <v>2</v>
      </c>
      <c r="D8456" s="4" t="s">
        <v>52</v>
      </c>
      <c r="E8456" s="3" t="s">
        <v>240</v>
      </c>
      <c r="F8456" s="4" t="str">
        <f aca="false">IF(I8456&gt;J8456,"Y","N")</f>
        <v>N</v>
      </c>
      <c r="G8456" s="3" t="s">
        <v>239</v>
      </c>
      <c r="H8456" s="3" t="s">
        <v>21</v>
      </c>
      <c r="I8456" s="4" t="n">
        <v>7</v>
      </c>
      <c r="J8456" s="4" t="n">
        <f aca="false">LEN(E8456)-LEN(SUBSTITUTE(E8456,",",""))+1</f>
        <v>7</v>
      </c>
      <c r="K8456" s="3" t="str">
        <f aca="false">IFERROR(INDEX('Teacher Lookup'!$B$2:$B$200,MATCH(A8456,'Teacher Lookup'!$A$2:$A$200,0)),"")</f>
        <v>LAU Rachel</v>
      </c>
    </row>
    <row r="8457" customFormat="false" ht="15" hidden="false" customHeight="false" outlineLevel="0" collapsed="false">
      <c r="A8457" s="3" t="s">
        <v>498</v>
      </c>
      <c r="B8457" s="4" t="s">
        <v>40</v>
      </c>
      <c r="C8457" s="4" t="n">
        <v>2</v>
      </c>
      <c r="D8457" s="4" t="s">
        <v>55</v>
      </c>
      <c r="E8457" s="3" t="s">
        <v>240</v>
      </c>
      <c r="F8457" s="4" t="str">
        <f aca="false">IF(I8457&gt;J8457,"Y","N")</f>
        <v>N</v>
      </c>
      <c r="G8457" s="3" t="s">
        <v>239</v>
      </c>
      <c r="H8457" s="3" t="s">
        <v>21</v>
      </c>
      <c r="I8457" s="4" t="n">
        <v>7</v>
      </c>
      <c r="J8457" s="4" t="n">
        <f aca="false">LEN(E8457)-LEN(SUBSTITUTE(E8457,",",""))+1</f>
        <v>7</v>
      </c>
      <c r="K8457" s="3" t="str">
        <f aca="false">IFERROR(INDEX('Teacher Lookup'!$B$2:$B$200,MATCH(A8457,'Teacher Lookup'!$A$2:$A$200,0)),"")</f>
        <v>LAU Rachel</v>
      </c>
    </row>
    <row r="8458" customFormat="false" ht="15" hidden="false" customHeight="false" outlineLevel="0" collapsed="false">
      <c r="A8458" s="3" t="s">
        <v>498</v>
      </c>
      <c r="B8458" s="4" t="s">
        <v>40</v>
      </c>
      <c r="C8458" s="4" t="n">
        <v>2</v>
      </c>
      <c r="D8458" s="4" t="s">
        <v>56</v>
      </c>
      <c r="E8458" s="3" t="s">
        <v>240</v>
      </c>
      <c r="F8458" s="4" t="str">
        <f aca="false">IF(I8458&gt;J8458,"Y","N")</f>
        <v>N</v>
      </c>
      <c r="G8458" s="3" t="s">
        <v>239</v>
      </c>
      <c r="H8458" s="3" t="s">
        <v>21</v>
      </c>
      <c r="I8458" s="4" t="n">
        <v>7</v>
      </c>
      <c r="J8458" s="4" t="n">
        <f aca="false">LEN(E8458)-LEN(SUBSTITUTE(E8458,",",""))+1</f>
        <v>7</v>
      </c>
      <c r="K8458" s="3" t="str">
        <f aca="false">IFERROR(INDEX('Teacher Lookup'!$B$2:$B$200,MATCH(A8458,'Teacher Lookup'!$A$2:$A$200,0)),"")</f>
        <v>LAU Rachel</v>
      </c>
    </row>
    <row r="8459" customFormat="false" ht="15" hidden="false" customHeight="false" outlineLevel="0" collapsed="false">
      <c r="A8459" s="3" t="s">
        <v>498</v>
      </c>
      <c r="B8459" s="4" t="s">
        <v>40</v>
      </c>
      <c r="C8459" s="4" t="n">
        <v>2</v>
      </c>
      <c r="D8459" s="4" t="s">
        <v>57</v>
      </c>
      <c r="E8459" s="3" t="s">
        <v>240</v>
      </c>
      <c r="F8459" s="4" t="str">
        <f aca="false">IF(I8459&gt;J8459,"Y","N")</f>
        <v>N</v>
      </c>
      <c r="G8459" s="3" t="s">
        <v>239</v>
      </c>
      <c r="H8459" s="3" t="s">
        <v>21</v>
      </c>
      <c r="I8459" s="4" t="n">
        <v>7</v>
      </c>
      <c r="J8459" s="4" t="n">
        <f aca="false">LEN(E8459)-LEN(SUBSTITUTE(E8459,",",""))+1</f>
        <v>7</v>
      </c>
      <c r="K8459" s="3" t="str">
        <f aca="false">IFERROR(INDEX('Teacher Lookup'!$B$2:$B$200,MATCH(A8459,'Teacher Lookup'!$A$2:$A$200,0)),"")</f>
        <v>LAU Rachel</v>
      </c>
    </row>
    <row r="8460" customFormat="false" ht="15" hidden="false" customHeight="false" outlineLevel="0" collapsed="false">
      <c r="A8460" s="3" t="s">
        <v>498</v>
      </c>
      <c r="B8460" s="4" t="s">
        <v>40</v>
      </c>
      <c r="C8460" s="4" t="n">
        <v>2</v>
      </c>
      <c r="D8460" s="4" t="s">
        <v>58</v>
      </c>
      <c r="E8460" s="3" t="s">
        <v>240</v>
      </c>
      <c r="F8460" s="4" t="str">
        <f aca="false">IF(I8460&gt;J8460,"Y","N")</f>
        <v>N</v>
      </c>
      <c r="G8460" s="3" t="s">
        <v>239</v>
      </c>
      <c r="H8460" s="3" t="s">
        <v>21</v>
      </c>
      <c r="I8460" s="4" t="n">
        <v>7</v>
      </c>
      <c r="J8460" s="4" t="n">
        <f aca="false">LEN(E8460)-LEN(SUBSTITUTE(E8460,",",""))+1</f>
        <v>7</v>
      </c>
      <c r="K8460" s="3" t="str">
        <f aca="false">IFERROR(INDEX('Teacher Lookup'!$B$2:$B$200,MATCH(A8460,'Teacher Lookup'!$A$2:$A$200,0)),"")</f>
        <v>LAU Rachel</v>
      </c>
    </row>
    <row r="8461" customFormat="false" ht="15" hidden="false" customHeight="false" outlineLevel="0" collapsed="false">
      <c r="A8461" s="3" t="s">
        <v>498</v>
      </c>
      <c r="B8461" s="4" t="s">
        <v>40</v>
      </c>
      <c r="C8461" s="4" t="n">
        <v>2</v>
      </c>
      <c r="D8461" s="4" t="s">
        <v>59</v>
      </c>
      <c r="E8461" s="3" t="s">
        <v>240</v>
      </c>
      <c r="F8461" s="4" t="str">
        <f aca="false">IF(I8461&gt;J8461,"Y","N")</f>
        <v>N</v>
      </c>
      <c r="G8461" s="3" t="s">
        <v>239</v>
      </c>
      <c r="H8461" s="3" t="s">
        <v>21</v>
      </c>
      <c r="I8461" s="4" t="n">
        <v>7</v>
      </c>
      <c r="J8461" s="4" t="n">
        <f aca="false">LEN(E8461)-LEN(SUBSTITUTE(E8461,",",""))+1</f>
        <v>7</v>
      </c>
      <c r="K8461" s="3" t="str">
        <f aca="false">IFERROR(INDEX('Teacher Lookup'!$B$2:$B$200,MATCH(A8461,'Teacher Lookup'!$A$2:$A$200,0)),"")</f>
        <v>LAU Rachel</v>
      </c>
    </row>
    <row r="8462" customFormat="false" ht="15" hidden="false" customHeight="false" outlineLevel="0" collapsed="false">
      <c r="A8462" s="3" t="s">
        <v>498</v>
      </c>
      <c r="B8462" s="4" t="s">
        <v>40</v>
      </c>
      <c r="C8462" s="4" t="n">
        <v>4</v>
      </c>
      <c r="D8462" s="4" t="s">
        <v>24</v>
      </c>
      <c r="E8462" s="3" t="s">
        <v>379</v>
      </c>
      <c r="F8462" s="4" t="str">
        <f aca="false">IF(I8462&gt;J8462,"Y","N")</f>
        <v>Y</v>
      </c>
      <c r="G8462" s="3" t="s">
        <v>378</v>
      </c>
      <c r="H8462" s="3" t="s">
        <v>34</v>
      </c>
      <c r="I8462" s="4" t="n">
        <v>9</v>
      </c>
      <c r="J8462" s="4" t="n">
        <f aca="false">LEN(E8462)-LEN(SUBSTITUTE(E8462,",",""))+1</f>
        <v>8</v>
      </c>
      <c r="K8462" s="3" t="str">
        <f aca="false">IFERROR(INDEX('Teacher Lookup'!$B$2:$B$200,MATCH(A8462,'Teacher Lookup'!$A$2:$A$200,0)),"")</f>
        <v>LAU Rachel</v>
      </c>
    </row>
    <row r="8463" customFormat="false" ht="15" hidden="false" customHeight="false" outlineLevel="0" collapsed="false">
      <c r="A8463" s="3" t="s">
        <v>498</v>
      </c>
      <c r="B8463" s="4" t="s">
        <v>40</v>
      </c>
      <c r="C8463" s="4" t="n">
        <v>4</v>
      </c>
      <c r="D8463" s="4" t="s">
        <v>27</v>
      </c>
      <c r="E8463" s="3" t="s">
        <v>379</v>
      </c>
      <c r="F8463" s="4" t="str">
        <f aca="false">IF(I8463&gt;J8463,"Y","N")</f>
        <v>Y</v>
      </c>
      <c r="G8463" s="3" t="s">
        <v>378</v>
      </c>
      <c r="H8463" s="3" t="s">
        <v>34</v>
      </c>
      <c r="I8463" s="4" t="n">
        <v>9</v>
      </c>
      <c r="J8463" s="4" t="n">
        <f aca="false">LEN(E8463)-LEN(SUBSTITUTE(E8463,",",""))+1</f>
        <v>8</v>
      </c>
      <c r="K8463" s="3" t="str">
        <f aca="false">IFERROR(INDEX('Teacher Lookup'!$B$2:$B$200,MATCH(A8463,'Teacher Lookup'!$A$2:$A$200,0)),"")</f>
        <v>LAU Rachel</v>
      </c>
    </row>
    <row r="8464" customFormat="false" ht="15" hidden="false" customHeight="false" outlineLevel="0" collapsed="false">
      <c r="A8464" s="3" t="s">
        <v>498</v>
      </c>
      <c r="B8464" s="4" t="s">
        <v>40</v>
      </c>
      <c r="C8464" s="4" t="n">
        <v>4</v>
      </c>
      <c r="D8464" s="4" t="s">
        <v>28</v>
      </c>
      <c r="E8464" s="3" t="s">
        <v>379</v>
      </c>
      <c r="F8464" s="4" t="str">
        <f aca="false">IF(I8464&gt;J8464,"Y","N")</f>
        <v>Y</v>
      </c>
      <c r="G8464" s="3" t="s">
        <v>378</v>
      </c>
      <c r="H8464" s="3" t="s">
        <v>34</v>
      </c>
      <c r="I8464" s="4" t="n">
        <v>9</v>
      </c>
      <c r="J8464" s="4" t="n">
        <f aca="false">LEN(E8464)-LEN(SUBSTITUTE(E8464,",",""))+1</f>
        <v>8</v>
      </c>
      <c r="K8464" s="3" t="str">
        <f aca="false">IFERROR(INDEX('Teacher Lookup'!$B$2:$B$200,MATCH(A8464,'Teacher Lookup'!$A$2:$A$200,0)),"")</f>
        <v>LAU Rachel</v>
      </c>
    </row>
    <row r="8465" customFormat="false" ht="15" hidden="false" customHeight="false" outlineLevel="0" collapsed="false">
      <c r="A8465" s="3" t="s">
        <v>498</v>
      </c>
      <c r="B8465" s="4" t="s">
        <v>40</v>
      </c>
      <c r="C8465" s="4" t="n">
        <v>4</v>
      </c>
      <c r="D8465" s="4" t="s">
        <v>29</v>
      </c>
      <c r="E8465" s="3" t="s">
        <v>379</v>
      </c>
      <c r="F8465" s="4" t="str">
        <f aca="false">IF(I8465&gt;J8465,"Y","N")</f>
        <v>Y</v>
      </c>
      <c r="G8465" s="3" t="s">
        <v>378</v>
      </c>
      <c r="H8465" s="3" t="s">
        <v>34</v>
      </c>
      <c r="I8465" s="4" t="n">
        <v>9</v>
      </c>
      <c r="J8465" s="4" t="n">
        <f aca="false">LEN(E8465)-LEN(SUBSTITUTE(E8465,",",""))+1</f>
        <v>8</v>
      </c>
      <c r="K8465" s="3" t="str">
        <f aca="false">IFERROR(INDEX('Teacher Lookup'!$B$2:$B$200,MATCH(A8465,'Teacher Lookup'!$A$2:$A$200,0)),"")</f>
        <v>LAU Rachel</v>
      </c>
    </row>
    <row r="8466" customFormat="false" ht="15" hidden="false" customHeight="false" outlineLevel="0" collapsed="false">
      <c r="A8466" s="3" t="s">
        <v>498</v>
      </c>
      <c r="B8466" s="4" t="s">
        <v>40</v>
      </c>
      <c r="C8466" s="4" t="n">
        <v>4</v>
      </c>
      <c r="D8466" s="4" t="s">
        <v>30</v>
      </c>
      <c r="E8466" s="3" t="s">
        <v>379</v>
      </c>
      <c r="F8466" s="4" t="str">
        <f aca="false">IF(I8466&gt;J8466,"Y","N")</f>
        <v>Y</v>
      </c>
      <c r="G8466" s="3" t="s">
        <v>378</v>
      </c>
      <c r="H8466" s="3" t="s">
        <v>34</v>
      </c>
      <c r="I8466" s="4" t="n">
        <v>9</v>
      </c>
      <c r="J8466" s="4" t="n">
        <f aca="false">LEN(E8466)-LEN(SUBSTITUTE(E8466,",",""))+1</f>
        <v>8</v>
      </c>
      <c r="K8466" s="3" t="str">
        <f aca="false">IFERROR(INDEX('Teacher Lookup'!$B$2:$B$200,MATCH(A8466,'Teacher Lookup'!$A$2:$A$200,0)),"")</f>
        <v>LAU Rachel</v>
      </c>
    </row>
    <row r="8467" customFormat="false" ht="15" hidden="false" customHeight="false" outlineLevel="0" collapsed="false">
      <c r="A8467" s="3" t="s">
        <v>498</v>
      </c>
      <c r="B8467" s="4" t="s">
        <v>40</v>
      </c>
      <c r="C8467" s="4" t="n">
        <v>6</v>
      </c>
      <c r="D8467" s="4" t="s">
        <v>102</v>
      </c>
      <c r="E8467" s="3" t="s">
        <v>314</v>
      </c>
      <c r="F8467" s="4" t="str">
        <f aca="false">IF(I8467&gt;J8467,"Y","N")</f>
        <v>Y</v>
      </c>
      <c r="G8467" s="3" t="s">
        <v>310</v>
      </c>
      <c r="H8467" s="3" t="s">
        <v>42</v>
      </c>
      <c r="I8467" s="4" t="n">
        <v>7</v>
      </c>
      <c r="J8467" s="4" t="n">
        <f aca="false">LEN(E8467)-LEN(SUBSTITUTE(E8467,",",""))+1</f>
        <v>6</v>
      </c>
      <c r="K8467" s="3" t="str">
        <f aca="false">IFERROR(INDEX('Teacher Lookup'!$B$2:$B$200,MATCH(A8467,'Teacher Lookup'!$A$2:$A$200,0)),"")</f>
        <v>LAU Rachel</v>
      </c>
    </row>
    <row r="8468" customFormat="false" ht="15" hidden="false" customHeight="false" outlineLevel="0" collapsed="false">
      <c r="A8468" s="3" t="s">
        <v>498</v>
      </c>
      <c r="B8468" s="4" t="s">
        <v>40</v>
      </c>
      <c r="C8468" s="4" t="n">
        <v>6</v>
      </c>
      <c r="D8468" s="4" t="s">
        <v>105</v>
      </c>
      <c r="E8468" s="3" t="s">
        <v>314</v>
      </c>
      <c r="F8468" s="4" t="str">
        <f aca="false">IF(I8468&gt;J8468,"Y","N")</f>
        <v>Y</v>
      </c>
      <c r="G8468" s="3" t="s">
        <v>310</v>
      </c>
      <c r="H8468" s="3" t="s">
        <v>42</v>
      </c>
      <c r="I8468" s="4" t="n">
        <v>7</v>
      </c>
      <c r="J8468" s="4" t="n">
        <f aca="false">LEN(E8468)-LEN(SUBSTITUTE(E8468,",",""))+1</f>
        <v>6</v>
      </c>
      <c r="K8468" s="3" t="str">
        <f aca="false">IFERROR(INDEX('Teacher Lookup'!$B$2:$B$200,MATCH(A8468,'Teacher Lookup'!$A$2:$A$200,0)),"")</f>
        <v>LAU Rachel</v>
      </c>
    </row>
    <row r="8469" customFormat="false" ht="15" hidden="false" customHeight="false" outlineLevel="0" collapsed="false">
      <c r="A8469" s="3" t="s">
        <v>498</v>
      </c>
      <c r="B8469" s="4" t="s">
        <v>40</v>
      </c>
      <c r="C8469" s="4" t="n">
        <v>6</v>
      </c>
      <c r="D8469" s="4" t="s">
        <v>106</v>
      </c>
      <c r="E8469" s="3" t="s">
        <v>314</v>
      </c>
      <c r="F8469" s="4" t="str">
        <f aca="false">IF(I8469&gt;J8469,"Y","N")</f>
        <v>Y</v>
      </c>
      <c r="G8469" s="3" t="s">
        <v>310</v>
      </c>
      <c r="H8469" s="3" t="s">
        <v>42</v>
      </c>
      <c r="I8469" s="4" t="n">
        <v>7</v>
      </c>
      <c r="J8469" s="4" t="n">
        <f aca="false">LEN(E8469)-LEN(SUBSTITUTE(E8469,",",""))+1</f>
        <v>6</v>
      </c>
      <c r="K8469" s="3" t="str">
        <f aca="false">IFERROR(INDEX('Teacher Lookup'!$B$2:$B$200,MATCH(A8469,'Teacher Lookup'!$A$2:$A$200,0)),"")</f>
        <v>LAU Rachel</v>
      </c>
    </row>
    <row r="8470" customFormat="false" ht="15" hidden="false" customHeight="false" outlineLevel="0" collapsed="false">
      <c r="A8470" s="3" t="s">
        <v>498</v>
      </c>
      <c r="B8470" s="4" t="s">
        <v>40</v>
      </c>
      <c r="C8470" s="4" t="n">
        <v>6</v>
      </c>
      <c r="D8470" s="4" t="s">
        <v>107</v>
      </c>
      <c r="E8470" s="3" t="s">
        <v>314</v>
      </c>
      <c r="F8470" s="4" t="str">
        <f aca="false">IF(I8470&gt;J8470,"Y","N")</f>
        <v>Y</v>
      </c>
      <c r="G8470" s="3" t="s">
        <v>310</v>
      </c>
      <c r="H8470" s="3" t="s">
        <v>42</v>
      </c>
      <c r="I8470" s="4" t="n">
        <v>7</v>
      </c>
      <c r="J8470" s="4" t="n">
        <f aca="false">LEN(E8470)-LEN(SUBSTITUTE(E8470,",",""))+1</f>
        <v>6</v>
      </c>
      <c r="K8470" s="3" t="str">
        <f aca="false">IFERROR(INDEX('Teacher Lookup'!$B$2:$B$200,MATCH(A8470,'Teacher Lookup'!$A$2:$A$200,0)),"")</f>
        <v>LAU Rachel</v>
      </c>
    </row>
    <row r="8471" customFormat="false" ht="15" hidden="false" customHeight="false" outlineLevel="0" collapsed="false">
      <c r="A8471" s="3" t="s">
        <v>498</v>
      </c>
      <c r="B8471" s="4" t="s">
        <v>40</v>
      </c>
      <c r="C8471" s="4" t="n">
        <v>7</v>
      </c>
      <c r="D8471" s="4" t="s">
        <v>102</v>
      </c>
      <c r="E8471" s="3" t="s">
        <v>314</v>
      </c>
      <c r="F8471" s="4" t="str">
        <f aca="false">IF(I8471&gt;J8471,"Y","N")</f>
        <v>Y</v>
      </c>
      <c r="G8471" s="3" t="s">
        <v>310</v>
      </c>
      <c r="H8471" s="3" t="s">
        <v>39</v>
      </c>
      <c r="I8471" s="4" t="n">
        <v>7</v>
      </c>
      <c r="J8471" s="4" t="n">
        <f aca="false">LEN(E8471)-LEN(SUBSTITUTE(E8471,",",""))+1</f>
        <v>6</v>
      </c>
      <c r="K8471" s="3" t="str">
        <f aca="false">IFERROR(INDEX('Teacher Lookup'!$B$2:$B$200,MATCH(A8471,'Teacher Lookup'!$A$2:$A$200,0)),"")</f>
        <v>LAU Rachel</v>
      </c>
    </row>
    <row r="8472" customFormat="false" ht="15" hidden="false" customHeight="false" outlineLevel="0" collapsed="false">
      <c r="A8472" s="3" t="s">
        <v>498</v>
      </c>
      <c r="B8472" s="4" t="s">
        <v>40</v>
      </c>
      <c r="C8472" s="4" t="n">
        <v>7</v>
      </c>
      <c r="D8472" s="4" t="s">
        <v>105</v>
      </c>
      <c r="E8472" s="3" t="s">
        <v>314</v>
      </c>
      <c r="F8472" s="4" t="str">
        <f aca="false">IF(I8472&gt;J8472,"Y","N")</f>
        <v>Y</v>
      </c>
      <c r="G8472" s="3" t="s">
        <v>310</v>
      </c>
      <c r="H8472" s="3" t="s">
        <v>39</v>
      </c>
      <c r="I8472" s="4" t="n">
        <v>7</v>
      </c>
      <c r="J8472" s="4" t="n">
        <f aca="false">LEN(E8472)-LEN(SUBSTITUTE(E8472,",",""))+1</f>
        <v>6</v>
      </c>
      <c r="K8472" s="3" t="str">
        <f aca="false">IFERROR(INDEX('Teacher Lookup'!$B$2:$B$200,MATCH(A8472,'Teacher Lookup'!$A$2:$A$200,0)),"")</f>
        <v>LAU Rachel</v>
      </c>
    </row>
    <row r="8473" customFormat="false" ht="15" hidden="false" customHeight="false" outlineLevel="0" collapsed="false">
      <c r="A8473" s="3" t="s">
        <v>498</v>
      </c>
      <c r="B8473" s="4" t="s">
        <v>40</v>
      </c>
      <c r="C8473" s="4" t="n">
        <v>7</v>
      </c>
      <c r="D8473" s="4" t="s">
        <v>106</v>
      </c>
      <c r="E8473" s="3" t="s">
        <v>314</v>
      </c>
      <c r="F8473" s="4" t="str">
        <f aca="false">IF(I8473&gt;J8473,"Y","N")</f>
        <v>Y</v>
      </c>
      <c r="G8473" s="3" t="s">
        <v>310</v>
      </c>
      <c r="H8473" s="3" t="s">
        <v>39</v>
      </c>
      <c r="I8473" s="4" t="n">
        <v>7</v>
      </c>
      <c r="J8473" s="4" t="n">
        <f aca="false">LEN(E8473)-LEN(SUBSTITUTE(E8473,",",""))+1</f>
        <v>6</v>
      </c>
      <c r="K8473" s="3" t="str">
        <f aca="false">IFERROR(INDEX('Teacher Lookup'!$B$2:$B$200,MATCH(A8473,'Teacher Lookup'!$A$2:$A$200,0)),"")</f>
        <v>LAU Rachel</v>
      </c>
    </row>
    <row r="8474" customFormat="false" ht="15" hidden="false" customHeight="false" outlineLevel="0" collapsed="false">
      <c r="A8474" s="3" t="s">
        <v>498</v>
      </c>
      <c r="B8474" s="4" t="s">
        <v>40</v>
      </c>
      <c r="C8474" s="4" t="n">
        <v>7</v>
      </c>
      <c r="D8474" s="4" t="s">
        <v>107</v>
      </c>
      <c r="E8474" s="3" t="s">
        <v>314</v>
      </c>
      <c r="F8474" s="4" t="str">
        <f aca="false">IF(I8474&gt;J8474,"Y","N")</f>
        <v>Y</v>
      </c>
      <c r="G8474" s="3" t="s">
        <v>310</v>
      </c>
      <c r="H8474" s="3" t="s">
        <v>39</v>
      </c>
      <c r="I8474" s="4" t="n">
        <v>7</v>
      </c>
      <c r="J8474" s="4" t="n">
        <f aca="false">LEN(E8474)-LEN(SUBSTITUTE(E8474,",",""))+1</f>
        <v>6</v>
      </c>
      <c r="K8474" s="3" t="str">
        <f aca="false">IFERROR(INDEX('Teacher Lookup'!$B$2:$B$200,MATCH(A8474,'Teacher Lookup'!$A$2:$A$200,0)),"")</f>
        <v>LAU Rachel</v>
      </c>
    </row>
    <row r="8475" customFormat="false" ht="15" hidden="false" customHeight="false" outlineLevel="0" collapsed="false">
      <c r="A8475" s="3" t="s">
        <v>498</v>
      </c>
      <c r="B8475" s="4" t="s">
        <v>44</v>
      </c>
      <c r="C8475" s="4" t="n">
        <v>1</v>
      </c>
      <c r="D8475" s="4" t="s">
        <v>24</v>
      </c>
      <c r="E8475" s="3" t="s">
        <v>380</v>
      </c>
      <c r="F8475" s="4" t="str">
        <f aca="false">IF(I8475&gt;J8475,"Y","N")</f>
        <v>Y</v>
      </c>
      <c r="G8475" s="3" t="s">
        <v>378</v>
      </c>
      <c r="H8475" s="3" t="s">
        <v>16</v>
      </c>
      <c r="I8475" s="4" t="n">
        <v>9</v>
      </c>
      <c r="J8475" s="4" t="n">
        <f aca="false">LEN(E8475)-LEN(SUBSTITUTE(E8475,",",""))+1</f>
        <v>8</v>
      </c>
      <c r="K8475" s="3" t="str">
        <f aca="false">IFERROR(INDEX('Teacher Lookup'!$B$2:$B$200,MATCH(A8475,'Teacher Lookup'!$A$2:$A$200,0)),"")</f>
        <v>LAU Rachel</v>
      </c>
    </row>
    <row r="8476" customFormat="false" ht="15" hidden="false" customHeight="false" outlineLevel="0" collapsed="false">
      <c r="A8476" s="3" t="s">
        <v>498</v>
      </c>
      <c r="B8476" s="4" t="s">
        <v>44</v>
      </c>
      <c r="C8476" s="4" t="n">
        <v>1</v>
      </c>
      <c r="D8476" s="4" t="s">
        <v>27</v>
      </c>
      <c r="E8476" s="3" t="s">
        <v>380</v>
      </c>
      <c r="F8476" s="4" t="str">
        <f aca="false">IF(I8476&gt;J8476,"Y","N")</f>
        <v>Y</v>
      </c>
      <c r="G8476" s="3" t="s">
        <v>378</v>
      </c>
      <c r="H8476" s="3" t="s">
        <v>16</v>
      </c>
      <c r="I8476" s="4" t="n">
        <v>9</v>
      </c>
      <c r="J8476" s="4" t="n">
        <f aca="false">LEN(E8476)-LEN(SUBSTITUTE(E8476,",",""))+1</f>
        <v>8</v>
      </c>
      <c r="K8476" s="3" t="str">
        <f aca="false">IFERROR(INDEX('Teacher Lookup'!$B$2:$B$200,MATCH(A8476,'Teacher Lookup'!$A$2:$A$200,0)),"")</f>
        <v>LAU Rachel</v>
      </c>
    </row>
    <row r="8477" customFormat="false" ht="15" hidden="false" customHeight="false" outlineLevel="0" collapsed="false">
      <c r="A8477" s="3" t="s">
        <v>498</v>
      </c>
      <c r="B8477" s="4" t="s">
        <v>44</v>
      </c>
      <c r="C8477" s="4" t="n">
        <v>1</v>
      </c>
      <c r="D8477" s="4" t="s">
        <v>28</v>
      </c>
      <c r="E8477" s="3" t="s">
        <v>380</v>
      </c>
      <c r="F8477" s="4" t="str">
        <f aca="false">IF(I8477&gt;J8477,"Y","N")</f>
        <v>Y</v>
      </c>
      <c r="G8477" s="3" t="s">
        <v>378</v>
      </c>
      <c r="H8477" s="3" t="s">
        <v>16</v>
      </c>
      <c r="I8477" s="4" t="n">
        <v>9</v>
      </c>
      <c r="J8477" s="4" t="n">
        <f aca="false">LEN(E8477)-LEN(SUBSTITUTE(E8477,",",""))+1</f>
        <v>8</v>
      </c>
      <c r="K8477" s="3" t="str">
        <f aca="false">IFERROR(INDEX('Teacher Lookup'!$B$2:$B$200,MATCH(A8477,'Teacher Lookup'!$A$2:$A$200,0)),"")</f>
        <v>LAU Rachel</v>
      </c>
    </row>
    <row r="8478" customFormat="false" ht="15" hidden="false" customHeight="false" outlineLevel="0" collapsed="false">
      <c r="A8478" s="3" t="s">
        <v>498</v>
      </c>
      <c r="B8478" s="4" t="s">
        <v>44</v>
      </c>
      <c r="C8478" s="4" t="n">
        <v>1</v>
      </c>
      <c r="D8478" s="4" t="s">
        <v>29</v>
      </c>
      <c r="E8478" s="3" t="s">
        <v>380</v>
      </c>
      <c r="F8478" s="4" t="str">
        <f aca="false">IF(I8478&gt;J8478,"Y","N")</f>
        <v>Y</v>
      </c>
      <c r="G8478" s="3" t="s">
        <v>378</v>
      </c>
      <c r="H8478" s="3" t="s">
        <v>16</v>
      </c>
      <c r="I8478" s="4" t="n">
        <v>9</v>
      </c>
      <c r="J8478" s="4" t="n">
        <f aca="false">LEN(E8478)-LEN(SUBSTITUTE(E8478,",",""))+1</f>
        <v>8</v>
      </c>
      <c r="K8478" s="3" t="str">
        <f aca="false">IFERROR(INDEX('Teacher Lookup'!$B$2:$B$200,MATCH(A8478,'Teacher Lookup'!$A$2:$A$200,0)),"")</f>
        <v>LAU Rachel</v>
      </c>
    </row>
    <row r="8479" customFormat="false" ht="15" hidden="false" customHeight="false" outlineLevel="0" collapsed="false">
      <c r="A8479" s="3" t="s">
        <v>498</v>
      </c>
      <c r="B8479" s="4" t="s">
        <v>44</v>
      </c>
      <c r="C8479" s="4" t="n">
        <v>1</v>
      </c>
      <c r="D8479" s="4" t="s">
        <v>30</v>
      </c>
      <c r="E8479" s="3" t="s">
        <v>380</v>
      </c>
      <c r="F8479" s="4" t="str">
        <f aca="false">IF(I8479&gt;J8479,"Y","N")</f>
        <v>Y</v>
      </c>
      <c r="G8479" s="3" t="s">
        <v>378</v>
      </c>
      <c r="H8479" s="3" t="s">
        <v>16</v>
      </c>
      <c r="I8479" s="4" t="n">
        <v>9</v>
      </c>
      <c r="J8479" s="4" t="n">
        <f aca="false">LEN(E8479)-LEN(SUBSTITUTE(E8479,",",""))+1</f>
        <v>8</v>
      </c>
      <c r="K8479" s="3" t="str">
        <f aca="false">IFERROR(INDEX('Teacher Lookup'!$B$2:$B$200,MATCH(A8479,'Teacher Lookup'!$A$2:$A$200,0)),"")</f>
        <v>LAU Rachel</v>
      </c>
    </row>
    <row r="8480" customFormat="false" ht="15" hidden="false" customHeight="false" outlineLevel="0" collapsed="false">
      <c r="A8480" s="3" t="s">
        <v>498</v>
      </c>
      <c r="B8480" s="4" t="s">
        <v>44</v>
      </c>
      <c r="C8480" s="4" t="n">
        <v>2</v>
      </c>
      <c r="D8480" s="4" t="s">
        <v>102</v>
      </c>
      <c r="E8480" s="3" t="s">
        <v>110</v>
      </c>
      <c r="F8480" s="4" t="str">
        <f aca="false">IF(I8480&gt;J8480,"Y","N")</f>
        <v>N</v>
      </c>
      <c r="G8480" s="3" t="s">
        <v>104</v>
      </c>
      <c r="H8480" s="3" t="s">
        <v>21</v>
      </c>
      <c r="I8480" s="4" t="n">
        <v>6</v>
      </c>
      <c r="J8480" s="4" t="n">
        <f aca="false">LEN(E8480)-LEN(SUBSTITUTE(E8480,",",""))+1</f>
        <v>6</v>
      </c>
      <c r="K8480" s="3" t="str">
        <f aca="false">IFERROR(INDEX('Teacher Lookup'!$B$2:$B$200,MATCH(A8480,'Teacher Lookup'!$A$2:$A$200,0)),"")</f>
        <v>LAU Rachel</v>
      </c>
    </row>
    <row r="8481" customFormat="false" ht="15" hidden="false" customHeight="false" outlineLevel="0" collapsed="false">
      <c r="A8481" s="3" t="s">
        <v>498</v>
      </c>
      <c r="B8481" s="4" t="s">
        <v>44</v>
      </c>
      <c r="C8481" s="4" t="n">
        <v>2</v>
      </c>
      <c r="D8481" s="4" t="s">
        <v>105</v>
      </c>
      <c r="E8481" s="3" t="s">
        <v>110</v>
      </c>
      <c r="F8481" s="4" t="str">
        <f aca="false">IF(I8481&gt;J8481,"Y","N")</f>
        <v>N</v>
      </c>
      <c r="G8481" s="3" t="s">
        <v>104</v>
      </c>
      <c r="H8481" s="3" t="s">
        <v>21</v>
      </c>
      <c r="I8481" s="4" t="n">
        <v>6</v>
      </c>
      <c r="J8481" s="4" t="n">
        <f aca="false">LEN(E8481)-LEN(SUBSTITUTE(E8481,",",""))+1</f>
        <v>6</v>
      </c>
      <c r="K8481" s="3" t="str">
        <f aca="false">IFERROR(INDEX('Teacher Lookup'!$B$2:$B$200,MATCH(A8481,'Teacher Lookup'!$A$2:$A$200,0)),"")</f>
        <v>LAU Rachel</v>
      </c>
    </row>
    <row r="8482" customFormat="false" ht="15" hidden="false" customHeight="false" outlineLevel="0" collapsed="false">
      <c r="A8482" s="3" t="s">
        <v>498</v>
      </c>
      <c r="B8482" s="4" t="s">
        <v>44</v>
      </c>
      <c r="C8482" s="4" t="n">
        <v>2</v>
      </c>
      <c r="D8482" s="4" t="s">
        <v>106</v>
      </c>
      <c r="E8482" s="3" t="s">
        <v>110</v>
      </c>
      <c r="F8482" s="4" t="str">
        <f aca="false">IF(I8482&gt;J8482,"Y","N")</f>
        <v>N</v>
      </c>
      <c r="G8482" s="3" t="s">
        <v>104</v>
      </c>
      <c r="H8482" s="3" t="s">
        <v>21</v>
      </c>
      <c r="I8482" s="4" t="n">
        <v>6</v>
      </c>
      <c r="J8482" s="4" t="n">
        <f aca="false">LEN(E8482)-LEN(SUBSTITUTE(E8482,",",""))+1</f>
        <v>6</v>
      </c>
      <c r="K8482" s="3" t="str">
        <f aca="false">IFERROR(INDEX('Teacher Lookup'!$B$2:$B$200,MATCH(A8482,'Teacher Lookup'!$A$2:$A$200,0)),"")</f>
        <v>LAU Rachel</v>
      </c>
    </row>
    <row r="8483" customFormat="false" ht="15" hidden="false" customHeight="false" outlineLevel="0" collapsed="false">
      <c r="A8483" s="3" t="s">
        <v>498</v>
      </c>
      <c r="B8483" s="4" t="s">
        <v>44</v>
      </c>
      <c r="C8483" s="4" t="n">
        <v>2</v>
      </c>
      <c r="D8483" s="4" t="s">
        <v>107</v>
      </c>
      <c r="E8483" s="3" t="s">
        <v>110</v>
      </c>
      <c r="F8483" s="4" t="str">
        <f aca="false">IF(I8483&gt;J8483,"Y","N")</f>
        <v>N</v>
      </c>
      <c r="G8483" s="3" t="s">
        <v>104</v>
      </c>
      <c r="H8483" s="3" t="s">
        <v>21</v>
      </c>
      <c r="I8483" s="4" t="n">
        <v>6</v>
      </c>
      <c r="J8483" s="4" t="n">
        <f aca="false">LEN(E8483)-LEN(SUBSTITUTE(E8483,",",""))+1</f>
        <v>6</v>
      </c>
      <c r="K8483" s="3" t="str">
        <f aca="false">IFERROR(INDEX('Teacher Lookup'!$B$2:$B$200,MATCH(A8483,'Teacher Lookup'!$A$2:$A$200,0)),"")</f>
        <v>LAU Rachel</v>
      </c>
    </row>
    <row r="8484" customFormat="false" ht="15" hidden="false" customHeight="false" outlineLevel="0" collapsed="false">
      <c r="A8484" s="3" t="s">
        <v>498</v>
      </c>
      <c r="B8484" s="4" t="s">
        <v>44</v>
      </c>
      <c r="C8484" s="4" t="n">
        <v>5</v>
      </c>
      <c r="D8484" s="4" t="s">
        <v>228</v>
      </c>
      <c r="E8484" s="3" t="s">
        <v>229</v>
      </c>
      <c r="F8484" s="4" t="str">
        <f aca="false">IF(I8484&gt;J8484,"Y","N")</f>
        <v>Y</v>
      </c>
      <c r="G8484" s="3" t="s">
        <v>36</v>
      </c>
      <c r="H8484" s="3" t="s">
        <v>37</v>
      </c>
      <c r="I8484" s="4" t="n">
        <v>14</v>
      </c>
      <c r="J8484" s="4" t="n">
        <f aca="false">LEN(E8484)-LEN(SUBSTITUTE(E8484,",",""))+1</f>
        <v>6</v>
      </c>
      <c r="K8484" s="3" t="str">
        <f aca="false">IFERROR(INDEX('Teacher Lookup'!$B$2:$B$200,MATCH(A8484,'Teacher Lookup'!$A$2:$A$200,0)),"")</f>
        <v>LAU Rachel</v>
      </c>
    </row>
    <row r="8485" customFormat="false" ht="15" hidden="false" customHeight="false" outlineLevel="0" collapsed="false">
      <c r="A8485" s="3" t="s">
        <v>498</v>
      </c>
      <c r="B8485" s="4" t="s">
        <v>44</v>
      </c>
      <c r="C8485" s="4" t="n">
        <v>5</v>
      </c>
      <c r="D8485" s="4" t="s">
        <v>102</v>
      </c>
      <c r="E8485" s="3" t="s">
        <v>229</v>
      </c>
      <c r="F8485" s="4" t="str">
        <f aca="false">IF(I8485&gt;J8485,"Y","N")</f>
        <v>Y</v>
      </c>
      <c r="G8485" s="3" t="s">
        <v>36</v>
      </c>
      <c r="H8485" s="3" t="s">
        <v>37</v>
      </c>
      <c r="I8485" s="4" t="n">
        <v>14</v>
      </c>
      <c r="J8485" s="4" t="n">
        <f aca="false">LEN(E8485)-LEN(SUBSTITUTE(E8485,",",""))+1</f>
        <v>6</v>
      </c>
      <c r="K8485" s="3" t="str">
        <f aca="false">IFERROR(INDEX('Teacher Lookup'!$B$2:$B$200,MATCH(A8485,'Teacher Lookup'!$A$2:$A$200,0)),"")</f>
        <v>LAU Rachel</v>
      </c>
    </row>
    <row r="8486" customFormat="false" ht="15" hidden="false" customHeight="false" outlineLevel="0" collapsed="false">
      <c r="A8486" s="3" t="s">
        <v>498</v>
      </c>
      <c r="B8486" s="4" t="s">
        <v>44</v>
      </c>
      <c r="C8486" s="4" t="n">
        <v>5</v>
      </c>
      <c r="D8486" s="4" t="s">
        <v>105</v>
      </c>
      <c r="E8486" s="3" t="s">
        <v>229</v>
      </c>
      <c r="F8486" s="4" t="str">
        <f aca="false">IF(I8486&gt;J8486,"Y","N")</f>
        <v>Y</v>
      </c>
      <c r="G8486" s="3" t="s">
        <v>36</v>
      </c>
      <c r="H8486" s="3" t="s">
        <v>37</v>
      </c>
      <c r="I8486" s="4" t="n">
        <v>14</v>
      </c>
      <c r="J8486" s="4" t="n">
        <f aca="false">LEN(E8486)-LEN(SUBSTITUTE(E8486,",",""))+1</f>
        <v>6</v>
      </c>
      <c r="K8486" s="3" t="str">
        <f aca="false">IFERROR(INDEX('Teacher Lookup'!$B$2:$B$200,MATCH(A8486,'Teacher Lookup'!$A$2:$A$200,0)),"")</f>
        <v>LAU Rachel</v>
      </c>
    </row>
    <row r="8487" customFormat="false" ht="15" hidden="false" customHeight="false" outlineLevel="0" collapsed="false">
      <c r="A8487" s="3" t="s">
        <v>498</v>
      </c>
      <c r="B8487" s="4" t="s">
        <v>44</v>
      </c>
      <c r="C8487" s="4" t="n">
        <v>5</v>
      </c>
      <c r="D8487" s="4" t="s">
        <v>106</v>
      </c>
      <c r="E8487" s="3" t="s">
        <v>229</v>
      </c>
      <c r="F8487" s="4" t="str">
        <f aca="false">IF(I8487&gt;J8487,"Y","N")</f>
        <v>Y</v>
      </c>
      <c r="G8487" s="3" t="s">
        <v>36</v>
      </c>
      <c r="H8487" s="3" t="s">
        <v>37</v>
      </c>
      <c r="I8487" s="4" t="n">
        <v>14</v>
      </c>
      <c r="J8487" s="4" t="n">
        <f aca="false">LEN(E8487)-LEN(SUBSTITUTE(E8487,",",""))+1</f>
        <v>6</v>
      </c>
      <c r="K8487" s="3" t="str">
        <f aca="false">IFERROR(INDEX('Teacher Lookup'!$B$2:$B$200,MATCH(A8487,'Teacher Lookup'!$A$2:$A$200,0)),"")</f>
        <v>LAU Rachel</v>
      </c>
    </row>
    <row r="8488" customFormat="false" ht="15" hidden="false" customHeight="false" outlineLevel="0" collapsed="false">
      <c r="A8488" s="3" t="s">
        <v>498</v>
      </c>
      <c r="B8488" s="4" t="s">
        <v>44</v>
      </c>
      <c r="C8488" s="4" t="n">
        <v>5</v>
      </c>
      <c r="D8488" s="4" t="s">
        <v>107</v>
      </c>
      <c r="E8488" s="3" t="s">
        <v>229</v>
      </c>
      <c r="F8488" s="4" t="str">
        <f aca="false">IF(I8488&gt;J8488,"Y","N")</f>
        <v>Y</v>
      </c>
      <c r="G8488" s="3" t="s">
        <v>36</v>
      </c>
      <c r="H8488" s="3" t="s">
        <v>37</v>
      </c>
      <c r="I8488" s="4" t="n">
        <v>14</v>
      </c>
      <c r="J8488" s="4" t="n">
        <f aca="false">LEN(E8488)-LEN(SUBSTITUTE(E8488,",",""))+1</f>
        <v>6</v>
      </c>
      <c r="K8488" s="3" t="str">
        <f aca="false">IFERROR(INDEX('Teacher Lookup'!$B$2:$B$200,MATCH(A8488,'Teacher Lookup'!$A$2:$A$200,0)),"")</f>
        <v>LAU Rachel</v>
      </c>
    </row>
    <row r="8489" customFormat="false" ht="15" hidden="false" customHeight="false" outlineLevel="0" collapsed="false">
      <c r="A8489" s="3" t="s">
        <v>498</v>
      </c>
      <c r="B8489" s="4" t="s">
        <v>44</v>
      </c>
      <c r="C8489" s="4" t="n">
        <v>7</v>
      </c>
      <c r="D8489" s="4" t="s">
        <v>52</v>
      </c>
      <c r="E8489" s="3" t="s">
        <v>243</v>
      </c>
      <c r="F8489" s="4" t="str">
        <f aca="false">IF(I8489&gt;J8489,"Y","N")</f>
        <v>N</v>
      </c>
      <c r="G8489" s="3" t="s">
        <v>239</v>
      </c>
      <c r="H8489" s="3" t="s">
        <v>39</v>
      </c>
      <c r="I8489" s="4" t="n">
        <v>7</v>
      </c>
      <c r="J8489" s="4" t="n">
        <f aca="false">LEN(E8489)-LEN(SUBSTITUTE(E8489,",",""))+1</f>
        <v>7</v>
      </c>
      <c r="K8489" s="3" t="str">
        <f aca="false">IFERROR(INDEX('Teacher Lookup'!$B$2:$B$200,MATCH(A8489,'Teacher Lookup'!$A$2:$A$200,0)),"")</f>
        <v>LAU Rachel</v>
      </c>
    </row>
    <row r="8490" customFormat="false" ht="15" hidden="false" customHeight="false" outlineLevel="0" collapsed="false">
      <c r="A8490" s="3" t="s">
        <v>498</v>
      </c>
      <c r="B8490" s="4" t="s">
        <v>44</v>
      </c>
      <c r="C8490" s="4" t="n">
        <v>7</v>
      </c>
      <c r="D8490" s="4" t="s">
        <v>55</v>
      </c>
      <c r="E8490" s="3" t="s">
        <v>243</v>
      </c>
      <c r="F8490" s="4" t="str">
        <f aca="false">IF(I8490&gt;J8490,"Y","N")</f>
        <v>N</v>
      </c>
      <c r="G8490" s="3" t="s">
        <v>239</v>
      </c>
      <c r="H8490" s="3" t="s">
        <v>39</v>
      </c>
      <c r="I8490" s="4" t="n">
        <v>7</v>
      </c>
      <c r="J8490" s="4" t="n">
        <f aca="false">LEN(E8490)-LEN(SUBSTITUTE(E8490,",",""))+1</f>
        <v>7</v>
      </c>
      <c r="K8490" s="3" t="str">
        <f aca="false">IFERROR(INDEX('Teacher Lookup'!$B$2:$B$200,MATCH(A8490,'Teacher Lookup'!$A$2:$A$200,0)),"")</f>
        <v>LAU Rachel</v>
      </c>
    </row>
    <row r="8491" customFormat="false" ht="15" hidden="false" customHeight="false" outlineLevel="0" collapsed="false">
      <c r="A8491" s="3" t="s">
        <v>498</v>
      </c>
      <c r="B8491" s="4" t="s">
        <v>44</v>
      </c>
      <c r="C8491" s="4" t="n">
        <v>7</v>
      </c>
      <c r="D8491" s="4" t="s">
        <v>56</v>
      </c>
      <c r="E8491" s="3" t="s">
        <v>243</v>
      </c>
      <c r="F8491" s="4" t="str">
        <f aca="false">IF(I8491&gt;J8491,"Y","N")</f>
        <v>N</v>
      </c>
      <c r="G8491" s="3" t="s">
        <v>239</v>
      </c>
      <c r="H8491" s="3" t="s">
        <v>39</v>
      </c>
      <c r="I8491" s="4" t="n">
        <v>7</v>
      </c>
      <c r="J8491" s="4" t="n">
        <f aca="false">LEN(E8491)-LEN(SUBSTITUTE(E8491,",",""))+1</f>
        <v>7</v>
      </c>
      <c r="K8491" s="3" t="str">
        <f aca="false">IFERROR(INDEX('Teacher Lookup'!$B$2:$B$200,MATCH(A8491,'Teacher Lookup'!$A$2:$A$200,0)),"")</f>
        <v>LAU Rachel</v>
      </c>
    </row>
    <row r="8492" customFormat="false" ht="15" hidden="false" customHeight="false" outlineLevel="0" collapsed="false">
      <c r="A8492" s="3" t="s">
        <v>498</v>
      </c>
      <c r="B8492" s="4" t="s">
        <v>44</v>
      </c>
      <c r="C8492" s="4" t="n">
        <v>7</v>
      </c>
      <c r="D8492" s="4" t="s">
        <v>57</v>
      </c>
      <c r="E8492" s="3" t="s">
        <v>243</v>
      </c>
      <c r="F8492" s="4" t="str">
        <f aca="false">IF(I8492&gt;J8492,"Y","N")</f>
        <v>N</v>
      </c>
      <c r="G8492" s="3" t="s">
        <v>239</v>
      </c>
      <c r="H8492" s="3" t="s">
        <v>39</v>
      </c>
      <c r="I8492" s="4" t="n">
        <v>7</v>
      </c>
      <c r="J8492" s="4" t="n">
        <f aca="false">LEN(E8492)-LEN(SUBSTITUTE(E8492,",",""))+1</f>
        <v>7</v>
      </c>
      <c r="K8492" s="3" t="str">
        <f aca="false">IFERROR(INDEX('Teacher Lookup'!$B$2:$B$200,MATCH(A8492,'Teacher Lookup'!$A$2:$A$200,0)),"")</f>
        <v>LAU Rachel</v>
      </c>
    </row>
    <row r="8493" customFormat="false" ht="15" hidden="false" customHeight="false" outlineLevel="0" collapsed="false">
      <c r="A8493" s="3" t="s">
        <v>498</v>
      </c>
      <c r="B8493" s="4" t="s">
        <v>44</v>
      </c>
      <c r="C8493" s="4" t="n">
        <v>7</v>
      </c>
      <c r="D8493" s="4" t="s">
        <v>58</v>
      </c>
      <c r="E8493" s="3" t="s">
        <v>243</v>
      </c>
      <c r="F8493" s="4" t="str">
        <f aca="false">IF(I8493&gt;J8493,"Y","N")</f>
        <v>N</v>
      </c>
      <c r="G8493" s="3" t="s">
        <v>239</v>
      </c>
      <c r="H8493" s="3" t="s">
        <v>39</v>
      </c>
      <c r="I8493" s="4" t="n">
        <v>7</v>
      </c>
      <c r="J8493" s="4" t="n">
        <f aca="false">LEN(E8493)-LEN(SUBSTITUTE(E8493,",",""))+1</f>
        <v>7</v>
      </c>
      <c r="K8493" s="3" t="str">
        <f aca="false">IFERROR(INDEX('Teacher Lookup'!$B$2:$B$200,MATCH(A8493,'Teacher Lookup'!$A$2:$A$200,0)),"")</f>
        <v>LAU Rachel</v>
      </c>
    </row>
    <row r="8494" customFormat="false" ht="15" hidden="false" customHeight="false" outlineLevel="0" collapsed="false">
      <c r="A8494" s="3" t="s">
        <v>498</v>
      </c>
      <c r="B8494" s="4" t="s">
        <v>44</v>
      </c>
      <c r="C8494" s="4" t="n">
        <v>7</v>
      </c>
      <c r="D8494" s="4" t="s">
        <v>59</v>
      </c>
      <c r="E8494" s="3" t="s">
        <v>243</v>
      </c>
      <c r="F8494" s="4" t="str">
        <f aca="false">IF(I8494&gt;J8494,"Y","N")</f>
        <v>N</v>
      </c>
      <c r="G8494" s="3" t="s">
        <v>239</v>
      </c>
      <c r="H8494" s="3" t="s">
        <v>39</v>
      </c>
      <c r="I8494" s="4" t="n">
        <v>7</v>
      </c>
      <c r="J8494" s="4" t="n">
        <f aca="false">LEN(E8494)-LEN(SUBSTITUTE(E8494,",",""))+1</f>
        <v>7</v>
      </c>
      <c r="K8494" s="3" t="str">
        <f aca="false">IFERROR(INDEX('Teacher Lookup'!$B$2:$B$200,MATCH(A8494,'Teacher Lookup'!$A$2:$A$200,0)),"")</f>
        <v>LAU Rachel</v>
      </c>
    </row>
    <row r="8495" customFormat="false" ht="15" hidden="false" customHeight="false" outlineLevel="0" collapsed="false">
      <c r="A8495" s="3" t="s">
        <v>498</v>
      </c>
      <c r="B8495" s="4" t="s">
        <v>47</v>
      </c>
      <c r="C8495" s="4" t="n">
        <v>2</v>
      </c>
      <c r="D8495" s="4" t="s">
        <v>102</v>
      </c>
      <c r="E8495" s="3" t="s">
        <v>315</v>
      </c>
      <c r="F8495" s="4" t="str">
        <f aca="false">IF(I8495&gt;J8495,"Y","N")</f>
        <v>Y</v>
      </c>
      <c r="G8495" s="3" t="s">
        <v>310</v>
      </c>
      <c r="H8495" s="3" t="s">
        <v>21</v>
      </c>
      <c r="I8495" s="4" t="n">
        <v>7</v>
      </c>
      <c r="J8495" s="4" t="n">
        <f aca="false">LEN(E8495)-LEN(SUBSTITUTE(E8495,",",""))+1</f>
        <v>6</v>
      </c>
      <c r="K8495" s="3" t="str">
        <f aca="false">IFERROR(INDEX('Teacher Lookup'!$B$2:$B$200,MATCH(A8495,'Teacher Lookup'!$A$2:$A$200,0)),"")</f>
        <v>LAU Rachel</v>
      </c>
    </row>
    <row r="8496" customFormat="false" ht="15" hidden="false" customHeight="false" outlineLevel="0" collapsed="false">
      <c r="A8496" s="3" t="s">
        <v>498</v>
      </c>
      <c r="B8496" s="4" t="s">
        <v>47</v>
      </c>
      <c r="C8496" s="4" t="n">
        <v>2</v>
      </c>
      <c r="D8496" s="4" t="s">
        <v>105</v>
      </c>
      <c r="E8496" s="3" t="s">
        <v>315</v>
      </c>
      <c r="F8496" s="4" t="str">
        <f aca="false">IF(I8496&gt;J8496,"Y","N")</f>
        <v>Y</v>
      </c>
      <c r="G8496" s="3" t="s">
        <v>310</v>
      </c>
      <c r="H8496" s="3" t="s">
        <v>21</v>
      </c>
      <c r="I8496" s="4" t="n">
        <v>7</v>
      </c>
      <c r="J8496" s="4" t="n">
        <f aca="false">LEN(E8496)-LEN(SUBSTITUTE(E8496,",",""))+1</f>
        <v>6</v>
      </c>
      <c r="K8496" s="3" t="str">
        <f aca="false">IFERROR(INDEX('Teacher Lookup'!$B$2:$B$200,MATCH(A8496,'Teacher Lookup'!$A$2:$A$200,0)),"")</f>
        <v>LAU Rachel</v>
      </c>
    </row>
    <row r="8497" customFormat="false" ht="15" hidden="false" customHeight="false" outlineLevel="0" collapsed="false">
      <c r="A8497" s="3" t="s">
        <v>498</v>
      </c>
      <c r="B8497" s="4" t="s">
        <v>47</v>
      </c>
      <c r="C8497" s="4" t="n">
        <v>2</v>
      </c>
      <c r="D8497" s="4" t="s">
        <v>106</v>
      </c>
      <c r="E8497" s="3" t="s">
        <v>315</v>
      </c>
      <c r="F8497" s="4" t="str">
        <f aca="false">IF(I8497&gt;J8497,"Y","N")</f>
        <v>Y</v>
      </c>
      <c r="G8497" s="3" t="s">
        <v>310</v>
      </c>
      <c r="H8497" s="3" t="s">
        <v>21</v>
      </c>
      <c r="I8497" s="4" t="n">
        <v>7</v>
      </c>
      <c r="J8497" s="4" t="n">
        <f aca="false">LEN(E8497)-LEN(SUBSTITUTE(E8497,",",""))+1</f>
        <v>6</v>
      </c>
      <c r="K8497" s="3" t="str">
        <f aca="false">IFERROR(INDEX('Teacher Lookup'!$B$2:$B$200,MATCH(A8497,'Teacher Lookup'!$A$2:$A$200,0)),"")</f>
        <v>LAU Rachel</v>
      </c>
    </row>
    <row r="8498" customFormat="false" ht="15" hidden="false" customHeight="false" outlineLevel="0" collapsed="false">
      <c r="A8498" s="3" t="s">
        <v>498</v>
      </c>
      <c r="B8498" s="4" t="s">
        <v>47</v>
      </c>
      <c r="C8498" s="4" t="n">
        <v>2</v>
      </c>
      <c r="D8498" s="4" t="s">
        <v>107</v>
      </c>
      <c r="E8498" s="3" t="s">
        <v>315</v>
      </c>
      <c r="F8498" s="4" t="str">
        <f aca="false">IF(I8498&gt;J8498,"Y","N")</f>
        <v>Y</v>
      </c>
      <c r="G8498" s="3" t="s">
        <v>310</v>
      </c>
      <c r="H8498" s="3" t="s">
        <v>21</v>
      </c>
      <c r="I8498" s="4" t="n">
        <v>7</v>
      </c>
      <c r="J8498" s="4" t="n">
        <f aca="false">LEN(E8498)-LEN(SUBSTITUTE(E8498,",",""))+1</f>
        <v>6</v>
      </c>
      <c r="K8498" s="3" t="str">
        <f aca="false">IFERROR(INDEX('Teacher Lookup'!$B$2:$B$200,MATCH(A8498,'Teacher Lookup'!$A$2:$A$200,0)),"")</f>
        <v>LAU Rachel</v>
      </c>
    </row>
    <row r="8499" customFormat="false" ht="15" hidden="false" customHeight="false" outlineLevel="0" collapsed="false">
      <c r="A8499" s="3" t="s">
        <v>498</v>
      </c>
      <c r="B8499" s="4" t="s">
        <v>47</v>
      </c>
      <c r="C8499" s="4" t="n">
        <v>3</v>
      </c>
      <c r="D8499" s="4" t="s">
        <v>24</v>
      </c>
      <c r="E8499" s="3" t="s">
        <v>381</v>
      </c>
      <c r="F8499" s="4" t="str">
        <f aca="false">IF(I8499&gt;J8499,"Y","N")</f>
        <v>N</v>
      </c>
      <c r="G8499" s="3" t="s">
        <v>378</v>
      </c>
      <c r="H8499" s="3" t="s">
        <v>26</v>
      </c>
      <c r="I8499" s="4" t="n">
        <v>8</v>
      </c>
      <c r="J8499" s="4" t="n">
        <f aca="false">LEN(E8499)-LEN(SUBSTITUTE(E8499,",",""))+1</f>
        <v>8</v>
      </c>
      <c r="K8499" s="3" t="str">
        <f aca="false">IFERROR(INDEX('Teacher Lookup'!$B$2:$B$200,MATCH(A8499,'Teacher Lookup'!$A$2:$A$200,0)),"")</f>
        <v>LAU Rachel</v>
      </c>
    </row>
    <row r="8500" customFormat="false" ht="15" hidden="false" customHeight="false" outlineLevel="0" collapsed="false">
      <c r="A8500" s="3" t="s">
        <v>498</v>
      </c>
      <c r="B8500" s="4" t="s">
        <v>47</v>
      </c>
      <c r="C8500" s="4" t="n">
        <v>3</v>
      </c>
      <c r="D8500" s="4" t="s">
        <v>27</v>
      </c>
      <c r="E8500" s="3" t="s">
        <v>381</v>
      </c>
      <c r="F8500" s="4" t="str">
        <f aca="false">IF(I8500&gt;J8500,"Y","N")</f>
        <v>N</v>
      </c>
      <c r="G8500" s="3" t="s">
        <v>378</v>
      </c>
      <c r="H8500" s="3" t="s">
        <v>26</v>
      </c>
      <c r="I8500" s="4" t="n">
        <v>8</v>
      </c>
      <c r="J8500" s="4" t="n">
        <f aca="false">LEN(E8500)-LEN(SUBSTITUTE(E8500,",",""))+1</f>
        <v>8</v>
      </c>
      <c r="K8500" s="3" t="str">
        <f aca="false">IFERROR(INDEX('Teacher Lookup'!$B$2:$B$200,MATCH(A8500,'Teacher Lookup'!$A$2:$A$200,0)),"")</f>
        <v>LAU Rachel</v>
      </c>
    </row>
    <row r="8501" customFormat="false" ht="15" hidden="false" customHeight="false" outlineLevel="0" collapsed="false">
      <c r="A8501" s="3" t="s">
        <v>498</v>
      </c>
      <c r="B8501" s="4" t="s">
        <v>47</v>
      </c>
      <c r="C8501" s="4" t="n">
        <v>3</v>
      </c>
      <c r="D8501" s="4" t="s">
        <v>28</v>
      </c>
      <c r="E8501" s="3" t="s">
        <v>381</v>
      </c>
      <c r="F8501" s="4" t="str">
        <f aca="false">IF(I8501&gt;J8501,"Y","N")</f>
        <v>N</v>
      </c>
      <c r="G8501" s="3" t="s">
        <v>378</v>
      </c>
      <c r="H8501" s="3" t="s">
        <v>26</v>
      </c>
      <c r="I8501" s="4" t="n">
        <v>8</v>
      </c>
      <c r="J8501" s="4" t="n">
        <f aca="false">LEN(E8501)-LEN(SUBSTITUTE(E8501,",",""))+1</f>
        <v>8</v>
      </c>
      <c r="K8501" s="3" t="str">
        <f aca="false">IFERROR(INDEX('Teacher Lookup'!$B$2:$B$200,MATCH(A8501,'Teacher Lookup'!$A$2:$A$200,0)),"")</f>
        <v>LAU Rachel</v>
      </c>
    </row>
    <row r="8502" customFormat="false" ht="15" hidden="false" customHeight="false" outlineLevel="0" collapsed="false">
      <c r="A8502" s="3" t="s">
        <v>498</v>
      </c>
      <c r="B8502" s="4" t="s">
        <v>47</v>
      </c>
      <c r="C8502" s="4" t="n">
        <v>3</v>
      </c>
      <c r="D8502" s="4" t="s">
        <v>29</v>
      </c>
      <c r="E8502" s="3" t="s">
        <v>381</v>
      </c>
      <c r="F8502" s="4" t="str">
        <f aca="false">IF(I8502&gt;J8502,"Y","N")</f>
        <v>N</v>
      </c>
      <c r="G8502" s="3" t="s">
        <v>378</v>
      </c>
      <c r="H8502" s="3" t="s">
        <v>26</v>
      </c>
      <c r="I8502" s="4" t="n">
        <v>8</v>
      </c>
      <c r="J8502" s="4" t="n">
        <f aca="false">LEN(E8502)-LEN(SUBSTITUTE(E8502,",",""))+1</f>
        <v>8</v>
      </c>
      <c r="K8502" s="3" t="str">
        <f aca="false">IFERROR(INDEX('Teacher Lookup'!$B$2:$B$200,MATCH(A8502,'Teacher Lookup'!$A$2:$A$200,0)),"")</f>
        <v>LAU Rachel</v>
      </c>
    </row>
    <row r="8503" customFormat="false" ht="15" hidden="false" customHeight="false" outlineLevel="0" collapsed="false">
      <c r="A8503" s="3" t="s">
        <v>498</v>
      </c>
      <c r="B8503" s="4" t="s">
        <v>47</v>
      </c>
      <c r="C8503" s="4" t="n">
        <v>3</v>
      </c>
      <c r="D8503" s="4" t="s">
        <v>30</v>
      </c>
      <c r="E8503" s="3" t="s">
        <v>381</v>
      </c>
      <c r="F8503" s="4" t="str">
        <f aca="false">IF(I8503&gt;J8503,"Y","N")</f>
        <v>N</v>
      </c>
      <c r="G8503" s="3" t="s">
        <v>378</v>
      </c>
      <c r="H8503" s="3" t="s">
        <v>26</v>
      </c>
      <c r="I8503" s="4" t="n">
        <v>8</v>
      </c>
      <c r="J8503" s="4" t="n">
        <f aca="false">LEN(E8503)-LEN(SUBSTITUTE(E8503,",",""))+1</f>
        <v>8</v>
      </c>
      <c r="K8503" s="3" t="str">
        <f aca="false">IFERROR(INDEX('Teacher Lookup'!$B$2:$B$200,MATCH(A8503,'Teacher Lookup'!$A$2:$A$200,0)),"")</f>
        <v>LAU Rachel</v>
      </c>
    </row>
    <row r="8504" customFormat="false" ht="15" hidden="false" customHeight="false" outlineLevel="0" collapsed="false">
      <c r="A8504" s="3" t="s">
        <v>498</v>
      </c>
      <c r="B8504" s="4" t="s">
        <v>47</v>
      </c>
      <c r="C8504" s="4" t="n">
        <v>4</v>
      </c>
      <c r="D8504" s="4" t="s">
        <v>24</v>
      </c>
      <c r="E8504" s="3" t="s">
        <v>381</v>
      </c>
      <c r="F8504" s="4" t="str">
        <f aca="false">IF(I8504&gt;J8504,"Y","N")</f>
        <v>N</v>
      </c>
      <c r="G8504" s="3" t="s">
        <v>378</v>
      </c>
      <c r="H8504" s="3" t="s">
        <v>34</v>
      </c>
      <c r="I8504" s="4" t="n">
        <v>8</v>
      </c>
      <c r="J8504" s="4" t="n">
        <f aca="false">LEN(E8504)-LEN(SUBSTITUTE(E8504,",",""))+1</f>
        <v>8</v>
      </c>
      <c r="K8504" s="3" t="str">
        <f aca="false">IFERROR(INDEX('Teacher Lookup'!$B$2:$B$200,MATCH(A8504,'Teacher Lookup'!$A$2:$A$200,0)),"")</f>
        <v>LAU Rachel</v>
      </c>
    </row>
    <row r="8505" customFormat="false" ht="15" hidden="false" customHeight="false" outlineLevel="0" collapsed="false">
      <c r="A8505" s="3" t="s">
        <v>498</v>
      </c>
      <c r="B8505" s="4" t="s">
        <v>47</v>
      </c>
      <c r="C8505" s="4" t="n">
        <v>4</v>
      </c>
      <c r="D8505" s="4" t="s">
        <v>27</v>
      </c>
      <c r="E8505" s="3" t="s">
        <v>381</v>
      </c>
      <c r="F8505" s="4" t="str">
        <f aca="false">IF(I8505&gt;J8505,"Y","N")</f>
        <v>N</v>
      </c>
      <c r="G8505" s="3" t="s">
        <v>378</v>
      </c>
      <c r="H8505" s="3" t="s">
        <v>34</v>
      </c>
      <c r="I8505" s="4" t="n">
        <v>8</v>
      </c>
      <c r="J8505" s="4" t="n">
        <f aca="false">LEN(E8505)-LEN(SUBSTITUTE(E8505,",",""))+1</f>
        <v>8</v>
      </c>
      <c r="K8505" s="3" t="str">
        <f aca="false">IFERROR(INDEX('Teacher Lookup'!$B$2:$B$200,MATCH(A8505,'Teacher Lookup'!$A$2:$A$200,0)),"")</f>
        <v>LAU Rachel</v>
      </c>
    </row>
    <row r="8506" customFormat="false" ht="15" hidden="false" customHeight="false" outlineLevel="0" collapsed="false">
      <c r="A8506" s="3" t="s">
        <v>498</v>
      </c>
      <c r="B8506" s="4" t="s">
        <v>47</v>
      </c>
      <c r="C8506" s="4" t="n">
        <v>4</v>
      </c>
      <c r="D8506" s="4" t="s">
        <v>28</v>
      </c>
      <c r="E8506" s="3" t="s">
        <v>381</v>
      </c>
      <c r="F8506" s="4" t="str">
        <f aca="false">IF(I8506&gt;J8506,"Y","N")</f>
        <v>N</v>
      </c>
      <c r="G8506" s="3" t="s">
        <v>378</v>
      </c>
      <c r="H8506" s="3" t="s">
        <v>34</v>
      </c>
      <c r="I8506" s="4" t="n">
        <v>8</v>
      </c>
      <c r="J8506" s="4" t="n">
        <f aca="false">LEN(E8506)-LEN(SUBSTITUTE(E8506,",",""))+1</f>
        <v>8</v>
      </c>
      <c r="K8506" s="3" t="str">
        <f aca="false">IFERROR(INDEX('Teacher Lookup'!$B$2:$B$200,MATCH(A8506,'Teacher Lookup'!$A$2:$A$200,0)),"")</f>
        <v>LAU Rachel</v>
      </c>
    </row>
    <row r="8507" customFormat="false" ht="15" hidden="false" customHeight="false" outlineLevel="0" collapsed="false">
      <c r="A8507" s="3" t="s">
        <v>498</v>
      </c>
      <c r="B8507" s="4" t="s">
        <v>47</v>
      </c>
      <c r="C8507" s="4" t="n">
        <v>4</v>
      </c>
      <c r="D8507" s="4" t="s">
        <v>29</v>
      </c>
      <c r="E8507" s="3" t="s">
        <v>381</v>
      </c>
      <c r="F8507" s="4" t="str">
        <f aca="false">IF(I8507&gt;J8507,"Y","N")</f>
        <v>N</v>
      </c>
      <c r="G8507" s="3" t="s">
        <v>378</v>
      </c>
      <c r="H8507" s="3" t="s">
        <v>34</v>
      </c>
      <c r="I8507" s="4" t="n">
        <v>8</v>
      </c>
      <c r="J8507" s="4" t="n">
        <f aca="false">LEN(E8507)-LEN(SUBSTITUTE(E8507,",",""))+1</f>
        <v>8</v>
      </c>
      <c r="K8507" s="3" t="str">
        <f aca="false">IFERROR(INDEX('Teacher Lookup'!$B$2:$B$200,MATCH(A8507,'Teacher Lookup'!$A$2:$A$200,0)),"")</f>
        <v>LAU Rachel</v>
      </c>
    </row>
    <row r="8508" customFormat="false" ht="15" hidden="false" customHeight="false" outlineLevel="0" collapsed="false">
      <c r="A8508" s="3" t="s">
        <v>498</v>
      </c>
      <c r="B8508" s="4" t="s">
        <v>47</v>
      </c>
      <c r="C8508" s="4" t="n">
        <v>4</v>
      </c>
      <c r="D8508" s="4" t="s">
        <v>30</v>
      </c>
      <c r="E8508" s="3" t="s">
        <v>381</v>
      </c>
      <c r="F8508" s="4" t="str">
        <f aca="false">IF(I8508&gt;J8508,"Y","N")</f>
        <v>N</v>
      </c>
      <c r="G8508" s="3" t="s">
        <v>378</v>
      </c>
      <c r="H8508" s="3" t="s">
        <v>34</v>
      </c>
      <c r="I8508" s="4" t="n">
        <v>8</v>
      </c>
      <c r="J8508" s="4" t="n">
        <f aca="false">LEN(E8508)-LEN(SUBSTITUTE(E8508,",",""))+1</f>
        <v>8</v>
      </c>
      <c r="K8508" s="3" t="str">
        <f aca="false">IFERROR(INDEX('Teacher Lookup'!$B$2:$B$200,MATCH(A8508,'Teacher Lookup'!$A$2:$A$200,0)),"")</f>
        <v>LAU Rachel</v>
      </c>
    </row>
    <row r="8509" customFormat="false" ht="15" hidden="false" customHeight="false" outlineLevel="0" collapsed="false">
      <c r="A8509" s="3" t="s">
        <v>498</v>
      </c>
      <c r="B8509" s="4" t="s">
        <v>47</v>
      </c>
      <c r="C8509" s="4" t="n">
        <v>5</v>
      </c>
      <c r="D8509" s="4" t="s">
        <v>102</v>
      </c>
      <c r="E8509" s="3" t="s">
        <v>116</v>
      </c>
      <c r="F8509" s="4" t="str">
        <f aca="false">IF(I8509&gt;J8509,"Y","N")</f>
        <v>N</v>
      </c>
      <c r="G8509" s="3" t="s">
        <v>104</v>
      </c>
      <c r="H8509" s="3" t="s">
        <v>37</v>
      </c>
      <c r="I8509" s="4" t="n">
        <v>6</v>
      </c>
      <c r="J8509" s="4" t="n">
        <f aca="false">LEN(E8509)-LEN(SUBSTITUTE(E8509,",",""))+1</f>
        <v>6</v>
      </c>
      <c r="K8509" s="3" t="str">
        <f aca="false">IFERROR(INDEX('Teacher Lookup'!$B$2:$B$200,MATCH(A8509,'Teacher Lookup'!$A$2:$A$200,0)),"")</f>
        <v>LAU Rachel</v>
      </c>
    </row>
    <row r="8510" customFormat="false" ht="15" hidden="false" customHeight="false" outlineLevel="0" collapsed="false">
      <c r="A8510" s="3" t="s">
        <v>498</v>
      </c>
      <c r="B8510" s="4" t="s">
        <v>47</v>
      </c>
      <c r="C8510" s="4" t="n">
        <v>5</v>
      </c>
      <c r="D8510" s="4" t="s">
        <v>105</v>
      </c>
      <c r="E8510" s="3" t="s">
        <v>116</v>
      </c>
      <c r="F8510" s="4" t="str">
        <f aca="false">IF(I8510&gt;J8510,"Y","N")</f>
        <v>N</v>
      </c>
      <c r="G8510" s="3" t="s">
        <v>104</v>
      </c>
      <c r="H8510" s="3" t="s">
        <v>37</v>
      </c>
      <c r="I8510" s="4" t="n">
        <v>6</v>
      </c>
      <c r="J8510" s="4" t="n">
        <f aca="false">LEN(E8510)-LEN(SUBSTITUTE(E8510,",",""))+1</f>
        <v>6</v>
      </c>
      <c r="K8510" s="3" t="str">
        <f aca="false">IFERROR(INDEX('Teacher Lookup'!$B$2:$B$200,MATCH(A8510,'Teacher Lookup'!$A$2:$A$200,0)),"")</f>
        <v>LAU Rachel</v>
      </c>
    </row>
    <row r="8511" customFormat="false" ht="15" hidden="false" customHeight="false" outlineLevel="0" collapsed="false">
      <c r="A8511" s="3" t="s">
        <v>498</v>
      </c>
      <c r="B8511" s="4" t="s">
        <v>47</v>
      </c>
      <c r="C8511" s="4" t="n">
        <v>5</v>
      </c>
      <c r="D8511" s="4" t="s">
        <v>106</v>
      </c>
      <c r="E8511" s="3" t="s">
        <v>116</v>
      </c>
      <c r="F8511" s="4" t="str">
        <f aca="false">IF(I8511&gt;J8511,"Y","N")</f>
        <v>N</v>
      </c>
      <c r="G8511" s="3" t="s">
        <v>104</v>
      </c>
      <c r="H8511" s="3" t="s">
        <v>37</v>
      </c>
      <c r="I8511" s="4" t="n">
        <v>6</v>
      </c>
      <c r="J8511" s="4" t="n">
        <f aca="false">LEN(E8511)-LEN(SUBSTITUTE(E8511,",",""))+1</f>
        <v>6</v>
      </c>
      <c r="K8511" s="3" t="str">
        <f aca="false">IFERROR(INDEX('Teacher Lookup'!$B$2:$B$200,MATCH(A8511,'Teacher Lookup'!$A$2:$A$200,0)),"")</f>
        <v>LAU Rachel</v>
      </c>
    </row>
    <row r="8512" customFormat="false" ht="15" hidden="false" customHeight="false" outlineLevel="0" collapsed="false">
      <c r="A8512" s="3" t="s">
        <v>498</v>
      </c>
      <c r="B8512" s="4" t="s">
        <v>47</v>
      </c>
      <c r="C8512" s="4" t="n">
        <v>5</v>
      </c>
      <c r="D8512" s="4" t="s">
        <v>107</v>
      </c>
      <c r="E8512" s="3" t="s">
        <v>116</v>
      </c>
      <c r="F8512" s="4" t="str">
        <f aca="false">IF(I8512&gt;J8512,"Y","N")</f>
        <v>N</v>
      </c>
      <c r="G8512" s="3" t="s">
        <v>104</v>
      </c>
      <c r="H8512" s="3" t="s">
        <v>37</v>
      </c>
      <c r="I8512" s="4" t="n">
        <v>6</v>
      </c>
      <c r="J8512" s="4" t="n">
        <f aca="false">LEN(E8512)-LEN(SUBSTITUTE(E8512,",",""))+1</f>
        <v>6</v>
      </c>
      <c r="K8512" s="3" t="str">
        <f aca="false">IFERROR(INDEX('Teacher Lookup'!$B$2:$B$200,MATCH(A8512,'Teacher Lookup'!$A$2:$A$200,0)),"")</f>
        <v>LAU Rachel</v>
      </c>
    </row>
    <row r="8513" customFormat="false" ht="15" hidden="false" customHeight="false" outlineLevel="0" collapsed="false">
      <c r="A8513" s="3" t="s">
        <v>498</v>
      </c>
      <c r="B8513" s="4" t="s">
        <v>47</v>
      </c>
      <c r="C8513" s="4" t="n">
        <v>7</v>
      </c>
      <c r="D8513" s="4" t="s">
        <v>52</v>
      </c>
      <c r="E8513" s="3" t="s">
        <v>244</v>
      </c>
      <c r="F8513" s="4" t="str">
        <f aca="false">IF(I8513&gt;J8513,"Y","N")</f>
        <v>N</v>
      </c>
      <c r="G8513" s="3" t="s">
        <v>239</v>
      </c>
      <c r="H8513" s="3" t="s">
        <v>39</v>
      </c>
      <c r="I8513" s="4" t="n">
        <v>7</v>
      </c>
      <c r="J8513" s="4" t="n">
        <f aca="false">LEN(E8513)-LEN(SUBSTITUTE(E8513,",",""))+1</f>
        <v>7</v>
      </c>
      <c r="K8513" s="3" t="str">
        <f aca="false">IFERROR(INDEX('Teacher Lookup'!$B$2:$B$200,MATCH(A8513,'Teacher Lookup'!$A$2:$A$200,0)),"")</f>
        <v>LAU Rachel</v>
      </c>
    </row>
    <row r="8514" customFormat="false" ht="15" hidden="false" customHeight="false" outlineLevel="0" collapsed="false">
      <c r="A8514" s="3" t="s">
        <v>498</v>
      </c>
      <c r="B8514" s="4" t="s">
        <v>47</v>
      </c>
      <c r="C8514" s="4" t="n">
        <v>7</v>
      </c>
      <c r="D8514" s="4" t="s">
        <v>55</v>
      </c>
      <c r="E8514" s="3" t="s">
        <v>244</v>
      </c>
      <c r="F8514" s="4" t="str">
        <f aca="false">IF(I8514&gt;J8514,"Y","N")</f>
        <v>N</v>
      </c>
      <c r="G8514" s="3" t="s">
        <v>239</v>
      </c>
      <c r="H8514" s="3" t="s">
        <v>39</v>
      </c>
      <c r="I8514" s="4" t="n">
        <v>7</v>
      </c>
      <c r="J8514" s="4" t="n">
        <f aca="false">LEN(E8514)-LEN(SUBSTITUTE(E8514,",",""))+1</f>
        <v>7</v>
      </c>
      <c r="K8514" s="3" t="str">
        <f aca="false">IFERROR(INDEX('Teacher Lookup'!$B$2:$B$200,MATCH(A8514,'Teacher Lookup'!$A$2:$A$200,0)),"")</f>
        <v>LAU Rachel</v>
      </c>
    </row>
    <row r="8515" customFormat="false" ht="15" hidden="false" customHeight="false" outlineLevel="0" collapsed="false">
      <c r="A8515" s="3" t="s">
        <v>498</v>
      </c>
      <c r="B8515" s="4" t="s">
        <v>47</v>
      </c>
      <c r="C8515" s="4" t="n">
        <v>7</v>
      </c>
      <c r="D8515" s="4" t="s">
        <v>56</v>
      </c>
      <c r="E8515" s="3" t="s">
        <v>244</v>
      </c>
      <c r="F8515" s="4" t="str">
        <f aca="false">IF(I8515&gt;J8515,"Y","N")</f>
        <v>N</v>
      </c>
      <c r="G8515" s="3" t="s">
        <v>239</v>
      </c>
      <c r="H8515" s="3" t="s">
        <v>39</v>
      </c>
      <c r="I8515" s="4" t="n">
        <v>7</v>
      </c>
      <c r="J8515" s="4" t="n">
        <f aca="false">LEN(E8515)-LEN(SUBSTITUTE(E8515,",",""))+1</f>
        <v>7</v>
      </c>
      <c r="K8515" s="3" t="str">
        <f aca="false">IFERROR(INDEX('Teacher Lookup'!$B$2:$B$200,MATCH(A8515,'Teacher Lookup'!$A$2:$A$200,0)),"")</f>
        <v>LAU Rachel</v>
      </c>
    </row>
    <row r="8516" customFormat="false" ht="15" hidden="false" customHeight="false" outlineLevel="0" collapsed="false">
      <c r="A8516" s="3" t="s">
        <v>498</v>
      </c>
      <c r="B8516" s="4" t="s">
        <v>47</v>
      </c>
      <c r="C8516" s="4" t="n">
        <v>7</v>
      </c>
      <c r="D8516" s="4" t="s">
        <v>57</v>
      </c>
      <c r="E8516" s="3" t="s">
        <v>244</v>
      </c>
      <c r="F8516" s="4" t="str">
        <f aca="false">IF(I8516&gt;J8516,"Y","N")</f>
        <v>N</v>
      </c>
      <c r="G8516" s="3" t="s">
        <v>239</v>
      </c>
      <c r="H8516" s="3" t="s">
        <v>39</v>
      </c>
      <c r="I8516" s="4" t="n">
        <v>7</v>
      </c>
      <c r="J8516" s="4" t="n">
        <f aca="false">LEN(E8516)-LEN(SUBSTITUTE(E8516,",",""))+1</f>
        <v>7</v>
      </c>
      <c r="K8516" s="3" t="str">
        <f aca="false">IFERROR(INDEX('Teacher Lookup'!$B$2:$B$200,MATCH(A8516,'Teacher Lookup'!$A$2:$A$200,0)),"")</f>
        <v>LAU Rachel</v>
      </c>
    </row>
    <row r="8517" customFormat="false" ht="15" hidden="false" customHeight="false" outlineLevel="0" collapsed="false">
      <c r="A8517" s="3" t="s">
        <v>498</v>
      </c>
      <c r="B8517" s="4" t="s">
        <v>47</v>
      </c>
      <c r="C8517" s="4" t="n">
        <v>7</v>
      </c>
      <c r="D8517" s="4" t="s">
        <v>58</v>
      </c>
      <c r="E8517" s="3" t="s">
        <v>244</v>
      </c>
      <c r="F8517" s="4" t="str">
        <f aca="false">IF(I8517&gt;J8517,"Y","N")</f>
        <v>N</v>
      </c>
      <c r="G8517" s="3" t="s">
        <v>239</v>
      </c>
      <c r="H8517" s="3" t="s">
        <v>39</v>
      </c>
      <c r="I8517" s="4" t="n">
        <v>7</v>
      </c>
      <c r="J8517" s="4" t="n">
        <f aca="false">LEN(E8517)-LEN(SUBSTITUTE(E8517,",",""))+1</f>
        <v>7</v>
      </c>
      <c r="K8517" s="3" t="str">
        <f aca="false">IFERROR(INDEX('Teacher Lookup'!$B$2:$B$200,MATCH(A8517,'Teacher Lookup'!$A$2:$A$200,0)),"")</f>
        <v>LAU Rachel</v>
      </c>
    </row>
    <row r="8518" customFormat="false" ht="15" hidden="false" customHeight="false" outlineLevel="0" collapsed="false">
      <c r="A8518" s="3" t="s">
        <v>498</v>
      </c>
      <c r="B8518" s="4" t="s">
        <v>47</v>
      </c>
      <c r="C8518" s="4" t="n">
        <v>7</v>
      </c>
      <c r="D8518" s="4" t="s">
        <v>59</v>
      </c>
      <c r="E8518" s="3" t="s">
        <v>244</v>
      </c>
      <c r="F8518" s="4" t="str">
        <f aca="false">IF(I8518&gt;J8518,"Y","N")</f>
        <v>N</v>
      </c>
      <c r="G8518" s="3" t="s">
        <v>239</v>
      </c>
      <c r="H8518" s="3" t="s">
        <v>39</v>
      </c>
      <c r="I8518" s="4" t="n">
        <v>7</v>
      </c>
      <c r="J8518" s="4" t="n">
        <f aca="false">LEN(E8518)-LEN(SUBSTITUTE(E8518,",",""))+1</f>
        <v>7</v>
      </c>
      <c r="K8518" s="3" t="str">
        <f aca="false">IFERROR(INDEX('Teacher Lookup'!$B$2:$B$200,MATCH(A8518,'Teacher Lookup'!$A$2:$A$200,0)),"")</f>
        <v>LAU Rachel</v>
      </c>
    </row>
    <row r="8519" customFormat="false" ht="15" hidden="false" customHeight="false" outlineLevel="0" collapsed="false">
      <c r="A8519" s="3" t="s">
        <v>498</v>
      </c>
      <c r="B8519" s="4" t="s">
        <v>50</v>
      </c>
      <c r="C8519" s="4" t="n">
        <v>2</v>
      </c>
      <c r="D8519" s="4" t="s">
        <v>102</v>
      </c>
      <c r="E8519" s="3" t="s">
        <v>118</v>
      </c>
      <c r="F8519" s="4" t="str">
        <f aca="false">IF(I8519&gt;J8519,"Y","N")</f>
        <v>N</v>
      </c>
      <c r="G8519" s="3" t="s">
        <v>104</v>
      </c>
      <c r="H8519" s="3" t="s">
        <v>21</v>
      </c>
      <c r="I8519" s="4" t="n">
        <v>6</v>
      </c>
      <c r="J8519" s="4" t="n">
        <f aca="false">LEN(E8519)-LEN(SUBSTITUTE(E8519,",",""))+1</f>
        <v>6</v>
      </c>
      <c r="K8519" s="3" t="str">
        <f aca="false">IFERROR(INDEX('Teacher Lookup'!$B$2:$B$200,MATCH(A8519,'Teacher Lookup'!$A$2:$A$200,0)),"")</f>
        <v>LAU Rachel</v>
      </c>
    </row>
    <row r="8520" customFormat="false" ht="15" hidden="false" customHeight="false" outlineLevel="0" collapsed="false">
      <c r="A8520" s="3" t="s">
        <v>498</v>
      </c>
      <c r="B8520" s="4" t="s">
        <v>50</v>
      </c>
      <c r="C8520" s="4" t="n">
        <v>2</v>
      </c>
      <c r="D8520" s="4" t="s">
        <v>105</v>
      </c>
      <c r="E8520" s="3" t="s">
        <v>118</v>
      </c>
      <c r="F8520" s="4" t="str">
        <f aca="false">IF(I8520&gt;J8520,"Y","N")</f>
        <v>N</v>
      </c>
      <c r="G8520" s="3" t="s">
        <v>104</v>
      </c>
      <c r="H8520" s="3" t="s">
        <v>21</v>
      </c>
      <c r="I8520" s="4" t="n">
        <v>6</v>
      </c>
      <c r="J8520" s="4" t="n">
        <f aca="false">LEN(E8520)-LEN(SUBSTITUTE(E8520,",",""))+1</f>
        <v>6</v>
      </c>
      <c r="K8520" s="3" t="str">
        <f aca="false">IFERROR(INDEX('Teacher Lookup'!$B$2:$B$200,MATCH(A8520,'Teacher Lookup'!$A$2:$A$200,0)),"")</f>
        <v>LAU Rachel</v>
      </c>
    </row>
    <row r="8521" customFormat="false" ht="15" hidden="false" customHeight="false" outlineLevel="0" collapsed="false">
      <c r="A8521" s="3" t="s">
        <v>498</v>
      </c>
      <c r="B8521" s="4" t="s">
        <v>50</v>
      </c>
      <c r="C8521" s="4" t="n">
        <v>2</v>
      </c>
      <c r="D8521" s="4" t="s">
        <v>106</v>
      </c>
      <c r="E8521" s="3" t="s">
        <v>118</v>
      </c>
      <c r="F8521" s="4" t="str">
        <f aca="false">IF(I8521&gt;J8521,"Y","N")</f>
        <v>N</v>
      </c>
      <c r="G8521" s="3" t="s">
        <v>104</v>
      </c>
      <c r="H8521" s="3" t="s">
        <v>21</v>
      </c>
      <c r="I8521" s="4" t="n">
        <v>6</v>
      </c>
      <c r="J8521" s="4" t="n">
        <f aca="false">LEN(E8521)-LEN(SUBSTITUTE(E8521,",",""))+1</f>
        <v>6</v>
      </c>
      <c r="K8521" s="3" t="str">
        <f aca="false">IFERROR(INDEX('Teacher Lookup'!$B$2:$B$200,MATCH(A8521,'Teacher Lookup'!$A$2:$A$200,0)),"")</f>
        <v>LAU Rachel</v>
      </c>
    </row>
    <row r="8522" customFormat="false" ht="15" hidden="false" customHeight="false" outlineLevel="0" collapsed="false">
      <c r="A8522" s="3" t="s">
        <v>498</v>
      </c>
      <c r="B8522" s="4" t="s">
        <v>50</v>
      </c>
      <c r="C8522" s="4" t="n">
        <v>2</v>
      </c>
      <c r="D8522" s="4" t="s">
        <v>107</v>
      </c>
      <c r="E8522" s="3" t="s">
        <v>118</v>
      </c>
      <c r="F8522" s="4" t="str">
        <f aca="false">IF(I8522&gt;J8522,"Y","N")</f>
        <v>N</v>
      </c>
      <c r="G8522" s="3" t="s">
        <v>104</v>
      </c>
      <c r="H8522" s="3" t="s">
        <v>21</v>
      </c>
      <c r="I8522" s="4" t="n">
        <v>6</v>
      </c>
      <c r="J8522" s="4" t="n">
        <f aca="false">LEN(E8522)-LEN(SUBSTITUTE(E8522,",",""))+1</f>
        <v>6</v>
      </c>
      <c r="K8522" s="3" t="str">
        <f aca="false">IFERROR(INDEX('Teacher Lookup'!$B$2:$B$200,MATCH(A8522,'Teacher Lookup'!$A$2:$A$200,0)),"")</f>
        <v>LAU Rachel</v>
      </c>
    </row>
    <row r="8523" customFormat="false" ht="15" hidden="false" customHeight="false" outlineLevel="0" collapsed="false">
      <c r="A8523" s="3" t="s">
        <v>498</v>
      </c>
      <c r="B8523" s="4" t="s">
        <v>50</v>
      </c>
      <c r="C8523" s="4" t="n">
        <v>3</v>
      </c>
      <c r="D8523" s="4" t="s">
        <v>102</v>
      </c>
      <c r="E8523" s="3" t="s">
        <v>317</v>
      </c>
      <c r="F8523" s="4" t="str">
        <f aca="false">IF(I8523&gt;J8523,"Y","N")</f>
        <v>Y</v>
      </c>
      <c r="G8523" s="3" t="s">
        <v>310</v>
      </c>
      <c r="H8523" s="3" t="s">
        <v>26</v>
      </c>
      <c r="I8523" s="4" t="n">
        <v>7</v>
      </c>
      <c r="J8523" s="4" t="n">
        <f aca="false">LEN(E8523)-LEN(SUBSTITUTE(E8523,",",""))+1</f>
        <v>6</v>
      </c>
      <c r="K8523" s="3" t="str">
        <f aca="false">IFERROR(INDEX('Teacher Lookup'!$B$2:$B$200,MATCH(A8523,'Teacher Lookup'!$A$2:$A$200,0)),"")</f>
        <v>LAU Rachel</v>
      </c>
    </row>
    <row r="8524" customFormat="false" ht="15" hidden="false" customHeight="false" outlineLevel="0" collapsed="false">
      <c r="A8524" s="3" t="s">
        <v>498</v>
      </c>
      <c r="B8524" s="4" t="s">
        <v>50</v>
      </c>
      <c r="C8524" s="4" t="n">
        <v>3</v>
      </c>
      <c r="D8524" s="4" t="s">
        <v>105</v>
      </c>
      <c r="E8524" s="3" t="s">
        <v>317</v>
      </c>
      <c r="F8524" s="4" t="str">
        <f aca="false">IF(I8524&gt;J8524,"Y","N")</f>
        <v>Y</v>
      </c>
      <c r="G8524" s="3" t="s">
        <v>310</v>
      </c>
      <c r="H8524" s="3" t="s">
        <v>26</v>
      </c>
      <c r="I8524" s="4" t="n">
        <v>7</v>
      </c>
      <c r="J8524" s="4" t="n">
        <f aca="false">LEN(E8524)-LEN(SUBSTITUTE(E8524,",",""))+1</f>
        <v>6</v>
      </c>
      <c r="K8524" s="3" t="str">
        <f aca="false">IFERROR(INDEX('Teacher Lookup'!$B$2:$B$200,MATCH(A8524,'Teacher Lookup'!$A$2:$A$200,0)),"")</f>
        <v>LAU Rachel</v>
      </c>
    </row>
    <row r="8525" customFormat="false" ht="15" hidden="false" customHeight="false" outlineLevel="0" collapsed="false">
      <c r="A8525" s="3" t="s">
        <v>498</v>
      </c>
      <c r="B8525" s="4" t="s">
        <v>50</v>
      </c>
      <c r="C8525" s="4" t="n">
        <v>3</v>
      </c>
      <c r="D8525" s="4" t="s">
        <v>106</v>
      </c>
      <c r="E8525" s="3" t="s">
        <v>317</v>
      </c>
      <c r="F8525" s="4" t="str">
        <f aca="false">IF(I8525&gt;J8525,"Y","N")</f>
        <v>Y</v>
      </c>
      <c r="G8525" s="3" t="s">
        <v>310</v>
      </c>
      <c r="H8525" s="3" t="s">
        <v>26</v>
      </c>
      <c r="I8525" s="4" t="n">
        <v>7</v>
      </c>
      <c r="J8525" s="4" t="n">
        <f aca="false">LEN(E8525)-LEN(SUBSTITUTE(E8525,",",""))+1</f>
        <v>6</v>
      </c>
      <c r="K8525" s="3" t="str">
        <f aca="false">IFERROR(INDEX('Teacher Lookup'!$B$2:$B$200,MATCH(A8525,'Teacher Lookup'!$A$2:$A$200,0)),"")</f>
        <v>LAU Rachel</v>
      </c>
    </row>
    <row r="8526" customFormat="false" ht="15" hidden="false" customHeight="false" outlineLevel="0" collapsed="false">
      <c r="A8526" s="3" t="s">
        <v>498</v>
      </c>
      <c r="B8526" s="4" t="s">
        <v>50</v>
      </c>
      <c r="C8526" s="4" t="n">
        <v>3</v>
      </c>
      <c r="D8526" s="4" t="s">
        <v>107</v>
      </c>
      <c r="E8526" s="3" t="s">
        <v>317</v>
      </c>
      <c r="F8526" s="4" t="str">
        <f aca="false">IF(I8526&gt;J8526,"Y","N")</f>
        <v>Y</v>
      </c>
      <c r="G8526" s="3" t="s">
        <v>310</v>
      </c>
      <c r="H8526" s="3" t="s">
        <v>26</v>
      </c>
      <c r="I8526" s="4" t="n">
        <v>7</v>
      </c>
      <c r="J8526" s="4" t="n">
        <f aca="false">LEN(E8526)-LEN(SUBSTITUTE(E8526,",",""))+1</f>
        <v>6</v>
      </c>
      <c r="K8526" s="3" t="str">
        <f aca="false">IFERROR(INDEX('Teacher Lookup'!$B$2:$B$200,MATCH(A8526,'Teacher Lookup'!$A$2:$A$200,0)),"")</f>
        <v>LAU Rachel</v>
      </c>
    </row>
    <row r="8527" customFormat="false" ht="15" hidden="false" customHeight="false" outlineLevel="0" collapsed="false">
      <c r="A8527" s="3" t="s">
        <v>498</v>
      </c>
      <c r="B8527" s="4" t="s">
        <v>50</v>
      </c>
      <c r="C8527" s="4" t="n">
        <v>7</v>
      </c>
      <c r="D8527" s="4" t="s">
        <v>24</v>
      </c>
      <c r="E8527" s="3" t="s">
        <v>382</v>
      </c>
      <c r="F8527" s="4" t="str">
        <f aca="false">IF(I8527&gt;J8527,"Y","N")</f>
        <v>N</v>
      </c>
      <c r="G8527" s="3" t="s">
        <v>378</v>
      </c>
      <c r="H8527" s="3" t="s">
        <v>39</v>
      </c>
      <c r="I8527" s="4" t="n">
        <v>8</v>
      </c>
      <c r="J8527" s="4" t="n">
        <f aca="false">LEN(E8527)-LEN(SUBSTITUTE(E8527,",",""))+1</f>
        <v>8</v>
      </c>
      <c r="K8527" s="3" t="str">
        <f aca="false">IFERROR(INDEX('Teacher Lookup'!$B$2:$B$200,MATCH(A8527,'Teacher Lookup'!$A$2:$A$200,0)),"")</f>
        <v>LAU Rachel</v>
      </c>
    </row>
    <row r="8528" customFormat="false" ht="15" hidden="false" customHeight="false" outlineLevel="0" collapsed="false">
      <c r="A8528" s="3" t="s">
        <v>498</v>
      </c>
      <c r="B8528" s="4" t="s">
        <v>50</v>
      </c>
      <c r="C8528" s="4" t="n">
        <v>7</v>
      </c>
      <c r="D8528" s="4" t="s">
        <v>27</v>
      </c>
      <c r="E8528" s="3" t="s">
        <v>382</v>
      </c>
      <c r="F8528" s="4" t="str">
        <f aca="false">IF(I8528&gt;J8528,"Y","N")</f>
        <v>N</v>
      </c>
      <c r="G8528" s="3" t="s">
        <v>378</v>
      </c>
      <c r="H8528" s="3" t="s">
        <v>39</v>
      </c>
      <c r="I8528" s="4" t="n">
        <v>8</v>
      </c>
      <c r="J8528" s="4" t="n">
        <f aca="false">LEN(E8528)-LEN(SUBSTITUTE(E8528,",",""))+1</f>
        <v>8</v>
      </c>
      <c r="K8528" s="3" t="str">
        <f aca="false">IFERROR(INDEX('Teacher Lookup'!$B$2:$B$200,MATCH(A8528,'Teacher Lookup'!$A$2:$A$200,0)),"")</f>
        <v>LAU Rachel</v>
      </c>
    </row>
    <row r="8529" customFormat="false" ht="15" hidden="false" customHeight="false" outlineLevel="0" collapsed="false">
      <c r="A8529" s="3" t="s">
        <v>498</v>
      </c>
      <c r="B8529" s="4" t="s">
        <v>50</v>
      </c>
      <c r="C8529" s="4" t="n">
        <v>7</v>
      </c>
      <c r="D8529" s="4" t="s">
        <v>28</v>
      </c>
      <c r="E8529" s="3" t="s">
        <v>382</v>
      </c>
      <c r="F8529" s="4" t="str">
        <f aca="false">IF(I8529&gt;J8529,"Y","N")</f>
        <v>N</v>
      </c>
      <c r="G8529" s="3" t="s">
        <v>378</v>
      </c>
      <c r="H8529" s="3" t="s">
        <v>39</v>
      </c>
      <c r="I8529" s="4" t="n">
        <v>8</v>
      </c>
      <c r="J8529" s="4" t="n">
        <f aca="false">LEN(E8529)-LEN(SUBSTITUTE(E8529,",",""))+1</f>
        <v>8</v>
      </c>
      <c r="K8529" s="3" t="str">
        <f aca="false">IFERROR(INDEX('Teacher Lookup'!$B$2:$B$200,MATCH(A8529,'Teacher Lookup'!$A$2:$A$200,0)),"")</f>
        <v>LAU Rachel</v>
      </c>
    </row>
    <row r="8530" customFormat="false" ht="15" hidden="false" customHeight="false" outlineLevel="0" collapsed="false">
      <c r="A8530" s="3" t="s">
        <v>498</v>
      </c>
      <c r="B8530" s="4" t="s">
        <v>50</v>
      </c>
      <c r="C8530" s="4" t="n">
        <v>7</v>
      </c>
      <c r="D8530" s="4" t="s">
        <v>29</v>
      </c>
      <c r="E8530" s="3" t="s">
        <v>382</v>
      </c>
      <c r="F8530" s="4" t="str">
        <f aca="false">IF(I8530&gt;J8530,"Y","N")</f>
        <v>N</v>
      </c>
      <c r="G8530" s="3" t="s">
        <v>378</v>
      </c>
      <c r="H8530" s="3" t="s">
        <v>39</v>
      </c>
      <c r="I8530" s="4" t="n">
        <v>8</v>
      </c>
      <c r="J8530" s="4" t="n">
        <f aca="false">LEN(E8530)-LEN(SUBSTITUTE(E8530,",",""))+1</f>
        <v>8</v>
      </c>
      <c r="K8530" s="3" t="str">
        <f aca="false">IFERROR(INDEX('Teacher Lookup'!$B$2:$B$200,MATCH(A8530,'Teacher Lookup'!$A$2:$A$200,0)),"")</f>
        <v>LAU Rachel</v>
      </c>
    </row>
    <row r="8531" customFormat="false" ht="15" hidden="false" customHeight="false" outlineLevel="0" collapsed="false">
      <c r="A8531" s="3" t="s">
        <v>498</v>
      </c>
      <c r="B8531" s="4" t="s">
        <v>50</v>
      </c>
      <c r="C8531" s="4" t="n">
        <v>7</v>
      </c>
      <c r="D8531" s="4" t="s">
        <v>30</v>
      </c>
      <c r="E8531" s="3" t="s">
        <v>382</v>
      </c>
      <c r="F8531" s="4" t="str">
        <f aca="false">IF(I8531&gt;J8531,"Y","N")</f>
        <v>N</v>
      </c>
      <c r="G8531" s="3" t="s">
        <v>378</v>
      </c>
      <c r="H8531" s="3" t="s">
        <v>39</v>
      </c>
      <c r="I8531" s="4" t="n">
        <v>8</v>
      </c>
      <c r="J8531" s="4" t="n">
        <f aca="false">LEN(E8531)-LEN(SUBSTITUTE(E8531,",",""))+1</f>
        <v>8</v>
      </c>
      <c r="K8531" s="3" t="str">
        <f aca="false">IFERROR(INDEX('Teacher Lookup'!$B$2:$B$200,MATCH(A8531,'Teacher Lookup'!$A$2:$A$200,0)),"")</f>
        <v>LAU Rachel</v>
      </c>
    </row>
    <row r="8532" customFormat="false" ht="15" hidden="false" customHeight="false" outlineLevel="0" collapsed="false">
      <c r="A8532" s="3" t="s">
        <v>498</v>
      </c>
      <c r="B8532" s="4" t="s">
        <v>60</v>
      </c>
      <c r="C8532" s="4" t="n">
        <v>2</v>
      </c>
      <c r="D8532" s="4" t="s">
        <v>52</v>
      </c>
      <c r="E8532" s="3" t="s">
        <v>248</v>
      </c>
      <c r="F8532" s="4" t="str">
        <f aca="false">IF(I8532&gt;J8532,"Y","N")</f>
        <v>N</v>
      </c>
      <c r="G8532" s="3" t="s">
        <v>239</v>
      </c>
      <c r="H8532" s="3" t="s">
        <v>21</v>
      </c>
      <c r="I8532" s="4" t="n">
        <v>7</v>
      </c>
      <c r="J8532" s="4" t="n">
        <f aca="false">LEN(E8532)-LEN(SUBSTITUTE(E8532,",",""))+1</f>
        <v>7</v>
      </c>
      <c r="K8532" s="3" t="str">
        <f aca="false">IFERROR(INDEX('Teacher Lookup'!$B$2:$B$200,MATCH(A8532,'Teacher Lookup'!$A$2:$A$200,0)),"")</f>
        <v>LAU Rachel</v>
      </c>
    </row>
    <row r="8533" customFormat="false" ht="15" hidden="false" customHeight="false" outlineLevel="0" collapsed="false">
      <c r="A8533" s="3" t="s">
        <v>498</v>
      </c>
      <c r="B8533" s="4" t="s">
        <v>60</v>
      </c>
      <c r="C8533" s="4" t="n">
        <v>2</v>
      </c>
      <c r="D8533" s="4" t="s">
        <v>55</v>
      </c>
      <c r="E8533" s="3" t="s">
        <v>248</v>
      </c>
      <c r="F8533" s="4" t="str">
        <f aca="false">IF(I8533&gt;J8533,"Y","N")</f>
        <v>N</v>
      </c>
      <c r="G8533" s="3" t="s">
        <v>239</v>
      </c>
      <c r="H8533" s="3" t="s">
        <v>21</v>
      </c>
      <c r="I8533" s="4" t="n">
        <v>7</v>
      </c>
      <c r="J8533" s="4" t="n">
        <f aca="false">LEN(E8533)-LEN(SUBSTITUTE(E8533,",",""))+1</f>
        <v>7</v>
      </c>
      <c r="K8533" s="3" t="str">
        <f aca="false">IFERROR(INDEX('Teacher Lookup'!$B$2:$B$200,MATCH(A8533,'Teacher Lookup'!$A$2:$A$200,0)),"")</f>
        <v>LAU Rachel</v>
      </c>
    </row>
    <row r="8534" customFormat="false" ht="15" hidden="false" customHeight="false" outlineLevel="0" collapsed="false">
      <c r="A8534" s="3" t="s">
        <v>498</v>
      </c>
      <c r="B8534" s="4" t="s">
        <v>60</v>
      </c>
      <c r="C8534" s="4" t="n">
        <v>2</v>
      </c>
      <c r="D8534" s="4" t="s">
        <v>56</v>
      </c>
      <c r="E8534" s="3" t="s">
        <v>248</v>
      </c>
      <c r="F8534" s="4" t="str">
        <f aca="false">IF(I8534&gt;J8534,"Y","N")</f>
        <v>N</v>
      </c>
      <c r="G8534" s="3" t="s">
        <v>239</v>
      </c>
      <c r="H8534" s="3" t="s">
        <v>21</v>
      </c>
      <c r="I8534" s="4" t="n">
        <v>7</v>
      </c>
      <c r="J8534" s="4" t="n">
        <f aca="false">LEN(E8534)-LEN(SUBSTITUTE(E8534,",",""))+1</f>
        <v>7</v>
      </c>
      <c r="K8534" s="3" t="str">
        <f aca="false">IFERROR(INDEX('Teacher Lookup'!$B$2:$B$200,MATCH(A8534,'Teacher Lookup'!$A$2:$A$200,0)),"")</f>
        <v>LAU Rachel</v>
      </c>
    </row>
    <row r="8535" customFormat="false" ht="15" hidden="false" customHeight="false" outlineLevel="0" collapsed="false">
      <c r="A8535" s="3" t="s">
        <v>498</v>
      </c>
      <c r="B8535" s="4" t="s">
        <v>60</v>
      </c>
      <c r="C8535" s="4" t="n">
        <v>2</v>
      </c>
      <c r="D8535" s="4" t="s">
        <v>57</v>
      </c>
      <c r="E8535" s="3" t="s">
        <v>248</v>
      </c>
      <c r="F8535" s="4" t="str">
        <f aca="false">IF(I8535&gt;J8535,"Y","N")</f>
        <v>N</v>
      </c>
      <c r="G8535" s="3" t="s">
        <v>239</v>
      </c>
      <c r="H8535" s="3" t="s">
        <v>21</v>
      </c>
      <c r="I8535" s="4" t="n">
        <v>7</v>
      </c>
      <c r="J8535" s="4" t="n">
        <f aca="false">LEN(E8535)-LEN(SUBSTITUTE(E8535,",",""))+1</f>
        <v>7</v>
      </c>
      <c r="K8535" s="3" t="str">
        <f aca="false">IFERROR(INDEX('Teacher Lookup'!$B$2:$B$200,MATCH(A8535,'Teacher Lookup'!$A$2:$A$200,0)),"")</f>
        <v>LAU Rachel</v>
      </c>
    </row>
    <row r="8536" customFormat="false" ht="15" hidden="false" customHeight="false" outlineLevel="0" collapsed="false">
      <c r="A8536" s="3" t="s">
        <v>498</v>
      </c>
      <c r="B8536" s="4" t="s">
        <v>60</v>
      </c>
      <c r="C8536" s="4" t="n">
        <v>2</v>
      </c>
      <c r="D8536" s="4" t="s">
        <v>58</v>
      </c>
      <c r="E8536" s="3" t="s">
        <v>248</v>
      </c>
      <c r="F8536" s="4" t="str">
        <f aca="false">IF(I8536&gt;J8536,"Y","N")</f>
        <v>N</v>
      </c>
      <c r="G8536" s="3" t="s">
        <v>239</v>
      </c>
      <c r="H8536" s="3" t="s">
        <v>21</v>
      </c>
      <c r="I8536" s="4" t="n">
        <v>7</v>
      </c>
      <c r="J8536" s="4" t="n">
        <f aca="false">LEN(E8536)-LEN(SUBSTITUTE(E8536,",",""))+1</f>
        <v>7</v>
      </c>
      <c r="K8536" s="3" t="str">
        <f aca="false">IFERROR(INDEX('Teacher Lookup'!$B$2:$B$200,MATCH(A8536,'Teacher Lookup'!$A$2:$A$200,0)),"")</f>
        <v>LAU Rachel</v>
      </c>
    </row>
    <row r="8537" customFormat="false" ht="15" hidden="false" customHeight="false" outlineLevel="0" collapsed="false">
      <c r="A8537" s="3" t="s">
        <v>498</v>
      </c>
      <c r="B8537" s="4" t="s">
        <v>60</v>
      </c>
      <c r="C8537" s="4" t="n">
        <v>2</v>
      </c>
      <c r="D8537" s="4" t="s">
        <v>59</v>
      </c>
      <c r="E8537" s="3" t="s">
        <v>248</v>
      </c>
      <c r="F8537" s="4" t="str">
        <f aca="false">IF(I8537&gt;J8537,"Y","N")</f>
        <v>N</v>
      </c>
      <c r="G8537" s="3" t="s">
        <v>239</v>
      </c>
      <c r="H8537" s="3" t="s">
        <v>21</v>
      </c>
      <c r="I8537" s="4" t="n">
        <v>7</v>
      </c>
      <c r="J8537" s="4" t="n">
        <f aca="false">LEN(E8537)-LEN(SUBSTITUTE(E8537,",",""))+1</f>
        <v>7</v>
      </c>
      <c r="K8537" s="3" t="str">
        <f aca="false">IFERROR(INDEX('Teacher Lookup'!$B$2:$B$200,MATCH(A8537,'Teacher Lookup'!$A$2:$A$200,0)),"")</f>
        <v>LAU Rachel</v>
      </c>
    </row>
    <row r="8538" customFormat="false" ht="15" hidden="false" customHeight="false" outlineLevel="0" collapsed="false">
      <c r="A8538" s="3" t="s">
        <v>498</v>
      </c>
      <c r="B8538" s="4" t="s">
        <v>60</v>
      </c>
      <c r="C8538" s="4" t="n">
        <v>3</v>
      </c>
      <c r="D8538" s="4" t="s">
        <v>24</v>
      </c>
      <c r="E8538" s="3" t="s">
        <v>383</v>
      </c>
      <c r="F8538" s="4" t="str">
        <f aca="false">IF(I8538&gt;J8538,"Y","N")</f>
        <v>N</v>
      </c>
      <c r="G8538" s="3" t="s">
        <v>378</v>
      </c>
      <c r="H8538" s="3" t="s">
        <v>26</v>
      </c>
      <c r="I8538" s="4" t="n">
        <v>8</v>
      </c>
      <c r="J8538" s="4" t="n">
        <f aca="false">LEN(E8538)-LEN(SUBSTITUTE(E8538,",",""))+1</f>
        <v>8</v>
      </c>
      <c r="K8538" s="3" t="str">
        <f aca="false">IFERROR(INDEX('Teacher Lookup'!$B$2:$B$200,MATCH(A8538,'Teacher Lookup'!$A$2:$A$200,0)),"")</f>
        <v>LAU Rachel</v>
      </c>
    </row>
    <row r="8539" customFormat="false" ht="15" hidden="false" customHeight="false" outlineLevel="0" collapsed="false">
      <c r="A8539" s="3" t="s">
        <v>498</v>
      </c>
      <c r="B8539" s="4" t="s">
        <v>60</v>
      </c>
      <c r="C8539" s="4" t="n">
        <v>3</v>
      </c>
      <c r="D8539" s="4" t="s">
        <v>27</v>
      </c>
      <c r="E8539" s="3" t="s">
        <v>383</v>
      </c>
      <c r="F8539" s="4" t="str">
        <f aca="false">IF(I8539&gt;J8539,"Y","N")</f>
        <v>N</v>
      </c>
      <c r="G8539" s="3" t="s">
        <v>378</v>
      </c>
      <c r="H8539" s="3" t="s">
        <v>26</v>
      </c>
      <c r="I8539" s="4" t="n">
        <v>8</v>
      </c>
      <c r="J8539" s="4" t="n">
        <f aca="false">LEN(E8539)-LEN(SUBSTITUTE(E8539,",",""))+1</f>
        <v>8</v>
      </c>
      <c r="K8539" s="3" t="str">
        <f aca="false">IFERROR(INDEX('Teacher Lookup'!$B$2:$B$200,MATCH(A8539,'Teacher Lookup'!$A$2:$A$200,0)),"")</f>
        <v>LAU Rachel</v>
      </c>
    </row>
    <row r="8540" customFormat="false" ht="15" hidden="false" customHeight="false" outlineLevel="0" collapsed="false">
      <c r="A8540" s="3" t="s">
        <v>498</v>
      </c>
      <c r="B8540" s="4" t="s">
        <v>60</v>
      </c>
      <c r="C8540" s="4" t="n">
        <v>3</v>
      </c>
      <c r="D8540" s="4" t="s">
        <v>28</v>
      </c>
      <c r="E8540" s="3" t="s">
        <v>383</v>
      </c>
      <c r="F8540" s="4" t="str">
        <f aca="false">IF(I8540&gt;J8540,"Y","N")</f>
        <v>N</v>
      </c>
      <c r="G8540" s="3" t="s">
        <v>378</v>
      </c>
      <c r="H8540" s="3" t="s">
        <v>26</v>
      </c>
      <c r="I8540" s="4" t="n">
        <v>8</v>
      </c>
      <c r="J8540" s="4" t="n">
        <f aca="false">LEN(E8540)-LEN(SUBSTITUTE(E8540,",",""))+1</f>
        <v>8</v>
      </c>
      <c r="K8540" s="3" t="str">
        <f aca="false">IFERROR(INDEX('Teacher Lookup'!$B$2:$B$200,MATCH(A8540,'Teacher Lookup'!$A$2:$A$200,0)),"")</f>
        <v>LAU Rachel</v>
      </c>
    </row>
    <row r="8541" customFormat="false" ht="15" hidden="false" customHeight="false" outlineLevel="0" collapsed="false">
      <c r="A8541" s="3" t="s">
        <v>498</v>
      </c>
      <c r="B8541" s="4" t="s">
        <v>60</v>
      </c>
      <c r="C8541" s="4" t="n">
        <v>3</v>
      </c>
      <c r="D8541" s="4" t="s">
        <v>29</v>
      </c>
      <c r="E8541" s="3" t="s">
        <v>383</v>
      </c>
      <c r="F8541" s="4" t="str">
        <f aca="false">IF(I8541&gt;J8541,"Y","N")</f>
        <v>N</v>
      </c>
      <c r="G8541" s="3" t="s">
        <v>378</v>
      </c>
      <c r="H8541" s="3" t="s">
        <v>26</v>
      </c>
      <c r="I8541" s="4" t="n">
        <v>8</v>
      </c>
      <c r="J8541" s="4" t="n">
        <f aca="false">LEN(E8541)-LEN(SUBSTITUTE(E8541,",",""))+1</f>
        <v>8</v>
      </c>
      <c r="K8541" s="3" t="str">
        <f aca="false">IFERROR(INDEX('Teacher Lookup'!$B$2:$B$200,MATCH(A8541,'Teacher Lookup'!$A$2:$A$200,0)),"")</f>
        <v>LAU Rachel</v>
      </c>
    </row>
    <row r="8542" customFormat="false" ht="15" hidden="false" customHeight="false" outlineLevel="0" collapsed="false">
      <c r="A8542" s="3" t="s">
        <v>498</v>
      </c>
      <c r="B8542" s="4" t="s">
        <v>60</v>
      </c>
      <c r="C8542" s="4" t="n">
        <v>3</v>
      </c>
      <c r="D8542" s="4" t="s">
        <v>30</v>
      </c>
      <c r="E8542" s="3" t="s">
        <v>383</v>
      </c>
      <c r="F8542" s="4" t="str">
        <f aca="false">IF(I8542&gt;J8542,"Y","N")</f>
        <v>N</v>
      </c>
      <c r="G8542" s="3" t="s">
        <v>378</v>
      </c>
      <c r="H8542" s="3" t="s">
        <v>26</v>
      </c>
      <c r="I8542" s="4" t="n">
        <v>8</v>
      </c>
      <c r="J8542" s="4" t="n">
        <f aca="false">LEN(E8542)-LEN(SUBSTITUTE(E8542,",",""))+1</f>
        <v>8</v>
      </c>
      <c r="K8542" s="3" t="str">
        <f aca="false">IFERROR(INDEX('Teacher Lookup'!$B$2:$B$200,MATCH(A8542,'Teacher Lookup'!$A$2:$A$200,0)),"")</f>
        <v>LAU Rachel</v>
      </c>
    </row>
    <row r="8543" customFormat="false" ht="15" hidden="false" customHeight="false" outlineLevel="0" collapsed="false">
      <c r="A8543" s="3" t="s">
        <v>498</v>
      </c>
      <c r="B8543" s="4" t="s">
        <v>60</v>
      </c>
      <c r="C8543" s="4" t="n">
        <v>4</v>
      </c>
      <c r="D8543" s="4" t="s">
        <v>102</v>
      </c>
      <c r="E8543" s="3" t="s">
        <v>318</v>
      </c>
      <c r="F8543" s="4" t="str">
        <f aca="false">IF(I8543&gt;J8543,"Y","N")</f>
        <v>Y</v>
      </c>
      <c r="G8543" s="3" t="s">
        <v>310</v>
      </c>
      <c r="H8543" s="3" t="s">
        <v>34</v>
      </c>
      <c r="I8543" s="4" t="n">
        <v>7</v>
      </c>
      <c r="J8543" s="4" t="n">
        <f aca="false">LEN(E8543)-LEN(SUBSTITUTE(E8543,",",""))+1</f>
        <v>6</v>
      </c>
      <c r="K8543" s="3" t="str">
        <f aca="false">IFERROR(INDEX('Teacher Lookup'!$B$2:$B$200,MATCH(A8543,'Teacher Lookup'!$A$2:$A$200,0)),"")</f>
        <v>LAU Rachel</v>
      </c>
    </row>
    <row r="8544" customFormat="false" ht="15" hidden="false" customHeight="false" outlineLevel="0" collapsed="false">
      <c r="A8544" s="3" t="s">
        <v>498</v>
      </c>
      <c r="B8544" s="4" t="s">
        <v>60</v>
      </c>
      <c r="C8544" s="4" t="n">
        <v>4</v>
      </c>
      <c r="D8544" s="4" t="s">
        <v>105</v>
      </c>
      <c r="E8544" s="3" t="s">
        <v>318</v>
      </c>
      <c r="F8544" s="4" t="str">
        <f aca="false">IF(I8544&gt;J8544,"Y","N")</f>
        <v>Y</v>
      </c>
      <c r="G8544" s="3" t="s">
        <v>310</v>
      </c>
      <c r="H8544" s="3" t="s">
        <v>34</v>
      </c>
      <c r="I8544" s="4" t="n">
        <v>7</v>
      </c>
      <c r="J8544" s="4" t="n">
        <f aca="false">LEN(E8544)-LEN(SUBSTITUTE(E8544,",",""))+1</f>
        <v>6</v>
      </c>
      <c r="K8544" s="3" t="str">
        <f aca="false">IFERROR(INDEX('Teacher Lookup'!$B$2:$B$200,MATCH(A8544,'Teacher Lookup'!$A$2:$A$200,0)),"")</f>
        <v>LAU Rachel</v>
      </c>
    </row>
    <row r="8545" customFormat="false" ht="15" hidden="false" customHeight="false" outlineLevel="0" collapsed="false">
      <c r="A8545" s="3" t="s">
        <v>498</v>
      </c>
      <c r="B8545" s="4" t="s">
        <v>60</v>
      </c>
      <c r="C8545" s="4" t="n">
        <v>4</v>
      </c>
      <c r="D8545" s="4" t="s">
        <v>106</v>
      </c>
      <c r="E8545" s="3" t="s">
        <v>318</v>
      </c>
      <c r="F8545" s="4" t="str">
        <f aca="false">IF(I8545&gt;J8545,"Y","N")</f>
        <v>Y</v>
      </c>
      <c r="G8545" s="3" t="s">
        <v>310</v>
      </c>
      <c r="H8545" s="3" t="s">
        <v>34</v>
      </c>
      <c r="I8545" s="4" t="n">
        <v>7</v>
      </c>
      <c r="J8545" s="4" t="n">
        <f aca="false">LEN(E8545)-LEN(SUBSTITUTE(E8545,",",""))+1</f>
        <v>6</v>
      </c>
      <c r="K8545" s="3" t="str">
        <f aca="false">IFERROR(INDEX('Teacher Lookup'!$B$2:$B$200,MATCH(A8545,'Teacher Lookup'!$A$2:$A$200,0)),"")</f>
        <v>LAU Rachel</v>
      </c>
    </row>
    <row r="8546" customFormat="false" ht="15" hidden="false" customHeight="false" outlineLevel="0" collapsed="false">
      <c r="A8546" s="3" t="s">
        <v>498</v>
      </c>
      <c r="B8546" s="4" t="s">
        <v>60</v>
      </c>
      <c r="C8546" s="4" t="n">
        <v>4</v>
      </c>
      <c r="D8546" s="4" t="s">
        <v>107</v>
      </c>
      <c r="E8546" s="3" t="s">
        <v>318</v>
      </c>
      <c r="F8546" s="4" t="str">
        <f aca="false">IF(I8546&gt;J8546,"Y","N")</f>
        <v>Y</v>
      </c>
      <c r="G8546" s="3" t="s">
        <v>310</v>
      </c>
      <c r="H8546" s="3" t="s">
        <v>34</v>
      </c>
      <c r="I8546" s="4" t="n">
        <v>7</v>
      </c>
      <c r="J8546" s="4" t="n">
        <f aca="false">LEN(E8546)-LEN(SUBSTITUTE(E8546,",",""))+1</f>
        <v>6</v>
      </c>
      <c r="K8546" s="3" t="str">
        <f aca="false">IFERROR(INDEX('Teacher Lookup'!$B$2:$B$200,MATCH(A8546,'Teacher Lookup'!$A$2:$A$200,0)),"")</f>
        <v>LAU Rachel</v>
      </c>
    </row>
    <row r="8547" customFormat="false" ht="15" hidden="false" customHeight="false" outlineLevel="0" collapsed="false">
      <c r="A8547" s="3" t="s">
        <v>498</v>
      </c>
      <c r="B8547" s="4" t="s">
        <v>60</v>
      </c>
      <c r="C8547" s="4" t="n">
        <v>5</v>
      </c>
      <c r="D8547" s="4" t="s">
        <v>228</v>
      </c>
      <c r="E8547" s="3" t="s">
        <v>229</v>
      </c>
      <c r="F8547" s="4" t="str">
        <f aca="false">IF(I8547&gt;J8547,"Y","N")</f>
        <v>Y</v>
      </c>
      <c r="G8547" s="3" t="s">
        <v>36</v>
      </c>
      <c r="H8547" s="3" t="s">
        <v>37</v>
      </c>
      <c r="I8547" s="4" t="n">
        <v>14</v>
      </c>
      <c r="J8547" s="4" t="n">
        <f aca="false">LEN(E8547)-LEN(SUBSTITUTE(E8547,",",""))+1</f>
        <v>6</v>
      </c>
      <c r="K8547" s="3" t="str">
        <f aca="false">IFERROR(INDEX('Teacher Lookup'!$B$2:$B$200,MATCH(A8547,'Teacher Lookup'!$A$2:$A$200,0)),"")</f>
        <v>LAU Rachel</v>
      </c>
    </row>
    <row r="8548" customFormat="false" ht="15" hidden="false" customHeight="false" outlineLevel="0" collapsed="false">
      <c r="A8548" s="3" t="s">
        <v>498</v>
      </c>
      <c r="B8548" s="4" t="s">
        <v>60</v>
      </c>
      <c r="C8548" s="4" t="n">
        <v>5</v>
      </c>
      <c r="D8548" s="4" t="s">
        <v>102</v>
      </c>
      <c r="E8548" s="3" t="s">
        <v>229</v>
      </c>
      <c r="F8548" s="4" t="str">
        <f aca="false">IF(I8548&gt;J8548,"Y","N")</f>
        <v>Y</v>
      </c>
      <c r="G8548" s="3" t="s">
        <v>36</v>
      </c>
      <c r="H8548" s="3" t="s">
        <v>37</v>
      </c>
      <c r="I8548" s="4" t="n">
        <v>14</v>
      </c>
      <c r="J8548" s="4" t="n">
        <f aca="false">LEN(E8548)-LEN(SUBSTITUTE(E8548,",",""))+1</f>
        <v>6</v>
      </c>
      <c r="K8548" s="3" t="str">
        <f aca="false">IFERROR(INDEX('Teacher Lookup'!$B$2:$B$200,MATCH(A8548,'Teacher Lookup'!$A$2:$A$200,0)),"")</f>
        <v>LAU Rachel</v>
      </c>
    </row>
    <row r="8549" customFormat="false" ht="15" hidden="false" customHeight="false" outlineLevel="0" collapsed="false">
      <c r="A8549" s="3" t="s">
        <v>498</v>
      </c>
      <c r="B8549" s="4" t="s">
        <v>60</v>
      </c>
      <c r="C8549" s="4" t="n">
        <v>5</v>
      </c>
      <c r="D8549" s="4" t="s">
        <v>105</v>
      </c>
      <c r="E8549" s="3" t="s">
        <v>229</v>
      </c>
      <c r="F8549" s="4" t="str">
        <f aca="false">IF(I8549&gt;J8549,"Y","N")</f>
        <v>Y</v>
      </c>
      <c r="G8549" s="3" t="s">
        <v>36</v>
      </c>
      <c r="H8549" s="3" t="s">
        <v>37</v>
      </c>
      <c r="I8549" s="4" t="n">
        <v>14</v>
      </c>
      <c r="J8549" s="4" t="n">
        <f aca="false">LEN(E8549)-LEN(SUBSTITUTE(E8549,",",""))+1</f>
        <v>6</v>
      </c>
      <c r="K8549" s="3" t="str">
        <f aca="false">IFERROR(INDEX('Teacher Lookup'!$B$2:$B$200,MATCH(A8549,'Teacher Lookup'!$A$2:$A$200,0)),"")</f>
        <v>LAU Rachel</v>
      </c>
    </row>
    <row r="8550" customFormat="false" ht="15" hidden="false" customHeight="false" outlineLevel="0" collapsed="false">
      <c r="A8550" s="3" t="s">
        <v>498</v>
      </c>
      <c r="B8550" s="4" t="s">
        <v>60</v>
      </c>
      <c r="C8550" s="4" t="n">
        <v>5</v>
      </c>
      <c r="D8550" s="4" t="s">
        <v>106</v>
      </c>
      <c r="E8550" s="3" t="s">
        <v>229</v>
      </c>
      <c r="F8550" s="4" t="str">
        <f aca="false">IF(I8550&gt;J8550,"Y","N")</f>
        <v>Y</v>
      </c>
      <c r="G8550" s="3" t="s">
        <v>36</v>
      </c>
      <c r="H8550" s="3" t="s">
        <v>37</v>
      </c>
      <c r="I8550" s="4" t="n">
        <v>14</v>
      </c>
      <c r="J8550" s="4" t="n">
        <f aca="false">LEN(E8550)-LEN(SUBSTITUTE(E8550,",",""))+1</f>
        <v>6</v>
      </c>
      <c r="K8550" s="3" t="str">
        <f aca="false">IFERROR(INDEX('Teacher Lookup'!$B$2:$B$200,MATCH(A8550,'Teacher Lookup'!$A$2:$A$200,0)),"")</f>
        <v>LAU Rachel</v>
      </c>
    </row>
    <row r="8551" customFormat="false" ht="15" hidden="false" customHeight="false" outlineLevel="0" collapsed="false">
      <c r="A8551" s="3" t="s">
        <v>498</v>
      </c>
      <c r="B8551" s="4" t="s">
        <v>60</v>
      </c>
      <c r="C8551" s="4" t="n">
        <v>5</v>
      </c>
      <c r="D8551" s="4" t="s">
        <v>107</v>
      </c>
      <c r="E8551" s="3" t="s">
        <v>229</v>
      </c>
      <c r="F8551" s="4" t="str">
        <f aca="false">IF(I8551&gt;J8551,"Y","N")</f>
        <v>Y</v>
      </c>
      <c r="G8551" s="3" t="s">
        <v>36</v>
      </c>
      <c r="H8551" s="3" t="s">
        <v>37</v>
      </c>
      <c r="I8551" s="4" t="n">
        <v>14</v>
      </c>
      <c r="J8551" s="4" t="n">
        <f aca="false">LEN(E8551)-LEN(SUBSTITUTE(E8551,",",""))+1</f>
        <v>6</v>
      </c>
      <c r="K8551" s="3" t="str">
        <f aca="false">IFERROR(INDEX('Teacher Lookup'!$B$2:$B$200,MATCH(A8551,'Teacher Lookup'!$A$2:$A$200,0)),"")</f>
        <v>LAU Rachel</v>
      </c>
    </row>
    <row r="8552" customFormat="false" ht="15" hidden="false" customHeight="false" outlineLevel="0" collapsed="false">
      <c r="A8552" s="3" t="s">
        <v>498</v>
      </c>
      <c r="B8552" s="4" t="s">
        <v>63</v>
      </c>
      <c r="C8552" s="4" t="n">
        <v>1</v>
      </c>
      <c r="D8552" s="4" t="s">
        <v>102</v>
      </c>
      <c r="E8552" s="3" t="s">
        <v>120</v>
      </c>
      <c r="F8552" s="4" t="str">
        <f aca="false">IF(I8552&gt;J8552,"Y","N")</f>
        <v>N</v>
      </c>
      <c r="G8552" s="3" t="s">
        <v>104</v>
      </c>
      <c r="H8552" s="3" t="s">
        <v>16</v>
      </c>
      <c r="I8552" s="4" t="n">
        <v>6</v>
      </c>
      <c r="J8552" s="4" t="n">
        <f aca="false">LEN(E8552)-LEN(SUBSTITUTE(E8552,",",""))+1</f>
        <v>6</v>
      </c>
      <c r="K8552" s="3" t="str">
        <f aca="false">IFERROR(INDEX('Teacher Lookup'!$B$2:$B$200,MATCH(A8552,'Teacher Lookup'!$A$2:$A$200,0)),"")</f>
        <v>LAU Rachel</v>
      </c>
    </row>
    <row r="8553" customFormat="false" ht="15" hidden="false" customHeight="false" outlineLevel="0" collapsed="false">
      <c r="A8553" s="3" t="s">
        <v>498</v>
      </c>
      <c r="B8553" s="4" t="s">
        <v>63</v>
      </c>
      <c r="C8553" s="4" t="n">
        <v>1</v>
      </c>
      <c r="D8553" s="4" t="s">
        <v>105</v>
      </c>
      <c r="E8553" s="3" t="s">
        <v>120</v>
      </c>
      <c r="F8553" s="4" t="str">
        <f aca="false">IF(I8553&gt;J8553,"Y","N")</f>
        <v>N</v>
      </c>
      <c r="G8553" s="3" t="s">
        <v>104</v>
      </c>
      <c r="H8553" s="3" t="s">
        <v>16</v>
      </c>
      <c r="I8553" s="4" t="n">
        <v>6</v>
      </c>
      <c r="J8553" s="4" t="n">
        <f aca="false">LEN(E8553)-LEN(SUBSTITUTE(E8553,",",""))+1</f>
        <v>6</v>
      </c>
      <c r="K8553" s="3" t="str">
        <f aca="false">IFERROR(INDEX('Teacher Lookup'!$B$2:$B$200,MATCH(A8553,'Teacher Lookup'!$A$2:$A$200,0)),"")</f>
        <v>LAU Rachel</v>
      </c>
    </row>
    <row r="8554" customFormat="false" ht="15" hidden="false" customHeight="false" outlineLevel="0" collapsed="false">
      <c r="A8554" s="3" t="s">
        <v>498</v>
      </c>
      <c r="B8554" s="4" t="s">
        <v>63</v>
      </c>
      <c r="C8554" s="4" t="n">
        <v>1</v>
      </c>
      <c r="D8554" s="4" t="s">
        <v>106</v>
      </c>
      <c r="E8554" s="3" t="s">
        <v>120</v>
      </c>
      <c r="F8554" s="4" t="str">
        <f aca="false">IF(I8554&gt;J8554,"Y","N")</f>
        <v>N</v>
      </c>
      <c r="G8554" s="3" t="s">
        <v>104</v>
      </c>
      <c r="H8554" s="3" t="s">
        <v>16</v>
      </c>
      <c r="I8554" s="4" t="n">
        <v>6</v>
      </c>
      <c r="J8554" s="4" t="n">
        <f aca="false">LEN(E8554)-LEN(SUBSTITUTE(E8554,",",""))+1</f>
        <v>6</v>
      </c>
      <c r="K8554" s="3" t="str">
        <f aca="false">IFERROR(INDEX('Teacher Lookup'!$B$2:$B$200,MATCH(A8554,'Teacher Lookup'!$A$2:$A$200,0)),"")</f>
        <v>LAU Rachel</v>
      </c>
    </row>
    <row r="8555" customFormat="false" ht="15" hidden="false" customHeight="false" outlineLevel="0" collapsed="false">
      <c r="A8555" s="3" t="s">
        <v>498</v>
      </c>
      <c r="B8555" s="4" t="s">
        <v>63</v>
      </c>
      <c r="C8555" s="4" t="n">
        <v>1</v>
      </c>
      <c r="D8555" s="4" t="s">
        <v>107</v>
      </c>
      <c r="E8555" s="3" t="s">
        <v>120</v>
      </c>
      <c r="F8555" s="4" t="str">
        <f aca="false">IF(I8555&gt;J8555,"Y","N")</f>
        <v>N</v>
      </c>
      <c r="G8555" s="3" t="s">
        <v>104</v>
      </c>
      <c r="H8555" s="3" t="s">
        <v>16</v>
      </c>
      <c r="I8555" s="4" t="n">
        <v>6</v>
      </c>
      <c r="J8555" s="4" t="n">
        <f aca="false">LEN(E8555)-LEN(SUBSTITUTE(E8555,",",""))+1</f>
        <v>6</v>
      </c>
      <c r="K8555" s="3" t="str">
        <f aca="false">IFERROR(INDEX('Teacher Lookup'!$B$2:$B$200,MATCH(A8555,'Teacher Lookup'!$A$2:$A$200,0)),"")</f>
        <v>LAU Rachel</v>
      </c>
    </row>
    <row r="8556" customFormat="false" ht="15" hidden="false" customHeight="false" outlineLevel="0" collapsed="false">
      <c r="A8556" s="3" t="s">
        <v>498</v>
      </c>
      <c r="B8556" s="4" t="s">
        <v>63</v>
      </c>
      <c r="C8556" s="4" t="n">
        <v>4</v>
      </c>
      <c r="D8556" s="4" t="s">
        <v>70</v>
      </c>
      <c r="E8556" s="3" t="s">
        <v>213</v>
      </c>
      <c r="F8556" s="4" t="str">
        <f aca="false">IF(I8556&gt;J8556,"Y","N")</f>
        <v>Y</v>
      </c>
      <c r="G8556" s="3" t="s">
        <v>214</v>
      </c>
      <c r="H8556" s="3" t="s">
        <v>34</v>
      </c>
      <c r="I8556" s="4" t="n">
        <v>20</v>
      </c>
      <c r="J8556" s="4" t="n">
        <f aca="false">LEN(E8556)-LEN(SUBSTITUTE(E8556,",",""))+1</f>
        <v>6</v>
      </c>
      <c r="K8556" s="3" t="str">
        <f aca="false">IFERROR(INDEX('Teacher Lookup'!$B$2:$B$200,MATCH(A8556,'Teacher Lookup'!$A$2:$A$200,0)),"")</f>
        <v>LAU Rachel</v>
      </c>
    </row>
    <row r="8557" customFormat="false" ht="15" hidden="false" customHeight="false" outlineLevel="0" collapsed="false">
      <c r="A8557" s="3" t="s">
        <v>498</v>
      </c>
      <c r="B8557" s="4" t="s">
        <v>63</v>
      </c>
      <c r="C8557" s="4" t="n">
        <v>4</v>
      </c>
      <c r="D8557" s="4" t="s">
        <v>73</v>
      </c>
      <c r="E8557" s="3" t="s">
        <v>213</v>
      </c>
      <c r="F8557" s="4" t="str">
        <f aca="false">IF(I8557&gt;J8557,"Y","N")</f>
        <v>Y</v>
      </c>
      <c r="G8557" s="3" t="s">
        <v>214</v>
      </c>
      <c r="H8557" s="3" t="s">
        <v>34</v>
      </c>
      <c r="I8557" s="4" t="n">
        <v>20</v>
      </c>
      <c r="J8557" s="4" t="n">
        <f aca="false">LEN(E8557)-LEN(SUBSTITUTE(E8557,",",""))+1</f>
        <v>6</v>
      </c>
      <c r="K8557" s="3" t="str">
        <f aca="false">IFERROR(INDEX('Teacher Lookup'!$B$2:$B$200,MATCH(A8557,'Teacher Lookup'!$A$2:$A$200,0)),"")</f>
        <v>LAU Rachel</v>
      </c>
    </row>
    <row r="8558" customFormat="false" ht="15" hidden="false" customHeight="false" outlineLevel="0" collapsed="false">
      <c r="A8558" s="3" t="s">
        <v>498</v>
      </c>
      <c r="B8558" s="4" t="s">
        <v>63</v>
      </c>
      <c r="C8558" s="4" t="n">
        <v>4</v>
      </c>
      <c r="D8558" s="4" t="s">
        <v>74</v>
      </c>
      <c r="E8558" s="3" t="s">
        <v>213</v>
      </c>
      <c r="F8558" s="4" t="str">
        <f aca="false">IF(I8558&gt;J8558,"Y","N")</f>
        <v>Y</v>
      </c>
      <c r="G8558" s="3" t="s">
        <v>214</v>
      </c>
      <c r="H8558" s="3" t="s">
        <v>34</v>
      </c>
      <c r="I8558" s="4" t="n">
        <v>20</v>
      </c>
      <c r="J8558" s="4" t="n">
        <f aca="false">LEN(E8558)-LEN(SUBSTITUTE(E8558,",",""))+1</f>
        <v>6</v>
      </c>
      <c r="K8558" s="3" t="str">
        <f aca="false">IFERROR(INDEX('Teacher Lookup'!$B$2:$B$200,MATCH(A8558,'Teacher Lookup'!$A$2:$A$200,0)),"")</f>
        <v>LAU Rachel</v>
      </c>
    </row>
    <row r="8559" customFormat="false" ht="15" hidden="false" customHeight="false" outlineLevel="0" collapsed="false">
      <c r="A8559" s="3" t="s">
        <v>498</v>
      </c>
      <c r="B8559" s="4" t="s">
        <v>63</v>
      </c>
      <c r="C8559" s="4" t="n">
        <v>4</v>
      </c>
      <c r="D8559" s="4" t="s">
        <v>76</v>
      </c>
      <c r="E8559" s="3" t="s">
        <v>213</v>
      </c>
      <c r="F8559" s="4" t="str">
        <f aca="false">IF(I8559&gt;J8559,"Y","N")</f>
        <v>Y</v>
      </c>
      <c r="G8559" s="3" t="s">
        <v>214</v>
      </c>
      <c r="H8559" s="3" t="s">
        <v>34</v>
      </c>
      <c r="I8559" s="4" t="n">
        <v>20</v>
      </c>
      <c r="J8559" s="4" t="n">
        <f aca="false">LEN(E8559)-LEN(SUBSTITUTE(E8559,",",""))+1</f>
        <v>6</v>
      </c>
      <c r="K8559" s="3" t="str">
        <f aca="false">IFERROR(INDEX('Teacher Lookup'!$B$2:$B$200,MATCH(A8559,'Teacher Lookup'!$A$2:$A$200,0)),"")</f>
        <v>LAU Rachel</v>
      </c>
    </row>
    <row r="8560" customFormat="false" ht="15" hidden="false" customHeight="false" outlineLevel="0" collapsed="false">
      <c r="A8560" s="3" t="s">
        <v>498</v>
      </c>
      <c r="B8560" s="4" t="s">
        <v>63</v>
      </c>
      <c r="C8560" s="4" t="n">
        <v>4</v>
      </c>
      <c r="D8560" s="4" t="s">
        <v>78</v>
      </c>
      <c r="E8560" s="3" t="s">
        <v>213</v>
      </c>
      <c r="F8560" s="4" t="str">
        <f aca="false">IF(I8560&gt;J8560,"Y","N")</f>
        <v>Y</v>
      </c>
      <c r="G8560" s="3" t="s">
        <v>214</v>
      </c>
      <c r="H8560" s="3" t="s">
        <v>34</v>
      </c>
      <c r="I8560" s="4" t="n">
        <v>20</v>
      </c>
      <c r="J8560" s="4" t="n">
        <f aca="false">LEN(E8560)-LEN(SUBSTITUTE(E8560,",",""))+1</f>
        <v>6</v>
      </c>
      <c r="K8560" s="3" t="str">
        <f aca="false">IFERROR(INDEX('Teacher Lookup'!$B$2:$B$200,MATCH(A8560,'Teacher Lookup'!$A$2:$A$200,0)),"")</f>
        <v>LAU Rachel</v>
      </c>
    </row>
    <row r="8561" customFormat="false" ht="15" hidden="false" customHeight="false" outlineLevel="0" collapsed="false">
      <c r="A8561" s="3" t="s">
        <v>498</v>
      </c>
      <c r="B8561" s="4" t="s">
        <v>63</v>
      </c>
      <c r="C8561" s="4" t="n">
        <v>4</v>
      </c>
      <c r="D8561" s="4" t="s">
        <v>79</v>
      </c>
      <c r="E8561" s="3" t="s">
        <v>213</v>
      </c>
      <c r="F8561" s="4" t="str">
        <f aca="false">IF(I8561&gt;J8561,"Y","N")</f>
        <v>Y</v>
      </c>
      <c r="G8561" s="3" t="s">
        <v>214</v>
      </c>
      <c r="H8561" s="3" t="s">
        <v>34</v>
      </c>
      <c r="I8561" s="4" t="n">
        <v>20</v>
      </c>
      <c r="J8561" s="4" t="n">
        <f aca="false">LEN(E8561)-LEN(SUBSTITUTE(E8561,",",""))+1</f>
        <v>6</v>
      </c>
      <c r="K8561" s="3" t="str">
        <f aca="false">IFERROR(INDEX('Teacher Lookup'!$B$2:$B$200,MATCH(A8561,'Teacher Lookup'!$A$2:$A$200,0)),"")</f>
        <v>LAU Rachel</v>
      </c>
    </row>
    <row r="8562" customFormat="false" ht="15" hidden="false" customHeight="false" outlineLevel="0" collapsed="false">
      <c r="A8562" s="3" t="s">
        <v>498</v>
      </c>
      <c r="B8562" s="4" t="s">
        <v>63</v>
      </c>
      <c r="C8562" s="4" t="n">
        <v>5</v>
      </c>
      <c r="D8562" s="4" t="s">
        <v>70</v>
      </c>
      <c r="E8562" s="3" t="s">
        <v>213</v>
      </c>
      <c r="F8562" s="4" t="str">
        <f aca="false">IF(I8562&gt;J8562,"Y","N")</f>
        <v>Y</v>
      </c>
      <c r="G8562" s="3" t="s">
        <v>214</v>
      </c>
      <c r="H8562" s="3" t="s">
        <v>37</v>
      </c>
      <c r="I8562" s="4" t="n">
        <v>20</v>
      </c>
      <c r="J8562" s="4" t="n">
        <f aca="false">LEN(E8562)-LEN(SUBSTITUTE(E8562,",",""))+1</f>
        <v>6</v>
      </c>
      <c r="K8562" s="3" t="str">
        <f aca="false">IFERROR(INDEX('Teacher Lookup'!$B$2:$B$200,MATCH(A8562,'Teacher Lookup'!$A$2:$A$200,0)),"")</f>
        <v>LAU Rachel</v>
      </c>
    </row>
    <row r="8563" customFormat="false" ht="15" hidden="false" customHeight="false" outlineLevel="0" collapsed="false">
      <c r="A8563" s="3" t="s">
        <v>498</v>
      </c>
      <c r="B8563" s="4" t="s">
        <v>63</v>
      </c>
      <c r="C8563" s="4" t="n">
        <v>5</v>
      </c>
      <c r="D8563" s="4" t="s">
        <v>73</v>
      </c>
      <c r="E8563" s="3" t="s">
        <v>213</v>
      </c>
      <c r="F8563" s="4" t="str">
        <f aca="false">IF(I8563&gt;J8563,"Y","N")</f>
        <v>Y</v>
      </c>
      <c r="G8563" s="3" t="s">
        <v>214</v>
      </c>
      <c r="H8563" s="3" t="s">
        <v>37</v>
      </c>
      <c r="I8563" s="4" t="n">
        <v>20</v>
      </c>
      <c r="J8563" s="4" t="n">
        <f aca="false">LEN(E8563)-LEN(SUBSTITUTE(E8563,",",""))+1</f>
        <v>6</v>
      </c>
      <c r="K8563" s="3" t="str">
        <f aca="false">IFERROR(INDEX('Teacher Lookup'!$B$2:$B$200,MATCH(A8563,'Teacher Lookup'!$A$2:$A$200,0)),"")</f>
        <v>LAU Rachel</v>
      </c>
    </row>
    <row r="8564" customFormat="false" ht="15" hidden="false" customHeight="false" outlineLevel="0" collapsed="false">
      <c r="A8564" s="3" t="s">
        <v>498</v>
      </c>
      <c r="B8564" s="4" t="s">
        <v>63</v>
      </c>
      <c r="C8564" s="4" t="n">
        <v>5</v>
      </c>
      <c r="D8564" s="4" t="s">
        <v>74</v>
      </c>
      <c r="E8564" s="3" t="s">
        <v>213</v>
      </c>
      <c r="F8564" s="4" t="str">
        <f aca="false">IF(I8564&gt;J8564,"Y","N")</f>
        <v>Y</v>
      </c>
      <c r="G8564" s="3" t="s">
        <v>214</v>
      </c>
      <c r="H8564" s="3" t="s">
        <v>37</v>
      </c>
      <c r="I8564" s="4" t="n">
        <v>20</v>
      </c>
      <c r="J8564" s="4" t="n">
        <f aca="false">LEN(E8564)-LEN(SUBSTITUTE(E8564,",",""))+1</f>
        <v>6</v>
      </c>
      <c r="K8564" s="3" t="str">
        <f aca="false">IFERROR(INDEX('Teacher Lookup'!$B$2:$B$200,MATCH(A8564,'Teacher Lookup'!$A$2:$A$200,0)),"")</f>
        <v>LAU Rachel</v>
      </c>
    </row>
    <row r="8565" customFormat="false" ht="15" hidden="false" customHeight="false" outlineLevel="0" collapsed="false">
      <c r="A8565" s="3" t="s">
        <v>498</v>
      </c>
      <c r="B8565" s="4" t="s">
        <v>63</v>
      </c>
      <c r="C8565" s="4" t="n">
        <v>5</v>
      </c>
      <c r="D8565" s="4" t="s">
        <v>76</v>
      </c>
      <c r="E8565" s="3" t="s">
        <v>213</v>
      </c>
      <c r="F8565" s="4" t="str">
        <f aca="false">IF(I8565&gt;J8565,"Y","N")</f>
        <v>Y</v>
      </c>
      <c r="G8565" s="3" t="s">
        <v>214</v>
      </c>
      <c r="H8565" s="3" t="s">
        <v>37</v>
      </c>
      <c r="I8565" s="4" t="n">
        <v>20</v>
      </c>
      <c r="J8565" s="4" t="n">
        <f aca="false">LEN(E8565)-LEN(SUBSTITUTE(E8565,",",""))+1</f>
        <v>6</v>
      </c>
      <c r="K8565" s="3" t="str">
        <f aca="false">IFERROR(INDEX('Teacher Lookup'!$B$2:$B$200,MATCH(A8565,'Teacher Lookup'!$A$2:$A$200,0)),"")</f>
        <v>LAU Rachel</v>
      </c>
    </row>
    <row r="8566" customFormat="false" ht="15" hidden="false" customHeight="false" outlineLevel="0" collapsed="false">
      <c r="A8566" s="3" t="s">
        <v>498</v>
      </c>
      <c r="B8566" s="4" t="s">
        <v>63</v>
      </c>
      <c r="C8566" s="4" t="n">
        <v>5</v>
      </c>
      <c r="D8566" s="4" t="s">
        <v>78</v>
      </c>
      <c r="E8566" s="3" t="s">
        <v>213</v>
      </c>
      <c r="F8566" s="4" t="str">
        <f aca="false">IF(I8566&gt;J8566,"Y","N")</f>
        <v>Y</v>
      </c>
      <c r="G8566" s="3" t="s">
        <v>214</v>
      </c>
      <c r="H8566" s="3" t="s">
        <v>37</v>
      </c>
      <c r="I8566" s="4" t="n">
        <v>20</v>
      </c>
      <c r="J8566" s="4" t="n">
        <f aca="false">LEN(E8566)-LEN(SUBSTITUTE(E8566,",",""))+1</f>
        <v>6</v>
      </c>
      <c r="K8566" s="3" t="str">
        <f aca="false">IFERROR(INDEX('Teacher Lookup'!$B$2:$B$200,MATCH(A8566,'Teacher Lookup'!$A$2:$A$200,0)),"")</f>
        <v>LAU Rachel</v>
      </c>
    </row>
    <row r="8567" customFormat="false" ht="15" hidden="false" customHeight="false" outlineLevel="0" collapsed="false">
      <c r="A8567" s="3" t="s">
        <v>498</v>
      </c>
      <c r="B8567" s="4" t="s">
        <v>63</v>
      </c>
      <c r="C8567" s="4" t="n">
        <v>5</v>
      </c>
      <c r="D8567" s="4" t="s">
        <v>79</v>
      </c>
      <c r="E8567" s="3" t="s">
        <v>213</v>
      </c>
      <c r="F8567" s="4" t="str">
        <f aca="false">IF(I8567&gt;J8567,"Y","N")</f>
        <v>Y</v>
      </c>
      <c r="G8567" s="3" t="s">
        <v>214</v>
      </c>
      <c r="H8567" s="3" t="s">
        <v>37</v>
      </c>
      <c r="I8567" s="4" t="n">
        <v>20</v>
      </c>
      <c r="J8567" s="4" t="n">
        <f aca="false">LEN(E8567)-LEN(SUBSTITUTE(E8567,",",""))+1</f>
        <v>6</v>
      </c>
      <c r="K8567" s="3" t="str">
        <f aca="false">IFERROR(INDEX('Teacher Lookup'!$B$2:$B$200,MATCH(A8567,'Teacher Lookup'!$A$2:$A$200,0)),"")</f>
        <v>LAU Rachel</v>
      </c>
    </row>
    <row r="8568" customFormat="false" ht="15" hidden="false" customHeight="false" outlineLevel="0" collapsed="false">
      <c r="A8568" s="3" t="s">
        <v>498</v>
      </c>
      <c r="B8568" s="4" t="s">
        <v>63</v>
      </c>
      <c r="C8568" s="4" t="n">
        <v>6</v>
      </c>
      <c r="D8568" s="4" t="s">
        <v>52</v>
      </c>
      <c r="E8568" s="3" t="s">
        <v>249</v>
      </c>
      <c r="F8568" s="4" t="str">
        <f aca="false">IF(I8568&gt;J8568,"Y","N")</f>
        <v>N</v>
      </c>
      <c r="G8568" s="3" t="s">
        <v>239</v>
      </c>
      <c r="H8568" s="3" t="s">
        <v>42</v>
      </c>
      <c r="I8568" s="4" t="n">
        <v>7</v>
      </c>
      <c r="J8568" s="4" t="n">
        <f aca="false">LEN(E8568)-LEN(SUBSTITUTE(E8568,",",""))+1</f>
        <v>7</v>
      </c>
      <c r="K8568" s="3" t="str">
        <f aca="false">IFERROR(INDEX('Teacher Lookup'!$B$2:$B$200,MATCH(A8568,'Teacher Lookup'!$A$2:$A$200,0)),"")</f>
        <v>LAU Rachel</v>
      </c>
    </row>
    <row r="8569" customFormat="false" ht="15" hidden="false" customHeight="false" outlineLevel="0" collapsed="false">
      <c r="A8569" s="3" t="s">
        <v>498</v>
      </c>
      <c r="B8569" s="4" t="s">
        <v>63</v>
      </c>
      <c r="C8569" s="4" t="n">
        <v>6</v>
      </c>
      <c r="D8569" s="4" t="s">
        <v>55</v>
      </c>
      <c r="E8569" s="3" t="s">
        <v>249</v>
      </c>
      <c r="F8569" s="4" t="str">
        <f aca="false">IF(I8569&gt;J8569,"Y","N")</f>
        <v>N</v>
      </c>
      <c r="G8569" s="3" t="s">
        <v>239</v>
      </c>
      <c r="H8569" s="3" t="s">
        <v>42</v>
      </c>
      <c r="I8569" s="4" t="n">
        <v>7</v>
      </c>
      <c r="J8569" s="4" t="n">
        <f aca="false">LEN(E8569)-LEN(SUBSTITUTE(E8569,",",""))+1</f>
        <v>7</v>
      </c>
      <c r="K8569" s="3" t="str">
        <f aca="false">IFERROR(INDEX('Teacher Lookup'!$B$2:$B$200,MATCH(A8569,'Teacher Lookup'!$A$2:$A$200,0)),"")</f>
        <v>LAU Rachel</v>
      </c>
    </row>
    <row r="8570" customFormat="false" ht="15" hidden="false" customHeight="false" outlineLevel="0" collapsed="false">
      <c r="A8570" s="3" t="s">
        <v>498</v>
      </c>
      <c r="B8570" s="4" t="s">
        <v>63</v>
      </c>
      <c r="C8570" s="4" t="n">
        <v>6</v>
      </c>
      <c r="D8570" s="4" t="s">
        <v>56</v>
      </c>
      <c r="E8570" s="3" t="s">
        <v>249</v>
      </c>
      <c r="F8570" s="4" t="str">
        <f aca="false">IF(I8570&gt;J8570,"Y","N")</f>
        <v>N</v>
      </c>
      <c r="G8570" s="3" t="s">
        <v>239</v>
      </c>
      <c r="H8570" s="3" t="s">
        <v>42</v>
      </c>
      <c r="I8570" s="4" t="n">
        <v>7</v>
      </c>
      <c r="J8570" s="4" t="n">
        <f aca="false">LEN(E8570)-LEN(SUBSTITUTE(E8570,",",""))+1</f>
        <v>7</v>
      </c>
      <c r="K8570" s="3" t="str">
        <f aca="false">IFERROR(INDEX('Teacher Lookup'!$B$2:$B$200,MATCH(A8570,'Teacher Lookup'!$A$2:$A$200,0)),"")</f>
        <v>LAU Rachel</v>
      </c>
    </row>
    <row r="8571" customFormat="false" ht="15" hidden="false" customHeight="false" outlineLevel="0" collapsed="false">
      <c r="A8571" s="3" t="s">
        <v>498</v>
      </c>
      <c r="B8571" s="4" t="s">
        <v>63</v>
      </c>
      <c r="C8571" s="4" t="n">
        <v>6</v>
      </c>
      <c r="D8571" s="4" t="s">
        <v>57</v>
      </c>
      <c r="E8571" s="3" t="s">
        <v>249</v>
      </c>
      <c r="F8571" s="4" t="str">
        <f aca="false">IF(I8571&gt;J8571,"Y","N")</f>
        <v>N</v>
      </c>
      <c r="G8571" s="3" t="s">
        <v>239</v>
      </c>
      <c r="H8571" s="3" t="s">
        <v>42</v>
      </c>
      <c r="I8571" s="4" t="n">
        <v>7</v>
      </c>
      <c r="J8571" s="4" t="n">
        <f aca="false">LEN(E8571)-LEN(SUBSTITUTE(E8571,",",""))+1</f>
        <v>7</v>
      </c>
      <c r="K8571" s="3" t="str">
        <f aca="false">IFERROR(INDEX('Teacher Lookup'!$B$2:$B$200,MATCH(A8571,'Teacher Lookup'!$A$2:$A$200,0)),"")</f>
        <v>LAU Rachel</v>
      </c>
    </row>
    <row r="8572" customFormat="false" ht="15" hidden="false" customHeight="false" outlineLevel="0" collapsed="false">
      <c r="A8572" s="3" t="s">
        <v>498</v>
      </c>
      <c r="B8572" s="4" t="s">
        <v>63</v>
      </c>
      <c r="C8572" s="4" t="n">
        <v>6</v>
      </c>
      <c r="D8572" s="4" t="s">
        <v>58</v>
      </c>
      <c r="E8572" s="3" t="s">
        <v>249</v>
      </c>
      <c r="F8572" s="4" t="str">
        <f aca="false">IF(I8572&gt;J8572,"Y","N")</f>
        <v>N</v>
      </c>
      <c r="G8572" s="3" t="s">
        <v>239</v>
      </c>
      <c r="H8572" s="3" t="s">
        <v>42</v>
      </c>
      <c r="I8572" s="4" t="n">
        <v>7</v>
      </c>
      <c r="J8572" s="4" t="n">
        <f aca="false">LEN(E8572)-LEN(SUBSTITUTE(E8572,",",""))+1</f>
        <v>7</v>
      </c>
      <c r="K8572" s="3" t="str">
        <f aca="false">IFERROR(INDEX('Teacher Lookup'!$B$2:$B$200,MATCH(A8572,'Teacher Lookup'!$A$2:$A$200,0)),"")</f>
        <v>LAU Rachel</v>
      </c>
    </row>
    <row r="8573" customFormat="false" ht="15" hidden="false" customHeight="false" outlineLevel="0" collapsed="false">
      <c r="A8573" s="3" t="s">
        <v>498</v>
      </c>
      <c r="B8573" s="4" t="s">
        <v>63</v>
      </c>
      <c r="C8573" s="4" t="n">
        <v>6</v>
      </c>
      <c r="D8573" s="4" t="s">
        <v>59</v>
      </c>
      <c r="E8573" s="3" t="s">
        <v>249</v>
      </c>
      <c r="F8573" s="4" t="str">
        <f aca="false">IF(I8573&gt;J8573,"Y","N")</f>
        <v>N</v>
      </c>
      <c r="G8573" s="3" t="s">
        <v>239</v>
      </c>
      <c r="H8573" s="3" t="s">
        <v>42</v>
      </c>
      <c r="I8573" s="4" t="n">
        <v>7</v>
      </c>
      <c r="J8573" s="4" t="n">
        <f aca="false">LEN(E8573)-LEN(SUBSTITUTE(E8573,",",""))+1</f>
        <v>7</v>
      </c>
      <c r="K8573" s="3" t="str">
        <f aca="false">IFERROR(INDEX('Teacher Lookup'!$B$2:$B$200,MATCH(A8573,'Teacher Lookup'!$A$2:$A$200,0)),"")</f>
        <v>LAU Rachel</v>
      </c>
    </row>
    <row r="8574" customFormat="false" ht="15" hidden="false" customHeight="false" outlineLevel="0" collapsed="false">
      <c r="A8574" s="3" t="s">
        <v>498</v>
      </c>
      <c r="B8574" s="4" t="s">
        <v>63</v>
      </c>
      <c r="C8574" s="4" t="n">
        <v>7</v>
      </c>
      <c r="D8574" s="4" t="s">
        <v>102</v>
      </c>
      <c r="E8574" s="3" t="s">
        <v>319</v>
      </c>
      <c r="F8574" s="4" t="str">
        <f aca="false">IF(I8574&gt;J8574,"Y","N")</f>
        <v>Y</v>
      </c>
      <c r="G8574" s="3" t="s">
        <v>310</v>
      </c>
      <c r="H8574" s="3" t="s">
        <v>39</v>
      </c>
      <c r="I8574" s="4" t="n">
        <v>7</v>
      </c>
      <c r="J8574" s="4" t="n">
        <f aca="false">LEN(E8574)-LEN(SUBSTITUTE(E8574,",",""))+1</f>
        <v>6</v>
      </c>
      <c r="K8574" s="3" t="str">
        <f aca="false">IFERROR(INDEX('Teacher Lookup'!$B$2:$B$200,MATCH(A8574,'Teacher Lookup'!$A$2:$A$200,0)),"")</f>
        <v>LAU Rachel</v>
      </c>
    </row>
    <row r="8575" customFormat="false" ht="15" hidden="false" customHeight="false" outlineLevel="0" collapsed="false">
      <c r="A8575" s="3" t="s">
        <v>498</v>
      </c>
      <c r="B8575" s="4" t="s">
        <v>63</v>
      </c>
      <c r="C8575" s="4" t="n">
        <v>7</v>
      </c>
      <c r="D8575" s="4" t="s">
        <v>105</v>
      </c>
      <c r="E8575" s="3" t="s">
        <v>319</v>
      </c>
      <c r="F8575" s="4" t="str">
        <f aca="false">IF(I8575&gt;J8575,"Y","N")</f>
        <v>Y</v>
      </c>
      <c r="G8575" s="3" t="s">
        <v>310</v>
      </c>
      <c r="H8575" s="3" t="s">
        <v>39</v>
      </c>
      <c r="I8575" s="4" t="n">
        <v>7</v>
      </c>
      <c r="J8575" s="4" t="n">
        <f aca="false">LEN(E8575)-LEN(SUBSTITUTE(E8575,",",""))+1</f>
        <v>6</v>
      </c>
      <c r="K8575" s="3" t="str">
        <f aca="false">IFERROR(INDEX('Teacher Lookup'!$B$2:$B$200,MATCH(A8575,'Teacher Lookup'!$A$2:$A$200,0)),"")</f>
        <v>LAU Rachel</v>
      </c>
    </row>
    <row r="8576" customFormat="false" ht="15" hidden="false" customHeight="false" outlineLevel="0" collapsed="false">
      <c r="A8576" s="3" t="s">
        <v>498</v>
      </c>
      <c r="B8576" s="4" t="s">
        <v>63</v>
      </c>
      <c r="C8576" s="4" t="n">
        <v>7</v>
      </c>
      <c r="D8576" s="4" t="s">
        <v>106</v>
      </c>
      <c r="E8576" s="3" t="s">
        <v>319</v>
      </c>
      <c r="F8576" s="4" t="str">
        <f aca="false">IF(I8576&gt;J8576,"Y","N")</f>
        <v>Y</v>
      </c>
      <c r="G8576" s="3" t="s">
        <v>310</v>
      </c>
      <c r="H8576" s="3" t="s">
        <v>39</v>
      </c>
      <c r="I8576" s="4" t="n">
        <v>7</v>
      </c>
      <c r="J8576" s="4" t="n">
        <f aca="false">LEN(E8576)-LEN(SUBSTITUTE(E8576,",",""))+1</f>
        <v>6</v>
      </c>
      <c r="K8576" s="3" t="str">
        <f aca="false">IFERROR(INDEX('Teacher Lookup'!$B$2:$B$200,MATCH(A8576,'Teacher Lookup'!$A$2:$A$200,0)),"")</f>
        <v>LAU Rachel</v>
      </c>
    </row>
    <row r="8577" customFormat="false" ht="15" hidden="false" customHeight="false" outlineLevel="0" collapsed="false">
      <c r="A8577" s="3" t="s">
        <v>498</v>
      </c>
      <c r="B8577" s="4" t="s">
        <v>63</v>
      </c>
      <c r="C8577" s="4" t="n">
        <v>7</v>
      </c>
      <c r="D8577" s="4" t="s">
        <v>107</v>
      </c>
      <c r="E8577" s="3" t="s">
        <v>319</v>
      </c>
      <c r="F8577" s="4" t="str">
        <f aca="false">IF(I8577&gt;J8577,"Y","N")</f>
        <v>Y</v>
      </c>
      <c r="G8577" s="3" t="s">
        <v>310</v>
      </c>
      <c r="H8577" s="3" t="s">
        <v>39</v>
      </c>
      <c r="I8577" s="4" t="n">
        <v>7</v>
      </c>
      <c r="J8577" s="4" t="n">
        <f aca="false">LEN(E8577)-LEN(SUBSTITUTE(E8577,",",""))+1</f>
        <v>6</v>
      </c>
      <c r="K8577" s="3" t="str">
        <f aca="false">IFERROR(INDEX('Teacher Lookup'!$B$2:$B$200,MATCH(A8577,'Teacher Lookup'!$A$2:$A$200,0)),"")</f>
        <v>LAU Rachel</v>
      </c>
    </row>
    <row r="8578" customFormat="false" ht="15" hidden="false" customHeight="false" outlineLevel="0" collapsed="false">
      <c r="A8578" s="3" t="s">
        <v>498</v>
      </c>
      <c r="B8578" s="4" t="s">
        <v>65</v>
      </c>
      <c r="C8578" s="4" t="n">
        <v>5</v>
      </c>
      <c r="D8578" s="4" t="s">
        <v>228</v>
      </c>
      <c r="E8578" s="3" t="s">
        <v>229</v>
      </c>
      <c r="F8578" s="4" t="str">
        <f aca="false">IF(I8578&gt;J8578,"Y","N")</f>
        <v>Y</v>
      </c>
      <c r="G8578" s="3" t="s">
        <v>36</v>
      </c>
      <c r="H8578" s="3" t="s">
        <v>37</v>
      </c>
      <c r="I8578" s="4" t="n">
        <v>14</v>
      </c>
      <c r="J8578" s="4" t="n">
        <f aca="false">LEN(E8578)-LEN(SUBSTITUTE(E8578,",",""))+1</f>
        <v>6</v>
      </c>
      <c r="K8578" s="3" t="str">
        <f aca="false">IFERROR(INDEX('Teacher Lookup'!$B$2:$B$200,MATCH(A8578,'Teacher Lookup'!$A$2:$A$200,0)),"")</f>
        <v>LAU Rachel</v>
      </c>
    </row>
    <row r="8579" customFormat="false" ht="15" hidden="false" customHeight="false" outlineLevel="0" collapsed="false">
      <c r="A8579" s="3" t="s">
        <v>498</v>
      </c>
      <c r="B8579" s="4" t="s">
        <v>65</v>
      </c>
      <c r="C8579" s="4" t="n">
        <v>5</v>
      </c>
      <c r="D8579" s="4" t="s">
        <v>102</v>
      </c>
      <c r="E8579" s="3" t="s">
        <v>229</v>
      </c>
      <c r="F8579" s="4" t="str">
        <f aca="false">IF(I8579&gt;J8579,"Y","N")</f>
        <v>Y</v>
      </c>
      <c r="G8579" s="3" t="s">
        <v>36</v>
      </c>
      <c r="H8579" s="3" t="s">
        <v>37</v>
      </c>
      <c r="I8579" s="4" t="n">
        <v>14</v>
      </c>
      <c r="J8579" s="4" t="n">
        <f aca="false">LEN(E8579)-LEN(SUBSTITUTE(E8579,",",""))+1</f>
        <v>6</v>
      </c>
      <c r="K8579" s="3" t="str">
        <f aca="false">IFERROR(INDEX('Teacher Lookup'!$B$2:$B$200,MATCH(A8579,'Teacher Lookup'!$A$2:$A$200,0)),"")</f>
        <v>LAU Rachel</v>
      </c>
    </row>
    <row r="8580" customFormat="false" ht="15" hidden="false" customHeight="false" outlineLevel="0" collapsed="false">
      <c r="A8580" s="3" t="s">
        <v>498</v>
      </c>
      <c r="B8580" s="4" t="s">
        <v>65</v>
      </c>
      <c r="C8580" s="4" t="n">
        <v>5</v>
      </c>
      <c r="D8580" s="4" t="s">
        <v>105</v>
      </c>
      <c r="E8580" s="3" t="s">
        <v>229</v>
      </c>
      <c r="F8580" s="4" t="str">
        <f aca="false">IF(I8580&gt;J8580,"Y","N")</f>
        <v>Y</v>
      </c>
      <c r="G8580" s="3" t="s">
        <v>36</v>
      </c>
      <c r="H8580" s="3" t="s">
        <v>37</v>
      </c>
      <c r="I8580" s="4" t="n">
        <v>14</v>
      </c>
      <c r="J8580" s="4" t="n">
        <f aca="false">LEN(E8580)-LEN(SUBSTITUTE(E8580,",",""))+1</f>
        <v>6</v>
      </c>
      <c r="K8580" s="3" t="str">
        <f aca="false">IFERROR(INDEX('Teacher Lookup'!$B$2:$B$200,MATCH(A8580,'Teacher Lookup'!$A$2:$A$200,0)),"")</f>
        <v>LAU Rachel</v>
      </c>
    </row>
    <row r="8581" customFormat="false" ht="15" hidden="false" customHeight="false" outlineLevel="0" collapsed="false">
      <c r="A8581" s="3" t="s">
        <v>498</v>
      </c>
      <c r="B8581" s="4" t="s">
        <v>65</v>
      </c>
      <c r="C8581" s="4" t="n">
        <v>5</v>
      </c>
      <c r="D8581" s="4" t="s">
        <v>106</v>
      </c>
      <c r="E8581" s="3" t="s">
        <v>229</v>
      </c>
      <c r="F8581" s="4" t="str">
        <f aca="false">IF(I8581&gt;J8581,"Y","N")</f>
        <v>Y</v>
      </c>
      <c r="G8581" s="3" t="s">
        <v>36</v>
      </c>
      <c r="H8581" s="3" t="s">
        <v>37</v>
      </c>
      <c r="I8581" s="4" t="n">
        <v>14</v>
      </c>
      <c r="J8581" s="4" t="n">
        <f aca="false">LEN(E8581)-LEN(SUBSTITUTE(E8581,",",""))+1</f>
        <v>6</v>
      </c>
      <c r="K8581" s="3" t="str">
        <f aca="false">IFERROR(INDEX('Teacher Lookup'!$B$2:$B$200,MATCH(A8581,'Teacher Lookup'!$A$2:$A$200,0)),"")</f>
        <v>LAU Rachel</v>
      </c>
    </row>
    <row r="8582" customFormat="false" ht="15" hidden="false" customHeight="false" outlineLevel="0" collapsed="false">
      <c r="A8582" s="3" t="s">
        <v>498</v>
      </c>
      <c r="B8582" s="4" t="s">
        <v>65</v>
      </c>
      <c r="C8582" s="4" t="n">
        <v>5</v>
      </c>
      <c r="D8582" s="4" t="s">
        <v>107</v>
      </c>
      <c r="E8582" s="3" t="s">
        <v>229</v>
      </c>
      <c r="F8582" s="4" t="str">
        <f aca="false">IF(I8582&gt;J8582,"Y","N")</f>
        <v>Y</v>
      </c>
      <c r="G8582" s="3" t="s">
        <v>36</v>
      </c>
      <c r="H8582" s="3" t="s">
        <v>37</v>
      </c>
      <c r="I8582" s="4" t="n">
        <v>14</v>
      </c>
      <c r="J8582" s="4" t="n">
        <f aca="false">LEN(E8582)-LEN(SUBSTITUTE(E8582,",",""))+1</f>
        <v>6</v>
      </c>
      <c r="K8582" s="3" t="str">
        <f aca="false">IFERROR(INDEX('Teacher Lookup'!$B$2:$B$200,MATCH(A8582,'Teacher Lookup'!$A$2:$A$200,0)),"")</f>
        <v>LAU Rachel</v>
      </c>
    </row>
    <row r="8583" customFormat="false" ht="15" hidden="false" customHeight="false" outlineLevel="0" collapsed="false">
      <c r="A8583" s="3" t="s">
        <v>498</v>
      </c>
      <c r="B8583" s="4" t="s">
        <v>65</v>
      </c>
      <c r="C8583" s="4" t="n">
        <v>6</v>
      </c>
      <c r="D8583" s="4" t="s">
        <v>24</v>
      </c>
      <c r="E8583" s="3" t="s">
        <v>384</v>
      </c>
      <c r="F8583" s="4" t="str">
        <f aca="false">IF(I8583&gt;J8583,"Y","N")</f>
        <v>Y</v>
      </c>
      <c r="G8583" s="3" t="s">
        <v>378</v>
      </c>
      <c r="H8583" s="3" t="s">
        <v>42</v>
      </c>
      <c r="I8583" s="4" t="n">
        <v>9</v>
      </c>
      <c r="J8583" s="4" t="n">
        <f aca="false">LEN(E8583)-LEN(SUBSTITUTE(E8583,",",""))+1</f>
        <v>8</v>
      </c>
      <c r="K8583" s="3" t="str">
        <f aca="false">IFERROR(INDEX('Teacher Lookup'!$B$2:$B$200,MATCH(A8583,'Teacher Lookup'!$A$2:$A$200,0)),"")</f>
        <v>LAU Rachel</v>
      </c>
    </row>
    <row r="8584" customFormat="false" ht="15" hidden="false" customHeight="false" outlineLevel="0" collapsed="false">
      <c r="A8584" s="3" t="s">
        <v>498</v>
      </c>
      <c r="B8584" s="4" t="s">
        <v>65</v>
      </c>
      <c r="C8584" s="4" t="n">
        <v>6</v>
      </c>
      <c r="D8584" s="4" t="s">
        <v>27</v>
      </c>
      <c r="E8584" s="3" t="s">
        <v>384</v>
      </c>
      <c r="F8584" s="4" t="str">
        <f aca="false">IF(I8584&gt;J8584,"Y","N")</f>
        <v>Y</v>
      </c>
      <c r="G8584" s="3" t="s">
        <v>378</v>
      </c>
      <c r="H8584" s="3" t="s">
        <v>42</v>
      </c>
      <c r="I8584" s="4" t="n">
        <v>9</v>
      </c>
      <c r="J8584" s="4" t="n">
        <f aca="false">LEN(E8584)-LEN(SUBSTITUTE(E8584,",",""))+1</f>
        <v>8</v>
      </c>
      <c r="K8584" s="3" t="str">
        <f aca="false">IFERROR(INDEX('Teacher Lookup'!$B$2:$B$200,MATCH(A8584,'Teacher Lookup'!$A$2:$A$200,0)),"")</f>
        <v>LAU Rachel</v>
      </c>
    </row>
    <row r="8585" customFormat="false" ht="15" hidden="false" customHeight="false" outlineLevel="0" collapsed="false">
      <c r="A8585" s="3" t="s">
        <v>498</v>
      </c>
      <c r="B8585" s="4" t="s">
        <v>65</v>
      </c>
      <c r="C8585" s="4" t="n">
        <v>6</v>
      </c>
      <c r="D8585" s="4" t="s">
        <v>28</v>
      </c>
      <c r="E8585" s="3" t="s">
        <v>384</v>
      </c>
      <c r="F8585" s="4" t="str">
        <f aca="false">IF(I8585&gt;J8585,"Y","N")</f>
        <v>Y</v>
      </c>
      <c r="G8585" s="3" t="s">
        <v>378</v>
      </c>
      <c r="H8585" s="3" t="s">
        <v>42</v>
      </c>
      <c r="I8585" s="4" t="n">
        <v>9</v>
      </c>
      <c r="J8585" s="4" t="n">
        <f aca="false">LEN(E8585)-LEN(SUBSTITUTE(E8585,",",""))+1</f>
        <v>8</v>
      </c>
      <c r="K8585" s="3" t="str">
        <f aca="false">IFERROR(INDEX('Teacher Lookup'!$B$2:$B$200,MATCH(A8585,'Teacher Lookup'!$A$2:$A$200,0)),"")</f>
        <v>LAU Rachel</v>
      </c>
    </row>
    <row r="8586" customFormat="false" ht="15" hidden="false" customHeight="false" outlineLevel="0" collapsed="false">
      <c r="A8586" s="3" t="s">
        <v>498</v>
      </c>
      <c r="B8586" s="4" t="s">
        <v>65</v>
      </c>
      <c r="C8586" s="4" t="n">
        <v>6</v>
      </c>
      <c r="D8586" s="4" t="s">
        <v>29</v>
      </c>
      <c r="E8586" s="3" t="s">
        <v>384</v>
      </c>
      <c r="F8586" s="4" t="str">
        <f aca="false">IF(I8586&gt;J8586,"Y","N")</f>
        <v>Y</v>
      </c>
      <c r="G8586" s="3" t="s">
        <v>378</v>
      </c>
      <c r="H8586" s="3" t="s">
        <v>42</v>
      </c>
      <c r="I8586" s="4" t="n">
        <v>9</v>
      </c>
      <c r="J8586" s="4" t="n">
        <f aca="false">LEN(E8586)-LEN(SUBSTITUTE(E8586,",",""))+1</f>
        <v>8</v>
      </c>
      <c r="K8586" s="3" t="str">
        <f aca="false">IFERROR(INDEX('Teacher Lookup'!$B$2:$B$200,MATCH(A8586,'Teacher Lookup'!$A$2:$A$200,0)),"")</f>
        <v>LAU Rachel</v>
      </c>
    </row>
    <row r="8587" customFormat="false" ht="15" hidden="false" customHeight="false" outlineLevel="0" collapsed="false">
      <c r="A8587" s="3" t="s">
        <v>498</v>
      </c>
      <c r="B8587" s="4" t="s">
        <v>65</v>
      </c>
      <c r="C8587" s="4" t="n">
        <v>6</v>
      </c>
      <c r="D8587" s="4" t="s">
        <v>30</v>
      </c>
      <c r="E8587" s="3" t="s">
        <v>384</v>
      </c>
      <c r="F8587" s="4" t="str">
        <f aca="false">IF(I8587&gt;J8587,"Y","N")</f>
        <v>Y</v>
      </c>
      <c r="G8587" s="3" t="s">
        <v>378</v>
      </c>
      <c r="H8587" s="3" t="s">
        <v>42</v>
      </c>
      <c r="I8587" s="4" t="n">
        <v>9</v>
      </c>
      <c r="J8587" s="4" t="n">
        <f aca="false">LEN(E8587)-LEN(SUBSTITUTE(E8587,",",""))+1</f>
        <v>8</v>
      </c>
      <c r="K8587" s="3" t="str">
        <f aca="false">IFERROR(INDEX('Teacher Lookup'!$B$2:$B$200,MATCH(A8587,'Teacher Lookup'!$A$2:$A$200,0)),"")</f>
        <v>LAU Rachel</v>
      </c>
    </row>
    <row r="8588" customFormat="false" ht="15" hidden="false" customHeight="false" outlineLevel="0" collapsed="false">
      <c r="A8588" s="3" t="s">
        <v>498</v>
      </c>
      <c r="B8588" s="4" t="s">
        <v>65</v>
      </c>
      <c r="C8588" s="4" t="n">
        <v>7</v>
      </c>
      <c r="D8588" s="4" t="s">
        <v>52</v>
      </c>
      <c r="E8588" s="3" t="s">
        <v>251</v>
      </c>
      <c r="F8588" s="4" t="str">
        <f aca="false">IF(I8588&gt;J8588,"Y","N")</f>
        <v>N</v>
      </c>
      <c r="G8588" s="3" t="s">
        <v>239</v>
      </c>
      <c r="H8588" s="3" t="s">
        <v>39</v>
      </c>
      <c r="I8588" s="4" t="n">
        <v>7</v>
      </c>
      <c r="J8588" s="4" t="n">
        <f aca="false">LEN(E8588)-LEN(SUBSTITUTE(E8588,",",""))+1</f>
        <v>7</v>
      </c>
      <c r="K8588" s="3" t="str">
        <f aca="false">IFERROR(INDEX('Teacher Lookup'!$B$2:$B$200,MATCH(A8588,'Teacher Lookup'!$A$2:$A$200,0)),"")</f>
        <v>LAU Rachel</v>
      </c>
    </row>
    <row r="8589" customFormat="false" ht="15" hidden="false" customHeight="false" outlineLevel="0" collapsed="false">
      <c r="A8589" s="3" t="s">
        <v>498</v>
      </c>
      <c r="B8589" s="4" t="s">
        <v>65</v>
      </c>
      <c r="C8589" s="4" t="n">
        <v>7</v>
      </c>
      <c r="D8589" s="4" t="s">
        <v>55</v>
      </c>
      <c r="E8589" s="3" t="s">
        <v>251</v>
      </c>
      <c r="F8589" s="4" t="str">
        <f aca="false">IF(I8589&gt;J8589,"Y","N")</f>
        <v>N</v>
      </c>
      <c r="G8589" s="3" t="s">
        <v>239</v>
      </c>
      <c r="H8589" s="3" t="s">
        <v>39</v>
      </c>
      <c r="I8589" s="4" t="n">
        <v>7</v>
      </c>
      <c r="J8589" s="4" t="n">
        <f aca="false">LEN(E8589)-LEN(SUBSTITUTE(E8589,",",""))+1</f>
        <v>7</v>
      </c>
      <c r="K8589" s="3" t="str">
        <f aca="false">IFERROR(INDEX('Teacher Lookup'!$B$2:$B$200,MATCH(A8589,'Teacher Lookup'!$A$2:$A$200,0)),"")</f>
        <v>LAU Rachel</v>
      </c>
    </row>
    <row r="8590" customFormat="false" ht="15" hidden="false" customHeight="false" outlineLevel="0" collapsed="false">
      <c r="A8590" s="3" t="s">
        <v>498</v>
      </c>
      <c r="B8590" s="4" t="s">
        <v>65</v>
      </c>
      <c r="C8590" s="4" t="n">
        <v>7</v>
      </c>
      <c r="D8590" s="4" t="s">
        <v>56</v>
      </c>
      <c r="E8590" s="3" t="s">
        <v>251</v>
      </c>
      <c r="F8590" s="4" t="str">
        <f aca="false">IF(I8590&gt;J8590,"Y","N")</f>
        <v>N</v>
      </c>
      <c r="G8590" s="3" t="s">
        <v>239</v>
      </c>
      <c r="H8590" s="3" t="s">
        <v>39</v>
      </c>
      <c r="I8590" s="4" t="n">
        <v>7</v>
      </c>
      <c r="J8590" s="4" t="n">
        <f aca="false">LEN(E8590)-LEN(SUBSTITUTE(E8590,",",""))+1</f>
        <v>7</v>
      </c>
      <c r="K8590" s="3" t="str">
        <f aca="false">IFERROR(INDEX('Teacher Lookup'!$B$2:$B$200,MATCH(A8590,'Teacher Lookup'!$A$2:$A$200,0)),"")</f>
        <v>LAU Rachel</v>
      </c>
    </row>
    <row r="8591" customFormat="false" ht="15" hidden="false" customHeight="false" outlineLevel="0" collapsed="false">
      <c r="A8591" s="3" t="s">
        <v>498</v>
      </c>
      <c r="B8591" s="4" t="s">
        <v>65</v>
      </c>
      <c r="C8591" s="4" t="n">
        <v>7</v>
      </c>
      <c r="D8591" s="4" t="s">
        <v>57</v>
      </c>
      <c r="E8591" s="3" t="s">
        <v>251</v>
      </c>
      <c r="F8591" s="4" t="str">
        <f aca="false">IF(I8591&gt;J8591,"Y","N")</f>
        <v>N</v>
      </c>
      <c r="G8591" s="3" t="s">
        <v>239</v>
      </c>
      <c r="H8591" s="3" t="s">
        <v>39</v>
      </c>
      <c r="I8591" s="4" t="n">
        <v>7</v>
      </c>
      <c r="J8591" s="4" t="n">
        <f aca="false">LEN(E8591)-LEN(SUBSTITUTE(E8591,",",""))+1</f>
        <v>7</v>
      </c>
      <c r="K8591" s="3" t="str">
        <f aca="false">IFERROR(INDEX('Teacher Lookup'!$B$2:$B$200,MATCH(A8591,'Teacher Lookup'!$A$2:$A$200,0)),"")</f>
        <v>LAU Rachel</v>
      </c>
    </row>
    <row r="8592" customFormat="false" ht="15" hidden="false" customHeight="false" outlineLevel="0" collapsed="false">
      <c r="A8592" s="3" t="s">
        <v>498</v>
      </c>
      <c r="B8592" s="4" t="s">
        <v>65</v>
      </c>
      <c r="C8592" s="4" t="n">
        <v>7</v>
      </c>
      <c r="D8592" s="4" t="s">
        <v>58</v>
      </c>
      <c r="E8592" s="3" t="s">
        <v>251</v>
      </c>
      <c r="F8592" s="4" t="str">
        <f aca="false">IF(I8592&gt;J8592,"Y","N")</f>
        <v>N</v>
      </c>
      <c r="G8592" s="3" t="s">
        <v>239</v>
      </c>
      <c r="H8592" s="3" t="s">
        <v>39</v>
      </c>
      <c r="I8592" s="4" t="n">
        <v>7</v>
      </c>
      <c r="J8592" s="4" t="n">
        <f aca="false">LEN(E8592)-LEN(SUBSTITUTE(E8592,",",""))+1</f>
        <v>7</v>
      </c>
      <c r="K8592" s="3" t="str">
        <f aca="false">IFERROR(INDEX('Teacher Lookup'!$B$2:$B$200,MATCH(A8592,'Teacher Lookup'!$A$2:$A$200,0)),"")</f>
        <v>LAU Rachel</v>
      </c>
    </row>
    <row r="8593" customFormat="false" ht="15" hidden="false" customHeight="false" outlineLevel="0" collapsed="false">
      <c r="A8593" s="3" t="s">
        <v>498</v>
      </c>
      <c r="B8593" s="4" t="s">
        <v>65</v>
      </c>
      <c r="C8593" s="4" t="n">
        <v>7</v>
      </c>
      <c r="D8593" s="4" t="s">
        <v>59</v>
      </c>
      <c r="E8593" s="3" t="s">
        <v>251</v>
      </c>
      <c r="F8593" s="4" t="str">
        <f aca="false">IF(I8593&gt;J8593,"Y","N")</f>
        <v>N</v>
      </c>
      <c r="G8593" s="3" t="s">
        <v>239</v>
      </c>
      <c r="H8593" s="3" t="s">
        <v>39</v>
      </c>
      <c r="I8593" s="4" t="n">
        <v>7</v>
      </c>
      <c r="J8593" s="4" t="n">
        <f aca="false">LEN(E8593)-LEN(SUBSTITUTE(E8593,",",""))+1</f>
        <v>7</v>
      </c>
      <c r="K8593" s="3" t="str">
        <f aca="false">IFERROR(INDEX('Teacher Lookup'!$B$2:$B$200,MATCH(A8593,'Teacher Lookup'!$A$2:$A$200,0)),"")</f>
        <v>LAU Rachel</v>
      </c>
    </row>
    <row r="8594" customFormat="false" ht="15" hidden="false" customHeight="false" outlineLevel="0" collapsed="false">
      <c r="A8594" s="3" t="s">
        <v>498</v>
      </c>
      <c r="B8594" s="4" t="s">
        <v>66</v>
      </c>
      <c r="C8594" s="4" t="n">
        <v>1</v>
      </c>
      <c r="D8594" s="4" t="s">
        <v>52</v>
      </c>
      <c r="E8594" s="3" t="s">
        <v>252</v>
      </c>
      <c r="F8594" s="4" t="str">
        <f aca="false">IF(I8594&gt;J8594,"Y","N")</f>
        <v>N</v>
      </c>
      <c r="G8594" s="3" t="s">
        <v>239</v>
      </c>
      <c r="H8594" s="3" t="s">
        <v>16</v>
      </c>
      <c r="I8594" s="4" t="n">
        <v>7</v>
      </c>
      <c r="J8594" s="4" t="n">
        <f aca="false">LEN(E8594)-LEN(SUBSTITUTE(E8594,",",""))+1</f>
        <v>7</v>
      </c>
      <c r="K8594" s="3" t="str">
        <f aca="false">IFERROR(INDEX('Teacher Lookup'!$B$2:$B$200,MATCH(A8594,'Teacher Lookup'!$A$2:$A$200,0)),"")</f>
        <v>LAU Rachel</v>
      </c>
    </row>
    <row r="8595" customFormat="false" ht="15" hidden="false" customHeight="false" outlineLevel="0" collapsed="false">
      <c r="A8595" s="3" t="s">
        <v>498</v>
      </c>
      <c r="B8595" s="4" t="s">
        <v>66</v>
      </c>
      <c r="C8595" s="4" t="n">
        <v>1</v>
      </c>
      <c r="D8595" s="4" t="s">
        <v>55</v>
      </c>
      <c r="E8595" s="3" t="s">
        <v>252</v>
      </c>
      <c r="F8595" s="4" t="str">
        <f aca="false">IF(I8595&gt;J8595,"Y","N")</f>
        <v>N</v>
      </c>
      <c r="G8595" s="3" t="s">
        <v>239</v>
      </c>
      <c r="H8595" s="3" t="s">
        <v>16</v>
      </c>
      <c r="I8595" s="4" t="n">
        <v>7</v>
      </c>
      <c r="J8595" s="4" t="n">
        <f aca="false">LEN(E8595)-LEN(SUBSTITUTE(E8595,",",""))+1</f>
        <v>7</v>
      </c>
      <c r="K8595" s="3" t="str">
        <f aca="false">IFERROR(INDEX('Teacher Lookup'!$B$2:$B$200,MATCH(A8595,'Teacher Lookup'!$A$2:$A$200,0)),"")</f>
        <v>LAU Rachel</v>
      </c>
    </row>
    <row r="8596" customFormat="false" ht="15" hidden="false" customHeight="false" outlineLevel="0" collapsed="false">
      <c r="A8596" s="3" t="s">
        <v>498</v>
      </c>
      <c r="B8596" s="4" t="s">
        <v>66</v>
      </c>
      <c r="C8596" s="4" t="n">
        <v>1</v>
      </c>
      <c r="D8596" s="4" t="s">
        <v>56</v>
      </c>
      <c r="E8596" s="3" t="s">
        <v>252</v>
      </c>
      <c r="F8596" s="4" t="str">
        <f aca="false">IF(I8596&gt;J8596,"Y","N")</f>
        <v>N</v>
      </c>
      <c r="G8596" s="3" t="s">
        <v>239</v>
      </c>
      <c r="H8596" s="3" t="s">
        <v>16</v>
      </c>
      <c r="I8596" s="4" t="n">
        <v>7</v>
      </c>
      <c r="J8596" s="4" t="n">
        <f aca="false">LEN(E8596)-LEN(SUBSTITUTE(E8596,",",""))+1</f>
        <v>7</v>
      </c>
      <c r="K8596" s="3" t="str">
        <f aca="false">IFERROR(INDEX('Teacher Lookup'!$B$2:$B$200,MATCH(A8596,'Teacher Lookup'!$A$2:$A$200,0)),"")</f>
        <v>LAU Rachel</v>
      </c>
    </row>
    <row r="8597" customFormat="false" ht="15" hidden="false" customHeight="false" outlineLevel="0" collapsed="false">
      <c r="A8597" s="3" t="s">
        <v>498</v>
      </c>
      <c r="B8597" s="4" t="s">
        <v>66</v>
      </c>
      <c r="C8597" s="4" t="n">
        <v>1</v>
      </c>
      <c r="D8597" s="4" t="s">
        <v>57</v>
      </c>
      <c r="E8597" s="3" t="s">
        <v>252</v>
      </c>
      <c r="F8597" s="4" t="str">
        <f aca="false">IF(I8597&gt;J8597,"Y","N")</f>
        <v>N</v>
      </c>
      <c r="G8597" s="3" t="s">
        <v>239</v>
      </c>
      <c r="H8597" s="3" t="s">
        <v>16</v>
      </c>
      <c r="I8597" s="4" t="n">
        <v>7</v>
      </c>
      <c r="J8597" s="4" t="n">
        <f aca="false">LEN(E8597)-LEN(SUBSTITUTE(E8597,",",""))+1</f>
        <v>7</v>
      </c>
      <c r="K8597" s="3" t="str">
        <f aca="false">IFERROR(INDEX('Teacher Lookup'!$B$2:$B$200,MATCH(A8597,'Teacher Lookup'!$A$2:$A$200,0)),"")</f>
        <v>LAU Rachel</v>
      </c>
    </row>
    <row r="8598" customFormat="false" ht="15" hidden="false" customHeight="false" outlineLevel="0" collapsed="false">
      <c r="A8598" s="3" t="s">
        <v>498</v>
      </c>
      <c r="B8598" s="4" t="s">
        <v>66</v>
      </c>
      <c r="C8598" s="4" t="n">
        <v>1</v>
      </c>
      <c r="D8598" s="4" t="s">
        <v>58</v>
      </c>
      <c r="E8598" s="3" t="s">
        <v>252</v>
      </c>
      <c r="F8598" s="4" t="str">
        <f aca="false">IF(I8598&gt;J8598,"Y","N")</f>
        <v>N</v>
      </c>
      <c r="G8598" s="3" t="s">
        <v>239</v>
      </c>
      <c r="H8598" s="3" t="s">
        <v>16</v>
      </c>
      <c r="I8598" s="4" t="n">
        <v>7</v>
      </c>
      <c r="J8598" s="4" t="n">
        <f aca="false">LEN(E8598)-LEN(SUBSTITUTE(E8598,",",""))+1</f>
        <v>7</v>
      </c>
      <c r="K8598" s="3" t="str">
        <f aca="false">IFERROR(INDEX('Teacher Lookup'!$B$2:$B$200,MATCH(A8598,'Teacher Lookup'!$A$2:$A$200,0)),"")</f>
        <v>LAU Rachel</v>
      </c>
    </row>
    <row r="8599" customFormat="false" ht="15" hidden="false" customHeight="false" outlineLevel="0" collapsed="false">
      <c r="A8599" s="3" t="s">
        <v>498</v>
      </c>
      <c r="B8599" s="4" t="s">
        <v>66</v>
      </c>
      <c r="C8599" s="4" t="n">
        <v>1</v>
      </c>
      <c r="D8599" s="4" t="s">
        <v>59</v>
      </c>
      <c r="E8599" s="3" t="s">
        <v>252</v>
      </c>
      <c r="F8599" s="4" t="str">
        <f aca="false">IF(I8599&gt;J8599,"Y","N")</f>
        <v>N</v>
      </c>
      <c r="G8599" s="3" t="s">
        <v>239</v>
      </c>
      <c r="H8599" s="3" t="s">
        <v>16</v>
      </c>
      <c r="I8599" s="4" t="n">
        <v>7</v>
      </c>
      <c r="J8599" s="4" t="n">
        <f aca="false">LEN(E8599)-LEN(SUBSTITUTE(E8599,",",""))+1</f>
        <v>7</v>
      </c>
      <c r="K8599" s="3" t="str">
        <f aca="false">IFERROR(INDEX('Teacher Lookup'!$B$2:$B$200,MATCH(A8599,'Teacher Lookup'!$A$2:$A$200,0)),"")</f>
        <v>LAU Rachel</v>
      </c>
    </row>
    <row r="8600" customFormat="false" ht="15" hidden="false" customHeight="false" outlineLevel="0" collapsed="false">
      <c r="A8600" s="3" t="s">
        <v>498</v>
      </c>
      <c r="B8600" s="4" t="s">
        <v>66</v>
      </c>
      <c r="C8600" s="4" t="n">
        <v>2</v>
      </c>
      <c r="D8600" s="4" t="s">
        <v>102</v>
      </c>
      <c r="E8600" s="3" t="s">
        <v>114</v>
      </c>
      <c r="F8600" s="4" t="str">
        <f aca="false">IF(I8600&gt;J8600,"Y","N")</f>
        <v>N</v>
      </c>
      <c r="G8600" s="3" t="s">
        <v>104</v>
      </c>
      <c r="H8600" s="3" t="s">
        <v>21</v>
      </c>
      <c r="I8600" s="4" t="n">
        <v>6</v>
      </c>
      <c r="J8600" s="4" t="n">
        <f aca="false">LEN(E8600)-LEN(SUBSTITUTE(E8600,",",""))+1</f>
        <v>6</v>
      </c>
      <c r="K8600" s="3" t="str">
        <f aca="false">IFERROR(INDEX('Teacher Lookup'!$B$2:$B$200,MATCH(A8600,'Teacher Lookup'!$A$2:$A$200,0)),"")</f>
        <v>LAU Rachel</v>
      </c>
    </row>
    <row r="8601" customFormat="false" ht="15" hidden="false" customHeight="false" outlineLevel="0" collapsed="false">
      <c r="A8601" s="3" t="s">
        <v>498</v>
      </c>
      <c r="B8601" s="4" t="s">
        <v>66</v>
      </c>
      <c r="C8601" s="4" t="n">
        <v>2</v>
      </c>
      <c r="D8601" s="4" t="s">
        <v>105</v>
      </c>
      <c r="E8601" s="3" t="s">
        <v>114</v>
      </c>
      <c r="F8601" s="4" t="str">
        <f aca="false">IF(I8601&gt;J8601,"Y","N")</f>
        <v>N</v>
      </c>
      <c r="G8601" s="3" t="s">
        <v>104</v>
      </c>
      <c r="H8601" s="3" t="s">
        <v>21</v>
      </c>
      <c r="I8601" s="4" t="n">
        <v>6</v>
      </c>
      <c r="J8601" s="4" t="n">
        <f aca="false">LEN(E8601)-LEN(SUBSTITUTE(E8601,",",""))+1</f>
        <v>6</v>
      </c>
      <c r="K8601" s="3" t="str">
        <f aca="false">IFERROR(INDEX('Teacher Lookup'!$B$2:$B$200,MATCH(A8601,'Teacher Lookup'!$A$2:$A$200,0)),"")</f>
        <v>LAU Rachel</v>
      </c>
    </row>
    <row r="8602" customFormat="false" ht="15" hidden="false" customHeight="false" outlineLevel="0" collapsed="false">
      <c r="A8602" s="3" t="s">
        <v>498</v>
      </c>
      <c r="B8602" s="4" t="s">
        <v>66</v>
      </c>
      <c r="C8602" s="4" t="n">
        <v>2</v>
      </c>
      <c r="D8602" s="4" t="s">
        <v>106</v>
      </c>
      <c r="E8602" s="3" t="s">
        <v>114</v>
      </c>
      <c r="F8602" s="4" t="str">
        <f aca="false">IF(I8602&gt;J8602,"Y","N")</f>
        <v>N</v>
      </c>
      <c r="G8602" s="3" t="s">
        <v>104</v>
      </c>
      <c r="H8602" s="3" t="s">
        <v>21</v>
      </c>
      <c r="I8602" s="4" t="n">
        <v>6</v>
      </c>
      <c r="J8602" s="4" t="n">
        <f aca="false">LEN(E8602)-LEN(SUBSTITUTE(E8602,",",""))+1</f>
        <v>6</v>
      </c>
      <c r="K8602" s="3" t="str">
        <f aca="false">IFERROR(INDEX('Teacher Lookup'!$B$2:$B$200,MATCH(A8602,'Teacher Lookup'!$A$2:$A$200,0)),"")</f>
        <v>LAU Rachel</v>
      </c>
    </row>
    <row r="8603" customFormat="false" ht="15" hidden="false" customHeight="false" outlineLevel="0" collapsed="false">
      <c r="A8603" s="3" t="s">
        <v>498</v>
      </c>
      <c r="B8603" s="4" t="s">
        <v>66</v>
      </c>
      <c r="C8603" s="4" t="n">
        <v>2</v>
      </c>
      <c r="D8603" s="4" t="s">
        <v>107</v>
      </c>
      <c r="E8603" s="3" t="s">
        <v>114</v>
      </c>
      <c r="F8603" s="4" t="str">
        <f aca="false">IF(I8603&gt;J8603,"Y","N")</f>
        <v>N</v>
      </c>
      <c r="G8603" s="3" t="s">
        <v>104</v>
      </c>
      <c r="H8603" s="3" t="s">
        <v>21</v>
      </c>
      <c r="I8603" s="4" t="n">
        <v>6</v>
      </c>
      <c r="J8603" s="4" t="n">
        <f aca="false">LEN(E8603)-LEN(SUBSTITUTE(E8603,",",""))+1</f>
        <v>6</v>
      </c>
      <c r="K8603" s="3" t="str">
        <f aca="false">IFERROR(INDEX('Teacher Lookup'!$B$2:$B$200,MATCH(A8603,'Teacher Lookup'!$A$2:$A$200,0)),"")</f>
        <v>LAU Rachel</v>
      </c>
    </row>
    <row r="8604" customFormat="false" ht="15" hidden="false" customHeight="false" outlineLevel="0" collapsed="false">
      <c r="A8604" s="3" t="s">
        <v>498</v>
      </c>
      <c r="B8604" s="4" t="s">
        <v>66</v>
      </c>
      <c r="C8604" s="4" t="n">
        <v>5</v>
      </c>
      <c r="D8604" s="4" t="s">
        <v>102</v>
      </c>
      <c r="E8604" s="3" t="s">
        <v>320</v>
      </c>
      <c r="F8604" s="4" t="str">
        <f aca="false">IF(I8604&gt;J8604,"Y","N")</f>
        <v>Y</v>
      </c>
      <c r="G8604" s="3" t="s">
        <v>310</v>
      </c>
      <c r="H8604" s="3" t="s">
        <v>37</v>
      </c>
      <c r="I8604" s="4" t="n">
        <v>7</v>
      </c>
      <c r="J8604" s="4" t="n">
        <f aca="false">LEN(E8604)-LEN(SUBSTITUTE(E8604,",",""))+1</f>
        <v>6</v>
      </c>
      <c r="K8604" s="3" t="str">
        <f aca="false">IFERROR(INDEX('Teacher Lookup'!$B$2:$B$200,MATCH(A8604,'Teacher Lookup'!$A$2:$A$200,0)),"")</f>
        <v>LAU Rachel</v>
      </c>
    </row>
    <row r="8605" customFormat="false" ht="15" hidden="false" customHeight="false" outlineLevel="0" collapsed="false">
      <c r="A8605" s="3" t="s">
        <v>498</v>
      </c>
      <c r="B8605" s="4" t="s">
        <v>66</v>
      </c>
      <c r="C8605" s="4" t="n">
        <v>5</v>
      </c>
      <c r="D8605" s="4" t="s">
        <v>105</v>
      </c>
      <c r="E8605" s="3" t="s">
        <v>320</v>
      </c>
      <c r="F8605" s="4" t="str">
        <f aca="false">IF(I8605&gt;J8605,"Y","N")</f>
        <v>Y</v>
      </c>
      <c r="G8605" s="3" t="s">
        <v>310</v>
      </c>
      <c r="H8605" s="3" t="s">
        <v>37</v>
      </c>
      <c r="I8605" s="4" t="n">
        <v>7</v>
      </c>
      <c r="J8605" s="4" t="n">
        <f aca="false">LEN(E8605)-LEN(SUBSTITUTE(E8605,",",""))+1</f>
        <v>6</v>
      </c>
      <c r="K8605" s="3" t="str">
        <f aca="false">IFERROR(INDEX('Teacher Lookup'!$B$2:$B$200,MATCH(A8605,'Teacher Lookup'!$A$2:$A$200,0)),"")</f>
        <v>LAU Rachel</v>
      </c>
    </row>
    <row r="8606" customFormat="false" ht="15" hidden="false" customHeight="false" outlineLevel="0" collapsed="false">
      <c r="A8606" s="3" t="s">
        <v>498</v>
      </c>
      <c r="B8606" s="4" t="s">
        <v>66</v>
      </c>
      <c r="C8606" s="4" t="n">
        <v>5</v>
      </c>
      <c r="D8606" s="4" t="s">
        <v>106</v>
      </c>
      <c r="E8606" s="3" t="s">
        <v>320</v>
      </c>
      <c r="F8606" s="4" t="str">
        <f aca="false">IF(I8606&gt;J8606,"Y","N")</f>
        <v>Y</v>
      </c>
      <c r="G8606" s="3" t="s">
        <v>310</v>
      </c>
      <c r="H8606" s="3" t="s">
        <v>37</v>
      </c>
      <c r="I8606" s="4" t="n">
        <v>7</v>
      </c>
      <c r="J8606" s="4" t="n">
        <f aca="false">LEN(E8606)-LEN(SUBSTITUTE(E8606,",",""))+1</f>
        <v>6</v>
      </c>
      <c r="K8606" s="3" t="str">
        <f aca="false">IFERROR(INDEX('Teacher Lookup'!$B$2:$B$200,MATCH(A8606,'Teacher Lookup'!$A$2:$A$200,0)),"")</f>
        <v>LAU Rachel</v>
      </c>
    </row>
    <row r="8607" customFormat="false" ht="15" hidden="false" customHeight="false" outlineLevel="0" collapsed="false">
      <c r="A8607" s="3" t="s">
        <v>498</v>
      </c>
      <c r="B8607" s="4" t="s">
        <v>66</v>
      </c>
      <c r="C8607" s="4" t="n">
        <v>5</v>
      </c>
      <c r="D8607" s="4" t="s">
        <v>107</v>
      </c>
      <c r="E8607" s="3" t="s">
        <v>320</v>
      </c>
      <c r="F8607" s="4" t="str">
        <f aca="false">IF(I8607&gt;J8607,"Y","N")</f>
        <v>Y</v>
      </c>
      <c r="G8607" s="3" t="s">
        <v>310</v>
      </c>
      <c r="H8607" s="3" t="s">
        <v>37</v>
      </c>
      <c r="I8607" s="4" t="n">
        <v>7</v>
      </c>
      <c r="J8607" s="4" t="n">
        <f aca="false">LEN(E8607)-LEN(SUBSTITUTE(E8607,",",""))+1</f>
        <v>6</v>
      </c>
      <c r="K8607" s="3" t="str">
        <f aca="false">IFERROR(INDEX('Teacher Lookup'!$B$2:$B$200,MATCH(A8607,'Teacher Lookup'!$A$2:$A$200,0)),"")</f>
        <v>LAU Rachel</v>
      </c>
    </row>
    <row r="8608" customFormat="false" ht="15" hidden="false" customHeight="false" outlineLevel="0" collapsed="false">
      <c r="A8608" s="3" t="s">
        <v>498</v>
      </c>
      <c r="B8608" s="4" t="s">
        <v>66</v>
      </c>
      <c r="C8608" s="4" t="n">
        <v>6</v>
      </c>
      <c r="D8608" s="4" t="s">
        <v>24</v>
      </c>
      <c r="E8608" s="3" t="s">
        <v>385</v>
      </c>
      <c r="F8608" s="4" t="str">
        <f aca="false">IF(I8608&gt;J8608,"Y","N")</f>
        <v>N</v>
      </c>
      <c r="G8608" s="3" t="s">
        <v>378</v>
      </c>
      <c r="H8608" s="3" t="s">
        <v>42</v>
      </c>
      <c r="I8608" s="4" t="n">
        <v>8</v>
      </c>
      <c r="J8608" s="4" t="n">
        <f aca="false">LEN(E8608)-LEN(SUBSTITUTE(E8608,",",""))+1</f>
        <v>8</v>
      </c>
      <c r="K8608" s="3" t="str">
        <f aca="false">IFERROR(INDEX('Teacher Lookup'!$B$2:$B$200,MATCH(A8608,'Teacher Lookup'!$A$2:$A$200,0)),"")</f>
        <v>LAU Rachel</v>
      </c>
    </row>
    <row r="8609" customFormat="false" ht="15" hidden="false" customHeight="false" outlineLevel="0" collapsed="false">
      <c r="A8609" s="3" t="s">
        <v>498</v>
      </c>
      <c r="B8609" s="4" t="s">
        <v>66</v>
      </c>
      <c r="C8609" s="4" t="n">
        <v>6</v>
      </c>
      <c r="D8609" s="4" t="s">
        <v>27</v>
      </c>
      <c r="E8609" s="3" t="s">
        <v>385</v>
      </c>
      <c r="F8609" s="4" t="str">
        <f aca="false">IF(I8609&gt;J8609,"Y","N")</f>
        <v>N</v>
      </c>
      <c r="G8609" s="3" t="s">
        <v>378</v>
      </c>
      <c r="H8609" s="3" t="s">
        <v>42</v>
      </c>
      <c r="I8609" s="4" t="n">
        <v>8</v>
      </c>
      <c r="J8609" s="4" t="n">
        <f aca="false">LEN(E8609)-LEN(SUBSTITUTE(E8609,",",""))+1</f>
        <v>8</v>
      </c>
      <c r="K8609" s="3" t="str">
        <f aca="false">IFERROR(INDEX('Teacher Lookup'!$B$2:$B$200,MATCH(A8609,'Teacher Lookup'!$A$2:$A$200,0)),"")</f>
        <v>LAU Rachel</v>
      </c>
    </row>
    <row r="8610" customFormat="false" ht="15" hidden="false" customHeight="false" outlineLevel="0" collapsed="false">
      <c r="A8610" s="3" t="s">
        <v>498</v>
      </c>
      <c r="B8610" s="4" t="s">
        <v>66</v>
      </c>
      <c r="C8610" s="4" t="n">
        <v>6</v>
      </c>
      <c r="D8610" s="4" t="s">
        <v>28</v>
      </c>
      <c r="E8610" s="3" t="s">
        <v>385</v>
      </c>
      <c r="F8610" s="4" t="str">
        <f aca="false">IF(I8610&gt;J8610,"Y","N")</f>
        <v>N</v>
      </c>
      <c r="G8610" s="3" t="s">
        <v>378</v>
      </c>
      <c r="H8610" s="3" t="s">
        <v>42</v>
      </c>
      <c r="I8610" s="4" t="n">
        <v>8</v>
      </c>
      <c r="J8610" s="4" t="n">
        <f aca="false">LEN(E8610)-LEN(SUBSTITUTE(E8610,",",""))+1</f>
        <v>8</v>
      </c>
      <c r="K8610" s="3" t="str">
        <f aca="false">IFERROR(INDEX('Teacher Lookup'!$B$2:$B$200,MATCH(A8610,'Teacher Lookup'!$A$2:$A$200,0)),"")</f>
        <v>LAU Rachel</v>
      </c>
    </row>
    <row r="8611" customFormat="false" ht="15" hidden="false" customHeight="false" outlineLevel="0" collapsed="false">
      <c r="A8611" s="3" t="s">
        <v>498</v>
      </c>
      <c r="B8611" s="4" t="s">
        <v>66</v>
      </c>
      <c r="C8611" s="4" t="n">
        <v>6</v>
      </c>
      <c r="D8611" s="4" t="s">
        <v>29</v>
      </c>
      <c r="E8611" s="3" t="s">
        <v>385</v>
      </c>
      <c r="F8611" s="4" t="str">
        <f aca="false">IF(I8611&gt;J8611,"Y","N")</f>
        <v>N</v>
      </c>
      <c r="G8611" s="3" t="s">
        <v>378</v>
      </c>
      <c r="H8611" s="3" t="s">
        <v>42</v>
      </c>
      <c r="I8611" s="4" t="n">
        <v>8</v>
      </c>
      <c r="J8611" s="4" t="n">
        <f aca="false">LEN(E8611)-LEN(SUBSTITUTE(E8611,",",""))+1</f>
        <v>8</v>
      </c>
      <c r="K8611" s="3" t="str">
        <f aca="false">IFERROR(INDEX('Teacher Lookup'!$B$2:$B$200,MATCH(A8611,'Teacher Lookup'!$A$2:$A$200,0)),"")</f>
        <v>LAU Rachel</v>
      </c>
    </row>
    <row r="8612" customFormat="false" ht="15" hidden="false" customHeight="false" outlineLevel="0" collapsed="false">
      <c r="A8612" s="3" t="s">
        <v>498</v>
      </c>
      <c r="B8612" s="4" t="s">
        <v>66</v>
      </c>
      <c r="C8612" s="4" t="n">
        <v>6</v>
      </c>
      <c r="D8612" s="4" t="s">
        <v>30</v>
      </c>
      <c r="E8612" s="3" t="s">
        <v>385</v>
      </c>
      <c r="F8612" s="4" t="str">
        <f aca="false">IF(I8612&gt;J8612,"Y","N")</f>
        <v>N</v>
      </c>
      <c r="G8612" s="3" t="s">
        <v>378</v>
      </c>
      <c r="H8612" s="3" t="s">
        <v>42</v>
      </c>
      <c r="I8612" s="4" t="n">
        <v>8</v>
      </c>
      <c r="J8612" s="4" t="n">
        <f aca="false">LEN(E8612)-LEN(SUBSTITUTE(E8612,",",""))+1</f>
        <v>8</v>
      </c>
      <c r="K8612" s="3" t="str">
        <f aca="false">IFERROR(INDEX('Teacher Lookup'!$B$2:$B$200,MATCH(A8612,'Teacher Lookup'!$A$2:$A$200,0)),"")</f>
        <v>LAU Rachel</v>
      </c>
    </row>
    <row r="8613" customFormat="false" ht="15" hidden="false" customHeight="false" outlineLevel="0" collapsed="false">
      <c r="A8613" s="3" t="s">
        <v>499</v>
      </c>
      <c r="B8613" s="4" t="s">
        <v>12</v>
      </c>
      <c r="C8613" s="4" t="n">
        <v>2</v>
      </c>
      <c r="D8613" s="4" t="s">
        <v>228</v>
      </c>
      <c r="E8613" s="3" t="s">
        <v>348</v>
      </c>
      <c r="F8613" s="4" t="str">
        <f aca="false">IF(I8613&gt;J8613,"Y","N")</f>
        <v>N</v>
      </c>
      <c r="G8613" s="3" t="s">
        <v>72</v>
      </c>
      <c r="H8613" s="3" t="s">
        <v>21</v>
      </c>
      <c r="I8613" s="4" t="n">
        <v>4</v>
      </c>
      <c r="J8613" s="4" t="n">
        <f aca="false">LEN(E8613)-LEN(SUBSTITUTE(E8613,",",""))+1</f>
        <v>4</v>
      </c>
      <c r="K8613" s="3" t="str">
        <f aca="false">IFERROR(INDEX('Teacher Lookup'!$B$2:$B$200,MATCH(A8613,'Teacher Lookup'!$A$2:$A$200,0)),"")</f>
        <v>TAM Rachel</v>
      </c>
    </row>
    <row r="8614" customFormat="false" ht="15" hidden="false" customHeight="false" outlineLevel="0" collapsed="false">
      <c r="A8614" s="3" t="s">
        <v>499</v>
      </c>
      <c r="B8614" s="4" t="s">
        <v>12</v>
      </c>
      <c r="C8614" s="4" t="n">
        <v>2</v>
      </c>
      <c r="D8614" s="4" t="s">
        <v>102</v>
      </c>
      <c r="E8614" s="3" t="s">
        <v>348</v>
      </c>
      <c r="F8614" s="4" t="str">
        <f aca="false">IF(I8614&gt;J8614,"Y","N")</f>
        <v>N</v>
      </c>
      <c r="G8614" s="3" t="s">
        <v>72</v>
      </c>
      <c r="H8614" s="3" t="s">
        <v>21</v>
      </c>
      <c r="I8614" s="4" t="n">
        <v>4</v>
      </c>
      <c r="J8614" s="4" t="n">
        <f aca="false">LEN(E8614)-LEN(SUBSTITUTE(E8614,",",""))+1</f>
        <v>4</v>
      </c>
      <c r="K8614" s="3" t="str">
        <f aca="false">IFERROR(INDEX('Teacher Lookup'!$B$2:$B$200,MATCH(A8614,'Teacher Lookup'!$A$2:$A$200,0)),"")</f>
        <v>TAM Rachel</v>
      </c>
    </row>
    <row r="8615" customFormat="false" ht="15" hidden="false" customHeight="false" outlineLevel="0" collapsed="false">
      <c r="A8615" s="3" t="s">
        <v>499</v>
      </c>
      <c r="B8615" s="4" t="s">
        <v>12</v>
      </c>
      <c r="C8615" s="4" t="n">
        <v>2</v>
      </c>
      <c r="D8615" s="4" t="s">
        <v>107</v>
      </c>
      <c r="E8615" s="3" t="s">
        <v>348</v>
      </c>
      <c r="F8615" s="4" t="str">
        <f aca="false">IF(I8615&gt;J8615,"Y","N")</f>
        <v>N</v>
      </c>
      <c r="G8615" s="3" t="s">
        <v>72</v>
      </c>
      <c r="H8615" s="3" t="s">
        <v>21</v>
      </c>
      <c r="I8615" s="4" t="n">
        <v>4</v>
      </c>
      <c r="J8615" s="4" t="n">
        <f aca="false">LEN(E8615)-LEN(SUBSTITUTE(E8615,",",""))+1</f>
        <v>4</v>
      </c>
      <c r="K8615" s="3" t="str">
        <f aca="false">IFERROR(INDEX('Teacher Lookup'!$B$2:$B$200,MATCH(A8615,'Teacher Lookup'!$A$2:$A$200,0)),"")</f>
        <v>TAM Rachel</v>
      </c>
    </row>
    <row r="8616" customFormat="false" ht="15" hidden="false" customHeight="false" outlineLevel="0" collapsed="false">
      <c r="A8616" s="3" t="s">
        <v>499</v>
      </c>
      <c r="B8616" s="4" t="s">
        <v>12</v>
      </c>
      <c r="C8616" s="4" t="n">
        <v>3</v>
      </c>
      <c r="D8616" s="4" t="s">
        <v>70</v>
      </c>
      <c r="E8616" s="3" t="s">
        <v>71</v>
      </c>
      <c r="F8616" s="4" t="str">
        <f aca="false">IF(I8616&gt;J8616,"Y","N")</f>
        <v>N</v>
      </c>
      <c r="G8616" s="3" t="s">
        <v>72</v>
      </c>
      <c r="H8616" s="3" t="s">
        <v>26</v>
      </c>
      <c r="I8616" s="4" t="n">
        <v>4</v>
      </c>
      <c r="J8616" s="4" t="n">
        <f aca="false">LEN(E8616)-LEN(SUBSTITUTE(E8616,",",""))+1</f>
        <v>4</v>
      </c>
      <c r="K8616" s="3" t="str">
        <f aca="false">IFERROR(INDEX('Teacher Lookup'!$B$2:$B$200,MATCH(A8616,'Teacher Lookup'!$A$2:$A$200,0)),"")</f>
        <v>TAM Rachel</v>
      </c>
    </row>
    <row r="8617" customFormat="false" ht="15" hidden="false" customHeight="false" outlineLevel="0" collapsed="false">
      <c r="A8617" s="3" t="s">
        <v>499</v>
      </c>
      <c r="B8617" s="4" t="s">
        <v>12</v>
      </c>
      <c r="C8617" s="4" t="n">
        <v>3</v>
      </c>
      <c r="D8617" s="4" t="s">
        <v>73</v>
      </c>
      <c r="E8617" s="3" t="s">
        <v>71</v>
      </c>
      <c r="F8617" s="4" t="str">
        <f aca="false">IF(I8617&gt;J8617,"Y","N")</f>
        <v>N</v>
      </c>
      <c r="G8617" s="3" t="s">
        <v>72</v>
      </c>
      <c r="H8617" s="3" t="s">
        <v>26</v>
      </c>
      <c r="I8617" s="4" t="n">
        <v>4</v>
      </c>
      <c r="J8617" s="4" t="n">
        <f aca="false">LEN(E8617)-LEN(SUBSTITUTE(E8617,",",""))+1</f>
        <v>4</v>
      </c>
      <c r="K8617" s="3" t="str">
        <f aca="false">IFERROR(INDEX('Teacher Lookup'!$B$2:$B$200,MATCH(A8617,'Teacher Lookup'!$A$2:$A$200,0)),"")</f>
        <v>TAM Rachel</v>
      </c>
    </row>
    <row r="8618" customFormat="false" ht="15" hidden="false" customHeight="false" outlineLevel="0" collapsed="false">
      <c r="A8618" s="3" t="s">
        <v>499</v>
      </c>
      <c r="B8618" s="4" t="s">
        <v>12</v>
      </c>
      <c r="C8618" s="4" t="n">
        <v>3</v>
      </c>
      <c r="D8618" s="4" t="s">
        <v>74</v>
      </c>
      <c r="E8618" s="3" t="s">
        <v>71</v>
      </c>
      <c r="F8618" s="4" t="str">
        <f aca="false">IF(I8618&gt;J8618,"Y","N")</f>
        <v>N</v>
      </c>
      <c r="G8618" s="3" t="s">
        <v>72</v>
      </c>
      <c r="H8618" s="3" t="s">
        <v>26</v>
      </c>
      <c r="I8618" s="4" t="n">
        <v>4</v>
      </c>
      <c r="J8618" s="4" t="n">
        <f aca="false">LEN(E8618)-LEN(SUBSTITUTE(E8618,",",""))+1</f>
        <v>4</v>
      </c>
      <c r="K8618" s="3" t="str">
        <f aca="false">IFERROR(INDEX('Teacher Lookup'!$B$2:$B$200,MATCH(A8618,'Teacher Lookup'!$A$2:$A$200,0)),"")</f>
        <v>TAM Rachel</v>
      </c>
    </row>
    <row r="8619" customFormat="false" ht="15" hidden="false" customHeight="false" outlineLevel="0" collapsed="false">
      <c r="A8619" s="3" t="s">
        <v>499</v>
      </c>
      <c r="B8619" s="4" t="s">
        <v>12</v>
      </c>
      <c r="C8619" s="4" t="n">
        <v>6</v>
      </c>
      <c r="D8619" s="4" t="s">
        <v>76</v>
      </c>
      <c r="E8619" s="3" t="s">
        <v>77</v>
      </c>
      <c r="F8619" s="4" t="str">
        <f aca="false">IF(I8619&gt;J8619,"Y","N")</f>
        <v>N</v>
      </c>
      <c r="G8619" s="3" t="s">
        <v>72</v>
      </c>
      <c r="H8619" s="3" t="s">
        <v>42</v>
      </c>
      <c r="I8619" s="4" t="n">
        <v>4</v>
      </c>
      <c r="J8619" s="4" t="n">
        <f aca="false">LEN(E8619)-LEN(SUBSTITUTE(E8619,",",""))+1</f>
        <v>4</v>
      </c>
      <c r="K8619" s="3" t="str">
        <f aca="false">IFERROR(INDEX('Teacher Lookup'!$B$2:$B$200,MATCH(A8619,'Teacher Lookup'!$A$2:$A$200,0)),"")</f>
        <v>TAM Rachel</v>
      </c>
    </row>
    <row r="8620" customFormat="false" ht="15" hidden="false" customHeight="false" outlineLevel="0" collapsed="false">
      <c r="A8620" s="3" t="s">
        <v>499</v>
      </c>
      <c r="B8620" s="4" t="s">
        <v>12</v>
      </c>
      <c r="C8620" s="4" t="n">
        <v>6</v>
      </c>
      <c r="D8620" s="4" t="s">
        <v>78</v>
      </c>
      <c r="E8620" s="3" t="s">
        <v>77</v>
      </c>
      <c r="F8620" s="4" t="str">
        <f aca="false">IF(I8620&gt;J8620,"Y","N")</f>
        <v>N</v>
      </c>
      <c r="G8620" s="3" t="s">
        <v>72</v>
      </c>
      <c r="H8620" s="3" t="s">
        <v>42</v>
      </c>
      <c r="I8620" s="4" t="n">
        <v>4</v>
      </c>
      <c r="J8620" s="4" t="n">
        <f aca="false">LEN(E8620)-LEN(SUBSTITUTE(E8620,",",""))+1</f>
        <v>4</v>
      </c>
      <c r="K8620" s="3" t="str">
        <f aca="false">IFERROR(INDEX('Teacher Lookup'!$B$2:$B$200,MATCH(A8620,'Teacher Lookup'!$A$2:$A$200,0)),"")</f>
        <v>TAM Rachel</v>
      </c>
    </row>
    <row r="8621" customFormat="false" ht="15" hidden="false" customHeight="false" outlineLevel="0" collapsed="false">
      <c r="A8621" s="3" t="s">
        <v>499</v>
      </c>
      <c r="B8621" s="4" t="s">
        <v>12</v>
      </c>
      <c r="C8621" s="4" t="n">
        <v>6</v>
      </c>
      <c r="D8621" s="4" t="s">
        <v>79</v>
      </c>
      <c r="E8621" s="3" t="s">
        <v>77</v>
      </c>
      <c r="F8621" s="4" t="str">
        <f aca="false">IF(I8621&gt;J8621,"Y","N")</f>
        <v>N</v>
      </c>
      <c r="G8621" s="3" t="s">
        <v>72</v>
      </c>
      <c r="H8621" s="3" t="s">
        <v>42</v>
      </c>
      <c r="I8621" s="4" t="n">
        <v>4</v>
      </c>
      <c r="J8621" s="4" t="n">
        <f aca="false">LEN(E8621)-LEN(SUBSTITUTE(E8621,",",""))+1</f>
        <v>4</v>
      </c>
      <c r="K8621" s="3" t="str">
        <f aca="false">IFERROR(INDEX('Teacher Lookup'!$B$2:$B$200,MATCH(A8621,'Teacher Lookup'!$A$2:$A$200,0)),"")</f>
        <v>TAM Rachel</v>
      </c>
    </row>
    <row r="8622" customFormat="false" ht="15" hidden="false" customHeight="false" outlineLevel="0" collapsed="false">
      <c r="A8622" s="3" t="s">
        <v>499</v>
      </c>
      <c r="B8622" s="4" t="s">
        <v>12</v>
      </c>
      <c r="C8622" s="4" t="n">
        <v>7</v>
      </c>
      <c r="D8622" s="4" t="s">
        <v>76</v>
      </c>
      <c r="E8622" s="3" t="s">
        <v>77</v>
      </c>
      <c r="F8622" s="4" t="str">
        <f aca="false">IF(I8622&gt;J8622,"Y","N")</f>
        <v>N</v>
      </c>
      <c r="G8622" s="3" t="s">
        <v>72</v>
      </c>
      <c r="H8622" s="3" t="s">
        <v>39</v>
      </c>
      <c r="I8622" s="4" t="n">
        <v>4</v>
      </c>
      <c r="J8622" s="4" t="n">
        <f aca="false">LEN(E8622)-LEN(SUBSTITUTE(E8622,",",""))+1</f>
        <v>4</v>
      </c>
      <c r="K8622" s="3" t="str">
        <f aca="false">IFERROR(INDEX('Teacher Lookup'!$B$2:$B$200,MATCH(A8622,'Teacher Lookup'!$A$2:$A$200,0)),"")</f>
        <v>TAM Rachel</v>
      </c>
    </row>
    <row r="8623" customFormat="false" ht="15" hidden="false" customHeight="false" outlineLevel="0" collapsed="false">
      <c r="A8623" s="3" t="s">
        <v>499</v>
      </c>
      <c r="B8623" s="4" t="s">
        <v>12</v>
      </c>
      <c r="C8623" s="4" t="n">
        <v>7</v>
      </c>
      <c r="D8623" s="4" t="s">
        <v>78</v>
      </c>
      <c r="E8623" s="3" t="s">
        <v>77</v>
      </c>
      <c r="F8623" s="4" t="str">
        <f aca="false">IF(I8623&gt;J8623,"Y","N")</f>
        <v>N</v>
      </c>
      <c r="G8623" s="3" t="s">
        <v>72</v>
      </c>
      <c r="H8623" s="3" t="s">
        <v>39</v>
      </c>
      <c r="I8623" s="4" t="n">
        <v>4</v>
      </c>
      <c r="J8623" s="4" t="n">
        <f aca="false">LEN(E8623)-LEN(SUBSTITUTE(E8623,",",""))+1</f>
        <v>4</v>
      </c>
      <c r="K8623" s="3" t="str">
        <f aca="false">IFERROR(INDEX('Teacher Lookup'!$B$2:$B$200,MATCH(A8623,'Teacher Lookup'!$A$2:$A$200,0)),"")</f>
        <v>TAM Rachel</v>
      </c>
    </row>
    <row r="8624" customFormat="false" ht="15" hidden="false" customHeight="false" outlineLevel="0" collapsed="false">
      <c r="A8624" s="3" t="s">
        <v>499</v>
      </c>
      <c r="B8624" s="4" t="s">
        <v>12</v>
      </c>
      <c r="C8624" s="4" t="n">
        <v>7</v>
      </c>
      <c r="D8624" s="4" t="s">
        <v>79</v>
      </c>
      <c r="E8624" s="3" t="s">
        <v>77</v>
      </c>
      <c r="F8624" s="4" t="str">
        <f aca="false">IF(I8624&gt;J8624,"Y","N")</f>
        <v>N</v>
      </c>
      <c r="G8624" s="3" t="s">
        <v>72</v>
      </c>
      <c r="H8624" s="3" t="s">
        <v>39</v>
      </c>
      <c r="I8624" s="4" t="n">
        <v>4</v>
      </c>
      <c r="J8624" s="4" t="n">
        <f aca="false">LEN(E8624)-LEN(SUBSTITUTE(E8624,",",""))+1</f>
        <v>4</v>
      </c>
      <c r="K8624" s="3" t="str">
        <f aca="false">IFERROR(INDEX('Teacher Lookup'!$B$2:$B$200,MATCH(A8624,'Teacher Lookup'!$A$2:$A$200,0)),"")</f>
        <v>TAM Rachel</v>
      </c>
    </row>
    <row r="8625" customFormat="false" ht="15" hidden="false" customHeight="false" outlineLevel="0" collapsed="false">
      <c r="A8625" s="3" t="s">
        <v>499</v>
      </c>
      <c r="B8625" s="4" t="s">
        <v>31</v>
      </c>
      <c r="C8625" s="4" t="n">
        <v>2</v>
      </c>
      <c r="D8625" s="4" t="s">
        <v>102</v>
      </c>
      <c r="E8625" s="3" t="s">
        <v>443</v>
      </c>
      <c r="F8625" s="4" t="str">
        <f aca="false">IF(I8625&gt;J8625,"Y","N")</f>
        <v>N</v>
      </c>
      <c r="G8625" s="3" t="s">
        <v>72</v>
      </c>
      <c r="H8625" s="3" t="s">
        <v>21</v>
      </c>
      <c r="I8625" s="4" t="n">
        <v>3</v>
      </c>
      <c r="J8625" s="4" t="n">
        <f aca="false">LEN(E8625)-LEN(SUBSTITUTE(E8625,",",""))+1</f>
        <v>3</v>
      </c>
      <c r="K8625" s="3" t="str">
        <f aca="false">IFERROR(INDEX('Teacher Lookup'!$B$2:$B$200,MATCH(A8625,'Teacher Lookup'!$A$2:$A$200,0)),"")</f>
        <v>TAM Rachel</v>
      </c>
    </row>
    <row r="8626" customFormat="false" ht="15" hidden="false" customHeight="false" outlineLevel="0" collapsed="false">
      <c r="A8626" s="3" t="s">
        <v>499</v>
      </c>
      <c r="B8626" s="4" t="s">
        <v>31</v>
      </c>
      <c r="C8626" s="4" t="n">
        <v>2</v>
      </c>
      <c r="D8626" s="4" t="s">
        <v>107</v>
      </c>
      <c r="E8626" s="3" t="s">
        <v>443</v>
      </c>
      <c r="F8626" s="4" t="str">
        <f aca="false">IF(I8626&gt;J8626,"Y","N")</f>
        <v>N</v>
      </c>
      <c r="G8626" s="3" t="s">
        <v>72</v>
      </c>
      <c r="H8626" s="3" t="s">
        <v>21</v>
      </c>
      <c r="I8626" s="4" t="n">
        <v>3</v>
      </c>
      <c r="J8626" s="4" t="n">
        <f aca="false">LEN(E8626)-LEN(SUBSTITUTE(E8626,",",""))+1</f>
        <v>3</v>
      </c>
      <c r="K8626" s="3" t="str">
        <f aca="false">IFERROR(INDEX('Teacher Lookup'!$B$2:$B$200,MATCH(A8626,'Teacher Lookup'!$A$2:$A$200,0)),"")</f>
        <v>TAM Rachel</v>
      </c>
    </row>
    <row r="8627" customFormat="false" ht="15" hidden="false" customHeight="false" outlineLevel="0" collapsed="false">
      <c r="A8627" s="3" t="s">
        <v>499</v>
      </c>
      <c r="B8627" s="4" t="s">
        <v>31</v>
      </c>
      <c r="C8627" s="4" t="n">
        <v>4</v>
      </c>
      <c r="D8627" s="4" t="s">
        <v>76</v>
      </c>
      <c r="E8627" s="3" t="s">
        <v>80</v>
      </c>
      <c r="F8627" s="4" t="str">
        <f aca="false">IF(I8627&gt;J8627,"Y","N")</f>
        <v>N</v>
      </c>
      <c r="G8627" s="3" t="s">
        <v>72</v>
      </c>
      <c r="H8627" s="3" t="s">
        <v>34</v>
      </c>
      <c r="I8627" s="4" t="n">
        <v>4</v>
      </c>
      <c r="J8627" s="4" t="n">
        <f aca="false">LEN(E8627)-LEN(SUBSTITUTE(E8627,",",""))+1</f>
        <v>4</v>
      </c>
      <c r="K8627" s="3" t="str">
        <f aca="false">IFERROR(INDEX('Teacher Lookup'!$B$2:$B$200,MATCH(A8627,'Teacher Lookup'!$A$2:$A$200,0)),"")</f>
        <v>TAM Rachel</v>
      </c>
    </row>
    <row r="8628" customFormat="false" ht="15" hidden="false" customHeight="false" outlineLevel="0" collapsed="false">
      <c r="A8628" s="3" t="s">
        <v>499</v>
      </c>
      <c r="B8628" s="4" t="s">
        <v>31</v>
      </c>
      <c r="C8628" s="4" t="n">
        <v>4</v>
      </c>
      <c r="D8628" s="4" t="s">
        <v>78</v>
      </c>
      <c r="E8628" s="3" t="s">
        <v>80</v>
      </c>
      <c r="F8628" s="4" t="str">
        <f aca="false">IF(I8628&gt;J8628,"Y","N")</f>
        <v>N</v>
      </c>
      <c r="G8628" s="3" t="s">
        <v>72</v>
      </c>
      <c r="H8628" s="3" t="s">
        <v>34</v>
      </c>
      <c r="I8628" s="4" t="n">
        <v>4</v>
      </c>
      <c r="J8628" s="4" t="n">
        <f aca="false">LEN(E8628)-LEN(SUBSTITUTE(E8628,",",""))+1</f>
        <v>4</v>
      </c>
      <c r="K8628" s="3" t="str">
        <f aca="false">IFERROR(INDEX('Teacher Lookup'!$B$2:$B$200,MATCH(A8628,'Teacher Lookup'!$A$2:$A$200,0)),"")</f>
        <v>TAM Rachel</v>
      </c>
    </row>
    <row r="8629" customFormat="false" ht="15" hidden="false" customHeight="false" outlineLevel="0" collapsed="false">
      <c r="A8629" s="3" t="s">
        <v>499</v>
      </c>
      <c r="B8629" s="4" t="s">
        <v>31</v>
      </c>
      <c r="C8629" s="4" t="n">
        <v>4</v>
      </c>
      <c r="D8629" s="4" t="s">
        <v>79</v>
      </c>
      <c r="E8629" s="3" t="s">
        <v>80</v>
      </c>
      <c r="F8629" s="4" t="str">
        <f aca="false">IF(I8629&gt;J8629,"Y","N")</f>
        <v>N</v>
      </c>
      <c r="G8629" s="3" t="s">
        <v>72</v>
      </c>
      <c r="H8629" s="3" t="s">
        <v>34</v>
      </c>
      <c r="I8629" s="4" t="n">
        <v>4</v>
      </c>
      <c r="J8629" s="4" t="n">
        <f aca="false">LEN(E8629)-LEN(SUBSTITUTE(E8629,",",""))+1</f>
        <v>4</v>
      </c>
      <c r="K8629" s="3" t="str">
        <f aca="false">IFERROR(INDEX('Teacher Lookup'!$B$2:$B$200,MATCH(A8629,'Teacher Lookup'!$A$2:$A$200,0)),"")</f>
        <v>TAM Rachel</v>
      </c>
    </row>
    <row r="8630" customFormat="false" ht="15" hidden="false" customHeight="false" outlineLevel="0" collapsed="false">
      <c r="A8630" s="3" t="s">
        <v>499</v>
      </c>
      <c r="B8630" s="4" t="s">
        <v>31</v>
      </c>
      <c r="C8630" s="4" t="n">
        <v>5</v>
      </c>
      <c r="D8630" s="4" t="s">
        <v>70</v>
      </c>
      <c r="E8630" s="3" t="s">
        <v>81</v>
      </c>
      <c r="F8630" s="4" t="str">
        <f aca="false">IF(I8630&gt;J8630,"Y","N")</f>
        <v>Y</v>
      </c>
      <c r="G8630" s="3" t="s">
        <v>36</v>
      </c>
      <c r="H8630" s="3" t="s">
        <v>37</v>
      </c>
      <c r="I8630" s="4" t="n">
        <v>15</v>
      </c>
      <c r="J8630" s="4" t="n">
        <f aca="false">LEN(E8630)-LEN(SUBSTITUTE(E8630,",",""))+1</f>
        <v>7</v>
      </c>
      <c r="K8630" s="3" t="str">
        <f aca="false">IFERROR(INDEX('Teacher Lookup'!$B$2:$B$200,MATCH(A8630,'Teacher Lookup'!$A$2:$A$200,0)),"")</f>
        <v>TAM Rachel</v>
      </c>
    </row>
    <row r="8631" customFormat="false" ht="15" hidden="false" customHeight="false" outlineLevel="0" collapsed="false">
      <c r="A8631" s="3" t="s">
        <v>499</v>
      </c>
      <c r="B8631" s="4" t="s">
        <v>31</v>
      </c>
      <c r="C8631" s="4" t="n">
        <v>5</v>
      </c>
      <c r="D8631" s="4" t="s">
        <v>73</v>
      </c>
      <c r="E8631" s="3" t="s">
        <v>81</v>
      </c>
      <c r="F8631" s="4" t="str">
        <f aca="false">IF(I8631&gt;J8631,"Y","N")</f>
        <v>Y</v>
      </c>
      <c r="G8631" s="3" t="s">
        <v>36</v>
      </c>
      <c r="H8631" s="3" t="s">
        <v>37</v>
      </c>
      <c r="I8631" s="4" t="n">
        <v>15</v>
      </c>
      <c r="J8631" s="4" t="n">
        <f aca="false">LEN(E8631)-LEN(SUBSTITUTE(E8631,",",""))+1</f>
        <v>7</v>
      </c>
      <c r="K8631" s="3" t="str">
        <f aca="false">IFERROR(INDEX('Teacher Lookup'!$B$2:$B$200,MATCH(A8631,'Teacher Lookup'!$A$2:$A$200,0)),"")</f>
        <v>TAM Rachel</v>
      </c>
    </row>
    <row r="8632" customFormat="false" ht="15" hidden="false" customHeight="false" outlineLevel="0" collapsed="false">
      <c r="A8632" s="3" t="s">
        <v>499</v>
      </c>
      <c r="B8632" s="4" t="s">
        <v>31</v>
      </c>
      <c r="C8632" s="4" t="n">
        <v>5</v>
      </c>
      <c r="D8632" s="4" t="s">
        <v>74</v>
      </c>
      <c r="E8632" s="3" t="s">
        <v>81</v>
      </c>
      <c r="F8632" s="4" t="str">
        <f aca="false">IF(I8632&gt;J8632,"Y","N")</f>
        <v>Y</v>
      </c>
      <c r="G8632" s="3" t="s">
        <v>36</v>
      </c>
      <c r="H8632" s="3" t="s">
        <v>37</v>
      </c>
      <c r="I8632" s="4" t="n">
        <v>15</v>
      </c>
      <c r="J8632" s="4" t="n">
        <f aca="false">LEN(E8632)-LEN(SUBSTITUTE(E8632,",",""))+1</f>
        <v>7</v>
      </c>
      <c r="K8632" s="3" t="str">
        <f aca="false">IFERROR(INDEX('Teacher Lookup'!$B$2:$B$200,MATCH(A8632,'Teacher Lookup'!$A$2:$A$200,0)),"")</f>
        <v>TAM Rachel</v>
      </c>
    </row>
    <row r="8633" customFormat="false" ht="15" hidden="false" customHeight="false" outlineLevel="0" collapsed="false">
      <c r="A8633" s="3" t="s">
        <v>499</v>
      </c>
      <c r="B8633" s="4" t="s">
        <v>31</v>
      </c>
      <c r="C8633" s="4" t="n">
        <v>5</v>
      </c>
      <c r="D8633" s="4" t="s">
        <v>76</v>
      </c>
      <c r="E8633" s="3" t="s">
        <v>81</v>
      </c>
      <c r="F8633" s="4" t="str">
        <f aca="false">IF(I8633&gt;J8633,"Y","N")</f>
        <v>Y</v>
      </c>
      <c r="G8633" s="3" t="s">
        <v>36</v>
      </c>
      <c r="H8633" s="3" t="s">
        <v>37</v>
      </c>
      <c r="I8633" s="4" t="n">
        <v>15</v>
      </c>
      <c r="J8633" s="4" t="n">
        <f aca="false">LEN(E8633)-LEN(SUBSTITUTE(E8633,",",""))+1</f>
        <v>7</v>
      </c>
      <c r="K8633" s="3" t="str">
        <f aca="false">IFERROR(INDEX('Teacher Lookup'!$B$2:$B$200,MATCH(A8633,'Teacher Lookup'!$A$2:$A$200,0)),"")</f>
        <v>TAM Rachel</v>
      </c>
    </row>
    <row r="8634" customFormat="false" ht="15" hidden="false" customHeight="false" outlineLevel="0" collapsed="false">
      <c r="A8634" s="3" t="s">
        <v>499</v>
      </c>
      <c r="B8634" s="4" t="s">
        <v>31</v>
      </c>
      <c r="C8634" s="4" t="n">
        <v>5</v>
      </c>
      <c r="D8634" s="4" t="s">
        <v>78</v>
      </c>
      <c r="E8634" s="3" t="s">
        <v>81</v>
      </c>
      <c r="F8634" s="4" t="str">
        <f aca="false">IF(I8634&gt;J8634,"Y","N")</f>
        <v>Y</v>
      </c>
      <c r="G8634" s="3" t="s">
        <v>36</v>
      </c>
      <c r="H8634" s="3" t="s">
        <v>37</v>
      </c>
      <c r="I8634" s="4" t="n">
        <v>15</v>
      </c>
      <c r="J8634" s="4" t="n">
        <f aca="false">LEN(E8634)-LEN(SUBSTITUTE(E8634,",",""))+1</f>
        <v>7</v>
      </c>
      <c r="K8634" s="3" t="str">
        <f aca="false">IFERROR(INDEX('Teacher Lookup'!$B$2:$B$200,MATCH(A8634,'Teacher Lookup'!$A$2:$A$200,0)),"")</f>
        <v>TAM Rachel</v>
      </c>
    </row>
    <row r="8635" customFormat="false" ht="15" hidden="false" customHeight="false" outlineLevel="0" collapsed="false">
      <c r="A8635" s="3" t="s">
        <v>499</v>
      </c>
      <c r="B8635" s="4" t="s">
        <v>31</v>
      </c>
      <c r="C8635" s="4" t="n">
        <v>5</v>
      </c>
      <c r="D8635" s="4" t="s">
        <v>79</v>
      </c>
      <c r="E8635" s="3" t="s">
        <v>81</v>
      </c>
      <c r="F8635" s="4" t="str">
        <f aca="false">IF(I8635&gt;J8635,"Y","N")</f>
        <v>Y</v>
      </c>
      <c r="G8635" s="3" t="s">
        <v>36</v>
      </c>
      <c r="H8635" s="3" t="s">
        <v>37</v>
      </c>
      <c r="I8635" s="4" t="n">
        <v>15</v>
      </c>
      <c r="J8635" s="4" t="n">
        <f aca="false">LEN(E8635)-LEN(SUBSTITUTE(E8635,",",""))+1</f>
        <v>7</v>
      </c>
      <c r="K8635" s="3" t="str">
        <f aca="false">IFERROR(INDEX('Teacher Lookup'!$B$2:$B$200,MATCH(A8635,'Teacher Lookup'!$A$2:$A$200,0)),"")</f>
        <v>TAM Rachel</v>
      </c>
    </row>
    <row r="8636" customFormat="false" ht="15" hidden="false" customHeight="false" outlineLevel="0" collapsed="false">
      <c r="A8636" s="3" t="s">
        <v>499</v>
      </c>
      <c r="B8636" s="4" t="s">
        <v>31</v>
      </c>
      <c r="C8636" s="4" t="n">
        <v>7</v>
      </c>
      <c r="D8636" s="4" t="s">
        <v>70</v>
      </c>
      <c r="E8636" s="3" t="s">
        <v>83</v>
      </c>
      <c r="F8636" s="4" t="str">
        <f aca="false">IF(I8636&gt;J8636,"Y","N")</f>
        <v>N</v>
      </c>
      <c r="G8636" s="3" t="s">
        <v>72</v>
      </c>
      <c r="H8636" s="3" t="s">
        <v>39</v>
      </c>
      <c r="I8636" s="4" t="n">
        <v>4</v>
      </c>
      <c r="J8636" s="4" t="n">
        <f aca="false">LEN(E8636)-LEN(SUBSTITUTE(E8636,",",""))+1</f>
        <v>4</v>
      </c>
      <c r="K8636" s="3" t="str">
        <f aca="false">IFERROR(INDEX('Teacher Lookup'!$B$2:$B$200,MATCH(A8636,'Teacher Lookup'!$A$2:$A$200,0)),"")</f>
        <v>TAM Rachel</v>
      </c>
    </row>
    <row r="8637" customFormat="false" ht="15" hidden="false" customHeight="false" outlineLevel="0" collapsed="false">
      <c r="A8637" s="3" t="s">
        <v>499</v>
      </c>
      <c r="B8637" s="4" t="s">
        <v>31</v>
      </c>
      <c r="C8637" s="4" t="n">
        <v>7</v>
      </c>
      <c r="D8637" s="4" t="s">
        <v>73</v>
      </c>
      <c r="E8637" s="3" t="s">
        <v>83</v>
      </c>
      <c r="F8637" s="4" t="str">
        <f aca="false">IF(I8637&gt;J8637,"Y","N")</f>
        <v>N</v>
      </c>
      <c r="G8637" s="3" t="s">
        <v>72</v>
      </c>
      <c r="H8637" s="3" t="s">
        <v>39</v>
      </c>
      <c r="I8637" s="4" t="n">
        <v>4</v>
      </c>
      <c r="J8637" s="4" t="n">
        <f aca="false">LEN(E8637)-LEN(SUBSTITUTE(E8637,",",""))+1</f>
        <v>4</v>
      </c>
      <c r="K8637" s="3" t="str">
        <f aca="false">IFERROR(INDEX('Teacher Lookup'!$B$2:$B$200,MATCH(A8637,'Teacher Lookup'!$A$2:$A$200,0)),"")</f>
        <v>TAM Rachel</v>
      </c>
    </row>
    <row r="8638" customFormat="false" ht="15" hidden="false" customHeight="false" outlineLevel="0" collapsed="false">
      <c r="A8638" s="3" t="s">
        <v>499</v>
      </c>
      <c r="B8638" s="4" t="s">
        <v>31</v>
      </c>
      <c r="C8638" s="4" t="n">
        <v>7</v>
      </c>
      <c r="D8638" s="4" t="s">
        <v>74</v>
      </c>
      <c r="E8638" s="3" t="s">
        <v>83</v>
      </c>
      <c r="F8638" s="4" t="str">
        <f aca="false">IF(I8638&gt;J8638,"Y","N")</f>
        <v>N</v>
      </c>
      <c r="G8638" s="3" t="s">
        <v>72</v>
      </c>
      <c r="H8638" s="3" t="s">
        <v>39</v>
      </c>
      <c r="I8638" s="4" t="n">
        <v>4</v>
      </c>
      <c r="J8638" s="4" t="n">
        <f aca="false">LEN(E8638)-LEN(SUBSTITUTE(E8638,",",""))+1</f>
        <v>4</v>
      </c>
      <c r="K8638" s="3" t="str">
        <f aca="false">IFERROR(INDEX('Teacher Lookup'!$B$2:$B$200,MATCH(A8638,'Teacher Lookup'!$A$2:$A$200,0)),"")</f>
        <v>TAM Rachel</v>
      </c>
    </row>
    <row r="8639" customFormat="false" ht="15" hidden="false" customHeight="false" outlineLevel="0" collapsed="false">
      <c r="A8639" s="3" t="s">
        <v>499</v>
      </c>
      <c r="B8639" s="4" t="s">
        <v>40</v>
      </c>
      <c r="C8639" s="4" t="n">
        <v>2</v>
      </c>
      <c r="D8639" s="4" t="s">
        <v>76</v>
      </c>
      <c r="E8639" s="3" t="s">
        <v>84</v>
      </c>
      <c r="F8639" s="4" t="str">
        <f aca="false">IF(I8639&gt;J8639,"Y","N")</f>
        <v>N</v>
      </c>
      <c r="G8639" s="3" t="s">
        <v>72</v>
      </c>
      <c r="H8639" s="3" t="s">
        <v>21</v>
      </c>
      <c r="I8639" s="4" t="n">
        <v>4</v>
      </c>
      <c r="J8639" s="4" t="n">
        <f aca="false">LEN(E8639)-LEN(SUBSTITUTE(E8639,",",""))+1</f>
        <v>4</v>
      </c>
      <c r="K8639" s="3" t="str">
        <f aca="false">IFERROR(INDEX('Teacher Lookup'!$B$2:$B$200,MATCH(A8639,'Teacher Lookup'!$A$2:$A$200,0)),"")</f>
        <v>TAM Rachel</v>
      </c>
    </row>
    <row r="8640" customFormat="false" ht="15" hidden="false" customHeight="false" outlineLevel="0" collapsed="false">
      <c r="A8640" s="3" t="s">
        <v>499</v>
      </c>
      <c r="B8640" s="4" t="s">
        <v>40</v>
      </c>
      <c r="C8640" s="4" t="n">
        <v>2</v>
      </c>
      <c r="D8640" s="4" t="s">
        <v>78</v>
      </c>
      <c r="E8640" s="3" t="s">
        <v>84</v>
      </c>
      <c r="F8640" s="4" t="str">
        <f aca="false">IF(I8640&gt;J8640,"Y","N")</f>
        <v>N</v>
      </c>
      <c r="G8640" s="3" t="s">
        <v>72</v>
      </c>
      <c r="H8640" s="3" t="s">
        <v>21</v>
      </c>
      <c r="I8640" s="4" t="n">
        <v>4</v>
      </c>
      <c r="J8640" s="4" t="n">
        <f aca="false">LEN(E8640)-LEN(SUBSTITUTE(E8640,",",""))+1</f>
        <v>4</v>
      </c>
      <c r="K8640" s="3" t="str">
        <f aca="false">IFERROR(INDEX('Teacher Lookup'!$B$2:$B$200,MATCH(A8640,'Teacher Lookup'!$A$2:$A$200,0)),"")</f>
        <v>TAM Rachel</v>
      </c>
    </row>
    <row r="8641" customFormat="false" ht="15" hidden="false" customHeight="false" outlineLevel="0" collapsed="false">
      <c r="A8641" s="3" t="s">
        <v>499</v>
      </c>
      <c r="B8641" s="4" t="s">
        <v>40</v>
      </c>
      <c r="C8641" s="4" t="n">
        <v>2</v>
      </c>
      <c r="D8641" s="4" t="s">
        <v>79</v>
      </c>
      <c r="E8641" s="3" t="s">
        <v>84</v>
      </c>
      <c r="F8641" s="4" t="str">
        <f aca="false">IF(I8641&gt;J8641,"Y","N")</f>
        <v>N</v>
      </c>
      <c r="G8641" s="3" t="s">
        <v>72</v>
      </c>
      <c r="H8641" s="3" t="s">
        <v>21</v>
      </c>
      <c r="I8641" s="4" t="n">
        <v>4</v>
      </c>
      <c r="J8641" s="4" t="n">
        <f aca="false">LEN(E8641)-LEN(SUBSTITUTE(E8641,",",""))+1</f>
        <v>4</v>
      </c>
      <c r="K8641" s="3" t="str">
        <f aca="false">IFERROR(INDEX('Teacher Lookup'!$B$2:$B$200,MATCH(A8641,'Teacher Lookup'!$A$2:$A$200,0)),"")</f>
        <v>TAM Rachel</v>
      </c>
    </row>
    <row r="8642" customFormat="false" ht="15" hidden="false" customHeight="false" outlineLevel="0" collapsed="false">
      <c r="A8642" s="3" t="s">
        <v>499</v>
      </c>
      <c r="B8642" s="4" t="s">
        <v>40</v>
      </c>
      <c r="C8642" s="4" t="n">
        <v>3</v>
      </c>
      <c r="D8642" s="4" t="s">
        <v>70</v>
      </c>
      <c r="E8642" s="3" t="s">
        <v>85</v>
      </c>
      <c r="F8642" s="4" t="str">
        <f aca="false">IF(I8642&gt;J8642,"Y","N")</f>
        <v>N</v>
      </c>
      <c r="G8642" s="3" t="s">
        <v>72</v>
      </c>
      <c r="H8642" s="3" t="s">
        <v>26</v>
      </c>
      <c r="I8642" s="4" t="n">
        <v>4</v>
      </c>
      <c r="J8642" s="4" t="n">
        <f aca="false">LEN(E8642)-LEN(SUBSTITUTE(E8642,",",""))+1</f>
        <v>4</v>
      </c>
      <c r="K8642" s="3" t="str">
        <f aca="false">IFERROR(INDEX('Teacher Lookup'!$B$2:$B$200,MATCH(A8642,'Teacher Lookup'!$A$2:$A$200,0)),"")</f>
        <v>TAM Rachel</v>
      </c>
    </row>
    <row r="8643" customFormat="false" ht="15" hidden="false" customHeight="false" outlineLevel="0" collapsed="false">
      <c r="A8643" s="3" t="s">
        <v>499</v>
      </c>
      <c r="B8643" s="4" t="s">
        <v>40</v>
      </c>
      <c r="C8643" s="4" t="n">
        <v>3</v>
      </c>
      <c r="D8643" s="4" t="s">
        <v>73</v>
      </c>
      <c r="E8643" s="3" t="s">
        <v>85</v>
      </c>
      <c r="F8643" s="4" t="str">
        <f aca="false">IF(I8643&gt;J8643,"Y","N")</f>
        <v>N</v>
      </c>
      <c r="G8643" s="3" t="s">
        <v>72</v>
      </c>
      <c r="H8643" s="3" t="s">
        <v>26</v>
      </c>
      <c r="I8643" s="4" t="n">
        <v>4</v>
      </c>
      <c r="J8643" s="4" t="n">
        <f aca="false">LEN(E8643)-LEN(SUBSTITUTE(E8643,",",""))+1</f>
        <v>4</v>
      </c>
      <c r="K8643" s="3" t="str">
        <f aca="false">IFERROR(INDEX('Teacher Lookup'!$B$2:$B$200,MATCH(A8643,'Teacher Lookup'!$A$2:$A$200,0)),"")</f>
        <v>TAM Rachel</v>
      </c>
    </row>
    <row r="8644" customFormat="false" ht="15" hidden="false" customHeight="false" outlineLevel="0" collapsed="false">
      <c r="A8644" s="3" t="s">
        <v>499</v>
      </c>
      <c r="B8644" s="4" t="s">
        <v>40</v>
      </c>
      <c r="C8644" s="4" t="n">
        <v>3</v>
      </c>
      <c r="D8644" s="4" t="s">
        <v>74</v>
      </c>
      <c r="E8644" s="3" t="s">
        <v>85</v>
      </c>
      <c r="F8644" s="4" t="str">
        <f aca="false">IF(I8644&gt;J8644,"Y","N")</f>
        <v>N</v>
      </c>
      <c r="G8644" s="3" t="s">
        <v>72</v>
      </c>
      <c r="H8644" s="3" t="s">
        <v>26</v>
      </c>
      <c r="I8644" s="4" t="n">
        <v>4</v>
      </c>
      <c r="J8644" s="4" t="n">
        <f aca="false">LEN(E8644)-LEN(SUBSTITUTE(E8644,",",""))+1</f>
        <v>4</v>
      </c>
      <c r="K8644" s="3" t="str">
        <f aca="false">IFERROR(INDEX('Teacher Lookup'!$B$2:$B$200,MATCH(A8644,'Teacher Lookup'!$A$2:$A$200,0)),"")</f>
        <v>TAM Rachel</v>
      </c>
    </row>
    <row r="8645" customFormat="false" ht="15" hidden="false" customHeight="false" outlineLevel="0" collapsed="false">
      <c r="A8645" s="3" t="s">
        <v>499</v>
      </c>
      <c r="B8645" s="4" t="s">
        <v>40</v>
      </c>
      <c r="C8645" s="4" t="n">
        <v>4</v>
      </c>
      <c r="D8645" s="4" t="s">
        <v>70</v>
      </c>
      <c r="E8645" s="3" t="s">
        <v>85</v>
      </c>
      <c r="F8645" s="4" t="str">
        <f aca="false">IF(I8645&gt;J8645,"Y","N")</f>
        <v>N</v>
      </c>
      <c r="G8645" s="3" t="s">
        <v>72</v>
      </c>
      <c r="H8645" s="3" t="s">
        <v>34</v>
      </c>
      <c r="I8645" s="4" t="n">
        <v>4</v>
      </c>
      <c r="J8645" s="4" t="n">
        <f aca="false">LEN(E8645)-LEN(SUBSTITUTE(E8645,",",""))+1</f>
        <v>4</v>
      </c>
      <c r="K8645" s="3" t="str">
        <f aca="false">IFERROR(INDEX('Teacher Lookup'!$B$2:$B$200,MATCH(A8645,'Teacher Lookup'!$A$2:$A$200,0)),"")</f>
        <v>TAM Rachel</v>
      </c>
    </row>
    <row r="8646" customFormat="false" ht="15" hidden="false" customHeight="false" outlineLevel="0" collapsed="false">
      <c r="A8646" s="3" t="s">
        <v>499</v>
      </c>
      <c r="B8646" s="4" t="s">
        <v>40</v>
      </c>
      <c r="C8646" s="4" t="n">
        <v>4</v>
      </c>
      <c r="D8646" s="4" t="s">
        <v>73</v>
      </c>
      <c r="E8646" s="3" t="s">
        <v>85</v>
      </c>
      <c r="F8646" s="4" t="str">
        <f aca="false">IF(I8646&gt;J8646,"Y","N")</f>
        <v>N</v>
      </c>
      <c r="G8646" s="3" t="s">
        <v>72</v>
      </c>
      <c r="H8646" s="3" t="s">
        <v>34</v>
      </c>
      <c r="I8646" s="4" t="n">
        <v>4</v>
      </c>
      <c r="J8646" s="4" t="n">
        <f aca="false">LEN(E8646)-LEN(SUBSTITUTE(E8646,",",""))+1</f>
        <v>4</v>
      </c>
      <c r="K8646" s="3" t="str">
        <f aca="false">IFERROR(INDEX('Teacher Lookup'!$B$2:$B$200,MATCH(A8646,'Teacher Lookup'!$A$2:$A$200,0)),"")</f>
        <v>TAM Rachel</v>
      </c>
    </row>
    <row r="8647" customFormat="false" ht="15" hidden="false" customHeight="false" outlineLevel="0" collapsed="false">
      <c r="A8647" s="3" t="s">
        <v>499</v>
      </c>
      <c r="B8647" s="4" t="s">
        <v>40</v>
      </c>
      <c r="C8647" s="4" t="n">
        <v>4</v>
      </c>
      <c r="D8647" s="4" t="s">
        <v>74</v>
      </c>
      <c r="E8647" s="3" t="s">
        <v>85</v>
      </c>
      <c r="F8647" s="4" t="str">
        <f aca="false">IF(I8647&gt;J8647,"Y","N")</f>
        <v>N</v>
      </c>
      <c r="G8647" s="3" t="s">
        <v>72</v>
      </c>
      <c r="H8647" s="3" t="s">
        <v>34</v>
      </c>
      <c r="I8647" s="4" t="n">
        <v>4</v>
      </c>
      <c r="J8647" s="4" t="n">
        <f aca="false">LEN(E8647)-LEN(SUBSTITUTE(E8647,",",""))+1</f>
        <v>4</v>
      </c>
      <c r="K8647" s="3" t="str">
        <f aca="false">IFERROR(INDEX('Teacher Lookup'!$B$2:$B$200,MATCH(A8647,'Teacher Lookup'!$A$2:$A$200,0)),"")</f>
        <v>TAM Rachel</v>
      </c>
    </row>
    <row r="8648" customFormat="false" ht="15" hidden="false" customHeight="false" outlineLevel="0" collapsed="false">
      <c r="A8648" s="3" t="s">
        <v>499</v>
      </c>
      <c r="B8648" s="4" t="s">
        <v>40</v>
      </c>
      <c r="C8648" s="4" t="n">
        <v>5</v>
      </c>
      <c r="D8648" s="4" t="s">
        <v>228</v>
      </c>
      <c r="E8648" s="3" t="s">
        <v>352</v>
      </c>
      <c r="F8648" s="4" t="str">
        <f aca="false">IF(I8648&gt;J8648,"Y","N")</f>
        <v>N</v>
      </c>
      <c r="G8648" s="3" t="s">
        <v>72</v>
      </c>
      <c r="H8648" s="3" t="s">
        <v>37</v>
      </c>
      <c r="I8648" s="4" t="n">
        <v>4</v>
      </c>
      <c r="J8648" s="4" t="n">
        <f aca="false">LEN(E8648)-LEN(SUBSTITUTE(E8648,",",""))+1</f>
        <v>4</v>
      </c>
      <c r="K8648" s="3" t="str">
        <f aca="false">IFERROR(INDEX('Teacher Lookup'!$B$2:$B$200,MATCH(A8648,'Teacher Lookup'!$A$2:$A$200,0)),"")</f>
        <v>TAM Rachel</v>
      </c>
    </row>
    <row r="8649" customFormat="false" ht="15" hidden="false" customHeight="false" outlineLevel="0" collapsed="false">
      <c r="A8649" s="3" t="s">
        <v>499</v>
      </c>
      <c r="B8649" s="4" t="s">
        <v>40</v>
      </c>
      <c r="C8649" s="4" t="n">
        <v>5</v>
      </c>
      <c r="D8649" s="4" t="s">
        <v>102</v>
      </c>
      <c r="E8649" s="3" t="s">
        <v>352</v>
      </c>
      <c r="F8649" s="4" t="str">
        <f aca="false">IF(I8649&gt;J8649,"Y","N")</f>
        <v>N</v>
      </c>
      <c r="G8649" s="3" t="s">
        <v>72</v>
      </c>
      <c r="H8649" s="3" t="s">
        <v>37</v>
      </c>
      <c r="I8649" s="4" t="n">
        <v>4</v>
      </c>
      <c r="J8649" s="4" t="n">
        <f aca="false">LEN(E8649)-LEN(SUBSTITUTE(E8649,",",""))+1</f>
        <v>4</v>
      </c>
      <c r="K8649" s="3" t="str">
        <f aca="false">IFERROR(INDEX('Teacher Lookup'!$B$2:$B$200,MATCH(A8649,'Teacher Lookup'!$A$2:$A$200,0)),"")</f>
        <v>TAM Rachel</v>
      </c>
    </row>
    <row r="8650" customFormat="false" ht="15" hidden="false" customHeight="false" outlineLevel="0" collapsed="false">
      <c r="A8650" s="3" t="s">
        <v>499</v>
      </c>
      <c r="B8650" s="4" t="s">
        <v>40</v>
      </c>
      <c r="C8650" s="4" t="n">
        <v>5</v>
      </c>
      <c r="D8650" s="4" t="s">
        <v>107</v>
      </c>
      <c r="E8650" s="3" t="s">
        <v>352</v>
      </c>
      <c r="F8650" s="4" t="str">
        <f aca="false">IF(I8650&gt;J8650,"Y","N")</f>
        <v>N</v>
      </c>
      <c r="G8650" s="3" t="s">
        <v>72</v>
      </c>
      <c r="H8650" s="3" t="s">
        <v>37</v>
      </c>
      <c r="I8650" s="4" t="n">
        <v>4</v>
      </c>
      <c r="J8650" s="4" t="n">
        <f aca="false">LEN(E8650)-LEN(SUBSTITUTE(E8650,",",""))+1</f>
        <v>4</v>
      </c>
      <c r="K8650" s="3" t="str">
        <f aca="false">IFERROR(INDEX('Teacher Lookup'!$B$2:$B$200,MATCH(A8650,'Teacher Lookup'!$A$2:$A$200,0)),"")</f>
        <v>TAM Rachel</v>
      </c>
    </row>
    <row r="8651" customFormat="false" ht="15" hidden="false" customHeight="false" outlineLevel="0" collapsed="false">
      <c r="A8651" s="3" t="s">
        <v>499</v>
      </c>
      <c r="B8651" s="4" t="s">
        <v>44</v>
      </c>
      <c r="C8651" s="4" t="n">
        <v>2</v>
      </c>
      <c r="D8651" s="4" t="s">
        <v>70</v>
      </c>
      <c r="E8651" s="3" t="s">
        <v>71</v>
      </c>
      <c r="F8651" s="4" t="str">
        <f aca="false">IF(I8651&gt;J8651,"Y","N")</f>
        <v>N</v>
      </c>
      <c r="G8651" s="3" t="s">
        <v>72</v>
      </c>
      <c r="H8651" s="3" t="s">
        <v>21</v>
      </c>
      <c r="I8651" s="4" t="n">
        <v>4</v>
      </c>
      <c r="J8651" s="4" t="n">
        <f aca="false">LEN(E8651)-LEN(SUBSTITUTE(E8651,",",""))+1</f>
        <v>4</v>
      </c>
      <c r="K8651" s="3" t="str">
        <f aca="false">IFERROR(INDEX('Teacher Lookup'!$B$2:$B$200,MATCH(A8651,'Teacher Lookup'!$A$2:$A$200,0)),"")</f>
        <v>TAM Rachel</v>
      </c>
    </row>
    <row r="8652" customFormat="false" ht="15" hidden="false" customHeight="false" outlineLevel="0" collapsed="false">
      <c r="A8652" s="3" t="s">
        <v>499</v>
      </c>
      <c r="B8652" s="4" t="s">
        <v>44</v>
      </c>
      <c r="C8652" s="4" t="n">
        <v>2</v>
      </c>
      <c r="D8652" s="4" t="s">
        <v>73</v>
      </c>
      <c r="E8652" s="3" t="s">
        <v>71</v>
      </c>
      <c r="F8652" s="4" t="str">
        <f aca="false">IF(I8652&gt;J8652,"Y","N")</f>
        <v>N</v>
      </c>
      <c r="G8652" s="3" t="s">
        <v>72</v>
      </c>
      <c r="H8652" s="3" t="s">
        <v>21</v>
      </c>
      <c r="I8652" s="4" t="n">
        <v>4</v>
      </c>
      <c r="J8652" s="4" t="n">
        <f aca="false">LEN(E8652)-LEN(SUBSTITUTE(E8652,",",""))+1</f>
        <v>4</v>
      </c>
      <c r="K8652" s="3" t="str">
        <f aca="false">IFERROR(INDEX('Teacher Lookup'!$B$2:$B$200,MATCH(A8652,'Teacher Lookup'!$A$2:$A$200,0)),"")</f>
        <v>TAM Rachel</v>
      </c>
    </row>
    <row r="8653" customFormat="false" ht="15" hidden="false" customHeight="false" outlineLevel="0" collapsed="false">
      <c r="A8653" s="3" t="s">
        <v>499</v>
      </c>
      <c r="B8653" s="4" t="s">
        <v>44</v>
      </c>
      <c r="C8653" s="4" t="n">
        <v>2</v>
      </c>
      <c r="D8653" s="4" t="s">
        <v>74</v>
      </c>
      <c r="E8653" s="3" t="s">
        <v>71</v>
      </c>
      <c r="F8653" s="4" t="str">
        <f aca="false">IF(I8653&gt;J8653,"Y","N")</f>
        <v>N</v>
      </c>
      <c r="G8653" s="3" t="s">
        <v>72</v>
      </c>
      <c r="H8653" s="3" t="s">
        <v>21</v>
      </c>
      <c r="I8653" s="4" t="n">
        <v>4</v>
      </c>
      <c r="J8653" s="4" t="n">
        <f aca="false">LEN(E8653)-LEN(SUBSTITUTE(E8653,",",""))+1</f>
        <v>4</v>
      </c>
      <c r="K8653" s="3" t="str">
        <f aca="false">IFERROR(INDEX('Teacher Lookup'!$B$2:$B$200,MATCH(A8653,'Teacher Lookup'!$A$2:$A$200,0)),"")</f>
        <v>TAM Rachel</v>
      </c>
    </row>
    <row r="8654" customFormat="false" ht="15" hidden="false" customHeight="false" outlineLevel="0" collapsed="false">
      <c r="A8654" s="3" t="s">
        <v>499</v>
      </c>
      <c r="B8654" s="4" t="s">
        <v>44</v>
      </c>
      <c r="C8654" s="4" t="n">
        <v>4</v>
      </c>
      <c r="D8654" s="4" t="s">
        <v>76</v>
      </c>
      <c r="E8654" s="3" t="s">
        <v>84</v>
      </c>
      <c r="F8654" s="4" t="str">
        <f aca="false">IF(I8654&gt;J8654,"Y","N")</f>
        <v>N</v>
      </c>
      <c r="G8654" s="3" t="s">
        <v>72</v>
      </c>
      <c r="H8654" s="3" t="s">
        <v>34</v>
      </c>
      <c r="I8654" s="4" t="n">
        <v>4</v>
      </c>
      <c r="J8654" s="4" t="n">
        <f aca="false">LEN(E8654)-LEN(SUBSTITUTE(E8654,",",""))+1</f>
        <v>4</v>
      </c>
      <c r="K8654" s="3" t="str">
        <f aca="false">IFERROR(INDEX('Teacher Lookup'!$B$2:$B$200,MATCH(A8654,'Teacher Lookup'!$A$2:$A$200,0)),"")</f>
        <v>TAM Rachel</v>
      </c>
    </row>
    <row r="8655" customFormat="false" ht="15" hidden="false" customHeight="false" outlineLevel="0" collapsed="false">
      <c r="A8655" s="3" t="s">
        <v>499</v>
      </c>
      <c r="B8655" s="4" t="s">
        <v>44</v>
      </c>
      <c r="C8655" s="4" t="n">
        <v>4</v>
      </c>
      <c r="D8655" s="4" t="s">
        <v>78</v>
      </c>
      <c r="E8655" s="3" t="s">
        <v>84</v>
      </c>
      <c r="F8655" s="4" t="str">
        <f aca="false">IF(I8655&gt;J8655,"Y","N")</f>
        <v>N</v>
      </c>
      <c r="G8655" s="3" t="s">
        <v>72</v>
      </c>
      <c r="H8655" s="3" t="s">
        <v>34</v>
      </c>
      <c r="I8655" s="4" t="n">
        <v>4</v>
      </c>
      <c r="J8655" s="4" t="n">
        <f aca="false">LEN(E8655)-LEN(SUBSTITUTE(E8655,",",""))+1</f>
        <v>4</v>
      </c>
      <c r="K8655" s="3" t="str">
        <f aca="false">IFERROR(INDEX('Teacher Lookup'!$B$2:$B$200,MATCH(A8655,'Teacher Lookup'!$A$2:$A$200,0)),"")</f>
        <v>TAM Rachel</v>
      </c>
    </row>
    <row r="8656" customFormat="false" ht="15" hidden="false" customHeight="false" outlineLevel="0" collapsed="false">
      <c r="A8656" s="3" t="s">
        <v>499</v>
      </c>
      <c r="B8656" s="4" t="s">
        <v>44</v>
      </c>
      <c r="C8656" s="4" t="n">
        <v>4</v>
      </c>
      <c r="D8656" s="4" t="s">
        <v>79</v>
      </c>
      <c r="E8656" s="3" t="s">
        <v>84</v>
      </c>
      <c r="F8656" s="4" t="str">
        <f aca="false">IF(I8656&gt;J8656,"Y","N")</f>
        <v>N</v>
      </c>
      <c r="G8656" s="3" t="s">
        <v>72</v>
      </c>
      <c r="H8656" s="3" t="s">
        <v>34</v>
      </c>
      <c r="I8656" s="4" t="n">
        <v>4</v>
      </c>
      <c r="J8656" s="4" t="n">
        <f aca="false">LEN(E8656)-LEN(SUBSTITUTE(E8656,",",""))+1</f>
        <v>4</v>
      </c>
      <c r="K8656" s="3" t="str">
        <f aca="false">IFERROR(INDEX('Teacher Lookup'!$B$2:$B$200,MATCH(A8656,'Teacher Lookup'!$A$2:$A$200,0)),"")</f>
        <v>TAM Rachel</v>
      </c>
    </row>
    <row r="8657" customFormat="false" ht="15" hidden="false" customHeight="false" outlineLevel="0" collapsed="false">
      <c r="A8657" s="3" t="s">
        <v>499</v>
      </c>
      <c r="B8657" s="4" t="s">
        <v>44</v>
      </c>
      <c r="C8657" s="4" t="n">
        <v>5</v>
      </c>
      <c r="D8657" s="4" t="s">
        <v>70</v>
      </c>
      <c r="E8657" s="3" t="s">
        <v>81</v>
      </c>
      <c r="F8657" s="4" t="str">
        <f aca="false">IF(I8657&gt;J8657,"Y","N")</f>
        <v>Y</v>
      </c>
      <c r="G8657" s="3" t="s">
        <v>36</v>
      </c>
      <c r="H8657" s="3" t="s">
        <v>37</v>
      </c>
      <c r="I8657" s="4" t="n">
        <v>15</v>
      </c>
      <c r="J8657" s="4" t="n">
        <f aca="false">LEN(E8657)-LEN(SUBSTITUTE(E8657,",",""))+1</f>
        <v>7</v>
      </c>
      <c r="K8657" s="3" t="str">
        <f aca="false">IFERROR(INDEX('Teacher Lookup'!$B$2:$B$200,MATCH(A8657,'Teacher Lookup'!$A$2:$A$200,0)),"")</f>
        <v>TAM Rachel</v>
      </c>
    </row>
    <row r="8658" customFormat="false" ht="15" hidden="false" customHeight="false" outlineLevel="0" collapsed="false">
      <c r="A8658" s="3" t="s">
        <v>499</v>
      </c>
      <c r="B8658" s="4" t="s">
        <v>44</v>
      </c>
      <c r="C8658" s="4" t="n">
        <v>5</v>
      </c>
      <c r="D8658" s="4" t="s">
        <v>73</v>
      </c>
      <c r="E8658" s="3" t="s">
        <v>81</v>
      </c>
      <c r="F8658" s="4" t="str">
        <f aca="false">IF(I8658&gt;J8658,"Y","N")</f>
        <v>Y</v>
      </c>
      <c r="G8658" s="3" t="s">
        <v>36</v>
      </c>
      <c r="H8658" s="3" t="s">
        <v>37</v>
      </c>
      <c r="I8658" s="4" t="n">
        <v>15</v>
      </c>
      <c r="J8658" s="4" t="n">
        <f aca="false">LEN(E8658)-LEN(SUBSTITUTE(E8658,",",""))+1</f>
        <v>7</v>
      </c>
      <c r="K8658" s="3" t="str">
        <f aca="false">IFERROR(INDEX('Teacher Lookup'!$B$2:$B$200,MATCH(A8658,'Teacher Lookup'!$A$2:$A$200,0)),"")</f>
        <v>TAM Rachel</v>
      </c>
    </row>
    <row r="8659" customFormat="false" ht="15" hidden="false" customHeight="false" outlineLevel="0" collapsed="false">
      <c r="A8659" s="3" t="s">
        <v>499</v>
      </c>
      <c r="B8659" s="4" t="s">
        <v>44</v>
      </c>
      <c r="C8659" s="4" t="n">
        <v>5</v>
      </c>
      <c r="D8659" s="4" t="s">
        <v>74</v>
      </c>
      <c r="E8659" s="3" t="s">
        <v>81</v>
      </c>
      <c r="F8659" s="4" t="str">
        <f aca="false">IF(I8659&gt;J8659,"Y","N")</f>
        <v>Y</v>
      </c>
      <c r="G8659" s="3" t="s">
        <v>36</v>
      </c>
      <c r="H8659" s="3" t="s">
        <v>37</v>
      </c>
      <c r="I8659" s="4" t="n">
        <v>15</v>
      </c>
      <c r="J8659" s="4" t="n">
        <f aca="false">LEN(E8659)-LEN(SUBSTITUTE(E8659,",",""))+1</f>
        <v>7</v>
      </c>
      <c r="K8659" s="3" t="str">
        <f aca="false">IFERROR(INDEX('Teacher Lookup'!$B$2:$B$200,MATCH(A8659,'Teacher Lookup'!$A$2:$A$200,0)),"")</f>
        <v>TAM Rachel</v>
      </c>
    </row>
    <row r="8660" customFormat="false" ht="15" hidden="false" customHeight="false" outlineLevel="0" collapsed="false">
      <c r="A8660" s="3" t="s">
        <v>499</v>
      </c>
      <c r="B8660" s="4" t="s">
        <v>44</v>
      </c>
      <c r="C8660" s="4" t="n">
        <v>5</v>
      </c>
      <c r="D8660" s="4" t="s">
        <v>76</v>
      </c>
      <c r="E8660" s="3" t="s">
        <v>81</v>
      </c>
      <c r="F8660" s="4" t="str">
        <f aca="false">IF(I8660&gt;J8660,"Y","N")</f>
        <v>Y</v>
      </c>
      <c r="G8660" s="3" t="s">
        <v>36</v>
      </c>
      <c r="H8660" s="3" t="s">
        <v>37</v>
      </c>
      <c r="I8660" s="4" t="n">
        <v>15</v>
      </c>
      <c r="J8660" s="4" t="n">
        <f aca="false">LEN(E8660)-LEN(SUBSTITUTE(E8660,",",""))+1</f>
        <v>7</v>
      </c>
      <c r="K8660" s="3" t="str">
        <f aca="false">IFERROR(INDEX('Teacher Lookup'!$B$2:$B$200,MATCH(A8660,'Teacher Lookup'!$A$2:$A$200,0)),"")</f>
        <v>TAM Rachel</v>
      </c>
    </row>
    <row r="8661" customFormat="false" ht="15" hidden="false" customHeight="false" outlineLevel="0" collapsed="false">
      <c r="A8661" s="3" t="s">
        <v>499</v>
      </c>
      <c r="B8661" s="4" t="s">
        <v>44</v>
      </c>
      <c r="C8661" s="4" t="n">
        <v>5</v>
      </c>
      <c r="D8661" s="4" t="s">
        <v>78</v>
      </c>
      <c r="E8661" s="3" t="s">
        <v>81</v>
      </c>
      <c r="F8661" s="4" t="str">
        <f aca="false">IF(I8661&gt;J8661,"Y","N")</f>
        <v>Y</v>
      </c>
      <c r="G8661" s="3" t="s">
        <v>36</v>
      </c>
      <c r="H8661" s="3" t="s">
        <v>37</v>
      </c>
      <c r="I8661" s="4" t="n">
        <v>15</v>
      </c>
      <c r="J8661" s="4" t="n">
        <f aca="false">LEN(E8661)-LEN(SUBSTITUTE(E8661,",",""))+1</f>
        <v>7</v>
      </c>
      <c r="K8661" s="3" t="str">
        <f aca="false">IFERROR(INDEX('Teacher Lookup'!$B$2:$B$200,MATCH(A8661,'Teacher Lookup'!$A$2:$A$200,0)),"")</f>
        <v>TAM Rachel</v>
      </c>
    </row>
    <row r="8662" customFormat="false" ht="15" hidden="false" customHeight="false" outlineLevel="0" collapsed="false">
      <c r="A8662" s="3" t="s">
        <v>499</v>
      </c>
      <c r="B8662" s="4" t="s">
        <v>44</v>
      </c>
      <c r="C8662" s="4" t="n">
        <v>5</v>
      </c>
      <c r="D8662" s="4" t="s">
        <v>79</v>
      </c>
      <c r="E8662" s="3" t="s">
        <v>81</v>
      </c>
      <c r="F8662" s="4" t="str">
        <f aca="false">IF(I8662&gt;J8662,"Y","N")</f>
        <v>Y</v>
      </c>
      <c r="G8662" s="3" t="s">
        <v>36</v>
      </c>
      <c r="H8662" s="3" t="s">
        <v>37</v>
      </c>
      <c r="I8662" s="4" t="n">
        <v>15</v>
      </c>
      <c r="J8662" s="4" t="n">
        <f aca="false">LEN(E8662)-LEN(SUBSTITUTE(E8662,",",""))+1</f>
        <v>7</v>
      </c>
      <c r="K8662" s="3" t="str">
        <f aca="false">IFERROR(INDEX('Teacher Lookup'!$B$2:$B$200,MATCH(A8662,'Teacher Lookup'!$A$2:$A$200,0)),"")</f>
        <v>TAM Rachel</v>
      </c>
    </row>
    <row r="8663" customFormat="false" ht="15" hidden="false" customHeight="false" outlineLevel="0" collapsed="false">
      <c r="A8663" s="3" t="s">
        <v>499</v>
      </c>
      <c r="B8663" s="4" t="s">
        <v>44</v>
      </c>
      <c r="C8663" s="4" t="n">
        <v>6</v>
      </c>
      <c r="D8663" s="4" t="s">
        <v>102</v>
      </c>
      <c r="E8663" s="3" t="s">
        <v>444</v>
      </c>
      <c r="F8663" s="4" t="str">
        <f aca="false">IF(I8663&gt;J8663,"Y","N")</f>
        <v>N</v>
      </c>
      <c r="G8663" s="3" t="s">
        <v>72</v>
      </c>
      <c r="H8663" s="3" t="s">
        <v>42</v>
      </c>
      <c r="I8663" s="4" t="n">
        <v>3</v>
      </c>
      <c r="J8663" s="4" t="n">
        <f aca="false">LEN(E8663)-LEN(SUBSTITUTE(E8663,",",""))+1</f>
        <v>3</v>
      </c>
      <c r="K8663" s="3" t="str">
        <f aca="false">IFERROR(INDEX('Teacher Lookup'!$B$2:$B$200,MATCH(A8663,'Teacher Lookup'!$A$2:$A$200,0)),"")</f>
        <v>TAM Rachel</v>
      </c>
    </row>
    <row r="8664" customFormat="false" ht="15" hidden="false" customHeight="false" outlineLevel="0" collapsed="false">
      <c r="A8664" s="3" t="s">
        <v>499</v>
      </c>
      <c r="B8664" s="4" t="s">
        <v>44</v>
      </c>
      <c r="C8664" s="4" t="n">
        <v>6</v>
      </c>
      <c r="D8664" s="4" t="s">
        <v>107</v>
      </c>
      <c r="E8664" s="3" t="s">
        <v>444</v>
      </c>
      <c r="F8664" s="4" t="str">
        <f aca="false">IF(I8664&gt;J8664,"Y","N")</f>
        <v>N</v>
      </c>
      <c r="G8664" s="3" t="s">
        <v>72</v>
      </c>
      <c r="H8664" s="3" t="s">
        <v>42</v>
      </c>
      <c r="I8664" s="4" t="n">
        <v>3</v>
      </c>
      <c r="J8664" s="4" t="n">
        <f aca="false">LEN(E8664)-LEN(SUBSTITUTE(E8664,",",""))+1</f>
        <v>3</v>
      </c>
      <c r="K8664" s="3" t="str">
        <f aca="false">IFERROR(INDEX('Teacher Lookup'!$B$2:$B$200,MATCH(A8664,'Teacher Lookup'!$A$2:$A$200,0)),"")</f>
        <v>TAM Rachel</v>
      </c>
    </row>
    <row r="8665" customFormat="false" ht="15" hidden="false" customHeight="false" outlineLevel="0" collapsed="false">
      <c r="A8665" s="3" t="s">
        <v>499</v>
      </c>
      <c r="B8665" s="4" t="s">
        <v>47</v>
      </c>
      <c r="C8665" s="4" t="n">
        <v>4</v>
      </c>
      <c r="D8665" s="4" t="s">
        <v>76</v>
      </c>
      <c r="E8665" s="3" t="s">
        <v>87</v>
      </c>
      <c r="F8665" s="4" t="str">
        <f aca="false">IF(I8665&gt;J8665,"Y","N")</f>
        <v>N</v>
      </c>
      <c r="G8665" s="3" t="s">
        <v>72</v>
      </c>
      <c r="H8665" s="3" t="s">
        <v>34</v>
      </c>
      <c r="I8665" s="4" t="n">
        <v>4</v>
      </c>
      <c r="J8665" s="4" t="n">
        <f aca="false">LEN(E8665)-LEN(SUBSTITUTE(E8665,",",""))+1</f>
        <v>4</v>
      </c>
      <c r="K8665" s="3" t="str">
        <f aca="false">IFERROR(INDEX('Teacher Lookup'!$B$2:$B$200,MATCH(A8665,'Teacher Lookup'!$A$2:$A$200,0)),"")</f>
        <v>TAM Rachel</v>
      </c>
    </row>
    <row r="8666" customFormat="false" ht="15" hidden="false" customHeight="false" outlineLevel="0" collapsed="false">
      <c r="A8666" s="3" t="s">
        <v>499</v>
      </c>
      <c r="B8666" s="4" t="s">
        <v>47</v>
      </c>
      <c r="C8666" s="4" t="n">
        <v>4</v>
      </c>
      <c r="D8666" s="4" t="s">
        <v>78</v>
      </c>
      <c r="E8666" s="3" t="s">
        <v>87</v>
      </c>
      <c r="F8666" s="4" t="str">
        <f aca="false">IF(I8666&gt;J8666,"Y","N")</f>
        <v>N</v>
      </c>
      <c r="G8666" s="3" t="s">
        <v>72</v>
      </c>
      <c r="H8666" s="3" t="s">
        <v>34</v>
      </c>
      <c r="I8666" s="4" t="n">
        <v>4</v>
      </c>
      <c r="J8666" s="4" t="n">
        <f aca="false">LEN(E8666)-LEN(SUBSTITUTE(E8666,",",""))+1</f>
        <v>4</v>
      </c>
      <c r="K8666" s="3" t="str">
        <f aca="false">IFERROR(INDEX('Teacher Lookup'!$B$2:$B$200,MATCH(A8666,'Teacher Lookup'!$A$2:$A$200,0)),"")</f>
        <v>TAM Rachel</v>
      </c>
    </row>
    <row r="8667" customFormat="false" ht="15" hidden="false" customHeight="false" outlineLevel="0" collapsed="false">
      <c r="A8667" s="3" t="s">
        <v>499</v>
      </c>
      <c r="B8667" s="4" t="s">
        <v>47</v>
      </c>
      <c r="C8667" s="4" t="n">
        <v>4</v>
      </c>
      <c r="D8667" s="4" t="s">
        <v>79</v>
      </c>
      <c r="E8667" s="3" t="s">
        <v>87</v>
      </c>
      <c r="F8667" s="4" t="str">
        <f aca="false">IF(I8667&gt;J8667,"Y","N")</f>
        <v>N</v>
      </c>
      <c r="G8667" s="3" t="s">
        <v>72</v>
      </c>
      <c r="H8667" s="3" t="s">
        <v>34</v>
      </c>
      <c r="I8667" s="4" t="n">
        <v>4</v>
      </c>
      <c r="J8667" s="4" t="n">
        <f aca="false">LEN(E8667)-LEN(SUBSTITUTE(E8667,",",""))+1</f>
        <v>4</v>
      </c>
      <c r="K8667" s="3" t="str">
        <f aca="false">IFERROR(INDEX('Teacher Lookup'!$B$2:$B$200,MATCH(A8667,'Teacher Lookup'!$A$2:$A$200,0)),"")</f>
        <v>TAM Rachel</v>
      </c>
    </row>
    <row r="8668" customFormat="false" ht="15" hidden="false" customHeight="false" outlineLevel="0" collapsed="false">
      <c r="A8668" s="3" t="s">
        <v>499</v>
      </c>
      <c r="B8668" s="4" t="s">
        <v>47</v>
      </c>
      <c r="C8668" s="4" t="n">
        <v>5</v>
      </c>
      <c r="D8668" s="4" t="s">
        <v>70</v>
      </c>
      <c r="E8668" s="3" t="s">
        <v>83</v>
      </c>
      <c r="F8668" s="4" t="str">
        <f aca="false">IF(I8668&gt;J8668,"Y","N")</f>
        <v>N</v>
      </c>
      <c r="G8668" s="3" t="s">
        <v>72</v>
      </c>
      <c r="H8668" s="3" t="s">
        <v>37</v>
      </c>
      <c r="I8668" s="4" t="n">
        <v>4</v>
      </c>
      <c r="J8668" s="4" t="n">
        <f aca="false">LEN(E8668)-LEN(SUBSTITUTE(E8668,",",""))+1</f>
        <v>4</v>
      </c>
      <c r="K8668" s="3" t="str">
        <f aca="false">IFERROR(INDEX('Teacher Lookup'!$B$2:$B$200,MATCH(A8668,'Teacher Lookup'!$A$2:$A$200,0)),"")</f>
        <v>TAM Rachel</v>
      </c>
    </row>
    <row r="8669" customFormat="false" ht="15" hidden="false" customHeight="false" outlineLevel="0" collapsed="false">
      <c r="A8669" s="3" t="s">
        <v>499</v>
      </c>
      <c r="B8669" s="4" t="s">
        <v>47</v>
      </c>
      <c r="C8669" s="4" t="n">
        <v>5</v>
      </c>
      <c r="D8669" s="4" t="s">
        <v>73</v>
      </c>
      <c r="E8669" s="3" t="s">
        <v>83</v>
      </c>
      <c r="F8669" s="4" t="str">
        <f aca="false">IF(I8669&gt;J8669,"Y","N")</f>
        <v>N</v>
      </c>
      <c r="G8669" s="3" t="s">
        <v>72</v>
      </c>
      <c r="H8669" s="3" t="s">
        <v>37</v>
      </c>
      <c r="I8669" s="4" t="n">
        <v>4</v>
      </c>
      <c r="J8669" s="4" t="n">
        <f aca="false">LEN(E8669)-LEN(SUBSTITUTE(E8669,",",""))+1</f>
        <v>4</v>
      </c>
      <c r="K8669" s="3" t="str">
        <f aca="false">IFERROR(INDEX('Teacher Lookup'!$B$2:$B$200,MATCH(A8669,'Teacher Lookup'!$A$2:$A$200,0)),"")</f>
        <v>TAM Rachel</v>
      </c>
    </row>
    <row r="8670" customFormat="false" ht="15" hidden="false" customHeight="false" outlineLevel="0" collapsed="false">
      <c r="A8670" s="3" t="s">
        <v>499</v>
      </c>
      <c r="B8670" s="4" t="s">
        <v>47</v>
      </c>
      <c r="C8670" s="4" t="n">
        <v>5</v>
      </c>
      <c r="D8670" s="4" t="s">
        <v>74</v>
      </c>
      <c r="E8670" s="3" t="s">
        <v>83</v>
      </c>
      <c r="F8670" s="4" t="str">
        <f aca="false">IF(I8670&gt;J8670,"Y","N")</f>
        <v>N</v>
      </c>
      <c r="G8670" s="3" t="s">
        <v>72</v>
      </c>
      <c r="H8670" s="3" t="s">
        <v>37</v>
      </c>
      <c r="I8670" s="4" t="n">
        <v>4</v>
      </c>
      <c r="J8670" s="4" t="n">
        <f aca="false">LEN(E8670)-LEN(SUBSTITUTE(E8670,",",""))+1</f>
        <v>4</v>
      </c>
      <c r="K8670" s="3" t="str">
        <f aca="false">IFERROR(INDEX('Teacher Lookup'!$B$2:$B$200,MATCH(A8670,'Teacher Lookup'!$A$2:$A$200,0)),"")</f>
        <v>TAM Rachel</v>
      </c>
    </row>
    <row r="8671" customFormat="false" ht="15" hidden="false" customHeight="false" outlineLevel="0" collapsed="false">
      <c r="A8671" s="3" t="s">
        <v>499</v>
      </c>
      <c r="B8671" s="4" t="s">
        <v>47</v>
      </c>
      <c r="C8671" s="4" t="n">
        <v>6</v>
      </c>
      <c r="D8671" s="4" t="s">
        <v>102</v>
      </c>
      <c r="E8671" s="3" t="s">
        <v>445</v>
      </c>
      <c r="F8671" s="4" t="str">
        <f aca="false">IF(I8671&gt;J8671,"Y","N")</f>
        <v>N</v>
      </c>
      <c r="G8671" s="3" t="s">
        <v>72</v>
      </c>
      <c r="H8671" s="3" t="s">
        <v>42</v>
      </c>
      <c r="I8671" s="4" t="n">
        <v>3</v>
      </c>
      <c r="J8671" s="4" t="n">
        <f aca="false">LEN(E8671)-LEN(SUBSTITUTE(E8671,",",""))+1</f>
        <v>3</v>
      </c>
      <c r="K8671" s="3" t="str">
        <f aca="false">IFERROR(INDEX('Teacher Lookup'!$B$2:$B$200,MATCH(A8671,'Teacher Lookup'!$A$2:$A$200,0)),"")</f>
        <v>TAM Rachel</v>
      </c>
    </row>
    <row r="8672" customFormat="false" ht="15" hidden="false" customHeight="false" outlineLevel="0" collapsed="false">
      <c r="A8672" s="3" t="s">
        <v>499</v>
      </c>
      <c r="B8672" s="4" t="s">
        <v>47</v>
      </c>
      <c r="C8672" s="4" t="n">
        <v>6</v>
      </c>
      <c r="D8672" s="4" t="s">
        <v>107</v>
      </c>
      <c r="E8672" s="3" t="s">
        <v>445</v>
      </c>
      <c r="F8672" s="4" t="str">
        <f aca="false">IF(I8672&gt;J8672,"Y","N")</f>
        <v>N</v>
      </c>
      <c r="G8672" s="3" t="s">
        <v>72</v>
      </c>
      <c r="H8672" s="3" t="s">
        <v>42</v>
      </c>
      <c r="I8672" s="4" t="n">
        <v>3</v>
      </c>
      <c r="J8672" s="4" t="n">
        <f aca="false">LEN(E8672)-LEN(SUBSTITUTE(E8672,",",""))+1</f>
        <v>3</v>
      </c>
      <c r="K8672" s="3" t="str">
        <f aca="false">IFERROR(INDEX('Teacher Lookup'!$B$2:$B$200,MATCH(A8672,'Teacher Lookup'!$A$2:$A$200,0)),"")</f>
        <v>TAM Rachel</v>
      </c>
    </row>
    <row r="8673" customFormat="false" ht="15" hidden="false" customHeight="false" outlineLevel="0" collapsed="false">
      <c r="A8673" s="3" t="s">
        <v>499</v>
      </c>
      <c r="B8673" s="4" t="s">
        <v>47</v>
      </c>
      <c r="C8673" s="4" t="n">
        <v>7</v>
      </c>
      <c r="D8673" s="4" t="s">
        <v>102</v>
      </c>
      <c r="E8673" s="3" t="s">
        <v>445</v>
      </c>
      <c r="F8673" s="4" t="str">
        <f aca="false">IF(I8673&gt;J8673,"Y","N")</f>
        <v>N</v>
      </c>
      <c r="G8673" s="3" t="s">
        <v>72</v>
      </c>
      <c r="H8673" s="3" t="s">
        <v>39</v>
      </c>
      <c r="I8673" s="4" t="n">
        <v>3</v>
      </c>
      <c r="J8673" s="4" t="n">
        <f aca="false">LEN(E8673)-LEN(SUBSTITUTE(E8673,",",""))+1</f>
        <v>3</v>
      </c>
      <c r="K8673" s="3" t="str">
        <f aca="false">IFERROR(INDEX('Teacher Lookup'!$B$2:$B$200,MATCH(A8673,'Teacher Lookup'!$A$2:$A$200,0)),"")</f>
        <v>TAM Rachel</v>
      </c>
    </row>
    <row r="8674" customFormat="false" ht="15" hidden="false" customHeight="false" outlineLevel="0" collapsed="false">
      <c r="A8674" s="3" t="s">
        <v>499</v>
      </c>
      <c r="B8674" s="4" t="s">
        <v>47</v>
      </c>
      <c r="C8674" s="4" t="n">
        <v>7</v>
      </c>
      <c r="D8674" s="4" t="s">
        <v>107</v>
      </c>
      <c r="E8674" s="3" t="s">
        <v>445</v>
      </c>
      <c r="F8674" s="4" t="str">
        <f aca="false">IF(I8674&gt;J8674,"Y","N")</f>
        <v>N</v>
      </c>
      <c r="G8674" s="3" t="s">
        <v>72</v>
      </c>
      <c r="H8674" s="3" t="s">
        <v>39</v>
      </c>
      <c r="I8674" s="4" t="n">
        <v>3</v>
      </c>
      <c r="J8674" s="4" t="n">
        <f aca="false">LEN(E8674)-LEN(SUBSTITUTE(E8674,",",""))+1</f>
        <v>3</v>
      </c>
      <c r="K8674" s="3" t="str">
        <f aca="false">IFERROR(INDEX('Teacher Lookup'!$B$2:$B$200,MATCH(A8674,'Teacher Lookup'!$A$2:$A$200,0)),"")</f>
        <v>TAM Rachel</v>
      </c>
    </row>
    <row r="8675" customFormat="false" ht="15" hidden="false" customHeight="false" outlineLevel="0" collapsed="false">
      <c r="A8675" s="3" t="s">
        <v>499</v>
      </c>
      <c r="B8675" s="4" t="s">
        <v>50</v>
      </c>
      <c r="C8675" s="4" t="n">
        <v>1</v>
      </c>
      <c r="D8675" s="4" t="s">
        <v>76</v>
      </c>
      <c r="E8675" s="3" t="s">
        <v>88</v>
      </c>
      <c r="F8675" s="4" t="str">
        <f aca="false">IF(I8675&gt;J8675,"Y","N")</f>
        <v>N</v>
      </c>
      <c r="G8675" s="3" t="s">
        <v>72</v>
      </c>
      <c r="H8675" s="3" t="s">
        <v>16</v>
      </c>
      <c r="I8675" s="4" t="n">
        <v>4</v>
      </c>
      <c r="J8675" s="4" t="n">
        <f aca="false">LEN(E8675)-LEN(SUBSTITUTE(E8675,",",""))+1</f>
        <v>4</v>
      </c>
      <c r="K8675" s="3" t="str">
        <f aca="false">IFERROR(INDEX('Teacher Lookup'!$B$2:$B$200,MATCH(A8675,'Teacher Lookup'!$A$2:$A$200,0)),"")</f>
        <v>TAM Rachel</v>
      </c>
    </row>
    <row r="8676" customFormat="false" ht="15" hidden="false" customHeight="false" outlineLevel="0" collapsed="false">
      <c r="A8676" s="3" t="s">
        <v>499</v>
      </c>
      <c r="B8676" s="4" t="s">
        <v>50</v>
      </c>
      <c r="C8676" s="4" t="n">
        <v>1</v>
      </c>
      <c r="D8676" s="4" t="s">
        <v>78</v>
      </c>
      <c r="E8676" s="3" t="s">
        <v>88</v>
      </c>
      <c r="F8676" s="4" t="str">
        <f aca="false">IF(I8676&gt;J8676,"Y","N")</f>
        <v>N</v>
      </c>
      <c r="G8676" s="3" t="s">
        <v>72</v>
      </c>
      <c r="H8676" s="3" t="s">
        <v>16</v>
      </c>
      <c r="I8676" s="4" t="n">
        <v>4</v>
      </c>
      <c r="J8676" s="4" t="n">
        <f aca="false">LEN(E8676)-LEN(SUBSTITUTE(E8676,",",""))+1</f>
        <v>4</v>
      </c>
      <c r="K8676" s="3" t="str">
        <f aca="false">IFERROR(INDEX('Teacher Lookup'!$B$2:$B$200,MATCH(A8676,'Teacher Lookup'!$A$2:$A$200,0)),"")</f>
        <v>TAM Rachel</v>
      </c>
    </row>
    <row r="8677" customFormat="false" ht="15" hidden="false" customHeight="false" outlineLevel="0" collapsed="false">
      <c r="A8677" s="3" t="s">
        <v>499</v>
      </c>
      <c r="B8677" s="4" t="s">
        <v>50</v>
      </c>
      <c r="C8677" s="4" t="n">
        <v>1</v>
      </c>
      <c r="D8677" s="4" t="s">
        <v>79</v>
      </c>
      <c r="E8677" s="3" t="s">
        <v>88</v>
      </c>
      <c r="F8677" s="4" t="str">
        <f aca="false">IF(I8677&gt;J8677,"Y","N")</f>
        <v>N</v>
      </c>
      <c r="G8677" s="3" t="s">
        <v>72</v>
      </c>
      <c r="H8677" s="3" t="s">
        <v>16</v>
      </c>
      <c r="I8677" s="4" t="n">
        <v>4</v>
      </c>
      <c r="J8677" s="4" t="n">
        <f aca="false">LEN(E8677)-LEN(SUBSTITUTE(E8677,",",""))+1</f>
        <v>4</v>
      </c>
      <c r="K8677" s="3" t="str">
        <f aca="false">IFERROR(INDEX('Teacher Lookup'!$B$2:$B$200,MATCH(A8677,'Teacher Lookup'!$A$2:$A$200,0)),"")</f>
        <v>TAM Rachel</v>
      </c>
    </row>
    <row r="8678" customFormat="false" ht="15" hidden="false" customHeight="false" outlineLevel="0" collapsed="false">
      <c r="A8678" s="3" t="s">
        <v>499</v>
      </c>
      <c r="B8678" s="4" t="s">
        <v>50</v>
      </c>
      <c r="C8678" s="4" t="n">
        <v>4</v>
      </c>
      <c r="D8678" s="4" t="s">
        <v>70</v>
      </c>
      <c r="E8678" s="3" t="s">
        <v>71</v>
      </c>
      <c r="F8678" s="4" t="str">
        <f aca="false">IF(I8678&gt;J8678,"Y","N")</f>
        <v>N</v>
      </c>
      <c r="G8678" s="3" t="s">
        <v>72</v>
      </c>
      <c r="H8678" s="3" t="s">
        <v>34</v>
      </c>
      <c r="I8678" s="4" t="n">
        <v>4</v>
      </c>
      <c r="J8678" s="4" t="n">
        <f aca="false">LEN(E8678)-LEN(SUBSTITUTE(E8678,",",""))+1</f>
        <v>4</v>
      </c>
      <c r="K8678" s="3" t="str">
        <f aca="false">IFERROR(INDEX('Teacher Lookup'!$B$2:$B$200,MATCH(A8678,'Teacher Lookup'!$A$2:$A$200,0)),"")</f>
        <v>TAM Rachel</v>
      </c>
    </row>
    <row r="8679" customFormat="false" ht="15" hidden="false" customHeight="false" outlineLevel="0" collapsed="false">
      <c r="A8679" s="3" t="s">
        <v>499</v>
      </c>
      <c r="B8679" s="4" t="s">
        <v>50</v>
      </c>
      <c r="C8679" s="4" t="n">
        <v>4</v>
      </c>
      <c r="D8679" s="4" t="s">
        <v>73</v>
      </c>
      <c r="E8679" s="3" t="s">
        <v>71</v>
      </c>
      <c r="F8679" s="4" t="str">
        <f aca="false">IF(I8679&gt;J8679,"Y","N")</f>
        <v>N</v>
      </c>
      <c r="G8679" s="3" t="s">
        <v>72</v>
      </c>
      <c r="H8679" s="3" t="s">
        <v>34</v>
      </c>
      <c r="I8679" s="4" t="n">
        <v>4</v>
      </c>
      <c r="J8679" s="4" t="n">
        <f aca="false">LEN(E8679)-LEN(SUBSTITUTE(E8679,",",""))+1</f>
        <v>4</v>
      </c>
      <c r="K8679" s="3" t="str">
        <f aca="false">IFERROR(INDEX('Teacher Lookup'!$B$2:$B$200,MATCH(A8679,'Teacher Lookup'!$A$2:$A$200,0)),"")</f>
        <v>TAM Rachel</v>
      </c>
    </row>
    <row r="8680" customFormat="false" ht="15" hidden="false" customHeight="false" outlineLevel="0" collapsed="false">
      <c r="A8680" s="3" t="s">
        <v>499</v>
      </c>
      <c r="B8680" s="4" t="s">
        <v>50</v>
      </c>
      <c r="C8680" s="4" t="n">
        <v>4</v>
      </c>
      <c r="D8680" s="4" t="s">
        <v>74</v>
      </c>
      <c r="E8680" s="3" t="s">
        <v>71</v>
      </c>
      <c r="F8680" s="4" t="str">
        <f aca="false">IF(I8680&gt;J8680,"Y","N")</f>
        <v>N</v>
      </c>
      <c r="G8680" s="3" t="s">
        <v>72</v>
      </c>
      <c r="H8680" s="3" t="s">
        <v>34</v>
      </c>
      <c r="I8680" s="4" t="n">
        <v>4</v>
      </c>
      <c r="J8680" s="4" t="n">
        <f aca="false">LEN(E8680)-LEN(SUBSTITUTE(E8680,",",""))+1</f>
        <v>4</v>
      </c>
      <c r="K8680" s="3" t="str">
        <f aca="false">IFERROR(INDEX('Teacher Lookup'!$B$2:$B$200,MATCH(A8680,'Teacher Lookup'!$A$2:$A$200,0)),"")</f>
        <v>TAM Rachel</v>
      </c>
    </row>
    <row r="8681" customFormat="false" ht="15" hidden="false" customHeight="false" outlineLevel="0" collapsed="false">
      <c r="A8681" s="3" t="s">
        <v>499</v>
      </c>
      <c r="B8681" s="4" t="s">
        <v>50</v>
      </c>
      <c r="C8681" s="4" t="n">
        <v>7</v>
      </c>
      <c r="D8681" s="4" t="s">
        <v>228</v>
      </c>
      <c r="E8681" s="3" t="s">
        <v>354</v>
      </c>
      <c r="F8681" s="4" t="str">
        <f aca="false">IF(I8681&gt;J8681,"Y","N")</f>
        <v>N</v>
      </c>
      <c r="G8681" s="3" t="s">
        <v>72</v>
      </c>
      <c r="H8681" s="3" t="s">
        <v>39</v>
      </c>
      <c r="I8681" s="4" t="n">
        <v>4</v>
      </c>
      <c r="J8681" s="4" t="n">
        <f aca="false">LEN(E8681)-LEN(SUBSTITUTE(E8681,",",""))+1</f>
        <v>4</v>
      </c>
      <c r="K8681" s="3" t="str">
        <f aca="false">IFERROR(INDEX('Teacher Lookup'!$B$2:$B$200,MATCH(A8681,'Teacher Lookup'!$A$2:$A$200,0)),"")</f>
        <v>TAM Rachel</v>
      </c>
    </row>
    <row r="8682" customFormat="false" ht="15" hidden="false" customHeight="false" outlineLevel="0" collapsed="false">
      <c r="A8682" s="3" t="s">
        <v>499</v>
      </c>
      <c r="B8682" s="4" t="s">
        <v>50</v>
      </c>
      <c r="C8682" s="4" t="n">
        <v>7</v>
      </c>
      <c r="D8682" s="4" t="s">
        <v>102</v>
      </c>
      <c r="E8682" s="3" t="s">
        <v>354</v>
      </c>
      <c r="F8682" s="4" t="str">
        <f aca="false">IF(I8682&gt;J8682,"Y","N")</f>
        <v>N</v>
      </c>
      <c r="G8682" s="3" t="s">
        <v>72</v>
      </c>
      <c r="H8682" s="3" t="s">
        <v>39</v>
      </c>
      <c r="I8682" s="4" t="n">
        <v>4</v>
      </c>
      <c r="J8682" s="4" t="n">
        <f aca="false">LEN(E8682)-LEN(SUBSTITUTE(E8682,",",""))+1</f>
        <v>4</v>
      </c>
      <c r="K8682" s="3" t="str">
        <f aca="false">IFERROR(INDEX('Teacher Lookup'!$B$2:$B$200,MATCH(A8682,'Teacher Lookup'!$A$2:$A$200,0)),"")</f>
        <v>TAM Rachel</v>
      </c>
    </row>
    <row r="8683" customFormat="false" ht="15" hidden="false" customHeight="false" outlineLevel="0" collapsed="false">
      <c r="A8683" s="3" t="s">
        <v>499</v>
      </c>
      <c r="B8683" s="4" t="s">
        <v>50</v>
      </c>
      <c r="C8683" s="4" t="n">
        <v>7</v>
      </c>
      <c r="D8683" s="4" t="s">
        <v>107</v>
      </c>
      <c r="E8683" s="3" t="s">
        <v>354</v>
      </c>
      <c r="F8683" s="4" t="str">
        <f aca="false">IF(I8683&gt;J8683,"Y","N")</f>
        <v>N</v>
      </c>
      <c r="G8683" s="3" t="s">
        <v>72</v>
      </c>
      <c r="H8683" s="3" t="s">
        <v>39</v>
      </c>
      <c r="I8683" s="4" t="n">
        <v>4</v>
      </c>
      <c r="J8683" s="4" t="n">
        <f aca="false">LEN(E8683)-LEN(SUBSTITUTE(E8683,",",""))+1</f>
        <v>4</v>
      </c>
      <c r="K8683" s="3" t="str">
        <f aca="false">IFERROR(INDEX('Teacher Lookup'!$B$2:$B$200,MATCH(A8683,'Teacher Lookup'!$A$2:$A$200,0)),"")</f>
        <v>TAM Rachel</v>
      </c>
    </row>
    <row r="8684" customFormat="false" ht="15" hidden="false" customHeight="false" outlineLevel="0" collapsed="false">
      <c r="A8684" s="3" t="s">
        <v>499</v>
      </c>
      <c r="B8684" s="4" t="s">
        <v>60</v>
      </c>
      <c r="C8684" s="4" t="n">
        <v>1</v>
      </c>
      <c r="D8684" s="4" t="s">
        <v>76</v>
      </c>
      <c r="E8684" s="3" t="s">
        <v>90</v>
      </c>
      <c r="F8684" s="4" t="str">
        <f aca="false">IF(I8684&gt;J8684,"Y","N")</f>
        <v>N</v>
      </c>
      <c r="G8684" s="3" t="s">
        <v>72</v>
      </c>
      <c r="H8684" s="3" t="s">
        <v>16</v>
      </c>
      <c r="I8684" s="4" t="n">
        <v>4</v>
      </c>
      <c r="J8684" s="4" t="n">
        <f aca="false">LEN(E8684)-LEN(SUBSTITUTE(E8684,",",""))+1</f>
        <v>4</v>
      </c>
      <c r="K8684" s="3" t="str">
        <f aca="false">IFERROR(INDEX('Teacher Lookup'!$B$2:$B$200,MATCH(A8684,'Teacher Lookup'!$A$2:$A$200,0)),"")</f>
        <v>TAM Rachel</v>
      </c>
    </row>
    <row r="8685" customFormat="false" ht="15" hidden="false" customHeight="false" outlineLevel="0" collapsed="false">
      <c r="A8685" s="3" t="s">
        <v>499</v>
      </c>
      <c r="B8685" s="4" t="s">
        <v>60</v>
      </c>
      <c r="C8685" s="4" t="n">
        <v>1</v>
      </c>
      <c r="D8685" s="4" t="s">
        <v>78</v>
      </c>
      <c r="E8685" s="3" t="s">
        <v>90</v>
      </c>
      <c r="F8685" s="4" t="str">
        <f aca="false">IF(I8685&gt;J8685,"Y","N")</f>
        <v>N</v>
      </c>
      <c r="G8685" s="3" t="s">
        <v>72</v>
      </c>
      <c r="H8685" s="3" t="s">
        <v>16</v>
      </c>
      <c r="I8685" s="4" t="n">
        <v>4</v>
      </c>
      <c r="J8685" s="4" t="n">
        <f aca="false">LEN(E8685)-LEN(SUBSTITUTE(E8685,",",""))+1</f>
        <v>4</v>
      </c>
      <c r="K8685" s="3" t="str">
        <f aca="false">IFERROR(INDEX('Teacher Lookup'!$B$2:$B$200,MATCH(A8685,'Teacher Lookup'!$A$2:$A$200,0)),"")</f>
        <v>TAM Rachel</v>
      </c>
    </row>
    <row r="8686" customFormat="false" ht="15" hidden="false" customHeight="false" outlineLevel="0" collapsed="false">
      <c r="A8686" s="3" t="s">
        <v>499</v>
      </c>
      <c r="B8686" s="4" t="s">
        <v>60</v>
      </c>
      <c r="C8686" s="4" t="n">
        <v>1</v>
      </c>
      <c r="D8686" s="4" t="s">
        <v>79</v>
      </c>
      <c r="E8686" s="3" t="s">
        <v>90</v>
      </c>
      <c r="F8686" s="4" t="str">
        <f aca="false">IF(I8686&gt;J8686,"Y","N")</f>
        <v>N</v>
      </c>
      <c r="G8686" s="3" t="s">
        <v>72</v>
      </c>
      <c r="H8686" s="3" t="s">
        <v>16</v>
      </c>
      <c r="I8686" s="4" t="n">
        <v>4</v>
      </c>
      <c r="J8686" s="4" t="n">
        <f aca="false">LEN(E8686)-LEN(SUBSTITUTE(E8686,",",""))+1</f>
        <v>4</v>
      </c>
      <c r="K8686" s="3" t="str">
        <f aca="false">IFERROR(INDEX('Teacher Lookup'!$B$2:$B$200,MATCH(A8686,'Teacher Lookup'!$A$2:$A$200,0)),"")</f>
        <v>TAM Rachel</v>
      </c>
    </row>
    <row r="8687" customFormat="false" ht="15" hidden="false" customHeight="false" outlineLevel="0" collapsed="false">
      <c r="A8687" s="3" t="s">
        <v>499</v>
      </c>
      <c r="B8687" s="4" t="s">
        <v>60</v>
      </c>
      <c r="C8687" s="4" t="n">
        <v>2</v>
      </c>
      <c r="D8687" s="4" t="s">
        <v>70</v>
      </c>
      <c r="E8687" s="3" t="s">
        <v>91</v>
      </c>
      <c r="F8687" s="4" t="str">
        <f aca="false">IF(I8687&gt;J8687,"Y","N")</f>
        <v>N</v>
      </c>
      <c r="G8687" s="3" t="s">
        <v>72</v>
      </c>
      <c r="H8687" s="3" t="s">
        <v>21</v>
      </c>
      <c r="I8687" s="4" t="n">
        <v>4</v>
      </c>
      <c r="J8687" s="4" t="n">
        <f aca="false">LEN(E8687)-LEN(SUBSTITUTE(E8687,",",""))+1</f>
        <v>4</v>
      </c>
      <c r="K8687" s="3" t="str">
        <f aca="false">IFERROR(INDEX('Teacher Lookup'!$B$2:$B$200,MATCH(A8687,'Teacher Lookup'!$A$2:$A$200,0)),"")</f>
        <v>TAM Rachel</v>
      </c>
    </row>
    <row r="8688" customFormat="false" ht="15" hidden="false" customHeight="false" outlineLevel="0" collapsed="false">
      <c r="A8688" s="3" t="s">
        <v>499</v>
      </c>
      <c r="B8688" s="4" t="s">
        <v>60</v>
      </c>
      <c r="C8688" s="4" t="n">
        <v>2</v>
      </c>
      <c r="D8688" s="4" t="s">
        <v>73</v>
      </c>
      <c r="E8688" s="3" t="s">
        <v>91</v>
      </c>
      <c r="F8688" s="4" t="str">
        <f aca="false">IF(I8688&gt;J8688,"Y","N")</f>
        <v>N</v>
      </c>
      <c r="G8688" s="3" t="s">
        <v>72</v>
      </c>
      <c r="H8688" s="3" t="s">
        <v>21</v>
      </c>
      <c r="I8688" s="4" t="n">
        <v>4</v>
      </c>
      <c r="J8688" s="4" t="n">
        <f aca="false">LEN(E8688)-LEN(SUBSTITUTE(E8688,",",""))+1</f>
        <v>4</v>
      </c>
      <c r="K8688" s="3" t="str">
        <f aca="false">IFERROR(INDEX('Teacher Lookup'!$B$2:$B$200,MATCH(A8688,'Teacher Lookup'!$A$2:$A$200,0)),"")</f>
        <v>TAM Rachel</v>
      </c>
    </row>
    <row r="8689" customFormat="false" ht="15" hidden="false" customHeight="false" outlineLevel="0" collapsed="false">
      <c r="A8689" s="3" t="s">
        <v>499</v>
      </c>
      <c r="B8689" s="4" t="s">
        <v>60</v>
      </c>
      <c r="C8689" s="4" t="n">
        <v>2</v>
      </c>
      <c r="D8689" s="4" t="s">
        <v>74</v>
      </c>
      <c r="E8689" s="3" t="s">
        <v>91</v>
      </c>
      <c r="F8689" s="4" t="str">
        <f aca="false">IF(I8689&gt;J8689,"Y","N")</f>
        <v>N</v>
      </c>
      <c r="G8689" s="3" t="s">
        <v>72</v>
      </c>
      <c r="H8689" s="3" t="s">
        <v>21</v>
      </c>
      <c r="I8689" s="4" t="n">
        <v>4</v>
      </c>
      <c r="J8689" s="4" t="n">
        <f aca="false">LEN(E8689)-LEN(SUBSTITUTE(E8689,",",""))+1</f>
        <v>4</v>
      </c>
      <c r="K8689" s="3" t="str">
        <f aca="false">IFERROR(INDEX('Teacher Lookup'!$B$2:$B$200,MATCH(A8689,'Teacher Lookup'!$A$2:$A$200,0)),"")</f>
        <v>TAM Rachel</v>
      </c>
    </row>
    <row r="8690" customFormat="false" ht="15" hidden="false" customHeight="false" outlineLevel="0" collapsed="false">
      <c r="A8690" s="3" t="s">
        <v>499</v>
      </c>
      <c r="B8690" s="4" t="s">
        <v>60</v>
      </c>
      <c r="C8690" s="4" t="n">
        <v>3</v>
      </c>
      <c r="D8690" s="4" t="s">
        <v>102</v>
      </c>
      <c r="E8690" s="3" t="s">
        <v>446</v>
      </c>
      <c r="F8690" s="4" t="str">
        <f aca="false">IF(I8690&gt;J8690,"Y","N")</f>
        <v>N</v>
      </c>
      <c r="G8690" s="3" t="s">
        <v>72</v>
      </c>
      <c r="H8690" s="3" t="s">
        <v>26</v>
      </c>
      <c r="I8690" s="4" t="n">
        <v>3</v>
      </c>
      <c r="J8690" s="4" t="n">
        <f aca="false">LEN(E8690)-LEN(SUBSTITUTE(E8690,",",""))+1</f>
        <v>3</v>
      </c>
      <c r="K8690" s="3" t="str">
        <f aca="false">IFERROR(INDEX('Teacher Lookup'!$B$2:$B$200,MATCH(A8690,'Teacher Lookup'!$A$2:$A$200,0)),"")</f>
        <v>TAM Rachel</v>
      </c>
    </row>
    <row r="8691" customFormat="false" ht="15" hidden="false" customHeight="false" outlineLevel="0" collapsed="false">
      <c r="A8691" s="3" t="s">
        <v>499</v>
      </c>
      <c r="B8691" s="4" t="s">
        <v>60</v>
      </c>
      <c r="C8691" s="4" t="n">
        <v>3</v>
      </c>
      <c r="D8691" s="4" t="s">
        <v>107</v>
      </c>
      <c r="E8691" s="3" t="s">
        <v>446</v>
      </c>
      <c r="F8691" s="4" t="str">
        <f aca="false">IF(I8691&gt;J8691,"Y","N")</f>
        <v>N</v>
      </c>
      <c r="G8691" s="3" t="s">
        <v>72</v>
      </c>
      <c r="H8691" s="3" t="s">
        <v>26</v>
      </c>
      <c r="I8691" s="4" t="n">
        <v>3</v>
      </c>
      <c r="J8691" s="4" t="n">
        <f aca="false">LEN(E8691)-LEN(SUBSTITUTE(E8691,",",""))+1</f>
        <v>3</v>
      </c>
      <c r="K8691" s="3" t="str">
        <f aca="false">IFERROR(INDEX('Teacher Lookup'!$B$2:$B$200,MATCH(A8691,'Teacher Lookup'!$A$2:$A$200,0)),"")</f>
        <v>TAM Rachel</v>
      </c>
    </row>
    <row r="8692" customFormat="false" ht="15" hidden="false" customHeight="false" outlineLevel="0" collapsed="false">
      <c r="A8692" s="3" t="s">
        <v>499</v>
      </c>
      <c r="B8692" s="4" t="s">
        <v>60</v>
      </c>
      <c r="C8692" s="4" t="n">
        <v>5</v>
      </c>
      <c r="D8692" s="4" t="s">
        <v>70</v>
      </c>
      <c r="E8692" s="3" t="s">
        <v>81</v>
      </c>
      <c r="F8692" s="4" t="str">
        <f aca="false">IF(I8692&gt;J8692,"Y","N")</f>
        <v>Y</v>
      </c>
      <c r="G8692" s="3" t="s">
        <v>36</v>
      </c>
      <c r="H8692" s="3" t="s">
        <v>37</v>
      </c>
      <c r="I8692" s="4" t="n">
        <v>15</v>
      </c>
      <c r="J8692" s="4" t="n">
        <f aca="false">LEN(E8692)-LEN(SUBSTITUTE(E8692,",",""))+1</f>
        <v>7</v>
      </c>
      <c r="K8692" s="3" t="str">
        <f aca="false">IFERROR(INDEX('Teacher Lookup'!$B$2:$B$200,MATCH(A8692,'Teacher Lookup'!$A$2:$A$200,0)),"")</f>
        <v>TAM Rachel</v>
      </c>
    </row>
    <row r="8693" customFormat="false" ht="15" hidden="false" customHeight="false" outlineLevel="0" collapsed="false">
      <c r="A8693" s="3" t="s">
        <v>499</v>
      </c>
      <c r="B8693" s="4" t="s">
        <v>60</v>
      </c>
      <c r="C8693" s="4" t="n">
        <v>5</v>
      </c>
      <c r="D8693" s="4" t="s">
        <v>73</v>
      </c>
      <c r="E8693" s="3" t="s">
        <v>81</v>
      </c>
      <c r="F8693" s="4" t="str">
        <f aca="false">IF(I8693&gt;J8693,"Y","N")</f>
        <v>Y</v>
      </c>
      <c r="G8693" s="3" t="s">
        <v>36</v>
      </c>
      <c r="H8693" s="3" t="s">
        <v>37</v>
      </c>
      <c r="I8693" s="4" t="n">
        <v>15</v>
      </c>
      <c r="J8693" s="4" t="n">
        <f aca="false">LEN(E8693)-LEN(SUBSTITUTE(E8693,",",""))+1</f>
        <v>7</v>
      </c>
      <c r="K8693" s="3" t="str">
        <f aca="false">IFERROR(INDEX('Teacher Lookup'!$B$2:$B$200,MATCH(A8693,'Teacher Lookup'!$A$2:$A$200,0)),"")</f>
        <v>TAM Rachel</v>
      </c>
    </row>
    <row r="8694" customFormat="false" ht="15" hidden="false" customHeight="false" outlineLevel="0" collapsed="false">
      <c r="A8694" s="3" t="s">
        <v>499</v>
      </c>
      <c r="B8694" s="4" t="s">
        <v>60</v>
      </c>
      <c r="C8694" s="4" t="n">
        <v>5</v>
      </c>
      <c r="D8694" s="4" t="s">
        <v>74</v>
      </c>
      <c r="E8694" s="3" t="s">
        <v>81</v>
      </c>
      <c r="F8694" s="4" t="str">
        <f aca="false">IF(I8694&gt;J8694,"Y","N")</f>
        <v>Y</v>
      </c>
      <c r="G8694" s="3" t="s">
        <v>36</v>
      </c>
      <c r="H8694" s="3" t="s">
        <v>37</v>
      </c>
      <c r="I8694" s="4" t="n">
        <v>15</v>
      </c>
      <c r="J8694" s="4" t="n">
        <f aca="false">LEN(E8694)-LEN(SUBSTITUTE(E8694,",",""))+1</f>
        <v>7</v>
      </c>
      <c r="K8694" s="3" t="str">
        <f aca="false">IFERROR(INDEX('Teacher Lookup'!$B$2:$B$200,MATCH(A8694,'Teacher Lookup'!$A$2:$A$200,0)),"")</f>
        <v>TAM Rachel</v>
      </c>
    </row>
    <row r="8695" customFormat="false" ht="15" hidden="false" customHeight="false" outlineLevel="0" collapsed="false">
      <c r="A8695" s="3" t="s">
        <v>499</v>
      </c>
      <c r="B8695" s="4" t="s">
        <v>60</v>
      </c>
      <c r="C8695" s="4" t="n">
        <v>5</v>
      </c>
      <c r="D8695" s="4" t="s">
        <v>76</v>
      </c>
      <c r="E8695" s="3" t="s">
        <v>81</v>
      </c>
      <c r="F8695" s="4" t="str">
        <f aca="false">IF(I8695&gt;J8695,"Y","N")</f>
        <v>Y</v>
      </c>
      <c r="G8695" s="3" t="s">
        <v>36</v>
      </c>
      <c r="H8695" s="3" t="s">
        <v>37</v>
      </c>
      <c r="I8695" s="4" t="n">
        <v>15</v>
      </c>
      <c r="J8695" s="4" t="n">
        <f aca="false">LEN(E8695)-LEN(SUBSTITUTE(E8695,",",""))+1</f>
        <v>7</v>
      </c>
      <c r="K8695" s="3" t="str">
        <f aca="false">IFERROR(INDEX('Teacher Lookup'!$B$2:$B$200,MATCH(A8695,'Teacher Lookup'!$A$2:$A$200,0)),"")</f>
        <v>TAM Rachel</v>
      </c>
    </row>
    <row r="8696" customFormat="false" ht="15" hidden="false" customHeight="false" outlineLevel="0" collapsed="false">
      <c r="A8696" s="3" t="s">
        <v>499</v>
      </c>
      <c r="B8696" s="4" t="s">
        <v>60</v>
      </c>
      <c r="C8696" s="4" t="n">
        <v>5</v>
      </c>
      <c r="D8696" s="4" t="s">
        <v>78</v>
      </c>
      <c r="E8696" s="3" t="s">
        <v>81</v>
      </c>
      <c r="F8696" s="4" t="str">
        <f aca="false">IF(I8696&gt;J8696,"Y","N")</f>
        <v>Y</v>
      </c>
      <c r="G8696" s="3" t="s">
        <v>36</v>
      </c>
      <c r="H8696" s="3" t="s">
        <v>37</v>
      </c>
      <c r="I8696" s="4" t="n">
        <v>15</v>
      </c>
      <c r="J8696" s="4" t="n">
        <f aca="false">LEN(E8696)-LEN(SUBSTITUTE(E8696,",",""))+1</f>
        <v>7</v>
      </c>
      <c r="K8696" s="3" t="str">
        <f aca="false">IFERROR(INDEX('Teacher Lookup'!$B$2:$B$200,MATCH(A8696,'Teacher Lookup'!$A$2:$A$200,0)),"")</f>
        <v>TAM Rachel</v>
      </c>
    </row>
    <row r="8697" customFormat="false" ht="15" hidden="false" customHeight="false" outlineLevel="0" collapsed="false">
      <c r="A8697" s="3" t="s">
        <v>499</v>
      </c>
      <c r="B8697" s="4" t="s">
        <v>60</v>
      </c>
      <c r="C8697" s="4" t="n">
        <v>5</v>
      </c>
      <c r="D8697" s="4" t="s">
        <v>79</v>
      </c>
      <c r="E8697" s="3" t="s">
        <v>81</v>
      </c>
      <c r="F8697" s="4" t="str">
        <f aca="false">IF(I8697&gt;J8697,"Y","N")</f>
        <v>Y</v>
      </c>
      <c r="G8697" s="3" t="s">
        <v>36</v>
      </c>
      <c r="H8697" s="3" t="s">
        <v>37</v>
      </c>
      <c r="I8697" s="4" t="n">
        <v>15</v>
      </c>
      <c r="J8697" s="4" t="n">
        <f aca="false">LEN(E8697)-LEN(SUBSTITUTE(E8697,",",""))+1</f>
        <v>7</v>
      </c>
      <c r="K8697" s="3" t="str">
        <f aca="false">IFERROR(INDEX('Teacher Lookup'!$B$2:$B$200,MATCH(A8697,'Teacher Lookup'!$A$2:$A$200,0)),"")</f>
        <v>TAM Rachel</v>
      </c>
    </row>
    <row r="8698" customFormat="false" ht="15" hidden="false" customHeight="false" outlineLevel="0" collapsed="false">
      <c r="A8698" s="3" t="s">
        <v>499</v>
      </c>
      <c r="B8698" s="4" t="s">
        <v>63</v>
      </c>
      <c r="C8698" s="4" t="n">
        <v>3</v>
      </c>
      <c r="D8698" s="4" t="s">
        <v>76</v>
      </c>
      <c r="E8698" s="3" t="s">
        <v>93</v>
      </c>
      <c r="F8698" s="4" t="str">
        <f aca="false">IF(I8698&gt;J8698,"Y","N")</f>
        <v>N</v>
      </c>
      <c r="G8698" s="3" t="s">
        <v>72</v>
      </c>
      <c r="H8698" s="3" t="s">
        <v>26</v>
      </c>
      <c r="I8698" s="4" t="n">
        <v>4</v>
      </c>
      <c r="J8698" s="4" t="n">
        <f aca="false">LEN(E8698)-LEN(SUBSTITUTE(E8698,",",""))+1</f>
        <v>4</v>
      </c>
      <c r="K8698" s="3" t="str">
        <f aca="false">IFERROR(INDEX('Teacher Lookup'!$B$2:$B$200,MATCH(A8698,'Teacher Lookup'!$A$2:$A$200,0)),"")</f>
        <v>TAM Rachel</v>
      </c>
    </row>
    <row r="8699" customFormat="false" ht="15" hidden="false" customHeight="false" outlineLevel="0" collapsed="false">
      <c r="A8699" s="3" t="s">
        <v>499</v>
      </c>
      <c r="B8699" s="4" t="s">
        <v>63</v>
      </c>
      <c r="C8699" s="4" t="n">
        <v>3</v>
      </c>
      <c r="D8699" s="4" t="s">
        <v>78</v>
      </c>
      <c r="E8699" s="3" t="s">
        <v>93</v>
      </c>
      <c r="F8699" s="4" t="str">
        <f aca="false">IF(I8699&gt;J8699,"Y","N")</f>
        <v>N</v>
      </c>
      <c r="G8699" s="3" t="s">
        <v>72</v>
      </c>
      <c r="H8699" s="3" t="s">
        <v>26</v>
      </c>
      <c r="I8699" s="4" t="n">
        <v>4</v>
      </c>
      <c r="J8699" s="4" t="n">
        <f aca="false">LEN(E8699)-LEN(SUBSTITUTE(E8699,",",""))+1</f>
        <v>4</v>
      </c>
      <c r="K8699" s="3" t="str">
        <f aca="false">IFERROR(INDEX('Teacher Lookup'!$B$2:$B$200,MATCH(A8699,'Teacher Lookup'!$A$2:$A$200,0)),"")</f>
        <v>TAM Rachel</v>
      </c>
    </row>
    <row r="8700" customFormat="false" ht="15" hidden="false" customHeight="false" outlineLevel="0" collapsed="false">
      <c r="A8700" s="3" t="s">
        <v>499</v>
      </c>
      <c r="B8700" s="4" t="s">
        <v>63</v>
      </c>
      <c r="C8700" s="4" t="n">
        <v>3</v>
      </c>
      <c r="D8700" s="4" t="s">
        <v>79</v>
      </c>
      <c r="E8700" s="3" t="s">
        <v>93</v>
      </c>
      <c r="F8700" s="4" t="str">
        <f aca="false">IF(I8700&gt;J8700,"Y","N")</f>
        <v>N</v>
      </c>
      <c r="G8700" s="3" t="s">
        <v>72</v>
      </c>
      <c r="H8700" s="3" t="s">
        <v>26</v>
      </c>
      <c r="I8700" s="4" t="n">
        <v>4</v>
      </c>
      <c r="J8700" s="4" t="n">
        <f aca="false">LEN(E8700)-LEN(SUBSTITUTE(E8700,",",""))+1</f>
        <v>4</v>
      </c>
      <c r="K8700" s="3" t="str">
        <f aca="false">IFERROR(INDEX('Teacher Lookup'!$B$2:$B$200,MATCH(A8700,'Teacher Lookup'!$A$2:$A$200,0)),"")</f>
        <v>TAM Rachel</v>
      </c>
    </row>
    <row r="8701" customFormat="false" ht="15" hidden="false" customHeight="false" outlineLevel="0" collapsed="false">
      <c r="A8701" s="3" t="s">
        <v>499</v>
      </c>
      <c r="B8701" s="4" t="s">
        <v>63</v>
      </c>
      <c r="C8701" s="4" t="n">
        <v>4</v>
      </c>
      <c r="D8701" s="4" t="s">
        <v>228</v>
      </c>
      <c r="E8701" s="3" t="s">
        <v>355</v>
      </c>
      <c r="F8701" s="4" t="str">
        <f aca="false">IF(I8701&gt;J8701,"Y","N")</f>
        <v>N</v>
      </c>
      <c r="G8701" s="3" t="s">
        <v>72</v>
      </c>
      <c r="H8701" s="3" t="s">
        <v>34</v>
      </c>
      <c r="I8701" s="4" t="n">
        <v>4</v>
      </c>
      <c r="J8701" s="4" t="n">
        <f aca="false">LEN(E8701)-LEN(SUBSTITUTE(E8701,",",""))+1</f>
        <v>4</v>
      </c>
      <c r="K8701" s="3" t="str">
        <f aca="false">IFERROR(INDEX('Teacher Lookup'!$B$2:$B$200,MATCH(A8701,'Teacher Lookup'!$A$2:$A$200,0)),"")</f>
        <v>TAM Rachel</v>
      </c>
    </row>
    <row r="8702" customFormat="false" ht="15" hidden="false" customHeight="false" outlineLevel="0" collapsed="false">
      <c r="A8702" s="3" t="s">
        <v>499</v>
      </c>
      <c r="B8702" s="4" t="s">
        <v>63</v>
      </c>
      <c r="C8702" s="4" t="n">
        <v>4</v>
      </c>
      <c r="D8702" s="4" t="s">
        <v>102</v>
      </c>
      <c r="E8702" s="3" t="s">
        <v>355</v>
      </c>
      <c r="F8702" s="4" t="str">
        <f aca="false">IF(I8702&gt;J8702,"Y","N")</f>
        <v>N</v>
      </c>
      <c r="G8702" s="3" t="s">
        <v>72</v>
      </c>
      <c r="H8702" s="3" t="s">
        <v>34</v>
      </c>
      <c r="I8702" s="4" t="n">
        <v>4</v>
      </c>
      <c r="J8702" s="4" t="n">
        <f aca="false">LEN(E8702)-LEN(SUBSTITUTE(E8702,",",""))+1</f>
        <v>4</v>
      </c>
      <c r="K8702" s="3" t="str">
        <f aca="false">IFERROR(INDEX('Teacher Lookup'!$B$2:$B$200,MATCH(A8702,'Teacher Lookup'!$A$2:$A$200,0)),"")</f>
        <v>TAM Rachel</v>
      </c>
    </row>
    <row r="8703" customFormat="false" ht="15" hidden="false" customHeight="false" outlineLevel="0" collapsed="false">
      <c r="A8703" s="3" t="s">
        <v>499</v>
      </c>
      <c r="B8703" s="4" t="s">
        <v>63</v>
      </c>
      <c r="C8703" s="4" t="n">
        <v>4</v>
      </c>
      <c r="D8703" s="4" t="s">
        <v>107</v>
      </c>
      <c r="E8703" s="3" t="s">
        <v>355</v>
      </c>
      <c r="F8703" s="4" t="str">
        <f aca="false">IF(I8703&gt;J8703,"Y","N")</f>
        <v>N</v>
      </c>
      <c r="G8703" s="3" t="s">
        <v>72</v>
      </c>
      <c r="H8703" s="3" t="s">
        <v>34</v>
      </c>
      <c r="I8703" s="4" t="n">
        <v>4</v>
      </c>
      <c r="J8703" s="4" t="n">
        <f aca="false">LEN(E8703)-LEN(SUBSTITUTE(E8703,",",""))+1</f>
        <v>4</v>
      </c>
      <c r="K8703" s="3" t="str">
        <f aca="false">IFERROR(INDEX('Teacher Lookup'!$B$2:$B$200,MATCH(A8703,'Teacher Lookup'!$A$2:$A$200,0)),"")</f>
        <v>TAM Rachel</v>
      </c>
    </row>
    <row r="8704" customFormat="false" ht="15" hidden="false" customHeight="false" outlineLevel="0" collapsed="false">
      <c r="A8704" s="3" t="s">
        <v>499</v>
      </c>
      <c r="B8704" s="4" t="s">
        <v>63</v>
      </c>
      <c r="C8704" s="4" t="n">
        <v>7</v>
      </c>
      <c r="D8704" s="4" t="s">
        <v>70</v>
      </c>
      <c r="E8704" s="3" t="s">
        <v>94</v>
      </c>
      <c r="F8704" s="4" t="str">
        <f aca="false">IF(I8704&gt;J8704,"Y","N")</f>
        <v>N</v>
      </c>
      <c r="G8704" s="3" t="s">
        <v>72</v>
      </c>
      <c r="H8704" s="3" t="s">
        <v>39</v>
      </c>
      <c r="I8704" s="4" t="n">
        <v>4</v>
      </c>
      <c r="J8704" s="4" t="n">
        <f aca="false">LEN(E8704)-LEN(SUBSTITUTE(E8704,",",""))+1</f>
        <v>4</v>
      </c>
      <c r="K8704" s="3" t="str">
        <f aca="false">IFERROR(INDEX('Teacher Lookup'!$B$2:$B$200,MATCH(A8704,'Teacher Lookup'!$A$2:$A$200,0)),"")</f>
        <v>TAM Rachel</v>
      </c>
    </row>
    <row r="8705" customFormat="false" ht="15" hidden="false" customHeight="false" outlineLevel="0" collapsed="false">
      <c r="A8705" s="3" t="s">
        <v>499</v>
      </c>
      <c r="B8705" s="4" t="s">
        <v>63</v>
      </c>
      <c r="C8705" s="4" t="n">
        <v>7</v>
      </c>
      <c r="D8705" s="4" t="s">
        <v>73</v>
      </c>
      <c r="E8705" s="3" t="s">
        <v>94</v>
      </c>
      <c r="F8705" s="4" t="str">
        <f aca="false">IF(I8705&gt;J8705,"Y","N")</f>
        <v>N</v>
      </c>
      <c r="G8705" s="3" t="s">
        <v>72</v>
      </c>
      <c r="H8705" s="3" t="s">
        <v>39</v>
      </c>
      <c r="I8705" s="4" t="n">
        <v>4</v>
      </c>
      <c r="J8705" s="4" t="n">
        <f aca="false">LEN(E8705)-LEN(SUBSTITUTE(E8705,",",""))+1</f>
        <v>4</v>
      </c>
      <c r="K8705" s="3" t="str">
        <f aca="false">IFERROR(INDEX('Teacher Lookup'!$B$2:$B$200,MATCH(A8705,'Teacher Lookup'!$A$2:$A$200,0)),"")</f>
        <v>TAM Rachel</v>
      </c>
    </row>
    <row r="8706" customFormat="false" ht="15" hidden="false" customHeight="false" outlineLevel="0" collapsed="false">
      <c r="A8706" s="3" t="s">
        <v>499</v>
      </c>
      <c r="B8706" s="4" t="s">
        <v>63</v>
      </c>
      <c r="C8706" s="4" t="n">
        <v>7</v>
      </c>
      <c r="D8706" s="4" t="s">
        <v>74</v>
      </c>
      <c r="E8706" s="3" t="s">
        <v>94</v>
      </c>
      <c r="F8706" s="4" t="str">
        <f aca="false">IF(I8706&gt;J8706,"Y","N")</f>
        <v>N</v>
      </c>
      <c r="G8706" s="3" t="s">
        <v>72</v>
      </c>
      <c r="H8706" s="3" t="s">
        <v>39</v>
      </c>
      <c r="I8706" s="4" t="n">
        <v>4</v>
      </c>
      <c r="J8706" s="4" t="n">
        <f aca="false">LEN(E8706)-LEN(SUBSTITUTE(E8706,",",""))+1</f>
        <v>4</v>
      </c>
      <c r="K8706" s="3" t="str">
        <f aca="false">IFERROR(INDEX('Teacher Lookup'!$B$2:$B$200,MATCH(A8706,'Teacher Lookup'!$A$2:$A$200,0)),"")</f>
        <v>TAM Rachel</v>
      </c>
    </row>
    <row r="8707" customFormat="false" ht="15" hidden="false" customHeight="false" outlineLevel="0" collapsed="false">
      <c r="A8707" s="3" t="s">
        <v>499</v>
      </c>
      <c r="B8707" s="4" t="s">
        <v>65</v>
      </c>
      <c r="C8707" s="4" t="n">
        <v>2</v>
      </c>
      <c r="D8707" s="4" t="s">
        <v>70</v>
      </c>
      <c r="E8707" s="3" t="s">
        <v>83</v>
      </c>
      <c r="F8707" s="4" t="str">
        <f aca="false">IF(I8707&gt;J8707,"Y","N")</f>
        <v>N</v>
      </c>
      <c r="G8707" s="3" t="s">
        <v>72</v>
      </c>
      <c r="H8707" s="3" t="s">
        <v>21</v>
      </c>
      <c r="I8707" s="4" t="n">
        <v>4</v>
      </c>
      <c r="J8707" s="4" t="n">
        <f aca="false">LEN(E8707)-LEN(SUBSTITUTE(E8707,",",""))+1</f>
        <v>4</v>
      </c>
      <c r="K8707" s="3" t="str">
        <f aca="false">IFERROR(INDEX('Teacher Lookup'!$B$2:$B$200,MATCH(A8707,'Teacher Lookup'!$A$2:$A$200,0)),"")</f>
        <v>TAM Rachel</v>
      </c>
    </row>
    <row r="8708" customFormat="false" ht="15" hidden="false" customHeight="false" outlineLevel="0" collapsed="false">
      <c r="A8708" s="3" t="s">
        <v>499</v>
      </c>
      <c r="B8708" s="4" t="s">
        <v>65</v>
      </c>
      <c r="C8708" s="4" t="n">
        <v>2</v>
      </c>
      <c r="D8708" s="4" t="s">
        <v>73</v>
      </c>
      <c r="E8708" s="3" t="s">
        <v>83</v>
      </c>
      <c r="F8708" s="4" t="str">
        <f aca="false">IF(I8708&gt;J8708,"Y","N")</f>
        <v>N</v>
      </c>
      <c r="G8708" s="3" t="s">
        <v>72</v>
      </c>
      <c r="H8708" s="3" t="s">
        <v>21</v>
      </c>
      <c r="I8708" s="4" t="n">
        <v>4</v>
      </c>
      <c r="J8708" s="4" t="n">
        <f aca="false">LEN(E8708)-LEN(SUBSTITUTE(E8708,",",""))+1</f>
        <v>4</v>
      </c>
      <c r="K8708" s="3" t="str">
        <f aca="false">IFERROR(INDEX('Teacher Lookup'!$B$2:$B$200,MATCH(A8708,'Teacher Lookup'!$A$2:$A$200,0)),"")</f>
        <v>TAM Rachel</v>
      </c>
    </row>
    <row r="8709" customFormat="false" ht="15" hidden="false" customHeight="false" outlineLevel="0" collapsed="false">
      <c r="A8709" s="3" t="s">
        <v>499</v>
      </c>
      <c r="B8709" s="4" t="s">
        <v>65</v>
      </c>
      <c r="C8709" s="4" t="n">
        <v>2</v>
      </c>
      <c r="D8709" s="4" t="s">
        <v>74</v>
      </c>
      <c r="E8709" s="3" t="s">
        <v>83</v>
      </c>
      <c r="F8709" s="4" t="str">
        <f aca="false">IF(I8709&gt;J8709,"Y","N")</f>
        <v>N</v>
      </c>
      <c r="G8709" s="3" t="s">
        <v>72</v>
      </c>
      <c r="H8709" s="3" t="s">
        <v>21</v>
      </c>
      <c r="I8709" s="4" t="n">
        <v>4</v>
      </c>
      <c r="J8709" s="4" t="n">
        <f aca="false">LEN(E8709)-LEN(SUBSTITUTE(E8709,",",""))+1</f>
        <v>4</v>
      </c>
      <c r="K8709" s="3" t="str">
        <f aca="false">IFERROR(INDEX('Teacher Lookup'!$B$2:$B$200,MATCH(A8709,'Teacher Lookup'!$A$2:$A$200,0)),"")</f>
        <v>TAM Rachel</v>
      </c>
    </row>
    <row r="8710" customFormat="false" ht="15" hidden="false" customHeight="false" outlineLevel="0" collapsed="false">
      <c r="A8710" s="3" t="s">
        <v>499</v>
      </c>
      <c r="B8710" s="4" t="s">
        <v>65</v>
      </c>
      <c r="C8710" s="4" t="n">
        <v>4</v>
      </c>
      <c r="D8710" s="4" t="s">
        <v>102</v>
      </c>
      <c r="E8710" s="3" t="s">
        <v>447</v>
      </c>
      <c r="F8710" s="4" t="str">
        <f aca="false">IF(I8710&gt;J8710,"Y","N")</f>
        <v>N</v>
      </c>
      <c r="G8710" s="3" t="s">
        <v>72</v>
      </c>
      <c r="H8710" s="3" t="s">
        <v>34</v>
      </c>
      <c r="I8710" s="4" t="n">
        <v>3</v>
      </c>
      <c r="J8710" s="4" t="n">
        <f aca="false">LEN(E8710)-LEN(SUBSTITUTE(E8710,",",""))+1</f>
        <v>3</v>
      </c>
      <c r="K8710" s="3" t="str">
        <f aca="false">IFERROR(INDEX('Teacher Lookup'!$B$2:$B$200,MATCH(A8710,'Teacher Lookup'!$A$2:$A$200,0)),"")</f>
        <v>TAM Rachel</v>
      </c>
    </row>
    <row r="8711" customFormat="false" ht="15" hidden="false" customHeight="false" outlineLevel="0" collapsed="false">
      <c r="A8711" s="3" t="s">
        <v>499</v>
      </c>
      <c r="B8711" s="4" t="s">
        <v>65</v>
      </c>
      <c r="C8711" s="4" t="n">
        <v>4</v>
      </c>
      <c r="D8711" s="4" t="s">
        <v>107</v>
      </c>
      <c r="E8711" s="3" t="s">
        <v>447</v>
      </c>
      <c r="F8711" s="4" t="str">
        <f aca="false">IF(I8711&gt;J8711,"Y","N")</f>
        <v>N</v>
      </c>
      <c r="G8711" s="3" t="s">
        <v>72</v>
      </c>
      <c r="H8711" s="3" t="s">
        <v>34</v>
      </c>
      <c r="I8711" s="4" t="n">
        <v>3</v>
      </c>
      <c r="J8711" s="4" t="n">
        <f aca="false">LEN(E8711)-LEN(SUBSTITUTE(E8711,",",""))+1</f>
        <v>3</v>
      </c>
      <c r="K8711" s="3" t="str">
        <f aca="false">IFERROR(INDEX('Teacher Lookup'!$B$2:$B$200,MATCH(A8711,'Teacher Lookup'!$A$2:$A$200,0)),"")</f>
        <v>TAM Rachel</v>
      </c>
    </row>
    <row r="8712" customFormat="false" ht="15" hidden="false" customHeight="false" outlineLevel="0" collapsed="false">
      <c r="A8712" s="3" t="s">
        <v>499</v>
      </c>
      <c r="B8712" s="4" t="s">
        <v>65</v>
      </c>
      <c r="C8712" s="4" t="n">
        <v>5</v>
      </c>
      <c r="D8712" s="4" t="s">
        <v>70</v>
      </c>
      <c r="E8712" s="3" t="s">
        <v>81</v>
      </c>
      <c r="F8712" s="4" t="str">
        <f aca="false">IF(I8712&gt;J8712,"Y","N")</f>
        <v>Y</v>
      </c>
      <c r="G8712" s="3" t="s">
        <v>36</v>
      </c>
      <c r="H8712" s="3" t="s">
        <v>37</v>
      </c>
      <c r="I8712" s="4" t="n">
        <v>15</v>
      </c>
      <c r="J8712" s="4" t="n">
        <f aca="false">LEN(E8712)-LEN(SUBSTITUTE(E8712,",",""))+1</f>
        <v>7</v>
      </c>
      <c r="K8712" s="3" t="str">
        <f aca="false">IFERROR(INDEX('Teacher Lookup'!$B$2:$B$200,MATCH(A8712,'Teacher Lookup'!$A$2:$A$200,0)),"")</f>
        <v>TAM Rachel</v>
      </c>
    </row>
    <row r="8713" customFormat="false" ht="15" hidden="false" customHeight="false" outlineLevel="0" collapsed="false">
      <c r="A8713" s="3" t="s">
        <v>499</v>
      </c>
      <c r="B8713" s="4" t="s">
        <v>65</v>
      </c>
      <c r="C8713" s="4" t="n">
        <v>5</v>
      </c>
      <c r="D8713" s="4" t="s">
        <v>73</v>
      </c>
      <c r="E8713" s="3" t="s">
        <v>81</v>
      </c>
      <c r="F8713" s="4" t="str">
        <f aca="false">IF(I8713&gt;J8713,"Y","N")</f>
        <v>Y</v>
      </c>
      <c r="G8713" s="3" t="s">
        <v>36</v>
      </c>
      <c r="H8713" s="3" t="s">
        <v>37</v>
      </c>
      <c r="I8713" s="4" t="n">
        <v>15</v>
      </c>
      <c r="J8713" s="4" t="n">
        <f aca="false">LEN(E8713)-LEN(SUBSTITUTE(E8713,",",""))+1</f>
        <v>7</v>
      </c>
      <c r="K8713" s="3" t="str">
        <f aca="false">IFERROR(INDEX('Teacher Lookup'!$B$2:$B$200,MATCH(A8713,'Teacher Lookup'!$A$2:$A$200,0)),"")</f>
        <v>TAM Rachel</v>
      </c>
    </row>
    <row r="8714" customFormat="false" ht="15" hidden="false" customHeight="false" outlineLevel="0" collapsed="false">
      <c r="A8714" s="3" t="s">
        <v>499</v>
      </c>
      <c r="B8714" s="4" t="s">
        <v>65</v>
      </c>
      <c r="C8714" s="4" t="n">
        <v>5</v>
      </c>
      <c r="D8714" s="4" t="s">
        <v>74</v>
      </c>
      <c r="E8714" s="3" t="s">
        <v>81</v>
      </c>
      <c r="F8714" s="4" t="str">
        <f aca="false">IF(I8714&gt;J8714,"Y","N")</f>
        <v>Y</v>
      </c>
      <c r="G8714" s="3" t="s">
        <v>36</v>
      </c>
      <c r="H8714" s="3" t="s">
        <v>37</v>
      </c>
      <c r="I8714" s="4" t="n">
        <v>15</v>
      </c>
      <c r="J8714" s="4" t="n">
        <f aca="false">LEN(E8714)-LEN(SUBSTITUTE(E8714,",",""))+1</f>
        <v>7</v>
      </c>
      <c r="K8714" s="3" t="str">
        <f aca="false">IFERROR(INDEX('Teacher Lookup'!$B$2:$B$200,MATCH(A8714,'Teacher Lookup'!$A$2:$A$200,0)),"")</f>
        <v>TAM Rachel</v>
      </c>
    </row>
    <row r="8715" customFormat="false" ht="15" hidden="false" customHeight="false" outlineLevel="0" collapsed="false">
      <c r="A8715" s="3" t="s">
        <v>499</v>
      </c>
      <c r="B8715" s="4" t="s">
        <v>65</v>
      </c>
      <c r="C8715" s="4" t="n">
        <v>5</v>
      </c>
      <c r="D8715" s="4" t="s">
        <v>76</v>
      </c>
      <c r="E8715" s="3" t="s">
        <v>81</v>
      </c>
      <c r="F8715" s="4" t="str">
        <f aca="false">IF(I8715&gt;J8715,"Y","N")</f>
        <v>Y</v>
      </c>
      <c r="G8715" s="3" t="s">
        <v>36</v>
      </c>
      <c r="H8715" s="3" t="s">
        <v>37</v>
      </c>
      <c r="I8715" s="4" t="n">
        <v>15</v>
      </c>
      <c r="J8715" s="4" t="n">
        <f aca="false">LEN(E8715)-LEN(SUBSTITUTE(E8715,",",""))+1</f>
        <v>7</v>
      </c>
      <c r="K8715" s="3" t="str">
        <f aca="false">IFERROR(INDEX('Teacher Lookup'!$B$2:$B$200,MATCH(A8715,'Teacher Lookup'!$A$2:$A$200,0)),"")</f>
        <v>TAM Rachel</v>
      </c>
    </row>
    <row r="8716" customFormat="false" ht="15" hidden="false" customHeight="false" outlineLevel="0" collapsed="false">
      <c r="A8716" s="3" t="s">
        <v>499</v>
      </c>
      <c r="B8716" s="4" t="s">
        <v>65</v>
      </c>
      <c r="C8716" s="4" t="n">
        <v>5</v>
      </c>
      <c r="D8716" s="4" t="s">
        <v>78</v>
      </c>
      <c r="E8716" s="3" t="s">
        <v>81</v>
      </c>
      <c r="F8716" s="4" t="str">
        <f aca="false">IF(I8716&gt;J8716,"Y","N")</f>
        <v>Y</v>
      </c>
      <c r="G8716" s="3" t="s">
        <v>36</v>
      </c>
      <c r="H8716" s="3" t="s">
        <v>37</v>
      </c>
      <c r="I8716" s="4" t="n">
        <v>15</v>
      </c>
      <c r="J8716" s="4" t="n">
        <f aca="false">LEN(E8716)-LEN(SUBSTITUTE(E8716,",",""))+1</f>
        <v>7</v>
      </c>
      <c r="K8716" s="3" t="str">
        <f aca="false">IFERROR(INDEX('Teacher Lookup'!$B$2:$B$200,MATCH(A8716,'Teacher Lookup'!$A$2:$A$200,0)),"")</f>
        <v>TAM Rachel</v>
      </c>
    </row>
    <row r="8717" customFormat="false" ht="15" hidden="false" customHeight="false" outlineLevel="0" collapsed="false">
      <c r="A8717" s="3" t="s">
        <v>499</v>
      </c>
      <c r="B8717" s="4" t="s">
        <v>65</v>
      </c>
      <c r="C8717" s="4" t="n">
        <v>5</v>
      </c>
      <c r="D8717" s="4" t="s">
        <v>79</v>
      </c>
      <c r="E8717" s="3" t="s">
        <v>81</v>
      </c>
      <c r="F8717" s="4" t="str">
        <f aca="false">IF(I8717&gt;J8717,"Y","N")</f>
        <v>Y</v>
      </c>
      <c r="G8717" s="3" t="s">
        <v>36</v>
      </c>
      <c r="H8717" s="3" t="s">
        <v>37</v>
      </c>
      <c r="I8717" s="4" t="n">
        <v>15</v>
      </c>
      <c r="J8717" s="4" t="n">
        <f aca="false">LEN(E8717)-LEN(SUBSTITUTE(E8717,",",""))+1</f>
        <v>7</v>
      </c>
      <c r="K8717" s="3" t="str">
        <f aca="false">IFERROR(INDEX('Teacher Lookup'!$B$2:$B$200,MATCH(A8717,'Teacher Lookup'!$A$2:$A$200,0)),"")</f>
        <v>TAM Rachel</v>
      </c>
    </row>
    <row r="8718" customFormat="false" ht="15" hidden="false" customHeight="false" outlineLevel="0" collapsed="false">
      <c r="A8718" s="3" t="s">
        <v>499</v>
      </c>
      <c r="B8718" s="4" t="s">
        <v>65</v>
      </c>
      <c r="C8718" s="4" t="n">
        <v>7</v>
      </c>
      <c r="D8718" s="4" t="s">
        <v>76</v>
      </c>
      <c r="E8718" s="3" t="s">
        <v>77</v>
      </c>
      <c r="F8718" s="4" t="str">
        <f aca="false">IF(I8718&gt;J8718,"Y","N")</f>
        <v>N</v>
      </c>
      <c r="G8718" s="3" t="s">
        <v>72</v>
      </c>
      <c r="H8718" s="3" t="s">
        <v>39</v>
      </c>
      <c r="I8718" s="4" t="n">
        <v>4</v>
      </c>
      <c r="J8718" s="4" t="n">
        <f aca="false">LEN(E8718)-LEN(SUBSTITUTE(E8718,",",""))+1</f>
        <v>4</v>
      </c>
      <c r="K8718" s="3" t="str">
        <f aca="false">IFERROR(INDEX('Teacher Lookup'!$B$2:$B$200,MATCH(A8718,'Teacher Lookup'!$A$2:$A$200,0)),"")</f>
        <v>TAM Rachel</v>
      </c>
    </row>
    <row r="8719" customFormat="false" ht="15" hidden="false" customHeight="false" outlineLevel="0" collapsed="false">
      <c r="A8719" s="3" t="s">
        <v>499</v>
      </c>
      <c r="B8719" s="4" t="s">
        <v>65</v>
      </c>
      <c r="C8719" s="4" t="n">
        <v>7</v>
      </c>
      <c r="D8719" s="4" t="s">
        <v>78</v>
      </c>
      <c r="E8719" s="3" t="s">
        <v>77</v>
      </c>
      <c r="F8719" s="4" t="str">
        <f aca="false">IF(I8719&gt;J8719,"Y","N")</f>
        <v>N</v>
      </c>
      <c r="G8719" s="3" t="s">
        <v>72</v>
      </c>
      <c r="H8719" s="3" t="s">
        <v>39</v>
      </c>
      <c r="I8719" s="4" t="n">
        <v>4</v>
      </c>
      <c r="J8719" s="4" t="n">
        <f aca="false">LEN(E8719)-LEN(SUBSTITUTE(E8719,",",""))+1</f>
        <v>4</v>
      </c>
      <c r="K8719" s="3" t="str">
        <f aca="false">IFERROR(INDEX('Teacher Lookup'!$B$2:$B$200,MATCH(A8719,'Teacher Lookup'!$A$2:$A$200,0)),"")</f>
        <v>TAM Rachel</v>
      </c>
    </row>
    <row r="8720" customFormat="false" ht="15" hidden="false" customHeight="false" outlineLevel="0" collapsed="false">
      <c r="A8720" s="3" t="s">
        <v>499</v>
      </c>
      <c r="B8720" s="4" t="s">
        <v>65</v>
      </c>
      <c r="C8720" s="4" t="n">
        <v>7</v>
      </c>
      <c r="D8720" s="4" t="s">
        <v>79</v>
      </c>
      <c r="E8720" s="3" t="s">
        <v>77</v>
      </c>
      <c r="F8720" s="4" t="str">
        <f aca="false">IF(I8720&gt;J8720,"Y","N")</f>
        <v>N</v>
      </c>
      <c r="G8720" s="3" t="s">
        <v>72</v>
      </c>
      <c r="H8720" s="3" t="s">
        <v>39</v>
      </c>
      <c r="I8720" s="4" t="n">
        <v>4</v>
      </c>
      <c r="J8720" s="4" t="n">
        <f aca="false">LEN(E8720)-LEN(SUBSTITUTE(E8720,",",""))+1</f>
        <v>4</v>
      </c>
      <c r="K8720" s="3" t="str">
        <f aca="false">IFERROR(INDEX('Teacher Lookup'!$B$2:$B$200,MATCH(A8720,'Teacher Lookup'!$A$2:$A$200,0)),"")</f>
        <v>TAM Rachel</v>
      </c>
    </row>
    <row r="8721" customFormat="false" ht="15" hidden="false" customHeight="false" outlineLevel="0" collapsed="false">
      <c r="A8721" s="3" t="s">
        <v>499</v>
      </c>
      <c r="B8721" s="4" t="s">
        <v>66</v>
      </c>
      <c r="C8721" s="4" t="n">
        <v>1</v>
      </c>
      <c r="D8721" s="4" t="s">
        <v>76</v>
      </c>
      <c r="E8721" s="3" t="s">
        <v>84</v>
      </c>
      <c r="F8721" s="4" t="str">
        <f aca="false">IF(I8721&gt;J8721,"Y","N")</f>
        <v>N</v>
      </c>
      <c r="G8721" s="3" t="s">
        <v>72</v>
      </c>
      <c r="H8721" s="3" t="s">
        <v>16</v>
      </c>
      <c r="I8721" s="4" t="n">
        <v>4</v>
      </c>
      <c r="J8721" s="4" t="n">
        <f aca="false">LEN(E8721)-LEN(SUBSTITUTE(E8721,",",""))+1</f>
        <v>4</v>
      </c>
      <c r="K8721" s="3" t="str">
        <f aca="false">IFERROR(INDEX('Teacher Lookup'!$B$2:$B$200,MATCH(A8721,'Teacher Lookup'!$A$2:$A$200,0)),"")</f>
        <v>TAM Rachel</v>
      </c>
    </row>
    <row r="8722" customFormat="false" ht="15" hidden="false" customHeight="false" outlineLevel="0" collapsed="false">
      <c r="A8722" s="3" t="s">
        <v>499</v>
      </c>
      <c r="B8722" s="4" t="s">
        <v>66</v>
      </c>
      <c r="C8722" s="4" t="n">
        <v>1</v>
      </c>
      <c r="D8722" s="4" t="s">
        <v>78</v>
      </c>
      <c r="E8722" s="3" t="s">
        <v>84</v>
      </c>
      <c r="F8722" s="4" t="str">
        <f aca="false">IF(I8722&gt;J8722,"Y","N")</f>
        <v>N</v>
      </c>
      <c r="G8722" s="3" t="s">
        <v>72</v>
      </c>
      <c r="H8722" s="3" t="s">
        <v>16</v>
      </c>
      <c r="I8722" s="4" t="n">
        <v>4</v>
      </c>
      <c r="J8722" s="4" t="n">
        <f aca="false">LEN(E8722)-LEN(SUBSTITUTE(E8722,",",""))+1</f>
        <v>4</v>
      </c>
      <c r="K8722" s="3" t="str">
        <f aca="false">IFERROR(INDEX('Teacher Lookup'!$B$2:$B$200,MATCH(A8722,'Teacher Lookup'!$A$2:$A$200,0)),"")</f>
        <v>TAM Rachel</v>
      </c>
    </row>
    <row r="8723" customFormat="false" ht="15" hidden="false" customHeight="false" outlineLevel="0" collapsed="false">
      <c r="A8723" s="3" t="s">
        <v>499</v>
      </c>
      <c r="B8723" s="4" t="s">
        <v>66</v>
      </c>
      <c r="C8723" s="4" t="n">
        <v>1</v>
      </c>
      <c r="D8723" s="4" t="s">
        <v>79</v>
      </c>
      <c r="E8723" s="3" t="s">
        <v>84</v>
      </c>
      <c r="F8723" s="4" t="str">
        <f aca="false">IF(I8723&gt;J8723,"Y","N")</f>
        <v>N</v>
      </c>
      <c r="G8723" s="3" t="s">
        <v>72</v>
      </c>
      <c r="H8723" s="3" t="s">
        <v>16</v>
      </c>
      <c r="I8723" s="4" t="n">
        <v>4</v>
      </c>
      <c r="J8723" s="4" t="n">
        <f aca="false">LEN(E8723)-LEN(SUBSTITUTE(E8723,",",""))+1</f>
        <v>4</v>
      </c>
      <c r="K8723" s="3" t="str">
        <f aca="false">IFERROR(INDEX('Teacher Lookup'!$B$2:$B$200,MATCH(A8723,'Teacher Lookup'!$A$2:$A$200,0)),"")</f>
        <v>TAM Rachel</v>
      </c>
    </row>
    <row r="8724" customFormat="false" ht="15" hidden="false" customHeight="false" outlineLevel="0" collapsed="false">
      <c r="A8724" s="3" t="s">
        <v>499</v>
      </c>
      <c r="B8724" s="4" t="s">
        <v>66</v>
      </c>
      <c r="C8724" s="4" t="n">
        <v>5</v>
      </c>
      <c r="D8724" s="4" t="s">
        <v>70</v>
      </c>
      <c r="E8724" s="3" t="s">
        <v>96</v>
      </c>
      <c r="F8724" s="4" t="str">
        <f aca="false">IF(I8724&gt;J8724,"Y","N")</f>
        <v>N</v>
      </c>
      <c r="G8724" s="3" t="s">
        <v>72</v>
      </c>
      <c r="H8724" s="3" t="s">
        <v>37</v>
      </c>
      <c r="I8724" s="4" t="n">
        <v>4</v>
      </c>
      <c r="J8724" s="4" t="n">
        <f aca="false">LEN(E8724)-LEN(SUBSTITUTE(E8724,",",""))+1</f>
        <v>4</v>
      </c>
      <c r="K8724" s="3" t="str">
        <f aca="false">IFERROR(INDEX('Teacher Lookup'!$B$2:$B$200,MATCH(A8724,'Teacher Lookup'!$A$2:$A$200,0)),"")</f>
        <v>TAM Rachel</v>
      </c>
    </row>
    <row r="8725" customFormat="false" ht="15" hidden="false" customHeight="false" outlineLevel="0" collapsed="false">
      <c r="A8725" s="3" t="s">
        <v>499</v>
      </c>
      <c r="B8725" s="4" t="s">
        <v>66</v>
      </c>
      <c r="C8725" s="4" t="n">
        <v>5</v>
      </c>
      <c r="D8725" s="4" t="s">
        <v>73</v>
      </c>
      <c r="E8725" s="3" t="s">
        <v>96</v>
      </c>
      <c r="F8725" s="4" t="str">
        <f aca="false">IF(I8725&gt;J8725,"Y","N")</f>
        <v>N</v>
      </c>
      <c r="G8725" s="3" t="s">
        <v>72</v>
      </c>
      <c r="H8725" s="3" t="s">
        <v>37</v>
      </c>
      <c r="I8725" s="4" t="n">
        <v>4</v>
      </c>
      <c r="J8725" s="4" t="n">
        <f aca="false">LEN(E8725)-LEN(SUBSTITUTE(E8725,",",""))+1</f>
        <v>4</v>
      </c>
      <c r="K8725" s="3" t="str">
        <f aca="false">IFERROR(INDEX('Teacher Lookup'!$B$2:$B$200,MATCH(A8725,'Teacher Lookup'!$A$2:$A$200,0)),"")</f>
        <v>TAM Rachel</v>
      </c>
    </row>
    <row r="8726" customFormat="false" ht="15" hidden="false" customHeight="false" outlineLevel="0" collapsed="false">
      <c r="A8726" s="3" t="s">
        <v>499</v>
      </c>
      <c r="B8726" s="4" t="s">
        <v>66</v>
      </c>
      <c r="C8726" s="4" t="n">
        <v>5</v>
      </c>
      <c r="D8726" s="4" t="s">
        <v>74</v>
      </c>
      <c r="E8726" s="3" t="s">
        <v>96</v>
      </c>
      <c r="F8726" s="4" t="str">
        <f aca="false">IF(I8726&gt;J8726,"Y","N")</f>
        <v>N</v>
      </c>
      <c r="G8726" s="3" t="s">
        <v>72</v>
      </c>
      <c r="H8726" s="3" t="s">
        <v>37</v>
      </c>
      <c r="I8726" s="4" t="n">
        <v>4</v>
      </c>
      <c r="J8726" s="4" t="n">
        <f aca="false">LEN(E8726)-LEN(SUBSTITUTE(E8726,",",""))+1</f>
        <v>4</v>
      </c>
      <c r="K8726" s="3" t="str">
        <f aca="false">IFERROR(INDEX('Teacher Lookup'!$B$2:$B$200,MATCH(A8726,'Teacher Lookup'!$A$2:$A$200,0)),"")</f>
        <v>TAM Rachel</v>
      </c>
    </row>
    <row r="8727" customFormat="false" ht="15" hidden="false" customHeight="false" outlineLevel="0" collapsed="false">
      <c r="A8727" s="3" t="s">
        <v>499</v>
      </c>
      <c r="B8727" s="4" t="s">
        <v>66</v>
      </c>
      <c r="C8727" s="4" t="n">
        <v>6</v>
      </c>
      <c r="D8727" s="4" t="s">
        <v>102</v>
      </c>
      <c r="E8727" s="3" t="s">
        <v>448</v>
      </c>
      <c r="F8727" s="4" t="str">
        <f aca="false">IF(I8727&gt;J8727,"Y","N")</f>
        <v>N</v>
      </c>
      <c r="G8727" s="3" t="s">
        <v>72</v>
      </c>
      <c r="H8727" s="3" t="s">
        <v>42</v>
      </c>
      <c r="I8727" s="4" t="n">
        <v>3</v>
      </c>
      <c r="J8727" s="4" t="n">
        <f aca="false">LEN(E8727)-LEN(SUBSTITUTE(E8727,",",""))+1</f>
        <v>3</v>
      </c>
      <c r="K8727" s="3" t="str">
        <f aca="false">IFERROR(INDEX('Teacher Lookup'!$B$2:$B$200,MATCH(A8727,'Teacher Lookup'!$A$2:$A$200,0)),"")</f>
        <v>TAM Rachel</v>
      </c>
    </row>
    <row r="8728" customFormat="false" ht="15" hidden="false" customHeight="false" outlineLevel="0" collapsed="false">
      <c r="A8728" s="3" t="s">
        <v>499</v>
      </c>
      <c r="B8728" s="4" t="s">
        <v>66</v>
      </c>
      <c r="C8728" s="4" t="n">
        <v>6</v>
      </c>
      <c r="D8728" s="4" t="s">
        <v>107</v>
      </c>
      <c r="E8728" s="3" t="s">
        <v>448</v>
      </c>
      <c r="F8728" s="4" t="str">
        <f aca="false">IF(I8728&gt;J8728,"Y","N")</f>
        <v>N</v>
      </c>
      <c r="G8728" s="3" t="s">
        <v>72</v>
      </c>
      <c r="H8728" s="3" t="s">
        <v>42</v>
      </c>
      <c r="I8728" s="4" t="n">
        <v>3</v>
      </c>
      <c r="J8728" s="4" t="n">
        <f aca="false">LEN(E8728)-LEN(SUBSTITUTE(E8728,",",""))+1</f>
        <v>3</v>
      </c>
      <c r="K8728" s="3" t="str">
        <f aca="false">IFERROR(INDEX('Teacher Lookup'!$B$2:$B$200,MATCH(A8728,'Teacher Lookup'!$A$2:$A$200,0)),"")</f>
        <v>TAM Rachel</v>
      </c>
    </row>
    <row r="8729" customFormat="false" ht="15" hidden="false" customHeight="false" outlineLevel="0" collapsed="false">
      <c r="A8729" s="3" t="s">
        <v>499</v>
      </c>
      <c r="B8729" s="4" t="s">
        <v>66</v>
      </c>
      <c r="C8729" s="4" t="n">
        <v>7</v>
      </c>
      <c r="D8729" s="4" t="s">
        <v>102</v>
      </c>
      <c r="E8729" s="3" t="s">
        <v>448</v>
      </c>
      <c r="F8729" s="4" t="str">
        <f aca="false">IF(I8729&gt;J8729,"Y","N")</f>
        <v>N</v>
      </c>
      <c r="G8729" s="3" t="s">
        <v>72</v>
      </c>
      <c r="H8729" s="3" t="s">
        <v>39</v>
      </c>
      <c r="I8729" s="4" t="n">
        <v>3</v>
      </c>
      <c r="J8729" s="4" t="n">
        <f aca="false">LEN(E8729)-LEN(SUBSTITUTE(E8729,",",""))+1</f>
        <v>3</v>
      </c>
      <c r="K8729" s="3" t="str">
        <f aca="false">IFERROR(INDEX('Teacher Lookup'!$B$2:$B$200,MATCH(A8729,'Teacher Lookup'!$A$2:$A$200,0)),"")</f>
        <v>TAM Rachel</v>
      </c>
    </row>
    <row r="8730" customFormat="false" ht="15" hidden="false" customHeight="false" outlineLevel="0" collapsed="false">
      <c r="A8730" s="3" t="s">
        <v>499</v>
      </c>
      <c r="B8730" s="4" t="s">
        <v>66</v>
      </c>
      <c r="C8730" s="4" t="n">
        <v>7</v>
      </c>
      <c r="D8730" s="4" t="s">
        <v>107</v>
      </c>
      <c r="E8730" s="3" t="s">
        <v>448</v>
      </c>
      <c r="F8730" s="4" t="str">
        <f aca="false">IF(I8730&gt;J8730,"Y","N")</f>
        <v>N</v>
      </c>
      <c r="G8730" s="3" t="s">
        <v>72</v>
      </c>
      <c r="H8730" s="3" t="s">
        <v>39</v>
      </c>
      <c r="I8730" s="4" t="n">
        <v>3</v>
      </c>
      <c r="J8730" s="4" t="n">
        <f aca="false">LEN(E8730)-LEN(SUBSTITUTE(E8730,",",""))+1</f>
        <v>3</v>
      </c>
      <c r="K8730" s="3" t="str">
        <f aca="false">IFERROR(INDEX('Teacher Lookup'!$B$2:$B$200,MATCH(A8730,'Teacher Lookup'!$A$2:$A$200,0)),"")</f>
        <v>TAM Rachel</v>
      </c>
    </row>
    <row r="8731" customFormat="false" ht="15" hidden="false" customHeight="false" outlineLevel="0" collapsed="false">
      <c r="A8731" s="3" t="s">
        <v>500</v>
      </c>
      <c r="B8731" s="4" t="s">
        <v>12</v>
      </c>
      <c r="C8731" s="4" t="n">
        <v>1</v>
      </c>
      <c r="D8731" s="4" t="s">
        <v>13</v>
      </c>
      <c r="E8731" s="3" t="s">
        <v>14</v>
      </c>
      <c r="F8731" s="4" t="str">
        <f aca="false">IF(I8731&gt;J8731,"Y","N")</f>
        <v>N</v>
      </c>
      <c r="G8731" s="3" t="s">
        <v>15</v>
      </c>
      <c r="H8731" s="3" t="s">
        <v>16</v>
      </c>
      <c r="I8731" s="4" t="n">
        <v>4</v>
      </c>
      <c r="J8731" s="4" t="n">
        <f aca="false">LEN(E8731)-LEN(SUBSTITUTE(E8731,",",""))+1</f>
        <v>4</v>
      </c>
      <c r="K8731" s="3" t="str">
        <f aca="false">IFERROR(INDEX('Teacher Lookup'!$B$2:$B$200,MATCH(A8731,'Teacher Lookup'!$A$2:$A$200,0)),"")</f>
        <v>YEUNG Ricky</v>
      </c>
    </row>
    <row r="8732" customFormat="false" ht="15" hidden="false" customHeight="false" outlineLevel="0" collapsed="false">
      <c r="A8732" s="3" t="s">
        <v>500</v>
      </c>
      <c r="B8732" s="4" t="s">
        <v>12</v>
      </c>
      <c r="C8732" s="4" t="n">
        <v>1</v>
      </c>
      <c r="D8732" s="4" t="s">
        <v>17</v>
      </c>
      <c r="E8732" s="3" t="s">
        <v>14</v>
      </c>
      <c r="F8732" s="4" t="str">
        <f aca="false">IF(I8732&gt;J8732,"Y","N")</f>
        <v>N</v>
      </c>
      <c r="G8732" s="3" t="s">
        <v>15</v>
      </c>
      <c r="H8732" s="3" t="s">
        <v>16</v>
      </c>
      <c r="I8732" s="4" t="n">
        <v>4</v>
      </c>
      <c r="J8732" s="4" t="n">
        <f aca="false">LEN(E8732)-LEN(SUBSTITUTE(E8732,",",""))+1</f>
        <v>4</v>
      </c>
      <c r="K8732" s="3" t="str">
        <f aca="false">IFERROR(INDEX('Teacher Lookup'!$B$2:$B$200,MATCH(A8732,'Teacher Lookup'!$A$2:$A$200,0)),"")</f>
        <v>YEUNG Ricky</v>
      </c>
    </row>
    <row r="8733" customFormat="false" ht="15" hidden="false" customHeight="false" outlineLevel="0" collapsed="false">
      <c r="A8733" s="3" t="s">
        <v>500</v>
      </c>
      <c r="B8733" s="4" t="s">
        <v>12</v>
      </c>
      <c r="C8733" s="4" t="n">
        <v>1</v>
      </c>
      <c r="D8733" s="4" t="s">
        <v>18</v>
      </c>
      <c r="E8733" s="3" t="s">
        <v>14</v>
      </c>
      <c r="F8733" s="4" t="str">
        <f aca="false">IF(I8733&gt;J8733,"Y","N")</f>
        <v>N</v>
      </c>
      <c r="G8733" s="3" t="s">
        <v>15</v>
      </c>
      <c r="H8733" s="3" t="s">
        <v>16</v>
      </c>
      <c r="I8733" s="4" t="n">
        <v>4</v>
      </c>
      <c r="J8733" s="4" t="n">
        <f aca="false">LEN(E8733)-LEN(SUBSTITUTE(E8733,",",""))+1</f>
        <v>4</v>
      </c>
      <c r="K8733" s="3" t="str">
        <f aca="false">IFERROR(INDEX('Teacher Lookup'!$B$2:$B$200,MATCH(A8733,'Teacher Lookup'!$A$2:$A$200,0)),"")</f>
        <v>YEUNG Ricky</v>
      </c>
    </row>
    <row r="8734" customFormat="false" ht="15" hidden="false" customHeight="false" outlineLevel="0" collapsed="false">
      <c r="A8734" s="3" t="s">
        <v>500</v>
      </c>
      <c r="B8734" s="4" t="s">
        <v>12</v>
      </c>
      <c r="C8734" s="4" t="n">
        <v>2</v>
      </c>
      <c r="D8734" s="4" t="s">
        <v>19</v>
      </c>
      <c r="E8734" s="3" t="s">
        <v>20</v>
      </c>
      <c r="F8734" s="4" t="str">
        <f aca="false">IF(I8734&gt;J8734,"Y","N")</f>
        <v>N</v>
      </c>
      <c r="G8734" s="3" t="s">
        <v>15</v>
      </c>
      <c r="H8734" s="3" t="s">
        <v>21</v>
      </c>
      <c r="I8734" s="4" t="n">
        <v>4</v>
      </c>
      <c r="J8734" s="4" t="n">
        <f aca="false">LEN(E8734)-LEN(SUBSTITUTE(E8734,",",""))+1</f>
        <v>4</v>
      </c>
      <c r="K8734" s="3" t="str">
        <f aca="false">IFERROR(INDEX('Teacher Lookup'!$B$2:$B$200,MATCH(A8734,'Teacher Lookup'!$A$2:$A$200,0)),"")</f>
        <v>YEUNG Ricky</v>
      </c>
    </row>
    <row r="8735" customFormat="false" ht="15" hidden="false" customHeight="false" outlineLevel="0" collapsed="false">
      <c r="A8735" s="3" t="s">
        <v>500</v>
      </c>
      <c r="B8735" s="4" t="s">
        <v>12</v>
      </c>
      <c r="C8735" s="4" t="n">
        <v>2</v>
      </c>
      <c r="D8735" s="4" t="s">
        <v>22</v>
      </c>
      <c r="E8735" s="3" t="s">
        <v>20</v>
      </c>
      <c r="F8735" s="4" t="str">
        <f aca="false">IF(I8735&gt;J8735,"Y","N")</f>
        <v>N</v>
      </c>
      <c r="G8735" s="3" t="s">
        <v>15</v>
      </c>
      <c r="H8735" s="3" t="s">
        <v>21</v>
      </c>
      <c r="I8735" s="4" t="n">
        <v>4</v>
      </c>
      <c r="J8735" s="4" t="n">
        <f aca="false">LEN(E8735)-LEN(SUBSTITUTE(E8735,",",""))+1</f>
        <v>4</v>
      </c>
      <c r="K8735" s="3" t="str">
        <f aca="false">IFERROR(INDEX('Teacher Lookup'!$B$2:$B$200,MATCH(A8735,'Teacher Lookup'!$A$2:$A$200,0)),"")</f>
        <v>YEUNG Ricky</v>
      </c>
    </row>
    <row r="8736" customFormat="false" ht="15" hidden="false" customHeight="false" outlineLevel="0" collapsed="false">
      <c r="A8736" s="3" t="s">
        <v>500</v>
      </c>
      <c r="B8736" s="4" t="s">
        <v>12</v>
      </c>
      <c r="C8736" s="4" t="n">
        <v>2</v>
      </c>
      <c r="D8736" s="4" t="s">
        <v>23</v>
      </c>
      <c r="E8736" s="3" t="s">
        <v>20</v>
      </c>
      <c r="F8736" s="4" t="str">
        <f aca="false">IF(I8736&gt;J8736,"Y","N")</f>
        <v>N</v>
      </c>
      <c r="G8736" s="3" t="s">
        <v>15</v>
      </c>
      <c r="H8736" s="3" t="s">
        <v>21</v>
      </c>
      <c r="I8736" s="4" t="n">
        <v>4</v>
      </c>
      <c r="J8736" s="4" t="n">
        <f aca="false">LEN(E8736)-LEN(SUBSTITUTE(E8736,",",""))+1</f>
        <v>4</v>
      </c>
      <c r="K8736" s="3" t="str">
        <f aca="false">IFERROR(INDEX('Teacher Lookup'!$B$2:$B$200,MATCH(A8736,'Teacher Lookup'!$A$2:$A$200,0)),"")</f>
        <v>YEUNG Ricky</v>
      </c>
    </row>
    <row r="8737" customFormat="false" ht="15" hidden="false" customHeight="false" outlineLevel="0" collapsed="false">
      <c r="A8737" s="3" t="s">
        <v>500</v>
      </c>
      <c r="B8737" s="4" t="s">
        <v>12</v>
      </c>
      <c r="C8737" s="4" t="n">
        <v>3</v>
      </c>
      <c r="D8737" s="4" t="s">
        <v>24</v>
      </c>
      <c r="E8737" s="3" t="s">
        <v>25</v>
      </c>
      <c r="F8737" s="4" t="str">
        <f aca="false">IF(I8737&gt;J8737,"Y","N")</f>
        <v>N</v>
      </c>
      <c r="G8737" s="3" t="s">
        <v>15</v>
      </c>
      <c r="H8737" s="3" t="s">
        <v>26</v>
      </c>
      <c r="I8737" s="4" t="n">
        <v>6</v>
      </c>
      <c r="J8737" s="4" t="n">
        <f aca="false">LEN(E8737)-LEN(SUBSTITUTE(E8737,",",""))+1</f>
        <v>6</v>
      </c>
      <c r="K8737" s="3" t="str">
        <f aca="false">IFERROR(INDEX('Teacher Lookup'!$B$2:$B$200,MATCH(A8737,'Teacher Lookup'!$A$2:$A$200,0)),"")</f>
        <v>YEUNG Ricky</v>
      </c>
    </row>
    <row r="8738" customFormat="false" ht="15" hidden="false" customHeight="false" outlineLevel="0" collapsed="false">
      <c r="A8738" s="3" t="s">
        <v>500</v>
      </c>
      <c r="B8738" s="4" t="s">
        <v>12</v>
      </c>
      <c r="C8738" s="4" t="n">
        <v>3</v>
      </c>
      <c r="D8738" s="4" t="s">
        <v>27</v>
      </c>
      <c r="E8738" s="3" t="s">
        <v>25</v>
      </c>
      <c r="F8738" s="4" t="str">
        <f aca="false">IF(I8738&gt;J8738,"Y","N")</f>
        <v>N</v>
      </c>
      <c r="G8738" s="3" t="s">
        <v>15</v>
      </c>
      <c r="H8738" s="3" t="s">
        <v>26</v>
      </c>
      <c r="I8738" s="4" t="n">
        <v>6</v>
      </c>
      <c r="J8738" s="4" t="n">
        <f aca="false">LEN(E8738)-LEN(SUBSTITUTE(E8738,",",""))+1</f>
        <v>6</v>
      </c>
      <c r="K8738" s="3" t="str">
        <f aca="false">IFERROR(INDEX('Teacher Lookup'!$B$2:$B$200,MATCH(A8738,'Teacher Lookup'!$A$2:$A$200,0)),"")</f>
        <v>YEUNG Ricky</v>
      </c>
    </row>
    <row r="8739" customFormat="false" ht="15" hidden="false" customHeight="false" outlineLevel="0" collapsed="false">
      <c r="A8739" s="3" t="s">
        <v>500</v>
      </c>
      <c r="B8739" s="4" t="s">
        <v>12</v>
      </c>
      <c r="C8739" s="4" t="n">
        <v>3</v>
      </c>
      <c r="D8739" s="4" t="s">
        <v>28</v>
      </c>
      <c r="E8739" s="3" t="s">
        <v>25</v>
      </c>
      <c r="F8739" s="4" t="str">
        <f aca="false">IF(I8739&gt;J8739,"Y","N")</f>
        <v>N</v>
      </c>
      <c r="G8739" s="3" t="s">
        <v>15</v>
      </c>
      <c r="H8739" s="3" t="s">
        <v>26</v>
      </c>
      <c r="I8739" s="4" t="n">
        <v>6</v>
      </c>
      <c r="J8739" s="4" t="n">
        <f aca="false">LEN(E8739)-LEN(SUBSTITUTE(E8739,",",""))+1</f>
        <v>6</v>
      </c>
      <c r="K8739" s="3" t="str">
        <f aca="false">IFERROR(INDEX('Teacher Lookup'!$B$2:$B$200,MATCH(A8739,'Teacher Lookup'!$A$2:$A$200,0)),"")</f>
        <v>YEUNG Ricky</v>
      </c>
    </row>
    <row r="8740" customFormat="false" ht="15" hidden="false" customHeight="false" outlineLevel="0" collapsed="false">
      <c r="A8740" s="3" t="s">
        <v>500</v>
      </c>
      <c r="B8740" s="4" t="s">
        <v>12</v>
      </c>
      <c r="C8740" s="4" t="n">
        <v>3</v>
      </c>
      <c r="D8740" s="4" t="s">
        <v>29</v>
      </c>
      <c r="E8740" s="3" t="s">
        <v>25</v>
      </c>
      <c r="F8740" s="4" t="str">
        <f aca="false">IF(I8740&gt;J8740,"Y","N")</f>
        <v>N</v>
      </c>
      <c r="G8740" s="3" t="s">
        <v>15</v>
      </c>
      <c r="H8740" s="3" t="s">
        <v>26</v>
      </c>
      <c r="I8740" s="4" t="n">
        <v>6</v>
      </c>
      <c r="J8740" s="4" t="n">
        <f aca="false">LEN(E8740)-LEN(SUBSTITUTE(E8740,",",""))+1</f>
        <v>6</v>
      </c>
      <c r="K8740" s="3" t="str">
        <f aca="false">IFERROR(INDEX('Teacher Lookup'!$B$2:$B$200,MATCH(A8740,'Teacher Lookup'!$A$2:$A$200,0)),"")</f>
        <v>YEUNG Ricky</v>
      </c>
    </row>
    <row r="8741" customFormat="false" ht="15" hidden="false" customHeight="false" outlineLevel="0" collapsed="false">
      <c r="A8741" s="3" t="s">
        <v>500</v>
      </c>
      <c r="B8741" s="4" t="s">
        <v>12</v>
      </c>
      <c r="C8741" s="4" t="n">
        <v>3</v>
      </c>
      <c r="D8741" s="4" t="s">
        <v>30</v>
      </c>
      <c r="E8741" s="3" t="s">
        <v>25</v>
      </c>
      <c r="F8741" s="4" t="str">
        <f aca="false">IF(I8741&gt;J8741,"Y","N")</f>
        <v>N</v>
      </c>
      <c r="G8741" s="3" t="s">
        <v>15</v>
      </c>
      <c r="H8741" s="3" t="s">
        <v>26</v>
      </c>
      <c r="I8741" s="4" t="n">
        <v>6</v>
      </c>
      <c r="J8741" s="4" t="n">
        <f aca="false">LEN(E8741)-LEN(SUBSTITUTE(E8741,",",""))+1</f>
        <v>6</v>
      </c>
      <c r="K8741" s="3" t="str">
        <f aca="false">IFERROR(INDEX('Teacher Lookup'!$B$2:$B$200,MATCH(A8741,'Teacher Lookup'!$A$2:$A$200,0)),"")</f>
        <v>YEUNG Ricky</v>
      </c>
    </row>
    <row r="8742" customFormat="false" ht="15" hidden="false" customHeight="false" outlineLevel="0" collapsed="false">
      <c r="A8742" s="3" t="s">
        <v>500</v>
      </c>
      <c r="B8742" s="4" t="s">
        <v>12</v>
      </c>
      <c r="C8742" s="4" t="n">
        <v>6</v>
      </c>
      <c r="D8742" s="4" t="s">
        <v>52</v>
      </c>
      <c r="E8742" s="3" t="s">
        <v>357</v>
      </c>
      <c r="F8742" s="4" t="str">
        <f aca="false">IF(I8742&gt;J8742,"Y","N")</f>
        <v>Y</v>
      </c>
      <c r="G8742" s="3" t="s">
        <v>358</v>
      </c>
      <c r="H8742" s="3" t="s">
        <v>42</v>
      </c>
      <c r="I8742" s="4" t="n">
        <v>9</v>
      </c>
      <c r="J8742" s="4" t="n">
        <f aca="false">LEN(E8742)-LEN(SUBSTITUTE(E8742,",",""))+1</f>
        <v>8</v>
      </c>
      <c r="K8742" s="3" t="str">
        <f aca="false">IFERROR(INDEX('Teacher Lookup'!$B$2:$B$200,MATCH(A8742,'Teacher Lookup'!$A$2:$A$200,0)),"")</f>
        <v>YEUNG Ricky</v>
      </c>
    </row>
    <row r="8743" customFormat="false" ht="15" hidden="false" customHeight="false" outlineLevel="0" collapsed="false">
      <c r="A8743" s="3" t="s">
        <v>500</v>
      </c>
      <c r="B8743" s="4" t="s">
        <v>12</v>
      </c>
      <c r="C8743" s="4" t="n">
        <v>6</v>
      </c>
      <c r="D8743" s="4" t="s">
        <v>55</v>
      </c>
      <c r="E8743" s="3" t="s">
        <v>357</v>
      </c>
      <c r="F8743" s="4" t="str">
        <f aca="false">IF(I8743&gt;J8743,"Y","N")</f>
        <v>Y</v>
      </c>
      <c r="G8743" s="3" t="s">
        <v>358</v>
      </c>
      <c r="H8743" s="3" t="s">
        <v>42</v>
      </c>
      <c r="I8743" s="4" t="n">
        <v>9</v>
      </c>
      <c r="J8743" s="4" t="n">
        <f aca="false">LEN(E8743)-LEN(SUBSTITUTE(E8743,",",""))+1</f>
        <v>8</v>
      </c>
      <c r="K8743" s="3" t="str">
        <f aca="false">IFERROR(INDEX('Teacher Lookup'!$B$2:$B$200,MATCH(A8743,'Teacher Lookup'!$A$2:$A$200,0)),"")</f>
        <v>YEUNG Ricky</v>
      </c>
    </row>
    <row r="8744" customFormat="false" ht="15" hidden="false" customHeight="false" outlineLevel="0" collapsed="false">
      <c r="A8744" s="3" t="s">
        <v>500</v>
      </c>
      <c r="B8744" s="4" t="s">
        <v>12</v>
      </c>
      <c r="C8744" s="4" t="n">
        <v>6</v>
      </c>
      <c r="D8744" s="4" t="s">
        <v>56</v>
      </c>
      <c r="E8744" s="3" t="s">
        <v>357</v>
      </c>
      <c r="F8744" s="4" t="str">
        <f aca="false">IF(I8744&gt;J8744,"Y","N")</f>
        <v>Y</v>
      </c>
      <c r="G8744" s="3" t="s">
        <v>358</v>
      </c>
      <c r="H8744" s="3" t="s">
        <v>42</v>
      </c>
      <c r="I8744" s="4" t="n">
        <v>9</v>
      </c>
      <c r="J8744" s="4" t="n">
        <f aca="false">LEN(E8744)-LEN(SUBSTITUTE(E8744,",",""))+1</f>
        <v>8</v>
      </c>
      <c r="K8744" s="3" t="str">
        <f aca="false">IFERROR(INDEX('Teacher Lookup'!$B$2:$B$200,MATCH(A8744,'Teacher Lookup'!$A$2:$A$200,0)),"")</f>
        <v>YEUNG Ricky</v>
      </c>
    </row>
    <row r="8745" customFormat="false" ht="15" hidden="false" customHeight="false" outlineLevel="0" collapsed="false">
      <c r="A8745" s="3" t="s">
        <v>500</v>
      </c>
      <c r="B8745" s="4" t="s">
        <v>12</v>
      </c>
      <c r="C8745" s="4" t="n">
        <v>6</v>
      </c>
      <c r="D8745" s="4" t="s">
        <v>57</v>
      </c>
      <c r="E8745" s="3" t="s">
        <v>357</v>
      </c>
      <c r="F8745" s="4" t="str">
        <f aca="false">IF(I8745&gt;J8745,"Y","N")</f>
        <v>Y</v>
      </c>
      <c r="G8745" s="3" t="s">
        <v>358</v>
      </c>
      <c r="H8745" s="3" t="s">
        <v>42</v>
      </c>
      <c r="I8745" s="4" t="n">
        <v>9</v>
      </c>
      <c r="J8745" s="4" t="n">
        <f aca="false">LEN(E8745)-LEN(SUBSTITUTE(E8745,",",""))+1</f>
        <v>8</v>
      </c>
      <c r="K8745" s="3" t="str">
        <f aca="false">IFERROR(INDEX('Teacher Lookup'!$B$2:$B$200,MATCH(A8745,'Teacher Lookup'!$A$2:$A$200,0)),"")</f>
        <v>YEUNG Ricky</v>
      </c>
    </row>
    <row r="8746" customFormat="false" ht="15" hidden="false" customHeight="false" outlineLevel="0" collapsed="false">
      <c r="A8746" s="3" t="s">
        <v>500</v>
      </c>
      <c r="B8746" s="4" t="s">
        <v>12</v>
      </c>
      <c r="C8746" s="4" t="n">
        <v>6</v>
      </c>
      <c r="D8746" s="4" t="s">
        <v>58</v>
      </c>
      <c r="E8746" s="3" t="s">
        <v>357</v>
      </c>
      <c r="F8746" s="4" t="str">
        <f aca="false">IF(I8746&gt;J8746,"Y","N")</f>
        <v>Y</v>
      </c>
      <c r="G8746" s="3" t="s">
        <v>358</v>
      </c>
      <c r="H8746" s="3" t="s">
        <v>42</v>
      </c>
      <c r="I8746" s="4" t="n">
        <v>9</v>
      </c>
      <c r="J8746" s="4" t="n">
        <f aca="false">LEN(E8746)-LEN(SUBSTITUTE(E8746,",",""))+1</f>
        <v>8</v>
      </c>
      <c r="K8746" s="3" t="str">
        <f aca="false">IFERROR(INDEX('Teacher Lookup'!$B$2:$B$200,MATCH(A8746,'Teacher Lookup'!$A$2:$A$200,0)),"")</f>
        <v>YEUNG Ricky</v>
      </c>
    </row>
    <row r="8747" customFormat="false" ht="15" hidden="false" customHeight="false" outlineLevel="0" collapsed="false">
      <c r="A8747" s="3" t="s">
        <v>500</v>
      </c>
      <c r="B8747" s="4" t="s">
        <v>12</v>
      </c>
      <c r="C8747" s="4" t="n">
        <v>6</v>
      </c>
      <c r="D8747" s="4" t="s">
        <v>59</v>
      </c>
      <c r="E8747" s="3" t="s">
        <v>357</v>
      </c>
      <c r="F8747" s="4" t="str">
        <f aca="false">IF(I8747&gt;J8747,"Y","N")</f>
        <v>Y</v>
      </c>
      <c r="G8747" s="3" t="s">
        <v>358</v>
      </c>
      <c r="H8747" s="3" t="s">
        <v>42</v>
      </c>
      <c r="I8747" s="4" t="n">
        <v>9</v>
      </c>
      <c r="J8747" s="4" t="n">
        <f aca="false">LEN(E8747)-LEN(SUBSTITUTE(E8747,",",""))+1</f>
        <v>8</v>
      </c>
      <c r="K8747" s="3" t="str">
        <f aca="false">IFERROR(INDEX('Teacher Lookup'!$B$2:$B$200,MATCH(A8747,'Teacher Lookup'!$A$2:$A$200,0)),"")</f>
        <v>YEUNG Ricky</v>
      </c>
    </row>
    <row r="8748" customFormat="false" ht="15" hidden="false" customHeight="false" outlineLevel="0" collapsed="false">
      <c r="A8748" s="3" t="s">
        <v>500</v>
      </c>
      <c r="B8748" s="4" t="s">
        <v>12</v>
      </c>
      <c r="C8748" s="4" t="n">
        <v>7</v>
      </c>
      <c r="D8748" s="4" t="s">
        <v>52</v>
      </c>
      <c r="E8748" s="3" t="s">
        <v>357</v>
      </c>
      <c r="F8748" s="4" t="str">
        <f aca="false">IF(I8748&gt;J8748,"Y","N")</f>
        <v>Y</v>
      </c>
      <c r="G8748" s="3" t="s">
        <v>358</v>
      </c>
      <c r="H8748" s="3" t="s">
        <v>39</v>
      </c>
      <c r="I8748" s="4" t="n">
        <v>9</v>
      </c>
      <c r="J8748" s="4" t="n">
        <f aca="false">LEN(E8748)-LEN(SUBSTITUTE(E8748,",",""))+1</f>
        <v>8</v>
      </c>
      <c r="K8748" s="3" t="str">
        <f aca="false">IFERROR(INDEX('Teacher Lookup'!$B$2:$B$200,MATCH(A8748,'Teacher Lookup'!$A$2:$A$200,0)),"")</f>
        <v>YEUNG Ricky</v>
      </c>
    </row>
    <row r="8749" customFormat="false" ht="15" hidden="false" customHeight="false" outlineLevel="0" collapsed="false">
      <c r="A8749" s="3" t="s">
        <v>500</v>
      </c>
      <c r="B8749" s="4" t="s">
        <v>12</v>
      </c>
      <c r="C8749" s="4" t="n">
        <v>7</v>
      </c>
      <c r="D8749" s="4" t="s">
        <v>55</v>
      </c>
      <c r="E8749" s="3" t="s">
        <v>357</v>
      </c>
      <c r="F8749" s="4" t="str">
        <f aca="false">IF(I8749&gt;J8749,"Y","N")</f>
        <v>Y</v>
      </c>
      <c r="G8749" s="3" t="s">
        <v>358</v>
      </c>
      <c r="H8749" s="3" t="s">
        <v>39</v>
      </c>
      <c r="I8749" s="4" t="n">
        <v>9</v>
      </c>
      <c r="J8749" s="4" t="n">
        <f aca="false">LEN(E8749)-LEN(SUBSTITUTE(E8749,",",""))+1</f>
        <v>8</v>
      </c>
      <c r="K8749" s="3" t="str">
        <f aca="false">IFERROR(INDEX('Teacher Lookup'!$B$2:$B$200,MATCH(A8749,'Teacher Lookup'!$A$2:$A$200,0)),"")</f>
        <v>YEUNG Ricky</v>
      </c>
    </row>
    <row r="8750" customFormat="false" ht="15" hidden="false" customHeight="false" outlineLevel="0" collapsed="false">
      <c r="A8750" s="3" t="s">
        <v>500</v>
      </c>
      <c r="B8750" s="4" t="s">
        <v>12</v>
      </c>
      <c r="C8750" s="4" t="n">
        <v>7</v>
      </c>
      <c r="D8750" s="4" t="s">
        <v>56</v>
      </c>
      <c r="E8750" s="3" t="s">
        <v>357</v>
      </c>
      <c r="F8750" s="4" t="str">
        <f aca="false">IF(I8750&gt;J8750,"Y","N")</f>
        <v>Y</v>
      </c>
      <c r="G8750" s="3" t="s">
        <v>358</v>
      </c>
      <c r="H8750" s="3" t="s">
        <v>39</v>
      </c>
      <c r="I8750" s="4" t="n">
        <v>9</v>
      </c>
      <c r="J8750" s="4" t="n">
        <f aca="false">LEN(E8750)-LEN(SUBSTITUTE(E8750,",",""))+1</f>
        <v>8</v>
      </c>
      <c r="K8750" s="3" t="str">
        <f aca="false">IFERROR(INDEX('Teacher Lookup'!$B$2:$B$200,MATCH(A8750,'Teacher Lookup'!$A$2:$A$200,0)),"")</f>
        <v>YEUNG Ricky</v>
      </c>
    </row>
    <row r="8751" customFormat="false" ht="15" hidden="false" customHeight="false" outlineLevel="0" collapsed="false">
      <c r="A8751" s="3" t="s">
        <v>500</v>
      </c>
      <c r="B8751" s="4" t="s">
        <v>12</v>
      </c>
      <c r="C8751" s="4" t="n">
        <v>7</v>
      </c>
      <c r="D8751" s="4" t="s">
        <v>57</v>
      </c>
      <c r="E8751" s="3" t="s">
        <v>357</v>
      </c>
      <c r="F8751" s="4" t="str">
        <f aca="false">IF(I8751&gt;J8751,"Y","N")</f>
        <v>Y</v>
      </c>
      <c r="G8751" s="3" t="s">
        <v>358</v>
      </c>
      <c r="H8751" s="3" t="s">
        <v>39</v>
      </c>
      <c r="I8751" s="4" t="n">
        <v>9</v>
      </c>
      <c r="J8751" s="4" t="n">
        <f aca="false">LEN(E8751)-LEN(SUBSTITUTE(E8751,",",""))+1</f>
        <v>8</v>
      </c>
      <c r="K8751" s="3" t="str">
        <f aca="false">IFERROR(INDEX('Teacher Lookup'!$B$2:$B$200,MATCH(A8751,'Teacher Lookup'!$A$2:$A$200,0)),"")</f>
        <v>YEUNG Ricky</v>
      </c>
    </row>
    <row r="8752" customFormat="false" ht="15" hidden="false" customHeight="false" outlineLevel="0" collapsed="false">
      <c r="A8752" s="3" t="s">
        <v>500</v>
      </c>
      <c r="B8752" s="4" t="s">
        <v>12</v>
      </c>
      <c r="C8752" s="4" t="n">
        <v>7</v>
      </c>
      <c r="D8752" s="4" t="s">
        <v>58</v>
      </c>
      <c r="E8752" s="3" t="s">
        <v>357</v>
      </c>
      <c r="F8752" s="4" t="str">
        <f aca="false">IF(I8752&gt;J8752,"Y","N")</f>
        <v>Y</v>
      </c>
      <c r="G8752" s="3" t="s">
        <v>358</v>
      </c>
      <c r="H8752" s="3" t="s">
        <v>39</v>
      </c>
      <c r="I8752" s="4" t="n">
        <v>9</v>
      </c>
      <c r="J8752" s="4" t="n">
        <f aca="false">LEN(E8752)-LEN(SUBSTITUTE(E8752,",",""))+1</f>
        <v>8</v>
      </c>
      <c r="K8752" s="3" t="str">
        <f aca="false">IFERROR(INDEX('Teacher Lookup'!$B$2:$B$200,MATCH(A8752,'Teacher Lookup'!$A$2:$A$200,0)),"")</f>
        <v>YEUNG Ricky</v>
      </c>
    </row>
    <row r="8753" customFormat="false" ht="15" hidden="false" customHeight="false" outlineLevel="0" collapsed="false">
      <c r="A8753" s="3" t="s">
        <v>500</v>
      </c>
      <c r="B8753" s="4" t="s">
        <v>12</v>
      </c>
      <c r="C8753" s="4" t="n">
        <v>7</v>
      </c>
      <c r="D8753" s="4" t="s">
        <v>59</v>
      </c>
      <c r="E8753" s="3" t="s">
        <v>357</v>
      </c>
      <c r="F8753" s="4" t="str">
        <f aca="false">IF(I8753&gt;J8753,"Y","N")</f>
        <v>Y</v>
      </c>
      <c r="G8753" s="3" t="s">
        <v>358</v>
      </c>
      <c r="H8753" s="3" t="s">
        <v>39</v>
      </c>
      <c r="I8753" s="4" t="n">
        <v>9</v>
      </c>
      <c r="J8753" s="4" t="n">
        <f aca="false">LEN(E8753)-LEN(SUBSTITUTE(E8753,",",""))+1</f>
        <v>8</v>
      </c>
      <c r="K8753" s="3" t="str">
        <f aca="false">IFERROR(INDEX('Teacher Lookup'!$B$2:$B$200,MATCH(A8753,'Teacher Lookup'!$A$2:$A$200,0)),"")</f>
        <v>YEUNG Ricky</v>
      </c>
    </row>
    <row r="8754" customFormat="false" ht="15" hidden="false" customHeight="false" outlineLevel="0" collapsed="false">
      <c r="A8754" s="3" t="s">
        <v>500</v>
      </c>
      <c r="B8754" s="4" t="s">
        <v>31</v>
      </c>
      <c r="C8754" s="4" t="n">
        <v>3</v>
      </c>
      <c r="D8754" s="4" t="s">
        <v>13</v>
      </c>
      <c r="E8754" s="3" t="s">
        <v>32</v>
      </c>
      <c r="F8754" s="4" t="str">
        <f aca="false">IF(I8754&gt;J8754,"Y","N")</f>
        <v>N</v>
      </c>
      <c r="G8754" s="3" t="s">
        <v>15</v>
      </c>
      <c r="H8754" s="3" t="s">
        <v>26</v>
      </c>
      <c r="I8754" s="4" t="n">
        <v>4</v>
      </c>
      <c r="J8754" s="4" t="n">
        <f aca="false">LEN(E8754)-LEN(SUBSTITUTE(E8754,",",""))+1</f>
        <v>4</v>
      </c>
      <c r="K8754" s="3" t="str">
        <f aca="false">IFERROR(INDEX('Teacher Lookup'!$B$2:$B$200,MATCH(A8754,'Teacher Lookup'!$A$2:$A$200,0)),"")</f>
        <v>YEUNG Ricky</v>
      </c>
    </row>
    <row r="8755" customFormat="false" ht="15" hidden="false" customHeight="false" outlineLevel="0" collapsed="false">
      <c r="A8755" s="3" t="s">
        <v>500</v>
      </c>
      <c r="B8755" s="4" t="s">
        <v>31</v>
      </c>
      <c r="C8755" s="4" t="n">
        <v>3</v>
      </c>
      <c r="D8755" s="4" t="s">
        <v>17</v>
      </c>
      <c r="E8755" s="3" t="s">
        <v>32</v>
      </c>
      <c r="F8755" s="4" t="str">
        <f aca="false">IF(I8755&gt;J8755,"Y","N")</f>
        <v>N</v>
      </c>
      <c r="G8755" s="3" t="s">
        <v>15</v>
      </c>
      <c r="H8755" s="3" t="s">
        <v>26</v>
      </c>
      <c r="I8755" s="4" t="n">
        <v>4</v>
      </c>
      <c r="J8755" s="4" t="n">
        <f aca="false">LEN(E8755)-LEN(SUBSTITUTE(E8755,",",""))+1</f>
        <v>4</v>
      </c>
      <c r="K8755" s="3" t="str">
        <f aca="false">IFERROR(INDEX('Teacher Lookup'!$B$2:$B$200,MATCH(A8755,'Teacher Lookup'!$A$2:$A$200,0)),"")</f>
        <v>YEUNG Ricky</v>
      </c>
    </row>
    <row r="8756" customFormat="false" ht="15" hidden="false" customHeight="false" outlineLevel="0" collapsed="false">
      <c r="A8756" s="3" t="s">
        <v>500</v>
      </c>
      <c r="B8756" s="4" t="s">
        <v>31</v>
      </c>
      <c r="C8756" s="4" t="n">
        <v>3</v>
      </c>
      <c r="D8756" s="4" t="s">
        <v>18</v>
      </c>
      <c r="E8756" s="3" t="s">
        <v>32</v>
      </c>
      <c r="F8756" s="4" t="str">
        <f aca="false">IF(I8756&gt;J8756,"Y","N")</f>
        <v>N</v>
      </c>
      <c r="G8756" s="3" t="s">
        <v>15</v>
      </c>
      <c r="H8756" s="3" t="s">
        <v>26</v>
      </c>
      <c r="I8756" s="4" t="n">
        <v>4</v>
      </c>
      <c r="J8756" s="4" t="n">
        <f aca="false">LEN(E8756)-LEN(SUBSTITUTE(E8756,",",""))+1</f>
        <v>4</v>
      </c>
      <c r="K8756" s="3" t="str">
        <f aca="false">IFERROR(INDEX('Teacher Lookup'!$B$2:$B$200,MATCH(A8756,'Teacher Lookup'!$A$2:$A$200,0)),"")</f>
        <v>YEUNG Ricky</v>
      </c>
    </row>
    <row r="8757" customFormat="false" ht="15" hidden="false" customHeight="false" outlineLevel="0" collapsed="false">
      <c r="A8757" s="3" t="s">
        <v>500</v>
      </c>
      <c r="B8757" s="4" t="s">
        <v>31</v>
      </c>
      <c r="C8757" s="4" t="n">
        <v>4</v>
      </c>
      <c r="D8757" s="4" t="s">
        <v>19</v>
      </c>
      <c r="E8757" s="3" t="s">
        <v>33</v>
      </c>
      <c r="F8757" s="4" t="str">
        <f aca="false">IF(I8757&gt;J8757,"Y","N")</f>
        <v>N</v>
      </c>
      <c r="G8757" s="3" t="s">
        <v>15</v>
      </c>
      <c r="H8757" s="3" t="s">
        <v>34</v>
      </c>
      <c r="I8757" s="4" t="n">
        <v>4</v>
      </c>
      <c r="J8757" s="4" t="n">
        <f aca="false">LEN(E8757)-LEN(SUBSTITUTE(E8757,",",""))+1</f>
        <v>4</v>
      </c>
      <c r="K8757" s="3" t="str">
        <f aca="false">IFERROR(INDEX('Teacher Lookup'!$B$2:$B$200,MATCH(A8757,'Teacher Lookup'!$A$2:$A$200,0)),"")</f>
        <v>YEUNG Ricky</v>
      </c>
    </row>
    <row r="8758" customFormat="false" ht="15" hidden="false" customHeight="false" outlineLevel="0" collapsed="false">
      <c r="A8758" s="3" t="s">
        <v>500</v>
      </c>
      <c r="B8758" s="4" t="s">
        <v>31</v>
      </c>
      <c r="C8758" s="4" t="n">
        <v>4</v>
      </c>
      <c r="D8758" s="4" t="s">
        <v>22</v>
      </c>
      <c r="E8758" s="3" t="s">
        <v>33</v>
      </c>
      <c r="F8758" s="4" t="str">
        <f aca="false">IF(I8758&gt;J8758,"Y","N")</f>
        <v>N</v>
      </c>
      <c r="G8758" s="3" t="s">
        <v>15</v>
      </c>
      <c r="H8758" s="3" t="s">
        <v>34</v>
      </c>
      <c r="I8758" s="4" t="n">
        <v>4</v>
      </c>
      <c r="J8758" s="4" t="n">
        <f aca="false">LEN(E8758)-LEN(SUBSTITUTE(E8758,",",""))+1</f>
        <v>4</v>
      </c>
      <c r="K8758" s="3" t="str">
        <f aca="false">IFERROR(INDEX('Teacher Lookup'!$B$2:$B$200,MATCH(A8758,'Teacher Lookup'!$A$2:$A$200,0)),"")</f>
        <v>YEUNG Ricky</v>
      </c>
    </row>
    <row r="8759" customFormat="false" ht="15" hidden="false" customHeight="false" outlineLevel="0" collapsed="false">
      <c r="A8759" s="3" t="s">
        <v>500</v>
      </c>
      <c r="B8759" s="4" t="s">
        <v>31</v>
      </c>
      <c r="C8759" s="4" t="n">
        <v>4</v>
      </c>
      <c r="D8759" s="4" t="s">
        <v>23</v>
      </c>
      <c r="E8759" s="3" t="s">
        <v>33</v>
      </c>
      <c r="F8759" s="4" t="str">
        <f aca="false">IF(I8759&gt;J8759,"Y","N")</f>
        <v>N</v>
      </c>
      <c r="G8759" s="3" t="s">
        <v>15</v>
      </c>
      <c r="H8759" s="3" t="s">
        <v>34</v>
      </c>
      <c r="I8759" s="4" t="n">
        <v>4</v>
      </c>
      <c r="J8759" s="4" t="n">
        <f aca="false">LEN(E8759)-LEN(SUBSTITUTE(E8759,",",""))+1</f>
        <v>4</v>
      </c>
      <c r="K8759" s="3" t="str">
        <f aca="false">IFERROR(INDEX('Teacher Lookup'!$B$2:$B$200,MATCH(A8759,'Teacher Lookup'!$A$2:$A$200,0)),"")</f>
        <v>YEUNG Ricky</v>
      </c>
    </row>
    <row r="8760" customFormat="false" ht="15" hidden="false" customHeight="false" outlineLevel="0" collapsed="false">
      <c r="A8760" s="3" t="s">
        <v>500</v>
      </c>
      <c r="B8760" s="4" t="s">
        <v>31</v>
      </c>
      <c r="C8760" s="4" t="n">
        <v>5</v>
      </c>
      <c r="D8760" s="4" t="s">
        <v>19</v>
      </c>
      <c r="E8760" s="3" t="s">
        <v>35</v>
      </c>
      <c r="F8760" s="4" t="str">
        <f aca="false">IF(I8760&gt;J8760,"Y","N")</f>
        <v>Y</v>
      </c>
      <c r="G8760" s="3" t="s">
        <v>36</v>
      </c>
      <c r="H8760" s="3" t="s">
        <v>37</v>
      </c>
      <c r="I8760" s="4" t="n">
        <v>17</v>
      </c>
      <c r="J8760" s="4" t="n">
        <f aca="false">LEN(E8760)-LEN(SUBSTITUTE(E8760,",",""))+1</f>
        <v>7</v>
      </c>
      <c r="K8760" s="3" t="str">
        <f aca="false">IFERROR(INDEX('Teacher Lookup'!$B$2:$B$200,MATCH(A8760,'Teacher Lookup'!$A$2:$A$200,0)),"")</f>
        <v>YEUNG Ricky</v>
      </c>
    </row>
    <row r="8761" customFormat="false" ht="15" hidden="false" customHeight="false" outlineLevel="0" collapsed="false">
      <c r="A8761" s="3" t="s">
        <v>500</v>
      </c>
      <c r="B8761" s="4" t="s">
        <v>31</v>
      </c>
      <c r="C8761" s="4" t="n">
        <v>5</v>
      </c>
      <c r="D8761" s="4" t="s">
        <v>22</v>
      </c>
      <c r="E8761" s="3" t="s">
        <v>35</v>
      </c>
      <c r="F8761" s="4" t="str">
        <f aca="false">IF(I8761&gt;J8761,"Y","N")</f>
        <v>Y</v>
      </c>
      <c r="G8761" s="3" t="s">
        <v>36</v>
      </c>
      <c r="H8761" s="3" t="s">
        <v>37</v>
      </c>
      <c r="I8761" s="4" t="n">
        <v>17</v>
      </c>
      <c r="J8761" s="4" t="n">
        <f aca="false">LEN(E8761)-LEN(SUBSTITUTE(E8761,",",""))+1</f>
        <v>7</v>
      </c>
      <c r="K8761" s="3" t="str">
        <f aca="false">IFERROR(INDEX('Teacher Lookup'!$B$2:$B$200,MATCH(A8761,'Teacher Lookup'!$A$2:$A$200,0)),"")</f>
        <v>YEUNG Ricky</v>
      </c>
    </row>
    <row r="8762" customFormat="false" ht="15" hidden="false" customHeight="false" outlineLevel="0" collapsed="false">
      <c r="A8762" s="3" t="s">
        <v>500</v>
      </c>
      <c r="B8762" s="4" t="s">
        <v>31</v>
      </c>
      <c r="C8762" s="4" t="n">
        <v>5</v>
      </c>
      <c r="D8762" s="4" t="s">
        <v>23</v>
      </c>
      <c r="E8762" s="3" t="s">
        <v>35</v>
      </c>
      <c r="F8762" s="4" t="str">
        <f aca="false">IF(I8762&gt;J8762,"Y","N")</f>
        <v>Y</v>
      </c>
      <c r="G8762" s="3" t="s">
        <v>36</v>
      </c>
      <c r="H8762" s="3" t="s">
        <v>37</v>
      </c>
      <c r="I8762" s="4" t="n">
        <v>17</v>
      </c>
      <c r="J8762" s="4" t="n">
        <f aca="false">LEN(E8762)-LEN(SUBSTITUTE(E8762,",",""))+1</f>
        <v>7</v>
      </c>
      <c r="K8762" s="3" t="str">
        <f aca="false">IFERROR(INDEX('Teacher Lookup'!$B$2:$B$200,MATCH(A8762,'Teacher Lookup'!$A$2:$A$200,0)),"")</f>
        <v>YEUNG Ricky</v>
      </c>
    </row>
    <row r="8763" customFormat="false" ht="15" hidden="false" customHeight="false" outlineLevel="0" collapsed="false">
      <c r="A8763" s="3" t="s">
        <v>500</v>
      </c>
      <c r="B8763" s="4" t="s">
        <v>31</v>
      </c>
      <c r="C8763" s="4" t="n">
        <v>5</v>
      </c>
      <c r="D8763" s="4" t="s">
        <v>13</v>
      </c>
      <c r="E8763" s="3" t="s">
        <v>35</v>
      </c>
      <c r="F8763" s="4" t="str">
        <f aca="false">IF(I8763&gt;J8763,"Y","N")</f>
        <v>Y</v>
      </c>
      <c r="G8763" s="3" t="s">
        <v>36</v>
      </c>
      <c r="H8763" s="3" t="s">
        <v>37</v>
      </c>
      <c r="I8763" s="4" t="n">
        <v>17</v>
      </c>
      <c r="J8763" s="4" t="n">
        <f aca="false">LEN(E8763)-LEN(SUBSTITUTE(E8763,",",""))+1</f>
        <v>7</v>
      </c>
      <c r="K8763" s="3" t="str">
        <f aca="false">IFERROR(INDEX('Teacher Lookup'!$B$2:$B$200,MATCH(A8763,'Teacher Lookup'!$A$2:$A$200,0)),"")</f>
        <v>YEUNG Ricky</v>
      </c>
    </row>
    <row r="8764" customFormat="false" ht="15" hidden="false" customHeight="false" outlineLevel="0" collapsed="false">
      <c r="A8764" s="3" t="s">
        <v>500</v>
      </c>
      <c r="B8764" s="4" t="s">
        <v>31</v>
      </c>
      <c r="C8764" s="4" t="n">
        <v>5</v>
      </c>
      <c r="D8764" s="4" t="s">
        <v>17</v>
      </c>
      <c r="E8764" s="3" t="s">
        <v>35</v>
      </c>
      <c r="F8764" s="4" t="str">
        <f aca="false">IF(I8764&gt;J8764,"Y","N")</f>
        <v>Y</v>
      </c>
      <c r="G8764" s="3" t="s">
        <v>36</v>
      </c>
      <c r="H8764" s="3" t="s">
        <v>37</v>
      </c>
      <c r="I8764" s="4" t="n">
        <v>17</v>
      </c>
      <c r="J8764" s="4" t="n">
        <f aca="false">LEN(E8764)-LEN(SUBSTITUTE(E8764,",",""))+1</f>
        <v>7</v>
      </c>
      <c r="K8764" s="3" t="str">
        <f aca="false">IFERROR(INDEX('Teacher Lookup'!$B$2:$B$200,MATCH(A8764,'Teacher Lookup'!$A$2:$A$200,0)),"")</f>
        <v>YEUNG Ricky</v>
      </c>
    </row>
    <row r="8765" customFormat="false" ht="15" hidden="false" customHeight="false" outlineLevel="0" collapsed="false">
      <c r="A8765" s="3" t="s">
        <v>500</v>
      </c>
      <c r="B8765" s="4" t="s">
        <v>31</v>
      </c>
      <c r="C8765" s="4" t="n">
        <v>5</v>
      </c>
      <c r="D8765" s="4" t="s">
        <v>18</v>
      </c>
      <c r="E8765" s="3" t="s">
        <v>35</v>
      </c>
      <c r="F8765" s="4" t="str">
        <f aca="false">IF(I8765&gt;J8765,"Y","N")</f>
        <v>Y</v>
      </c>
      <c r="G8765" s="3" t="s">
        <v>36</v>
      </c>
      <c r="H8765" s="3" t="s">
        <v>37</v>
      </c>
      <c r="I8765" s="4" t="n">
        <v>17</v>
      </c>
      <c r="J8765" s="4" t="n">
        <f aca="false">LEN(E8765)-LEN(SUBSTITUTE(E8765,",",""))+1</f>
        <v>7</v>
      </c>
      <c r="K8765" s="3" t="str">
        <f aca="false">IFERROR(INDEX('Teacher Lookup'!$B$2:$B$200,MATCH(A8765,'Teacher Lookup'!$A$2:$A$200,0)),"")</f>
        <v>YEUNG Ricky</v>
      </c>
    </row>
    <row r="8766" customFormat="false" ht="15" hidden="false" customHeight="false" outlineLevel="0" collapsed="false">
      <c r="A8766" s="3" t="s">
        <v>500</v>
      </c>
      <c r="B8766" s="4" t="s">
        <v>31</v>
      </c>
      <c r="C8766" s="4" t="n">
        <v>7</v>
      </c>
      <c r="D8766" s="4" t="s">
        <v>24</v>
      </c>
      <c r="E8766" s="3" t="s">
        <v>38</v>
      </c>
      <c r="F8766" s="4" t="str">
        <f aca="false">IF(I8766&gt;J8766,"Y","N")</f>
        <v>N</v>
      </c>
      <c r="G8766" s="3" t="s">
        <v>15</v>
      </c>
      <c r="H8766" s="3" t="s">
        <v>39</v>
      </c>
      <c r="I8766" s="4" t="n">
        <v>6</v>
      </c>
      <c r="J8766" s="4" t="n">
        <f aca="false">LEN(E8766)-LEN(SUBSTITUTE(E8766,",",""))+1</f>
        <v>6</v>
      </c>
      <c r="K8766" s="3" t="str">
        <f aca="false">IFERROR(INDEX('Teacher Lookup'!$B$2:$B$200,MATCH(A8766,'Teacher Lookup'!$A$2:$A$200,0)),"")</f>
        <v>YEUNG Ricky</v>
      </c>
    </row>
    <row r="8767" customFormat="false" ht="15" hidden="false" customHeight="false" outlineLevel="0" collapsed="false">
      <c r="A8767" s="3" t="s">
        <v>500</v>
      </c>
      <c r="B8767" s="4" t="s">
        <v>31</v>
      </c>
      <c r="C8767" s="4" t="n">
        <v>7</v>
      </c>
      <c r="D8767" s="4" t="s">
        <v>27</v>
      </c>
      <c r="E8767" s="3" t="s">
        <v>38</v>
      </c>
      <c r="F8767" s="4" t="str">
        <f aca="false">IF(I8767&gt;J8767,"Y","N")</f>
        <v>N</v>
      </c>
      <c r="G8767" s="3" t="s">
        <v>15</v>
      </c>
      <c r="H8767" s="3" t="s">
        <v>39</v>
      </c>
      <c r="I8767" s="4" t="n">
        <v>6</v>
      </c>
      <c r="J8767" s="4" t="n">
        <f aca="false">LEN(E8767)-LEN(SUBSTITUTE(E8767,",",""))+1</f>
        <v>6</v>
      </c>
      <c r="K8767" s="3" t="str">
        <f aca="false">IFERROR(INDEX('Teacher Lookup'!$B$2:$B$200,MATCH(A8767,'Teacher Lookup'!$A$2:$A$200,0)),"")</f>
        <v>YEUNG Ricky</v>
      </c>
    </row>
    <row r="8768" customFormat="false" ht="15" hidden="false" customHeight="false" outlineLevel="0" collapsed="false">
      <c r="A8768" s="3" t="s">
        <v>500</v>
      </c>
      <c r="B8768" s="4" t="s">
        <v>31</v>
      </c>
      <c r="C8768" s="4" t="n">
        <v>7</v>
      </c>
      <c r="D8768" s="4" t="s">
        <v>28</v>
      </c>
      <c r="E8768" s="3" t="s">
        <v>38</v>
      </c>
      <c r="F8768" s="4" t="str">
        <f aca="false">IF(I8768&gt;J8768,"Y","N")</f>
        <v>N</v>
      </c>
      <c r="G8768" s="3" t="s">
        <v>15</v>
      </c>
      <c r="H8768" s="3" t="s">
        <v>39</v>
      </c>
      <c r="I8768" s="4" t="n">
        <v>6</v>
      </c>
      <c r="J8768" s="4" t="n">
        <f aca="false">LEN(E8768)-LEN(SUBSTITUTE(E8768,",",""))+1</f>
        <v>6</v>
      </c>
      <c r="K8768" s="3" t="str">
        <f aca="false">IFERROR(INDEX('Teacher Lookup'!$B$2:$B$200,MATCH(A8768,'Teacher Lookup'!$A$2:$A$200,0)),"")</f>
        <v>YEUNG Ricky</v>
      </c>
    </row>
    <row r="8769" customFormat="false" ht="15" hidden="false" customHeight="false" outlineLevel="0" collapsed="false">
      <c r="A8769" s="3" t="s">
        <v>500</v>
      </c>
      <c r="B8769" s="4" t="s">
        <v>31</v>
      </c>
      <c r="C8769" s="4" t="n">
        <v>7</v>
      </c>
      <c r="D8769" s="4" t="s">
        <v>29</v>
      </c>
      <c r="E8769" s="3" t="s">
        <v>38</v>
      </c>
      <c r="F8769" s="4" t="str">
        <f aca="false">IF(I8769&gt;J8769,"Y","N")</f>
        <v>N</v>
      </c>
      <c r="G8769" s="3" t="s">
        <v>15</v>
      </c>
      <c r="H8769" s="3" t="s">
        <v>39</v>
      </c>
      <c r="I8769" s="4" t="n">
        <v>6</v>
      </c>
      <c r="J8769" s="4" t="n">
        <f aca="false">LEN(E8769)-LEN(SUBSTITUTE(E8769,",",""))+1</f>
        <v>6</v>
      </c>
      <c r="K8769" s="3" t="str">
        <f aca="false">IFERROR(INDEX('Teacher Lookup'!$B$2:$B$200,MATCH(A8769,'Teacher Lookup'!$A$2:$A$200,0)),"")</f>
        <v>YEUNG Ricky</v>
      </c>
    </row>
    <row r="8770" customFormat="false" ht="15" hidden="false" customHeight="false" outlineLevel="0" collapsed="false">
      <c r="A8770" s="3" t="s">
        <v>500</v>
      </c>
      <c r="B8770" s="4" t="s">
        <v>31</v>
      </c>
      <c r="C8770" s="4" t="n">
        <v>7</v>
      </c>
      <c r="D8770" s="4" t="s">
        <v>30</v>
      </c>
      <c r="E8770" s="3" t="s">
        <v>38</v>
      </c>
      <c r="F8770" s="4" t="str">
        <f aca="false">IF(I8770&gt;J8770,"Y","N")</f>
        <v>N</v>
      </c>
      <c r="G8770" s="3" t="s">
        <v>15</v>
      </c>
      <c r="H8770" s="3" t="s">
        <v>39</v>
      </c>
      <c r="I8770" s="4" t="n">
        <v>6</v>
      </c>
      <c r="J8770" s="4" t="n">
        <f aca="false">LEN(E8770)-LEN(SUBSTITUTE(E8770,",",""))+1</f>
        <v>6</v>
      </c>
      <c r="K8770" s="3" t="str">
        <f aca="false">IFERROR(INDEX('Teacher Lookup'!$B$2:$B$200,MATCH(A8770,'Teacher Lookup'!$A$2:$A$200,0)),"")</f>
        <v>YEUNG Ricky</v>
      </c>
    </row>
    <row r="8771" customFormat="false" ht="15" hidden="false" customHeight="false" outlineLevel="0" collapsed="false">
      <c r="A8771" s="3" t="s">
        <v>500</v>
      </c>
      <c r="B8771" s="4" t="s">
        <v>40</v>
      </c>
      <c r="C8771" s="4" t="n">
        <v>2</v>
      </c>
      <c r="D8771" s="4" t="s">
        <v>24</v>
      </c>
      <c r="E8771" s="3" t="s">
        <v>41</v>
      </c>
      <c r="F8771" s="4" t="str">
        <f aca="false">IF(I8771&gt;J8771,"Y","N")</f>
        <v>N</v>
      </c>
      <c r="G8771" s="3" t="s">
        <v>15</v>
      </c>
      <c r="H8771" s="3" t="s">
        <v>21</v>
      </c>
      <c r="I8771" s="4" t="n">
        <v>6</v>
      </c>
      <c r="J8771" s="4" t="n">
        <f aca="false">LEN(E8771)-LEN(SUBSTITUTE(E8771,",",""))+1</f>
        <v>6</v>
      </c>
      <c r="K8771" s="3" t="str">
        <f aca="false">IFERROR(INDEX('Teacher Lookup'!$B$2:$B$200,MATCH(A8771,'Teacher Lookup'!$A$2:$A$200,0)),"")</f>
        <v>YEUNG Ricky</v>
      </c>
    </row>
    <row r="8772" customFormat="false" ht="15" hidden="false" customHeight="false" outlineLevel="0" collapsed="false">
      <c r="A8772" s="3" t="s">
        <v>500</v>
      </c>
      <c r="B8772" s="4" t="s">
        <v>40</v>
      </c>
      <c r="C8772" s="4" t="n">
        <v>2</v>
      </c>
      <c r="D8772" s="4" t="s">
        <v>27</v>
      </c>
      <c r="E8772" s="3" t="s">
        <v>41</v>
      </c>
      <c r="F8772" s="4" t="str">
        <f aca="false">IF(I8772&gt;J8772,"Y","N")</f>
        <v>N</v>
      </c>
      <c r="G8772" s="3" t="s">
        <v>15</v>
      </c>
      <c r="H8772" s="3" t="s">
        <v>21</v>
      </c>
      <c r="I8772" s="4" t="n">
        <v>6</v>
      </c>
      <c r="J8772" s="4" t="n">
        <f aca="false">LEN(E8772)-LEN(SUBSTITUTE(E8772,",",""))+1</f>
        <v>6</v>
      </c>
      <c r="K8772" s="3" t="str">
        <f aca="false">IFERROR(INDEX('Teacher Lookup'!$B$2:$B$200,MATCH(A8772,'Teacher Lookup'!$A$2:$A$200,0)),"")</f>
        <v>YEUNG Ricky</v>
      </c>
    </row>
    <row r="8773" customFormat="false" ht="15" hidden="false" customHeight="false" outlineLevel="0" collapsed="false">
      <c r="A8773" s="3" t="s">
        <v>500</v>
      </c>
      <c r="B8773" s="4" t="s">
        <v>40</v>
      </c>
      <c r="C8773" s="4" t="n">
        <v>2</v>
      </c>
      <c r="D8773" s="4" t="s">
        <v>28</v>
      </c>
      <c r="E8773" s="3" t="s">
        <v>41</v>
      </c>
      <c r="F8773" s="4" t="str">
        <f aca="false">IF(I8773&gt;J8773,"Y","N")</f>
        <v>N</v>
      </c>
      <c r="G8773" s="3" t="s">
        <v>15</v>
      </c>
      <c r="H8773" s="3" t="s">
        <v>21</v>
      </c>
      <c r="I8773" s="4" t="n">
        <v>6</v>
      </c>
      <c r="J8773" s="4" t="n">
        <f aca="false">LEN(E8773)-LEN(SUBSTITUTE(E8773,",",""))+1</f>
        <v>6</v>
      </c>
      <c r="K8773" s="3" t="str">
        <f aca="false">IFERROR(INDEX('Teacher Lookup'!$B$2:$B$200,MATCH(A8773,'Teacher Lookup'!$A$2:$A$200,0)),"")</f>
        <v>YEUNG Ricky</v>
      </c>
    </row>
    <row r="8774" customFormat="false" ht="15" hidden="false" customHeight="false" outlineLevel="0" collapsed="false">
      <c r="A8774" s="3" t="s">
        <v>500</v>
      </c>
      <c r="B8774" s="4" t="s">
        <v>40</v>
      </c>
      <c r="C8774" s="4" t="n">
        <v>2</v>
      </c>
      <c r="D8774" s="4" t="s">
        <v>29</v>
      </c>
      <c r="E8774" s="3" t="s">
        <v>41</v>
      </c>
      <c r="F8774" s="4" t="str">
        <f aca="false">IF(I8774&gt;J8774,"Y","N")</f>
        <v>N</v>
      </c>
      <c r="G8774" s="3" t="s">
        <v>15</v>
      </c>
      <c r="H8774" s="3" t="s">
        <v>21</v>
      </c>
      <c r="I8774" s="4" t="n">
        <v>6</v>
      </c>
      <c r="J8774" s="4" t="n">
        <f aca="false">LEN(E8774)-LEN(SUBSTITUTE(E8774,",",""))+1</f>
        <v>6</v>
      </c>
      <c r="K8774" s="3" t="str">
        <f aca="false">IFERROR(INDEX('Teacher Lookup'!$B$2:$B$200,MATCH(A8774,'Teacher Lookup'!$A$2:$A$200,0)),"")</f>
        <v>YEUNG Ricky</v>
      </c>
    </row>
    <row r="8775" customFormat="false" ht="15" hidden="false" customHeight="false" outlineLevel="0" collapsed="false">
      <c r="A8775" s="3" t="s">
        <v>500</v>
      </c>
      <c r="B8775" s="4" t="s">
        <v>40</v>
      </c>
      <c r="C8775" s="4" t="n">
        <v>2</v>
      </c>
      <c r="D8775" s="4" t="s">
        <v>30</v>
      </c>
      <c r="E8775" s="3" t="s">
        <v>41</v>
      </c>
      <c r="F8775" s="4" t="str">
        <f aca="false">IF(I8775&gt;J8775,"Y","N")</f>
        <v>N</v>
      </c>
      <c r="G8775" s="3" t="s">
        <v>15</v>
      </c>
      <c r="H8775" s="3" t="s">
        <v>21</v>
      </c>
      <c r="I8775" s="4" t="n">
        <v>6</v>
      </c>
      <c r="J8775" s="4" t="n">
        <f aca="false">LEN(E8775)-LEN(SUBSTITUTE(E8775,",",""))+1</f>
        <v>6</v>
      </c>
      <c r="K8775" s="3" t="str">
        <f aca="false">IFERROR(INDEX('Teacher Lookup'!$B$2:$B$200,MATCH(A8775,'Teacher Lookup'!$A$2:$A$200,0)),"")</f>
        <v>YEUNG Ricky</v>
      </c>
    </row>
    <row r="8776" customFormat="false" ht="15" hidden="false" customHeight="false" outlineLevel="0" collapsed="false">
      <c r="A8776" s="3" t="s">
        <v>500</v>
      </c>
      <c r="B8776" s="4" t="s">
        <v>40</v>
      </c>
      <c r="C8776" s="4" t="n">
        <v>6</v>
      </c>
      <c r="D8776" s="4" t="s">
        <v>19</v>
      </c>
      <c r="E8776" s="3" t="s">
        <v>33</v>
      </c>
      <c r="F8776" s="4" t="str">
        <f aca="false">IF(I8776&gt;J8776,"Y","N")</f>
        <v>N</v>
      </c>
      <c r="G8776" s="3" t="s">
        <v>15</v>
      </c>
      <c r="H8776" s="3" t="s">
        <v>42</v>
      </c>
      <c r="I8776" s="4" t="n">
        <v>4</v>
      </c>
      <c r="J8776" s="4" t="n">
        <f aca="false">LEN(E8776)-LEN(SUBSTITUTE(E8776,",",""))+1</f>
        <v>4</v>
      </c>
      <c r="K8776" s="3" t="str">
        <f aca="false">IFERROR(INDEX('Teacher Lookup'!$B$2:$B$200,MATCH(A8776,'Teacher Lookup'!$A$2:$A$200,0)),"")</f>
        <v>YEUNG Ricky</v>
      </c>
    </row>
    <row r="8777" customFormat="false" ht="15" hidden="false" customHeight="false" outlineLevel="0" collapsed="false">
      <c r="A8777" s="3" t="s">
        <v>500</v>
      </c>
      <c r="B8777" s="4" t="s">
        <v>40</v>
      </c>
      <c r="C8777" s="4" t="n">
        <v>6</v>
      </c>
      <c r="D8777" s="4" t="s">
        <v>22</v>
      </c>
      <c r="E8777" s="3" t="s">
        <v>33</v>
      </c>
      <c r="F8777" s="4" t="str">
        <f aca="false">IF(I8777&gt;J8777,"Y","N")</f>
        <v>N</v>
      </c>
      <c r="G8777" s="3" t="s">
        <v>15</v>
      </c>
      <c r="H8777" s="3" t="s">
        <v>42</v>
      </c>
      <c r="I8777" s="4" t="n">
        <v>4</v>
      </c>
      <c r="J8777" s="4" t="n">
        <f aca="false">LEN(E8777)-LEN(SUBSTITUTE(E8777,",",""))+1</f>
        <v>4</v>
      </c>
      <c r="K8777" s="3" t="str">
        <f aca="false">IFERROR(INDEX('Teacher Lookup'!$B$2:$B$200,MATCH(A8777,'Teacher Lookup'!$A$2:$A$200,0)),"")</f>
        <v>YEUNG Ricky</v>
      </c>
    </row>
    <row r="8778" customFormat="false" ht="15" hidden="false" customHeight="false" outlineLevel="0" collapsed="false">
      <c r="A8778" s="3" t="s">
        <v>500</v>
      </c>
      <c r="B8778" s="4" t="s">
        <v>40</v>
      </c>
      <c r="C8778" s="4" t="n">
        <v>6</v>
      </c>
      <c r="D8778" s="4" t="s">
        <v>23</v>
      </c>
      <c r="E8778" s="3" t="s">
        <v>33</v>
      </c>
      <c r="F8778" s="4" t="str">
        <f aca="false">IF(I8778&gt;J8778,"Y","N")</f>
        <v>N</v>
      </c>
      <c r="G8778" s="3" t="s">
        <v>15</v>
      </c>
      <c r="H8778" s="3" t="s">
        <v>42</v>
      </c>
      <c r="I8778" s="4" t="n">
        <v>4</v>
      </c>
      <c r="J8778" s="4" t="n">
        <f aca="false">LEN(E8778)-LEN(SUBSTITUTE(E8778,",",""))+1</f>
        <v>4</v>
      </c>
      <c r="K8778" s="3" t="str">
        <f aca="false">IFERROR(INDEX('Teacher Lookup'!$B$2:$B$200,MATCH(A8778,'Teacher Lookup'!$A$2:$A$200,0)),"")</f>
        <v>YEUNG Ricky</v>
      </c>
    </row>
    <row r="8779" customFormat="false" ht="15" hidden="false" customHeight="false" outlineLevel="0" collapsed="false">
      <c r="A8779" s="3" t="s">
        <v>500</v>
      </c>
      <c r="B8779" s="4" t="s">
        <v>40</v>
      </c>
      <c r="C8779" s="4" t="n">
        <v>7</v>
      </c>
      <c r="D8779" s="4" t="s">
        <v>13</v>
      </c>
      <c r="E8779" s="3" t="s">
        <v>43</v>
      </c>
      <c r="F8779" s="4" t="str">
        <f aca="false">IF(I8779&gt;J8779,"Y","N")</f>
        <v>N</v>
      </c>
      <c r="G8779" s="3" t="s">
        <v>15</v>
      </c>
      <c r="H8779" s="3" t="s">
        <v>39</v>
      </c>
      <c r="I8779" s="4" t="n">
        <v>4</v>
      </c>
      <c r="J8779" s="4" t="n">
        <f aca="false">LEN(E8779)-LEN(SUBSTITUTE(E8779,",",""))+1</f>
        <v>4</v>
      </c>
      <c r="K8779" s="3" t="str">
        <f aca="false">IFERROR(INDEX('Teacher Lookup'!$B$2:$B$200,MATCH(A8779,'Teacher Lookup'!$A$2:$A$200,0)),"")</f>
        <v>YEUNG Ricky</v>
      </c>
    </row>
    <row r="8780" customFormat="false" ht="15" hidden="false" customHeight="false" outlineLevel="0" collapsed="false">
      <c r="A8780" s="3" t="s">
        <v>500</v>
      </c>
      <c r="B8780" s="4" t="s">
        <v>40</v>
      </c>
      <c r="C8780" s="4" t="n">
        <v>7</v>
      </c>
      <c r="D8780" s="4" t="s">
        <v>17</v>
      </c>
      <c r="E8780" s="3" t="s">
        <v>43</v>
      </c>
      <c r="F8780" s="4" t="str">
        <f aca="false">IF(I8780&gt;J8780,"Y","N")</f>
        <v>N</v>
      </c>
      <c r="G8780" s="3" t="s">
        <v>15</v>
      </c>
      <c r="H8780" s="3" t="s">
        <v>39</v>
      </c>
      <c r="I8780" s="4" t="n">
        <v>4</v>
      </c>
      <c r="J8780" s="4" t="n">
        <f aca="false">LEN(E8780)-LEN(SUBSTITUTE(E8780,",",""))+1</f>
        <v>4</v>
      </c>
      <c r="K8780" s="3" t="str">
        <f aca="false">IFERROR(INDEX('Teacher Lookup'!$B$2:$B$200,MATCH(A8780,'Teacher Lookup'!$A$2:$A$200,0)),"")</f>
        <v>YEUNG Ricky</v>
      </c>
    </row>
    <row r="8781" customFormat="false" ht="15" hidden="false" customHeight="false" outlineLevel="0" collapsed="false">
      <c r="A8781" s="3" t="s">
        <v>500</v>
      </c>
      <c r="B8781" s="4" t="s">
        <v>40</v>
      </c>
      <c r="C8781" s="4" t="n">
        <v>7</v>
      </c>
      <c r="D8781" s="4" t="s">
        <v>18</v>
      </c>
      <c r="E8781" s="3" t="s">
        <v>43</v>
      </c>
      <c r="F8781" s="4" t="str">
        <f aca="false">IF(I8781&gt;J8781,"Y","N")</f>
        <v>N</v>
      </c>
      <c r="G8781" s="3" t="s">
        <v>15</v>
      </c>
      <c r="H8781" s="3" t="s">
        <v>39</v>
      </c>
      <c r="I8781" s="4" t="n">
        <v>4</v>
      </c>
      <c r="J8781" s="4" t="n">
        <f aca="false">LEN(E8781)-LEN(SUBSTITUTE(E8781,",",""))+1</f>
        <v>4</v>
      </c>
      <c r="K8781" s="3" t="str">
        <f aca="false">IFERROR(INDEX('Teacher Lookup'!$B$2:$B$200,MATCH(A8781,'Teacher Lookup'!$A$2:$A$200,0)),"")</f>
        <v>YEUNG Ricky</v>
      </c>
    </row>
    <row r="8782" customFormat="false" ht="15" hidden="false" customHeight="false" outlineLevel="0" collapsed="false">
      <c r="A8782" s="3" t="s">
        <v>500</v>
      </c>
      <c r="B8782" s="4" t="s">
        <v>44</v>
      </c>
      <c r="C8782" s="4" t="n">
        <v>1</v>
      </c>
      <c r="D8782" s="4" t="s">
        <v>19</v>
      </c>
      <c r="E8782" s="3" t="s">
        <v>33</v>
      </c>
      <c r="F8782" s="4" t="str">
        <f aca="false">IF(I8782&gt;J8782,"Y","N")</f>
        <v>N</v>
      </c>
      <c r="G8782" s="3" t="s">
        <v>15</v>
      </c>
      <c r="H8782" s="3" t="s">
        <v>16</v>
      </c>
      <c r="I8782" s="4" t="n">
        <v>4</v>
      </c>
      <c r="J8782" s="4" t="n">
        <f aca="false">LEN(E8782)-LEN(SUBSTITUTE(E8782,",",""))+1</f>
        <v>4</v>
      </c>
      <c r="K8782" s="3" t="str">
        <f aca="false">IFERROR(INDEX('Teacher Lookup'!$B$2:$B$200,MATCH(A8782,'Teacher Lookup'!$A$2:$A$200,0)),"")</f>
        <v>YEUNG Ricky</v>
      </c>
    </row>
    <row r="8783" customFormat="false" ht="15" hidden="false" customHeight="false" outlineLevel="0" collapsed="false">
      <c r="A8783" s="3" t="s">
        <v>500</v>
      </c>
      <c r="B8783" s="4" t="s">
        <v>44</v>
      </c>
      <c r="C8783" s="4" t="n">
        <v>1</v>
      </c>
      <c r="D8783" s="4" t="s">
        <v>22</v>
      </c>
      <c r="E8783" s="3" t="s">
        <v>33</v>
      </c>
      <c r="F8783" s="4" t="str">
        <f aca="false">IF(I8783&gt;J8783,"Y","N")</f>
        <v>N</v>
      </c>
      <c r="G8783" s="3" t="s">
        <v>15</v>
      </c>
      <c r="H8783" s="3" t="s">
        <v>16</v>
      </c>
      <c r="I8783" s="4" t="n">
        <v>4</v>
      </c>
      <c r="J8783" s="4" t="n">
        <f aca="false">LEN(E8783)-LEN(SUBSTITUTE(E8783,",",""))+1</f>
        <v>4</v>
      </c>
      <c r="K8783" s="3" t="str">
        <f aca="false">IFERROR(INDEX('Teacher Lookup'!$B$2:$B$200,MATCH(A8783,'Teacher Lookup'!$A$2:$A$200,0)),"")</f>
        <v>YEUNG Ricky</v>
      </c>
    </row>
    <row r="8784" customFormat="false" ht="15" hidden="false" customHeight="false" outlineLevel="0" collapsed="false">
      <c r="A8784" s="3" t="s">
        <v>500</v>
      </c>
      <c r="B8784" s="4" t="s">
        <v>44</v>
      </c>
      <c r="C8784" s="4" t="n">
        <v>1</v>
      </c>
      <c r="D8784" s="4" t="s">
        <v>23</v>
      </c>
      <c r="E8784" s="3" t="s">
        <v>33</v>
      </c>
      <c r="F8784" s="4" t="str">
        <f aca="false">IF(I8784&gt;J8784,"Y","N")</f>
        <v>N</v>
      </c>
      <c r="G8784" s="3" t="s">
        <v>15</v>
      </c>
      <c r="H8784" s="3" t="s">
        <v>16</v>
      </c>
      <c r="I8784" s="4" t="n">
        <v>4</v>
      </c>
      <c r="J8784" s="4" t="n">
        <f aca="false">LEN(E8784)-LEN(SUBSTITUTE(E8784,",",""))+1</f>
        <v>4</v>
      </c>
      <c r="K8784" s="3" t="str">
        <f aca="false">IFERROR(INDEX('Teacher Lookup'!$B$2:$B$200,MATCH(A8784,'Teacher Lookup'!$A$2:$A$200,0)),"")</f>
        <v>YEUNG Ricky</v>
      </c>
    </row>
    <row r="8785" customFormat="false" ht="15" hidden="false" customHeight="false" outlineLevel="0" collapsed="false">
      <c r="A8785" s="3" t="s">
        <v>500</v>
      </c>
      <c r="B8785" s="4" t="s">
        <v>44</v>
      </c>
      <c r="C8785" s="4" t="n">
        <v>2</v>
      </c>
      <c r="D8785" s="4" t="s">
        <v>24</v>
      </c>
      <c r="E8785" s="3" t="s">
        <v>45</v>
      </c>
      <c r="F8785" s="4" t="str">
        <f aca="false">IF(I8785&gt;J8785,"Y","N")</f>
        <v>N</v>
      </c>
      <c r="G8785" s="3" t="s">
        <v>15</v>
      </c>
      <c r="H8785" s="3" t="s">
        <v>21</v>
      </c>
      <c r="I8785" s="4" t="n">
        <v>6</v>
      </c>
      <c r="J8785" s="4" t="n">
        <f aca="false">LEN(E8785)-LEN(SUBSTITUTE(E8785,",",""))+1</f>
        <v>6</v>
      </c>
      <c r="K8785" s="3" t="str">
        <f aca="false">IFERROR(INDEX('Teacher Lookup'!$B$2:$B$200,MATCH(A8785,'Teacher Lookup'!$A$2:$A$200,0)),"")</f>
        <v>YEUNG Ricky</v>
      </c>
    </row>
    <row r="8786" customFormat="false" ht="15" hidden="false" customHeight="false" outlineLevel="0" collapsed="false">
      <c r="A8786" s="3" t="s">
        <v>500</v>
      </c>
      <c r="B8786" s="4" t="s">
        <v>44</v>
      </c>
      <c r="C8786" s="4" t="n">
        <v>2</v>
      </c>
      <c r="D8786" s="4" t="s">
        <v>27</v>
      </c>
      <c r="E8786" s="3" t="s">
        <v>45</v>
      </c>
      <c r="F8786" s="4" t="str">
        <f aca="false">IF(I8786&gt;J8786,"Y","N")</f>
        <v>N</v>
      </c>
      <c r="G8786" s="3" t="s">
        <v>15</v>
      </c>
      <c r="H8786" s="3" t="s">
        <v>21</v>
      </c>
      <c r="I8786" s="4" t="n">
        <v>6</v>
      </c>
      <c r="J8786" s="4" t="n">
        <f aca="false">LEN(E8786)-LEN(SUBSTITUTE(E8786,",",""))+1</f>
        <v>6</v>
      </c>
      <c r="K8786" s="3" t="str">
        <f aca="false">IFERROR(INDEX('Teacher Lookup'!$B$2:$B$200,MATCH(A8786,'Teacher Lookup'!$A$2:$A$200,0)),"")</f>
        <v>YEUNG Ricky</v>
      </c>
    </row>
    <row r="8787" customFormat="false" ht="15" hidden="false" customHeight="false" outlineLevel="0" collapsed="false">
      <c r="A8787" s="3" t="s">
        <v>500</v>
      </c>
      <c r="B8787" s="4" t="s">
        <v>44</v>
      </c>
      <c r="C8787" s="4" t="n">
        <v>2</v>
      </c>
      <c r="D8787" s="4" t="s">
        <v>28</v>
      </c>
      <c r="E8787" s="3" t="s">
        <v>45</v>
      </c>
      <c r="F8787" s="4" t="str">
        <f aca="false">IF(I8787&gt;J8787,"Y","N")</f>
        <v>N</v>
      </c>
      <c r="G8787" s="3" t="s">
        <v>15</v>
      </c>
      <c r="H8787" s="3" t="s">
        <v>21</v>
      </c>
      <c r="I8787" s="4" t="n">
        <v>6</v>
      </c>
      <c r="J8787" s="4" t="n">
        <f aca="false">LEN(E8787)-LEN(SUBSTITUTE(E8787,",",""))+1</f>
        <v>6</v>
      </c>
      <c r="K8787" s="3" t="str">
        <f aca="false">IFERROR(INDEX('Teacher Lookup'!$B$2:$B$200,MATCH(A8787,'Teacher Lookup'!$A$2:$A$200,0)),"")</f>
        <v>YEUNG Ricky</v>
      </c>
    </row>
    <row r="8788" customFormat="false" ht="15" hidden="false" customHeight="false" outlineLevel="0" collapsed="false">
      <c r="A8788" s="3" t="s">
        <v>500</v>
      </c>
      <c r="B8788" s="4" t="s">
        <v>44</v>
      </c>
      <c r="C8788" s="4" t="n">
        <v>2</v>
      </c>
      <c r="D8788" s="4" t="s">
        <v>29</v>
      </c>
      <c r="E8788" s="3" t="s">
        <v>45</v>
      </c>
      <c r="F8788" s="4" t="str">
        <f aca="false">IF(I8788&gt;J8788,"Y","N")</f>
        <v>N</v>
      </c>
      <c r="G8788" s="3" t="s">
        <v>15</v>
      </c>
      <c r="H8788" s="3" t="s">
        <v>21</v>
      </c>
      <c r="I8788" s="4" t="n">
        <v>6</v>
      </c>
      <c r="J8788" s="4" t="n">
        <f aca="false">LEN(E8788)-LEN(SUBSTITUTE(E8788,",",""))+1</f>
        <v>6</v>
      </c>
      <c r="K8788" s="3" t="str">
        <f aca="false">IFERROR(INDEX('Teacher Lookup'!$B$2:$B$200,MATCH(A8788,'Teacher Lookup'!$A$2:$A$200,0)),"")</f>
        <v>YEUNG Ricky</v>
      </c>
    </row>
    <row r="8789" customFormat="false" ht="15" hidden="false" customHeight="false" outlineLevel="0" collapsed="false">
      <c r="A8789" s="3" t="s">
        <v>500</v>
      </c>
      <c r="B8789" s="4" t="s">
        <v>44</v>
      </c>
      <c r="C8789" s="4" t="n">
        <v>2</v>
      </c>
      <c r="D8789" s="4" t="s">
        <v>30</v>
      </c>
      <c r="E8789" s="3" t="s">
        <v>45</v>
      </c>
      <c r="F8789" s="4" t="str">
        <f aca="false">IF(I8789&gt;J8789,"Y","N")</f>
        <v>N</v>
      </c>
      <c r="G8789" s="3" t="s">
        <v>15</v>
      </c>
      <c r="H8789" s="3" t="s">
        <v>21</v>
      </c>
      <c r="I8789" s="4" t="n">
        <v>6</v>
      </c>
      <c r="J8789" s="4" t="n">
        <f aca="false">LEN(E8789)-LEN(SUBSTITUTE(E8789,",",""))+1</f>
        <v>6</v>
      </c>
      <c r="K8789" s="3" t="str">
        <f aca="false">IFERROR(INDEX('Teacher Lookup'!$B$2:$B$200,MATCH(A8789,'Teacher Lookup'!$A$2:$A$200,0)),"")</f>
        <v>YEUNG Ricky</v>
      </c>
    </row>
    <row r="8790" customFormat="false" ht="15" hidden="false" customHeight="false" outlineLevel="0" collapsed="false">
      <c r="A8790" s="3" t="s">
        <v>500</v>
      </c>
      <c r="B8790" s="4" t="s">
        <v>44</v>
      </c>
      <c r="C8790" s="4" t="n">
        <v>5</v>
      </c>
      <c r="D8790" s="4" t="s">
        <v>19</v>
      </c>
      <c r="E8790" s="3" t="s">
        <v>35</v>
      </c>
      <c r="F8790" s="4" t="str">
        <f aca="false">IF(I8790&gt;J8790,"Y","N")</f>
        <v>Y</v>
      </c>
      <c r="G8790" s="3" t="s">
        <v>36</v>
      </c>
      <c r="H8790" s="3" t="s">
        <v>37</v>
      </c>
      <c r="I8790" s="4" t="n">
        <v>17</v>
      </c>
      <c r="J8790" s="4" t="n">
        <f aca="false">LEN(E8790)-LEN(SUBSTITUTE(E8790,",",""))+1</f>
        <v>7</v>
      </c>
      <c r="K8790" s="3" t="str">
        <f aca="false">IFERROR(INDEX('Teacher Lookup'!$B$2:$B$200,MATCH(A8790,'Teacher Lookup'!$A$2:$A$200,0)),"")</f>
        <v>YEUNG Ricky</v>
      </c>
    </row>
    <row r="8791" customFormat="false" ht="15" hidden="false" customHeight="false" outlineLevel="0" collapsed="false">
      <c r="A8791" s="3" t="s">
        <v>500</v>
      </c>
      <c r="B8791" s="4" t="s">
        <v>44</v>
      </c>
      <c r="C8791" s="4" t="n">
        <v>5</v>
      </c>
      <c r="D8791" s="4" t="s">
        <v>22</v>
      </c>
      <c r="E8791" s="3" t="s">
        <v>35</v>
      </c>
      <c r="F8791" s="4" t="str">
        <f aca="false">IF(I8791&gt;J8791,"Y","N")</f>
        <v>Y</v>
      </c>
      <c r="G8791" s="3" t="s">
        <v>36</v>
      </c>
      <c r="H8791" s="3" t="s">
        <v>37</v>
      </c>
      <c r="I8791" s="4" t="n">
        <v>17</v>
      </c>
      <c r="J8791" s="4" t="n">
        <f aca="false">LEN(E8791)-LEN(SUBSTITUTE(E8791,",",""))+1</f>
        <v>7</v>
      </c>
      <c r="K8791" s="3" t="str">
        <f aca="false">IFERROR(INDEX('Teacher Lookup'!$B$2:$B$200,MATCH(A8791,'Teacher Lookup'!$A$2:$A$200,0)),"")</f>
        <v>YEUNG Ricky</v>
      </c>
    </row>
    <row r="8792" customFormat="false" ht="15" hidden="false" customHeight="false" outlineLevel="0" collapsed="false">
      <c r="A8792" s="3" t="s">
        <v>500</v>
      </c>
      <c r="B8792" s="4" t="s">
        <v>44</v>
      </c>
      <c r="C8792" s="4" t="n">
        <v>5</v>
      </c>
      <c r="D8792" s="4" t="s">
        <v>23</v>
      </c>
      <c r="E8792" s="3" t="s">
        <v>35</v>
      </c>
      <c r="F8792" s="4" t="str">
        <f aca="false">IF(I8792&gt;J8792,"Y","N")</f>
        <v>Y</v>
      </c>
      <c r="G8792" s="3" t="s">
        <v>36</v>
      </c>
      <c r="H8792" s="3" t="s">
        <v>37</v>
      </c>
      <c r="I8792" s="4" t="n">
        <v>17</v>
      </c>
      <c r="J8792" s="4" t="n">
        <f aca="false">LEN(E8792)-LEN(SUBSTITUTE(E8792,",",""))+1</f>
        <v>7</v>
      </c>
      <c r="K8792" s="3" t="str">
        <f aca="false">IFERROR(INDEX('Teacher Lookup'!$B$2:$B$200,MATCH(A8792,'Teacher Lookup'!$A$2:$A$200,0)),"")</f>
        <v>YEUNG Ricky</v>
      </c>
    </row>
    <row r="8793" customFormat="false" ht="15" hidden="false" customHeight="false" outlineLevel="0" collapsed="false">
      <c r="A8793" s="3" t="s">
        <v>500</v>
      </c>
      <c r="B8793" s="4" t="s">
        <v>44</v>
      </c>
      <c r="C8793" s="4" t="n">
        <v>5</v>
      </c>
      <c r="D8793" s="4" t="s">
        <v>13</v>
      </c>
      <c r="E8793" s="3" t="s">
        <v>35</v>
      </c>
      <c r="F8793" s="4" t="str">
        <f aca="false">IF(I8793&gt;J8793,"Y","N")</f>
        <v>Y</v>
      </c>
      <c r="G8793" s="3" t="s">
        <v>36</v>
      </c>
      <c r="H8793" s="3" t="s">
        <v>37</v>
      </c>
      <c r="I8793" s="4" t="n">
        <v>17</v>
      </c>
      <c r="J8793" s="4" t="n">
        <f aca="false">LEN(E8793)-LEN(SUBSTITUTE(E8793,",",""))+1</f>
        <v>7</v>
      </c>
      <c r="K8793" s="3" t="str">
        <f aca="false">IFERROR(INDEX('Teacher Lookup'!$B$2:$B$200,MATCH(A8793,'Teacher Lookup'!$A$2:$A$200,0)),"")</f>
        <v>YEUNG Ricky</v>
      </c>
    </row>
    <row r="8794" customFormat="false" ht="15" hidden="false" customHeight="false" outlineLevel="0" collapsed="false">
      <c r="A8794" s="3" t="s">
        <v>500</v>
      </c>
      <c r="B8794" s="4" t="s">
        <v>44</v>
      </c>
      <c r="C8794" s="4" t="n">
        <v>5</v>
      </c>
      <c r="D8794" s="4" t="s">
        <v>17</v>
      </c>
      <c r="E8794" s="3" t="s">
        <v>35</v>
      </c>
      <c r="F8794" s="4" t="str">
        <f aca="false">IF(I8794&gt;J8794,"Y","N")</f>
        <v>Y</v>
      </c>
      <c r="G8794" s="3" t="s">
        <v>36</v>
      </c>
      <c r="H8794" s="3" t="s">
        <v>37</v>
      </c>
      <c r="I8794" s="4" t="n">
        <v>17</v>
      </c>
      <c r="J8794" s="4" t="n">
        <f aca="false">LEN(E8794)-LEN(SUBSTITUTE(E8794,",",""))+1</f>
        <v>7</v>
      </c>
      <c r="K8794" s="3" t="str">
        <f aca="false">IFERROR(INDEX('Teacher Lookup'!$B$2:$B$200,MATCH(A8794,'Teacher Lookup'!$A$2:$A$200,0)),"")</f>
        <v>YEUNG Ricky</v>
      </c>
    </row>
    <row r="8795" customFormat="false" ht="15" hidden="false" customHeight="false" outlineLevel="0" collapsed="false">
      <c r="A8795" s="3" t="s">
        <v>500</v>
      </c>
      <c r="B8795" s="4" t="s">
        <v>44</v>
      </c>
      <c r="C8795" s="4" t="n">
        <v>5</v>
      </c>
      <c r="D8795" s="4" t="s">
        <v>18</v>
      </c>
      <c r="E8795" s="3" t="s">
        <v>35</v>
      </c>
      <c r="F8795" s="4" t="str">
        <f aca="false">IF(I8795&gt;J8795,"Y","N")</f>
        <v>Y</v>
      </c>
      <c r="G8795" s="3" t="s">
        <v>36</v>
      </c>
      <c r="H8795" s="3" t="s">
        <v>37</v>
      </c>
      <c r="I8795" s="4" t="n">
        <v>17</v>
      </c>
      <c r="J8795" s="4" t="n">
        <f aca="false">LEN(E8795)-LEN(SUBSTITUTE(E8795,",",""))+1</f>
        <v>7</v>
      </c>
      <c r="K8795" s="3" t="str">
        <f aca="false">IFERROR(INDEX('Teacher Lookup'!$B$2:$B$200,MATCH(A8795,'Teacher Lookup'!$A$2:$A$200,0)),"")</f>
        <v>YEUNG Ricky</v>
      </c>
    </row>
    <row r="8796" customFormat="false" ht="15" hidden="false" customHeight="false" outlineLevel="0" collapsed="false">
      <c r="A8796" s="3" t="s">
        <v>500</v>
      </c>
      <c r="B8796" s="4" t="s">
        <v>44</v>
      </c>
      <c r="C8796" s="4" t="n">
        <v>7</v>
      </c>
      <c r="D8796" s="4" t="s">
        <v>13</v>
      </c>
      <c r="E8796" s="3" t="s">
        <v>46</v>
      </c>
      <c r="F8796" s="4" t="str">
        <f aca="false">IF(I8796&gt;J8796,"Y","N")</f>
        <v>N</v>
      </c>
      <c r="G8796" s="3" t="s">
        <v>15</v>
      </c>
      <c r="H8796" s="3" t="s">
        <v>39</v>
      </c>
      <c r="I8796" s="4" t="n">
        <v>4</v>
      </c>
      <c r="J8796" s="4" t="n">
        <f aca="false">LEN(E8796)-LEN(SUBSTITUTE(E8796,",",""))+1</f>
        <v>4</v>
      </c>
      <c r="K8796" s="3" t="str">
        <f aca="false">IFERROR(INDEX('Teacher Lookup'!$B$2:$B$200,MATCH(A8796,'Teacher Lookup'!$A$2:$A$200,0)),"")</f>
        <v>YEUNG Ricky</v>
      </c>
    </row>
    <row r="8797" customFormat="false" ht="15" hidden="false" customHeight="false" outlineLevel="0" collapsed="false">
      <c r="A8797" s="3" t="s">
        <v>500</v>
      </c>
      <c r="B8797" s="4" t="s">
        <v>44</v>
      </c>
      <c r="C8797" s="4" t="n">
        <v>7</v>
      </c>
      <c r="D8797" s="4" t="s">
        <v>17</v>
      </c>
      <c r="E8797" s="3" t="s">
        <v>46</v>
      </c>
      <c r="F8797" s="4" t="str">
        <f aca="false">IF(I8797&gt;J8797,"Y","N")</f>
        <v>N</v>
      </c>
      <c r="G8797" s="3" t="s">
        <v>15</v>
      </c>
      <c r="H8797" s="3" t="s">
        <v>39</v>
      </c>
      <c r="I8797" s="4" t="n">
        <v>4</v>
      </c>
      <c r="J8797" s="4" t="n">
        <f aca="false">LEN(E8797)-LEN(SUBSTITUTE(E8797,",",""))+1</f>
        <v>4</v>
      </c>
      <c r="K8797" s="3" t="str">
        <f aca="false">IFERROR(INDEX('Teacher Lookup'!$B$2:$B$200,MATCH(A8797,'Teacher Lookup'!$A$2:$A$200,0)),"")</f>
        <v>YEUNG Ricky</v>
      </c>
    </row>
    <row r="8798" customFormat="false" ht="15" hidden="false" customHeight="false" outlineLevel="0" collapsed="false">
      <c r="A8798" s="3" t="s">
        <v>500</v>
      </c>
      <c r="B8798" s="4" t="s">
        <v>44</v>
      </c>
      <c r="C8798" s="4" t="n">
        <v>7</v>
      </c>
      <c r="D8798" s="4" t="s">
        <v>18</v>
      </c>
      <c r="E8798" s="3" t="s">
        <v>46</v>
      </c>
      <c r="F8798" s="4" t="str">
        <f aca="false">IF(I8798&gt;J8798,"Y","N")</f>
        <v>N</v>
      </c>
      <c r="G8798" s="3" t="s">
        <v>15</v>
      </c>
      <c r="H8798" s="3" t="s">
        <v>39</v>
      </c>
      <c r="I8798" s="4" t="n">
        <v>4</v>
      </c>
      <c r="J8798" s="4" t="n">
        <f aca="false">LEN(E8798)-LEN(SUBSTITUTE(E8798,",",""))+1</f>
        <v>4</v>
      </c>
      <c r="K8798" s="3" t="str">
        <f aca="false">IFERROR(INDEX('Teacher Lookup'!$B$2:$B$200,MATCH(A8798,'Teacher Lookup'!$A$2:$A$200,0)),"")</f>
        <v>YEUNG Ricky</v>
      </c>
    </row>
    <row r="8799" customFormat="false" ht="15" hidden="false" customHeight="false" outlineLevel="0" collapsed="false">
      <c r="A8799" s="3" t="s">
        <v>500</v>
      </c>
      <c r="B8799" s="4" t="s">
        <v>47</v>
      </c>
      <c r="C8799" s="4" t="n">
        <v>3</v>
      </c>
      <c r="D8799" s="4" t="s">
        <v>19</v>
      </c>
      <c r="E8799" s="3" t="s">
        <v>48</v>
      </c>
      <c r="F8799" s="4" t="str">
        <f aca="false">IF(I8799&gt;J8799,"Y","N")</f>
        <v>N</v>
      </c>
      <c r="G8799" s="3" t="s">
        <v>15</v>
      </c>
      <c r="H8799" s="3" t="s">
        <v>26</v>
      </c>
      <c r="I8799" s="4" t="n">
        <v>4</v>
      </c>
      <c r="J8799" s="4" t="n">
        <f aca="false">LEN(E8799)-LEN(SUBSTITUTE(E8799,",",""))+1</f>
        <v>4</v>
      </c>
      <c r="K8799" s="3" t="str">
        <f aca="false">IFERROR(INDEX('Teacher Lookup'!$B$2:$B$200,MATCH(A8799,'Teacher Lookup'!$A$2:$A$200,0)),"")</f>
        <v>YEUNG Ricky</v>
      </c>
    </row>
    <row r="8800" customFormat="false" ht="15" hidden="false" customHeight="false" outlineLevel="0" collapsed="false">
      <c r="A8800" s="3" t="s">
        <v>500</v>
      </c>
      <c r="B8800" s="4" t="s">
        <v>47</v>
      </c>
      <c r="C8800" s="4" t="n">
        <v>3</v>
      </c>
      <c r="D8800" s="4" t="s">
        <v>22</v>
      </c>
      <c r="E8800" s="3" t="s">
        <v>48</v>
      </c>
      <c r="F8800" s="4" t="str">
        <f aca="false">IF(I8800&gt;J8800,"Y","N")</f>
        <v>N</v>
      </c>
      <c r="G8800" s="3" t="s">
        <v>15</v>
      </c>
      <c r="H8800" s="3" t="s">
        <v>26</v>
      </c>
      <c r="I8800" s="4" t="n">
        <v>4</v>
      </c>
      <c r="J8800" s="4" t="n">
        <f aca="false">LEN(E8800)-LEN(SUBSTITUTE(E8800,",",""))+1</f>
        <v>4</v>
      </c>
      <c r="K8800" s="3" t="str">
        <f aca="false">IFERROR(INDEX('Teacher Lookup'!$B$2:$B$200,MATCH(A8800,'Teacher Lookup'!$A$2:$A$200,0)),"")</f>
        <v>YEUNG Ricky</v>
      </c>
    </row>
    <row r="8801" customFormat="false" ht="15" hidden="false" customHeight="false" outlineLevel="0" collapsed="false">
      <c r="A8801" s="3" t="s">
        <v>500</v>
      </c>
      <c r="B8801" s="4" t="s">
        <v>47</v>
      </c>
      <c r="C8801" s="4" t="n">
        <v>3</v>
      </c>
      <c r="D8801" s="4" t="s">
        <v>23</v>
      </c>
      <c r="E8801" s="3" t="s">
        <v>48</v>
      </c>
      <c r="F8801" s="4" t="str">
        <f aca="false">IF(I8801&gt;J8801,"Y","N")</f>
        <v>N</v>
      </c>
      <c r="G8801" s="3" t="s">
        <v>15</v>
      </c>
      <c r="H8801" s="3" t="s">
        <v>26</v>
      </c>
      <c r="I8801" s="4" t="n">
        <v>4</v>
      </c>
      <c r="J8801" s="4" t="n">
        <f aca="false">LEN(E8801)-LEN(SUBSTITUTE(E8801,",",""))+1</f>
        <v>4</v>
      </c>
      <c r="K8801" s="3" t="str">
        <f aca="false">IFERROR(INDEX('Teacher Lookup'!$B$2:$B$200,MATCH(A8801,'Teacher Lookup'!$A$2:$A$200,0)),"")</f>
        <v>YEUNG Ricky</v>
      </c>
    </row>
    <row r="8802" customFormat="false" ht="15" hidden="false" customHeight="false" outlineLevel="0" collapsed="false">
      <c r="A8802" s="3" t="s">
        <v>500</v>
      </c>
      <c r="B8802" s="4" t="s">
        <v>47</v>
      </c>
      <c r="C8802" s="4" t="n">
        <v>5</v>
      </c>
      <c r="D8802" s="4" t="s">
        <v>24</v>
      </c>
      <c r="E8802" s="3" t="s">
        <v>49</v>
      </c>
      <c r="F8802" s="4" t="str">
        <f aca="false">IF(I8802&gt;J8802,"Y","N")</f>
        <v>N</v>
      </c>
      <c r="G8802" s="3" t="s">
        <v>15</v>
      </c>
      <c r="H8802" s="3" t="s">
        <v>37</v>
      </c>
      <c r="I8802" s="4" t="n">
        <v>6</v>
      </c>
      <c r="J8802" s="4" t="n">
        <f aca="false">LEN(E8802)-LEN(SUBSTITUTE(E8802,",",""))+1</f>
        <v>6</v>
      </c>
      <c r="K8802" s="3" t="str">
        <f aca="false">IFERROR(INDEX('Teacher Lookup'!$B$2:$B$200,MATCH(A8802,'Teacher Lookup'!$A$2:$A$200,0)),"")</f>
        <v>YEUNG Ricky</v>
      </c>
    </row>
    <row r="8803" customFormat="false" ht="15" hidden="false" customHeight="false" outlineLevel="0" collapsed="false">
      <c r="A8803" s="3" t="s">
        <v>500</v>
      </c>
      <c r="B8803" s="4" t="s">
        <v>47</v>
      </c>
      <c r="C8803" s="4" t="n">
        <v>5</v>
      </c>
      <c r="D8803" s="4" t="s">
        <v>27</v>
      </c>
      <c r="E8803" s="3" t="s">
        <v>49</v>
      </c>
      <c r="F8803" s="4" t="str">
        <f aca="false">IF(I8803&gt;J8803,"Y","N")</f>
        <v>N</v>
      </c>
      <c r="G8803" s="3" t="s">
        <v>15</v>
      </c>
      <c r="H8803" s="3" t="s">
        <v>37</v>
      </c>
      <c r="I8803" s="4" t="n">
        <v>6</v>
      </c>
      <c r="J8803" s="4" t="n">
        <f aca="false">LEN(E8803)-LEN(SUBSTITUTE(E8803,",",""))+1</f>
        <v>6</v>
      </c>
      <c r="K8803" s="3" t="str">
        <f aca="false">IFERROR(INDEX('Teacher Lookup'!$B$2:$B$200,MATCH(A8803,'Teacher Lookup'!$A$2:$A$200,0)),"")</f>
        <v>YEUNG Ricky</v>
      </c>
    </row>
    <row r="8804" customFormat="false" ht="15" hidden="false" customHeight="false" outlineLevel="0" collapsed="false">
      <c r="A8804" s="3" t="s">
        <v>500</v>
      </c>
      <c r="B8804" s="4" t="s">
        <v>47</v>
      </c>
      <c r="C8804" s="4" t="n">
        <v>5</v>
      </c>
      <c r="D8804" s="4" t="s">
        <v>28</v>
      </c>
      <c r="E8804" s="3" t="s">
        <v>49</v>
      </c>
      <c r="F8804" s="4" t="str">
        <f aca="false">IF(I8804&gt;J8804,"Y","N")</f>
        <v>N</v>
      </c>
      <c r="G8804" s="3" t="s">
        <v>15</v>
      </c>
      <c r="H8804" s="3" t="s">
        <v>37</v>
      </c>
      <c r="I8804" s="4" t="n">
        <v>6</v>
      </c>
      <c r="J8804" s="4" t="n">
        <f aca="false">LEN(E8804)-LEN(SUBSTITUTE(E8804,",",""))+1</f>
        <v>6</v>
      </c>
      <c r="K8804" s="3" t="str">
        <f aca="false">IFERROR(INDEX('Teacher Lookup'!$B$2:$B$200,MATCH(A8804,'Teacher Lookup'!$A$2:$A$200,0)),"")</f>
        <v>YEUNG Ricky</v>
      </c>
    </row>
    <row r="8805" customFormat="false" ht="15" hidden="false" customHeight="false" outlineLevel="0" collapsed="false">
      <c r="A8805" s="3" t="s">
        <v>500</v>
      </c>
      <c r="B8805" s="4" t="s">
        <v>47</v>
      </c>
      <c r="C8805" s="4" t="n">
        <v>5</v>
      </c>
      <c r="D8805" s="4" t="s">
        <v>29</v>
      </c>
      <c r="E8805" s="3" t="s">
        <v>49</v>
      </c>
      <c r="F8805" s="4" t="str">
        <f aca="false">IF(I8805&gt;J8805,"Y","N")</f>
        <v>N</v>
      </c>
      <c r="G8805" s="3" t="s">
        <v>15</v>
      </c>
      <c r="H8805" s="3" t="s">
        <v>37</v>
      </c>
      <c r="I8805" s="4" t="n">
        <v>6</v>
      </c>
      <c r="J8805" s="4" t="n">
        <f aca="false">LEN(E8805)-LEN(SUBSTITUTE(E8805,",",""))+1</f>
        <v>6</v>
      </c>
      <c r="K8805" s="3" t="str">
        <f aca="false">IFERROR(INDEX('Teacher Lookup'!$B$2:$B$200,MATCH(A8805,'Teacher Lookup'!$A$2:$A$200,0)),"")</f>
        <v>YEUNG Ricky</v>
      </c>
    </row>
    <row r="8806" customFormat="false" ht="15" hidden="false" customHeight="false" outlineLevel="0" collapsed="false">
      <c r="A8806" s="3" t="s">
        <v>500</v>
      </c>
      <c r="B8806" s="4" t="s">
        <v>47</v>
      </c>
      <c r="C8806" s="4" t="n">
        <v>5</v>
      </c>
      <c r="D8806" s="4" t="s">
        <v>30</v>
      </c>
      <c r="E8806" s="3" t="s">
        <v>49</v>
      </c>
      <c r="F8806" s="4" t="str">
        <f aca="false">IF(I8806&gt;J8806,"Y","N")</f>
        <v>N</v>
      </c>
      <c r="G8806" s="3" t="s">
        <v>15</v>
      </c>
      <c r="H8806" s="3" t="s">
        <v>37</v>
      </c>
      <c r="I8806" s="4" t="n">
        <v>6</v>
      </c>
      <c r="J8806" s="4" t="n">
        <f aca="false">LEN(E8806)-LEN(SUBSTITUTE(E8806,",",""))+1</f>
        <v>6</v>
      </c>
      <c r="K8806" s="3" t="str">
        <f aca="false">IFERROR(INDEX('Teacher Lookup'!$B$2:$B$200,MATCH(A8806,'Teacher Lookup'!$A$2:$A$200,0)),"")</f>
        <v>YEUNG Ricky</v>
      </c>
    </row>
    <row r="8807" customFormat="false" ht="15" hidden="false" customHeight="false" outlineLevel="0" collapsed="false">
      <c r="A8807" s="3" t="s">
        <v>500</v>
      </c>
      <c r="B8807" s="4" t="s">
        <v>47</v>
      </c>
      <c r="C8807" s="4" t="n">
        <v>6</v>
      </c>
      <c r="D8807" s="4" t="s">
        <v>13</v>
      </c>
      <c r="E8807" s="3" t="s">
        <v>14</v>
      </c>
      <c r="F8807" s="4" t="str">
        <f aca="false">IF(I8807&gt;J8807,"Y","N")</f>
        <v>N</v>
      </c>
      <c r="G8807" s="3" t="s">
        <v>15</v>
      </c>
      <c r="H8807" s="3" t="s">
        <v>42</v>
      </c>
      <c r="I8807" s="4" t="n">
        <v>4</v>
      </c>
      <c r="J8807" s="4" t="n">
        <f aca="false">LEN(E8807)-LEN(SUBSTITUTE(E8807,",",""))+1</f>
        <v>4</v>
      </c>
      <c r="K8807" s="3" t="str">
        <f aca="false">IFERROR(INDEX('Teacher Lookup'!$B$2:$B$200,MATCH(A8807,'Teacher Lookup'!$A$2:$A$200,0)),"")</f>
        <v>YEUNG Ricky</v>
      </c>
    </row>
    <row r="8808" customFormat="false" ht="15" hidden="false" customHeight="false" outlineLevel="0" collapsed="false">
      <c r="A8808" s="3" t="s">
        <v>500</v>
      </c>
      <c r="B8808" s="4" t="s">
        <v>47</v>
      </c>
      <c r="C8808" s="4" t="n">
        <v>6</v>
      </c>
      <c r="D8808" s="4" t="s">
        <v>17</v>
      </c>
      <c r="E8808" s="3" t="s">
        <v>14</v>
      </c>
      <c r="F8808" s="4" t="str">
        <f aca="false">IF(I8808&gt;J8808,"Y","N")</f>
        <v>N</v>
      </c>
      <c r="G8808" s="3" t="s">
        <v>15</v>
      </c>
      <c r="H8808" s="3" t="s">
        <v>42</v>
      </c>
      <c r="I8808" s="4" t="n">
        <v>4</v>
      </c>
      <c r="J8808" s="4" t="n">
        <f aca="false">LEN(E8808)-LEN(SUBSTITUTE(E8808,",",""))+1</f>
        <v>4</v>
      </c>
      <c r="K8808" s="3" t="str">
        <f aca="false">IFERROR(INDEX('Teacher Lookup'!$B$2:$B$200,MATCH(A8808,'Teacher Lookup'!$A$2:$A$200,0)),"")</f>
        <v>YEUNG Ricky</v>
      </c>
    </row>
    <row r="8809" customFormat="false" ht="15" hidden="false" customHeight="false" outlineLevel="0" collapsed="false">
      <c r="A8809" s="3" t="s">
        <v>500</v>
      </c>
      <c r="B8809" s="4" t="s">
        <v>47</v>
      </c>
      <c r="C8809" s="4" t="n">
        <v>6</v>
      </c>
      <c r="D8809" s="4" t="s">
        <v>18</v>
      </c>
      <c r="E8809" s="3" t="s">
        <v>14</v>
      </c>
      <c r="F8809" s="4" t="str">
        <f aca="false">IF(I8809&gt;J8809,"Y","N")</f>
        <v>N</v>
      </c>
      <c r="G8809" s="3" t="s">
        <v>15</v>
      </c>
      <c r="H8809" s="3" t="s">
        <v>42</v>
      </c>
      <c r="I8809" s="4" t="n">
        <v>4</v>
      </c>
      <c r="J8809" s="4" t="n">
        <f aca="false">LEN(E8809)-LEN(SUBSTITUTE(E8809,",",""))+1</f>
        <v>4</v>
      </c>
      <c r="K8809" s="3" t="str">
        <f aca="false">IFERROR(INDEX('Teacher Lookup'!$B$2:$B$200,MATCH(A8809,'Teacher Lookup'!$A$2:$A$200,0)),"")</f>
        <v>YEUNG Ricky</v>
      </c>
    </row>
    <row r="8810" customFormat="false" ht="15" hidden="false" customHeight="false" outlineLevel="0" collapsed="false">
      <c r="A8810" s="3" t="s">
        <v>500</v>
      </c>
      <c r="B8810" s="4" t="s">
        <v>50</v>
      </c>
      <c r="C8810" s="4" t="n">
        <v>2</v>
      </c>
      <c r="D8810" s="4" t="s">
        <v>19</v>
      </c>
      <c r="E8810" s="3" t="s">
        <v>51</v>
      </c>
      <c r="F8810" s="4" t="str">
        <f aca="false">IF(I8810&gt;J8810,"Y","N")</f>
        <v>N</v>
      </c>
      <c r="G8810" s="3" t="s">
        <v>15</v>
      </c>
      <c r="H8810" s="3" t="s">
        <v>21</v>
      </c>
      <c r="I8810" s="4" t="n">
        <v>4</v>
      </c>
      <c r="J8810" s="4" t="n">
        <f aca="false">LEN(E8810)-LEN(SUBSTITUTE(E8810,",",""))+1</f>
        <v>4</v>
      </c>
      <c r="K8810" s="3" t="str">
        <f aca="false">IFERROR(INDEX('Teacher Lookup'!$B$2:$B$200,MATCH(A8810,'Teacher Lookup'!$A$2:$A$200,0)),"")</f>
        <v>YEUNG Ricky</v>
      </c>
    </row>
    <row r="8811" customFormat="false" ht="15" hidden="false" customHeight="false" outlineLevel="0" collapsed="false">
      <c r="A8811" s="3" t="s">
        <v>500</v>
      </c>
      <c r="B8811" s="4" t="s">
        <v>50</v>
      </c>
      <c r="C8811" s="4" t="n">
        <v>2</v>
      </c>
      <c r="D8811" s="4" t="s">
        <v>22</v>
      </c>
      <c r="E8811" s="3" t="s">
        <v>51</v>
      </c>
      <c r="F8811" s="4" t="str">
        <f aca="false">IF(I8811&gt;J8811,"Y","N")</f>
        <v>N</v>
      </c>
      <c r="G8811" s="3" t="s">
        <v>15</v>
      </c>
      <c r="H8811" s="3" t="s">
        <v>21</v>
      </c>
      <c r="I8811" s="4" t="n">
        <v>4</v>
      </c>
      <c r="J8811" s="4" t="n">
        <f aca="false">LEN(E8811)-LEN(SUBSTITUTE(E8811,",",""))+1</f>
        <v>4</v>
      </c>
      <c r="K8811" s="3" t="str">
        <f aca="false">IFERROR(INDEX('Teacher Lookup'!$B$2:$B$200,MATCH(A8811,'Teacher Lookup'!$A$2:$A$200,0)),"")</f>
        <v>YEUNG Ricky</v>
      </c>
    </row>
    <row r="8812" customFormat="false" ht="15" hidden="false" customHeight="false" outlineLevel="0" collapsed="false">
      <c r="A8812" s="3" t="s">
        <v>500</v>
      </c>
      <c r="B8812" s="4" t="s">
        <v>50</v>
      </c>
      <c r="C8812" s="4" t="n">
        <v>2</v>
      </c>
      <c r="D8812" s="4" t="s">
        <v>23</v>
      </c>
      <c r="E8812" s="3" t="s">
        <v>51</v>
      </c>
      <c r="F8812" s="4" t="str">
        <f aca="false">IF(I8812&gt;J8812,"Y","N")</f>
        <v>N</v>
      </c>
      <c r="G8812" s="3" t="s">
        <v>15</v>
      </c>
      <c r="H8812" s="3" t="s">
        <v>21</v>
      </c>
      <c r="I8812" s="4" t="n">
        <v>4</v>
      </c>
      <c r="J8812" s="4" t="n">
        <f aca="false">LEN(E8812)-LEN(SUBSTITUTE(E8812,",",""))+1</f>
        <v>4</v>
      </c>
      <c r="K8812" s="3" t="str">
        <f aca="false">IFERROR(INDEX('Teacher Lookup'!$B$2:$B$200,MATCH(A8812,'Teacher Lookup'!$A$2:$A$200,0)),"")</f>
        <v>YEUNG Ricky</v>
      </c>
    </row>
    <row r="8813" customFormat="false" ht="15" hidden="false" customHeight="false" outlineLevel="0" collapsed="false">
      <c r="A8813" s="3" t="s">
        <v>500</v>
      </c>
      <c r="B8813" s="4" t="s">
        <v>50</v>
      </c>
      <c r="C8813" s="4" t="n">
        <v>3</v>
      </c>
      <c r="D8813" s="4" t="s">
        <v>24</v>
      </c>
      <c r="E8813" s="3" t="s">
        <v>41</v>
      </c>
      <c r="F8813" s="4" t="str">
        <f aca="false">IF(I8813&gt;J8813,"Y","N")</f>
        <v>N</v>
      </c>
      <c r="G8813" s="3" t="s">
        <v>15</v>
      </c>
      <c r="H8813" s="3" t="s">
        <v>26</v>
      </c>
      <c r="I8813" s="4" t="n">
        <v>6</v>
      </c>
      <c r="J8813" s="4" t="n">
        <f aca="false">LEN(E8813)-LEN(SUBSTITUTE(E8813,",",""))+1</f>
        <v>6</v>
      </c>
      <c r="K8813" s="3" t="str">
        <f aca="false">IFERROR(INDEX('Teacher Lookup'!$B$2:$B$200,MATCH(A8813,'Teacher Lookup'!$A$2:$A$200,0)),"")</f>
        <v>YEUNG Ricky</v>
      </c>
    </row>
    <row r="8814" customFormat="false" ht="15" hidden="false" customHeight="false" outlineLevel="0" collapsed="false">
      <c r="A8814" s="3" t="s">
        <v>500</v>
      </c>
      <c r="B8814" s="4" t="s">
        <v>50</v>
      </c>
      <c r="C8814" s="4" t="n">
        <v>3</v>
      </c>
      <c r="D8814" s="4" t="s">
        <v>27</v>
      </c>
      <c r="E8814" s="3" t="s">
        <v>41</v>
      </c>
      <c r="F8814" s="4" t="str">
        <f aca="false">IF(I8814&gt;J8814,"Y","N")</f>
        <v>N</v>
      </c>
      <c r="G8814" s="3" t="s">
        <v>15</v>
      </c>
      <c r="H8814" s="3" t="s">
        <v>26</v>
      </c>
      <c r="I8814" s="4" t="n">
        <v>6</v>
      </c>
      <c r="J8814" s="4" t="n">
        <f aca="false">LEN(E8814)-LEN(SUBSTITUTE(E8814,",",""))+1</f>
        <v>6</v>
      </c>
      <c r="K8814" s="3" t="str">
        <f aca="false">IFERROR(INDEX('Teacher Lookup'!$B$2:$B$200,MATCH(A8814,'Teacher Lookup'!$A$2:$A$200,0)),"")</f>
        <v>YEUNG Ricky</v>
      </c>
    </row>
    <row r="8815" customFormat="false" ht="15" hidden="false" customHeight="false" outlineLevel="0" collapsed="false">
      <c r="A8815" s="3" t="s">
        <v>500</v>
      </c>
      <c r="B8815" s="4" t="s">
        <v>50</v>
      </c>
      <c r="C8815" s="4" t="n">
        <v>3</v>
      </c>
      <c r="D8815" s="4" t="s">
        <v>28</v>
      </c>
      <c r="E8815" s="3" t="s">
        <v>41</v>
      </c>
      <c r="F8815" s="4" t="str">
        <f aca="false">IF(I8815&gt;J8815,"Y","N")</f>
        <v>N</v>
      </c>
      <c r="G8815" s="3" t="s">
        <v>15</v>
      </c>
      <c r="H8815" s="3" t="s">
        <v>26</v>
      </c>
      <c r="I8815" s="4" t="n">
        <v>6</v>
      </c>
      <c r="J8815" s="4" t="n">
        <f aca="false">LEN(E8815)-LEN(SUBSTITUTE(E8815,",",""))+1</f>
        <v>6</v>
      </c>
      <c r="K8815" s="3" t="str">
        <f aca="false">IFERROR(INDEX('Teacher Lookup'!$B$2:$B$200,MATCH(A8815,'Teacher Lookup'!$A$2:$A$200,0)),"")</f>
        <v>YEUNG Ricky</v>
      </c>
    </row>
    <row r="8816" customFormat="false" ht="15" hidden="false" customHeight="false" outlineLevel="0" collapsed="false">
      <c r="A8816" s="3" t="s">
        <v>500</v>
      </c>
      <c r="B8816" s="4" t="s">
        <v>50</v>
      </c>
      <c r="C8816" s="4" t="n">
        <v>3</v>
      </c>
      <c r="D8816" s="4" t="s">
        <v>29</v>
      </c>
      <c r="E8816" s="3" t="s">
        <v>41</v>
      </c>
      <c r="F8816" s="4" t="str">
        <f aca="false">IF(I8816&gt;J8816,"Y","N")</f>
        <v>N</v>
      </c>
      <c r="G8816" s="3" t="s">
        <v>15</v>
      </c>
      <c r="H8816" s="3" t="s">
        <v>26</v>
      </c>
      <c r="I8816" s="4" t="n">
        <v>6</v>
      </c>
      <c r="J8816" s="4" t="n">
        <f aca="false">LEN(E8816)-LEN(SUBSTITUTE(E8816,",",""))+1</f>
        <v>6</v>
      </c>
      <c r="K8816" s="3" t="str">
        <f aca="false">IFERROR(INDEX('Teacher Lookup'!$B$2:$B$200,MATCH(A8816,'Teacher Lookup'!$A$2:$A$200,0)),"")</f>
        <v>YEUNG Ricky</v>
      </c>
    </row>
    <row r="8817" customFormat="false" ht="15" hidden="false" customHeight="false" outlineLevel="0" collapsed="false">
      <c r="A8817" s="3" t="s">
        <v>500</v>
      </c>
      <c r="B8817" s="4" t="s">
        <v>50</v>
      </c>
      <c r="C8817" s="4" t="n">
        <v>3</v>
      </c>
      <c r="D8817" s="4" t="s">
        <v>30</v>
      </c>
      <c r="E8817" s="3" t="s">
        <v>41</v>
      </c>
      <c r="F8817" s="4" t="str">
        <f aca="false">IF(I8817&gt;J8817,"Y","N")</f>
        <v>N</v>
      </c>
      <c r="G8817" s="3" t="s">
        <v>15</v>
      </c>
      <c r="H8817" s="3" t="s">
        <v>26</v>
      </c>
      <c r="I8817" s="4" t="n">
        <v>6</v>
      </c>
      <c r="J8817" s="4" t="n">
        <f aca="false">LEN(E8817)-LEN(SUBSTITUTE(E8817,",",""))+1</f>
        <v>6</v>
      </c>
      <c r="K8817" s="3" t="str">
        <f aca="false">IFERROR(INDEX('Teacher Lookup'!$B$2:$B$200,MATCH(A8817,'Teacher Lookup'!$A$2:$A$200,0)),"")</f>
        <v>YEUNG Ricky</v>
      </c>
    </row>
    <row r="8818" customFormat="false" ht="15" hidden="false" customHeight="false" outlineLevel="0" collapsed="false">
      <c r="A8818" s="3" t="s">
        <v>500</v>
      </c>
      <c r="B8818" s="4" t="s">
        <v>50</v>
      </c>
      <c r="C8818" s="4" t="n">
        <v>4</v>
      </c>
      <c r="D8818" s="4" t="s">
        <v>13</v>
      </c>
      <c r="E8818" s="3" t="s">
        <v>32</v>
      </c>
      <c r="F8818" s="4" t="str">
        <f aca="false">IF(I8818&gt;J8818,"Y","N")</f>
        <v>N</v>
      </c>
      <c r="G8818" s="3" t="s">
        <v>15</v>
      </c>
      <c r="H8818" s="3" t="s">
        <v>34</v>
      </c>
      <c r="I8818" s="4" t="n">
        <v>4</v>
      </c>
      <c r="J8818" s="4" t="n">
        <f aca="false">LEN(E8818)-LEN(SUBSTITUTE(E8818,",",""))+1</f>
        <v>4</v>
      </c>
      <c r="K8818" s="3" t="str">
        <f aca="false">IFERROR(INDEX('Teacher Lookup'!$B$2:$B$200,MATCH(A8818,'Teacher Lookup'!$A$2:$A$200,0)),"")</f>
        <v>YEUNG Ricky</v>
      </c>
    </row>
    <row r="8819" customFormat="false" ht="15" hidden="false" customHeight="false" outlineLevel="0" collapsed="false">
      <c r="A8819" s="3" t="s">
        <v>500</v>
      </c>
      <c r="B8819" s="4" t="s">
        <v>50</v>
      </c>
      <c r="C8819" s="4" t="n">
        <v>4</v>
      </c>
      <c r="D8819" s="4" t="s">
        <v>17</v>
      </c>
      <c r="E8819" s="3" t="s">
        <v>32</v>
      </c>
      <c r="F8819" s="4" t="str">
        <f aca="false">IF(I8819&gt;J8819,"Y","N")</f>
        <v>N</v>
      </c>
      <c r="G8819" s="3" t="s">
        <v>15</v>
      </c>
      <c r="H8819" s="3" t="s">
        <v>34</v>
      </c>
      <c r="I8819" s="4" t="n">
        <v>4</v>
      </c>
      <c r="J8819" s="4" t="n">
        <f aca="false">LEN(E8819)-LEN(SUBSTITUTE(E8819,",",""))+1</f>
        <v>4</v>
      </c>
      <c r="K8819" s="3" t="str">
        <f aca="false">IFERROR(INDEX('Teacher Lookup'!$B$2:$B$200,MATCH(A8819,'Teacher Lookup'!$A$2:$A$200,0)),"")</f>
        <v>YEUNG Ricky</v>
      </c>
    </row>
    <row r="8820" customFormat="false" ht="15" hidden="false" customHeight="false" outlineLevel="0" collapsed="false">
      <c r="A8820" s="3" t="s">
        <v>500</v>
      </c>
      <c r="B8820" s="4" t="s">
        <v>50</v>
      </c>
      <c r="C8820" s="4" t="n">
        <v>4</v>
      </c>
      <c r="D8820" s="4" t="s">
        <v>18</v>
      </c>
      <c r="E8820" s="3" t="s">
        <v>32</v>
      </c>
      <c r="F8820" s="4" t="str">
        <f aca="false">IF(I8820&gt;J8820,"Y","N")</f>
        <v>N</v>
      </c>
      <c r="G8820" s="3" t="s">
        <v>15</v>
      </c>
      <c r="H8820" s="3" t="s">
        <v>34</v>
      </c>
      <c r="I8820" s="4" t="n">
        <v>4</v>
      </c>
      <c r="J8820" s="4" t="n">
        <f aca="false">LEN(E8820)-LEN(SUBSTITUTE(E8820,",",""))+1</f>
        <v>4</v>
      </c>
      <c r="K8820" s="3" t="str">
        <f aca="false">IFERROR(INDEX('Teacher Lookup'!$B$2:$B$200,MATCH(A8820,'Teacher Lookup'!$A$2:$A$200,0)),"")</f>
        <v>YEUNG Ricky</v>
      </c>
    </row>
    <row r="8821" customFormat="false" ht="15" hidden="false" customHeight="false" outlineLevel="0" collapsed="false">
      <c r="A8821" s="3" t="s">
        <v>500</v>
      </c>
      <c r="B8821" s="4" t="s">
        <v>60</v>
      </c>
      <c r="C8821" s="4" t="n">
        <v>5</v>
      </c>
      <c r="D8821" s="4" t="s">
        <v>19</v>
      </c>
      <c r="E8821" s="3" t="s">
        <v>35</v>
      </c>
      <c r="F8821" s="4" t="str">
        <f aca="false">IF(I8821&gt;J8821,"Y","N")</f>
        <v>Y</v>
      </c>
      <c r="G8821" s="3" t="s">
        <v>36</v>
      </c>
      <c r="H8821" s="3" t="s">
        <v>37</v>
      </c>
      <c r="I8821" s="4" t="n">
        <v>17</v>
      </c>
      <c r="J8821" s="4" t="n">
        <f aca="false">LEN(E8821)-LEN(SUBSTITUTE(E8821,",",""))+1</f>
        <v>7</v>
      </c>
      <c r="K8821" s="3" t="str">
        <f aca="false">IFERROR(INDEX('Teacher Lookup'!$B$2:$B$200,MATCH(A8821,'Teacher Lookup'!$A$2:$A$200,0)),"")</f>
        <v>YEUNG Ricky</v>
      </c>
    </row>
    <row r="8822" customFormat="false" ht="15" hidden="false" customHeight="false" outlineLevel="0" collapsed="false">
      <c r="A8822" s="3" t="s">
        <v>500</v>
      </c>
      <c r="B8822" s="4" t="s">
        <v>60</v>
      </c>
      <c r="C8822" s="4" t="n">
        <v>5</v>
      </c>
      <c r="D8822" s="4" t="s">
        <v>22</v>
      </c>
      <c r="E8822" s="3" t="s">
        <v>35</v>
      </c>
      <c r="F8822" s="4" t="str">
        <f aca="false">IF(I8822&gt;J8822,"Y","N")</f>
        <v>Y</v>
      </c>
      <c r="G8822" s="3" t="s">
        <v>36</v>
      </c>
      <c r="H8822" s="3" t="s">
        <v>37</v>
      </c>
      <c r="I8822" s="4" t="n">
        <v>17</v>
      </c>
      <c r="J8822" s="4" t="n">
        <f aca="false">LEN(E8822)-LEN(SUBSTITUTE(E8822,",",""))+1</f>
        <v>7</v>
      </c>
      <c r="K8822" s="3" t="str">
        <f aca="false">IFERROR(INDEX('Teacher Lookup'!$B$2:$B$200,MATCH(A8822,'Teacher Lookup'!$A$2:$A$200,0)),"")</f>
        <v>YEUNG Ricky</v>
      </c>
    </row>
    <row r="8823" customFormat="false" ht="15" hidden="false" customHeight="false" outlineLevel="0" collapsed="false">
      <c r="A8823" s="3" t="s">
        <v>500</v>
      </c>
      <c r="B8823" s="4" t="s">
        <v>60</v>
      </c>
      <c r="C8823" s="4" t="n">
        <v>5</v>
      </c>
      <c r="D8823" s="4" t="s">
        <v>23</v>
      </c>
      <c r="E8823" s="3" t="s">
        <v>35</v>
      </c>
      <c r="F8823" s="4" t="str">
        <f aca="false">IF(I8823&gt;J8823,"Y","N")</f>
        <v>Y</v>
      </c>
      <c r="G8823" s="3" t="s">
        <v>36</v>
      </c>
      <c r="H8823" s="3" t="s">
        <v>37</v>
      </c>
      <c r="I8823" s="4" t="n">
        <v>17</v>
      </c>
      <c r="J8823" s="4" t="n">
        <f aca="false">LEN(E8823)-LEN(SUBSTITUTE(E8823,",",""))+1</f>
        <v>7</v>
      </c>
      <c r="K8823" s="3" t="str">
        <f aca="false">IFERROR(INDEX('Teacher Lookup'!$B$2:$B$200,MATCH(A8823,'Teacher Lookup'!$A$2:$A$200,0)),"")</f>
        <v>YEUNG Ricky</v>
      </c>
    </row>
    <row r="8824" customFormat="false" ht="15" hidden="false" customHeight="false" outlineLevel="0" collapsed="false">
      <c r="A8824" s="3" t="s">
        <v>500</v>
      </c>
      <c r="B8824" s="4" t="s">
        <v>60</v>
      </c>
      <c r="C8824" s="4" t="n">
        <v>5</v>
      </c>
      <c r="D8824" s="4" t="s">
        <v>13</v>
      </c>
      <c r="E8824" s="3" t="s">
        <v>35</v>
      </c>
      <c r="F8824" s="4" t="str">
        <f aca="false">IF(I8824&gt;J8824,"Y","N")</f>
        <v>Y</v>
      </c>
      <c r="G8824" s="3" t="s">
        <v>36</v>
      </c>
      <c r="H8824" s="3" t="s">
        <v>37</v>
      </c>
      <c r="I8824" s="4" t="n">
        <v>17</v>
      </c>
      <c r="J8824" s="4" t="n">
        <f aca="false">LEN(E8824)-LEN(SUBSTITUTE(E8824,",",""))+1</f>
        <v>7</v>
      </c>
      <c r="K8824" s="3" t="str">
        <f aca="false">IFERROR(INDEX('Teacher Lookup'!$B$2:$B$200,MATCH(A8824,'Teacher Lookup'!$A$2:$A$200,0)),"")</f>
        <v>YEUNG Ricky</v>
      </c>
    </row>
    <row r="8825" customFormat="false" ht="15" hidden="false" customHeight="false" outlineLevel="0" collapsed="false">
      <c r="A8825" s="3" t="s">
        <v>500</v>
      </c>
      <c r="B8825" s="4" t="s">
        <v>60</v>
      </c>
      <c r="C8825" s="4" t="n">
        <v>5</v>
      </c>
      <c r="D8825" s="4" t="s">
        <v>17</v>
      </c>
      <c r="E8825" s="3" t="s">
        <v>35</v>
      </c>
      <c r="F8825" s="4" t="str">
        <f aca="false">IF(I8825&gt;J8825,"Y","N")</f>
        <v>Y</v>
      </c>
      <c r="G8825" s="3" t="s">
        <v>36</v>
      </c>
      <c r="H8825" s="3" t="s">
        <v>37</v>
      </c>
      <c r="I8825" s="4" t="n">
        <v>17</v>
      </c>
      <c r="J8825" s="4" t="n">
        <f aca="false">LEN(E8825)-LEN(SUBSTITUTE(E8825,",",""))+1</f>
        <v>7</v>
      </c>
      <c r="K8825" s="3" t="str">
        <f aca="false">IFERROR(INDEX('Teacher Lookup'!$B$2:$B$200,MATCH(A8825,'Teacher Lookup'!$A$2:$A$200,0)),"")</f>
        <v>YEUNG Ricky</v>
      </c>
    </row>
    <row r="8826" customFormat="false" ht="15" hidden="false" customHeight="false" outlineLevel="0" collapsed="false">
      <c r="A8826" s="3" t="s">
        <v>500</v>
      </c>
      <c r="B8826" s="4" t="s">
        <v>60</v>
      </c>
      <c r="C8826" s="4" t="n">
        <v>5</v>
      </c>
      <c r="D8826" s="4" t="s">
        <v>18</v>
      </c>
      <c r="E8826" s="3" t="s">
        <v>35</v>
      </c>
      <c r="F8826" s="4" t="str">
        <f aca="false">IF(I8826&gt;J8826,"Y","N")</f>
        <v>Y</v>
      </c>
      <c r="G8826" s="3" t="s">
        <v>36</v>
      </c>
      <c r="H8826" s="3" t="s">
        <v>37</v>
      </c>
      <c r="I8826" s="4" t="n">
        <v>17</v>
      </c>
      <c r="J8826" s="4" t="n">
        <f aca="false">LEN(E8826)-LEN(SUBSTITUTE(E8826,",",""))+1</f>
        <v>7</v>
      </c>
      <c r="K8826" s="3" t="str">
        <f aca="false">IFERROR(INDEX('Teacher Lookup'!$B$2:$B$200,MATCH(A8826,'Teacher Lookup'!$A$2:$A$200,0)),"")</f>
        <v>YEUNG Ricky</v>
      </c>
    </row>
    <row r="8827" customFormat="false" ht="15" hidden="false" customHeight="false" outlineLevel="0" collapsed="false">
      <c r="A8827" s="3" t="s">
        <v>500</v>
      </c>
      <c r="B8827" s="4" t="s">
        <v>60</v>
      </c>
      <c r="C8827" s="4" t="n">
        <v>6</v>
      </c>
      <c r="D8827" s="4" t="s">
        <v>24</v>
      </c>
      <c r="E8827" s="3" t="s">
        <v>61</v>
      </c>
      <c r="F8827" s="4" t="str">
        <f aca="false">IF(I8827&gt;J8827,"Y","N")</f>
        <v>N</v>
      </c>
      <c r="G8827" s="3" t="s">
        <v>15</v>
      </c>
      <c r="H8827" s="3" t="s">
        <v>42</v>
      </c>
      <c r="I8827" s="4" t="n">
        <v>6</v>
      </c>
      <c r="J8827" s="4" t="n">
        <f aca="false">LEN(E8827)-LEN(SUBSTITUTE(E8827,",",""))+1</f>
        <v>6</v>
      </c>
      <c r="K8827" s="3" t="str">
        <f aca="false">IFERROR(INDEX('Teacher Lookup'!$B$2:$B$200,MATCH(A8827,'Teacher Lookup'!$A$2:$A$200,0)),"")</f>
        <v>YEUNG Ricky</v>
      </c>
    </row>
    <row r="8828" customFormat="false" ht="15" hidden="false" customHeight="false" outlineLevel="0" collapsed="false">
      <c r="A8828" s="3" t="s">
        <v>500</v>
      </c>
      <c r="B8828" s="4" t="s">
        <v>60</v>
      </c>
      <c r="C8828" s="4" t="n">
        <v>6</v>
      </c>
      <c r="D8828" s="4" t="s">
        <v>27</v>
      </c>
      <c r="E8828" s="3" t="s">
        <v>61</v>
      </c>
      <c r="F8828" s="4" t="str">
        <f aca="false">IF(I8828&gt;J8828,"Y","N")</f>
        <v>N</v>
      </c>
      <c r="G8828" s="3" t="s">
        <v>15</v>
      </c>
      <c r="H8828" s="3" t="s">
        <v>42</v>
      </c>
      <c r="I8828" s="4" t="n">
        <v>6</v>
      </c>
      <c r="J8828" s="4" t="n">
        <f aca="false">LEN(E8828)-LEN(SUBSTITUTE(E8828,",",""))+1</f>
        <v>6</v>
      </c>
      <c r="K8828" s="3" t="str">
        <f aca="false">IFERROR(INDEX('Teacher Lookup'!$B$2:$B$200,MATCH(A8828,'Teacher Lookup'!$A$2:$A$200,0)),"")</f>
        <v>YEUNG Ricky</v>
      </c>
    </row>
    <row r="8829" customFormat="false" ht="15" hidden="false" customHeight="false" outlineLevel="0" collapsed="false">
      <c r="A8829" s="3" t="s">
        <v>500</v>
      </c>
      <c r="B8829" s="4" t="s">
        <v>60</v>
      </c>
      <c r="C8829" s="4" t="n">
        <v>6</v>
      </c>
      <c r="D8829" s="4" t="s">
        <v>28</v>
      </c>
      <c r="E8829" s="3" t="s">
        <v>61</v>
      </c>
      <c r="F8829" s="4" t="str">
        <f aca="false">IF(I8829&gt;J8829,"Y","N")</f>
        <v>N</v>
      </c>
      <c r="G8829" s="3" t="s">
        <v>15</v>
      </c>
      <c r="H8829" s="3" t="s">
        <v>42</v>
      </c>
      <c r="I8829" s="4" t="n">
        <v>6</v>
      </c>
      <c r="J8829" s="4" t="n">
        <f aca="false">LEN(E8829)-LEN(SUBSTITUTE(E8829,",",""))+1</f>
        <v>6</v>
      </c>
      <c r="K8829" s="3" t="str">
        <f aca="false">IFERROR(INDEX('Teacher Lookup'!$B$2:$B$200,MATCH(A8829,'Teacher Lookup'!$A$2:$A$200,0)),"")</f>
        <v>YEUNG Ricky</v>
      </c>
    </row>
    <row r="8830" customFormat="false" ht="15" hidden="false" customHeight="false" outlineLevel="0" collapsed="false">
      <c r="A8830" s="3" t="s">
        <v>500</v>
      </c>
      <c r="B8830" s="4" t="s">
        <v>60</v>
      </c>
      <c r="C8830" s="4" t="n">
        <v>6</v>
      </c>
      <c r="D8830" s="4" t="s">
        <v>29</v>
      </c>
      <c r="E8830" s="3" t="s">
        <v>61</v>
      </c>
      <c r="F8830" s="4" t="str">
        <f aca="false">IF(I8830&gt;J8830,"Y","N")</f>
        <v>N</v>
      </c>
      <c r="G8830" s="3" t="s">
        <v>15</v>
      </c>
      <c r="H8830" s="3" t="s">
        <v>42</v>
      </c>
      <c r="I8830" s="4" t="n">
        <v>6</v>
      </c>
      <c r="J8830" s="4" t="n">
        <f aca="false">LEN(E8830)-LEN(SUBSTITUTE(E8830,",",""))+1</f>
        <v>6</v>
      </c>
      <c r="K8830" s="3" t="str">
        <f aca="false">IFERROR(INDEX('Teacher Lookup'!$B$2:$B$200,MATCH(A8830,'Teacher Lookup'!$A$2:$A$200,0)),"")</f>
        <v>YEUNG Ricky</v>
      </c>
    </row>
    <row r="8831" customFormat="false" ht="15" hidden="false" customHeight="false" outlineLevel="0" collapsed="false">
      <c r="A8831" s="3" t="s">
        <v>500</v>
      </c>
      <c r="B8831" s="4" t="s">
        <v>60</v>
      </c>
      <c r="C8831" s="4" t="n">
        <v>6</v>
      </c>
      <c r="D8831" s="4" t="s">
        <v>30</v>
      </c>
      <c r="E8831" s="3" t="s">
        <v>61</v>
      </c>
      <c r="F8831" s="4" t="str">
        <f aca="false">IF(I8831&gt;J8831,"Y","N")</f>
        <v>N</v>
      </c>
      <c r="G8831" s="3" t="s">
        <v>15</v>
      </c>
      <c r="H8831" s="3" t="s">
        <v>42</v>
      </c>
      <c r="I8831" s="4" t="n">
        <v>6</v>
      </c>
      <c r="J8831" s="4" t="n">
        <f aca="false">LEN(E8831)-LEN(SUBSTITUTE(E8831,",",""))+1</f>
        <v>6</v>
      </c>
      <c r="K8831" s="3" t="str">
        <f aca="false">IFERROR(INDEX('Teacher Lookup'!$B$2:$B$200,MATCH(A8831,'Teacher Lookup'!$A$2:$A$200,0)),"")</f>
        <v>YEUNG Ricky</v>
      </c>
    </row>
    <row r="8832" customFormat="false" ht="15" hidden="false" customHeight="false" outlineLevel="0" collapsed="false">
      <c r="A8832" s="3" t="s">
        <v>500</v>
      </c>
      <c r="B8832" s="4" t="s">
        <v>60</v>
      </c>
      <c r="C8832" s="4" t="n">
        <v>7</v>
      </c>
      <c r="D8832" s="4" t="s">
        <v>19</v>
      </c>
      <c r="E8832" s="3" t="s">
        <v>62</v>
      </c>
      <c r="F8832" s="4" t="str">
        <f aca="false">IF(I8832&gt;J8832,"Y","N")</f>
        <v>N</v>
      </c>
      <c r="G8832" s="3" t="s">
        <v>15</v>
      </c>
      <c r="H8832" s="3" t="s">
        <v>39</v>
      </c>
      <c r="I8832" s="4" t="n">
        <v>4</v>
      </c>
      <c r="J8832" s="4" t="n">
        <f aca="false">LEN(E8832)-LEN(SUBSTITUTE(E8832,",",""))+1</f>
        <v>4</v>
      </c>
      <c r="K8832" s="3" t="str">
        <f aca="false">IFERROR(INDEX('Teacher Lookup'!$B$2:$B$200,MATCH(A8832,'Teacher Lookup'!$A$2:$A$200,0)),"")</f>
        <v>YEUNG Ricky</v>
      </c>
    </row>
    <row r="8833" customFormat="false" ht="15" hidden="false" customHeight="false" outlineLevel="0" collapsed="false">
      <c r="A8833" s="3" t="s">
        <v>500</v>
      </c>
      <c r="B8833" s="4" t="s">
        <v>60</v>
      </c>
      <c r="C8833" s="4" t="n">
        <v>7</v>
      </c>
      <c r="D8833" s="4" t="s">
        <v>22</v>
      </c>
      <c r="E8833" s="3" t="s">
        <v>62</v>
      </c>
      <c r="F8833" s="4" t="str">
        <f aca="false">IF(I8833&gt;J8833,"Y","N")</f>
        <v>N</v>
      </c>
      <c r="G8833" s="3" t="s">
        <v>15</v>
      </c>
      <c r="H8833" s="3" t="s">
        <v>39</v>
      </c>
      <c r="I8833" s="4" t="n">
        <v>4</v>
      </c>
      <c r="J8833" s="4" t="n">
        <f aca="false">LEN(E8833)-LEN(SUBSTITUTE(E8833,",",""))+1</f>
        <v>4</v>
      </c>
      <c r="K8833" s="3" t="str">
        <f aca="false">IFERROR(INDEX('Teacher Lookup'!$B$2:$B$200,MATCH(A8833,'Teacher Lookup'!$A$2:$A$200,0)),"")</f>
        <v>YEUNG Ricky</v>
      </c>
    </row>
    <row r="8834" customFormat="false" ht="15" hidden="false" customHeight="false" outlineLevel="0" collapsed="false">
      <c r="A8834" s="3" t="s">
        <v>500</v>
      </c>
      <c r="B8834" s="4" t="s">
        <v>60</v>
      </c>
      <c r="C8834" s="4" t="n">
        <v>7</v>
      </c>
      <c r="D8834" s="4" t="s">
        <v>23</v>
      </c>
      <c r="E8834" s="3" t="s">
        <v>62</v>
      </c>
      <c r="F8834" s="4" t="str">
        <f aca="false">IF(I8834&gt;J8834,"Y","N")</f>
        <v>N</v>
      </c>
      <c r="G8834" s="3" t="s">
        <v>15</v>
      </c>
      <c r="H8834" s="3" t="s">
        <v>39</v>
      </c>
      <c r="I8834" s="4" t="n">
        <v>4</v>
      </c>
      <c r="J8834" s="4" t="n">
        <f aca="false">LEN(E8834)-LEN(SUBSTITUTE(E8834,",",""))+1</f>
        <v>4</v>
      </c>
      <c r="K8834" s="3" t="str">
        <f aca="false">IFERROR(INDEX('Teacher Lookup'!$B$2:$B$200,MATCH(A8834,'Teacher Lookup'!$A$2:$A$200,0)),"")</f>
        <v>YEUNG Ricky</v>
      </c>
    </row>
    <row r="8835" customFormat="false" ht="15" hidden="false" customHeight="false" outlineLevel="0" collapsed="false">
      <c r="A8835" s="3" t="s">
        <v>500</v>
      </c>
      <c r="B8835" s="4" t="s">
        <v>63</v>
      </c>
      <c r="C8835" s="4" t="n">
        <v>1</v>
      </c>
      <c r="D8835" s="4" t="s">
        <v>24</v>
      </c>
      <c r="E8835" s="3" t="s">
        <v>64</v>
      </c>
      <c r="F8835" s="4" t="str">
        <f aca="false">IF(I8835&gt;J8835,"Y","N")</f>
        <v>N</v>
      </c>
      <c r="G8835" s="3" t="s">
        <v>15</v>
      </c>
      <c r="H8835" s="3" t="s">
        <v>16</v>
      </c>
      <c r="I8835" s="4" t="n">
        <v>6</v>
      </c>
      <c r="J8835" s="4" t="n">
        <f aca="false">LEN(E8835)-LEN(SUBSTITUTE(E8835,",",""))+1</f>
        <v>6</v>
      </c>
      <c r="K8835" s="3" t="str">
        <f aca="false">IFERROR(INDEX('Teacher Lookup'!$B$2:$B$200,MATCH(A8835,'Teacher Lookup'!$A$2:$A$200,0)),"")</f>
        <v>YEUNG Ricky</v>
      </c>
    </row>
    <row r="8836" customFormat="false" ht="15" hidden="false" customHeight="false" outlineLevel="0" collapsed="false">
      <c r="A8836" s="3" t="s">
        <v>500</v>
      </c>
      <c r="B8836" s="4" t="s">
        <v>63</v>
      </c>
      <c r="C8836" s="4" t="n">
        <v>1</v>
      </c>
      <c r="D8836" s="4" t="s">
        <v>27</v>
      </c>
      <c r="E8836" s="3" t="s">
        <v>64</v>
      </c>
      <c r="F8836" s="4" t="str">
        <f aca="false">IF(I8836&gt;J8836,"Y","N")</f>
        <v>N</v>
      </c>
      <c r="G8836" s="3" t="s">
        <v>15</v>
      </c>
      <c r="H8836" s="3" t="s">
        <v>16</v>
      </c>
      <c r="I8836" s="4" t="n">
        <v>6</v>
      </c>
      <c r="J8836" s="4" t="n">
        <f aca="false">LEN(E8836)-LEN(SUBSTITUTE(E8836,",",""))+1</f>
        <v>6</v>
      </c>
      <c r="K8836" s="3" t="str">
        <f aca="false">IFERROR(INDEX('Teacher Lookup'!$B$2:$B$200,MATCH(A8836,'Teacher Lookup'!$A$2:$A$200,0)),"")</f>
        <v>YEUNG Ricky</v>
      </c>
    </row>
    <row r="8837" customFormat="false" ht="15" hidden="false" customHeight="false" outlineLevel="0" collapsed="false">
      <c r="A8837" s="3" t="s">
        <v>500</v>
      </c>
      <c r="B8837" s="4" t="s">
        <v>63</v>
      </c>
      <c r="C8837" s="4" t="n">
        <v>1</v>
      </c>
      <c r="D8837" s="4" t="s">
        <v>28</v>
      </c>
      <c r="E8837" s="3" t="s">
        <v>64</v>
      </c>
      <c r="F8837" s="4" t="str">
        <f aca="false">IF(I8837&gt;J8837,"Y","N")</f>
        <v>N</v>
      </c>
      <c r="G8837" s="3" t="s">
        <v>15</v>
      </c>
      <c r="H8837" s="3" t="s">
        <v>16</v>
      </c>
      <c r="I8837" s="4" t="n">
        <v>6</v>
      </c>
      <c r="J8837" s="4" t="n">
        <f aca="false">LEN(E8837)-LEN(SUBSTITUTE(E8837,",",""))+1</f>
        <v>6</v>
      </c>
      <c r="K8837" s="3" t="str">
        <f aca="false">IFERROR(INDEX('Teacher Lookup'!$B$2:$B$200,MATCH(A8837,'Teacher Lookup'!$A$2:$A$200,0)),"")</f>
        <v>YEUNG Ricky</v>
      </c>
    </row>
    <row r="8838" customFormat="false" ht="15" hidden="false" customHeight="false" outlineLevel="0" collapsed="false">
      <c r="A8838" s="3" t="s">
        <v>500</v>
      </c>
      <c r="B8838" s="4" t="s">
        <v>63</v>
      </c>
      <c r="C8838" s="4" t="n">
        <v>1</v>
      </c>
      <c r="D8838" s="4" t="s">
        <v>29</v>
      </c>
      <c r="E8838" s="3" t="s">
        <v>64</v>
      </c>
      <c r="F8838" s="4" t="str">
        <f aca="false">IF(I8838&gt;J8838,"Y","N")</f>
        <v>N</v>
      </c>
      <c r="G8838" s="3" t="s">
        <v>15</v>
      </c>
      <c r="H8838" s="3" t="s">
        <v>16</v>
      </c>
      <c r="I8838" s="4" t="n">
        <v>6</v>
      </c>
      <c r="J8838" s="4" t="n">
        <f aca="false">LEN(E8838)-LEN(SUBSTITUTE(E8838,",",""))+1</f>
        <v>6</v>
      </c>
      <c r="K8838" s="3" t="str">
        <f aca="false">IFERROR(INDEX('Teacher Lookup'!$B$2:$B$200,MATCH(A8838,'Teacher Lookup'!$A$2:$A$200,0)),"")</f>
        <v>YEUNG Ricky</v>
      </c>
    </row>
    <row r="8839" customFormat="false" ht="15" hidden="false" customHeight="false" outlineLevel="0" collapsed="false">
      <c r="A8839" s="3" t="s">
        <v>500</v>
      </c>
      <c r="B8839" s="4" t="s">
        <v>63</v>
      </c>
      <c r="C8839" s="4" t="n">
        <v>1</v>
      </c>
      <c r="D8839" s="4" t="s">
        <v>30</v>
      </c>
      <c r="E8839" s="3" t="s">
        <v>64</v>
      </c>
      <c r="F8839" s="4" t="str">
        <f aca="false">IF(I8839&gt;J8839,"Y","N")</f>
        <v>N</v>
      </c>
      <c r="G8839" s="3" t="s">
        <v>15</v>
      </c>
      <c r="H8839" s="3" t="s">
        <v>16</v>
      </c>
      <c r="I8839" s="4" t="n">
        <v>6</v>
      </c>
      <c r="J8839" s="4" t="n">
        <f aca="false">LEN(E8839)-LEN(SUBSTITUTE(E8839,",",""))+1</f>
        <v>6</v>
      </c>
      <c r="K8839" s="3" t="str">
        <f aca="false">IFERROR(INDEX('Teacher Lookup'!$B$2:$B$200,MATCH(A8839,'Teacher Lookup'!$A$2:$A$200,0)),"")</f>
        <v>YEUNG Ricky</v>
      </c>
    </row>
    <row r="8840" customFormat="false" ht="15" hidden="false" customHeight="false" outlineLevel="0" collapsed="false">
      <c r="A8840" s="3" t="s">
        <v>500</v>
      </c>
      <c r="B8840" s="4" t="s">
        <v>63</v>
      </c>
      <c r="C8840" s="4" t="n">
        <v>2</v>
      </c>
      <c r="D8840" s="4" t="s">
        <v>19</v>
      </c>
      <c r="E8840" s="3" t="s">
        <v>48</v>
      </c>
      <c r="F8840" s="4" t="str">
        <f aca="false">IF(I8840&gt;J8840,"Y","N")</f>
        <v>N</v>
      </c>
      <c r="G8840" s="3" t="s">
        <v>15</v>
      </c>
      <c r="H8840" s="3" t="s">
        <v>21</v>
      </c>
      <c r="I8840" s="4" t="n">
        <v>4</v>
      </c>
      <c r="J8840" s="4" t="n">
        <f aca="false">LEN(E8840)-LEN(SUBSTITUTE(E8840,",",""))+1</f>
        <v>4</v>
      </c>
      <c r="K8840" s="3" t="str">
        <f aca="false">IFERROR(INDEX('Teacher Lookup'!$B$2:$B$200,MATCH(A8840,'Teacher Lookup'!$A$2:$A$200,0)),"")</f>
        <v>YEUNG Ricky</v>
      </c>
    </row>
    <row r="8841" customFormat="false" ht="15" hidden="false" customHeight="false" outlineLevel="0" collapsed="false">
      <c r="A8841" s="3" t="s">
        <v>500</v>
      </c>
      <c r="B8841" s="4" t="s">
        <v>63</v>
      </c>
      <c r="C8841" s="4" t="n">
        <v>2</v>
      </c>
      <c r="D8841" s="4" t="s">
        <v>22</v>
      </c>
      <c r="E8841" s="3" t="s">
        <v>48</v>
      </c>
      <c r="F8841" s="4" t="str">
        <f aca="false">IF(I8841&gt;J8841,"Y","N")</f>
        <v>N</v>
      </c>
      <c r="G8841" s="3" t="s">
        <v>15</v>
      </c>
      <c r="H8841" s="3" t="s">
        <v>21</v>
      </c>
      <c r="I8841" s="4" t="n">
        <v>4</v>
      </c>
      <c r="J8841" s="4" t="n">
        <f aca="false">LEN(E8841)-LEN(SUBSTITUTE(E8841,",",""))+1</f>
        <v>4</v>
      </c>
      <c r="K8841" s="3" t="str">
        <f aca="false">IFERROR(INDEX('Teacher Lookup'!$B$2:$B$200,MATCH(A8841,'Teacher Lookup'!$A$2:$A$200,0)),"")</f>
        <v>YEUNG Ricky</v>
      </c>
    </row>
    <row r="8842" customFormat="false" ht="15" hidden="false" customHeight="false" outlineLevel="0" collapsed="false">
      <c r="A8842" s="3" t="s">
        <v>500</v>
      </c>
      <c r="B8842" s="4" t="s">
        <v>63</v>
      </c>
      <c r="C8842" s="4" t="n">
        <v>2</v>
      </c>
      <c r="D8842" s="4" t="s">
        <v>23</v>
      </c>
      <c r="E8842" s="3" t="s">
        <v>48</v>
      </c>
      <c r="F8842" s="4" t="str">
        <f aca="false">IF(I8842&gt;J8842,"Y","N")</f>
        <v>N</v>
      </c>
      <c r="G8842" s="3" t="s">
        <v>15</v>
      </c>
      <c r="H8842" s="3" t="s">
        <v>21</v>
      </c>
      <c r="I8842" s="4" t="n">
        <v>4</v>
      </c>
      <c r="J8842" s="4" t="n">
        <f aca="false">LEN(E8842)-LEN(SUBSTITUTE(E8842,",",""))+1</f>
        <v>4</v>
      </c>
      <c r="K8842" s="3" t="str">
        <f aca="false">IFERROR(INDEX('Teacher Lookup'!$B$2:$B$200,MATCH(A8842,'Teacher Lookup'!$A$2:$A$200,0)),"")</f>
        <v>YEUNG Ricky</v>
      </c>
    </row>
    <row r="8843" customFormat="false" ht="15" hidden="false" customHeight="false" outlineLevel="0" collapsed="false">
      <c r="A8843" s="3" t="s">
        <v>500</v>
      </c>
      <c r="B8843" s="4" t="s">
        <v>63</v>
      </c>
      <c r="C8843" s="4" t="n">
        <v>4</v>
      </c>
      <c r="D8843" s="4" t="s">
        <v>70</v>
      </c>
      <c r="E8843" s="3" t="s">
        <v>213</v>
      </c>
      <c r="F8843" s="4" t="str">
        <f aca="false">IF(I8843&gt;J8843,"Y","N")</f>
        <v>Y</v>
      </c>
      <c r="G8843" s="3" t="s">
        <v>214</v>
      </c>
      <c r="H8843" s="3" t="s">
        <v>34</v>
      </c>
      <c r="I8843" s="4" t="n">
        <v>20</v>
      </c>
      <c r="J8843" s="4" t="n">
        <f aca="false">LEN(E8843)-LEN(SUBSTITUTE(E8843,",",""))+1</f>
        <v>6</v>
      </c>
      <c r="K8843" s="3" t="str">
        <f aca="false">IFERROR(INDEX('Teacher Lookup'!$B$2:$B$200,MATCH(A8843,'Teacher Lookup'!$A$2:$A$200,0)),"")</f>
        <v>YEUNG Ricky</v>
      </c>
    </row>
    <row r="8844" customFormat="false" ht="15" hidden="false" customHeight="false" outlineLevel="0" collapsed="false">
      <c r="A8844" s="3" t="s">
        <v>500</v>
      </c>
      <c r="B8844" s="4" t="s">
        <v>63</v>
      </c>
      <c r="C8844" s="4" t="n">
        <v>4</v>
      </c>
      <c r="D8844" s="4" t="s">
        <v>73</v>
      </c>
      <c r="E8844" s="3" t="s">
        <v>213</v>
      </c>
      <c r="F8844" s="4" t="str">
        <f aca="false">IF(I8844&gt;J8844,"Y","N")</f>
        <v>Y</v>
      </c>
      <c r="G8844" s="3" t="s">
        <v>214</v>
      </c>
      <c r="H8844" s="3" t="s">
        <v>34</v>
      </c>
      <c r="I8844" s="4" t="n">
        <v>20</v>
      </c>
      <c r="J8844" s="4" t="n">
        <f aca="false">LEN(E8844)-LEN(SUBSTITUTE(E8844,",",""))+1</f>
        <v>6</v>
      </c>
      <c r="K8844" s="3" t="str">
        <f aca="false">IFERROR(INDEX('Teacher Lookup'!$B$2:$B$200,MATCH(A8844,'Teacher Lookup'!$A$2:$A$200,0)),"")</f>
        <v>YEUNG Ricky</v>
      </c>
    </row>
    <row r="8845" customFormat="false" ht="15" hidden="false" customHeight="false" outlineLevel="0" collapsed="false">
      <c r="A8845" s="3" t="s">
        <v>500</v>
      </c>
      <c r="B8845" s="4" t="s">
        <v>63</v>
      </c>
      <c r="C8845" s="4" t="n">
        <v>4</v>
      </c>
      <c r="D8845" s="4" t="s">
        <v>74</v>
      </c>
      <c r="E8845" s="3" t="s">
        <v>213</v>
      </c>
      <c r="F8845" s="4" t="str">
        <f aca="false">IF(I8845&gt;J8845,"Y","N")</f>
        <v>Y</v>
      </c>
      <c r="G8845" s="3" t="s">
        <v>214</v>
      </c>
      <c r="H8845" s="3" t="s">
        <v>34</v>
      </c>
      <c r="I8845" s="4" t="n">
        <v>20</v>
      </c>
      <c r="J8845" s="4" t="n">
        <f aca="false">LEN(E8845)-LEN(SUBSTITUTE(E8845,",",""))+1</f>
        <v>6</v>
      </c>
      <c r="K8845" s="3" t="str">
        <f aca="false">IFERROR(INDEX('Teacher Lookup'!$B$2:$B$200,MATCH(A8845,'Teacher Lookup'!$A$2:$A$200,0)),"")</f>
        <v>YEUNG Ricky</v>
      </c>
    </row>
    <row r="8846" customFormat="false" ht="15" hidden="false" customHeight="false" outlineLevel="0" collapsed="false">
      <c r="A8846" s="3" t="s">
        <v>500</v>
      </c>
      <c r="B8846" s="4" t="s">
        <v>63</v>
      </c>
      <c r="C8846" s="4" t="n">
        <v>4</v>
      </c>
      <c r="D8846" s="4" t="s">
        <v>76</v>
      </c>
      <c r="E8846" s="3" t="s">
        <v>213</v>
      </c>
      <c r="F8846" s="4" t="str">
        <f aca="false">IF(I8846&gt;J8846,"Y","N")</f>
        <v>Y</v>
      </c>
      <c r="G8846" s="3" t="s">
        <v>214</v>
      </c>
      <c r="H8846" s="3" t="s">
        <v>34</v>
      </c>
      <c r="I8846" s="4" t="n">
        <v>20</v>
      </c>
      <c r="J8846" s="4" t="n">
        <f aca="false">LEN(E8846)-LEN(SUBSTITUTE(E8846,",",""))+1</f>
        <v>6</v>
      </c>
      <c r="K8846" s="3" t="str">
        <f aca="false">IFERROR(INDEX('Teacher Lookup'!$B$2:$B$200,MATCH(A8846,'Teacher Lookup'!$A$2:$A$200,0)),"")</f>
        <v>YEUNG Ricky</v>
      </c>
    </row>
    <row r="8847" customFormat="false" ht="15" hidden="false" customHeight="false" outlineLevel="0" collapsed="false">
      <c r="A8847" s="3" t="s">
        <v>500</v>
      </c>
      <c r="B8847" s="4" t="s">
        <v>63</v>
      </c>
      <c r="C8847" s="4" t="n">
        <v>4</v>
      </c>
      <c r="D8847" s="4" t="s">
        <v>78</v>
      </c>
      <c r="E8847" s="3" t="s">
        <v>213</v>
      </c>
      <c r="F8847" s="4" t="str">
        <f aca="false">IF(I8847&gt;J8847,"Y","N")</f>
        <v>Y</v>
      </c>
      <c r="G8847" s="3" t="s">
        <v>214</v>
      </c>
      <c r="H8847" s="3" t="s">
        <v>34</v>
      </c>
      <c r="I8847" s="4" t="n">
        <v>20</v>
      </c>
      <c r="J8847" s="4" t="n">
        <f aca="false">LEN(E8847)-LEN(SUBSTITUTE(E8847,",",""))+1</f>
        <v>6</v>
      </c>
      <c r="K8847" s="3" t="str">
        <f aca="false">IFERROR(INDEX('Teacher Lookup'!$B$2:$B$200,MATCH(A8847,'Teacher Lookup'!$A$2:$A$200,0)),"")</f>
        <v>YEUNG Ricky</v>
      </c>
    </row>
    <row r="8848" customFormat="false" ht="15" hidden="false" customHeight="false" outlineLevel="0" collapsed="false">
      <c r="A8848" s="3" t="s">
        <v>500</v>
      </c>
      <c r="B8848" s="4" t="s">
        <v>63</v>
      </c>
      <c r="C8848" s="4" t="n">
        <v>4</v>
      </c>
      <c r="D8848" s="4" t="s">
        <v>79</v>
      </c>
      <c r="E8848" s="3" t="s">
        <v>213</v>
      </c>
      <c r="F8848" s="4" t="str">
        <f aca="false">IF(I8848&gt;J8848,"Y","N")</f>
        <v>Y</v>
      </c>
      <c r="G8848" s="3" t="s">
        <v>214</v>
      </c>
      <c r="H8848" s="3" t="s">
        <v>34</v>
      </c>
      <c r="I8848" s="4" t="n">
        <v>20</v>
      </c>
      <c r="J8848" s="4" t="n">
        <f aca="false">LEN(E8848)-LEN(SUBSTITUTE(E8848,",",""))+1</f>
        <v>6</v>
      </c>
      <c r="K8848" s="3" t="str">
        <f aca="false">IFERROR(INDEX('Teacher Lookup'!$B$2:$B$200,MATCH(A8848,'Teacher Lookup'!$A$2:$A$200,0)),"")</f>
        <v>YEUNG Ricky</v>
      </c>
    </row>
    <row r="8849" customFormat="false" ht="15" hidden="false" customHeight="false" outlineLevel="0" collapsed="false">
      <c r="A8849" s="3" t="s">
        <v>500</v>
      </c>
      <c r="B8849" s="4" t="s">
        <v>63</v>
      </c>
      <c r="C8849" s="4" t="n">
        <v>5</v>
      </c>
      <c r="D8849" s="4" t="s">
        <v>70</v>
      </c>
      <c r="E8849" s="3" t="s">
        <v>213</v>
      </c>
      <c r="F8849" s="4" t="str">
        <f aca="false">IF(I8849&gt;J8849,"Y","N")</f>
        <v>Y</v>
      </c>
      <c r="G8849" s="3" t="s">
        <v>214</v>
      </c>
      <c r="H8849" s="3" t="s">
        <v>37</v>
      </c>
      <c r="I8849" s="4" t="n">
        <v>20</v>
      </c>
      <c r="J8849" s="4" t="n">
        <f aca="false">LEN(E8849)-LEN(SUBSTITUTE(E8849,",",""))+1</f>
        <v>6</v>
      </c>
      <c r="K8849" s="3" t="str">
        <f aca="false">IFERROR(INDEX('Teacher Lookup'!$B$2:$B$200,MATCH(A8849,'Teacher Lookup'!$A$2:$A$200,0)),"")</f>
        <v>YEUNG Ricky</v>
      </c>
    </row>
    <row r="8850" customFormat="false" ht="15" hidden="false" customHeight="false" outlineLevel="0" collapsed="false">
      <c r="A8850" s="3" t="s">
        <v>500</v>
      </c>
      <c r="B8850" s="4" t="s">
        <v>63</v>
      </c>
      <c r="C8850" s="4" t="n">
        <v>5</v>
      </c>
      <c r="D8850" s="4" t="s">
        <v>73</v>
      </c>
      <c r="E8850" s="3" t="s">
        <v>213</v>
      </c>
      <c r="F8850" s="4" t="str">
        <f aca="false">IF(I8850&gt;J8850,"Y","N")</f>
        <v>Y</v>
      </c>
      <c r="G8850" s="3" t="s">
        <v>214</v>
      </c>
      <c r="H8850" s="3" t="s">
        <v>37</v>
      </c>
      <c r="I8850" s="4" t="n">
        <v>20</v>
      </c>
      <c r="J8850" s="4" t="n">
        <f aca="false">LEN(E8850)-LEN(SUBSTITUTE(E8850,",",""))+1</f>
        <v>6</v>
      </c>
      <c r="K8850" s="3" t="str">
        <f aca="false">IFERROR(INDEX('Teacher Lookup'!$B$2:$B$200,MATCH(A8850,'Teacher Lookup'!$A$2:$A$200,0)),"")</f>
        <v>YEUNG Ricky</v>
      </c>
    </row>
    <row r="8851" customFormat="false" ht="15" hidden="false" customHeight="false" outlineLevel="0" collapsed="false">
      <c r="A8851" s="3" t="s">
        <v>500</v>
      </c>
      <c r="B8851" s="4" t="s">
        <v>63</v>
      </c>
      <c r="C8851" s="4" t="n">
        <v>5</v>
      </c>
      <c r="D8851" s="4" t="s">
        <v>74</v>
      </c>
      <c r="E8851" s="3" t="s">
        <v>213</v>
      </c>
      <c r="F8851" s="4" t="str">
        <f aca="false">IF(I8851&gt;J8851,"Y","N")</f>
        <v>Y</v>
      </c>
      <c r="G8851" s="3" t="s">
        <v>214</v>
      </c>
      <c r="H8851" s="3" t="s">
        <v>37</v>
      </c>
      <c r="I8851" s="4" t="n">
        <v>20</v>
      </c>
      <c r="J8851" s="4" t="n">
        <f aca="false">LEN(E8851)-LEN(SUBSTITUTE(E8851,",",""))+1</f>
        <v>6</v>
      </c>
      <c r="K8851" s="3" t="str">
        <f aca="false">IFERROR(INDEX('Teacher Lookup'!$B$2:$B$200,MATCH(A8851,'Teacher Lookup'!$A$2:$A$200,0)),"")</f>
        <v>YEUNG Ricky</v>
      </c>
    </row>
    <row r="8852" customFormat="false" ht="15" hidden="false" customHeight="false" outlineLevel="0" collapsed="false">
      <c r="A8852" s="3" t="s">
        <v>500</v>
      </c>
      <c r="B8852" s="4" t="s">
        <v>63</v>
      </c>
      <c r="C8852" s="4" t="n">
        <v>5</v>
      </c>
      <c r="D8852" s="4" t="s">
        <v>76</v>
      </c>
      <c r="E8852" s="3" t="s">
        <v>213</v>
      </c>
      <c r="F8852" s="4" t="str">
        <f aca="false">IF(I8852&gt;J8852,"Y","N")</f>
        <v>Y</v>
      </c>
      <c r="G8852" s="3" t="s">
        <v>214</v>
      </c>
      <c r="H8852" s="3" t="s">
        <v>37</v>
      </c>
      <c r="I8852" s="4" t="n">
        <v>20</v>
      </c>
      <c r="J8852" s="4" t="n">
        <f aca="false">LEN(E8852)-LEN(SUBSTITUTE(E8852,",",""))+1</f>
        <v>6</v>
      </c>
      <c r="K8852" s="3" t="str">
        <f aca="false">IFERROR(INDEX('Teacher Lookup'!$B$2:$B$200,MATCH(A8852,'Teacher Lookup'!$A$2:$A$200,0)),"")</f>
        <v>YEUNG Ricky</v>
      </c>
    </row>
    <row r="8853" customFormat="false" ht="15" hidden="false" customHeight="false" outlineLevel="0" collapsed="false">
      <c r="A8853" s="3" t="s">
        <v>500</v>
      </c>
      <c r="B8853" s="4" t="s">
        <v>63</v>
      </c>
      <c r="C8853" s="4" t="n">
        <v>5</v>
      </c>
      <c r="D8853" s="4" t="s">
        <v>78</v>
      </c>
      <c r="E8853" s="3" t="s">
        <v>213</v>
      </c>
      <c r="F8853" s="4" t="str">
        <f aca="false">IF(I8853&gt;J8853,"Y","N")</f>
        <v>Y</v>
      </c>
      <c r="G8853" s="3" t="s">
        <v>214</v>
      </c>
      <c r="H8853" s="3" t="s">
        <v>37</v>
      </c>
      <c r="I8853" s="4" t="n">
        <v>20</v>
      </c>
      <c r="J8853" s="4" t="n">
        <f aca="false">LEN(E8853)-LEN(SUBSTITUTE(E8853,",",""))+1</f>
        <v>6</v>
      </c>
      <c r="K8853" s="3" t="str">
        <f aca="false">IFERROR(INDEX('Teacher Lookup'!$B$2:$B$200,MATCH(A8853,'Teacher Lookup'!$A$2:$A$200,0)),"")</f>
        <v>YEUNG Ricky</v>
      </c>
    </row>
    <row r="8854" customFormat="false" ht="15" hidden="false" customHeight="false" outlineLevel="0" collapsed="false">
      <c r="A8854" s="3" t="s">
        <v>500</v>
      </c>
      <c r="B8854" s="4" t="s">
        <v>63</v>
      </c>
      <c r="C8854" s="4" t="n">
        <v>5</v>
      </c>
      <c r="D8854" s="4" t="s">
        <v>79</v>
      </c>
      <c r="E8854" s="3" t="s">
        <v>213</v>
      </c>
      <c r="F8854" s="4" t="str">
        <f aca="false">IF(I8854&gt;J8854,"Y","N")</f>
        <v>Y</v>
      </c>
      <c r="G8854" s="3" t="s">
        <v>214</v>
      </c>
      <c r="H8854" s="3" t="s">
        <v>37</v>
      </c>
      <c r="I8854" s="4" t="n">
        <v>20</v>
      </c>
      <c r="J8854" s="4" t="n">
        <f aca="false">LEN(E8854)-LEN(SUBSTITUTE(E8854,",",""))+1</f>
        <v>6</v>
      </c>
      <c r="K8854" s="3" t="str">
        <f aca="false">IFERROR(INDEX('Teacher Lookup'!$B$2:$B$200,MATCH(A8854,'Teacher Lookup'!$A$2:$A$200,0)),"")</f>
        <v>YEUNG Ricky</v>
      </c>
    </row>
    <row r="8855" customFormat="false" ht="15" hidden="false" customHeight="false" outlineLevel="0" collapsed="false">
      <c r="A8855" s="3" t="s">
        <v>500</v>
      </c>
      <c r="B8855" s="4" t="s">
        <v>63</v>
      </c>
      <c r="C8855" s="4" t="n">
        <v>6</v>
      </c>
      <c r="D8855" s="4" t="s">
        <v>13</v>
      </c>
      <c r="E8855" s="3" t="s">
        <v>43</v>
      </c>
      <c r="F8855" s="4" t="str">
        <f aca="false">IF(I8855&gt;J8855,"Y","N")</f>
        <v>N</v>
      </c>
      <c r="G8855" s="3" t="s">
        <v>15</v>
      </c>
      <c r="H8855" s="3" t="s">
        <v>42</v>
      </c>
      <c r="I8855" s="4" t="n">
        <v>4</v>
      </c>
      <c r="J8855" s="4" t="n">
        <f aca="false">LEN(E8855)-LEN(SUBSTITUTE(E8855,",",""))+1</f>
        <v>4</v>
      </c>
      <c r="K8855" s="3" t="str">
        <f aca="false">IFERROR(INDEX('Teacher Lookup'!$B$2:$B$200,MATCH(A8855,'Teacher Lookup'!$A$2:$A$200,0)),"")</f>
        <v>YEUNG Ricky</v>
      </c>
    </row>
    <row r="8856" customFormat="false" ht="15" hidden="false" customHeight="false" outlineLevel="0" collapsed="false">
      <c r="A8856" s="3" t="s">
        <v>500</v>
      </c>
      <c r="B8856" s="4" t="s">
        <v>63</v>
      </c>
      <c r="C8856" s="4" t="n">
        <v>6</v>
      </c>
      <c r="D8856" s="4" t="s">
        <v>17</v>
      </c>
      <c r="E8856" s="3" t="s">
        <v>43</v>
      </c>
      <c r="F8856" s="4" t="str">
        <f aca="false">IF(I8856&gt;J8856,"Y","N")</f>
        <v>N</v>
      </c>
      <c r="G8856" s="3" t="s">
        <v>15</v>
      </c>
      <c r="H8856" s="3" t="s">
        <v>42</v>
      </c>
      <c r="I8856" s="4" t="n">
        <v>4</v>
      </c>
      <c r="J8856" s="4" t="n">
        <f aca="false">LEN(E8856)-LEN(SUBSTITUTE(E8856,",",""))+1</f>
        <v>4</v>
      </c>
      <c r="K8856" s="3" t="str">
        <f aca="false">IFERROR(INDEX('Teacher Lookup'!$B$2:$B$200,MATCH(A8856,'Teacher Lookup'!$A$2:$A$200,0)),"")</f>
        <v>YEUNG Ricky</v>
      </c>
    </row>
    <row r="8857" customFormat="false" ht="15" hidden="false" customHeight="false" outlineLevel="0" collapsed="false">
      <c r="A8857" s="3" t="s">
        <v>500</v>
      </c>
      <c r="B8857" s="4" t="s">
        <v>63</v>
      </c>
      <c r="C8857" s="4" t="n">
        <v>6</v>
      </c>
      <c r="D8857" s="4" t="s">
        <v>18</v>
      </c>
      <c r="E8857" s="3" t="s">
        <v>43</v>
      </c>
      <c r="F8857" s="4" t="str">
        <f aca="false">IF(I8857&gt;J8857,"Y","N")</f>
        <v>N</v>
      </c>
      <c r="G8857" s="3" t="s">
        <v>15</v>
      </c>
      <c r="H8857" s="3" t="s">
        <v>42</v>
      </c>
      <c r="I8857" s="4" t="n">
        <v>4</v>
      </c>
      <c r="J8857" s="4" t="n">
        <f aca="false">LEN(E8857)-LEN(SUBSTITUTE(E8857,",",""))+1</f>
        <v>4</v>
      </c>
      <c r="K8857" s="3" t="str">
        <f aca="false">IFERROR(INDEX('Teacher Lookup'!$B$2:$B$200,MATCH(A8857,'Teacher Lookup'!$A$2:$A$200,0)),"")</f>
        <v>YEUNG Ricky</v>
      </c>
    </row>
    <row r="8858" customFormat="false" ht="15" hidden="false" customHeight="false" outlineLevel="0" collapsed="false">
      <c r="A8858" s="3" t="s">
        <v>500</v>
      </c>
      <c r="B8858" s="4" t="s">
        <v>65</v>
      </c>
      <c r="C8858" s="4" t="n">
        <v>2</v>
      </c>
      <c r="D8858" s="4" t="s">
        <v>24</v>
      </c>
      <c r="E8858" s="3" t="s">
        <v>64</v>
      </c>
      <c r="F8858" s="4" t="str">
        <f aca="false">IF(I8858&gt;J8858,"Y","N")</f>
        <v>N</v>
      </c>
      <c r="G8858" s="3" t="s">
        <v>15</v>
      </c>
      <c r="H8858" s="3" t="s">
        <v>21</v>
      </c>
      <c r="I8858" s="4" t="n">
        <v>6</v>
      </c>
      <c r="J8858" s="4" t="n">
        <f aca="false">LEN(E8858)-LEN(SUBSTITUTE(E8858,",",""))+1</f>
        <v>6</v>
      </c>
      <c r="K8858" s="3" t="str">
        <f aca="false">IFERROR(INDEX('Teacher Lookup'!$B$2:$B$200,MATCH(A8858,'Teacher Lookup'!$A$2:$A$200,0)),"")</f>
        <v>YEUNG Ricky</v>
      </c>
    </row>
    <row r="8859" customFormat="false" ht="15" hidden="false" customHeight="false" outlineLevel="0" collapsed="false">
      <c r="A8859" s="3" t="s">
        <v>500</v>
      </c>
      <c r="B8859" s="4" t="s">
        <v>65</v>
      </c>
      <c r="C8859" s="4" t="n">
        <v>2</v>
      </c>
      <c r="D8859" s="4" t="s">
        <v>27</v>
      </c>
      <c r="E8859" s="3" t="s">
        <v>64</v>
      </c>
      <c r="F8859" s="4" t="str">
        <f aca="false">IF(I8859&gt;J8859,"Y","N")</f>
        <v>N</v>
      </c>
      <c r="G8859" s="3" t="s">
        <v>15</v>
      </c>
      <c r="H8859" s="3" t="s">
        <v>21</v>
      </c>
      <c r="I8859" s="4" t="n">
        <v>6</v>
      </c>
      <c r="J8859" s="4" t="n">
        <f aca="false">LEN(E8859)-LEN(SUBSTITUTE(E8859,",",""))+1</f>
        <v>6</v>
      </c>
      <c r="K8859" s="3" t="str">
        <f aca="false">IFERROR(INDEX('Teacher Lookup'!$B$2:$B$200,MATCH(A8859,'Teacher Lookup'!$A$2:$A$200,0)),"")</f>
        <v>YEUNG Ricky</v>
      </c>
    </row>
    <row r="8860" customFormat="false" ht="15" hidden="false" customHeight="false" outlineLevel="0" collapsed="false">
      <c r="A8860" s="3" t="s">
        <v>500</v>
      </c>
      <c r="B8860" s="4" t="s">
        <v>65</v>
      </c>
      <c r="C8860" s="4" t="n">
        <v>2</v>
      </c>
      <c r="D8860" s="4" t="s">
        <v>28</v>
      </c>
      <c r="E8860" s="3" t="s">
        <v>64</v>
      </c>
      <c r="F8860" s="4" t="str">
        <f aca="false">IF(I8860&gt;J8860,"Y","N")</f>
        <v>N</v>
      </c>
      <c r="G8860" s="3" t="s">
        <v>15</v>
      </c>
      <c r="H8860" s="3" t="s">
        <v>21</v>
      </c>
      <c r="I8860" s="4" t="n">
        <v>6</v>
      </c>
      <c r="J8860" s="4" t="n">
        <f aca="false">LEN(E8860)-LEN(SUBSTITUTE(E8860,",",""))+1</f>
        <v>6</v>
      </c>
      <c r="K8860" s="3" t="str">
        <f aca="false">IFERROR(INDEX('Teacher Lookup'!$B$2:$B$200,MATCH(A8860,'Teacher Lookup'!$A$2:$A$200,0)),"")</f>
        <v>YEUNG Ricky</v>
      </c>
    </row>
    <row r="8861" customFormat="false" ht="15" hidden="false" customHeight="false" outlineLevel="0" collapsed="false">
      <c r="A8861" s="3" t="s">
        <v>500</v>
      </c>
      <c r="B8861" s="4" t="s">
        <v>65</v>
      </c>
      <c r="C8861" s="4" t="n">
        <v>2</v>
      </c>
      <c r="D8861" s="4" t="s">
        <v>29</v>
      </c>
      <c r="E8861" s="3" t="s">
        <v>64</v>
      </c>
      <c r="F8861" s="4" t="str">
        <f aca="false">IF(I8861&gt;J8861,"Y","N")</f>
        <v>N</v>
      </c>
      <c r="G8861" s="3" t="s">
        <v>15</v>
      </c>
      <c r="H8861" s="3" t="s">
        <v>21</v>
      </c>
      <c r="I8861" s="4" t="n">
        <v>6</v>
      </c>
      <c r="J8861" s="4" t="n">
        <f aca="false">LEN(E8861)-LEN(SUBSTITUTE(E8861,",",""))+1</f>
        <v>6</v>
      </c>
      <c r="K8861" s="3" t="str">
        <f aca="false">IFERROR(INDEX('Teacher Lookup'!$B$2:$B$200,MATCH(A8861,'Teacher Lookup'!$A$2:$A$200,0)),"")</f>
        <v>YEUNG Ricky</v>
      </c>
    </row>
    <row r="8862" customFormat="false" ht="15" hidden="false" customHeight="false" outlineLevel="0" collapsed="false">
      <c r="A8862" s="3" t="s">
        <v>500</v>
      </c>
      <c r="B8862" s="4" t="s">
        <v>65</v>
      </c>
      <c r="C8862" s="4" t="n">
        <v>2</v>
      </c>
      <c r="D8862" s="4" t="s">
        <v>30</v>
      </c>
      <c r="E8862" s="3" t="s">
        <v>64</v>
      </c>
      <c r="F8862" s="4" t="str">
        <f aca="false">IF(I8862&gt;J8862,"Y","N")</f>
        <v>N</v>
      </c>
      <c r="G8862" s="3" t="s">
        <v>15</v>
      </c>
      <c r="H8862" s="3" t="s">
        <v>21</v>
      </c>
      <c r="I8862" s="4" t="n">
        <v>6</v>
      </c>
      <c r="J8862" s="4" t="n">
        <f aca="false">LEN(E8862)-LEN(SUBSTITUTE(E8862,",",""))+1</f>
        <v>6</v>
      </c>
      <c r="K8862" s="3" t="str">
        <f aca="false">IFERROR(INDEX('Teacher Lookup'!$B$2:$B$200,MATCH(A8862,'Teacher Lookup'!$A$2:$A$200,0)),"")</f>
        <v>YEUNG Ricky</v>
      </c>
    </row>
    <row r="8863" customFormat="false" ht="15" hidden="false" customHeight="false" outlineLevel="0" collapsed="false">
      <c r="A8863" s="3" t="s">
        <v>500</v>
      </c>
      <c r="B8863" s="4" t="s">
        <v>65</v>
      </c>
      <c r="C8863" s="4" t="n">
        <v>4</v>
      </c>
      <c r="D8863" s="4" t="s">
        <v>13</v>
      </c>
      <c r="E8863" s="3" t="s">
        <v>14</v>
      </c>
      <c r="F8863" s="4" t="str">
        <f aca="false">IF(I8863&gt;J8863,"Y","N")</f>
        <v>N</v>
      </c>
      <c r="G8863" s="3" t="s">
        <v>15</v>
      </c>
      <c r="H8863" s="3" t="s">
        <v>34</v>
      </c>
      <c r="I8863" s="4" t="n">
        <v>4</v>
      </c>
      <c r="J8863" s="4" t="n">
        <f aca="false">LEN(E8863)-LEN(SUBSTITUTE(E8863,",",""))+1</f>
        <v>4</v>
      </c>
      <c r="K8863" s="3" t="str">
        <f aca="false">IFERROR(INDEX('Teacher Lookup'!$B$2:$B$200,MATCH(A8863,'Teacher Lookup'!$A$2:$A$200,0)),"")</f>
        <v>YEUNG Ricky</v>
      </c>
    </row>
    <row r="8864" customFormat="false" ht="15" hidden="false" customHeight="false" outlineLevel="0" collapsed="false">
      <c r="A8864" s="3" t="s">
        <v>500</v>
      </c>
      <c r="B8864" s="4" t="s">
        <v>65</v>
      </c>
      <c r="C8864" s="4" t="n">
        <v>4</v>
      </c>
      <c r="D8864" s="4" t="s">
        <v>17</v>
      </c>
      <c r="E8864" s="3" t="s">
        <v>14</v>
      </c>
      <c r="F8864" s="4" t="str">
        <f aca="false">IF(I8864&gt;J8864,"Y","N")</f>
        <v>N</v>
      </c>
      <c r="G8864" s="3" t="s">
        <v>15</v>
      </c>
      <c r="H8864" s="3" t="s">
        <v>34</v>
      </c>
      <c r="I8864" s="4" t="n">
        <v>4</v>
      </c>
      <c r="J8864" s="4" t="n">
        <f aca="false">LEN(E8864)-LEN(SUBSTITUTE(E8864,",",""))+1</f>
        <v>4</v>
      </c>
      <c r="K8864" s="3" t="str">
        <f aca="false">IFERROR(INDEX('Teacher Lookup'!$B$2:$B$200,MATCH(A8864,'Teacher Lookup'!$A$2:$A$200,0)),"")</f>
        <v>YEUNG Ricky</v>
      </c>
    </row>
    <row r="8865" customFormat="false" ht="15" hidden="false" customHeight="false" outlineLevel="0" collapsed="false">
      <c r="A8865" s="3" t="s">
        <v>500</v>
      </c>
      <c r="B8865" s="4" t="s">
        <v>65</v>
      </c>
      <c r="C8865" s="4" t="n">
        <v>4</v>
      </c>
      <c r="D8865" s="4" t="s">
        <v>18</v>
      </c>
      <c r="E8865" s="3" t="s">
        <v>14</v>
      </c>
      <c r="F8865" s="4" t="str">
        <f aca="false">IF(I8865&gt;J8865,"Y","N")</f>
        <v>N</v>
      </c>
      <c r="G8865" s="3" t="s">
        <v>15</v>
      </c>
      <c r="H8865" s="3" t="s">
        <v>34</v>
      </c>
      <c r="I8865" s="4" t="n">
        <v>4</v>
      </c>
      <c r="J8865" s="4" t="n">
        <f aca="false">LEN(E8865)-LEN(SUBSTITUTE(E8865,",",""))+1</f>
        <v>4</v>
      </c>
      <c r="K8865" s="3" t="str">
        <f aca="false">IFERROR(INDEX('Teacher Lookup'!$B$2:$B$200,MATCH(A8865,'Teacher Lookup'!$A$2:$A$200,0)),"")</f>
        <v>YEUNG Ricky</v>
      </c>
    </row>
    <row r="8866" customFormat="false" ht="15" hidden="false" customHeight="false" outlineLevel="0" collapsed="false">
      <c r="A8866" s="3" t="s">
        <v>500</v>
      </c>
      <c r="B8866" s="4" t="s">
        <v>65</v>
      </c>
      <c r="C8866" s="4" t="n">
        <v>5</v>
      </c>
      <c r="D8866" s="4" t="s">
        <v>19</v>
      </c>
      <c r="E8866" s="3" t="s">
        <v>35</v>
      </c>
      <c r="F8866" s="4" t="str">
        <f aca="false">IF(I8866&gt;J8866,"Y","N")</f>
        <v>Y</v>
      </c>
      <c r="G8866" s="3" t="s">
        <v>36</v>
      </c>
      <c r="H8866" s="3" t="s">
        <v>37</v>
      </c>
      <c r="I8866" s="4" t="n">
        <v>17</v>
      </c>
      <c r="J8866" s="4" t="n">
        <f aca="false">LEN(E8866)-LEN(SUBSTITUTE(E8866,",",""))+1</f>
        <v>7</v>
      </c>
      <c r="K8866" s="3" t="str">
        <f aca="false">IFERROR(INDEX('Teacher Lookup'!$B$2:$B$200,MATCH(A8866,'Teacher Lookup'!$A$2:$A$200,0)),"")</f>
        <v>YEUNG Ricky</v>
      </c>
    </row>
    <row r="8867" customFormat="false" ht="15" hidden="false" customHeight="false" outlineLevel="0" collapsed="false">
      <c r="A8867" s="3" t="s">
        <v>500</v>
      </c>
      <c r="B8867" s="4" t="s">
        <v>65</v>
      </c>
      <c r="C8867" s="4" t="n">
        <v>5</v>
      </c>
      <c r="D8867" s="4" t="s">
        <v>22</v>
      </c>
      <c r="E8867" s="3" t="s">
        <v>35</v>
      </c>
      <c r="F8867" s="4" t="str">
        <f aca="false">IF(I8867&gt;J8867,"Y","N")</f>
        <v>Y</v>
      </c>
      <c r="G8867" s="3" t="s">
        <v>36</v>
      </c>
      <c r="H8867" s="3" t="s">
        <v>37</v>
      </c>
      <c r="I8867" s="4" t="n">
        <v>17</v>
      </c>
      <c r="J8867" s="4" t="n">
        <f aca="false">LEN(E8867)-LEN(SUBSTITUTE(E8867,",",""))+1</f>
        <v>7</v>
      </c>
      <c r="K8867" s="3" t="str">
        <f aca="false">IFERROR(INDEX('Teacher Lookup'!$B$2:$B$200,MATCH(A8867,'Teacher Lookup'!$A$2:$A$200,0)),"")</f>
        <v>YEUNG Ricky</v>
      </c>
    </row>
    <row r="8868" customFormat="false" ht="15" hidden="false" customHeight="false" outlineLevel="0" collapsed="false">
      <c r="A8868" s="3" t="s">
        <v>500</v>
      </c>
      <c r="B8868" s="4" t="s">
        <v>65</v>
      </c>
      <c r="C8868" s="4" t="n">
        <v>5</v>
      </c>
      <c r="D8868" s="4" t="s">
        <v>23</v>
      </c>
      <c r="E8868" s="3" t="s">
        <v>35</v>
      </c>
      <c r="F8868" s="4" t="str">
        <f aca="false">IF(I8868&gt;J8868,"Y","N")</f>
        <v>Y</v>
      </c>
      <c r="G8868" s="3" t="s">
        <v>36</v>
      </c>
      <c r="H8868" s="3" t="s">
        <v>37</v>
      </c>
      <c r="I8868" s="4" t="n">
        <v>17</v>
      </c>
      <c r="J8868" s="4" t="n">
        <f aca="false">LEN(E8868)-LEN(SUBSTITUTE(E8868,",",""))+1</f>
        <v>7</v>
      </c>
      <c r="K8868" s="3" t="str">
        <f aca="false">IFERROR(INDEX('Teacher Lookup'!$B$2:$B$200,MATCH(A8868,'Teacher Lookup'!$A$2:$A$200,0)),"")</f>
        <v>YEUNG Ricky</v>
      </c>
    </row>
    <row r="8869" customFormat="false" ht="15" hidden="false" customHeight="false" outlineLevel="0" collapsed="false">
      <c r="A8869" s="3" t="s">
        <v>500</v>
      </c>
      <c r="B8869" s="4" t="s">
        <v>65</v>
      </c>
      <c r="C8869" s="4" t="n">
        <v>5</v>
      </c>
      <c r="D8869" s="4" t="s">
        <v>13</v>
      </c>
      <c r="E8869" s="3" t="s">
        <v>35</v>
      </c>
      <c r="F8869" s="4" t="str">
        <f aca="false">IF(I8869&gt;J8869,"Y","N")</f>
        <v>Y</v>
      </c>
      <c r="G8869" s="3" t="s">
        <v>36</v>
      </c>
      <c r="H8869" s="3" t="s">
        <v>37</v>
      </c>
      <c r="I8869" s="4" t="n">
        <v>17</v>
      </c>
      <c r="J8869" s="4" t="n">
        <f aca="false">LEN(E8869)-LEN(SUBSTITUTE(E8869,",",""))+1</f>
        <v>7</v>
      </c>
      <c r="K8869" s="3" t="str">
        <f aca="false">IFERROR(INDEX('Teacher Lookup'!$B$2:$B$200,MATCH(A8869,'Teacher Lookup'!$A$2:$A$200,0)),"")</f>
        <v>YEUNG Ricky</v>
      </c>
    </row>
    <row r="8870" customFormat="false" ht="15" hidden="false" customHeight="false" outlineLevel="0" collapsed="false">
      <c r="A8870" s="3" t="s">
        <v>500</v>
      </c>
      <c r="B8870" s="4" t="s">
        <v>65</v>
      </c>
      <c r="C8870" s="4" t="n">
        <v>5</v>
      </c>
      <c r="D8870" s="4" t="s">
        <v>17</v>
      </c>
      <c r="E8870" s="3" t="s">
        <v>35</v>
      </c>
      <c r="F8870" s="4" t="str">
        <f aca="false">IF(I8870&gt;J8870,"Y","N")</f>
        <v>Y</v>
      </c>
      <c r="G8870" s="3" t="s">
        <v>36</v>
      </c>
      <c r="H8870" s="3" t="s">
        <v>37</v>
      </c>
      <c r="I8870" s="4" t="n">
        <v>17</v>
      </c>
      <c r="J8870" s="4" t="n">
        <f aca="false">LEN(E8870)-LEN(SUBSTITUTE(E8870,",",""))+1</f>
        <v>7</v>
      </c>
      <c r="K8870" s="3" t="str">
        <f aca="false">IFERROR(INDEX('Teacher Lookup'!$B$2:$B$200,MATCH(A8870,'Teacher Lookup'!$A$2:$A$200,0)),"")</f>
        <v>YEUNG Ricky</v>
      </c>
    </row>
    <row r="8871" customFormat="false" ht="15" hidden="false" customHeight="false" outlineLevel="0" collapsed="false">
      <c r="A8871" s="3" t="s">
        <v>500</v>
      </c>
      <c r="B8871" s="4" t="s">
        <v>65</v>
      </c>
      <c r="C8871" s="4" t="n">
        <v>5</v>
      </c>
      <c r="D8871" s="4" t="s">
        <v>18</v>
      </c>
      <c r="E8871" s="3" t="s">
        <v>35</v>
      </c>
      <c r="F8871" s="4" t="str">
        <f aca="false">IF(I8871&gt;J8871,"Y","N")</f>
        <v>Y</v>
      </c>
      <c r="G8871" s="3" t="s">
        <v>36</v>
      </c>
      <c r="H8871" s="3" t="s">
        <v>37</v>
      </c>
      <c r="I8871" s="4" t="n">
        <v>17</v>
      </c>
      <c r="J8871" s="4" t="n">
        <f aca="false">LEN(E8871)-LEN(SUBSTITUTE(E8871,",",""))+1</f>
        <v>7</v>
      </c>
      <c r="K8871" s="3" t="str">
        <f aca="false">IFERROR(INDEX('Teacher Lookup'!$B$2:$B$200,MATCH(A8871,'Teacher Lookup'!$A$2:$A$200,0)),"")</f>
        <v>YEUNG Ricky</v>
      </c>
    </row>
    <row r="8872" customFormat="false" ht="15" hidden="false" customHeight="false" outlineLevel="0" collapsed="false">
      <c r="A8872" s="3" t="s">
        <v>500</v>
      </c>
      <c r="B8872" s="4" t="s">
        <v>66</v>
      </c>
      <c r="C8872" s="4" t="n">
        <v>3</v>
      </c>
      <c r="D8872" s="4" t="s">
        <v>24</v>
      </c>
      <c r="E8872" s="3" t="s">
        <v>67</v>
      </c>
      <c r="F8872" s="4" t="str">
        <f aca="false">IF(I8872&gt;J8872,"Y","N")</f>
        <v>N</v>
      </c>
      <c r="G8872" s="3" t="s">
        <v>15</v>
      </c>
      <c r="H8872" s="3" t="s">
        <v>26</v>
      </c>
      <c r="I8872" s="4" t="n">
        <v>6</v>
      </c>
      <c r="J8872" s="4" t="n">
        <f aca="false">LEN(E8872)-LEN(SUBSTITUTE(E8872,",",""))+1</f>
        <v>6</v>
      </c>
      <c r="K8872" s="3" t="str">
        <f aca="false">IFERROR(INDEX('Teacher Lookup'!$B$2:$B$200,MATCH(A8872,'Teacher Lookup'!$A$2:$A$200,0)),"")</f>
        <v>YEUNG Ricky</v>
      </c>
    </row>
    <row r="8873" customFormat="false" ht="15" hidden="false" customHeight="false" outlineLevel="0" collapsed="false">
      <c r="A8873" s="3" t="s">
        <v>500</v>
      </c>
      <c r="B8873" s="4" t="s">
        <v>66</v>
      </c>
      <c r="C8873" s="4" t="n">
        <v>3</v>
      </c>
      <c r="D8873" s="4" t="s">
        <v>27</v>
      </c>
      <c r="E8873" s="3" t="s">
        <v>67</v>
      </c>
      <c r="F8873" s="4" t="str">
        <f aca="false">IF(I8873&gt;J8873,"Y","N")</f>
        <v>N</v>
      </c>
      <c r="G8873" s="3" t="s">
        <v>15</v>
      </c>
      <c r="H8873" s="3" t="s">
        <v>26</v>
      </c>
      <c r="I8873" s="4" t="n">
        <v>6</v>
      </c>
      <c r="J8873" s="4" t="n">
        <f aca="false">LEN(E8873)-LEN(SUBSTITUTE(E8873,",",""))+1</f>
        <v>6</v>
      </c>
      <c r="K8873" s="3" t="str">
        <f aca="false">IFERROR(INDEX('Teacher Lookup'!$B$2:$B$200,MATCH(A8873,'Teacher Lookup'!$A$2:$A$200,0)),"")</f>
        <v>YEUNG Ricky</v>
      </c>
    </row>
    <row r="8874" customFormat="false" ht="15" hidden="false" customHeight="false" outlineLevel="0" collapsed="false">
      <c r="A8874" s="3" t="s">
        <v>500</v>
      </c>
      <c r="B8874" s="4" t="s">
        <v>66</v>
      </c>
      <c r="C8874" s="4" t="n">
        <v>3</v>
      </c>
      <c r="D8874" s="4" t="s">
        <v>28</v>
      </c>
      <c r="E8874" s="3" t="s">
        <v>67</v>
      </c>
      <c r="F8874" s="4" t="str">
        <f aca="false">IF(I8874&gt;J8874,"Y","N")</f>
        <v>N</v>
      </c>
      <c r="G8874" s="3" t="s">
        <v>15</v>
      </c>
      <c r="H8874" s="3" t="s">
        <v>26</v>
      </c>
      <c r="I8874" s="4" t="n">
        <v>6</v>
      </c>
      <c r="J8874" s="4" t="n">
        <f aca="false">LEN(E8874)-LEN(SUBSTITUTE(E8874,",",""))+1</f>
        <v>6</v>
      </c>
      <c r="K8874" s="3" t="str">
        <f aca="false">IFERROR(INDEX('Teacher Lookup'!$B$2:$B$200,MATCH(A8874,'Teacher Lookup'!$A$2:$A$200,0)),"")</f>
        <v>YEUNG Ricky</v>
      </c>
    </row>
    <row r="8875" customFormat="false" ht="15" hidden="false" customHeight="false" outlineLevel="0" collapsed="false">
      <c r="A8875" s="3" t="s">
        <v>500</v>
      </c>
      <c r="B8875" s="4" t="s">
        <v>66</v>
      </c>
      <c r="C8875" s="4" t="n">
        <v>3</v>
      </c>
      <c r="D8875" s="4" t="s">
        <v>29</v>
      </c>
      <c r="E8875" s="3" t="s">
        <v>67</v>
      </c>
      <c r="F8875" s="4" t="str">
        <f aca="false">IF(I8875&gt;J8875,"Y","N")</f>
        <v>N</v>
      </c>
      <c r="G8875" s="3" t="s">
        <v>15</v>
      </c>
      <c r="H8875" s="3" t="s">
        <v>26</v>
      </c>
      <c r="I8875" s="4" t="n">
        <v>6</v>
      </c>
      <c r="J8875" s="4" t="n">
        <f aca="false">LEN(E8875)-LEN(SUBSTITUTE(E8875,",",""))+1</f>
        <v>6</v>
      </c>
      <c r="K8875" s="3" t="str">
        <f aca="false">IFERROR(INDEX('Teacher Lookup'!$B$2:$B$200,MATCH(A8875,'Teacher Lookup'!$A$2:$A$200,0)),"")</f>
        <v>YEUNG Ricky</v>
      </c>
    </row>
    <row r="8876" customFormat="false" ht="15" hidden="false" customHeight="false" outlineLevel="0" collapsed="false">
      <c r="A8876" s="3" t="s">
        <v>500</v>
      </c>
      <c r="B8876" s="4" t="s">
        <v>66</v>
      </c>
      <c r="C8876" s="4" t="n">
        <v>3</v>
      </c>
      <c r="D8876" s="4" t="s">
        <v>30</v>
      </c>
      <c r="E8876" s="3" t="s">
        <v>67</v>
      </c>
      <c r="F8876" s="4" t="str">
        <f aca="false">IF(I8876&gt;J8876,"Y","N")</f>
        <v>N</v>
      </c>
      <c r="G8876" s="3" t="s">
        <v>15</v>
      </c>
      <c r="H8876" s="3" t="s">
        <v>26</v>
      </c>
      <c r="I8876" s="4" t="n">
        <v>6</v>
      </c>
      <c r="J8876" s="4" t="n">
        <f aca="false">LEN(E8876)-LEN(SUBSTITUTE(E8876,",",""))+1</f>
        <v>6</v>
      </c>
      <c r="K8876" s="3" t="str">
        <f aca="false">IFERROR(INDEX('Teacher Lookup'!$B$2:$B$200,MATCH(A8876,'Teacher Lookup'!$A$2:$A$200,0)),"")</f>
        <v>YEUNG Ricky</v>
      </c>
    </row>
    <row r="8877" customFormat="false" ht="15" hidden="false" customHeight="false" outlineLevel="0" collapsed="false">
      <c r="A8877" s="3" t="s">
        <v>500</v>
      </c>
      <c r="B8877" s="4" t="s">
        <v>66</v>
      </c>
      <c r="C8877" s="4" t="n">
        <v>6</v>
      </c>
      <c r="D8877" s="4" t="s">
        <v>19</v>
      </c>
      <c r="E8877" s="3" t="s">
        <v>51</v>
      </c>
      <c r="F8877" s="4" t="str">
        <f aca="false">IF(I8877&gt;J8877,"Y","N")</f>
        <v>N</v>
      </c>
      <c r="G8877" s="3" t="s">
        <v>15</v>
      </c>
      <c r="H8877" s="3" t="s">
        <v>42</v>
      </c>
      <c r="I8877" s="4" t="n">
        <v>4</v>
      </c>
      <c r="J8877" s="4" t="n">
        <f aca="false">LEN(E8877)-LEN(SUBSTITUTE(E8877,",",""))+1</f>
        <v>4</v>
      </c>
      <c r="K8877" s="3" t="str">
        <f aca="false">IFERROR(INDEX('Teacher Lookup'!$B$2:$B$200,MATCH(A8877,'Teacher Lookup'!$A$2:$A$200,0)),"")</f>
        <v>YEUNG Ricky</v>
      </c>
    </row>
    <row r="8878" customFormat="false" ht="15" hidden="false" customHeight="false" outlineLevel="0" collapsed="false">
      <c r="A8878" s="3" t="s">
        <v>500</v>
      </c>
      <c r="B8878" s="4" t="s">
        <v>66</v>
      </c>
      <c r="C8878" s="4" t="n">
        <v>6</v>
      </c>
      <c r="D8878" s="4" t="s">
        <v>22</v>
      </c>
      <c r="E8878" s="3" t="s">
        <v>51</v>
      </c>
      <c r="F8878" s="4" t="str">
        <f aca="false">IF(I8878&gt;J8878,"Y","N")</f>
        <v>N</v>
      </c>
      <c r="G8878" s="3" t="s">
        <v>15</v>
      </c>
      <c r="H8878" s="3" t="s">
        <v>42</v>
      </c>
      <c r="I8878" s="4" t="n">
        <v>4</v>
      </c>
      <c r="J8878" s="4" t="n">
        <f aca="false">LEN(E8878)-LEN(SUBSTITUTE(E8878,",",""))+1</f>
        <v>4</v>
      </c>
      <c r="K8878" s="3" t="str">
        <f aca="false">IFERROR(INDEX('Teacher Lookup'!$B$2:$B$200,MATCH(A8878,'Teacher Lookup'!$A$2:$A$200,0)),"")</f>
        <v>YEUNG Ricky</v>
      </c>
    </row>
    <row r="8879" customFormat="false" ht="15" hidden="false" customHeight="false" outlineLevel="0" collapsed="false">
      <c r="A8879" s="3" t="s">
        <v>500</v>
      </c>
      <c r="B8879" s="4" t="s">
        <v>66</v>
      </c>
      <c r="C8879" s="4" t="n">
        <v>6</v>
      </c>
      <c r="D8879" s="4" t="s">
        <v>23</v>
      </c>
      <c r="E8879" s="3" t="s">
        <v>51</v>
      </c>
      <c r="F8879" s="4" t="str">
        <f aca="false">IF(I8879&gt;J8879,"Y","N")</f>
        <v>N</v>
      </c>
      <c r="G8879" s="3" t="s">
        <v>15</v>
      </c>
      <c r="H8879" s="3" t="s">
        <v>42</v>
      </c>
      <c r="I8879" s="4" t="n">
        <v>4</v>
      </c>
      <c r="J8879" s="4" t="n">
        <f aca="false">LEN(E8879)-LEN(SUBSTITUTE(E8879,",",""))+1</f>
        <v>4</v>
      </c>
      <c r="K8879" s="3" t="str">
        <f aca="false">IFERROR(INDEX('Teacher Lookup'!$B$2:$B$200,MATCH(A8879,'Teacher Lookup'!$A$2:$A$200,0)),"")</f>
        <v>YEUNG Ricky</v>
      </c>
    </row>
    <row r="8880" customFormat="false" ht="15" hidden="false" customHeight="false" outlineLevel="0" collapsed="false">
      <c r="A8880" s="3" t="s">
        <v>500</v>
      </c>
      <c r="B8880" s="4" t="s">
        <v>66</v>
      </c>
      <c r="C8880" s="4" t="n">
        <v>7</v>
      </c>
      <c r="D8880" s="4" t="s">
        <v>13</v>
      </c>
      <c r="E8880" s="3" t="s">
        <v>68</v>
      </c>
      <c r="F8880" s="4" t="str">
        <f aca="false">IF(I8880&gt;J8880,"Y","N")</f>
        <v>N</v>
      </c>
      <c r="G8880" s="3" t="s">
        <v>15</v>
      </c>
      <c r="H8880" s="3" t="s">
        <v>39</v>
      </c>
      <c r="I8880" s="4" t="n">
        <v>4</v>
      </c>
      <c r="J8880" s="4" t="n">
        <f aca="false">LEN(E8880)-LEN(SUBSTITUTE(E8880,",",""))+1</f>
        <v>4</v>
      </c>
      <c r="K8880" s="3" t="str">
        <f aca="false">IFERROR(INDEX('Teacher Lookup'!$B$2:$B$200,MATCH(A8880,'Teacher Lookup'!$A$2:$A$200,0)),"")</f>
        <v>YEUNG Ricky</v>
      </c>
    </row>
    <row r="8881" customFormat="false" ht="15" hidden="false" customHeight="false" outlineLevel="0" collapsed="false">
      <c r="A8881" s="3" t="s">
        <v>500</v>
      </c>
      <c r="B8881" s="4" t="s">
        <v>66</v>
      </c>
      <c r="C8881" s="4" t="n">
        <v>7</v>
      </c>
      <c r="D8881" s="4" t="s">
        <v>17</v>
      </c>
      <c r="E8881" s="3" t="s">
        <v>68</v>
      </c>
      <c r="F8881" s="4" t="str">
        <f aca="false">IF(I8881&gt;J8881,"Y","N")</f>
        <v>N</v>
      </c>
      <c r="G8881" s="3" t="s">
        <v>15</v>
      </c>
      <c r="H8881" s="3" t="s">
        <v>39</v>
      </c>
      <c r="I8881" s="4" t="n">
        <v>4</v>
      </c>
      <c r="J8881" s="4" t="n">
        <f aca="false">LEN(E8881)-LEN(SUBSTITUTE(E8881,",",""))+1</f>
        <v>4</v>
      </c>
      <c r="K8881" s="3" t="str">
        <f aca="false">IFERROR(INDEX('Teacher Lookup'!$B$2:$B$200,MATCH(A8881,'Teacher Lookup'!$A$2:$A$200,0)),"")</f>
        <v>YEUNG Ricky</v>
      </c>
    </row>
    <row r="8882" customFormat="false" ht="15" hidden="false" customHeight="false" outlineLevel="0" collapsed="false">
      <c r="A8882" s="3" t="s">
        <v>500</v>
      </c>
      <c r="B8882" s="4" t="s">
        <v>66</v>
      </c>
      <c r="C8882" s="4" t="n">
        <v>7</v>
      </c>
      <c r="D8882" s="4" t="s">
        <v>18</v>
      </c>
      <c r="E8882" s="3" t="s">
        <v>68</v>
      </c>
      <c r="F8882" s="4" t="str">
        <f aca="false">IF(I8882&gt;J8882,"Y","N")</f>
        <v>N</v>
      </c>
      <c r="G8882" s="3" t="s">
        <v>15</v>
      </c>
      <c r="H8882" s="3" t="s">
        <v>39</v>
      </c>
      <c r="I8882" s="4" t="n">
        <v>4</v>
      </c>
      <c r="J8882" s="4" t="n">
        <f aca="false">LEN(E8882)-LEN(SUBSTITUTE(E8882,",",""))+1</f>
        <v>4</v>
      </c>
      <c r="K8882" s="3" t="str">
        <f aca="false">IFERROR(INDEX('Teacher Lookup'!$B$2:$B$200,MATCH(A8882,'Teacher Lookup'!$A$2:$A$200,0)),"")</f>
        <v>YEUNG Ricky</v>
      </c>
    </row>
    <row r="8883" customFormat="false" ht="15" hidden="false" customHeight="false" outlineLevel="0" collapsed="false">
      <c r="A8883" s="3" t="s">
        <v>126</v>
      </c>
      <c r="B8883" s="4" t="s">
        <v>12</v>
      </c>
      <c r="C8883" s="4" t="n">
        <v>1</v>
      </c>
      <c r="D8883" s="4" t="s">
        <v>127</v>
      </c>
      <c r="E8883" s="3" t="s">
        <v>128</v>
      </c>
      <c r="F8883" s="4" t="str">
        <f aca="false">IF(I8883&gt;J8883,"Y","N")</f>
        <v>N</v>
      </c>
      <c r="G8883" s="3" t="s">
        <v>350</v>
      </c>
      <c r="H8883" s="3" t="s">
        <v>16</v>
      </c>
      <c r="I8883" s="4" t="n">
        <v>1</v>
      </c>
      <c r="J8883" s="4" t="n">
        <f aca="false">LEN(E8883)-LEN(SUBSTITUTE(E8883,",",""))+1</f>
        <v>1</v>
      </c>
      <c r="K8883" s="3" t="str">
        <f aca="false">IFERROR(INDEX('Teacher Lookup'!$B$2:$B$200,MATCH(A8883,'Teacher Lookup'!$A$2:$A$200,0)),"")</f>
        <v>CHAN Susanna</v>
      </c>
    </row>
    <row r="8884" customFormat="false" ht="15" hidden="false" customHeight="false" outlineLevel="0" collapsed="false">
      <c r="A8884" s="3" t="s">
        <v>126</v>
      </c>
      <c r="B8884" s="4" t="s">
        <v>12</v>
      </c>
      <c r="C8884" s="4" t="n">
        <v>2</v>
      </c>
      <c r="D8884" s="4" t="s">
        <v>73</v>
      </c>
      <c r="E8884" s="3" t="s">
        <v>438</v>
      </c>
      <c r="F8884" s="4" t="str">
        <f aca="false">IF(I8884&gt;J8884,"Y","N")</f>
        <v>N</v>
      </c>
      <c r="G8884" s="3" t="s">
        <v>350</v>
      </c>
      <c r="H8884" s="3" t="s">
        <v>21</v>
      </c>
      <c r="I8884" s="4" t="n">
        <v>1</v>
      </c>
      <c r="J8884" s="4" t="n">
        <f aca="false">LEN(E8884)-LEN(SUBSTITUTE(E8884,",",""))+1</f>
        <v>1</v>
      </c>
      <c r="K8884" s="3" t="str">
        <f aca="false">IFERROR(INDEX('Teacher Lookup'!$B$2:$B$200,MATCH(A8884,'Teacher Lookup'!$A$2:$A$200,0)),"")</f>
        <v>CHAN Susanna</v>
      </c>
    </row>
    <row r="8885" customFormat="false" ht="15" hidden="false" customHeight="false" outlineLevel="0" collapsed="false">
      <c r="A8885" s="3" t="s">
        <v>126</v>
      </c>
      <c r="B8885" s="4" t="s">
        <v>12</v>
      </c>
      <c r="C8885" s="4" t="n">
        <v>3</v>
      </c>
      <c r="D8885" s="4" t="s">
        <v>76</v>
      </c>
      <c r="E8885" s="3" t="s">
        <v>113</v>
      </c>
      <c r="F8885" s="4" t="str">
        <f aca="false">IF(I8885&gt;J8885,"Y","N")</f>
        <v>N</v>
      </c>
      <c r="G8885" s="3" t="s">
        <v>350</v>
      </c>
      <c r="H8885" s="3" t="s">
        <v>26</v>
      </c>
      <c r="I8885" s="4" t="n">
        <v>1</v>
      </c>
      <c r="J8885" s="4" t="n">
        <f aca="false">LEN(E8885)-LEN(SUBSTITUTE(E8885,",",""))+1</f>
        <v>1</v>
      </c>
      <c r="K8885" s="3" t="str">
        <f aca="false">IFERROR(INDEX('Teacher Lookup'!$B$2:$B$200,MATCH(A8885,'Teacher Lookup'!$A$2:$A$200,0)),"")</f>
        <v>CHAN Susanna</v>
      </c>
    </row>
    <row r="8886" customFormat="false" ht="15" hidden="false" customHeight="false" outlineLevel="0" collapsed="false">
      <c r="A8886" s="3" t="s">
        <v>126</v>
      </c>
      <c r="B8886" s="4" t="s">
        <v>12</v>
      </c>
      <c r="C8886" s="4" t="n">
        <v>6</v>
      </c>
      <c r="D8886" s="4" t="s">
        <v>124</v>
      </c>
      <c r="E8886" s="3" t="s">
        <v>288</v>
      </c>
      <c r="F8886" s="4" t="str">
        <f aca="false">IF(I8886&gt;J8886,"Y","N")</f>
        <v>N</v>
      </c>
      <c r="G8886" s="3" t="s">
        <v>350</v>
      </c>
      <c r="H8886" s="3" t="s">
        <v>42</v>
      </c>
      <c r="I8886" s="4" t="n">
        <v>1</v>
      </c>
      <c r="J8886" s="4" t="n">
        <f aca="false">LEN(E8886)-LEN(SUBSTITUTE(E8886,",",""))+1</f>
        <v>1</v>
      </c>
      <c r="K8886" s="3" t="str">
        <f aca="false">IFERROR(INDEX('Teacher Lookup'!$B$2:$B$200,MATCH(A8886,'Teacher Lookup'!$A$2:$A$200,0)),"")</f>
        <v>CHAN Susanna</v>
      </c>
    </row>
    <row r="8887" customFormat="false" ht="15" hidden="false" customHeight="false" outlineLevel="0" collapsed="false">
      <c r="A8887" s="3" t="s">
        <v>126</v>
      </c>
      <c r="B8887" s="4" t="s">
        <v>12</v>
      </c>
      <c r="C8887" s="4" t="n">
        <v>7</v>
      </c>
      <c r="D8887" s="4" t="s">
        <v>142</v>
      </c>
      <c r="E8887" s="3" t="s">
        <v>435</v>
      </c>
      <c r="F8887" s="4" t="str">
        <f aca="false">IF(I8887&gt;J8887,"Y","N")</f>
        <v>N</v>
      </c>
      <c r="G8887" s="3" t="s">
        <v>350</v>
      </c>
      <c r="H8887" s="3" t="s">
        <v>39</v>
      </c>
      <c r="I8887" s="4" t="n">
        <v>1</v>
      </c>
      <c r="J8887" s="4" t="n">
        <f aca="false">LEN(E8887)-LEN(SUBSTITUTE(E8887,",",""))+1</f>
        <v>1</v>
      </c>
      <c r="K8887" s="3" t="str">
        <f aca="false">IFERROR(INDEX('Teacher Lookup'!$B$2:$B$200,MATCH(A8887,'Teacher Lookup'!$A$2:$A$200,0)),"")</f>
        <v>CHAN Susanna</v>
      </c>
    </row>
    <row r="8888" customFormat="false" ht="15" hidden="false" customHeight="false" outlineLevel="0" collapsed="false">
      <c r="A8888" s="3" t="s">
        <v>126</v>
      </c>
      <c r="B8888" s="4" t="s">
        <v>31</v>
      </c>
      <c r="C8888" s="4" t="n">
        <v>1</v>
      </c>
      <c r="D8888" s="4" t="s">
        <v>73</v>
      </c>
      <c r="E8888" s="3" t="s">
        <v>438</v>
      </c>
      <c r="F8888" s="4" t="str">
        <f aca="false">IF(I8888&gt;J8888,"Y","N")</f>
        <v>N</v>
      </c>
      <c r="G8888" s="3" t="s">
        <v>350</v>
      </c>
      <c r="H8888" s="3" t="s">
        <v>16</v>
      </c>
      <c r="I8888" s="4" t="n">
        <v>1</v>
      </c>
      <c r="J8888" s="4" t="n">
        <f aca="false">LEN(E8888)-LEN(SUBSTITUTE(E8888,",",""))+1</f>
        <v>1</v>
      </c>
      <c r="K8888" s="3" t="str">
        <f aca="false">IFERROR(INDEX('Teacher Lookup'!$B$2:$B$200,MATCH(A8888,'Teacher Lookup'!$A$2:$A$200,0)),"")</f>
        <v>CHAN Susanna</v>
      </c>
    </row>
    <row r="8889" customFormat="false" ht="15" hidden="false" customHeight="false" outlineLevel="0" collapsed="false">
      <c r="A8889" s="3" t="s">
        <v>126</v>
      </c>
      <c r="B8889" s="4" t="s">
        <v>31</v>
      </c>
      <c r="C8889" s="4" t="n">
        <v>4</v>
      </c>
      <c r="D8889" s="4" t="s">
        <v>137</v>
      </c>
      <c r="E8889" s="3" t="s">
        <v>434</v>
      </c>
      <c r="F8889" s="4" t="str">
        <f aca="false">IF(I8889&gt;J8889,"Y","N")</f>
        <v>N</v>
      </c>
      <c r="G8889" s="3" t="s">
        <v>350</v>
      </c>
      <c r="H8889" s="3" t="s">
        <v>34</v>
      </c>
      <c r="I8889" s="4" t="n">
        <v>1</v>
      </c>
      <c r="J8889" s="4" t="n">
        <f aca="false">LEN(E8889)-LEN(SUBSTITUTE(E8889,",",""))+1</f>
        <v>1</v>
      </c>
      <c r="K8889" s="3" t="str">
        <f aca="false">IFERROR(INDEX('Teacher Lookup'!$B$2:$B$200,MATCH(A8889,'Teacher Lookup'!$A$2:$A$200,0)),"")</f>
        <v>CHAN Susanna</v>
      </c>
    </row>
    <row r="8890" customFormat="false" ht="15" hidden="false" customHeight="false" outlineLevel="0" collapsed="false">
      <c r="A8890" s="3" t="s">
        <v>126</v>
      </c>
      <c r="B8890" s="4" t="s">
        <v>31</v>
      </c>
      <c r="C8890" s="4" t="n">
        <v>5</v>
      </c>
      <c r="D8890" s="4" t="s">
        <v>137</v>
      </c>
      <c r="E8890" s="3" t="s">
        <v>185</v>
      </c>
      <c r="F8890" s="4" t="str">
        <f aca="false">IF(I8890&gt;J8890,"Y","N")</f>
        <v>Y</v>
      </c>
      <c r="G8890" s="3" t="s">
        <v>36</v>
      </c>
      <c r="H8890" s="3" t="s">
        <v>37</v>
      </c>
      <c r="I8890" s="4" t="n">
        <v>21</v>
      </c>
      <c r="J8890" s="4" t="n">
        <f aca="false">LEN(E8890)-LEN(SUBSTITUTE(E8890,",",""))+1</f>
        <v>7</v>
      </c>
      <c r="K8890" s="3" t="str">
        <f aca="false">IFERROR(INDEX('Teacher Lookup'!$B$2:$B$200,MATCH(A8890,'Teacher Lookup'!$A$2:$A$200,0)),"")</f>
        <v>CHAN Susanna</v>
      </c>
    </row>
    <row r="8891" customFormat="false" ht="15" hidden="false" customHeight="false" outlineLevel="0" collapsed="false">
      <c r="A8891" s="3" t="s">
        <v>126</v>
      </c>
      <c r="B8891" s="4" t="s">
        <v>31</v>
      </c>
      <c r="C8891" s="4" t="n">
        <v>5</v>
      </c>
      <c r="D8891" s="4" t="s">
        <v>124</v>
      </c>
      <c r="E8891" s="3" t="s">
        <v>185</v>
      </c>
      <c r="F8891" s="4" t="str">
        <f aca="false">IF(I8891&gt;J8891,"Y","N")</f>
        <v>Y</v>
      </c>
      <c r="G8891" s="3" t="s">
        <v>36</v>
      </c>
      <c r="H8891" s="3" t="s">
        <v>37</v>
      </c>
      <c r="I8891" s="4" t="n">
        <v>21</v>
      </c>
      <c r="J8891" s="4" t="n">
        <f aca="false">LEN(E8891)-LEN(SUBSTITUTE(E8891,",",""))+1</f>
        <v>7</v>
      </c>
      <c r="K8891" s="3" t="str">
        <f aca="false">IFERROR(INDEX('Teacher Lookup'!$B$2:$B$200,MATCH(A8891,'Teacher Lookup'!$A$2:$A$200,0)),"")</f>
        <v>CHAN Susanna</v>
      </c>
    </row>
    <row r="8892" customFormat="false" ht="15" hidden="false" customHeight="false" outlineLevel="0" collapsed="false">
      <c r="A8892" s="3" t="s">
        <v>126</v>
      </c>
      <c r="B8892" s="4" t="s">
        <v>31</v>
      </c>
      <c r="C8892" s="4" t="n">
        <v>5</v>
      </c>
      <c r="D8892" s="4" t="s">
        <v>139</v>
      </c>
      <c r="E8892" s="3" t="s">
        <v>185</v>
      </c>
      <c r="F8892" s="4" t="str">
        <f aca="false">IF(I8892&gt;J8892,"Y","N")</f>
        <v>Y</v>
      </c>
      <c r="G8892" s="3" t="s">
        <v>36</v>
      </c>
      <c r="H8892" s="3" t="s">
        <v>37</v>
      </c>
      <c r="I8892" s="4" t="n">
        <v>21</v>
      </c>
      <c r="J8892" s="4" t="n">
        <f aca="false">LEN(E8892)-LEN(SUBSTITUTE(E8892,",",""))+1</f>
        <v>7</v>
      </c>
      <c r="K8892" s="3" t="str">
        <f aca="false">IFERROR(INDEX('Teacher Lookup'!$B$2:$B$200,MATCH(A8892,'Teacher Lookup'!$A$2:$A$200,0)),"")</f>
        <v>CHAN Susanna</v>
      </c>
    </row>
    <row r="8893" customFormat="false" ht="15" hidden="false" customHeight="false" outlineLevel="0" collapsed="false">
      <c r="A8893" s="3" t="s">
        <v>126</v>
      </c>
      <c r="B8893" s="4" t="s">
        <v>31</v>
      </c>
      <c r="C8893" s="4" t="n">
        <v>5</v>
      </c>
      <c r="D8893" s="4" t="s">
        <v>140</v>
      </c>
      <c r="E8893" s="3" t="s">
        <v>185</v>
      </c>
      <c r="F8893" s="4" t="str">
        <f aca="false">IF(I8893&gt;J8893,"Y","N")</f>
        <v>Y</v>
      </c>
      <c r="G8893" s="3" t="s">
        <v>36</v>
      </c>
      <c r="H8893" s="3" t="s">
        <v>37</v>
      </c>
      <c r="I8893" s="4" t="n">
        <v>21</v>
      </c>
      <c r="J8893" s="4" t="n">
        <f aca="false">LEN(E8893)-LEN(SUBSTITUTE(E8893,",",""))+1</f>
        <v>7</v>
      </c>
      <c r="K8893" s="3" t="str">
        <f aca="false">IFERROR(INDEX('Teacher Lookup'!$B$2:$B$200,MATCH(A8893,'Teacher Lookup'!$A$2:$A$200,0)),"")</f>
        <v>CHAN Susanna</v>
      </c>
    </row>
    <row r="8894" customFormat="false" ht="15" hidden="false" customHeight="false" outlineLevel="0" collapsed="false">
      <c r="A8894" s="3" t="s">
        <v>126</v>
      </c>
      <c r="B8894" s="4" t="s">
        <v>31</v>
      </c>
      <c r="C8894" s="4" t="n">
        <v>5</v>
      </c>
      <c r="D8894" s="4" t="s">
        <v>142</v>
      </c>
      <c r="E8894" s="3" t="s">
        <v>185</v>
      </c>
      <c r="F8894" s="4" t="str">
        <f aca="false">IF(I8894&gt;J8894,"Y","N")</f>
        <v>Y</v>
      </c>
      <c r="G8894" s="3" t="s">
        <v>36</v>
      </c>
      <c r="H8894" s="3" t="s">
        <v>37</v>
      </c>
      <c r="I8894" s="4" t="n">
        <v>21</v>
      </c>
      <c r="J8894" s="4" t="n">
        <f aca="false">LEN(E8894)-LEN(SUBSTITUTE(E8894,",",""))+1</f>
        <v>7</v>
      </c>
      <c r="K8894" s="3" t="str">
        <f aca="false">IFERROR(INDEX('Teacher Lookup'!$B$2:$B$200,MATCH(A8894,'Teacher Lookup'!$A$2:$A$200,0)),"")</f>
        <v>CHAN Susanna</v>
      </c>
    </row>
    <row r="8895" customFormat="false" ht="15" hidden="false" customHeight="false" outlineLevel="0" collapsed="false">
      <c r="A8895" s="3" t="s">
        <v>126</v>
      </c>
      <c r="B8895" s="4" t="s">
        <v>31</v>
      </c>
      <c r="C8895" s="4" t="n">
        <v>5</v>
      </c>
      <c r="D8895" s="4" t="s">
        <v>127</v>
      </c>
      <c r="E8895" s="3" t="s">
        <v>185</v>
      </c>
      <c r="F8895" s="4" t="str">
        <f aca="false">IF(I8895&gt;J8895,"Y","N")</f>
        <v>Y</v>
      </c>
      <c r="G8895" s="3" t="s">
        <v>36</v>
      </c>
      <c r="H8895" s="3" t="s">
        <v>37</v>
      </c>
      <c r="I8895" s="4" t="n">
        <v>21</v>
      </c>
      <c r="J8895" s="4" t="n">
        <f aca="false">LEN(E8895)-LEN(SUBSTITUTE(E8895,",",""))+1</f>
        <v>7</v>
      </c>
      <c r="K8895" s="3" t="str">
        <f aca="false">IFERROR(INDEX('Teacher Lookup'!$B$2:$B$200,MATCH(A8895,'Teacher Lookup'!$A$2:$A$200,0)),"")</f>
        <v>CHAN Susanna</v>
      </c>
    </row>
    <row r="8896" customFormat="false" ht="15" hidden="false" customHeight="false" outlineLevel="0" collapsed="false">
      <c r="A8896" s="3" t="s">
        <v>126</v>
      </c>
      <c r="B8896" s="4" t="s">
        <v>40</v>
      </c>
      <c r="C8896" s="4" t="n">
        <v>3</v>
      </c>
      <c r="D8896" s="4" t="s">
        <v>127</v>
      </c>
      <c r="E8896" s="3" t="s">
        <v>128</v>
      </c>
      <c r="F8896" s="4" t="str">
        <f aca="false">IF(I8896&gt;J8896,"Y","N")</f>
        <v>N</v>
      </c>
      <c r="G8896" s="3" t="s">
        <v>350</v>
      </c>
      <c r="H8896" s="3" t="s">
        <v>26</v>
      </c>
      <c r="I8896" s="4" t="n">
        <v>1</v>
      </c>
      <c r="J8896" s="4" t="n">
        <f aca="false">LEN(E8896)-LEN(SUBSTITUTE(E8896,",",""))+1</f>
        <v>1</v>
      </c>
      <c r="K8896" s="3" t="str">
        <f aca="false">IFERROR(INDEX('Teacher Lookup'!$B$2:$B$200,MATCH(A8896,'Teacher Lookup'!$A$2:$A$200,0)),"")</f>
        <v>CHAN Susanna</v>
      </c>
    </row>
    <row r="8897" customFormat="false" ht="15" hidden="false" customHeight="false" outlineLevel="0" collapsed="false">
      <c r="A8897" s="3" t="s">
        <v>126</v>
      </c>
      <c r="B8897" s="4" t="s">
        <v>40</v>
      </c>
      <c r="C8897" s="4" t="n">
        <v>4</v>
      </c>
      <c r="D8897" s="4" t="s">
        <v>79</v>
      </c>
      <c r="E8897" s="3" t="s">
        <v>234</v>
      </c>
      <c r="F8897" s="4" t="str">
        <f aca="false">IF(I8897&gt;J8897,"Y","N")</f>
        <v>N</v>
      </c>
      <c r="G8897" s="3" t="s">
        <v>350</v>
      </c>
      <c r="H8897" s="3" t="s">
        <v>34</v>
      </c>
      <c r="I8897" s="4" t="n">
        <v>1</v>
      </c>
      <c r="J8897" s="4" t="n">
        <f aca="false">LEN(E8897)-LEN(SUBSTITUTE(E8897,",",""))+1</f>
        <v>1</v>
      </c>
      <c r="K8897" s="3" t="str">
        <f aca="false">IFERROR(INDEX('Teacher Lookup'!$B$2:$B$200,MATCH(A8897,'Teacher Lookup'!$A$2:$A$200,0)),"")</f>
        <v>CHAN Susanna</v>
      </c>
    </row>
    <row r="8898" customFormat="false" ht="15" hidden="false" customHeight="false" outlineLevel="0" collapsed="false">
      <c r="A8898" s="3" t="s">
        <v>126</v>
      </c>
      <c r="B8898" s="4" t="s">
        <v>40</v>
      </c>
      <c r="C8898" s="4" t="n">
        <v>6</v>
      </c>
      <c r="D8898" s="4" t="s">
        <v>139</v>
      </c>
      <c r="E8898" s="3" t="s">
        <v>284</v>
      </c>
      <c r="F8898" s="4" t="str">
        <f aca="false">IF(I8898&gt;J8898,"Y","N")</f>
        <v>N</v>
      </c>
      <c r="G8898" s="3" t="s">
        <v>350</v>
      </c>
      <c r="H8898" s="3" t="s">
        <v>42</v>
      </c>
      <c r="I8898" s="4" t="n">
        <v>1</v>
      </c>
      <c r="J8898" s="4" t="n">
        <f aca="false">LEN(E8898)-LEN(SUBSTITUTE(E8898,",",""))+1</f>
        <v>1</v>
      </c>
      <c r="K8898" s="3" t="str">
        <f aca="false">IFERROR(INDEX('Teacher Lookup'!$B$2:$B$200,MATCH(A8898,'Teacher Lookup'!$A$2:$A$200,0)),"")</f>
        <v>CHAN Susanna</v>
      </c>
    </row>
    <row r="8899" customFormat="false" ht="15" hidden="false" customHeight="false" outlineLevel="0" collapsed="false">
      <c r="A8899" s="3" t="s">
        <v>126</v>
      </c>
      <c r="B8899" s="4" t="s">
        <v>40</v>
      </c>
      <c r="C8899" s="4" t="n">
        <v>7</v>
      </c>
      <c r="D8899" s="4" t="s">
        <v>124</v>
      </c>
      <c r="E8899" s="3" t="s">
        <v>288</v>
      </c>
      <c r="F8899" s="4" t="str">
        <f aca="false">IF(I8899&gt;J8899,"Y","N")</f>
        <v>N</v>
      </c>
      <c r="G8899" s="3" t="s">
        <v>350</v>
      </c>
      <c r="H8899" s="3" t="s">
        <v>39</v>
      </c>
      <c r="I8899" s="4" t="n">
        <v>1</v>
      </c>
      <c r="J8899" s="4" t="n">
        <f aca="false">LEN(E8899)-LEN(SUBSTITUTE(E8899,",",""))+1</f>
        <v>1</v>
      </c>
      <c r="K8899" s="3" t="str">
        <f aca="false">IFERROR(INDEX('Teacher Lookup'!$B$2:$B$200,MATCH(A8899,'Teacher Lookup'!$A$2:$A$200,0)),"")</f>
        <v>CHAN Susanna</v>
      </c>
    </row>
    <row r="8900" customFormat="false" ht="15" hidden="false" customHeight="false" outlineLevel="0" collapsed="false">
      <c r="A8900" s="3" t="s">
        <v>126</v>
      </c>
      <c r="B8900" s="4" t="s">
        <v>44</v>
      </c>
      <c r="C8900" s="4" t="n">
        <v>1</v>
      </c>
      <c r="D8900" s="4" t="s">
        <v>70</v>
      </c>
      <c r="E8900" s="3" t="s">
        <v>108</v>
      </c>
      <c r="F8900" s="4" t="str">
        <f aca="false">IF(I8900&gt;J8900,"Y","N")</f>
        <v>N</v>
      </c>
      <c r="G8900" s="3" t="s">
        <v>350</v>
      </c>
      <c r="H8900" s="3" t="s">
        <v>16</v>
      </c>
      <c r="I8900" s="4" t="n">
        <v>1</v>
      </c>
      <c r="J8900" s="4" t="n">
        <f aca="false">LEN(E8900)-LEN(SUBSTITUTE(E8900,",",""))+1</f>
        <v>1</v>
      </c>
      <c r="K8900" s="3" t="str">
        <f aca="false">IFERROR(INDEX('Teacher Lookup'!$B$2:$B$200,MATCH(A8900,'Teacher Lookup'!$A$2:$A$200,0)),"")</f>
        <v>CHAN Susanna</v>
      </c>
    </row>
    <row r="8901" customFormat="false" ht="15" hidden="false" customHeight="false" outlineLevel="0" collapsed="false">
      <c r="A8901" s="3" t="s">
        <v>126</v>
      </c>
      <c r="B8901" s="4" t="s">
        <v>44</v>
      </c>
      <c r="C8901" s="4" t="n">
        <v>3</v>
      </c>
      <c r="D8901" s="4" t="s">
        <v>76</v>
      </c>
      <c r="E8901" s="3" t="s">
        <v>113</v>
      </c>
      <c r="F8901" s="4" t="str">
        <f aca="false">IF(I8901&gt;J8901,"Y","N")</f>
        <v>N</v>
      </c>
      <c r="G8901" s="3" t="s">
        <v>350</v>
      </c>
      <c r="H8901" s="3" t="s">
        <v>26</v>
      </c>
      <c r="I8901" s="4" t="n">
        <v>1</v>
      </c>
      <c r="J8901" s="4" t="n">
        <f aca="false">LEN(E8901)-LEN(SUBSTITUTE(E8901,",",""))+1</f>
        <v>1</v>
      </c>
      <c r="K8901" s="3" t="str">
        <f aca="false">IFERROR(INDEX('Teacher Lookup'!$B$2:$B$200,MATCH(A8901,'Teacher Lookup'!$A$2:$A$200,0)),"")</f>
        <v>CHAN Susanna</v>
      </c>
    </row>
    <row r="8902" customFormat="false" ht="15" hidden="false" customHeight="false" outlineLevel="0" collapsed="false">
      <c r="A8902" s="3" t="s">
        <v>126</v>
      </c>
      <c r="B8902" s="4" t="s">
        <v>44</v>
      </c>
      <c r="C8902" s="4" t="n">
        <v>5</v>
      </c>
      <c r="D8902" s="4" t="s">
        <v>137</v>
      </c>
      <c r="E8902" s="3" t="s">
        <v>185</v>
      </c>
      <c r="F8902" s="4" t="str">
        <f aca="false">IF(I8902&gt;J8902,"Y","N")</f>
        <v>Y</v>
      </c>
      <c r="G8902" s="3" t="s">
        <v>36</v>
      </c>
      <c r="H8902" s="3" t="s">
        <v>37</v>
      </c>
      <c r="I8902" s="4" t="n">
        <v>21</v>
      </c>
      <c r="J8902" s="4" t="n">
        <f aca="false">LEN(E8902)-LEN(SUBSTITUTE(E8902,",",""))+1</f>
        <v>7</v>
      </c>
      <c r="K8902" s="3" t="str">
        <f aca="false">IFERROR(INDEX('Teacher Lookup'!$B$2:$B$200,MATCH(A8902,'Teacher Lookup'!$A$2:$A$200,0)),"")</f>
        <v>CHAN Susanna</v>
      </c>
    </row>
    <row r="8903" customFormat="false" ht="15" hidden="false" customHeight="false" outlineLevel="0" collapsed="false">
      <c r="A8903" s="3" t="s">
        <v>126</v>
      </c>
      <c r="B8903" s="4" t="s">
        <v>44</v>
      </c>
      <c r="C8903" s="4" t="n">
        <v>5</v>
      </c>
      <c r="D8903" s="4" t="s">
        <v>124</v>
      </c>
      <c r="E8903" s="3" t="s">
        <v>185</v>
      </c>
      <c r="F8903" s="4" t="str">
        <f aca="false">IF(I8903&gt;J8903,"Y","N")</f>
        <v>Y</v>
      </c>
      <c r="G8903" s="3" t="s">
        <v>36</v>
      </c>
      <c r="H8903" s="3" t="s">
        <v>37</v>
      </c>
      <c r="I8903" s="4" t="n">
        <v>21</v>
      </c>
      <c r="J8903" s="4" t="n">
        <f aca="false">LEN(E8903)-LEN(SUBSTITUTE(E8903,",",""))+1</f>
        <v>7</v>
      </c>
      <c r="K8903" s="3" t="str">
        <f aca="false">IFERROR(INDEX('Teacher Lookup'!$B$2:$B$200,MATCH(A8903,'Teacher Lookup'!$A$2:$A$200,0)),"")</f>
        <v>CHAN Susanna</v>
      </c>
    </row>
    <row r="8904" customFormat="false" ht="15" hidden="false" customHeight="false" outlineLevel="0" collapsed="false">
      <c r="A8904" s="3" t="s">
        <v>126</v>
      </c>
      <c r="B8904" s="4" t="s">
        <v>44</v>
      </c>
      <c r="C8904" s="4" t="n">
        <v>5</v>
      </c>
      <c r="D8904" s="4" t="s">
        <v>139</v>
      </c>
      <c r="E8904" s="3" t="s">
        <v>185</v>
      </c>
      <c r="F8904" s="4" t="str">
        <f aca="false">IF(I8904&gt;J8904,"Y","N")</f>
        <v>Y</v>
      </c>
      <c r="G8904" s="3" t="s">
        <v>36</v>
      </c>
      <c r="H8904" s="3" t="s">
        <v>37</v>
      </c>
      <c r="I8904" s="4" t="n">
        <v>21</v>
      </c>
      <c r="J8904" s="4" t="n">
        <f aca="false">LEN(E8904)-LEN(SUBSTITUTE(E8904,",",""))+1</f>
        <v>7</v>
      </c>
      <c r="K8904" s="3" t="str">
        <f aca="false">IFERROR(INDEX('Teacher Lookup'!$B$2:$B$200,MATCH(A8904,'Teacher Lookup'!$A$2:$A$200,0)),"")</f>
        <v>CHAN Susanna</v>
      </c>
    </row>
    <row r="8905" customFormat="false" ht="15" hidden="false" customHeight="false" outlineLevel="0" collapsed="false">
      <c r="A8905" s="3" t="s">
        <v>126</v>
      </c>
      <c r="B8905" s="4" t="s">
        <v>44</v>
      </c>
      <c r="C8905" s="4" t="n">
        <v>5</v>
      </c>
      <c r="D8905" s="4" t="s">
        <v>140</v>
      </c>
      <c r="E8905" s="3" t="s">
        <v>185</v>
      </c>
      <c r="F8905" s="4" t="str">
        <f aca="false">IF(I8905&gt;J8905,"Y","N")</f>
        <v>Y</v>
      </c>
      <c r="G8905" s="3" t="s">
        <v>36</v>
      </c>
      <c r="H8905" s="3" t="s">
        <v>37</v>
      </c>
      <c r="I8905" s="4" t="n">
        <v>21</v>
      </c>
      <c r="J8905" s="4" t="n">
        <f aca="false">LEN(E8905)-LEN(SUBSTITUTE(E8905,",",""))+1</f>
        <v>7</v>
      </c>
      <c r="K8905" s="3" t="str">
        <f aca="false">IFERROR(INDEX('Teacher Lookup'!$B$2:$B$200,MATCH(A8905,'Teacher Lookup'!$A$2:$A$200,0)),"")</f>
        <v>CHAN Susanna</v>
      </c>
    </row>
    <row r="8906" customFormat="false" ht="15" hidden="false" customHeight="false" outlineLevel="0" collapsed="false">
      <c r="A8906" s="3" t="s">
        <v>126</v>
      </c>
      <c r="B8906" s="4" t="s">
        <v>44</v>
      </c>
      <c r="C8906" s="4" t="n">
        <v>5</v>
      </c>
      <c r="D8906" s="4" t="s">
        <v>142</v>
      </c>
      <c r="E8906" s="3" t="s">
        <v>185</v>
      </c>
      <c r="F8906" s="4" t="str">
        <f aca="false">IF(I8906&gt;J8906,"Y","N")</f>
        <v>Y</v>
      </c>
      <c r="G8906" s="3" t="s">
        <v>36</v>
      </c>
      <c r="H8906" s="3" t="s">
        <v>37</v>
      </c>
      <c r="I8906" s="4" t="n">
        <v>21</v>
      </c>
      <c r="J8906" s="4" t="n">
        <f aca="false">LEN(E8906)-LEN(SUBSTITUTE(E8906,",",""))+1</f>
        <v>7</v>
      </c>
      <c r="K8906" s="3" t="str">
        <f aca="false">IFERROR(INDEX('Teacher Lookup'!$B$2:$B$200,MATCH(A8906,'Teacher Lookup'!$A$2:$A$200,0)),"")</f>
        <v>CHAN Susanna</v>
      </c>
    </row>
    <row r="8907" customFormat="false" ht="15" hidden="false" customHeight="false" outlineLevel="0" collapsed="false">
      <c r="A8907" s="3" t="s">
        <v>126</v>
      </c>
      <c r="B8907" s="4" t="s">
        <v>44</v>
      </c>
      <c r="C8907" s="4" t="n">
        <v>5</v>
      </c>
      <c r="D8907" s="4" t="s">
        <v>127</v>
      </c>
      <c r="E8907" s="3" t="s">
        <v>185</v>
      </c>
      <c r="F8907" s="4" t="str">
        <f aca="false">IF(I8907&gt;J8907,"Y","N")</f>
        <v>Y</v>
      </c>
      <c r="G8907" s="3" t="s">
        <v>36</v>
      </c>
      <c r="H8907" s="3" t="s">
        <v>37</v>
      </c>
      <c r="I8907" s="4" t="n">
        <v>21</v>
      </c>
      <c r="J8907" s="4" t="n">
        <f aca="false">LEN(E8907)-LEN(SUBSTITUTE(E8907,",",""))+1</f>
        <v>7</v>
      </c>
      <c r="K8907" s="3" t="str">
        <f aca="false">IFERROR(INDEX('Teacher Lookup'!$B$2:$B$200,MATCH(A8907,'Teacher Lookup'!$A$2:$A$200,0)),"")</f>
        <v>CHAN Susanna</v>
      </c>
    </row>
    <row r="8908" customFormat="false" ht="15" hidden="false" customHeight="false" outlineLevel="0" collapsed="false">
      <c r="A8908" s="3" t="s">
        <v>126</v>
      </c>
      <c r="B8908" s="4" t="s">
        <v>44</v>
      </c>
      <c r="C8908" s="4" t="n">
        <v>6</v>
      </c>
      <c r="D8908" s="4" t="s">
        <v>19</v>
      </c>
      <c r="E8908" s="3" t="s">
        <v>109</v>
      </c>
      <c r="F8908" s="4" t="str">
        <f aca="false">IF(I8908&gt;J8908,"Y","N")</f>
        <v>N</v>
      </c>
      <c r="G8908" s="3" t="s">
        <v>350</v>
      </c>
      <c r="H8908" s="3" t="s">
        <v>42</v>
      </c>
      <c r="I8908" s="4" t="n">
        <v>1</v>
      </c>
      <c r="J8908" s="4" t="n">
        <f aca="false">LEN(E8908)-LEN(SUBSTITUTE(E8908,",",""))+1</f>
        <v>1</v>
      </c>
      <c r="K8908" s="3" t="str">
        <f aca="false">IFERROR(INDEX('Teacher Lookup'!$B$2:$B$200,MATCH(A8908,'Teacher Lookup'!$A$2:$A$200,0)),"")</f>
        <v>CHAN Susanna</v>
      </c>
    </row>
    <row r="8909" customFormat="false" ht="15" hidden="false" customHeight="false" outlineLevel="0" collapsed="false">
      <c r="A8909" s="3" t="s">
        <v>126</v>
      </c>
      <c r="B8909" s="4" t="s">
        <v>47</v>
      </c>
      <c r="C8909" s="4" t="n">
        <v>1</v>
      </c>
      <c r="D8909" s="4" t="s">
        <v>140</v>
      </c>
      <c r="E8909" s="3" t="s">
        <v>289</v>
      </c>
      <c r="F8909" s="4" t="str">
        <f aca="false">IF(I8909&gt;J8909,"Y","N")</f>
        <v>N</v>
      </c>
      <c r="G8909" s="3" t="s">
        <v>350</v>
      </c>
      <c r="H8909" s="3" t="s">
        <v>16</v>
      </c>
      <c r="I8909" s="4" t="n">
        <v>1</v>
      </c>
      <c r="J8909" s="4" t="n">
        <f aca="false">LEN(E8909)-LEN(SUBSTITUTE(E8909,",",""))+1</f>
        <v>1</v>
      </c>
      <c r="K8909" s="3" t="str">
        <f aca="false">IFERROR(INDEX('Teacher Lookup'!$B$2:$B$200,MATCH(A8909,'Teacher Lookup'!$A$2:$A$200,0)),"")</f>
        <v>CHAN Susanna</v>
      </c>
    </row>
    <row r="8910" customFormat="false" ht="15" hidden="false" customHeight="false" outlineLevel="0" collapsed="false">
      <c r="A8910" s="3" t="s">
        <v>126</v>
      </c>
      <c r="B8910" s="4" t="s">
        <v>47</v>
      </c>
      <c r="C8910" s="4" t="n">
        <v>2</v>
      </c>
      <c r="D8910" s="4" t="s">
        <v>19</v>
      </c>
      <c r="E8910" s="3" t="s">
        <v>109</v>
      </c>
      <c r="F8910" s="4" t="str">
        <f aca="false">IF(I8910&gt;J8910,"Y","N")</f>
        <v>N</v>
      </c>
      <c r="G8910" s="3" t="s">
        <v>350</v>
      </c>
      <c r="H8910" s="3" t="s">
        <v>21</v>
      </c>
      <c r="I8910" s="4" t="n">
        <v>1</v>
      </c>
      <c r="J8910" s="4" t="n">
        <f aca="false">LEN(E8910)-LEN(SUBSTITUTE(E8910,",",""))+1</f>
        <v>1</v>
      </c>
      <c r="K8910" s="3" t="str">
        <f aca="false">IFERROR(INDEX('Teacher Lookup'!$B$2:$B$200,MATCH(A8910,'Teacher Lookup'!$A$2:$A$200,0)),"")</f>
        <v>CHAN Susanna</v>
      </c>
    </row>
    <row r="8911" customFormat="false" ht="15" hidden="false" customHeight="false" outlineLevel="0" collapsed="false">
      <c r="A8911" s="3" t="s">
        <v>126</v>
      </c>
      <c r="B8911" s="4" t="s">
        <v>47</v>
      </c>
      <c r="C8911" s="4" t="n">
        <v>3</v>
      </c>
      <c r="D8911" s="4" t="s">
        <v>70</v>
      </c>
      <c r="E8911" s="3" t="s">
        <v>108</v>
      </c>
      <c r="F8911" s="4" t="str">
        <f aca="false">IF(I8911&gt;J8911,"Y","N")</f>
        <v>N</v>
      </c>
      <c r="G8911" s="3" t="s">
        <v>350</v>
      </c>
      <c r="H8911" s="3" t="s">
        <v>26</v>
      </c>
      <c r="I8911" s="4" t="n">
        <v>1</v>
      </c>
      <c r="J8911" s="4" t="n">
        <f aca="false">LEN(E8911)-LEN(SUBSTITUTE(E8911,",",""))+1</f>
        <v>1</v>
      </c>
      <c r="K8911" s="3" t="str">
        <f aca="false">IFERROR(INDEX('Teacher Lookup'!$B$2:$B$200,MATCH(A8911,'Teacher Lookup'!$A$2:$A$200,0)),"")</f>
        <v>CHAN Susanna</v>
      </c>
    </row>
    <row r="8912" customFormat="false" ht="15" hidden="false" customHeight="false" outlineLevel="0" collapsed="false">
      <c r="A8912" s="3" t="s">
        <v>126</v>
      </c>
      <c r="B8912" s="4" t="s">
        <v>47</v>
      </c>
      <c r="C8912" s="4" t="n">
        <v>4</v>
      </c>
      <c r="D8912" s="4" t="s">
        <v>139</v>
      </c>
      <c r="E8912" s="3" t="s">
        <v>284</v>
      </c>
      <c r="F8912" s="4" t="str">
        <f aca="false">IF(I8912&gt;J8912,"Y","N")</f>
        <v>N</v>
      </c>
      <c r="G8912" s="3" t="s">
        <v>350</v>
      </c>
      <c r="H8912" s="3" t="s">
        <v>34</v>
      </c>
      <c r="I8912" s="4" t="n">
        <v>1</v>
      </c>
      <c r="J8912" s="4" t="n">
        <f aca="false">LEN(E8912)-LEN(SUBSTITUTE(E8912,",",""))+1</f>
        <v>1</v>
      </c>
      <c r="K8912" s="3" t="str">
        <f aca="false">IFERROR(INDEX('Teacher Lookup'!$B$2:$B$200,MATCH(A8912,'Teacher Lookup'!$A$2:$A$200,0)),"")</f>
        <v>CHAN Susanna</v>
      </c>
    </row>
    <row r="8913" customFormat="false" ht="15" hidden="false" customHeight="false" outlineLevel="0" collapsed="false">
      <c r="A8913" s="3" t="s">
        <v>126</v>
      </c>
      <c r="B8913" s="4" t="s">
        <v>47</v>
      </c>
      <c r="C8913" s="4" t="n">
        <v>6</v>
      </c>
      <c r="D8913" s="4" t="s">
        <v>137</v>
      </c>
      <c r="E8913" s="3" t="s">
        <v>434</v>
      </c>
      <c r="F8913" s="4" t="str">
        <f aca="false">IF(I8913&gt;J8913,"Y","N")</f>
        <v>N</v>
      </c>
      <c r="G8913" s="3" t="s">
        <v>350</v>
      </c>
      <c r="H8913" s="3" t="s">
        <v>42</v>
      </c>
      <c r="I8913" s="4" t="n">
        <v>1</v>
      </c>
      <c r="J8913" s="4" t="n">
        <f aca="false">LEN(E8913)-LEN(SUBSTITUTE(E8913,",",""))+1</f>
        <v>1</v>
      </c>
      <c r="K8913" s="3" t="str">
        <f aca="false">IFERROR(INDEX('Teacher Lookup'!$B$2:$B$200,MATCH(A8913,'Teacher Lookup'!$A$2:$A$200,0)),"")</f>
        <v>CHAN Susanna</v>
      </c>
    </row>
    <row r="8914" customFormat="false" ht="15" hidden="false" customHeight="false" outlineLevel="0" collapsed="false">
      <c r="A8914" s="3" t="s">
        <v>126</v>
      </c>
      <c r="B8914" s="4" t="s">
        <v>50</v>
      </c>
      <c r="C8914" s="4" t="n">
        <v>2</v>
      </c>
      <c r="D8914" s="4" t="s">
        <v>127</v>
      </c>
      <c r="E8914" s="3" t="s">
        <v>128</v>
      </c>
      <c r="F8914" s="4" t="str">
        <f aca="false">IF(I8914&gt;J8914,"Y","N")</f>
        <v>N</v>
      </c>
      <c r="G8914" s="3" t="s">
        <v>350</v>
      </c>
      <c r="H8914" s="3" t="s">
        <v>21</v>
      </c>
      <c r="I8914" s="4" t="n">
        <v>1</v>
      </c>
      <c r="J8914" s="4" t="n">
        <f aca="false">LEN(E8914)-LEN(SUBSTITUTE(E8914,",",""))+1</f>
        <v>1</v>
      </c>
      <c r="K8914" s="3" t="str">
        <f aca="false">IFERROR(INDEX('Teacher Lookup'!$B$2:$B$200,MATCH(A8914,'Teacher Lookup'!$A$2:$A$200,0)),"")</f>
        <v>CHAN Susanna</v>
      </c>
    </row>
    <row r="8915" customFormat="false" ht="15" hidden="false" customHeight="false" outlineLevel="0" collapsed="false">
      <c r="A8915" s="3" t="s">
        <v>126</v>
      </c>
      <c r="B8915" s="4" t="s">
        <v>50</v>
      </c>
      <c r="C8915" s="4" t="n">
        <v>4</v>
      </c>
      <c r="D8915" s="4" t="s">
        <v>79</v>
      </c>
      <c r="E8915" s="3" t="s">
        <v>234</v>
      </c>
      <c r="F8915" s="4" t="str">
        <f aca="false">IF(I8915&gt;J8915,"Y","N")</f>
        <v>N</v>
      </c>
      <c r="G8915" s="3" t="s">
        <v>350</v>
      </c>
      <c r="H8915" s="3" t="s">
        <v>34</v>
      </c>
      <c r="I8915" s="4" t="n">
        <v>1</v>
      </c>
      <c r="J8915" s="4" t="n">
        <f aca="false">LEN(E8915)-LEN(SUBSTITUTE(E8915,",",""))+1</f>
        <v>1</v>
      </c>
      <c r="K8915" s="3" t="str">
        <f aca="false">IFERROR(INDEX('Teacher Lookup'!$B$2:$B$200,MATCH(A8915,'Teacher Lookup'!$A$2:$A$200,0)),"")</f>
        <v>CHAN Susanna</v>
      </c>
    </row>
    <row r="8916" customFormat="false" ht="15" hidden="false" customHeight="false" outlineLevel="0" collapsed="false">
      <c r="A8916" s="3" t="s">
        <v>126</v>
      </c>
      <c r="B8916" s="4" t="s">
        <v>50</v>
      </c>
      <c r="C8916" s="4" t="n">
        <v>5</v>
      </c>
      <c r="D8916" s="4" t="s">
        <v>73</v>
      </c>
      <c r="E8916" s="3" t="s">
        <v>438</v>
      </c>
      <c r="F8916" s="4" t="str">
        <f aca="false">IF(I8916&gt;J8916,"Y","N")</f>
        <v>N</v>
      </c>
      <c r="G8916" s="3" t="s">
        <v>350</v>
      </c>
      <c r="H8916" s="3" t="s">
        <v>37</v>
      </c>
      <c r="I8916" s="4" t="n">
        <v>1</v>
      </c>
      <c r="J8916" s="4" t="n">
        <f aca="false">LEN(E8916)-LEN(SUBSTITUTE(E8916,",",""))+1</f>
        <v>1</v>
      </c>
      <c r="K8916" s="3" t="str">
        <f aca="false">IFERROR(INDEX('Teacher Lookup'!$B$2:$B$200,MATCH(A8916,'Teacher Lookup'!$A$2:$A$200,0)),"")</f>
        <v>CHAN Susanna</v>
      </c>
    </row>
    <row r="8917" customFormat="false" ht="15" hidden="false" customHeight="false" outlineLevel="0" collapsed="false">
      <c r="A8917" s="3" t="s">
        <v>126</v>
      </c>
      <c r="B8917" s="4" t="s">
        <v>60</v>
      </c>
      <c r="C8917" s="4" t="n">
        <v>1</v>
      </c>
      <c r="D8917" s="4" t="s">
        <v>124</v>
      </c>
      <c r="E8917" s="3" t="s">
        <v>288</v>
      </c>
      <c r="F8917" s="4" t="str">
        <f aca="false">IF(I8917&gt;J8917,"Y","N")</f>
        <v>N</v>
      </c>
      <c r="G8917" s="3" t="s">
        <v>350</v>
      </c>
      <c r="H8917" s="3" t="s">
        <v>16</v>
      </c>
      <c r="I8917" s="4" t="n">
        <v>1</v>
      </c>
      <c r="J8917" s="4" t="n">
        <f aca="false">LEN(E8917)-LEN(SUBSTITUTE(E8917,",",""))+1</f>
        <v>1</v>
      </c>
      <c r="K8917" s="3" t="str">
        <f aca="false">IFERROR(INDEX('Teacher Lookup'!$B$2:$B$200,MATCH(A8917,'Teacher Lookup'!$A$2:$A$200,0)),"")</f>
        <v>CHAN Susanna</v>
      </c>
    </row>
    <row r="8918" customFormat="false" ht="15" hidden="false" customHeight="false" outlineLevel="0" collapsed="false">
      <c r="A8918" s="3" t="s">
        <v>126</v>
      </c>
      <c r="B8918" s="4" t="s">
        <v>60</v>
      </c>
      <c r="C8918" s="4" t="n">
        <v>2</v>
      </c>
      <c r="D8918" s="4" t="s">
        <v>79</v>
      </c>
      <c r="E8918" s="3" t="s">
        <v>234</v>
      </c>
      <c r="F8918" s="4" t="str">
        <f aca="false">IF(I8918&gt;J8918,"Y","N")</f>
        <v>N</v>
      </c>
      <c r="G8918" s="3" t="s">
        <v>350</v>
      </c>
      <c r="H8918" s="3" t="s">
        <v>21</v>
      </c>
      <c r="I8918" s="4" t="n">
        <v>1</v>
      </c>
      <c r="J8918" s="4" t="n">
        <f aca="false">LEN(E8918)-LEN(SUBSTITUTE(E8918,",",""))+1</f>
        <v>1</v>
      </c>
      <c r="K8918" s="3" t="str">
        <f aca="false">IFERROR(INDEX('Teacher Lookup'!$B$2:$B$200,MATCH(A8918,'Teacher Lookup'!$A$2:$A$200,0)),"")</f>
        <v>CHAN Susanna</v>
      </c>
    </row>
    <row r="8919" customFormat="false" ht="15" hidden="false" customHeight="false" outlineLevel="0" collapsed="false">
      <c r="A8919" s="3" t="s">
        <v>126</v>
      </c>
      <c r="B8919" s="4" t="s">
        <v>60</v>
      </c>
      <c r="C8919" s="4" t="n">
        <v>3</v>
      </c>
      <c r="D8919" s="4" t="s">
        <v>140</v>
      </c>
      <c r="E8919" s="3" t="s">
        <v>289</v>
      </c>
      <c r="F8919" s="4" t="str">
        <f aca="false">IF(I8919&gt;J8919,"Y","N")</f>
        <v>N</v>
      </c>
      <c r="G8919" s="3" t="s">
        <v>350</v>
      </c>
      <c r="H8919" s="3" t="s">
        <v>26</v>
      </c>
      <c r="I8919" s="4" t="n">
        <v>1</v>
      </c>
      <c r="J8919" s="4" t="n">
        <f aca="false">LEN(E8919)-LEN(SUBSTITUTE(E8919,",",""))+1</f>
        <v>1</v>
      </c>
      <c r="K8919" s="3" t="str">
        <f aca="false">IFERROR(INDEX('Teacher Lookup'!$B$2:$B$200,MATCH(A8919,'Teacher Lookup'!$A$2:$A$200,0)),"")</f>
        <v>CHAN Susanna</v>
      </c>
    </row>
    <row r="8920" customFormat="false" ht="15" hidden="false" customHeight="false" outlineLevel="0" collapsed="false">
      <c r="A8920" s="3" t="s">
        <v>126</v>
      </c>
      <c r="B8920" s="4" t="s">
        <v>60</v>
      </c>
      <c r="C8920" s="4" t="n">
        <v>5</v>
      </c>
      <c r="D8920" s="4" t="s">
        <v>137</v>
      </c>
      <c r="E8920" s="3" t="s">
        <v>185</v>
      </c>
      <c r="F8920" s="4" t="str">
        <f aca="false">IF(I8920&gt;J8920,"Y","N")</f>
        <v>Y</v>
      </c>
      <c r="G8920" s="3" t="s">
        <v>36</v>
      </c>
      <c r="H8920" s="3" t="s">
        <v>37</v>
      </c>
      <c r="I8920" s="4" t="n">
        <v>21</v>
      </c>
      <c r="J8920" s="4" t="n">
        <f aca="false">LEN(E8920)-LEN(SUBSTITUTE(E8920,",",""))+1</f>
        <v>7</v>
      </c>
      <c r="K8920" s="3" t="str">
        <f aca="false">IFERROR(INDEX('Teacher Lookup'!$B$2:$B$200,MATCH(A8920,'Teacher Lookup'!$A$2:$A$200,0)),"")</f>
        <v>CHAN Susanna</v>
      </c>
    </row>
    <row r="8921" customFormat="false" ht="15" hidden="false" customHeight="false" outlineLevel="0" collapsed="false">
      <c r="A8921" s="3" t="s">
        <v>126</v>
      </c>
      <c r="B8921" s="4" t="s">
        <v>60</v>
      </c>
      <c r="C8921" s="4" t="n">
        <v>5</v>
      </c>
      <c r="D8921" s="4" t="s">
        <v>124</v>
      </c>
      <c r="E8921" s="3" t="s">
        <v>185</v>
      </c>
      <c r="F8921" s="4" t="str">
        <f aca="false">IF(I8921&gt;J8921,"Y","N")</f>
        <v>Y</v>
      </c>
      <c r="G8921" s="3" t="s">
        <v>36</v>
      </c>
      <c r="H8921" s="3" t="s">
        <v>37</v>
      </c>
      <c r="I8921" s="4" t="n">
        <v>21</v>
      </c>
      <c r="J8921" s="4" t="n">
        <f aca="false">LEN(E8921)-LEN(SUBSTITUTE(E8921,",",""))+1</f>
        <v>7</v>
      </c>
      <c r="K8921" s="3" t="str">
        <f aca="false">IFERROR(INDEX('Teacher Lookup'!$B$2:$B$200,MATCH(A8921,'Teacher Lookup'!$A$2:$A$200,0)),"")</f>
        <v>CHAN Susanna</v>
      </c>
    </row>
    <row r="8922" customFormat="false" ht="15" hidden="false" customHeight="false" outlineLevel="0" collapsed="false">
      <c r="A8922" s="3" t="s">
        <v>126</v>
      </c>
      <c r="B8922" s="4" t="s">
        <v>60</v>
      </c>
      <c r="C8922" s="4" t="n">
        <v>5</v>
      </c>
      <c r="D8922" s="4" t="s">
        <v>139</v>
      </c>
      <c r="E8922" s="3" t="s">
        <v>185</v>
      </c>
      <c r="F8922" s="4" t="str">
        <f aca="false">IF(I8922&gt;J8922,"Y","N")</f>
        <v>Y</v>
      </c>
      <c r="G8922" s="3" t="s">
        <v>36</v>
      </c>
      <c r="H8922" s="3" t="s">
        <v>37</v>
      </c>
      <c r="I8922" s="4" t="n">
        <v>21</v>
      </c>
      <c r="J8922" s="4" t="n">
        <f aca="false">LEN(E8922)-LEN(SUBSTITUTE(E8922,",",""))+1</f>
        <v>7</v>
      </c>
      <c r="K8922" s="3" t="str">
        <f aca="false">IFERROR(INDEX('Teacher Lookup'!$B$2:$B$200,MATCH(A8922,'Teacher Lookup'!$A$2:$A$200,0)),"")</f>
        <v>CHAN Susanna</v>
      </c>
    </row>
    <row r="8923" customFormat="false" ht="15" hidden="false" customHeight="false" outlineLevel="0" collapsed="false">
      <c r="A8923" s="3" t="s">
        <v>126</v>
      </c>
      <c r="B8923" s="4" t="s">
        <v>60</v>
      </c>
      <c r="C8923" s="4" t="n">
        <v>5</v>
      </c>
      <c r="D8923" s="4" t="s">
        <v>140</v>
      </c>
      <c r="E8923" s="3" t="s">
        <v>185</v>
      </c>
      <c r="F8923" s="4" t="str">
        <f aca="false">IF(I8923&gt;J8923,"Y","N")</f>
        <v>Y</v>
      </c>
      <c r="G8923" s="3" t="s">
        <v>36</v>
      </c>
      <c r="H8923" s="3" t="s">
        <v>37</v>
      </c>
      <c r="I8923" s="4" t="n">
        <v>21</v>
      </c>
      <c r="J8923" s="4" t="n">
        <f aca="false">LEN(E8923)-LEN(SUBSTITUTE(E8923,",",""))+1</f>
        <v>7</v>
      </c>
      <c r="K8923" s="3" t="str">
        <f aca="false">IFERROR(INDEX('Teacher Lookup'!$B$2:$B$200,MATCH(A8923,'Teacher Lookup'!$A$2:$A$200,0)),"")</f>
        <v>CHAN Susanna</v>
      </c>
    </row>
    <row r="8924" customFormat="false" ht="15" hidden="false" customHeight="false" outlineLevel="0" collapsed="false">
      <c r="A8924" s="3" t="s">
        <v>126</v>
      </c>
      <c r="B8924" s="4" t="s">
        <v>60</v>
      </c>
      <c r="C8924" s="4" t="n">
        <v>5</v>
      </c>
      <c r="D8924" s="4" t="s">
        <v>142</v>
      </c>
      <c r="E8924" s="3" t="s">
        <v>185</v>
      </c>
      <c r="F8924" s="4" t="str">
        <f aca="false">IF(I8924&gt;J8924,"Y","N")</f>
        <v>Y</v>
      </c>
      <c r="G8924" s="3" t="s">
        <v>36</v>
      </c>
      <c r="H8924" s="3" t="s">
        <v>37</v>
      </c>
      <c r="I8924" s="4" t="n">
        <v>21</v>
      </c>
      <c r="J8924" s="4" t="n">
        <f aca="false">LEN(E8924)-LEN(SUBSTITUTE(E8924,",",""))+1</f>
        <v>7</v>
      </c>
      <c r="K8924" s="3" t="str">
        <f aca="false">IFERROR(INDEX('Teacher Lookup'!$B$2:$B$200,MATCH(A8924,'Teacher Lookup'!$A$2:$A$200,0)),"")</f>
        <v>CHAN Susanna</v>
      </c>
    </row>
    <row r="8925" customFormat="false" ht="15" hidden="false" customHeight="false" outlineLevel="0" collapsed="false">
      <c r="A8925" s="3" t="s">
        <v>126</v>
      </c>
      <c r="B8925" s="4" t="s">
        <v>60</v>
      </c>
      <c r="C8925" s="4" t="n">
        <v>5</v>
      </c>
      <c r="D8925" s="4" t="s">
        <v>127</v>
      </c>
      <c r="E8925" s="3" t="s">
        <v>185</v>
      </c>
      <c r="F8925" s="4" t="str">
        <f aca="false">IF(I8925&gt;J8925,"Y","N")</f>
        <v>Y</v>
      </c>
      <c r="G8925" s="3" t="s">
        <v>36</v>
      </c>
      <c r="H8925" s="3" t="s">
        <v>37</v>
      </c>
      <c r="I8925" s="4" t="n">
        <v>21</v>
      </c>
      <c r="J8925" s="4" t="n">
        <f aca="false">LEN(E8925)-LEN(SUBSTITUTE(E8925,",",""))+1</f>
        <v>7</v>
      </c>
      <c r="K8925" s="3" t="str">
        <f aca="false">IFERROR(INDEX('Teacher Lookup'!$B$2:$B$200,MATCH(A8925,'Teacher Lookup'!$A$2:$A$200,0)),"")</f>
        <v>CHAN Susanna</v>
      </c>
    </row>
    <row r="8926" customFormat="false" ht="15" hidden="false" customHeight="false" outlineLevel="0" collapsed="false">
      <c r="A8926" s="3" t="s">
        <v>126</v>
      </c>
      <c r="B8926" s="4" t="s">
        <v>63</v>
      </c>
      <c r="C8926" s="4" t="n">
        <v>2</v>
      </c>
      <c r="D8926" s="4" t="s">
        <v>76</v>
      </c>
      <c r="E8926" s="3" t="s">
        <v>113</v>
      </c>
      <c r="F8926" s="4" t="str">
        <f aca="false">IF(I8926&gt;J8926,"Y","N")</f>
        <v>N</v>
      </c>
      <c r="G8926" s="3" t="s">
        <v>350</v>
      </c>
      <c r="H8926" s="3" t="s">
        <v>21</v>
      </c>
      <c r="I8926" s="4" t="n">
        <v>1</v>
      </c>
      <c r="J8926" s="4" t="n">
        <f aca="false">LEN(E8926)-LEN(SUBSTITUTE(E8926,",",""))+1</f>
        <v>1</v>
      </c>
      <c r="K8926" s="3" t="str">
        <f aca="false">IFERROR(INDEX('Teacher Lookup'!$B$2:$B$200,MATCH(A8926,'Teacher Lookup'!$A$2:$A$200,0)),"")</f>
        <v>CHAN Susanna</v>
      </c>
    </row>
    <row r="8927" customFormat="false" ht="15" hidden="false" customHeight="false" outlineLevel="0" collapsed="false">
      <c r="A8927" s="3" t="s">
        <v>126</v>
      </c>
      <c r="B8927" s="4" t="s">
        <v>63</v>
      </c>
      <c r="C8927" s="4" t="n">
        <v>5</v>
      </c>
      <c r="D8927" s="4" t="s">
        <v>140</v>
      </c>
      <c r="E8927" s="3" t="s">
        <v>289</v>
      </c>
      <c r="F8927" s="4" t="str">
        <f aca="false">IF(I8927&gt;J8927,"Y","N")</f>
        <v>N</v>
      </c>
      <c r="G8927" s="3" t="s">
        <v>350</v>
      </c>
      <c r="H8927" s="3" t="s">
        <v>37</v>
      </c>
      <c r="I8927" s="4" t="n">
        <v>1</v>
      </c>
      <c r="J8927" s="4" t="n">
        <f aca="false">LEN(E8927)-LEN(SUBSTITUTE(E8927,",",""))+1</f>
        <v>1</v>
      </c>
      <c r="K8927" s="3" t="str">
        <f aca="false">IFERROR(INDEX('Teacher Lookup'!$B$2:$B$200,MATCH(A8927,'Teacher Lookup'!$A$2:$A$200,0)),"")</f>
        <v>CHAN Susanna</v>
      </c>
    </row>
    <row r="8928" customFormat="false" ht="15" hidden="false" customHeight="false" outlineLevel="0" collapsed="false">
      <c r="A8928" s="3" t="s">
        <v>126</v>
      </c>
      <c r="B8928" s="4" t="s">
        <v>63</v>
      </c>
      <c r="C8928" s="4" t="n">
        <v>6</v>
      </c>
      <c r="D8928" s="4" t="s">
        <v>142</v>
      </c>
      <c r="E8928" s="3" t="s">
        <v>435</v>
      </c>
      <c r="F8928" s="4" t="str">
        <f aca="false">IF(I8928&gt;J8928,"Y","N")</f>
        <v>N</v>
      </c>
      <c r="G8928" s="3" t="s">
        <v>350</v>
      </c>
      <c r="H8928" s="3" t="s">
        <v>42</v>
      </c>
      <c r="I8928" s="4" t="n">
        <v>1</v>
      </c>
      <c r="J8928" s="4" t="n">
        <f aca="false">LEN(E8928)-LEN(SUBSTITUTE(E8928,",",""))+1</f>
        <v>1</v>
      </c>
      <c r="K8928" s="3" t="str">
        <f aca="false">IFERROR(INDEX('Teacher Lookup'!$B$2:$B$200,MATCH(A8928,'Teacher Lookup'!$A$2:$A$200,0)),"")</f>
        <v>CHAN Susanna</v>
      </c>
    </row>
    <row r="8929" customFormat="false" ht="15" hidden="false" customHeight="false" outlineLevel="0" collapsed="false">
      <c r="A8929" s="3" t="s">
        <v>126</v>
      </c>
      <c r="B8929" s="4" t="s">
        <v>63</v>
      </c>
      <c r="C8929" s="4" t="n">
        <v>7</v>
      </c>
      <c r="D8929" s="4" t="s">
        <v>139</v>
      </c>
      <c r="E8929" s="3" t="s">
        <v>284</v>
      </c>
      <c r="F8929" s="4" t="str">
        <f aca="false">IF(I8929&gt;J8929,"Y","N")</f>
        <v>N</v>
      </c>
      <c r="G8929" s="3" t="s">
        <v>350</v>
      </c>
      <c r="H8929" s="3" t="s">
        <v>39</v>
      </c>
      <c r="I8929" s="4" t="n">
        <v>1</v>
      </c>
      <c r="J8929" s="4" t="n">
        <f aca="false">LEN(E8929)-LEN(SUBSTITUTE(E8929,",",""))+1</f>
        <v>1</v>
      </c>
      <c r="K8929" s="3" t="str">
        <f aca="false">IFERROR(INDEX('Teacher Lookup'!$B$2:$B$200,MATCH(A8929,'Teacher Lookup'!$A$2:$A$200,0)),"")</f>
        <v>CHAN Susanna</v>
      </c>
    </row>
    <row r="8930" customFormat="false" ht="15" hidden="false" customHeight="false" outlineLevel="0" collapsed="false">
      <c r="A8930" s="3" t="s">
        <v>126</v>
      </c>
      <c r="B8930" s="4" t="s">
        <v>65</v>
      </c>
      <c r="C8930" s="4" t="n">
        <v>2</v>
      </c>
      <c r="D8930" s="4" t="s">
        <v>19</v>
      </c>
      <c r="E8930" s="3" t="s">
        <v>109</v>
      </c>
      <c r="F8930" s="4" t="str">
        <f aca="false">IF(I8930&gt;J8930,"Y","N")</f>
        <v>N</v>
      </c>
      <c r="G8930" s="3" t="s">
        <v>350</v>
      </c>
      <c r="H8930" s="3" t="s">
        <v>21</v>
      </c>
      <c r="I8930" s="4" t="n">
        <v>1</v>
      </c>
      <c r="J8930" s="4" t="n">
        <f aca="false">LEN(E8930)-LEN(SUBSTITUTE(E8930,",",""))+1</f>
        <v>1</v>
      </c>
      <c r="K8930" s="3" t="str">
        <f aca="false">IFERROR(INDEX('Teacher Lookup'!$B$2:$B$200,MATCH(A8930,'Teacher Lookup'!$A$2:$A$200,0)),"")</f>
        <v>CHAN Susanna</v>
      </c>
    </row>
    <row r="8931" customFormat="false" ht="15" hidden="false" customHeight="false" outlineLevel="0" collapsed="false">
      <c r="A8931" s="3" t="s">
        <v>126</v>
      </c>
      <c r="B8931" s="4" t="s">
        <v>65</v>
      </c>
      <c r="C8931" s="4" t="n">
        <v>4</v>
      </c>
      <c r="D8931" s="4" t="s">
        <v>70</v>
      </c>
      <c r="E8931" s="3" t="s">
        <v>108</v>
      </c>
      <c r="F8931" s="4" t="str">
        <f aca="false">IF(I8931&gt;J8931,"Y","N")</f>
        <v>N</v>
      </c>
      <c r="G8931" s="3" t="s">
        <v>350</v>
      </c>
      <c r="H8931" s="3" t="s">
        <v>34</v>
      </c>
      <c r="I8931" s="4" t="n">
        <v>1</v>
      </c>
      <c r="J8931" s="4" t="n">
        <f aca="false">LEN(E8931)-LEN(SUBSTITUTE(E8931,",",""))+1</f>
        <v>1</v>
      </c>
      <c r="K8931" s="3" t="str">
        <f aca="false">IFERROR(INDEX('Teacher Lookup'!$B$2:$B$200,MATCH(A8931,'Teacher Lookup'!$A$2:$A$200,0)),"")</f>
        <v>CHAN Susanna</v>
      </c>
    </row>
    <row r="8932" customFormat="false" ht="15" hidden="false" customHeight="false" outlineLevel="0" collapsed="false">
      <c r="A8932" s="3" t="s">
        <v>126</v>
      </c>
      <c r="B8932" s="4" t="s">
        <v>65</v>
      </c>
      <c r="C8932" s="4" t="n">
        <v>5</v>
      </c>
      <c r="D8932" s="4" t="s">
        <v>137</v>
      </c>
      <c r="E8932" s="3" t="s">
        <v>185</v>
      </c>
      <c r="F8932" s="4" t="str">
        <f aca="false">IF(I8932&gt;J8932,"Y","N")</f>
        <v>Y</v>
      </c>
      <c r="G8932" s="3" t="s">
        <v>36</v>
      </c>
      <c r="H8932" s="3" t="s">
        <v>37</v>
      </c>
      <c r="I8932" s="4" t="n">
        <v>21</v>
      </c>
      <c r="J8932" s="4" t="n">
        <f aca="false">LEN(E8932)-LEN(SUBSTITUTE(E8932,",",""))+1</f>
        <v>7</v>
      </c>
      <c r="K8932" s="3" t="str">
        <f aca="false">IFERROR(INDEX('Teacher Lookup'!$B$2:$B$200,MATCH(A8932,'Teacher Lookup'!$A$2:$A$200,0)),"")</f>
        <v>CHAN Susanna</v>
      </c>
    </row>
    <row r="8933" customFormat="false" ht="15" hidden="false" customHeight="false" outlineLevel="0" collapsed="false">
      <c r="A8933" s="3" t="s">
        <v>126</v>
      </c>
      <c r="B8933" s="4" t="s">
        <v>65</v>
      </c>
      <c r="C8933" s="4" t="n">
        <v>5</v>
      </c>
      <c r="D8933" s="4" t="s">
        <v>124</v>
      </c>
      <c r="E8933" s="3" t="s">
        <v>185</v>
      </c>
      <c r="F8933" s="4" t="str">
        <f aca="false">IF(I8933&gt;J8933,"Y","N")</f>
        <v>Y</v>
      </c>
      <c r="G8933" s="3" t="s">
        <v>36</v>
      </c>
      <c r="H8933" s="3" t="s">
        <v>37</v>
      </c>
      <c r="I8933" s="4" t="n">
        <v>21</v>
      </c>
      <c r="J8933" s="4" t="n">
        <f aca="false">LEN(E8933)-LEN(SUBSTITUTE(E8933,",",""))+1</f>
        <v>7</v>
      </c>
      <c r="K8933" s="3" t="str">
        <f aca="false">IFERROR(INDEX('Teacher Lookup'!$B$2:$B$200,MATCH(A8933,'Teacher Lookup'!$A$2:$A$200,0)),"")</f>
        <v>CHAN Susanna</v>
      </c>
    </row>
    <row r="8934" customFormat="false" ht="15" hidden="false" customHeight="false" outlineLevel="0" collapsed="false">
      <c r="A8934" s="3" t="s">
        <v>126</v>
      </c>
      <c r="B8934" s="4" t="s">
        <v>65</v>
      </c>
      <c r="C8934" s="4" t="n">
        <v>5</v>
      </c>
      <c r="D8934" s="4" t="s">
        <v>139</v>
      </c>
      <c r="E8934" s="3" t="s">
        <v>185</v>
      </c>
      <c r="F8934" s="4" t="str">
        <f aca="false">IF(I8934&gt;J8934,"Y","N")</f>
        <v>Y</v>
      </c>
      <c r="G8934" s="3" t="s">
        <v>36</v>
      </c>
      <c r="H8934" s="3" t="s">
        <v>37</v>
      </c>
      <c r="I8934" s="4" t="n">
        <v>21</v>
      </c>
      <c r="J8934" s="4" t="n">
        <f aca="false">LEN(E8934)-LEN(SUBSTITUTE(E8934,",",""))+1</f>
        <v>7</v>
      </c>
      <c r="K8934" s="3" t="str">
        <f aca="false">IFERROR(INDEX('Teacher Lookup'!$B$2:$B$200,MATCH(A8934,'Teacher Lookup'!$A$2:$A$200,0)),"")</f>
        <v>CHAN Susanna</v>
      </c>
    </row>
    <row r="8935" customFormat="false" ht="15" hidden="false" customHeight="false" outlineLevel="0" collapsed="false">
      <c r="A8935" s="3" t="s">
        <v>126</v>
      </c>
      <c r="B8935" s="4" t="s">
        <v>65</v>
      </c>
      <c r="C8935" s="4" t="n">
        <v>5</v>
      </c>
      <c r="D8935" s="4" t="s">
        <v>140</v>
      </c>
      <c r="E8935" s="3" t="s">
        <v>185</v>
      </c>
      <c r="F8935" s="4" t="str">
        <f aca="false">IF(I8935&gt;J8935,"Y","N")</f>
        <v>Y</v>
      </c>
      <c r="G8935" s="3" t="s">
        <v>36</v>
      </c>
      <c r="H8935" s="3" t="s">
        <v>37</v>
      </c>
      <c r="I8935" s="4" t="n">
        <v>21</v>
      </c>
      <c r="J8935" s="4" t="n">
        <f aca="false">LEN(E8935)-LEN(SUBSTITUTE(E8935,",",""))+1</f>
        <v>7</v>
      </c>
      <c r="K8935" s="3" t="str">
        <f aca="false">IFERROR(INDEX('Teacher Lookup'!$B$2:$B$200,MATCH(A8935,'Teacher Lookup'!$A$2:$A$200,0)),"")</f>
        <v>CHAN Susanna</v>
      </c>
    </row>
    <row r="8936" customFormat="false" ht="15" hidden="false" customHeight="false" outlineLevel="0" collapsed="false">
      <c r="A8936" s="3" t="s">
        <v>126</v>
      </c>
      <c r="B8936" s="4" t="s">
        <v>65</v>
      </c>
      <c r="C8936" s="4" t="n">
        <v>5</v>
      </c>
      <c r="D8936" s="4" t="s">
        <v>142</v>
      </c>
      <c r="E8936" s="3" t="s">
        <v>185</v>
      </c>
      <c r="F8936" s="4" t="str">
        <f aca="false">IF(I8936&gt;J8936,"Y","N")</f>
        <v>Y</v>
      </c>
      <c r="G8936" s="3" t="s">
        <v>36</v>
      </c>
      <c r="H8936" s="3" t="s">
        <v>37</v>
      </c>
      <c r="I8936" s="4" t="n">
        <v>21</v>
      </c>
      <c r="J8936" s="4" t="n">
        <f aca="false">LEN(E8936)-LEN(SUBSTITUTE(E8936,",",""))+1</f>
        <v>7</v>
      </c>
      <c r="K8936" s="3" t="str">
        <f aca="false">IFERROR(INDEX('Teacher Lookup'!$B$2:$B$200,MATCH(A8936,'Teacher Lookup'!$A$2:$A$200,0)),"")</f>
        <v>CHAN Susanna</v>
      </c>
    </row>
    <row r="8937" customFormat="false" ht="15" hidden="false" customHeight="false" outlineLevel="0" collapsed="false">
      <c r="A8937" s="3" t="s">
        <v>126</v>
      </c>
      <c r="B8937" s="4" t="s">
        <v>65</v>
      </c>
      <c r="C8937" s="4" t="n">
        <v>5</v>
      </c>
      <c r="D8937" s="4" t="s">
        <v>127</v>
      </c>
      <c r="E8937" s="3" t="s">
        <v>185</v>
      </c>
      <c r="F8937" s="4" t="str">
        <f aca="false">IF(I8937&gt;J8937,"Y","N")</f>
        <v>Y</v>
      </c>
      <c r="G8937" s="3" t="s">
        <v>36</v>
      </c>
      <c r="H8937" s="3" t="s">
        <v>37</v>
      </c>
      <c r="I8937" s="4" t="n">
        <v>21</v>
      </c>
      <c r="J8937" s="4" t="n">
        <f aca="false">LEN(E8937)-LEN(SUBSTITUTE(E8937,",",""))+1</f>
        <v>7</v>
      </c>
      <c r="K8937" s="3" t="str">
        <f aca="false">IFERROR(INDEX('Teacher Lookup'!$B$2:$B$200,MATCH(A8937,'Teacher Lookup'!$A$2:$A$200,0)),"")</f>
        <v>CHAN Susanna</v>
      </c>
    </row>
    <row r="8938" customFormat="false" ht="15" hidden="false" customHeight="false" outlineLevel="0" collapsed="false">
      <c r="A8938" s="3" t="s">
        <v>126</v>
      </c>
      <c r="B8938" s="4" t="s">
        <v>66</v>
      </c>
      <c r="C8938" s="4" t="n">
        <v>3</v>
      </c>
      <c r="D8938" s="4" t="s">
        <v>142</v>
      </c>
      <c r="E8938" s="3" t="s">
        <v>435</v>
      </c>
      <c r="F8938" s="4" t="str">
        <f aca="false">IF(I8938&gt;J8938,"Y","N")</f>
        <v>N</v>
      </c>
      <c r="G8938" s="3" t="s">
        <v>350</v>
      </c>
      <c r="H8938" s="3" t="s">
        <v>26</v>
      </c>
      <c r="I8938" s="4" t="n">
        <v>1</v>
      </c>
      <c r="J8938" s="4" t="n">
        <f aca="false">LEN(E8938)-LEN(SUBSTITUTE(E8938,",",""))+1</f>
        <v>1</v>
      </c>
      <c r="K8938" s="3" t="str">
        <f aca="false">IFERROR(INDEX('Teacher Lookup'!$B$2:$B$200,MATCH(A8938,'Teacher Lookup'!$A$2:$A$200,0)),"")</f>
        <v>CHAN Susanna</v>
      </c>
    </row>
    <row r="8939" customFormat="false" ht="15" hidden="false" customHeight="false" outlineLevel="0" collapsed="false">
      <c r="A8939" s="3" t="s">
        <v>126</v>
      </c>
      <c r="B8939" s="4" t="s">
        <v>66</v>
      </c>
      <c r="C8939" s="4" t="n">
        <v>4</v>
      </c>
      <c r="D8939" s="4" t="s">
        <v>137</v>
      </c>
      <c r="E8939" s="3" t="s">
        <v>434</v>
      </c>
      <c r="F8939" s="4" t="str">
        <f aca="false">IF(I8939&gt;J8939,"Y","N")</f>
        <v>N</v>
      </c>
      <c r="G8939" s="3" t="s">
        <v>350</v>
      </c>
      <c r="H8939" s="3" t="s">
        <v>34</v>
      </c>
      <c r="I8939" s="4" t="n">
        <v>1</v>
      </c>
      <c r="J8939" s="4" t="n">
        <f aca="false">LEN(E8939)-LEN(SUBSTITUTE(E8939,",",""))+1</f>
        <v>1</v>
      </c>
      <c r="K8939" s="3" t="str">
        <f aca="false">IFERROR(INDEX('Teacher Lookup'!$B$2:$B$200,MATCH(A8939,'Teacher Lookup'!$A$2:$A$200,0)),"")</f>
        <v>CHAN Susanna</v>
      </c>
    </row>
    <row r="8940" customFormat="false" ht="15" hidden="false" customHeight="false" outlineLevel="0" collapsed="false">
      <c r="A8940" s="3" t="s">
        <v>501</v>
      </c>
      <c r="B8940" s="4" t="s">
        <v>12</v>
      </c>
      <c r="C8940" s="4" t="n">
        <v>2</v>
      </c>
      <c r="D8940" s="4" t="s">
        <v>105</v>
      </c>
      <c r="E8940" s="3" t="s">
        <v>254</v>
      </c>
      <c r="F8940" s="4" t="str">
        <f aca="false">IF(I8940&gt;J8940,"Y","N")</f>
        <v>N</v>
      </c>
      <c r="G8940" s="3" t="s">
        <v>164</v>
      </c>
      <c r="H8940" s="3" t="s">
        <v>21</v>
      </c>
      <c r="I8940" s="4" t="n">
        <v>3</v>
      </c>
      <c r="J8940" s="4" t="n">
        <f aca="false">LEN(E8940)-LEN(SUBSTITUTE(E8940,",",""))+1</f>
        <v>3</v>
      </c>
      <c r="K8940" s="3" t="str">
        <f aca="false">IFERROR(INDEX('Teacher Lookup'!$B$2:$B$200,MATCH(A8940,'Teacher Lookup'!$A$2:$A$200,0)),"")</f>
        <v>IP Sophie</v>
      </c>
    </row>
    <row r="8941" customFormat="false" ht="15" hidden="false" customHeight="false" outlineLevel="0" collapsed="false">
      <c r="A8941" s="3" t="s">
        <v>501</v>
      </c>
      <c r="B8941" s="4" t="s">
        <v>12</v>
      </c>
      <c r="C8941" s="4" t="n">
        <v>2</v>
      </c>
      <c r="D8941" s="4" t="s">
        <v>106</v>
      </c>
      <c r="E8941" s="3" t="s">
        <v>254</v>
      </c>
      <c r="F8941" s="4" t="str">
        <f aca="false">IF(I8941&gt;J8941,"Y","N")</f>
        <v>N</v>
      </c>
      <c r="G8941" s="3" t="s">
        <v>164</v>
      </c>
      <c r="H8941" s="3" t="s">
        <v>21</v>
      </c>
      <c r="I8941" s="4" t="n">
        <v>3</v>
      </c>
      <c r="J8941" s="4" t="n">
        <f aca="false">LEN(E8941)-LEN(SUBSTITUTE(E8941,",",""))+1</f>
        <v>3</v>
      </c>
      <c r="K8941" s="3" t="str">
        <f aca="false">IFERROR(INDEX('Teacher Lookup'!$B$2:$B$200,MATCH(A8941,'Teacher Lookup'!$A$2:$A$200,0)),"")</f>
        <v>IP Sophie</v>
      </c>
    </row>
    <row r="8942" customFormat="false" ht="15" hidden="false" customHeight="false" outlineLevel="0" collapsed="false">
      <c r="A8942" s="3" t="s">
        <v>501</v>
      </c>
      <c r="B8942" s="4" t="s">
        <v>12</v>
      </c>
      <c r="C8942" s="4" t="n">
        <v>5</v>
      </c>
      <c r="D8942" s="4" t="s">
        <v>57</v>
      </c>
      <c r="E8942" s="3" t="s">
        <v>166</v>
      </c>
      <c r="F8942" s="4" t="str">
        <f aca="false">IF(I8942&gt;J8942,"Y","N")</f>
        <v>N</v>
      </c>
      <c r="G8942" s="3" t="s">
        <v>164</v>
      </c>
      <c r="H8942" s="3" t="s">
        <v>37</v>
      </c>
      <c r="I8942" s="4" t="n">
        <v>4</v>
      </c>
      <c r="J8942" s="4" t="n">
        <f aca="false">LEN(E8942)-LEN(SUBSTITUTE(E8942,",",""))+1</f>
        <v>4</v>
      </c>
      <c r="K8942" s="3" t="str">
        <f aca="false">IFERROR(INDEX('Teacher Lookup'!$B$2:$B$200,MATCH(A8942,'Teacher Lookup'!$A$2:$A$200,0)),"")</f>
        <v>IP Sophie</v>
      </c>
    </row>
    <row r="8943" customFormat="false" ht="15" hidden="false" customHeight="false" outlineLevel="0" collapsed="false">
      <c r="A8943" s="3" t="s">
        <v>501</v>
      </c>
      <c r="B8943" s="4" t="s">
        <v>12</v>
      </c>
      <c r="C8943" s="4" t="n">
        <v>5</v>
      </c>
      <c r="D8943" s="4" t="s">
        <v>58</v>
      </c>
      <c r="E8943" s="3" t="s">
        <v>166</v>
      </c>
      <c r="F8943" s="4" t="str">
        <f aca="false">IF(I8943&gt;J8943,"Y","N")</f>
        <v>N</v>
      </c>
      <c r="G8943" s="3" t="s">
        <v>164</v>
      </c>
      <c r="H8943" s="3" t="s">
        <v>37</v>
      </c>
      <c r="I8943" s="4" t="n">
        <v>4</v>
      </c>
      <c r="J8943" s="4" t="n">
        <f aca="false">LEN(E8943)-LEN(SUBSTITUTE(E8943,",",""))+1</f>
        <v>4</v>
      </c>
      <c r="K8943" s="3" t="str">
        <f aca="false">IFERROR(INDEX('Teacher Lookup'!$B$2:$B$200,MATCH(A8943,'Teacher Lookup'!$A$2:$A$200,0)),"")</f>
        <v>IP Sophie</v>
      </c>
    </row>
    <row r="8944" customFormat="false" ht="15" hidden="false" customHeight="false" outlineLevel="0" collapsed="false">
      <c r="A8944" s="3" t="s">
        <v>501</v>
      </c>
      <c r="B8944" s="4" t="s">
        <v>12</v>
      </c>
      <c r="C8944" s="4" t="n">
        <v>5</v>
      </c>
      <c r="D8944" s="4" t="s">
        <v>59</v>
      </c>
      <c r="E8944" s="3" t="s">
        <v>166</v>
      </c>
      <c r="F8944" s="4" t="str">
        <f aca="false">IF(I8944&gt;J8944,"Y","N")</f>
        <v>N</v>
      </c>
      <c r="G8944" s="3" t="s">
        <v>164</v>
      </c>
      <c r="H8944" s="3" t="s">
        <v>37</v>
      </c>
      <c r="I8944" s="4" t="n">
        <v>4</v>
      </c>
      <c r="J8944" s="4" t="n">
        <f aca="false">LEN(E8944)-LEN(SUBSTITUTE(E8944,",",""))+1</f>
        <v>4</v>
      </c>
      <c r="K8944" s="3" t="str">
        <f aca="false">IFERROR(INDEX('Teacher Lookup'!$B$2:$B$200,MATCH(A8944,'Teacher Lookup'!$A$2:$A$200,0)),"")</f>
        <v>IP Sophie</v>
      </c>
    </row>
    <row r="8945" customFormat="false" ht="15" hidden="false" customHeight="false" outlineLevel="0" collapsed="false">
      <c r="A8945" s="3" t="s">
        <v>501</v>
      </c>
      <c r="B8945" s="4" t="s">
        <v>12</v>
      </c>
      <c r="C8945" s="4" t="n">
        <v>6</v>
      </c>
      <c r="D8945" s="4" t="s">
        <v>132</v>
      </c>
      <c r="E8945" s="3" t="s">
        <v>293</v>
      </c>
      <c r="F8945" s="4" t="str">
        <f aca="false">IF(I8945&gt;J8945,"Y","N")</f>
        <v>N</v>
      </c>
      <c r="G8945" s="3" t="s">
        <v>164</v>
      </c>
      <c r="H8945" s="3" t="s">
        <v>42</v>
      </c>
      <c r="I8945" s="4" t="n">
        <v>1</v>
      </c>
      <c r="J8945" s="4" t="n">
        <f aca="false">LEN(E8945)-LEN(SUBSTITUTE(E8945,",",""))+1</f>
        <v>1</v>
      </c>
      <c r="K8945" s="3" t="str">
        <f aca="false">IFERROR(INDEX('Teacher Lookup'!$B$2:$B$200,MATCH(A8945,'Teacher Lookup'!$A$2:$A$200,0)),"")</f>
        <v>IP Sophie</v>
      </c>
    </row>
    <row r="8946" customFormat="false" ht="15" hidden="false" customHeight="false" outlineLevel="0" collapsed="false">
      <c r="A8946" s="3" t="s">
        <v>501</v>
      </c>
      <c r="B8946" s="4" t="s">
        <v>12</v>
      </c>
      <c r="C8946" s="4" t="n">
        <v>7</v>
      </c>
      <c r="D8946" s="4" t="s">
        <v>228</v>
      </c>
      <c r="E8946" s="3" t="s">
        <v>302</v>
      </c>
      <c r="F8946" s="4" t="str">
        <f aca="false">IF(I8946&gt;J8946,"Y","N")</f>
        <v>N</v>
      </c>
      <c r="G8946" s="3" t="s">
        <v>164</v>
      </c>
      <c r="H8946" s="3" t="s">
        <v>39</v>
      </c>
      <c r="I8946" s="4" t="n">
        <v>1</v>
      </c>
      <c r="J8946" s="4" t="n">
        <f aca="false">LEN(E8946)-LEN(SUBSTITUTE(E8946,",",""))+1</f>
        <v>1</v>
      </c>
      <c r="K8946" s="3" t="str">
        <f aca="false">IFERROR(INDEX('Teacher Lookup'!$B$2:$B$200,MATCH(A8946,'Teacher Lookup'!$A$2:$A$200,0)),"")</f>
        <v>IP Sophie</v>
      </c>
    </row>
    <row r="8947" customFormat="false" ht="15" hidden="false" customHeight="false" outlineLevel="0" collapsed="false">
      <c r="A8947" s="3" t="s">
        <v>501</v>
      </c>
      <c r="B8947" s="4" t="s">
        <v>31</v>
      </c>
      <c r="C8947" s="4" t="n">
        <v>1</v>
      </c>
      <c r="D8947" s="4" t="s">
        <v>57</v>
      </c>
      <c r="E8947" s="3" t="s">
        <v>167</v>
      </c>
      <c r="F8947" s="4" t="str">
        <f aca="false">IF(I8947&gt;J8947,"Y","N")</f>
        <v>N</v>
      </c>
      <c r="G8947" s="3" t="s">
        <v>164</v>
      </c>
      <c r="H8947" s="3" t="s">
        <v>16</v>
      </c>
      <c r="I8947" s="4" t="n">
        <v>4</v>
      </c>
      <c r="J8947" s="4" t="n">
        <f aca="false">LEN(E8947)-LEN(SUBSTITUTE(E8947,",",""))+1</f>
        <v>4</v>
      </c>
      <c r="K8947" s="3" t="str">
        <f aca="false">IFERROR(INDEX('Teacher Lookup'!$B$2:$B$200,MATCH(A8947,'Teacher Lookup'!$A$2:$A$200,0)),"")</f>
        <v>IP Sophie</v>
      </c>
    </row>
    <row r="8948" customFormat="false" ht="15" hidden="false" customHeight="false" outlineLevel="0" collapsed="false">
      <c r="A8948" s="3" t="s">
        <v>501</v>
      </c>
      <c r="B8948" s="4" t="s">
        <v>31</v>
      </c>
      <c r="C8948" s="4" t="n">
        <v>1</v>
      </c>
      <c r="D8948" s="4" t="s">
        <v>58</v>
      </c>
      <c r="E8948" s="3" t="s">
        <v>167</v>
      </c>
      <c r="F8948" s="4" t="str">
        <f aca="false">IF(I8948&gt;J8948,"Y","N")</f>
        <v>N</v>
      </c>
      <c r="G8948" s="3" t="s">
        <v>164</v>
      </c>
      <c r="H8948" s="3" t="s">
        <v>16</v>
      </c>
      <c r="I8948" s="4" t="n">
        <v>4</v>
      </c>
      <c r="J8948" s="4" t="n">
        <f aca="false">LEN(E8948)-LEN(SUBSTITUTE(E8948,",",""))+1</f>
        <v>4</v>
      </c>
      <c r="K8948" s="3" t="str">
        <f aca="false">IFERROR(INDEX('Teacher Lookup'!$B$2:$B$200,MATCH(A8948,'Teacher Lookup'!$A$2:$A$200,0)),"")</f>
        <v>IP Sophie</v>
      </c>
    </row>
    <row r="8949" customFormat="false" ht="15" hidden="false" customHeight="false" outlineLevel="0" collapsed="false">
      <c r="A8949" s="3" t="s">
        <v>501</v>
      </c>
      <c r="B8949" s="4" t="s">
        <v>31</v>
      </c>
      <c r="C8949" s="4" t="n">
        <v>1</v>
      </c>
      <c r="D8949" s="4" t="s">
        <v>59</v>
      </c>
      <c r="E8949" s="3" t="s">
        <v>167</v>
      </c>
      <c r="F8949" s="4" t="str">
        <f aca="false">IF(I8949&gt;J8949,"Y","N")</f>
        <v>N</v>
      </c>
      <c r="G8949" s="3" t="s">
        <v>164</v>
      </c>
      <c r="H8949" s="3" t="s">
        <v>16</v>
      </c>
      <c r="I8949" s="4" t="n">
        <v>4</v>
      </c>
      <c r="J8949" s="4" t="n">
        <f aca="false">LEN(E8949)-LEN(SUBSTITUTE(E8949,",",""))+1</f>
        <v>4</v>
      </c>
      <c r="K8949" s="3" t="str">
        <f aca="false">IFERROR(INDEX('Teacher Lookup'!$B$2:$B$200,MATCH(A8949,'Teacher Lookup'!$A$2:$A$200,0)),"")</f>
        <v>IP Sophie</v>
      </c>
    </row>
    <row r="8950" customFormat="false" ht="15" hidden="false" customHeight="false" outlineLevel="0" collapsed="false">
      <c r="A8950" s="3" t="s">
        <v>501</v>
      </c>
      <c r="B8950" s="4" t="s">
        <v>31</v>
      </c>
      <c r="C8950" s="4" t="n">
        <v>2</v>
      </c>
      <c r="D8950" s="4" t="s">
        <v>105</v>
      </c>
      <c r="E8950" s="3" t="s">
        <v>257</v>
      </c>
      <c r="F8950" s="4" t="str">
        <f aca="false">IF(I8950&gt;J8950,"Y","N")</f>
        <v>N</v>
      </c>
      <c r="G8950" s="3" t="s">
        <v>164</v>
      </c>
      <c r="H8950" s="3" t="s">
        <v>21</v>
      </c>
      <c r="I8950" s="4" t="n">
        <v>3</v>
      </c>
      <c r="J8950" s="4" t="n">
        <f aca="false">LEN(E8950)-LEN(SUBSTITUTE(E8950,",",""))+1</f>
        <v>3</v>
      </c>
      <c r="K8950" s="3" t="str">
        <f aca="false">IFERROR(INDEX('Teacher Lookup'!$B$2:$B$200,MATCH(A8950,'Teacher Lookup'!$A$2:$A$200,0)),"")</f>
        <v>IP Sophie</v>
      </c>
    </row>
    <row r="8951" customFormat="false" ht="15" hidden="false" customHeight="false" outlineLevel="0" collapsed="false">
      <c r="A8951" s="3" t="s">
        <v>501</v>
      </c>
      <c r="B8951" s="4" t="s">
        <v>31</v>
      </c>
      <c r="C8951" s="4" t="n">
        <v>2</v>
      </c>
      <c r="D8951" s="4" t="s">
        <v>106</v>
      </c>
      <c r="E8951" s="3" t="s">
        <v>257</v>
      </c>
      <c r="F8951" s="4" t="str">
        <f aca="false">IF(I8951&gt;J8951,"Y","N")</f>
        <v>N</v>
      </c>
      <c r="G8951" s="3" t="s">
        <v>164</v>
      </c>
      <c r="H8951" s="3" t="s">
        <v>21</v>
      </c>
      <c r="I8951" s="4" t="n">
        <v>3</v>
      </c>
      <c r="J8951" s="4" t="n">
        <f aca="false">LEN(E8951)-LEN(SUBSTITUTE(E8951,",",""))+1</f>
        <v>3</v>
      </c>
      <c r="K8951" s="3" t="str">
        <f aca="false">IFERROR(INDEX('Teacher Lookup'!$B$2:$B$200,MATCH(A8951,'Teacher Lookup'!$A$2:$A$200,0)),"")</f>
        <v>IP Sophie</v>
      </c>
    </row>
    <row r="8952" customFormat="false" ht="15" hidden="false" customHeight="false" outlineLevel="0" collapsed="false">
      <c r="A8952" s="3" t="s">
        <v>501</v>
      </c>
      <c r="B8952" s="4" t="s">
        <v>31</v>
      </c>
      <c r="C8952" s="4" t="n">
        <v>3</v>
      </c>
      <c r="D8952" s="4" t="s">
        <v>228</v>
      </c>
      <c r="E8952" s="3" t="s">
        <v>302</v>
      </c>
      <c r="F8952" s="4" t="str">
        <f aca="false">IF(I8952&gt;J8952,"Y","N")</f>
        <v>N</v>
      </c>
      <c r="G8952" s="3" t="s">
        <v>164</v>
      </c>
      <c r="H8952" s="3" t="s">
        <v>26</v>
      </c>
      <c r="I8952" s="4" t="n">
        <v>1</v>
      </c>
      <c r="J8952" s="4" t="n">
        <f aca="false">LEN(E8952)-LEN(SUBSTITUTE(E8952,",",""))+1</f>
        <v>1</v>
      </c>
      <c r="K8952" s="3" t="str">
        <f aca="false">IFERROR(INDEX('Teacher Lookup'!$B$2:$B$200,MATCH(A8952,'Teacher Lookup'!$A$2:$A$200,0)),"")</f>
        <v>IP Sophie</v>
      </c>
    </row>
    <row r="8953" customFormat="false" ht="15" hidden="false" customHeight="false" outlineLevel="0" collapsed="false">
      <c r="A8953" s="3" t="s">
        <v>501</v>
      </c>
      <c r="B8953" s="4" t="s">
        <v>31</v>
      </c>
      <c r="C8953" s="4" t="n">
        <v>4</v>
      </c>
      <c r="D8953" s="4" t="s">
        <v>132</v>
      </c>
      <c r="E8953" s="3" t="s">
        <v>293</v>
      </c>
      <c r="F8953" s="4" t="str">
        <f aca="false">IF(I8953&gt;J8953,"Y","N")</f>
        <v>N</v>
      </c>
      <c r="G8953" s="3" t="s">
        <v>164</v>
      </c>
      <c r="H8953" s="3" t="s">
        <v>34</v>
      </c>
      <c r="I8953" s="4" t="n">
        <v>1</v>
      </c>
      <c r="J8953" s="4" t="n">
        <f aca="false">LEN(E8953)-LEN(SUBSTITUTE(E8953,",",""))+1</f>
        <v>1</v>
      </c>
      <c r="K8953" s="3" t="str">
        <f aca="false">IFERROR(INDEX('Teacher Lookup'!$B$2:$B$200,MATCH(A8953,'Teacher Lookup'!$A$2:$A$200,0)),"")</f>
        <v>IP Sophie</v>
      </c>
    </row>
    <row r="8954" customFormat="false" ht="15" hidden="false" customHeight="false" outlineLevel="0" collapsed="false">
      <c r="A8954" s="3" t="s">
        <v>501</v>
      </c>
      <c r="B8954" s="4" t="s">
        <v>31</v>
      </c>
      <c r="C8954" s="4" t="n">
        <v>5</v>
      </c>
      <c r="D8954" s="4" t="s">
        <v>137</v>
      </c>
      <c r="E8954" s="3" t="s">
        <v>185</v>
      </c>
      <c r="F8954" s="4" t="str">
        <f aca="false">IF(I8954&gt;J8954,"Y","N")</f>
        <v>Y</v>
      </c>
      <c r="G8954" s="3" t="s">
        <v>36</v>
      </c>
      <c r="H8954" s="3" t="s">
        <v>37</v>
      </c>
      <c r="I8954" s="4" t="n">
        <v>21</v>
      </c>
      <c r="J8954" s="4" t="n">
        <f aca="false">LEN(E8954)-LEN(SUBSTITUTE(E8954,",",""))+1</f>
        <v>7</v>
      </c>
      <c r="K8954" s="3" t="str">
        <f aca="false">IFERROR(INDEX('Teacher Lookup'!$B$2:$B$200,MATCH(A8954,'Teacher Lookup'!$A$2:$A$200,0)),"")</f>
        <v>IP Sophie</v>
      </c>
    </row>
    <row r="8955" customFormat="false" ht="15" hidden="false" customHeight="false" outlineLevel="0" collapsed="false">
      <c r="A8955" s="3" t="s">
        <v>501</v>
      </c>
      <c r="B8955" s="4" t="s">
        <v>31</v>
      </c>
      <c r="C8955" s="4" t="n">
        <v>5</v>
      </c>
      <c r="D8955" s="4" t="s">
        <v>124</v>
      </c>
      <c r="E8955" s="3" t="s">
        <v>185</v>
      </c>
      <c r="F8955" s="4" t="str">
        <f aca="false">IF(I8955&gt;J8955,"Y","N")</f>
        <v>Y</v>
      </c>
      <c r="G8955" s="3" t="s">
        <v>36</v>
      </c>
      <c r="H8955" s="3" t="s">
        <v>37</v>
      </c>
      <c r="I8955" s="4" t="n">
        <v>21</v>
      </c>
      <c r="J8955" s="4" t="n">
        <f aca="false">LEN(E8955)-LEN(SUBSTITUTE(E8955,",",""))+1</f>
        <v>7</v>
      </c>
      <c r="K8955" s="3" t="str">
        <f aca="false">IFERROR(INDEX('Teacher Lookup'!$B$2:$B$200,MATCH(A8955,'Teacher Lookup'!$A$2:$A$200,0)),"")</f>
        <v>IP Sophie</v>
      </c>
    </row>
    <row r="8956" customFormat="false" ht="15" hidden="false" customHeight="false" outlineLevel="0" collapsed="false">
      <c r="A8956" s="3" t="s">
        <v>501</v>
      </c>
      <c r="B8956" s="4" t="s">
        <v>31</v>
      </c>
      <c r="C8956" s="4" t="n">
        <v>5</v>
      </c>
      <c r="D8956" s="4" t="s">
        <v>139</v>
      </c>
      <c r="E8956" s="3" t="s">
        <v>185</v>
      </c>
      <c r="F8956" s="4" t="str">
        <f aca="false">IF(I8956&gt;J8956,"Y","N")</f>
        <v>Y</v>
      </c>
      <c r="G8956" s="3" t="s">
        <v>36</v>
      </c>
      <c r="H8956" s="3" t="s">
        <v>37</v>
      </c>
      <c r="I8956" s="4" t="n">
        <v>21</v>
      </c>
      <c r="J8956" s="4" t="n">
        <f aca="false">LEN(E8956)-LEN(SUBSTITUTE(E8956,",",""))+1</f>
        <v>7</v>
      </c>
      <c r="K8956" s="3" t="str">
        <f aca="false">IFERROR(INDEX('Teacher Lookup'!$B$2:$B$200,MATCH(A8956,'Teacher Lookup'!$A$2:$A$200,0)),"")</f>
        <v>IP Sophie</v>
      </c>
    </row>
    <row r="8957" customFormat="false" ht="15" hidden="false" customHeight="false" outlineLevel="0" collapsed="false">
      <c r="A8957" s="3" t="s">
        <v>501</v>
      </c>
      <c r="B8957" s="4" t="s">
        <v>31</v>
      </c>
      <c r="C8957" s="4" t="n">
        <v>5</v>
      </c>
      <c r="D8957" s="4" t="s">
        <v>140</v>
      </c>
      <c r="E8957" s="3" t="s">
        <v>185</v>
      </c>
      <c r="F8957" s="4" t="str">
        <f aca="false">IF(I8957&gt;J8957,"Y","N")</f>
        <v>Y</v>
      </c>
      <c r="G8957" s="3" t="s">
        <v>36</v>
      </c>
      <c r="H8957" s="3" t="s">
        <v>37</v>
      </c>
      <c r="I8957" s="4" t="n">
        <v>21</v>
      </c>
      <c r="J8957" s="4" t="n">
        <f aca="false">LEN(E8957)-LEN(SUBSTITUTE(E8957,",",""))+1</f>
        <v>7</v>
      </c>
      <c r="K8957" s="3" t="str">
        <f aca="false">IFERROR(INDEX('Teacher Lookup'!$B$2:$B$200,MATCH(A8957,'Teacher Lookup'!$A$2:$A$200,0)),"")</f>
        <v>IP Sophie</v>
      </c>
    </row>
    <row r="8958" customFormat="false" ht="15" hidden="false" customHeight="false" outlineLevel="0" collapsed="false">
      <c r="A8958" s="3" t="s">
        <v>501</v>
      </c>
      <c r="B8958" s="4" t="s">
        <v>31</v>
      </c>
      <c r="C8958" s="4" t="n">
        <v>5</v>
      </c>
      <c r="D8958" s="4" t="s">
        <v>142</v>
      </c>
      <c r="E8958" s="3" t="s">
        <v>185</v>
      </c>
      <c r="F8958" s="4" t="str">
        <f aca="false">IF(I8958&gt;J8958,"Y","N")</f>
        <v>Y</v>
      </c>
      <c r="G8958" s="3" t="s">
        <v>36</v>
      </c>
      <c r="H8958" s="3" t="s">
        <v>37</v>
      </c>
      <c r="I8958" s="4" t="n">
        <v>21</v>
      </c>
      <c r="J8958" s="4" t="n">
        <f aca="false">LEN(E8958)-LEN(SUBSTITUTE(E8958,",",""))+1</f>
        <v>7</v>
      </c>
      <c r="K8958" s="3" t="str">
        <f aca="false">IFERROR(INDEX('Teacher Lookup'!$B$2:$B$200,MATCH(A8958,'Teacher Lookup'!$A$2:$A$200,0)),"")</f>
        <v>IP Sophie</v>
      </c>
    </row>
    <row r="8959" customFormat="false" ht="15" hidden="false" customHeight="false" outlineLevel="0" collapsed="false">
      <c r="A8959" s="3" t="s">
        <v>501</v>
      </c>
      <c r="B8959" s="4" t="s">
        <v>31</v>
      </c>
      <c r="C8959" s="4" t="n">
        <v>5</v>
      </c>
      <c r="D8959" s="4" t="s">
        <v>127</v>
      </c>
      <c r="E8959" s="3" t="s">
        <v>185</v>
      </c>
      <c r="F8959" s="4" t="str">
        <f aca="false">IF(I8959&gt;J8959,"Y","N")</f>
        <v>Y</v>
      </c>
      <c r="G8959" s="3" t="s">
        <v>36</v>
      </c>
      <c r="H8959" s="3" t="s">
        <v>37</v>
      </c>
      <c r="I8959" s="4" t="n">
        <v>21</v>
      </c>
      <c r="J8959" s="4" t="n">
        <f aca="false">LEN(E8959)-LEN(SUBSTITUTE(E8959,",",""))+1</f>
        <v>7</v>
      </c>
      <c r="K8959" s="3" t="str">
        <f aca="false">IFERROR(INDEX('Teacher Lookup'!$B$2:$B$200,MATCH(A8959,'Teacher Lookup'!$A$2:$A$200,0)),"")</f>
        <v>IP Sophie</v>
      </c>
    </row>
    <row r="8960" customFormat="false" ht="15" hidden="false" customHeight="false" outlineLevel="0" collapsed="false">
      <c r="A8960" s="3" t="s">
        <v>501</v>
      </c>
      <c r="B8960" s="4" t="s">
        <v>40</v>
      </c>
      <c r="C8960" s="4" t="n">
        <v>1</v>
      </c>
      <c r="D8960" s="4" t="s">
        <v>57</v>
      </c>
      <c r="E8960" s="3" t="s">
        <v>170</v>
      </c>
      <c r="F8960" s="4" t="str">
        <f aca="false">IF(I8960&gt;J8960,"Y","N")</f>
        <v>N</v>
      </c>
      <c r="G8960" s="3" t="s">
        <v>164</v>
      </c>
      <c r="H8960" s="3" t="s">
        <v>16</v>
      </c>
      <c r="I8960" s="4" t="n">
        <v>4</v>
      </c>
      <c r="J8960" s="4" t="n">
        <f aca="false">LEN(E8960)-LEN(SUBSTITUTE(E8960,",",""))+1</f>
        <v>4</v>
      </c>
      <c r="K8960" s="3" t="str">
        <f aca="false">IFERROR(INDEX('Teacher Lookup'!$B$2:$B$200,MATCH(A8960,'Teacher Lookup'!$A$2:$A$200,0)),"")</f>
        <v>IP Sophie</v>
      </c>
    </row>
    <row r="8961" customFormat="false" ht="15" hidden="false" customHeight="false" outlineLevel="0" collapsed="false">
      <c r="A8961" s="3" t="s">
        <v>501</v>
      </c>
      <c r="B8961" s="4" t="s">
        <v>40</v>
      </c>
      <c r="C8961" s="4" t="n">
        <v>1</v>
      </c>
      <c r="D8961" s="4" t="s">
        <v>58</v>
      </c>
      <c r="E8961" s="3" t="s">
        <v>170</v>
      </c>
      <c r="F8961" s="4" t="str">
        <f aca="false">IF(I8961&gt;J8961,"Y","N")</f>
        <v>N</v>
      </c>
      <c r="G8961" s="3" t="s">
        <v>164</v>
      </c>
      <c r="H8961" s="3" t="s">
        <v>16</v>
      </c>
      <c r="I8961" s="4" t="n">
        <v>4</v>
      </c>
      <c r="J8961" s="4" t="n">
        <f aca="false">LEN(E8961)-LEN(SUBSTITUTE(E8961,",",""))+1</f>
        <v>4</v>
      </c>
      <c r="K8961" s="3" t="str">
        <f aca="false">IFERROR(INDEX('Teacher Lookup'!$B$2:$B$200,MATCH(A8961,'Teacher Lookup'!$A$2:$A$200,0)),"")</f>
        <v>IP Sophie</v>
      </c>
    </row>
    <row r="8962" customFormat="false" ht="15" hidden="false" customHeight="false" outlineLevel="0" collapsed="false">
      <c r="A8962" s="3" t="s">
        <v>501</v>
      </c>
      <c r="B8962" s="4" t="s">
        <v>40</v>
      </c>
      <c r="C8962" s="4" t="n">
        <v>1</v>
      </c>
      <c r="D8962" s="4" t="s">
        <v>59</v>
      </c>
      <c r="E8962" s="3" t="s">
        <v>170</v>
      </c>
      <c r="F8962" s="4" t="str">
        <f aca="false">IF(I8962&gt;J8962,"Y","N")</f>
        <v>N</v>
      </c>
      <c r="G8962" s="3" t="s">
        <v>164</v>
      </c>
      <c r="H8962" s="3" t="s">
        <v>16</v>
      </c>
      <c r="I8962" s="4" t="n">
        <v>4</v>
      </c>
      <c r="J8962" s="4" t="n">
        <f aca="false">LEN(E8962)-LEN(SUBSTITUTE(E8962,",",""))+1</f>
        <v>4</v>
      </c>
      <c r="K8962" s="3" t="str">
        <f aca="false">IFERROR(INDEX('Teacher Lookup'!$B$2:$B$200,MATCH(A8962,'Teacher Lookup'!$A$2:$A$200,0)),"")</f>
        <v>IP Sophie</v>
      </c>
    </row>
    <row r="8963" customFormat="false" ht="15" hidden="false" customHeight="false" outlineLevel="0" collapsed="false">
      <c r="A8963" s="3" t="s">
        <v>501</v>
      </c>
      <c r="B8963" s="4" t="s">
        <v>40</v>
      </c>
      <c r="C8963" s="4" t="n">
        <v>2</v>
      </c>
      <c r="D8963" s="4" t="s">
        <v>105</v>
      </c>
      <c r="E8963" s="3" t="s">
        <v>258</v>
      </c>
      <c r="F8963" s="4" t="str">
        <f aca="false">IF(I8963&gt;J8963,"Y","N")</f>
        <v>N</v>
      </c>
      <c r="G8963" s="3" t="s">
        <v>164</v>
      </c>
      <c r="H8963" s="3" t="s">
        <v>21</v>
      </c>
      <c r="I8963" s="4" t="n">
        <v>3</v>
      </c>
      <c r="J8963" s="4" t="n">
        <f aca="false">LEN(E8963)-LEN(SUBSTITUTE(E8963,",",""))+1</f>
        <v>3</v>
      </c>
      <c r="K8963" s="3" t="str">
        <f aca="false">IFERROR(INDEX('Teacher Lookup'!$B$2:$B$200,MATCH(A8963,'Teacher Lookup'!$A$2:$A$200,0)),"")</f>
        <v>IP Sophie</v>
      </c>
    </row>
    <row r="8964" customFormat="false" ht="15" hidden="false" customHeight="false" outlineLevel="0" collapsed="false">
      <c r="A8964" s="3" t="s">
        <v>501</v>
      </c>
      <c r="B8964" s="4" t="s">
        <v>40</v>
      </c>
      <c r="C8964" s="4" t="n">
        <v>2</v>
      </c>
      <c r="D8964" s="4" t="s">
        <v>106</v>
      </c>
      <c r="E8964" s="3" t="s">
        <v>258</v>
      </c>
      <c r="F8964" s="4" t="str">
        <f aca="false">IF(I8964&gt;J8964,"Y","N")</f>
        <v>N</v>
      </c>
      <c r="G8964" s="3" t="s">
        <v>164</v>
      </c>
      <c r="H8964" s="3" t="s">
        <v>21</v>
      </c>
      <c r="I8964" s="4" t="n">
        <v>3</v>
      </c>
      <c r="J8964" s="4" t="n">
        <f aca="false">LEN(E8964)-LEN(SUBSTITUTE(E8964,",",""))+1</f>
        <v>3</v>
      </c>
      <c r="K8964" s="3" t="str">
        <f aca="false">IFERROR(INDEX('Teacher Lookup'!$B$2:$B$200,MATCH(A8964,'Teacher Lookup'!$A$2:$A$200,0)),"")</f>
        <v>IP Sophie</v>
      </c>
    </row>
    <row r="8965" customFormat="false" ht="15" hidden="false" customHeight="false" outlineLevel="0" collapsed="false">
      <c r="A8965" s="3" t="s">
        <v>501</v>
      </c>
      <c r="B8965" s="4" t="s">
        <v>40</v>
      </c>
      <c r="C8965" s="4" t="n">
        <v>7</v>
      </c>
      <c r="D8965" s="4" t="s">
        <v>132</v>
      </c>
      <c r="E8965" s="3" t="s">
        <v>293</v>
      </c>
      <c r="F8965" s="4" t="str">
        <f aca="false">IF(I8965&gt;J8965,"Y","N")</f>
        <v>N</v>
      </c>
      <c r="G8965" s="3" t="s">
        <v>164</v>
      </c>
      <c r="H8965" s="3" t="s">
        <v>39</v>
      </c>
      <c r="I8965" s="4" t="n">
        <v>1</v>
      </c>
      <c r="J8965" s="4" t="n">
        <f aca="false">LEN(E8965)-LEN(SUBSTITUTE(E8965,",",""))+1</f>
        <v>1</v>
      </c>
      <c r="K8965" s="3" t="str">
        <f aca="false">IFERROR(INDEX('Teacher Lookup'!$B$2:$B$200,MATCH(A8965,'Teacher Lookup'!$A$2:$A$200,0)),"")</f>
        <v>IP Sophie</v>
      </c>
    </row>
    <row r="8966" customFormat="false" ht="15" hidden="false" customHeight="false" outlineLevel="0" collapsed="false">
      <c r="A8966" s="3" t="s">
        <v>501</v>
      </c>
      <c r="B8966" s="4" t="s">
        <v>44</v>
      </c>
      <c r="C8966" s="4" t="n">
        <v>3</v>
      </c>
      <c r="D8966" s="4" t="s">
        <v>57</v>
      </c>
      <c r="E8966" s="3" t="s">
        <v>173</v>
      </c>
      <c r="F8966" s="4" t="str">
        <f aca="false">IF(I8966&gt;J8966,"Y","N")</f>
        <v>N</v>
      </c>
      <c r="G8966" s="3" t="s">
        <v>164</v>
      </c>
      <c r="H8966" s="3" t="s">
        <v>26</v>
      </c>
      <c r="I8966" s="4" t="n">
        <v>4</v>
      </c>
      <c r="J8966" s="4" t="n">
        <f aca="false">LEN(E8966)-LEN(SUBSTITUTE(E8966,",",""))+1</f>
        <v>4</v>
      </c>
      <c r="K8966" s="3" t="str">
        <f aca="false">IFERROR(INDEX('Teacher Lookup'!$B$2:$B$200,MATCH(A8966,'Teacher Lookup'!$A$2:$A$200,0)),"")</f>
        <v>IP Sophie</v>
      </c>
    </row>
    <row r="8967" customFormat="false" ht="15" hidden="false" customHeight="false" outlineLevel="0" collapsed="false">
      <c r="A8967" s="3" t="s">
        <v>501</v>
      </c>
      <c r="B8967" s="4" t="s">
        <v>44</v>
      </c>
      <c r="C8967" s="4" t="n">
        <v>3</v>
      </c>
      <c r="D8967" s="4" t="s">
        <v>58</v>
      </c>
      <c r="E8967" s="3" t="s">
        <v>173</v>
      </c>
      <c r="F8967" s="4" t="str">
        <f aca="false">IF(I8967&gt;J8967,"Y","N")</f>
        <v>N</v>
      </c>
      <c r="G8967" s="3" t="s">
        <v>164</v>
      </c>
      <c r="H8967" s="3" t="s">
        <v>26</v>
      </c>
      <c r="I8967" s="4" t="n">
        <v>4</v>
      </c>
      <c r="J8967" s="4" t="n">
        <f aca="false">LEN(E8967)-LEN(SUBSTITUTE(E8967,",",""))+1</f>
        <v>4</v>
      </c>
      <c r="K8967" s="3" t="str">
        <f aca="false">IFERROR(INDEX('Teacher Lookup'!$B$2:$B$200,MATCH(A8967,'Teacher Lookup'!$A$2:$A$200,0)),"")</f>
        <v>IP Sophie</v>
      </c>
    </row>
    <row r="8968" customFormat="false" ht="15" hidden="false" customHeight="false" outlineLevel="0" collapsed="false">
      <c r="A8968" s="3" t="s">
        <v>501</v>
      </c>
      <c r="B8968" s="4" t="s">
        <v>44</v>
      </c>
      <c r="C8968" s="4" t="n">
        <v>3</v>
      </c>
      <c r="D8968" s="4" t="s">
        <v>59</v>
      </c>
      <c r="E8968" s="3" t="s">
        <v>173</v>
      </c>
      <c r="F8968" s="4" t="str">
        <f aca="false">IF(I8968&gt;J8968,"Y","N")</f>
        <v>N</v>
      </c>
      <c r="G8968" s="3" t="s">
        <v>164</v>
      </c>
      <c r="H8968" s="3" t="s">
        <v>26</v>
      </c>
      <c r="I8968" s="4" t="n">
        <v>4</v>
      </c>
      <c r="J8968" s="4" t="n">
        <f aca="false">LEN(E8968)-LEN(SUBSTITUTE(E8968,",",""))+1</f>
        <v>4</v>
      </c>
      <c r="K8968" s="3" t="str">
        <f aca="false">IFERROR(INDEX('Teacher Lookup'!$B$2:$B$200,MATCH(A8968,'Teacher Lookup'!$A$2:$A$200,0)),"")</f>
        <v>IP Sophie</v>
      </c>
    </row>
    <row r="8969" customFormat="false" ht="15" hidden="false" customHeight="false" outlineLevel="0" collapsed="false">
      <c r="A8969" s="3" t="s">
        <v>501</v>
      </c>
      <c r="B8969" s="4" t="s">
        <v>44</v>
      </c>
      <c r="C8969" s="4" t="n">
        <v>5</v>
      </c>
      <c r="D8969" s="4" t="s">
        <v>137</v>
      </c>
      <c r="E8969" s="3" t="s">
        <v>185</v>
      </c>
      <c r="F8969" s="4" t="str">
        <f aca="false">IF(I8969&gt;J8969,"Y","N")</f>
        <v>Y</v>
      </c>
      <c r="G8969" s="3" t="s">
        <v>36</v>
      </c>
      <c r="H8969" s="3" t="s">
        <v>37</v>
      </c>
      <c r="I8969" s="4" t="n">
        <v>21</v>
      </c>
      <c r="J8969" s="4" t="n">
        <f aca="false">LEN(E8969)-LEN(SUBSTITUTE(E8969,",",""))+1</f>
        <v>7</v>
      </c>
      <c r="K8969" s="3" t="str">
        <f aca="false">IFERROR(INDEX('Teacher Lookup'!$B$2:$B$200,MATCH(A8969,'Teacher Lookup'!$A$2:$A$200,0)),"")</f>
        <v>IP Sophie</v>
      </c>
    </row>
    <row r="8970" customFormat="false" ht="15" hidden="false" customHeight="false" outlineLevel="0" collapsed="false">
      <c r="A8970" s="3" t="s">
        <v>501</v>
      </c>
      <c r="B8970" s="4" t="s">
        <v>44</v>
      </c>
      <c r="C8970" s="4" t="n">
        <v>5</v>
      </c>
      <c r="D8970" s="4" t="s">
        <v>124</v>
      </c>
      <c r="E8970" s="3" t="s">
        <v>185</v>
      </c>
      <c r="F8970" s="4" t="str">
        <f aca="false">IF(I8970&gt;J8970,"Y","N")</f>
        <v>Y</v>
      </c>
      <c r="G8970" s="3" t="s">
        <v>36</v>
      </c>
      <c r="H8970" s="3" t="s">
        <v>37</v>
      </c>
      <c r="I8970" s="4" t="n">
        <v>21</v>
      </c>
      <c r="J8970" s="4" t="n">
        <f aca="false">LEN(E8970)-LEN(SUBSTITUTE(E8970,",",""))+1</f>
        <v>7</v>
      </c>
      <c r="K8970" s="3" t="str">
        <f aca="false">IFERROR(INDEX('Teacher Lookup'!$B$2:$B$200,MATCH(A8970,'Teacher Lookup'!$A$2:$A$200,0)),"")</f>
        <v>IP Sophie</v>
      </c>
    </row>
    <row r="8971" customFormat="false" ht="15" hidden="false" customHeight="false" outlineLevel="0" collapsed="false">
      <c r="A8971" s="3" t="s">
        <v>501</v>
      </c>
      <c r="B8971" s="4" t="s">
        <v>44</v>
      </c>
      <c r="C8971" s="4" t="n">
        <v>5</v>
      </c>
      <c r="D8971" s="4" t="s">
        <v>139</v>
      </c>
      <c r="E8971" s="3" t="s">
        <v>185</v>
      </c>
      <c r="F8971" s="4" t="str">
        <f aca="false">IF(I8971&gt;J8971,"Y","N")</f>
        <v>Y</v>
      </c>
      <c r="G8971" s="3" t="s">
        <v>36</v>
      </c>
      <c r="H8971" s="3" t="s">
        <v>37</v>
      </c>
      <c r="I8971" s="4" t="n">
        <v>21</v>
      </c>
      <c r="J8971" s="4" t="n">
        <f aca="false">LEN(E8971)-LEN(SUBSTITUTE(E8971,",",""))+1</f>
        <v>7</v>
      </c>
      <c r="K8971" s="3" t="str">
        <f aca="false">IFERROR(INDEX('Teacher Lookup'!$B$2:$B$200,MATCH(A8971,'Teacher Lookup'!$A$2:$A$200,0)),"")</f>
        <v>IP Sophie</v>
      </c>
    </row>
    <row r="8972" customFormat="false" ht="15" hidden="false" customHeight="false" outlineLevel="0" collapsed="false">
      <c r="A8972" s="3" t="s">
        <v>501</v>
      </c>
      <c r="B8972" s="4" t="s">
        <v>44</v>
      </c>
      <c r="C8972" s="4" t="n">
        <v>5</v>
      </c>
      <c r="D8972" s="4" t="s">
        <v>140</v>
      </c>
      <c r="E8972" s="3" t="s">
        <v>185</v>
      </c>
      <c r="F8972" s="4" t="str">
        <f aca="false">IF(I8972&gt;J8972,"Y","N")</f>
        <v>Y</v>
      </c>
      <c r="G8972" s="3" t="s">
        <v>36</v>
      </c>
      <c r="H8972" s="3" t="s">
        <v>37</v>
      </c>
      <c r="I8972" s="4" t="n">
        <v>21</v>
      </c>
      <c r="J8972" s="4" t="n">
        <f aca="false">LEN(E8972)-LEN(SUBSTITUTE(E8972,",",""))+1</f>
        <v>7</v>
      </c>
      <c r="K8972" s="3" t="str">
        <f aca="false">IFERROR(INDEX('Teacher Lookup'!$B$2:$B$200,MATCH(A8972,'Teacher Lookup'!$A$2:$A$200,0)),"")</f>
        <v>IP Sophie</v>
      </c>
    </row>
    <row r="8973" customFormat="false" ht="15" hidden="false" customHeight="false" outlineLevel="0" collapsed="false">
      <c r="A8973" s="3" t="s">
        <v>501</v>
      </c>
      <c r="B8973" s="4" t="s">
        <v>44</v>
      </c>
      <c r="C8973" s="4" t="n">
        <v>5</v>
      </c>
      <c r="D8973" s="4" t="s">
        <v>142</v>
      </c>
      <c r="E8973" s="3" t="s">
        <v>185</v>
      </c>
      <c r="F8973" s="4" t="str">
        <f aca="false">IF(I8973&gt;J8973,"Y","N")</f>
        <v>Y</v>
      </c>
      <c r="G8973" s="3" t="s">
        <v>36</v>
      </c>
      <c r="H8973" s="3" t="s">
        <v>37</v>
      </c>
      <c r="I8973" s="4" t="n">
        <v>21</v>
      </c>
      <c r="J8973" s="4" t="n">
        <f aca="false">LEN(E8973)-LEN(SUBSTITUTE(E8973,",",""))+1</f>
        <v>7</v>
      </c>
      <c r="K8973" s="3" t="str">
        <f aca="false">IFERROR(INDEX('Teacher Lookup'!$B$2:$B$200,MATCH(A8973,'Teacher Lookup'!$A$2:$A$200,0)),"")</f>
        <v>IP Sophie</v>
      </c>
    </row>
    <row r="8974" customFormat="false" ht="15" hidden="false" customHeight="false" outlineLevel="0" collapsed="false">
      <c r="A8974" s="3" t="s">
        <v>501</v>
      </c>
      <c r="B8974" s="4" t="s">
        <v>44</v>
      </c>
      <c r="C8974" s="4" t="n">
        <v>5</v>
      </c>
      <c r="D8974" s="4" t="s">
        <v>127</v>
      </c>
      <c r="E8974" s="3" t="s">
        <v>185</v>
      </c>
      <c r="F8974" s="4" t="str">
        <f aca="false">IF(I8974&gt;J8974,"Y","N")</f>
        <v>Y</v>
      </c>
      <c r="G8974" s="3" t="s">
        <v>36</v>
      </c>
      <c r="H8974" s="3" t="s">
        <v>37</v>
      </c>
      <c r="I8974" s="4" t="n">
        <v>21</v>
      </c>
      <c r="J8974" s="4" t="n">
        <f aca="false">LEN(E8974)-LEN(SUBSTITUTE(E8974,",",""))+1</f>
        <v>7</v>
      </c>
      <c r="K8974" s="3" t="str">
        <f aca="false">IFERROR(INDEX('Teacher Lookup'!$B$2:$B$200,MATCH(A8974,'Teacher Lookup'!$A$2:$A$200,0)),"")</f>
        <v>IP Sophie</v>
      </c>
    </row>
    <row r="8975" customFormat="false" ht="15" hidden="false" customHeight="false" outlineLevel="0" collapsed="false">
      <c r="A8975" s="3" t="s">
        <v>501</v>
      </c>
      <c r="B8975" s="4" t="s">
        <v>44</v>
      </c>
      <c r="C8975" s="4" t="n">
        <v>6</v>
      </c>
      <c r="D8975" s="4" t="s">
        <v>105</v>
      </c>
      <c r="E8975" s="3" t="s">
        <v>257</v>
      </c>
      <c r="F8975" s="4" t="str">
        <f aca="false">IF(I8975&gt;J8975,"Y","N")</f>
        <v>N</v>
      </c>
      <c r="G8975" s="3" t="s">
        <v>164</v>
      </c>
      <c r="H8975" s="3" t="s">
        <v>42</v>
      </c>
      <c r="I8975" s="4" t="n">
        <v>3</v>
      </c>
      <c r="J8975" s="4" t="n">
        <f aca="false">LEN(E8975)-LEN(SUBSTITUTE(E8975,",",""))+1</f>
        <v>3</v>
      </c>
      <c r="K8975" s="3" t="str">
        <f aca="false">IFERROR(INDEX('Teacher Lookup'!$B$2:$B$200,MATCH(A8975,'Teacher Lookup'!$A$2:$A$200,0)),"")</f>
        <v>IP Sophie</v>
      </c>
    </row>
    <row r="8976" customFormat="false" ht="15" hidden="false" customHeight="false" outlineLevel="0" collapsed="false">
      <c r="A8976" s="3" t="s">
        <v>501</v>
      </c>
      <c r="B8976" s="4" t="s">
        <v>44</v>
      </c>
      <c r="C8976" s="4" t="n">
        <v>6</v>
      </c>
      <c r="D8976" s="4" t="s">
        <v>106</v>
      </c>
      <c r="E8976" s="3" t="s">
        <v>257</v>
      </c>
      <c r="F8976" s="4" t="str">
        <f aca="false">IF(I8976&gt;J8976,"Y","N")</f>
        <v>N</v>
      </c>
      <c r="G8976" s="3" t="s">
        <v>164</v>
      </c>
      <c r="H8976" s="3" t="s">
        <v>42</v>
      </c>
      <c r="I8976" s="4" t="n">
        <v>3</v>
      </c>
      <c r="J8976" s="4" t="n">
        <f aca="false">LEN(E8976)-LEN(SUBSTITUTE(E8976,",",""))+1</f>
        <v>3</v>
      </c>
      <c r="K8976" s="3" t="str">
        <f aca="false">IFERROR(INDEX('Teacher Lookup'!$B$2:$B$200,MATCH(A8976,'Teacher Lookup'!$A$2:$A$200,0)),"")</f>
        <v>IP Sophie</v>
      </c>
    </row>
    <row r="8977" customFormat="false" ht="15" hidden="false" customHeight="false" outlineLevel="0" collapsed="false">
      <c r="A8977" s="3" t="s">
        <v>501</v>
      </c>
      <c r="B8977" s="4" t="s">
        <v>47</v>
      </c>
      <c r="C8977" s="4" t="n">
        <v>1</v>
      </c>
      <c r="D8977" s="4" t="s">
        <v>105</v>
      </c>
      <c r="E8977" s="3" t="s">
        <v>260</v>
      </c>
      <c r="F8977" s="4" t="str">
        <f aca="false">IF(I8977&gt;J8977,"Y","N")</f>
        <v>N</v>
      </c>
      <c r="G8977" s="3" t="s">
        <v>164</v>
      </c>
      <c r="H8977" s="3" t="s">
        <v>16</v>
      </c>
      <c r="I8977" s="4" t="n">
        <v>3</v>
      </c>
      <c r="J8977" s="4" t="n">
        <f aca="false">LEN(E8977)-LEN(SUBSTITUTE(E8977,",",""))+1</f>
        <v>3</v>
      </c>
      <c r="K8977" s="3" t="str">
        <f aca="false">IFERROR(INDEX('Teacher Lookup'!$B$2:$B$200,MATCH(A8977,'Teacher Lookup'!$A$2:$A$200,0)),"")</f>
        <v>IP Sophie</v>
      </c>
    </row>
    <row r="8978" customFormat="false" ht="15" hidden="false" customHeight="false" outlineLevel="0" collapsed="false">
      <c r="A8978" s="3" t="s">
        <v>501</v>
      </c>
      <c r="B8978" s="4" t="s">
        <v>47</v>
      </c>
      <c r="C8978" s="4" t="n">
        <v>1</v>
      </c>
      <c r="D8978" s="4" t="s">
        <v>106</v>
      </c>
      <c r="E8978" s="3" t="s">
        <v>260</v>
      </c>
      <c r="F8978" s="4" t="str">
        <f aca="false">IF(I8978&gt;J8978,"Y","N")</f>
        <v>N</v>
      </c>
      <c r="G8978" s="3" t="s">
        <v>164</v>
      </c>
      <c r="H8978" s="3" t="s">
        <v>16</v>
      </c>
      <c r="I8978" s="4" t="n">
        <v>3</v>
      </c>
      <c r="J8978" s="4" t="n">
        <f aca="false">LEN(E8978)-LEN(SUBSTITUTE(E8978,",",""))+1</f>
        <v>3</v>
      </c>
      <c r="K8978" s="3" t="str">
        <f aca="false">IFERROR(INDEX('Teacher Lookup'!$B$2:$B$200,MATCH(A8978,'Teacher Lookup'!$A$2:$A$200,0)),"")</f>
        <v>IP Sophie</v>
      </c>
    </row>
    <row r="8979" customFormat="false" ht="15" hidden="false" customHeight="false" outlineLevel="0" collapsed="false">
      <c r="A8979" s="3" t="s">
        <v>501</v>
      </c>
      <c r="B8979" s="4" t="s">
        <v>47</v>
      </c>
      <c r="C8979" s="4" t="n">
        <v>3</v>
      </c>
      <c r="D8979" s="4" t="s">
        <v>57</v>
      </c>
      <c r="E8979" s="3" t="s">
        <v>175</v>
      </c>
      <c r="F8979" s="4" t="str">
        <f aca="false">IF(I8979&gt;J8979,"Y","N")</f>
        <v>N</v>
      </c>
      <c r="G8979" s="3" t="s">
        <v>164</v>
      </c>
      <c r="H8979" s="3" t="s">
        <v>26</v>
      </c>
      <c r="I8979" s="4" t="n">
        <v>4</v>
      </c>
      <c r="J8979" s="4" t="n">
        <f aca="false">LEN(E8979)-LEN(SUBSTITUTE(E8979,",",""))+1</f>
        <v>4</v>
      </c>
      <c r="K8979" s="3" t="str">
        <f aca="false">IFERROR(INDEX('Teacher Lookup'!$B$2:$B$200,MATCH(A8979,'Teacher Lookup'!$A$2:$A$200,0)),"")</f>
        <v>IP Sophie</v>
      </c>
    </row>
    <row r="8980" customFormat="false" ht="15" hidden="false" customHeight="false" outlineLevel="0" collapsed="false">
      <c r="A8980" s="3" t="s">
        <v>501</v>
      </c>
      <c r="B8980" s="4" t="s">
        <v>47</v>
      </c>
      <c r="C8980" s="4" t="n">
        <v>3</v>
      </c>
      <c r="D8980" s="4" t="s">
        <v>58</v>
      </c>
      <c r="E8980" s="3" t="s">
        <v>175</v>
      </c>
      <c r="F8980" s="4" t="str">
        <f aca="false">IF(I8980&gt;J8980,"Y","N")</f>
        <v>N</v>
      </c>
      <c r="G8980" s="3" t="s">
        <v>164</v>
      </c>
      <c r="H8980" s="3" t="s">
        <v>26</v>
      </c>
      <c r="I8980" s="4" t="n">
        <v>4</v>
      </c>
      <c r="J8980" s="4" t="n">
        <f aca="false">LEN(E8980)-LEN(SUBSTITUTE(E8980,",",""))+1</f>
        <v>4</v>
      </c>
      <c r="K8980" s="3" t="str">
        <f aca="false">IFERROR(INDEX('Teacher Lookup'!$B$2:$B$200,MATCH(A8980,'Teacher Lookup'!$A$2:$A$200,0)),"")</f>
        <v>IP Sophie</v>
      </c>
    </row>
    <row r="8981" customFormat="false" ht="15" hidden="false" customHeight="false" outlineLevel="0" collapsed="false">
      <c r="A8981" s="3" t="s">
        <v>501</v>
      </c>
      <c r="B8981" s="4" t="s">
        <v>47</v>
      </c>
      <c r="C8981" s="4" t="n">
        <v>3</v>
      </c>
      <c r="D8981" s="4" t="s">
        <v>59</v>
      </c>
      <c r="E8981" s="3" t="s">
        <v>175</v>
      </c>
      <c r="F8981" s="4" t="str">
        <f aca="false">IF(I8981&gt;J8981,"Y","N")</f>
        <v>N</v>
      </c>
      <c r="G8981" s="3" t="s">
        <v>164</v>
      </c>
      <c r="H8981" s="3" t="s">
        <v>26</v>
      </c>
      <c r="I8981" s="4" t="n">
        <v>4</v>
      </c>
      <c r="J8981" s="4" t="n">
        <f aca="false">LEN(E8981)-LEN(SUBSTITUTE(E8981,",",""))+1</f>
        <v>4</v>
      </c>
      <c r="K8981" s="3" t="str">
        <f aca="false">IFERROR(INDEX('Teacher Lookup'!$B$2:$B$200,MATCH(A8981,'Teacher Lookup'!$A$2:$A$200,0)),"")</f>
        <v>IP Sophie</v>
      </c>
    </row>
    <row r="8982" customFormat="false" ht="15" hidden="false" customHeight="false" outlineLevel="0" collapsed="false">
      <c r="A8982" s="3" t="s">
        <v>501</v>
      </c>
      <c r="B8982" s="4" t="s">
        <v>47</v>
      </c>
      <c r="C8982" s="4" t="n">
        <v>5</v>
      </c>
      <c r="D8982" s="4" t="s">
        <v>228</v>
      </c>
      <c r="E8982" s="3" t="s">
        <v>302</v>
      </c>
      <c r="F8982" s="4" t="str">
        <f aca="false">IF(I8982&gt;J8982,"Y","N")</f>
        <v>N</v>
      </c>
      <c r="G8982" s="3" t="s">
        <v>164</v>
      </c>
      <c r="H8982" s="3" t="s">
        <v>37</v>
      </c>
      <c r="I8982" s="4" t="n">
        <v>1</v>
      </c>
      <c r="J8982" s="4" t="n">
        <f aca="false">LEN(E8982)-LEN(SUBSTITUTE(E8982,",",""))+1</f>
        <v>1</v>
      </c>
      <c r="K8982" s="3" t="str">
        <f aca="false">IFERROR(INDEX('Teacher Lookup'!$B$2:$B$200,MATCH(A8982,'Teacher Lookup'!$A$2:$A$200,0)),"")</f>
        <v>IP Sophie</v>
      </c>
    </row>
    <row r="8983" customFormat="false" ht="15" hidden="false" customHeight="false" outlineLevel="0" collapsed="false">
      <c r="A8983" s="3" t="s">
        <v>501</v>
      </c>
      <c r="B8983" s="4" t="s">
        <v>50</v>
      </c>
      <c r="C8983" s="4" t="n">
        <v>5</v>
      </c>
      <c r="D8983" s="4" t="s">
        <v>57</v>
      </c>
      <c r="E8983" s="3" t="s">
        <v>166</v>
      </c>
      <c r="F8983" s="4" t="str">
        <f aca="false">IF(I8983&gt;J8983,"Y","N")</f>
        <v>N</v>
      </c>
      <c r="G8983" s="3" t="s">
        <v>164</v>
      </c>
      <c r="H8983" s="3" t="s">
        <v>37</v>
      </c>
      <c r="I8983" s="4" t="n">
        <v>4</v>
      </c>
      <c r="J8983" s="4" t="n">
        <f aca="false">LEN(E8983)-LEN(SUBSTITUTE(E8983,",",""))+1</f>
        <v>4</v>
      </c>
      <c r="K8983" s="3" t="str">
        <f aca="false">IFERROR(INDEX('Teacher Lookup'!$B$2:$B$200,MATCH(A8983,'Teacher Lookup'!$A$2:$A$200,0)),"")</f>
        <v>IP Sophie</v>
      </c>
    </row>
    <row r="8984" customFormat="false" ht="15" hidden="false" customHeight="false" outlineLevel="0" collapsed="false">
      <c r="A8984" s="3" t="s">
        <v>501</v>
      </c>
      <c r="B8984" s="4" t="s">
        <v>50</v>
      </c>
      <c r="C8984" s="4" t="n">
        <v>5</v>
      </c>
      <c r="D8984" s="4" t="s">
        <v>58</v>
      </c>
      <c r="E8984" s="3" t="s">
        <v>166</v>
      </c>
      <c r="F8984" s="4" t="str">
        <f aca="false">IF(I8984&gt;J8984,"Y","N")</f>
        <v>N</v>
      </c>
      <c r="G8984" s="3" t="s">
        <v>164</v>
      </c>
      <c r="H8984" s="3" t="s">
        <v>37</v>
      </c>
      <c r="I8984" s="4" t="n">
        <v>4</v>
      </c>
      <c r="J8984" s="4" t="n">
        <f aca="false">LEN(E8984)-LEN(SUBSTITUTE(E8984,",",""))+1</f>
        <v>4</v>
      </c>
      <c r="K8984" s="3" t="str">
        <f aca="false">IFERROR(INDEX('Teacher Lookup'!$B$2:$B$200,MATCH(A8984,'Teacher Lookup'!$A$2:$A$200,0)),"")</f>
        <v>IP Sophie</v>
      </c>
    </row>
    <row r="8985" customFormat="false" ht="15" hidden="false" customHeight="false" outlineLevel="0" collapsed="false">
      <c r="A8985" s="3" t="s">
        <v>501</v>
      </c>
      <c r="B8985" s="4" t="s">
        <v>50</v>
      </c>
      <c r="C8985" s="4" t="n">
        <v>5</v>
      </c>
      <c r="D8985" s="4" t="s">
        <v>59</v>
      </c>
      <c r="E8985" s="3" t="s">
        <v>166</v>
      </c>
      <c r="F8985" s="4" t="str">
        <f aca="false">IF(I8985&gt;J8985,"Y","N")</f>
        <v>N</v>
      </c>
      <c r="G8985" s="3" t="s">
        <v>164</v>
      </c>
      <c r="H8985" s="3" t="s">
        <v>37</v>
      </c>
      <c r="I8985" s="4" t="n">
        <v>4</v>
      </c>
      <c r="J8985" s="4" t="n">
        <f aca="false">LEN(E8985)-LEN(SUBSTITUTE(E8985,",",""))+1</f>
        <v>4</v>
      </c>
      <c r="K8985" s="3" t="str">
        <f aca="false">IFERROR(INDEX('Teacher Lookup'!$B$2:$B$200,MATCH(A8985,'Teacher Lookup'!$A$2:$A$200,0)),"")</f>
        <v>IP Sophie</v>
      </c>
    </row>
    <row r="8986" customFormat="false" ht="15" hidden="false" customHeight="false" outlineLevel="0" collapsed="false">
      <c r="A8986" s="3" t="s">
        <v>501</v>
      </c>
      <c r="B8986" s="4" t="s">
        <v>50</v>
      </c>
      <c r="C8986" s="4" t="n">
        <v>6</v>
      </c>
      <c r="D8986" s="4" t="s">
        <v>105</v>
      </c>
      <c r="E8986" s="3" t="s">
        <v>263</v>
      </c>
      <c r="F8986" s="4" t="str">
        <f aca="false">IF(I8986&gt;J8986,"Y","N")</f>
        <v>N</v>
      </c>
      <c r="G8986" s="3" t="s">
        <v>164</v>
      </c>
      <c r="H8986" s="3" t="s">
        <v>42</v>
      </c>
      <c r="I8986" s="4" t="n">
        <v>3</v>
      </c>
      <c r="J8986" s="4" t="n">
        <f aca="false">LEN(E8986)-LEN(SUBSTITUTE(E8986,",",""))+1</f>
        <v>3</v>
      </c>
      <c r="K8986" s="3" t="str">
        <f aca="false">IFERROR(INDEX('Teacher Lookup'!$B$2:$B$200,MATCH(A8986,'Teacher Lookup'!$A$2:$A$200,0)),"")</f>
        <v>IP Sophie</v>
      </c>
    </row>
    <row r="8987" customFormat="false" ht="15" hidden="false" customHeight="false" outlineLevel="0" collapsed="false">
      <c r="A8987" s="3" t="s">
        <v>501</v>
      </c>
      <c r="B8987" s="4" t="s">
        <v>50</v>
      </c>
      <c r="C8987" s="4" t="n">
        <v>6</v>
      </c>
      <c r="D8987" s="4" t="s">
        <v>106</v>
      </c>
      <c r="E8987" s="3" t="s">
        <v>263</v>
      </c>
      <c r="F8987" s="4" t="str">
        <f aca="false">IF(I8987&gt;J8987,"Y","N")</f>
        <v>N</v>
      </c>
      <c r="G8987" s="3" t="s">
        <v>164</v>
      </c>
      <c r="H8987" s="3" t="s">
        <v>42</v>
      </c>
      <c r="I8987" s="4" t="n">
        <v>3</v>
      </c>
      <c r="J8987" s="4" t="n">
        <f aca="false">LEN(E8987)-LEN(SUBSTITUTE(E8987,",",""))+1</f>
        <v>3</v>
      </c>
      <c r="K8987" s="3" t="str">
        <f aca="false">IFERROR(INDEX('Teacher Lookup'!$B$2:$B$200,MATCH(A8987,'Teacher Lookup'!$A$2:$A$200,0)),"")</f>
        <v>IP Sophie</v>
      </c>
    </row>
    <row r="8988" customFormat="false" ht="15" hidden="false" customHeight="false" outlineLevel="0" collapsed="false">
      <c r="A8988" s="3" t="s">
        <v>501</v>
      </c>
      <c r="B8988" s="4" t="s">
        <v>60</v>
      </c>
      <c r="C8988" s="4" t="n">
        <v>1</v>
      </c>
      <c r="D8988" s="4" t="s">
        <v>57</v>
      </c>
      <c r="E8988" s="3" t="s">
        <v>178</v>
      </c>
      <c r="F8988" s="4" t="str">
        <f aca="false">IF(I8988&gt;J8988,"Y","N")</f>
        <v>N</v>
      </c>
      <c r="G8988" s="3" t="s">
        <v>164</v>
      </c>
      <c r="H8988" s="3" t="s">
        <v>16</v>
      </c>
      <c r="I8988" s="4" t="n">
        <v>4</v>
      </c>
      <c r="J8988" s="4" t="n">
        <f aca="false">LEN(E8988)-LEN(SUBSTITUTE(E8988,",",""))+1</f>
        <v>4</v>
      </c>
      <c r="K8988" s="3" t="str">
        <f aca="false">IFERROR(INDEX('Teacher Lookup'!$B$2:$B$200,MATCH(A8988,'Teacher Lookup'!$A$2:$A$200,0)),"")</f>
        <v>IP Sophie</v>
      </c>
    </row>
    <row r="8989" customFormat="false" ht="15" hidden="false" customHeight="false" outlineLevel="0" collapsed="false">
      <c r="A8989" s="3" t="s">
        <v>501</v>
      </c>
      <c r="B8989" s="4" t="s">
        <v>60</v>
      </c>
      <c r="C8989" s="4" t="n">
        <v>1</v>
      </c>
      <c r="D8989" s="4" t="s">
        <v>58</v>
      </c>
      <c r="E8989" s="3" t="s">
        <v>178</v>
      </c>
      <c r="F8989" s="4" t="str">
        <f aca="false">IF(I8989&gt;J8989,"Y","N")</f>
        <v>N</v>
      </c>
      <c r="G8989" s="3" t="s">
        <v>164</v>
      </c>
      <c r="H8989" s="3" t="s">
        <v>16</v>
      </c>
      <c r="I8989" s="4" t="n">
        <v>4</v>
      </c>
      <c r="J8989" s="4" t="n">
        <f aca="false">LEN(E8989)-LEN(SUBSTITUTE(E8989,",",""))+1</f>
        <v>4</v>
      </c>
      <c r="K8989" s="3" t="str">
        <f aca="false">IFERROR(INDEX('Teacher Lookup'!$B$2:$B$200,MATCH(A8989,'Teacher Lookup'!$A$2:$A$200,0)),"")</f>
        <v>IP Sophie</v>
      </c>
    </row>
    <row r="8990" customFormat="false" ht="15" hidden="false" customHeight="false" outlineLevel="0" collapsed="false">
      <c r="A8990" s="3" t="s">
        <v>501</v>
      </c>
      <c r="B8990" s="4" t="s">
        <v>60</v>
      </c>
      <c r="C8990" s="4" t="n">
        <v>1</v>
      </c>
      <c r="D8990" s="4" t="s">
        <v>59</v>
      </c>
      <c r="E8990" s="3" t="s">
        <v>178</v>
      </c>
      <c r="F8990" s="4" t="str">
        <f aca="false">IF(I8990&gt;J8990,"Y","N")</f>
        <v>N</v>
      </c>
      <c r="G8990" s="3" t="s">
        <v>164</v>
      </c>
      <c r="H8990" s="3" t="s">
        <v>16</v>
      </c>
      <c r="I8990" s="4" t="n">
        <v>4</v>
      </c>
      <c r="J8990" s="4" t="n">
        <f aca="false">LEN(E8990)-LEN(SUBSTITUTE(E8990,",",""))+1</f>
        <v>4</v>
      </c>
      <c r="K8990" s="3" t="str">
        <f aca="false">IFERROR(INDEX('Teacher Lookup'!$B$2:$B$200,MATCH(A8990,'Teacher Lookup'!$A$2:$A$200,0)),"")</f>
        <v>IP Sophie</v>
      </c>
    </row>
    <row r="8991" customFormat="false" ht="15" hidden="false" customHeight="false" outlineLevel="0" collapsed="false">
      <c r="A8991" s="3" t="s">
        <v>501</v>
      </c>
      <c r="B8991" s="4" t="s">
        <v>60</v>
      </c>
      <c r="C8991" s="4" t="n">
        <v>3</v>
      </c>
      <c r="D8991" s="4" t="s">
        <v>132</v>
      </c>
      <c r="E8991" s="3" t="s">
        <v>293</v>
      </c>
      <c r="F8991" s="4" t="str">
        <f aca="false">IF(I8991&gt;J8991,"Y","N")</f>
        <v>N</v>
      </c>
      <c r="G8991" s="3" t="s">
        <v>164</v>
      </c>
      <c r="H8991" s="3" t="s">
        <v>26</v>
      </c>
      <c r="I8991" s="4" t="n">
        <v>1</v>
      </c>
      <c r="J8991" s="4" t="n">
        <f aca="false">LEN(E8991)-LEN(SUBSTITUTE(E8991,",",""))+1</f>
        <v>1</v>
      </c>
      <c r="K8991" s="3" t="str">
        <f aca="false">IFERROR(INDEX('Teacher Lookup'!$B$2:$B$200,MATCH(A8991,'Teacher Lookup'!$A$2:$A$200,0)),"")</f>
        <v>IP Sophie</v>
      </c>
    </row>
    <row r="8992" customFormat="false" ht="15" hidden="false" customHeight="false" outlineLevel="0" collapsed="false">
      <c r="A8992" s="3" t="s">
        <v>501</v>
      </c>
      <c r="B8992" s="4" t="s">
        <v>60</v>
      </c>
      <c r="C8992" s="4" t="n">
        <v>5</v>
      </c>
      <c r="D8992" s="4" t="s">
        <v>137</v>
      </c>
      <c r="E8992" s="3" t="s">
        <v>185</v>
      </c>
      <c r="F8992" s="4" t="str">
        <f aca="false">IF(I8992&gt;J8992,"Y","N")</f>
        <v>Y</v>
      </c>
      <c r="G8992" s="3" t="s">
        <v>36</v>
      </c>
      <c r="H8992" s="3" t="s">
        <v>37</v>
      </c>
      <c r="I8992" s="4" t="n">
        <v>21</v>
      </c>
      <c r="J8992" s="4" t="n">
        <f aca="false">LEN(E8992)-LEN(SUBSTITUTE(E8992,",",""))+1</f>
        <v>7</v>
      </c>
      <c r="K8992" s="3" t="str">
        <f aca="false">IFERROR(INDEX('Teacher Lookup'!$B$2:$B$200,MATCH(A8992,'Teacher Lookup'!$A$2:$A$200,0)),"")</f>
        <v>IP Sophie</v>
      </c>
    </row>
    <row r="8993" customFormat="false" ht="15" hidden="false" customHeight="false" outlineLevel="0" collapsed="false">
      <c r="A8993" s="3" t="s">
        <v>501</v>
      </c>
      <c r="B8993" s="4" t="s">
        <v>60</v>
      </c>
      <c r="C8993" s="4" t="n">
        <v>5</v>
      </c>
      <c r="D8993" s="4" t="s">
        <v>124</v>
      </c>
      <c r="E8993" s="3" t="s">
        <v>185</v>
      </c>
      <c r="F8993" s="4" t="str">
        <f aca="false">IF(I8993&gt;J8993,"Y","N")</f>
        <v>Y</v>
      </c>
      <c r="G8993" s="3" t="s">
        <v>36</v>
      </c>
      <c r="H8993" s="3" t="s">
        <v>37</v>
      </c>
      <c r="I8993" s="4" t="n">
        <v>21</v>
      </c>
      <c r="J8993" s="4" t="n">
        <f aca="false">LEN(E8993)-LEN(SUBSTITUTE(E8993,",",""))+1</f>
        <v>7</v>
      </c>
      <c r="K8993" s="3" t="str">
        <f aca="false">IFERROR(INDEX('Teacher Lookup'!$B$2:$B$200,MATCH(A8993,'Teacher Lookup'!$A$2:$A$200,0)),"")</f>
        <v>IP Sophie</v>
      </c>
    </row>
    <row r="8994" customFormat="false" ht="15" hidden="false" customHeight="false" outlineLevel="0" collapsed="false">
      <c r="A8994" s="3" t="s">
        <v>501</v>
      </c>
      <c r="B8994" s="4" t="s">
        <v>60</v>
      </c>
      <c r="C8994" s="4" t="n">
        <v>5</v>
      </c>
      <c r="D8994" s="4" t="s">
        <v>139</v>
      </c>
      <c r="E8994" s="3" t="s">
        <v>185</v>
      </c>
      <c r="F8994" s="4" t="str">
        <f aca="false">IF(I8994&gt;J8994,"Y","N")</f>
        <v>Y</v>
      </c>
      <c r="G8994" s="3" t="s">
        <v>36</v>
      </c>
      <c r="H8994" s="3" t="s">
        <v>37</v>
      </c>
      <c r="I8994" s="4" t="n">
        <v>21</v>
      </c>
      <c r="J8994" s="4" t="n">
        <f aca="false">LEN(E8994)-LEN(SUBSTITUTE(E8994,",",""))+1</f>
        <v>7</v>
      </c>
      <c r="K8994" s="3" t="str">
        <f aca="false">IFERROR(INDEX('Teacher Lookup'!$B$2:$B$200,MATCH(A8994,'Teacher Lookup'!$A$2:$A$200,0)),"")</f>
        <v>IP Sophie</v>
      </c>
    </row>
    <row r="8995" customFormat="false" ht="15" hidden="false" customHeight="false" outlineLevel="0" collapsed="false">
      <c r="A8995" s="3" t="s">
        <v>501</v>
      </c>
      <c r="B8995" s="4" t="s">
        <v>60</v>
      </c>
      <c r="C8995" s="4" t="n">
        <v>5</v>
      </c>
      <c r="D8995" s="4" t="s">
        <v>140</v>
      </c>
      <c r="E8995" s="3" t="s">
        <v>185</v>
      </c>
      <c r="F8995" s="4" t="str">
        <f aca="false">IF(I8995&gt;J8995,"Y","N")</f>
        <v>Y</v>
      </c>
      <c r="G8995" s="3" t="s">
        <v>36</v>
      </c>
      <c r="H8995" s="3" t="s">
        <v>37</v>
      </c>
      <c r="I8995" s="4" t="n">
        <v>21</v>
      </c>
      <c r="J8995" s="4" t="n">
        <f aca="false">LEN(E8995)-LEN(SUBSTITUTE(E8995,",",""))+1</f>
        <v>7</v>
      </c>
      <c r="K8995" s="3" t="str">
        <f aca="false">IFERROR(INDEX('Teacher Lookup'!$B$2:$B$200,MATCH(A8995,'Teacher Lookup'!$A$2:$A$200,0)),"")</f>
        <v>IP Sophie</v>
      </c>
    </row>
    <row r="8996" customFormat="false" ht="15" hidden="false" customHeight="false" outlineLevel="0" collapsed="false">
      <c r="A8996" s="3" t="s">
        <v>501</v>
      </c>
      <c r="B8996" s="4" t="s">
        <v>60</v>
      </c>
      <c r="C8996" s="4" t="n">
        <v>5</v>
      </c>
      <c r="D8996" s="4" t="s">
        <v>142</v>
      </c>
      <c r="E8996" s="3" t="s">
        <v>185</v>
      </c>
      <c r="F8996" s="4" t="str">
        <f aca="false">IF(I8996&gt;J8996,"Y","N")</f>
        <v>Y</v>
      </c>
      <c r="G8996" s="3" t="s">
        <v>36</v>
      </c>
      <c r="H8996" s="3" t="s">
        <v>37</v>
      </c>
      <c r="I8996" s="4" t="n">
        <v>21</v>
      </c>
      <c r="J8996" s="4" t="n">
        <f aca="false">LEN(E8996)-LEN(SUBSTITUTE(E8996,",",""))+1</f>
        <v>7</v>
      </c>
      <c r="K8996" s="3" t="str">
        <f aca="false">IFERROR(INDEX('Teacher Lookup'!$B$2:$B$200,MATCH(A8996,'Teacher Lookup'!$A$2:$A$200,0)),"")</f>
        <v>IP Sophie</v>
      </c>
    </row>
    <row r="8997" customFormat="false" ht="15" hidden="false" customHeight="false" outlineLevel="0" collapsed="false">
      <c r="A8997" s="3" t="s">
        <v>501</v>
      </c>
      <c r="B8997" s="4" t="s">
        <v>60</v>
      </c>
      <c r="C8997" s="4" t="n">
        <v>5</v>
      </c>
      <c r="D8997" s="4" t="s">
        <v>127</v>
      </c>
      <c r="E8997" s="3" t="s">
        <v>185</v>
      </c>
      <c r="F8997" s="4" t="str">
        <f aca="false">IF(I8997&gt;J8997,"Y","N")</f>
        <v>Y</v>
      </c>
      <c r="G8997" s="3" t="s">
        <v>36</v>
      </c>
      <c r="H8997" s="3" t="s">
        <v>37</v>
      </c>
      <c r="I8997" s="4" t="n">
        <v>21</v>
      </c>
      <c r="J8997" s="4" t="n">
        <f aca="false">LEN(E8997)-LEN(SUBSTITUTE(E8997,",",""))+1</f>
        <v>7</v>
      </c>
      <c r="K8997" s="3" t="str">
        <f aca="false">IFERROR(INDEX('Teacher Lookup'!$B$2:$B$200,MATCH(A8997,'Teacher Lookup'!$A$2:$A$200,0)),"")</f>
        <v>IP Sophie</v>
      </c>
    </row>
    <row r="8998" customFormat="false" ht="15" hidden="false" customHeight="false" outlineLevel="0" collapsed="false">
      <c r="A8998" s="3" t="s">
        <v>501</v>
      </c>
      <c r="B8998" s="4" t="s">
        <v>60</v>
      </c>
      <c r="C8998" s="4" t="n">
        <v>6</v>
      </c>
      <c r="D8998" s="4" t="s">
        <v>105</v>
      </c>
      <c r="E8998" s="3" t="s">
        <v>265</v>
      </c>
      <c r="F8998" s="4" t="str">
        <f aca="false">IF(I8998&gt;J8998,"Y","N")</f>
        <v>N</v>
      </c>
      <c r="G8998" s="3" t="s">
        <v>164</v>
      </c>
      <c r="H8998" s="3" t="s">
        <v>42</v>
      </c>
      <c r="I8998" s="4" t="n">
        <v>3</v>
      </c>
      <c r="J8998" s="4" t="n">
        <f aca="false">LEN(E8998)-LEN(SUBSTITUTE(E8998,",",""))+1</f>
        <v>3</v>
      </c>
      <c r="K8998" s="3" t="str">
        <f aca="false">IFERROR(INDEX('Teacher Lookup'!$B$2:$B$200,MATCH(A8998,'Teacher Lookup'!$A$2:$A$200,0)),"")</f>
        <v>IP Sophie</v>
      </c>
    </row>
    <row r="8999" customFormat="false" ht="15" hidden="false" customHeight="false" outlineLevel="0" collapsed="false">
      <c r="A8999" s="3" t="s">
        <v>501</v>
      </c>
      <c r="B8999" s="4" t="s">
        <v>60</v>
      </c>
      <c r="C8999" s="4" t="n">
        <v>6</v>
      </c>
      <c r="D8999" s="4" t="s">
        <v>106</v>
      </c>
      <c r="E8999" s="3" t="s">
        <v>265</v>
      </c>
      <c r="F8999" s="4" t="str">
        <f aca="false">IF(I8999&gt;J8999,"Y","N")</f>
        <v>N</v>
      </c>
      <c r="G8999" s="3" t="s">
        <v>164</v>
      </c>
      <c r="H8999" s="3" t="s">
        <v>42</v>
      </c>
      <c r="I8999" s="4" t="n">
        <v>3</v>
      </c>
      <c r="J8999" s="4" t="n">
        <f aca="false">LEN(E8999)-LEN(SUBSTITUTE(E8999,",",""))+1</f>
        <v>3</v>
      </c>
      <c r="K8999" s="3" t="str">
        <f aca="false">IFERROR(INDEX('Teacher Lookup'!$B$2:$B$200,MATCH(A8999,'Teacher Lookup'!$A$2:$A$200,0)),"")</f>
        <v>IP Sophie</v>
      </c>
    </row>
    <row r="9000" customFormat="false" ht="15" hidden="false" customHeight="false" outlineLevel="0" collapsed="false">
      <c r="A9000" s="3" t="s">
        <v>501</v>
      </c>
      <c r="B9000" s="4" t="s">
        <v>60</v>
      </c>
      <c r="C9000" s="4" t="n">
        <v>7</v>
      </c>
      <c r="D9000" s="4" t="s">
        <v>105</v>
      </c>
      <c r="E9000" s="3" t="s">
        <v>265</v>
      </c>
      <c r="F9000" s="4" t="str">
        <f aca="false">IF(I9000&gt;J9000,"Y","N")</f>
        <v>N</v>
      </c>
      <c r="G9000" s="3" t="s">
        <v>164</v>
      </c>
      <c r="H9000" s="3" t="s">
        <v>39</v>
      </c>
      <c r="I9000" s="4" t="n">
        <v>3</v>
      </c>
      <c r="J9000" s="4" t="n">
        <f aca="false">LEN(E9000)-LEN(SUBSTITUTE(E9000,",",""))+1</f>
        <v>3</v>
      </c>
      <c r="K9000" s="3" t="str">
        <f aca="false">IFERROR(INDEX('Teacher Lookup'!$B$2:$B$200,MATCH(A9000,'Teacher Lookup'!$A$2:$A$200,0)),"")</f>
        <v>IP Sophie</v>
      </c>
    </row>
    <row r="9001" customFormat="false" ht="15" hidden="false" customHeight="false" outlineLevel="0" collapsed="false">
      <c r="A9001" s="3" t="s">
        <v>501</v>
      </c>
      <c r="B9001" s="4" t="s">
        <v>60</v>
      </c>
      <c r="C9001" s="4" t="n">
        <v>7</v>
      </c>
      <c r="D9001" s="4" t="s">
        <v>106</v>
      </c>
      <c r="E9001" s="3" t="s">
        <v>265</v>
      </c>
      <c r="F9001" s="4" t="str">
        <f aca="false">IF(I9001&gt;J9001,"Y","N")</f>
        <v>N</v>
      </c>
      <c r="G9001" s="3" t="s">
        <v>164</v>
      </c>
      <c r="H9001" s="3" t="s">
        <v>39</v>
      </c>
      <c r="I9001" s="4" t="n">
        <v>3</v>
      </c>
      <c r="J9001" s="4" t="n">
        <f aca="false">LEN(E9001)-LEN(SUBSTITUTE(E9001,",",""))+1</f>
        <v>3</v>
      </c>
      <c r="K9001" s="3" t="str">
        <f aca="false">IFERROR(INDEX('Teacher Lookup'!$B$2:$B$200,MATCH(A9001,'Teacher Lookup'!$A$2:$A$200,0)),"")</f>
        <v>IP Sophie</v>
      </c>
    </row>
    <row r="9002" customFormat="false" ht="15" hidden="false" customHeight="false" outlineLevel="0" collapsed="false">
      <c r="A9002" s="3" t="s">
        <v>501</v>
      </c>
      <c r="B9002" s="4" t="s">
        <v>63</v>
      </c>
      <c r="C9002" s="4" t="n">
        <v>1</v>
      </c>
      <c r="D9002" s="4" t="s">
        <v>57</v>
      </c>
      <c r="E9002" s="3" t="s">
        <v>179</v>
      </c>
      <c r="F9002" s="4" t="str">
        <f aca="false">IF(I9002&gt;J9002,"Y","N")</f>
        <v>N</v>
      </c>
      <c r="G9002" s="3" t="s">
        <v>164</v>
      </c>
      <c r="H9002" s="3" t="s">
        <v>16</v>
      </c>
      <c r="I9002" s="4" t="n">
        <v>4</v>
      </c>
      <c r="J9002" s="4" t="n">
        <f aca="false">LEN(E9002)-LEN(SUBSTITUTE(E9002,",",""))+1</f>
        <v>4</v>
      </c>
      <c r="K9002" s="3" t="str">
        <f aca="false">IFERROR(INDEX('Teacher Lookup'!$B$2:$B$200,MATCH(A9002,'Teacher Lookup'!$A$2:$A$200,0)),"")</f>
        <v>IP Sophie</v>
      </c>
    </row>
    <row r="9003" customFormat="false" ht="15" hidden="false" customHeight="false" outlineLevel="0" collapsed="false">
      <c r="A9003" s="3" t="s">
        <v>501</v>
      </c>
      <c r="B9003" s="4" t="s">
        <v>63</v>
      </c>
      <c r="C9003" s="4" t="n">
        <v>1</v>
      </c>
      <c r="D9003" s="4" t="s">
        <v>58</v>
      </c>
      <c r="E9003" s="3" t="s">
        <v>179</v>
      </c>
      <c r="F9003" s="4" t="str">
        <f aca="false">IF(I9003&gt;J9003,"Y","N")</f>
        <v>N</v>
      </c>
      <c r="G9003" s="3" t="s">
        <v>164</v>
      </c>
      <c r="H9003" s="3" t="s">
        <v>16</v>
      </c>
      <c r="I9003" s="4" t="n">
        <v>4</v>
      </c>
      <c r="J9003" s="4" t="n">
        <f aca="false">LEN(E9003)-LEN(SUBSTITUTE(E9003,",",""))+1</f>
        <v>4</v>
      </c>
      <c r="K9003" s="3" t="str">
        <f aca="false">IFERROR(INDEX('Teacher Lookup'!$B$2:$B$200,MATCH(A9003,'Teacher Lookup'!$A$2:$A$200,0)),"")</f>
        <v>IP Sophie</v>
      </c>
    </row>
    <row r="9004" customFormat="false" ht="15" hidden="false" customHeight="false" outlineLevel="0" collapsed="false">
      <c r="A9004" s="3" t="s">
        <v>501</v>
      </c>
      <c r="B9004" s="4" t="s">
        <v>63</v>
      </c>
      <c r="C9004" s="4" t="n">
        <v>1</v>
      </c>
      <c r="D9004" s="4" t="s">
        <v>59</v>
      </c>
      <c r="E9004" s="3" t="s">
        <v>179</v>
      </c>
      <c r="F9004" s="4" t="str">
        <f aca="false">IF(I9004&gt;J9004,"Y","N")</f>
        <v>N</v>
      </c>
      <c r="G9004" s="3" t="s">
        <v>164</v>
      </c>
      <c r="H9004" s="3" t="s">
        <v>16</v>
      </c>
      <c r="I9004" s="4" t="n">
        <v>4</v>
      </c>
      <c r="J9004" s="4" t="n">
        <f aca="false">LEN(E9004)-LEN(SUBSTITUTE(E9004,",",""))+1</f>
        <v>4</v>
      </c>
      <c r="K9004" s="3" t="str">
        <f aca="false">IFERROR(INDEX('Teacher Lookup'!$B$2:$B$200,MATCH(A9004,'Teacher Lookup'!$A$2:$A$200,0)),"")</f>
        <v>IP Sophie</v>
      </c>
    </row>
    <row r="9005" customFormat="false" ht="15" hidden="false" customHeight="false" outlineLevel="0" collapsed="false">
      <c r="A9005" s="3" t="s">
        <v>501</v>
      </c>
      <c r="B9005" s="4" t="s">
        <v>63</v>
      </c>
      <c r="C9005" s="4" t="n">
        <v>2</v>
      </c>
      <c r="D9005" s="4" t="s">
        <v>57</v>
      </c>
      <c r="E9005" s="3" t="s">
        <v>179</v>
      </c>
      <c r="F9005" s="4" t="str">
        <f aca="false">IF(I9005&gt;J9005,"Y","N")</f>
        <v>N</v>
      </c>
      <c r="G9005" s="3" t="s">
        <v>164</v>
      </c>
      <c r="H9005" s="3" t="s">
        <v>21</v>
      </c>
      <c r="I9005" s="4" t="n">
        <v>4</v>
      </c>
      <c r="J9005" s="4" t="n">
        <f aca="false">LEN(E9005)-LEN(SUBSTITUTE(E9005,",",""))+1</f>
        <v>4</v>
      </c>
      <c r="K9005" s="3" t="str">
        <f aca="false">IFERROR(INDEX('Teacher Lookup'!$B$2:$B$200,MATCH(A9005,'Teacher Lookup'!$A$2:$A$200,0)),"")</f>
        <v>IP Sophie</v>
      </c>
    </row>
    <row r="9006" customFormat="false" ht="15" hidden="false" customHeight="false" outlineLevel="0" collapsed="false">
      <c r="A9006" s="3" t="s">
        <v>501</v>
      </c>
      <c r="B9006" s="4" t="s">
        <v>63</v>
      </c>
      <c r="C9006" s="4" t="n">
        <v>2</v>
      </c>
      <c r="D9006" s="4" t="s">
        <v>58</v>
      </c>
      <c r="E9006" s="3" t="s">
        <v>179</v>
      </c>
      <c r="F9006" s="4" t="str">
        <f aca="false">IF(I9006&gt;J9006,"Y","N")</f>
        <v>N</v>
      </c>
      <c r="G9006" s="3" t="s">
        <v>164</v>
      </c>
      <c r="H9006" s="3" t="s">
        <v>21</v>
      </c>
      <c r="I9006" s="4" t="n">
        <v>4</v>
      </c>
      <c r="J9006" s="4" t="n">
        <f aca="false">LEN(E9006)-LEN(SUBSTITUTE(E9006,",",""))+1</f>
        <v>4</v>
      </c>
      <c r="K9006" s="3" t="str">
        <f aca="false">IFERROR(INDEX('Teacher Lookup'!$B$2:$B$200,MATCH(A9006,'Teacher Lookup'!$A$2:$A$200,0)),"")</f>
        <v>IP Sophie</v>
      </c>
    </row>
    <row r="9007" customFormat="false" ht="15" hidden="false" customHeight="false" outlineLevel="0" collapsed="false">
      <c r="A9007" s="3" t="s">
        <v>501</v>
      </c>
      <c r="B9007" s="4" t="s">
        <v>63</v>
      </c>
      <c r="C9007" s="4" t="n">
        <v>2</v>
      </c>
      <c r="D9007" s="4" t="s">
        <v>59</v>
      </c>
      <c r="E9007" s="3" t="s">
        <v>179</v>
      </c>
      <c r="F9007" s="4" t="str">
        <f aca="false">IF(I9007&gt;J9007,"Y","N")</f>
        <v>N</v>
      </c>
      <c r="G9007" s="3" t="s">
        <v>164</v>
      </c>
      <c r="H9007" s="3" t="s">
        <v>21</v>
      </c>
      <c r="I9007" s="4" t="n">
        <v>4</v>
      </c>
      <c r="J9007" s="4" t="n">
        <f aca="false">LEN(E9007)-LEN(SUBSTITUTE(E9007,",",""))+1</f>
        <v>4</v>
      </c>
      <c r="K9007" s="3" t="str">
        <f aca="false">IFERROR(INDEX('Teacher Lookup'!$B$2:$B$200,MATCH(A9007,'Teacher Lookup'!$A$2:$A$200,0)),"")</f>
        <v>IP Sophie</v>
      </c>
    </row>
    <row r="9008" customFormat="false" ht="15" hidden="false" customHeight="false" outlineLevel="0" collapsed="false">
      <c r="A9008" s="3" t="s">
        <v>501</v>
      </c>
      <c r="B9008" s="4" t="s">
        <v>63</v>
      </c>
      <c r="C9008" s="4" t="n">
        <v>4</v>
      </c>
      <c r="D9008" s="4" t="s">
        <v>132</v>
      </c>
      <c r="E9008" s="3" t="s">
        <v>293</v>
      </c>
      <c r="F9008" s="4" t="str">
        <f aca="false">IF(I9008&gt;J9008,"Y","N")</f>
        <v>N</v>
      </c>
      <c r="G9008" s="3" t="s">
        <v>164</v>
      </c>
      <c r="H9008" s="3" t="s">
        <v>34</v>
      </c>
      <c r="I9008" s="4" t="n">
        <v>1</v>
      </c>
      <c r="J9008" s="4" t="n">
        <f aca="false">LEN(E9008)-LEN(SUBSTITUTE(E9008,",",""))+1</f>
        <v>1</v>
      </c>
      <c r="K9008" s="3" t="str">
        <f aca="false">IFERROR(INDEX('Teacher Lookup'!$B$2:$B$200,MATCH(A9008,'Teacher Lookup'!$A$2:$A$200,0)),"")</f>
        <v>IP Sophie</v>
      </c>
    </row>
    <row r="9009" customFormat="false" ht="15" hidden="false" customHeight="false" outlineLevel="0" collapsed="false">
      <c r="A9009" s="3" t="s">
        <v>501</v>
      </c>
      <c r="B9009" s="4" t="s">
        <v>63</v>
      </c>
      <c r="C9009" s="4" t="n">
        <v>5</v>
      </c>
      <c r="D9009" s="4" t="s">
        <v>132</v>
      </c>
      <c r="E9009" s="3" t="s">
        <v>293</v>
      </c>
      <c r="F9009" s="4" t="str">
        <f aca="false">IF(I9009&gt;J9009,"Y","N")</f>
        <v>N</v>
      </c>
      <c r="G9009" s="3" t="s">
        <v>164</v>
      </c>
      <c r="H9009" s="3" t="s">
        <v>37</v>
      </c>
      <c r="I9009" s="4" t="n">
        <v>1</v>
      </c>
      <c r="J9009" s="4" t="n">
        <f aca="false">LEN(E9009)-LEN(SUBSTITUTE(E9009,",",""))+1</f>
        <v>1</v>
      </c>
      <c r="K9009" s="3" t="str">
        <f aca="false">IFERROR(INDEX('Teacher Lookup'!$B$2:$B$200,MATCH(A9009,'Teacher Lookup'!$A$2:$A$200,0)),"")</f>
        <v>IP Sophie</v>
      </c>
    </row>
    <row r="9010" customFormat="false" ht="15" hidden="false" customHeight="false" outlineLevel="0" collapsed="false">
      <c r="A9010" s="3" t="s">
        <v>501</v>
      </c>
      <c r="B9010" s="4" t="s">
        <v>63</v>
      </c>
      <c r="C9010" s="4" t="n">
        <v>6</v>
      </c>
      <c r="D9010" s="4" t="s">
        <v>105</v>
      </c>
      <c r="E9010" s="3" t="s">
        <v>267</v>
      </c>
      <c r="F9010" s="4" t="str">
        <f aca="false">IF(I9010&gt;J9010,"Y","N")</f>
        <v>N</v>
      </c>
      <c r="G9010" s="3" t="s">
        <v>164</v>
      </c>
      <c r="H9010" s="3" t="s">
        <v>42</v>
      </c>
      <c r="I9010" s="4" t="n">
        <v>3</v>
      </c>
      <c r="J9010" s="4" t="n">
        <f aca="false">LEN(E9010)-LEN(SUBSTITUTE(E9010,",",""))+1</f>
        <v>3</v>
      </c>
      <c r="K9010" s="3" t="str">
        <f aca="false">IFERROR(INDEX('Teacher Lookup'!$B$2:$B$200,MATCH(A9010,'Teacher Lookup'!$A$2:$A$200,0)),"")</f>
        <v>IP Sophie</v>
      </c>
    </row>
    <row r="9011" customFormat="false" ht="15" hidden="false" customHeight="false" outlineLevel="0" collapsed="false">
      <c r="A9011" s="3" t="s">
        <v>501</v>
      </c>
      <c r="B9011" s="4" t="s">
        <v>63</v>
      </c>
      <c r="C9011" s="4" t="n">
        <v>6</v>
      </c>
      <c r="D9011" s="4" t="s">
        <v>106</v>
      </c>
      <c r="E9011" s="3" t="s">
        <v>267</v>
      </c>
      <c r="F9011" s="4" t="str">
        <f aca="false">IF(I9011&gt;J9011,"Y","N")</f>
        <v>N</v>
      </c>
      <c r="G9011" s="3" t="s">
        <v>164</v>
      </c>
      <c r="H9011" s="3" t="s">
        <v>42</v>
      </c>
      <c r="I9011" s="4" t="n">
        <v>3</v>
      </c>
      <c r="J9011" s="4" t="n">
        <f aca="false">LEN(E9011)-LEN(SUBSTITUTE(E9011,",",""))+1</f>
        <v>3</v>
      </c>
      <c r="K9011" s="3" t="str">
        <f aca="false">IFERROR(INDEX('Teacher Lookup'!$B$2:$B$200,MATCH(A9011,'Teacher Lookup'!$A$2:$A$200,0)),"")</f>
        <v>IP Sophie</v>
      </c>
    </row>
    <row r="9012" customFormat="false" ht="15" hidden="false" customHeight="false" outlineLevel="0" collapsed="false">
      <c r="A9012" s="3" t="s">
        <v>501</v>
      </c>
      <c r="B9012" s="4" t="s">
        <v>65</v>
      </c>
      <c r="C9012" s="4" t="n">
        <v>5</v>
      </c>
      <c r="D9012" s="4" t="s">
        <v>137</v>
      </c>
      <c r="E9012" s="3" t="s">
        <v>185</v>
      </c>
      <c r="F9012" s="4" t="str">
        <f aca="false">IF(I9012&gt;J9012,"Y","N")</f>
        <v>Y</v>
      </c>
      <c r="G9012" s="3" t="s">
        <v>36</v>
      </c>
      <c r="H9012" s="3" t="s">
        <v>37</v>
      </c>
      <c r="I9012" s="4" t="n">
        <v>21</v>
      </c>
      <c r="J9012" s="4" t="n">
        <f aca="false">LEN(E9012)-LEN(SUBSTITUTE(E9012,",",""))+1</f>
        <v>7</v>
      </c>
      <c r="K9012" s="3" t="str">
        <f aca="false">IFERROR(INDEX('Teacher Lookup'!$B$2:$B$200,MATCH(A9012,'Teacher Lookup'!$A$2:$A$200,0)),"")</f>
        <v>IP Sophie</v>
      </c>
    </row>
    <row r="9013" customFormat="false" ht="15" hidden="false" customHeight="false" outlineLevel="0" collapsed="false">
      <c r="A9013" s="3" t="s">
        <v>501</v>
      </c>
      <c r="B9013" s="4" t="s">
        <v>65</v>
      </c>
      <c r="C9013" s="4" t="n">
        <v>5</v>
      </c>
      <c r="D9013" s="4" t="s">
        <v>124</v>
      </c>
      <c r="E9013" s="3" t="s">
        <v>185</v>
      </c>
      <c r="F9013" s="4" t="str">
        <f aca="false">IF(I9013&gt;J9013,"Y","N")</f>
        <v>Y</v>
      </c>
      <c r="G9013" s="3" t="s">
        <v>36</v>
      </c>
      <c r="H9013" s="3" t="s">
        <v>37</v>
      </c>
      <c r="I9013" s="4" t="n">
        <v>21</v>
      </c>
      <c r="J9013" s="4" t="n">
        <f aca="false">LEN(E9013)-LEN(SUBSTITUTE(E9013,",",""))+1</f>
        <v>7</v>
      </c>
      <c r="K9013" s="3" t="str">
        <f aca="false">IFERROR(INDEX('Teacher Lookup'!$B$2:$B$200,MATCH(A9013,'Teacher Lookup'!$A$2:$A$200,0)),"")</f>
        <v>IP Sophie</v>
      </c>
    </row>
    <row r="9014" customFormat="false" ht="15" hidden="false" customHeight="false" outlineLevel="0" collapsed="false">
      <c r="A9014" s="3" t="s">
        <v>501</v>
      </c>
      <c r="B9014" s="4" t="s">
        <v>65</v>
      </c>
      <c r="C9014" s="4" t="n">
        <v>5</v>
      </c>
      <c r="D9014" s="4" t="s">
        <v>139</v>
      </c>
      <c r="E9014" s="3" t="s">
        <v>185</v>
      </c>
      <c r="F9014" s="4" t="str">
        <f aca="false">IF(I9014&gt;J9014,"Y","N")</f>
        <v>Y</v>
      </c>
      <c r="G9014" s="3" t="s">
        <v>36</v>
      </c>
      <c r="H9014" s="3" t="s">
        <v>37</v>
      </c>
      <c r="I9014" s="4" t="n">
        <v>21</v>
      </c>
      <c r="J9014" s="4" t="n">
        <f aca="false">LEN(E9014)-LEN(SUBSTITUTE(E9014,",",""))+1</f>
        <v>7</v>
      </c>
      <c r="K9014" s="3" t="str">
        <f aca="false">IFERROR(INDEX('Teacher Lookup'!$B$2:$B$200,MATCH(A9014,'Teacher Lookup'!$A$2:$A$200,0)),"")</f>
        <v>IP Sophie</v>
      </c>
    </row>
    <row r="9015" customFormat="false" ht="15" hidden="false" customHeight="false" outlineLevel="0" collapsed="false">
      <c r="A9015" s="3" t="s">
        <v>501</v>
      </c>
      <c r="B9015" s="4" t="s">
        <v>65</v>
      </c>
      <c r="C9015" s="4" t="n">
        <v>5</v>
      </c>
      <c r="D9015" s="4" t="s">
        <v>140</v>
      </c>
      <c r="E9015" s="3" t="s">
        <v>185</v>
      </c>
      <c r="F9015" s="4" t="str">
        <f aca="false">IF(I9015&gt;J9015,"Y","N")</f>
        <v>Y</v>
      </c>
      <c r="G9015" s="3" t="s">
        <v>36</v>
      </c>
      <c r="H9015" s="3" t="s">
        <v>37</v>
      </c>
      <c r="I9015" s="4" t="n">
        <v>21</v>
      </c>
      <c r="J9015" s="4" t="n">
        <f aca="false">LEN(E9015)-LEN(SUBSTITUTE(E9015,",",""))+1</f>
        <v>7</v>
      </c>
      <c r="K9015" s="3" t="str">
        <f aca="false">IFERROR(INDEX('Teacher Lookup'!$B$2:$B$200,MATCH(A9015,'Teacher Lookup'!$A$2:$A$200,0)),"")</f>
        <v>IP Sophie</v>
      </c>
    </row>
    <row r="9016" customFormat="false" ht="15" hidden="false" customHeight="false" outlineLevel="0" collapsed="false">
      <c r="A9016" s="3" t="s">
        <v>501</v>
      </c>
      <c r="B9016" s="4" t="s">
        <v>65</v>
      </c>
      <c r="C9016" s="4" t="n">
        <v>5</v>
      </c>
      <c r="D9016" s="4" t="s">
        <v>142</v>
      </c>
      <c r="E9016" s="3" t="s">
        <v>185</v>
      </c>
      <c r="F9016" s="4" t="str">
        <f aca="false">IF(I9016&gt;J9016,"Y","N")</f>
        <v>Y</v>
      </c>
      <c r="G9016" s="3" t="s">
        <v>36</v>
      </c>
      <c r="H9016" s="3" t="s">
        <v>37</v>
      </c>
      <c r="I9016" s="4" t="n">
        <v>21</v>
      </c>
      <c r="J9016" s="4" t="n">
        <f aca="false">LEN(E9016)-LEN(SUBSTITUTE(E9016,",",""))+1</f>
        <v>7</v>
      </c>
      <c r="K9016" s="3" t="str">
        <f aca="false">IFERROR(INDEX('Teacher Lookup'!$B$2:$B$200,MATCH(A9016,'Teacher Lookup'!$A$2:$A$200,0)),"")</f>
        <v>IP Sophie</v>
      </c>
    </row>
    <row r="9017" customFormat="false" ht="15" hidden="false" customHeight="false" outlineLevel="0" collapsed="false">
      <c r="A9017" s="3" t="s">
        <v>501</v>
      </c>
      <c r="B9017" s="4" t="s">
        <v>65</v>
      </c>
      <c r="C9017" s="4" t="n">
        <v>5</v>
      </c>
      <c r="D9017" s="4" t="s">
        <v>127</v>
      </c>
      <c r="E9017" s="3" t="s">
        <v>185</v>
      </c>
      <c r="F9017" s="4" t="str">
        <f aca="false">IF(I9017&gt;J9017,"Y","N")</f>
        <v>Y</v>
      </c>
      <c r="G9017" s="3" t="s">
        <v>36</v>
      </c>
      <c r="H9017" s="3" t="s">
        <v>37</v>
      </c>
      <c r="I9017" s="4" t="n">
        <v>21</v>
      </c>
      <c r="J9017" s="4" t="n">
        <f aca="false">LEN(E9017)-LEN(SUBSTITUTE(E9017,",",""))+1</f>
        <v>7</v>
      </c>
      <c r="K9017" s="3" t="str">
        <f aca="false">IFERROR(INDEX('Teacher Lookup'!$B$2:$B$200,MATCH(A9017,'Teacher Lookup'!$A$2:$A$200,0)),"")</f>
        <v>IP Sophie</v>
      </c>
    </row>
    <row r="9018" customFormat="false" ht="15" hidden="false" customHeight="false" outlineLevel="0" collapsed="false">
      <c r="A9018" s="3" t="s">
        <v>501</v>
      </c>
      <c r="B9018" s="4" t="s">
        <v>65</v>
      </c>
      <c r="C9018" s="4" t="n">
        <v>6</v>
      </c>
      <c r="D9018" s="4" t="s">
        <v>57</v>
      </c>
      <c r="E9018" s="3" t="s">
        <v>178</v>
      </c>
      <c r="F9018" s="4" t="str">
        <f aca="false">IF(I9018&gt;J9018,"Y","N")</f>
        <v>N</v>
      </c>
      <c r="G9018" s="3" t="s">
        <v>164</v>
      </c>
      <c r="H9018" s="3" t="s">
        <v>42</v>
      </c>
      <c r="I9018" s="4" t="n">
        <v>4</v>
      </c>
      <c r="J9018" s="4" t="n">
        <f aca="false">LEN(E9018)-LEN(SUBSTITUTE(E9018,",",""))+1</f>
        <v>4</v>
      </c>
      <c r="K9018" s="3" t="str">
        <f aca="false">IFERROR(INDEX('Teacher Lookup'!$B$2:$B$200,MATCH(A9018,'Teacher Lookup'!$A$2:$A$200,0)),"")</f>
        <v>IP Sophie</v>
      </c>
    </row>
    <row r="9019" customFormat="false" ht="15" hidden="false" customHeight="false" outlineLevel="0" collapsed="false">
      <c r="A9019" s="3" t="s">
        <v>501</v>
      </c>
      <c r="B9019" s="4" t="s">
        <v>65</v>
      </c>
      <c r="C9019" s="4" t="n">
        <v>6</v>
      </c>
      <c r="D9019" s="4" t="s">
        <v>58</v>
      </c>
      <c r="E9019" s="3" t="s">
        <v>178</v>
      </c>
      <c r="F9019" s="4" t="str">
        <f aca="false">IF(I9019&gt;J9019,"Y","N")</f>
        <v>N</v>
      </c>
      <c r="G9019" s="3" t="s">
        <v>164</v>
      </c>
      <c r="H9019" s="3" t="s">
        <v>42</v>
      </c>
      <c r="I9019" s="4" t="n">
        <v>4</v>
      </c>
      <c r="J9019" s="4" t="n">
        <f aca="false">LEN(E9019)-LEN(SUBSTITUTE(E9019,",",""))+1</f>
        <v>4</v>
      </c>
      <c r="K9019" s="3" t="str">
        <f aca="false">IFERROR(INDEX('Teacher Lookup'!$B$2:$B$200,MATCH(A9019,'Teacher Lookup'!$A$2:$A$200,0)),"")</f>
        <v>IP Sophie</v>
      </c>
    </row>
    <row r="9020" customFormat="false" ht="15" hidden="false" customHeight="false" outlineLevel="0" collapsed="false">
      <c r="A9020" s="3" t="s">
        <v>501</v>
      </c>
      <c r="B9020" s="4" t="s">
        <v>65</v>
      </c>
      <c r="C9020" s="4" t="n">
        <v>6</v>
      </c>
      <c r="D9020" s="4" t="s">
        <v>59</v>
      </c>
      <c r="E9020" s="3" t="s">
        <v>178</v>
      </c>
      <c r="F9020" s="4" t="str">
        <f aca="false">IF(I9020&gt;J9020,"Y","N")</f>
        <v>N</v>
      </c>
      <c r="G9020" s="3" t="s">
        <v>164</v>
      </c>
      <c r="H9020" s="3" t="s">
        <v>42</v>
      </c>
      <c r="I9020" s="4" t="n">
        <v>4</v>
      </c>
      <c r="J9020" s="4" t="n">
        <f aca="false">LEN(E9020)-LEN(SUBSTITUTE(E9020,",",""))+1</f>
        <v>4</v>
      </c>
      <c r="K9020" s="3" t="str">
        <f aca="false">IFERROR(INDEX('Teacher Lookup'!$B$2:$B$200,MATCH(A9020,'Teacher Lookup'!$A$2:$A$200,0)),"")</f>
        <v>IP Sophie</v>
      </c>
    </row>
    <row r="9021" customFormat="false" ht="15" hidden="false" customHeight="false" outlineLevel="0" collapsed="false">
      <c r="A9021" s="3" t="s">
        <v>501</v>
      </c>
      <c r="B9021" s="4" t="s">
        <v>65</v>
      </c>
      <c r="C9021" s="4" t="n">
        <v>7</v>
      </c>
      <c r="D9021" s="4" t="s">
        <v>105</v>
      </c>
      <c r="E9021" s="3" t="s">
        <v>267</v>
      </c>
      <c r="F9021" s="4" t="str">
        <f aca="false">IF(I9021&gt;J9021,"Y","N")</f>
        <v>N</v>
      </c>
      <c r="G9021" s="3" t="s">
        <v>164</v>
      </c>
      <c r="H9021" s="3" t="s">
        <v>39</v>
      </c>
      <c r="I9021" s="4" t="n">
        <v>3</v>
      </c>
      <c r="J9021" s="4" t="n">
        <f aca="false">LEN(E9021)-LEN(SUBSTITUTE(E9021,",",""))+1</f>
        <v>3</v>
      </c>
      <c r="K9021" s="3" t="str">
        <f aca="false">IFERROR(INDEX('Teacher Lookup'!$B$2:$B$200,MATCH(A9021,'Teacher Lookup'!$A$2:$A$200,0)),"")</f>
        <v>IP Sophie</v>
      </c>
    </row>
    <row r="9022" customFormat="false" ht="15" hidden="false" customHeight="false" outlineLevel="0" collapsed="false">
      <c r="A9022" s="3" t="s">
        <v>501</v>
      </c>
      <c r="B9022" s="4" t="s">
        <v>65</v>
      </c>
      <c r="C9022" s="4" t="n">
        <v>7</v>
      </c>
      <c r="D9022" s="4" t="s">
        <v>106</v>
      </c>
      <c r="E9022" s="3" t="s">
        <v>267</v>
      </c>
      <c r="F9022" s="4" t="str">
        <f aca="false">IF(I9022&gt;J9022,"Y","N")</f>
        <v>N</v>
      </c>
      <c r="G9022" s="3" t="s">
        <v>164</v>
      </c>
      <c r="H9022" s="3" t="s">
        <v>39</v>
      </c>
      <c r="I9022" s="4" t="n">
        <v>3</v>
      </c>
      <c r="J9022" s="4" t="n">
        <f aca="false">LEN(E9022)-LEN(SUBSTITUTE(E9022,",",""))+1</f>
        <v>3</v>
      </c>
      <c r="K9022" s="3" t="str">
        <f aca="false">IFERROR(INDEX('Teacher Lookup'!$B$2:$B$200,MATCH(A9022,'Teacher Lookup'!$A$2:$A$200,0)),"")</f>
        <v>IP Sophie</v>
      </c>
    </row>
    <row r="9023" customFormat="false" ht="15" hidden="false" customHeight="false" outlineLevel="0" collapsed="false">
      <c r="A9023" s="3" t="s">
        <v>501</v>
      </c>
      <c r="B9023" s="4" t="s">
        <v>66</v>
      </c>
      <c r="C9023" s="4" t="n">
        <v>2</v>
      </c>
      <c r="D9023" s="4" t="s">
        <v>228</v>
      </c>
      <c r="E9023" s="3" t="s">
        <v>302</v>
      </c>
      <c r="F9023" s="4" t="str">
        <f aca="false">IF(I9023&gt;J9023,"Y","N")</f>
        <v>N</v>
      </c>
      <c r="G9023" s="3" t="s">
        <v>164</v>
      </c>
      <c r="H9023" s="3" t="s">
        <v>21</v>
      </c>
      <c r="I9023" s="4" t="n">
        <v>1</v>
      </c>
      <c r="J9023" s="4" t="n">
        <f aca="false">LEN(E9023)-LEN(SUBSTITUTE(E9023,",",""))+1</f>
        <v>1</v>
      </c>
      <c r="K9023" s="3" t="str">
        <f aca="false">IFERROR(INDEX('Teacher Lookup'!$B$2:$B$200,MATCH(A9023,'Teacher Lookup'!$A$2:$A$200,0)),"")</f>
        <v>IP Sophie</v>
      </c>
    </row>
    <row r="9024" customFormat="false" ht="15" hidden="false" customHeight="false" outlineLevel="0" collapsed="false">
      <c r="A9024" s="3" t="s">
        <v>501</v>
      </c>
      <c r="B9024" s="4" t="s">
        <v>66</v>
      </c>
      <c r="C9024" s="4" t="n">
        <v>3</v>
      </c>
      <c r="D9024" s="4" t="s">
        <v>132</v>
      </c>
      <c r="E9024" s="3" t="s">
        <v>293</v>
      </c>
      <c r="F9024" s="4" t="str">
        <f aca="false">IF(I9024&gt;J9024,"Y","N")</f>
        <v>N</v>
      </c>
      <c r="G9024" s="3" t="s">
        <v>164</v>
      </c>
      <c r="H9024" s="3" t="s">
        <v>26</v>
      </c>
      <c r="I9024" s="4" t="n">
        <v>1</v>
      </c>
      <c r="J9024" s="4" t="n">
        <f aca="false">LEN(E9024)-LEN(SUBSTITUTE(E9024,",",""))+1</f>
        <v>1</v>
      </c>
      <c r="K9024" s="3" t="str">
        <f aca="false">IFERROR(INDEX('Teacher Lookup'!$B$2:$B$200,MATCH(A9024,'Teacher Lookup'!$A$2:$A$200,0)),"")</f>
        <v>IP Sophie</v>
      </c>
    </row>
    <row r="9025" customFormat="false" ht="15" hidden="false" customHeight="false" outlineLevel="0" collapsed="false">
      <c r="A9025" s="3" t="s">
        <v>501</v>
      </c>
      <c r="B9025" s="4" t="s">
        <v>66</v>
      </c>
      <c r="C9025" s="4" t="n">
        <v>4</v>
      </c>
      <c r="D9025" s="4" t="s">
        <v>105</v>
      </c>
      <c r="E9025" s="3" t="s">
        <v>257</v>
      </c>
      <c r="F9025" s="4" t="str">
        <f aca="false">IF(I9025&gt;J9025,"Y","N")</f>
        <v>N</v>
      </c>
      <c r="G9025" s="3" t="s">
        <v>164</v>
      </c>
      <c r="H9025" s="3" t="s">
        <v>34</v>
      </c>
      <c r="I9025" s="4" t="n">
        <v>3</v>
      </c>
      <c r="J9025" s="4" t="n">
        <f aca="false">LEN(E9025)-LEN(SUBSTITUTE(E9025,",",""))+1</f>
        <v>3</v>
      </c>
      <c r="K9025" s="3" t="str">
        <f aca="false">IFERROR(INDEX('Teacher Lookup'!$B$2:$B$200,MATCH(A9025,'Teacher Lookup'!$A$2:$A$200,0)),"")</f>
        <v>IP Sophie</v>
      </c>
    </row>
    <row r="9026" customFormat="false" ht="15" hidden="false" customHeight="false" outlineLevel="0" collapsed="false">
      <c r="A9026" s="3" t="s">
        <v>501</v>
      </c>
      <c r="B9026" s="4" t="s">
        <v>66</v>
      </c>
      <c r="C9026" s="4" t="n">
        <v>4</v>
      </c>
      <c r="D9026" s="4" t="s">
        <v>106</v>
      </c>
      <c r="E9026" s="3" t="s">
        <v>257</v>
      </c>
      <c r="F9026" s="4" t="str">
        <f aca="false">IF(I9026&gt;J9026,"Y","N")</f>
        <v>N</v>
      </c>
      <c r="G9026" s="3" t="s">
        <v>164</v>
      </c>
      <c r="H9026" s="3" t="s">
        <v>34</v>
      </c>
      <c r="I9026" s="4" t="n">
        <v>3</v>
      </c>
      <c r="J9026" s="4" t="n">
        <f aca="false">LEN(E9026)-LEN(SUBSTITUTE(E9026,",",""))+1</f>
        <v>3</v>
      </c>
      <c r="K9026" s="3" t="str">
        <f aca="false">IFERROR(INDEX('Teacher Lookup'!$B$2:$B$200,MATCH(A9026,'Teacher Lookup'!$A$2:$A$200,0)),"")</f>
        <v>IP Sophie</v>
      </c>
    </row>
    <row r="9027" customFormat="false" ht="15" hidden="false" customHeight="false" outlineLevel="0" collapsed="false">
      <c r="A9027" s="3" t="s">
        <v>501</v>
      </c>
      <c r="B9027" s="4" t="s">
        <v>66</v>
      </c>
      <c r="C9027" s="4" t="n">
        <v>7</v>
      </c>
      <c r="D9027" s="4" t="s">
        <v>57</v>
      </c>
      <c r="E9027" s="3" t="s">
        <v>183</v>
      </c>
      <c r="F9027" s="4" t="str">
        <f aca="false">IF(I9027&gt;J9027,"Y","N")</f>
        <v>N</v>
      </c>
      <c r="G9027" s="3" t="s">
        <v>164</v>
      </c>
      <c r="H9027" s="3" t="s">
        <v>39</v>
      </c>
      <c r="I9027" s="4" t="n">
        <v>4</v>
      </c>
      <c r="J9027" s="4" t="n">
        <f aca="false">LEN(E9027)-LEN(SUBSTITUTE(E9027,",",""))+1</f>
        <v>4</v>
      </c>
      <c r="K9027" s="3" t="str">
        <f aca="false">IFERROR(INDEX('Teacher Lookup'!$B$2:$B$200,MATCH(A9027,'Teacher Lookup'!$A$2:$A$200,0)),"")</f>
        <v>IP Sophie</v>
      </c>
    </row>
    <row r="9028" customFormat="false" ht="15" hidden="false" customHeight="false" outlineLevel="0" collapsed="false">
      <c r="A9028" s="3" t="s">
        <v>501</v>
      </c>
      <c r="B9028" s="4" t="s">
        <v>66</v>
      </c>
      <c r="C9028" s="4" t="n">
        <v>7</v>
      </c>
      <c r="D9028" s="4" t="s">
        <v>58</v>
      </c>
      <c r="E9028" s="3" t="s">
        <v>183</v>
      </c>
      <c r="F9028" s="4" t="str">
        <f aca="false">IF(I9028&gt;J9028,"Y","N")</f>
        <v>N</v>
      </c>
      <c r="G9028" s="3" t="s">
        <v>164</v>
      </c>
      <c r="H9028" s="3" t="s">
        <v>39</v>
      </c>
      <c r="I9028" s="4" t="n">
        <v>4</v>
      </c>
      <c r="J9028" s="4" t="n">
        <f aca="false">LEN(E9028)-LEN(SUBSTITUTE(E9028,",",""))+1</f>
        <v>4</v>
      </c>
      <c r="K9028" s="3" t="str">
        <f aca="false">IFERROR(INDEX('Teacher Lookup'!$B$2:$B$200,MATCH(A9028,'Teacher Lookup'!$A$2:$A$200,0)),"")</f>
        <v>IP Sophie</v>
      </c>
    </row>
    <row r="9029" customFormat="false" ht="15" hidden="false" customHeight="false" outlineLevel="0" collapsed="false">
      <c r="A9029" s="3" t="s">
        <v>501</v>
      </c>
      <c r="B9029" s="4" t="s">
        <v>66</v>
      </c>
      <c r="C9029" s="4" t="n">
        <v>7</v>
      </c>
      <c r="D9029" s="4" t="s">
        <v>59</v>
      </c>
      <c r="E9029" s="3" t="s">
        <v>183</v>
      </c>
      <c r="F9029" s="4" t="str">
        <f aca="false">IF(I9029&gt;J9029,"Y","N")</f>
        <v>N</v>
      </c>
      <c r="G9029" s="3" t="s">
        <v>164</v>
      </c>
      <c r="H9029" s="3" t="s">
        <v>39</v>
      </c>
      <c r="I9029" s="4" t="n">
        <v>4</v>
      </c>
      <c r="J9029" s="4" t="n">
        <f aca="false">LEN(E9029)-LEN(SUBSTITUTE(E9029,",",""))+1</f>
        <v>4</v>
      </c>
      <c r="K9029" s="3" t="str">
        <f aca="false">IFERROR(INDEX('Teacher Lookup'!$B$2:$B$200,MATCH(A9029,'Teacher Lookup'!$A$2:$A$200,0)),"")</f>
        <v>IP Sophie</v>
      </c>
    </row>
    <row r="9030" customFormat="false" ht="15" hidden="false" customHeight="false" outlineLevel="0" collapsed="false">
      <c r="A9030" s="3" t="s">
        <v>502</v>
      </c>
      <c r="B9030" s="4" t="s">
        <v>12</v>
      </c>
      <c r="C9030" s="4" t="n">
        <v>1</v>
      </c>
      <c r="D9030" s="4" t="s">
        <v>19</v>
      </c>
      <c r="E9030" s="3" t="s">
        <v>322</v>
      </c>
      <c r="F9030" s="4" t="str">
        <f aca="false">IF(I9030&gt;J9030,"Y","N")</f>
        <v>N</v>
      </c>
      <c r="G9030" s="3" t="s">
        <v>72</v>
      </c>
      <c r="H9030" s="3" t="s">
        <v>16</v>
      </c>
      <c r="I9030" s="4" t="n">
        <v>4</v>
      </c>
      <c r="J9030" s="4" t="n">
        <f aca="false">LEN(E9030)-LEN(SUBSTITUTE(E9030,",",""))+1</f>
        <v>4</v>
      </c>
      <c r="K9030" s="3" t="str">
        <f aca="false">IFERROR(INDEX('Teacher Lookup'!$B$2:$B$200,MATCH(A9030,'Teacher Lookup'!$A$2:$A$200,0)),"")</f>
        <v>LEE Shane</v>
      </c>
    </row>
    <row r="9031" customFormat="false" ht="15" hidden="false" customHeight="false" outlineLevel="0" collapsed="false">
      <c r="A9031" s="3" t="s">
        <v>502</v>
      </c>
      <c r="B9031" s="4" t="s">
        <v>12</v>
      </c>
      <c r="C9031" s="4" t="n">
        <v>1</v>
      </c>
      <c r="D9031" s="4" t="s">
        <v>22</v>
      </c>
      <c r="E9031" s="3" t="s">
        <v>322</v>
      </c>
      <c r="F9031" s="4" t="str">
        <f aca="false">IF(I9031&gt;J9031,"Y","N")</f>
        <v>N</v>
      </c>
      <c r="G9031" s="3" t="s">
        <v>72</v>
      </c>
      <c r="H9031" s="3" t="s">
        <v>16</v>
      </c>
      <c r="I9031" s="4" t="n">
        <v>4</v>
      </c>
      <c r="J9031" s="4" t="n">
        <f aca="false">LEN(E9031)-LEN(SUBSTITUTE(E9031,",",""))+1</f>
        <v>4</v>
      </c>
      <c r="K9031" s="3" t="str">
        <f aca="false">IFERROR(INDEX('Teacher Lookup'!$B$2:$B$200,MATCH(A9031,'Teacher Lookup'!$A$2:$A$200,0)),"")</f>
        <v>LEE Shane</v>
      </c>
    </row>
    <row r="9032" customFormat="false" ht="15" hidden="false" customHeight="false" outlineLevel="0" collapsed="false">
      <c r="A9032" s="3" t="s">
        <v>502</v>
      </c>
      <c r="B9032" s="4" t="s">
        <v>12</v>
      </c>
      <c r="C9032" s="4" t="n">
        <v>1</v>
      </c>
      <c r="D9032" s="4" t="s">
        <v>23</v>
      </c>
      <c r="E9032" s="3" t="s">
        <v>322</v>
      </c>
      <c r="F9032" s="4" t="str">
        <f aca="false">IF(I9032&gt;J9032,"Y","N")</f>
        <v>N</v>
      </c>
      <c r="G9032" s="3" t="s">
        <v>72</v>
      </c>
      <c r="H9032" s="3" t="s">
        <v>16</v>
      </c>
      <c r="I9032" s="4" t="n">
        <v>4</v>
      </c>
      <c r="J9032" s="4" t="n">
        <f aca="false">LEN(E9032)-LEN(SUBSTITUTE(E9032,",",""))+1</f>
        <v>4</v>
      </c>
      <c r="K9032" s="3" t="str">
        <f aca="false">IFERROR(INDEX('Teacher Lookup'!$B$2:$B$200,MATCH(A9032,'Teacher Lookup'!$A$2:$A$200,0)),"")</f>
        <v>LEE Shane</v>
      </c>
    </row>
    <row r="9033" customFormat="false" ht="15" hidden="false" customHeight="false" outlineLevel="0" collapsed="false">
      <c r="A9033" s="3" t="s">
        <v>502</v>
      </c>
      <c r="B9033" s="4" t="s">
        <v>12</v>
      </c>
      <c r="C9033" s="4" t="n">
        <v>3</v>
      </c>
      <c r="D9033" s="4" t="s">
        <v>13</v>
      </c>
      <c r="E9033" s="3" t="s">
        <v>323</v>
      </c>
      <c r="F9033" s="4" t="str">
        <f aca="false">IF(I9033&gt;J9033,"Y","N")</f>
        <v>N</v>
      </c>
      <c r="G9033" s="3" t="s">
        <v>72</v>
      </c>
      <c r="H9033" s="3" t="s">
        <v>26</v>
      </c>
      <c r="I9033" s="4" t="n">
        <v>4</v>
      </c>
      <c r="J9033" s="4" t="n">
        <f aca="false">LEN(E9033)-LEN(SUBSTITUTE(E9033,",",""))+1</f>
        <v>4</v>
      </c>
      <c r="K9033" s="3" t="str">
        <f aca="false">IFERROR(INDEX('Teacher Lookup'!$B$2:$B$200,MATCH(A9033,'Teacher Lookup'!$A$2:$A$200,0)),"")</f>
        <v>LEE Shane</v>
      </c>
    </row>
    <row r="9034" customFormat="false" ht="15" hidden="false" customHeight="false" outlineLevel="0" collapsed="false">
      <c r="A9034" s="3" t="s">
        <v>502</v>
      </c>
      <c r="B9034" s="4" t="s">
        <v>12</v>
      </c>
      <c r="C9034" s="4" t="n">
        <v>3</v>
      </c>
      <c r="D9034" s="4" t="s">
        <v>17</v>
      </c>
      <c r="E9034" s="3" t="s">
        <v>323</v>
      </c>
      <c r="F9034" s="4" t="str">
        <f aca="false">IF(I9034&gt;J9034,"Y","N")</f>
        <v>N</v>
      </c>
      <c r="G9034" s="3" t="s">
        <v>72</v>
      </c>
      <c r="H9034" s="3" t="s">
        <v>26</v>
      </c>
      <c r="I9034" s="4" t="n">
        <v>4</v>
      </c>
      <c r="J9034" s="4" t="n">
        <f aca="false">LEN(E9034)-LEN(SUBSTITUTE(E9034,",",""))+1</f>
        <v>4</v>
      </c>
      <c r="K9034" s="3" t="str">
        <f aca="false">IFERROR(INDEX('Teacher Lookup'!$B$2:$B$200,MATCH(A9034,'Teacher Lookup'!$A$2:$A$200,0)),"")</f>
        <v>LEE Shane</v>
      </c>
    </row>
    <row r="9035" customFormat="false" ht="15" hidden="false" customHeight="false" outlineLevel="0" collapsed="false">
      <c r="A9035" s="3" t="s">
        <v>502</v>
      </c>
      <c r="B9035" s="4" t="s">
        <v>12</v>
      </c>
      <c r="C9035" s="4" t="n">
        <v>3</v>
      </c>
      <c r="D9035" s="4" t="s">
        <v>18</v>
      </c>
      <c r="E9035" s="3" t="s">
        <v>323</v>
      </c>
      <c r="F9035" s="4" t="str">
        <f aca="false">IF(I9035&gt;J9035,"Y","N")</f>
        <v>N</v>
      </c>
      <c r="G9035" s="3" t="s">
        <v>72</v>
      </c>
      <c r="H9035" s="3" t="s">
        <v>26</v>
      </c>
      <c r="I9035" s="4" t="n">
        <v>4</v>
      </c>
      <c r="J9035" s="4" t="n">
        <f aca="false">LEN(E9035)-LEN(SUBSTITUTE(E9035,",",""))+1</f>
        <v>4</v>
      </c>
      <c r="K9035" s="3" t="str">
        <f aca="false">IFERROR(INDEX('Teacher Lookup'!$B$2:$B$200,MATCH(A9035,'Teacher Lookup'!$A$2:$A$200,0)),"")</f>
        <v>LEE Shane</v>
      </c>
    </row>
    <row r="9036" customFormat="false" ht="15" hidden="false" customHeight="false" outlineLevel="0" collapsed="false">
      <c r="A9036" s="3" t="s">
        <v>502</v>
      </c>
      <c r="B9036" s="4" t="s">
        <v>12</v>
      </c>
      <c r="C9036" s="4" t="n">
        <v>4</v>
      </c>
      <c r="D9036" s="4" t="s">
        <v>57</v>
      </c>
      <c r="E9036" s="3" t="s">
        <v>393</v>
      </c>
      <c r="F9036" s="4" t="str">
        <f aca="false">IF(I9036&gt;J9036,"Y","N")</f>
        <v>N</v>
      </c>
      <c r="G9036" s="3" t="s">
        <v>72</v>
      </c>
      <c r="H9036" s="3" t="s">
        <v>34</v>
      </c>
      <c r="I9036" s="4" t="n">
        <v>4</v>
      </c>
      <c r="J9036" s="4" t="n">
        <f aca="false">LEN(E9036)-LEN(SUBSTITUTE(E9036,",",""))+1</f>
        <v>4</v>
      </c>
      <c r="K9036" s="3" t="str">
        <f aca="false">IFERROR(INDEX('Teacher Lookup'!$B$2:$B$200,MATCH(A9036,'Teacher Lookup'!$A$2:$A$200,0)),"")</f>
        <v>LEE Shane</v>
      </c>
    </row>
    <row r="9037" customFormat="false" ht="15" hidden="false" customHeight="false" outlineLevel="0" collapsed="false">
      <c r="A9037" s="3" t="s">
        <v>502</v>
      </c>
      <c r="B9037" s="4" t="s">
        <v>12</v>
      </c>
      <c r="C9037" s="4" t="n">
        <v>4</v>
      </c>
      <c r="D9037" s="4" t="s">
        <v>58</v>
      </c>
      <c r="E9037" s="3" t="s">
        <v>393</v>
      </c>
      <c r="F9037" s="4" t="str">
        <f aca="false">IF(I9037&gt;J9037,"Y","N")</f>
        <v>N</v>
      </c>
      <c r="G9037" s="3" t="s">
        <v>72</v>
      </c>
      <c r="H9037" s="3" t="s">
        <v>34</v>
      </c>
      <c r="I9037" s="4" t="n">
        <v>4</v>
      </c>
      <c r="J9037" s="4" t="n">
        <f aca="false">LEN(E9037)-LEN(SUBSTITUTE(E9037,",",""))+1</f>
        <v>4</v>
      </c>
      <c r="K9037" s="3" t="str">
        <f aca="false">IFERROR(INDEX('Teacher Lookup'!$B$2:$B$200,MATCH(A9037,'Teacher Lookup'!$A$2:$A$200,0)),"")</f>
        <v>LEE Shane</v>
      </c>
    </row>
    <row r="9038" customFormat="false" ht="15" hidden="false" customHeight="false" outlineLevel="0" collapsed="false">
      <c r="A9038" s="3" t="s">
        <v>502</v>
      </c>
      <c r="B9038" s="4" t="s">
        <v>12</v>
      </c>
      <c r="C9038" s="4" t="n">
        <v>4</v>
      </c>
      <c r="D9038" s="4" t="s">
        <v>59</v>
      </c>
      <c r="E9038" s="3" t="s">
        <v>393</v>
      </c>
      <c r="F9038" s="4" t="str">
        <f aca="false">IF(I9038&gt;J9038,"Y","N")</f>
        <v>N</v>
      </c>
      <c r="G9038" s="3" t="s">
        <v>72</v>
      </c>
      <c r="H9038" s="3" t="s">
        <v>34</v>
      </c>
      <c r="I9038" s="4" t="n">
        <v>4</v>
      </c>
      <c r="J9038" s="4" t="n">
        <f aca="false">LEN(E9038)-LEN(SUBSTITUTE(E9038,",",""))+1</f>
        <v>4</v>
      </c>
      <c r="K9038" s="3" t="str">
        <f aca="false">IFERROR(INDEX('Teacher Lookup'!$B$2:$B$200,MATCH(A9038,'Teacher Lookup'!$A$2:$A$200,0)),"")</f>
        <v>LEE Shane</v>
      </c>
    </row>
    <row r="9039" customFormat="false" ht="15" hidden="false" customHeight="false" outlineLevel="0" collapsed="false">
      <c r="A9039" s="3" t="s">
        <v>502</v>
      </c>
      <c r="B9039" s="4" t="s">
        <v>31</v>
      </c>
      <c r="C9039" s="4" t="n">
        <v>3</v>
      </c>
      <c r="D9039" s="4" t="s">
        <v>19</v>
      </c>
      <c r="E9039" s="3" t="s">
        <v>326</v>
      </c>
      <c r="F9039" s="4" t="str">
        <f aca="false">IF(I9039&gt;J9039,"Y","N")</f>
        <v>N</v>
      </c>
      <c r="G9039" s="3" t="s">
        <v>72</v>
      </c>
      <c r="H9039" s="3" t="s">
        <v>26</v>
      </c>
      <c r="I9039" s="4" t="n">
        <v>4</v>
      </c>
      <c r="J9039" s="4" t="n">
        <f aca="false">LEN(E9039)-LEN(SUBSTITUTE(E9039,",",""))+1</f>
        <v>4</v>
      </c>
      <c r="K9039" s="3" t="str">
        <f aca="false">IFERROR(INDEX('Teacher Lookup'!$B$2:$B$200,MATCH(A9039,'Teacher Lookup'!$A$2:$A$200,0)),"")</f>
        <v>LEE Shane</v>
      </c>
    </row>
    <row r="9040" customFormat="false" ht="15" hidden="false" customHeight="false" outlineLevel="0" collapsed="false">
      <c r="A9040" s="3" t="s">
        <v>502</v>
      </c>
      <c r="B9040" s="4" t="s">
        <v>31</v>
      </c>
      <c r="C9040" s="4" t="n">
        <v>3</v>
      </c>
      <c r="D9040" s="4" t="s">
        <v>22</v>
      </c>
      <c r="E9040" s="3" t="s">
        <v>326</v>
      </c>
      <c r="F9040" s="4" t="str">
        <f aca="false">IF(I9040&gt;J9040,"Y","N")</f>
        <v>N</v>
      </c>
      <c r="G9040" s="3" t="s">
        <v>72</v>
      </c>
      <c r="H9040" s="3" t="s">
        <v>26</v>
      </c>
      <c r="I9040" s="4" t="n">
        <v>4</v>
      </c>
      <c r="J9040" s="4" t="n">
        <f aca="false">LEN(E9040)-LEN(SUBSTITUTE(E9040,",",""))+1</f>
        <v>4</v>
      </c>
      <c r="K9040" s="3" t="str">
        <f aca="false">IFERROR(INDEX('Teacher Lookup'!$B$2:$B$200,MATCH(A9040,'Teacher Lookup'!$A$2:$A$200,0)),"")</f>
        <v>LEE Shane</v>
      </c>
    </row>
    <row r="9041" customFormat="false" ht="15" hidden="false" customHeight="false" outlineLevel="0" collapsed="false">
      <c r="A9041" s="3" t="s">
        <v>502</v>
      </c>
      <c r="B9041" s="4" t="s">
        <v>31</v>
      </c>
      <c r="C9041" s="4" t="n">
        <v>3</v>
      </c>
      <c r="D9041" s="4" t="s">
        <v>23</v>
      </c>
      <c r="E9041" s="3" t="s">
        <v>326</v>
      </c>
      <c r="F9041" s="4" t="str">
        <f aca="false">IF(I9041&gt;J9041,"Y","N")</f>
        <v>N</v>
      </c>
      <c r="G9041" s="3" t="s">
        <v>72</v>
      </c>
      <c r="H9041" s="3" t="s">
        <v>26</v>
      </c>
      <c r="I9041" s="4" t="n">
        <v>4</v>
      </c>
      <c r="J9041" s="4" t="n">
        <f aca="false">LEN(E9041)-LEN(SUBSTITUTE(E9041,",",""))+1</f>
        <v>4</v>
      </c>
      <c r="K9041" s="3" t="str">
        <f aca="false">IFERROR(INDEX('Teacher Lookup'!$B$2:$B$200,MATCH(A9041,'Teacher Lookup'!$A$2:$A$200,0)),"")</f>
        <v>LEE Shane</v>
      </c>
    </row>
    <row r="9042" customFormat="false" ht="15" hidden="false" customHeight="false" outlineLevel="0" collapsed="false">
      <c r="A9042" s="3" t="s">
        <v>502</v>
      </c>
      <c r="B9042" s="4" t="s">
        <v>31</v>
      </c>
      <c r="C9042" s="4" t="n">
        <v>5</v>
      </c>
      <c r="D9042" s="4" t="s">
        <v>52</v>
      </c>
      <c r="E9042" s="3" t="s">
        <v>112</v>
      </c>
      <c r="F9042" s="4" t="str">
        <f aca="false">IF(I9042&gt;J9042,"Y","N")</f>
        <v>Y</v>
      </c>
      <c r="G9042" s="3" t="s">
        <v>36</v>
      </c>
      <c r="H9042" s="3" t="s">
        <v>37</v>
      </c>
      <c r="I9042" s="4" t="n">
        <v>16</v>
      </c>
      <c r="J9042" s="4" t="n">
        <f aca="false">LEN(E9042)-LEN(SUBSTITUTE(E9042,",",""))+1</f>
        <v>7</v>
      </c>
      <c r="K9042" s="3" t="str">
        <f aca="false">IFERROR(INDEX('Teacher Lookup'!$B$2:$B$200,MATCH(A9042,'Teacher Lookup'!$A$2:$A$200,0)),"")</f>
        <v>LEE Shane</v>
      </c>
    </row>
    <row r="9043" customFormat="false" ht="15" hidden="false" customHeight="false" outlineLevel="0" collapsed="false">
      <c r="A9043" s="3" t="s">
        <v>502</v>
      </c>
      <c r="B9043" s="4" t="s">
        <v>31</v>
      </c>
      <c r="C9043" s="4" t="n">
        <v>5</v>
      </c>
      <c r="D9043" s="4" t="s">
        <v>55</v>
      </c>
      <c r="E9043" s="3" t="s">
        <v>112</v>
      </c>
      <c r="F9043" s="4" t="str">
        <f aca="false">IF(I9043&gt;J9043,"Y","N")</f>
        <v>Y</v>
      </c>
      <c r="G9043" s="3" t="s">
        <v>36</v>
      </c>
      <c r="H9043" s="3" t="s">
        <v>37</v>
      </c>
      <c r="I9043" s="4" t="n">
        <v>16</v>
      </c>
      <c r="J9043" s="4" t="n">
        <f aca="false">LEN(E9043)-LEN(SUBSTITUTE(E9043,",",""))+1</f>
        <v>7</v>
      </c>
      <c r="K9043" s="3" t="str">
        <f aca="false">IFERROR(INDEX('Teacher Lookup'!$B$2:$B$200,MATCH(A9043,'Teacher Lookup'!$A$2:$A$200,0)),"")</f>
        <v>LEE Shane</v>
      </c>
    </row>
    <row r="9044" customFormat="false" ht="15" hidden="false" customHeight="false" outlineLevel="0" collapsed="false">
      <c r="A9044" s="3" t="s">
        <v>502</v>
      </c>
      <c r="B9044" s="4" t="s">
        <v>31</v>
      </c>
      <c r="C9044" s="4" t="n">
        <v>5</v>
      </c>
      <c r="D9044" s="4" t="s">
        <v>56</v>
      </c>
      <c r="E9044" s="3" t="s">
        <v>112</v>
      </c>
      <c r="F9044" s="4" t="str">
        <f aca="false">IF(I9044&gt;J9044,"Y","N")</f>
        <v>Y</v>
      </c>
      <c r="G9044" s="3" t="s">
        <v>36</v>
      </c>
      <c r="H9044" s="3" t="s">
        <v>37</v>
      </c>
      <c r="I9044" s="4" t="n">
        <v>16</v>
      </c>
      <c r="J9044" s="4" t="n">
        <f aca="false">LEN(E9044)-LEN(SUBSTITUTE(E9044,",",""))+1</f>
        <v>7</v>
      </c>
      <c r="K9044" s="3" t="str">
        <f aca="false">IFERROR(INDEX('Teacher Lookup'!$B$2:$B$200,MATCH(A9044,'Teacher Lookup'!$A$2:$A$200,0)),"")</f>
        <v>LEE Shane</v>
      </c>
    </row>
    <row r="9045" customFormat="false" ht="15" hidden="false" customHeight="false" outlineLevel="0" collapsed="false">
      <c r="A9045" s="3" t="s">
        <v>502</v>
      </c>
      <c r="B9045" s="4" t="s">
        <v>31</v>
      </c>
      <c r="C9045" s="4" t="n">
        <v>5</v>
      </c>
      <c r="D9045" s="4" t="s">
        <v>57</v>
      </c>
      <c r="E9045" s="3" t="s">
        <v>112</v>
      </c>
      <c r="F9045" s="4" t="str">
        <f aca="false">IF(I9045&gt;J9045,"Y","N")</f>
        <v>Y</v>
      </c>
      <c r="G9045" s="3" t="s">
        <v>36</v>
      </c>
      <c r="H9045" s="3" t="s">
        <v>37</v>
      </c>
      <c r="I9045" s="4" t="n">
        <v>16</v>
      </c>
      <c r="J9045" s="4" t="n">
        <f aca="false">LEN(E9045)-LEN(SUBSTITUTE(E9045,",",""))+1</f>
        <v>7</v>
      </c>
      <c r="K9045" s="3" t="str">
        <f aca="false">IFERROR(INDEX('Teacher Lookup'!$B$2:$B$200,MATCH(A9045,'Teacher Lookup'!$A$2:$A$200,0)),"")</f>
        <v>LEE Shane</v>
      </c>
    </row>
    <row r="9046" customFormat="false" ht="15" hidden="false" customHeight="false" outlineLevel="0" collapsed="false">
      <c r="A9046" s="3" t="s">
        <v>502</v>
      </c>
      <c r="B9046" s="4" t="s">
        <v>31</v>
      </c>
      <c r="C9046" s="4" t="n">
        <v>5</v>
      </c>
      <c r="D9046" s="4" t="s">
        <v>58</v>
      </c>
      <c r="E9046" s="3" t="s">
        <v>112</v>
      </c>
      <c r="F9046" s="4" t="str">
        <f aca="false">IF(I9046&gt;J9046,"Y","N")</f>
        <v>Y</v>
      </c>
      <c r="G9046" s="3" t="s">
        <v>36</v>
      </c>
      <c r="H9046" s="3" t="s">
        <v>37</v>
      </c>
      <c r="I9046" s="4" t="n">
        <v>16</v>
      </c>
      <c r="J9046" s="4" t="n">
        <f aca="false">LEN(E9046)-LEN(SUBSTITUTE(E9046,",",""))+1</f>
        <v>7</v>
      </c>
      <c r="K9046" s="3" t="str">
        <f aca="false">IFERROR(INDEX('Teacher Lookup'!$B$2:$B$200,MATCH(A9046,'Teacher Lookup'!$A$2:$A$200,0)),"")</f>
        <v>LEE Shane</v>
      </c>
    </row>
    <row r="9047" customFormat="false" ht="15" hidden="false" customHeight="false" outlineLevel="0" collapsed="false">
      <c r="A9047" s="3" t="s">
        <v>502</v>
      </c>
      <c r="B9047" s="4" t="s">
        <v>31</v>
      </c>
      <c r="C9047" s="4" t="n">
        <v>5</v>
      </c>
      <c r="D9047" s="4" t="s">
        <v>59</v>
      </c>
      <c r="E9047" s="3" t="s">
        <v>112</v>
      </c>
      <c r="F9047" s="4" t="str">
        <f aca="false">IF(I9047&gt;J9047,"Y","N")</f>
        <v>Y</v>
      </c>
      <c r="G9047" s="3" t="s">
        <v>36</v>
      </c>
      <c r="H9047" s="3" t="s">
        <v>37</v>
      </c>
      <c r="I9047" s="4" t="n">
        <v>16</v>
      </c>
      <c r="J9047" s="4" t="n">
        <f aca="false">LEN(E9047)-LEN(SUBSTITUTE(E9047,",",""))+1</f>
        <v>7</v>
      </c>
      <c r="K9047" s="3" t="str">
        <f aca="false">IFERROR(INDEX('Teacher Lookup'!$B$2:$B$200,MATCH(A9047,'Teacher Lookup'!$A$2:$A$200,0)),"")</f>
        <v>LEE Shane</v>
      </c>
    </row>
    <row r="9048" customFormat="false" ht="15" hidden="false" customHeight="false" outlineLevel="0" collapsed="false">
      <c r="A9048" s="3" t="s">
        <v>502</v>
      </c>
      <c r="B9048" s="4" t="s">
        <v>31</v>
      </c>
      <c r="C9048" s="4" t="n">
        <v>6</v>
      </c>
      <c r="D9048" s="4" t="s">
        <v>13</v>
      </c>
      <c r="E9048" s="3" t="s">
        <v>323</v>
      </c>
      <c r="F9048" s="4" t="str">
        <f aca="false">IF(I9048&gt;J9048,"Y","N")</f>
        <v>N</v>
      </c>
      <c r="G9048" s="3" t="s">
        <v>72</v>
      </c>
      <c r="H9048" s="3" t="s">
        <v>42</v>
      </c>
      <c r="I9048" s="4" t="n">
        <v>4</v>
      </c>
      <c r="J9048" s="4" t="n">
        <f aca="false">LEN(E9048)-LEN(SUBSTITUTE(E9048,",",""))+1</f>
        <v>4</v>
      </c>
      <c r="K9048" s="3" t="str">
        <f aca="false">IFERROR(INDEX('Teacher Lookup'!$B$2:$B$200,MATCH(A9048,'Teacher Lookup'!$A$2:$A$200,0)),"")</f>
        <v>LEE Shane</v>
      </c>
    </row>
    <row r="9049" customFormat="false" ht="15" hidden="false" customHeight="false" outlineLevel="0" collapsed="false">
      <c r="A9049" s="3" t="s">
        <v>502</v>
      </c>
      <c r="B9049" s="4" t="s">
        <v>31</v>
      </c>
      <c r="C9049" s="4" t="n">
        <v>6</v>
      </c>
      <c r="D9049" s="4" t="s">
        <v>17</v>
      </c>
      <c r="E9049" s="3" t="s">
        <v>323</v>
      </c>
      <c r="F9049" s="4" t="str">
        <f aca="false">IF(I9049&gt;J9049,"Y","N")</f>
        <v>N</v>
      </c>
      <c r="G9049" s="3" t="s">
        <v>72</v>
      </c>
      <c r="H9049" s="3" t="s">
        <v>42</v>
      </c>
      <c r="I9049" s="4" t="n">
        <v>4</v>
      </c>
      <c r="J9049" s="4" t="n">
        <f aca="false">LEN(E9049)-LEN(SUBSTITUTE(E9049,",",""))+1</f>
        <v>4</v>
      </c>
      <c r="K9049" s="3" t="str">
        <f aca="false">IFERROR(INDEX('Teacher Lookup'!$B$2:$B$200,MATCH(A9049,'Teacher Lookup'!$A$2:$A$200,0)),"")</f>
        <v>LEE Shane</v>
      </c>
    </row>
    <row r="9050" customFormat="false" ht="15" hidden="false" customHeight="false" outlineLevel="0" collapsed="false">
      <c r="A9050" s="3" t="s">
        <v>502</v>
      </c>
      <c r="B9050" s="4" t="s">
        <v>31</v>
      </c>
      <c r="C9050" s="4" t="n">
        <v>6</v>
      </c>
      <c r="D9050" s="4" t="s">
        <v>18</v>
      </c>
      <c r="E9050" s="3" t="s">
        <v>323</v>
      </c>
      <c r="F9050" s="4" t="str">
        <f aca="false">IF(I9050&gt;J9050,"Y","N")</f>
        <v>N</v>
      </c>
      <c r="G9050" s="3" t="s">
        <v>72</v>
      </c>
      <c r="H9050" s="3" t="s">
        <v>42</v>
      </c>
      <c r="I9050" s="4" t="n">
        <v>4</v>
      </c>
      <c r="J9050" s="4" t="n">
        <f aca="false">LEN(E9050)-LEN(SUBSTITUTE(E9050,",",""))+1</f>
        <v>4</v>
      </c>
      <c r="K9050" s="3" t="str">
        <f aca="false">IFERROR(INDEX('Teacher Lookup'!$B$2:$B$200,MATCH(A9050,'Teacher Lookup'!$A$2:$A$200,0)),"")</f>
        <v>LEE Shane</v>
      </c>
    </row>
    <row r="9051" customFormat="false" ht="15" hidden="false" customHeight="false" outlineLevel="0" collapsed="false">
      <c r="A9051" s="3" t="s">
        <v>502</v>
      </c>
      <c r="B9051" s="4" t="s">
        <v>31</v>
      </c>
      <c r="C9051" s="4" t="n">
        <v>7</v>
      </c>
      <c r="D9051" s="4" t="s">
        <v>57</v>
      </c>
      <c r="E9051" s="3" t="s">
        <v>393</v>
      </c>
      <c r="F9051" s="4" t="str">
        <f aca="false">IF(I9051&gt;J9051,"Y","N")</f>
        <v>N</v>
      </c>
      <c r="G9051" s="3" t="s">
        <v>72</v>
      </c>
      <c r="H9051" s="3" t="s">
        <v>39</v>
      </c>
      <c r="I9051" s="4" t="n">
        <v>4</v>
      </c>
      <c r="J9051" s="4" t="n">
        <f aca="false">LEN(E9051)-LEN(SUBSTITUTE(E9051,",",""))+1</f>
        <v>4</v>
      </c>
      <c r="K9051" s="3" t="str">
        <f aca="false">IFERROR(INDEX('Teacher Lookup'!$B$2:$B$200,MATCH(A9051,'Teacher Lookup'!$A$2:$A$200,0)),"")</f>
        <v>LEE Shane</v>
      </c>
    </row>
    <row r="9052" customFormat="false" ht="15" hidden="false" customHeight="false" outlineLevel="0" collapsed="false">
      <c r="A9052" s="3" t="s">
        <v>502</v>
      </c>
      <c r="B9052" s="4" t="s">
        <v>31</v>
      </c>
      <c r="C9052" s="4" t="n">
        <v>7</v>
      </c>
      <c r="D9052" s="4" t="s">
        <v>58</v>
      </c>
      <c r="E9052" s="3" t="s">
        <v>393</v>
      </c>
      <c r="F9052" s="4" t="str">
        <f aca="false">IF(I9052&gt;J9052,"Y","N")</f>
        <v>N</v>
      </c>
      <c r="G9052" s="3" t="s">
        <v>72</v>
      </c>
      <c r="H9052" s="3" t="s">
        <v>39</v>
      </c>
      <c r="I9052" s="4" t="n">
        <v>4</v>
      </c>
      <c r="J9052" s="4" t="n">
        <f aca="false">LEN(E9052)-LEN(SUBSTITUTE(E9052,",",""))+1</f>
        <v>4</v>
      </c>
      <c r="K9052" s="3" t="str">
        <f aca="false">IFERROR(INDEX('Teacher Lookup'!$B$2:$B$200,MATCH(A9052,'Teacher Lookup'!$A$2:$A$200,0)),"")</f>
        <v>LEE Shane</v>
      </c>
    </row>
    <row r="9053" customFormat="false" ht="15" hidden="false" customHeight="false" outlineLevel="0" collapsed="false">
      <c r="A9053" s="3" t="s">
        <v>502</v>
      </c>
      <c r="B9053" s="4" t="s">
        <v>31</v>
      </c>
      <c r="C9053" s="4" t="n">
        <v>7</v>
      </c>
      <c r="D9053" s="4" t="s">
        <v>59</v>
      </c>
      <c r="E9053" s="3" t="s">
        <v>393</v>
      </c>
      <c r="F9053" s="4" t="str">
        <f aca="false">IF(I9053&gt;J9053,"Y","N")</f>
        <v>N</v>
      </c>
      <c r="G9053" s="3" t="s">
        <v>72</v>
      </c>
      <c r="H9053" s="3" t="s">
        <v>39</v>
      </c>
      <c r="I9053" s="4" t="n">
        <v>4</v>
      </c>
      <c r="J9053" s="4" t="n">
        <f aca="false">LEN(E9053)-LEN(SUBSTITUTE(E9053,",",""))+1</f>
        <v>4</v>
      </c>
      <c r="K9053" s="3" t="str">
        <f aca="false">IFERROR(INDEX('Teacher Lookup'!$B$2:$B$200,MATCH(A9053,'Teacher Lookup'!$A$2:$A$200,0)),"")</f>
        <v>LEE Shane</v>
      </c>
    </row>
    <row r="9054" customFormat="false" ht="15" hidden="false" customHeight="false" outlineLevel="0" collapsed="false">
      <c r="A9054" s="3" t="s">
        <v>502</v>
      </c>
      <c r="B9054" s="4" t="s">
        <v>40</v>
      </c>
      <c r="C9054" s="4" t="n">
        <v>1</v>
      </c>
      <c r="D9054" s="4" t="s">
        <v>19</v>
      </c>
      <c r="E9054" s="3" t="s">
        <v>33</v>
      </c>
      <c r="F9054" s="4" t="str">
        <f aca="false">IF(I9054&gt;J9054,"Y","N")</f>
        <v>N</v>
      </c>
      <c r="G9054" s="3" t="s">
        <v>72</v>
      </c>
      <c r="H9054" s="3" t="s">
        <v>16</v>
      </c>
      <c r="I9054" s="4" t="n">
        <v>4</v>
      </c>
      <c r="J9054" s="4" t="n">
        <f aca="false">LEN(E9054)-LEN(SUBSTITUTE(E9054,",",""))+1</f>
        <v>4</v>
      </c>
      <c r="K9054" s="3" t="str">
        <f aca="false">IFERROR(INDEX('Teacher Lookup'!$B$2:$B$200,MATCH(A9054,'Teacher Lookup'!$A$2:$A$200,0)),"")</f>
        <v>LEE Shane</v>
      </c>
    </row>
    <row r="9055" customFormat="false" ht="15" hidden="false" customHeight="false" outlineLevel="0" collapsed="false">
      <c r="A9055" s="3" t="s">
        <v>502</v>
      </c>
      <c r="B9055" s="4" t="s">
        <v>40</v>
      </c>
      <c r="C9055" s="4" t="n">
        <v>1</v>
      </c>
      <c r="D9055" s="4" t="s">
        <v>22</v>
      </c>
      <c r="E9055" s="3" t="s">
        <v>33</v>
      </c>
      <c r="F9055" s="4" t="str">
        <f aca="false">IF(I9055&gt;J9055,"Y","N")</f>
        <v>N</v>
      </c>
      <c r="G9055" s="3" t="s">
        <v>72</v>
      </c>
      <c r="H9055" s="3" t="s">
        <v>16</v>
      </c>
      <c r="I9055" s="4" t="n">
        <v>4</v>
      </c>
      <c r="J9055" s="4" t="n">
        <f aca="false">LEN(E9055)-LEN(SUBSTITUTE(E9055,",",""))+1</f>
        <v>4</v>
      </c>
      <c r="K9055" s="3" t="str">
        <f aca="false">IFERROR(INDEX('Teacher Lookup'!$B$2:$B$200,MATCH(A9055,'Teacher Lookup'!$A$2:$A$200,0)),"")</f>
        <v>LEE Shane</v>
      </c>
    </row>
    <row r="9056" customFormat="false" ht="15" hidden="false" customHeight="false" outlineLevel="0" collapsed="false">
      <c r="A9056" s="3" t="s">
        <v>502</v>
      </c>
      <c r="B9056" s="4" t="s">
        <v>40</v>
      </c>
      <c r="C9056" s="4" t="n">
        <v>1</v>
      </c>
      <c r="D9056" s="4" t="s">
        <v>23</v>
      </c>
      <c r="E9056" s="3" t="s">
        <v>33</v>
      </c>
      <c r="F9056" s="4" t="str">
        <f aca="false">IF(I9056&gt;J9056,"Y","N")</f>
        <v>N</v>
      </c>
      <c r="G9056" s="3" t="s">
        <v>72</v>
      </c>
      <c r="H9056" s="3" t="s">
        <v>16</v>
      </c>
      <c r="I9056" s="4" t="n">
        <v>4</v>
      </c>
      <c r="J9056" s="4" t="n">
        <f aca="false">LEN(E9056)-LEN(SUBSTITUTE(E9056,",",""))+1</f>
        <v>4</v>
      </c>
      <c r="K9056" s="3" t="str">
        <f aca="false">IFERROR(INDEX('Teacher Lookup'!$B$2:$B$200,MATCH(A9056,'Teacher Lookup'!$A$2:$A$200,0)),"")</f>
        <v>LEE Shane</v>
      </c>
    </row>
    <row r="9057" customFormat="false" ht="15" hidden="false" customHeight="false" outlineLevel="0" collapsed="false">
      <c r="A9057" s="3" t="s">
        <v>502</v>
      </c>
      <c r="B9057" s="4" t="s">
        <v>40</v>
      </c>
      <c r="C9057" s="4" t="n">
        <v>2</v>
      </c>
      <c r="D9057" s="4" t="s">
        <v>13</v>
      </c>
      <c r="E9057" s="3" t="s">
        <v>46</v>
      </c>
      <c r="F9057" s="4" t="str">
        <f aca="false">IF(I9057&gt;J9057,"Y","N")</f>
        <v>N</v>
      </c>
      <c r="G9057" s="3" t="s">
        <v>72</v>
      </c>
      <c r="H9057" s="3" t="s">
        <v>21</v>
      </c>
      <c r="I9057" s="4" t="n">
        <v>4</v>
      </c>
      <c r="J9057" s="4" t="n">
        <f aca="false">LEN(E9057)-LEN(SUBSTITUTE(E9057,",",""))+1</f>
        <v>4</v>
      </c>
      <c r="K9057" s="3" t="str">
        <f aca="false">IFERROR(INDEX('Teacher Lookup'!$B$2:$B$200,MATCH(A9057,'Teacher Lookup'!$A$2:$A$200,0)),"")</f>
        <v>LEE Shane</v>
      </c>
    </row>
    <row r="9058" customFormat="false" ht="15" hidden="false" customHeight="false" outlineLevel="0" collapsed="false">
      <c r="A9058" s="3" t="s">
        <v>502</v>
      </c>
      <c r="B9058" s="4" t="s">
        <v>40</v>
      </c>
      <c r="C9058" s="4" t="n">
        <v>2</v>
      </c>
      <c r="D9058" s="4" t="s">
        <v>17</v>
      </c>
      <c r="E9058" s="3" t="s">
        <v>46</v>
      </c>
      <c r="F9058" s="4" t="str">
        <f aca="false">IF(I9058&gt;J9058,"Y","N")</f>
        <v>N</v>
      </c>
      <c r="G9058" s="3" t="s">
        <v>72</v>
      </c>
      <c r="H9058" s="3" t="s">
        <v>21</v>
      </c>
      <c r="I9058" s="4" t="n">
        <v>4</v>
      </c>
      <c r="J9058" s="4" t="n">
        <f aca="false">LEN(E9058)-LEN(SUBSTITUTE(E9058,",",""))+1</f>
        <v>4</v>
      </c>
      <c r="K9058" s="3" t="str">
        <f aca="false">IFERROR(INDEX('Teacher Lookup'!$B$2:$B$200,MATCH(A9058,'Teacher Lookup'!$A$2:$A$200,0)),"")</f>
        <v>LEE Shane</v>
      </c>
    </row>
    <row r="9059" customFormat="false" ht="15" hidden="false" customHeight="false" outlineLevel="0" collapsed="false">
      <c r="A9059" s="3" t="s">
        <v>502</v>
      </c>
      <c r="B9059" s="4" t="s">
        <v>40</v>
      </c>
      <c r="C9059" s="4" t="n">
        <v>2</v>
      </c>
      <c r="D9059" s="4" t="s">
        <v>18</v>
      </c>
      <c r="E9059" s="3" t="s">
        <v>46</v>
      </c>
      <c r="F9059" s="4" t="str">
        <f aca="false">IF(I9059&gt;J9059,"Y","N")</f>
        <v>N</v>
      </c>
      <c r="G9059" s="3" t="s">
        <v>72</v>
      </c>
      <c r="H9059" s="3" t="s">
        <v>21</v>
      </c>
      <c r="I9059" s="4" t="n">
        <v>4</v>
      </c>
      <c r="J9059" s="4" t="n">
        <f aca="false">LEN(E9059)-LEN(SUBSTITUTE(E9059,",",""))+1</f>
        <v>4</v>
      </c>
      <c r="K9059" s="3" t="str">
        <f aca="false">IFERROR(INDEX('Teacher Lookup'!$B$2:$B$200,MATCH(A9059,'Teacher Lookup'!$A$2:$A$200,0)),"")</f>
        <v>LEE Shane</v>
      </c>
    </row>
    <row r="9060" customFormat="false" ht="15" hidden="false" customHeight="false" outlineLevel="0" collapsed="false">
      <c r="A9060" s="3" t="s">
        <v>502</v>
      </c>
      <c r="B9060" s="4" t="s">
        <v>40</v>
      </c>
      <c r="C9060" s="4" t="n">
        <v>6</v>
      </c>
      <c r="D9060" s="4" t="s">
        <v>57</v>
      </c>
      <c r="E9060" s="3" t="s">
        <v>166</v>
      </c>
      <c r="F9060" s="4" t="str">
        <f aca="false">IF(I9060&gt;J9060,"Y","N")</f>
        <v>N</v>
      </c>
      <c r="G9060" s="3" t="s">
        <v>72</v>
      </c>
      <c r="H9060" s="3" t="s">
        <v>42</v>
      </c>
      <c r="I9060" s="4" t="n">
        <v>4</v>
      </c>
      <c r="J9060" s="4" t="n">
        <f aca="false">LEN(E9060)-LEN(SUBSTITUTE(E9060,",",""))+1</f>
        <v>4</v>
      </c>
      <c r="K9060" s="3" t="str">
        <f aca="false">IFERROR(INDEX('Teacher Lookup'!$B$2:$B$200,MATCH(A9060,'Teacher Lookup'!$A$2:$A$200,0)),"")</f>
        <v>LEE Shane</v>
      </c>
    </row>
    <row r="9061" customFormat="false" ht="15" hidden="false" customHeight="false" outlineLevel="0" collapsed="false">
      <c r="A9061" s="3" t="s">
        <v>502</v>
      </c>
      <c r="B9061" s="4" t="s">
        <v>40</v>
      </c>
      <c r="C9061" s="4" t="n">
        <v>6</v>
      </c>
      <c r="D9061" s="4" t="s">
        <v>58</v>
      </c>
      <c r="E9061" s="3" t="s">
        <v>166</v>
      </c>
      <c r="F9061" s="4" t="str">
        <f aca="false">IF(I9061&gt;J9061,"Y","N")</f>
        <v>N</v>
      </c>
      <c r="G9061" s="3" t="s">
        <v>72</v>
      </c>
      <c r="H9061" s="3" t="s">
        <v>42</v>
      </c>
      <c r="I9061" s="4" t="n">
        <v>4</v>
      </c>
      <c r="J9061" s="4" t="n">
        <f aca="false">LEN(E9061)-LEN(SUBSTITUTE(E9061,",",""))+1</f>
        <v>4</v>
      </c>
      <c r="K9061" s="3" t="str">
        <f aca="false">IFERROR(INDEX('Teacher Lookup'!$B$2:$B$200,MATCH(A9061,'Teacher Lookup'!$A$2:$A$200,0)),"")</f>
        <v>LEE Shane</v>
      </c>
    </row>
    <row r="9062" customFormat="false" ht="15" hidden="false" customHeight="false" outlineLevel="0" collapsed="false">
      <c r="A9062" s="3" t="s">
        <v>502</v>
      </c>
      <c r="B9062" s="4" t="s">
        <v>40</v>
      </c>
      <c r="C9062" s="4" t="n">
        <v>6</v>
      </c>
      <c r="D9062" s="4" t="s">
        <v>59</v>
      </c>
      <c r="E9062" s="3" t="s">
        <v>166</v>
      </c>
      <c r="F9062" s="4" t="str">
        <f aca="false">IF(I9062&gt;J9062,"Y","N")</f>
        <v>N</v>
      </c>
      <c r="G9062" s="3" t="s">
        <v>72</v>
      </c>
      <c r="H9062" s="3" t="s">
        <v>42</v>
      </c>
      <c r="I9062" s="4" t="n">
        <v>4</v>
      </c>
      <c r="J9062" s="4" t="n">
        <f aca="false">LEN(E9062)-LEN(SUBSTITUTE(E9062,",",""))+1</f>
        <v>4</v>
      </c>
      <c r="K9062" s="3" t="str">
        <f aca="false">IFERROR(INDEX('Teacher Lookup'!$B$2:$B$200,MATCH(A9062,'Teacher Lookup'!$A$2:$A$200,0)),"")</f>
        <v>LEE Shane</v>
      </c>
    </row>
    <row r="9063" customFormat="false" ht="15" hidden="false" customHeight="false" outlineLevel="0" collapsed="false">
      <c r="A9063" s="3" t="s">
        <v>502</v>
      </c>
      <c r="B9063" s="4" t="s">
        <v>40</v>
      </c>
      <c r="C9063" s="4" t="n">
        <v>7</v>
      </c>
      <c r="D9063" s="4" t="s">
        <v>57</v>
      </c>
      <c r="E9063" s="3" t="s">
        <v>166</v>
      </c>
      <c r="F9063" s="4" t="str">
        <f aca="false">IF(I9063&gt;J9063,"Y","N")</f>
        <v>N</v>
      </c>
      <c r="G9063" s="3" t="s">
        <v>72</v>
      </c>
      <c r="H9063" s="3" t="s">
        <v>39</v>
      </c>
      <c r="I9063" s="4" t="n">
        <v>4</v>
      </c>
      <c r="J9063" s="4" t="n">
        <f aca="false">LEN(E9063)-LEN(SUBSTITUTE(E9063,",",""))+1</f>
        <v>4</v>
      </c>
      <c r="K9063" s="3" t="str">
        <f aca="false">IFERROR(INDEX('Teacher Lookup'!$B$2:$B$200,MATCH(A9063,'Teacher Lookup'!$A$2:$A$200,0)),"")</f>
        <v>LEE Shane</v>
      </c>
    </row>
    <row r="9064" customFormat="false" ht="15" hidden="false" customHeight="false" outlineLevel="0" collapsed="false">
      <c r="A9064" s="3" t="s">
        <v>502</v>
      </c>
      <c r="B9064" s="4" t="s">
        <v>40</v>
      </c>
      <c r="C9064" s="4" t="n">
        <v>7</v>
      </c>
      <c r="D9064" s="4" t="s">
        <v>58</v>
      </c>
      <c r="E9064" s="3" t="s">
        <v>166</v>
      </c>
      <c r="F9064" s="4" t="str">
        <f aca="false">IF(I9064&gt;J9064,"Y","N")</f>
        <v>N</v>
      </c>
      <c r="G9064" s="3" t="s">
        <v>72</v>
      </c>
      <c r="H9064" s="3" t="s">
        <v>39</v>
      </c>
      <c r="I9064" s="4" t="n">
        <v>4</v>
      </c>
      <c r="J9064" s="4" t="n">
        <f aca="false">LEN(E9064)-LEN(SUBSTITUTE(E9064,",",""))+1</f>
        <v>4</v>
      </c>
      <c r="K9064" s="3" t="str">
        <f aca="false">IFERROR(INDEX('Teacher Lookup'!$B$2:$B$200,MATCH(A9064,'Teacher Lookup'!$A$2:$A$200,0)),"")</f>
        <v>LEE Shane</v>
      </c>
    </row>
    <row r="9065" customFormat="false" ht="15" hidden="false" customHeight="false" outlineLevel="0" collapsed="false">
      <c r="A9065" s="3" t="s">
        <v>502</v>
      </c>
      <c r="B9065" s="4" t="s">
        <v>40</v>
      </c>
      <c r="C9065" s="4" t="n">
        <v>7</v>
      </c>
      <c r="D9065" s="4" t="s">
        <v>59</v>
      </c>
      <c r="E9065" s="3" t="s">
        <v>166</v>
      </c>
      <c r="F9065" s="4" t="str">
        <f aca="false">IF(I9065&gt;J9065,"Y","N")</f>
        <v>N</v>
      </c>
      <c r="G9065" s="3" t="s">
        <v>72</v>
      </c>
      <c r="H9065" s="3" t="s">
        <v>39</v>
      </c>
      <c r="I9065" s="4" t="n">
        <v>4</v>
      </c>
      <c r="J9065" s="4" t="n">
        <f aca="false">LEN(E9065)-LEN(SUBSTITUTE(E9065,",",""))+1</f>
        <v>4</v>
      </c>
      <c r="K9065" s="3" t="str">
        <f aca="false">IFERROR(INDEX('Teacher Lookup'!$B$2:$B$200,MATCH(A9065,'Teacher Lookup'!$A$2:$A$200,0)),"")</f>
        <v>LEE Shane</v>
      </c>
    </row>
    <row r="9066" customFormat="false" ht="15" hidden="false" customHeight="false" outlineLevel="0" collapsed="false">
      <c r="A9066" s="3" t="s">
        <v>502</v>
      </c>
      <c r="B9066" s="4" t="s">
        <v>44</v>
      </c>
      <c r="C9066" s="4" t="n">
        <v>2</v>
      </c>
      <c r="D9066" s="4" t="s">
        <v>57</v>
      </c>
      <c r="E9066" s="3" t="s">
        <v>394</v>
      </c>
      <c r="F9066" s="4" t="str">
        <f aca="false">IF(I9066&gt;J9066,"Y","N")</f>
        <v>N</v>
      </c>
      <c r="G9066" s="3" t="s">
        <v>72</v>
      </c>
      <c r="H9066" s="3" t="s">
        <v>21</v>
      </c>
      <c r="I9066" s="4" t="n">
        <v>4</v>
      </c>
      <c r="J9066" s="4" t="n">
        <f aca="false">LEN(E9066)-LEN(SUBSTITUTE(E9066,",",""))+1</f>
        <v>4</v>
      </c>
      <c r="K9066" s="3" t="str">
        <f aca="false">IFERROR(INDEX('Teacher Lookup'!$B$2:$B$200,MATCH(A9066,'Teacher Lookup'!$A$2:$A$200,0)),"")</f>
        <v>LEE Shane</v>
      </c>
    </row>
    <row r="9067" customFormat="false" ht="15" hidden="false" customHeight="false" outlineLevel="0" collapsed="false">
      <c r="A9067" s="3" t="s">
        <v>502</v>
      </c>
      <c r="B9067" s="4" t="s">
        <v>44</v>
      </c>
      <c r="C9067" s="4" t="n">
        <v>2</v>
      </c>
      <c r="D9067" s="4" t="s">
        <v>58</v>
      </c>
      <c r="E9067" s="3" t="s">
        <v>394</v>
      </c>
      <c r="F9067" s="4" t="str">
        <f aca="false">IF(I9067&gt;J9067,"Y","N")</f>
        <v>N</v>
      </c>
      <c r="G9067" s="3" t="s">
        <v>72</v>
      </c>
      <c r="H9067" s="3" t="s">
        <v>21</v>
      </c>
      <c r="I9067" s="4" t="n">
        <v>4</v>
      </c>
      <c r="J9067" s="4" t="n">
        <f aca="false">LEN(E9067)-LEN(SUBSTITUTE(E9067,",",""))+1</f>
        <v>4</v>
      </c>
      <c r="K9067" s="3" t="str">
        <f aca="false">IFERROR(INDEX('Teacher Lookup'!$B$2:$B$200,MATCH(A9067,'Teacher Lookup'!$A$2:$A$200,0)),"")</f>
        <v>LEE Shane</v>
      </c>
    </row>
    <row r="9068" customFormat="false" ht="15" hidden="false" customHeight="false" outlineLevel="0" collapsed="false">
      <c r="A9068" s="3" t="s">
        <v>502</v>
      </c>
      <c r="B9068" s="4" t="s">
        <v>44</v>
      </c>
      <c r="C9068" s="4" t="n">
        <v>2</v>
      </c>
      <c r="D9068" s="4" t="s">
        <v>59</v>
      </c>
      <c r="E9068" s="3" t="s">
        <v>394</v>
      </c>
      <c r="F9068" s="4" t="str">
        <f aca="false">IF(I9068&gt;J9068,"Y","N")</f>
        <v>N</v>
      </c>
      <c r="G9068" s="3" t="s">
        <v>72</v>
      </c>
      <c r="H9068" s="3" t="s">
        <v>21</v>
      </c>
      <c r="I9068" s="4" t="n">
        <v>4</v>
      </c>
      <c r="J9068" s="4" t="n">
        <f aca="false">LEN(E9068)-LEN(SUBSTITUTE(E9068,",",""))+1</f>
        <v>4</v>
      </c>
      <c r="K9068" s="3" t="str">
        <f aca="false">IFERROR(INDEX('Teacher Lookup'!$B$2:$B$200,MATCH(A9068,'Teacher Lookup'!$A$2:$A$200,0)),"")</f>
        <v>LEE Shane</v>
      </c>
    </row>
    <row r="9069" customFormat="false" ht="15" hidden="false" customHeight="false" outlineLevel="0" collapsed="false">
      <c r="A9069" s="3" t="s">
        <v>502</v>
      </c>
      <c r="B9069" s="4" t="s">
        <v>44</v>
      </c>
      <c r="C9069" s="4" t="n">
        <v>3</v>
      </c>
      <c r="D9069" s="4" t="s">
        <v>19</v>
      </c>
      <c r="E9069" s="3" t="s">
        <v>33</v>
      </c>
      <c r="F9069" s="4" t="str">
        <f aca="false">IF(I9069&gt;J9069,"Y","N")</f>
        <v>N</v>
      </c>
      <c r="G9069" s="3" t="s">
        <v>72</v>
      </c>
      <c r="H9069" s="3" t="s">
        <v>26</v>
      </c>
      <c r="I9069" s="4" t="n">
        <v>4</v>
      </c>
      <c r="J9069" s="4" t="n">
        <f aca="false">LEN(E9069)-LEN(SUBSTITUTE(E9069,",",""))+1</f>
        <v>4</v>
      </c>
      <c r="K9069" s="3" t="str">
        <f aca="false">IFERROR(INDEX('Teacher Lookup'!$B$2:$B$200,MATCH(A9069,'Teacher Lookup'!$A$2:$A$200,0)),"")</f>
        <v>LEE Shane</v>
      </c>
    </row>
    <row r="9070" customFormat="false" ht="15" hidden="false" customHeight="false" outlineLevel="0" collapsed="false">
      <c r="A9070" s="3" t="s">
        <v>502</v>
      </c>
      <c r="B9070" s="4" t="s">
        <v>44</v>
      </c>
      <c r="C9070" s="4" t="n">
        <v>3</v>
      </c>
      <c r="D9070" s="4" t="s">
        <v>22</v>
      </c>
      <c r="E9070" s="3" t="s">
        <v>33</v>
      </c>
      <c r="F9070" s="4" t="str">
        <f aca="false">IF(I9070&gt;J9070,"Y","N")</f>
        <v>N</v>
      </c>
      <c r="G9070" s="3" t="s">
        <v>72</v>
      </c>
      <c r="H9070" s="3" t="s">
        <v>26</v>
      </c>
      <c r="I9070" s="4" t="n">
        <v>4</v>
      </c>
      <c r="J9070" s="4" t="n">
        <f aca="false">LEN(E9070)-LEN(SUBSTITUTE(E9070,",",""))+1</f>
        <v>4</v>
      </c>
      <c r="K9070" s="3" t="str">
        <f aca="false">IFERROR(INDEX('Teacher Lookup'!$B$2:$B$200,MATCH(A9070,'Teacher Lookup'!$A$2:$A$200,0)),"")</f>
        <v>LEE Shane</v>
      </c>
    </row>
    <row r="9071" customFormat="false" ht="15" hidden="false" customHeight="false" outlineLevel="0" collapsed="false">
      <c r="A9071" s="3" t="s">
        <v>502</v>
      </c>
      <c r="B9071" s="4" t="s">
        <v>44</v>
      </c>
      <c r="C9071" s="4" t="n">
        <v>3</v>
      </c>
      <c r="D9071" s="4" t="s">
        <v>23</v>
      </c>
      <c r="E9071" s="3" t="s">
        <v>33</v>
      </c>
      <c r="F9071" s="4" t="str">
        <f aca="false">IF(I9071&gt;J9071,"Y","N")</f>
        <v>N</v>
      </c>
      <c r="G9071" s="3" t="s">
        <v>72</v>
      </c>
      <c r="H9071" s="3" t="s">
        <v>26</v>
      </c>
      <c r="I9071" s="4" t="n">
        <v>4</v>
      </c>
      <c r="J9071" s="4" t="n">
        <f aca="false">LEN(E9071)-LEN(SUBSTITUTE(E9071,",",""))+1</f>
        <v>4</v>
      </c>
      <c r="K9071" s="3" t="str">
        <f aca="false">IFERROR(INDEX('Teacher Lookup'!$B$2:$B$200,MATCH(A9071,'Teacher Lookup'!$A$2:$A$200,0)),"")</f>
        <v>LEE Shane</v>
      </c>
    </row>
    <row r="9072" customFormat="false" ht="15" hidden="false" customHeight="false" outlineLevel="0" collapsed="false">
      <c r="A9072" s="3" t="s">
        <v>502</v>
      </c>
      <c r="B9072" s="4" t="s">
        <v>44</v>
      </c>
      <c r="C9072" s="4" t="n">
        <v>5</v>
      </c>
      <c r="D9072" s="4" t="s">
        <v>52</v>
      </c>
      <c r="E9072" s="3" t="s">
        <v>112</v>
      </c>
      <c r="F9072" s="4" t="str">
        <f aca="false">IF(I9072&gt;J9072,"Y","N")</f>
        <v>Y</v>
      </c>
      <c r="G9072" s="3" t="s">
        <v>36</v>
      </c>
      <c r="H9072" s="3" t="s">
        <v>37</v>
      </c>
      <c r="I9072" s="4" t="n">
        <v>16</v>
      </c>
      <c r="J9072" s="4" t="n">
        <f aca="false">LEN(E9072)-LEN(SUBSTITUTE(E9072,",",""))+1</f>
        <v>7</v>
      </c>
      <c r="K9072" s="3" t="str">
        <f aca="false">IFERROR(INDEX('Teacher Lookup'!$B$2:$B$200,MATCH(A9072,'Teacher Lookup'!$A$2:$A$200,0)),"")</f>
        <v>LEE Shane</v>
      </c>
    </row>
    <row r="9073" customFormat="false" ht="15" hidden="false" customHeight="false" outlineLevel="0" collapsed="false">
      <c r="A9073" s="3" t="s">
        <v>502</v>
      </c>
      <c r="B9073" s="4" t="s">
        <v>44</v>
      </c>
      <c r="C9073" s="4" t="n">
        <v>5</v>
      </c>
      <c r="D9073" s="4" t="s">
        <v>55</v>
      </c>
      <c r="E9073" s="3" t="s">
        <v>112</v>
      </c>
      <c r="F9073" s="4" t="str">
        <f aca="false">IF(I9073&gt;J9073,"Y","N")</f>
        <v>Y</v>
      </c>
      <c r="G9073" s="3" t="s">
        <v>36</v>
      </c>
      <c r="H9073" s="3" t="s">
        <v>37</v>
      </c>
      <c r="I9073" s="4" t="n">
        <v>16</v>
      </c>
      <c r="J9073" s="4" t="n">
        <f aca="false">LEN(E9073)-LEN(SUBSTITUTE(E9073,",",""))+1</f>
        <v>7</v>
      </c>
      <c r="K9073" s="3" t="str">
        <f aca="false">IFERROR(INDEX('Teacher Lookup'!$B$2:$B$200,MATCH(A9073,'Teacher Lookup'!$A$2:$A$200,0)),"")</f>
        <v>LEE Shane</v>
      </c>
    </row>
    <row r="9074" customFormat="false" ht="15" hidden="false" customHeight="false" outlineLevel="0" collapsed="false">
      <c r="A9074" s="3" t="s">
        <v>502</v>
      </c>
      <c r="B9074" s="4" t="s">
        <v>44</v>
      </c>
      <c r="C9074" s="4" t="n">
        <v>5</v>
      </c>
      <c r="D9074" s="4" t="s">
        <v>56</v>
      </c>
      <c r="E9074" s="3" t="s">
        <v>112</v>
      </c>
      <c r="F9074" s="4" t="str">
        <f aca="false">IF(I9074&gt;J9074,"Y","N")</f>
        <v>Y</v>
      </c>
      <c r="G9074" s="3" t="s">
        <v>36</v>
      </c>
      <c r="H9074" s="3" t="s">
        <v>37</v>
      </c>
      <c r="I9074" s="4" t="n">
        <v>16</v>
      </c>
      <c r="J9074" s="4" t="n">
        <f aca="false">LEN(E9074)-LEN(SUBSTITUTE(E9074,",",""))+1</f>
        <v>7</v>
      </c>
      <c r="K9074" s="3" t="str">
        <f aca="false">IFERROR(INDEX('Teacher Lookup'!$B$2:$B$200,MATCH(A9074,'Teacher Lookup'!$A$2:$A$200,0)),"")</f>
        <v>LEE Shane</v>
      </c>
    </row>
    <row r="9075" customFormat="false" ht="15" hidden="false" customHeight="false" outlineLevel="0" collapsed="false">
      <c r="A9075" s="3" t="s">
        <v>502</v>
      </c>
      <c r="B9075" s="4" t="s">
        <v>44</v>
      </c>
      <c r="C9075" s="4" t="n">
        <v>5</v>
      </c>
      <c r="D9075" s="4" t="s">
        <v>57</v>
      </c>
      <c r="E9075" s="3" t="s">
        <v>112</v>
      </c>
      <c r="F9075" s="4" t="str">
        <f aca="false">IF(I9075&gt;J9075,"Y","N")</f>
        <v>Y</v>
      </c>
      <c r="G9075" s="3" t="s">
        <v>36</v>
      </c>
      <c r="H9075" s="3" t="s">
        <v>37</v>
      </c>
      <c r="I9075" s="4" t="n">
        <v>16</v>
      </c>
      <c r="J9075" s="4" t="n">
        <f aca="false">LEN(E9075)-LEN(SUBSTITUTE(E9075,",",""))+1</f>
        <v>7</v>
      </c>
      <c r="K9075" s="3" t="str">
        <f aca="false">IFERROR(INDEX('Teacher Lookup'!$B$2:$B$200,MATCH(A9075,'Teacher Lookup'!$A$2:$A$200,0)),"")</f>
        <v>LEE Shane</v>
      </c>
    </row>
    <row r="9076" customFormat="false" ht="15" hidden="false" customHeight="false" outlineLevel="0" collapsed="false">
      <c r="A9076" s="3" t="s">
        <v>502</v>
      </c>
      <c r="B9076" s="4" t="s">
        <v>44</v>
      </c>
      <c r="C9076" s="4" t="n">
        <v>5</v>
      </c>
      <c r="D9076" s="4" t="s">
        <v>58</v>
      </c>
      <c r="E9076" s="3" t="s">
        <v>112</v>
      </c>
      <c r="F9076" s="4" t="str">
        <f aca="false">IF(I9076&gt;J9076,"Y","N")</f>
        <v>Y</v>
      </c>
      <c r="G9076" s="3" t="s">
        <v>36</v>
      </c>
      <c r="H9076" s="3" t="s">
        <v>37</v>
      </c>
      <c r="I9076" s="4" t="n">
        <v>16</v>
      </c>
      <c r="J9076" s="4" t="n">
        <f aca="false">LEN(E9076)-LEN(SUBSTITUTE(E9076,",",""))+1</f>
        <v>7</v>
      </c>
      <c r="K9076" s="3" t="str">
        <f aca="false">IFERROR(INDEX('Teacher Lookup'!$B$2:$B$200,MATCH(A9076,'Teacher Lookup'!$A$2:$A$200,0)),"")</f>
        <v>LEE Shane</v>
      </c>
    </row>
    <row r="9077" customFormat="false" ht="15" hidden="false" customHeight="false" outlineLevel="0" collapsed="false">
      <c r="A9077" s="3" t="s">
        <v>502</v>
      </c>
      <c r="B9077" s="4" t="s">
        <v>44</v>
      </c>
      <c r="C9077" s="4" t="n">
        <v>5</v>
      </c>
      <c r="D9077" s="4" t="s">
        <v>59</v>
      </c>
      <c r="E9077" s="3" t="s">
        <v>112</v>
      </c>
      <c r="F9077" s="4" t="str">
        <f aca="false">IF(I9077&gt;J9077,"Y","N")</f>
        <v>Y</v>
      </c>
      <c r="G9077" s="3" t="s">
        <v>36</v>
      </c>
      <c r="H9077" s="3" t="s">
        <v>37</v>
      </c>
      <c r="I9077" s="4" t="n">
        <v>16</v>
      </c>
      <c r="J9077" s="4" t="n">
        <f aca="false">LEN(E9077)-LEN(SUBSTITUTE(E9077,",",""))+1</f>
        <v>7</v>
      </c>
      <c r="K9077" s="3" t="str">
        <f aca="false">IFERROR(INDEX('Teacher Lookup'!$B$2:$B$200,MATCH(A9077,'Teacher Lookup'!$A$2:$A$200,0)),"")</f>
        <v>LEE Shane</v>
      </c>
    </row>
    <row r="9078" customFormat="false" ht="15" hidden="false" customHeight="false" outlineLevel="0" collapsed="false">
      <c r="A9078" s="3" t="s">
        <v>502</v>
      </c>
      <c r="B9078" s="4" t="s">
        <v>44</v>
      </c>
      <c r="C9078" s="4" t="n">
        <v>6</v>
      </c>
      <c r="D9078" s="4" t="s">
        <v>13</v>
      </c>
      <c r="E9078" s="3" t="s">
        <v>323</v>
      </c>
      <c r="F9078" s="4" t="str">
        <f aca="false">IF(I9078&gt;J9078,"Y","N")</f>
        <v>N</v>
      </c>
      <c r="G9078" s="3" t="s">
        <v>72</v>
      </c>
      <c r="H9078" s="3" t="s">
        <v>42</v>
      </c>
      <c r="I9078" s="4" t="n">
        <v>4</v>
      </c>
      <c r="J9078" s="4" t="n">
        <f aca="false">LEN(E9078)-LEN(SUBSTITUTE(E9078,",",""))+1</f>
        <v>4</v>
      </c>
      <c r="K9078" s="3" t="str">
        <f aca="false">IFERROR(INDEX('Teacher Lookup'!$B$2:$B$200,MATCH(A9078,'Teacher Lookup'!$A$2:$A$200,0)),"")</f>
        <v>LEE Shane</v>
      </c>
    </row>
    <row r="9079" customFormat="false" ht="15" hidden="false" customHeight="false" outlineLevel="0" collapsed="false">
      <c r="A9079" s="3" t="s">
        <v>502</v>
      </c>
      <c r="B9079" s="4" t="s">
        <v>44</v>
      </c>
      <c r="C9079" s="4" t="n">
        <v>6</v>
      </c>
      <c r="D9079" s="4" t="s">
        <v>17</v>
      </c>
      <c r="E9079" s="3" t="s">
        <v>323</v>
      </c>
      <c r="F9079" s="4" t="str">
        <f aca="false">IF(I9079&gt;J9079,"Y","N")</f>
        <v>N</v>
      </c>
      <c r="G9079" s="3" t="s">
        <v>72</v>
      </c>
      <c r="H9079" s="3" t="s">
        <v>42</v>
      </c>
      <c r="I9079" s="4" t="n">
        <v>4</v>
      </c>
      <c r="J9079" s="4" t="n">
        <f aca="false">LEN(E9079)-LEN(SUBSTITUTE(E9079,",",""))+1</f>
        <v>4</v>
      </c>
      <c r="K9079" s="3" t="str">
        <f aca="false">IFERROR(INDEX('Teacher Lookup'!$B$2:$B$200,MATCH(A9079,'Teacher Lookup'!$A$2:$A$200,0)),"")</f>
        <v>LEE Shane</v>
      </c>
    </row>
    <row r="9080" customFormat="false" ht="15" hidden="false" customHeight="false" outlineLevel="0" collapsed="false">
      <c r="A9080" s="3" t="s">
        <v>502</v>
      </c>
      <c r="B9080" s="4" t="s">
        <v>44</v>
      </c>
      <c r="C9080" s="4" t="n">
        <v>6</v>
      </c>
      <c r="D9080" s="4" t="s">
        <v>18</v>
      </c>
      <c r="E9080" s="3" t="s">
        <v>323</v>
      </c>
      <c r="F9080" s="4" t="str">
        <f aca="false">IF(I9080&gt;J9080,"Y","N")</f>
        <v>N</v>
      </c>
      <c r="G9080" s="3" t="s">
        <v>72</v>
      </c>
      <c r="H9080" s="3" t="s">
        <v>42</v>
      </c>
      <c r="I9080" s="4" t="n">
        <v>4</v>
      </c>
      <c r="J9080" s="4" t="n">
        <f aca="false">LEN(E9080)-LEN(SUBSTITUTE(E9080,",",""))+1</f>
        <v>4</v>
      </c>
      <c r="K9080" s="3" t="str">
        <f aca="false">IFERROR(INDEX('Teacher Lookup'!$B$2:$B$200,MATCH(A9080,'Teacher Lookup'!$A$2:$A$200,0)),"")</f>
        <v>LEE Shane</v>
      </c>
    </row>
    <row r="9081" customFormat="false" ht="15" hidden="false" customHeight="false" outlineLevel="0" collapsed="false">
      <c r="A9081" s="3" t="s">
        <v>502</v>
      </c>
      <c r="B9081" s="4" t="s">
        <v>47</v>
      </c>
      <c r="C9081" s="4" t="n">
        <v>1</v>
      </c>
      <c r="D9081" s="4" t="s">
        <v>57</v>
      </c>
      <c r="E9081" s="3" t="s">
        <v>394</v>
      </c>
      <c r="F9081" s="4" t="str">
        <f aca="false">IF(I9081&gt;J9081,"Y","N")</f>
        <v>N</v>
      </c>
      <c r="G9081" s="3" t="s">
        <v>72</v>
      </c>
      <c r="H9081" s="3" t="s">
        <v>16</v>
      </c>
      <c r="I9081" s="4" t="n">
        <v>4</v>
      </c>
      <c r="J9081" s="4" t="n">
        <f aca="false">LEN(E9081)-LEN(SUBSTITUTE(E9081,",",""))+1</f>
        <v>4</v>
      </c>
      <c r="K9081" s="3" t="str">
        <f aca="false">IFERROR(INDEX('Teacher Lookup'!$B$2:$B$200,MATCH(A9081,'Teacher Lookup'!$A$2:$A$200,0)),"")</f>
        <v>LEE Shane</v>
      </c>
    </row>
    <row r="9082" customFormat="false" ht="15" hidden="false" customHeight="false" outlineLevel="0" collapsed="false">
      <c r="A9082" s="3" t="s">
        <v>502</v>
      </c>
      <c r="B9082" s="4" t="s">
        <v>47</v>
      </c>
      <c r="C9082" s="4" t="n">
        <v>1</v>
      </c>
      <c r="D9082" s="4" t="s">
        <v>58</v>
      </c>
      <c r="E9082" s="3" t="s">
        <v>394</v>
      </c>
      <c r="F9082" s="4" t="str">
        <f aca="false">IF(I9082&gt;J9082,"Y","N")</f>
        <v>N</v>
      </c>
      <c r="G9082" s="3" t="s">
        <v>72</v>
      </c>
      <c r="H9082" s="3" t="s">
        <v>16</v>
      </c>
      <c r="I9082" s="4" t="n">
        <v>4</v>
      </c>
      <c r="J9082" s="4" t="n">
        <f aca="false">LEN(E9082)-LEN(SUBSTITUTE(E9082,",",""))+1</f>
        <v>4</v>
      </c>
      <c r="K9082" s="3" t="str">
        <f aca="false">IFERROR(INDEX('Teacher Lookup'!$B$2:$B$200,MATCH(A9082,'Teacher Lookup'!$A$2:$A$200,0)),"")</f>
        <v>LEE Shane</v>
      </c>
    </row>
    <row r="9083" customFormat="false" ht="15" hidden="false" customHeight="false" outlineLevel="0" collapsed="false">
      <c r="A9083" s="3" t="s">
        <v>502</v>
      </c>
      <c r="B9083" s="4" t="s">
        <v>47</v>
      </c>
      <c r="C9083" s="4" t="n">
        <v>1</v>
      </c>
      <c r="D9083" s="4" t="s">
        <v>59</v>
      </c>
      <c r="E9083" s="3" t="s">
        <v>394</v>
      </c>
      <c r="F9083" s="4" t="str">
        <f aca="false">IF(I9083&gt;J9083,"Y","N")</f>
        <v>N</v>
      </c>
      <c r="G9083" s="3" t="s">
        <v>72</v>
      </c>
      <c r="H9083" s="3" t="s">
        <v>16</v>
      </c>
      <c r="I9083" s="4" t="n">
        <v>4</v>
      </c>
      <c r="J9083" s="4" t="n">
        <f aca="false">LEN(E9083)-LEN(SUBSTITUTE(E9083,",",""))+1</f>
        <v>4</v>
      </c>
      <c r="K9083" s="3" t="str">
        <f aca="false">IFERROR(INDEX('Teacher Lookup'!$B$2:$B$200,MATCH(A9083,'Teacher Lookup'!$A$2:$A$200,0)),"")</f>
        <v>LEE Shane</v>
      </c>
    </row>
    <row r="9084" customFormat="false" ht="15" hidden="false" customHeight="false" outlineLevel="0" collapsed="false">
      <c r="A9084" s="3" t="s">
        <v>502</v>
      </c>
      <c r="B9084" s="4" t="s">
        <v>47</v>
      </c>
      <c r="C9084" s="4" t="n">
        <v>3</v>
      </c>
      <c r="D9084" s="4" t="s">
        <v>13</v>
      </c>
      <c r="E9084" s="3" t="s">
        <v>327</v>
      </c>
      <c r="F9084" s="4" t="str">
        <f aca="false">IF(I9084&gt;J9084,"Y","N")</f>
        <v>N</v>
      </c>
      <c r="G9084" s="3" t="s">
        <v>72</v>
      </c>
      <c r="H9084" s="3" t="s">
        <v>26</v>
      </c>
      <c r="I9084" s="4" t="n">
        <v>4</v>
      </c>
      <c r="J9084" s="4" t="n">
        <f aca="false">LEN(E9084)-LEN(SUBSTITUTE(E9084,",",""))+1</f>
        <v>4</v>
      </c>
      <c r="K9084" s="3" t="str">
        <f aca="false">IFERROR(INDEX('Teacher Lookup'!$B$2:$B$200,MATCH(A9084,'Teacher Lookup'!$A$2:$A$200,0)),"")</f>
        <v>LEE Shane</v>
      </c>
    </row>
    <row r="9085" customFormat="false" ht="15" hidden="false" customHeight="false" outlineLevel="0" collapsed="false">
      <c r="A9085" s="3" t="s">
        <v>502</v>
      </c>
      <c r="B9085" s="4" t="s">
        <v>47</v>
      </c>
      <c r="C9085" s="4" t="n">
        <v>3</v>
      </c>
      <c r="D9085" s="4" t="s">
        <v>17</v>
      </c>
      <c r="E9085" s="3" t="s">
        <v>327</v>
      </c>
      <c r="F9085" s="4" t="str">
        <f aca="false">IF(I9085&gt;J9085,"Y","N")</f>
        <v>N</v>
      </c>
      <c r="G9085" s="3" t="s">
        <v>72</v>
      </c>
      <c r="H9085" s="3" t="s">
        <v>26</v>
      </c>
      <c r="I9085" s="4" t="n">
        <v>4</v>
      </c>
      <c r="J9085" s="4" t="n">
        <f aca="false">LEN(E9085)-LEN(SUBSTITUTE(E9085,",",""))+1</f>
        <v>4</v>
      </c>
      <c r="K9085" s="3" t="str">
        <f aca="false">IFERROR(INDEX('Teacher Lookup'!$B$2:$B$200,MATCH(A9085,'Teacher Lookup'!$A$2:$A$200,0)),"")</f>
        <v>LEE Shane</v>
      </c>
    </row>
    <row r="9086" customFormat="false" ht="15" hidden="false" customHeight="false" outlineLevel="0" collapsed="false">
      <c r="A9086" s="3" t="s">
        <v>502</v>
      </c>
      <c r="B9086" s="4" t="s">
        <v>47</v>
      </c>
      <c r="C9086" s="4" t="n">
        <v>3</v>
      </c>
      <c r="D9086" s="4" t="s">
        <v>18</v>
      </c>
      <c r="E9086" s="3" t="s">
        <v>327</v>
      </c>
      <c r="F9086" s="4" t="str">
        <f aca="false">IF(I9086&gt;J9086,"Y","N")</f>
        <v>N</v>
      </c>
      <c r="G9086" s="3" t="s">
        <v>72</v>
      </c>
      <c r="H9086" s="3" t="s">
        <v>26</v>
      </c>
      <c r="I9086" s="4" t="n">
        <v>4</v>
      </c>
      <c r="J9086" s="4" t="n">
        <f aca="false">LEN(E9086)-LEN(SUBSTITUTE(E9086,",",""))+1</f>
        <v>4</v>
      </c>
      <c r="K9086" s="3" t="str">
        <f aca="false">IFERROR(INDEX('Teacher Lookup'!$B$2:$B$200,MATCH(A9086,'Teacher Lookup'!$A$2:$A$200,0)),"")</f>
        <v>LEE Shane</v>
      </c>
    </row>
    <row r="9087" customFormat="false" ht="15" hidden="false" customHeight="false" outlineLevel="0" collapsed="false">
      <c r="A9087" s="3" t="s">
        <v>502</v>
      </c>
      <c r="B9087" s="4" t="s">
        <v>47</v>
      </c>
      <c r="C9087" s="4" t="n">
        <v>4</v>
      </c>
      <c r="D9087" s="4" t="s">
        <v>19</v>
      </c>
      <c r="E9087" s="3" t="s">
        <v>33</v>
      </c>
      <c r="F9087" s="4" t="str">
        <f aca="false">IF(I9087&gt;J9087,"Y","N")</f>
        <v>N</v>
      </c>
      <c r="G9087" s="3" t="s">
        <v>72</v>
      </c>
      <c r="H9087" s="3" t="s">
        <v>34</v>
      </c>
      <c r="I9087" s="4" t="n">
        <v>4</v>
      </c>
      <c r="J9087" s="4" t="n">
        <f aca="false">LEN(E9087)-LEN(SUBSTITUTE(E9087,",",""))+1</f>
        <v>4</v>
      </c>
      <c r="K9087" s="3" t="str">
        <f aca="false">IFERROR(INDEX('Teacher Lookup'!$B$2:$B$200,MATCH(A9087,'Teacher Lookup'!$A$2:$A$200,0)),"")</f>
        <v>LEE Shane</v>
      </c>
    </row>
    <row r="9088" customFormat="false" ht="15" hidden="false" customHeight="false" outlineLevel="0" collapsed="false">
      <c r="A9088" s="3" t="s">
        <v>502</v>
      </c>
      <c r="B9088" s="4" t="s">
        <v>47</v>
      </c>
      <c r="C9088" s="4" t="n">
        <v>4</v>
      </c>
      <c r="D9088" s="4" t="s">
        <v>22</v>
      </c>
      <c r="E9088" s="3" t="s">
        <v>33</v>
      </c>
      <c r="F9088" s="4" t="str">
        <f aca="false">IF(I9088&gt;J9088,"Y","N")</f>
        <v>N</v>
      </c>
      <c r="G9088" s="3" t="s">
        <v>72</v>
      </c>
      <c r="H9088" s="3" t="s">
        <v>34</v>
      </c>
      <c r="I9088" s="4" t="n">
        <v>4</v>
      </c>
      <c r="J9088" s="4" t="n">
        <f aca="false">LEN(E9088)-LEN(SUBSTITUTE(E9088,",",""))+1</f>
        <v>4</v>
      </c>
      <c r="K9088" s="3" t="str">
        <f aca="false">IFERROR(INDEX('Teacher Lookup'!$B$2:$B$200,MATCH(A9088,'Teacher Lookup'!$A$2:$A$200,0)),"")</f>
        <v>LEE Shane</v>
      </c>
    </row>
    <row r="9089" customFormat="false" ht="15" hidden="false" customHeight="false" outlineLevel="0" collapsed="false">
      <c r="A9089" s="3" t="s">
        <v>502</v>
      </c>
      <c r="B9089" s="4" t="s">
        <v>47</v>
      </c>
      <c r="C9089" s="4" t="n">
        <v>4</v>
      </c>
      <c r="D9089" s="4" t="s">
        <v>23</v>
      </c>
      <c r="E9089" s="3" t="s">
        <v>33</v>
      </c>
      <c r="F9089" s="4" t="str">
        <f aca="false">IF(I9089&gt;J9089,"Y","N")</f>
        <v>N</v>
      </c>
      <c r="G9089" s="3" t="s">
        <v>72</v>
      </c>
      <c r="H9089" s="3" t="s">
        <v>34</v>
      </c>
      <c r="I9089" s="4" t="n">
        <v>4</v>
      </c>
      <c r="J9089" s="4" t="n">
        <f aca="false">LEN(E9089)-LEN(SUBSTITUTE(E9089,",",""))+1</f>
        <v>4</v>
      </c>
      <c r="K9089" s="3" t="str">
        <f aca="false">IFERROR(INDEX('Teacher Lookup'!$B$2:$B$200,MATCH(A9089,'Teacher Lookup'!$A$2:$A$200,0)),"")</f>
        <v>LEE Shane</v>
      </c>
    </row>
    <row r="9090" customFormat="false" ht="15" hidden="false" customHeight="false" outlineLevel="0" collapsed="false">
      <c r="A9090" s="3" t="s">
        <v>502</v>
      </c>
      <c r="B9090" s="4" t="s">
        <v>50</v>
      </c>
      <c r="C9090" s="4" t="n">
        <v>3</v>
      </c>
      <c r="D9090" s="4" t="s">
        <v>19</v>
      </c>
      <c r="E9090" s="3" t="s">
        <v>329</v>
      </c>
      <c r="F9090" s="4" t="str">
        <f aca="false">IF(I9090&gt;J9090,"Y","N")</f>
        <v>N</v>
      </c>
      <c r="G9090" s="3" t="s">
        <v>72</v>
      </c>
      <c r="H9090" s="3" t="s">
        <v>26</v>
      </c>
      <c r="I9090" s="4" t="n">
        <v>4</v>
      </c>
      <c r="J9090" s="4" t="n">
        <f aca="false">LEN(E9090)-LEN(SUBSTITUTE(E9090,",",""))+1</f>
        <v>4</v>
      </c>
      <c r="K9090" s="3" t="str">
        <f aca="false">IFERROR(INDEX('Teacher Lookup'!$B$2:$B$200,MATCH(A9090,'Teacher Lookup'!$A$2:$A$200,0)),"")</f>
        <v>LEE Shane</v>
      </c>
    </row>
    <row r="9091" customFormat="false" ht="15" hidden="false" customHeight="false" outlineLevel="0" collapsed="false">
      <c r="A9091" s="3" t="s">
        <v>502</v>
      </c>
      <c r="B9091" s="4" t="s">
        <v>50</v>
      </c>
      <c r="C9091" s="4" t="n">
        <v>3</v>
      </c>
      <c r="D9091" s="4" t="s">
        <v>22</v>
      </c>
      <c r="E9091" s="3" t="s">
        <v>329</v>
      </c>
      <c r="F9091" s="4" t="str">
        <f aca="false">IF(I9091&gt;J9091,"Y","N")</f>
        <v>N</v>
      </c>
      <c r="G9091" s="3" t="s">
        <v>72</v>
      </c>
      <c r="H9091" s="3" t="s">
        <v>26</v>
      </c>
      <c r="I9091" s="4" t="n">
        <v>4</v>
      </c>
      <c r="J9091" s="4" t="n">
        <f aca="false">LEN(E9091)-LEN(SUBSTITUTE(E9091,",",""))+1</f>
        <v>4</v>
      </c>
      <c r="K9091" s="3" t="str">
        <f aca="false">IFERROR(INDEX('Teacher Lookup'!$B$2:$B$200,MATCH(A9091,'Teacher Lookup'!$A$2:$A$200,0)),"")</f>
        <v>LEE Shane</v>
      </c>
    </row>
    <row r="9092" customFormat="false" ht="15" hidden="false" customHeight="false" outlineLevel="0" collapsed="false">
      <c r="A9092" s="3" t="s">
        <v>502</v>
      </c>
      <c r="B9092" s="4" t="s">
        <v>50</v>
      </c>
      <c r="C9092" s="4" t="n">
        <v>3</v>
      </c>
      <c r="D9092" s="4" t="s">
        <v>23</v>
      </c>
      <c r="E9092" s="3" t="s">
        <v>329</v>
      </c>
      <c r="F9092" s="4" t="str">
        <f aca="false">IF(I9092&gt;J9092,"Y","N")</f>
        <v>N</v>
      </c>
      <c r="G9092" s="3" t="s">
        <v>72</v>
      </c>
      <c r="H9092" s="3" t="s">
        <v>26</v>
      </c>
      <c r="I9092" s="4" t="n">
        <v>4</v>
      </c>
      <c r="J9092" s="4" t="n">
        <f aca="false">LEN(E9092)-LEN(SUBSTITUTE(E9092,",",""))+1</f>
        <v>4</v>
      </c>
      <c r="K9092" s="3" t="str">
        <f aca="false">IFERROR(INDEX('Teacher Lookup'!$B$2:$B$200,MATCH(A9092,'Teacher Lookup'!$A$2:$A$200,0)),"")</f>
        <v>LEE Shane</v>
      </c>
    </row>
    <row r="9093" customFormat="false" ht="15" hidden="false" customHeight="false" outlineLevel="0" collapsed="false">
      <c r="A9093" s="3" t="s">
        <v>502</v>
      </c>
      <c r="B9093" s="4" t="s">
        <v>50</v>
      </c>
      <c r="C9093" s="4" t="n">
        <v>4</v>
      </c>
      <c r="D9093" s="4" t="s">
        <v>57</v>
      </c>
      <c r="E9093" s="3" t="s">
        <v>396</v>
      </c>
      <c r="F9093" s="4" t="str">
        <f aca="false">IF(I9093&gt;J9093,"Y","N")</f>
        <v>N</v>
      </c>
      <c r="G9093" s="3" t="s">
        <v>72</v>
      </c>
      <c r="H9093" s="3" t="s">
        <v>34</v>
      </c>
      <c r="I9093" s="4" t="n">
        <v>4</v>
      </c>
      <c r="J9093" s="4" t="n">
        <f aca="false">LEN(E9093)-LEN(SUBSTITUTE(E9093,",",""))+1</f>
        <v>4</v>
      </c>
      <c r="K9093" s="3" t="str">
        <f aca="false">IFERROR(INDEX('Teacher Lookup'!$B$2:$B$200,MATCH(A9093,'Teacher Lookup'!$A$2:$A$200,0)),"")</f>
        <v>LEE Shane</v>
      </c>
    </row>
    <row r="9094" customFormat="false" ht="15" hidden="false" customHeight="false" outlineLevel="0" collapsed="false">
      <c r="A9094" s="3" t="s">
        <v>502</v>
      </c>
      <c r="B9094" s="4" t="s">
        <v>50</v>
      </c>
      <c r="C9094" s="4" t="n">
        <v>4</v>
      </c>
      <c r="D9094" s="4" t="s">
        <v>58</v>
      </c>
      <c r="E9094" s="3" t="s">
        <v>396</v>
      </c>
      <c r="F9094" s="4" t="str">
        <f aca="false">IF(I9094&gt;J9094,"Y","N")</f>
        <v>N</v>
      </c>
      <c r="G9094" s="3" t="s">
        <v>72</v>
      </c>
      <c r="H9094" s="3" t="s">
        <v>34</v>
      </c>
      <c r="I9094" s="4" t="n">
        <v>4</v>
      </c>
      <c r="J9094" s="4" t="n">
        <f aca="false">LEN(E9094)-LEN(SUBSTITUTE(E9094,",",""))+1</f>
        <v>4</v>
      </c>
      <c r="K9094" s="3" t="str">
        <f aca="false">IFERROR(INDEX('Teacher Lookup'!$B$2:$B$200,MATCH(A9094,'Teacher Lookup'!$A$2:$A$200,0)),"")</f>
        <v>LEE Shane</v>
      </c>
    </row>
    <row r="9095" customFormat="false" ht="15" hidden="false" customHeight="false" outlineLevel="0" collapsed="false">
      <c r="A9095" s="3" t="s">
        <v>502</v>
      </c>
      <c r="B9095" s="4" t="s">
        <v>50</v>
      </c>
      <c r="C9095" s="4" t="n">
        <v>4</v>
      </c>
      <c r="D9095" s="4" t="s">
        <v>59</v>
      </c>
      <c r="E9095" s="3" t="s">
        <v>396</v>
      </c>
      <c r="F9095" s="4" t="str">
        <f aca="false">IF(I9095&gt;J9095,"Y","N")</f>
        <v>N</v>
      </c>
      <c r="G9095" s="3" t="s">
        <v>72</v>
      </c>
      <c r="H9095" s="3" t="s">
        <v>34</v>
      </c>
      <c r="I9095" s="4" t="n">
        <v>4</v>
      </c>
      <c r="J9095" s="4" t="n">
        <f aca="false">LEN(E9095)-LEN(SUBSTITUTE(E9095,",",""))+1</f>
        <v>4</v>
      </c>
      <c r="K9095" s="3" t="str">
        <f aca="false">IFERROR(INDEX('Teacher Lookup'!$B$2:$B$200,MATCH(A9095,'Teacher Lookup'!$A$2:$A$200,0)),"")</f>
        <v>LEE Shane</v>
      </c>
    </row>
    <row r="9096" customFormat="false" ht="15" hidden="false" customHeight="false" outlineLevel="0" collapsed="false">
      <c r="A9096" s="3" t="s">
        <v>502</v>
      </c>
      <c r="B9096" s="4" t="s">
        <v>50</v>
      </c>
      <c r="C9096" s="4" t="n">
        <v>5</v>
      </c>
      <c r="D9096" s="4" t="s">
        <v>13</v>
      </c>
      <c r="E9096" s="3" t="s">
        <v>330</v>
      </c>
      <c r="F9096" s="4" t="str">
        <f aca="false">IF(I9096&gt;J9096,"Y","N")</f>
        <v>N</v>
      </c>
      <c r="G9096" s="3" t="s">
        <v>72</v>
      </c>
      <c r="H9096" s="3" t="s">
        <v>37</v>
      </c>
      <c r="I9096" s="4" t="n">
        <v>4</v>
      </c>
      <c r="J9096" s="4" t="n">
        <f aca="false">LEN(E9096)-LEN(SUBSTITUTE(E9096,",",""))+1</f>
        <v>4</v>
      </c>
      <c r="K9096" s="3" t="str">
        <f aca="false">IFERROR(INDEX('Teacher Lookup'!$B$2:$B$200,MATCH(A9096,'Teacher Lookup'!$A$2:$A$200,0)),"")</f>
        <v>LEE Shane</v>
      </c>
    </row>
    <row r="9097" customFormat="false" ht="15" hidden="false" customHeight="false" outlineLevel="0" collapsed="false">
      <c r="A9097" s="3" t="s">
        <v>502</v>
      </c>
      <c r="B9097" s="4" t="s">
        <v>50</v>
      </c>
      <c r="C9097" s="4" t="n">
        <v>5</v>
      </c>
      <c r="D9097" s="4" t="s">
        <v>17</v>
      </c>
      <c r="E9097" s="3" t="s">
        <v>330</v>
      </c>
      <c r="F9097" s="4" t="str">
        <f aca="false">IF(I9097&gt;J9097,"Y","N")</f>
        <v>N</v>
      </c>
      <c r="G9097" s="3" t="s">
        <v>72</v>
      </c>
      <c r="H9097" s="3" t="s">
        <v>37</v>
      </c>
      <c r="I9097" s="4" t="n">
        <v>4</v>
      </c>
      <c r="J9097" s="4" t="n">
        <f aca="false">LEN(E9097)-LEN(SUBSTITUTE(E9097,",",""))+1</f>
        <v>4</v>
      </c>
      <c r="K9097" s="3" t="str">
        <f aca="false">IFERROR(INDEX('Teacher Lookup'!$B$2:$B$200,MATCH(A9097,'Teacher Lookup'!$A$2:$A$200,0)),"")</f>
        <v>LEE Shane</v>
      </c>
    </row>
    <row r="9098" customFormat="false" ht="15" hidden="false" customHeight="false" outlineLevel="0" collapsed="false">
      <c r="A9098" s="3" t="s">
        <v>502</v>
      </c>
      <c r="B9098" s="4" t="s">
        <v>50</v>
      </c>
      <c r="C9098" s="4" t="n">
        <v>5</v>
      </c>
      <c r="D9098" s="4" t="s">
        <v>18</v>
      </c>
      <c r="E9098" s="3" t="s">
        <v>330</v>
      </c>
      <c r="F9098" s="4" t="str">
        <f aca="false">IF(I9098&gt;J9098,"Y","N")</f>
        <v>N</v>
      </c>
      <c r="G9098" s="3" t="s">
        <v>72</v>
      </c>
      <c r="H9098" s="3" t="s">
        <v>37</v>
      </c>
      <c r="I9098" s="4" t="n">
        <v>4</v>
      </c>
      <c r="J9098" s="4" t="n">
        <f aca="false">LEN(E9098)-LEN(SUBSTITUTE(E9098,",",""))+1</f>
        <v>4</v>
      </c>
      <c r="K9098" s="3" t="str">
        <f aca="false">IFERROR(INDEX('Teacher Lookup'!$B$2:$B$200,MATCH(A9098,'Teacher Lookup'!$A$2:$A$200,0)),"")</f>
        <v>LEE Shane</v>
      </c>
    </row>
    <row r="9099" customFormat="false" ht="15" hidden="false" customHeight="false" outlineLevel="0" collapsed="false">
      <c r="A9099" s="3" t="s">
        <v>502</v>
      </c>
      <c r="B9099" s="4" t="s">
        <v>60</v>
      </c>
      <c r="C9099" s="4" t="n">
        <v>1</v>
      </c>
      <c r="D9099" s="4" t="s">
        <v>19</v>
      </c>
      <c r="E9099" s="3" t="s">
        <v>20</v>
      </c>
      <c r="F9099" s="4" t="str">
        <f aca="false">IF(I9099&gt;J9099,"Y","N")</f>
        <v>N</v>
      </c>
      <c r="G9099" s="3" t="s">
        <v>72</v>
      </c>
      <c r="H9099" s="3" t="s">
        <v>16</v>
      </c>
      <c r="I9099" s="4" t="n">
        <v>4</v>
      </c>
      <c r="J9099" s="4" t="n">
        <f aca="false">LEN(E9099)-LEN(SUBSTITUTE(E9099,",",""))+1</f>
        <v>4</v>
      </c>
      <c r="K9099" s="3" t="str">
        <f aca="false">IFERROR(INDEX('Teacher Lookup'!$B$2:$B$200,MATCH(A9099,'Teacher Lookup'!$A$2:$A$200,0)),"")</f>
        <v>LEE Shane</v>
      </c>
    </row>
    <row r="9100" customFormat="false" ht="15" hidden="false" customHeight="false" outlineLevel="0" collapsed="false">
      <c r="A9100" s="3" t="s">
        <v>502</v>
      </c>
      <c r="B9100" s="4" t="s">
        <v>60</v>
      </c>
      <c r="C9100" s="4" t="n">
        <v>1</v>
      </c>
      <c r="D9100" s="4" t="s">
        <v>22</v>
      </c>
      <c r="E9100" s="3" t="s">
        <v>20</v>
      </c>
      <c r="F9100" s="4" t="str">
        <f aca="false">IF(I9100&gt;J9100,"Y","N")</f>
        <v>N</v>
      </c>
      <c r="G9100" s="3" t="s">
        <v>72</v>
      </c>
      <c r="H9100" s="3" t="s">
        <v>16</v>
      </c>
      <c r="I9100" s="4" t="n">
        <v>4</v>
      </c>
      <c r="J9100" s="4" t="n">
        <f aca="false">LEN(E9100)-LEN(SUBSTITUTE(E9100,",",""))+1</f>
        <v>4</v>
      </c>
      <c r="K9100" s="3" t="str">
        <f aca="false">IFERROR(INDEX('Teacher Lookup'!$B$2:$B$200,MATCH(A9100,'Teacher Lookup'!$A$2:$A$200,0)),"")</f>
        <v>LEE Shane</v>
      </c>
    </row>
    <row r="9101" customFormat="false" ht="15" hidden="false" customHeight="false" outlineLevel="0" collapsed="false">
      <c r="A9101" s="3" t="s">
        <v>502</v>
      </c>
      <c r="B9101" s="4" t="s">
        <v>60</v>
      </c>
      <c r="C9101" s="4" t="n">
        <v>1</v>
      </c>
      <c r="D9101" s="4" t="s">
        <v>23</v>
      </c>
      <c r="E9101" s="3" t="s">
        <v>20</v>
      </c>
      <c r="F9101" s="4" t="str">
        <f aca="false">IF(I9101&gt;J9101,"Y","N")</f>
        <v>N</v>
      </c>
      <c r="G9101" s="3" t="s">
        <v>72</v>
      </c>
      <c r="H9101" s="3" t="s">
        <v>16</v>
      </c>
      <c r="I9101" s="4" t="n">
        <v>4</v>
      </c>
      <c r="J9101" s="4" t="n">
        <f aca="false">LEN(E9101)-LEN(SUBSTITUTE(E9101,",",""))+1</f>
        <v>4</v>
      </c>
      <c r="K9101" s="3" t="str">
        <f aca="false">IFERROR(INDEX('Teacher Lookup'!$B$2:$B$200,MATCH(A9101,'Teacher Lookup'!$A$2:$A$200,0)),"")</f>
        <v>LEE Shane</v>
      </c>
    </row>
    <row r="9102" customFormat="false" ht="15" hidden="false" customHeight="false" outlineLevel="0" collapsed="false">
      <c r="A9102" s="3" t="s">
        <v>502</v>
      </c>
      <c r="B9102" s="4" t="s">
        <v>60</v>
      </c>
      <c r="C9102" s="4" t="n">
        <v>4</v>
      </c>
      <c r="D9102" s="4" t="s">
        <v>13</v>
      </c>
      <c r="E9102" s="3" t="s">
        <v>333</v>
      </c>
      <c r="F9102" s="4" t="str">
        <f aca="false">IF(I9102&gt;J9102,"Y","N")</f>
        <v>N</v>
      </c>
      <c r="G9102" s="3" t="s">
        <v>72</v>
      </c>
      <c r="H9102" s="3" t="s">
        <v>34</v>
      </c>
      <c r="I9102" s="4" t="n">
        <v>4</v>
      </c>
      <c r="J9102" s="4" t="n">
        <f aca="false">LEN(E9102)-LEN(SUBSTITUTE(E9102,",",""))+1</f>
        <v>4</v>
      </c>
      <c r="K9102" s="3" t="str">
        <f aca="false">IFERROR(INDEX('Teacher Lookup'!$B$2:$B$200,MATCH(A9102,'Teacher Lookup'!$A$2:$A$200,0)),"")</f>
        <v>LEE Shane</v>
      </c>
    </row>
    <row r="9103" customFormat="false" ht="15" hidden="false" customHeight="false" outlineLevel="0" collapsed="false">
      <c r="A9103" s="3" t="s">
        <v>502</v>
      </c>
      <c r="B9103" s="4" t="s">
        <v>60</v>
      </c>
      <c r="C9103" s="4" t="n">
        <v>4</v>
      </c>
      <c r="D9103" s="4" t="s">
        <v>17</v>
      </c>
      <c r="E9103" s="3" t="s">
        <v>333</v>
      </c>
      <c r="F9103" s="4" t="str">
        <f aca="false">IF(I9103&gt;J9103,"Y","N")</f>
        <v>N</v>
      </c>
      <c r="G9103" s="3" t="s">
        <v>72</v>
      </c>
      <c r="H9103" s="3" t="s">
        <v>34</v>
      </c>
      <c r="I9103" s="4" t="n">
        <v>4</v>
      </c>
      <c r="J9103" s="4" t="n">
        <f aca="false">LEN(E9103)-LEN(SUBSTITUTE(E9103,",",""))+1</f>
        <v>4</v>
      </c>
      <c r="K9103" s="3" t="str">
        <f aca="false">IFERROR(INDEX('Teacher Lookup'!$B$2:$B$200,MATCH(A9103,'Teacher Lookup'!$A$2:$A$200,0)),"")</f>
        <v>LEE Shane</v>
      </c>
    </row>
    <row r="9104" customFormat="false" ht="15" hidden="false" customHeight="false" outlineLevel="0" collapsed="false">
      <c r="A9104" s="3" t="s">
        <v>502</v>
      </c>
      <c r="B9104" s="4" t="s">
        <v>60</v>
      </c>
      <c r="C9104" s="4" t="n">
        <v>4</v>
      </c>
      <c r="D9104" s="4" t="s">
        <v>18</v>
      </c>
      <c r="E9104" s="3" t="s">
        <v>333</v>
      </c>
      <c r="F9104" s="4" t="str">
        <f aca="false">IF(I9104&gt;J9104,"Y","N")</f>
        <v>N</v>
      </c>
      <c r="G9104" s="3" t="s">
        <v>72</v>
      </c>
      <c r="H9104" s="3" t="s">
        <v>34</v>
      </c>
      <c r="I9104" s="4" t="n">
        <v>4</v>
      </c>
      <c r="J9104" s="4" t="n">
        <f aca="false">LEN(E9104)-LEN(SUBSTITUTE(E9104,",",""))+1</f>
        <v>4</v>
      </c>
      <c r="K9104" s="3" t="str">
        <f aca="false">IFERROR(INDEX('Teacher Lookup'!$B$2:$B$200,MATCH(A9104,'Teacher Lookup'!$A$2:$A$200,0)),"")</f>
        <v>LEE Shane</v>
      </c>
    </row>
    <row r="9105" customFormat="false" ht="15" hidden="false" customHeight="false" outlineLevel="0" collapsed="false">
      <c r="A9105" s="3" t="s">
        <v>502</v>
      </c>
      <c r="B9105" s="4" t="s">
        <v>60</v>
      </c>
      <c r="C9105" s="4" t="n">
        <v>5</v>
      </c>
      <c r="D9105" s="4" t="s">
        <v>52</v>
      </c>
      <c r="E9105" s="3" t="s">
        <v>112</v>
      </c>
      <c r="F9105" s="4" t="str">
        <f aca="false">IF(I9105&gt;J9105,"Y","N")</f>
        <v>Y</v>
      </c>
      <c r="G9105" s="3" t="s">
        <v>36</v>
      </c>
      <c r="H9105" s="3" t="s">
        <v>37</v>
      </c>
      <c r="I9105" s="4" t="n">
        <v>16</v>
      </c>
      <c r="J9105" s="4" t="n">
        <f aca="false">LEN(E9105)-LEN(SUBSTITUTE(E9105,",",""))+1</f>
        <v>7</v>
      </c>
      <c r="K9105" s="3" t="str">
        <f aca="false">IFERROR(INDEX('Teacher Lookup'!$B$2:$B$200,MATCH(A9105,'Teacher Lookup'!$A$2:$A$200,0)),"")</f>
        <v>LEE Shane</v>
      </c>
    </row>
    <row r="9106" customFormat="false" ht="15" hidden="false" customHeight="false" outlineLevel="0" collapsed="false">
      <c r="A9106" s="3" t="s">
        <v>502</v>
      </c>
      <c r="B9106" s="4" t="s">
        <v>60</v>
      </c>
      <c r="C9106" s="4" t="n">
        <v>5</v>
      </c>
      <c r="D9106" s="4" t="s">
        <v>55</v>
      </c>
      <c r="E9106" s="3" t="s">
        <v>112</v>
      </c>
      <c r="F9106" s="4" t="str">
        <f aca="false">IF(I9106&gt;J9106,"Y","N")</f>
        <v>Y</v>
      </c>
      <c r="G9106" s="3" t="s">
        <v>36</v>
      </c>
      <c r="H9106" s="3" t="s">
        <v>37</v>
      </c>
      <c r="I9106" s="4" t="n">
        <v>16</v>
      </c>
      <c r="J9106" s="4" t="n">
        <f aca="false">LEN(E9106)-LEN(SUBSTITUTE(E9106,",",""))+1</f>
        <v>7</v>
      </c>
      <c r="K9106" s="3" t="str">
        <f aca="false">IFERROR(INDEX('Teacher Lookup'!$B$2:$B$200,MATCH(A9106,'Teacher Lookup'!$A$2:$A$200,0)),"")</f>
        <v>LEE Shane</v>
      </c>
    </row>
    <row r="9107" customFormat="false" ht="15" hidden="false" customHeight="false" outlineLevel="0" collapsed="false">
      <c r="A9107" s="3" t="s">
        <v>502</v>
      </c>
      <c r="B9107" s="4" t="s">
        <v>60</v>
      </c>
      <c r="C9107" s="4" t="n">
        <v>5</v>
      </c>
      <c r="D9107" s="4" t="s">
        <v>56</v>
      </c>
      <c r="E9107" s="3" t="s">
        <v>112</v>
      </c>
      <c r="F9107" s="4" t="str">
        <f aca="false">IF(I9107&gt;J9107,"Y","N")</f>
        <v>Y</v>
      </c>
      <c r="G9107" s="3" t="s">
        <v>36</v>
      </c>
      <c r="H9107" s="3" t="s">
        <v>37</v>
      </c>
      <c r="I9107" s="4" t="n">
        <v>16</v>
      </c>
      <c r="J9107" s="4" t="n">
        <f aca="false">LEN(E9107)-LEN(SUBSTITUTE(E9107,",",""))+1</f>
        <v>7</v>
      </c>
      <c r="K9107" s="3" t="str">
        <f aca="false">IFERROR(INDEX('Teacher Lookup'!$B$2:$B$200,MATCH(A9107,'Teacher Lookup'!$A$2:$A$200,0)),"")</f>
        <v>LEE Shane</v>
      </c>
    </row>
    <row r="9108" customFormat="false" ht="15" hidden="false" customHeight="false" outlineLevel="0" collapsed="false">
      <c r="A9108" s="3" t="s">
        <v>502</v>
      </c>
      <c r="B9108" s="4" t="s">
        <v>60</v>
      </c>
      <c r="C9108" s="4" t="n">
        <v>5</v>
      </c>
      <c r="D9108" s="4" t="s">
        <v>57</v>
      </c>
      <c r="E9108" s="3" t="s">
        <v>112</v>
      </c>
      <c r="F9108" s="4" t="str">
        <f aca="false">IF(I9108&gt;J9108,"Y","N")</f>
        <v>Y</v>
      </c>
      <c r="G9108" s="3" t="s">
        <v>36</v>
      </c>
      <c r="H9108" s="3" t="s">
        <v>37</v>
      </c>
      <c r="I9108" s="4" t="n">
        <v>16</v>
      </c>
      <c r="J9108" s="4" t="n">
        <f aca="false">LEN(E9108)-LEN(SUBSTITUTE(E9108,",",""))+1</f>
        <v>7</v>
      </c>
      <c r="K9108" s="3" t="str">
        <f aca="false">IFERROR(INDEX('Teacher Lookup'!$B$2:$B$200,MATCH(A9108,'Teacher Lookup'!$A$2:$A$200,0)),"")</f>
        <v>LEE Shane</v>
      </c>
    </row>
    <row r="9109" customFormat="false" ht="15" hidden="false" customHeight="false" outlineLevel="0" collapsed="false">
      <c r="A9109" s="3" t="s">
        <v>502</v>
      </c>
      <c r="B9109" s="4" t="s">
        <v>60</v>
      </c>
      <c r="C9109" s="4" t="n">
        <v>5</v>
      </c>
      <c r="D9109" s="4" t="s">
        <v>58</v>
      </c>
      <c r="E9109" s="3" t="s">
        <v>112</v>
      </c>
      <c r="F9109" s="4" t="str">
        <f aca="false">IF(I9109&gt;J9109,"Y","N")</f>
        <v>Y</v>
      </c>
      <c r="G9109" s="3" t="s">
        <v>36</v>
      </c>
      <c r="H9109" s="3" t="s">
        <v>37</v>
      </c>
      <c r="I9109" s="4" t="n">
        <v>16</v>
      </c>
      <c r="J9109" s="4" t="n">
        <f aca="false">LEN(E9109)-LEN(SUBSTITUTE(E9109,",",""))+1</f>
        <v>7</v>
      </c>
      <c r="K9109" s="3" t="str">
        <f aca="false">IFERROR(INDEX('Teacher Lookup'!$B$2:$B$200,MATCH(A9109,'Teacher Lookup'!$A$2:$A$200,0)),"")</f>
        <v>LEE Shane</v>
      </c>
    </row>
    <row r="9110" customFormat="false" ht="15" hidden="false" customHeight="false" outlineLevel="0" collapsed="false">
      <c r="A9110" s="3" t="s">
        <v>502</v>
      </c>
      <c r="B9110" s="4" t="s">
        <v>60</v>
      </c>
      <c r="C9110" s="4" t="n">
        <v>5</v>
      </c>
      <c r="D9110" s="4" t="s">
        <v>59</v>
      </c>
      <c r="E9110" s="3" t="s">
        <v>112</v>
      </c>
      <c r="F9110" s="4" t="str">
        <f aca="false">IF(I9110&gt;J9110,"Y","N")</f>
        <v>Y</v>
      </c>
      <c r="G9110" s="3" t="s">
        <v>36</v>
      </c>
      <c r="H9110" s="3" t="s">
        <v>37</v>
      </c>
      <c r="I9110" s="4" t="n">
        <v>16</v>
      </c>
      <c r="J9110" s="4" t="n">
        <f aca="false">LEN(E9110)-LEN(SUBSTITUTE(E9110,",",""))+1</f>
        <v>7</v>
      </c>
      <c r="K9110" s="3" t="str">
        <f aca="false">IFERROR(INDEX('Teacher Lookup'!$B$2:$B$200,MATCH(A9110,'Teacher Lookup'!$A$2:$A$200,0)),"")</f>
        <v>LEE Shane</v>
      </c>
    </row>
    <row r="9111" customFormat="false" ht="15" hidden="false" customHeight="false" outlineLevel="0" collapsed="false">
      <c r="A9111" s="3" t="s">
        <v>502</v>
      </c>
      <c r="B9111" s="4" t="s">
        <v>60</v>
      </c>
      <c r="C9111" s="4" t="n">
        <v>6</v>
      </c>
      <c r="D9111" s="4" t="s">
        <v>57</v>
      </c>
      <c r="E9111" s="3" t="s">
        <v>397</v>
      </c>
      <c r="F9111" s="4" t="str">
        <f aca="false">IF(I9111&gt;J9111,"Y","N")</f>
        <v>N</v>
      </c>
      <c r="G9111" s="3" t="s">
        <v>72</v>
      </c>
      <c r="H9111" s="3" t="s">
        <v>42</v>
      </c>
      <c r="I9111" s="4" t="n">
        <v>4</v>
      </c>
      <c r="J9111" s="4" t="n">
        <f aca="false">LEN(E9111)-LEN(SUBSTITUTE(E9111,",",""))+1</f>
        <v>4</v>
      </c>
      <c r="K9111" s="3" t="str">
        <f aca="false">IFERROR(INDEX('Teacher Lookup'!$B$2:$B$200,MATCH(A9111,'Teacher Lookup'!$A$2:$A$200,0)),"")</f>
        <v>LEE Shane</v>
      </c>
    </row>
    <row r="9112" customFormat="false" ht="15" hidden="false" customHeight="false" outlineLevel="0" collapsed="false">
      <c r="A9112" s="3" t="s">
        <v>502</v>
      </c>
      <c r="B9112" s="4" t="s">
        <v>60</v>
      </c>
      <c r="C9112" s="4" t="n">
        <v>6</v>
      </c>
      <c r="D9112" s="4" t="s">
        <v>58</v>
      </c>
      <c r="E9112" s="3" t="s">
        <v>397</v>
      </c>
      <c r="F9112" s="4" t="str">
        <f aca="false">IF(I9112&gt;J9112,"Y","N")</f>
        <v>N</v>
      </c>
      <c r="G9112" s="3" t="s">
        <v>72</v>
      </c>
      <c r="H9112" s="3" t="s">
        <v>42</v>
      </c>
      <c r="I9112" s="4" t="n">
        <v>4</v>
      </c>
      <c r="J9112" s="4" t="n">
        <f aca="false">LEN(E9112)-LEN(SUBSTITUTE(E9112,",",""))+1</f>
        <v>4</v>
      </c>
      <c r="K9112" s="3" t="str">
        <f aca="false">IFERROR(INDEX('Teacher Lookup'!$B$2:$B$200,MATCH(A9112,'Teacher Lookup'!$A$2:$A$200,0)),"")</f>
        <v>LEE Shane</v>
      </c>
    </row>
    <row r="9113" customFormat="false" ht="15" hidden="false" customHeight="false" outlineLevel="0" collapsed="false">
      <c r="A9113" s="3" t="s">
        <v>502</v>
      </c>
      <c r="B9113" s="4" t="s">
        <v>60</v>
      </c>
      <c r="C9113" s="4" t="n">
        <v>6</v>
      </c>
      <c r="D9113" s="4" t="s">
        <v>59</v>
      </c>
      <c r="E9113" s="3" t="s">
        <v>397</v>
      </c>
      <c r="F9113" s="4" t="str">
        <f aca="false">IF(I9113&gt;J9113,"Y","N")</f>
        <v>N</v>
      </c>
      <c r="G9113" s="3" t="s">
        <v>72</v>
      </c>
      <c r="H9113" s="3" t="s">
        <v>42</v>
      </c>
      <c r="I9113" s="4" t="n">
        <v>4</v>
      </c>
      <c r="J9113" s="4" t="n">
        <f aca="false">LEN(E9113)-LEN(SUBSTITUTE(E9113,",",""))+1</f>
        <v>4</v>
      </c>
      <c r="K9113" s="3" t="str">
        <f aca="false">IFERROR(INDEX('Teacher Lookup'!$B$2:$B$200,MATCH(A9113,'Teacher Lookup'!$A$2:$A$200,0)),"")</f>
        <v>LEE Shane</v>
      </c>
    </row>
    <row r="9114" customFormat="false" ht="15" hidden="false" customHeight="false" outlineLevel="0" collapsed="false">
      <c r="A9114" s="3" t="s">
        <v>502</v>
      </c>
      <c r="B9114" s="4" t="s">
        <v>63</v>
      </c>
      <c r="C9114" s="4" t="n">
        <v>1</v>
      </c>
      <c r="D9114" s="4" t="s">
        <v>13</v>
      </c>
      <c r="E9114" s="3" t="s">
        <v>327</v>
      </c>
      <c r="F9114" s="4" t="str">
        <f aca="false">IF(I9114&gt;J9114,"Y","N")</f>
        <v>N</v>
      </c>
      <c r="G9114" s="3" t="s">
        <v>72</v>
      </c>
      <c r="H9114" s="3" t="s">
        <v>16</v>
      </c>
      <c r="I9114" s="4" t="n">
        <v>4</v>
      </c>
      <c r="J9114" s="4" t="n">
        <f aca="false">LEN(E9114)-LEN(SUBSTITUTE(E9114,",",""))+1</f>
        <v>4</v>
      </c>
      <c r="K9114" s="3" t="str">
        <f aca="false">IFERROR(INDEX('Teacher Lookup'!$B$2:$B$200,MATCH(A9114,'Teacher Lookup'!$A$2:$A$200,0)),"")</f>
        <v>LEE Shane</v>
      </c>
    </row>
    <row r="9115" customFormat="false" ht="15" hidden="false" customHeight="false" outlineLevel="0" collapsed="false">
      <c r="A9115" s="3" t="s">
        <v>502</v>
      </c>
      <c r="B9115" s="4" t="s">
        <v>63</v>
      </c>
      <c r="C9115" s="4" t="n">
        <v>1</v>
      </c>
      <c r="D9115" s="4" t="s">
        <v>17</v>
      </c>
      <c r="E9115" s="3" t="s">
        <v>327</v>
      </c>
      <c r="F9115" s="4" t="str">
        <f aca="false">IF(I9115&gt;J9115,"Y","N")</f>
        <v>N</v>
      </c>
      <c r="G9115" s="3" t="s">
        <v>72</v>
      </c>
      <c r="H9115" s="3" t="s">
        <v>16</v>
      </c>
      <c r="I9115" s="4" t="n">
        <v>4</v>
      </c>
      <c r="J9115" s="4" t="n">
        <f aca="false">LEN(E9115)-LEN(SUBSTITUTE(E9115,",",""))+1</f>
        <v>4</v>
      </c>
      <c r="K9115" s="3" t="str">
        <f aca="false">IFERROR(INDEX('Teacher Lookup'!$B$2:$B$200,MATCH(A9115,'Teacher Lookup'!$A$2:$A$200,0)),"")</f>
        <v>LEE Shane</v>
      </c>
    </row>
    <row r="9116" customFormat="false" ht="15" hidden="false" customHeight="false" outlineLevel="0" collapsed="false">
      <c r="A9116" s="3" t="s">
        <v>502</v>
      </c>
      <c r="B9116" s="4" t="s">
        <v>63</v>
      </c>
      <c r="C9116" s="4" t="n">
        <v>1</v>
      </c>
      <c r="D9116" s="4" t="s">
        <v>18</v>
      </c>
      <c r="E9116" s="3" t="s">
        <v>327</v>
      </c>
      <c r="F9116" s="4" t="str">
        <f aca="false">IF(I9116&gt;J9116,"Y","N")</f>
        <v>N</v>
      </c>
      <c r="G9116" s="3" t="s">
        <v>72</v>
      </c>
      <c r="H9116" s="3" t="s">
        <v>16</v>
      </c>
      <c r="I9116" s="4" t="n">
        <v>4</v>
      </c>
      <c r="J9116" s="4" t="n">
        <f aca="false">LEN(E9116)-LEN(SUBSTITUTE(E9116,",",""))+1</f>
        <v>4</v>
      </c>
      <c r="K9116" s="3" t="str">
        <f aca="false">IFERROR(INDEX('Teacher Lookup'!$B$2:$B$200,MATCH(A9116,'Teacher Lookup'!$A$2:$A$200,0)),"")</f>
        <v>LEE Shane</v>
      </c>
    </row>
    <row r="9117" customFormat="false" ht="15" hidden="false" customHeight="false" outlineLevel="0" collapsed="false">
      <c r="A9117" s="3" t="s">
        <v>502</v>
      </c>
      <c r="B9117" s="4" t="s">
        <v>63</v>
      </c>
      <c r="C9117" s="4" t="n">
        <v>2</v>
      </c>
      <c r="D9117" s="4" t="s">
        <v>13</v>
      </c>
      <c r="E9117" s="3" t="s">
        <v>327</v>
      </c>
      <c r="F9117" s="4" t="str">
        <f aca="false">IF(I9117&gt;J9117,"Y","N")</f>
        <v>N</v>
      </c>
      <c r="G9117" s="3" t="s">
        <v>72</v>
      </c>
      <c r="H9117" s="3" t="s">
        <v>21</v>
      </c>
      <c r="I9117" s="4" t="n">
        <v>4</v>
      </c>
      <c r="J9117" s="4" t="n">
        <f aca="false">LEN(E9117)-LEN(SUBSTITUTE(E9117,",",""))+1</f>
        <v>4</v>
      </c>
      <c r="K9117" s="3" t="str">
        <f aca="false">IFERROR(INDEX('Teacher Lookup'!$B$2:$B$200,MATCH(A9117,'Teacher Lookup'!$A$2:$A$200,0)),"")</f>
        <v>LEE Shane</v>
      </c>
    </row>
    <row r="9118" customFormat="false" ht="15" hidden="false" customHeight="false" outlineLevel="0" collapsed="false">
      <c r="A9118" s="3" t="s">
        <v>502</v>
      </c>
      <c r="B9118" s="4" t="s">
        <v>63</v>
      </c>
      <c r="C9118" s="4" t="n">
        <v>2</v>
      </c>
      <c r="D9118" s="4" t="s">
        <v>17</v>
      </c>
      <c r="E9118" s="3" t="s">
        <v>327</v>
      </c>
      <c r="F9118" s="4" t="str">
        <f aca="false">IF(I9118&gt;J9118,"Y","N")</f>
        <v>N</v>
      </c>
      <c r="G9118" s="3" t="s">
        <v>72</v>
      </c>
      <c r="H9118" s="3" t="s">
        <v>21</v>
      </c>
      <c r="I9118" s="4" t="n">
        <v>4</v>
      </c>
      <c r="J9118" s="4" t="n">
        <f aca="false">LEN(E9118)-LEN(SUBSTITUTE(E9118,",",""))+1</f>
        <v>4</v>
      </c>
      <c r="K9118" s="3" t="str">
        <f aca="false">IFERROR(INDEX('Teacher Lookup'!$B$2:$B$200,MATCH(A9118,'Teacher Lookup'!$A$2:$A$200,0)),"")</f>
        <v>LEE Shane</v>
      </c>
    </row>
    <row r="9119" customFormat="false" ht="15" hidden="false" customHeight="false" outlineLevel="0" collapsed="false">
      <c r="A9119" s="3" t="s">
        <v>502</v>
      </c>
      <c r="B9119" s="4" t="s">
        <v>63</v>
      </c>
      <c r="C9119" s="4" t="n">
        <v>2</v>
      </c>
      <c r="D9119" s="4" t="s">
        <v>18</v>
      </c>
      <c r="E9119" s="3" t="s">
        <v>327</v>
      </c>
      <c r="F9119" s="4" t="str">
        <f aca="false">IF(I9119&gt;J9119,"Y","N")</f>
        <v>N</v>
      </c>
      <c r="G9119" s="3" t="s">
        <v>72</v>
      </c>
      <c r="H9119" s="3" t="s">
        <v>21</v>
      </c>
      <c r="I9119" s="4" t="n">
        <v>4</v>
      </c>
      <c r="J9119" s="4" t="n">
        <f aca="false">LEN(E9119)-LEN(SUBSTITUTE(E9119,",",""))+1</f>
        <v>4</v>
      </c>
      <c r="K9119" s="3" t="str">
        <f aca="false">IFERROR(INDEX('Teacher Lookup'!$B$2:$B$200,MATCH(A9119,'Teacher Lookup'!$A$2:$A$200,0)),"")</f>
        <v>LEE Shane</v>
      </c>
    </row>
    <row r="9120" customFormat="false" ht="15" hidden="false" customHeight="false" outlineLevel="0" collapsed="false">
      <c r="A9120" s="3" t="s">
        <v>502</v>
      </c>
      <c r="B9120" s="4" t="s">
        <v>63</v>
      </c>
      <c r="C9120" s="4" t="n">
        <v>3</v>
      </c>
      <c r="D9120" s="4" t="s">
        <v>19</v>
      </c>
      <c r="E9120" s="3" t="s">
        <v>334</v>
      </c>
      <c r="F9120" s="4" t="str">
        <f aca="false">IF(I9120&gt;J9120,"Y","N")</f>
        <v>N</v>
      </c>
      <c r="G9120" s="3" t="s">
        <v>72</v>
      </c>
      <c r="H9120" s="3" t="s">
        <v>26</v>
      </c>
      <c r="I9120" s="4" t="n">
        <v>4</v>
      </c>
      <c r="J9120" s="4" t="n">
        <f aca="false">LEN(E9120)-LEN(SUBSTITUTE(E9120,",",""))+1</f>
        <v>4</v>
      </c>
      <c r="K9120" s="3" t="str">
        <f aca="false">IFERROR(INDEX('Teacher Lookup'!$B$2:$B$200,MATCH(A9120,'Teacher Lookup'!$A$2:$A$200,0)),"")</f>
        <v>LEE Shane</v>
      </c>
    </row>
    <row r="9121" customFormat="false" ht="15" hidden="false" customHeight="false" outlineLevel="0" collapsed="false">
      <c r="A9121" s="3" t="s">
        <v>502</v>
      </c>
      <c r="B9121" s="4" t="s">
        <v>63</v>
      </c>
      <c r="C9121" s="4" t="n">
        <v>3</v>
      </c>
      <c r="D9121" s="4" t="s">
        <v>22</v>
      </c>
      <c r="E9121" s="3" t="s">
        <v>334</v>
      </c>
      <c r="F9121" s="4" t="str">
        <f aca="false">IF(I9121&gt;J9121,"Y","N")</f>
        <v>N</v>
      </c>
      <c r="G9121" s="3" t="s">
        <v>72</v>
      </c>
      <c r="H9121" s="3" t="s">
        <v>26</v>
      </c>
      <c r="I9121" s="4" t="n">
        <v>4</v>
      </c>
      <c r="J9121" s="4" t="n">
        <f aca="false">LEN(E9121)-LEN(SUBSTITUTE(E9121,",",""))+1</f>
        <v>4</v>
      </c>
      <c r="K9121" s="3" t="str">
        <f aca="false">IFERROR(INDEX('Teacher Lookup'!$B$2:$B$200,MATCH(A9121,'Teacher Lookup'!$A$2:$A$200,0)),"")</f>
        <v>LEE Shane</v>
      </c>
    </row>
    <row r="9122" customFormat="false" ht="15" hidden="false" customHeight="false" outlineLevel="0" collapsed="false">
      <c r="A9122" s="3" t="s">
        <v>502</v>
      </c>
      <c r="B9122" s="4" t="s">
        <v>63</v>
      </c>
      <c r="C9122" s="4" t="n">
        <v>3</v>
      </c>
      <c r="D9122" s="4" t="s">
        <v>23</v>
      </c>
      <c r="E9122" s="3" t="s">
        <v>334</v>
      </c>
      <c r="F9122" s="4" t="str">
        <f aca="false">IF(I9122&gt;J9122,"Y","N")</f>
        <v>N</v>
      </c>
      <c r="G9122" s="3" t="s">
        <v>72</v>
      </c>
      <c r="H9122" s="3" t="s">
        <v>26</v>
      </c>
      <c r="I9122" s="4" t="n">
        <v>4</v>
      </c>
      <c r="J9122" s="4" t="n">
        <f aca="false">LEN(E9122)-LEN(SUBSTITUTE(E9122,",",""))+1</f>
        <v>4</v>
      </c>
      <c r="K9122" s="3" t="str">
        <f aca="false">IFERROR(INDEX('Teacher Lookup'!$B$2:$B$200,MATCH(A9122,'Teacher Lookup'!$A$2:$A$200,0)),"")</f>
        <v>LEE Shane</v>
      </c>
    </row>
    <row r="9123" customFormat="false" ht="15" hidden="false" customHeight="false" outlineLevel="0" collapsed="false">
      <c r="A9123" s="3" t="s">
        <v>502</v>
      </c>
      <c r="B9123" s="4" t="s">
        <v>63</v>
      </c>
      <c r="C9123" s="4" t="n">
        <v>5</v>
      </c>
      <c r="D9123" s="4" t="s">
        <v>57</v>
      </c>
      <c r="E9123" s="3" t="s">
        <v>183</v>
      </c>
      <c r="F9123" s="4" t="str">
        <f aca="false">IF(I9123&gt;J9123,"Y","N")</f>
        <v>N</v>
      </c>
      <c r="G9123" s="3" t="s">
        <v>72</v>
      </c>
      <c r="H9123" s="3" t="s">
        <v>37</v>
      </c>
      <c r="I9123" s="4" t="n">
        <v>4</v>
      </c>
      <c r="J9123" s="4" t="n">
        <f aca="false">LEN(E9123)-LEN(SUBSTITUTE(E9123,",",""))+1</f>
        <v>4</v>
      </c>
      <c r="K9123" s="3" t="str">
        <f aca="false">IFERROR(INDEX('Teacher Lookup'!$B$2:$B$200,MATCH(A9123,'Teacher Lookup'!$A$2:$A$200,0)),"")</f>
        <v>LEE Shane</v>
      </c>
    </row>
    <row r="9124" customFormat="false" ht="15" hidden="false" customHeight="false" outlineLevel="0" collapsed="false">
      <c r="A9124" s="3" t="s">
        <v>502</v>
      </c>
      <c r="B9124" s="4" t="s">
        <v>63</v>
      </c>
      <c r="C9124" s="4" t="n">
        <v>5</v>
      </c>
      <c r="D9124" s="4" t="s">
        <v>58</v>
      </c>
      <c r="E9124" s="3" t="s">
        <v>183</v>
      </c>
      <c r="F9124" s="4" t="str">
        <f aca="false">IF(I9124&gt;J9124,"Y","N")</f>
        <v>N</v>
      </c>
      <c r="G9124" s="3" t="s">
        <v>72</v>
      </c>
      <c r="H9124" s="3" t="s">
        <v>37</v>
      </c>
      <c r="I9124" s="4" t="n">
        <v>4</v>
      </c>
      <c r="J9124" s="4" t="n">
        <f aca="false">LEN(E9124)-LEN(SUBSTITUTE(E9124,",",""))+1</f>
        <v>4</v>
      </c>
      <c r="K9124" s="3" t="str">
        <f aca="false">IFERROR(INDEX('Teacher Lookup'!$B$2:$B$200,MATCH(A9124,'Teacher Lookup'!$A$2:$A$200,0)),"")</f>
        <v>LEE Shane</v>
      </c>
    </row>
    <row r="9125" customFormat="false" ht="15" hidden="false" customHeight="false" outlineLevel="0" collapsed="false">
      <c r="A9125" s="3" t="s">
        <v>502</v>
      </c>
      <c r="B9125" s="4" t="s">
        <v>63</v>
      </c>
      <c r="C9125" s="4" t="n">
        <v>5</v>
      </c>
      <c r="D9125" s="4" t="s">
        <v>59</v>
      </c>
      <c r="E9125" s="3" t="s">
        <v>183</v>
      </c>
      <c r="F9125" s="4" t="str">
        <f aca="false">IF(I9125&gt;J9125,"Y","N")</f>
        <v>N</v>
      </c>
      <c r="G9125" s="3" t="s">
        <v>72</v>
      </c>
      <c r="H9125" s="3" t="s">
        <v>37</v>
      </c>
      <c r="I9125" s="4" t="n">
        <v>4</v>
      </c>
      <c r="J9125" s="4" t="n">
        <f aca="false">LEN(E9125)-LEN(SUBSTITUTE(E9125,",",""))+1</f>
        <v>4</v>
      </c>
      <c r="K9125" s="3" t="str">
        <f aca="false">IFERROR(INDEX('Teacher Lookup'!$B$2:$B$200,MATCH(A9125,'Teacher Lookup'!$A$2:$A$200,0)),"")</f>
        <v>LEE Shane</v>
      </c>
    </row>
    <row r="9126" customFormat="false" ht="15" hidden="false" customHeight="false" outlineLevel="0" collapsed="false">
      <c r="A9126" s="3" t="s">
        <v>502</v>
      </c>
      <c r="B9126" s="4" t="s">
        <v>65</v>
      </c>
      <c r="C9126" s="4" t="n">
        <v>1</v>
      </c>
      <c r="D9126" s="4" t="s">
        <v>19</v>
      </c>
      <c r="E9126" s="3" t="s">
        <v>51</v>
      </c>
      <c r="F9126" s="4" t="str">
        <f aca="false">IF(I9126&gt;J9126,"Y","N")</f>
        <v>N</v>
      </c>
      <c r="G9126" s="3" t="s">
        <v>72</v>
      </c>
      <c r="H9126" s="3" t="s">
        <v>16</v>
      </c>
      <c r="I9126" s="4" t="n">
        <v>4</v>
      </c>
      <c r="J9126" s="4" t="n">
        <f aca="false">LEN(E9126)-LEN(SUBSTITUTE(E9126,",",""))+1</f>
        <v>4</v>
      </c>
      <c r="K9126" s="3" t="str">
        <f aca="false">IFERROR(INDEX('Teacher Lookup'!$B$2:$B$200,MATCH(A9126,'Teacher Lookup'!$A$2:$A$200,0)),"")</f>
        <v>LEE Shane</v>
      </c>
    </row>
    <row r="9127" customFormat="false" ht="15" hidden="false" customHeight="false" outlineLevel="0" collapsed="false">
      <c r="A9127" s="3" t="s">
        <v>502</v>
      </c>
      <c r="B9127" s="4" t="s">
        <v>65</v>
      </c>
      <c r="C9127" s="4" t="n">
        <v>1</v>
      </c>
      <c r="D9127" s="4" t="s">
        <v>22</v>
      </c>
      <c r="E9127" s="3" t="s">
        <v>51</v>
      </c>
      <c r="F9127" s="4" t="str">
        <f aca="false">IF(I9127&gt;J9127,"Y","N")</f>
        <v>N</v>
      </c>
      <c r="G9127" s="3" t="s">
        <v>72</v>
      </c>
      <c r="H9127" s="3" t="s">
        <v>16</v>
      </c>
      <c r="I9127" s="4" t="n">
        <v>4</v>
      </c>
      <c r="J9127" s="4" t="n">
        <f aca="false">LEN(E9127)-LEN(SUBSTITUTE(E9127,",",""))+1</f>
        <v>4</v>
      </c>
      <c r="K9127" s="3" t="str">
        <f aca="false">IFERROR(INDEX('Teacher Lookup'!$B$2:$B$200,MATCH(A9127,'Teacher Lookup'!$A$2:$A$200,0)),"")</f>
        <v>LEE Shane</v>
      </c>
    </row>
    <row r="9128" customFormat="false" ht="15" hidden="false" customHeight="false" outlineLevel="0" collapsed="false">
      <c r="A9128" s="3" t="s">
        <v>502</v>
      </c>
      <c r="B9128" s="4" t="s">
        <v>65</v>
      </c>
      <c r="C9128" s="4" t="n">
        <v>1</v>
      </c>
      <c r="D9128" s="4" t="s">
        <v>23</v>
      </c>
      <c r="E9128" s="3" t="s">
        <v>51</v>
      </c>
      <c r="F9128" s="4" t="str">
        <f aca="false">IF(I9128&gt;J9128,"Y","N")</f>
        <v>N</v>
      </c>
      <c r="G9128" s="3" t="s">
        <v>72</v>
      </c>
      <c r="H9128" s="3" t="s">
        <v>16</v>
      </c>
      <c r="I9128" s="4" t="n">
        <v>4</v>
      </c>
      <c r="J9128" s="4" t="n">
        <f aca="false">LEN(E9128)-LEN(SUBSTITUTE(E9128,",",""))+1</f>
        <v>4</v>
      </c>
      <c r="K9128" s="3" t="str">
        <f aca="false">IFERROR(INDEX('Teacher Lookup'!$B$2:$B$200,MATCH(A9128,'Teacher Lookup'!$A$2:$A$200,0)),"")</f>
        <v>LEE Shane</v>
      </c>
    </row>
    <row r="9129" customFormat="false" ht="15" hidden="false" customHeight="false" outlineLevel="0" collapsed="false">
      <c r="A9129" s="3" t="s">
        <v>502</v>
      </c>
      <c r="B9129" s="4" t="s">
        <v>65</v>
      </c>
      <c r="C9129" s="4" t="n">
        <v>2</v>
      </c>
      <c r="D9129" s="4" t="s">
        <v>57</v>
      </c>
      <c r="E9129" s="3" t="s">
        <v>166</v>
      </c>
      <c r="F9129" s="4" t="str">
        <f aca="false">IF(I9129&gt;J9129,"Y","N")</f>
        <v>N</v>
      </c>
      <c r="G9129" s="3" t="s">
        <v>72</v>
      </c>
      <c r="H9129" s="3" t="s">
        <v>21</v>
      </c>
      <c r="I9129" s="4" t="n">
        <v>4</v>
      </c>
      <c r="J9129" s="4" t="n">
        <f aca="false">LEN(E9129)-LEN(SUBSTITUTE(E9129,",",""))+1</f>
        <v>4</v>
      </c>
      <c r="K9129" s="3" t="str">
        <f aca="false">IFERROR(INDEX('Teacher Lookup'!$B$2:$B$200,MATCH(A9129,'Teacher Lookup'!$A$2:$A$200,0)),"")</f>
        <v>LEE Shane</v>
      </c>
    </row>
    <row r="9130" customFormat="false" ht="15" hidden="false" customHeight="false" outlineLevel="0" collapsed="false">
      <c r="A9130" s="3" t="s">
        <v>502</v>
      </c>
      <c r="B9130" s="4" t="s">
        <v>65</v>
      </c>
      <c r="C9130" s="4" t="n">
        <v>2</v>
      </c>
      <c r="D9130" s="4" t="s">
        <v>58</v>
      </c>
      <c r="E9130" s="3" t="s">
        <v>166</v>
      </c>
      <c r="F9130" s="4" t="str">
        <f aca="false">IF(I9130&gt;J9130,"Y","N")</f>
        <v>N</v>
      </c>
      <c r="G9130" s="3" t="s">
        <v>72</v>
      </c>
      <c r="H9130" s="3" t="s">
        <v>21</v>
      </c>
      <c r="I9130" s="4" t="n">
        <v>4</v>
      </c>
      <c r="J9130" s="4" t="n">
        <f aca="false">LEN(E9130)-LEN(SUBSTITUTE(E9130,",",""))+1</f>
        <v>4</v>
      </c>
      <c r="K9130" s="3" t="str">
        <f aca="false">IFERROR(INDEX('Teacher Lookup'!$B$2:$B$200,MATCH(A9130,'Teacher Lookup'!$A$2:$A$200,0)),"")</f>
        <v>LEE Shane</v>
      </c>
    </row>
    <row r="9131" customFormat="false" ht="15" hidden="false" customHeight="false" outlineLevel="0" collapsed="false">
      <c r="A9131" s="3" t="s">
        <v>502</v>
      </c>
      <c r="B9131" s="4" t="s">
        <v>65</v>
      </c>
      <c r="C9131" s="4" t="n">
        <v>2</v>
      </c>
      <c r="D9131" s="4" t="s">
        <v>59</v>
      </c>
      <c r="E9131" s="3" t="s">
        <v>166</v>
      </c>
      <c r="F9131" s="4" t="str">
        <f aca="false">IF(I9131&gt;J9131,"Y","N")</f>
        <v>N</v>
      </c>
      <c r="G9131" s="3" t="s">
        <v>72</v>
      </c>
      <c r="H9131" s="3" t="s">
        <v>21</v>
      </c>
      <c r="I9131" s="4" t="n">
        <v>4</v>
      </c>
      <c r="J9131" s="4" t="n">
        <f aca="false">LEN(E9131)-LEN(SUBSTITUTE(E9131,",",""))+1</f>
        <v>4</v>
      </c>
      <c r="K9131" s="3" t="str">
        <f aca="false">IFERROR(INDEX('Teacher Lookup'!$B$2:$B$200,MATCH(A9131,'Teacher Lookup'!$A$2:$A$200,0)),"")</f>
        <v>LEE Shane</v>
      </c>
    </row>
    <row r="9132" customFormat="false" ht="15" hidden="false" customHeight="false" outlineLevel="0" collapsed="false">
      <c r="A9132" s="3" t="s">
        <v>502</v>
      </c>
      <c r="B9132" s="4" t="s">
        <v>65</v>
      </c>
      <c r="C9132" s="4" t="n">
        <v>5</v>
      </c>
      <c r="D9132" s="4" t="s">
        <v>52</v>
      </c>
      <c r="E9132" s="3" t="s">
        <v>112</v>
      </c>
      <c r="F9132" s="4" t="str">
        <f aca="false">IF(I9132&gt;J9132,"Y","N")</f>
        <v>Y</v>
      </c>
      <c r="G9132" s="3" t="s">
        <v>36</v>
      </c>
      <c r="H9132" s="3" t="s">
        <v>37</v>
      </c>
      <c r="I9132" s="4" t="n">
        <v>16</v>
      </c>
      <c r="J9132" s="4" t="n">
        <f aca="false">LEN(E9132)-LEN(SUBSTITUTE(E9132,",",""))+1</f>
        <v>7</v>
      </c>
      <c r="K9132" s="3" t="str">
        <f aca="false">IFERROR(INDEX('Teacher Lookup'!$B$2:$B$200,MATCH(A9132,'Teacher Lookup'!$A$2:$A$200,0)),"")</f>
        <v>LEE Shane</v>
      </c>
    </row>
    <row r="9133" customFormat="false" ht="15" hidden="false" customHeight="false" outlineLevel="0" collapsed="false">
      <c r="A9133" s="3" t="s">
        <v>502</v>
      </c>
      <c r="B9133" s="4" t="s">
        <v>65</v>
      </c>
      <c r="C9133" s="4" t="n">
        <v>5</v>
      </c>
      <c r="D9133" s="4" t="s">
        <v>55</v>
      </c>
      <c r="E9133" s="3" t="s">
        <v>112</v>
      </c>
      <c r="F9133" s="4" t="str">
        <f aca="false">IF(I9133&gt;J9133,"Y","N")</f>
        <v>Y</v>
      </c>
      <c r="G9133" s="3" t="s">
        <v>36</v>
      </c>
      <c r="H9133" s="3" t="s">
        <v>37</v>
      </c>
      <c r="I9133" s="4" t="n">
        <v>16</v>
      </c>
      <c r="J9133" s="4" t="n">
        <f aca="false">LEN(E9133)-LEN(SUBSTITUTE(E9133,",",""))+1</f>
        <v>7</v>
      </c>
      <c r="K9133" s="3" t="str">
        <f aca="false">IFERROR(INDEX('Teacher Lookup'!$B$2:$B$200,MATCH(A9133,'Teacher Lookup'!$A$2:$A$200,0)),"")</f>
        <v>LEE Shane</v>
      </c>
    </row>
    <row r="9134" customFormat="false" ht="15" hidden="false" customHeight="false" outlineLevel="0" collapsed="false">
      <c r="A9134" s="3" t="s">
        <v>502</v>
      </c>
      <c r="B9134" s="4" t="s">
        <v>65</v>
      </c>
      <c r="C9134" s="4" t="n">
        <v>5</v>
      </c>
      <c r="D9134" s="4" t="s">
        <v>56</v>
      </c>
      <c r="E9134" s="3" t="s">
        <v>112</v>
      </c>
      <c r="F9134" s="4" t="str">
        <f aca="false">IF(I9134&gt;J9134,"Y","N")</f>
        <v>Y</v>
      </c>
      <c r="G9134" s="3" t="s">
        <v>36</v>
      </c>
      <c r="H9134" s="3" t="s">
        <v>37</v>
      </c>
      <c r="I9134" s="4" t="n">
        <v>16</v>
      </c>
      <c r="J9134" s="4" t="n">
        <f aca="false">LEN(E9134)-LEN(SUBSTITUTE(E9134,",",""))+1</f>
        <v>7</v>
      </c>
      <c r="K9134" s="3" t="str">
        <f aca="false">IFERROR(INDEX('Teacher Lookup'!$B$2:$B$200,MATCH(A9134,'Teacher Lookup'!$A$2:$A$200,0)),"")</f>
        <v>LEE Shane</v>
      </c>
    </row>
    <row r="9135" customFormat="false" ht="15" hidden="false" customHeight="false" outlineLevel="0" collapsed="false">
      <c r="A9135" s="3" t="s">
        <v>502</v>
      </c>
      <c r="B9135" s="4" t="s">
        <v>65</v>
      </c>
      <c r="C9135" s="4" t="n">
        <v>5</v>
      </c>
      <c r="D9135" s="4" t="s">
        <v>57</v>
      </c>
      <c r="E9135" s="3" t="s">
        <v>112</v>
      </c>
      <c r="F9135" s="4" t="str">
        <f aca="false">IF(I9135&gt;J9135,"Y","N")</f>
        <v>Y</v>
      </c>
      <c r="G9135" s="3" t="s">
        <v>36</v>
      </c>
      <c r="H9135" s="3" t="s">
        <v>37</v>
      </c>
      <c r="I9135" s="4" t="n">
        <v>16</v>
      </c>
      <c r="J9135" s="4" t="n">
        <f aca="false">LEN(E9135)-LEN(SUBSTITUTE(E9135,",",""))+1</f>
        <v>7</v>
      </c>
      <c r="K9135" s="3" t="str">
        <f aca="false">IFERROR(INDEX('Teacher Lookup'!$B$2:$B$200,MATCH(A9135,'Teacher Lookup'!$A$2:$A$200,0)),"")</f>
        <v>LEE Shane</v>
      </c>
    </row>
    <row r="9136" customFormat="false" ht="15" hidden="false" customHeight="false" outlineLevel="0" collapsed="false">
      <c r="A9136" s="3" t="s">
        <v>502</v>
      </c>
      <c r="B9136" s="4" t="s">
        <v>65</v>
      </c>
      <c r="C9136" s="4" t="n">
        <v>5</v>
      </c>
      <c r="D9136" s="4" t="s">
        <v>58</v>
      </c>
      <c r="E9136" s="3" t="s">
        <v>112</v>
      </c>
      <c r="F9136" s="4" t="str">
        <f aca="false">IF(I9136&gt;J9136,"Y","N")</f>
        <v>Y</v>
      </c>
      <c r="G9136" s="3" t="s">
        <v>36</v>
      </c>
      <c r="H9136" s="3" t="s">
        <v>37</v>
      </c>
      <c r="I9136" s="4" t="n">
        <v>16</v>
      </c>
      <c r="J9136" s="4" t="n">
        <f aca="false">LEN(E9136)-LEN(SUBSTITUTE(E9136,",",""))+1</f>
        <v>7</v>
      </c>
      <c r="K9136" s="3" t="str">
        <f aca="false">IFERROR(INDEX('Teacher Lookup'!$B$2:$B$200,MATCH(A9136,'Teacher Lookup'!$A$2:$A$200,0)),"")</f>
        <v>LEE Shane</v>
      </c>
    </row>
    <row r="9137" customFormat="false" ht="15" hidden="false" customHeight="false" outlineLevel="0" collapsed="false">
      <c r="A9137" s="3" t="s">
        <v>502</v>
      </c>
      <c r="B9137" s="4" t="s">
        <v>65</v>
      </c>
      <c r="C9137" s="4" t="n">
        <v>5</v>
      </c>
      <c r="D9137" s="4" t="s">
        <v>59</v>
      </c>
      <c r="E9137" s="3" t="s">
        <v>112</v>
      </c>
      <c r="F9137" s="4" t="str">
        <f aca="false">IF(I9137&gt;J9137,"Y","N")</f>
        <v>Y</v>
      </c>
      <c r="G9137" s="3" t="s">
        <v>36</v>
      </c>
      <c r="H9137" s="3" t="s">
        <v>37</v>
      </c>
      <c r="I9137" s="4" t="n">
        <v>16</v>
      </c>
      <c r="J9137" s="4" t="n">
        <f aca="false">LEN(E9137)-LEN(SUBSTITUTE(E9137,",",""))+1</f>
        <v>7</v>
      </c>
      <c r="K9137" s="3" t="str">
        <f aca="false">IFERROR(INDEX('Teacher Lookup'!$B$2:$B$200,MATCH(A9137,'Teacher Lookup'!$A$2:$A$200,0)),"")</f>
        <v>LEE Shane</v>
      </c>
    </row>
    <row r="9138" customFormat="false" ht="15" hidden="false" customHeight="false" outlineLevel="0" collapsed="false">
      <c r="A9138" s="3" t="s">
        <v>502</v>
      </c>
      <c r="B9138" s="4" t="s">
        <v>65</v>
      </c>
      <c r="C9138" s="4" t="n">
        <v>6</v>
      </c>
      <c r="D9138" s="4" t="s">
        <v>13</v>
      </c>
      <c r="E9138" s="3" t="s">
        <v>336</v>
      </c>
      <c r="F9138" s="4" t="str">
        <f aca="false">IF(I9138&gt;J9138,"Y","N")</f>
        <v>N</v>
      </c>
      <c r="G9138" s="3" t="s">
        <v>72</v>
      </c>
      <c r="H9138" s="3" t="s">
        <v>42</v>
      </c>
      <c r="I9138" s="4" t="n">
        <v>4</v>
      </c>
      <c r="J9138" s="4" t="n">
        <f aca="false">LEN(E9138)-LEN(SUBSTITUTE(E9138,",",""))+1</f>
        <v>4</v>
      </c>
      <c r="K9138" s="3" t="str">
        <f aca="false">IFERROR(INDEX('Teacher Lookup'!$B$2:$B$200,MATCH(A9138,'Teacher Lookup'!$A$2:$A$200,0)),"")</f>
        <v>LEE Shane</v>
      </c>
    </row>
    <row r="9139" customFormat="false" ht="15" hidden="false" customHeight="false" outlineLevel="0" collapsed="false">
      <c r="A9139" s="3" t="s">
        <v>502</v>
      </c>
      <c r="B9139" s="4" t="s">
        <v>65</v>
      </c>
      <c r="C9139" s="4" t="n">
        <v>6</v>
      </c>
      <c r="D9139" s="4" t="s">
        <v>17</v>
      </c>
      <c r="E9139" s="3" t="s">
        <v>336</v>
      </c>
      <c r="F9139" s="4" t="str">
        <f aca="false">IF(I9139&gt;J9139,"Y","N")</f>
        <v>N</v>
      </c>
      <c r="G9139" s="3" t="s">
        <v>72</v>
      </c>
      <c r="H9139" s="3" t="s">
        <v>42</v>
      </c>
      <c r="I9139" s="4" t="n">
        <v>4</v>
      </c>
      <c r="J9139" s="4" t="n">
        <f aca="false">LEN(E9139)-LEN(SUBSTITUTE(E9139,",",""))+1</f>
        <v>4</v>
      </c>
      <c r="K9139" s="3" t="str">
        <f aca="false">IFERROR(INDEX('Teacher Lookup'!$B$2:$B$200,MATCH(A9139,'Teacher Lookup'!$A$2:$A$200,0)),"")</f>
        <v>LEE Shane</v>
      </c>
    </row>
    <row r="9140" customFormat="false" ht="15" hidden="false" customHeight="false" outlineLevel="0" collapsed="false">
      <c r="A9140" s="3" t="s">
        <v>502</v>
      </c>
      <c r="B9140" s="4" t="s">
        <v>65</v>
      </c>
      <c r="C9140" s="4" t="n">
        <v>6</v>
      </c>
      <c r="D9140" s="4" t="s">
        <v>18</v>
      </c>
      <c r="E9140" s="3" t="s">
        <v>336</v>
      </c>
      <c r="F9140" s="4" t="str">
        <f aca="false">IF(I9140&gt;J9140,"Y","N")</f>
        <v>N</v>
      </c>
      <c r="G9140" s="3" t="s">
        <v>72</v>
      </c>
      <c r="H9140" s="3" t="s">
        <v>42</v>
      </c>
      <c r="I9140" s="4" t="n">
        <v>4</v>
      </c>
      <c r="J9140" s="4" t="n">
        <f aca="false">LEN(E9140)-LEN(SUBSTITUTE(E9140,",",""))+1</f>
        <v>4</v>
      </c>
      <c r="K9140" s="3" t="str">
        <f aca="false">IFERROR(INDEX('Teacher Lookup'!$B$2:$B$200,MATCH(A9140,'Teacher Lookup'!$A$2:$A$200,0)),"")</f>
        <v>LEE Shane</v>
      </c>
    </row>
    <row r="9141" customFormat="false" ht="15" hidden="false" customHeight="false" outlineLevel="0" collapsed="false">
      <c r="A9141" s="3" t="s">
        <v>502</v>
      </c>
      <c r="B9141" s="4" t="s">
        <v>66</v>
      </c>
      <c r="C9141" s="4" t="n">
        <v>1</v>
      </c>
      <c r="D9141" s="4" t="s">
        <v>19</v>
      </c>
      <c r="E9141" s="3" t="s">
        <v>33</v>
      </c>
      <c r="F9141" s="4" t="str">
        <f aca="false">IF(I9141&gt;J9141,"Y","N")</f>
        <v>N</v>
      </c>
      <c r="G9141" s="3" t="s">
        <v>72</v>
      </c>
      <c r="H9141" s="3" t="s">
        <v>16</v>
      </c>
      <c r="I9141" s="4" t="n">
        <v>4</v>
      </c>
      <c r="J9141" s="4" t="n">
        <f aca="false">LEN(E9141)-LEN(SUBSTITUTE(E9141,",",""))+1</f>
        <v>4</v>
      </c>
      <c r="K9141" s="3" t="str">
        <f aca="false">IFERROR(INDEX('Teacher Lookup'!$B$2:$B$200,MATCH(A9141,'Teacher Lookup'!$A$2:$A$200,0)),"")</f>
        <v>LEE Shane</v>
      </c>
    </row>
    <row r="9142" customFormat="false" ht="15" hidden="false" customHeight="false" outlineLevel="0" collapsed="false">
      <c r="A9142" s="3" t="s">
        <v>502</v>
      </c>
      <c r="B9142" s="4" t="s">
        <v>66</v>
      </c>
      <c r="C9142" s="4" t="n">
        <v>1</v>
      </c>
      <c r="D9142" s="4" t="s">
        <v>22</v>
      </c>
      <c r="E9142" s="3" t="s">
        <v>33</v>
      </c>
      <c r="F9142" s="4" t="str">
        <f aca="false">IF(I9142&gt;J9142,"Y","N")</f>
        <v>N</v>
      </c>
      <c r="G9142" s="3" t="s">
        <v>72</v>
      </c>
      <c r="H9142" s="3" t="s">
        <v>16</v>
      </c>
      <c r="I9142" s="4" t="n">
        <v>4</v>
      </c>
      <c r="J9142" s="4" t="n">
        <f aca="false">LEN(E9142)-LEN(SUBSTITUTE(E9142,",",""))+1</f>
        <v>4</v>
      </c>
      <c r="K9142" s="3" t="str">
        <f aca="false">IFERROR(INDEX('Teacher Lookup'!$B$2:$B$200,MATCH(A9142,'Teacher Lookup'!$A$2:$A$200,0)),"")</f>
        <v>LEE Shane</v>
      </c>
    </row>
    <row r="9143" customFormat="false" ht="15" hidden="false" customHeight="false" outlineLevel="0" collapsed="false">
      <c r="A9143" s="3" t="s">
        <v>502</v>
      </c>
      <c r="B9143" s="4" t="s">
        <v>66</v>
      </c>
      <c r="C9143" s="4" t="n">
        <v>1</v>
      </c>
      <c r="D9143" s="4" t="s">
        <v>23</v>
      </c>
      <c r="E9143" s="3" t="s">
        <v>33</v>
      </c>
      <c r="F9143" s="4" t="str">
        <f aca="false">IF(I9143&gt;J9143,"Y","N")</f>
        <v>N</v>
      </c>
      <c r="G9143" s="3" t="s">
        <v>72</v>
      </c>
      <c r="H9143" s="3" t="s">
        <v>16</v>
      </c>
      <c r="I9143" s="4" t="n">
        <v>4</v>
      </c>
      <c r="J9143" s="4" t="n">
        <f aca="false">LEN(E9143)-LEN(SUBSTITUTE(E9143,",",""))+1</f>
        <v>4</v>
      </c>
      <c r="K9143" s="3" t="str">
        <f aca="false">IFERROR(INDEX('Teacher Lookup'!$B$2:$B$200,MATCH(A9143,'Teacher Lookup'!$A$2:$A$200,0)),"")</f>
        <v>LEE Shane</v>
      </c>
    </row>
    <row r="9144" customFormat="false" ht="15" hidden="false" customHeight="false" outlineLevel="0" collapsed="false">
      <c r="A9144" s="3" t="s">
        <v>502</v>
      </c>
      <c r="B9144" s="4" t="s">
        <v>66</v>
      </c>
      <c r="C9144" s="4" t="n">
        <v>2</v>
      </c>
      <c r="D9144" s="4" t="s">
        <v>19</v>
      </c>
      <c r="E9144" s="3" t="s">
        <v>33</v>
      </c>
      <c r="F9144" s="4" t="str">
        <f aca="false">IF(I9144&gt;J9144,"Y","N")</f>
        <v>N</v>
      </c>
      <c r="G9144" s="3" t="s">
        <v>72</v>
      </c>
      <c r="H9144" s="3" t="s">
        <v>21</v>
      </c>
      <c r="I9144" s="4" t="n">
        <v>4</v>
      </c>
      <c r="J9144" s="4" t="n">
        <f aca="false">LEN(E9144)-LEN(SUBSTITUTE(E9144,",",""))+1</f>
        <v>4</v>
      </c>
      <c r="K9144" s="3" t="str">
        <f aca="false">IFERROR(INDEX('Teacher Lookup'!$B$2:$B$200,MATCH(A9144,'Teacher Lookup'!$A$2:$A$200,0)),"")</f>
        <v>LEE Shane</v>
      </c>
    </row>
    <row r="9145" customFormat="false" ht="15" hidden="false" customHeight="false" outlineLevel="0" collapsed="false">
      <c r="A9145" s="3" t="s">
        <v>502</v>
      </c>
      <c r="B9145" s="4" t="s">
        <v>66</v>
      </c>
      <c r="C9145" s="4" t="n">
        <v>2</v>
      </c>
      <c r="D9145" s="4" t="s">
        <v>22</v>
      </c>
      <c r="E9145" s="3" t="s">
        <v>33</v>
      </c>
      <c r="F9145" s="4" t="str">
        <f aca="false">IF(I9145&gt;J9145,"Y","N")</f>
        <v>N</v>
      </c>
      <c r="G9145" s="3" t="s">
        <v>72</v>
      </c>
      <c r="H9145" s="3" t="s">
        <v>21</v>
      </c>
      <c r="I9145" s="4" t="n">
        <v>4</v>
      </c>
      <c r="J9145" s="4" t="n">
        <f aca="false">LEN(E9145)-LEN(SUBSTITUTE(E9145,",",""))+1</f>
        <v>4</v>
      </c>
      <c r="K9145" s="3" t="str">
        <f aca="false">IFERROR(INDEX('Teacher Lookup'!$B$2:$B$200,MATCH(A9145,'Teacher Lookup'!$A$2:$A$200,0)),"")</f>
        <v>LEE Shane</v>
      </c>
    </row>
    <row r="9146" customFormat="false" ht="15" hidden="false" customHeight="false" outlineLevel="0" collapsed="false">
      <c r="A9146" s="3" t="s">
        <v>502</v>
      </c>
      <c r="B9146" s="4" t="s">
        <v>66</v>
      </c>
      <c r="C9146" s="4" t="n">
        <v>2</v>
      </c>
      <c r="D9146" s="4" t="s">
        <v>23</v>
      </c>
      <c r="E9146" s="3" t="s">
        <v>33</v>
      </c>
      <c r="F9146" s="4" t="str">
        <f aca="false">IF(I9146&gt;J9146,"Y","N")</f>
        <v>N</v>
      </c>
      <c r="G9146" s="3" t="s">
        <v>72</v>
      </c>
      <c r="H9146" s="3" t="s">
        <v>21</v>
      </c>
      <c r="I9146" s="4" t="n">
        <v>4</v>
      </c>
      <c r="J9146" s="4" t="n">
        <f aca="false">LEN(E9146)-LEN(SUBSTITUTE(E9146,",",""))+1</f>
        <v>4</v>
      </c>
      <c r="K9146" s="3" t="str">
        <f aca="false">IFERROR(INDEX('Teacher Lookup'!$B$2:$B$200,MATCH(A9146,'Teacher Lookup'!$A$2:$A$200,0)),"")</f>
        <v>LEE Shane</v>
      </c>
    </row>
    <row r="9147" customFormat="false" ht="15" hidden="false" customHeight="false" outlineLevel="0" collapsed="false">
      <c r="A9147" s="3" t="s">
        <v>502</v>
      </c>
      <c r="B9147" s="4" t="s">
        <v>66</v>
      </c>
      <c r="C9147" s="4" t="n">
        <v>4</v>
      </c>
      <c r="D9147" s="4" t="s">
        <v>57</v>
      </c>
      <c r="E9147" s="3" t="s">
        <v>399</v>
      </c>
      <c r="F9147" s="4" t="str">
        <f aca="false">IF(I9147&gt;J9147,"Y","N")</f>
        <v>N</v>
      </c>
      <c r="G9147" s="3" t="s">
        <v>72</v>
      </c>
      <c r="H9147" s="3" t="s">
        <v>34</v>
      </c>
      <c r="I9147" s="4" t="n">
        <v>4</v>
      </c>
      <c r="J9147" s="4" t="n">
        <f aca="false">LEN(E9147)-LEN(SUBSTITUTE(E9147,",",""))+1</f>
        <v>4</v>
      </c>
      <c r="K9147" s="3" t="str">
        <f aca="false">IFERROR(INDEX('Teacher Lookup'!$B$2:$B$200,MATCH(A9147,'Teacher Lookup'!$A$2:$A$200,0)),"")</f>
        <v>LEE Shane</v>
      </c>
    </row>
    <row r="9148" customFormat="false" ht="15" hidden="false" customHeight="false" outlineLevel="0" collapsed="false">
      <c r="A9148" s="3" t="s">
        <v>502</v>
      </c>
      <c r="B9148" s="4" t="s">
        <v>66</v>
      </c>
      <c r="C9148" s="4" t="n">
        <v>4</v>
      </c>
      <c r="D9148" s="4" t="s">
        <v>58</v>
      </c>
      <c r="E9148" s="3" t="s">
        <v>399</v>
      </c>
      <c r="F9148" s="4" t="str">
        <f aca="false">IF(I9148&gt;J9148,"Y","N")</f>
        <v>N</v>
      </c>
      <c r="G9148" s="3" t="s">
        <v>72</v>
      </c>
      <c r="H9148" s="3" t="s">
        <v>34</v>
      </c>
      <c r="I9148" s="4" t="n">
        <v>4</v>
      </c>
      <c r="J9148" s="4" t="n">
        <f aca="false">LEN(E9148)-LEN(SUBSTITUTE(E9148,",",""))+1</f>
        <v>4</v>
      </c>
      <c r="K9148" s="3" t="str">
        <f aca="false">IFERROR(INDEX('Teacher Lookup'!$B$2:$B$200,MATCH(A9148,'Teacher Lookup'!$A$2:$A$200,0)),"")</f>
        <v>LEE Shane</v>
      </c>
    </row>
    <row r="9149" customFormat="false" ht="15" hidden="false" customHeight="false" outlineLevel="0" collapsed="false">
      <c r="A9149" s="3" t="s">
        <v>502</v>
      </c>
      <c r="B9149" s="4" t="s">
        <v>66</v>
      </c>
      <c r="C9149" s="4" t="n">
        <v>4</v>
      </c>
      <c r="D9149" s="4" t="s">
        <v>59</v>
      </c>
      <c r="E9149" s="3" t="s">
        <v>399</v>
      </c>
      <c r="F9149" s="4" t="str">
        <f aca="false">IF(I9149&gt;J9149,"Y","N")</f>
        <v>N</v>
      </c>
      <c r="G9149" s="3" t="s">
        <v>72</v>
      </c>
      <c r="H9149" s="3" t="s">
        <v>34</v>
      </c>
      <c r="I9149" s="4" t="n">
        <v>4</v>
      </c>
      <c r="J9149" s="4" t="n">
        <f aca="false">LEN(E9149)-LEN(SUBSTITUTE(E9149,",",""))+1</f>
        <v>4</v>
      </c>
      <c r="K9149" s="3" t="str">
        <f aca="false">IFERROR(INDEX('Teacher Lookup'!$B$2:$B$200,MATCH(A9149,'Teacher Lookup'!$A$2:$A$200,0)),"")</f>
        <v>LEE Shane</v>
      </c>
    </row>
    <row r="9150" customFormat="false" ht="15" hidden="false" customHeight="false" outlineLevel="0" collapsed="false">
      <c r="A9150" s="3" t="s">
        <v>502</v>
      </c>
      <c r="B9150" s="4" t="s">
        <v>66</v>
      </c>
      <c r="C9150" s="4" t="n">
        <v>5</v>
      </c>
      <c r="D9150" s="4" t="s">
        <v>13</v>
      </c>
      <c r="E9150" s="3" t="s">
        <v>337</v>
      </c>
      <c r="F9150" s="4" t="str">
        <f aca="false">IF(I9150&gt;J9150,"Y","N")</f>
        <v>N</v>
      </c>
      <c r="G9150" s="3" t="s">
        <v>72</v>
      </c>
      <c r="H9150" s="3" t="s">
        <v>37</v>
      </c>
      <c r="I9150" s="4" t="n">
        <v>4</v>
      </c>
      <c r="J9150" s="4" t="n">
        <f aca="false">LEN(E9150)-LEN(SUBSTITUTE(E9150,",",""))+1</f>
        <v>4</v>
      </c>
      <c r="K9150" s="3" t="str">
        <f aca="false">IFERROR(INDEX('Teacher Lookup'!$B$2:$B$200,MATCH(A9150,'Teacher Lookup'!$A$2:$A$200,0)),"")</f>
        <v>LEE Shane</v>
      </c>
    </row>
    <row r="9151" customFormat="false" ht="15" hidden="false" customHeight="false" outlineLevel="0" collapsed="false">
      <c r="A9151" s="3" t="s">
        <v>502</v>
      </c>
      <c r="B9151" s="4" t="s">
        <v>66</v>
      </c>
      <c r="C9151" s="4" t="n">
        <v>5</v>
      </c>
      <c r="D9151" s="4" t="s">
        <v>17</v>
      </c>
      <c r="E9151" s="3" t="s">
        <v>337</v>
      </c>
      <c r="F9151" s="4" t="str">
        <f aca="false">IF(I9151&gt;J9151,"Y","N")</f>
        <v>N</v>
      </c>
      <c r="G9151" s="3" t="s">
        <v>72</v>
      </c>
      <c r="H9151" s="3" t="s">
        <v>37</v>
      </c>
      <c r="I9151" s="4" t="n">
        <v>4</v>
      </c>
      <c r="J9151" s="4" t="n">
        <f aca="false">LEN(E9151)-LEN(SUBSTITUTE(E9151,",",""))+1</f>
        <v>4</v>
      </c>
      <c r="K9151" s="3" t="str">
        <f aca="false">IFERROR(INDEX('Teacher Lookup'!$B$2:$B$200,MATCH(A9151,'Teacher Lookup'!$A$2:$A$200,0)),"")</f>
        <v>LEE Shane</v>
      </c>
    </row>
    <row r="9152" customFormat="false" ht="15" hidden="false" customHeight="false" outlineLevel="0" collapsed="false">
      <c r="A9152" s="3" t="s">
        <v>502</v>
      </c>
      <c r="B9152" s="4" t="s">
        <v>66</v>
      </c>
      <c r="C9152" s="4" t="n">
        <v>5</v>
      </c>
      <c r="D9152" s="4" t="s">
        <v>18</v>
      </c>
      <c r="E9152" s="3" t="s">
        <v>337</v>
      </c>
      <c r="F9152" s="4" t="str">
        <f aca="false">IF(I9152&gt;J9152,"Y","N")</f>
        <v>N</v>
      </c>
      <c r="G9152" s="3" t="s">
        <v>72</v>
      </c>
      <c r="H9152" s="3" t="s">
        <v>37</v>
      </c>
      <c r="I9152" s="4" t="n">
        <v>4</v>
      </c>
      <c r="J9152" s="4" t="n">
        <f aca="false">LEN(E9152)-LEN(SUBSTITUTE(E9152,",",""))+1</f>
        <v>4</v>
      </c>
      <c r="K9152" s="3" t="str">
        <f aca="false">IFERROR(INDEX('Teacher Lookup'!$B$2:$B$200,MATCH(A9152,'Teacher Lookup'!$A$2:$A$200,0)),"")</f>
        <v>LEE Shane</v>
      </c>
    </row>
    <row r="9153" customFormat="false" ht="15" hidden="false" customHeight="false" outlineLevel="0" collapsed="false">
      <c r="A9153" s="3" t="s">
        <v>503</v>
      </c>
      <c r="B9153" s="4" t="s">
        <v>12</v>
      </c>
      <c r="C9153" s="4" t="n">
        <v>1</v>
      </c>
      <c r="D9153" s="4" t="s">
        <v>137</v>
      </c>
      <c r="E9153" s="3" t="s">
        <v>138</v>
      </c>
      <c r="F9153" s="4" t="str">
        <f aca="false">IF(I9153&gt;J9153,"Y","N")</f>
        <v>N</v>
      </c>
      <c r="G9153" s="3" t="s">
        <v>72</v>
      </c>
      <c r="H9153" s="3" t="s">
        <v>16</v>
      </c>
      <c r="I9153" s="4" t="n">
        <v>4</v>
      </c>
      <c r="J9153" s="4" t="n">
        <f aca="false">LEN(E9153)-LEN(SUBSTITUTE(E9153,",",""))+1</f>
        <v>4</v>
      </c>
      <c r="K9153" s="3" t="str">
        <f aca="false">IFERROR(INDEX('Teacher Lookup'!$B$2:$B$200,MATCH(A9153,'Teacher Lookup'!$A$2:$A$200,0)),"")</f>
        <v>LEE Sean</v>
      </c>
    </row>
    <row r="9154" customFormat="false" ht="15" hidden="false" customHeight="false" outlineLevel="0" collapsed="false">
      <c r="A9154" s="3" t="s">
        <v>503</v>
      </c>
      <c r="B9154" s="4" t="s">
        <v>12</v>
      </c>
      <c r="C9154" s="4" t="n">
        <v>1</v>
      </c>
      <c r="D9154" s="4" t="s">
        <v>124</v>
      </c>
      <c r="E9154" s="3" t="s">
        <v>138</v>
      </c>
      <c r="F9154" s="4" t="str">
        <f aca="false">IF(I9154&gt;J9154,"Y","N")</f>
        <v>N</v>
      </c>
      <c r="G9154" s="3" t="s">
        <v>72</v>
      </c>
      <c r="H9154" s="3" t="s">
        <v>16</v>
      </c>
      <c r="I9154" s="4" t="n">
        <v>4</v>
      </c>
      <c r="J9154" s="4" t="n">
        <f aca="false">LEN(E9154)-LEN(SUBSTITUTE(E9154,",",""))+1</f>
        <v>4</v>
      </c>
      <c r="K9154" s="3" t="str">
        <f aca="false">IFERROR(INDEX('Teacher Lookup'!$B$2:$B$200,MATCH(A9154,'Teacher Lookup'!$A$2:$A$200,0)),"")</f>
        <v>LEE Sean</v>
      </c>
    </row>
    <row r="9155" customFormat="false" ht="15" hidden="false" customHeight="false" outlineLevel="0" collapsed="false">
      <c r="A9155" s="3" t="s">
        <v>503</v>
      </c>
      <c r="B9155" s="4" t="s">
        <v>12</v>
      </c>
      <c r="C9155" s="4" t="n">
        <v>1</v>
      </c>
      <c r="D9155" s="4" t="s">
        <v>139</v>
      </c>
      <c r="E9155" s="3" t="s">
        <v>138</v>
      </c>
      <c r="F9155" s="4" t="str">
        <f aca="false">IF(I9155&gt;J9155,"Y","N")</f>
        <v>N</v>
      </c>
      <c r="G9155" s="3" t="s">
        <v>72</v>
      </c>
      <c r="H9155" s="3" t="s">
        <v>16</v>
      </c>
      <c r="I9155" s="4" t="n">
        <v>4</v>
      </c>
      <c r="J9155" s="4" t="n">
        <f aca="false">LEN(E9155)-LEN(SUBSTITUTE(E9155,",",""))+1</f>
        <v>4</v>
      </c>
      <c r="K9155" s="3" t="str">
        <f aca="false">IFERROR(INDEX('Teacher Lookup'!$B$2:$B$200,MATCH(A9155,'Teacher Lookup'!$A$2:$A$200,0)),"")</f>
        <v>LEE Sean</v>
      </c>
    </row>
    <row r="9156" customFormat="false" ht="15" hidden="false" customHeight="false" outlineLevel="0" collapsed="false">
      <c r="A9156" s="3" t="s">
        <v>503</v>
      </c>
      <c r="B9156" s="4" t="s">
        <v>12</v>
      </c>
      <c r="C9156" s="4" t="n">
        <v>4</v>
      </c>
      <c r="D9156" s="4" t="s">
        <v>57</v>
      </c>
      <c r="E9156" s="3" t="s">
        <v>393</v>
      </c>
      <c r="F9156" s="4" t="str">
        <f aca="false">IF(I9156&gt;J9156,"Y","N")</f>
        <v>N</v>
      </c>
      <c r="G9156" s="3" t="s">
        <v>72</v>
      </c>
      <c r="H9156" s="3" t="s">
        <v>34</v>
      </c>
      <c r="I9156" s="4" t="n">
        <v>4</v>
      </c>
      <c r="J9156" s="4" t="n">
        <f aca="false">LEN(E9156)-LEN(SUBSTITUTE(E9156,",",""))+1</f>
        <v>4</v>
      </c>
      <c r="K9156" s="3" t="str">
        <f aca="false">IFERROR(INDEX('Teacher Lookup'!$B$2:$B$200,MATCH(A9156,'Teacher Lookup'!$A$2:$A$200,0)),"")</f>
        <v>LEE Sean</v>
      </c>
    </row>
    <row r="9157" customFormat="false" ht="15" hidden="false" customHeight="false" outlineLevel="0" collapsed="false">
      <c r="A9157" s="3" t="s">
        <v>503</v>
      </c>
      <c r="B9157" s="4" t="s">
        <v>12</v>
      </c>
      <c r="C9157" s="4" t="n">
        <v>4</v>
      </c>
      <c r="D9157" s="4" t="s">
        <v>58</v>
      </c>
      <c r="E9157" s="3" t="s">
        <v>393</v>
      </c>
      <c r="F9157" s="4" t="str">
        <f aca="false">IF(I9157&gt;J9157,"Y","N")</f>
        <v>N</v>
      </c>
      <c r="G9157" s="3" t="s">
        <v>72</v>
      </c>
      <c r="H9157" s="3" t="s">
        <v>34</v>
      </c>
      <c r="I9157" s="4" t="n">
        <v>4</v>
      </c>
      <c r="J9157" s="4" t="n">
        <f aca="false">LEN(E9157)-LEN(SUBSTITUTE(E9157,",",""))+1</f>
        <v>4</v>
      </c>
      <c r="K9157" s="3" t="str">
        <f aca="false">IFERROR(INDEX('Teacher Lookup'!$B$2:$B$200,MATCH(A9157,'Teacher Lookup'!$A$2:$A$200,0)),"")</f>
        <v>LEE Sean</v>
      </c>
    </row>
    <row r="9158" customFormat="false" ht="15" hidden="false" customHeight="false" outlineLevel="0" collapsed="false">
      <c r="A9158" s="3" t="s">
        <v>503</v>
      </c>
      <c r="B9158" s="4" t="s">
        <v>12</v>
      </c>
      <c r="C9158" s="4" t="n">
        <v>4</v>
      </c>
      <c r="D9158" s="4" t="s">
        <v>59</v>
      </c>
      <c r="E9158" s="3" t="s">
        <v>393</v>
      </c>
      <c r="F9158" s="4" t="str">
        <f aca="false">IF(I9158&gt;J9158,"Y","N")</f>
        <v>N</v>
      </c>
      <c r="G9158" s="3" t="s">
        <v>72</v>
      </c>
      <c r="H9158" s="3" t="s">
        <v>34</v>
      </c>
      <c r="I9158" s="4" t="n">
        <v>4</v>
      </c>
      <c r="J9158" s="4" t="n">
        <f aca="false">LEN(E9158)-LEN(SUBSTITUTE(E9158,",",""))+1</f>
        <v>4</v>
      </c>
      <c r="K9158" s="3" t="str">
        <f aca="false">IFERROR(INDEX('Teacher Lookup'!$B$2:$B$200,MATCH(A9158,'Teacher Lookup'!$A$2:$A$200,0)),"")</f>
        <v>LEE Sean</v>
      </c>
    </row>
    <row r="9159" customFormat="false" ht="15" hidden="false" customHeight="false" outlineLevel="0" collapsed="false">
      <c r="A9159" s="3" t="s">
        <v>503</v>
      </c>
      <c r="B9159" s="4" t="s">
        <v>12</v>
      </c>
      <c r="C9159" s="4" t="n">
        <v>5</v>
      </c>
      <c r="D9159" s="4" t="s">
        <v>132</v>
      </c>
      <c r="E9159" s="3" t="s">
        <v>293</v>
      </c>
      <c r="F9159" s="4" t="str">
        <f aca="false">IF(I9159&gt;J9159,"Y","N")</f>
        <v>N</v>
      </c>
      <c r="G9159" s="3" t="s">
        <v>72</v>
      </c>
      <c r="H9159" s="3" t="s">
        <v>37</v>
      </c>
      <c r="I9159" s="4" t="n">
        <v>1</v>
      </c>
      <c r="J9159" s="4" t="n">
        <f aca="false">LEN(E9159)-LEN(SUBSTITUTE(E9159,",",""))+1</f>
        <v>1</v>
      </c>
      <c r="K9159" s="3" t="str">
        <f aca="false">IFERROR(INDEX('Teacher Lookup'!$B$2:$B$200,MATCH(A9159,'Teacher Lookup'!$A$2:$A$200,0)),"")</f>
        <v>LEE Sean</v>
      </c>
    </row>
    <row r="9160" customFormat="false" ht="15" hidden="false" customHeight="false" outlineLevel="0" collapsed="false">
      <c r="A9160" s="3" t="s">
        <v>503</v>
      </c>
      <c r="B9160" s="4" t="s">
        <v>31</v>
      </c>
      <c r="C9160" s="4" t="n">
        <v>5</v>
      </c>
      <c r="D9160" s="4" t="s">
        <v>52</v>
      </c>
      <c r="E9160" s="3" t="s">
        <v>112</v>
      </c>
      <c r="F9160" s="4" t="str">
        <f aca="false">IF(I9160&gt;J9160,"Y","N")</f>
        <v>Y</v>
      </c>
      <c r="G9160" s="3" t="s">
        <v>36</v>
      </c>
      <c r="H9160" s="3" t="s">
        <v>37</v>
      </c>
      <c r="I9160" s="4" t="n">
        <v>16</v>
      </c>
      <c r="J9160" s="4" t="n">
        <f aca="false">LEN(E9160)-LEN(SUBSTITUTE(E9160,",",""))+1</f>
        <v>7</v>
      </c>
      <c r="K9160" s="3" t="str">
        <f aca="false">IFERROR(INDEX('Teacher Lookup'!$B$2:$B$200,MATCH(A9160,'Teacher Lookup'!$A$2:$A$200,0)),"")</f>
        <v>LEE Sean</v>
      </c>
    </row>
    <row r="9161" customFormat="false" ht="15" hidden="false" customHeight="false" outlineLevel="0" collapsed="false">
      <c r="A9161" s="3" t="s">
        <v>503</v>
      </c>
      <c r="B9161" s="4" t="s">
        <v>31</v>
      </c>
      <c r="C9161" s="4" t="n">
        <v>5</v>
      </c>
      <c r="D9161" s="4" t="s">
        <v>55</v>
      </c>
      <c r="E9161" s="3" t="s">
        <v>112</v>
      </c>
      <c r="F9161" s="4" t="str">
        <f aca="false">IF(I9161&gt;J9161,"Y","N")</f>
        <v>Y</v>
      </c>
      <c r="G9161" s="3" t="s">
        <v>36</v>
      </c>
      <c r="H9161" s="3" t="s">
        <v>37</v>
      </c>
      <c r="I9161" s="4" t="n">
        <v>16</v>
      </c>
      <c r="J9161" s="4" t="n">
        <f aca="false">LEN(E9161)-LEN(SUBSTITUTE(E9161,",",""))+1</f>
        <v>7</v>
      </c>
      <c r="K9161" s="3" t="str">
        <f aca="false">IFERROR(INDEX('Teacher Lookup'!$B$2:$B$200,MATCH(A9161,'Teacher Lookup'!$A$2:$A$200,0)),"")</f>
        <v>LEE Sean</v>
      </c>
    </row>
    <row r="9162" customFormat="false" ht="15" hidden="false" customHeight="false" outlineLevel="0" collapsed="false">
      <c r="A9162" s="3" t="s">
        <v>503</v>
      </c>
      <c r="B9162" s="4" t="s">
        <v>31</v>
      </c>
      <c r="C9162" s="4" t="n">
        <v>5</v>
      </c>
      <c r="D9162" s="4" t="s">
        <v>56</v>
      </c>
      <c r="E9162" s="3" t="s">
        <v>112</v>
      </c>
      <c r="F9162" s="4" t="str">
        <f aca="false">IF(I9162&gt;J9162,"Y","N")</f>
        <v>Y</v>
      </c>
      <c r="G9162" s="3" t="s">
        <v>36</v>
      </c>
      <c r="H9162" s="3" t="s">
        <v>37</v>
      </c>
      <c r="I9162" s="4" t="n">
        <v>16</v>
      </c>
      <c r="J9162" s="4" t="n">
        <f aca="false">LEN(E9162)-LEN(SUBSTITUTE(E9162,",",""))+1</f>
        <v>7</v>
      </c>
      <c r="K9162" s="3" t="str">
        <f aca="false">IFERROR(INDEX('Teacher Lookup'!$B$2:$B$200,MATCH(A9162,'Teacher Lookup'!$A$2:$A$200,0)),"")</f>
        <v>LEE Sean</v>
      </c>
    </row>
    <row r="9163" customFormat="false" ht="15" hidden="false" customHeight="false" outlineLevel="0" collapsed="false">
      <c r="A9163" s="3" t="s">
        <v>503</v>
      </c>
      <c r="B9163" s="4" t="s">
        <v>31</v>
      </c>
      <c r="C9163" s="4" t="n">
        <v>5</v>
      </c>
      <c r="D9163" s="4" t="s">
        <v>57</v>
      </c>
      <c r="E9163" s="3" t="s">
        <v>112</v>
      </c>
      <c r="F9163" s="4" t="str">
        <f aca="false">IF(I9163&gt;J9163,"Y","N")</f>
        <v>Y</v>
      </c>
      <c r="G9163" s="3" t="s">
        <v>36</v>
      </c>
      <c r="H9163" s="3" t="s">
        <v>37</v>
      </c>
      <c r="I9163" s="4" t="n">
        <v>16</v>
      </c>
      <c r="J9163" s="4" t="n">
        <f aca="false">LEN(E9163)-LEN(SUBSTITUTE(E9163,",",""))+1</f>
        <v>7</v>
      </c>
      <c r="K9163" s="3" t="str">
        <f aca="false">IFERROR(INDEX('Teacher Lookup'!$B$2:$B$200,MATCH(A9163,'Teacher Lookup'!$A$2:$A$200,0)),"")</f>
        <v>LEE Sean</v>
      </c>
    </row>
    <row r="9164" customFormat="false" ht="15" hidden="false" customHeight="false" outlineLevel="0" collapsed="false">
      <c r="A9164" s="3" t="s">
        <v>503</v>
      </c>
      <c r="B9164" s="4" t="s">
        <v>31</v>
      </c>
      <c r="C9164" s="4" t="n">
        <v>5</v>
      </c>
      <c r="D9164" s="4" t="s">
        <v>58</v>
      </c>
      <c r="E9164" s="3" t="s">
        <v>112</v>
      </c>
      <c r="F9164" s="4" t="str">
        <f aca="false">IF(I9164&gt;J9164,"Y","N")</f>
        <v>Y</v>
      </c>
      <c r="G9164" s="3" t="s">
        <v>36</v>
      </c>
      <c r="H9164" s="3" t="s">
        <v>37</v>
      </c>
      <c r="I9164" s="4" t="n">
        <v>16</v>
      </c>
      <c r="J9164" s="4" t="n">
        <f aca="false">LEN(E9164)-LEN(SUBSTITUTE(E9164,",",""))+1</f>
        <v>7</v>
      </c>
      <c r="K9164" s="3" t="str">
        <f aca="false">IFERROR(INDEX('Teacher Lookup'!$B$2:$B$200,MATCH(A9164,'Teacher Lookup'!$A$2:$A$200,0)),"")</f>
        <v>LEE Sean</v>
      </c>
    </row>
    <row r="9165" customFormat="false" ht="15" hidden="false" customHeight="false" outlineLevel="0" collapsed="false">
      <c r="A9165" s="3" t="s">
        <v>503</v>
      </c>
      <c r="B9165" s="4" t="s">
        <v>31</v>
      </c>
      <c r="C9165" s="4" t="n">
        <v>5</v>
      </c>
      <c r="D9165" s="4" t="s">
        <v>59</v>
      </c>
      <c r="E9165" s="3" t="s">
        <v>112</v>
      </c>
      <c r="F9165" s="4" t="str">
        <f aca="false">IF(I9165&gt;J9165,"Y","N")</f>
        <v>Y</v>
      </c>
      <c r="G9165" s="3" t="s">
        <v>36</v>
      </c>
      <c r="H9165" s="3" t="s">
        <v>37</v>
      </c>
      <c r="I9165" s="4" t="n">
        <v>16</v>
      </c>
      <c r="J9165" s="4" t="n">
        <f aca="false">LEN(E9165)-LEN(SUBSTITUTE(E9165,",",""))+1</f>
        <v>7</v>
      </c>
      <c r="K9165" s="3" t="str">
        <f aca="false">IFERROR(INDEX('Teacher Lookup'!$B$2:$B$200,MATCH(A9165,'Teacher Lookup'!$A$2:$A$200,0)),"")</f>
        <v>LEE Sean</v>
      </c>
    </row>
    <row r="9166" customFormat="false" ht="15" hidden="false" customHeight="false" outlineLevel="0" collapsed="false">
      <c r="A9166" s="3" t="s">
        <v>503</v>
      </c>
      <c r="B9166" s="4" t="s">
        <v>31</v>
      </c>
      <c r="C9166" s="4" t="n">
        <v>6</v>
      </c>
      <c r="D9166" s="4" t="s">
        <v>137</v>
      </c>
      <c r="E9166" s="3" t="s">
        <v>146</v>
      </c>
      <c r="F9166" s="4" t="str">
        <f aca="false">IF(I9166&gt;J9166,"Y","N")</f>
        <v>N</v>
      </c>
      <c r="G9166" s="3" t="s">
        <v>72</v>
      </c>
      <c r="H9166" s="3" t="s">
        <v>42</v>
      </c>
      <c r="I9166" s="4" t="n">
        <v>4</v>
      </c>
      <c r="J9166" s="4" t="n">
        <f aca="false">LEN(E9166)-LEN(SUBSTITUTE(E9166,",",""))+1</f>
        <v>4</v>
      </c>
      <c r="K9166" s="3" t="str">
        <f aca="false">IFERROR(INDEX('Teacher Lookup'!$B$2:$B$200,MATCH(A9166,'Teacher Lookup'!$A$2:$A$200,0)),"")</f>
        <v>LEE Sean</v>
      </c>
    </row>
    <row r="9167" customFormat="false" ht="15" hidden="false" customHeight="false" outlineLevel="0" collapsed="false">
      <c r="A9167" s="3" t="s">
        <v>503</v>
      </c>
      <c r="B9167" s="4" t="s">
        <v>31</v>
      </c>
      <c r="C9167" s="4" t="n">
        <v>6</v>
      </c>
      <c r="D9167" s="4" t="s">
        <v>124</v>
      </c>
      <c r="E9167" s="3" t="s">
        <v>146</v>
      </c>
      <c r="F9167" s="4" t="str">
        <f aca="false">IF(I9167&gt;J9167,"Y","N")</f>
        <v>N</v>
      </c>
      <c r="G9167" s="3" t="s">
        <v>72</v>
      </c>
      <c r="H9167" s="3" t="s">
        <v>42</v>
      </c>
      <c r="I9167" s="4" t="n">
        <v>4</v>
      </c>
      <c r="J9167" s="4" t="n">
        <f aca="false">LEN(E9167)-LEN(SUBSTITUTE(E9167,",",""))+1</f>
        <v>4</v>
      </c>
      <c r="K9167" s="3" t="str">
        <f aca="false">IFERROR(INDEX('Teacher Lookup'!$B$2:$B$200,MATCH(A9167,'Teacher Lookup'!$A$2:$A$200,0)),"")</f>
        <v>LEE Sean</v>
      </c>
    </row>
    <row r="9168" customFormat="false" ht="15" hidden="false" customHeight="false" outlineLevel="0" collapsed="false">
      <c r="A9168" s="3" t="s">
        <v>503</v>
      </c>
      <c r="B9168" s="4" t="s">
        <v>31</v>
      </c>
      <c r="C9168" s="4" t="n">
        <v>6</v>
      </c>
      <c r="D9168" s="4" t="s">
        <v>139</v>
      </c>
      <c r="E9168" s="3" t="s">
        <v>146</v>
      </c>
      <c r="F9168" s="4" t="str">
        <f aca="false">IF(I9168&gt;J9168,"Y","N")</f>
        <v>N</v>
      </c>
      <c r="G9168" s="3" t="s">
        <v>72</v>
      </c>
      <c r="H9168" s="3" t="s">
        <v>42</v>
      </c>
      <c r="I9168" s="4" t="n">
        <v>4</v>
      </c>
      <c r="J9168" s="4" t="n">
        <f aca="false">LEN(E9168)-LEN(SUBSTITUTE(E9168,",",""))+1</f>
        <v>4</v>
      </c>
      <c r="K9168" s="3" t="str">
        <f aca="false">IFERROR(INDEX('Teacher Lookup'!$B$2:$B$200,MATCH(A9168,'Teacher Lookup'!$A$2:$A$200,0)),"")</f>
        <v>LEE Sean</v>
      </c>
    </row>
    <row r="9169" customFormat="false" ht="15" hidden="false" customHeight="false" outlineLevel="0" collapsed="false">
      <c r="A9169" s="3" t="s">
        <v>503</v>
      </c>
      <c r="B9169" s="4" t="s">
        <v>31</v>
      </c>
      <c r="C9169" s="4" t="n">
        <v>7</v>
      </c>
      <c r="D9169" s="4" t="s">
        <v>57</v>
      </c>
      <c r="E9169" s="3" t="s">
        <v>393</v>
      </c>
      <c r="F9169" s="4" t="str">
        <f aca="false">IF(I9169&gt;J9169,"Y","N")</f>
        <v>N</v>
      </c>
      <c r="G9169" s="3" t="s">
        <v>72</v>
      </c>
      <c r="H9169" s="3" t="s">
        <v>39</v>
      </c>
      <c r="I9169" s="4" t="n">
        <v>4</v>
      </c>
      <c r="J9169" s="4" t="n">
        <f aca="false">LEN(E9169)-LEN(SUBSTITUTE(E9169,",",""))+1</f>
        <v>4</v>
      </c>
      <c r="K9169" s="3" t="str">
        <f aca="false">IFERROR(INDEX('Teacher Lookup'!$B$2:$B$200,MATCH(A9169,'Teacher Lookup'!$A$2:$A$200,0)),"")</f>
        <v>LEE Sean</v>
      </c>
    </row>
    <row r="9170" customFormat="false" ht="15" hidden="false" customHeight="false" outlineLevel="0" collapsed="false">
      <c r="A9170" s="3" t="s">
        <v>503</v>
      </c>
      <c r="B9170" s="4" t="s">
        <v>31</v>
      </c>
      <c r="C9170" s="4" t="n">
        <v>7</v>
      </c>
      <c r="D9170" s="4" t="s">
        <v>58</v>
      </c>
      <c r="E9170" s="3" t="s">
        <v>393</v>
      </c>
      <c r="F9170" s="4" t="str">
        <f aca="false">IF(I9170&gt;J9170,"Y","N")</f>
        <v>N</v>
      </c>
      <c r="G9170" s="3" t="s">
        <v>72</v>
      </c>
      <c r="H9170" s="3" t="s">
        <v>39</v>
      </c>
      <c r="I9170" s="4" t="n">
        <v>4</v>
      </c>
      <c r="J9170" s="4" t="n">
        <f aca="false">LEN(E9170)-LEN(SUBSTITUTE(E9170,",",""))+1</f>
        <v>4</v>
      </c>
      <c r="K9170" s="3" t="str">
        <f aca="false">IFERROR(INDEX('Teacher Lookup'!$B$2:$B$200,MATCH(A9170,'Teacher Lookup'!$A$2:$A$200,0)),"")</f>
        <v>LEE Sean</v>
      </c>
    </row>
    <row r="9171" customFormat="false" ht="15" hidden="false" customHeight="false" outlineLevel="0" collapsed="false">
      <c r="A9171" s="3" t="s">
        <v>503</v>
      </c>
      <c r="B9171" s="4" t="s">
        <v>31</v>
      </c>
      <c r="C9171" s="4" t="n">
        <v>7</v>
      </c>
      <c r="D9171" s="4" t="s">
        <v>59</v>
      </c>
      <c r="E9171" s="3" t="s">
        <v>393</v>
      </c>
      <c r="F9171" s="4" t="str">
        <f aca="false">IF(I9171&gt;J9171,"Y","N")</f>
        <v>N</v>
      </c>
      <c r="G9171" s="3" t="s">
        <v>72</v>
      </c>
      <c r="H9171" s="3" t="s">
        <v>39</v>
      </c>
      <c r="I9171" s="4" t="n">
        <v>4</v>
      </c>
      <c r="J9171" s="4" t="n">
        <f aca="false">LEN(E9171)-LEN(SUBSTITUTE(E9171,",",""))+1</f>
        <v>4</v>
      </c>
      <c r="K9171" s="3" t="str">
        <f aca="false">IFERROR(INDEX('Teacher Lookup'!$B$2:$B$200,MATCH(A9171,'Teacher Lookup'!$A$2:$A$200,0)),"")</f>
        <v>LEE Sean</v>
      </c>
    </row>
    <row r="9172" customFormat="false" ht="15" hidden="false" customHeight="false" outlineLevel="0" collapsed="false">
      <c r="A9172" s="3" t="s">
        <v>503</v>
      </c>
      <c r="B9172" s="4" t="s">
        <v>40</v>
      </c>
      <c r="C9172" s="4" t="n">
        <v>2</v>
      </c>
      <c r="D9172" s="4" t="s">
        <v>137</v>
      </c>
      <c r="E9172" s="3" t="s">
        <v>148</v>
      </c>
      <c r="F9172" s="4" t="str">
        <f aca="false">IF(I9172&gt;J9172,"Y","N")</f>
        <v>N</v>
      </c>
      <c r="G9172" s="3" t="s">
        <v>72</v>
      </c>
      <c r="H9172" s="3" t="s">
        <v>21</v>
      </c>
      <c r="I9172" s="4" t="n">
        <v>4</v>
      </c>
      <c r="J9172" s="4" t="n">
        <f aca="false">LEN(E9172)-LEN(SUBSTITUTE(E9172,",",""))+1</f>
        <v>4</v>
      </c>
      <c r="K9172" s="3" t="str">
        <f aca="false">IFERROR(INDEX('Teacher Lookup'!$B$2:$B$200,MATCH(A9172,'Teacher Lookup'!$A$2:$A$200,0)),"")</f>
        <v>LEE Sean</v>
      </c>
    </row>
    <row r="9173" customFormat="false" ht="15" hidden="false" customHeight="false" outlineLevel="0" collapsed="false">
      <c r="A9173" s="3" t="s">
        <v>503</v>
      </c>
      <c r="B9173" s="4" t="s">
        <v>40</v>
      </c>
      <c r="C9173" s="4" t="n">
        <v>2</v>
      </c>
      <c r="D9173" s="4" t="s">
        <v>124</v>
      </c>
      <c r="E9173" s="3" t="s">
        <v>148</v>
      </c>
      <c r="F9173" s="4" t="str">
        <f aca="false">IF(I9173&gt;J9173,"Y","N")</f>
        <v>N</v>
      </c>
      <c r="G9173" s="3" t="s">
        <v>72</v>
      </c>
      <c r="H9173" s="3" t="s">
        <v>21</v>
      </c>
      <c r="I9173" s="4" t="n">
        <v>4</v>
      </c>
      <c r="J9173" s="4" t="n">
        <f aca="false">LEN(E9173)-LEN(SUBSTITUTE(E9173,",",""))+1</f>
        <v>4</v>
      </c>
      <c r="K9173" s="3" t="str">
        <f aca="false">IFERROR(INDEX('Teacher Lookup'!$B$2:$B$200,MATCH(A9173,'Teacher Lookup'!$A$2:$A$200,0)),"")</f>
        <v>LEE Sean</v>
      </c>
    </row>
    <row r="9174" customFormat="false" ht="15" hidden="false" customHeight="false" outlineLevel="0" collapsed="false">
      <c r="A9174" s="3" t="s">
        <v>503</v>
      </c>
      <c r="B9174" s="4" t="s">
        <v>40</v>
      </c>
      <c r="C9174" s="4" t="n">
        <v>2</v>
      </c>
      <c r="D9174" s="4" t="s">
        <v>139</v>
      </c>
      <c r="E9174" s="3" t="s">
        <v>148</v>
      </c>
      <c r="F9174" s="4" t="str">
        <f aca="false">IF(I9174&gt;J9174,"Y","N")</f>
        <v>N</v>
      </c>
      <c r="G9174" s="3" t="s">
        <v>72</v>
      </c>
      <c r="H9174" s="3" t="s">
        <v>21</v>
      </c>
      <c r="I9174" s="4" t="n">
        <v>4</v>
      </c>
      <c r="J9174" s="4" t="n">
        <f aca="false">LEN(E9174)-LEN(SUBSTITUTE(E9174,",",""))+1</f>
        <v>4</v>
      </c>
      <c r="K9174" s="3" t="str">
        <f aca="false">IFERROR(INDEX('Teacher Lookup'!$B$2:$B$200,MATCH(A9174,'Teacher Lookup'!$A$2:$A$200,0)),"")</f>
        <v>LEE Sean</v>
      </c>
    </row>
    <row r="9175" customFormat="false" ht="15" hidden="false" customHeight="false" outlineLevel="0" collapsed="false">
      <c r="A9175" s="3" t="s">
        <v>503</v>
      </c>
      <c r="B9175" s="4" t="s">
        <v>40</v>
      </c>
      <c r="C9175" s="4" t="n">
        <v>6</v>
      </c>
      <c r="D9175" s="4" t="s">
        <v>57</v>
      </c>
      <c r="E9175" s="3" t="s">
        <v>166</v>
      </c>
      <c r="F9175" s="4" t="str">
        <f aca="false">IF(I9175&gt;J9175,"Y","N")</f>
        <v>N</v>
      </c>
      <c r="G9175" s="3" t="s">
        <v>72</v>
      </c>
      <c r="H9175" s="3" t="s">
        <v>42</v>
      </c>
      <c r="I9175" s="4" t="n">
        <v>4</v>
      </c>
      <c r="J9175" s="4" t="n">
        <f aca="false">LEN(E9175)-LEN(SUBSTITUTE(E9175,",",""))+1</f>
        <v>4</v>
      </c>
      <c r="K9175" s="3" t="str">
        <f aca="false">IFERROR(INDEX('Teacher Lookup'!$B$2:$B$200,MATCH(A9175,'Teacher Lookup'!$A$2:$A$200,0)),"")</f>
        <v>LEE Sean</v>
      </c>
    </row>
    <row r="9176" customFormat="false" ht="15" hidden="false" customHeight="false" outlineLevel="0" collapsed="false">
      <c r="A9176" s="3" t="s">
        <v>503</v>
      </c>
      <c r="B9176" s="4" t="s">
        <v>40</v>
      </c>
      <c r="C9176" s="4" t="n">
        <v>6</v>
      </c>
      <c r="D9176" s="4" t="s">
        <v>58</v>
      </c>
      <c r="E9176" s="3" t="s">
        <v>166</v>
      </c>
      <c r="F9176" s="4" t="str">
        <f aca="false">IF(I9176&gt;J9176,"Y","N")</f>
        <v>N</v>
      </c>
      <c r="G9176" s="3" t="s">
        <v>72</v>
      </c>
      <c r="H9176" s="3" t="s">
        <v>42</v>
      </c>
      <c r="I9176" s="4" t="n">
        <v>4</v>
      </c>
      <c r="J9176" s="4" t="n">
        <f aca="false">LEN(E9176)-LEN(SUBSTITUTE(E9176,",",""))+1</f>
        <v>4</v>
      </c>
      <c r="K9176" s="3" t="str">
        <f aca="false">IFERROR(INDEX('Teacher Lookup'!$B$2:$B$200,MATCH(A9176,'Teacher Lookup'!$A$2:$A$200,0)),"")</f>
        <v>LEE Sean</v>
      </c>
    </row>
    <row r="9177" customFormat="false" ht="15" hidden="false" customHeight="false" outlineLevel="0" collapsed="false">
      <c r="A9177" s="3" t="s">
        <v>503</v>
      </c>
      <c r="B9177" s="4" t="s">
        <v>40</v>
      </c>
      <c r="C9177" s="4" t="n">
        <v>6</v>
      </c>
      <c r="D9177" s="4" t="s">
        <v>59</v>
      </c>
      <c r="E9177" s="3" t="s">
        <v>166</v>
      </c>
      <c r="F9177" s="4" t="str">
        <f aca="false">IF(I9177&gt;J9177,"Y","N")</f>
        <v>N</v>
      </c>
      <c r="G9177" s="3" t="s">
        <v>72</v>
      </c>
      <c r="H9177" s="3" t="s">
        <v>42</v>
      </c>
      <c r="I9177" s="4" t="n">
        <v>4</v>
      </c>
      <c r="J9177" s="4" t="n">
        <f aca="false">LEN(E9177)-LEN(SUBSTITUTE(E9177,",",""))+1</f>
        <v>4</v>
      </c>
      <c r="K9177" s="3" t="str">
        <f aca="false">IFERROR(INDEX('Teacher Lookup'!$B$2:$B$200,MATCH(A9177,'Teacher Lookup'!$A$2:$A$200,0)),"")</f>
        <v>LEE Sean</v>
      </c>
    </row>
    <row r="9178" customFormat="false" ht="15" hidden="false" customHeight="false" outlineLevel="0" collapsed="false">
      <c r="A9178" s="3" t="s">
        <v>503</v>
      </c>
      <c r="B9178" s="4" t="s">
        <v>40</v>
      </c>
      <c r="C9178" s="4" t="n">
        <v>7</v>
      </c>
      <c r="D9178" s="4" t="s">
        <v>57</v>
      </c>
      <c r="E9178" s="3" t="s">
        <v>166</v>
      </c>
      <c r="F9178" s="4" t="str">
        <f aca="false">IF(I9178&gt;J9178,"Y","N")</f>
        <v>N</v>
      </c>
      <c r="G9178" s="3" t="s">
        <v>72</v>
      </c>
      <c r="H9178" s="3" t="s">
        <v>39</v>
      </c>
      <c r="I9178" s="4" t="n">
        <v>4</v>
      </c>
      <c r="J9178" s="4" t="n">
        <f aca="false">LEN(E9178)-LEN(SUBSTITUTE(E9178,",",""))+1</f>
        <v>4</v>
      </c>
      <c r="K9178" s="3" t="str">
        <f aca="false">IFERROR(INDEX('Teacher Lookup'!$B$2:$B$200,MATCH(A9178,'Teacher Lookup'!$A$2:$A$200,0)),"")</f>
        <v>LEE Sean</v>
      </c>
    </row>
    <row r="9179" customFormat="false" ht="15" hidden="false" customHeight="false" outlineLevel="0" collapsed="false">
      <c r="A9179" s="3" t="s">
        <v>503</v>
      </c>
      <c r="B9179" s="4" t="s">
        <v>40</v>
      </c>
      <c r="C9179" s="4" t="n">
        <v>7</v>
      </c>
      <c r="D9179" s="4" t="s">
        <v>58</v>
      </c>
      <c r="E9179" s="3" t="s">
        <v>166</v>
      </c>
      <c r="F9179" s="4" t="str">
        <f aca="false">IF(I9179&gt;J9179,"Y","N")</f>
        <v>N</v>
      </c>
      <c r="G9179" s="3" t="s">
        <v>72</v>
      </c>
      <c r="H9179" s="3" t="s">
        <v>39</v>
      </c>
      <c r="I9179" s="4" t="n">
        <v>4</v>
      </c>
      <c r="J9179" s="4" t="n">
        <f aca="false">LEN(E9179)-LEN(SUBSTITUTE(E9179,",",""))+1</f>
        <v>4</v>
      </c>
      <c r="K9179" s="3" t="str">
        <f aca="false">IFERROR(INDEX('Teacher Lookup'!$B$2:$B$200,MATCH(A9179,'Teacher Lookup'!$A$2:$A$200,0)),"")</f>
        <v>LEE Sean</v>
      </c>
    </row>
    <row r="9180" customFormat="false" ht="15" hidden="false" customHeight="false" outlineLevel="0" collapsed="false">
      <c r="A9180" s="3" t="s">
        <v>503</v>
      </c>
      <c r="B9180" s="4" t="s">
        <v>40</v>
      </c>
      <c r="C9180" s="4" t="n">
        <v>7</v>
      </c>
      <c r="D9180" s="4" t="s">
        <v>59</v>
      </c>
      <c r="E9180" s="3" t="s">
        <v>166</v>
      </c>
      <c r="F9180" s="4" t="str">
        <f aca="false">IF(I9180&gt;J9180,"Y","N")</f>
        <v>N</v>
      </c>
      <c r="G9180" s="3" t="s">
        <v>72</v>
      </c>
      <c r="H9180" s="3" t="s">
        <v>39</v>
      </c>
      <c r="I9180" s="4" t="n">
        <v>4</v>
      </c>
      <c r="J9180" s="4" t="n">
        <f aca="false">LEN(E9180)-LEN(SUBSTITUTE(E9180,",",""))+1</f>
        <v>4</v>
      </c>
      <c r="K9180" s="3" t="str">
        <f aca="false">IFERROR(INDEX('Teacher Lookup'!$B$2:$B$200,MATCH(A9180,'Teacher Lookup'!$A$2:$A$200,0)),"")</f>
        <v>LEE Sean</v>
      </c>
    </row>
    <row r="9181" customFormat="false" ht="15" hidden="false" customHeight="false" outlineLevel="0" collapsed="false">
      <c r="A9181" s="3" t="s">
        <v>503</v>
      </c>
      <c r="B9181" s="4" t="s">
        <v>44</v>
      </c>
      <c r="C9181" s="4" t="n">
        <v>2</v>
      </c>
      <c r="D9181" s="4" t="s">
        <v>57</v>
      </c>
      <c r="E9181" s="3" t="s">
        <v>394</v>
      </c>
      <c r="F9181" s="4" t="str">
        <f aca="false">IF(I9181&gt;J9181,"Y","N")</f>
        <v>N</v>
      </c>
      <c r="G9181" s="3" t="s">
        <v>72</v>
      </c>
      <c r="H9181" s="3" t="s">
        <v>21</v>
      </c>
      <c r="I9181" s="4" t="n">
        <v>4</v>
      </c>
      <c r="J9181" s="4" t="n">
        <f aca="false">LEN(E9181)-LEN(SUBSTITUTE(E9181,",",""))+1</f>
        <v>4</v>
      </c>
      <c r="K9181" s="3" t="str">
        <f aca="false">IFERROR(INDEX('Teacher Lookup'!$B$2:$B$200,MATCH(A9181,'Teacher Lookup'!$A$2:$A$200,0)),"")</f>
        <v>LEE Sean</v>
      </c>
    </row>
    <row r="9182" customFormat="false" ht="15" hidden="false" customHeight="false" outlineLevel="0" collapsed="false">
      <c r="A9182" s="3" t="s">
        <v>503</v>
      </c>
      <c r="B9182" s="4" t="s">
        <v>44</v>
      </c>
      <c r="C9182" s="4" t="n">
        <v>2</v>
      </c>
      <c r="D9182" s="4" t="s">
        <v>58</v>
      </c>
      <c r="E9182" s="3" t="s">
        <v>394</v>
      </c>
      <c r="F9182" s="4" t="str">
        <f aca="false">IF(I9182&gt;J9182,"Y","N")</f>
        <v>N</v>
      </c>
      <c r="G9182" s="3" t="s">
        <v>72</v>
      </c>
      <c r="H9182" s="3" t="s">
        <v>21</v>
      </c>
      <c r="I9182" s="4" t="n">
        <v>4</v>
      </c>
      <c r="J9182" s="4" t="n">
        <f aca="false">LEN(E9182)-LEN(SUBSTITUTE(E9182,",",""))+1</f>
        <v>4</v>
      </c>
      <c r="K9182" s="3" t="str">
        <f aca="false">IFERROR(INDEX('Teacher Lookup'!$B$2:$B$200,MATCH(A9182,'Teacher Lookup'!$A$2:$A$200,0)),"")</f>
        <v>LEE Sean</v>
      </c>
    </row>
    <row r="9183" customFormat="false" ht="15" hidden="false" customHeight="false" outlineLevel="0" collapsed="false">
      <c r="A9183" s="3" t="s">
        <v>503</v>
      </c>
      <c r="B9183" s="4" t="s">
        <v>44</v>
      </c>
      <c r="C9183" s="4" t="n">
        <v>2</v>
      </c>
      <c r="D9183" s="4" t="s">
        <v>59</v>
      </c>
      <c r="E9183" s="3" t="s">
        <v>394</v>
      </c>
      <c r="F9183" s="4" t="str">
        <f aca="false">IF(I9183&gt;J9183,"Y","N")</f>
        <v>N</v>
      </c>
      <c r="G9183" s="3" t="s">
        <v>72</v>
      </c>
      <c r="H9183" s="3" t="s">
        <v>21</v>
      </c>
      <c r="I9183" s="4" t="n">
        <v>4</v>
      </c>
      <c r="J9183" s="4" t="n">
        <f aca="false">LEN(E9183)-LEN(SUBSTITUTE(E9183,",",""))+1</f>
        <v>4</v>
      </c>
      <c r="K9183" s="3" t="str">
        <f aca="false">IFERROR(INDEX('Teacher Lookup'!$B$2:$B$200,MATCH(A9183,'Teacher Lookup'!$A$2:$A$200,0)),"")</f>
        <v>LEE Sean</v>
      </c>
    </row>
    <row r="9184" customFormat="false" ht="15" hidden="false" customHeight="false" outlineLevel="0" collapsed="false">
      <c r="A9184" s="3" t="s">
        <v>503</v>
      </c>
      <c r="B9184" s="4" t="s">
        <v>44</v>
      </c>
      <c r="C9184" s="4" t="n">
        <v>4</v>
      </c>
      <c r="D9184" s="4" t="s">
        <v>137</v>
      </c>
      <c r="E9184" s="3" t="s">
        <v>151</v>
      </c>
      <c r="F9184" s="4" t="str">
        <f aca="false">IF(I9184&gt;J9184,"Y","N")</f>
        <v>N</v>
      </c>
      <c r="G9184" s="3" t="s">
        <v>72</v>
      </c>
      <c r="H9184" s="3" t="s">
        <v>34</v>
      </c>
      <c r="I9184" s="4" t="n">
        <v>4</v>
      </c>
      <c r="J9184" s="4" t="n">
        <f aca="false">LEN(E9184)-LEN(SUBSTITUTE(E9184,",",""))+1</f>
        <v>4</v>
      </c>
      <c r="K9184" s="3" t="str">
        <f aca="false">IFERROR(INDEX('Teacher Lookup'!$B$2:$B$200,MATCH(A9184,'Teacher Lookup'!$A$2:$A$200,0)),"")</f>
        <v>LEE Sean</v>
      </c>
    </row>
    <row r="9185" customFormat="false" ht="15" hidden="false" customHeight="false" outlineLevel="0" collapsed="false">
      <c r="A9185" s="3" t="s">
        <v>503</v>
      </c>
      <c r="B9185" s="4" t="s">
        <v>44</v>
      </c>
      <c r="C9185" s="4" t="n">
        <v>4</v>
      </c>
      <c r="D9185" s="4" t="s">
        <v>124</v>
      </c>
      <c r="E9185" s="3" t="s">
        <v>151</v>
      </c>
      <c r="F9185" s="4" t="str">
        <f aca="false">IF(I9185&gt;J9185,"Y","N")</f>
        <v>N</v>
      </c>
      <c r="G9185" s="3" t="s">
        <v>72</v>
      </c>
      <c r="H9185" s="3" t="s">
        <v>34</v>
      </c>
      <c r="I9185" s="4" t="n">
        <v>4</v>
      </c>
      <c r="J9185" s="4" t="n">
        <f aca="false">LEN(E9185)-LEN(SUBSTITUTE(E9185,",",""))+1</f>
        <v>4</v>
      </c>
      <c r="K9185" s="3" t="str">
        <f aca="false">IFERROR(INDEX('Teacher Lookup'!$B$2:$B$200,MATCH(A9185,'Teacher Lookup'!$A$2:$A$200,0)),"")</f>
        <v>LEE Sean</v>
      </c>
    </row>
    <row r="9186" customFormat="false" ht="15" hidden="false" customHeight="false" outlineLevel="0" collapsed="false">
      <c r="A9186" s="3" t="s">
        <v>503</v>
      </c>
      <c r="B9186" s="4" t="s">
        <v>44</v>
      </c>
      <c r="C9186" s="4" t="n">
        <v>4</v>
      </c>
      <c r="D9186" s="4" t="s">
        <v>139</v>
      </c>
      <c r="E9186" s="3" t="s">
        <v>151</v>
      </c>
      <c r="F9186" s="4" t="str">
        <f aca="false">IF(I9186&gt;J9186,"Y","N")</f>
        <v>N</v>
      </c>
      <c r="G9186" s="3" t="s">
        <v>72</v>
      </c>
      <c r="H9186" s="3" t="s">
        <v>34</v>
      </c>
      <c r="I9186" s="4" t="n">
        <v>4</v>
      </c>
      <c r="J9186" s="4" t="n">
        <f aca="false">LEN(E9186)-LEN(SUBSTITUTE(E9186,",",""))+1</f>
        <v>4</v>
      </c>
      <c r="K9186" s="3" t="str">
        <f aca="false">IFERROR(INDEX('Teacher Lookup'!$B$2:$B$200,MATCH(A9186,'Teacher Lookup'!$A$2:$A$200,0)),"")</f>
        <v>LEE Sean</v>
      </c>
    </row>
    <row r="9187" customFormat="false" ht="15" hidden="false" customHeight="false" outlineLevel="0" collapsed="false">
      <c r="A9187" s="3" t="s">
        <v>503</v>
      </c>
      <c r="B9187" s="4" t="s">
        <v>44</v>
      </c>
      <c r="C9187" s="4" t="n">
        <v>5</v>
      </c>
      <c r="D9187" s="4" t="s">
        <v>52</v>
      </c>
      <c r="E9187" s="3" t="s">
        <v>112</v>
      </c>
      <c r="F9187" s="4" t="str">
        <f aca="false">IF(I9187&gt;J9187,"Y","N")</f>
        <v>Y</v>
      </c>
      <c r="G9187" s="3" t="s">
        <v>36</v>
      </c>
      <c r="H9187" s="3" t="s">
        <v>37</v>
      </c>
      <c r="I9187" s="4" t="n">
        <v>16</v>
      </c>
      <c r="J9187" s="4" t="n">
        <f aca="false">LEN(E9187)-LEN(SUBSTITUTE(E9187,",",""))+1</f>
        <v>7</v>
      </c>
      <c r="K9187" s="3" t="str">
        <f aca="false">IFERROR(INDEX('Teacher Lookup'!$B$2:$B$200,MATCH(A9187,'Teacher Lookup'!$A$2:$A$200,0)),"")</f>
        <v>LEE Sean</v>
      </c>
    </row>
    <row r="9188" customFormat="false" ht="15" hidden="false" customHeight="false" outlineLevel="0" collapsed="false">
      <c r="A9188" s="3" t="s">
        <v>503</v>
      </c>
      <c r="B9188" s="4" t="s">
        <v>44</v>
      </c>
      <c r="C9188" s="4" t="n">
        <v>5</v>
      </c>
      <c r="D9188" s="4" t="s">
        <v>55</v>
      </c>
      <c r="E9188" s="3" t="s">
        <v>112</v>
      </c>
      <c r="F9188" s="4" t="str">
        <f aca="false">IF(I9188&gt;J9188,"Y","N")</f>
        <v>Y</v>
      </c>
      <c r="G9188" s="3" t="s">
        <v>36</v>
      </c>
      <c r="H9188" s="3" t="s">
        <v>37</v>
      </c>
      <c r="I9188" s="4" t="n">
        <v>16</v>
      </c>
      <c r="J9188" s="4" t="n">
        <f aca="false">LEN(E9188)-LEN(SUBSTITUTE(E9188,",",""))+1</f>
        <v>7</v>
      </c>
      <c r="K9188" s="3" t="str">
        <f aca="false">IFERROR(INDEX('Teacher Lookup'!$B$2:$B$200,MATCH(A9188,'Teacher Lookup'!$A$2:$A$200,0)),"")</f>
        <v>LEE Sean</v>
      </c>
    </row>
    <row r="9189" customFormat="false" ht="15" hidden="false" customHeight="false" outlineLevel="0" collapsed="false">
      <c r="A9189" s="3" t="s">
        <v>503</v>
      </c>
      <c r="B9189" s="4" t="s">
        <v>44</v>
      </c>
      <c r="C9189" s="4" t="n">
        <v>5</v>
      </c>
      <c r="D9189" s="4" t="s">
        <v>56</v>
      </c>
      <c r="E9189" s="3" t="s">
        <v>112</v>
      </c>
      <c r="F9189" s="4" t="str">
        <f aca="false">IF(I9189&gt;J9189,"Y","N")</f>
        <v>Y</v>
      </c>
      <c r="G9189" s="3" t="s">
        <v>36</v>
      </c>
      <c r="H9189" s="3" t="s">
        <v>37</v>
      </c>
      <c r="I9189" s="4" t="n">
        <v>16</v>
      </c>
      <c r="J9189" s="4" t="n">
        <f aca="false">LEN(E9189)-LEN(SUBSTITUTE(E9189,",",""))+1</f>
        <v>7</v>
      </c>
      <c r="K9189" s="3" t="str">
        <f aca="false">IFERROR(INDEX('Teacher Lookup'!$B$2:$B$200,MATCH(A9189,'Teacher Lookup'!$A$2:$A$200,0)),"")</f>
        <v>LEE Sean</v>
      </c>
    </row>
    <row r="9190" customFormat="false" ht="15" hidden="false" customHeight="false" outlineLevel="0" collapsed="false">
      <c r="A9190" s="3" t="s">
        <v>503</v>
      </c>
      <c r="B9190" s="4" t="s">
        <v>44</v>
      </c>
      <c r="C9190" s="4" t="n">
        <v>5</v>
      </c>
      <c r="D9190" s="4" t="s">
        <v>57</v>
      </c>
      <c r="E9190" s="3" t="s">
        <v>112</v>
      </c>
      <c r="F9190" s="4" t="str">
        <f aca="false">IF(I9190&gt;J9190,"Y","N")</f>
        <v>Y</v>
      </c>
      <c r="G9190" s="3" t="s">
        <v>36</v>
      </c>
      <c r="H9190" s="3" t="s">
        <v>37</v>
      </c>
      <c r="I9190" s="4" t="n">
        <v>16</v>
      </c>
      <c r="J9190" s="4" t="n">
        <f aca="false">LEN(E9190)-LEN(SUBSTITUTE(E9190,",",""))+1</f>
        <v>7</v>
      </c>
      <c r="K9190" s="3" t="str">
        <f aca="false">IFERROR(INDEX('Teacher Lookup'!$B$2:$B$200,MATCH(A9190,'Teacher Lookup'!$A$2:$A$200,0)),"")</f>
        <v>LEE Sean</v>
      </c>
    </row>
    <row r="9191" customFormat="false" ht="15" hidden="false" customHeight="false" outlineLevel="0" collapsed="false">
      <c r="A9191" s="3" t="s">
        <v>503</v>
      </c>
      <c r="B9191" s="4" t="s">
        <v>44</v>
      </c>
      <c r="C9191" s="4" t="n">
        <v>5</v>
      </c>
      <c r="D9191" s="4" t="s">
        <v>58</v>
      </c>
      <c r="E9191" s="3" t="s">
        <v>112</v>
      </c>
      <c r="F9191" s="4" t="str">
        <f aca="false">IF(I9191&gt;J9191,"Y","N")</f>
        <v>Y</v>
      </c>
      <c r="G9191" s="3" t="s">
        <v>36</v>
      </c>
      <c r="H9191" s="3" t="s">
        <v>37</v>
      </c>
      <c r="I9191" s="4" t="n">
        <v>16</v>
      </c>
      <c r="J9191" s="4" t="n">
        <f aca="false">LEN(E9191)-LEN(SUBSTITUTE(E9191,",",""))+1</f>
        <v>7</v>
      </c>
      <c r="K9191" s="3" t="str">
        <f aca="false">IFERROR(INDEX('Teacher Lookup'!$B$2:$B$200,MATCH(A9191,'Teacher Lookup'!$A$2:$A$200,0)),"")</f>
        <v>LEE Sean</v>
      </c>
    </row>
    <row r="9192" customFormat="false" ht="15" hidden="false" customHeight="false" outlineLevel="0" collapsed="false">
      <c r="A9192" s="3" t="s">
        <v>503</v>
      </c>
      <c r="B9192" s="4" t="s">
        <v>44</v>
      </c>
      <c r="C9192" s="4" t="n">
        <v>5</v>
      </c>
      <c r="D9192" s="4" t="s">
        <v>59</v>
      </c>
      <c r="E9192" s="3" t="s">
        <v>112</v>
      </c>
      <c r="F9192" s="4" t="str">
        <f aca="false">IF(I9192&gt;J9192,"Y","N")</f>
        <v>Y</v>
      </c>
      <c r="G9192" s="3" t="s">
        <v>36</v>
      </c>
      <c r="H9192" s="3" t="s">
        <v>37</v>
      </c>
      <c r="I9192" s="4" t="n">
        <v>16</v>
      </c>
      <c r="J9192" s="4" t="n">
        <f aca="false">LEN(E9192)-LEN(SUBSTITUTE(E9192,",",""))+1</f>
        <v>7</v>
      </c>
      <c r="K9192" s="3" t="str">
        <f aca="false">IFERROR(INDEX('Teacher Lookup'!$B$2:$B$200,MATCH(A9192,'Teacher Lookup'!$A$2:$A$200,0)),"")</f>
        <v>LEE Sean</v>
      </c>
    </row>
    <row r="9193" customFormat="false" ht="15" hidden="false" customHeight="false" outlineLevel="0" collapsed="false">
      <c r="A9193" s="3" t="s">
        <v>503</v>
      </c>
      <c r="B9193" s="4" t="s">
        <v>44</v>
      </c>
      <c r="C9193" s="4" t="n">
        <v>7</v>
      </c>
      <c r="D9193" s="4" t="s">
        <v>132</v>
      </c>
      <c r="E9193" s="3" t="s">
        <v>293</v>
      </c>
      <c r="F9193" s="4" t="str">
        <f aca="false">IF(I9193&gt;J9193,"Y","N")</f>
        <v>N</v>
      </c>
      <c r="G9193" s="3" t="s">
        <v>72</v>
      </c>
      <c r="H9193" s="3" t="s">
        <v>39</v>
      </c>
      <c r="I9193" s="4" t="n">
        <v>1</v>
      </c>
      <c r="J9193" s="4" t="n">
        <f aca="false">LEN(E9193)-LEN(SUBSTITUTE(E9193,",",""))+1</f>
        <v>1</v>
      </c>
      <c r="K9193" s="3" t="str">
        <f aca="false">IFERROR(INDEX('Teacher Lookup'!$B$2:$B$200,MATCH(A9193,'Teacher Lookup'!$A$2:$A$200,0)),"")</f>
        <v>LEE Sean</v>
      </c>
    </row>
    <row r="9194" customFormat="false" ht="15" hidden="false" customHeight="false" outlineLevel="0" collapsed="false">
      <c r="A9194" s="3" t="s">
        <v>503</v>
      </c>
      <c r="B9194" s="4" t="s">
        <v>47</v>
      </c>
      <c r="C9194" s="4" t="n">
        <v>1</v>
      </c>
      <c r="D9194" s="4" t="s">
        <v>57</v>
      </c>
      <c r="E9194" s="3" t="s">
        <v>394</v>
      </c>
      <c r="F9194" s="4" t="str">
        <f aca="false">IF(I9194&gt;J9194,"Y","N")</f>
        <v>N</v>
      </c>
      <c r="G9194" s="3" t="s">
        <v>72</v>
      </c>
      <c r="H9194" s="3" t="s">
        <v>16</v>
      </c>
      <c r="I9194" s="4" t="n">
        <v>4</v>
      </c>
      <c r="J9194" s="4" t="n">
        <f aca="false">LEN(E9194)-LEN(SUBSTITUTE(E9194,",",""))+1</f>
        <v>4</v>
      </c>
      <c r="K9194" s="3" t="str">
        <f aca="false">IFERROR(INDEX('Teacher Lookup'!$B$2:$B$200,MATCH(A9194,'Teacher Lookup'!$A$2:$A$200,0)),"")</f>
        <v>LEE Sean</v>
      </c>
    </row>
    <row r="9195" customFormat="false" ht="15" hidden="false" customHeight="false" outlineLevel="0" collapsed="false">
      <c r="A9195" s="3" t="s">
        <v>503</v>
      </c>
      <c r="B9195" s="4" t="s">
        <v>47</v>
      </c>
      <c r="C9195" s="4" t="n">
        <v>1</v>
      </c>
      <c r="D9195" s="4" t="s">
        <v>58</v>
      </c>
      <c r="E9195" s="3" t="s">
        <v>394</v>
      </c>
      <c r="F9195" s="4" t="str">
        <f aca="false">IF(I9195&gt;J9195,"Y","N")</f>
        <v>N</v>
      </c>
      <c r="G9195" s="3" t="s">
        <v>72</v>
      </c>
      <c r="H9195" s="3" t="s">
        <v>16</v>
      </c>
      <c r="I9195" s="4" t="n">
        <v>4</v>
      </c>
      <c r="J9195" s="4" t="n">
        <f aca="false">LEN(E9195)-LEN(SUBSTITUTE(E9195,",",""))+1</f>
        <v>4</v>
      </c>
      <c r="K9195" s="3" t="str">
        <f aca="false">IFERROR(INDEX('Teacher Lookup'!$B$2:$B$200,MATCH(A9195,'Teacher Lookup'!$A$2:$A$200,0)),"")</f>
        <v>LEE Sean</v>
      </c>
    </row>
    <row r="9196" customFormat="false" ht="15" hidden="false" customHeight="false" outlineLevel="0" collapsed="false">
      <c r="A9196" s="3" t="s">
        <v>503</v>
      </c>
      <c r="B9196" s="4" t="s">
        <v>47</v>
      </c>
      <c r="C9196" s="4" t="n">
        <v>1</v>
      </c>
      <c r="D9196" s="4" t="s">
        <v>59</v>
      </c>
      <c r="E9196" s="3" t="s">
        <v>394</v>
      </c>
      <c r="F9196" s="4" t="str">
        <f aca="false">IF(I9196&gt;J9196,"Y","N")</f>
        <v>N</v>
      </c>
      <c r="G9196" s="3" t="s">
        <v>72</v>
      </c>
      <c r="H9196" s="3" t="s">
        <v>16</v>
      </c>
      <c r="I9196" s="4" t="n">
        <v>4</v>
      </c>
      <c r="J9196" s="4" t="n">
        <f aca="false">LEN(E9196)-LEN(SUBSTITUTE(E9196,",",""))+1</f>
        <v>4</v>
      </c>
      <c r="K9196" s="3" t="str">
        <f aca="false">IFERROR(INDEX('Teacher Lookup'!$B$2:$B$200,MATCH(A9196,'Teacher Lookup'!$A$2:$A$200,0)),"")</f>
        <v>LEE Sean</v>
      </c>
    </row>
    <row r="9197" customFormat="false" ht="15" hidden="false" customHeight="false" outlineLevel="0" collapsed="false">
      <c r="A9197" s="3" t="s">
        <v>503</v>
      </c>
      <c r="B9197" s="4" t="s">
        <v>47</v>
      </c>
      <c r="C9197" s="4" t="n">
        <v>2</v>
      </c>
      <c r="D9197" s="4" t="s">
        <v>137</v>
      </c>
      <c r="E9197" s="3" t="s">
        <v>146</v>
      </c>
      <c r="F9197" s="4" t="str">
        <f aca="false">IF(I9197&gt;J9197,"Y","N")</f>
        <v>N</v>
      </c>
      <c r="G9197" s="3" t="s">
        <v>72</v>
      </c>
      <c r="H9197" s="3" t="s">
        <v>21</v>
      </c>
      <c r="I9197" s="4" t="n">
        <v>4</v>
      </c>
      <c r="J9197" s="4" t="n">
        <f aca="false">LEN(E9197)-LEN(SUBSTITUTE(E9197,",",""))+1</f>
        <v>4</v>
      </c>
      <c r="K9197" s="3" t="str">
        <f aca="false">IFERROR(INDEX('Teacher Lookup'!$B$2:$B$200,MATCH(A9197,'Teacher Lookup'!$A$2:$A$200,0)),"")</f>
        <v>LEE Sean</v>
      </c>
    </row>
    <row r="9198" customFormat="false" ht="15" hidden="false" customHeight="false" outlineLevel="0" collapsed="false">
      <c r="A9198" s="3" t="s">
        <v>503</v>
      </c>
      <c r="B9198" s="4" t="s">
        <v>47</v>
      </c>
      <c r="C9198" s="4" t="n">
        <v>2</v>
      </c>
      <c r="D9198" s="4" t="s">
        <v>124</v>
      </c>
      <c r="E9198" s="3" t="s">
        <v>146</v>
      </c>
      <c r="F9198" s="4" t="str">
        <f aca="false">IF(I9198&gt;J9198,"Y","N")</f>
        <v>N</v>
      </c>
      <c r="G9198" s="3" t="s">
        <v>72</v>
      </c>
      <c r="H9198" s="3" t="s">
        <v>21</v>
      </c>
      <c r="I9198" s="4" t="n">
        <v>4</v>
      </c>
      <c r="J9198" s="4" t="n">
        <f aca="false">LEN(E9198)-LEN(SUBSTITUTE(E9198,",",""))+1</f>
        <v>4</v>
      </c>
      <c r="K9198" s="3" t="str">
        <f aca="false">IFERROR(INDEX('Teacher Lookup'!$B$2:$B$200,MATCH(A9198,'Teacher Lookup'!$A$2:$A$200,0)),"")</f>
        <v>LEE Sean</v>
      </c>
    </row>
    <row r="9199" customFormat="false" ht="15" hidden="false" customHeight="false" outlineLevel="0" collapsed="false">
      <c r="A9199" s="3" t="s">
        <v>503</v>
      </c>
      <c r="B9199" s="4" t="s">
        <v>47</v>
      </c>
      <c r="C9199" s="4" t="n">
        <v>2</v>
      </c>
      <c r="D9199" s="4" t="s">
        <v>139</v>
      </c>
      <c r="E9199" s="3" t="s">
        <v>146</v>
      </c>
      <c r="F9199" s="4" t="str">
        <f aca="false">IF(I9199&gt;J9199,"Y","N")</f>
        <v>N</v>
      </c>
      <c r="G9199" s="3" t="s">
        <v>72</v>
      </c>
      <c r="H9199" s="3" t="s">
        <v>21</v>
      </c>
      <c r="I9199" s="4" t="n">
        <v>4</v>
      </c>
      <c r="J9199" s="4" t="n">
        <f aca="false">LEN(E9199)-LEN(SUBSTITUTE(E9199,",",""))+1</f>
        <v>4</v>
      </c>
      <c r="K9199" s="3" t="str">
        <f aca="false">IFERROR(INDEX('Teacher Lookup'!$B$2:$B$200,MATCH(A9199,'Teacher Lookup'!$A$2:$A$200,0)),"")</f>
        <v>LEE Sean</v>
      </c>
    </row>
    <row r="9200" customFormat="false" ht="15" hidden="false" customHeight="false" outlineLevel="0" collapsed="false">
      <c r="A9200" s="3" t="s">
        <v>503</v>
      </c>
      <c r="B9200" s="4" t="s">
        <v>47</v>
      </c>
      <c r="C9200" s="4" t="n">
        <v>4</v>
      </c>
      <c r="D9200" s="4" t="s">
        <v>132</v>
      </c>
      <c r="E9200" s="3" t="s">
        <v>293</v>
      </c>
      <c r="F9200" s="4" t="str">
        <f aca="false">IF(I9200&gt;J9200,"Y","N")</f>
        <v>N</v>
      </c>
      <c r="G9200" s="3" t="s">
        <v>72</v>
      </c>
      <c r="H9200" s="3" t="s">
        <v>34</v>
      </c>
      <c r="I9200" s="4" t="n">
        <v>1</v>
      </c>
      <c r="J9200" s="4" t="n">
        <f aca="false">LEN(E9200)-LEN(SUBSTITUTE(E9200,",",""))+1</f>
        <v>1</v>
      </c>
      <c r="K9200" s="3" t="str">
        <f aca="false">IFERROR(INDEX('Teacher Lookup'!$B$2:$B$200,MATCH(A9200,'Teacher Lookup'!$A$2:$A$200,0)),"")</f>
        <v>LEE Sean</v>
      </c>
    </row>
    <row r="9201" customFormat="false" ht="15" hidden="false" customHeight="false" outlineLevel="0" collapsed="false">
      <c r="A9201" s="3" t="s">
        <v>503</v>
      </c>
      <c r="B9201" s="4" t="s">
        <v>47</v>
      </c>
      <c r="C9201" s="4" t="n">
        <v>5</v>
      </c>
      <c r="D9201" s="4" t="s">
        <v>132</v>
      </c>
      <c r="E9201" s="3" t="s">
        <v>293</v>
      </c>
      <c r="F9201" s="4" t="str">
        <f aca="false">IF(I9201&gt;J9201,"Y","N")</f>
        <v>N</v>
      </c>
      <c r="G9201" s="3" t="s">
        <v>72</v>
      </c>
      <c r="H9201" s="3" t="s">
        <v>37</v>
      </c>
      <c r="I9201" s="4" t="n">
        <v>1</v>
      </c>
      <c r="J9201" s="4" t="n">
        <f aca="false">LEN(E9201)-LEN(SUBSTITUTE(E9201,",",""))+1</f>
        <v>1</v>
      </c>
      <c r="K9201" s="3" t="str">
        <f aca="false">IFERROR(INDEX('Teacher Lookup'!$B$2:$B$200,MATCH(A9201,'Teacher Lookup'!$A$2:$A$200,0)),"")</f>
        <v>LEE Sean</v>
      </c>
    </row>
    <row r="9202" customFormat="false" ht="15" hidden="false" customHeight="false" outlineLevel="0" collapsed="false">
      <c r="A9202" s="3" t="s">
        <v>503</v>
      </c>
      <c r="B9202" s="4" t="s">
        <v>50</v>
      </c>
      <c r="C9202" s="4" t="n">
        <v>1</v>
      </c>
      <c r="D9202" s="4" t="s">
        <v>137</v>
      </c>
      <c r="E9202" s="3" t="s">
        <v>154</v>
      </c>
      <c r="F9202" s="4" t="str">
        <f aca="false">IF(I9202&gt;J9202,"Y","N")</f>
        <v>N</v>
      </c>
      <c r="G9202" s="3" t="s">
        <v>72</v>
      </c>
      <c r="H9202" s="3" t="s">
        <v>16</v>
      </c>
      <c r="I9202" s="4" t="n">
        <v>4</v>
      </c>
      <c r="J9202" s="4" t="n">
        <f aca="false">LEN(E9202)-LEN(SUBSTITUTE(E9202,",",""))+1</f>
        <v>4</v>
      </c>
      <c r="K9202" s="3" t="str">
        <f aca="false">IFERROR(INDEX('Teacher Lookup'!$B$2:$B$200,MATCH(A9202,'Teacher Lookup'!$A$2:$A$200,0)),"")</f>
        <v>LEE Sean</v>
      </c>
    </row>
    <row r="9203" customFormat="false" ht="15" hidden="false" customHeight="false" outlineLevel="0" collapsed="false">
      <c r="A9203" s="3" t="s">
        <v>503</v>
      </c>
      <c r="B9203" s="4" t="s">
        <v>50</v>
      </c>
      <c r="C9203" s="4" t="n">
        <v>1</v>
      </c>
      <c r="D9203" s="4" t="s">
        <v>124</v>
      </c>
      <c r="E9203" s="3" t="s">
        <v>154</v>
      </c>
      <c r="F9203" s="4" t="str">
        <f aca="false">IF(I9203&gt;J9203,"Y","N")</f>
        <v>N</v>
      </c>
      <c r="G9203" s="3" t="s">
        <v>72</v>
      </c>
      <c r="H9203" s="3" t="s">
        <v>16</v>
      </c>
      <c r="I9203" s="4" t="n">
        <v>4</v>
      </c>
      <c r="J9203" s="4" t="n">
        <f aca="false">LEN(E9203)-LEN(SUBSTITUTE(E9203,",",""))+1</f>
        <v>4</v>
      </c>
      <c r="K9203" s="3" t="str">
        <f aca="false">IFERROR(INDEX('Teacher Lookup'!$B$2:$B$200,MATCH(A9203,'Teacher Lookup'!$A$2:$A$200,0)),"")</f>
        <v>LEE Sean</v>
      </c>
    </row>
    <row r="9204" customFormat="false" ht="15" hidden="false" customHeight="false" outlineLevel="0" collapsed="false">
      <c r="A9204" s="3" t="s">
        <v>503</v>
      </c>
      <c r="B9204" s="4" t="s">
        <v>50</v>
      </c>
      <c r="C9204" s="4" t="n">
        <v>1</v>
      </c>
      <c r="D9204" s="4" t="s">
        <v>139</v>
      </c>
      <c r="E9204" s="3" t="s">
        <v>154</v>
      </c>
      <c r="F9204" s="4" t="str">
        <f aca="false">IF(I9204&gt;J9204,"Y","N")</f>
        <v>N</v>
      </c>
      <c r="G9204" s="3" t="s">
        <v>72</v>
      </c>
      <c r="H9204" s="3" t="s">
        <v>16</v>
      </c>
      <c r="I9204" s="4" t="n">
        <v>4</v>
      </c>
      <c r="J9204" s="4" t="n">
        <f aca="false">LEN(E9204)-LEN(SUBSTITUTE(E9204,",",""))+1</f>
        <v>4</v>
      </c>
      <c r="K9204" s="3" t="str">
        <f aca="false">IFERROR(INDEX('Teacher Lookup'!$B$2:$B$200,MATCH(A9204,'Teacher Lookup'!$A$2:$A$200,0)),"")</f>
        <v>LEE Sean</v>
      </c>
    </row>
    <row r="9205" customFormat="false" ht="15" hidden="false" customHeight="false" outlineLevel="0" collapsed="false">
      <c r="A9205" s="3" t="s">
        <v>503</v>
      </c>
      <c r="B9205" s="4" t="s">
        <v>50</v>
      </c>
      <c r="C9205" s="4" t="n">
        <v>2</v>
      </c>
      <c r="D9205" s="4" t="s">
        <v>137</v>
      </c>
      <c r="E9205" s="3" t="s">
        <v>154</v>
      </c>
      <c r="F9205" s="4" t="str">
        <f aca="false">IF(I9205&gt;J9205,"Y","N")</f>
        <v>N</v>
      </c>
      <c r="G9205" s="3" t="s">
        <v>72</v>
      </c>
      <c r="H9205" s="3" t="s">
        <v>21</v>
      </c>
      <c r="I9205" s="4" t="n">
        <v>4</v>
      </c>
      <c r="J9205" s="4" t="n">
        <f aca="false">LEN(E9205)-LEN(SUBSTITUTE(E9205,",",""))+1</f>
        <v>4</v>
      </c>
      <c r="K9205" s="3" t="str">
        <f aca="false">IFERROR(INDEX('Teacher Lookup'!$B$2:$B$200,MATCH(A9205,'Teacher Lookup'!$A$2:$A$200,0)),"")</f>
        <v>LEE Sean</v>
      </c>
    </row>
    <row r="9206" customFormat="false" ht="15" hidden="false" customHeight="false" outlineLevel="0" collapsed="false">
      <c r="A9206" s="3" t="s">
        <v>503</v>
      </c>
      <c r="B9206" s="4" t="s">
        <v>50</v>
      </c>
      <c r="C9206" s="4" t="n">
        <v>2</v>
      </c>
      <c r="D9206" s="4" t="s">
        <v>124</v>
      </c>
      <c r="E9206" s="3" t="s">
        <v>154</v>
      </c>
      <c r="F9206" s="4" t="str">
        <f aca="false">IF(I9206&gt;J9206,"Y","N")</f>
        <v>N</v>
      </c>
      <c r="G9206" s="3" t="s">
        <v>72</v>
      </c>
      <c r="H9206" s="3" t="s">
        <v>21</v>
      </c>
      <c r="I9206" s="4" t="n">
        <v>4</v>
      </c>
      <c r="J9206" s="4" t="n">
        <f aca="false">LEN(E9206)-LEN(SUBSTITUTE(E9206,",",""))+1</f>
        <v>4</v>
      </c>
      <c r="K9206" s="3" t="str">
        <f aca="false">IFERROR(INDEX('Teacher Lookup'!$B$2:$B$200,MATCH(A9206,'Teacher Lookup'!$A$2:$A$200,0)),"")</f>
        <v>LEE Sean</v>
      </c>
    </row>
    <row r="9207" customFormat="false" ht="15" hidden="false" customHeight="false" outlineLevel="0" collapsed="false">
      <c r="A9207" s="3" t="s">
        <v>503</v>
      </c>
      <c r="B9207" s="4" t="s">
        <v>50</v>
      </c>
      <c r="C9207" s="4" t="n">
        <v>2</v>
      </c>
      <c r="D9207" s="4" t="s">
        <v>139</v>
      </c>
      <c r="E9207" s="3" t="s">
        <v>154</v>
      </c>
      <c r="F9207" s="4" t="str">
        <f aca="false">IF(I9207&gt;J9207,"Y","N")</f>
        <v>N</v>
      </c>
      <c r="G9207" s="3" t="s">
        <v>72</v>
      </c>
      <c r="H9207" s="3" t="s">
        <v>21</v>
      </c>
      <c r="I9207" s="4" t="n">
        <v>4</v>
      </c>
      <c r="J9207" s="4" t="n">
        <f aca="false">LEN(E9207)-LEN(SUBSTITUTE(E9207,",",""))+1</f>
        <v>4</v>
      </c>
      <c r="K9207" s="3" t="str">
        <f aca="false">IFERROR(INDEX('Teacher Lookup'!$B$2:$B$200,MATCH(A9207,'Teacher Lookup'!$A$2:$A$200,0)),"")</f>
        <v>LEE Sean</v>
      </c>
    </row>
    <row r="9208" customFormat="false" ht="15" hidden="false" customHeight="false" outlineLevel="0" collapsed="false">
      <c r="A9208" s="3" t="s">
        <v>503</v>
      </c>
      <c r="B9208" s="4" t="s">
        <v>50</v>
      </c>
      <c r="C9208" s="4" t="n">
        <v>4</v>
      </c>
      <c r="D9208" s="4" t="s">
        <v>57</v>
      </c>
      <c r="E9208" s="3" t="s">
        <v>396</v>
      </c>
      <c r="F9208" s="4" t="str">
        <f aca="false">IF(I9208&gt;J9208,"Y","N")</f>
        <v>N</v>
      </c>
      <c r="G9208" s="3" t="s">
        <v>72</v>
      </c>
      <c r="H9208" s="3" t="s">
        <v>34</v>
      </c>
      <c r="I9208" s="4" t="n">
        <v>4</v>
      </c>
      <c r="J9208" s="4" t="n">
        <f aca="false">LEN(E9208)-LEN(SUBSTITUTE(E9208,",",""))+1</f>
        <v>4</v>
      </c>
      <c r="K9208" s="3" t="str">
        <f aca="false">IFERROR(INDEX('Teacher Lookup'!$B$2:$B$200,MATCH(A9208,'Teacher Lookup'!$A$2:$A$200,0)),"")</f>
        <v>LEE Sean</v>
      </c>
    </row>
    <row r="9209" customFormat="false" ht="15" hidden="false" customHeight="false" outlineLevel="0" collapsed="false">
      <c r="A9209" s="3" t="s">
        <v>503</v>
      </c>
      <c r="B9209" s="4" t="s">
        <v>50</v>
      </c>
      <c r="C9209" s="4" t="n">
        <v>4</v>
      </c>
      <c r="D9209" s="4" t="s">
        <v>58</v>
      </c>
      <c r="E9209" s="3" t="s">
        <v>396</v>
      </c>
      <c r="F9209" s="4" t="str">
        <f aca="false">IF(I9209&gt;J9209,"Y","N")</f>
        <v>N</v>
      </c>
      <c r="G9209" s="3" t="s">
        <v>72</v>
      </c>
      <c r="H9209" s="3" t="s">
        <v>34</v>
      </c>
      <c r="I9209" s="4" t="n">
        <v>4</v>
      </c>
      <c r="J9209" s="4" t="n">
        <f aca="false">LEN(E9209)-LEN(SUBSTITUTE(E9209,",",""))+1</f>
        <v>4</v>
      </c>
      <c r="K9209" s="3" t="str">
        <f aca="false">IFERROR(INDEX('Teacher Lookup'!$B$2:$B$200,MATCH(A9209,'Teacher Lookup'!$A$2:$A$200,0)),"")</f>
        <v>LEE Sean</v>
      </c>
    </row>
    <row r="9210" customFormat="false" ht="15" hidden="false" customHeight="false" outlineLevel="0" collapsed="false">
      <c r="A9210" s="3" t="s">
        <v>503</v>
      </c>
      <c r="B9210" s="4" t="s">
        <v>50</v>
      </c>
      <c r="C9210" s="4" t="n">
        <v>4</v>
      </c>
      <c r="D9210" s="4" t="s">
        <v>59</v>
      </c>
      <c r="E9210" s="3" t="s">
        <v>396</v>
      </c>
      <c r="F9210" s="4" t="str">
        <f aca="false">IF(I9210&gt;J9210,"Y","N")</f>
        <v>N</v>
      </c>
      <c r="G9210" s="3" t="s">
        <v>72</v>
      </c>
      <c r="H9210" s="3" t="s">
        <v>34</v>
      </c>
      <c r="I9210" s="4" t="n">
        <v>4</v>
      </c>
      <c r="J9210" s="4" t="n">
        <f aca="false">LEN(E9210)-LEN(SUBSTITUTE(E9210,",",""))+1</f>
        <v>4</v>
      </c>
      <c r="K9210" s="3" t="str">
        <f aca="false">IFERROR(INDEX('Teacher Lookup'!$B$2:$B$200,MATCH(A9210,'Teacher Lookup'!$A$2:$A$200,0)),"")</f>
        <v>LEE Sean</v>
      </c>
    </row>
    <row r="9211" customFormat="false" ht="15" hidden="false" customHeight="false" outlineLevel="0" collapsed="false">
      <c r="A9211" s="3" t="s">
        <v>503</v>
      </c>
      <c r="B9211" s="4" t="s">
        <v>50</v>
      </c>
      <c r="C9211" s="4" t="n">
        <v>6</v>
      </c>
      <c r="D9211" s="4" t="s">
        <v>132</v>
      </c>
      <c r="E9211" s="3" t="s">
        <v>293</v>
      </c>
      <c r="F9211" s="4" t="str">
        <f aca="false">IF(I9211&gt;J9211,"Y","N")</f>
        <v>N</v>
      </c>
      <c r="G9211" s="3" t="s">
        <v>72</v>
      </c>
      <c r="H9211" s="3" t="s">
        <v>42</v>
      </c>
      <c r="I9211" s="4" t="n">
        <v>1</v>
      </c>
      <c r="J9211" s="4" t="n">
        <f aca="false">LEN(E9211)-LEN(SUBSTITUTE(E9211,",",""))+1</f>
        <v>1</v>
      </c>
      <c r="K9211" s="3" t="str">
        <f aca="false">IFERROR(INDEX('Teacher Lookup'!$B$2:$B$200,MATCH(A9211,'Teacher Lookup'!$A$2:$A$200,0)),"")</f>
        <v>LEE Sean</v>
      </c>
    </row>
    <row r="9212" customFormat="false" ht="15" hidden="false" customHeight="false" outlineLevel="0" collapsed="false">
      <c r="A9212" s="3" t="s">
        <v>503</v>
      </c>
      <c r="B9212" s="4" t="s">
        <v>60</v>
      </c>
      <c r="C9212" s="4" t="n">
        <v>4</v>
      </c>
      <c r="D9212" s="4" t="s">
        <v>137</v>
      </c>
      <c r="E9212" s="3" t="s">
        <v>138</v>
      </c>
      <c r="F9212" s="4" t="str">
        <f aca="false">IF(I9212&gt;J9212,"Y","N")</f>
        <v>N</v>
      </c>
      <c r="G9212" s="3" t="s">
        <v>72</v>
      </c>
      <c r="H9212" s="3" t="s">
        <v>34</v>
      </c>
      <c r="I9212" s="4" t="n">
        <v>4</v>
      </c>
      <c r="J9212" s="4" t="n">
        <f aca="false">LEN(E9212)-LEN(SUBSTITUTE(E9212,",",""))+1</f>
        <v>4</v>
      </c>
      <c r="K9212" s="3" t="str">
        <f aca="false">IFERROR(INDEX('Teacher Lookup'!$B$2:$B$200,MATCH(A9212,'Teacher Lookup'!$A$2:$A$200,0)),"")</f>
        <v>LEE Sean</v>
      </c>
    </row>
    <row r="9213" customFormat="false" ht="15" hidden="false" customHeight="false" outlineLevel="0" collapsed="false">
      <c r="A9213" s="3" t="s">
        <v>503</v>
      </c>
      <c r="B9213" s="4" t="s">
        <v>60</v>
      </c>
      <c r="C9213" s="4" t="n">
        <v>4</v>
      </c>
      <c r="D9213" s="4" t="s">
        <v>124</v>
      </c>
      <c r="E9213" s="3" t="s">
        <v>138</v>
      </c>
      <c r="F9213" s="4" t="str">
        <f aca="false">IF(I9213&gt;J9213,"Y","N")</f>
        <v>N</v>
      </c>
      <c r="G9213" s="3" t="s">
        <v>72</v>
      </c>
      <c r="H9213" s="3" t="s">
        <v>34</v>
      </c>
      <c r="I9213" s="4" t="n">
        <v>4</v>
      </c>
      <c r="J9213" s="4" t="n">
        <f aca="false">LEN(E9213)-LEN(SUBSTITUTE(E9213,",",""))+1</f>
        <v>4</v>
      </c>
      <c r="K9213" s="3" t="str">
        <f aca="false">IFERROR(INDEX('Teacher Lookup'!$B$2:$B$200,MATCH(A9213,'Teacher Lookup'!$A$2:$A$200,0)),"")</f>
        <v>LEE Sean</v>
      </c>
    </row>
    <row r="9214" customFormat="false" ht="15" hidden="false" customHeight="false" outlineLevel="0" collapsed="false">
      <c r="A9214" s="3" t="s">
        <v>503</v>
      </c>
      <c r="B9214" s="4" t="s">
        <v>60</v>
      </c>
      <c r="C9214" s="4" t="n">
        <v>4</v>
      </c>
      <c r="D9214" s="4" t="s">
        <v>139</v>
      </c>
      <c r="E9214" s="3" t="s">
        <v>138</v>
      </c>
      <c r="F9214" s="4" t="str">
        <f aca="false">IF(I9214&gt;J9214,"Y","N")</f>
        <v>N</v>
      </c>
      <c r="G9214" s="3" t="s">
        <v>72</v>
      </c>
      <c r="H9214" s="3" t="s">
        <v>34</v>
      </c>
      <c r="I9214" s="4" t="n">
        <v>4</v>
      </c>
      <c r="J9214" s="4" t="n">
        <f aca="false">LEN(E9214)-LEN(SUBSTITUTE(E9214,",",""))+1</f>
        <v>4</v>
      </c>
      <c r="K9214" s="3" t="str">
        <f aca="false">IFERROR(INDEX('Teacher Lookup'!$B$2:$B$200,MATCH(A9214,'Teacher Lookup'!$A$2:$A$200,0)),"")</f>
        <v>LEE Sean</v>
      </c>
    </row>
    <row r="9215" customFormat="false" ht="15" hidden="false" customHeight="false" outlineLevel="0" collapsed="false">
      <c r="A9215" s="3" t="s">
        <v>503</v>
      </c>
      <c r="B9215" s="4" t="s">
        <v>60</v>
      </c>
      <c r="C9215" s="4" t="n">
        <v>5</v>
      </c>
      <c r="D9215" s="4" t="s">
        <v>52</v>
      </c>
      <c r="E9215" s="3" t="s">
        <v>112</v>
      </c>
      <c r="F9215" s="4" t="str">
        <f aca="false">IF(I9215&gt;J9215,"Y","N")</f>
        <v>Y</v>
      </c>
      <c r="G9215" s="3" t="s">
        <v>36</v>
      </c>
      <c r="H9215" s="3" t="s">
        <v>37</v>
      </c>
      <c r="I9215" s="4" t="n">
        <v>16</v>
      </c>
      <c r="J9215" s="4" t="n">
        <f aca="false">LEN(E9215)-LEN(SUBSTITUTE(E9215,",",""))+1</f>
        <v>7</v>
      </c>
      <c r="K9215" s="3" t="str">
        <f aca="false">IFERROR(INDEX('Teacher Lookup'!$B$2:$B$200,MATCH(A9215,'Teacher Lookup'!$A$2:$A$200,0)),"")</f>
        <v>LEE Sean</v>
      </c>
    </row>
    <row r="9216" customFormat="false" ht="15" hidden="false" customHeight="false" outlineLevel="0" collapsed="false">
      <c r="A9216" s="3" t="s">
        <v>503</v>
      </c>
      <c r="B9216" s="4" t="s">
        <v>60</v>
      </c>
      <c r="C9216" s="4" t="n">
        <v>5</v>
      </c>
      <c r="D9216" s="4" t="s">
        <v>55</v>
      </c>
      <c r="E9216" s="3" t="s">
        <v>112</v>
      </c>
      <c r="F9216" s="4" t="str">
        <f aca="false">IF(I9216&gt;J9216,"Y","N")</f>
        <v>Y</v>
      </c>
      <c r="G9216" s="3" t="s">
        <v>36</v>
      </c>
      <c r="H9216" s="3" t="s">
        <v>37</v>
      </c>
      <c r="I9216" s="4" t="n">
        <v>16</v>
      </c>
      <c r="J9216" s="4" t="n">
        <f aca="false">LEN(E9216)-LEN(SUBSTITUTE(E9216,",",""))+1</f>
        <v>7</v>
      </c>
      <c r="K9216" s="3" t="str">
        <f aca="false">IFERROR(INDEX('Teacher Lookup'!$B$2:$B$200,MATCH(A9216,'Teacher Lookup'!$A$2:$A$200,0)),"")</f>
        <v>LEE Sean</v>
      </c>
    </row>
    <row r="9217" customFormat="false" ht="15" hidden="false" customHeight="false" outlineLevel="0" collapsed="false">
      <c r="A9217" s="3" t="s">
        <v>503</v>
      </c>
      <c r="B9217" s="4" t="s">
        <v>60</v>
      </c>
      <c r="C9217" s="4" t="n">
        <v>5</v>
      </c>
      <c r="D9217" s="4" t="s">
        <v>56</v>
      </c>
      <c r="E9217" s="3" t="s">
        <v>112</v>
      </c>
      <c r="F9217" s="4" t="str">
        <f aca="false">IF(I9217&gt;J9217,"Y","N")</f>
        <v>Y</v>
      </c>
      <c r="G9217" s="3" t="s">
        <v>36</v>
      </c>
      <c r="H9217" s="3" t="s">
        <v>37</v>
      </c>
      <c r="I9217" s="4" t="n">
        <v>16</v>
      </c>
      <c r="J9217" s="4" t="n">
        <f aca="false">LEN(E9217)-LEN(SUBSTITUTE(E9217,",",""))+1</f>
        <v>7</v>
      </c>
      <c r="K9217" s="3" t="str">
        <f aca="false">IFERROR(INDEX('Teacher Lookup'!$B$2:$B$200,MATCH(A9217,'Teacher Lookup'!$A$2:$A$200,0)),"")</f>
        <v>LEE Sean</v>
      </c>
    </row>
    <row r="9218" customFormat="false" ht="15" hidden="false" customHeight="false" outlineLevel="0" collapsed="false">
      <c r="A9218" s="3" t="s">
        <v>503</v>
      </c>
      <c r="B9218" s="4" t="s">
        <v>60</v>
      </c>
      <c r="C9218" s="4" t="n">
        <v>5</v>
      </c>
      <c r="D9218" s="4" t="s">
        <v>57</v>
      </c>
      <c r="E9218" s="3" t="s">
        <v>112</v>
      </c>
      <c r="F9218" s="4" t="str">
        <f aca="false">IF(I9218&gt;J9218,"Y","N")</f>
        <v>Y</v>
      </c>
      <c r="G9218" s="3" t="s">
        <v>36</v>
      </c>
      <c r="H9218" s="3" t="s">
        <v>37</v>
      </c>
      <c r="I9218" s="4" t="n">
        <v>16</v>
      </c>
      <c r="J9218" s="4" t="n">
        <f aca="false">LEN(E9218)-LEN(SUBSTITUTE(E9218,",",""))+1</f>
        <v>7</v>
      </c>
      <c r="K9218" s="3" t="str">
        <f aca="false">IFERROR(INDEX('Teacher Lookup'!$B$2:$B$200,MATCH(A9218,'Teacher Lookup'!$A$2:$A$200,0)),"")</f>
        <v>LEE Sean</v>
      </c>
    </row>
    <row r="9219" customFormat="false" ht="15" hidden="false" customHeight="false" outlineLevel="0" collapsed="false">
      <c r="A9219" s="3" t="s">
        <v>503</v>
      </c>
      <c r="B9219" s="4" t="s">
        <v>60</v>
      </c>
      <c r="C9219" s="4" t="n">
        <v>5</v>
      </c>
      <c r="D9219" s="4" t="s">
        <v>58</v>
      </c>
      <c r="E9219" s="3" t="s">
        <v>112</v>
      </c>
      <c r="F9219" s="4" t="str">
        <f aca="false">IF(I9219&gt;J9219,"Y","N")</f>
        <v>Y</v>
      </c>
      <c r="G9219" s="3" t="s">
        <v>36</v>
      </c>
      <c r="H9219" s="3" t="s">
        <v>37</v>
      </c>
      <c r="I9219" s="4" t="n">
        <v>16</v>
      </c>
      <c r="J9219" s="4" t="n">
        <f aca="false">LEN(E9219)-LEN(SUBSTITUTE(E9219,",",""))+1</f>
        <v>7</v>
      </c>
      <c r="K9219" s="3" t="str">
        <f aca="false">IFERROR(INDEX('Teacher Lookup'!$B$2:$B$200,MATCH(A9219,'Teacher Lookup'!$A$2:$A$200,0)),"")</f>
        <v>LEE Sean</v>
      </c>
    </row>
    <row r="9220" customFormat="false" ht="15" hidden="false" customHeight="false" outlineLevel="0" collapsed="false">
      <c r="A9220" s="3" t="s">
        <v>503</v>
      </c>
      <c r="B9220" s="4" t="s">
        <v>60</v>
      </c>
      <c r="C9220" s="4" t="n">
        <v>5</v>
      </c>
      <c r="D9220" s="4" t="s">
        <v>59</v>
      </c>
      <c r="E9220" s="3" t="s">
        <v>112</v>
      </c>
      <c r="F9220" s="4" t="str">
        <f aca="false">IF(I9220&gt;J9220,"Y","N")</f>
        <v>Y</v>
      </c>
      <c r="G9220" s="3" t="s">
        <v>36</v>
      </c>
      <c r="H9220" s="3" t="s">
        <v>37</v>
      </c>
      <c r="I9220" s="4" t="n">
        <v>16</v>
      </c>
      <c r="J9220" s="4" t="n">
        <f aca="false">LEN(E9220)-LEN(SUBSTITUTE(E9220,",",""))+1</f>
        <v>7</v>
      </c>
      <c r="K9220" s="3" t="str">
        <f aca="false">IFERROR(INDEX('Teacher Lookup'!$B$2:$B$200,MATCH(A9220,'Teacher Lookup'!$A$2:$A$200,0)),"")</f>
        <v>LEE Sean</v>
      </c>
    </row>
    <row r="9221" customFormat="false" ht="15" hidden="false" customHeight="false" outlineLevel="0" collapsed="false">
      <c r="A9221" s="3" t="s">
        <v>503</v>
      </c>
      <c r="B9221" s="4" t="s">
        <v>60</v>
      </c>
      <c r="C9221" s="4" t="n">
        <v>6</v>
      </c>
      <c r="D9221" s="4" t="s">
        <v>57</v>
      </c>
      <c r="E9221" s="3" t="s">
        <v>397</v>
      </c>
      <c r="F9221" s="4" t="str">
        <f aca="false">IF(I9221&gt;J9221,"Y","N")</f>
        <v>N</v>
      </c>
      <c r="G9221" s="3" t="s">
        <v>72</v>
      </c>
      <c r="H9221" s="3" t="s">
        <v>42</v>
      </c>
      <c r="I9221" s="4" t="n">
        <v>4</v>
      </c>
      <c r="J9221" s="4" t="n">
        <f aca="false">LEN(E9221)-LEN(SUBSTITUTE(E9221,",",""))+1</f>
        <v>4</v>
      </c>
      <c r="K9221" s="3" t="str">
        <f aca="false">IFERROR(INDEX('Teacher Lookup'!$B$2:$B$200,MATCH(A9221,'Teacher Lookup'!$A$2:$A$200,0)),"")</f>
        <v>LEE Sean</v>
      </c>
    </row>
    <row r="9222" customFormat="false" ht="15" hidden="false" customHeight="false" outlineLevel="0" collapsed="false">
      <c r="A9222" s="3" t="s">
        <v>503</v>
      </c>
      <c r="B9222" s="4" t="s">
        <v>60</v>
      </c>
      <c r="C9222" s="4" t="n">
        <v>6</v>
      </c>
      <c r="D9222" s="4" t="s">
        <v>58</v>
      </c>
      <c r="E9222" s="3" t="s">
        <v>397</v>
      </c>
      <c r="F9222" s="4" t="str">
        <f aca="false">IF(I9222&gt;J9222,"Y","N")</f>
        <v>N</v>
      </c>
      <c r="G9222" s="3" t="s">
        <v>72</v>
      </c>
      <c r="H9222" s="3" t="s">
        <v>42</v>
      </c>
      <c r="I9222" s="4" t="n">
        <v>4</v>
      </c>
      <c r="J9222" s="4" t="n">
        <f aca="false">LEN(E9222)-LEN(SUBSTITUTE(E9222,",",""))+1</f>
        <v>4</v>
      </c>
      <c r="K9222" s="3" t="str">
        <f aca="false">IFERROR(INDEX('Teacher Lookup'!$B$2:$B$200,MATCH(A9222,'Teacher Lookup'!$A$2:$A$200,0)),"")</f>
        <v>LEE Sean</v>
      </c>
    </row>
    <row r="9223" customFormat="false" ht="15" hidden="false" customHeight="false" outlineLevel="0" collapsed="false">
      <c r="A9223" s="3" t="s">
        <v>503</v>
      </c>
      <c r="B9223" s="4" t="s">
        <v>60</v>
      </c>
      <c r="C9223" s="4" t="n">
        <v>6</v>
      </c>
      <c r="D9223" s="4" t="s">
        <v>59</v>
      </c>
      <c r="E9223" s="3" t="s">
        <v>397</v>
      </c>
      <c r="F9223" s="4" t="str">
        <f aca="false">IF(I9223&gt;J9223,"Y","N")</f>
        <v>N</v>
      </c>
      <c r="G9223" s="3" t="s">
        <v>72</v>
      </c>
      <c r="H9223" s="3" t="s">
        <v>42</v>
      </c>
      <c r="I9223" s="4" t="n">
        <v>4</v>
      </c>
      <c r="J9223" s="4" t="n">
        <f aca="false">LEN(E9223)-LEN(SUBSTITUTE(E9223,",",""))+1</f>
        <v>4</v>
      </c>
      <c r="K9223" s="3" t="str">
        <f aca="false">IFERROR(INDEX('Teacher Lookup'!$B$2:$B$200,MATCH(A9223,'Teacher Lookup'!$A$2:$A$200,0)),"")</f>
        <v>LEE Sean</v>
      </c>
    </row>
    <row r="9224" customFormat="false" ht="15" hidden="false" customHeight="false" outlineLevel="0" collapsed="false">
      <c r="A9224" s="3" t="s">
        <v>503</v>
      </c>
      <c r="B9224" s="4" t="s">
        <v>63</v>
      </c>
      <c r="C9224" s="4" t="n">
        <v>3</v>
      </c>
      <c r="D9224" s="4" t="s">
        <v>137</v>
      </c>
      <c r="E9224" s="3" t="s">
        <v>146</v>
      </c>
      <c r="F9224" s="4" t="str">
        <f aca="false">IF(I9224&gt;J9224,"Y","N")</f>
        <v>N</v>
      </c>
      <c r="G9224" s="3" t="s">
        <v>72</v>
      </c>
      <c r="H9224" s="3" t="s">
        <v>26</v>
      </c>
      <c r="I9224" s="4" t="n">
        <v>4</v>
      </c>
      <c r="J9224" s="4" t="n">
        <f aca="false">LEN(E9224)-LEN(SUBSTITUTE(E9224,",",""))+1</f>
        <v>4</v>
      </c>
      <c r="K9224" s="3" t="str">
        <f aca="false">IFERROR(INDEX('Teacher Lookup'!$B$2:$B$200,MATCH(A9224,'Teacher Lookup'!$A$2:$A$200,0)),"")</f>
        <v>LEE Sean</v>
      </c>
    </row>
    <row r="9225" customFormat="false" ht="15" hidden="false" customHeight="false" outlineLevel="0" collapsed="false">
      <c r="A9225" s="3" t="s">
        <v>503</v>
      </c>
      <c r="B9225" s="4" t="s">
        <v>63</v>
      </c>
      <c r="C9225" s="4" t="n">
        <v>3</v>
      </c>
      <c r="D9225" s="4" t="s">
        <v>124</v>
      </c>
      <c r="E9225" s="3" t="s">
        <v>146</v>
      </c>
      <c r="F9225" s="4" t="str">
        <f aca="false">IF(I9225&gt;J9225,"Y","N")</f>
        <v>N</v>
      </c>
      <c r="G9225" s="3" t="s">
        <v>72</v>
      </c>
      <c r="H9225" s="3" t="s">
        <v>26</v>
      </c>
      <c r="I9225" s="4" t="n">
        <v>4</v>
      </c>
      <c r="J9225" s="4" t="n">
        <f aca="false">LEN(E9225)-LEN(SUBSTITUTE(E9225,",",""))+1</f>
        <v>4</v>
      </c>
      <c r="K9225" s="3" t="str">
        <f aca="false">IFERROR(INDEX('Teacher Lookup'!$B$2:$B$200,MATCH(A9225,'Teacher Lookup'!$A$2:$A$200,0)),"")</f>
        <v>LEE Sean</v>
      </c>
    </row>
    <row r="9226" customFormat="false" ht="15" hidden="false" customHeight="false" outlineLevel="0" collapsed="false">
      <c r="A9226" s="3" t="s">
        <v>503</v>
      </c>
      <c r="B9226" s="4" t="s">
        <v>63</v>
      </c>
      <c r="C9226" s="4" t="n">
        <v>3</v>
      </c>
      <c r="D9226" s="4" t="s">
        <v>139</v>
      </c>
      <c r="E9226" s="3" t="s">
        <v>146</v>
      </c>
      <c r="F9226" s="4" t="str">
        <f aca="false">IF(I9226&gt;J9226,"Y","N")</f>
        <v>N</v>
      </c>
      <c r="G9226" s="3" t="s">
        <v>72</v>
      </c>
      <c r="H9226" s="3" t="s">
        <v>26</v>
      </c>
      <c r="I9226" s="4" t="n">
        <v>4</v>
      </c>
      <c r="J9226" s="4" t="n">
        <f aca="false">LEN(E9226)-LEN(SUBSTITUTE(E9226,",",""))+1</f>
        <v>4</v>
      </c>
      <c r="K9226" s="3" t="str">
        <f aca="false">IFERROR(INDEX('Teacher Lookup'!$B$2:$B$200,MATCH(A9226,'Teacher Lookup'!$A$2:$A$200,0)),"")</f>
        <v>LEE Sean</v>
      </c>
    </row>
    <row r="9227" customFormat="false" ht="15" hidden="false" customHeight="false" outlineLevel="0" collapsed="false">
      <c r="A9227" s="3" t="s">
        <v>503</v>
      </c>
      <c r="B9227" s="4" t="s">
        <v>63</v>
      </c>
      <c r="C9227" s="4" t="n">
        <v>5</v>
      </c>
      <c r="D9227" s="4" t="s">
        <v>57</v>
      </c>
      <c r="E9227" s="3" t="s">
        <v>183</v>
      </c>
      <c r="F9227" s="4" t="str">
        <f aca="false">IF(I9227&gt;J9227,"Y","N")</f>
        <v>N</v>
      </c>
      <c r="G9227" s="3" t="s">
        <v>72</v>
      </c>
      <c r="H9227" s="3" t="s">
        <v>37</v>
      </c>
      <c r="I9227" s="4" t="n">
        <v>4</v>
      </c>
      <c r="J9227" s="4" t="n">
        <f aca="false">LEN(E9227)-LEN(SUBSTITUTE(E9227,",",""))+1</f>
        <v>4</v>
      </c>
      <c r="K9227" s="3" t="str">
        <f aca="false">IFERROR(INDEX('Teacher Lookup'!$B$2:$B$200,MATCH(A9227,'Teacher Lookup'!$A$2:$A$200,0)),"")</f>
        <v>LEE Sean</v>
      </c>
    </row>
    <row r="9228" customFormat="false" ht="15" hidden="false" customHeight="false" outlineLevel="0" collapsed="false">
      <c r="A9228" s="3" t="s">
        <v>503</v>
      </c>
      <c r="B9228" s="4" t="s">
        <v>63</v>
      </c>
      <c r="C9228" s="4" t="n">
        <v>5</v>
      </c>
      <c r="D9228" s="4" t="s">
        <v>58</v>
      </c>
      <c r="E9228" s="3" t="s">
        <v>183</v>
      </c>
      <c r="F9228" s="4" t="str">
        <f aca="false">IF(I9228&gt;J9228,"Y","N")</f>
        <v>N</v>
      </c>
      <c r="G9228" s="3" t="s">
        <v>72</v>
      </c>
      <c r="H9228" s="3" t="s">
        <v>37</v>
      </c>
      <c r="I9228" s="4" t="n">
        <v>4</v>
      </c>
      <c r="J9228" s="4" t="n">
        <f aca="false">LEN(E9228)-LEN(SUBSTITUTE(E9228,",",""))+1</f>
        <v>4</v>
      </c>
      <c r="K9228" s="3" t="str">
        <f aca="false">IFERROR(INDEX('Teacher Lookup'!$B$2:$B$200,MATCH(A9228,'Teacher Lookup'!$A$2:$A$200,0)),"")</f>
        <v>LEE Sean</v>
      </c>
    </row>
    <row r="9229" customFormat="false" ht="15" hidden="false" customHeight="false" outlineLevel="0" collapsed="false">
      <c r="A9229" s="3" t="s">
        <v>503</v>
      </c>
      <c r="B9229" s="4" t="s">
        <v>63</v>
      </c>
      <c r="C9229" s="4" t="n">
        <v>5</v>
      </c>
      <c r="D9229" s="4" t="s">
        <v>59</v>
      </c>
      <c r="E9229" s="3" t="s">
        <v>183</v>
      </c>
      <c r="F9229" s="4" t="str">
        <f aca="false">IF(I9229&gt;J9229,"Y","N")</f>
        <v>N</v>
      </c>
      <c r="G9229" s="3" t="s">
        <v>72</v>
      </c>
      <c r="H9229" s="3" t="s">
        <v>37</v>
      </c>
      <c r="I9229" s="4" t="n">
        <v>4</v>
      </c>
      <c r="J9229" s="4" t="n">
        <f aca="false">LEN(E9229)-LEN(SUBSTITUTE(E9229,",",""))+1</f>
        <v>4</v>
      </c>
      <c r="K9229" s="3" t="str">
        <f aca="false">IFERROR(INDEX('Teacher Lookup'!$B$2:$B$200,MATCH(A9229,'Teacher Lookup'!$A$2:$A$200,0)),"")</f>
        <v>LEE Sean</v>
      </c>
    </row>
    <row r="9230" customFormat="false" ht="15" hidden="false" customHeight="false" outlineLevel="0" collapsed="false">
      <c r="A9230" s="3" t="s">
        <v>503</v>
      </c>
      <c r="B9230" s="4" t="s">
        <v>65</v>
      </c>
      <c r="C9230" s="4" t="n">
        <v>1</v>
      </c>
      <c r="D9230" s="4" t="s">
        <v>137</v>
      </c>
      <c r="E9230" s="3" t="s">
        <v>146</v>
      </c>
      <c r="F9230" s="4" t="str">
        <f aca="false">IF(I9230&gt;J9230,"Y","N")</f>
        <v>N</v>
      </c>
      <c r="G9230" s="3" t="s">
        <v>72</v>
      </c>
      <c r="H9230" s="3" t="s">
        <v>16</v>
      </c>
      <c r="I9230" s="4" t="n">
        <v>4</v>
      </c>
      <c r="J9230" s="4" t="n">
        <f aca="false">LEN(E9230)-LEN(SUBSTITUTE(E9230,",",""))+1</f>
        <v>4</v>
      </c>
      <c r="K9230" s="3" t="str">
        <f aca="false">IFERROR(INDEX('Teacher Lookup'!$B$2:$B$200,MATCH(A9230,'Teacher Lookup'!$A$2:$A$200,0)),"")</f>
        <v>LEE Sean</v>
      </c>
    </row>
    <row r="9231" customFormat="false" ht="15" hidden="false" customHeight="false" outlineLevel="0" collapsed="false">
      <c r="A9231" s="3" t="s">
        <v>503</v>
      </c>
      <c r="B9231" s="4" t="s">
        <v>65</v>
      </c>
      <c r="C9231" s="4" t="n">
        <v>1</v>
      </c>
      <c r="D9231" s="4" t="s">
        <v>124</v>
      </c>
      <c r="E9231" s="3" t="s">
        <v>146</v>
      </c>
      <c r="F9231" s="4" t="str">
        <f aca="false">IF(I9231&gt;J9231,"Y","N")</f>
        <v>N</v>
      </c>
      <c r="G9231" s="3" t="s">
        <v>72</v>
      </c>
      <c r="H9231" s="3" t="s">
        <v>16</v>
      </c>
      <c r="I9231" s="4" t="n">
        <v>4</v>
      </c>
      <c r="J9231" s="4" t="n">
        <f aca="false">LEN(E9231)-LEN(SUBSTITUTE(E9231,",",""))+1</f>
        <v>4</v>
      </c>
      <c r="K9231" s="3" t="str">
        <f aca="false">IFERROR(INDEX('Teacher Lookup'!$B$2:$B$200,MATCH(A9231,'Teacher Lookup'!$A$2:$A$200,0)),"")</f>
        <v>LEE Sean</v>
      </c>
    </row>
    <row r="9232" customFormat="false" ht="15" hidden="false" customHeight="false" outlineLevel="0" collapsed="false">
      <c r="A9232" s="3" t="s">
        <v>503</v>
      </c>
      <c r="B9232" s="4" t="s">
        <v>65</v>
      </c>
      <c r="C9232" s="4" t="n">
        <v>1</v>
      </c>
      <c r="D9232" s="4" t="s">
        <v>139</v>
      </c>
      <c r="E9232" s="3" t="s">
        <v>146</v>
      </c>
      <c r="F9232" s="4" t="str">
        <f aca="false">IF(I9232&gt;J9232,"Y","N")</f>
        <v>N</v>
      </c>
      <c r="G9232" s="3" t="s">
        <v>72</v>
      </c>
      <c r="H9232" s="3" t="s">
        <v>16</v>
      </c>
      <c r="I9232" s="4" t="n">
        <v>4</v>
      </c>
      <c r="J9232" s="4" t="n">
        <f aca="false">LEN(E9232)-LEN(SUBSTITUTE(E9232,",",""))+1</f>
        <v>4</v>
      </c>
      <c r="K9232" s="3" t="str">
        <f aca="false">IFERROR(INDEX('Teacher Lookup'!$B$2:$B$200,MATCH(A9232,'Teacher Lookup'!$A$2:$A$200,0)),"")</f>
        <v>LEE Sean</v>
      </c>
    </row>
    <row r="9233" customFormat="false" ht="15" hidden="false" customHeight="false" outlineLevel="0" collapsed="false">
      <c r="A9233" s="3" t="s">
        <v>503</v>
      </c>
      <c r="B9233" s="4" t="s">
        <v>65</v>
      </c>
      <c r="C9233" s="4" t="n">
        <v>2</v>
      </c>
      <c r="D9233" s="4" t="s">
        <v>57</v>
      </c>
      <c r="E9233" s="3" t="s">
        <v>166</v>
      </c>
      <c r="F9233" s="4" t="str">
        <f aca="false">IF(I9233&gt;J9233,"Y","N")</f>
        <v>N</v>
      </c>
      <c r="G9233" s="3" t="s">
        <v>72</v>
      </c>
      <c r="H9233" s="3" t="s">
        <v>21</v>
      </c>
      <c r="I9233" s="4" t="n">
        <v>4</v>
      </c>
      <c r="J9233" s="4" t="n">
        <f aca="false">LEN(E9233)-LEN(SUBSTITUTE(E9233,",",""))+1</f>
        <v>4</v>
      </c>
      <c r="K9233" s="3" t="str">
        <f aca="false">IFERROR(INDEX('Teacher Lookup'!$B$2:$B$200,MATCH(A9233,'Teacher Lookup'!$A$2:$A$200,0)),"")</f>
        <v>LEE Sean</v>
      </c>
    </row>
    <row r="9234" customFormat="false" ht="15" hidden="false" customHeight="false" outlineLevel="0" collapsed="false">
      <c r="A9234" s="3" t="s">
        <v>503</v>
      </c>
      <c r="B9234" s="4" t="s">
        <v>65</v>
      </c>
      <c r="C9234" s="4" t="n">
        <v>2</v>
      </c>
      <c r="D9234" s="4" t="s">
        <v>58</v>
      </c>
      <c r="E9234" s="3" t="s">
        <v>166</v>
      </c>
      <c r="F9234" s="4" t="str">
        <f aca="false">IF(I9234&gt;J9234,"Y","N")</f>
        <v>N</v>
      </c>
      <c r="G9234" s="3" t="s">
        <v>72</v>
      </c>
      <c r="H9234" s="3" t="s">
        <v>21</v>
      </c>
      <c r="I9234" s="4" t="n">
        <v>4</v>
      </c>
      <c r="J9234" s="4" t="n">
        <f aca="false">LEN(E9234)-LEN(SUBSTITUTE(E9234,",",""))+1</f>
        <v>4</v>
      </c>
      <c r="K9234" s="3" t="str">
        <f aca="false">IFERROR(INDEX('Teacher Lookup'!$B$2:$B$200,MATCH(A9234,'Teacher Lookup'!$A$2:$A$200,0)),"")</f>
        <v>LEE Sean</v>
      </c>
    </row>
    <row r="9235" customFormat="false" ht="15" hidden="false" customHeight="false" outlineLevel="0" collapsed="false">
      <c r="A9235" s="3" t="s">
        <v>503</v>
      </c>
      <c r="B9235" s="4" t="s">
        <v>65</v>
      </c>
      <c r="C9235" s="4" t="n">
        <v>2</v>
      </c>
      <c r="D9235" s="4" t="s">
        <v>59</v>
      </c>
      <c r="E9235" s="3" t="s">
        <v>166</v>
      </c>
      <c r="F9235" s="4" t="str">
        <f aca="false">IF(I9235&gt;J9235,"Y","N")</f>
        <v>N</v>
      </c>
      <c r="G9235" s="3" t="s">
        <v>72</v>
      </c>
      <c r="H9235" s="3" t="s">
        <v>21</v>
      </c>
      <c r="I9235" s="4" t="n">
        <v>4</v>
      </c>
      <c r="J9235" s="4" t="n">
        <f aca="false">LEN(E9235)-LEN(SUBSTITUTE(E9235,",",""))+1</f>
        <v>4</v>
      </c>
      <c r="K9235" s="3" t="str">
        <f aca="false">IFERROR(INDEX('Teacher Lookup'!$B$2:$B$200,MATCH(A9235,'Teacher Lookup'!$A$2:$A$200,0)),"")</f>
        <v>LEE Sean</v>
      </c>
    </row>
    <row r="9236" customFormat="false" ht="15" hidden="false" customHeight="false" outlineLevel="0" collapsed="false">
      <c r="A9236" s="3" t="s">
        <v>503</v>
      </c>
      <c r="B9236" s="4" t="s">
        <v>65</v>
      </c>
      <c r="C9236" s="4" t="n">
        <v>3</v>
      </c>
      <c r="D9236" s="4" t="s">
        <v>132</v>
      </c>
      <c r="E9236" s="3" t="s">
        <v>293</v>
      </c>
      <c r="F9236" s="4" t="str">
        <f aca="false">IF(I9236&gt;J9236,"Y","N")</f>
        <v>N</v>
      </c>
      <c r="G9236" s="3" t="s">
        <v>72</v>
      </c>
      <c r="H9236" s="3" t="s">
        <v>26</v>
      </c>
      <c r="I9236" s="4" t="n">
        <v>1</v>
      </c>
      <c r="J9236" s="4" t="n">
        <f aca="false">LEN(E9236)-LEN(SUBSTITUTE(E9236,",",""))+1</f>
        <v>1</v>
      </c>
      <c r="K9236" s="3" t="str">
        <f aca="false">IFERROR(INDEX('Teacher Lookup'!$B$2:$B$200,MATCH(A9236,'Teacher Lookup'!$A$2:$A$200,0)),"")</f>
        <v>LEE Sean</v>
      </c>
    </row>
    <row r="9237" customFormat="false" ht="15" hidden="false" customHeight="false" outlineLevel="0" collapsed="false">
      <c r="A9237" s="3" t="s">
        <v>503</v>
      </c>
      <c r="B9237" s="4" t="s">
        <v>65</v>
      </c>
      <c r="C9237" s="4" t="n">
        <v>5</v>
      </c>
      <c r="D9237" s="4" t="s">
        <v>52</v>
      </c>
      <c r="E9237" s="3" t="s">
        <v>112</v>
      </c>
      <c r="F9237" s="4" t="str">
        <f aca="false">IF(I9237&gt;J9237,"Y","N")</f>
        <v>Y</v>
      </c>
      <c r="G9237" s="3" t="s">
        <v>36</v>
      </c>
      <c r="H9237" s="3" t="s">
        <v>37</v>
      </c>
      <c r="I9237" s="4" t="n">
        <v>16</v>
      </c>
      <c r="J9237" s="4" t="n">
        <f aca="false">LEN(E9237)-LEN(SUBSTITUTE(E9237,",",""))+1</f>
        <v>7</v>
      </c>
      <c r="K9237" s="3" t="str">
        <f aca="false">IFERROR(INDEX('Teacher Lookup'!$B$2:$B$200,MATCH(A9237,'Teacher Lookup'!$A$2:$A$200,0)),"")</f>
        <v>LEE Sean</v>
      </c>
    </row>
    <row r="9238" customFormat="false" ht="15" hidden="false" customHeight="false" outlineLevel="0" collapsed="false">
      <c r="A9238" s="3" t="s">
        <v>503</v>
      </c>
      <c r="B9238" s="4" t="s">
        <v>65</v>
      </c>
      <c r="C9238" s="4" t="n">
        <v>5</v>
      </c>
      <c r="D9238" s="4" t="s">
        <v>55</v>
      </c>
      <c r="E9238" s="3" t="s">
        <v>112</v>
      </c>
      <c r="F9238" s="4" t="str">
        <f aca="false">IF(I9238&gt;J9238,"Y","N")</f>
        <v>Y</v>
      </c>
      <c r="G9238" s="3" t="s">
        <v>36</v>
      </c>
      <c r="H9238" s="3" t="s">
        <v>37</v>
      </c>
      <c r="I9238" s="4" t="n">
        <v>16</v>
      </c>
      <c r="J9238" s="4" t="n">
        <f aca="false">LEN(E9238)-LEN(SUBSTITUTE(E9238,",",""))+1</f>
        <v>7</v>
      </c>
      <c r="K9238" s="3" t="str">
        <f aca="false">IFERROR(INDEX('Teacher Lookup'!$B$2:$B$200,MATCH(A9238,'Teacher Lookup'!$A$2:$A$200,0)),"")</f>
        <v>LEE Sean</v>
      </c>
    </row>
    <row r="9239" customFormat="false" ht="15" hidden="false" customHeight="false" outlineLevel="0" collapsed="false">
      <c r="A9239" s="3" t="s">
        <v>503</v>
      </c>
      <c r="B9239" s="4" t="s">
        <v>65</v>
      </c>
      <c r="C9239" s="4" t="n">
        <v>5</v>
      </c>
      <c r="D9239" s="4" t="s">
        <v>56</v>
      </c>
      <c r="E9239" s="3" t="s">
        <v>112</v>
      </c>
      <c r="F9239" s="4" t="str">
        <f aca="false">IF(I9239&gt;J9239,"Y","N")</f>
        <v>Y</v>
      </c>
      <c r="G9239" s="3" t="s">
        <v>36</v>
      </c>
      <c r="H9239" s="3" t="s">
        <v>37</v>
      </c>
      <c r="I9239" s="4" t="n">
        <v>16</v>
      </c>
      <c r="J9239" s="4" t="n">
        <f aca="false">LEN(E9239)-LEN(SUBSTITUTE(E9239,",",""))+1</f>
        <v>7</v>
      </c>
      <c r="K9239" s="3" t="str">
        <f aca="false">IFERROR(INDEX('Teacher Lookup'!$B$2:$B$200,MATCH(A9239,'Teacher Lookup'!$A$2:$A$200,0)),"")</f>
        <v>LEE Sean</v>
      </c>
    </row>
    <row r="9240" customFormat="false" ht="15" hidden="false" customHeight="false" outlineLevel="0" collapsed="false">
      <c r="A9240" s="3" t="s">
        <v>503</v>
      </c>
      <c r="B9240" s="4" t="s">
        <v>65</v>
      </c>
      <c r="C9240" s="4" t="n">
        <v>5</v>
      </c>
      <c r="D9240" s="4" t="s">
        <v>57</v>
      </c>
      <c r="E9240" s="3" t="s">
        <v>112</v>
      </c>
      <c r="F9240" s="4" t="str">
        <f aca="false">IF(I9240&gt;J9240,"Y","N")</f>
        <v>Y</v>
      </c>
      <c r="G9240" s="3" t="s">
        <v>36</v>
      </c>
      <c r="H9240" s="3" t="s">
        <v>37</v>
      </c>
      <c r="I9240" s="4" t="n">
        <v>16</v>
      </c>
      <c r="J9240" s="4" t="n">
        <f aca="false">LEN(E9240)-LEN(SUBSTITUTE(E9240,",",""))+1</f>
        <v>7</v>
      </c>
      <c r="K9240" s="3" t="str">
        <f aca="false">IFERROR(INDEX('Teacher Lookup'!$B$2:$B$200,MATCH(A9240,'Teacher Lookup'!$A$2:$A$200,0)),"")</f>
        <v>LEE Sean</v>
      </c>
    </row>
    <row r="9241" customFormat="false" ht="15" hidden="false" customHeight="false" outlineLevel="0" collapsed="false">
      <c r="A9241" s="3" t="s">
        <v>503</v>
      </c>
      <c r="B9241" s="4" t="s">
        <v>65</v>
      </c>
      <c r="C9241" s="4" t="n">
        <v>5</v>
      </c>
      <c r="D9241" s="4" t="s">
        <v>58</v>
      </c>
      <c r="E9241" s="3" t="s">
        <v>112</v>
      </c>
      <c r="F9241" s="4" t="str">
        <f aca="false">IF(I9241&gt;J9241,"Y","N")</f>
        <v>Y</v>
      </c>
      <c r="G9241" s="3" t="s">
        <v>36</v>
      </c>
      <c r="H9241" s="3" t="s">
        <v>37</v>
      </c>
      <c r="I9241" s="4" t="n">
        <v>16</v>
      </c>
      <c r="J9241" s="4" t="n">
        <f aca="false">LEN(E9241)-LEN(SUBSTITUTE(E9241,",",""))+1</f>
        <v>7</v>
      </c>
      <c r="K9241" s="3" t="str">
        <f aca="false">IFERROR(INDEX('Teacher Lookup'!$B$2:$B$200,MATCH(A9241,'Teacher Lookup'!$A$2:$A$200,0)),"")</f>
        <v>LEE Sean</v>
      </c>
    </row>
    <row r="9242" customFormat="false" ht="15" hidden="false" customHeight="false" outlineLevel="0" collapsed="false">
      <c r="A9242" s="3" t="s">
        <v>503</v>
      </c>
      <c r="B9242" s="4" t="s">
        <v>65</v>
      </c>
      <c r="C9242" s="4" t="n">
        <v>5</v>
      </c>
      <c r="D9242" s="4" t="s">
        <v>59</v>
      </c>
      <c r="E9242" s="3" t="s">
        <v>112</v>
      </c>
      <c r="F9242" s="4" t="str">
        <f aca="false">IF(I9242&gt;J9242,"Y","N")</f>
        <v>Y</v>
      </c>
      <c r="G9242" s="3" t="s">
        <v>36</v>
      </c>
      <c r="H9242" s="3" t="s">
        <v>37</v>
      </c>
      <c r="I9242" s="4" t="n">
        <v>16</v>
      </c>
      <c r="J9242" s="4" t="n">
        <f aca="false">LEN(E9242)-LEN(SUBSTITUTE(E9242,",",""))+1</f>
        <v>7</v>
      </c>
      <c r="K9242" s="3" t="str">
        <f aca="false">IFERROR(INDEX('Teacher Lookup'!$B$2:$B$200,MATCH(A9242,'Teacher Lookup'!$A$2:$A$200,0)),"")</f>
        <v>LEE Sean</v>
      </c>
    </row>
    <row r="9243" customFormat="false" ht="15" hidden="false" customHeight="false" outlineLevel="0" collapsed="false">
      <c r="A9243" s="3" t="s">
        <v>503</v>
      </c>
      <c r="B9243" s="4" t="s">
        <v>66</v>
      </c>
      <c r="C9243" s="4" t="n">
        <v>2</v>
      </c>
      <c r="D9243" s="4" t="s">
        <v>137</v>
      </c>
      <c r="E9243" s="3" t="s">
        <v>161</v>
      </c>
      <c r="F9243" s="4" t="str">
        <f aca="false">IF(I9243&gt;J9243,"Y","N")</f>
        <v>N</v>
      </c>
      <c r="G9243" s="3" t="s">
        <v>72</v>
      </c>
      <c r="H9243" s="3" t="s">
        <v>21</v>
      </c>
      <c r="I9243" s="4" t="n">
        <v>4</v>
      </c>
      <c r="J9243" s="4" t="n">
        <f aca="false">LEN(E9243)-LEN(SUBSTITUTE(E9243,",",""))+1</f>
        <v>4</v>
      </c>
      <c r="K9243" s="3" t="str">
        <f aca="false">IFERROR(INDEX('Teacher Lookup'!$B$2:$B$200,MATCH(A9243,'Teacher Lookup'!$A$2:$A$200,0)),"")</f>
        <v>LEE Sean</v>
      </c>
    </row>
    <row r="9244" customFormat="false" ht="15" hidden="false" customHeight="false" outlineLevel="0" collapsed="false">
      <c r="A9244" s="3" t="s">
        <v>503</v>
      </c>
      <c r="B9244" s="4" t="s">
        <v>66</v>
      </c>
      <c r="C9244" s="4" t="n">
        <v>2</v>
      </c>
      <c r="D9244" s="4" t="s">
        <v>124</v>
      </c>
      <c r="E9244" s="3" t="s">
        <v>161</v>
      </c>
      <c r="F9244" s="4" t="str">
        <f aca="false">IF(I9244&gt;J9244,"Y","N")</f>
        <v>N</v>
      </c>
      <c r="G9244" s="3" t="s">
        <v>72</v>
      </c>
      <c r="H9244" s="3" t="s">
        <v>21</v>
      </c>
      <c r="I9244" s="4" t="n">
        <v>4</v>
      </c>
      <c r="J9244" s="4" t="n">
        <f aca="false">LEN(E9244)-LEN(SUBSTITUTE(E9244,",",""))+1</f>
        <v>4</v>
      </c>
      <c r="K9244" s="3" t="str">
        <f aca="false">IFERROR(INDEX('Teacher Lookup'!$B$2:$B$200,MATCH(A9244,'Teacher Lookup'!$A$2:$A$200,0)),"")</f>
        <v>LEE Sean</v>
      </c>
    </row>
    <row r="9245" customFormat="false" ht="15" hidden="false" customHeight="false" outlineLevel="0" collapsed="false">
      <c r="A9245" s="3" t="s">
        <v>503</v>
      </c>
      <c r="B9245" s="4" t="s">
        <v>66</v>
      </c>
      <c r="C9245" s="4" t="n">
        <v>2</v>
      </c>
      <c r="D9245" s="4" t="s">
        <v>139</v>
      </c>
      <c r="E9245" s="3" t="s">
        <v>161</v>
      </c>
      <c r="F9245" s="4" t="str">
        <f aca="false">IF(I9245&gt;J9245,"Y","N")</f>
        <v>N</v>
      </c>
      <c r="G9245" s="3" t="s">
        <v>72</v>
      </c>
      <c r="H9245" s="3" t="s">
        <v>21</v>
      </c>
      <c r="I9245" s="4" t="n">
        <v>4</v>
      </c>
      <c r="J9245" s="4" t="n">
        <f aca="false">LEN(E9245)-LEN(SUBSTITUTE(E9245,",",""))+1</f>
        <v>4</v>
      </c>
      <c r="K9245" s="3" t="str">
        <f aca="false">IFERROR(INDEX('Teacher Lookup'!$B$2:$B$200,MATCH(A9245,'Teacher Lookup'!$A$2:$A$200,0)),"")</f>
        <v>LEE Sean</v>
      </c>
    </row>
    <row r="9246" customFormat="false" ht="15" hidden="false" customHeight="false" outlineLevel="0" collapsed="false">
      <c r="A9246" s="3" t="s">
        <v>503</v>
      </c>
      <c r="B9246" s="4" t="s">
        <v>66</v>
      </c>
      <c r="C9246" s="4" t="n">
        <v>4</v>
      </c>
      <c r="D9246" s="4" t="s">
        <v>57</v>
      </c>
      <c r="E9246" s="3" t="s">
        <v>399</v>
      </c>
      <c r="F9246" s="4" t="str">
        <f aca="false">IF(I9246&gt;J9246,"Y","N")</f>
        <v>N</v>
      </c>
      <c r="G9246" s="3" t="s">
        <v>72</v>
      </c>
      <c r="H9246" s="3" t="s">
        <v>34</v>
      </c>
      <c r="I9246" s="4" t="n">
        <v>4</v>
      </c>
      <c r="J9246" s="4" t="n">
        <f aca="false">LEN(E9246)-LEN(SUBSTITUTE(E9246,",",""))+1</f>
        <v>4</v>
      </c>
      <c r="K9246" s="3" t="str">
        <f aca="false">IFERROR(INDEX('Teacher Lookup'!$B$2:$B$200,MATCH(A9246,'Teacher Lookup'!$A$2:$A$200,0)),"")</f>
        <v>LEE Sean</v>
      </c>
    </row>
    <row r="9247" customFormat="false" ht="15" hidden="false" customHeight="false" outlineLevel="0" collapsed="false">
      <c r="A9247" s="3" t="s">
        <v>503</v>
      </c>
      <c r="B9247" s="4" t="s">
        <v>66</v>
      </c>
      <c r="C9247" s="4" t="n">
        <v>4</v>
      </c>
      <c r="D9247" s="4" t="s">
        <v>58</v>
      </c>
      <c r="E9247" s="3" t="s">
        <v>399</v>
      </c>
      <c r="F9247" s="4" t="str">
        <f aca="false">IF(I9247&gt;J9247,"Y","N")</f>
        <v>N</v>
      </c>
      <c r="G9247" s="3" t="s">
        <v>72</v>
      </c>
      <c r="H9247" s="3" t="s">
        <v>34</v>
      </c>
      <c r="I9247" s="4" t="n">
        <v>4</v>
      </c>
      <c r="J9247" s="4" t="n">
        <f aca="false">LEN(E9247)-LEN(SUBSTITUTE(E9247,",",""))+1</f>
        <v>4</v>
      </c>
      <c r="K9247" s="3" t="str">
        <f aca="false">IFERROR(INDEX('Teacher Lookup'!$B$2:$B$200,MATCH(A9247,'Teacher Lookup'!$A$2:$A$200,0)),"")</f>
        <v>LEE Sean</v>
      </c>
    </row>
    <row r="9248" customFormat="false" ht="15" hidden="false" customHeight="false" outlineLevel="0" collapsed="false">
      <c r="A9248" s="3" t="s">
        <v>503</v>
      </c>
      <c r="B9248" s="4" t="s">
        <v>66</v>
      </c>
      <c r="C9248" s="4" t="n">
        <v>4</v>
      </c>
      <c r="D9248" s="4" t="s">
        <v>59</v>
      </c>
      <c r="E9248" s="3" t="s">
        <v>399</v>
      </c>
      <c r="F9248" s="4" t="str">
        <f aca="false">IF(I9248&gt;J9248,"Y","N")</f>
        <v>N</v>
      </c>
      <c r="G9248" s="3" t="s">
        <v>72</v>
      </c>
      <c r="H9248" s="3" t="s">
        <v>34</v>
      </c>
      <c r="I9248" s="4" t="n">
        <v>4</v>
      </c>
      <c r="J9248" s="4" t="n">
        <f aca="false">LEN(E9248)-LEN(SUBSTITUTE(E9248,",",""))+1</f>
        <v>4</v>
      </c>
      <c r="K9248" s="3" t="str">
        <f aca="false">IFERROR(INDEX('Teacher Lookup'!$B$2:$B$200,MATCH(A9248,'Teacher Lookup'!$A$2:$A$200,0)),"")</f>
        <v>LEE Sean</v>
      </c>
    </row>
    <row r="9249" customFormat="false" ht="15" hidden="false" customHeight="false" outlineLevel="0" collapsed="false">
      <c r="A9249" s="3" t="s">
        <v>503</v>
      </c>
      <c r="B9249" s="4" t="s">
        <v>66</v>
      </c>
      <c r="C9249" s="4" t="n">
        <v>5</v>
      </c>
      <c r="D9249" s="4" t="s">
        <v>132</v>
      </c>
      <c r="E9249" s="3" t="s">
        <v>293</v>
      </c>
      <c r="F9249" s="4" t="str">
        <f aca="false">IF(I9249&gt;J9249,"Y","N")</f>
        <v>N</v>
      </c>
      <c r="G9249" s="3" t="s">
        <v>72</v>
      </c>
      <c r="H9249" s="3" t="s">
        <v>37</v>
      </c>
      <c r="I9249" s="4" t="n">
        <v>1</v>
      </c>
      <c r="J9249" s="4" t="n">
        <f aca="false">LEN(E9249)-LEN(SUBSTITUTE(E9249,",",""))+1</f>
        <v>1</v>
      </c>
      <c r="K9249" s="3" t="str">
        <f aca="false">IFERROR(INDEX('Teacher Lookup'!$B$2:$B$200,MATCH(A9249,'Teacher Lookup'!$A$2:$A$200,0)),"")</f>
        <v>LEE Sean</v>
      </c>
    </row>
    <row r="9250" customFormat="false" ht="15" hidden="false" customHeight="false" outlineLevel="0" collapsed="false">
      <c r="A9250" s="3" t="s">
        <v>504</v>
      </c>
      <c r="B9250" s="4" t="s">
        <v>12</v>
      </c>
      <c r="C9250" s="4" t="n">
        <v>3</v>
      </c>
      <c r="D9250" s="4" t="s">
        <v>139</v>
      </c>
      <c r="E9250" s="3" t="s">
        <v>133</v>
      </c>
      <c r="F9250" s="4" t="str">
        <f aca="false">IF(I9250&gt;J9250,"Y","N")</f>
        <v>N</v>
      </c>
      <c r="G9250" s="3" t="s">
        <v>126</v>
      </c>
      <c r="H9250" s="3" t="s">
        <v>26</v>
      </c>
      <c r="I9250" s="4" t="n">
        <v>1</v>
      </c>
      <c r="J9250" s="4" t="n">
        <f aca="false">LEN(E9250)-LEN(SUBSTITUTE(E9250,",",""))+1</f>
        <v>1</v>
      </c>
      <c r="K9250" s="3" t="str">
        <f aca="false">IFERROR(INDEX('Teacher Lookup'!$B$2:$B$200,MATCH(A9250,'Teacher Lookup'!$A$2:$A$200,0)),"")</f>
        <v>CHOI Sabrina</v>
      </c>
    </row>
    <row r="9251" customFormat="false" ht="15" hidden="false" customHeight="false" outlineLevel="0" collapsed="false">
      <c r="A9251" s="3" t="s">
        <v>504</v>
      </c>
      <c r="B9251" s="4" t="s">
        <v>12</v>
      </c>
      <c r="C9251" s="4" t="n">
        <v>5</v>
      </c>
      <c r="D9251" s="4" t="s">
        <v>76</v>
      </c>
      <c r="E9251" s="3" t="s">
        <v>133</v>
      </c>
      <c r="F9251" s="4" t="str">
        <f aca="false">IF(I9251&gt;J9251,"Y","N")</f>
        <v>N</v>
      </c>
      <c r="G9251" s="3" t="s">
        <v>312</v>
      </c>
      <c r="H9251" s="3" t="s">
        <v>37</v>
      </c>
      <c r="I9251" s="4" t="n">
        <v>1</v>
      </c>
      <c r="J9251" s="4" t="n">
        <f aca="false">LEN(E9251)-LEN(SUBSTITUTE(E9251,",",""))+1</f>
        <v>1</v>
      </c>
      <c r="K9251" s="3" t="str">
        <f aca="false">IFERROR(INDEX('Teacher Lookup'!$B$2:$B$200,MATCH(A9251,'Teacher Lookup'!$A$2:$A$200,0)),"")</f>
        <v>CHOI Sabrina</v>
      </c>
    </row>
    <row r="9252" customFormat="false" ht="15" hidden="false" customHeight="false" outlineLevel="0" collapsed="false">
      <c r="A9252" s="3" t="s">
        <v>504</v>
      </c>
      <c r="B9252" s="4" t="s">
        <v>12</v>
      </c>
      <c r="C9252" s="4" t="n">
        <v>7</v>
      </c>
      <c r="D9252" s="4" t="s">
        <v>102</v>
      </c>
      <c r="E9252" s="3" t="s">
        <v>465</v>
      </c>
      <c r="F9252" s="4" t="str">
        <f aca="false">IF(I9252&gt;J9252,"Y","N")</f>
        <v>N</v>
      </c>
      <c r="G9252" s="3" t="s">
        <v>466</v>
      </c>
      <c r="H9252" s="3" t="s">
        <v>39</v>
      </c>
      <c r="I9252" s="4" t="n">
        <v>4</v>
      </c>
      <c r="J9252" s="4" t="n">
        <f aca="false">LEN(E9252)-LEN(SUBSTITUTE(E9252,",",""))+1</f>
        <v>4</v>
      </c>
      <c r="K9252" s="3" t="str">
        <f aca="false">IFERROR(INDEX('Teacher Lookup'!$B$2:$B$200,MATCH(A9252,'Teacher Lookup'!$A$2:$A$200,0)),"")</f>
        <v>CHOI Sabrina</v>
      </c>
    </row>
    <row r="9253" customFormat="false" ht="15" hidden="false" customHeight="false" outlineLevel="0" collapsed="false">
      <c r="A9253" s="3" t="s">
        <v>504</v>
      </c>
      <c r="B9253" s="4" t="s">
        <v>12</v>
      </c>
      <c r="C9253" s="4" t="n">
        <v>7</v>
      </c>
      <c r="D9253" s="4" t="s">
        <v>107</v>
      </c>
      <c r="E9253" s="3" t="s">
        <v>465</v>
      </c>
      <c r="F9253" s="4" t="str">
        <f aca="false">IF(I9253&gt;J9253,"Y","N")</f>
        <v>N</v>
      </c>
      <c r="G9253" s="3" t="s">
        <v>466</v>
      </c>
      <c r="H9253" s="3" t="s">
        <v>39</v>
      </c>
      <c r="I9253" s="4" t="n">
        <v>4</v>
      </c>
      <c r="J9253" s="4" t="n">
        <f aca="false">LEN(E9253)-LEN(SUBSTITUTE(E9253,",",""))+1</f>
        <v>4</v>
      </c>
      <c r="K9253" s="3" t="str">
        <f aca="false">IFERROR(INDEX('Teacher Lookup'!$B$2:$B$200,MATCH(A9253,'Teacher Lookup'!$A$2:$A$200,0)),"")</f>
        <v>CHOI Sabrina</v>
      </c>
    </row>
    <row r="9254" customFormat="false" ht="15" hidden="false" customHeight="false" outlineLevel="0" collapsed="false">
      <c r="A9254" s="3" t="s">
        <v>504</v>
      </c>
      <c r="B9254" s="4" t="s">
        <v>31</v>
      </c>
      <c r="C9254" s="4" t="n">
        <v>2</v>
      </c>
      <c r="D9254" s="4" t="s">
        <v>140</v>
      </c>
      <c r="E9254" s="3" t="s">
        <v>133</v>
      </c>
      <c r="F9254" s="4" t="str">
        <f aca="false">IF(I9254&gt;J9254,"Y","N")</f>
        <v>N</v>
      </c>
      <c r="G9254" s="3" t="s">
        <v>126</v>
      </c>
      <c r="H9254" s="3" t="s">
        <v>21</v>
      </c>
      <c r="I9254" s="4" t="n">
        <v>1</v>
      </c>
      <c r="J9254" s="4" t="n">
        <f aca="false">LEN(E9254)-LEN(SUBSTITUTE(E9254,",",""))+1</f>
        <v>1</v>
      </c>
      <c r="K9254" s="3" t="str">
        <f aca="false">IFERROR(INDEX('Teacher Lookup'!$B$2:$B$200,MATCH(A9254,'Teacher Lookup'!$A$2:$A$200,0)),"")</f>
        <v>CHOI Sabrina</v>
      </c>
    </row>
    <row r="9255" customFormat="false" ht="15" hidden="false" customHeight="false" outlineLevel="0" collapsed="false">
      <c r="A9255" s="3" t="s">
        <v>504</v>
      </c>
      <c r="B9255" s="4" t="s">
        <v>31</v>
      </c>
      <c r="C9255" s="4" t="n">
        <v>3</v>
      </c>
      <c r="D9255" s="4" t="s">
        <v>139</v>
      </c>
      <c r="E9255" s="3" t="s">
        <v>133</v>
      </c>
      <c r="F9255" s="4" t="str">
        <f aca="false">IF(I9255&gt;J9255,"Y","N")</f>
        <v>N</v>
      </c>
      <c r="G9255" s="3" t="s">
        <v>126</v>
      </c>
      <c r="H9255" s="3" t="s">
        <v>26</v>
      </c>
      <c r="I9255" s="4" t="n">
        <v>1</v>
      </c>
      <c r="J9255" s="4" t="n">
        <f aca="false">LEN(E9255)-LEN(SUBSTITUTE(E9255,",",""))+1</f>
        <v>1</v>
      </c>
      <c r="K9255" s="3" t="str">
        <f aca="false">IFERROR(INDEX('Teacher Lookup'!$B$2:$B$200,MATCH(A9255,'Teacher Lookup'!$A$2:$A$200,0)),"")</f>
        <v>CHOI Sabrina</v>
      </c>
    </row>
    <row r="9256" customFormat="false" ht="15" hidden="false" customHeight="false" outlineLevel="0" collapsed="false">
      <c r="A9256" s="3" t="s">
        <v>504</v>
      </c>
      <c r="B9256" s="4" t="s">
        <v>31</v>
      </c>
      <c r="C9256" s="4" t="n">
        <v>5</v>
      </c>
      <c r="D9256" s="4" t="s">
        <v>228</v>
      </c>
      <c r="E9256" s="3" t="s">
        <v>229</v>
      </c>
      <c r="F9256" s="4" t="str">
        <f aca="false">IF(I9256&gt;J9256,"Y","N")</f>
        <v>Y</v>
      </c>
      <c r="G9256" s="3" t="s">
        <v>36</v>
      </c>
      <c r="H9256" s="3" t="s">
        <v>37</v>
      </c>
      <c r="I9256" s="4" t="n">
        <v>14</v>
      </c>
      <c r="J9256" s="4" t="n">
        <f aca="false">LEN(E9256)-LEN(SUBSTITUTE(E9256,",",""))+1</f>
        <v>6</v>
      </c>
      <c r="K9256" s="3" t="str">
        <f aca="false">IFERROR(INDEX('Teacher Lookup'!$B$2:$B$200,MATCH(A9256,'Teacher Lookup'!$A$2:$A$200,0)),"")</f>
        <v>CHOI Sabrina</v>
      </c>
    </row>
    <row r="9257" customFormat="false" ht="15" hidden="false" customHeight="false" outlineLevel="0" collapsed="false">
      <c r="A9257" s="3" t="s">
        <v>504</v>
      </c>
      <c r="B9257" s="4" t="s">
        <v>31</v>
      </c>
      <c r="C9257" s="4" t="n">
        <v>5</v>
      </c>
      <c r="D9257" s="4" t="s">
        <v>102</v>
      </c>
      <c r="E9257" s="3" t="s">
        <v>229</v>
      </c>
      <c r="F9257" s="4" t="str">
        <f aca="false">IF(I9257&gt;J9257,"Y","N")</f>
        <v>Y</v>
      </c>
      <c r="G9257" s="3" t="s">
        <v>36</v>
      </c>
      <c r="H9257" s="3" t="s">
        <v>37</v>
      </c>
      <c r="I9257" s="4" t="n">
        <v>14</v>
      </c>
      <c r="J9257" s="4" t="n">
        <f aca="false">LEN(E9257)-LEN(SUBSTITUTE(E9257,",",""))+1</f>
        <v>6</v>
      </c>
      <c r="K9257" s="3" t="str">
        <f aca="false">IFERROR(INDEX('Teacher Lookup'!$B$2:$B$200,MATCH(A9257,'Teacher Lookup'!$A$2:$A$200,0)),"")</f>
        <v>CHOI Sabrina</v>
      </c>
    </row>
    <row r="9258" customFormat="false" ht="15" hidden="false" customHeight="false" outlineLevel="0" collapsed="false">
      <c r="A9258" s="3" t="s">
        <v>504</v>
      </c>
      <c r="B9258" s="4" t="s">
        <v>31</v>
      </c>
      <c r="C9258" s="4" t="n">
        <v>5</v>
      </c>
      <c r="D9258" s="4" t="s">
        <v>105</v>
      </c>
      <c r="E9258" s="3" t="s">
        <v>229</v>
      </c>
      <c r="F9258" s="4" t="str">
        <f aca="false">IF(I9258&gt;J9258,"Y","N")</f>
        <v>Y</v>
      </c>
      <c r="G9258" s="3" t="s">
        <v>36</v>
      </c>
      <c r="H9258" s="3" t="s">
        <v>37</v>
      </c>
      <c r="I9258" s="4" t="n">
        <v>14</v>
      </c>
      <c r="J9258" s="4" t="n">
        <f aca="false">LEN(E9258)-LEN(SUBSTITUTE(E9258,",",""))+1</f>
        <v>6</v>
      </c>
      <c r="K9258" s="3" t="str">
        <f aca="false">IFERROR(INDEX('Teacher Lookup'!$B$2:$B$200,MATCH(A9258,'Teacher Lookup'!$A$2:$A$200,0)),"")</f>
        <v>CHOI Sabrina</v>
      </c>
    </row>
    <row r="9259" customFormat="false" ht="15" hidden="false" customHeight="false" outlineLevel="0" collapsed="false">
      <c r="A9259" s="3" t="s">
        <v>504</v>
      </c>
      <c r="B9259" s="4" t="s">
        <v>31</v>
      </c>
      <c r="C9259" s="4" t="n">
        <v>5</v>
      </c>
      <c r="D9259" s="4" t="s">
        <v>106</v>
      </c>
      <c r="E9259" s="3" t="s">
        <v>229</v>
      </c>
      <c r="F9259" s="4" t="str">
        <f aca="false">IF(I9259&gt;J9259,"Y","N")</f>
        <v>Y</v>
      </c>
      <c r="G9259" s="3" t="s">
        <v>36</v>
      </c>
      <c r="H9259" s="3" t="s">
        <v>37</v>
      </c>
      <c r="I9259" s="4" t="n">
        <v>14</v>
      </c>
      <c r="J9259" s="4" t="n">
        <f aca="false">LEN(E9259)-LEN(SUBSTITUTE(E9259,",",""))+1</f>
        <v>6</v>
      </c>
      <c r="K9259" s="3" t="str">
        <f aca="false">IFERROR(INDEX('Teacher Lookup'!$B$2:$B$200,MATCH(A9259,'Teacher Lookup'!$A$2:$A$200,0)),"")</f>
        <v>CHOI Sabrina</v>
      </c>
    </row>
    <row r="9260" customFormat="false" ht="15" hidden="false" customHeight="false" outlineLevel="0" collapsed="false">
      <c r="A9260" s="3" t="s">
        <v>504</v>
      </c>
      <c r="B9260" s="4" t="s">
        <v>31</v>
      </c>
      <c r="C9260" s="4" t="n">
        <v>5</v>
      </c>
      <c r="D9260" s="4" t="s">
        <v>107</v>
      </c>
      <c r="E9260" s="3" t="s">
        <v>229</v>
      </c>
      <c r="F9260" s="4" t="str">
        <f aca="false">IF(I9260&gt;J9260,"Y","N")</f>
        <v>Y</v>
      </c>
      <c r="G9260" s="3" t="s">
        <v>36</v>
      </c>
      <c r="H9260" s="3" t="s">
        <v>37</v>
      </c>
      <c r="I9260" s="4" t="n">
        <v>14</v>
      </c>
      <c r="J9260" s="4" t="n">
        <f aca="false">LEN(E9260)-LEN(SUBSTITUTE(E9260,",",""))+1</f>
        <v>6</v>
      </c>
      <c r="K9260" s="3" t="str">
        <f aca="false">IFERROR(INDEX('Teacher Lookup'!$B$2:$B$200,MATCH(A9260,'Teacher Lookup'!$A$2:$A$200,0)),"")</f>
        <v>CHOI Sabrina</v>
      </c>
    </row>
    <row r="9261" customFormat="false" ht="15" hidden="false" customHeight="false" outlineLevel="0" collapsed="false">
      <c r="A9261" s="3" t="s">
        <v>504</v>
      </c>
      <c r="B9261" s="4" t="s">
        <v>31</v>
      </c>
      <c r="C9261" s="4" t="n">
        <v>6</v>
      </c>
      <c r="D9261" s="4" t="s">
        <v>102</v>
      </c>
      <c r="E9261" s="3" t="s">
        <v>467</v>
      </c>
      <c r="F9261" s="4" t="str">
        <f aca="false">IF(I9261&gt;J9261,"Y","N")</f>
        <v>N</v>
      </c>
      <c r="G9261" s="3" t="s">
        <v>466</v>
      </c>
      <c r="H9261" s="3" t="s">
        <v>42</v>
      </c>
      <c r="I9261" s="4" t="n">
        <v>4</v>
      </c>
      <c r="J9261" s="4" t="n">
        <f aca="false">LEN(E9261)-LEN(SUBSTITUTE(E9261,",",""))+1</f>
        <v>4</v>
      </c>
      <c r="K9261" s="3" t="str">
        <f aca="false">IFERROR(INDEX('Teacher Lookup'!$B$2:$B$200,MATCH(A9261,'Teacher Lookup'!$A$2:$A$200,0)),"")</f>
        <v>CHOI Sabrina</v>
      </c>
    </row>
    <row r="9262" customFormat="false" ht="15" hidden="false" customHeight="false" outlineLevel="0" collapsed="false">
      <c r="A9262" s="3" t="s">
        <v>504</v>
      </c>
      <c r="B9262" s="4" t="s">
        <v>31</v>
      </c>
      <c r="C9262" s="4" t="n">
        <v>6</v>
      </c>
      <c r="D9262" s="4" t="s">
        <v>107</v>
      </c>
      <c r="E9262" s="3" t="s">
        <v>467</v>
      </c>
      <c r="F9262" s="4" t="str">
        <f aca="false">IF(I9262&gt;J9262,"Y","N")</f>
        <v>N</v>
      </c>
      <c r="G9262" s="3" t="s">
        <v>466</v>
      </c>
      <c r="H9262" s="3" t="s">
        <v>42</v>
      </c>
      <c r="I9262" s="4" t="n">
        <v>4</v>
      </c>
      <c r="J9262" s="4" t="n">
        <f aca="false">LEN(E9262)-LEN(SUBSTITUTE(E9262,",",""))+1</f>
        <v>4</v>
      </c>
      <c r="K9262" s="3" t="str">
        <f aca="false">IFERROR(INDEX('Teacher Lookup'!$B$2:$B$200,MATCH(A9262,'Teacher Lookup'!$A$2:$A$200,0)),"")</f>
        <v>CHOI Sabrina</v>
      </c>
    </row>
    <row r="9263" customFormat="false" ht="15" hidden="false" customHeight="false" outlineLevel="0" collapsed="false">
      <c r="A9263" s="3" t="s">
        <v>504</v>
      </c>
      <c r="B9263" s="4" t="s">
        <v>31</v>
      </c>
      <c r="C9263" s="4" t="n">
        <v>7</v>
      </c>
      <c r="D9263" s="4" t="s">
        <v>102</v>
      </c>
      <c r="E9263" s="3" t="s">
        <v>467</v>
      </c>
      <c r="F9263" s="4" t="str">
        <f aca="false">IF(I9263&gt;J9263,"Y","N")</f>
        <v>N</v>
      </c>
      <c r="G9263" s="3" t="s">
        <v>466</v>
      </c>
      <c r="H9263" s="3" t="s">
        <v>39</v>
      </c>
      <c r="I9263" s="4" t="n">
        <v>4</v>
      </c>
      <c r="J9263" s="4" t="n">
        <f aca="false">LEN(E9263)-LEN(SUBSTITUTE(E9263,",",""))+1</f>
        <v>4</v>
      </c>
      <c r="K9263" s="3" t="str">
        <f aca="false">IFERROR(INDEX('Teacher Lookup'!$B$2:$B$200,MATCH(A9263,'Teacher Lookup'!$A$2:$A$200,0)),"")</f>
        <v>CHOI Sabrina</v>
      </c>
    </row>
    <row r="9264" customFormat="false" ht="15" hidden="false" customHeight="false" outlineLevel="0" collapsed="false">
      <c r="A9264" s="3" t="s">
        <v>504</v>
      </c>
      <c r="B9264" s="4" t="s">
        <v>31</v>
      </c>
      <c r="C9264" s="4" t="n">
        <v>7</v>
      </c>
      <c r="D9264" s="4" t="s">
        <v>107</v>
      </c>
      <c r="E9264" s="3" t="s">
        <v>467</v>
      </c>
      <c r="F9264" s="4" t="str">
        <f aca="false">IF(I9264&gt;J9264,"Y","N")</f>
        <v>N</v>
      </c>
      <c r="G9264" s="3" t="s">
        <v>466</v>
      </c>
      <c r="H9264" s="3" t="s">
        <v>39</v>
      </c>
      <c r="I9264" s="4" t="n">
        <v>4</v>
      </c>
      <c r="J9264" s="4" t="n">
        <f aca="false">LEN(E9264)-LEN(SUBSTITUTE(E9264,",",""))+1</f>
        <v>4</v>
      </c>
      <c r="K9264" s="3" t="str">
        <f aca="false">IFERROR(INDEX('Teacher Lookup'!$B$2:$B$200,MATCH(A9264,'Teacher Lookup'!$A$2:$A$200,0)),"")</f>
        <v>CHOI Sabrina</v>
      </c>
    </row>
    <row r="9265" customFormat="false" ht="15" hidden="false" customHeight="false" outlineLevel="0" collapsed="false">
      <c r="A9265" s="3" t="s">
        <v>504</v>
      </c>
      <c r="B9265" s="4" t="s">
        <v>40</v>
      </c>
      <c r="C9265" s="4" t="n">
        <v>2</v>
      </c>
      <c r="D9265" s="4" t="s">
        <v>102</v>
      </c>
      <c r="E9265" s="3" t="s">
        <v>468</v>
      </c>
      <c r="F9265" s="4" t="str">
        <f aca="false">IF(I9265&gt;J9265,"Y","N")</f>
        <v>N</v>
      </c>
      <c r="G9265" s="3" t="s">
        <v>466</v>
      </c>
      <c r="H9265" s="3" t="s">
        <v>21</v>
      </c>
      <c r="I9265" s="4" t="n">
        <v>4</v>
      </c>
      <c r="J9265" s="4" t="n">
        <f aca="false">LEN(E9265)-LEN(SUBSTITUTE(E9265,",",""))+1</f>
        <v>4</v>
      </c>
      <c r="K9265" s="3" t="str">
        <f aca="false">IFERROR(INDEX('Teacher Lookup'!$B$2:$B$200,MATCH(A9265,'Teacher Lookup'!$A$2:$A$200,0)),"")</f>
        <v>CHOI Sabrina</v>
      </c>
    </row>
    <row r="9266" customFormat="false" ht="15" hidden="false" customHeight="false" outlineLevel="0" collapsed="false">
      <c r="A9266" s="3" t="s">
        <v>504</v>
      </c>
      <c r="B9266" s="4" t="s">
        <v>40</v>
      </c>
      <c r="C9266" s="4" t="n">
        <v>2</v>
      </c>
      <c r="D9266" s="4" t="s">
        <v>107</v>
      </c>
      <c r="E9266" s="3" t="s">
        <v>468</v>
      </c>
      <c r="F9266" s="4" t="str">
        <f aca="false">IF(I9266&gt;J9266,"Y","N")</f>
        <v>N</v>
      </c>
      <c r="G9266" s="3" t="s">
        <v>466</v>
      </c>
      <c r="H9266" s="3" t="s">
        <v>21</v>
      </c>
      <c r="I9266" s="4" t="n">
        <v>4</v>
      </c>
      <c r="J9266" s="4" t="n">
        <f aca="false">LEN(E9266)-LEN(SUBSTITUTE(E9266,",",""))+1</f>
        <v>4</v>
      </c>
      <c r="K9266" s="3" t="str">
        <f aca="false">IFERROR(INDEX('Teacher Lookup'!$B$2:$B$200,MATCH(A9266,'Teacher Lookup'!$A$2:$A$200,0)),"")</f>
        <v>CHOI Sabrina</v>
      </c>
    </row>
    <row r="9267" customFormat="false" ht="15" hidden="false" customHeight="false" outlineLevel="0" collapsed="false">
      <c r="A9267" s="3" t="s">
        <v>504</v>
      </c>
      <c r="B9267" s="4" t="s">
        <v>40</v>
      </c>
      <c r="C9267" s="4" t="n">
        <v>3</v>
      </c>
      <c r="D9267" s="4" t="s">
        <v>140</v>
      </c>
      <c r="E9267" s="3" t="s">
        <v>289</v>
      </c>
      <c r="F9267" s="4" t="str">
        <f aca="false">IF(I9267&gt;J9267,"Y","N")</f>
        <v>N</v>
      </c>
      <c r="G9267" s="3" t="s">
        <v>126</v>
      </c>
      <c r="H9267" s="3" t="s">
        <v>26</v>
      </c>
      <c r="I9267" s="4" t="n">
        <v>1</v>
      </c>
      <c r="J9267" s="4" t="n">
        <f aca="false">LEN(E9267)-LEN(SUBSTITUTE(E9267,",",""))+1</f>
        <v>1</v>
      </c>
      <c r="K9267" s="3" t="str">
        <f aca="false">IFERROR(INDEX('Teacher Lookup'!$B$2:$B$200,MATCH(A9267,'Teacher Lookup'!$A$2:$A$200,0)),"")</f>
        <v>CHOI Sabrina</v>
      </c>
    </row>
    <row r="9268" customFormat="false" ht="15" hidden="false" customHeight="false" outlineLevel="0" collapsed="false">
      <c r="A9268" s="3" t="s">
        <v>504</v>
      </c>
      <c r="B9268" s="4" t="s">
        <v>40</v>
      </c>
      <c r="C9268" s="4" t="n">
        <v>5</v>
      </c>
      <c r="D9268" s="4" t="s">
        <v>70</v>
      </c>
      <c r="E9268" s="3" t="s">
        <v>311</v>
      </c>
      <c r="F9268" s="4" t="str">
        <f aca="false">IF(I9268&gt;J9268,"Y","N")</f>
        <v>N</v>
      </c>
      <c r="G9268" s="3" t="s">
        <v>312</v>
      </c>
      <c r="H9268" s="3" t="s">
        <v>37</v>
      </c>
      <c r="I9268" s="4" t="n">
        <v>1</v>
      </c>
      <c r="J9268" s="4" t="n">
        <f aca="false">LEN(E9268)-LEN(SUBSTITUTE(E9268,",",""))+1</f>
        <v>1</v>
      </c>
      <c r="K9268" s="3" t="str">
        <f aca="false">IFERROR(INDEX('Teacher Lookup'!$B$2:$B$200,MATCH(A9268,'Teacher Lookup'!$A$2:$A$200,0)),"")</f>
        <v>CHOI Sabrina</v>
      </c>
    </row>
    <row r="9269" customFormat="false" ht="15" hidden="false" customHeight="false" outlineLevel="0" collapsed="false">
      <c r="A9269" s="3" t="s">
        <v>504</v>
      </c>
      <c r="B9269" s="4" t="s">
        <v>40</v>
      </c>
      <c r="C9269" s="4" t="n">
        <v>7</v>
      </c>
      <c r="D9269" s="4" t="s">
        <v>139</v>
      </c>
      <c r="E9269" s="3" t="s">
        <v>284</v>
      </c>
      <c r="F9269" s="4" t="str">
        <f aca="false">IF(I9269&gt;J9269,"Y","N")</f>
        <v>N</v>
      </c>
      <c r="G9269" s="3" t="s">
        <v>126</v>
      </c>
      <c r="H9269" s="3" t="s">
        <v>39</v>
      </c>
      <c r="I9269" s="4" t="n">
        <v>1</v>
      </c>
      <c r="J9269" s="4" t="n">
        <f aca="false">LEN(E9269)-LEN(SUBSTITUTE(E9269,",",""))+1</f>
        <v>1</v>
      </c>
      <c r="K9269" s="3" t="str">
        <f aca="false">IFERROR(INDEX('Teacher Lookup'!$B$2:$B$200,MATCH(A9269,'Teacher Lookup'!$A$2:$A$200,0)),"")</f>
        <v>CHOI Sabrina</v>
      </c>
    </row>
    <row r="9270" customFormat="false" ht="15" hidden="false" customHeight="false" outlineLevel="0" collapsed="false">
      <c r="A9270" s="3" t="s">
        <v>504</v>
      </c>
      <c r="B9270" s="4" t="s">
        <v>44</v>
      </c>
      <c r="C9270" s="4" t="n">
        <v>1</v>
      </c>
      <c r="D9270" s="4" t="s">
        <v>140</v>
      </c>
      <c r="E9270" s="3" t="s">
        <v>133</v>
      </c>
      <c r="F9270" s="4" t="str">
        <f aca="false">IF(I9270&gt;J9270,"Y","N")</f>
        <v>N</v>
      </c>
      <c r="G9270" s="3" t="s">
        <v>126</v>
      </c>
      <c r="H9270" s="3" t="s">
        <v>16</v>
      </c>
      <c r="I9270" s="4" t="n">
        <v>1</v>
      </c>
      <c r="J9270" s="4" t="n">
        <f aca="false">LEN(E9270)-LEN(SUBSTITUTE(E9270,",",""))+1</f>
        <v>1</v>
      </c>
      <c r="K9270" s="3" t="str">
        <f aca="false">IFERROR(INDEX('Teacher Lookup'!$B$2:$B$200,MATCH(A9270,'Teacher Lookup'!$A$2:$A$200,0)),"")</f>
        <v>CHOI Sabrina</v>
      </c>
    </row>
    <row r="9271" customFormat="false" ht="15" hidden="false" customHeight="false" outlineLevel="0" collapsed="false">
      <c r="A9271" s="3" t="s">
        <v>504</v>
      </c>
      <c r="B9271" s="4" t="s">
        <v>44</v>
      </c>
      <c r="C9271" s="4" t="n">
        <v>2</v>
      </c>
      <c r="D9271" s="4" t="s">
        <v>139</v>
      </c>
      <c r="E9271" s="3" t="s">
        <v>133</v>
      </c>
      <c r="F9271" s="4" t="str">
        <f aca="false">IF(I9271&gt;J9271,"Y","N")</f>
        <v>N</v>
      </c>
      <c r="G9271" s="3" t="s">
        <v>126</v>
      </c>
      <c r="H9271" s="3" t="s">
        <v>21</v>
      </c>
      <c r="I9271" s="4" t="n">
        <v>1</v>
      </c>
      <c r="J9271" s="4" t="n">
        <f aca="false">LEN(E9271)-LEN(SUBSTITUTE(E9271,",",""))+1</f>
        <v>1</v>
      </c>
      <c r="K9271" s="3" t="str">
        <f aca="false">IFERROR(INDEX('Teacher Lookup'!$B$2:$B$200,MATCH(A9271,'Teacher Lookup'!$A$2:$A$200,0)),"")</f>
        <v>CHOI Sabrina</v>
      </c>
    </row>
    <row r="9272" customFormat="false" ht="15" hidden="false" customHeight="false" outlineLevel="0" collapsed="false">
      <c r="A9272" s="3" t="s">
        <v>504</v>
      </c>
      <c r="B9272" s="4" t="s">
        <v>44</v>
      </c>
      <c r="C9272" s="4" t="n">
        <v>3</v>
      </c>
      <c r="D9272" s="4" t="s">
        <v>70</v>
      </c>
      <c r="E9272" s="3" t="s">
        <v>311</v>
      </c>
      <c r="F9272" s="4" t="str">
        <f aca="false">IF(I9272&gt;J9272,"Y","N")</f>
        <v>N</v>
      </c>
      <c r="G9272" s="3" t="s">
        <v>312</v>
      </c>
      <c r="H9272" s="3" t="s">
        <v>26</v>
      </c>
      <c r="I9272" s="4" t="n">
        <v>1</v>
      </c>
      <c r="J9272" s="4" t="n">
        <f aca="false">LEN(E9272)-LEN(SUBSTITUTE(E9272,",",""))+1</f>
        <v>1</v>
      </c>
      <c r="K9272" s="3" t="str">
        <f aca="false">IFERROR(INDEX('Teacher Lookup'!$B$2:$B$200,MATCH(A9272,'Teacher Lookup'!$A$2:$A$200,0)),"")</f>
        <v>CHOI Sabrina</v>
      </c>
    </row>
    <row r="9273" customFormat="false" ht="15" hidden="false" customHeight="false" outlineLevel="0" collapsed="false">
      <c r="A9273" s="3" t="s">
        <v>504</v>
      </c>
      <c r="B9273" s="4" t="s">
        <v>44</v>
      </c>
      <c r="C9273" s="4" t="n">
        <v>4</v>
      </c>
      <c r="D9273" s="4" t="s">
        <v>102</v>
      </c>
      <c r="E9273" s="3" t="s">
        <v>469</v>
      </c>
      <c r="F9273" s="4" t="str">
        <f aca="false">IF(I9273&gt;J9273,"Y","N")</f>
        <v>N</v>
      </c>
      <c r="G9273" s="3" t="s">
        <v>466</v>
      </c>
      <c r="H9273" s="3" t="s">
        <v>34</v>
      </c>
      <c r="I9273" s="4" t="n">
        <v>4</v>
      </c>
      <c r="J9273" s="4" t="n">
        <f aca="false">LEN(E9273)-LEN(SUBSTITUTE(E9273,",",""))+1</f>
        <v>4</v>
      </c>
      <c r="K9273" s="3" t="str">
        <f aca="false">IFERROR(INDEX('Teacher Lookup'!$B$2:$B$200,MATCH(A9273,'Teacher Lookup'!$A$2:$A$200,0)),"")</f>
        <v>CHOI Sabrina</v>
      </c>
    </row>
    <row r="9274" customFormat="false" ht="15" hidden="false" customHeight="false" outlineLevel="0" collapsed="false">
      <c r="A9274" s="3" t="s">
        <v>504</v>
      </c>
      <c r="B9274" s="4" t="s">
        <v>44</v>
      </c>
      <c r="C9274" s="4" t="n">
        <v>4</v>
      </c>
      <c r="D9274" s="4" t="s">
        <v>107</v>
      </c>
      <c r="E9274" s="3" t="s">
        <v>469</v>
      </c>
      <c r="F9274" s="4" t="str">
        <f aca="false">IF(I9274&gt;J9274,"Y","N")</f>
        <v>N</v>
      </c>
      <c r="G9274" s="3" t="s">
        <v>466</v>
      </c>
      <c r="H9274" s="3" t="s">
        <v>34</v>
      </c>
      <c r="I9274" s="4" t="n">
        <v>4</v>
      </c>
      <c r="J9274" s="4" t="n">
        <f aca="false">LEN(E9274)-LEN(SUBSTITUTE(E9274,",",""))+1</f>
        <v>4</v>
      </c>
      <c r="K9274" s="3" t="str">
        <f aca="false">IFERROR(INDEX('Teacher Lookup'!$B$2:$B$200,MATCH(A9274,'Teacher Lookup'!$A$2:$A$200,0)),"")</f>
        <v>CHOI Sabrina</v>
      </c>
    </row>
    <row r="9275" customFormat="false" ht="15" hidden="false" customHeight="false" outlineLevel="0" collapsed="false">
      <c r="A9275" s="3" t="s">
        <v>504</v>
      </c>
      <c r="B9275" s="4" t="s">
        <v>44</v>
      </c>
      <c r="C9275" s="4" t="n">
        <v>5</v>
      </c>
      <c r="D9275" s="4" t="s">
        <v>228</v>
      </c>
      <c r="E9275" s="3" t="s">
        <v>229</v>
      </c>
      <c r="F9275" s="4" t="str">
        <f aca="false">IF(I9275&gt;J9275,"Y","N")</f>
        <v>Y</v>
      </c>
      <c r="G9275" s="3" t="s">
        <v>36</v>
      </c>
      <c r="H9275" s="3" t="s">
        <v>37</v>
      </c>
      <c r="I9275" s="4" t="n">
        <v>14</v>
      </c>
      <c r="J9275" s="4" t="n">
        <f aca="false">LEN(E9275)-LEN(SUBSTITUTE(E9275,",",""))+1</f>
        <v>6</v>
      </c>
      <c r="K9275" s="3" t="str">
        <f aca="false">IFERROR(INDEX('Teacher Lookup'!$B$2:$B$200,MATCH(A9275,'Teacher Lookup'!$A$2:$A$200,0)),"")</f>
        <v>CHOI Sabrina</v>
      </c>
    </row>
    <row r="9276" customFormat="false" ht="15" hidden="false" customHeight="false" outlineLevel="0" collapsed="false">
      <c r="A9276" s="3" t="s">
        <v>504</v>
      </c>
      <c r="B9276" s="4" t="s">
        <v>44</v>
      </c>
      <c r="C9276" s="4" t="n">
        <v>5</v>
      </c>
      <c r="D9276" s="4" t="s">
        <v>102</v>
      </c>
      <c r="E9276" s="3" t="s">
        <v>229</v>
      </c>
      <c r="F9276" s="4" t="str">
        <f aca="false">IF(I9276&gt;J9276,"Y","N")</f>
        <v>Y</v>
      </c>
      <c r="G9276" s="3" t="s">
        <v>36</v>
      </c>
      <c r="H9276" s="3" t="s">
        <v>37</v>
      </c>
      <c r="I9276" s="4" t="n">
        <v>14</v>
      </c>
      <c r="J9276" s="4" t="n">
        <f aca="false">LEN(E9276)-LEN(SUBSTITUTE(E9276,",",""))+1</f>
        <v>6</v>
      </c>
      <c r="K9276" s="3" t="str">
        <f aca="false">IFERROR(INDEX('Teacher Lookup'!$B$2:$B$200,MATCH(A9276,'Teacher Lookup'!$A$2:$A$200,0)),"")</f>
        <v>CHOI Sabrina</v>
      </c>
    </row>
    <row r="9277" customFormat="false" ht="15" hidden="false" customHeight="false" outlineLevel="0" collapsed="false">
      <c r="A9277" s="3" t="s">
        <v>504</v>
      </c>
      <c r="B9277" s="4" t="s">
        <v>44</v>
      </c>
      <c r="C9277" s="4" t="n">
        <v>5</v>
      </c>
      <c r="D9277" s="4" t="s">
        <v>105</v>
      </c>
      <c r="E9277" s="3" t="s">
        <v>229</v>
      </c>
      <c r="F9277" s="4" t="str">
        <f aca="false">IF(I9277&gt;J9277,"Y","N")</f>
        <v>Y</v>
      </c>
      <c r="G9277" s="3" t="s">
        <v>36</v>
      </c>
      <c r="H9277" s="3" t="s">
        <v>37</v>
      </c>
      <c r="I9277" s="4" t="n">
        <v>14</v>
      </c>
      <c r="J9277" s="4" t="n">
        <f aca="false">LEN(E9277)-LEN(SUBSTITUTE(E9277,",",""))+1</f>
        <v>6</v>
      </c>
      <c r="K9277" s="3" t="str">
        <f aca="false">IFERROR(INDEX('Teacher Lookup'!$B$2:$B$200,MATCH(A9277,'Teacher Lookup'!$A$2:$A$200,0)),"")</f>
        <v>CHOI Sabrina</v>
      </c>
    </row>
    <row r="9278" customFormat="false" ht="15" hidden="false" customHeight="false" outlineLevel="0" collapsed="false">
      <c r="A9278" s="3" t="s">
        <v>504</v>
      </c>
      <c r="B9278" s="4" t="s">
        <v>44</v>
      </c>
      <c r="C9278" s="4" t="n">
        <v>5</v>
      </c>
      <c r="D9278" s="4" t="s">
        <v>106</v>
      </c>
      <c r="E9278" s="3" t="s">
        <v>229</v>
      </c>
      <c r="F9278" s="4" t="str">
        <f aca="false">IF(I9278&gt;J9278,"Y","N")</f>
        <v>Y</v>
      </c>
      <c r="G9278" s="3" t="s">
        <v>36</v>
      </c>
      <c r="H9278" s="3" t="s">
        <v>37</v>
      </c>
      <c r="I9278" s="4" t="n">
        <v>14</v>
      </c>
      <c r="J9278" s="4" t="n">
        <f aca="false">LEN(E9278)-LEN(SUBSTITUTE(E9278,",",""))+1</f>
        <v>6</v>
      </c>
      <c r="K9278" s="3" t="str">
        <f aca="false">IFERROR(INDEX('Teacher Lookup'!$B$2:$B$200,MATCH(A9278,'Teacher Lookup'!$A$2:$A$200,0)),"")</f>
        <v>CHOI Sabrina</v>
      </c>
    </row>
    <row r="9279" customFormat="false" ht="15" hidden="false" customHeight="false" outlineLevel="0" collapsed="false">
      <c r="A9279" s="3" t="s">
        <v>504</v>
      </c>
      <c r="B9279" s="4" t="s">
        <v>44</v>
      </c>
      <c r="C9279" s="4" t="n">
        <v>5</v>
      </c>
      <c r="D9279" s="4" t="s">
        <v>107</v>
      </c>
      <c r="E9279" s="3" t="s">
        <v>229</v>
      </c>
      <c r="F9279" s="4" t="str">
        <f aca="false">IF(I9279&gt;J9279,"Y","N")</f>
        <v>Y</v>
      </c>
      <c r="G9279" s="3" t="s">
        <v>36</v>
      </c>
      <c r="H9279" s="3" t="s">
        <v>37</v>
      </c>
      <c r="I9279" s="4" t="n">
        <v>14</v>
      </c>
      <c r="J9279" s="4" t="n">
        <f aca="false">LEN(E9279)-LEN(SUBSTITUTE(E9279,",",""))+1</f>
        <v>6</v>
      </c>
      <c r="K9279" s="3" t="str">
        <f aca="false">IFERROR(INDEX('Teacher Lookup'!$B$2:$B$200,MATCH(A9279,'Teacher Lookup'!$A$2:$A$200,0)),"")</f>
        <v>CHOI Sabrina</v>
      </c>
    </row>
    <row r="9280" customFormat="false" ht="15" hidden="false" customHeight="false" outlineLevel="0" collapsed="false">
      <c r="A9280" s="3" t="s">
        <v>504</v>
      </c>
      <c r="B9280" s="4" t="s">
        <v>47</v>
      </c>
      <c r="C9280" s="4" t="n">
        <v>1</v>
      </c>
      <c r="D9280" s="4" t="s">
        <v>139</v>
      </c>
      <c r="E9280" s="3" t="s">
        <v>133</v>
      </c>
      <c r="F9280" s="4" t="str">
        <f aca="false">IF(I9280&gt;J9280,"Y","N")</f>
        <v>N</v>
      </c>
      <c r="G9280" s="3" t="s">
        <v>126</v>
      </c>
      <c r="H9280" s="3" t="s">
        <v>16</v>
      </c>
      <c r="I9280" s="4" t="n">
        <v>1</v>
      </c>
      <c r="J9280" s="4" t="n">
        <f aca="false">LEN(E9280)-LEN(SUBSTITUTE(E9280,",",""))+1</f>
        <v>1</v>
      </c>
      <c r="K9280" s="3" t="str">
        <f aca="false">IFERROR(INDEX('Teacher Lookup'!$B$2:$B$200,MATCH(A9280,'Teacher Lookup'!$A$2:$A$200,0)),"")</f>
        <v>CHOI Sabrina</v>
      </c>
    </row>
    <row r="9281" customFormat="false" ht="15" hidden="false" customHeight="false" outlineLevel="0" collapsed="false">
      <c r="A9281" s="3" t="s">
        <v>504</v>
      </c>
      <c r="B9281" s="4" t="s">
        <v>47</v>
      </c>
      <c r="C9281" s="4" t="n">
        <v>3</v>
      </c>
      <c r="D9281" s="4" t="s">
        <v>140</v>
      </c>
      <c r="E9281" s="3" t="s">
        <v>133</v>
      </c>
      <c r="F9281" s="4" t="str">
        <f aca="false">IF(I9281&gt;J9281,"Y","N")</f>
        <v>N</v>
      </c>
      <c r="G9281" s="3" t="s">
        <v>126</v>
      </c>
      <c r="H9281" s="3" t="s">
        <v>26</v>
      </c>
      <c r="I9281" s="4" t="n">
        <v>1</v>
      </c>
      <c r="J9281" s="4" t="n">
        <f aca="false">LEN(E9281)-LEN(SUBSTITUTE(E9281,",",""))+1</f>
        <v>1</v>
      </c>
      <c r="K9281" s="3" t="str">
        <f aca="false">IFERROR(INDEX('Teacher Lookup'!$B$2:$B$200,MATCH(A9281,'Teacher Lookup'!$A$2:$A$200,0)),"")</f>
        <v>CHOI Sabrina</v>
      </c>
    </row>
    <row r="9282" customFormat="false" ht="15" hidden="false" customHeight="false" outlineLevel="0" collapsed="false">
      <c r="A9282" s="3" t="s">
        <v>504</v>
      </c>
      <c r="B9282" s="4" t="s">
        <v>50</v>
      </c>
      <c r="C9282" s="4" t="n">
        <v>2</v>
      </c>
      <c r="D9282" s="4" t="s">
        <v>140</v>
      </c>
      <c r="E9282" s="3" t="s">
        <v>133</v>
      </c>
      <c r="F9282" s="4" t="str">
        <f aca="false">IF(I9282&gt;J9282,"Y","N")</f>
        <v>N</v>
      </c>
      <c r="G9282" s="3" t="s">
        <v>126</v>
      </c>
      <c r="H9282" s="3" t="s">
        <v>21</v>
      </c>
      <c r="I9282" s="4" t="n">
        <v>1</v>
      </c>
      <c r="J9282" s="4" t="n">
        <f aca="false">LEN(E9282)-LEN(SUBSTITUTE(E9282,",",""))+1</f>
        <v>1</v>
      </c>
      <c r="K9282" s="3" t="str">
        <f aca="false">IFERROR(INDEX('Teacher Lookup'!$B$2:$B$200,MATCH(A9282,'Teacher Lookup'!$A$2:$A$200,0)),"")</f>
        <v>CHOI Sabrina</v>
      </c>
    </row>
    <row r="9283" customFormat="false" ht="15" hidden="false" customHeight="false" outlineLevel="0" collapsed="false">
      <c r="A9283" s="3" t="s">
        <v>504</v>
      </c>
      <c r="B9283" s="4" t="s">
        <v>50</v>
      </c>
      <c r="C9283" s="4" t="n">
        <v>4</v>
      </c>
      <c r="D9283" s="4" t="s">
        <v>76</v>
      </c>
      <c r="E9283" s="3" t="s">
        <v>113</v>
      </c>
      <c r="F9283" s="4" t="str">
        <f aca="false">IF(I9283&gt;J9283,"Y","N")</f>
        <v>N</v>
      </c>
      <c r="G9283" s="3" t="s">
        <v>312</v>
      </c>
      <c r="H9283" s="3" t="s">
        <v>34</v>
      </c>
      <c r="I9283" s="4" t="n">
        <v>1</v>
      </c>
      <c r="J9283" s="4" t="n">
        <f aca="false">LEN(E9283)-LEN(SUBSTITUTE(E9283,",",""))+1</f>
        <v>1</v>
      </c>
      <c r="K9283" s="3" t="str">
        <f aca="false">IFERROR(INDEX('Teacher Lookup'!$B$2:$B$200,MATCH(A9283,'Teacher Lookup'!$A$2:$A$200,0)),"")</f>
        <v>CHOI Sabrina</v>
      </c>
    </row>
    <row r="9284" customFormat="false" ht="15" hidden="false" customHeight="false" outlineLevel="0" collapsed="false">
      <c r="A9284" s="3" t="s">
        <v>504</v>
      </c>
      <c r="B9284" s="4" t="s">
        <v>50</v>
      </c>
      <c r="C9284" s="4" t="n">
        <v>5</v>
      </c>
      <c r="D9284" s="4" t="s">
        <v>70</v>
      </c>
      <c r="E9284" s="3" t="s">
        <v>108</v>
      </c>
      <c r="F9284" s="4" t="str">
        <f aca="false">IF(I9284&gt;J9284,"Y","N")</f>
        <v>N</v>
      </c>
      <c r="G9284" s="3" t="s">
        <v>312</v>
      </c>
      <c r="H9284" s="3" t="s">
        <v>37</v>
      </c>
      <c r="I9284" s="4" t="n">
        <v>1</v>
      </c>
      <c r="J9284" s="4" t="n">
        <f aca="false">LEN(E9284)-LEN(SUBSTITUTE(E9284,",",""))+1</f>
        <v>1</v>
      </c>
      <c r="K9284" s="3" t="str">
        <f aca="false">IFERROR(INDEX('Teacher Lookup'!$B$2:$B$200,MATCH(A9284,'Teacher Lookup'!$A$2:$A$200,0)),"")</f>
        <v>CHOI Sabrina</v>
      </c>
    </row>
    <row r="9285" customFormat="false" ht="15" hidden="false" customHeight="false" outlineLevel="0" collapsed="false">
      <c r="A9285" s="3" t="s">
        <v>504</v>
      </c>
      <c r="B9285" s="4" t="s">
        <v>50</v>
      </c>
      <c r="C9285" s="4" t="n">
        <v>6</v>
      </c>
      <c r="D9285" s="4" t="s">
        <v>102</v>
      </c>
      <c r="E9285" s="3" t="s">
        <v>470</v>
      </c>
      <c r="F9285" s="4" t="str">
        <f aca="false">IF(I9285&gt;J9285,"Y","N")</f>
        <v>N</v>
      </c>
      <c r="G9285" s="3" t="s">
        <v>466</v>
      </c>
      <c r="H9285" s="3" t="s">
        <v>42</v>
      </c>
      <c r="I9285" s="4" t="n">
        <v>4</v>
      </c>
      <c r="J9285" s="4" t="n">
        <f aca="false">LEN(E9285)-LEN(SUBSTITUTE(E9285,",",""))+1</f>
        <v>4</v>
      </c>
      <c r="K9285" s="3" t="str">
        <f aca="false">IFERROR(INDEX('Teacher Lookup'!$B$2:$B$200,MATCH(A9285,'Teacher Lookup'!$A$2:$A$200,0)),"")</f>
        <v>CHOI Sabrina</v>
      </c>
    </row>
    <row r="9286" customFormat="false" ht="15" hidden="false" customHeight="false" outlineLevel="0" collapsed="false">
      <c r="A9286" s="3" t="s">
        <v>504</v>
      </c>
      <c r="B9286" s="4" t="s">
        <v>50</v>
      </c>
      <c r="C9286" s="4" t="n">
        <v>6</v>
      </c>
      <c r="D9286" s="4" t="s">
        <v>107</v>
      </c>
      <c r="E9286" s="3" t="s">
        <v>470</v>
      </c>
      <c r="F9286" s="4" t="str">
        <f aca="false">IF(I9286&gt;J9286,"Y","N")</f>
        <v>N</v>
      </c>
      <c r="G9286" s="3" t="s">
        <v>466</v>
      </c>
      <c r="H9286" s="3" t="s">
        <v>42</v>
      </c>
      <c r="I9286" s="4" t="n">
        <v>4</v>
      </c>
      <c r="J9286" s="4" t="n">
        <f aca="false">LEN(E9286)-LEN(SUBSTITUTE(E9286,",",""))+1</f>
        <v>4</v>
      </c>
      <c r="K9286" s="3" t="str">
        <f aca="false">IFERROR(INDEX('Teacher Lookup'!$B$2:$B$200,MATCH(A9286,'Teacher Lookup'!$A$2:$A$200,0)),"")</f>
        <v>CHOI Sabrina</v>
      </c>
    </row>
    <row r="9287" customFormat="false" ht="15" hidden="false" customHeight="false" outlineLevel="0" collapsed="false">
      <c r="A9287" s="3" t="s">
        <v>504</v>
      </c>
      <c r="B9287" s="4" t="s">
        <v>50</v>
      </c>
      <c r="C9287" s="4" t="n">
        <v>7</v>
      </c>
      <c r="D9287" s="4" t="s">
        <v>139</v>
      </c>
      <c r="E9287" s="3" t="s">
        <v>133</v>
      </c>
      <c r="F9287" s="4" t="str">
        <f aca="false">IF(I9287&gt;J9287,"Y","N")</f>
        <v>N</v>
      </c>
      <c r="G9287" s="3" t="s">
        <v>126</v>
      </c>
      <c r="H9287" s="3" t="s">
        <v>39</v>
      </c>
      <c r="I9287" s="4" t="n">
        <v>1</v>
      </c>
      <c r="J9287" s="4" t="n">
        <f aca="false">LEN(E9287)-LEN(SUBSTITUTE(E9287,",",""))+1</f>
        <v>1</v>
      </c>
      <c r="K9287" s="3" t="str">
        <f aca="false">IFERROR(INDEX('Teacher Lookup'!$B$2:$B$200,MATCH(A9287,'Teacher Lookup'!$A$2:$A$200,0)),"")</f>
        <v>CHOI Sabrina</v>
      </c>
    </row>
    <row r="9288" customFormat="false" ht="15" hidden="false" customHeight="false" outlineLevel="0" collapsed="false">
      <c r="A9288" s="3" t="s">
        <v>504</v>
      </c>
      <c r="B9288" s="4" t="s">
        <v>60</v>
      </c>
      <c r="C9288" s="4" t="n">
        <v>1</v>
      </c>
      <c r="D9288" s="4" t="s">
        <v>140</v>
      </c>
      <c r="E9288" s="3" t="s">
        <v>125</v>
      </c>
      <c r="F9288" s="4" t="str">
        <f aca="false">IF(I9288&gt;J9288,"Y","N")</f>
        <v>N</v>
      </c>
      <c r="G9288" s="3" t="s">
        <v>126</v>
      </c>
      <c r="H9288" s="3" t="s">
        <v>16</v>
      </c>
      <c r="I9288" s="4" t="n">
        <v>1</v>
      </c>
      <c r="J9288" s="4" t="n">
        <f aca="false">LEN(E9288)-LEN(SUBSTITUTE(E9288,",",""))+1</f>
        <v>1</v>
      </c>
      <c r="K9288" s="3" t="str">
        <f aca="false">IFERROR(INDEX('Teacher Lookup'!$B$2:$B$200,MATCH(A9288,'Teacher Lookup'!$A$2:$A$200,0)),"")</f>
        <v>CHOI Sabrina</v>
      </c>
    </row>
    <row r="9289" customFormat="false" ht="15" hidden="false" customHeight="false" outlineLevel="0" collapsed="false">
      <c r="A9289" s="3" t="s">
        <v>504</v>
      </c>
      <c r="B9289" s="4" t="s">
        <v>60</v>
      </c>
      <c r="C9289" s="4" t="n">
        <v>5</v>
      </c>
      <c r="D9289" s="4" t="s">
        <v>228</v>
      </c>
      <c r="E9289" s="3" t="s">
        <v>229</v>
      </c>
      <c r="F9289" s="4" t="str">
        <f aca="false">IF(I9289&gt;J9289,"Y","N")</f>
        <v>Y</v>
      </c>
      <c r="G9289" s="3" t="s">
        <v>36</v>
      </c>
      <c r="H9289" s="3" t="s">
        <v>37</v>
      </c>
      <c r="I9289" s="4" t="n">
        <v>14</v>
      </c>
      <c r="J9289" s="4" t="n">
        <f aca="false">LEN(E9289)-LEN(SUBSTITUTE(E9289,",",""))+1</f>
        <v>6</v>
      </c>
      <c r="K9289" s="3" t="str">
        <f aca="false">IFERROR(INDEX('Teacher Lookup'!$B$2:$B$200,MATCH(A9289,'Teacher Lookup'!$A$2:$A$200,0)),"")</f>
        <v>CHOI Sabrina</v>
      </c>
    </row>
    <row r="9290" customFormat="false" ht="15" hidden="false" customHeight="false" outlineLevel="0" collapsed="false">
      <c r="A9290" s="3" t="s">
        <v>504</v>
      </c>
      <c r="B9290" s="4" t="s">
        <v>60</v>
      </c>
      <c r="C9290" s="4" t="n">
        <v>5</v>
      </c>
      <c r="D9290" s="4" t="s">
        <v>102</v>
      </c>
      <c r="E9290" s="3" t="s">
        <v>229</v>
      </c>
      <c r="F9290" s="4" t="str">
        <f aca="false">IF(I9290&gt;J9290,"Y","N")</f>
        <v>Y</v>
      </c>
      <c r="G9290" s="3" t="s">
        <v>36</v>
      </c>
      <c r="H9290" s="3" t="s">
        <v>37</v>
      </c>
      <c r="I9290" s="4" t="n">
        <v>14</v>
      </c>
      <c r="J9290" s="4" t="n">
        <f aca="false">LEN(E9290)-LEN(SUBSTITUTE(E9290,",",""))+1</f>
        <v>6</v>
      </c>
      <c r="K9290" s="3" t="str">
        <f aca="false">IFERROR(INDEX('Teacher Lookup'!$B$2:$B$200,MATCH(A9290,'Teacher Lookup'!$A$2:$A$200,0)),"")</f>
        <v>CHOI Sabrina</v>
      </c>
    </row>
    <row r="9291" customFormat="false" ht="15" hidden="false" customHeight="false" outlineLevel="0" collapsed="false">
      <c r="A9291" s="3" t="s">
        <v>504</v>
      </c>
      <c r="B9291" s="4" t="s">
        <v>60</v>
      </c>
      <c r="C9291" s="4" t="n">
        <v>5</v>
      </c>
      <c r="D9291" s="4" t="s">
        <v>105</v>
      </c>
      <c r="E9291" s="3" t="s">
        <v>229</v>
      </c>
      <c r="F9291" s="4" t="str">
        <f aca="false">IF(I9291&gt;J9291,"Y","N")</f>
        <v>Y</v>
      </c>
      <c r="G9291" s="3" t="s">
        <v>36</v>
      </c>
      <c r="H9291" s="3" t="s">
        <v>37</v>
      </c>
      <c r="I9291" s="4" t="n">
        <v>14</v>
      </c>
      <c r="J9291" s="4" t="n">
        <f aca="false">LEN(E9291)-LEN(SUBSTITUTE(E9291,",",""))+1</f>
        <v>6</v>
      </c>
      <c r="K9291" s="3" t="str">
        <f aca="false">IFERROR(INDEX('Teacher Lookup'!$B$2:$B$200,MATCH(A9291,'Teacher Lookup'!$A$2:$A$200,0)),"")</f>
        <v>CHOI Sabrina</v>
      </c>
    </row>
    <row r="9292" customFormat="false" ht="15" hidden="false" customHeight="false" outlineLevel="0" collapsed="false">
      <c r="A9292" s="3" t="s">
        <v>504</v>
      </c>
      <c r="B9292" s="4" t="s">
        <v>60</v>
      </c>
      <c r="C9292" s="4" t="n">
        <v>5</v>
      </c>
      <c r="D9292" s="4" t="s">
        <v>106</v>
      </c>
      <c r="E9292" s="3" t="s">
        <v>229</v>
      </c>
      <c r="F9292" s="4" t="str">
        <f aca="false">IF(I9292&gt;J9292,"Y","N")</f>
        <v>Y</v>
      </c>
      <c r="G9292" s="3" t="s">
        <v>36</v>
      </c>
      <c r="H9292" s="3" t="s">
        <v>37</v>
      </c>
      <c r="I9292" s="4" t="n">
        <v>14</v>
      </c>
      <c r="J9292" s="4" t="n">
        <f aca="false">LEN(E9292)-LEN(SUBSTITUTE(E9292,",",""))+1</f>
        <v>6</v>
      </c>
      <c r="K9292" s="3" t="str">
        <f aca="false">IFERROR(INDEX('Teacher Lookup'!$B$2:$B$200,MATCH(A9292,'Teacher Lookup'!$A$2:$A$200,0)),"")</f>
        <v>CHOI Sabrina</v>
      </c>
    </row>
    <row r="9293" customFormat="false" ht="15" hidden="false" customHeight="false" outlineLevel="0" collapsed="false">
      <c r="A9293" s="3" t="s">
        <v>504</v>
      </c>
      <c r="B9293" s="4" t="s">
        <v>60</v>
      </c>
      <c r="C9293" s="4" t="n">
        <v>5</v>
      </c>
      <c r="D9293" s="4" t="s">
        <v>107</v>
      </c>
      <c r="E9293" s="3" t="s">
        <v>229</v>
      </c>
      <c r="F9293" s="4" t="str">
        <f aca="false">IF(I9293&gt;J9293,"Y","N")</f>
        <v>Y</v>
      </c>
      <c r="G9293" s="3" t="s">
        <v>36</v>
      </c>
      <c r="H9293" s="3" t="s">
        <v>37</v>
      </c>
      <c r="I9293" s="4" t="n">
        <v>14</v>
      </c>
      <c r="J9293" s="4" t="n">
        <f aca="false">LEN(E9293)-LEN(SUBSTITUTE(E9293,",",""))+1</f>
        <v>6</v>
      </c>
      <c r="K9293" s="3" t="str">
        <f aca="false">IFERROR(INDEX('Teacher Lookup'!$B$2:$B$200,MATCH(A9293,'Teacher Lookup'!$A$2:$A$200,0)),"")</f>
        <v>CHOI Sabrina</v>
      </c>
    </row>
    <row r="9294" customFormat="false" ht="15" hidden="false" customHeight="false" outlineLevel="0" collapsed="false">
      <c r="A9294" s="3" t="s">
        <v>504</v>
      </c>
      <c r="B9294" s="4" t="s">
        <v>63</v>
      </c>
      <c r="C9294" s="4" t="n">
        <v>2</v>
      </c>
      <c r="D9294" s="4" t="s">
        <v>139</v>
      </c>
      <c r="E9294" s="3" t="s">
        <v>133</v>
      </c>
      <c r="F9294" s="4" t="str">
        <f aca="false">IF(I9294&gt;J9294,"Y","N")</f>
        <v>N</v>
      </c>
      <c r="G9294" s="3" t="s">
        <v>126</v>
      </c>
      <c r="H9294" s="3" t="s">
        <v>21</v>
      </c>
      <c r="I9294" s="4" t="n">
        <v>1</v>
      </c>
      <c r="J9294" s="4" t="n">
        <f aca="false">LEN(E9294)-LEN(SUBSTITUTE(E9294,",",""))+1</f>
        <v>1</v>
      </c>
      <c r="K9294" s="3" t="str">
        <f aca="false">IFERROR(INDEX('Teacher Lookup'!$B$2:$B$200,MATCH(A9294,'Teacher Lookup'!$A$2:$A$200,0)),"")</f>
        <v>CHOI Sabrina</v>
      </c>
    </row>
    <row r="9295" customFormat="false" ht="15" hidden="false" customHeight="false" outlineLevel="0" collapsed="false">
      <c r="A9295" s="3" t="s">
        <v>504</v>
      </c>
      <c r="B9295" s="4" t="s">
        <v>63</v>
      </c>
      <c r="C9295" s="4" t="n">
        <v>3</v>
      </c>
      <c r="D9295" s="4" t="s">
        <v>102</v>
      </c>
      <c r="E9295" s="3" t="s">
        <v>471</v>
      </c>
      <c r="F9295" s="4" t="str">
        <f aca="false">IF(I9295&gt;J9295,"Y","N")</f>
        <v>N</v>
      </c>
      <c r="G9295" s="3" t="s">
        <v>466</v>
      </c>
      <c r="H9295" s="3" t="s">
        <v>26</v>
      </c>
      <c r="I9295" s="4" t="n">
        <v>4</v>
      </c>
      <c r="J9295" s="4" t="n">
        <f aca="false">LEN(E9295)-LEN(SUBSTITUTE(E9295,",",""))+1</f>
        <v>4</v>
      </c>
      <c r="K9295" s="3" t="str">
        <f aca="false">IFERROR(INDEX('Teacher Lookup'!$B$2:$B$200,MATCH(A9295,'Teacher Lookup'!$A$2:$A$200,0)),"")</f>
        <v>CHOI Sabrina</v>
      </c>
    </row>
    <row r="9296" customFormat="false" ht="15" hidden="false" customHeight="false" outlineLevel="0" collapsed="false">
      <c r="A9296" s="3" t="s">
        <v>504</v>
      </c>
      <c r="B9296" s="4" t="s">
        <v>63</v>
      </c>
      <c r="C9296" s="4" t="n">
        <v>3</v>
      </c>
      <c r="D9296" s="4" t="s">
        <v>107</v>
      </c>
      <c r="E9296" s="3" t="s">
        <v>471</v>
      </c>
      <c r="F9296" s="4" t="str">
        <f aca="false">IF(I9296&gt;J9296,"Y","N")</f>
        <v>N</v>
      </c>
      <c r="G9296" s="3" t="s">
        <v>466</v>
      </c>
      <c r="H9296" s="3" t="s">
        <v>26</v>
      </c>
      <c r="I9296" s="4" t="n">
        <v>4</v>
      </c>
      <c r="J9296" s="4" t="n">
        <f aca="false">LEN(E9296)-LEN(SUBSTITUTE(E9296,",",""))+1</f>
        <v>4</v>
      </c>
      <c r="K9296" s="3" t="str">
        <f aca="false">IFERROR(INDEX('Teacher Lookup'!$B$2:$B$200,MATCH(A9296,'Teacher Lookup'!$A$2:$A$200,0)),"")</f>
        <v>CHOI Sabrina</v>
      </c>
    </row>
    <row r="9297" customFormat="false" ht="15" hidden="false" customHeight="false" outlineLevel="0" collapsed="false">
      <c r="A9297" s="3" t="s">
        <v>504</v>
      </c>
      <c r="B9297" s="4" t="s">
        <v>63</v>
      </c>
      <c r="C9297" s="4" t="n">
        <v>4</v>
      </c>
      <c r="D9297" s="4" t="s">
        <v>140</v>
      </c>
      <c r="E9297" s="3" t="s">
        <v>133</v>
      </c>
      <c r="F9297" s="4" t="str">
        <f aca="false">IF(I9297&gt;J9297,"Y","N")</f>
        <v>N</v>
      </c>
      <c r="G9297" s="3" t="s">
        <v>126</v>
      </c>
      <c r="H9297" s="3" t="s">
        <v>34</v>
      </c>
      <c r="I9297" s="4" t="n">
        <v>1</v>
      </c>
      <c r="J9297" s="4" t="n">
        <f aca="false">LEN(E9297)-LEN(SUBSTITUTE(E9297,",",""))+1</f>
        <v>1</v>
      </c>
      <c r="K9297" s="3" t="str">
        <f aca="false">IFERROR(INDEX('Teacher Lookup'!$B$2:$B$200,MATCH(A9297,'Teacher Lookup'!$A$2:$A$200,0)),"")</f>
        <v>CHOI Sabrina</v>
      </c>
    </row>
    <row r="9298" customFormat="false" ht="15" hidden="false" customHeight="false" outlineLevel="0" collapsed="false">
      <c r="A9298" s="3" t="s">
        <v>504</v>
      </c>
      <c r="B9298" s="4" t="s">
        <v>65</v>
      </c>
      <c r="C9298" s="4" t="n">
        <v>3</v>
      </c>
      <c r="D9298" s="4" t="s">
        <v>102</v>
      </c>
      <c r="E9298" s="3" t="s">
        <v>468</v>
      </c>
      <c r="F9298" s="4" t="str">
        <f aca="false">IF(I9298&gt;J9298,"Y","N")</f>
        <v>N</v>
      </c>
      <c r="G9298" s="3" t="s">
        <v>466</v>
      </c>
      <c r="H9298" s="3" t="s">
        <v>26</v>
      </c>
      <c r="I9298" s="4" t="n">
        <v>4</v>
      </c>
      <c r="J9298" s="4" t="n">
        <f aca="false">LEN(E9298)-LEN(SUBSTITUTE(E9298,",",""))+1</f>
        <v>4</v>
      </c>
      <c r="K9298" s="3" t="str">
        <f aca="false">IFERROR(INDEX('Teacher Lookup'!$B$2:$B$200,MATCH(A9298,'Teacher Lookup'!$A$2:$A$200,0)),"")</f>
        <v>CHOI Sabrina</v>
      </c>
    </row>
    <row r="9299" customFormat="false" ht="15" hidden="false" customHeight="false" outlineLevel="0" collapsed="false">
      <c r="A9299" s="3" t="s">
        <v>504</v>
      </c>
      <c r="B9299" s="4" t="s">
        <v>65</v>
      </c>
      <c r="C9299" s="4" t="n">
        <v>3</v>
      </c>
      <c r="D9299" s="4" t="s">
        <v>107</v>
      </c>
      <c r="E9299" s="3" t="s">
        <v>468</v>
      </c>
      <c r="F9299" s="4" t="str">
        <f aca="false">IF(I9299&gt;J9299,"Y","N")</f>
        <v>N</v>
      </c>
      <c r="G9299" s="3" t="s">
        <v>466</v>
      </c>
      <c r="H9299" s="3" t="s">
        <v>26</v>
      </c>
      <c r="I9299" s="4" t="n">
        <v>4</v>
      </c>
      <c r="J9299" s="4" t="n">
        <f aca="false">LEN(E9299)-LEN(SUBSTITUTE(E9299,",",""))+1</f>
        <v>4</v>
      </c>
      <c r="K9299" s="3" t="str">
        <f aca="false">IFERROR(INDEX('Teacher Lookup'!$B$2:$B$200,MATCH(A9299,'Teacher Lookup'!$A$2:$A$200,0)),"")</f>
        <v>CHOI Sabrina</v>
      </c>
    </row>
    <row r="9300" customFormat="false" ht="15" hidden="false" customHeight="false" outlineLevel="0" collapsed="false">
      <c r="A9300" s="3" t="s">
        <v>504</v>
      </c>
      <c r="B9300" s="4" t="s">
        <v>65</v>
      </c>
      <c r="C9300" s="4" t="n">
        <v>4</v>
      </c>
      <c r="D9300" s="4" t="s">
        <v>139</v>
      </c>
      <c r="E9300" s="3" t="s">
        <v>133</v>
      </c>
      <c r="F9300" s="4" t="str">
        <f aca="false">IF(I9300&gt;J9300,"Y","N")</f>
        <v>N</v>
      </c>
      <c r="G9300" s="3" t="s">
        <v>126</v>
      </c>
      <c r="H9300" s="3" t="s">
        <v>34</v>
      </c>
      <c r="I9300" s="4" t="n">
        <v>1</v>
      </c>
      <c r="J9300" s="4" t="n">
        <f aca="false">LEN(E9300)-LEN(SUBSTITUTE(E9300,",",""))+1</f>
        <v>1</v>
      </c>
      <c r="K9300" s="3" t="str">
        <f aca="false">IFERROR(INDEX('Teacher Lookup'!$B$2:$B$200,MATCH(A9300,'Teacher Lookup'!$A$2:$A$200,0)),"")</f>
        <v>CHOI Sabrina</v>
      </c>
    </row>
    <row r="9301" customFormat="false" ht="15" hidden="false" customHeight="false" outlineLevel="0" collapsed="false">
      <c r="A9301" s="3" t="s">
        <v>504</v>
      </c>
      <c r="B9301" s="4" t="s">
        <v>65</v>
      </c>
      <c r="C9301" s="4" t="n">
        <v>5</v>
      </c>
      <c r="D9301" s="4" t="s">
        <v>228</v>
      </c>
      <c r="E9301" s="3" t="s">
        <v>229</v>
      </c>
      <c r="F9301" s="4" t="str">
        <f aca="false">IF(I9301&gt;J9301,"Y","N")</f>
        <v>Y</v>
      </c>
      <c r="G9301" s="3" t="s">
        <v>36</v>
      </c>
      <c r="H9301" s="3" t="s">
        <v>37</v>
      </c>
      <c r="I9301" s="4" t="n">
        <v>14</v>
      </c>
      <c r="J9301" s="4" t="n">
        <f aca="false">LEN(E9301)-LEN(SUBSTITUTE(E9301,",",""))+1</f>
        <v>6</v>
      </c>
      <c r="K9301" s="3" t="str">
        <f aca="false">IFERROR(INDEX('Teacher Lookup'!$B$2:$B$200,MATCH(A9301,'Teacher Lookup'!$A$2:$A$200,0)),"")</f>
        <v>CHOI Sabrina</v>
      </c>
    </row>
    <row r="9302" customFormat="false" ht="15" hidden="false" customHeight="false" outlineLevel="0" collapsed="false">
      <c r="A9302" s="3" t="s">
        <v>504</v>
      </c>
      <c r="B9302" s="4" t="s">
        <v>65</v>
      </c>
      <c r="C9302" s="4" t="n">
        <v>5</v>
      </c>
      <c r="D9302" s="4" t="s">
        <v>102</v>
      </c>
      <c r="E9302" s="3" t="s">
        <v>229</v>
      </c>
      <c r="F9302" s="4" t="str">
        <f aca="false">IF(I9302&gt;J9302,"Y","N")</f>
        <v>Y</v>
      </c>
      <c r="G9302" s="3" t="s">
        <v>36</v>
      </c>
      <c r="H9302" s="3" t="s">
        <v>37</v>
      </c>
      <c r="I9302" s="4" t="n">
        <v>14</v>
      </c>
      <c r="J9302" s="4" t="n">
        <f aca="false">LEN(E9302)-LEN(SUBSTITUTE(E9302,",",""))+1</f>
        <v>6</v>
      </c>
      <c r="K9302" s="3" t="str">
        <f aca="false">IFERROR(INDEX('Teacher Lookup'!$B$2:$B$200,MATCH(A9302,'Teacher Lookup'!$A$2:$A$200,0)),"")</f>
        <v>CHOI Sabrina</v>
      </c>
    </row>
    <row r="9303" customFormat="false" ht="15" hidden="false" customHeight="false" outlineLevel="0" collapsed="false">
      <c r="A9303" s="3" t="s">
        <v>504</v>
      </c>
      <c r="B9303" s="4" t="s">
        <v>65</v>
      </c>
      <c r="C9303" s="4" t="n">
        <v>5</v>
      </c>
      <c r="D9303" s="4" t="s">
        <v>105</v>
      </c>
      <c r="E9303" s="3" t="s">
        <v>229</v>
      </c>
      <c r="F9303" s="4" t="str">
        <f aca="false">IF(I9303&gt;J9303,"Y","N")</f>
        <v>Y</v>
      </c>
      <c r="G9303" s="3" t="s">
        <v>36</v>
      </c>
      <c r="H9303" s="3" t="s">
        <v>37</v>
      </c>
      <c r="I9303" s="4" t="n">
        <v>14</v>
      </c>
      <c r="J9303" s="4" t="n">
        <f aca="false">LEN(E9303)-LEN(SUBSTITUTE(E9303,",",""))+1</f>
        <v>6</v>
      </c>
      <c r="K9303" s="3" t="str">
        <f aca="false">IFERROR(INDEX('Teacher Lookup'!$B$2:$B$200,MATCH(A9303,'Teacher Lookup'!$A$2:$A$200,0)),"")</f>
        <v>CHOI Sabrina</v>
      </c>
    </row>
    <row r="9304" customFormat="false" ht="15" hidden="false" customHeight="false" outlineLevel="0" collapsed="false">
      <c r="A9304" s="3" t="s">
        <v>504</v>
      </c>
      <c r="B9304" s="4" t="s">
        <v>65</v>
      </c>
      <c r="C9304" s="4" t="n">
        <v>5</v>
      </c>
      <c r="D9304" s="4" t="s">
        <v>106</v>
      </c>
      <c r="E9304" s="3" t="s">
        <v>229</v>
      </c>
      <c r="F9304" s="4" t="str">
        <f aca="false">IF(I9304&gt;J9304,"Y","N")</f>
        <v>Y</v>
      </c>
      <c r="G9304" s="3" t="s">
        <v>36</v>
      </c>
      <c r="H9304" s="3" t="s">
        <v>37</v>
      </c>
      <c r="I9304" s="4" t="n">
        <v>14</v>
      </c>
      <c r="J9304" s="4" t="n">
        <f aca="false">LEN(E9304)-LEN(SUBSTITUTE(E9304,",",""))+1</f>
        <v>6</v>
      </c>
      <c r="K9304" s="3" t="str">
        <f aca="false">IFERROR(INDEX('Teacher Lookup'!$B$2:$B$200,MATCH(A9304,'Teacher Lookup'!$A$2:$A$200,0)),"")</f>
        <v>CHOI Sabrina</v>
      </c>
    </row>
    <row r="9305" customFormat="false" ht="15" hidden="false" customHeight="false" outlineLevel="0" collapsed="false">
      <c r="A9305" s="3" t="s">
        <v>504</v>
      </c>
      <c r="B9305" s="4" t="s">
        <v>65</v>
      </c>
      <c r="C9305" s="4" t="n">
        <v>5</v>
      </c>
      <c r="D9305" s="4" t="s">
        <v>107</v>
      </c>
      <c r="E9305" s="3" t="s">
        <v>229</v>
      </c>
      <c r="F9305" s="4" t="str">
        <f aca="false">IF(I9305&gt;J9305,"Y","N")</f>
        <v>Y</v>
      </c>
      <c r="G9305" s="3" t="s">
        <v>36</v>
      </c>
      <c r="H9305" s="3" t="s">
        <v>37</v>
      </c>
      <c r="I9305" s="4" t="n">
        <v>14</v>
      </c>
      <c r="J9305" s="4" t="n">
        <f aca="false">LEN(E9305)-LEN(SUBSTITUTE(E9305,",",""))+1</f>
        <v>6</v>
      </c>
      <c r="K9305" s="3" t="str">
        <f aca="false">IFERROR(INDEX('Teacher Lookup'!$B$2:$B$200,MATCH(A9305,'Teacher Lookup'!$A$2:$A$200,0)),"")</f>
        <v>CHOI Sabrina</v>
      </c>
    </row>
    <row r="9306" customFormat="false" ht="15" hidden="false" customHeight="false" outlineLevel="0" collapsed="false">
      <c r="A9306" s="3" t="s">
        <v>504</v>
      </c>
      <c r="B9306" s="4" t="s">
        <v>65</v>
      </c>
      <c r="C9306" s="4" t="n">
        <v>6</v>
      </c>
      <c r="D9306" s="4" t="s">
        <v>140</v>
      </c>
      <c r="E9306" s="3" t="s">
        <v>133</v>
      </c>
      <c r="F9306" s="4" t="str">
        <f aca="false">IF(I9306&gt;J9306,"Y","N")</f>
        <v>N</v>
      </c>
      <c r="G9306" s="3" t="s">
        <v>126</v>
      </c>
      <c r="H9306" s="3" t="s">
        <v>42</v>
      </c>
      <c r="I9306" s="4" t="n">
        <v>1</v>
      </c>
      <c r="J9306" s="4" t="n">
        <f aca="false">LEN(E9306)-LEN(SUBSTITUTE(E9306,",",""))+1</f>
        <v>1</v>
      </c>
      <c r="K9306" s="3" t="str">
        <f aca="false">IFERROR(INDEX('Teacher Lookup'!$B$2:$B$200,MATCH(A9306,'Teacher Lookup'!$A$2:$A$200,0)),"")</f>
        <v>CHOI Sabrina</v>
      </c>
    </row>
    <row r="9307" customFormat="false" ht="15" hidden="false" customHeight="false" outlineLevel="0" collapsed="false">
      <c r="A9307" s="3" t="s">
        <v>504</v>
      </c>
      <c r="B9307" s="4" t="s">
        <v>66</v>
      </c>
      <c r="C9307" s="4" t="n">
        <v>3</v>
      </c>
      <c r="D9307" s="4" t="s">
        <v>76</v>
      </c>
      <c r="E9307" s="3" t="s">
        <v>125</v>
      </c>
      <c r="F9307" s="4" t="str">
        <f aca="false">IF(I9307&gt;J9307,"Y","N")</f>
        <v>N</v>
      </c>
      <c r="G9307" s="3" t="s">
        <v>312</v>
      </c>
      <c r="H9307" s="3" t="s">
        <v>26</v>
      </c>
      <c r="I9307" s="4" t="n">
        <v>1</v>
      </c>
      <c r="J9307" s="4" t="n">
        <f aca="false">LEN(E9307)-LEN(SUBSTITUTE(E9307,",",""))+1</f>
        <v>1</v>
      </c>
      <c r="K9307" s="3" t="str">
        <f aca="false">IFERROR(INDEX('Teacher Lookup'!$B$2:$B$200,MATCH(A9307,'Teacher Lookup'!$A$2:$A$200,0)),"")</f>
        <v>CHOI Sabrina</v>
      </c>
    </row>
    <row r="9308" customFormat="false" ht="15" hidden="false" customHeight="false" outlineLevel="0" collapsed="false">
      <c r="A9308" s="3" t="s">
        <v>504</v>
      </c>
      <c r="B9308" s="4" t="s">
        <v>66</v>
      </c>
      <c r="C9308" s="4" t="n">
        <v>4</v>
      </c>
      <c r="D9308" s="4" t="s">
        <v>102</v>
      </c>
      <c r="E9308" s="3" t="s">
        <v>472</v>
      </c>
      <c r="F9308" s="4" t="str">
        <f aca="false">IF(I9308&gt;J9308,"Y","N")</f>
        <v>N</v>
      </c>
      <c r="G9308" s="3" t="s">
        <v>466</v>
      </c>
      <c r="H9308" s="3" t="s">
        <v>34</v>
      </c>
      <c r="I9308" s="4" t="n">
        <v>4</v>
      </c>
      <c r="J9308" s="4" t="n">
        <f aca="false">LEN(E9308)-LEN(SUBSTITUTE(E9308,",",""))+1</f>
        <v>4</v>
      </c>
      <c r="K9308" s="3" t="str">
        <f aca="false">IFERROR(INDEX('Teacher Lookup'!$B$2:$B$200,MATCH(A9308,'Teacher Lookup'!$A$2:$A$200,0)),"")</f>
        <v>CHOI Sabrina</v>
      </c>
    </row>
    <row r="9309" customFormat="false" ht="15" hidden="false" customHeight="false" outlineLevel="0" collapsed="false">
      <c r="A9309" s="3" t="s">
        <v>504</v>
      </c>
      <c r="B9309" s="4" t="s">
        <v>66</v>
      </c>
      <c r="C9309" s="4" t="n">
        <v>4</v>
      </c>
      <c r="D9309" s="4" t="s">
        <v>107</v>
      </c>
      <c r="E9309" s="3" t="s">
        <v>472</v>
      </c>
      <c r="F9309" s="4" t="str">
        <f aca="false">IF(I9309&gt;J9309,"Y","N")</f>
        <v>N</v>
      </c>
      <c r="G9309" s="3" t="s">
        <v>466</v>
      </c>
      <c r="H9309" s="3" t="s">
        <v>34</v>
      </c>
      <c r="I9309" s="4" t="n">
        <v>4</v>
      </c>
      <c r="J9309" s="4" t="n">
        <f aca="false">LEN(E9309)-LEN(SUBSTITUTE(E9309,",",""))+1</f>
        <v>4</v>
      </c>
      <c r="K9309" s="3" t="str">
        <f aca="false">IFERROR(INDEX('Teacher Lookup'!$B$2:$B$200,MATCH(A9309,'Teacher Lookup'!$A$2:$A$200,0)),"")</f>
        <v>CHOI Sabrina</v>
      </c>
    </row>
    <row r="9310" customFormat="false" ht="15" hidden="false" customHeight="false" outlineLevel="0" collapsed="false">
      <c r="A9310" s="3" t="s">
        <v>504</v>
      </c>
      <c r="B9310" s="4" t="s">
        <v>66</v>
      </c>
      <c r="C9310" s="4" t="n">
        <v>5</v>
      </c>
      <c r="D9310" s="4" t="s">
        <v>140</v>
      </c>
      <c r="E9310" s="3" t="s">
        <v>125</v>
      </c>
      <c r="F9310" s="4" t="str">
        <f aca="false">IF(I9310&gt;J9310,"Y","N")</f>
        <v>N</v>
      </c>
      <c r="G9310" s="3" t="s">
        <v>126</v>
      </c>
      <c r="H9310" s="3" t="s">
        <v>37</v>
      </c>
      <c r="I9310" s="4" t="n">
        <v>1</v>
      </c>
      <c r="J9310" s="4" t="n">
        <f aca="false">LEN(E9310)-LEN(SUBSTITUTE(E9310,",",""))+1</f>
        <v>1</v>
      </c>
      <c r="K9310" s="3" t="str">
        <f aca="false">IFERROR(INDEX('Teacher Lookup'!$B$2:$B$200,MATCH(A9310,'Teacher Lookup'!$A$2:$A$200,0)),"")</f>
        <v>CHOI Sabrina</v>
      </c>
    </row>
    <row r="9311" customFormat="false" ht="15" hidden="false" customHeight="false" outlineLevel="0" collapsed="false">
      <c r="A9311" s="3" t="s">
        <v>504</v>
      </c>
      <c r="B9311" s="4" t="s">
        <v>66</v>
      </c>
      <c r="C9311" s="4" t="n">
        <v>6</v>
      </c>
      <c r="D9311" s="4" t="s">
        <v>139</v>
      </c>
      <c r="E9311" s="3" t="s">
        <v>133</v>
      </c>
      <c r="F9311" s="4" t="str">
        <f aca="false">IF(I9311&gt;J9311,"Y","N")</f>
        <v>N</v>
      </c>
      <c r="G9311" s="3" t="s">
        <v>126</v>
      </c>
      <c r="H9311" s="3" t="s">
        <v>42</v>
      </c>
      <c r="I9311" s="4" t="n">
        <v>1</v>
      </c>
      <c r="J9311" s="4" t="n">
        <f aca="false">LEN(E9311)-LEN(SUBSTITUTE(E9311,",",""))+1</f>
        <v>1</v>
      </c>
      <c r="K9311" s="3" t="str">
        <f aca="false">IFERROR(INDEX('Teacher Lookup'!$B$2:$B$200,MATCH(A9311,'Teacher Lookup'!$A$2:$A$200,0)),"")</f>
        <v>CHOI Sabrina</v>
      </c>
    </row>
    <row r="9312" customFormat="false" ht="15" hidden="false" customHeight="false" outlineLevel="0" collapsed="false">
      <c r="A9312" s="3" t="s">
        <v>505</v>
      </c>
      <c r="B9312" s="4" t="s">
        <v>12</v>
      </c>
      <c r="C9312" s="4" t="n">
        <v>1</v>
      </c>
      <c r="D9312" s="4" t="s">
        <v>30</v>
      </c>
      <c r="E9312" s="3" t="s">
        <v>506</v>
      </c>
      <c r="F9312" s="4" t="str">
        <f aca="false">IF(I9312&gt;J9312,"Y","N")</f>
        <v>N</v>
      </c>
      <c r="G9312" s="3" t="s">
        <v>287</v>
      </c>
      <c r="H9312" s="3" t="s">
        <v>16</v>
      </c>
      <c r="I9312" s="4" t="n">
        <v>1</v>
      </c>
      <c r="J9312" s="4" t="n">
        <f aca="false">LEN(E9312)-LEN(SUBSTITUTE(E9312,",",""))+1</f>
        <v>1</v>
      </c>
      <c r="K9312" s="3" t="str">
        <f aca="false">IFERROR(INDEX('Teacher Lookup'!$B$2:$B$200,MATCH(A9312,'Teacher Lookup'!$A$2:$A$200,0)),"")</f>
        <v>YU Sebastian</v>
      </c>
    </row>
    <row r="9313" customFormat="false" ht="15" hidden="false" customHeight="false" outlineLevel="0" collapsed="false">
      <c r="A9313" s="3" t="s">
        <v>505</v>
      </c>
      <c r="B9313" s="4" t="s">
        <v>31</v>
      </c>
      <c r="C9313" s="4" t="n">
        <v>3</v>
      </c>
      <c r="D9313" s="4" t="s">
        <v>59</v>
      </c>
      <c r="E9313" s="3" t="s">
        <v>488</v>
      </c>
      <c r="F9313" s="4" t="str">
        <f aca="false">IF(I9313&gt;J9313,"Y","N")</f>
        <v>N</v>
      </c>
      <c r="G9313" s="3" t="s">
        <v>287</v>
      </c>
      <c r="H9313" s="3" t="s">
        <v>26</v>
      </c>
      <c r="I9313" s="4" t="n">
        <v>1</v>
      </c>
      <c r="J9313" s="4" t="n">
        <f aca="false">LEN(E9313)-LEN(SUBSTITUTE(E9313,",",""))+1</f>
        <v>1</v>
      </c>
      <c r="K9313" s="3" t="str">
        <f aca="false">IFERROR(INDEX('Teacher Lookup'!$B$2:$B$200,MATCH(A9313,'Teacher Lookup'!$A$2:$A$200,0)),"")</f>
        <v>YU Sebastian</v>
      </c>
    </row>
    <row r="9314" customFormat="false" ht="15" hidden="false" customHeight="false" outlineLevel="0" collapsed="false">
      <c r="A9314" s="3" t="s">
        <v>505</v>
      </c>
      <c r="B9314" s="4" t="s">
        <v>31</v>
      </c>
      <c r="C9314" s="4" t="n">
        <v>5</v>
      </c>
      <c r="D9314" s="4" t="s">
        <v>228</v>
      </c>
      <c r="E9314" s="3" t="s">
        <v>229</v>
      </c>
      <c r="F9314" s="4" t="str">
        <f aca="false">IF(I9314&gt;J9314,"Y","N")</f>
        <v>Y</v>
      </c>
      <c r="G9314" s="3" t="s">
        <v>36</v>
      </c>
      <c r="H9314" s="3" t="s">
        <v>37</v>
      </c>
      <c r="I9314" s="4" t="n">
        <v>14</v>
      </c>
      <c r="J9314" s="4" t="n">
        <f aca="false">LEN(E9314)-LEN(SUBSTITUTE(E9314,",",""))+1</f>
        <v>6</v>
      </c>
      <c r="K9314" s="3" t="str">
        <f aca="false">IFERROR(INDEX('Teacher Lookup'!$B$2:$B$200,MATCH(A9314,'Teacher Lookup'!$A$2:$A$200,0)),"")</f>
        <v>YU Sebastian</v>
      </c>
    </row>
    <row r="9315" customFormat="false" ht="15" hidden="false" customHeight="false" outlineLevel="0" collapsed="false">
      <c r="A9315" s="3" t="s">
        <v>505</v>
      </c>
      <c r="B9315" s="4" t="s">
        <v>31</v>
      </c>
      <c r="C9315" s="4" t="n">
        <v>5</v>
      </c>
      <c r="D9315" s="4" t="s">
        <v>102</v>
      </c>
      <c r="E9315" s="3" t="s">
        <v>229</v>
      </c>
      <c r="F9315" s="4" t="str">
        <f aca="false">IF(I9315&gt;J9315,"Y","N")</f>
        <v>Y</v>
      </c>
      <c r="G9315" s="3" t="s">
        <v>36</v>
      </c>
      <c r="H9315" s="3" t="s">
        <v>37</v>
      </c>
      <c r="I9315" s="4" t="n">
        <v>14</v>
      </c>
      <c r="J9315" s="4" t="n">
        <f aca="false">LEN(E9315)-LEN(SUBSTITUTE(E9315,",",""))+1</f>
        <v>6</v>
      </c>
      <c r="K9315" s="3" t="str">
        <f aca="false">IFERROR(INDEX('Teacher Lookup'!$B$2:$B$200,MATCH(A9315,'Teacher Lookup'!$A$2:$A$200,0)),"")</f>
        <v>YU Sebastian</v>
      </c>
    </row>
    <row r="9316" customFormat="false" ht="15" hidden="false" customHeight="false" outlineLevel="0" collapsed="false">
      <c r="A9316" s="3" t="s">
        <v>505</v>
      </c>
      <c r="B9316" s="4" t="s">
        <v>31</v>
      </c>
      <c r="C9316" s="4" t="n">
        <v>5</v>
      </c>
      <c r="D9316" s="4" t="s">
        <v>105</v>
      </c>
      <c r="E9316" s="3" t="s">
        <v>229</v>
      </c>
      <c r="F9316" s="4" t="str">
        <f aca="false">IF(I9316&gt;J9316,"Y","N")</f>
        <v>Y</v>
      </c>
      <c r="G9316" s="3" t="s">
        <v>36</v>
      </c>
      <c r="H9316" s="3" t="s">
        <v>37</v>
      </c>
      <c r="I9316" s="4" t="n">
        <v>14</v>
      </c>
      <c r="J9316" s="4" t="n">
        <f aca="false">LEN(E9316)-LEN(SUBSTITUTE(E9316,",",""))+1</f>
        <v>6</v>
      </c>
      <c r="K9316" s="3" t="str">
        <f aca="false">IFERROR(INDEX('Teacher Lookup'!$B$2:$B$200,MATCH(A9316,'Teacher Lookup'!$A$2:$A$200,0)),"")</f>
        <v>YU Sebastian</v>
      </c>
    </row>
    <row r="9317" customFormat="false" ht="15" hidden="false" customHeight="false" outlineLevel="0" collapsed="false">
      <c r="A9317" s="3" t="s">
        <v>505</v>
      </c>
      <c r="B9317" s="4" t="s">
        <v>31</v>
      </c>
      <c r="C9317" s="4" t="n">
        <v>5</v>
      </c>
      <c r="D9317" s="4" t="s">
        <v>106</v>
      </c>
      <c r="E9317" s="3" t="s">
        <v>229</v>
      </c>
      <c r="F9317" s="4" t="str">
        <f aca="false">IF(I9317&gt;J9317,"Y","N")</f>
        <v>Y</v>
      </c>
      <c r="G9317" s="3" t="s">
        <v>36</v>
      </c>
      <c r="H9317" s="3" t="s">
        <v>37</v>
      </c>
      <c r="I9317" s="4" t="n">
        <v>14</v>
      </c>
      <c r="J9317" s="4" t="n">
        <f aca="false">LEN(E9317)-LEN(SUBSTITUTE(E9317,",",""))+1</f>
        <v>6</v>
      </c>
      <c r="K9317" s="3" t="str">
        <f aca="false">IFERROR(INDEX('Teacher Lookup'!$B$2:$B$200,MATCH(A9317,'Teacher Lookup'!$A$2:$A$200,0)),"")</f>
        <v>YU Sebastian</v>
      </c>
    </row>
    <row r="9318" customFormat="false" ht="15" hidden="false" customHeight="false" outlineLevel="0" collapsed="false">
      <c r="A9318" s="3" t="s">
        <v>505</v>
      </c>
      <c r="B9318" s="4" t="s">
        <v>31</v>
      </c>
      <c r="C9318" s="4" t="n">
        <v>5</v>
      </c>
      <c r="D9318" s="4" t="s">
        <v>107</v>
      </c>
      <c r="E9318" s="3" t="s">
        <v>229</v>
      </c>
      <c r="F9318" s="4" t="str">
        <f aca="false">IF(I9318&gt;J9318,"Y","N")</f>
        <v>Y</v>
      </c>
      <c r="G9318" s="3" t="s">
        <v>36</v>
      </c>
      <c r="H9318" s="3" t="s">
        <v>37</v>
      </c>
      <c r="I9318" s="4" t="n">
        <v>14</v>
      </c>
      <c r="J9318" s="4" t="n">
        <f aca="false">LEN(E9318)-LEN(SUBSTITUTE(E9318,",",""))+1</f>
        <v>6</v>
      </c>
      <c r="K9318" s="3" t="str">
        <f aca="false">IFERROR(INDEX('Teacher Lookup'!$B$2:$B$200,MATCH(A9318,'Teacher Lookup'!$A$2:$A$200,0)),"")</f>
        <v>YU Sebastian</v>
      </c>
    </row>
    <row r="9319" customFormat="false" ht="15" hidden="false" customHeight="false" outlineLevel="0" collapsed="false">
      <c r="A9319" s="3" t="s">
        <v>505</v>
      </c>
      <c r="B9319" s="4" t="s">
        <v>31</v>
      </c>
      <c r="C9319" s="4" t="n">
        <v>6</v>
      </c>
      <c r="D9319" s="4" t="s">
        <v>30</v>
      </c>
      <c r="E9319" s="3" t="s">
        <v>506</v>
      </c>
      <c r="F9319" s="4" t="str">
        <f aca="false">IF(I9319&gt;J9319,"Y","N")</f>
        <v>N</v>
      </c>
      <c r="G9319" s="3" t="s">
        <v>287</v>
      </c>
      <c r="H9319" s="3" t="s">
        <v>42</v>
      </c>
      <c r="I9319" s="4" t="n">
        <v>1</v>
      </c>
      <c r="J9319" s="4" t="n">
        <f aca="false">LEN(E9319)-LEN(SUBSTITUTE(E9319,",",""))+1</f>
        <v>1</v>
      </c>
      <c r="K9319" s="3" t="str">
        <f aca="false">IFERROR(INDEX('Teacher Lookup'!$B$2:$B$200,MATCH(A9319,'Teacher Lookup'!$A$2:$A$200,0)),"")</f>
        <v>YU Sebastian</v>
      </c>
    </row>
    <row r="9320" customFormat="false" ht="15" hidden="false" customHeight="false" outlineLevel="0" collapsed="false">
      <c r="A9320" s="3" t="s">
        <v>505</v>
      </c>
      <c r="B9320" s="4" t="s">
        <v>44</v>
      </c>
      <c r="C9320" s="4" t="n">
        <v>4</v>
      </c>
      <c r="D9320" s="4" t="s">
        <v>105</v>
      </c>
      <c r="E9320" s="3" t="s">
        <v>507</v>
      </c>
      <c r="F9320" s="4" t="str">
        <f aca="false">IF(I9320&gt;J9320,"Y","N")</f>
        <v>N</v>
      </c>
      <c r="G9320" s="3" t="s">
        <v>287</v>
      </c>
      <c r="H9320" s="3" t="s">
        <v>34</v>
      </c>
      <c r="I9320" s="4" t="n">
        <v>1</v>
      </c>
      <c r="J9320" s="4" t="n">
        <f aca="false">LEN(E9320)-LEN(SUBSTITUTE(E9320,",",""))+1</f>
        <v>1</v>
      </c>
      <c r="K9320" s="3" t="str">
        <f aca="false">IFERROR(INDEX('Teacher Lookup'!$B$2:$B$200,MATCH(A9320,'Teacher Lookup'!$A$2:$A$200,0)),"")</f>
        <v>YU Sebastian</v>
      </c>
    </row>
    <row r="9321" customFormat="false" ht="15" hidden="false" customHeight="false" outlineLevel="0" collapsed="false">
      <c r="A9321" s="3" t="s">
        <v>505</v>
      </c>
      <c r="B9321" s="4" t="s">
        <v>44</v>
      </c>
      <c r="C9321" s="4" t="n">
        <v>5</v>
      </c>
      <c r="D9321" s="4" t="s">
        <v>228</v>
      </c>
      <c r="E9321" s="3" t="s">
        <v>229</v>
      </c>
      <c r="F9321" s="4" t="str">
        <f aca="false">IF(I9321&gt;J9321,"Y","N")</f>
        <v>Y</v>
      </c>
      <c r="G9321" s="3" t="s">
        <v>36</v>
      </c>
      <c r="H9321" s="3" t="s">
        <v>37</v>
      </c>
      <c r="I9321" s="4" t="n">
        <v>14</v>
      </c>
      <c r="J9321" s="4" t="n">
        <f aca="false">LEN(E9321)-LEN(SUBSTITUTE(E9321,",",""))+1</f>
        <v>6</v>
      </c>
      <c r="K9321" s="3" t="str">
        <f aca="false">IFERROR(INDEX('Teacher Lookup'!$B$2:$B$200,MATCH(A9321,'Teacher Lookup'!$A$2:$A$200,0)),"")</f>
        <v>YU Sebastian</v>
      </c>
    </row>
    <row r="9322" customFormat="false" ht="15" hidden="false" customHeight="false" outlineLevel="0" collapsed="false">
      <c r="A9322" s="3" t="s">
        <v>505</v>
      </c>
      <c r="B9322" s="4" t="s">
        <v>44</v>
      </c>
      <c r="C9322" s="4" t="n">
        <v>5</v>
      </c>
      <c r="D9322" s="4" t="s">
        <v>102</v>
      </c>
      <c r="E9322" s="3" t="s">
        <v>229</v>
      </c>
      <c r="F9322" s="4" t="str">
        <f aca="false">IF(I9322&gt;J9322,"Y","N")</f>
        <v>Y</v>
      </c>
      <c r="G9322" s="3" t="s">
        <v>36</v>
      </c>
      <c r="H9322" s="3" t="s">
        <v>37</v>
      </c>
      <c r="I9322" s="4" t="n">
        <v>14</v>
      </c>
      <c r="J9322" s="4" t="n">
        <f aca="false">LEN(E9322)-LEN(SUBSTITUTE(E9322,",",""))+1</f>
        <v>6</v>
      </c>
      <c r="K9322" s="3" t="str">
        <f aca="false">IFERROR(INDEX('Teacher Lookup'!$B$2:$B$200,MATCH(A9322,'Teacher Lookup'!$A$2:$A$200,0)),"")</f>
        <v>YU Sebastian</v>
      </c>
    </row>
    <row r="9323" customFormat="false" ht="15" hidden="false" customHeight="false" outlineLevel="0" collapsed="false">
      <c r="A9323" s="3" t="s">
        <v>505</v>
      </c>
      <c r="B9323" s="4" t="s">
        <v>44</v>
      </c>
      <c r="C9323" s="4" t="n">
        <v>5</v>
      </c>
      <c r="D9323" s="4" t="s">
        <v>105</v>
      </c>
      <c r="E9323" s="3" t="s">
        <v>229</v>
      </c>
      <c r="F9323" s="4" t="str">
        <f aca="false">IF(I9323&gt;J9323,"Y","N")</f>
        <v>Y</v>
      </c>
      <c r="G9323" s="3" t="s">
        <v>36</v>
      </c>
      <c r="H9323" s="3" t="s">
        <v>37</v>
      </c>
      <c r="I9323" s="4" t="n">
        <v>14</v>
      </c>
      <c r="J9323" s="4" t="n">
        <f aca="false">LEN(E9323)-LEN(SUBSTITUTE(E9323,",",""))+1</f>
        <v>6</v>
      </c>
      <c r="K9323" s="3" t="str">
        <f aca="false">IFERROR(INDEX('Teacher Lookup'!$B$2:$B$200,MATCH(A9323,'Teacher Lookup'!$A$2:$A$200,0)),"")</f>
        <v>YU Sebastian</v>
      </c>
    </row>
    <row r="9324" customFormat="false" ht="15" hidden="false" customHeight="false" outlineLevel="0" collapsed="false">
      <c r="A9324" s="3" t="s">
        <v>505</v>
      </c>
      <c r="B9324" s="4" t="s">
        <v>44</v>
      </c>
      <c r="C9324" s="4" t="n">
        <v>5</v>
      </c>
      <c r="D9324" s="4" t="s">
        <v>106</v>
      </c>
      <c r="E9324" s="3" t="s">
        <v>229</v>
      </c>
      <c r="F9324" s="4" t="str">
        <f aca="false">IF(I9324&gt;J9324,"Y","N")</f>
        <v>Y</v>
      </c>
      <c r="G9324" s="3" t="s">
        <v>36</v>
      </c>
      <c r="H9324" s="3" t="s">
        <v>37</v>
      </c>
      <c r="I9324" s="4" t="n">
        <v>14</v>
      </c>
      <c r="J9324" s="4" t="n">
        <f aca="false">LEN(E9324)-LEN(SUBSTITUTE(E9324,",",""))+1</f>
        <v>6</v>
      </c>
      <c r="K9324" s="3" t="str">
        <f aca="false">IFERROR(INDEX('Teacher Lookup'!$B$2:$B$200,MATCH(A9324,'Teacher Lookup'!$A$2:$A$200,0)),"")</f>
        <v>YU Sebastian</v>
      </c>
    </row>
    <row r="9325" customFormat="false" ht="15" hidden="false" customHeight="false" outlineLevel="0" collapsed="false">
      <c r="A9325" s="3" t="s">
        <v>505</v>
      </c>
      <c r="B9325" s="4" t="s">
        <v>44</v>
      </c>
      <c r="C9325" s="4" t="n">
        <v>5</v>
      </c>
      <c r="D9325" s="4" t="s">
        <v>107</v>
      </c>
      <c r="E9325" s="3" t="s">
        <v>229</v>
      </c>
      <c r="F9325" s="4" t="str">
        <f aca="false">IF(I9325&gt;J9325,"Y","N")</f>
        <v>Y</v>
      </c>
      <c r="G9325" s="3" t="s">
        <v>36</v>
      </c>
      <c r="H9325" s="3" t="s">
        <v>37</v>
      </c>
      <c r="I9325" s="4" t="n">
        <v>14</v>
      </c>
      <c r="J9325" s="4" t="n">
        <f aca="false">LEN(E9325)-LEN(SUBSTITUTE(E9325,",",""))+1</f>
        <v>6</v>
      </c>
      <c r="K9325" s="3" t="str">
        <f aca="false">IFERROR(INDEX('Teacher Lookup'!$B$2:$B$200,MATCH(A9325,'Teacher Lookup'!$A$2:$A$200,0)),"")</f>
        <v>YU Sebastian</v>
      </c>
    </row>
    <row r="9326" customFormat="false" ht="15" hidden="false" customHeight="false" outlineLevel="0" collapsed="false">
      <c r="A9326" s="3" t="s">
        <v>505</v>
      </c>
      <c r="B9326" s="4" t="s">
        <v>44</v>
      </c>
      <c r="C9326" s="4" t="n">
        <v>6</v>
      </c>
      <c r="D9326" s="4" t="s">
        <v>30</v>
      </c>
      <c r="E9326" s="3" t="s">
        <v>506</v>
      </c>
      <c r="F9326" s="4" t="str">
        <f aca="false">IF(I9326&gt;J9326,"Y","N")</f>
        <v>N</v>
      </c>
      <c r="G9326" s="3" t="s">
        <v>287</v>
      </c>
      <c r="H9326" s="3" t="s">
        <v>42</v>
      </c>
      <c r="I9326" s="4" t="n">
        <v>1</v>
      </c>
      <c r="J9326" s="4" t="n">
        <f aca="false">LEN(E9326)-LEN(SUBSTITUTE(E9326,",",""))+1</f>
        <v>1</v>
      </c>
      <c r="K9326" s="3" t="str">
        <f aca="false">IFERROR(INDEX('Teacher Lookup'!$B$2:$B$200,MATCH(A9326,'Teacher Lookup'!$A$2:$A$200,0)),"")</f>
        <v>YU Sebastian</v>
      </c>
    </row>
    <row r="9327" customFormat="false" ht="15" hidden="false" customHeight="false" outlineLevel="0" collapsed="false">
      <c r="A9327" s="3" t="s">
        <v>505</v>
      </c>
      <c r="B9327" s="4" t="s">
        <v>44</v>
      </c>
      <c r="C9327" s="4" t="n">
        <v>7</v>
      </c>
      <c r="D9327" s="4" t="s">
        <v>102</v>
      </c>
      <c r="E9327" s="3" t="s">
        <v>508</v>
      </c>
      <c r="F9327" s="4" t="str">
        <f aca="false">IF(I9327&gt;J9327,"Y","N")</f>
        <v>N</v>
      </c>
      <c r="G9327" s="3" t="s">
        <v>287</v>
      </c>
      <c r="H9327" s="3" t="s">
        <v>39</v>
      </c>
      <c r="I9327" s="4" t="n">
        <v>1</v>
      </c>
      <c r="J9327" s="4" t="n">
        <f aca="false">LEN(E9327)-LEN(SUBSTITUTE(E9327,",",""))+1</f>
        <v>1</v>
      </c>
      <c r="K9327" s="3" t="str">
        <f aca="false">IFERROR(INDEX('Teacher Lookup'!$B$2:$B$200,MATCH(A9327,'Teacher Lookup'!$A$2:$A$200,0)),"")</f>
        <v>YU Sebastian</v>
      </c>
    </row>
    <row r="9328" customFormat="false" ht="15" hidden="false" customHeight="false" outlineLevel="0" collapsed="false">
      <c r="A9328" s="3" t="s">
        <v>505</v>
      </c>
      <c r="B9328" s="4" t="s">
        <v>47</v>
      </c>
      <c r="C9328" s="4" t="n">
        <v>1</v>
      </c>
      <c r="D9328" s="4" t="s">
        <v>102</v>
      </c>
      <c r="E9328" s="3" t="s">
        <v>508</v>
      </c>
      <c r="F9328" s="4" t="str">
        <f aca="false">IF(I9328&gt;J9328,"Y","N")</f>
        <v>N</v>
      </c>
      <c r="G9328" s="3" t="s">
        <v>287</v>
      </c>
      <c r="H9328" s="3" t="s">
        <v>16</v>
      </c>
      <c r="I9328" s="4" t="n">
        <v>1</v>
      </c>
      <c r="J9328" s="4" t="n">
        <f aca="false">LEN(E9328)-LEN(SUBSTITUTE(E9328,",",""))+1</f>
        <v>1</v>
      </c>
      <c r="K9328" s="3" t="str">
        <f aca="false">IFERROR(INDEX('Teacher Lookup'!$B$2:$B$200,MATCH(A9328,'Teacher Lookup'!$A$2:$A$200,0)),"")</f>
        <v>YU Sebastian</v>
      </c>
    </row>
    <row r="9329" customFormat="false" ht="15" hidden="false" customHeight="false" outlineLevel="0" collapsed="false">
      <c r="A9329" s="3" t="s">
        <v>505</v>
      </c>
      <c r="B9329" s="4" t="s">
        <v>47</v>
      </c>
      <c r="C9329" s="4" t="n">
        <v>2</v>
      </c>
      <c r="D9329" s="4" t="s">
        <v>30</v>
      </c>
      <c r="E9329" s="3" t="s">
        <v>506</v>
      </c>
      <c r="F9329" s="4" t="str">
        <f aca="false">IF(I9329&gt;J9329,"Y","N")</f>
        <v>N</v>
      </c>
      <c r="G9329" s="3" t="s">
        <v>287</v>
      </c>
      <c r="H9329" s="3" t="s">
        <v>21</v>
      </c>
      <c r="I9329" s="4" t="n">
        <v>1</v>
      </c>
      <c r="J9329" s="4" t="n">
        <f aca="false">LEN(E9329)-LEN(SUBSTITUTE(E9329,",",""))+1</f>
        <v>1</v>
      </c>
      <c r="K9329" s="3" t="str">
        <f aca="false">IFERROR(INDEX('Teacher Lookup'!$B$2:$B$200,MATCH(A9329,'Teacher Lookup'!$A$2:$A$200,0)),"")</f>
        <v>YU Sebastian</v>
      </c>
    </row>
    <row r="9330" customFormat="false" ht="15" hidden="false" customHeight="false" outlineLevel="0" collapsed="false">
      <c r="A9330" s="3" t="s">
        <v>505</v>
      </c>
      <c r="B9330" s="4" t="s">
        <v>47</v>
      </c>
      <c r="C9330" s="4" t="n">
        <v>4</v>
      </c>
      <c r="D9330" s="4" t="s">
        <v>59</v>
      </c>
      <c r="E9330" s="3" t="s">
        <v>488</v>
      </c>
      <c r="F9330" s="4" t="str">
        <f aca="false">IF(I9330&gt;J9330,"Y","N")</f>
        <v>N</v>
      </c>
      <c r="G9330" s="3" t="s">
        <v>287</v>
      </c>
      <c r="H9330" s="3" t="s">
        <v>34</v>
      </c>
      <c r="I9330" s="4" t="n">
        <v>1</v>
      </c>
      <c r="J9330" s="4" t="n">
        <f aca="false">LEN(E9330)-LEN(SUBSTITUTE(E9330,",",""))+1</f>
        <v>1</v>
      </c>
      <c r="K9330" s="3" t="str">
        <f aca="false">IFERROR(INDEX('Teacher Lookup'!$B$2:$B$200,MATCH(A9330,'Teacher Lookup'!$A$2:$A$200,0)),"")</f>
        <v>YU Sebastian</v>
      </c>
    </row>
    <row r="9331" customFormat="false" ht="15" hidden="false" customHeight="false" outlineLevel="0" collapsed="false">
      <c r="A9331" s="3" t="s">
        <v>505</v>
      </c>
      <c r="B9331" s="4" t="s">
        <v>50</v>
      </c>
      <c r="C9331" s="4" t="n">
        <v>1</v>
      </c>
      <c r="D9331" s="4" t="s">
        <v>132</v>
      </c>
      <c r="E9331" s="3" t="s">
        <v>293</v>
      </c>
      <c r="F9331" s="4" t="str">
        <f aca="false">IF(I9331&gt;J9331,"Y","N")</f>
        <v>Y</v>
      </c>
      <c r="G9331" s="3" t="s">
        <v>287</v>
      </c>
      <c r="H9331" s="3" t="s">
        <v>16</v>
      </c>
      <c r="I9331" s="4" t="n">
        <v>2</v>
      </c>
      <c r="J9331" s="4" t="n">
        <f aca="false">LEN(E9331)-LEN(SUBSTITUTE(E9331,",",""))+1</f>
        <v>1</v>
      </c>
      <c r="K9331" s="3" t="str">
        <f aca="false">IFERROR(INDEX('Teacher Lookup'!$B$2:$B$200,MATCH(A9331,'Teacher Lookup'!$A$2:$A$200,0)),"")</f>
        <v>YU Sebastian</v>
      </c>
    </row>
    <row r="9332" customFormat="false" ht="15" hidden="false" customHeight="false" outlineLevel="0" collapsed="false">
      <c r="A9332" s="3" t="s">
        <v>505</v>
      </c>
      <c r="B9332" s="4" t="s">
        <v>60</v>
      </c>
      <c r="C9332" s="4" t="n">
        <v>2</v>
      </c>
      <c r="D9332" s="4" t="s">
        <v>105</v>
      </c>
      <c r="E9332" s="3" t="s">
        <v>507</v>
      </c>
      <c r="F9332" s="4" t="str">
        <f aca="false">IF(I9332&gt;J9332,"Y","N")</f>
        <v>N</v>
      </c>
      <c r="G9332" s="3" t="s">
        <v>287</v>
      </c>
      <c r="H9332" s="3" t="s">
        <v>21</v>
      </c>
      <c r="I9332" s="4" t="n">
        <v>1</v>
      </c>
      <c r="J9332" s="4" t="n">
        <f aca="false">LEN(E9332)-LEN(SUBSTITUTE(E9332,",",""))+1</f>
        <v>1</v>
      </c>
      <c r="K9332" s="3" t="str">
        <f aca="false">IFERROR(INDEX('Teacher Lookup'!$B$2:$B$200,MATCH(A9332,'Teacher Lookup'!$A$2:$A$200,0)),"")</f>
        <v>YU Sebastian</v>
      </c>
    </row>
    <row r="9333" customFormat="false" ht="15" hidden="false" customHeight="false" outlineLevel="0" collapsed="false">
      <c r="A9333" s="3" t="s">
        <v>505</v>
      </c>
      <c r="B9333" s="4" t="s">
        <v>60</v>
      </c>
      <c r="C9333" s="4" t="n">
        <v>5</v>
      </c>
      <c r="D9333" s="4" t="s">
        <v>228</v>
      </c>
      <c r="E9333" s="3" t="s">
        <v>229</v>
      </c>
      <c r="F9333" s="4" t="str">
        <f aca="false">IF(I9333&gt;J9333,"Y","N")</f>
        <v>Y</v>
      </c>
      <c r="G9333" s="3" t="s">
        <v>36</v>
      </c>
      <c r="H9333" s="3" t="s">
        <v>37</v>
      </c>
      <c r="I9333" s="4" t="n">
        <v>14</v>
      </c>
      <c r="J9333" s="4" t="n">
        <f aca="false">LEN(E9333)-LEN(SUBSTITUTE(E9333,",",""))+1</f>
        <v>6</v>
      </c>
      <c r="K9333" s="3" t="str">
        <f aca="false">IFERROR(INDEX('Teacher Lookup'!$B$2:$B$200,MATCH(A9333,'Teacher Lookup'!$A$2:$A$200,0)),"")</f>
        <v>YU Sebastian</v>
      </c>
    </row>
    <row r="9334" customFormat="false" ht="15" hidden="false" customHeight="false" outlineLevel="0" collapsed="false">
      <c r="A9334" s="3" t="s">
        <v>505</v>
      </c>
      <c r="B9334" s="4" t="s">
        <v>60</v>
      </c>
      <c r="C9334" s="4" t="n">
        <v>5</v>
      </c>
      <c r="D9334" s="4" t="s">
        <v>102</v>
      </c>
      <c r="E9334" s="3" t="s">
        <v>229</v>
      </c>
      <c r="F9334" s="4" t="str">
        <f aca="false">IF(I9334&gt;J9334,"Y","N")</f>
        <v>Y</v>
      </c>
      <c r="G9334" s="3" t="s">
        <v>36</v>
      </c>
      <c r="H9334" s="3" t="s">
        <v>37</v>
      </c>
      <c r="I9334" s="4" t="n">
        <v>14</v>
      </c>
      <c r="J9334" s="4" t="n">
        <f aca="false">LEN(E9334)-LEN(SUBSTITUTE(E9334,",",""))+1</f>
        <v>6</v>
      </c>
      <c r="K9334" s="3" t="str">
        <f aca="false">IFERROR(INDEX('Teacher Lookup'!$B$2:$B$200,MATCH(A9334,'Teacher Lookup'!$A$2:$A$200,0)),"")</f>
        <v>YU Sebastian</v>
      </c>
    </row>
    <row r="9335" customFormat="false" ht="15" hidden="false" customHeight="false" outlineLevel="0" collapsed="false">
      <c r="A9335" s="3" t="s">
        <v>505</v>
      </c>
      <c r="B9335" s="4" t="s">
        <v>60</v>
      </c>
      <c r="C9335" s="4" t="n">
        <v>5</v>
      </c>
      <c r="D9335" s="4" t="s">
        <v>105</v>
      </c>
      <c r="E9335" s="3" t="s">
        <v>229</v>
      </c>
      <c r="F9335" s="4" t="str">
        <f aca="false">IF(I9335&gt;J9335,"Y","N")</f>
        <v>Y</v>
      </c>
      <c r="G9335" s="3" t="s">
        <v>36</v>
      </c>
      <c r="H9335" s="3" t="s">
        <v>37</v>
      </c>
      <c r="I9335" s="4" t="n">
        <v>14</v>
      </c>
      <c r="J9335" s="4" t="n">
        <f aca="false">LEN(E9335)-LEN(SUBSTITUTE(E9335,",",""))+1</f>
        <v>6</v>
      </c>
      <c r="K9335" s="3" t="str">
        <f aca="false">IFERROR(INDEX('Teacher Lookup'!$B$2:$B$200,MATCH(A9335,'Teacher Lookup'!$A$2:$A$200,0)),"")</f>
        <v>YU Sebastian</v>
      </c>
    </row>
    <row r="9336" customFormat="false" ht="15" hidden="false" customHeight="false" outlineLevel="0" collapsed="false">
      <c r="A9336" s="3" t="s">
        <v>505</v>
      </c>
      <c r="B9336" s="4" t="s">
        <v>60</v>
      </c>
      <c r="C9336" s="4" t="n">
        <v>5</v>
      </c>
      <c r="D9336" s="4" t="s">
        <v>106</v>
      </c>
      <c r="E9336" s="3" t="s">
        <v>229</v>
      </c>
      <c r="F9336" s="4" t="str">
        <f aca="false">IF(I9336&gt;J9336,"Y","N")</f>
        <v>Y</v>
      </c>
      <c r="G9336" s="3" t="s">
        <v>36</v>
      </c>
      <c r="H9336" s="3" t="s">
        <v>37</v>
      </c>
      <c r="I9336" s="4" t="n">
        <v>14</v>
      </c>
      <c r="J9336" s="4" t="n">
        <f aca="false">LEN(E9336)-LEN(SUBSTITUTE(E9336,",",""))+1</f>
        <v>6</v>
      </c>
      <c r="K9336" s="3" t="str">
        <f aca="false">IFERROR(INDEX('Teacher Lookup'!$B$2:$B$200,MATCH(A9336,'Teacher Lookup'!$A$2:$A$200,0)),"")</f>
        <v>YU Sebastian</v>
      </c>
    </row>
    <row r="9337" customFormat="false" ht="15" hidden="false" customHeight="false" outlineLevel="0" collapsed="false">
      <c r="A9337" s="3" t="s">
        <v>505</v>
      </c>
      <c r="B9337" s="4" t="s">
        <v>60</v>
      </c>
      <c r="C9337" s="4" t="n">
        <v>5</v>
      </c>
      <c r="D9337" s="4" t="s">
        <v>107</v>
      </c>
      <c r="E9337" s="3" t="s">
        <v>229</v>
      </c>
      <c r="F9337" s="4" t="str">
        <f aca="false">IF(I9337&gt;J9337,"Y","N")</f>
        <v>Y</v>
      </c>
      <c r="G9337" s="3" t="s">
        <v>36</v>
      </c>
      <c r="H9337" s="3" t="s">
        <v>37</v>
      </c>
      <c r="I9337" s="4" t="n">
        <v>14</v>
      </c>
      <c r="J9337" s="4" t="n">
        <f aca="false">LEN(E9337)-LEN(SUBSTITUTE(E9337,",",""))+1</f>
        <v>6</v>
      </c>
      <c r="K9337" s="3" t="str">
        <f aca="false">IFERROR(INDEX('Teacher Lookup'!$B$2:$B$200,MATCH(A9337,'Teacher Lookup'!$A$2:$A$200,0)),"")</f>
        <v>YU Sebastian</v>
      </c>
    </row>
    <row r="9338" customFormat="false" ht="15" hidden="false" customHeight="false" outlineLevel="0" collapsed="false">
      <c r="A9338" s="3" t="s">
        <v>505</v>
      </c>
      <c r="B9338" s="4" t="s">
        <v>63</v>
      </c>
      <c r="C9338" s="4" t="n">
        <v>2</v>
      </c>
      <c r="D9338" s="4" t="s">
        <v>105</v>
      </c>
      <c r="E9338" s="3" t="s">
        <v>507</v>
      </c>
      <c r="F9338" s="4" t="str">
        <f aca="false">IF(I9338&gt;J9338,"Y","N")</f>
        <v>N</v>
      </c>
      <c r="G9338" s="3" t="s">
        <v>287</v>
      </c>
      <c r="H9338" s="3" t="s">
        <v>21</v>
      </c>
      <c r="I9338" s="4" t="n">
        <v>1</v>
      </c>
      <c r="J9338" s="4" t="n">
        <f aca="false">LEN(E9338)-LEN(SUBSTITUTE(E9338,",",""))+1</f>
        <v>1</v>
      </c>
      <c r="K9338" s="3" t="str">
        <f aca="false">IFERROR(INDEX('Teacher Lookup'!$B$2:$B$200,MATCH(A9338,'Teacher Lookup'!$A$2:$A$200,0)),"")</f>
        <v>YU Sebastian</v>
      </c>
    </row>
    <row r="9339" customFormat="false" ht="15" hidden="false" customHeight="false" outlineLevel="0" collapsed="false">
      <c r="A9339" s="3" t="s">
        <v>505</v>
      </c>
      <c r="B9339" s="4" t="s">
        <v>63</v>
      </c>
      <c r="C9339" s="4" t="n">
        <v>3</v>
      </c>
      <c r="D9339" s="4" t="s">
        <v>59</v>
      </c>
      <c r="E9339" s="3" t="s">
        <v>488</v>
      </c>
      <c r="F9339" s="4" t="str">
        <f aca="false">IF(I9339&gt;J9339,"Y","N")</f>
        <v>N</v>
      </c>
      <c r="G9339" s="3" t="s">
        <v>287</v>
      </c>
      <c r="H9339" s="3" t="s">
        <v>26</v>
      </c>
      <c r="I9339" s="4" t="n">
        <v>1</v>
      </c>
      <c r="J9339" s="4" t="n">
        <f aca="false">LEN(E9339)-LEN(SUBSTITUTE(E9339,",",""))+1</f>
        <v>1</v>
      </c>
      <c r="K9339" s="3" t="str">
        <f aca="false">IFERROR(INDEX('Teacher Lookup'!$B$2:$B$200,MATCH(A9339,'Teacher Lookup'!$A$2:$A$200,0)),"")</f>
        <v>YU Sebastian</v>
      </c>
    </row>
    <row r="9340" customFormat="false" ht="15" hidden="false" customHeight="false" outlineLevel="0" collapsed="false">
      <c r="A9340" s="3" t="s">
        <v>505</v>
      </c>
      <c r="B9340" s="4" t="s">
        <v>63</v>
      </c>
      <c r="C9340" s="4" t="n">
        <v>6</v>
      </c>
      <c r="D9340" s="4" t="s">
        <v>102</v>
      </c>
      <c r="E9340" s="3" t="s">
        <v>508</v>
      </c>
      <c r="F9340" s="4" t="str">
        <f aca="false">IF(I9340&gt;J9340,"Y","N")</f>
        <v>N</v>
      </c>
      <c r="G9340" s="3" t="s">
        <v>287</v>
      </c>
      <c r="H9340" s="3" t="s">
        <v>42</v>
      </c>
      <c r="I9340" s="4" t="n">
        <v>1</v>
      </c>
      <c r="J9340" s="4" t="n">
        <f aca="false">LEN(E9340)-LEN(SUBSTITUTE(E9340,",",""))+1</f>
        <v>1</v>
      </c>
      <c r="K9340" s="3" t="str">
        <f aca="false">IFERROR(INDEX('Teacher Lookup'!$B$2:$B$200,MATCH(A9340,'Teacher Lookup'!$A$2:$A$200,0)),"")</f>
        <v>YU Sebastian</v>
      </c>
    </row>
    <row r="9341" customFormat="false" ht="15" hidden="false" customHeight="false" outlineLevel="0" collapsed="false">
      <c r="A9341" s="3" t="s">
        <v>505</v>
      </c>
      <c r="B9341" s="4" t="s">
        <v>63</v>
      </c>
      <c r="C9341" s="4" t="n">
        <v>7</v>
      </c>
      <c r="D9341" s="4" t="s">
        <v>30</v>
      </c>
      <c r="E9341" s="3" t="s">
        <v>506</v>
      </c>
      <c r="F9341" s="4" t="str">
        <f aca="false">IF(I9341&gt;J9341,"Y","N")</f>
        <v>N</v>
      </c>
      <c r="G9341" s="3" t="s">
        <v>287</v>
      </c>
      <c r="H9341" s="3" t="s">
        <v>39</v>
      </c>
      <c r="I9341" s="4" t="n">
        <v>1</v>
      </c>
      <c r="J9341" s="4" t="n">
        <f aca="false">LEN(E9341)-LEN(SUBSTITUTE(E9341,",",""))+1</f>
        <v>1</v>
      </c>
      <c r="K9341" s="3" t="str">
        <f aca="false">IFERROR(INDEX('Teacher Lookup'!$B$2:$B$200,MATCH(A9341,'Teacher Lookup'!$A$2:$A$200,0)),"")</f>
        <v>YU Sebastian</v>
      </c>
    </row>
    <row r="9342" customFormat="false" ht="15" hidden="false" customHeight="false" outlineLevel="0" collapsed="false">
      <c r="A9342" s="3" t="s">
        <v>505</v>
      </c>
      <c r="B9342" s="4" t="s">
        <v>65</v>
      </c>
      <c r="C9342" s="4" t="n">
        <v>4</v>
      </c>
      <c r="D9342" s="4" t="s">
        <v>132</v>
      </c>
      <c r="E9342" s="3" t="s">
        <v>293</v>
      </c>
      <c r="F9342" s="4" t="str">
        <f aca="false">IF(I9342&gt;J9342,"Y","N")</f>
        <v>Y</v>
      </c>
      <c r="G9342" s="3" t="s">
        <v>287</v>
      </c>
      <c r="H9342" s="3" t="s">
        <v>34</v>
      </c>
      <c r="I9342" s="4" t="n">
        <v>2</v>
      </c>
      <c r="J9342" s="4" t="n">
        <f aca="false">LEN(E9342)-LEN(SUBSTITUTE(E9342,",",""))+1</f>
        <v>1</v>
      </c>
      <c r="K9342" s="3" t="str">
        <f aca="false">IFERROR(INDEX('Teacher Lookup'!$B$2:$B$200,MATCH(A9342,'Teacher Lookup'!$A$2:$A$200,0)),"")</f>
        <v>YU Sebastian</v>
      </c>
    </row>
    <row r="9343" customFormat="false" ht="15" hidden="false" customHeight="false" outlineLevel="0" collapsed="false">
      <c r="A9343" s="3" t="s">
        <v>505</v>
      </c>
      <c r="B9343" s="4" t="s">
        <v>65</v>
      </c>
      <c r="C9343" s="4" t="n">
        <v>5</v>
      </c>
      <c r="D9343" s="4" t="s">
        <v>228</v>
      </c>
      <c r="E9343" s="3" t="s">
        <v>229</v>
      </c>
      <c r="F9343" s="4" t="str">
        <f aca="false">IF(I9343&gt;J9343,"Y","N")</f>
        <v>Y</v>
      </c>
      <c r="G9343" s="3" t="s">
        <v>36</v>
      </c>
      <c r="H9343" s="3" t="s">
        <v>37</v>
      </c>
      <c r="I9343" s="4" t="n">
        <v>14</v>
      </c>
      <c r="J9343" s="4" t="n">
        <f aca="false">LEN(E9343)-LEN(SUBSTITUTE(E9343,",",""))+1</f>
        <v>6</v>
      </c>
      <c r="K9343" s="3" t="str">
        <f aca="false">IFERROR(INDEX('Teacher Lookup'!$B$2:$B$200,MATCH(A9343,'Teacher Lookup'!$A$2:$A$200,0)),"")</f>
        <v>YU Sebastian</v>
      </c>
    </row>
    <row r="9344" customFormat="false" ht="15" hidden="false" customHeight="false" outlineLevel="0" collapsed="false">
      <c r="A9344" s="3" t="s">
        <v>505</v>
      </c>
      <c r="B9344" s="4" t="s">
        <v>65</v>
      </c>
      <c r="C9344" s="4" t="n">
        <v>5</v>
      </c>
      <c r="D9344" s="4" t="s">
        <v>102</v>
      </c>
      <c r="E9344" s="3" t="s">
        <v>229</v>
      </c>
      <c r="F9344" s="4" t="str">
        <f aca="false">IF(I9344&gt;J9344,"Y","N")</f>
        <v>Y</v>
      </c>
      <c r="G9344" s="3" t="s">
        <v>36</v>
      </c>
      <c r="H9344" s="3" t="s">
        <v>37</v>
      </c>
      <c r="I9344" s="4" t="n">
        <v>14</v>
      </c>
      <c r="J9344" s="4" t="n">
        <f aca="false">LEN(E9344)-LEN(SUBSTITUTE(E9344,",",""))+1</f>
        <v>6</v>
      </c>
      <c r="K9344" s="3" t="str">
        <f aca="false">IFERROR(INDEX('Teacher Lookup'!$B$2:$B$200,MATCH(A9344,'Teacher Lookup'!$A$2:$A$200,0)),"")</f>
        <v>YU Sebastian</v>
      </c>
    </row>
    <row r="9345" customFormat="false" ht="15" hidden="false" customHeight="false" outlineLevel="0" collapsed="false">
      <c r="A9345" s="3" t="s">
        <v>505</v>
      </c>
      <c r="B9345" s="4" t="s">
        <v>65</v>
      </c>
      <c r="C9345" s="4" t="n">
        <v>5</v>
      </c>
      <c r="D9345" s="4" t="s">
        <v>105</v>
      </c>
      <c r="E9345" s="3" t="s">
        <v>229</v>
      </c>
      <c r="F9345" s="4" t="str">
        <f aca="false">IF(I9345&gt;J9345,"Y","N")</f>
        <v>Y</v>
      </c>
      <c r="G9345" s="3" t="s">
        <v>36</v>
      </c>
      <c r="H9345" s="3" t="s">
        <v>37</v>
      </c>
      <c r="I9345" s="4" t="n">
        <v>14</v>
      </c>
      <c r="J9345" s="4" t="n">
        <f aca="false">LEN(E9345)-LEN(SUBSTITUTE(E9345,",",""))+1</f>
        <v>6</v>
      </c>
      <c r="K9345" s="3" t="str">
        <f aca="false">IFERROR(INDEX('Teacher Lookup'!$B$2:$B$200,MATCH(A9345,'Teacher Lookup'!$A$2:$A$200,0)),"")</f>
        <v>YU Sebastian</v>
      </c>
    </row>
    <row r="9346" customFormat="false" ht="15" hidden="false" customHeight="false" outlineLevel="0" collapsed="false">
      <c r="A9346" s="3" t="s">
        <v>505</v>
      </c>
      <c r="B9346" s="4" t="s">
        <v>65</v>
      </c>
      <c r="C9346" s="4" t="n">
        <v>5</v>
      </c>
      <c r="D9346" s="4" t="s">
        <v>106</v>
      </c>
      <c r="E9346" s="3" t="s">
        <v>229</v>
      </c>
      <c r="F9346" s="4" t="str">
        <f aca="false">IF(I9346&gt;J9346,"Y","N")</f>
        <v>Y</v>
      </c>
      <c r="G9346" s="3" t="s">
        <v>36</v>
      </c>
      <c r="H9346" s="3" t="s">
        <v>37</v>
      </c>
      <c r="I9346" s="4" t="n">
        <v>14</v>
      </c>
      <c r="J9346" s="4" t="n">
        <f aca="false">LEN(E9346)-LEN(SUBSTITUTE(E9346,",",""))+1</f>
        <v>6</v>
      </c>
      <c r="K9346" s="3" t="str">
        <f aca="false">IFERROR(INDEX('Teacher Lookup'!$B$2:$B$200,MATCH(A9346,'Teacher Lookup'!$A$2:$A$200,0)),"")</f>
        <v>YU Sebastian</v>
      </c>
    </row>
    <row r="9347" customFormat="false" ht="15" hidden="false" customHeight="false" outlineLevel="0" collapsed="false">
      <c r="A9347" s="3" t="s">
        <v>505</v>
      </c>
      <c r="B9347" s="4" t="s">
        <v>65</v>
      </c>
      <c r="C9347" s="4" t="n">
        <v>5</v>
      </c>
      <c r="D9347" s="4" t="s">
        <v>107</v>
      </c>
      <c r="E9347" s="3" t="s">
        <v>229</v>
      </c>
      <c r="F9347" s="4" t="str">
        <f aca="false">IF(I9347&gt;J9347,"Y","N")</f>
        <v>Y</v>
      </c>
      <c r="G9347" s="3" t="s">
        <v>36</v>
      </c>
      <c r="H9347" s="3" t="s">
        <v>37</v>
      </c>
      <c r="I9347" s="4" t="n">
        <v>14</v>
      </c>
      <c r="J9347" s="4" t="n">
        <f aca="false">LEN(E9347)-LEN(SUBSTITUTE(E9347,",",""))+1</f>
        <v>6</v>
      </c>
      <c r="K9347" s="3" t="str">
        <f aca="false">IFERROR(INDEX('Teacher Lookup'!$B$2:$B$200,MATCH(A9347,'Teacher Lookup'!$A$2:$A$200,0)),"")</f>
        <v>YU Sebastian</v>
      </c>
    </row>
    <row r="9348" customFormat="false" ht="15" hidden="false" customHeight="false" outlineLevel="0" collapsed="false">
      <c r="A9348" s="3" t="s">
        <v>505</v>
      </c>
      <c r="B9348" s="4" t="s">
        <v>65</v>
      </c>
      <c r="C9348" s="4" t="n">
        <v>6</v>
      </c>
      <c r="D9348" s="4" t="s">
        <v>105</v>
      </c>
      <c r="E9348" s="3" t="s">
        <v>507</v>
      </c>
      <c r="F9348" s="4" t="str">
        <f aca="false">IF(I9348&gt;J9348,"Y","N")</f>
        <v>N</v>
      </c>
      <c r="G9348" s="3" t="s">
        <v>287</v>
      </c>
      <c r="H9348" s="3" t="s">
        <v>42</v>
      </c>
      <c r="I9348" s="4" t="n">
        <v>1</v>
      </c>
      <c r="J9348" s="4" t="n">
        <f aca="false">LEN(E9348)-LEN(SUBSTITUTE(E9348,",",""))+1</f>
        <v>1</v>
      </c>
      <c r="K9348" s="3" t="str">
        <f aca="false">IFERROR(INDEX('Teacher Lookup'!$B$2:$B$200,MATCH(A9348,'Teacher Lookup'!$A$2:$A$200,0)),"")</f>
        <v>YU Sebastian</v>
      </c>
    </row>
    <row r="9349" customFormat="false" ht="15" hidden="false" customHeight="false" outlineLevel="0" collapsed="false">
      <c r="A9349" s="3" t="s">
        <v>505</v>
      </c>
      <c r="B9349" s="4" t="s">
        <v>65</v>
      </c>
      <c r="C9349" s="4" t="n">
        <v>7</v>
      </c>
      <c r="D9349" s="4" t="s">
        <v>102</v>
      </c>
      <c r="E9349" s="3" t="s">
        <v>508</v>
      </c>
      <c r="F9349" s="4" t="str">
        <f aca="false">IF(I9349&gt;J9349,"Y","N")</f>
        <v>N</v>
      </c>
      <c r="G9349" s="3" t="s">
        <v>287</v>
      </c>
      <c r="H9349" s="3" t="s">
        <v>39</v>
      </c>
      <c r="I9349" s="4" t="n">
        <v>1</v>
      </c>
      <c r="J9349" s="4" t="n">
        <f aca="false">LEN(E9349)-LEN(SUBSTITUTE(E9349,",",""))+1</f>
        <v>1</v>
      </c>
      <c r="K9349" s="3" t="str">
        <f aca="false">IFERROR(INDEX('Teacher Lookup'!$B$2:$B$200,MATCH(A9349,'Teacher Lookup'!$A$2:$A$200,0)),"")</f>
        <v>YU Sebastian</v>
      </c>
    </row>
    <row r="9350" customFormat="false" ht="15" hidden="false" customHeight="false" outlineLevel="0" collapsed="false">
      <c r="A9350" s="3" t="s">
        <v>505</v>
      </c>
      <c r="B9350" s="4" t="s">
        <v>66</v>
      </c>
      <c r="C9350" s="4" t="n">
        <v>3</v>
      </c>
      <c r="D9350" s="4" t="s">
        <v>59</v>
      </c>
      <c r="E9350" s="3" t="s">
        <v>488</v>
      </c>
      <c r="F9350" s="4" t="str">
        <f aca="false">IF(I9350&gt;J9350,"Y","N")</f>
        <v>N</v>
      </c>
      <c r="G9350" s="3" t="s">
        <v>287</v>
      </c>
      <c r="H9350" s="3" t="s">
        <v>26</v>
      </c>
      <c r="I9350" s="4" t="n">
        <v>1</v>
      </c>
      <c r="J9350" s="4" t="n">
        <f aca="false">LEN(E9350)-LEN(SUBSTITUTE(E9350,",",""))+1</f>
        <v>1</v>
      </c>
      <c r="K9350" s="3" t="str">
        <f aca="false">IFERROR(INDEX('Teacher Lookup'!$B$2:$B$200,MATCH(A9350,'Teacher Lookup'!$A$2:$A$200,0)),"")</f>
        <v>YU Sebastian</v>
      </c>
    </row>
    <row r="9351" customFormat="false" ht="15" hidden="false" customHeight="false" outlineLevel="0" collapsed="false">
      <c r="A9351" s="3" t="s">
        <v>509</v>
      </c>
      <c r="B9351" s="4" t="s">
        <v>12</v>
      </c>
      <c r="C9351" s="4" t="n">
        <v>1</v>
      </c>
      <c r="D9351" s="4" t="s">
        <v>142</v>
      </c>
      <c r="E9351" s="3" t="s">
        <v>133</v>
      </c>
      <c r="F9351" s="4" t="str">
        <f aca="false">IF(I9351&gt;J9351,"Y","N")</f>
        <v>N</v>
      </c>
      <c r="G9351" s="3" t="s">
        <v>126</v>
      </c>
      <c r="H9351" s="3" t="s">
        <v>16</v>
      </c>
      <c r="I9351" s="4" t="n">
        <v>1</v>
      </c>
      <c r="J9351" s="4" t="n">
        <f aca="false">LEN(E9351)-LEN(SUBSTITUTE(E9351,",",""))+1</f>
        <v>1</v>
      </c>
      <c r="K9351" s="3" t="str">
        <f aca="false">IFERROR(INDEX('Teacher Lookup'!$B$2:$B$200,MATCH(A9351,'Teacher Lookup'!$A$2:$A$200,0)),"")</f>
        <v>CHAN Sky</v>
      </c>
    </row>
    <row r="9352" customFormat="false" ht="15" hidden="false" customHeight="false" outlineLevel="0" collapsed="false">
      <c r="A9352" s="3" t="s">
        <v>509</v>
      </c>
      <c r="B9352" s="4" t="s">
        <v>12</v>
      </c>
      <c r="C9352" s="4" t="n">
        <v>2</v>
      </c>
      <c r="D9352" s="4" t="s">
        <v>137</v>
      </c>
      <c r="E9352" s="3" t="s">
        <v>133</v>
      </c>
      <c r="F9352" s="4" t="str">
        <f aca="false">IF(I9352&gt;J9352,"Y","N")</f>
        <v>N</v>
      </c>
      <c r="G9352" s="3" t="s">
        <v>126</v>
      </c>
      <c r="H9352" s="3" t="s">
        <v>21</v>
      </c>
      <c r="I9352" s="4" t="n">
        <v>1</v>
      </c>
      <c r="J9352" s="4" t="n">
        <f aca="false">LEN(E9352)-LEN(SUBSTITUTE(E9352,",",""))+1</f>
        <v>1</v>
      </c>
      <c r="K9352" s="3" t="str">
        <f aca="false">IFERROR(INDEX('Teacher Lookup'!$B$2:$B$200,MATCH(A9352,'Teacher Lookup'!$A$2:$A$200,0)),"")</f>
        <v>CHAN Sky</v>
      </c>
    </row>
    <row r="9353" customFormat="false" ht="15" hidden="false" customHeight="false" outlineLevel="0" collapsed="false">
      <c r="A9353" s="3" t="s">
        <v>509</v>
      </c>
      <c r="B9353" s="4" t="s">
        <v>12</v>
      </c>
      <c r="C9353" s="4" t="n">
        <v>3</v>
      </c>
      <c r="D9353" s="4" t="s">
        <v>52</v>
      </c>
      <c r="E9353" s="3" t="s">
        <v>100</v>
      </c>
      <c r="F9353" s="4" t="str">
        <f aca="false">IF(I9353&gt;J9353,"Y","N")</f>
        <v>N</v>
      </c>
      <c r="G9353" s="3" t="s">
        <v>101</v>
      </c>
      <c r="H9353" s="3" t="s">
        <v>26</v>
      </c>
      <c r="I9353" s="4" t="n">
        <v>8</v>
      </c>
      <c r="J9353" s="4" t="n">
        <f aca="false">LEN(E9353)-LEN(SUBSTITUTE(E9353,",",""))+1</f>
        <v>8</v>
      </c>
      <c r="K9353" s="3" t="str">
        <f aca="false">IFERROR(INDEX('Teacher Lookup'!$B$2:$B$200,MATCH(A9353,'Teacher Lookup'!$A$2:$A$200,0)),"")</f>
        <v>CHAN Sky</v>
      </c>
    </row>
    <row r="9354" customFormat="false" ht="15" hidden="false" customHeight="false" outlineLevel="0" collapsed="false">
      <c r="A9354" s="3" t="s">
        <v>509</v>
      </c>
      <c r="B9354" s="4" t="s">
        <v>12</v>
      </c>
      <c r="C9354" s="4" t="n">
        <v>3</v>
      </c>
      <c r="D9354" s="4" t="s">
        <v>55</v>
      </c>
      <c r="E9354" s="3" t="s">
        <v>100</v>
      </c>
      <c r="F9354" s="4" t="str">
        <f aca="false">IF(I9354&gt;J9354,"Y","N")</f>
        <v>N</v>
      </c>
      <c r="G9354" s="3" t="s">
        <v>101</v>
      </c>
      <c r="H9354" s="3" t="s">
        <v>26</v>
      </c>
      <c r="I9354" s="4" t="n">
        <v>8</v>
      </c>
      <c r="J9354" s="4" t="n">
        <f aca="false">LEN(E9354)-LEN(SUBSTITUTE(E9354,",",""))+1</f>
        <v>8</v>
      </c>
      <c r="K9354" s="3" t="str">
        <f aca="false">IFERROR(INDEX('Teacher Lookup'!$B$2:$B$200,MATCH(A9354,'Teacher Lookup'!$A$2:$A$200,0)),"")</f>
        <v>CHAN Sky</v>
      </c>
    </row>
    <row r="9355" customFormat="false" ht="15" hidden="false" customHeight="false" outlineLevel="0" collapsed="false">
      <c r="A9355" s="3" t="s">
        <v>509</v>
      </c>
      <c r="B9355" s="4" t="s">
        <v>12</v>
      </c>
      <c r="C9355" s="4" t="n">
        <v>3</v>
      </c>
      <c r="D9355" s="4" t="s">
        <v>56</v>
      </c>
      <c r="E9355" s="3" t="s">
        <v>100</v>
      </c>
      <c r="F9355" s="4" t="str">
        <f aca="false">IF(I9355&gt;J9355,"Y","N")</f>
        <v>N</v>
      </c>
      <c r="G9355" s="3" t="s">
        <v>101</v>
      </c>
      <c r="H9355" s="3" t="s">
        <v>26</v>
      </c>
      <c r="I9355" s="4" t="n">
        <v>8</v>
      </c>
      <c r="J9355" s="4" t="n">
        <f aca="false">LEN(E9355)-LEN(SUBSTITUTE(E9355,",",""))+1</f>
        <v>8</v>
      </c>
      <c r="K9355" s="3" t="str">
        <f aca="false">IFERROR(INDEX('Teacher Lookup'!$B$2:$B$200,MATCH(A9355,'Teacher Lookup'!$A$2:$A$200,0)),"")</f>
        <v>CHAN Sky</v>
      </c>
    </row>
    <row r="9356" customFormat="false" ht="15" hidden="false" customHeight="false" outlineLevel="0" collapsed="false">
      <c r="A9356" s="3" t="s">
        <v>509</v>
      </c>
      <c r="B9356" s="4" t="s">
        <v>12</v>
      </c>
      <c r="C9356" s="4" t="n">
        <v>3</v>
      </c>
      <c r="D9356" s="4" t="s">
        <v>57</v>
      </c>
      <c r="E9356" s="3" t="s">
        <v>100</v>
      </c>
      <c r="F9356" s="4" t="str">
        <f aca="false">IF(I9356&gt;J9356,"Y","N")</f>
        <v>N</v>
      </c>
      <c r="G9356" s="3" t="s">
        <v>101</v>
      </c>
      <c r="H9356" s="3" t="s">
        <v>26</v>
      </c>
      <c r="I9356" s="4" t="n">
        <v>8</v>
      </c>
      <c r="J9356" s="4" t="n">
        <f aca="false">LEN(E9356)-LEN(SUBSTITUTE(E9356,",",""))+1</f>
        <v>8</v>
      </c>
      <c r="K9356" s="3" t="str">
        <f aca="false">IFERROR(INDEX('Teacher Lookup'!$B$2:$B$200,MATCH(A9356,'Teacher Lookup'!$A$2:$A$200,0)),"")</f>
        <v>CHAN Sky</v>
      </c>
    </row>
    <row r="9357" customFormat="false" ht="15" hidden="false" customHeight="false" outlineLevel="0" collapsed="false">
      <c r="A9357" s="3" t="s">
        <v>509</v>
      </c>
      <c r="B9357" s="4" t="s">
        <v>12</v>
      </c>
      <c r="C9357" s="4" t="n">
        <v>3</v>
      </c>
      <c r="D9357" s="4" t="s">
        <v>58</v>
      </c>
      <c r="E9357" s="3" t="s">
        <v>100</v>
      </c>
      <c r="F9357" s="4" t="str">
        <f aca="false">IF(I9357&gt;J9357,"Y","N")</f>
        <v>N</v>
      </c>
      <c r="G9357" s="3" t="s">
        <v>101</v>
      </c>
      <c r="H9357" s="3" t="s">
        <v>26</v>
      </c>
      <c r="I9357" s="4" t="n">
        <v>8</v>
      </c>
      <c r="J9357" s="4" t="n">
        <f aca="false">LEN(E9357)-LEN(SUBSTITUTE(E9357,",",""))+1</f>
        <v>8</v>
      </c>
      <c r="K9357" s="3" t="str">
        <f aca="false">IFERROR(INDEX('Teacher Lookup'!$B$2:$B$200,MATCH(A9357,'Teacher Lookup'!$A$2:$A$200,0)),"")</f>
        <v>CHAN Sky</v>
      </c>
    </row>
    <row r="9358" customFormat="false" ht="15" hidden="false" customHeight="false" outlineLevel="0" collapsed="false">
      <c r="A9358" s="3" t="s">
        <v>509</v>
      </c>
      <c r="B9358" s="4" t="s">
        <v>12</v>
      </c>
      <c r="C9358" s="4" t="n">
        <v>3</v>
      </c>
      <c r="D9358" s="4" t="s">
        <v>59</v>
      </c>
      <c r="E9358" s="3" t="s">
        <v>100</v>
      </c>
      <c r="F9358" s="4" t="str">
        <f aca="false">IF(I9358&gt;J9358,"Y","N")</f>
        <v>N</v>
      </c>
      <c r="G9358" s="3" t="s">
        <v>101</v>
      </c>
      <c r="H9358" s="3" t="s">
        <v>26</v>
      </c>
      <c r="I9358" s="4" t="n">
        <v>8</v>
      </c>
      <c r="J9358" s="4" t="n">
        <f aca="false">LEN(E9358)-LEN(SUBSTITUTE(E9358,",",""))+1</f>
        <v>8</v>
      </c>
      <c r="K9358" s="3" t="str">
        <f aca="false">IFERROR(INDEX('Teacher Lookup'!$B$2:$B$200,MATCH(A9358,'Teacher Lookup'!$A$2:$A$200,0)),"")</f>
        <v>CHAN Sky</v>
      </c>
    </row>
    <row r="9359" customFormat="false" ht="15" hidden="false" customHeight="false" outlineLevel="0" collapsed="false">
      <c r="A9359" s="3" t="s">
        <v>509</v>
      </c>
      <c r="B9359" s="4" t="s">
        <v>31</v>
      </c>
      <c r="C9359" s="4" t="n">
        <v>1</v>
      </c>
      <c r="D9359" s="4" t="s">
        <v>70</v>
      </c>
      <c r="E9359" s="3" t="s">
        <v>108</v>
      </c>
      <c r="F9359" s="4" t="str">
        <f aca="false">IF(I9359&gt;J9359,"Y","N")</f>
        <v>N</v>
      </c>
      <c r="G9359" s="3" t="s">
        <v>235</v>
      </c>
      <c r="H9359" s="3" t="s">
        <v>16</v>
      </c>
      <c r="I9359" s="4" t="n">
        <v>1</v>
      </c>
      <c r="J9359" s="4" t="n">
        <f aca="false">LEN(E9359)-LEN(SUBSTITUTE(E9359,",",""))+1</f>
        <v>1</v>
      </c>
      <c r="K9359" s="3" t="str">
        <f aca="false">IFERROR(INDEX('Teacher Lookup'!$B$2:$B$200,MATCH(A9359,'Teacher Lookup'!$A$2:$A$200,0)),"")</f>
        <v>CHAN Sky</v>
      </c>
    </row>
    <row r="9360" customFormat="false" ht="15" hidden="false" customHeight="false" outlineLevel="0" collapsed="false">
      <c r="A9360" s="3" t="s">
        <v>509</v>
      </c>
      <c r="B9360" s="4" t="s">
        <v>31</v>
      </c>
      <c r="C9360" s="4" t="n">
        <v>3</v>
      </c>
      <c r="D9360" s="4" t="s">
        <v>137</v>
      </c>
      <c r="E9360" s="3" t="s">
        <v>125</v>
      </c>
      <c r="F9360" s="4" t="str">
        <f aca="false">IF(I9360&gt;J9360,"Y","N")</f>
        <v>N</v>
      </c>
      <c r="G9360" s="3" t="s">
        <v>126</v>
      </c>
      <c r="H9360" s="3" t="s">
        <v>26</v>
      </c>
      <c r="I9360" s="4" t="n">
        <v>1</v>
      </c>
      <c r="J9360" s="4" t="n">
        <f aca="false">LEN(E9360)-LEN(SUBSTITUTE(E9360,",",""))+1</f>
        <v>1</v>
      </c>
      <c r="K9360" s="3" t="str">
        <f aca="false">IFERROR(INDEX('Teacher Lookup'!$B$2:$B$200,MATCH(A9360,'Teacher Lookup'!$A$2:$A$200,0)),"")</f>
        <v>CHAN Sky</v>
      </c>
    </row>
    <row r="9361" customFormat="false" ht="15" hidden="false" customHeight="false" outlineLevel="0" collapsed="false">
      <c r="A9361" s="3" t="s">
        <v>509</v>
      </c>
      <c r="B9361" s="4" t="s">
        <v>31</v>
      </c>
      <c r="C9361" s="4" t="n">
        <v>4</v>
      </c>
      <c r="D9361" s="4" t="s">
        <v>52</v>
      </c>
      <c r="E9361" s="3" t="s">
        <v>111</v>
      </c>
      <c r="F9361" s="4" t="str">
        <f aca="false">IF(I9361&gt;J9361,"Y","N")</f>
        <v>N</v>
      </c>
      <c r="G9361" s="3" t="s">
        <v>101</v>
      </c>
      <c r="H9361" s="3" t="s">
        <v>34</v>
      </c>
      <c r="I9361" s="4" t="n">
        <v>8</v>
      </c>
      <c r="J9361" s="4" t="n">
        <f aca="false">LEN(E9361)-LEN(SUBSTITUTE(E9361,",",""))+1</f>
        <v>8</v>
      </c>
      <c r="K9361" s="3" t="str">
        <f aca="false">IFERROR(INDEX('Teacher Lookup'!$B$2:$B$200,MATCH(A9361,'Teacher Lookup'!$A$2:$A$200,0)),"")</f>
        <v>CHAN Sky</v>
      </c>
    </row>
    <row r="9362" customFormat="false" ht="15" hidden="false" customHeight="false" outlineLevel="0" collapsed="false">
      <c r="A9362" s="3" t="s">
        <v>509</v>
      </c>
      <c r="B9362" s="4" t="s">
        <v>31</v>
      </c>
      <c r="C9362" s="4" t="n">
        <v>4</v>
      </c>
      <c r="D9362" s="4" t="s">
        <v>55</v>
      </c>
      <c r="E9362" s="3" t="s">
        <v>111</v>
      </c>
      <c r="F9362" s="4" t="str">
        <f aca="false">IF(I9362&gt;J9362,"Y","N")</f>
        <v>N</v>
      </c>
      <c r="G9362" s="3" t="s">
        <v>101</v>
      </c>
      <c r="H9362" s="3" t="s">
        <v>34</v>
      </c>
      <c r="I9362" s="4" t="n">
        <v>8</v>
      </c>
      <c r="J9362" s="4" t="n">
        <f aca="false">LEN(E9362)-LEN(SUBSTITUTE(E9362,",",""))+1</f>
        <v>8</v>
      </c>
      <c r="K9362" s="3" t="str">
        <f aca="false">IFERROR(INDEX('Teacher Lookup'!$B$2:$B$200,MATCH(A9362,'Teacher Lookup'!$A$2:$A$200,0)),"")</f>
        <v>CHAN Sky</v>
      </c>
    </row>
    <row r="9363" customFormat="false" ht="15" hidden="false" customHeight="false" outlineLevel="0" collapsed="false">
      <c r="A9363" s="3" t="s">
        <v>509</v>
      </c>
      <c r="B9363" s="4" t="s">
        <v>31</v>
      </c>
      <c r="C9363" s="4" t="n">
        <v>4</v>
      </c>
      <c r="D9363" s="4" t="s">
        <v>56</v>
      </c>
      <c r="E9363" s="3" t="s">
        <v>111</v>
      </c>
      <c r="F9363" s="4" t="str">
        <f aca="false">IF(I9363&gt;J9363,"Y","N")</f>
        <v>N</v>
      </c>
      <c r="G9363" s="3" t="s">
        <v>101</v>
      </c>
      <c r="H9363" s="3" t="s">
        <v>34</v>
      </c>
      <c r="I9363" s="4" t="n">
        <v>8</v>
      </c>
      <c r="J9363" s="4" t="n">
        <f aca="false">LEN(E9363)-LEN(SUBSTITUTE(E9363,",",""))+1</f>
        <v>8</v>
      </c>
      <c r="K9363" s="3" t="str">
        <f aca="false">IFERROR(INDEX('Teacher Lookup'!$B$2:$B$200,MATCH(A9363,'Teacher Lookup'!$A$2:$A$200,0)),"")</f>
        <v>CHAN Sky</v>
      </c>
    </row>
    <row r="9364" customFormat="false" ht="15" hidden="false" customHeight="false" outlineLevel="0" collapsed="false">
      <c r="A9364" s="3" t="s">
        <v>509</v>
      </c>
      <c r="B9364" s="4" t="s">
        <v>31</v>
      </c>
      <c r="C9364" s="4" t="n">
        <v>4</v>
      </c>
      <c r="D9364" s="4" t="s">
        <v>57</v>
      </c>
      <c r="E9364" s="3" t="s">
        <v>111</v>
      </c>
      <c r="F9364" s="4" t="str">
        <f aca="false">IF(I9364&gt;J9364,"Y","N")</f>
        <v>N</v>
      </c>
      <c r="G9364" s="3" t="s">
        <v>101</v>
      </c>
      <c r="H9364" s="3" t="s">
        <v>34</v>
      </c>
      <c r="I9364" s="4" t="n">
        <v>8</v>
      </c>
      <c r="J9364" s="4" t="n">
        <f aca="false">LEN(E9364)-LEN(SUBSTITUTE(E9364,",",""))+1</f>
        <v>8</v>
      </c>
      <c r="K9364" s="3" t="str">
        <f aca="false">IFERROR(INDEX('Teacher Lookup'!$B$2:$B$200,MATCH(A9364,'Teacher Lookup'!$A$2:$A$200,0)),"")</f>
        <v>CHAN Sky</v>
      </c>
    </row>
    <row r="9365" customFormat="false" ht="15" hidden="false" customHeight="false" outlineLevel="0" collapsed="false">
      <c r="A9365" s="3" t="s">
        <v>509</v>
      </c>
      <c r="B9365" s="4" t="s">
        <v>31</v>
      </c>
      <c r="C9365" s="4" t="n">
        <v>4</v>
      </c>
      <c r="D9365" s="4" t="s">
        <v>58</v>
      </c>
      <c r="E9365" s="3" t="s">
        <v>111</v>
      </c>
      <c r="F9365" s="4" t="str">
        <f aca="false">IF(I9365&gt;J9365,"Y","N")</f>
        <v>N</v>
      </c>
      <c r="G9365" s="3" t="s">
        <v>101</v>
      </c>
      <c r="H9365" s="3" t="s">
        <v>34</v>
      </c>
      <c r="I9365" s="4" t="n">
        <v>8</v>
      </c>
      <c r="J9365" s="4" t="n">
        <f aca="false">LEN(E9365)-LEN(SUBSTITUTE(E9365,",",""))+1</f>
        <v>8</v>
      </c>
      <c r="K9365" s="3" t="str">
        <f aca="false">IFERROR(INDEX('Teacher Lookup'!$B$2:$B$200,MATCH(A9365,'Teacher Lookup'!$A$2:$A$200,0)),"")</f>
        <v>CHAN Sky</v>
      </c>
    </row>
    <row r="9366" customFormat="false" ht="15" hidden="false" customHeight="false" outlineLevel="0" collapsed="false">
      <c r="A9366" s="3" t="s">
        <v>509</v>
      </c>
      <c r="B9366" s="4" t="s">
        <v>31</v>
      </c>
      <c r="C9366" s="4" t="n">
        <v>4</v>
      </c>
      <c r="D9366" s="4" t="s">
        <v>59</v>
      </c>
      <c r="E9366" s="3" t="s">
        <v>111</v>
      </c>
      <c r="F9366" s="4" t="str">
        <f aca="false">IF(I9366&gt;J9366,"Y","N")</f>
        <v>N</v>
      </c>
      <c r="G9366" s="3" t="s">
        <v>101</v>
      </c>
      <c r="H9366" s="3" t="s">
        <v>34</v>
      </c>
      <c r="I9366" s="4" t="n">
        <v>8</v>
      </c>
      <c r="J9366" s="4" t="n">
        <f aca="false">LEN(E9366)-LEN(SUBSTITUTE(E9366,",",""))+1</f>
        <v>8</v>
      </c>
      <c r="K9366" s="3" t="str">
        <f aca="false">IFERROR(INDEX('Teacher Lookup'!$B$2:$B$200,MATCH(A9366,'Teacher Lookup'!$A$2:$A$200,0)),"")</f>
        <v>CHAN Sky</v>
      </c>
    </row>
    <row r="9367" customFormat="false" ht="15" hidden="false" customHeight="false" outlineLevel="0" collapsed="false">
      <c r="A9367" s="3" t="s">
        <v>509</v>
      </c>
      <c r="B9367" s="4" t="s">
        <v>31</v>
      </c>
      <c r="C9367" s="4" t="n">
        <v>5</v>
      </c>
      <c r="D9367" s="4" t="s">
        <v>137</v>
      </c>
      <c r="E9367" s="3" t="s">
        <v>185</v>
      </c>
      <c r="F9367" s="4" t="str">
        <f aca="false">IF(I9367&gt;J9367,"Y","N")</f>
        <v>Y</v>
      </c>
      <c r="G9367" s="3" t="s">
        <v>36</v>
      </c>
      <c r="H9367" s="3" t="s">
        <v>37</v>
      </c>
      <c r="I9367" s="4" t="n">
        <v>21</v>
      </c>
      <c r="J9367" s="4" t="n">
        <f aca="false">LEN(E9367)-LEN(SUBSTITUTE(E9367,",",""))+1</f>
        <v>7</v>
      </c>
      <c r="K9367" s="3" t="str">
        <f aca="false">IFERROR(INDEX('Teacher Lookup'!$B$2:$B$200,MATCH(A9367,'Teacher Lookup'!$A$2:$A$200,0)),"")</f>
        <v>CHAN Sky</v>
      </c>
    </row>
    <row r="9368" customFormat="false" ht="15" hidden="false" customHeight="false" outlineLevel="0" collapsed="false">
      <c r="A9368" s="3" t="s">
        <v>509</v>
      </c>
      <c r="B9368" s="4" t="s">
        <v>31</v>
      </c>
      <c r="C9368" s="4" t="n">
        <v>5</v>
      </c>
      <c r="D9368" s="4" t="s">
        <v>124</v>
      </c>
      <c r="E9368" s="3" t="s">
        <v>185</v>
      </c>
      <c r="F9368" s="4" t="str">
        <f aca="false">IF(I9368&gt;J9368,"Y","N")</f>
        <v>Y</v>
      </c>
      <c r="G9368" s="3" t="s">
        <v>36</v>
      </c>
      <c r="H9368" s="3" t="s">
        <v>37</v>
      </c>
      <c r="I9368" s="4" t="n">
        <v>21</v>
      </c>
      <c r="J9368" s="4" t="n">
        <f aca="false">LEN(E9368)-LEN(SUBSTITUTE(E9368,",",""))+1</f>
        <v>7</v>
      </c>
      <c r="K9368" s="3" t="str">
        <f aca="false">IFERROR(INDEX('Teacher Lookup'!$B$2:$B$200,MATCH(A9368,'Teacher Lookup'!$A$2:$A$200,0)),"")</f>
        <v>CHAN Sky</v>
      </c>
    </row>
    <row r="9369" customFormat="false" ht="15" hidden="false" customHeight="false" outlineLevel="0" collapsed="false">
      <c r="A9369" s="3" t="s">
        <v>509</v>
      </c>
      <c r="B9369" s="4" t="s">
        <v>31</v>
      </c>
      <c r="C9369" s="4" t="n">
        <v>5</v>
      </c>
      <c r="D9369" s="4" t="s">
        <v>139</v>
      </c>
      <c r="E9369" s="3" t="s">
        <v>185</v>
      </c>
      <c r="F9369" s="4" t="str">
        <f aca="false">IF(I9369&gt;J9369,"Y","N")</f>
        <v>Y</v>
      </c>
      <c r="G9369" s="3" t="s">
        <v>36</v>
      </c>
      <c r="H9369" s="3" t="s">
        <v>37</v>
      </c>
      <c r="I9369" s="4" t="n">
        <v>21</v>
      </c>
      <c r="J9369" s="4" t="n">
        <f aca="false">LEN(E9369)-LEN(SUBSTITUTE(E9369,",",""))+1</f>
        <v>7</v>
      </c>
      <c r="K9369" s="3" t="str">
        <f aca="false">IFERROR(INDEX('Teacher Lookup'!$B$2:$B$200,MATCH(A9369,'Teacher Lookup'!$A$2:$A$200,0)),"")</f>
        <v>CHAN Sky</v>
      </c>
    </row>
    <row r="9370" customFormat="false" ht="15" hidden="false" customHeight="false" outlineLevel="0" collapsed="false">
      <c r="A9370" s="3" t="s">
        <v>509</v>
      </c>
      <c r="B9370" s="4" t="s">
        <v>31</v>
      </c>
      <c r="C9370" s="4" t="n">
        <v>5</v>
      </c>
      <c r="D9370" s="4" t="s">
        <v>140</v>
      </c>
      <c r="E9370" s="3" t="s">
        <v>185</v>
      </c>
      <c r="F9370" s="4" t="str">
        <f aca="false">IF(I9370&gt;J9370,"Y","N")</f>
        <v>Y</v>
      </c>
      <c r="G9370" s="3" t="s">
        <v>36</v>
      </c>
      <c r="H9370" s="3" t="s">
        <v>37</v>
      </c>
      <c r="I9370" s="4" t="n">
        <v>21</v>
      </c>
      <c r="J9370" s="4" t="n">
        <f aca="false">LEN(E9370)-LEN(SUBSTITUTE(E9370,",",""))+1</f>
        <v>7</v>
      </c>
      <c r="K9370" s="3" t="str">
        <f aca="false">IFERROR(INDEX('Teacher Lookup'!$B$2:$B$200,MATCH(A9370,'Teacher Lookup'!$A$2:$A$200,0)),"")</f>
        <v>CHAN Sky</v>
      </c>
    </row>
    <row r="9371" customFormat="false" ht="15" hidden="false" customHeight="false" outlineLevel="0" collapsed="false">
      <c r="A9371" s="3" t="s">
        <v>509</v>
      </c>
      <c r="B9371" s="4" t="s">
        <v>31</v>
      </c>
      <c r="C9371" s="4" t="n">
        <v>5</v>
      </c>
      <c r="D9371" s="4" t="s">
        <v>142</v>
      </c>
      <c r="E9371" s="3" t="s">
        <v>185</v>
      </c>
      <c r="F9371" s="4" t="str">
        <f aca="false">IF(I9371&gt;J9371,"Y","N")</f>
        <v>Y</v>
      </c>
      <c r="G9371" s="3" t="s">
        <v>36</v>
      </c>
      <c r="H9371" s="3" t="s">
        <v>37</v>
      </c>
      <c r="I9371" s="4" t="n">
        <v>21</v>
      </c>
      <c r="J9371" s="4" t="n">
        <f aca="false">LEN(E9371)-LEN(SUBSTITUTE(E9371,",",""))+1</f>
        <v>7</v>
      </c>
      <c r="K9371" s="3" t="str">
        <f aca="false">IFERROR(INDEX('Teacher Lookup'!$B$2:$B$200,MATCH(A9371,'Teacher Lookup'!$A$2:$A$200,0)),"")</f>
        <v>CHAN Sky</v>
      </c>
    </row>
    <row r="9372" customFormat="false" ht="15" hidden="false" customHeight="false" outlineLevel="0" collapsed="false">
      <c r="A9372" s="3" t="s">
        <v>509</v>
      </c>
      <c r="B9372" s="4" t="s">
        <v>31</v>
      </c>
      <c r="C9372" s="4" t="n">
        <v>5</v>
      </c>
      <c r="D9372" s="4" t="s">
        <v>127</v>
      </c>
      <c r="E9372" s="3" t="s">
        <v>185</v>
      </c>
      <c r="F9372" s="4" t="str">
        <f aca="false">IF(I9372&gt;J9372,"Y","N")</f>
        <v>Y</v>
      </c>
      <c r="G9372" s="3" t="s">
        <v>36</v>
      </c>
      <c r="H9372" s="3" t="s">
        <v>37</v>
      </c>
      <c r="I9372" s="4" t="n">
        <v>21</v>
      </c>
      <c r="J9372" s="4" t="n">
        <f aca="false">LEN(E9372)-LEN(SUBSTITUTE(E9372,",",""))+1</f>
        <v>7</v>
      </c>
      <c r="K9372" s="3" t="str">
        <f aca="false">IFERROR(INDEX('Teacher Lookup'!$B$2:$B$200,MATCH(A9372,'Teacher Lookup'!$A$2:$A$200,0)),"")</f>
        <v>CHAN Sky</v>
      </c>
    </row>
    <row r="9373" customFormat="false" ht="15" hidden="false" customHeight="false" outlineLevel="0" collapsed="false">
      <c r="A9373" s="3" t="s">
        <v>509</v>
      </c>
      <c r="B9373" s="4" t="s">
        <v>31</v>
      </c>
      <c r="C9373" s="4" t="n">
        <v>6</v>
      </c>
      <c r="D9373" s="4" t="s">
        <v>142</v>
      </c>
      <c r="E9373" s="3" t="s">
        <v>125</v>
      </c>
      <c r="F9373" s="4" t="str">
        <f aca="false">IF(I9373&gt;J9373,"Y","N")</f>
        <v>N</v>
      </c>
      <c r="G9373" s="3" t="s">
        <v>126</v>
      </c>
      <c r="H9373" s="3" t="s">
        <v>42</v>
      </c>
      <c r="I9373" s="4" t="n">
        <v>1</v>
      </c>
      <c r="J9373" s="4" t="n">
        <f aca="false">LEN(E9373)-LEN(SUBSTITUTE(E9373,",",""))+1</f>
        <v>1</v>
      </c>
      <c r="K9373" s="3" t="str">
        <f aca="false">IFERROR(INDEX('Teacher Lookup'!$B$2:$B$200,MATCH(A9373,'Teacher Lookup'!$A$2:$A$200,0)),"")</f>
        <v>CHAN Sky</v>
      </c>
    </row>
    <row r="9374" customFormat="false" ht="15" hidden="false" customHeight="false" outlineLevel="0" collapsed="false">
      <c r="A9374" s="3" t="s">
        <v>509</v>
      </c>
      <c r="B9374" s="4" t="s">
        <v>31</v>
      </c>
      <c r="C9374" s="4" t="n">
        <v>7</v>
      </c>
      <c r="D9374" s="4" t="s">
        <v>78</v>
      </c>
      <c r="E9374" s="3" t="s">
        <v>125</v>
      </c>
      <c r="F9374" s="4" t="str">
        <f aca="false">IF(I9374&gt;J9374,"Y","N")</f>
        <v>N</v>
      </c>
      <c r="G9374" s="3" t="s">
        <v>235</v>
      </c>
      <c r="H9374" s="3" t="s">
        <v>39</v>
      </c>
      <c r="I9374" s="4" t="n">
        <v>1</v>
      </c>
      <c r="J9374" s="4" t="n">
        <f aca="false">LEN(E9374)-LEN(SUBSTITUTE(E9374,",",""))+1</f>
        <v>1</v>
      </c>
      <c r="K9374" s="3" t="str">
        <f aca="false">IFERROR(INDEX('Teacher Lookup'!$B$2:$B$200,MATCH(A9374,'Teacher Lookup'!$A$2:$A$200,0)),"")</f>
        <v>CHAN Sky</v>
      </c>
    </row>
    <row r="9375" customFormat="false" ht="15" hidden="false" customHeight="false" outlineLevel="0" collapsed="false">
      <c r="A9375" s="3" t="s">
        <v>509</v>
      </c>
      <c r="B9375" s="4" t="s">
        <v>40</v>
      </c>
      <c r="C9375" s="4" t="n">
        <v>5</v>
      </c>
      <c r="D9375" s="4" t="s">
        <v>137</v>
      </c>
      <c r="E9375" s="3" t="s">
        <v>133</v>
      </c>
      <c r="F9375" s="4" t="str">
        <f aca="false">IF(I9375&gt;J9375,"Y","N")</f>
        <v>N</v>
      </c>
      <c r="G9375" s="3" t="s">
        <v>126</v>
      </c>
      <c r="H9375" s="3" t="s">
        <v>37</v>
      </c>
      <c r="I9375" s="4" t="n">
        <v>1</v>
      </c>
      <c r="J9375" s="4" t="n">
        <f aca="false">LEN(E9375)-LEN(SUBSTITUTE(E9375,",",""))+1</f>
        <v>1</v>
      </c>
      <c r="K9375" s="3" t="str">
        <f aca="false">IFERROR(INDEX('Teacher Lookup'!$B$2:$B$200,MATCH(A9375,'Teacher Lookup'!$A$2:$A$200,0)),"")</f>
        <v>CHAN Sky</v>
      </c>
    </row>
    <row r="9376" customFormat="false" ht="15" hidden="false" customHeight="false" outlineLevel="0" collapsed="false">
      <c r="A9376" s="3" t="s">
        <v>509</v>
      </c>
      <c r="B9376" s="4" t="s">
        <v>40</v>
      </c>
      <c r="C9376" s="4" t="n">
        <v>6</v>
      </c>
      <c r="D9376" s="4" t="s">
        <v>142</v>
      </c>
      <c r="E9376" s="3" t="s">
        <v>133</v>
      </c>
      <c r="F9376" s="4" t="str">
        <f aca="false">IF(I9376&gt;J9376,"Y","N")</f>
        <v>N</v>
      </c>
      <c r="G9376" s="3" t="s">
        <v>126</v>
      </c>
      <c r="H9376" s="3" t="s">
        <v>42</v>
      </c>
      <c r="I9376" s="4" t="n">
        <v>1</v>
      </c>
      <c r="J9376" s="4" t="n">
        <f aca="false">LEN(E9376)-LEN(SUBSTITUTE(E9376,",",""))+1</f>
        <v>1</v>
      </c>
      <c r="K9376" s="3" t="str">
        <f aca="false">IFERROR(INDEX('Teacher Lookup'!$B$2:$B$200,MATCH(A9376,'Teacher Lookup'!$A$2:$A$200,0)),"")</f>
        <v>CHAN Sky</v>
      </c>
    </row>
    <row r="9377" customFormat="false" ht="15" hidden="false" customHeight="false" outlineLevel="0" collapsed="false">
      <c r="A9377" s="3" t="s">
        <v>509</v>
      </c>
      <c r="B9377" s="4" t="s">
        <v>44</v>
      </c>
      <c r="C9377" s="4" t="n">
        <v>1</v>
      </c>
      <c r="D9377" s="4" t="s">
        <v>142</v>
      </c>
      <c r="E9377" s="3" t="s">
        <v>435</v>
      </c>
      <c r="F9377" s="4" t="str">
        <f aca="false">IF(I9377&gt;J9377,"Y","N")</f>
        <v>N</v>
      </c>
      <c r="G9377" s="3" t="s">
        <v>126</v>
      </c>
      <c r="H9377" s="3" t="s">
        <v>16</v>
      </c>
      <c r="I9377" s="4" t="n">
        <v>1</v>
      </c>
      <c r="J9377" s="4" t="n">
        <f aca="false">LEN(E9377)-LEN(SUBSTITUTE(E9377,",",""))+1</f>
        <v>1</v>
      </c>
      <c r="K9377" s="3" t="str">
        <f aca="false">IFERROR(INDEX('Teacher Lookup'!$B$2:$B$200,MATCH(A9377,'Teacher Lookup'!$A$2:$A$200,0)),"")</f>
        <v>CHAN Sky</v>
      </c>
    </row>
    <row r="9378" customFormat="false" ht="15" hidden="false" customHeight="false" outlineLevel="0" collapsed="false">
      <c r="A9378" s="3" t="s">
        <v>509</v>
      </c>
      <c r="B9378" s="4" t="s">
        <v>44</v>
      </c>
      <c r="C9378" s="4" t="n">
        <v>2</v>
      </c>
      <c r="D9378" s="4" t="s">
        <v>137</v>
      </c>
      <c r="E9378" s="3" t="s">
        <v>125</v>
      </c>
      <c r="F9378" s="4" t="str">
        <f aca="false">IF(I9378&gt;J9378,"Y","N")</f>
        <v>N</v>
      </c>
      <c r="G9378" s="3" t="s">
        <v>126</v>
      </c>
      <c r="H9378" s="3" t="s">
        <v>21</v>
      </c>
      <c r="I9378" s="4" t="n">
        <v>1</v>
      </c>
      <c r="J9378" s="4" t="n">
        <f aca="false">LEN(E9378)-LEN(SUBSTITUTE(E9378,",",""))+1</f>
        <v>1</v>
      </c>
      <c r="K9378" s="3" t="str">
        <f aca="false">IFERROR(INDEX('Teacher Lookup'!$B$2:$B$200,MATCH(A9378,'Teacher Lookup'!$A$2:$A$200,0)),"")</f>
        <v>CHAN Sky</v>
      </c>
    </row>
    <row r="9379" customFormat="false" ht="15" hidden="false" customHeight="false" outlineLevel="0" collapsed="false">
      <c r="A9379" s="3" t="s">
        <v>509</v>
      </c>
      <c r="B9379" s="4" t="s">
        <v>44</v>
      </c>
      <c r="C9379" s="4" t="n">
        <v>4</v>
      </c>
      <c r="D9379" s="4" t="s">
        <v>52</v>
      </c>
      <c r="E9379" s="3" t="s">
        <v>115</v>
      </c>
      <c r="F9379" s="4" t="str">
        <f aca="false">IF(I9379&gt;J9379,"Y","N")</f>
        <v>Y</v>
      </c>
      <c r="G9379" s="3" t="s">
        <v>101</v>
      </c>
      <c r="H9379" s="3" t="s">
        <v>34</v>
      </c>
      <c r="I9379" s="4" t="n">
        <v>9</v>
      </c>
      <c r="J9379" s="4" t="n">
        <f aca="false">LEN(E9379)-LEN(SUBSTITUTE(E9379,",",""))+1</f>
        <v>8</v>
      </c>
      <c r="K9379" s="3" t="str">
        <f aca="false">IFERROR(INDEX('Teacher Lookup'!$B$2:$B$200,MATCH(A9379,'Teacher Lookup'!$A$2:$A$200,0)),"")</f>
        <v>CHAN Sky</v>
      </c>
    </row>
    <row r="9380" customFormat="false" ht="15" hidden="false" customHeight="false" outlineLevel="0" collapsed="false">
      <c r="A9380" s="3" t="s">
        <v>509</v>
      </c>
      <c r="B9380" s="4" t="s">
        <v>44</v>
      </c>
      <c r="C9380" s="4" t="n">
        <v>4</v>
      </c>
      <c r="D9380" s="4" t="s">
        <v>55</v>
      </c>
      <c r="E9380" s="3" t="s">
        <v>115</v>
      </c>
      <c r="F9380" s="4" t="str">
        <f aca="false">IF(I9380&gt;J9380,"Y","N")</f>
        <v>Y</v>
      </c>
      <c r="G9380" s="3" t="s">
        <v>101</v>
      </c>
      <c r="H9380" s="3" t="s">
        <v>34</v>
      </c>
      <c r="I9380" s="4" t="n">
        <v>9</v>
      </c>
      <c r="J9380" s="4" t="n">
        <f aca="false">LEN(E9380)-LEN(SUBSTITUTE(E9380,",",""))+1</f>
        <v>8</v>
      </c>
      <c r="K9380" s="3" t="str">
        <f aca="false">IFERROR(INDEX('Teacher Lookup'!$B$2:$B$200,MATCH(A9380,'Teacher Lookup'!$A$2:$A$200,0)),"")</f>
        <v>CHAN Sky</v>
      </c>
    </row>
    <row r="9381" customFormat="false" ht="15" hidden="false" customHeight="false" outlineLevel="0" collapsed="false">
      <c r="A9381" s="3" t="s">
        <v>509</v>
      </c>
      <c r="B9381" s="4" t="s">
        <v>44</v>
      </c>
      <c r="C9381" s="4" t="n">
        <v>4</v>
      </c>
      <c r="D9381" s="4" t="s">
        <v>56</v>
      </c>
      <c r="E9381" s="3" t="s">
        <v>115</v>
      </c>
      <c r="F9381" s="4" t="str">
        <f aca="false">IF(I9381&gt;J9381,"Y","N")</f>
        <v>Y</v>
      </c>
      <c r="G9381" s="3" t="s">
        <v>101</v>
      </c>
      <c r="H9381" s="3" t="s">
        <v>34</v>
      </c>
      <c r="I9381" s="4" t="n">
        <v>9</v>
      </c>
      <c r="J9381" s="4" t="n">
        <f aca="false">LEN(E9381)-LEN(SUBSTITUTE(E9381,",",""))+1</f>
        <v>8</v>
      </c>
      <c r="K9381" s="3" t="str">
        <f aca="false">IFERROR(INDEX('Teacher Lookup'!$B$2:$B$200,MATCH(A9381,'Teacher Lookup'!$A$2:$A$200,0)),"")</f>
        <v>CHAN Sky</v>
      </c>
    </row>
    <row r="9382" customFormat="false" ht="15" hidden="false" customHeight="false" outlineLevel="0" collapsed="false">
      <c r="A9382" s="3" t="s">
        <v>509</v>
      </c>
      <c r="B9382" s="4" t="s">
        <v>44</v>
      </c>
      <c r="C9382" s="4" t="n">
        <v>4</v>
      </c>
      <c r="D9382" s="4" t="s">
        <v>57</v>
      </c>
      <c r="E9382" s="3" t="s">
        <v>115</v>
      </c>
      <c r="F9382" s="4" t="str">
        <f aca="false">IF(I9382&gt;J9382,"Y","N")</f>
        <v>Y</v>
      </c>
      <c r="G9382" s="3" t="s">
        <v>101</v>
      </c>
      <c r="H9382" s="3" t="s">
        <v>34</v>
      </c>
      <c r="I9382" s="4" t="n">
        <v>9</v>
      </c>
      <c r="J9382" s="4" t="n">
        <f aca="false">LEN(E9382)-LEN(SUBSTITUTE(E9382,",",""))+1</f>
        <v>8</v>
      </c>
      <c r="K9382" s="3" t="str">
        <f aca="false">IFERROR(INDEX('Teacher Lookup'!$B$2:$B$200,MATCH(A9382,'Teacher Lookup'!$A$2:$A$200,0)),"")</f>
        <v>CHAN Sky</v>
      </c>
    </row>
    <row r="9383" customFormat="false" ht="15" hidden="false" customHeight="false" outlineLevel="0" collapsed="false">
      <c r="A9383" s="3" t="s">
        <v>509</v>
      </c>
      <c r="B9383" s="4" t="s">
        <v>44</v>
      </c>
      <c r="C9383" s="4" t="n">
        <v>4</v>
      </c>
      <c r="D9383" s="4" t="s">
        <v>58</v>
      </c>
      <c r="E9383" s="3" t="s">
        <v>115</v>
      </c>
      <c r="F9383" s="4" t="str">
        <f aca="false">IF(I9383&gt;J9383,"Y","N")</f>
        <v>Y</v>
      </c>
      <c r="G9383" s="3" t="s">
        <v>101</v>
      </c>
      <c r="H9383" s="3" t="s">
        <v>34</v>
      </c>
      <c r="I9383" s="4" t="n">
        <v>9</v>
      </c>
      <c r="J9383" s="4" t="n">
        <f aca="false">LEN(E9383)-LEN(SUBSTITUTE(E9383,",",""))+1</f>
        <v>8</v>
      </c>
      <c r="K9383" s="3" t="str">
        <f aca="false">IFERROR(INDEX('Teacher Lookup'!$B$2:$B$200,MATCH(A9383,'Teacher Lookup'!$A$2:$A$200,0)),"")</f>
        <v>CHAN Sky</v>
      </c>
    </row>
    <row r="9384" customFormat="false" ht="15" hidden="false" customHeight="false" outlineLevel="0" collapsed="false">
      <c r="A9384" s="3" t="s">
        <v>509</v>
      </c>
      <c r="B9384" s="4" t="s">
        <v>44</v>
      </c>
      <c r="C9384" s="4" t="n">
        <v>4</v>
      </c>
      <c r="D9384" s="4" t="s">
        <v>59</v>
      </c>
      <c r="E9384" s="3" t="s">
        <v>115</v>
      </c>
      <c r="F9384" s="4" t="str">
        <f aca="false">IF(I9384&gt;J9384,"Y","N")</f>
        <v>Y</v>
      </c>
      <c r="G9384" s="3" t="s">
        <v>101</v>
      </c>
      <c r="H9384" s="3" t="s">
        <v>34</v>
      </c>
      <c r="I9384" s="4" t="n">
        <v>9</v>
      </c>
      <c r="J9384" s="4" t="n">
        <f aca="false">LEN(E9384)-LEN(SUBSTITUTE(E9384,",",""))+1</f>
        <v>8</v>
      </c>
      <c r="K9384" s="3" t="str">
        <f aca="false">IFERROR(INDEX('Teacher Lookup'!$B$2:$B$200,MATCH(A9384,'Teacher Lookup'!$A$2:$A$200,0)),"")</f>
        <v>CHAN Sky</v>
      </c>
    </row>
    <row r="9385" customFormat="false" ht="15" hidden="false" customHeight="false" outlineLevel="0" collapsed="false">
      <c r="A9385" s="3" t="s">
        <v>509</v>
      </c>
      <c r="B9385" s="4" t="s">
        <v>44</v>
      </c>
      <c r="C9385" s="4" t="n">
        <v>5</v>
      </c>
      <c r="D9385" s="4" t="s">
        <v>137</v>
      </c>
      <c r="E9385" s="3" t="s">
        <v>185</v>
      </c>
      <c r="F9385" s="4" t="str">
        <f aca="false">IF(I9385&gt;J9385,"Y","N")</f>
        <v>Y</v>
      </c>
      <c r="G9385" s="3" t="s">
        <v>36</v>
      </c>
      <c r="H9385" s="3" t="s">
        <v>37</v>
      </c>
      <c r="I9385" s="4" t="n">
        <v>21</v>
      </c>
      <c r="J9385" s="4" t="n">
        <f aca="false">LEN(E9385)-LEN(SUBSTITUTE(E9385,",",""))+1</f>
        <v>7</v>
      </c>
      <c r="K9385" s="3" t="str">
        <f aca="false">IFERROR(INDEX('Teacher Lookup'!$B$2:$B$200,MATCH(A9385,'Teacher Lookup'!$A$2:$A$200,0)),"")</f>
        <v>CHAN Sky</v>
      </c>
    </row>
    <row r="9386" customFormat="false" ht="15" hidden="false" customHeight="false" outlineLevel="0" collapsed="false">
      <c r="A9386" s="3" t="s">
        <v>509</v>
      </c>
      <c r="B9386" s="4" t="s">
        <v>44</v>
      </c>
      <c r="C9386" s="4" t="n">
        <v>5</v>
      </c>
      <c r="D9386" s="4" t="s">
        <v>124</v>
      </c>
      <c r="E9386" s="3" t="s">
        <v>185</v>
      </c>
      <c r="F9386" s="4" t="str">
        <f aca="false">IF(I9386&gt;J9386,"Y","N")</f>
        <v>Y</v>
      </c>
      <c r="G9386" s="3" t="s">
        <v>36</v>
      </c>
      <c r="H9386" s="3" t="s">
        <v>37</v>
      </c>
      <c r="I9386" s="4" t="n">
        <v>21</v>
      </c>
      <c r="J9386" s="4" t="n">
        <f aca="false">LEN(E9386)-LEN(SUBSTITUTE(E9386,",",""))+1</f>
        <v>7</v>
      </c>
      <c r="K9386" s="3" t="str">
        <f aca="false">IFERROR(INDEX('Teacher Lookup'!$B$2:$B$200,MATCH(A9386,'Teacher Lookup'!$A$2:$A$200,0)),"")</f>
        <v>CHAN Sky</v>
      </c>
    </row>
    <row r="9387" customFormat="false" ht="15" hidden="false" customHeight="false" outlineLevel="0" collapsed="false">
      <c r="A9387" s="3" t="s">
        <v>509</v>
      </c>
      <c r="B9387" s="4" t="s">
        <v>44</v>
      </c>
      <c r="C9387" s="4" t="n">
        <v>5</v>
      </c>
      <c r="D9387" s="4" t="s">
        <v>139</v>
      </c>
      <c r="E9387" s="3" t="s">
        <v>185</v>
      </c>
      <c r="F9387" s="4" t="str">
        <f aca="false">IF(I9387&gt;J9387,"Y","N")</f>
        <v>Y</v>
      </c>
      <c r="G9387" s="3" t="s">
        <v>36</v>
      </c>
      <c r="H9387" s="3" t="s">
        <v>37</v>
      </c>
      <c r="I9387" s="4" t="n">
        <v>21</v>
      </c>
      <c r="J9387" s="4" t="n">
        <f aca="false">LEN(E9387)-LEN(SUBSTITUTE(E9387,",",""))+1</f>
        <v>7</v>
      </c>
      <c r="K9387" s="3" t="str">
        <f aca="false">IFERROR(INDEX('Teacher Lookup'!$B$2:$B$200,MATCH(A9387,'Teacher Lookup'!$A$2:$A$200,0)),"")</f>
        <v>CHAN Sky</v>
      </c>
    </row>
    <row r="9388" customFormat="false" ht="15" hidden="false" customHeight="false" outlineLevel="0" collapsed="false">
      <c r="A9388" s="3" t="s">
        <v>509</v>
      </c>
      <c r="B9388" s="4" t="s">
        <v>44</v>
      </c>
      <c r="C9388" s="4" t="n">
        <v>5</v>
      </c>
      <c r="D9388" s="4" t="s">
        <v>140</v>
      </c>
      <c r="E9388" s="3" t="s">
        <v>185</v>
      </c>
      <c r="F9388" s="4" t="str">
        <f aca="false">IF(I9388&gt;J9388,"Y","N")</f>
        <v>Y</v>
      </c>
      <c r="G9388" s="3" t="s">
        <v>36</v>
      </c>
      <c r="H9388" s="3" t="s">
        <v>37</v>
      </c>
      <c r="I9388" s="4" t="n">
        <v>21</v>
      </c>
      <c r="J9388" s="4" t="n">
        <f aca="false">LEN(E9388)-LEN(SUBSTITUTE(E9388,",",""))+1</f>
        <v>7</v>
      </c>
      <c r="K9388" s="3" t="str">
        <f aca="false">IFERROR(INDEX('Teacher Lookup'!$B$2:$B$200,MATCH(A9388,'Teacher Lookup'!$A$2:$A$200,0)),"")</f>
        <v>CHAN Sky</v>
      </c>
    </row>
    <row r="9389" customFormat="false" ht="15" hidden="false" customHeight="false" outlineLevel="0" collapsed="false">
      <c r="A9389" s="3" t="s">
        <v>509</v>
      </c>
      <c r="B9389" s="4" t="s">
        <v>44</v>
      </c>
      <c r="C9389" s="4" t="n">
        <v>5</v>
      </c>
      <c r="D9389" s="4" t="s">
        <v>142</v>
      </c>
      <c r="E9389" s="3" t="s">
        <v>185</v>
      </c>
      <c r="F9389" s="4" t="str">
        <f aca="false">IF(I9389&gt;J9389,"Y","N")</f>
        <v>Y</v>
      </c>
      <c r="G9389" s="3" t="s">
        <v>36</v>
      </c>
      <c r="H9389" s="3" t="s">
        <v>37</v>
      </c>
      <c r="I9389" s="4" t="n">
        <v>21</v>
      </c>
      <c r="J9389" s="4" t="n">
        <f aca="false">LEN(E9389)-LEN(SUBSTITUTE(E9389,",",""))+1</f>
        <v>7</v>
      </c>
      <c r="K9389" s="3" t="str">
        <f aca="false">IFERROR(INDEX('Teacher Lookup'!$B$2:$B$200,MATCH(A9389,'Teacher Lookup'!$A$2:$A$200,0)),"")</f>
        <v>CHAN Sky</v>
      </c>
    </row>
    <row r="9390" customFormat="false" ht="15" hidden="false" customHeight="false" outlineLevel="0" collapsed="false">
      <c r="A9390" s="3" t="s">
        <v>509</v>
      </c>
      <c r="B9390" s="4" t="s">
        <v>44</v>
      </c>
      <c r="C9390" s="4" t="n">
        <v>5</v>
      </c>
      <c r="D9390" s="4" t="s">
        <v>127</v>
      </c>
      <c r="E9390" s="3" t="s">
        <v>185</v>
      </c>
      <c r="F9390" s="4" t="str">
        <f aca="false">IF(I9390&gt;J9390,"Y","N")</f>
        <v>Y</v>
      </c>
      <c r="G9390" s="3" t="s">
        <v>36</v>
      </c>
      <c r="H9390" s="3" t="s">
        <v>37</v>
      </c>
      <c r="I9390" s="4" t="n">
        <v>21</v>
      </c>
      <c r="J9390" s="4" t="n">
        <f aca="false">LEN(E9390)-LEN(SUBSTITUTE(E9390,",",""))+1</f>
        <v>7</v>
      </c>
      <c r="K9390" s="3" t="str">
        <f aca="false">IFERROR(INDEX('Teacher Lookup'!$B$2:$B$200,MATCH(A9390,'Teacher Lookup'!$A$2:$A$200,0)),"")</f>
        <v>CHAN Sky</v>
      </c>
    </row>
    <row r="9391" customFormat="false" ht="15" hidden="false" customHeight="false" outlineLevel="0" collapsed="false">
      <c r="A9391" s="3" t="s">
        <v>509</v>
      </c>
      <c r="B9391" s="4" t="s">
        <v>47</v>
      </c>
      <c r="C9391" s="4" t="n">
        <v>1</v>
      </c>
      <c r="D9391" s="4" t="s">
        <v>142</v>
      </c>
      <c r="E9391" s="3" t="s">
        <v>435</v>
      </c>
      <c r="F9391" s="4" t="str">
        <f aca="false">IF(I9391&gt;J9391,"Y","N")</f>
        <v>N</v>
      </c>
      <c r="G9391" s="3" t="s">
        <v>126</v>
      </c>
      <c r="H9391" s="3" t="s">
        <v>16</v>
      </c>
      <c r="I9391" s="4" t="n">
        <v>1</v>
      </c>
      <c r="J9391" s="4" t="n">
        <f aca="false">LEN(E9391)-LEN(SUBSTITUTE(E9391,",",""))+1</f>
        <v>1</v>
      </c>
      <c r="K9391" s="3" t="str">
        <f aca="false">IFERROR(INDEX('Teacher Lookup'!$B$2:$B$200,MATCH(A9391,'Teacher Lookup'!$A$2:$A$200,0)),"")</f>
        <v>CHAN Sky</v>
      </c>
    </row>
    <row r="9392" customFormat="false" ht="15" hidden="false" customHeight="false" outlineLevel="0" collapsed="false">
      <c r="A9392" s="3" t="s">
        <v>509</v>
      </c>
      <c r="B9392" s="4" t="s">
        <v>47</v>
      </c>
      <c r="C9392" s="4" t="n">
        <v>3</v>
      </c>
      <c r="D9392" s="4" t="s">
        <v>137</v>
      </c>
      <c r="E9392" s="3" t="s">
        <v>125</v>
      </c>
      <c r="F9392" s="4" t="str">
        <f aca="false">IF(I9392&gt;J9392,"Y","N")</f>
        <v>N</v>
      </c>
      <c r="G9392" s="3" t="s">
        <v>126</v>
      </c>
      <c r="H9392" s="3" t="s">
        <v>26</v>
      </c>
      <c r="I9392" s="4" t="n">
        <v>1</v>
      </c>
      <c r="J9392" s="4" t="n">
        <f aca="false">LEN(E9392)-LEN(SUBSTITUTE(E9392,",",""))+1</f>
        <v>1</v>
      </c>
      <c r="K9392" s="3" t="str">
        <f aca="false">IFERROR(INDEX('Teacher Lookup'!$B$2:$B$200,MATCH(A9392,'Teacher Lookup'!$A$2:$A$200,0)),"")</f>
        <v>CHAN Sky</v>
      </c>
    </row>
    <row r="9393" customFormat="false" ht="15" hidden="false" customHeight="false" outlineLevel="0" collapsed="false">
      <c r="A9393" s="3" t="s">
        <v>509</v>
      </c>
      <c r="B9393" s="4" t="s">
        <v>47</v>
      </c>
      <c r="C9393" s="4" t="n">
        <v>6</v>
      </c>
      <c r="D9393" s="4" t="s">
        <v>52</v>
      </c>
      <c r="E9393" s="3" t="s">
        <v>117</v>
      </c>
      <c r="F9393" s="4" t="str">
        <f aca="false">IF(I9393&gt;J9393,"Y","N")</f>
        <v>N</v>
      </c>
      <c r="G9393" s="3" t="s">
        <v>101</v>
      </c>
      <c r="H9393" s="3" t="s">
        <v>42</v>
      </c>
      <c r="I9393" s="4" t="n">
        <v>8</v>
      </c>
      <c r="J9393" s="4" t="n">
        <f aca="false">LEN(E9393)-LEN(SUBSTITUTE(E9393,",",""))+1</f>
        <v>8</v>
      </c>
      <c r="K9393" s="3" t="str">
        <f aca="false">IFERROR(INDEX('Teacher Lookup'!$B$2:$B$200,MATCH(A9393,'Teacher Lookup'!$A$2:$A$200,0)),"")</f>
        <v>CHAN Sky</v>
      </c>
    </row>
    <row r="9394" customFormat="false" ht="15" hidden="false" customHeight="false" outlineLevel="0" collapsed="false">
      <c r="A9394" s="3" t="s">
        <v>509</v>
      </c>
      <c r="B9394" s="4" t="s">
        <v>47</v>
      </c>
      <c r="C9394" s="4" t="n">
        <v>6</v>
      </c>
      <c r="D9394" s="4" t="s">
        <v>55</v>
      </c>
      <c r="E9394" s="3" t="s">
        <v>117</v>
      </c>
      <c r="F9394" s="4" t="str">
        <f aca="false">IF(I9394&gt;J9394,"Y","N")</f>
        <v>N</v>
      </c>
      <c r="G9394" s="3" t="s">
        <v>101</v>
      </c>
      <c r="H9394" s="3" t="s">
        <v>42</v>
      </c>
      <c r="I9394" s="4" t="n">
        <v>8</v>
      </c>
      <c r="J9394" s="4" t="n">
        <f aca="false">LEN(E9394)-LEN(SUBSTITUTE(E9394,",",""))+1</f>
        <v>8</v>
      </c>
      <c r="K9394" s="3" t="str">
        <f aca="false">IFERROR(INDEX('Teacher Lookup'!$B$2:$B$200,MATCH(A9394,'Teacher Lookup'!$A$2:$A$200,0)),"")</f>
        <v>CHAN Sky</v>
      </c>
    </row>
    <row r="9395" customFormat="false" ht="15" hidden="false" customHeight="false" outlineLevel="0" collapsed="false">
      <c r="A9395" s="3" t="s">
        <v>509</v>
      </c>
      <c r="B9395" s="4" t="s">
        <v>47</v>
      </c>
      <c r="C9395" s="4" t="n">
        <v>6</v>
      </c>
      <c r="D9395" s="4" t="s">
        <v>56</v>
      </c>
      <c r="E9395" s="3" t="s">
        <v>117</v>
      </c>
      <c r="F9395" s="4" t="str">
        <f aca="false">IF(I9395&gt;J9395,"Y","N")</f>
        <v>N</v>
      </c>
      <c r="G9395" s="3" t="s">
        <v>101</v>
      </c>
      <c r="H9395" s="3" t="s">
        <v>42</v>
      </c>
      <c r="I9395" s="4" t="n">
        <v>8</v>
      </c>
      <c r="J9395" s="4" t="n">
        <f aca="false">LEN(E9395)-LEN(SUBSTITUTE(E9395,",",""))+1</f>
        <v>8</v>
      </c>
      <c r="K9395" s="3" t="str">
        <f aca="false">IFERROR(INDEX('Teacher Lookup'!$B$2:$B$200,MATCH(A9395,'Teacher Lookup'!$A$2:$A$200,0)),"")</f>
        <v>CHAN Sky</v>
      </c>
    </row>
    <row r="9396" customFormat="false" ht="15" hidden="false" customHeight="false" outlineLevel="0" collapsed="false">
      <c r="A9396" s="3" t="s">
        <v>509</v>
      </c>
      <c r="B9396" s="4" t="s">
        <v>47</v>
      </c>
      <c r="C9396" s="4" t="n">
        <v>6</v>
      </c>
      <c r="D9396" s="4" t="s">
        <v>57</v>
      </c>
      <c r="E9396" s="3" t="s">
        <v>117</v>
      </c>
      <c r="F9396" s="4" t="str">
        <f aca="false">IF(I9396&gt;J9396,"Y","N")</f>
        <v>N</v>
      </c>
      <c r="G9396" s="3" t="s">
        <v>101</v>
      </c>
      <c r="H9396" s="3" t="s">
        <v>42</v>
      </c>
      <c r="I9396" s="4" t="n">
        <v>8</v>
      </c>
      <c r="J9396" s="4" t="n">
        <f aca="false">LEN(E9396)-LEN(SUBSTITUTE(E9396,",",""))+1</f>
        <v>8</v>
      </c>
      <c r="K9396" s="3" t="str">
        <f aca="false">IFERROR(INDEX('Teacher Lookup'!$B$2:$B$200,MATCH(A9396,'Teacher Lookup'!$A$2:$A$200,0)),"")</f>
        <v>CHAN Sky</v>
      </c>
    </row>
    <row r="9397" customFormat="false" ht="15" hidden="false" customHeight="false" outlineLevel="0" collapsed="false">
      <c r="A9397" s="3" t="s">
        <v>509</v>
      </c>
      <c r="B9397" s="4" t="s">
        <v>47</v>
      </c>
      <c r="C9397" s="4" t="n">
        <v>6</v>
      </c>
      <c r="D9397" s="4" t="s">
        <v>58</v>
      </c>
      <c r="E9397" s="3" t="s">
        <v>117</v>
      </c>
      <c r="F9397" s="4" t="str">
        <f aca="false">IF(I9397&gt;J9397,"Y","N")</f>
        <v>N</v>
      </c>
      <c r="G9397" s="3" t="s">
        <v>101</v>
      </c>
      <c r="H9397" s="3" t="s">
        <v>42</v>
      </c>
      <c r="I9397" s="4" t="n">
        <v>8</v>
      </c>
      <c r="J9397" s="4" t="n">
        <f aca="false">LEN(E9397)-LEN(SUBSTITUTE(E9397,",",""))+1</f>
        <v>8</v>
      </c>
      <c r="K9397" s="3" t="str">
        <f aca="false">IFERROR(INDEX('Teacher Lookup'!$B$2:$B$200,MATCH(A9397,'Teacher Lookup'!$A$2:$A$200,0)),"")</f>
        <v>CHAN Sky</v>
      </c>
    </row>
    <row r="9398" customFormat="false" ht="15" hidden="false" customHeight="false" outlineLevel="0" collapsed="false">
      <c r="A9398" s="3" t="s">
        <v>509</v>
      </c>
      <c r="B9398" s="4" t="s">
        <v>47</v>
      </c>
      <c r="C9398" s="4" t="n">
        <v>6</v>
      </c>
      <c r="D9398" s="4" t="s">
        <v>59</v>
      </c>
      <c r="E9398" s="3" t="s">
        <v>117</v>
      </c>
      <c r="F9398" s="4" t="str">
        <f aca="false">IF(I9398&gt;J9398,"Y","N")</f>
        <v>N</v>
      </c>
      <c r="G9398" s="3" t="s">
        <v>101</v>
      </c>
      <c r="H9398" s="3" t="s">
        <v>42</v>
      </c>
      <c r="I9398" s="4" t="n">
        <v>8</v>
      </c>
      <c r="J9398" s="4" t="n">
        <f aca="false">LEN(E9398)-LEN(SUBSTITUTE(E9398,",",""))+1</f>
        <v>8</v>
      </c>
      <c r="K9398" s="3" t="str">
        <f aca="false">IFERROR(INDEX('Teacher Lookup'!$B$2:$B$200,MATCH(A9398,'Teacher Lookup'!$A$2:$A$200,0)),"")</f>
        <v>CHAN Sky</v>
      </c>
    </row>
    <row r="9399" customFormat="false" ht="15" hidden="false" customHeight="false" outlineLevel="0" collapsed="false">
      <c r="A9399" s="3" t="s">
        <v>509</v>
      </c>
      <c r="B9399" s="4" t="s">
        <v>47</v>
      </c>
      <c r="C9399" s="4" t="n">
        <v>7</v>
      </c>
      <c r="D9399" s="4" t="s">
        <v>78</v>
      </c>
      <c r="E9399" s="3" t="s">
        <v>135</v>
      </c>
      <c r="F9399" s="4" t="str">
        <f aca="false">IF(I9399&gt;J9399,"Y","N")</f>
        <v>N</v>
      </c>
      <c r="G9399" s="3" t="s">
        <v>235</v>
      </c>
      <c r="H9399" s="3" t="s">
        <v>39</v>
      </c>
      <c r="I9399" s="4" t="n">
        <v>1</v>
      </c>
      <c r="J9399" s="4" t="n">
        <f aca="false">LEN(E9399)-LEN(SUBSTITUTE(E9399,",",""))+1</f>
        <v>1</v>
      </c>
      <c r="K9399" s="3" t="str">
        <f aca="false">IFERROR(INDEX('Teacher Lookup'!$B$2:$B$200,MATCH(A9399,'Teacher Lookup'!$A$2:$A$200,0)),"")</f>
        <v>CHAN Sky</v>
      </c>
    </row>
    <row r="9400" customFormat="false" ht="15" hidden="false" customHeight="false" outlineLevel="0" collapsed="false">
      <c r="A9400" s="3" t="s">
        <v>509</v>
      </c>
      <c r="B9400" s="4" t="s">
        <v>50</v>
      </c>
      <c r="C9400" s="4" t="n">
        <v>2</v>
      </c>
      <c r="D9400" s="4" t="s">
        <v>70</v>
      </c>
      <c r="E9400" s="3" t="s">
        <v>125</v>
      </c>
      <c r="F9400" s="4" t="str">
        <f aca="false">IF(I9400&gt;J9400,"Y","N")</f>
        <v>N</v>
      </c>
      <c r="G9400" s="3" t="s">
        <v>235</v>
      </c>
      <c r="H9400" s="3" t="s">
        <v>21</v>
      </c>
      <c r="I9400" s="4" t="n">
        <v>1</v>
      </c>
      <c r="J9400" s="4" t="n">
        <f aca="false">LEN(E9400)-LEN(SUBSTITUTE(E9400,",",""))+1</f>
        <v>1</v>
      </c>
      <c r="K9400" s="3" t="str">
        <f aca="false">IFERROR(INDEX('Teacher Lookup'!$B$2:$B$200,MATCH(A9400,'Teacher Lookup'!$A$2:$A$200,0)),"")</f>
        <v>CHAN Sky</v>
      </c>
    </row>
    <row r="9401" customFormat="false" ht="15" hidden="false" customHeight="false" outlineLevel="0" collapsed="false">
      <c r="A9401" s="3" t="s">
        <v>509</v>
      </c>
      <c r="B9401" s="4" t="s">
        <v>50</v>
      </c>
      <c r="C9401" s="4" t="n">
        <v>3</v>
      </c>
      <c r="D9401" s="4" t="s">
        <v>52</v>
      </c>
      <c r="E9401" s="3" t="s">
        <v>115</v>
      </c>
      <c r="F9401" s="4" t="str">
        <f aca="false">IF(I9401&gt;J9401,"Y","N")</f>
        <v>Y</v>
      </c>
      <c r="G9401" s="3" t="s">
        <v>101</v>
      </c>
      <c r="H9401" s="3" t="s">
        <v>26</v>
      </c>
      <c r="I9401" s="4" t="n">
        <v>9</v>
      </c>
      <c r="J9401" s="4" t="n">
        <f aca="false">LEN(E9401)-LEN(SUBSTITUTE(E9401,",",""))+1</f>
        <v>8</v>
      </c>
      <c r="K9401" s="3" t="str">
        <f aca="false">IFERROR(INDEX('Teacher Lookup'!$B$2:$B$200,MATCH(A9401,'Teacher Lookup'!$A$2:$A$200,0)),"")</f>
        <v>CHAN Sky</v>
      </c>
    </row>
    <row r="9402" customFormat="false" ht="15" hidden="false" customHeight="false" outlineLevel="0" collapsed="false">
      <c r="A9402" s="3" t="s">
        <v>509</v>
      </c>
      <c r="B9402" s="4" t="s">
        <v>50</v>
      </c>
      <c r="C9402" s="4" t="n">
        <v>3</v>
      </c>
      <c r="D9402" s="4" t="s">
        <v>55</v>
      </c>
      <c r="E9402" s="3" t="s">
        <v>115</v>
      </c>
      <c r="F9402" s="4" t="str">
        <f aca="false">IF(I9402&gt;J9402,"Y","N")</f>
        <v>Y</v>
      </c>
      <c r="G9402" s="3" t="s">
        <v>101</v>
      </c>
      <c r="H9402" s="3" t="s">
        <v>26</v>
      </c>
      <c r="I9402" s="4" t="n">
        <v>9</v>
      </c>
      <c r="J9402" s="4" t="n">
        <f aca="false">LEN(E9402)-LEN(SUBSTITUTE(E9402,",",""))+1</f>
        <v>8</v>
      </c>
      <c r="K9402" s="3" t="str">
        <f aca="false">IFERROR(INDEX('Teacher Lookup'!$B$2:$B$200,MATCH(A9402,'Teacher Lookup'!$A$2:$A$200,0)),"")</f>
        <v>CHAN Sky</v>
      </c>
    </row>
    <row r="9403" customFormat="false" ht="15" hidden="false" customHeight="false" outlineLevel="0" collapsed="false">
      <c r="A9403" s="3" t="s">
        <v>509</v>
      </c>
      <c r="B9403" s="4" t="s">
        <v>50</v>
      </c>
      <c r="C9403" s="4" t="n">
        <v>3</v>
      </c>
      <c r="D9403" s="4" t="s">
        <v>56</v>
      </c>
      <c r="E9403" s="3" t="s">
        <v>115</v>
      </c>
      <c r="F9403" s="4" t="str">
        <f aca="false">IF(I9403&gt;J9403,"Y","N")</f>
        <v>Y</v>
      </c>
      <c r="G9403" s="3" t="s">
        <v>101</v>
      </c>
      <c r="H9403" s="3" t="s">
        <v>26</v>
      </c>
      <c r="I9403" s="4" t="n">
        <v>9</v>
      </c>
      <c r="J9403" s="4" t="n">
        <f aca="false">LEN(E9403)-LEN(SUBSTITUTE(E9403,",",""))+1</f>
        <v>8</v>
      </c>
      <c r="K9403" s="3" t="str">
        <f aca="false">IFERROR(INDEX('Teacher Lookup'!$B$2:$B$200,MATCH(A9403,'Teacher Lookup'!$A$2:$A$200,0)),"")</f>
        <v>CHAN Sky</v>
      </c>
    </row>
    <row r="9404" customFormat="false" ht="15" hidden="false" customHeight="false" outlineLevel="0" collapsed="false">
      <c r="A9404" s="3" t="s">
        <v>509</v>
      </c>
      <c r="B9404" s="4" t="s">
        <v>50</v>
      </c>
      <c r="C9404" s="4" t="n">
        <v>3</v>
      </c>
      <c r="D9404" s="4" t="s">
        <v>57</v>
      </c>
      <c r="E9404" s="3" t="s">
        <v>115</v>
      </c>
      <c r="F9404" s="4" t="str">
        <f aca="false">IF(I9404&gt;J9404,"Y","N")</f>
        <v>Y</v>
      </c>
      <c r="G9404" s="3" t="s">
        <v>101</v>
      </c>
      <c r="H9404" s="3" t="s">
        <v>26</v>
      </c>
      <c r="I9404" s="4" t="n">
        <v>9</v>
      </c>
      <c r="J9404" s="4" t="n">
        <f aca="false">LEN(E9404)-LEN(SUBSTITUTE(E9404,",",""))+1</f>
        <v>8</v>
      </c>
      <c r="K9404" s="3" t="str">
        <f aca="false">IFERROR(INDEX('Teacher Lookup'!$B$2:$B$200,MATCH(A9404,'Teacher Lookup'!$A$2:$A$200,0)),"")</f>
        <v>CHAN Sky</v>
      </c>
    </row>
    <row r="9405" customFormat="false" ht="15" hidden="false" customHeight="false" outlineLevel="0" collapsed="false">
      <c r="A9405" s="3" t="s">
        <v>509</v>
      </c>
      <c r="B9405" s="4" t="s">
        <v>50</v>
      </c>
      <c r="C9405" s="4" t="n">
        <v>3</v>
      </c>
      <c r="D9405" s="4" t="s">
        <v>58</v>
      </c>
      <c r="E9405" s="3" t="s">
        <v>115</v>
      </c>
      <c r="F9405" s="4" t="str">
        <f aca="false">IF(I9405&gt;J9405,"Y","N")</f>
        <v>Y</v>
      </c>
      <c r="G9405" s="3" t="s">
        <v>101</v>
      </c>
      <c r="H9405" s="3" t="s">
        <v>26</v>
      </c>
      <c r="I9405" s="4" t="n">
        <v>9</v>
      </c>
      <c r="J9405" s="4" t="n">
        <f aca="false">LEN(E9405)-LEN(SUBSTITUTE(E9405,",",""))+1</f>
        <v>8</v>
      </c>
      <c r="K9405" s="3" t="str">
        <f aca="false">IFERROR(INDEX('Teacher Lookup'!$B$2:$B$200,MATCH(A9405,'Teacher Lookup'!$A$2:$A$200,0)),"")</f>
        <v>CHAN Sky</v>
      </c>
    </row>
    <row r="9406" customFormat="false" ht="15" hidden="false" customHeight="false" outlineLevel="0" collapsed="false">
      <c r="A9406" s="3" t="s">
        <v>509</v>
      </c>
      <c r="B9406" s="4" t="s">
        <v>50</v>
      </c>
      <c r="C9406" s="4" t="n">
        <v>3</v>
      </c>
      <c r="D9406" s="4" t="s">
        <v>59</v>
      </c>
      <c r="E9406" s="3" t="s">
        <v>115</v>
      </c>
      <c r="F9406" s="4" t="str">
        <f aca="false">IF(I9406&gt;J9406,"Y","N")</f>
        <v>Y</v>
      </c>
      <c r="G9406" s="3" t="s">
        <v>101</v>
      </c>
      <c r="H9406" s="3" t="s">
        <v>26</v>
      </c>
      <c r="I9406" s="4" t="n">
        <v>9</v>
      </c>
      <c r="J9406" s="4" t="n">
        <f aca="false">LEN(E9406)-LEN(SUBSTITUTE(E9406,",",""))+1</f>
        <v>8</v>
      </c>
      <c r="K9406" s="3" t="str">
        <f aca="false">IFERROR(INDEX('Teacher Lookup'!$B$2:$B$200,MATCH(A9406,'Teacher Lookup'!$A$2:$A$200,0)),"")</f>
        <v>CHAN Sky</v>
      </c>
    </row>
    <row r="9407" customFormat="false" ht="15" hidden="false" customHeight="false" outlineLevel="0" collapsed="false">
      <c r="A9407" s="3" t="s">
        <v>509</v>
      </c>
      <c r="B9407" s="4" t="s">
        <v>50</v>
      </c>
      <c r="C9407" s="4" t="n">
        <v>4</v>
      </c>
      <c r="D9407" s="4" t="s">
        <v>78</v>
      </c>
      <c r="E9407" s="3" t="s">
        <v>125</v>
      </c>
      <c r="F9407" s="4" t="str">
        <f aca="false">IF(I9407&gt;J9407,"Y","N")</f>
        <v>N</v>
      </c>
      <c r="G9407" s="3" t="s">
        <v>235</v>
      </c>
      <c r="H9407" s="3" t="s">
        <v>34</v>
      </c>
      <c r="I9407" s="4" t="n">
        <v>1</v>
      </c>
      <c r="J9407" s="4" t="n">
        <f aca="false">LEN(E9407)-LEN(SUBSTITUTE(E9407,",",""))+1</f>
        <v>1</v>
      </c>
      <c r="K9407" s="3" t="str">
        <f aca="false">IFERROR(INDEX('Teacher Lookup'!$B$2:$B$200,MATCH(A9407,'Teacher Lookup'!$A$2:$A$200,0)),"")</f>
        <v>CHAN Sky</v>
      </c>
    </row>
    <row r="9408" customFormat="false" ht="15" hidden="false" customHeight="false" outlineLevel="0" collapsed="false">
      <c r="A9408" s="3" t="s">
        <v>509</v>
      </c>
      <c r="B9408" s="4" t="s">
        <v>50</v>
      </c>
      <c r="C9408" s="4" t="n">
        <v>6</v>
      </c>
      <c r="D9408" s="4" t="s">
        <v>142</v>
      </c>
      <c r="E9408" s="3" t="s">
        <v>134</v>
      </c>
      <c r="F9408" s="4" t="str">
        <f aca="false">IF(I9408&gt;J9408,"Y","N")</f>
        <v>N</v>
      </c>
      <c r="G9408" s="3" t="s">
        <v>126</v>
      </c>
      <c r="H9408" s="3" t="s">
        <v>42</v>
      </c>
      <c r="I9408" s="4" t="n">
        <v>1</v>
      </c>
      <c r="J9408" s="4" t="n">
        <f aca="false">LEN(E9408)-LEN(SUBSTITUTE(E9408,",",""))+1</f>
        <v>1</v>
      </c>
      <c r="K9408" s="3" t="str">
        <f aca="false">IFERROR(INDEX('Teacher Lookup'!$B$2:$B$200,MATCH(A9408,'Teacher Lookup'!$A$2:$A$200,0)),"")</f>
        <v>CHAN Sky</v>
      </c>
    </row>
    <row r="9409" customFormat="false" ht="15" hidden="false" customHeight="false" outlineLevel="0" collapsed="false">
      <c r="A9409" s="3" t="s">
        <v>509</v>
      </c>
      <c r="B9409" s="4" t="s">
        <v>50</v>
      </c>
      <c r="C9409" s="4" t="n">
        <v>7</v>
      </c>
      <c r="D9409" s="4" t="s">
        <v>137</v>
      </c>
      <c r="E9409" s="3" t="s">
        <v>125</v>
      </c>
      <c r="F9409" s="4" t="str">
        <f aca="false">IF(I9409&gt;J9409,"Y","N")</f>
        <v>N</v>
      </c>
      <c r="G9409" s="3" t="s">
        <v>126</v>
      </c>
      <c r="H9409" s="3" t="s">
        <v>39</v>
      </c>
      <c r="I9409" s="4" t="n">
        <v>1</v>
      </c>
      <c r="J9409" s="4" t="n">
        <f aca="false">LEN(E9409)-LEN(SUBSTITUTE(E9409,",",""))+1</f>
        <v>1</v>
      </c>
      <c r="K9409" s="3" t="str">
        <f aca="false">IFERROR(INDEX('Teacher Lookup'!$B$2:$B$200,MATCH(A9409,'Teacher Lookup'!$A$2:$A$200,0)),"")</f>
        <v>CHAN Sky</v>
      </c>
    </row>
    <row r="9410" customFormat="false" ht="15" hidden="false" customHeight="false" outlineLevel="0" collapsed="false">
      <c r="A9410" s="3" t="s">
        <v>509</v>
      </c>
      <c r="B9410" s="4" t="s">
        <v>60</v>
      </c>
      <c r="C9410" s="4" t="n">
        <v>1</v>
      </c>
      <c r="D9410" s="4" t="s">
        <v>142</v>
      </c>
      <c r="E9410" s="3" t="s">
        <v>133</v>
      </c>
      <c r="F9410" s="4" t="str">
        <f aca="false">IF(I9410&gt;J9410,"Y","N")</f>
        <v>N</v>
      </c>
      <c r="G9410" s="3" t="s">
        <v>126</v>
      </c>
      <c r="H9410" s="3" t="s">
        <v>16</v>
      </c>
      <c r="I9410" s="4" t="n">
        <v>1</v>
      </c>
      <c r="J9410" s="4" t="n">
        <f aca="false">LEN(E9410)-LEN(SUBSTITUTE(E9410,",",""))+1</f>
        <v>1</v>
      </c>
      <c r="K9410" s="3" t="str">
        <f aca="false">IFERROR(INDEX('Teacher Lookup'!$B$2:$B$200,MATCH(A9410,'Teacher Lookup'!$A$2:$A$200,0)),"")</f>
        <v>CHAN Sky</v>
      </c>
    </row>
    <row r="9411" customFormat="false" ht="15" hidden="false" customHeight="false" outlineLevel="0" collapsed="false">
      <c r="A9411" s="3" t="s">
        <v>509</v>
      </c>
      <c r="B9411" s="4" t="s">
        <v>60</v>
      </c>
      <c r="C9411" s="4" t="n">
        <v>4</v>
      </c>
      <c r="D9411" s="4" t="s">
        <v>52</v>
      </c>
      <c r="E9411" s="3" t="s">
        <v>119</v>
      </c>
      <c r="F9411" s="4" t="str">
        <f aca="false">IF(I9411&gt;J9411,"Y","N")</f>
        <v>N</v>
      </c>
      <c r="G9411" s="3" t="s">
        <v>101</v>
      </c>
      <c r="H9411" s="3" t="s">
        <v>34</v>
      </c>
      <c r="I9411" s="4" t="n">
        <v>8</v>
      </c>
      <c r="J9411" s="4" t="n">
        <f aca="false">LEN(E9411)-LEN(SUBSTITUTE(E9411,",",""))+1</f>
        <v>8</v>
      </c>
      <c r="K9411" s="3" t="str">
        <f aca="false">IFERROR(INDEX('Teacher Lookup'!$B$2:$B$200,MATCH(A9411,'Teacher Lookup'!$A$2:$A$200,0)),"")</f>
        <v>CHAN Sky</v>
      </c>
    </row>
    <row r="9412" customFormat="false" ht="15" hidden="false" customHeight="false" outlineLevel="0" collapsed="false">
      <c r="A9412" s="3" t="s">
        <v>509</v>
      </c>
      <c r="B9412" s="4" t="s">
        <v>60</v>
      </c>
      <c r="C9412" s="4" t="n">
        <v>4</v>
      </c>
      <c r="D9412" s="4" t="s">
        <v>55</v>
      </c>
      <c r="E9412" s="3" t="s">
        <v>119</v>
      </c>
      <c r="F9412" s="4" t="str">
        <f aca="false">IF(I9412&gt;J9412,"Y","N")</f>
        <v>N</v>
      </c>
      <c r="G9412" s="3" t="s">
        <v>101</v>
      </c>
      <c r="H9412" s="3" t="s">
        <v>34</v>
      </c>
      <c r="I9412" s="4" t="n">
        <v>8</v>
      </c>
      <c r="J9412" s="4" t="n">
        <f aca="false">LEN(E9412)-LEN(SUBSTITUTE(E9412,",",""))+1</f>
        <v>8</v>
      </c>
      <c r="K9412" s="3" t="str">
        <f aca="false">IFERROR(INDEX('Teacher Lookup'!$B$2:$B$200,MATCH(A9412,'Teacher Lookup'!$A$2:$A$200,0)),"")</f>
        <v>CHAN Sky</v>
      </c>
    </row>
    <row r="9413" customFormat="false" ht="15" hidden="false" customHeight="false" outlineLevel="0" collapsed="false">
      <c r="A9413" s="3" t="s">
        <v>509</v>
      </c>
      <c r="B9413" s="4" t="s">
        <v>60</v>
      </c>
      <c r="C9413" s="4" t="n">
        <v>4</v>
      </c>
      <c r="D9413" s="4" t="s">
        <v>56</v>
      </c>
      <c r="E9413" s="3" t="s">
        <v>119</v>
      </c>
      <c r="F9413" s="4" t="str">
        <f aca="false">IF(I9413&gt;J9413,"Y","N")</f>
        <v>N</v>
      </c>
      <c r="G9413" s="3" t="s">
        <v>101</v>
      </c>
      <c r="H9413" s="3" t="s">
        <v>34</v>
      </c>
      <c r="I9413" s="4" t="n">
        <v>8</v>
      </c>
      <c r="J9413" s="4" t="n">
        <f aca="false">LEN(E9413)-LEN(SUBSTITUTE(E9413,",",""))+1</f>
        <v>8</v>
      </c>
      <c r="K9413" s="3" t="str">
        <f aca="false">IFERROR(INDEX('Teacher Lookup'!$B$2:$B$200,MATCH(A9413,'Teacher Lookup'!$A$2:$A$200,0)),"")</f>
        <v>CHAN Sky</v>
      </c>
    </row>
    <row r="9414" customFormat="false" ht="15" hidden="false" customHeight="false" outlineLevel="0" collapsed="false">
      <c r="A9414" s="3" t="s">
        <v>509</v>
      </c>
      <c r="B9414" s="4" t="s">
        <v>60</v>
      </c>
      <c r="C9414" s="4" t="n">
        <v>4</v>
      </c>
      <c r="D9414" s="4" t="s">
        <v>57</v>
      </c>
      <c r="E9414" s="3" t="s">
        <v>119</v>
      </c>
      <c r="F9414" s="4" t="str">
        <f aca="false">IF(I9414&gt;J9414,"Y","N")</f>
        <v>N</v>
      </c>
      <c r="G9414" s="3" t="s">
        <v>101</v>
      </c>
      <c r="H9414" s="3" t="s">
        <v>34</v>
      </c>
      <c r="I9414" s="4" t="n">
        <v>8</v>
      </c>
      <c r="J9414" s="4" t="n">
        <f aca="false">LEN(E9414)-LEN(SUBSTITUTE(E9414,",",""))+1</f>
        <v>8</v>
      </c>
      <c r="K9414" s="3" t="str">
        <f aca="false">IFERROR(INDEX('Teacher Lookup'!$B$2:$B$200,MATCH(A9414,'Teacher Lookup'!$A$2:$A$200,0)),"")</f>
        <v>CHAN Sky</v>
      </c>
    </row>
    <row r="9415" customFormat="false" ht="15" hidden="false" customHeight="false" outlineLevel="0" collapsed="false">
      <c r="A9415" s="3" t="s">
        <v>509</v>
      </c>
      <c r="B9415" s="4" t="s">
        <v>60</v>
      </c>
      <c r="C9415" s="4" t="n">
        <v>4</v>
      </c>
      <c r="D9415" s="4" t="s">
        <v>58</v>
      </c>
      <c r="E9415" s="3" t="s">
        <v>119</v>
      </c>
      <c r="F9415" s="4" t="str">
        <f aca="false">IF(I9415&gt;J9415,"Y","N")</f>
        <v>N</v>
      </c>
      <c r="G9415" s="3" t="s">
        <v>101</v>
      </c>
      <c r="H9415" s="3" t="s">
        <v>34</v>
      </c>
      <c r="I9415" s="4" t="n">
        <v>8</v>
      </c>
      <c r="J9415" s="4" t="n">
        <f aca="false">LEN(E9415)-LEN(SUBSTITUTE(E9415,",",""))+1</f>
        <v>8</v>
      </c>
      <c r="K9415" s="3" t="str">
        <f aca="false">IFERROR(INDEX('Teacher Lookup'!$B$2:$B$200,MATCH(A9415,'Teacher Lookup'!$A$2:$A$200,0)),"")</f>
        <v>CHAN Sky</v>
      </c>
    </row>
    <row r="9416" customFormat="false" ht="15" hidden="false" customHeight="false" outlineLevel="0" collapsed="false">
      <c r="A9416" s="3" t="s">
        <v>509</v>
      </c>
      <c r="B9416" s="4" t="s">
        <v>60</v>
      </c>
      <c r="C9416" s="4" t="n">
        <v>4</v>
      </c>
      <c r="D9416" s="4" t="s">
        <v>59</v>
      </c>
      <c r="E9416" s="3" t="s">
        <v>119</v>
      </c>
      <c r="F9416" s="4" t="str">
        <f aca="false">IF(I9416&gt;J9416,"Y","N")</f>
        <v>N</v>
      </c>
      <c r="G9416" s="3" t="s">
        <v>101</v>
      </c>
      <c r="H9416" s="3" t="s">
        <v>34</v>
      </c>
      <c r="I9416" s="4" t="n">
        <v>8</v>
      </c>
      <c r="J9416" s="4" t="n">
        <f aca="false">LEN(E9416)-LEN(SUBSTITUTE(E9416,",",""))+1</f>
        <v>8</v>
      </c>
      <c r="K9416" s="3" t="str">
        <f aca="false">IFERROR(INDEX('Teacher Lookup'!$B$2:$B$200,MATCH(A9416,'Teacher Lookup'!$A$2:$A$200,0)),"")</f>
        <v>CHAN Sky</v>
      </c>
    </row>
    <row r="9417" customFormat="false" ht="15" hidden="false" customHeight="false" outlineLevel="0" collapsed="false">
      <c r="A9417" s="3" t="s">
        <v>509</v>
      </c>
      <c r="B9417" s="4" t="s">
        <v>60</v>
      </c>
      <c r="C9417" s="4" t="n">
        <v>5</v>
      </c>
      <c r="D9417" s="4" t="s">
        <v>137</v>
      </c>
      <c r="E9417" s="3" t="s">
        <v>185</v>
      </c>
      <c r="F9417" s="4" t="str">
        <f aca="false">IF(I9417&gt;J9417,"Y","N")</f>
        <v>Y</v>
      </c>
      <c r="G9417" s="3" t="s">
        <v>36</v>
      </c>
      <c r="H9417" s="3" t="s">
        <v>37</v>
      </c>
      <c r="I9417" s="4" t="n">
        <v>21</v>
      </c>
      <c r="J9417" s="4" t="n">
        <f aca="false">LEN(E9417)-LEN(SUBSTITUTE(E9417,",",""))+1</f>
        <v>7</v>
      </c>
      <c r="K9417" s="3" t="str">
        <f aca="false">IFERROR(INDEX('Teacher Lookup'!$B$2:$B$200,MATCH(A9417,'Teacher Lookup'!$A$2:$A$200,0)),"")</f>
        <v>CHAN Sky</v>
      </c>
    </row>
    <row r="9418" customFormat="false" ht="15" hidden="false" customHeight="false" outlineLevel="0" collapsed="false">
      <c r="A9418" s="3" t="s">
        <v>509</v>
      </c>
      <c r="B9418" s="4" t="s">
        <v>60</v>
      </c>
      <c r="C9418" s="4" t="n">
        <v>5</v>
      </c>
      <c r="D9418" s="4" t="s">
        <v>124</v>
      </c>
      <c r="E9418" s="3" t="s">
        <v>185</v>
      </c>
      <c r="F9418" s="4" t="str">
        <f aca="false">IF(I9418&gt;J9418,"Y","N")</f>
        <v>Y</v>
      </c>
      <c r="G9418" s="3" t="s">
        <v>36</v>
      </c>
      <c r="H9418" s="3" t="s">
        <v>37</v>
      </c>
      <c r="I9418" s="4" t="n">
        <v>21</v>
      </c>
      <c r="J9418" s="4" t="n">
        <f aca="false">LEN(E9418)-LEN(SUBSTITUTE(E9418,",",""))+1</f>
        <v>7</v>
      </c>
      <c r="K9418" s="3" t="str">
        <f aca="false">IFERROR(INDEX('Teacher Lookup'!$B$2:$B$200,MATCH(A9418,'Teacher Lookup'!$A$2:$A$200,0)),"")</f>
        <v>CHAN Sky</v>
      </c>
    </row>
    <row r="9419" customFormat="false" ht="15" hidden="false" customHeight="false" outlineLevel="0" collapsed="false">
      <c r="A9419" s="3" t="s">
        <v>509</v>
      </c>
      <c r="B9419" s="4" t="s">
        <v>60</v>
      </c>
      <c r="C9419" s="4" t="n">
        <v>5</v>
      </c>
      <c r="D9419" s="4" t="s">
        <v>139</v>
      </c>
      <c r="E9419" s="3" t="s">
        <v>185</v>
      </c>
      <c r="F9419" s="4" t="str">
        <f aca="false">IF(I9419&gt;J9419,"Y","N")</f>
        <v>Y</v>
      </c>
      <c r="G9419" s="3" t="s">
        <v>36</v>
      </c>
      <c r="H9419" s="3" t="s">
        <v>37</v>
      </c>
      <c r="I9419" s="4" t="n">
        <v>21</v>
      </c>
      <c r="J9419" s="4" t="n">
        <f aca="false">LEN(E9419)-LEN(SUBSTITUTE(E9419,",",""))+1</f>
        <v>7</v>
      </c>
      <c r="K9419" s="3" t="str">
        <f aca="false">IFERROR(INDEX('Teacher Lookup'!$B$2:$B$200,MATCH(A9419,'Teacher Lookup'!$A$2:$A$200,0)),"")</f>
        <v>CHAN Sky</v>
      </c>
    </row>
    <row r="9420" customFormat="false" ht="15" hidden="false" customHeight="false" outlineLevel="0" collapsed="false">
      <c r="A9420" s="3" t="s">
        <v>509</v>
      </c>
      <c r="B9420" s="4" t="s">
        <v>60</v>
      </c>
      <c r="C9420" s="4" t="n">
        <v>5</v>
      </c>
      <c r="D9420" s="4" t="s">
        <v>140</v>
      </c>
      <c r="E9420" s="3" t="s">
        <v>185</v>
      </c>
      <c r="F9420" s="4" t="str">
        <f aca="false">IF(I9420&gt;J9420,"Y","N")</f>
        <v>Y</v>
      </c>
      <c r="G9420" s="3" t="s">
        <v>36</v>
      </c>
      <c r="H9420" s="3" t="s">
        <v>37</v>
      </c>
      <c r="I9420" s="4" t="n">
        <v>21</v>
      </c>
      <c r="J9420" s="4" t="n">
        <f aca="false">LEN(E9420)-LEN(SUBSTITUTE(E9420,",",""))+1</f>
        <v>7</v>
      </c>
      <c r="K9420" s="3" t="str">
        <f aca="false">IFERROR(INDEX('Teacher Lookup'!$B$2:$B$200,MATCH(A9420,'Teacher Lookup'!$A$2:$A$200,0)),"")</f>
        <v>CHAN Sky</v>
      </c>
    </row>
    <row r="9421" customFormat="false" ht="15" hidden="false" customHeight="false" outlineLevel="0" collapsed="false">
      <c r="A9421" s="3" t="s">
        <v>509</v>
      </c>
      <c r="B9421" s="4" t="s">
        <v>60</v>
      </c>
      <c r="C9421" s="4" t="n">
        <v>5</v>
      </c>
      <c r="D9421" s="4" t="s">
        <v>142</v>
      </c>
      <c r="E9421" s="3" t="s">
        <v>185</v>
      </c>
      <c r="F9421" s="4" t="str">
        <f aca="false">IF(I9421&gt;J9421,"Y","N")</f>
        <v>Y</v>
      </c>
      <c r="G9421" s="3" t="s">
        <v>36</v>
      </c>
      <c r="H9421" s="3" t="s">
        <v>37</v>
      </c>
      <c r="I9421" s="4" t="n">
        <v>21</v>
      </c>
      <c r="J9421" s="4" t="n">
        <f aca="false">LEN(E9421)-LEN(SUBSTITUTE(E9421,",",""))+1</f>
        <v>7</v>
      </c>
      <c r="K9421" s="3" t="str">
        <f aca="false">IFERROR(INDEX('Teacher Lookup'!$B$2:$B$200,MATCH(A9421,'Teacher Lookup'!$A$2:$A$200,0)),"")</f>
        <v>CHAN Sky</v>
      </c>
    </row>
    <row r="9422" customFormat="false" ht="15" hidden="false" customHeight="false" outlineLevel="0" collapsed="false">
      <c r="A9422" s="3" t="s">
        <v>509</v>
      </c>
      <c r="B9422" s="4" t="s">
        <v>60</v>
      </c>
      <c r="C9422" s="4" t="n">
        <v>5</v>
      </c>
      <c r="D9422" s="4" t="s">
        <v>127</v>
      </c>
      <c r="E9422" s="3" t="s">
        <v>185</v>
      </c>
      <c r="F9422" s="4" t="str">
        <f aca="false">IF(I9422&gt;J9422,"Y","N")</f>
        <v>Y</v>
      </c>
      <c r="G9422" s="3" t="s">
        <v>36</v>
      </c>
      <c r="H9422" s="3" t="s">
        <v>37</v>
      </c>
      <c r="I9422" s="4" t="n">
        <v>21</v>
      </c>
      <c r="J9422" s="4" t="n">
        <f aca="false">LEN(E9422)-LEN(SUBSTITUTE(E9422,",",""))+1</f>
        <v>7</v>
      </c>
      <c r="K9422" s="3" t="str">
        <f aca="false">IFERROR(INDEX('Teacher Lookup'!$B$2:$B$200,MATCH(A9422,'Teacher Lookup'!$A$2:$A$200,0)),"")</f>
        <v>CHAN Sky</v>
      </c>
    </row>
    <row r="9423" customFormat="false" ht="15" hidden="false" customHeight="false" outlineLevel="0" collapsed="false">
      <c r="A9423" s="3" t="s">
        <v>509</v>
      </c>
      <c r="B9423" s="4" t="s">
        <v>60</v>
      </c>
      <c r="C9423" s="4" t="n">
        <v>7</v>
      </c>
      <c r="D9423" s="4" t="s">
        <v>137</v>
      </c>
      <c r="E9423" s="3" t="s">
        <v>133</v>
      </c>
      <c r="F9423" s="4" t="str">
        <f aca="false">IF(I9423&gt;J9423,"Y","N")</f>
        <v>N</v>
      </c>
      <c r="G9423" s="3" t="s">
        <v>126</v>
      </c>
      <c r="H9423" s="3" t="s">
        <v>39</v>
      </c>
      <c r="I9423" s="4" t="n">
        <v>1</v>
      </c>
      <c r="J9423" s="4" t="n">
        <f aca="false">LEN(E9423)-LEN(SUBSTITUTE(E9423,",",""))+1</f>
        <v>1</v>
      </c>
      <c r="K9423" s="3" t="str">
        <f aca="false">IFERROR(INDEX('Teacher Lookup'!$B$2:$B$200,MATCH(A9423,'Teacher Lookup'!$A$2:$A$200,0)),"")</f>
        <v>CHAN Sky</v>
      </c>
    </row>
    <row r="9424" customFormat="false" ht="15" hidden="false" customHeight="false" outlineLevel="0" collapsed="false">
      <c r="A9424" s="3" t="s">
        <v>509</v>
      </c>
      <c r="B9424" s="4" t="s">
        <v>63</v>
      </c>
      <c r="C9424" s="4" t="n">
        <v>1</v>
      </c>
      <c r="D9424" s="4" t="s">
        <v>70</v>
      </c>
      <c r="E9424" s="3" t="s">
        <v>246</v>
      </c>
      <c r="F9424" s="4" t="str">
        <f aca="false">IF(I9424&gt;J9424,"Y","N")</f>
        <v>N</v>
      </c>
      <c r="G9424" s="3" t="s">
        <v>235</v>
      </c>
      <c r="H9424" s="3" t="s">
        <v>16</v>
      </c>
      <c r="I9424" s="4" t="n">
        <v>1</v>
      </c>
      <c r="J9424" s="4" t="n">
        <f aca="false">LEN(E9424)-LEN(SUBSTITUTE(E9424,",",""))+1</f>
        <v>1</v>
      </c>
      <c r="K9424" s="3" t="str">
        <f aca="false">IFERROR(INDEX('Teacher Lookup'!$B$2:$B$200,MATCH(A9424,'Teacher Lookup'!$A$2:$A$200,0)),"")</f>
        <v>CHAN Sky</v>
      </c>
    </row>
    <row r="9425" customFormat="false" ht="15" hidden="false" customHeight="false" outlineLevel="0" collapsed="false">
      <c r="A9425" s="3" t="s">
        <v>509</v>
      </c>
      <c r="B9425" s="4" t="s">
        <v>63</v>
      </c>
      <c r="C9425" s="4" t="n">
        <v>4</v>
      </c>
      <c r="D9425" s="4" t="s">
        <v>142</v>
      </c>
      <c r="E9425" s="3" t="s">
        <v>125</v>
      </c>
      <c r="F9425" s="4" t="str">
        <f aca="false">IF(I9425&gt;J9425,"Y","N")</f>
        <v>N</v>
      </c>
      <c r="G9425" s="3" t="s">
        <v>126</v>
      </c>
      <c r="H9425" s="3" t="s">
        <v>34</v>
      </c>
      <c r="I9425" s="4" t="n">
        <v>1</v>
      </c>
      <c r="J9425" s="4" t="n">
        <f aca="false">LEN(E9425)-LEN(SUBSTITUTE(E9425,",",""))+1</f>
        <v>1</v>
      </c>
      <c r="K9425" s="3" t="str">
        <f aca="false">IFERROR(INDEX('Teacher Lookup'!$B$2:$B$200,MATCH(A9425,'Teacher Lookup'!$A$2:$A$200,0)),"")</f>
        <v>CHAN Sky</v>
      </c>
    </row>
    <row r="9426" customFormat="false" ht="15" hidden="false" customHeight="false" outlineLevel="0" collapsed="false">
      <c r="A9426" s="3" t="s">
        <v>509</v>
      </c>
      <c r="B9426" s="4" t="s">
        <v>63</v>
      </c>
      <c r="C9426" s="4" t="n">
        <v>6</v>
      </c>
      <c r="D9426" s="4" t="s">
        <v>137</v>
      </c>
      <c r="E9426" s="3" t="s">
        <v>133</v>
      </c>
      <c r="F9426" s="4" t="str">
        <f aca="false">IF(I9426&gt;J9426,"Y","N")</f>
        <v>N</v>
      </c>
      <c r="G9426" s="3" t="s">
        <v>126</v>
      </c>
      <c r="H9426" s="3" t="s">
        <v>42</v>
      </c>
      <c r="I9426" s="4" t="n">
        <v>1</v>
      </c>
      <c r="J9426" s="4" t="n">
        <f aca="false">LEN(E9426)-LEN(SUBSTITUTE(E9426,",",""))+1</f>
        <v>1</v>
      </c>
      <c r="K9426" s="3" t="str">
        <f aca="false">IFERROR(INDEX('Teacher Lookup'!$B$2:$B$200,MATCH(A9426,'Teacher Lookup'!$A$2:$A$200,0)),"")</f>
        <v>CHAN Sky</v>
      </c>
    </row>
    <row r="9427" customFormat="false" ht="15" hidden="false" customHeight="false" outlineLevel="0" collapsed="false">
      <c r="A9427" s="3" t="s">
        <v>509</v>
      </c>
      <c r="B9427" s="4" t="s">
        <v>65</v>
      </c>
      <c r="C9427" s="4" t="n">
        <v>3</v>
      </c>
      <c r="D9427" s="4" t="s">
        <v>52</v>
      </c>
      <c r="E9427" s="3" t="s">
        <v>121</v>
      </c>
      <c r="F9427" s="4" t="str">
        <f aca="false">IF(I9427&gt;J9427,"Y","N")</f>
        <v>Y</v>
      </c>
      <c r="G9427" s="3" t="s">
        <v>101</v>
      </c>
      <c r="H9427" s="3" t="s">
        <v>26</v>
      </c>
      <c r="I9427" s="4" t="n">
        <v>9</v>
      </c>
      <c r="J9427" s="4" t="n">
        <f aca="false">LEN(E9427)-LEN(SUBSTITUTE(E9427,",",""))+1</f>
        <v>8</v>
      </c>
      <c r="K9427" s="3" t="str">
        <f aca="false">IFERROR(INDEX('Teacher Lookup'!$B$2:$B$200,MATCH(A9427,'Teacher Lookup'!$A$2:$A$200,0)),"")</f>
        <v>CHAN Sky</v>
      </c>
    </row>
    <row r="9428" customFormat="false" ht="15" hidden="false" customHeight="false" outlineLevel="0" collapsed="false">
      <c r="A9428" s="3" t="s">
        <v>509</v>
      </c>
      <c r="B9428" s="4" t="s">
        <v>65</v>
      </c>
      <c r="C9428" s="4" t="n">
        <v>3</v>
      </c>
      <c r="D9428" s="4" t="s">
        <v>55</v>
      </c>
      <c r="E9428" s="3" t="s">
        <v>121</v>
      </c>
      <c r="F9428" s="4" t="str">
        <f aca="false">IF(I9428&gt;J9428,"Y","N")</f>
        <v>Y</v>
      </c>
      <c r="G9428" s="3" t="s">
        <v>101</v>
      </c>
      <c r="H9428" s="3" t="s">
        <v>26</v>
      </c>
      <c r="I9428" s="4" t="n">
        <v>9</v>
      </c>
      <c r="J9428" s="4" t="n">
        <f aca="false">LEN(E9428)-LEN(SUBSTITUTE(E9428,",",""))+1</f>
        <v>8</v>
      </c>
      <c r="K9428" s="3" t="str">
        <f aca="false">IFERROR(INDEX('Teacher Lookup'!$B$2:$B$200,MATCH(A9428,'Teacher Lookup'!$A$2:$A$200,0)),"")</f>
        <v>CHAN Sky</v>
      </c>
    </row>
    <row r="9429" customFormat="false" ht="15" hidden="false" customHeight="false" outlineLevel="0" collapsed="false">
      <c r="A9429" s="3" t="s">
        <v>509</v>
      </c>
      <c r="B9429" s="4" t="s">
        <v>65</v>
      </c>
      <c r="C9429" s="4" t="n">
        <v>3</v>
      </c>
      <c r="D9429" s="4" t="s">
        <v>56</v>
      </c>
      <c r="E9429" s="3" t="s">
        <v>121</v>
      </c>
      <c r="F9429" s="4" t="str">
        <f aca="false">IF(I9429&gt;J9429,"Y","N")</f>
        <v>Y</v>
      </c>
      <c r="G9429" s="3" t="s">
        <v>101</v>
      </c>
      <c r="H9429" s="3" t="s">
        <v>26</v>
      </c>
      <c r="I9429" s="4" t="n">
        <v>9</v>
      </c>
      <c r="J9429" s="4" t="n">
        <f aca="false">LEN(E9429)-LEN(SUBSTITUTE(E9429,",",""))+1</f>
        <v>8</v>
      </c>
      <c r="K9429" s="3" t="str">
        <f aca="false">IFERROR(INDEX('Teacher Lookup'!$B$2:$B$200,MATCH(A9429,'Teacher Lookup'!$A$2:$A$200,0)),"")</f>
        <v>CHAN Sky</v>
      </c>
    </row>
    <row r="9430" customFormat="false" ht="15" hidden="false" customHeight="false" outlineLevel="0" collapsed="false">
      <c r="A9430" s="3" t="s">
        <v>509</v>
      </c>
      <c r="B9430" s="4" t="s">
        <v>65</v>
      </c>
      <c r="C9430" s="4" t="n">
        <v>3</v>
      </c>
      <c r="D9430" s="4" t="s">
        <v>57</v>
      </c>
      <c r="E9430" s="3" t="s">
        <v>121</v>
      </c>
      <c r="F9430" s="4" t="str">
        <f aca="false">IF(I9430&gt;J9430,"Y","N")</f>
        <v>Y</v>
      </c>
      <c r="G9430" s="3" t="s">
        <v>101</v>
      </c>
      <c r="H9430" s="3" t="s">
        <v>26</v>
      </c>
      <c r="I9430" s="4" t="n">
        <v>9</v>
      </c>
      <c r="J9430" s="4" t="n">
        <f aca="false">LEN(E9430)-LEN(SUBSTITUTE(E9430,",",""))+1</f>
        <v>8</v>
      </c>
      <c r="K9430" s="3" t="str">
        <f aca="false">IFERROR(INDEX('Teacher Lookup'!$B$2:$B$200,MATCH(A9430,'Teacher Lookup'!$A$2:$A$200,0)),"")</f>
        <v>CHAN Sky</v>
      </c>
    </row>
    <row r="9431" customFormat="false" ht="15" hidden="false" customHeight="false" outlineLevel="0" collapsed="false">
      <c r="A9431" s="3" t="s">
        <v>509</v>
      </c>
      <c r="B9431" s="4" t="s">
        <v>65</v>
      </c>
      <c r="C9431" s="4" t="n">
        <v>3</v>
      </c>
      <c r="D9431" s="4" t="s">
        <v>58</v>
      </c>
      <c r="E9431" s="3" t="s">
        <v>121</v>
      </c>
      <c r="F9431" s="4" t="str">
        <f aca="false">IF(I9431&gt;J9431,"Y","N")</f>
        <v>Y</v>
      </c>
      <c r="G9431" s="3" t="s">
        <v>101</v>
      </c>
      <c r="H9431" s="3" t="s">
        <v>26</v>
      </c>
      <c r="I9431" s="4" t="n">
        <v>9</v>
      </c>
      <c r="J9431" s="4" t="n">
        <f aca="false">LEN(E9431)-LEN(SUBSTITUTE(E9431,",",""))+1</f>
        <v>8</v>
      </c>
      <c r="K9431" s="3" t="str">
        <f aca="false">IFERROR(INDEX('Teacher Lookup'!$B$2:$B$200,MATCH(A9431,'Teacher Lookup'!$A$2:$A$200,0)),"")</f>
        <v>CHAN Sky</v>
      </c>
    </row>
    <row r="9432" customFormat="false" ht="15" hidden="false" customHeight="false" outlineLevel="0" collapsed="false">
      <c r="A9432" s="3" t="s">
        <v>509</v>
      </c>
      <c r="B9432" s="4" t="s">
        <v>65</v>
      </c>
      <c r="C9432" s="4" t="n">
        <v>3</v>
      </c>
      <c r="D9432" s="4" t="s">
        <v>59</v>
      </c>
      <c r="E9432" s="3" t="s">
        <v>121</v>
      </c>
      <c r="F9432" s="4" t="str">
        <f aca="false">IF(I9432&gt;J9432,"Y","N")</f>
        <v>Y</v>
      </c>
      <c r="G9432" s="3" t="s">
        <v>101</v>
      </c>
      <c r="H9432" s="3" t="s">
        <v>26</v>
      </c>
      <c r="I9432" s="4" t="n">
        <v>9</v>
      </c>
      <c r="J9432" s="4" t="n">
        <f aca="false">LEN(E9432)-LEN(SUBSTITUTE(E9432,",",""))+1</f>
        <v>8</v>
      </c>
      <c r="K9432" s="3" t="str">
        <f aca="false">IFERROR(INDEX('Teacher Lookup'!$B$2:$B$200,MATCH(A9432,'Teacher Lookup'!$A$2:$A$200,0)),"")</f>
        <v>CHAN Sky</v>
      </c>
    </row>
    <row r="9433" customFormat="false" ht="15" hidden="false" customHeight="false" outlineLevel="0" collapsed="false">
      <c r="A9433" s="3" t="s">
        <v>509</v>
      </c>
      <c r="B9433" s="4" t="s">
        <v>65</v>
      </c>
      <c r="C9433" s="4" t="n">
        <v>5</v>
      </c>
      <c r="D9433" s="4" t="s">
        <v>137</v>
      </c>
      <c r="E9433" s="3" t="s">
        <v>185</v>
      </c>
      <c r="F9433" s="4" t="str">
        <f aca="false">IF(I9433&gt;J9433,"Y","N")</f>
        <v>Y</v>
      </c>
      <c r="G9433" s="3" t="s">
        <v>36</v>
      </c>
      <c r="H9433" s="3" t="s">
        <v>37</v>
      </c>
      <c r="I9433" s="4" t="n">
        <v>21</v>
      </c>
      <c r="J9433" s="4" t="n">
        <f aca="false">LEN(E9433)-LEN(SUBSTITUTE(E9433,",",""))+1</f>
        <v>7</v>
      </c>
      <c r="K9433" s="3" t="str">
        <f aca="false">IFERROR(INDEX('Teacher Lookup'!$B$2:$B$200,MATCH(A9433,'Teacher Lookup'!$A$2:$A$200,0)),"")</f>
        <v>CHAN Sky</v>
      </c>
    </row>
    <row r="9434" customFormat="false" ht="15" hidden="false" customHeight="false" outlineLevel="0" collapsed="false">
      <c r="A9434" s="3" t="s">
        <v>509</v>
      </c>
      <c r="B9434" s="4" t="s">
        <v>65</v>
      </c>
      <c r="C9434" s="4" t="n">
        <v>5</v>
      </c>
      <c r="D9434" s="4" t="s">
        <v>124</v>
      </c>
      <c r="E9434" s="3" t="s">
        <v>185</v>
      </c>
      <c r="F9434" s="4" t="str">
        <f aca="false">IF(I9434&gt;J9434,"Y","N")</f>
        <v>Y</v>
      </c>
      <c r="G9434" s="3" t="s">
        <v>36</v>
      </c>
      <c r="H9434" s="3" t="s">
        <v>37</v>
      </c>
      <c r="I9434" s="4" t="n">
        <v>21</v>
      </c>
      <c r="J9434" s="4" t="n">
        <f aca="false">LEN(E9434)-LEN(SUBSTITUTE(E9434,",",""))+1</f>
        <v>7</v>
      </c>
      <c r="K9434" s="3" t="str">
        <f aca="false">IFERROR(INDEX('Teacher Lookup'!$B$2:$B$200,MATCH(A9434,'Teacher Lookup'!$A$2:$A$200,0)),"")</f>
        <v>CHAN Sky</v>
      </c>
    </row>
    <row r="9435" customFormat="false" ht="15" hidden="false" customHeight="false" outlineLevel="0" collapsed="false">
      <c r="A9435" s="3" t="s">
        <v>509</v>
      </c>
      <c r="B9435" s="4" t="s">
        <v>65</v>
      </c>
      <c r="C9435" s="4" t="n">
        <v>5</v>
      </c>
      <c r="D9435" s="4" t="s">
        <v>139</v>
      </c>
      <c r="E9435" s="3" t="s">
        <v>185</v>
      </c>
      <c r="F9435" s="4" t="str">
        <f aca="false">IF(I9435&gt;J9435,"Y","N")</f>
        <v>Y</v>
      </c>
      <c r="G9435" s="3" t="s">
        <v>36</v>
      </c>
      <c r="H9435" s="3" t="s">
        <v>37</v>
      </c>
      <c r="I9435" s="4" t="n">
        <v>21</v>
      </c>
      <c r="J9435" s="4" t="n">
        <f aca="false">LEN(E9435)-LEN(SUBSTITUTE(E9435,",",""))+1</f>
        <v>7</v>
      </c>
      <c r="K9435" s="3" t="str">
        <f aca="false">IFERROR(INDEX('Teacher Lookup'!$B$2:$B$200,MATCH(A9435,'Teacher Lookup'!$A$2:$A$200,0)),"")</f>
        <v>CHAN Sky</v>
      </c>
    </row>
    <row r="9436" customFormat="false" ht="15" hidden="false" customHeight="false" outlineLevel="0" collapsed="false">
      <c r="A9436" s="3" t="s">
        <v>509</v>
      </c>
      <c r="B9436" s="4" t="s">
        <v>65</v>
      </c>
      <c r="C9436" s="4" t="n">
        <v>5</v>
      </c>
      <c r="D9436" s="4" t="s">
        <v>140</v>
      </c>
      <c r="E9436" s="3" t="s">
        <v>185</v>
      </c>
      <c r="F9436" s="4" t="str">
        <f aca="false">IF(I9436&gt;J9436,"Y","N")</f>
        <v>Y</v>
      </c>
      <c r="G9436" s="3" t="s">
        <v>36</v>
      </c>
      <c r="H9436" s="3" t="s">
        <v>37</v>
      </c>
      <c r="I9436" s="4" t="n">
        <v>21</v>
      </c>
      <c r="J9436" s="4" t="n">
        <f aca="false">LEN(E9436)-LEN(SUBSTITUTE(E9436,",",""))+1</f>
        <v>7</v>
      </c>
      <c r="K9436" s="3" t="str">
        <f aca="false">IFERROR(INDEX('Teacher Lookup'!$B$2:$B$200,MATCH(A9436,'Teacher Lookup'!$A$2:$A$200,0)),"")</f>
        <v>CHAN Sky</v>
      </c>
    </row>
    <row r="9437" customFormat="false" ht="15" hidden="false" customHeight="false" outlineLevel="0" collapsed="false">
      <c r="A9437" s="3" t="s">
        <v>509</v>
      </c>
      <c r="B9437" s="4" t="s">
        <v>65</v>
      </c>
      <c r="C9437" s="4" t="n">
        <v>5</v>
      </c>
      <c r="D9437" s="4" t="s">
        <v>142</v>
      </c>
      <c r="E9437" s="3" t="s">
        <v>185</v>
      </c>
      <c r="F9437" s="4" t="str">
        <f aca="false">IF(I9437&gt;J9437,"Y","N")</f>
        <v>Y</v>
      </c>
      <c r="G9437" s="3" t="s">
        <v>36</v>
      </c>
      <c r="H9437" s="3" t="s">
        <v>37</v>
      </c>
      <c r="I9437" s="4" t="n">
        <v>21</v>
      </c>
      <c r="J9437" s="4" t="n">
        <f aca="false">LEN(E9437)-LEN(SUBSTITUTE(E9437,",",""))+1</f>
        <v>7</v>
      </c>
      <c r="K9437" s="3" t="str">
        <f aca="false">IFERROR(INDEX('Teacher Lookup'!$B$2:$B$200,MATCH(A9437,'Teacher Lookup'!$A$2:$A$200,0)),"")</f>
        <v>CHAN Sky</v>
      </c>
    </row>
    <row r="9438" customFormat="false" ht="15" hidden="false" customHeight="false" outlineLevel="0" collapsed="false">
      <c r="A9438" s="3" t="s">
        <v>509</v>
      </c>
      <c r="B9438" s="4" t="s">
        <v>65</v>
      </c>
      <c r="C9438" s="4" t="n">
        <v>5</v>
      </c>
      <c r="D9438" s="4" t="s">
        <v>127</v>
      </c>
      <c r="E9438" s="3" t="s">
        <v>185</v>
      </c>
      <c r="F9438" s="4" t="str">
        <f aca="false">IF(I9438&gt;J9438,"Y","N")</f>
        <v>Y</v>
      </c>
      <c r="G9438" s="3" t="s">
        <v>36</v>
      </c>
      <c r="H9438" s="3" t="s">
        <v>37</v>
      </c>
      <c r="I9438" s="4" t="n">
        <v>21</v>
      </c>
      <c r="J9438" s="4" t="n">
        <f aca="false">LEN(E9438)-LEN(SUBSTITUTE(E9438,",",""))+1</f>
        <v>7</v>
      </c>
      <c r="K9438" s="3" t="str">
        <f aca="false">IFERROR(INDEX('Teacher Lookup'!$B$2:$B$200,MATCH(A9438,'Teacher Lookup'!$A$2:$A$200,0)),"")</f>
        <v>CHAN Sky</v>
      </c>
    </row>
    <row r="9439" customFormat="false" ht="15" hidden="false" customHeight="false" outlineLevel="0" collapsed="false">
      <c r="A9439" s="3" t="s">
        <v>509</v>
      </c>
      <c r="B9439" s="4" t="s">
        <v>66</v>
      </c>
      <c r="C9439" s="4" t="n">
        <v>4</v>
      </c>
      <c r="D9439" s="4" t="s">
        <v>142</v>
      </c>
      <c r="E9439" s="3" t="s">
        <v>133</v>
      </c>
      <c r="F9439" s="4" t="str">
        <f aca="false">IF(I9439&gt;J9439,"Y","N")</f>
        <v>N</v>
      </c>
      <c r="G9439" s="3" t="s">
        <v>126</v>
      </c>
      <c r="H9439" s="3" t="s">
        <v>34</v>
      </c>
      <c r="I9439" s="4" t="n">
        <v>1</v>
      </c>
      <c r="J9439" s="4" t="n">
        <f aca="false">LEN(E9439)-LEN(SUBSTITUTE(E9439,",",""))+1</f>
        <v>1</v>
      </c>
      <c r="K9439" s="3" t="str">
        <f aca="false">IFERROR(INDEX('Teacher Lookup'!$B$2:$B$200,MATCH(A9439,'Teacher Lookup'!$A$2:$A$200,0)),"")</f>
        <v>CHAN Sky</v>
      </c>
    </row>
    <row r="9440" customFormat="false" ht="15" hidden="false" customHeight="false" outlineLevel="0" collapsed="false">
      <c r="A9440" s="3" t="s">
        <v>509</v>
      </c>
      <c r="B9440" s="4" t="s">
        <v>66</v>
      </c>
      <c r="C9440" s="4" t="n">
        <v>5</v>
      </c>
      <c r="D9440" s="4" t="s">
        <v>52</v>
      </c>
      <c r="E9440" s="3" t="s">
        <v>122</v>
      </c>
      <c r="F9440" s="4" t="str">
        <f aca="false">IF(I9440&gt;J9440,"Y","N")</f>
        <v>N</v>
      </c>
      <c r="G9440" s="3" t="s">
        <v>101</v>
      </c>
      <c r="H9440" s="3" t="s">
        <v>37</v>
      </c>
      <c r="I9440" s="4" t="n">
        <v>8</v>
      </c>
      <c r="J9440" s="4" t="n">
        <f aca="false">LEN(E9440)-LEN(SUBSTITUTE(E9440,",",""))+1</f>
        <v>8</v>
      </c>
      <c r="K9440" s="3" t="str">
        <f aca="false">IFERROR(INDEX('Teacher Lookup'!$B$2:$B$200,MATCH(A9440,'Teacher Lookup'!$A$2:$A$200,0)),"")</f>
        <v>CHAN Sky</v>
      </c>
    </row>
    <row r="9441" customFormat="false" ht="15" hidden="false" customHeight="false" outlineLevel="0" collapsed="false">
      <c r="A9441" s="3" t="s">
        <v>509</v>
      </c>
      <c r="B9441" s="4" t="s">
        <v>66</v>
      </c>
      <c r="C9441" s="4" t="n">
        <v>5</v>
      </c>
      <c r="D9441" s="4" t="s">
        <v>55</v>
      </c>
      <c r="E9441" s="3" t="s">
        <v>122</v>
      </c>
      <c r="F9441" s="4" t="str">
        <f aca="false">IF(I9441&gt;J9441,"Y","N")</f>
        <v>N</v>
      </c>
      <c r="G9441" s="3" t="s">
        <v>101</v>
      </c>
      <c r="H9441" s="3" t="s">
        <v>37</v>
      </c>
      <c r="I9441" s="4" t="n">
        <v>8</v>
      </c>
      <c r="J9441" s="4" t="n">
        <f aca="false">LEN(E9441)-LEN(SUBSTITUTE(E9441,",",""))+1</f>
        <v>8</v>
      </c>
      <c r="K9441" s="3" t="str">
        <f aca="false">IFERROR(INDEX('Teacher Lookup'!$B$2:$B$200,MATCH(A9441,'Teacher Lookup'!$A$2:$A$200,0)),"")</f>
        <v>CHAN Sky</v>
      </c>
    </row>
    <row r="9442" customFormat="false" ht="15" hidden="false" customHeight="false" outlineLevel="0" collapsed="false">
      <c r="A9442" s="3" t="s">
        <v>509</v>
      </c>
      <c r="B9442" s="4" t="s">
        <v>66</v>
      </c>
      <c r="C9442" s="4" t="n">
        <v>5</v>
      </c>
      <c r="D9442" s="4" t="s">
        <v>56</v>
      </c>
      <c r="E9442" s="3" t="s">
        <v>122</v>
      </c>
      <c r="F9442" s="4" t="str">
        <f aca="false">IF(I9442&gt;J9442,"Y","N")</f>
        <v>N</v>
      </c>
      <c r="G9442" s="3" t="s">
        <v>101</v>
      </c>
      <c r="H9442" s="3" t="s">
        <v>37</v>
      </c>
      <c r="I9442" s="4" t="n">
        <v>8</v>
      </c>
      <c r="J9442" s="4" t="n">
        <f aca="false">LEN(E9442)-LEN(SUBSTITUTE(E9442,",",""))+1</f>
        <v>8</v>
      </c>
      <c r="K9442" s="3" t="str">
        <f aca="false">IFERROR(INDEX('Teacher Lookup'!$B$2:$B$200,MATCH(A9442,'Teacher Lookup'!$A$2:$A$200,0)),"")</f>
        <v>CHAN Sky</v>
      </c>
    </row>
    <row r="9443" customFormat="false" ht="15" hidden="false" customHeight="false" outlineLevel="0" collapsed="false">
      <c r="A9443" s="3" t="s">
        <v>509</v>
      </c>
      <c r="B9443" s="4" t="s">
        <v>66</v>
      </c>
      <c r="C9443" s="4" t="n">
        <v>5</v>
      </c>
      <c r="D9443" s="4" t="s">
        <v>57</v>
      </c>
      <c r="E9443" s="3" t="s">
        <v>122</v>
      </c>
      <c r="F9443" s="4" t="str">
        <f aca="false">IF(I9443&gt;J9443,"Y","N")</f>
        <v>N</v>
      </c>
      <c r="G9443" s="3" t="s">
        <v>101</v>
      </c>
      <c r="H9443" s="3" t="s">
        <v>37</v>
      </c>
      <c r="I9443" s="4" t="n">
        <v>8</v>
      </c>
      <c r="J9443" s="4" t="n">
        <f aca="false">LEN(E9443)-LEN(SUBSTITUTE(E9443,",",""))+1</f>
        <v>8</v>
      </c>
      <c r="K9443" s="3" t="str">
        <f aca="false">IFERROR(INDEX('Teacher Lookup'!$B$2:$B$200,MATCH(A9443,'Teacher Lookup'!$A$2:$A$200,0)),"")</f>
        <v>CHAN Sky</v>
      </c>
    </row>
    <row r="9444" customFormat="false" ht="15" hidden="false" customHeight="false" outlineLevel="0" collapsed="false">
      <c r="A9444" s="3" t="s">
        <v>509</v>
      </c>
      <c r="B9444" s="4" t="s">
        <v>66</v>
      </c>
      <c r="C9444" s="4" t="n">
        <v>5</v>
      </c>
      <c r="D9444" s="4" t="s">
        <v>58</v>
      </c>
      <c r="E9444" s="3" t="s">
        <v>122</v>
      </c>
      <c r="F9444" s="4" t="str">
        <f aca="false">IF(I9444&gt;J9444,"Y","N")</f>
        <v>N</v>
      </c>
      <c r="G9444" s="3" t="s">
        <v>101</v>
      </c>
      <c r="H9444" s="3" t="s">
        <v>37</v>
      </c>
      <c r="I9444" s="4" t="n">
        <v>8</v>
      </c>
      <c r="J9444" s="4" t="n">
        <f aca="false">LEN(E9444)-LEN(SUBSTITUTE(E9444,",",""))+1</f>
        <v>8</v>
      </c>
      <c r="K9444" s="3" t="str">
        <f aca="false">IFERROR(INDEX('Teacher Lookup'!$B$2:$B$200,MATCH(A9444,'Teacher Lookup'!$A$2:$A$200,0)),"")</f>
        <v>CHAN Sky</v>
      </c>
    </row>
    <row r="9445" customFormat="false" ht="15" hidden="false" customHeight="false" outlineLevel="0" collapsed="false">
      <c r="A9445" s="3" t="s">
        <v>509</v>
      </c>
      <c r="B9445" s="4" t="s">
        <v>66</v>
      </c>
      <c r="C9445" s="4" t="n">
        <v>5</v>
      </c>
      <c r="D9445" s="4" t="s">
        <v>59</v>
      </c>
      <c r="E9445" s="3" t="s">
        <v>122</v>
      </c>
      <c r="F9445" s="4" t="str">
        <f aca="false">IF(I9445&gt;J9445,"Y","N")</f>
        <v>N</v>
      </c>
      <c r="G9445" s="3" t="s">
        <v>101</v>
      </c>
      <c r="H9445" s="3" t="s">
        <v>37</v>
      </c>
      <c r="I9445" s="4" t="n">
        <v>8</v>
      </c>
      <c r="J9445" s="4" t="n">
        <f aca="false">LEN(E9445)-LEN(SUBSTITUTE(E9445,",",""))+1</f>
        <v>8</v>
      </c>
      <c r="K9445" s="3" t="str">
        <f aca="false">IFERROR(INDEX('Teacher Lookup'!$B$2:$B$200,MATCH(A9445,'Teacher Lookup'!$A$2:$A$200,0)),"")</f>
        <v>CHAN Sky</v>
      </c>
    </row>
    <row r="9446" customFormat="false" ht="15" hidden="false" customHeight="false" outlineLevel="0" collapsed="false">
      <c r="A9446" s="3" t="s">
        <v>509</v>
      </c>
      <c r="B9446" s="4" t="s">
        <v>66</v>
      </c>
      <c r="C9446" s="4" t="n">
        <v>7</v>
      </c>
      <c r="D9446" s="4" t="s">
        <v>137</v>
      </c>
      <c r="E9446" s="3" t="s">
        <v>125</v>
      </c>
      <c r="F9446" s="4" t="str">
        <f aca="false">IF(I9446&gt;J9446,"Y","N")</f>
        <v>N</v>
      </c>
      <c r="G9446" s="3" t="s">
        <v>126</v>
      </c>
      <c r="H9446" s="3" t="s">
        <v>39</v>
      </c>
      <c r="I9446" s="4" t="n">
        <v>1</v>
      </c>
      <c r="J9446" s="4" t="n">
        <f aca="false">LEN(E9446)-LEN(SUBSTITUTE(E9446,",",""))+1</f>
        <v>1</v>
      </c>
      <c r="K9446" s="3" t="str">
        <f aca="false">IFERROR(INDEX('Teacher Lookup'!$B$2:$B$200,MATCH(A9446,'Teacher Lookup'!$A$2:$A$200,0)),"")</f>
        <v>CHAN Sky</v>
      </c>
    </row>
    <row r="9447" customFormat="false" ht="15" hidden="false" customHeight="false" outlineLevel="0" collapsed="false">
      <c r="A9447" s="3" t="s">
        <v>510</v>
      </c>
      <c r="B9447" s="4" t="s">
        <v>12</v>
      </c>
      <c r="C9447" s="4" t="n">
        <v>1</v>
      </c>
      <c r="D9447" s="4" t="s">
        <v>52</v>
      </c>
      <c r="E9447" s="3" t="s">
        <v>301</v>
      </c>
      <c r="F9447" s="4" t="str">
        <f aca="false">IF(I9447&gt;J9447,"Y","N")</f>
        <v>N</v>
      </c>
      <c r="G9447" s="3" t="s">
        <v>15</v>
      </c>
      <c r="H9447" s="3" t="s">
        <v>16</v>
      </c>
      <c r="I9447" s="4" t="n">
        <v>7</v>
      </c>
      <c r="J9447" s="4" t="n">
        <f aca="false">LEN(E9447)-LEN(SUBSTITUTE(E9447,",",""))+1</f>
        <v>7</v>
      </c>
      <c r="K9447" s="3" t="str">
        <f aca="false">IFERROR(INDEX('Teacher Lookup'!$B$2:$B$200,MATCH(A9447,'Teacher Lookup'!$A$2:$A$200,0)),"")</f>
        <v>CHAN So Ying</v>
      </c>
    </row>
    <row r="9448" customFormat="false" ht="15" hidden="false" customHeight="false" outlineLevel="0" collapsed="false">
      <c r="A9448" s="3" t="s">
        <v>510</v>
      </c>
      <c r="B9448" s="4" t="s">
        <v>12</v>
      </c>
      <c r="C9448" s="4" t="n">
        <v>1</v>
      </c>
      <c r="D9448" s="4" t="s">
        <v>55</v>
      </c>
      <c r="E9448" s="3" t="s">
        <v>301</v>
      </c>
      <c r="F9448" s="4" t="str">
        <f aca="false">IF(I9448&gt;J9448,"Y","N")</f>
        <v>N</v>
      </c>
      <c r="G9448" s="3" t="s">
        <v>15</v>
      </c>
      <c r="H9448" s="3" t="s">
        <v>16</v>
      </c>
      <c r="I9448" s="4" t="n">
        <v>7</v>
      </c>
      <c r="J9448" s="4" t="n">
        <f aca="false">LEN(E9448)-LEN(SUBSTITUTE(E9448,",",""))+1</f>
        <v>7</v>
      </c>
      <c r="K9448" s="3" t="str">
        <f aca="false">IFERROR(INDEX('Teacher Lookup'!$B$2:$B$200,MATCH(A9448,'Teacher Lookup'!$A$2:$A$200,0)),"")</f>
        <v>CHAN So Ying</v>
      </c>
    </row>
    <row r="9449" customFormat="false" ht="15" hidden="false" customHeight="false" outlineLevel="0" collapsed="false">
      <c r="A9449" s="3" t="s">
        <v>510</v>
      </c>
      <c r="B9449" s="4" t="s">
        <v>12</v>
      </c>
      <c r="C9449" s="4" t="n">
        <v>1</v>
      </c>
      <c r="D9449" s="4" t="s">
        <v>56</v>
      </c>
      <c r="E9449" s="3" t="s">
        <v>301</v>
      </c>
      <c r="F9449" s="4" t="str">
        <f aca="false">IF(I9449&gt;J9449,"Y","N")</f>
        <v>N</v>
      </c>
      <c r="G9449" s="3" t="s">
        <v>15</v>
      </c>
      <c r="H9449" s="3" t="s">
        <v>16</v>
      </c>
      <c r="I9449" s="4" t="n">
        <v>7</v>
      </c>
      <c r="J9449" s="4" t="n">
        <f aca="false">LEN(E9449)-LEN(SUBSTITUTE(E9449,",",""))+1</f>
        <v>7</v>
      </c>
      <c r="K9449" s="3" t="str">
        <f aca="false">IFERROR(INDEX('Teacher Lookup'!$B$2:$B$200,MATCH(A9449,'Teacher Lookup'!$A$2:$A$200,0)),"")</f>
        <v>CHAN So Ying</v>
      </c>
    </row>
    <row r="9450" customFormat="false" ht="15" hidden="false" customHeight="false" outlineLevel="0" collapsed="false">
      <c r="A9450" s="3" t="s">
        <v>510</v>
      </c>
      <c r="B9450" s="4" t="s">
        <v>12</v>
      </c>
      <c r="C9450" s="4" t="n">
        <v>1</v>
      </c>
      <c r="D9450" s="4" t="s">
        <v>57</v>
      </c>
      <c r="E9450" s="3" t="s">
        <v>301</v>
      </c>
      <c r="F9450" s="4" t="str">
        <f aca="false">IF(I9450&gt;J9450,"Y","N")</f>
        <v>N</v>
      </c>
      <c r="G9450" s="3" t="s">
        <v>15</v>
      </c>
      <c r="H9450" s="3" t="s">
        <v>16</v>
      </c>
      <c r="I9450" s="4" t="n">
        <v>7</v>
      </c>
      <c r="J9450" s="4" t="n">
        <f aca="false">LEN(E9450)-LEN(SUBSTITUTE(E9450,",",""))+1</f>
        <v>7</v>
      </c>
      <c r="K9450" s="3" t="str">
        <f aca="false">IFERROR(INDEX('Teacher Lookup'!$B$2:$B$200,MATCH(A9450,'Teacher Lookup'!$A$2:$A$200,0)),"")</f>
        <v>CHAN So Ying</v>
      </c>
    </row>
    <row r="9451" customFormat="false" ht="15" hidden="false" customHeight="false" outlineLevel="0" collapsed="false">
      <c r="A9451" s="3" t="s">
        <v>510</v>
      </c>
      <c r="B9451" s="4" t="s">
        <v>12</v>
      </c>
      <c r="C9451" s="4" t="n">
        <v>1</v>
      </c>
      <c r="D9451" s="4" t="s">
        <v>58</v>
      </c>
      <c r="E9451" s="3" t="s">
        <v>301</v>
      </c>
      <c r="F9451" s="4" t="str">
        <f aca="false">IF(I9451&gt;J9451,"Y","N")</f>
        <v>N</v>
      </c>
      <c r="G9451" s="3" t="s">
        <v>15</v>
      </c>
      <c r="H9451" s="3" t="s">
        <v>16</v>
      </c>
      <c r="I9451" s="4" t="n">
        <v>7</v>
      </c>
      <c r="J9451" s="4" t="n">
        <f aca="false">LEN(E9451)-LEN(SUBSTITUTE(E9451,",",""))+1</f>
        <v>7</v>
      </c>
      <c r="K9451" s="3" t="str">
        <f aca="false">IFERROR(INDEX('Teacher Lookup'!$B$2:$B$200,MATCH(A9451,'Teacher Lookup'!$A$2:$A$200,0)),"")</f>
        <v>CHAN So Ying</v>
      </c>
    </row>
    <row r="9452" customFormat="false" ht="15" hidden="false" customHeight="false" outlineLevel="0" collapsed="false">
      <c r="A9452" s="3" t="s">
        <v>510</v>
      </c>
      <c r="B9452" s="4" t="s">
        <v>12</v>
      </c>
      <c r="C9452" s="4" t="n">
        <v>1</v>
      </c>
      <c r="D9452" s="4" t="s">
        <v>59</v>
      </c>
      <c r="E9452" s="3" t="s">
        <v>301</v>
      </c>
      <c r="F9452" s="4" t="str">
        <f aca="false">IF(I9452&gt;J9452,"Y","N")</f>
        <v>N</v>
      </c>
      <c r="G9452" s="3" t="s">
        <v>15</v>
      </c>
      <c r="H9452" s="3" t="s">
        <v>16</v>
      </c>
      <c r="I9452" s="4" t="n">
        <v>7</v>
      </c>
      <c r="J9452" s="4" t="n">
        <f aca="false">LEN(E9452)-LEN(SUBSTITUTE(E9452,",",""))+1</f>
        <v>7</v>
      </c>
      <c r="K9452" s="3" t="str">
        <f aca="false">IFERROR(INDEX('Teacher Lookup'!$B$2:$B$200,MATCH(A9452,'Teacher Lookup'!$A$2:$A$200,0)),"")</f>
        <v>CHAN So Ying</v>
      </c>
    </row>
    <row r="9453" customFormat="false" ht="15" hidden="false" customHeight="false" outlineLevel="0" collapsed="false">
      <c r="A9453" s="3" t="s">
        <v>510</v>
      </c>
      <c r="B9453" s="4" t="s">
        <v>12</v>
      </c>
      <c r="C9453" s="4" t="n">
        <v>2</v>
      </c>
      <c r="D9453" s="4" t="s">
        <v>76</v>
      </c>
      <c r="E9453" s="3" t="s">
        <v>80</v>
      </c>
      <c r="F9453" s="4" t="str">
        <f aca="false">IF(I9453&gt;J9453,"Y","N")</f>
        <v>N</v>
      </c>
      <c r="G9453" s="3" t="s">
        <v>15</v>
      </c>
      <c r="H9453" s="3" t="s">
        <v>21</v>
      </c>
      <c r="I9453" s="4" t="n">
        <v>4</v>
      </c>
      <c r="J9453" s="4" t="n">
        <f aca="false">LEN(E9453)-LEN(SUBSTITUTE(E9453,",",""))+1</f>
        <v>4</v>
      </c>
      <c r="K9453" s="3" t="str">
        <f aca="false">IFERROR(INDEX('Teacher Lookup'!$B$2:$B$200,MATCH(A9453,'Teacher Lookup'!$A$2:$A$200,0)),"")</f>
        <v>CHAN So Ying</v>
      </c>
    </row>
    <row r="9454" customFormat="false" ht="15" hidden="false" customHeight="false" outlineLevel="0" collapsed="false">
      <c r="A9454" s="3" t="s">
        <v>510</v>
      </c>
      <c r="B9454" s="4" t="s">
        <v>12</v>
      </c>
      <c r="C9454" s="4" t="n">
        <v>2</v>
      </c>
      <c r="D9454" s="4" t="s">
        <v>78</v>
      </c>
      <c r="E9454" s="3" t="s">
        <v>80</v>
      </c>
      <c r="F9454" s="4" t="str">
        <f aca="false">IF(I9454&gt;J9454,"Y","N")</f>
        <v>N</v>
      </c>
      <c r="G9454" s="3" t="s">
        <v>15</v>
      </c>
      <c r="H9454" s="3" t="s">
        <v>21</v>
      </c>
      <c r="I9454" s="4" t="n">
        <v>4</v>
      </c>
      <c r="J9454" s="4" t="n">
        <f aca="false">LEN(E9454)-LEN(SUBSTITUTE(E9454,",",""))+1</f>
        <v>4</v>
      </c>
      <c r="K9454" s="3" t="str">
        <f aca="false">IFERROR(INDEX('Teacher Lookup'!$B$2:$B$200,MATCH(A9454,'Teacher Lookup'!$A$2:$A$200,0)),"")</f>
        <v>CHAN So Ying</v>
      </c>
    </row>
    <row r="9455" customFormat="false" ht="15" hidden="false" customHeight="false" outlineLevel="0" collapsed="false">
      <c r="A9455" s="3" t="s">
        <v>510</v>
      </c>
      <c r="B9455" s="4" t="s">
        <v>12</v>
      </c>
      <c r="C9455" s="4" t="n">
        <v>2</v>
      </c>
      <c r="D9455" s="4" t="s">
        <v>79</v>
      </c>
      <c r="E9455" s="3" t="s">
        <v>80</v>
      </c>
      <c r="F9455" s="4" t="str">
        <f aca="false">IF(I9455&gt;J9455,"Y","N")</f>
        <v>N</v>
      </c>
      <c r="G9455" s="3" t="s">
        <v>15</v>
      </c>
      <c r="H9455" s="3" t="s">
        <v>21</v>
      </c>
      <c r="I9455" s="4" t="n">
        <v>4</v>
      </c>
      <c r="J9455" s="4" t="n">
        <f aca="false">LEN(E9455)-LEN(SUBSTITUTE(E9455,",",""))+1</f>
        <v>4</v>
      </c>
      <c r="K9455" s="3" t="str">
        <f aca="false">IFERROR(INDEX('Teacher Lookup'!$B$2:$B$200,MATCH(A9455,'Teacher Lookup'!$A$2:$A$200,0)),"")</f>
        <v>CHAN So Ying</v>
      </c>
    </row>
    <row r="9456" customFormat="false" ht="15" hidden="false" customHeight="false" outlineLevel="0" collapsed="false">
      <c r="A9456" s="3" t="s">
        <v>510</v>
      </c>
      <c r="B9456" s="4" t="s">
        <v>12</v>
      </c>
      <c r="C9456" s="4" t="n">
        <v>6</v>
      </c>
      <c r="D9456" s="4" t="s">
        <v>52</v>
      </c>
      <c r="E9456" s="3" t="s">
        <v>357</v>
      </c>
      <c r="F9456" s="4" t="str">
        <f aca="false">IF(I9456&gt;J9456,"Y","N")</f>
        <v>Y</v>
      </c>
      <c r="G9456" s="3" t="s">
        <v>358</v>
      </c>
      <c r="H9456" s="3" t="s">
        <v>42</v>
      </c>
      <c r="I9456" s="4" t="n">
        <v>9</v>
      </c>
      <c r="J9456" s="4" t="n">
        <f aca="false">LEN(E9456)-LEN(SUBSTITUTE(E9456,",",""))+1</f>
        <v>8</v>
      </c>
      <c r="K9456" s="3" t="str">
        <f aca="false">IFERROR(INDEX('Teacher Lookup'!$B$2:$B$200,MATCH(A9456,'Teacher Lookup'!$A$2:$A$200,0)),"")</f>
        <v>CHAN So Ying</v>
      </c>
    </row>
    <row r="9457" customFormat="false" ht="15" hidden="false" customHeight="false" outlineLevel="0" collapsed="false">
      <c r="A9457" s="3" t="s">
        <v>510</v>
      </c>
      <c r="B9457" s="4" t="s">
        <v>12</v>
      </c>
      <c r="C9457" s="4" t="n">
        <v>6</v>
      </c>
      <c r="D9457" s="4" t="s">
        <v>55</v>
      </c>
      <c r="E9457" s="3" t="s">
        <v>357</v>
      </c>
      <c r="F9457" s="4" t="str">
        <f aca="false">IF(I9457&gt;J9457,"Y","N")</f>
        <v>Y</v>
      </c>
      <c r="G9457" s="3" t="s">
        <v>358</v>
      </c>
      <c r="H9457" s="3" t="s">
        <v>42</v>
      </c>
      <c r="I9457" s="4" t="n">
        <v>9</v>
      </c>
      <c r="J9457" s="4" t="n">
        <f aca="false">LEN(E9457)-LEN(SUBSTITUTE(E9457,",",""))+1</f>
        <v>8</v>
      </c>
      <c r="K9457" s="3" t="str">
        <f aca="false">IFERROR(INDEX('Teacher Lookup'!$B$2:$B$200,MATCH(A9457,'Teacher Lookup'!$A$2:$A$200,0)),"")</f>
        <v>CHAN So Ying</v>
      </c>
    </row>
    <row r="9458" customFormat="false" ht="15" hidden="false" customHeight="false" outlineLevel="0" collapsed="false">
      <c r="A9458" s="3" t="s">
        <v>510</v>
      </c>
      <c r="B9458" s="4" t="s">
        <v>12</v>
      </c>
      <c r="C9458" s="4" t="n">
        <v>6</v>
      </c>
      <c r="D9458" s="4" t="s">
        <v>56</v>
      </c>
      <c r="E9458" s="3" t="s">
        <v>357</v>
      </c>
      <c r="F9458" s="4" t="str">
        <f aca="false">IF(I9458&gt;J9458,"Y","N")</f>
        <v>Y</v>
      </c>
      <c r="G9458" s="3" t="s">
        <v>358</v>
      </c>
      <c r="H9458" s="3" t="s">
        <v>42</v>
      </c>
      <c r="I9458" s="4" t="n">
        <v>9</v>
      </c>
      <c r="J9458" s="4" t="n">
        <f aca="false">LEN(E9458)-LEN(SUBSTITUTE(E9458,",",""))+1</f>
        <v>8</v>
      </c>
      <c r="K9458" s="3" t="str">
        <f aca="false">IFERROR(INDEX('Teacher Lookup'!$B$2:$B$200,MATCH(A9458,'Teacher Lookup'!$A$2:$A$200,0)),"")</f>
        <v>CHAN So Ying</v>
      </c>
    </row>
    <row r="9459" customFormat="false" ht="15" hidden="false" customHeight="false" outlineLevel="0" collapsed="false">
      <c r="A9459" s="3" t="s">
        <v>510</v>
      </c>
      <c r="B9459" s="4" t="s">
        <v>12</v>
      </c>
      <c r="C9459" s="4" t="n">
        <v>6</v>
      </c>
      <c r="D9459" s="4" t="s">
        <v>57</v>
      </c>
      <c r="E9459" s="3" t="s">
        <v>357</v>
      </c>
      <c r="F9459" s="4" t="str">
        <f aca="false">IF(I9459&gt;J9459,"Y","N")</f>
        <v>Y</v>
      </c>
      <c r="G9459" s="3" t="s">
        <v>358</v>
      </c>
      <c r="H9459" s="3" t="s">
        <v>42</v>
      </c>
      <c r="I9459" s="4" t="n">
        <v>9</v>
      </c>
      <c r="J9459" s="4" t="n">
        <f aca="false">LEN(E9459)-LEN(SUBSTITUTE(E9459,",",""))+1</f>
        <v>8</v>
      </c>
      <c r="K9459" s="3" t="str">
        <f aca="false">IFERROR(INDEX('Teacher Lookup'!$B$2:$B$200,MATCH(A9459,'Teacher Lookup'!$A$2:$A$200,0)),"")</f>
        <v>CHAN So Ying</v>
      </c>
    </row>
    <row r="9460" customFormat="false" ht="15" hidden="false" customHeight="false" outlineLevel="0" collapsed="false">
      <c r="A9460" s="3" t="s">
        <v>510</v>
      </c>
      <c r="B9460" s="4" t="s">
        <v>12</v>
      </c>
      <c r="C9460" s="4" t="n">
        <v>6</v>
      </c>
      <c r="D9460" s="4" t="s">
        <v>58</v>
      </c>
      <c r="E9460" s="3" t="s">
        <v>357</v>
      </c>
      <c r="F9460" s="4" t="str">
        <f aca="false">IF(I9460&gt;J9460,"Y","N")</f>
        <v>Y</v>
      </c>
      <c r="G9460" s="3" t="s">
        <v>358</v>
      </c>
      <c r="H9460" s="3" t="s">
        <v>42</v>
      </c>
      <c r="I9460" s="4" t="n">
        <v>9</v>
      </c>
      <c r="J9460" s="4" t="n">
        <f aca="false">LEN(E9460)-LEN(SUBSTITUTE(E9460,",",""))+1</f>
        <v>8</v>
      </c>
      <c r="K9460" s="3" t="str">
        <f aca="false">IFERROR(INDEX('Teacher Lookup'!$B$2:$B$200,MATCH(A9460,'Teacher Lookup'!$A$2:$A$200,0)),"")</f>
        <v>CHAN So Ying</v>
      </c>
    </row>
    <row r="9461" customFormat="false" ht="15" hidden="false" customHeight="false" outlineLevel="0" collapsed="false">
      <c r="A9461" s="3" t="s">
        <v>510</v>
      </c>
      <c r="B9461" s="4" t="s">
        <v>12</v>
      </c>
      <c r="C9461" s="4" t="n">
        <v>6</v>
      </c>
      <c r="D9461" s="4" t="s">
        <v>59</v>
      </c>
      <c r="E9461" s="3" t="s">
        <v>357</v>
      </c>
      <c r="F9461" s="4" t="str">
        <f aca="false">IF(I9461&gt;J9461,"Y","N")</f>
        <v>Y</v>
      </c>
      <c r="G9461" s="3" t="s">
        <v>358</v>
      </c>
      <c r="H9461" s="3" t="s">
        <v>42</v>
      </c>
      <c r="I9461" s="4" t="n">
        <v>9</v>
      </c>
      <c r="J9461" s="4" t="n">
        <f aca="false">LEN(E9461)-LEN(SUBSTITUTE(E9461,",",""))+1</f>
        <v>8</v>
      </c>
      <c r="K9461" s="3" t="str">
        <f aca="false">IFERROR(INDEX('Teacher Lookup'!$B$2:$B$200,MATCH(A9461,'Teacher Lookup'!$A$2:$A$200,0)),"")</f>
        <v>CHAN So Ying</v>
      </c>
    </row>
    <row r="9462" customFormat="false" ht="15" hidden="false" customHeight="false" outlineLevel="0" collapsed="false">
      <c r="A9462" s="3" t="s">
        <v>510</v>
      </c>
      <c r="B9462" s="4" t="s">
        <v>12</v>
      </c>
      <c r="C9462" s="4" t="n">
        <v>7</v>
      </c>
      <c r="D9462" s="4" t="s">
        <v>52</v>
      </c>
      <c r="E9462" s="3" t="s">
        <v>357</v>
      </c>
      <c r="F9462" s="4" t="str">
        <f aca="false">IF(I9462&gt;J9462,"Y","N")</f>
        <v>Y</v>
      </c>
      <c r="G9462" s="3" t="s">
        <v>358</v>
      </c>
      <c r="H9462" s="3" t="s">
        <v>39</v>
      </c>
      <c r="I9462" s="4" t="n">
        <v>9</v>
      </c>
      <c r="J9462" s="4" t="n">
        <f aca="false">LEN(E9462)-LEN(SUBSTITUTE(E9462,",",""))+1</f>
        <v>8</v>
      </c>
      <c r="K9462" s="3" t="str">
        <f aca="false">IFERROR(INDEX('Teacher Lookup'!$B$2:$B$200,MATCH(A9462,'Teacher Lookup'!$A$2:$A$200,0)),"")</f>
        <v>CHAN So Ying</v>
      </c>
    </row>
    <row r="9463" customFormat="false" ht="15" hidden="false" customHeight="false" outlineLevel="0" collapsed="false">
      <c r="A9463" s="3" t="s">
        <v>510</v>
      </c>
      <c r="B9463" s="4" t="s">
        <v>12</v>
      </c>
      <c r="C9463" s="4" t="n">
        <v>7</v>
      </c>
      <c r="D9463" s="4" t="s">
        <v>55</v>
      </c>
      <c r="E9463" s="3" t="s">
        <v>357</v>
      </c>
      <c r="F9463" s="4" t="str">
        <f aca="false">IF(I9463&gt;J9463,"Y","N")</f>
        <v>Y</v>
      </c>
      <c r="G9463" s="3" t="s">
        <v>358</v>
      </c>
      <c r="H9463" s="3" t="s">
        <v>39</v>
      </c>
      <c r="I9463" s="4" t="n">
        <v>9</v>
      </c>
      <c r="J9463" s="4" t="n">
        <f aca="false">LEN(E9463)-LEN(SUBSTITUTE(E9463,",",""))+1</f>
        <v>8</v>
      </c>
      <c r="K9463" s="3" t="str">
        <f aca="false">IFERROR(INDEX('Teacher Lookup'!$B$2:$B$200,MATCH(A9463,'Teacher Lookup'!$A$2:$A$200,0)),"")</f>
        <v>CHAN So Ying</v>
      </c>
    </row>
    <row r="9464" customFormat="false" ht="15" hidden="false" customHeight="false" outlineLevel="0" collapsed="false">
      <c r="A9464" s="3" t="s">
        <v>510</v>
      </c>
      <c r="B9464" s="4" t="s">
        <v>12</v>
      </c>
      <c r="C9464" s="4" t="n">
        <v>7</v>
      </c>
      <c r="D9464" s="4" t="s">
        <v>56</v>
      </c>
      <c r="E9464" s="3" t="s">
        <v>357</v>
      </c>
      <c r="F9464" s="4" t="str">
        <f aca="false">IF(I9464&gt;J9464,"Y","N")</f>
        <v>Y</v>
      </c>
      <c r="G9464" s="3" t="s">
        <v>358</v>
      </c>
      <c r="H9464" s="3" t="s">
        <v>39</v>
      </c>
      <c r="I9464" s="4" t="n">
        <v>9</v>
      </c>
      <c r="J9464" s="4" t="n">
        <f aca="false">LEN(E9464)-LEN(SUBSTITUTE(E9464,",",""))+1</f>
        <v>8</v>
      </c>
      <c r="K9464" s="3" t="str">
        <f aca="false">IFERROR(INDEX('Teacher Lookup'!$B$2:$B$200,MATCH(A9464,'Teacher Lookup'!$A$2:$A$200,0)),"")</f>
        <v>CHAN So Ying</v>
      </c>
    </row>
    <row r="9465" customFormat="false" ht="15" hidden="false" customHeight="false" outlineLevel="0" collapsed="false">
      <c r="A9465" s="3" t="s">
        <v>510</v>
      </c>
      <c r="B9465" s="4" t="s">
        <v>12</v>
      </c>
      <c r="C9465" s="4" t="n">
        <v>7</v>
      </c>
      <c r="D9465" s="4" t="s">
        <v>57</v>
      </c>
      <c r="E9465" s="3" t="s">
        <v>357</v>
      </c>
      <c r="F9465" s="4" t="str">
        <f aca="false">IF(I9465&gt;J9465,"Y","N")</f>
        <v>Y</v>
      </c>
      <c r="G9465" s="3" t="s">
        <v>358</v>
      </c>
      <c r="H9465" s="3" t="s">
        <v>39</v>
      </c>
      <c r="I9465" s="4" t="n">
        <v>9</v>
      </c>
      <c r="J9465" s="4" t="n">
        <f aca="false">LEN(E9465)-LEN(SUBSTITUTE(E9465,",",""))+1</f>
        <v>8</v>
      </c>
      <c r="K9465" s="3" t="str">
        <f aca="false">IFERROR(INDEX('Teacher Lookup'!$B$2:$B$200,MATCH(A9465,'Teacher Lookup'!$A$2:$A$200,0)),"")</f>
        <v>CHAN So Ying</v>
      </c>
    </row>
    <row r="9466" customFormat="false" ht="15" hidden="false" customHeight="false" outlineLevel="0" collapsed="false">
      <c r="A9466" s="3" t="s">
        <v>510</v>
      </c>
      <c r="B9466" s="4" t="s">
        <v>12</v>
      </c>
      <c r="C9466" s="4" t="n">
        <v>7</v>
      </c>
      <c r="D9466" s="4" t="s">
        <v>58</v>
      </c>
      <c r="E9466" s="3" t="s">
        <v>357</v>
      </c>
      <c r="F9466" s="4" t="str">
        <f aca="false">IF(I9466&gt;J9466,"Y","N")</f>
        <v>Y</v>
      </c>
      <c r="G9466" s="3" t="s">
        <v>358</v>
      </c>
      <c r="H9466" s="3" t="s">
        <v>39</v>
      </c>
      <c r="I9466" s="4" t="n">
        <v>9</v>
      </c>
      <c r="J9466" s="4" t="n">
        <f aca="false">LEN(E9466)-LEN(SUBSTITUTE(E9466,",",""))+1</f>
        <v>8</v>
      </c>
      <c r="K9466" s="3" t="str">
        <f aca="false">IFERROR(INDEX('Teacher Lookup'!$B$2:$B$200,MATCH(A9466,'Teacher Lookup'!$A$2:$A$200,0)),"")</f>
        <v>CHAN So Ying</v>
      </c>
    </row>
    <row r="9467" customFormat="false" ht="15" hidden="false" customHeight="false" outlineLevel="0" collapsed="false">
      <c r="A9467" s="3" t="s">
        <v>510</v>
      </c>
      <c r="B9467" s="4" t="s">
        <v>12</v>
      </c>
      <c r="C9467" s="4" t="n">
        <v>7</v>
      </c>
      <c r="D9467" s="4" t="s">
        <v>59</v>
      </c>
      <c r="E9467" s="3" t="s">
        <v>357</v>
      </c>
      <c r="F9467" s="4" t="str">
        <f aca="false">IF(I9467&gt;J9467,"Y","N")</f>
        <v>Y</v>
      </c>
      <c r="G9467" s="3" t="s">
        <v>358</v>
      </c>
      <c r="H9467" s="3" t="s">
        <v>39</v>
      </c>
      <c r="I9467" s="4" t="n">
        <v>9</v>
      </c>
      <c r="J9467" s="4" t="n">
        <f aca="false">LEN(E9467)-LEN(SUBSTITUTE(E9467,",",""))+1</f>
        <v>8</v>
      </c>
      <c r="K9467" s="3" t="str">
        <f aca="false">IFERROR(INDEX('Teacher Lookup'!$B$2:$B$200,MATCH(A9467,'Teacher Lookup'!$A$2:$A$200,0)),"")</f>
        <v>CHAN So Ying</v>
      </c>
    </row>
    <row r="9468" customFormat="false" ht="15" hidden="false" customHeight="false" outlineLevel="0" collapsed="false">
      <c r="A9468" s="3" t="s">
        <v>510</v>
      </c>
      <c r="B9468" s="4" t="s">
        <v>31</v>
      </c>
      <c r="C9468" s="4" t="n">
        <v>2</v>
      </c>
      <c r="D9468" s="4" t="s">
        <v>52</v>
      </c>
      <c r="E9468" s="3" t="s">
        <v>303</v>
      </c>
      <c r="F9468" s="4" t="str">
        <f aca="false">IF(I9468&gt;J9468,"Y","N")</f>
        <v>N</v>
      </c>
      <c r="G9468" s="3" t="s">
        <v>15</v>
      </c>
      <c r="H9468" s="3" t="s">
        <v>21</v>
      </c>
      <c r="I9468" s="4" t="n">
        <v>7</v>
      </c>
      <c r="J9468" s="4" t="n">
        <f aca="false">LEN(E9468)-LEN(SUBSTITUTE(E9468,",",""))+1</f>
        <v>7</v>
      </c>
      <c r="K9468" s="3" t="str">
        <f aca="false">IFERROR(INDEX('Teacher Lookup'!$B$2:$B$200,MATCH(A9468,'Teacher Lookup'!$A$2:$A$200,0)),"")</f>
        <v>CHAN So Ying</v>
      </c>
    </row>
    <row r="9469" customFormat="false" ht="15" hidden="false" customHeight="false" outlineLevel="0" collapsed="false">
      <c r="A9469" s="3" t="s">
        <v>510</v>
      </c>
      <c r="B9469" s="4" t="s">
        <v>31</v>
      </c>
      <c r="C9469" s="4" t="n">
        <v>2</v>
      </c>
      <c r="D9469" s="4" t="s">
        <v>55</v>
      </c>
      <c r="E9469" s="3" t="s">
        <v>303</v>
      </c>
      <c r="F9469" s="4" t="str">
        <f aca="false">IF(I9469&gt;J9469,"Y","N")</f>
        <v>N</v>
      </c>
      <c r="G9469" s="3" t="s">
        <v>15</v>
      </c>
      <c r="H9469" s="3" t="s">
        <v>21</v>
      </c>
      <c r="I9469" s="4" t="n">
        <v>7</v>
      </c>
      <c r="J9469" s="4" t="n">
        <f aca="false">LEN(E9469)-LEN(SUBSTITUTE(E9469,",",""))+1</f>
        <v>7</v>
      </c>
      <c r="K9469" s="3" t="str">
        <f aca="false">IFERROR(INDEX('Teacher Lookup'!$B$2:$B$200,MATCH(A9469,'Teacher Lookup'!$A$2:$A$200,0)),"")</f>
        <v>CHAN So Ying</v>
      </c>
    </row>
    <row r="9470" customFormat="false" ht="15" hidden="false" customHeight="false" outlineLevel="0" collapsed="false">
      <c r="A9470" s="3" t="s">
        <v>510</v>
      </c>
      <c r="B9470" s="4" t="s">
        <v>31</v>
      </c>
      <c r="C9470" s="4" t="n">
        <v>2</v>
      </c>
      <c r="D9470" s="4" t="s">
        <v>56</v>
      </c>
      <c r="E9470" s="3" t="s">
        <v>303</v>
      </c>
      <c r="F9470" s="4" t="str">
        <f aca="false">IF(I9470&gt;J9470,"Y","N")</f>
        <v>N</v>
      </c>
      <c r="G9470" s="3" t="s">
        <v>15</v>
      </c>
      <c r="H9470" s="3" t="s">
        <v>21</v>
      </c>
      <c r="I9470" s="4" t="n">
        <v>7</v>
      </c>
      <c r="J9470" s="4" t="n">
        <f aca="false">LEN(E9470)-LEN(SUBSTITUTE(E9470,",",""))+1</f>
        <v>7</v>
      </c>
      <c r="K9470" s="3" t="str">
        <f aca="false">IFERROR(INDEX('Teacher Lookup'!$B$2:$B$200,MATCH(A9470,'Teacher Lookup'!$A$2:$A$200,0)),"")</f>
        <v>CHAN So Ying</v>
      </c>
    </row>
    <row r="9471" customFormat="false" ht="15" hidden="false" customHeight="false" outlineLevel="0" collapsed="false">
      <c r="A9471" s="3" t="s">
        <v>510</v>
      </c>
      <c r="B9471" s="4" t="s">
        <v>31</v>
      </c>
      <c r="C9471" s="4" t="n">
        <v>2</v>
      </c>
      <c r="D9471" s="4" t="s">
        <v>57</v>
      </c>
      <c r="E9471" s="3" t="s">
        <v>303</v>
      </c>
      <c r="F9471" s="4" t="str">
        <f aca="false">IF(I9471&gt;J9471,"Y","N")</f>
        <v>N</v>
      </c>
      <c r="G9471" s="3" t="s">
        <v>15</v>
      </c>
      <c r="H9471" s="3" t="s">
        <v>21</v>
      </c>
      <c r="I9471" s="4" t="n">
        <v>7</v>
      </c>
      <c r="J9471" s="4" t="n">
        <f aca="false">LEN(E9471)-LEN(SUBSTITUTE(E9471,",",""))+1</f>
        <v>7</v>
      </c>
      <c r="K9471" s="3" t="str">
        <f aca="false">IFERROR(INDEX('Teacher Lookup'!$B$2:$B$200,MATCH(A9471,'Teacher Lookup'!$A$2:$A$200,0)),"")</f>
        <v>CHAN So Ying</v>
      </c>
    </row>
    <row r="9472" customFormat="false" ht="15" hidden="false" customHeight="false" outlineLevel="0" collapsed="false">
      <c r="A9472" s="3" t="s">
        <v>510</v>
      </c>
      <c r="B9472" s="4" t="s">
        <v>31</v>
      </c>
      <c r="C9472" s="4" t="n">
        <v>2</v>
      </c>
      <c r="D9472" s="4" t="s">
        <v>58</v>
      </c>
      <c r="E9472" s="3" t="s">
        <v>303</v>
      </c>
      <c r="F9472" s="4" t="str">
        <f aca="false">IF(I9472&gt;J9472,"Y","N")</f>
        <v>N</v>
      </c>
      <c r="G9472" s="3" t="s">
        <v>15</v>
      </c>
      <c r="H9472" s="3" t="s">
        <v>21</v>
      </c>
      <c r="I9472" s="4" t="n">
        <v>7</v>
      </c>
      <c r="J9472" s="4" t="n">
        <f aca="false">LEN(E9472)-LEN(SUBSTITUTE(E9472,",",""))+1</f>
        <v>7</v>
      </c>
      <c r="K9472" s="3" t="str">
        <f aca="false">IFERROR(INDEX('Teacher Lookup'!$B$2:$B$200,MATCH(A9472,'Teacher Lookup'!$A$2:$A$200,0)),"")</f>
        <v>CHAN So Ying</v>
      </c>
    </row>
    <row r="9473" customFormat="false" ht="15" hidden="false" customHeight="false" outlineLevel="0" collapsed="false">
      <c r="A9473" s="3" t="s">
        <v>510</v>
      </c>
      <c r="B9473" s="4" t="s">
        <v>31</v>
      </c>
      <c r="C9473" s="4" t="n">
        <v>2</v>
      </c>
      <c r="D9473" s="4" t="s">
        <v>59</v>
      </c>
      <c r="E9473" s="3" t="s">
        <v>303</v>
      </c>
      <c r="F9473" s="4" t="str">
        <f aca="false">IF(I9473&gt;J9473,"Y","N")</f>
        <v>N</v>
      </c>
      <c r="G9473" s="3" t="s">
        <v>15</v>
      </c>
      <c r="H9473" s="3" t="s">
        <v>21</v>
      </c>
      <c r="I9473" s="4" t="n">
        <v>7</v>
      </c>
      <c r="J9473" s="4" t="n">
        <f aca="false">LEN(E9473)-LEN(SUBSTITUTE(E9473,",",""))+1</f>
        <v>7</v>
      </c>
      <c r="K9473" s="3" t="str">
        <f aca="false">IFERROR(INDEX('Teacher Lookup'!$B$2:$B$200,MATCH(A9473,'Teacher Lookup'!$A$2:$A$200,0)),"")</f>
        <v>CHAN So Ying</v>
      </c>
    </row>
    <row r="9474" customFormat="false" ht="15" hidden="false" customHeight="false" outlineLevel="0" collapsed="false">
      <c r="A9474" s="3" t="s">
        <v>510</v>
      </c>
      <c r="B9474" s="4" t="s">
        <v>31</v>
      </c>
      <c r="C9474" s="4" t="n">
        <v>5</v>
      </c>
      <c r="D9474" s="4" t="s">
        <v>52</v>
      </c>
      <c r="E9474" s="3" t="s">
        <v>112</v>
      </c>
      <c r="F9474" s="4" t="str">
        <f aca="false">IF(I9474&gt;J9474,"Y","N")</f>
        <v>Y</v>
      </c>
      <c r="G9474" s="3" t="s">
        <v>36</v>
      </c>
      <c r="H9474" s="3" t="s">
        <v>37</v>
      </c>
      <c r="I9474" s="4" t="n">
        <v>16</v>
      </c>
      <c r="J9474" s="4" t="n">
        <f aca="false">LEN(E9474)-LEN(SUBSTITUTE(E9474,",",""))+1</f>
        <v>7</v>
      </c>
      <c r="K9474" s="3" t="str">
        <f aca="false">IFERROR(INDEX('Teacher Lookup'!$B$2:$B$200,MATCH(A9474,'Teacher Lookup'!$A$2:$A$200,0)),"")</f>
        <v>CHAN So Ying</v>
      </c>
    </row>
    <row r="9475" customFormat="false" ht="15" hidden="false" customHeight="false" outlineLevel="0" collapsed="false">
      <c r="A9475" s="3" t="s">
        <v>510</v>
      </c>
      <c r="B9475" s="4" t="s">
        <v>31</v>
      </c>
      <c r="C9475" s="4" t="n">
        <v>5</v>
      </c>
      <c r="D9475" s="4" t="s">
        <v>55</v>
      </c>
      <c r="E9475" s="3" t="s">
        <v>112</v>
      </c>
      <c r="F9475" s="4" t="str">
        <f aca="false">IF(I9475&gt;J9475,"Y","N")</f>
        <v>Y</v>
      </c>
      <c r="G9475" s="3" t="s">
        <v>36</v>
      </c>
      <c r="H9475" s="3" t="s">
        <v>37</v>
      </c>
      <c r="I9475" s="4" t="n">
        <v>16</v>
      </c>
      <c r="J9475" s="4" t="n">
        <f aca="false">LEN(E9475)-LEN(SUBSTITUTE(E9475,",",""))+1</f>
        <v>7</v>
      </c>
      <c r="K9475" s="3" t="str">
        <f aca="false">IFERROR(INDEX('Teacher Lookup'!$B$2:$B$200,MATCH(A9475,'Teacher Lookup'!$A$2:$A$200,0)),"")</f>
        <v>CHAN So Ying</v>
      </c>
    </row>
    <row r="9476" customFormat="false" ht="15" hidden="false" customHeight="false" outlineLevel="0" collapsed="false">
      <c r="A9476" s="3" t="s">
        <v>510</v>
      </c>
      <c r="B9476" s="4" t="s">
        <v>31</v>
      </c>
      <c r="C9476" s="4" t="n">
        <v>5</v>
      </c>
      <c r="D9476" s="4" t="s">
        <v>56</v>
      </c>
      <c r="E9476" s="3" t="s">
        <v>112</v>
      </c>
      <c r="F9476" s="4" t="str">
        <f aca="false">IF(I9476&gt;J9476,"Y","N")</f>
        <v>Y</v>
      </c>
      <c r="G9476" s="3" t="s">
        <v>36</v>
      </c>
      <c r="H9476" s="3" t="s">
        <v>37</v>
      </c>
      <c r="I9476" s="4" t="n">
        <v>16</v>
      </c>
      <c r="J9476" s="4" t="n">
        <f aca="false">LEN(E9476)-LEN(SUBSTITUTE(E9476,",",""))+1</f>
        <v>7</v>
      </c>
      <c r="K9476" s="3" t="str">
        <f aca="false">IFERROR(INDEX('Teacher Lookup'!$B$2:$B$200,MATCH(A9476,'Teacher Lookup'!$A$2:$A$200,0)),"")</f>
        <v>CHAN So Ying</v>
      </c>
    </row>
    <row r="9477" customFormat="false" ht="15" hidden="false" customHeight="false" outlineLevel="0" collapsed="false">
      <c r="A9477" s="3" t="s">
        <v>510</v>
      </c>
      <c r="B9477" s="4" t="s">
        <v>31</v>
      </c>
      <c r="C9477" s="4" t="n">
        <v>5</v>
      </c>
      <c r="D9477" s="4" t="s">
        <v>57</v>
      </c>
      <c r="E9477" s="3" t="s">
        <v>112</v>
      </c>
      <c r="F9477" s="4" t="str">
        <f aca="false">IF(I9477&gt;J9477,"Y","N")</f>
        <v>Y</v>
      </c>
      <c r="G9477" s="3" t="s">
        <v>36</v>
      </c>
      <c r="H9477" s="3" t="s">
        <v>37</v>
      </c>
      <c r="I9477" s="4" t="n">
        <v>16</v>
      </c>
      <c r="J9477" s="4" t="n">
        <f aca="false">LEN(E9477)-LEN(SUBSTITUTE(E9477,",",""))+1</f>
        <v>7</v>
      </c>
      <c r="K9477" s="3" t="str">
        <f aca="false">IFERROR(INDEX('Teacher Lookup'!$B$2:$B$200,MATCH(A9477,'Teacher Lookup'!$A$2:$A$200,0)),"")</f>
        <v>CHAN So Ying</v>
      </c>
    </row>
    <row r="9478" customFormat="false" ht="15" hidden="false" customHeight="false" outlineLevel="0" collapsed="false">
      <c r="A9478" s="3" t="s">
        <v>510</v>
      </c>
      <c r="B9478" s="4" t="s">
        <v>31</v>
      </c>
      <c r="C9478" s="4" t="n">
        <v>5</v>
      </c>
      <c r="D9478" s="4" t="s">
        <v>58</v>
      </c>
      <c r="E9478" s="3" t="s">
        <v>112</v>
      </c>
      <c r="F9478" s="4" t="str">
        <f aca="false">IF(I9478&gt;J9478,"Y","N")</f>
        <v>Y</v>
      </c>
      <c r="G9478" s="3" t="s">
        <v>36</v>
      </c>
      <c r="H9478" s="3" t="s">
        <v>37</v>
      </c>
      <c r="I9478" s="4" t="n">
        <v>16</v>
      </c>
      <c r="J9478" s="4" t="n">
        <f aca="false">LEN(E9478)-LEN(SUBSTITUTE(E9478,",",""))+1</f>
        <v>7</v>
      </c>
      <c r="K9478" s="3" t="str">
        <f aca="false">IFERROR(INDEX('Teacher Lookup'!$B$2:$B$200,MATCH(A9478,'Teacher Lookup'!$A$2:$A$200,0)),"")</f>
        <v>CHAN So Ying</v>
      </c>
    </row>
    <row r="9479" customFormat="false" ht="15" hidden="false" customHeight="false" outlineLevel="0" collapsed="false">
      <c r="A9479" s="3" t="s">
        <v>510</v>
      </c>
      <c r="B9479" s="4" t="s">
        <v>31</v>
      </c>
      <c r="C9479" s="4" t="n">
        <v>5</v>
      </c>
      <c r="D9479" s="4" t="s">
        <v>59</v>
      </c>
      <c r="E9479" s="3" t="s">
        <v>112</v>
      </c>
      <c r="F9479" s="4" t="str">
        <f aca="false">IF(I9479&gt;J9479,"Y","N")</f>
        <v>Y</v>
      </c>
      <c r="G9479" s="3" t="s">
        <v>36</v>
      </c>
      <c r="H9479" s="3" t="s">
        <v>37</v>
      </c>
      <c r="I9479" s="4" t="n">
        <v>16</v>
      </c>
      <c r="J9479" s="4" t="n">
        <f aca="false">LEN(E9479)-LEN(SUBSTITUTE(E9479,",",""))+1</f>
        <v>7</v>
      </c>
      <c r="K9479" s="3" t="str">
        <f aca="false">IFERROR(INDEX('Teacher Lookup'!$B$2:$B$200,MATCH(A9479,'Teacher Lookup'!$A$2:$A$200,0)),"")</f>
        <v>CHAN So Ying</v>
      </c>
    </row>
    <row r="9480" customFormat="false" ht="15" hidden="false" customHeight="false" outlineLevel="0" collapsed="false">
      <c r="A9480" s="3" t="s">
        <v>510</v>
      </c>
      <c r="B9480" s="4" t="s">
        <v>31</v>
      </c>
      <c r="C9480" s="4" t="n">
        <v>6</v>
      </c>
      <c r="D9480" s="4" t="s">
        <v>76</v>
      </c>
      <c r="E9480" s="3" t="s">
        <v>204</v>
      </c>
      <c r="F9480" s="4" t="str">
        <f aca="false">IF(I9480&gt;J9480,"Y","N")</f>
        <v>N</v>
      </c>
      <c r="G9480" s="3" t="s">
        <v>15</v>
      </c>
      <c r="H9480" s="3" t="s">
        <v>42</v>
      </c>
      <c r="I9480" s="4" t="n">
        <v>4</v>
      </c>
      <c r="J9480" s="4" t="n">
        <f aca="false">LEN(E9480)-LEN(SUBSTITUTE(E9480,",",""))+1</f>
        <v>4</v>
      </c>
      <c r="K9480" s="3" t="str">
        <f aca="false">IFERROR(INDEX('Teacher Lookup'!$B$2:$B$200,MATCH(A9480,'Teacher Lookup'!$A$2:$A$200,0)),"")</f>
        <v>CHAN So Ying</v>
      </c>
    </row>
    <row r="9481" customFormat="false" ht="15" hidden="false" customHeight="false" outlineLevel="0" collapsed="false">
      <c r="A9481" s="3" t="s">
        <v>510</v>
      </c>
      <c r="B9481" s="4" t="s">
        <v>31</v>
      </c>
      <c r="C9481" s="4" t="n">
        <v>6</v>
      </c>
      <c r="D9481" s="4" t="s">
        <v>78</v>
      </c>
      <c r="E9481" s="3" t="s">
        <v>204</v>
      </c>
      <c r="F9481" s="4" t="str">
        <f aca="false">IF(I9481&gt;J9481,"Y","N")</f>
        <v>N</v>
      </c>
      <c r="G9481" s="3" t="s">
        <v>15</v>
      </c>
      <c r="H9481" s="3" t="s">
        <v>42</v>
      </c>
      <c r="I9481" s="4" t="n">
        <v>4</v>
      </c>
      <c r="J9481" s="4" t="n">
        <f aca="false">LEN(E9481)-LEN(SUBSTITUTE(E9481,",",""))+1</f>
        <v>4</v>
      </c>
      <c r="K9481" s="3" t="str">
        <f aca="false">IFERROR(INDEX('Teacher Lookup'!$B$2:$B$200,MATCH(A9481,'Teacher Lookup'!$A$2:$A$200,0)),"")</f>
        <v>CHAN So Ying</v>
      </c>
    </row>
    <row r="9482" customFormat="false" ht="15" hidden="false" customHeight="false" outlineLevel="0" collapsed="false">
      <c r="A9482" s="3" t="s">
        <v>510</v>
      </c>
      <c r="B9482" s="4" t="s">
        <v>31</v>
      </c>
      <c r="C9482" s="4" t="n">
        <v>6</v>
      </c>
      <c r="D9482" s="4" t="s">
        <v>79</v>
      </c>
      <c r="E9482" s="3" t="s">
        <v>204</v>
      </c>
      <c r="F9482" s="4" t="str">
        <f aca="false">IF(I9482&gt;J9482,"Y","N")</f>
        <v>N</v>
      </c>
      <c r="G9482" s="3" t="s">
        <v>15</v>
      </c>
      <c r="H9482" s="3" t="s">
        <v>42</v>
      </c>
      <c r="I9482" s="4" t="n">
        <v>4</v>
      </c>
      <c r="J9482" s="4" t="n">
        <f aca="false">LEN(E9482)-LEN(SUBSTITUTE(E9482,",",""))+1</f>
        <v>4</v>
      </c>
      <c r="K9482" s="3" t="str">
        <f aca="false">IFERROR(INDEX('Teacher Lookup'!$B$2:$B$200,MATCH(A9482,'Teacher Lookup'!$A$2:$A$200,0)),"")</f>
        <v>CHAN So Ying</v>
      </c>
    </row>
    <row r="9483" customFormat="false" ht="15" hidden="false" customHeight="false" outlineLevel="0" collapsed="false">
      <c r="A9483" s="3" t="s">
        <v>510</v>
      </c>
      <c r="B9483" s="4" t="s">
        <v>40</v>
      </c>
      <c r="C9483" s="4" t="n">
        <v>3</v>
      </c>
      <c r="D9483" s="4" t="s">
        <v>76</v>
      </c>
      <c r="E9483" s="3" t="s">
        <v>206</v>
      </c>
      <c r="F9483" s="4" t="str">
        <f aca="false">IF(I9483&gt;J9483,"Y","N")</f>
        <v>N</v>
      </c>
      <c r="G9483" s="3" t="s">
        <v>15</v>
      </c>
      <c r="H9483" s="3" t="s">
        <v>26</v>
      </c>
      <c r="I9483" s="4" t="n">
        <v>4</v>
      </c>
      <c r="J9483" s="4" t="n">
        <f aca="false">LEN(E9483)-LEN(SUBSTITUTE(E9483,",",""))+1</f>
        <v>4</v>
      </c>
      <c r="K9483" s="3" t="str">
        <f aca="false">IFERROR(INDEX('Teacher Lookup'!$B$2:$B$200,MATCH(A9483,'Teacher Lookup'!$A$2:$A$200,0)),"")</f>
        <v>CHAN So Ying</v>
      </c>
    </row>
    <row r="9484" customFormat="false" ht="15" hidden="false" customHeight="false" outlineLevel="0" collapsed="false">
      <c r="A9484" s="3" t="s">
        <v>510</v>
      </c>
      <c r="B9484" s="4" t="s">
        <v>40</v>
      </c>
      <c r="C9484" s="4" t="n">
        <v>3</v>
      </c>
      <c r="D9484" s="4" t="s">
        <v>78</v>
      </c>
      <c r="E9484" s="3" t="s">
        <v>206</v>
      </c>
      <c r="F9484" s="4" t="str">
        <f aca="false">IF(I9484&gt;J9484,"Y","N")</f>
        <v>N</v>
      </c>
      <c r="G9484" s="3" t="s">
        <v>15</v>
      </c>
      <c r="H9484" s="3" t="s">
        <v>26</v>
      </c>
      <c r="I9484" s="4" t="n">
        <v>4</v>
      </c>
      <c r="J9484" s="4" t="n">
        <f aca="false">LEN(E9484)-LEN(SUBSTITUTE(E9484,",",""))+1</f>
        <v>4</v>
      </c>
      <c r="K9484" s="3" t="str">
        <f aca="false">IFERROR(INDEX('Teacher Lookup'!$B$2:$B$200,MATCH(A9484,'Teacher Lookup'!$A$2:$A$200,0)),"")</f>
        <v>CHAN So Ying</v>
      </c>
    </row>
    <row r="9485" customFormat="false" ht="15" hidden="false" customHeight="false" outlineLevel="0" collapsed="false">
      <c r="A9485" s="3" t="s">
        <v>510</v>
      </c>
      <c r="B9485" s="4" t="s">
        <v>40</v>
      </c>
      <c r="C9485" s="4" t="n">
        <v>3</v>
      </c>
      <c r="D9485" s="4" t="s">
        <v>79</v>
      </c>
      <c r="E9485" s="3" t="s">
        <v>206</v>
      </c>
      <c r="F9485" s="4" t="str">
        <f aca="false">IF(I9485&gt;J9485,"Y","N")</f>
        <v>N</v>
      </c>
      <c r="G9485" s="3" t="s">
        <v>15</v>
      </c>
      <c r="H9485" s="3" t="s">
        <v>26</v>
      </c>
      <c r="I9485" s="4" t="n">
        <v>4</v>
      </c>
      <c r="J9485" s="4" t="n">
        <f aca="false">LEN(E9485)-LEN(SUBSTITUTE(E9485,",",""))+1</f>
        <v>4</v>
      </c>
      <c r="K9485" s="3" t="str">
        <f aca="false">IFERROR(INDEX('Teacher Lookup'!$B$2:$B$200,MATCH(A9485,'Teacher Lookup'!$A$2:$A$200,0)),"")</f>
        <v>CHAN So Ying</v>
      </c>
    </row>
    <row r="9486" customFormat="false" ht="15" hidden="false" customHeight="false" outlineLevel="0" collapsed="false">
      <c r="A9486" s="3" t="s">
        <v>510</v>
      </c>
      <c r="B9486" s="4" t="s">
        <v>40</v>
      </c>
      <c r="C9486" s="4" t="n">
        <v>5</v>
      </c>
      <c r="D9486" s="4" t="s">
        <v>52</v>
      </c>
      <c r="E9486" s="3" t="s">
        <v>304</v>
      </c>
      <c r="F9486" s="4" t="str">
        <f aca="false">IF(I9486&gt;J9486,"Y","N")</f>
        <v>N</v>
      </c>
      <c r="G9486" s="3" t="s">
        <v>15</v>
      </c>
      <c r="H9486" s="3" t="s">
        <v>37</v>
      </c>
      <c r="I9486" s="4" t="n">
        <v>7</v>
      </c>
      <c r="J9486" s="4" t="n">
        <f aca="false">LEN(E9486)-LEN(SUBSTITUTE(E9486,",",""))+1</f>
        <v>7</v>
      </c>
      <c r="K9486" s="3" t="str">
        <f aca="false">IFERROR(INDEX('Teacher Lookup'!$B$2:$B$200,MATCH(A9486,'Teacher Lookup'!$A$2:$A$200,0)),"")</f>
        <v>CHAN So Ying</v>
      </c>
    </row>
    <row r="9487" customFormat="false" ht="15" hidden="false" customHeight="false" outlineLevel="0" collapsed="false">
      <c r="A9487" s="3" t="s">
        <v>510</v>
      </c>
      <c r="B9487" s="4" t="s">
        <v>40</v>
      </c>
      <c r="C9487" s="4" t="n">
        <v>5</v>
      </c>
      <c r="D9487" s="4" t="s">
        <v>55</v>
      </c>
      <c r="E9487" s="3" t="s">
        <v>304</v>
      </c>
      <c r="F9487" s="4" t="str">
        <f aca="false">IF(I9487&gt;J9487,"Y","N")</f>
        <v>N</v>
      </c>
      <c r="G9487" s="3" t="s">
        <v>15</v>
      </c>
      <c r="H9487" s="3" t="s">
        <v>37</v>
      </c>
      <c r="I9487" s="4" t="n">
        <v>7</v>
      </c>
      <c r="J9487" s="4" t="n">
        <f aca="false">LEN(E9487)-LEN(SUBSTITUTE(E9487,",",""))+1</f>
        <v>7</v>
      </c>
      <c r="K9487" s="3" t="str">
        <f aca="false">IFERROR(INDEX('Teacher Lookup'!$B$2:$B$200,MATCH(A9487,'Teacher Lookup'!$A$2:$A$200,0)),"")</f>
        <v>CHAN So Ying</v>
      </c>
    </row>
    <row r="9488" customFormat="false" ht="15" hidden="false" customHeight="false" outlineLevel="0" collapsed="false">
      <c r="A9488" s="3" t="s">
        <v>510</v>
      </c>
      <c r="B9488" s="4" t="s">
        <v>40</v>
      </c>
      <c r="C9488" s="4" t="n">
        <v>5</v>
      </c>
      <c r="D9488" s="4" t="s">
        <v>56</v>
      </c>
      <c r="E9488" s="3" t="s">
        <v>304</v>
      </c>
      <c r="F9488" s="4" t="str">
        <f aca="false">IF(I9488&gt;J9488,"Y","N")</f>
        <v>N</v>
      </c>
      <c r="G9488" s="3" t="s">
        <v>15</v>
      </c>
      <c r="H9488" s="3" t="s">
        <v>37</v>
      </c>
      <c r="I9488" s="4" t="n">
        <v>7</v>
      </c>
      <c r="J9488" s="4" t="n">
        <f aca="false">LEN(E9488)-LEN(SUBSTITUTE(E9488,",",""))+1</f>
        <v>7</v>
      </c>
      <c r="K9488" s="3" t="str">
        <f aca="false">IFERROR(INDEX('Teacher Lookup'!$B$2:$B$200,MATCH(A9488,'Teacher Lookup'!$A$2:$A$200,0)),"")</f>
        <v>CHAN So Ying</v>
      </c>
    </row>
    <row r="9489" customFormat="false" ht="15" hidden="false" customHeight="false" outlineLevel="0" collapsed="false">
      <c r="A9489" s="3" t="s">
        <v>510</v>
      </c>
      <c r="B9489" s="4" t="s">
        <v>40</v>
      </c>
      <c r="C9489" s="4" t="n">
        <v>5</v>
      </c>
      <c r="D9489" s="4" t="s">
        <v>57</v>
      </c>
      <c r="E9489" s="3" t="s">
        <v>304</v>
      </c>
      <c r="F9489" s="4" t="str">
        <f aca="false">IF(I9489&gt;J9489,"Y","N")</f>
        <v>N</v>
      </c>
      <c r="G9489" s="3" t="s">
        <v>15</v>
      </c>
      <c r="H9489" s="3" t="s">
        <v>37</v>
      </c>
      <c r="I9489" s="4" t="n">
        <v>7</v>
      </c>
      <c r="J9489" s="4" t="n">
        <f aca="false">LEN(E9489)-LEN(SUBSTITUTE(E9489,",",""))+1</f>
        <v>7</v>
      </c>
      <c r="K9489" s="3" t="str">
        <f aca="false">IFERROR(INDEX('Teacher Lookup'!$B$2:$B$200,MATCH(A9489,'Teacher Lookup'!$A$2:$A$200,0)),"")</f>
        <v>CHAN So Ying</v>
      </c>
    </row>
    <row r="9490" customFormat="false" ht="15" hidden="false" customHeight="false" outlineLevel="0" collapsed="false">
      <c r="A9490" s="3" t="s">
        <v>510</v>
      </c>
      <c r="B9490" s="4" t="s">
        <v>40</v>
      </c>
      <c r="C9490" s="4" t="n">
        <v>5</v>
      </c>
      <c r="D9490" s="4" t="s">
        <v>58</v>
      </c>
      <c r="E9490" s="3" t="s">
        <v>304</v>
      </c>
      <c r="F9490" s="4" t="str">
        <f aca="false">IF(I9490&gt;J9490,"Y","N")</f>
        <v>N</v>
      </c>
      <c r="G9490" s="3" t="s">
        <v>15</v>
      </c>
      <c r="H9490" s="3" t="s">
        <v>37</v>
      </c>
      <c r="I9490" s="4" t="n">
        <v>7</v>
      </c>
      <c r="J9490" s="4" t="n">
        <f aca="false">LEN(E9490)-LEN(SUBSTITUTE(E9490,",",""))+1</f>
        <v>7</v>
      </c>
      <c r="K9490" s="3" t="str">
        <f aca="false">IFERROR(INDEX('Teacher Lookup'!$B$2:$B$200,MATCH(A9490,'Teacher Lookup'!$A$2:$A$200,0)),"")</f>
        <v>CHAN So Ying</v>
      </c>
    </row>
    <row r="9491" customFormat="false" ht="15" hidden="false" customHeight="false" outlineLevel="0" collapsed="false">
      <c r="A9491" s="3" t="s">
        <v>510</v>
      </c>
      <c r="B9491" s="4" t="s">
        <v>40</v>
      </c>
      <c r="C9491" s="4" t="n">
        <v>5</v>
      </c>
      <c r="D9491" s="4" t="s">
        <v>59</v>
      </c>
      <c r="E9491" s="3" t="s">
        <v>304</v>
      </c>
      <c r="F9491" s="4" t="str">
        <f aca="false">IF(I9491&gt;J9491,"Y","N")</f>
        <v>N</v>
      </c>
      <c r="G9491" s="3" t="s">
        <v>15</v>
      </c>
      <c r="H9491" s="3" t="s">
        <v>37</v>
      </c>
      <c r="I9491" s="4" t="n">
        <v>7</v>
      </c>
      <c r="J9491" s="4" t="n">
        <f aca="false">LEN(E9491)-LEN(SUBSTITUTE(E9491,",",""))+1</f>
        <v>7</v>
      </c>
      <c r="K9491" s="3" t="str">
        <f aca="false">IFERROR(INDEX('Teacher Lookup'!$B$2:$B$200,MATCH(A9491,'Teacher Lookup'!$A$2:$A$200,0)),"")</f>
        <v>CHAN So Ying</v>
      </c>
    </row>
    <row r="9492" customFormat="false" ht="15" hidden="false" customHeight="false" outlineLevel="0" collapsed="false">
      <c r="A9492" s="3" t="s">
        <v>510</v>
      </c>
      <c r="B9492" s="4" t="s">
        <v>44</v>
      </c>
      <c r="C9492" s="4" t="n">
        <v>1</v>
      </c>
      <c r="D9492" s="4" t="s">
        <v>52</v>
      </c>
      <c r="E9492" s="3" t="s">
        <v>305</v>
      </c>
      <c r="F9492" s="4" t="str">
        <f aca="false">IF(I9492&gt;J9492,"Y","N")</f>
        <v>N</v>
      </c>
      <c r="G9492" s="3" t="s">
        <v>15</v>
      </c>
      <c r="H9492" s="3" t="s">
        <v>16</v>
      </c>
      <c r="I9492" s="4" t="n">
        <v>7</v>
      </c>
      <c r="J9492" s="4" t="n">
        <f aca="false">LEN(E9492)-LEN(SUBSTITUTE(E9492,",",""))+1</f>
        <v>7</v>
      </c>
      <c r="K9492" s="3" t="str">
        <f aca="false">IFERROR(INDEX('Teacher Lookup'!$B$2:$B$200,MATCH(A9492,'Teacher Lookup'!$A$2:$A$200,0)),"")</f>
        <v>CHAN So Ying</v>
      </c>
    </row>
    <row r="9493" customFormat="false" ht="15" hidden="false" customHeight="false" outlineLevel="0" collapsed="false">
      <c r="A9493" s="3" t="s">
        <v>510</v>
      </c>
      <c r="B9493" s="4" t="s">
        <v>44</v>
      </c>
      <c r="C9493" s="4" t="n">
        <v>1</v>
      </c>
      <c r="D9493" s="4" t="s">
        <v>55</v>
      </c>
      <c r="E9493" s="3" t="s">
        <v>305</v>
      </c>
      <c r="F9493" s="4" t="str">
        <f aca="false">IF(I9493&gt;J9493,"Y","N")</f>
        <v>N</v>
      </c>
      <c r="G9493" s="3" t="s">
        <v>15</v>
      </c>
      <c r="H9493" s="3" t="s">
        <v>16</v>
      </c>
      <c r="I9493" s="4" t="n">
        <v>7</v>
      </c>
      <c r="J9493" s="4" t="n">
        <f aca="false">LEN(E9493)-LEN(SUBSTITUTE(E9493,",",""))+1</f>
        <v>7</v>
      </c>
      <c r="K9493" s="3" t="str">
        <f aca="false">IFERROR(INDEX('Teacher Lookup'!$B$2:$B$200,MATCH(A9493,'Teacher Lookup'!$A$2:$A$200,0)),"")</f>
        <v>CHAN So Ying</v>
      </c>
    </row>
    <row r="9494" customFormat="false" ht="15" hidden="false" customHeight="false" outlineLevel="0" collapsed="false">
      <c r="A9494" s="3" t="s">
        <v>510</v>
      </c>
      <c r="B9494" s="4" t="s">
        <v>44</v>
      </c>
      <c r="C9494" s="4" t="n">
        <v>1</v>
      </c>
      <c r="D9494" s="4" t="s">
        <v>56</v>
      </c>
      <c r="E9494" s="3" t="s">
        <v>305</v>
      </c>
      <c r="F9494" s="4" t="str">
        <f aca="false">IF(I9494&gt;J9494,"Y","N")</f>
        <v>N</v>
      </c>
      <c r="G9494" s="3" t="s">
        <v>15</v>
      </c>
      <c r="H9494" s="3" t="s">
        <v>16</v>
      </c>
      <c r="I9494" s="4" t="n">
        <v>7</v>
      </c>
      <c r="J9494" s="4" t="n">
        <f aca="false">LEN(E9494)-LEN(SUBSTITUTE(E9494,",",""))+1</f>
        <v>7</v>
      </c>
      <c r="K9494" s="3" t="str">
        <f aca="false">IFERROR(INDEX('Teacher Lookup'!$B$2:$B$200,MATCH(A9494,'Teacher Lookup'!$A$2:$A$200,0)),"")</f>
        <v>CHAN So Ying</v>
      </c>
    </row>
    <row r="9495" customFormat="false" ht="15" hidden="false" customHeight="false" outlineLevel="0" collapsed="false">
      <c r="A9495" s="3" t="s">
        <v>510</v>
      </c>
      <c r="B9495" s="4" t="s">
        <v>44</v>
      </c>
      <c r="C9495" s="4" t="n">
        <v>1</v>
      </c>
      <c r="D9495" s="4" t="s">
        <v>57</v>
      </c>
      <c r="E9495" s="3" t="s">
        <v>305</v>
      </c>
      <c r="F9495" s="4" t="str">
        <f aca="false">IF(I9495&gt;J9495,"Y","N")</f>
        <v>N</v>
      </c>
      <c r="G9495" s="3" t="s">
        <v>15</v>
      </c>
      <c r="H9495" s="3" t="s">
        <v>16</v>
      </c>
      <c r="I9495" s="4" t="n">
        <v>7</v>
      </c>
      <c r="J9495" s="4" t="n">
        <f aca="false">LEN(E9495)-LEN(SUBSTITUTE(E9495,",",""))+1</f>
        <v>7</v>
      </c>
      <c r="K9495" s="3" t="str">
        <f aca="false">IFERROR(INDEX('Teacher Lookup'!$B$2:$B$200,MATCH(A9495,'Teacher Lookup'!$A$2:$A$200,0)),"")</f>
        <v>CHAN So Ying</v>
      </c>
    </row>
    <row r="9496" customFormat="false" ht="15" hidden="false" customHeight="false" outlineLevel="0" collapsed="false">
      <c r="A9496" s="3" t="s">
        <v>510</v>
      </c>
      <c r="B9496" s="4" t="s">
        <v>44</v>
      </c>
      <c r="C9496" s="4" t="n">
        <v>1</v>
      </c>
      <c r="D9496" s="4" t="s">
        <v>58</v>
      </c>
      <c r="E9496" s="3" t="s">
        <v>305</v>
      </c>
      <c r="F9496" s="4" t="str">
        <f aca="false">IF(I9496&gt;J9496,"Y","N")</f>
        <v>N</v>
      </c>
      <c r="G9496" s="3" t="s">
        <v>15</v>
      </c>
      <c r="H9496" s="3" t="s">
        <v>16</v>
      </c>
      <c r="I9496" s="4" t="n">
        <v>7</v>
      </c>
      <c r="J9496" s="4" t="n">
        <f aca="false">LEN(E9496)-LEN(SUBSTITUTE(E9496,",",""))+1</f>
        <v>7</v>
      </c>
      <c r="K9496" s="3" t="str">
        <f aca="false">IFERROR(INDEX('Teacher Lookup'!$B$2:$B$200,MATCH(A9496,'Teacher Lookup'!$A$2:$A$200,0)),"")</f>
        <v>CHAN So Ying</v>
      </c>
    </row>
    <row r="9497" customFormat="false" ht="15" hidden="false" customHeight="false" outlineLevel="0" collapsed="false">
      <c r="A9497" s="3" t="s">
        <v>510</v>
      </c>
      <c r="B9497" s="4" t="s">
        <v>44</v>
      </c>
      <c r="C9497" s="4" t="n">
        <v>1</v>
      </c>
      <c r="D9497" s="4" t="s">
        <v>59</v>
      </c>
      <c r="E9497" s="3" t="s">
        <v>305</v>
      </c>
      <c r="F9497" s="4" t="str">
        <f aca="false">IF(I9497&gt;J9497,"Y","N")</f>
        <v>N</v>
      </c>
      <c r="G9497" s="3" t="s">
        <v>15</v>
      </c>
      <c r="H9497" s="3" t="s">
        <v>16</v>
      </c>
      <c r="I9497" s="4" t="n">
        <v>7</v>
      </c>
      <c r="J9497" s="4" t="n">
        <f aca="false">LEN(E9497)-LEN(SUBSTITUTE(E9497,",",""))+1</f>
        <v>7</v>
      </c>
      <c r="K9497" s="3" t="str">
        <f aca="false">IFERROR(INDEX('Teacher Lookup'!$B$2:$B$200,MATCH(A9497,'Teacher Lookup'!$A$2:$A$200,0)),"")</f>
        <v>CHAN So Ying</v>
      </c>
    </row>
    <row r="9498" customFormat="false" ht="15" hidden="false" customHeight="false" outlineLevel="0" collapsed="false">
      <c r="A9498" s="3" t="s">
        <v>510</v>
      </c>
      <c r="B9498" s="4" t="s">
        <v>44</v>
      </c>
      <c r="C9498" s="4" t="n">
        <v>5</v>
      </c>
      <c r="D9498" s="4" t="s">
        <v>52</v>
      </c>
      <c r="E9498" s="3" t="s">
        <v>112</v>
      </c>
      <c r="F9498" s="4" t="str">
        <f aca="false">IF(I9498&gt;J9498,"Y","N")</f>
        <v>Y</v>
      </c>
      <c r="G9498" s="3" t="s">
        <v>36</v>
      </c>
      <c r="H9498" s="3" t="s">
        <v>37</v>
      </c>
      <c r="I9498" s="4" t="n">
        <v>16</v>
      </c>
      <c r="J9498" s="4" t="n">
        <f aca="false">LEN(E9498)-LEN(SUBSTITUTE(E9498,",",""))+1</f>
        <v>7</v>
      </c>
      <c r="K9498" s="3" t="str">
        <f aca="false">IFERROR(INDEX('Teacher Lookup'!$B$2:$B$200,MATCH(A9498,'Teacher Lookup'!$A$2:$A$200,0)),"")</f>
        <v>CHAN So Ying</v>
      </c>
    </row>
    <row r="9499" customFormat="false" ht="15" hidden="false" customHeight="false" outlineLevel="0" collapsed="false">
      <c r="A9499" s="3" t="s">
        <v>510</v>
      </c>
      <c r="B9499" s="4" t="s">
        <v>44</v>
      </c>
      <c r="C9499" s="4" t="n">
        <v>5</v>
      </c>
      <c r="D9499" s="4" t="s">
        <v>55</v>
      </c>
      <c r="E9499" s="3" t="s">
        <v>112</v>
      </c>
      <c r="F9499" s="4" t="str">
        <f aca="false">IF(I9499&gt;J9499,"Y","N")</f>
        <v>Y</v>
      </c>
      <c r="G9499" s="3" t="s">
        <v>36</v>
      </c>
      <c r="H9499" s="3" t="s">
        <v>37</v>
      </c>
      <c r="I9499" s="4" t="n">
        <v>16</v>
      </c>
      <c r="J9499" s="4" t="n">
        <f aca="false">LEN(E9499)-LEN(SUBSTITUTE(E9499,",",""))+1</f>
        <v>7</v>
      </c>
      <c r="K9499" s="3" t="str">
        <f aca="false">IFERROR(INDEX('Teacher Lookup'!$B$2:$B$200,MATCH(A9499,'Teacher Lookup'!$A$2:$A$200,0)),"")</f>
        <v>CHAN So Ying</v>
      </c>
    </row>
    <row r="9500" customFormat="false" ht="15" hidden="false" customHeight="false" outlineLevel="0" collapsed="false">
      <c r="A9500" s="3" t="s">
        <v>510</v>
      </c>
      <c r="B9500" s="4" t="s">
        <v>44</v>
      </c>
      <c r="C9500" s="4" t="n">
        <v>5</v>
      </c>
      <c r="D9500" s="4" t="s">
        <v>56</v>
      </c>
      <c r="E9500" s="3" t="s">
        <v>112</v>
      </c>
      <c r="F9500" s="4" t="str">
        <f aca="false">IF(I9500&gt;J9500,"Y","N")</f>
        <v>Y</v>
      </c>
      <c r="G9500" s="3" t="s">
        <v>36</v>
      </c>
      <c r="H9500" s="3" t="s">
        <v>37</v>
      </c>
      <c r="I9500" s="4" t="n">
        <v>16</v>
      </c>
      <c r="J9500" s="4" t="n">
        <f aca="false">LEN(E9500)-LEN(SUBSTITUTE(E9500,",",""))+1</f>
        <v>7</v>
      </c>
      <c r="K9500" s="3" t="str">
        <f aca="false">IFERROR(INDEX('Teacher Lookup'!$B$2:$B$200,MATCH(A9500,'Teacher Lookup'!$A$2:$A$200,0)),"")</f>
        <v>CHAN So Ying</v>
      </c>
    </row>
    <row r="9501" customFormat="false" ht="15" hidden="false" customHeight="false" outlineLevel="0" collapsed="false">
      <c r="A9501" s="3" t="s">
        <v>510</v>
      </c>
      <c r="B9501" s="4" t="s">
        <v>44</v>
      </c>
      <c r="C9501" s="4" t="n">
        <v>5</v>
      </c>
      <c r="D9501" s="4" t="s">
        <v>57</v>
      </c>
      <c r="E9501" s="3" t="s">
        <v>112</v>
      </c>
      <c r="F9501" s="4" t="str">
        <f aca="false">IF(I9501&gt;J9501,"Y","N")</f>
        <v>Y</v>
      </c>
      <c r="G9501" s="3" t="s">
        <v>36</v>
      </c>
      <c r="H9501" s="3" t="s">
        <v>37</v>
      </c>
      <c r="I9501" s="4" t="n">
        <v>16</v>
      </c>
      <c r="J9501" s="4" t="n">
        <f aca="false">LEN(E9501)-LEN(SUBSTITUTE(E9501,",",""))+1</f>
        <v>7</v>
      </c>
      <c r="K9501" s="3" t="str">
        <f aca="false">IFERROR(INDEX('Teacher Lookup'!$B$2:$B$200,MATCH(A9501,'Teacher Lookup'!$A$2:$A$200,0)),"")</f>
        <v>CHAN So Ying</v>
      </c>
    </row>
    <row r="9502" customFormat="false" ht="15" hidden="false" customHeight="false" outlineLevel="0" collapsed="false">
      <c r="A9502" s="3" t="s">
        <v>510</v>
      </c>
      <c r="B9502" s="4" t="s">
        <v>44</v>
      </c>
      <c r="C9502" s="4" t="n">
        <v>5</v>
      </c>
      <c r="D9502" s="4" t="s">
        <v>58</v>
      </c>
      <c r="E9502" s="3" t="s">
        <v>112</v>
      </c>
      <c r="F9502" s="4" t="str">
        <f aca="false">IF(I9502&gt;J9502,"Y","N")</f>
        <v>Y</v>
      </c>
      <c r="G9502" s="3" t="s">
        <v>36</v>
      </c>
      <c r="H9502" s="3" t="s">
        <v>37</v>
      </c>
      <c r="I9502" s="4" t="n">
        <v>16</v>
      </c>
      <c r="J9502" s="4" t="n">
        <f aca="false">LEN(E9502)-LEN(SUBSTITUTE(E9502,",",""))+1</f>
        <v>7</v>
      </c>
      <c r="K9502" s="3" t="str">
        <f aca="false">IFERROR(INDEX('Teacher Lookup'!$B$2:$B$200,MATCH(A9502,'Teacher Lookup'!$A$2:$A$200,0)),"")</f>
        <v>CHAN So Ying</v>
      </c>
    </row>
    <row r="9503" customFormat="false" ht="15" hidden="false" customHeight="false" outlineLevel="0" collapsed="false">
      <c r="A9503" s="3" t="s">
        <v>510</v>
      </c>
      <c r="B9503" s="4" t="s">
        <v>44</v>
      </c>
      <c r="C9503" s="4" t="n">
        <v>5</v>
      </c>
      <c r="D9503" s="4" t="s">
        <v>59</v>
      </c>
      <c r="E9503" s="3" t="s">
        <v>112</v>
      </c>
      <c r="F9503" s="4" t="str">
        <f aca="false">IF(I9503&gt;J9503,"Y","N")</f>
        <v>Y</v>
      </c>
      <c r="G9503" s="3" t="s">
        <v>36</v>
      </c>
      <c r="H9503" s="3" t="s">
        <v>37</v>
      </c>
      <c r="I9503" s="4" t="n">
        <v>16</v>
      </c>
      <c r="J9503" s="4" t="n">
        <f aca="false">LEN(E9503)-LEN(SUBSTITUTE(E9503,",",""))+1</f>
        <v>7</v>
      </c>
      <c r="K9503" s="3" t="str">
        <f aca="false">IFERROR(INDEX('Teacher Lookup'!$B$2:$B$200,MATCH(A9503,'Teacher Lookup'!$A$2:$A$200,0)),"")</f>
        <v>CHAN So Ying</v>
      </c>
    </row>
    <row r="9504" customFormat="false" ht="15" hidden="false" customHeight="false" outlineLevel="0" collapsed="false">
      <c r="A9504" s="3" t="s">
        <v>510</v>
      </c>
      <c r="B9504" s="4" t="s">
        <v>44</v>
      </c>
      <c r="C9504" s="4" t="n">
        <v>6</v>
      </c>
      <c r="D9504" s="4" t="s">
        <v>76</v>
      </c>
      <c r="E9504" s="3" t="s">
        <v>209</v>
      </c>
      <c r="F9504" s="4" t="str">
        <f aca="false">IF(I9504&gt;J9504,"Y","N")</f>
        <v>N</v>
      </c>
      <c r="G9504" s="3" t="s">
        <v>15</v>
      </c>
      <c r="H9504" s="3" t="s">
        <v>42</v>
      </c>
      <c r="I9504" s="4" t="n">
        <v>4</v>
      </c>
      <c r="J9504" s="4" t="n">
        <f aca="false">LEN(E9504)-LEN(SUBSTITUTE(E9504,",",""))+1</f>
        <v>4</v>
      </c>
      <c r="K9504" s="3" t="str">
        <f aca="false">IFERROR(INDEX('Teacher Lookup'!$B$2:$B$200,MATCH(A9504,'Teacher Lookup'!$A$2:$A$200,0)),"")</f>
        <v>CHAN So Ying</v>
      </c>
    </row>
    <row r="9505" customFormat="false" ht="15" hidden="false" customHeight="false" outlineLevel="0" collapsed="false">
      <c r="A9505" s="3" t="s">
        <v>510</v>
      </c>
      <c r="B9505" s="4" t="s">
        <v>44</v>
      </c>
      <c r="C9505" s="4" t="n">
        <v>6</v>
      </c>
      <c r="D9505" s="4" t="s">
        <v>78</v>
      </c>
      <c r="E9505" s="3" t="s">
        <v>209</v>
      </c>
      <c r="F9505" s="4" t="str">
        <f aca="false">IF(I9505&gt;J9505,"Y","N")</f>
        <v>N</v>
      </c>
      <c r="G9505" s="3" t="s">
        <v>15</v>
      </c>
      <c r="H9505" s="3" t="s">
        <v>42</v>
      </c>
      <c r="I9505" s="4" t="n">
        <v>4</v>
      </c>
      <c r="J9505" s="4" t="n">
        <f aca="false">LEN(E9505)-LEN(SUBSTITUTE(E9505,",",""))+1</f>
        <v>4</v>
      </c>
      <c r="K9505" s="3" t="str">
        <f aca="false">IFERROR(INDEX('Teacher Lookup'!$B$2:$B$200,MATCH(A9505,'Teacher Lookup'!$A$2:$A$200,0)),"")</f>
        <v>CHAN So Ying</v>
      </c>
    </row>
    <row r="9506" customFormat="false" ht="15" hidden="false" customHeight="false" outlineLevel="0" collapsed="false">
      <c r="A9506" s="3" t="s">
        <v>510</v>
      </c>
      <c r="B9506" s="4" t="s">
        <v>44</v>
      </c>
      <c r="C9506" s="4" t="n">
        <v>6</v>
      </c>
      <c r="D9506" s="4" t="s">
        <v>79</v>
      </c>
      <c r="E9506" s="3" t="s">
        <v>209</v>
      </c>
      <c r="F9506" s="4" t="str">
        <f aca="false">IF(I9506&gt;J9506,"Y","N")</f>
        <v>N</v>
      </c>
      <c r="G9506" s="3" t="s">
        <v>15</v>
      </c>
      <c r="H9506" s="3" t="s">
        <v>42</v>
      </c>
      <c r="I9506" s="4" t="n">
        <v>4</v>
      </c>
      <c r="J9506" s="4" t="n">
        <f aca="false">LEN(E9506)-LEN(SUBSTITUTE(E9506,",",""))+1</f>
        <v>4</v>
      </c>
      <c r="K9506" s="3" t="str">
        <f aca="false">IFERROR(INDEX('Teacher Lookup'!$B$2:$B$200,MATCH(A9506,'Teacher Lookup'!$A$2:$A$200,0)),"")</f>
        <v>CHAN So Ying</v>
      </c>
    </row>
    <row r="9507" customFormat="false" ht="15" hidden="false" customHeight="false" outlineLevel="0" collapsed="false">
      <c r="A9507" s="3" t="s">
        <v>510</v>
      </c>
      <c r="B9507" s="4" t="s">
        <v>47</v>
      </c>
      <c r="C9507" s="4" t="n">
        <v>1</v>
      </c>
      <c r="D9507" s="4" t="s">
        <v>76</v>
      </c>
      <c r="E9507" s="3" t="s">
        <v>88</v>
      </c>
      <c r="F9507" s="4" t="str">
        <f aca="false">IF(I9507&gt;J9507,"Y","N")</f>
        <v>N</v>
      </c>
      <c r="G9507" s="3" t="s">
        <v>15</v>
      </c>
      <c r="H9507" s="3" t="s">
        <v>16</v>
      </c>
      <c r="I9507" s="4" t="n">
        <v>4</v>
      </c>
      <c r="J9507" s="4" t="n">
        <f aca="false">LEN(E9507)-LEN(SUBSTITUTE(E9507,",",""))+1</f>
        <v>4</v>
      </c>
      <c r="K9507" s="3" t="str">
        <f aca="false">IFERROR(INDEX('Teacher Lookup'!$B$2:$B$200,MATCH(A9507,'Teacher Lookup'!$A$2:$A$200,0)),"")</f>
        <v>CHAN So Ying</v>
      </c>
    </row>
    <row r="9508" customFormat="false" ht="15" hidden="false" customHeight="false" outlineLevel="0" collapsed="false">
      <c r="A9508" s="3" t="s">
        <v>510</v>
      </c>
      <c r="B9508" s="4" t="s">
        <v>47</v>
      </c>
      <c r="C9508" s="4" t="n">
        <v>1</v>
      </c>
      <c r="D9508" s="4" t="s">
        <v>78</v>
      </c>
      <c r="E9508" s="3" t="s">
        <v>88</v>
      </c>
      <c r="F9508" s="4" t="str">
        <f aca="false">IF(I9508&gt;J9508,"Y","N")</f>
        <v>N</v>
      </c>
      <c r="G9508" s="3" t="s">
        <v>15</v>
      </c>
      <c r="H9508" s="3" t="s">
        <v>16</v>
      </c>
      <c r="I9508" s="4" t="n">
        <v>4</v>
      </c>
      <c r="J9508" s="4" t="n">
        <f aca="false">LEN(E9508)-LEN(SUBSTITUTE(E9508,",",""))+1</f>
        <v>4</v>
      </c>
      <c r="K9508" s="3" t="str">
        <f aca="false">IFERROR(INDEX('Teacher Lookup'!$B$2:$B$200,MATCH(A9508,'Teacher Lookup'!$A$2:$A$200,0)),"")</f>
        <v>CHAN So Ying</v>
      </c>
    </row>
    <row r="9509" customFormat="false" ht="15" hidden="false" customHeight="false" outlineLevel="0" collapsed="false">
      <c r="A9509" s="3" t="s">
        <v>510</v>
      </c>
      <c r="B9509" s="4" t="s">
        <v>47</v>
      </c>
      <c r="C9509" s="4" t="n">
        <v>1</v>
      </c>
      <c r="D9509" s="4" t="s">
        <v>79</v>
      </c>
      <c r="E9509" s="3" t="s">
        <v>88</v>
      </c>
      <c r="F9509" s="4" t="str">
        <f aca="false">IF(I9509&gt;J9509,"Y","N")</f>
        <v>N</v>
      </c>
      <c r="G9509" s="3" t="s">
        <v>15</v>
      </c>
      <c r="H9509" s="3" t="s">
        <v>16</v>
      </c>
      <c r="I9509" s="4" t="n">
        <v>4</v>
      </c>
      <c r="J9509" s="4" t="n">
        <f aca="false">LEN(E9509)-LEN(SUBSTITUTE(E9509,",",""))+1</f>
        <v>4</v>
      </c>
      <c r="K9509" s="3" t="str">
        <f aca="false">IFERROR(INDEX('Teacher Lookup'!$B$2:$B$200,MATCH(A9509,'Teacher Lookup'!$A$2:$A$200,0)),"")</f>
        <v>CHAN So Ying</v>
      </c>
    </row>
    <row r="9510" customFormat="false" ht="15" hidden="false" customHeight="false" outlineLevel="0" collapsed="false">
      <c r="A9510" s="3" t="s">
        <v>510</v>
      </c>
      <c r="B9510" s="4" t="s">
        <v>47</v>
      </c>
      <c r="C9510" s="4" t="n">
        <v>2</v>
      </c>
      <c r="D9510" s="4" t="s">
        <v>52</v>
      </c>
      <c r="E9510" s="3" t="s">
        <v>306</v>
      </c>
      <c r="F9510" s="4" t="str">
        <f aca="false">IF(I9510&gt;J9510,"Y","N")</f>
        <v>N</v>
      </c>
      <c r="G9510" s="3" t="s">
        <v>15</v>
      </c>
      <c r="H9510" s="3" t="s">
        <v>21</v>
      </c>
      <c r="I9510" s="4" t="n">
        <v>7</v>
      </c>
      <c r="J9510" s="4" t="n">
        <f aca="false">LEN(E9510)-LEN(SUBSTITUTE(E9510,",",""))+1</f>
        <v>7</v>
      </c>
      <c r="K9510" s="3" t="str">
        <f aca="false">IFERROR(INDEX('Teacher Lookup'!$B$2:$B$200,MATCH(A9510,'Teacher Lookup'!$A$2:$A$200,0)),"")</f>
        <v>CHAN So Ying</v>
      </c>
    </row>
    <row r="9511" customFormat="false" ht="15" hidden="false" customHeight="false" outlineLevel="0" collapsed="false">
      <c r="A9511" s="3" t="s">
        <v>510</v>
      </c>
      <c r="B9511" s="4" t="s">
        <v>47</v>
      </c>
      <c r="C9511" s="4" t="n">
        <v>2</v>
      </c>
      <c r="D9511" s="4" t="s">
        <v>55</v>
      </c>
      <c r="E9511" s="3" t="s">
        <v>306</v>
      </c>
      <c r="F9511" s="4" t="str">
        <f aca="false">IF(I9511&gt;J9511,"Y","N")</f>
        <v>N</v>
      </c>
      <c r="G9511" s="3" t="s">
        <v>15</v>
      </c>
      <c r="H9511" s="3" t="s">
        <v>21</v>
      </c>
      <c r="I9511" s="4" t="n">
        <v>7</v>
      </c>
      <c r="J9511" s="4" t="n">
        <f aca="false">LEN(E9511)-LEN(SUBSTITUTE(E9511,",",""))+1</f>
        <v>7</v>
      </c>
      <c r="K9511" s="3" t="str">
        <f aca="false">IFERROR(INDEX('Teacher Lookup'!$B$2:$B$200,MATCH(A9511,'Teacher Lookup'!$A$2:$A$200,0)),"")</f>
        <v>CHAN So Ying</v>
      </c>
    </row>
    <row r="9512" customFormat="false" ht="15" hidden="false" customHeight="false" outlineLevel="0" collapsed="false">
      <c r="A9512" s="3" t="s">
        <v>510</v>
      </c>
      <c r="B9512" s="4" t="s">
        <v>47</v>
      </c>
      <c r="C9512" s="4" t="n">
        <v>2</v>
      </c>
      <c r="D9512" s="4" t="s">
        <v>56</v>
      </c>
      <c r="E9512" s="3" t="s">
        <v>306</v>
      </c>
      <c r="F9512" s="4" t="str">
        <f aca="false">IF(I9512&gt;J9512,"Y","N")</f>
        <v>N</v>
      </c>
      <c r="G9512" s="3" t="s">
        <v>15</v>
      </c>
      <c r="H9512" s="3" t="s">
        <v>21</v>
      </c>
      <c r="I9512" s="4" t="n">
        <v>7</v>
      </c>
      <c r="J9512" s="4" t="n">
        <f aca="false">LEN(E9512)-LEN(SUBSTITUTE(E9512,",",""))+1</f>
        <v>7</v>
      </c>
      <c r="K9512" s="3" t="str">
        <f aca="false">IFERROR(INDEX('Teacher Lookup'!$B$2:$B$200,MATCH(A9512,'Teacher Lookup'!$A$2:$A$200,0)),"")</f>
        <v>CHAN So Ying</v>
      </c>
    </row>
    <row r="9513" customFormat="false" ht="15" hidden="false" customHeight="false" outlineLevel="0" collapsed="false">
      <c r="A9513" s="3" t="s">
        <v>510</v>
      </c>
      <c r="B9513" s="4" t="s">
        <v>47</v>
      </c>
      <c r="C9513" s="4" t="n">
        <v>2</v>
      </c>
      <c r="D9513" s="4" t="s">
        <v>57</v>
      </c>
      <c r="E9513" s="3" t="s">
        <v>306</v>
      </c>
      <c r="F9513" s="4" t="str">
        <f aca="false">IF(I9513&gt;J9513,"Y","N")</f>
        <v>N</v>
      </c>
      <c r="G9513" s="3" t="s">
        <v>15</v>
      </c>
      <c r="H9513" s="3" t="s">
        <v>21</v>
      </c>
      <c r="I9513" s="4" t="n">
        <v>7</v>
      </c>
      <c r="J9513" s="4" t="n">
        <f aca="false">LEN(E9513)-LEN(SUBSTITUTE(E9513,",",""))+1</f>
        <v>7</v>
      </c>
      <c r="K9513" s="3" t="str">
        <f aca="false">IFERROR(INDEX('Teacher Lookup'!$B$2:$B$200,MATCH(A9513,'Teacher Lookup'!$A$2:$A$200,0)),"")</f>
        <v>CHAN So Ying</v>
      </c>
    </row>
    <row r="9514" customFormat="false" ht="15" hidden="false" customHeight="false" outlineLevel="0" collapsed="false">
      <c r="A9514" s="3" t="s">
        <v>510</v>
      </c>
      <c r="B9514" s="4" t="s">
        <v>47</v>
      </c>
      <c r="C9514" s="4" t="n">
        <v>2</v>
      </c>
      <c r="D9514" s="4" t="s">
        <v>58</v>
      </c>
      <c r="E9514" s="3" t="s">
        <v>306</v>
      </c>
      <c r="F9514" s="4" t="str">
        <f aca="false">IF(I9514&gt;J9514,"Y","N")</f>
        <v>N</v>
      </c>
      <c r="G9514" s="3" t="s">
        <v>15</v>
      </c>
      <c r="H9514" s="3" t="s">
        <v>21</v>
      </c>
      <c r="I9514" s="4" t="n">
        <v>7</v>
      </c>
      <c r="J9514" s="4" t="n">
        <f aca="false">LEN(E9514)-LEN(SUBSTITUTE(E9514,",",""))+1</f>
        <v>7</v>
      </c>
      <c r="K9514" s="3" t="str">
        <f aca="false">IFERROR(INDEX('Teacher Lookup'!$B$2:$B$200,MATCH(A9514,'Teacher Lookup'!$A$2:$A$200,0)),"")</f>
        <v>CHAN So Ying</v>
      </c>
    </row>
    <row r="9515" customFormat="false" ht="15" hidden="false" customHeight="false" outlineLevel="0" collapsed="false">
      <c r="A9515" s="3" t="s">
        <v>510</v>
      </c>
      <c r="B9515" s="4" t="s">
        <v>47</v>
      </c>
      <c r="C9515" s="4" t="n">
        <v>2</v>
      </c>
      <c r="D9515" s="4" t="s">
        <v>59</v>
      </c>
      <c r="E9515" s="3" t="s">
        <v>306</v>
      </c>
      <c r="F9515" s="4" t="str">
        <f aca="false">IF(I9515&gt;J9515,"Y","N")</f>
        <v>N</v>
      </c>
      <c r="G9515" s="3" t="s">
        <v>15</v>
      </c>
      <c r="H9515" s="3" t="s">
        <v>21</v>
      </c>
      <c r="I9515" s="4" t="n">
        <v>7</v>
      </c>
      <c r="J9515" s="4" t="n">
        <f aca="false">LEN(E9515)-LEN(SUBSTITUTE(E9515,",",""))+1</f>
        <v>7</v>
      </c>
      <c r="K9515" s="3" t="str">
        <f aca="false">IFERROR(INDEX('Teacher Lookup'!$B$2:$B$200,MATCH(A9515,'Teacher Lookup'!$A$2:$A$200,0)),"")</f>
        <v>CHAN So Ying</v>
      </c>
    </row>
    <row r="9516" customFormat="false" ht="15" hidden="false" customHeight="false" outlineLevel="0" collapsed="false">
      <c r="A9516" s="3" t="s">
        <v>510</v>
      </c>
      <c r="B9516" s="4" t="s">
        <v>50</v>
      </c>
      <c r="C9516" s="4" t="n">
        <v>2</v>
      </c>
      <c r="D9516" s="4" t="s">
        <v>52</v>
      </c>
      <c r="E9516" s="3" t="s">
        <v>307</v>
      </c>
      <c r="F9516" s="4" t="str">
        <f aca="false">IF(I9516&gt;J9516,"Y","N")</f>
        <v>N</v>
      </c>
      <c r="G9516" s="3" t="s">
        <v>15</v>
      </c>
      <c r="H9516" s="3" t="s">
        <v>21</v>
      </c>
      <c r="I9516" s="4" t="n">
        <v>7</v>
      </c>
      <c r="J9516" s="4" t="n">
        <f aca="false">LEN(E9516)-LEN(SUBSTITUTE(E9516,",",""))+1</f>
        <v>7</v>
      </c>
      <c r="K9516" s="3" t="str">
        <f aca="false">IFERROR(INDEX('Teacher Lookup'!$B$2:$B$200,MATCH(A9516,'Teacher Lookup'!$A$2:$A$200,0)),"")</f>
        <v>CHAN So Ying</v>
      </c>
    </row>
    <row r="9517" customFormat="false" ht="15" hidden="false" customHeight="false" outlineLevel="0" collapsed="false">
      <c r="A9517" s="3" t="s">
        <v>510</v>
      </c>
      <c r="B9517" s="4" t="s">
        <v>50</v>
      </c>
      <c r="C9517" s="4" t="n">
        <v>2</v>
      </c>
      <c r="D9517" s="4" t="s">
        <v>55</v>
      </c>
      <c r="E9517" s="3" t="s">
        <v>307</v>
      </c>
      <c r="F9517" s="4" t="str">
        <f aca="false">IF(I9517&gt;J9517,"Y","N")</f>
        <v>N</v>
      </c>
      <c r="G9517" s="3" t="s">
        <v>15</v>
      </c>
      <c r="H9517" s="3" t="s">
        <v>21</v>
      </c>
      <c r="I9517" s="4" t="n">
        <v>7</v>
      </c>
      <c r="J9517" s="4" t="n">
        <f aca="false">LEN(E9517)-LEN(SUBSTITUTE(E9517,",",""))+1</f>
        <v>7</v>
      </c>
      <c r="K9517" s="3" t="str">
        <f aca="false">IFERROR(INDEX('Teacher Lookup'!$B$2:$B$200,MATCH(A9517,'Teacher Lookup'!$A$2:$A$200,0)),"")</f>
        <v>CHAN So Ying</v>
      </c>
    </row>
    <row r="9518" customFormat="false" ht="15" hidden="false" customHeight="false" outlineLevel="0" collapsed="false">
      <c r="A9518" s="3" t="s">
        <v>510</v>
      </c>
      <c r="B9518" s="4" t="s">
        <v>50</v>
      </c>
      <c r="C9518" s="4" t="n">
        <v>2</v>
      </c>
      <c r="D9518" s="4" t="s">
        <v>56</v>
      </c>
      <c r="E9518" s="3" t="s">
        <v>307</v>
      </c>
      <c r="F9518" s="4" t="str">
        <f aca="false">IF(I9518&gt;J9518,"Y","N")</f>
        <v>N</v>
      </c>
      <c r="G9518" s="3" t="s">
        <v>15</v>
      </c>
      <c r="H9518" s="3" t="s">
        <v>21</v>
      </c>
      <c r="I9518" s="4" t="n">
        <v>7</v>
      </c>
      <c r="J9518" s="4" t="n">
        <f aca="false">LEN(E9518)-LEN(SUBSTITUTE(E9518,",",""))+1</f>
        <v>7</v>
      </c>
      <c r="K9518" s="3" t="str">
        <f aca="false">IFERROR(INDEX('Teacher Lookup'!$B$2:$B$200,MATCH(A9518,'Teacher Lookup'!$A$2:$A$200,0)),"")</f>
        <v>CHAN So Ying</v>
      </c>
    </row>
    <row r="9519" customFormat="false" ht="15" hidden="false" customHeight="false" outlineLevel="0" collapsed="false">
      <c r="A9519" s="3" t="s">
        <v>510</v>
      </c>
      <c r="B9519" s="4" t="s">
        <v>50</v>
      </c>
      <c r="C9519" s="4" t="n">
        <v>2</v>
      </c>
      <c r="D9519" s="4" t="s">
        <v>57</v>
      </c>
      <c r="E9519" s="3" t="s">
        <v>307</v>
      </c>
      <c r="F9519" s="4" t="str">
        <f aca="false">IF(I9519&gt;J9519,"Y","N")</f>
        <v>N</v>
      </c>
      <c r="G9519" s="3" t="s">
        <v>15</v>
      </c>
      <c r="H9519" s="3" t="s">
        <v>21</v>
      </c>
      <c r="I9519" s="4" t="n">
        <v>7</v>
      </c>
      <c r="J9519" s="4" t="n">
        <f aca="false">LEN(E9519)-LEN(SUBSTITUTE(E9519,",",""))+1</f>
        <v>7</v>
      </c>
      <c r="K9519" s="3" t="str">
        <f aca="false">IFERROR(INDEX('Teacher Lookup'!$B$2:$B$200,MATCH(A9519,'Teacher Lookup'!$A$2:$A$200,0)),"")</f>
        <v>CHAN So Ying</v>
      </c>
    </row>
    <row r="9520" customFormat="false" ht="15" hidden="false" customHeight="false" outlineLevel="0" collapsed="false">
      <c r="A9520" s="3" t="s">
        <v>510</v>
      </c>
      <c r="B9520" s="4" t="s">
        <v>50</v>
      </c>
      <c r="C9520" s="4" t="n">
        <v>2</v>
      </c>
      <c r="D9520" s="4" t="s">
        <v>58</v>
      </c>
      <c r="E9520" s="3" t="s">
        <v>307</v>
      </c>
      <c r="F9520" s="4" t="str">
        <f aca="false">IF(I9520&gt;J9520,"Y","N")</f>
        <v>N</v>
      </c>
      <c r="G9520" s="3" t="s">
        <v>15</v>
      </c>
      <c r="H9520" s="3" t="s">
        <v>21</v>
      </c>
      <c r="I9520" s="4" t="n">
        <v>7</v>
      </c>
      <c r="J9520" s="4" t="n">
        <f aca="false">LEN(E9520)-LEN(SUBSTITUTE(E9520,",",""))+1</f>
        <v>7</v>
      </c>
      <c r="K9520" s="3" t="str">
        <f aca="false">IFERROR(INDEX('Teacher Lookup'!$B$2:$B$200,MATCH(A9520,'Teacher Lookup'!$A$2:$A$200,0)),"")</f>
        <v>CHAN So Ying</v>
      </c>
    </row>
    <row r="9521" customFormat="false" ht="15" hidden="false" customHeight="false" outlineLevel="0" collapsed="false">
      <c r="A9521" s="3" t="s">
        <v>510</v>
      </c>
      <c r="B9521" s="4" t="s">
        <v>50</v>
      </c>
      <c r="C9521" s="4" t="n">
        <v>2</v>
      </c>
      <c r="D9521" s="4" t="s">
        <v>59</v>
      </c>
      <c r="E9521" s="3" t="s">
        <v>307</v>
      </c>
      <c r="F9521" s="4" t="str">
        <f aca="false">IF(I9521&gt;J9521,"Y","N")</f>
        <v>N</v>
      </c>
      <c r="G9521" s="3" t="s">
        <v>15</v>
      </c>
      <c r="H9521" s="3" t="s">
        <v>21</v>
      </c>
      <c r="I9521" s="4" t="n">
        <v>7</v>
      </c>
      <c r="J9521" s="4" t="n">
        <f aca="false">LEN(E9521)-LEN(SUBSTITUTE(E9521,",",""))+1</f>
        <v>7</v>
      </c>
      <c r="K9521" s="3" t="str">
        <f aca="false">IFERROR(INDEX('Teacher Lookup'!$B$2:$B$200,MATCH(A9521,'Teacher Lookup'!$A$2:$A$200,0)),"")</f>
        <v>CHAN So Ying</v>
      </c>
    </row>
    <row r="9522" customFormat="false" ht="15" hidden="false" customHeight="false" outlineLevel="0" collapsed="false">
      <c r="A9522" s="3" t="s">
        <v>510</v>
      </c>
      <c r="B9522" s="4" t="s">
        <v>50</v>
      </c>
      <c r="C9522" s="4" t="n">
        <v>6</v>
      </c>
      <c r="D9522" s="4" t="s">
        <v>76</v>
      </c>
      <c r="E9522" s="3" t="s">
        <v>165</v>
      </c>
      <c r="F9522" s="4" t="str">
        <f aca="false">IF(I9522&gt;J9522,"Y","N")</f>
        <v>N</v>
      </c>
      <c r="G9522" s="3" t="s">
        <v>15</v>
      </c>
      <c r="H9522" s="3" t="s">
        <v>42</v>
      </c>
      <c r="I9522" s="4" t="n">
        <v>4</v>
      </c>
      <c r="J9522" s="4" t="n">
        <f aca="false">LEN(E9522)-LEN(SUBSTITUTE(E9522,",",""))+1</f>
        <v>4</v>
      </c>
      <c r="K9522" s="3" t="str">
        <f aca="false">IFERROR(INDEX('Teacher Lookup'!$B$2:$B$200,MATCH(A9522,'Teacher Lookup'!$A$2:$A$200,0)),"")</f>
        <v>CHAN So Ying</v>
      </c>
    </row>
    <row r="9523" customFormat="false" ht="15" hidden="false" customHeight="false" outlineLevel="0" collapsed="false">
      <c r="A9523" s="3" t="s">
        <v>510</v>
      </c>
      <c r="B9523" s="4" t="s">
        <v>50</v>
      </c>
      <c r="C9523" s="4" t="n">
        <v>6</v>
      </c>
      <c r="D9523" s="4" t="s">
        <v>78</v>
      </c>
      <c r="E9523" s="3" t="s">
        <v>165</v>
      </c>
      <c r="F9523" s="4" t="str">
        <f aca="false">IF(I9523&gt;J9523,"Y","N")</f>
        <v>N</v>
      </c>
      <c r="G9523" s="3" t="s">
        <v>15</v>
      </c>
      <c r="H9523" s="3" t="s">
        <v>42</v>
      </c>
      <c r="I9523" s="4" t="n">
        <v>4</v>
      </c>
      <c r="J9523" s="4" t="n">
        <f aca="false">LEN(E9523)-LEN(SUBSTITUTE(E9523,",",""))+1</f>
        <v>4</v>
      </c>
      <c r="K9523" s="3" t="str">
        <f aca="false">IFERROR(INDEX('Teacher Lookup'!$B$2:$B$200,MATCH(A9523,'Teacher Lookup'!$A$2:$A$200,0)),"")</f>
        <v>CHAN So Ying</v>
      </c>
    </row>
    <row r="9524" customFormat="false" ht="15" hidden="false" customHeight="false" outlineLevel="0" collapsed="false">
      <c r="A9524" s="3" t="s">
        <v>510</v>
      </c>
      <c r="B9524" s="4" t="s">
        <v>50</v>
      </c>
      <c r="C9524" s="4" t="n">
        <v>6</v>
      </c>
      <c r="D9524" s="4" t="s">
        <v>79</v>
      </c>
      <c r="E9524" s="3" t="s">
        <v>165</v>
      </c>
      <c r="F9524" s="4" t="str">
        <f aca="false">IF(I9524&gt;J9524,"Y","N")</f>
        <v>N</v>
      </c>
      <c r="G9524" s="3" t="s">
        <v>15</v>
      </c>
      <c r="H9524" s="3" t="s">
        <v>42</v>
      </c>
      <c r="I9524" s="4" t="n">
        <v>4</v>
      </c>
      <c r="J9524" s="4" t="n">
        <f aca="false">LEN(E9524)-LEN(SUBSTITUTE(E9524,",",""))+1</f>
        <v>4</v>
      </c>
      <c r="K9524" s="3" t="str">
        <f aca="false">IFERROR(INDEX('Teacher Lookup'!$B$2:$B$200,MATCH(A9524,'Teacher Lookup'!$A$2:$A$200,0)),"")</f>
        <v>CHAN So Ying</v>
      </c>
    </row>
    <row r="9525" customFormat="false" ht="15" hidden="false" customHeight="false" outlineLevel="0" collapsed="false">
      <c r="A9525" s="3" t="s">
        <v>510</v>
      </c>
      <c r="B9525" s="4" t="s">
        <v>60</v>
      </c>
      <c r="C9525" s="4" t="n">
        <v>3</v>
      </c>
      <c r="D9525" s="4" t="s">
        <v>52</v>
      </c>
      <c r="E9525" s="3" t="s">
        <v>306</v>
      </c>
      <c r="F9525" s="4" t="str">
        <f aca="false">IF(I9525&gt;J9525,"Y","N")</f>
        <v>N</v>
      </c>
      <c r="G9525" s="3" t="s">
        <v>15</v>
      </c>
      <c r="H9525" s="3" t="s">
        <v>26</v>
      </c>
      <c r="I9525" s="4" t="n">
        <v>7</v>
      </c>
      <c r="J9525" s="4" t="n">
        <f aca="false">LEN(E9525)-LEN(SUBSTITUTE(E9525,",",""))+1</f>
        <v>7</v>
      </c>
      <c r="K9525" s="3" t="str">
        <f aca="false">IFERROR(INDEX('Teacher Lookup'!$B$2:$B$200,MATCH(A9525,'Teacher Lookup'!$A$2:$A$200,0)),"")</f>
        <v>CHAN So Ying</v>
      </c>
    </row>
    <row r="9526" customFormat="false" ht="15" hidden="false" customHeight="false" outlineLevel="0" collapsed="false">
      <c r="A9526" s="3" t="s">
        <v>510</v>
      </c>
      <c r="B9526" s="4" t="s">
        <v>60</v>
      </c>
      <c r="C9526" s="4" t="n">
        <v>3</v>
      </c>
      <c r="D9526" s="4" t="s">
        <v>55</v>
      </c>
      <c r="E9526" s="3" t="s">
        <v>306</v>
      </c>
      <c r="F9526" s="4" t="str">
        <f aca="false">IF(I9526&gt;J9526,"Y","N")</f>
        <v>N</v>
      </c>
      <c r="G9526" s="3" t="s">
        <v>15</v>
      </c>
      <c r="H9526" s="3" t="s">
        <v>26</v>
      </c>
      <c r="I9526" s="4" t="n">
        <v>7</v>
      </c>
      <c r="J9526" s="4" t="n">
        <f aca="false">LEN(E9526)-LEN(SUBSTITUTE(E9526,",",""))+1</f>
        <v>7</v>
      </c>
      <c r="K9526" s="3" t="str">
        <f aca="false">IFERROR(INDEX('Teacher Lookup'!$B$2:$B$200,MATCH(A9526,'Teacher Lookup'!$A$2:$A$200,0)),"")</f>
        <v>CHAN So Ying</v>
      </c>
    </row>
    <row r="9527" customFormat="false" ht="15" hidden="false" customHeight="false" outlineLevel="0" collapsed="false">
      <c r="A9527" s="3" t="s">
        <v>510</v>
      </c>
      <c r="B9527" s="4" t="s">
        <v>60</v>
      </c>
      <c r="C9527" s="4" t="n">
        <v>3</v>
      </c>
      <c r="D9527" s="4" t="s">
        <v>56</v>
      </c>
      <c r="E9527" s="3" t="s">
        <v>306</v>
      </c>
      <c r="F9527" s="4" t="str">
        <f aca="false">IF(I9527&gt;J9527,"Y","N")</f>
        <v>N</v>
      </c>
      <c r="G9527" s="3" t="s">
        <v>15</v>
      </c>
      <c r="H9527" s="3" t="s">
        <v>26</v>
      </c>
      <c r="I9527" s="4" t="n">
        <v>7</v>
      </c>
      <c r="J9527" s="4" t="n">
        <f aca="false">LEN(E9527)-LEN(SUBSTITUTE(E9527,",",""))+1</f>
        <v>7</v>
      </c>
      <c r="K9527" s="3" t="str">
        <f aca="false">IFERROR(INDEX('Teacher Lookup'!$B$2:$B$200,MATCH(A9527,'Teacher Lookup'!$A$2:$A$200,0)),"")</f>
        <v>CHAN So Ying</v>
      </c>
    </row>
    <row r="9528" customFormat="false" ht="15" hidden="false" customHeight="false" outlineLevel="0" collapsed="false">
      <c r="A9528" s="3" t="s">
        <v>510</v>
      </c>
      <c r="B9528" s="4" t="s">
        <v>60</v>
      </c>
      <c r="C9528" s="4" t="n">
        <v>3</v>
      </c>
      <c r="D9528" s="4" t="s">
        <v>57</v>
      </c>
      <c r="E9528" s="3" t="s">
        <v>306</v>
      </c>
      <c r="F9528" s="4" t="str">
        <f aca="false">IF(I9528&gt;J9528,"Y","N")</f>
        <v>N</v>
      </c>
      <c r="G9528" s="3" t="s">
        <v>15</v>
      </c>
      <c r="H9528" s="3" t="s">
        <v>26</v>
      </c>
      <c r="I9528" s="4" t="n">
        <v>7</v>
      </c>
      <c r="J9528" s="4" t="n">
        <f aca="false">LEN(E9528)-LEN(SUBSTITUTE(E9528,",",""))+1</f>
        <v>7</v>
      </c>
      <c r="K9528" s="3" t="str">
        <f aca="false">IFERROR(INDEX('Teacher Lookup'!$B$2:$B$200,MATCH(A9528,'Teacher Lookup'!$A$2:$A$200,0)),"")</f>
        <v>CHAN So Ying</v>
      </c>
    </row>
    <row r="9529" customFormat="false" ht="15" hidden="false" customHeight="false" outlineLevel="0" collapsed="false">
      <c r="A9529" s="3" t="s">
        <v>510</v>
      </c>
      <c r="B9529" s="4" t="s">
        <v>60</v>
      </c>
      <c r="C9529" s="4" t="n">
        <v>3</v>
      </c>
      <c r="D9529" s="4" t="s">
        <v>58</v>
      </c>
      <c r="E9529" s="3" t="s">
        <v>306</v>
      </c>
      <c r="F9529" s="4" t="str">
        <f aca="false">IF(I9529&gt;J9529,"Y","N")</f>
        <v>N</v>
      </c>
      <c r="G9529" s="3" t="s">
        <v>15</v>
      </c>
      <c r="H9529" s="3" t="s">
        <v>26</v>
      </c>
      <c r="I9529" s="4" t="n">
        <v>7</v>
      </c>
      <c r="J9529" s="4" t="n">
        <f aca="false">LEN(E9529)-LEN(SUBSTITUTE(E9529,",",""))+1</f>
        <v>7</v>
      </c>
      <c r="K9529" s="3" t="str">
        <f aca="false">IFERROR(INDEX('Teacher Lookup'!$B$2:$B$200,MATCH(A9529,'Teacher Lookup'!$A$2:$A$200,0)),"")</f>
        <v>CHAN So Ying</v>
      </c>
    </row>
    <row r="9530" customFormat="false" ht="15" hidden="false" customHeight="false" outlineLevel="0" collapsed="false">
      <c r="A9530" s="3" t="s">
        <v>510</v>
      </c>
      <c r="B9530" s="4" t="s">
        <v>60</v>
      </c>
      <c r="C9530" s="4" t="n">
        <v>3</v>
      </c>
      <c r="D9530" s="4" t="s">
        <v>59</v>
      </c>
      <c r="E9530" s="3" t="s">
        <v>306</v>
      </c>
      <c r="F9530" s="4" t="str">
        <f aca="false">IF(I9530&gt;J9530,"Y","N")</f>
        <v>N</v>
      </c>
      <c r="G9530" s="3" t="s">
        <v>15</v>
      </c>
      <c r="H9530" s="3" t="s">
        <v>26</v>
      </c>
      <c r="I9530" s="4" t="n">
        <v>7</v>
      </c>
      <c r="J9530" s="4" t="n">
        <f aca="false">LEN(E9530)-LEN(SUBSTITUTE(E9530,",",""))+1</f>
        <v>7</v>
      </c>
      <c r="K9530" s="3" t="str">
        <f aca="false">IFERROR(INDEX('Teacher Lookup'!$B$2:$B$200,MATCH(A9530,'Teacher Lookup'!$A$2:$A$200,0)),"")</f>
        <v>CHAN So Ying</v>
      </c>
    </row>
    <row r="9531" customFormat="false" ht="15" hidden="false" customHeight="false" outlineLevel="0" collapsed="false">
      <c r="A9531" s="3" t="s">
        <v>510</v>
      </c>
      <c r="B9531" s="4" t="s">
        <v>60</v>
      </c>
      <c r="C9531" s="4" t="n">
        <v>4</v>
      </c>
      <c r="D9531" s="4" t="s">
        <v>76</v>
      </c>
      <c r="E9531" s="3" t="s">
        <v>80</v>
      </c>
      <c r="F9531" s="4" t="str">
        <f aca="false">IF(I9531&gt;J9531,"Y","N")</f>
        <v>N</v>
      </c>
      <c r="G9531" s="3" t="s">
        <v>15</v>
      </c>
      <c r="H9531" s="3" t="s">
        <v>34</v>
      </c>
      <c r="I9531" s="4" t="n">
        <v>4</v>
      </c>
      <c r="J9531" s="4" t="n">
        <f aca="false">LEN(E9531)-LEN(SUBSTITUTE(E9531,",",""))+1</f>
        <v>4</v>
      </c>
      <c r="K9531" s="3" t="str">
        <f aca="false">IFERROR(INDEX('Teacher Lookup'!$B$2:$B$200,MATCH(A9531,'Teacher Lookup'!$A$2:$A$200,0)),"")</f>
        <v>CHAN So Ying</v>
      </c>
    </row>
    <row r="9532" customFormat="false" ht="15" hidden="false" customHeight="false" outlineLevel="0" collapsed="false">
      <c r="A9532" s="3" t="s">
        <v>510</v>
      </c>
      <c r="B9532" s="4" t="s">
        <v>60</v>
      </c>
      <c r="C9532" s="4" t="n">
        <v>4</v>
      </c>
      <c r="D9532" s="4" t="s">
        <v>78</v>
      </c>
      <c r="E9532" s="3" t="s">
        <v>80</v>
      </c>
      <c r="F9532" s="4" t="str">
        <f aca="false">IF(I9532&gt;J9532,"Y","N")</f>
        <v>N</v>
      </c>
      <c r="G9532" s="3" t="s">
        <v>15</v>
      </c>
      <c r="H9532" s="3" t="s">
        <v>34</v>
      </c>
      <c r="I9532" s="4" t="n">
        <v>4</v>
      </c>
      <c r="J9532" s="4" t="n">
        <f aca="false">LEN(E9532)-LEN(SUBSTITUTE(E9532,",",""))+1</f>
        <v>4</v>
      </c>
      <c r="K9532" s="3" t="str">
        <f aca="false">IFERROR(INDEX('Teacher Lookup'!$B$2:$B$200,MATCH(A9532,'Teacher Lookup'!$A$2:$A$200,0)),"")</f>
        <v>CHAN So Ying</v>
      </c>
    </row>
    <row r="9533" customFormat="false" ht="15" hidden="false" customHeight="false" outlineLevel="0" collapsed="false">
      <c r="A9533" s="3" t="s">
        <v>510</v>
      </c>
      <c r="B9533" s="4" t="s">
        <v>60</v>
      </c>
      <c r="C9533" s="4" t="n">
        <v>4</v>
      </c>
      <c r="D9533" s="4" t="s">
        <v>79</v>
      </c>
      <c r="E9533" s="3" t="s">
        <v>80</v>
      </c>
      <c r="F9533" s="4" t="str">
        <f aca="false">IF(I9533&gt;J9533,"Y","N")</f>
        <v>N</v>
      </c>
      <c r="G9533" s="3" t="s">
        <v>15</v>
      </c>
      <c r="H9533" s="3" t="s">
        <v>34</v>
      </c>
      <c r="I9533" s="4" t="n">
        <v>4</v>
      </c>
      <c r="J9533" s="4" t="n">
        <f aca="false">LEN(E9533)-LEN(SUBSTITUTE(E9533,",",""))+1</f>
        <v>4</v>
      </c>
      <c r="K9533" s="3" t="str">
        <f aca="false">IFERROR(INDEX('Teacher Lookup'!$B$2:$B$200,MATCH(A9533,'Teacher Lookup'!$A$2:$A$200,0)),"")</f>
        <v>CHAN So Ying</v>
      </c>
    </row>
    <row r="9534" customFormat="false" ht="15" hidden="false" customHeight="false" outlineLevel="0" collapsed="false">
      <c r="A9534" s="3" t="s">
        <v>510</v>
      </c>
      <c r="B9534" s="4" t="s">
        <v>60</v>
      </c>
      <c r="C9534" s="4" t="n">
        <v>5</v>
      </c>
      <c r="D9534" s="4" t="s">
        <v>52</v>
      </c>
      <c r="E9534" s="3" t="s">
        <v>112</v>
      </c>
      <c r="F9534" s="4" t="str">
        <f aca="false">IF(I9534&gt;J9534,"Y","N")</f>
        <v>Y</v>
      </c>
      <c r="G9534" s="3" t="s">
        <v>36</v>
      </c>
      <c r="H9534" s="3" t="s">
        <v>37</v>
      </c>
      <c r="I9534" s="4" t="n">
        <v>16</v>
      </c>
      <c r="J9534" s="4" t="n">
        <f aca="false">LEN(E9534)-LEN(SUBSTITUTE(E9534,",",""))+1</f>
        <v>7</v>
      </c>
      <c r="K9534" s="3" t="str">
        <f aca="false">IFERROR(INDEX('Teacher Lookup'!$B$2:$B$200,MATCH(A9534,'Teacher Lookup'!$A$2:$A$200,0)),"")</f>
        <v>CHAN So Ying</v>
      </c>
    </row>
    <row r="9535" customFormat="false" ht="15" hidden="false" customHeight="false" outlineLevel="0" collapsed="false">
      <c r="A9535" s="3" t="s">
        <v>510</v>
      </c>
      <c r="B9535" s="4" t="s">
        <v>60</v>
      </c>
      <c r="C9535" s="4" t="n">
        <v>5</v>
      </c>
      <c r="D9535" s="4" t="s">
        <v>55</v>
      </c>
      <c r="E9535" s="3" t="s">
        <v>112</v>
      </c>
      <c r="F9535" s="4" t="str">
        <f aca="false">IF(I9535&gt;J9535,"Y","N")</f>
        <v>Y</v>
      </c>
      <c r="G9535" s="3" t="s">
        <v>36</v>
      </c>
      <c r="H9535" s="3" t="s">
        <v>37</v>
      </c>
      <c r="I9535" s="4" t="n">
        <v>16</v>
      </c>
      <c r="J9535" s="4" t="n">
        <f aca="false">LEN(E9535)-LEN(SUBSTITUTE(E9535,",",""))+1</f>
        <v>7</v>
      </c>
      <c r="K9535" s="3" t="str">
        <f aca="false">IFERROR(INDEX('Teacher Lookup'!$B$2:$B$200,MATCH(A9535,'Teacher Lookup'!$A$2:$A$200,0)),"")</f>
        <v>CHAN So Ying</v>
      </c>
    </row>
    <row r="9536" customFormat="false" ht="15" hidden="false" customHeight="false" outlineLevel="0" collapsed="false">
      <c r="A9536" s="3" t="s">
        <v>510</v>
      </c>
      <c r="B9536" s="4" t="s">
        <v>60</v>
      </c>
      <c r="C9536" s="4" t="n">
        <v>5</v>
      </c>
      <c r="D9536" s="4" t="s">
        <v>56</v>
      </c>
      <c r="E9536" s="3" t="s">
        <v>112</v>
      </c>
      <c r="F9536" s="4" t="str">
        <f aca="false">IF(I9536&gt;J9536,"Y","N")</f>
        <v>Y</v>
      </c>
      <c r="G9536" s="3" t="s">
        <v>36</v>
      </c>
      <c r="H9536" s="3" t="s">
        <v>37</v>
      </c>
      <c r="I9536" s="4" t="n">
        <v>16</v>
      </c>
      <c r="J9536" s="4" t="n">
        <f aca="false">LEN(E9536)-LEN(SUBSTITUTE(E9536,",",""))+1</f>
        <v>7</v>
      </c>
      <c r="K9536" s="3" t="str">
        <f aca="false">IFERROR(INDEX('Teacher Lookup'!$B$2:$B$200,MATCH(A9536,'Teacher Lookup'!$A$2:$A$200,0)),"")</f>
        <v>CHAN So Ying</v>
      </c>
    </row>
    <row r="9537" customFormat="false" ht="15" hidden="false" customHeight="false" outlineLevel="0" collapsed="false">
      <c r="A9537" s="3" t="s">
        <v>510</v>
      </c>
      <c r="B9537" s="4" t="s">
        <v>60</v>
      </c>
      <c r="C9537" s="4" t="n">
        <v>5</v>
      </c>
      <c r="D9537" s="4" t="s">
        <v>57</v>
      </c>
      <c r="E9537" s="3" t="s">
        <v>112</v>
      </c>
      <c r="F9537" s="4" t="str">
        <f aca="false">IF(I9537&gt;J9537,"Y","N")</f>
        <v>Y</v>
      </c>
      <c r="G9537" s="3" t="s">
        <v>36</v>
      </c>
      <c r="H9537" s="3" t="s">
        <v>37</v>
      </c>
      <c r="I9537" s="4" t="n">
        <v>16</v>
      </c>
      <c r="J9537" s="4" t="n">
        <f aca="false">LEN(E9537)-LEN(SUBSTITUTE(E9537,",",""))+1</f>
        <v>7</v>
      </c>
      <c r="K9537" s="3" t="str">
        <f aca="false">IFERROR(INDEX('Teacher Lookup'!$B$2:$B$200,MATCH(A9537,'Teacher Lookup'!$A$2:$A$200,0)),"")</f>
        <v>CHAN So Ying</v>
      </c>
    </row>
    <row r="9538" customFormat="false" ht="15" hidden="false" customHeight="false" outlineLevel="0" collapsed="false">
      <c r="A9538" s="3" t="s">
        <v>510</v>
      </c>
      <c r="B9538" s="4" t="s">
        <v>60</v>
      </c>
      <c r="C9538" s="4" t="n">
        <v>5</v>
      </c>
      <c r="D9538" s="4" t="s">
        <v>58</v>
      </c>
      <c r="E9538" s="3" t="s">
        <v>112</v>
      </c>
      <c r="F9538" s="4" t="str">
        <f aca="false">IF(I9538&gt;J9538,"Y","N")</f>
        <v>Y</v>
      </c>
      <c r="G9538" s="3" t="s">
        <v>36</v>
      </c>
      <c r="H9538" s="3" t="s">
        <v>37</v>
      </c>
      <c r="I9538" s="4" t="n">
        <v>16</v>
      </c>
      <c r="J9538" s="4" t="n">
        <f aca="false">LEN(E9538)-LEN(SUBSTITUTE(E9538,",",""))+1</f>
        <v>7</v>
      </c>
      <c r="K9538" s="3" t="str">
        <f aca="false">IFERROR(INDEX('Teacher Lookup'!$B$2:$B$200,MATCH(A9538,'Teacher Lookup'!$A$2:$A$200,0)),"")</f>
        <v>CHAN So Ying</v>
      </c>
    </row>
    <row r="9539" customFormat="false" ht="15" hidden="false" customHeight="false" outlineLevel="0" collapsed="false">
      <c r="A9539" s="3" t="s">
        <v>510</v>
      </c>
      <c r="B9539" s="4" t="s">
        <v>60</v>
      </c>
      <c r="C9539" s="4" t="n">
        <v>5</v>
      </c>
      <c r="D9539" s="4" t="s">
        <v>59</v>
      </c>
      <c r="E9539" s="3" t="s">
        <v>112</v>
      </c>
      <c r="F9539" s="4" t="str">
        <f aca="false">IF(I9539&gt;J9539,"Y","N")</f>
        <v>Y</v>
      </c>
      <c r="G9539" s="3" t="s">
        <v>36</v>
      </c>
      <c r="H9539" s="3" t="s">
        <v>37</v>
      </c>
      <c r="I9539" s="4" t="n">
        <v>16</v>
      </c>
      <c r="J9539" s="4" t="n">
        <f aca="false">LEN(E9539)-LEN(SUBSTITUTE(E9539,",",""))+1</f>
        <v>7</v>
      </c>
      <c r="K9539" s="3" t="str">
        <f aca="false">IFERROR(INDEX('Teacher Lookup'!$B$2:$B$200,MATCH(A9539,'Teacher Lookup'!$A$2:$A$200,0)),"")</f>
        <v>CHAN So Ying</v>
      </c>
    </row>
    <row r="9540" customFormat="false" ht="15" hidden="false" customHeight="false" outlineLevel="0" collapsed="false">
      <c r="A9540" s="3" t="s">
        <v>510</v>
      </c>
      <c r="B9540" s="4" t="s">
        <v>63</v>
      </c>
      <c r="C9540" s="4" t="n">
        <v>6</v>
      </c>
      <c r="D9540" s="4" t="s">
        <v>76</v>
      </c>
      <c r="E9540" s="3" t="s">
        <v>77</v>
      </c>
      <c r="F9540" s="4" t="str">
        <f aca="false">IF(I9540&gt;J9540,"Y","N")</f>
        <v>N</v>
      </c>
      <c r="G9540" s="3" t="s">
        <v>15</v>
      </c>
      <c r="H9540" s="3" t="s">
        <v>42</v>
      </c>
      <c r="I9540" s="4" t="n">
        <v>4</v>
      </c>
      <c r="J9540" s="4" t="n">
        <f aca="false">LEN(E9540)-LEN(SUBSTITUTE(E9540,",",""))+1</f>
        <v>4</v>
      </c>
      <c r="K9540" s="3" t="str">
        <f aca="false">IFERROR(INDEX('Teacher Lookup'!$B$2:$B$200,MATCH(A9540,'Teacher Lookup'!$A$2:$A$200,0)),"")</f>
        <v>CHAN So Ying</v>
      </c>
    </row>
    <row r="9541" customFormat="false" ht="15" hidden="false" customHeight="false" outlineLevel="0" collapsed="false">
      <c r="A9541" s="3" t="s">
        <v>510</v>
      </c>
      <c r="B9541" s="4" t="s">
        <v>63</v>
      </c>
      <c r="C9541" s="4" t="n">
        <v>6</v>
      </c>
      <c r="D9541" s="4" t="s">
        <v>78</v>
      </c>
      <c r="E9541" s="3" t="s">
        <v>77</v>
      </c>
      <c r="F9541" s="4" t="str">
        <f aca="false">IF(I9541&gt;J9541,"Y","N")</f>
        <v>N</v>
      </c>
      <c r="G9541" s="3" t="s">
        <v>15</v>
      </c>
      <c r="H9541" s="3" t="s">
        <v>42</v>
      </c>
      <c r="I9541" s="4" t="n">
        <v>4</v>
      </c>
      <c r="J9541" s="4" t="n">
        <f aca="false">LEN(E9541)-LEN(SUBSTITUTE(E9541,",",""))+1</f>
        <v>4</v>
      </c>
      <c r="K9541" s="3" t="str">
        <f aca="false">IFERROR(INDEX('Teacher Lookup'!$B$2:$B$200,MATCH(A9541,'Teacher Lookup'!$A$2:$A$200,0)),"")</f>
        <v>CHAN So Ying</v>
      </c>
    </row>
    <row r="9542" customFormat="false" ht="15" hidden="false" customHeight="false" outlineLevel="0" collapsed="false">
      <c r="A9542" s="3" t="s">
        <v>510</v>
      </c>
      <c r="B9542" s="4" t="s">
        <v>63</v>
      </c>
      <c r="C9542" s="4" t="n">
        <v>6</v>
      </c>
      <c r="D9542" s="4" t="s">
        <v>79</v>
      </c>
      <c r="E9542" s="3" t="s">
        <v>77</v>
      </c>
      <c r="F9542" s="4" t="str">
        <f aca="false">IF(I9542&gt;J9542,"Y","N")</f>
        <v>N</v>
      </c>
      <c r="G9542" s="3" t="s">
        <v>15</v>
      </c>
      <c r="H9542" s="3" t="s">
        <v>42</v>
      </c>
      <c r="I9542" s="4" t="n">
        <v>4</v>
      </c>
      <c r="J9542" s="4" t="n">
        <f aca="false">LEN(E9542)-LEN(SUBSTITUTE(E9542,",",""))+1</f>
        <v>4</v>
      </c>
      <c r="K9542" s="3" t="str">
        <f aca="false">IFERROR(INDEX('Teacher Lookup'!$B$2:$B$200,MATCH(A9542,'Teacher Lookup'!$A$2:$A$200,0)),"")</f>
        <v>CHAN So Ying</v>
      </c>
    </row>
    <row r="9543" customFormat="false" ht="15" hidden="false" customHeight="false" outlineLevel="0" collapsed="false">
      <c r="A9543" s="3" t="s">
        <v>510</v>
      </c>
      <c r="B9543" s="4" t="s">
        <v>63</v>
      </c>
      <c r="C9543" s="4" t="n">
        <v>7</v>
      </c>
      <c r="D9543" s="4" t="s">
        <v>52</v>
      </c>
      <c r="E9543" s="3" t="s">
        <v>304</v>
      </c>
      <c r="F9543" s="4" t="str">
        <f aca="false">IF(I9543&gt;J9543,"Y","N")</f>
        <v>N</v>
      </c>
      <c r="G9543" s="3" t="s">
        <v>15</v>
      </c>
      <c r="H9543" s="3" t="s">
        <v>39</v>
      </c>
      <c r="I9543" s="4" t="n">
        <v>7</v>
      </c>
      <c r="J9543" s="4" t="n">
        <f aca="false">LEN(E9543)-LEN(SUBSTITUTE(E9543,",",""))+1</f>
        <v>7</v>
      </c>
      <c r="K9543" s="3" t="str">
        <f aca="false">IFERROR(INDEX('Teacher Lookup'!$B$2:$B$200,MATCH(A9543,'Teacher Lookup'!$A$2:$A$200,0)),"")</f>
        <v>CHAN So Ying</v>
      </c>
    </row>
    <row r="9544" customFormat="false" ht="15" hidden="false" customHeight="false" outlineLevel="0" collapsed="false">
      <c r="A9544" s="3" t="s">
        <v>510</v>
      </c>
      <c r="B9544" s="4" t="s">
        <v>63</v>
      </c>
      <c r="C9544" s="4" t="n">
        <v>7</v>
      </c>
      <c r="D9544" s="4" t="s">
        <v>55</v>
      </c>
      <c r="E9544" s="3" t="s">
        <v>304</v>
      </c>
      <c r="F9544" s="4" t="str">
        <f aca="false">IF(I9544&gt;J9544,"Y","N")</f>
        <v>N</v>
      </c>
      <c r="G9544" s="3" t="s">
        <v>15</v>
      </c>
      <c r="H9544" s="3" t="s">
        <v>39</v>
      </c>
      <c r="I9544" s="4" t="n">
        <v>7</v>
      </c>
      <c r="J9544" s="4" t="n">
        <f aca="false">LEN(E9544)-LEN(SUBSTITUTE(E9544,",",""))+1</f>
        <v>7</v>
      </c>
      <c r="K9544" s="3" t="str">
        <f aca="false">IFERROR(INDEX('Teacher Lookup'!$B$2:$B$200,MATCH(A9544,'Teacher Lookup'!$A$2:$A$200,0)),"")</f>
        <v>CHAN So Ying</v>
      </c>
    </row>
    <row r="9545" customFormat="false" ht="15" hidden="false" customHeight="false" outlineLevel="0" collapsed="false">
      <c r="A9545" s="3" t="s">
        <v>510</v>
      </c>
      <c r="B9545" s="4" t="s">
        <v>63</v>
      </c>
      <c r="C9545" s="4" t="n">
        <v>7</v>
      </c>
      <c r="D9545" s="4" t="s">
        <v>56</v>
      </c>
      <c r="E9545" s="3" t="s">
        <v>304</v>
      </c>
      <c r="F9545" s="4" t="str">
        <f aca="false">IF(I9545&gt;J9545,"Y","N")</f>
        <v>N</v>
      </c>
      <c r="G9545" s="3" t="s">
        <v>15</v>
      </c>
      <c r="H9545" s="3" t="s">
        <v>39</v>
      </c>
      <c r="I9545" s="4" t="n">
        <v>7</v>
      </c>
      <c r="J9545" s="4" t="n">
        <f aca="false">LEN(E9545)-LEN(SUBSTITUTE(E9545,",",""))+1</f>
        <v>7</v>
      </c>
      <c r="K9545" s="3" t="str">
        <f aca="false">IFERROR(INDEX('Teacher Lookup'!$B$2:$B$200,MATCH(A9545,'Teacher Lookup'!$A$2:$A$200,0)),"")</f>
        <v>CHAN So Ying</v>
      </c>
    </row>
    <row r="9546" customFormat="false" ht="15" hidden="false" customHeight="false" outlineLevel="0" collapsed="false">
      <c r="A9546" s="3" t="s">
        <v>510</v>
      </c>
      <c r="B9546" s="4" t="s">
        <v>63</v>
      </c>
      <c r="C9546" s="4" t="n">
        <v>7</v>
      </c>
      <c r="D9546" s="4" t="s">
        <v>57</v>
      </c>
      <c r="E9546" s="3" t="s">
        <v>304</v>
      </c>
      <c r="F9546" s="4" t="str">
        <f aca="false">IF(I9546&gt;J9546,"Y","N")</f>
        <v>N</v>
      </c>
      <c r="G9546" s="3" t="s">
        <v>15</v>
      </c>
      <c r="H9546" s="3" t="s">
        <v>39</v>
      </c>
      <c r="I9546" s="4" t="n">
        <v>7</v>
      </c>
      <c r="J9546" s="4" t="n">
        <f aca="false">LEN(E9546)-LEN(SUBSTITUTE(E9546,",",""))+1</f>
        <v>7</v>
      </c>
      <c r="K9546" s="3" t="str">
        <f aca="false">IFERROR(INDEX('Teacher Lookup'!$B$2:$B$200,MATCH(A9546,'Teacher Lookup'!$A$2:$A$200,0)),"")</f>
        <v>CHAN So Ying</v>
      </c>
    </row>
    <row r="9547" customFormat="false" ht="15" hidden="false" customHeight="false" outlineLevel="0" collapsed="false">
      <c r="A9547" s="3" t="s">
        <v>510</v>
      </c>
      <c r="B9547" s="4" t="s">
        <v>63</v>
      </c>
      <c r="C9547" s="4" t="n">
        <v>7</v>
      </c>
      <c r="D9547" s="4" t="s">
        <v>58</v>
      </c>
      <c r="E9547" s="3" t="s">
        <v>304</v>
      </c>
      <c r="F9547" s="4" t="str">
        <f aca="false">IF(I9547&gt;J9547,"Y","N")</f>
        <v>N</v>
      </c>
      <c r="G9547" s="3" t="s">
        <v>15</v>
      </c>
      <c r="H9547" s="3" t="s">
        <v>39</v>
      </c>
      <c r="I9547" s="4" t="n">
        <v>7</v>
      </c>
      <c r="J9547" s="4" t="n">
        <f aca="false">LEN(E9547)-LEN(SUBSTITUTE(E9547,",",""))+1</f>
        <v>7</v>
      </c>
      <c r="K9547" s="3" t="str">
        <f aca="false">IFERROR(INDEX('Teacher Lookup'!$B$2:$B$200,MATCH(A9547,'Teacher Lookup'!$A$2:$A$200,0)),"")</f>
        <v>CHAN So Ying</v>
      </c>
    </row>
    <row r="9548" customFormat="false" ht="15" hidden="false" customHeight="false" outlineLevel="0" collapsed="false">
      <c r="A9548" s="3" t="s">
        <v>510</v>
      </c>
      <c r="B9548" s="4" t="s">
        <v>63</v>
      </c>
      <c r="C9548" s="4" t="n">
        <v>7</v>
      </c>
      <c r="D9548" s="4" t="s">
        <v>59</v>
      </c>
      <c r="E9548" s="3" t="s">
        <v>304</v>
      </c>
      <c r="F9548" s="4" t="str">
        <f aca="false">IF(I9548&gt;J9548,"Y","N")</f>
        <v>N</v>
      </c>
      <c r="G9548" s="3" t="s">
        <v>15</v>
      </c>
      <c r="H9548" s="3" t="s">
        <v>39</v>
      </c>
      <c r="I9548" s="4" t="n">
        <v>7</v>
      </c>
      <c r="J9548" s="4" t="n">
        <f aca="false">LEN(E9548)-LEN(SUBSTITUTE(E9548,",",""))+1</f>
        <v>7</v>
      </c>
      <c r="K9548" s="3" t="str">
        <f aca="false">IFERROR(INDEX('Teacher Lookup'!$B$2:$B$200,MATCH(A9548,'Teacher Lookup'!$A$2:$A$200,0)),"")</f>
        <v>CHAN So Ying</v>
      </c>
    </row>
    <row r="9549" customFormat="false" ht="15" hidden="false" customHeight="false" outlineLevel="0" collapsed="false">
      <c r="A9549" s="3" t="s">
        <v>510</v>
      </c>
      <c r="B9549" s="4" t="s">
        <v>65</v>
      </c>
      <c r="C9549" s="4" t="n">
        <v>4</v>
      </c>
      <c r="D9549" s="4" t="s">
        <v>52</v>
      </c>
      <c r="E9549" s="3" t="s">
        <v>306</v>
      </c>
      <c r="F9549" s="4" t="str">
        <f aca="false">IF(I9549&gt;J9549,"Y","N")</f>
        <v>N</v>
      </c>
      <c r="G9549" s="3" t="s">
        <v>15</v>
      </c>
      <c r="H9549" s="3" t="s">
        <v>34</v>
      </c>
      <c r="I9549" s="4" t="n">
        <v>7</v>
      </c>
      <c r="J9549" s="4" t="n">
        <f aca="false">LEN(E9549)-LEN(SUBSTITUTE(E9549,",",""))+1</f>
        <v>7</v>
      </c>
      <c r="K9549" s="3" t="str">
        <f aca="false">IFERROR(INDEX('Teacher Lookup'!$B$2:$B$200,MATCH(A9549,'Teacher Lookup'!$A$2:$A$200,0)),"")</f>
        <v>CHAN So Ying</v>
      </c>
    </row>
    <row r="9550" customFormat="false" ht="15" hidden="false" customHeight="false" outlineLevel="0" collapsed="false">
      <c r="A9550" s="3" t="s">
        <v>510</v>
      </c>
      <c r="B9550" s="4" t="s">
        <v>65</v>
      </c>
      <c r="C9550" s="4" t="n">
        <v>4</v>
      </c>
      <c r="D9550" s="4" t="s">
        <v>55</v>
      </c>
      <c r="E9550" s="3" t="s">
        <v>306</v>
      </c>
      <c r="F9550" s="4" t="str">
        <f aca="false">IF(I9550&gt;J9550,"Y","N")</f>
        <v>N</v>
      </c>
      <c r="G9550" s="3" t="s">
        <v>15</v>
      </c>
      <c r="H9550" s="3" t="s">
        <v>34</v>
      </c>
      <c r="I9550" s="4" t="n">
        <v>7</v>
      </c>
      <c r="J9550" s="4" t="n">
        <f aca="false">LEN(E9550)-LEN(SUBSTITUTE(E9550,",",""))+1</f>
        <v>7</v>
      </c>
      <c r="K9550" s="3" t="str">
        <f aca="false">IFERROR(INDEX('Teacher Lookup'!$B$2:$B$200,MATCH(A9550,'Teacher Lookup'!$A$2:$A$200,0)),"")</f>
        <v>CHAN So Ying</v>
      </c>
    </row>
    <row r="9551" customFormat="false" ht="15" hidden="false" customHeight="false" outlineLevel="0" collapsed="false">
      <c r="A9551" s="3" t="s">
        <v>510</v>
      </c>
      <c r="B9551" s="4" t="s">
        <v>65</v>
      </c>
      <c r="C9551" s="4" t="n">
        <v>4</v>
      </c>
      <c r="D9551" s="4" t="s">
        <v>56</v>
      </c>
      <c r="E9551" s="3" t="s">
        <v>306</v>
      </c>
      <c r="F9551" s="4" t="str">
        <f aca="false">IF(I9551&gt;J9551,"Y","N")</f>
        <v>N</v>
      </c>
      <c r="G9551" s="3" t="s">
        <v>15</v>
      </c>
      <c r="H9551" s="3" t="s">
        <v>34</v>
      </c>
      <c r="I9551" s="4" t="n">
        <v>7</v>
      </c>
      <c r="J9551" s="4" t="n">
        <f aca="false">LEN(E9551)-LEN(SUBSTITUTE(E9551,",",""))+1</f>
        <v>7</v>
      </c>
      <c r="K9551" s="3" t="str">
        <f aca="false">IFERROR(INDEX('Teacher Lookup'!$B$2:$B$200,MATCH(A9551,'Teacher Lookup'!$A$2:$A$200,0)),"")</f>
        <v>CHAN So Ying</v>
      </c>
    </row>
    <row r="9552" customFormat="false" ht="15" hidden="false" customHeight="false" outlineLevel="0" collapsed="false">
      <c r="A9552" s="3" t="s">
        <v>510</v>
      </c>
      <c r="B9552" s="4" t="s">
        <v>65</v>
      </c>
      <c r="C9552" s="4" t="n">
        <v>4</v>
      </c>
      <c r="D9552" s="4" t="s">
        <v>57</v>
      </c>
      <c r="E9552" s="3" t="s">
        <v>306</v>
      </c>
      <c r="F9552" s="4" t="str">
        <f aca="false">IF(I9552&gt;J9552,"Y","N")</f>
        <v>N</v>
      </c>
      <c r="G9552" s="3" t="s">
        <v>15</v>
      </c>
      <c r="H9552" s="3" t="s">
        <v>34</v>
      </c>
      <c r="I9552" s="4" t="n">
        <v>7</v>
      </c>
      <c r="J9552" s="4" t="n">
        <f aca="false">LEN(E9552)-LEN(SUBSTITUTE(E9552,",",""))+1</f>
        <v>7</v>
      </c>
      <c r="K9552" s="3" t="str">
        <f aca="false">IFERROR(INDEX('Teacher Lookup'!$B$2:$B$200,MATCH(A9552,'Teacher Lookup'!$A$2:$A$200,0)),"")</f>
        <v>CHAN So Ying</v>
      </c>
    </row>
    <row r="9553" customFormat="false" ht="15" hidden="false" customHeight="false" outlineLevel="0" collapsed="false">
      <c r="A9553" s="3" t="s">
        <v>510</v>
      </c>
      <c r="B9553" s="4" t="s">
        <v>65</v>
      </c>
      <c r="C9553" s="4" t="n">
        <v>4</v>
      </c>
      <c r="D9553" s="4" t="s">
        <v>58</v>
      </c>
      <c r="E9553" s="3" t="s">
        <v>306</v>
      </c>
      <c r="F9553" s="4" t="str">
        <f aca="false">IF(I9553&gt;J9553,"Y","N")</f>
        <v>N</v>
      </c>
      <c r="G9553" s="3" t="s">
        <v>15</v>
      </c>
      <c r="H9553" s="3" t="s">
        <v>34</v>
      </c>
      <c r="I9553" s="4" t="n">
        <v>7</v>
      </c>
      <c r="J9553" s="4" t="n">
        <f aca="false">LEN(E9553)-LEN(SUBSTITUTE(E9553,",",""))+1</f>
        <v>7</v>
      </c>
      <c r="K9553" s="3" t="str">
        <f aca="false">IFERROR(INDEX('Teacher Lookup'!$B$2:$B$200,MATCH(A9553,'Teacher Lookup'!$A$2:$A$200,0)),"")</f>
        <v>CHAN So Ying</v>
      </c>
    </row>
    <row r="9554" customFormat="false" ht="15" hidden="false" customHeight="false" outlineLevel="0" collapsed="false">
      <c r="A9554" s="3" t="s">
        <v>510</v>
      </c>
      <c r="B9554" s="4" t="s">
        <v>65</v>
      </c>
      <c r="C9554" s="4" t="n">
        <v>4</v>
      </c>
      <c r="D9554" s="4" t="s">
        <v>59</v>
      </c>
      <c r="E9554" s="3" t="s">
        <v>306</v>
      </c>
      <c r="F9554" s="4" t="str">
        <f aca="false">IF(I9554&gt;J9554,"Y","N")</f>
        <v>N</v>
      </c>
      <c r="G9554" s="3" t="s">
        <v>15</v>
      </c>
      <c r="H9554" s="3" t="s">
        <v>34</v>
      </c>
      <c r="I9554" s="4" t="n">
        <v>7</v>
      </c>
      <c r="J9554" s="4" t="n">
        <f aca="false">LEN(E9554)-LEN(SUBSTITUTE(E9554,",",""))+1</f>
        <v>7</v>
      </c>
      <c r="K9554" s="3" t="str">
        <f aca="false">IFERROR(INDEX('Teacher Lookup'!$B$2:$B$200,MATCH(A9554,'Teacher Lookup'!$A$2:$A$200,0)),"")</f>
        <v>CHAN So Ying</v>
      </c>
    </row>
    <row r="9555" customFormat="false" ht="15" hidden="false" customHeight="false" outlineLevel="0" collapsed="false">
      <c r="A9555" s="3" t="s">
        <v>510</v>
      </c>
      <c r="B9555" s="4" t="s">
        <v>65</v>
      </c>
      <c r="C9555" s="4" t="n">
        <v>5</v>
      </c>
      <c r="D9555" s="4" t="s">
        <v>52</v>
      </c>
      <c r="E9555" s="3" t="s">
        <v>112</v>
      </c>
      <c r="F9555" s="4" t="str">
        <f aca="false">IF(I9555&gt;J9555,"Y","N")</f>
        <v>Y</v>
      </c>
      <c r="G9555" s="3" t="s">
        <v>36</v>
      </c>
      <c r="H9555" s="3" t="s">
        <v>37</v>
      </c>
      <c r="I9555" s="4" t="n">
        <v>16</v>
      </c>
      <c r="J9555" s="4" t="n">
        <f aca="false">LEN(E9555)-LEN(SUBSTITUTE(E9555,",",""))+1</f>
        <v>7</v>
      </c>
      <c r="K9555" s="3" t="str">
        <f aca="false">IFERROR(INDEX('Teacher Lookup'!$B$2:$B$200,MATCH(A9555,'Teacher Lookup'!$A$2:$A$200,0)),"")</f>
        <v>CHAN So Ying</v>
      </c>
    </row>
    <row r="9556" customFormat="false" ht="15" hidden="false" customHeight="false" outlineLevel="0" collapsed="false">
      <c r="A9556" s="3" t="s">
        <v>510</v>
      </c>
      <c r="B9556" s="4" t="s">
        <v>65</v>
      </c>
      <c r="C9556" s="4" t="n">
        <v>5</v>
      </c>
      <c r="D9556" s="4" t="s">
        <v>55</v>
      </c>
      <c r="E9556" s="3" t="s">
        <v>112</v>
      </c>
      <c r="F9556" s="4" t="str">
        <f aca="false">IF(I9556&gt;J9556,"Y","N")</f>
        <v>Y</v>
      </c>
      <c r="G9556" s="3" t="s">
        <v>36</v>
      </c>
      <c r="H9556" s="3" t="s">
        <v>37</v>
      </c>
      <c r="I9556" s="4" t="n">
        <v>16</v>
      </c>
      <c r="J9556" s="4" t="n">
        <f aca="false">LEN(E9556)-LEN(SUBSTITUTE(E9556,",",""))+1</f>
        <v>7</v>
      </c>
      <c r="K9556" s="3" t="str">
        <f aca="false">IFERROR(INDEX('Teacher Lookup'!$B$2:$B$200,MATCH(A9556,'Teacher Lookup'!$A$2:$A$200,0)),"")</f>
        <v>CHAN So Ying</v>
      </c>
    </row>
    <row r="9557" customFormat="false" ht="15" hidden="false" customHeight="false" outlineLevel="0" collapsed="false">
      <c r="A9557" s="3" t="s">
        <v>510</v>
      </c>
      <c r="B9557" s="4" t="s">
        <v>65</v>
      </c>
      <c r="C9557" s="4" t="n">
        <v>5</v>
      </c>
      <c r="D9557" s="4" t="s">
        <v>56</v>
      </c>
      <c r="E9557" s="3" t="s">
        <v>112</v>
      </c>
      <c r="F9557" s="4" t="str">
        <f aca="false">IF(I9557&gt;J9557,"Y","N")</f>
        <v>Y</v>
      </c>
      <c r="G9557" s="3" t="s">
        <v>36</v>
      </c>
      <c r="H9557" s="3" t="s">
        <v>37</v>
      </c>
      <c r="I9557" s="4" t="n">
        <v>16</v>
      </c>
      <c r="J9557" s="4" t="n">
        <f aca="false">LEN(E9557)-LEN(SUBSTITUTE(E9557,",",""))+1</f>
        <v>7</v>
      </c>
      <c r="K9557" s="3" t="str">
        <f aca="false">IFERROR(INDEX('Teacher Lookup'!$B$2:$B$200,MATCH(A9557,'Teacher Lookup'!$A$2:$A$200,0)),"")</f>
        <v>CHAN So Ying</v>
      </c>
    </row>
    <row r="9558" customFormat="false" ht="15" hidden="false" customHeight="false" outlineLevel="0" collapsed="false">
      <c r="A9558" s="3" t="s">
        <v>510</v>
      </c>
      <c r="B9558" s="4" t="s">
        <v>65</v>
      </c>
      <c r="C9558" s="4" t="n">
        <v>5</v>
      </c>
      <c r="D9558" s="4" t="s">
        <v>57</v>
      </c>
      <c r="E9558" s="3" t="s">
        <v>112</v>
      </c>
      <c r="F9558" s="4" t="str">
        <f aca="false">IF(I9558&gt;J9558,"Y","N")</f>
        <v>Y</v>
      </c>
      <c r="G9558" s="3" t="s">
        <v>36</v>
      </c>
      <c r="H9558" s="3" t="s">
        <v>37</v>
      </c>
      <c r="I9558" s="4" t="n">
        <v>16</v>
      </c>
      <c r="J9558" s="4" t="n">
        <f aca="false">LEN(E9558)-LEN(SUBSTITUTE(E9558,",",""))+1</f>
        <v>7</v>
      </c>
      <c r="K9558" s="3" t="str">
        <f aca="false">IFERROR(INDEX('Teacher Lookup'!$B$2:$B$200,MATCH(A9558,'Teacher Lookup'!$A$2:$A$200,0)),"")</f>
        <v>CHAN So Ying</v>
      </c>
    </row>
    <row r="9559" customFormat="false" ht="15" hidden="false" customHeight="false" outlineLevel="0" collapsed="false">
      <c r="A9559" s="3" t="s">
        <v>510</v>
      </c>
      <c r="B9559" s="4" t="s">
        <v>65</v>
      </c>
      <c r="C9559" s="4" t="n">
        <v>5</v>
      </c>
      <c r="D9559" s="4" t="s">
        <v>58</v>
      </c>
      <c r="E9559" s="3" t="s">
        <v>112</v>
      </c>
      <c r="F9559" s="4" t="str">
        <f aca="false">IF(I9559&gt;J9559,"Y","N")</f>
        <v>Y</v>
      </c>
      <c r="G9559" s="3" t="s">
        <v>36</v>
      </c>
      <c r="H9559" s="3" t="s">
        <v>37</v>
      </c>
      <c r="I9559" s="4" t="n">
        <v>16</v>
      </c>
      <c r="J9559" s="4" t="n">
        <f aca="false">LEN(E9559)-LEN(SUBSTITUTE(E9559,",",""))+1</f>
        <v>7</v>
      </c>
      <c r="K9559" s="3" t="str">
        <f aca="false">IFERROR(INDEX('Teacher Lookup'!$B$2:$B$200,MATCH(A9559,'Teacher Lookup'!$A$2:$A$200,0)),"")</f>
        <v>CHAN So Ying</v>
      </c>
    </row>
    <row r="9560" customFormat="false" ht="15" hidden="false" customHeight="false" outlineLevel="0" collapsed="false">
      <c r="A9560" s="3" t="s">
        <v>510</v>
      </c>
      <c r="B9560" s="4" t="s">
        <v>65</v>
      </c>
      <c r="C9560" s="4" t="n">
        <v>5</v>
      </c>
      <c r="D9560" s="4" t="s">
        <v>59</v>
      </c>
      <c r="E9560" s="3" t="s">
        <v>112</v>
      </c>
      <c r="F9560" s="4" t="str">
        <f aca="false">IF(I9560&gt;J9560,"Y","N")</f>
        <v>Y</v>
      </c>
      <c r="G9560" s="3" t="s">
        <v>36</v>
      </c>
      <c r="H9560" s="3" t="s">
        <v>37</v>
      </c>
      <c r="I9560" s="4" t="n">
        <v>16</v>
      </c>
      <c r="J9560" s="4" t="n">
        <f aca="false">LEN(E9560)-LEN(SUBSTITUTE(E9560,",",""))+1</f>
        <v>7</v>
      </c>
      <c r="K9560" s="3" t="str">
        <f aca="false">IFERROR(INDEX('Teacher Lookup'!$B$2:$B$200,MATCH(A9560,'Teacher Lookup'!$A$2:$A$200,0)),"")</f>
        <v>CHAN So Ying</v>
      </c>
    </row>
    <row r="9561" customFormat="false" ht="15" hidden="false" customHeight="false" outlineLevel="0" collapsed="false">
      <c r="A9561" s="3" t="s">
        <v>510</v>
      </c>
      <c r="B9561" s="4" t="s">
        <v>65</v>
      </c>
      <c r="C9561" s="4" t="n">
        <v>6</v>
      </c>
      <c r="D9561" s="4" t="s">
        <v>76</v>
      </c>
      <c r="E9561" s="3" t="s">
        <v>93</v>
      </c>
      <c r="F9561" s="4" t="str">
        <f aca="false">IF(I9561&gt;J9561,"Y","N")</f>
        <v>N</v>
      </c>
      <c r="G9561" s="3" t="s">
        <v>15</v>
      </c>
      <c r="H9561" s="3" t="s">
        <v>42</v>
      </c>
      <c r="I9561" s="4" t="n">
        <v>4</v>
      </c>
      <c r="J9561" s="4" t="n">
        <f aca="false">LEN(E9561)-LEN(SUBSTITUTE(E9561,",",""))+1</f>
        <v>4</v>
      </c>
      <c r="K9561" s="3" t="str">
        <f aca="false">IFERROR(INDEX('Teacher Lookup'!$B$2:$B$200,MATCH(A9561,'Teacher Lookup'!$A$2:$A$200,0)),"")</f>
        <v>CHAN So Ying</v>
      </c>
    </row>
    <row r="9562" customFormat="false" ht="15" hidden="false" customHeight="false" outlineLevel="0" collapsed="false">
      <c r="A9562" s="3" t="s">
        <v>510</v>
      </c>
      <c r="B9562" s="4" t="s">
        <v>65</v>
      </c>
      <c r="C9562" s="4" t="n">
        <v>6</v>
      </c>
      <c r="D9562" s="4" t="s">
        <v>78</v>
      </c>
      <c r="E9562" s="3" t="s">
        <v>93</v>
      </c>
      <c r="F9562" s="4" t="str">
        <f aca="false">IF(I9562&gt;J9562,"Y","N")</f>
        <v>N</v>
      </c>
      <c r="G9562" s="3" t="s">
        <v>15</v>
      </c>
      <c r="H9562" s="3" t="s">
        <v>42</v>
      </c>
      <c r="I9562" s="4" t="n">
        <v>4</v>
      </c>
      <c r="J9562" s="4" t="n">
        <f aca="false">LEN(E9562)-LEN(SUBSTITUTE(E9562,",",""))+1</f>
        <v>4</v>
      </c>
      <c r="K9562" s="3" t="str">
        <f aca="false">IFERROR(INDEX('Teacher Lookup'!$B$2:$B$200,MATCH(A9562,'Teacher Lookup'!$A$2:$A$200,0)),"")</f>
        <v>CHAN So Ying</v>
      </c>
    </row>
    <row r="9563" customFormat="false" ht="15" hidden="false" customHeight="false" outlineLevel="0" collapsed="false">
      <c r="A9563" s="3" t="s">
        <v>510</v>
      </c>
      <c r="B9563" s="4" t="s">
        <v>65</v>
      </c>
      <c r="C9563" s="4" t="n">
        <v>6</v>
      </c>
      <c r="D9563" s="4" t="s">
        <v>79</v>
      </c>
      <c r="E9563" s="3" t="s">
        <v>93</v>
      </c>
      <c r="F9563" s="4" t="str">
        <f aca="false">IF(I9563&gt;J9563,"Y","N")</f>
        <v>N</v>
      </c>
      <c r="G9563" s="3" t="s">
        <v>15</v>
      </c>
      <c r="H9563" s="3" t="s">
        <v>42</v>
      </c>
      <c r="I9563" s="4" t="n">
        <v>4</v>
      </c>
      <c r="J9563" s="4" t="n">
        <f aca="false">LEN(E9563)-LEN(SUBSTITUTE(E9563,",",""))+1</f>
        <v>4</v>
      </c>
      <c r="K9563" s="3" t="str">
        <f aca="false">IFERROR(INDEX('Teacher Lookup'!$B$2:$B$200,MATCH(A9563,'Teacher Lookup'!$A$2:$A$200,0)),"")</f>
        <v>CHAN So Ying</v>
      </c>
    </row>
    <row r="9564" customFormat="false" ht="15" hidden="false" customHeight="false" outlineLevel="0" collapsed="false">
      <c r="A9564" s="3" t="s">
        <v>510</v>
      </c>
      <c r="B9564" s="4" t="s">
        <v>66</v>
      </c>
      <c r="C9564" s="4" t="n">
        <v>6</v>
      </c>
      <c r="D9564" s="4" t="s">
        <v>52</v>
      </c>
      <c r="E9564" s="3" t="s">
        <v>306</v>
      </c>
      <c r="F9564" s="4" t="str">
        <f aca="false">IF(I9564&gt;J9564,"Y","N")</f>
        <v>N</v>
      </c>
      <c r="G9564" s="3" t="s">
        <v>15</v>
      </c>
      <c r="H9564" s="3" t="s">
        <v>42</v>
      </c>
      <c r="I9564" s="4" t="n">
        <v>7</v>
      </c>
      <c r="J9564" s="4" t="n">
        <f aca="false">LEN(E9564)-LEN(SUBSTITUTE(E9564,",",""))+1</f>
        <v>7</v>
      </c>
      <c r="K9564" s="3" t="str">
        <f aca="false">IFERROR(INDEX('Teacher Lookup'!$B$2:$B$200,MATCH(A9564,'Teacher Lookup'!$A$2:$A$200,0)),"")</f>
        <v>CHAN So Ying</v>
      </c>
    </row>
    <row r="9565" customFormat="false" ht="15" hidden="false" customHeight="false" outlineLevel="0" collapsed="false">
      <c r="A9565" s="3" t="s">
        <v>510</v>
      </c>
      <c r="B9565" s="4" t="s">
        <v>66</v>
      </c>
      <c r="C9565" s="4" t="n">
        <v>6</v>
      </c>
      <c r="D9565" s="4" t="s">
        <v>55</v>
      </c>
      <c r="E9565" s="3" t="s">
        <v>306</v>
      </c>
      <c r="F9565" s="4" t="str">
        <f aca="false">IF(I9565&gt;J9565,"Y","N")</f>
        <v>N</v>
      </c>
      <c r="G9565" s="3" t="s">
        <v>15</v>
      </c>
      <c r="H9565" s="3" t="s">
        <v>42</v>
      </c>
      <c r="I9565" s="4" t="n">
        <v>7</v>
      </c>
      <c r="J9565" s="4" t="n">
        <f aca="false">LEN(E9565)-LEN(SUBSTITUTE(E9565,",",""))+1</f>
        <v>7</v>
      </c>
      <c r="K9565" s="3" t="str">
        <f aca="false">IFERROR(INDEX('Teacher Lookup'!$B$2:$B$200,MATCH(A9565,'Teacher Lookup'!$A$2:$A$200,0)),"")</f>
        <v>CHAN So Ying</v>
      </c>
    </row>
    <row r="9566" customFormat="false" ht="15" hidden="false" customHeight="false" outlineLevel="0" collapsed="false">
      <c r="A9566" s="3" t="s">
        <v>510</v>
      </c>
      <c r="B9566" s="4" t="s">
        <v>66</v>
      </c>
      <c r="C9566" s="4" t="n">
        <v>6</v>
      </c>
      <c r="D9566" s="4" t="s">
        <v>56</v>
      </c>
      <c r="E9566" s="3" t="s">
        <v>306</v>
      </c>
      <c r="F9566" s="4" t="str">
        <f aca="false">IF(I9566&gt;J9566,"Y","N")</f>
        <v>N</v>
      </c>
      <c r="G9566" s="3" t="s">
        <v>15</v>
      </c>
      <c r="H9566" s="3" t="s">
        <v>42</v>
      </c>
      <c r="I9566" s="4" t="n">
        <v>7</v>
      </c>
      <c r="J9566" s="4" t="n">
        <f aca="false">LEN(E9566)-LEN(SUBSTITUTE(E9566,",",""))+1</f>
        <v>7</v>
      </c>
      <c r="K9566" s="3" t="str">
        <f aca="false">IFERROR(INDEX('Teacher Lookup'!$B$2:$B$200,MATCH(A9566,'Teacher Lookup'!$A$2:$A$200,0)),"")</f>
        <v>CHAN So Ying</v>
      </c>
    </row>
    <row r="9567" customFormat="false" ht="15" hidden="false" customHeight="false" outlineLevel="0" collapsed="false">
      <c r="A9567" s="3" t="s">
        <v>510</v>
      </c>
      <c r="B9567" s="4" t="s">
        <v>66</v>
      </c>
      <c r="C9567" s="4" t="n">
        <v>6</v>
      </c>
      <c r="D9567" s="4" t="s">
        <v>57</v>
      </c>
      <c r="E9567" s="3" t="s">
        <v>306</v>
      </c>
      <c r="F9567" s="4" t="str">
        <f aca="false">IF(I9567&gt;J9567,"Y","N")</f>
        <v>N</v>
      </c>
      <c r="G9567" s="3" t="s">
        <v>15</v>
      </c>
      <c r="H9567" s="3" t="s">
        <v>42</v>
      </c>
      <c r="I9567" s="4" t="n">
        <v>7</v>
      </c>
      <c r="J9567" s="4" t="n">
        <f aca="false">LEN(E9567)-LEN(SUBSTITUTE(E9567,",",""))+1</f>
        <v>7</v>
      </c>
      <c r="K9567" s="3" t="str">
        <f aca="false">IFERROR(INDEX('Teacher Lookup'!$B$2:$B$200,MATCH(A9567,'Teacher Lookup'!$A$2:$A$200,0)),"")</f>
        <v>CHAN So Ying</v>
      </c>
    </row>
    <row r="9568" customFormat="false" ht="15" hidden="false" customHeight="false" outlineLevel="0" collapsed="false">
      <c r="A9568" s="3" t="s">
        <v>510</v>
      </c>
      <c r="B9568" s="4" t="s">
        <v>66</v>
      </c>
      <c r="C9568" s="4" t="n">
        <v>6</v>
      </c>
      <c r="D9568" s="4" t="s">
        <v>58</v>
      </c>
      <c r="E9568" s="3" t="s">
        <v>306</v>
      </c>
      <c r="F9568" s="4" t="str">
        <f aca="false">IF(I9568&gt;J9568,"Y","N")</f>
        <v>N</v>
      </c>
      <c r="G9568" s="3" t="s">
        <v>15</v>
      </c>
      <c r="H9568" s="3" t="s">
        <v>42</v>
      </c>
      <c r="I9568" s="4" t="n">
        <v>7</v>
      </c>
      <c r="J9568" s="4" t="n">
        <f aca="false">LEN(E9568)-LEN(SUBSTITUTE(E9568,",",""))+1</f>
        <v>7</v>
      </c>
      <c r="K9568" s="3" t="str">
        <f aca="false">IFERROR(INDEX('Teacher Lookup'!$B$2:$B$200,MATCH(A9568,'Teacher Lookup'!$A$2:$A$200,0)),"")</f>
        <v>CHAN So Ying</v>
      </c>
    </row>
    <row r="9569" customFormat="false" ht="15" hidden="false" customHeight="false" outlineLevel="0" collapsed="false">
      <c r="A9569" s="3" t="s">
        <v>510</v>
      </c>
      <c r="B9569" s="4" t="s">
        <v>66</v>
      </c>
      <c r="C9569" s="4" t="n">
        <v>6</v>
      </c>
      <c r="D9569" s="4" t="s">
        <v>59</v>
      </c>
      <c r="E9569" s="3" t="s">
        <v>306</v>
      </c>
      <c r="F9569" s="4" t="str">
        <f aca="false">IF(I9569&gt;J9569,"Y","N")</f>
        <v>N</v>
      </c>
      <c r="G9569" s="3" t="s">
        <v>15</v>
      </c>
      <c r="H9569" s="3" t="s">
        <v>42</v>
      </c>
      <c r="I9569" s="4" t="n">
        <v>7</v>
      </c>
      <c r="J9569" s="4" t="n">
        <f aca="false">LEN(E9569)-LEN(SUBSTITUTE(E9569,",",""))+1</f>
        <v>7</v>
      </c>
      <c r="K9569" s="3" t="str">
        <f aca="false">IFERROR(INDEX('Teacher Lookup'!$B$2:$B$200,MATCH(A9569,'Teacher Lookup'!$A$2:$A$200,0)),"")</f>
        <v>CHAN So Ying</v>
      </c>
    </row>
    <row r="9570" customFormat="false" ht="15" hidden="false" customHeight="false" outlineLevel="0" collapsed="false">
      <c r="A9570" s="3" t="s">
        <v>510</v>
      </c>
      <c r="B9570" s="4" t="s">
        <v>66</v>
      </c>
      <c r="C9570" s="4" t="n">
        <v>7</v>
      </c>
      <c r="D9570" s="4" t="s">
        <v>76</v>
      </c>
      <c r="E9570" s="3" t="s">
        <v>84</v>
      </c>
      <c r="F9570" s="4" t="str">
        <f aca="false">IF(I9570&gt;J9570,"Y","N")</f>
        <v>N</v>
      </c>
      <c r="G9570" s="3" t="s">
        <v>15</v>
      </c>
      <c r="H9570" s="3" t="s">
        <v>39</v>
      </c>
      <c r="I9570" s="4" t="n">
        <v>4</v>
      </c>
      <c r="J9570" s="4" t="n">
        <f aca="false">LEN(E9570)-LEN(SUBSTITUTE(E9570,",",""))+1</f>
        <v>4</v>
      </c>
      <c r="K9570" s="3" t="str">
        <f aca="false">IFERROR(INDEX('Teacher Lookup'!$B$2:$B$200,MATCH(A9570,'Teacher Lookup'!$A$2:$A$200,0)),"")</f>
        <v>CHAN So Ying</v>
      </c>
    </row>
    <row r="9571" customFormat="false" ht="15" hidden="false" customHeight="false" outlineLevel="0" collapsed="false">
      <c r="A9571" s="3" t="s">
        <v>510</v>
      </c>
      <c r="B9571" s="4" t="s">
        <v>66</v>
      </c>
      <c r="C9571" s="4" t="n">
        <v>7</v>
      </c>
      <c r="D9571" s="4" t="s">
        <v>78</v>
      </c>
      <c r="E9571" s="3" t="s">
        <v>84</v>
      </c>
      <c r="F9571" s="4" t="str">
        <f aca="false">IF(I9571&gt;J9571,"Y","N")</f>
        <v>N</v>
      </c>
      <c r="G9571" s="3" t="s">
        <v>15</v>
      </c>
      <c r="H9571" s="3" t="s">
        <v>39</v>
      </c>
      <c r="I9571" s="4" t="n">
        <v>4</v>
      </c>
      <c r="J9571" s="4" t="n">
        <f aca="false">LEN(E9571)-LEN(SUBSTITUTE(E9571,",",""))+1</f>
        <v>4</v>
      </c>
      <c r="K9571" s="3" t="str">
        <f aca="false">IFERROR(INDEX('Teacher Lookup'!$B$2:$B$200,MATCH(A9571,'Teacher Lookup'!$A$2:$A$200,0)),"")</f>
        <v>CHAN So Ying</v>
      </c>
    </row>
    <row r="9572" customFormat="false" ht="15" hidden="false" customHeight="false" outlineLevel="0" collapsed="false">
      <c r="A9572" s="3" t="s">
        <v>510</v>
      </c>
      <c r="B9572" s="4" t="s">
        <v>66</v>
      </c>
      <c r="C9572" s="4" t="n">
        <v>7</v>
      </c>
      <c r="D9572" s="4" t="s">
        <v>79</v>
      </c>
      <c r="E9572" s="3" t="s">
        <v>84</v>
      </c>
      <c r="F9572" s="4" t="str">
        <f aca="false">IF(I9572&gt;J9572,"Y","N")</f>
        <v>N</v>
      </c>
      <c r="G9572" s="3" t="s">
        <v>15</v>
      </c>
      <c r="H9572" s="3" t="s">
        <v>39</v>
      </c>
      <c r="I9572" s="4" t="n">
        <v>4</v>
      </c>
      <c r="J9572" s="4" t="n">
        <f aca="false">LEN(E9572)-LEN(SUBSTITUTE(E9572,",",""))+1</f>
        <v>4</v>
      </c>
      <c r="K9572" s="3" t="str">
        <f aca="false">IFERROR(INDEX('Teacher Lookup'!$B$2:$B$200,MATCH(A9572,'Teacher Lookup'!$A$2:$A$200,0)),"")</f>
        <v>CHAN So Ying</v>
      </c>
    </row>
    <row r="9573" customFormat="false" ht="15" hidden="false" customHeight="false" outlineLevel="0" collapsed="false">
      <c r="A9573" s="3" t="s">
        <v>511</v>
      </c>
      <c r="B9573" s="4" t="s">
        <v>12</v>
      </c>
      <c r="C9573" s="4" t="n">
        <v>2</v>
      </c>
      <c r="D9573" s="4" t="s">
        <v>74</v>
      </c>
      <c r="E9573" s="3" t="s">
        <v>316</v>
      </c>
      <c r="F9573" s="4" t="str">
        <f aca="false">IF(I9573&gt;J9573,"Y","N")</f>
        <v>N</v>
      </c>
      <c r="G9573" s="3" t="s">
        <v>350</v>
      </c>
      <c r="H9573" s="3" t="s">
        <v>21</v>
      </c>
      <c r="I9573" s="4" t="n">
        <v>1</v>
      </c>
      <c r="J9573" s="4" t="n">
        <f aca="false">LEN(E9573)-LEN(SUBSTITUTE(E9573,",",""))+1</f>
        <v>1</v>
      </c>
      <c r="K9573" s="3" t="str">
        <f aca="false">IFERROR(INDEX('Teacher Lookup'!$B$2:$B$200,MATCH(A9573,'Teacher Lookup'!$A$2:$A$200,0)),"")</f>
        <v>HUI Tom</v>
      </c>
    </row>
    <row r="9574" customFormat="false" ht="15" hidden="false" customHeight="false" outlineLevel="0" collapsed="false">
      <c r="A9574" s="3" t="s">
        <v>511</v>
      </c>
      <c r="B9574" s="4" t="s">
        <v>12</v>
      </c>
      <c r="C9574" s="4" t="n">
        <v>4</v>
      </c>
      <c r="D9574" s="4" t="s">
        <v>56</v>
      </c>
      <c r="E9574" s="3" t="s">
        <v>491</v>
      </c>
      <c r="F9574" s="4" t="str">
        <f aca="false">IF(I9574&gt;J9574,"Y","N")</f>
        <v>N</v>
      </c>
      <c r="G9574" s="3" t="s">
        <v>492</v>
      </c>
      <c r="H9574" s="3" t="s">
        <v>34</v>
      </c>
      <c r="I9574" s="4" t="n">
        <v>2</v>
      </c>
      <c r="J9574" s="4" t="n">
        <f aca="false">LEN(E9574)-LEN(SUBSTITUTE(E9574,",",""))+1</f>
        <v>2</v>
      </c>
      <c r="K9574" s="3" t="str">
        <f aca="false">IFERROR(INDEX('Teacher Lookup'!$B$2:$B$200,MATCH(A9574,'Teacher Lookup'!$A$2:$A$200,0)),"")</f>
        <v>HUI Tom</v>
      </c>
    </row>
    <row r="9575" customFormat="false" ht="15" hidden="false" customHeight="false" outlineLevel="0" collapsed="false">
      <c r="A9575" s="3" t="s">
        <v>511</v>
      </c>
      <c r="B9575" s="4" t="s">
        <v>12</v>
      </c>
      <c r="C9575" s="4" t="n">
        <v>7</v>
      </c>
      <c r="D9575" s="4" t="s">
        <v>106</v>
      </c>
      <c r="E9575" s="3" t="s">
        <v>339</v>
      </c>
      <c r="F9575" s="4" t="str">
        <f aca="false">IF(I9575&gt;J9575,"Y","N")</f>
        <v>N</v>
      </c>
      <c r="G9575" s="3" t="s">
        <v>340</v>
      </c>
      <c r="H9575" s="3" t="s">
        <v>39</v>
      </c>
      <c r="I9575" s="4" t="n">
        <v>2</v>
      </c>
      <c r="J9575" s="4" t="n">
        <f aca="false">LEN(E9575)-LEN(SUBSTITUTE(E9575,",",""))+1</f>
        <v>2</v>
      </c>
      <c r="K9575" s="3" t="str">
        <f aca="false">IFERROR(INDEX('Teacher Lookup'!$B$2:$B$200,MATCH(A9575,'Teacher Lookup'!$A$2:$A$200,0)),"")</f>
        <v>HUI Tom</v>
      </c>
    </row>
    <row r="9576" customFormat="false" ht="15" hidden="false" customHeight="false" outlineLevel="0" collapsed="false">
      <c r="A9576" s="3" t="s">
        <v>511</v>
      </c>
      <c r="B9576" s="4" t="s">
        <v>31</v>
      </c>
      <c r="C9576" s="4" t="n">
        <v>1</v>
      </c>
      <c r="D9576" s="4" t="s">
        <v>78</v>
      </c>
      <c r="E9576" s="3" t="s">
        <v>135</v>
      </c>
      <c r="F9576" s="4" t="str">
        <f aca="false">IF(I9576&gt;J9576,"Y","N")</f>
        <v>N</v>
      </c>
      <c r="G9576" s="3" t="s">
        <v>350</v>
      </c>
      <c r="H9576" s="3" t="s">
        <v>16</v>
      </c>
      <c r="I9576" s="4" t="n">
        <v>1</v>
      </c>
      <c r="J9576" s="4" t="n">
        <f aca="false">LEN(E9576)-LEN(SUBSTITUTE(E9576,",",""))+1</f>
        <v>1</v>
      </c>
      <c r="K9576" s="3" t="str">
        <f aca="false">IFERROR(INDEX('Teacher Lookup'!$B$2:$B$200,MATCH(A9576,'Teacher Lookup'!$A$2:$A$200,0)),"")</f>
        <v>HUI Tom</v>
      </c>
    </row>
    <row r="9577" customFormat="false" ht="15" hidden="false" customHeight="false" outlineLevel="0" collapsed="false">
      <c r="A9577" s="3" t="s">
        <v>511</v>
      </c>
      <c r="B9577" s="4" t="s">
        <v>31</v>
      </c>
      <c r="C9577" s="4" t="n">
        <v>2</v>
      </c>
      <c r="D9577" s="4" t="s">
        <v>24</v>
      </c>
      <c r="E9577" s="3" t="s">
        <v>377</v>
      </c>
      <c r="F9577" s="4" t="str">
        <f aca="false">IF(I9577&gt;J9577,"Y","N")</f>
        <v>N</v>
      </c>
      <c r="G9577" s="3" t="s">
        <v>378</v>
      </c>
      <c r="H9577" s="3" t="s">
        <v>21</v>
      </c>
      <c r="I9577" s="4" t="n">
        <v>8</v>
      </c>
      <c r="J9577" s="4" t="n">
        <f aca="false">LEN(E9577)-LEN(SUBSTITUTE(E9577,",",""))+1</f>
        <v>8</v>
      </c>
      <c r="K9577" s="3" t="str">
        <f aca="false">IFERROR(INDEX('Teacher Lookup'!$B$2:$B$200,MATCH(A9577,'Teacher Lookup'!$A$2:$A$200,0)),"")</f>
        <v>HUI Tom</v>
      </c>
    </row>
    <row r="9578" customFormat="false" ht="15" hidden="false" customHeight="false" outlineLevel="0" collapsed="false">
      <c r="A9578" s="3" t="s">
        <v>511</v>
      </c>
      <c r="B9578" s="4" t="s">
        <v>31</v>
      </c>
      <c r="C9578" s="4" t="n">
        <v>2</v>
      </c>
      <c r="D9578" s="4" t="s">
        <v>27</v>
      </c>
      <c r="E9578" s="3" t="s">
        <v>377</v>
      </c>
      <c r="F9578" s="4" t="str">
        <f aca="false">IF(I9578&gt;J9578,"Y","N")</f>
        <v>N</v>
      </c>
      <c r="G9578" s="3" t="s">
        <v>378</v>
      </c>
      <c r="H9578" s="3" t="s">
        <v>21</v>
      </c>
      <c r="I9578" s="4" t="n">
        <v>8</v>
      </c>
      <c r="J9578" s="4" t="n">
        <f aca="false">LEN(E9578)-LEN(SUBSTITUTE(E9578,",",""))+1</f>
        <v>8</v>
      </c>
      <c r="K9578" s="3" t="str">
        <f aca="false">IFERROR(INDEX('Teacher Lookup'!$B$2:$B$200,MATCH(A9578,'Teacher Lookup'!$A$2:$A$200,0)),"")</f>
        <v>HUI Tom</v>
      </c>
    </row>
    <row r="9579" customFormat="false" ht="15" hidden="false" customHeight="false" outlineLevel="0" collapsed="false">
      <c r="A9579" s="3" t="s">
        <v>511</v>
      </c>
      <c r="B9579" s="4" t="s">
        <v>31</v>
      </c>
      <c r="C9579" s="4" t="n">
        <v>2</v>
      </c>
      <c r="D9579" s="4" t="s">
        <v>28</v>
      </c>
      <c r="E9579" s="3" t="s">
        <v>377</v>
      </c>
      <c r="F9579" s="4" t="str">
        <f aca="false">IF(I9579&gt;J9579,"Y","N")</f>
        <v>N</v>
      </c>
      <c r="G9579" s="3" t="s">
        <v>378</v>
      </c>
      <c r="H9579" s="3" t="s">
        <v>21</v>
      </c>
      <c r="I9579" s="4" t="n">
        <v>8</v>
      </c>
      <c r="J9579" s="4" t="n">
        <f aca="false">LEN(E9579)-LEN(SUBSTITUTE(E9579,",",""))+1</f>
        <v>8</v>
      </c>
      <c r="K9579" s="3" t="str">
        <f aca="false">IFERROR(INDEX('Teacher Lookup'!$B$2:$B$200,MATCH(A9579,'Teacher Lookup'!$A$2:$A$200,0)),"")</f>
        <v>HUI Tom</v>
      </c>
    </row>
    <row r="9580" customFormat="false" ht="15" hidden="false" customHeight="false" outlineLevel="0" collapsed="false">
      <c r="A9580" s="3" t="s">
        <v>511</v>
      </c>
      <c r="B9580" s="4" t="s">
        <v>31</v>
      </c>
      <c r="C9580" s="4" t="n">
        <v>2</v>
      </c>
      <c r="D9580" s="4" t="s">
        <v>29</v>
      </c>
      <c r="E9580" s="3" t="s">
        <v>377</v>
      </c>
      <c r="F9580" s="4" t="str">
        <f aca="false">IF(I9580&gt;J9580,"Y","N")</f>
        <v>N</v>
      </c>
      <c r="G9580" s="3" t="s">
        <v>378</v>
      </c>
      <c r="H9580" s="3" t="s">
        <v>21</v>
      </c>
      <c r="I9580" s="4" t="n">
        <v>8</v>
      </c>
      <c r="J9580" s="4" t="n">
        <f aca="false">LEN(E9580)-LEN(SUBSTITUTE(E9580,",",""))+1</f>
        <v>8</v>
      </c>
      <c r="K9580" s="3" t="str">
        <f aca="false">IFERROR(INDEX('Teacher Lookup'!$B$2:$B$200,MATCH(A9580,'Teacher Lookup'!$A$2:$A$200,0)),"")</f>
        <v>HUI Tom</v>
      </c>
    </row>
    <row r="9581" customFormat="false" ht="15" hidden="false" customHeight="false" outlineLevel="0" collapsed="false">
      <c r="A9581" s="3" t="s">
        <v>511</v>
      </c>
      <c r="B9581" s="4" t="s">
        <v>31</v>
      </c>
      <c r="C9581" s="4" t="n">
        <v>2</v>
      </c>
      <c r="D9581" s="4" t="s">
        <v>30</v>
      </c>
      <c r="E9581" s="3" t="s">
        <v>377</v>
      </c>
      <c r="F9581" s="4" t="str">
        <f aca="false">IF(I9581&gt;J9581,"Y","N")</f>
        <v>N</v>
      </c>
      <c r="G9581" s="3" t="s">
        <v>378</v>
      </c>
      <c r="H9581" s="3" t="s">
        <v>21</v>
      </c>
      <c r="I9581" s="4" t="n">
        <v>8</v>
      </c>
      <c r="J9581" s="4" t="n">
        <f aca="false">LEN(E9581)-LEN(SUBSTITUTE(E9581,",",""))+1</f>
        <v>8</v>
      </c>
      <c r="K9581" s="3" t="str">
        <f aca="false">IFERROR(INDEX('Teacher Lookup'!$B$2:$B$200,MATCH(A9581,'Teacher Lookup'!$A$2:$A$200,0)),"")</f>
        <v>HUI Tom</v>
      </c>
    </row>
    <row r="9582" customFormat="false" ht="15" hidden="false" customHeight="false" outlineLevel="0" collapsed="false">
      <c r="A9582" s="3" t="s">
        <v>511</v>
      </c>
      <c r="B9582" s="4" t="s">
        <v>31</v>
      </c>
      <c r="C9582" s="4" t="n">
        <v>4</v>
      </c>
      <c r="D9582" s="4" t="s">
        <v>74</v>
      </c>
      <c r="E9582" s="3" t="s">
        <v>316</v>
      </c>
      <c r="F9582" s="4" t="str">
        <f aca="false">IF(I9582&gt;J9582,"Y","N")</f>
        <v>N</v>
      </c>
      <c r="G9582" s="3" t="s">
        <v>350</v>
      </c>
      <c r="H9582" s="3" t="s">
        <v>34</v>
      </c>
      <c r="I9582" s="4" t="n">
        <v>1</v>
      </c>
      <c r="J9582" s="4" t="n">
        <f aca="false">LEN(E9582)-LEN(SUBSTITUTE(E9582,",",""))+1</f>
        <v>1</v>
      </c>
      <c r="K9582" s="3" t="str">
        <f aca="false">IFERROR(INDEX('Teacher Lookup'!$B$2:$B$200,MATCH(A9582,'Teacher Lookup'!$A$2:$A$200,0)),"")</f>
        <v>HUI Tom</v>
      </c>
    </row>
    <row r="9583" customFormat="false" ht="15" hidden="false" customHeight="false" outlineLevel="0" collapsed="false">
      <c r="A9583" s="3" t="s">
        <v>511</v>
      </c>
      <c r="B9583" s="4" t="s">
        <v>31</v>
      </c>
      <c r="C9583" s="4" t="n">
        <v>5</v>
      </c>
      <c r="D9583" s="4" t="s">
        <v>70</v>
      </c>
      <c r="E9583" s="3" t="s">
        <v>81</v>
      </c>
      <c r="F9583" s="4" t="str">
        <f aca="false">IF(I9583&gt;J9583,"Y","N")</f>
        <v>Y</v>
      </c>
      <c r="G9583" s="3" t="s">
        <v>36</v>
      </c>
      <c r="H9583" s="3" t="s">
        <v>37</v>
      </c>
      <c r="I9583" s="4" t="n">
        <v>15</v>
      </c>
      <c r="J9583" s="4" t="n">
        <f aca="false">LEN(E9583)-LEN(SUBSTITUTE(E9583,",",""))+1</f>
        <v>7</v>
      </c>
      <c r="K9583" s="3" t="str">
        <f aca="false">IFERROR(INDEX('Teacher Lookup'!$B$2:$B$200,MATCH(A9583,'Teacher Lookup'!$A$2:$A$200,0)),"")</f>
        <v>HUI Tom</v>
      </c>
    </row>
    <row r="9584" customFormat="false" ht="15" hidden="false" customHeight="false" outlineLevel="0" collapsed="false">
      <c r="A9584" s="3" t="s">
        <v>511</v>
      </c>
      <c r="B9584" s="4" t="s">
        <v>31</v>
      </c>
      <c r="C9584" s="4" t="n">
        <v>5</v>
      </c>
      <c r="D9584" s="4" t="s">
        <v>73</v>
      </c>
      <c r="E9584" s="3" t="s">
        <v>81</v>
      </c>
      <c r="F9584" s="4" t="str">
        <f aca="false">IF(I9584&gt;J9584,"Y","N")</f>
        <v>Y</v>
      </c>
      <c r="G9584" s="3" t="s">
        <v>36</v>
      </c>
      <c r="H9584" s="3" t="s">
        <v>37</v>
      </c>
      <c r="I9584" s="4" t="n">
        <v>15</v>
      </c>
      <c r="J9584" s="4" t="n">
        <f aca="false">LEN(E9584)-LEN(SUBSTITUTE(E9584,",",""))+1</f>
        <v>7</v>
      </c>
      <c r="K9584" s="3" t="str">
        <f aca="false">IFERROR(INDEX('Teacher Lookup'!$B$2:$B$200,MATCH(A9584,'Teacher Lookup'!$A$2:$A$200,0)),"")</f>
        <v>HUI Tom</v>
      </c>
    </row>
    <row r="9585" customFormat="false" ht="15" hidden="false" customHeight="false" outlineLevel="0" collapsed="false">
      <c r="A9585" s="3" t="s">
        <v>511</v>
      </c>
      <c r="B9585" s="4" t="s">
        <v>31</v>
      </c>
      <c r="C9585" s="4" t="n">
        <v>5</v>
      </c>
      <c r="D9585" s="4" t="s">
        <v>74</v>
      </c>
      <c r="E9585" s="3" t="s">
        <v>81</v>
      </c>
      <c r="F9585" s="4" t="str">
        <f aca="false">IF(I9585&gt;J9585,"Y","N")</f>
        <v>Y</v>
      </c>
      <c r="G9585" s="3" t="s">
        <v>36</v>
      </c>
      <c r="H9585" s="3" t="s">
        <v>37</v>
      </c>
      <c r="I9585" s="4" t="n">
        <v>15</v>
      </c>
      <c r="J9585" s="4" t="n">
        <f aca="false">LEN(E9585)-LEN(SUBSTITUTE(E9585,",",""))+1</f>
        <v>7</v>
      </c>
      <c r="K9585" s="3" t="str">
        <f aca="false">IFERROR(INDEX('Teacher Lookup'!$B$2:$B$200,MATCH(A9585,'Teacher Lookup'!$A$2:$A$200,0)),"")</f>
        <v>HUI Tom</v>
      </c>
    </row>
    <row r="9586" customFormat="false" ht="15" hidden="false" customHeight="false" outlineLevel="0" collapsed="false">
      <c r="A9586" s="3" t="s">
        <v>511</v>
      </c>
      <c r="B9586" s="4" t="s">
        <v>31</v>
      </c>
      <c r="C9586" s="4" t="n">
        <v>5</v>
      </c>
      <c r="D9586" s="4" t="s">
        <v>76</v>
      </c>
      <c r="E9586" s="3" t="s">
        <v>81</v>
      </c>
      <c r="F9586" s="4" t="str">
        <f aca="false">IF(I9586&gt;J9586,"Y","N")</f>
        <v>Y</v>
      </c>
      <c r="G9586" s="3" t="s">
        <v>36</v>
      </c>
      <c r="H9586" s="3" t="s">
        <v>37</v>
      </c>
      <c r="I9586" s="4" t="n">
        <v>15</v>
      </c>
      <c r="J9586" s="4" t="n">
        <f aca="false">LEN(E9586)-LEN(SUBSTITUTE(E9586,",",""))+1</f>
        <v>7</v>
      </c>
      <c r="K9586" s="3" t="str">
        <f aca="false">IFERROR(INDEX('Teacher Lookup'!$B$2:$B$200,MATCH(A9586,'Teacher Lookup'!$A$2:$A$200,0)),"")</f>
        <v>HUI Tom</v>
      </c>
    </row>
    <row r="9587" customFormat="false" ht="15" hidden="false" customHeight="false" outlineLevel="0" collapsed="false">
      <c r="A9587" s="3" t="s">
        <v>511</v>
      </c>
      <c r="B9587" s="4" t="s">
        <v>31</v>
      </c>
      <c r="C9587" s="4" t="n">
        <v>5</v>
      </c>
      <c r="D9587" s="4" t="s">
        <v>78</v>
      </c>
      <c r="E9587" s="3" t="s">
        <v>81</v>
      </c>
      <c r="F9587" s="4" t="str">
        <f aca="false">IF(I9587&gt;J9587,"Y","N")</f>
        <v>Y</v>
      </c>
      <c r="G9587" s="3" t="s">
        <v>36</v>
      </c>
      <c r="H9587" s="3" t="s">
        <v>37</v>
      </c>
      <c r="I9587" s="4" t="n">
        <v>15</v>
      </c>
      <c r="J9587" s="4" t="n">
        <f aca="false">LEN(E9587)-LEN(SUBSTITUTE(E9587,",",""))+1</f>
        <v>7</v>
      </c>
      <c r="K9587" s="3" t="str">
        <f aca="false">IFERROR(INDEX('Teacher Lookup'!$B$2:$B$200,MATCH(A9587,'Teacher Lookup'!$A$2:$A$200,0)),"")</f>
        <v>HUI Tom</v>
      </c>
    </row>
    <row r="9588" customFormat="false" ht="15" hidden="false" customHeight="false" outlineLevel="0" collapsed="false">
      <c r="A9588" s="3" t="s">
        <v>511</v>
      </c>
      <c r="B9588" s="4" t="s">
        <v>31</v>
      </c>
      <c r="C9588" s="4" t="n">
        <v>5</v>
      </c>
      <c r="D9588" s="4" t="s">
        <v>79</v>
      </c>
      <c r="E9588" s="3" t="s">
        <v>81</v>
      </c>
      <c r="F9588" s="4" t="str">
        <f aca="false">IF(I9588&gt;J9588,"Y","N")</f>
        <v>Y</v>
      </c>
      <c r="G9588" s="3" t="s">
        <v>36</v>
      </c>
      <c r="H9588" s="3" t="s">
        <v>37</v>
      </c>
      <c r="I9588" s="4" t="n">
        <v>15</v>
      </c>
      <c r="J9588" s="4" t="n">
        <f aca="false">LEN(E9588)-LEN(SUBSTITUTE(E9588,",",""))+1</f>
        <v>7</v>
      </c>
      <c r="K9588" s="3" t="str">
        <f aca="false">IFERROR(INDEX('Teacher Lookup'!$B$2:$B$200,MATCH(A9588,'Teacher Lookup'!$A$2:$A$200,0)),"")</f>
        <v>HUI Tom</v>
      </c>
    </row>
    <row r="9589" customFormat="false" ht="15" hidden="false" customHeight="false" outlineLevel="0" collapsed="false">
      <c r="A9589" s="3" t="s">
        <v>511</v>
      </c>
      <c r="B9589" s="4" t="s">
        <v>40</v>
      </c>
      <c r="C9589" s="4" t="n">
        <v>1</v>
      </c>
      <c r="D9589" s="4" t="s">
        <v>78</v>
      </c>
      <c r="E9589" s="3" t="s">
        <v>135</v>
      </c>
      <c r="F9589" s="4" t="str">
        <f aca="false">IF(I9589&gt;J9589,"Y","N")</f>
        <v>N</v>
      </c>
      <c r="G9589" s="3" t="s">
        <v>350</v>
      </c>
      <c r="H9589" s="3" t="s">
        <v>16</v>
      </c>
      <c r="I9589" s="4" t="n">
        <v>1</v>
      </c>
      <c r="J9589" s="4" t="n">
        <f aca="false">LEN(E9589)-LEN(SUBSTITUTE(E9589,",",""))+1</f>
        <v>1</v>
      </c>
      <c r="K9589" s="3" t="str">
        <f aca="false">IFERROR(INDEX('Teacher Lookup'!$B$2:$B$200,MATCH(A9589,'Teacher Lookup'!$A$2:$A$200,0)),"")</f>
        <v>HUI Tom</v>
      </c>
    </row>
    <row r="9590" customFormat="false" ht="15" hidden="false" customHeight="false" outlineLevel="0" collapsed="false">
      <c r="A9590" s="3" t="s">
        <v>511</v>
      </c>
      <c r="B9590" s="4" t="s">
        <v>40</v>
      </c>
      <c r="C9590" s="4" t="n">
        <v>3</v>
      </c>
      <c r="D9590" s="4" t="s">
        <v>106</v>
      </c>
      <c r="E9590" s="3" t="s">
        <v>339</v>
      </c>
      <c r="F9590" s="4" t="str">
        <f aca="false">IF(I9590&gt;J9590,"Y","N")</f>
        <v>N</v>
      </c>
      <c r="G9590" s="3" t="s">
        <v>340</v>
      </c>
      <c r="H9590" s="3" t="s">
        <v>26</v>
      </c>
      <c r="I9590" s="4" t="n">
        <v>2</v>
      </c>
      <c r="J9590" s="4" t="n">
        <f aca="false">LEN(E9590)-LEN(SUBSTITUTE(E9590,",",""))+1</f>
        <v>2</v>
      </c>
      <c r="K9590" s="3" t="str">
        <f aca="false">IFERROR(INDEX('Teacher Lookup'!$B$2:$B$200,MATCH(A9590,'Teacher Lookup'!$A$2:$A$200,0)),"")</f>
        <v>HUI Tom</v>
      </c>
    </row>
    <row r="9591" customFormat="false" ht="15" hidden="false" customHeight="false" outlineLevel="0" collapsed="false">
      <c r="A9591" s="3" t="s">
        <v>511</v>
      </c>
      <c r="B9591" s="4" t="s">
        <v>40</v>
      </c>
      <c r="C9591" s="4" t="n">
        <v>4</v>
      </c>
      <c r="D9591" s="4" t="s">
        <v>24</v>
      </c>
      <c r="E9591" s="3" t="s">
        <v>379</v>
      </c>
      <c r="F9591" s="4" t="str">
        <f aca="false">IF(I9591&gt;J9591,"Y","N")</f>
        <v>Y</v>
      </c>
      <c r="G9591" s="3" t="s">
        <v>378</v>
      </c>
      <c r="H9591" s="3" t="s">
        <v>34</v>
      </c>
      <c r="I9591" s="4" t="n">
        <v>9</v>
      </c>
      <c r="J9591" s="4" t="n">
        <f aca="false">LEN(E9591)-LEN(SUBSTITUTE(E9591,",",""))+1</f>
        <v>8</v>
      </c>
      <c r="K9591" s="3" t="str">
        <f aca="false">IFERROR(INDEX('Teacher Lookup'!$B$2:$B$200,MATCH(A9591,'Teacher Lookup'!$A$2:$A$200,0)),"")</f>
        <v>HUI Tom</v>
      </c>
    </row>
    <row r="9592" customFormat="false" ht="15" hidden="false" customHeight="false" outlineLevel="0" collapsed="false">
      <c r="A9592" s="3" t="s">
        <v>511</v>
      </c>
      <c r="B9592" s="4" t="s">
        <v>40</v>
      </c>
      <c r="C9592" s="4" t="n">
        <v>4</v>
      </c>
      <c r="D9592" s="4" t="s">
        <v>27</v>
      </c>
      <c r="E9592" s="3" t="s">
        <v>379</v>
      </c>
      <c r="F9592" s="4" t="str">
        <f aca="false">IF(I9592&gt;J9592,"Y","N")</f>
        <v>Y</v>
      </c>
      <c r="G9592" s="3" t="s">
        <v>378</v>
      </c>
      <c r="H9592" s="3" t="s">
        <v>34</v>
      </c>
      <c r="I9592" s="4" t="n">
        <v>9</v>
      </c>
      <c r="J9592" s="4" t="n">
        <f aca="false">LEN(E9592)-LEN(SUBSTITUTE(E9592,",",""))+1</f>
        <v>8</v>
      </c>
      <c r="K9592" s="3" t="str">
        <f aca="false">IFERROR(INDEX('Teacher Lookup'!$B$2:$B$200,MATCH(A9592,'Teacher Lookup'!$A$2:$A$200,0)),"")</f>
        <v>HUI Tom</v>
      </c>
    </row>
    <row r="9593" customFormat="false" ht="15" hidden="false" customHeight="false" outlineLevel="0" collapsed="false">
      <c r="A9593" s="3" t="s">
        <v>511</v>
      </c>
      <c r="B9593" s="4" t="s">
        <v>40</v>
      </c>
      <c r="C9593" s="4" t="n">
        <v>4</v>
      </c>
      <c r="D9593" s="4" t="s">
        <v>28</v>
      </c>
      <c r="E9593" s="3" t="s">
        <v>379</v>
      </c>
      <c r="F9593" s="4" t="str">
        <f aca="false">IF(I9593&gt;J9593,"Y","N")</f>
        <v>Y</v>
      </c>
      <c r="G9593" s="3" t="s">
        <v>378</v>
      </c>
      <c r="H9593" s="3" t="s">
        <v>34</v>
      </c>
      <c r="I9593" s="4" t="n">
        <v>9</v>
      </c>
      <c r="J9593" s="4" t="n">
        <f aca="false">LEN(E9593)-LEN(SUBSTITUTE(E9593,",",""))+1</f>
        <v>8</v>
      </c>
      <c r="K9593" s="3" t="str">
        <f aca="false">IFERROR(INDEX('Teacher Lookup'!$B$2:$B$200,MATCH(A9593,'Teacher Lookup'!$A$2:$A$200,0)),"")</f>
        <v>HUI Tom</v>
      </c>
    </row>
    <row r="9594" customFormat="false" ht="15" hidden="false" customHeight="false" outlineLevel="0" collapsed="false">
      <c r="A9594" s="3" t="s">
        <v>511</v>
      </c>
      <c r="B9594" s="4" t="s">
        <v>40</v>
      </c>
      <c r="C9594" s="4" t="n">
        <v>4</v>
      </c>
      <c r="D9594" s="4" t="s">
        <v>29</v>
      </c>
      <c r="E9594" s="3" t="s">
        <v>379</v>
      </c>
      <c r="F9594" s="4" t="str">
        <f aca="false">IF(I9594&gt;J9594,"Y","N")</f>
        <v>Y</v>
      </c>
      <c r="G9594" s="3" t="s">
        <v>378</v>
      </c>
      <c r="H9594" s="3" t="s">
        <v>34</v>
      </c>
      <c r="I9594" s="4" t="n">
        <v>9</v>
      </c>
      <c r="J9594" s="4" t="n">
        <f aca="false">LEN(E9594)-LEN(SUBSTITUTE(E9594,",",""))+1</f>
        <v>8</v>
      </c>
      <c r="K9594" s="3" t="str">
        <f aca="false">IFERROR(INDEX('Teacher Lookup'!$B$2:$B$200,MATCH(A9594,'Teacher Lookup'!$A$2:$A$200,0)),"")</f>
        <v>HUI Tom</v>
      </c>
    </row>
    <row r="9595" customFormat="false" ht="15" hidden="false" customHeight="false" outlineLevel="0" collapsed="false">
      <c r="A9595" s="3" t="s">
        <v>511</v>
      </c>
      <c r="B9595" s="4" t="s">
        <v>40</v>
      </c>
      <c r="C9595" s="4" t="n">
        <v>4</v>
      </c>
      <c r="D9595" s="4" t="s">
        <v>30</v>
      </c>
      <c r="E9595" s="3" t="s">
        <v>379</v>
      </c>
      <c r="F9595" s="4" t="str">
        <f aca="false">IF(I9595&gt;J9595,"Y","N")</f>
        <v>Y</v>
      </c>
      <c r="G9595" s="3" t="s">
        <v>378</v>
      </c>
      <c r="H9595" s="3" t="s">
        <v>34</v>
      </c>
      <c r="I9595" s="4" t="n">
        <v>9</v>
      </c>
      <c r="J9595" s="4" t="n">
        <f aca="false">LEN(E9595)-LEN(SUBSTITUTE(E9595,",",""))+1</f>
        <v>8</v>
      </c>
      <c r="K9595" s="3" t="str">
        <f aca="false">IFERROR(INDEX('Teacher Lookup'!$B$2:$B$200,MATCH(A9595,'Teacher Lookup'!$A$2:$A$200,0)),"")</f>
        <v>HUI Tom</v>
      </c>
    </row>
    <row r="9596" customFormat="false" ht="15" hidden="false" customHeight="false" outlineLevel="0" collapsed="false">
      <c r="A9596" s="3" t="s">
        <v>511</v>
      </c>
      <c r="B9596" s="4" t="s">
        <v>44</v>
      </c>
      <c r="C9596" s="4" t="n">
        <v>1</v>
      </c>
      <c r="D9596" s="4" t="s">
        <v>24</v>
      </c>
      <c r="E9596" s="3" t="s">
        <v>380</v>
      </c>
      <c r="F9596" s="4" t="str">
        <f aca="false">IF(I9596&gt;J9596,"Y","N")</f>
        <v>Y</v>
      </c>
      <c r="G9596" s="3" t="s">
        <v>378</v>
      </c>
      <c r="H9596" s="3" t="s">
        <v>16</v>
      </c>
      <c r="I9596" s="4" t="n">
        <v>9</v>
      </c>
      <c r="J9596" s="4" t="n">
        <f aca="false">LEN(E9596)-LEN(SUBSTITUTE(E9596,",",""))+1</f>
        <v>8</v>
      </c>
      <c r="K9596" s="3" t="str">
        <f aca="false">IFERROR(INDEX('Teacher Lookup'!$B$2:$B$200,MATCH(A9596,'Teacher Lookup'!$A$2:$A$200,0)),"")</f>
        <v>HUI Tom</v>
      </c>
    </row>
    <row r="9597" customFormat="false" ht="15" hidden="false" customHeight="false" outlineLevel="0" collapsed="false">
      <c r="A9597" s="3" t="s">
        <v>511</v>
      </c>
      <c r="B9597" s="4" t="s">
        <v>44</v>
      </c>
      <c r="C9597" s="4" t="n">
        <v>1</v>
      </c>
      <c r="D9597" s="4" t="s">
        <v>27</v>
      </c>
      <c r="E9597" s="3" t="s">
        <v>380</v>
      </c>
      <c r="F9597" s="4" t="str">
        <f aca="false">IF(I9597&gt;J9597,"Y","N")</f>
        <v>Y</v>
      </c>
      <c r="G9597" s="3" t="s">
        <v>378</v>
      </c>
      <c r="H9597" s="3" t="s">
        <v>16</v>
      </c>
      <c r="I9597" s="4" t="n">
        <v>9</v>
      </c>
      <c r="J9597" s="4" t="n">
        <f aca="false">LEN(E9597)-LEN(SUBSTITUTE(E9597,",",""))+1</f>
        <v>8</v>
      </c>
      <c r="K9597" s="3" t="str">
        <f aca="false">IFERROR(INDEX('Teacher Lookup'!$B$2:$B$200,MATCH(A9597,'Teacher Lookup'!$A$2:$A$200,0)),"")</f>
        <v>HUI Tom</v>
      </c>
    </row>
    <row r="9598" customFormat="false" ht="15" hidden="false" customHeight="false" outlineLevel="0" collapsed="false">
      <c r="A9598" s="3" t="s">
        <v>511</v>
      </c>
      <c r="B9598" s="4" t="s">
        <v>44</v>
      </c>
      <c r="C9598" s="4" t="n">
        <v>1</v>
      </c>
      <c r="D9598" s="4" t="s">
        <v>28</v>
      </c>
      <c r="E9598" s="3" t="s">
        <v>380</v>
      </c>
      <c r="F9598" s="4" t="str">
        <f aca="false">IF(I9598&gt;J9598,"Y","N")</f>
        <v>Y</v>
      </c>
      <c r="G9598" s="3" t="s">
        <v>378</v>
      </c>
      <c r="H9598" s="3" t="s">
        <v>16</v>
      </c>
      <c r="I9598" s="4" t="n">
        <v>9</v>
      </c>
      <c r="J9598" s="4" t="n">
        <f aca="false">LEN(E9598)-LEN(SUBSTITUTE(E9598,",",""))+1</f>
        <v>8</v>
      </c>
      <c r="K9598" s="3" t="str">
        <f aca="false">IFERROR(INDEX('Teacher Lookup'!$B$2:$B$200,MATCH(A9598,'Teacher Lookup'!$A$2:$A$200,0)),"")</f>
        <v>HUI Tom</v>
      </c>
    </row>
    <row r="9599" customFormat="false" ht="15" hidden="false" customHeight="false" outlineLevel="0" collapsed="false">
      <c r="A9599" s="3" t="s">
        <v>511</v>
      </c>
      <c r="B9599" s="4" t="s">
        <v>44</v>
      </c>
      <c r="C9599" s="4" t="n">
        <v>1</v>
      </c>
      <c r="D9599" s="4" t="s">
        <v>29</v>
      </c>
      <c r="E9599" s="3" t="s">
        <v>380</v>
      </c>
      <c r="F9599" s="4" t="str">
        <f aca="false">IF(I9599&gt;J9599,"Y","N")</f>
        <v>Y</v>
      </c>
      <c r="G9599" s="3" t="s">
        <v>378</v>
      </c>
      <c r="H9599" s="3" t="s">
        <v>16</v>
      </c>
      <c r="I9599" s="4" t="n">
        <v>9</v>
      </c>
      <c r="J9599" s="4" t="n">
        <f aca="false">LEN(E9599)-LEN(SUBSTITUTE(E9599,",",""))+1</f>
        <v>8</v>
      </c>
      <c r="K9599" s="3" t="str">
        <f aca="false">IFERROR(INDEX('Teacher Lookup'!$B$2:$B$200,MATCH(A9599,'Teacher Lookup'!$A$2:$A$200,0)),"")</f>
        <v>HUI Tom</v>
      </c>
    </row>
    <row r="9600" customFormat="false" ht="15" hidden="false" customHeight="false" outlineLevel="0" collapsed="false">
      <c r="A9600" s="3" t="s">
        <v>511</v>
      </c>
      <c r="B9600" s="4" t="s">
        <v>44</v>
      </c>
      <c r="C9600" s="4" t="n">
        <v>1</v>
      </c>
      <c r="D9600" s="4" t="s">
        <v>30</v>
      </c>
      <c r="E9600" s="3" t="s">
        <v>380</v>
      </c>
      <c r="F9600" s="4" t="str">
        <f aca="false">IF(I9600&gt;J9600,"Y","N")</f>
        <v>Y</v>
      </c>
      <c r="G9600" s="3" t="s">
        <v>378</v>
      </c>
      <c r="H9600" s="3" t="s">
        <v>16</v>
      </c>
      <c r="I9600" s="4" t="n">
        <v>9</v>
      </c>
      <c r="J9600" s="4" t="n">
        <f aca="false">LEN(E9600)-LEN(SUBSTITUTE(E9600,",",""))+1</f>
        <v>8</v>
      </c>
      <c r="K9600" s="3" t="str">
        <f aca="false">IFERROR(INDEX('Teacher Lookup'!$B$2:$B$200,MATCH(A9600,'Teacher Lookup'!$A$2:$A$200,0)),"")</f>
        <v>HUI Tom</v>
      </c>
    </row>
    <row r="9601" customFormat="false" ht="15" hidden="false" customHeight="false" outlineLevel="0" collapsed="false">
      <c r="A9601" s="3" t="s">
        <v>511</v>
      </c>
      <c r="B9601" s="4" t="s">
        <v>44</v>
      </c>
      <c r="C9601" s="4" t="n">
        <v>5</v>
      </c>
      <c r="D9601" s="4" t="s">
        <v>70</v>
      </c>
      <c r="E9601" s="3" t="s">
        <v>81</v>
      </c>
      <c r="F9601" s="4" t="str">
        <f aca="false">IF(I9601&gt;J9601,"Y","N")</f>
        <v>Y</v>
      </c>
      <c r="G9601" s="3" t="s">
        <v>36</v>
      </c>
      <c r="H9601" s="3" t="s">
        <v>37</v>
      </c>
      <c r="I9601" s="4" t="n">
        <v>15</v>
      </c>
      <c r="J9601" s="4" t="n">
        <f aca="false">LEN(E9601)-LEN(SUBSTITUTE(E9601,",",""))+1</f>
        <v>7</v>
      </c>
      <c r="K9601" s="3" t="str">
        <f aca="false">IFERROR(INDEX('Teacher Lookup'!$B$2:$B$200,MATCH(A9601,'Teacher Lookup'!$A$2:$A$200,0)),"")</f>
        <v>HUI Tom</v>
      </c>
    </row>
    <row r="9602" customFormat="false" ht="15" hidden="false" customHeight="false" outlineLevel="0" collapsed="false">
      <c r="A9602" s="3" t="s">
        <v>511</v>
      </c>
      <c r="B9602" s="4" t="s">
        <v>44</v>
      </c>
      <c r="C9602" s="4" t="n">
        <v>5</v>
      </c>
      <c r="D9602" s="4" t="s">
        <v>73</v>
      </c>
      <c r="E9602" s="3" t="s">
        <v>81</v>
      </c>
      <c r="F9602" s="4" t="str">
        <f aca="false">IF(I9602&gt;J9602,"Y","N")</f>
        <v>Y</v>
      </c>
      <c r="G9602" s="3" t="s">
        <v>36</v>
      </c>
      <c r="H9602" s="3" t="s">
        <v>37</v>
      </c>
      <c r="I9602" s="4" t="n">
        <v>15</v>
      </c>
      <c r="J9602" s="4" t="n">
        <f aca="false">LEN(E9602)-LEN(SUBSTITUTE(E9602,",",""))+1</f>
        <v>7</v>
      </c>
      <c r="K9602" s="3" t="str">
        <f aca="false">IFERROR(INDEX('Teacher Lookup'!$B$2:$B$200,MATCH(A9602,'Teacher Lookup'!$A$2:$A$200,0)),"")</f>
        <v>HUI Tom</v>
      </c>
    </row>
    <row r="9603" customFormat="false" ht="15" hidden="false" customHeight="false" outlineLevel="0" collapsed="false">
      <c r="A9603" s="3" t="s">
        <v>511</v>
      </c>
      <c r="B9603" s="4" t="s">
        <v>44</v>
      </c>
      <c r="C9603" s="4" t="n">
        <v>5</v>
      </c>
      <c r="D9603" s="4" t="s">
        <v>74</v>
      </c>
      <c r="E9603" s="3" t="s">
        <v>81</v>
      </c>
      <c r="F9603" s="4" t="str">
        <f aca="false">IF(I9603&gt;J9603,"Y","N")</f>
        <v>Y</v>
      </c>
      <c r="G9603" s="3" t="s">
        <v>36</v>
      </c>
      <c r="H9603" s="3" t="s">
        <v>37</v>
      </c>
      <c r="I9603" s="4" t="n">
        <v>15</v>
      </c>
      <c r="J9603" s="4" t="n">
        <f aca="false">LEN(E9603)-LEN(SUBSTITUTE(E9603,",",""))+1</f>
        <v>7</v>
      </c>
      <c r="K9603" s="3" t="str">
        <f aca="false">IFERROR(INDEX('Teacher Lookup'!$B$2:$B$200,MATCH(A9603,'Teacher Lookup'!$A$2:$A$200,0)),"")</f>
        <v>HUI Tom</v>
      </c>
    </row>
    <row r="9604" customFormat="false" ht="15" hidden="false" customHeight="false" outlineLevel="0" collapsed="false">
      <c r="A9604" s="3" t="s">
        <v>511</v>
      </c>
      <c r="B9604" s="4" t="s">
        <v>44</v>
      </c>
      <c r="C9604" s="4" t="n">
        <v>5</v>
      </c>
      <c r="D9604" s="4" t="s">
        <v>76</v>
      </c>
      <c r="E9604" s="3" t="s">
        <v>81</v>
      </c>
      <c r="F9604" s="4" t="str">
        <f aca="false">IF(I9604&gt;J9604,"Y","N")</f>
        <v>Y</v>
      </c>
      <c r="G9604" s="3" t="s">
        <v>36</v>
      </c>
      <c r="H9604" s="3" t="s">
        <v>37</v>
      </c>
      <c r="I9604" s="4" t="n">
        <v>15</v>
      </c>
      <c r="J9604" s="4" t="n">
        <f aca="false">LEN(E9604)-LEN(SUBSTITUTE(E9604,",",""))+1</f>
        <v>7</v>
      </c>
      <c r="K9604" s="3" t="str">
        <f aca="false">IFERROR(INDEX('Teacher Lookup'!$B$2:$B$200,MATCH(A9604,'Teacher Lookup'!$A$2:$A$200,0)),"")</f>
        <v>HUI Tom</v>
      </c>
    </row>
    <row r="9605" customFormat="false" ht="15" hidden="false" customHeight="false" outlineLevel="0" collapsed="false">
      <c r="A9605" s="3" t="s">
        <v>511</v>
      </c>
      <c r="B9605" s="4" t="s">
        <v>44</v>
      </c>
      <c r="C9605" s="4" t="n">
        <v>5</v>
      </c>
      <c r="D9605" s="4" t="s">
        <v>78</v>
      </c>
      <c r="E9605" s="3" t="s">
        <v>81</v>
      </c>
      <c r="F9605" s="4" t="str">
        <f aca="false">IF(I9605&gt;J9605,"Y","N")</f>
        <v>Y</v>
      </c>
      <c r="G9605" s="3" t="s">
        <v>36</v>
      </c>
      <c r="H9605" s="3" t="s">
        <v>37</v>
      </c>
      <c r="I9605" s="4" t="n">
        <v>15</v>
      </c>
      <c r="J9605" s="4" t="n">
        <f aca="false">LEN(E9605)-LEN(SUBSTITUTE(E9605,",",""))+1</f>
        <v>7</v>
      </c>
      <c r="K9605" s="3" t="str">
        <f aca="false">IFERROR(INDEX('Teacher Lookup'!$B$2:$B$200,MATCH(A9605,'Teacher Lookup'!$A$2:$A$200,0)),"")</f>
        <v>HUI Tom</v>
      </c>
    </row>
    <row r="9606" customFormat="false" ht="15" hidden="false" customHeight="false" outlineLevel="0" collapsed="false">
      <c r="A9606" s="3" t="s">
        <v>511</v>
      </c>
      <c r="B9606" s="4" t="s">
        <v>44</v>
      </c>
      <c r="C9606" s="4" t="n">
        <v>5</v>
      </c>
      <c r="D9606" s="4" t="s">
        <v>79</v>
      </c>
      <c r="E9606" s="3" t="s">
        <v>81</v>
      </c>
      <c r="F9606" s="4" t="str">
        <f aca="false">IF(I9606&gt;J9606,"Y","N")</f>
        <v>Y</v>
      </c>
      <c r="G9606" s="3" t="s">
        <v>36</v>
      </c>
      <c r="H9606" s="3" t="s">
        <v>37</v>
      </c>
      <c r="I9606" s="4" t="n">
        <v>15</v>
      </c>
      <c r="J9606" s="4" t="n">
        <f aca="false">LEN(E9606)-LEN(SUBSTITUTE(E9606,",",""))+1</f>
        <v>7</v>
      </c>
      <c r="K9606" s="3" t="str">
        <f aca="false">IFERROR(INDEX('Teacher Lookup'!$B$2:$B$200,MATCH(A9606,'Teacher Lookup'!$A$2:$A$200,0)),"")</f>
        <v>HUI Tom</v>
      </c>
    </row>
    <row r="9607" customFormat="false" ht="15" hidden="false" customHeight="false" outlineLevel="0" collapsed="false">
      <c r="A9607" s="3" t="s">
        <v>511</v>
      </c>
      <c r="B9607" s="4" t="s">
        <v>44</v>
      </c>
      <c r="C9607" s="4" t="n">
        <v>6</v>
      </c>
      <c r="D9607" s="4" t="s">
        <v>56</v>
      </c>
      <c r="E9607" s="3" t="s">
        <v>493</v>
      </c>
      <c r="F9607" s="4" t="str">
        <f aca="false">IF(I9607&gt;J9607,"Y","N")</f>
        <v>N</v>
      </c>
      <c r="G9607" s="3" t="s">
        <v>492</v>
      </c>
      <c r="H9607" s="3" t="s">
        <v>42</v>
      </c>
      <c r="I9607" s="4" t="n">
        <v>2</v>
      </c>
      <c r="J9607" s="4" t="n">
        <f aca="false">LEN(E9607)-LEN(SUBSTITUTE(E9607,",",""))+1</f>
        <v>2</v>
      </c>
      <c r="K9607" s="3" t="str">
        <f aca="false">IFERROR(INDEX('Teacher Lookup'!$B$2:$B$200,MATCH(A9607,'Teacher Lookup'!$A$2:$A$200,0)),"")</f>
        <v>HUI Tom</v>
      </c>
    </row>
    <row r="9608" customFormat="false" ht="15" hidden="false" customHeight="false" outlineLevel="0" collapsed="false">
      <c r="A9608" s="3" t="s">
        <v>511</v>
      </c>
      <c r="B9608" s="4" t="s">
        <v>44</v>
      </c>
      <c r="C9608" s="4" t="n">
        <v>7</v>
      </c>
      <c r="D9608" s="4" t="s">
        <v>106</v>
      </c>
      <c r="E9608" s="3" t="s">
        <v>342</v>
      </c>
      <c r="F9608" s="4" t="str">
        <f aca="false">IF(I9608&gt;J9608,"Y","N")</f>
        <v>N</v>
      </c>
      <c r="G9608" s="3" t="s">
        <v>340</v>
      </c>
      <c r="H9608" s="3" t="s">
        <v>39</v>
      </c>
      <c r="I9608" s="4" t="n">
        <v>2</v>
      </c>
      <c r="J9608" s="4" t="n">
        <f aca="false">LEN(E9608)-LEN(SUBSTITUTE(E9608,",",""))+1</f>
        <v>2</v>
      </c>
      <c r="K9608" s="3" t="str">
        <f aca="false">IFERROR(INDEX('Teacher Lookup'!$B$2:$B$200,MATCH(A9608,'Teacher Lookup'!$A$2:$A$200,0)),"")</f>
        <v>HUI Tom</v>
      </c>
    </row>
    <row r="9609" customFormat="false" ht="15" hidden="false" customHeight="false" outlineLevel="0" collapsed="false">
      <c r="A9609" s="3" t="s">
        <v>511</v>
      </c>
      <c r="B9609" s="4" t="s">
        <v>47</v>
      </c>
      <c r="C9609" s="4" t="n">
        <v>3</v>
      </c>
      <c r="D9609" s="4" t="s">
        <v>24</v>
      </c>
      <c r="E9609" s="3" t="s">
        <v>381</v>
      </c>
      <c r="F9609" s="4" t="str">
        <f aca="false">IF(I9609&gt;J9609,"Y","N")</f>
        <v>N</v>
      </c>
      <c r="G9609" s="3" t="s">
        <v>378</v>
      </c>
      <c r="H9609" s="3" t="s">
        <v>26</v>
      </c>
      <c r="I9609" s="4" t="n">
        <v>8</v>
      </c>
      <c r="J9609" s="4" t="n">
        <f aca="false">LEN(E9609)-LEN(SUBSTITUTE(E9609,",",""))+1</f>
        <v>8</v>
      </c>
      <c r="K9609" s="3" t="str">
        <f aca="false">IFERROR(INDEX('Teacher Lookup'!$B$2:$B$200,MATCH(A9609,'Teacher Lookup'!$A$2:$A$200,0)),"")</f>
        <v>HUI Tom</v>
      </c>
    </row>
    <row r="9610" customFormat="false" ht="15" hidden="false" customHeight="false" outlineLevel="0" collapsed="false">
      <c r="A9610" s="3" t="s">
        <v>511</v>
      </c>
      <c r="B9610" s="4" t="s">
        <v>47</v>
      </c>
      <c r="C9610" s="4" t="n">
        <v>3</v>
      </c>
      <c r="D9610" s="4" t="s">
        <v>27</v>
      </c>
      <c r="E9610" s="3" t="s">
        <v>381</v>
      </c>
      <c r="F9610" s="4" t="str">
        <f aca="false">IF(I9610&gt;J9610,"Y","N")</f>
        <v>N</v>
      </c>
      <c r="G9610" s="3" t="s">
        <v>378</v>
      </c>
      <c r="H9610" s="3" t="s">
        <v>26</v>
      </c>
      <c r="I9610" s="4" t="n">
        <v>8</v>
      </c>
      <c r="J9610" s="4" t="n">
        <f aca="false">LEN(E9610)-LEN(SUBSTITUTE(E9610,",",""))+1</f>
        <v>8</v>
      </c>
      <c r="K9610" s="3" t="str">
        <f aca="false">IFERROR(INDEX('Teacher Lookup'!$B$2:$B$200,MATCH(A9610,'Teacher Lookup'!$A$2:$A$200,0)),"")</f>
        <v>HUI Tom</v>
      </c>
    </row>
    <row r="9611" customFormat="false" ht="15" hidden="false" customHeight="false" outlineLevel="0" collapsed="false">
      <c r="A9611" s="3" t="s">
        <v>511</v>
      </c>
      <c r="B9611" s="4" t="s">
        <v>47</v>
      </c>
      <c r="C9611" s="4" t="n">
        <v>3</v>
      </c>
      <c r="D9611" s="4" t="s">
        <v>28</v>
      </c>
      <c r="E9611" s="3" t="s">
        <v>381</v>
      </c>
      <c r="F9611" s="4" t="str">
        <f aca="false">IF(I9611&gt;J9611,"Y","N")</f>
        <v>N</v>
      </c>
      <c r="G9611" s="3" t="s">
        <v>378</v>
      </c>
      <c r="H9611" s="3" t="s">
        <v>26</v>
      </c>
      <c r="I9611" s="4" t="n">
        <v>8</v>
      </c>
      <c r="J9611" s="4" t="n">
        <f aca="false">LEN(E9611)-LEN(SUBSTITUTE(E9611,",",""))+1</f>
        <v>8</v>
      </c>
      <c r="K9611" s="3" t="str">
        <f aca="false">IFERROR(INDEX('Teacher Lookup'!$B$2:$B$200,MATCH(A9611,'Teacher Lookup'!$A$2:$A$200,0)),"")</f>
        <v>HUI Tom</v>
      </c>
    </row>
    <row r="9612" customFormat="false" ht="15" hidden="false" customHeight="false" outlineLevel="0" collapsed="false">
      <c r="A9612" s="3" t="s">
        <v>511</v>
      </c>
      <c r="B9612" s="4" t="s">
        <v>47</v>
      </c>
      <c r="C9612" s="4" t="n">
        <v>3</v>
      </c>
      <c r="D9612" s="4" t="s">
        <v>29</v>
      </c>
      <c r="E9612" s="3" t="s">
        <v>381</v>
      </c>
      <c r="F9612" s="4" t="str">
        <f aca="false">IF(I9612&gt;J9612,"Y","N")</f>
        <v>N</v>
      </c>
      <c r="G9612" s="3" t="s">
        <v>378</v>
      </c>
      <c r="H9612" s="3" t="s">
        <v>26</v>
      </c>
      <c r="I9612" s="4" t="n">
        <v>8</v>
      </c>
      <c r="J9612" s="4" t="n">
        <f aca="false">LEN(E9612)-LEN(SUBSTITUTE(E9612,",",""))+1</f>
        <v>8</v>
      </c>
      <c r="K9612" s="3" t="str">
        <f aca="false">IFERROR(INDEX('Teacher Lookup'!$B$2:$B$200,MATCH(A9612,'Teacher Lookup'!$A$2:$A$200,0)),"")</f>
        <v>HUI Tom</v>
      </c>
    </row>
    <row r="9613" customFormat="false" ht="15" hidden="false" customHeight="false" outlineLevel="0" collapsed="false">
      <c r="A9613" s="3" t="s">
        <v>511</v>
      </c>
      <c r="B9613" s="4" t="s">
        <v>47</v>
      </c>
      <c r="C9613" s="4" t="n">
        <v>3</v>
      </c>
      <c r="D9613" s="4" t="s">
        <v>30</v>
      </c>
      <c r="E9613" s="3" t="s">
        <v>381</v>
      </c>
      <c r="F9613" s="4" t="str">
        <f aca="false">IF(I9613&gt;J9613,"Y","N")</f>
        <v>N</v>
      </c>
      <c r="G9613" s="3" t="s">
        <v>378</v>
      </c>
      <c r="H9613" s="3" t="s">
        <v>26</v>
      </c>
      <c r="I9613" s="4" t="n">
        <v>8</v>
      </c>
      <c r="J9613" s="4" t="n">
        <f aca="false">LEN(E9613)-LEN(SUBSTITUTE(E9613,",",""))+1</f>
        <v>8</v>
      </c>
      <c r="K9613" s="3" t="str">
        <f aca="false">IFERROR(INDEX('Teacher Lookup'!$B$2:$B$200,MATCH(A9613,'Teacher Lookup'!$A$2:$A$200,0)),"")</f>
        <v>HUI Tom</v>
      </c>
    </row>
    <row r="9614" customFormat="false" ht="15" hidden="false" customHeight="false" outlineLevel="0" collapsed="false">
      <c r="A9614" s="3" t="s">
        <v>511</v>
      </c>
      <c r="B9614" s="4" t="s">
        <v>47</v>
      </c>
      <c r="C9614" s="4" t="n">
        <v>4</v>
      </c>
      <c r="D9614" s="4" t="s">
        <v>24</v>
      </c>
      <c r="E9614" s="3" t="s">
        <v>381</v>
      </c>
      <c r="F9614" s="4" t="str">
        <f aca="false">IF(I9614&gt;J9614,"Y","N")</f>
        <v>N</v>
      </c>
      <c r="G9614" s="3" t="s">
        <v>378</v>
      </c>
      <c r="H9614" s="3" t="s">
        <v>34</v>
      </c>
      <c r="I9614" s="4" t="n">
        <v>8</v>
      </c>
      <c r="J9614" s="4" t="n">
        <f aca="false">LEN(E9614)-LEN(SUBSTITUTE(E9614,",",""))+1</f>
        <v>8</v>
      </c>
      <c r="K9614" s="3" t="str">
        <f aca="false">IFERROR(INDEX('Teacher Lookup'!$B$2:$B$200,MATCH(A9614,'Teacher Lookup'!$A$2:$A$200,0)),"")</f>
        <v>HUI Tom</v>
      </c>
    </row>
    <row r="9615" customFormat="false" ht="15" hidden="false" customHeight="false" outlineLevel="0" collapsed="false">
      <c r="A9615" s="3" t="s">
        <v>511</v>
      </c>
      <c r="B9615" s="4" t="s">
        <v>47</v>
      </c>
      <c r="C9615" s="4" t="n">
        <v>4</v>
      </c>
      <c r="D9615" s="4" t="s">
        <v>27</v>
      </c>
      <c r="E9615" s="3" t="s">
        <v>381</v>
      </c>
      <c r="F9615" s="4" t="str">
        <f aca="false">IF(I9615&gt;J9615,"Y","N")</f>
        <v>N</v>
      </c>
      <c r="G9615" s="3" t="s">
        <v>378</v>
      </c>
      <c r="H9615" s="3" t="s">
        <v>34</v>
      </c>
      <c r="I9615" s="4" t="n">
        <v>8</v>
      </c>
      <c r="J9615" s="4" t="n">
        <f aca="false">LEN(E9615)-LEN(SUBSTITUTE(E9615,",",""))+1</f>
        <v>8</v>
      </c>
      <c r="K9615" s="3" t="str">
        <f aca="false">IFERROR(INDEX('Teacher Lookup'!$B$2:$B$200,MATCH(A9615,'Teacher Lookup'!$A$2:$A$200,0)),"")</f>
        <v>HUI Tom</v>
      </c>
    </row>
    <row r="9616" customFormat="false" ht="15" hidden="false" customHeight="false" outlineLevel="0" collapsed="false">
      <c r="A9616" s="3" t="s">
        <v>511</v>
      </c>
      <c r="B9616" s="4" t="s">
        <v>47</v>
      </c>
      <c r="C9616" s="4" t="n">
        <v>4</v>
      </c>
      <c r="D9616" s="4" t="s">
        <v>28</v>
      </c>
      <c r="E9616" s="3" t="s">
        <v>381</v>
      </c>
      <c r="F9616" s="4" t="str">
        <f aca="false">IF(I9616&gt;J9616,"Y","N")</f>
        <v>N</v>
      </c>
      <c r="G9616" s="3" t="s">
        <v>378</v>
      </c>
      <c r="H9616" s="3" t="s">
        <v>34</v>
      </c>
      <c r="I9616" s="4" t="n">
        <v>8</v>
      </c>
      <c r="J9616" s="4" t="n">
        <f aca="false">LEN(E9616)-LEN(SUBSTITUTE(E9616,",",""))+1</f>
        <v>8</v>
      </c>
      <c r="K9616" s="3" t="str">
        <f aca="false">IFERROR(INDEX('Teacher Lookup'!$B$2:$B$200,MATCH(A9616,'Teacher Lookup'!$A$2:$A$200,0)),"")</f>
        <v>HUI Tom</v>
      </c>
    </row>
    <row r="9617" customFormat="false" ht="15" hidden="false" customHeight="false" outlineLevel="0" collapsed="false">
      <c r="A9617" s="3" t="s">
        <v>511</v>
      </c>
      <c r="B9617" s="4" t="s">
        <v>47</v>
      </c>
      <c r="C9617" s="4" t="n">
        <v>4</v>
      </c>
      <c r="D9617" s="4" t="s">
        <v>29</v>
      </c>
      <c r="E9617" s="3" t="s">
        <v>381</v>
      </c>
      <c r="F9617" s="4" t="str">
        <f aca="false">IF(I9617&gt;J9617,"Y","N")</f>
        <v>N</v>
      </c>
      <c r="G9617" s="3" t="s">
        <v>378</v>
      </c>
      <c r="H9617" s="3" t="s">
        <v>34</v>
      </c>
      <c r="I9617" s="4" t="n">
        <v>8</v>
      </c>
      <c r="J9617" s="4" t="n">
        <f aca="false">LEN(E9617)-LEN(SUBSTITUTE(E9617,",",""))+1</f>
        <v>8</v>
      </c>
      <c r="K9617" s="3" t="str">
        <f aca="false">IFERROR(INDEX('Teacher Lookup'!$B$2:$B$200,MATCH(A9617,'Teacher Lookup'!$A$2:$A$200,0)),"")</f>
        <v>HUI Tom</v>
      </c>
    </row>
    <row r="9618" customFormat="false" ht="15" hidden="false" customHeight="false" outlineLevel="0" collapsed="false">
      <c r="A9618" s="3" t="s">
        <v>511</v>
      </c>
      <c r="B9618" s="4" t="s">
        <v>47</v>
      </c>
      <c r="C9618" s="4" t="n">
        <v>4</v>
      </c>
      <c r="D9618" s="4" t="s">
        <v>30</v>
      </c>
      <c r="E9618" s="3" t="s">
        <v>381</v>
      </c>
      <c r="F9618" s="4" t="str">
        <f aca="false">IF(I9618&gt;J9618,"Y","N")</f>
        <v>N</v>
      </c>
      <c r="G9618" s="3" t="s">
        <v>378</v>
      </c>
      <c r="H9618" s="3" t="s">
        <v>34</v>
      </c>
      <c r="I9618" s="4" t="n">
        <v>8</v>
      </c>
      <c r="J9618" s="4" t="n">
        <f aca="false">LEN(E9618)-LEN(SUBSTITUTE(E9618,",",""))+1</f>
        <v>8</v>
      </c>
      <c r="K9618" s="3" t="str">
        <f aca="false">IFERROR(INDEX('Teacher Lookup'!$B$2:$B$200,MATCH(A9618,'Teacher Lookup'!$A$2:$A$200,0)),"")</f>
        <v>HUI Tom</v>
      </c>
    </row>
    <row r="9619" customFormat="false" ht="15" hidden="false" customHeight="false" outlineLevel="0" collapsed="false">
      <c r="A9619" s="3" t="s">
        <v>511</v>
      </c>
      <c r="B9619" s="4" t="s">
        <v>47</v>
      </c>
      <c r="C9619" s="4" t="n">
        <v>5</v>
      </c>
      <c r="D9619" s="4" t="s">
        <v>56</v>
      </c>
      <c r="E9619" s="3" t="s">
        <v>494</v>
      </c>
      <c r="F9619" s="4" t="str">
        <f aca="false">IF(I9619&gt;J9619,"Y","N")</f>
        <v>N</v>
      </c>
      <c r="G9619" s="3" t="s">
        <v>492</v>
      </c>
      <c r="H9619" s="3" t="s">
        <v>37</v>
      </c>
      <c r="I9619" s="4" t="n">
        <v>2</v>
      </c>
      <c r="J9619" s="4" t="n">
        <f aca="false">LEN(E9619)-LEN(SUBSTITUTE(E9619,",",""))+1</f>
        <v>2</v>
      </c>
      <c r="K9619" s="3" t="str">
        <f aca="false">IFERROR(INDEX('Teacher Lookup'!$B$2:$B$200,MATCH(A9619,'Teacher Lookup'!$A$2:$A$200,0)),"")</f>
        <v>HUI Tom</v>
      </c>
    </row>
    <row r="9620" customFormat="false" ht="15" hidden="false" customHeight="false" outlineLevel="0" collapsed="false">
      <c r="A9620" s="3" t="s">
        <v>511</v>
      </c>
      <c r="B9620" s="4" t="s">
        <v>50</v>
      </c>
      <c r="C9620" s="4" t="n">
        <v>1</v>
      </c>
      <c r="D9620" s="4" t="s">
        <v>56</v>
      </c>
      <c r="E9620" s="3" t="s">
        <v>493</v>
      </c>
      <c r="F9620" s="4" t="str">
        <f aca="false">IF(I9620&gt;J9620,"Y","N")</f>
        <v>N</v>
      </c>
      <c r="G9620" s="3" t="s">
        <v>492</v>
      </c>
      <c r="H9620" s="3" t="s">
        <v>16</v>
      </c>
      <c r="I9620" s="4" t="n">
        <v>2</v>
      </c>
      <c r="J9620" s="4" t="n">
        <f aca="false">LEN(E9620)-LEN(SUBSTITUTE(E9620,",",""))+1</f>
        <v>2</v>
      </c>
      <c r="K9620" s="3" t="str">
        <f aca="false">IFERROR(INDEX('Teacher Lookup'!$B$2:$B$200,MATCH(A9620,'Teacher Lookup'!$A$2:$A$200,0)),"")</f>
        <v>HUI Tom</v>
      </c>
    </row>
    <row r="9621" customFormat="false" ht="15" hidden="false" customHeight="false" outlineLevel="0" collapsed="false">
      <c r="A9621" s="3" t="s">
        <v>511</v>
      </c>
      <c r="B9621" s="4" t="s">
        <v>50</v>
      </c>
      <c r="C9621" s="4" t="n">
        <v>4</v>
      </c>
      <c r="D9621" s="4" t="s">
        <v>106</v>
      </c>
      <c r="E9621" s="3" t="s">
        <v>343</v>
      </c>
      <c r="F9621" s="4" t="str">
        <f aca="false">IF(I9621&gt;J9621,"Y","N")</f>
        <v>N</v>
      </c>
      <c r="G9621" s="3" t="s">
        <v>340</v>
      </c>
      <c r="H9621" s="3" t="s">
        <v>34</v>
      </c>
      <c r="I9621" s="4" t="n">
        <v>2</v>
      </c>
      <c r="J9621" s="4" t="n">
        <f aca="false">LEN(E9621)-LEN(SUBSTITUTE(E9621,",",""))+1</f>
        <v>2</v>
      </c>
      <c r="K9621" s="3" t="str">
        <f aca="false">IFERROR(INDEX('Teacher Lookup'!$B$2:$B$200,MATCH(A9621,'Teacher Lookup'!$A$2:$A$200,0)),"")</f>
        <v>HUI Tom</v>
      </c>
    </row>
    <row r="9622" customFormat="false" ht="15" hidden="false" customHeight="false" outlineLevel="0" collapsed="false">
      <c r="A9622" s="3" t="s">
        <v>511</v>
      </c>
      <c r="B9622" s="4" t="s">
        <v>50</v>
      </c>
      <c r="C9622" s="4" t="n">
        <v>5</v>
      </c>
      <c r="D9622" s="4" t="s">
        <v>106</v>
      </c>
      <c r="E9622" s="3" t="s">
        <v>343</v>
      </c>
      <c r="F9622" s="4" t="str">
        <f aca="false">IF(I9622&gt;J9622,"Y","N")</f>
        <v>N</v>
      </c>
      <c r="G9622" s="3" t="s">
        <v>340</v>
      </c>
      <c r="H9622" s="3" t="s">
        <v>37</v>
      </c>
      <c r="I9622" s="4" t="n">
        <v>2</v>
      </c>
      <c r="J9622" s="4" t="n">
        <f aca="false">LEN(E9622)-LEN(SUBSTITUTE(E9622,",",""))+1</f>
        <v>2</v>
      </c>
      <c r="K9622" s="3" t="str">
        <f aca="false">IFERROR(INDEX('Teacher Lookup'!$B$2:$B$200,MATCH(A9622,'Teacher Lookup'!$A$2:$A$200,0)),"")</f>
        <v>HUI Tom</v>
      </c>
    </row>
    <row r="9623" customFormat="false" ht="15" hidden="false" customHeight="false" outlineLevel="0" collapsed="false">
      <c r="A9623" s="3" t="s">
        <v>511</v>
      </c>
      <c r="B9623" s="4" t="s">
        <v>50</v>
      </c>
      <c r="C9623" s="4" t="n">
        <v>7</v>
      </c>
      <c r="D9623" s="4" t="s">
        <v>24</v>
      </c>
      <c r="E9623" s="3" t="s">
        <v>382</v>
      </c>
      <c r="F9623" s="4" t="str">
        <f aca="false">IF(I9623&gt;J9623,"Y","N")</f>
        <v>N</v>
      </c>
      <c r="G9623" s="3" t="s">
        <v>378</v>
      </c>
      <c r="H9623" s="3" t="s">
        <v>39</v>
      </c>
      <c r="I9623" s="4" t="n">
        <v>8</v>
      </c>
      <c r="J9623" s="4" t="n">
        <f aca="false">LEN(E9623)-LEN(SUBSTITUTE(E9623,",",""))+1</f>
        <v>8</v>
      </c>
      <c r="K9623" s="3" t="str">
        <f aca="false">IFERROR(INDEX('Teacher Lookup'!$B$2:$B$200,MATCH(A9623,'Teacher Lookup'!$A$2:$A$200,0)),"")</f>
        <v>HUI Tom</v>
      </c>
    </row>
    <row r="9624" customFormat="false" ht="15" hidden="false" customHeight="false" outlineLevel="0" collapsed="false">
      <c r="A9624" s="3" t="s">
        <v>511</v>
      </c>
      <c r="B9624" s="4" t="s">
        <v>50</v>
      </c>
      <c r="C9624" s="4" t="n">
        <v>7</v>
      </c>
      <c r="D9624" s="4" t="s">
        <v>27</v>
      </c>
      <c r="E9624" s="3" t="s">
        <v>382</v>
      </c>
      <c r="F9624" s="4" t="str">
        <f aca="false">IF(I9624&gt;J9624,"Y","N")</f>
        <v>N</v>
      </c>
      <c r="G9624" s="3" t="s">
        <v>378</v>
      </c>
      <c r="H9624" s="3" t="s">
        <v>39</v>
      </c>
      <c r="I9624" s="4" t="n">
        <v>8</v>
      </c>
      <c r="J9624" s="4" t="n">
        <f aca="false">LEN(E9624)-LEN(SUBSTITUTE(E9624,",",""))+1</f>
        <v>8</v>
      </c>
      <c r="K9624" s="3" t="str">
        <f aca="false">IFERROR(INDEX('Teacher Lookup'!$B$2:$B$200,MATCH(A9624,'Teacher Lookup'!$A$2:$A$200,0)),"")</f>
        <v>HUI Tom</v>
      </c>
    </row>
    <row r="9625" customFormat="false" ht="15" hidden="false" customHeight="false" outlineLevel="0" collapsed="false">
      <c r="A9625" s="3" t="s">
        <v>511</v>
      </c>
      <c r="B9625" s="4" t="s">
        <v>50</v>
      </c>
      <c r="C9625" s="4" t="n">
        <v>7</v>
      </c>
      <c r="D9625" s="4" t="s">
        <v>28</v>
      </c>
      <c r="E9625" s="3" t="s">
        <v>382</v>
      </c>
      <c r="F9625" s="4" t="str">
        <f aca="false">IF(I9625&gt;J9625,"Y","N")</f>
        <v>N</v>
      </c>
      <c r="G9625" s="3" t="s">
        <v>378</v>
      </c>
      <c r="H9625" s="3" t="s">
        <v>39</v>
      </c>
      <c r="I9625" s="4" t="n">
        <v>8</v>
      </c>
      <c r="J9625" s="4" t="n">
        <f aca="false">LEN(E9625)-LEN(SUBSTITUTE(E9625,",",""))+1</f>
        <v>8</v>
      </c>
      <c r="K9625" s="3" t="str">
        <f aca="false">IFERROR(INDEX('Teacher Lookup'!$B$2:$B$200,MATCH(A9625,'Teacher Lookup'!$A$2:$A$200,0)),"")</f>
        <v>HUI Tom</v>
      </c>
    </row>
    <row r="9626" customFormat="false" ht="15" hidden="false" customHeight="false" outlineLevel="0" collapsed="false">
      <c r="A9626" s="3" t="s">
        <v>511</v>
      </c>
      <c r="B9626" s="4" t="s">
        <v>50</v>
      </c>
      <c r="C9626" s="4" t="n">
        <v>7</v>
      </c>
      <c r="D9626" s="4" t="s">
        <v>29</v>
      </c>
      <c r="E9626" s="3" t="s">
        <v>382</v>
      </c>
      <c r="F9626" s="4" t="str">
        <f aca="false">IF(I9626&gt;J9626,"Y","N")</f>
        <v>N</v>
      </c>
      <c r="G9626" s="3" t="s">
        <v>378</v>
      </c>
      <c r="H9626" s="3" t="s">
        <v>39</v>
      </c>
      <c r="I9626" s="4" t="n">
        <v>8</v>
      </c>
      <c r="J9626" s="4" t="n">
        <f aca="false">LEN(E9626)-LEN(SUBSTITUTE(E9626,",",""))+1</f>
        <v>8</v>
      </c>
      <c r="K9626" s="3" t="str">
        <f aca="false">IFERROR(INDEX('Teacher Lookup'!$B$2:$B$200,MATCH(A9626,'Teacher Lookup'!$A$2:$A$200,0)),"")</f>
        <v>HUI Tom</v>
      </c>
    </row>
    <row r="9627" customFormat="false" ht="15" hidden="false" customHeight="false" outlineLevel="0" collapsed="false">
      <c r="A9627" s="3" t="s">
        <v>511</v>
      </c>
      <c r="B9627" s="4" t="s">
        <v>50</v>
      </c>
      <c r="C9627" s="4" t="n">
        <v>7</v>
      </c>
      <c r="D9627" s="4" t="s">
        <v>30</v>
      </c>
      <c r="E9627" s="3" t="s">
        <v>382</v>
      </c>
      <c r="F9627" s="4" t="str">
        <f aca="false">IF(I9627&gt;J9627,"Y","N")</f>
        <v>N</v>
      </c>
      <c r="G9627" s="3" t="s">
        <v>378</v>
      </c>
      <c r="H9627" s="3" t="s">
        <v>39</v>
      </c>
      <c r="I9627" s="4" t="n">
        <v>8</v>
      </c>
      <c r="J9627" s="4" t="n">
        <f aca="false">LEN(E9627)-LEN(SUBSTITUTE(E9627,",",""))+1</f>
        <v>8</v>
      </c>
      <c r="K9627" s="3" t="str">
        <f aca="false">IFERROR(INDEX('Teacher Lookup'!$B$2:$B$200,MATCH(A9627,'Teacher Lookup'!$A$2:$A$200,0)),"")</f>
        <v>HUI Tom</v>
      </c>
    </row>
    <row r="9628" customFormat="false" ht="15" hidden="false" customHeight="false" outlineLevel="0" collapsed="false">
      <c r="A9628" s="3" t="s">
        <v>511</v>
      </c>
      <c r="B9628" s="4" t="s">
        <v>60</v>
      </c>
      <c r="C9628" s="4" t="n">
        <v>1</v>
      </c>
      <c r="D9628" s="4" t="s">
        <v>56</v>
      </c>
      <c r="E9628" s="3" t="s">
        <v>494</v>
      </c>
      <c r="F9628" s="4" t="str">
        <f aca="false">IF(I9628&gt;J9628,"Y","N")</f>
        <v>N</v>
      </c>
      <c r="G9628" s="3" t="s">
        <v>492</v>
      </c>
      <c r="H9628" s="3" t="s">
        <v>16</v>
      </c>
      <c r="I9628" s="4" t="n">
        <v>2</v>
      </c>
      <c r="J9628" s="4" t="n">
        <f aca="false">LEN(E9628)-LEN(SUBSTITUTE(E9628,",",""))+1</f>
        <v>2</v>
      </c>
      <c r="K9628" s="3" t="str">
        <f aca="false">IFERROR(INDEX('Teacher Lookup'!$B$2:$B$200,MATCH(A9628,'Teacher Lookup'!$A$2:$A$200,0)),"")</f>
        <v>HUI Tom</v>
      </c>
    </row>
    <row r="9629" customFormat="false" ht="15" hidden="false" customHeight="false" outlineLevel="0" collapsed="false">
      <c r="A9629" s="3" t="s">
        <v>511</v>
      </c>
      <c r="B9629" s="4" t="s">
        <v>60</v>
      </c>
      <c r="C9629" s="4" t="n">
        <v>2</v>
      </c>
      <c r="D9629" s="4" t="s">
        <v>106</v>
      </c>
      <c r="E9629" s="3" t="s">
        <v>344</v>
      </c>
      <c r="F9629" s="4" t="str">
        <f aca="false">IF(I9629&gt;J9629,"Y","N")</f>
        <v>N</v>
      </c>
      <c r="G9629" s="3" t="s">
        <v>340</v>
      </c>
      <c r="H9629" s="3" t="s">
        <v>21</v>
      </c>
      <c r="I9629" s="4" t="n">
        <v>2</v>
      </c>
      <c r="J9629" s="4" t="n">
        <f aca="false">LEN(E9629)-LEN(SUBSTITUTE(E9629,",",""))+1</f>
        <v>2</v>
      </c>
      <c r="K9629" s="3" t="str">
        <f aca="false">IFERROR(INDEX('Teacher Lookup'!$B$2:$B$200,MATCH(A9629,'Teacher Lookup'!$A$2:$A$200,0)),"")</f>
        <v>HUI Tom</v>
      </c>
    </row>
    <row r="9630" customFormat="false" ht="15" hidden="false" customHeight="false" outlineLevel="0" collapsed="false">
      <c r="A9630" s="3" t="s">
        <v>511</v>
      </c>
      <c r="B9630" s="4" t="s">
        <v>60</v>
      </c>
      <c r="C9630" s="4" t="n">
        <v>3</v>
      </c>
      <c r="D9630" s="4" t="s">
        <v>24</v>
      </c>
      <c r="E9630" s="3" t="s">
        <v>383</v>
      </c>
      <c r="F9630" s="4" t="str">
        <f aca="false">IF(I9630&gt;J9630,"Y","N")</f>
        <v>N</v>
      </c>
      <c r="G9630" s="3" t="s">
        <v>378</v>
      </c>
      <c r="H9630" s="3" t="s">
        <v>26</v>
      </c>
      <c r="I9630" s="4" t="n">
        <v>8</v>
      </c>
      <c r="J9630" s="4" t="n">
        <f aca="false">LEN(E9630)-LEN(SUBSTITUTE(E9630,",",""))+1</f>
        <v>8</v>
      </c>
      <c r="K9630" s="3" t="str">
        <f aca="false">IFERROR(INDEX('Teacher Lookup'!$B$2:$B$200,MATCH(A9630,'Teacher Lookup'!$A$2:$A$200,0)),"")</f>
        <v>HUI Tom</v>
      </c>
    </row>
    <row r="9631" customFormat="false" ht="15" hidden="false" customHeight="false" outlineLevel="0" collapsed="false">
      <c r="A9631" s="3" t="s">
        <v>511</v>
      </c>
      <c r="B9631" s="4" t="s">
        <v>60</v>
      </c>
      <c r="C9631" s="4" t="n">
        <v>3</v>
      </c>
      <c r="D9631" s="4" t="s">
        <v>27</v>
      </c>
      <c r="E9631" s="3" t="s">
        <v>383</v>
      </c>
      <c r="F9631" s="4" t="str">
        <f aca="false">IF(I9631&gt;J9631,"Y","N")</f>
        <v>N</v>
      </c>
      <c r="G9631" s="3" t="s">
        <v>378</v>
      </c>
      <c r="H9631" s="3" t="s">
        <v>26</v>
      </c>
      <c r="I9631" s="4" t="n">
        <v>8</v>
      </c>
      <c r="J9631" s="4" t="n">
        <f aca="false">LEN(E9631)-LEN(SUBSTITUTE(E9631,",",""))+1</f>
        <v>8</v>
      </c>
      <c r="K9631" s="3" t="str">
        <f aca="false">IFERROR(INDEX('Teacher Lookup'!$B$2:$B$200,MATCH(A9631,'Teacher Lookup'!$A$2:$A$200,0)),"")</f>
        <v>HUI Tom</v>
      </c>
    </row>
    <row r="9632" customFormat="false" ht="15" hidden="false" customHeight="false" outlineLevel="0" collapsed="false">
      <c r="A9632" s="3" t="s">
        <v>511</v>
      </c>
      <c r="B9632" s="4" t="s">
        <v>60</v>
      </c>
      <c r="C9632" s="4" t="n">
        <v>3</v>
      </c>
      <c r="D9632" s="4" t="s">
        <v>28</v>
      </c>
      <c r="E9632" s="3" t="s">
        <v>383</v>
      </c>
      <c r="F9632" s="4" t="str">
        <f aca="false">IF(I9632&gt;J9632,"Y","N")</f>
        <v>N</v>
      </c>
      <c r="G9632" s="3" t="s">
        <v>378</v>
      </c>
      <c r="H9632" s="3" t="s">
        <v>26</v>
      </c>
      <c r="I9632" s="4" t="n">
        <v>8</v>
      </c>
      <c r="J9632" s="4" t="n">
        <f aca="false">LEN(E9632)-LEN(SUBSTITUTE(E9632,",",""))+1</f>
        <v>8</v>
      </c>
      <c r="K9632" s="3" t="str">
        <f aca="false">IFERROR(INDEX('Teacher Lookup'!$B$2:$B$200,MATCH(A9632,'Teacher Lookup'!$A$2:$A$200,0)),"")</f>
        <v>HUI Tom</v>
      </c>
    </row>
    <row r="9633" customFormat="false" ht="15" hidden="false" customHeight="false" outlineLevel="0" collapsed="false">
      <c r="A9633" s="3" t="s">
        <v>511</v>
      </c>
      <c r="B9633" s="4" t="s">
        <v>60</v>
      </c>
      <c r="C9633" s="4" t="n">
        <v>3</v>
      </c>
      <c r="D9633" s="4" t="s">
        <v>29</v>
      </c>
      <c r="E9633" s="3" t="s">
        <v>383</v>
      </c>
      <c r="F9633" s="4" t="str">
        <f aca="false">IF(I9633&gt;J9633,"Y","N")</f>
        <v>N</v>
      </c>
      <c r="G9633" s="3" t="s">
        <v>378</v>
      </c>
      <c r="H9633" s="3" t="s">
        <v>26</v>
      </c>
      <c r="I9633" s="4" t="n">
        <v>8</v>
      </c>
      <c r="J9633" s="4" t="n">
        <f aca="false">LEN(E9633)-LEN(SUBSTITUTE(E9633,",",""))+1</f>
        <v>8</v>
      </c>
      <c r="K9633" s="3" t="str">
        <f aca="false">IFERROR(INDEX('Teacher Lookup'!$B$2:$B$200,MATCH(A9633,'Teacher Lookup'!$A$2:$A$200,0)),"")</f>
        <v>HUI Tom</v>
      </c>
    </row>
    <row r="9634" customFormat="false" ht="15" hidden="false" customHeight="false" outlineLevel="0" collapsed="false">
      <c r="A9634" s="3" t="s">
        <v>511</v>
      </c>
      <c r="B9634" s="4" t="s">
        <v>60</v>
      </c>
      <c r="C9634" s="4" t="n">
        <v>3</v>
      </c>
      <c r="D9634" s="4" t="s">
        <v>30</v>
      </c>
      <c r="E9634" s="3" t="s">
        <v>383</v>
      </c>
      <c r="F9634" s="4" t="str">
        <f aca="false">IF(I9634&gt;J9634,"Y","N")</f>
        <v>N</v>
      </c>
      <c r="G9634" s="3" t="s">
        <v>378</v>
      </c>
      <c r="H9634" s="3" t="s">
        <v>26</v>
      </c>
      <c r="I9634" s="4" t="n">
        <v>8</v>
      </c>
      <c r="J9634" s="4" t="n">
        <f aca="false">LEN(E9634)-LEN(SUBSTITUTE(E9634,",",""))+1</f>
        <v>8</v>
      </c>
      <c r="K9634" s="3" t="str">
        <f aca="false">IFERROR(INDEX('Teacher Lookup'!$B$2:$B$200,MATCH(A9634,'Teacher Lookup'!$A$2:$A$200,0)),"")</f>
        <v>HUI Tom</v>
      </c>
    </row>
    <row r="9635" customFormat="false" ht="15" hidden="false" customHeight="false" outlineLevel="0" collapsed="false">
      <c r="A9635" s="3" t="s">
        <v>511</v>
      </c>
      <c r="B9635" s="4" t="s">
        <v>60</v>
      </c>
      <c r="C9635" s="4" t="n">
        <v>4</v>
      </c>
      <c r="D9635" s="4" t="s">
        <v>74</v>
      </c>
      <c r="E9635" s="3" t="s">
        <v>316</v>
      </c>
      <c r="F9635" s="4" t="str">
        <f aca="false">IF(I9635&gt;J9635,"Y","N")</f>
        <v>N</v>
      </c>
      <c r="G9635" s="3" t="s">
        <v>350</v>
      </c>
      <c r="H9635" s="3" t="s">
        <v>34</v>
      </c>
      <c r="I9635" s="4" t="n">
        <v>1</v>
      </c>
      <c r="J9635" s="4" t="n">
        <f aca="false">LEN(E9635)-LEN(SUBSTITUTE(E9635,",",""))+1</f>
        <v>1</v>
      </c>
      <c r="K9635" s="3" t="str">
        <f aca="false">IFERROR(INDEX('Teacher Lookup'!$B$2:$B$200,MATCH(A9635,'Teacher Lookup'!$A$2:$A$200,0)),"")</f>
        <v>HUI Tom</v>
      </c>
    </row>
    <row r="9636" customFormat="false" ht="15" hidden="false" customHeight="false" outlineLevel="0" collapsed="false">
      <c r="A9636" s="3" t="s">
        <v>511</v>
      </c>
      <c r="B9636" s="4" t="s">
        <v>60</v>
      </c>
      <c r="C9636" s="4" t="n">
        <v>5</v>
      </c>
      <c r="D9636" s="4" t="s">
        <v>70</v>
      </c>
      <c r="E9636" s="3" t="s">
        <v>81</v>
      </c>
      <c r="F9636" s="4" t="str">
        <f aca="false">IF(I9636&gt;J9636,"Y","N")</f>
        <v>Y</v>
      </c>
      <c r="G9636" s="3" t="s">
        <v>36</v>
      </c>
      <c r="H9636" s="3" t="s">
        <v>37</v>
      </c>
      <c r="I9636" s="4" t="n">
        <v>15</v>
      </c>
      <c r="J9636" s="4" t="n">
        <f aca="false">LEN(E9636)-LEN(SUBSTITUTE(E9636,",",""))+1</f>
        <v>7</v>
      </c>
      <c r="K9636" s="3" t="str">
        <f aca="false">IFERROR(INDEX('Teacher Lookup'!$B$2:$B$200,MATCH(A9636,'Teacher Lookup'!$A$2:$A$200,0)),"")</f>
        <v>HUI Tom</v>
      </c>
    </row>
    <row r="9637" customFormat="false" ht="15" hidden="false" customHeight="false" outlineLevel="0" collapsed="false">
      <c r="A9637" s="3" t="s">
        <v>511</v>
      </c>
      <c r="B9637" s="4" t="s">
        <v>60</v>
      </c>
      <c r="C9637" s="4" t="n">
        <v>5</v>
      </c>
      <c r="D9637" s="4" t="s">
        <v>73</v>
      </c>
      <c r="E9637" s="3" t="s">
        <v>81</v>
      </c>
      <c r="F9637" s="4" t="str">
        <f aca="false">IF(I9637&gt;J9637,"Y","N")</f>
        <v>Y</v>
      </c>
      <c r="G9637" s="3" t="s">
        <v>36</v>
      </c>
      <c r="H9637" s="3" t="s">
        <v>37</v>
      </c>
      <c r="I9637" s="4" t="n">
        <v>15</v>
      </c>
      <c r="J9637" s="4" t="n">
        <f aca="false">LEN(E9637)-LEN(SUBSTITUTE(E9637,",",""))+1</f>
        <v>7</v>
      </c>
      <c r="K9637" s="3" t="str">
        <f aca="false">IFERROR(INDEX('Teacher Lookup'!$B$2:$B$200,MATCH(A9637,'Teacher Lookup'!$A$2:$A$200,0)),"")</f>
        <v>HUI Tom</v>
      </c>
    </row>
    <row r="9638" customFormat="false" ht="15" hidden="false" customHeight="false" outlineLevel="0" collapsed="false">
      <c r="A9638" s="3" t="s">
        <v>511</v>
      </c>
      <c r="B9638" s="4" t="s">
        <v>60</v>
      </c>
      <c r="C9638" s="4" t="n">
        <v>5</v>
      </c>
      <c r="D9638" s="4" t="s">
        <v>74</v>
      </c>
      <c r="E9638" s="3" t="s">
        <v>81</v>
      </c>
      <c r="F9638" s="4" t="str">
        <f aca="false">IF(I9638&gt;J9638,"Y","N")</f>
        <v>Y</v>
      </c>
      <c r="G9638" s="3" t="s">
        <v>36</v>
      </c>
      <c r="H9638" s="3" t="s">
        <v>37</v>
      </c>
      <c r="I9638" s="4" t="n">
        <v>15</v>
      </c>
      <c r="J9638" s="4" t="n">
        <f aca="false">LEN(E9638)-LEN(SUBSTITUTE(E9638,",",""))+1</f>
        <v>7</v>
      </c>
      <c r="K9638" s="3" t="str">
        <f aca="false">IFERROR(INDEX('Teacher Lookup'!$B$2:$B$200,MATCH(A9638,'Teacher Lookup'!$A$2:$A$200,0)),"")</f>
        <v>HUI Tom</v>
      </c>
    </row>
    <row r="9639" customFormat="false" ht="15" hidden="false" customHeight="false" outlineLevel="0" collapsed="false">
      <c r="A9639" s="3" t="s">
        <v>511</v>
      </c>
      <c r="B9639" s="4" t="s">
        <v>60</v>
      </c>
      <c r="C9639" s="4" t="n">
        <v>5</v>
      </c>
      <c r="D9639" s="4" t="s">
        <v>76</v>
      </c>
      <c r="E9639" s="3" t="s">
        <v>81</v>
      </c>
      <c r="F9639" s="4" t="str">
        <f aca="false">IF(I9639&gt;J9639,"Y","N")</f>
        <v>Y</v>
      </c>
      <c r="G9639" s="3" t="s">
        <v>36</v>
      </c>
      <c r="H9639" s="3" t="s">
        <v>37</v>
      </c>
      <c r="I9639" s="4" t="n">
        <v>15</v>
      </c>
      <c r="J9639" s="4" t="n">
        <f aca="false">LEN(E9639)-LEN(SUBSTITUTE(E9639,",",""))+1</f>
        <v>7</v>
      </c>
      <c r="K9639" s="3" t="str">
        <f aca="false">IFERROR(INDEX('Teacher Lookup'!$B$2:$B$200,MATCH(A9639,'Teacher Lookup'!$A$2:$A$200,0)),"")</f>
        <v>HUI Tom</v>
      </c>
    </row>
    <row r="9640" customFormat="false" ht="15" hidden="false" customHeight="false" outlineLevel="0" collapsed="false">
      <c r="A9640" s="3" t="s">
        <v>511</v>
      </c>
      <c r="B9640" s="4" t="s">
        <v>60</v>
      </c>
      <c r="C9640" s="4" t="n">
        <v>5</v>
      </c>
      <c r="D9640" s="4" t="s">
        <v>78</v>
      </c>
      <c r="E9640" s="3" t="s">
        <v>81</v>
      </c>
      <c r="F9640" s="4" t="str">
        <f aca="false">IF(I9640&gt;J9640,"Y","N")</f>
        <v>Y</v>
      </c>
      <c r="G9640" s="3" t="s">
        <v>36</v>
      </c>
      <c r="H9640" s="3" t="s">
        <v>37</v>
      </c>
      <c r="I9640" s="4" t="n">
        <v>15</v>
      </c>
      <c r="J9640" s="4" t="n">
        <f aca="false">LEN(E9640)-LEN(SUBSTITUTE(E9640,",",""))+1</f>
        <v>7</v>
      </c>
      <c r="K9640" s="3" t="str">
        <f aca="false">IFERROR(INDEX('Teacher Lookup'!$B$2:$B$200,MATCH(A9640,'Teacher Lookup'!$A$2:$A$200,0)),"")</f>
        <v>HUI Tom</v>
      </c>
    </row>
    <row r="9641" customFormat="false" ht="15" hidden="false" customHeight="false" outlineLevel="0" collapsed="false">
      <c r="A9641" s="3" t="s">
        <v>511</v>
      </c>
      <c r="B9641" s="4" t="s">
        <v>60</v>
      </c>
      <c r="C9641" s="4" t="n">
        <v>5</v>
      </c>
      <c r="D9641" s="4" t="s">
        <v>79</v>
      </c>
      <c r="E9641" s="3" t="s">
        <v>81</v>
      </c>
      <c r="F9641" s="4" t="str">
        <f aca="false">IF(I9641&gt;J9641,"Y","N")</f>
        <v>Y</v>
      </c>
      <c r="G9641" s="3" t="s">
        <v>36</v>
      </c>
      <c r="H9641" s="3" t="s">
        <v>37</v>
      </c>
      <c r="I9641" s="4" t="n">
        <v>15</v>
      </c>
      <c r="J9641" s="4" t="n">
        <f aca="false">LEN(E9641)-LEN(SUBSTITUTE(E9641,",",""))+1</f>
        <v>7</v>
      </c>
      <c r="K9641" s="3" t="str">
        <f aca="false">IFERROR(INDEX('Teacher Lookup'!$B$2:$B$200,MATCH(A9641,'Teacher Lookup'!$A$2:$A$200,0)),"")</f>
        <v>HUI Tom</v>
      </c>
    </row>
    <row r="9642" customFormat="false" ht="15" hidden="false" customHeight="false" outlineLevel="0" collapsed="false">
      <c r="A9642" s="3" t="s">
        <v>511</v>
      </c>
      <c r="B9642" s="4" t="s">
        <v>63</v>
      </c>
      <c r="C9642" s="4" t="n">
        <v>2</v>
      </c>
      <c r="D9642" s="4" t="s">
        <v>78</v>
      </c>
      <c r="E9642" s="3" t="s">
        <v>135</v>
      </c>
      <c r="F9642" s="4" t="str">
        <f aca="false">IF(I9642&gt;J9642,"Y","N")</f>
        <v>N</v>
      </c>
      <c r="G9642" s="3" t="s">
        <v>350</v>
      </c>
      <c r="H9642" s="3" t="s">
        <v>21</v>
      </c>
      <c r="I9642" s="4" t="n">
        <v>1</v>
      </c>
      <c r="J9642" s="4" t="n">
        <f aca="false">LEN(E9642)-LEN(SUBSTITUTE(E9642,",",""))+1</f>
        <v>1</v>
      </c>
      <c r="K9642" s="3" t="str">
        <f aca="false">IFERROR(INDEX('Teacher Lookup'!$B$2:$B$200,MATCH(A9642,'Teacher Lookup'!$A$2:$A$200,0)),"")</f>
        <v>HUI Tom</v>
      </c>
    </row>
    <row r="9643" customFormat="false" ht="15" hidden="false" customHeight="false" outlineLevel="0" collapsed="false">
      <c r="A9643" s="3" t="s">
        <v>511</v>
      </c>
      <c r="B9643" s="4" t="s">
        <v>63</v>
      </c>
      <c r="C9643" s="4" t="n">
        <v>3</v>
      </c>
      <c r="D9643" s="4" t="s">
        <v>106</v>
      </c>
      <c r="E9643" s="3" t="s">
        <v>339</v>
      </c>
      <c r="F9643" s="4" t="str">
        <f aca="false">IF(I9643&gt;J9643,"Y","N")</f>
        <v>N</v>
      </c>
      <c r="G9643" s="3" t="s">
        <v>340</v>
      </c>
      <c r="H9643" s="3" t="s">
        <v>26</v>
      </c>
      <c r="I9643" s="4" t="n">
        <v>2</v>
      </c>
      <c r="J9643" s="4" t="n">
        <f aca="false">LEN(E9643)-LEN(SUBSTITUTE(E9643,",",""))+1</f>
        <v>2</v>
      </c>
      <c r="K9643" s="3" t="str">
        <f aca="false">IFERROR(INDEX('Teacher Lookup'!$B$2:$B$200,MATCH(A9643,'Teacher Lookup'!$A$2:$A$200,0)),"")</f>
        <v>HUI Tom</v>
      </c>
    </row>
    <row r="9644" customFormat="false" ht="15" hidden="false" customHeight="false" outlineLevel="0" collapsed="false">
      <c r="A9644" s="3" t="s">
        <v>511</v>
      </c>
      <c r="B9644" s="4" t="s">
        <v>63</v>
      </c>
      <c r="C9644" s="4" t="n">
        <v>5</v>
      </c>
      <c r="D9644" s="4" t="s">
        <v>56</v>
      </c>
      <c r="E9644" s="3" t="s">
        <v>494</v>
      </c>
      <c r="F9644" s="4" t="str">
        <f aca="false">IF(I9644&gt;J9644,"Y","N")</f>
        <v>N</v>
      </c>
      <c r="G9644" s="3" t="s">
        <v>492</v>
      </c>
      <c r="H9644" s="3" t="s">
        <v>37</v>
      </c>
      <c r="I9644" s="4" t="n">
        <v>2</v>
      </c>
      <c r="J9644" s="4" t="n">
        <f aca="false">LEN(E9644)-LEN(SUBSTITUTE(E9644,",",""))+1</f>
        <v>2</v>
      </c>
      <c r="K9644" s="3" t="str">
        <f aca="false">IFERROR(INDEX('Teacher Lookup'!$B$2:$B$200,MATCH(A9644,'Teacher Lookup'!$A$2:$A$200,0)),"")</f>
        <v>HUI Tom</v>
      </c>
    </row>
    <row r="9645" customFormat="false" ht="15" hidden="false" customHeight="false" outlineLevel="0" collapsed="false">
      <c r="A9645" s="3" t="s">
        <v>511</v>
      </c>
      <c r="B9645" s="4" t="s">
        <v>65</v>
      </c>
      <c r="C9645" s="4" t="n">
        <v>1</v>
      </c>
      <c r="D9645" s="4" t="s">
        <v>56</v>
      </c>
      <c r="E9645" s="3" t="s">
        <v>495</v>
      </c>
      <c r="F9645" s="4" t="str">
        <f aca="false">IF(I9645&gt;J9645,"Y","N")</f>
        <v>N</v>
      </c>
      <c r="G9645" s="3" t="s">
        <v>492</v>
      </c>
      <c r="H9645" s="3" t="s">
        <v>16</v>
      </c>
      <c r="I9645" s="4" t="n">
        <v>2</v>
      </c>
      <c r="J9645" s="4" t="n">
        <f aca="false">LEN(E9645)-LEN(SUBSTITUTE(E9645,",",""))+1</f>
        <v>2</v>
      </c>
      <c r="K9645" s="3" t="str">
        <f aca="false">IFERROR(INDEX('Teacher Lookup'!$B$2:$B$200,MATCH(A9645,'Teacher Lookup'!$A$2:$A$200,0)),"")</f>
        <v>HUI Tom</v>
      </c>
    </row>
    <row r="9646" customFormat="false" ht="15" hidden="false" customHeight="false" outlineLevel="0" collapsed="false">
      <c r="A9646" s="3" t="s">
        <v>511</v>
      </c>
      <c r="B9646" s="4" t="s">
        <v>65</v>
      </c>
      <c r="C9646" s="4" t="n">
        <v>4</v>
      </c>
      <c r="D9646" s="4" t="s">
        <v>106</v>
      </c>
      <c r="E9646" s="3" t="s">
        <v>345</v>
      </c>
      <c r="F9646" s="4" t="str">
        <f aca="false">IF(I9646&gt;J9646,"Y","N")</f>
        <v>N</v>
      </c>
      <c r="G9646" s="3" t="s">
        <v>340</v>
      </c>
      <c r="H9646" s="3" t="s">
        <v>34</v>
      </c>
      <c r="I9646" s="4" t="n">
        <v>2</v>
      </c>
      <c r="J9646" s="4" t="n">
        <f aca="false">LEN(E9646)-LEN(SUBSTITUTE(E9646,",",""))+1</f>
        <v>2</v>
      </c>
      <c r="K9646" s="3" t="str">
        <f aca="false">IFERROR(INDEX('Teacher Lookup'!$B$2:$B$200,MATCH(A9646,'Teacher Lookup'!$A$2:$A$200,0)),"")</f>
        <v>HUI Tom</v>
      </c>
    </row>
    <row r="9647" customFormat="false" ht="15" hidden="false" customHeight="false" outlineLevel="0" collapsed="false">
      <c r="A9647" s="3" t="s">
        <v>511</v>
      </c>
      <c r="B9647" s="4" t="s">
        <v>65</v>
      </c>
      <c r="C9647" s="4" t="n">
        <v>5</v>
      </c>
      <c r="D9647" s="4" t="s">
        <v>70</v>
      </c>
      <c r="E9647" s="3" t="s">
        <v>81</v>
      </c>
      <c r="F9647" s="4" t="str">
        <f aca="false">IF(I9647&gt;J9647,"Y","N")</f>
        <v>Y</v>
      </c>
      <c r="G9647" s="3" t="s">
        <v>36</v>
      </c>
      <c r="H9647" s="3" t="s">
        <v>37</v>
      </c>
      <c r="I9647" s="4" t="n">
        <v>15</v>
      </c>
      <c r="J9647" s="4" t="n">
        <f aca="false">LEN(E9647)-LEN(SUBSTITUTE(E9647,",",""))+1</f>
        <v>7</v>
      </c>
      <c r="K9647" s="3" t="str">
        <f aca="false">IFERROR(INDEX('Teacher Lookup'!$B$2:$B$200,MATCH(A9647,'Teacher Lookup'!$A$2:$A$200,0)),"")</f>
        <v>HUI Tom</v>
      </c>
    </row>
    <row r="9648" customFormat="false" ht="15" hidden="false" customHeight="false" outlineLevel="0" collapsed="false">
      <c r="A9648" s="3" t="s">
        <v>511</v>
      </c>
      <c r="B9648" s="4" t="s">
        <v>65</v>
      </c>
      <c r="C9648" s="4" t="n">
        <v>5</v>
      </c>
      <c r="D9648" s="4" t="s">
        <v>73</v>
      </c>
      <c r="E9648" s="3" t="s">
        <v>81</v>
      </c>
      <c r="F9648" s="4" t="str">
        <f aca="false">IF(I9648&gt;J9648,"Y","N")</f>
        <v>Y</v>
      </c>
      <c r="G9648" s="3" t="s">
        <v>36</v>
      </c>
      <c r="H9648" s="3" t="s">
        <v>37</v>
      </c>
      <c r="I9648" s="4" t="n">
        <v>15</v>
      </c>
      <c r="J9648" s="4" t="n">
        <f aca="false">LEN(E9648)-LEN(SUBSTITUTE(E9648,",",""))+1</f>
        <v>7</v>
      </c>
      <c r="K9648" s="3" t="str">
        <f aca="false">IFERROR(INDEX('Teacher Lookup'!$B$2:$B$200,MATCH(A9648,'Teacher Lookup'!$A$2:$A$200,0)),"")</f>
        <v>HUI Tom</v>
      </c>
    </row>
    <row r="9649" customFormat="false" ht="15" hidden="false" customHeight="false" outlineLevel="0" collapsed="false">
      <c r="A9649" s="3" t="s">
        <v>511</v>
      </c>
      <c r="B9649" s="4" t="s">
        <v>65</v>
      </c>
      <c r="C9649" s="4" t="n">
        <v>5</v>
      </c>
      <c r="D9649" s="4" t="s">
        <v>74</v>
      </c>
      <c r="E9649" s="3" t="s">
        <v>81</v>
      </c>
      <c r="F9649" s="4" t="str">
        <f aca="false">IF(I9649&gt;J9649,"Y","N")</f>
        <v>Y</v>
      </c>
      <c r="G9649" s="3" t="s">
        <v>36</v>
      </c>
      <c r="H9649" s="3" t="s">
        <v>37</v>
      </c>
      <c r="I9649" s="4" t="n">
        <v>15</v>
      </c>
      <c r="J9649" s="4" t="n">
        <f aca="false">LEN(E9649)-LEN(SUBSTITUTE(E9649,",",""))+1</f>
        <v>7</v>
      </c>
      <c r="K9649" s="3" t="str">
        <f aca="false">IFERROR(INDEX('Teacher Lookup'!$B$2:$B$200,MATCH(A9649,'Teacher Lookup'!$A$2:$A$200,0)),"")</f>
        <v>HUI Tom</v>
      </c>
    </row>
    <row r="9650" customFormat="false" ht="15" hidden="false" customHeight="false" outlineLevel="0" collapsed="false">
      <c r="A9650" s="3" t="s">
        <v>511</v>
      </c>
      <c r="B9650" s="4" t="s">
        <v>65</v>
      </c>
      <c r="C9650" s="4" t="n">
        <v>5</v>
      </c>
      <c r="D9650" s="4" t="s">
        <v>76</v>
      </c>
      <c r="E9650" s="3" t="s">
        <v>81</v>
      </c>
      <c r="F9650" s="4" t="str">
        <f aca="false">IF(I9650&gt;J9650,"Y","N")</f>
        <v>Y</v>
      </c>
      <c r="G9650" s="3" t="s">
        <v>36</v>
      </c>
      <c r="H9650" s="3" t="s">
        <v>37</v>
      </c>
      <c r="I9650" s="4" t="n">
        <v>15</v>
      </c>
      <c r="J9650" s="4" t="n">
        <f aca="false">LEN(E9650)-LEN(SUBSTITUTE(E9650,",",""))+1</f>
        <v>7</v>
      </c>
      <c r="K9650" s="3" t="str">
        <f aca="false">IFERROR(INDEX('Teacher Lookup'!$B$2:$B$200,MATCH(A9650,'Teacher Lookup'!$A$2:$A$200,0)),"")</f>
        <v>HUI Tom</v>
      </c>
    </row>
    <row r="9651" customFormat="false" ht="15" hidden="false" customHeight="false" outlineLevel="0" collapsed="false">
      <c r="A9651" s="3" t="s">
        <v>511</v>
      </c>
      <c r="B9651" s="4" t="s">
        <v>65</v>
      </c>
      <c r="C9651" s="4" t="n">
        <v>5</v>
      </c>
      <c r="D9651" s="4" t="s">
        <v>78</v>
      </c>
      <c r="E9651" s="3" t="s">
        <v>81</v>
      </c>
      <c r="F9651" s="4" t="str">
        <f aca="false">IF(I9651&gt;J9651,"Y","N")</f>
        <v>Y</v>
      </c>
      <c r="G9651" s="3" t="s">
        <v>36</v>
      </c>
      <c r="H9651" s="3" t="s">
        <v>37</v>
      </c>
      <c r="I9651" s="4" t="n">
        <v>15</v>
      </c>
      <c r="J9651" s="4" t="n">
        <f aca="false">LEN(E9651)-LEN(SUBSTITUTE(E9651,",",""))+1</f>
        <v>7</v>
      </c>
      <c r="K9651" s="3" t="str">
        <f aca="false">IFERROR(INDEX('Teacher Lookup'!$B$2:$B$200,MATCH(A9651,'Teacher Lookup'!$A$2:$A$200,0)),"")</f>
        <v>HUI Tom</v>
      </c>
    </row>
    <row r="9652" customFormat="false" ht="15" hidden="false" customHeight="false" outlineLevel="0" collapsed="false">
      <c r="A9652" s="3" t="s">
        <v>511</v>
      </c>
      <c r="B9652" s="4" t="s">
        <v>65</v>
      </c>
      <c r="C9652" s="4" t="n">
        <v>5</v>
      </c>
      <c r="D9652" s="4" t="s">
        <v>79</v>
      </c>
      <c r="E9652" s="3" t="s">
        <v>81</v>
      </c>
      <c r="F9652" s="4" t="str">
        <f aca="false">IF(I9652&gt;J9652,"Y","N")</f>
        <v>Y</v>
      </c>
      <c r="G9652" s="3" t="s">
        <v>36</v>
      </c>
      <c r="H9652" s="3" t="s">
        <v>37</v>
      </c>
      <c r="I9652" s="4" t="n">
        <v>15</v>
      </c>
      <c r="J9652" s="4" t="n">
        <f aca="false">LEN(E9652)-LEN(SUBSTITUTE(E9652,",",""))+1</f>
        <v>7</v>
      </c>
      <c r="K9652" s="3" t="str">
        <f aca="false">IFERROR(INDEX('Teacher Lookup'!$B$2:$B$200,MATCH(A9652,'Teacher Lookup'!$A$2:$A$200,0)),"")</f>
        <v>HUI Tom</v>
      </c>
    </row>
    <row r="9653" customFormat="false" ht="15" hidden="false" customHeight="false" outlineLevel="0" collapsed="false">
      <c r="A9653" s="3" t="s">
        <v>511</v>
      </c>
      <c r="B9653" s="4" t="s">
        <v>65</v>
      </c>
      <c r="C9653" s="4" t="n">
        <v>6</v>
      </c>
      <c r="D9653" s="4" t="s">
        <v>24</v>
      </c>
      <c r="E9653" s="3" t="s">
        <v>384</v>
      </c>
      <c r="F9653" s="4" t="str">
        <f aca="false">IF(I9653&gt;J9653,"Y","N")</f>
        <v>Y</v>
      </c>
      <c r="G9653" s="3" t="s">
        <v>378</v>
      </c>
      <c r="H9653" s="3" t="s">
        <v>42</v>
      </c>
      <c r="I9653" s="4" t="n">
        <v>9</v>
      </c>
      <c r="J9653" s="4" t="n">
        <f aca="false">LEN(E9653)-LEN(SUBSTITUTE(E9653,",",""))+1</f>
        <v>8</v>
      </c>
      <c r="K9653" s="3" t="str">
        <f aca="false">IFERROR(INDEX('Teacher Lookup'!$B$2:$B$200,MATCH(A9653,'Teacher Lookup'!$A$2:$A$200,0)),"")</f>
        <v>HUI Tom</v>
      </c>
    </row>
    <row r="9654" customFormat="false" ht="15" hidden="false" customHeight="false" outlineLevel="0" collapsed="false">
      <c r="A9654" s="3" t="s">
        <v>511</v>
      </c>
      <c r="B9654" s="4" t="s">
        <v>65</v>
      </c>
      <c r="C9654" s="4" t="n">
        <v>6</v>
      </c>
      <c r="D9654" s="4" t="s">
        <v>27</v>
      </c>
      <c r="E9654" s="3" t="s">
        <v>384</v>
      </c>
      <c r="F9654" s="4" t="str">
        <f aca="false">IF(I9654&gt;J9654,"Y","N")</f>
        <v>Y</v>
      </c>
      <c r="G9654" s="3" t="s">
        <v>378</v>
      </c>
      <c r="H9654" s="3" t="s">
        <v>42</v>
      </c>
      <c r="I9654" s="4" t="n">
        <v>9</v>
      </c>
      <c r="J9654" s="4" t="n">
        <f aca="false">LEN(E9654)-LEN(SUBSTITUTE(E9654,",",""))+1</f>
        <v>8</v>
      </c>
      <c r="K9654" s="3" t="str">
        <f aca="false">IFERROR(INDEX('Teacher Lookup'!$B$2:$B$200,MATCH(A9654,'Teacher Lookup'!$A$2:$A$200,0)),"")</f>
        <v>HUI Tom</v>
      </c>
    </row>
    <row r="9655" customFormat="false" ht="15" hidden="false" customHeight="false" outlineLevel="0" collapsed="false">
      <c r="A9655" s="3" t="s">
        <v>511</v>
      </c>
      <c r="B9655" s="4" t="s">
        <v>65</v>
      </c>
      <c r="C9655" s="4" t="n">
        <v>6</v>
      </c>
      <c r="D9655" s="4" t="s">
        <v>28</v>
      </c>
      <c r="E9655" s="3" t="s">
        <v>384</v>
      </c>
      <c r="F9655" s="4" t="str">
        <f aca="false">IF(I9655&gt;J9655,"Y","N")</f>
        <v>Y</v>
      </c>
      <c r="G9655" s="3" t="s">
        <v>378</v>
      </c>
      <c r="H9655" s="3" t="s">
        <v>42</v>
      </c>
      <c r="I9655" s="4" t="n">
        <v>9</v>
      </c>
      <c r="J9655" s="4" t="n">
        <f aca="false">LEN(E9655)-LEN(SUBSTITUTE(E9655,",",""))+1</f>
        <v>8</v>
      </c>
      <c r="K9655" s="3" t="str">
        <f aca="false">IFERROR(INDEX('Teacher Lookup'!$B$2:$B$200,MATCH(A9655,'Teacher Lookup'!$A$2:$A$200,0)),"")</f>
        <v>HUI Tom</v>
      </c>
    </row>
    <row r="9656" customFormat="false" ht="15" hidden="false" customHeight="false" outlineLevel="0" collapsed="false">
      <c r="A9656" s="3" t="s">
        <v>511</v>
      </c>
      <c r="B9656" s="4" t="s">
        <v>65</v>
      </c>
      <c r="C9656" s="4" t="n">
        <v>6</v>
      </c>
      <c r="D9656" s="4" t="s">
        <v>29</v>
      </c>
      <c r="E9656" s="3" t="s">
        <v>384</v>
      </c>
      <c r="F9656" s="4" t="str">
        <f aca="false">IF(I9656&gt;J9656,"Y","N")</f>
        <v>Y</v>
      </c>
      <c r="G9656" s="3" t="s">
        <v>378</v>
      </c>
      <c r="H9656" s="3" t="s">
        <v>42</v>
      </c>
      <c r="I9656" s="4" t="n">
        <v>9</v>
      </c>
      <c r="J9656" s="4" t="n">
        <f aca="false">LEN(E9656)-LEN(SUBSTITUTE(E9656,",",""))+1</f>
        <v>8</v>
      </c>
      <c r="K9656" s="3" t="str">
        <f aca="false">IFERROR(INDEX('Teacher Lookup'!$B$2:$B$200,MATCH(A9656,'Teacher Lookup'!$A$2:$A$200,0)),"")</f>
        <v>HUI Tom</v>
      </c>
    </row>
    <row r="9657" customFormat="false" ht="15" hidden="false" customHeight="false" outlineLevel="0" collapsed="false">
      <c r="A9657" s="3" t="s">
        <v>511</v>
      </c>
      <c r="B9657" s="4" t="s">
        <v>65</v>
      </c>
      <c r="C9657" s="4" t="n">
        <v>6</v>
      </c>
      <c r="D9657" s="4" t="s">
        <v>30</v>
      </c>
      <c r="E9657" s="3" t="s">
        <v>384</v>
      </c>
      <c r="F9657" s="4" t="str">
        <f aca="false">IF(I9657&gt;J9657,"Y","N")</f>
        <v>Y</v>
      </c>
      <c r="G9657" s="3" t="s">
        <v>378</v>
      </c>
      <c r="H9657" s="3" t="s">
        <v>42</v>
      </c>
      <c r="I9657" s="4" t="n">
        <v>9</v>
      </c>
      <c r="J9657" s="4" t="n">
        <f aca="false">LEN(E9657)-LEN(SUBSTITUTE(E9657,",",""))+1</f>
        <v>8</v>
      </c>
      <c r="K9657" s="3" t="str">
        <f aca="false">IFERROR(INDEX('Teacher Lookup'!$B$2:$B$200,MATCH(A9657,'Teacher Lookup'!$A$2:$A$200,0)),"")</f>
        <v>HUI Tom</v>
      </c>
    </row>
    <row r="9658" customFormat="false" ht="15" hidden="false" customHeight="false" outlineLevel="0" collapsed="false">
      <c r="A9658" s="3" t="s">
        <v>511</v>
      </c>
      <c r="B9658" s="4" t="s">
        <v>66</v>
      </c>
      <c r="C9658" s="4" t="n">
        <v>3</v>
      </c>
      <c r="D9658" s="4" t="s">
        <v>106</v>
      </c>
      <c r="E9658" s="3" t="s">
        <v>346</v>
      </c>
      <c r="F9658" s="4" t="str">
        <f aca="false">IF(I9658&gt;J9658,"Y","N")</f>
        <v>N</v>
      </c>
      <c r="G9658" s="3" t="s">
        <v>340</v>
      </c>
      <c r="H9658" s="3" t="s">
        <v>26</v>
      </c>
      <c r="I9658" s="4" t="n">
        <v>2</v>
      </c>
      <c r="J9658" s="4" t="n">
        <f aca="false">LEN(E9658)-LEN(SUBSTITUTE(E9658,",",""))+1</f>
        <v>2</v>
      </c>
      <c r="K9658" s="3" t="str">
        <f aca="false">IFERROR(INDEX('Teacher Lookup'!$B$2:$B$200,MATCH(A9658,'Teacher Lookup'!$A$2:$A$200,0)),"")</f>
        <v>HUI Tom</v>
      </c>
    </row>
    <row r="9659" customFormat="false" ht="15" hidden="false" customHeight="false" outlineLevel="0" collapsed="false">
      <c r="A9659" s="3" t="s">
        <v>511</v>
      </c>
      <c r="B9659" s="4" t="s">
        <v>66</v>
      </c>
      <c r="C9659" s="4" t="n">
        <v>6</v>
      </c>
      <c r="D9659" s="4" t="s">
        <v>24</v>
      </c>
      <c r="E9659" s="3" t="s">
        <v>385</v>
      </c>
      <c r="F9659" s="4" t="str">
        <f aca="false">IF(I9659&gt;J9659,"Y","N")</f>
        <v>N</v>
      </c>
      <c r="G9659" s="3" t="s">
        <v>378</v>
      </c>
      <c r="H9659" s="3" t="s">
        <v>42</v>
      </c>
      <c r="I9659" s="4" t="n">
        <v>8</v>
      </c>
      <c r="J9659" s="4" t="n">
        <f aca="false">LEN(E9659)-LEN(SUBSTITUTE(E9659,",",""))+1</f>
        <v>8</v>
      </c>
      <c r="K9659" s="3" t="str">
        <f aca="false">IFERROR(INDEX('Teacher Lookup'!$B$2:$B$200,MATCH(A9659,'Teacher Lookup'!$A$2:$A$200,0)),"")</f>
        <v>HUI Tom</v>
      </c>
    </row>
    <row r="9660" customFormat="false" ht="15" hidden="false" customHeight="false" outlineLevel="0" collapsed="false">
      <c r="A9660" s="3" t="s">
        <v>511</v>
      </c>
      <c r="B9660" s="4" t="s">
        <v>66</v>
      </c>
      <c r="C9660" s="4" t="n">
        <v>6</v>
      </c>
      <c r="D9660" s="4" t="s">
        <v>27</v>
      </c>
      <c r="E9660" s="3" t="s">
        <v>385</v>
      </c>
      <c r="F9660" s="4" t="str">
        <f aca="false">IF(I9660&gt;J9660,"Y","N")</f>
        <v>N</v>
      </c>
      <c r="G9660" s="3" t="s">
        <v>378</v>
      </c>
      <c r="H9660" s="3" t="s">
        <v>42</v>
      </c>
      <c r="I9660" s="4" t="n">
        <v>8</v>
      </c>
      <c r="J9660" s="4" t="n">
        <f aca="false">LEN(E9660)-LEN(SUBSTITUTE(E9660,",",""))+1</f>
        <v>8</v>
      </c>
      <c r="K9660" s="3" t="str">
        <f aca="false">IFERROR(INDEX('Teacher Lookup'!$B$2:$B$200,MATCH(A9660,'Teacher Lookup'!$A$2:$A$200,0)),"")</f>
        <v>HUI Tom</v>
      </c>
    </row>
    <row r="9661" customFormat="false" ht="15" hidden="false" customHeight="false" outlineLevel="0" collapsed="false">
      <c r="A9661" s="3" t="s">
        <v>511</v>
      </c>
      <c r="B9661" s="4" t="s">
        <v>66</v>
      </c>
      <c r="C9661" s="4" t="n">
        <v>6</v>
      </c>
      <c r="D9661" s="4" t="s">
        <v>28</v>
      </c>
      <c r="E9661" s="3" t="s">
        <v>385</v>
      </c>
      <c r="F9661" s="4" t="str">
        <f aca="false">IF(I9661&gt;J9661,"Y","N")</f>
        <v>N</v>
      </c>
      <c r="G9661" s="3" t="s">
        <v>378</v>
      </c>
      <c r="H9661" s="3" t="s">
        <v>42</v>
      </c>
      <c r="I9661" s="4" t="n">
        <v>8</v>
      </c>
      <c r="J9661" s="4" t="n">
        <f aca="false">LEN(E9661)-LEN(SUBSTITUTE(E9661,",",""))+1</f>
        <v>8</v>
      </c>
      <c r="K9661" s="3" t="str">
        <f aca="false">IFERROR(INDEX('Teacher Lookup'!$B$2:$B$200,MATCH(A9661,'Teacher Lookup'!$A$2:$A$200,0)),"")</f>
        <v>HUI Tom</v>
      </c>
    </row>
    <row r="9662" customFormat="false" ht="15" hidden="false" customHeight="false" outlineLevel="0" collapsed="false">
      <c r="A9662" s="3" t="s">
        <v>511</v>
      </c>
      <c r="B9662" s="4" t="s">
        <v>66</v>
      </c>
      <c r="C9662" s="4" t="n">
        <v>6</v>
      </c>
      <c r="D9662" s="4" t="s">
        <v>29</v>
      </c>
      <c r="E9662" s="3" t="s">
        <v>385</v>
      </c>
      <c r="F9662" s="4" t="str">
        <f aca="false">IF(I9662&gt;J9662,"Y","N")</f>
        <v>N</v>
      </c>
      <c r="G9662" s="3" t="s">
        <v>378</v>
      </c>
      <c r="H9662" s="3" t="s">
        <v>42</v>
      </c>
      <c r="I9662" s="4" t="n">
        <v>8</v>
      </c>
      <c r="J9662" s="4" t="n">
        <f aca="false">LEN(E9662)-LEN(SUBSTITUTE(E9662,",",""))+1</f>
        <v>8</v>
      </c>
      <c r="K9662" s="3" t="str">
        <f aca="false">IFERROR(INDEX('Teacher Lookup'!$B$2:$B$200,MATCH(A9662,'Teacher Lookup'!$A$2:$A$200,0)),"")</f>
        <v>HUI Tom</v>
      </c>
    </row>
    <row r="9663" customFormat="false" ht="15" hidden="false" customHeight="false" outlineLevel="0" collapsed="false">
      <c r="A9663" s="3" t="s">
        <v>511</v>
      </c>
      <c r="B9663" s="4" t="s">
        <v>66</v>
      </c>
      <c r="C9663" s="4" t="n">
        <v>6</v>
      </c>
      <c r="D9663" s="4" t="s">
        <v>30</v>
      </c>
      <c r="E9663" s="3" t="s">
        <v>385</v>
      </c>
      <c r="F9663" s="4" t="str">
        <f aca="false">IF(I9663&gt;J9663,"Y","N")</f>
        <v>N</v>
      </c>
      <c r="G9663" s="3" t="s">
        <v>378</v>
      </c>
      <c r="H9663" s="3" t="s">
        <v>42</v>
      </c>
      <c r="I9663" s="4" t="n">
        <v>8</v>
      </c>
      <c r="J9663" s="4" t="n">
        <f aca="false">LEN(E9663)-LEN(SUBSTITUTE(E9663,",",""))+1</f>
        <v>8</v>
      </c>
      <c r="K9663" s="3" t="str">
        <f aca="false">IFERROR(INDEX('Teacher Lookup'!$B$2:$B$200,MATCH(A9663,'Teacher Lookup'!$A$2:$A$200,0)),"")</f>
        <v>HUI Tom</v>
      </c>
    </row>
    <row r="9664" customFormat="false" ht="15" hidden="false" customHeight="false" outlineLevel="0" collapsed="false">
      <c r="A9664" s="3" t="s">
        <v>511</v>
      </c>
      <c r="B9664" s="4" t="s">
        <v>66</v>
      </c>
      <c r="C9664" s="4" t="n">
        <v>7</v>
      </c>
      <c r="D9664" s="4" t="s">
        <v>56</v>
      </c>
      <c r="E9664" s="3" t="s">
        <v>494</v>
      </c>
      <c r="F9664" s="4" t="str">
        <f aca="false">IF(I9664&gt;J9664,"Y","N")</f>
        <v>N</v>
      </c>
      <c r="G9664" s="3" t="s">
        <v>492</v>
      </c>
      <c r="H9664" s="3" t="s">
        <v>39</v>
      </c>
      <c r="I9664" s="4" t="n">
        <v>2</v>
      </c>
      <c r="J9664" s="4" t="n">
        <f aca="false">LEN(E9664)-LEN(SUBSTITUTE(E9664,",",""))+1</f>
        <v>2</v>
      </c>
      <c r="K9664" s="3" t="str">
        <f aca="false">IFERROR(INDEX('Teacher Lookup'!$B$2:$B$200,MATCH(A9664,'Teacher Lookup'!$A$2:$A$200,0)),"")</f>
        <v>HUI Tom</v>
      </c>
    </row>
    <row r="9665" customFormat="false" ht="15" hidden="false" customHeight="false" outlineLevel="0" collapsed="false">
      <c r="A9665" s="3" t="s">
        <v>512</v>
      </c>
      <c r="B9665" s="4" t="s">
        <v>12</v>
      </c>
      <c r="C9665" s="4" t="n">
        <v>2</v>
      </c>
      <c r="D9665" s="4" t="s">
        <v>105</v>
      </c>
      <c r="E9665" s="3" t="s">
        <v>254</v>
      </c>
      <c r="F9665" s="4" t="str">
        <f aca="false">IF(I9665&gt;J9665,"Y","N")</f>
        <v>N</v>
      </c>
      <c r="G9665" s="3" t="s">
        <v>164</v>
      </c>
      <c r="H9665" s="3" t="s">
        <v>21</v>
      </c>
      <c r="I9665" s="4" t="n">
        <v>3</v>
      </c>
      <c r="J9665" s="4" t="n">
        <f aca="false">LEN(E9665)-LEN(SUBSTITUTE(E9665,",",""))+1</f>
        <v>3</v>
      </c>
      <c r="K9665" s="3" t="str">
        <f aca="false">IFERROR(INDEX('Teacher Lookup'!$B$2:$B$200,MATCH(A9665,'Teacher Lookup'!$A$2:$A$200,0)),"")</f>
        <v>MOHAMMAD Thair</v>
      </c>
    </row>
    <row r="9666" customFormat="false" ht="15" hidden="false" customHeight="false" outlineLevel="0" collapsed="false">
      <c r="A9666" s="3" t="s">
        <v>512</v>
      </c>
      <c r="B9666" s="4" t="s">
        <v>12</v>
      </c>
      <c r="C9666" s="4" t="n">
        <v>2</v>
      </c>
      <c r="D9666" s="4" t="s">
        <v>106</v>
      </c>
      <c r="E9666" s="3" t="s">
        <v>254</v>
      </c>
      <c r="F9666" s="4" t="str">
        <f aca="false">IF(I9666&gt;J9666,"Y","N")</f>
        <v>N</v>
      </c>
      <c r="G9666" s="3" t="s">
        <v>164</v>
      </c>
      <c r="H9666" s="3" t="s">
        <v>21</v>
      </c>
      <c r="I9666" s="4" t="n">
        <v>3</v>
      </c>
      <c r="J9666" s="4" t="n">
        <f aca="false">LEN(E9666)-LEN(SUBSTITUTE(E9666,",",""))+1</f>
        <v>3</v>
      </c>
      <c r="K9666" s="3" t="str">
        <f aca="false">IFERROR(INDEX('Teacher Lookup'!$B$2:$B$200,MATCH(A9666,'Teacher Lookup'!$A$2:$A$200,0)),"")</f>
        <v>MOHAMMAD Thair</v>
      </c>
    </row>
    <row r="9667" customFormat="false" ht="15" hidden="false" customHeight="false" outlineLevel="0" collapsed="false">
      <c r="A9667" s="3" t="s">
        <v>512</v>
      </c>
      <c r="B9667" s="4" t="s">
        <v>12</v>
      </c>
      <c r="C9667" s="4" t="n">
        <v>4</v>
      </c>
      <c r="D9667" s="4" t="s">
        <v>28</v>
      </c>
      <c r="E9667" s="3" t="s">
        <v>143</v>
      </c>
      <c r="F9667" s="4" t="str">
        <f aca="false">IF(I9667&gt;J9667,"Y","N")</f>
        <v>N</v>
      </c>
      <c r="G9667" s="3" t="s">
        <v>164</v>
      </c>
      <c r="H9667" s="3" t="s">
        <v>34</v>
      </c>
      <c r="I9667" s="4" t="n">
        <v>4</v>
      </c>
      <c r="J9667" s="4" t="n">
        <f aca="false">LEN(E9667)-LEN(SUBSTITUTE(E9667,",",""))+1</f>
        <v>4</v>
      </c>
      <c r="K9667" s="3" t="str">
        <f aca="false">IFERROR(INDEX('Teacher Lookup'!$B$2:$B$200,MATCH(A9667,'Teacher Lookup'!$A$2:$A$200,0)),"")</f>
        <v>MOHAMMAD Thair</v>
      </c>
    </row>
    <row r="9668" customFormat="false" ht="15" hidden="false" customHeight="false" outlineLevel="0" collapsed="false">
      <c r="A9668" s="3" t="s">
        <v>512</v>
      </c>
      <c r="B9668" s="4" t="s">
        <v>12</v>
      </c>
      <c r="C9668" s="4" t="n">
        <v>4</v>
      </c>
      <c r="D9668" s="4" t="s">
        <v>29</v>
      </c>
      <c r="E9668" s="3" t="s">
        <v>143</v>
      </c>
      <c r="F9668" s="4" t="str">
        <f aca="false">IF(I9668&gt;J9668,"Y","N")</f>
        <v>N</v>
      </c>
      <c r="G9668" s="3" t="s">
        <v>164</v>
      </c>
      <c r="H9668" s="3" t="s">
        <v>34</v>
      </c>
      <c r="I9668" s="4" t="n">
        <v>4</v>
      </c>
      <c r="J9668" s="4" t="n">
        <f aca="false">LEN(E9668)-LEN(SUBSTITUTE(E9668,",",""))+1</f>
        <v>4</v>
      </c>
      <c r="K9668" s="3" t="str">
        <f aca="false">IFERROR(INDEX('Teacher Lookup'!$B$2:$B$200,MATCH(A9668,'Teacher Lookup'!$A$2:$A$200,0)),"")</f>
        <v>MOHAMMAD Thair</v>
      </c>
    </row>
    <row r="9669" customFormat="false" ht="15" hidden="false" customHeight="false" outlineLevel="0" collapsed="false">
      <c r="A9669" s="3" t="s">
        <v>512</v>
      </c>
      <c r="B9669" s="4" t="s">
        <v>12</v>
      </c>
      <c r="C9669" s="4" t="n">
        <v>4</v>
      </c>
      <c r="D9669" s="4" t="s">
        <v>30</v>
      </c>
      <c r="E9669" s="3" t="s">
        <v>143</v>
      </c>
      <c r="F9669" s="4" t="str">
        <f aca="false">IF(I9669&gt;J9669,"Y","N")</f>
        <v>N</v>
      </c>
      <c r="G9669" s="3" t="s">
        <v>164</v>
      </c>
      <c r="H9669" s="3" t="s">
        <v>34</v>
      </c>
      <c r="I9669" s="4" t="n">
        <v>4</v>
      </c>
      <c r="J9669" s="4" t="n">
        <f aca="false">LEN(E9669)-LEN(SUBSTITUTE(E9669,",",""))+1</f>
        <v>4</v>
      </c>
      <c r="K9669" s="3" t="str">
        <f aca="false">IFERROR(INDEX('Teacher Lookup'!$B$2:$B$200,MATCH(A9669,'Teacher Lookup'!$A$2:$A$200,0)),"")</f>
        <v>MOHAMMAD Thair</v>
      </c>
    </row>
    <row r="9670" customFormat="false" ht="15" hidden="false" customHeight="false" outlineLevel="0" collapsed="false">
      <c r="A9670" s="3" t="s">
        <v>512</v>
      </c>
      <c r="B9670" s="4" t="s">
        <v>31</v>
      </c>
      <c r="C9670" s="4" t="n">
        <v>2</v>
      </c>
      <c r="D9670" s="4" t="s">
        <v>105</v>
      </c>
      <c r="E9670" s="3" t="s">
        <v>257</v>
      </c>
      <c r="F9670" s="4" t="str">
        <f aca="false">IF(I9670&gt;J9670,"Y","N")</f>
        <v>N</v>
      </c>
      <c r="G9670" s="3" t="s">
        <v>164</v>
      </c>
      <c r="H9670" s="3" t="s">
        <v>21</v>
      </c>
      <c r="I9670" s="4" t="n">
        <v>3</v>
      </c>
      <c r="J9670" s="4" t="n">
        <f aca="false">LEN(E9670)-LEN(SUBSTITUTE(E9670,",",""))+1</f>
        <v>3</v>
      </c>
      <c r="K9670" s="3" t="str">
        <f aca="false">IFERROR(INDEX('Teacher Lookup'!$B$2:$B$200,MATCH(A9670,'Teacher Lookup'!$A$2:$A$200,0)),"")</f>
        <v>MOHAMMAD Thair</v>
      </c>
    </row>
    <row r="9671" customFormat="false" ht="15" hidden="false" customHeight="false" outlineLevel="0" collapsed="false">
      <c r="A9671" s="3" t="s">
        <v>512</v>
      </c>
      <c r="B9671" s="4" t="s">
        <v>31</v>
      </c>
      <c r="C9671" s="4" t="n">
        <v>2</v>
      </c>
      <c r="D9671" s="4" t="s">
        <v>106</v>
      </c>
      <c r="E9671" s="3" t="s">
        <v>257</v>
      </c>
      <c r="F9671" s="4" t="str">
        <f aca="false">IF(I9671&gt;J9671,"Y","N")</f>
        <v>N</v>
      </c>
      <c r="G9671" s="3" t="s">
        <v>164</v>
      </c>
      <c r="H9671" s="3" t="s">
        <v>21</v>
      </c>
      <c r="I9671" s="4" t="n">
        <v>3</v>
      </c>
      <c r="J9671" s="4" t="n">
        <f aca="false">LEN(E9671)-LEN(SUBSTITUTE(E9671,",",""))+1</f>
        <v>3</v>
      </c>
      <c r="K9671" s="3" t="str">
        <f aca="false">IFERROR(INDEX('Teacher Lookup'!$B$2:$B$200,MATCH(A9671,'Teacher Lookup'!$A$2:$A$200,0)),"")</f>
        <v>MOHAMMAD Thair</v>
      </c>
    </row>
    <row r="9672" customFormat="false" ht="15" hidden="false" customHeight="false" outlineLevel="0" collapsed="false">
      <c r="A9672" s="3" t="s">
        <v>512</v>
      </c>
      <c r="B9672" s="4" t="s">
        <v>31</v>
      </c>
      <c r="C9672" s="4" t="n">
        <v>3</v>
      </c>
      <c r="D9672" s="4" t="s">
        <v>28</v>
      </c>
      <c r="E9672" s="3" t="s">
        <v>159</v>
      </c>
      <c r="F9672" s="4" t="str">
        <f aca="false">IF(I9672&gt;J9672,"Y","N")</f>
        <v>N</v>
      </c>
      <c r="G9672" s="3" t="s">
        <v>164</v>
      </c>
      <c r="H9672" s="3" t="s">
        <v>26</v>
      </c>
      <c r="I9672" s="4" t="n">
        <v>4</v>
      </c>
      <c r="J9672" s="4" t="n">
        <f aca="false">LEN(E9672)-LEN(SUBSTITUTE(E9672,",",""))+1</f>
        <v>4</v>
      </c>
      <c r="K9672" s="3" t="str">
        <f aca="false">IFERROR(INDEX('Teacher Lookup'!$B$2:$B$200,MATCH(A9672,'Teacher Lookup'!$A$2:$A$200,0)),"")</f>
        <v>MOHAMMAD Thair</v>
      </c>
    </row>
    <row r="9673" customFormat="false" ht="15" hidden="false" customHeight="false" outlineLevel="0" collapsed="false">
      <c r="A9673" s="3" t="s">
        <v>512</v>
      </c>
      <c r="B9673" s="4" t="s">
        <v>31</v>
      </c>
      <c r="C9673" s="4" t="n">
        <v>3</v>
      </c>
      <c r="D9673" s="4" t="s">
        <v>29</v>
      </c>
      <c r="E9673" s="3" t="s">
        <v>159</v>
      </c>
      <c r="F9673" s="4" t="str">
        <f aca="false">IF(I9673&gt;J9673,"Y","N")</f>
        <v>N</v>
      </c>
      <c r="G9673" s="3" t="s">
        <v>164</v>
      </c>
      <c r="H9673" s="3" t="s">
        <v>26</v>
      </c>
      <c r="I9673" s="4" t="n">
        <v>4</v>
      </c>
      <c r="J9673" s="4" t="n">
        <f aca="false">LEN(E9673)-LEN(SUBSTITUTE(E9673,",",""))+1</f>
        <v>4</v>
      </c>
      <c r="K9673" s="3" t="str">
        <f aca="false">IFERROR(INDEX('Teacher Lookup'!$B$2:$B$200,MATCH(A9673,'Teacher Lookup'!$A$2:$A$200,0)),"")</f>
        <v>MOHAMMAD Thair</v>
      </c>
    </row>
    <row r="9674" customFormat="false" ht="15" hidden="false" customHeight="false" outlineLevel="0" collapsed="false">
      <c r="A9674" s="3" t="s">
        <v>512</v>
      </c>
      <c r="B9674" s="4" t="s">
        <v>31</v>
      </c>
      <c r="C9674" s="4" t="n">
        <v>3</v>
      </c>
      <c r="D9674" s="4" t="s">
        <v>30</v>
      </c>
      <c r="E9674" s="3" t="s">
        <v>159</v>
      </c>
      <c r="F9674" s="4" t="str">
        <f aca="false">IF(I9674&gt;J9674,"Y","N")</f>
        <v>N</v>
      </c>
      <c r="G9674" s="3" t="s">
        <v>164</v>
      </c>
      <c r="H9674" s="3" t="s">
        <v>26</v>
      </c>
      <c r="I9674" s="4" t="n">
        <v>4</v>
      </c>
      <c r="J9674" s="4" t="n">
        <f aca="false">LEN(E9674)-LEN(SUBSTITUTE(E9674,",",""))+1</f>
        <v>4</v>
      </c>
      <c r="K9674" s="3" t="str">
        <f aca="false">IFERROR(INDEX('Teacher Lookup'!$B$2:$B$200,MATCH(A9674,'Teacher Lookup'!$A$2:$A$200,0)),"")</f>
        <v>MOHAMMAD Thair</v>
      </c>
    </row>
    <row r="9675" customFormat="false" ht="15" hidden="false" customHeight="false" outlineLevel="0" collapsed="false">
      <c r="A9675" s="3" t="s">
        <v>512</v>
      </c>
      <c r="B9675" s="4" t="s">
        <v>31</v>
      </c>
      <c r="C9675" s="4" t="n">
        <v>5</v>
      </c>
      <c r="D9675" s="4" t="s">
        <v>137</v>
      </c>
      <c r="E9675" s="3" t="s">
        <v>185</v>
      </c>
      <c r="F9675" s="4" t="str">
        <f aca="false">IF(I9675&gt;J9675,"Y","N")</f>
        <v>Y</v>
      </c>
      <c r="G9675" s="3" t="s">
        <v>36</v>
      </c>
      <c r="H9675" s="3" t="s">
        <v>37</v>
      </c>
      <c r="I9675" s="4" t="n">
        <v>21</v>
      </c>
      <c r="J9675" s="4" t="n">
        <f aca="false">LEN(E9675)-LEN(SUBSTITUTE(E9675,",",""))+1</f>
        <v>7</v>
      </c>
      <c r="K9675" s="3" t="str">
        <f aca="false">IFERROR(INDEX('Teacher Lookup'!$B$2:$B$200,MATCH(A9675,'Teacher Lookup'!$A$2:$A$200,0)),"")</f>
        <v>MOHAMMAD Thair</v>
      </c>
    </row>
    <row r="9676" customFormat="false" ht="15" hidden="false" customHeight="false" outlineLevel="0" collapsed="false">
      <c r="A9676" s="3" t="s">
        <v>512</v>
      </c>
      <c r="B9676" s="4" t="s">
        <v>31</v>
      </c>
      <c r="C9676" s="4" t="n">
        <v>5</v>
      </c>
      <c r="D9676" s="4" t="s">
        <v>124</v>
      </c>
      <c r="E9676" s="3" t="s">
        <v>185</v>
      </c>
      <c r="F9676" s="4" t="str">
        <f aca="false">IF(I9676&gt;J9676,"Y","N")</f>
        <v>Y</v>
      </c>
      <c r="G9676" s="3" t="s">
        <v>36</v>
      </c>
      <c r="H9676" s="3" t="s">
        <v>37</v>
      </c>
      <c r="I9676" s="4" t="n">
        <v>21</v>
      </c>
      <c r="J9676" s="4" t="n">
        <f aca="false">LEN(E9676)-LEN(SUBSTITUTE(E9676,",",""))+1</f>
        <v>7</v>
      </c>
      <c r="K9676" s="3" t="str">
        <f aca="false">IFERROR(INDEX('Teacher Lookup'!$B$2:$B$200,MATCH(A9676,'Teacher Lookup'!$A$2:$A$200,0)),"")</f>
        <v>MOHAMMAD Thair</v>
      </c>
    </row>
    <row r="9677" customFormat="false" ht="15" hidden="false" customHeight="false" outlineLevel="0" collapsed="false">
      <c r="A9677" s="3" t="s">
        <v>512</v>
      </c>
      <c r="B9677" s="4" t="s">
        <v>31</v>
      </c>
      <c r="C9677" s="4" t="n">
        <v>5</v>
      </c>
      <c r="D9677" s="4" t="s">
        <v>139</v>
      </c>
      <c r="E9677" s="3" t="s">
        <v>185</v>
      </c>
      <c r="F9677" s="4" t="str">
        <f aca="false">IF(I9677&gt;J9677,"Y","N")</f>
        <v>Y</v>
      </c>
      <c r="G9677" s="3" t="s">
        <v>36</v>
      </c>
      <c r="H9677" s="3" t="s">
        <v>37</v>
      </c>
      <c r="I9677" s="4" t="n">
        <v>21</v>
      </c>
      <c r="J9677" s="4" t="n">
        <f aca="false">LEN(E9677)-LEN(SUBSTITUTE(E9677,",",""))+1</f>
        <v>7</v>
      </c>
      <c r="K9677" s="3" t="str">
        <f aca="false">IFERROR(INDEX('Teacher Lookup'!$B$2:$B$200,MATCH(A9677,'Teacher Lookup'!$A$2:$A$200,0)),"")</f>
        <v>MOHAMMAD Thair</v>
      </c>
    </row>
    <row r="9678" customFormat="false" ht="15" hidden="false" customHeight="false" outlineLevel="0" collapsed="false">
      <c r="A9678" s="3" t="s">
        <v>512</v>
      </c>
      <c r="B9678" s="4" t="s">
        <v>31</v>
      </c>
      <c r="C9678" s="4" t="n">
        <v>5</v>
      </c>
      <c r="D9678" s="4" t="s">
        <v>140</v>
      </c>
      <c r="E9678" s="3" t="s">
        <v>185</v>
      </c>
      <c r="F9678" s="4" t="str">
        <f aca="false">IF(I9678&gt;J9678,"Y","N")</f>
        <v>Y</v>
      </c>
      <c r="G9678" s="3" t="s">
        <v>36</v>
      </c>
      <c r="H9678" s="3" t="s">
        <v>37</v>
      </c>
      <c r="I9678" s="4" t="n">
        <v>21</v>
      </c>
      <c r="J9678" s="4" t="n">
        <f aca="false">LEN(E9678)-LEN(SUBSTITUTE(E9678,",",""))+1</f>
        <v>7</v>
      </c>
      <c r="K9678" s="3" t="str">
        <f aca="false">IFERROR(INDEX('Teacher Lookup'!$B$2:$B$200,MATCH(A9678,'Teacher Lookup'!$A$2:$A$200,0)),"")</f>
        <v>MOHAMMAD Thair</v>
      </c>
    </row>
    <row r="9679" customFormat="false" ht="15" hidden="false" customHeight="false" outlineLevel="0" collapsed="false">
      <c r="A9679" s="3" t="s">
        <v>512</v>
      </c>
      <c r="B9679" s="4" t="s">
        <v>31</v>
      </c>
      <c r="C9679" s="4" t="n">
        <v>5</v>
      </c>
      <c r="D9679" s="4" t="s">
        <v>142</v>
      </c>
      <c r="E9679" s="3" t="s">
        <v>185</v>
      </c>
      <c r="F9679" s="4" t="str">
        <f aca="false">IF(I9679&gt;J9679,"Y","N")</f>
        <v>Y</v>
      </c>
      <c r="G9679" s="3" t="s">
        <v>36</v>
      </c>
      <c r="H9679" s="3" t="s">
        <v>37</v>
      </c>
      <c r="I9679" s="4" t="n">
        <v>21</v>
      </c>
      <c r="J9679" s="4" t="n">
        <f aca="false">LEN(E9679)-LEN(SUBSTITUTE(E9679,",",""))+1</f>
        <v>7</v>
      </c>
      <c r="K9679" s="3" t="str">
        <f aca="false">IFERROR(INDEX('Teacher Lookup'!$B$2:$B$200,MATCH(A9679,'Teacher Lookup'!$A$2:$A$200,0)),"")</f>
        <v>MOHAMMAD Thair</v>
      </c>
    </row>
    <row r="9680" customFormat="false" ht="15" hidden="false" customHeight="false" outlineLevel="0" collapsed="false">
      <c r="A9680" s="3" t="s">
        <v>512</v>
      </c>
      <c r="B9680" s="4" t="s">
        <v>31</v>
      </c>
      <c r="C9680" s="4" t="n">
        <v>5</v>
      </c>
      <c r="D9680" s="4" t="s">
        <v>127</v>
      </c>
      <c r="E9680" s="3" t="s">
        <v>185</v>
      </c>
      <c r="F9680" s="4" t="str">
        <f aca="false">IF(I9680&gt;J9680,"Y","N")</f>
        <v>Y</v>
      </c>
      <c r="G9680" s="3" t="s">
        <v>36</v>
      </c>
      <c r="H9680" s="3" t="s">
        <v>37</v>
      </c>
      <c r="I9680" s="4" t="n">
        <v>21</v>
      </c>
      <c r="J9680" s="4" t="n">
        <f aca="false">LEN(E9680)-LEN(SUBSTITUTE(E9680,",",""))+1</f>
        <v>7</v>
      </c>
      <c r="K9680" s="3" t="str">
        <f aca="false">IFERROR(INDEX('Teacher Lookup'!$B$2:$B$200,MATCH(A9680,'Teacher Lookup'!$A$2:$A$200,0)),"")</f>
        <v>MOHAMMAD Thair</v>
      </c>
    </row>
    <row r="9681" customFormat="false" ht="15" hidden="false" customHeight="false" outlineLevel="0" collapsed="false">
      <c r="A9681" s="3" t="s">
        <v>512</v>
      </c>
      <c r="B9681" s="4" t="s">
        <v>40</v>
      </c>
      <c r="C9681" s="4" t="n">
        <v>1</v>
      </c>
      <c r="D9681" s="4" t="s">
        <v>28</v>
      </c>
      <c r="E9681" s="3" t="s">
        <v>404</v>
      </c>
      <c r="F9681" s="4" t="str">
        <f aca="false">IF(I9681&gt;J9681,"Y","N")</f>
        <v>N</v>
      </c>
      <c r="G9681" s="3" t="s">
        <v>164</v>
      </c>
      <c r="H9681" s="3" t="s">
        <v>16</v>
      </c>
      <c r="I9681" s="4" t="n">
        <v>4</v>
      </c>
      <c r="J9681" s="4" t="n">
        <f aca="false">LEN(E9681)-LEN(SUBSTITUTE(E9681,",",""))+1</f>
        <v>4</v>
      </c>
      <c r="K9681" s="3" t="str">
        <f aca="false">IFERROR(INDEX('Teacher Lookup'!$B$2:$B$200,MATCH(A9681,'Teacher Lookup'!$A$2:$A$200,0)),"")</f>
        <v>MOHAMMAD Thair</v>
      </c>
    </row>
    <row r="9682" customFormat="false" ht="15" hidden="false" customHeight="false" outlineLevel="0" collapsed="false">
      <c r="A9682" s="3" t="s">
        <v>512</v>
      </c>
      <c r="B9682" s="4" t="s">
        <v>40</v>
      </c>
      <c r="C9682" s="4" t="n">
        <v>1</v>
      </c>
      <c r="D9682" s="4" t="s">
        <v>29</v>
      </c>
      <c r="E9682" s="3" t="s">
        <v>404</v>
      </c>
      <c r="F9682" s="4" t="str">
        <f aca="false">IF(I9682&gt;J9682,"Y","N")</f>
        <v>N</v>
      </c>
      <c r="G9682" s="3" t="s">
        <v>164</v>
      </c>
      <c r="H9682" s="3" t="s">
        <v>16</v>
      </c>
      <c r="I9682" s="4" t="n">
        <v>4</v>
      </c>
      <c r="J9682" s="4" t="n">
        <f aca="false">LEN(E9682)-LEN(SUBSTITUTE(E9682,",",""))+1</f>
        <v>4</v>
      </c>
      <c r="K9682" s="3" t="str">
        <f aca="false">IFERROR(INDEX('Teacher Lookup'!$B$2:$B$200,MATCH(A9682,'Teacher Lookup'!$A$2:$A$200,0)),"")</f>
        <v>MOHAMMAD Thair</v>
      </c>
    </row>
    <row r="9683" customFormat="false" ht="15" hidden="false" customHeight="false" outlineLevel="0" collapsed="false">
      <c r="A9683" s="3" t="s">
        <v>512</v>
      </c>
      <c r="B9683" s="4" t="s">
        <v>40</v>
      </c>
      <c r="C9683" s="4" t="n">
        <v>1</v>
      </c>
      <c r="D9683" s="4" t="s">
        <v>30</v>
      </c>
      <c r="E9683" s="3" t="s">
        <v>404</v>
      </c>
      <c r="F9683" s="4" t="str">
        <f aca="false">IF(I9683&gt;J9683,"Y","N")</f>
        <v>N</v>
      </c>
      <c r="G9683" s="3" t="s">
        <v>164</v>
      </c>
      <c r="H9683" s="3" t="s">
        <v>16</v>
      </c>
      <c r="I9683" s="4" t="n">
        <v>4</v>
      </c>
      <c r="J9683" s="4" t="n">
        <f aca="false">LEN(E9683)-LEN(SUBSTITUTE(E9683,",",""))+1</f>
        <v>4</v>
      </c>
      <c r="K9683" s="3" t="str">
        <f aca="false">IFERROR(INDEX('Teacher Lookup'!$B$2:$B$200,MATCH(A9683,'Teacher Lookup'!$A$2:$A$200,0)),"")</f>
        <v>MOHAMMAD Thair</v>
      </c>
    </row>
    <row r="9684" customFormat="false" ht="15" hidden="false" customHeight="false" outlineLevel="0" collapsed="false">
      <c r="A9684" s="3" t="s">
        <v>512</v>
      </c>
      <c r="B9684" s="4" t="s">
        <v>40</v>
      </c>
      <c r="C9684" s="4" t="n">
        <v>2</v>
      </c>
      <c r="D9684" s="4" t="s">
        <v>105</v>
      </c>
      <c r="E9684" s="3" t="s">
        <v>258</v>
      </c>
      <c r="F9684" s="4" t="str">
        <f aca="false">IF(I9684&gt;J9684,"Y","N")</f>
        <v>N</v>
      </c>
      <c r="G9684" s="3" t="s">
        <v>164</v>
      </c>
      <c r="H9684" s="3" t="s">
        <v>21</v>
      </c>
      <c r="I9684" s="4" t="n">
        <v>3</v>
      </c>
      <c r="J9684" s="4" t="n">
        <f aca="false">LEN(E9684)-LEN(SUBSTITUTE(E9684,",",""))+1</f>
        <v>3</v>
      </c>
      <c r="K9684" s="3" t="str">
        <f aca="false">IFERROR(INDEX('Teacher Lookup'!$B$2:$B$200,MATCH(A9684,'Teacher Lookup'!$A$2:$A$200,0)),"")</f>
        <v>MOHAMMAD Thair</v>
      </c>
    </row>
    <row r="9685" customFormat="false" ht="15" hidden="false" customHeight="false" outlineLevel="0" collapsed="false">
      <c r="A9685" s="3" t="s">
        <v>512</v>
      </c>
      <c r="B9685" s="4" t="s">
        <v>40</v>
      </c>
      <c r="C9685" s="4" t="n">
        <v>2</v>
      </c>
      <c r="D9685" s="4" t="s">
        <v>106</v>
      </c>
      <c r="E9685" s="3" t="s">
        <v>258</v>
      </c>
      <c r="F9685" s="4" t="str">
        <f aca="false">IF(I9685&gt;J9685,"Y","N")</f>
        <v>N</v>
      </c>
      <c r="G9685" s="3" t="s">
        <v>164</v>
      </c>
      <c r="H9685" s="3" t="s">
        <v>21</v>
      </c>
      <c r="I9685" s="4" t="n">
        <v>3</v>
      </c>
      <c r="J9685" s="4" t="n">
        <f aca="false">LEN(E9685)-LEN(SUBSTITUTE(E9685,",",""))+1</f>
        <v>3</v>
      </c>
      <c r="K9685" s="3" t="str">
        <f aca="false">IFERROR(INDEX('Teacher Lookup'!$B$2:$B$200,MATCH(A9685,'Teacher Lookup'!$A$2:$A$200,0)),"")</f>
        <v>MOHAMMAD Thair</v>
      </c>
    </row>
    <row r="9686" customFormat="false" ht="15" hidden="false" customHeight="false" outlineLevel="0" collapsed="false">
      <c r="A9686" s="3" t="s">
        <v>512</v>
      </c>
      <c r="B9686" s="4" t="s">
        <v>44</v>
      </c>
      <c r="C9686" s="4" t="n">
        <v>4</v>
      </c>
      <c r="D9686" s="4" t="s">
        <v>28</v>
      </c>
      <c r="E9686" s="3" t="s">
        <v>406</v>
      </c>
      <c r="F9686" s="4" t="str">
        <f aca="false">IF(I9686&gt;J9686,"Y","N")</f>
        <v>N</v>
      </c>
      <c r="G9686" s="3" t="s">
        <v>164</v>
      </c>
      <c r="H9686" s="3" t="s">
        <v>34</v>
      </c>
      <c r="I9686" s="4" t="n">
        <v>4</v>
      </c>
      <c r="J9686" s="4" t="n">
        <f aca="false">LEN(E9686)-LEN(SUBSTITUTE(E9686,",",""))+1</f>
        <v>4</v>
      </c>
      <c r="K9686" s="3" t="str">
        <f aca="false">IFERROR(INDEX('Teacher Lookup'!$B$2:$B$200,MATCH(A9686,'Teacher Lookup'!$A$2:$A$200,0)),"")</f>
        <v>MOHAMMAD Thair</v>
      </c>
    </row>
    <row r="9687" customFormat="false" ht="15" hidden="false" customHeight="false" outlineLevel="0" collapsed="false">
      <c r="A9687" s="3" t="s">
        <v>512</v>
      </c>
      <c r="B9687" s="4" t="s">
        <v>44</v>
      </c>
      <c r="C9687" s="4" t="n">
        <v>4</v>
      </c>
      <c r="D9687" s="4" t="s">
        <v>29</v>
      </c>
      <c r="E9687" s="3" t="s">
        <v>406</v>
      </c>
      <c r="F9687" s="4" t="str">
        <f aca="false">IF(I9687&gt;J9687,"Y","N")</f>
        <v>N</v>
      </c>
      <c r="G9687" s="3" t="s">
        <v>164</v>
      </c>
      <c r="H9687" s="3" t="s">
        <v>34</v>
      </c>
      <c r="I9687" s="4" t="n">
        <v>4</v>
      </c>
      <c r="J9687" s="4" t="n">
        <f aca="false">LEN(E9687)-LEN(SUBSTITUTE(E9687,",",""))+1</f>
        <v>4</v>
      </c>
      <c r="K9687" s="3" t="str">
        <f aca="false">IFERROR(INDEX('Teacher Lookup'!$B$2:$B$200,MATCH(A9687,'Teacher Lookup'!$A$2:$A$200,0)),"")</f>
        <v>MOHAMMAD Thair</v>
      </c>
    </row>
    <row r="9688" customFormat="false" ht="15" hidden="false" customHeight="false" outlineLevel="0" collapsed="false">
      <c r="A9688" s="3" t="s">
        <v>512</v>
      </c>
      <c r="B9688" s="4" t="s">
        <v>44</v>
      </c>
      <c r="C9688" s="4" t="n">
        <v>4</v>
      </c>
      <c r="D9688" s="4" t="s">
        <v>30</v>
      </c>
      <c r="E9688" s="3" t="s">
        <v>406</v>
      </c>
      <c r="F9688" s="4" t="str">
        <f aca="false">IF(I9688&gt;J9688,"Y","N")</f>
        <v>N</v>
      </c>
      <c r="G9688" s="3" t="s">
        <v>164</v>
      </c>
      <c r="H9688" s="3" t="s">
        <v>34</v>
      </c>
      <c r="I9688" s="4" t="n">
        <v>4</v>
      </c>
      <c r="J9688" s="4" t="n">
        <f aca="false">LEN(E9688)-LEN(SUBSTITUTE(E9688,",",""))+1</f>
        <v>4</v>
      </c>
      <c r="K9688" s="3" t="str">
        <f aca="false">IFERROR(INDEX('Teacher Lookup'!$B$2:$B$200,MATCH(A9688,'Teacher Lookup'!$A$2:$A$200,0)),"")</f>
        <v>MOHAMMAD Thair</v>
      </c>
    </row>
    <row r="9689" customFormat="false" ht="15" hidden="false" customHeight="false" outlineLevel="0" collapsed="false">
      <c r="A9689" s="3" t="s">
        <v>512</v>
      </c>
      <c r="B9689" s="4" t="s">
        <v>44</v>
      </c>
      <c r="C9689" s="4" t="n">
        <v>5</v>
      </c>
      <c r="D9689" s="4" t="s">
        <v>137</v>
      </c>
      <c r="E9689" s="3" t="s">
        <v>185</v>
      </c>
      <c r="F9689" s="4" t="str">
        <f aca="false">IF(I9689&gt;J9689,"Y","N")</f>
        <v>Y</v>
      </c>
      <c r="G9689" s="3" t="s">
        <v>36</v>
      </c>
      <c r="H9689" s="3" t="s">
        <v>37</v>
      </c>
      <c r="I9689" s="4" t="n">
        <v>21</v>
      </c>
      <c r="J9689" s="4" t="n">
        <f aca="false">LEN(E9689)-LEN(SUBSTITUTE(E9689,",",""))+1</f>
        <v>7</v>
      </c>
      <c r="K9689" s="3" t="str">
        <f aca="false">IFERROR(INDEX('Teacher Lookup'!$B$2:$B$200,MATCH(A9689,'Teacher Lookup'!$A$2:$A$200,0)),"")</f>
        <v>MOHAMMAD Thair</v>
      </c>
    </row>
    <row r="9690" customFormat="false" ht="15" hidden="false" customHeight="false" outlineLevel="0" collapsed="false">
      <c r="A9690" s="3" t="s">
        <v>512</v>
      </c>
      <c r="B9690" s="4" t="s">
        <v>44</v>
      </c>
      <c r="C9690" s="4" t="n">
        <v>5</v>
      </c>
      <c r="D9690" s="4" t="s">
        <v>124</v>
      </c>
      <c r="E9690" s="3" t="s">
        <v>185</v>
      </c>
      <c r="F9690" s="4" t="str">
        <f aca="false">IF(I9690&gt;J9690,"Y","N")</f>
        <v>Y</v>
      </c>
      <c r="G9690" s="3" t="s">
        <v>36</v>
      </c>
      <c r="H9690" s="3" t="s">
        <v>37</v>
      </c>
      <c r="I9690" s="4" t="n">
        <v>21</v>
      </c>
      <c r="J9690" s="4" t="n">
        <f aca="false">LEN(E9690)-LEN(SUBSTITUTE(E9690,",",""))+1</f>
        <v>7</v>
      </c>
      <c r="K9690" s="3" t="str">
        <f aca="false">IFERROR(INDEX('Teacher Lookup'!$B$2:$B$200,MATCH(A9690,'Teacher Lookup'!$A$2:$A$200,0)),"")</f>
        <v>MOHAMMAD Thair</v>
      </c>
    </row>
    <row r="9691" customFormat="false" ht="15" hidden="false" customHeight="false" outlineLevel="0" collapsed="false">
      <c r="A9691" s="3" t="s">
        <v>512</v>
      </c>
      <c r="B9691" s="4" t="s">
        <v>44</v>
      </c>
      <c r="C9691" s="4" t="n">
        <v>5</v>
      </c>
      <c r="D9691" s="4" t="s">
        <v>139</v>
      </c>
      <c r="E9691" s="3" t="s">
        <v>185</v>
      </c>
      <c r="F9691" s="4" t="str">
        <f aca="false">IF(I9691&gt;J9691,"Y","N")</f>
        <v>Y</v>
      </c>
      <c r="G9691" s="3" t="s">
        <v>36</v>
      </c>
      <c r="H9691" s="3" t="s">
        <v>37</v>
      </c>
      <c r="I9691" s="4" t="n">
        <v>21</v>
      </c>
      <c r="J9691" s="4" t="n">
        <f aca="false">LEN(E9691)-LEN(SUBSTITUTE(E9691,",",""))+1</f>
        <v>7</v>
      </c>
      <c r="K9691" s="3" t="str">
        <f aca="false">IFERROR(INDEX('Teacher Lookup'!$B$2:$B$200,MATCH(A9691,'Teacher Lookup'!$A$2:$A$200,0)),"")</f>
        <v>MOHAMMAD Thair</v>
      </c>
    </row>
    <row r="9692" customFormat="false" ht="15" hidden="false" customHeight="false" outlineLevel="0" collapsed="false">
      <c r="A9692" s="3" t="s">
        <v>512</v>
      </c>
      <c r="B9692" s="4" t="s">
        <v>44</v>
      </c>
      <c r="C9692" s="4" t="n">
        <v>5</v>
      </c>
      <c r="D9692" s="4" t="s">
        <v>140</v>
      </c>
      <c r="E9692" s="3" t="s">
        <v>185</v>
      </c>
      <c r="F9692" s="4" t="str">
        <f aca="false">IF(I9692&gt;J9692,"Y","N")</f>
        <v>Y</v>
      </c>
      <c r="G9692" s="3" t="s">
        <v>36</v>
      </c>
      <c r="H9692" s="3" t="s">
        <v>37</v>
      </c>
      <c r="I9692" s="4" t="n">
        <v>21</v>
      </c>
      <c r="J9692" s="4" t="n">
        <f aca="false">LEN(E9692)-LEN(SUBSTITUTE(E9692,",",""))+1</f>
        <v>7</v>
      </c>
      <c r="K9692" s="3" t="str">
        <f aca="false">IFERROR(INDEX('Teacher Lookup'!$B$2:$B$200,MATCH(A9692,'Teacher Lookup'!$A$2:$A$200,0)),"")</f>
        <v>MOHAMMAD Thair</v>
      </c>
    </row>
    <row r="9693" customFormat="false" ht="15" hidden="false" customHeight="false" outlineLevel="0" collapsed="false">
      <c r="A9693" s="3" t="s">
        <v>512</v>
      </c>
      <c r="B9693" s="4" t="s">
        <v>44</v>
      </c>
      <c r="C9693" s="4" t="n">
        <v>5</v>
      </c>
      <c r="D9693" s="4" t="s">
        <v>142</v>
      </c>
      <c r="E9693" s="3" t="s">
        <v>185</v>
      </c>
      <c r="F9693" s="4" t="str">
        <f aca="false">IF(I9693&gt;J9693,"Y","N")</f>
        <v>Y</v>
      </c>
      <c r="G9693" s="3" t="s">
        <v>36</v>
      </c>
      <c r="H9693" s="3" t="s">
        <v>37</v>
      </c>
      <c r="I9693" s="4" t="n">
        <v>21</v>
      </c>
      <c r="J9693" s="4" t="n">
        <f aca="false">LEN(E9693)-LEN(SUBSTITUTE(E9693,",",""))+1</f>
        <v>7</v>
      </c>
      <c r="K9693" s="3" t="str">
        <f aca="false">IFERROR(INDEX('Teacher Lookup'!$B$2:$B$200,MATCH(A9693,'Teacher Lookup'!$A$2:$A$200,0)),"")</f>
        <v>MOHAMMAD Thair</v>
      </c>
    </row>
    <row r="9694" customFormat="false" ht="15" hidden="false" customHeight="false" outlineLevel="0" collapsed="false">
      <c r="A9694" s="3" t="s">
        <v>512</v>
      </c>
      <c r="B9694" s="4" t="s">
        <v>44</v>
      </c>
      <c r="C9694" s="4" t="n">
        <v>5</v>
      </c>
      <c r="D9694" s="4" t="s">
        <v>127</v>
      </c>
      <c r="E9694" s="3" t="s">
        <v>185</v>
      </c>
      <c r="F9694" s="4" t="str">
        <f aca="false">IF(I9694&gt;J9694,"Y","N")</f>
        <v>Y</v>
      </c>
      <c r="G9694" s="3" t="s">
        <v>36</v>
      </c>
      <c r="H9694" s="3" t="s">
        <v>37</v>
      </c>
      <c r="I9694" s="4" t="n">
        <v>21</v>
      </c>
      <c r="J9694" s="4" t="n">
        <f aca="false">LEN(E9694)-LEN(SUBSTITUTE(E9694,",",""))+1</f>
        <v>7</v>
      </c>
      <c r="K9694" s="3" t="str">
        <f aca="false">IFERROR(INDEX('Teacher Lookup'!$B$2:$B$200,MATCH(A9694,'Teacher Lookup'!$A$2:$A$200,0)),"")</f>
        <v>MOHAMMAD Thair</v>
      </c>
    </row>
    <row r="9695" customFormat="false" ht="15" hidden="false" customHeight="false" outlineLevel="0" collapsed="false">
      <c r="A9695" s="3" t="s">
        <v>512</v>
      </c>
      <c r="B9695" s="4" t="s">
        <v>44</v>
      </c>
      <c r="C9695" s="4" t="n">
        <v>6</v>
      </c>
      <c r="D9695" s="4" t="s">
        <v>105</v>
      </c>
      <c r="E9695" s="3" t="s">
        <v>257</v>
      </c>
      <c r="F9695" s="4" t="str">
        <f aca="false">IF(I9695&gt;J9695,"Y","N")</f>
        <v>N</v>
      </c>
      <c r="G9695" s="3" t="s">
        <v>164</v>
      </c>
      <c r="H9695" s="3" t="s">
        <v>42</v>
      </c>
      <c r="I9695" s="4" t="n">
        <v>3</v>
      </c>
      <c r="J9695" s="4" t="n">
        <f aca="false">LEN(E9695)-LEN(SUBSTITUTE(E9695,",",""))+1</f>
        <v>3</v>
      </c>
      <c r="K9695" s="3" t="str">
        <f aca="false">IFERROR(INDEX('Teacher Lookup'!$B$2:$B$200,MATCH(A9695,'Teacher Lookup'!$A$2:$A$200,0)),"")</f>
        <v>MOHAMMAD Thair</v>
      </c>
    </row>
    <row r="9696" customFormat="false" ht="15" hidden="false" customHeight="false" outlineLevel="0" collapsed="false">
      <c r="A9696" s="3" t="s">
        <v>512</v>
      </c>
      <c r="B9696" s="4" t="s">
        <v>44</v>
      </c>
      <c r="C9696" s="4" t="n">
        <v>6</v>
      </c>
      <c r="D9696" s="4" t="s">
        <v>106</v>
      </c>
      <c r="E9696" s="3" t="s">
        <v>257</v>
      </c>
      <c r="F9696" s="4" t="str">
        <f aca="false">IF(I9696&gt;J9696,"Y","N")</f>
        <v>N</v>
      </c>
      <c r="G9696" s="3" t="s">
        <v>164</v>
      </c>
      <c r="H9696" s="3" t="s">
        <v>42</v>
      </c>
      <c r="I9696" s="4" t="n">
        <v>3</v>
      </c>
      <c r="J9696" s="4" t="n">
        <f aca="false">LEN(E9696)-LEN(SUBSTITUTE(E9696,",",""))+1</f>
        <v>3</v>
      </c>
      <c r="K9696" s="3" t="str">
        <f aca="false">IFERROR(INDEX('Teacher Lookup'!$B$2:$B$200,MATCH(A9696,'Teacher Lookup'!$A$2:$A$200,0)),"")</f>
        <v>MOHAMMAD Thair</v>
      </c>
    </row>
    <row r="9697" customFormat="false" ht="15" hidden="false" customHeight="false" outlineLevel="0" collapsed="false">
      <c r="A9697" s="3" t="s">
        <v>512</v>
      </c>
      <c r="B9697" s="4" t="s">
        <v>47</v>
      </c>
      <c r="C9697" s="4" t="n">
        <v>1</v>
      </c>
      <c r="D9697" s="4" t="s">
        <v>105</v>
      </c>
      <c r="E9697" s="3" t="s">
        <v>260</v>
      </c>
      <c r="F9697" s="4" t="str">
        <f aca="false">IF(I9697&gt;J9697,"Y","N")</f>
        <v>N</v>
      </c>
      <c r="G9697" s="3" t="s">
        <v>164</v>
      </c>
      <c r="H9697" s="3" t="s">
        <v>16</v>
      </c>
      <c r="I9697" s="4" t="n">
        <v>3</v>
      </c>
      <c r="J9697" s="4" t="n">
        <f aca="false">LEN(E9697)-LEN(SUBSTITUTE(E9697,",",""))+1</f>
        <v>3</v>
      </c>
      <c r="K9697" s="3" t="str">
        <f aca="false">IFERROR(INDEX('Teacher Lookup'!$B$2:$B$200,MATCH(A9697,'Teacher Lookup'!$A$2:$A$200,0)),"")</f>
        <v>MOHAMMAD Thair</v>
      </c>
    </row>
    <row r="9698" customFormat="false" ht="15" hidden="false" customHeight="false" outlineLevel="0" collapsed="false">
      <c r="A9698" s="3" t="s">
        <v>512</v>
      </c>
      <c r="B9698" s="4" t="s">
        <v>47</v>
      </c>
      <c r="C9698" s="4" t="n">
        <v>1</v>
      </c>
      <c r="D9698" s="4" t="s">
        <v>106</v>
      </c>
      <c r="E9698" s="3" t="s">
        <v>260</v>
      </c>
      <c r="F9698" s="4" t="str">
        <f aca="false">IF(I9698&gt;J9698,"Y","N")</f>
        <v>N</v>
      </c>
      <c r="G9698" s="3" t="s">
        <v>164</v>
      </c>
      <c r="H9698" s="3" t="s">
        <v>16</v>
      </c>
      <c r="I9698" s="4" t="n">
        <v>3</v>
      </c>
      <c r="J9698" s="4" t="n">
        <f aca="false">LEN(E9698)-LEN(SUBSTITUTE(E9698,",",""))+1</f>
        <v>3</v>
      </c>
      <c r="K9698" s="3" t="str">
        <f aca="false">IFERROR(INDEX('Teacher Lookup'!$B$2:$B$200,MATCH(A9698,'Teacher Lookup'!$A$2:$A$200,0)),"")</f>
        <v>MOHAMMAD Thair</v>
      </c>
    </row>
    <row r="9699" customFormat="false" ht="15" hidden="false" customHeight="false" outlineLevel="0" collapsed="false">
      <c r="A9699" s="3" t="s">
        <v>512</v>
      </c>
      <c r="B9699" s="4" t="s">
        <v>47</v>
      </c>
      <c r="C9699" s="4" t="n">
        <v>7</v>
      </c>
      <c r="D9699" s="4" t="s">
        <v>28</v>
      </c>
      <c r="E9699" s="3" t="s">
        <v>159</v>
      </c>
      <c r="F9699" s="4" t="str">
        <f aca="false">IF(I9699&gt;J9699,"Y","N")</f>
        <v>N</v>
      </c>
      <c r="G9699" s="3" t="s">
        <v>164</v>
      </c>
      <c r="H9699" s="3" t="s">
        <v>39</v>
      </c>
      <c r="I9699" s="4" t="n">
        <v>4</v>
      </c>
      <c r="J9699" s="4" t="n">
        <f aca="false">LEN(E9699)-LEN(SUBSTITUTE(E9699,",",""))+1</f>
        <v>4</v>
      </c>
      <c r="K9699" s="3" t="str">
        <f aca="false">IFERROR(INDEX('Teacher Lookup'!$B$2:$B$200,MATCH(A9699,'Teacher Lookup'!$A$2:$A$200,0)),"")</f>
        <v>MOHAMMAD Thair</v>
      </c>
    </row>
    <row r="9700" customFormat="false" ht="15" hidden="false" customHeight="false" outlineLevel="0" collapsed="false">
      <c r="A9700" s="3" t="s">
        <v>512</v>
      </c>
      <c r="B9700" s="4" t="s">
        <v>47</v>
      </c>
      <c r="C9700" s="4" t="n">
        <v>7</v>
      </c>
      <c r="D9700" s="4" t="s">
        <v>29</v>
      </c>
      <c r="E9700" s="3" t="s">
        <v>159</v>
      </c>
      <c r="F9700" s="4" t="str">
        <f aca="false">IF(I9700&gt;J9700,"Y","N")</f>
        <v>N</v>
      </c>
      <c r="G9700" s="3" t="s">
        <v>164</v>
      </c>
      <c r="H9700" s="3" t="s">
        <v>39</v>
      </c>
      <c r="I9700" s="4" t="n">
        <v>4</v>
      </c>
      <c r="J9700" s="4" t="n">
        <f aca="false">LEN(E9700)-LEN(SUBSTITUTE(E9700,",",""))+1</f>
        <v>4</v>
      </c>
      <c r="K9700" s="3" t="str">
        <f aca="false">IFERROR(INDEX('Teacher Lookup'!$B$2:$B$200,MATCH(A9700,'Teacher Lookup'!$A$2:$A$200,0)),"")</f>
        <v>MOHAMMAD Thair</v>
      </c>
    </row>
    <row r="9701" customFormat="false" ht="15" hidden="false" customHeight="false" outlineLevel="0" collapsed="false">
      <c r="A9701" s="3" t="s">
        <v>512</v>
      </c>
      <c r="B9701" s="4" t="s">
        <v>47</v>
      </c>
      <c r="C9701" s="4" t="n">
        <v>7</v>
      </c>
      <c r="D9701" s="4" t="s">
        <v>30</v>
      </c>
      <c r="E9701" s="3" t="s">
        <v>159</v>
      </c>
      <c r="F9701" s="4" t="str">
        <f aca="false">IF(I9701&gt;J9701,"Y","N")</f>
        <v>N</v>
      </c>
      <c r="G9701" s="3" t="s">
        <v>164</v>
      </c>
      <c r="H9701" s="3" t="s">
        <v>39</v>
      </c>
      <c r="I9701" s="4" t="n">
        <v>4</v>
      </c>
      <c r="J9701" s="4" t="n">
        <f aca="false">LEN(E9701)-LEN(SUBSTITUTE(E9701,",",""))+1</f>
        <v>4</v>
      </c>
      <c r="K9701" s="3" t="str">
        <f aca="false">IFERROR(INDEX('Teacher Lookup'!$B$2:$B$200,MATCH(A9701,'Teacher Lookup'!$A$2:$A$200,0)),"")</f>
        <v>MOHAMMAD Thair</v>
      </c>
    </row>
    <row r="9702" customFormat="false" ht="15" hidden="false" customHeight="false" outlineLevel="0" collapsed="false">
      <c r="A9702" s="3" t="s">
        <v>512</v>
      </c>
      <c r="B9702" s="4" t="s">
        <v>50</v>
      </c>
      <c r="C9702" s="4" t="n">
        <v>2</v>
      </c>
      <c r="D9702" s="4" t="s">
        <v>28</v>
      </c>
      <c r="E9702" s="3" t="s">
        <v>410</v>
      </c>
      <c r="F9702" s="4" t="str">
        <f aca="false">IF(I9702&gt;J9702,"Y","N")</f>
        <v>N</v>
      </c>
      <c r="G9702" s="3" t="s">
        <v>164</v>
      </c>
      <c r="H9702" s="3" t="s">
        <v>21</v>
      </c>
      <c r="I9702" s="4" t="n">
        <v>4</v>
      </c>
      <c r="J9702" s="4" t="n">
        <f aca="false">LEN(E9702)-LEN(SUBSTITUTE(E9702,",",""))+1</f>
        <v>4</v>
      </c>
      <c r="K9702" s="3" t="str">
        <f aca="false">IFERROR(INDEX('Teacher Lookup'!$B$2:$B$200,MATCH(A9702,'Teacher Lookup'!$A$2:$A$200,0)),"")</f>
        <v>MOHAMMAD Thair</v>
      </c>
    </row>
    <row r="9703" customFormat="false" ht="15" hidden="false" customHeight="false" outlineLevel="0" collapsed="false">
      <c r="A9703" s="3" t="s">
        <v>512</v>
      </c>
      <c r="B9703" s="4" t="s">
        <v>50</v>
      </c>
      <c r="C9703" s="4" t="n">
        <v>2</v>
      </c>
      <c r="D9703" s="4" t="s">
        <v>29</v>
      </c>
      <c r="E9703" s="3" t="s">
        <v>410</v>
      </c>
      <c r="F9703" s="4" t="str">
        <f aca="false">IF(I9703&gt;J9703,"Y","N")</f>
        <v>N</v>
      </c>
      <c r="G9703" s="3" t="s">
        <v>164</v>
      </c>
      <c r="H9703" s="3" t="s">
        <v>21</v>
      </c>
      <c r="I9703" s="4" t="n">
        <v>4</v>
      </c>
      <c r="J9703" s="4" t="n">
        <f aca="false">LEN(E9703)-LEN(SUBSTITUTE(E9703,",",""))+1</f>
        <v>4</v>
      </c>
      <c r="K9703" s="3" t="str">
        <f aca="false">IFERROR(INDEX('Teacher Lookup'!$B$2:$B$200,MATCH(A9703,'Teacher Lookup'!$A$2:$A$200,0)),"")</f>
        <v>MOHAMMAD Thair</v>
      </c>
    </row>
    <row r="9704" customFormat="false" ht="15" hidden="false" customHeight="false" outlineLevel="0" collapsed="false">
      <c r="A9704" s="3" t="s">
        <v>512</v>
      </c>
      <c r="B9704" s="4" t="s">
        <v>50</v>
      </c>
      <c r="C9704" s="4" t="n">
        <v>2</v>
      </c>
      <c r="D9704" s="4" t="s">
        <v>30</v>
      </c>
      <c r="E9704" s="3" t="s">
        <v>410</v>
      </c>
      <c r="F9704" s="4" t="str">
        <f aca="false">IF(I9704&gt;J9704,"Y","N")</f>
        <v>N</v>
      </c>
      <c r="G9704" s="3" t="s">
        <v>164</v>
      </c>
      <c r="H9704" s="3" t="s">
        <v>21</v>
      </c>
      <c r="I9704" s="4" t="n">
        <v>4</v>
      </c>
      <c r="J9704" s="4" t="n">
        <f aca="false">LEN(E9704)-LEN(SUBSTITUTE(E9704,",",""))+1</f>
        <v>4</v>
      </c>
      <c r="K9704" s="3" t="str">
        <f aca="false">IFERROR(INDEX('Teacher Lookup'!$B$2:$B$200,MATCH(A9704,'Teacher Lookup'!$A$2:$A$200,0)),"")</f>
        <v>MOHAMMAD Thair</v>
      </c>
    </row>
    <row r="9705" customFormat="false" ht="15" hidden="false" customHeight="false" outlineLevel="0" collapsed="false">
      <c r="A9705" s="3" t="s">
        <v>512</v>
      </c>
      <c r="B9705" s="4" t="s">
        <v>50</v>
      </c>
      <c r="C9705" s="4" t="n">
        <v>6</v>
      </c>
      <c r="D9705" s="4" t="s">
        <v>105</v>
      </c>
      <c r="E9705" s="3" t="s">
        <v>263</v>
      </c>
      <c r="F9705" s="4" t="str">
        <f aca="false">IF(I9705&gt;J9705,"Y","N")</f>
        <v>N</v>
      </c>
      <c r="G9705" s="3" t="s">
        <v>164</v>
      </c>
      <c r="H9705" s="3" t="s">
        <v>42</v>
      </c>
      <c r="I9705" s="4" t="n">
        <v>3</v>
      </c>
      <c r="J9705" s="4" t="n">
        <f aca="false">LEN(E9705)-LEN(SUBSTITUTE(E9705,",",""))+1</f>
        <v>3</v>
      </c>
      <c r="K9705" s="3" t="str">
        <f aca="false">IFERROR(INDEX('Teacher Lookup'!$B$2:$B$200,MATCH(A9705,'Teacher Lookup'!$A$2:$A$200,0)),"")</f>
        <v>MOHAMMAD Thair</v>
      </c>
    </row>
    <row r="9706" customFormat="false" ht="15" hidden="false" customHeight="false" outlineLevel="0" collapsed="false">
      <c r="A9706" s="3" t="s">
        <v>512</v>
      </c>
      <c r="B9706" s="4" t="s">
        <v>50</v>
      </c>
      <c r="C9706" s="4" t="n">
        <v>6</v>
      </c>
      <c r="D9706" s="4" t="s">
        <v>106</v>
      </c>
      <c r="E9706" s="3" t="s">
        <v>263</v>
      </c>
      <c r="F9706" s="4" t="str">
        <f aca="false">IF(I9706&gt;J9706,"Y","N")</f>
        <v>N</v>
      </c>
      <c r="G9706" s="3" t="s">
        <v>164</v>
      </c>
      <c r="H9706" s="3" t="s">
        <v>42</v>
      </c>
      <c r="I9706" s="4" t="n">
        <v>3</v>
      </c>
      <c r="J9706" s="4" t="n">
        <f aca="false">LEN(E9706)-LEN(SUBSTITUTE(E9706,",",""))+1</f>
        <v>3</v>
      </c>
      <c r="K9706" s="3" t="str">
        <f aca="false">IFERROR(INDEX('Teacher Lookup'!$B$2:$B$200,MATCH(A9706,'Teacher Lookup'!$A$2:$A$200,0)),"")</f>
        <v>MOHAMMAD Thair</v>
      </c>
    </row>
    <row r="9707" customFormat="false" ht="15" hidden="false" customHeight="false" outlineLevel="0" collapsed="false">
      <c r="A9707" s="3" t="s">
        <v>512</v>
      </c>
      <c r="B9707" s="4" t="s">
        <v>60</v>
      </c>
      <c r="C9707" s="4" t="n">
        <v>4</v>
      </c>
      <c r="D9707" s="4" t="s">
        <v>28</v>
      </c>
      <c r="E9707" s="3" t="s">
        <v>411</v>
      </c>
      <c r="F9707" s="4" t="str">
        <f aca="false">IF(I9707&gt;J9707,"Y","N")</f>
        <v>N</v>
      </c>
      <c r="G9707" s="3" t="s">
        <v>164</v>
      </c>
      <c r="H9707" s="3" t="s">
        <v>34</v>
      </c>
      <c r="I9707" s="4" t="n">
        <v>4</v>
      </c>
      <c r="J9707" s="4" t="n">
        <f aca="false">LEN(E9707)-LEN(SUBSTITUTE(E9707,",",""))+1</f>
        <v>4</v>
      </c>
      <c r="K9707" s="3" t="str">
        <f aca="false">IFERROR(INDEX('Teacher Lookup'!$B$2:$B$200,MATCH(A9707,'Teacher Lookup'!$A$2:$A$200,0)),"")</f>
        <v>MOHAMMAD Thair</v>
      </c>
    </row>
    <row r="9708" customFormat="false" ht="15" hidden="false" customHeight="false" outlineLevel="0" collapsed="false">
      <c r="A9708" s="3" t="s">
        <v>512</v>
      </c>
      <c r="B9708" s="4" t="s">
        <v>60</v>
      </c>
      <c r="C9708" s="4" t="n">
        <v>4</v>
      </c>
      <c r="D9708" s="4" t="s">
        <v>29</v>
      </c>
      <c r="E9708" s="3" t="s">
        <v>411</v>
      </c>
      <c r="F9708" s="4" t="str">
        <f aca="false">IF(I9708&gt;J9708,"Y","N")</f>
        <v>N</v>
      </c>
      <c r="G9708" s="3" t="s">
        <v>164</v>
      </c>
      <c r="H9708" s="3" t="s">
        <v>34</v>
      </c>
      <c r="I9708" s="4" t="n">
        <v>4</v>
      </c>
      <c r="J9708" s="4" t="n">
        <f aca="false">LEN(E9708)-LEN(SUBSTITUTE(E9708,",",""))+1</f>
        <v>4</v>
      </c>
      <c r="K9708" s="3" t="str">
        <f aca="false">IFERROR(INDEX('Teacher Lookup'!$B$2:$B$200,MATCH(A9708,'Teacher Lookup'!$A$2:$A$200,0)),"")</f>
        <v>MOHAMMAD Thair</v>
      </c>
    </row>
    <row r="9709" customFormat="false" ht="15" hidden="false" customHeight="false" outlineLevel="0" collapsed="false">
      <c r="A9709" s="3" t="s">
        <v>512</v>
      </c>
      <c r="B9709" s="4" t="s">
        <v>60</v>
      </c>
      <c r="C9709" s="4" t="n">
        <v>4</v>
      </c>
      <c r="D9709" s="4" t="s">
        <v>30</v>
      </c>
      <c r="E9709" s="3" t="s">
        <v>411</v>
      </c>
      <c r="F9709" s="4" t="str">
        <f aca="false">IF(I9709&gt;J9709,"Y","N")</f>
        <v>N</v>
      </c>
      <c r="G9709" s="3" t="s">
        <v>164</v>
      </c>
      <c r="H9709" s="3" t="s">
        <v>34</v>
      </c>
      <c r="I9709" s="4" t="n">
        <v>4</v>
      </c>
      <c r="J9709" s="4" t="n">
        <f aca="false">LEN(E9709)-LEN(SUBSTITUTE(E9709,",",""))+1</f>
        <v>4</v>
      </c>
      <c r="K9709" s="3" t="str">
        <f aca="false">IFERROR(INDEX('Teacher Lookup'!$B$2:$B$200,MATCH(A9709,'Teacher Lookup'!$A$2:$A$200,0)),"")</f>
        <v>MOHAMMAD Thair</v>
      </c>
    </row>
    <row r="9710" customFormat="false" ht="15" hidden="false" customHeight="false" outlineLevel="0" collapsed="false">
      <c r="A9710" s="3" t="s">
        <v>512</v>
      </c>
      <c r="B9710" s="4" t="s">
        <v>60</v>
      </c>
      <c r="C9710" s="4" t="n">
        <v>5</v>
      </c>
      <c r="D9710" s="4" t="s">
        <v>137</v>
      </c>
      <c r="E9710" s="3" t="s">
        <v>185</v>
      </c>
      <c r="F9710" s="4" t="str">
        <f aca="false">IF(I9710&gt;J9710,"Y","N")</f>
        <v>Y</v>
      </c>
      <c r="G9710" s="3" t="s">
        <v>36</v>
      </c>
      <c r="H9710" s="3" t="s">
        <v>37</v>
      </c>
      <c r="I9710" s="4" t="n">
        <v>21</v>
      </c>
      <c r="J9710" s="4" t="n">
        <f aca="false">LEN(E9710)-LEN(SUBSTITUTE(E9710,",",""))+1</f>
        <v>7</v>
      </c>
      <c r="K9710" s="3" t="str">
        <f aca="false">IFERROR(INDEX('Teacher Lookup'!$B$2:$B$200,MATCH(A9710,'Teacher Lookup'!$A$2:$A$200,0)),"")</f>
        <v>MOHAMMAD Thair</v>
      </c>
    </row>
    <row r="9711" customFormat="false" ht="15" hidden="false" customHeight="false" outlineLevel="0" collapsed="false">
      <c r="A9711" s="3" t="s">
        <v>512</v>
      </c>
      <c r="B9711" s="4" t="s">
        <v>60</v>
      </c>
      <c r="C9711" s="4" t="n">
        <v>5</v>
      </c>
      <c r="D9711" s="4" t="s">
        <v>124</v>
      </c>
      <c r="E9711" s="3" t="s">
        <v>185</v>
      </c>
      <c r="F9711" s="4" t="str">
        <f aca="false">IF(I9711&gt;J9711,"Y","N")</f>
        <v>Y</v>
      </c>
      <c r="G9711" s="3" t="s">
        <v>36</v>
      </c>
      <c r="H9711" s="3" t="s">
        <v>37</v>
      </c>
      <c r="I9711" s="4" t="n">
        <v>21</v>
      </c>
      <c r="J9711" s="4" t="n">
        <f aca="false">LEN(E9711)-LEN(SUBSTITUTE(E9711,",",""))+1</f>
        <v>7</v>
      </c>
      <c r="K9711" s="3" t="str">
        <f aca="false">IFERROR(INDEX('Teacher Lookup'!$B$2:$B$200,MATCH(A9711,'Teacher Lookup'!$A$2:$A$200,0)),"")</f>
        <v>MOHAMMAD Thair</v>
      </c>
    </row>
    <row r="9712" customFormat="false" ht="15" hidden="false" customHeight="false" outlineLevel="0" collapsed="false">
      <c r="A9712" s="3" t="s">
        <v>512</v>
      </c>
      <c r="B9712" s="4" t="s">
        <v>60</v>
      </c>
      <c r="C9712" s="4" t="n">
        <v>5</v>
      </c>
      <c r="D9712" s="4" t="s">
        <v>139</v>
      </c>
      <c r="E9712" s="3" t="s">
        <v>185</v>
      </c>
      <c r="F9712" s="4" t="str">
        <f aca="false">IF(I9712&gt;J9712,"Y","N")</f>
        <v>Y</v>
      </c>
      <c r="G9712" s="3" t="s">
        <v>36</v>
      </c>
      <c r="H9712" s="3" t="s">
        <v>37</v>
      </c>
      <c r="I9712" s="4" t="n">
        <v>21</v>
      </c>
      <c r="J9712" s="4" t="n">
        <f aca="false">LEN(E9712)-LEN(SUBSTITUTE(E9712,",",""))+1</f>
        <v>7</v>
      </c>
      <c r="K9712" s="3" t="str">
        <f aca="false">IFERROR(INDEX('Teacher Lookup'!$B$2:$B$200,MATCH(A9712,'Teacher Lookup'!$A$2:$A$200,0)),"")</f>
        <v>MOHAMMAD Thair</v>
      </c>
    </row>
    <row r="9713" customFormat="false" ht="15" hidden="false" customHeight="false" outlineLevel="0" collapsed="false">
      <c r="A9713" s="3" t="s">
        <v>512</v>
      </c>
      <c r="B9713" s="4" t="s">
        <v>60</v>
      </c>
      <c r="C9713" s="4" t="n">
        <v>5</v>
      </c>
      <c r="D9713" s="4" t="s">
        <v>140</v>
      </c>
      <c r="E9713" s="3" t="s">
        <v>185</v>
      </c>
      <c r="F9713" s="4" t="str">
        <f aca="false">IF(I9713&gt;J9713,"Y","N")</f>
        <v>Y</v>
      </c>
      <c r="G9713" s="3" t="s">
        <v>36</v>
      </c>
      <c r="H9713" s="3" t="s">
        <v>37</v>
      </c>
      <c r="I9713" s="4" t="n">
        <v>21</v>
      </c>
      <c r="J9713" s="4" t="n">
        <f aca="false">LEN(E9713)-LEN(SUBSTITUTE(E9713,",",""))+1</f>
        <v>7</v>
      </c>
      <c r="K9713" s="3" t="str">
        <f aca="false">IFERROR(INDEX('Teacher Lookup'!$B$2:$B$200,MATCH(A9713,'Teacher Lookup'!$A$2:$A$200,0)),"")</f>
        <v>MOHAMMAD Thair</v>
      </c>
    </row>
    <row r="9714" customFormat="false" ht="15" hidden="false" customHeight="false" outlineLevel="0" collapsed="false">
      <c r="A9714" s="3" t="s">
        <v>512</v>
      </c>
      <c r="B9714" s="4" t="s">
        <v>60</v>
      </c>
      <c r="C9714" s="4" t="n">
        <v>5</v>
      </c>
      <c r="D9714" s="4" t="s">
        <v>142</v>
      </c>
      <c r="E9714" s="3" t="s">
        <v>185</v>
      </c>
      <c r="F9714" s="4" t="str">
        <f aca="false">IF(I9714&gt;J9714,"Y","N")</f>
        <v>Y</v>
      </c>
      <c r="G9714" s="3" t="s">
        <v>36</v>
      </c>
      <c r="H9714" s="3" t="s">
        <v>37</v>
      </c>
      <c r="I9714" s="4" t="n">
        <v>21</v>
      </c>
      <c r="J9714" s="4" t="n">
        <f aca="false">LEN(E9714)-LEN(SUBSTITUTE(E9714,",",""))+1</f>
        <v>7</v>
      </c>
      <c r="K9714" s="3" t="str">
        <f aca="false">IFERROR(INDEX('Teacher Lookup'!$B$2:$B$200,MATCH(A9714,'Teacher Lookup'!$A$2:$A$200,0)),"")</f>
        <v>MOHAMMAD Thair</v>
      </c>
    </row>
    <row r="9715" customFormat="false" ht="15" hidden="false" customHeight="false" outlineLevel="0" collapsed="false">
      <c r="A9715" s="3" t="s">
        <v>512</v>
      </c>
      <c r="B9715" s="4" t="s">
        <v>60</v>
      </c>
      <c r="C9715" s="4" t="n">
        <v>5</v>
      </c>
      <c r="D9715" s="4" t="s">
        <v>127</v>
      </c>
      <c r="E9715" s="3" t="s">
        <v>185</v>
      </c>
      <c r="F9715" s="4" t="str">
        <f aca="false">IF(I9715&gt;J9715,"Y","N")</f>
        <v>Y</v>
      </c>
      <c r="G9715" s="3" t="s">
        <v>36</v>
      </c>
      <c r="H9715" s="3" t="s">
        <v>37</v>
      </c>
      <c r="I9715" s="4" t="n">
        <v>21</v>
      </c>
      <c r="J9715" s="4" t="n">
        <f aca="false">LEN(E9715)-LEN(SUBSTITUTE(E9715,",",""))+1</f>
        <v>7</v>
      </c>
      <c r="K9715" s="3" t="str">
        <f aca="false">IFERROR(INDEX('Teacher Lookup'!$B$2:$B$200,MATCH(A9715,'Teacher Lookup'!$A$2:$A$200,0)),"")</f>
        <v>MOHAMMAD Thair</v>
      </c>
    </row>
    <row r="9716" customFormat="false" ht="15" hidden="false" customHeight="false" outlineLevel="0" collapsed="false">
      <c r="A9716" s="3" t="s">
        <v>512</v>
      </c>
      <c r="B9716" s="4" t="s">
        <v>60</v>
      </c>
      <c r="C9716" s="4" t="n">
        <v>6</v>
      </c>
      <c r="D9716" s="4" t="s">
        <v>105</v>
      </c>
      <c r="E9716" s="3" t="s">
        <v>265</v>
      </c>
      <c r="F9716" s="4" t="str">
        <f aca="false">IF(I9716&gt;J9716,"Y","N")</f>
        <v>N</v>
      </c>
      <c r="G9716" s="3" t="s">
        <v>164</v>
      </c>
      <c r="H9716" s="3" t="s">
        <v>42</v>
      </c>
      <c r="I9716" s="4" t="n">
        <v>3</v>
      </c>
      <c r="J9716" s="4" t="n">
        <f aca="false">LEN(E9716)-LEN(SUBSTITUTE(E9716,",",""))+1</f>
        <v>3</v>
      </c>
      <c r="K9716" s="3" t="str">
        <f aca="false">IFERROR(INDEX('Teacher Lookup'!$B$2:$B$200,MATCH(A9716,'Teacher Lookup'!$A$2:$A$200,0)),"")</f>
        <v>MOHAMMAD Thair</v>
      </c>
    </row>
    <row r="9717" customFormat="false" ht="15" hidden="false" customHeight="false" outlineLevel="0" collapsed="false">
      <c r="A9717" s="3" t="s">
        <v>512</v>
      </c>
      <c r="B9717" s="4" t="s">
        <v>60</v>
      </c>
      <c r="C9717" s="4" t="n">
        <v>6</v>
      </c>
      <c r="D9717" s="4" t="s">
        <v>106</v>
      </c>
      <c r="E9717" s="3" t="s">
        <v>265</v>
      </c>
      <c r="F9717" s="4" t="str">
        <f aca="false">IF(I9717&gt;J9717,"Y","N")</f>
        <v>N</v>
      </c>
      <c r="G9717" s="3" t="s">
        <v>164</v>
      </c>
      <c r="H9717" s="3" t="s">
        <v>42</v>
      </c>
      <c r="I9717" s="4" t="n">
        <v>3</v>
      </c>
      <c r="J9717" s="4" t="n">
        <f aca="false">LEN(E9717)-LEN(SUBSTITUTE(E9717,",",""))+1</f>
        <v>3</v>
      </c>
      <c r="K9717" s="3" t="str">
        <f aca="false">IFERROR(INDEX('Teacher Lookup'!$B$2:$B$200,MATCH(A9717,'Teacher Lookup'!$A$2:$A$200,0)),"")</f>
        <v>MOHAMMAD Thair</v>
      </c>
    </row>
    <row r="9718" customFormat="false" ht="15" hidden="false" customHeight="false" outlineLevel="0" collapsed="false">
      <c r="A9718" s="3" t="s">
        <v>512</v>
      </c>
      <c r="B9718" s="4" t="s">
        <v>60</v>
      </c>
      <c r="C9718" s="4" t="n">
        <v>7</v>
      </c>
      <c r="D9718" s="4" t="s">
        <v>105</v>
      </c>
      <c r="E9718" s="3" t="s">
        <v>265</v>
      </c>
      <c r="F9718" s="4" t="str">
        <f aca="false">IF(I9718&gt;J9718,"Y","N")</f>
        <v>N</v>
      </c>
      <c r="G9718" s="3" t="s">
        <v>164</v>
      </c>
      <c r="H9718" s="3" t="s">
        <v>39</v>
      </c>
      <c r="I9718" s="4" t="n">
        <v>3</v>
      </c>
      <c r="J9718" s="4" t="n">
        <f aca="false">LEN(E9718)-LEN(SUBSTITUTE(E9718,",",""))+1</f>
        <v>3</v>
      </c>
      <c r="K9718" s="3" t="str">
        <f aca="false">IFERROR(INDEX('Teacher Lookup'!$B$2:$B$200,MATCH(A9718,'Teacher Lookup'!$A$2:$A$200,0)),"")</f>
        <v>MOHAMMAD Thair</v>
      </c>
    </row>
    <row r="9719" customFormat="false" ht="15" hidden="false" customHeight="false" outlineLevel="0" collapsed="false">
      <c r="A9719" s="3" t="s">
        <v>512</v>
      </c>
      <c r="B9719" s="4" t="s">
        <v>60</v>
      </c>
      <c r="C9719" s="4" t="n">
        <v>7</v>
      </c>
      <c r="D9719" s="4" t="s">
        <v>106</v>
      </c>
      <c r="E9719" s="3" t="s">
        <v>265</v>
      </c>
      <c r="F9719" s="4" t="str">
        <f aca="false">IF(I9719&gt;J9719,"Y","N")</f>
        <v>N</v>
      </c>
      <c r="G9719" s="3" t="s">
        <v>164</v>
      </c>
      <c r="H9719" s="3" t="s">
        <v>39</v>
      </c>
      <c r="I9719" s="4" t="n">
        <v>3</v>
      </c>
      <c r="J9719" s="4" t="n">
        <f aca="false">LEN(E9719)-LEN(SUBSTITUTE(E9719,",",""))+1</f>
        <v>3</v>
      </c>
      <c r="K9719" s="3" t="str">
        <f aca="false">IFERROR(INDEX('Teacher Lookup'!$B$2:$B$200,MATCH(A9719,'Teacher Lookup'!$A$2:$A$200,0)),"")</f>
        <v>MOHAMMAD Thair</v>
      </c>
    </row>
    <row r="9720" customFormat="false" ht="15" hidden="false" customHeight="false" outlineLevel="0" collapsed="false">
      <c r="A9720" s="3" t="s">
        <v>512</v>
      </c>
      <c r="B9720" s="4" t="s">
        <v>63</v>
      </c>
      <c r="C9720" s="4" t="n">
        <v>4</v>
      </c>
      <c r="D9720" s="4" t="s">
        <v>28</v>
      </c>
      <c r="E9720" s="3" t="s">
        <v>411</v>
      </c>
      <c r="F9720" s="4" t="str">
        <f aca="false">IF(I9720&gt;J9720,"Y","N")</f>
        <v>N</v>
      </c>
      <c r="G9720" s="3" t="s">
        <v>164</v>
      </c>
      <c r="H9720" s="3" t="s">
        <v>34</v>
      </c>
      <c r="I9720" s="4" t="n">
        <v>4</v>
      </c>
      <c r="J9720" s="4" t="n">
        <f aca="false">LEN(E9720)-LEN(SUBSTITUTE(E9720,",",""))+1</f>
        <v>4</v>
      </c>
      <c r="K9720" s="3" t="str">
        <f aca="false">IFERROR(INDEX('Teacher Lookup'!$B$2:$B$200,MATCH(A9720,'Teacher Lookup'!$A$2:$A$200,0)),"")</f>
        <v>MOHAMMAD Thair</v>
      </c>
    </row>
    <row r="9721" customFormat="false" ht="15" hidden="false" customHeight="false" outlineLevel="0" collapsed="false">
      <c r="A9721" s="3" t="s">
        <v>512</v>
      </c>
      <c r="B9721" s="4" t="s">
        <v>63</v>
      </c>
      <c r="C9721" s="4" t="n">
        <v>4</v>
      </c>
      <c r="D9721" s="4" t="s">
        <v>29</v>
      </c>
      <c r="E9721" s="3" t="s">
        <v>411</v>
      </c>
      <c r="F9721" s="4" t="str">
        <f aca="false">IF(I9721&gt;J9721,"Y","N")</f>
        <v>N</v>
      </c>
      <c r="G9721" s="3" t="s">
        <v>164</v>
      </c>
      <c r="H9721" s="3" t="s">
        <v>34</v>
      </c>
      <c r="I9721" s="4" t="n">
        <v>4</v>
      </c>
      <c r="J9721" s="4" t="n">
        <f aca="false">LEN(E9721)-LEN(SUBSTITUTE(E9721,",",""))+1</f>
        <v>4</v>
      </c>
      <c r="K9721" s="3" t="str">
        <f aca="false">IFERROR(INDEX('Teacher Lookup'!$B$2:$B$200,MATCH(A9721,'Teacher Lookup'!$A$2:$A$200,0)),"")</f>
        <v>MOHAMMAD Thair</v>
      </c>
    </row>
    <row r="9722" customFormat="false" ht="15" hidden="false" customHeight="false" outlineLevel="0" collapsed="false">
      <c r="A9722" s="3" t="s">
        <v>512</v>
      </c>
      <c r="B9722" s="4" t="s">
        <v>63</v>
      </c>
      <c r="C9722" s="4" t="n">
        <v>4</v>
      </c>
      <c r="D9722" s="4" t="s">
        <v>30</v>
      </c>
      <c r="E9722" s="3" t="s">
        <v>411</v>
      </c>
      <c r="F9722" s="4" t="str">
        <f aca="false">IF(I9722&gt;J9722,"Y","N")</f>
        <v>N</v>
      </c>
      <c r="G9722" s="3" t="s">
        <v>164</v>
      </c>
      <c r="H9722" s="3" t="s">
        <v>34</v>
      </c>
      <c r="I9722" s="4" t="n">
        <v>4</v>
      </c>
      <c r="J9722" s="4" t="n">
        <f aca="false">LEN(E9722)-LEN(SUBSTITUTE(E9722,",",""))+1</f>
        <v>4</v>
      </c>
      <c r="K9722" s="3" t="str">
        <f aca="false">IFERROR(INDEX('Teacher Lookup'!$B$2:$B$200,MATCH(A9722,'Teacher Lookup'!$A$2:$A$200,0)),"")</f>
        <v>MOHAMMAD Thair</v>
      </c>
    </row>
    <row r="9723" customFormat="false" ht="15" hidden="false" customHeight="false" outlineLevel="0" collapsed="false">
      <c r="A9723" s="3" t="s">
        <v>512</v>
      </c>
      <c r="B9723" s="4" t="s">
        <v>63</v>
      </c>
      <c r="C9723" s="4" t="n">
        <v>5</v>
      </c>
      <c r="D9723" s="4" t="s">
        <v>28</v>
      </c>
      <c r="E9723" s="3" t="s">
        <v>411</v>
      </c>
      <c r="F9723" s="4" t="str">
        <f aca="false">IF(I9723&gt;J9723,"Y","N")</f>
        <v>N</v>
      </c>
      <c r="G9723" s="3" t="s">
        <v>164</v>
      </c>
      <c r="H9723" s="3" t="s">
        <v>37</v>
      </c>
      <c r="I9723" s="4" t="n">
        <v>4</v>
      </c>
      <c r="J9723" s="4" t="n">
        <f aca="false">LEN(E9723)-LEN(SUBSTITUTE(E9723,",",""))+1</f>
        <v>4</v>
      </c>
      <c r="K9723" s="3" t="str">
        <f aca="false">IFERROR(INDEX('Teacher Lookup'!$B$2:$B$200,MATCH(A9723,'Teacher Lookup'!$A$2:$A$200,0)),"")</f>
        <v>MOHAMMAD Thair</v>
      </c>
    </row>
    <row r="9724" customFormat="false" ht="15" hidden="false" customHeight="false" outlineLevel="0" collapsed="false">
      <c r="A9724" s="3" t="s">
        <v>512</v>
      </c>
      <c r="B9724" s="4" t="s">
        <v>63</v>
      </c>
      <c r="C9724" s="4" t="n">
        <v>5</v>
      </c>
      <c r="D9724" s="4" t="s">
        <v>29</v>
      </c>
      <c r="E9724" s="3" t="s">
        <v>411</v>
      </c>
      <c r="F9724" s="4" t="str">
        <f aca="false">IF(I9724&gt;J9724,"Y","N")</f>
        <v>N</v>
      </c>
      <c r="G9724" s="3" t="s">
        <v>164</v>
      </c>
      <c r="H9724" s="3" t="s">
        <v>37</v>
      </c>
      <c r="I9724" s="4" t="n">
        <v>4</v>
      </c>
      <c r="J9724" s="4" t="n">
        <f aca="false">LEN(E9724)-LEN(SUBSTITUTE(E9724,",",""))+1</f>
        <v>4</v>
      </c>
      <c r="K9724" s="3" t="str">
        <f aca="false">IFERROR(INDEX('Teacher Lookup'!$B$2:$B$200,MATCH(A9724,'Teacher Lookup'!$A$2:$A$200,0)),"")</f>
        <v>MOHAMMAD Thair</v>
      </c>
    </row>
    <row r="9725" customFormat="false" ht="15" hidden="false" customHeight="false" outlineLevel="0" collapsed="false">
      <c r="A9725" s="3" t="s">
        <v>512</v>
      </c>
      <c r="B9725" s="4" t="s">
        <v>63</v>
      </c>
      <c r="C9725" s="4" t="n">
        <v>5</v>
      </c>
      <c r="D9725" s="4" t="s">
        <v>30</v>
      </c>
      <c r="E9725" s="3" t="s">
        <v>411</v>
      </c>
      <c r="F9725" s="4" t="str">
        <f aca="false">IF(I9725&gt;J9725,"Y","N")</f>
        <v>N</v>
      </c>
      <c r="G9725" s="3" t="s">
        <v>164</v>
      </c>
      <c r="H9725" s="3" t="s">
        <v>37</v>
      </c>
      <c r="I9725" s="4" t="n">
        <v>4</v>
      </c>
      <c r="J9725" s="4" t="n">
        <f aca="false">LEN(E9725)-LEN(SUBSTITUTE(E9725,",",""))+1</f>
        <v>4</v>
      </c>
      <c r="K9725" s="3" t="str">
        <f aca="false">IFERROR(INDEX('Teacher Lookup'!$B$2:$B$200,MATCH(A9725,'Teacher Lookup'!$A$2:$A$200,0)),"")</f>
        <v>MOHAMMAD Thair</v>
      </c>
    </row>
    <row r="9726" customFormat="false" ht="15" hidden="false" customHeight="false" outlineLevel="0" collapsed="false">
      <c r="A9726" s="3" t="s">
        <v>512</v>
      </c>
      <c r="B9726" s="4" t="s">
        <v>63</v>
      </c>
      <c r="C9726" s="4" t="n">
        <v>6</v>
      </c>
      <c r="D9726" s="4" t="s">
        <v>105</v>
      </c>
      <c r="E9726" s="3" t="s">
        <v>267</v>
      </c>
      <c r="F9726" s="4" t="str">
        <f aca="false">IF(I9726&gt;J9726,"Y","N")</f>
        <v>N</v>
      </c>
      <c r="G9726" s="3" t="s">
        <v>164</v>
      </c>
      <c r="H9726" s="3" t="s">
        <v>42</v>
      </c>
      <c r="I9726" s="4" t="n">
        <v>3</v>
      </c>
      <c r="J9726" s="4" t="n">
        <f aca="false">LEN(E9726)-LEN(SUBSTITUTE(E9726,",",""))+1</f>
        <v>3</v>
      </c>
      <c r="K9726" s="3" t="str">
        <f aca="false">IFERROR(INDEX('Teacher Lookup'!$B$2:$B$200,MATCH(A9726,'Teacher Lookup'!$A$2:$A$200,0)),"")</f>
        <v>MOHAMMAD Thair</v>
      </c>
    </row>
    <row r="9727" customFormat="false" ht="15" hidden="false" customHeight="false" outlineLevel="0" collapsed="false">
      <c r="A9727" s="3" t="s">
        <v>512</v>
      </c>
      <c r="B9727" s="4" t="s">
        <v>63</v>
      </c>
      <c r="C9727" s="4" t="n">
        <v>6</v>
      </c>
      <c r="D9727" s="4" t="s">
        <v>106</v>
      </c>
      <c r="E9727" s="3" t="s">
        <v>267</v>
      </c>
      <c r="F9727" s="4" t="str">
        <f aca="false">IF(I9727&gt;J9727,"Y","N")</f>
        <v>N</v>
      </c>
      <c r="G9727" s="3" t="s">
        <v>164</v>
      </c>
      <c r="H9727" s="3" t="s">
        <v>42</v>
      </c>
      <c r="I9727" s="4" t="n">
        <v>3</v>
      </c>
      <c r="J9727" s="4" t="n">
        <f aca="false">LEN(E9727)-LEN(SUBSTITUTE(E9727,",",""))+1</f>
        <v>3</v>
      </c>
      <c r="K9727" s="3" t="str">
        <f aca="false">IFERROR(INDEX('Teacher Lookup'!$B$2:$B$200,MATCH(A9727,'Teacher Lookup'!$A$2:$A$200,0)),"")</f>
        <v>MOHAMMAD Thair</v>
      </c>
    </row>
    <row r="9728" customFormat="false" ht="15" hidden="false" customHeight="false" outlineLevel="0" collapsed="false">
      <c r="A9728" s="3" t="s">
        <v>512</v>
      </c>
      <c r="B9728" s="4" t="s">
        <v>65</v>
      </c>
      <c r="C9728" s="4" t="n">
        <v>3</v>
      </c>
      <c r="D9728" s="4" t="s">
        <v>28</v>
      </c>
      <c r="E9728" s="3" t="s">
        <v>156</v>
      </c>
      <c r="F9728" s="4" t="str">
        <f aca="false">IF(I9728&gt;J9728,"Y","N")</f>
        <v>N</v>
      </c>
      <c r="G9728" s="3" t="s">
        <v>164</v>
      </c>
      <c r="H9728" s="3" t="s">
        <v>26</v>
      </c>
      <c r="I9728" s="4" t="n">
        <v>4</v>
      </c>
      <c r="J9728" s="4" t="n">
        <f aca="false">LEN(E9728)-LEN(SUBSTITUTE(E9728,",",""))+1</f>
        <v>4</v>
      </c>
      <c r="K9728" s="3" t="str">
        <f aca="false">IFERROR(INDEX('Teacher Lookup'!$B$2:$B$200,MATCH(A9728,'Teacher Lookup'!$A$2:$A$200,0)),"")</f>
        <v>MOHAMMAD Thair</v>
      </c>
    </row>
    <row r="9729" customFormat="false" ht="15" hidden="false" customHeight="false" outlineLevel="0" collapsed="false">
      <c r="A9729" s="3" t="s">
        <v>512</v>
      </c>
      <c r="B9729" s="4" t="s">
        <v>65</v>
      </c>
      <c r="C9729" s="4" t="n">
        <v>3</v>
      </c>
      <c r="D9729" s="4" t="s">
        <v>29</v>
      </c>
      <c r="E9729" s="3" t="s">
        <v>156</v>
      </c>
      <c r="F9729" s="4" t="str">
        <f aca="false">IF(I9729&gt;J9729,"Y","N")</f>
        <v>N</v>
      </c>
      <c r="G9729" s="3" t="s">
        <v>164</v>
      </c>
      <c r="H9729" s="3" t="s">
        <v>26</v>
      </c>
      <c r="I9729" s="4" t="n">
        <v>4</v>
      </c>
      <c r="J9729" s="4" t="n">
        <f aca="false">LEN(E9729)-LEN(SUBSTITUTE(E9729,",",""))+1</f>
        <v>4</v>
      </c>
      <c r="K9729" s="3" t="str">
        <f aca="false">IFERROR(INDEX('Teacher Lookup'!$B$2:$B$200,MATCH(A9729,'Teacher Lookup'!$A$2:$A$200,0)),"")</f>
        <v>MOHAMMAD Thair</v>
      </c>
    </row>
    <row r="9730" customFormat="false" ht="15" hidden="false" customHeight="false" outlineLevel="0" collapsed="false">
      <c r="A9730" s="3" t="s">
        <v>512</v>
      </c>
      <c r="B9730" s="4" t="s">
        <v>65</v>
      </c>
      <c r="C9730" s="4" t="n">
        <v>3</v>
      </c>
      <c r="D9730" s="4" t="s">
        <v>30</v>
      </c>
      <c r="E9730" s="3" t="s">
        <v>156</v>
      </c>
      <c r="F9730" s="4" t="str">
        <f aca="false">IF(I9730&gt;J9730,"Y","N")</f>
        <v>N</v>
      </c>
      <c r="G9730" s="3" t="s">
        <v>164</v>
      </c>
      <c r="H9730" s="3" t="s">
        <v>26</v>
      </c>
      <c r="I9730" s="4" t="n">
        <v>4</v>
      </c>
      <c r="J9730" s="4" t="n">
        <f aca="false">LEN(E9730)-LEN(SUBSTITUTE(E9730,",",""))+1</f>
        <v>4</v>
      </c>
      <c r="K9730" s="3" t="str">
        <f aca="false">IFERROR(INDEX('Teacher Lookup'!$B$2:$B$200,MATCH(A9730,'Teacher Lookup'!$A$2:$A$200,0)),"")</f>
        <v>MOHAMMAD Thair</v>
      </c>
    </row>
    <row r="9731" customFormat="false" ht="15" hidden="false" customHeight="false" outlineLevel="0" collapsed="false">
      <c r="A9731" s="3" t="s">
        <v>512</v>
      </c>
      <c r="B9731" s="4" t="s">
        <v>65</v>
      </c>
      <c r="C9731" s="4" t="n">
        <v>5</v>
      </c>
      <c r="D9731" s="4" t="s">
        <v>137</v>
      </c>
      <c r="E9731" s="3" t="s">
        <v>185</v>
      </c>
      <c r="F9731" s="4" t="str">
        <f aca="false">IF(I9731&gt;J9731,"Y","N")</f>
        <v>Y</v>
      </c>
      <c r="G9731" s="3" t="s">
        <v>36</v>
      </c>
      <c r="H9731" s="3" t="s">
        <v>37</v>
      </c>
      <c r="I9731" s="4" t="n">
        <v>21</v>
      </c>
      <c r="J9731" s="4" t="n">
        <f aca="false">LEN(E9731)-LEN(SUBSTITUTE(E9731,",",""))+1</f>
        <v>7</v>
      </c>
      <c r="K9731" s="3" t="str">
        <f aca="false">IFERROR(INDEX('Teacher Lookup'!$B$2:$B$200,MATCH(A9731,'Teacher Lookup'!$A$2:$A$200,0)),"")</f>
        <v>MOHAMMAD Thair</v>
      </c>
    </row>
    <row r="9732" customFormat="false" ht="15" hidden="false" customHeight="false" outlineLevel="0" collapsed="false">
      <c r="A9732" s="3" t="s">
        <v>512</v>
      </c>
      <c r="B9732" s="4" t="s">
        <v>65</v>
      </c>
      <c r="C9732" s="4" t="n">
        <v>5</v>
      </c>
      <c r="D9732" s="4" t="s">
        <v>124</v>
      </c>
      <c r="E9732" s="3" t="s">
        <v>185</v>
      </c>
      <c r="F9732" s="4" t="str">
        <f aca="false">IF(I9732&gt;J9732,"Y","N")</f>
        <v>Y</v>
      </c>
      <c r="G9732" s="3" t="s">
        <v>36</v>
      </c>
      <c r="H9732" s="3" t="s">
        <v>37</v>
      </c>
      <c r="I9732" s="4" t="n">
        <v>21</v>
      </c>
      <c r="J9732" s="4" t="n">
        <f aca="false">LEN(E9732)-LEN(SUBSTITUTE(E9732,",",""))+1</f>
        <v>7</v>
      </c>
      <c r="K9732" s="3" t="str">
        <f aca="false">IFERROR(INDEX('Teacher Lookup'!$B$2:$B$200,MATCH(A9732,'Teacher Lookup'!$A$2:$A$200,0)),"")</f>
        <v>MOHAMMAD Thair</v>
      </c>
    </row>
    <row r="9733" customFormat="false" ht="15" hidden="false" customHeight="false" outlineLevel="0" collapsed="false">
      <c r="A9733" s="3" t="s">
        <v>512</v>
      </c>
      <c r="B9733" s="4" t="s">
        <v>65</v>
      </c>
      <c r="C9733" s="4" t="n">
        <v>5</v>
      </c>
      <c r="D9733" s="4" t="s">
        <v>139</v>
      </c>
      <c r="E9733" s="3" t="s">
        <v>185</v>
      </c>
      <c r="F9733" s="4" t="str">
        <f aca="false">IF(I9733&gt;J9733,"Y","N")</f>
        <v>Y</v>
      </c>
      <c r="G9733" s="3" t="s">
        <v>36</v>
      </c>
      <c r="H9733" s="3" t="s">
        <v>37</v>
      </c>
      <c r="I9733" s="4" t="n">
        <v>21</v>
      </c>
      <c r="J9733" s="4" t="n">
        <f aca="false">LEN(E9733)-LEN(SUBSTITUTE(E9733,",",""))+1</f>
        <v>7</v>
      </c>
      <c r="K9733" s="3" t="str">
        <f aca="false">IFERROR(INDEX('Teacher Lookup'!$B$2:$B$200,MATCH(A9733,'Teacher Lookup'!$A$2:$A$200,0)),"")</f>
        <v>MOHAMMAD Thair</v>
      </c>
    </row>
    <row r="9734" customFormat="false" ht="15" hidden="false" customHeight="false" outlineLevel="0" collapsed="false">
      <c r="A9734" s="3" t="s">
        <v>512</v>
      </c>
      <c r="B9734" s="4" t="s">
        <v>65</v>
      </c>
      <c r="C9734" s="4" t="n">
        <v>5</v>
      </c>
      <c r="D9734" s="4" t="s">
        <v>140</v>
      </c>
      <c r="E9734" s="3" t="s">
        <v>185</v>
      </c>
      <c r="F9734" s="4" t="str">
        <f aca="false">IF(I9734&gt;J9734,"Y","N")</f>
        <v>Y</v>
      </c>
      <c r="G9734" s="3" t="s">
        <v>36</v>
      </c>
      <c r="H9734" s="3" t="s">
        <v>37</v>
      </c>
      <c r="I9734" s="4" t="n">
        <v>21</v>
      </c>
      <c r="J9734" s="4" t="n">
        <f aca="false">LEN(E9734)-LEN(SUBSTITUTE(E9734,",",""))+1</f>
        <v>7</v>
      </c>
      <c r="K9734" s="3" t="str">
        <f aca="false">IFERROR(INDEX('Teacher Lookup'!$B$2:$B$200,MATCH(A9734,'Teacher Lookup'!$A$2:$A$200,0)),"")</f>
        <v>MOHAMMAD Thair</v>
      </c>
    </row>
    <row r="9735" customFormat="false" ht="15" hidden="false" customHeight="false" outlineLevel="0" collapsed="false">
      <c r="A9735" s="3" t="s">
        <v>512</v>
      </c>
      <c r="B9735" s="4" t="s">
        <v>65</v>
      </c>
      <c r="C9735" s="4" t="n">
        <v>5</v>
      </c>
      <c r="D9735" s="4" t="s">
        <v>142</v>
      </c>
      <c r="E9735" s="3" t="s">
        <v>185</v>
      </c>
      <c r="F9735" s="4" t="str">
        <f aca="false">IF(I9735&gt;J9735,"Y","N")</f>
        <v>Y</v>
      </c>
      <c r="G9735" s="3" t="s">
        <v>36</v>
      </c>
      <c r="H9735" s="3" t="s">
        <v>37</v>
      </c>
      <c r="I9735" s="4" t="n">
        <v>21</v>
      </c>
      <c r="J9735" s="4" t="n">
        <f aca="false">LEN(E9735)-LEN(SUBSTITUTE(E9735,",",""))+1</f>
        <v>7</v>
      </c>
      <c r="K9735" s="3" t="str">
        <f aca="false">IFERROR(INDEX('Teacher Lookup'!$B$2:$B$200,MATCH(A9735,'Teacher Lookup'!$A$2:$A$200,0)),"")</f>
        <v>MOHAMMAD Thair</v>
      </c>
    </row>
    <row r="9736" customFormat="false" ht="15" hidden="false" customHeight="false" outlineLevel="0" collapsed="false">
      <c r="A9736" s="3" t="s">
        <v>512</v>
      </c>
      <c r="B9736" s="4" t="s">
        <v>65</v>
      </c>
      <c r="C9736" s="4" t="n">
        <v>5</v>
      </c>
      <c r="D9736" s="4" t="s">
        <v>127</v>
      </c>
      <c r="E9736" s="3" t="s">
        <v>185</v>
      </c>
      <c r="F9736" s="4" t="str">
        <f aca="false">IF(I9736&gt;J9736,"Y","N")</f>
        <v>Y</v>
      </c>
      <c r="G9736" s="3" t="s">
        <v>36</v>
      </c>
      <c r="H9736" s="3" t="s">
        <v>37</v>
      </c>
      <c r="I9736" s="4" t="n">
        <v>21</v>
      </c>
      <c r="J9736" s="4" t="n">
        <f aca="false">LEN(E9736)-LEN(SUBSTITUTE(E9736,",",""))+1</f>
        <v>7</v>
      </c>
      <c r="K9736" s="3" t="str">
        <f aca="false">IFERROR(INDEX('Teacher Lookup'!$B$2:$B$200,MATCH(A9736,'Teacher Lookup'!$A$2:$A$200,0)),"")</f>
        <v>MOHAMMAD Thair</v>
      </c>
    </row>
    <row r="9737" customFormat="false" ht="15" hidden="false" customHeight="false" outlineLevel="0" collapsed="false">
      <c r="A9737" s="3" t="s">
        <v>512</v>
      </c>
      <c r="B9737" s="4" t="s">
        <v>65</v>
      </c>
      <c r="C9737" s="4" t="n">
        <v>7</v>
      </c>
      <c r="D9737" s="4" t="s">
        <v>105</v>
      </c>
      <c r="E9737" s="3" t="s">
        <v>267</v>
      </c>
      <c r="F9737" s="4" t="str">
        <f aca="false">IF(I9737&gt;J9737,"Y","N")</f>
        <v>N</v>
      </c>
      <c r="G9737" s="3" t="s">
        <v>164</v>
      </c>
      <c r="H9737" s="3" t="s">
        <v>39</v>
      </c>
      <c r="I9737" s="4" t="n">
        <v>3</v>
      </c>
      <c r="J9737" s="4" t="n">
        <f aca="false">LEN(E9737)-LEN(SUBSTITUTE(E9737,",",""))+1</f>
        <v>3</v>
      </c>
      <c r="K9737" s="3" t="str">
        <f aca="false">IFERROR(INDEX('Teacher Lookup'!$B$2:$B$200,MATCH(A9737,'Teacher Lookup'!$A$2:$A$200,0)),"")</f>
        <v>MOHAMMAD Thair</v>
      </c>
    </row>
    <row r="9738" customFormat="false" ht="15" hidden="false" customHeight="false" outlineLevel="0" collapsed="false">
      <c r="A9738" s="3" t="s">
        <v>512</v>
      </c>
      <c r="B9738" s="4" t="s">
        <v>65</v>
      </c>
      <c r="C9738" s="4" t="n">
        <v>7</v>
      </c>
      <c r="D9738" s="4" t="s">
        <v>106</v>
      </c>
      <c r="E9738" s="3" t="s">
        <v>267</v>
      </c>
      <c r="F9738" s="4" t="str">
        <f aca="false">IF(I9738&gt;J9738,"Y","N")</f>
        <v>N</v>
      </c>
      <c r="G9738" s="3" t="s">
        <v>164</v>
      </c>
      <c r="H9738" s="3" t="s">
        <v>39</v>
      </c>
      <c r="I9738" s="4" t="n">
        <v>3</v>
      </c>
      <c r="J9738" s="4" t="n">
        <f aca="false">LEN(E9738)-LEN(SUBSTITUTE(E9738,",",""))+1</f>
        <v>3</v>
      </c>
      <c r="K9738" s="3" t="str">
        <f aca="false">IFERROR(INDEX('Teacher Lookup'!$B$2:$B$200,MATCH(A9738,'Teacher Lookup'!$A$2:$A$200,0)),"")</f>
        <v>MOHAMMAD Thair</v>
      </c>
    </row>
    <row r="9739" customFormat="false" ht="15" hidden="false" customHeight="false" outlineLevel="0" collapsed="false">
      <c r="A9739" s="3" t="s">
        <v>512</v>
      </c>
      <c r="B9739" s="4" t="s">
        <v>66</v>
      </c>
      <c r="C9739" s="4" t="n">
        <v>4</v>
      </c>
      <c r="D9739" s="4" t="s">
        <v>105</v>
      </c>
      <c r="E9739" s="3" t="s">
        <v>257</v>
      </c>
      <c r="F9739" s="4" t="str">
        <f aca="false">IF(I9739&gt;J9739,"Y","N")</f>
        <v>N</v>
      </c>
      <c r="G9739" s="3" t="s">
        <v>164</v>
      </c>
      <c r="H9739" s="3" t="s">
        <v>34</v>
      </c>
      <c r="I9739" s="4" t="n">
        <v>3</v>
      </c>
      <c r="J9739" s="4" t="n">
        <f aca="false">LEN(E9739)-LEN(SUBSTITUTE(E9739,",",""))+1</f>
        <v>3</v>
      </c>
      <c r="K9739" s="3" t="str">
        <f aca="false">IFERROR(INDEX('Teacher Lookup'!$B$2:$B$200,MATCH(A9739,'Teacher Lookup'!$A$2:$A$200,0)),"")</f>
        <v>MOHAMMAD Thair</v>
      </c>
    </row>
    <row r="9740" customFormat="false" ht="15" hidden="false" customHeight="false" outlineLevel="0" collapsed="false">
      <c r="A9740" s="3" t="s">
        <v>512</v>
      </c>
      <c r="B9740" s="4" t="s">
        <v>66</v>
      </c>
      <c r="C9740" s="4" t="n">
        <v>4</v>
      </c>
      <c r="D9740" s="4" t="s">
        <v>106</v>
      </c>
      <c r="E9740" s="3" t="s">
        <v>257</v>
      </c>
      <c r="F9740" s="4" t="str">
        <f aca="false">IF(I9740&gt;J9740,"Y","N")</f>
        <v>N</v>
      </c>
      <c r="G9740" s="3" t="s">
        <v>164</v>
      </c>
      <c r="H9740" s="3" t="s">
        <v>34</v>
      </c>
      <c r="I9740" s="4" t="n">
        <v>3</v>
      </c>
      <c r="J9740" s="4" t="n">
        <f aca="false">LEN(E9740)-LEN(SUBSTITUTE(E9740,",",""))+1</f>
        <v>3</v>
      </c>
      <c r="K9740" s="3" t="str">
        <f aca="false">IFERROR(INDEX('Teacher Lookup'!$B$2:$B$200,MATCH(A9740,'Teacher Lookup'!$A$2:$A$200,0)),"")</f>
        <v>MOHAMMAD Thair</v>
      </c>
    </row>
    <row r="9741" customFormat="false" ht="15" hidden="false" customHeight="false" outlineLevel="0" collapsed="false">
      <c r="A9741" s="3" t="s">
        <v>512</v>
      </c>
      <c r="B9741" s="4" t="s">
        <v>66</v>
      </c>
      <c r="C9741" s="4" t="n">
        <v>5</v>
      </c>
      <c r="D9741" s="4" t="s">
        <v>28</v>
      </c>
      <c r="E9741" s="3" t="s">
        <v>412</v>
      </c>
      <c r="F9741" s="4" t="str">
        <f aca="false">IF(I9741&gt;J9741,"Y","N")</f>
        <v>N</v>
      </c>
      <c r="G9741" s="3" t="s">
        <v>164</v>
      </c>
      <c r="H9741" s="3" t="s">
        <v>37</v>
      </c>
      <c r="I9741" s="4" t="n">
        <v>4</v>
      </c>
      <c r="J9741" s="4" t="n">
        <f aca="false">LEN(E9741)-LEN(SUBSTITUTE(E9741,",",""))+1</f>
        <v>4</v>
      </c>
      <c r="K9741" s="3" t="str">
        <f aca="false">IFERROR(INDEX('Teacher Lookup'!$B$2:$B$200,MATCH(A9741,'Teacher Lookup'!$A$2:$A$200,0)),"")</f>
        <v>MOHAMMAD Thair</v>
      </c>
    </row>
    <row r="9742" customFormat="false" ht="15" hidden="false" customHeight="false" outlineLevel="0" collapsed="false">
      <c r="A9742" s="3" t="s">
        <v>512</v>
      </c>
      <c r="B9742" s="4" t="s">
        <v>66</v>
      </c>
      <c r="C9742" s="4" t="n">
        <v>5</v>
      </c>
      <c r="D9742" s="4" t="s">
        <v>29</v>
      </c>
      <c r="E9742" s="3" t="s">
        <v>412</v>
      </c>
      <c r="F9742" s="4" t="str">
        <f aca="false">IF(I9742&gt;J9742,"Y","N")</f>
        <v>N</v>
      </c>
      <c r="G9742" s="3" t="s">
        <v>164</v>
      </c>
      <c r="H9742" s="3" t="s">
        <v>37</v>
      </c>
      <c r="I9742" s="4" t="n">
        <v>4</v>
      </c>
      <c r="J9742" s="4" t="n">
        <f aca="false">LEN(E9742)-LEN(SUBSTITUTE(E9742,",",""))+1</f>
        <v>4</v>
      </c>
      <c r="K9742" s="3" t="str">
        <f aca="false">IFERROR(INDEX('Teacher Lookup'!$B$2:$B$200,MATCH(A9742,'Teacher Lookup'!$A$2:$A$200,0)),"")</f>
        <v>MOHAMMAD Thair</v>
      </c>
    </row>
    <row r="9743" customFormat="false" ht="15" hidden="false" customHeight="false" outlineLevel="0" collapsed="false">
      <c r="A9743" s="3" t="s">
        <v>512</v>
      </c>
      <c r="B9743" s="4" t="s">
        <v>66</v>
      </c>
      <c r="C9743" s="4" t="n">
        <v>5</v>
      </c>
      <c r="D9743" s="4" t="s">
        <v>30</v>
      </c>
      <c r="E9743" s="3" t="s">
        <v>412</v>
      </c>
      <c r="F9743" s="4" t="str">
        <f aca="false">IF(I9743&gt;J9743,"Y","N")</f>
        <v>N</v>
      </c>
      <c r="G9743" s="3" t="s">
        <v>164</v>
      </c>
      <c r="H9743" s="3" t="s">
        <v>37</v>
      </c>
      <c r="I9743" s="4" t="n">
        <v>4</v>
      </c>
      <c r="J9743" s="4" t="n">
        <f aca="false">LEN(E9743)-LEN(SUBSTITUTE(E9743,",",""))+1</f>
        <v>4</v>
      </c>
      <c r="K9743" s="3" t="str">
        <f aca="false">IFERROR(INDEX('Teacher Lookup'!$B$2:$B$200,MATCH(A9743,'Teacher Lookup'!$A$2:$A$200,0)),"")</f>
        <v>MOHAMMAD Thair</v>
      </c>
    </row>
    <row r="9744" customFormat="false" ht="15" hidden="false" customHeight="false" outlineLevel="0" collapsed="false">
      <c r="A9744" s="3" t="s">
        <v>513</v>
      </c>
      <c r="B9744" s="4" t="s">
        <v>12</v>
      </c>
      <c r="C9744" s="4" t="n">
        <v>1</v>
      </c>
      <c r="D9744" s="4" t="s">
        <v>132</v>
      </c>
      <c r="E9744" s="3" t="s">
        <v>191</v>
      </c>
      <c r="F9744" s="4" t="str">
        <f aca="false">IF(I9744&gt;J9744,"Y","N")</f>
        <v>N</v>
      </c>
      <c r="G9744" s="3" t="s">
        <v>192</v>
      </c>
      <c r="H9744" s="3" t="s">
        <v>16</v>
      </c>
      <c r="I9744" s="4" t="n">
        <v>2</v>
      </c>
      <c r="J9744" s="4" t="n">
        <f aca="false">LEN(E9744)-LEN(SUBSTITUTE(E9744,",",""))+1</f>
        <v>2</v>
      </c>
      <c r="K9744" s="3" t="str">
        <f aca="false">IFERROR(INDEX('Teacher Lookup'!$B$2:$B$200,MATCH(A9744,'Teacher Lookup'!$A$2:$A$200,0)),"")</f>
        <v>NANTIYAKUL Teerawat</v>
      </c>
    </row>
    <row r="9745" customFormat="false" ht="15" hidden="false" customHeight="false" outlineLevel="0" collapsed="false">
      <c r="A9745" s="3" t="s">
        <v>513</v>
      </c>
      <c r="B9745" s="4" t="s">
        <v>12</v>
      </c>
      <c r="C9745" s="4" t="n">
        <v>6</v>
      </c>
      <c r="D9745" s="4" t="s">
        <v>19</v>
      </c>
      <c r="E9745" s="3" t="s">
        <v>133</v>
      </c>
      <c r="F9745" s="4" t="str">
        <f aca="false">IF(I9745&gt;J9745,"Y","N")</f>
        <v>N</v>
      </c>
      <c r="G9745" s="3" t="s">
        <v>126</v>
      </c>
      <c r="H9745" s="3" t="s">
        <v>42</v>
      </c>
      <c r="I9745" s="4" t="n">
        <v>1</v>
      </c>
      <c r="J9745" s="4" t="n">
        <f aca="false">LEN(E9745)-LEN(SUBSTITUTE(E9745,",",""))+1</f>
        <v>1</v>
      </c>
      <c r="K9745" s="3" t="str">
        <f aca="false">IFERROR(INDEX('Teacher Lookup'!$B$2:$B$200,MATCH(A9745,'Teacher Lookup'!$A$2:$A$200,0)),"")</f>
        <v>NANTIYAKUL Teerawat</v>
      </c>
    </row>
    <row r="9746" customFormat="false" ht="15" hidden="false" customHeight="false" outlineLevel="0" collapsed="false">
      <c r="A9746" s="3" t="s">
        <v>513</v>
      </c>
      <c r="B9746" s="4" t="s">
        <v>12</v>
      </c>
      <c r="C9746" s="4" t="n">
        <v>7</v>
      </c>
      <c r="D9746" s="4" t="s">
        <v>13</v>
      </c>
      <c r="E9746" s="3" t="s">
        <v>133</v>
      </c>
      <c r="F9746" s="4" t="str">
        <f aca="false">IF(I9746&gt;J9746,"Y","N")</f>
        <v>N</v>
      </c>
      <c r="G9746" s="3" t="s">
        <v>126</v>
      </c>
      <c r="H9746" s="3" t="s">
        <v>39</v>
      </c>
      <c r="I9746" s="4" t="n">
        <v>1</v>
      </c>
      <c r="J9746" s="4" t="n">
        <f aca="false">LEN(E9746)-LEN(SUBSTITUTE(E9746,",",""))+1</f>
        <v>1</v>
      </c>
      <c r="K9746" s="3" t="str">
        <f aca="false">IFERROR(INDEX('Teacher Lookup'!$B$2:$B$200,MATCH(A9746,'Teacher Lookup'!$A$2:$A$200,0)),"")</f>
        <v>NANTIYAKUL Teerawat</v>
      </c>
    </row>
    <row r="9747" customFormat="false" ht="15" hidden="false" customHeight="false" outlineLevel="0" collapsed="false">
      <c r="A9747" s="3" t="s">
        <v>513</v>
      </c>
      <c r="B9747" s="4" t="s">
        <v>31</v>
      </c>
      <c r="C9747" s="4" t="n">
        <v>2</v>
      </c>
      <c r="D9747" s="4" t="s">
        <v>132</v>
      </c>
      <c r="E9747" s="3" t="s">
        <v>196</v>
      </c>
      <c r="F9747" s="4" t="str">
        <f aca="false">IF(I9747&gt;J9747,"Y","N")</f>
        <v>N</v>
      </c>
      <c r="G9747" s="3" t="s">
        <v>192</v>
      </c>
      <c r="H9747" s="3" t="s">
        <v>21</v>
      </c>
      <c r="I9747" s="4" t="n">
        <v>2</v>
      </c>
      <c r="J9747" s="4" t="n">
        <f aca="false">LEN(E9747)-LEN(SUBSTITUTE(E9747,",",""))+1</f>
        <v>2</v>
      </c>
      <c r="K9747" s="3" t="str">
        <f aca="false">IFERROR(INDEX('Teacher Lookup'!$B$2:$B$200,MATCH(A9747,'Teacher Lookup'!$A$2:$A$200,0)),"")</f>
        <v>NANTIYAKUL Teerawat</v>
      </c>
    </row>
    <row r="9748" customFormat="false" ht="15" hidden="false" customHeight="false" outlineLevel="0" collapsed="false">
      <c r="A9748" s="3" t="s">
        <v>513</v>
      </c>
      <c r="B9748" s="4" t="s">
        <v>31</v>
      </c>
      <c r="C9748" s="4" t="n">
        <v>4</v>
      </c>
      <c r="D9748" s="4" t="s">
        <v>13</v>
      </c>
      <c r="E9748" s="3" t="s">
        <v>125</v>
      </c>
      <c r="F9748" s="4" t="str">
        <f aca="false">IF(I9748&gt;J9748,"Y","N")</f>
        <v>N</v>
      </c>
      <c r="G9748" s="3" t="s">
        <v>126</v>
      </c>
      <c r="H9748" s="3" t="s">
        <v>34</v>
      </c>
      <c r="I9748" s="4" t="n">
        <v>1</v>
      </c>
      <c r="J9748" s="4" t="n">
        <f aca="false">LEN(E9748)-LEN(SUBSTITUTE(E9748,",",""))+1</f>
        <v>1</v>
      </c>
      <c r="K9748" s="3" t="str">
        <f aca="false">IFERROR(INDEX('Teacher Lookup'!$B$2:$B$200,MATCH(A9748,'Teacher Lookup'!$A$2:$A$200,0)),"")</f>
        <v>NANTIYAKUL Teerawat</v>
      </c>
    </row>
    <row r="9749" customFormat="false" ht="15" hidden="false" customHeight="false" outlineLevel="0" collapsed="false">
      <c r="A9749" s="3" t="s">
        <v>513</v>
      </c>
      <c r="B9749" s="4" t="s">
        <v>31</v>
      </c>
      <c r="C9749" s="4" t="n">
        <v>5</v>
      </c>
      <c r="D9749" s="4" t="s">
        <v>24</v>
      </c>
      <c r="E9749" s="3" t="s">
        <v>131</v>
      </c>
      <c r="F9749" s="4" t="str">
        <f aca="false">IF(I9749&gt;J9749,"Y","N")</f>
        <v>Y</v>
      </c>
      <c r="G9749" s="3" t="s">
        <v>36</v>
      </c>
      <c r="H9749" s="3" t="s">
        <v>37</v>
      </c>
      <c r="I9749" s="4" t="n">
        <v>15</v>
      </c>
      <c r="J9749" s="4" t="n">
        <f aca="false">LEN(E9749)-LEN(SUBSTITUTE(E9749,",",""))+1</f>
        <v>7</v>
      </c>
      <c r="K9749" s="3" t="str">
        <f aca="false">IFERROR(INDEX('Teacher Lookup'!$B$2:$B$200,MATCH(A9749,'Teacher Lookup'!$A$2:$A$200,0)),"")</f>
        <v>NANTIYAKUL Teerawat</v>
      </c>
    </row>
    <row r="9750" customFormat="false" ht="15" hidden="false" customHeight="false" outlineLevel="0" collapsed="false">
      <c r="A9750" s="3" t="s">
        <v>513</v>
      </c>
      <c r="B9750" s="4" t="s">
        <v>31</v>
      </c>
      <c r="C9750" s="4" t="n">
        <v>5</v>
      </c>
      <c r="D9750" s="4" t="s">
        <v>132</v>
      </c>
      <c r="E9750" s="3" t="s">
        <v>131</v>
      </c>
      <c r="F9750" s="4" t="str">
        <f aca="false">IF(I9750&gt;J9750,"Y","N")</f>
        <v>Y</v>
      </c>
      <c r="G9750" s="3" t="s">
        <v>36</v>
      </c>
      <c r="H9750" s="3" t="s">
        <v>37</v>
      </c>
      <c r="I9750" s="4" t="n">
        <v>15</v>
      </c>
      <c r="J9750" s="4" t="n">
        <f aca="false">LEN(E9750)-LEN(SUBSTITUTE(E9750,",",""))+1</f>
        <v>7</v>
      </c>
      <c r="K9750" s="3" t="str">
        <f aca="false">IFERROR(INDEX('Teacher Lookup'!$B$2:$B$200,MATCH(A9750,'Teacher Lookup'!$A$2:$A$200,0)),"")</f>
        <v>NANTIYAKUL Teerawat</v>
      </c>
    </row>
    <row r="9751" customFormat="false" ht="15" hidden="false" customHeight="false" outlineLevel="0" collapsed="false">
      <c r="A9751" s="3" t="s">
        <v>513</v>
      </c>
      <c r="B9751" s="4" t="s">
        <v>31</v>
      </c>
      <c r="C9751" s="4" t="n">
        <v>5</v>
      </c>
      <c r="D9751" s="4" t="s">
        <v>27</v>
      </c>
      <c r="E9751" s="3" t="s">
        <v>131</v>
      </c>
      <c r="F9751" s="4" t="str">
        <f aca="false">IF(I9751&gt;J9751,"Y","N")</f>
        <v>Y</v>
      </c>
      <c r="G9751" s="3" t="s">
        <v>36</v>
      </c>
      <c r="H9751" s="3" t="s">
        <v>37</v>
      </c>
      <c r="I9751" s="4" t="n">
        <v>15</v>
      </c>
      <c r="J9751" s="4" t="n">
        <f aca="false">LEN(E9751)-LEN(SUBSTITUTE(E9751,",",""))+1</f>
        <v>7</v>
      </c>
      <c r="K9751" s="3" t="str">
        <f aca="false">IFERROR(INDEX('Teacher Lookup'!$B$2:$B$200,MATCH(A9751,'Teacher Lookup'!$A$2:$A$200,0)),"")</f>
        <v>NANTIYAKUL Teerawat</v>
      </c>
    </row>
    <row r="9752" customFormat="false" ht="15" hidden="false" customHeight="false" outlineLevel="0" collapsed="false">
      <c r="A9752" s="3" t="s">
        <v>513</v>
      </c>
      <c r="B9752" s="4" t="s">
        <v>31</v>
      </c>
      <c r="C9752" s="4" t="n">
        <v>5</v>
      </c>
      <c r="D9752" s="4" t="s">
        <v>28</v>
      </c>
      <c r="E9752" s="3" t="s">
        <v>131</v>
      </c>
      <c r="F9752" s="4" t="str">
        <f aca="false">IF(I9752&gt;J9752,"Y","N")</f>
        <v>Y</v>
      </c>
      <c r="G9752" s="3" t="s">
        <v>36</v>
      </c>
      <c r="H9752" s="3" t="s">
        <v>37</v>
      </c>
      <c r="I9752" s="4" t="n">
        <v>15</v>
      </c>
      <c r="J9752" s="4" t="n">
        <f aca="false">LEN(E9752)-LEN(SUBSTITUTE(E9752,",",""))+1</f>
        <v>7</v>
      </c>
      <c r="K9752" s="3" t="str">
        <f aca="false">IFERROR(INDEX('Teacher Lookup'!$B$2:$B$200,MATCH(A9752,'Teacher Lookup'!$A$2:$A$200,0)),"")</f>
        <v>NANTIYAKUL Teerawat</v>
      </c>
    </row>
    <row r="9753" customFormat="false" ht="15" hidden="false" customHeight="false" outlineLevel="0" collapsed="false">
      <c r="A9753" s="3" t="s">
        <v>513</v>
      </c>
      <c r="B9753" s="4" t="s">
        <v>31</v>
      </c>
      <c r="C9753" s="4" t="n">
        <v>5</v>
      </c>
      <c r="D9753" s="4" t="s">
        <v>29</v>
      </c>
      <c r="E9753" s="3" t="s">
        <v>131</v>
      </c>
      <c r="F9753" s="4" t="str">
        <f aca="false">IF(I9753&gt;J9753,"Y","N")</f>
        <v>Y</v>
      </c>
      <c r="G9753" s="3" t="s">
        <v>36</v>
      </c>
      <c r="H9753" s="3" t="s">
        <v>37</v>
      </c>
      <c r="I9753" s="4" t="n">
        <v>15</v>
      </c>
      <c r="J9753" s="4" t="n">
        <f aca="false">LEN(E9753)-LEN(SUBSTITUTE(E9753,",",""))+1</f>
        <v>7</v>
      </c>
      <c r="K9753" s="3" t="str">
        <f aca="false">IFERROR(INDEX('Teacher Lookup'!$B$2:$B$200,MATCH(A9753,'Teacher Lookup'!$A$2:$A$200,0)),"")</f>
        <v>NANTIYAKUL Teerawat</v>
      </c>
    </row>
    <row r="9754" customFormat="false" ht="15" hidden="false" customHeight="false" outlineLevel="0" collapsed="false">
      <c r="A9754" s="3" t="s">
        <v>513</v>
      </c>
      <c r="B9754" s="4" t="s">
        <v>31</v>
      </c>
      <c r="C9754" s="4" t="n">
        <v>5</v>
      </c>
      <c r="D9754" s="4" t="s">
        <v>30</v>
      </c>
      <c r="E9754" s="3" t="s">
        <v>131</v>
      </c>
      <c r="F9754" s="4" t="str">
        <f aca="false">IF(I9754&gt;J9754,"Y","N")</f>
        <v>Y</v>
      </c>
      <c r="G9754" s="3" t="s">
        <v>36</v>
      </c>
      <c r="H9754" s="3" t="s">
        <v>37</v>
      </c>
      <c r="I9754" s="4" t="n">
        <v>15</v>
      </c>
      <c r="J9754" s="4" t="n">
        <f aca="false">LEN(E9754)-LEN(SUBSTITUTE(E9754,",",""))+1</f>
        <v>7</v>
      </c>
      <c r="K9754" s="3" t="str">
        <f aca="false">IFERROR(INDEX('Teacher Lookup'!$B$2:$B$200,MATCH(A9754,'Teacher Lookup'!$A$2:$A$200,0)),"")</f>
        <v>NANTIYAKUL Teerawat</v>
      </c>
    </row>
    <row r="9755" customFormat="false" ht="15" hidden="false" customHeight="false" outlineLevel="0" collapsed="false">
      <c r="A9755" s="3" t="s">
        <v>513</v>
      </c>
      <c r="B9755" s="4" t="s">
        <v>31</v>
      </c>
      <c r="C9755" s="4" t="n">
        <v>7</v>
      </c>
      <c r="D9755" s="4" t="s">
        <v>19</v>
      </c>
      <c r="E9755" s="3" t="s">
        <v>134</v>
      </c>
      <c r="F9755" s="4" t="str">
        <f aca="false">IF(I9755&gt;J9755,"Y","N")</f>
        <v>N</v>
      </c>
      <c r="G9755" s="3" t="s">
        <v>126</v>
      </c>
      <c r="H9755" s="3" t="s">
        <v>39</v>
      </c>
      <c r="I9755" s="4" t="n">
        <v>1</v>
      </c>
      <c r="J9755" s="4" t="n">
        <f aca="false">LEN(E9755)-LEN(SUBSTITUTE(E9755,",",""))+1</f>
        <v>1</v>
      </c>
      <c r="K9755" s="3" t="str">
        <f aca="false">IFERROR(INDEX('Teacher Lookup'!$B$2:$B$200,MATCH(A9755,'Teacher Lookup'!$A$2:$A$200,0)),"")</f>
        <v>NANTIYAKUL Teerawat</v>
      </c>
    </row>
    <row r="9756" customFormat="false" ht="15" hidden="false" customHeight="false" outlineLevel="0" collapsed="false">
      <c r="A9756" s="3" t="s">
        <v>513</v>
      </c>
      <c r="B9756" s="4" t="s">
        <v>40</v>
      </c>
      <c r="C9756" s="4" t="n">
        <v>1</v>
      </c>
      <c r="D9756" s="4" t="s">
        <v>132</v>
      </c>
      <c r="E9756" s="3" t="s">
        <v>196</v>
      </c>
      <c r="F9756" s="4" t="str">
        <f aca="false">IF(I9756&gt;J9756,"Y","N")</f>
        <v>N</v>
      </c>
      <c r="G9756" s="3" t="s">
        <v>192</v>
      </c>
      <c r="H9756" s="3" t="s">
        <v>16</v>
      </c>
      <c r="I9756" s="4" t="n">
        <v>2</v>
      </c>
      <c r="J9756" s="4" t="n">
        <f aca="false">LEN(E9756)-LEN(SUBSTITUTE(E9756,",",""))+1</f>
        <v>2</v>
      </c>
      <c r="K9756" s="3" t="str">
        <f aca="false">IFERROR(INDEX('Teacher Lookup'!$B$2:$B$200,MATCH(A9756,'Teacher Lookup'!$A$2:$A$200,0)),"")</f>
        <v>NANTIYAKUL Teerawat</v>
      </c>
    </row>
    <row r="9757" customFormat="false" ht="15" hidden="false" customHeight="false" outlineLevel="0" collapsed="false">
      <c r="A9757" s="3" t="s">
        <v>513</v>
      </c>
      <c r="B9757" s="4" t="s">
        <v>40</v>
      </c>
      <c r="C9757" s="4" t="n">
        <v>2</v>
      </c>
      <c r="D9757" s="4" t="s">
        <v>132</v>
      </c>
      <c r="E9757" s="3" t="s">
        <v>196</v>
      </c>
      <c r="F9757" s="4" t="str">
        <f aca="false">IF(I9757&gt;J9757,"Y","N")</f>
        <v>N</v>
      </c>
      <c r="G9757" s="3" t="s">
        <v>192</v>
      </c>
      <c r="H9757" s="3" t="s">
        <v>21</v>
      </c>
      <c r="I9757" s="4" t="n">
        <v>2</v>
      </c>
      <c r="J9757" s="4" t="n">
        <f aca="false">LEN(E9757)-LEN(SUBSTITUTE(E9757,",",""))+1</f>
        <v>2</v>
      </c>
      <c r="K9757" s="3" t="str">
        <f aca="false">IFERROR(INDEX('Teacher Lookup'!$B$2:$B$200,MATCH(A9757,'Teacher Lookup'!$A$2:$A$200,0)),"")</f>
        <v>NANTIYAKUL Teerawat</v>
      </c>
    </row>
    <row r="9758" customFormat="false" ht="15" hidden="false" customHeight="false" outlineLevel="0" collapsed="false">
      <c r="A9758" s="3" t="s">
        <v>513</v>
      </c>
      <c r="B9758" s="4" t="s">
        <v>40</v>
      </c>
      <c r="C9758" s="4" t="n">
        <v>3</v>
      </c>
      <c r="D9758" s="4" t="s">
        <v>19</v>
      </c>
      <c r="E9758" s="3" t="s">
        <v>125</v>
      </c>
      <c r="F9758" s="4" t="str">
        <f aca="false">IF(I9758&gt;J9758,"Y","N")</f>
        <v>N</v>
      </c>
      <c r="G9758" s="3" t="s">
        <v>126</v>
      </c>
      <c r="H9758" s="3" t="s">
        <v>26</v>
      </c>
      <c r="I9758" s="4" t="n">
        <v>1</v>
      </c>
      <c r="J9758" s="4" t="n">
        <f aca="false">LEN(E9758)-LEN(SUBSTITUTE(E9758,",",""))+1</f>
        <v>1</v>
      </c>
      <c r="K9758" s="3" t="str">
        <f aca="false">IFERROR(INDEX('Teacher Lookup'!$B$2:$B$200,MATCH(A9758,'Teacher Lookup'!$A$2:$A$200,0)),"")</f>
        <v>NANTIYAKUL Teerawat</v>
      </c>
    </row>
    <row r="9759" customFormat="false" ht="15" hidden="false" customHeight="false" outlineLevel="0" collapsed="false">
      <c r="A9759" s="3" t="s">
        <v>513</v>
      </c>
      <c r="B9759" s="4" t="s">
        <v>40</v>
      </c>
      <c r="C9759" s="4" t="n">
        <v>6</v>
      </c>
      <c r="D9759" s="4" t="s">
        <v>13</v>
      </c>
      <c r="E9759" s="3" t="s">
        <v>351</v>
      </c>
      <c r="F9759" s="4" t="str">
        <f aca="false">IF(I9759&gt;J9759,"Y","N")</f>
        <v>N</v>
      </c>
      <c r="G9759" s="3" t="s">
        <v>126</v>
      </c>
      <c r="H9759" s="3" t="s">
        <v>42</v>
      </c>
      <c r="I9759" s="4" t="n">
        <v>1</v>
      </c>
      <c r="J9759" s="4" t="n">
        <f aca="false">LEN(E9759)-LEN(SUBSTITUTE(E9759,",",""))+1</f>
        <v>1</v>
      </c>
      <c r="K9759" s="3" t="str">
        <f aca="false">IFERROR(INDEX('Teacher Lookup'!$B$2:$B$200,MATCH(A9759,'Teacher Lookup'!$A$2:$A$200,0)),"")</f>
        <v>NANTIYAKUL Teerawat</v>
      </c>
    </row>
    <row r="9760" customFormat="false" ht="15" hidden="false" customHeight="false" outlineLevel="0" collapsed="false">
      <c r="A9760" s="3" t="s">
        <v>513</v>
      </c>
      <c r="B9760" s="4" t="s">
        <v>40</v>
      </c>
      <c r="C9760" s="4" t="n">
        <v>7</v>
      </c>
      <c r="D9760" s="4" t="s">
        <v>79</v>
      </c>
      <c r="E9760" s="3" t="s">
        <v>125</v>
      </c>
      <c r="F9760" s="4" t="str">
        <f aca="false">IF(I9760&gt;J9760,"Y","N")</f>
        <v>N</v>
      </c>
      <c r="G9760" s="3" t="s">
        <v>130</v>
      </c>
      <c r="H9760" s="3" t="s">
        <v>39</v>
      </c>
      <c r="I9760" s="4" t="n">
        <v>1</v>
      </c>
      <c r="J9760" s="4" t="n">
        <f aca="false">LEN(E9760)-LEN(SUBSTITUTE(E9760,",",""))+1</f>
        <v>1</v>
      </c>
      <c r="K9760" s="3" t="str">
        <f aca="false">IFERROR(INDEX('Teacher Lookup'!$B$2:$B$200,MATCH(A9760,'Teacher Lookup'!$A$2:$A$200,0)),"")</f>
        <v>NANTIYAKUL Teerawat</v>
      </c>
    </row>
    <row r="9761" customFormat="false" ht="15" hidden="false" customHeight="false" outlineLevel="0" collapsed="false">
      <c r="A9761" s="3" t="s">
        <v>513</v>
      </c>
      <c r="B9761" s="4" t="s">
        <v>44</v>
      </c>
      <c r="C9761" s="4" t="n">
        <v>2</v>
      </c>
      <c r="D9761" s="4" t="s">
        <v>132</v>
      </c>
      <c r="E9761" s="3" t="s">
        <v>196</v>
      </c>
      <c r="F9761" s="4" t="str">
        <f aca="false">IF(I9761&gt;J9761,"Y","N")</f>
        <v>N</v>
      </c>
      <c r="G9761" s="3" t="s">
        <v>192</v>
      </c>
      <c r="H9761" s="3" t="s">
        <v>21</v>
      </c>
      <c r="I9761" s="4" t="n">
        <v>2</v>
      </c>
      <c r="J9761" s="4" t="n">
        <f aca="false">LEN(E9761)-LEN(SUBSTITUTE(E9761,",",""))+1</f>
        <v>2</v>
      </c>
      <c r="K9761" s="3" t="str">
        <f aca="false">IFERROR(INDEX('Teacher Lookup'!$B$2:$B$200,MATCH(A9761,'Teacher Lookup'!$A$2:$A$200,0)),"")</f>
        <v>NANTIYAKUL Teerawat</v>
      </c>
    </row>
    <row r="9762" customFormat="false" ht="15" hidden="false" customHeight="false" outlineLevel="0" collapsed="false">
      <c r="A9762" s="3" t="s">
        <v>513</v>
      </c>
      <c r="B9762" s="4" t="s">
        <v>44</v>
      </c>
      <c r="C9762" s="4" t="n">
        <v>3</v>
      </c>
      <c r="D9762" s="4" t="s">
        <v>13</v>
      </c>
      <c r="E9762" s="3" t="s">
        <v>125</v>
      </c>
      <c r="F9762" s="4" t="str">
        <f aca="false">IF(I9762&gt;J9762,"Y","N")</f>
        <v>N</v>
      </c>
      <c r="G9762" s="3" t="s">
        <v>126</v>
      </c>
      <c r="H9762" s="3" t="s">
        <v>26</v>
      </c>
      <c r="I9762" s="4" t="n">
        <v>1</v>
      </c>
      <c r="J9762" s="4" t="n">
        <f aca="false">LEN(E9762)-LEN(SUBSTITUTE(E9762,",",""))+1</f>
        <v>1</v>
      </c>
      <c r="K9762" s="3" t="str">
        <f aca="false">IFERROR(INDEX('Teacher Lookup'!$B$2:$B$200,MATCH(A9762,'Teacher Lookup'!$A$2:$A$200,0)),"")</f>
        <v>NANTIYAKUL Teerawat</v>
      </c>
    </row>
    <row r="9763" customFormat="false" ht="15" hidden="false" customHeight="false" outlineLevel="0" collapsed="false">
      <c r="A9763" s="3" t="s">
        <v>513</v>
      </c>
      <c r="B9763" s="4" t="s">
        <v>44</v>
      </c>
      <c r="C9763" s="4" t="n">
        <v>5</v>
      </c>
      <c r="D9763" s="4" t="s">
        <v>24</v>
      </c>
      <c r="E9763" s="3" t="s">
        <v>131</v>
      </c>
      <c r="F9763" s="4" t="str">
        <f aca="false">IF(I9763&gt;J9763,"Y","N")</f>
        <v>Y</v>
      </c>
      <c r="G9763" s="3" t="s">
        <v>36</v>
      </c>
      <c r="H9763" s="3" t="s">
        <v>37</v>
      </c>
      <c r="I9763" s="4" t="n">
        <v>15</v>
      </c>
      <c r="J9763" s="4" t="n">
        <f aca="false">LEN(E9763)-LEN(SUBSTITUTE(E9763,",",""))+1</f>
        <v>7</v>
      </c>
      <c r="K9763" s="3" t="str">
        <f aca="false">IFERROR(INDEX('Teacher Lookup'!$B$2:$B$200,MATCH(A9763,'Teacher Lookup'!$A$2:$A$200,0)),"")</f>
        <v>NANTIYAKUL Teerawat</v>
      </c>
    </row>
    <row r="9764" customFormat="false" ht="15" hidden="false" customHeight="false" outlineLevel="0" collapsed="false">
      <c r="A9764" s="3" t="s">
        <v>513</v>
      </c>
      <c r="B9764" s="4" t="s">
        <v>44</v>
      </c>
      <c r="C9764" s="4" t="n">
        <v>5</v>
      </c>
      <c r="D9764" s="4" t="s">
        <v>132</v>
      </c>
      <c r="E9764" s="3" t="s">
        <v>131</v>
      </c>
      <c r="F9764" s="4" t="str">
        <f aca="false">IF(I9764&gt;J9764,"Y","N")</f>
        <v>Y</v>
      </c>
      <c r="G9764" s="3" t="s">
        <v>36</v>
      </c>
      <c r="H9764" s="3" t="s">
        <v>37</v>
      </c>
      <c r="I9764" s="4" t="n">
        <v>15</v>
      </c>
      <c r="J9764" s="4" t="n">
        <f aca="false">LEN(E9764)-LEN(SUBSTITUTE(E9764,",",""))+1</f>
        <v>7</v>
      </c>
      <c r="K9764" s="3" t="str">
        <f aca="false">IFERROR(INDEX('Teacher Lookup'!$B$2:$B$200,MATCH(A9764,'Teacher Lookup'!$A$2:$A$200,0)),"")</f>
        <v>NANTIYAKUL Teerawat</v>
      </c>
    </row>
    <row r="9765" customFormat="false" ht="15" hidden="false" customHeight="false" outlineLevel="0" collapsed="false">
      <c r="A9765" s="3" t="s">
        <v>513</v>
      </c>
      <c r="B9765" s="4" t="s">
        <v>44</v>
      </c>
      <c r="C9765" s="4" t="n">
        <v>5</v>
      </c>
      <c r="D9765" s="4" t="s">
        <v>27</v>
      </c>
      <c r="E9765" s="3" t="s">
        <v>131</v>
      </c>
      <c r="F9765" s="4" t="str">
        <f aca="false">IF(I9765&gt;J9765,"Y","N")</f>
        <v>Y</v>
      </c>
      <c r="G9765" s="3" t="s">
        <v>36</v>
      </c>
      <c r="H9765" s="3" t="s">
        <v>37</v>
      </c>
      <c r="I9765" s="4" t="n">
        <v>15</v>
      </c>
      <c r="J9765" s="4" t="n">
        <f aca="false">LEN(E9765)-LEN(SUBSTITUTE(E9765,",",""))+1</f>
        <v>7</v>
      </c>
      <c r="K9765" s="3" t="str">
        <f aca="false">IFERROR(INDEX('Teacher Lookup'!$B$2:$B$200,MATCH(A9765,'Teacher Lookup'!$A$2:$A$200,0)),"")</f>
        <v>NANTIYAKUL Teerawat</v>
      </c>
    </row>
    <row r="9766" customFormat="false" ht="15" hidden="false" customHeight="false" outlineLevel="0" collapsed="false">
      <c r="A9766" s="3" t="s">
        <v>513</v>
      </c>
      <c r="B9766" s="4" t="s">
        <v>44</v>
      </c>
      <c r="C9766" s="4" t="n">
        <v>5</v>
      </c>
      <c r="D9766" s="4" t="s">
        <v>28</v>
      </c>
      <c r="E9766" s="3" t="s">
        <v>131</v>
      </c>
      <c r="F9766" s="4" t="str">
        <f aca="false">IF(I9766&gt;J9766,"Y","N")</f>
        <v>Y</v>
      </c>
      <c r="G9766" s="3" t="s">
        <v>36</v>
      </c>
      <c r="H9766" s="3" t="s">
        <v>37</v>
      </c>
      <c r="I9766" s="4" t="n">
        <v>15</v>
      </c>
      <c r="J9766" s="4" t="n">
        <f aca="false">LEN(E9766)-LEN(SUBSTITUTE(E9766,",",""))+1</f>
        <v>7</v>
      </c>
      <c r="K9766" s="3" t="str">
        <f aca="false">IFERROR(INDEX('Teacher Lookup'!$B$2:$B$200,MATCH(A9766,'Teacher Lookup'!$A$2:$A$200,0)),"")</f>
        <v>NANTIYAKUL Teerawat</v>
      </c>
    </row>
    <row r="9767" customFormat="false" ht="15" hidden="false" customHeight="false" outlineLevel="0" collapsed="false">
      <c r="A9767" s="3" t="s">
        <v>513</v>
      </c>
      <c r="B9767" s="4" t="s">
        <v>44</v>
      </c>
      <c r="C9767" s="4" t="n">
        <v>5</v>
      </c>
      <c r="D9767" s="4" t="s">
        <v>29</v>
      </c>
      <c r="E9767" s="3" t="s">
        <v>131</v>
      </c>
      <c r="F9767" s="4" t="str">
        <f aca="false">IF(I9767&gt;J9767,"Y","N")</f>
        <v>Y</v>
      </c>
      <c r="G9767" s="3" t="s">
        <v>36</v>
      </c>
      <c r="H9767" s="3" t="s">
        <v>37</v>
      </c>
      <c r="I9767" s="4" t="n">
        <v>15</v>
      </c>
      <c r="J9767" s="4" t="n">
        <f aca="false">LEN(E9767)-LEN(SUBSTITUTE(E9767,",",""))+1</f>
        <v>7</v>
      </c>
      <c r="K9767" s="3" t="str">
        <f aca="false">IFERROR(INDEX('Teacher Lookup'!$B$2:$B$200,MATCH(A9767,'Teacher Lookup'!$A$2:$A$200,0)),"")</f>
        <v>NANTIYAKUL Teerawat</v>
      </c>
    </row>
    <row r="9768" customFormat="false" ht="15" hidden="false" customHeight="false" outlineLevel="0" collapsed="false">
      <c r="A9768" s="3" t="s">
        <v>513</v>
      </c>
      <c r="B9768" s="4" t="s">
        <v>44</v>
      </c>
      <c r="C9768" s="4" t="n">
        <v>5</v>
      </c>
      <c r="D9768" s="4" t="s">
        <v>30</v>
      </c>
      <c r="E9768" s="3" t="s">
        <v>131</v>
      </c>
      <c r="F9768" s="4" t="str">
        <f aca="false">IF(I9768&gt;J9768,"Y","N")</f>
        <v>Y</v>
      </c>
      <c r="G9768" s="3" t="s">
        <v>36</v>
      </c>
      <c r="H9768" s="3" t="s">
        <v>37</v>
      </c>
      <c r="I9768" s="4" t="n">
        <v>15</v>
      </c>
      <c r="J9768" s="4" t="n">
        <f aca="false">LEN(E9768)-LEN(SUBSTITUTE(E9768,",",""))+1</f>
        <v>7</v>
      </c>
      <c r="K9768" s="3" t="str">
        <f aca="false">IFERROR(INDEX('Teacher Lookup'!$B$2:$B$200,MATCH(A9768,'Teacher Lookup'!$A$2:$A$200,0)),"")</f>
        <v>NANTIYAKUL Teerawat</v>
      </c>
    </row>
    <row r="9769" customFormat="false" ht="15" hidden="false" customHeight="false" outlineLevel="0" collapsed="false">
      <c r="A9769" s="3" t="s">
        <v>513</v>
      </c>
      <c r="B9769" s="4" t="s">
        <v>47</v>
      </c>
      <c r="C9769" s="4" t="n">
        <v>1</v>
      </c>
      <c r="D9769" s="4" t="s">
        <v>19</v>
      </c>
      <c r="E9769" s="3" t="s">
        <v>109</v>
      </c>
      <c r="F9769" s="4" t="str">
        <f aca="false">IF(I9769&gt;J9769,"Y","N")</f>
        <v>N</v>
      </c>
      <c r="G9769" s="3" t="s">
        <v>126</v>
      </c>
      <c r="H9769" s="3" t="s">
        <v>16</v>
      </c>
      <c r="I9769" s="4" t="n">
        <v>1</v>
      </c>
      <c r="J9769" s="4" t="n">
        <f aca="false">LEN(E9769)-LEN(SUBSTITUTE(E9769,",",""))+1</f>
        <v>1</v>
      </c>
      <c r="K9769" s="3" t="str">
        <f aca="false">IFERROR(INDEX('Teacher Lookup'!$B$2:$B$200,MATCH(A9769,'Teacher Lookup'!$A$2:$A$200,0)),"")</f>
        <v>NANTIYAKUL Teerawat</v>
      </c>
    </row>
    <row r="9770" customFormat="false" ht="15" hidden="false" customHeight="false" outlineLevel="0" collapsed="false">
      <c r="A9770" s="3" t="s">
        <v>513</v>
      </c>
      <c r="B9770" s="4" t="s">
        <v>47</v>
      </c>
      <c r="C9770" s="4" t="n">
        <v>2</v>
      </c>
      <c r="D9770" s="4" t="s">
        <v>132</v>
      </c>
      <c r="E9770" s="3" t="s">
        <v>199</v>
      </c>
      <c r="F9770" s="4" t="str">
        <f aca="false">IF(I9770&gt;J9770,"Y","N")</f>
        <v>N</v>
      </c>
      <c r="G9770" s="3" t="s">
        <v>192</v>
      </c>
      <c r="H9770" s="3" t="s">
        <v>21</v>
      </c>
      <c r="I9770" s="4" t="n">
        <v>2</v>
      </c>
      <c r="J9770" s="4" t="n">
        <f aca="false">LEN(E9770)-LEN(SUBSTITUTE(E9770,",",""))+1</f>
        <v>2</v>
      </c>
      <c r="K9770" s="3" t="str">
        <f aca="false">IFERROR(INDEX('Teacher Lookup'!$B$2:$B$200,MATCH(A9770,'Teacher Lookup'!$A$2:$A$200,0)),"")</f>
        <v>NANTIYAKUL Teerawat</v>
      </c>
    </row>
    <row r="9771" customFormat="false" ht="15" hidden="false" customHeight="false" outlineLevel="0" collapsed="false">
      <c r="A9771" s="3" t="s">
        <v>513</v>
      </c>
      <c r="B9771" s="4" t="s">
        <v>47</v>
      </c>
      <c r="C9771" s="4" t="n">
        <v>7</v>
      </c>
      <c r="D9771" s="4" t="s">
        <v>13</v>
      </c>
      <c r="E9771" s="3" t="s">
        <v>133</v>
      </c>
      <c r="F9771" s="4" t="str">
        <f aca="false">IF(I9771&gt;J9771,"Y","N")</f>
        <v>N</v>
      </c>
      <c r="G9771" s="3" t="s">
        <v>126</v>
      </c>
      <c r="H9771" s="3" t="s">
        <v>39</v>
      </c>
      <c r="I9771" s="4" t="n">
        <v>1</v>
      </c>
      <c r="J9771" s="4" t="n">
        <f aca="false">LEN(E9771)-LEN(SUBSTITUTE(E9771,",",""))+1</f>
        <v>1</v>
      </c>
      <c r="K9771" s="3" t="str">
        <f aca="false">IFERROR(INDEX('Teacher Lookup'!$B$2:$B$200,MATCH(A9771,'Teacher Lookup'!$A$2:$A$200,0)),"")</f>
        <v>NANTIYAKUL Teerawat</v>
      </c>
    </row>
    <row r="9772" customFormat="false" ht="15" hidden="false" customHeight="false" outlineLevel="0" collapsed="false">
      <c r="A9772" s="3" t="s">
        <v>513</v>
      </c>
      <c r="B9772" s="4" t="s">
        <v>50</v>
      </c>
      <c r="C9772" s="4" t="n">
        <v>1</v>
      </c>
      <c r="D9772" s="4" t="s">
        <v>13</v>
      </c>
      <c r="E9772" s="3" t="s">
        <v>125</v>
      </c>
      <c r="F9772" s="4" t="str">
        <f aca="false">IF(I9772&gt;J9772,"Y","N")</f>
        <v>N</v>
      </c>
      <c r="G9772" s="3" t="s">
        <v>126</v>
      </c>
      <c r="H9772" s="3" t="s">
        <v>16</v>
      </c>
      <c r="I9772" s="4" t="n">
        <v>1</v>
      </c>
      <c r="J9772" s="4" t="n">
        <f aca="false">LEN(E9772)-LEN(SUBSTITUTE(E9772,",",""))+1</f>
        <v>1</v>
      </c>
      <c r="K9772" s="3" t="str">
        <f aca="false">IFERROR(INDEX('Teacher Lookup'!$B$2:$B$200,MATCH(A9772,'Teacher Lookup'!$A$2:$A$200,0)),"")</f>
        <v>NANTIYAKUL Teerawat</v>
      </c>
    </row>
    <row r="9773" customFormat="false" ht="15" hidden="false" customHeight="false" outlineLevel="0" collapsed="false">
      <c r="A9773" s="3" t="s">
        <v>513</v>
      </c>
      <c r="B9773" s="4" t="s">
        <v>50</v>
      </c>
      <c r="C9773" s="4" t="n">
        <v>2</v>
      </c>
      <c r="D9773" s="4" t="s">
        <v>132</v>
      </c>
      <c r="E9773" s="3" t="s">
        <v>196</v>
      </c>
      <c r="F9773" s="4" t="str">
        <f aca="false">IF(I9773&gt;J9773,"Y","N")</f>
        <v>N</v>
      </c>
      <c r="G9773" s="3" t="s">
        <v>192</v>
      </c>
      <c r="H9773" s="3" t="s">
        <v>21</v>
      </c>
      <c r="I9773" s="4" t="n">
        <v>2</v>
      </c>
      <c r="J9773" s="4" t="n">
        <f aca="false">LEN(E9773)-LEN(SUBSTITUTE(E9773,",",""))+1</f>
        <v>2</v>
      </c>
      <c r="K9773" s="3" t="str">
        <f aca="false">IFERROR(INDEX('Teacher Lookup'!$B$2:$B$200,MATCH(A9773,'Teacher Lookup'!$A$2:$A$200,0)),"")</f>
        <v>NANTIYAKUL Teerawat</v>
      </c>
    </row>
    <row r="9774" customFormat="false" ht="15" hidden="false" customHeight="false" outlineLevel="0" collapsed="false">
      <c r="A9774" s="3" t="s">
        <v>513</v>
      </c>
      <c r="B9774" s="4" t="s">
        <v>50</v>
      </c>
      <c r="C9774" s="4" t="n">
        <v>3</v>
      </c>
      <c r="D9774" s="4" t="s">
        <v>79</v>
      </c>
      <c r="E9774" s="3" t="s">
        <v>125</v>
      </c>
      <c r="F9774" s="4" t="str">
        <f aca="false">IF(I9774&gt;J9774,"Y","N")</f>
        <v>N</v>
      </c>
      <c r="G9774" s="3" t="s">
        <v>130</v>
      </c>
      <c r="H9774" s="3" t="s">
        <v>26</v>
      </c>
      <c r="I9774" s="4" t="n">
        <v>1</v>
      </c>
      <c r="J9774" s="4" t="n">
        <f aca="false">LEN(E9774)-LEN(SUBSTITUTE(E9774,",",""))+1</f>
        <v>1</v>
      </c>
      <c r="K9774" s="3" t="str">
        <f aca="false">IFERROR(INDEX('Teacher Lookup'!$B$2:$B$200,MATCH(A9774,'Teacher Lookup'!$A$2:$A$200,0)),"")</f>
        <v>NANTIYAKUL Teerawat</v>
      </c>
    </row>
    <row r="9775" customFormat="false" ht="15" hidden="false" customHeight="false" outlineLevel="0" collapsed="false">
      <c r="A9775" s="3" t="s">
        <v>513</v>
      </c>
      <c r="B9775" s="4" t="s">
        <v>50</v>
      </c>
      <c r="C9775" s="4" t="n">
        <v>4</v>
      </c>
      <c r="D9775" s="4" t="s">
        <v>19</v>
      </c>
      <c r="E9775" s="3" t="s">
        <v>109</v>
      </c>
      <c r="F9775" s="4" t="str">
        <f aca="false">IF(I9775&gt;J9775,"Y","N")</f>
        <v>N</v>
      </c>
      <c r="G9775" s="3" t="s">
        <v>126</v>
      </c>
      <c r="H9775" s="3" t="s">
        <v>34</v>
      </c>
      <c r="I9775" s="4" t="n">
        <v>1</v>
      </c>
      <c r="J9775" s="4" t="n">
        <f aca="false">LEN(E9775)-LEN(SUBSTITUTE(E9775,",",""))+1</f>
        <v>1</v>
      </c>
      <c r="K9775" s="3" t="str">
        <f aca="false">IFERROR(INDEX('Teacher Lookup'!$B$2:$B$200,MATCH(A9775,'Teacher Lookup'!$A$2:$A$200,0)),"")</f>
        <v>NANTIYAKUL Teerawat</v>
      </c>
    </row>
    <row r="9776" customFormat="false" ht="15" hidden="false" customHeight="false" outlineLevel="0" collapsed="false">
      <c r="A9776" s="3" t="s">
        <v>513</v>
      </c>
      <c r="B9776" s="4" t="s">
        <v>60</v>
      </c>
      <c r="C9776" s="4" t="n">
        <v>1</v>
      </c>
      <c r="D9776" s="4" t="s">
        <v>13</v>
      </c>
      <c r="E9776" s="3" t="s">
        <v>351</v>
      </c>
      <c r="F9776" s="4" t="str">
        <f aca="false">IF(I9776&gt;J9776,"Y","N")</f>
        <v>N</v>
      </c>
      <c r="G9776" s="3" t="s">
        <v>126</v>
      </c>
      <c r="H9776" s="3" t="s">
        <v>16</v>
      </c>
      <c r="I9776" s="4" t="n">
        <v>1</v>
      </c>
      <c r="J9776" s="4" t="n">
        <f aca="false">LEN(E9776)-LEN(SUBSTITUTE(E9776,",",""))+1</f>
        <v>1</v>
      </c>
      <c r="K9776" s="3" t="str">
        <f aca="false">IFERROR(INDEX('Teacher Lookup'!$B$2:$B$200,MATCH(A9776,'Teacher Lookup'!$A$2:$A$200,0)),"")</f>
        <v>NANTIYAKUL Teerawat</v>
      </c>
    </row>
    <row r="9777" customFormat="false" ht="15" hidden="false" customHeight="false" outlineLevel="0" collapsed="false">
      <c r="A9777" s="3" t="s">
        <v>513</v>
      </c>
      <c r="B9777" s="4" t="s">
        <v>60</v>
      </c>
      <c r="C9777" s="4" t="n">
        <v>2</v>
      </c>
      <c r="D9777" s="4" t="s">
        <v>19</v>
      </c>
      <c r="E9777" s="3" t="s">
        <v>125</v>
      </c>
      <c r="F9777" s="4" t="str">
        <f aca="false">IF(I9777&gt;J9777,"Y","N")</f>
        <v>N</v>
      </c>
      <c r="G9777" s="3" t="s">
        <v>126</v>
      </c>
      <c r="H9777" s="3" t="s">
        <v>21</v>
      </c>
      <c r="I9777" s="4" t="n">
        <v>1</v>
      </c>
      <c r="J9777" s="4" t="n">
        <f aca="false">LEN(E9777)-LEN(SUBSTITUTE(E9777,",",""))+1</f>
        <v>1</v>
      </c>
      <c r="K9777" s="3" t="str">
        <f aca="false">IFERROR(INDEX('Teacher Lookup'!$B$2:$B$200,MATCH(A9777,'Teacher Lookup'!$A$2:$A$200,0)),"")</f>
        <v>NANTIYAKUL Teerawat</v>
      </c>
    </row>
    <row r="9778" customFormat="false" ht="15" hidden="false" customHeight="false" outlineLevel="0" collapsed="false">
      <c r="A9778" s="3" t="s">
        <v>513</v>
      </c>
      <c r="B9778" s="4" t="s">
        <v>60</v>
      </c>
      <c r="C9778" s="4" t="n">
        <v>4</v>
      </c>
      <c r="D9778" s="4" t="s">
        <v>132</v>
      </c>
      <c r="E9778" s="3" t="s">
        <v>196</v>
      </c>
      <c r="F9778" s="4" t="str">
        <f aca="false">IF(I9778&gt;J9778,"Y","N")</f>
        <v>N</v>
      </c>
      <c r="G9778" s="3" t="s">
        <v>192</v>
      </c>
      <c r="H9778" s="3" t="s">
        <v>34</v>
      </c>
      <c r="I9778" s="4" t="n">
        <v>2</v>
      </c>
      <c r="J9778" s="4" t="n">
        <f aca="false">LEN(E9778)-LEN(SUBSTITUTE(E9778,",",""))+1</f>
        <v>2</v>
      </c>
      <c r="K9778" s="3" t="str">
        <f aca="false">IFERROR(INDEX('Teacher Lookup'!$B$2:$B$200,MATCH(A9778,'Teacher Lookup'!$A$2:$A$200,0)),"")</f>
        <v>NANTIYAKUL Teerawat</v>
      </c>
    </row>
    <row r="9779" customFormat="false" ht="15" hidden="false" customHeight="false" outlineLevel="0" collapsed="false">
      <c r="A9779" s="3" t="s">
        <v>513</v>
      </c>
      <c r="B9779" s="4" t="s">
        <v>60</v>
      </c>
      <c r="C9779" s="4" t="n">
        <v>5</v>
      </c>
      <c r="D9779" s="4" t="s">
        <v>24</v>
      </c>
      <c r="E9779" s="3" t="s">
        <v>131</v>
      </c>
      <c r="F9779" s="4" t="str">
        <f aca="false">IF(I9779&gt;J9779,"Y","N")</f>
        <v>Y</v>
      </c>
      <c r="G9779" s="3" t="s">
        <v>36</v>
      </c>
      <c r="H9779" s="3" t="s">
        <v>37</v>
      </c>
      <c r="I9779" s="4" t="n">
        <v>15</v>
      </c>
      <c r="J9779" s="4" t="n">
        <f aca="false">LEN(E9779)-LEN(SUBSTITUTE(E9779,",",""))+1</f>
        <v>7</v>
      </c>
      <c r="K9779" s="3" t="str">
        <f aca="false">IFERROR(INDEX('Teacher Lookup'!$B$2:$B$200,MATCH(A9779,'Teacher Lookup'!$A$2:$A$200,0)),"")</f>
        <v>NANTIYAKUL Teerawat</v>
      </c>
    </row>
    <row r="9780" customFormat="false" ht="15" hidden="false" customHeight="false" outlineLevel="0" collapsed="false">
      <c r="A9780" s="3" t="s">
        <v>513</v>
      </c>
      <c r="B9780" s="4" t="s">
        <v>60</v>
      </c>
      <c r="C9780" s="4" t="n">
        <v>5</v>
      </c>
      <c r="D9780" s="4" t="s">
        <v>132</v>
      </c>
      <c r="E9780" s="3" t="s">
        <v>131</v>
      </c>
      <c r="F9780" s="4" t="str">
        <f aca="false">IF(I9780&gt;J9780,"Y","N")</f>
        <v>Y</v>
      </c>
      <c r="G9780" s="3" t="s">
        <v>36</v>
      </c>
      <c r="H9780" s="3" t="s">
        <v>37</v>
      </c>
      <c r="I9780" s="4" t="n">
        <v>15</v>
      </c>
      <c r="J9780" s="4" t="n">
        <f aca="false">LEN(E9780)-LEN(SUBSTITUTE(E9780,",",""))+1</f>
        <v>7</v>
      </c>
      <c r="K9780" s="3" t="str">
        <f aca="false">IFERROR(INDEX('Teacher Lookup'!$B$2:$B$200,MATCH(A9780,'Teacher Lookup'!$A$2:$A$200,0)),"")</f>
        <v>NANTIYAKUL Teerawat</v>
      </c>
    </row>
    <row r="9781" customFormat="false" ht="15" hidden="false" customHeight="false" outlineLevel="0" collapsed="false">
      <c r="A9781" s="3" t="s">
        <v>513</v>
      </c>
      <c r="B9781" s="4" t="s">
        <v>60</v>
      </c>
      <c r="C9781" s="4" t="n">
        <v>5</v>
      </c>
      <c r="D9781" s="4" t="s">
        <v>27</v>
      </c>
      <c r="E9781" s="3" t="s">
        <v>131</v>
      </c>
      <c r="F9781" s="4" t="str">
        <f aca="false">IF(I9781&gt;J9781,"Y","N")</f>
        <v>Y</v>
      </c>
      <c r="G9781" s="3" t="s">
        <v>36</v>
      </c>
      <c r="H9781" s="3" t="s">
        <v>37</v>
      </c>
      <c r="I9781" s="4" t="n">
        <v>15</v>
      </c>
      <c r="J9781" s="4" t="n">
        <f aca="false">LEN(E9781)-LEN(SUBSTITUTE(E9781,",",""))+1</f>
        <v>7</v>
      </c>
      <c r="K9781" s="3" t="str">
        <f aca="false">IFERROR(INDEX('Teacher Lookup'!$B$2:$B$200,MATCH(A9781,'Teacher Lookup'!$A$2:$A$200,0)),"")</f>
        <v>NANTIYAKUL Teerawat</v>
      </c>
    </row>
    <row r="9782" customFormat="false" ht="15" hidden="false" customHeight="false" outlineLevel="0" collapsed="false">
      <c r="A9782" s="3" t="s">
        <v>513</v>
      </c>
      <c r="B9782" s="4" t="s">
        <v>60</v>
      </c>
      <c r="C9782" s="4" t="n">
        <v>5</v>
      </c>
      <c r="D9782" s="4" t="s">
        <v>28</v>
      </c>
      <c r="E9782" s="3" t="s">
        <v>131</v>
      </c>
      <c r="F9782" s="4" t="str">
        <f aca="false">IF(I9782&gt;J9782,"Y","N")</f>
        <v>Y</v>
      </c>
      <c r="G9782" s="3" t="s">
        <v>36</v>
      </c>
      <c r="H9782" s="3" t="s">
        <v>37</v>
      </c>
      <c r="I9782" s="4" t="n">
        <v>15</v>
      </c>
      <c r="J9782" s="4" t="n">
        <f aca="false">LEN(E9782)-LEN(SUBSTITUTE(E9782,",",""))+1</f>
        <v>7</v>
      </c>
      <c r="K9782" s="3" t="str">
        <f aca="false">IFERROR(INDEX('Teacher Lookup'!$B$2:$B$200,MATCH(A9782,'Teacher Lookup'!$A$2:$A$200,0)),"")</f>
        <v>NANTIYAKUL Teerawat</v>
      </c>
    </row>
    <row r="9783" customFormat="false" ht="15" hidden="false" customHeight="false" outlineLevel="0" collapsed="false">
      <c r="A9783" s="3" t="s">
        <v>513</v>
      </c>
      <c r="B9783" s="4" t="s">
        <v>60</v>
      </c>
      <c r="C9783" s="4" t="n">
        <v>5</v>
      </c>
      <c r="D9783" s="4" t="s">
        <v>29</v>
      </c>
      <c r="E9783" s="3" t="s">
        <v>131</v>
      </c>
      <c r="F9783" s="4" t="str">
        <f aca="false">IF(I9783&gt;J9783,"Y","N")</f>
        <v>Y</v>
      </c>
      <c r="G9783" s="3" t="s">
        <v>36</v>
      </c>
      <c r="H9783" s="3" t="s">
        <v>37</v>
      </c>
      <c r="I9783" s="4" t="n">
        <v>15</v>
      </c>
      <c r="J9783" s="4" t="n">
        <f aca="false">LEN(E9783)-LEN(SUBSTITUTE(E9783,",",""))+1</f>
        <v>7</v>
      </c>
      <c r="K9783" s="3" t="str">
        <f aca="false">IFERROR(INDEX('Teacher Lookup'!$B$2:$B$200,MATCH(A9783,'Teacher Lookup'!$A$2:$A$200,0)),"")</f>
        <v>NANTIYAKUL Teerawat</v>
      </c>
    </row>
    <row r="9784" customFormat="false" ht="15" hidden="false" customHeight="false" outlineLevel="0" collapsed="false">
      <c r="A9784" s="3" t="s">
        <v>513</v>
      </c>
      <c r="B9784" s="4" t="s">
        <v>60</v>
      </c>
      <c r="C9784" s="4" t="n">
        <v>5</v>
      </c>
      <c r="D9784" s="4" t="s">
        <v>30</v>
      </c>
      <c r="E9784" s="3" t="s">
        <v>131</v>
      </c>
      <c r="F9784" s="4" t="str">
        <f aca="false">IF(I9784&gt;J9784,"Y","N")</f>
        <v>Y</v>
      </c>
      <c r="G9784" s="3" t="s">
        <v>36</v>
      </c>
      <c r="H9784" s="3" t="s">
        <v>37</v>
      </c>
      <c r="I9784" s="4" t="n">
        <v>15</v>
      </c>
      <c r="J9784" s="4" t="n">
        <f aca="false">LEN(E9784)-LEN(SUBSTITUTE(E9784,",",""))+1</f>
        <v>7</v>
      </c>
      <c r="K9784" s="3" t="str">
        <f aca="false">IFERROR(INDEX('Teacher Lookup'!$B$2:$B$200,MATCH(A9784,'Teacher Lookup'!$A$2:$A$200,0)),"")</f>
        <v>NANTIYAKUL Teerawat</v>
      </c>
    </row>
    <row r="9785" customFormat="false" ht="15" hidden="false" customHeight="false" outlineLevel="0" collapsed="false">
      <c r="A9785" s="3" t="s">
        <v>513</v>
      </c>
      <c r="B9785" s="4" t="s">
        <v>63</v>
      </c>
      <c r="C9785" s="4" t="n">
        <v>1</v>
      </c>
      <c r="D9785" s="4" t="s">
        <v>19</v>
      </c>
      <c r="E9785" s="3" t="s">
        <v>133</v>
      </c>
      <c r="F9785" s="4" t="str">
        <f aca="false">IF(I9785&gt;J9785,"Y","N")</f>
        <v>N</v>
      </c>
      <c r="G9785" s="3" t="s">
        <v>126</v>
      </c>
      <c r="H9785" s="3" t="s">
        <v>16</v>
      </c>
      <c r="I9785" s="4" t="n">
        <v>1</v>
      </c>
      <c r="J9785" s="4" t="n">
        <f aca="false">LEN(E9785)-LEN(SUBSTITUTE(E9785,",",""))+1</f>
        <v>1</v>
      </c>
      <c r="K9785" s="3" t="str">
        <f aca="false">IFERROR(INDEX('Teacher Lookup'!$B$2:$B$200,MATCH(A9785,'Teacher Lookup'!$A$2:$A$200,0)),"")</f>
        <v>NANTIYAKUL Teerawat</v>
      </c>
    </row>
    <row r="9786" customFormat="false" ht="15" hidden="false" customHeight="false" outlineLevel="0" collapsed="false">
      <c r="A9786" s="3" t="s">
        <v>513</v>
      </c>
      <c r="B9786" s="4" t="s">
        <v>63</v>
      </c>
      <c r="C9786" s="4" t="n">
        <v>4</v>
      </c>
      <c r="D9786" s="4" t="s">
        <v>13</v>
      </c>
      <c r="E9786" s="3" t="s">
        <v>311</v>
      </c>
      <c r="F9786" s="4" t="str">
        <f aca="false">IF(I9786&gt;J9786,"Y","N")</f>
        <v>N</v>
      </c>
      <c r="G9786" s="3" t="s">
        <v>126</v>
      </c>
      <c r="H9786" s="3" t="s">
        <v>34</v>
      </c>
      <c r="I9786" s="4" t="n">
        <v>1</v>
      </c>
      <c r="J9786" s="4" t="n">
        <f aca="false">LEN(E9786)-LEN(SUBSTITUTE(E9786,",",""))+1</f>
        <v>1</v>
      </c>
      <c r="K9786" s="3" t="str">
        <f aca="false">IFERROR(INDEX('Teacher Lookup'!$B$2:$B$200,MATCH(A9786,'Teacher Lookup'!$A$2:$A$200,0)),"")</f>
        <v>NANTIYAKUL Teerawat</v>
      </c>
    </row>
    <row r="9787" customFormat="false" ht="15" hidden="false" customHeight="false" outlineLevel="0" collapsed="false">
      <c r="A9787" s="3" t="s">
        <v>513</v>
      </c>
      <c r="B9787" s="4" t="s">
        <v>63</v>
      </c>
      <c r="C9787" s="4" t="n">
        <v>7</v>
      </c>
      <c r="D9787" s="4" t="s">
        <v>132</v>
      </c>
      <c r="E9787" s="3" t="s">
        <v>196</v>
      </c>
      <c r="F9787" s="4" t="str">
        <f aca="false">IF(I9787&gt;J9787,"Y","N")</f>
        <v>N</v>
      </c>
      <c r="G9787" s="3" t="s">
        <v>192</v>
      </c>
      <c r="H9787" s="3" t="s">
        <v>39</v>
      </c>
      <c r="I9787" s="4" t="n">
        <v>2</v>
      </c>
      <c r="J9787" s="4" t="n">
        <f aca="false">LEN(E9787)-LEN(SUBSTITUTE(E9787,",",""))+1</f>
        <v>2</v>
      </c>
      <c r="K9787" s="3" t="str">
        <f aca="false">IFERROR(INDEX('Teacher Lookup'!$B$2:$B$200,MATCH(A9787,'Teacher Lookup'!$A$2:$A$200,0)),"")</f>
        <v>NANTIYAKUL Teerawat</v>
      </c>
    </row>
    <row r="9788" customFormat="false" ht="15" hidden="false" customHeight="false" outlineLevel="0" collapsed="false">
      <c r="A9788" s="3" t="s">
        <v>513</v>
      </c>
      <c r="B9788" s="4" t="s">
        <v>65</v>
      </c>
      <c r="C9788" s="4" t="n">
        <v>2</v>
      </c>
      <c r="D9788" s="4" t="s">
        <v>132</v>
      </c>
      <c r="E9788" s="3" t="s">
        <v>196</v>
      </c>
      <c r="F9788" s="4" t="str">
        <f aca="false">IF(I9788&gt;J9788,"Y","N")</f>
        <v>N</v>
      </c>
      <c r="G9788" s="3" t="s">
        <v>192</v>
      </c>
      <c r="H9788" s="3" t="s">
        <v>21</v>
      </c>
      <c r="I9788" s="4" t="n">
        <v>2</v>
      </c>
      <c r="J9788" s="4" t="n">
        <f aca="false">LEN(E9788)-LEN(SUBSTITUTE(E9788,",",""))+1</f>
        <v>2</v>
      </c>
      <c r="K9788" s="3" t="str">
        <f aca="false">IFERROR(INDEX('Teacher Lookup'!$B$2:$B$200,MATCH(A9788,'Teacher Lookup'!$A$2:$A$200,0)),"")</f>
        <v>NANTIYAKUL Teerawat</v>
      </c>
    </row>
    <row r="9789" customFormat="false" ht="15" hidden="false" customHeight="false" outlineLevel="0" collapsed="false">
      <c r="A9789" s="3" t="s">
        <v>513</v>
      </c>
      <c r="B9789" s="4" t="s">
        <v>65</v>
      </c>
      <c r="C9789" s="4" t="n">
        <v>3</v>
      </c>
      <c r="D9789" s="4" t="s">
        <v>19</v>
      </c>
      <c r="E9789" s="3" t="s">
        <v>125</v>
      </c>
      <c r="F9789" s="4" t="str">
        <f aca="false">IF(I9789&gt;J9789,"Y","N")</f>
        <v>N</v>
      </c>
      <c r="G9789" s="3" t="s">
        <v>126</v>
      </c>
      <c r="H9789" s="3" t="s">
        <v>26</v>
      </c>
      <c r="I9789" s="4" t="n">
        <v>1</v>
      </c>
      <c r="J9789" s="4" t="n">
        <f aca="false">LEN(E9789)-LEN(SUBSTITUTE(E9789,",",""))+1</f>
        <v>1</v>
      </c>
      <c r="K9789" s="3" t="str">
        <f aca="false">IFERROR(INDEX('Teacher Lookup'!$B$2:$B$200,MATCH(A9789,'Teacher Lookup'!$A$2:$A$200,0)),"")</f>
        <v>NANTIYAKUL Teerawat</v>
      </c>
    </row>
    <row r="9790" customFormat="false" ht="15" hidden="false" customHeight="false" outlineLevel="0" collapsed="false">
      <c r="A9790" s="3" t="s">
        <v>513</v>
      </c>
      <c r="B9790" s="4" t="s">
        <v>65</v>
      </c>
      <c r="C9790" s="4" t="n">
        <v>4</v>
      </c>
      <c r="D9790" s="4" t="s">
        <v>79</v>
      </c>
      <c r="E9790" s="3" t="s">
        <v>129</v>
      </c>
      <c r="F9790" s="4" t="str">
        <f aca="false">IF(I9790&gt;J9790,"Y","N")</f>
        <v>N</v>
      </c>
      <c r="G9790" s="3" t="s">
        <v>130</v>
      </c>
      <c r="H9790" s="3" t="s">
        <v>34</v>
      </c>
      <c r="I9790" s="4" t="n">
        <v>1</v>
      </c>
      <c r="J9790" s="4" t="n">
        <f aca="false">LEN(E9790)-LEN(SUBSTITUTE(E9790,",",""))+1</f>
        <v>1</v>
      </c>
      <c r="K9790" s="3" t="str">
        <f aca="false">IFERROR(INDEX('Teacher Lookup'!$B$2:$B$200,MATCH(A9790,'Teacher Lookup'!$A$2:$A$200,0)),"")</f>
        <v>NANTIYAKUL Teerawat</v>
      </c>
    </row>
    <row r="9791" customFormat="false" ht="15" hidden="false" customHeight="false" outlineLevel="0" collapsed="false">
      <c r="A9791" s="3" t="s">
        <v>513</v>
      </c>
      <c r="B9791" s="4" t="s">
        <v>65</v>
      </c>
      <c r="C9791" s="4" t="n">
        <v>5</v>
      </c>
      <c r="D9791" s="4" t="s">
        <v>24</v>
      </c>
      <c r="E9791" s="3" t="s">
        <v>131</v>
      </c>
      <c r="F9791" s="4" t="str">
        <f aca="false">IF(I9791&gt;J9791,"Y","N")</f>
        <v>Y</v>
      </c>
      <c r="G9791" s="3" t="s">
        <v>36</v>
      </c>
      <c r="H9791" s="3" t="s">
        <v>37</v>
      </c>
      <c r="I9791" s="4" t="n">
        <v>15</v>
      </c>
      <c r="J9791" s="4" t="n">
        <f aca="false">LEN(E9791)-LEN(SUBSTITUTE(E9791,",",""))+1</f>
        <v>7</v>
      </c>
      <c r="K9791" s="3" t="str">
        <f aca="false">IFERROR(INDEX('Teacher Lookup'!$B$2:$B$200,MATCH(A9791,'Teacher Lookup'!$A$2:$A$200,0)),"")</f>
        <v>NANTIYAKUL Teerawat</v>
      </c>
    </row>
    <row r="9792" customFormat="false" ht="15" hidden="false" customHeight="false" outlineLevel="0" collapsed="false">
      <c r="A9792" s="3" t="s">
        <v>513</v>
      </c>
      <c r="B9792" s="4" t="s">
        <v>65</v>
      </c>
      <c r="C9792" s="4" t="n">
        <v>5</v>
      </c>
      <c r="D9792" s="4" t="s">
        <v>132</v>
      </c>
      <c r="E9792" s="3" t="s">
        <v>131</v>
      </c>
      <c r="F9792" s="4" t="str">
        <f aca="false">IF(I9792&gt;J9792,"Y","N")</f>
        <v>Y</v>
      </c>
      <c r="G9792" s="3" t="s">
        <v>36</v>
      </c>
      <c r="H9792" s="3" t="s">
        <v>37</v>
      </c>
      <c r="I9792" s="4" t="n">
        <v>15</v>
      </c>
      <c r="J9792" s="4" t="n">
        <f aca="false">LEN(E9792)-LEN(SUBSTITUTE(E9792,",",""))+1</f>
        <v>7</v>
      </c>
      <c r="K9792" s="3" t="str">
        <f aca="false">IFERROR(INDEX('Teacher Lookup'!$B$2:$B$200,MATCH(A9792,'Teacher Lookup'!$A$2:$A$200,0)),"")</f>
        <v>NANTIYAKUL Teerawat</v>
      </c>
    </row>
    <row r="9793" customFormat="false" ht="15" hidden="false" customHeight="false" outlineLevel="0" collapsed="false">
      <c r="A9793" s="3" t="s">
        <v>513</v>
      </c>
      <c r="B9793" s="4" t="s">
        <v>65</v>
      </c>
      <c r="C9793" s="4" t="n">
        <v>5</v>
      </c>
      <c r="D9793" s="4" t="s">
        <v>27</v>
      </c>
      <c r="E9793" s="3" t="s">
        <v>131</v>
      </c>
      <c r="F9793" s="4" t="str">
        <f aca="false">IF(I9793&gt;J9793,"Y","N")</f>
        <v>Y</v>
      </c>
      <c r="G9793" s="3" t="s">
        <v>36</v>
      </c>
      <c r="H9793" s="3" t="s">
        <v>37</v>
      </c>
      <c r="I9793" s="4" t="n">
        <v>15</v>
      </c>
      <c r="J9793" s="4" t="n">
        <f aca="false">LEN(E9793)-LEN(SUBSTITUTE(E9793,",",""))+1</f>
        <v>7</v>
      </c>
      <c r="K9793" s="3" t="str">
        <f aca="false">IFERROR(INDEX('Teacher Lookup'!$B$2:$B$200,MATCH(A9793,'Teacher Lookup'!$A$2:$A$200,0)),"")</f>
        <v>NANTIYAKUL Teerawat</v>
      </c>
    </row>
    <row r="9794" customFormat="false" ht="15" hidden="false" customHeight="false" outlineLevel="0" collapsed="false">
      <c r="A9794" s="3" t="s">
        <v>513</v>
      </c>
      <c r="B9794" s="4" t="s">
        <v>65</v>
      </c>
      <c r="C9794" s="4" t="n">
        <v>5</v>
      </c>
      <c r="D9794" s="4" t="s">
        <v>28</v>
      </c>
      <c r="E9794" s="3" t="s">
        <v>131</v>
      </c>
      <c r="F9794" s="4" t="str">
        <f aca="false">IF(I9794&gt;J9794,"Y","N")</f>
        <v>Y</v>
      </c>
      <c r="G9794" s="3" t="s">
        <v>36</v>
      </c>
      <c r="H9794" s="3" t="s">
        <v>37</v>
      </c>
      <c r="I9794" s="4" t="n">
        <v>15</v>
      </c>
      <c r="J9794" s="4" t="n">
        <f aca="false">LEN(E9794)-LEN(SUBSTITUTE(E9794,",",""))+1</f>
        <v>7</v>
      </c>
      <c r="K9794" s="3" t="str">
        <f aca="false">IFERROR(INDEX('Teacher Lookup'!$B$2:$B$200,MATCH(A9794,'Teacher Lookup'!$A$2:$A$200,0)),"")</f>
        <v>NANTIYAKUL Teerawat</v>
      </c>
    </row>
    <row r="9795" customFormat="false" ht="15" hidden="false" customHeight="false" outlineLevel="0" collapsed="false">
      <c r="A9795" s="3" t="s">
        <v>513</v>
      </c>
      <c r="B9795" s="4" t="s">
        <v>65</v>
      </c>
      <c r="C9795" s="4" t="n">
        <v>5</v>
      </c>
      <c r="D9795" s="4" t="s">
        <v>29</v>
      </c>
      <c r="E9795" s="3" t="s">
        <v>131</v>
      </c>
      <c r="F9795" s="4" t="str">
        <f aca="false">IF(I9795&gt;J9795,"Y","N")</f>
        <v>Y</v>
      </c>
      <c r="G9795" s="3" t="s">
        <v>36</v>
      </c>
      <c r="H9795" s="3" t="s">
        <v>37</v>
      </c>
      <c r="I9795" s="4" t="n">
        <v>15</v>
      </c>
      <c r="J9795" s="4" t="n">
        <f aca="false">LEN(E9795)-LEN(SUBSTITUTE(E9795,",",""))+1</f>
        <v>7</v>
      </c>
      <c r="K9795" s="3" t="str">
        <f aca="false">IFERROR(INDEX('Teacher Lookup'!$B$2:$B$200,MATCH(A9795,'Teacher Lookup'!$A$2:$A$200,0)),"")</f>
        <v>NANTIYAKUL Teerawat</v>
      </c>
    </row>
    <row r="9796" customFormat="false" ht="15" hidden="false" customHeight="false" outlineLevel="0" collapsed="false">
      <c r="A9796" s="3" t="s">
        <v>513</v>
      </c>
      <c r="B9796" s="4" t="s">
        <v>65</v>
      </c>
      <c r="C9796" s="4" t="n">
        <v>5</v>
      </c>
      <c r="D9796" s="4" t="s">
        <v>30</v>
      </c>
      <c r="E9796" s="3" t="s">
        <v>131</v>
      </c>
      <c r="F9796" s="4" t="str">
        <f aca="false">IF(I9796&gt;J9796,"Y","N")</f>
        <v>Y</v>
      </c>
      <c r="G9796" s="3" t="s">
        <v>36</v>
      </c>
      <c r="H9796" s="3" t="s">
        <v>37</v>
      </c>
      <c r="I9796" s="4" t="n">
        <v>15</v>
      </c>
      <c r="J9796" s="4" t="n">
        <f aca="false">LEN(E9796)-LEN(SUBSTITUTE(E9796,",",""))+1</f>
        <v>7</v>
      </c>
      <c r="K9796" s="3" t="str">
        <f aca="false">IFERROR(INDEX('Teacher Lookup'!$B$2:$B$200,MATCH(A9796,'Teacher Lookup'!$A$2:$A$200,0)),"")</f>
        <v>NANTIYAKUL Teerawat</v>
      </c>
    </row>
    <row r="9797" customFormat="false" ht="15" hidden="false" customHeight="false" outlineLevel="0" collapsed="false">
      <c r="A9797" s="3" t="s">
        <v>513</v>
      </c>
      <c r="B9797" s="4" t="s">
        <v>65</v>
      </c>
      <c r="C9797" s="4" t="n">
        <v>7</v>
      </c>
      <c r="D9797" s="4" t="s">
        <v>13</v>
      </c>
      <c r="E9797" s="3" t="s">
        <v>125</v>
      </c>
      <c r="F9797" s="4" t="str">
        <f aca="false">IF(I9797&gt;J9797,"Y","N")</f>
        <v>N</v>
      </c>
      <c r="G9797" s="3" t="s">
        <v>126</v>
      </c>
      <c r="H9797" s="3" t="s">
        <v>39</v>
      </c>
      <c r="I9797" s="4" t="n">
        <v>1</v>
      </c>
      <c r="J9797" s="4" t="n">
        <f aca="false">LEN(E9797)-LEN(SUBSTITUTE(E9797,",",""))+1</f>
        <v>1</v>
      </c>
      <c r="K9797" s="3" t="str">
        <f aca="false">IFERROR(INDEX('Teacher Lookup'!$B$2:$B$200,MATCH(A9797,'Teacher Lookup'!$A$2:$A$200,0)),"")</f>
        <v>NANTIYAKUL Teerawat</v>
      </c>
    </row>
    <row r="9798" customFormat="false" ht="15" hidden="false" customHeight="false" outlineLevel="0" collapsed="false">
      <c r="A9798" s="3" t="s">
        <v>513</v>
      </c>
      <c r="B9798" s="4" t="s">
        <v>66</v>
      </c>
      <c r="C9798" s="4" t="n">
        <v>5</v>
      </c>
      <c r="D9798" s="4" t="s">
        <v>19</v>
      </c>
      <c r="E9798" s="3" t="s">
        <v>109</v>
      </c>
      <c r="F9798" s="4" t="str">
        <f aca="false">IF(I9798&gt;J9798,"Y","N")</f>
        <v>N</v>
      </c>
      <c r="G9798" s="3" t="s">
        <v>126</v>
      </c>
      <c r="H9798" s="3" t="s">
        <v>37</v>
      </c>
      <c r="I9798" s="4" t="n">
        <v>1</v>
      </c>
      <c r="J9798" s="4" t="n">
        <f aca="false">LEN(E9798)-LEN(SUBSTITUTE(E9798,",",""))+1</f>
        <v>1</v>
      </c>
      <c r="K9798" s="3" t="str">
        <f aca="false">IFERROR(INDEX('Teacher Lookup'!$B$2:$B$200,MATCH(A9798,'Teacher Lookup'!$A$2:$A$200,0)),"")</f>
        <v>NANTIYAKUL Teerawat</v>
      </c>
    </row>
    <row r="9799" customFormat="false" ht="15" hidden="false" customHeight="false" outlineLevel="0" collapsed="false">
      <c r="A9799" s="3" t="s">
        <v>513</v>
      </c>
      <c r="B9799" s="4" t="s">
        <v>66</v>
      </c>
      <c r="C9799" s="4" t="n">
        <v>6</v>
      </c>
      <c r="D9799" s="4" t="s">
        <v>132</v>
      </c>
      <c r="E9799" s="3" t="s">
        <v>196</v>
      </c>
      <c r="F9799" s="4" t="str">
        <f aca="false">IF(I9799&gt;J9799,"Y","N")</f>
        <v>N</v>
      </c>
      <c r="G9799" s="3" t="s">
        <v>192</v>
      </c>
      <c r="H9799" s="3" t="s">
        <v>42</v>
      </c>
      <c r="I9799" s="4" t="n">
        <v>2</v>
      </c>
      <c r="J9799" s="4" t="n">
        <f aca="false">LEN(E9799)-LEN(SUBSTITUTE(E9799,",",""))+1</f>
        <v>2</v>
      </c>
      <c r="K9799" s="3" t="str">
        <f aca="false">IFERROR(INDEX('Teacher Lookup'!$B$2:$B$200,MATCH(A9799,'Teacher Lookup'!$A$2:$A$200,0)),"")</f>
        <v>NANTIYAKUL Teerawat</v>
      </c>
    </row>
    <row r="9800" customFormat="false" ht="15" hidden="false" customHeight="false" outlineLevel="0" collapsed="false">
      <c r="A9800" s="3" t="s">
        <v>513</v>
      </c>
      <c r="B9800" s="4" t="s">
        <v>66</v>
      </c>
      <c r="C9800" s="4" t="n">
        <v>7</v>
      </c>
      <c r="D9800" s="4" t="s">
        <v>132</v>
      </c>
      <c r="E9800" s="3" t="s">
        <v>196</v>
      </c>
      <c r="F9800" s="4" t="str">
        <f aca="false">IF(I9800&gt;J9800,"Y","N")</f>
        <v>N</v>
      </c>
      <c r="G9800" s="3" t="s">
        <v>192</v>
      </c>
      <c r="H9800" s="3" t="s">
        <v>39</v>
      </c>
      <c r="I9800" s="4" t="n">
        <v>2</v>
      </c>
      <c r="J9800" s="4" t="n">
        <f aca="false">LEN(E9800)-LEN(SUBSTITUTE(E9800,",",""))+1</f>
        <v>2</v>
      </c>
      <c r="K9800" s="3" t="str">
        <f aca="false">IFERROR(INDEX('Teacher Lookup'!$B$2:$B$200,MATCH(A9800,'Teacher Lookup'!$A$2:$A$200,0)),"")</f>
        <v>NANTIYAKUL Teerawat</v>
      </c>
    </row>
    <row r="9801" customFormat="false" ht="15" hidden="false" customHeight="false" outlineLevel="0" collapsed="false">
      <c r="A9801" s="3" t="s">
        <v>514</v>
      </c>
      <c r="B9801" s="4" t="s">
        <v>12</v>
      </c>
      <c r="C9801" s="4" t="n">
        <v>1</v>
      </c>
      <c r="D9801" s="4" t="s">
        <v>29</v>
      </c>
      <c r="E9801" s="3" t="s">
        <v>515</v>
      </c>
      <c r="F9801" s="4" t="str">
        <f aca="false">IF(I9801&gt;J9801,"Y","N")</f>
        <v>N</v>
      </c>
      <c r="G9801" s="3" t="s">
        <v>287</v>
      </c>
      <c r="H9801" s="3" t="s">
        <v>16</v>
      </c>
      <c r="I9801" s="4" t="n">
        <v>1</v>
      </c>
      <c r="J9801" s="4" t="n">
        <f aca="false">LEN(E9801)-LEN(SUBSTITUTE(E9801,",",""))+1</f>
        <v>1</v>
      </c>
      <c r="K9801" s="3" t="str">
        <f aca="false">IFERROR(INDEX('Teacher Lookup'!$B$2:$B$200,MATCH(A9801,'Teacher Lookup'!$A$2:$A$200,0)),"")</f>
        <v>WONG Timothy</v>
      </c>
    </row>
    <row r="9802" customFormat="false" ht="15" hidden="false" customHeight="false" outlineLevel="0" collapsed="false">
      <c r="A9802" s="3" t="s">
        <v>514</v>
      </c>
      <c r="B9802" s="4" t="s">
        <v>12</v>
      </c>
      <c r="C9802" s="4" t="n">
        <v>6</v>
      </c>
      <c r="D9802" s="4" t="s">
        <v>52</v>
      </c>
      <c r="E9802" s="3" t="s">
        <v>357</v>
      </c>
      <c r="F9802" s="4" t="str">
        <f aca="false">IF(I9802&gt;J9802,"Y","N")</f>
        <v>Y</v>
      </c>
      <c r="G9802" s="3" t="s">
        <v>358</v>
      </c>
      <c r="H9802" s="3" t="s">
        <v>42</v>
      </c>
      <c r="I9802" s="4" t="n">
        <v>9</v>
      </c>
      <c r="J9802" s="4" t="n">
        <f aca="false">LEN(E9802)-LEN(SUBSTITUTE(E9802,",",""))+1</f>
        <v>8</v>
      </c>
      <c r="K9802" s="3" t="str">
        <f aca="false">IFERROR(INDEX('Teacher Lookup'!$B$2:$B$200,MATCH(A9802,'Teacher Lookup'!$A$2:$A$200,0)),"")</f>
        <v>WONG Timothy</v>
      </c>
    </row>
    <row r="9803" customFormat="false" ht="15" hidden="false" customHeight="false" outlineLevel="0" collapsed="false">
      <c r="A9803" s="3" t="s">
        <v>514</v>
      </c>
      <c r="B9803" s="4" t="s">
        <v>12</v>
      </c>
      <c r="C9803" s="4" t="n">
        <v>6</v>
      </c>
      <c r="D9803" s="4" t="s">
        <v>55</v>
      </c>
      <c r="E9803" s="3" t="s">
        <v>357</v>
      </c>
      <c r="F9803" s="4" t="str">
        <f aca="false">IF(I9803&gt;J9803,"Y","N")</f>
        <v>Y</v>
      </c>
      <c r="G9803" s="3" t="s">
        <v>358</v>
      </c>
      <c r="H9803" s="3" t="s">
        <v>42</v>
      </c>
      <c r="I9803" s="4" t="n">
        <v>9</v>
      </c>
      <c r="J9803" s="4" t="n">
        <f aca="false">LEN(E9803)-LEN(SUBSTITUTE(E9803,",",""))+1</f>
        <v>8</v>
      </c>
      <c r="K9803" s="3" t="str">
        <f aca="false">IFERROR(INDEX('Teacher Lookup'!$B$2:$B$200,MATCH(A9803,'Teacher Lookup'!$A$2:$A$200,0)),"")</f>
        <v>WONG Timothy</v>
      </c>
    </row>
    <row r="9804" customFormat="false" ht="15" hidden="false" customHeight="false" outlineLevel="0" collapsed="false">
      <c r="A9804" s="3" t="s">
        <v>514</v>
      </c>
      <c r="B9804" s="4" t="s">
        <v>12</v>
      </c>
      <c r="C9804" s="4" t="n">
        <v>6</v>
      </c>
      <c r="D9804" s="4" t="s">
        <v>56</v>
      </c>
      <c r="E9804" s="3" t="s">
        <v>357</v>
      </c>
      <c r="F9804" s="4" t="str">
        <f aca="false">IF(I9804&gt;J9804,"Y","N")</f>
        <v>Y</v>
      </c>
      <c r="G9804" s="3" t="s">
        <v>358</v>
      </c>
      <c r="H9804" s="3" t="s">
        <v>42</v>
      </c>
      <c r="I9804" s="4" t="n">
        <v>9</v>
      </c>
      <c r="J9804" s="4" t="n">
        <f aca="false">LEN(E9804)-LEN(SUBSTITUTE(E9804,",",""))+1</f>
        <v>8</v>
      </c>
      <c r="K9804" s="3" t="str">
        <f aca="false">IFERROR(INDEX('Teacher Lookup'!$B$2:$B$200,MATCH(A9804,'Teacher Lookup'!$A$2:$A$200,0)),"")</f>
        <v>WONG Timothy</v>
      </c>
    </row>
    <row r="9805" customFormat="false" ht="15" hidden="false" customHeight="false" outlineLevel="0" collapsed="false">
      <c r="A9805" s="3" t="s">
        <v>514</v>
      </c>
      <c r="B9805" s="4" t="s">
        <v>12</v>
      </c>
      <c r="C9805" s="4" t="n">
        <v>6</v>
      </c>
      <c r="D9805" s="4" t="s">
        <v>57</v>
      </c>
      <c r="E9805" s="3" t="s">
        <v>357</v>
      </c>
      <c r="F9805" s="4" t="str">
        <f aca="false">IF(I9805&gt;J9805,"Y","N")</f>
        <v>Y</v>
      </c>
      <c r="G9805" s="3" t="s">
        <v>358</v>
      </c>
      <c r="H9805" s="3" t="s">
        <v>42</v>
      </c>
      <c r="I9805" s="4" t="n">
        <v>9</v>
      </c>
      <c r="J9805" s="4" t="n">
        <f aca="false">LEN(E9805)-LEN(SUBSTITUTE(E9805,",",""))+1</f>
        <v>8</v>
      </c>
      <c r="K9805" s="3" t="str">
        <f aca="false">IFERROR(INDEX('Teacher Lookup'!$B$2:$B$200,MATCH(A9805,'Teacher Lookup'!$A$2:$A$200,0)),"")</f>
        <v>WONG Timothy</v>
      </c>
    </row>
    <row r="9806" customFormat="false" ht="15" hidden="false" customHeight="false" outlineLevel="0" collapsed="false">
      <c r="A9806" s="3" t="s">
        <v>514</v>
      </c>
      <c r="B9806" s="4" t="s">
        <v>12</v>
      </c>
      <c r="C9806" s="4" t="n">
        <v>6</v>
      </c>
      <c r="D9806" s="4" t="s">
        <v>58</v>
      </c>
      <c r="E9806" s="3" t="s">
        <v>357</v>
      </c>
      <c r="F9806" s="4" t="str">
        <f aca="false">IF(I9806&gt;J9806,"Y","N")</f>
        <v>Y</v>
      </c>
      <c r="G9806" s="3" t="s">
        <v>358</v>
      </c>
      <c r="H9806" s="3" t="s">
        <v>42</v>
      </c>
      <c r="I9806" s="4" t="n">
        <v>9</v>
      </c>
      <c r="J9806" s="4" t="n">
        <f aca="false">LEN(E9806)-LEN(SUBSTITUTE(E9806,",",""))+1</f>
        <v>8</v>
      </c>
      <c r="K9806" s="3" t="str">
        <f aca="false">IFERROR(INDEX('Teacher Lookup'!$B$2:$B$200,MATCH(A9806,'Teacher Lookup'!$A$2:$A$200,0)),"")</f>
        <v>WONG Timothy</v>
      </c>
    </row>
    <row r="9807" customFormat="false" ht="15" hidden="false" customHeight="false" outlineLevel="0" collapsed="false">
      <c r="A9807" s="3" t="s">
        <v>514</v>
      </c>
      <c r="B9807" s="4" t="s">
        <v>12</v>
      </c>
      <c r="C9807" s="4" t="n">
        <v>6</v>
      </c>
      <c r="D9807" s="4" t="s">
        <v>59</v>
      </c>
      <c r="E9807" s="3" t="s">
        <v>357</v>
      </c>
      <c r="F9807" s="4" t="str">
        <f aca="false">IF(I9807&gt;J9807,"Y","N")</f>
        <v>Y</v>
      </c>
      <c r="G9807" s="3" t="s">
        <v>358</v>
      </c>
      <c r="H9807" s="3" t="s">
        <v>42</v>
      </c>
      <c r="I9807" s="4" t="n">
        <v>9</v>
      </c>
      <c r="J9807" s="4" t="n">
        <f aca="false">LEN(E9807)-LEN(SUBSTITUTE(E9807,",",""))+1</f>
        <v>8</v>
      </c>
      <c r="K9807" s="3" t="str">
        <f aca="false">IFERROR(INDEX('Teacher Lookup'!$B$2:$B$200,MATCH(A9807,'Teacher Lookup'!$A$2:$A$200,0)),"")</f>
        <v>WONG Timothy</v>
      </c>
    </row>
    <row r="9808" customFormat="false" ht="15" hidden="false" customHeight="false" outlineLevel="0" collapsed="false">
      <c r="A9808" s="3" t="s">
        <v>514</v>
      </c>
      <c r="B9808" s="4" t="s">
        <v>12</v>
      </c>
      <c r="C9808" s="4" t="n">
        <v>6</v>
      </c>
      <c r="D9808" s="4" t="s">
        <v>24</v>
      </c>
      <c r="E9808" s="3" t="s">
        <v>485</v>
      </c>
      <c r="F9808" s="4" t="str">
        <f aca="false">IF(I9808&gt;J9808,"Y","N")</f>
        <v>N</v>
      </c>
      <c r="G9808" s="3" t="s">
        <v>287</v>
      </c>
      <c r="H9808" s="3" t="s">
        <v>42</v>
      </c>
      <c r="I9808" s="4" t="n">
        <v>1</v>
      </c>
      <c r="J9808" s="4" t="n">
        <f aca="false">LEN(E9808)-LEN(SUBSTITUTE(E9808,",",""))+1</f>
        <v>1</v>
      </c>
      <c r="K9808" s="3" t="str">
        <f aca="false">IFERROR(INDEX('Teacher Lookup'!$B$2:$B$200,MATCH(A9808,'Teacher Lookup'!$A$2:$A$200,0)),"")</f>
        <v>WONG Timothy</v>
      </c>
    </row>
    <row r="9809" customFormat="false" ht="15" hidden="false" customHeight="false" outlineLevel="0" collapsed="false">
      <c r="A9809" s="3" t="s">
        <v>514</v>
      </c>
      <c r="B9809" s="4" t="s">
        <v>12</v>
      </c>
      <c r="C9809" s="4" t="n">
        <v>7</v>
      </c>
      <c r="D9809" s="4" t="s">
        <v>52</v>
      </c>
      <c r="E9809" s="3" t="s">
        <v>357</v>
      </c>
      <c r="F9809" s="4" t="str">
        <f aca="false">IF(I9809&gt;J9809,"Y","N")</f>
        <v>Y</v>
      </c>
      <c r="G9809" s="3" t="s">
        <v>358</v>
      </c>
      <c r="H9809" s="3" t="s">
        <v>39</v>
      </c>
      <c r="I9809" s="4" t="n">
        <v>9</v>
      </c>
      <c r="J9809" s="4" t="n">
        <f aca="false">LEN(E9809)-LEN(SUBSTITUTE(E9809,",",""))+1</f>
        <v>8</v>
      </c>
      <c r="K9809" s="3" t="str">
        <f aca="false">IFERROR(INDEX('Teacher Lookup'!$B$2:$B$200,MATCH(A9809,'Teacher Lookup'!$A$2:$A$200,0)),"")</f>
        <v>WONG Timothy</v>
      </c>
    </row>
    <row r="9810" customFormat="false" ht="15" hidden="false" customHeight="false" outlineLevel="0" collapsed="false">
      <c r="A9810" s="3" t="s">
        <v>514</v>
      </c>
      <c r="B9810" s="4" t="s">
        <v>12</v>
      </c>
      <c r="C9810" s="4" t="n">
        <v>7</v>
      </c>
      <c r="D9810" s="4" t="s">
        <v>55</v>
      </c>
      <c r="E9810" s="3" t="s">
        <v>357</v>
      </c>
      <c r="F9810" s="4" t="str">
        <f aca="false">IF(I9810&gt;J9810,"Y","N")</f>
        <v>Y</v>
      </c>
      <c r="G9810" s="3" t="s">
        <v>358</v>
      </c>
      <c r="H9810" s="3" t="s">
        <v>39</v>
      </c>
      <c r="I9810" s="4" t="n">
        <v>9</v>
      </c>
      <c r="J9810" s="4" t="n">
        <f aca="false">LEN(E9810)-LEN(SUBSTITUTE(E9810,",",""))+1</f>
        <v>8</v>
      </c>
      <c r="K9810" s="3" t="str">
        <f aca="false">IFERROR(INDEX('Teacher Lookup'!$B$2:$B$200,MATCH(A9810,'Teacher Lookup'!$A$2:$A$200,0)),"")</f>
        <v>WONG Timothy</v>
      </c>
    </row>
    <row r="9811" customFormat="false" ht="15" hidden="false" customHeight="false" outlineLevel="0" collapsed="false">
      <c r="A9811" s="3" t="s">
        <v>514</v>
      </c>
      <c r="B9811" s="4" t="s">
        <v>12</v>
      </c>
      <c r="C9811" s="4" t="n">
        <v>7</v>
      </c>
      <c r="D9811" s="4" t="s">
        <v>56</v>
      </c>
      <c r="E9811" s="3" t="s">
        <v>357</v>
      </c>
      <c r="F9811" s="4" t="str">
        <f aca="false">IF(I9811&gt;J9811,"Y","N")</f>
        <v>Y</v>
      </c>
      <c r="G9811" s="3" t="s">
        <v>358</v>
      </c>
      <c r="H9811" s="3" t="s">
        <v>39</v>
      </c>
      <c r="I9811" s="4" t="n">
        <v>9</v>
      </c>
      <c r="J9811" s="4" t="n">
        <f aca="false">LEN(E9811)-LEN(SUBSTITUTE(E9811,",",""))+1</f>
        <v>8</v>
      </c>
      <c r="K9811" s="3" t="str">
        <f aca="false">IFERROR(INDEX('Teacher Lookup'!$B$2:$B$200,MATCH(A9811,'Teacher Lookup'!$A$2:$A$200,0)),"")</f>
        <v>WONG Timothy</v>
      </c>
    </row>
    <row r="9812" customFormat="false" ht="15" hidden="false" customHeight="false" outlineLevel="0" collapsed="false">
      <c r="A9812" s="3" t="s">
        <v>514</v>
      </c>
      <c r="B9812" s="4" t="s">
        <v>12</v>
      </c>
      <c r="C9812" s="4" t="n">
        <v>7</v>
      </c>
      <c r="D9812" s="4" t="s">
        <v>57</v>
      </c>
      <c r="E9812" s="3" t="s">
        <v>357</v>
      </c>
      <c r="F9812" s="4" t="str">
        <f aca="false">IF(I9812&gt;J9812,"Y","N")</f>
        <v>Y</v>
      </c>
      <c r="G9812" s="3" t="s">
        <v>358</v>
      </c>
      <c r="H9812" s="3" t="s">
        <v>39</v>
      </c>
      <c r="I9812" s="4" t="n">
        <v>9</v>
      </c>
      <c r="J9812" s="4" t="n">
        <f aca="false">LEN(E9812)-LEN(SUBSTITUTE(E9812,",",""))+1</f>
        <v>8</v>
      </c>
      <c r="K9812" s="3" t="str">
        <f aca="false">IFERROR(INDEX('Teacher Lookup'!$B$2:$B$200,MATCH(A9812,'Teacher Lookup'!$A$2:$A$200,0)),"")</f>
        <v>WONG Timothy</v>
      </c>
    </row>
    <row r="9813" customFormat="false" ht="15" hidden="false" customHeight="false" outlineLevel="0" collapsed="false">
      <c r="A9813" s="3" t="s">
        <v>514</v>
      </c>
      <c r="B9813" s="4" t="s">
        <v>12</v>
      </c>
      <c r="C9813" s="4" t="n">
        <v>7</v>
      </c>
      <c r="D9813" s="4" t="s">
        <v>58</v>
      </c>
      <c r="E9813" s="3" t="s">
        <v>357</v>
      </c>
      <c r="F9813" s="4" t="str">
        <f aca="false">IF(I9813&gt;J9813,"Y","N")</f>
        <v>Y</v>
      </c>
      <c r="G9813" s="3" t="s">
        <v>358</v>
      </c>
      <c r="H9813" s="3" t="s">
        <v>39</v>
      </c>
      <c r="I9813" s="4" t="n">
        <v>9</v>
      </c>
      <c r="J9813" s="4" t="n">
        <f aca="false">LEN(E9813)-LEN(SUBSTITUTE(E9813,",",""))+1</f>
        <v>8</v>
      </c>
      <c r="K9813" s="3" t="str">
        <f aca="false">IFERROR(INDEX('Teacher Lookup'!$B$2:$B$200,MATCH(A9813,'Teacher Lookup'!$A$2:$A$200,0)),"")</f>
        <v>WONG Timothy</v>
      </c>
    </row>
    <row r="9814" customFormat="false" ht="15" hidden="false" customHeight="false" outlineLevel="0" collapsed="false">
      <c r="A9814" s="3" t="s">
        <v>514</v>
      </c>
      <c r="B9814" s="4" t="s">
        <v>12</v>
      </c>
      <c r="C9814" s="4" t="n">
        <v>7</v>
      </c>
      <c r="D9814" s="4" t="s">
        <v>59</v>
      </c>
      <c r="E9814" s="3" t="s">
        <v>357</v>
      </c>
      <c r="F9814" s="4" t="str">
        <f aca="false">IF(I9814&gt;J9814,"Y","N")</f>
        <v>Y</v>
      </c>
      <c r="G9814" s="3" t="s">
        <v>358</v>
      </c>
      <c r="H9814" s="3" t="s">
        <v>39</v>
      </c>
      <c r="I9814" s="4" t="n">
        <v>9</v>
      </c>
      <c r="J9814" s="4" t="n">
        <f aca="false">LEN(E9814)-LEN(SUBSTITUTE(E9814,",",""))+1</f>
        <v>8</v>
      </c>
      <c r="K9814" s="3" t="str">
        <f aca="false">IFERROR(INDEX('Teacher Lookup'!$B$2:$B$200,MATCH(A9814,'Teacher Lookup'!$A$2:$A$200,0)),"")</f>
        <v>WONG Timothy</v>
      </c>
    </row>
    <row r="9815" customFormat="false" ht="15" hidden="false" customHeight="false" outlineLevel="0" collapsed="false">
      <c r="A9815" s="3" t="s">
        <v>514</v>
      </c>
      <c r="B9815" s="4" t="s">
        <v>31</v>
      </c>
      <c r="C9815" s="4" t="n">
        <v>3</v>
      </c>
      <c r="D9815" s="4" t="s">
        <v>24</v>
      </c>
      <c r="E9815" s="3" t="s">
        <v>485</v>
      </c>
      <c r="F9815" s="4" t="str">
        <f aca="false">IF(I9815&gt;J9815,"Y","N")</f>
        <v>N</v>
      </c>
      <c r="G9815" s="3" t="s">
        <v>287</v>
      </c>
      <c r="H9815" s="3" t="s">
        <v>26</v>
      </c>
      <c r="I9815" s="4" t="n">
        <v>1</v>
      </c>
      <c r="J9815" s="4" t="n">
        <f aca="false">LEN(E9815)-LEN(SUBSTITUTE(E9815,",",""))+1</f>
        <v>1</v>
      </c>
      <c r="K9815" s="3" t="str">
        <f aca="false">IFERROR(INDEX('Teacher Lookup'!$B$2:$B$200,MATCH(A9815,'Teacher Lookup'!$A$2:$A$200,0)),"")</f>
        <v>WONG Timothy</v>
      </c>
    </row>
    <row r="9816" customFormat="false" ht="15" hidden="false" customHeight="false" outlineLevel="0" collapsed="false">
      <c r="A9816" s="3" t="s">
        <v>514</v>
      </c>
      <c r="B9816" s="4" t="s">
        <v>31</v>
      </c>
      <c r="C9816" s="4" t="n">
        <v>5</v>
      </c>
      <c r="D9816" s="4" t="s">
        <v>137</v>
      </c>
      <c r="E9816" s="3" t="s">
        <v>185</v>
      </c>
      <c r="F9816" s="4" t="str">
        <f aca="false">IF(I9816&gt;J9816,"Y","N")</f>
        <v>Y</v>
      </c>
      <c r="G9816" s="3" t="s">
        <v>36</v>
      </c>
      <c r="H9816" s="3" t="s">
        <v>37</v>
      </c>
      <c r="I9816" s="4" t="n">
        <v>21</v>
      </c>
      <c r="J9816" s="4" t="n">
        <f aca="false">LEN(E9816)-LEN(SUBSTITUTE(E9816,",",""))+1</f>
        <v>7</v>
      </c>
      <c r="K9816" s="3" t="str">
        <f aca="false">IFERROR(INDEX('Teacher Lookup'!$B$2:$B$200,MATCH(A9816,'Teacher Lookup'!$A$2:$A$200,0)),"")</f>
        <v>WONG Timothy</v>
      </c>
    </row>
    <row r="9817" customFormat="false" ht="15" hidden="false" customHeight="false" outlineLevel="0" collapsed="false">
      <c r="A9817" s="3" t="s">
        <v>514</v>
      </c>
      <c r="B9817" s="4" t="s">
        <v>31</v>
      </c>
      <c r="C9817" s="4" t="n">
        <v>5</v>
      </c>
      <c r="D9817" s="4" t="s">
        <v>124</v>
      </c>
      <c r="E9817" s="3" t="s">
        <v>185</v>
      </c>
      <c r="F9817" s="4" t="str">
        <f aca="false">IF(I9817&gt;J9817,"Y","N")</f>
        <v>Y</v>
      </c>
      <c r="G9817" s="3" t="s">
        <v>36</v>
      </c>
      <c r="H9817" s="3" t="s">
        <v>37</v>
      </c>
      <c r="I9817" s="4" t="n">
        <v>21</v>
      </c>
      <c r="J9817" s="4" t="n">
        <f aca="false">LEN(E9817)-LEN(SUBSTITUTE(E9817,",",""))+1</f>
        <v>7</v>
      </c>
      <c r="K9817" s="3" t="str">
        <f aca="false">IFERROR(INDEX('Teacher Lookup'!$B$2:$B$200,MATCH(A9817,'Teacher Lookup'!$A$2:$A$200,0)),"")</f>
        <v>WONG Timothy</v>
      </c>
    </row>
    <row r="9818" customFormat="false" ht="15" hidden="false" customHeight="false" outlineLevel="0" collapsed="false">
      <c r="A9818" s="3" t="s">
        <v>514</v>
      </c>
      <c r="B9818" s="4" t="s">
        <v>31</v>
      </c>
      <c r="C9818" s="4" t="n">
        <v>5</v>
      </c>
      <c r="D9818" s="4" t="s">
        <v>139</v>
      </c>
      <c r="E9818" s="3" t="s">
        <v>185</v>
      </c>
      <c r="F9818" s="4" t="str">
        <f aca="false">IF(I9818&gt;J9818,"Y","N")</f>
        <v>Y</v>
      </c>
      <c r="G9818" s="3" t="s">
        <v>36</v>
      </c>
      <c r="H9818" s="3" t="s">
        <v>37</v>
      </c>
      <c r="I9818" s="4" t="n">
        <v>21</v>
      </c>
      <c r="J9818" s="4" t="n">
        <f aca="false">LEN(E9818)-LEN(SUBSTITUTE(E9818,",",""))+1</f>
        <v>7</v>
      </c>
      <c r="K9818" s="3" t="str">
        <f aca="false">IFERROR(INDEX('Teacher Lookup'!$B$2:$B$200,MATCH(A9818,'Teacher Lookup'!$A$2:$A$200,0)),"")</f>
        <v>WONG Timothy</v>
      </c>
    </row>
    <row r="9819" customFormat="false" ht="15" hidden="false" customHeight="false" outlineLevel="0" collapsed="false">
      <c r="A9819" s="3" t="s">
        <v>514</v>
      </c>
      <c r="B9819" s="4" t="s">
        <v>31</v>
      </c>
      <c r="C9819" s="4" t="n">
        <v>5</v>
      </c>
      <c r="D9819" s="4" t="s">
        <v>140</v>
      </c>
      <c r="E9819" s="3" t="s">
        <v>185</v>
      </c>
      <c r="F9819" s="4" t="str">
        <f aca="false">IF(I9819&gt;J9819,"Y","N")</f>
        <v>Y</v>
      </c>
      <c r="G9819" s="3" t="s">
        <v>36</v>
      </c>
      <c r="H9819" s="3" t="s">
        <v>37</v>
      </c>
      <c r="I9819" s="4" t="n">
        <v>21</v>
      </c>
      <c r="J9819" s="4" t="n">
        <f aca="false">LEN(E9819)-LEN(SUBSTITUTE(E9819,",",""))+1</f>
        <v>7</v>
      </c>
      <c r="K9819" s="3" t="str">
        <f aca="false">IFERROR(INDEX('Teacher Lookup'!$B$2:$B$200,MATCH(A9819,'Teacher Lookup'!$A$2:$A$200,0)),"")</f>
        <v>WONG Timothy</v>
      </c>
    </row>
    <row r="9820" customFormat="false" ht="15" hidden="false" customHeight="false" outlineLevel="0" collapsed="false">
      <c r="A9820" s="3" t="s">
        <v>514</v>
      </c>
      <c r="B9820" s="4" t="s">
        <v>31</v>
      </c>
      <c r="C9820" s="4" t="n">
        <v>5</v>
      </c>
      <c r="D9820" s="4" t="s">
        <v>142</v>
      </c>
      <c r="E9820" s="3" t="s">
        <v>185</v>
      </c>
      <c r="F9820" s="4" t="str">
        <f aca="false">IF(I9820&gt;J9820,"Y","N")</f>
        <v>Y</v>
      </c>
      <c r="G9820" s="3" t="s">
        <v>36</v>
      </c>
      <c r="H9820" s="3" t="s">
        <v>37</v>
      </c>
      <c r="I9820" s="4" t="n">
        <v>21</v>
      </c>
      <c r="J9820" s="4" t="n">
        <f aca="false">LEN(E9820)-LEN(SUBSTITUTE(E9820,",",""))+1</f>
        <v>7</v>
      </c>
      <c r="K9820" s="3" t="str">
        <f aca="false">IFERROR(INDEX('Teacher Lookup'!$B$2:$B$200,MATCH(A9820,'Teacher Lookup'!$A$2:$A$200,0)),"")</f>
        <v>WONG Timothy</v>
      </c>
    </row>
    <row r="9821" customFormat="false" ht="15" hidden="false" customHeight="false" outlineLevel="0" collapsed="false">
      <c r="A9821" s="3" t="s">
        <v>514</v>
      </c>
      <c r="B9821" s="4" t="s">
        <v>31</v>
      </c>
      <c r="C9821" s="4" t="n">
        <v>5</v>
      </c>
      <c r="D9821" s="4" t="s">
        <v>127</v>
      </c>
      <c r="E9821" s="3" t="s">
        <v>185</v>
      </c>
      <c r="F9821" s="4" t="str">
        <f aca="false">IF(I9821&gt;J9821,"Y","N")</f>
        <v>Y</v>
      </c>
      <c r="G9821" s="3" t="s">
        <v>36</v>
      </c>
      <c r="H9821" s="3" t="s">
        <v>37</v>
      </c>
      <c r="I9821" s="4" t="n">
        <v>21</v>
      </c>
      <c r="J9821" s="4" t="n">
        <f aca="false">LEN(E9821)-LEN(SUBSTITUTE(E9821,",",""))+1</f>
        <v>7</v>
      </c>
      <c r="K9821" s="3" t="str">
        <f aca="false">IFERROR(INDEX('Teacher Lookup'!$B$2:$B$200,MATCH(A9821,'Teacher Lookup'!$A$2:$A$200,0)),"")</f>
        <v>WONG Timothy</v>
      </c>
    </row>
    <row r="9822" customFormat="false" ht="15" hidden="false" customHeight="false" outlineLevel="0" collapsed="false">
      <c r="A9822" s="3" t="s">
        <v>514</v>
      </c>
      <c r="B9822" s="4" t="s">
        <v>31</v>
      </c>
      <c r="C9822" s="4" t="n">
        <v>6</v>
      </c>
      <c r="D9822" s="4" t="s">
        <v>29</v>
      </c>
      <c r="E9822" s="3" t="s">
        <v>515</v>
      </c>
      <c r="F9822" s="4" t="str">
        <f aca="false">IF(I9822&gt;J9822,"Y","N")</f>
        <v>N</v>
      </c>
      <c r="G9822" s="3" t="s">
        <v>287</v>
      </c>
      <c r="H9822" s="3" t="s">
        <v>42</v>
      </c>
      <c r="I9822" s="4" t="n">
        <v>1</v>
      </c>
      <c r="J9822" s="4" t="n">
        <f aca="false">LEN(E9822)-LEN(SUBSTITUTE(E9822,",",""))+1</f>
        <v>1</v>
      </c>
      <c r="K9822" s="3" t="str">
        <f aca="false">IFERROR(INDEX('Teacher Lookup'!$B$2:$B$200,MATCH(A9822,'Teacher Lookup'!$A$2:$A$200,0)),"")</f>
        <v>WONG Timothy</v>
      </c>
    </row>
    <row r="9823" customFormat="false" ht="15" hidden="false" customHeight="false" outlineLevel="0" collapsed="false">
      <c r="A9823" s="3" t="s">
        <v>514</v>
      </c>
      <c r="B9823" s="4" t="s">
        <v>31</v>
      </c>
      <c r="C9823" s="4" t="n">
        <v>7</v>
      </c>
      <c r="D9823" s="4" t="s">
        <v>137</v>
      </c>
      <c r="E9823" s="3" t="s">
        <v>434</v>
      </c>
      <c r="F9823" s="4" t="str">
        <f aca="false">IF(I9823&gt;J9823,"Y","N")</f>
        <v>N</v>
      </c>
      <c r="G9823" s="3" t="s">
        <v>285</v>
      </c>
      <c r="H9823" s="3" t="s">
        <v>39</v>
      </c>
      <c r="I9823" s="4" t="n">
        <v>1</v>
      </c>
      <c r="J9823" s="4" t="n">
        <f aca="false">LEN(E9823)-LEN(SUBSTITUTE(E9823,",",""))+1</f>
        <v>1</v>
      </c>
      <c r="K9823" s="3" t="str">
        <f aca="false">IFERROR(INDEX('Teacher Lookup'!$B$2:$B$200,MATCH(A9823,'Teacher Lookup'!$A$2:$A$200,0)),"")</f>
        <v>WONG Timothy</v>
      </c>
    </row>
    <row r="9824" customFormat="false" ht="15" hidden="false" customHeight="false" outlineLevel="0" collapsed="false">
      <c r="A9824" s="3" t="s">
        <v>514</v>
      </c>
      <c r="B9824" s="4" t="s">
        <v>40</v>
      </c>
      <c r="C9824" s="4" t="n">
        <v>1</v>
      </c>
      <c r="D9824" s="4" t="s">
        <v>17</v>
      </c>
      <c r="E9824" s="3" t="s">
        <v>292</v>
      </c>
      <c r="F9824" s="4" t="str">
        <f aca="false">IF(I9824&gt;J9824,"Y","N")</f>
        <v>N</v>
      </c>
      <c r="G9824" s="3" t="s">
        <v>285</v>
      </c>
      <c r="H9824" s="3" t="s">
        <v>16</v>
      </c>
      <c r="I9824" s="4" t="n">
        <v>1</v>
      </c>
      <c r="J9824" s="4" t="n">
        <f aca="false">LEN(E9824)-LEN(SUBSTITUTE(E9824,",",""))+1</f>
        <v>1</v>
      </c>
      <c r="K9824" s="3" t="str">
        <f aca="false">IFERROR(INDEX('Teacher Lookup'!$B$2:$B$200,MATCH(A9824,'Teacher Lookup'!$A$2:$A$200,0)),"")</f>
        <v>WONG Timothy</v>
      </c>
    </row>
    <row r="9825" customFormat="false" ht="15" hidden="false" customHeight="false" outlineLevel="0" collapsed="false">
      <c r="A9825" s="3" t="s">
        <v>514</v>
      </c>
      <c r="B9825" s="4" t="s">
        <v>40</v>
      </c>
      <c r="C9825" s="4" t="n">
        <v>2</v>
      </c>
      <c r="D9825" s="4" t="s">
        <v>142</v>
      </c>
      <c r="E9825" s="3" t="s">
        <v>435</v>
      </c>
      <c r="F9825" s="4" t="str">
        <f aca="false">IF(I9825&gt;J9825,"Y","N")</f>
        <v>N</v>
      </c>
      <c r="G9825" s="3" t="s">
        <v>285</v>
      </c>
      <c r="H9825" s="3" t="s">
        <v>21</v>
      </c>
      <c r="I9825" s="4" t="n">
        <v>1</v>
      </c>
      <c r="J9825" s="4" t="n">
        <f aca="false">LEN(E9825)-LEN(SUBSTITUTE(E9825,",",""))+1</f>
        <v>1</v>
      </c>
      <c r="K9825" s="3" t="str">
        <f aca="false">IFERROR(INDEX('Teacher Lookup'!$B$2:$B$200,MATCH(A9825,'Teacher Lookup'!$A$2:$A$200,0)),"")</f>
        <v>WONG Timothy</v>
      </c>
    </row>
    <row r="9826" customFormat="false" ht="15" hidden="false" customHeight="false" outlineLevel="0" collapsed="false">
      <c r="A9826" s="3" t="s">
        <v>514</v>
      </c>
      <c r="B9826" s="4" t="s">
        <v>40</v>
      </c>
      <c r="C9826" s="4" t="n">
        <v>7</v>
      </c>
      <c r="D9826" s="4" t="s">
        <v>24</v>
      </c>
      <c r="E9826" s="3" t="s">
        <v>485</v>
      </c>
      <c r="F9826" s="4" t="str">
        <f aca="false">IF(I9826&gt;J9826,"Y","N")</f>
        <v>N</v>
      </c>
      <c r="G9826" s="3" t="s">
        <v>287</v>
      </c>
      <c r="H9826" s="3" t="s">
        <v>39</v>
      </c>
      <c r="I9826" s="4" t="n">
        <v>1</v>
      </c>
      <c r="J9826" s="4" t="n">
        <f aca="false">LEN(E9826)-LEN(SUBSTITUTE(E9826,",",""))+1</f>
        <v>1</v>
      </c>
      <c r="K9826" s="3" t="str">
        <f aca="false">IFERROR(INDEX('Teacher Lookup'!$B$2:$B$200,MATCH(A9826,'Teacher Lookup'!$A$2:$A$200,0)),"")</f>
        <v>WONG Timothy</v>
      </c>
    </row>
    <row r="9827" customFormat="false" ht="15" hidden="false" customHeight="false" outlineLevel="0" collapsed="false">
      <c r="A9827" s="3" t="s">
        <v>514</v>
      </c>
      <c r="B9827" s="4" t="s">
        <v>44</v>
      </c>
      <c r="C9827" s="4" t="n">
        <v>4</v>
      </c>
      <c r="D9827" s="4" t="s">
        <v>106</v>
      </c>
      <c r="E9827" s="3" t="s">
        <v>516</v>
      </c>
      <c r="F9827" s="4" t="str">
        <f aca="false">IF(I9827&gt;J9827,"Y","N")</f>
        <v>N</v>
      </c>
      <c r="G9827" s="3" t="s">
        <v>287</v>
      </c>
      <c r="H9827" s="3" t="s">
        <v>34</v>
      </c>
      <c r="I9827" s="4" t="n">
        <v>1</v>
      </c>
      <c r="J9827" s="4" t="n">
        <f aca="false">LEN(E9827)-LEN(SUBSTITUTE(E9827,",",""))+1</f>
        <v>1</v>
      </c>
      <c r="K9827" s="3" t="str">
        <f aca="false">IFERROR(INDEX('Teacher Lookup'!$B$2:$B$200,MATCH(A9827,'Teacher Lookup'!$A$2:$A$200,0)),"")</f>
        <v>WONG Timothy</v>
      </c>
    </row>
    <row r="9828" customFormat="false" ht="15" hidden="false" customHeight="false" outlineLevel="0" collapsed="false">
      <c r="A9828" s="3" t="s">
        <v>514</v>
      </c>
      <c r="B9828" s="4" t="s">
        <v>44</v>
      </c>
      <c r="C9828" s="4" t="n">
        <v>5</v>
      </c>
      <c r="D9828" s="4" t="s">
        <v>137</v>
      </c>
      <c r="E9828" s="3" t="s">
        <v>185</v>
      </c>
      <c r="F9828" s="4" t="str">
        <f aca="false">IF(I9828&gt;J9828,"Y","N")</f>
        <v>Y</v>
      </c>
      <c r="G9828" s="3" t="s">
        <v>36</v>
      </c>
      <c r="H9828" s="3" t="s">
        <v>37</v>
      </c>
      <c r="I9828" s="4" t="n">
        <v>21</v>
      </c>
      <c r="J9828" s="4" t="n">
        <f aca="false">LEN(E9828)-LEN(SUBSTITUTE(E9828,",",""))+1</f>
        <v>7</v>
      </c>
      <c r="K9828" s="3" t="str">
        <f aca="false">IFERROR(INDEX('Teacher Lookup'!$B$2:$B$200,MATCH(A9828,'Teacher Lookup'!$A$2:$A$200,0)),"")</f>
        <v>WONG Timothy</v>
      </c>
    </row>
    <row r="9829" customFormat="false" ht="15" hidden="false" customHeight="false" outlineLevel="0" collapsed="false">
      <c r="A9829" s="3" t="s">
        <v>514</v>
      </c>
      <c r="B9829" s="4" t="s">
        <v>44</v>
      </c>
      <c r="C9829" s="4" t="n">
        <v>5</v>
      </c>
      <c r="D9829" s="4" t="s">
        <v>124</v>
      </c>
      <c r="E9829" s="3" t="s">
        <v>185</v>
      </c>
      <c r="F9829" s="4" t="str">
        <f aca="false">IF(I9829&gt;J9829,"Y","N")</f>
        <v>Y</v>
      </c>
      <c r="G9829" s="3" t="s">
        <v>36</v>
      </c>
      <c r="H9829" s="3" t="s">
        <v>37</v>
      </c>
      <c r="I9829" s="4" t="n">
        <v>21</v>
      </c>
      <c r="J9829" s="4" t="n">
        <f aca="false">LEN(E9829)-LEN(SUBSTITUTE(E9829,",",""))+1</f>
        <v>7</v>
      </c>
      <c r="K9829" s="3" t="str">
        <f aca="false">IFERROR(INDEX('Teacher Lookup'!$B$2:$B$200,MATCH(A9829,'Teacher Lookup'!$A$2:$A$200,0)),"")</f>
        <v>WONG Timothy</v>
      </c>
    </row>
    <row r="9830" customFormat="false" ht="15" hidden="false" customHeight="false" outlineLevel="0" collapsed="false">
      <c r="A9830" s="3" t="s">
        <v>514</v>
      </c>
      <c r="B9830" s="4" t="s">
        <v>44</v>
      </c>
      <c r="C9830" s="4" t="n">
        <v>5</v>
      </c>
      <c r="D9830" s="4" t="s">
        <v>139</v>
      </c>
      <c r="E9830" s="3" t="s">
        <v>185</v>
      </c>
      <c r="F9830" s="4" t="str">
        <f aca="false">IF(I9830&gt;J9830,"Y","N")</f>
        <v>Y</v>
      </c>
      <c r="G9830" s="3" t="s">
        <v>36</v>
      </c>
      <c r="H9830" s="3" t="s">
        <v>37</v>
      </c>
      <c r="I9830" s="4" t="n">
        <v>21</v>
      </c>
      <c r="J9830" s="4" t="n">
        <f aca="false">LEN(E9830)-LEN(SUBSTITUTE(E9830,",",""))+1</f>
        <v>7</v>
      </c>
      <c r="K9830" s="3" t="str">
        <f aca="false">IFERROR(INDEX('Teacher Lookup'!$B$2:$B$200,MATCH(A9830,'Teacher Lookup'!$A$2:$A$200,0)),"")</f>
        <v>WONG Timothy</v>
      </c>
    </row>
    <row r="9831" customFormat="false" ht="15" hidden="false" customHeight="false" outlineLevel="0" collapsed="false">
      <c r="A9831" s="3" t="s">
        <v>514</v>
      </c>
      <c r="B9831" s="4" t="s">
        <v>44</v>
      </c>
      <c r="C9831" s="4" t="n">
        <v>5</v>
      </c>
      <c r="D9831" s="4" t="s">
        <v>140</v>
      </c>
      <c r="E9831" s="3" t="s">
        <v>185</v>
      </c>
      <c r="F9831" s="4" t="str">
        <f aca="false">IF(I9831&gt;J9831,"Y","N")</f>
        <v>Y</v>
      </c>
      <c r="G9831" s="3" t="s">
        <v>36</v>
      </c>
      <c r="H9831" s="3" t="s">
        <v>37</v>
      </c>
      <c r="I9831" s="4" t="n">
        <v>21</v>
      </c>
      <c r="J9831" s="4" t="n">
        <f aca="false">LEN(E9831)-LEN(SUBSTITUTE(E9831,",",""))+1</f>
        <v>7</v>
      </c>
      <c r="K9831" s="3" t="str">
        <f aca="false">IFERROR(INDEX('Teacher Lookup'!$B$2:$B$200,MATCH(A9831,'Teacher Lookup'!$A$2:$A$200,0)),"")</f>
        <v>WONG Timothy</v>
      </c>
    </row>
    <row r="9832" customFormat="false" ht="15" hidden="false" customHeight="false" outlineLevel="0" collapsed="false">
      <c r="A9832" s="3" t="s">
        <v>514</v>
      </c>
      <c r="B9832" s="4" t="s">
        <v>44</v>
      </c>
      <c r="C9832" s="4" t="n">
        <v>5</v>
      </c>
      <c r="D9832" s="4" t="s">
        <v>142</v>
      </c>
      <c r="E9832" s="3" t="s">
        <v>185</v>
      </c>
      <c r="F9832" s="4" t="str">
        <f aca="false">IF(I9832&gt;J9832,"Y","N")</f>
        <v>Y</v>
      </c>
      <c r="G9832" s="3" t="s">
        <v>36</v>
      </c>
      <c r="H9832" s="3" t="s">
        <v>37</v>
      </c>
      <c r="I9832" s="4" t="n">
        <v>21</v>
      </c>
      <c r="J9832" s="4" t="n">
        <f aca="false">LEN(E9832)-LEN(SUBSTITUTE(E9832,",",""))+1</f>
        <v>7</v>
      </c>
      <c r="K9832" s="3" t="str">
        <f aca="false">IFERROR(INDEX('Teacher Lookup'!$B$2:$B$200,MATCH(A9832,'Teacher Lookup'!$A$2:$A$200,0)),"")</f>
        <v>WONG Timothy</v>
      </c>
    </row>
    <row r="9833" customFormat="false" ht="15" hidden="false" customHeight="false" outlineLevel="0" collapsed="false">
      <c r="A9833" s="3" t="s">
        <v>514</v>
      </c>
      <c r="B9833" s="4" t="s">
        <v>44</v>
      </c>
      <c r="C9833" s="4" t="n">
        <v>5</v>
      </c>
      <c r="D9833" s="4" t="s">
        <v>127</v>
      </c>
      <c r="E9833" s="3" t="s">
        <v>185</v>
      </c>
      <c r="F9833" s="4" t="str">
        <f aca="false">IF(I9833&gt;J9833,"Y","N")</f>
        <v>Y</v>
      </c>
      <c r="G9833" s="3" t="s">
        <v>36</v>
      </c>
      <c r="H9833" s="3" t="s">
        <v>37</v>
      </c>
      <c r="I9833" s="4" t="n">
        <v>21</v>
      </c>
      <c r="J9833" s="4" t="n">
        <f aca="false">LEN(E9833)-LEN(SUBSTITUTE(E9833,",",""))+1</f>
        <v>7</v>
      </c>
      <c r="K9833" s="3" t="str">
        <f aca="false">IFERROR(INDEX('Teacher Lookup'!$B$2:$B$200,MATCH(A9833,'Teacher Lookup'!$A$2:$A$200,0)),"")</f>
        <v>WONG Timothy</v>
      </c>
    </row>
    <row r="9834" customFormat="false" ht="15" hidden="false" customHeight="false" outlineLevel="0" collapsed="false">
      <c r="A9834" s="3" t="s">
        <v>514</v>
      </c>
      <c r="B9834" s="4" t="s">
        <v>44</v>
      </c>
      <c r="C9834" s="4" t="n">
        <v>6</v>
      </c>
      <c r="D9834" s="4" t="s">
        <v>29</v>
      </c>
      <c r="E9834" s="3" t="s">
        <v>515</v>
      </c>
      <c r="F9834" s="4" t="str">
        <f aca="false">IF(I9834&gt;J9834,"Y","N")</f>
        <v>N</v>
      </c>
      <c r="G9834" s="3" t="s">
        <v>287</v>
      </c>
      <c r="H9834" s="3" t="s">
        <v>42</v>
      </c>
      <c r="I9834" s="4" t="n">
        <v>1</v>
      </c>
      <c r="J9834" s="4" t="n">
        <f aca="false">LEN(E9834)-LEN(SUBSTITUTE(E9834,",",""))+1</f>
        <v>1</v>
      </c>
      <c r="K9834" s="3" t="str">
        <f aca="false">IFERROR(INDEX('Teacher Lookup'!$B$2:$B$200,MATCH(A9834,'Teacher Lookup'!$A$2:$A$200,0)),"")</f>
        <v>WONG Timothy</v>
      </c>
    </row>
    <row r="9835" customFormat="false" ht="15" hidden="false" customHeight="false" outlineLevel="0" collapsed="false">
      <c r="A9835" s="3" t="s">
        <v>514</v>
      </c>
      <c r="B9835" s="4" t="s">
        <v>44</v>
      </c>
      <c r="C9835" s="4" t="n">
        <v>7</v>
      </c>
      <c r="D9835" s="4" t="s">
        <v>107</v>
      </c>
      <c r="E9835" s="3" t="s">
        <v>517</v>
      </c>
      <c r="F9835" s="4" t="str">
        <f aca="false">IF(I9835&gt;J9835,"Y","N")</f>
        <v>N</v>
      </c>
      <c r="G9835" s="3" t="s">
        <v>287</v>
      </c>
      <c r="H9835" s="3" t="s">
        <v>39</v>
      </c>
      <c r="I9835" s="4" t="n">
        <v>1</v>
      </c>
      <c r="J9835" s="4" t="n">
        <f aca="false">LEN(E9835)-LEN(SUBSTITUTE(E9835,",",""))+1</f>
        <v>1</v>
      </c>
      <c r="K9835" s="3" t="str">
        <f aca="false">IFERROR(INDEX('Teacher Lookup'!$B$2:$B$200,MATCH(A9835,'Teacher Lookup'!$A$2:$A$200,0)),"")</f>
        <v>WONG Timothy</v>
      </c>
    </row>
    <row r="9836" customFormat="false" ht="15" hidden="false" customHeight="false" outlineLevel="0" collapsed="false">
      <c r="A9836" s="3" t="s">
        <v>514</v>
      </c>
      <c r="B9836" s="4" t="s">
        <v>47</v>
      </c>
      <c r="C9836" s="4" t="n">
        <v>1</v>
      </c>
      <c r="D9836" s="4" t="s">
        <v>107</v>
      </c>
      <c r="E9836" s="3" t="s">
        <v>517</v>
      </c>
      <c r="F9836" s="4" t="str">
        <f aca="false">IF(I9836&gt;J9836,"Y","N")</f>
        <v>N</v>
      </c>
      <c r="G9836" s="3" t="s">
        <v>287</v>
      </c>
      <c r="H9836" s="3" t="s">
        <v>16</v>
      </c>
      <c r="I9836" s="4" t="n">
        <v>1</v>
      </c>
      <c r="J9836" s="4" t="n">
        <f aca="false">LEN(E9836)-LEN(SUBSTITUTE(E9836,",",""))+1</f>
        <v>1</v>
      </c>
      <c r="K9836" s="3" t="str">
        <f aca="false">IFERROR(INDEX('Teacher Lookup'!$B$2:$B$200,MATCH(A9836,'Teacher Lookup'!$A$2:$A$200,0)),"")</f>
        <v>WONG Timothy</v>
      </c>
    </row>
    <row r="9837" customFormat="false" ht="15" hidden="false" customHeight="false" outlineLevel="0" collapsed="false">
      <c r="A9837" s="3" t="s">
        <v>514</v>
      </c>
      <c r="B9837" s="4" t="s">
        <v>47</v>
      </c>
      <c r="C9837" s="4" t="n">
        <v>2</v>
      </c>
      <c r="D9837" s="4" t="s">
        <v>29</v>
      </c>
      <c r="E9837" s="3" t="s">
        <v>515</v>
      </c>
      <c r="F9837" s="4" t="str">
        <f aca="false">IF(I9837&gt;J9837,"Y","N")</f>
        <v>N</v>
      </c>
      <c r="G9837" s="3" t="s">
        <v>287</v>
      </c>
      <c r="H9837" s="3" t="s">
        <v>21</v>
      </c>
      <c r="I9837" s="4" t="n">
        <v>1</v>
      </c>
      <c r="J9837" s="4" t="n">
        <f aca="false">LEN(E9837)-LEN(SUBSTITUTE(E9837,",",""))+1</f>
        <v>1</v>
      </c>
      <c r="K9837" s="3" t="str">
        <f aca="false">IFERROR(INDEX('Teacher Lookup'!$B$2:$B$200,MATCH(A9837,'Teacher Lookup'!$A$2:$A$200,0)),"")</f>
        <v>WONG Timothy</v>
      </c>
    </row>
    <row r="9838" customFormat="false" ht="15" hidden="false" customHeight="false" outlineLevel="0" collapsed="false">
      <c r="A9838" s="3" t="s">
        <v>514</v>
      </c>
      <c r="B9838" s="4" t="s">
        <v>47</v>
      </c>
      <c r="C9838" s="4" t="n">
        <v>4</v>
      </c>
      <c r="D9838" s="4" t="s">
        <v>106</v>
      </c>
      <c r="E9838" s="3" t="s">
        <v>516</v>
      </c>
      <c r="F9838" s="4" t="str">
        <f aca="false">IF(I9838&gt;J9838,"Y","N")</f>
        <v>N</v>
      </c>
      <c r="G9838" s="3" t="s">
        <v>287</v>
      </c>
      <c r="H9838" s="3" t="s">
        <v>34</v>
      </c>
      <c r="I9838" s="4" t="n">
        <v>1</v>
      </c>
      <c r="J9838" s="4" t="n">
        <f aca="false">LEN(E9838)-LEN(SUBSTITUTE(E9838,",",""))+1</f>
        <v>1</v>
      </c>
      <c r="K9838" s="3" t="str">
        <f aca="false">IFERROR(INDEX('Teacher Lookup'!$B$2:$B$200,MATCH(A9838,'Teacher Lookup'!$A$2:$A$200,0)),"")</f>
        <v>WONG Timothy</v>
      </c>
    </row>
    <row r="9839" customFormat="false" ht="15" hidden="false" customHeight="false" outlineLevel="0" collapsed="false">
      <c r="A9839" s="3" t="s">
        <v>514</v>
      </c>
      <c r="B9839" s="4" t="s">
        <v>47</v>
      </c>
      <c r="C9839" s="4" t="n">
        <v>5</v>
      </c>
      <c r="D9839" s="4" t="s">
        <v>19</v>
      </c>
      <c r="E9839" s="3" t="s">
        <v>109</v>
      </c>
      <c r="F9839" s="4" t="str">
        <f aca="false">IF(I9839&gt;J9839,"Y","N")</f>
        <v>N</v>
      </c>
      <c r="G9839" s="3" t="s">
        <v>285</v>
      </c>
      <c r="H9839" s="3" t="s">
        <v>37</v>
      </c>
      <c r="I9839" s="4" t="n">
        <v>1</v>
      </c>
      <c r="J9839" s="4" t="n">
        <f aca="false">LEN(E9839)-LEN(SUBSTITUTE(E9839,",",""))+1</f>
        <v>1</v>
      </c>
      <c r="K9839" s="3" t="str">
        <f aca="false">IFERROR(INDEX('Teacher Lookup'!$B$2:$B$200,MATCH(A9839,'Teacher Lookup'!$A$2:$A$200,0)),"")</f>
        <v>WONG Timothy</v>
      </c>
    </row>
    <row r="9840" customFormat="false" ht="15" hidden="false" customHeight="false" outlineLevel="0" collapsed="false">
      <c r="A9840" s="3" t="s">
        <v>514</v>
      </c>
      <c r="B9840" s="4" t="s">
        <v>50</v>
      </c>
      <c r="C9840" s="4" t="n">
        <v>1</v>
      </c>
      <c r="D9840" s="4" t="s">
        <v>19</v>
      </c>
      <c r="E9840" s="3" t="s">
        <v>109</v>
      </c>
      <c r="F9840" s="4" t="str">
        <f aca="false">IF(I9840&gt;J9840,"Y","N")</f>
        <v>N</v>
      </c>
      <c r="G9840" s="3" t="s">
        <v>285</v>
      </c>
      <c r="H9840" s="3" t="s">
        <v>16</v>
      </c>
      <c r="I9840" s="4" t="n">
        <v>1</v>
      </c>
      <c r="J9840" s="4" t="n">
        <f aca="false">LEN(E9840)-LEN(SUBSTITUTE(E9840,",",""))+1</f>
        <v>1</v>
      </c>
      <c r="K9840" s="3" t="str">
        <f aca="false">IFERROR(INDEX('Teacher Lookup'!$B$2:$B$200,MATCH(A9840,'Teacher Lookup'!$A$2:$A$200,0)),"")</f>
        <v>WONG Timothy</v>
      </c>
    </row>
    <row r="9841" customFormat="false" ht="15" hidden="false" customHeight="false" outlineLevel="0" collapsed="false">
      <c r="A9841" s="3" t="s">
        <v>514</v>
      </c>
      <c r="B9841" s="4" t="s">
        <v>50</v>
      </c>
      <c r="C9841" s="4" t="n">
        <v>2</v>
      </c>
      <c r="D9841" s="4" t="s">
        <v>17</v>
      </c>
      <c r="E9841" s="3" t="s">
        <v>292</v>
      </c>
      <c r="F9841" s="4" t="str">
        <f aca="false">IF(I9841&gt;J9841,"Y","N")</f>
        <v>N</v>
      </c>
      <c r="G9841" s="3" t="s">
        <v>285</v>
      </c>
      <c r="H9841" s="3" t="s">
        <v>21</v>
      </c>
      <c r="I9841" s="4" t="n">
        <v>1</v>
      </c>
      <c r="J9841" s="4" t="n">
        <f aca="false">LEN(E9841)-LEN(SUBSTITUTE(E9841,",",""))+1</f>
        <v>1</v>
      </c>
      <c r="K9841" s="3" t="str">
        <f aca="false">IFERROR(INDEX('Teacher Lookup'!$B$2:$B$200,MATCH(A9841,'Teacher Lookup'!$A$2:$A$200,0)),"")</f>
        <v>WONG Timothy</v>
      </c>
    </row>
    <row r="9842" customFormat="false" ht="15" hidden="false" customHeight="false" outlineLevel="0" collapsed="false">
      <c r="A9842" s="3" t="s">
        <v>514</v>
      </c>
      <c r="B9842" s="4" t="s">
        <v>60</v>
      </c>
      <c r="C9842" s="4" t="n">
        <v>3</v>
      </c>
      <c r="D9842" s="4" t="s">
        <v>142</v>
      </c>
      <c r="E9842" s="3" t="s">
        <v>435</v>
      </c>
      <c r="F9842" s="4" t="str">
        <f aca="false">IF(I9842&gt;J9842,"Y","N")</f>
        <v>N</v>
      </c>
      <c r="G9842" s="3" t="s">
        <v>285</v>
      </c>
      <c r="H9842" s="3" t="s">
        <v>26</v>
      </c>
      <c r="I9842" s="4" t="n">
        <v>1</v>
      </c>
      <c r="J9842" s="4" t="n">
        <f aca="false">LEN(E9842)-LEN(SUBSTITUTE(E9842,",",""))+1</f>
        <v>1</v>
      </c>
      <c r="K9842" s="3" t="str">
        <f aca="false">IFERROR(INDEX('Teacher Lookup'!$B$2:$B$200,MATCH(A9842,'Teacher Lookup'!$A$2:$A$200,0)),"")</f>
        <v>WONG Timothy</v>
      </c>
    </row>
    <row r="9843" customFormat="false" ht="15" hidden="false" customHeight="false" outlineLevel="0" collapsed="false">
      <c r="A9843" s="3" t="s">
        <v>514</v>
      </c>
      <c r="B9843" s="4" t="s">
        <v>60</v>
      </c>
      <c r="C9843" s="4" t="n">
        <v>5</v>
      </c>
      <c r="D9843" s="4" t="s">
        <v>137</v>
      </c>
      <c r="E9843" s="3" t="s">
        <v>185</v>
      </c>
      <c r="F9843" s="4" t="str">
        <f aca="false">IF(I9843&gt;J9843,"Y","N")</f>
        <v>Y</v>
      </c>
      <c r="G9843" s="3" t="s">
        <v>36</v>
      </c>
      <c r="H9843" s="3" t="s">
        <v>37</v>
      </c>
      <c r="I9843" s="4" t="n">
        <v>21</v>
      </c>
      <c r="J9843" s="4" t="n">
        <f aca="false">LEN(E9843)-LEN(SUBSTITUTE(E9843,",",""))+1</f>
        <v>7</v>
      </c>
      <c r="K9843" s="3" t="str">
        <f aca="false">IFERROR(INDEX('Teacher Lookup'!$B$2:$B$200,MATCH(A9843,'Teacher Lookup'!$A$2:$A$200,0)),"")</f>
        <v>WONG Timothy</v>
      </c>
    </row>
    <row r="9844" customFormat="false" ht="15" hidden="false" customHeight="false" outlineLevel="0" collapsed="false">
      <c r="A9844" s="3" t="s">
        <v>514</v>
      </c>
      <c r="B9844" s="4" t="s">
        <v>60</v>
      </c>
      <c r="C9844" s="4" t="n">
        <v>5</v>
      </c>
      <c r="D9844" s="4" t="s">
        <v>124</v>
      </c>
      <c r="E9844" s="3" t="s">
        <v>185</v>
      </c>
      <c r="F9844" s="4" t="str">
        <f aca="false">IF(I9844&gt;J9844,"Y","N")</f>
        <v>Y</v>
      </c>
      <c r="G9844" s="3" t="s">
        <v>36</v>
      </c>
      <c r="H9844" s="3" t="s">
        <v>37</v>
      </c>
      <c r="I9844" s="4" t="n">
        <v>21</v>
      </c>
      <c r="J9844" s="4" t="n">
        <f aca="false">LEN(E9844)-LEN(SUBSTITUTE(E9844,",",""))+1</f>
        <v>7</v>
      </c>
      <c r="K9844" s="3" t="str">
        <f aca="false">IFERROR(INDEX('Teacher Lookup'!$B$2:$B$200,MATCH(A9844,'Teacher Lookup'!$A$2:$A$200,0)),"")</f>
        <v>WONG Timothy</v>
      </c>
    </row>
    <row r="9845" customFormat="false" ht="15" hidden="false" customHeight="false" outlineLevel="0" collapsed="false">
      <c r="A9845" s="3" t="s">
        <v>514</v>
      </c>
      <c r="B9845" s="4" t="s">
        <v>60</v>
      </c>
      <c r="C9845" s="4" t="n">
        <v>5</v>
      </c>
      <c r="D9845" s="4" t="s">
        <v>139</v>
      </c>
      <c r="E9845" s="3" t="s">
        <v>185</v>
      </c>
      <c r="F9845" s="4" t="str">
        <f aca="false">IF(I9845&gt;J9845,"Y","N")</f>
        <v>Y</v>
      </c>
      <c r="G9845" s="3" t="s">
        <v>36</v>
      </c>
      <c r="H9845" s="3" t="s">
        <v>37</v>
      </c>
      <c r="I9845" s="4" t="n">
        <v>21</v>
      </c>
      <c r="J9845" s="4" t="n">
        <f aca="false">LEN(E9845)-LEN(SUBSTITUTE(E9845,",",""))+1</f>
        <v>7</v>
      </c>
      <c r="K9845" s="3" t="str">
        <f aca="false">IFERROR(INDEX('Teacher Lookup'!$B$2:$B$200,MATCH(A9845,'Teacher Lookup'!$A$2:$A$200,0)),"")</f>
        <v>WONG Timothy</v>
      </c>
    </row>
    <row r="9846" customFormat="false" ht="15" hidden="false" customHeight="false" outlineLevel="0" collapsed="false">
      <c r="A9846" s="3" t="s">
        <v>514</v>
      </c>
      <c r="B9846" s="4" t="s">
        <v>60</v>
      </c>
      <c r="C9846" s="4" t="n">
        <v>5</v>
      </c>
      <c r="D9846" s="4" t="s">
        <v>140</v>
      </c>
      <c r="E9846" s="3" t="s">
        <v>185</v>
      </c>
      <c r="F9846" s="4" t="str">
        <f aca="false">IF(I9846&gt;J9846,"Y","N")</f>
        <v>Y</v>
      </c>
      <c r="G9846" s="3" t="s">
        <v>36</v>
      </c>
      <c r="H9846" s="3" t="s">
        <v>37</v>
      </c>
      <c r="I9846" s="4" t="n">
        <v>21</v>
      </c>
      <c r="J9846" s="4" t="n">
        <f aca="false">LEN(E9846)-LEN(SUBSTITUTE(E9846,",",""))+1</f>
        <v>7</v>
      </c>
      <c r="K9846" s="3" t="str">
        <f aca="false">IFERROR(INDEX('Teacher Lookup'!$B$2:$B$200,MATCH(A9846,'Teacher Lookup'!$A$2:$A$200,0)),"")</f>
        <v>WONG Timothy</v>
      </c>
    </row>
    <row r="9847" customFormat="false" ht="15" hidden="false" customHeight="false" outlineLevel="0" collapsed="false">
      <c r="A9847" s="3" t="s">
        <v>514</v>
      </c>
      <c r="B9847" s="4" t="s">
        <v>60</v>
      </c>
      <c r="C9847" s="4" t="n">
        <v>5</v>
      </c>
      <c r="D9847" s="4" t="s">
        <v>142</v>
      </c>
      <c r="E9847" s="3" t="s">
        <v>185</v>
      </c>
      <c r="F9847" s="4" t="str">
        <f aca="false">IF(I9847&gt;J9847,"Y","N")</f>
        <v>Y</v>
      </c>
      <c r="G9847" s="3" t="s">
        <v>36</v>
      </c>
      <c r="H9847" s="3" t="s">
        <v>37</v>
      </c>
      <c r="I9847" s="4" t="n">
        <v>21</v>
      </c>
      <c r="J9847" s="4" t="n">
        <f aca="false">LEN(E9847)-LEN(SUBSTITUTE(E9847,",",""))+1</f>
        <v>7</v>
      </c>
      <c r="K9847" s="3" t="str">
        <f aca="false">IFERROR(INDEX('Teacher Lookup'!$B$2:$B$200,MATCH(A9847,'Teacher Lookup'!$A$2:$A$200,0)),"")</f>
        <v>WONG Timothy</v>
      </c>
    </row>
    <row r="9848" customFormat="false" ht="15" hidden="false" customHeight="false" outlineLevel="0" collapsed="false">
      <c r="A9848" s="3" t="s">
        <v>514</v>
      </c>
      <c r="B9848" s="4" t="s">
        <v>60</v>
      </c>
      <c r="C9848" s="4" t="n">
        <v>5</v>
      </c>
      <c r="D9848" s="4" t="s">
        <v>127</v>
      </c>
      <c r="E9848" s="3" t="s">
        <v>185</v>
      </c>
      <c r="F9848" s="4" t="str">
        <f aca="false">IF(I9848&gt;J9848,"Y","N")</f>
        <v>Y</v>
      </c>
      <c r="G9848" s="3" t="s">
        <v>36</v>
      </c>
      <c r="H9848" s="3" t="s">
        <v>37</v>
      </c>
      <c r="I9848" s="4" t="n">
        <v>21</v>
      </c>
      <c r="J9848" s="4" t="n">
        <f aca="false">LEN(E9848)-LEN(SUBSTITUTE(E9848,",",""))+1</f>
        <v>7</v>
      </c>
      <c r="K9848" s="3" t="str">
        <f aca="false">IFERROR(INDEX('Teacher Lookup'!$B$2:$B$200,MATCH(A9848,'Teacher Lookup'!$A$2:$A$200,0)),"")</f>
        <v>WONG Timothy</v>
      </c>
    </row>
    <row r="9849" customFormat="false" ht="15" hidden="false" customHeight="false" outlineLevel="0" collapsed="false">
      <c r="A9849" s="3" t="s">
        <v>514</v>
      </c>
      <c r="B9849" s="4" t="s">
        <v>63</v>
      </c>
      <c r="C9849" s="4" t="n">
        <v>2</v>
      </c>
      <c r="D9849" s="4" t="s">
        <v>106</v>
      </c>
      <c r="E9849" s="3" t="s">
        <v>516</v>
      </c>
      <c r="F9849" s="4" t="str">
        <f aca="false">IF(I9849&gt;J9849,"Y","N")</f>
        <v>N</v>
      </c>
      <c r="G9849" s="3" t="s">
        <v>287</v>
      </c>
      <c r="H9849" s="3" t="s">
        <v>21</v>
      </c>
      <c r="I9849" s="4" t="n">
        <v>1</v>
      </c>
      <c r="J9849" s="4" t="n">
        <f aca="false">LEN(E9849)-LEN(SUBSTITUTE(E9849,",",""))+1</f>
        <v>1</v>
      </c>
      <c r="K9849" s="3" t="str">
        <f aca="false">IFERROR(INDEX('Teacher Lookup'!$B$2:$B$200,MATCH(A9849,'Teacher Lookup'!$A$2:$A$200,0)),"")</f>
        <v>WONG Timothy</v>
      </c>
    </row>
    <row r="9850" customFormat="false" ht="15" hidden="false" customHeight="false" outlineLevel="0" collapsed="false">
      <c r="A9850" s="3" t="s">
        <v>514</v>
      </c>
      <c r="B9850" s="4" t="s">
        <v>63</v>
      </c>
      <c r="C9850" s="4" t="n">
        <v>3</v>
      </c>
      <c r="D9850" s="4" t="s">
        <v>24</v>
      </c>
      <c r="E9850" s="3" t="s">
        <v>485</v>
      </c>
      <c r="F9850" s="4" t="str">
        <f aca="false">IF(I9850&gt;J9850,"Y","N")</f>
        <v>N</v>
      </c>
      <c r="G9850" s="3" t="s">
        <v>287</v>
      </c>
      <c r="H9850" s="3" t="s">
        <v>26</v>
      </c>
      <c r="I9850" s="4" t="n">
        <v>1</v>
      </c>
      <c r="J9850" s="4" t="n">
        <f aca="false">LEN(E9850)-LEN(SUBSTITUTE(E9850,",",""))+1</f>
        <v>1</v>
      </c>
      <c r="K9850" s="3" t="str">
        <f aca="false">IFERROR(INDEX('Teacher Lookup'!$B$2:$B$200,MATCH(A9850,'Teacher Lookup'!$A$2:$A$200,0)),"")</f>
        <v>WONG Timothy</v>
      </c>
    </row>
    <row r="9851" customFormat="false" ht="15" hidden="false" customHeight="false" outlineLevel="0" collapsed="false">
      <c r="A9851" s="3" t="s">
        <v>514</v>
      </c>
      <c r="B9851" s="4" t="s">
        <v>63</v>
      </c>
      <c r="C9851" s="4" t="n">
        <v>4</v>
      </c>
      <c r="D9851" s="4" t="s">
        <v>137</v>
      </c>
      <c r="E9851" s="3" t="s">
        <v>434</v>
      </c>
      <c r="F9851" s="4" t="str">
        <f aca="false">IF(I9851&gt;J9851,"Y","N")</f>
        <v>N</v>
      </c>
      <c r="G9851" s="3" t="s">
        <v>285</v>
      </c>
      <c r="H9851" s="3" t="s">
        <v>34</v>
      </c>
      <c r="I9851" s="4" t="n">
        <v>1</v>
      </c>
      <c r="J9851" s="4" t="n">
        <f aca="false">LEN(E9851)-LEN(SUBSTITUTE(E9851,",",""))+1</f>
        <v>1</v>
      </c>
      <c r="K9851" s="3" t="str">
        <f aca="false">IFERROR(INDEX('Teacher Lookup'!$B$2:$B$200,MATCH(A9851,'Teacher Lookup'!$A$2:$A$200,0)),"")</f>
        <v>WONG Timothy</v>
      </c>
    </row>
    <row r="9852" customFormat="false" ht="15" hidden="false" customHeight="false" outlineLevel="0" collapsed="false">
      <c r="A9852" s="3" t="s">
        <v>514</v>
      </c>
      <c r="B9852" s="4" t="s">
        <v>63</v>
      </c>
      <c r="C9852" s="4" t="n">
        <v>5</v>
      </c>
      <c r="D9852" s="4" t="s">
        <v>142</v>
      </c>
      <c r="E9852" s="3" t="s">
        <v>435</v>
      </c>
      <c r="F9852" s="4" t="str">
        <f aca="false">IF(I9852&gt;J9852,"Y","N")</f>
        <v>N</v>
      </c>
      <c r="G9852" s="3" t="s">
        <v>285</v>
      </c>
      <c r="H9852" s="3" t="s">
        <v>37</v>
      </c>
      <c r="I9852" s="4" t="n">
        <v>1</v>
      </c>
      <c r="J9852" s="4" t="n">
        <f aca="false">LEN(E9852)-LEN(SUBSTITUTE(E9852,",",""))+1</f>
        <v>1</v>
      </c>
      <c r="K9852" s="3" t="str">
        <f aca="false">IFERROR(INDEX('Teacher Lookup'!$B$2:$B$200,MATCH(A9852,'Teacher Lookup'!$A$2:$A$200,0)),"")</f>
        <v>WONG Timothy</v>
      </c>
    </row>
    <row r="9853" customFormat="false" ht="15" hidden="false" customHeight="false" outlineLevel="0" collapsed="false">
      <c r="A9853" s="3" t="s">
        <v>514</v>
      </c>
      <c r="B9853" s="4" t="s">
        <v>63</v>
      </c>
      <c r="C9853" s="4" t="n">
        <v>6</v>
      </c>
      <c r="D9853" s="4" t="s">
        <v>107</v>
      </c>
      <c r="E9853" s="3" t="s">
        <v>517</v>
      </c>
      <c r="F9853" s="4" t="str">
        <f aca="false">IF(I9853&gt;J9853,"Y","N")</f>
        <v>N</v>
      </c>
      <c r="G9853" s="3" t="s">
        <v>287</v>
      </c>
      <c r="H9853" s="3" t="s">
        <v>42</v>
      </c>
      <c r="I9853" s="4" t="n">
        <v>1</v>
      </c>
      <c r="J9853" s="4" t="n">
        <f aca="false">LEN(E9853)-LEN(SUBSTITUTE(E9853,",",""))+1</f>
        <v>1</v>
      </c>
      <c r="K9853" s="3" t="str">
        <f aca="false">IFERROR(INDEX('Teacher Lookup'!$B$2:$B$200,MATCH(A9853,'Teacher Lookup'!$A$2:$A$200,0)),"")</f>
        <v>WONG Timothy</v>
      </c>
    </row>
    <row r="9854" customFormat="false" ht="15" hidden="false" customHeight="false" outlineLevel="0" collapsed="false">
      <c r="A9854" s="3" t="s">
        <v>514</v>
      </c>
      <c r="B9854" s="4" t="s">
        <v>63</v>
      </c>
      <c r="C9854" s="4" t="n">
        <v>7</v>
      </c>
      <c r="D9854" s="4" t="s">
        <v>29</v>
      </c>
      <c r="E9854" s="3" t="s">
        <v>515</v>
      </c>
      <c r="F9854" s="4" t="str">
        <f aca="false">IF(I9854&gt;J9854,"Y","N")</f>
        <v>N</v>
      </c>
      <c r="G9854" s="3" t="s">
        <v>287</v>
      </c>
      <c r="H9854" s="3" t="s">
        <v>39</v>
      </c>
      <c r="I9854" s="4" t="n">
        <v>1</v>
      </c>
      <c r="J9854" s="4" t="n">
        <f aca="false">LEN(E9854)-LEN(SUBSTITUTE(E9854,",",""))+1</f>
        <v>1</v>
      </c>
      <c r="K9854" s="3" t="str">
        <f aca="false">IFERROR(INDEX('Teacher Lookup'!$B$2:$B$200,MATCH(A9854,'Teacher Lookup'!$A$2:$A$200,0)),"")</f>
        <v>WONG Timothy</v>
      </c>
    </row>
    <row r="9855" customFormat="false" ht="15" hidden="false" customHeight="false" outlineLevel="0" collapsed="false">
      <c r="A9855" s="3" t="s">
        <v>514</v>
      </c>
      <c r="B9855" s="4" t="s">
        <v>65</v>
      </c>
      <c r="C9855" s="4" t="n">
        <v>3</v>
      </c>
      <c r="D9855" s="4" t="s">
        <v>17</v>
      </c>
      <c r="E9855" s="3" t="s">
        <v>292</v>
      </c>
      <c r="F9855" s="4" t="str">
        <f aca="false">IF(I9855&gt;J9855,"Y","N")</f>
        <v>N</v>
      </c>
      <c r="G9855" s="3" t="s">
        <v>285</v>
      </c>
      <c r="H9855" s="3" t="s">
        <v>26</v>
      </c>
      <c r="I9855" s="4" t="n">
        <v>1</v>
      </c>
      <c r="J9855" s="4" t="n">
        <f aca="false">LEN(E9855)-LEN(SUBSTITUTE(E9855,",",""))+1</f>
        <v>1</v>
      </c>
      <c r="K9855" s="3" t="str">
        <f aca="false">IFERROR(INDEX('Teacher Lookup'!$B$2:$B$200,MATCH(A9855,'Teacher Lookup'!$A$2:$A$200,0)),"")</f>
        <v>WONG Timothy</v>
      </c>
    </row>
    <row r="9856" customFormat="false" ht="15" hidden="false" customHeight="false" outlineLevel="0" collapsed="false">
      <c r="A9856" s="3" t="s">
        <v>514</v>
      </c>
      <c r="B9856" s="4" t="s">
        <v>65</v>
      </c>
      <c r="C9856" s="4" t="n">
        <v>5</v>
      </c>
      <c r="D9856" s="4" t="s">
        <v>137</v>
      </c>
      <c r="E9856" s="3" t="s">
        <v>185</v>
      </c>
      <c r="F9856" s="4" t="str">
        <f aca="false">IF(I9856&gt;J9856,"Y","N")</f>
        <v>Y</v>
      </c>
      <c r="G9856" s="3" t="s">
        <v>36</v>
      </c>
      <c r="H9856" s="3" t="s">
        <v>37</v>
      </c>
      <c r="I9856" s="4" t="n">
        <v>21</v>
      </c>
      <c r="J9856" s="4" t="n">
        <f aca="false">LEN(E9856)-LEN(SUBSTITUTE(E9856,",",""))+1</f>
        <v>7</v>
      </c>
      <c r="K9856" s="3" t="str">
        <f aca="false">IFERROR(INDEX('Teacher Lookup'!$B$2:$B$200,MATCH(A9856,'Teacher Lookup'!$A$2:$A$200,0)),"")</f>
        <v>WONG Timothy</v>
      </c>
    </row>
    <row r="9857" customFormat="false" ht="15" hidden="false" customHeight="false" outlineLevel="0" collapsed="false">
      <c r="A9857" s="3" t="s">
        <v>514</v>
      </c>
      <c r="B9857" s="4" t="s">
        <v>65</v>
      </c>
      <c r="C9857" s="4" t="n">
        <v>5</v>
      </c>
      <c r="D9857" s="4" t="s">
        <v>124</v>
      </c>
      <c r="E9857" s="3" t="s">
        <v>185</v>
      </c>
      <c r="F9857" s="4" t="str">
        <f aca="false">IF(I9857&gt;J9857,"Y","N")</f>
        <v>Y</v>
      </c>
      <c r="G9857" s="3" t="s">
        <v>36</v>
      </c>
      <c r="H9857" s="3" t="s">
        <v>37</v>
      </c>
      <c r="I9857" s="4" t="n">
        <v>21</v>
      </c>
      <c r="J9857" s="4" t="n">
        <f aca="false">LEN(E9857)-LEN(SUBSTITUTE(E9857,",",""))+1</f>
        <v>7</v>
      </c>
      <c r="K9857" s="3" t="str">
        <f aca="false">IFERROR(INDEX('Teacher Lookup'!$B$2:$B$200,MATCH(A9857,'Teacher Lookup'!$A$2:$A$200,0)),"")</f>
        <v>WONG Timothy</v>
      </c>
    </row>
    <row r="9858" customFormat="false" ht="15" hidden="false" customHeight="false" outlineLevel="0" collapsed="false">
      <c r="A9858" s="3" t="s">
        <v>514</v>
      </c>
      <c r="B9858" s="4" t="s">
        <v>65</v>
      </c>
      <c r="C9858" s="4" t="n">
        <v>5</v>
      </c>
      <c r="D9858" s="4" t="s">
        <v>139</v>
      </c>
      <c r="E9858" s="3" t="s">
        <v>185</v>
      </c>
      <c r="F9858" s="4" t="str">
        <f aca="false">IF(I9858&gt;J9858,"Y","N")</f>
        <v>Y</v>
      </c>
      <c r="G9858" s="3" t="s">
        <v>36</v>
      </c>
      <c r="H9858" s="3" t="s">
        <v>37</v>
      </c>
      <c r="I9858" s="4" t="n">
        <v>21</v>
      </c>
      <c r="J9858" s="4" t="n">
        <f aca="false">LEN(E9858)-LEN(SUBSTITUTE(E9858,",",""))+1</f>
        <v>7</v>
      </c>
      <c r="K9858" s="3" t="str">
        <f aca="false">IFERROR(INDEX('Teacher Lookup'!$B$2:$B$200,MATCH(A9858,'Teacher Lookup'!$A$2:$A$200,0)),"")</f>
        <v>WONG Timothy</v>
      </c>
    </row>
    <row r="9859" customFormat="false" ht="15" hidden="false" customHeight="false" outlineLevel="0" collapsed="false">
      <c r="A9859" s="3" t="s">
        <v>514</v>
      </c>
      <c r="B9859" s="4" t="s">
        <v>65</v>
      </c>
      <c r="C9859" s="4" t="n">
        <v>5</v>
      </c>
      <c r="D9859" s="4" t="s">
        <v>140</v>
      </c>
      <c r="E9859" s="3" t="s">
        <v>185</v>
      </c>
      <c r="F9859" s="4" t="str">
        <f aca="false">IF(I9859&gt;J9859,"Y","N")</f>
        <v>Y</v>
      </c>
      <c r="G9859" s="3" t="s">
        <v>36</v>
      </c>
      <c r="H9859" s="3" t="s">
        <v>37</v>
      </c>
      <c r="I9859" s="4" t="n">
        <v>21</v>
      </c>
      <c r="J9859" s="4" t="n">
        <f aca="false">LEN(E9859)-LEN(SUBSTITUTE(E9859,",",""))+1</f>
        <v>7</v>
      </c>
      <c r="K9859" s="3" t="str">
        <f aca="false">IFERROR(INDEX('Teacher Lookup'!$B$2:$B$200,MATCH(A9859,'Teacher Lookup'!$A$2:$A$200,0)),"")</f>
        <v>WONG Timothy</v>
      </c>
    </row>
    <row r="9860" customFormat="false" ht="15" hidden="false" customHeight="false" outlineLevel="0" collapsed="false">
      <c r="A9860" s="3" t="s">
        <v>514</v>
      </c>
      <c r="B9860" s="4" t="s">
        <v>65</v>
      </c>
      <c r="C9860" s="4" t="n">
        <v>5</v>
      </c>
      <c r="D9860" s="4" t="s">
        <v>142</v>
      </c>
      <c r="E9860" s="3" t="s">
        <v>185</v>
      </c>
      <c r="F9860" s="4" t="str">
        <f aca="false">IF(I9860&gt;J9860,"Y","N")</f>
        <v>Y</v>
      </c>
      <c r="G9860" s="3" t="s">
        <v>36</v>
      </c>
      <c r="H9860" s="3" t="s">
        <v>37</v>
      </c>
      <c r="I9860" s="4" t="n">
        <v>21</v>
      </c>
      <c r="J9860" s="4" t="n">
        <f aca="false">LEN(E9860)-LEN(SUBSTITUTE(E9860,",",""))+1</f>
        <v>7</v>
      </c>
      <c r="K9860" s="3" t="str">
        <f aca="false">IFERROR(INDEX('Teacher Lookup'!$B$2:$B$200,MATCH(A9860,'Teacher Lookup'!$A$2:$A$200,0)),"")</f>
        <v>WONG Timothy</v>
      </c>
    </row>
    <row r="9861" customFormat="false" ht="15" hidden="false" customHeight="false" outlineLevel="0" collapsed="false">
      <c r="A9861" s="3" t="s">
        <v>514</v>
      </c>
      <c r="B9861" s="4" t="s">
        <v>65</v>
      </c>
      <c r="C9861" s="4" t="n">
        <v>5</v>
      </c>
      <c r="D9861" s="4" t="s">
        <v>127</v>
      </c>
      <c r="E9861" s="3" t="s">
        <v>185</v>
      </c>
      <c r="F9861" s="4" t="str">
        <f aca="false">IF(I9861&gt;J9861,"Y","N")</f>
        <v>Y</v>
      </c>
      <c r="G9861" s="3" t="s">
        <v>36</v>
      </c>
      <c r="H9861" s="3" t="s">
        <v>37</v>
      </c>
      <c r="I9861" s="4" t="n">
        <v>21</v>
      </c>
      <c r="J9861" s="4" t="n">
        <f aca="false">LEN(E9861)-LEN(SUBSTITUTE(E9861,",",""))+1</f>
        <v>7</v>
      </c>
      <c r="K9861" s="3" t="str">
        <f aca="false">IFERROR(INDEX('Teacher Lookup'!$B$2:$B$200,MATCH(A9861,'Teacher Lookup'!$A$2:$A$200,0)),"")</f>
        <v>WONG Timothy</v>
      </c>
    </row>
    <row r="9862" customFormat="false" ht="15" hidden="false" customHeight="false" outlineLevel="0" collapsed="false">
      <c r="A9862" s="3" t="s">
        <v>514</v>
      </c>
      <c r="B9862" s="4" t="s">
        <v>65</v>
      </c>
      <c r="C9862" s="4" t="n">
        <v>6</v>
      </c>
      <c r="D9862" s="4" t="s">
        <v>106</v>
      </c>
      <c r="E9862" s="3" t="s">
        <v>516</v>
      </c>
      <c r="F9862" s="4" t="str">
        <f aca="false">IF(I9862&gt;J9862,"Y","N")</f>
        <v>N</v>
      </c>
      <c r="G9862" s="3" t="s">
        <v>287</v>
      </c>
      <c r="H9862" s="3" t="s">
        <v>42</v>
      </c>
      <c r="I9862" s="4" t="n">
        <v>1</v>
      </c>
      <c r="J9862" s="4" t="n">
        <f aca="false">LEN(E9862)-LEN(SUBSTITUTE(E9862,",",""))+1</f>
        <v>1</v>
      </c>
      <c r="K9862" s="3" t="str">
        <f aca="false">IFERROR(INDEX('Teacher Lookup'!$B$2:$B$200,MATCH(A9862,'Teacher Lookup'!$A$2:$A$200,0)),"")</f>
        <v>WONG Timothy</v>
      </c>
    </row>
    <row r="9863" customFormat="false" ht="15" hidden="false" customHeight="false" outlineLevel="0" collapsed="false">
      <c r="A9863" s="3" t="s">
        <v>514</v>
      </c>
      <c r="B9863" s="4" t="s">
        <v>65</v>
      </c>
      <c r="C9863" s="4" t="n">
        <v>7</v>
      </c>
      <c r="D9863" s="4" t="s">
        <v>107</v>
      </c>
      <c r="E9863" s="3" t="s">
        <v>517</v>
      </c>
      <c r="F9863" s="4" t="str">
        <f aca="false">IF(I9863&gt;J9863,"Y","N")</f>
        <v>N</v>
      </c>
      <c r="G9863" s="3" t="s">
        <v>287</v>
      </c>
      <c r="H9863" s="3" t="s">
        <v>39</v>
      </c>
      <c r="I9863" s="4" t="n">
        <v>1</v>
      </c>
      <c r="J9863" s="4" t="n">
        <f aca="false">LEN(E9863)-LEN(SUBSTITUTE(E9863,",",""))+1</f>
        <v>1</v>
      </c>
      <c r="K9863" s="3" t="str">
        <f aca="false">IFERROR(INDEX('Teacher Lookup'!$B$2:$B$200,MATCH(A9863,'Teacher Lookup'!$A$2:$A$200,0)),"")</f>
        <v>WONG Timothy</v>
      </c>
    </row>
    <row r="9864" customFormat="false" ht="15" hidden="false" customHeight="false" outlineLevel="0" collapsed="false">
      <c r="A9864" s="3" t="s">
        <v>514</v>
      </c>
      <c r="B9864" s="4" t="s">
        <v>66</v>
      </c>
      <c r="C9864" s="4" t="n">
        <v>3</v>
      </c>
      <c r="D9864" s="4" t="s">
        <v>19</v>
      </c>
      <c r="E9864" s="3" t="s">
        <v>109</v>
      </c>
      <c r="F9864" s="4" t="str">
        <f aca="false">IF(I9864&gt;J9864,"Y","N")</f>
        <v>N</v>
      </c>
      <c r="G9864" s="3" t="s">
        <v>285</v>
      </c>
      <c r="H9864" s="3" t="s">
        <v>26</v>
      </c>
      <c r="I9864" s="4" t="n">
        <v>1</v>
      </c>
      <c r="J9864" s="4" t="n">
        <f aca="false">LEN(E9864)-LEN(SUBSTITUTE(E9864,",",""))+1</f>
        <v>1</v>
      </c>
      <c r="K9864" s="3" t="str">
        <f aca="false">IFERROR(INDEX('Teacher Lookup'!$B$2:$B$200,MATCH(A9864,'Teacher Lookup'!$A$2:$A$200,0)),"")</f>
        <v>WONG Timothy</v>
      </c>
    </row>
    <row r="9865" customFormat="false" ht="15" hidden="false" customHeight="false" outlineLevel="0" collapsed="false">
      <c r="A9865" s="3" t="s">
        <v>514</v>
      </c>
      <c r="B9865" s="4" t="s">
        <v>66</v>
      </c>
      <c r="C9865" s="4" t="n">
        <v>5</v>
      </c>
      <c r="D9865" s="4" t="s">
        <v>24</v>
      </c>
      <c r="E9865" s="3" t="s">
        <v>485</v>
      </c>
      <c r="F9865" s="4" t="str">
        <f aca="false">IF(I9865&gt;J9865,"Y","N")</f>
        <v>N</v>
      </c>
      <c r="G9865" s="3" t="s">
        <v>287</v>
      </c>
      <c r="H9865" s="3" t="s">
        <v>37</v>
      </c>
      <c r="I9865" s="4" t="n">
        <v>1</v>
      </c>
      <c r="J9865" s="4" t="n">
        <f aca="false">LEN(E9865)-LEN(SUBSTITUTE(E9865,",",""))+1</f>
        <v>1</v>
      </c>
      <c r="K9865" s="3" t="str">
        <f aca="false">IFERROR(INDEX('Teacher Lookup'!$B$2:$B$200,MATCH(A9865,'Teacher Lookup'!$A$2:$A$200,0)),"")</f>
        <v>WONG Timothy</v>
      </c>
    </row>
    <row r="9866" customFormat="false" ht="15" hidden="false" customHeight="false" outlineLevel="0" collapsed="false">
      <c r="A9866" s="3" t="s">
        <v>514</v>
      </c>
      <c r="B9866" s="4" t="s">
        <v>66</v>
      </c>
      <c r="C9866" s="4" t="n">
        <v>6</v>
      </c>
      <c r="D9866" s="4" t="s">
        <v>137</v>
      </c>
      <c r="E9866" s="3" t="s">
        <v>434</v>
      </c>
      <c r="F9866" s="4" t="str">
        <f aca="false">IF(I9866&gt;J9866,"Y","N")</f>
        <v>N</v>
      </c>
      <c r="G9866" s="3" t="s">
        <v>285</v>
      </c>
      <c r="H9866" s="3" t="s">
        <v>42</v>
      </c>
      <c r="I9866" s="4" t="n">
        <v>1</v>
      </c>
      <c r="J9866" s="4" t="n">
        <f aca="false">LEN(E9866)-LEN(SUBSTITUTE(E9866,",",""))+1</f>
        <v>1</v>
      </c>
      <c r="K9866" s="3" t="str">
        <f aca="false">IFERROR(INDEX('Teacher Lookup'!$B$2:$B$200,MATCH(A9866,'Teacher Lookup'!$A$2:$A$200,0)),"")</f>
        <v>WONG Timothy</v>
      </c>
    </row>
    <row r="9867" customFormat="false" ht="15" hidden="false" customHeight="false" outlineLevel="0" collapsed="false">
      <c r="A9867" s="3" t="s">
        <v>518</v>
      </c>
      <c r="B9867" s="4" t="s">
        <v>12</v>
      </c>
      <c r="C9867" s="4" t="n">
        <v>1</v>
      </c>
      <c r="D9867" s="4" t="s">
        <v>13</v>
      </c>
      <c r="E9867" s="3" t="s">
        <v>14</v>
      </c>
      <c r="F9867" s="4" t="str">
        <f aca="false">IF(I9867&gt;J9867,"Y","N")</f>
        <v>N</v>
      </c>
      <c r="G9867" s="3" t="s">
        <v>15</v>
      </c>
      <c r="H9867" s="3" t="s">
        <v>16</v>
      </c>
      <c r="I9867" s="4" t="n">
        <v>4</v>
      </c>
      <c r="J9867" s="4" t="n">
        <f aca="false">LEN(E9867)-LEN(SUBSTITUTE(E9867,",",""))+1</f>
        <v>4</v>
      </c>
      <c r="K9867" s="3" t="str">
        <f aca="false">IFERROR(INDEX('Teacher Lookup'!$B$2:$B$200,MATCH(A9867,'Teacher Lookup'!$A$2:$A$200,0)),"")</f>
        <v>LEUNG Tom</v>
      </c>
    </row>
    <row r="9868" customFormat="false" ht="15" hidden="false" customHeight="false" outlineLevel="0" collapsed="false">
      <c r="A9868" s="3" t="s">
        <v>518</v>
      </c>
      <c r="B9868" s="4" t="s">
        <v>12</v>
      </c>
      <c r="C9868" s="4" t="n">
        <v>1</v>
      </c>
      <c r="D9868" s="4" t="s">
        <v>17</v>
      </c>
      <c r="E9868" s="3" t="s">
        <v>14</v>
      </c>
      <c r="F9868" s="4" t="str">
        <f aca="false">IF(I9868&gt;J9868,"Y","N")</f>
        <v>N</v>
      </c>
      <c r="G9868" s="3" t="s">
        <v>15</v>
      </c>
      <c r="H9868" s="3" t="s">
        <v>16</v>
      </c>
      <c r="I9868" s="4" t="n">
        <v>4</v>
      </c>
      <c r="J9868" s="4" t="n">
        <f aca="false">LEN(E9868)-LEN(SUBSTITUTE(E9868,",",""))+1</f>
        <v>4</v>
      </c>
      <c r="K9868" s="3" t="str">
        <f aca="false">IFERROR(INDEX('Teacher Lookup'!$B$2:$B$200,MATCH(A9868,'Teacher Lookup'!$A$2:$A$200,0)),"")</f>
        <v>LEUNG Tom</v>
      </c>
    </row>
    <row r="9869" customFormat="false" ht="15" hidden="false" customHeight="false" outlineLevel="0" collapsed="false">
      <c r="A9869" s="3" t="s">
        <v>518</v>
      </c>
      <c r="B9869" s="4" t="s">
        <v>12</v>
      </c>
      <c r="C9869" s="4" t="n">
        <v>1</v>
      </c>
      <c r="D9869" s="4" t="s">
        <v>18</v>
      </c>
      <c r="E9869" s="3" t="s">
        <v>14</v>
      </c>
      <c r="F9869" s="4" t="str">
        <f aca="false">IF(I9869&gt;J9869,"Y","N")</f>
        <v>N</v>
      </c>
      <c r="G9869" s="3" t="s">
        <v>15</v>
      </c>
      <c r="H9869" s="3" t="s">
        <v>16</v>
      </c>
      <c r="I9869" s="4" t="n">
        <v>4</v>
      </c>
      <c r="J9869" s="4" t="n">
        <f aca="false">LEN(E9869)-LEN(SUBSTITUTE(E9869,",",""))+1</f>
        <v>4</v>
      </c>
      <c r="K9869" s="3" t="str">
        <f aca="false">IFERROR(INDEX('Teacher Lookup'!$B$2:$B$200,MATCH(A9869,'Teacher Lookup'!$A$2:$A$200,0)),"")</f>
        <v>LEUNG Tom</v>
      </c>
    </row>
    <row r="9870" customFormat="false" ht="15" hidden="false" customHeight="false" outlineLevel="0" collapsed="false">
      <c r="A9870" s="3" t="s">
        <v>518</v>
      </c>
      <c r="B9870" s="4" t="s">
        <v>12</v>
      </c>
      <c r="C9870" s="4" t="n">
        <v>2</v>
      </c>
      <c r="D9870" s="4" t="s">
        <v>19</v>
      </c>
      <c r="E9870" s="3" t="s">
        <v>20</v>
      </c>
      <c r="F9870" s="4" t="str">
        <f aca="false">IF(I9870&gt;J9870,"Y","N")</f>
        <v>N</v>
      </c>
      <c r="G9870" s="3" t="s">
        <v>15</v>
      </c>
      <c r="H9870" s="3" t="s">
        <v>21</v>
      </c>
      <c r="I9870" s="4" t="n">
        <v>4</v>
      </c>
      <c r="J9870" s="4" t="n">
        <f aca="false">LEN(E9870)-LEN(SUBSTITUTE(E9870,",",""))+1</f>
        <v>4</v>
      </c>
      <c r="K9870" s="3" t="str">
        <f aca="false">IFERROR(INDEX('Teacher Lookup'!$B$2:$B$200,MATCH(A9870,'Teacher Lookup'!$A$2:$A$200,0)),"")</f>
        <v>LEUNG Tom</v>
      </c>
    </row>
    <row r="9871" customFormat="false" ht="15" hidden="false" customHeight="false" outlineLevel="0" collapsed="false">
      <c r="A9871" s="3" t="s">
        <v>518</v>
      </c>
      <c r="B9871" s="4" t="s">
        <v>12</v>
      </c>
      <c r="C9871" s="4" t="n">
        <v>2</v>
      </c>
      <c r="D9871" s="4" t="s">
        <v>22</v>
      </c>
      <c r="E9871" s="3" t="s">
        <v>20</v>
      </c>
      <c r="F9871" s="4" t="str">
        <f aca="false">IF(I9871&gt;J9871,"Y","N")</f>
        <v>N</v>
      </c>
      <c r="G9871" s="3" t="s">
        <v>15</v>
      </c>
      <c r="H9871" s="3" t="s">
        <v>21</v>
      </c>
      <c r="I9871" s="4" t="n">
        <v>4</v>
      </c>
      <c r="J9871" s="4" t="n">
        <f aca="false">LEN(E9871)-LEN(SUBSTITUTE(E9871,",",""))+1</f>
        <v>4</v>
      </c>
      <c r="K9871" s="3" t="str">
        <f aca="false">IFERROR(INDEX('Teacher Lookup'!$B$2:$B$200,MATCH(A9871,'Teacher Lookup'!$A$2:$A$200,0)),"")</f>
        <v>LEUNG Tom</v>
      </c>
    </row>
    <row r="9872" customFormat="false" ht="15" hidden="false" customHeight="false" outlineLevel="0" collapsed="false">
      <c r="A9872" s="3" t="s">
        <v>518</v>
      </c>
      <c r="B9872" s="4" t="s">
        <v>12</v>
      </c>
      <c r="C9872" s="4" t="n">
        <v>2</v>
      </c>
      <c r="D9872" s="4" t="s">
        <v>23</v>
      </c>
      <c r="E9872" s="3" t="s">
        <v>20</v>
      </c>
      <c r="F9872" s="4" t="str">
        <f aca="false">IF(I9872&gt;J9872,"Y","N")</f>
        <v>N</v>
      </c>
      <c r="G9872" s="3" t="s">
        <v>15</v>
      </c>
      <c r="H9872" s="3" t="s">
        <v>21</v>
      </c>
      <c r="I9872" s="4" t="n">
        <v>4</v>
      </c>
      <c r="J9872" s="4" t="n">
        <f aca="false">LEN(E9872)-LEN(SUBSTITUTE(E9872,",",""))+1</f>
        <v>4</v>
      </c>
      <c r="K9872" s="3" t="str">
        <f aca="false">IFERROR(INDEX('Teacher Lookup'!$B$2:$B$200,MATCH(A9872,'Teacher Lookup'!$A$2:$A$200,0)),"")</f>
        <v>LEUNG Tom</v>
      </c>
    </row>
    <row r="9873" customFormat="false" ht="15" hidden="false" customHeight="false" outlineLevel="0" collapsed="false">
      <c r="A9873" s="3" t="s">
        <v>518</v>
      </c>
      <c r="B9873" s="4" t="s">
        <v>12</v>
      </c>
      <c r="C9873" s="4" t="n">
        <v>5</v>
      </c>
      <c r="D9873" s="4" t="s">
        <v>137</v>
      </c>
      <c r="E9873" s="3" t="s">
        <v>138</v>
      </c>
      <c r="F9873" s="4" t="str">
        <f aca="false">IF(I9873&gt;J9873,"Y","N")</f>
        <v>N</v>
      </c>
      <c r="G9873" s="3" t="s">
        <v>15</v>
      </c>
      <c r="H9873" s="3" t="s">
        <v>37</v>
      </c>
      <c r="I9873" s="4" t="n">
        <v>4</v>
      </c>
      <c r="J9873" s="4" t="n">
        <f aca="false">LEN(E9873)-LEN(SUBSTITUTE(E9873,",",""))+1</f>
        <v>4</v>
      </c>
      <c r="K9873" s="3" t="str">
        <f aca="false">IFERROR(INDEX('Teacher Lookup'!$B$2:$B$200,MATCH(A9873,'Teacher Lookup'!$A$2:$A$200,0)),"")</f>
        <v>LEUNG Tom</v>
      </c>
    </row>
    <row r="9874" customFormat="false" ht="15" hidden="false" customHeight="false" outlineLevel="0" collapsed="false">
      <c r="A9874" s="3" t="s">
        <v>518</v>
      </c>
      <c r="B9874" s="4" t="s">
        <v>12</v>
      </c>
      <c r="C9874" s="4" t="n">
        <v>5</v>
      </c>
      <c r="D9874" s="4" t="s">
        <v>124</v>
      </c>
      <c r="E9874" s="3" t="s">
        <v>138</v>
      </c>
      <c r="F9874" s="4" t="str">
        <f aca="false">IF(I9874&gt;J9874,"Y","N")</f>
        <v>N</v>
      </c>
      <c r="G9874" s="3" t="s">
        <v>15</v>
      </c>
      <c r="H9874" s="3" t="s">
        <v>37</v>
      </c>
      <c r="I9874" s="4" t="n">
        <v>4</v>
      </c>
      <c r="J9874" s="4" t="n">
        <f aca="false">LEN(E9874)-LEN(SUBSTITUTE(E9874,",",""))+1</f>
        <v>4</v>
      </c>
      <c r="K9874" s="3" t="str">
        <f aca="false">IFERROR(INDEX('Teacher Lookup'!$B$2:$B$200,MATCH(A9874,'Teacher Lookup'!$A$2:$A$200,0)),"")</f>
        <v>LEUNG Tom</v>
      </c>
    </row>
    <row r="9875" customFormat="false" ht="15" hidden="false" customHeight="false" outlineLevel="0" collapsed="false">
      <c r="A9875" s="3" t="s">
        <v>518</v>
      </c>
      <c r="B9875" s="4" t="s">
        <v>12</v>
      </c>
      <c r="C9875" s="4" t="n">
        <v>5</v>
      </c>
      <c r="D9875" s="4" t="s">
        <v>139</v>
      </c>
      <c r="E9875" s="3" t="s">
        <v>138</v>
      </c>
      <c r="F9875" s="4" t="str">
        <f aca="false">IF(I9875&gt;J9875,"Y","N")</f>
        <v>N</v>
      </c>
      <c r="G9875" s="3" t="s">
        <v>15</v>
      </c>
      <c r="H9875" s="3" t="s">
        <v>37</v>
      </c>
      <c r="I9875" s="4" t="n">
        <v>4</v>
      </c>
      <c r="J9875" s="4" t="n">
        <f aca="false">LEN(E9875)-LEN(SUBSTITUTE(E9875,",",""))+1</f>
        <v>4</v>
      </c>
      <c r="K9875" s="3" t="str">
        <f aca="false">IFERROR(INDEX('Teacher Lookup'!$B$2:$B$200,MATCH(A9875,'Teacher Lookup'!$A$2:$A$200,0)),"")</f>
        <v>LEUNG Tom</v>
      </c>
    </row>
    <row r="9876" customFormat="false" ht="15" hidden="false" customHeight="false" outlineLevel="0" collapsed="false">
      <c r="A9876" s="3" t="s">
        <v>518</v>
      </c>
      <c r="B9876" s="4" t="s">
        <v>12</v>
      </c>
      <c r="C9876" s="4" t="n">
        <v>6</v>
      </c>
      <c r="D9876" s="4" t="s">
        <v>140</v>
      </c>
      <c r="E9876" s="3" t="s">
        <v>144</v>
      </c>
      <c r="F9876" s="4" t="str">
        <f aca="false">IF(I9876&gt;J9876,"Y","N")</f>
        <v>N</v>
      </c>
      <c r="G9876" s="3" t="s">
        <v>15</v>
      </c>
      <c r="H9876" s="3" t="s">
        <v>42</v>
      </c>
      <c r="I9876" s="4" t="n">
        <v>4</v>
      </c>
      <c r="J9876" s="4" t="n">
        <f aca="false">LEN(E9876)-LEN(SUBSTITUTE(E9876,",",""))+1</f>
        <v>4</v>
      </c>
      <c r="K9876" s="3" t="str">
        <f aca="false">IFERROR(INDEX('Teacher Lookup'!$B$2:$B$200,MATCH(A9876,'Teacher Lookup'!$A$2:$A$200,0)),"")</f>
        <v>LEUNG Tom</v>
      </c>
    </row>
    <row r="9877" customFormat="false" ht="15" hidden="false" customHeight="false" outlineLevel="0" collapsed="false">
      <c r="A9877" s="3" t="s">
        <v>518</v>
      </c>
      <c r="B9877" s="4" t="s">
        <v>12</v>
      </c>
      <c r="C9877" s="4" t="n">
        <v>6</v>
      </c>
      <c r="D9877" s="4" t="s">
        <v>142</v>
      </c>
      <c r="E9877" s="3" t="s">
        <v>144</v>
      </c>
      <c r="F9877" s="4" t="str">
        <f aca="false">IF(I9877&gt;J9877,"Y","N")</f>
        <v>N</v>
      </c>
      <c r="G9877" s="3" t="s">
        <v>15</v>
      </c>
      <c r="H9877" s="3" t="s">
        <v>42</v>
      </c>
      <c r="I9877" s="4" t="n">
        <v>4</v>
      </c>
      <c r="J9877" s="4" t="n">
        <f aca="false">LEN(E9877)-LEN(SUBSTITUTE(E9877,",",""))+1</f>
        <v>4</v>
      </c>
      <c r="K9877" s="3" t="str">
        <f aca="false">IFERROR(INDEX('Teacher Lookup'!$B$2:$B$200,MATCH(A9877,'Teacher Lookup'!$A$2:$A$200,0)),"")</f>
        <v>LEUNG Tom</v>
      </c>
    </row>
    <row r="9878" customFormat="false" ht="15" hidden="false" customHeight="false" outlineLevel="0" collapsed="false">
      <c r="A9878" s="3" t="s">
        <v>518</v>
      </c>
      <c r="B9878" s="4" t="s">
        <v>12</v>
      </c>
      <c r="C9878" s="4" t="n">
        <v>6</v>
      </c>
      <c r="D9878" s="4" t="s">
        <v>127</v>
      </c>
      <c r="E9878" s="3" t="s">
        <v>144</v>
      </c>
      <c r="F9878" s="4" t="str">
        <f aca="false">IF(I9878&gt;J9878,"Y","N")</f>
        <v>N</v>
      </c>
      <c r="G9878" s="3" t="s">
        <v>15</v>
      </c>
      <c r="H9878" s="3" t="s">
        <v>42</v>
      </c>
      <c r="I9878" s="4" t="n">
        <v>4</v>
      </c>
      <c r="J9878" s="4" t="n">
        <f aca="false">LEN(E9878)-LEN(SUBSTITUTE(E9878,",",""))+1</f>
        <v>4</v>
      </c>
      <c r="K9878" s="3" t="str">
        <f aca="false">IFERROR(INDEX('Teacher Lookup'!$B$2:$B$200,MATCH(A9878,'Teacher Lookup'!$A$2:$A$200,0)),"")</f>
        <v>LEUNG Tom</v>
      </c>
    </row>
    <row r="9879" customFormat="false" ht="15" hidden="false" customHeight="false" outlineLevel="0" collapsed="false">
      <c r="A9879" s="3" t="s">
        <v>518</v>
      </c>
      <c r="B9879" s="4" t="s">
        <v>31</v>
      </c>
      <c r="C9879" s="4" t="n">
        <v>1</v>
      </c>
      <c r="D9879" s="4" t="s">
        <v>137</v>
      </c>
      <c r="E9879" s="3" t="s">
        <v>146</v>
      </c>
      <c r="F9879" s="4" t="str">
        <f aca="false">IF(I9879&gt;J9879,"Y","N")</f>
        <v>N</v>
      </c>
      <c r="G9879" s="3" t="s">
        <v>15</v>
      </c>
      <c r="H9879" s="3" t="s">
        <v>16</v>
      </c>
      <c r="I9879" s="4" t="n">
        <v>4</v>
      </c>
      <c r="J9879" s="4" t="n">
        <f aca="false">LEN(E9879)-LEN(SUBSTITUTE(E9879,",",""))+1</f>
        <v>4</v>
      </c>
      <c r="K9879" s="3" t="str">
        <f aca="false">IFERROR(INDEX('Teacher Lookup'!$B$2:$B$200,MATCH(A9879,'Teacher Lookup'!$A$2:$A$200,0)),"")</f>
        <v>LEUNG Tom</v>
      </c>
    </row>
    <row r="9880" customFormat="false" ht="15" hidden="false" customHeight="false" outlineLevel="0" collapsed="false">
      <c r="A9880" s="3" t="s">
        <v>518</v>
      </c>
      <c r="B9880" s="4" t="s">
        <v>31</v>
      </c>
      <c r="C9880" s="4" t="n">
        <v>1</v>
      </c>
      <c r="D9880" s="4" t="s">
        <v>124</v>
      </c>
      <c r="E9880" s="3" t="s">
        <v>146</v>
      </c>
      <c r="F9880" s="4" t="str">
        <f aca="false">IF(I9880&gt;J9880,"Y","N")</f>
        <v>N</v>
      </c>
      <c r="G9880" s="3" t="s">
        <v>15</v>
      </c>
      <c r="H9880" s="3" t="s">
        <v>16</v>
      </c>
      <c r="I9880" s="4" t="n">
        <v>4</v>
      </c>
      <c r="J9880" s="4" t="n">
        <f aca="false">LEN(E9880)-LEN(SUBSTITUTE(E9880,",",""))+1</f>
        <v>4</v>
      </c>
      <c r="K9880" s="3" t="str">
        <f aca="false">IFERROR(INDEX('Teacher Lookup'!$B$2:$B$200,MATCH(A9880,'Teacher Lookup'!$A$2:$A$200,0)),"")</f>
        <v>LEUNG Tom</v>
      </c>
    </row>
    <row r="9881" customFormat="false" ht="15" hidden="false" customHeight="false" outlineLevel="0" collapsed="false">
      <c r="A9881" s="3" t="s">
        <v>518</v>
      </c>
      <c r="B9881" s="4" t="s">
        <v>31</v>
      </c>
      <c r="C9881" s="4" t="n">
        <v>1</v>
      </c>
      <c r="D9881" s="4" t="s">
        <v>139</v>
      </c>
      <c r="E9881" s="3" t="s">
        <v>146</v>
      </c>
      <c r="F9881" s="4" t="str">
        <f aca="false">IF(I9881&gt;J9881,"Y","N")</f>
        <v>N</v>
      </c>
      <c r="G9881" s="3" t="s">
        <v>15</v>
      </c>
      <c r="H9881" s="3" t="s">
        <v>16</v>
      </c>
      <c r="I9881" s="4" t="n">
        <v>4</v>
      </c>
      <c r="J9881" s="4" t="n">
        <f aca="false">LEN(E9881)-LEN(SUBSTITUTE(E9881,",",""))+1</f>
        <v>4</v>
      </c>
      <c r="K9881" s="3" t="str">
        <f aca="false">IFERROR(INDEX('Teacher Lookup'!$B$2:$B$200,MATCH(A9881,'Teacher Lookup'!$A$2:$A$200,0)),"")</f>
        <v>LEUNG Tom</v>
      </c>
    </row>
    <row r="9882" customFormat="false" ht="15" hidden="false" customHeight="false" outlineLevel="0" collapsed="false">
      <c r="A9882" s="3" t="s">
        <v>518</v>
      </c>
      <c r="B9882" s="4" t="s">
        <v>31</v>
      </c>
      <c r="C9882" s="4" t="n">
        <v>3</v>
      </c>
      <c r="D9882" s="4" t="s">
        <v>13</v>
      </c>
      <c r="E9882" s="3" t="s">
        <v>32</v>
      </c>
      <c r="F9882" s="4" t="str">
        <f aca="false">IF(I9882&gt;J9882,"Y","N")</f>
        <v>N</v>
      </c>
      <c r="G9882" s="3" t="s">
        <v>15</v>
      </c>
      <c r="H9882" s="3" t="s">
        <v>26</v>
      </c>
      <c r="I9882" s="4" t="n">
        <v>4</v>
      </c>
      <c r="J9882" s="4" t="n">
        <f aca="false">LEN(E9882)-LEN(SUBSTITUTE(E9882,",",""))+1</f>
        <v>4</v>
      </c>
      <c r="K9882" s="3" t="str">
        <f aca="false">IFERROR(INDEX('Teacher Lookup'!$B$2:$B$200,MATCH(A9882,'Teacher Lookup'!$A$2:$A$200,0)),"")</f>
        <v>LEUNG Tom</v>
      </c>
    </row>
    <row r="9883" customFormat="false" ht="15" hidden="false" customHeight="false" outlineLevel="0" collapsed="false">
      <c r="A9883" s="3" t="s">
        <v>518</v>
      </c>
      <c r="B9883" s="4" t="s">
        <v>31</v>
      </c>
      <c r="C9883" s="4" t="n">
        <v>3</v>
      </c>
      <c r="D9883" s="4" t="s">
        <v>17</v>
      </c>
      <c r="E9883" s="3" t="s">
        <v>32</v>
      </c>
      <c r="F9883" s="4" t="str">
        <f aca="false">IF(I9883&gt;J9883,"Y","N")</f>
        <v>N</v>
      </c>
      <c r="G9883" s="3" t="s">
        <v>15</v>
      </c>
      <c r="H9883" s="3" t="s">
        <v>26</v>
      </c>
      <c r="I9883" s="4" t="n">
        <v>4</v>
      </c>
      <c r="J9883" s="4" t="n">
        <f aca="false">LEN(E9883)-LEN(SUBSTITUTE(E9883,",",""))+1</f>
        <v>4</v>
      </c>
      <c r="K9883" s="3" t="str">
        <f aca="false">IFERROR(INDEX('Teacher Lookup'!$B$2:$B$200,MATCH(A9883,'Teacher Lookup'!$A$2:$A$200,0)),"")</f>
        <v>LEUNG Tom</v>
      </c>
    </row>
    <row r="9884" customFormat="false" ht="15" hidden="false" customHeight="false" outlineLevel="0" collapsed="false">
      <c r="A9884" s="3" t="s">
        <v>518</v>
      </c>
      <c r="B9884" s="4" t="s">
        <v>31</v>
      </c>
      <c r="C9884" s="4" t="n">
        <v>3</v>
      </c>
      <c r="D9884" s="4" t="s">
        <v>18</v>
      </c>
      <c r="E9884" s="3" t="s">
        <v>32</v>
      </c>
      <c r="F9884" s="4" t="str">
        <f aca="false">IF(I9884&gt;J9884,"Y","N")</f>
        <v>N</v>
      </c>
      <c r="G9884" s="3" t="s">
        <v>15</v>
      </c>
      <c r="H9884" s="3" t="s">
        <v>26</v>
      </c>
      <c r="I9884" s="4" t="n">
        <v>4</v>
      </c>
      <c r="J9884" s="4" t="n">
        <f aca="false">LEN(E9884)-LEN(SUBSTITUTE(E9884,",",""))+1</f>
        <v>4</v>
      </c>
      <c r="K9884" s="3" t="str">
        <f aca="false">IFERROR(INDEX('Teacher Lookup'!$B$2:$B$200,MATCH(A9884,'Teacher Lookup'!$A$2:$A$200,0)),"")</f>
        <v>LEUNG Tom</v>
      </c>
    </row>
    <row r="9885" customFormat="false" ht="15" hidden="false" customHeight="false" outlineLevel="0" collapsed="false">
      <c r="A9885" s="3" t="s">
        <v>518</v>
      </c>
      <c r="B9885" s="4" t="s">
        <v>31</v>
      </c>
      <c r="C9885" s="4" t="n">
        <v>4</v>
      </c>
      <c r="D9885" s="4" t="s">
        <v>19</v>
      </c>
      <c r="E9885" s="3" t="s">
        <v>33</v>
      </c>
      <c r="F9885" s="4" t="str">
        <f aca="false">IF(I9885&gt;J9885,"Y","N")</f>
        <v>N</v>
      </c>
      <c r="G9885" s="3" t="s">
        <v>15</v>
      </c>
      <c r="H9885" s="3" t="s">
        <v>34</v>
      </c>
      <c r="I9885" s="4" t="n">
        <v>4</v>
      </c>
      <c r="J9885" s="4" t="n">
        <f aca="false">LEN(E9885)-LEN(SUBSTITUTE(E9885,",",""))+1</f>
        <v>4</v>
      </c>
      <c r="K9885" s="3" t="str">
        <f aca="false">IFERROR(INDEX('Teacher Lookup'!$B$2:$B$200,MATCH(A9885,'Teacher Lookup'!$A$2:$A$200,0)),"")</f>
        <v>LEUNG Tom</v>
      </c>
    </row>
    <row r="9886" customFormat="false" ht="15" hidden="false" customHeight="false" outlineLevel="0" collapsed="false">
      <c r="A9886" s="3" t="s">
        <v>518</v>
      </c>
      <c r="B9886" s="4" t="s">
        <v>31</v>
      </c>
      <c r="C9886" s="4" t="n">
        <v>4</v>
      </c>
      <c r="D9886" s="4" t="s">
        <v>22</v>
      </c>
      <c r="E9886" s="3" t="s">
        <v>33</v>
      </c>
      <c r="F9886" s="4" t="str">
        <f aca="false">IF(I9886&gt;J9886,"Y","N")</f>
        <v>N</v>
      </c>
      <c r="G9886" s="3" t="s">
        <v>15</v>
      </c>
      <c r="H9886" s="3" t="s">
        <v>34</v>
      </c>
      <c r="I9886" s="4" t="n">
        <v>4</v>
      </c>
      <c r="J9886" s="4" t="n">
        <f aca="false">LEN(E9886)-LEN(SUBSTITUTE(E9886,",",""))+1</f>
        <v>4</v>
      </c>
      <c r="K9886" s="3" t="str">
        <f aca="false">IFERROR(INDEX('Teacher Lookup'!$B$2:$B$200,MATCH(A9886,'Teacher Lookup'!$A$2:$A$200,0)),"")</f>
        <v>LEUNG Tom</v>
      </c>
    </row>
    <row r="9887" customFormat="false" ht="15" hidden="false" customHeight="false" outlineLevel="0" collapsed="false">
      <c r="A9887" s="3" t="s">
        <v>518</v>
      </c>
      <c r="B9887" s="4" t="s">
        <v>31</v>
      </c>
      <c r="C9887" s="4" t="n">
        <v>4</v>
      </c>
      <c r="D9887" s="4" t="s">
        <v>23</v>
      </c>
      <c r="E9887" s="3" t="s">
        <v>33</v>
      </c>
      <c r="F9887" s="4" t="str">
        <f aca="false">IF(I9887&gt;J9887,"Y","N")</f>
        <v>N</v>
      </c>
      <c r="G9887" s="3" t="s">
        <v>15</v>
      </c>
      <c r="H9887" s="3" t="s">
        <v>34</v>
      </c>
      <c r="I9887" s="4" t="n">
        <v>4</v>
      </c>
      <c r="J9887" s="4" t="n">
        <f aca="false">LEN(E9887)-LEN(SUBSTITUTE(E9887,",",""))+1</f>
        <v>4</v>
      </c>
      <c r="K9887" s="3" t="str">
        <f aca="false">IFERROR(INDEX('Teacher Lookup'!$B$2:$B$200,MATCH(A9887,'Teacher Lookup'!$A$2:$A$200,0)),"")</f>
        <v>LEUNG Tom</v>
      </c>
    </row>
    <row r="9888" customFormat="false" ht="15" hidden="false" customHeight="false" outlineLevel="0" collapsed="false">
      <c r="A9888" s="3" t="s">
        <v>518</v>
      </c>
      <c r="B9888" s="4" t="s">
        <v>31</v>
      </c>
      <c r="C9888" s="4" t="n">
        <v>5</v>
      </c>
      <c r="D9888" s="4" t="s">
        <v>137</v>
      </c>
      <c r="E9888" s="3" t="s">
        <v>185</v>
      </c>
      <c r="F9888" s="4" t="str">
        <f aca="false">IF(I9888&gt;J9888,"Y","N")</f>
        <v>Y</v>
      </c>
      <c r="G9888" s="3" t="s">
        <v>36</v>
      </c>
      <c r="H9888" s="3" t="s">
        <v>37</v>
      </c>
      <c r="I9888" s="4" t="n">
        <v>21</v>
      </c>
      <c r="J9888" s="4" t="n">
        <f aca="false">LEN(E9888)-LEN(SUBSTITUTE(E9888,",",""))+1</f>
        <v>7</v>
      </c>
      <c r="K9888" s="3" t="str">
        <f aca="false">IFERROR(INDEX('Teacher Lookup'!$B$2:$B$200,MATCH(A9888,'Teacher Lookup'!$A$2:$A$200,0)),"")</f>
        <v>LEUNG Tom</v>
      </c>
    </row>
    <row r="9889" customFormat="false" ht="15" hidden="false" customHeight="false" outlineLevel="0" collapsed="false">
      <c r="A9889" s="3" t="s">
        <v>518</v>
      </c>
      <c r="B9889" s="4" t="s">
        <v>31</v>
      </c>
      <c r="C9889" s="4" t="n">
        <v>5</v>
      </c>
      <c r="D9889" s="4" t="s">
        <v>124</v>
      </c>
      <c r="E9889" s="3" t="s">
        <v>185</v>
      </c>
      <c r="F9889" s="4" t="str">
        <f aca="false">IF(I9889&gt;J9889,"Y","N")</f>
        <v>Y</v>
      </c>
      <c r="G9889" s="3" t="s">
        <v>36</v>
      </c>
      <c r="H9889" s="3" t="s">
        <v>37</v>
      </c>
      <c r="I9889" s="4" t="n">
        <v>21</v>
      </c>
      <c r="J9889" s="4" t="n">
        <f aca="false">LEN(E9889)-LEN(SUBSTITUTE(E9889,",",""))+1</f>
        <v>7</v>
      </c>
      <c r="K9889" s="3" t="str">
        <f aca="false">IFERROR(INDEX('Teacher Lookup'!$B$2:$B$200,MATCH(A9889,'Teacher Lookup'!$A$2:$A$200,0)),"")</f>
        <v>LEUNG Tom</v>
      </c>
    </row>
    <row r="9890" customFormat="false" ht="15" hidden="false" customHeight="false" outlineLevel="0" collapsed="false">
      <c r="A9890" s="3" t="s">
        <v>518</v>
      </c>
      <c r="B9890" s="4" t="s">
        <v>31</v>
      </c>
      <c r="C9890" s="4" t="n">
        <v>5</v>
      </c>
      <c r="D9890" s="4" t="s">
        <v>139</v>
      </c>
      <c r="E9890" s="3" t="s">
        <v>185</v>
      </c>
      <c r="F9890" s="4" t="str">
        <f aca="false">IF(I9890&gt;J9890,"Y","N")</f>
        <v>Y</v>
      </c>
      <c r="G9890" s="3" t="s">
        <v>36</v>
      </c>
      <c r="H9890" s="3" t="s">
        <v>37</v>
      </c>
      <c r="I9890" s="4" t="n">
        <v>21</v>
      </c>
      <c r="J9890" s="4" t="n">
        <f aca="false">LEN(E9890)-LEN(SUBSTITUTE(E9890,",",""))+1</f>
        <v>7</v>
      </c>
      <c r="K9890" s="3" t="str">
        <f aca="false">IFERROR(INDEX('Teacher Lookup'!$B$2:$B$200,MATCH(A9890,'Teacher Lookup'!$A$2:$A$200,0)),"")</f>
        <v>LEUNG Tom</v>
      </c>
    </row>
    <row r="9891" customFormat="false" ht="15" hidden="false" customHeight="false" outlineLevel="0" collapsed="false">
      <c r="A9891" s="3" t="s">
        <v>518</v>
      </c>
      <c r="B9891" s="4" t="s">
        <v>31</v>
      </c>
      <c r="C9891" s="4" t="n">
        <v>5</v>
      </c>
      <c r="D9891" s="4" t="s">
        <v>140</v>
      </c>
      <c r="E9891" s="3" t="s">
        <v>185</v>
      </c>
      <c r="F9891" s="4" t="str">
        <f aca="false">IF(I9891&gt;J9891,"Y","N")</f>
        <v>Y</v>
      </c>
      <c r="G9891" s="3" t="s">
        <v>36</v>
      </c>
      <c r="H9891" s="3" t="s">
        <v>37</v>
      </c>
      <c r="I9891" s="4" t="n">
        <v>21</v>
      </c>
      <c r="J9891" s="4" t="n">
        <f aca="false">LEN(E9891)-LEN(SUBSTITUTE(E9891,",",""))+1</f>
        <v>7</v>
      </c>
      <c r="K9891" s="3" t="str">
        <f aca="false">IFERROR(INDEX('Teacher Lookup'!$B$2:$B$200,MATCH(A9891,'Teacher Lookup'!$A$2:$A$200,0)),"")</f>
        <v>LEUNG Tom</v>
      </c>
    </row>
    <row r="9892" customFormat="false" ht="15" hidden="false" customHeight="false" outlineLevel="0" collapsed="false">
      <c r="A9892" s="3" t="s">
        <v>518</v>
      </c>
      <c r="B9892" s="4" t="s">
        <v>31</v>
      </c>
      <c r="C9892" s="4" t="n">
        <v>5</v>
      </c>
      <c r="D9892" s="4" t="s">
        <v>142</v>
      </c>
      <c r="E9892" s="3" t="s">
        <v>185</v>
      </c>
      <c r="F9892" s="4" t="str">
        <f aca="false">IF(I9892&gt;J9892,"Y","N")</f>
        <v>Y</v>
      </c>
      <c r="G9892" s="3" t="s">
        <v>36</v>
      </c>
      <c r="H9892" s="3" t="s">
        <v>37</v>
      </c>
      <c r="I9892" s="4" t="n">
        <v>21</v>
      </c>
      <c r="J9892" s="4" t="n">
        <f aca="false">LEN(E9892)-LEN(SUBSTITUTE(E9892,",",""))+1</f>
        <v>7</v>
      </c>
      <c r="K9892" s="3" t="str">
        <f aca="false">IFERROR(INDEX('Teacher Lookup'!$B$2:$B$200,MATCH(A9892,'Teacher Lookup'!$A$2:$A$200,0)),"")</f>
        <v>LEUNG Tom</v>
      </c>
    </row>
    <row r="9893" customFormat="false" ht="15" hidden="false" customHeight="false" outlineLevel="0" collapsed="false">
      <c r="A9893" s="3" t="s">
        <v>518</v>
      </c>
      <c r="B9893" s="4" t="s">
        <v>31</v>
      </c>
      <c r="C9893" s="4" t="n">
        <v>5</v>
      </c>
      <c r="D9893" s="4" t="s">
        <v>127</v>
      </c>
      <c r="E9893" s="3" t="s">
        <v>185</v>
      </c>
      <c r="F9893" s="4" t="str">
        <f aca="false">IF(I9893&gt;J9893,"Y","N")</f>
        <v>Y</v>
      </c>
      <c r="G9893" s="3" t="s">
        <v>36</v>
      </c>
      <c r="H9893" s="3" t="s">
        <v>37</v>
      </c>
      <c r="I9893" s="4" t="n">
        <v>21</v>
      </c>
      <c r="J9893" s="4" t="n">
        <f aca="false">LEN(E9893)-LEN(SUBSTITUTE(E9893,",",""))+1</f>
        <v>7</v>
      </c>
      <c r="K9893" s="3" t="str">
        <f aca="false">IFERROR(INDEX('Teacher Lookup'!$B$2:$B$200,MATCH(A9893,'Teacher Lookup'!$A$2:$A$200,0)),"")</f>
        <v>LEUNG Tom</v>
      </c>
    </row>
    <row r="9894" customFormat="false" ht="15" hidden="false" customHeight="false" outlineLevel="0" collapsed="false">
      <c r="A9894" s="3" t="s">
        <v>518</v>
      </c>
      <c r="B9894" s="4" t="s">
        <v>31</v>
      </c>
      <c r="C9894" s="4" t="n">
        <v>7</v>
      </c>
      <c r="D9894" s="4" t="s">
        <v>140</v>
      </c>
      <c r="E9894" s="3" t="s">
        <v>144</v>
      </c>
      <c r="F9894" s="4" t="str">
        <f aca="false">IF(I9894&gt;J9894,"Y","N")</f>
        <v>N</v>
      </c>
      <c r="G9894" s="3" t="s">
        <v>15</v>
      </c>
      <c r="H9894" s="3" t="s">
        <v>39</v>
      </c>
      <c r="I9894" s="4" t="n">
        <v>4</v>
      </c>
      <c r="J9894" s="4" t="n">
        <f aca="false">LEN(E9894)-LEN(SUBSTITUTE(E9894,",",""))+1</f>
        <v>4</v>
      </c>
      <c r="K9894" s="3" t="str">
        <f aca="false">IFERROR(INDEX('Teacher Lookup'!$B$2:$B$200,MATCH(A9894,'Teacher Lookup'!$A$2:$A$200,0)),"")</f>
        <v>LEUNG Tom</v>
      </c>
    </row>
    <row r="9895" customFormat="false" ht="15" hidden="false" customHeight="false" outlineLevel="0" collapsed="false">
      <c r="A9895" s="3" t="s">
        <v>518</v>
      </c>
      <c r="B9895" s="4" t="s">
        <v>31</v>
      </c>
      <c r="C9895" s="4" t="n">
        <v>7</v>
      </c>
      <c r="D9895" s="4" t="s">
        <v>142</v>
      </c>
      <c r="E9895" s="3" t="s">
        <v>144</v>
      </c>
      <c r="F9895" s="4" t="str">
        <f aca="false">IF(I9895&gt;J9895,"Y","N")</f>
        <v>N</v>
      </c>
      <c r="G9895" s="3" t="s">
        <v>15</v>
      </c>
      <c r="H9895" s="3" t="s">
        <v>39</v>
      </c>
      <c r="I9895" s="4" t="n">
        <v>4</v>
      </c>
      <c r="J9895" s="4" t="n">
        <f aca="false">LEN(E9895)-LEN(SUBSTITUTE(E9895,",",""))+1</f>
        <v>4</v>
      </c>
      <c r="K9895" s="3" t="str">
        <f aca="false">IFERROR(INDEX('Teacher Lookup'!$B$2:$B$200,MATCH(A9895,'Teacher Lookup'!$A$2:$A$200,0)),"")</f>
        <v>LEUNG Tom</v>
      </c>
    </row>
    <row r="9896" customFormat="false" ht="15" hidden="false" customHeight="false" outlineLevel="0" collapsed="false">
      <c r="A9896" s="3" t="s">
        <v>518</v>
      </c>
      <c r="B9896" s="4" t="s">
        <v>31</v>
      </c>
      <c r="C9896" s="4" t="n">
        <v>7</v>
      </c>
      <c r="D9896" s="4" t="s">
        <v>127</v>
      </c>
      <c r="E9896" s="3" t="s">
        <v>144</v>
      </c>
      <c r="F9896" s="4" t="str">
        <f aca="false">IF(I9896&gt;J9896,"Y","N")</f>
        <v>N</v>
      </c>
      <c r="G9896" s="3" t="s">
        <v>15</v>
      </c>
      <c r="H9896" s="3" t="s">
        <v>39</v>
      </c>
      <c r="I9896" s="4" t="n">
        <v>4</v>
      </c>
      <c r="J9896" s="4" t="n">
        <f aca="false">LEN(E9896)-LEN(SUBSTITUTE(E9896,",",""))+1</f>
        <v>4</v>
      </c>
      <c r="K9896" s="3" t="str">
        <f aca="false">IFERROR(INDEX('Teacher Lookup'!$B$2:$B$200,MATCH(A9896,'Teacher Lookup'!$A$2:$A$200,0)),"")</f>
        <v>LEUNG Tom</v>
      </c>
    </row>
    <row r="9897" customFormat="false" ht="15" hidden="false" customHeight="false" outlineLevel="0" collapsed="false">
      <c r="A9897" s="3" t="s">
        <v>518</v>
      </c>
      <c r="B9897" s="4" t="s">
        <v>40</v>
      </c>
      <c r="C9897" s="4" t="n">
        <v>1</v>
      </c>
      <c r="D9897" s="4" t="s">
        <v>137</v>
      </c>
      <c r="E9897" s="3" t="s">
        <v>205</v>
      </c>
      <c r="F9897" s="4" t="str">
        <f aca="false">IF(I9897&gt;J9897,"Y","N")</f>
        <v>N</v>
      </c>
      <c r="G9897" s="3" t="s">
        <v>15</v>
      </c>
      <c r="H9897" s="3" t="s">
        <v>16</v>
      </c>
      <c r="I9897" s="4" t="n">
        <v>4</v>
      </c>
      <c r="J9897" s="4" t="n">
        <f aca="false">LEN(E9897)-LEN(SUBSTITUTE(E9897,",",""))+1</f>
        <v>4</v>
      </c>
      <c r="K9897" s="3" t="str">
        <f aca="false">IFERROR(INDEX('Teacher Lookup'!$B$2:$B$200,MATCH(A9897,'Teacher Lookup'!$A$2:$A$200,0)),"")</f>
        <v>LEUNG Tom</v>
      </c>
    </row>
    <row r="9898" customFormat="false" ht="15" hidden="false" customHeight="false" outlineLevel="0" collapsed="false">
      <c r="A9898" s="3" t="s">
        <v>518</v>
      </c>
      <c r="B9898" s="4" t="s">
        <v>40</v>
      </c>
      <c r="C9898" s="4" t="n">
        <v>1</v>
      </c>
      <c r="D9898" s="4" t="s">
        <v>124</v>
      </c>
      <c r="E9898" s="3" t="s">
        <v>205</v>
      </c>
      <c r="F9898" s="4" t="str">
        <f aca="false">IF(I9898&gt;J9898,"Y","N")</f>
        <v>N</v>
      </c>
      <c r="G9898" s="3" t="s">
        <v>15</v>
      </c>
      <c r="H9898" s="3" t="s">
        <v>16</v>
      </c>
      <c r="I9898" s="4" t="n">
        <v>4</v>
      </c>
      <c r="J9898" s="4" t="n">
        <f aca="false">LEN(E9898)-LEN(SUBSTITUTE(E9898,",",""))+1</f>
        <v>4</v>
      </c>
      <c r="K9898" s="3" t="str">
        <f aca="false">IFERROR(INDEX('Teacher Lookup'!$B$2:$B$200,MATCH(A9898,'Teacher Lookup'!$A$2:$A$200,0)),"")</f>
        <v>LEUNG Tom</v>
      </c>
    </row>
    <row r="9899" customFormat="false" ht="15" hidden="false" customHeight="false" outlineLevel="0" collapsed="false">
      <c r="A9899" s="3" t="s">
        <v>518</v>
      </c>
      <c r="B9899" s="4" t="s">
        <v>40</v>
      </c>
      <c r="C9899" s="4" t="n">
        <v>1</v>
      </c>
      <c r="D9899" s="4" t="s">
        <v>139</v>
      </c>
      <c r="E9899" s="3" t="s">
        <v>205</v>
      </c>
      <c r="F9899" s="4" t="str">
        <f aca="false">IF(I9899&gt;J9899,"Y","N")</f>
        <v>N</v>
      </c>
      <c r="G9899" s="3" t="s">
        <v>15</v>
      </c>
      <c r="H9899" s="3" t="s">
        <v>16</v>
      </c>
      <c r="I9899" s="4" t="n">
        <v>4</v>
      </c>
      <c r="J9899" s="4" t="n">
        <f aca="false">LEN(E9899)-LEN(SUBSTITUTE(E9899,",",""))+1</f>
        <v>4</v>
      </c>
      <c r="K9899" s="3" t="str">
        <f aca="false">IFERROR(INDEX('Teacher Lookup'!$B$2:$B$200,MATCH(A9899,'Teacher Lookup'!$A$2:$A$200,0)),"")</f>
        <v>LEUNG Tom</v>
      </c>
    </row>
    <row r="9900" customFormat="false" ht="15" hidden="false" customHeight="false" outlineLevel="0" collapsed="false">
      <c r="A9900" s="3" t="s">
        <v>518</v>
      </c>
      <c r="B9900" s="4" t="s">
        <v>40</v>
      </c>
      <c r="C9900" s="4" t="n">
        <v>4</v>
      </c>
      <c r="D9900" s="4" t="s">
        <v>140</v>
      </c>
      <c r="E9900" s="3" t="s">
        <v>207</v>
      </c>
      <c r="F9900" s="4" t="str">
        <f aca="false">IF(I9900&gt;J9900,"Y","N")</f>
        <v>N</v>
      </c>
      <c r="G9900" s="3" t="s">
        <v>15</v>
      </c>
      <c r="H9900" s="3" t="s">
        <v>34</v>
      </c>
      <c r="I9900" s="4" t="n">
        <v>4</v>
      </c>
      <c r="J9900" s="4" t="n">
        <f aca="false">LEN(E9900)-LEN(SUBSTITUTE(E9900,",",""))+1</f>
        <v>4</v>
      </c>
      <c r="K9900" s="3" t="str">
        <f aca="false">IFERROR(INDEX('Teacher Lookup'!$B$2:$B$200,MATCH(A9900,'Teacher Lookup'!$A$2:$A$200,0)),"")</f>
        <v>LEUNG Tom</v>
      </c>
    </row>
    <row r="9901" customFormat="false" ht="15" hidden="false" customHeight="false" outlineLevel="0" collapsed="false">
      <c r="A9901" s="3" t="s">
        <v>518</v>
      </c>
      <c r="B9901" s="4" t="s">
        <v>40</v>
      </c>
      <c r="C9901" s="4" t="n">
        <v>4</v>
      </c>
      <c r="D9901" s="4" t="s">
        <v>142</v>
      </c>
      <c r="E9901" s="3" t="s">
        <v>207</v>
      </c>
      <c r="F9901" s="4" t="str">
        <f aca="false">IF(I9901&gt;J9901,"Y","N")</f>
        <v>N</v>
      </c>
      <c r="G9901" s="3" t="s">
        <v>15</v>
      </c>
      <c r="H9901" s="3" t="s">
        <v>34</v>
      </c>
      <c r="I9901" s="4" t="n">
        <v>4</v>
      </c>
      <c r="J9901" s="4" t="n">
        <f aca="false">LEN(E9901)-LEN(SUBSTITUTE(E9901,",",""))+1</f>
        <v>4</v>
      </c>
      <c r="K9901" s="3" t="str">
        <f aca="false">IFERROR(INDEX('Teacher Lookup'!$B$2:$B$200,MATCH(A9901,'Teacher Lookup'!$A$2:$A$200,0)),"")</f>
        <v>LEUNG Tom</v>
      </c>
    </row>
    <row r="9902" customFormat="false" ht="15" hidden="false" customHeight="false" outlineLevel="0" collapsed="false">
      <c r="A9902" s="3" t="s">
        <v>518</v>
      </c>
      <c r="B9902" s="4" t="s">
        <v>40</v>
      </c>
      <c r="C9902" s="4" t="n">
        <v>4</v>
      </c>
      <c r="D9902" s="4" t="s">
        <v>127</v>
      </c>
      <c r="E9902" s="3" t="s">
        <v>207</v>
      </c>
      <c r="F9902" s="4" t="str">
        <f aca="false">IF(I9902&gt;J9902,"Y","N")</f>
        <v>N</v>
      </c>
      <c r="G9902" s="3" t="s">
        <v>15</v>
      </c>
      <c r="H9902" s="3" t="s">
        <v>34</v>
      </c>
      <c r="I9902" s="4" t="n">
        <v>4</v>
      </c>
      <c r="J9902" s="4" t="n">
        <f aca="false">LEN(E9902)-LEN(SUBSTITUTE(E9902,",",""))+1</f>
        <v>4</v>
      </c>
      <c r="K9902" s="3" t="str">
        <f aca="false">IFERROR(INDEX('Teacher Lookup'!$B$2:$B$200,MATCH(A9902,'Teacher Lookup'!$A$2:$A$200,0)),"")</f>
        <v>LEUNG Tom</v>
      </c>
    </row>
    <row r="9903" customFormat="false" ht="15" hidden="false" customHeight="false" outlineLevel="0" collapsed="false">
      <c r="A9903" s="3" t="s">
        <v>518</v>
      </c>
      <c r="B9903" s="4" t="s">
        <v>40</v>
      </c>
      <c r="C9903" s="4" t="n">
        <v>6</v>
      </c>
      <c r="D9903" s="4" t="s">
        <v>19</v>
      </c>
      <c r="E9903" s="3" t="s">
        <v>33</v>
      </c>
      <c r="F9903" s="4" t="str">
        <f aca="false">IF(I9903&gt;J9903,"Y","N")</f>
        <v>N</v>
      </c>
      <c r="G9903" s="3" t="s">
        <v>15</v>
      </c>
      <c r="H9903" s="3" t="s">
        <v>42</v>
      </c>
      <c r="I9903" s="4" t="n">
        <v>4</v>
      </c>
      <c r="J9903" s="4" t="n">
        <f aca="false">LEN(E9903)-LEN(SUBSTITUTE(E9903,",",""))+1</f>
        <v>4</v>
      </c>
      <c r="K9903" s="3" t="str">
        <f aca="false">IFERROR(INDEX('Teacher Lookup'!$B$2:$B$200,MATCH(A9903,'Teacher Lookup'!$A$2:$A$200,0)),"")</f>
        <v>LEUNG Tom</v>
      </c>
    </row>
    <row r="9904" customFormat="false" ht="15" hidden="false" customHeight="false" outlineLevel="0" collapsed="false">
      <c r="A9904" s="3" t="s">
        <v>518</v>
      </c>
      <c r="B9904" s="4" t="s">
        <v>40</v>
      </c>
      <c r="C9904" s="4" t="n">
        <v>6</v>
      </c>
      <c r="D9904" s="4" t="s">
        <v>22</v>
      </c>
      <c r="E9904" s="3" t="s">
        <v>33</v>
      </c>
      <c r="F9904" s="4" t="str">
        <f aca="false">IF(I9904&gt;J9904,"Y","N")</f>
        <v>N</v>
      </c>
      <c r="G9904" s="3" t="s">
        <v>15</v>
      </c>
      <c r="H9904" s="3" t="s">
        <v>42</v>
      </c>
      <c r="I9904" s="4" t="n">
        <v>4</v>
      </c>
      <c r="J9904" s="4" t="n">
        <f aca="false">LEN(E9904)-LEN(SUBSTITUTE(E9904,",",""))+1</f>
        <v>4</v>
      </c>
      <c r="K9904" s="3" t="str">
        <f aca="false">IFERROR(INDEX('Teacher Lookup'!$B$2:$B$200,MATCH(A9904,'Teacher Lookup'!$A$2:$A$200,0)),"")</f>
        <v>LEUNG Tom</v>
      </c>
    </row>
    <row r="9905" customFormat="false" ht="15" hidden="false" customHeight="false" outlineLevel="0" collapsed="false">
      <c r="A9905" s="3" t="s">
        <v>518</v>
      </c>
      <c r="B9905" s="4" t="s">
        <v>40</v>
      </c>
      <c r="C9905" s="4" t="n">
        <v>6</v>
      </c>
      <c r="D9905" s="4" t="s">
        <v>23</v>
      </c>
      <c r="E9905" s="3" t="s">
        <v>33</v>
      </c>
      <c r="F9905" s="4" t="str">
        <f aca="false">IF(I9905&gt;J9905,"Y","N")</f>
        <v>N</v>
      </c>
      <c r="G9905" s="3" t="s">
        <v>15</v>
      </c>
      <c r="H9905" s="3" t="s">
        <v>42</v>
      </c>
      <c r="I9905" s="4" t="n">
        <v>4</v>
      </c>
      <c r="J9905" s="4" t="n">
        <f aca="false">LEN(E9905)-LEN(SUBSTITUTE(E9905,",",""))+1</f>
        <v>4</v>
      </c>
      <c r="K9905" s="3" t="str">
        <f aca="false">IFERROR(INDEX('Teacher Lookup'!$B$2:$B$200,MATCH(A9905,'Teacher Lookup'!$A$2:$A$200,0)),"")</f>
        <v>LEUNG Tom</v>
      </c>
    </row>
    <row r="9906" customFormat="false" ht="15" hidden="false" customHeight="false" outlineLevel="0" collapsed="false">
      <c r="A9906" s="3" t="s">
        <v>518</v>
      </c>
      <c r="B9906" s="4" t="s">
        <v>40</v>
      </c>
      <c r="C9906" s="4" t="n">
        <v>7</v>
      </c>
      <c r="D9906" s="4" t="s">
        <v>13</v>
      </c>
      <c r="E9906" s="3" t="s">
        <v>43</v>
      </c>
      <c r="F9906" s="4" t="str">
        <f aca="false">IF(I9906&gt;J9906,"Y","N")</f>
        <v>N</v>
      </c>
      <c r="G9906" s="3" t="s">
        <v>15</v>
      </c>
      <c r="H9906" s="3" t="s">
        <v>39</v>
      </c>
      <c r="I9906" s="4" t="n">
        <v>4</v>
      </c>
      <c r="J9906" s="4" t="n">
        <f aca="false">LEN(E9906)-LEN(SUBSTITUTE(E9906,",",""))+1</f>
        <v>4</v>
      </c>
      <c r="K9906" s="3" t="str">
        <f aca="false">IFERROR(INDEX('Teacher Lookup'!$B$2:$B$200,MATCH(A9906,'Teacher Lookup'!$A$2:$A$200,0)),"")</f>
        <v>LEUNG Tom</v>
      </c>
    </row>
    <row r="9907" customFormat="false" ht="15" hidden="false" customHeight="false" outlineLevel="0" collapsed="false">
      <c r="A9907" s="3" t="s">
        <v>518</v>
      </c>
      <c r="B9907" s="4" t="s">
        <v>40</v>
      </c>
      <c r="C9907" s="4" t="n">
        <v>7</v>
      </c>
      <c r="D9907" s="4" t="s">
        <v>17</v>
      </c>
      <c r="E9907" s="3" t="s">
        <v>43</v>
      </c>
      <c r="F9907" s="4" t="str">
        <f aca="false">IF(I9907&gt;J9907,"Y","N")</f>
        <v>N</v>
      </c>
      <c r="G9907" s="3" t="s">
        <v>15</v>
      </c>
      <c r="H9907" s="3" t="s">
        <v>39</v>
      </c>
      <c r="I9907" s="4" t="n">
        <v>4</v>
      </c>
      <c r="J9907" s="4" t="n">
        <f aca="false">LEN(E9907)-LEN(SUBSTITUTE(E9907,",",""))+1</f>
        <v>4</v>
      </c>
      <c r="K9907" s="3" t="str">
        <f aca="false">IFERROR(INDEX('Teacher Lookup'!$B$2:$B$200,MATCH(A9907,'Teacher Lookup'!$A$2:$A$200,0)),"")</f>
        <v>LEUNG Tom</v>
      </c>
    </row>
    <row r="9908" customFormat="false" ht="15" hidden="false" customHeight="false" outlineLevel="0" collapsed="false">
      <c r="A9908" s="3" t="s">
        <v>518</v>
      </c>
      <c r="B9908" s="4" t="s">
        <v>40</v>
      </c>
      <c r="C9908" s="4" t="n">
        <v>7</v>
      </c>
      <c r="D9908" s="4" t="s">
        <v>18</v>
      </c>
      <c r="E9908" s="3" t="s">
        <v>43</v>
      </c>
      <c r="F9908" s="4" t="str">
        <f aca="false">IF(I9908&gt;J9908,"Y","N")</f>
        <v>N</v>
      </c>
      <c r="G9908" s="3" t="s">
        <v>15</v>
      </c>
      <c r="H9908" s="3" t="s">
        <v>39</v>
      </c>
      <c r="I9908" s="4" t="n">
        <v>4</v>
      </c>
      <c r="J9908" s="4" t="n">
        <f aca="false">LEN(E9908)-LEN(SUBSTITUTE(E9908,",",""))+1</f>
        <v>4</v>
      </c>
      <c r="K9908" s="3" t="str">
        <f aca="false">IFERROR(INDEX('Teacher Lookup'!$B$2:$B$200,MATCH(A9908,'Teacher Lookup'!$A$2:$A$200,0)),"")</f>
        <v>LEUNG Tom</v>
      </c>
    </row>
    <row r="9909" customFormat="false" ht="15" hidden="false" customHeight="false" outlineLevel="0" collapsed="false">
      <c r="A9909" s="3" t="s">
        <v>518</v>
      </c>
      <c r="B9909" s="4" t="s">
        <v>44</v>
      </c>
      <c r="C9909" s="4" t="n">
        <v>1</v>
      </c>
      <c r="D9909" s="4" t="s">
        <v>19</v>
      </c>
      <c r="E9909" s="3" t="s">
        <v>33</v>
      </c>
      <c r="F9909" s="4" t="str">
        <f aca="false">IF(I9909&gt;J9909,"Y","N")</f>
        <v>N</v>
      </c>
      <c r="G9909" s="3" t="s">
        <v>15</v>
      </c>
      <c r="H9909" s="3" t="s">
        <v>16</v>
      </c>
      <c r="I9909" s="4" t="n">
        <v>4</v>
      </c>
      <c r="J9909" s="4" t="n">
        <f aca="false">LEN(E9909)-LEN(SUBSTITUTE(E9909,",",""))+1</f>
        <v>4</v>
      </c>
      <c r="K9909" s="3" t="str">
        <f aca="false">IFERROR(INDEX('Teacher Lookup'!$B$2:$B$200,MATCH(A9909,'Teacher Lookup'!$A$2:$A$200,0)),"")</f>
        <v>LEUNG Tom</v>
      </c>
    </row>
    <row r="9910" customFormat="false" ht="15" hidden="false" customHeight="false" outlineLevel="0" collapsed="false">
      <c r="A9910" s="3" t="s">
        <v>518</v>
      </c>
      <c r="B9910" s="4" t="s">
        <v>44</v>
      </c>
      <c r="C9910" s="4" t="n">
        <v>1</v>
      </c>
      <c r="D9910" s="4" t="s">
        <v>22</v>
      </c>
      <c r="E9910" s="3" t="s">
        <v>33</v>
      </c>
      <c r="F9910" s="4" t="str">
        <f aca="false">IF(I9910&gt;J9910,"Y","N")</f>
        <v>N</v>
      </c>
      <c r="G9910" s="3" t="s">
        <v>15</v>
      </c>
      <c r="H9910" s="3" t="s">
        <v>16</v>
      </c>
      <c r="I9910" s="4" t="n">
        <v>4</v>
      </c>
      <c r="J9910" s="4" t="n">
        <f aca="false">LEN(E9910)-LEN(SUBSTITUTE(E9910,",",""))+1</f>
        <v>4</v>
      </c>
      <c r="K9910" s="3" t="str">
        <f aca="false">IFERROR(INDEX('Teacher Lookup'!$B$2:$B$200,MATCH(A9910,'Teacher Lookup'!$A$2:$A$200,0)),"")</f>
        <v>LEUNG Tom</v>
      </c>
    </row>
    <row r="9911" customFormat="false" ht="15" hidden="false" customHeight="false" outlineLevel="0" collapsed="false">
      <c r="A9911" s="3" t="s">
        <v>518</v>
      </c>
      <c r="B9911" s="4" t="s">
        <v>44</v>
      </c>
      <c r="C9911" s="4" t="n">
        <v>1</v>
      </c>
      <c r="D9911" s="4" t="s">
        <v>23</v>
      </c>
      <c r="E9911" s="3" t="s">
        <v>33</v>
      </c>
      <c r="F9911" s="4" t="str">
        <f aca="false">IF(I9911&gt;J9911,"Y","N")</f>
        <v>N</v>
      </c>
      <c r="G9911" s="3" t="s">
        <v>15</v>
      </c>
      <c r="H9911" s="3" t="s">
        <v>16</v>
      </c>
      <c r="I9911" s="4" t="n">
        <v>4</v>
      </c>
      <c r="J9911" s="4" t="n">
        <f aca="false">LEN(E9911)-LEN(SUBSTITUTE(E9911,",",""))+1</f>
        <v>4</v>
      </c>
      <c r="K9911" s="3" t="str">
        <f aca="false">IFERROR(INDEX('Teacher Lookup'!$B$2:$B$200,MATCH(A9911,'Teacher Lookup'!$A$2:$A$200,0)),"")</f>
        <v>LEUNG Tom</v>
      </c>
    </row>
    <row r="9912" customFormat="false" ht="15" hidden="false" customHeight="false" outlineLevel="0" collapsed="false">
      <c r="A9912" s="3" t="s">
        <v>518</v>
      </c>
      <c r="B9912" s="4" t="s">
        <v>44</v>
      </c>
      <c r="C9912" s="4" t="n">
        <v>2</v>
      </c>
      <c r="D9912" s="4" t="s">
        <v>140</v>
      </c>
      <c r="E9912" s="3" t="s">
        <v>144</v>
      </c>
      <c r="F9912" s="4" t="str">
        <f aca="false">IF(I9912&gt;J9912,"Y","N")</f>
        <v>N</v>
      </c>
      <c r="G9912" s="3" t="s">
        <v>15</v>
      </c>
      <c r="H9912" s="3" t="s">
        <v>21</v>
      </c>
      <c r="I9912" s="4" t="n">
        <v>4</v>
      </c>
      <c r="J9912" s="4" t="n">
        <f aca="false">LEN(E9912)-LEN(SUBSTITUTE(E9912,",",""))+1</f>
        <v>4</v>
      </c>
      <c r="K9912" s="3" t="str">
        <f aca="false">IFERROR(INDEX('Teacher Lookup'!$B$2:$B$200,MATCH(A9912,'Teacher Lookup'!$A$2:$A$200,0)),"")</f>
        <v>LEUNG Tom</v>
      </c>
    </row>
    <row r="9913" customFormat="false" ht="15" hidden="false" customHeight="false" outlineLevel="0" collapsed="false">
      <c r="A9913" s="3" t="s">
        <v>518</v>
      </c>
      <c r="B9913" s="4" t="s">
        <v>44</v>
      </c>
      <c r="C9913" s="4" t="n">
        <v>2</v>
      </c>
      <c r="D9913" s="4" t="s">
        <v>142</v>
      </c>
      <c r="E9913" s="3" t="s">
        <v>144</v>
      </c>
      <c r="F9913" s="4" t="str">
        <f aca="false">IF(I9913&gt;J9913,"Y","N")</f>
        <v>N</v>
      </c>
      <c r="G9913" s="3" t="s">
        <v>15</v>
      </c>
      <c r="H9913" s="3" t="s">
        <v>21</v>
      </c>
      <c r="I9913" s="4" t="n">
        <v>4</v>
      </c>
      <c r="J9913" s="4" t="n">
        <f aca="false">LEN(E9913)-LEN(SUBSTITUTE(E9913,",",""))+1</f>
        <v>4</v>
      </c>
      <c r="K9913" s="3" t="str">
        <f aca="false">IFERROR(INDEX('Teacher Lookup'!$B$2:$B$200,MATCH(A9913,'Teacher Lookup'!$A$2:$A$200,0)),"")</f>
        <v>LEUNG Tom</v>
      </c>
    </row>
    <row r="9914" customFormat="false" ht="15" hidden="false" customHeight="false" outlineLevel="0" collapsed="false">
      <c r="A9914" s="3" t="s">
        <v>518</v>
      </c>
      <c r="B9914" s="4" t="s">
        <v>44</v>
      </c>
      <c r="C9914" s="4" t="n">
        <v>2</v>
      </c>
      <c r="D9914" s="4" t="s">
        <v>127</v>
      </c>
      <c r="E9914" s="3" t="s">
        <v>144</v>
      </c>
      <c r="F9914" s="4" t="str">
        <f aca="false">IF(I9914&gt;J9914,"Y","N")</f>
        <v>N</v>
      </c>
      <c r="G9914" s="3" t="s">
        <v>15</v>
      </c>
      <c r="H9914" s="3" t="s">
        <v>21</v>
      </c>
      <c r="I9914" s="4" t="n">
        <v>4</v>
      </c>
      <c r="J9914" s="4" t="n">
        <f aca="false">LEN(E9914)-LEN(SUBSTITUTE(E9914,",",""))+1</f>
        <v>4</v>
      </c>
      <c r="K9914" s="3" t="str">
        <f aca="false">IFERROR(INDEX('Teacher Lookup'!$B$2:$B$200,MATCH(A9914,'Teacher Lookup'!$A$2:$A$200,0)),"")</f>
        <v>LEUNG Tom</v>
      </c>
    </row>
    <row r="9915" customFormat="false" ht="15" hidden="false" customHeight="false" outlineLevel="0" collapsed="false">
      <c r="A9915" s="3" t="s">
        <v>518</v>
      </c>
      <c r="B9915" s="4" t="s">
        <v>44</v>
      </c>
      <c r="C9915" s="4" t="n">
        <v>3</v>
      </c>
      <c r="D9915" s="4" t="s">
        <v>137</v>
      </c>
      <c r="E9915" s="3" t="s">
        <v>208</v>
      </c>
      <c r="F9915" s="4" t="str">
        <f aca="false">IF(I9915&gt;J9915,"Y","N")</f>
        <v>N</v>
      </c>
      <c r="G9915" s="3" t="s">
        <v>15</v>
      </c>
      <c r="H9915" s="3" t="s">
        <v>26</v>
      </c>
      <c r="I9915" s="4" t="n">
        <v>4</v>
      </c>
      <c r="J9915" s="4" t="n">
        <f aca="false">LEN(E9915)-LEN(SUBSTITUTE(E9915,",",""))+1</f>
        <v>4</v>
      </c>
      <c r="K9915" s="3" t="str">
        <f aca="false">IFERROR(INDEX('Teacher Lookup'!$B$2:$B$200,MATCH(A9915,'Teacher Lookup'!$A$2:$A$200,0)),"")</f>
        <v>LEUNG Tom</v>
      </c>
    </row>
    <row r="9916" customFormat="false" ht="15" hidden="false" customHeight="false" outlineLevel="0" collapsed="false">
      <c r="A9916" s="3" t="s">
        <v>518</v>
      </c>
      <c r="B9916" s="4" t="s">
        <v>44</v>
      </c>
      <c r="C9916" s="4" t="n">
        <v>3</v>
      </c>
      <c r="D9916" s="4" t="s">
        <v>124</v>
      </c>
      <c r="E9916" s="3" t="s">
        <v>208</v>
      </c>
      <c r="F9916" s="4" t="str">
        <f aca="false">IF(I9916&gt;J9916,"Y","N")</f>
        <v>N</v>
      </c>
      <c r="G9916" s="3" t="s">
        <v>15</v>
      </c>
      <c r="H9916" s="3" t="s">
        <v>26</v>
      </c>
      <c r="I9916" s="4" t="n">
        <v>4</v>
      </c>
      <c r="J9916" s="4" t="n">
        <f aca="false">LEN(E9916)-LEN(SUBSTITUTE(E9916,",",""))+1</f>
        <v>4</v>
      </c>
      <c r="K9916" s="3" t="str">
        <f aca="false">IFERROR(INDEX('Teacher Lookup'!$B$2:$B$200,MATCH(A9916,'Teacher Lookup'!$A$2:$A$200,0)),"")</f>
        <v>LEUNG Tom</v>
      </c>
    </row>
    <row r="9917" customFormat="false" ht="15" hidden="false" customHeight="false" outlineLevel="0" collapsed="false">
      <c r="A9917" s="3" t="s">
        <v>518</v>
      </c>
      <c r="B9917" s="4" t="s">
        <v>44</v>
      </c>
      <c r="C9917" s="4" t="n">
        <v>3</v>
      </c>
      <c r="D9917" s="4" t="s">
        <v>139</v>
      </c>
      <c r="E9917" s="3" t="s">
        <v>208</v>
      </c>
      <c r="F9917" s="4" t="str">
        <f aca="false">IF(I9917&gt;J9917,"Y","N")</f>
        <v>N</v>
      </c>
      <c r="G9917" s="3" t="s">
        <v>15</v>
      </c>
      <c r="H9917" s="3" t="s">
        <v>26</v>
      </c>
      <c r="I9917" s="4" t="n">
        <v>4</v>
      </c>
      <c r="J9917" s="4" t="n">
        <f aca="false">LEN(E9917)-LEN(SUBSTITUTE(E9917,",",""))+1</f>
        <v>4</v>
      </c>
      <c r="K9917" s="3" t="str">
        <f aca="false">IFERROR(INDEX('Teacher Lookup'!$B$2:$B$200,MATCH(A9917,'Teacher Lookup'!$A$2:$A$200,0)),"")</f>
        <v>LEUNG Tom</v>
      </c>
    </row>
    <row r="9918" customFormat="false" ht="15" hidden="false" customHeight="false" outlineLevel="0" collapsed="false">
      <c r="A9918" s="3" t="s">
        <v>518</v>
      </c>
      <c r="B9918" s="4" t="s">
        <v>44</v>
      </c>
      <c r="C9918" s="4" t="n">
        <v>5</v>
      </c>
      <c r="D9918" s="4" t="s">
        <v>137</v>
      </c>
      <c r="E9918" s="3" t="s">
        <v>185</v>
      </c>
      <c r="F9918" s="4" t="str">
        <f aca="false">IF(I9918&gt;J9918,"Y","N")</f>
        <v>Y</v>
      </c>
      <c r="G9918" s="3" t="s">
        <v>36</v>
      </c>
      <c r="H9918" s="3" t="s">
        <v>37</v>
      </c>
      <c r="I9918" s="4" t="n">
        <v>21</v>
      </c>
      <c r="J9918" s="4" t="n">
        <f aca="false">LEN(E9918)-LEN(SUBSTITUTE(E9918,",",""))+1</f>
        <v>7</v>
      </c>
      <c r="K9918" s="3" t="str">
        <f aca="false">IFERROR(INDEX('Teacher Lookup'!$B$2:$B$200,MATCH(A9918,'Teacher Lookup'!$A$2:$A$200,0)),"")</f>
        <v>LEUNG Tom</v>
      </c>
    </row>
    <row r="9919" customFormat="false" ht="15" hidden="false" customHeight="false" outlineLevel="0" collapsed="false">
      <c r="A9919" s="3" t="s">
        <v>518</v>
      </c>
      <c r="B9919" s="4" t="s">
        <v>44</v>
      </c>
      <c r="C9919" s="4" t="n">
        <v>5</v>
      </c>
      <c r="D9919" s="4" t="s">
        <v>124</v>
      </c>
      <c r="E9919" s="3" t="s">
        <v>185</v>
      </c>
      <c r="F9919" s="4" t="str">
        <f aca="false">IF(I9919&gt;J9919,"Y","N")</f>
        <v>Y</v>
      </c>
      <c r="G9919" s="3" t="s">
        <v>36</v>
      </c>
      <c r="H9919" s="3" t="s">
        <v>37</v>
      </c>
      <c r="I9919" s="4" t="n">
        <v>21</v>
      </c>
      <c r="J9919" s="4" t="n">
        <f aca="false">LEN(E9919)-LEN(SUBSTITUTE(E9919,",",""))+1</f>
        <v>7</v>
      </c>
      <c r="K9919" s="3" t="str">
        <f aca="false">IFERROR(INDEX('Teacher Lookup'!$B$2:$B$200,MATCH(A9919,'Teacher Lookup'!$A$2:$A$200,0)),"")</f>
        <v>LEUNG Tom</v>
      </c>
    </row>
    <row r="9920" customFormat="false" ht="15" hidden="false" customHeight="false" outlineLevel="0" collapsed="false">
      <c r="A9920" s="3" t="s">
        <v>518</v>
      </c>
      <c r="B9920" s="4" t="s">
        <v>44</v>
      </c>
      <c r="C9920" s="4" t="n">
        <v>5</v>
      </c>
      <c r="D9920" s="4" t="s">
        <v>139</v>
      </c>
      <c r="E9920" s="3" t="s">
        <v>185</v>
      </c>
      <c r="F9920" s="4" t="str">
        <f aca="false">IF(I9920&gt;J9920,"Y","N")</f>
        <v>Y</v>
      </c>
      <c r="G9920" s="3" t="s">
        <v>36</v>
      </c>
      <c r="H9920" s="3" t="s">
        <v>37</v>
      </c>
      <c r="I9920" s="4" t="n">
        <v>21</v>
      </c>
      <c r="J9920" s="4" t="n">
        <f aca="false">LEN(E9920)-LEN(SUBSTITUTE(E9920,",",""))+1</f>
        <v>7</v>
      </c>
      <c r="K9920" s="3" t="str">
        <f aca="false">IFERROR(INDEX('Teacher Lookup'!$B$2:$B$200,MATCH(A9920,'Teacher Lookup'!$A$2:$A$200,0)),"")</f>
        <v>LEUNG Tom</v>
      </c>
    </row>
    <row r="9921" customFormat="false" ht="15" hidden="false" customHeight="false" outlineLevel="0" collapsed="false">
      <c r="A9921" s="3" t="s">
        <v>518</v>
      </c>
      <c r="B9921" s="4" t="s">
        <v>44</v>
      </c>
      <c r="C9921" s="4" t="n">
        <v>5</v>
      </c>
      <c r="D9921" s="4" t="s">
        <v>140</v>
      </c>
      <c r="E9921" s="3" t="s">
        <v>185</v>
      </c>
      <c r="F9921" s="4" t="str">
        <f aca="false">IF(I9921&gt;J9921,"Y","N")</f>
        <v>Y</v>
      </c>
      <c r="G9921" s="3" t="s">
        <v>36</v>
      </c>
      <c r="H9921" s="3" t="s">
        <v>37</v>
      </c>
      <c r="I9921" s="4" t="n">
        <v>21</v>
      </c>
      <c r="J9921" s="4" t="n">
        <f aca="false">LEN(E9921)-LEN(SUBSTITUTE(E9921,",",""))+1</f>
        <v>7</v>
      </c>
      <c r="K9921" s="3" t="str">
        <f aca="false">IFERROR(INDEX('Teacher Lookup'!$B$2:$B$200,MATCH(A9921,'Teacher Lookup'!$A$2:$A$200,0)),"")</f>
        <v>LEUNG Tom</v>
      </c>
    </row>
    <row r="9922" customFormat="false" ht="15" hidden="false" customHeight="false" outlineLevel="0" collapsed="false">
      <c r="A9922" s="3" t="s">
        <v>518</v>
      </c>
      <c r="B9922" s="4" t="s">
        <v>44</v>
      </c>
      <c r="C9922" s="4" t="n">
        <v>5</v>
      </c>
      <c r="D9922" s="4" t="s">
        <v>142</v>
      </c>
      <c r="E9922" s="3" t="s">
        <v>185</v>
      </c>
      <c r="F9922" s="4" t="str">
        <f aca="false">IF(I9922&gt;J9922,"Y","N")</f>
        <v>Y</v>
      </c>
      <c r="G9922" s="3" t="s">
        <v>36</v>
      </c>
      <c r="H9922" s="3" t="s">
        <v>37</v>
      </c>
      <c r="I9922" s="4" t="n">
        <v>21</v>
      </c>
      <c r="J9922" s="4" t="n">
        <f aca="false">LEN(E9922)-LEN(SUBSTITUTE(E9922,",",""))+1</f>
        <v>7</v>
      </c>
      <c r="K9922" s="3" t="str">
        <f aca="false">IFERROR(INDEX('Teacher Lookup'!$B$2:$B$200,MATCH(A9922,'Teacher Lookup'!$A$2:$A$200,0)),"")</f>
        <v>LEUNG Tom</v>
      </c>
    </row>
    <row r="9923" customFormat="false" ht="15" hidden="false" customHeight="false" outlineLevel="0" collapsed="false">
      <c r="A9923" s="3" t="s">
        <v>518</v>
      </c>
      <c r="B9923" s="4" t="s">
        <v>44</v>
      </c>
      <c r="C9923" s="4" t="n">
        <v>5</v>
      </c>
      <c r="D9923" s="4" t="s">
        <v>127</v>
      </c>
      <c r="E9923" s="3" t="s">
        <v>185</v>
      </c>
      <c r="F9923" s="4" t="str">
        <f aca="false">IF(I9923&gt;J9923,"Y","N")</f>
        <v>Y</v>
      </c>
      <c r="G9923" s="3" t="s">
        <v>36</v>
      </c>
      <c r="H9923" s="3" t="s">
        <v>37</v>
      </c>
      <c r="I9923" s="4" t="n">
        <v>21</v>
      </c>
      <c r="J9923" s="4" t="n">
        <f aca="false">LEN(E9923)-LEN(SUBSTITUTE(E9923,",",""))+1</f>
        <v>7</v>
      </c>
      <c r="K9923" s="3" t="str">
        <f aca="false">IFERROR(INDEX('Teacher Lookup'!$B$2:$B$200,MATCH(A9923,'Teacher Lookup'!$A$2:$A$200,0)),"")</f>
        <v>LEUNG Tom</v>
      </c>
    </row>
    <row r="9924" customFormat="false" ht="15" hidden="false" customHeight="false" outlineLevel="0" collapsed="false">
      <c r="A9924" s="3" t="s">
        <v>518</v>
      </c>
      <c r="B9924" s="4" t="s">
        <v>44</v>
      </c>
      <c r="C9924" s="4" t="n">
        <v>7</v>
      </c>
      <c r="D9924" s="4" t="s">
        <v>13</v>
      </c>
      <c r="E9924" s="3" t="s">
        <v>46</v>
      </c>
      <c r="F9924" s="4" t="str">
        <f aca="false">IF(I9924&gt;J9924,"Y","N")</f>
        <v>N</v>
      </c>
      <c r="G9924" s="3" t="s">
        <v>15</v>
      </c>
      <c r="H9924" s="3" t="s">
        <v>39</v>
      </c>
      <c r="I9924" s="4" t="n">
        <v>4</v>
      </c>
      <c r="J9924" s="4" t="n">
        <f aca="false">LEN(E9924)-LEN(SUBSTITUTE(E9924,",",""))+1</f>
        <v>4</v>
      </c>
      <c r="K9924" s="3" t="str">
        <f aca="false">IFERROR(INDEX('Teacher Lookup'!$B$2:$B$200,MATCH(A9924,'Teacher Lookup'!$A$2:$A$200,0)),"")</f>
        <v>LEUNG Tom</v>
      </c>
    </row>
    <row r="9925" customFormat="false" ht="15" hidden="false" customHeight="false" outlineLevel="0" collapsed="false">
      <c r="A9925" s="3" t="s">
        <v>518</v>
      </c>
      <c r="B9925" s="4" t="s">
        <v>44</v>
      </c>
      <c r="C9925" s="4" t="n">
        <v>7</v>
      </c>
      <c r="D9925" s="4" t="s">
        <v>17</v>
      </c>
      <c r="E9925" s="3" t="s">
        <v>46</v>
      </c>
      <c r="F9925" s="4" t="str">
        <f aca="false">IF(I9925&gt;J9925,"Y","N")</f>
        <v>N</v>
      </c>
      <c r="G9925" s="3" t="s">
        <v>15</v>
      </c>
      <c r="H9925" s="3" t="s">
        <v>39</v>
      </c>
      <c r="I9925" s="4" t="n">
        <v>4</v>
      </c>
      <c r="J9925" s="4" t="n">
        <f aca="false">LEN(E9925)-LEN(SUBSTITUTE(E9925,",",""))+1</f>
        <v>4</v>
      </c>
      <c r="K9925" s="3" t="str">
        <f aca="false">IFERROR(INDEX('Teacher Lookup'!$B$2:$B$200,MATCH(A9925,'Teacher Lookup'!$A$2:$A$200,0)),"")</f>
        <v>LEUNG Tom</v>
      </c>
    </row>
    <row r="9926" customFormat="false" ht="15" hidden="false" customHeight="false" outlineLevel="0" collapsed="false">
      <c r="A9926" s="3" t="s">
        <v>518</v>
      </c>
      <c r="B9926" s="4" t="s">
        <v>44</v>
      </c>
      <c r="C9926" s="4" t="n">
        <v>7</v>
      </c>
      <c r="D9926" s="4" t="s">
        <v>18</v>
      </c>
      <c r="E9926" s="3" t="s">
        <v>46</v>
      </c>
      <c r="F9926" s="4" t="str">
        <f aca="false">IF(I9926&gt;J9926,"Y","N")</f>
        <v>N</v>
      </c>
      <c r="G9926" s="3" t="s">
        <v>15</v>
      </c>
      <c r="H9926" s="3" t="s">
        <v>39</v>
      </c>
      <c r="I9926" s="4" t="n">
        <v>4</v>
      </c>
      <c r="J9926" s="4" t="n">
        <f aca="false">LEN(E9926)-LEN(SUBSTITUTE(E9926,",",""))+1</f>
        <v>4</v>
      </c>
      <c r="K9926" s="3" t="str">
        <f aca="false">IFERROR(INDEX('Teacher Lookup'!$B$2:$B$200,MATCH(A9926,'Teacher Lookup'!$A$2:$A$200,0)),"")</f>
        <v>LEUNG Tom</v>
      </c>
    </row>
    <row r="9927" customFormat="false" ht="15" hidden="false" customHeight="false" outlineLevel="0" collapsed="false">
      <c r="A9927" s="3" t="s">
        <v>518</v>
      </c>
      <c r="B9927" s="4" t="s">
        <v>47</v>
      </c>
      <c r="C9927" s="4" t="n">
        <v>3</v>
      </c>
      <c r="D9927" s="4" t="s">
        <v>19</v>
      </c>
      <c r="E9927" s="3" t="s">
        <v>48</v>
      </c>
      <c r="F9927" s="4" t="str">
        <f aca="false">IF(I9927&gt;J9927,"Y","N")</f>
        <v>N</v>
      </c>
      <c r="G9927" s="3" t="s">
        <v>15</v>
      </c>
      <c r="H9927" s="3" t="s">
        <v>26</v>
      </c>
      <c r="I9927" s="4" t="n">
        <v>4</v>
      </c>
      <c r="J9927" s="4" t="n">
        <f aca="false">LEN(E9927)-LEN(SUBSTITUTE(E9927,",",""))+1</f>
        <v>4</v>
      </c>
      <c r="K9927" s="3" t="str">
        <f aca="false">IFERROR(INDEX('Teacher Lookup'!$B$2:$B$200,MATCH(A9927,'Teacher Lookup'!$A$2:$A$200,0)),"")</f>
        <v>LEUNG Tom</v>
      </c>
    </row>
    <row r="9928" customFormat="false" ht="15" hidden="false" customHeight="false" outlineLevel="0" collapsed="false">
      <c r="A9928" s="3" t="s">
        <v>518</v>
      </c>
      <c r="B9928" s="4" t="s">
        <v>47</v>
      </c>
      <c r="C9928" s="4" t="n">
        <v>3</v>
      </c>
      <c r="D9928" s="4" t="s">
        <v>22</v>
      </c>
      <c r="E9928" s="3" t="s">
        <v>48</v>
      </c>
      <c r="F9928" s="4" t="str">
        <f aca="false">IF(I9928&gt;J9928,"Y","N")</f>
        <v>N</v>
      </c>
      <c r="G9928" s="3" t="s">
        <v>15</v>
      </c>
      <c r="H9928" s="3" t="s">
        <v>26</v>
      </c>
      <c r="I9928" s="4" t="n">
        <v>4</v>
      </c>
      <c r="J9928" s="4" t="n">
        <f aca="false">LEN(E9928)-LEN(SUBSTITUTE(E9928,",",""))+1</f>
        <v>4</v>
      </c>
      <c r="K9928" s="3" t="str">
        <f aca="false">IFERROR(INDEX('Teacher Lookup'!$B$2:$B$200,MATCH(A9928,'Teacher Lookup'!$A$2:$A$200,0)),"")</f>
        <v>LEUNG Tom</v>
      </c>
    </row>
    <row r="9929" customFormat="false" ht="15" hidden="false" customHeight="false" outlineLevel="0" collapsed="false">
      <c r="A9929" s="3" t="s">
        <v>518</v>
      </c>
      <c r="B9929" s="4" t="s">
        <v>47</v>
      </c>
      <c r="C9929" s="4" t="n">
        <v>3</v>
      </c>
      <c r="D9929" s="4" t="s">
        <v>23</v>
      </c>
      <c r="E9929" s="3" t="s">
        <v>48</v>
      </c>
      <c r="F9929" s="4" t="str">
        <f aca="false">IF(I9929&gt;J9929,"Y","N")</f>
        <v>N</v>
      </c>
      <c r="G9929" s="3" t="s">
        <v>15</v>
      </c>
      <c r="H9929" s="3" t="s">
        <v>26</v>
      </c>
      <c r="I9929" s="4" t="n">
        <v>4</v>
      </c>
      <c r="J9929" s="4" t="n">
        <f aca="false">LEN(E9929)-LEN(SUBSTITUTE(E9929,",",""))+1</f>
        <v>4</v>
      </c>
      <c r="K9929" s="3" t="str">
        <f aca="false">IFERROR(INDEX('Teacher Lookup'!$B$2:$B$200,MATCH(A9929,'Teacher Lookup'!$A$2:$A$200,0)),"")</f>
        <v>LEUNG Tom</v>
      </c>
    </row>
    <row r="9930" customFormat="false" ht="15" hidden="false" customHeight="false" outlineLevel="0" collapsed="false">
      <c r="A9930" s="3" t="s">
        <v>518</v>
      </c>
      <c r="B9930" s="4" t="s">
        <v>47</v>
      </c>
      <c r="C9930" s="4" t="n">
        <v>5</v>
      </c>
      <c r="D9930" s="4" t="s">
        <v>140</v>
      </c>
      <c r="E9930" s="3" t="s">
        <v>210</v>
      </c>
      <c r="F9930" s="4" t="str">
        <f aca="false">IF(I9930&gt;J9930,"Y","N")</f>
        <v>N</v>
      </c>
      <c r="G9930" s="3" t="s">
        <v>15</v>
      </c>
      <c r="H9930" s="3" t="s">
        <v>37</v>
      </c>
      <c r="I9930" s="4" t="n">
        <v>4</v>
      </c>
      <c r="J9930" s="4" t="n">
        <f aca="false">LEN(E9930)-LEN(SUBSTITUTE(E9930,",",""))+1</f>
        <v>4</v>
      </c>
      <c r="K9930" s="3" t="str">
        <f aca="false">IFERROR(INDEX('Teacher Lookup'!$B$2:$B$200,MATCH(A9930,'Teacher Lookup'!$A$2:$A$200,0)),"")</f>
        <v>LEUNG Tom</v>
      </c>
    </row>
    <row r="9931" customFormat="false" ht="15" hidden="false" customHeight="false" outlineLevel="0" collapsed="false">
      <c r="A9931" s="3" t="s">
        <v>518</v>
      </c>
      <c r="B9931" s="4" t="s">
        <v>47</v>
      </c>
      <c r="C9931" s="4" t="n">
        <v>5</v>
      </c>
      <c r="D9931" s="4" t="s">
        <v>142</v>
      </c>
      <c r="E9931" s="3" t="s">
        <v>210</v>
      </c>
      <c r="F9931" s="4" t="str">
        <f aca="false">IF(I9931&gt;J9931,"Y","N")</f>
        <v>N</v>
      </c>
      <c r="G9931" s="3" t="s">
        <v>15</v>
      </c>
      <c r="H9931" s="3" t="s">
        <v>37</v>
      </c>
      <c r="I9931" s="4" t="n">
        <v>4</v>
      </c>
      <c r="J9931" s="4" t="n">
        <f aca="false">LEN(E9931)-LEN(SUBSTITUTE(E9931,",",""))+1</f>
        <v>4</v>
      </c>
      <c r="K9931" s="3" t="str">
        <f aca="false">IFERROR(INDEX('Teacher Lookup'!$B$2:$B$200,MATCH(A9931,'Teacher Lookup'!$A$2:$A$200,0)),"")</f>
        <v>LEUNG Tom</v>
      </c>
    </row>
    <row r="9932" customFormat="false" ht="15" hidden="false" customHeight="false" outlineLevel="0" collapsed="false">
      <c r="A9932" s="3" t="s">
        <v>518</v>
      </c>
      <c r="B9932" s="4" t="s">
        <v>47</v>
      </c>
      <c r="C9932" s="4" t="n">
        <v>5</v>
      </c>
      <c r="D9932" s="4" t="s">
        <v>127</v>
      </c>
      <c r="E9932" s="3" t="s">
        <v>210</v>
      </c>
      <c r="F9932" s="4" t="str">
        <f aca="false">IF(I9932&gt;J9932,"Y","N")</f>
        <v>N</v>
      </c>
      <c r="G9932" s="3" t="s">
        <v>15</v>
      </c>
      <c r="H9932" s="3" t="s">
        <v>37</v>
      </c>
      <c r="I9932" s="4" t="n">
        <v>4</v>
      </c>
      <c r="J9932" s="4" t="n">
        <f aca="false">LEN(E9932)-LEN(SUBSTITUTE(E9932,",",""))+1</f>
        <v>4</v>
      </c>
      <c r="K9932" s="3" t="str">
        <f aca="false">IFERROR(INDEX('Teacher Lookup'!$B$2:$B$200,MATCH(A9932,'Teacher Lookup'!$A$2:$A$200,0)),"")</f>
        <v>LEUNG Tom</v>
      </c>
    </row>
    <row r="9933" customFormat="false" ht="15" hidden="false" customHeight="false" outlineLevel="0" collapsed="false">
      <c r="A9933" s="3" t="s">
        <v>518</v>
      </c>
      <c r="B9933" s="4" t="s">
        <v>47</v>
      </c>
      <c r="C9933" s="4" t="n">
        <v>6</v>
      </c>
      <c r="D9933" s="4" t="s">
        <v>13</v>
      </c>
      <c r="E9933" s="3" t="s">
        <v>14</v>
      </c>
      <c r="F9933" s="4" t="str">
        <f aca="false">IF(I9933&gt;J9933,"Y","N")</f>
        <v>N</v>
      </c>
      <c r="G9933" s="3" t="s">
        <v>15</v>
      </c>
      <c r="H9933" s="3" t="s">
        <v>42</v>
      </c>
      <c r="I9933" s="4" t="n">
        <v>4</v>
      </c>
      <c r="J9933" s="4" t="n">
        <f aca="false">LEN(E9933)-LEN(SUBSTITUTE(E9933,",",""))+1</f>
        <v>4</v>
      </c>
      <c r="K9933" s="3" t="str">
        <f aca="false">IFERROR(INDEX('Teacher Lookup'!$B$2:$B$200,MATCH(A9933,'Teacher Lookup'!$A$2:$A$200,0)),"")</f>
        <v>LEUNG Tom</v>
      </c>
    </row>
    <row r="9934" customFormat="false" ht="15" hidden="false" customHeight="false" outlineLevel="0" collapsed="false">
      <c r="A9934" s="3" t="s">
        <v>518</v>
      </c>
      <c r="B9934" s="4" t="s">
        <v>47</v>
      </c>
      <c r="C9934" s="4" t="n">
        <v>6</v>
      </c>
      <c r="D9934" s="4" t="s">
        <v>17</v>
      </c>
      <c r="E9934" s="3" t="s">
        <v>14</v>
      </c>
      <c r="F9934" s="4" t="str">
        <f aca="false">IF(I9934&gt;J9934,"Y","N")</f>
        <v>N</v>
      </c>
      <c r="G9934" s="3" t="s">
        <v>15</v>
      </c>
      <c r="H9934" s="3" t="s">
        <v>42</v>
      </c>
      <c r="I9934" s="4" t="n">
        <v>4</v>
      </c>
      <c r="J9934" s="4" t="n">
        <f aca="false">LEN(E9934)-LEN(SUBSTITUTE(E9934,",",""))+1</f>
        <v>4</v>
      </c>
      <c r="K9934" s="3" t="str">
        <f aca="false">IFERROR(INDEX('Teacher Lookup'!$B$2:$B$200,MATCH(A9934,'Teacher Lookup'!$A$2:$A$200,0)),"")</f>
        <v>LEUNG Tom</v>
      </c>
    </row>
    <row r="9935" customFormat="false" ht="15" hidden="false" customHeight="false" outlineLevel="0" collapsed="false">
      <c r="A9935" s="3" t="s">
        <v>518</v>
      </c>
      <c r="B9935" s="4" t="s">
        <v>47</v>
      </c>
      <c r="C9935" s="4" t="n">
        <v>6</v>
      </c>
      <c r="D9935" s="4" t="s">
        <v>18</v>
      </c>
      <c r="E9935" s="3" t="s">
        <v>14</v>
      </c>
      <c r="F9935" s="4" t="str">
        <f aca="false">IF(I9935&gt;J9935,"Y","N")</f>
        <v>N</v>
      </c>
      <c r="G9935" s="3" t="s">
        <v>15</v>
      </c>
      <c r="H9935" s="3" t="s">
        <v>42</v>
      </c>
      <c r="I9935" s="4" t="n">
        <v>4</v>
      </c>
      <c r="J9935" s="4" t="n">
        <f aca="false">LEN(E9935)-LEN(SUBSTITUTE(E9935,",",""))+1</f>
        <v>4</v>
      </c>
      <c r="K9935" s="3" t="str">
        <f aca="false">IFERROR(INDEX('Teacher Lookup'!$B$2:$B$200,MATCH(A9935,'Teacher Lookup'!$A$2:$A$200,0)),"")</f>
        <v>LEUNG Tom</v>
      </c>
    </row>
    <row r="9936" customFormat="false" ht="15" hidden="false" customHeight="false" outlineLevel="0" collapsed="false">
      <c r="A9936" s="3" t="s">
        <v>518</v>
      </c>
      <c r="B9936" s="4" t="s">
        <v>47</v>
      </c>
      <c r="C9936" s="4" t="n">
        <v>7</v>
      </c>
      <c r="D9936" s="4" t="s">
        <v>137</v>
      </c>
      <c r="E9936" s="3" t="s">
        <v>154</v>
      </c>
      <c r="F9936" s="4" t="str">
        <f aca="false">IF(I9936&gt;J9936,"Y","N")</f>
        <v>N</v>
      </c>
      <c r="G9936" s="3" t="s">
        <v>15</v>
      </c>
      <c r="H9936" s="3" t="s">
        <v>39</v>
      </c>
      <c r="I9936" s="4" t="n">
        <v>4</v>
      </c>
      <c r="J9936" s="4" t="n">
        <f aca="false">LEN(E9936)-LEN(SUBSTITUTE(E9936,",",""))+1</f>
        <v>4</v>
      </c>
      <c r="K9936" s="3" t="str">
        <f aca="false">IFERROR(INDEX('Teacher Lookup'!$B$2:$B$200,MATCH(A9936,'Teacher Lookup'!$A$2:$A$200,0)),"")</f>
        <v>LEUNG Tom</v>
      </c>
    </row>
    <row r="9937" customFormat="false" ht="15" hidden="false" customHeight="false" outlineLevel="0" collapsed="false">
      <c r="A9937" s="3" t="s">
        <v>518</v>
      </c>
      <c r="B9937" s="4" t="s">
        <v>47</v>
      </c>
      <c r="C9937" s="4" t="n">
        <v>7</v>
      </c>
      <c r="D9937" s="4" t="s">
        <v>124</v>
      </c>
      <c r="E9937" s="3" t="s">
        <v>154</v>
      </c>
      <c r="F9937" s="4" t="str">
        <f aca="false">IF(I9937&gt;J9937,"Y","N")</f>
        <v>N</v>
      </c>
      <c r="G9937" s="3" t="s">
        <v>15</v>
      </c>
      <c r="H9937" s="3" t="s">
        <v>39</v>
      </c>
      <c r="I9937" s="4" t="n">
        <v>4</v>
      </c>
      <c r="J9937" s="4" t="n">
        <f aca="false">LEN(E9937)-LEN(SUBSTITUTE(E9937,",",""))+1</f>
        <v>4</v>
      </c>
      <c r="K9937" s="3" t="str">
        <f aca="false">IFERROR(INDEX('Teacher Lookup'!$B$2:$B$200,MATCH(A9937,'Teacher Lookup'!$A$2:$A$200,0)),"")</f>
        <v>LEUNG Tom</v>
      </c>
    </row>
    <row r="9938" customFormat="false" ht="15" hidden="false" customHeight="false" outlineLevel="0" collapsed="false">
      <c r="A9938" s="3" t="s">
        <v>518</v>
      </c>
      <c r="B9938" s="4" t="s">
        <v>47</v>
      </c>
      <c r="C9938" s="4" t="n">
        <v>7</v>
      </c>
      <c r="D9938" s="4" t="s">
        <v>139</v>
      </c>
      <c r="E9938" s="3" t="s">
        <v>154</v>
      </c>
      <c r="F9938" s="4" t="str">
        <f aca="false">IF(I9938&gt;J9938,"Y","N")</f>
        <v>N</v>
      </c>
      <c r="G9938" s="3" t="s">
        <v>15</v>
      </c>
      <c r="H9938" s="3" t="s">
        <v>39</v>
      </c>
      <c r="I9938" s="4" t="n">
        <v>4</v>
      </c>
      <c r="J9938" s="4" t="n">
        <f aca="false">LEN(E9938)-LEN(SUBSTITUTE(E9938,",",""))+1</f>
        <v>4</v>
      </c>
      <c r="K9938" s="3" t="str">
        <f aca="false">IFERROR(INDEX('Teacher Lookup'!$B$2:$B$200,MATCH(A9938,'Teacher Lookup'!$A$2:$A$200,0)),"")</f>
        <v>LEUNG Tom</v>
      </c>
    </row>
    <row r="9939" customFormat="false" ht="15" hidden="false" customHeight="false" outlineLevel="0" collapsed="false">
      <c r="A9939" s="3" t="s">
        <v>518</v>
      </c>
      <c r="B9939" s="4" t="s">
        <v>50</v>
      </c>
      <c r="C9939" s="4" t="n">
        <v>1</v>
      </c>
      <c r="D9939" s="4" t="s">
        <v>140</v>
      </c>
      <c r="E9939" s="3" t="s">
        <v>211</v>
      </c>
      <c r="F9939" s="4" t="str">
        <f aca="false">IF(I9939&gt;J9939,"Y","N")</f>
        <v>N</v>
      </c>
      <c r="G9939" s="3" t="s">
        <v>15</v>
      </c>
      <c r="H9939" s="3" t="s">
        <v>16</v>
      </c>
      <c r="I9939" s="4" t="n">
        <v>4</v>
      </c>
      <c r="J9939" s="4" t="n">
        <f aca="false">LEN(E9939)-LEN(SUBSTITUTE(E9939,",",""))+1</f>
        <v>4</v>
      </c>
      <c r="K9939" s="3" t="str">
        <f aca="false">IFERROR(INDEX('Teacher Lookup'!$B$2:$B$200,MATCH(A9939,'Teacher Lookup'!$A$2:$A$200,0)),"")</f>
        <v>LEUNG Tom</v>
      </c>
    </row>
    <row r="9940" customFormat="false" ht="15" hidden="false" customHeight="false" outlineLevel="0" collapsed="false">
      <c r="A9940" s="3" t="s">
        <v>518</v>
      </c>
      <c r="B9940" s="4" t="s">
        <v>50</v>
      </c>
      <c r="C9940" s="4" t="n">
        <v>1</v>
      </c>
      <c r="D9940" s="4" t="s">
        <v>142</v>
      </c>
      <c r="E9940" s="3" t="s">
        <v>211</v>
      </c>
      <c r="F9940" s="4" t="str">
        <f aca="false">IF(I9940&gt;J9940,"Y","N")</f>
        <v>N</v>
      </c>
      <c r="G9940" s="3" t="s">
        <v>15</v>
      </c>
      <c r="H9940" s="3" t="s">
        <v>16</v>
      </c>
      <c r="I9940" s="4" t="n">
        <v>4</v>
      </c>
      <c r="J9940" s="4" t="n">
        <f aca="false">LEN(E9940)-LEN(SUBSTITUTE(E9940,",",""))+1</f>
        <v>4</v>
      </c>
      <c r="K9940" s="3" t="str">
        <f aca="false">IFERROR(INDEX('Teacher Lookup'!$B$2:$B$200,MATCH(A9940,'Teacher Lookup'!$A$2:$A$200,0)),"")</f>
        <v>LEUNG Tom</v>
      </c>
    </row>
    <row r="9941" customFormat="false" ht="15" hidden="false" customHeight="false" outlineLevel="0" collapsed="false">
      <c r="A9941" s="3" t="s">
        <v>518</v>
      </c>
      <c r="B9941" s="4" t="s">
        <v>50</v>
      </c>
      <c r="C9941" s="4" t="n">
        <v>1</v>
      </c>
      <c r="D9941" s="4" t="s">
        <v>127</v>
      </c>
      <c r="E9941" s="3" t="s">
        <v>211</v>
      </c>
      <c r="F9941" s="4" t="str">
        <f aca="false">IF(I9941&gt;J9941,"Y","N")</f>
        <v>N</v>
      </c>
      <c r="G9941" s="3" t="s">
        <v>15</v>
      </c>
      <c r="H9941" s="3" t="s">
        <v>16</v>
      </c>
      <c r="I9941" s="4" t="n">
        <v>4</v>
      </c>
      <c r="J9941" s="4" t="n">
        <f aca="false">LEN(E9941)-LEN(SUBSTITUTE(E9941,",",""))+1</f>
        <v>4</v>
      </c>
      <c r="K9941" s="3" t="str">
        <f aca="false">IFERROR(INDEX('Teacher Lookup'!$B$2:$B$200,MATCH(A9941,'Teacher Lookup'!$A$2:$A$200,0)),"")</f>
        <v>LEUNG Tom</v>
      </c>
    </row>
    <row r="9942" customFormat="false" ht="15" hidden="false" customHeight="false" outlineLevel="0" collapsed="false">
      <c r="A9942" s="3" t="s">
        <v>518</v>
      </c>
      <c r="B9942" s="4" t="s">
        <v>50</v>
      </c>
      <c r="C9942" s="4" t="n">
        <v>2</v>
      </c>
      <c r="D9942" s="4" t="s">
        <v>19</v>
      </c>
      <c r="E9942" s="3" t="s">
        <v>51</v>
      </c>
      <c r="F9942" s="4" t="str">
        <f aca="false">IF(I9942&gt;J9942,"Y","N")</f>
        <v>N</v>
      </c>
      <c r="G9942" s="3" t="s">
        <v>15</v>
      </c>
      <c r="H9942" s="3" t="s">
        <v>21</v>
      </c>
      <c r="I9942" s="4" t="n">
        <v>4</v>
      </c>
      <c r="J9942" s="4" t="n">
        <f aca="false">LEN(E9942)-LEN(SUBSTITUTE(E9942,",",""))+1</f>
        <v>4</v>
      </c>
      <c r="K9942" s="3" t="str">
        <f aca="false">IFERROR(INDEX('Teacher Lookup'!$B$2:$B$200,MATCH(A9942,'Teacher Lookup'!$A$2:$A$200,0)),"")</f>
        <v>LEUNG Tom</v>
      </c>
    </row>
    <row r="9943" customFormat="false" ht="15" hidden="false" customHeight="false" outlineLevel="0" collapsed="false">
      <c r="A9943" s="3" t="s">
        <v>518</v>
      </c>
      <c r="B9943" s="4" t="s">
        <v>50</v>
      </c>
      <c r="C9943" s="4" t="n">
        <v>2</v>
      </c>
      <c r="D9943" s="4" t="s">
        <v>22</v>
      </c>
      <c r="E9943" s="3" t="s">
        <v>51</v>
      </c>
      <c r="F9943" s="4" t="str">
        <f aca="false">IF(I9943&gt;J9943,"Y","N")</f>
        <v>N</v>
      </c>
      <c r="G9943" s="3" t="s">
        <v>15</v>
      </c>
      <c r="H9943" s="3" t="s">
        <v>21</v>
      </c>
      <c r="I9943" s="4" t="n">
        <v>4</v>
      </c>
      <c r="J9943" s="4" t="n">
        <f aca="false">LEN(E9943)-LEN(SUBSTITUTE(E9943,",",""))+1</f>
        <v>4</v>
      </c>
      <c r="K9943" s="3" t="str">
        <f aca="false">IFERROR(INDEX('Teacher Lookup'!$B$2:$B$200,MATCH(A9943,'Teacher Lookup'!$A$2:$A$200,0)),"")</f>
        <v>LEUNG Tom</v>
      </c>
    </row>
    <row r="9944" customFormat="false" ht="15" hidden="false" customHeight="false" outlineLevel="0" collapsed="false">
      <c r="A9944" s="3" t="s">
        <v>518</v>
      </c>
      <c r="B9944" s="4" t="s">
        <v>50</v>
      </c>
      <c r="C9944" s="4" t="n">
        <v>2</v>
      </c>
      <c r="D9944" s="4" t="s">
        <v>23</v>
      </c>
      <c r="E9944" s="3" t="s">
        <v>51</v>
      </c>
      <c r="F9944" s="4" t="str">
        <f aca="false">IF(I9944&gt;J9944,"Y","N")</f>
        <v>N</v>
      </c>
      <c r="G9944" s="3" t="s">
        <v>15</v>
      </c>
      <c r="H9944" s="3" t="s">
        <v>21</v>
      </c>
      <c r="I9944" s="4" t="n">
        <v>4</v>
      </c>
      <c r="J9944" s="4" t="n">
        <f aca="false">LEN(E9944)-LEN(SUBSTITUTE(E9944,",",""))+1</f>
        <v>4</v>
      </c>
      <c r="K9944" s="3" t="str">
        <f aca="false">IFERROR(INDEX('Teacher Lookup'!$B$2:$B$200,MATCH(A9944,'Teacher Lookup'!$A$2:$A$200,0)),"")</f>
        <v>LEUNG Tom</v>
      </c>
    </row>
    <row r="9945" customFormat="false" ht="15" hidden="false" customHeight="false" outlineLevel="0" collapsed="false">
      <c r="A9945" s="3" t="s">
        <v>518</v>
      </c>
      <c r="B9945" s="4" t="s">
        <v>50</v>
      </c>
      <c r="C9945" s="4" t="n">
        <v>3</v>
      </c>
      <c r="D9945" s="4" t="s">
        <v>137</v>
      </c>
      <c r="E9945" s="3" t="s">
        <v>212</v>
      </c>
      <c r="F9945" s="4" t="str">
        <f aca="false">IF(I9945&gt;J9945,"Y","N")</f>
        <v>N</v>
      </c>
      <c r="G9945" s="3" t="s">
        <v>15</v>
      </c>
      <c r="H9945" s="3" t="s">
        <v>26</v>
      </c>
      <c r="I9945" s="4" t="n">
        <v>4</v>
      </c>
      <c r="J9945" s="4" t="n">
        <f aca="false">LEN(E9945)-LEN(SUBSTITUTE(E9945,",",""))+1</f>
        <v>4</v>
      </c>
      <c r="K9945" s="3" t="str">
        <f aca="false">IFERROR(INDEX('Teacher Lookup'!$B$2:$B$200,MATCH(A9945,'Teacher Lookup'!$A$2:$A$200,0)),"")</f>
        <v>LEUNG Tom</v>
      </c>
    </row>
    <row r="9946" customFormat="false" ht="15" hidden="false" customHeight="false" outlineLevel="0" collapsed="false">
      <c r="A9946" s="3" t="s">
        <v>518</v>
      </c>
      <c r="B9946" s="4" t="s">
        <v>50</v>
      </c>
      <c r="C9946" s="4" t="n">
        <v>3</v>
      </c>
      <c r="D9946" s="4" t="s">
        <v>124</v>
      </c>
      <c r="E9946" s="3" t="s">
        <v>212</v>
      </c>
      <c r="F9946" s="4" t="str">
        <f aca="false">IF(I9946&gt;J9946,"Y","N")</f>
        <v>N</v>
      </c>
      <c r="G9946" s="3" t="s">
        <v>15</v>
      </c>
      <c r="H9946" s="3" t="s">
        <v>26</v>
      </c>
      <c r="I9946" s="4" t="n">
        <v>4</v>
      </c>
      <c r="J9946" s="4" t="n">
        <f aca="false">LEN(E9946)-LEN(SUBSTITUTE(E9946,",",""))+1</f>
        <v>4</v>
      </c>
      <c r="K9946" s="3" t="str">
        <f aca="false">IFERROR(INDEX('Teacher Lookup'!$B$2:$B$200,MATCH(A9946,'Teacher Lookup'!$A$2:$A$200,0)),"")</f>
        <v>LEUNG Tom</v>
      </c>
    </row>
    <row r="9947" customFormat="false" ht="15" hidden="false" customHeight="false" outlineLevel="0" collapsed="false">
      <c r="A9947" s="3" t="s">
        <v>518</v>
      </c>
      <c r="B9947" s="4" t="s">
        <v>50</v>
      </c>
      <c r="C9947" s="4" t="n">
        <v>3</v>
      </c>
      <c r="D9947" s="4" t="s">
        <v>139</v>
      </c>
      <c r="E9947" s="3" t="s">
        <v>212</v>
      </c>
      <c r="F9947" s="4" t="str">
        <f aca="false">IF(I9947&gt;J9947,"Y","N")</f>
        <v>N</v>
      </c>
      <c r="G9947" s="3" t="s">
        <v>15</v>
      </c>
      <c r="H9947" s="3" t="s">
        <v>26</v>
      </c>
      <c r="I9947" s="4" t="n">
        <v>4</v>
      </c>
      <c r="J9947" s="4" t="n">
        <f aca="false">LEN(E9947)-LEN(SUBSTITUTE(E9947,",",""))+1</f>
        <v>4</v>
      </c>
      <c r="K9947" s="3" t="str">
        <f aca="false">IFERROR(INDEX('Teacher Lookup'!$B$2:$B$200,MATCH(A9947,'Teacher Lookup'!$A$2:$A$200,0)),"")</f>
        <v>LEUNG Tom</v>
      </c>
    </row>
    <row r="9948" customFormat="false" ht="15" hidden="false" customHeight="false" outlineLevel="0" collapsed="false">
      <c r="A9948" s="3" t="s">
        <v>518</v>
      </c>
      <c r="B9948" s="4" t="s">
        <v>50</v>
      </c>
      <c r="C9948" s="4" t="n">
        <v>4</v>
      </c>
      <c r="D9948" s="4" t="s">
        <v>13</v>
      </c>
      <c r="E9948" s="3" t="s">
        <v>32</v>
      </c>
      <c r="F9948" s="4" t="str">
        <f aca="false">IF(I9948&gt;J9948,"Y","N")</f>
        <v>N</v>
      </c>
      <c r="G9948" s="3" t="s">
        <v>15</v>
      </c>
      <c r="H9948" s="3" t="s">
        <v>34</v>
      </c>
      <c r="I9948" s="4" t="n">
        <v>4</v>
      </c>
      <c r="J9948" s="4" t="n">
        <f aca="false">LEN(E9948)-LEN(SUBSTITUTE(E9948,",",""))+1</f>
        <v>4</v>
      </c>
      <c r="K9948" s="3" t="str">
        <f aca="false">IFERROR(INDEX('Teacher Lookup'!$B$2:$B$200,MATCH(A9948,'Teacher Lookup'!$A$2:$A$200,0)),"")</f>
        <v>LEUNG Tom</v>
      </c>
    </row>
    <row r="9949" customFormat="false" ht="15" hidden="false" customHeight="false" outlineLevel="0" collapsed="false">
      <c r="A9949" s="3" t="s">
        <v>518</v>
      </c>
      <c r="B9949" s="4" t="s">
        <v>50</v>
      </c>
      <c r="C9949" s="4" t="n">
        <v>4</v>
      </c>
      <c r="D9949" s="4" t="s">
        <v>17</v>
      </c>
      <c r="E9949" s="3" t="s">
        <v>32</v>
      </c>
      <c r="F9949" s="4" t="str">
        <f aca="false">IF(I9949&gt;J9949,"Y","N")</f>
        <v>N</v>
      </c>
      <c r="G9949" s="3" t="s">
        <v>15</v>
      </c>
      <c r="H9949" s="3" t="s">
        <v>34</v>
      </c>
      <c r="I9949" s="4" t="n">
        <v>4</v>
      </c>
      <c r="J9949" s="4" t="n">
        <f aca="false">LEN(E9949)-LEN(SUBSTITUTE(E9949,",",""))+1</f>
        <v>4</v>
      </c>
      <c r="K9949" s="3" t="str">
        <f aca="false">IFERROR(INDEX('Teacher Lookup'!$B$2:$B$200,MATCH(A9949,'Teacher Lookup'!$A$2:$A$200,0)),"")</f>
        <v>LEUNG Tom</v>
      </c>
    </row>
    <row r="9950" customFormat="false" ht="15" hidden="false" customHeight="false" outlineLevel="0" collapsed="false">
      <c r="A9950" s="3" t="s">
        <v>518</v>
      </c>
      <c r="B9950" s="4" t="s">
        <v>50</v>
      </c>
      <c r="C9950" s="4" t="n">
        <v>4</v>
      </c>
      <c r="D9950" s="4" t="s">
        <v>18</v>
      </c>
      <c r="E9950" s="3" t="s">
        <v>32</v>
      </c>
      <c r="F9950" s="4" t="str">
        <f aca="false">IF(I9950&gt;J9950,"Y","N")</f>
        <v>N</v>
      </c>
      <c r="G9950" s="3" t="s">
        <v>15</v>
      </c>
      <c r="H9950" s="3" t="s">
        <v>34</v>
      </c>
      <c r="I9950" s="4" t="n">
        <v>4</v>
      </c>
      <c r="J9950" s="4" t="n">
        <f aca="false">LEN(E9950)-LEN(SUBSTITUTE(E9950,",",""))+1</f>
        <v>4</v>
      </c>
      <c r="K9950" s="3" t="str">
        <f aca="false">IFERROR(INDEX('Teacher Lookup'!$B$2:$B$200,MATCH(A9950,'Teacher Lookup'!$A$2:$A$200,0)),"")</f>
        <v>LEUNG Tom</v>
      </c>
    </row>
    <row r="9951" customFormat="false" ht="15" hidden="false" customHeight="false" outlineLevel="0" collapsed="false">
      <c r="A9951" s="3" t="s">
        <v>518</v>
      </c>
      <c r="B9951" s="4" t="s">
        <v>60</v>
      </c>
      <c r="C9951" s="4" t="n">
        <v>2</v>
      </c>
      <c r="D9951" s="4" t="s">
        <v>140</v>
      </c>
      <c r="E9951" s="3" t="s">
        <v>144</v>
      </c>
      <c r="F9951" s="4" t="str">
        <f aca="false">IF(I9951&gt;J9951,"Y","N")</f>
        <v>N</v>
      </c>
      <c r="G9951" s="3" t="s">
        <v>15</v>
      </c>
      <c r="H9951" s="3" t="s">
        <v>21</v>
      </c>
      <c r="I9951" s="4" t="n">
        <v>4</v>
      </c>
      <c r="J9951" s="4" t="n">
        <f aca="false">LEN(E9951)-LEN(SUBSTITUTE(E9951,",",""))+1</f>
        <v>4</v>
      </c>
      <c r="K9951" s="3" t="str">
        <f aca="false">IFERROR(INDEX('Teacher Lookup'!$B$2:$B$200,MATCH(A9951,'Teacher Lookup'!$A$2:$A$200,0)),"")</f>
        <v>LEUNG Tom</v>
      </c>
    </row>
    <row r="9952" customFormat="false" ht="15" hidden="false" customHeight="false" outlineLevel="0" collapsed="false">
      <c r="A9952" s="3" t="s">
        <v>518</v>
      </c>
      <c r="B9952" s="4" t="s">
        <v>60</v>
      </c>
      <c r="C9952" s="4" t="n">
        <v>2</v>
      </c>
      <c r="D9952" s="4" t="s">
        <v>142</v>
      </c>
      <c r="E9952" s="3" t="s">
        <v>144</v>
      </c>
      <c r="F9952" s="4" t="str">
        <f aca="false">IF(I9952&gt;J9952,"Y","N")</f>
        <v>N</v>
      </c>
      <c r="G9952" s="3" t="s">
        <v>15</v>
      </c>
      <c r="H9952" s="3" t="s">
        <v>21</v>
      </c>
      <c r="I9952" s="4" t="n">
        <v>4</v>
      </c>
      <c r="J9952" s="4" t="n">
        <f aca="false">LEN(E9952)-LEN(SUBSTITUTE(E9952,",",""))+1</f>
        <v>4</v>
      </c>
      <c r="K9952" s="3" t="str">
        <f aca="false">IFERROR(INDEX('Teacher Lookup'!$B$2:$B$200,MATCH(A9952,'Teacher Lookup'!$A$2:$A$200,0)),"")</f>
        <v>LEUNG Tom</v>
      </c>
    </row>
    <row r="9953" customFormat="false" ht="15" hidden="false" customHeight="false" outlineLevel="0" collapsed="false">
      <c r="A9953" s="3" t="s">
        <v>518</v>
      </c>
      <c r="B9953" s="4" t="s">
        <v>60</v>
      </c>
      <c r="C9953" s="4" t="n">
        <v>2</v>
      </c>
      <c r="D9953" s="4" t="s">
        <v>127</v>
      </c>
      <c r="E9953" s="3" t="s">
        <v>144</v>
      </c>
      <c r="F9953" s="4" t="str">
        <f aca="false">IF(I9953&gt;J9953,"Y","N")</f>
        <v>N</v>
      </c>
      <c r="G9953" s="3" t="s">
        <v>15</v>
      </c>
      <c r="H9953" s="3" t="s">
        <v>21</v>
      </c>
      <c r="I9953" s="4" t="n">
        <v>4</v>
      </c>
      <c r="J9953" s="4" t="n">
        <f aca="false">LEN(E9953)-LEN(SUBSTITUTE(E9953,",",""))+1</f>
        <v>4</v>
      </c>
      <c r="K9953" s="3" t="str">
        <f aca="false">IFERROR(INDEX('Teacher Lookup'!$B$2:$B$200,MATCH(A9953,'Teacher Lookup'!$A$2:$A$200,0)),"")</f>
        <v>LEUNG Tom</v>
      </c>
    </row>
    <row r="9954" customFormat="false" ht="15" hidden="false" customHeight="false" outlineLevel="0" collapsed="false">
      <c r="A9954" s="3" t="s">
        <v>518</v>
      </c>
      <c r="B9954" s="4" t="s">
        <v>60</v>
      </c>
      <c r="C9954" s="4" t="n">
        <v>5</v>
      </c>
      <c r="D9954" s="4" t="s">
        <v>137</v>
      </c>
      <c r="E9954" s="3" t="s">
        <v>185</v>
      </c>
      <c r="F9954" s="4" t="str">
        <f aca="false">IF(I9954&gt;J9954,"Y","N")</f>
        <v>Y</v>
      </c>
      <c r="G9954" s="3" t="s">
        <v>36</v>
      </c>
      <c r="H9954" s="3" t="s">
        <v>37</v>
      </c>
      <c r="I9954" s="4" t="n">
        <v>21</v>
      </c>
      <c r="J9954" s="4" t="n">
        <f aca="false">LEN(E9954)-LEN(SUBSTITUTE(E9954,",",""))+1</f>
        <v>7</v>
      </c>
      <c r="K9954" s="3" t="str">
        <f aca="false">IFERROR(INDEX('Teacher Lookup'!$B$2:$B$200,MATCH(A9954,'Teacher Lookup'!$A$2:$A$200,0)),"")</f>
        <v>LEUNG Tom</v>
      </c>
    </row>
    <row r="9955" customFormat="false" ht="15" hidden="false" customHeight="false" outlineLevel="0" collapsed="false">
      <c r="A9955" s="3" t="s">
        <v>518</v>
      </c>
      <c r="B9955" s="4" t="s">
        <v>60</v>
      </c>
      <c r="C9955" s="4" t="n">
        <v>5</v>
      </c>
      <c r="D9955" s="4" t="s">
        <v>124</v>
      </c>
      <c r="E9955" s="3" t="s">
        <v>185</v>
      </c>
      <c r="F9955" s="4" t="str">
        <f aca="false">IF(I9955&gt;J9955,"Y","N")</f>
        <v>Y</v>
      </c>
      <c r="G9955" s="3" t="s">
        <v>36</v>
      </c>
      <c r="H9955" s="3" t="s">
        <v>37</v>
      </c>
      <c r="I9955" s="4" t="n">
        <v>21</v>
      </c>
      <c r="J9955" s="4" t="n">
        <f aca="false">LEN(E9955)-LEN(SUBSTITUTE(E9955,",",""))+1</f>
        <v>7</v>
      </c>
      <c r="K9955" s="3" t="str">
        <f aca="false">IFERROR(INDEX('Teacher Lookup'!$B$2:$B$200,MATCH(A9955,'Teacher Lookup'!$A$2:$A$200,0)),"")</f>
        <v>LEUNG Tom</v>
      </c>
    </row>
    <row r="9956" customFormat="false" ht="15" hidden="false" customHeight="false" outlineLevel="0" collapsed="false">
      <c r="A9956" s="3" t="s">
        <v>518</v>
      </c>
      <c r="B9956" s="4" t="s">
        <v>60</v>
      </c>
      <c r="C9956" s="4" t="n">
        <v>5</v>
      </c>
      <c r="D9956" s="4" t="s">
        <v>139</v>
      </c>
      <c r="E9956" s="3" t="s">
        <v>185</v>
      </c>
      <c r="F9956" s="4" t="str">
        <f aca="false">IF(I9956&gt;J9956,"Y","N")</f>
        <v>Y</v>
      </c>
      <c r="G9956" s="3" t="s">
        <v>36</v>
      </c>
      <c r="H9956" s="3" t="s">
        <v>37</v>
      </c>
      <c r="I9956" s="4" t="n">
        <v>21</v>
      </c>
      <c r="J9956" s="4" t="n">
        <f aca="false">LEN(E9956)-LEN(SUBSTITUTE(E9956,",",""))+1</f>
        <v>7</v>
      </c>
      <c r="K9956" s="3" t="str">
        <f aca="false">IFERROR(INDEX('Teacher Lookup'!$B$2:$B$200,MATCH(A9956,'Teacher Lookup'!$A$2:$A$200,0)),"")</f>
        <v>LEUNG Tom</v>
      </c>
    </row>
    <row r="9957" customFormat="false" ht="15" hidden="false" customHeight="false" outlineLevel="0" collapsed="false">
      <c r="A9957" s="3" t="s">
        <v>518</v>
      </c>
      <c r="B9957" s="4" t="s">
        <v>60</v>
      </c>
      <c r="C9957" s="4" t="n">
        <v>5</v>
      </c>
      <c r="D9957" s="4" t="s">
        <v>140</v>
      </c>
      <c r="E9957" s="3" t="s">
        <v>185</v>
      </c>
      <c r="F9957" s="4" t="str">
        <f aca="false">IF(I9957&gt;J9957,"Y","N")</f>
        <v>Y</v>
      </c>
      <c r="G9957" s="3" t="s">
        <v>36</v>
      </c>
      <c r="H9957" s="3" t="s">
        <v>37</v>
      </c>
      <c r="I9957" s="4" t="n">
        <v>21</v>
      </c>
      <c r="J9957" s="4" t="n">
        <f aca="false">LEN(E9957)-LEN(SUBSTITUTE(E9957,",",""))+1</f>
        <v>7</v>
      </c>
      <c r="K9957" s="3" t="str">
        <f aca="false">IFERROR(INDEX('Teacher Lookup'!$B$2:$B$200,MATCH(A9957,'Teacher Lookup'!$A$2:$A$200,0)),"")</f>
        <v>LEUNG Tom</v>
      </c>
    </row>
    <row r="9958" customFormat="false" ht="15" hidden="false" customHeight="false" outlineLevel="0" collapsed="false">
      <c r="A9958" s="3" t="s">
        <v>518</v>
      </c>
      <c r="B9958" s="4" t="s">
        <v>60</v>
      </c>
      <c r="C9958" s="4" t="n">
        <v>5</v>
      </c>
      <c r="D9958" s="4" t="s">
        <v>142</v>
      </c>
      <c r="E9958" s="3" t="s">
        <v>185</v>
      </c>
      <c r="F9958" s="4" t="str">
        <f aca="false">IF(I9958&gt;J9958,"Y","N")</f>
        <v>Y</v>
      </c>
      <c r="G9958" s="3" t="s">
        <v>36</v>
      </c>
      <c r="H9958" s="3" t="s">
        <v>37</v>
      </c>
      <c r="I9958" s="4" t="n">
        <v>21</v>
      </c>
      <c r="J9958" s="4" t="n">
        <f aca="false">LEN(E9958)-LEN(SUBSTITUTE(E9958,",",""))+1</f>
        <v>7</v>
      </c>
      <c r="K9958" s="3" t="str">
        <f aca="false">IFERROR(INDEX('Teacher Lookup'!$B$2:$B$200,MATCH(A9958,'Teacher Lookup'!$A$2:$A$200,0)),"")</f>
        <v>LEUNG Tom</v>
      </c>
    </row>
    <row r="9959" customFormat="false" ht="15" hidden="false" customHeight="false" outlineLevel="0" collapsed="false">
      <c r="A9959" s="3" t="s">
        <v>518</v>
      </c>
      <c r="B9959" s="4" t="s">
        <v>60</v>
      </c>
      <c r="C9959" s="4" t="n">
        <v>5</v>
      </c>
      <c r="D9959" s="4" t="s">
        <v>127</v>
      </c>
      <c r="E9959" s="3" t="s">
        <v>185</v>
      </c>
      <c r="F9959" s="4" t="str">
        <f aca="false">IF(I9959&gt;J9959,"Y","N")</f>
        <v>Y</v>
      </c>
      <c r="G9959" s="3" t="s">
        <v>36</v>
      </c>
      <c r="H9959" s="3" t="s">
        <v>37</v>
      </c>
      <c r="I9959" s="4" t="n">
        <v>21</v>
      </c>
      <c r="J9959" s="4" t="n">
        <f aca="false">LEN(E9959)-LEN(SUBSTITUTE(E9959,",",""))+1</f>
        <v>7</v>
      </c>
      <c r="K9959" s="3" t="str">
        <f aca="false">IFERROR(INDEX('Teacher Lookup'!$B$2:$B$200,MATCH(A9959,'Teacher Lookup'!$A$2:$A$200,0)),"")</f>
        <v>LEUNG Tom</v>
      </c>
    </row>
    <row r="9960" customFormat="false" ht="15" hidden="false" customHeight="false" outlineLevel="0" collapsed="false">
      <c r="A9960" s="3" t="s">
        <v>518</v>
      </c>
      <c r="B9960" s="4" t="s">
        <v>60</v>
      </c>
      <c r="C9960" s="4" t="n">
        <v>6</v>
      </c>
      <c r="D9960" s="4" t="s">
        <v>137</v>
      </c>
      <c r="E9960" s="3" t="s">
        <v>208</v>
      </c>
      <c r="F9960" s="4" t="str">
        <f aca="false">IF(I9960&gt;J9960,"Y","N")</f>
        <v>N</v>
      </c>
      <c r="G9960" s="3" t="s">
        <v>15</v>
      </c>
      <c r="H9960" s="3" t="s">
        <v>42</v>
      </c>
      <c r="I9960" s="4" t="n">
        <v>4</v>
      </c>
      <c r="J9960" s="4" t="n">
        <f aca="false">LEN(E9960)-LEN(SUBSTITUTE(E9960,",",""))+1</f>
        <v>4</v>
      </c>
      <c r="K9960" s="3" t="str">
        <f aca="false">IFERROR(INDEX('Teacher Lookup'!$B$2:$B$200,MATCH(A9960,'Teacher Lookup'!$A$2:$A$200,0)),"")</f>
        <v>LEUNG Tom</v>
      </c>
    </row>
    <row r="9961" customFormat="false" ht="15" hidden="false" customHeight="false" outlineLevel="0" collapsed="false">
      <c r="A9961" s="3" t="s">
        <v>518</v>
      </c>
      <c r="B9961" s="4" t="s">
        <v>60</v>
      </c>
      <c r="C9961" s="4" t="n">
        <v>6</v>
      </c>
      <c r="D9961" s="4" t="s">
        <v>124</v>
      </c>
      <c r="E9961" s="3" t="s">
        <v>208</v>
      </c>
      <c r="F9961" s="4" t="str">
        <f aca="false">IF(I9961&gt;J9961,"Y","N")</f>
        <v>N</v>
      </c>
      <c r="G9961" s="3" t="s">
        <v>15</v>
      </c>
      <c r="H9961" s="3" t="s">
        <v>42</v>
      </c>
      <c r="I9961" s="4" t="n">
        <v>4</v>
      </c>
      <c r="J9961" s="4" t="n">
        <f aca="false">LEN(E9961)-LEN(SUBSTITUTE(E9961,",",""))+1</f>
        <v>4</v>
      </c>
      <c r="K9961" s="3" t="str">
        <f aca="false">IFERROR(INDEX('Teacher Lookup'!$B$2:$B$200,MATCH(A9961,'Teacher Lookup'!$A$2:$A$200,0)),"")</f>
        <v>LEUNG Tom</v>
      </c>
    </row>
    <row r="9962" customFormat="false" ht="15" hidden="false" customHeight="false" outlineLevel="0" collapsed="false">
      <c r="A9962" s="3" t="s">
        <v>518</v>
      </c>
      <c r="B9962" s="4" t="s">
        <v>60</v>
      </c>
      <c r="C9962" s="4" t="n">
        <v>6</v>
      </c>
      <c r="D9962" s="4" t="s">
        <v>139</v>
      </c>
      <c r="E9962" s="3" t="s">
        <v>208</v>
      </c>
      <c r="F9962" s="4" t="str">
        <f aca="false">IF(I9962&gt;J9962,"Y","N")</f>
        <v>N</v>
      </c>
      <c r="G9962" s="3" t="s">
        <v>15</v>
      </c>
      <c r="H9962" s="3" t="s">
        <v>42</v>
      </c>
      <c r="I9962" s="4" t="n">
        <v>4</v>
      </c>
      <c r="J9962" s="4" t="n">
        <f aca="false">LEN(E9962)-LEN(SUBSTITUTE(E9962,",",""))+1</f>
        <v>4</v>
      </c>
      <c r="K9962" s="3" t="str">
        <f aca="false">IFERROR(INDEX('Teacher Lookup'!$B$2:$B$200,MATCH(A9962,'Teacher Lookup'!$A$2:$A$200,0)),"")</f>
        <v>LEUNG Tom</v>
      </c>
    </row>
    <row r="9963" customFormat="false" ht="15" hidden="false" customHeight="false" outlineLevel="0" collapsed="false">
      <c r="A9963" s="3" t="s">
        <v>518</v>
      </c>
      <c r="B9963" s="4" t="s">
        <v>60</v>
      </c>
      <c r="C9963" s="4" t="n">
        <v>7</v>
      </c>
      <c r="D9963" s="4" t="s">
        <v>19</v>
      </c>
      <c r="E9963" s="3" t="s">
        <v>62</v>
      </c>
      <c r="F9963" s="4" t="str">
        <f aca="false">IF(I9963&gt;J9963,"Y","N")</f>
        <v>N</v>
      </c>
      <c r="G9963" s="3" t="s">
        <v>15</v>
      </c>
      <c r="H9963" s="3" t="s">
        <v>39</v>
      </c>
      <c r="I9963" s="4" t="n">
        <v>4</v>
      </c>
      <c r="J9963" s="4" t="n">
        <f aca="false">LEN(E9963)-LEN(SUBSTITUTE(E9963,",",""))+1</f>
        <v>4</v>
      </c>
      <c r="K9963" s="3" t="str">
        <f aca="false">IFERROR(INDEX('Teacher Lookup'!$B$2:$B$200,MATCH(A9963,'Teacher Lookup'!$A$2:$A$200,0)),"")</f>
        <v>LEUNG Tom</v>
      </c>
    </row>
    <row r="9964" customFormat="false" ht="15" hidden="false" customHeight="false" outlineLevel="0" collapsed="false">
      <c r="A9964" s="3" t="s">
        <v>518</v>
      </c>
      <c r="B9964" s="4" t="s">
        <v>60</v>
      </c>
      <c r="C9964" s="4" t="n">
        <v>7</v>
      </c>
      <c r="D9964" s="4" t="s">
        <v>22</v>
      </c>
      <c r="E9964" s="3" t="s">
        <v>62</v>
      </c>
      <c r="F9964" s="4" t="str">
        <f aca="false">IF(I9964&gt;J9964,"Y","N")</f>
        <v>N</v>
      </c>
      <c r="G9964" s="3" t="s">
        <v>15</v>
      </c>
      <c r="H9964" s="3" t="s">
        <v>39</v>
      </c>
      <c r="I9964" s="4" t="n">
        <v>4</v>
      </c>
      <c r="J9964" s="4" t="n">
        <f aca="false">LEN(E9964)-LEN(SUBSTITUTE(E9964,",",""))+1</f>
        <v>4</v>
      </c>
      <c r="K9964" s="3" t="str">
        <f aca="false">IFERROR(INDEX('Teacher Lookup'!$B$2:$B$200,MATCH(A9964,'Teacher Lookup'!$A$2:$A$200,0)),"")</f>
        <v>LEUNG Tom</v>
      </c>
    </row>
    <row r="9965" customFormat="false" ht="15" hidden="false" customHeight="false" outlineLevel="0" collapsed="false">
      <c r="A9965" s="3" t="s">
        <v>518</v>
      </c>
      <c r="B9965" s="4" t="s">
        <v>60</v>
      </c>
      <c r="C9965" s="4" t="n">
        <v>7</v>
      </c>
      <c r="D9965" s="4" t="s">
        <v>23</v>
      </c>
      <c r="E9965" s="3" t="s">
        <v>62</v>
      </c>
      <c r="F9965" s="4" t="str">
        <f aca="false">IF(I9965&gt;J9965,"Y","N")</f>
        <v>N</v>
      </c>
      <c r="G9965" s="3" t="s">
        <v>15</v>
      </c>
      <c r="H9965" s="3" t="s">
        <v>39</v>
      </c>
      <c r="I9965" s="4" t="n">
        <v>4</v>
      </c>
      <c r="J9965" s="4" t="n">
        <f aca="false">LEN(E9965)-LEN(SUBSTITUTE(E9965,",",""))+1</f>
        <v>4</v>
      </c>
      <c r="K9965" s="3" t="str">
        <f aca="false">IFERROR(INDEX('Teacher Lookup'!$B$2:$B$200,MATCH(A9965,'Teacher Lookup'!$A$2:$A$200,0)),"")</f>
        <v>LEUNG Tom</v>
      </c>
    </row>
    <row r="9966" customFormat="false" ht="15" hidden="false" customHeight="false" outlineLevel="0" collapsed="false">
      <c r="A9966" s="3" t="s">
        <v>518</v>
      </c>
      <c r="B9966" s="4" t="s">
        <v>63</v>
      </c>
      <c r="C9966" s="4" t="n">
        <v>1</v>
      </c>
      <c r="D9966" s="4" t="s">
        <v>137</v>
      </c>
      <c r="E9966" s="3" t="s">
        <v>186</v>
      </c>
      <c r="F9966" s="4" t="str">
        <f aca="false">IF(I9966&gt;J9966,"Y","N")</f>
        <v>N</v>
      </c>
      <c r="G9966" s="3" t="s">
        <v>15</v>
      </c>
      <c r="H9966" s="3" t="s">
        <v>16</v>
      </c>
      <c r="I9966" s="4" t="n">
        <v>4</v>
      </c>
      <c r="J9966" s="4" t="n">
        <f aca="false">LEN(E9966)-LEN(SUBSTITUTE(E9966,",",""))+1</f>
        <v>4</v>
      </c>
      <c r="K9966" s="3" t="str">
        <f aca="false">IFERROR(INDEX('Teacher Lookup'!$B$2:$B$200,MATCH(A9966,'Teacher Lookup'!$A$2:$A$200,0)),"")</f>
        <v>LEUNG Tom</v>
      </c>
    </row>
    <row r="9967" customFormat="false" ht="15" hidden="false" customHeight="false" outlineLevel="0" collapsed="false">
      <c r="A9967" s="3" t="s">
        <v>518</v>
      </c>
      <c r="B9967" s="4" t="s">
        <v>63</v>
      </c>
      <c r="C9967" s="4" t="n">
        <v>1</v>
      </c>
      <c r="D9967" s="4" t="s">
        <v>124</v>
      </c>
      <c r="E9967" s="3" t="s">
        <v>186</v>
      </c>
      <c r="F9967" s="4" t="str">
        <f aca="false">IF(I9967&gt;J9967,"Y","N")</f>
        <v>N</v>
      </c>
      <c r="G9967" s="3" t="s">
        <v>15</v>
      </c>
      <c r="H9967" s="3" t="s">
        <v>16</v>
      </c>
      <c r="I9967" s="4" t="n">
        <v>4</v>
      </c>
      <c r="J9967" s="4" t="n">
        <f aca="false">LEN(E9967)-LEN(SUBSTITUTE(E9967,",",""))+1</f>
        <v>4</v>
      </c>
      <c r="K9967" s="3" t="str">
        <f aca="false">IFERROR(INDEX('Teacher Lookup'!$B$2:$B$200,MATCH(A9967,'Teacher Lookup'!$A$2:$A$200,0)),"")</f>
        <v>LEUNG Tom</v>
      </c>
    </row>
    <row r="9968" customFormat="false" ht="15" hidden="false" customHeight="false" outlineLevel="0" collapsed="false">
      <c r="A9968" s="3" t="s">
        <v>518</v>
      </c>
      <c r="B9968" s="4" t="s">
        <v>63</v>
      </c>
      <c r="C9968" s="4" t="n">
        <v>1</v>
      </c>
      <c r="D9968" s="4" t="s">
        <v>139</v>
      </c>
      <c r="E9968" s="3" t="s">
        <v>186</v>
      </c>
      <c r="F9968" s="4" t="str">
        <f aca="false">IF(I9968&gt;J9968,"Y","N")</f>
        <v>N</v>
      </c>
      <c r="G9968" s="3" t="s">
        <v>15</v>
      </c>
      <c r="H9968" s="3" t="s">
        <v>16</v>
      </c>
      <c r="I9968" s="4" t="n">
        <v>4</v>
      </c>
      <c r="J9968" s="4" t="n">
        <f aca="false">LEN(E9968)-LEN(SUBSTITUTE(E9968,",",""))+1</f>
        <v>4</v>
      </c>
      <c r="K9968" s="3" t="str">
        <f aca="false">IFERROR(INDEX('Teacher Lookup'!$B$2:$B$200,MATCH(A9968,'Teacher Lookup'!$A$2:$A$200,0)),"")</f>
        <v>LEUNG Tom</v>
      </c>
    </row>
    <row r="9969" customFormat="false" ht="15" hidden="false" customHeight="false" outlineLevel="0" collapsed="false">
      <c r="A9969" s="3" t="s">
        <v>518</v>
      </c>
      <c r="B9969" s="4" t="s">
        <v>63</v>
      </c>
      <c r="C9969" s="4" t="n">
        <v>2</v>
      </c>
      <c r="D9969" s="4" t="s">
        <v>19</v>
      </c>
      <c r="E9969" s="3" t="s">
        <v>48</v>
      </c>
      <c r="F9969" s="4" t="str">
        <f aca="false">IF(I9969&gt;J9969,"Y","N")</f>
        <v>N</v>
      </c>
      <c r="G9969" s="3" t="s">
        <v>15</v>
      </c>
      <c r="H9969" s="3" t="s">
        <v>21</v>
      </c>
      <c r="I9969" s="4" t="n">
        <v>4</v>
      </c>
      <c r="J9969" s="4" t="n">
        <f aca="false">LEN(E9969)-LEN(SUBSTITUTE(E9969,",",""))+1</f>
        <v>4</v>
      </c>
      <c r="K9969" s="3" t="str">
        <f aca="false">IFERROR(INDEX('Teacher Lookup'!$B$2:$B$200,MATCH(A9969,'Teacher Lookup'!$A$2:$A$200,0)),"")</f>
        <v>LEUNG Tom</v>
      </c>
    </row>
    <row r="9970" customFormat="false" ht="15" hidden="false" customHeight="false" outlineLevel="0" collapsed="false">
      <c r="A9970" s="3" t="s">
        <v>518</v>
      </c>
      <c r="B9970" s="4" t="s">
        <v>63</v>
      </c>
      <c r="C9970" s="4" t="n">
        <v>2</v>
      </c>
      <c r="D9970" s="4" t="s">
        <v>22</v>
      </c>
      <c r="E9970" s="3" t="s">
        <v>48</v>
      </c>
      <c r="F9970" s="4" t="str">
        <f aca="false">IF(I9970&gt;J9970,"Y","N")</f>
        <v>N</v>
      </c>
      <c r="G9970" s="3" t="s">
        <v>15</v>
      </c>
      <c r="H9970" s="3" t="s">
        <v>21</v>
      </c>
      <c r="I9970" s="4" t="n">
        <v>4</v>
      </c>
      <c r="J9970" s="4" t="n">
        <f aca="false">LEN(E9970)-LEN(SUBSTITUTE(E9970,",",""))+1</f>
        <v>4</v>
      </c>
      <c r="K9970" s="3" t="str">
        <f aca="false">IFERROR(INDEX('Teacher Lookup'!$B$2:$B$200,MATCH(A9970,'Teacher Lookup'!$A$2:$A$200,0)),"")</f>
        <v>LEUNG Tom</v>
      </c>
    </row>
    <row r="9971" customFormat="false" ht="15" hidden="false" customHeight="false" outlineLevel="0" collapsed="false">
      <c r="A9971" s="3" t="s">
        <v>518</v>
      </c>
      <c r="B9971" s="4" t="s">
        <v>63</v>
      </c>
      <c r="C9971" s="4" t="n">
        <v>2</v>
      </c>
      <c r="D9971" s="4" t="s">
        <v>23</v>
      </c>
      <c r="E9971" s="3" t="s">
        <v>48</v>
      </c>
      <c r="F9971" s="4" t="str">
        <f aca="false">IF(I9971&gt;J9971,"Y","N")</f>
        <v>N</v>
      </c>
      <c r="G9971" s="3" t="s">
        <v>15</v>
      </c>
      <c r="H9971" s="3" t="s">
        <v>21</v>
      </c>
      <c r="I9971" s="4" t="n">
        <v>4</v>
      </c>
      <c r="J9971" s="4" t="n">
        <f aca="false">LEN(E9971)-LEN(SUBSTITUTE(E9971,",",""))+1</f>
        <v>4</v>
      </c>
      <c r="K9971" s="3" t="str">
        <f aca="false">IFERROR(INDEX('Teacher Lookup'!$B$2:$B$200,MATCH(A9971,'Teacher Lookup'!$A$2:$A$200,0)),"")</f>
        <v>LEUNG Tom</v>
      </c>
    </row>
    <row r="9972" customFormat="false" ht="15" hidden="false" customHeight="false" outlineLevel="0" collapsed="false">
      <c r="A9972" s="3" t="s">
        <v>518</v>
      </c>
      <c r="B9972" s="4" t="s">
        <v>63</v>
      </c>
      <c r="C9972" s="4" t="n">
        <v>6</v>
      </c>
      <c r="D9972" s="4" t="s">
        <v>13</v>
      </c>
      <c r="E9972" s="3" t="s">
        <v>43</v>
      </c>
      <c r="F9972" s="4" t="str">
        <f aca="false">IF(I9972&gt;J9972,"Y","N")</f>
        <v>N</v>
      </c>
      <c r="G9972" s="3" t="s">
        <v>15</v>
      </c>
      <c r="H9972" s="3" t="s">
        <v>42</v>
      </c>
      <c r="I9972" s="4" t="n">
        <v>4</v>
      </c>
      <c r="J9972" s="4" t="n">
        <f aca="false">LEN(E9972)-LEN(SUBSTITUTE(E9972,",",""))+1</f>
        <v>4</v>
      </c>
      <c r="K9972" s="3" t="str">
        <f aca="false">IFERROR(INDEX('Teacher Lookup'!$B$2:$B$200,MATCH(A9972,'Teacher Lookup'!$A$2:$A$200,0)),"")</f>
        <v>LEUNG Tom</v>
      </c>
    </row>
    <row r="9973" customFormat="false" ht="15" hidden="false" customHeight="false" outlineLevel="0" collapsed="false">
      <c r="A9973" s="3" t="s">
        <v>518</v>
      </c>
      <c r="B9973" s="4" t="s">
        <v>63</v>
      </c>
      <c r="C9973" s="4" t="n">
        <v>6</v>
      </c>
      <c r="D9973" s="4" t="s">
        <v>17</v>
      </c>
      <c r="E9973" s="3" t="s">
        <v>43</v>
      </c>
      <c r="F9973" s="4" t="str">
        <f aca="false">IF(I9973&gt;J9973,"Y","N")</f>
        <v>N</v>
      </c>
      <c r="G9973" s="3" t="s">
        <v>15</v>
      </c>
      <c r="H9973" s="3" t="s">
        <v>42</v>
      </c>
      <c r="I9973" s="4" t="n">
        <v>4</v>
      </c>
      <c r="J9973" s="4" t="n">
        <f aca="false">LEN(E9973)-LEN(SUBSTITUTE(E9973,",",""))+1</f>
        <v>4</v>
      </c>
      <c r="K9973" s="3" t="str">
        <f aca="false">IFERROR(INDEX('Teacher Lookup'!$B$2:$B$200,MATCH(A9973,'Teacher Lookup'!$A$2:$A$200,0)),"")</f>
        <v>LEUNG Tom</v>
      </c>
    </row>
    <row r="9974" customFormat="false" ht="15" hidden="false" customHeight="false" outlineLevel="0" collapsed="false">
      <c r="A9974" s="3" t="s">
        <v>518</v>
      </c>
      <c r="B9974" s="4" t="s">
        <v>63</v>
      </c>
      <c r="C9974" s="4" t="n">
        <v>6</v>
      </c>
      <c r="D9974" s="4" t="s">
        <v>18</v>
      </c>
      <c r="E9974" s="3" t="s">
        <v>43</v>
      </c>
      <c r="F9974" s="4" t="str">
        <f aca="false">IF(I9974&gt;J9974,"Y","N")</f>
        <v>N</v>
      </c>
      <c r="G9974" s="3" t="s">
        <v>15</v>
      </c>
      <c r="H9974" s="3" t="s">
        <v>42</v>
      </c>
      <c r="I9974" s="4" t="n">
        <v>4</v>
      </c>
      <c r="J9974" s="4" t="n">
        <f aca="false">LEN(E9974)-LEN(SUBSTITUTE(E9974,",",""))+1</f>
        <v>4</v>
      </c>
      <c r="K9974" s="3" t="str">
        <f aca="false">IFERROR(INDEX('Teacher Lookup'!$B$2:$B$200,MATCH(A9974,'Teacher Lookup'!$A$2:$A$200,0)),"")</f>
        <v>LEUNG Tom</v>
      </c>
    </row>
    <row r="9975" customFormat="false" ht="15" hidden="false" customHeight="false" outlineLevel="0" collapsed="false">
      <c r="A9975" s="3" t="s">
        <v>518</v>
      </c>
      <c r="B9975" s="4" t="s">
        <v>65</v>
      </c>
      <c r="C9975" s="4" t="n">
        <v>4</v>
      </c>
      <c r="D9975" s="4" t="s">
        <v>13</v>
      </c>
      <c r="E9975" s="3" t="s">
        <v>14</v>
      </c>
      <c r="F9975" s="4" t="str">
        <f aca="false">IF(I9975&gt;J9975,"Y","N")</f>
        <v>N</v>
      </c>
      <c r="G9975" s="3" t="s">
        <v>15</v>
      </c>
      <c r="H9975" s="3" t="s">
        <v>34</v>
      </c>
      <c r="I9975" s="4" t="n">
        <v>4</v>
      </c>
      <c r="J9975" s="4" t="n">
        <f aca="false">LEN(E9975)-LEN(SUBSTITUTE(E9975,",",""))+1</f>
        <v>4</v>
      </c>
      <c r="K9975" s="3" t="str">
        <f aca="false">IFERROR(INDEX('Teacher Lookup'!$B$2:$B$200,MATCH(A9975,'Teacher Lookup'!$A$2:$A$200,0)),"")</f>
        <v>LEUNG Tom</v>
      </c>
    </row>
    <row r="9976" customFormat="false" ht="15" hidden="false" customHeight="false" outlineLevel="0" collapsed="false">
      <c r="A9976" s="3" t="s">
        <v>518</v>
      </c>
      <c r="B9976" s="4" t="s">
        <v>65</v>
      </c>
      <c r="C9976" s="4" t="n">
        <v>4</v>
      </c>
      <c r="D9976" s="4" t="s">
        <v>17</v>
      </c>
      <c r="E9976" s="3" t="s">
        <v>14</v>
      </c>
      <c r="F9976" s="4" t="str">
        <f aca="false">IF(I9976&gt;J9976,"Y","N")</f>
        <v>N</v>
      </c>
      <c r="G9976" s="3" t="s">
        <v>15</v>
      </c>
      <c r="H9976" s="3" t="s">
        <v>34</v>
      </c>
      <c r="I9976" s="4" t="n">
        <v>4</v>
      </c>
      <c r="J9976" s="4" t="n">
        <f aca="false">LEN(E9976)-LEN(SUBSTITUTE(E9976,",",""))+1</f>
        <v>4</v>
      </c>
      <c r="K9976" s="3" t="str">
        <f aca="false">IFERROR(INDEX('Teacher Lookup'!$B$2:$B$200,MATCH(A9976,'Teacher Lookup'!$A$2:$A$200,0)),"")</f>
        <v>LEUNG Tom</v>
      </c>
    </row>
    <row r="9977" customFormat="false" ht="15" hidden="false" customHeight="false" outlineLevel="0" collapsed="false">
      <c r="A9977" s="3" t="s">
        <v>518</v>
      </c>
      <c r="B9977" s="4" t="s">
        <v>65</v>
      </c>
      <c r="C9977" s="4" t="n">
        <v>4</v>
      </c>
      <c r="D9977" s="4" t="s">
        <v>18</v>
      </c>
      <c r="E9977" s="3" t="s">
        <v>14</v>
      </c>
      <c r="F9977" s="4" t="str">
        <f aca="false">IF(I9977&gt;J9977,"Y","N")</f>
        <v>N</v>
      </c>
      <c r="G9977" s="3" t="s">
        <v>15</v>
      </c>
      <c r="H9977" s="3" t="s">
        <v>34</v>
      </c>
      <c r="I9977" s="4" t="n">
        <v>4</v>
      </c>
      <c r="J9977" s="4" t="n">
        <f aca="false">LEN(E9977)-LEN(SUBSTITUTE(E9977,",",""))+1</f>
        <v>4</v>
      </c>
      <c r="K9977" s="3" t="str">
        <f aca="false">IFERROR(INDEX('Teacher Lookup'!$B$2:$B$200,MATCH(A9977,'Teacher Lookup'!$A$2:$A$200,0)),"")</f>
        <v>LEUNG Tom</v>
      </c>
    </row>
    <row r="9978" customFormat="false" ht="15" hidden="false" customHeight="false" outlineLevel="0" collapsed="false">
      <c r="A9978" s="3" t="s">
        <v>518</v>
      </c>
      <c r="B9978" s="4" t="s">
        <v>65</v>
      </c>
      <c r="C9978" s="4" t="n">
        <v>5</v>
      </c>
      <c r="D9978" s="4" t="s">
        <v>137</v>
      </c>
      <c r="E9978" s="3" t="s">
        <v>185</v>
      </c>
      <c r="F9978" s="4" t="str">
        <f aca="false">IF(I9978&gt;J9978,"Y","N")</f>
        <v>Y</v>
      </c>
      <c r="G9978" s="3" t="s">
        <v>36</v>
      </c>
      <c r="H9978" s="3" t="s">
        <v>37</v>
      </c>
      <c r="I9978" s="4" t="n">
        <v>21</v>
      </c>
      <c r="J9978" s="4" t="n">
        <f aca="false">LEN(E9978)-LEN(SUBSTITUTE(E9978,",",""))+1</f>
        <v>7</v>
      </c>
      <c r="K9978" s="3" t="str">
        <f aca="false">IFERROR(INDEX('Teacher Lookup'!$B$2:$B$200,MATCH(A9978,'Teacher Lookup'!$A$2:$A$200,0)),"")</f>
        <v>LEUNG Tom</v>
      </c>
    </row>
    <row r="9979" customFormat="false" ht="15" hidden="false" customHeight="false" outlineLevel="0" collapsed="false">
      <c r="A9979" s="3" t="s">
        <v>518</v>
      </c>
      <c r="B9979" s="4" t="s">
        <v>65</v>
      </c>
      <c r="C9979" s="4" t="n">
        <v>5</v>
      </c>
      <c r="D9979" s="4" t="s">
        <v>124</v>
      </c>
      <c r="E9979" s="3" t="s">
        <v>185</v>
      </c>
      <c r="F9979" s="4" t="str">
        <f aca="false">IF(I9979&gt;J9979,"Y","N")</f>
        <v>Y</v>
      </c>
      <c r="G9979" s="3" t="s">
        <v>36</v>
      </c>
      <c r="H9979" s="3" t="s">
        <v>37</v>
      </c>
      <c r="I9979" s="4" t="n">
        <v>21</v>
      </c>
      <c r="J9979" s="4" t="n">
        <f aca="false">LEN(E9979)-LEN(SUBSTITUTE(E9979,",",""))+1</f>
        <v>7</v>
      </c>
      <c r="K9979" s="3" t="str">
        <f aca="false">IFERROR(INDEX('Teacher Lookup'!$B$2:$B$200,MATCH(A9979,'Teacher Lookup'!$A$2:$A$200,0)),"")</f>
        <v>LEUNG Tom</v>
      </c>
    </row>
    <row r="9980" customFormat="false" ht="15" hidden="false" customHeight="false" outlineLevel="0" collapsed="false">
      <c r="A9980" s="3" t="s">
        <v>518</v>
      </c>
      <c r="B9980" s="4" t="s">
        <v>65</v>
      </c>
      <c r="C9980" s="4" t="n">
        <v>5</v>
      </c>
      <c r="D9980" s="4" t="s">
        <v>139</v>
      </c>
      <c r="E9980" s="3" t="s">
        <v>185</v>
      </c>
      <c r="F9980" s="4" t="str">
        <f aca="false">IF(I9980&gt;J9980,"Y","N")</f>
        <v>Y</v>
      </c>
      <c r="G9980" s="3" t="s">
        <v>36</v>
      </c>
      <c r="H9980" s="3" t="s">
        <v>37</v>
      </c>
      <c r="I9980" s="4" t="n">
        <v>21</v>
      </c>
      <c r="J9980" s="4" t="n">
        <f aca="false">LEN(E9980)-LEN(SUBSTITUTE(E9980,",",""))+1</f>
        <v>7</v>
      </c>
      <c r="K9980" s="3" t="str">
        <f aca="false">IFERROR(INDEX('Teacher Lookup'!$B$2:$B$200,MATCH(A9980,'Teacher Lookup'!$A$2:$A$200,0)),"")</f>
        <v>LEUNG Tom</v>
      </c>
    </row>
    <row r="9981" customFormat="false" ht="15" hidden="false" customHeight="false" outlineLevel="0" collapsed="false">
      <c r="A9981" s="3" t="s">
        <v>518</v>
      </c>
      <c r="B9981" s="4" t="s">
        <v>65</v>
      </c>
      <c r="C9981" s="4" t="n">
        <v>5</v>
      </c>
      <c r="D9981" s="4" t="s">
        <v>140</v>
      </c>
      <c r="E9981" s="3" t="s">
        <v>185</v>
      </c>
      <c r="F9981" s="4" t="str">
        <f aca="false">IF(I9981&gt;J9981,"Y","N")</f>
        <v>Y</v>
      </c>
      <c r="G9981" s="3" t="s">
        <v>36</v>
      </c>
      <c r="H9981" s="3" t="s">
        <v>37</v>
      </c>
      <c r="I9981" s="4" t="n">
        <v>21</v>
      </c>
      <c r="J9981" s="4" t="n">
        <f aca="false">LEN(E9981)-LEN(SUBSTITUTE(E9981,",",""))+1</f>
        <v>7</v>
      </c>
      <c r="K9981" s="3" t="str">
        <f aca="false">IFERROR(INDEX('Teacher Lookup'!$B$2:$B$200,MATCH(A9981,'Teacher Lookup'!$A$2:$A$200,0)),"")</f>
        <v>LEUNG Tom</v>
      </c>
    </row>
    <row r="9982" customFormat="false" ht="15" hidden="false" customHeight="false" outlineLevel="0" collapsed="false">
      <c r="A9982" s="3" t="s">
        <v>518</v>
      </c>
      <c r="B9982" s="4" t="s">
        <v>65</v>
      </c>
      <c r="C9982" s="4" t="n">
        <v>5</v>
      </c>
      <c r="D9982" s="4" t="s">
        <v>142</v>
      </c>
      <c r="E9982" s="3" t="s">
        <v>185</v>
      </c>
      <c r="F9982" s="4" t="str">
        <f aca="false">IF(I9982&gt;J9982,"Y","N")</f>
        <v>Y</v>
      </c>
      <c r="G9982" s="3" t="s">
        <v>36</v>
      </c>
      <c r="H9982" s="3" t="s">
        <v>37</v>
      </c>
      <c r="I9982" s="4" t="n">
        <v>21</v>
      </c>
      <c r="J9982" s="4" t="n">
        <f aca="false">LEN(E9982)-LEN(SUBSTITUTE(E9982,",",""))+1</f>
        <v>7</v>
      </c>
      <c r="K9982" s="3" t="str">
        <f aca="false">IFERROR(INDEX('Teacher Lookup'!$B$2:$B$200,MATCH(A9982,'Teacher Lookup'!$A$2:$A$200,0)),"")</f>
        <v>LEUNG Tom</v>
      </c>
    </row>
    <row r="9983" customFormat="false" ht="15" hidden="false" customHeight="false" outlineLevel="0" collapsed="false">
      <c r="A9983" s="3" t="s">
        <v>518</v>
      </c>
      <c r="B9983" s="4" t="s">
        <v>65</v>
      </c>
      <c r="C9983" s="4" t="n">
        <v>5</v>
      </c>
      <c r="D9983" s="4" t="s">
        <v>127</v>
      </c>
      <c r="E9983" s="3" t="s">
        <v>185</v>
      </c>
      <c r="F9983" s="4" t="str">
        <f aca="false">IF(I9983&gt;J9983,"Y","N")</f>
        <v>Y</v>
      </c>
      <c r="G9983" s="3" t="s">
        <v>36</v>
      </c>
      <c r="H9983" s="3" t="s">
        <v>37</v>
      </c>
      <c r="I9983" s="4" t="n">
        <v>21</v>
      </c>
      <c r="J9983" s="4" t="n">
        <f aca="false">LEN(E9983)-LEN(SUBSTITUTE(E9983,",",""))+1</f>
        <v>7</v>
      </c>
      <c r="K9983" s="3" t="str">
        <f aca="false">IFERROR(INDEX('Teacher Lookup'!$B$2:$B$200,MATCH(A9983,'Teacher Lookup'!$A$2:$A$200,0)),"")</f>
        <v>LEUNG Tom</v>
      </c>
    </row>
    <row r="9984" customFormat="false" ht="15" hidden="false" customHeight="false" outlineLevel="0" collapsed="false">
      <c r="A9984" s="3" t="s">
        <v>518</v>
      </c>
      <c r="B9984" s="4" t="s">
        <v>65</v>
      </c>
      <c r="C9984" s="4" t="n">
        <v>7</v>
      </c>
      <c r="D9984" s="4" t="s">
        <v>140</v>
      </c>
      <c r="E9984" s="3" t="s">
        <v>144</v>
      </c>
      <c r="F9984" s="4" t="str">
        <f aca="false">IF(I9984&gt;J9984,"Y","N")</f>
        <v>N</v>
      </c>
      <c r="G9984" s="3" t="s">
        <v>15</v>
      </c>
      <c r="H9984" s="3" t="s">
        <v>39</v>
      </c>
      <c r="I9984" s="4" t="n">
        <v>4</v>
      </c>
      <c r="J9984" s="4" t="n">
        <f aca="false">LEN(E9984)-LEN(SUBSTITUTE(E9984,",",""))+1</f>
        <v>4</v>
      </c>
      <c r="K9984" s="3" t="str">
        <f aca="false">IFERROR(INDEX('Teacher Lookup'!$B$2:$B$200,MATCH(A9984,'Teacher Lookup'!$A$2:$A$200,0)),"")</f>
        <v>LEUNG Tom</v>
      </c>
    </row>
    <row r="9985" customFormat="false" ht="15" hidden="false" customHeight="false" outlineLevel="0" collapsed="false">
      <c r="A9985" s="3" t="s">
        <v>518</v>
      </c>
      <c r="B9985" s="4" t="s">
        <v>65</v>
      </c>
      <c r="C9985" s="4" t="n">
        <v>7</v>
      </c>
      <c r="D9985" s="4" t="s">
        <v>142</v>
      </c>
      <c r="E9985" s="3" t="s">
        <v>144</v>
      </c>
      <c r="F9985" s="4" t="str">
        <f aca="false">IF(I9985&gt;J9985,"Y","N")</f>
        <v>N</v>
      </c>
      <c r="G9985" s="3" t="s">
        <v>15</v>
      </c>
      <c r="H9985" s="3" t="s">
        <v>39</v>
      </c>
      <c r="I9985" s="4" t="n">
        <v>4</v>
      </c>
      <c r="J9985" s="4" t="n">
        <f aca="false">LEN(E9985)-LEN(SUBSTITUTE(E9985,",",""))+1</f>
        <v>4</v>
      </c>
      <c r="K9985" s="3" t="str">
        <f aca="false">IFERROR(INDEX('Teacher Lookup'!$B$2:$B$200,MATCH(A9985,'Teacher Lookup'!$A$2:$A$200,0)),"")</f>
        <v>LEUNG Tom</v>
      </c>
    </row>
    <row r="9986" customFormat="false" ht="15" hidden="false" customHeight="false" outlineLevel="0" collapsed="false">
      <c r="A9986" s="3" t="s">
        <v>518</v>
      </c>
      <c r="B9986" s="4" t="s">
        <v>65</v>
      </c>
      <c r="C9986" s="4" t="n">
        <v>7</v>
      </c>
      <c r="D9986" s="4" t="s">
        <v>127</v>
      </c>
      <c r="E9986" s="3" t="s">
        <v>144</v>
      </c>
      <c r="F9986" s="4" t="str">
        <f aca="false">IF(I9986&gt;J9986,"Y","N")</f>
        <v>N</v>
      </c>
      <c r="G9986" s="3" t="s">
        <v>15</v>
      </c>
      <c r="H9986" s="3" t="s">
        <v>39</v>
      </c>
      <c r="I9986" s="4" t="n">
        <v>4</v>
      </c>
      <c r="J9986" s="4" t="n">
        <f aca="false">LEN(E9986)-LEN(SUBSTITUTE(E9986,",",""))+1</f>
        <v>4</v>
      </c>
      <c r="K9986" s="3" t="str">
        <f aca="false">IFERROR(INDEX('Teacher Lookup'!$B$2:$B$200,MATCH(A9986,'Teacher Lookup'!$A$2:$A$200,0)),"")</f>
        <v>LEUNG Tom</v>
      </c>
    </row>
    <row r="9987" customFormat="false" ht="15" hidden="false" customHeight="false" outlineLevel="0" collapsed="false">
      <c r="A9987" s="3" t="s">
        <v>518</v>
      </c>
      <c r="B9987" s="4" t="s">
        <v>66</v>
      </c>
      <c r="C9987" s="4" t="n">
        <v>1</v>
      </c>
      <c r="D9987" s="4" t="s">
        <v>137</v>
      </c>
      <c r="E9987" s="3" t="s">
        <v>215</v>
      </c>
      <c r="F9987" s="4" t="str">
        <f aca="false">IF(I9987&gt;J9987,"Y","N")</f>
        <v>N</v>
      </c>
      <c r="G9987" s="3" t="s">
        <v>15</v>
      </c>
      <c r="H9987" s="3" t="s">
        <v>16</v>
      </c>
      <c r="I9987" s="4" t="n">
        <v>4</v>
      </c>
      <c r="J9987" s="4" t="n">
        <f aca="false">LEN(E9987)-LEN(SUBSTITUTE(E9987,",",""))+1</f>
        <v>4</v>
      </c>
      <c r="K9987" s="3" t="str">
        <f aca="false">IFERROR(INDEX('Teacher Lookup'!$B$2:$B$200,MATCH(A9987,'Teacher Lookup'!$A$2:$A$200,0)),"")</f>
        <v>LEUNG Tom</v>
      </c>
    </row>
    <row r="9988" customFormat="false" ht="15" hidden="false" customHeight="false" outlineLevel="0" collapsed="false">
      <c r="A9988" s="3" t="s">
        <v>518</v>
      </c>
      <c r="B9988" s="4" t="s">
        <v>66</v>
      </c>
      <c r="C9988" s="4" t="n">
        <v>1</v>
      </c>
      <c r="D9988" s="4" t="s">
        <v>124</v>
      </c>
      <c r="E9988" s="3" t="s">
        <v>215</v>
      </c>
      <c r="F9988" s="4" t="str">
        <f aca="false">IF(I9988&gt;J9988,"Y","N")</f>
        <v>N</v>
      </c>
      <c r="G9988" s="3" t="s">
        <v>15</v>
      </c>
      <c r="H9988" s="3" t="s">
        <v>16</v>
      </c>
      <c r="I9988" s="4" t="n">
        <v>4</v>
      </c>
      <c r="J9988" s="4" t="n">
        <f aca="false">LEN(E9988)-LEN(SUBSTITUTE(E9988,",",""))+1</f>
        <v>4</v>
      </c>
      <c r="K9988" s="3" t="str">
        <f aca="false">IFERROR(INDEX('Teacher Lookup'!$B$2:$B$200,MATCH(A9988,'Teacher Lookup'!$A$2:$A$200,0)),"")</f>
        <v>LEUNG Tom</v>
      </c>
    </row>
    <row r="9989" customFormat="false" ht="15" hidden="false" customHeight="false" outlineLevel="0" collapsed="false">
      <c r="A9989" s="3" t="s">
        <v>518</v>
      </c>
      <c r="B9989" s="4" t="s">
        <v>66</v>
      </c>
      <c r="C9989" s="4" t="n">
        <v>1</v>
      </c>
      <c r="D9989" s="4" t="s">
        <v>139</v>
      </c>
      <c r="E9989" s="3" t="s">
        <v>215</v>
      </c>
      <c r="F9989" s="4" t="str">
        <f aca="false">IF(I9989&gt;J9989,"Y","N")</f>
        <v>N</v>
      </c>
      <c r="G9989" s="3" t="s">
        <v>15</v>
      </c>
      <c r="H9989" s="3" t="s">
        <v>16</v>
      </c>
      <c r="I9989" s="4" t="n">
        <v>4</v>
      </c>
      <c r="J9989" s="4" t="n">
        <f aca="false">LEN(E9989)-LEN(SUBSTITUTE(E9989,",",""))+1</f>
        <v>4</v>
      </c>
      <c r="K9989" s="3" t="str">
        <f aca="false">IFERROR(INDEX('Teacher Lookup'!$B$2:$B$200,MATCH(A9989,'Teacher Lookup'!$A$2:$A$200,0)),"")</f>
        <v>LEUNG Tom</v>
      </c>
    </row>
    <row r="9990" customFormat="false" ht="15" hidden="false" customHeight="false" outlineLevel="0" collapsed="false">
      <c r="A9990" s="3" t="s">
        <v>518</v>
      </c>
      <c r="B9990" s="4" t="s">
        <v>66</v>
      </c>
      <c r="C9990" s="4" t="n">
        <v>2</v>
      </c>
      <c r="D9990" s="4" t="s">
        <v>140</v>
      </c>
      <c r="E9990" s="3" t="s">
        <v>150</v>
      </c>
      <c r="F9990" s="4" t="str">
        <f aca="false">IF(I9990&gt;J9990,"Y","N")</f>
        <v>N</v>
      </c>
      <c r="G9990" s="3" t="s">
        <v>15</v>
      </c>
      <c r="H9990" s="3" t="s">
        <v>21</v>
      </c>
      <c r="I9990" s="4" t="n">
        <v>4</v>
      </c>
      <c r="J9990" s="4" t="n">
        <f aca="false">LEN(E9990)-LEN(SUBSTITUTE(E9990,",",""))+1</f>
        <v>4</v>
      </c>
      <c r="K9990" s="3" t="str">
        <f aca="false">IFERROR(INDEX('Teacher Lookup'!$B$2:$B$200,MATCH(A9990,'Teacher Lookup'!$A$2:$A$200,0)),"")</f>
        <v>LEUNG Tom</v>
      </c>
    </row>
    <row r="9991" customFormat="false" ht="15" hidden="false" customHeight="false" outlineLevel="0" collapsed="false">
      <c r="A9991" s="3" t="s">
        <v>518</v>
      </c>
      <c r="B9991" s="4" t="s">
        <v>66</v>
      </c>
      <c r="C9991" s="4" t="n">
        <v>2</v>
      </c>
      <c r="D9991" s="4" t="s">
        <v>142</v>
      </c>
      <c r="E9991" s="3" t="s">
        <v>150</v>
      </c>
      <c r="F9991" s="4" t="str">
        <f aca="false">IF(I9991&gt;J9991,"Y","N")</f>
        <v>N</v>
      </c>
      <c r="G9991" s="3" t="s">
        <v>15</v>
      </c>
      <c r="H9991" s="3" t="s">
        <v>21</v>
      </c>
      <c r="I9991" s="4" t="n">
        <v>4</v>
      </c>
      <c r="J9991" s="4" t="n">
        <f aca="false">LEN(E9991)-LEN(SUBSTITUTE(E9991,",",""))+1</f>
        <v>4</v>
      </c>
      <c r="K9991" s="3" t="str">
        <f aca="false">IFERROR(INDEX('Teacher Lookup'!$B$2:$B$200,MATCH(A9991,'Teacher Lookup'!$A$2:$A$200,0)),"")</f>
        <v>LEUNG Tom</v>
      </c>
    </row>
    <row r="9992" customFormat="false" ht="15" hidden="false" customHeight="false" outlineLevel="0" collapsed="false">
      <c r="A9992" s="3" t="s">
        <v>518</v>
      </c>
      <c r="B9992" s="4" t="s">
        <v>66</v>
      </c>
      <c r="C9992" s="4" t="n">
        <v>2</v>
      </c>
      <c r="D9992" s="4" t="s">
        <v>127</v>
      </c>
      <c r="E9992" s="3" t="s">
        <v>150</v>
      </c>
      <c r="F9992" s="4" t="str">
        <f aca="false">IF(I9992&gt;J9992,"Y","N")</f>
        <v>N</v>
      </c>
      <c r="G9992" s="3" t="s">
        <v>15</v>
      </c>
      <c r="H9992" s="3" t="s">
        <v>21</v>
      </c>
      <c r="I9992" s="4" t="n">
        <v>4</v>
      </c>
      <c r="J9992" s="4" t="n">
        <f aca="false">LEN(E9992)-LEN(SUBSTITUTE(E9992,",",""))+1</f>
        <v>4</v>
      </c>
      <c r="K9992" s="3" t="str">
        <f aca="false">IFERROR(INDEX('Teacher Lookup'!$B$2:$B$200,MATCH(A9992,'Teacher Lookup'!$A$2:$A$200,0)),"")</f>
        <v>LEUNG Tom</v>
      </c>
    </row>
    <row r="9993" customFormat="false" ht="15" hidden="false" customHeight="false" outlineLevel="0" collapsed="false">
      <c r="A9993" s="3" t="s">
        <v>518</v>
      </c>
      <c r="B9993" s="4" t="s">
        <v>66</v>
      </c>
      <c r="C9993" s="4" t="n">
        <v>6</v>
      </c>
      <c r="D9993" s="4" t="s">
        <v>19</v>
      </c>
      <c r="E9993" s="3" t="s">
        <v>51</v>
      </c>
      <c r="F9993" s="4" t="str">
        <f aca="false">IF(I9993&gt;J9993,"Y","N")</f>
        <v>N</v>
      </c>
      <c r="G9993" s="3" t="s">
        <v>15</v>
      </c>
      <c r="H9993" s="3" t="s">
        <v>42</v>
      </c>
      <c r="I9993" s="4" t="n">
        <v>4</v>
      </c>
      <c r="J9993" s="4" t="n">
        <f aca="false">LEN(E9993)-LEN(SUBSTITUTE(E9993,",",""))+1</f>
        <v>4</v>
      </c>
      <c r="K9993" s="3" t="str">
        <f aca="false">IFERROR(INDEX('Teacher Lookup'!$B$2:$B$200,MATCH(A9993,'Teacher Lookup'!$A$2:$A$200,0)),"")</f>
        <v>LEUNG Tom</v>
      </c>
    </row>
    <row r="9994" customFormat="false" ht="15" hidden="false" customHeight="false" outlineLevel="0" collapsed="false">
      <c r="A9994" s="3" t="s">
        <v>518</v>
      </c>
      <c r="B9994" s="4" t="s">
        <v>66</v>
      </c>
      <c r="C9994" s="4" t="n">
        <v>6</v>
      </c>
      <c r="D9994" s="4" t="s">
        <v>22</v>
      </c>
      <c r="E9994" s="3" t="s">
        <v>51</v>
      </c>
      <c r="F9994" s="4" t="str">
        <f aca="false">IF(I9994&gt;J9994,"Y","N")</f>
        <v>N</v>
      </c>
      <c r="G9994" s="3" t="s">
        <v>15</v>
      </c>
      <c r="H9994" s="3" t="s">
        <v>42</v>
      </c>
      <c r="I9994" s="4" t="n">
        <v>4</v>
      </c>
      <c r="J9994" s="4" t="n">
        <f aca="false">LEN(E9994)-LEN(SUBSTITUTE(E9994,",",""))+1</f>
        <v>4</v>
      </c>
      <c r="K9994" s="3" t="str">
        <f aca="false">IFERROR(INDEX('Teacher Lookup'!$B$2:$B$200,MATCH(A9994,'Teacher Lookup'!$A$2:$A$200,0)),"")</f>
        <v>LEUNG Tom</v>
      </c>
    </row>
    <row r="9995" customFormat="false" ht="15" hidden="false" customHeight="false" outlineLevel="0" collapsed="false">
      <c r="A9995" s="3" t="s">
        <v>518</v>
      </c>
      <c r="B9995" s="4" t="s">
        <v>66</v>
      </c>
      <c r="C9995" s="4" t="n">
        <v>6</v>
      </c>
      <c r="D9995" s="4" t="s">
        <v>23</v>
      </c>
      <c r="E9995" s="3" t="s">
        <v>51</v>
      </c>
      <c r="F9995" s="4" t="str">
        <f aca="false">IF(I9995&gt;J9995,"Y","N")</f>
        <v>N</v>
      </c>
      <c r="G9995" s="3" t="s">
        <v>15</v>
      </c>
      <c r="H9995" s="3" t="s">
        <v>42</v>
      </c>
      <c r="I9995" s="4" t="n">
        <v>4</v>
      </c>
      <c r="J9995" s="4" t="n">
        <f aca="false">LEN(E9995)-LEN(SUBSTITUTE(E9995,",",""))+1</f>
        <v>4</v>
      </c>
      <c r="K9995" s="3" t="str">
        <f aca="false">IFERROR(INDEX('Teacher Lookup'!$B$2:$B$200,MATCH(A9995,'Teacher Lookup'!$A$2:$A$200,0)),"")</f>
        <v>LEUNG Tom</v>
      </c>
    </row>
    <row r="9996" customFormat="false" ht="15" hidden="false" customHeight="false" outlineLevel="0" collapsed="false">
      <c r="A9996" s="3" t="s">
        <v>518</v>
      </c>
      <c r="B9996" s="4" t="s">
        <v>66</v>
      </c>
      <c r="C9996" s="4" t="n">
        <v>7</v>
      </c>
      <c r="D9996" s="4" t="s">
        <v>13</v>
      </c>
      <c r="E9996" s="3" t="s">
        <v>68</v>
      </c>
      <c r="F9996" s="4" t="str">
        <f aca="false">IF(I9996&gt;J9996,"Y","N")</f>
        <v>N</v>
      </c>
      <c r="G9996" s="3" t="s">
        <v>15</v>
      </c>
      <c r="H9996" s="3" t="s">
        <v>39</v>
      </c>
      <c r="I9996" s="4" t="n">
        <v>4</v>
      </c>
      <c r="J9996" s="4" t="n">
        <f aca="false">LEN(E9996)-LEN(SUBSTITUTE(E9996,",",""))+1</f>
        <v>4</v>
      </c>
      <c r="K9996" s="3" t="str">
        <f aca="false">IFERROR(INDEX('Teacher Lookup'!$B$2:$B$200,MATCH(A9996,'Teacher Lookup'!$A$2:$A$200,0)),"")</f>
        <v>LEUNG Tom</v>
      </c>
    </row>
    <row r="9997" customFormat="false" ht="15" hidden="false" customHeight="false" outlineLevel="0" collapsed="false">
      <c r="A9997" s="3" t="s">
        <v>518</v>
      </c>
      <c r="B9997" s="4" t="s">
        <v>66</v>
      </c>
      <c r="C9997" s="4" t="n">
        <v>7</v>
      </c>
      <c r="D9997" s="4" t="s">
        <v>17</v>
      </c>
      <c r="E9997" s="3" t="s">
        <v>68</v>
      </c>
      <c r="F9997" s="4" t="str">
        <f aca="false">IF(I9997&gt;J9997,"Y","N")</f>
        <v>N</v>
      </c>
      <c r="G9997" s="3" t="s">
        <v>15</v>
      </c>
      <c r="H9997" s="3" t="s">
        <v>39</v>
      </c>
      <c r="I9997" s="4" t="n">
        <v>4</v>
      </c>
      <c r="J9997" s="4" t="n">
        <f aca="false">LEN(E9997)-LEN(SUBSTITUTE(E9997,",",""))+1</f>
        <v>4</v>
      </c>
      <c r="K9997" s="3" t="str">
        <f aca="false">IFERROR(INDEX('Teacher Lookup'!$B$2:$B$200,MATCH(A9997,'Teacher Lookup'!$A$2:$A$200,0)),"")</f>
        <v>LEUNG Tom</v>
      </c>
    </row>
    <row r="9998" customFormat="false" ht="15" hidden="false" customHeight="false" outlineLevel="0" collapsed="false">
      <c r="A9998" s="3" t="s">
        <v>518</v>
      </c>
      <c r="B9998" s="4" t="s">
        <v>66</v>
      </c>
      <c r="C9998" s="4" t="n">
        <v>7</v>
      </c>
      <c r="D9998" s="4" t="s">
        <v>18</v>
      </c>
      <c r="E9998" s="3" t="s">
        <v>68</v>
      </c>
      <c r="F9998" s="4" t="str">
        <f aca="false">IF(I9998&gt;J9998,"Y","N")</f>
        <v>N</v>
      </c>
      <c r="G9998" s="3" t="s">
        <v>15</v>
      </c>
      <c r="H9998" s="3" t="s">
        <v>39</v>
      </c>
      <c r="I9998" s="4" t="n">
        <v>4</v>
      </c>
      <c r="J9998" s="4" t="n">
        <f aca="false">LEN(E9998)-LEN(SUBSTITUTE(E9998,",",""))+1</f>
        <v>4</v>
      </c>
      <c r="K9998" s="3" t="str">
        <f aca="false">IFERROR(INDEX('Teacher Lookup'!$B$2:$B$200,MATCH(A9998,'Teacher Lookup'!$A$2:$A$200,0)),"")</f>
        <v>LEUNG Tom</v>
      </c>
    </row>
    <row r="9999" customFormat="false" ht="15" hidden="false" customHeight="false" outlineLevel="0" collapsed="false">
      <c r="A9999" s="3" t="s">
        <v>519</v>
      </c>
      <c r="B9999" s="4" t="s">
        <v>12</v>
      </c>
      <c r="C9999" s="4" t="n">
        <v>1</v>
      </c>
      <c r="D9999" s="4" t="s">
        <v>102</v>
      </c>
      <c r="E9999" s="3" t="s">
        <v>309</v>
      </c>
      <c r="F9999" s="4" t="str">
        <f aca="false">IF(I9999&gt;J9999,"Y","N")</f>
        <v>Y</v>
      </c>
      <c r="G9999" s="3" t="s">
        <v>310</v>
      </c>
      <c r="H9999" s="3" t="s">
        <v>16</v>
      </c>
      <c r="I9999" s="4" t="n">
        <v>7</v>
      </c>
      <c r="J9999" s="4" t="n">
        <f aca="false">LEN(E9999)-LEN(SUBSTITUTE(E9999,",",""))+1</f>
        <v>6</v>
      </c>
      <c r="K9999" s="3" t="str">
        <f aca="false">IFERROR(INDEX('Teacher Lookup'!$B$2:$B$200,MATCH(A9999,'Teacher Lookup'!$A$2:$A$200,0)),"")</f>
        <v>VAN GAALEN Virginia</v>
      </c>
    </row>
    <row r="10000" customFormat="false" ht="15" hidden="false" customHeight="false" outlineLevel="0" collapsed="false">
      <c r="A10000" s="3" t="s">
        <v>519</v>
      </c>
      <c r="B10000" s="4" t="s">
        <v>12</v>
      </c>
      <c r="C10000" s="4" t="n">
        <v>1</v>
      </c>
      <c r="D10000" s="4" t="s">
        <v>105</v>
      </c>
      <c r="E10000" s="3" t="s">
        <v>309</v>
      </c>
      <c r="F10000" s="4" t="str">
        <f aca="false">IF(I10000&gt;J10000,"Y","N")</f>
        <v>Y</v>
      </c>
      <c r="G10000" s="3" t="s">
        <v>310</v>
      </c>
      <c r="H10000" s="3" t="s">
        <v>16</v>
      </c>
      <c r="I10000" s="4" t="n">
        <v>7</v>
      </c>
      <c r="J10000" s="4" t="n">
        <f aca="false">LEN(E10000)-LEN(SUBSTITUTE(E10000,",",""))+1</f>
        <v>6</v>
      </c>
      <c r="K10000" s="3" t="str">
        <f aca="false">IFERROR(INDEX('Teacher Lookup'!$B$2:$B$200,MATCH(A10000,'Teacher Lookup'!$A$2:$A$200,0)),"")</f>
        <v>VAN GAALEN Virginia</v>
      </c>
    </row>
    <row r="10001" customFormat="false" ht="15" hidden="false" customHeight="false" outlineLevel="0" collapsed="false">
      <c r="A10001" s="3" t="s">
        <v>519</v>
      </c>
      <c r="B10001" s="4" t="s">
        <v>12</v>
      </c>
      <c r="C10001" s="4" t="n">
        <v>1</v>
      </c>
      <c r="D10001" s="4" t="s">
        <v>106</v>
      </c>
      <c r="E10001" s="3" t="s">
        <v>309</v>
      </c>
      <c r="F10001" s="4" t="str">
        <f aca="false">IF(I10001&gt;J10001,"Y","N")</f>
        <v>Y</v>
      </c>
      <c r="G10001" s="3" t="s">
        <v>310</v>
      </c>
      <c r="H10001" s="3" t="s">
        <v>16</v>
      </c>
      <c r="I10001" s="4" t="n">
        <v>7</v>
      </c>
      <c r="J10001" s="4" t="n">
        <f aca="false">LEN(E10001)-LEN(SUBSTITUTE(E10001,",",""))+1</f>
        <v>6</v>
      </c>
      <c r="K10001" s="3" t="str">
        <f aca="false">IFERROR(INDEX('Teacher Lookup'!$B$2:$B$200,MATCH(A10001,'Teacher Lookup'!$A$2:$A$200,0)),"")</f>
        <v>VAN GAALEN Virginia</v>
      </c>
    </row>
    <row r="10002" customFormat="false" ht="15" hidden="false" customHeight="false" outlineLevel="0" collapsed="false">
      <c r="A10002" s="3" t="s">
        <v>519</v>
      </c>
      <c r="B10002" s="4" t="s">
        <v>12</v>
      </c>
      <c r="C10002" s="4" t="n">
        <v>1</v>
      </c>
      <c r="D10002" s="4" t="s">
        <v>107</v>
      </c>
      <c r="E10002" s="3" t="s">
        <v>309</v>
      </c>
      <c r="F10002" s="4" t="str">
        <f aca="false">IF(I10002&gt;J10002,"Y","N")</f>
        <v>Y</v>
      </c>
      <c r="G10002" s="3" t="s">
        <v>310</v>
      </c>
      <c r="H10002" s="3" t="s">
        <v>16</v>
      </c>
      <c r="I10002" s="4" t="n">
        <v>7</v>
      </c>
      <c r="J10002" s="4" t="n">
        <f aca="false">LEN(E10002)-LEN(SUBSTITUTE(E10002,",",""))+1</f>
        <v>6</v>
      </c>
      <c r="K10002" s="3" t="str">
        <f aca="false">IFERROR(INDEX('Teacher Lookup'!$B$2:$B$200,MATCH(A10002,'Teacher Lookup'!$A$2:$A$200,0)),"")</f>
        <v>VAN GAALEN Virginia</v>
      </c>
    </row>
    <row r="10003" customFormat="false" ht="15" hidden="false" customHeight="false" outlineLevel="0" collapsed="false">
      <c r="A10003" s="3" t="s">
        <v>519</v>
      </c>
      <c r="B10003" s="4" t="s">
        <v>12</v>
      </c>
      <c r="C10003" s="4" t="n">
        <v>4</v>
      </c>
      <c r="D10003" s="4" t="s">
        <v>19</v>
      </c>
      <c r="E10003" s="3" t="s">
        <v>390</v>
      </c>
      <c r="F10003" s="4" t="str">
        <f aca="false">IF(I10003&gt;J10003,"Y","N")</f>
        <v>Y</v>
      </c>
      <c r="G10003" s="3" t="s">
        <v>222</v>
      </c>
      <c r="H10003" s="3" t="s">
        <v>34</v>
      </c>
      <c r="I10003" s="4" t="n">
        <v>14</v>
      </c>
      <c r="J10003" s="4" t="n">
        <f aca="false">LEN(E10003)-LEN(SUBSTITUTE(E10003,",",""))+1</f>
        <v>7</v>
      </c>
      <c r="K10003" s="3" t="str">
        <f aca="false">IFERROR(INDEX('Teacher Lookup'!$B$2:$B$200,MATCH(A10003,'Teacher Lookup'!$A$2:$A$200,0)),"")</f>
        <v>VAN GAALEN Virginia</v>
      </c>
    </row>
    <row r="10004" customFormat="false" ht="15" hidden="false" customHeight="false" outlineLevel="0" collapsed="false">
      <c r="A10004" s="3" t="s">
        <v>519</v>
      </c>
      <c r="B10004" s="4" t="s">
        <v>12</v>
      </c>
      <c r="C10004" s="4" t="n">
        <v>4</v>
      </c>
      <c r="D10004" s="4" t="s">
        <v>22</v>
      </c>
      <c r="E10004" s="3" t="s">
        <v>390</v>
      </c>
      <c r="F10004" s="4" t="str">
        <f aca="false">IF(I10004&gt;J10004,"Y","N")</f>
        <v>Y</v>
      </c>
      <c r="G10004" s="3" t="s">
        <v>222</v>
      </c>
      <c r="H10004" s="3" t="s">
        <v>34</v>
      </c>
      <c r="I10004" s="4" t="n">
        <v>14</v>
      </c>
      <c r="J10004" s="4" t="n">
        <f aca="false">LEN(E10004)-LEN(SUBSTITUTE(E10004,",",""))+1</f>
        <v>7</v>
      </c>
      <c r="K10004" s="3" t="str">
        <f aca="false">IFERROR(INDEX('Teacher Lookup'!$B$2:$B$200,MATCH(A10004,'Teacher Lookup'!$A$2:$A$200,0)),"")</f>
        <v>VAN GAALEN Virginia</v>
      </c>
    </row>
    <row r="10005" customFormat="false" ht="15" hidden="false" customHeight="false" outlineLevel="0" collapsed="false">
      <c r="A10005" s="3" t="s">
        <v>519</v>
      </c>
      <c r="B10005" s="4" t="s">
        <v>12</v>
      </c>
      <c r="C10005" s="4" t="n">
        <v>4</v>
      </c>
      <c r="D10005" s="4" t="s">
        <v>23</v>
      </c>
      <c r="E10005" s="3" t="s">
        <v>390</v>
      </c>
      <c r="F10005" s="4" t="str">
        <f aca="false">IF(I10005&gt;J10005,"Y","N")</f>
        <v>Y</v>
      </c>
      <c r="G10005" s="3" t="s">
        <v>222</v>
      </c>
      <c r="H10005" s="3" t="s">
        <v>34</v>
      </c>
      <c r="I10005" s="4" t="n">
        <v>14</v>
      </c>
      <c r="J10005" s="4" t="n">
        <f aca="false">LEN(E10005)-LEN(SUBSTITUTE(E10005,",",""))+1</f>
        <v>7</v>
      </c>
      <c r="K10005" s="3" t="str">
        <f aca="false">IFERROR(INDEX('Teacher Lookup'!$B$2:$B$200,MATCH(A10005,'Teacher Lookup'!$A$2:$A$200,0)),"")</f>
        <v>VAN GAALEN Virginia</v>
      </c>
    </row>
    <row r="10006" customFormat="false" ht="15" hidden="false" customHeight="false" outlineLevel="0" collapsed="false">
      <c r="A10006" s="3" t="s">
        <v>519</v>
      </c>
      <c r="B10006" s="4" t="s">
        <v>12</v>
      </c>
      <c r="C10006" s="4" t="n">
        <v>4</v>
      </c>
      <c r="D10006" s="4" t="s">
        <v>13</v>
      </c>
      <c r="E10006" s="3" t="s">
        <v>390</v>
      </c>
      <c r="F10006" s="4" t="str">
        <f aca="false">IF(I10006&gt;J10006,"Y","N")</f>
        <v>Y</v>
      </c>
      <c r="G10006" s="3" t="s">
        <v>222</v>
      </c>
      <c r="H10006" s="3" t="s">
        <v>34</v>
      </c>
      <c r="I10006" s="4" t="n">
        <v>14</v>
      </c>
      <c r="J10006" s="4" t="n">
        <f aca="false">LEN(E10006)-LEN(SUBSTITUTE(E10006,",",""))+1</f>
        <v>7</v>
      </c>
      <c r="K10006" s="3" t="str">
        <f aca="false">IFERROR(INDEX('Teacher Lookup'!$B$2:$B$200,MATCH(A10006,'Teacher Lookup'!$A$2:$A$200,0)),"")</f>
        <v>VAN GAALEN Virginia</v>
      </c>
    </row>
    <row r="10007" customFormat="false" ht="15" hidden="false" customHeight="false" outlineLevel="0" collapsed="false">
      <c r="A10007" s="3" t="s">
        <v>519</v>
      </c>
      <c r="B10007" s="4" t="s">
        <v>12</v>
      </c>
      <c r="C10007" s="4" t="n">
        <v>4</v>
      </c>
      <c r="D10007" s="4" t="s">
        <v>17</v>
      </c>
      <c r="E10007" s="3" t="s">
        <v>390</v>
      </c>
      <c r="F10007" s="4" t="str">
        <f aca="false">IF(I10007&gt;J10007,"Y","N")</f>
        <v>Y</v>
      </c>
      <c r="G10007" s="3" t="s">
        <v>222</v>
      </c>
      <c r="H10007" s="3" t="s">
        <v>34</v>
      </c>
      <c r="I10007" s="4" t="n">
        <v>14</v>
      </c>
      <c r="J10007" s="4" t="n">
        <f aca="false">LEN(E10007)-LEN(SUBSTITUTE(E10007,",",""))+1</f>
        <v>7</v>
      </c>
      <c r="K10007" s="3" t="str">
        <f aca="false">IFERROR(INDEX('Teacher Lookup'!$B$2:$B$200,MATCH(A10007,'Teacher Lookup'!$A$2:$A$200,0)),"")</f>
        <v>VAN GAALEN Virginia</v>
      </c>
    </row>
    <row r="10008" customFormat="false" ht="15" hidden="false" customHeight="false" outlineLevel="0" collapsed="false">
      <c r="A10008" s="3" t="s">
        <v>519</v>
      </c>
      <c r="B10008" s="4" t="s">
        <v>12</v>
      </c>
      <c r="C10008" s="4" t="n">
        <v>4</v>
      </c>
      <c r="D10008" s="4" t="s">
        <v>18</v>
      </c>
      <c r="E10008" s="3" t="s">
        <v>390</v>
      </c>
      <c r="F10008" s="4" t="str">
        <f aca="false">IF(I10008&gt;J10008,"Y","N")</f>
        <v>Y</v>
      </c>
      <c r="G10008" s="3" t="s">
        <v>222</v>
      </c>
      <c r="H10008" s="3" t="s">
        <v>34</v>
      </c>
      <c r="I10008" s="4" t="n">
        <v>14</v>
      </c>
      <c r="J10008" s="4" t="n">
        <f aca="false">LEN(E10008)-LEN(SUBSTITUTE(E10008,",",""))+1</f>
        <v>7</v>
      </c>
      <c r="K10008" s="3" t="str">
        <f aca="false">IFERROR(INDEX('Teacher Lookup'!$B$2:$B$200,MATCH(A10008,'Teacher Lookup'!$A$2:$A$200,0)),"")</f>
        <v>VAN GAALEN Virginia</v>
      </c>
    </row>
    <row r="10009" customFormat="false" ht="15" hidden="false" customHeight="false" outlineLevel="0" collapsed="false">
      <c r="A10009" s="3" t="s">
        <v>519</v>
      </c>
      <c r="B10009" s="4" t="s">
        <v>12</v>
      </c>
      <c r="C10009" s="4" t="n">
        <v>5</v>
      </c>
      <c r="D10009" s="4" t="s">
        <v>19</v>
      </c>
      <c r="E10009" s="3" t="s">
        <v>390</v>
      </c>
      <c r="F10009" s="4" t="str">
        <f aca="false">IF(I10009&gt;J10009,"Y","N")</f>
        <v>Y</v>
      </c>
      <c r="G10009" s="3" t="s">
        <v>222</v>
      </c>
      <c r="H10009" s="3" t="s">
        <v>37</v>
      </c>
      <c r="I10009" s="4" t="n">
        <v>14</v>
      </c>
      <c r="J10009" s="4" t="n">
        <f aca="false">LEN(E10009)-LEN(SUBSTITUTE(E10009,",",""))+1</f>
        <v>7</v>
      </c>
      <c r="K10009" s="3" t="str">
        <f aca="false">IFERROR(INDEX('Teacher Lookup'!$B$2:$B$200,MATCH(A10009,'Teacher Lookup'!$A$2:$A$200,0)),"")</f>
        <v>VAN GAALEN Virginia</v>
      </c>
    </row>
    <row r="10010" customFormat="false" ht="15" hidden="false" customHeight="false" outlineLevel="0" collapsed="false">
      <c r="A10010" s="3" t="s">
        <v>519</v>
      </c>
      <c r="B10010" s="4" t="s">
        <v>12</v>
      </c>
      <c r="C10010" s="4" t="n">
        <v>5</v>
      </c>
      <c r="D10010" s="4" t="s">
        <v>22</v>
      </c>
      <c r="E10010" s="3" t="s">
        <v>390</v>
      </c>
      <c r="F10010" s="4" t="str">
        <f aca="false">IF(I10010&gt;J10010,"Y","N")</f>
        <v>Y</v>
      </c>
      <c r="G10010" s="3" t="s">
        <v>222</v>
      </c>
      <c r="H10010" s="3" t="s">
        <v>37</v>
      </c>
      <c r="I10010" s="4" t="n">
        <v>14</v>
      </c>
      <c r="J10010" s="4" t="n">
        <f aca="false">LEN(E10010)-LEN(SUBSTITUTE(E10010,",",""))+1</f>
        <v>7</v>
      </c>
      <c r="K10010" s="3" t="str">
        <f aca="false">IFERROR(INDEX('Teacher Lookup'!$B$2:$B$200,MATCH(A10010,'Teacher Lookup'!$A$2:$A$200,0)),"")</f>
        <v>VAN GAALEN Virginia</v>
      </c>
    </row>
    <row r="10011" customFormat="false" ht="15" hidden="false" customHeight="false" outlineLevel="0" collapsed="false">
      <c r="A10011" s="3" t="s">
        <v>519</v>
      </c>
      <c r="B10011" s="4" t="s">
        <v>12</v>
      </c>
      <c r="C10011" s="4" t="n">
        <v>5</v>
      </c>
      <c r="D10011" s="4" t="s">
        <v>23</v>
      </c>
      <c r="E10011" s="3" t="s">
        <v>390</v>
      </c>
      <c r="F10011" s="4" t="str">
        <f aca="false">IF(I10011&gt;J10011,"Y","N")</f>
        <v>Y</v>
      </c>
      <c r="G10011" s="3" t="s">
        <v>222</v>
      </c>
      <c r="H10011" s="3" t="s">
        <v>37</v>
      </c>
      <c r="I10011" s="4" t="n">
        <v>14</v>
      </c>
      <c r="J10011" s="4" t="n">
        <f aca="false">LEN(E10011)-LEN(SUBSTITUTE(E10011,",",""))+1</f>
        <v>7</v>
      </c>
      <c r="K10011" s="3" t="str">
        <f aca="false">IFERROR(INDEX('Teacher Lookup'!$B$2:$B$200,MATCH(A10011,'Teacher Lookup'!$A$2:$A$200,0)),"")</f>
        <v>VAN GAALEN Virginia</v>
      </c>
    </row>
    <row r="10012" customFormat="false" ht="15" hidden="false" customHeight="false" outlineLevel="0" collapsed="false">
      <c r="A10012" s="3" t="s">
        <v>519</v>
      </c>
      <c r="B10012" s="4" t="s">
        <v>12</v>
      </c>
      <c r="C10012" s="4" t="n">
        <v>5</v>
      </c>
      <c r="D10012" s="4" t="s">
        <v>13</v>
      </c>
      <c r="E10012" s="3" t="s">
        <v>390</v>
      </c>
      <c r="F10012" s="4" t="str">
        <f aca="false">IF(I10012&gt;J10012,"Y","N")</f>
        <v>Y</v>
      </c>
      <c r="G10012" s="3" t="s">
        <v>222</v>
      </c>
      <c r="H10012" s="3" t="s">
        <v>37</v>
      </c>
      <c r="I10012" s="4" t="n">
        <v>14</v>
      </c>
      <c r="J10012" s="4" t="n">
        <f aca="false">LEN(E10012)-LEN(SUBSTITUTE(E10012,",",""))+1</f>
        <v>7</v>
      </c>
      <c r="K10012" s="3" t="str">
        <f aca="false">IFERROR(INDEX('Teacher Lookup'!$B$2:$B$200,MATCH(A10012,'Teacher Lookup'!$A$2:$A$200,0)),"")</f>
        <v>VAN GAALEN Virginia</v>
      </c>
    </row>
    <row r="10013" customFormat="false" ht="15" hidden="false" customHeight="false" outlineLevel="0" collapsed="false">
      <c r="A10013" s="3" t="s">
        <v>519</v>
      </c>
      <c r="B10013" s="4" t="s">
        <v>12</v>
      </c>
      <c r="C10013" s="4" t="n">
        <v>5</v>
      </c>
      <c r="D10013" s="4" t="s">
        <v>17</v>
      </c>
      <c r="E10013" s="3" t="s">
        <v>390</v>
      </c>
      <c r="F10013" s="4" t="str">
        <f aca="false">IF(I10013&gt;J10013,"Y","N")</f>
        <v>Y</v>
      </c>
      <c r="G10013" s="3" t="s">
        <v>222</v>
      </c>
      <c r="H10013" s="3" t="s">
        <v>37</v>
      </c>
      <c r="I10013" s="4" t="n">
        <v>14</v>
      </c>
      <c r="J10013" s="4" t="n">
        <f aca="false">LEN(E10013)-LEN(SUBSTITUTE(E10013,",",""))+1</f>
        <v>7</v>
      </c>
      <c r="K10013" s="3" t="str">
        <f aca="false">IFERROR(INDEX('Teacher Lookup'!$B$2:$B$200,MATCH(A10013,'Teacher Lookup'!$A$2:$A$200,0)),"")</f>
        <v>VAN GAALEN Virginia</v>
      </c>
    </row>
    <row r="10014" customFormat="false" ht="15" hidden="false" customHeight="false" outlineLevel="0" collapsed="false">
      <c r="A10014" s="3" t="s">
        <v>519</v>
      </c>
      <c r="B10014" s="4" t="s">
        <v>12</v>
      </c>
      <c r="C10014" s="4" t="n">
        <v>5</v>
      </c>
      <c r="D10014" s="4" t="s">
        <v>18</v>
      </c>
      <c r="E10014" s="3" t="s">
        <v>390</v>
      </c>
      <c r="F10014" s="4" t="str">
        <f aca="false">IF(I10014&gt;J10014,"Y","N")</f>
        <v>Y</v>
      </c>
      <c r="G10014" s="3" t="s">
        <v>222</v>
      </c>
      <c r="H10014" s="3" t="s">
        <v>37</v>
      </c>
      <c r="I10014" s="4" t="n">
        <v>14</v>
      </c>
      <c r="J10014" s="4" t="n">
        <f aca="false">LEN(E10014)-LEN(SUBSTITUTE(E10014,",",""))+1</f>
        <v>7</v>
      </c>
      <c r="K10014" s="3" t="str">
        <f aca="false">IFERROR(INDEX('Teacher Lookup'!$B$2:$B$200,MATCH(A10014,'Teacher Lookup'!$A$2:$A$200,0)),"")</f>
        <v>VAN GAALEN Virginia</v>
      </c>
    </row>
    <row r="10015" customFormat="false" ht="15" hidden="false" customHeight="false" outlineLevel="0" collapsed="false">
      <c r="A10015" s="3" t="s">
        <v>519</v>
      </c>
      <c r="B10015" s="4" t="s">
        <v>12</v>
      </c>
      <c r="C10015" s="4" t="n">
        <v>6</v>
      </c>
      <c r="D10015" s="4" t="s">
        <v>139</v>
      </c>
      <c r="E10015" s="3" t="s">
        <v>462</v>
      </c>
      <c r="F10015" s="4" t="str">
        <f aca="false">IF(I10015&gt;J10015,"Y","N")</f>
        <v>N</v>
      </c>
      <c r="G10015" s="3" t="s">
        <v>463</v>
      </c>
      <c r="H10015" s="3" t="s">
        <v>42</v>
      </c>
      <c r="I10015" s="4" t="n">
        <v>1</v>
      </c>
      <c r="J10015" s="4" t="n">
        <f aca="false">LEN(E10015)-LEN(SUBSTITUTE(E10015,",",""))+1</f>
        <v>1</v>
      </c>
      <c r="K10015" s="3" t="str">
        <f aca="false">IFERROR(INDEX('Teacher Lookup'!$B$2:$B$200,MATCH(A10015,'Teacher Lookup'!$A$2:$A$200,0)),"")</f>
        <v>VAN GAALEN Virginia</v>
      </c>
    </row>
    <row r="10016" customFormat="false" ht="15" hidden="false" customHeight="false" outlineLevel="0" collapsed="false">
      <c r="A10016" s="3" t="s">
        <v>519</v>
      </c>
      <c r="B10016" s="4" t="s">
        <v>12</v>
      </c>
      <c r="C10016" s="4" t="n">
        <v>7</v>
      </c>
      <c r="D10016" s="4" t="s">
        <v>139</v>
      </c>
      <c r="E10016" s="3" t="s">
        <v>462</v>
      </c>
      <c r="F10016" s="4" t="str">
        <f aca="false">IF(I10016&gt;J10016,"Y","N")</f>
        <v>N</v>
      </c>
      <c r="G10016" s="3" t="s">
        <v>463</v>
      </c>
      <c r="H10016" s="3" t="s">
        <v>39</v>
      </c>
      <c r="I10016" s="4" t="n">
        <v>1</v>
      </c>
      <c r="J10016" s="4" t="n">
        <f aca="false">LEN(E10016)-LEN(SUBSTITUTE(E10016,",",""))+1</f>
        <v>1</v>
      </c>
      <c r="K10016" s="3" t="str">
        <f aca="false">IFERROR(INDEX('Teacher Lookup'!$B$2:$B$200,MATCH(A10016,'Teacher Lookup'!$A$2:$A$200,0)),"")</f>
        <v>VAN GAALEN Virginia</v>
      </c>
    </row>
    <row r="10017" customFormat="false" ht="15" hidden="false" customHeight="false" outlineLevel="0" collapsed="false">
      <c r="A10017" s="3" t="s">
        <v>519</v>
      </c>
      <c r="B10017" s="4" t="s">
        <v>31</v>
      </c>
      <c r="C10017" s="4" t="n">
        <v>1</v>
      </c>
      <c r="D10017" s="4" t="s">
        <v>17</v>
      </c>
      <c r="E10017" s="3" t="s">
        <v>462</v>
      </c>
      <c r="F10017" s="4" t="str">
        <f aca="false">IF(I10017&gt;J10017,"Y","N")</f>
        <v>Y</v>
      </c>
      <c r="G10017" s="3" t="s">
        <v>463</v>
      </c>
      <c r="H10017" s="3" t="s">
        <v>16</v>
      </c>
      <c r="I10017" s="4" t="n">
        <v>2</v>
      </c>
      <c r="J10017" s="4" t="n">
        <f aca="false">LEN(E10017)-LEN(SUBSTITUTE(E10017,",",""))+1</f>
        <v>1</v>
      </c>
      <c r="K10017" s="3" t="str">
        <f aca="false">IFERROR(INDEX('Teacher Lookup'!$B$2:$B$200,MATCH(A10017,'Teacher Lookup'!$A$2:$A$200,0)),"")</f>
        <v>VAN GAALEN Virginia</v>
      </c>
    </row>
    <row r="10018" customFormat="false" ht="15" hidden="false" customHeight="false" outlineLevel="0" collapsed="false">
      <c r="A10018" s="3" t="s">
        <v>519</v>
      </c>
      <c r="B10018" s="4" t="s">
        <v>31</v>
      </c>
      <c r="C10018" s="4" t="n">
        <v>2</v>
      </c>
      <c r="D10018" s="4" t="s">
        <v>17</v>
      </c>
      <c r="E10018" s="3" t="s">
        <v>462</v>
      </c>
      <c r="F10018" s="4" t="str">
        <f aca="false">IF(I10018&gt;J10018,"Y","N")</f>
        <v>Y</v>
      </c>
      <c r="G10018" s="3" t="s">
        <v>463</v>
      </c>
      <c r="H10018" s="3" t="s">
        <v>21</v>
      </c>
      <c r="I10018" s="4" t="n">
        <v>2</v>
      </c>
      <c r="J10018" s="4" t="n">
        <f aca="false">LEN(E10018)-LEN(SUBSTITUTE(E10018,",",""))+1</f>
        <v>1</v>
      </c>
      <c r="K10018" s="3" t="str">
        <f aca="false">IFERROR(INDEX('Teacher Lookup'!$B$2:$B$200,MATCH(A10018,'Teacher Lookup'!$A$2:$A$200,0)),"")</f>
        <v>VAN GAALEN Virginia</v>
      </c>
    </row>
    <row r="10019" customFormat="false" ht="15" hidden="false" customHeight="false" outlineLevel="0" collapsed="false">
      <c r="A10019" s="3" t="s">
        <v>519</v>
      </c>
      <c r="B10019" s="4" t="s">
        <v>31</v>
      </c>
      <c r="C10019" s="4" t="n">
        <v>4</v>
      </c>
      <c r="D10019" s="4" t="s">
        <v>102</v>
      </c>
      <c r="E10019" s="3" t="s">
        <v>313</v>
      </c>
      <c r="F10019" s="4" t="str">
        <f aca="false">IF(I10019&gt;J10019,"Y","N")</f>
        <v>Y</v>
      </c>
      <c r="G10019" s="3" t="s">
        <v>310</v>
      </c>
      <c r="H10019" s="3" t="s">
        <v>34</v>
      </c>
      <c r="I10019" s="4" t="n">
        <v>7</v>
      </c>
      <c r="J10019" s="4" t="n">
        <f aca="false">LEN(E10019)-LEN(SUBSTITUTE(E10019,",",""))+1</f>
        <v>6</v>
      </c>
      <c r="K10019" s="3" t="str">
        <f aca="false">IFERROR(INDEX('Teacher Lookup'!$B$2:$B$200,MATCH(A10019,'Teacher Lookup'!$A$2:$A$200,0)),"")</f>
        <v>VAN GAALEN Virginia</v>
      </c>
    </row>
    <row r="10020" customFormat="false" ht="15" hidden="false" customHeight="false" outlineLevel="0" collapsed="false">
      <c r="A10020" s="3" t="s">
        <v>519</v>
      </c>
      <c r="B10020" s="4" t="s">
        <v>31</v>
      </c>
      <c r="C10020" s="4" t="n">
        <v>4</v>
      </c>
      <c r="D10020" s="4" t="s">
        <v>105</v>
      </c>
      <c r="E10020" s="3" t="s">
        <v>313</v>
      </c>
      <c r="F10020" s="4" t="str">
        <f aca="false">IF(I10020&gt;J10020,"Y","N")</f>
        <v>Y</v>
      </c>
      <c r="G10020" s="3" t="s">
        <v>310</v>
      </c>
      <c r="H10020" s="3" t="s">
        <v>34</v>
      </c>
      <c r="I10020" s="4" t="n">
        <v>7</v>
      </c>
      <c r="J10020" s="4" t="n">
        <f aca="false">LEN(E10020)-LEN(SUBSTITUTE(E10020,",",""))+1</f>
        <v>6</v>
      </c>
      <c r="K10020" s="3" t="str">
        <f aca="false">IFERROR(INDEX('Teacher Lookup'!$B$2:$B$200,MATCH(A10020,'Teacher Lookup'!$A$2:$A$200,0)),"")</f>
        <v>VAN GAALEN Virginia</v>
      </c>
    </row>
    <row r="10021" customFormat="false" ht="15" hidden="false" customHeight="false" outlineLevel="0" collapsed="false">
      <c r="A10021" s="3" t="s">
        <v>519</v>
      </c>
      <c r="B10021" s="4" t="s">
        <v>31</v>
      </c>
      <c r="C10021" s="4" t="n">
        <v>4</v>
      </c>
      <c r="D10021" s="4" t="s">
        <v>106</v>
      </c>
      <c r="E10021" s="3" t="s">
        <v>313</v>
      </c>
      <c r="F10021" s="4" t="str">
        <f aca="false">IF(I10021&gt;J10021,"Y","N")</f>
        <v>Y</v>
      </c>
      <c r="G10021" s="3" t="s">
        <v>310</v>
      </c>
      <c r="H10021" s="3" t="s">
        <v>34</v>
      </c>
      <c r="I10021" s="4" t="n">
        <v>7</v>
      </c>
      <c r="J10021" s="4" t="n">
        <f aca="false">LEN(E10021)-LEN(SUBSTITUTE(E10021,",",""))+1</f>
        <v>6</v>
      </c>
      <c r="K10021" s="3" t="str">
        <f aca="false">IFERROR(INDEX('Teacher Lookup'!$B$2:$B$200,MATCH(A10021,'Teacher Lookup'!$A$2:$A$200,0)),"")</f>
        <v>VAN GAALEN Virginia</v>
      </c>
    </row>
    <row r="10022" customFormat="false" ht="15" hidden="false" customHeight="false" outlineLevel="0" collapsed="false">
      <c r="A10022" s="3" t="s">
        <v>519</v>
      </c>
      <c r="B10022" s="4" t="s">
        <v>31</v>
      </c>
      <c r="C10022" s="4" t="n">
        <v>4</v>
      </c>
      <c r="D10022" s="4" t="s">
        <v>107</v>
      </c>
      <c r="E10022" s="3" t="s">
        <v>313</v>
      </c>
      <c r="F10022" s="4" t="str">
        <f aca="false">IF(I10022&gt;J10022,"Y","N")</f>
        <v>Y</v>
      </c>
      <c r="G10022" s="3" t="s">
        <v>310</v>
      </c>
      <c r="H10022" s="3" t="s">
        <v>34</v>
      </c>
      <c r="I10022" s="4" t="n">
        <v>7</v>
      </c>
      <c r="J10022" s="4" t="n">
        <f aca="false">LEN(E10022)-LEN(SUBSTITUTE(E10022,",",""))+1</f>
        <v>6</v>
      </c>
      <c r="K10022" s="3" t="str">
        <f aca="false">IFERROR(INDEX('Teacher Lookup'!$B$2:$B$200,MATCH(A10022,'Teacher Lookup'!$A$2:$A$200,0)),"")</f>
        <v>VAN GAALEN Virginia</v>
      </c>
    </row>
    <row r="10023" customFormat="false" ht="15" hidden="false" customHeight="false" outlineLevel="0" collapsed="false">
      <c r="A10023" s="3" t="s">
        <v>519</v>
      </c>
      <c r="B10023" s="4" t="s">
        <v>40</v>
      </c>
      <c r="C10023" s="4" t="n">
        <v>4</v>
      </c>
      <c r="D10023" s="4" t="s">
        <v>23</v>
      </c>
      <c r="E10023" s="3" t="s">
        <v>462</v>
      </c>
      <c r="F10023" s="4" t="str">
        <f aca="false">IF(I10023&gt;J10023,"Y","N")</f>
        <v>Y</v>
      </c>
      <c r="G10023" s="3" t="s">
        <v>463</v>
      </c>
      <c r="H10023" s="3" t="s">
        <v>34</v>
      </c>
      <c r="I10023" s="4" t="n">
        <v>2</v>
      </c>
      <c r="J10023" s="4" t="n">
        <f aca="false">LEN(E10023)-LEN(SUBSTITUTE(E10023,",",""))+1</f>
        <v>1</v>
      </c>
      <c r="K10023" s="3" t="str">
        <f aca="false">IFERROR(INDEX('Teacher Lookup'!$B$2:$B$200,MATCH(A10023,'Teacher Lookup'!$A$2:$A$200,0)),"")</f>
        <v>VAN GAALEN Virginia</v>
      </c>
    </row>
    <row r="10024" customFormat="false" ht="15" hidden="false" customHeight="false" outlineLevel="0" collapsed="false">
      <c r="A10024" s="3" t="s">
        <v>519</v>
      </c>
      <c r="B10024" s="4" t="s">
        <v>40</v>
      </c>
      <c r="C10024" s="4" t="n">
        <v>5</v>
      </c>
      <c r="D10024" s="4" t="s">
        <v>23</v>
      </c>
      <c r="E10024" s="3" t="s">
        <v>462</v>
      </c>
      <c r="F10024" s="4" t="str">
        <f aca="false">IF(I10024&gt;J10024,"Y","N")</f>
        <v>Y</v>
      </c>
      <c r="G10024" s="3" t="s">
        <v>463</v>
      </c>
      <c r="H10024" s="3" t="s">
        <v>37</v>
      </c>
      <c r="I10024" s="4" t="n">
        <v>2</v>
      </c>
      <c r="J10024" s="4" t="n">
        <f aca="false">LEN(E10024)-LEN(SUBSTITUTE(E10024,",",""))+1</f>
        <v>1</v>
      </c>
      <c r="K10024" s="3" t="str">
        <f aca="false">IFERROR(INDEX('Teacher Lookup'!$B$2:$B$200,MATCH(A10024,'Teacher Lookup'!$A$2:$A$200,0)),"")</f>
        <v>VAN GAALEN Virginia</v>
      </c>
    </row>
    <row r="10025" customFormat="false" ht="15" hidden="false" customHeight="false" outlineLevel="0" collapsed="false">
      <c r="A10025" s="3" t="s">
        <v>519</v>
      </c>
      <c r="B10025" s="4" t="s">
        <v>40</v>
      </c>
      <c r="C10025" s="4" t="n">
        <v>6</v>
      </c>
      <c r="D10025" s="4" t="s">
        <v>102</v>
      </c>
      <c r="E10025" s="3" t="s">
        <v>314</v>
      </c>
      <c r="F10025" s="4" t="str">
        <f aca="false">IF(I10025&gt;J10025,"Y","N")</f>
        <v>Y</v>
      </c>
      <c r="G10025" s="3" t="s">
        <v>310</v>
      </c>
      <c r="H10025" s="3" t="s">
        <v>42</v>
      </c>
      <c r="I10025" s="4" t="n">
        <v>7</v>
      </c>
      <c r="J10025" s="4" t="n">
        <f aca="false">LEN(E10025)-LEN(SUBSTITUTE(E10025,",",""))+1</f>
        <v>6</v>
      </c>
      <c r="K10025" s="3" t="str">
        <f aca="false">IFERROR(INDEX('Teacher Lookup'!$B$2:$B$200,MATCH(A10025,'Teacher Lookup'!$A$2:$A$200,0)),"")</f>
        <v>VAN GAALEN Virginia</v>
      </c>
    </row>
    <row r="10026" customFormat="false" ht="15" hidden="false" customHeight="false" outlineLevel="0" collapsed="false">
      <c r="A10026" s="3" t="s">
        <v>519</v>
      </c>
      <c r="B10026" s="4" t="s">
        <v>40</v>
      </c>
      <c r="C10026" s="4" t="n">
        <v>6</v>
      </c>
      <c r="D10026" s="4" t="s">
        <v>105</v>
      </c>
      <c r="E10026" s="3" t="s">
        <v>314</v>
      </c>
      <c r="F10026" s="4" t="str">
        <f aca="false">IF(I10026&gt;J10026,"Y","N")</f>
        <v>Y</v>
      </c>
      <c r="G10026" s="3" t="s">
        <v>310</v>
      </c>
      <c r="H10026" s="3" t="s">
        <v>42</v>
      </c>
      <c r="I10026" s="4" t="n">
        <v>7</v>
      </c>
      <c r="J10026" s="4" t="n">
        <f aca="false">LEN(E10026)-LEN(SUBSTITUTE(E10026,",",""))+1</f>
        <v>6</v>
      </c>
      <c r="K10026" s="3" t="str">
        <f aca="false">IFERROR(INDEX('Teacher Lookup'!$B$2:$B$200,MATCH(A10026,'Teacher Lookup'!$A$2:$A$200,0)),"")</f>
        <v>VAN GAALEN Virginia</v>
      </c>
    </row>
    <row r="10027" customFormat="false" ht="15" hidden="false" customHeight="false" outlineLevel="0" collapsed="false">
      <c r="A10027" s="3" t="s">
        <v>519</v>
      </c>
      <c r="B10027" s="4" t="s">
        <v>40</v>
      </c>
      <c r="C10027" s="4" t="n">
        <v>6</v>
      </c>
      <c r="D10027" s="4" t="s">
        <v>106</v>
      </c>
      <c r="E10027" s="3" t="s">
        <v>314</v>
      </c>
      <c r="F10027" s="4" t="str">
        <f aca="false">IF(I10027&gt;J10027,"Y","N")</f>
        <v>Y</v>
      </c>
      <c r="G10027" s="3" t="s">
        <v>310</v>
      </c>
      <c r="H10027" s="3" t="s">
        <v>42</v>
      </c>
      <c r="I10027" s="4" t="n">
        <v>7</v>
      </c>
      <c r="J10027" s="4" t="n">
        <f aca="false">LEN(E10027)-LEN(SUBSTITUTE(E10027,",",""))+1</f>
        <v>6</v>
      </c>
      <c r="K10027" s="3" t="str">
        <f aca="false">IFERROR(INDEX('Teacher Lookup'!$B$2:$B$200,MATCH(A10027,'Teacher Lookup'!$A$2:$A$200,0)),"")</f>
        <v>VAN GAALEN Virginia</v>
      </c>
    </row>
    <row r="10028" customFormat="false" ht="15" hidden="false" customHeight="false" outlineLevel="0" collapsed="false">
      <c r="A10028" s="3" t="s">
        <v>519</v>
      </c>
      <c r="B10028" s="4" t="s">
        <v>40</v>
      </c>
      <c r="C10028" s="4" t="n">
        <v>6</v>
      </c>
      <c r="D10028" s="4" t="s">
        <v>107</v>
      </c>
      <c r="E10028" s="3" t="s">
        <v>314</v>
      </c>
      <c r="F10028" s="4" t="str">
        <f aca="false">IF(I10028&gt;J10028,"Y","N")</f>
        <v>Y</v>
      </c>
      <c r="G10028" s="3" t="s">
        <v>310</v>
      </c>
      <c r="H10028" s="3" t="s">
        <v>42</v>
      </c>
      <c r="I10028" s="4" t="n">
        <v>7</v>
      </c>
      <c r="J10028" s="4" t="n">
        <f aca="false">LEN(E10028)-LEN(SUBSTITUTE(E10028,",",""))+1</f>
        <v>6</v>
      </c>
      <c r="K10028" s="3" t="str">
        <f aca="false">IFERROR(INDEX('Teacher Lookup'!$B$2:$B$200,MATCH(A10028,'Teacher Lookup'!$A$2:$A$200,0)),"")</f>
        <v>VAN GAALEN Virginia</v>
      </c>
    </row>
    <row r="10029" customFormat="false" ht="15" hidden="false" customHeight="false" outlineLevel="0" collapsed="false">
      <c r="A10029" s="3" t="s">
        <v>519</v>
      </c>
      <c r="B10029" s="4" t="s">
        <v>40</v>
      </c>
      <c r="C10029" s="4" t="n">
        <v>7</v>
      </c>
      <c r="D10029" s="4" t="s">
        <v>102</v>
      </c>
      <c r="E10029" s="3" t="s">
        <v>314</v>
      </c>
      <c r="F10029" s="4" t="str">
        <f aca="false">IF(I10029&gt;J10029,"Y","N")</f>
        <v>Y</v>
      </c>
      <c r="G10029" s="3" t="s">
        <v>310</v>
      </c>
      <c r="H10029" s="3" t="s">
        <v>39</v>
      </c>
      <c r="I10029" s="4" t="n">
        <v>7</v>
      </c>
      <c r="J10029" s="4" t="n">
        <f aca="false">LEN(E10029)-LEN(SUBSTITUTE(E10029,",",""))+1</f>
        <v>6</v>
      </c>
      <c r="K10029" s="3" t="str">
        <f aca="false">IFERROR(INDEX('Teacher Lookup'!$B$2:$B$200,MATCH(A10029,'Teacher Lookup'!$A$2:$A$200,0)),"")</f>
        <v>VAN GAALEN Virginia</v>
      </c>
    </row>
    <row r="10030" customFormat="false" ht="15" hidden="false" customHeight="false" outlineLevel="0" collapsed="false">
      <c r="A10030" s="3" t="s">
        <v>519</v>
      </c>
      <c r="B10030" s="4" t="s">
        <v>40</v>
      </c>
      <c r="C10030" s="4" t="n">
        <v>7</v>
      </c>
      <c r="D10030" s="4" t="s">
        <v>105</v>
      </c>
      <c r="E10030" s="3" t="s">
        <v>314</v>
      </c>
      <c r="F10030" s="4" t="str">
        <f aca="false">IF(I10030&gt;J10030,"Y","N")</f>
        <v>Y</v>
      </c>
      <c r="G10030" s="3" t="s">
        <v>310</v>
      </c>
      <c r="H10030" s="3" t="s">
        <v>39</v>
      </c>
      <c r="I10030" s="4" t="n">
        <v>7</v>
      </c>
      <c r="J10030" s="4" t="n">
        <f aca="false">LEN(E10030)-LEN(SUBSTITUTE(E10030,",",""))+1</f>
        <v>6</v>
      </c>
      <c r="K10030" s="3" t="str">
        <f aca="false">IFERROR(INDEX('Teacher Lookup'!$B$2:$B$200,MATCH(A10030,'Teacher Lookup'!$A$2:$A$200,0)),"")</f>
        <v>VAN GAALEN Virginia</v>
      </c>
    </row>
    <row r="10031" customFormat="false" ht="15" hidden="false" customHeight="false" outlineLevel="0" collapsed="false">
      <c r="A10031" s="3" t="s">
        <v>519</v>
      </c>
      <c r="B10031" s="4" t="s">
        <v>40</v>
      </c>
      <c r="C10031" s="4" t="n">
        <v>7</v>
      </c>
      <c r="D10031" s="4" t="s">
        <v>106</v>
      </c>
      <c r="E10031" s="3" t="s">
        <v>314</v>
      </c>
      <c r="F10031" s="4" t="str">
        <f aca="false">IF(I10031&gt;J10031,"Y","N")</f>
        <v>Y</v>
      </c>
      <c r="G10031" s="3" t="s">
        <v>310</v>
      </c>
      <c r="H10031" s="3" t="s">
        <v>39</v>
      </c>
      <c r="I10031" s="4" t="n">
        <v>7</v>
      </c>
      <c r="J10031" s="4" t="n">
        <f aca="false">LEN(E10031)-LEN(SUBSTITUTE(E10031,",",""))+1</f>
        <v>6</v>
      </c>
      <c r="K10031" s="3" t="str">
        <f aca="false">IFERROR(INDEX('Teacher Lookup'!$B$2:$B$200,MATCH(A10031,'Teacher Lookup'!$A$2:$A$200,0)),"")</f>
        <v>VAN GAALEN Virginia</v>
      </c>
    </row>
    <row r="10032" customFormat="false" ht="15" hidden="false" customHeight="false" outlineLevel="0" collapsed="false">
      <c r="A10032" s="3" t="s">
        <v>519</v>
      </c>
      <c r="B10032" s="4" t="s">
        <v>40</v>
      </c>
      <c r="C10032" s="4" t="n">
        <v>7</v>
      </c>
      <c r="D10032" s="4" t="s">
        <v>107</v>
      </c>
      <c r="E10032" s="3" t="s">
        <v>314</v>
      </c>
      <c r="F10032" s="4" t="str">
        <f aca="false">IF(I10032&gt;J10032,"Y","N")</f>
        <v>Y</v>
      </c>
      <c r="G10032" s="3" t="s">
        <v>310</v>
      </c>
      <c r="H10032" s="3" t="s">
        <v>39</v>
      </c>
      <c r="I10032" s="4" t="n">
        <v>7</v>
      </c>
      <c r="J10032" s="4" t="n">
        <f aca="false">LEN(E10032)-LEN(SUBSTITUTE(E10032,",",""))+1</f>
        <v>6</v>
      </c>
      <c r="K10032" s="3" t="str">
        <f aca="false">IFERROR(INDEX('Teacher Lookup'!$B$2:$B$200,MATCH(A10032,'Teacher Lookup'!$A$2:$A$200,0)),"")</f>
        <v>VAN GAALEN Virginia</v>
      </c>
    </row>
    <row r="10033" customFormat="false" ht="15" hidden="false" customHeight="false" outlineLevel="0" collapsed="false">
      <c r="A10033" s="3" t="s">
        <v>519</v>
      </c>
      <c r="B10033" s="4" t="s">
        <v>47</v>
      </c>
      <c r="C10033" s="4" t="n">
        <v>2</v>
      </c>
      <c r="D10033" s="4" t="s">
        <v>102</v>
      </c>
      <c r="E10033" s="3" t="s">
        <v>315</v>
      </c>
      <c r="F10033" s="4" t="str">
        <f aca="false">IF(I10033&gt;J10033,"Y","N")</f>
        <v>Y</v>
      </c>
      <c r="G10033" s="3" t="s">
        <v>310</v>
      </c>
      <c r="H10033" s="3" t="s">
        <v>21</v>
      </c>
      <c r="I10033" s="4" t="n">
        <v>7</v>
      </c>
      <c r="J10033" s="4" t="n">
        <f aca="false">LEN(E10033)-LEN(SUBSTITUTE(E10033,",",""))+1</f>
        <v>6</v>
      </c>
      <c r="K10033" s="3" t="str">
        <f aca="false">IFERROR(INDEX('Teacher Lookup'!$B$2:$B$200,MATCH(A10033,'Teacher Lookup'!$A$2:$A$200,0)),"")</f>
        <v>VAN GAALEN Virginia</v>
      </c>
    </row>
    <row r="10034" customFormat="false" ht="15" hidden="false" customHeight="false" outlineLevel="0" collapsed="false">
      <c r="A10034" s="3" t="s">
        <v>519</v>
      </c>
      <c r="B10034" s="4" t="s">
        <v>47</v>
      </c>
      <c r="C10034" s="4" t="n">
        <v>2</v>
      </c>
      <c r="D10034" s="4" t="s">
        <v>105</v>
      </c>
      <c r="E10034" s="3" t="s">
        <v>315</v>
      </c>
      <c r="F10034" s="4" t="str">
        <f aca="false">IF(I10034&gt;J10034,"Y","N")</f>
        <v>Y</v>
      </c>
      <c r="G10034" s="3" t="s">
        <v>310</v>
      </c>
      <c r="H10034" s="3" t="s">
        <v>21</v>
      </c>
      <c r="I10034" s="4" t="n">
        <v>7</v>
      </c>
      <c r="J10034" s="4" t="n">
        <f aca="false">LEN(E10034)-LEN(SUBSTITUTE(E10034,",",""))+1</f>
        <v>6</v>
      </c>
      <c r="K10034" s="3" t="str">
        <f aca="false">IFERROR(INDEX('Teacher Lookup'!$B$2:$B$200,MATCH(A10034,'Teacher Lookup'!$A$2:$A$200,0)),"")</f>
        <v>VAN GAALEN Virginia</v>
      </c>
    </row>
    <row r="10035" customFormat="false" ht="15" hidden="false" customHeight="false" outlineLevel="0" collapsed="false">
      <c r="A10035" s="3" t="s">
        <v>519</v>
      </c>
      <c r="B10035" s="4" t="s">
        <v>47</v>
      </c>
      <c r="C10035" s="4" t="n">
        <v>2</v>
      </c>
      <c r="D10035" s="4" t="s">
        <v>106</v>
      </c>
      <c r="E10035" s="3" t="s">
        <v>315</v>
      </c>
      <c r="F10035" s="4" t="str">
        <f aca="false">IF(I10035&gt;J10035,"Y","N")</f>
        <v>Y</v>
      </c>
      <c r="G10035" s="3" t="s">
        <v>310</v>
      </c>
      <c r="H10035" s="3" t="s">
        <v>21</v>
      </c>
      <c r="I10035" s="4" t="n">
        <v>7</v>
      </c>
      <c r="J10035" s="4" t="n">
        <f aca="false">LEN(E10035)-LEN(SUBSTITUTE(E10035,",",""))+1</f>
        <v>6</v>
      </c>
      <c r="K10035" s="3" t="str">
        <f aca="false">IFERROR(INDEX('Teacher Lookup'!$B$2:$B$200,MATCH(A10035,'Teacher Lookup'!$A$2:$A$200,0)),"")</f>
        <v>VAN GAALEN Virginia</v>
      </c>
    </row>
    <row r="10036" customFormat="false" ht="15" hidden="false" customHeight="false" outlineLevel="0" collapsed="false">
      <c r="A10036" s="3" t="s">
        <v>519</v>
      </c>
      <c r="B10036" s="4" t="s">
        <v>47</v>
      </c>
      <c r="C10036" s="4" t="n">
        <v>2</v>
      </c>
      <c r="D10036" s="4" t="s">
        <v>107</v>
      </c>
      <c r="E10036" s="3" t="s">
        <v>315</v>
      </c>
      <c r="F10036" s="4" t="str">
        <f aca="false">IF(I10036&gt;J10036,"Y","N")</f>
        <v>Y</v>
      </c>
      <c r="G10036" s="3" t="s">
        <v>310</v>
      </c>
      <c r="H10036" s="3" t="s">
        <v>21</v>
      </c>
      <c r="I10036" s="4" t="n">
        <v>7</v>
      </c>
      <c r="J10036" s="4" t="n">
        <f aca="false">LEN(E10036)-LEN(SUBSTITUTE(E10036,",",""))+1</f>
        <v>6</v>
      </c>
      <c r="K10036" s="3" t="str">
        <f aca="false">IFERROR(INDEX('Teacher Lookup'!$B$2:$B$200,MATCH(A10036,'Teacher Lookup'!$A$2:$A$200,0)),"")</f>
        <v>VAN GAALEN Virginia</v>
      </c>
    </row>
    <row r="10037" customFormat="false" ht="15" hidden="false" customHeight="false" outlineLevel="0" collapsed="false">
      <c r="A10037" s="3" t="s">
        <v>519</v>
      </c>
      <c r="B10037" s="4" t="s">
        <v>47</v>
      </c>
      <c r="C10037" s="4" t="n">
        <v>6</v>
      </c>
      <c r="D10037" s="4" t="s">
        <v>74</v>
      </c>
      <c r="E10037" s="3" t="s">
        <v>462</v>
      </c>
      <c r="F10037" s="4" t="str">
        <f aca="false">IF(I10037&gt;J10037,"Y","N")</f>
        <v>Y</v>
      </c>
      <c r="G10037" s="3" t="s">
        <v>463</v>
      </c>
      <c r="H10037" s="3" t="s">
        <v>42</v>
      </c>
      <c r="I10037" s="4" t="n">
        <v>2</v>
      </c>
      <c r="J10037" s="4" t="n">
        <f aca="false">LEN(E10037)-LEN(SUBSTITUTE(E10037,",",""))+1</f>
        <v>1</v>
      </c>
      <c r="K10037" s="3" t="str">
        <f aca="false">IFERROR(INDEX('Teacher Lookup'!$B$2:$B$200,MATCH(A10037,'Teacher Lookup'!$A$2:$A$200,0)),"")</f>
        <v>VAN GAALEN Virginia</v>
      </c>
    </row>
    <row r="10038" customFormat="false" ht="15" hidden="false" customHeight="false" outlineLevel="0" collapsed="false">
      <c r="A10038" s="3" t="s">
        <v>519</v>
      </c>
      <c r="B10038" s="4" t="s">
        <v>47</v>
      </c>
      <c r="C10038" s="4" t="n">
        <v>7</v>
      </c>
      <c r="D10038" s="4" t="s">
        <v>74</v>
      </c>
      <c r="E10038" s="3" t="s">
        <v>462</v>
      </c>
      <c r="F10038" s="4" t="str">
        <f aca="false">IF(I10038&gt;J10038,"Y","N")</f>
        <v>Y</v>
      </c>
      <c r="G10038" s="3" t="s">
        <v>463</v>
      </c>
      <c r="H10038" s="3" t="s">
        <v>39</v>
      </c>
      <c r="I10038" s="4" t="n">
        <v>2</v>
      </c>
      <c r="J10038" s="4" t="n">
        <f aca="false">LEN(E10038)-LEN(SUBSTITUTE(E10038,",",""))+1</f>
        <v>1</v>
      </c>
      <c r="K10038" s="3" t="str">
        <f aca="false">IFERROR(INDEX('Teacher Lookup'!$B$2:$B$200,MATCH(A10038,'Teacher Lookup'!$A$2:$A$200,0)),"")</f>
        <v>VAN GAALEN Virginia</v>
      </c>
    </row>
    <row r="10039" customFormat="false" ht="15" hidden="false" customHeight="false" outlineLevel="0" collapsed="false">
      <c r="A10039" s="3" t="s">
        <v>519</v>
      </c>
      <c r="B10039" s="4" t="s">
        <v>50</v>
      </c>
      <c r="C10039" s="4" t="n">
        <v>3</v>
      </c>
      <c r="D10039" s="4" t="s">
        <v>102</v>
      </c>
      <c r="E10039" s="3" t="s">
        <v>317</v>
      </c>
      <c r="F10039" s="4" t="str">
        <f aca="false">IF(I10039&gt;J10039,"Y","N")</f>
        <v>Y</v>
      </c>
      <c r="G10039" s="3" t="s">
        <v>310</v>
      </c>
      <c r="H10039" s="3" t="s">
        <v>26</v>
      </c>
      <c r="I10039" s="4" t="n">
        <v>7</v>
      </c>
      <c r="J10039" s="4" t="n">
        <f aca="false">LEN(E10039)-LEN(SUBSTITUTE(E10039,",",""))+1</f>
        <v>6</v>
      </c>
      <c r="K10039" s="3" t="str">
        <f aca="false">IFERROR(INDEX('Teacher Lookup'!$B$2:$B$200,MATCH(A10039,'Teacher Lookup'!$A$2:$A$200,0)),"")</f>
        <v>VAN GAALEN Virginia</v>
      </c>
    </row>
    <row r="10040" customFormat="false" ht="15" hidden="false" customHeight="false" outlineLevel="0" collapsed="false">
      <c r="A10040" s="3" t="s">
        <v>519</v>
      </c>
      <c r="B10040" s="4" t="s">
        <v>50</v>
      </c>
      <c r="C10040" s="4" t="n">
        <v>3</v>
      </c>
      <c r="D10040" s="4" t="s">
        <v>105</v>
      </c>
      <c r="E10040" s="3" t="s">
        <v>317</v>
      </c>
      <c r="F10040" s="4" t="str">
        <f aca="false">IF(I10040&gt;J10040,"Y","N")</f>
        <v>Y</v>
      </c>
      <c r="G10040" s="3" t="s">
        <v>310</v>
      </c>
      <c r="H10040" s="3" t="s">
        <v>26</v>
      </c>
      <c r="I10040" s="4" t="n">
        <v>7</v>
      </c>
      <c r="J10040" s="4" t="n">
        <f aca="false">LEN(E10040)-LEN(SUBSTITUTE(E10040,",",""))+1</f>
        <v>6</v>
      </c>
      <c r="K10040" s="3" t="str">
        <f aca="false">IFERROR(INDEX('Teacher Lookup'!$B$2:$B$200,MATCH(A10040,'Teacher Lookup'!$A$2:$A$200,0)),"")</f>
        <v>VAN GAALEN Virginia</v>
      </c>
    </row>
    <row r="10041" customFormat="false" ht="15" hidden="false" customHeight="false" outlineLevel="0" collapsed="false">
      <c r="A10041" s="3" t="s">
        <v>519</v>
      </c>
      <c r="B10041" s="4" t="s">
        <v>50</v>
      </c>
      <c r="C10041" s="4" t="n">
        <v>3</v>
      </c>
      <c r="D10041" s="4" t="s">
        <v>106</v>
      </c>
      <c r="E10041" s="3" t="s">
        <v>317</v>
      </c>
      <c r="F10041" s="4" t="str">
        <f aca="false">IF(I10041&gt;J10041,"Y","N")</f>
        <v>Y</v>
      </c>
      <c r="G10041" s="3" t="s">
        <v>310</v>
      </c>
      <c r="H10041" s="3" t="s">
        <v>26</v>
      </c>
      <c r="I10041" s="4" t="n">
        <v>7</v>
      </c>
      <c r="J10041" s="4" t="n">
        <f aca="false">LEN(E10041)-LEN(SUBSTITUTE(E10041,",",""))+1</f>
        <v>6</v>
      </c>
      <c r="K10041" s="3" t="str">
        <f aca="false">IFERROR(INDEX('Teacher Lookup'!$B$2:$B$200,MATCH(A10041,'Teacher Lookup'!$A$2:$A$200,0)),"")</f>
        <v>VAN GAALEN Virginia</v>
      </c>
    </row>
    <row r="10042" customFormat="false" ht="15" hidden="false" customHeight="false" outlineLevel="0" collapsed="false">
      <c r="A10042" s="3" t="s">
        <v>519</v>
      </c>
      <c r="B10042" s="4" t="s">
        <v>50</v>
      </c>
      <c r="C10042" s="4" t="n">
        <v>3</v>
      </c>
      <c r="D10042" s="4" t="s">
        <v>107</v>
      </c>
      <c r="E10042" s="3" t="s">
        <v>317</v>
      </c>
      <c r="F10042" s="4" t="str">
        <f aca="false">IF(I10042&gt;J10042,"Y","N")</f>
        <v>Y</v>
      </c>
      <c r="G10042" s="3" t="s">
        <v>310</v>
      </c>
      <c r="H10042" s="3" t="s">
        <v>26</v>
      </c>
      <c r="I10042" s="4" t="n">
        <v>7</v>
      </c>
      <c r="J10042" s="4" t="n">
        <f aca="false">LEN(E10042)-LEN(SUBSTITUTE(E10042,",",""))+1</f>
        <v>6</v>
      </c>
      <c r="K10042" s="3" t="str">
        <f aca="false">IFERROR(INDEX('Teacher Lookup'!$B$2:$B$200,MATCH(A10042,'Teacher Lookup'!$A$2:$A$200,0)),"")</f>
        <v>VAN GAALEN Virginia</v>
      </c>
    </row>
    <row r="10043" customFormat="false" ht="15" hidden="false" customHeight="false" outlineLevel="0" collapsed="false">
      <c r="A10043" s="3" t="s">
        <v>519</v>
      </c>
      <c r="B10043" s="4" t="s">
        <v>50</v>
      </c>
      <c r="C10043" s="4" t="n">
        <v>6</v>
      </c>
      <c r="D10043" s="4" t="s">
        <v>52</v>
      </c>
      <c r="E10043" s="3" t="s">
        <v>53</v>
      </c>
      <c r="F10043" s="4" t="str">
        <f aca="false">IF(I10043&gt;J10043,"Y","N")</f>
        <v>N</v>
      </c>
      <c r="G10043" s="3" t="s">
        <v>54</v>
      </c>
      <c r="H10043" s="3" t="s">
        <v>42</v>
      </c>
      <c r="I10043" s="4" t="n">
        <v>7</v>
      </c>
      <c r="J10043" s="4" t="n">
        <f aca="false">LEN(E10043)-LEN(SUBSTITUTE(E10043,",",""))+1</f>
        <v>7</v>
      </c>
      <c r="K10043" s="3" t="str">
        <f aca="false">IFERROR(INDEX('Teacher Lookup'!$B$2:$B$200,MATCH(A10043,'Teacher Lookup'!$A$2:$A$200,0)),"")</f>
        <v>VAN GAALEN Virginia</v>
      </c>
    </row>
    <row r="10044" customFormat="false" ht="15" hidden="false" customHeight="false" outlineLevel="0" collapsed="false">
      <c r="A10044" s="3" t="s">
        <v>519</v>
      </c>
      <c r="B10044" s="4" t="s">
        <v>50</v>
      </c>
      <c r="C10044" s="4" t="n">
        <v>6</v>
      </c>
      <c r="D10044" s="4" t="s">
        <v>55</v>
      </c>
      <c r="E10044" s="3" t="s">
        <v>53</v>
      </c>
      <c r="F10044" s="4" t="str">
        <f aca="false">IF(I10044&gt;J10044,"Y","N")</f>
        <v>N</v>
      </c>
      <c r="G10044" s="3" t="s">
        <v>54</v>
      </c>
      <c r="H10044" s="3" t="s">
        <v>42</v>
      </c>
      <c r="I10044" s="4" t="n">
        <v>7</v>
      </c>
      <c r="J10044" s="4" t="n">
        <f aca="false">LEN(E10044)-LEN(SUBSTITUTE(E10044,",",""))+1</f>
        <v>7</v>
      </c>
      <c r="K10044" s="3" t="str">
        <f aca="false">IFERROR(INDEX('Teacher Lookup'!$B$2:$B$200,MATCH(A10044,'Teacher Lookup'!$A$2:$A$200,0)),"")</f>
        <v>VAN GAALEN Virginia</v>
      </c>
    </row>
    <row r="10045" customFormat="false" ht="15" hidden="false" customHeight="false" outlineLevel="0" collapsed="false">
      <c r="A10045" s="3" t="s">
        <v>519</v>
      </c>
      <c r="B10045" s="4" t="s">
        <v>50</v>
      </c>
      <c r="C10045" s="4" t="n">
        <v>6</v>
      </c>
      <c r="D10045" s="4" t="s">
        <v>56</v>
      </c>
      <c r="E10045" s="3" t="s">
        <v>53</v>
      </c>
      <c r="F10045" s="4" t="str">
        <f aca="false">IF(I10045&gt;J10045,"Y","N")</f>
        <v>N</v>
      </c>
      <c r="G10045" s="3" t="s">
        <v>54</v>
      </c>
      <c r="H10045" s="3" t="s">
        <v>42</v>
      </c>
      <c r="I10045" s="4" t="n">
        <v>7</v>
      </c>
      <c r="J10045" s="4" t="n">
        <f aca="false">LEN(E10045)-LEN(SUBSTITUTE(E10045,",",""))+1</f>
        <v>7</v>
      </c>
      <c r="K10045" s="3" t="str">
        <f aca="false">IFERROR(INDEX('Teacher Lookup'!$B$2:$B$200,MATCH(A10045,'Teacher Lookup'!$A$2:$A$200,0)),"")</f>
        <v>VAN GAALEN Virginia</v>
      </c>
    </row>
    <row r="10046" customFormat="false" ht="15" hidden="false" customHeight="false" outlineLevel="0" collapsed="false">
      <c r="A10046" s="3" t="s">
        <v>519</v>
      </c>
      <c r="B10046" s="4" t="s">
        <v>50</v>
      </c>
      <c r="C10046" s="4" t="n">
        <v>6</v>
      </c>
      <c r="D10046" s="4" t="s">
        <v>57</v>
      </c>
      <c r="E10046" s="3" t="s">
        <v>53</v>
      </c>
      <c r="F10046" s="4" t="str">
        <f aca="false">IF(I10046&gt;J10046,"Y","N")</f>
        <v>N</v>
      </c>
      <c r="G10046" s="3" t="s">
        <v>54</v>
      </c>
      <c r="H10046" s="3" t="s">
        <v>42</v>
      </c>
      <c r="I10046" s="4" t="n">
        <v>7</v>
      </c>
      <c r="J10046" s="4" t="n">
        <f aca="false">LEN(E10046)-LEN(SUBSTITUTE(E10046,",",""))+1</f>
        <v>7</v>
      </c>
      <c r="K10046" s="3" t="str">
        <f aca="false">IFERROR(INDEX('Teacher Lookup'!$B$2:$B$200,MATCH(A10046,'Teacher Lookup'!$A$2:$A$200,0)),"")</f>
        <v>VAN GAALEN Virginia</v>
      </c>
    </row>
    <row r="10047" customFormat="false" ht="15" hidden="false" customHeight="false" outlineLevel="0" collapsed="false">
      <c r="A10047" s="3" t="s">
        <v>519</v>
      </c>
      <c r="B10047" s="4" t="s">
        <v>50</v>
      </c>
      <c r="C10047" s="4" t="n">
        <v>6</v>
      </c>
      <c r="D10047" s="4" t="s">
        <v>58</v>
      </c>
      <c r="E10047" s="3" t="s">
        <v>53</v>
      </c>
      <c r="F10047" s="4" t="str">
        <f aca="false">IF(I10047&gt;J10047,"Y","N")</f>
        <v>N</v>
      </c>
      <c r="G10047" s="3" t="s">
        <v>54</v>
      </c>
      <c r="H10047" s="3" t="s">
        <v>42</v>
      </c>
      <c r="I10047" s="4" t="n">
        <v>7</v>
      </c>
      <c r="J10047" s="4" t="n">
        <f aca="false">LEN(E10047)-LEN(SUBSTITUTE(E10047,",",""))+1</f>
        <v>7</v>
      </c>
      <c r="K10047" s="3" t="str">
        <f aca="false">IFERROR(INDEX('Teacher Lookup'!$B$2:$B$200,MATCH(A10047,'Teacher Lookup'!$A$2:$A$200,0)),"")</f>
        <v>VAN GAALEN Virginia</v>
      </c>
    </row>
    <row r="10048" customFormat="false" ht="15" hidden="false" customHeight="false" outlineLevel="0" collapsed="false">
      <c r="A10048" s="3" t="s">
        <v>519</v>
      </c>
      <c r="B10048" s="4" t="s">
        <v>50</v>
      </c>
      <c r="C10048" s="4" t="n">
        <v>6</v>
      </c>
      <c r="D10048" s="4" t="s">
        <v>59</v>
      </c>
      <c r="E10048" s="3" t="s">
        <v>53</v>
      </c>
      <c r="F10048" s="4" t="str">
        <f aca="false">IF(I10048&gt;J10048,"Y","N")</f>
        <v>N</v>
      </c>
      <c r="G10048" s="3" t="s">
        <v>54</v>
      </c>
      <c r="H10048" s="3" t="s">
        <v>42</v>
      </c>
      <c r="I10048" s="4" t="n">
        <v>7</v>
      </c>
      <c r="J10048" s="4" t="n">
        <f aca="false">LEN(E10048)-LEN(SUBSTITUTE(E10048,",",""))+1</f>
        <v>7</v>
      </c>
      <c r="K10048" s="3" t="str">
        <f aca="false">IFERROR(INDEX('Teacher Lookup'!$B$2:$B$200,MATCH(A10048,'Teacher Lookup'!$A$2:$A$200,0)),"")</f>
        <v>VAN GAALEN Virginia</v>
      </c>
    </row>
    <row r="10049" customFormat="false" ht="15" hidden="false" customHeight="false" outlineLevel="0" collapsed="false">
      <c r="A10049" s="3" t="s">
        <v>519</v>
      </c>
      <c r="B10049" s="4" t="s">
        <v>50</v>
      </c>
      <c r="C10049" s="4" t="n">
        <v>7</v>
      </c>
      <c r="D10049" s="4" t="s">
        <v>52</v>
      </c>
      <c r="E10049" s="3" t="s">
        <v>53</v>
      </c>
      <c r="F10049" s="4" t="str">
        <f aca="false">IF(I10049&gt;J10049,"Y","N")</f>
        <v>N</v>
      </c>
      <c r="G10049" s="3" t="s">
        <v>54</v>
      </c>
      <c r="H10049" s="3" t="s">
        <v>39</v>
      </c>
      <c r="I10049" s="4" t="n">
        <v>7</v>
      </c>
      <c r="J10049" s="4" t="n">
        <f aca="false">LEN(E10049)-LEN(SUBSTITUTE(E10049,",",""))+1</f>
        <v>7</v>
      </c>
      <c r="K10049" s="3" t="str">
        <f aca="false">IFERROR(INDEX('Teacher Lookup'!$B$2:$B$200,MATCH(A10049,'Teacher Lookup'!$A$2:$A$200,0)),"")</f>
        <v>VAN GAALEN Virginia</v>
      </c>
    </row>
    <row r="10050" customFormat="false" ht="15" hidden="false" customHeight="false" outlineLevel="0" collapsed="false">
      <c r="A10050" s="3" t="s">
        <v>519</v>
      </c>
      <c r="B10050" s="4" t="s">
        <v>50</v>
      </c>
      <c r="C10050" s="4" t="n">
        <v>7</v>
      </c>
      <c r="D10050" s="4" t="s">
        <v>55</v>
      </c>
      <c r="E10050" s="3" t="s">
        <v>53</v>
      </c>
      <c r="F10050" s="4" t="str">
        <f aca="false">IF(I10050&gt;J10050,"Y","N")</f>
        <v>N</v>
      </c>
      <c r="G10050" s="3" t="s">
        <v>54</v>
      </c>
      <c r="H10050" s="3" t="s">
        <v>39</v>
      </c>
      <c r="I10050" s="4" t="n">
        <v>7</v>
      </c>
      <c r="J10050" s="4" t="n">
        <f aca="false">LEN(E10050)-LEN(SUBSTITUTE(E10050,",",""))+1</f>
        <v>7</v>
      </c>
      <c r="K10050" s="3" t="str">
        <f aca="false">IFERROR(INDEX('Teacher Lookup'!$B$2:$B$200,MATCH(A10050,'Teacher Lookup'!$A$2:$A$200,0)),"")</f>
        <v>VAN GAALEN Virginia</v>
      </c>
    </row>
    <row r="10051" customFormat="false" ht="15" hidden="false" customHeight="false" outlineLevel="0" collapsed="false">
      <c r="A10051" s="3" t="s">
        <v>519</v>
      </c>
      <c r="B10051" s="4" t="s">
        <v>50</v>
      </c>
      <c r="C10051" s="4" t="n">
        <v>7</v>
      </c>
      <c r="D10051" s="4" t="s">
        <v>56</v>
      </c>
      <c r="E10051" s="3" t="s">
        <v>53</v>
      </c>
      <c r="F10051" s="4" t="str">
        <f aca="false">IF(I10051&gt;J10051,"Y","N")</f>
        <v>N</v>
      </c>
      <c r="G10051" s="3" t="s">
        <v>54</v>
      </c>
      <c r="H10051" s="3" t="s">
        <v>39</v>
      </c>
      <c r="I10051" s="4" t="n">
        <v>7</v>
      </c>
      <c r="J10051" s="4" t="n">
        <f aca="false">LEN(E10051)-LEN(SUBSTITUTE(E10051,",",""))+1</f>
        <v>7</v>
      </c>
      <c r="K10051" s="3" t="str">
        <f aca="false">IFERROR(INDEX('Teacher Lookup'!$B$2:$B$200,MATCH(A10051,'Teacher Lookup'!$A$2:$A$200,0)),"")</f>
        <v>VAN GAALEN Virginia</v>
      </c>
    </row>
    <row r="10052" customFormat="false" ht="15" hidden="false" customHeight="false" outlineLevel="0" collapsed="false">
      <c r="A10052" s="3" t="s">
        <v>519</v>
      </c>
      <c r="B10052" s="4" t="s">
        <v>50</v>
      </c>
      <c r="C10052" s="4" t="n">
        <v>7</v>
      </c>
      <c r="D10052" s="4" t="s">
        <v>57</v>
      </c>
      <c r="E10052" s="3" t="s">
        <v>53</v>
      </c>
      <c r="F10052" s="4" t="str">
        <f aca="false">IF(I10052&gt;J10052,"Y","N")</f>
        <v>N</v>
      </c>
      <c r="G10052" s="3" t="s">
        <v>54</v>
      </c>
      <c r="H10052" s="3" t="s">
        <v>39</v>
      </c>
      <c r="I10052" s="4" t="n">
        <v>7</v>
      </c>
      <c r="J10052" s="4" t="n">
        <f aca="false">LEN(E10052)-LEN(SUBSTITUTE(E10052,",",""))+1</f>
        <v>7</v>
      </c>
      <c r="K10052" s="3" t="str">
        <f aca="false">IFERROR(INDEX('Teacher Lookup'!$B$2:$B$200,MATCH(A10052,'Teacher Lookup'!$A$2:$A$200,0)),"")</f>
        <v>VAN GAALEN Virginia</v>
      </c>
    </row>
    <row r="10053" customFormat="false" ht="15" hidden="false" customHeight="false" outlineLevel="0" collapsed="false">
      <c r="A10053" s="3" t="s">
        <v>519</v>
      </c>
      <c r="B10053" s="4" t="s">
        <v>50</v>
      </c>
      <c r="C10053" s="4" t="n">
        <v>7</v>
      </c>
      <c r="D10053" s="4" t="s">
        <v>58</v>
      </c>
      <c r="E10053" s="3" t="s">
        <v>53</v>
      </c>
      <c r="F10053" s="4" t="str">
        <f aca="false">IF(I10053&gt;J10053,"Y","N")</f>
        <v>N</v>
      </c>
      <c r="G10053" s="3" t="s">
        <v>54</v>
      </c>
      <c r="H10053" s="3" t="s">
        <v>39</v>
      </c>
      <c r="I10053" s="4" t="n">
        <v>7</v>
      </c>
      <c r="J10053" s="4" t="n">
        <f aca="false">LEN(E10053)-LEN(SUBSTITUTE(E10053,",",""))+1</f>
        <v>7</v>
      </c>
      <c r="K10053" s="3" t="str">
        <f aca="false">IFERROR(INDEX('Teacher Lookup'!$B$2:$B$200,MATCH(A10053,'Teacher Lookup'!$A$2:$A$200,0)),"")</f>
        <v>VAN GAALEN Virginia</v>
      </c>
    </row>
    <row r="10054" customFormat="false" ht="15" hidden="false" customHeight="false" outlineLevel="0" collapsed="false">
      <c r="A10054" s="3" t="s">
        <v>519</v>
      </c>
      <c r="B10054" s="4" t="s">
        <v>50</v>
      </c>
      <c r="C10054" s="4" t="n">
        <v>7</v>
      </c>
      <c r="D10054" s="4" t="s">
        <v>59</v>
      </c>
      <c r="E10054" s="3" t="s">
        <v>53</v>
      </c>
      <c r="F10054" s="4" t="str">
        <f aca="false">IF(I10054&gt;J10054,"Y","N")</f>
        <v>N</v>
      </c>
      <c r="G10054" s="3" t="s">
        <v>54</v>
      </c>
      <c r="H10054" s="3" t="s">
        <v>39</v>
      </c>
      <c r="I10054" s="4" t="n">
        <v>7</v>
      </c>
      <c r="J10054" s="4" t="n">
        <f aca="false">LEN(E10054)-LEN(SUBSTITUTE(E10054,",",""))+1</f>
        <v>7</v>
      </c>
      <c r="K10054" s="3" t="str">
        <f aca="false">IFERROR(INDEX('Teacher Lookup'!$B$2:$B$200,MATCH(A10054,'Teacher Lookup'!$A$2:$A$200,0)),"")</f>
        <v>VAN GAALEN Virginia</v>
      </c>
    </row>
    <row r="10055" customFormat="false" ht="15" hidden="false" customHeight="false" outlineLevel="0" collapsed="false">
      <c r="A10055" s="3" t="s">
        <v>519</v>
      </c>
      <c r="B10055" s="4" t="s">
        <v>60</v>
      </c>
      <c r="C10055" s="4" t="n">
        <v>1</v>
      </c>
      <c r="D10055" s="4" t="s">
        <v>139</v>
      </c>
      <c r="E10055" s="3" t="s">
        <v>462</v>
      </c>
      <c r="F10055" s="4" t="str">
        <f aca="false">IF(I10055&gt;J10055,"Y","N")</f>
        <v>N</v>
      </c>
      <c r="G10055" s="3" t="s">
        <v>463</v>
      </c>
      <c r="H10055" s="3" t="s">
        <v>16</v>
      </c>
      <c r="I10055" s="4" t="n">
        <v>1</v>
      </c>
      <c r="J10055" s="4" t="n">
        <f aca="false">LEN(E10055)-LEN(SUBSTITUTE(E10055,",",""))+1</f>
        <v>1</v>
      </c>
      <c r="K10055" s="3" t="str">
        <f aca="false">IFERROR(INDEX('Teacher Lookup'!$B$2:$B$200,MATCH(A10055,'Teacher Lookup'!$A$2:$A$200,0)),"")</f>
        <v>VAN GAALEN Virginia</v>
      </c>
    </row>
    <row r="10056" customFormat="false" ht="15" hidden="false" customHeight="false" outlineLevel="0" collapsed="false">
      <c r="A10056" s="3" t="s">
        <v>519</v>
      </c>
      <c r="B10056" s="4" t="s">
        <v>60</v>
      </c>
      <c r="C10056" s="4" t="n">
        <v>2</v>
      </c>
      <c r="D10056" s="4" t="s">
        <v>139</v>
      </c>
      <c r="E10056" s="3" t="s">
        <v>462</v>
      </c>
      <c r="F10056" s="4" t="str">
        <f aca="false">IF(I10056&gt;J10056,"Y","N")</f>
        <v>N</v>
      </c>
      <c r="G10056" s="3" t="s">
        <v>463</v>
      </c>
      <c r="H10056" s="3" t="s">
        <v>21</v>
      </c>
      <c r="I10056" s="4" t="n">
        <v>1</v>
      </c>
      <c r="J10056" s="4" t="n">
        <f aca="false">LEN(E10056)-LEN(SUBSTITUTE(E10056,",",""))+1</f>
        <v>1</v>
      </c>
      <c r="K10056" s="3" t="str">
        <f aca="false">IFERROR(INDEX('Teacher Lookup'!$B$2:$B$200,MATCH(A10056,'Teacher Lookup'!$A$2:$A$200,0)),"")</f>
        <v>VAN GAALEN Virginia</v>
      </c>
    </row>
    <row r="10057" customFormat="false" ht="15" hidden="false" customHeight="false" outlineLevel="0" collapsed="false">
      <c r="A10057" s="3" t="s">
        <v>519</v>
      </c>
      <c r="B10057" s="4" t="s">
        <v>60</v>
      </c>
      <c r="C10057" s="4" t="n">
        <v>4</v>
      </c>
      <c r="D10057" s="4" t="s">
        <v>102</v>
      </c>
      <c r="E10057" s="3" t="s">
        <v>318</v>
      </c>
      <c r="F10057" s="4" t="str">
        <f aca="false">IF(I10057&gt;J10057,"Y","N")</f>
        <v>Y</v>
      </c>
      <c r="G10057" s="3" t="s">
        <v>310</v>
      </c>
      <c r="H10057" s="3" t="s">
        <v>34</v>
      </c>
      <c r="I10057" s="4" t="n">
        <v>7</v>
      </c>
      <c r="J10057" s="4" t="n">
        <f aca="false">LEN(E10057)-LEN(SUBSTITUTE(E10057,",",""))+1</f>
        <v>6</v>
      </c>
      <c r="K10057" s="3" t="str">
        <f aca="false">IFERROR(INDEX('Teacher Lookup'!$B$2:$B$200,MATCH(A10057,'Teacher Lookup'!$A$2:$A$200,0)),"")</f>
        <v>VAN GAALEN Virginia</v>
      </c>
    </row>
    <row r="10058" customFormat="false" ht="15" hidden="false" customHeight="false" outlineLevel="0" collapsed="false">
      <c r="A10058" s="3" t="s">
        <v>519</v>
      </c>
      <c r="B10058" s="4" t="s">
        <v>60</v>
      </c>
      <c r="C10058" s="4" t="n">
        <v>4</v>
      </c>
      <c r="D10058" s="4" t="s">
        <v>105</v>
      </c>
      <c r="E10058" s="3" t="s">
        <v>318</v>
      </c>
      <c r="F10058" s="4" t="str">
        <f aca="false">IF(I10058&gt;J10058,"Y","N")</f>
        <v>Y</v>
      </c>
      <c r="G10058" s="3" t="s">
        <v>310</v>
      </c>
      <c r="H10058" s="3" t="s">
        <v>34</v>
      </c>
      <c r="I10058" s="4" t="n">
        <v>7</v>
      </c>
      <c r="J10058" s="4" t="n">
        <f aca="false">LEN(E10058)-LEN(SUBSTITUTE(E10058,",",""))+1</f>
        <v>6</v>
      </c>
      <c r="K10058" s="3" t="str">
        <f aca="false">IFERROR(INDEX('Teacher Lookup'!$B$2:$B$200,MATCH(A10058,'Teacher Lookup'!$A$2:$A$200,0)),"")</f>
        <v>VAN GAALEN Virginia</v>
      </c>
    </row>
    <row r="10059" customFormat="false" ht="15" hidden="false" customHeight="false" outlineLevel="0" collapsed="false">
      <c r="A10059" s="3" t="s">
        <v>519</v>
      </c>
      <c r="B10059" s="4" t="s">
        <v>60</v>
      </c>
      <c r="C10059" s="4" t="n">
        <v>4</v>
      </c>
      <c r="D10059" s="4" t="s">
        <v>106</v>
      </c>
      <c r="E10059" s="3" t="s">
        <v>318</v>
      </c>
      <c r="F10059" s="4" t="str">
        <f aca="false">IF(I10059&gt;J10059,"Y","N")</f>
        <v>Y</v>
      </c>
      <c r="G10059" s="3" t="s">
        <v>310</v>
      </c>
      <c r="H10059" s="3" t="s">
        <v>34</v>
      </c>
      <c r="I10059" s="4" t="n">
        <v>7</v>
      </c>
      <c r="J10059" s="4" t="n">
        <f aca="false">LEN(E10059)-LEN(SUBSTITUTE(E10059,",",""))+1</f>
        <v>6</v>
      </c>
      <c r="K10059" s="3" t="str">
        <f aca="false">IFERROR(INDEX('Teacher Lookup'!$B$2:$B$200,MATCH(A10059,'Teacher Lookup'!$A$2:$A$200,0)),"")</f>
        <v>VAN GAALEN Virginia</v>
      </c>
    </row>
    <row r="10060" customFormat="false" ht="15" hidden="false" customHeight="false" outlineLevel="0" collapsed="false">
      <c r="A10060" s="3" t="s">
        <v>519</v>
      </c>
      <c r="B10060" s="4" t="s">
        <v>60</v>
      </c>
      <c r="C10060" s="4" t="n">
        <v>4</v>
      </c>
      <c r="D10060" s="4" t="s">
        <v>107</v>
      </c>
      <c r="E10060" s="3" t="s">
        <v>318</v>
      </c>
      <c r="F10060" s="4" t="str">
        <f aca="false">IF(I10060&gt;J10060,"Y","N")</f>
        <v>Y</v>
      </c>
      <c r="G10060" s="3" t="s">
        <v>310</v>
      </c>
      <c r="H10060" s="3" t="s">
        <v>34</v>
      </c>
      <c r="I10060" s="4" t="n">
        <v>7</v>
      </c>
      <c r="J10060" s="4" t="n">
        <f aca="false">LEN(E10060)-LEN(SUBSTITUTE(E10060,",",""))+1</f>
        <v>6</v>
      </c>
      <c r="K10060" s="3" t="str">
        <f aca="false">IFERROR(INDEX('Teacher Lookup'!$B$2:$B$200,MATCH(A10060,'Teacher Lookup'!$A$2:$A$200,0)),"")</f>
        <v>VAN GAALEN Virginia</v>
      </c>
    </row>
    <row r="10061" customFormat="false" ht="15" hidden="false" customHeight="false" outlineLevel="0" collapsed="false">
      <c r="A10061" s="3" t="s">
        <v>519</v>
      </c>
      <c r="B10061" s="4" t="s">
        <v>60</v>
      </c>
      <c r="C10061" s="4" t="n">
        <v>6</v>
      </c>
      <c r="D10061" s="4" t="s">
        <v>78</v>
      </c>
      <c r="E10061" s="3" t="s">
        <v>462</v>
      </c>
      <c r="F10061" s="4" t="str">
        <f aca="false">IF(I10061&gt;J10061,"Y","N")</f>
        <v>Y</v>
      </c>
      <c r="G10061" s="3" t="s">
        <v>463</v>
      </c>
      <c r="H10061" s="3" t="s">
        <v>42</v>
      </c>
      <c r="I10061" s="4" t="n">
        <v>2</v>
      </c>
      <c r="J10061" s="4" t="n">
        <f aca="false">LEN(E10061)-LEN(SUBSTITUTE(E10061,",",""))+1</f>
        <v>1</v>
      </c>
      <c r="K10061" s="3" t="str">
        <f aca="false">IFERROR(INDEX('Teacher Lookup'!$B$2:$B$200,MATCH(A10061,'Teacher Lookup'!$A$2:$A$200,0)),"")</f>
        <v>VAN GAALEN Virginia</v>
      </c>
    </row>
    <row r="10062" customFormat="false" ht="15" hidden="false" customHeight="false" outlineLevel="0" collapsed="false">
      <c r="A10062" s="3" t="s">
        <v>519</v>
      </c>
      <c r="B10062" s="4" t="s">
        <v>60</v>
      </c>
      <c r="C10062" s="4" t="n">
        <v>7</v>
      </c>
      <c r="D10062" s="4" t="s">
        <v>78</v>
      </c>
      <c r="E10062" s="3" t="s">
        <v>462</v>
      </c>
      <c r="F10062" s="4" t="str">
        <f aca="false">IF(I10062&gt;J10062,"Y","N")</f>
        <v>Y</v>
      </c>
      <c r="G10062" s="3" t="s">
        <v>463</v>
      </c>
      <c r="H10062" s="3" t="s">
        <v>39</v>
      </c>
      <c r="I10062" s="4" t="n">
        <v>2</v>
      </c>
      <c r="J10062" s="4" t="n">
        <f aca="false">LEN(E10062)-LEN(SUBSTITUTE(E10062,",",""))+1</f>
        <v>1</v>
      </c>
      <c r="K10062" s="3" t="str">
        <f aca="false">IFERROR(INDEX('Teacher Lookup'!$B$2:$B$200,MATCH(A10062,'Teacher Lookup'!$A$2:$A$200,0)),"")</f>
        <v>VAN GAALEN Virginia</v>
      </c>
    </row>
    <row r="10063" customFormat="false" ht="15" hidden="false" customHeight="false" outlineLevel="0" collapsed="false">
      <c r="A10063" s="3" t="s">
        <v>519</v>
      </c>
      <c r="B10063" s="4" t="s">
        <v>63</v>
      </c>
      <c r="C10063" s="4" t="n">
        <v>4</v>
      </c>
      <c r="D10063" s="4" t="s">
        <v>23</v>
      </c>
      <c r="E10063" s="3" t="s">
        <v>462</v>
      </c>
      <c r="F10063" s="4" t="str">
        <f aca="false">IF(I10063&gt;J10063,"Y","N")</f>
        <v>Y</v>
      </c>
      <c r="G10063" s="3" t="s">
        <v>463</v>
      </c>
      <c r="H10063" s="3" t="s">
        <v>34</v>
      </c>
      <c r="I10063" s="4" t="n">
        <v>2</v>
      </c>
      <c r="J10063" s="4" t="n">
        <f aca="false">LEN(E10063)-LEN(SUBSTITUTE(E10063,",",""))+1</f>
        <v>1</v>
      </c>
      <c r="K10063" s="3" t="str">
        <f aca="false">IFERROR(INDEX('Teacher Lookup'!$B$2:$B$200,MATCH(A10063,'Teacher Lookup'!$A$2:$A$200,0)),"")</f>
        <v>VAN GAALEN Virginia</v>
      </c>
    </row>
    <row r="10064" customFormat="false" ht="15" hidden="false" customHeight="false" outlineLevel="0" collapsed="false">
      <c r="A10064" s="3" t="s">
        <v>519</v>
      </c>
      <c r="B10064" s="4" t="s">
        <v>63</v>
      </c>
      <c r="C10064" s="4" t="n">
        <v>5</v>
      </c>
      <c r="D10064" s="4" t="s">
        <v>23</v>
      </c>
      <c r="E10064" s="3" t="s">
        <v>462</v>
      </c>
      <c r="F10064" s="4" t="str">
        <f aca="false">IF(I10064&gt;J10064,"Y","N")</f>
        <v>Y</v>
      </c>
      <c r="G10064" s="3" t="s">
        <v>463</v>
      </c>
      <c r="H10064" s="3" t="s">
        <v>37</v>
      </c>
      <c r="I10064" s="4" t="n">
        <v>2</v>
      </c>
      <c r="J10064" s="4" t="n">
        <f aca="false">LEN(E10064)-LEN(SUBSTITUTE(E10064,",",""))+1</f>
        <v>1</v>
      </c>
      <c r="K10064" s="3" t="str">
        <f aca="false">IFERROR(INDEX('Teacher Lookup'!$B$2:$B$200,MATCH(A10064,'Teacher Lookup'!$A$2:$A$200,0)),"")</f>
        <v>VAN GAALEN Virginia</v>
      </c>
    </row>
    <row r="10065" customFormat="false" ht="15" hidden="false" customHeight="false" outlineLevel="0" collapsed="false">
      <c r="A10065" s="3" t="s">
        <v>519</v>
      </c>
      <c r="B10065" s="4" t="s">
        <v>63</v>
      </c>
      <c r="C10065" s="4" t="n">
        <v>7</v>
      </c>
      <c r="D10065" s="4" t="s">
        <v>102</v>
      </c>
      <c r="E10065" s="3" t="s">
        <v>319</v>
      </c>
      <c r="F10065" s="4" t="str">
        <f aca="false">IF(I10065&gt;J10065,"Y","N")</f>
        <v>Y</v>
      </c>
      <c r="G10065" s="3" t="s">
        <v>310</v>
      </c>
      <c r="H10065" s="3" t="s">
        <v>39</v>
      </c>
      <c r="I10065" s="4" t="n">
        <v>7</v>
      </c>
      <c r="J10065" s="4" t="n">
        <f aca="false">LEN(E10065)-LEN(SUBSTITUTE(E10065,",",""))+1</f>
        <v>6</v>
      </c>
      <c r="K10065" s="3" t="str">
        <f aca="false">IFERROR(INDEX('Teacher Lookup'!$B$2:$B$200,MATCH(A10065,'Teacher Lookup'!$A$2:$A$200,0)),"")</f>
        <v>VAN GAALEN Virginia</v>
      </c>
    </row>
    <row r="10066" customFormat="false" ht="15" hidden="false" customHeight="false" outlineLevel="0" collapsed="false">
      <c r="A10066" s="3" t="s">
        <v>519</v>
      </c>
      <c r="B10066" s="4" t="s">
        <v>63</v>
      </c>
      <c r="C10066" s="4" t="n">
        <v>7</v>
      </c>
      <c r="D10066" s="4" t="s">
        <v>105</v>
      </c>
      <c r="E10066" s="3" t="s">
        <v>319</v>
      </c>
      <c r="F10066" s="4" t="str">
        <f aca="false">IF(I10066&gt;J10066,"Y","N")</f>
        <v>Y</v>
      </c>
      <c r="G10066" s="3" t="s">
        <v>310</v>
      </c>
      <c r="H10066" s="3" t="s">
        <v>39</v>
      </c>
      <c r="I10066" s="4" t="n">
        <v>7</v>
      </c>
      <c r="J10066" s="4" t="n">
        <f aca="false">LEN(E10066)-LEN(SUBSTITUTE(E10066,",",""))+1</f>
        <v>6</v>
      </c>
      <c r="K10066" s="3" t="str">
        <f aca="false">IFERROR(INDEX('Teacher Lookup'!$B$2:$B$200,MATCH(A10066,'Teacher Lookup'!$A$2:$A$200,0)),"")</f>
        <v>VAN GAALEN Virginia</v>
      </c>
    </row>
    <row r="10067" customFormat="false" ht="15" hidden="false" customHeight="false" outlineLevel="0" collapsed="false">
      <c r="A10067" s="3" t="s">
        <v>519</v>
      </c>
      <c r="B10067" s="4" t="s">
        <v>63</v>
      </c>
      <c r="C10067" s="4" t="n">
        <v>7</v>
      </c>
      <c r="D10067" s="4" t="s">
        <v>106</v>
      </c>
      <c r="E10067" s="3" t="s">
        <v>319</v>
      </c>
      <c r="F10067" s="4" t="str">
        <f aca="false">IF(I10067&gt;J10067,"Y","N")</f>
        <v>Y</v>
      </c>
      <c r="G10067" s="3" t="s">
        <v>310</v>
      </c>
      <c r="H10067" s="3" t="s">
        <v>39</v>
      </c>
      <c r="I10067" s="4" t="n">
        <v>7</v>
      </c>
      <c r="J10067" s="4" t="n">
        <f aca="false">LEN(E10067)-LEN(SUBSTITUTE(E10067,",",""))+1</f>
        <v>6</v>
      </c>
      <c r="K10067" s="3" t="str">
        <f aca="false">IFERROR(INDEX('Teacher Lookup'!$B$2:$B$200,MATCH(A10067,'Teacher Lookup'!$A$2:$A$200,0)),"")</f>
        <v>VAN GAALEN Virginia</v>
      </c>
    </row>
    <row r="10068" customFormat="false" ht="15" hidden="false" customHeight="false" outlineLevel="0" collapsed="false">
      <c r="A10068" s="3" t="s">
        <v>519</v>
      </c>
      <c r="B10068" s="4" t="s">
        <v>63</v>
      </c>
      <c r="C10068" s="4" t="n">
        <v>7</v>
      </c>
      <c r="D10068" s="4" t="s">
        <v>107</v>
      </c>
      <c r="E10068" s="3" t="s">
        <v>319</v>
      </c>
      <c r="F10068" s="4" t="str">
        <f aca="false">IF(I10068&gt;J10068,"Y","N")</f>
        <v>Y</v>
      </c>
      <c r="G10068" s="3" t="s">
        <v>310</v>
      </c>
      <c r="H10068" s="3" t="s">
        <v>39</v>
      </c>
      <c r="I10068" s="4" t="n">
        <v>7</v>
      </c>
      <c r="J10068" s="4" t="n">
        <f aca="false">LEN(E10068)-LEN(SUBSTITUTE(E10068,",",""))+1</f>
        <v>6</v>
      </c>
      <c r="K10068" s="3" t="str">
        <f aca="false">IFERROR(INDEX('Teacher Lookup'!$B$2:$B$200,MATCH(A10068,'Teacher Lookup'!$A$2:$A$200,0)),"")</f>
        <v>VAN GAALEN Virginia</v>
      </c>
    </row>
    <row r="10069" customFormat="false" ht="15" hidden="false" customHeight="false" outlineLevel="0" collapsed="false">
      <c r="A10069" s="3" t="s">
        <v>519</v>
      </c>
      <c r="B10069" s="4" t="s">
        <v>66</v>
      </c>
      <c r="C10069" s="4" t="n">
        <v>3</v>
      </c>
      <c r="D10069" s="4" t="s">
        <v>17</v>
      </c>
      <c r="E10069" s="3" t="s">
        <v>462</v>
      </c>
      <c r="F10069" s="4" t="str">
        <f aca="false">IF(I10069&gt;J10069,"Y","N")</f>
        <v>Y</v>
      </c>
      <c r="G10069" s="3" t="s">
        <v>463</v>
      </c>
      <c r="H10069" s="3" t="s">
        <v>26</v>
      </c>
      <c r="I10069" s="4" t="n">
        <v>2</v>
      </c>
      <c r="J10069" s="4" t="n">
        <f aca="false">LEN(E10069)-LEN(SUBSTITUTE(E10069,",",""))+1</f>
        <v>1</v>
      </c>
      <c r="K10069" s="3" t="str">
        <f aca="false">IFERROR(INDEX('Teacher Lookup'!$B$2:$B$200,MATCH(A10069,'Teacher Lookup'!$A$2:$A$200,0)),"")</f>
        <v>VAN GAALEN Virginia</v>
      </c>
    </row>
    <row r="10070" customFormat="false" ht="15" hidden="false" customHeight="false" outlineLevel="0" collapsed="false">
      <c r="A10070" s="3" t="s">
        <v>519</v>
      </c>
      <c r="B10070" s="4" t="s">
        <v>66</v>
      </c>
      <c r="C10070" s="4" t="n">
        <v>4</v>
      </c>
      <c r="D10070" s="4" t="s">
        <v>17</v>
      </c>
      <c r="E10070" s="3" t="s">
        <v>462</v>
      </c>
      <c r="F10070" s="4" t="str">
        <f aca="false">IF(I10070&gt;J10070,"Y","N")</f>
        <v>Y</v>
      </c>
      <c r="G10070" s="3" t="s">
        <v>463</v>
      </c>
      <c r="H10070" s="3" t="s">
        <v>34</v>
      </c>
      <c r="I10070" s="4" t="n">
        <v>2</v>
      </c>
      <c r="J10070" s="4" t="n">
        <f aca="false">LEN(E10070)-LEN(SUBSTITUTE(E10070,",",""))+1</f>
        <v>1</v>
      </c>
      <c r="K10070" s="3" t="str">
        <f aca="false">IFERROR(INDEX('Teacher Lookup'!$B$2:$B$200,MATCH(A10070,'Teacher Lookup'!$A$2:$A$200,0)),"")</f>
        <v>VAN GAALEN Virginia</v>
      </c>
    </row>
    <row r="10071" customFormat="false" ht="15" hidden="false" customHeight="false" outlineLevel="0" collapsed="false">
      <c r="A10071" s="3" t="s">
        <v>519</v>
      </c>
      <c r="B10071" s="4" t="s">
        <v>66</v>
      </c>
      <c r="C10071" s="4" t="n">
        <v>5</v>
      </c>
      <c r="D10071" s="4" t="s">
        <v>102</v>
      </c>
      <c r="E10071" s="3" t="s">
        <v>320</v>
      </c>
      <c r="F10071" s="4" t="str">
        <f aca="false">IF(I10071&gt;J10071,"Y","N")</f>
        <v>Y</v>
      </c>
      <c r="G10071" s="3" t="s">
        <v>310</v>
      </c>
      <c r="H10071" s="3" t="s">
        <v>37</v>
      </c>
      <c r="I10071" s="4" t="n">
        <v>7</v>
      </c>
      <c r="J10071" s="4" t="n">
        <f aca="false">LEN(E10071)-LEN(SUBSTITUTE(E10071,",",""))+1</f>
        <v>6</v>
      </c>
      <c r="K10071" s="3" t="str">
        <f aca="false">IFERROR(INDEX('Teacher Lookup'!$B$2:$B$200,MATCH(A10071,'Teacher Lookup'!$A$2:$A$200,0)),"")</f>
        <v>VAN GAALEN Virginia</v>
      </c>
    </row>
    <row r="10072" customFormat="false" ht="15" hidden="false" customHeight="false" outlineLevel="0" collapsed="false">
      <c r="A10072" s="3" t="s">
        <v>519</v>
      </c>
      <c r="B10072" s="4" t="s">
        <v>66</v>
      </c>
      <c r="C10072" s="4" t="n">
        <v>5</v>
      </c>
      <c r="D10072" s="4" t="s">
        <v>105</v>
      </c>
      <c r="E10072" s="3" t="s">
        <v>320</v>
      </c>
      <c r="F10072" s="4" t="str">
        <f aca="false">IF(I10072&gt;J10072,"Y","N")</f>
        <v>Y</v>
      </c>
      <c r="G10072" s="3" t="s">
        <v>310</v>
      </c>
      <c r="H10072" s="3" t="s">
        <v>37</v>
      </c>
      <c r="I10072" s="4" t="n">
        <v>7</v>
      </c>
      <c r="J10072" s="4" t="n">
        <f aca="false">LEN(E10072)-LEN(SUBSTITUTE(E10072,",",""))+1</f>
        <v>6</v>
      </c>
      <c r="K10072" s="3" t="str">
        <f aca="false">IFERROR(INDEX('Teacher Lookup'!$B$2:$B$200,MATCH(A10072,'Teacher Lookup'!$A$2:$A$200,0)),"")</f>
        <v>VAN GAALEN Virginia</v>
      </c>
    </row>
    <row r="10073" customFormat="false" ht="15" hidden="false" customHeight="false" outlineLevel="0" collapsed="false">
      <c r="A10073" s="3" t="s">
        <v>519</v>
      </c>
      <c r="B10073" s="4" t="s">
        <v>66</v>
      </c>
      <c r="C10073" s="4" t="n">
        <v>5</v>
      </c>
      <c r="D10073" s="4" t="s">
        <v>106</v>
      </c>
      <c r="E10073" s="3" t="s">
        <v>320</v>
      </c>
      <c r="F10073" s="4" t="str">
        <f aca="false">IF(I10073&gt;J10073,"Y","N")</f>
        <v>Y</v>
      </c>
      <c r="G10073" s="3" t="s">
        <v>310</v>
      </c>
      <c r="H10073" s="3" t="s">
        <v>37</v>
      </c>
      <c r="I10073" s="4" t="n">
        <v>7</v>
      </c>
      <c r="J10073" s="4" t="n">
        <f aca="false">LEN(E10073)-LEN(SUBSTITUTE(E10073,",",""))+1</f>
        <v>6</v>
      </c>
      <c r="K10073" s="3" t="str">
        <f aca="false">IFERROR(INDEX('Teacher Lookup'!$B$2:$B$200,MATCH(A10073,'Teacher Lookup'!$A$2:$A$200,0)),"")</f>
        <v>VAN GAALEN Virginia</v>
      </c>
    </row>
    <row r="10074" customFormat="false" ht="15" hidden="false" customHeight="false" outlineLevel="0" collapsed="false">
      <c r="A10074" s="3" t="s">
        <v>519</v>
      </c>
      <c r="B10074" s="4" t="s">
        <v>66</v>
      </c>
      <c r="C10074" s="4" t="n">
        <v>5</v>
      </c>
      <c r="D10074" s="4" t="s">
        <v>107</v>
      </c>
      <c r="E10074" s="3" t="s">
        <v>320</v>
      </c>
      <c r="F10074" s="4" t="str">
        <f aca="false">IF(I10074&gt;J10074,"Y","N")</f>
        <v>Y</v>
      </c>
      <c r="G10074" s="3" t="s">
        <v>310</v>
      </c>
      <c r="H10074" s="3" t="s">
        <v>37</v>
      </c>
      <c r="I10074" s="4" t="n">
        <v>7</v>
      </c>
      <c r="J10074" s="4" t="n">
        <f aca="false">LEN(E10074)-LEN(SUBSTITUTE(E10074,",",""))+1</f>
        <v>6</v>
      </c>
      <c r="K10074" s="3" t="str">
        <f aca="false">IFERROR(INDEX('Teacher Lookup'!$B$2:$B$200,MATCH(A10074,'Teacher Lookup'!$A$2:$A$200,0)),"")</f>
        <v>VAN GAALEN Virginia</v>
      </c>
    </row>
    <row r="10075" customFormat="false" ht="15" hidden="false" customHeight="false" outlineLevel="0" collapsed="false">
      <c r="A10075" s="3" t="s">
        <v>519</v>
      </c>
      <c r="B10075" s="4" t="s">
        <v>66</v>
      </c>
      <c r="C10075" s="4" t="n">
        <v>6</v>
      </c>
      <c r="D10075" s="4" t="s">
        <v>73</v>
      </c>
      <c r="E10075" s="3" t="s">
        <v>462</v>
      </c>
      <c r="F10075" s="4" t="str">
        <f aca="false">IF(I10075&gt;J10075,"Y","N")</f>
        <v>Y</v>
      </c>
      <c r="G10075" s="3" t="s">
        <v>463</v>
      </c>
      <c r="H10075" s="3" t="s">
        <v>42</v>
      </c>
      <c r="I10075" s="4" t="n">
        <v>2</v>
      </c>
      <c r="J10075" s="4" t="n">
        <f aca="false">LEN(E10075)-LEN(SUBSTITUTE(E10075,",",""))+1</f>
        <v>1</v>
      </c>
      <c r="K10075" s="3" t="str">
        <f aca="false">IFERROR(INDEX('Teacher Lookup'!$B$2:$B$200,MATCH(A10075,'Teacher Lookup'!$A$2:$A$200,0)),"")</f>
        <v>VAN GAALEN Virginia</v>
      </c>
    </row>
    <row r="10076" customFormat="false" ht="15" hidden="false" customHeight="false" outlineLevel="0" collapsed="false">
      <c r="A10076" s="3" t="s">
        <v>519</v>
      </c>
      <c r="B10076" s="4" t="s">
        <v>66</v>
      </c>
      <c r="C10076" s="4" t="n">
        <v>7</v>
      </c>
      <c r="D10076" s="4" t="s">
        <v>73</v>
      </c>
      <c r="E10076" s="3" t="s">
        <v>462</v>
      </c>
      <c r="F10076" s="4" t="str">
        <f aca="false">IF(I10076&gt;J10076,"Y","N")</f>
        <v>Y</v>
      </c>
      <c r="G10076" s="3" t="s">
        <v>463</v>
      </c>
      <c r="H10076" s="3" t="s">
        <v>39</v>
      </c>
      <c r="I10076" s="4" t="n">
        <v>2</v>
      </c>
      <c r="J10076" s="4" t="n">
        <f aca="false">LEN(E10076)-LEN(SUBSTITUTE(E10076,",",""))+1</f>
        <v>1</v>
      </c>
      <c r="K10076" s="3" t="str">
        <f aca="false">IFERROR(INDEX('Teacher Lookup'!$B$2:$B$200,MATCH(A10076,'Teacher Lookup'!$A$2:$A$200,0)),"")</f>
        <v>VAN GAALEN Virginia</v>
      </c>
    </row>
    <row r="10077" customFormat="false" ht="15" hidden="false" customHeight="false" outlineLevel="0" collapsed="false">
      <c r="A10077" s="3" t="s">
        <v>520</v>
      </c>
      <c r="B10077" s="4" t="s">
        <v>12</v>
      </c>
      <c r="C10077" s="4" t="n">
        <v>2</v>
      </c>
      <c r="D10077" s="4" t="s">
        <v>132</v>
      </c>
      <c r="E10077" s="3" t="s">
        <v>293</v>
      </c>
      <c r="F10077" s="4" t="str">
        <f aca="false">IF(I10077&gt;J10077,"Y","N")</f>
        <v>N</v>
      </c>
      <c r="G10077" s="3" t="s">
        <v>15</v>
      </c>
      <c r="H10077" s="3" t="s">
        <v>21</v>
      </c>
      <c r="I10077" s="4" t="n">
        <v>1</v>
      </c>
      <c r="J10077" s="4" t="n">
        <f aca="false">LEN(E10077)-LEN(SUBSTITUTE(E10077,",",""))+1</f>
        <v>1</v>
      </c>
      <c r="K10077" s="3" t="str">
        <f aca="false">IFERROR(INDEX('Teacher Lookup'!$B$2:$B$200,MATCH(A10077,'Teacher Lookup'!$A$2:$A$200,0)),"")</f>
        <v>CHAN Wing</v>
      </c>
    </row>
    <row r="10078" customFormat="false" ht="15" hidden="false" customHeight="false" outlineLevel="0" collapsed="false">
      <c r="A10078" s="3" t="s">
        <v>520</v>
      </c>
      <c r="B10078" s="4" t="s">
        <v>12</v>
      </c>
      <c r="C10078" s="4" t="n">
        <v>3</v>
      </c>
      <c r="D10078" s="4" t="s">
        <v>102</v>
      </c>
      <c r="E10078" s="3" t="s">
        <v>227</v>
      </c>
      <c r="F10078" s="4" t="str">
        <f aca="false">IF(I10078&gt;J10078,"Y","N")</f>
        <v>N</v>
      </c>
      <c r="G10078" s="3" t="s">
        <v>15</v>
      </c>
      <c r="H10078" s="3" t="s">
        <v>26</v>
      </c>
      <c r="I10078" s="4" t="n">
        <v>5</v>
      </c>
      <c r="J10078" s="4" t="n">
        <f aca="false">LEN(E10078)-LEN(SUBSTITUTE(E10078,",",""))+1</f>
        <v>5</v>
      </c>
      <c r="K10078" s="3" t="str">
        <f aca="false">IFERROR(INDEX('Teacher Lookup'!$B$2:$B$200,MATCH(A10078,'Teacher Lookup'!$A$2:$A$200,0)),"")</f>
        <v>CHAN Wing</v>
      </c>
    </row>
    <row r="10079" customFormat="false" ht="15" hidden="false" customHeight="false" outlineLevel="0" collapsed="false">
      <c r="A10079" s="3" t="s">
        <v>520</v>
      </c>
      <c r="B10079" s="4" t="s">
        <v>12</v>
      </c>
      <c r="C10079" s="4" t="n">
        <v>3</v>
      </c>
      <c r="D10079" s="4" t="s">
        <v>105</v>
      </c>
      <c r="E10079" s="3" t="s">
        <v>227</v>
      </c>
      <c r="F10079" s="4" t="str">
        <f aca="false">IF(I10079&gt;J10079,"Y","N")</f>
        <v>N</v>
      </c>
      <c r="G10079" s="3" t="s">
        <v>15</v>
      </c>
      <c r="H10079" s="3" t="s">
        <v>26</v>
      </c>
      <c r="I10079" s="4" t="n">
        <v>5</v>
      </c>
      <c r="J10079" s="4" t="n">
        <f aca="false">LEN(E10079)-LEN(SUBSTITUTE(E10079,",",""))+1</f>
        <v>5</v>
      </c>
      <c r="K10079" s="3" t="str">
        <f aca="false">IFERROR(INDEX('Teacher Lookup'!$B$2:$B$200,MATCH(A10079,'Teacher Lookup'!$A$2:$A$200,0)),"")</f>
        <v>CHAN Wing</v>
      </c>
    </row>
    <row r="10080" customFormat="false" ht="15" hidden="false" customHeight="false" outlineLevel="0" collapsed="false">
      <c r="A10080" s="3" t="s">
        <v>520</v>
      </c>
      <c r="B10080" s="4" t="s">
        <v>12</v>
      </c>
      <c r="C10080" s="4" t="n">
        <v>3</v>
      </c>
      <c r="D10080" s="4" t="s">
        <v>106</v>
      </c>
      <c r="E10080" s="3" t="s">
        <v>227</v>
      </c>
      <c r="F10080" s="4" t="str">
        <f aca="false">IF(I10080&gt;J10080,"Y","N")</f>
        <v>N</v>
      </c>
      <c r="G10080" s="3" t="s">
        <v>15</v>
      </c>
      <c r="H10080" s="3" t="s">
        <v>26</v>
      </c>
      <c r="I10080" s="4" t="n">
        <v>5</v>
      </c>
      <c r="J10080" s="4" t="n">
        <f aca="false">LEN(E10080)-LEN(SUBSTITUTE(E10080,",",""))+1</f>
        <v>5</v>
      </c>
      <c r="K10080" s="3" t="str">
        <f aca="false">IFERROR(INDEX('Teacher Lookup'!$B$2:$B$200,MATCH(A10080,'Teacher Lookup'!$A$2:$A$200,0)),"")</f>
        <v>CHAN Wing</v>
      </c>
    </row>
    <row r="10081" customFormat="false" ht="15" hidden="false" customHeight="false" outlineLevel="0" collapsed="false">
      <c r="A10081" s="3" t="s">
        <v>520</v>
      </c>
      <c r="B10081" s="4" t="s">
        <v>12</v>
      </c>
      <c r="C10081" s="4" t="n">
        <v>3</v>
      </c>
      <c r="D10081" s="4" t="s">
        <v>107</v>
      </c>
      <c r="E10081" s="3" t="s">
        <v>227</v>
      </c>
      <c r="F10081" s="4" t="str">
        <f aca="false">IF(I10081&gt;J10081,"Y","N")</f>
        <v>N</v>
      </c>
      <c r="G10081" s="3" t="s">
        <v>15</v>
      </c>
      <c r="H10081" s="3" t="s">
        <v>26</v>
      </c>
      <c r="I10081" s="4" t="n">
        <v>5</v>
      </c>
      <c r="J10081" s="4" t="n">
        <f aca="false">LEN(E10081)-LEN(SUBSTITUTE(E10081,",",""))+1</f>
        <v>5</v>
      </c>
      <c r="K10081" s="3" t="str">
        <f aca="false">IFERROR(INDEX('Teacher Lookup'!$B$2:$B$200,MATCH(A10081,'Teacher Lookup'!$A$2:$A$200,0)),"")</f>
        <v>CHAN Wing</v>
      </c>
    </row>
    <row r="10082" customFormat="false" ht="15" hidden="false" customHeight="false" outlineLevel="0" collapsed="false">
      <c r="A10082" s="3" t="s">
        <v>520</v>
      </c>
      <c r="B10082" s="4" t="s">
        <v>12</v>
      </c>
      <c r="C10082" s="4" t="n">
        <v>7</v>
      </c>
      <c r="D10082" s="4" t="s">
        <v>70</v>
      </c>
      <c r="E10082" s="3" t="s">
        <v>217</v>
      </c>
      <c r="F10082" s="4" t="str">
        <f aca="false">IF(I10082&gt;J10082,"Y","N")</f>
        <v>N</v>
      </c>
      <c r="G10082" s="3" t="s">
        <v>15</v>
      </c>
      <c r="H10082" s="3" t="s">
        <v>39</v>
      </c>
      <c r="I10082" s="4" t="n">
        <v>4</v>
      </c>
      <c r="J10082" s="4" t="n">
        <f aca="false">LEN(E10082)-LEN(SUBSTITUTE(E10082,",",""))+1</f>
        <v>4</v>
      </c>
      <c r="K10082" s="3" t="str">
        <f aca="false">IFERROR(INDEX('Teacher Lookup'!$B$2:$B$200,MATCH(A10082,'Teacher Lookup'!$A$2:$A$200,0)),"")</f>
        <v>CHAN Wing</v>
      </c>
    </row>
    <row r="10083" customFormat="false" ht="15" hidden="false" customHeight="false" outlineLevel="0" collapsed="false">
      <c r="A10083" s="3" t="s">
        <v>520</v>
      </c>
      <c r="B10083" s="4" t="s">
        <v>12</v>
      </c>
      <c r="C10083" s="4" t="n">
        <v>7</v>
      </c>
      <c r="D10083" s="4" t="s">
        <v>73</v>
      </c>
      <c r="E10083" s="3" t="s">
        <v>217</v>
      </c>
      <c r="F10083" s="4" t="str">
        <f aca="false">IF(I10083&gt;J10083,"Y","N")</f>
        <v>N</v>
      </c>
      <c r="G10083" s="3" t="s">
        <v>15</v>
      </c>
      <c r="H10083" s="3" t="s">
        <v>39</v>
      </c>
      <c r="I10083" s="4" t="n">
        <v>4</v>
      </c>
      <c r="J10083" s="4" t="n">
        <f aca="false">LEN(E10083)-LEN(SUBSTITUTE(E10083,",",""))+1</f>
        <v>4</v>
      </c>
      <c r="K10083" s="3" t="str">
        <f aca="false">IFERROR(INDEX('Teacher Lookup'!$B$2:$B$200,MATCH(A10083,'Teacher Lookup'!$A$2:$A$200,0)),"")</f>
        <v>CHAN Wing</v>
      </c>
    </row>
    <row r="10084" customFormat="false" ht="15" hidden="false" customHeight="false" outlineLevel="0" collapsed="false">
      <c r="A10084" s="3" t="s">
        <v>520</v>
      </c>
      <c r="B10084" s="4" t="s">
        <v>12</v>
      </c>
      <c r="C10084" s="4" t="n">
        <v>7</v>
      </c>
      <c r="D10084" s="4" t="s">
        <v>74</v>
      </c>
      <c r="E10084" s="3" t="s">
        <v>217</v>
      </c>
      <c r="F10084" s="4" t="str">
        <f aca="false">IF(I10084&gt;J10084,"Y","N")</f>
        <v>N</v>
      </c>
      <c r="G10084" s="3" t="s">
        <v>15</v>
      </c>
      <c r="H10084" s="3" t="s">
        <v>39</v>
      </c>
      <c r="I10084" s="4" t="n">
        <v>4</v>
      </c>
      <c r="J10084" s="4" t="n">
        <f aca="false">LEN(E10084)-LEN(SUBSTITUTE(E10084,",",""))+1</f>
        <v>4</v>
      </c>
      <c r="K10084" s="3" t="str">
        <f aca="false">IFERROR(INDEX('Teacher Lookup'!$B$2:$B$200,MATCH(A10084,'Teacher Lookup'!$A$2:$A$200,0)),"")</f>
        <v>CHAN Wing</v>
      </c>
    </row>
    <row r="10085" customFormat="false" ht="15" hidden="false" customHeight="false" outlineLevel="0" collapsed="false">
      <c r="A10085" s="3" t="s">
        <v>520</v>
      </c>
      <c r="B10085" s="4" t="s">
        <v>31</v>
      </c>
      <c r="C10085" s="4" t="n">
        <v>3</v>
      </c>
      <c r="D10085" s="4" t="s">
        <v>70</v>
      </c>
      <c r="E10085" s="3" t="s">
        <v>218</v>
      </c>
      <c r="F10085" s="4" t="str">
        <f aca="false">IF(I10085&gt;J10085,"Y","N")</f>
        <v>N</v>
      </c>
      <c r="G10085" s="3" t="s">
        <v>15</v>
      </c>
      <c r="H10085" s="3" t="s">
        <v>26</v>
      </c>
      <c r="I10085" s="4" t="n">
        <v>4</v>
      </c>
      <c r="J10085" s="4" t="n">
        <f aca="false">LEN(E10085)-LEN(SUBSTITUTE(E10085,",",""))+1</f>
        <v>4</v>
      </c>
      <c r="K10085" s="3" t="str">
        <f aca="false">IFERROR(INDEX('Teacher Lookup'!$B$2:$B$200,MATCH(A10085,'Teacher Lookup'!$A$2:$A$200,0)),"")</f>
        <v>CHAN Wing</v>
      </c>
    </row>
    <row r="10086" customFormat="false" ht="15" hidden="false" customHeight="false" outlineLevel="0" collapsed="false">
      <c r="A10086" s="3" t="s">
        <v>520</v>
      </c>
      <c r="B10086" s="4" t="s">
        <v>31</v>
      </c>
      <c r="C10086" s="4" t="n">
        <v>3</v>
      </c>
      <c r="D10086" s="4" t="s">
        <v>73</v>
      </c>
      <c r="E10086" s="3" t="s">
        <v>218</v>
      </c>
      <c r="F10086" s="4" t="str">
        <f aca="false">IF(I10086&gt;J10086,"Y","N")</f>
        <v>N</v>
      </c>
      <c r="G10086" s="3" t="s">
        <v>15</v>
      </c>
      <c r="H10086" s="3" t="s">
        <v>26</v>
      </c>
      <c r="I10086" s="4" t="n">
        <v>4</v>
      </c>
      <c r="J10086" s="4" t="n">
        <f aca="false">LEN(E10086)-LEN(SUBSTITUTE(E10086,",",""))+1</f>
        <v>4</v>
      </c>
      <c r="K10086" s="3" t="str">
        <f aca="false">IFERROR(INDEX('Teacher Lookup'!$B$2:$B$200,MATCH(A10086,'Teacher Lookup'!$A$2:$A$200,0)),"")</f>
        <v>CHAN Wing</v>
      </c>
    </row>
    <row r="10087" customFormat="false" ht="15" hidden="false" customHeight="false" outlineLevel="0" collapsed="false">
      <c r="A10087" s="3" t="s">
        <v>520</v>
      </c>
      <c r="B10087" s="4" t="s">
        <v>31</v>
      </c>
      <c r="C10087" s="4" t="n">
        <v>3</v>
      </c>
      <c r="D10087" s="4" t="s">
        <v>74</v>
      </c>
      <c r="E10087" s="3" t="s">
        <v>218</v>
      </c>
      <c r="F10087" s="4" t="str">
        <f aca="false">IF(I10087&gt;J10087,"Y","N")</f>
        <v>N</v>
      </c>
      <c r="G10087" s="3" t="s">
        <v>15</v>
      </c>
      <c r="H10087" s="3" t="s">
        <v>26</v>
      </c>
      <c r="I10087" s="4" t="n">
        <v>4</v>
      </c>
      <c r="J10087" s="4" t="n">
        <f aca="false">LEN(E10087)-LEN(SUBSTITUTE(E10087,",",""))+1</f>
        <v>4</v>
      </c>
      <c r="K10087" s="3" t="str">
        <f aca="false">IFERROR(INDEX('Teacher Lookup'!$B$2:$B$200,MATCH(A10087,'Teacher Lookup'!$A$2:$A$200,0)),"")</f>
        <v>CHAN Wing</v>
      </c>
    </row>
    <row r="10088" customFormat="false" ht="15" hidden="false" customHeight="false" outlineLevel="0" collapsed="false">
      <c r="A10088" s="3" t="s">
        <v>520</v>
      </c>
      <c r="B10088" s="4" t="s">
        <v>31</v>
      </c>
      <c r="C10088" s="4" t="n">
        <v>5</v>
      </c>
      <c r="D10088" s="4" t="s">
        <v>70</v>
      </c>
      <c r="E10088" s="3" t="s">
        <v>81</v>
      </c>
      <c r="F10088" s="4" t="str">
        <f aca="false">IF(I10088&gt;J10088,"Y","N")</f>
        <v>Y</v>
      </c>
      <c r="G10088" s="3" t="s">
        <v>36</v>
      </c>
      <c r="H10088" s="3" t="s">
        <v>37</v>
      </c>
      <c r="I10088" s="4" t="n">
        <v>15</v>
      </c>
      <c r="J10088" s="4" t="n">
        <f aca="false">LEN(E10088)-LEN(SUBSTITUTE(E10088,",",""))+1</f>
        <v>7</v>
      </c>
      <c r="K10088" s="3" t="str">
        <f aca="false">IFERROR(INDEX('Teacher Lookup'!$B$2:$B$200,MATCH(A10088,'Teacher Lookup'!$A$2:$A$200,0)),"")</f>
        <v>CHAN Wing</v>
      </c>
    </row>
    <row r="10089" customFormat="false" ht="15" hidden="false" customHeight="false" outlineLevel="0" collapsed="false">
      <c r="A10089" s="3" t="s">
        <v>520</v>
      </c>
      <c r="B10089" s="4" t="s">
        <v>31</v>
      </c>
      <c r="C10089" s="4" t="n">
        <v>5</v>
      </c>
      <c r="D10089" s="4" t="s">
        <v>73</v>
      </c>
      <c r="E10089" s="3" t="s">
        <v>81</v>
      </c>
      <c r="F10089" s="4" t="str">
        <f aca="false">IF(I10089&gt;J10089,"Y","N")</f>
        <v>Y</v>
      </c>
      <c r="G10089" s="3" t="s">
        <v>36</v>
      </c>
      <c r="H10089" s="3" t="s">
        <v>37</v>
      </c>
      <c r="I10089" s="4" t="n">
        <v>15</v>
      </c>
      <c r="J10089" s="4" t="n">
        <f aca="false">LEN(E10089)-LEN(SUBSTITUTE(E10089,",",""))+1</f>
        <v>7</v>
      </c>
      <c r="K10089" s="3" t="str">
        <f aca="false">IFERROR(INDEX('Teacher Lookup'!$B$2:$B$200,MATCH(A10089,'Teacher Lookup'!$A$2:$A$200,0)),"")</f>
        <v>CHAN Wing</v>
      </c>
    </row>
    <row r="10090" customFormat="false" ht="15" hidden="false" customHeight="false" outlineLevel="0" collapsed="false">
      <c r="A10090" s="3" t="s">
        <v>520</v>
      </c>
      <c r="B10090" s="4" t="s">
        <v>31</v>
      </c>
      <c r="C10090" s="4" t="n">
        <v>5</v>
      </c>
      <c r="D10090" s="4" t="s">
        <v>74</v>
      </c>
      <c r="E10090" s="3" t="s">
        <v>81</v>
      </c>
      <c r="F10090" s="4" t="str">
        <f aca="false">IF(I10090&gt;J10090,"Y","N")</f>
        <v>Y</v>
      </c>
      <c r="G10090" s="3" t="s">
        <v>36</v>
      </c>
      <c r="H10090" s="3" t="s">
        <v>37</v>
      </c>
      <c r="I10090" s="4" t="n">
        <v>15</v>
      </c>
      <c r="J10090" s="4" t="n">
        <f aca="false">LEN(E10090)-LEN(SUBSTITUTE(E10090,",",""))+1</f>
        <v>7</v>
      </c>
      <c r="K10090" s="3" t="str">
        <f aca="false">IFERROR(INDEX('Teacher Lookup'!$B$2:$B$200,MATCH(A10090,'Teacher Lookup'!$A$2:$A$200,0)),"")</f>
        <v>CHAN Wing</v>
      </c>
    </row>
    <row r="10091" customFormat="false" ht="15" hidden="false" customHeight="false" outlineLevel="0" collapsed="false">
      <c r="A10091" s="3" t="s">
        <v>520</v>
      </c>
      <c r="B10091" s="4" t="s">
        <v>31</v>
      </c>
      <c r="C10091" s="4" t="n">
        <v>5</v>
      </c>
      <c r="D10091" s="4" t="s">
        <v>76</v>
      </c>
      <c r="E10091" s="3" t="s">
        <v>81</v>
      </c>
      <c r="F10091" s="4" t="str">
        <f aca="false">IF(I10091&gt;J10091,"Y","N")</f>
        <v>Y</v>
      </c>
      <c r="G10091" s="3" t="s">
        <v>36</v>
      </c>
      <c r="H10091" s="3" t="s">
        <v>37</v>
      </c>
      <c r="I10091" s="4" t="n">
        <v>15</v>
      </c>
      <c r="J10091" s="4" t="n">
        <f aca="false">LEN(E10091)-LEN(SUBSTITUTE(E10091,",",""))+1</f>
        <v>7</v>
      </c>
      <c r="K10091" s="3" t="str">
        <f aca="false">IFERROR(INDEX('Teacher Lookup'!$B$2:$B$200,MATCH(A10091,'Teacher Lookup'!$A$2:$A$200,0)),"")</f>
        <v>CHAN Wing</v>
      </c>
    </row>
    <row r="10092" customFormat="false" ht="15" hidden="false" customHeight="false" outlineLevel="0" collapsed="false">
      <c r="A10092" s="3" t="s">
        <v>520</v>
      </c>
      <c r="B10092" s="4" t="s">
        <v>31</v>
      </c>
      <c r="C10092" s="4" t="n">
        <v>5</v>
      </c>
      <c r="D10092" s="4" t="s">
        <v>78</v>
      </c>
      <c r="E10092" s="3" t="s">
        <v>81</v>
      </c>
      <c r="F10092" s="4" t="str">
        <f aca="false">IF(I10092&gt;J10092,"Y","N")</f>
        <v>Y</v>
      </c>
      <c r="G10092" s="3" t="s">
        <v>36</v>
      </c>
      <c r="H10092" s="3" t="s">
        <v>37</v>
      </c>
      <c r="I10092" s="4" t="n">
        <v>15</v>
      </c>
      <c r="J10092" s="4" t="n">
        <f aca="false">LEN(E10092)-LEN(SUBSTITUTE(E10092,",",""))+1</f>
        <v>7</v>
      </c>
      <c r="K10092" s="3" t="str">
        <f aca="false">IFERROR(INDEX('Teacher Lookup'!$B$2:$B$200,MATCH(A10092,'Teacher Lookup'!$A$2:$A$200,0)),"")</f>
        <v>CHAN Wing</v>
      </c>
    </row>
    <row r="10093" customFormat="false" ht="15" hidden="false" customHeight="false" outlineLevel="0" collapsed="false">
      <c r="A10093" s="3" t="s">
        <v>520</v>
      </c>
      <c r="B10093" s="4" t="s">
        <v>31</v>
      </c>
      <c r="C10093" s="4" t="n">
        <v>5</v>
      </c>
      <c r="D10093" s="4" t="s">
        <v>79</v>
      </c>
      <c r="E10093" s="3" t="s">
        <v>81</v>
      </c>
      <c r="F10093" s="4" t="str">
        <f aca="false">IF(I10093&gt;J10093,"Y","N")</f>
        <v>Y</v>
      </c>
      <c r="G10093" s="3" t="s">
        <v>36</v>
      </c>
      <c r="H10093" s="3" t="s">
        <v>37</v>
      </c>
      <c r="I10093" s="4" t="n">
        <v>15</v>
      </c>
      <c r="J10093" s="4" t="n">
        <f aca="false">LEN(E10093)-LEN(SUBSTITUTE(E10093,",",""))+1</f>
        <v>7</v>
      </c>
      <c r="K10093" s="3" t="str">
        <f aca="false">IFERROR(INDEX('Teacher Lookup'!$B$2:$B$200,MATCH(A10093,'Teacher Lookup'!$A$2:$A$200,0)),"")</f>
        <v>CHAN Wing</v>
      </c>
    </row>
    <row r="10094" customFormat="false" ht="15" hidden="false" customHeight="false" outlineLevel="0" collapsed="false">
      <c r="A10094" s="3" t="s">
        <v>520</v>
      </c>
      <c r="B10094" s="4" t="s">
        <v>31</v>
      </c>
      <c r="C10094" s="4" t="n">
        <v>6</v>
      </c>
      <c r="D10094" s="4" t="s">
        <v>132</v>
      </c>
      <c r="E10094" s="3" t="s">
        <v>293</v>
      </c>
      <c r="F10094" s="4" t="str">
        <f aca="false">IF(I10094&gt;J10094,"Y","N")</f>
        <v>N</v>
      </c>
      <c r="G10094" s="3" t="s">
        <v>15</v>
      </c>
      <c r="H10094" s="3" t="s">
        <v>42</v>
      </c>
      <c r="I10094" s="4" t="n">
        <v>1</v>
      </c>
      <c r="J10094" s="4" t="n">
        <f aca="false">LEN(E10094)-LEN(SUBSTITUTE(E10094,",",""))+1</f>
        <v>1</v>
      </c>
      <c r="K10094" s="3" t="str">
        <f aca="false">IFERROR(INDEX('Teacher Lookup'!$B$2:$B$200,MATCH(A10094,'Teacher Lookup'!$A$2:$A$200,0)),"")</f>
        <v>CHAN Wing</v>
      </c>
    </row>
    <row r="10095" customFormat="false" ht="15" hidden="false" customHeight="false" outlineLevel="0" collapsed="false">
      <c r="A10095" s="3" t="s">
        <v>520</v>
      </c>
      <c r="B10095" s="4" t="s">
        <v>31</v>
      </c>
      <c r="C10095" s="4" t="n">
        <v>7</v>
      </c>
      <c r="D10095" s="4" t="s">
        <v>132</v>
      </c>
      <c r="E10095" s="3" t="s">
        <v>293</v>
      </c>
      <c r="F10095" s="4" t="str">
        <f aca="false">IF(I10095&gt;J10095,"Y","N")</f>
        <v>N</v>
      </c>
      <c r="G10095" s="3" t="s">
        <v>15</v>
      </c>
      <c r="H10095" s="3" t="s">
        <v>39</v>
      </c>
      <c r="I10095" s="4" t="n">
        <v>1</v>
      </c>
      <c r="J10095" s="4" t="n">
        <f aca="false">LEN(E10095)-LEN(SUBSTITUTE(E10095,",",""))+1</f>
        <v>1</v>
      </c>
      <c r="K10095" s="3" t="str">
        <f aca="false">IFERROR(INDEX('Teacher Lookup'!$B$2:$B$200,MATCH(A10095,'Teacher Lookup'!$A$2:$A$200,0)),"")</f>
        <v>CHAN Wing</v>
      </c>
    </row>
    <row r="10096" customFormat="false" ht="15" hidden="false" customHeight="false" outlineLevel="0" collapsed="false">
      <c r="A10096" s="3" t="s">
        <v>520</v>
      </c>
      <c r="B10096" s="4" t="s">
        <v>40</v>
      </c>
      <c r="C10096" s="4" t="n">
        <v>4</v>
      </c>
      <c r="D10096" s="4" t="s">
        <v>102</v>
      </c>
      <c r="E10096" s="3" t="s">
        <v>230</v>
      </c>
      <c r="F10096" s="4" t="str">
        <f aca="false">IF(I10096&gt;J10096,"Y","N")</f>
        <v>N</v>
      </c>
      <c r="G10096" s="3" t="s">
        <v>15</v>
      </c>
      <c r="H10096" s="3" t="s">
        <v>34</v>
      </c>
      <c r="I10096" s="4" t="n">
        <v>5</v>
      </c>
      <c r="J10096" s="4" t="n">
        <f aca="false">LEN(E10096)-LEN(SUBSTITUTE(E10096,",",""))+1</f>
        <v>5</v>
      </c>
      <c r="K10096" s="3" t="str">
        <f aca="false">IFERROR(INDEX('Teacher Lookup'!$B$2:$B$200,MATCH(A10096,'Teacher Lookup'!$A$2:$A$200,0)),"")</f>
        <v>CHAN Wing</v>
      </c>
    </row>
    <row r="10097" customFormat="false" ht="15" hidden="false" customHeight="false" outlineLevel="0" collapsed="false">
      <c r="A10097" s="3" t="s">
        <v>520</v>
      </c>
      <c r="B10097" s="4" t="s">
        <v>40</v>
      </c>
      <c r="C10097" s="4" t="n">
        <v>4</v>
      </c>
      <c r="D10097" s="4" t="s">
        <v>105</v>
      </c>
      <c r="E10097" s="3" t="s">
        <v>230</v>
      </c>
      <c r="F10097" s="4" t="str">
        <f aca="false">IF(I10097&gt;J10097,"Y","N")</f>
        <v>N</v>
      </c>
      <c r="G10097" s="3" t="s">
        <v>15</v>
      </c>
      <c r="H10097" s="3" t="s">
        <v>34</v>
      </c>
      <c r="I10097" s="4" t="n">
        <v>5</v>
      </c>
      <c r="J10097" s="4" t="n">
        <f aca="false">LEN(E10097)-LEN(SUBSTITUTE(E10097,",",""))+1</f>
        <v>5</v>
      </c>
      <c r="K10097" s="3" t="str">
        <f aca="false">IFERROR(INDEX('Teacher Lookup'!$B$2:$B$200,MATCH(A10097,'Teacher Lookup'!$A$2:$A$200,0)),"")</f>
        <v>CHAN Wing</v>
      </c>
    </row>
    <row r="10098" customFormat="false" ht="15" hidden="false" customHeight="false" outlineLevel="0" collapsed="false">
      <c r="A10098" s="3" t="s">
        <v>520</v>
      </c>
      <c r="B10098" s="4" t="s">
        <v>40</v>
      </c>
      <c r="C10098" s="4" t="n">
        <v>4</v>
      </c>
      <c r="D10098" s="4" t="s">
        <v>106</v>
      </c>
      <c r="E10098" s="3" t="s">
        <v>230</v>
      </c>
      <c r="F10098" s="4" t="str">
        <f aca="false">IF(I10098&gt;J10098,"Y","N")</f>
        <v>N</v>
      </c>
      <c r="G10098" s="3" t="s">
        <v>15</v>
      </c>
      <c r="H10098" s="3" t="s">
        <v>34</v>
      </c>
      <c r="I10098" s="4" t="n">
        <v>5</v>
      </c>
      <c r="J10098" s="4" t="n">
        <f aca="false">LEN(E10098)-LEN(SUBSTITUTE(E10098,",",""))+1</f>
        <v>5</v>
      </c>
      <c r="K10098" s="3" t="str">
        <f aca="false">IFERROR(INDEX('Teacher Lookup'!$B$2:$B$200,MATCH(A10098,'Teacher Lookup'!$A$2:$A$200,0)),"")</f>
        <v>CHAN Wing</v>
      </c>
    </row>
    <row r="10099" customFormat="false" ht="15" hidden="false" customHeight="false" outlineLevel="0" collapsed="false">
      <c r="A10099" s="3" t="s">
        <v>520</v>
      </c>
      <c r="B10099" s="4" t="s">
        <v>40</v>
      </c>
      <c r="C10099" s="4" t="n">
        <v>4</v>
      </c>
      <c r="D10099" s="4" t="s">
        <v>107</v>
      </c>
      <c r="E10099" s="3" t="s">
        <v>230</v>
      </c>
      <c r="F10099" s="4" t="str">
        <f aca="false">IF(I10099&gt;J10099,"Y","N")</f>
        <v>N</v>
      </c>
      <c r="G10099" s="3" t="s">
        <v>15</v>
      </c>
      <c r="H10099" s="3" t="s">
        <v>34</v>
      </c>
      <c r="I10099" s="4" t="n">
        <v>5</v>
      </c>
      <c r="J10099" s="4" t="n">
        <f aca="false">LEN(E10099)-LEN(SUBSTITUTE(E10099,",",""))+1</f>
        <v>5</v>
      </c>
      <c r="K10099" s="3" t="str">
        <f aca="false">IFERROR(INDEX('Teacher Lookup'!$B$2:$B$200,MATCH(A10099,'Teacher Lookup'!$A$2:$A$200,0)),"")</f>
        <v>CHAN Wing</v>
      </c>
    </row>
    <row r="10100" customFormat="false" ht="15" hidden="false" customHeight="false" outlineLevel="0" collapsed="false">
      <c r="A10100" s="3" t="s">
        <v>520</v>
      </c>
      <c r="B10100" s="4" t="s">
        <v>40</v>
      </c>
      <c r="C10100" s="4" t="n">
        <v>6</v>
      </c>
      <c r="D10100" s="4" t="s">
        <v>132</v>
      </c>
      <c r="E10100" s="3" t="s">
        <v>293</v>
      </c>
      <c r="F10100" s="4" t="str">
        <f aca="false">IF(I10100&gt;J10100,"Y","N")</f>
        <v>N</v>
      </c>
      <c r="G10100" s="3" t="s">
        <v>15</v>
      </c>
      <c r="H10100" s="3" t="s">
        <v>42</v>
      </c>
      <c r="I10100" s="4" t="n">
        <v>1</v>
      </c>
      <c r="J10100" s="4" t="n">
        <f aca="false">LEN(E10100)-LEN(SUBSTITUTE(E10100,",",""))+1</f>
        <v>1</v>
      </c>
      <c r="K10100" s="3" t="str">
        <f aca="false">IFERROR(INDEX('Teacher Lookup'!$B$2:$B$200,MATCH(A10100,'Teacher Lookup'!$A$2:$A$200,0)),"")</f>
        <v>CHAN Wing</v>
      </c>
    </row>
    <row r="10101" customFormat="false" ht="15" hidden="false" customHeight="false" outlineLevel="0" collapsed="false">
      <c r="A10101" s="3" t="s">
        <v>520</v>
      </c>
      <c r="B10101" s="4" t="s">
        <v>40</v>
      </c>
      <c r="C10101" s="4" t="n">
        <v>7</v>
      </c>
      <c r="D10101" s="4" t="s">
        <v>70</v>
      </c>
      <c r="E10101" s="3" t="s">
        <v>83</v>
      </c>
      <c r="F10101" s="4" t="str">
        <f aca="false">IF(I10101&gt;J10101,"Y","N")</f>
        <v>N</v>
      </c>
      <c r="G10101" s="3" t="s">
        <v>15</v>
      </c>
      <c r="H10101" s="3" t="s">
        <v>39</v>
      </c>
      <c r="I10101" s="4" t="n">
        <v>4</v>
      </c>
      <c r="J10101" s="4" t="n">
        <f aca="false">LEN(E10101)-LEN(SUBSTITUTE(E10101,",",""))+1</f>
        <v>4</v>
      </c>
      <c r="K10101" s="3" t="str">
        <f aca="false">IFERROR(INDEX('Teacher Lookup'!$B$2:$B$200,MATCH(A10101,'Teacher Lookup'!$A$2:$A$200,0)),"")</f>
        <v>CHAN Wing</v>
      </c>
    </row>
    <row r="10102" customFormat="false" ht="15" hidden="false" customHeight="false" outlineLevel="0" collapsed="false">
      <c r="A10102" s="3" t="s">
        <v>520</v>
      </c>
      <c r="B10102" s="4" t="s">
        <v>40</v>
      </c>
      <c r="C10102" s="4" t="n">
        <v>7</v>
      </c>
      <c r="D10102" s="4" t="s">
        <v>73</v>
      </c>
      <c r="E10102" s="3" t="s">
        <v>83</v>
      </c>
      <c r="F10102" s="4" t="str">
        <f aca="false">IF(I10102&gt;J10102,"Y","N")</f>
        <v>N</v>
      </c>
      <c r="G10102" s="3" t="s">
        <v>15</v>
      </c>
      <c r="H10102" s="3" t="s">
        <v>39</v>
      </c>
      <c r="I10102" s="4" t="n">
        <v>4</v>
      </c>
      <c r="J10102" s="4" t="n">
        <f aca="false">LEN(E10102)-LEN(SUBSTITUTE(E10102,",",""))+1</f>
        <v>4</v>
      </c>
      <c r="K10102" s="3" t="str">
        <f aca="false">IFERROR(INDEX('Teacher Lookup'!$B$2:$B$200,MATCH(A10102,'Teacher Lookup'!$A$2:$A$200,0)),"")</f>
        <v>CHAN Wing</v>
      </c>
    </row>
    <row r="10103" customFormat="false" ht="15" hidden="false" customHeight="false" outlineLevel="0" collapsed="false">
      <c r="A10103" s="3" t="s">
        <v>520</v>
      </c>
      <c r="B10103" s="4" t="s">
        <v>40</v>
      </c>
      <c r="C10103" s="4" t="n">
        <v>7</v>
      </c>
      <c r="D10103" s="4" t="s">
        <v>74</v>
      </c>
      <c r="E10103" s="3" t="s">
        <v>83</v>
      </c>
      <c r="F10103" s="4" t="str">
        <f aca="false">IF(I10103&gt;J10103,"Y","N")</f>
        <v>N</v>
      </c>
      <c r="G10103" s="3" t="s">
        <v>15</v>
      </c>
      <c r="H10103" s="3" t="s">
        <v>39</v>
      </c>
      <c r="I10103" s="4" t="n">
        <v>4</v>
      </c>
      <c r="J10103" s="4" t="n">
        <f aca="false">LEN(E10103)-LEN(SUBSTITUTE(E10103,",",""))+1</f>
        <v>4</v>
      </c>
      <c r="K10103" s="3" t="str">
        <f aca="false">IFERROR(INDEX('Teacher Lookup'!$B$2:$B$200,MATCH(A10103,'Teacher Lookup'!$A$2:$A$200,0)),"")</f>
        <v>CHAN Wing</v>
      </c>
    </row>
    <row r="10104" customFormat="false" ht="15" hidden="false" customHeight="false" outlineLevel="0" collapsed="false">
      <c r="A10104" s="3" t="s">
        <v>520</v>
      </c>
      <c r="B10104" s="4" t="s">
        <v>44</v>
      </c>
      <c r="C10104" s="4" t="n">
        <v>3</v>
      </c>
      <c r="D10104" s="4" t="s">
        <v>102</v>
      </c>
      <c r="E10104" s="3" t="s">
        <v>227</v>
      </c>
      <c r="F10104" s="4" t="str">
        <f aca="false">IF(I10104&gt;J10104,"Y","N")</f>
        <v>N</v>
      </c>
      <c r="G10104" s="3" t="s">
        <v>15</v>
      </c>
      <c r="H10104" s="3" t="s">
        <v>26</v>
      </c>
      <c r="I10104" s="4" t="n">
        <v>5</v>
      </c>
      <c r="J10104" s="4" t="n">
        <f aca="false">LEN(E10104)-LEN(SUBSTITUTE(E10104,",",""))+1</f>
        <v>5</v>
      </c>
      <c r="K10104" s="3" t="str">
        <f aca="false">IFERROR(INDEX('Teacher Lookup'!$B$2:$B$200,MATCH(A10104,'Teacher Lookup'!$A$2:$A$200,0)),"")</f>
        <v>CHAN Wing</v>
      </c>
    </row>
    <row r="10105" customFormat="false" ht="15" hidden="false" customHeight="false" outlineLevel="0" collapsed="false">
      <c r="A10105" s="3" t="s">
        <v>520</v>
      </c>
      <c r="B10105" s="4" t="s">
        <v>44</v>
      </c>
      <c r="C10105" s="4" t="n">
        <v>3</v>
      </c>
      <c r="D10105" s="4" t="s">
        <v>105</v>
      </c>
      <c r="E10105" s="3" t="s">
        <v>227</v>
      </c>
      <c r="F10105" s="4" t="str">
        <f aca="false">IF(I10105&gt;J10105,"Y","N")</f>
        <v>N</v>
      </c>
      <c r="G10105" s="3" t="s">
        <v>15</v>
      </c>
      <c r="H10105" s="3" t="s">
        <v>26</v>
      </c>
      <c r="I10105" s="4" t="n">
        <v>5</v>
      </c>
      <c r="J10105" s="4" t="n">
        <f aca="false">LEN(E10105)-LEN(SUBSTITUTE(E10105,",",""))+1</f>
        <v>5</v>
      </c>
      <c r="K10105" s="3" t="str">
        <f aca="false">IFERROR(INDEX('Teacher Lookup'!$B$2:$B$200,MATCH(A10105,'Teacher Lookup'!$A$2:$A$200,0)),"")</f>
        <v>CHAN Wing</v>
      </c>
    </row>
    <row r="10106" customFormat="false" ht="15" hidden="false" customHeight="false" outlineLevel="0" collapsed="false">
      <c r="A10106" s="3" t="s">
        <v>520</v>
      </c>
      <c r="B10106" s="4" t="s">
        <v>44</v>
      </c>
      <c r="C10106" s="4" t="n">
        <v>3</v>
      </c>
      <c r="D10106" s="4" t="s">
        <v>106</v>
      </c>
      <c r="E10106" s="3" t="s">
        <v>227</v>
      </c>
      <c r="F10106" s="4" t="str">
        <f aca="false">IF(I10106&gt;J10106,"Y","N")</f>
        <v>N</v>
      </c>
      <c r="G10106" s="3" t="s">
        <v>15</v>
      </c>
      <c r="H10106" s="3" t="s">
        <v>26</v>
      </c>
      <c r="I10106" s="4" t="n">
        <v>5</v>
      </c>
      <c r="J10106" s="4" t="n">
        <f aca="false">LEN(E10106)-LEN(SUBSTITUTE(E10106,",",""))+1</f>
        <v>5</v>
      </c>
      <c r="K10106" s="3" t="str">
        <f aca="false">IFERROR(INDEX('Teacher Lookup'!$B$2:$B$200,MATCH(A10106,'Teacher Lookup'!$A$2:$A$200,0)),"")</f>
        <v>CHAN Wing</v>
      </c>
    </row>
    <row r="10107" customFormat="false" ht="15" hidden="false" customHeight="false" outlineLevel="0" collapsed="false">
      <c r="A10107" s="3" t="s">
        <v>520</v>
      </c>
      <c r="B10107" s="4" t="s">
        <v>44</v>
      </c>
      <c r="C10107" s="4" t="n">
        <v>3</v>
      </c>
      <c r="D10107" s="4" t="s">
        <v>107</v>
      </c>
      <c r="E10107" s="3" t="s">
        <v>227</v>
      </c>
      <c r="F10107" s="4" t="str">
        <f aca="false">IF(I10107&gt;J10107,"Y","N")</f>
        <v>N</v>
      </c>
      <c r="G10107" s="3" t="s">
        <v>15</v>
      </c>
      <c r="H10107" s="3" t="s">
        <v>26</v>
      </c>
      <c r="I10107" s="4" t="n">
        <v>5</v>
      </c>
      <c r="J10107" s="4" t="n">
        <f aca="false">LEN(E10107)-LEN(SUBSTITUTE(E10107,",",""))+1</f>
        <v>5</v>
      </c>
      <c r="K10107" s="3" t="str">
        <f aca="false">IFERROR(INDEX('Teacher Lookup'!$B$2:$B$200,MATCH(A10107,'Teacher Lookup'!$A$2:$A$200,0)),"")</f>
        <v>CHAN Wing</v>
      </c>
    </row>
    <row r="10108" customFormat="false" ht="15" hidden="false" customHeight="false" outlineLevel="0" collapsed="false">
      <c r="A10108" s="3" t="s">
        <v>520</v>
      </c>
      <c r="B10108" s="4" t="s">
        <v>44</v>
      </c>
      <c r="C10108" s="4" t="n">
        <v>5</v>
      </c>
      <c r="D10108" s="4" t="s">
        <v>70</v>
      </c>
      <c r="E10108" s="3" t="s">
        <v>81</v>
      </c>
      <c r="F10108" s="4" t="str">
        <f aca="false">IF(I10108&gt;J10108,"Y","N")</f>
        <v>Y</v>
      </c>
      <c r="G10108" s="3" t="s">
        <v>36</v>
      </c>
      <c r="H10108" s="3" t="s">
        <v>37</v>
      </c>
      <c r="I10108" s="4" t="n">
        <v>15</v>
      </c>
      <c r="J10108" s="4" t="n">
        <f aca="false">LEN(E10108)-LEN(SUBSTITUTE(E10108,",",""))+1</f>
        <v>7</v>
      </c>
      <c r="K10108" s="3" t="str">
        <f aca="false">IFERROR(INDEX('Teacher Lookup'!$B$2:$B$200,MATCH(A10108,'Teacher Lookup'!$A$2:$A$200,0)),"")</f>
        <v>CHAN Wing</v>
      </c>
    </row>
    <row r="10109" customFormat="false" ht="15" hidden="false" customHeight="false" outlineLevel="0" collapsed="false">
      <c r="A10109" s="3" t="s">
        <v>520</v>
      </c>
      <c r="B10109" s="4" t="s">
        <v>44</v>
      </c>
      <c r="C10109" s="4" t="n">
        <v>5</v>
      </c>
      <c r="D10109" s="4" t="s">
        <v>73</v>
      </c>
      <c r="E10109" s="3" t="s">
        <v>81</v>
      </c>
      <c r="F10109" s="4" t="str">
        <f aca="false">IF(I10109&gt;J10109,"Y","N")</f>
        <v>Y</v>
      </c>
      <c r="G10109" s="3" t="s">
        <v>36</v>
      </c>
      <c r="H10109" s="3" t="s">
        <v>37</v>
      </c>
      <c r="I10109" s="4" t="n">
        <v>15</v>
      </c>
      <c r="J10109" s="4" t="n">
        <f aca="false">LEN(E10109)-LEN(SUBSTITUTE(E10109,",",""))+1</f>
        <v>7</v>
      </c>
      <c r="K10109" s="3" t="str">
        <f aca="false">IFERROR(INDEX('Teacher Lookup'!$B$2:$B$200,MATCH(A10109,'Teacher Lookup'!$A$2:$A$200,0)),"")</f>
        <v>CHAN Wing</v>
      </c>
    </row>
    <row r="10110" customFormat="false" ht="15" hidden="false" customHeight="false" outlineLevel="0" collapsed="false">
      <c r="A10110" s="3" t="s">
        <v>520</v>
      </c>
      <c r="B10110" s="4" t="s">
        <v>44</v>
      </c>
      <c r="C10110" s="4" t="n">
        <v>5</v>
      </c>
      <c r="D10110" s="4" t="s">
        <v>74</v>
      </c>
      <c r="E10110" s="3" t="s">
        <v>81</v>
      </c>
      <c r="F10110" s="4" t="str">
        <f aca="false">IF(I10110&gt;J10110,"Y","N")</f>
        <v>Y</v>
      </c>
      <c r="G10110" s="3" t="s">
        <v>36</v>
      </c>
      <c r="H10110" s="3" t="s">
        <v>37</v>
      </c>
      <c r="I10110" s="4" t="n">
        <v>15</v>
      </c>
      <c r="J10110" s="4" t="n">
        <f aca="false">LEN(E10110)-LEN(SUBSTITUTE(E10110,",",""))+1</f>
        <v>7</v>
      </c>
      <c r="K10110" s="3" t="str">
        <f aca="false">IFERROR(INDEX('Teacher Lookup'!$B$2:$B$200,MATCH(A10110,'Teacher Lookup'!$A$2:$A$200,0)),"")</f>
        <v>CHAN Wing</v>
      </c>
    </row>
    <row r="10111" customFormat="false" ht="15" hidden="false" customHeight="false" outlineLevel="0" collapsed="false">
      <c r="A10111" s="3" t="s">
        <v>520</v>
      </c>
      <c r="B10111" s="4" t="s">
        <v>44</v>
      </c>
      <c r="C10111" s="4" t="n">
        <v>5</v>
      </c>
      <c r="D10111" s="4" t="s">
        <v>76</v>
      </c>
      <c r="E10111" s="3" t="s">
        <v>81</v>
      </c>
      <c r="F10111" s="4" t="str">
        <f aca="false">IF(I10111&gt;J10111,"Y","N")</f>
        <v>Y</v>
      </c>
      <c r="G10111" s="3" t="s">
        <v>36</v>
      </c>
      <c r="H10111" s="3" t="s">
        <v>37</v>
      </c>
      <c r="I10111" s="4" t="n">
        <v>15</v>
      </c>
      <c r="J10111" s="4" t="n">
        <f aca="false">LEN(E10111)-LEN(SUBSTITUTE(E10111,",",""))+1</f>
        <v>7</v>
      </c>
      <c r="K10111" s="3" t="str">
        <f aca="false">IFERROR(INDEX('Teacher Lookup'!$B$2:$B$200,MATCH(A10111,'Teacher Lookup'!$A$2:$A$200,0)),"")</f>
        <v>CHAN Wing</v>
      </c>
    </row>
    <row r="10112" customFormat="false" ht="15" hidden="false" customHeight="false" outlineLevel="0" collapsed="false">
      <c r="A10112" s="3" t="s">
        <v>520</v>
      </c>
      <c r="B10112" s="4" t="s">
        <v>44</v>
      </c>
      <c r="C10112" s="4" t="n">
        <v>5</v>
      </c>
      <c r="D10112" s="4" t="s">
        <v>78</v>
      </c>
      <c r="E10112" s="3" t="s">
        <v>81</v>
      </c>
      <c r="F10112" s="4" t="str">
        <f aca="false">IF(I10112&gt;J10112,"Y","N")</f>
        <v>Y</v>
      </c>
      <c r="G10112" s="3" t="s">
        <v>36</v>
      </c>
      <c r="H10112" s="3" t="s">
        <v>37</v>
      </c>
      <c r="I10112" s="4" t="n">
        <v>15</v>
      </c>
      <c r="J10112" s="4" t="n">
        <f aca="false">LEN(E10112)-LEN(SUBSTITUTE(E10112,",",""))+1</f>
        <v>7</v>
      </c>
      <c r="K10112" s="3" t="str">
        <f aca="false">IFERROR(INDEX('Teacher Lookup'!$B$2:$B$200,MATCH(A10112,'Teacher Lookup'!$A$2:$A$200,0)),"")</f>
        <v>CHAN Wing</v>
      </c>
    </row>
    <row r="10113" customFormat="false" ht="15" hidden="false" customHeight="false" outlineLevel="0" collapsed="false">
      <c r="A10113" s="3" t="s">
        <v>520</v>
      </c>
      <c r="B10113" s="4" t="s">
        <v>44</v>
      </c>
      <c r="C10113" s="4" t="n">
        <v>5</v>
      </c>
      <c r="D10113" s="4" t="s">
        <v>79</v>
      </c>
      <c r="E10113" s="3" t="s">
        <v>81</v>
      </c>
      <c r="F10113" s="4" t="str">
        <f aca="false">IF(I10113&gt;J10113,"Y","N")</f>
        <v>Y</v>
      </c>
      <c r="G10113" s="3" t="s">
        <v>36</v>
      </c>
      <c r="H10113" s="3" t="s">
        <v>37</v>
      </c>
      <c r="I10113" s="4" t="n">
        <v>15</v>
      </c>
      <c r="J10113" s="4" t="n">
        <f aca="false">LEN(E10113)-LEN(SUBSTITUTE(E10113,",",""))+1</f>
        <v>7</v>
      </c>
      <c r="K10113" s="3" t="str">
        <f aca="false">IFERROR(INDEX('Teacher Lookup'!$B$2:$B$200,MATCH(A10113,'Teacher Lookup'!$A$2:$A$200,0)),"")</f>
        <v>CHAN Wing</v>
      </c>
    </row>
    <row r="10114" customFormat="false" ht="15" hidden="false" customHeight="false" outlineLevel="0" collapsed="false">
      <c r="A10114" s="3" t="s">
        <v>520</v>
      </c>
      <c r="B10114" s="4" t="s">
        <v>44</v>
      </c>
      <c r="C10114" s="4" t="n">
        <v>6</v>
      </c>
      <c r="D10114" s="4" t="s">
        <v>132</v>
      </c>
      <c r="E10114" s="3" t="s">
        <v>293</v>
      </c>
      <c r="F10114" s="4" t="str">
        <f aca="false">IF(I10114&gt;J10114,"Y","N")</f>
        <v>N</v>
      </c>
      <c r="G10114" s="3" t="s">
        <v>15</v>
      </c>
      <c r="H10114" s="3" t="s">
        <v>42</v>
      </c>
      <c r="I10114" s="4" t="n">
        <v>1</v>
      </c>
      <c r="J10114" s="4" t="n">
        <f aca="false">LEN(E10114)-LEN(SUBSTITUTE(E10114,",",""))+1</f>
        <v>1</v>
      </c>
      <c r="K10114" s="3" t="str">
        <f aca="false">IFERROR(INDEX('Teacher Lookup'!$B$2:$B$200,MATCH(A10114,'Teacher Lookup'!$A$2:$A$200,0)),"")</f>
        <v>CHAN Wing</v>
      </c>
    </row>
    <row r="10115" customFormat="false" ht="15" hidden="false" customHeight="false" outlineLevel="0" collapsed="false">
      <c r="A10115" s="3" t="s">
        <v>520</v>
      </c>
      <c r="B10115" s="4" t="s">
        <v>44</v>
      </c>
      <c r="C10115" s="4" t="n">
        <v>7</v>
      </c>
      <c r="D10115" s="4" t="s">
        <v>70</v>
      </c>
      <c r="E10115" s="3" t="s">
        <v>219</v>
      </c>
      <c r="F10115" s="4" t="str">
        <f aca="false">IF(I10115&gt;J10115,"Y","N")</f>
        <v>N</v>
      </c>
      <c r="G10115" s="3" t="s">
        <v>15</v>
      </c>
      <c r="H10115" s="3" t="s">
        <v>39</v>
      </c>
      <c r="I10115" s="4" t="n">
        <v>4</v>
      </c>
      <c r="J10115" s="4" t="n">
        <f aca="false">LEN(E10115)-LEN(SUBSTITUTE(E10115,",",""))+1</f>
        <v>4</v>
      </c>
      <c r="K10115" s="3" t="str">
        <f aca="false">IFERROR(INDEX('Teacher Lookup'!$B$2:$B$200,MATCH(A10115,'Teacher Lookup'!$A$2:$A$200,0)),"")</f>
        <v>CHAN Wing</v>
      </c>
    </row>
    <row r="10116" customFormat="false" ht="15" hidden="false" customHeight="false" outlineLevel="0" collapsed="false">
      <c r="A10116" s="3" t="s">
        <v>520</v>
      </c>
      <c r="B10116" s="4" t="s">
        <v>44</v>
      </c>
      <c r="C10116" s="4" t="n">
        <v>7</v>
      </c>
      <c r="D10116" s="4" t="s">
        <v>73</v>
      </c>
      <c r="E10116" s="3" t="s">
        <v>219</v>
      </c>
      <c r="F10116" s="4" t="str">
        <f aca="false">IF(I10116&gt;J10116,"Y","N")</f>
        <v>N</v>
      </c>
      <c r="G10116" s="3" t="s">
        <v>15</v>
      </c>
      <c r="H10116" s="3" t="s">
        <v>39</v>
      </c>
      <c r="I10116" s="4" t="n">
        <v>4</v>
      </c>
      <c r="J10116" s="4" t="n">
        <f aca="false">LEN(E10116)-LEN(SUBSTITUTE(E10116,",",""))+1</f>
        <v>4</v>
      </c>
      <c r="K10116" s="3" t="str">
        <f aca="false">IFERROR(INDEX('Teacher Lookup'!$B$2:$B$200,MATCH(A10116,'Teacher Lookup'!$A$2:$A$200,0)),"")</f>
        <v>CHAN Wing</v>
      </c>
    </row>
    <row r="10117" customFormat="false" ht="15" hidden="false" customHeight="false" outlineLevel="0" collapsed="false">
      <c r="A10117" s="3" t="s">
        <v>520</v>
      </c>
      <c r="B10117" s="4" t="s">
        <v>44</v>
      </c>
      <c r="C10117" s="4" t="n">
        <v>7</v>
      </c>
      <c r="D10117" s="4" t="s">
        <v>74</v>
      </c>
      <c r="E10117" s="3" t="s">
        <v>219</v>
      </c>
      <c r="F10117" s="4" t="str">
        <f aca="false">IF(I10117&gt;J10117,"Y","N")</f>
        <v>N</v>
      </c>
      <c r="G10117" s="3" t="s">
        <v>15</v>
      </c>
      <c r="H10117" s="3" t="s">
        <v>39</v>
      </c>
      <c r="I10117" s="4" t="n">
        <v>4</v>
      </c>
      <c r="J10117" s="4" t="n">
        <f aca="false">LEN(E10117)-LEN(SUBSTITUTE(E10117,",",""))+1</f>
        <v>4</v>
      </c>
      <c r="K10117" s="3" t="str">
        <f aca="false">IFERROR(INDEX('Teacher Lookup'!$B$2:$B$200,MATCH(A10117,'Teacher Lookup'!$A$2:$A$200,0)),"")</f>
        <v>CHAN Wing</v>
      </c>
    </row>
    <row r="10118" customFormat="false" ht="15" hidden="false" customHeight="false" outlineLevel="0" collapsed="false">
      <c r="A10118" s="3" t="s">
        <v>520</v>
      </c>
      <c r="B10118" s="4" t="s">
        <v>47</v>
      </c>
      <c r="C10118" s="4" t="n">
        <v>1</v>
      </c>
      <c r="D10118" s="4" t="s">
        <v>132</v>
      </c>
      <c r="E10118" s="3" t="s">
        <v>293</v>
      </c>
      <c r="F10118" s="4" t="str">
        <f aca="false">IF(I10118&gt;J10118,"Y","N")</f>
        <v>N</v>
      </c>
      <c r="G10118" s="3" t="s">
        <v>15</v>
      </c>
      <c r="H10118" s="3" t="s">
        <v>16</v>
      </c>
      <c r="I10118" s="4" t="n">
        <v>1</v>
      </c>
      <c r="J10118" s="4" t="n">
        <f aca="false">LEN(E10118)-LEN(SUBSTITUTE(E10118,",",""))+1</f>
        <v>1</v>
      </c>
      <c r="K10118" s="3" t="str">
        <f aca="false">IFERROR(INDEX('Teacher Lookup'!$B$2:$B$200,MATCH(A10118,'Teacher Lookup'!$A$2:$A$200,0)),"")</f>
        <v>CHAN Wing</v>
      </c>
    </row>
    <row r="10119" customFormat="false" ht="15" hidden="false" customHeight="false" outlineLevel="0" collapsed="false">
      <c r="A10119" s="3" t="s">
        <v>520</v>
      </c>
      <c r="B10119" s="4" t="s">
        <v>47</v>
      </c>
      <c r="C10119" s="4" t="n">
        <v>3</v>
      </c>
      <c r="D10119" s="4" t="s">
        <v>102</v>
      </c>
      <c r="E10119" s="3" t="s">
        <v>231</v>
      </c>
      <c r="F10119" s="4" t="str">
        <f aca="false">IF(I10119&gt;J10119,"Y","N")</f>
        <v>N</v>
      </c>
      <c r="G10119" s="3" t="s">
        <v>15</v>
      </c>
      <c r="H10119" s="3" t="s">
        <v>26</v>
      </c>
      <c r="I10119" s="4" t="n">
        <v>5</v>
      </c>
      <c r="J10119" s="4" t="n">
        <f aca="false">LEN(E10119)-LEN(SUBSTITUTE(E10119,",",""))+1</f>
        <v>5</v>
      </c>
      <c r="K10119" s="3" t="str">
        <f aca="false">IFERROR(INDEX('Teacher Lookup'!$B$2:$B$200,MATCH(A10119,'Teacher Lookup'!$A$2:$A$200,0)),"")</f>
        <v>CHAN Wing</v>
      </c>
    </row>
    <row r="10120" customFormat="false" ht="15" hidden="false" customHeight="false" outlineLevel="0" collapsed="false">
      <c r="A10120" s="3" t="s">
        <v>520</v>
      </c>
      <c r="B10120" s="4" t="s">
        <v>47</v>
      </c>
      <c r="C10120" s="4" t="n">
        <v>3</v>
      </c>
      <c r="D10120" s="4" t="s">
        <v>105</v>
      </c>
      <c r="E10120" s="3" t="s">
        <v>231</v>
      </c>
      <c r="F10120" s="4" t="str">
        <f aca="false">IF(I10120&gt;J10120,"Y","N")</f>
        <v>N</v>
      </c>
      <c r="G10120" s="3" t="s">
        <v>15</v>
      </c>
      <c r="H10120" s="3" t="s">
        <v>26</v>
      </c>
      <c r="I10120" s="4" t="n">
        <v>5</v>
      </c>
      <c r="J10120" s="4" t="n">
        <f aca="false">LEN(E10120)-LEN(SUBSTITUTE(E10120,",",""))+1</f>
        <v>5</v>
      </c>
      <c r="K10120" s="3" t="str">
        <f aca="false">IFERROR(INDEX('Teacher Lookup'!$B$2:$B$200,MATCH(A10120,'Teacher Lookup'!$A$2:$A$200,0)),"")</f>
        <v>CHAN Wing</v>
      </c>
    </row>
    <row r="10121" customFormat="false" ht="15" hidden="false" customHeight="false" outlineLevel="0" collapsed="false">
      <c r="A10121" s="3" t="s">
        <v>520</v>
      </c>
      <c r="B10121" s="4" t="s">
        <v>47</v>
      </c>
      <c r="C10121" s="4" t="n">
        <v>3</v>
      </c>
      <c r="D10121" s="4" t="s">
        <v>106</v>
      </c>
      <c r="E10121" s="3" t="s">
        <v>231</v>
      </c>
      <c r="F10121" s="4" t="str">
        <f aca="false">IF(I10121&gt;J10121,"Y","N")</f>
        <v>N</v>
      </c>
      <c r="G10121" s="3" t="s">
        <v>15</v>
      </c>
      <c r="H10121" s="3" t="s">
        <v>26</v>
      </c>
      <c r="I10121" s="4" t="n">
        <v>5</v>
      </c>
      <c r="J10121" s="4" t="n">
        <f aca="false">LEN(E10121)-LEN(SUBSTITUTE(E10121,",",""))+1</f>
        <v>5</v>
      </c>
      <c r="K10121" s="3" t="str">
        <f aca="false">IFERROR(INDEX('Teacher Lookup'!$B$2:$B$200,MATCH(A10121,'Teacher Lookup'!$A$2:$A$200,0)),"")</f>
        <v>CHAN Wing</v>
      </c>
    </row>
    <row r="10122" customFormat="false" ht="15" hidden="false" customHeight="false" outlineLevel="0" collapsed="false">
      <c r="A10122" s="3" t="s">
        <v>520</v>
      </c>
      <c r="B10122" s="4" t="s">
        <v>47</v>
      </c>
      <c r="C10122" s="4" t="n">
        <v>3</v>
      </c>
      <c r="D10122" s="4" t="s">
        <v>107</v>
      </c>
      <c r="E10122" s="3" t="s">
        <v>231</v>
      </c>
      <c r="F10122" s="4" t="str">
        <f aca="false">IF(I10122&gt;J10122,"Y","N")</f>
        <v>N</v>
      </c>
      <c r="G10122" s="3" t="s">
        <v>15</v>
      </c>
      <c r="H10122" s="3" t="s">
        <v>26</v>
      </c>
      <c r="I10122" s="4" t="n">
        <v>5</v>
      </c>
      <c r="J10122" s="4" t="n">
        <f aca="false">LEN(E10122)-LEN(SUBSTITUTE(E10122,",",""))+1</f>
        <v>5</v>
      </c>
      <c r="K10122" s="3" t="str">
        <f aca="false">IFERROR(INDEX('Teacher Lookup'!$B$2:$B$200,MATCH(A10122,'Teacher Lookup'!$A$2:$A$200,0)),"")</f>
        <v>CHAN Wing</v>
      </c>
    </row>
    <row r="10123" customFormat="false" ht="15" hidden="false" customHeight="false" outlineLevel="0" collapsed="false">
      <c r="A10123" s="3" t="s">
        <v>520</v>
      </c>
      <c r="B10123" s="4" t="s">
        <v>47</v>
      </c>
      <c r="C10123" s="4" t="n">
        <v>4</v>
      </c>
      <c r="D10123" s="4" t="s">
        <v>70</v>
      </c>
      <c r="E10123" s="3" t="s">
        <v>220</v>
      </c>
      <c r="F10123" s="4" t="str">
        <f aca="false">IF(I10123&gt;J10123,"Y","N")</f>
        <v>N</v>
      </c>
      <c r="G10123" s="3" t="s">
        <v>15</v>
      </c>
      <c r="H10123" s="3" t="s">
        <v>34</v>
      </c>
      <c r="I10123" s="4" t="n">
        <v>4</v>
      </c>
      <c r="J10123" s="4" t="n">
        <f aca="false">LEN(E10123)-LEN(SUBSTITUTE(E10123,",",""))+1</f>
        <v>4</v>
      </c>
      <c r="K10123" s="3" t="str">
        <f aca="false">IFERROR(INDEX('Teacher Lookup'!$B$2:$B$200,MATCH(A10123,'Teacher Lookup'!$A$2:$A$200,0)),"")</f>
        <v>CHAN Wing</v>
      </c>
    </row>
    <row r="10124" customFormat="false" ht="15" hidden="false" customHeight="false" outlineLevel="0" collapsed="false">
      <c r="A10124" s="3" t="s">
        <v>520</v>
      </c>
      <c r="B10124" s="4" t="s">
        <v>47</v>
      </c>
      <c r="C10124" s="4" t="n">
        <v>4</v>
      </c>
      <c r="D10124" s="4" t="s">
        <v>73</v>
      </c>
      <c r="E10124" s="3" t="s">
        <v>220</v>
      </c>
      <c r="F10124" s="4" t="str">
        <f aca="false">IF(I10124&gt;J10124,"Y","N")</f>
        <v>N</v>
      </c>
      <c r="G10124" s="3" t="s">
        <v>15</v>
      </c>
      <c r="H10124" s="3" t="s">
        <v>34</v>
      </c>
      <c r="I10124" s="4" t="n">
        <v>4</v>
      </c>
      <c r="J10124" s="4" t="n">
        <f aca="false">LEN(E10124)-LEN(SUBSTITUTE(E10124,",",""))+1</f>
        <v>4</v>
      </c>
      <c r="K10124" s="3" t="str">
        <f aca="false">IFERROR(INDEX('Teacher Lookup'!$B$2:$B$200,MATCH(A10124,'Teacher Lookup'!$A$2:$A$200,0)),"")</f>
        <v>CHAN Wing</v>
      </c>
    </row>
    <row r="10125" customFormat="false" ht="15" hidden="false" customHeight="false" outlineLevel="0" collapsed="false">
      <c r="A10125" s="3" t="s">
        <v>520</v>
      </c>
      <c r="B10125" s="4" t="s">
        <v>47</v>
      </c>
      <c r="C10125" s="4" t="n">
        <v>4</v>
      </c>
      <c r="D10125" s="4" t="s">
        <v>74</v>
      </c>
      <c r="E10125" s="3" t="s">
        <v>220</v>
      </c>
      <c r="F10125" s="4" t="str">
        <f aca="false">IF(I10125&gt;J10125,"Y","N")</f>
        <v>N</v>
      </c>
      <c r="G10125" s="3" t="s">
        <v>15</v>
      </c>
      <c r="H10125" s="3" t="s">
        <v>34</v>
      </c>
      <c r="I10125" s="4" t="n">
        <v>4</v>
      </c>
      <c r="J10125" s="4" t="n">
        <f aca="false">LEN(E10125)-LEN(SUBSTITUTE(E10125,",",""))+1</f>
        <v>4</v>
      </c>
      <c r="K10125" s="3" t="str">
        <f aca="false">IFERROR(INDEX('Teacher Lookup'!$B$2:$B$200,MATCH(A10125,'Teacher Lookup'!$A$2:$A$200,0)),"")</f>
        <v>CHAN Wing</v>
      </c>
    </row>
    <row r="10126" customFormat="false" ht="15" hidden="false" customHeight="false" outlineLevel="0" collapsed="false">
      <c r="A10126" s="3" t="s">
        <v>520</v>
      </c>
      <c r="B10126" s="4" t="s">
        <v>50</v>
      </c>
      <c r="C10126" s="4" t="n">
        <v>1</v>
      </c>
      <c r="D10126" s="4" t="s">
        <v>102</v>
      </c>
      <c r="E10126" s="3" t="s">
        <v>227</v>
      </c>
      <c r="F10126" s="4" t="str">
        <f aca="false">IF(I10126&gt;J10126,"Y","N")</f>
        <v>N</v>
      </c>
      <c r="G10126" s="3" t="s">
        <v>15</v>
      </c>
      <c r="H10126" s="3" t="s">
        <v>16</v>
      </c>
      <c r="I10126" s="4" t="n">
        <v>5</v>
      </c>
      <c r="J10126" s="4" t="n">
        <f aca="false">LEN(E10126)-LEN(SUBSTITUTE(E10126,",",""))+1</f>
        <v>5</v>
      </c>
      <c r="K10126" s="3" t="str">
        <f aca="false">IFERROR(INDEX('Teacher Lookup'!$B$2:$B$200,MATCH(A10126,'Teacher Lookup'!$A$2:$A$200,0)),"")</f>
        <v>CHAN Wing</v>
      </c>
    </row>
    <row r="10127" customFormat="false" ht="15" hidden="false" customHeight="false" outlineLevel="0" collapsed="false">
      <c r="A10127" s="3" t="s">
        <v>520</v>
      </c>
      <c r="B10127" s="4" t="s">
        <v>50</v>
      </c>
      <c r="C10127" s="4" t="n">
        <v>1</v>
      </c>
      <c r="D10127" s="4" t="s">
        <v>105</v>
      </c>
      <c r="E10127" s="3" t="s">
        <v>227</v>
      </c>
      <c r="F10127" s="4" t="str">
        <f aca="false">IF(I10127&gt;J10127,"Y","N")</f>
        <v>N</v>
      </c>
      <c r="G10127" s="3" t="s">
        <v>15</v>
      </c>
      <c r="H10127" s="3" t="s">
        <v>16</v>
      </c>
      <c r="I10127" s="4" t="n">
        <v>5</v>
      </c>
      <c r="J10127" s="4" t="n">
        <f aca="false">LEN(E10127)-LEN(SUBSTITUTE(E10127,",",""))+1</f>
        <v>5</v>
      </c>
      <c r="K10127" s="3" t="str">
        <f aca="false">IFERROR(INDEX('Teacher Lookup'!$B$2:$B$200,MATCH(A10127,'Teacher Lookup'!$A$2:$A$200,0)),"")</f>
        <v>CHAN Wing</v>
      </c>
    </row>
    <row r="10128" customFormat="false" ht="15" hidden="false" customHeight="false" outlineLevel="0" collapsed="false">
      <c r="A10128" s="3" t="s">
        <v>520</v>
      </c>
      <c r="B10128" s="4" t="s">
        <v>50</v>
      </c>
      <c r="C10128" s="4" t="n">
        <v>1</v>
      </c>
      <c r="D10128" s="4" t="s">
        <v>106</v>
      </c>
      <c r="E10128" s="3" t="s">
        <v>227</v>
      </c>
      <c r="F10128" s="4" t="str">
        <f aca="false">IF(I10128&gt;J10128,"Y","N")</f>
        <v>N</v>
      </c>
      <c r="G10128" s="3" t="s">
        <v>15</v>
      </c>
      <c r="H10128" s="3" t="s">
        <v>16</v>
      </c>
      <c r="I10128" s="4" t="n">
        <v>5</v>
      </c>
      <c r="J10128" s="4" t="n">
        <f aca="false">LEN(E10128)-LEN(SUBSTITUTE(E10128,",",""))+1</f>
        <v>5</v>
      </c>
      <c r="K10128" s="3" t="str">
        <f aca="false">IFERROR(INDEX('Teacher Lookup'!$B$2:$B$200,MATCH(A10128,'Teacher Lookup'!$A$2:$A$200,0)),"")</f>
        <v>CHAN Wing</v>
      </c>
    </row>
    <row r="10129" customFormat="false" ht="15" hidden="false" customHeight="false" outlineLevel="0" collapsed="false">
      <c r="A10129" s="3" t="s">
        <v>520</v>
      </c>
      <c r="B10129" s="4" t="s">
        <v>50</v>
      </c>
      <c r="C10129" s="4" t="n">
        <v>1</v>
      </c>
      <c r="D10129" s="4" t="s">
        <v>107</v>
      </c>
      <c r="E10129" s="3" t="s">
        <v>227</v>
      </c>
      <c r="F10129" s="4" t="str">
        <f aca="false">IF(I10129&gt;J10129,"Y","N")</f>
        <v>N</v>
      </c>
      <c r="G10129" s="3" t="s">
        <v>15</v>
      </c>
      <c r="H10129" s="3" t="s">
        <v>16</v>
      </c>
      <c r="I10129" s="4" t="n">
        <v>5</v>
      </c>
      <c r="J10129" s="4" t="n">
        <f aca="false">LEN(E10129)-LEN(SUBSTITUTE(E10129,",",""))+1</f>
        <v>5</v>
      </c>
      <c r="K10129" s="3" t="str">
        <f aca="false">IFERROR(INDEX('Teacher Lookup'!$B$2:$B$200,MATCH(A10129,'Teacher Lookup'!$A$2:$A$200,0)),"")</f>
        <v>CHAN Wing</v>
      </c>
    </row>
    <row r="10130" customFormat="false" ht="15" hidden="false" customHeight="false" outlineLevel="0" collapsed="false">
      <c r="A10130" s="3" t="s">
        <v>520</v>
      </c>
      <c r="B10130" s="4" t="s">
        <v>50</v>
      </c>
      <c r="C10130" s="4" t="n">
        <v>3</v>
      </c>
      <c r="D10130" s="4" t="s">
        <v>132</v>
      </c>
      <c r="E10130" s="3" t="s">
        <v>293</v>
      </c>
      <c r="F10130" s="4" t="str">
        <f aca="false">IF(I10130&gt;J10130,"Y","N")</f>
        <v>N</v>
      </c>
      <c r="G10130" s="3" t="s">
        <v>15</v>
      </c>
      <c r="H10130" s="3" t="s">
        <v>26</v>
      </c>
      <c r="I10130" s="4" t="n">
        <v>1</v>
      </c>
      <c r="J10130" s="4" t="n">
        <f aca="false">LEN(E10130)-LEN(SUBSTITUTE(E10130,",",""))+1</f>
        <v>1</v>
      </c>
      <c r="K10130" s="3" t="str">
        <f aca="false">IFERROR(INDEX('Teacher Lookup'!$B$2:$B$200,MATCH(A10130,'Teacher Lookup'!$A$2:$A$200,0)),"")</f>
        <v>CHAN Wing</v>
      </c>
    </row>
    <row r="10131" customFormat="false" ht="15" hidden="false" customHeight="false" outlineLevel="0" collapsed="false">
      <c r="A10131" s="3" t="s">
        <v>520</v>
      </c>
      <c r="B10131" s="4" t="s">
        <v>50</v>
      </c>
      <c r="C10131" s="4" t="n">
        <v>7</v>
      </c>
      <c r="D10131" s="4" t="s">
        <v>70</v>
      </c>
      <c r="E10131" s="3" t="s">
        <v>83</v>
      </c>
      <c r="F10131" s="4" t="str">
        <f aca="false">IF(I10131&gt;J10131,"Y","N")</f>
        <v>N</v>
      </c>
      <c r="G10131" s="3" t="s">
        <v>15</v>
      </c>
      <c r="H10131" s="3" t="s">
        <v>39</v>
      </c>
      <c r="I10131" s="4" t="n">
        <v>4</v>
      </c>
      <c r="J10131" s="4" t="n">
        <f aca="false">LEN(E10131)-LEN(SUBSTITUTE(E10131,",",""))+1</f>
        <v>4</v>
      </c>
      <c r="K10131" s="3" t="str">
        <f aca="false">IFERROR(INDEX('Teacher Lookup'!$B$2:$B$200,MATCH(A10131,'Teacher Lookup'!$A$2:$A$200,0)),"")</f>
        <v>CHAN Wing</v>
      </c>
    </row>
    <row r="10132" customFormat="false" ht="15" hidden="false" customHeight="false" outlineLevel="0" collapsed="false">
      <c r="A10132" s="3" t="s">
        <v>520</v>
      </c>
      <c r="B10132" s="4" t="s">
        <v>50</v>
      </c>
      <c r="C10132" s="4" t="n">
        <v>7</v>
      </c>
      <c r="D10132" s="4" t="s">
        <v>73</v>
      </c>
      <c r="E10132" s="3" t="s">
        <v>83</v>
      </c>
      <c r="F10132" s="4" t="str">
        <f aca="false">IF(I10132&gt;J10132,"Y","N")</f>
        <v>N</v>
      </c>
      <c r="G10132" s="3" t="s">
        <v>15</v>
      </c>
      <c r="H10132" s="3" t="s">
        <v>39</v>
      </c>
      <c r="I10132" s="4" t="n">
        <v>4</v>
      </c>
      <c r="J10132" s="4" t="n">
        <f aca="false">LEN(E10132)-LEN(SUBSTITUTE(E10132,",",""))+1</f>
        <v>4</v>
      </c>
      <c r="K10132" s="3" t="str">
        <f aca="false">IFERROR(INDEX('Teacher Lookup'!$B$2:$B$200,MATCH(A10132,'Teacher Lookup'!$A$2:$A$200,0)),"")</f>
        <v>CHAN Wing</v>
      </c>
    </row>
    <row r="10133" customFormat="false" ht="15" hidden="false" customHeight="false" outlineLevel="0" collapsed="false">
      <c r="A10133" s="3" t="s">
        <v>520</v>
      </c>
      <c r="B10133" s="4" t="s">
        <v>50</v>
      </c>
      <c r="C10133" s="4" t="n">
        <v>7</v>
      </c>
      <c r="D10133" s="4" t="s">
        <v>74</v>
      </c>
      <c r="E10133" s="3" t="s">
        <v>83</v>
      </c>
      <c r="F10133" s="4" t="str">
        <f aca="false">IF(I10133&gt;J10133,"Y","N")</f>
        <v>N</v>
      </c>
      <c r="G10133" s="3" t="s">
        <v>15</v>
      </c>
      <c r="H10133" s="3" t="s">
        <v>39</v>
      </c>
      <c r="I10133" s="4" t="n">
        <v>4</v>
      </c>
      <c r="J10133" s="4" t="n">
        <f aca="false">LEN(E10133)-LEN(SUBSTITUTE(E10133,",",""))+1</f>
        <v>4</v>
      </c>
      <c r="K10133" s="3" t="str">
        <f aca="false">IFERROR(INDEX('Teacher Lookup'!$B$2:$B$200,MATCH(A10133,'Teacher Lookup'!$A$2:$A$200,0)),"")</f>
        <v>CHAN Wing</v>
      </c>
    </row>
    <row r="10134" customFormat="false" ht="15" hidden="false" customHeight="false" outlineLevel="0" collapsed="false">
      <c r="A10134" s="3" t="s">
        <v>520</v>
      </c>
      <c r="B10134" s="4" t="s">
        <v>60</v>
      </c>
      <c r="C10134" s="4" t="n">
        <v>1</v>
      </c>
      <c r="D10134" s="4" t="s">
        <v>102</v>
      </c>
      <c r="E10134" s="3" t="s">
        <v>227</v>
      </c>
      <c r="F10134" s="4" t="str">
        <f aca="false">IF(I10134&gt;J10134,"Y","N")</f>
        <v>N</v>
      </c>
      <c r="G10134" s="3" t="s">
        <v>15</v>
      </c>
      <c r="H10134" s="3" t="s">
        <v>16</v>
      </c>
      <c r="I10134" s="4" t="n">
        <v>5</v>
      </c>
      <c r="J10134" s="4" t="n">
        <f aca="false">LEN(E10134)-LEN(SUBSTITUTE(E10134,",",""))+1</f>
        <v>5</v>
      </c>
      <c r="K10134" s="3" t="str">
        <f aca="false">IFERROR(INDEX('Teacher Lookup'!$B$2:$B$200,MATCH(A10134,'Teacher Lookup'!$A$2:$A$200,0)),"")</f>
        <v>CHAN Wing</v>
      </c>
    </row>
    <row r="10135" customFormat="false" ht="15" hidden="false" customHeight="false" outlineLevel="0" collapsed="false">
      <c r="A10135" s="3" t="s">
        <v>520</v>
      </c>
      <c r="B10135" s="4" t="s">
        <v>60</v>
      </c>
      <c r="C10135" s="4" t="n">
        <v>1</v>
      </c>
      <c r="D10135" s="4" t="s">
        <v>105</v>
      </c>
      <c r="E10135" s="3" t="s">
        <v>227</v>
      </c>
      <c r="F10135" s="4" t="str">
        <f aca="false">IF(I10135&gt;J10135,"Y","N")</f>
        <v>N</v>
      </c>
      <c r="G10135" s="3" t="s">
        <v>15</v>
      </c>
      <c r="H10135" s="3" t="s">
        <v>16</v>
      </c>
      <c r="I10135" s="4" t="n">
        <v>5</v>
      </c>
      <c r="J10135" s="4" t="n">
        <f aca="false">LEN(E10135)-LEN(SUBSTITUTE(E10135,",",""))+1</f>
        <v>5</v>
      </c>
      <c r="K10135" s="3" t="str">
        <f aca="false">IFERROR(INDEX('Teacher Lookup'!$B$2:$B$200,MATCH(A10135,'Teacher Lookup'!$A$2:$A$200,0)),"")</f>
        <v>CHAN Wing</v>
      </c>
    </row>
    <row r="10136" customFormat="false" ht="15" hidden="false" customHeight="false" outlineLevel="0" collapsed="false">
      <c r="A10136" s="3" t="s">
        <v>520</v>
      </c>
      <c r="B10136" s="4" t="s">
        <v>60</v>
      </c>
      <c r="C10136" s="4" t="n">
        <v>1</v>
      </c>
      <c r="D10136" s="4" t="s">
        <v>106</v>
      </c>
      <c r="E10136" s="3" t="s">
        <v>227</v>
      </c>
      <c r="F10136" s="4" t="str">
        <f aca="false">IF(I10136&gt;J10136,"Y","N")</f>
        <v>N</v>
      </c>
      <c r="G10136" s="3" t="s">
        <v>15</v>
      </c>
      <c r="H10136" s="3" t="s">
        <v>16</v>
      </c>
      <c r="I10136" s="4" t="n">
        <v>5</v>
      </c>
      <c r="J10136" s="4" t="n">
        <f aca="false">LEN(E10136)-LEN(SUBSTITUTE(E10136,",",""))+1</f>
        <v>5</v>
      </c>
      <c r="K10136" s="3" t="str">
        <f aca="false">IFERROR(INDEX('Teacher Lookup'!$B$2:$B$200,MATCH(A10136,'Teacher Lookup'!$A$2:$A$200,0)),"")</f>
        <v>CHAN Wing</v>
      </c>
    </row>
    <row r="10137" customFormat="false" ht="15" hidden="false" customHeight="false" outlineLevel="0" collapsed="false">
      <c r="A10137" s="3" t="s">
        <v>520</v>
      </c>
      <c r="B10137" s="4" t="s">
        <v>60</v>
      </c>
      <c r="C10137" s="4" t="n">
        <v>1</v>
      </c>
      <c r="D10137" s="4" t="s">
        <v>107</v>
      </c>
      <c r="E10137" s="3" t="s">
        <v>227</v>
      </c>
      <c r="F10137" s="4" t="str">
        <f aca="false">IF(I10137&gt;J10137,"Y","N")</f>
        <v>N</v>
      </c>
      <c r="G10137" s="3" t="s">
        <v>15</v>
      </c>
      <c r="H10137" s="3" t="s">
        <v>16</v>
      </c>
      <c r="I10137" s="4" t="n">
        <v>5</v>
      </c>
      <c r="J10137" s="4" t="n">
        <f aca="false">LEN(E10137)-LEN(SUBSTITUTE(E10137,",",""))+1</f>
        <v>5</v>
      </c>
      <c r="K10137" s="3" t="str">
        <f aca="false">IFERROR(INDEX('Teacher Lookup'!$B$2:$B$200,MATCH(A10137,'Teacher Lookup'!$A$2:$A$200,0)),"")</f>
        <v>CHAN Wing</v>
      </c>
    </row>
    <row r="10138" customFormat="false" ht="15" hidden="false" customHeight="false" outlineLevel="0" collapsed="false">
      <c r="A10138" s="3" t="s">
        <v>520</v>
      </c>
      <c r="B10138" s="4" t="s">
        <v>60</v>
      </c>
      <c r="C10138" s="4" t="n">
        <v>2</v>
      </c>
      <c r="D10138" s="4" t="s">
        <v>132</v>
      </c>
      <c r="E10138" s="3" t="s">
        <v>293</v>
      </c>
      <c r="F10138" s="4" t="str">
        <f aca="false">IF(I10138&gt;J10138,"Y","N")</f>
        <v>N</v>
      </c>
      <c r="G10138" s="3" t="s">
        <v>15</v>
      </c>
      <c r="H10138" s="3" t="s">
        <v>21</v>
      </c>
      <c r="I10138" s="4" t="n">
        <v>1</v>
      </c>
      <c r="J10138" s="4" t="n">
        <f aca="false">LEN(E10138)-LEN(SUBSTITUTE(E10138,",",""))+1</f>
        <v>1</v>
      </c>
      <c r="K10138" s="3" t="str">
        <f aca="false">IFERROR(INDEX('Teacher Lookup'!$B$2:$B$200,MATCH(A10138,'Teacher Lookup'!$A$2:$A$200,0)),"")</f>
        <v>CHAN Wing</v>
      </c>
    </row>
    <row r="10139" customFormat="false" ht="15" hidden="false" customHeight="false" outlineLevel="0" collapsed="false">
      <c r="A10139" s="3" t="s">
        <v>520</v>
      </c>
      <c r="B10139" s="4" t="s">
        <v>60</v>
      </c>
      <c r="C10139" s="4" t="n">
        <v>5</v>
      </c>
      <c r="D10139" s="4" t="s">
        <v>70</v>
      </c>
      <c r="E10139" s="3" t="s">
        <v>81</v>
      </c>
      <c r="F10139" s="4" t="str">
        <f aca="false">IF(I10139&gt;J10139,"Y","N")</f>
        <v>Y</v>
      </c>
      <c r="G10139" s="3" t="s">
        <v>36</v>
      </c>
      <c r="H10139" s="3" t="s">
        <v>37</v>
      </c>
      <c r="I10139" s="4" t="n">
        <v>15</v>
      </c>
      <c r="J10139" s="4" t="n">
        <f aca="false">LEN(E10139)-LEN(SUBSTITUTE(E10139,",",""))+1</f>
        <v>7</v>
      </c>
      <c r="K10139" s="3" t="str">
        <f aca="false">IFERROR(INDEX('Teacher Lookup'!$B$2:$B$200,MATCH(A10139,'Teacher Lookup'!$A$2:$A$200,0)),"")</f>
        <v>CHAN Wing</v>
      </c>
    </row>
    <row r="10140" customFormat="false" ht="15" hidden="false" customHeight="false" outlineLevel="0" collapsed="false">
      <c r="A10140" s="3" t="s">
        <v>520</v>
      </c>
      <c r="B10140" s="4" t="s">
        <v>60</v>
      </c>
      <c r="C10140" s="4" t="n">
        <v>5</v>
      </c>
      <c r="D10140" s="4" t="s">
        <v>73</v>
      </c>
      <c r="E10140" s="3" t="s">
        <v>81</v>
      </c>
      <c r="F10140" s="4" t="str">
        <f aca="false">IF(I10140&gt;J10140,"Y","N")</f>
        <v>Y</v>
      </c>
      <c r="G10140" s="3" t="s">
        <v>36</v>
      </c>
      <c r="H10140" s="3" t="s">
        <v>37</v>
      </c>
      <c r="I10140" s="4" t="n">
        <v>15</v>
      </c>
      <c r="J10140" s="4" t="n">
        <f aca="false">LEN(E10140)-LEN(SUBSTITUTE(E10140,",",""))+1</f>
        <v>7</v>
      </c>
      <c r="K10140" s="3" t="str">
        <f aca="false">IFERROR(INDEX('Teacher Lookup'!$B$2:$B$200,MATCH(A10140,'Teacher Lookup'!$A$2:$A$200,0)),"")</f>
        <v>CHAN Wing</v>
      </c>
    </row>
    <row r="10141" customFormat="false" ht="15" hidden="false" customHeight="false" outlineLevel="0" collapsed="false">
      <c r="A10141" s="3" t="s">
        <v>520</v>
      </c>
      <c r="B10141" s="4" t="s">
        <v>60</v>
      </c>
      <c r="C10141" s="4" t="n">
        <v>5</v>
      </c>
      <c r="D10141" s="4" t="s">
        <v>74</v>
      </c>
      <c r="E10141" s="3" t="s">
        <v>81</v>
      </c>
      <c r="F10141" s="4" t="str">
        <f aca="false">IF(I10141&gt;J10141,"Y","N")</f>
        <v>Y</v>
      </c>
      <c r="G10141" s="3" t="s">
        <v>36</v>
      </c>
      <c r="H10141" s="3" t="s">
        <v>37</v>
      </c>
      <c r="I10141" s="4" t="n">
        <v>15</v>
      </c>
      <c r="J10141" s="4" t="n">
        <f aca="false">LEN(E10141)-LEN(SUBSTITUTE(E10141,",",""))+1</f>
        <v>7</v>
      </c>
      <c r="K10141" s="3" t="str">
        <f aca="false">IFERROR(INDEX('Teacher Lookup'!$B$2:$B$200,MATCH(A10141,'Teacher Lookup'!$A$2:$A$200,0)),"")</f>
        <v>CHAN Wing</v>
      </c>
    </row>
    <row r="10142" customFormat="false" ht="15" hidden="false" customHeight="false" outlineLevel="0" collapsed="false">
      <c r="A10142" s="3" t="s">
        <v>520</v>
      </c>
      <c r="B10142" s="4" t="s">
        <v>60</v>
      </c>
      <c r="C10142" s="4" t="n">
        <v>5</v>
      </c>
      <c r="D10142" s="4" t="s">
        <v>76</v>
      </c>
      <c r="E10142" s="3" t="s">
        <v>81</v>
      </c>
      <c r="F10142" s="4" t="str">
        <f aca="false">IF(I10142&gt;J10142,"Y","N")</f>
        <v>Y</v>
      </c>
      <c r="G10142" s="3" t="s">
        <v>36</v>
      </c>
      <c r="H10142" s="3" t="s">
        <v>37</v>
      </c>
      <c r="I10142" s="4" t="n">
        <v>15</v>
      </c>
      <c r="J10142" s="4" t="n">
        <f aca="false">LEN(E10142)-LEN(SUBSTITUTE(E10142,",",""))+1</f>
        <v>7</v>
      </c>
      <c r="K10142" s="3" t="str">
        <f aca="false">IFERROR(INDEX('Teacher Lookup'!$B$2:$B$200,MATCH(A10142,'Teacher Lookup'!$A$2:$A$200,0)),"")</f>
        <v>CHAN Wing</v>
      </c>
    </row>
    <row r="10143" customFormat="false" ht="15" hidden="false" customHeight="false" outlineLevel="0" collapsed="false">
      <c r="A10143" s="3" t="s">
        <v>520</v>
      </c>
      <c r="B10143" s="4" t="s">
        <v>60</v>
      </c>
      <c r="C10143" s="4" t="n">
        <v>5</v>
      </c>
      <c r="D10143" s="4" t="s">
        <v>78</v>
      </c>
      <c r="E10143" s="3" t="s">
        <v>81</v>
      </c>
      <c r="F10143" s="4" t="str">
        <f aca="false">IF(I10143&gt;J10143,"Y","N")</f>
        <v>Y</v>
      </c>
      <c r="G10143" s="3" t="s">
        <v>36</v>
      </c>
      <c r="H10143" s="3" t="s">
        <v>37</v>
      </c>
      <c r="I10143" s="4" t="n">
        <v>15</v>
      </c>
      <c r="J10143" s="4" t="n">
        <f aca="false">LEN(E10143)-LEN(SUBSTITUTE(E10143,",",""))+1</f>
        <v>7</v>
      </c>
      <c r="K10143" s="3" t="str">
        <f aca="false">IFERROR(INDEX('Teacher Lookup'!$B$2:$B$200,MATCH(A10143,'Teacher Lookup'!$A$2:$A$200,0)),"")</f>
        <v>CHAN Wing</v>
      </c>
    </row>
    <row r="10144" customFormat="false" ht="15" hidden="false" customHeight="false" outlineLevel="0" collapsed="false">
      <c r="A10144" s="3" t="s">
        <v>520</v>
      </c>
      <c r="B10144" s="4" t="s">
        <v>60</v>
      </c>
      <c r="C10144" s="4" t="n">
        <v>5</v>
      </c>
      <c r="D10144" s="4" t="s">
        <v>79</v>
      </c>
      <c r="E10144" s="3" t="s">
        <v>81</v>
      </c>
      <c r="F10144" s="4" t="str">
        <f aca="false">IF(I10144&gt;J10144,"Y","N")</f>
        <v>Y</v>
      </c>
      <c r="G10144" s="3" t="s">
        <v>36</v>
      </c>
      <c r="H10144" s="3" t="s">
        <v>37</v>
      </c>
      <c r="I10144" s="4" t="n">
        <v>15</v>
      </c>
      <c r="J10144" s="4" t="n">
        <f aca="false">LEN(E10144)-LEN(SUBSTITUTE(E10144,",",""))+1</f>
        <v>7</v>
      </c>
      <c r="K10144" s="3" t="str">
        <f aca="false">IFERROR(INDEX('Teacher Lookup'!$B$2:$B$200,MATCH(A10144,'Teacher Lookup'!$A$2:$A$200,0)),"")</f>
        <v>CHAN Wing</v>
      </c>
    </row>
    <row r="10145" customFormat="false" ht="15" hidden="false" customHeight="false" outlineLevel="0" collapsed="false">
      <c r="A10145" s="3" t="s">
        <v>520</v>
      </c>
      <c r="B10145" s="4" t="s">
        <v>60</v>
      </c>
      <c r="C10145" s="4" t="n">
        <v>7</v>
      </c>
      <c r="D10145" s="4" t="s">
        <v>70</v>
      </c>
      <c r="E10145" s="3" t="s">
        <v>71</v>
      </c>
      <c r="F10145" s="4" t="str">
        <f aca="false">IF(I10145&gt;J10145,"Y","N")</f>
        <v>N</v>
      </c>
      <c r="G10145" s="3" t="s">
        <v>15</v>
      </c>
      <c r="H10145" s="3" t="s">
        <v>39</v>
      </c>
      <c r="I10145" s="4" t="n">
        <v>4</v>
      </c>
      <c r="J10145" s="4" t="n">
        <f aca="false">LEN(E10145)-LEN(SUBSTITUTE(E10145,",",""))+1</f>
        <v>4</v>
      </c>
      <c r="K10145" s="3" t="str">
        <f aca="false">IFERROR(INDEX('Teacher Lookup'!$B$2:$B$200,MATCH(A10145,'Teacher Lookup'!$A$2:$A$200,0)),"")</f>
        <v>CHAN Wing</v>
      </c>
    </row>
    <row r="10146" customFormat="false" ht="15" hidden="false" customHeight="false" outlineLevel="0" collapsed="false">
      <c r="A10146" s="3" t="s">
        <v>520</v>
      </c>
      <c r="B10146" s="4" t="s">
        <v>60</v>
      </c>
      <c r="C10146" s="4" t="n">
        <v>7</v>
      </c>
      <c r="D10146" s="4" t="s">
        <v>73</v>
      </c>
      <c r="E10146" s="3" t="s">
        <v>71</v>
      </c>
      <c r="F10146" s="4" t="str">
        <f aca="false">IF(I10146&gt;J10146,"Y","N")</f>
        <v>N</v>
      </c>
      <c r="G10146" s="3" t="s">
        <v>15</v>
      </c>
      <c r="H10146" s="3" t="s">
        <v>39</v>
      </c>
      <c r="I10146" s="4" t="n">
        <v>4</v>
      </c>
      <c r="J10146" s="4" t="n">
        <f aca="false">LEN(E10146)-LEN(SUBSTITUTE(E10146,",",""))+1</f>
        <v>4</v>
      </c>
      <c r="K10146" s="3" t="str">
        <f aca="false">IFERROR(INDEX('Teacher Lookup'!$B$2:$B$200,MATCH(A10146,'Teacher Lookup'!$A$2:$A$200,0)),"")</f>
        <v>CHAN Wing</v>
      </c>
    </row>
    <row r="10147" customFormat="false" ht="15" hidden="false" customHeight="false" outlineLevel="0" collapsed="false">
      <c r="A10147" s="3" t="s">
        <v>520</v>
      </c>
      <c r="B10147" s="4" t="s">
        <v>60</v>
      </c>
      <c r="C10147" s="4" t="n">
        <v>7</v>
      </c>
      <c r="D10147" s="4" t="s">
        <v>74</v>
      </c>
      <c r="E10147" s="3" t="s">
        <v>71</v>
      </c>
      <c r="F10147" s="4" t="str">
        <f aca="false">IF(I10147&gt;J10147,"Y","N")</f>
        <v>N</v>
      </c>
      <c r="G10147" s="3" t="s">
        <v>15</v>
      </c>
      <c r="H10147" s="3" t="s">
        <v>39</v>
      </c>
      <c r="I10147" s="4" t="n">
        <v>4</v>
      </c>
      <c r="J10147" s="4" t="n">
        <f aca="false">LEN(E10147)-LEN(SUBSTITUTE(E10147,",",""))+1</f>
        <v>4</v>
      </c>
      <c r="K10147" s="3" t="str">
        <f aca="false">IFERROR(INDEX('Teacher Lookup'!$B$2:$B$200,MATCH(A10147,'Teacher Lookup'!$A$2:$A$200,0)),"")</f>
        <v>CHAN Wing</v>
      </c>
    </row>
    <row r="10148" customFormat="false" ht="15" hidden="false" customHeight="false" outlineLevel="0" collapsed="false">
      <c r="A10148" s="3" t="s">
        <v>520</v>
      </c>
      <c r="B10148" s="4" t="s">
        <v>63</v>
      </c>
      <c r="C10148" s="4" t="n">
        <v>1</v>
      </c>
      <c r="D10148" s="4" t="s">
        <v>132</v>
      </c>
      <c r="E10148" s="3" t="s">
        <v>293</v>
      </c>
      <c r="F10148" s="4" t="str">
        <f aca="false">IF(I10148&gt;J10148,"Y","N")</f>
        <v>N</v>
      </c>
      <c r="G10148" s="3" t="s">
        <v>15</v>
      </c>
      <c r="H10148" s="3" t="s">
        <v>16</v>
      </c>
      <c r="I10148" s="4" t="n">
        <v>1</v>
      </c>
      <c r="J10148" s="4" t="n">
        <f aca="false">LEN(E10148)-LEN(SUBSTITUTE(E10148,",",""))+1</f>
        <v>1</v>
      </c>
      <c r="K10148" s="3" t="str">
        <f aca="false">IFERROR(INDEX('Teacher Lookup'!$B$2:$B$200,MATCH(A10148,'Teacher Lookup'!$A$2:$A$200,0)),"")</f>
        <v>CHAN Wing</v>
      </c>
    </row>
    <row r="10149" customFormat="false" ht="15" hidden="false" customHeight="false" outlineLevel="0" collapsed="false">
      <c r="A10149" s="3" t="s">
        <v>520</v>
      </c>
      <c r="B10149" s="4" t="s">
        <v>63</v>
      </c>
      <c r="C10149" s="4" t="n">
        <v>2</v>
      </c>
      <c r="D10149" s="4" t="s">
        <v>132</v>
      </c>
      <c r="E10149" s="3" t="s">
        <v>293</v>
      </c>
      <c r="F10149" s="4" t="str">
        <f aca="false">IF(I10149&gt;J10149,"Y","N")</f>
        <v>N</v>
      </c>
      <c r="G10149" s="3" t="s">
        <v>15</v>
      </c>
      <c r="H10149" s="3" t="s">
        <v>21</v>
      </c>
      <c r="I10149" s="4" t="n">
        <v>1</v>
      </c>
      <c r="J10149" s="4" t="n">
        <f aca="false">LEN(E10149)-LEN(SUBSTITUTE(E10149,",",""))+1</f>
        <v>1</v>
      </c>
      <c r="K10149" s="3" t="str">
        <f aca="false">IFERROR(INDEX('Teacher Lookup'!$B$2:$B$200,MATCH(A10149,'Teacher Lookup'!$A$2:$A$200,0)),"")</f>
        <v>CHAN Wing</v>
      </c>
    </row>
    <row r="10150" customFormat="false" ht="15" hidden="false" customHeight="false" outlineLevel="0" collapsed="false">
      <c r="A10150" s="3" t="s">
        <v>520</v>
      </c>
      <c r="B10150" s="4" t="s">
        <v>63</v>
      </c>
      <c r="C10150" s="4" t="n">
        <v>3</v>
      </c>
      <c r="D10150" s="4" t="s">
        <v>70</v>
      </c>
      <c r="E10150" s="3" t="s">
        <v>223</v>
      </c>
      <c r="F10150" s="4" t="str">
        <f aca="false">IF(I10150&gt;J10150,"Y","N")</f>
        <v>N</v>
      </c>
      <c r="G10150" s="3" t="s">
        <v>15</v>
      </c>
      <c r="H10150" s="3" t="s">
        <v>26</v>
      </c>
      <c r="I10150" s="4" t="n">
        <v>4</v>
      </c>
      <c r="J10150" s="4" t="n">
        <f aca="false">LEN(E10150)-LEN(SUBSTITUTE(E10150,",",""))+1</f>
        <v>4</v>
      </c>
      <c r="K10150" s="3" t="str">
        <f aca="false">IFERROR(INDEX('Teacher Lookup'!$B$2:$B$200,MATCH(A10150,'Teacher Lookup'!$A$2:$A$200,0)),"")</f>
        <v>CHAN Wing</v>
      </c>
    </row>
    <row r="10151" customFormat="false" ht="15" hidden="false" customHeight="false" outlineLevel="0" collapsed="false">
      <c r="A10151" s="3" t="s">
        <v>520</v>
      </c>
      <c r="B10151" s="4" t="s">
        <v>63</v>
      </c>
      <c r="C10151" s="4" t="n">
        <v>3</v>
      </c>
      <c r="D10151" s="4" t="s">
        <v>73</v>
      </c>
      <c r="E10151" s="3" t="s">
        <v>223</v>
      </c>
      <c r="F10151" s="4" t="str">
        <f aca="false">IF(I10151&gt;J10151,"Y","N")</f>
        <v>N</v>
      </c>
      <c r="G10151" s="3" t="s">
        <v>15</v>
      </c>
      <c r="H10151" s="3" t="s">
        <v>26</v>
      </c>
      <c r="I10151" s="4" t="n">
        <v>4</v>
      </c>
      <c r="J10151" s="4" t="n">
        <f aca="false">LEN(E10151)-LEN(SUBSTITUTE(E10151,",",""))+1</f>
        <v>4</v>
      </c>
      <c r="K10151" s="3" t="str">
        <f aca="false">IFERROR(INDEX('Teacher Lookup'!$B$2:$B$200,MATCH(A10151,'Teacher Lookup'!$A$2:$A$200,0)),"")</f>
        <v>CHAN Wing</v>
      </c>
    </row>
    <row r="10152" customFormat="false" ht="15" hidden="false" customHeight="false" outlineLevel="0" collapsed="false">
      <c r="A10152" s="3" t="s">
        <v>520</v>
      </c>
      <c r="B10152" s="4" t="s">
        <v>63</v>
      </c>
      <c r="C10152" s="4" t="n">
        <v>3</v>
      </c>
      <c r="D10152" s="4" t="s">
        <v>74</v>
      </c>
      <c r="E10152" s="3" t="s">
        <v>223</v>
      </c>
      <c r="F10152" s="4" t="str">
        <f aca="false">IF(I10152&gt;J10152,"Y","N")</f>
        <v>N</v>
      </c>
      <c r="G10152" s="3" t="s">
        <v>15</v>
      </c>
      <c r="H10152" s="3" t="s">
        <v>26</v>
      </c>
      <c r="I10152" s="4" t="n">
        <v>4</v>
      </c>
      <c r="J10152" s="4" t="n">
        <f aca="false">LEN(E10152)-LEN(SUBSTITUTE(E10152,",",""))+1</f>
        <v>4</v>
      </c>
      <c r="K10152" s="3" t="str">
        <f aca="false">IFERROR(INDEX('Teacher Lookup'!$B$2:$B$200,MATCH(A10152,'Teacher Lookup'!$A$2:$A$200,0)),"")</f>
        <v>CHAN Wing</v>
      </c>
    </row>
    <row r="10153" customFormat="false" ht="15" hidden="false" customHeight="false" outlineLevel="0" collapsed="false">
      <c r="A10153" s="3" t="s">
        <v>520</v>
      </c>
      <c r="B10153" s="4" t="s">
        <v>63</v>
      </c>
      <c r="C10153" s="4" t="n">
        <v>5</v>
      </c>
      <c r="D10153" s="4" t="s">
        <v>102</v>
      </c>
      <c r="E10153" s="3" t="s">
        <v>232</v>
      </c>
      <c r="F10153" s="4" t="str">
        <f aca="false">IF(I10153&gt;J10153,"Y","N")</f>
        <v>N</v>
      </c>
      <c r="G10153" s="3" t="s">
        <v>15</v>
      </c>
      <c r="H10153" s="3" t="s">
        <v>37</v>
      </c>
      <c r="I10153" s="4" t="n">
        <v>5</v>
      </c>
      <c r="J10153" s="4" t="n">
        <f aca="false">LEN(E10153)-LEN(SUBSTITUTE(E10153,",",""))+1</f>
        <v>5</v>
      </c>
      <c r="K10153" s="3" t="str">
        <f aca="false">IFERROR(INDEX('Teacher Lookup'!$B$2:$B$200,MATCH(A10153,'Teacher Lookup'!$A$2:$A$200,0)),"")</f>
        <v>CHAN Wing</v>
      </c>
    </row>
    <row r="10154" customFormat="false" ht="15" hidden="false" customHeight="false" outlineLevel="0" collapsed="false">
      <c r="A10154" s="3" t="s">
        <v>520</v>
      </c>
      <c r="B10154" s="4" t="s">
        <v>63</v>
      </c>
      <c r="C10154" s="4" t="n">
        <v>5</v>
      </c>
      <c r="D10154" s="4" t="s">
        <v>105</v>
      </c>
      <c r="E10154" s="3" t="s">
        <v>232</v>
      </c>
      <c r="F10154" s="4" t="str">
        <f aca="false">IF(I10154&gt;J10154,"Y","N")</f>
        <v>N</v>
      </c>
      <c r="G10154" s="3" t="s">
        <v>15</v>
      </c>
      <c r="H10154" s="3" t="s">
        <v>37</v>
      </c>
      <c r="I10154" s="4" t="n">
        <v>5</v>
      </c>
      <c r="J10154" s="4" t="n">
        <f aca="false">LEN(E10154)-LEN(SUBSTITUTE(E10154,",",""))+1</f>
        <v>5</v>
      </c>
      <c r="K10154" s="3" t="str">
        <f aca="false">IFERROR(INDEX('Teacher Lookup'!$B$2:$B$200,MATCH(A10154,'Teacher Lookup'!$A$2:$A$200,0)),"")</f>
        <v>CHAN Wing</v>
      </c>
    </row>
    <row r="10155" customFormat="false" ht="15" hidden="false" customHeight="false" outlineLevel="0" collapsed="false">
      <c r="A10155" s="3" t="s">
        <v>520</v>
      </c>
      <c r="B10155" s="4" t="s">
        <v>63</v>
      </c>
      <c r="C10155" s="4" t="n">
        <v>5</v>
      </c>
      <c r="D10155" s="4" t="s">
        <v>106</v>
      </c>
      <c r="E10155" s="3" t="s">
        <v>232</v>
      </c>
      <c r="F10155" s="4" t="str">
        <f aca="false">IF(I10155&gt;J10155,"Y","N")</f>
        <v>N</v>
      </c>
      <c r="G10155" s="3" t="s">
        <v>15</v>
      </c>
      <c r="H10155" s="3" t="s">
        <v>37</v>
      </c>
      <c r="I10155" s="4" t="n">
        <v>5</v>
      </c>
      <c r="J10155" s="4" t="n">
        <f aca="false">LEN(E10155)-LEN(SUBSTITUTE(E10155,",",""))+1</f>
        <v>5</v>
      </c>
      <c r="K10155" s="3" t="str">
        <f aca="false">IFERROR(INDEX('Teacher Lookup'!$B$2:$B$200,MATCH(A10155,'Teacher Lookup'!$A$2:$A$200,0)),"")</f>
        <v>CHAN Wing</v>
      </c>
    </row>
    <row r="10156" customFormat="false" ht="15" hidden="false" customHeight="false" outlineLevel="0" collapsed="false">
      <c r="A10156" s="3" t="s">
        <v>520</v>
      </c>
      <c r="B10156" s="4" t="s">
        <v>63</v>
      </c>
      <c r="C10156" s="4" t="n">
        <v>5</v>
      </c>
      <c r="D10156" s="4" t="s">
        <v>107</v>
      </c>
      <c r="E10156" s="3" t="s">
        <v>232</v>
      </c>
      <c r="F10156" s="4" t="str">
        <f aca="false">IF(I10156&gt;J10156,"Y","N")</f>
        <v>N</v>
      </c>
      <c r="G10156" s="3" t="s">
        <v>15</v>
      </c>
      <c r="H10156" s="3" t="s">
        <v>37</v>
      </c>
      <c r="I10156" s="4" t="n">
        <v>5</v>
      </c>
      <c r="J10156" s="4" t="n">
        <f aca="false">LEN(E10156)-LEN(SUBSTITUTE(E10156,",",""))+1</f>
        <v>5</v>
      </c>
      <c r="K10156" s="3" t="str">
        <f aca="false">IFERROR(INDEX('Teacher Lookup'!$B$2:$B$200,MATCH(A10156,'Teacher Lookup'!$A$2:$A$200,0)),"")</f>
        <v>CHAN Wing</v>
      </c>
    </row>
    <row r="10157" customFormat="false" ht="15" hidden="false" customHeight="false" outlineLevel="0" collapsed="false">
      <c r="A10157" s="3" t="s">
        <v>520</v>
      </c>
      <c r="B10157" s="4" t="s">
        <v>65</v>
      </c>
      <c r="C10157" s="4" t="n">
        <v>1</v>
      </c>
      <c r="D10157" s="4" t="s">
        <v>102</v>
      </c>
      <c r="E10157" s="3" t="s">
        <v>227</v>
      </c>
      <c r="F10157" s="4" t="str">
        <f aca="false">IF(I10157&gt;J10157,"Y","N")</f>
        <v>N</v>
      </c>
      <c r="G10157" s="3" t="s">
        <v>15</v>
      </c>
      <c r="H10157" s="3" t="s">
        <v>16</v>
      </c>
      <c r="I10157" s="4" t="n">
        <v>5</v>
      </c>
      <c r="J10157" s="4" t="n">
        <f aca="false">LEN(E10157)-LEN(SUBSTITUTE(E10157,",",""))+1</f>
        <v>5</v>
      </c>
      <c r="K10157" s="3" t="str">
        <f aca="false">IFERROR(INDEX('Teacher Lookup'!$B$2:$B$200,MATCH(A10157,'Teacher Lookup'!$A$2:$A$200,0)),"")</f>
        <v>CHAN Wing</v>
      </c>
    </row>
    <row r="10158" customFormat="false" ht="15" hidden="false" customHeight="false" outlineLevel="0" collapsed="false">
      <c r="A10158" s="3" t="s">
        <v>520</v>
      </c>
      <c r="B10158" s="4" t="s">
        <v>65</v>
      </c>
      <c r="C10158" s="4" t="n">
        <v>1</v>
      </c>
      <c r="D10158" s="4" t="s">
        <v>105</v>
      </c>
      <c r="E10158" s="3" t="s">
        <v>227</v>
      </c>
      <c r="F10158" s="4" t="str">
        <f aca="false">IF(I10158&gt;J10158,"Y","N")</f>
        <v>N</v>
      </c>
      <c r="G10158" s="3" t="s">
        <v>15</v>
      </c>
      <c r="H10158" s="3" t="s">
        <v>16</v>
      </c>
      <c r="I10158" s="4" t="n">
        <v>5</v>
      </c>
      <c r="J10158" s="4" t="n">
        <f aca="false">LEN(E10158)-LEN(SUBSTITUTE(E10158,",",""))+1</f>
        <v>5</v>
      </c>
      <c r="K10158" s="3" t="str">
        <f aca="false">IFERROR(INDEX('Teacher Lookup'!$B$2:$B$200,MATCH(A10158,'Teacher Lookup'!$A$2:$A$200,0)),"")</f>
        <v>CHAN Wing</v>
      </c>
    </row>
    <row r="10159" customFormat="false" ht="15" hidden="false" customHeight="false" outlineLevel="0" collapsed="false">
      <c r="A10159" s="3" t="s">
        <v>520</v>
      </c>
      <c r="B10159" s="4" t="s">
        <v>65</v>
      </c>
      <c r="C10159" s="4" t="n">
        <v>1</v>
      </c>
      <c r="D10159" s="4" t="s">
        <v>106</v>
      </c>
      <c r="E10159" s="3" t="s">
        <v>227</v>
      </c>
      <c r="F10159" s="4" t="str">
        <f aca="false">IF(I10159&gt;J10159,"Y","N")</f>
        <v>N</v>
      </c>
      <c r="G10159" s="3" t="s">
        <v>15</v>
      </c>
      <c r="H10159" s="3" t="s">
        <v>16</v>
      </c>
      <c r="I10159" s="4" t="n">
        <v>5</v>
      </c>
      <c r="J10159" s="4" t="n">
        <f aca="false">LEN(E10159)-LEN(SUBSTITUTE(E10159,",",""))+1</f>
        <v>5</v>
      </c>
      <c r="K10159" s="3" t="str">
        <f aca="false">IFERROR(INDEX('Teacher Lookup'!$B$2:$B$200,MATCH(A10159,'Teacher Lookup'!$A$2:$A$200,0)),"")</f>
        <v>CHAN Wing</v>
      </c>
    </row>
    <row r="10160" customFormat="false" ht="15" hidden="false" customHeight="false" outlineLevel="0" collapsed="false">
      <c r="A10160" s="3" t="s">
        <v>520</v>
      </c>
      <c r="B10160" s="4" t="s">
        <v>65</v>
      </c>
      <c r="C10160" s="4" t="n">
        <v>1</v>
      </c>
      <c r="D10160" s="4" t="s">
        <v>107</v>
      </c>
      <c r="E10160" s="3" t="s">
        <v>227</v>
      </c>
      <c r="F10160" s="4" t="str">
        <f aca="false">IF(I10160&gt;J10160,"Y","N")</f>
        <v>N</v>
      </c>
      <c r="G10160" s="3" t="s">
        <v>15</v>
      </c>
      <c r="H10160" s="3" t="s">
        <v>16</v>
      </c>
      <c r="I10160" s="4" t="n">
        <v>5</v>
      </c>
      <c r="J10160" s="4" t="n">
        <f aca="false">LEN(E10160)-LEN(SUBSTITUTE(E10160,",",""))+1</f>
        <v>5</v>
      </c>
      <c r="K10160" s="3" t="str">
        <f aca="false">IFERROR(INDEX('Teacher Lookup'!$B$2:$B$200,MATCH(A10160,'Teacher Lookup'!$A$2:$A$200,0)),"")</f>
        <v>CHAN Wing</v>
      </c>
    </row>
    <row r="10161" customFormat="false" ht="15" hidden="false" customHeight="false" outlineLevel="0" collapsed="false">
      <c r="A10161" s="3" t="s">
        <v>520</v>
      </c>
      <c r="B10161" s="4" t="s">
        <v>65</v>
      </c>
      <c r="C10161" s="4" t="n">
        <v>2</v>
      </c>
      <c r="D10161" s="4" t="s">
        <v>102</v>
      </c>
      <c r="E10161" s="3" t="s">
        <v>227</v>
      </c>
      <c r="F10161" s="4" t="str">
        <f aca="false">IF(I10161&gt;J10161,"Y","N")</f>
        <v>N</v>
      </c>
      <c r="G10161" s="3" t="s">
        <v>15</v>
      </c>
      <c r="H10161" s="3" t="s">
        <v>21</v>
      </c>
      <c r="I10161" s="4" t="n">
        <v>5</v>
      </c>
      <c r="J10161" s="4" t="n">
        <f aca="false">LEN(E10161)-LEN(SUBSTITUTE(E10161,",",""))+1</f>
        <v>5</v>
      </c>
      <c r="K10161" s="3" t="str">
        <f aca="false">IFERROR(INDEX('Teacher Lookup'!$B$2:$B$200,MATCH(A10161,'Teacher Lookup'!$A$2:$A$200,0)),"")</f>
        <v>CHAN Wing</v>
      </c>
    </row>
    <row r="10162" customFormat="false" ht="15" hidden="false" customHeight="false" outlineLevel="0" collapsed="false">
      <c r="A10162" s="3" t="s">
        <v>520</v>
      </c>
      <c r="B10162" s="4" t="s">
        <v>65</v>
      </c>
      <c r="C10162" s="4" t="n">
        <v>2</v>
      </c>
      <c r="D10162" s="4" t="s">
        <v>105</v>
      </c>
      <c r="E10162" s="3" t="s">
        <v>227</v>
      </c>
      <c r="F10162" s="4" t="str">
        <f aca="false">IF(I10162&gt;J10162,"Y","N")</f>
        <v>N</v>
      </c>
      <c r="G10162" s="3" t="s">
        <v>15</v>
      </c>
      <c r="H10162" s="3" t="s">
        <v>21</v>
      </c>
      <c r="I10162" s="4" t="n">
        <v>5</v>
      </c>
      <c r="J10162" s="4" t="n">
        <f aca="false">LEN(E10162)-LEN(SUBSTITUTE(E10162,",",""))+1</f>
        <v>5</v>
      </c>
      <c r="K10162" s="3" t="str">
        <f aca="false">IFERROR(INDEX('Teacher Lookup'!$B$2:$B$200,MATCH(A10162,'Teacher Lookup'!$A$2:$A$200,0)),"")</f>
        <v>CHAN Wing</v>
      </c>
    </row>
    <row r="10163" customFormat="false" ht="15" hidden="false" customHeight="false" outlineLevel="0" collapsed="false">
      <c r="A10163" s="3" t="s">
        <v>520</v>
      </c>
      <c r="B10163" s="4" t="s">
        <v>65</v>
      </c>
      <c r="C10163" s="4" t="n">
        <v>2</v>
      </c>
      <c r="D10163" s="4" t="s">
        <v>106</v>
      </c>
      <c r="E10163" s="3" t="s">
        <v>227</v>
      </c>
      <c r="F10163" s="4" t="str">
        <f aca="false">IF(I10163&gt;J10163,"Y","N")</f>
        <v>N</v>
      </c>
      <c r="G10163" s="3" t="s">
        <v>15</v>
      </c>
      <c r="H10163" s="3" t="s">
        <v>21</v>
      </c>
      <c r="I10163" s="4" t="n">
        <v>5</v>
      </c>
      <c r="J10163" s="4" t="n">
        <f aca="false">LEN(E10163)-LEN(SUBSTITUTE(E10163,",",""))+1</f>
        <v>5</v>
      </c>
      <c r="K10163" s="3" t="str">
        <f aca="false">IFERROR(INDEX('Teacher Lookup'!$B$2:$B$200,MATCH(A10163,'Teacher Lookup'!$A$2:$A$200,0)),"")</f>
        <v>CHAN Wing</v>
      </c>
    </row>
    <row r="10164" customFormat="false" ht="15" hidden="false" customHeight="false" outlineLevel="0" collapsed="false">
      <c r="A10164" s="3" t="s">
        <v>520</v>
      </c>
      <c r="B10164" s="4" t="s">
        <v>65</v>
      </c>
      <c r="C10164" s="4" t="n">
        <v>2</v>
      </c>
      <c r="D10164" s="4" t="s">
        <v>107</v>
      </c>
      <c r="E10164" s="3" t="s">
        <v>227</v>
      </c>
      <c r="F10164" s="4" t="str">
        <f aca="false">IF(I10164&gt;J10164,"Y","N")</f>
        <v>N</v>
      </c>
      <c r="G10164" s="3" t="s">
        <v>15</v>
      </c>
      <c r="H10164" s="3" t="s">
        <v>21</v>
      </c>
      <c r="I10164" s="4" t="n">
        <v>5</v>
      </c>
      <c r="J10164" s="4" t="n">
        <f aca="false">LEN(E10164)-LEN(SUBSTITUTE(E10164,",",""))+1</f>
        <v>5</v>
      </c>
      <c r="K10164" s="3" t="str">
        <f aca="false">IFERROR(INDEX('Teacher Lookup'!$B$2:$B$200,MATCH(A10164,'Teacher Lookup'!$A$2:$A$200,0)),"")</f>
        <v>CHAN Wing</v>
      </c>
    </row>
    <row r="10165" customFormat="false" ht="15" hidden="false" customHeight="false" outlineLevel="0" collapsed="false">
      <c r="A10165" s="3" t="s">
        <v>520</v>
      </c>
      <c r="B10165" s="4" t="s">
        <v>65</v>
      </c>
      <c r="C10165" s="4" t="n">
        <v>3</v>
      </c>
      <c r="D10165" s="4" t="s">
        <v>70</v>
      </c>
      <c r="E10165" s="3" t="s">
        <v>224</v>
      </c>
      <c r="F10165" s="4" t="str">
        <f aca="false">IF(I10165&gt;J10165,"Y","N")</f>
        <v>N</v>
      </c>
      <c r="G10165" s="3" t="s">
        <v>15</v>
      </c>
      <c r="H10165" s="3" t="s">
        <v>26</v>
      </c>
      <c r="I10165" s="4" t="n">
        <v>4</v>
      </c>
      <c r="J10165" s="4" t="n">
        <f aca="false">LEN(E10165)-LEN(SUBSTITUTE(E10165,",",""))+1</f>
        <v>4</v>
      </c>
      <c r="K10165" s="3" t="str">
        <f aca="false">IFERROR(INDEX('Teacher Lookup'!$B$2:$B$200,MATCH(A10165,'Teacher Lookup'!$A$2:$A$200,0)),"")</f>
        <v>CHAN Wing</v>
      </c>
    </row>
    <row r="10166" customFormat="false" ht="15" hidden="false" customHeight="false" outlineLevel="0" collapsed="false">
      <c r="A10166" s="3" t="s">
        <v>520</v>
      </c>
      <c r="B10166" s="4" t="s">
        <v>65</v>
      </c>
      <c r="C10166" s="4" t="n">
        <v>3</v>
      </c>
      <c r="D10166" s="4" t="s">
        <v>73</v>
      </c>
      <c r="E10166" s="3" t="s">
        <v>224</v>
      </c>
      <c r="F10166" s="4" t="str">
        <f aca="false">IF(I10166&gt;J10166,"Y","N")</f>
        <v>N</v>
      </c>
      <c r="G10166" s="3" t="s">
        <v>15</v>
      </c>
      <c r="H10166" s="3" t="s">
        <v>26</v>
      </c>
      <c r="I10166" s="4" t="n">
        <v>4</v>
      </c>
      <c r="J10166" s="4" t="n">
        <f aca="false">LEN(E10166)-LEN(SUBSTITUTE(E10166,",",""))+1</f>
        <v>4</v>
      </c>
      <c r="K10166" s="3" t="str">
        <f aca="false">IFERROR(INDEX('Teacher Lookup'!$B$2:$B$200,MATCH(A10166,'Teacher Lookup'!$A$2:$A$200,0)),"")</f>
        <v>CHAN Wing</v>
      </c>
    </row>
    <row r="10167" customFormat="false" ht="15" hidden="false" customHeight="false" outlineLevel="0" collapsed="false">
      <c r="A10167" s="3" t="s">
        <v>520</v>
      </c>
      <c r="B10167" s="4" t="s">
        <v>65</v>
      </c>
      <c r="C10167" s="4" t="n">
        <v>3</v>
      </c>
      <c r="D10167" s="4" t="s">
        <v>74</v>
      </c>
      <c r="E10167" s="3" t="s">
        <v>224</v>
      </c>
      <c r="F10167" s="4" t="str">
        <f aca="false">IF(I10167&gt;J10167,"Y","N")</f>
        <v>N</v>
      </c>
      <c r="G10167" s="3" t="s">
        <v>15</v>
      </c>
      <c r="H10167" s="3" t="s">
        <v>26</v>
      </c>
      <c r="I10167" s="4" t="n">
        <v>4</v>
      </c>
      <c r="J10167" s="4" t="n">
        <f aca="false">LEN(E10167)-LEN(SUBSTITUTE(E10167,",",""))+1</f>
        <v>4</v>
      </c>
      <c r="K10167" s="3" t="str">
        <f aca="false">IFERROR(INDEX('Teacher Lookup'!$B$2:$B$200,MATCH(A10167,'Teacher Lookup'!$A$2:$A$200,0)),"")</f>
        <v>CHAN Wing</v>
      </c>
    </row>
    <row r="10168" customFormat="false" ht="15" hidden="false" customHeight="false" outlineLevel="0" collapsed="false">
      <c r="A10168" s="3" t="s">
        <v>520</v>
      </c>
      <c r="B10168" s="4" t="s">
        <v>65</v>
      </c>
      <c r="C10168" s="4" t="n">
        <v>5</v>
      </c>
      <c r="D10168" s="4" t="s">
        <v>70</v>
      </c>
      <c r="E10168" s="3" t="s">
        <v>81</v>
      </c>
      <c r="F10168" s="4" t="str">
        <f aca="false">IF(I10168&gt;J10168,"Y","N")</f>
        <v>Y</v>
      </c>
      <c r="G10168" s="3" t="s">
        <v>36</v>
      </c>
      <c r="H10168" s="3" t="s">
        <v>37</v>
      </c>
      <c r="I10168" s="4" t="n">
        <v>15</v>
      </c>
      <c r="J10168" s="4" t="n">
        <f aca="false">LEN(E10168)-LEN(SUBSTITUTE(E10168,",",""))+1</f>
        <v>7</v>
      </c>
      <c r="K10168" s="3" t="str">
        <f aca="false">IFERROR(INDEX('Teacher Lookup'!$B$2:$B$200,MATCH(A10168,'Teacher Lookup'!$A$2:$A$200,0)),"")</f>
        <v>CHAN Wing</v>
      </c>
    </row>
    <row r="10169" customFormat="false" ht="15" hidden="false" customHeight="false" outlineLevel="0" collapsed="false">
      <c r="A10169" s="3" t="s">
        <v>520</v>
      </c>
      <c r="B10169" s="4" t="s">
        <v>65</v>
      </c>
      <c r="C10169" s="4" t="n">
        <v>5</v>
      </c>
      <c r="D10169" s="4" t="s">
        <v>73</v>
      </c>
      <c r="E10169" s="3" t="s">
        <v>81</v>
      </c>
      <c r="F10169" s="4" t="str">
        <f aca="false">IF(I10169&gt;J10169,"Y","N")</f>
        <v>Y</v>
      </c>
      <c r="G10169" s="3" t="s">
        <v>36</v>
      </c>
      <c r="H10169" s="3" t="s">
        <v>37</v>
      </c>
      <c r="I10169" s="4" t="n">
        <v>15</v>
      </c>
      <c r="J10169" s="4" t="n">
        <f aca="false">LEN(E10169)-LEN(SUBSTITUTE(E10169,",",""))+1</f>
        <v>7</v>
      </c>
      <c r="K10169" s="3" t="str">
        <f aca="false">IFERROR(INDEX('Teacher Lookup'!$B$2:$B$200,MATCH(A10169,'Teacher Lookup'!$A$2:$A$200,0)),"")</f>
        <v>CHAN Wing</v>
      </c>
    </row>
    <row r="10170" customFormat="false" ht="15" hidden="false" customHeight="false" outlineLevel="0" collapsed="false">
      <c r="A10170" s="3" t="s">
        <v>520</v>
      </c>
      <c r="B10170" s="4" t="s">
        <v>65</v>
      </c>
      <c r="C10170" s="4" t="n">
        <v>5</v>
      </c>
      <c r="D10170" s="4" t="s">
        <v>74</v>
      </c>
      <c r="E10170" s="3" t="s">
        <v>81</v>
      </c>
      <c r="F10170" s="4" t="str">
        <f aca="false">IF(I10170&gt;J10170,"Y","N")</f>
        <v>Y</v>
      </c>
      <c r="G10170" s="3" t="s">
        <v>36</v>
      </c>
      <c r="H10170" s="3" t="s">
        <v>37</v>
      </c>
      <c r="I10170" s="4" t="n">
        <v>15</v>
      </c>
      <c r="J10170" s="4" t="n">
        <f aca="false">LEN(E10170)-LEN(SUBSTITUTE(E10170,",",""))+1</f>
        <v>7</v>
      </c>
      <c r="K10170" s="3" t="str">
        <f aca="false">IFERROR(INDEX('Teacher Lookup'!$B$2:$B$200,MATCH(A10170,'Teacher Lookup'!$A$2:$A$200,0)),"")</f>
        <v>CHAN Wing</v>
      </c>
    </row>
    <row r="10171" customFormat="false" ht="15" hidden="false" customHeight="false" outlineLevel="0" collapsed="false">
      <c r="A10171" s="3" t="s">
        <v>520</v>
      </c>
      <c r="B10171" s="4" t="s">
        <v>65</v>
      </c>
      <c r="C10171" s="4" t="n">
        <v>5</v>
      </c>
      <c r="D10171" s="4" t="s">
        <v>76</v>
      </c>
      <c r="E10171" s="3" t="s">
        <v>81</v>
      </c>
      <c r="F10171" s="4" t="str">
        <f aca="false">IF(I10171&gt;J10171,"Y","N")</f>
        <v>Y</v>
      </c>
      <c r="G10171" s="3" t="s">
        <v>36</v>
      </c>
      <c r="H10171" s="3" t="s">
        <v>37</v>
      </c>
      <c r="I10171" s="4" t="n">
        <v>15</v>
      </c>
      <c r="J10171" s="4" t="n">
        <f aca="false">LEN(E10171)-LEN(SUBSTITUTE(E10171,",",""))+1</f>
        <v>7</v>
      </c>
      <c r="K10171" s="3" t="str">
        <f aca="false">IFERROR(INDEX('Teacher Lookup'!$B$2:$B$200,MATCH(A10171,'Teacher Lookup'!$A$2:$A$200,0)),"")</f>
        <v>CHAN Wing</v>
      </c>
    </row>
    <row r="10172" customFormat="false" ht="15" hidden="false" customHeight="false" outlineLevel="0" collapsed="false">
      <c r="A10172" s="3" t="s">
        <v>520</v>
      </c>
      <c r="B10172" s="4" t="s">
        <v>65</v>
      </c>
      <c r="C10172" s="4" t="n">
        <v>5</v>
      </c>
      <c r="D10172" s="4" t="s">
        <v>78</v>
      </c>
      <c r="E10172" s="3" t="s">
        <v>81</v>
      </c>
      <c r="F10172" s="4" t="str">
        <f aca="false">IF(I10172&gt;J10172,"Y","N")</f>
        <v>Y</v>
      </c>
      <c r="G10172" s="3" t="s">
        <v>36</v>
      </c>
      <c r="H10172" s="3" t="s">
        <v>37</v>
      </c>
      <c r="I10172" s="4" t="n">
        <v>15</v>
      </c>
      <c r="J10172" s="4" t="n">
        <f aca="false">LEN(E10172)-LEN(SUBSTITUTE(E10172,",",""))+1</f>
        <v>7</v>
      </c>
      <c r="K10172" s="3" t="str">
        <f aca="false">IFERROR(INDEX('Teacher Lookup'!$B$2:$B$200,MATCH(A10172,'Teacher Lookup'!$A$2:$A$200,0)),"")</f>
        <v>CHAN Wing</v>
      </c>
    </row>
    <row r="10173" customFormat="false" ht="15" hidden="false" customHeight="false" outlineLevel="0" collapsed="false">
      <c r="A10173" s="3" t="s">
        <v>520</v>
      </c>
      <c r="B10173" s="4" t="s">
        <v>65</v>
      </c>
      <c r="C10173" s="4" t="n">
        <v>5</v>
      </c>
      <c r="D10173" s="4" t="s">
        <v>79</v>
      </c>
      <c r="E10173" s="3" t="s">
        <v>81</v>
      </c>
      <c r="F10173" s="4" t="str">
        <f aca="false">IF(I10173&gt;J10173,"Y","N")</f>
        <v>Y</v>
      </c>
      <c r="G10173" s="3" t="s">
        <v>36</v>
      </c>
      <c r="H10173" s="3" t="s">
        <v>37</v>
      </c>
      <c r="I10173" s="4" t="n">
        <v>15</v>
      </c>
      <c r="J10173" s="4" t="n">
        <f aca="false">LEN(E10173)-LEN(SUBSTITUTE(E10173,",",""))+1</f>
        <v>7</v>
      </c>
      <c r="K10173" s="3" t="str">
        <f aca="false">IFERROR(INDEX('Teacher Lookup'!$B$2:$B$200,MATCH(A10173,'Teacher Lookup'!$A$2:$A$200,0)),"")</f>
        <v>CHAN Wing</v>
      </c>
    </row>
    <row r="10174" customFormat="false" ht="15" hidden="false" customHeight="false" outlineLevel="0" collapsed="false">
      <c r="A10174" s="3" t="s">
        <v>520</v>
      </c>
      <c r="B10174" s="4" t="s">
        <v>65</v>
      </c>
      <c r="C10174" s="4" t="n">
        <v>7</v>
      </c>
      <c r="D10174" s="4" t="s">
        <v>132</v>
      </c>
      <c r="E10174" s="3" t="s">
        <v>293</v>
      </c>
      <c r="F10174" s="4" t="str">
        <f aca="false">IF(I10174&gt;J10174,"Y","N")</f>
        <v>N</v>
      </c>
      <c r="G10174" s="3" t="s">
        <v>15</v>
      </c>
      <c r="H10174" s="3" t="s">
        <v>39</v>
      </c>
      <c r="I10174" s="4" t="n">
        <v>1</v>
      </c>
      <c r="J10174" s="4" t="n">
        <f aca="false">LEN(E10174)-LEN(SUBSTITUTE(E10174,",",""))+1</f>
        <v>1</v>
      </c>
      <c r="K10174" s="3" t="str">
        <f aca="false">IFERROR(INDEX('Teacher Lookup'!$B$2:$B$200,MATCH(A10174,'Teacher Lookup'!$A$2:$A$200,0)),"")</f>
        <v>CHAN Wing</v>
      </c>
    </row>
    <row r="10175" customFormat="false" ht="15" hidden="false" customHeight="false" outlineLevel="0" collapsed="false">
      <c r="A10175" s="3" t="s">
        <v>520</v>
      </c>
      <c r="B10175" s="4" t="s">
        <v>66</v>
      </c>
      <c r="C10175" s="4" t="n">
        <v>1</v>
      </c>
      <c r="D10175" s="4" t="s">
        <v>102</v>
      </c>
      <c r="E10175" s="3" t="s">
        <v>227</v>
      </c>
      <c r="F10175" s="4" t="str">
        <f aca="false">IF(I10175&gt;J10175,"Y","N")</f>
        <v>N</v>
      </c>
      <c r="G10175" s="3" t="s">
        <v>15</v>
      </c>
      <c r="H10175" s="3" t="s">
        <v>16</v>
      </c>
      <c r="I10175" s="4" t="n">
        <v>5</v>
      </c>
      <c r="J10175" s="4" t="n">
        <f aca="false">LEN(E10175)-LEN(SUBSTITUTE(E10175,",",""))+1</f>
        <v>5</v>
      </c>
      <c r="K10175" s="3" t="str">
        <f aca="false">IFERROR(INDEX('Teacher Lookup'!$B$2:$B$200,MATCH(A10175,'Teacher Lookup'!$A$2:$A$200,0)),"")</f>
        <v>CHAN Wing</v>
      </c>
    </row>
    <row r="10176" customFormat="false" ht="15" hidden="false" customHeight="false" outlineLevel="0" collapsed="false">
      <c r="A10176" s="3" t="s">
        <v>520</v>
      </c>
      <c r="B10176" s="4" t="s">
        <v>66</v>
      </c>
      <c r="C10176" s="4" t="n">
        <v>1</v>
      </c>
      <c r="D10176" s="4" t="s">
        <v>105</v>
      </c>
      <c r="E10176" s="3" t="s">
        <v>227</v>
      </c>
      <c r="F10176" s="4" t="str">
        <f aca="false">IF(I10176&gt;J10176,"Y","N")</f>
        <v>N</v>
      </c>
      <c r="G10176" s="3" t="s">
        <v>15</v>
      </c>
      <c r="H10176" s="3" t="s">
        <v>16</v>
      </c>
      <c r="I10176" s="4" t="n">
        <v>5</v>
      </c>
      <c r="J10176" s="4" t="n">
        <f aca="false">LEN(E10176)-LEN(SUBSTITUTE(E10176,",",""))+1</f>
        <v>5</v>
      </c>
      <c r="K10176" s="3" t="str">
        <f aca="false">IFERROR(INDEX('Teacher Lookup'!$B$2:$B$200,MATCH(A10176,'Teacher Lookup'!$A$2:$A$200,0)),"")</f>
        <v>CHAN Wing</v>
      </c>
    </row>
    <row r="10177" customFormat="false" ht="15" hidden="false" customHeight="false" outlineLevel="0" collapsed="false">
      <c r="A10177" s="3" t="s">
        <v>520</v>
      </c>
      <c r="B10177" s="4" t="s">
        <v>66</v>
      </c>
      <c r="C10177" s="4" t="n">
        <v>1</v>
      </c>
      <c r="D10177" s="4" t="s">
        <v>106</v>
      </c>
      <c r="E10177" s="3" t="s">
        <v>227</v>
      </c>
      <c r="F10177" s="4" t="str">
        <f aca="false">IF(I10177&gt;J10177,"Y","N")</f>
        <v>N</v>
      </c>
      <c r="G10177" s="3" t="s">
        <v>15</v>
      </c>
      <c r="H10177" s="3" t="s">
        <v>16</v>
      </c>
      <c r="I10177" s="4" t="n">
        <v>5</v>
      </c>
      <c r="J10177" s="4" t="n">
        <f aca="false">LEN(E10177)-LEN(SUBSTITUTE(E10177,",",""))+1</f>
        <v>5</v>
      </c>
      <c r="K10177" s="3" t="str">
        <f aca="false">IFERROR(INDEX('Teacher Lookup'!$B$2:$B$200,MATCH(A10177,'Teacher Lookup'!$A$2:$A$200,0)),"")</f>
        <v>CHAN Wing</v>
      </c>
    </row>
    <row r="10178" customFormat="false" ht="15" hidden="false" customHeight="false" outlineLevel="0" collapsed="false">
      <c r="A10178" s="3" t="s">
        <v>520</v>
      </c>
      <c r="B10178" s="4" t="s">
        <v>66</v>
      </c>
      <c r="C10178" s="4" t="n">
        <v>1</v>
      </c>
      <c r="D10178" s="4" t="s">
        <v>107</v>
      </c>
      <c r="E10178" s="3" t="s">
        <v>227</v>
      </c>
      <c r="F10178" s="4" t="str">
        <f aca="false">IF(I10178&gt;J10178,"Y","N")</f>
        <v>N</v>
      </c>
      <c r="G10178" s="3" t="s">
        <v>15</v>
      </c>
      <c r="H10178" s="3" t="s">
        <v>16</v>
      </c>
      <c r="I10178" s="4" t="n">
        <v>5</v>
      </c>
      <c r="J10178" s="4" t="n">
        <f aca="false">LEN(E10178)-LEN(SUBSTITUTE(E10178,",",""))+1</f>
        <v>5</v>
      </c>
      <c r="K10178" s="3" t="str">
        <f aca="false">IFERROR(INDEX('Teacher Lookup'!$B$2:$B$200,MATCH(A10178,'Teacher Lookup'!$A$2:$A$200,0)),"")</f>
        <v>CHAN Wing</v>
      </c>
    </row>
    <row r="10179" customFormat="false" ht="15" hidden="false" customHeight="false" outlineLevel="0" collapsed="false">
      <c r="A10179" s="3" t="s">
        <v>520</v>
      </c>
      <c r="B10179" s="4" t="s">
        <v>66</v>
      </c>
      <c r="C10179" s="4" t="n">
        <v>2</v>
      </c>
      <c r="D10179" s="4" t="s">
        <v>132</v>
      </c>
      <c r="E10179" s="3" t="s">
        <v>293</v>
      </c>
      <c r="F10179" s="4" t="str">
        <f aca="false">IF(I10179&gt;J10179,"Y","N")</f>
        <v>N</v>
      </c>
      <c r="G10179" s="3" t="s">
        <v>15</v>
      </c>
      <c r="H10179" s="3" t="s">
        <v>21</v>
      </c>
      <c r="I10179" s="4" t="n">
        <v>1</v>
      </c>
      <c r="J10179" s="4" t="n">
        <f aca="false">LEN(E10179)-LEN(SUBSTITUTE(E10179,",",""))+1</f>
        <v>1</v>
      </c>
      <c r="K10179" s="3" t="str">
        <f aca="false">IFERROR(INDEX('Teacher Lookup'!$B$2:$B$200,MATCH(A10179,'Teacher Lookup'!$A$2:$A$200,0)),"")</f>
        <v>CHAN Wing</v>
      </c>
    </row>
    <row r="10180" customFormat="false" ht="15" hidden="false" customHeight="false" outlineLevel="0" collapsed="false">
      <c r="A10180" s="3" t="s">
        <v>520</v>
      </c>
      <c r="B10180" s="4" t="s">
        <v>66</v>
      </c>
      <c r="C10180" s="4" t="n">
        <v>4</v>
      </c>
      <c r="D10180" s="4" t="s">
        <v>70</v>
      </c>
      <c r="E10180" s="3" t="s">
        <v>225</v>
      </c>
      <c r="F10180" s="4" t="str">
        <f aca="false">IF(I10180&gt;J10180,"Y","N")</f>
        <v>N</v>
      </c>
      <c r="G10180" s="3" t="s">
        <v>15</v>
      </c>
      <c r="H10180" s="3" t="s">
        <v>34</v>
      </c>
      <c r="I10180" s="4" t="n">
        <v>4</v>
      </c>
      <c r="J10180" s="4" t="n">
        <f aca="false">LEN(E10180)-LEN(SUBSTITUTE(E10180,",",""))+1</f>
        <v>4</v>
      </c>
      <c r="K10180" s="3" t="str">
        <f aca="false">IFERROR(INDEX('Teacher Lookup'!$B$2:$B$200,MATCH(A10180,'Teacher Lookup'!$A$2:$A$200,0)),"")</f>
        <v>CHAN Wing</v>
      </c>
    </row>
    <row r="10181" customFormat="false" ht="15" hidden="false" customHeight="false" outlineLevel="0" collapsed="false">
      <c r="A10181" s="3" t="s">
        <v>520</v>
      </c>
      <c r="B10181" s="4" t="s">
        <v>66</v>
      </c>
      <c r="C10181" s="4" t="n">
        <v>4</v>
      </c>
      <c r="D10181" s="4" t="s">
        <v>73</v>
      </c>
      <c r="E10181" s="3" t="s">
        <v>225</v>
      </c>
      <c r="F10181" s="4" t="str">
        <f aca="false">IF(I10181&gt;J10181,"Y","N")</f>
        <v>N</v>
      </c>
      <c r="G10181" s="3" t="s">
        <v>15</v>
      </c>
      <c r="H10181" s="3" t="s">
        <v>34</v>
      </c>
      <c r="I10181" s="4" t="n">
        <v>4</v>
      </c>
      <c r="J10181" s="4" t="n">
        <f aca="false">LEN(E10181)-LEN(SUBSTITUTE(E10181,",",""))+1</f>
        <v>4</v>
      </c>
      <c r="K10181" s="3" t="str">
        <f aca="false">IFERROR(INDEX('Teacher Lookup'!$B$2:$B$200,MATCH(A10181,'Teacher Lookup'!$A$2:$A$200,0)),"")</f>
        <v>CHAN Wing</v>
      </c>
    </row>
    <row r="10182" customFormat="false" ht="15" hidden="false" customHeight="false" outlineLevel="0" collapsed="false">
      <c r="A10182" s="3" t="s">
        <v>520</v>
      </c>
      <c r="B10182" s="4" t="s">
        <v>66</v>
      </c>
      <c r="C10182" s="4" t="n">
        <v>4</v>
      </c>
      <c r="D10182" s="4" t="s">
        <v>74</v>
      </c>
      <c r="E10182" s="3" t="s">
        <v>225</v>
      </c>
      <c r="F10182" s="4" t="str">
        <f aca="false">IF(I10182&gt;J10182,"Y","N")</f>
        <v>N</v>
      </c>
      <c r="G10182" s="3" t="s">
        <v>15</v>
      </c>
      <c r="H10182" s="3" t="s">
        <v>34</v>
      </c>
      <c r="I10182" s="4" t="n">
        <v>4</v>
      </c>
      <c r="J10182" s="4" t="n">
        <f aca="false">LEN(E10182)-LEN(SUBSTITUTE(E10182,",",""))+1</f>
        <v>4</v>
      </c>
      <c r="K10182" s="3" t="str">
        <f aca="false">IFERROR(INDEX('Teacher Lookup'!$B$2:$B$200,MATCH(A10182,'Teacher Lookup'!$A$2:$A$200,0)),"")</f>
        <v>CHAN Wing</v>
      </c>
    </row>
    <row r="10183" customFormat="false" ht="15" hidden="false" customHeight="false" outlineLevel="0" collapsed="false">
      <c r="A10183" s="3" t="s">
        <v>521</v>
      </c>
      <c r="B10183" s="4" t="s">
        <v>12</v>
      </c>
      <c r="C10183" s="4" t="n">
        <v>3</v>
      </c>
      <c r="D10183" s="4" t="s">
        <v>24</v>
      </c>
      <c r="E10183" s="3" t="s">
        <v>25</v>
      </c>
      <c r="F10183" s="4" t="str">
        <f aca="false">IF(I10183&gt;J10183,"Y","N")</f>
        <v>N</v>
      </c>
      <c r="G10183" s="3" t="s">
        <v>15</v>
      </c>
      <c r="H10183" s="3" t="s">
        <v>26</v>
      </c>
      <c r="I10183" s="4" t="n">
        <v>6</v>
      </c>
      <c r="J10183" s="4" t="n">
        <f aca="false">LEN(E10183)-LEN(SUBSTITUTE(E10183,",",""))+1</f>
        <v>6</v>
      </c>
      <c r="K10183" s="3" t="str">
        <f aca="false">IFERROR(INDEX('Teacher Lookup'!$B$2:$B$200,MATCH(A10183,'Teacher Lookup'!$A$2:$A$200,0)),"")</f>
        <v>TSE Woody</v>
      </c>
    </row>
    <row r="10184" customFormat="false" ht="15" hidden="false" customHeight="false" outlineLevel="0" collapsed="false">
      <c r="A10184" s="3" t="s">
        <v>521</v>
      </c>
      <c r="B10184" s="4" t="s">
        <v>12</v>
      </c>
      <c r="C10184" s="4" t="n">
        <v>3</v>
      </c>
      <c r="D10184" s="4" t="s">
        <v>27</v>
      </c>
      <c r="E10184" s="3" t="s">
        <v>25</v>
      </c>
      <c r="F10184" s="4" t="str">
        <f aca="false">IF(I10184&gt;J10184,"Y","N")</f>
        <v>N</v>
      </c>
      <c r="G10184" s="3" t="s">
        <v>15</v>
      </c>
      <c r="H10184" s="3" t="s">
        <v>26</v>
      </c>
      <c r="I10184" s="4" t="n">
        <v>6</v>
      </c>
      <c r="J10184" s="4" t="n">
        <f aca="false">LEN(E10184)-LEN(SUBSTITUTE(E10184,",",""))+1</f>
        <v>6</v>
      </c>
      <c r="K10184" s="3" t="str">
        <f aca="false">IFERROR(INDEX('Teacher Lookup'!$B$2:$B$200,MATCH(A10184,'Teacher Lookup'!$A$2:$A$200,0)),"")</f>
        <v>TSE Woody</v>
      </c>
    </row>
    <row r="10185" customFormat="false" ht="15" hidden="false" customHeight="false" outlineLevel="0" collapsed="false">
      <c r="A10185" s="3" t="s">
        <v>521</v>
      </c>
      <c r="B10185" s="4" t="s">
        <v>12</v>
      </c>
      <c r="C10185" s="4" t="n">
        <v>3</v>
      </c>
      <c r="D10185" s="4" t="s">
        <v>28</v>
      </c>
      <c r="E10185" s="3" t="s">
        <v>25</v>
      </c>
      <c r="F10185" s="4" t="str">
        <f aca="false">IF(I10185&gt;J10185,"Y","N")</f>
        <v>N</v>
      </c>
      <c r="G10185" s="3" t="s">
        <v>15</v>
      </c>
      <c r="H10185" s="3" t="s">
        <v>26</v>
      </c>
      <c r="I10185" s="4" t="n">
        <v>6</v>
      </c>
      <c r="J10185" s="4" t="n">
        <f aca="false">LEN(E10185)-LEN(SUBSTITUTE(E10185,",",""))+1</f>
        <v>6</v>
      </c>
      <c r="K10185" s="3" t="str">
        <f aca="false">IFERROR(INDEX('Teacher Lookup'!$B$2:$B$200,MATCH(A10185,'Teacher Lookup'!$A$2:$A$200,0)),"")</f>
        <v>TSE Woody</v>
      </c>
    </row>
    <row r="10186" customFormat="false" ht="15" hidden="false" customHeight="false" outlineLevel="0" collapsed="false">
      <c r="A10186" s="3" t="s">
        <v>521</v>
      </c>
      <c r="B10186" s="4" t="s">
        <v>12</v>
      </c>
      <c r="C10186" s="4" t="n">
        <v>3</v>
      </c>
      <c r="D10186" s="4" t="s">
        <v>29</v>
      </c>
      <c r="E10186" s="3" t="s">
        <v>25</v>
      </c>
      <c r="F10186" s="4" t="str">
        <f aca="false">IF(I10186&gt;J10186,"Y","N")</f>
        <v>N</v>
      </c>
      <c r="G10186" s="3" t="s">
        <v>15</v>
      </c>
      <c r="H10186" s="3" t="s">
        <v>26</v>
      </c>
      <c r="I10186" s="4" t="n">
        <v>6</v>
      </c>
      <c r="J10186" s="4" t="n">
        <f aca="false">LEN(E10186)-LEN(SUBSTITUTE(E10186,",",""))+1</f>
        <v>6</v>
      </c>
      <c r="K10186" s="3" t="str">
        <f aca="false">IFERROR(INDEX('Teacher Lookup'!$B$2:$B$200,MATCH(A10186,'Teacher Lookup'!$A$2:$A$200,0)),"")</f>
        <v>TSE Woody</v>
      </c>
    </row>
    <row r="10187" customFormat="false" ht="15" hidden="false" customHeight="false" outlineLevel="0" collapsed="false">
      <c r="A10187" s="3" t="s">
        <v>521</v>
      </c>
      <c r="B10187" s="4" t="s">
        <v>12</v>
      </c>
      <c r="C10187" s="4" t="n">
        <v>3</v>
      </c>
      <c r="D10187" s="4" t="s">
        <v>30</v>
      </c>
      <c r="E10187" s="3" t="s">
        <v>25</v>
      </c>
      <c r="F10187" s="4" t="str">
        <f aca="false">IF(I10187&gt;J10187,"Y","N")</f>
        <v>N</v>
      </c>
      <c r="G10187" s="3" t="s">
        <v>15</v>
      </c>
      <c r="H10187" s="3" t="s">
        <v>26</v>
      </c>
      <c r="I10187" s="4" t="n">
        <v>6</v>
      </c>
      <c r="J10187" s="4" t="n">
        <f aca="false">LEN(E10187)-LEN(SUBSTITUTE(E10187,",",""))+1</f>
        <v>6</v>
      </c>
      <c r="K10187" s="3" t="str">
        <f aca="false">IFERROR(INDEX('Teacher Lookup'!$B$2:$B$200,MATCH(A10187,'Teacher Lookup'!$A$2:$A$200,0)),"")</f>
        <v>TSE Woody</v>
      </c>
    </row>
    <row r="10188" customFormat="false" ht="15" hidden="false" customHeight="false" outlineLevel="0" collapsed="false">
      <c r="A10188" s="3" t="s">
        <v>521</v>
      </c>
      <c r="B10188" s="4" t="s">
        <v>31</v>
      </c>
      <c r="C10188" s="4" t="n">
        <v>7</v>
      </c>
      <c r="D10188" s="4" t="s">
        <v>24</v>
      </c>
      <c r="E10188" s="3" t="s">
        <v>38</v>
      </c>
      <c r="F10188" s="4" t="str">
        <f aca="false">IF(I10188&gt;J10188,"Y","N")</f>
        <v>N</v>
      </c>
      <c r="G10188" s="3" t="s">
        <v>15</v>
      </c>
      <c r="H10188" s="3" t="s">
        <v>39</v>
      </c>
      <c r="I10188" s="4" t="n">
        <v>6</v>
      </c>
      <c r="J10188" s="4" t="n">
        <f aca="false">LEN(E10188)-LEN(SUBSTITUTE(E10188,",",""))+1</f>
        <v>6</v>
      </c>
      <c r="K10188" s="3" t="str">
        <f aca="false">IFERROR(INDEX('Teacher Lookup'!$B$2:$B$200,MATCH(A10188,'Teacher Lookup'!$A$2:$A$200,0)),"")</f>
        <v>TSE Woody</v>
      </c>
    </row>
    <row r="10189" customFormat="false" ht="15" hidden="false" customHeight="false" outlineLevel="0" collapsed="false">
      <c r="A10189" s="3" t="s">
        <v>521</v>
      </c>
      <c r="B10189" s="4" t="s">
        <v>31</v>
      </c>
      <c r="C10189" s="4" t="n">
        <v>7</v>
      </c>
      <c r="D10189" s="4" t="s">
        <v>27</v>
      </c>
      <c r="E10189" s="3" t="s">
        <v>38</v>
      </c>
      <c r="F10189" s="4" t="str">
        <f aca="false">IF(I10189&gt;J10189,"Y","N")</f>
        <v>N</v>
      </c>
      <c r="G10189" s="3" t="s">
        <v>15</v>
      </c>
      <c r="H10189" s="3" t="s">
        <v>39</v>
      </c>
      <c r="I10189" s="4" t="n">
        <v>6</v>
      </c>
      <c r="J10189" s="4" t="n">
        <f aca="false">LEN(E10189)-LEN(SUBSTITUTE(E10189,",",""))+1</f>
        <v>6</v>
      </c>
      <c r="K10189" s="3" t="str">
        <f aca="false">IFERROR(INDEX('Teacher Lookup'!$B$2:$B$200,MATCH(A10189,'Teacher Lookup'!$A$2:$A$200,0)),"")</f>
        <v>TSE Woody</v>
      </c>
    </row>
    <row r="10190" customFormat="false" ht="15" hidden="false" customHeight="false" outlineLevel="0" collapsed="false">
      <c r="A10190" s="3" t="s">
        <v>521</v>
      </c>
      <c r="B10190" s="4" t="s">
        <v>31</v>
      </c>
      <c r="C10190" s="4" t="n">
        <v>7</v>
      </c>
      <c r="D10190" s="4" t="s">
        <v>28</v>
      </c>
      <c r="E10190" s="3" t="s">
        <v>38</v>
      </c>
      <c r="F10190" s="4" t="str">
        <f aca="false">IF(I10190&gt;J10190,"Y","N")</f>
        <v>N</v>
      </c>
      <c r="G10190" s="3" t="s">
        <v>15</v>
      </c>
      <c r="H10190" s="3" t="s">
        <v>39</v>
      </c>
      <c r="I10190" s="4" t="n">
        <v>6</v>
      </c>
      <c r="J10190" s="4" t="n">
        <f aca="false">LEN(E10190)-LEN(SUBSTITUTE(E10190,",",""))+1</f>
        <v>6</v>
      </c>
      <c r="K10190" s="3" t="str">
        <f aca="false">IFERROR(INDEX('Teacher Lookup'!$B$2:$B$200,MATCH(A10190,'Teacher Lookup'!$A$2:$A$200,0)),"")</f>
        <v>TSE Woody</v>
      </c>
    </row>
    <row r="10191" customFormat="false" ht="15" hidden="false" customHeight="false" outlineLevel="0" collapsed="false">
      <c r="A10191" s="3" t="s">
        <v>521</v>
      </c>
      <c r="B10191" s="4" t="s">
        <v>31</v>
      </c>
      <c r="C10191" s="4" t="n">
        <v>7</v>
      </c>
      <c r="D10191" s="4" t="s">
        <v>29</v>
      </c>
      <c r="E10191" s="3" t="s">
        <v>38</v>
      </c>
      <c r="F10191" s="4" t="str">
        <f aca="false">IF(I10191&gt;J10191,"Y","N")</f>
        <v>N</v>
      </c>
      <c r="G10191" s="3" t="s">
        <v>15</v>
      </c>
      <c r="H10191" s="3" t="s">
        <v>39</v>
      </c>
      <c r="I10191" s="4" t="n">
        <v>6</v>
      </c>
      <c r="J10191" s="4" t="n">
        <f aca="false">LEN(E10191)-LEN(SUBSTITUTE(E10191,",",""))+1</f>
        <v>6</v>
      </c>
      <c r="K10191" s="3" t="str">
        <f aca="false">IFERROR(INDEX('Teacher Lookup'!$B$2:$B$200,MATCH(A10191,'Teacher Lookup'!$A$2:$A$200,0)),"")</f>
        <v>TSE Woody</v>
      </c>
    </row>
    <row r="10192" customFormat="false" ht="15" hidden="false" customHeight="false" outlineLevel="0" collapsed="false">
      <c r="A10192" s="3" t="s">
        <v>521</v>
      </c>
      <c r="B10192" s="4" t="s">
        <v>31</v>
      </c>
      <c r="C10192" s="4" t="n">
        <v>7</v>
      </c>
      <c r="D10192" s="4" t="s">
        <v>30</v>
      </c>
      <c r="E10192" s="3" t="s">
        <v>38</v>
      </c>
      <c r="F10192" s="4" t="str">
        <f aca="false">IF(I10192&gt;J10192,"Y","N")</f>
        <v>N</v>
      </c>
      <c r="G10192" s="3" t="s">
        <v>15</v>
      </c>
      <c r="H10192" s="3" t="s">
        <v>39</v>
      </c>
      <c r="I10192" s="4" t="n">
        <v>6</v>
      </c>
      <c r="J10192" s="4" t="n">
        <f aca="false">LEN(E10192)-LEN(SUBSTITUTE(E10192,",",""))+1</f>
        <v>6</v>
      </c>
      <c r="K10192" s="3" t="str">
        <f aca="false">IFERROR(INDEX('Teacher Lookup'!$B$2:$B$200,MATCH(A10192,'Teacher Lookup'!$A$2:$A$200,0)),"")</f>
        <v>TSE Woody</v>
      </c>
    </row>
    <row r="10193" customFormat="false" ht="15" hidden="false" customHeight="false" outlineLevel="0" collapsed="false">
      <c r="A10193" s="3" t="s">
        <v>521</v>
      </c>
      <c r="B10193" s="4" t="s">
        <v>40</v>
      </c>
      <c r="C10193" s="4" t="n">
        <v>2</v>
      </c>
      <c r="D10193" s="4" t="s">
        <v>24</v>
      </c>
      <c r="E10193" s="3" t="s">
        <v>41</v>
      </c>
      <c r="F10193" s="4" t="str">
        <f aca="false">IF(I10193&gt;J10193,"Y","N")</f>
        <v>N</v>
      </c>
      <c r="G10193" s="3" t="s">
        <v>15</v>
      </c>
      <c r="H10193" s="3" t="s">
        <v>21</v>
      </c>
      <c r="I10193" s="4" t="n">
        <v>6</v>
      </c>
      <c r="J10193" s="4" t="n">
        <f aca="false">LEN(E10193)-LEN(SUBSTITUTE(E10193,",",""))+1</f>
        <v>6</v>
      </c>
      <c r="K10193" s="3" t="str">
        <f aca="false">IFERROR(INDEX('Teacher Lookup'!$B$2:$B$200,MATCH(A10193,'Teacher Lookup'!$A$2:$A$200,0)),"")</f>
        <v>TSE Woody</v>
      </c>
    </row>
    <row r="10194" customFormat="false" ht="15" hidden="false" customHeight="false" outlineLevel="0" collapsed="false">
      <c r="A10194" s="3" t="s">
        <v>521</v>
      </c>
      <c r="B10194" s="4" t="s">
        <v>40</v>
      </c>
      <c r="C10194" s="4" t="n">
        <v>2</v>
      </c>
      <c r="D10194" s="4" t="s">
        <v>27</v>
      </c>
      <c r="E10194" s="3" t="s">
        <v>41</v>
      </c>
      <c r="F10194" s="4" t="str">
        <f aca="false">IF(I10194&gt;J10194,"Y","N")</f>
        <v>N</v>
      </c>
      <c r="G10194" s="3" t="s">
        <v>15</v>
      </c>
      <c r="H10194" s="3" t="s">
        <v>21</v>
      </c>
      <c r="I10194" s="4" t="n">
        <v>6</v>
      </c>
      <c r="J10194" s="4" t="n">
        <f aca="false">LEN(E10194)-LEN(SUBSTITUTE(E10194,",",""))+1</f>
        <v>6</v>
      </c>
      <c r="K10194" s="3" t="str">
        <f aca="false">IFERROR(INDEX('Teacher Lookup'!$B$2:$B$200,MATCH(A10194,'Teacher Lookup'!$A$2:$A$200,0)),"")</f>
        <v>TSE Woody</v>
      </c>
    </row>
    <row r="10195" customFormat="false" ht="15" hidden="false" customHeight="false" outlineLevel="0" collapsed="false">
      <c r="A10195" s="3" t="s">
        <v>521</v>
      </c>
      <c r="B10195" s="4" t="s">
        <v>40</v>
      </c>
      <c r="C10195" s="4" t="n">
        <v>2</v>
      </c>
      <c r="D10195" s="4" t="s">
        <v>28</v>
      </c>
      <c r="E10195" s="3" t="s">
        <v>41</v>
      </c>
      <c r="F10195" s="4" t="str">
        <f aca="false">IF(I10195&gt;J10195,"Y","N")</f>
        <v>N</v>
      </c>
      <c r="G10195" s="3" t="s">
        <v>15</v>
      </c>
      <c r="H10195" s="3" t="s">
        <v>21</v>
      </c>
      <c r="I10195" s="4" t="n">
        <v>6</v>
      </c>
      <c r="J10195" s="4" t="n">
        <f aca="false">LEN(E10195)-LEN(SUBSTITUTE(E10195,",",""))+1</f>
        <v>6</v>
      </c>
      <c r="K10195" s="3" t="str">
        <f aca="false">IFERROR(INDEX('Teacher Lookup'!$B$2:$B$200,MATCH(A10195,'Teacher Lookup'!$A$2:$A$200,0)),"")</f>
        <v>TSE Woody</v>
      </c>
    </row>
    <row r="10196" customFormat="false" ht="15" hidden="false" customHeight="false" outlineLevel="0" collapsed="false">
      <c r="A10196" s="3" t="s">
        <v>521</v>
      </c>
      <c r="B10196" s="4" t="s">
        <v>40</v>
      </c>
      <c r="C10196" s="4" t="n">
        <v>2</v>
      </c>
      <c r="D10196" s="4" t="s">
        <v>29</v>
      </c>
      <c r="E10196" s="3" t="s">
        <v>41</v>
      </c>
      <c r="F10196" s="4" t="str">
        <f aca="false">IF(I10196&gt;J10196,"Y","N")</f>
        <v>N</v>
      </c>
      <c r="G10196" s="3" t="s">
        <v>15</v>
      </c>
      <c r="H10196" s="3" t="s">
        <v>21</v>
      </c>
      <c r="I10196" s="4" t="n">
        <v>6</v>
      </c>
      <c r="J10196" s="4" t="n">
        <f aca="false">LEN(E10196)-LEN(SUBSTITUTE(E10196,",",""))+1</f>
        <v>6</v>
      </c>
      <c r="K10196" s="3" t="str">
        <f aca="false">IFERROR(INDEX('Teacher Lookup'!$B$2:$B$200,MATCH(A10196,'Teacher Lookup'!$A$2:$A$200,0)),"")</f>
        <v>TSE Woody</v>
      </c>
    </row>
    <row r="10197" customFormat="false" ht="15" hidden="false" customHeight="false" outlineLevel="0" collapsed="false">
      <c r="A10197" s="3" t="s">
        <v>521</v>
      </c>
      <c r="B10197" s="4" t="s">
        <v>40</v>
      </c>
      <c r="C10197" s="4" t="n">
        <v>2</v>
      </c>
      <c r="D10197" s="4" t="s">
        <v>30</v>
      </c>
      <c r="E10197" s="3" t="s">
        <v>41</v>
      </c>
      <c r="F10197" s="4" t="str">
        <f aca="false">IF(I10197&gt;J10197,"Y","N")</f>
        <v>N</v>
      </c>
      <c r="G10197" s="3" t="s">
        <v>15</v>
      </c>
      <c r="H10197" s="3" t="s">
        <v>21</v>
      </c>
      <c r="I10197" s="4" t="n">
        <v>6</v>
      </c>
      <c r="J10197" s="4" t="n">
        <f aca="false">LEN(E10197)-LEN(SUBSTITUTE(E10197,",",""))+1</f>
        <v>6</v>
      </c>
      <c r="K10197" s="3" t="str">
        <f aca="false">IFERROR(INDEX('Teacher Lookup'!$B$2:$B$200,MATCH(A10197,'Teacher Lookup'!$A$2:$A$200,0)),"")</f>
        <v>TSE Woody</v>
      </c>
    </row>
    <row r="10198" customFormat="false" ht="15" hidden="false" customHeight="false" outlineLevel="0" collapsed="false">
      <c r="A10198" s="3" t="s">
        <v>521</v>
      </c>
      <c r="B10198" s="4" t="s">
        <v>44</v>
      </c>
      <c r="C10198" s="4" t="n">
        <v>2</v>
      </c>
      <c r="D10198" s="4" t="s">
        <v>24</v>
      </c>
      <c r="E10198" s="3" t="s">
        <v>45</v>
      </c>
      <c r="F10198" s="4" t="str">
        <f aca="false">IF(I10198&gt;J10198,"Y","N")</f>
        <v>N</v>
      </c>
      <c r="G10198" s="3" t="s">
        <v>15</v>
      </c>
      <c r="H10198" s="3" t="s">
        <v>21</v>
      </c>
      <c r="I10198" s="4" t="n">
        <v>6</v>
      </c>
      <c r="J10198" s="4" t="n">
        <f aca="false">LEN(E10198)-LEN(SUBSTITUTE(E10198,",",""))+1</f>
        <v>6</v>
      </c>
      <c r="K10198" s="3" t="str">
        <f aca="false">IFERROR(INDEX('Teacher Lookup'!$B$2:$B$200,MATCH(A10198,'Teacher Lookup'!$A$2:$A$200,0)),"")</f>
        <v>TSE Woody</v>
      </c>
    </row>
    <row r="10199" customFormat="false" ht="15" hidden="false" customHeight="false" outlineLevel="0" collapsed="false">
      <c r="A10199" s="3" t="s">
        <v>521</v>
      </c>
      <c r="B10199" s="4" t="s">
        <v>44</v>
      </c>
      <c r="C10199" s="4" t="n">
        <v>2</v>
      </c>
      <c r="D10199" s="4" t="s">
        <v>27</v>
      </c>
      <c r="E10199" s="3" t="s">
        <v>45</v>
      </c>
      <c r="F10199" s="4" t="str">
        <f aca="false">IF(I10199&gt;J10199,"Y","N")</f>
        <v>N</v>
      </c>
      <c r="G10199" s="3" t="s">
        <v>15</v>
      </c>
      <c r="H10199" s="3" t="s">
        <v>21</v>
      </c>
      <c r="I10199" s="4" t="n">
        <v>6</v>
      </c>
      <c r="J10199" s="4" t="n">
        <f aca="false">LEN(E10199)-LEN(SUBSTITUTE(E10199,",",""))+1</f>
        <v>6</v>
      </c>
      <c r="K10199" s="3" t="str">
        <f aca="false">IFERROR(INDEX('Teacher Lookup'!$B$2:$B$200,MATCH(A10199,'Teacher Lookup'!$A$2:$A$200,0)),"")</f>
        <v>TSE Woody</v>
      </c>
    </row>
    <row r="10200" customFormat="false" ht="15" hidden="false" customHeight="false" outlineLevel="0" collapsed="false">
      <c r="A10200" s="3" t="s">
        <v>521</v>
      </c>
      <c r="B10200" s="4" t="s">
        <v>44</v>
      </c>
      <c r="C10200" s="4" t="n">
        <v>2</v>
      </c>
      <c r="D10200" s="4" t="s">
        <v>28</v>
      </c>
      <c r="E10200" s="3" t="s">
        <v>45</v>
      </c>
      <c r="F10200" s="4" t="str">
        <f aca="false">IF(I10200&gt;J10200,"Y","N")</f>
        <v>N</v>
      </c>
      <c r="G10200" s="3" t="s">
        <v>15</v>
      </c>
      <c r="H10200" s="3" t="s">
        <v>21</v>
      </c>
      <c r="I10200" s="4" t="n">
        <v>6</v>
      </c>
      <c r="J10200" s="4" t="n">
        <f aca="false">LEN(E10200)-LEN(SUBSTITUTE(E10200,",",""))+1</f>
        <v>6</v>
      </c>
      <c r="K10200" s="3" t="str">
        <f aca="false">IFERROR(INDEX('Teacher Lookup'!$B$2:$B$200,MATCH(A10200,'Teacher Lookup'!$A$2:$A$200,0)),"")</f>
        <v>TSE Woody</v>
      </c>
    </row>
    <row r="10201" customFormat="false" ht="15" hidden="false" customHeight="false" outlineLevel="0" collapsed="false">
      <c r="A10201" s="3" t="s">
        <v>521</v>
      </c>
      <c r="B10201" s="4" t="s">
        <v>44</v>
      </c>
      <c r="C10201" s="4" t="n">
        <v>2</v>
      </c>
      <c r="D10201" s="4" t="s">
        <v>29</v>
      </c>
      <c r="E10201" s="3" t="s">
        <v>45</v>
      </c>
      <c r="F10201" s="4" t="str">
        <f aca="false">IF(I10201&gt;J10201,"Y","N")</f>
        <v>N</v>
      </c>
      <c r="G10201" s="3" t="s">
        <v>15</v>
      </c>
      <c r="H10201" s="3" t="s">
        <v>21</v>
      </c>
      <c r="I10201" s="4" t="n">
        <v>6</v>
      </c>
      <c r="J10201" s="4" t="n">
        <f aca="false">LEN(E10201)-LEN(SUBSTITUTE(E10201,",",""))+1</f>
        <v>6</v>
      </c>
      <c r="K10201" s="3" t="str">
        <f aca="false">IFERROR(INDEX('Teacher Lookup'!$B$2:$B$200,MATCH(A10201,'Teacher Lookup'!$A$2:$A$200,0)),"")</f>
        <v>TSE Woody</v>
      </c>
    </row>
    <row r="10202" customFormat="false" ht="15" hidden="false" customHeight="false" outlineLevel="0" collapsed="false">
      <c r="A10202" s="3" t="s">
        <v>521</v>
      </c>
      <c r="B10202" s="4" t="s">
        <v>44</v>
      </c>
      <c r="C10202" s="4" t="n">
        <v>2</v>
      </c>
      <c r="D10202" s="4" t="s">
        <v>30</v>
      </c>
      <c r="E10202" s="3" t="s">
        <v>45</v>
      </c>
      <c r="F10202" s="4" t="str">
        <f aca="false">IF(I10202&gt;J10202,"Y","N")</f>
        <v>N</v>
      </c>
      <c r="G10202" s="3" t="s">
        <v>15</v>
      </c>
      <c r="H10202" s="3" t="s">
        <v>21</v>
      </c>
      <c r="I10202" s="4" t="n">
        <v>6</v>
      </c>
      <c r="J10202" s="4" t="n">
        <f aca="false">LEN(E10202)-LEN(SUBSTITUTE(E10202,",",""))+1</f>
        <v>6</v>
      </c>
      <c r="K10202" s="3" t="str">
        <f aca="false">IFERROR(INDEX('Teacher Lookup'!$B$2:$B$200,MATCH(A10202,'Teacher Lookup'!$A$2:$A$200,0)),"")</f>
        <v>TSE Woody</v>
      </c>
    </row>
    <row r="10203" customFormat="false" ht="15" hidden="false" customHeight="false" outlineLevel="0" collapsed="false">
      <c r="A10203" s="3" t="s">
        <v>521</v>
      </c>
      <c r="B10203" s="4" t="s">
        <v>47</v>
      </c>
      <c r="C10203" s="4" t="n">
        <v>5</v>
      </c>
      <c r="D10203" s="4" t="s">
        <v>24</v>
      </c>
      <c r="E10203" s="3" t="s">
        <v>49</v>
      </c>
      <c r="F10203" s="4" t="str">
        <f aca="false">IF(I10203&gt;J10203,"Y","N")</f>
        <v>N</v>
      </c>
      <c r="G10203" s="3" t="s">
        <v>15</v>
      </c>
      <c r="H10203" s="3" t="s">
        <v>37</v>
      </c>
      <c r="I10203" s="4" t="n">
        <v>6</v>
      </c>
      <c r="J10203" s="4" t="n">
        <f aca="false">LEN(E10203)-LEN(SUBSTITUTE(E10203,",",""))+1</f>
        <v>6</v>
      </c>
      <c r="K10203" s="3" t="str">
        <f aca="false">IFERROR(INDEX('Teacher Lookup'!$B$2:$B$200,MATCH(A10203,'Teacher Lookup'!$A$2:$A$200,0)),"")</f>
        <v>TSE Woody</v>
      </c>
    </row>
    <row r="10204" customFormat="false" ht="15" hidden="false" customHeight="false" outlineLevel="0" collapsed="false">
      <c r="A10204" s="3" t="s">
        <v>521</v>
      </c>
      <c r="B10204" s="4" t="s">
        <v>47</v>
      </c>
      <c r="C10204" s="4" t="n">
        <v>5</v>
      </c>
      <c r="D10204" s="4" t="s">
        <v>27</v>
      </c>
      <c r="E10204" s="3" t="s">
        <v>49</v>
      </c>
      <c r="F10204" s="4" t="str">
        <f aca="false">IF(I10204&gt;J10204,"Y","N")</f>
        <v>N</v>
      </c>
      <c r="G10204" s="3" t="s">
        <v>15</v>
      </c>
      <c r="H10204" s="3" t="s">
        <v>37</v>
      </c>
      <c r="I10204" s="4" t="n">
        <v>6</v>
      </c>
      <c r="J10204" s="4" t="n">
        <f aca="false">LEN(E10204)-LEN(SUBSTITUTE(E10204,",",""))+1</f>
        <v>6</v>
      </c>
      <c r="K10204" s="3" t="str">
        <f aca="false">IFERROR(INDEX('Teacher Lookup'!$B$2:$B$200,MATCH(A10204,'Teacher Lookup'!$A$2:$A$200,0)),"")</f>
        <v>TSE Woody</v>
      </c>
    </row>
    <row r="10205" customFormat="false" ht="15" hidden="false" customHeight="false" outlineLevel="0" collapsed="false">
      <c r="A10205" s="3" t="s">
        <v>521</v>
      </c>
      <c r="B10205" s="4" t="s">
        <v>47</v>
      </c>
      <c r="C10205" s="4" t="n">
        <v>5</v>
      </c>
      <c r="D10205" s="4" t="s">
        <v>28</v>
      </c>
      <c r="E10205" s="3" t="s">
        <v>49</v>
      </c>
      <c r="F10205" s="4" t="str">
        <f aca="false">IF(I10205&gt;J10205,"Y","N")</f>
        <v>N</v>
      </c>
      <c r="G10205" s="3" t="s">
        <v>15</v>
      </c>
      <c r="H10205" s="3" t="s">
        <v>37</v>
      </c>
      <c r="I10205" s="4" t="n">
        <v>6</v>
      </c>
      <c r="J10205" s="4" t="n">
        <f aca="false">LEN(E10205)-LEN(SUBSTITUTE(E10205,",",""))+1</f>
        <v>6</v>
      </c>
      <c r="K10205" s="3" t="str">
        <f aca="false">IFERROR(INDEX('Teacher Lookup'!$B$2:$B$200,MATCH(A10205,'Teacher Lookup'!$A$2:$A$200,0)),"")</f>
        <v>TSE Woody</v>
      </c>
    </row>
    <row r="10206" customFormat="false" ht="15" hidden="false" customHeight="false" outlineLevel="0" collapsed="false">
      <c r="A10206" s="3" t="s">
        <v>521</v>
      </c>
      <c r="B10206" s="4" t="s">
        <v>47</v>
      </c>
      <c r="C10206" s="4" t="n">
        <v>5</v>
      </c>
      <c r="D10206" s="4" t="s">
        <v>29</v>
      </c>
      <c r="E10206" s="3" t="s">
        <v>49</v>
      </c>
      <c r="F10206" s="4" t="str">
        <f aca="false">IF(I10206&gt;J10206,"Y","N")</f>
        <v>N</v>
      </c>
      <c r="G10206" s="3" t="s">
        <v>15</v>
      </c>
      <c r="H10206" s="3" t="s">
        <v>37</v>
      </c>
      <c r="I10206" s="4" t="n">
        <v>6</v>
      </c>
      <c r="J10206" s="4" t="n">
        <f aca="false">LEN(E10206)-LEN(SUBSTITUTE(E10206,",",""))+1</f>
        <v>6</v>
      </c>
      <c r="K10206" s="3" t="str">
        <f aca="false">IFERROR(INDEX('Teacher Lookup'!$B$2:$B$200,MATCH(A10206,'Teacher Lookup'!$A$2:$A$200,0)),"")</f>
        <v>TSE Woody</v>
      </c>
    </row>
    <row r="10207" customFormat="false" ht="15" hidden="false" customHeight="false" outlineLevel="0" collapsed="false">
      <c r="A10207" s="3" t="s">
        <v>521</v>
      </c>
      <c r="B10207" s="4" t="s">
        <v>47</v>
      </c>
      <c r="C10207" s="4" t="n">
        <v>5</v>
      </c>
      <c r="D10207" s="4" t="s">
        <v>30</v>
      </c>
      <c r="E10207" s="3" t="s">
        <v>49</v>
      </c>
      <c r="F10207" s="4" t="str">
        <f aca="false">IF(I10207&gt;J10207,"Y","N")</f>
        <v>N</v>
      </c>
      <c r="G10207" s="3" t="s">
        <v>15</v>
      </c>
      <c r="H10207" s="3" t="s">
        <v>37</v>
      </c>
      <c r="I10207" s="4" t="n">
        <v>6</v>
      </c>
      <c r="J10207" s="4" t="n">
        <f aca="false">LEN(E10207)-LEN(SUBSTITUTE(E10207,",",""))+1</f>
        <v>6</v>
      </c>
      <c r="K10207" s="3" t="str">
        <f aca="false">IFERROR(INDEX('Teacher Lookup'!$B$2:$B$200,MATCH(A10207,'Teacher Lookup'!$A$2:$A$200,0)),"")</f>
        <v>TSE Woody</v>
      </c>
    </row>
    <row r="10208" customFormat="false" ht="15" hidden="false" customHeight="false" outlineLevel="0" collapsed="false">
      <c r="A10208" s="3" t="s">
        <v>521</v>
      </c>
      <c r="B10208" s="4" t="s">
        <v>50</v>
      </c>
      <c r="C10208" s="4" t="n">
        <v>3</v>
      </c>
      <c r="D10208" s="4" t="s">
        <v>24</v>
      </c>
      <c r="E10208" s="3" t="s">
        <v>41</v>
      </c>
      <c r="F10208" s="4" t="str">
        <f aca="false">IF(I10208&gt;J10208,"Y","N")</f>
        <v>N</v>
      </c>
      <c r="G10208" s="3" t="s">
        <v>15</v>
      </c>
      <c r="H10208" s="3" t="s">
        <v>26</v>
      </c>
      <c r="I10208" s="4" t="n">
        <v>6</v>
      </c>
      <c r="J10208" s="4" t="n">
        <f aca="false">LEN(E10208)-LEN(SUBSTITUTE(E10208,",",""))+1</f>
        <v>6</v>
      </c>
      <c r="K10208" s="3" t="str">
        <f aca="false">IFERROR(INDEX('Teacher Lookup'!$B$2:$B$200,MATCH(A10208,'Teacher Lookup'!$A$2:$A$200,0)),"")</f>
        <v>TSE Woody</v>
      </c>
    </row>
    <row r="10209" customFormat="false" ht="15" hidden="false" customHeight="false" outlineLevel="0" collapsed="false">
      <c r="A10209" s="3" t="s">
        <v>521</v>
      </c>
      <c r="B10209" s="4" t="s">
        <v>50</v>
      </c>
      <c r="C10209" s="4" t="n">
        <v>3</v>
      </c>
      <c r="D10209" s="4" t="s">
        <v>27</v>
      </c>
      <c r="E10209" s="3" t="s">
        <v>41</v>
      </c>
      <c r="F10209" s="4" t="str">
        <f aca="false">IF(I10209&gt;J10209,"Y","N")</f>
        <v>N</v>
      </c>
      <c r="G10209" s="3" t="s">
        <v>15</v>
      </c>
      <c r="H10209" s="3" t="s">
        <v>26</v>
      </c>
      <c r="I10209" s="4" t="n">
        <v>6</v>
      </c>
      <c r="J10209" s="4" t="n">
        <f aca="false">LEN(E10209)-LEN(SUBSTITUTE(E10209,",",""))+1</f>
        <v>6</v>
      </c>
      <c r="K10209" s="3" t="str">
        <f aca="false">IFERROR(INDEX('Teacher Lookup'!$B$2:$B$200,MATCH(A10209,'Teacher Lookup'!$A$2:$A$200,0)),"")</f>
        <v>TSE Woody</v>
      </c>
    </row>
    <row r="10210" customFormat="false" ht="15" hidden="false" customHeight="false" outlineLevel="0" collapsed="false">
      <c r="A10210" s="3" t="s">
        <v>521</v>
      </c>
      <c r="B10210" s="4" t="s">
        <v>50</v>
      </c>
      <c r="C10210" s="4" t="n">
        <v>3</v>
      </c>
      <c r="D10210" s="4" t="s">
        <v>28</v>
      </c>
      <c r="E10210" s="3" t="s">
        <v>41</v>
      </c>
      <c r="F10210" s="4" t="str">
        <f aca="false">IF(I10210&gt;J10210,"Y","N")</f>
        <v>N</v>
      </c>
      <c r="G10210" s="3" t="s">
        <v>15</v>
      </c>
      <c r="H10210" s="3" t="s">
        <v>26</v>
      </c>
      <c r="I10210" s="4" t="n">
        <v>6</v>
      </c>
      <c r="J10210" s="4" t="n">
        <f aca="false">LEN(E10210)-LEN(SUBSTITUTE(E10210,",",""))+1</f>
        <v>6</v>
      </c>
      <c r="K10210" s="3" t="str">
        <f aca="false">IFERROR(INDEX('Teacher Lookup'!$B$2:$B$200,MATCH(A10210,'Teacher Lookup'!$A$2:$A$200,0)),"")</f>
        <v>TSE Woody</v>
      </c>
    </row>
    <row r="10211" customFormat="false" ht="15" hidden="false" customHeight="false" outlineLevel="0" collapsed="false">
      <c r="A10211" s="3" t="s">
        <v>521</v>
      </c>
      <c r="B10211" s="4" t="s">
        <v>50</v>
      </c>
      <c r="C10211" s="4" t="n">
        <v>3</v>
      </c>
      <c r="D10211" s="4" t="s">
        <v>29</v>
      </c>
      <c r="E10211" s="3" t="s">
        <v>41</v>
      </c>
      <c r="F10211" s="4" t="str">
        <f aca="false">IF(I10211&gt;J10211,"Y","N")</f>
        <v>N</v>
      </c>
      <c r="G10211" s="3" t="s">
        <v>15</v>
      </c>
      <c r="H10211" s="3" t="s">
        <v>26</v>
      </c>
      <c r="I10211" s="4" t="n">
        <v>6</v>
      </c>
      <c r="J10211" s="4" t="n">
        <f aca="false">LEN(E10211)-LEN(SUBSTITUTE(E10211,",",""))+1</f>
        <v>6</v>
      </c>
      <c r="K10211" s="3" t="str">
        <f aca="false">IFERROR(INDEX('Teacher Lookup'!$B$2:$B$200,MATCH(A10211,'Teacher Lookup'!$A$2:$A$200,0)),"")</f>
        <v>TSE Woody</v>
      </c>
    </row>
    <row r="10212" customFormat="false" ht="15" hidden="false" customHeight="false" outlineLevel="0" collapsed="false">
      <c r="A10212" s="3" t="s">
        <v>521</v>
      </c>
      <c r="B10212" s="4" t="s">
        <v>50</v>
      </c>
      <c r="C10212" s="4" t="n">
        <v>3</v>
      </c>
      <c r="D10212" s="4" t="s">
        <v>30</v>
      </c>
      <c r="E10212" s="3" t="s">
        <v>41</v>
      </c>
      <c r="F10212" s="4" t="str">
        <f aca="false">IF(I10212&gt;J10212,"Y","N")</f>
        <v>N</v>
      </c>
      <c r="G10212" s="3" t="s">
        <v>15</v>
      </c>
      <c r="H10212" s="3" t="s">
        <v>26</v>
      </c>
      <c r="I10212" s="4" t="n">
        <v>6</v>
      </c>
      <c r="J10212" s="4" t="n">
        <f aca="false">LEN(E10212)-LEN(SUBSTITUTE(E10212,",",""))+1</f>
        <v>6</v>
      </c>
      <c r="K10212" s="3" t="str">
        <f aca="false">IFERROR(INDEX('Teacher Lookup'!$B$2:$B$200,MATCH(A10212,'Teacher Lookup'!$A$2:$A$200,0)),"")</f>
        <v>TSE Woody</v>
      </c>
    </row>
    <row r="10213" customFormat="false" ht="15" hidden="false" customHeight="false" outlineLevel="0" collapsed="false">
      <c r="A10213" s="3" t="s">
        <v>521</v>
      </c>
      <c r="B10213" s="4" t="s">
        <v>60</v>
      </c>
      <c r="C10213" s="4" t="n">
        <v>6</v>
      </c>
      <c r="D10213" s="4" t="s">
        <v>24</v>
      </c>
      <c r="E10213" s="3" t="s">
        <v>61</v>
      </c>
      <c r="F10213" s="4" t="str">
        <f aca="false">IF(I10213&gt;J10213,"Y","N")</f>
        <v>N</v>
      </c>
      <c r="G10213" s="3" t="s">
        <v>15</v>
      </c>
      <c r="H10213" s="3" t="s">
        <v>42</v>
      </c>
      <c r="I10213" s="4" t="n">
        <v>6</v>
      </c>
      <c r="J10213" s="4" t="n">
        <f aca="false">LEN(E10213)-LEN(SUBSTITUTE(E10213,",",""))+1</f>
        <v>6</v>
      </c>
      <c r="K10213" s="3" t="str">
        <f aca="false">IFERROR(INDEX('Teacher Lookup'!$B$2:$B$200,MATCH(A10213,'Teacher Lookup'!$A$2:$A$200,0)),"")</f>
        <v>TSE Woody</v>
      </c>
    </row>
    <row r="10214" customFormat="false" ht="15" hidden="false" customHeight="false" outlineLevel="0" collapsed="false">
      <c r="A10214" s="3" t="s">
        <v>521</v>
      </c>
      <c r="B10214" s="4" t="s">
        <v>60</v>
      </c>
      <c r="C10214" s="4" t="n">
        <v>6</v>
      </c>
      <c r="D10214" s="4" t="s">
        <v>27</v>
      </c>
      <c r="E10214" s="3" t="s">
        <v>61</v>
      </c>
      <c r="F10214" s="4" t="str">
        <f aca="false">IF(I10214&gt;J10214,"Y","N")</f>
        <v>N</v>
      </c>
      <c r="G10214" s="3" t="s">
        <v>15</v>
      </c>
      <c r="H10214" s="3" t="s">
        <v>42</v>
      </c>
      <c r="I10214" s="4" t="n">
        <v>6</v>
      </c>
      <c r="J10214" s="4" t="n">
        <f aca="false">LEN(E10214)-LEN(SUBSTITUTE(E10214,",",""))+1</f>
        <v>6</v>
      </c>
      <c r="K10214" s="3" t="str">
        <f aca="false">IFERROR(INDEX('Teacher Lookup'!$B$2:$B$200,MATCH(A10214,'Teacher Lookup'!$A$2:$A$200,0)),"")</f>
        <v>TSE Woody</v>
      </c>
    </row>
    <row r="10215" customFormat="false" ht="15" hidden="false" customHeight="false" outlineLevel="0" collapsed="false">
      <c r="A10215" s="3" t="s">
        <v>521</v>
      </c>
      <c r="B10215" s="4" t="s">
        <v>60</v>
      </c>
      <c r="C10215" s="4" t="n">
        <v>6</v>
      </c>
      <c r="D10215" s="4" t="s">
        <v>28</v>
      </c>
      <c r="E10215" s="3" t="s">
        <v>61</v>
      </c>
      <c r="F10215" s="4" t="str">
        <f aca="false">IF(I10215&gt;J10215,"Y","N")</f>
        <v>N</v>
      </c>
      <c r="G10215" s="3" t="s">
        <v>15</v>
      </c>
      <c r="H10215" s="3" t="s">
        <v>42</v>
      </c>
      <c r="I10215" s="4" t="n">
        <v>6</v>
      </c>
      <c r="J10215" s="4" t="n">
        <f aca="false">LEN(E10215)-LEN(SUBSTITUTE(E10215,",",""))+1</f>
        <v>6</v>
      </c>
      <c r="K10215" s="3" t="str">
        <f aca="false">IFERROR(INDEX('Teacher Lookup'!$B$2:$B$200,MATCH(A10215,'Teacher Lookup'!$A$2:$A$200,0)),"")</f>
        <v>TSE Woody</v>
      </c>
    </row>
    <row r="10216" customFormat="false" ht="15" hidden="false" customHeight="false" outlineLevel="0" collapsed="false">
      <c r="A10216" s="3" t="s">
        <v>521</v>
      </c>
      <c r="B10216" s="4" t="s">
        <v>60</v>
      </c>
      <c r="C10216" s="4" t="n">
        <v>6</v>
      </c>
      <c r="D10216" s="4" t="s">
        <v>29</v>
      </c>
      <c r="E10216" s="3" t="s">
        <v>61</v>
      </c>
      <c r="F10216" s="4" t="str">
        <f aca="false">IF(I10216&gt;J10216,"Y","N")</f>
        <v>N</v>
      </c>
      <c r="G10216" s="3" t="s">
        <v>15</v>
      </c>
      <c r="H10216" s="3" t="s">
        <v>42</v>
      </c>
      <c r="I10216" s="4" t="n">
        <v>6</v>
      </c>
      <c r="J10216" s="4" t="n">
        <f aca="false">LEN(E10216)-LEN(SUBSTITUTE(E10216,",",""))+1</f>
        <v>6</v>
      </c>
      <c r="K10216" s="3" t="str">
        <f aca="false">IFERROR(INDEX('Teacher Lookup'!$B$2:$B$200,MATCH(A10216,'Teacher Lookup'!$A$2:$A$200,0)),"")</f>
        <v>TSE Woody</v>
      </c>
    </row>
    <row r="10217" customFormat="false" ht="15" hidden="false" customHeight="false" outlineLevel="0" collapsed="false">
      <c r="A10217" s="3" t="s">
        <v>521</v>
      </c>
      <c r="B10217" s="4" t="s">
        <v>60</v>
      </c>
      <c r="C10217" s="4" t="n">
        <v>6</v>
      </c>
      <c r="D10217" s="4" t="s">
        <v>30</v>
      </c>
      <c r="E10217" s="3" t="s">
        <v>61</v>
      </c>
      <c r="F10217" s="4" t="str">
        <f aca="false">IF(I10217&gt;J10217,"Y","N")</f>
        <v>N</v>
      </c>
      <c r="G10217" s="3" t="s">
        <v>15</v>
      </c>
      <c r="H10217" s="3" t="s">
        <v>42</v>
      </c>
      <c r="I10217" s="4" t="n">
        <v>6</v>
      </c>
      <c r="J10217" s="4" t="n">
        <f aca="false">LEN(E10217)-LEN(SUBSTITUTE(E10217,",",""))+1</f>
        <v>6</v>
      </c>
      <c r="K10217" s="3" t="str">
        <f aca="false">IFERROR(INDEX('Teacher Lookup'!$B$2:$B$200,MATCH(A10217,'Teacher Lookup'!$A$2:$A$200,0)),"")</f>
        <v>TSE Woody</v>
      </c>
    </row>
    <row r="10218" customFormat="false" ht="15" hidden="false" customHeight="false" outlineLevel="0" collapsed="false">
      <c r="A10218" s="3" t="s">
        <v>521</v>
      </c>
      <c r="B10218" s="4" t="s">
        <v>63</v>
      </c>
      <c r="C10218" s="4" t="n">
        <v>1</v>
      </c>
      <c r="D10218" s="4" t="s">
        <v>24</v>
      </c>
      <c r="E10218" s="3" t="s">
        <v>64</v>
      </c>
      <c r="F10218" s="4" t="str">
        <f aca="false">IF(I10218&gt;J10218,"Y","N")</f>
        <v>N</v>
      </c>
      <c r="G10218" s="3" t="s">
        <v>15</v>
      </c>
      <c r="H10218" s="3" t="s">
        <v>16</v>
      </c>
      <c r="I10218" s="4" t="n">
        <v>6</v>
      </c>
      <c r="J10218" s="4" t="n">
        <f aca="false">LEN(E10218)-LEN(SUBSTITUTE(E10218,",",""))+1</f>
        <v>6</v>
      </c>
      <c r="K10218" s="3" t="str">
        <f aca="false">IFERROR(INDEX('Teacher Lookup'!$B$2:$B$200,MATCH(A10218,'Teacher Lookup'!$A$2:$A$200,0)),"")</f>
        <v>TSE Woody</v>
      </c>
    </row>
    <row r="10219" customFormat="false" ht="15" hidden="false" customHeight="false" outlineLevel="0" collapsed="false">
      <c r="A10219" s="3" t="s">
        <v>521</v>
      </c>
      <c r="B10219" s="4" t="s">
        <v>63</v>
      </c>
      <c r="C10219" s="4" t="n">
        <v>1</v>
      </c>
      <c r="D10219" s="4" t="s">
        <v>27</v>
      </c>
      <c r="E10219" s="3" t="s">
        <v>64</v>
      </c>
      <c r="F10219" s="4" t="str">
        <f aca="false">IF(I10219&gt;J10219,"Y","N")</f>
        <v>N</v>
      </c>
      <c r="G10219" s="3" t="s">
        <v>15</v>
      </c>
      <c r="H10219" s="3" t="s">
        <v>16</v>
      </c>
      <c r="I10219" s="4" t="n">
        <v>6</v>
      </c>
      <c r="J10219" s="4" t="n">
        <f aca="false">LEN(E10219)-LEN(SUBSTITUTE(E10219,",",""))+1</f>
        <v>6</v>
      </c>
      <c r="K10219" s="3" t="str">
        <f aca="false">IFERROR(INDEX('Teacher Lookup'!$B$2:$B$200,MATCH(A10219,'Teacher Lookup'!$A$2:$A$200,0)),"")</f>
        <v>TSE Woody</v>
      </c>
    </row>
    <row r="10220" customFormat="false" ht="15" hidden="false" customHeight="false" outlineLevel="0" collapsed="false">
      <c r="A10220" s="3" t="s">
        <v>521</v>
      </c>
      <c r="B10220" s="4" t="s">
        <v>63</v>
      </c>
      <c r="C10220" s="4" t="n">
        <v>1</v>
      </c>
      <c r="D10220" s="4" t="s">
        <v>28</v>
      </c>
      <c r="E10220" s="3" t="s">
        <v>64</v>
      </c>
      <c r="F10220" s="4" t="str">
        <f aca="false">IF(I10220&gt;J10220,"Y","N")</f>
        <v>N</v>
      </c>
      <c r="G10220" s="3" t="s">
        <v>15</v>
      </c>
      <c r="H10220" s="3" t="s">
        <v>16</v>
      </c>
      <c r="I10220" s="4" t="n">
        <v>6</v>
      </c>
      <c r="J10220" s="4" t="n">
        <f aca="false">LEN(E10220)-LEN(SUBSTITUTE(E10220,",",""))+1</f>
        <v>6</v>
      </c>
      <c r="K10220" s="3" t="str">
        <f aca="false">IFERROR(INDEX('Teacher Lookup'!$B$2:$B$200,MATCH(A10220,'Teacher Lookup'!$A$2:$A$200,0)),"")</f>
        <v>TSE Woody</v>
      </c>
    </row>
    <row r="10221" customFormat="false" ht="15" hidden="false" customHeight="false" outlineLevel="0" collapsed="false">
      <c r="A10221" s="3" t="s">
        <v>521</v>
      </c>
      <c r="B10221" s="4" t="s">
        <v>63</v>
      </c>
      <c r="C10221" s="4" t="n">
        <v>1</v>
      </c>
      <c r="D10221" s="4" t="s">
        <v>29</v>
      </c>
      <c r="E10221" s="3" t="s">
        <v>64</v>
      </c>
      <c r="F10221" s="4" t="str">
        <f aca="false">IF(I10221&gt;J10221,"Y","N")</f>
        <v>N</v>
      </c>
      <c r="G10221" s="3" t="s">
        <v>15</v>
      </c>
      <c r="H10221" s="3" t="s">
        <v>16</v>
      </c>
      <c r="I10221" s="4" t="n">
        <v>6</v>
      </c>
      <c r="J10221" s="4" t="n">
        <f aca="false">LEN(E10221)-LEN(SUBSTITUTE(E10221,",",""))+1</f>
        <v>6</v>
      </c>
      <c r="K10221" s="3" t="str">
        <f aca="false">IFERROR(INDEX('Teacher Lookup'!$B$2:$B$200,MATCH(A10221,'Teacher Lookup'!$A$2:$A$200,0)),"")</f>
        <v>TSE Woody</v>
      </c>
    </row>
    <row r="10222" customFormat="false" ht="15" hidden="false" customHeight="false" outlineLevel="0" collapsed="false">
      <c r="A10222" s="3" t="s">
        <v>521</v>
      </c>
      <c r="B10222" s="4" t="s">
        <v>63</v>
      </c>
      <c r="C10222" s="4" t="n">
        <v>1</v>
      </c>
      <c r="D10222" s="4" t="s">
        <v>30</v>
      </c>
      <c r="E10222" s="3" t="s">
        <v>64</v>
      </c>
      <c r="F10222" s="4" t="str">
        <f aca="false">IF(I10222&gt;J10222,"Y","N")</f>
        <v>N</v>
      </c>
      <c r="G10222" s="3" t="s">
        <v>15</v>
      </c>
      <c r="H10222" s="3" t="s">
        <v>16</v>
      </c>
      <c r="I10222" s="4" t="n">
        <v>6</v>
      </c>
      <c r="J10222" s="4" t="n">
        <f aca="false">LEN(E10222)-LEN(SUBSTITUTE(E10222,",",""))+1</f>
        <v>6</v>
      </c>
      <c r="K10222" s="3" t="str">
        <f aca="false">IFERROR(INDEX('Teacher Lookup'!$B$2:$B$200,MATCH(A10222,'Teacher Lookup'!$A$2:$A$200,0)),"")</f>
        <v>TSE Woody</v>
      </c>
    </row>
    <row r="10223" customFormat="false" ht="15" hidden="false" customHeight="false" outlineLevel="0" collapsed="false">
      <c r="A10223" s="3" t="s">
        <v>521</v>
      </c>
      <c r="B10223" s="4" t="s">
        <v>63</v>
      </c>
      <c r="C10223" s="4" t="n">
        <v>4</v>
      </c>
      <c r="D10223" s="4" t="s">
        <v>70</v>
      </c>
      <c r="E10223" s="3" t="s">
        <v>213</v>
      </c>
      <c r="F10223" s="4" t="str">
        <f aca="false">IF(I10223&gt;J10223,"Y","N")</f>
        <v>Y</v>
      </c>
      <c r="G10223" s="3" t="s">
        <v>214</v>
      </c>
      <c r="H10223" s="3" t="s">
        <v>34</v>
      </c>
      <c r="I10223" s="4" t="n">
        <v>20</v>
      </c>
      <c r="J10223" s="4" t="n">
        <f aca="false">LEN(E10223)-LEN(SUBSTITUTE(E10223,",",""))+1</f>
        <v>6</v>
      </c>
      <c r="K10223" s="3" t="str">
        <f aca="false">IFERROR(INDEX('Teacher Lookup'!$B$2:$B$200,MATCH(A10223,'Teacher Lookup'!$A$2:$A$200,0)),"")</f>
        <v>TSE Woody</v>
      </c>
    </row>
    <row r="10224" customFormat="false" ht="15" hidden="false" customHeight="false" outlineLevel="0" collapsed="false">
      <c r="A10224" s="3" t="s">
        <v>521</v>
      </c>
      <c r="B10224" s="4" t="s">
        <v>63</v>
      </c>
      <c r="C10224" s="4" t="n">
        <v>4</v>
      </c>
      <c r="D10224" s="4" t="s">
        <v>73</v>
      </c>
      <c r="E10224" s="3" t="s">
        <v>213</v>
      </c>
      <c r="F10224" s="4" t="str">
        <f aca="false">IF(I10224&gt;J10224,"Y","N")</f>
        <v>Y</v>
      </c>
      <c r="G10224" s="3" t="s">
        <v>214</v>
      </c>
      <c r="H10224" s="3" t="s">
        <v>34</v>
      </c>
      <c r="I10224" s="4" t="n">
        <v>20</v>
      </c>
      <c r="J10224" s="4" t="n">
        <f aca="false">LEN(E10224)-LEN(SUBSTITUTE(E10224,",",""))+1</f>
        <v>6</v>
      </c>
      <c r="K10224" s="3" t="str">
        <f aca="false">IFERROR(INDEX('Teacher Lookup'!$B$2:$B$200,MATCH(A10224,'Teacher Lookup'!$A$2:$A$200,0)),"")</f>
        <v>TSE Woody</v>
      </c>
    </row>
    <row r="10225" customFormat="false" ht="15" hidden="false" customHeight="false" outlineLevel="0" collapsed="false">
      <c r="A10225" s="3" t="s">
        <v>521</v>
      </c>
      <c r="B10225" s="4" t="s">
        <v>63</v>
      </c>
      <c r="C10225" s="4" t="n">
        <v>4</v>
      </c>
      <c r="D10225" s="4" t="s">
        <v>74</v>
      </c>
      <c r="E10225" s="3" t="s">
        <v>213</v>
      </c>
      <c r="F10225" s="4" t="str">
        <f aca="false">IF(I10225&gt;J10225,"Y","N")</f>
        <v>Y</v>
      </c>
      <c r="G10225" s="3" t="s">
        <v>214</v>
      </c>
      <c r="H10225" s="3" t="s">
        <v>34</v>
      </c>
      <c r="I10225" s="4" t="n">
        <v>20</v>
      </c>
      <c r="J10225" s="4" t="n">
        <f aca="false">LEN(E10225)-LEN(SUBSTITUTE(E10225,",",""))+1</f>
        <v>6</v>
      </c>
      <c r="K10225" s="3" t="str">
        <f aca="false">IFERROR(INDEX('Teacher Lookup'!$B$2:$B$200,MATCH(A10225,'Teacher Lookup'!$A$2:$A$200,0)),"")</f>
        <v>TSE Woody</v>
      </c>
    </row>
    <row r="10226" customFormat="false" ht="15" hidden="false" customHeight="false" outlineLevel="0" collapsed="false">
      <c r="A10226" s="3" t="s">
        <v>521</v>
      </c>
      <c r="B10226" s="4" t="s">
        <v>63</v>
      </c>
      <c r="C10226" s="4" t="n">
        <v>4</v>
      </c>
      <c r="D10226" s="4" t="s">
        <v>76</v>
      </c>
      <c r="E10226" s="3" t="s">
        <v>213</v>
      </c>
      <c r="F10226" s="4" t="str">
        <f aca="false">IF(I10226&gt;J10226,"Y","N")</f>
        <v>Y</v>
      </c>
      <c r="G10226" s="3" t="s">
        <v>214</v>
      </c>
      <c r="H10226" s="3" t="s">
        <v>34</v>
      </c>
      <c r="I10226" s="4" t="n">
        <v>20</v>
      </c>
      <c r="J10226" s="4" t="n">
        <f aca="false">LEN(E10226)-LEN(SUBSTITUTE(E10226,",",""))+1</f>
        <v>6</v>
      </c>
      <c r="K10226" s="3" t="str">
        <f aca="false">IFERROR(INDEX('Teacher Lookup'!$B$2:$B$200,MATCH(A10226,'Teacher Lookup'!$A$2:$A$200,0)),"")</f>
        <v>TSE Woody</v>
      </c>
    </row>
    <row r="10227" customFormat="false" ht="15" hidden="false" customHeight="false" outlineLevel="0" collapsed="false">
      <c r="A10227" s="3" t="s">
        <v>521</v>
      </c>
      <c r="B10227" s="4" t="s">
        <v>63</v>
      </c>
      <c r="C10227" s="4" t="n">
        <v>4</v>
      </c>
      <c r="D10227" s="4" t="s">
        <v>78</v>
      </c>
      <c r="E10227" s="3" t="s">
        <v>213</v>
      </c>
      <c r="F10227" s="4" t="str">
        <f aca="false">IF(I10227&gt;J10227,"Y","N")</f>
        <v>Y</v>
      </c>
      <c r="G10227" s="3" t="s">
        <v>214</v>
      </c>
      <c r="H10227" s="3" t="s">
        <v>34</v>
      </c>
      <c r="I10227" s="4" t="n">
        <v>20</v>
      </c>
      <c r="J10227" s="4" t="n">
        <f aca="false">LEN(E10227)-LEN(SUBSTITUTE(E10227,",",""))+1</f>
        <v>6</v>
      </c>
      <c r="K10227" s="3" t="str">
        <f aca="false">IFERROR(INDEX('Teacher Lookup'!$B$2:$B$200,MATCH(A10227,'Teacher Lookup'!$A$2:$A$200,0)),"")</f>
        <v>TSE Woody</v>
      </c>
    </row>
    <row r="10228" customFormat="false" ht="15" hidden="false" customHeight="false" outlineLevel="0" collapsed="false">
      <c r="A10228" s="3" t="s">
        <v>521</v>
      </c>
      <c r="B10228" s="4" t="s">
        <v>63</v>
      </c>
      <c r="C10228" s="4" t="n">
        <v>4</v>
      </c>
      <c r="D10228" s="4" t="s">
        <v>79</v>
      </c>
      <c r="E10228" s="3" t="s">
        <v>213</v>
      </c>
      <c r="F10228" s="4" t="str">
        <f aca="false">IF(I10228&gt;J10228,"Y","N")</f>
        <v>Y</v>
      </c>
      <c r="G10228" s="3" t="s">
        <v>214</v>
      </c>
      <c r="H10228" s="3" t="s">
        <v>34</v>
      </c>
      <c r="I10228" s="4" t="n">
        <v>20</v>
      </c>
      <c r="J10228" s="4" t="n">
        <f aca="false">LEN(E10228)-LEN(SUBSTITUTE(E10228,",",""))+1</f>
        <v>6</v>
      </c>
      <c r="K10228" s="3" t="str">
        <f aca="false">IFERROR(INDEX('Teacher Lookup'!$B$2:$B$200,MATCH(A10228,'Teacher Lookup'!$A$2:$A$200,0)),"")</f>
        <v>TSE Woody</v>
      </c>
    </row>
    <row r="10229" customFormat="false" ht="15" hidden="false" customHeight="false" outlineLevel="0" collapsed="false">
      <c r="A10229" s="3" t="s">
        <v>521</v>
      </c>
      <c r="B10229" s="4" t="s">
        <v>63</v>
      </c>
      <c r="C10229" s="4" t="n">
        <v>5</v>
      </c>
      <c r="D10229" s="4" t="s">
        <v>70</v>
      </c>
      <c r="E10229" s="3" t="s">
        <v>213</v>
      </c>
      <c r="F10229" s="4" t="str">
        <f aca="false">IF(I10229&gt;J10229,"Y","N")</f>
        <v>Y</v>
      </c>
      <c r="G10229" s="3" t="s">
        <v>214</v>
      </c>
      <c r="H10229" s="3" t="s">
        <v>37</v>
      </c>
      <c r="I10229" s="4" t="n">
        <v>20</v>
      </c>
      <c r="J10229" s="4" t="n">
        <f aca="false">LEN(E10229)-LEN(SUBSTITUTE(E10229,",",""))+1</f>
        <v>6</v>
      </c>
      <c r="K10229" s="3" t="str">
        <f aca="false">IFERROR(INDEX('Teacher Lookup'!$B$2:$B$200,MATCH(A10229,'Teacher Lookup'!$A$2:$A$200,0)),"")</f>
        <v>TSE Woody</v>
      </c>
    </row>
    <row r="10230" customFormat="false" ht="15" hidden="false" customHeight="false" outlineLevel="0" collapsed="false">
      <c r="A10230" s="3" t="s">
        <v>521</v>
      </c>
      <c r="B10230" s="4" t="s">
        <v>63</v>
      </c>
      <c r="C10230" s="4" t="n">
        <v>5</v>
      </c>
      <c r="D10230" s="4" t="s">
        <v>73</v>
      </c>
      <c r="E10230" s="3" t="s">
        <v>213</v>
      </c>
      <c r="F10230" s="4" t="str">
        <f aca="false">IF(I10230&gt;J10230,"Y","N")</f>
        <v>Y</v>
      </c>
      <c r="G10230" s="3" t="s">
        <v>214</v>
      </c>
      <c r="H10230" s="3" t="s">
        <v>37</v>
      </c>
      <c r="I10230" s="4" t="n">
        <v>20</v>
      </c>
      <c r="J10230" s="4" t="n">
        <f aca="false">LEN(E10230)-LEN(SUBSTITUTE(E10230,",",""))+1</f>
        <v>6</v>
      </c>
      <c r="K10230" s="3" t="str">
        <f aca="false">IFERROR(INDEX('Teacher Lookup'!$B$2:$B$200,MATCH(A10230,'Teacher Lookup'!$A$2:$A$200,0)),"")</f>
        <v>TSE Woody</v>
      </c>
    </row>
    <row r="10231" customFormat="false" ht="15" hidden="false" customHeight="false" outlineLevel="0" collapsed="false">
      <c r="A10231" s="3" t="s">
        <v>521</v>
      </c>
      <c r="B10231" s="4" t="s">
        <v>63</v>
      </c>
      <c r="C10231" s="4" t="n">
        <v>5</v>
      </c>
      <c r="D10231" s="4" t="s">
        <v>74</v>
      </c>
      <c r="E10231" s="3" t="s">
        <v>213</v>
      </c>
      <c r="F10231" s="4" t="str">
        <f aca="false">IF(I10231&gt;J10231,"Y","N")</f>
        <v>Y</v>
      </c>
      <c r="G10231" s="3" t="s">
        <v>214</v>
      </c>
      <c r="H10231" s="3" t="s">
        <v>37</v>
      </c>
      <c r="I10231" s="4" t="n">
        <v>20</v>
      </c>
      <c r="J10231" s="4" t="n">
        <f aca="false">LEN(E10231)-LEN(SUBSTITUTE(E10231,",",""))+1</f>
        <v>6</v>
      </c>
      <c r="K10231" s="3" t="str">
        <f aca="false">IFERROR(INDEX('Teacher Lookup'!$B$2:$B$200,MATCH(A10231,'Teacher Lookup'!$A$2:$A$200,0)),"")</f>
        <v>TSE Woody</v>
      </c>
    </row>
    <row r="10232" customFormat="false" ht="15" hidden="false" customHeight="false" outlineLevel="0" collapsed="false">
      <c r="A10232" s="3" t="s">
        <v>521</v>
      </c>
      <c r="B10232" s="4" t="s">
        <v>63</v>
      </c>
      <c r="C10232" s="4" t="n">
        <v>5</v>
      </c>
      <c r="D10232" s="4" t="s">
        <v>76</v>
      </c>
      <c r="E10232" s="3" t="s">
        <v>213</v>
      </c>
      <c r="F10232" s="4" t="str">
        <f aca="false">IF(I10232&gt;J10232,"Y","N")</f>
        <v>Y</v>
      </c>
      <c r="G10232" s="3" t="s">
        <v>214</v>
      </c>
      <c r="H10232" s="3" t="s">
        <v>37</v>
      </c>
      <c r="I10232" s="4" t="n">
        <v>20</v>
      </c>
      <c r="J10232" s="4" t="n">
        <f aca="false">LEN(E10232)-LEN(SUBSTITUTE(E10232,",",""))+1</f>
        <v>6</v>
      </c>
      <c r="K10232" s="3" t="str">
        <f aca="false">IFERROR(INDEX('Teacher Lookup'!$B$2:$B$200,MATCH(A10232,'Teacher Lookup'!$A$2:$A$200,0)),"")</f>
        <v>TSE Woody</v>
      </c>
    </row>
    <row r="10233" customFormat="false" ht="15" hidden="false" customHeight="false" outlineLevel="0" collapsed="false">
      <c r="A10233" s="3" t="s">
        <v>521</v>
      </c>
      <c r="B10233" s="4" t="s">
        <v>63</v>
      </c>
      <c r="C10233" s="4" t="n">
        <v>5</v>
      </c>
      <c r="D10233" s="4" t="s">
        <v>78</v>
      </c>
      <c r="E10233" s="3" t="s">
        <v>213</v>
      </c>
      <c r="F10233" s="4" t="str">
        <f aca="false">IF(I10233&gt;J10233,"Y","N")</f>
        <v>Y</v>
      </c>
      <c r="G10233" s="3" t="s">
        <v>214</v>
      </c>
      <c r="H10233" s="3" t="s">
        <v>37</v>
      </c>
      <c r="I10233" s="4" t="n">
        <v>20</v>
      </c>
      <c r="J10233" s="4" t="n">
        <f aca="false">LEN(E10233)-LEN(SUBSTITUTE(E10233,",",""))+1</f>
        <v>6</v>
      </c>
      <c r="K10233" s="3" t="str">
        <f aca="false">IFERROR(INDEX('Teacher Lookup'!$B$2:$B$200,MATCH(A10233,'Teacher Lookup'!$A$2:$A$200,0)),"")</f>
        <v>TSE Woody</v>
      </c>
    </row>
    <row r="10234" customFormat="false" ht="15" hidden="false" customHeight="false" outlineLevel="0" collapsed="false">
      <c r="A10234" s="3" t="s">
        <v>521</v>
      </c>
      <c r="B10234" s="4" t="s">
        <v>63</v>
      </c>
      <c r="C10234" s="4" t="n">
        <v>5</v>
      </c>
      <c r="D10234" s="4" t="s">
        <v>79</v>
      </c>
      <c r="E10234" s="3" t="s">
        <v>213</v>
      </c>
      <c r="F10234" s="4" t="str">
        <f aca="false">IF(I10234&gt;J10234,"Y","N")</f>
        <v>Y</v>
      </c>
      <c r="G10234" s="3" t="s">
        <v>214</v>
      </c>
      <c r="H10234" s="3" t="s">
        <v>37</v>
      </c>
      <c r="I10234" s="4" t="n">
        <v>20</v>
      </c>
      <c r="J10234" s="4" t="n">
        <f aca="false">LEN(E10234)-LEN(SUBSTITUTE(E10234,",",""))+1</f>
        <v>6</v>
      </c>
      <c r="K10234" s="3" t="str">
        <f aca="false">IFERROR(INDEX('Teacher Lookup'!$B$2:$B$200,MATCH(A10234,'Teacher Lookup'!$A$2:$A$200,0)),"")</f>
        <v>TSE Woody</v>
      </c>
    </row>
    <row r="10235" customFormat="false" ht="15" hidden="false" customHeight="false" outlineLevel="0" collapsed="false">
      <c r="A10235" s="3" t="s">
        <v>521</v>
      </c>
      <c r="B10235" s="4" t="s">
        <v>65</v>
      </c>
      <c r="C10235" s="4" t="n">
        <v>2</v>
      </c>
      <c r="D10235" s="4" t="s">
        <v>24</v>
      </c>
      <c r="E10235" s="3" t="s">
        <v>64</v>
      </c>
      <c r="F10235" s="4" t="str">
        <f aca="false">IF(I10235&gt;J10235,"Y","N")</f>
        <v>N</v>
      </c>
      <c r="G10235" s="3" t="s">
        <v>15</v>
      </c>
      <c r="H10235" s="3" t="s">
        <v>21</v>
      </c>
      <c r="I10235" s="4" t="n">
        <v>6</v>
      </c>
      <c r="J10235" s="4" t="n">
        <f aca="false">LEN(E10235)-LEN(SUBSTITUTE(E10235,",",""))+1</f>
        <v>6</v>
      </c>
      <c r="K10235" s="3" t="str">
        <f aca="false">IFERROR(INDEX('Teacher Lookup'!$B$2:$B$200,MATCH(A10235,'Teacher Lookup'!$A$2:$A$200,0)),"")</f>
        <v>TSE Woody</v>
      </c>
    </row>
    <row r="10236" customFormat="false" ht="15" hidden="false" customHeight="false" outlineLevel="0" collapsed="false">
      <c r="A10236" s="3" t="s">
        <v>521</v>
      </c>
      <c r="B10236" s="4" t="s">
        <v>65</v>
      </c>
      <c r="C10236" s="4" t="n">
        <v>2</v>
      </c>
      <c r="D10236" s="4" t="s">
        <v>27</v>
      </c>
      <c r="E10236" s="3" t="s">
        <v>64</v>
      </c>
      <c r="F10236" s="4" t="str">
        <f aca="false">IF(I10236&gt;J10236,"Y","N")</f>
        <v>N</v>
      </c>
      <c r="G10236" s="3" t="s">
        <v>15</v>
      </c>
      <c r="H10236" s="3" t="s">
        <v>21</v>
      </c>
      <c r="I10236" s="4" t="n">
        <v>6</v>
      </c>
      <c r="J10236" s="4" t="n">
        <f aca="false">LEN(E10236)-LEN(SUBSTITUTE(E10236,",",""))+1</f>
        <v>6</v>
      </c>
      <c r="K10236" s="3" t="str">
        <f aca="false">IFERROR(INDEX('Teacher Lookup'!$B$2:$B$200,MATCH(A10236,'Teacher Lookup'!$A$2:$A$200,0)),"")</f>
        <v>TSE Woody</v>
      </c>
    </row>
    <row r="10237" customFormat="false" ht="15" hidden="false" customHeight="false" outlineLevel="0" collapsed="false">
      <c r="A10237" s="3" t="s">
        <v>521</v>
      </c>
      <c r="B10237" s="4" t="s">
        <v>65</v>
      </c>
      <c r="C10237" s="4" t="n">
        <v>2</v>
      </c>
      <c r="D10237" s="4" t="s">
        <v>28</v>
      </c>
      <c r="E10237" s="3" t="s">
        <v>64</v>
      </c>
      <c r="F10237" s="4" t="str">
        <f aca="false">IF(I10237&gt;J10237,"Y","N")</f>
        <v>N</v>
      </c>
      <c r="G10237" s="3" t="s">
        <v>15</v>
      </c>
      <c r="H10237" s="3" t="s">
        <v>21</v>
      </c>
      <c r="I10237" s="4" t="n">
        <v>6</v>
      </c>
      <c r="J10237" s="4" t="n">
        <f aca="false">LEN(E10237)-LEN(SUBSTITUTE(E10237,",",""))+1</f>
        <v>6</v>
      </c>
      <c r="K10237" s="3" t="str">
        <f aca="false">IFERROR(INDEX('Teacher Lookup'!$B$2:$B$200,MATCH(A10237,'Teacher Lookup'!$A$2:$A$200,0)),"")</f>
        <v>TSE Woody</v>
      </c>
    </row>
    <row r="10238" customFormat="false" ht="15" hidden="false" customHeight="false" outlineLevel="0" collapsed="false">
      <c r="A10238" s="3" t="s">
        <v>521</v>
      </c>
      <c r="B10238" s="4" t="s">
        <v>65</v>
      </c>
      <c r="C10238" s="4" t="n">
        <v>2</v>
      </c>
      <c r="D10238" s="4" t="s">
        <v>29</v>
      </c>
      <c r="E10238" s="3" t="s">
        <v>64</v>
      </c>
      <c r="F10238" s="4" t="str">
        <f aca="false">IF(I10238&gt;J10238,"Y","N")</f>
        <v>N</v>
      </c>
      <c r="G10238" s="3" t="s">
        <v>15</v>
      </c>
      <c r="H10238" s="3" t="s">
        <v>21</v>
      </c>
      <c r="I10238" s="4" t="n">
        <v>6</v>
      </c>
      <c r="J10238" s="4" t="n">
        <f aca="false">LEN(E10238)-LEN(SUBSTITUTE(E10238,",",""))+1</f>
        <v>6</v>
      </c>
      <c r="K10238" s="3" t="str">
        <f aca="false">IFERROR(INDEX('Teacher Lookup'!$B$2:$B$200,MATCH(A10238,'Teacher Lookup'!$A$2:$A$200,0)),"")</f>
        <v>TSE Woody</v>
      </c>
    </row>
    <row r="10239" customFormat="false" ht="15" hidden="false" customHeight="false" outlineLevel="0" collapsed="false">
      <c r="A10239" s="3" t="s">
        <v>521</v>
      </c>
      <c r="B10239" s="4" t="s">
        <v>65</v>
      </c>
      <c r="C10239" s="4" t="n">
        <v>2</v>
      </c>
      <c r="D10239" s="4" t="s">
        <v>30</v>
      </c>
      <c r="E10239" s="3" t="s">
        <v>64</v>
      </c>
      <c r="F10239" s="4" t="str">
        <f aca="false">IF(I10239&gt;J10239,"Y","N")</f>
        <v>N</v>
      </c>
      <c r="G10239" s="3" t="s">
        <v>15</v>
      </c>
      <c r="H10239" s="3" t="s">
        <v>21</v>
      </c>
      <c r="I10239" s="4" t="n">
        <v>6</v>
      </c>
      <c r="J10239" s="4" t="n">
        <f aca="false">LEN(E10239)-LEN(SUBSTITUTE(E10239,",",""))+1</f>
        <v>6</v>
      </c>
      <c r="K10239" s="3" t="str">
        <f aca="false">IFERROR(INDEX('Teacher Lookup'!$B$2:$B$200,MATCH(A10239,'Teacher Lookup'!$A$2:$A$200,0)),"")</f>
        <v>TSE Woody</v>
      </c>
    </row>
    <row r="10240" customFormat="false" ht="15" hidden="false" customHeight="false" outlineLevel="0" collapsed="false">
      <c r="A10240" s="3" t="s">
        <v>521</v>
      </c>
      <c r="B10240" s="4" t="s">
        <v>66</v>
      </c>
      <c r="C10240" s="4" t="n">
        <v>3</v>
      </c>
      <c r="D10240" s="4" t="s">
        <v>24</v>
      </c>
      <c r="E10240" s="3" t="s">
        <v>67</v>
      </c>
      <c r="F10240" s="4" t="str">
        <f aca="false">IF(I10240&gt;J10240,"Y","N")</f>
        <v>N</v>
      </c>
      <c r="G10240" s="3" t="s">
        <v>15</v>
      </c>
      <c r="H10240" s="3" t="s">
        <v>26</v>
      </c>
      <c r="I10240" s="4" t="n">
        <v>6</v>
      </c>
      <c r="J10240" s="4" t="n">
        <f aca="false">LEN(E10240)-LEN(SUBSTITUTE(E10240,",",""))+1</f>
        <v>6</v>
      </c>
      <c r="K10240" s="3" t="str">
        <f aca="false">IFERROR(INDEX('Teacher Lookup'!$B$2:$B$200,MATCH(A10240,'Teacher Lookup'!$A$2:$A$200,0)),"")</f>
        <v>TSE Woody</v>
      </c>
    </row>
    <row r="10241" customFormat="false" ht="15" hidden="false" customHeight="false" outlineLevel="0" collapsed="false">
      <c r="A10241" s="3" t="s">
        <v>521</v>
      </c>
      <c r="B10241" s="4" t="s">
        <v>66</v>
      </c>
      <c r="C10241" s="4" t="n">
        <v>3</v>
      </c>
      <c r="D10241" s="4" t="s">
        <v>27</v>
      </c>
      <c r="E10241" s="3" t="s">
        <v>67</v>
      </c>
      <c r="F10241" s="4" t="str">
        <f aca="false">IF(I10241&gt;J10241,"Y","N")</f>
        <v>N</v>
      </c>
      <c r="G10241" s="3" t="s">
        <v>15</v>
      </c>
      <c r="H10241" s="3" t="s">
        <v>26</v>
      </c>
      <c r="I10241" s="4" t="n">
        <v>6</v>
      </c>
      <c r="J10241" s="4" t="n">
        <f aca="false">LEN(E10241)-LEN(SUBSTITUTE(E10241,",",""))+1</f>
        <v>6</v>
      </c>
      <c r="K10241" s="3" t="str">
        <f aca="false">IFERROR(INDEX('Teacher Lookup'!$B$2:$B$200,MATCH(A10241,'Teacher Lookup'!$A$2:$A$200,0)),"")</f>
        <v>TSE Woody</v>
      </c>
    </row>
    <row r="10242" customFormat="false" ht="15" hidden="false" customHeight="false" outlineLevel="0" collapsed="false">
      <c r="A10242" s="3" t="s">
        <v>521</v>
      </c>
      <c r="B10242" s="4" t="s">
        <v>66</v>
      </c>
      <c r="C10242" s="4" t="n">
        <v>3</v>
      </c>
      <c r="D10242" s="4" t="s">
        <v>28</v>
      </c>
      <c r="E10242" s="3" t="s">
        <v>67</v>
      </c>
      <c r="F10242" s="4" t="str">
        <f aca="false">IF(I10242&gt;J10242,"Y","N")</f>
        <v>N</v>
      </c>
      <c r="G10242" s="3" t="s">
        <v>15</v>
      </c>
      <c r="H10242" s="3" t="s">
        <v>26</v>
      </c>
      <c r="I10242" s="4" t="n">
        <v>6</v>
      </c>
      <c r="J10242" s="4" t="n">
        <f aca="false">LEN(E10242)-LEN(SUBSTITUTE(E10242,",",""))+1</f>
        <v>6</v>
      </c>
      <c r="K10242" s="3" t="str">
        <f aca="false">IFERROR(INDEX('Teacher Lookup'!$B$2:$B$200,MATCH(A10242,'Teacher Lookup'!$A$2:$A$200,0)),"")</f>
        <v>TSE Woody</v>
      </c>
    </row>
    <row r="10243" customFormat="false" ht="15" hidden="false" customHeight="false" outlineLevel="0" collapsed="false">
      <c r="A10243" s="3" t="s">
        <v>521</v>
      </c>
      <c r="B10243" s="4" t="s">
        <v>66</v>
      </c>
      <c r="C10243" s="4" t="n">
        <v>3</v>
      </c>
      <c r="D10243" s="4" t="s">
        <v>29</v>
      </c>
      <c r="E10243" s="3" t="s">
        <v>67</v>
      </c>
      <c r="F10243" s="4" t="str">
        <f aca="false">IF(I10243&gt;J10243,"Y","N")</f>
        <v>N</v>
      </c>
      <c r="G10243" s="3" t="s">
        <v>15</v>
      </c>
      <c r="H10243" s="3" t="s">
        <v>26</v>
      </c>
      <c r="I10243" s="4" t="n">
        <v>6</v>
      </c>
      <c r="J10243" s="4" t="n">
        <f aca="false">LEN(E10243)-LEN(SUBSTITUTE(E10243,",",""))+1</f>
        <v>6</v>
      </c>
      <c r="K10243" s="3" t="str">
        <f aca="false">IFERROR(INDEX('Teacher Lookup'!$B$2:$B$200,MATCH(A10243,'Teacher Lookup'!$A$2:$A$200,0)),"")</f>
        <v>TSE Woody</v>
      </c>
    </row>
    <row r="10244" customFormat="false" ht="15" hidden="false" customHeight="false" outlineLevel="0" collapsed="false">
      <c r="A10244" s="3" t="s">
        <v>521</v>
      </c>
      <c r="B10244" s="4" t="s">
        <v>66</v>
      </c>
      <c r="C10244" s="4" t="n">
        <v>3</v>
      </c>
      <c r="D10244" s="4" t="s">
        <v>30</v>
      </c>
      <c r="E10244" s="3" t="s">
        <v>67</v>
      </c>
      <c r="F10244" s="4" t="str">
        <f aca="false">IF(I10244&gt;J10244,"Y","N")</f>
        <v>N</v>
      </c>
      <c r="G10244" s="3" t="s">
        <v>15</v>
      </c>
      <c r="H10244" s="3" t="s">
        <v>26</v>
      </c>
      <c r="I10244" s="4" t="n">
        <v>6</v>
      </c>
      <c r="J10244" s="4" t="n">
        <f aca="false">LEN(E10244)-LEN(SUBSTITUTE(E10244,",",""))+1</f>
        <v>6</v>
      </c>
      <c r="K10244" s="3" t="str">
        <f aca="false">IFERROR(INDEX('Teacher Lookup'!$B$2:$B$200,MATCH(A10244,'Teacher Lookup'!$A$2:$A$200,0)),"")</f>
        <v>TSE Woody</v>
      </c>
    </row>
    <row r="10245" customFormat="false" ht="15" hidden="false" customHeight="false" outlineLevel="0" collapsed="false">
      <c r="A10245" s="3" t="s">
        <v>522</v>
      </c>
      <c r="B10245" s="4" t="s">
        <v>12</v>
      </c>
      <c r="C10245" s="4" t="n">
        <v>4</v>
      </c>
      <c r="D10245" s="4" t="s">
        <v>19</v>
      </c>
      <c r="E10245" s="3" t="s">
        <v>390</v>
      </c>
      <c r="F10245" s="4" t="str">
        <f aca="false">IF(I10245&gt;J10245,"Y","N")</f>
        <v>Y</v>
      </c>
      <c r="G10245" s="3" t="s">
        <v>222</v>
      </c>
      <c r="H10245" s="3" t="s">
        <v>34</v>
      </c>
      <c r="I10245" s="4" t="n">
        <v>14</v>
      </c>
      <c r="J10245" s="4" t="n">
        <f aca="false">LEN(E10245)-LEN(SUBSTITUTE(E10245,",",""))+1</f>
        <v>7</v>
      </c>
      <c r="K10245" s="3" t="str">
        <f aca="false">IFERROR(INDEX('Teacher Lookup'!$B$2:$B$200,MATCH(A10245,'Teacher Lookup'!$A$2:$A$200,0)),"")</f>
        <v>HUNG Yuki</v>
      </c>
    </row>
    <row r="10246" customFormat="false" ht="15" hidden="false" customHeight="false" outlineLevel="0" collapsed="false">
      <c r="A10246" s="3" t="s">
        <v>522</v>
      </c>
      <c r="B10246" s="4" t="s">
        <v>12</v>
      </c>
      <c r="C10246" s="4" t="n">
        <v>4</v>
      </c>
      <c r="D10246" s="4" t="s">
        <v>22</v>
      </c>
      <c r="E10246" s="3" t="s">
        <v>390</v>
      </c>
      <c r="F10246" s="4" t="str">
        <f aca="false">IF(I10246&gt;J10246,"Y","N")</f>
        <v>Y</v>
      </c>
      <c r="G10246" s="3" t="s">
        <v>222</v>
      </c>
      <c r="H10246" s="3" t="s">
        <v>34</v>
      </c>
      <c r="I10246" s="4" t="n">
        <v>14</v>
      </c>
      <c r="J10246" s="4" t="n">
        <f aca="false">LEN(E10246)-LEN(SUBSTITUTE(E10246,",",""))+1</f>
        <v>7</v>
      </c>
      <c r="K10246" s="3" t="str">
        <f aca="false">IFERROR(INDEX('Teacher Lookup'!$B$2:$B$200,MATCH(A10246,'Teacher Lookup'!$A$2:$A$200,0)),"")</f>
        <v>HUNG Yuki</v>
      </c>
    </row>
    <row r="10247" customFormat="false" ht="15" hidden="false" customHeight="false" outlineLevel="0" collapsed="false">
      <c r="A10247" s="3" t="s">
        <v>522</v>
      </c>
      <c r="B10247" s="4" t="s">
        <v>12</v>
      </c>
      <c r="C10247" s="4" t="n">
        <v>4</v>
      </c>
      <c r="D10247" s="4" t="s">
        <v>23</v>
      </c>
      <c r="E10247" s="3" t="s">
        <v>390</v>
      </c>
      <c r="F10247" s="4" t="str">
        <f aca="false">IF(I10247&gt;J10247,"Y","N")</f>
        <v>Y</v>
      </c>
      <c r="G10247" s="3" t="s">
        <v>222</v>
      </c>
      <c r="H10247" s="3" t="s">
        <v>34</v>
      </c>
      <c r="I10247" s="4" t="n">
        <v>14</v>
      </c>
      <c r="J10247" s="4" t="n">
        <f aca="false">LEN(E10247)-LEN(SUBSTITUTE(E10247,",",""))+1</f>
        <v>7</v>
      </c>
      <c r="K10247" s="3" t="str">
        <f aca="false">IFERROR(INDEX('Teacher Lookup'!$B$2:$B$200,MATCH(A10247,'Teacher Lookup'!$A$2:$A$200,0)),"")</f>
        <v>HUNG Yuki</v>
      </c>
    </row>
    <row r="10248" customFormat="false" ht="15" hidden="false" customHeight="false" outlineLevel="0" collapsed="false">
      <c r="A10248" s="3" t="s">
        <v>522</v>
      </c>
      <c r="B10248" s="4" t="s">
        <v>12</v>
      </c>
      <c r="C10248" s="4" t="n">
        <v>4</v>
      </c>
      <c r="D10248" s="4" t="s">
        <v>13</v>
      </c>
      <c r="E10248" s="3" t="s">
        <v>390</v>
      </c>
      <c r="F10248" s="4" t="str">
        <f aca="false">IF(I10248&gt;J10248,"Y","N")</f>
        <v>Y</v>
      </c>
      <c r="G10248" s="3" t="s">
        <v>222</v>
      </c>
      <c r="H10248" s="3" t="s">
        <v>34</v>
      </c>
      <c r="I10248" s="4" t="n">
        <v>14</v>
      </c>
      <c r="J10248" s="4" t="n">
        <f aca="false">LEN(E10248)-LEN(SUBSTITUTE(E10248,",",""))+1</f>
        <v>7</v>
      </c>
      <c r="K10248" s="3" t="str">
        <f aca="false">IFERROR(INDEX('Teacher Lookup'!$B$2:$B$200,MATCH(A10248,'Teacher Lookup'!$A$2:$A$200,0)),"")</f>
        <v>HUNG Yuki</v>
      </c>
    </row>
    <row r="10249" customFormat="false" ht="15" hidden="false" customHeight="false" outlineLevel="0" collapsed="false">
      <c r="A10249" s="3" t="s">
        <v>522</v>
      </c>
      <c r="B10249" s="4" t="s">
        <v>12</v>
      </c>
      <c r="C10249" s="4" t="n">
        <v>4</v>
      </c>
      <c r="D10249" s="4" t="s">
        <v>17</v>
      </c>
      <c r="E10249" s="3" t="s">
        <v>390</v>
      </c>
      <c r="F10249" s="4" t="str">
        <f aca="false">IF(I10249&gt;J10249,"Y","N")</f>
        <v>Y</v>
      </c>
      <c r="G10249" s="3" t="s">
        <v>222</v>
      </c>
      <c r="H10249" s="3" t="s">
        <v>34</v>
      </c>
      <c r="I10249" s="4" t="n">
        <v>14</v>
      </c>
      <c r="J10249" s="4" t="n">
        <f aca="false">LEN(E10249)-LEN(SUBSTITUTE(E10249,",",""))+1</f>
        <v>7</v>
      </c>
      <c r="K10249" s="3" t="str">
        <f aca="false">IFERROR(INDEX('Teacher Lookup'!$B$2:$B$200,MATCH(A10249,'Teacher Lookup'!$A$2:$A$200,0)),"")</f>
        <v>HUNG Yuki</v>
      </c>
    </row>
    <row r="10250" customFormat="false" ht="15" hidden="false" customHeight="false" outlineLevel="0" collapsed="false">
      <c r="A10250" s="3" t="s">
        <v>522</v>
      </c>
      <c r="B10250" s="4" t="s">
        <v>12</v>
      </c>
      <c r="C10250" s="4" t="n">
        <v>4</v>
      </c>
      <c r="D10250" s="4" t="s">
        <v>18</v>
      </c>
      <c r="E10250" s="3" t="s">
        <v>390</v>
      </c>
      <c r="F10250" s="4" t="str">
        <f aca="false">IF(I10250&gt;J10250,"Y","N")</f>
        <v>Y</v>
      </c>
      <c r="G10250" s="3" t="s">
        <v>222</v>
      </c>
      <c r="H10250" s="3" t="s">
        <v>34</v>
      </c>
      <c r="I10250" s="4" t="n">
        <v>14</v>
      </c>
      <c r="J10250" s="4" t="n">
        <f aca="false">LEN(E10250)-LEN(SUBSTITUTE(E10250,",",""))+1</f>
        <v>7</v>
      </c>
      <c r="K10250" s="3" t="str">
        <f aca="false">IFERROR(INDEX('Teacher Lookup'!$B$2:$B$200,MATCH(A10250,'Teacher Lookup'!$A$2:$A$200,0)),"")</f>
        <v>HUNG Yuki</v>
      </c>
    </row>
    <row r="10251" customFormat="false" ht="15" hidden="false" customHeight="false" outlineLevel="0" collapsed="false">
      <c r="A10251" s="3" t="s">
        <v>522</v>
      </c>
      <c r="B10251" s="4" t="s">
        <v>12</v>
      </c>
      <c r="C10251" s="4" t="n">
        <v>5</v>
      </c>
      <c r="D10251" s="4" t="s">
        <v>19</v>
      </c>
      <c r="E10251" s="3" t="s">
        <v>390</v>
      </c>
      <c r="F10251" s="4" t="str">
        <f aca="false">IF(I10251&gt;J10251,"Y","N")</f>
        <v>Y</v>
      </c>
      <c r="G10251" s="3" t="s">
        <v>222</v>
      </c>
      <c r="H10251" s="3" t="s">
        <v>37</v>
      </c>
      <c r="I10251" s="4" t="n">
        <v>14</v>
      </c>
      <c r="J10251" s="4" t="n">
        <f aca="false">LEN(E10251)-LEN(SUBSTITUTE(E10251,",",""))+1</f>
        <v>7</v>
      </c>
      <c r="K10251" s="3" t="str">
        <f aca="false">IFERROR(INDEX('Teacher Lookup'!$B$2:$B$200,MATCH(A10251,'Teacher Lookup'!$A$2:$A$200,0)),"")</f>
        <v>HUNG Yuki</v>
      </c>
    </row>
    <row r="10252" customFormat="false" ht="15" hidden="false" customHeight="false" outlineLevel="0" collapsed="false">
      <c r="A10252" s="3" t="s">
        <v>522</v>
      </c>
      <c r="B10252" s="4" t="s">
        <v>12</v>
      </c>
      <c r="C10252" s="4" t="n">
        <v>5</v>
      </c>
      <c r="D10252" s="4" t="s">
        <v>22</v>
      </c>
      <c r="E10252" s="3" t="s">
        <v>390</v>
      </c>
      <c r="F10252" s="4" t="str">
        <f aca="false">IF(I10252&gt;J10252,"Y","N")</f>
        <v>Y</v>
      </c>
      <c r="G10252" s="3" t="s">
        <v>222</v>
      </c>
      <c r="H10252" s="3" t="s">
        <v>37</v>
      </c>
      <c r="I10252" s="4" t="n">
        <v>14</v>
      </c>
      <c r="J10252" s="4" t="n">
        <f aca="false">LEN(E10252)-LEN(SUBSTITUTE(E10252,",",""))+1</f>
        <v>7</v>
      </c>
      <c r="K10252" s="3" t="str">
        <f aca="false">IFERROR(INDEX('Teacher Lookup'!$B$2:$B$200,MATCH(A10252,'Teacher Lookup'!$A$2:$A$200,0)),"")</f>
        <v>HUNG Yuki</v>
      </c>
    </row>
    <row r="10253" customFormat="false" ht="15" hidden="false" customHeight="false" outlineLevel="0" collapsed="false">
      <c r="A10253" s="3" t="s">
        <v>522</v>
      </c>
      <c r="B10253" s="4" t="s">
        <v>12</v>
      </c>
      <c r="C10253" s="4" t="n">
        <v>5</v>
      </c>
      <c r="D10253" s="4" t="s">
        <v>23</v>
      </c>
      <c r="E10253" s="3" t="s">
        <v>390</v>
      </c>
      <c r="F10253" s="4" t="str">
        <f aca="false">IF(I10253&gt;J10253,"Y","N")</f>
        <v>Y</v>
      </c>
      <c r="G10253" s="3" t="s">
        <v>222</v>
      </c>
      <c r="H10253" s="3" t="s">
        <v>37</v>
      </c>
      <c r="I10253" s="4" t="n">
        <v>14</v>
      </c>
      <c r="J10253" s="4" t="n">
        <f aca="false">LEN(E10253)-LEN(SUBSTITUTE(E10253,",",""))+1</f>
        <v>7</v>
      </c>
      <c r="K10253" s="3" t="str">
        <f aca="false">IFERROR(INDEX('Teacher Lookup'!$B$2:$B$200,MATCH(A10253,'Teacher Lookup'!$A$2:$A$200,0)),"")</f>
        <v>HUNG Yuki</v>
      </c>
    </row>
    <row r="10254" customFormat="false" ht="15" hidden="false" customHeight="false" outlineLevel="0" collapsed="false">
      <c r="A10254" s="3" t="s">
        <v>522</v>
      </c>
      <c r="B10254" s="4" t="s">
        <v>12</v>
      </c>
      <c r="C10254" s="4" t="n">
        <v>5</v>
      </c>
      <c r="D10254" s="4" t="s">
        <v>13</v>
      </c>
      <c r="E10254" s="3" t="s">
        <v>390</v>
      </c>
      <c r="F10254" s="4" t="str">
        <f aca="false">IF(I10254&gt;J10254,"Y","N")</f>
        <v>Y</v>
      </c>
      <c r="G10254" s="3" t="s">
        <v>222</v>
      </c>
      <c r="H10254" s="3" t="s">
        <v>37</v>
      </c>
      <c r="I10254" s="4" t="n">
        <v>14</v>
      </c>
      <c r="J10254" s="4" t="n">
        <f aca="false">LEN(E10254)-LEN(SUBSTITUTE(E10254,",",""))+1</f>
        <v>7</v>
      </c>
      <c r="K10254" s="3" t="str">
        <f aca="false">IFERROR(INDEX('Teacher Lookup'!$B$2:$B$200,MATCH(A10254,'Teacher Lookup'!$A$2:$A$200,0)),"")</f>
        <v>HUNG Yuki</v>
      </c>
    </row>
    <row r="10255" customFormat="false" ht="15" hidden="false" customHeight="false" outlineLevel="0" collapsed="false">
      <c r="A10255" s="3" t="s">
        <v>522</v>
      </c>
      <c r="B10255" s="4" t="s">
        <v>12</v>
      </c>
      <c r="C10255" s="4" t="n">
        <v>5</v>
      </c>
      <c r="D10255" s="4" t="s">
        <v>17</v>
      </c>
      <c r="E10255" s="3" t="s">
        <v>390</v>
      </c>
      <c r="F10255" s="4" t="str">
        <f aca="false">IF(I10255&gt;J10255,"Y","N")</f>
        <v>Y</v>
      </c>
      <c r="G10255" s="3" t="s">
        <v>222</v>
      </c>
      <c r="H10255" s="3" t="s">
        <v>37</v>
      </c>
      <c r="I10255" s="4" t="n">
        <v>14</v>
      </c>
      <c r="J10255" s="4" t="n">
        <f aca="false">LEN(E10255)-LEN(SUBSTITUTE(E10255,",",""))+1</f>
        <v>7</v>
      </c>
      <c r="K10255" s="3" t="str">
        <f aca="false">IFERROR(INDEX('Teacher Lookup'!$B$2:$B$200,MATCH(A10255,'Teacher Lookup'!$A$2:$A$200,0)),"")</f>
        <v>HUNG Yuki</v>
      </c>
    </row>
    <row r="10256" customFormat="false" ht="15" hidden="false" customHeight="false" outlineLevel="0" collapsed="false">
      <c r="A10256" s="3" t="s">
        <v>522</v>
      </c>
      <c r="B10256" s="4" t="s">
        <v>12</v>
      </c>
      <c r="C10256" s="4" t="n">
        <v>5</v>
      </c>
      <c r="D10256" s="4" t="s">
        <v>18</v>
      </c>
      <c r="E10256" s="3" t="s">
        <v>390</v>
      </c>
      <c r="F10256" s="4" t="str">
        <f aca="false">IF(I10256&gt;J10256,"Y","N")</f>
        <v>Y</v>
      </c>
      <c r="G10256" s="3" t="s">
        <v>222</v>
      </c>
      <c r="H10256" s="3" t="s">
        <v>37</v>
      </c>
      <c r="I10256" s="4" t="n">
        <v>14</v>
      </c>
      <c r="J10256" s="4" t="n">
        <f aca="false">LEN(E10256)-LEN(SUBSTITUTE(E10256,",",""))+1</f>
        <v>7</v>
      </c>
      <c r="K10256" s="3" t="str">
        <f aca="false">IFERROR(INDEX('Teacher Lookup'!$B$2:$B$200,MATCH(A10256,'Teacher Lookup'!$A$2:$A$200,0)),"")</f>
        <v>HUNG Yuki</v>
      </c>
    </row>
    <row r="10257" customFormat="false" ht="15" hidden="false" customHeight="false" outlineLevel="0" collapsed="false">
      <c r="A10257" s="3" t="s">
        <v>522</v>
      </c>
      <c r="B10257" s="4" t="s">
        <v>44</v>
      </c>
      <c r="C10257" s="4" t="n">
        <v>7</v>
      </c>
      <c r="D10257" s="4" t="s">
        <v>127</v>
      </c>
      <c r="E10257" s="3" t="s">
        <v>298</v>
      </c>
      <c r="F10257" s="4" t="str">
        <f aca="false">IF(I10257&gt;J10257,"Y","N")</f>
        <v>N</v>
      </c>
      <c r="G10257" s="3" t="s">
        <v>299</v>
      </c>
      <c r="H10257" s="3" t="s">
        <v>39</v>
      </c>
      <c r="I10257" s="4" t="n">
        <v>2</v>
      </c>
      <c r="J10257" s="4" t="n">
        <f aca="false">LEN(E10257)-LEN(SUBSTITUTE(E10257,",",""))+1</f>
        <v>2</v>
      </c>
      <c r="K10257" s="3" t="str">
        <f aca="false">IFERROR(INDEX('Teacher Lookup'!$B$2:$B$200,MATCH(A10257,'Teacher Lookup'!$A$2:$A$200,0)),"")</f>
        <v>HUNG Yuki</v>
      </c>
    </row>
    <row r="10258" customFormat="false" ht="15" hidden="false" customHeight="false" outlineLevel="0" collapsed="false">
      <c r="A10258" s="3" t="s">
        <v>522</v>
      </c>
      <c r="B10258" s="4" t="s">
        <v>47</v>
      </c>
      <c r="C10258" s="4" t="n">
        <v>4</v>
      </c>
      <c r="D10258" s="4" t="s">
        <v>124</v>
      </c>
      <c r="E10258" s="3" t="s">
        <v>298</v>
      </c>
      <c r="F10258" s="4" t="str">
        <f aca="false">IF(I10258&gt;J10258,"Y","N")</f>
        <v>N</v>
      </c>
      <c r="G10258" s="3" t="s">
        <v>299</v>
      </c>
      <c r="H10258" s="3" t="s">
        <v>34</v>
      </c>
      <c r="I10258" s="4" t="n">
        <v>2</v>
      </c>
      <c r="J10258" s="4" t="n">
        <f aca="false">LEN(E10258)-LEN(SUBSTITUTE(E10258,",",""))+1</f>
        <v>2</v>
      </c>
      <c r="K10258" s="3" t="str">
        <f aca="false">IFERROR(INDEX('Teacher Lookup'!$B$2:$B$200,MATCH(A10258,'Teacher Lookup'!$A$2:$A$200,0)),"")</f>
        <v>HUNG Yuki</v>
      </c>
    </row>
    <row r="10259" customFormat="false" ht="15" hidden="false" customHeight="false" outlineLevel="0" collapsed="false">
      <c r="A10259" s="3" t="s">
        <v>522</v>
      </c>
      <c r="B10259" s="4" t="s">
        <v>50</v>
      </c>
      <c r="C10259" s="4" t="n">
        <v>4</v>
      </c>
      <c r="D10259" s="4" t="s">
        <v>137</v>
      </c>
      <c r="E10259" s="3" t="s">
        <v>221</v>
      </c>
      <c r="F10259" s="4" t="str">
        <f aca="false">IF(I10259&gt;J10259,"Y","N")</f>
        <v>Y</v>
      </c>
      <c r="G10259" s="3" t="s">
        <v>222</v>
      </c>
      <c r="H10259" s="3" t="s">
        <v>34</v>
      </c>
      <c r="I10259" s="4" t="n">
        <v>15</v>
      </c>
      <c r="J10259" s="4" t="n">
        <f aca="false">LEN(E10259)-LEN(SUBSTITUTE(E10259,",",""))+1</f>
        <v>7</v>
      </c>
      <c r="K10259" s="3" t="str">
        <f aca="false">IFERROR(INDEX('Teacher Lookup'!$B$2:$B$200,MATCH(A10259,'Teacher Lookup'!$A$2:$A$200,0)),"")</f>
        <v>HUNG Yuki</v>
      </c>
    </row>
    <row r="10260" customFormat="false" ht="15" hidden="false" customHeight="false" outlineLevel="0" collapsed="false">
      <c r="A10260" s="3" t="s">
        <v>522</v>
      </c>
      <c r="B10260" s="4" t="s">
        <v>50</v>
      </c>
      <c r="C10260" s="4" t="n">
        <v>4</v>
      </c>
      <c r="D10260" s="4" t="s">
        <v>124</v>
      </c>
      <c r="E10260" s="3" t="s">
        <v>221</v>
      </c>
      <c r="F10260" s="4" t="str">
        <f aca="false">IF(I10260&gt;J10260,"Y","N")</f>
        <v>Y</v>
      </c>
      <c r="G10260" s="3" t="s">
        <v>222</v>
      </c>
      <c r="H10260" s="3" t="s">
        <v>34</v>
      </c>
      <c r="I10260" s="4" t="n">
        <v>15</v>
      </c>
      <c r="J10260" s="4" t="n">
        <f aca="false">LEN(E10260)-LEN(SUBSTITUTE(E10260,",",""))+1</f>
        <v>7</v>
      </c>
      <c r="K10260" s="3" t="str">
        <f aca="false">IFERROR(INDEX('Teacher Lookup'!$B$2:$B$200,MATCH(A10260,'Teacher Lookup'!$A$2:$A$200,0)),"")</f>
        <v>HUNG Yuki</v>
      </c>
    </row>
    <row r="10261" customFormat="false" ht="15" hidden="false" customHeight="false" outlineLevel="0" collapsed="false">
      <c r="A10261" s="3" t="s">
        <v>522</v>
      </c>
      <c r="B10261" s="4" t="s">
        <v>50</v>
      </c>
      <c r="C10261" s="4" t="n">
        <v>4</v>
      </c>
      <c r="D10261" s="4" t="s">
        <v>139</v>
      </c>
      <c r="E10261" s="3" t="s">
        <v>221</v>
      </c>
      <c r="F10261" s="4" t="str">
        <f aca="false">IF(I10261&gt;J10261,"Y","N")</f>
        <v>Y</v>
      </c>
      <c r="G10261" s="3" t="s">
        <v>222</v>
      </c>
      <c r="H10261" s="3" t="s">
        <v>34</v>
      </c>
      <c r="I10261" s="4" t="n">
        <v>15</v>
      </c>
      <c r="J10261" s="4" t="n">
        <f aca="false">LEN(E10261)-LEN(SUBSTITUTE(E10261,",",""))+1</f>
        <v>7</v>
      </c>
      <c r="K10261" s="3" t="str">
        <f aca="false">IFERROR(INDEX('Teacher Lookup'!$B$2:$B$200,MATCH(A10261,'Teacher Lookup'!$A$2:$A$200,0)),"")</f>
        <v>HUNG Yuki</v>
      </c>
    </row>
    <row r="10262" customFormat="false" ht="15" hidden="false" customHeight="false" outlineLevel="0" collapsed="false">
      <c r="A10262" s="3" t="s">
        <v>522</v>
      </c>
      <c r="B10262" s="4" t="s">
        <v>50</v>
      </c>
      <c r="C10262" s="4" t="n">
        <v>4</v>
      </c>
      <c r="D10262" s="4" t="s">
        <v>140</v>
      </c>
      <c r="E10262" s="3" t="s">
        <v>221</v>
      </c>
      <c r="F10262" s="4" t="str">
        <f aca="false">IF(I10262&gt;J10262,"Y","N")</f>
        <v>Y</v>
      </c>
      <c r="G10262" s="3" t="s">
        <v>222</v>
      </c>
      <c r="H10262" s="3" t="s">
        <v>34</v>
      </c>
      <c r="I10262" s="4" t="n">
        <v>15</v>
      </c>
      <c r="J10262" s="4" t="n">
        <f aca="false">LEN(E10262)-LEN(SUBSTITUTE(E10262,",",""))+1</f>
        <v>7</v>
      </c>
      <c r="K10262" s="3" t="str">
        <f aca="false">IFERROR(INDEX('Teacher Lookup'!$B$2:$B$200,MATCH(A10262,'Teacher Lookup'!$A$2:$A$200,0)),"")</f>
        <v>HUNG Yuki</v>
      </c>
    </row>
    <row r="10263" customFormat="false" ht="15" hidden="false" customHeight="false" outlineLevel="0" collapsed="false">
      <c r="A10263" s="3" t="s">
        <v>522</v>
      </c>
      <c r="B10263" s="4" t="s">
        <v>50</v>
      </c>
      <c r="C10263" s="4" t="n">
        <v>4</v>
      </c>
      <c r="D10263" s="4" t="s">
        <v>142</v>
      </c>
      <c r="E10263" s="3" t="s">
        <v>221</v>
      </c>
      <c r="F10263" s="4" t="str">
        <f aca="false">IF(I10263&gt;J10263,"Y","N")</f>
        <v>Y</v>
      </c>
      <c r="G10263" s="3" t="s">
        <v>222</v>
      </c>
      <c r="H10263" s="3" t="s">
        <v>34</v>
      </c>
      <c r="I10263" s="4" t="n">
        <v>15</v>
      </c>
      <c r="J10263" s="4" t="n">
        <f aca="false">LEN(E10263)-LEN(SUBSTITUTE(E10263,",",""))+1</f>
        <v>7</v>
      </c>
      <c r="K10263" s="3" t="str">
        <f aca="false">IFERROR(INDEX('Teacher Lookup'!$B$2:$B$200,MATCH(A10263,'Teacher Lookup'!$A$2:$A$200,0)),"")</f>
        <v>HUNG Yuki</v>
      </c>
    </row>
    <row r="10264" customFormat="false" ht="15" hidden="false" customHeight="false" outlineLevel="0" collapsed="false">
      <c r="A10264" s="3" t="s">
        <v>522</v>
      </c>
      <c r="B10264" s="4" t="s">
        <v>50</v>
      </c>
      <c r="C10264" s="4" t="n">
        <v>4</v>
      </c>
      <c r="D10264" s="4" t="s">
        <v>127</v>
      </c>
      <c r="E10264" s="3" t="s">
        <v>221</v>
      </c>
      <c r="F10264" s="4" t="str">
        <f aca="false">IF(I10264&gt;J10264,"Y","N")</f>
        <v>Y</v>
      </c>
      <c r="G10264" s="3" t="s">
        <v>222</v>
      </c>
      <c r="H10264" s="3" t="s">
        <v>34</v>
      </c>
      <c r="I10264" s="4" t="n">
        <v>15</v>
      </c>
      <c r="J10264" s="4" t="n">
        <f aca="false">LEN(E10264)-LEN(SUBSTITUTE(E10264,",",""))+1</f>
        <v>7</v>
      </c>
      <c r="K10264" s="3" t="str">
        <f aca="false">IFERROR(INDEX('Teacher Lookup'!$B$2:$B$200,MATCH(A10264,'Teacher Lookup'!$A$2:$A$200,0)),"")</f>
        <v>HUNG Yuki</v>
      </c>
    </row>
    <row r="10265" customFormat="false" ht="15" hidden="false" customHeight="false" outlineLevel="0" collapsed="false">
      <c r="A10265" s="3" t="s">
        <v>522</v>
      </c>
      <c r="B10265" s="4" t="s">
        <v>50</v>
      </c>
      <c r="C10265" s="4" t="n">
        <v>5</v>
      </c>
      <c r="D10265" s="4" t="s">
        <v>137</v>
      </c>
      <c r="E10265" s="3" t="s">
        <v>221</v>
      </c>
      <c r="F10265" s="4" t="str">
        <f aca="false">IF(I10265&gt;J10265,"Y","N")</f>
        <v>Y</v>
      </c>
      <c r="G10265" s="3" t="s">
        <v>222</v>
      </c>
      <c r="H10265" s="3" t="s">
        <v>37</v>
      </c>
      <c r="I10265" s="4" t="n">
        <v>15</v>
      </c>
      <c r="J10265" s="4" t="n">
        <f aca="false">LEN(E10265)-LEN(SUBSTITUTE(E10265,",",""))+1</f>
        <v>7</v>
      </c>
      <c r="K10265" s="3" t="str">
        <f aca="false">IFERROR(INDEX('Teacher Lookup'!$B$2:$B$200,MATCH(A10265,'Teacher Lookup'!$A$2:$A$200,0)),"")</f>
        <v>HUNG Yuki</v>
      </c>
    </row>
    <row r="10266" customFormat="false" ht="15" hidden="false" customHeight="false" outlineLevel="0" collapsed="false">
      <c r="A10266" s="3" t="s">
        <v>522</v>
      </c>
      <c r="B10266" s="4" t="s">
        <v>50</v>
      </c>
      <c r="C10266" s="4" t="n">
        <v>5</v>
      </c>
      <c r="D10266" s="4" t="s">
        <v>124</v>
      </c>
      <c r="E10266" s="3" t="s">
        <v>221</v>
      </c>
      <c r="F10266" s="4" t="str">
        <f aca="false">IF(I10266&gt;J10266,"Y","N")</f>
        <v>Y</v>
      </c>
      <c r="G10266" s="3" t="s">
        <v>222</v>
      </c>
      <c r="H10266" s="3" t="s">
        <v>37</v>
      </c>
      <c r="I10266" s="4" t="n">
        <v>15</v>
      </c>
      <c r="J10266" s="4" t="n">
        <f aca="false">LEN(E10266)-LEN(SUBSTITUTE(E10266,",",""))+1</f>
        <v>7</v>
      </c>
      <c r="K10266" s="3" t="str">
        <f aca="false">IFERROR(INDEX('Teacher Lookup'!$B$2:$B$200,MATCH(A10266,'Teacher Lookup'!$A$2:$A$200,0)),"")</f>
        <v>HUNG Yuki</v>
      </c>
    </row>
    <row r="10267" customFormat="false" ht="15" hidden="false" customHeight="false" outlineLevel="0" collapsed="false">
      <c r="A10267" s="3" t="s">
        <v>522</v>
      </c>
      <c r="B10267" s="4" t="s">
        <v>50</v>
      </c>
      <c r="C10267" s="4" t="n">
        <v>5</v>
      </c>
      <c r="D10267" s="4" t="s">
        <v>139</v>
      </c>
      <c r="E10267" s="3" t="s">
        <v>221</v>
      </c>
      <c r="F10267" s="4" t="str">
        <f aca="false">IF(I10267&gt;J10267,"Y","N")</f>
        <v>Y</v>
      </c>
      <c r="G10267" s="3" t="s">
        <v>222</v>
      </c>
      <c r="H10267" s="3" t="s">
        <v>37</v>
      </c>
      <c r="I10267" s="4" t="n">
        <v>15</v>
      </c>
      <c r="J10267" s="4" t="n">
        <f aca="false">LEN(E10267)-LEN(SUBSTITUTE(E10267,",",""))+1</f>
        <v>7</v>
      </c>
      <c r="K10267" s="3" t="str">
        <f aca="false">IFERROR(INDEX('Teacher Lookup'!$B$2:$B$200,MATCH(A10267,'Teacher Lookup'!$A$2:$A$200,0)),"")</f>
        <v>HUNG Yuki</v>
      </c>
    </row>
    <row r="10268" customFormat="false" ht="15" hidden="false" customHeight="false" outlineLevel="0" collapsed="false">
      <c r="A10268" s="3" t="s">
        <v>522</v>
      </c>
      <c r="B10268" s="4" t="s">
        <v>50</v>
      </c>
      <c r="C10268" s="4" t="n">
        <v>5</v>
      </c>
      <c r="D10268" s="4" t="s">
        <v>140</v>
      </c>
      <c r="E10268" s="3" t="s">
        <v>221</v>
      </c>
      <c r="F10268" s="4" t="str">
        <f aca="false">IF(I10268&gt;J10268,"Y","N")</f>
        <v>Y</v>
      </c>
      <c r="G10268" s="3" t="s">
        <v>222</v>
      </c>
      <c r="H10268" s="3" t="s">
        <v>37</v>
      </c>
      <c r="I10268" s="4" t="n">
        <v>15</v>
      </c>
      <c r="J10268" s="4" t="n">
        <f aca="false">LEN(E10268)-LEN(SUBSTITUTE(E10268,",",""))+1</f>
        <v>7</v>
      </c>
      <c r="K10268" s="3" t="str">
        <f aca="false">IFERROR(INDEX('Teacher Lookup'!$B$2:$B$200,MATCH(A10268,'Teacher Lookup'!$A$2:$A$200,0)),"")</f>
        <v>HUNG Yuki</v>
      </c>
    </row>
    <row r="10269" customFormat="false" ht="15" hidden="false" customHeight="false" outlineLevel="0" collapsed="false">
      <c r="A10269" s="3" t="s">
        <v>522</v>
      </c>
      <c r="B10269" s="4" t="s">
        <v>50</v>
      </c>
      <c r="C10269" s="4" t="n">
        <v>5</v>
      </c>
      <c r="D10269" s="4" t="s">
        <v>142</v>
      </c>
      <c r="E10269" s="3" t="s">
        <v>221</v>
      </c>
      <c r="F10269" s="4" t="str">
        <f aca="false">IF(I10269&gt;J10269,"Y","N")</f>
        <v>Y</v>
      </c>
      <c r="G10269" s="3" t="s">
        <v>222</v>
      </c>
      <c r="H10269" s="3" t="s">
        <v>37</v>
      </c>
      <c r="I10269" s="4" t="n">
        <v>15</v>
      </c>
      <c r="J10269" s="4" t="n">
        <f aca="false">LEN(E10269)-LEN(SUBSTITUTE(E10269,",",""))+1</f>
        <v>7</v>
      </c>
      <c r="K10269" s="3" t="str">
        <f aca="false">IFERROR(INDEX('Teacher Lookup'!$B$2:$B$200,MATCH(A10269,'Teacher Lookup'!$A$2:$A$200,0)),"")</f>
        <v>HUNG Yuki</v>
      </c>
    </row>
    <row r="10270" customFormat="false" ht="15" hidden="false" customHeight="false" outlineLevel="0" collapsed="false">
      <c r="A10270" s="3" t="s">
        <v>522</v>
      </c>
      <c r="B10270" s="4" t="s">
        <v>50</v>
      </c>
      <c r="C10270" s="4" t="n">
        <v>5</v>
      </c>
      <c r="D10270" s="4" t="s">
        <v>127</v>
      </c>
      <c r="E10270" s="3" t="s">
        <v>221</v>
      </c>
      <c r="F10270" s="4" t="str">
        <f aca="false">IF(I10270&gt;J10270,"Y","N")</f>
        <v>Y</v>
      </c>
      <c r="G10270" s="3" t="s">
        <v>222</v>
      </c>
      <c r="H10270" s="3" t="s">
        <v>37</v>
      </c>
      <c r="I10270" s="4" t="n">
        <v>15</v>
      </c>
      <c r="J10270" s="4" t="n">
        <f aca="false">LEN(E10270)-LEN(SUBSTITUTE(E10270,",",""))+1</f>
        <v>7</v>
      </c>
      <c r="K10270" s="3" t="str">
        <f aca="false">IFERROR(INDEX('Teacher Lookup'!$B$2:$B$200,MATCH(A10270,'Teacher Lookup'!$A$2:$A$200,0)),"")</f>
        <v>HUNG Yuki</v>
      </c>
    </row>
    <row r="10271" customFormat="false" ht="15" hidden="false" customHeight="false" outlineLevel="0" collapsed="false">
      <c r="A10271" s="3" t="s">
        <v>522</v>
      </c>
      <c r="B10271" s="4" t="s">
        <v>50</v>
      </c>
      <c r="C10271" s="4" t="n">
        <v>6</v>
      </c>
      <c r="D10271" s="4" t="s">
        <v>52</v>
      </c>
      <c r="E10271" s="3" t="s">
        <v>53</v>
      </c>
      <c r="F10271" s="4" t="str">
        <f aca="false">IF(I10271&gt;J10271,"Y","N")</f>
        <v>N</v>
      </c>
      <c r="G10271" s="3" t="s">
        <v>54</v>
      </c>
      <c r="H10271" s="3" t="s">
        <v>42</v>
      </c>
      <c r="I10271" s="4" t="n">
        <v>7</v>
      </c>
      <c r="J10271" s="4" t="n">
        <f aca="false">LEN(E10271)-LEN(SUBSTITUTE(E10271,",",""))+1</f>
        <v>7</v>
      </c>
      <c r="K10271" s="3" t="str">
        <f aca="false">IFERROR(INDEX('Teacher Lookup'!$B$2:$B$200,MATCH(A10271,'Teacher Lookup'!$A$2:$A$200,0)),"")</f>
        <v>HUNG Yuki</v>
      </c>
    </row>
    <row r="10272" customFormat="false" ht="15" hidden="false" customHeight="false" outlineLevel="0" collapsed="false">
      <c r="A10272" s="3" t="s">
        <v>522</v>
      </c>
      <c r="B10272" s="4" t="s">
        <v>50</v>
      </c>
      <c r="C10272" s="4" t="n">
        <v>6</v>
      </c>
      <c r="D10272" s="4" t="s">
        <v>55</v>
      </c>
      <c r="E10272" s="3" t="s">
        <v>53</v>
      </c>
      <c r="F10272" s="4" t="str">
        <f aca="false">IF(I10272&gt;J10272,"Y","N")</f>
        <v>N</v>
      </c>
      <c r="G10272" s="3" t="s">
        <v>54</v>
      </c>
      <c r="H10272" s="3" t="s">
        <v>42</v>
      </c>
      <c r="I10272" s="4" t="n">
        <v>7</v>
      </c>
      <c r="J10272" s="4" t="n">
        <f aca="false">LEN(E10272)-LEN(SUBSTITUTE(E10272,",",""))+1</f>
        <v>7</v>
      </c>
      <c r="K10272" s="3" t="str">
        <f aca="false">IFERROR(INDEX('Teacher Lookup'!$B$2:$B$200,MATCH(A10272,'Teacher Lookup'!$A$2:$A$200,0)),"")</f>
        <v>HUNG Yuki</v>
      </c>
    </row>
    <row r="10273" customFormat="false" ht="15" hidden="false" customHeight="false" outlineLevel="0" collapsed="false">
      <c r="A10273" s="3" t="s">
        <v>522</v>
      </c>
      <c r="B10273" s="4" t="s">
        <v>50</v>
      </c>
      <c r="C10273" s="4" t="n">
        <v>6</v>
      </c>
      <c r="D10273" s="4" t="s">
        <v>56</v>
      </c>
      <c r="E10273" s="3" t="s">
        <v>53</v>
      </c>
      <c r="F10273" s="4" t="str">
        <f aca="false">IF(I10273&gt;J10273,"Y","N")</f>
        <v>N</v>
      </c>
      <c r="G10273" s="3" t="s">
        <v>54</v>
      </c>
      <c r="H10273" s="3" t="s">
        <v>42</v>
      </c>
      <c r="I10273" s="4" t="n">
        <v>7</v>
      </c>
      <c r="J10273" s="4" t="n">
        <f aca="false">LEN(E10273)-LEN(SUBSTITUTE(E10273,",",""))+1</f>
        <v>7</v>
      </c>
      <c r="K10273" s="3" t="str">
        <f aca="false">IFERROR(INDEX('Teacher Lookup'!$B$2:$B$200,MATCH(A10273,'Teacher Lookup'!$A$2:$A$200,0)),"")</f>
        <v>HUNG Yuki</v>
      </c>
    </row>
    <row r="10274" customFormat="false" ht="15" hidden="false" customHeight="false" outlineLevel="0" collapsed="false">
      <c r="A10274" s="3" t="s">
        <v>522</v>
      </c>
      <c r="B10274" s="4" t="s">
        <v>50</v>
      </c>
      <c r="C10274" s="4" t="n">
        <v>6</v>
      </c>
      <c r="D10274" s="4" t="s">
        <v>57</v>
      </c>
      <c r="E10274" s="3" t="s">
        <v>53</v>
      </c>
      <c r="F10274" s="4" t="str">
        <f aca="false">IF(I10274&gt;J10274,"Y","N")</f>
        <v>N</v>
      </c>
      <c r="G10274" s="3" t="s">
        <v>54</v>
      </c>
      <c r="H10274" s="3" t="s">
        <v>42</v>
      </c>
      <c r="I10274" s="4" t="n">
        <v>7</v>
      </c>
      <c r="J10274" s="4" t="n">
        <f aca="false">LEN(E10274)-LEN(SUBSTITUTE(E10274,",",""))+1</f>
        <v>7</v>
      </c>
      <c r="K10274" s="3" t="str">
        <f aca="false">IFERROR(INDEX('Teacher Lookup'!$B$2:$B$200,MATCH(A10274,'Teacher Lookup'!$A$2:$A$200,0)),"")</f>
        <v>HUNG Yuki</v>
      </c>
    </row>
    <row r="10275" customFormat="false" ht="15" hidden="false" customHeight="false" outlineLevel="0" collapsed="false">
      <c r="A10275" s="3" t="s">
        <v>522</v>
      </c>
      <c r="B10275" s="4" t="s">
        <v>50</v>
      </c>
      <c r="C10275" s="4" t="n">
        <v>6</v>
      </c>
      <c r="D10275" s="4" t="s">
        <v>58</v>
      </c>
      <c r="E10275" s="3" t="s">
        <v>53</v>
      </c>
      <c r="F10275" s="4" t="str">
        <f aca="false">IF(I10275&gt;J10275,"Y","N")</f>
        <v>N</v>
      </c>
      <c r="G10275" s="3" t="s">
        <v>54</v>
      </c>
      <c r="H10275" s="3" t="s">
        <v>42</v>
      </c>
      <c r="I10275" s="4" t="n">
        <v>7</v>
      </c>
      <c r="J10275" s="4" t="n">
        <f aca="false">LEN(E10275)-LEN(SUBSTITUTE(E10275,",",""))+1</f>
        <v>7</v>
      </c>
      <c r="K10275" s="3" t="str">
        <f aca="false">IFERROR(INDEX('Teacher Lookup'!$B$2:$B$200,MATCH(A10275,'Teacher Lookup'!$A$2:$A$200,0)),"")</f>
        <v>HUNG Yuki</v>
      </c>
    </row>
    <row r="10276" customFormat="false" ht="15" hidden="false" customHeight="false" outlineLevel="0" collapsed="false">
      <c r="A10276" s="3" t="s">
        <v>522</v>
      </c>
      <c r="B10276" s="4" t="s">
        <v>50</v>
      </c>
      <c r="C10276" s="4" t="n">
        <v>6</v>
      </c>
      <c r="D10276" s="4" t="s">
        <v>59</v>
      </c>
      <c r="E10276" s="3" t="s">
        <v>53</v>
      </c>
      <c r="F10276" s="4" t="str">
        <f aca="false">IF(I10276&gt;J10276,"Y","N")</f>
        <v>N</v>
      </c>
      <c r="G10276" s="3" t="s">
        <v>54</v>
      </c>
      <c r="H10276" s="3" t="s">
        <v>42</v>
      </c>
      <c r="I10276" s="4" t="n">
        <v>7</v>
      </c>
      <c r="J10276" s="4" t="n">
        <f aca="false">LEN(E10276)-LEN(SUBSTITUTE(E10276,",",""))+1</f>
        <v>7</v>
      </c>
      <c r="K10276" s="3" t="str">
        <f aca="false">IFERROR(INDEX('Teacher Lookup'!$B$2:$B$200,MATCH(A10276,'Teacher Lookup'!$A$2:$A$200,0)),"")</f>
        <v>HUNG Yuki</v>
      </c>
    </row>
    <row r="10277" customFormat="false" ht="15" hidden="false" customHeight="false" outlineLevel="0" collapsed="false">
      <c r="A10277" s="3" t="s">
        <v>522</v>
      </c>
      <c r="B10277" s="4" t="s">
        <v>50</v>
      </c>
      <c r="C10277" s="4" t="n">
        <v>7</v>
      </c>
      <c r="D10277" s="4" t="s">
        <v>52</v>
      </c>
      <c r="E10277" s="3" t="s">
        <v>53</v>
      </c>
      <c r="F10277" s="4" t="str">
        <f aca="false">IF(I10277&gt;J10277,"Y","N")</f>
        <v>N</v>
      </c>
      <c r="G10277" s="3" t="s">
        <v>54</v>
      </c>
      <c r="H10277" s="3" t="s">
        <v>39</v>
      </c>
      <c r="I10277" s="4" t="n">
        <v>7</v>
      </c>
      <c r="J10277" s="4" t="n">
        <f aca="false">LEN(E10277)-LEN(SUBSTITUTE(E10277,",",""))+1</f>
        <v>7</v>
      </c>
      <c r="K10277" s="3" t="str">
        <f aca="false">IFERROR(INDEX('Teacher Lookup'!$B$2:$B$200,MATCH(A10277,'Teacher Lookup'!$A$2:$A$200,0)),"")</f>
        <v>HUNG Yuki</v>
      </c>
    </row>
    <row r="10278" customFormat="false" ht="15" hidden="false" customHeight="false" outlineLevel="0" collapsed="false">
      <c r="A10278" s="3" t="s">
        <v>522</v>
      </c>
      <c r="B10278" s="4" t="s">
        <v>50</v>
      </c>
      <c r="C10278" s="4" t="n">
        <v>7</v>
      </c>
      <c r="D10278" s="4" t="s">
        <v>55</v>
      </c>
      <c r="E10278" s="3" t="s">
        <v>53</v>
      </c>
      <c r="F10278" s="4" t="str">
        <f aca="false">IF(I10278&gt;J10278,"Y","N")</f>
        <v>N</v>
      </c>
      <c r="G10278" s="3" t="s">
        <v>54</v>
      </c>
      <c r="H10278" s="3" t="s">
        <v>39</v>
      </c>
      <c r="I10278" s="4" t="n">
        <v>7</v>
      </c>
      <c r="J10278" s="4" t="n">
        <f aca="false">LEN(E10278)-LEN(SUBSTITUTE(E10278,",",""))+1</f>
        <v>7</v>
      </c>
      <c r="K10278" s="3" t="str">
        <f aca="false">IFERROR(INDEX('Teacher Lookup'!$B$2:$B$200,MATCH(A10278,'Teacher Lookup'!$A$2:$A$200,0)),"")</f>
        <v>HUNG Yuki</v>
      </c>
    </row>
    <row r="10279" customFormat="false" ht="15" hidden="false" customHeight="false" outlineLevel="0" collapsed="false">
      <c r="A10279" s="3" t="s">
        <v>522</v>
      </c>
      <c r="B10279" s="4" t="s">
        <v>50</v>
      </c>
      <c r="C10279" s="4" t="n">
        <v>7</v>
      </c>
      <c r="D10279" s="4" t="s">
        <v>56</v>
      </c>
      <c r="E10279" s="3" t="s">
        <v>53</v>
      </c>
      <c r="F10279" s="4" t="str">
        <f aca="false">IF(I10279&gt;J10279,"Y","N")</f>
        <v>N</v>
      </c>
      <c r="G10279" s="3" t="s">
        <v>54</v>
      </c>
      <c r="H10279" s="3" t="s">
        <v>39</v>
      </c>
      <c r="I10279" s="4" t="n">
        <v>7</v>
      </c>
      <c r="J10279" s="4" t="n">
        <f aca="false">LEN(E10279)-LEN(SUBSTITUTE(E10279,",",""))+1</f>
        <v>7</v>
      </c>
      <c r="K10279" s="3" t="str">
        <f aca="false">IFERROR(INDEX('Teacher Lookup'!$B$2:$B$200,MATCH(A10279,'Teacher Lookup'!$A$2:$A$200,0)),"")</f>
        <v>HUNG Yuki</v>
      </c>
    </row>
    <row r="10280" customFormat="false" ht="15" hidden="false" customHeight="false" outlineLevel="0" collapsed="false">
      <c r="A10280" s="3" t="s">
        <v>522</v>
      </c>
      <c r="B10280" s="4" t="s">
        <v>50</v>
      </c>
      <c r="C10280" s="4" t="n">
        <v>7</v>
      </c>
      <c r="D10280" s="4" t="s">
        <v>57</v>
      </c>
      <c r="E10280" s="3" t="s">
        <v>53</v>
      </c>
      <c r="F10280" s="4" t="str">
        <f aca="false">IF(I10280&gt;J10280,"Y","N")</f>
        <v>N</v>
      </c>
      <c r="G10280" s="3" t="s">
        <v>54</v>
      </c>
      <c r="H10280" s="3" t="s">
        <v>39</v>
      </c>
      <c r="I10280" s="4" t="n">
        <v>7</v>
      </c>
      <c r="J10280" s="4" t="n">
        <f aca="false">LEN(E10280)-LEN(SUBSTITUTE(E10280,",",""))+1</f>
        <v>7</v>
      </c>
      <c r="K10280" s="3" t="str">
        <f aca="false">IFERROR(INDEX('Teacher Lookup'!$B$2:$B$200,MATCH(A10280,'Teacher Lookup'!$A$2:$A$200,0)),"")</f>
        <v>HUNG Yuki</v>
      </c>
    </row>
    <row r="10281" customFormat="false" ht="15" hidden="false" customHeight="false" outlineLevel="0" collapsed="false">
      <c r="A10281" s="3" t="s">
        <v>522</v>
      </c>
      <c r="B10281" s="4" t="s">
        <v>50</v>
      </c>
      <c r="C10281" s="4" t="n">
        <v>7</v>
      </c>
      <c r="D10281" s="4" t="s">
        <v>58</v>
      </c>
      <c r="E10281" s="3" t="s">
        <v>53</v>
      </c>
      <c r="F10281" s="4" t="str">
        <f aca="false">IF(I10281&gt;J10281,"Y","N")</f>
        <v>N</v>
      </c>
      <c r="G10281" s="3" t="s">
        <v>54</v>
      </c>
      <c r="H10281" s="3" t="s">
        <v>39</v>
      </c>
      <c r="I10281" s="4" t="n">
        <v>7</v>
      </c>
      <c r="J10281" s="4" t="n">
        <f aca="false">LEN(E10281)-LEN(SUBSTITUTE(E10281,",",""))+1</f>
        <v>7</v>
      </c>
      <c r="K10281" s="3" t="str">
        <f aca="false">IFERROR(INDEX('Teacher Lookup'!$B$2:$B$200,MATCH(A10281,'Teacher Lookup'!$A$2:$A$200,0)),"")</f>
        <v>HUNG Yuki</v>
      </c>
    </row>
    <row r="10282" customFormat="false" ht="15" hidden="false" customHeight="false" outlineLevel="0" collapsed="false">
      <c r="A10282" s="3" t="s">
        <v>522</v>
      </c>
      <c r="B10282" s="4" t="s">
        <v>50</v>
      </c>
      <c r="C10282" s="4" t="n">
        <v>7</v>
      </c>
      <c r="D10282" s="4" t="s">
        <v>59</v>
      </c>
      <c r="E10282" s="3" t="s">
        <v>53</v>
      </c>
      <c r="F10282" s="4" t="str">
        <f aca="false">IF(I10282&gt;J10282,"Y","N")</f>
        <v>N</v>
      </c>
      <c r="G10282" s="3" t="s">
        <v>54</v>
      </c>
      <c r="H10282" s="3" t="s">
        <v>39</v>
      </c>
      <c r="I10282" s="4" t="n">
        <v>7</v>
      </c>
      <c r="J10282" s="4" t="n">
        <f aca="false">LEN(E10282)-LEN(SUBSTITUTE(E10282,",",""))+1</f>
        <v>7</v>
      </c>
      <c r="K10282" s="3" t="str">
        <f aca="false">IFERROR(INDEX('Teacher Lookup'!$B$2:$B$200,MATCH(A10282,'Teacher Lookup'!$A$2:$A$200,0)),"")</f>
        <v>HUNG Yuki</v>
      </c>
    </row>
    <row r="10283" customFormat="false" ht="15" hidden="false" customHeight="false" outlineLevel="0" collapsed="false">
      <c r="A10283" s="3" t="s">
        <v>522</v>
      </c>
      <c r="B10283" s="4" t="s">
        <v>60</v>
      </c>
      <c r="C10283" s="4" t="n">
        <v>1</v>
      </c>
      <c r="D10283" s="4" t="s">
        <v>127</v>
      </c>
      <c r="E10283" s="3" t="s">
        <v>297</v>
      </c>
      <c r="F10283" s="4" t="str">
        <f aca="false">IF(I10283&gt;J10283,"Y","N")</f>
        <v>Y</v>
      </c>
      <c r="G10283" s="3" t="s">
        <v>296</v>
      </c>
      <c r="H10283" s="3" t="s">
        <v>16</v>
      </c>
      <c r="I10283" s="4" t="n">
        <v>2</v>
      </c>
      <c r="J10283" s="4" t="n">
        <f aca="false">LEN(E10283)-LEN(SUBSTITUTE(E10283,",",""))+1</f>
        <v>1</v>
      </c>
      <c r="K10283" s="3" t="str">
        <f aca="false">IFERROR(INDEX('Teacher Lookup'!$B$2:$B$200,MATCH(A10283,'Teacher Lookup'!$A$2:$A$200,0)),"")</f>
        <v>HUNG Yuki</v>
      </c>
    </row>
    <row r="10284" customFormat="false" ht="15" hidden="false" customHeight="false" outlineLevel="0" collapsed="false">
      <c r="A10284" s="3" t="s">
        <v>522</v>
      </c>
      <c r="B10284" s="4" t="s">
        <v>60</v>
      </c>
      <c r="C10284" s="4" t="n">
        <v>2</v>
      </c>
      <c r="D10284" s="4" t="s">
        <v>124</v>
      </c>
      <c r="E10284" s="3" t="s">
        <v>297</v>
      </c>
      <c r="F10284" s="4" t="str">
        <f aca="false">IF(I10284&gt;J10284,"Y","N")</f>
        <v>Y</v>
      </c>
      <c r="G10284" s="3" t="s">
        <v>296</v>
      </c>
      <c r="H10284" s="3" t="s">
        <v>21</v>
      </c>
      <c r="I10284" s="4" t="n">
        <v>2</v>
      </c>
      <c r="J10284" s="4" t="n">
        <f aca="false">LEN(E10284)-LEN(SUBSTITUTE(E10284,",",""))+1</f>
        <v>1</v>
      </c>
      <c r="K10284" s="3" t="str">
        <f aca="false">IFERROR(INDEX('Teacher Lookup'!$B$2:$B$200,MATCH(A10284,'Teacher Lookup'!$A$2:$A$200,0)),"")</f>
        <v>HUNG Yuki</v>
      </c>
    </row>
    <row r="10285" customFormat="false" ht="15" hidden="false" customHeight="false" outlineLevel="0" collapsed="false">
      <c r="A10285" s="3" t="s">
        <v>522</v>
      </c>
      <c r="B10285" s="4" t="s">
        <v>63</v>
      </c>
      <c r="C10285" s="4" t="n">
        <v>4</v>
      </c>
      <c r="D10285" s="4" t="s">
        <v>70</v>
      </c>
      <c r="E10285" s="3" t="s">
        <v>213</v>
      </c>
      <c r="F10285" s="4" t="str">
        <f aca="false">IF(I10285&gt;J10285,"Y","N")</f>
        <v>Y</v>
      </c>
      <c r="G10285" s="3" t="s">
        <v>214</v>
      </c>
      <c r="H10285" s="3" t="s">
        <v>34</v>
      </c>
      <c r="I10285" s="4" t="n">
        <v>20</v>
      </c>
      <c r="J10285" s="4" t="n">
        <f aca="false">LEN(E10285)-LEN(SUBSTITUTE(E10285,",",""))+1</f>
        <v>6</v>
      </c>
      <c r="K10285" s="3" t="str">
        <f aca="false">IFERROR(INDEX('Teacher Lookup'!$B$2:$B$200,MATCH(A10285,'Teacher Lookup'!$A$2:$A$200,0)),"")</f>
        <v>HUNG Yuki</v>
      </c>
    </row>
    <row r="10286" customFormat="false" ht="15" hidden="false" customHeight="false" outlineLevel="0" collapsed="false">
      <c r="A10286" s="3" t="s">
        <v>522</v>
      </c>
      <c r="B10286" s="4" t="s">
        <v>63</v>
      </c>
      <c r="C10286" s="4" t="n">
        <v>4</v>
      </c>
      <c r="D10286" s="4" t="s">
        <v>73</v>
      </c>
      <c r="E10286" s="3" t="s">
        <v>213</v>
      </c>
      <c r="F10286" s="4" t="str">
        <f aca="false">IF(I10286&gt;J10286,"Y","N")</f>
        <v>Y</v>
      </c>
      <c r="G10286" s="3" t="s">
        <v>214</v>
      </c>
      <c r="H10286" s="3" t="s">
        <v>34</v>
      </c>
      <c r="I10286" s="4" t="n">
        <v>20</v>
      </c>
      <c r="J10286" s="4" t="n">
        <f aca="false">LEN(E10286)-LEN(SUBSTITUTE(E10286,",",""))+1</f>
        <v>6</v>
      </c>
      <c r="K10286" s="3" t="str">
        <f aca="false">IFERROR(INDEX('Teacher Lookup'!$B$2:$B$200,MATCH(A10286,'Teacher Lookup'!$A$2:$A$200,0)),"")</f>
        <v>HUNG Yuki</v>
      </c>
    </row>
    <row r="10287" customFormat="false" ht="15" hidden="false" customHeight="false" outlineLevel="0" collapsed="false">
      <c r="A10287" s="3" t="s">
        <v>522</v>
      </c>
      <c r="B10287" s="4" t="s">
        <v>63</v>
      </c>
      <c r="C10287" s="4" t="n">
        <v>4</v>
      </c>
      <c r="D10287" s="4" t="s">
        <v>74</v>
      </c>
      <c r="E10287" s="3" t="s">
        <v>213</v>
      </c>
      <c r="F10287" s="4" t="str">
        <f aca="false">IF(I10287&gt;J10287,"Y","N")</f>
        <v>Y</v>
      </c>
      <c r="G10287" s="3" t="s">
        <v>214</v>
      </c>
      <c r="H10287" s="3" t="s">
        <v>34</v>
      </c>
      <c r="I10287" s="4" t="n">
        <v>20</v>
      </c>
      <c r="J10287" s="4" t="n">
        <f aca="false">LEN(E10287)-LEN(SUBSTITUTE(E10287,",",""))+1</f>
        <v>6</v>
      </c>
      <c r="K10287" s="3" t="str">
        <f aca="false">IFERROR(INDEX('Teacher Lookup'!$B$2:$B$200,MATCH(A10287,'Teacher Lookup'!$A$2:$A$200,0)),"")</f>
        <v>HUNG Yuki</v>
      </c>
    </row>
    <row r="10288" customFormat="false" ht="15" hidden="false" customHeight="false" outlineLevel="0" collapsed="false">
      <c r="A10288" s="3" t="s">
        <v>522</v>
      </c>
      <c r="B10288" s="4" t="s">
        <v>63</v>
      </c>
      <c r="C10288" s="4" t="n">
        <v>4</v>
      </c>
      <c r="D10288" s="4" t="s">
        <v>76</v>
      </c>
      <c r="E10288" s="3" t="s">
        <v>213</v>
      </c>
      <c r="F10288" s="4" t="str">
        <f aca="false">IF(I10288&gt;J10288,"Y","N")</f>
        <v>Y</v>
      </c>
      <c r="G10288" s="3" t="s">
        <v>214</v>
      </c>
      <c r="H10288" s="3" t="s">
        <v>34</v>
      </c>
      <c r="I10288" s="4" t="n">
        <v>20</v>
      </c>
      <c r="J10288" s="4" t="n">
        <f aca="false">LEN(E10288)-LEN(SUBSTITUTE(E10288,",",""))+1</f>
        <v>6</v>
      </c>
      <c r="K10288" s="3" t="str">
        <f aca="false">IFERROR(INDEX('Teacher Lookup'!$B$2:$B$200,MATCH(A10288,'Teacher Lookup'!$A$2:$A$200,0)),"")</f>
        <v>HUNG Yuki</v>
      </c>
    </row>
    <row r="10289" customFormat="false" ht="15" hidden="false" customHeight="false" outlineLevel="0" collapsed="false">
      <c r="A10289" s="3" t="s">
        <v>522</v>
      </c>
      <c r="B10289" s="4" t="s">
        <v>63</v>
      </c>
      <c r="C10289" s="4" t="n">
        <v>4</v>
      </c>
      <c r="D10289" s="4" t="s">
        <v>78</v>
      </c>
      <c r="E10289" s="3" t="s">
        <v>213</v>
      </c>
      <c r="F10289" s="4" t="str">
        <f aca="false">IF(I10289&gt;J10289,"Y","N")</f>
        <v>Y</v>
      </c>
      <c r="G10289" s="3" t="s">
        <v>214</v>
      </c>
      <c r="H10289" s="3" t="s">
        <v>34</v>
      </c>
      <c r="I10289" s="4" t="n">
        <v>20</v>
      </c>
      <c r="J10289" s="4" t="n">
        <f aca="false">LEN(E10289)-LEN(SUBSTITUTE(E10289,",",""))+1</f>
        <v>6</v>
      </c>
      <c r="K10289" s="3" t="str">
        <f aca="false">IFERROR(INDEX('Teacher Lookup'!$B$2:$B$200,MATCH(A10289,'Teacher Lookup'!$A$2:$A$200,0)),"")</f>
        <v>HUNG Yuki</v>
      </c>
    </row>
    <row r="10290" customFormat="false" ht="15" hidden="false" customHeight="false" outlineLevel="0" collapsed="false">
      <c r="A10290" s="3" t="s">
        <v>522</v>
      </c>
      <c r="B10290" s="4" t="s">
        <v>63</v>
      </c>
      <c r="C10290" s="4" t="n">
        <v>4</v>
      </c>
      <c r="D10290" s="4" t="s">
        <v>79</v>
      </c>
      <c r="E10290" s="3" t="s">
        <v>213</v>
      </c>
      <c r="F10290" s="4" t="str">
        <f aca="false">IF(I10290&gt;J10290,"Y","N")</f>
        <v>Y</v>
      </c>
      <c r="G10290" s="3" t="s">
        <v>214</v>
      </c>
      <c r="H10290" s="3" t="s">
        <v>34</v>
      </c>
      <c r="I10290" s="4" t="n">
        <v>20</v>
      </c>
      <c r="J10290" s="4" t="n">
        <f aca="false">LEN(E10290)-LEN(SUBSTITUTE(E10290,",",""))+1</f>
        <v>6</v>
      </c>
      <c r="K10290" s="3" t="str">
        <f aca="false">IFERROR(INDEX('Teacher Lookup'!$B$2:$B$200,MATCH(A10290,'Teacher Lookup'!$A$2:$A$200,0)),"")</f>
        <v>HUNG Yuki</v>
      </c>
    </row>
    <row r="10291" customFormat="false" ht="15" hidden="false" customHeight="false" outlineLevel="0" collapsed="false">
      <c r="A10291" s="3" t="s">
        <v>522</v>
      </c>
      <c r="B10291" s="4" t="s">
        <v>63</v>
      </c>
      <c r="C10291" s="4" t="n">
        <v>5</v>
      </c>
      <c r="D10291" s="4" t="s">
        <v>70</v>
      </c>
      <c r="E10291" s="3" t="s">
        <v>213</v>
      </c>
      <c r="F10291" s="4" t="str">
        <f aca="false">IF(I10291&gt;J10291,"Y","N")</f>
        <v>Y</v>
      </c>
      <c r="G10291" s="3" t="s">
        <v>214</v>
      </c>
      <c r="H10291" s="3" t="s">
        <v>37</v>
      </c>
      <c r="I10291" s="4" t="n">
        <v>20</v>
      </c>
      <c r="J10291" s="4" t="n">
        <f aca="false">LEN(E10291)-LEN(SUBSTITUTE(E10291,",",""))+1</f>
        <v>6</v>
      </c>
      <c r="K10291" s="3" t="str">
        <f aca="false">IFERROR(INDEX('Teacher Lookup'!$B$2:$B$200,MATCH(A10291,'Teacher Lookup'!$A$2:$A$200,0)),"")</f>
        <v>HUNG Yuki</v>
      </c>
    </row>
    <row r="10292" customFormat="false" ht="15" hidden="false" customHeight="false" outlineLevel="0" collapsed="false">
      <c r="A10292" s="3" t="s">
        <v>522</v>
      </c>
      <c r="B10292" s="4" t="s">
        <v>63</v>
      </c>
      <c r="C10292" s="4" t="n">
        <v>5</v>
      </c>
      <c r="D10292" s="4" t="s">
        <v>73</v>
      </c>
      <c r="E10292" s="3" t="s">
        <v>213</v>
      </c>
      <c r="F10292" s="4" t="str">
        <f aca="false">IF(I10292&gt;J10292,"Y","N")</f>
        <v>Y</v>
      </c>
      <c r="G10292" s="3" t="s">
        <v>214</v>
      </c>
      <c r="H10292" s="3" t="s">
        <v>37</v>
      </c>
      <c r="I10292" s="4" t="n">
        <v>20</v>
      </c>
      <c r="J10292" s="4" t="n">
        <f aca="false">LEN(E10292)-LEN(SUBSTITUTE(E10292,",",""))+1</f>
        <v>6</v>
      </c>
      <c r="K10292" s="3" t="str">
        <f aca="false">IFERROR(INDEX('Teacher Lookup'!$B$2:$B$200,MATCH(A10292,'Teacher Lookup'!$A$2:$A$200,0)),"")</f>
        <v>HUNG Yuki</v>
      </c>
    </row>
    <row r="10293" customFormat="false" ht="15" hidden="false" customHeight="false" outlineLevel="0" collapsed="false">
      <c r="A10293" s="3" t="s">
        <v>522</v>
      </c>
      <c r="B10293" s="4" t="s">
        <v>63</v>
      </c>
      <c r="C10293" s="4" t="n">
        <v>5</v>
      </c>
      <c r="D10293" s="4" t="s">
        <v>74</v>
      </c>
      <c r="E10293" s="3" t="s">
        <v>213</v>
      </c>
      <c r="F10293" s="4" t="str">
        <f aca="false">IF(I10293&gt;J10293,"Y","N")</f>
        <v>Y</v>
      </c>
      <c r="G10293" s="3" t="s">
        <v>214</v>
      </c>
      <c r="H10293" s="3" t="s">
        <v>37</v>
      </c>
      <c r="I10293" s="4" t="n">
        <v>20</v>
      </c>
      <c r="J10293" s="4" t="n">
        <f aca="false">LEN(E10293)-LEN(SUBSTITUTE(E10293,",",""))+1</f>
        <v>6</v>
      </c>
      <c r="K10293" s="3" t="str">
        <f aca="false">IFERROR(INDEX('Teacher Lookup'!$B$2:$B$200,MATCH(A10293,'Teacher Lookup'!$A$2:$A$200,0)),"")</f>
        <v>HUNG Yuki</v>
      </c>
    </row>
    <row r="10294" customFormat="false" ht="15" hidden="false" customHeight="false" outlineLevel="0" collapsed="false">
      <c r="A10294" s="3" t="s">
        <v>522</v>
      </c>
      <c r="B10294" s="4" t="s">
        <v>63</v>
      </c>
      <c r="C10294" s="4" t="n">
        <v>5</v>
      </c>
      <c r="D10294" s="4" t="s">
        <v>76</v>
      </c>
      <c r="E10294" s="3" t="s">
        <v>213</v>
      </c>
      <c r="F10294" s="4" t="str">
        <f aca="false">IF(I10294&gt;J10294,"Y","N")</f>
        <v>Y</v>
      </c>
      <c r="G10294" s="3" t="s">
        <v>214</v>
      </c>
      <c r="H10294" s="3" t="s">
        <v>37</v>
      </c>
      <c r="I10294" s="4" t="n">
        <v>20</v>
      </c>
      <c r="J10294" s="4" t="n">
        <f aca="false">LEN(E10294)-LEN(SUBSTITUTE(E10294,",",""))+1</f>
        <v>6</v>
      </c>
      <c r="K10294" s="3" t="str">
        <f aca="false">IFERROR(INDEX('Teacher Lookup'!$B$2:$B$200,MATCH(A10294,'Teacher Lookup'!$A$2:$A$200,0)),"")</f>
        <v>HUNG Yuki</v>
      </c>
    </row>
    <row r="10295" customFormat="false" ht="15" hidden="false" customHeight="false" outlineLevel="0" collapsed="false">
      <c r="A10295" s="3" t="s">
        <v>522</v>
      </c>
      <c r="B10295" s="4" t="s">
        <v>63</v>
      </c>
      <c r="C10295" s="4" t="n">
        <v>5</v>
      </c>
      <c r="D10295" s="4" t="s">
        <v>78</v>
      </c>
      <c r="E10295" s="3" t="s">
        <v>213</v>
      </c>
      <c r="F10295" s="4" t="str">
        <f aca="false">IF(I10295&gt;J10295,"Y","N")</f>
        <v>Y</v>
      </c>
      <c r="G10295" s="3" t="s">
        <v>214</v>
      </c>
      <c r="H10295" s="3" t="s">
        <v>37</v>
      </c>
      <c r="I10295" s="4" t="n">
        <v>20</v>
      </c>
      <c r="J10295" s="4" t="n">
        <f aca="false">LEN(E10295)-LEN(SUBSTITUTE(E10295,",",""))+1</f>
        <v>6</v>
      </c>
      <c r="K10295" s="3" t="str">
        <f aca="false">IFERROR(INDEX('Teacher Lookup'!$B$2:$B$200,MATCH(A10295,'Teacher Lookup'!$A$2:$A$200,0)),"")</f>
        <v>HUNG Yuki</v>
      </c>
    </row>
    <row r="10296" customFormat="false" ht="15" hidden="false" customHeight="false" outlineLevel="0" collapsed="false">
      <c r="A10296" s="3" t="s">
        <v>522</v>
      </c>
      <c r="B10296" s="4" t="s">
        <v>63</v>
      </c>
      <c r="C10296" s="4" t="n">
        <v>5</v>
      </c>
      <c r="D10296" s="4" t="s">
        <v>79</v>
      </c>
      <c r="E10296" s="3" t="s">
        <v>213</v>
      </c>
      <c r="F10296" s="4" t="str">
        <f aca="false">IF(I10296&gt;J10296,"Y","N")</f>
        <v>Y</v>
      </c>
      <c r="G10296" s="3" t="s">
        <v>214</v>
      </c>
      <c r="H10296" s="3" t="s">
        <v>37</v>
      </c>
      <c r="I10296" s="4" t="n">
        <v>20</v>
      </c>
      <c r="J10296" s="4" t="n">
        <f aca="false">LEN(E10296)-LEN(SUBSTITUTE(E10296,",",""))+1</f>
        <v>6</v>
      </c>
      <c r="K10296" s="3" t="str">
        <f aca="false">IFERROR(INDEX('Teacher Lookup'!$B$2:$B$200,MATCH(A10296,'Teacher Lookup'!$A$2:$A$200,0)),"")</f>
        <v>HUNG Yuki</v>
      </c>
    </row>
    <row r="10297" customFormat="false" ht="15" hidden="false" customHeight="false" outlineLevel="0" collapsed="false">
      <c r="A10297" s="3" t="s">
        <v>522</v>
      </c>
      <c r="B10297" s="4" t="s">
        <v>63</v>
      </c>
      <c r="C10297" s="4" t="n">
        <v>6</v>
      </c>
      <c r="D10297" s="4" t="s">
        <v>127</v>
      </c>
      <c r="E10297" s="3" t="s">
        <v>297</v>
      </c>
      <c r="F10297" s="4" t="str">
        <f aca="false">IF(I10297&gt;J10297,"Y","N")</f>
        <v>Y</v>
      </c>
      <c r="G10297" s="3" t="s">
        <v>296</v>
      </c>
      <c r="H10297" s="3" t="s">
        <v>42</v>
      </c>
      <c r="I10297" s="4" t="n">
        <v>2</v>
      </c>
      <c r="J10297" s="4" t="n">
        <f aca="false">LEN(E10297)-LEN(SUBSTITUTE(E10297,",",""))+1</f>
        <v>1</v>
      </c>
      <c r="K10297" s="3" t="str">
        <f aca="false">IFERROR(INDEX('Teacher Lookup'!$B$2:$B$200,MATCH(A10297,'Teacher Lookup'!$A$2:$A$200,0)),"")</f>
        <v>HUNG Yuki</v>
      </c>
    </row>
    <row r="10298" customFormat="false" ht="15" hidden="false" customHeight="false" outlineLevel="0" collapsed="false">
      <c r="A10298" s="3" t="s">
        <v>522</v>
      </c>
      <c r="B10298" s="4" t="s">
        <v>66</v>
      </c>
      <c r="C10298" s="4" t="n">
        <v>4</v>
      </c>
      <c r="D10298" s="4" t="s">
        <v>124</v>
      </c>
      <c r="E10298" s="3" t="s">
        <v>297</v>
      </c>
      <c r="F10298" s="4" t="str">
        <f aca="false">IF(I10298&gt;J10298,"Y","N")</f>
        <v>Y</v>
      </c>
      <c r="G10298" s="3" t="s">
        <v>296</v>
      </c>
      <c r="H10298" s="3" t="s">
        <v>34</v>
      </c>
      <c r="I10298" s="4" t="n">
        <v>2</v>
      </c>
      <c r="J10298" s="4" t="n">
        <f aca="false">LEN(E10298)-LEN(SUBSTITUTE(E10298,",",""))+1</f>
        <v>1</v>
      </c>
      <c r="K10298" s="3" t="str">
        <f aca="false">IFERROR(INDEX('Teacher Lookup'!$B$2:$B$200,MATCH(A10298,'Teacher Lookup'!$A$2:$A$200,0)),"")</f>
        <v>HUNG Yuki</v>
      </c>
    </row>
    <row r="10299" customFormat="false" ht="15" hidden="false" customHeight="false" outlineLevel="0" collapsed="false">
      <c r="A10299" s="3" t="s">
        <v>523</v>
      </c>
      <c r="B10299" s="4" t="s">
        <v>12</v>
      </c>
      <c r="C10299" s="4" t="n">
        <v>3</v>
      </c>
      <c r="D10299" s="4" t="s">
        <v>78</v>
      </c>
      <c r="E10299" s="3" t="s">
        <v>297</v>
      </c>
      <c r="F10299" s="4" t="str">
        <f aca="false">IF(I10299&gt;J10299,"Y","N")</f>
        <v>Y</v>
      </c>
      <c r="G10299" s="3" t="s">
        <v>296</v>
      </c>
      <c r="H10299" s="3" t="s">
        <v>26</v>
      </c>
      <c r="I10299" s="4" t="n">
        <v>2</v>
      </c>
      <c r="J10299" s="4" t="n">
        <f aca="false">LEN(E10299)-LEN(SUBSTITUTE(E10299,",",""))+1</f>
        <v>1</v>
      </c>
      <c r="K10299" s="3" t="str">
        <f aca="false">IFERROR(INDEX('Teacher Lookup'!$B$2:$B$200,MATCH(A10299,'Teacher Lookup'!$A$2:$A$200,0)),"")</f>
        <v>WONG Yukki</v>
      </c>
    </row>
    <row r="10300" customFormat="false" ht="15" hidden="false" customHeight="false" outlineLevel="0" collapsed="false">
      <c r="A10300" s="3" t="s">
        <v>523</v>
      </c>
      <c r="B10300" s="4" t="s">
        <v>12</v>
      </c>
      <c r="C10300" s="4" t="n">
        <v>4</v>
      </c>
      <c r="D10300" s="4" t="s">
        <v>19</v>
      </c>
      <c r="E10300" s="3" t="s">
        <v>390</v>
      </c>
      <c r="F10300" s="4" t="str">
        <f aca="false">IF(I10300&gt;J10300,"Y","N")</f>
        <v>Y</v>
      </c>
      <c r="G10300" s="3" t="s">
        <v>222</v>
      </c>
      <c r="H10300" s="3" t="s">
        <v>34</v>
      </c>
      <c r="I10300" s="4" t="n">
        <v>14</v>
      </c>
      <c r="J10300" s="4" t="n">
        <f aca="false">LEN(E10300)-LEN(SUBSTITUTE(E10300,",",""))+1</f>
        <v>7</v>
      </c>
      <c r="K10300" s="3" t="str">
        <f aca="false">IFERROR(INDEX('Teacher Lookup'!$B$2:$B$200,MATCH(A10300,'Teacher Lookup'!$A$2:$A$200,0)),"")</f>
        <v>WONG Yukki</v>
      </c>
    </row>
    <row r="10301" customFormat="false" ht="15" hidden="false" customHeight="false" outlineLevel="0" collapsed="false">
      <c r="A10301" s="3" t="s">
        <v>523</v>
      </c>
      <c r="B10301" s="4" t="s">
        <v>12</v>
      </c>
      <c r="C10301" s="4" t="n">
        <v>4</v>
      </c>
      <c r="D10301" s="4" t="s">
        <v>22</v>
      </c>
      <c r="E10301" s="3" t="s">
        <v>390</v>
      </c>
      <c r="F10301" s="4" t="str">
        <f aca="false">IF(I10301&gt;J10301,"Y","N")</f>
        <v>Y</v>
      </c>
      <c r="G10301" s="3" t="s">
        <v>222</v>
      </c>
      <c r="H10301" s="3" t="s">
        <v>34</v>
      </c>
      <c r="I10301" s="4" t="n">
        <v>14</v>
      </c>
      <c r="J10301" s="4" t="n">
        <f aca="false">LEN(E10301)-LEN(SUBSTITUTE(E10301,",",""))+1</f>
        <v>7</v>
      </c>
      <c r="K10301" s="3" t="str">
        <f aca="false">IFERROR(INDEX('Teacher Lookup'!$B$2:$B$200,MATCH(A10301,'Teacher Lookup'!$A$2:$A$200,0)),"")</f>
        <v>WONG Yukki</v>
      </c>
    </row>
    <row r="10302" customFormat="false" ht="15" hidden="false" customHeight="false" outlineLevel="0" collapsed="false">
      <c r="A10302" s="3" t="s">
        <v>523</v>
      </c>
      <c r="B10302" s="4" t="s">
        <v>12</v>
      </c>
      <c r="C10302" s="4" t="n">
        <v>4</v>
      </c>
      <c r="D10302" s="4" t="s">
        <v>23</v>
      </c>
      <c r="E10302" s="3" t="s">
        <v>390</v>
      </c>
      <c r="F10302" s="4" t="str">
        <f aca="false">IF(I10302&gt;J10302,"Y","N")</f>
        <v>Y</v>
      </c>
      <c r="G10302" s="3" t="s">
        <v>222</v>
      </c>
      <c r="H10302" s="3" t="s">
        <v>34</v>
      </c>
      <c r="I10302" s="4" t="n">
        <v>14</v>
      </c>
      <c r="J10302" s="4" t="n">
        <f aca="false">LEN(E10302)-LEN(SUBSTITUTE(E10302,",",""))+1</f>
        <v>7</v>
      </c>
      <c r="K10302" s="3" t="str">
        <f aca="false">IFERROR(INDEX('Teacher Lookup'!$B$2:$B$200,MATCH(A10302,'Teacher Lookup'!$A$2:$A$200,0)),"")</f>
        <v>WONG Yukki</v>
      </c>
    </row>
    <row r="10303" customFormat="false" ht="15" hidden="false" customHeight="false" outlineLevel="0" collapsed="false">
      <c r="A10303" s="3" t="s">
        <v>523</v>
      </c>
      <c r="B10303" s="4" t="s">
        <v>12</v>
      </c>
      <c r="C10303" s="4" t="n">
        <v>4</v>
      </c>
      <c r="D10303" s="4" t="s">
        <v>13</v>
      </c>
      <c r="E10303" s="3" t="s">
        <v>390</v>
      </c>
      <c r="F10303" s="4" t="str">
        <f aca="false">IF(I10303&gt;J10303,"Y","N")</f>
        <v>Y</v>
      </c>
      <c r="G10303" s="3" t="s">
        <v>222</v>
      </c>
      <c r="H10303" s="3" t="s">
        <v>34</v>
      </c>
      <c r="I10303" s="4" t="n">
        <v>14</v>
      </c>
      <c r="J10303" s="4" t="n">
        <f aca="false">LEN(E10303)-LEN(SUBSTITUTE(E10303,",",""))+1</f>
        <v>7</v>
      </c>
      <c r="K10303" s="3" t="str">
        <f aca="false">IFERROR(INDEX('Teacher Lookup'!$B$2:$B$200,MATCH(A10303,'Teacher Lookup'!$A$2:$A$200,0)),"")</f>
        <v>WONG Yukki</v>
      </c>
    </row>
    <row r="10304" customFormat="false" ht="15" hidden="false" customHeight="false" outlineLevel="0" collapsed="false">
      <c r="A10304" s="3" t="s">
        <v>523</v>
      </c>
      <c r="B10304" s="4" t="s">
        <v>12</v>
      </c>
      <c r="C10304" s="4" t="n">
        <v>4</v>
      </c>
      <c r="D10304" s="4" t="s">
        <v>17</v>
      </c>
      <c r="E10304" s="3" t="s">
        <v>390</v>
      </c>
      <c r="F10304" s="4" t="str">
        <f aca="false">IF(I10304&gt;J10304,"Y","N")</f>
        <v>Y</v>
      </c>
      <c r="G10304" s="3" t="s">
        <v>222</v>
      </c>
      <c r="H10304" s="3" t="s">
        <v>34</v>
      </c>
      <c r="I10304" s="4" t="n">
        <v>14</v>
      </c>
      <c r="J10304" s="4" t="n">
        <f aca="false">LEN(E10304)-LEN(SUBSTITUTE(E10304,",",""))+1</f>
        <v>7</v>
      </c>
      <c r="K10304" s="3" t="str">
        <f aca="false">IFERROR(INDEX('Teacher Lookup'!$B$2:$B$200,MATCH(A10304,'Teacher Lookup'!$A$2:$A$200,0)),"")</f>
        <v>WONG Yukki</v>
      </c>
    </row>
    <row r="10305" customFormat="false" ht="15" hidden="false" customHeight="false" outlineLevel="0" collapsed="false">
      <c r="A10305" s="3" t="s">
        <v>523</v>
      </c>
      <c r="B10305" s="4" t="s">
        <v>12</v>
      </c>
      <c r="C10305" s="4" t="n">
        <v>4</v>
      </c>
      <c r="D10305" s="4" t="s">
        <v>18</v>
      </c>
      <c r="E10305" s="3" t="s">
        <v>390</v>
      </c>
      <c r="F10305" s="4" t="str">
        <f aca="false">IF(I10305&gt;J10305,"Y","N")</f>
        <v>Y</v>
      </c>
      <c r="G10305" s="3" t="s">
        <v>222</v>
      </c>
      <c r="H10305" s="3" t="s">
        <v>34</v>
      </c>
      <c r="I10305" s="4" t="n">
        <v>14</v>
      </c>
      <c r="J10305" s="4" t="n">
        <f aca="false">LEN(E10305)-LEN(SUBSTITUTE(E10305,",",""))+1</f>
        <v>7</v>
      </c>
      <c r="K10305" s="3" t="str">
        <f aca="false">IFERROR(INDEX('Teacher Lookup'!$B$2:$B$200,MATCH(A10305,'Teacher Lookup'!$A$2:$A$200,0)),"")</f>
        <v>WONG Yukki</v>
      </c>
    </row>
    <row r="10306" customFormat="false" ht="15" hidden="false" customHeight="false" outlineLevel="0" collapsed="false">
      <c r="A10306" s="3" t="s">
        <v>523</v>
      </c>
      <c r="B10306" s="4" t="s">
        <v>12</v>
      </c>
      <c r="C10306" s="4" t="n">
        <v>5</v>
      </c>
      <c r="D10306" s="4" t="s">
        <v>19</v>
      </c>
      <c r="E10306" s="3" t="s">
        <v>390</v>
      </c>
      <c r="F10306" s="4" t="str">
        <f aca="false">IF(I10306&gt;J10306,"Y","N")</f>
        <v>Y</v>
      </c>
      <c r="G10306" s="3" t="s">
        <v>222</v>
      </c>
      <c r="H10306" s="3" t="s">
        <v>37</v>
      </c>
      <c r="I10306" s="4" t="n">
        <v>14</v>
      </c>
      <c r="J10306" s="4" t="n">
        <f aca="false">LEN(E10306)-LEN(SUBSTITUTE(E10306,",",""))+1</f>
        <v>7</v>
      </c>
      <c r="K10306" s="3" t="str">
        <f aca="false">IFERROR(INDEX('Teacher Lookup'!$B$2:$B$200,MATCH(A10306,'Teacher Lookup'!$A$2:$A$200,0)),"")</f>
        <v>WONG Yukki</v>
      </c>
    </row>
    <row r="10307" customFormat="false" ht="15" hidden="false" customHeight="false" outlineLevel="0" collapsed="false">
      <c r="A10307" s="3" t="s">
        <v>523</v>
      </c>
      <c r="B10307" s="4" t="s">
        <v>12</v>
      </c>
      <c r="C10307" s="4" t="n">
        <v>5</v>
      </c>
      <c r="D10307" s="4" t="s">
        <v>22</v>
      </c>
      <c r="E10307" s="3" t="s">
        <v>390</v>
      </c>
      <c r="F10307" s="4" t="str">
        <f aca="false">IF(I10307&gt;J10307,"Y","N")</f>
        <v>Y</v>
      </c>
      <c r="G10307" s="3" t="s">
        <v>222</v>
      </c>
      <c r="H10307" s="3" t="s">
        <v>37</v>
      </c>
      <c r="I10307" s="4" t="n">
        <v>14</v>
      </c>
      <c r="J10307" s="4" t="n">
        <f aca="false">LEN(E10307)-LEN(SUBSTITUTE(E10307,",",""))+1</f>
        <v>7</v>
      </c>
      <c r="K10307" s="3" t="str">
        <f aca="false">IFERROR(INDEX('Teacher Lookup'!$B$2:$B$200,MATCH(A10307,'Teacher Lookup'!$A$2:$A$200,0)),"")</f>
        <v>WONG Yukki</v>
      </c>
    </row>
    <row r="10308" customFormat="false" ht="15" hidden="false" customHeight="false" outlineLevel="0" collapsed="false">
      <c r="A10308" s="3" t="s">
        <v>523</v>
      </c>
      <c r="B10308" s="4" t="s">
        <v>12</v>
      </c>
      <c r="C10308" s="4" t="n">
        <v>5</v>
      </c>
      <c r="D10308" s="4" t="s">
        <v>23</v>
      </c>
      <c r="E10308" s="3" t="s">
        <v>390</v>
      </c>
      <c r="F10308" s="4" t="str">
        <f aca="false">IF(I10308&gt;J10308,"Y","N")</f>
        <v>Y</v>
      </c>
      <c r="G10308" s="3" t="s">
        <v>222</v>
      </c>
      <c r="H10308" s="3" t="s">
        <v>37</v>
      </c>
      <c r="I10308" s="4" t="n">
        <v>14</v>
      </c>
      <c r="J10308" s="4" t="n">
        <f aca="false">LEN(E10308)-LEN(SUBSTITUTE(E10308,",",""))+1</f>
        <v>7</v>
      </c>
      <c r="K10308" s="3" t="str">
        <f aca="false">IFERROR(INDEX('Teacher Lookup'!$B$2:$B$200,MATCH(A10308,'Teacher Lookup'!$A$2:$A$200,0)),"")</f>
        <v>WONG Yukki</v>
      </c>
    </row>
    <row r="10309" customFormat="false" ht="15" hidden="false" customHeight="false" outlineLevel="0" collapsed="false">
      <c r="A10309" s="3" t="s">
        <v>523</v>
      </c>
      <c r="B10309" s="4" t="s">
        <v>12</v>
      </c>
      <c r="C10309" s="4" t="n">
        <v>5</v>
      </c>
      <c r="D10309" s="4" t="s">
        <v>13</v>
      </c>
      <c r="E10309" s="3" t="s">
        <v>390</v>
      </c>
      <c r="F10309" s="4" t="str">
        <f aca="false">IF(I10309&gt;J10309,"Y","N")</f>
        <v>Y</v>
      </c>
      <c r="G10309" s="3" t="s">
        <v>222</v>
      </c>
      <c r="H10309" s="3" t="s">
        <v>37</v>
      </c>
      <c r="I10309" s="4" t="n">
        <v>14</v>
      </c>
      <c r="J10309" s="4" t="n">
        <f aca="false">LEN(E10309)-LEN(SUBSTITUTE(E10309,",",""))+1</f>
        <v>7</v>
      </c>
      <c r="K10309" s="3" t="str">
        <f aca="false">IFERROR(INDEX('Teacher Lookup'!$B$2:$B$200,MATCH(A10309,'Teacher Lookup'!$A$2:$A$200,0)),"")</f>
        <v>WONG Yukki</v>
      </c>
    </row>
    <row r="10310" customFormat="false" ht="15" hidden="false" customHeight="false" outlineLevel="0" collapsed="false">
      <c r="A10310" s="3" t="s">
        <v>523</v>
      </c>
      <c r="B10310" s="4" t="s">
        <v>12</v>
      </c>
      <c r="C10310" s="4" t="n">
        <v>5</v>
      </c>
      <c r="D10310" s="4" t="s">
        <v>17</v>
      </c>
      <c r="E10310" s="3" t="s">
        <v>390</v>
      </c>
      <c r="F10310" s="4" t="str">
        <f aca="false">IF(I10310&gt;J10310,"Y","N")</f>
        <v>Y</v>
      </c>
      <c r="G10310" s="3" t="s">
        <v>222</v>
      </c>
      <c r="H10310" s="3" t="s">
        <v>37</v>
      </c>
      <c r="I10310" s="4" t="n">
        <v>14</v>
      </c>
      <c r="J10310" s="4" t="n">
        <f aca="false">LEN(E10310)-LEN(SUBSTITUTE(E10310,",",""))+1</f>
        <v>7</v>
      </c>
      <c r="K10310" s="3" t="str">
        <f aca="false">IFERROR(INDEX('Teacher Lookup'!$B$2:$B$200,MATCH(A10310,'Teacher Lookup'!$A$2:$A$200,0)),"")</f>
        <v>WONG Yukki</v>
      </c>
    </row>
    <row r="10311" customFormat="false" ht="15" hidden="false" customHeight="false" outlineLevel="0" collapsed="false">
      <c r="A10311" s="3" t="s">
        <v>523</v>
      </c>
      <c r="B10311" s="4" t="s">
        <v>12</v>
      </c>
      <c r="C10311" s="4" t="n">
        <v>5</v>
      </c>
      <c r="D10311" s="4" t="s">
        <v>18</v>
      </c>
      <c r="E10311" s="3" t="s">
        <v>390</v>
      </c>
      <c r="F10311" s="4" t="str">
        <f aca="false">IF(I10311&gt;J10311,"Y","N")</f>
        <v>Y</v>
      </c>
      <c r="G10311" s="3" t="s">
        <v>222</v>
      </c>
      <c r="H10311" s="3" t="s">
        <v>37</v>
      </c>
      <c r="I10311" s="4" t="n">
        <v>14</v>
      </c>
      <c r="J10311" s="4" t="n">
        <f aca="false">LEN(E10311)-LEN(SUBSTITUTE(E10311,",",""))+1</f>
        <v>7</v>
      </c>
      <c r="K10311" s="3" t="str">
        <f aca="false">IFERROR(INDEX('Teacher Lookup'!$B$2:$B$200,MATCH(A10311,'Teacher Lookup'!$A$2:$A$200,0)),"")</f>
        <v>WONG Yukki</v>
      </c>
    </row>
    <row r="10312" customFormat="false" ht="15" hidden="false" customHeight="false" outlineLevel="0" collapsed="false">
      <c r="A10312" s="3" t="s">
        <v>523</v>
      </c>
      <c r="B10312" s="4" t="s">
        <v>12</v>
      </c>
      <c r="C10312" s="4" t="n">
        <v>6</v>
      </c>
      <c r="D10312" s="4" t="s">
        <v>23</v>
      </c>
      <c r="E10312" s="3" t="s">
        <v>297</v>
      </c>
      <c r="F10312" s="4" t="str">
        <f aca="false">IF(I10312&gt;J10312,"Y","N")</f>
        <v>Y</v>
      </c>
      <c r="G10312" s="3" t="s">
        <v>296</v>
      </c>
      <c r="H10312" s="3" t="s">
        <v>42</v>
      </c>
      <c r="I10312" s="4" t="n">
        <v>2</v>
      </c>
      <c r="J10312" s="4" t="n">
        <f aca="false">LEN(E10312)-LEN(SUBSTITUTE(E10312,",",""))+1</f>
        <v>1</v>
      </c>
      <c r="K10312" s="3" t="str">
        <f aca="false">IFERROR(INDEX('Teacher Lookup'!$B$2:$B$200,MATCH(A10312,'Teacher Lookup'!$A$2:$A$200,0)),"")</f>
        <v>WONG Yukki</v>
      </c>
    </row>
    <row r="10313" customFormat="false" ht="15" hidden="false" customHeight="false" outlineLevel="0" collapsed="false">
      <c r="A10313" s="3" t="s">
        <v>523</v>
      </c>
      <c r="B10313" s="4" t="s">
        <v>31</v>
      </c>
      <c r="C10313" s="4" t="n">
        <v>2</v>
      </c>
      <c r="D10313" s="4" t="s">
        <v>70</v>
      </c>
      <c r="E10313" s="3" t="s">
        <v>297</v>
      </c>
      <c r="F10313" s="4" t="str">
        <f aca="false">IF(I10313&gt;J10313,"Y","N")</f>
        <v>Y</v>
      </c>
      <c r="G10313" s="3" t="s">
        <v>296</v>
      </c>
      <c r="H10313" s="3" t="s">
        <v>21</v>
      </c>
      <c r="I10313" s="4" t="n">
        <v>2</v>
      </c>
      <c r="J10313" s="4" t="n">
        <f aca="false">LEN(E10313)-LEN(SUBSTITUTE(E10313,",",""))+1</f>
        <v>1</v>
      </c>
      <c r="K10313" s="3" t="str">
        <f aca="false">IFERROR(INDEX('Teacher Lookup'!$B$2:$B$200,MATCH(A10313,'Teacher Lookup'!$A$2:$A$200,0)),"")</f>
        <v>WONG Yukki</v>
      </c>
    </row>
    <row r="10314" customFormat="false" ht="15" hidden="false" customHeight="false" outlineLevel="0" collapsed="false">
      <c r="A10314" s="3" t="s">
        <v>523</v>
      </c>
      <c r="B10314" s="4" t="s">
        <v>31</v>
      </c>
      <c r="C10314" s="4" t="n">
        <v>3</v>
      </c>
      <c r="D10314" s="4" t="s">
        <v>58</v>
      </c>
      <c r="E10314" s="3" t="s">
        <v>297</v>
      </c>
      <c r="F10314" s="4" t="str">
        <f aca="false">IF(I10314&gt;J10314,"Y","N")</f>
        <v>Y</v>
      </c>
      <c r="G10314" s="3" t="s">
        <v>296</v>
      </c>
      <c r="H10314" s="3" t="s">
        <v>26</v>
      </c>
      <c r="I10314" s="4" t="n">
        <v>2</v>
      </c>
      <c r="J10314" s="4" t="n">
        <f aca="false">LEN(E10314)-LEN(SUBSTITUTE(E10314,",",""))+1</f>
        <v>1</v>
      </c>
      <c r="K10314" s="3" t="str">
        <f aca="false">IFERROR(INDEX('Teacher Lookup'!$B$2:$B$200,MATCH(A10314,'Teacher Lookup'!$A$2:$A$200,0)),"")</f>
        <v>WONG Yukki</v>
      </c>
    </row>
    <row r="10315" customFormat="false" ht="15" hidden="false" customHeight="false" outlineLevel="0" collapsed="false">
      <c r="A10315" s="3" t="s">
        <v>523</v>
      </c>
      <c r="B10315" s="4" t="s">
        <v>31</v>
      </c>
      <c r="C10315" s="4" t="n">
        <v>4</v>
      </c>
      <c r="D10315" s="4" t="s">
        <v>73</v>
      </c>
      <c r="E10315" s="3" t="s">
        <v>297</v>
      </c>
      <c r="F10315" s="4" t="str">
        <f aca="false">IF(I10315&gt;J10315,"Y","N")</f>
        <v>Y</v>
      </c>
      <c r="G10315" s="3" t="s">
        <v>296</v>
      </c>
      <c r="H10315" s="3" t="s">
        <v>34</v>
      </c>
      <c r="I10315" s="4" t="n">
        <v>2</v>
      </c>
      <c r="J10315" s="4" t="n">
        <f aca="false">LEN(E10315)-LEN(SUBSTITUTE(E10315,",",""))+1</f>
        <v>1</v>
      </c>
      <c r="K10315" s="3" t="str">
        <f aca="false">IFERROR(INDEX('Teacher Lookup'!$B$2:$B$200,MATCH(A10315,'Teacher Lookup'!$A$2:$A$200,0)),"")</f>
        <v>WONG Yukki</v>
      </c>
    </row>
    <row r="10316" customFormat="false" ht="15" hidden="false" customHeight="false" outlineLevel="0" collapsed="false">
      <c r="A10316" s="3" t="s">
        <v>523</v>
      </c>
      <c r="B10316" s="4" t="s">
        <v>31</v>
      </c>
      <c r="C10316" s="4" t="n">
        <v>5</v>
      </c>
      <c r="D10316" s="4" t="s">
        <v>52</v>
      </c>
      <c r="E10316" s="3" t="s">
        <v>112</v>
      </c>
      <c r="F10316" s="4" t="str">
        <f aca="false">IF(I10316&gt;J10316,"Y","N")</f>
        <v>Y</v>
      </c>
      <c r="G10316" s="3" t="s">
        <v>36</v>
      </c>
      <c r="H10316" s="3" t="s">
        <v>37</v>
      </c>
      <c r="I10316" s="4" t="n">
        <v>16</v>
      </c>
      <c r="J10316" s="4" t="n">
        <f aca="false">LEN(E10316)-LEN(SUBSTITUTE(E10316,",",""))+1</f>
        <v>7</v>
      </c>
      <c r="K10316" s="3" t="str">
        <f aca="false">IFERROR(INDEX('Teacher Lookup'!$B$2:$B$200,MATCH(A10316,'Teacher Lookup'!$A$2:$A$200,0)),"")</f>
        <v>WONG Yukki</v>
      </c>
    </row>
    <row r="10317" customFormat="false" ht="15" hidden="false" customHeight="false" outlineLevel="0" collapsed="false">
      <c r="A10317" s="3" t="s">
        <v>523</v>
      </c>
      <c r="B10317" s="4" t="s">
        <v>31</v>
      </c>
      <c r="C10317" s="4" t="n">
        <v>5</v>
      </c>
      <c r="D10317" s="4" t="s">
        <v>55</v>
      </c>
      <c r="E10317" s="3" t="s">
        <v>112</v>
      </c>
      <c r="F10317" s="4" t="str">
        <f aca="false">IF(I10317&gt;J10317,"Y","N")</f>
        <v>Y</v>
      </c>
      <c r="G10317" s="3" t="s">
        <v>36</v>
      </c>
      <c r="H10317" s="3" t="s">
        <v>37</v>
      </c>
      <c r="I10317" s="4" t="n">
        <v>16</v>
      </c>
      <c r="J10317" s="4" t="n">
        <f aca="false">LEN(E10317)-LEN(SUBSTITUTE(E10317,",",""))+1</f>
        <v>7</v>
      </c>
      <c r="K10317" s="3" t="str">
        <f aca="false">IFERROR(INDEX('Teacher Lookup'!$B$2:$B$200,MATCH(A10317,'Teacher Lookup'!$A$2:$A$200,0)),"")</f>
        <v>WONG Yukki</v>
      </c>
    </row>
    <row r="10318" customFormat="false" ht="15" hidden="false" customHeight="false" outlineLevel="0" collapsed="false">
      <c r="A10318" s="3" t="s">
        <v>523</v>
      </c>
      <c r="B10318" s="4" t="s">
        <v>31</v>
      </c>
      <c r="C10318" s="4" t="n">
        <v>5</v>
      </c>
      <c r="D10318" s="4" t="s">
        <v>56</v>
      </c>
      <c r="E10318" s="3" t="s">
        <v>112</v>
      </c>
      <c r="F10318" s="4" t="str">
        <f aca="false">IF(I10318&gt;J10318,"Y","N")</f>
        <v>Y</v>
      </c>
      <c r="G10318" s="3" t="s">
        <v>36</v>
      </c>
      <c r="H10318" s="3" t="s">
        <v>37</v>
      </c>
      <c r="I10318" s="4" t="n">
        <v>16</v>
      </c>
      <c r="J10318" s="4" t="n">
        <f aca="false">LEN(E10318)-LEN(SUBSTITUTE(E10318,",",""))+1</f>
        <v>7</v>
      </c>
      <c r="K10318" s="3" t="str">
        <f aca="false">IFERROR(INDEX('Teacher Lookup'!$B$2:$B$200,MATCH(A10318,'Teacher Lookup'!$A$2:$A$200,0)),"")</f>
        <v>WONG Yukki</v>
      </c>
    </row>
    <row r="10319" customFormat="false" ht="15" hidden="false" customHeight="false" outlineLevel="0" collapsed="false">
      <c r="A10319" s="3" t="s">
        <v>523</v>
      </c>
      <c r="B10319" s="4" t="s">
        <v>31</v>
      </c>
      <c r="C10319" s="4" t="n">
        <v>5</v>
      </c>
      <c r="D10319" s="4" t="s">
        <v>57</v>
      </c>
      <c r="E10319" s="3" t="s">
        <v>112</v>
      </c>
      <c r="F10319" s="4" t="str">
        <f aca="false">IF(I10319&gt;J10319,"Y","N")</f>
        <v>Y</v>
      </c>
      <c r="G10319" s="3" t="s">
        <v>36</v>
      </c>
      <c r="H10319" s="3" t="s">
        <v>37</v>
      </c>
      <c r="I10319" s="4" t="n">
        <v>16</v>
      </c>
      <c r="J10319" s="4" t="n">
        <f aca="false">LEN(E10319)-LEN(SUBSTITUTE(E10319,",",""))+1</f>
        <v>7</v>
      </c>
      <c r="K10319" s="3" t="str">
        <f aca="false">IFERROR(INDEX('Teacher Lookup'!$B$2:$B$200,MATCH(A10319,'Teacher Lookup'!$A$2:$A$200,0)),"")</f>
        <v>WONG Yukki</v>
      </c>
    </row>
    <row r="10320" customFormat="false" ht="15" hidden="false" customHeight="false" outlineLevel="0" collapsed="false">
      <c r="A10320" s="3" t="s">
        <v>523</v>
      </c>
      <c r="B10320" s="4" t="s">
        <v>31</v>
      </c>
      <c r="C10320" s="4" t="n">
        <v>5</v>
      </c>
      <c r="D10320" s="4" t="s">
        <v>58</v>
      </c>
      <c r="E10320" s="3" t="s">
        <v>112</v>
      </c>
      <c r="F10320" s="4" t="str">
        <f aca="false">IF(I10320&gt;J10320,"Y","N")</f>
        <v>Y</v>
      </c>
      <c r="G10320" s="3" t="s">
        <v>36</v>
      </c>
      <c r="H10320" s="3" t="s">
        <v>37</v>
      </c>
      <c r="I10320" s="4" t="n">
        <v>16</v>
      </c>
      <c r="J10320" s="4" t="n">
        <f aca="false">LEN(E10320)-LEN(SUBSTITUTE(E10320,",",""))+1</f>
        <v>7</v>
      </c>
      <c r="K10320" s="3" t="str">
        <f aca="false">IFERROR(INDEX('Teacher Lookup'!$B$2:$B$200,MATCH(A10320,'Teacher Lookup'!$A$2:$A$200,0)),"")</f>
        <v>WONG Yukki</v>
      </c>
    </row>
    <row r="10321" customFormat="false" ht="15" hidden="false" customHeight="false" outlineLevel="0" collapsed="false">
      <c r="A10321" s="3" t="s">
        <v>523</v>
      </c>
      <c r="B10321" s="4" t="s">
        <v>31</v>
      </c>
      <c r="C10321" s="4" t="n">
        <v>5</v>
      </c>
      <c r="D10321" s="4" t="s">
        <v>59</v>
      </c>
      <c r="E10321" s="3" t="s">
        <v>112</v>
      </c>
      <c r="F10321" s="4" t="str">
        <f aca="false">IF(I10321&gt;J10321,"Y","N")</f>
        <v>Y</v>
      </c>
      <c r="G10321" s="3" t="s">
        <v>36</v>
      </c>
      <c r="H10321" s="3" t="s">
        <v>37</v>
      </c>
      <c r="I10321" s="4" t="n">
        <v>16</v>
      </c>
      <c r="J10321" s="4" t="n">
        <f aca="false">LEN(E10321)-LEN(SUBSTITUTE(E10321,",",""))+1</f>
        <v>7</v>
      </c>
      <c r="K10321" s="3" t="str">
        <f aca="false">IFERROR(INDEX('Teacher Lookup'!$B$2:$B$200,MATCH(A10321,'Teacher Lookup'!$A$2:$A$200,0)),"")</f>
        <v>WONG Yukki</v>
      </c>
    </row>
    <row r="10322" customFormat="false" ht="15" hidden="false" customHeight="false" outlineLevel="0" collapsed="false">
      <c r="A10322" s="3" t="s">
        <v>523</v>
      </c>
      <c r="B10322" s="4" t="s">
        <v>40</v>
      </c>
      <c r="C10322" s="4" t="n">
        <v>1</v>
      </c>
      <c r="D10322" s="4" t="s">
        <v>79</v>
      </c>
      <c r="E10322" s="3" t="s">
        <v>297</v>
      </c>
      <c r="F10322" s="4" t="str">
        <f aca="false">IF(I10322&gt;J10322,"Y","N")</f>
        <v>Y</v>
      </c>
      <c r="G10322" s="3" t="s">
        <v>296</v>
      </c>
      <c r="H10322" s="3" t="s">
        <v>16</v>
      </c>
      <c r="I10322" s="4" t="n">
        <v>2</v>
      </c>
      <c r="J10322" s="4" t="n">
        <f aca="false">LEN(E10322)-LEN(SUBSTITUTE(E10322,",",""))+1</f>
        <v>1</v>
      </c>
      <c r="K10322" s="3" t="str">
        <f aca="false">IFERROR(INDEX('Teacher Lookup'!$B$2:$B$200,MATCH(A10322,'Teacher Lookup'!$A$2:$A$200,0)),"")</f>
        <v>WONG Yukki</v>
      </c>
    </row>
    <row r="10323" customFormat="false" ht="15" hidden="false" customHeight="false" outlineLevel="0" collapsed="false">
      <c r="A10323" s="3" t="s">
        <v>523</v>
      </c>
      <c r="B10323" s="4" t="s">
        <v>40</v>
      </c>
      <c r="C10323" s="4" t="n">
        <v>2</v>
      </c>
      <c r="D10323" s="4" t="s">
        <v>74</v>
      </c>
      <c r="E10323" s="3" t="s">
        <v>297</v>
      </c>
      <c r="F10323" s="4" t="str">
        <f aca="false">IF(I10323&gt;J10323,"Y","N")</f>
        <v>Y</v>
      </c>
      <c r="G10323" s="3" t="s">
        <v>296</v>
      </c>
      <c r="H10323" s="3" t="s">
        <v>21</v>
      </c>
      <c r="I10323" s="4" t="n">
        <v>2</v>
      </c>
      <c r="J10323" s="4" t="n">
        <f aca="false">LEN(E10323)-LEN(SUBSTITUTE(E10323,",",""))+1</f>
        <v>1</v>
      </c>
      <c r="K10323" s="3" t="str">
        <f aca="false">IFERROR(INDEX('Teacher Lookup'!$B$2:$B$200,MATCH(A10323,'Teacher Lookup'!$A$2:$A$200,0)),"")</f>
        <v>WONG Yukki</v>
      </c>
    </row>
    <row r="10324" customFormat="false" ht="15" hidden="false" customHeight="false" outlineLevel="0" collapsed="false">
      <c r="A10324" s="3" t="s">
        <v>523</v>
      </c>
      <c r="B10324" s="4" t="s">
        <v>40</v>
      </c>
      <c r="C10324" s="4" t="n">
        <v>3</v>
      </c>
      <c r="D10324" s="4" t="s">
        <v>58</v>
      </c>
      <c r="E10324" s="3" t="s">
        <v>297</v>
      </c>
      <c r="F10324" s="4" t="str">
        <f aca="false">IF(I10324&gt;J10324,"Y","N")</f>
        <v>Y</v>
      </c>
      <c r="G10324" s="3" t="s">
        <v>296</v>
      </c>
      <c r="H10324" s="3" t="s">
        <v>26</v>
      </c>
      <c r="I10324" s="4" t="n">
        <v>2</v>
      </c>
      <c r="J10324" s="4" t="n">
        <f aca="false">LEN(E10324)-LEN(SUBSTITUTE(E10324,",",""))+1</f>
        <v>1</v>
      </c>
      <c r="K10324" s="3" t="str">
        <f aca="false">IFERROR(INDEX('Teacher Lookup'!$B$2:$B$200,MATCH(A10324,'Teacher Lookup'!$A$2:$A$200,0)),"")</f>
        <v>WONG Yukki</v>
      </c>
    </row>
    <row r="10325" customFormat="false" ht="15" hidden="false" customHeight="false" outlineLevel="0" collapsed="false">
      <c r="A10325" s="3" t="s">
        <v>523</v>
      </c>
      <c r="B10325" s="4" t="s">
        <v>40</v>
      </c>
      <c r="C10325" s="4" t="n">
        <v>4</v>
      </c>
      <c r="D10325" s="4" t="s">
        <v>76</v>
      </c>
      <c r="E10325" s="3" t="s">
        <v>297</v>
      </c>
      <c r="F10325" s="4" t="str">
        <f aca="false">IF(I10325&gt;J10325,"Y","N")</f>
        <v>Y</v>
      </c>
      <c r="G10325" s="3" t="s">
        <v>296</v>
      </c>
      <c r="H10325" s="3" t="s">
        <v>34</v>
      </c>
      <c r="I10325" s="4" t="n">
        <v>2</v>
      </c>
      <c r="J10325" s="4" t="n">
        <f aca="false">LEN(E10325)-LEN(SUBSTITUTE(E10325,",",""))+1</f>
        <v>1</v>
      </c>
      <c r="K10325" s="3" t="str">
        <f aca="false">IFERROR(INDEX('Teacher Lookup'!$B$2:$B$200,MATCH(A10325,'Teacher Lookup'!$A$2:$A$200,0)),"")</f>
        <v>WONG Yukki</v>
      </c>
    </row>
    <row r="10326" customFormat="false" ht="15" hidden="false" customHeight="false" outlineLevel="0" collapsed="false">
      <c r="A10326" s="3" t="s">
        <v>523</v>
      </c>
      <c r="B10326" s="4" t="s">
        <v>44</v>
      </c>
      <c r="C10326" s="4" t="n">
        <v>1</v>
      </c>
      <c r="D10326" s="4" t="s">
        <v>73</v>
      </c>
      <c r="E10326" s="3" t="s">
        <v>297</v>
      </c>
      <c r="F10326" s="4" t="str">
        <f aca="false">IF(I10326&gt;J10326,"Y","N")</f>
        <v>Y</v>
      </c>
      <c r="G10326" s="3" t="s">
        <v>296</v>
      </c>
      <c r="H10326" s="3" t="s">
        <v>16</v>
      </c>
      <c r="I10326" s="4" t="n">
        <v>2</v>
      </c>
      <c r="J10326" s="4" t="n">
        <f aca="false">LEN(E10326)-LEN(SUBSTITUTE(E10326,",",""))+1</f>
        <v>1</v>
      </c>
      <c r="K10326" s="3" t="str">
        <f aca="false">IFERROR(INDEX('Teacher Lookup'!$B$2:$B$200,MATCH(A10326,'Teacher Lookup'!$A$2:$A$200,0)),"")</f>
        <v>WONG Yukki</v>
      </c>
    </row>
    <row r="10327" customFormat="false" ht="15" hidden="false" customHeight="false" outlineLevel="0" collapsed="false">
      <c r="A10327" s="3" t="s">
        <v>523</v>
      </c>
      <c r="B10327" s="4" t="s">
        <v>44</v>
      </c>
      <c r="C10327" s="4" t="n">
        <v>2</v>
      </c>
      <c r="D10327" s="4" t="s">
        <v>78</v>
      </c>
      <c r="E10327" s="3" t="s">
        <v>297</v>
      </c>
      <c r="F10327" s="4" t="str">
        <f aca="false">IF(I10327&gt;J10327,"Y","N")</f>
        <v>Y</v>
      </c>
      <c r="G10327" s="3" t="s">
        <v>296</v>
      </c>
      <c r="H10327" s="3" t="s">
        <v>21</v>
      </c>
      <c r="I10327" s="4" t="n">
        <v>2</v>
      </c>
      <c r="J10327" s="4" t="n">
        <f aca="false">LEN(E10327)-LEN(SUBSTITUTE(E10327,",",""))+1</f>
        <v>1</v>
      </c>
      <c r="K10327" s="3" t="str">
        <f aca="false">IFERROR(INDEX('Teacher Lookup'!$B$2:$B$200,MATCH(A10327,'Teacher Lookup'!$A$2:$A$200,0)),"")</f>
        <v>WONG Yukki</v>
      </c>
    </row>
    <row r="10328" customFormat="false" ht="15" hidden="false" customHeight="false" outlineLevel="0" collapsed="false">
      <c r="A10328" s="3" t="s">
        <v>523</v>
      </c>
      <c r="B10328" s="4" t="s">
        <v>44</v>
      </c>
      <c r="C10328" s="4" t="n">
        <v>5</v>
      </c>
      <c r="D10328" s="4" t="s">
        <v>52</v>
      </c>
      <c r="E10328" s="3" t="s">
        <v>112</v>
      </c>
      <c r="F10328" s="4" t="str">
        <f aca="false">IF(I10328&gt;J10328,"Y","N")</f>
        <v>Y</v>
      </c>
      <c r="G10328" s="3" t="s">
        <v>36</v>
      </c>
      <c r="H10328" s="3" t="s">
        <v>37</v>
      </c>
      <c r="I10328" s="4" t="n">
        <v>16</v>
      </c>
      <c r="J10328" s="4" t="n">
        <f aca="false">LEN(E10328)-LEN(SUBSTITUTE(E10328,",",""))+1</f>
        <v>7</v>
      </c>
      <c r="K10328" s="3" t="str">
        <f aca="false">IFERROR(INDEX('Teacher Lookup'!$B$2:$B$200,MATCH(A10328,'Teacher Lookup'!$A$2:$A$200,0)),"")</f>
        <v>WONG Yukki</v>
      </c>
    </row>
    <row r="10329" customFormat="false" ht="15" hidden="false" customHeight="false" outlineLevel="0" collapsed="false">
      <c r="A10329" s="3" t="s">
        <v>523</v>
      </c>
      <c r="B10329" s="4" t="s">
        <v>44</v>
      </c>
      <c r="C10329" s="4" t="n">
        <v>5</v>
      </c>
      <c r="D10329" s="4" t="s">
        <v>55</v>
      </c>
      <c r="E10329" s="3" t="s">
        <v>112</v>
      </c>
      <c r="F10329" s="4" t="str">
        <f aca="false">IF(I10329&gt;J10329,"Y","N")</f>
        <v>Y</v>
      </c>
      <c r="G10329" s="3" t="s">
        <v>36</v>
      </c>
      <c r="H10329" s="3" t="s">
        <v>37</v>
      </c>
      <c r="I10329" s="4" t="n">
        <v>16</v>
      </c>
      <c r="J10329" s="4" t="n">
        <f aca="false">LEN(E10329)-LEN(SUBSTITUTE(E10329,",",""))+1</f>
        <v>7</v>
      </c>
      <c r="K10329" s="3" t="str">
        <f aca="false">IFERROR(INDEX('Teacher Lookup'!$B$2:$B$200,MATCH(A10329,'Teacher Lookup'!$A$2:$A$200,0)),"")</f>
        <v>WONG Yukki</v>
      </c>
    </row>
    <row r="10330" customFormat="false" ht="15" hidden="false" customHeight="false" outlineLevel="0" collapsed="false">
      <c r="A10330" s="3" t="s">
        <v>523</v>
      </c>
      <c r="B10330" s="4" t="s">
        <v>44</v>
      </c>
      <c r="C10330" s="4" t="n">
        <v>5</v>
      </c>
      <c r="D10330" s="4" t="s">
        <v>56</v>
      </c>
      <c r="E10330" s="3" t="s">
        <v>112</v>
      </c>
      <c r="F10330" s="4" t="str">
        <f aca="false">IF(I10330&gt;J10330,"Y","N")</f>
        <v>Y</v>
      </c>
      <c r="G10330" s="3" t="s">
        <v>36</v>
      </c>
      <c r="H10330" s="3" t="s">
        <v>37</v>
      </c>
      <c r="I10330" s="4" t="n">
        <v>16</v>
      </c>
      <c r="J10330" s="4" t="n">
        <f aca="false">LEN(E10330)-LEN(SUBSTITUTE(E10330,",",""))+1</f>
        <v>7</v>
      </c>
      <c r="K10330" s="3" t="str">
        <f aca="false">IFERROR(INDEX('Teacher Lookup'!$B$2:$B$200,MATCH(A10330,'Teacher Lookup'!$A$2:$A$200,0)),"")</f>
        <v>WONG Yukki</v>
      </c>
    </row>
    <row r="10331" customFormat="false" ht="15" hidden="false" customHeight="false" outlineLevel="0" collapsed="false">
      <c r="A10331" s="3" t="s">
        <v>523</v>
      </c>
      <c r="B10331" s="4" t="s">
        <v>44</v>
      </c>
      <c r="C10331" s="4" t="n">
        <v>5</v>
      </c>
      <c r="D10331" s="4" t="s">
        <v>57</v>
      </c>
      <c r="E10331" s="3" t="s">
        <v>112</v>
      </c>
      <c r="F10331" s="4" t="str">
        <f aca="false">IF(I10331&gt;J10331,"Y","N")</f>
        <v>Y</v>
      </c>
      <c r="G10331" s="3" t="s">
        <v>36</v>
      </c>
      <c r="H10331" s="3" t="s">
        <v>37</v>
      </c>
      <c r="I10331" s="4" t="n">
        <v>16</v>
      </c>
      <c r="J10331" s="4" t="n">
        <f aca="false">LEN(E10331)-LEN(SUBSTITUTE(E10331,",",""))+1</f>
        <v>7</v>
      </c>
      <c r="K10331" s="3" t="str">
        <f aca="false">IFERROR(INDEX('Teacher Lookup'!$B$2:$B$200,MATCH(A10331,'Teacher Lookup'!$A$2:$A$200,0)),"")</f>
        <v>WONG Yukki</v>
      </c>
    </row>
    <row r="10332" customFormat="false" ht="15" hidden="false" customHeight="false" outlineLevel="0" collapsed="false">
      <c r="A10332" s="3" t="s">
        <v>523</v>
      </c>
      <c r="B10332" s="4" t="s">
        <v>44</v>
      </c>
      <c r="C10332" s="4" t="n">
        <v>5</v>
      </c>
      <c r="D10332" s="4" t="s">
        <v>58</v>
      </c>
      <c r="E10332" s="3" t="s">
        <v>112</v>
      </c>
      <c r="F10332" s="4" t="str">
        <f aca="false">IF(I10332&gt;J10332,"Y","N")</f>
        <v>Y</v>
      </c>
      <c r="G10332" s="3" t="s">
        <v>36</v>
      </c>
      <c r="H10332" s="3" t="s">
        <v>37</v>
      </c>
      <c r="I10332" s="4" t="n">
        <v>16</v>
      </c>
      <c r="J10332" s="4" t="n">
        <f aca="false">LEN(E10332)-LEN(SUBSTITUTE(E10332,",",""))+1</f>
        <v>7</v>
      </c>
      <c r="K10332" s="3" t="str">
        <f aca="false">IFERROR(INDEX('Teacher Lookup'!$B$2:$B$200,MATCH(A10332,'Teacher Lookup'!$A$2:$A$200,0)),"")</f>
        <v>WONG Yukki</v>
      </c>
    </row>
    <row r="10333" customFormat="false" ht="15" hidden="false" customHeight="false" outlineLevel="0" collapsed="false">
      <c r="A10333" s="3" t="s">
        <v>523</v>
      </c>
      <c r="B10333" s="4" t="s">
        <v>44</v>
      </c>
      <c r="C10333" s="4" t="n">
        <v>5</v>
      </c>
      <c r="D10333" s="4" t="s">
        <v>59</v>
      </c>
      <c r="E10333" s="3" t="s">
        <v>112</v>
      </c>
      <c r="F10333" s="4" t="str">
        <f aca="false">IF(I10333&gt;J10333,"Y","N")</f>
        <v>Y</v>
      </c>
      <c r="G10333" s="3" t="s">
        <v>36</v>
      </c>
      <c r="H10333" s="3" t="s">
        <v>37</v>
      </c>
      <c r="I10333" s="4" t="n">
        <v>16</v>
      </c>
      <c r="J10333" s="4" t="n">
        <f aca="false">LEN(E10333)-LEN(SUBSTITUTE(E10333,",",""))+1</f>
        <v>7</v>
      </c>
      <c r="K10333" s="3" t="str">
        <f aca="false">IFERROR(INDEX('Teacher Lookup'!$B$2:$B$200,MATCH(A10333,'Teacher Lookup'!$A$2:$A$200,0)),"")</f>
        <v>WONG Yukki</v>
      </c>
    </row>
    <row r="10334" customFormat="false" ht="15" hidden="false" customHeight="false" outlineLevel="0" collapsed="false">
      <c r="A10334" s="3" t="s">
        <v>523</v>
      </c>
      <c r="B10334" s="4" t="s">
        <v>44</v>
      </c>
      <c r="C10334" s="4" t="n">
        <v>6</v>
      </c>
      <c r="D10334" s="4" t="s">
        <v>58</v>
      </c>
      <c r="E10334" s="3" t="s">
        <v>297</v>
      </c>
      <c r="F10334" s="4" t="str">
        <f aca="false">IF(I10334&gt;J10334,"Y","N")</f>
        <v>Y</v>
      </c>
      <c r="G10334" s="3" t="s">
        <v>296</v>
      </c>
      <c r="H10334" s="3" t="s">
        <v>42</v>
      </c>
      <c r="I10334" s="4" t="n">
        <v>2</v>
      </c>
      <c r="J10334" s="4" t="n">
        <f aca="false">LEN(E10334)-LEN(SUBSTITUTE(E10334,",",""))+1</f>
        <v>1</v>
      </c>
      <c r="K10334" s="3" t="str">
        <f aca="false">IFERROR(INDEX('Teacher Lookup'!$B$2:$B$200,MATCH(A10334,'Teacher Lookup'!$A$2:$A$200,0)),"")</f>
        <v>WONG Yukki</v>
      </c>
    </row>
    <row r="10335" customFormat="false" ht="15" hidden="false" customHeight="false" outlineLevel="0" collapsed="false">
      <c r="A10335" s="3" t="s">
        <v>523</v>
      </c>
      <c r="B10335" s="4" t="s">
        <v>47</v>
      </c>
      <c r="C10335" s="4" t="n">
        <v>2</v>
      </c>
      <c r="D10335" s="4" t="s">
        <v>70</v>
      </c>
      <c r="E10335" s="3" t="s">
        <v>297</v>
      </c>
      <c r="F10335" s="4" t="str">
        <f aca="false">IF(I10335&gt;J10335,"Y","N")</f>
        <v>Y</v>
      </c>
      <c r="G10335" s="3" t="s">
        <v>296</v>
      </c>
      <c r="H10335" s="3" t="s">
        <v>21</v>
      </c>
      <c r="I10335" s="4" t="n">
        <v>2</v>
      </c>
      <c r="J10335" s="4" t="n">
        <f aca="false">LEN(E10335)-LEN(SUBSTITUTE(E10335,",",""))+1</f>
        <v>1</v>
      </c>
      <c r="K10335" s="3" t="str">
        <f aca="false">IFERROR(INDEX('Teacher Lookup'!$B$2:$B$200,MATCH(A10335,'Teacher Lookup'!$A$2:$A$200,0)),"")</f>
        <v>WONG Yukki</v>
      </c>
    </row>
    <row r="10336" customFormat="false" ht="15" hidden="false" customHeight="false" outlineLevel="0" collapsed="false">
      <c r="A10336" s="3" t="s">
        <v>523</v>
      </c>
      <c r="B10336" s="4" t="s">
        <v>47</v>
      </c>
      <c r="C10336" s="4" t="n">
        <v>3</v>
      </c>
      <c r="D10336" s="4" t="s">
        <v>74</v>
      </c>
      <c r="E10336" s="3" t="s">
        <v>297</v>
      </c>
      <c r="F10336" s="4" t="str">
        <f aca="false">IF(I10336&gt;J10336,"Y","N")</f>
        <v>Y</v>
      </c>
      <c r="G10336" s="3" t="s">
        <v>296</v>
      </c>
      <c r="H10336" s="3" t="s">
        <v>26</v>
      </c>
      <c r="I10336" s="4" t="n">
        <v>2</v>
      </c>
      <c r="J10336" s="4" t="n">
        <f aca="false">LEN(E10336)-LEN(SUBSTITUTE(E10336,",",""))+1</f>
        <v>1</v>
      </c>
      <c r="K10336" s="3" t="str">
        <f aca="false">IFERROR(INDEX('Teacher Lookup'!$B$2:$B$200,MATCH(A10336,'Teacher Lookup'!$A$2:$A$200,0)),"")</f>
        <v>WONG Yukki</v>
      </c>
    </row>
    <row r="10337" customFormat="false" ht="15" hidden="false" customHeight="false" outlineLevel="0" collapsed="false">
      <c r="A10337" s="3" t="s">
        <v>523</v>
      </c>
      <c r="B10337" s="4" t="s">
        <v>47</v>
      </c>
      <c r="C10337" s="4" t="n">
        <v>5</v>
      </c>
      <c r="D10337" s="4" t="s">
        <v>76</v>
      </c>
      <c r="E10337" s="3" t="s">
        <v>297</v>
      </c>
      <c r="F10337" s="4" t="str">
        <f aca="false">IF(I10337&gt;J10337,"Y","N")</f>
        <v>Y</v>
      </c>
      <c r="G10337" s="3" t="s">
        <v>296</v>
      </c>
      <c r="H10337" s="3" t="s">
        <v>37</v>
      </c>
      <c r="I10337" s="4" t="n">
        <v>2</v>
      </c>
      <c r="J10337" s="4" t="n">
        <f aca="false">LEN(E10337)-LEN(SUBSTITUTE(E10337,",",""))+1</f>
        <v>1</v>
      </c>
      <c r="K10337" s="3" t="str">
        <f aca="false">IFERROR(INDEX('Teacher Lookup'!$B$2:$B$200,MATCH(A10337,'Teacher Lookup'!$A$2:$A$200,0)),"")</f>
        <v>WONG Yukki</v>
      </c>
    </row>
    <row r="10338" customFormat="false" ht="15" hidden="false" customHeight="false" outlineLevel="0" collapsed="false">
      <c r="A10338" s="3" t="s">
        <v>523</v>
      </c>
      <c r="B10338" s="4" t="s">
        <v>47</v>
      </c>
      <c r="C10338" s="4" t="n">
        <v>7</v>
      </c>
      <c r="D10338" s="4" t="s">
        <v>79</v>
      </c>
      <c r="E10338" s="3" t="s">
        <v>297</v>
      </c>
      <c r="F10338" s="4" t="str">
        <f aca="false">IF(I10338&gt;J10338,"Y","N")</f>
        <v>Y</v>
      </c>
      <c r="G10338" s="3" t="s">
        <v>296</v>
      </c>
      <c r="H10338" s="3" t="s">
        <v>39</v>
      </c>
      <c r="I10338" s="4" t="n">
        <v>2</v>
      </c>
      <c r="J10338" s="4" t="n">
        <f aca="false">LEN(E10338)-LEN(SUBSTITUTE(E10338,",",""))+1</f>
        <v>1</v>
      </c>
      <c r="K10338" s="3" t="str">
        <f aca="false">IFERROR(INDEX('Teacher Lookup'!$B$2:$B$200,MATCH(A10338,'Teacher Lookup'!$A$2:$A$200,0)),"")</f>
        <v>WONG Yukki</v>
      </c>
    </row>
    <row r="10339" customFormat="false" ht="15" hidden="false" customHeight="false" outlineLevel="0" collapsed="false">
      <c r="A10339" s="3" t="s">
        <v>523</v>
      </c>
      <c r="B10339" s="4" t="s">
        <v>50</v>
      </c>
      <c r="C10339" s="4" t="n">
        <v>1</v>
      </c>
      <c r="D10339" s="4" t="s">
        <v>58</v>
      </c>
      <c r="E10339" s="3" t="s">
        <v>297</v>
      </c>
      <c r="F10339" s="4" t="str">
        <f aca="false">IF(I10339&gt;J10339,"Y","N")</f>
        <v>Y</v>
      </c>
      <c r="G10339" s="3" t="s">
        <v>296</v>
      </c>
      <c r="H10339" s="3" t="s">
        <v>16</v>
      </c>
      <c r="I10339" s="4" t="n">
        <v>2</v>
      </c>
      <c r="J10339" s="4" t="n">
        <f aca="false">LEN(E10339)-LEN(SUBSTITUTE(E10339,",",""))+1</f>
        <v>1</v>
      </c>
      <c r="K10339" s="3" t="str">
        <f aca="false">IFERROR(INDEX('Teacher Lookup'!$B$2:$B$200,MATCH(A10339,'Teacher Lookup'!$A$2:$A$200,0)),"")</f>
        <v>WONG Yukki</v>
      </c>
    </row>
    <row r="10340" customFormat="false" ht="15" hidden="false" customHeight="false" outlineLevel="0" collapsed="false">
      <c r="A10340" s="3" t="s">
        <v>523</v>
      </c>
      <c r="B10340" s="4" t="s">
        <v>50</v>
      </c>
      <c r="C10340" s="4" t="n">
        <v>2</v>
      </c>
      <c r="D10340" s="4" t="s">
        <v>73</v>
      </c>
      <c r="E10340" s="3" t="s">
        <v>297</v>
      </c>
      <c r="F10340" s="4" t="str">
        <f aca="false">IF(I10340&gt;J10340,"Y","N")</f>
        <v>Y</v>
      </c>
      <c r="G10340" s="3" t="s">
        <v>296</v>
      </c>
      <c r="H10340" s="3" t="s">
        <v>21</v>
      </c>
      <c r="I10340" s="4" t="n">
        <v>2</v>
      </c>
      <c r="J10340" s="4" t="n">
        <f aca="false">LEN(E10340)-LEN(SUBSTITUTE(E10340,",",""))+1</f>
        <v>1</v>
      </c>
      <c r="K10340" s="3" t="str">
        <f aca="false">IFERROR(INDEX('Teacher Lookup'!$B$2:$B$200,MATCH(A10340,'Teacher Lookup'!$A$2:$A$200,0)),"")</f>
        <v>WONG Yukki</v>
      </c>
    </row>
    <row r="10341" customFormat="false" ht="15" hidden="false" customHeight="false" outlineLevel="0" collapsed="false">
      <c r="A10341" s="3" t="s">
        <v>523</v>
      </c>
      <c r="B10341" s="4" t="s">
        <v>50</v>
      </c>
      <c r="C10341" s="4" t="n">
        <v>3</v>
      </c>
      <c r="D10341" s="4" t="s">
        <v>78</v>
      </c>
      <c r="E10341" s="3" t="s">
        <v>297</v>
      </c>
      <c r="F10341" s="4" t="str">
        <f aca="false">IF(I10341&gt;J10341,"Y","N")</f>
        <v>Y</v>
      </c>
      <c r="G10341" s="3" t="s">
        <v>296</v>
      </c>
      <c r="H10341" s="3" t="s">
        <v>26</v>
      </c>
      <c r="I10341" s="4" t="n">
        <v>2</v>
      </c>
      <c r="J10341" s="4" t="n">
        <f aca="false">LEN(E10341)-LEN(SUBSTITUTE(E10341,",",""))+1</f>
        <v>1</v>
      </c>
      <c r="K10341" s="3" t="str">
        <f aca="false">IFERROR(INDEX('Teacher Lookup'!$B$2:$B$200,MATCH(A10341,'Teacher Lookup'!$A$2:$A$200,0)),"")</f>
        <v>WONG Yukki</v>
      </c>
    </row>
    <row r="10342" customFormat="false" ht="15" hidden="false" customHeight="false" outlineLevel="0" collapsed="false">
      <c r="A10342" s="3" t="s">
        <v>523</v>
      </c>
      <c r="B10342" s="4" t="s">
        <v>60</v>
      </c>
      <c r="C10342" s="4" t="n">
        <v>5</v>
      </c>
      <c r="D10342" s="4" t="s">
        <v>52</v>
      </c>
      <c r="E10342" s="3" t="s">
        <v>112</v>
      </c>
      <c r="F10342" s="4" t="str">
        <f aca="false">IF(I10342&gt;J10342,"Y","N")</f>
        <v>Y</v>
      </c>
      <c r="G10342" s="3" t="s">
        <v>36</v>
      </c>
      <c r="H10342" s="3" t="s">
        <v>37</v>
      </c>
      <c r="I10342" s="4" t="n">
        <v>16</v>
      </c>
      <c r="J10342" s="4" t="n">
        <f aca="false">LEN(E10342)-LEN(SUBSTITUTE(E10342,",",""))+1</f>
        <v>7</v>
      </c>
      <c r="K10342" s="3" t="str">
        <f aca="false">IFERROR(INDEX('Teacher Lookup'!$B$2:$B$200,MATCH(A10342,'Teacher Lookup'!$A$2:$A$200,0)),"")</f>
        <v>WONG Yukki</v>
      </c>
    </row>
    <row r="10343" customFormat="false" ht="15" hidden="false" customHeight="false" outlineLevel="0" collapsed="false">
      <c r="A10343" s="3" t="s">
        <v>523</v>
      </c>
      <c r="B10343" s="4" t="s">
        <v>60</v>
      </c>
      <c r="C10343" s="4" t="n">
        <v>5</v>
      </c>
      <c r="D10343" s="4" t="s">
        <v>55</v>
      </c>
      <c r="E10343" s="3" t="s">
        <v>112</v>
      </c>
      <c r="F10343" s="4" t="str">
        <f aca="false">IF(I10343&gt;J10343,"Y","N")</f>
        <v>Y</v>
      </c>
      <c r="G10343" s="3" t="s">
        <v>36</v>
      </c>
      <c r="H10343" s="3" t="s">
        <v>37</v>
      </c>
      <c r="I10343" s="4" t="n">
        <v>16</v>
      </c>
      <c r="J10343" s="4" t="n">
        <f aca="false">LEN(E10343)-LEN(SUBSTITUTE(E10343,",",""))+1</f>
        <v>7</v>
      </c>
      <c r="K10343" s="3" t="str">
        <f aca="false">IFERROR(INDEX('Teacher Lookup'!$B$2:$B$200,MATCH(A10343,'Teacher Lookup'!$A$2:$A$200,0)),"")</f>
        <v>WONG Yukki</v>
      </c>
    </row>
    <row r="10344" customFormat="false" ht="15" hidden="false" customHeight="false" outlineLevel="0" collapsed="false">
      <c r="A10344" s="3" t="s">
        <v>523</v>
      </c>
      <c r="B10344" s="4" t="s">
        <v>60</v>
      </c>
      <c r="C10344" s="4" t="n">
        <v>5</v>
      </c>
      <c r="D10344" s="4" t="s">
        <v>56</v>
      </c>
      <c r="E10344" s="3" t="s">
        <v>112</v>
      </c>
      <c r="F10344" s="4" t="str">
        <f aca="false">IF(I10344&gt;J10344,"Y","N")</f>
        <v>Y</v>
      </c>
      <c r="G10344" s="3" t="s">
        <v>36</v>
      </c>
      <c r="H10344" s="3" t="s">
        <v>37</v>
      </c>
      <c r="I10344" s="4" t="n">
        <v>16</v>
      </c>
      <c r="J10344" s="4" t="n">
        <f aca="false">LEN(E10344)-LEN(SUBSTITUTE(E10344,",",""))+1</f>
        <v>7</v>
      </c>
      <c r="K10344" s="3" t="str">
        <f aca="false">IFERROR(INDEX('Teacher Lookup'!$B$2:$B$200,MATCH(A10344,'Teacher Lookup'!$A$2:$A$200,0)),"")</f>
        <v>WONG Yukki</v>
      </c>
    </row>
    <row r="10345" customFormat="false" ht="15" hidden="false" customHeight="false" outlineLevel="0" collapsed="false">
      <c r="A10345" s="3" t="s">
        <v>523</v>
      </c>
      <c r="B10345" s="4" t="s">
        <v>60</v>
      </c>
      <c r="C10345" s="4" t="n">
        <v>5</v>
      </c>
      <c r="D10345" s="4" t="s">
        <v>57</v>
      </c>
      <c r="E10345" s="3" t="s">
        <v>112</v>
      </c>
      <c r="F10345" s="4" t="str">
        <f aca="false">IF(I10345&gt;J10345,"Y","N")</f>
        <v>Y</v>
      </c>
      <c r="G10345" s="3" t="s">
        <v>36</v>
      </c>
      <c r="H10345" s="3" t="s">
        <v>37</v>
      </c>
      <c r="I10345" s="4" t="n">
        <v>16</v>
      </c>
      <c r="J10345" s="4" t="n">
        <f aca="false">LEN(E10345)-LEN(SUBSTITUTE(E10345,",",""))+1</f>
        <v>7</v>
      </c>
      <c r="K10345" s="3" t="str">
        <f aca="false">IFERROR(INDEX('Teacher Lookup'!$B$2:$B$200,MATCH(A10345,'Teacher Lookup'!$A$2:$A$200,0)),"")</f>
        <v>WONG Yukki</v>
      </c>
    </row>
    <row r="10346" customFormat="false" ht="15" hidden="false" customHeight="false" outlineLevel="0" collapsed="false">
      <c r="A10346" s="3" t="s">
        <v>523</v>
      </c>
      <c r="B10346" s="4" t="s">
        <v>60</v>
      </c>
      <c r="C10346" s="4" t="n">
        <v>5</v>
      </c>
      <c r="D10346" s="4" t="s">
        <v>58</v>
      </c>
      <c r="E10346" s="3" t="s">
        <v>112</v>
      </c>
      <c r="F10346" s="4" t="str">
        <f aca="false">IF(I10346&gt;J10346,"Y","N")</f>
        <v>Y</v>
      </c>
      <c r="G10346" s="3" t="s">
        <v>36</v>
      </c>
      <c r="H10346" s="3" t="s">
        <v>37</v>
      </c>
      <c r="I10346" s="4" t="n">
        <v>16</v>
      </c>
      <c r="J10346" s="4" t="n">
        <f aca="false">LEN(E10346)-LEN(SUBSTITUTE(E10346,",",""))+1</f>
        <v>7</v>
      </c>
      <c r="K10346" s="3" t="str">
        <f aca="false">IFERROR(INDEX('Teacher Lookup'!$B$2:$B$200,MATCH(A10346,'Teacher Lookup'!$A$2:$A$200,0)),"")</f>
        <v>WONG Yukki</v>
      </c>
    </row>
    <row r="10347" customFormat="false" ht="15" hidden="false" customHeight="false" outlineLevel="0" collapsed="false">
      <c r="A10347" s="3" t="s">
        <v>523</v>
      </c>
      <c r="B10347" s="4" t="s">
        <v>60</v>
      </c>
      <c r="C10347" s="4" t="n">
        <v>5</v>
      </c>
      <c r="D10347" s="4" t="s">
        <v>59</v>
      </c>
      <c r="E10347" s="3" t="s">
        <v>112</v>
      </c>
      <c r="F10347" s="4" t="str">
        <f aca="false">IF(I10347&gt;J10347,"Y","N")</f>
        <v>Y</v>
      </c>
      <c r="G10347" s="3" t="s">
        <v>36</v>
      </c>
      <c r="H10347" s="3" t="s">
        <v>37</v>
      </c>
      <c r="I10347" s="4" t="n">
        <v>16</v>
      </c>
      <c r="J10347" s="4" t="n">
        <f aca="false">LEN(E10347)-LEN(SUBSTITUTE(E10347,",",""))+1</f>
        <v>7</v>
      </c>
      <c r="K10347" s="3" t="str">
        <f aca="false">IFERROR(INDEX('Teacher Lookup'!$B$2:$B$200,MATCH(A10347,'Teacher Lookup'!$A$2:$A$200,0)),"")</f>
        <v>WONG Yukki</v>
      </c>
    </row>
    <row r="10348" customFormat="false" ht="15" hidden="false" customHeight="false" outlineLevel="0" collapsed="false">
      <c r="A10348" s="3" t="s">
        <v>523</v>
      </c>
      <c r="B10348" s="4" t="s">
        <v>60</v>
      </c>
      <c r="C10348" s="4" t="n">
        <v>7</v>
      </c>
      <c r="D10348" s="4" t="s">
        <v>58</v>
      </c>
      <c r="E10348" s="3" t="s">
        <v>297</v>
      </c>
      <c r="F10348" s="4" t="str">
        <f aca="false">IF(I10348&gt;J10348,"Y","N")</f>
        <v>Y</v>
      </c>
      <c r="G10348" s="3" t="s">
        <v>296</v>
      </c>
      <c r="H10348" s="3" t="s">
        <v>39</v>
      </c>
      <c r="I10348" s="4" t="n">
        <v>2</v>
      </c>
      <c r="J10348" s="4" t="n">
        <f aca="false">LEN(E10348)-LEN(SUBSTITUTE(E10348,",",""))+1</f>
        <v>1</v>
      </c>
      <c r="K10348" s="3" t="str">
        <f aca="false">IFERROR(INDEX('Teacher Lookup'!$B$2:$B$200,MATCH(A10348,'Teacher Lookup'!$A$2:$A$200,0)),"")</f>
        <v>WONG Yukki</v>
      </c>
    </row>
    <row r="10349" customFormat="false" ht="15" hidden="false" customHeight="false" outlineLevel="0" collapsed="false">
      <c r="A10349" s="3" t="s">
        <v>523</v>
      </c>
      <c r="B10349" s="4" t="s">
        <v>63</v>
      </c>
      <c r="C10349" s="4" t="n">
        <v>4</v>
      </c>
      <c r="D10349" s="4" t="s">
        <v>58</v>
      </c>
      <c r="E10349" s="3" t="s">
        <v>297</v>
      </c>
      <c r="F10349" s="4" t="str">
        <f aca="false">IF(I10349&gt;J10349,"Y","N")</f>
        <v>Y</v>
      </c>
      <c r="G10349" s="3" t="s">
        <v>296</v>
      </c>
      <c r="H10349" s="3" t="s">
        <v>34</v>
      </c>
      <c r="I10349" s="4" t="n">
        <v>2</v>
      </c>
      <c r="J10349" s="4" t="n">
        <f aca="false">LEN(E10349)-LEN(SUBSTITUTE(E10349,",",""))+1</f>
        <v>1</v>
      </c>
      <c r="K10349" s="3" t="str">
        <f aca="false">IFERROR(INDEX('Teacher Lookup'!$B$2:$B$200,MATCH(A10349,'Teacher Lookup'!$A$2:$A$200,0)),"")</f>
        <v>WONG Yukki</v>
      </c>
    </row>
    <row r="10350" customFormat="false" ht="15" hidden="false" customHeight="false" outlineLevel="0" collapsed="false">
      <c r="A10350" s="3" t="s">
        <v>523</v>
      </c>
      <c r="B10350" s="4" t="s">
        <v>65</v>
      </c>
      <c r="C10350" s="4" t="n">
        <v>1</v>
      </c>
      <c r="D10350" s="4" t="s">
        <v>58</v>
      </c>
      <c r="E10350" s="3" t="s">
        <v>297</v>
      </c>
      <c r="F10350" s="4" t="str">
        <f aca="false">IF(I10350&gt;J10350,"Y","N")</f>
        <v>Y</v>
      </c>
      <c r="G10350" s="3" t="s">
        <v>296</v>
      </c>
      <c r="H10350" s="3" t="s">
        <v>16</v>
      </c>
      <c r="I10350" s="4" t="n">
        <v>2</v>
      </c>
      <c r="J10350" s="4" t="n">
        <f aca="false">LEN(E10350)-LEN(SUBSTITUTE(E10350,",",""))+1</f>
        <v>1</v>
      </c>
      <c r="K10350" s="3" t="str">
        <f aca="false">IFERROR(INDEX('Teacher Lookup'!$B$2:$B$200,MATCH(A10350,'Teacher Lookup'!$A$2:$A$200,0)),"")</f>
        <v>WONG Yukki</v>
      </c>
    </row>
    <row r="10351" customFormat="false" ht="15" hidden="false" customHeight="false" outlineLevel="0" collapsed="false">
      <c r="A10351" s="3" t="s">
        <v>523</v>
      </c>
      <c r="B10351" s="4" t="s">
        <v>65</v>
      </c>
      <c r="C10351" s="4" t="n">
        <v>2</v>
      </c>
      <c r="D10351" s="4" t="s">
        <v>79</v>
      </c>
      <c r="E10351" s="3" t="s">
        <v>297</v>
      </c>
      <c r="F10351" s="4" t="str">
        <f aca="false">IF(I10351&gt;J10351,"Y","N")</f>
        <v>Y</v>
      </c>
      <c r="G10351" s="3" t="s">
        <v>296</v>
      </c>
      <c r="H10351" s="3" t="s">
        <v>21</v>
      </c>
      <c r="I10351" s="4" t="n">
        <v>2</v>
      </c>
      <c r="J10351" s="4" t="n">
        <f aca="false">LEN(E10351)-LEN(SUBSTITUTE(E10351,",",""))+1</f>
        <v>1</v>
      </c>
      <c r="K10351" s="3" t="str">
        <f aca="false">IFERROR(INDEX('Teacher Lookup'!$B$2:$B$200,MATCH(A10351,'Teacher Lookup'!$A$2:$A$200,0)),"")</f>
        <v>WONG Yukki</v>
      </c>
    </row>
    <row r="10352" customFormat="false" ht="15" hidden="false" customHeight="false" outlineLevel="0" collapsed="false">
      <c r="A10352" s="3" t="s">
        <v>523</v>
      </c>
      <c r="B10352" s="4" t="s">
        <v>65</v>
      </c>
      <c r="C10352" s="4" t="n">
        <v>3</v>
      </c>
      <c r="D10352" s="4" t="s">
        <v>23</v>
      </c>
      <c r="E10352" s="3" t="s">
        <v>297</v>
      </c>
      <c r="F10352" s="4" t="str">
        <f aca="false">IF(I10352&gt;J10352,"Y","N")</f>
        <v>Y</v>
      </c>
      <c r="G10352" s="3" t="s">
        <v>296</v>
      </c>
      <c r="H10352" s="3" t="s">
        <v>26</v>
      </c>
      <c r="I10352" s="4" t="n">
        <v>2</v>
      </c>
      <c r="J10352" s="4" t="n">
        <f aca="false">LEN(E10352)-LEN(SUBSTITUTE(E10352,",",""))+1</f>
        <v>1</v>
      </c>
      <c r="K10352" s="3" t="str">
        <f aca="false">IFERROR(INDEX('Teacher Lookup'!$B$2:$B$200,MATCH(A10352,'Teacher Lookup'!$A$2:$A$200,0)),"")</f>
        <v>WONG Yukki</v>
      </c>
    </row>
    <row r="10353" customFormat="false" ht="15" hidden="false" customHeight="false" outlineLevel="0" collapsed="false">
      <c r="A10353" s="3" t="s">
        <v>523</v>
      </c>
      <c r="B10353" s="4" t="s">
        <v>65</v>
      </c>
      <c r="C10353" s="4" t="n">
        <v>5</v>
      </c>
      <c r="D10353" s="4" t="s">
        <v>52</v>
      </c>
      <c r="E10353" s="3" t="s">
        <v>112</v>
      </c>
      <c r="F10353" s="4" t="str">
        <f aca="false">IF(I10353&gt;J10353,"Y","N")</f>
        <v>Y</v>
      </c>
      <c r="G10353" s="3" t="s">
        <v>36</v>
      </c>
      <c r="H10353" s="3" t="s">
        <v>37</v>
      </c>
      <c r="I10353" s="4" t="n">
        <v>16</v>
      </c>
      <c r="J10353" s="4" t="n">
        <f aca="false">LEN(E10353)-LEN(SUBSTITUTE(E10353,",",""))+1</f>
        <v>7</v>
      </c>
      <c r="K10353" s="3" t="str">
        <f aca="false">IFERROR(INDEX('Teacher Lookup'!$B$2:$B$200,MATCH(A10353,'Teacher Lookup'!$A$2:$A$200,0)),"")</f>
        <v>WONG Yukki</v>
      </c>
    </row>
    <row r="10354" customFormat="false" ht="15" hidden="false" customHeight="false" outlineLevel="0" collapsed="false">
      <c r="A10354" s="3" t="s">
        <v>523</v>
      </c>
      <c r="B10354" s="4" t="s">
        <v>65</v>
      </c>
      <c r="C10354" s="4" t="n">
        <v>5</v>
      </c>
      <c r="D10354" s="4" t="s">
        <v>55</v>
      </c>
      <c r="E10354" s="3" t="s">
        <v>112</v>
      </c>
      <c r="F10354" s="4" t="str">
        <f aca="false">IF(I10354&gt;J10354,"Y","N")</f>
        <v>Y</v>
      </c>
      <c r="G10354" s="3" t="s">
        <v>36</v>
      </c>
      <c r="H10354" s="3" t="s">
        <v>37</v>
      </c>
      <c r="I10354" s="4" t="n">
        <v>16</v>
      </c>
      <c r="J10354" s="4" t="n">
        <f aca="false">LEN(E10354)-LEN(SUBSTITUTE(E10354,",",""))+1</f>
        <v>7</v>
      </c>
      <c r="K10354" s="3" t="str">
        <f aca="false">IFERROR(INDEX('Teacher Lookup'!$B$2:$B$200,MATCH(A10354,'Teacher Lookup'!$A$2:$A$200,0)),"")</f>
        <v>WONG Yukki</v>
      </c>
    </row>
    <row r="10355" customFormat="false" ht="15" hidden="false" customHeight="false" outlineLevel="0" collapsed="false">
      <c r="A10355" s="3" t="s">
        <v>523</v>
      </c>
      <c r="B10355" s="4" t="s">
        <v>65</v>
      </c>
      <c r="C10355" s="4" t="n">
        <v>5</v>
      </c>
      <c r="D10355" s="4" t="s">
        <v>56</v>
      </c>
      <c r="E10355" s="3" t="s">
        <v>112</v>
      </c>
      <c r="F10355" s="4" t="str">
        <f aca="false">IF(I10355&gt;J10355,"Y","N")</f>
        <v>Y</v>
      </c>
      <c r="G10355" s="3" t="s">
        <v>36</v>
      </c>
      <c r="H10355" s="3" t="s">
        <v>37</v>
      </c>
      <c r="I10355" s="4" t="n">
        <v>16</v>
      </c>
      <c r="J10355" s="4" t="n">
        <f aca="false">LEN(E10355)-LEN(SUBSTITUTE(E10355,",",""))+1</f>
        <v>7</v>
      </c>
      <c r="K10355" s="3" t="str">
        <f aca="false">IFERROR(INDEX('Teacher Lookup'!$B$2:$B$200,MATCH(A10355,'Teacher Lookup'!$A$2:$A$200,0)),"")</f>
        <v>WONG Yukki</v>
      </c>
    </row>
    <row r="10356" customFormat="false" ht="15" hidden="false" customHeight="false" outlineLevel="0" collapsed="false">
      <c r="A10356" s="3" t="s">
        <v>523</v>
      </c>
      <c r="B10356" s="4" t="s">
        <v>65</v>
      </c>
      <c r="C10356" s="4" t="n">
        <v>5</v>
      </c>
      <c r="D10356" s="4" t="s">
        <v>57</v>
      </c>
      <c r="E10356" s="3" t="s">
        <v>112</v>
      </c>
      <c r="F10356" s="4" t="str">
        <f aca="false">IF(I10356&gt;J10356,"Y","N")</f>
        <v>Y</v>
      </c>
      <c r="G10356" s="3" t="s">
        <v>36</v>
      </c>
      <c r="H10356" s="3" t="s">
        <v>37</v>
      </c>
      <c r="I10356" s="4" t="n">
        <v>16</v>
      </c>
      <c r="J10356" s="4" t="n">
        <f aca="false">LEN(E10356)-LEN(SUBSTITUTE(E10356,",",""))+1</f>
        <v>7</v>
      </c>
      <c r="K10356" s="3" t="str">
        <f aca="false">IFERROR(INDEX('Teacher Lookup'!$B$2:$B$200,MATCH(A10356,'Teacher Lookup'!$A$2:$A$200,0)),"")</f>
        <v>WONG Yukki</v>
      </c>
    </row>
    <row r="10357" customFormat="false" ht="15" hidden="false" customHeight="false" outlineLevel="0" collapsed="false">
      <c r="A10357" s="3" t="s">
        <v>523</v>
      </c>
      <c r="B10357" s="4" t="s">
        <v>65</v>
      </c>
      <c r="C10357" s="4" t="n">
        <v>5</v>
      </c>
      <c r="D10357" s="4" t="s">
        <v>58</v>
      </c>
      <c r="E10357" s="3" t="s">
        <v>112</v>
      </c>
      <c r="F10357" s="4" t="str">
        <f aca="false">IF(I10357&gt;J10357,"Y","N")</f>
        <v>Y</v>
      </c>
      <c r="G10357" s="3" t="s">
        <v>36</v>
      </c>
      <c r="H10357" s="3" t="s">
        <v>37</v>
      </c>
      <c r="I10357" s="4" t="n">
        <v>16</v>
      </c>
      <c r="J10357" s="4" t="n">
        <f aca="false">LEN(E10357)-LEN(SUBSTITUTE(E10357,",",""))+1</f>
        <v>7</v>
      </c>
      <c r="K10357" s="3" t="str">
        <f aca="false">IFERROR(INDEX('Teacher Lookup'!$B$2:$B$200,MATCH(A10357,'Teacher Lookup'!$A$2:$A$200,0)),"")</f>
        <v>WONG Yukki</v>
      </c>
    </row>
    <row r="10358" customFormat="false" ht="15" hidden="false" customHeight="false" outlineLevel="0" collapsed="false">
      <c r="A10358" s="3" t="s">
        <v>523</v>
      </c>
      <c r="B10358" s="4" t="s">
        <v>65</v>
      </c>
      <c r="C10358" s="4" t="n">
        <v>5</v>
      </c>
      <c r="D10358" s="4" t="s">
        <v>59</v>
      </c>
      <c r="E10358" s="3" t="s">
        <v>112</v>
      </c>
      <c r="F10358" s="4" t="str">
        <f aca="false">IF(I10358&gt;J10358,"Y","N")</f>
        <v>Y</v>
      </c>
      <c r="G10358" s="3" t="s">
        <v>36</v>
      </c>
      <c r="H10358" s="3" t="s">
        <v>37</v>
      </c>
      <c r="I10358" s="4" t="n">
        <v>16</v>
      </c>
      <c r="J10358" s="4" t="n">
        <f aca="false">LEN(E10358)-LEN(SUBSTITUTE(E10358,",",""))+1</f>
        <v>7</v>
      </c>
      <c r="K10358" s="3" t="str">
        <f aca="false">IFERROR(INDEX('Teacher Lookup'!$B$2:$B$200,MATCH(A10358,'Teacher Lookup'!$A$2:$A$200,0)),"")</f>
        <v>WONG Yukki</v>
      </c>
    </row>
    <row r="10359" customFormat="false" ht="15" hidden="false" customHeight="false" outlineLevel="0" collapsed="false">
      <c r="A10359" s="3" t="s">
        <v>523</v>
      </c>
      <c r="B10359" s="4" t="s">
        <v>66</v>
      </c>
      <c r="C10359" s="4" t="n">
        <v>1</v>
      </c>
      <c r="D10359" s="4" t="s">
        <v>74</v>
      </c>
      <c r="E10359" s="3" t="s">
        <v>297</v>
      </c>
      <c r="F10359" s="4" t="str">
        <f aca="false">IF(I10359&gt;J10359,"Y","N")</f>
        <v>Y</v>
      </c>
      <c r="G10359" s="3" t="s">
        <v>296</v>
      </c>
      <c r="H10359" s="3" t="s">
        <v>16</v>
      </c>
      <c r="I10359" s="4" t="n">
        <v>2</v>
      </c>
      <c r="J10359" s="4" t="n">
        <f aca="false">LEN(E10359)-LEN(SUBSTITUTE(E10359,",",""))+1</f>
        <v>1</v>
      </c>
      <c r="K10359" s="3" t="str">
        <f aca="false">IFERROR(INDEX('Teacher Lookup'!$B$2:$B$200,MATCH(A10359,'Teacher Lookup'!$A$2:$A$200,0)),"")</f>
        <v>WONG Yukki</v>
      </c>
    </row>
    <row r="10360" customFormat="false" ht="15" hidden="false" customHeight="false" outlineLevel="0" collapsed="false">
      <c r="A10360" s="3" t="s">
        <v>523</v>
      </c>
      <c r="B10360" s="4" t="s">
        <v>66</v>
      </c>
      <c r="C10360" s="4" t="n">
        <v>2</v>
      </c>
      <c r="D10360" s="4" t="s">
        <v>76</v>
      </c>
      <c r="E10360" s="3" t="s">
        <v>297</v>
      </c>
      <c r="F10360" s="4" t="str">
        <f aca="false">IF(I10360&gt;J10360,"Y","N")</f>
        <v>Y</v>
      </c>
      <c r="G10360" s="3" t="s">
        <v>296</v>
      </c>
      <c r="H10360" s="3" t="s">
        <v>21</v>
      </c>
      <c r="I10360" s="4" t="n">
        <v>2</v>
      </c>
      <c r="J10360" s="4" t="n">
        <f aca="false">LEN(E10360)-LEN(SUBSTITUTE(E10360,",",""))+1</f>
        <v>1</v>
      </c>
      <c r="K10360" s="3" t="str">
        <f aca="false">IFERROR(INDEX('Teacher Lookup'!$B$2:$B$200,MATCH(A10360,'Teacher Lookup'!$A$2:$A$200,0)),"")</f>
        <v>WONG Yukki</v>
      </c>
    </row>
    <row r="10361" customFormat="false" ht="15" hidden="false" customHeight="false" outlineLevel="0" collapsed="false">
      <c r="A10361" s="3" t="s">
        <v>523</v>
      </c>
      <c r="B10361" s="4" t="s">
        <v>66</v>
      </c>
      <c r="C10361" s="4" t="n">
        <v>3</v>
      </c>
      <c r="D10361" s="4" t="s">
        <v>58</v>
      </c>
      <c r="E10361" s="3" t="s">
        <v>297</v>
      </c>
      <c r="F10361" s="4" t="str">
        <f aca="false">IF(I10361&gt;J10361,"Y","N")</f>
        <v>Y</v>
      </c>
      <c r="G10361" s="3" t="s">
        <v>296</v>
      </c>
      <c r="H10361" s="3" t="s">
        <v>26</v>
      </c>
      <c r="I10361" s="4" t="n">
        <v>2</v>
      </c>
      <c r="J10361" s="4" t="n">
        <f aca="false">LEN(E10361)-LEN(SUBSTITUTE(E10361,",",""))+1</f>
        <v>1</v>
      </c>
      <c r="K10361" s="3" t="str">
        <f aca="false">IFERROR(INDEX('Teacher Lookup'!$B$2:$B$200,MATCH(A10361,'Teacher Lookup'!$A$2:$A$200,0)),"")</f>
        <v>WONG Yukki</v>
      </c>
    </row>
    <row r="10362" customFormat="false" ht="15" hidden="false" customHeight="false" outlineLevel="0" collapsed="false">
      <c r="A10362" s="3" t="s">
        <v>523</v>
      </c>
      <c r="B10362" s="4" t="s">
        <v>66</v>
      </c>
      <c r="C10362" s="4" t="n">
        <v>5</v>
      </c>
      <c r="D10362" s="4" t="s">
        <v>23</v>
      </c>
      <c r="E10362" s="3" t="s">
        <v>298</v>
      </c>
      <c r="F10362" s="4" t="str">
        <f aca="false">IF(I10362&gt;J10362,"Y","N")</f>
        <v>N</v>
      </c>
      <c r="G10362" s="3" t="s">
        <v>299</v>
      </c>
      <c r="H10362" s="3" t="s">
        <v>37</v>
      </c>
      <c r="I10362" s="4" t="n">
        <v>2</v>
      </c>
      <c r="J10362" s="4" t="n">
        <f aca="false">LEN(E10362)-LEN(SUBSTITUTE(E10362,",",""))+1</f>
        <v>2</v>
      </c>
      <c r="K10362" s="3" t="str">
        <f aca="false">IFERROR(INDEX('Teacher Lookup'!$B$2:$B$200,MATCH(A10362,'Teacher Lookup'!$A$2:$A$200,0)),"")</f>
        <v>WONG Yukki</v>
      </c>
    </row>
    <row r="10363" customFormat="false" ht="15" hidden="false" customHeight="false" outlineLevel="0" collapsed="false">
      <c r="A10363" s="3" t="s">
        <v>523</v>
      </c>
      <c r="B10363" s="4" t="s">
        <v>66</v>
      </c>
      <c r="C10363" s="4" t="n">
        <v>6</v>
      </c>
      <c r="D10363" s="4" t="s">
        <v>70</v>
      </c>
      <c r="E10363" s="3" t="s">
        <v>297</v>
      </c>
      <c r="F10363" s="4" t="str">
        <f aca="false">IF(I10363&gt;J10363,"Y","N")</f>
        <v>Y</v>
      </c>
      <c r="G10363" s="3" t="s">
        <v>296</v>
      </c>
      <c r="H10363" s="3" t="s">
        <v>42</v>
      </c>
      <c r="I10363" s="4" t="n">
        <v>2</v>
      </c>
      <c r="J10363" s="4" t="n">
        <f aca="false">LEN(E10363)-LEN(SUBSTITUTE(E10363,",",""))+1</f>
        <v>1</v>
      </c>
      <c r="K10363" s="3" t="str">
        <f aca="false">IFERROR(INDEX('Teacher Lookup'!$B$2:$B$200,MATCH(A10363,'Teacher Lookup'!$A$2:$A$200,0)),"")</f>
        <v>WONG Yukki</v>
      </c>
    </row>
    <row r="10364" customFormat="false" ht="15" hidden="false" customHeight="false" outlineLevel="0" collapsed="false">
      <c r="A10364" s="3" t="s">
        <v>524</v>
      </c>
      <c r="B10364" s="4" t="s">
        <v>12</v>
      </c>
      <c r="C10364" s="4" t="n">
        <v>3</v>
      </c>
      <c r="D10364" s="4" t="s">
        <v>70</v>
      </c>
      <c r="E10364" s="3" t="s">
        <v>71</v>
      </c>
      <c r="F10364" s="4" t="str">
        <f aca="false">IF(I10364&gt;J10364,"Y","N")</f>
        <v>N</v>
      </c>
      <c r="G10364" s="3" t="s">
        <v>72</v>
      </c>
      <c r="H10364" s="3" t="s">
        <v>26</v>
      </c>
      <c r="I10364" s="4" t="n">
        <v>4</v>
      </c>
      <c r="J10364" s="4" t="n">
        <f aca="false">LEN(E10364)-LEN(SUBSTITUTE(E10364,",",""))+1</f>
        <v>4</v>
      </c>
      <c r="K10364" s="3" t="str">
        <f aca="false">IFERROR(INDEX('Teacher Lookup'!$B$2:$B$200,MATCH(A10364,'Teacher Lookup'!$A$2:$A$200,0)),"")</f>
        <v>WANG Yu</v>
      </c>
    </row>
    <row r="10365" customFormat="false" ht="15" hidden="false" customHeight="false" outlineLevel="0" collapsed="false">
      <c r="A10365" s="3" t="s">
        <v>524</v>
      </c>
      <c r="B10365" s="4" t="s">
        <v>12</v>
      </c>
      <c r="C10365" s="4" t="n">
        <v>3</v>
      </c>
      <c r="D10365" s="4" t="s">
        <v>73</v>
      </c>
      <c r="E10365" s="3" t="s">
        <v>71</v>
      </c>
      <c r="F10365" s="4" t="str">
        <f aca="false">IF(I10365&gt;J10365,"Y","N")</f>
        <v>N</v>
      </c>
      <c r="G10365" s="3" t="s">
        <v>72</v>
      </c>
      <c r="H10365" s="3" t="s">
        <v>26</v>
      </c>
      <c r="I10365" s="4" t="n">
        <v>4</v>
      </c>
      <c r="J10365" s="4" t="n">
        <f aca="false">LEN(E10365)-LEN(SUBSTITUTE(E10365,",",""))+1</f>
        <v>4</v>
      </c>
      <c r="K10365" s="3" t="str">
        <f aca="false">IFERROR(INDEX('Teacher Lookup'!$B$2:$B$200,MATCH(A10365,'Teacher Lookup'!$A$2:$A$200,0)),"")</f>
        <v>WANG Yu</v>
      </c>
    </row>
    <row r="10366" customFormat="false" ht="15" hidden="false" customHeight="false" outlineLevel="0" collapsed="false">
      <c r="A10366" s="3" t="s">
        <v>524</v>
      </c>
      <c r="B10366" s="4" t="s">
        <v>12</v>
      </c>
      <c r="C10366" s="4" t="n">
        <v>3</v>
      </c>
      <c r="D10366" s="4" t="s">
        <v>74</v>
      </c>
      <c r="E10366" s="3" t="s">
        <v>71</v>
      </c>
      <c r="F10366" s="4" t="str">
        <f aca="false">IF(I10366&gt;J10366,"Y","N")</f>
        <v>N</v>
      </c>
      <c r="G10366" s="3" t="s">
        <v>72</v>
      </c>
      <c r="H10366" s="3" t="s">
        <v>26</v>
      </c>
      <c r="I10366" s="4" t="n">
        <v>4</v>
      </c>
      <c r="J10366" s="4" t="n">
        <f aca="false">LEN(E10366)-LEN(SUBSTITUTE(E10366,",",""))+1</f>
        <v>4</v>
      </c>
      <c r="K10366" s="3" t="str">
        <f aca="false">IFERROR(INDEX('Teacher Lookup'!$B$2:$B$200,MATCH(A10366,'Teacher Lookup'!$A$2:$A$200,0)),"")</f>
        <v>WANG Yu</v>
      </c>
    </row>
    <row r="10367" customFormat="false" ht="15" hidden="false" customHeight="false" outlineLevel="0" collapsed="false">
      <c r="A10367" s="3" t="s">
        <v>524</v>
      </c>
      <c r="B10367" s="4" t="s">
        <v>12</v>
      </c>
      <c r="C10367" s="4" t="n">
        <v>5</v>
      </c>
      <c r="D10367" s="4" t="s">
        <v>52</v>
      </c>
      <c r="E10367" s="3" t="s">
        <v>169</v>
      </c>
      <c r="F10367" s="4" t="str">
        <f aca="false">IF(I10367&gt;J10367,"Y","N")</f>
        <v>N</v>
      </c>
      <c r="G10367" s="3" t="s">
        <v>72</v>
      </c>
      <c r="H10367" s="3" t="s">
        <v>37</v>
      </c>
      <c r="I10367" s="4" t="n">
        <v>4</v>
      </c>
      <c r="J10367" s="4" t="n">
        <f aca="false">LEN(E10367)-LEN(SUBSTITUTE(E10367,",",""))+1</f>
        <v>4</v>
      </c>
      <c r="K10367" s="3" t="str">
        <f aca="false">IFERROR(INDEX('Teacher Lookup'!$B$2:$B$200,MATCH(A10367,'Teacher Lookup'!$A$2:$A$200,0)),"")</f>
        <v>WANG Yu</v>
      </c>
    </row>
    <row r="10368" customFormat="false" ht="15" hidden="false" customHeight="false" outlineLevel="0" collapsed="false">
      <c r="A10368" s="3" t="s">
        <v>524</v>
      </c>
      <c r="B10368" s="4" t="s">
        <v>12</v>
      </c>
      <c r="C10368" s="4" t="n">
        <v>5</v>
      </c>
      <c r="D10368" s="4" t="s">
        <v>55</v>
      </c>
      <c r="E10368" s="3" t="s">
        <v>169</v>
      </c>
      <c r="F10368" s="4" t="str">
        <f aca="false">IF(I10368&gt;J10368,"Y","N")</f>
        <v>N</v>
      </c>
      <c r="G10368" s="3" t="s">
        <v>72</v>
      </c>
      <c r="H10368" s="3" t="s">
        <v>37</v>
      </c>
      <c r="I10368" s="4" t="n">
        <v>4</v>
      </c>
      <c r="J10368" s="4" t="n">
        <f aca="false">LEN(E10368)-LEN(SUBSTITUTE(E10368,",",""))+1</f>
        <v>4</v>
      </c>
      <c r="K10368" s="3" t="str">
        <f aca="false">IFERROR(INDEX('Teacher Lookup'!$B$2:$B$200,MATCH(A10368,'Teacher Lookup'!$A$2:$A$200,0)),"")</f>
        <v>WANG Yu</v>
      </c>
    </row>
    <row r="10369" customFormat="false" ht="15" hidden="false" customHeight="false" outlineLevel="0" collapsed="false">
      <c r="A10369" s="3" t="s">
        <v>524</v>
      </c>
      <c r="B10369" s="4" t="s">
        <v>12</v>
      </c>
      <c r="C10369" s="4" t="n">
        <v>5</v>
      </c>
      <c r="D10369" s="4" t="s">
        <v>56</v>
      </c>
      <c r="E10369" s="3" t="s">
        <v>169</v>
      </c>
      <c r="F10369" s="4" t="str">
        <f aca="false">IF(I10369&gt;J10369,"Y","N")</f>
        <v>N</v>
      </c>
      <c r="G10369" s="3" t="s">
        <v>72</v>
      </c>
      <c r="H10369" s="3" t="s">
        <v>37</v>
      </c>
      <c r="I10369" s="4" t="n">
        <v>4</v>
      </c>
      <c r="J10369" s="4" t="n">
        <f aca="false">LEN(E10369)-LEN(SUBSTITUTE(E10369,",",""))+1</f>
        <v>4</v>
      </c>
      <c r="K10369" s="3" t="str">
        <f aca="false">IFERROR(INDEX('Teacher Lookup'!$B$2:$B$200,MATCH(A10369,'Teacher Lookup'!$A$2:$A$200,0)),"")</f>
        <v>WANG Yu</v>
      </c>
    </row>
    <row r="10370" customFormat="false" ht="15" hidden="false" customHeight="false" outlineLevel="0" collapsed="false">
      <c r="A10370" s="3" t="s">
        <v>524</v>
      </c>
      <c r="B10370" s="4" t="s">
        <v>12</v>
      </c>
      <c r="C10370" s="4" t="n">
        <v>6</v>
      </c>
      <c r="D10370" s="4" t="s">
        <v>76</v>
      </c>
      <c r="E10370" s="3" t="s">
        <v>77</v>
      </c>
      <c r="F10370" s="4" t="str">
        <f aca="false">IF(I10370&gt;J10370,"Y","N")</f>
        <v>N</v>
      </c>
      <c r="G10370" s="3" t="s">
        <v>72</v>
      </c>
      <c r="H10370" s="3" t="s">
        <v>42</v>
      </c>
      <c r="I10370" s="4" t="n">
        <v>4</v>
      </c>
      <c r="J10370" s="4" t="n">
        <f aca="false">LEN(E10370)-LEN(SUBSTITUTE(E10370,",",""))+1</f>
        <v>4</v>
      </c>
      <c r="K10370" s="3" t="str">
        <f aca="false">IFERROR(INDEX('Teacher Lookup'!$B$2:$B$200,MATCH(A10370,'Teacher Lookup'!$A$2:$A$200,0)),"")</f>
        <v>WANG Yu</v>
      </c>
    </row>
    <row r="10371" customFormat="false" ht="15" hidden="false" customHeight="false" outlineLevel="0" collapsed="false">
      <c r="A10371" s="3" t="s">
        <v>524</v>
      </c>
      <c r="B10371" s="4" t="s">
        <v>12</v>
      </c>
      <c r="C10371" s="4" t="n">
        <v>6</v>
      </c>
      <c r="D10371" s="4" t="s">
        <v>78</v>
      </c>
      <c r="E10371" s="3" t="s">
        <v>77</v>
      </c>
      <c r="F10371" s="4" t="str">
        <f aca="false">IF(I10371&gt;J10371,"Y","N")</f>
        <v>N</v>
      </c>
      <c r="G10371" s="3" t="s">
        <v>72</v>
      </c>
      <c r="H10371" s="3" t="s">
        <v>42</v>
      </c>
      <c r="I10371" s="4" t="n">
        <v>4</v>
      </c>
      <c r="J10371" s="4" t="n">
        <f aca="false">LEN(E10371)-LEN(SUBSTITUTE(E10371,",",""))+1</f>
        <v>4</v>
      </c>
      <c r="K10371" s="3" t="str">
        <f aca="false">IFERROR(INDEX('Teacher Lookup'!$B$2:$B$200,MATCH(A10371,'Teacher Lookup'!$A$2:$A$200,0)),"")</f>
        <v>WANG Yu</v>
      </c>
    </row>
    <row r="10372" customFormat="false" ht="15" hidden="false" customHeight="false" outlineLevel="0" collapsed="false">
      <c r="A10372" s="3" t="s">
        <v>524</v>
      </c>
      <c r="B10372" s="4" t="s">
        <v>12</v>
      </c>
      <c r="C10372" s="4" t="n">
        <v>6</v>
      </c>
      <c r="D10372" s="4" t="s">
        <v>79</v>
      </c>
      <c r="E10372" s="3" t="s">
        <v>77</v>
      </c>
      <c r="F10372" s="4" t="str">
        <f aca="false">IF(I10372&gt;J10372,"Y","N")</f>
        <v>N</v>
      </c>
      <c r="G10372" s="3" t="s">
        <v>72</v>
      </c>
      <c r="H10372" s="3" t="s">
        <v>42</v>
      </c>
      <c r="I10372" s="4" t="n">
        <v>4</v>
      </c>
      <c r="J10372" s="4" t="n">
        <f aca="false">LEN(E10372)-LEN(SUBSTITUTE(E10372,",",""))+1</f>
        <v>4</v>
      </c>
      <c r="K10372" s="3" t="str">
        <f aca="false">IFERROR(INDEX('Teacher Lookup'!$B$2:$B$200,MATCH(A10372,'Teacher Lookup'!$A$2:$A$200,0)),"")</f>
        <v>WANG Yu</v>
      </c>
    </row>
    <row r="10373" customFormat="false" ht="15" hidden="false" customHeight="false" outlineLevel="0" collapsed="false">
      <c r="A10373" s="3" t="s">
        <v>524</v>
      </c>
      <c r="B10373" s="4" t="s">
        <v>12</v>
      </c>
      <c r="C10373" s="4" t="n">
        <v>7</v>
      </c>
      <c r="D10373" s="4" t="s">
        <v>76</v>
      </c>
      <c r="E10373" s="3" t="s">
        <v>77</v>
      </c>
      <c r="F10373" s="4" t="str">
        <f aca="false">IF(I10373&gt;J10373,"Y","N")</f>
        <v>N</v>
      </c>
      <c r="G10373" s="3" t="s">
        <v>72</v>
      </c>
      <c r="H10373" s="3" t="s">
        <v>39</v>
      </c>
      <c r="I10373" s="4" t="n">
        <v>4</v>
      </c>
      <c r="J10373" s="4" t="n">
        <f aca="false">LEN(E10373)-LEN(SUBSTITUTE(E10373,",",""))+1</f>
        <v>4</v>
      </c>
      <c r="K10373" s="3" t="str">
        <f aca="false">IFERROR(INDEX('Teacher Lookup'!$B$2:$B$200,MATCH(A10373,'Teacher Lookup'!$A$2:$A$200,0)),"")</f>
        <v>WANG Yu</v>
      </c>
    </row>
    <row r="10374" customFormat="false" ht="15" hidden="false" customHeight="false" outlineLevel="0" collapsed="false">
      <c r="A10374" s="3" t="s">
        <v>524</v>
      </c>
      <c r="B10374" s="4" t="s">
        <v>12</v>
      </c>
      <c r="C10374" s="4" t="n">
        <v>7</v>
      </c>
      <c r="D10374" s="4" t="s">
        <v>78</v>
      </c>
      <c r="E10374" s="3" t="s">
        <v>77</v>
      </c>
      <c r="F10374" s="4" t="str">
        <f aca="false">IF(I10374&gt;J10374,"Y","N")</f>
        <v>N</v>
      </c>
      <c r="G10374" s="3" t="s">
        <v>72</v>
      </c>
      <c r="H10374" s="3" t="s">
        <v>39</v>
      </c>
      <c r="I10374" s="4" t="n">
        <v>4</v>
      </c>
      <c r="J10374" s="4" t="n">
        <f aca="false">LEN(E10374)-LEN(SUBSTITUTE(E10374,",",""))+1</f>
        <v>4</v>
      </c>
      <c r="K10374" s="3" t="str">
        <f aca="false">IFERROR(INDEX('Teacher Lookup'!$B$2:$B$200,MATCH(A10374,'Teacher Lookup'!$A$2:$A$200,0)),"")</f>
        <v>WANG Yu</v>
      </c>
    </row>
    <row r="10375" customFormat="false" ht="15" hidden="false" customHeight="false" outlineLevel="0" collapsed="false">
      <c r="A10375" s="3" t="s">
        <v>524</v>
      </c>
      <c r="B10375" s="4" t="s">
        <v>12</v>
      </c>
      <c r="C10375" s="4" t="n">
        <v>7</v>
      </c>
      <c r="D10375" s="4" t="s">
        <v>79</v>
      </c>
      <c r="E10375" s="3" t="s">
        <v>77</v>
      </c>
      <c r="F10375" s="4" t="str">
        <f aca="false">IF(I10375&gt;J10375,"Y","N")</f>
        <v>N</v>
      </c>
      <c r="G10375" s="3" t="s">
        <v>72</v>
      </c>
      <c r="H10375" s="3" t="s">
        <v>39</v>
      </c>
      <c r="I10375" s="4" t="n">
        <v>4</v>
      </c>
      <c r="J10375" s="4" t="n">
        <f aca="false">LEN(E10375)-LEN(SUBSTITUTE(E10375,",",""))+1</f>
        <v>4</v>
      </c>
      <c r="K10375" s="3" t="str">
        <f aca="false">IFERROR(INDEX('Teacher Lookup'!$B$2:$B$200,MATCH(A10375,'Teacher Lookup'!$A$2:$A$200,0)),"")</f>
        <v>WANG Yu</v>
      </c>
    </row>
    <row r="10376" customFormat="false" ht="15" hidden="false" customHeight="false" outlineLevel="0" collapsed="false">
      <c r="A10376" s="3" t="s">
        <v>524</v>
      </c>
      <c r="B10376" s="4" t="s">
        <v>31</v>
      </c>
      <c r="C10376" s="4" t="n">
        <v>3</v>
      </c>
      <c r="D10376" s="4" t="s">
        <v>52</v>
      </c>
      <c r="E10376" s="3" t="s">
        <v>176</v>
      </c>
      <c r="F10376" s="4" t="str">
        <f aca="false">IF(I10376&gt;J10376,"Y","N")</f>
        <v>N</v>
      </c>
      <c r="G10376" s="3" t="s">
        <v>72</v>
      </c>
      <c r="H10376" s="3" t="s">
        <v>26</v>
      </c>
      <c r="I10376" s="4" t="n">
        <v>4</v>
      </c>
      <c r="J10376" s="4" t="n">
        <f aca="false">LEN(E10376)-LEN(SUBSTITUTE(E10376,",",""))+1</f>
        <v>4</v>
      </c>
      <c r="K10376" s="3" t="str">
        <f aca="false">IFERROR(INDEX('Teacher Lookup'!$B$2:$B$200,MATCH(A10376,'Teacher Lookup'!$A$2:$A$200,0)),"")</f>
        <v>WANG Yu</v>
      </c>
    </row>
    <row r="10377" customFormat="false" ht="15" hidden="false" customHeight="false" outlineLevel="0" collapsed="false">
      <c r="A10377" s="3" t="s">
        <v>524</v>
      </c>
      <c r="B10377" s="4" t="s">
        <v>31</v>
      </c>
      <c r="C10377" s="4" t="n">
        <v>3</v>
      </c>
      <c r="D10377" s="4" t="s">
        <v>55</v>
      </c>
      <c r="E10377" s="3" t="s">
        <v>176</v>
      </c>
      <c r="F10377" s="4" t="str">
        <f aca="false">IF(I10377&gt;J10377,"Y","N")</f>
        <v>N</v>
      </c>
      <c r="G10377" s="3" t="s">
        <v>72</v>
      </c>
      <c r="H10377" s="3" t="s">
        <v>26</v>
      </c>
      <c r="I10377" s="4" t="n">
        <v>4</v>
      </c>
      <c r="J10377" s="4" t="n">
        <f aca="false">LEN(E10377)-LEN(SUBSTITUTE(E10377,",",""))+1</f>
        <v>4</v>
      </c>
      <c r="K10377" s="3" t="str">
        <f aca="false">IFERROR(INDEX('Teacher Lookup'!$B$2:$B$200,MATCH(A10377,'Teacher Lookup'!$A$2:$A$200,0)),"")</f>
        <v>WANG Yu</v>
      </c>
    </row>
    <row r="10378" customFormat="false" ht="15" hidden="false" customHeight="false" outlineLevel="0" collapsed="false">
      <c r="A10378" s="3" t="s">
        <v>524</v>
      </c>
      <c r="B10378" s="4" t="s">
        <v>31</v>
      </c>
      <c r="C10378" s="4" t="n">
        <v>3</v>
      </c>
      <c r="D10378" s="4" t="s">
        <v>56</v>
      </c>
      <c r="E10378" s="3" t="s">
        <v>176</v>
      </c>
      <c r="F10378" s="4" t="str">
        <f aca="false">IF(I10378&gt;J10378,"Y","N")</f>
        <v>N</v>
      </c>
      <c r="G10378" s="3" t="s">
        <v>72</v>
      </c>
      <c r="H10378" s="3" t="s">
        <v>26</v>
      </c>
      <c r="I10378" s="4" t="n">
        <v>4</v>
      </c>
      <c r="J10378" s="4" t="n">
        <f aca="false">LEN(E10378)-LEN(SUBSTITUTE(E10378,",",""))+1</f>
        <v>4</v>
      </c>
      <c r="K10378" s="3" t="str">
        <f aca="false">IFERROR(INDEX('Teacher Lookup'!$B$2:$B$200,MATCH(A10378,'Teacher Lookup'!$A$2:$A$200,0)),"")</f>
        <v>WANG Yu</v>
      </c>
    </row>
    <row r="10379" customFormat="false" ht="15" hidden="false" customHeight="false" outlineLevel="0" collapsed="false">
      <c r="A10379" s="3" t="s">
        <v>524</v>
      </c>
      <c r="B10379" s="4" t="s">
        <v>31</v>
      </c>
      <c r="C10379" s="4" t="n">
        <v>4</v>
      </c>
      <c r="D10379" s="4" t="s">
        <v>76</v>
      </c>
      <c r="E10379" s="3" t="s">
        <v>80</v>
      </c>
      <c r="F10379" s="4" t="str">
        <f aca="false">IF(I10379&gt;J10379,"Y","N")</f>
        <v>N</v>
      </c>
      <c r="G10379" s="3" t="s">
        <v>72</v>
      </c>
      <c r="H10379" s="3" t="s">
        <v>34</v>
      </c>
      <c r="I10379" s="4" t="n">
        <v>4</v>
      </c>
      <c r="J10379" s="4" t="n">
        <f aca="false">LEN(E10379)-LEN(SUBSTITUTE(E10379,",",""))+1</f>
        <v>4</v>
      </c>
      <c r="K10379" s="3" t="str">
        <f aca="false">IFERROR(INDEX('Teacher Lookup'!$B$2:$B$200,MATCH(A10379,'Teacher Lookup'!$A$2:$A$200,0)),"")</f>
        <v>WANG Yu</v>
      </c>
    </row>
    <row r="10380" customFormat="false" ht="15" hidden="false" customHeight="false" outlineLevel="0" collapsed="false">
      <c r="A10380" s="3" t="s">
        <v>524</v>
      </c>
      <c r="B10380" s="4" t="s">
        <v>31</v>
      </c>
      <c r="C10380" s="4" t="n">
        <v>4</v>
      </c>
      <c r="D10380" s="4" t="s">
        <v>78</v>
      </c>
      <c r="E10380" s="3" t="s">
        <v>80</v>
      </c>
      <c r="F10380" s="4" t="str">
        <f aca="false">IF(I10380&gt;J10380,"Y","N")</f>
        <v>N</v>
      </c>
      <c r="G10380" s="3" t="s">
        <v>72</v>
      </c>
      <c r="H10380" s="3" t="s">
        <v>34</v>
      </c>
      <c r="I10380" s="4" t="n">
        <v>4</v>
      </c>
      <c r="J10380" s="4" t="n">
        <f aca="false">LEN(E10380)-LEN(SUBSTITUTE(E10380,",",""))+1</f>
        <v>4</v>
      </c>
      <c r="K10380" s="3" t="str">
        <f aca="false">IFERROR(INDEX('Teacher Lookup'!$B$2:$B$200,MATCH(A10380,'Teacher Lookup'!$A$2:$A$200,0)),"")</f>
        <v>WANG Yu</v>
      </c>
    </row>
    <row r="10381" customFormat="false" ht="15" hidden="false" customHeight="false" outlineLevel="0" collapsed="false">
      <c r="A10381" s="3" t="s">
        <v>524</v>
      </c>
      <c r="B10381" s="4" t="s">
        <v>31</v>
      </c>
      <c r="C10381" s="4" t="n">
        <v>4</v>
      </c>
      <c r="D10381" s="4" t="s">
        <v>79</v>
      </c>
      <c r="E10381" s="3" t="s">
        <v>80</v>
      </c>
      <c r="F10381" s="4" t="str">
        <f aca="false">IF(I10381&gt;J10381,"Y","N")</f>
        <v>N</v>
      </c>
      <c r="G10381" s="3" t="s">
        <v>72</v>
      </c>
      <c r="H10381" s="3" t="s">
        <v>34</v>
      </c>
      <c r="I10381" s="4" t="n">
        <v>4</v>
      </c>
      <c r="J10381" s="4" t="n">
        <f aca="false">LEN(E10381)-LEN(SUBSTITUTE(E10381,",",""))+1</f>
        <v>4</v>
      </c>
      <c r="K10381" s="3" t="str">
        <f aca="false">IFERROR(INDEX('Teacher Lookup'!$B$2:$B$200,MATCH(A10381,'Teacher Lookup'!$A$2:$A$200,0)),"")</f>
        <v>WANG Yu</v>
      </c>
    </row>
    <row r="10382" customFormat="false" ht="15" hidden="false" customHeight="false" outlineLevel="0" collapsed="false">
      <c r="A10382" s="3" t="s">
        <v>524</v>
      </c>
      <c r="B10382" s="4" t="s">
        <v>31</v>
      </c>
      <c r="C10382" s="4" t="n">
        <v>5</v>
      </c>
      <c r="D10382" s="4" t="s">
        <v>70</v>
      </c>
      <c r="E10382" s="3" t="s">
        <v>81</v>
      </c>
      <c r="F10382" s="4" t="str">
        <f aca="false">IF(I10382&gt;J10382,"Y","N")</f>
        <v>Y</v>
      </c>
      <c r="G10382" s="3" t="s">
        <v>36</v>
      </c>
      <c r="H10382" s="3" t="s">
        <v>37</v>
      </c>
      <c r="I10382" s="4" t="n">
        <v>15</v>
      </c>
      <c r="J10382" s="4" t="n">
        <f aca="false">LEN(E10382)-LEN(SUBSTITUTE(E10382,",",""))+1</f>
        <v>7</v>
      </c>
      <c r="K10382" s="3" t="str">
        <f aca="false">IFERROR(INDEX('Teacher Lookup'!$B$2:$B$200,MATCH(A10382,'Teacher Lookup'!$A$2:$A$200,0)),"")</f>
        <v>WANG Yu</v>
      </c>
    </row>
    <row r="10383" customFormat="false" ht="15" hidden="false" customHeight="false" outlineLevel="0" collapsed="false">
      <c r="A10383" s="3" t="s">
        <v>524</v>
      </c>
      <c r="B10383" s="4" t="s">
        <v>31</v>
      </c>
      <c r="C10383" s="4" t="n">
        <v>5</v>
      </c>
      <c r="D10383" s="4" t="s">
        <v>73</v>
      </c>
      <c r="E10383" s="3" t="s">
        <v>81</v>
      </c>
      <c r="F10383" s="4" t="str">
        <f aca="false">IF(I10383&gt;J10383,"Y","N")</f>
        <v>Y</v>
      </c>
      <c r="G10383" s="3" t="s">
        <v>36</v>
      </c>
      <c r="H10383" s="3" t="s">
        <v>37</v>
      </c>
      <c r="I10383" s="4" t="n">
        <v>15</v>
      </c>
      <c r="J10383" s="4" t="n">
        <f aca="false">LEN(E10383)-LEN(SUBSTITUTE(E10383,",",""))+1</f>
        <v>7</v>
      </c>
      <c r="K10383" s="3" t="str">
        <f aca="false">IFERROR(INDEX('Teacher Lookup'!$B$2:$B$200,MATCH(A10383,'Teacher Lookup'!$A$2:$A$200,0)),"")</f>
        <v>WANG Yu</v>
      </c>
    </row>
    <row r="10384" customFormat="false" ht="15" hidden="false" customHeight="false" outlineLevel="0" collapsed="false">
      <c r="A10384" s="3" t="s">
        <v>524</v>
      </c>
      <c r="B10384" s="4" t="s">
        <v>31</v>
      </c>
      <c r="C10384" s="4" t="n">
        <v>5</v>
      </c>
      <c r="D10384" s="4" t="s">
        <v>74</v>
      </c>
      <c r="E10384" s="3" t="s">
        <v>81</v>
      </c>
      <c r="F10384" s="4" t="str">
        <f aca="false">IF(I10384&gt;J10384,"Y","N")</f>
        <v>Y</v>
      </c>
      <c r="G10384" s="3" t="s">
        <v>36</v>
      </c>
      <c r="H10384" s="3" t="s">
        <v>37</v>
      </c>
      <c r="I10384" s="4" t="n">
        <v>15</v>
      </c>
      <c r="J10384" s="4" t="n">
        <f aca="false">LEN(E10384)-LEN(SUBSTITUTE(E10384,",",""))+1</f>
        <v>7</v>
      </c>
      <c r="K10384" s="3" t="str">
        <f aca="false">IFERROR(INDEX('Teacher Lookup'!$B$2:$B$200,MATCH(A10384,'Teacher Lookup'!$A$2:$A$200,0)),"")</f>
        <v>WANG Yu</v>
      </c>
    </row>
    <row r="10385" customFormat="false" ht="15" hidden="false" customHeight="false" outlineLevel="0" collapsed="false">
      <c r="A10385" s="3" t="s">
        <v>524</v>
      </c>
      <c r="B10385" s="4" t="s">
        <v>31</v>
      </c>
      <c r="C10385" s="4" t="n">
        <v>5</v>
      </c>
      <c r="D10385" s="4" t="s">
        <v>76</v>
      </c>
      <c r="E10385" s="3" t="s">
        <v>81</v>
      </c>
      <c r="F10385" s="4" t="str">
        <f aca="false">IF(I10385&gt;J10385,"Y","N")</f>
        <v>Y</v>
      </c>
      <c r="G10385" s="3" t="s">
        <v>36</v>
      </c>
      <c r="H10385" s="3" t="s">
        <v>37</v>
      </c>
      <c r="I10385" s="4" t="n">
        <v>15</v>
      </c>
      <c r="J10385" s="4" t="n">
        <f aca="false">LEN(E10385)-LEN(SUBSTITUTE(E10385,",",""))+1</f>
        <v>7</v>
      </c>
      <c r="K10385" s="3" t="str">
        <f aca="false">IFERROR(INDEX('Teacher Lookup'!$B$2:$B$200,MATCH(A10385,'Teacher Lookup'!$A$2:$A$200,0)),"")</f>
        <v>WANG Yu</v>
      </c>
    </row>
    <row r="10386" customFormat="false" ht="15" hidden="false" customHeight="false" outlineLevel="0" collapsed="false">
      <c r="A10386" s="3" t="s">
        <v>524</v>
      </c>
      <c r="B10386" s="4" t="s">
        <v>31</v>
      </c>
      <c r="C10386" s="4" t="n">
        <v>5</v>
      </c>
      <c r="D10386" s="4" t="s">
        <v>78</v>
      </c>
      <c r="E10386" s="3" t="s">
        <v>81</v>
      </c>
      <c r="F10386" s="4" t="str">
        <f aca="false">IF(I10386&gt;J10386,"Y","N")</f>
        <v>Y</v>
      </c>
      <c r="G10386" s="3" t="s">
        <v>36</v>
      </c>
      <c r="H10386" s="3" t="s">
        <v>37</v>
      </c>
      <c r="I10386" s="4" t="n">
        <v>15</v>
      </c>
      <c r="J10386" s="4" t="n">
        <f aca="false">LEN(E10386)-LEN(SUBSTITUTE(E10386,",",""))+1</f>
        <v>7</v>
      </c>
      <c r="K10386" s="3" t="str">
        <f aca="false">IFERROR(INDEX('Teacher Lookup'!$B$2:$B$200,MATCH(A10386,'Teacher Lookup'!$A$2:$A$200,0)),"")</f>
        <v>WANG Yu</v>
      </c>
    </row>
    <row r="10387" customFormat="false" ht="15" hidden="false" customHeight="false" outlineLevel="0" collapsed="false">
      <c r="A10387" s="3" t="s">
        <v>524</v>
      </c>
      <c r="B10387" s="4" t="s">
        <v>31</v>
      </c>
      <c r="C10387" s="4" t="n">
        <v>5</v>
      </c>
      <c r="D10387" s="4" t="s">
        <v>79</v>
      </c>
      <c r="E10387" s="3" t="s">
        <v>81</v>
      </c>
      <c r="F10387" s="4" t="str">
        <f aca="false">IF(I10387&gt;J10387,"Y","N")</f>
        <v>Y</v>
      </c>
      <c r="G10387" s="3" t="s">
        <v>36</v>
      </c>
      <c r="H10387" s="3" t="s">
        <v>37</v>
      </c>
      <c r="I10387" s="4" t="n">
        <v>15</v>
      </c>
      <c r="J10387" s="4" t="n">
        <f aca="false">LEN(E10387)-LEN(SUBSTITUTE(E10387,",",""))+1</f>
        <v>7</v>
      </c>
      <c r="K10387" s="3" t="str">
        <f aca="false">IFERROR(INDEX('Teacher Lookup'!$B$2:$B$200,MATCH(A10387,'Teacher Lookup'!$A$2:$A$200,0)),"")</f>
        <v>WANG Yu</v>
      </c>
    </row>
    <row r="10388" customFormat="false" ht="15" hidden="false" customHeight="false" outlineLevel="0" collapsed="false">
      <c r="A10388" s="3" t="s">
        <v>524</v>
      </c>
      <c r="B10388" s="4" t="s">
        <v>31</v>
      </c>
      <c r="C10388" s="4" t="n">
        <v>7</v>
      </c>
      <c r="D10388" s="4" t="s">
        <v>70</v>
      </c>
      <c r="E10388" s="3" t="s">
        <v>83</v>
      </c>
      <c r="F10388" s="4" t="str">
        <f aca="false">IF(I10388&gt;J10388,"Y","N")</f>
        <v>N</v>
      </c>
      <c r="G10388" s="3" t="s">
        <v>72</v>
      </c>
      <c r="H10388" s="3" t="s">
        <v>39</v>
      </c>
      <c r="I10388" s="4" t="n">
        <v>4</v>
      </c>
      <c r="J10388" s="4" t="n">
        <f aca="false">LEN(E10388)-LEN(SUBSTITUTE(E10388,",",""))+1</f>
        <v>4</v>
      </c>
      <c r="K10388" s="3" t="str">
        <f aca="false">IFERROR(INDEX('Teacher Lookup'!$B$2:$B$200,MATCH(A10388,'Teacher Lookup'!$A$2:$A$200,0)),"")</f>
        <v>WANG Yu</v>
      </c>
    </row>
    <row r="10389" customFormat="false" ht="15" hidden="false" customHeight="false" outlineLevel="0" collapsed="false">
      <c r="A10389" s="3" t="s">
        <v>524</v>
      </c>
      <c r="B10389" s="4" t="s">
        <v>31</v>
      </c>
      <c r="C10389" s="4" t="n">
        <v>7</v>
      </c>
      <c r="D10389" s="4" t="s">
        <v>73</v>
      </c>
      <c r="E10389" s="3" t="s">
        <v>83</v>
      </c>
      <c r="F10389" s="4" t="str">
        <f aca="false">IF(I10389&gt;J10389,"Y","N")</f>
        <v>N</v>
      </c>
      <c r="G10389" s="3" t="s">
        <v>72</v>
      </c>
      <c r="H10389" s="3" t="s">
        <v>39</v>
      </c>
      <c r="I10389" s="4" t="n">
        <v>4</v>
      </c>
      <c r="J10389" s="4" t="n">
        <f aca="false">LEN(E10389)-LEN(SUBSTITUTE(E10389,",",""))+1</f>
        <v>4</v>
      </c>
      <c r="K10389" s="3" t="str">
        <f aca="false">IFERROR(INDEX('Teacher Lookup'!$B$2:$B$200,MATCH(A10389,'Teacher Lookup'!$A$2:$A$200,0)),"")</f>
        <v>WANG Yu</v>
      </c>
    </row>
    <row r="10390" customFormat="false" ht="15" hidden="false" customHeight="false" outlineLevel="0" collapsed="false">
      <c r="A10390" s="3" t="s">
        <v>524</v>
      </c>
      <c r="B10390" s="4" t="s">
        <v>31</v>
      </c>
      <c r="C10390" s="4" t="n">
        <v>7</v>
      </c>
      <c r="D10390" s="4" t="s">
        <v>74</v>
      </c>
      <c r="E10390" s="3" t="s">
        <v>83</v>
      </c>
      <c r="F10390" s="4" t="str">
        <f aca="false">IF(I10390&gt;J10390,"Y","N")</f>
        <v>N</v>
      </c>
      <c r="G10390" s="3" t="s">
        <v>72</v>
      </c>
      <c r="H10390" s="3" t="s">
        <v>39</v>
      </c>
      <c r="I10390" s="4" t="n">
        <v>4</v>
      </c>
      <c r="J10390" s="4" t="n">
        <f aca="false">LEN(E10390)-LEN(SUBSTITUTE(E10390,",",""))+1</f>
        <v>4</v>
      </c>
      <c r="K10390" s="3" t="str">
        <f aca="false">IFERROR(INDEX('Teacher Lookup'!$B$2:$B$200,MATCH(A10390,'Teacher Lookup'!$A$2:$A$200,0)),"")</f>
        <v>WANG Yu</v>
      </c>
    </row>
    <row r="10391" customFormat="false" ht="15" hidden="false" customHeight="false" outlineLevel="0" collapsed="false">
      <c r="A10391" s="3" t="s">
        <v>524</v>
      </c>
      <c r="B10391" s="4" t="s">
        <v>40</v>
      </c>
      <c r="C10391" s="4" t="n">
        <v>1</v>
      </c>
      <c r="D10391" s="4" t="s">
        <v>52</v>
      </c>
      <c r="E10391" s="3" t="s">
        <v>177</v>
      </c>
      <c r="F10391" s="4" t="str">
        <f aca="false">IF(I10391&gt;J10391,"Y","N")</f>
        <v>N</v>
      </c>
      <c r="G10391" s="3" t="s">
        <v>72</v>
      </c>
      <c r="H10391" s="3" t="s">
        <v>16</v>
      </c>
      <c r="I10391" s="4" t="n">
        <v>4</v>
      </c>
      <c r="J10391" s="4" t="n">
        <f aca="false">LEN(E10391)-LEN(SUBSTITUTE(E10391,",",""))+1</f>
        <v>4</v>
      </c>
      <c r="K10391" s="3" t="str">
        <f aca="false">IFERROR(INDEX('Teacher Lookup'!$B$2:$B$200,MATCH(A10391,'Teacher Lookup'!$A$2:$A$200,0)),"")</f>
        <v>WANG Yu</v>
      </c>
    </row>
    <row r="10392" customFormat="false" ht="15" hidden="false" customHeight="false" outlineLevel="0" collapsed="false">
      <c r="A10392" s="3" t="s">
        <v>524</v>
      </c>
      <c r="B10392" s="4" t="s">
        <v>40</v>
      </c>
      <c r="C10392" s="4" t="n">
        <v>1</v>
      </c>
      <c r="D10392" s="4" t="s">
        <v>55</v>
      </c>
      <c r="E10392" s="3" t="s">
        <v>177</v>
      </c>
      <c r="F10392" s="4" t="str">
        <f aca="false">IF(I10392&gt;J10392,"Y","N")</f>
        <v>N</v>
      </c>
      <c r="G10392" s="3" t="s">
        <v>72</v>
      </c>
      <c r="H10392" s="3" t="s">
        <v>16</v>
      </c>
      <c r="I10392" s="4" t="n">
        <v>4</v>
      </c>
      <c r="J10392" s="4" t="n">
        <f aca="false">LEN(E10392)-LEN(SUBSTITUTE(E10392,",",""))+1</f>
        <v>4</v>
      </c>
      <c r="K10392" s="3" t="str">
        <f aca="false">IFERROR(INDEX('Teacher Lookup'!$B$2:$B$200,MATCH(A10392,'Teacher Lookup'!$A$2:$A$200,0)),"")</f>
        <v>WANG Yu</v>
      </c>
    </row>
    <row r="10393" customFormat="false" ht="15" hidden="false" customHeight="false" outlineLevel="0" collapsed="false">
      <c r="A10393" s="3" t="s">
        <v>524</v>
      </c>
      <c r="B10393" s="4" t="s">
        <v>40</v>
      </c>
      <c r="C10393" s="4" t="n">
        <v>1</v>
      </c>
      <c r="D10393" s="4" t="s">
        <v>56</v>
      </c>
      <c r="E10393" s="3" t="s">
        <v>177</v>
      </c>
      <c r="F10393" s="4" t="str">
        <f aca="false">IF(I10393&gt;J10393,"Y","N")</f>
        <v>N</v>
      </c>
      <c r="G10393" s="3" t="s">
        <v>72</v>
      </c>
      <c r="H10393" s="3" t="s">
        <v>16</v>
      </c>
      <c r="I10393" s="4" t="n">
        <v>4</v>
      </c>
      <c r="J10393" s="4" t="n">
        <f aca="false">LEN(E10393)-LEN(SUBSTITUTE(E10393,",",""))+1</f>
        <v>4</v>
      </c>
      <c r="K10393" s="3" t="str">
        <f aca="false">IFERROR(INDEX('Teacher Lookup'!$B$2:$B$200,MATCH(A10393,'Teacher Lookup'!$A$2:$A$200,0)),"")</f>
        <v>WANG Yu</v>
      </c>
    </row>
    <row r="10394" customFormat="false" ht="15" hidden="false" customHeight="false" outlineLevel="0" collapsed="false">
      <c r="A10394" s="3" t="s">
        <v>524</v>
      </c>
      <c r="B10394" s="4" t="s">
        <v>40</v>
      </c>
      <c r="C10394" s="4" t="n">
        <v>2</v>
      </c>
      <c r="D10394" s="4" t="s">
        <v>76</v>
      </c>
      <c r="E10394" s="3" t="s">
        <v>84</v>
      </c>
      <c r="F10394" s="4" t="str">
        <f aca="false">IF(I10394&gt;J10394,"Y","N")</f>
        <v>N</v>
      </c>
      <c r="G10394" s="3" t="s">
        <v>72</v>
      </c>
      <c r="H10394" s="3" t="s">
        <v>21</v>
      </c>
      <c r="I10394" s="4" t="n">
        <v>4</v>
      </c>
      <c r="J10394" s="4" t="n">
        <f aca="false">LEN(E10394)-LEN(SUBSTITUTE(E10394,",",""))+1</f>
        <v>4</v>
      </c>
      <c r="K10394" s="3" t="str">
        <f aca="false">IFERROR(INDEX('Teacher Lookup'!$B$2:$B$200,MATCH(A10394,'Teacher Lookup'!$A$2:$A$200,0)),"")</f>
        <v>WANG Yu</v>
      </c>
    </row>
    <row r="10395" customFormat="false" ht="15" hidden="false" customHeight="false" outlineLevel="0" collapsed="false">
      <c r="A10395" s="3" t="s">
        <v>524</v>
      </c>
      <c r="B10395" s="4" t="s">
        <v>40</v>
      </c>
      <c r="C10395" s="4" t="n">
        <v>2</v>
      </c>
      <c r="D10395" s="4" t="s">
        <v>78</v>
      </c>
      <c r="E10395" s="3" t="s">
        <v>84</v>
      </c>
      <c r="F10395" s="4" t="str">
        <f aca="false">IF(I10395&gt;J10395,"Y","N")</f>
        <v>N</v>
      </c>
      <c r="G10395" s="3" t="s">
        <v>72</v>
      </c>
      <c r="H10395" s="3" t="s">
        <v>21</v>
      </c>
      <c r="I10395" s="4" t="n">
        <v>4</v>
      </c>
      <c r="J10395" s="4" t="n">
        <f aca="false">LEN(E10395)-LEN(SUBSTITUTE(E10395,",",""))+1</f>
        <v>4</v>
      </c>
      <c r="K10395" s="3" t="str">
        <f aca="false">IFERROR(INDEX('Teacher Lookup'!$B$2:$B$200,MATCH(A10395,'Teacher Lookup'!$A$2:$A$200,0)),"")</f>
        <v>WANG Yu</v>
      </c>
    </row>
    <row r="10396" customFormat="false" ht="15" hidden="false" customHeight="false" outlineLevel="0" collapsed="false">
      <c r="A10396" s="3" t="s">
        <v>524</v>
      </c>
      <c r="B10396" s="4" t="s">
        <v>40</v>
      </c>
      <c r="C10396" s="4" t="n">
        <v>2</v>
      </c>
      <c r="D10396" s="4" t="s">
        <v>79</v>
      </c>
      <c r="E10396" s="3" t="s">
        <v>84</v>
      </c>
      <c r="F10396" s="4" t="str">
        <f aca="false">IF(I10396&gt;J10396,"Y","N")</f>
        <v>N</v>
      </c>
      <c r="G10396" s="3" t="s">
        <v>72</v>
      </c>
      <c r="H10396" s="3" t="s">
        <v>21</v>
      </c>
      <c r="I10396" s="4" t="n">
        <v>4</v>
      </c>
      <c r="J10396" s="4" t="n">
        <f aca="false">LEN(E10396)-LEN(SUBSTITUTE(E10396,",",""))+1</f>
        <v>4</v>
      </c>
      <c r="K10396" s="3" t="str">
        <f aca="false">IFERROR(INDEX('Teacher Lookup'!$B$2:$B$200,MATCH(A10396,'Teacher Lookup'!$A$2:$A$200,0)),"")</f>
        <v>WANG Yu</v>
      </c>
    </row>
    <row r="10397" customFormat="false" ht="15" hidden="false" customHeight="false" outlineLevel="0" collapsed="false">
      <c r="A10397" s="3" t="s">
        <v>524</v>
      </c>
      <c r="B10397" s="4" t="s">
        <v>40</v>
      </c>
      <c r="C10397" s="4" t="n">
        <v>3</v>
      </c>
      <c r="D10397" s="4" t="s">
        <v>70</v>
      </c>
      <c r="E10397" s="3" t="s">
        <v>85</v>
      </c>
      <c r="F10397" s="4" t="str">
        <f aca="false">IF(I10397&gt;J10397,"Y","N")</f>
        <v>N</v>
      </c>
      <c r="G10397" s="3" t="s">
        <v>72</v>
      </c>
      <c r="H10397" s="3" t="s">
        <v>26</v>
      </c>
      <c r="I10397" s="4" t="n">
        <v>4</v>
      </c>
      <c r="J10397" s="4" t="n">
        <f aca="false">LEN(E10397)-LEN(SUBSTITUTE(E10397,",",""))+1</f>
        <v>4</v>
      </c>
      <c r="K10397" s="3" t="str">
        <f aca="false">IFERROR(INDEX('Teacher Lookup'!$B$2:$B$200,MATCH(A10397,'Teacher Lookup'!$A$2:$A$200,0)),"")</f>
        <v>WANG Yu</v>
      </c>
    </row>
    <row r="10398" customFormat="false" ht="15" hidden="false" customHeight="false" outlineLevel="0" collapsed="false">
      <c r="A10398" s="3" t="s">
        <v>524</v>
      </c>
      <c r="B10398" s="4" t="s">
        <v>40</v>
      </c>
      <c r="C10398" s="4" t="n">
        <v>3</v>
      </c>
      <c r="D10398" s="4" t="s">
        <v>73</v>
      </c>
      <c r="E10398" s="3" t="s">
        <v>85</v>
      </c>
      <c r="F10398" s="4" t="str">
        <f aca="false">IF(I10398&gt;J10398,"Y","N")</f>
        <v>N</v>
      </c>
      <c r="G10398" s="3" t="s">
        <v>72</v>
      </c>
      <c r="H10398" s="3" t="s">
        <v>26</v>
      </c>
      <c r="I10398" s="4" t="n">
        <v>4</v>
      </c>
      <c r="J10398" s="4" t="n">
        <f aca="false">LEN(E10398)-LEN(SUBSTITUTE(E10398,",",""))+1</f>
        <v>4</v>
      </c>
      <c r="K10398" s="3" t="str">
        <f aca="false">IFERROR(INDEX('Teacher Lookup'!$B$2:$B$200,MATCH(A10398,'Teacher Lookup'!$A$2:$A$200,0)),"")</f>
        <v>WANG Yu</v>
      </c>
    </row>
    <row r="10399" customFormat="false" ht="15" hidden="false" customHeight="false" outlineLevel="0" collapsed="false">
      <c r="A10399" s="3" t="s">
        <v>524</v>
      </c>
      <c r="B10399" s="4" t="s">
        <v>40</v>
      </c>
      <c r="C10399" s="4" t="n">
        <v>3</v>
      </c>
      <c r="D10399" s="4" t="s">
        <v>74</v>
      </c>
      <c r="E10399" s="3" t="s">
        <v>85</v>
      </c>
      <c r="F10399" s="4" t="str">
        <f aca="false">IF(I10399&gt;J10399,"Y","N")</f>
        <v>N</v>
      </c>
      <c r="G10399" s="3" t="s">
        <v>72</v>
      </c>
      <c r="H10399" s="3" t="s">
        <v>26</v>
      </c>
      <c r="I10399" s="4" t="n">
        <v>4</v>
      </c>
      <c r="J10399" s="4" t="n">
        <f aca="false">LEN(E10399)-LEN(SUBSTITUTE(E10399,",",""))+1</f>
        <v>4</v>
      </c>
      <c r="K10399" s="3" t="str">
        <f aca="false">IFERROR(INDEX('Teacher Lookup'!$B$2:$B$200,MATCH(A10399,'Teacher Lookup'!$A$2:$A$200,0)),"")</f>
        <v>WANG Yu</v>
      </c>
    </row>
    <row r="10400" customFormat="false" ht="15" hidden="false" customHeight="false" outlineLevel="0" collapsed="false">
      <c r="A10400" s="3" t="s">
        <v>524</v>
      </c>
      <c r="B10400" s="4" t="s">
        <v>40</v>
      </c>
      <c r="C10400" s="4" t="n">
        <v>4</v>
      </c>
      <c r="D10400" s="4" t="s">
        <v>70</v>
      </c>
      <c r="E10400" s="3" t="s">
        <v>85</v>
      </c>
      <c r="F10400" s="4" t="str">
        <f aca="false">IF(I10400&gt;J10400,"Y","N")</f>
        <v>N</v>
      </c>
      <c r="G10400" s="3" t="s">
        <v>72</v>
      </c>
      <c r="H10400" s="3" t="s">
        <v>34</v>
      </c>
      <c r="I10400" s="4" t="n">
        <v>4</v>
      </c>
      <c r="J10400" s="4" t="n">
        <f aca="false">LEN(E10400)-LEN(SUBSTITUTE(E10400,",",""))+1</f>
        <v>4</v>
      </c>
      <c r="K10400" s="3" t="str">
        <f aca="false">IFERROR(INDEX('Teacher Lookup'!$B$2:$B$200,MATCH(A10400,'Teacher Lookup'!$A$2:$A$200,0)),"")</f>
        <v>WANG Yu</v>
      </c>
    </row>
    <row r="10401" customFormat="false" ht="15" hidden="false" customHeight="false" outlineLevel="0" collapsed="false">
      <c r="A10401" s="3" t="s">
        <v>524</v>
      </c>
      <c r="B10401" s="4" t="s">
        <v>40</v>
      </c>
      <c r="C10401" s="4" t="n">
        <v>4</v>
      </c>
      <c r="D10401" s="4" t="s">
        <v>73</v>
      </c>
      <c r="E10401" s="3" t="s">
        <v>85</v>
      </c>
      <c r="F10401" s="4" t="str">
        <f aca="false">IF(I10401&gt;J10401,"Y","N")</f>
        <v>N</v>
      </c>
      <c r="G10401" s="3" t="s">
        <v>72</v>
      </c>
      <c r="H10401" s="3" t="s">
        <v>34</v>
      </c>
      <c r="I10401" s="4" t="n">
        <v>4</v>
      </c>
      <c r="J10401" s="4" t="n">
        <f aca="false">LEN(E10401)-LEN(SUBSTITUTE(E10401,",",""))+1</f>
        <v>4</v>
      </c>
      <c r="K10401" s="3" t="str">
        <f aca="false">IFERROR(INDEX('Teacher Lookup'!$B$2:$B$200,MATCH(A10401,'Teacher Lookup'!$A$2:$A$200,0)),"")</f>
        <v>WANG Yu</v>
      </c>
    </row>
    <row r="10402" customFormat="false" ht="15" hidden="false" customHeight="false" outlineLevel="0" collapsed="false">
      <c r="A10402" s="3" t="s">
        <v>524</v>
      </c>
      <c r="B10402" s="4" t="s">
        <v>40</v>
      </c>
      <c r="C10402" s="4" t="n">
        <v>4</v>
      </c>
      <c r="D10402" s="4" t="s">
        <v>74</v>
      </c>
      <c r="E10402" s="3" t="s">
        <v>85</v>
      </c>
      <c r="F10402" s="4" t="str">
        <f aca="false">IF(I10402&gt;J10402,"Y","N")</f>
        <v>N</v>
      </c>
      <c r="G10402" s="3" t="s">
        <v>72</v>
      </c>
      <c r="H10402" s="3" t="s">
        <v>34</v>
      </c>
      <c r="I10402" s="4" t="n">
        <v>4</v>
      </c>
      <c r="J10402" s="4" t="n">
        <f aca="false">LEN(E10402)-LEN(SUBSTITUTE(E10402,",",""))+1</f>
        <v>4</v>
      </c>
      <c r="K10402" s="3" t="str">
        <f aca="false">IFERROR(INDEX('Teacher Lookup'!$B$2:$B$200,MATCH(A10402,'Teacher Lookup'!$A$2:$A$200,0)),"")</f>
        <v>WANG Yu</v>
      </c>
    </row>
    <row r="10403" customFormat="false" ht="15" hidden="false" customHeight="false" outlineLevel="0" collapsed="false">
      <c r="A10403" s="3" t="s">
        <v>524</v>
      </c>
      <c r="B10403" s="4" t="s">
        <v>44</v>
      </c>
      <c r="C10403" s="4" t="n">
        <v>2</v>
      </c>
      <c r="D10403" s="4" t="s">
        <v>70</v>
      </c>
      <c r="E10403" s="3" t="s">
        <v>71</v>
      </c>
      <c r="F10403" s="4" t="str">
        <f aca="false">IF(I10403&gt;J10403,"Y","N")</f>
        <v>N</v>
      </c>
      <c r="G10403" s="3" t="s">
        <v>72</v>
      </c>
      <c r="H10403" s="3" t="s">
        <v>21</v>
      </c>
      <c r="I10403" s="4" t="n">
        <v>4</v>
      </c>
      <c r="J10403" s="4" t="n">
        <f aca="false">LEN(E10403)-LEN(SUBSTITUTE(E10403,",",""))+1</f>
        <v>4</v>
      </c>
      <c r="K10403" s="3" t="str">
        <f aca="false">IFERROR(INDEX('Teacher Lookup'!$B$2:$B$200,MATCH(A10403,'Teacher Lookup'!$A$2:$A$200,0)),"")</f>
        <v>WANG Yu</v>
      </c>
    </row>
    <row r="10404" customFormat="false" ht="15" hidden="false" customHeight="false" outlineLevel="0" collapsed="false">
      <c r="A10404" s="3" t="s">
        <v>524</v>
      </c>
      <c r="B10404" s="4" t="s">
        <v>44</v>
      </c>
      <c r="C10404" s="4" t="n">
        <v>2</v>
      </c>
      <c r="D10404" s="4" t="s">
        <v>73</v>
      </c>
      <c r="E10404" s="3" t="s">
        <v>71</v>
      </c>
      <c r="F10404" s="4" t="str">
        <f aca="false">IF(I10404&gt;J10404,"Y","N")</f>
        <v>N</v>
      </c>
      <c r="G10404" s="3" t="s">
        <v>72</v>
      </c>
      <c r="H10404" s="3" t="s">
        <v>21</v>
      </c>
      <c r="I10404" s="4" t="n">
        <v>4</v>
      </c>
      <c r="J10404" s="4" t="n">
        <f aca="false">LEN(E10404)-LEN(SUBSTITUTE(E10404,",",""))+1</f>
        <v>4</v>
      </c>
      <c r="K10404" s="3" t="str">
        <f aca="false">IFERROR(INDEX('Teacher Lookup'!$B$2:$B$200,MATCH(A10404,'Teacher Lookup'!$A$2:$A$200,0)),"")</f>
        <v>WANG Yu</v>
      </c>
    </row>
    <row r="10405" customFormat="false" ht="15" hidden="false" customHeight="false" outlineLevel="0" collapsed="false">
      <c r="A10405" s="3" t="s">
        <v>524</v>
      </c>
      <c r="B10405" s="4" t="s">
        <v>44</v>
      </c>
      <c r="C10405" s="4" t="n">
        <v>2</v>
      </c>
      <c r="D10405" s="4" t="s">
        <v>74</v>
      </c>
      <c r="E10405" s="3" t="s">
        <v>71</v>
      </c>
      <c r="F10405" s="4" t="str">
        <f aca="false">IF(I10405&gt;J10405,"Y","N")</f>
        <v>N</v>
      </c>
      <c r="G10405" s="3" t="s">
        <v>72</v>
      </c>
      <c r="H10405" s="3" t="s">
        <v>21</v>
      </c>
      <c r="I10405" s="4" t="n">
        <v>4</v>
      </c>
      <c r="J10405" s="4" t="n">
        <f aca="false">LEN(E10405)-LEN(SUBSTITUTE(E10405,",",""))+1</f>
        <v>4</v>
      </c>
      <c r="K10405" s="3" t="str">
        <f aca="false">IFERROR(INDEX('Teacher Lookup'!$B$2:$B$200,MATCH(A10405,'Teacher Lookup'!$A$2:$A$200,0)),"")</f>
        <v>WANG Yu</v>
      </c>
    </row>
    <row r="10406" customFormat="false" ht="15" hidden="false" customHeight="false" outlineLevel="0" collapsed="false">
      <c r="A10406" s="3" t="s">
        <v>524</v>
      </c>
      <c r="B10406" s="4" t="s">
        <v>44</v>
      </c>
      <c r="C10406" s="4" t="n">
        <v>3</v>
      </c>
      <c r="D10406" s="4" t="s">
        <v>52</v>
      </c>
      <c r="E10406" s="3" t="s">
        <v>395</v>
      </c>
      <c r="F10406" s="4" t="str">
        <f aca="false">IF(I10406&gt;J10406,"Y","N")</f>
        <v>N</v>
      </c>
      <c r="G10406" s="3" t="s">
        <v>72</v>
      </c>
      <c r="H10406" s="3" t="s">
        <v>26</v>
      </c>
      <c r="I10406" s="4" t="n">
        <v>4</v>
      </c>
      <c r="J10406" s="4" t="n">
        <f aca="false">LEN(E10406)-LEN(SUBSTITUTE(E10406,",",""))+1</f>
        <v>4</v>
      </c>
      <c r="K10406" s="3" t="str">
        <f aca="false">IFERROR(INDEX('Teacher Lookup'!$B$2:$B$200,MATCH(A10406,'Teacher Lookup'!$A$2:$A$200,0)),"")</f>
        <v>WANG Yu</v>
      </c>
    </row>
    <row r="10407" customFormat="false" ht="15" hidden="false" customHeight="false" outlineLevel="0" collapsed="false">
      <c r="A10407" s="3" t="s">
        <v>524</v>
      </c>
      <c r="B10407" s="4" t="s">
        <v>44</v>
      </c>
      <c r="C10407" s="4" t="n">
        <v>3</v>
      </c>
      <c r="D10407" s="4" t="s">
        <v>55</v>
      </c>
      <c r="E10407" s="3" t="s">
        <v>395</v>
      </c>
      <c r="F10407" s="4" t="str">
        <f aca="false">IF(I10407&gt;J10407,"Y","N")</f>
        <v>N</v>
      </c>
      <c r="G10407" s="3" t="s">
        <v>72</v>
      </c>
      <c r="H10407" s="3" t="s">
        <v>26</v>
      </c>
      <c r="I10407" s="4" t="n">
        <v>4</v>
      </c>
      <c r="J10407" s="4" t="n">
        <f aca="false">LEN(E10407)-LEN(SUBSTITUTE(E10407,",",""))+1</f>
        <v>4</v>
      </c>
      <c r="K10407" s="3" t="str">
        <f aca="false">IFERROR(INDEX('Teacher Lookup'!$B$2:$B$200,MATCH(A10407,'Teacher Lookup'!$A$2:$A$200,0)),"")</f>
        <v>WANG Yu</v>
      </c>
    </row>
    <row r="10408" customFormat="false" ht="15" hidden="false" customHeight="false" outlineLevel="0" collapsed="false">
      <c r="A10408" s="3" t="s">
        <v>524</v>
      </c>
      <c r="B10408" s="4" t="s">
        <v>44</v>
      </c>
      <c r="C10408" s="4" t="n">
        <v>3</v>
      </c>
      <c r="D10408" s="4" t="s">
        <v>56</v>
      </c>
      <c r="E10408" s="3" t="s">
        <v>395</v>
      </c>
      <c r="F10408" s="4" t="str">
        <f aca="false">IF(I10408&gt;J10408,"Y","N")</f>
        <v>N</v>
      </c>
      <c r="G10408" s="3" t="s">
        <v>72</v>
      </c>
      <c r="H10408" s="3" t="s">
        <v>26</v>
      </c>
      <c r="I10408" s="4" t="n">
        <v>4</v>
      </c>
      <c r="J10408" s="4" t="n">
        <f aca="false">LEN(E10408)-LEN(SUBSTITUTE(E10408,",",""))+1</f>
        <v>4</v>
      </c>
      <c r="K10408" s="3" t="str">
        <f aca="false">IFERROR(INDEX('Teacher Lookup'!$B$2:$B$200,MATCH(A10408,'Teacher Lookup'!$A$2:$A$200,0)),"")</f>
        <v>WANG Yu</v>
      </c>
    </row>
    <row r="10409" customFormat="false" ht="15" hidden="false" customHeight="false" outlineLevel="0" collapsed="false">
      <c r="A10409" s="3" t="s">
        <v>524</v>
      </c>
      <c r="B10409" s="4" t="s">
        <v>44</v>
      </c>
      <c r="C10409" s="4" t="n">
        <v>4</v>
      </c>
      <c r="D10409" s="4" t="s">
        <v>76</v>
      </c>
      <c r="E10409" s="3" t="s">
        <v>84</v>
      </c>
      <c r="F10409" s="4" t="str">
        <f aca="false">IF(I10409&gt;J10409,"Y","N")</f>
        <v>N</v>
      </c>
      <c r="G10409" s="3" t="s">
        <v>72</v>
      </c>
      <c r="H10409" s="3" t="s">
        <v>34</v>
      </c>
      <c r="I10409" s="4" t="n">
        <v>4</v>
      </c>
      <c r="J10409" s="4" t="n">
        <f aca="false">LEN(E10409)-LEN(SUBSTITUTE(E10409,",",""))+1</f>
        <v>4</v>
      </c>
      <c r="K10409" s="3" t="str">
        <f aca="false">IFERROR(INDEX('Teacher Lookup'!$B$2:$B$200,MATCH(A10409,'Teacher Lookup'!$A$2:$A$200,0)),"")</f>
        <v>WANG Yu</v>
      </c>
    </row>
    <row r="10410" customFormat="false" ht="15" hidden="false" customHeight="false" outlineLevel="0" collapsed="false">
      <c r="A10410" s="3" t="s">
        <v>524</v>
      </c>
      <c r="B10410" s="4" t="s">
        <v>44</v>
      </c>
      <c r="C10410" s="4" t="n">
        <v>4</v>
      </c>
      <c r="D10410" s="4" t="s">
        <v>78</v>
      </c>
      <c r="E10410" s="3" t="s">
        <v>84</v>
      </c>
      <c r="F10410" s="4" t="str">
        <f aca="false">IF(I10410&gt;J10410,"Y","N")</f>
        <v>N</v>
      </c>
      <c r="G10410" s="3" t="s">
        <v>72</v>
      </c>
      <c r="H10410" s="3" t="s">
        <v>34</v>
      </c>
      <c r="I10410" s="4" t="n">
        <v>4</v>
      </c>
      <c r="J10410" s="4" t="n">
        <f aca="false">LEN(E10410)-LEN(SUBSTITUTE(E10410,",",""))+1</f>
        <v>4</v>
      </c>
      <c r="K10410" s="3" t="str">
        <f aca="false">IFERROR(INDEX('Teacher Lookup'!$B$2:$B$200,MATCH(A10410,'Teacher Lookup'!$A$2:$A$200,0)),"")</f>
        <v>WANG Yu</v>
      </c>
    </row>
    <row r="10411" customFormat="false" ht="15" hidden="false" customHeight="false" outlineLevel="0" collapsed="false">
      <c r="A10411" s="3" t="s">
        <v>524</v>
      </c>
      <c r="B10411" s="4" t="s">
        <v>44</v>
      </c>
      <c r="C10411" s="4" t="n">
        <v>4</v>
      </c>
      <c r="D10411" s="4" t="s">
        <v>79</v>
      </c>
      <c r="E10411" s="3" t="s">
        <v>84</v>
      </c>
      <c r="F10411" s="4" t="str">
        <f aca="false">IF(I10411&gt;J10411,"Y","N")</f>
        <v>N</v>
      </c>
      <c r="G10411" s="3" t="s">
        <v>72</v>
      </c>
      <c r="H10411" s="3" t="s">
        <v>34</v>
      </c>
      <c r="I10411" s="4" t="n">
        <v>4</v>
      </c>
      <c r="J10411" s="4" t="n">
        <f aca="false">LEN(E10411)-LEN(SUBSTITUTE(E10411,",",""))+1</f>
        <v>4</v>
      </c>
      <c r="K10411" s="3" t="str">
        <f aca="false">IFERROR(INDEX('Teacher Lookup'!$B$2:$B$200,MATCH(A10411,'Teacher Lookup'!$A$2:$A$200,0)),"")</f>
        <v>WANG Yu</v>
      </c>
    </row>
    <row r="10412" customFormat="false" ht="15" hidden="false" customHeight="false" outlineLevel="0" collapsed="false">
      <c r="A10412" s="3" t="s">
        <v>524</v>
      </c>
      <c r="B10412" s="4" t="s">
        <v>44</v>
      </c>
      <c r="C10412" s="4" t="n">
        <v>5</v>
      </c>
      <c r="D10412" s="4" t="s">
        <v>70</v>
      </c>
      <c r="E10412" s="3" t="s">
        <v>81</v>
      </c>
      <c r="F10412" s="4" t="str">
        <f aca="false">IF(I10412&gt;J10412,"Y","N")</f>
        <v>Y</v>
      </c>
      <c r="G10412" s="3" t="s">
        <v>36</v>
      </c>
      <c r="H10412" s="3" t="s">
        <v>37</v>
      </c>
      <c r="I10412" s="4" t="n">
        <v>15</v>
      </c>
      <c r="J10412" s="4" t="n">
        <f aca="false">LEN(E10412)-LEN(SUBSTITUTE(E10412,",",""))+1</f>
        <v>7</v>
      </c>
      <c r="K10412" s="3" t="str">
        <f aca="false">IFERROR(INDEX('Teacher Lookup'!$B$2:$B$200,MATCH(A10412,'Teacher Lookup'!$A$2:$A$200,0)),"")</f>
        <v>WANG Yu</v>
      </c>
    </row>
    <row r="10413" customFormat="false" ht="15" hidden="false" customHeight="false" outlineLevel="0" collapsed="false">
      <c r="A10413" s="3" t="s">
        <v>524</v>
      </c>
      <c r="B10413" s="4" t="s">
        <v>44</v>
      </c>
      <c r="C10413" s="4" t="n">
        <v>5</v>
      </c>
      <c r="D10413" s="4" t="s">
        <v>73</v>
      </c>
      <c r="E10413" s="3" t="s">
        <v>81</v>
      </c>
      <c r="F10413" s="4" t="str">
        <f aca="false">IF(I10413&gt;J10413,"Y","N")</f>
        <v>Y</v>
      </c>
      <c r="G10413" s="3" t="s">
        <v>36</v>
      </c>
      <c r="H10413" s="3" t="s">
        <v>37</v>
      </c>
      <c r="I10413" s="4" t="n">
        <v>15</v>
      </c>
      <c r="J10413" s="4" t="n">
        <f aca="false">LEN(E10413)-LEN(SUBSTITUTE(E10413,",",""))+1</f>
        <v>7</v>
      </c>
      <c r="K10413" s="3" t="str">
        <f aca="false">IFERROR(INDEX('Teacher Lookup'!$B$2:$B$200,MATCH(A10413,'Teacher Lookup'!$A$2:$A$200,0)),"")</f>
        <v>WANG Yu</v>
      </c>
    </row>
    <row r="10414" customFormat="false" ht="15" hidden="false" customHeight="false" outlineLevel="0" collapsed="false">
      <c r="A10414" s="3" t="s">
        <v>524</v>
      </c>
      <c r="B10414" s="4" t="s">
        <v>44</v>
      </c>
      <c r="C10414" s="4" t="n">
        <v>5</v>
      </c>
      <c r="D10414" s="4" t="s">
        <v>74</v>
      </c>
      <c r="E10414" s="3" t="s">
        <v>81</v>
      </c>
      <c r="F10414" s="4" t="str">
        <f aca="false">IF(I10414&gt;J10414,"Y","N")</f>
        <v>Y</v>
      </c>
      <c r="G10414" s="3" t="s">
        <v>36</v>
      </c>
      <c r="H10414" s="3" t="s">
        <v>37</v>
      </c>
      <c r="I10414" s="4" t="n">
        <v>15</v>
      </c>
      <c r="J10414" s="4" t="n">
        <f aca="false">LEN(E10414)-LEN(SUBSTITUTE(E10414,",",""))+1</f>
        <v>7</v>
      </c>
      <c r="K10414" s="3" t="str">
        <f aca="false">IFERROR(INDEX('Teacher Lookup'!$B$2:$B$200,MATCH(A10414,'Teacher Lookup'!$A$2:$A$200,0)),"")</f>
        <v>WANG Yu</v>
      </c>
    </row>
    <row r="10415" customFormat="false" ht="15" hidden="false" customHeight="false" outlineLevel="0" collapsed="false">
      <c r="A10415" s="3" t="s">
        <v>524</v>
      </c>
      <c r="B10415" s="4" t="s">
        <v>44</v>
      </c>
      <c r="C10415" s="4" t="n">
        <v>5</v>
      </c>
      <c r="D10415" s="4" t="s">
        <v>76</v>
      </c>
      <c r="E10415" s="3" t="s">
        <v>81</v>
      </c>
      <c r="F10415" s="4" t="str">
        <f aca="false">IF(I10415&gt;J10415,"Y","N")</f>
        <v>Y</v>
      </c>
      <c r="G10415" s="3" t="s">
        <v>36</v>
      </c>
      <c r="H10415" s="3" t="s">
        <v>37</v>
      </c>
      <c r="I10415" s="4" t="n">
        <v>15</v>
      </c>
      <c r="J10415" s="4" t="n">
        <f aca="false">LEN(E10415)-LEN(SUBSTITUTE(E10415,",",""))+1</f>
        <v>7</v>
      </c>
      <c r="K10415" s="3" t="str">
        <f aca="false">IFERROR(INDEX('Teacher Lookup'!$B$2:$B$200,MATCH(A10415,'Teacher Lookup'!$A$2:$A$200,0)),"")</f>
        <v>WANG Yu</v>
      </c>
    </row>
    <row r="10416" customFormat="false" ht="15" hidden="false" customHeight="false" outlineLevel="0" collapsed="false">
      <c r="A10416" s="3" t="s">
        <v>524</v>
      </c>
      <c r="B10416" s="4" t="s">
        <v>44</v>
      </c>
      <c r="C10416" s="4" t="n">
        <v>5</v>
      </c>
      <c r="D10416" s="4" t="s">
        <v>78</v>
      </c>
      <c r="E10416" s="3" t="s">
        <v>81</v>
      </c>
      <c r="F10416" s="4" t="str">
        <f aca="false">IF(I10416&gt;J10416,"Y","N")</f>
        <v>Y</v>
      </c>
      <c r="G10416" s="3" t="s">
        <v>36</v>
      </c>
      <c r="H10416" s="3" t="s">
        <v>37</v>
      </c>
      <c r="I10416" s="4" t="n">
        <v>15</v>
      </c>
      <c r="J10416" s="4" t="n">
        <f aca="false">LEN(E10416)-LEN(SUBSTITUTE(E10416,",",""))+1</f>
        <v>7</v>
      </c>
      <c r="K10416" s="3" t="str">
        <f aca="false">IFERROR(INDEX('Teacher Lookup'!$B$2:$B$200,MATCH(A10416,'Teacher Lookup'!$A$2:$A$200,0)),"")</f>
        <v>WANG Yu</v>
      </c>
    </row>
    <row r="10417" customFormat="false" ht="15" hidden="false" customHeight="false" outlineLevel="0" collapsed="false">
      <c r="A10417" s="3" t="s">
        <v>524</v>
      </c>
      <c r="B10417" s="4" t="s">
        <v>44</v>
      </c>
      <c r="C10417" s="4" t="n">
        <v>5</v>
      </c>
      <c r="D10417" s="4" t="s">
        <v>79</v>
      </c>
      <c r="E10417" s="3" t="s">
        <v>81</v>
      </c>
      <c r="F10417" s="4" t="str">
        <f aca="false">IF(I10417&gt;J10417,"Y","N")</f>
        <v>Y</v>
      </c>
      <c r="G10417" s="3" t="s">
        <v>36</v>
      </c>
      <c r="H10417" s="3" t="s">
        <v>37</v>
      </c>
      <c r="I10417" s="4" t="n">
        <v>15</v>
      </c>
      <c r="J10417" s="4" t="n">
        <f aca="false">LEN(E10417)-LEN(SUBSTITUTE(E10417,",",""))+1</f>
        <v>7</v>
      </c>
      <c r="K10417" s="3" t="str">
        <f aca="false">IFERROR(INDEX('Teacher Lookup'!$B$2:$B$200,MATCH(A10417,'Teacher Lookup'!$A$2:$A$200,0)),"")</f>
        <v>WANG Yu</v>
      </c>
    </row>
    <row r="10418" customFormat="false" ht="15" hidden="false" customHeight="false" outlineLevel="0" collapsed="false">
      <c r="A10418" s="3" t="s">
        <v>524</v>
      </c>
      <c r="B10418" s="4" t="s">
        <v>47</v>
      </c>
      <c r="C10418" s="4" t="n">
        <v>3</v>
      </c>
      <c r="D10418" s="4" t="s">
        <v>52</v>
      </c>
      <c r="E10418" s="3" t="s">
        <v>163</v>
      </c>
      <c r="F10418" s="4" t="str">
        <f aca="false">IF(I10418&gt;J10418,"Y","N")</f>
        <v>N</v>
      </c>
      <c r="G10418" s="3" t="s">
        <v>72</v>
      </c>
      <c r="H10418" s="3" t="s">
        <v>26</v>
      </c>
      <c r="I10418" s="4" t="n">
        <v>4</v>
      </c>
      <c r="J10418" s="4" t="n">
        <f aca="false">LEN(E10418)-LEN(SUBSTITUTE(E10418,",",""))+1</f>
        <v>4</v>
      </c>
      <c r="K10418" s="3" t="str">
        <f aca="false">IFERROR(INDEX('Teacher Lookup'!$B$2:$B$200,MATCH(A10418,'Teacher Lookup'!$A$2:$A$200,0)),"")</f>
        <v>WANG Yu</v>
      </c>
    </row>
    <row r="10419" customFormat="false" ht="15" hidden="false" customHeight="false" outlineLevel="0" collapsed="false">
      <c r="A10419" s="3" t="s">
        <v>524</v>
      </c>
      <c r="B10419" s="4" t="s">
        <v>47</v>
      </c>
      <c r="C10419" s="4" t="n">
        <v>3</v>
      </c>
      <c r="D10419" s="4" t="s">
        <v>55</v>
      </c>
      <c r="E10419" s="3" t="s">
        <v>163</v>
      </c>
      <c r="F10419" s="4" t="str">
        <f aca="false">IF(I10419&gt;J10419,"Y","N")</f>
        <v>N</v>
      </c>
      <c r="G10419" s="3" t="s">
        <v>72</v>
      </c>
      <c r="H10419" s="3" t="s">
        <v>26</v>
      </c>
      <c r="I10419" s="4" t="n">
        <v>4</v>
      </c>
      <c r="J10419" s="4" t="n">
        <f aca="false">LEN(E10419)-LEN(SUBSTITUTE(E10419,",",""))+1</f>
        <v>4</v>
      </c>
      <c r="K10419" s="3" t="str">
        <f aca="false">IFERROR(INDEX('Teacher Lookup'!$B$2:$B$200,MATCH(A10419,'Teacher Lookup'!$A$2:$A$200,0)),"")</f>
        <v>WANG Yu</v>
      </c>
    </row>
    <row r="10420" customFormat="false" ht="15" hidden="false" customHeight="false" outlineLevel="0" collapsed="false">
      <c r="A10420" s="3" t="s">
        <v>524</v>
      </c>
      <c r="B10420" s="4" t="s">
        <v>47</v>
      </c>
      <c r="C10420" s="4" t="n">
        <v>3</v>
      </c>
      <c r="D10420" s="4" t="s">
        <v>56</v>
      </c>
      <c r="E10420" s="3" t="s">
        <v>163</v>
      </c>
      <c r="F10420" s="4" t="str">
        <f aca="false">IF(I10420&gt;J10420,"Y","N")</f>
        <v>N</v>
      </c>
      <c r="G10420" s="3" t="s">
        <v>72</v>
      </c>
      <c r="H10420" s="3" t="s">
        <v>26</v>
      </c>
      <c r="I10420" s="4" t="n">
        <v>4</v>
      </c>
      <c r="J10420" s="4" t="n">
        <f aca="false">LEN(E10420)-LEN(SUBSTITUTE(E10420,",",""))+1</f>
        <v>4</v>
      </c>
      <c r="K10420" s="3" t="str">
        <f aca="false">IFERROR(INDEX('Teacher Lookup'!$B$2:$B$200,MATCH(A10420,'Teacher Lookup'!$A$2:$A$200,0)),"")</f>
        <v>WANG Yu</v>
      </c>
    </row>
    <row r="10421" customFormat="false" ht="15" hidden="false" customHeight="false" outlineLevel="0" collapsed="false">
      <c r="A10421" s="3" t="s">
        <v>524</v>
      </c>
      <c r="B10421" s="4" t="s">
        <v>47</v>
      </c>
      <c r="C10421" s="4" t="n">
        <v>4</v>
      </c>
      <c r="D10421" s="4" t="s">
        <v>76</v>
      </c>
      <c r="E10421" s="3" t="s">
        <v>87</v>
      </c>
      <c r="F10421" s="4" t="str">
        <f aca="false">IF(I10421&gt;J10421,"Y","N")</f>
        <v>N</v>
      </c>
      <c r="G10421" s="3" t="s">
        <v>72</v>
      </c>
      <c r="H10421" s="3" t="s">
        <v>34</v>
      </c>
      <c r="I10421" s="4" t="n">
        <v>4</v>
      </c>
      <c r="J10421" s="4" t="n">
        <f aca="false">LEN(E10421)-LEN(SUBSTITUTE(E10421,",",""))+1</f>
        <v>4</v>
      </c>
      <c r="K10421" s="3" t="str">
        <f aca="false">IFERROR(INDEX('Teacher Lookup'!$B$2:$B$200,MATCH(A10421,'Teacher Lookup'!$A$2:$A$200,0)),"")</f>
        <v>WANG Yu</v>
      </c>
    </row>
    <row r="10422" customFormat="false" ht="15" hidden="false" customHeight="false" outlineLevel="0" collapsed="false">
      <c r="A10422" s="3" t="s">
        <v>524</v>
      </c>
      <c r="B10422" s="4" t="s">
        <v>47</v>
      </c>
      <c r="C10422" s="4" t="n">
        <v>4</v>
      </c>
      <c r="D10422" s="4" t="s">
        <v>78</v>
      </c>
      <c r="E10422" s="3" t="s">
        <v>87</v>
      </c>
      <c r="F10422" s="4" t="str">
        <f aca="false">IF(I10422&gt;J10422,"Y","N")</f>
        <v>N</v>
      </c>
      <c r="G10422" s="3" t="s">
        <v>72</v>
      </c>
      <c r="H10422" s="3" t="s">
        <v>34</v>
      </c>
      <c r="I10422" s="4" t="n">
        <v>4</v>
      </c>
      <c r="J10422" s="4" t="n">
        <f aca="false">LEN(E10422)-LEN(SUBSTITUTE(E10422,",",""))+1</f>
        <v>4</v>
      </c>
      <c r="K10422" s="3" t="str">
        <f aca="false">IFERROR(INDEX('Teacher Lookup'!$B$2:$B$200,MATCH(A10422,'Teacher Lookup'!$A$2:$A$200,0)),"")</f>
        <v>WANG Yu</v>
      </c>
    </row>
    <row r="10423" customFormat="false" ht="15" hidden="false" customHeight="false" outlineLevel="0" collapsed="false">
      <c r="A10423" s="3" t="s">
        <v>524</v>
      </c>
      <c r="B10423" s="4" t="s">
        <v>47</v>
      </c>
      <c r="C10423" s="4" t="n">
        <v>4</v>
      </c>
      <c r="D10423" s="4" t="s">
        <v>79</v>
      </c>
      <c r="E10423" s="3" t="s">
        <v>87</v>
      </c>
      <c r="F10423" s="4" t="str">
        <f aca="false">IF(I10423&gt;J10423,"Y","N")</f>
        <v>N</v>
      </c>
      <c r="G10423" s="3" t="s">
        <v>72</v>
      </c>
      <c r="H10423" s="3" t="s">
        <v>34</v>
      </c>
      <c r="I10423" s="4" t="n">
        <v>4</v>
      </c>
      <c r="J10423" s="4" t="n">
        <f aca="false">LEN(E10423)-LEN(SUBSTITUTE(E10423,",",""))+1</f>
        <v>4</v>
      </c>
      <c r="K10423" s="3" t="str">
        <f aca="false">IFERROR(INDEX('Teacher Lookup'!$B$2:$B$200,MATCH(A10423,'Teacher Lookup'!$A$2:$A$200,0)),"")</f>
        <v>WANG Yu</v>
      </c>
    </row>
    <row r="10424" customFormat="false" ht="15" hidden="false" customHeight="false" outlineLevel="0" collapsed="false">
      <c r="A10424" s="3" t="s">
        <v>524</v>
      </c>
      <c r="B10424" s="4" t="s">
        <v>47</v>
      </c>
      <c r="C10424" s="4" t="n">
        <v>5</v>
      </c>
      <c r="D10424" s="4" t="s">
        <v>70</v>
      </c>
      <c r="E10424" s="3" t="s">
        <v>83</v>
      </c>
      <c r="F10424" s="4" t="str">
        <f aca="false">IF(I10424&gt;J10424,"Y","N")</f>
        <v>N</v>
      </c>
      <c r="G10424" s="3" t="s">
        <v>72</v>
      </c>
      <c r="H10424" s="3" t="s">
        <v>37</v>
      </c>
      <c r="I10424" s="4" t="n">
        <v>4</v>
      </c>
      <c r="J10424" s="4" t="n">
        <f aca="false">LEN(E10424)-LEN(SUBSTITUTE(E10424,",",""))+1</f>
        <v>4</v>
      </c>
      <c r="K10424" s="3" t="str">
        <f aca="false">IFERROR(INDEX('Teacher Lookup'!$B$2:$B$200,MATCH(A10424,'Teacher Lookup'!$A$2:$A$200,0)),"")</f>
        <v>WANG Yu</v>
      </c>
    </row>
    <row r="10425" customFormat="false" ht="15" hidden="false" customHeight="false" outlineLevel="0" collapsed="false">
      <c r="A10425" s="3" t="s">
        <v>524</v>
      </c>
      <c r="B10425" s="4" t="s">
        <v>47</v>
      </c>
      <c r="C10425" s="4" t="n">
        <v>5</v>
      </c>
      <c r="D10425" s="4" t="s">
        <v>73</v>
      </c>
      <c r="E10425" s="3" t="s">
        <v>83</v>
      </c>
      <c r="F10425" s="4" t="str">
        <f aca="false">IF(I10425&gt;J10425,"Y","N")</f>
        <v>N</v>
      </c>
      <c r="G10425" s="3" t="s">
        <v>72</v>
      </c>
      <c r="H10425" s="3" t="s">
        <v>37</v>
      </c>
      <c r="I10425" s="4" t="n">
        <v>4</v>
      </c>
      <c r="J10425" s="4" t="n">
        <f aca="false">LEN(E10425)-LEN(SUBSTITUTE(E10425,",",""))+1</f>
        <v>4</v>
      </c>
      <c r="K10425" s="3" t="str">
        <f aca="false">IFERROR(INDEX('Teacher Lookup'!$B$2:$B$200,MATCH(A10425,'Teacher Lookup'!$A$2:$A$200,0)),"")</f>
        <v>WANG Yu</v>
      </c>
    </row>
    <row r="10426" customFormat="false" ht="15" hidden="false" customHeight="false" outlineLevel="0" collapsed="false">
      <c r="A10426" s="3" t="s">
        <v>524</v>
      </c>
      <c r="B10426" s="4" t="s">
        <v>47</v>
      </c>
      <c r="C10426" s="4" t="n">
        <v>5</v>
      </c>
      <c r="D10426" s="4" t="s">
        <v>74</v>
      </c>
      <c r="E10426" s="3" t="s">
        <v>83</v>
      </c>
      <c r="F10426" s="4" t="str">
        <f aca="false">IF(I10426&gt;J10426,"Y","N")</f>
        <v>N</v>
      </c>
      <c r="G10426" s="3" t="s">
        <v>72</v>
      </c>
      <c r="H10426" s="3" t="s">
        <v>37</v>
      </c>
      <c r="I10426" s="4" t="n">
        <v>4</v>
      </c>
      <c r="J10426" s="4" t="n">
        <f aca="false">LEN(E10426)-LEN(SUBSTITUTE(E10426,",",""))+1</f>
        <v>4</v>
      </c>
      <c r="K10426" s="3" t="str">
        <f aca="false">IFERROR(INDEX('Teacher Lookup'!$B$2:$B$200,MATCH(A10426,'Teacher Lookup'!$A$2:$A$200,0)),"")</f>
        <v>WANG Yu</v>
      </c>
    </row>
    <row r="10427" customFormat="false" ht="15" hidden="false" customHeight="false" outlineLevel="0" collapsed="false">
      <c r="A10427" s="3" t="s">
        <v>524</v>
      </c>
      <c r="B10427" s="4" t="s">
        <v>50</v>
      </c>
      <c r="C10427" s="4" t="n">
        <v>1</v>
      </c>
      <c r="D10427" s="4" t="s">
        <v>76</v>
      </c>
      <c r="E10427" s="3" t="s">
        <v>88</v>
      </c>
      <c r="F10427" s="4" t="str">
        <f aca="false">IF(I10427&gt;J10427,"Y","N")</f>
        <v>N</v>
      </c>
      <c r="G10427" s="3" t="s">
        <v>72</v>
      </c>
      <c r="H10427" s="3" t="s">
        <v>16</v>
      </c>
      <c r="I10427" s="4" t="n">
        <v>4</v>
      </c>
      <c r="J10427" s="4" t="n">
        <f aca="false">LEN(E10427)-LEN(SUBSTITUTE(E10427,",",""))+1</f>
        <v>4</v>
      </c>
      <c r="K10427" s="3" t="str">
        <f aca="false">IFERROR(INDEX('Teacher Lookup'!$B$2:$B$200,MATCH(A10427,'Teacher Lookup'!$A$2:$A$200,0)),"")</f>
        <v>WANG Yu</v>
      </c>
    </row>
    <row r="10428" customFormat="false" ht="15" hidden="false" customHeight="false" outlineLevel="0" collapsed="false">
      <c r="A10428" s="3" t="s">
        <v>524</v>
      </c>
      <c r="B10428" s="4" t="s">
        <v>50</v>
      </c>
      <c r="C10428" s="4" t="n">
        <v>1</v>
      </c>
      <c r="D10428" s="4" t="s">
        <v>78</v>
      </c>
      <c r="E10428" s="3" t="s">
        <v>88</v>
      </c>
      <c r="F10428" s="4" t="str">
        <f aca="false">IF(I10428&gt;J10428,"Y","N")</f>
        <v>N</v>
      </c>
      <c r="G10428" s="3" t="s">
        <v>72</v>
      </c>
      <c r="H10428" s="3" t="s">
        <v>16</v>
      </c>
      <c r="I10428" s="4" t="n">
        <v>4</v>
      </c>
      <c r="J10428" s="4" t="n">
        <f aca="false">LEN(E10428)-LEN(SUBSTITUTE(E10428,",",""))+1</f>
        <v>4</v>
      </c>
      <c r="K10428" s="3" t="str">
        <f aca="false">IFERROR(INDEX('Teacher Lookup'!$B$2:$B$200,MATCH(A10428,'Teacher Lookup'!$A$2:$A$200,0)),"")</f>
        <v>WANG Yu</v>
      </c>
    </row>
    <row r="10429" customFormat="false" ht="15" hidden="false" customHeight="false" outlineLevel="0" collapsed="false">
      <c r="A10429" s="3" t="s">
        <v>524</v>
      </c>
      <c r="B10429" s="4" t="s">
        <v>50</v>
      </c>
      <c r="C10429" s="4" t="n">
        <v>1</v>
      </c>
      <c r="D10429" s="4" t="s">
        <v>79</v>
      </c>
      <c r="E10429" s="3" t="s">
        <v>88</v>
      </c>
      <c r="F10429" s="4" t="str">
        <f aca="false">IF(I10429&gt;J10429,"Y","N")</f>
        <v>N</v>
      </c>
      <c r="G10429" s="3" t="s">
        <v>72</v>
      </c>
      <c r="H10429" s="3" t="s">
        <v>16</v>
      </c>
      <c r="I10429" s="4" t="n">
        <v>4</v>
      </c>
      <c r="J10429" s="4" t="n">
        <f aca="false">LEN(E10429)-LEN(SUBSTITUTE(E10429,",",""))+1</f>
        <v>4</v>
      </c>
      <c r="K10429" s="3" t="str">
        <f aca="false">IFERROR(INDEX('Teacher Lookup'!$B$2:$B$200,MATCH(A10429,'Teacher Lookup'!$A$2:$A$200,0)),"")</f>
        <v>WANG Yu</v>
      </c>
    </row>
    <row r="10430" customFormat="false" ht="15" hidden="false" customHeight="false" outlineLevel="0" collapsed="false">
      <c r="A10430" s="3" t="s">
        <v>524</v>
      </c>
      <c r="B10430" s="4" t="s">
        <v>50</v>
      </c>
      <c r="C10430" s="4" t="n">
        <v>4</v>
      </c>
      <c r="D10430" s="4" t="s">
        <v>70</v>
      </c>
      <c r="E10430" s="3" t="s">
        <v>71</v>
      </c>
      <c r="F10430" s="4" t="str">
        <f aca="false">IF(I10430&gt;J10430,"Y","N")</f>
        <v>N</v>
      </c>
      <c r="G10430" s="3" t="s">
        <v>72</v>
      </c>
      <c r="H10430" s="3" t="s">
        <v>34</v>
      </c>
      <c r="I10430" s="4" t="n">
        <v>4</v>
      </c>
      <c r="J10430" s="4" t="n">
        <f aca="false">LEN(E10430)-LEN(SUBSTITUTE(E10430,",",""))+1</f>
        <v>4</v>
      </c>
      <c r="K10430" s="3" t="str">
        <f aca="false">IFERROR(INDEX('Teacher Lookup'!$B$2:$B$200,MATCH(A10430,'Teacher Lookup'!$A$2:$A$200,0)),"")</f>
        <v>WANG Yu</v>
      </c>
    </row>
    <row r="10431" customFormat="false" ht="15" hidden="false" customHeight="false" outlineLevel="0" collapsed="false">
      <c r="A10431" s="3" t="s">
        <v>524</v>
      </c>
      <c r="B10431" s="4" t="s">
        <v>50</v>
      </c>
      <c r="C10431" s="4" t="n">
        <v>4</v>
      </c>
      <c r="D10431" s="4" t="s">
        <v>73</v>
      </c>
      <c r="E10431" s="3" t="s">
        <v>71</v>
      </c>
      <c r="F10431" s="4" t="str">
        <f aca="false">IF(I10431&gt;J10431,"Y","N")</f>
        <v>N</v>
      </c>
      <c r="G10431" s="3" t="s">
        <v>72</v>
      </c>
      <c r="H10431" s="3" t="s">
        <v>34</v>
      </c>
      <c r="I10431" s="4" t="n">
        <v>4</v>
      </c>
      <c r="J10431" s="4" t="n">
        <f aca="false">LEN(E10431)-LEN(SUBSTITUTE(E10431,",",""))+1</f>
        <v>4</v>
      </c>
      <c r="K10431" s="3" t="str">
        <f aca="false">IFERROR(INDEX('Teacher Lookup'!$B$2:$B$200,MATCH(A10431,'Teacher Lookup'!$A$2:$A$200,0)),"")</f>
        <v>WANG Yu</v>
      </c>
    </row>
    <row r="10432" customFormat="false" ht="15" hidden="false" customHeight="false" outlineLevel="0" collapsed="false">
      <c r="A10432" s="3" t="s">
        <v>524</v>
      </c>
      <c r="B10432" s="4" t="s">
        <v>50</v>
      </c>
      <c r="C10432" s="4" t="n">
        <v>4</v>
      </c>
      <c r="D10432" s="4" t="s">
        <v>74</v>
      </c>
      <c r="E10432" s="3" t="s">
        <v>71</v>
      </c>
      <c r="F10432" s="4" t="str">
        <f aca="false">IF(I10432&gt;J10432,"Y","N")</f>
        <v>N</v>
      </c>
      <c r="G10432" s="3" t="s">
        <v>72</v>
      </c>
      <c r="H10432" s="3" t="s">
        <v>34</v>
      </c>
      <c r="I10432" s="4" t="n">
        <v>4</v>
      </c>
      <c r="J10432" s="4" t="n">
        <f aca="false">LEN(E10432)-LEN(SUBSTITUTE(E10432,",",""))+1</f>
        <v>4</v>
      </c>
      <c r="K10432" s="3" t="str">
        <f aca="false">IFERROR(INDEX('Teacher Lookup'!$B$2:$B$200,MATCH(A10432,'Teacher Lookup'!$A$2:$A$200,0)),"")</f>
        <v>WANG Yu</v>
      </c>
    </row>
    <row r="10433" customFormat="false" ht="15" hidden="false" customHeight="false" outlineLevel="0" collapsed="false">
      <c r="A10433" s="3" t="s">
        <v>524</v>
      </c>
      <c r="B10433" s="4" t="s">
        <v>50</v>
      </c>
      <c r="C10433" s="4" t="n">
        <v>5</v>
      </c>
      <c r="D10433" s="4" t="s">
        <v>52</v>
      </c>
      <c r="E10433" s="3" t="s">
        <v>180</v>
      </c>
      <c r="F10433" s="4" t="str">
        <f aca="false">IF(I10433&gt;J10433,"Y","N")</f>
        <v>N</v>
      </c>
      <c r="G10433" s="3" t="s">
        <v>72</v>
      </c>
      <c r="H10433" s="3" t="s">
        <v>37</v>
      </c>
      <c r="I10433" s="4" t="n">
        <v>4</v>
      </c>
      <c r="J10433" s="4" t="n">
        <f aca="false">LEN(E10433)-LEN(SUBSTITUTE(E10433,",",""))+1</f>
        <v>4</v>
      </c>
      <c r="K10433" s="3" t="str">
        <f aca="false">IFERROR(INDEX('Teacher Lookup'!$B$2:$B$200,MATCH(A10433,'Teacher Lookup'!$A$2:$A$200,0)),"")</f>
        <v>WANG Yu</v>
      </c>
    </row>
    <row r="10434" customFormat="false" ht="15" hidden="false" customHeight="false" outlineLevel="0" collapsed="false">
      <c r="A10434" s="3" t="s">
        <v>524</v>
      </c>
      <c r="B10434" s="4" t="s">
        <v>50</v>
      </c>
      <c r="C10434" s="4" t="n">
        <v>5</v>
      </c>
      <c r="D10434" s="4" t="s">
        <v>55</v>
      </c>
      <c r="E10434" s="3" t="s">
        <v>180</v>
      </c>
      <c r="F10434" s="4" t="str">
        <f aca="false">IF(I10434&gt;J10434,"Y","N")</f>
        <v>N</v>
      </c>
      <c r="G10434" s="3" t="s">
        <v>72</v>
      </c>
      <c r="H10434" s="3" t="s">
        <v>37</v>
      </c>
      <c r="I10434" s="4" t="n">
        <v>4</v>
      </c>
      <c r="J10434" s="4" t="n">
        <f aca="false">LEN(E10434)-LEN(SUBSTITUTE(E10434,",",""))+1</f>
        <v>4</v>
      </c>
      <c r="K10434" s="3" t="str">
        <f aca="false">IFERROR(INDEX('Teacher Lookup'!$B$2:$B$200,MATCH(A10434,'Teacher Lookup'!$A$2:$A$200,0)),"")</f>
        <v>WANG Yu</v>
      </c>
    </row>
    <row r="10435" customFormat="false" ht="15" hidden="false" customHeight="false" outlineLevel="0" collapsed="false">
      <c r="A10435" s="3" t="s">
        <v>524</v>
      </c>
      <c r="B10435" s="4" t="s">
        <v>50</v>
      </c>
      <c r="C10435" s="4" t="n">
        <v>5</v>
      </c>
      <c r="D10435" s="4" t="s">
        <v>56</v>
      </c>
      <c r="E10435" s="3" t="s">
        <v>180</v>
      </c>
      <c r="F10435" s="4" t="str">
        <f aca="false">IF(I10435&gt;J10435,"Y","N")</f>
        <v>N</v>
      </c>
      <c r="G10435" s="3" t="s">
        <v>72</v>
      </c>
      <c r="H10435" s="3" t="s">
        <v>37</v>
      </c>
      <c r="I10435" s="4" t="n">
        <v>4</v>
      </c>
      <c r="J10435" s="4" t="n">
        <f aca="false">LEN(E10435)-LEN(SUBSTITUTE(E10435,",",""))+1</f>
        <v>4</v>
      </c>
      <c r="K10435" s="3" t="str">
        <f aca="false">IFERROR(INDEX('Teacher Lookup'!$B$2:$B$200,MATCH(A10435,'Teacher Lookup'!$A$2:$A$200,0)),"")</f>
        <v>WANG Yu</v>
      </c>
    </row>
    <row r="10436" customFormat="false" ht="15" hidden="false" customHeight="false" outlineLevel="0" collapsed="false">
      <c r="A10436" s="3" t="s">
        <v>524</v>
      </c>
      <c r="B10436" s="4" t="s">
        <v>60</v>
      </c>
      <c r="C10436" s="4" t="n">
        <v>1</v>
      </c>
      <c r="D10436" s="4" t="s">
        <v>76</v>
      </c>
      <c r="E10436" s="3" t="s">
        <v>90</v>
      </c>
      <c r="F10436" s="4" t="str">
        <f aca="false">IF(I10436&gt;J10436,"Y","N")</f>
        <v>N</v>
      </c>
      <c r="G10436" s="3" t="s">
        <v>72</v>
      </c>
      <c r="H10436" s="3" t="s">
        <v>16</v>
      </c>
      <c r="I10436" s="4" t="n">
        <v>4</v>
      </c>
      <c r="J10436" s="4" t="n">
        <f aca="false">LEN(E10436)-LEN(SUBSTITUTE(E10436,",",""))+1</f>
        <v>4</v>
      </c>
      <c r="K10436" s="3" t="str">
        <f aca="false">IFERROR(INDEX('Teacher Lookup'!$B$2:$B$200,MATCH(A10436,'Teacher Lookup'!$A$2:$A$200,0)),"")</f>
        <v>WANG Yu</v>
      </c>
    </row>
    <row r="10437" customFormat="false" ht="15" hidden="false" customHeight="false" outlineLevel="0" collapsed="false">
      <c r="A10437" s="3" t="s">
        <v>524</v>
      </c>
      <c r="B10437" s="4" t="s">
        <v>60</v>
      </c>
      <c r="C10437" s="4" t="n">
        <v>1</v>
      </c>
      <c r="D10437" s="4" t="s">
        <v>78</v>
      </c>
      <c r="E10437" s="3" t="s">
        <v>90</v>
      </c>
      <c r="F10437" s="4" t="str">
        <f aca="false">IF(I10437&gt;J10437,"Y","N")</f>
        <v>N</v>
      </c>
      <c r="G10437" s="3" t="s">
        <v>72</v>
      </c>
      <c r="H10437" s="3" t="s">
        <v>16</v>
      </c>
      <c r="I10437" s="4" t="n">
        <v>4</v>
      </c>
      <c r="J10437" s="4" t="n">
        <f aca="false">LEN(E10437)-LEN(SUBSTITUTE(E10437,",",""))+1</f>
        <v>4</v>
      </c>
      <c r="K10437" s="3" t="str">
        <f aca="false">IFERROR(INDEX('Teacher Lookup'!$B$2:$B$200,MATCH(A10437,'Teacher Lookup'!$A$2:$A$200,0)),"")</f>
        <v>WANG Yu</v>
      </c>
    </row>
    <row r="10438" customFormat="false" ht="15" hidden="false" customHeight="false" outlineLevel="0" collapsed="false">
      <c r="A10438" s="3" t="s">
        <v>524</v>
      </c>
      <c r="B10438" s="4" t="s">
        <v>60</v>
      </c>
      <c r="C10438" s="4" t="n">
        <v>1</v>
      </c>
      <c r="D10438" s="4" t="s">
        <v>79</v>
      </c>
      <c r="E10438" s="3" t="s">
        <v>90</v>
      </c>
      <c r="F10438" s="4" t="str">
        <f aca="false">IF(I10438&gt;J10438,"Y","N")</f>
        <v>N</v>
      </c>
      <c r="G10438" s="3" t="s">
        <v>72</v>
      </c>
      <c r="H10438" s="3" t="s">
        <v>16</v>
      </c>
      <c r="I10438" s="4" t="n">
        <v>4</v>
      </c>
      <c r="J10438" s="4" t="n">
        <f aca="false">LEN(E10438)-LEN(SUBSTITUTE(E10438,",",""))+1</f>
        <v>4</v>
      </c>
      <c r="K10438" s="3" t="str">
        <f aca="false">IFERROR(INDEX('Teacher Lookup'!$B$2:$B$200,MATCH(A10438,'Teacher Lookup'!$A$2:$A$200,0)),"")</f>
        <v>WANG Yu</v>
      </c>
    </row>
    <row r="10439" customFormat="false" ht="15" hidden="false" customHeight="false" outlineLevel="0" collapsed="false">
      <c r="A10439" s="3" t="s">
        <v>524</v>
      </c>
      <c r="B10439" s="4" t="s">
        <v>60</v>
      </c>
      <c r="C10439" s="4" t="n">
        <v>2</v>
      </c>
      <c r="D10439" s="4" t="s">
        <v>70</v>
      </c>
      <c r="E10439" s="3" t="s">
        <v>91</v>
      </c>
      <c r="F10439" s="4" t="str">
        <f aca="false">IF(I10439&gt;J10439,"Y","N")</f>
        <v>N</v>
      </c>
      <c r="G10439" s="3" t="s">
        <v>72</v>
      </c>
      <c r="H10439" s="3" t="s">
        <v>21</v>
      </c>
      <c r="I10439" s="4" t="n">
        <v>4</v>
      </c>
      <c r="J10439" s="4" t="n">
        <f aca="false">LEN(E10439)-LEN(SUBSTITUTE(E10439,",",""))+1</f>
        <v>4</v>
      </c>
      <c r="K10439" s="3" t="str">
        <f aca="false">IFERROR(INDEX('Teacher Lookup'!$B$2:$B$200,MATCH(A10439,'Teacher Lookup'!$A$2:$A$200,0)),"")</f>
        <v>WANG Yu</v>
      </c>
    </row>
    <row r="10440" customFormat="false" ht="15" hidden="false" customHeight="false" outlineLevel="0" collapsed="false">
      <c r="A10440" s="3" t="s">
        <v>524</v>
      </c>
      <c r="B10440" s="4" t="s">
        <v>60</v>
      </c>
      <c r="C10440" s="4" t="n">
        <v>2</v>
      </c>
      <c r="D10440" s="4" t="s">
        <v>73</v>
      </c>
      <c r="E10440" s="3" t="s">
        <v>91</v>
      </c>
      <c r="F10440" s="4" t="str">
        <f aca="false">IF(I10440&gt;J10440,"Y","N")</f>
        <v>N</v>
      </c>
      <c r="G10440" s="3" t="s">
        <v>72</v>
      </c>
      <c r="H10440" s="3" t="s">
        <v>21</v>
      </c>
      <c r="I10440" s="4" t="n">
        <v>4</v>
      </c>
      <c r="J10440" s="4" t="n">
        <f aca="false">LEN(E10440)-LEN(SUBSTITUTE(E10440,",",""))+1</f>
        <v>4</v>
      </c>
      <c r="K10440" s="3" t="str">
        <f aca="false">IFERROR(INDEX('Teacher Lookup'!$B$2:$B$200,MATCH(A10440,'Teacher Lookup'!$A$2:$A$200,0)),"")</f>
        <v>WANG Yu</v>
      </c>
    </row>
    <row r="10441" customFormat="false" ht="15" hidden="false" customHeight="false" outlineLevel="0" collapsed="false">
      <c r="A10441" s="3" t="s">
        <v>524</v>
      </c>
      <c r="B10441" s="4" t="s">
        <v>60</v>
      </c>
      <c r="C10441" s="4" t="n">
        <v>2</v>
      </c>
      <c r="D10441" s="4" t="s">
        <v>74</v>
      </c>
      <c r="E10441" s="3" t="s">
        <v>91</v>
      </c>
      <c r="F10441" s="4" t="str">
        <f aca="false">IF(I10441&gt;J10441,"Y","N")</f>
        <v>N</v>
      </c>
      <c r="G10441" s="3" t="s">
        <v>72</v>
      </c>
      <c r="H10441" s="3" t="s">
        <v>21</v>
      </c>
      <c r="I10441" s="4" t="n">
        <v>4</v>
      </c>
      <c r="J10441" s="4" t="n">
        <f aca="false">LEN(E10441)-LEN(SUBSTITUTE(E10441,",",""))+1</f>
        <v>4</v>
      </c>
      <c r="K10441" s="3" t="str">
        <f aca="false">IFERROR(INDEX('Teacher Lookup'!$B$2:$B$200,MATCH(A10441,'Teacher Lookup'!$A$2:$A$200,0)),"")</f>
        <v>WANG Yu</v>
      </c>
    </row>
    <row r="10442" customFormat="false" ht="15" hidden="false" customHeight="false" outlineLevel="0" collapsed="false">
      <c r="A10442" s="3" t="s">
        <v>524</v>
      </c>
      <c r="B10442" s="4" t="s">
        <v>60</v>
      </c>
      <c r="C10442" s="4" t="n">
        <v>5</v>
      </c>
      <c r="D10442" s="4" t="s">
        <v>70</v>
      </c>
      <c r="E10442" s="3" t="s">
        <v>81</v>
      </c>
      <c r="F10442" s="4" t="str">
        <f aca="false">IF(I10442&gt;J10442,"Y","N")</f>
        <v>Y</v>
      </c>
      <c r="G10442" s="3" t="s">
        <v>36</v>
      </c>
      <c r="H10442" s="3" t="s">
        <v>37</v>
      </c>
      <c r="I10442" s="4" t="n">
        <v>15</v>
      </c>
      <c r="J10442" s="4" t="n">
        <f aca="false">LEN(E10442)-LEN(SUBSTITUTE(E10442,",",""))+1</f>
        <v>7</v>
      </c>
      <c r="K10442" s="3" t="str">
        <f aca="false">IFERROR(INDEX('Teacher Lookup'!$B$2:$B$200,MATCH(A10442,'Teacher Lookup'!$A$2:$A$200,0)),"")</f>
        <v>WANG Yu</v>
      </c>
    </row>
    <row r="10443" customFormat="false" ht="15" hidden="false" customHeight="false" outlineLevel="0" collapsed="false">
      <c r="A10443" s="3" t="s">
        <v>524</v>
      </c>
      <c r="B10443" s="4" t="s">
        <v>60</v>
      </c>
      <c r="C10443" s="4" t="n">
        <v>5</v>
      </c>
      <c r="D10443" s="4" t="s">
        <v>73</v>
      </c>
      <c r="E10443" s="3" t="s">
        <v>81</v>
      </c>
      <c r="F10443" s="4" t="str">
        <f aca="false">IF(I10443&gt;J10443,"Y","N")</f>
        <v>Y</v>
      </c>
      <c r="G10443" s="3" t="s">
        <v>36</v>
      </c>
      <c r="H10443" s="3" t="s">
        <v>37</v>
      </c>
      <c r="I10443" s="4" t="n">
        <v>15</v>
      </c>
      <c r="J10443" s="4" t="n">
        <f aca="false">LEN(E10443)-LEN(SUBSTITUTE(E10443,",",""))+1</f>
        <v>7</v>
      </c>
      <c r="K10443" s="3" t="str">
        <f aca="false">IFERROR(INDEX('Teacher Lookup'!$B$2:$B$200,MATCH(A10443,'Teacher Lookup'!$A$2:$A$200,0)),"")</f>
        <v>WANG Yu</v>
      </c>
    </row>
    <row r="10444" customFormat="false" ht="15" hidden="false" customHeight="false" outlineLevel="0" collapsed="false">
      <c r="A10444" s="3" t="s">
        <v>524</v>
      </c>
      <c r="B10444" s="4" t="s">
        <v>60</v>
      </c>
      <c r="C10444" s="4" t="n">
        <v>5</v>
      </c>
      <c r="D10444" s="4" t="s">
        <v>74</v>
      </c>
      <c r="E10444" s="3" t="s">
        <v>81</v>
      </c>
      <c r="F10444" s="4" t="str">
        <f aca="false">IF(I10444&gt;J10444,"Y","N")</f>
        <v>Y</v>
      </c>
      <c r="G10444" s="3" t="s">
        <v>36</v>
      </c>
      <c r="H10444" s="3" t="s">
        <v>37</v>
      </c>
      <c r="I10444" s="4" t="n">
        <v>15</v>
      </c>
      <c r="J10444" s="4" t="n">
        <f aca="false">LEN(E10444)-LEN(SUBSTITUTE(E10444,",",""))+1</f>
        <v>7</v>
      </c>
      <c r="K10444" s="3" t="str">
        <f aca="false">IFERROR(INDEX('Teacher Lookup'!$B$2:$B$200,MATCH(A10444,'Teacher Lookup'!$A$2:$A$200,0)),"")</f>
        <v>WANG Yu</v>
      </c>
    </row>
    <row r="10445" customFormat="false" ht="15" hidden="false" customHeight="false" outlineLevel="0" collapsed="false">
      <c r="A10445" s="3" t="s">
        <v>524</v>
      </c>
      <c r="B10445" s="4" t="s">
        <v>60</v>
      </c>
      <c r="C10445" s="4" t="n">
        <v>5</v>
      </c>
      <c r="D10445" s="4" t="s">
        <v>76</v>
      </c>
      <c r="E10445" s="3" t="s">
        <v>81</v>
      </c>
      <c r="F10445" s="4" t="str">
        <f aca="false">IF(I10445&gt;J10445,"Y","N")</f>
        <v>Y</v>
      </c>
      <c r="G10445" s="3" t="s">
        <v>36</v>
      </c>
      <c r="H10445" s="3" t="s">
        <v>37</v>
      </c>
      <c r="I10445" s="4" t="n">
        <v>15</v>
      </c>
      <c r="J10445" s="4" t="n">
        <f aca="false">LEN(E10445)-LEN(SUBSTITUTE(E10445,",",""))+1</f>
        <v>7</v>
      </c>
      <c r="K10445" s="3" t="str">
        <f aca="false">IFERROR(INDEX('Teacher Lookup'!$B$2:$B$200,MATCH(A10445,'Teacher Lookup'!$A$2:$A$200,0)),"")</f>
        <v>WANG Yu</v>
      </c>
    </row>
    <row r="10446" customFormat="false" ht="15" hidden="false" customHeight="false" outlineLevel="0" collapsed="false">
      <c r="A10446" s="3" t="s">
        <v>524</v>
      </c>
      <c r="B10446" s="4" t="s">
        <v>60</v>
      </c>
      <c r="C10446" s="4" t="n">
        <v>5</v>
      </c>
      <c r="D10446" s="4" t="s">
        <v>78</v>
      </c>
      <c r="E10446" s="3" t="s">
        <v>81</v>
      </c>
      <c r="F10446" s="4" t="str">
        <f aca="false">IF(I10446&gt;J10446,"Y","N")</f>
        <v>Y</v>
      </c>
      <c r="G10446" s="3" t="s">
        <v>36</v>
      </c>
      <c r="H10446" s="3" t="s">
        <v>37</v>
      </c>
      <c r="I10446" s="4" t="n">
        <v>15</v>
      </c>
      <c r="J10446" s="4" t="n">
        <f aca="false">LEN(E10446)-LEN(SUBSTITUTE(E10446,",",""))+1</f>
        <v>7</v>
      </c>
      <c r="K10446" s="3" t="str">
        <f aca="false">IFERROR(INDEX('Teacher Lookup'!$B$2:$B$200,MATCH(A10446,'Teacher Lookup'!$A$2:$A$200,0)),"")</f>
        <v>WANG Yu</v>
      </c>
    </row>
    <row r="10447" customFormat="false" ht="15" hidden="false" customHeight="false" outlineLevel="0" collapsed="false">
      <c r="A10447" s="3" t="s">
        <v>524</v>
      </c>
      <c r="B10447" s="4" t="s">
        <v>60</v>
      </c>
      <c r="C10447" s="4" t="n">
        <v>5</v>
      </c>
      <c r="D10447" s="4" t="s">
        <v>79</v>
      </c>
      <c r="E10447" s="3" t="s">
        <v>81</v>
      </c>
      <c r="F10447" s="4" t="str">
        <f aca="false">IF(I10447&gt;J10447,"Y","N")</f>
        <v>Y</v>
      </c>
      <c r="G10447" s="3" t="s">
        <v>36</v>
      </c>
      <c r="H10447" s="3" t="s">
        <v>37</v>
      </c>
      <c r="I10447" s="4" t="n">
        <v>15</v>
      </c>
      <c r="J10447" s="4" t="n">
        <f aca="false">LEN(E10447)-LEN(SUBSTITUTE(E10447,",",""))+1</f>
        <v>7</v>
      </c>
      <c r="K10447" s="3" t="str">
        <f aca="false">IFERROR(INDEX('Teacher Lookup'!$B$2:$B$200,MATCH(A10447,'Teacher Lookup'!$A$2:$A$200,0)),"")</f>
        <v>WANG Yu</v>
      </c>
    </row>
    <row r="10448" customFormat="false" ht="15" hidden="false" customHeight="false" outlineLevel="0" collapsed="false">
      <c r="A10448" s="3" t="s">
        <v>524</v>
      </c>
      <c r="B10448" s="4" t="s">
        <v>60</v>
      </c>
      <c r="C10448" s="4" t="n">
        <v>7</v>
      </c>
      <c r="D10448" s="4" t="s">
        <v>52</v>
      </c>
      <c r="E10448" s="3" t="s">
        <v>176</v>
      </c>
      <c r="F10448" s="4" t="str">
        <f aca="false">IF(I10448&gt;J10448,"Y","N")</f>
        <v>N</v>
      </c>
      <c r="G10448" s="3" t="s">
        <v>72</v>
      </c>
      <c r="H10448" s="3" t="s">
        <v>39</v>
      </c>
      <c r="I10448" s="4" t="n">
        <v>4</v>
      </c>
      <c r="J10448" s="4" t="n">
        <f aca="false">LEN(E10448)-LEN(SUBSTITUTE(E10448,",",""))+1</f>
        <v>4</v>
      </c>
      <c r="K10448" s="3" t="str">
        <f aca="false">IFERROR(INDEX('Teacher Lookup'!$B$2:$B$200,MATCH(A10448,'Teacher Lookup'!$A$2:$A$200,0)),"")</f>
        <v>WANG Yu</v>
      </c>
    </row>
    <row r="10449" customFormat="false" ht="15" hidden="false" customHeight="false" outlineLevel="0" collapsed="false">
      <c r="A10449" s="3" t="s">
        <v>524</v>
      </c>
      <c r="B10449" s="4" t="s">
        <v>60</v>
      </c>
      <c r="C10449" s="4" t="n">
        <v>7</v>
      </c>
      <c r="D10449" s="4" t="s">
        <v>55</v>
      </c>
      <c r="E10449" s="3" t="s">
        <v>176</v>
      </c>
      <c r="F10449" s="4" t="str">
        <f aca="false">IF(I10449&gt;J10449,"Y","N")</f>
        <v>N</v>
      </c>
      <c r="G10449" s="3" t="s">
        <v>72</v>
      </c>
      <c r="H10449" s="3" t="s">
        <v>39</v>
      </c>
      <c r="I10449" s="4" t="n">
        <v>4</v>
      </c>
      <c r="J10449" s="4" t="n">
        <f aca="false">LEN(E10449)-LEN(SUBSTITUTE(E10449,",",""))+1</f>
        <v>4</v>
      </c>
      <c r="K10449" s="3" t="str">
        <f aca="false">IFERROR(INDEX('Teacher Lookup'!$B$2:$B$200,MATCH(A10449,'Teacher Lookup'!$A$2:$A$200,0)),"")</f>
        <v>WANG Yu</v>
      </c>
    </row>
    <row r="10450" customFormat="false" ht="15" hidden="false" customHeight="false" outlineLevel="0" collapsed="false">
      <c r="A10450" s="3" t="s">
        <v>524</v>
      </c>
      <c r="B10450" s="4" t="s">
        <v>60</v>
      </c>
      <c r="C10450" s="4" t="n">
        <v>7</v>
      </c>
      <c r="D10450" s="4" t="s">
        <v>56</v>
      </c>
      <c r="E10450" s="3" t="s">
        <v>176</v>
      </c>
      <c r="F10450" s="4" t="str">
        <f aca="false">IF(I10450&gt;J10450,"Y","N")</f>
        <v>N</v>
      </c>
      <c r="G10450" s="3" t="s">
        <v>72</v>
      </c>
      <c r="H10450" s="3" t="s">
        <v>39</v>
      </c>
      <c r="I10450" s="4" t="n">
        <v>4</v>
      </c>
      <c r="J10450" s="4" t="n">
        <f aca="false">LEN(E10450)-LEN(SUBSTITUTE(E10450,",",""))+1</f>
        <v>4</v>
      </c>
      <c r="K10450" s="3" t="str">
        <f aca="false">IFERROR(INDEX('Teacher Lookup'!$B$2:$B$200,MATCH(A10450,'Teacher Lookup'!$A$2:$A$200,0)),"")</f>
        <v>WANG Yu</v>
      </c>
    </row>
    <row r="10451" customFormat="false" ht="15" hidden="false" customHeight="false" outlineLevel="0" collapsed="false">
      <c r="A10451" s="3" t="s">
        <v>524</v>
      </c>
      <c r="B10451" s="4" t="s">
        <v>63</v>
      </c>
      <c r="C10451" s="4" t="n">
        <v>1</v>
      </c>
      <c r="D10451" s="4" t="s">
        <v>52</v>
      </c>
      <c r="E10451" s="3" t="s">
        <v>398</v>
      </c>
      <c r="F10451" s="4" t="str">
        <f aca="false">IF(I10451&gt;J10451,"Y","N")</f>
        <v>N</v>
      </c>
      <c r="G10451" s="3" t="s">
        <v>72</v>
      </c>
      <c r="H10451" s="3" t="s">
        <v>16</v>
      </c>
      <c r="I10451" s="4" t="n">
        <v>4</v>
      </c>
      <c r="J10451" s="4" t="n">
        <f aca="false">LEN(E10451)-LEN(SUBSTITUTE(E10451,",",""))+1</f>
        <v>4</v>
      </c>
      <c r="K10451" s="3" t="str">
        <f aca="false">IFERROR(INDEX('Teacher Lookup'!$B$2:$B$200,MATCH(A10451,'Teacher Lookup'!$A$2:$A$200,0)),"")</f>
        <v>WANG Yu</v>
      </c>
    </row>
    <row r="10452" customFormat="false" ht="15" hidden="false" customHeight="false" outlineLevel="0" collapsed="false">
      <c r="A10452" s="3" t="s">
        <v>524</v>
      </c>
      <c r="B10452" s="4" t="s">
        <v>63</v>
      </c>
      <c r="C10452" s="4" t="n">
        <v>1</v>
      </c>
      <c r="D10452" s="4" t="s">
        <v>55</v>
      </c>
      <c r="E10452" s="3" t="s">
        <v>398</v>
      </c>
      <c r="F10452" s="4" t="str">
        <f aca="false">IF(I10452&gt;J10452,"Y","N")</f>
        <v>N</v>
      </c>
      <c r="G10452" s="3" t="s">
        <v>72</v>
      </c>
      <c r="H10452" s="3" t="s">
        <v>16</v>
      </c>
      <c r="I10452" s="4" t="n">
        <v>4</v>
      </c>
      <c r="J10452" s="4" t="n">
        <f aca="false">LEN(E10452)-LEN(SUBSTITUTE(E10452,",",""))+1</f>
        <v>4</v>
      </c>
      <c r="K10452" s="3" t="str">
        <f aca="false">IFERROR(INDEX('Teacher Lookup'!$B$2:$B$200,MATCH(A10452,'Teacher Lookup'!$A$2:$A$200,0)),"")</f>
        <v>WANG Yu</v>
      </c>
    </row>
    <row r="10453" customFormat="false" ht="15" hidden="false" customHeight="false" outlineLevel="0" collapsed="false">
      <c r="A10453" s="3" t="s">
        <v>524</v>
      </c>
      <c r="B10453" s="4" t="s">
        <v>63</v>
      </c>
      <c r="C10453" s="4" t="n">
        <v>1</v>
      </c>
      <c r="D10453" s="4" t="s">
        <v>56</v>
      </c>
      <c r="E10453" s="3" t="s">
        <v>398</v>
      </c>
      <c r="F10453" s="4" t="str">
        <f aca="false">IF(I10453&gt;J10453,"Y","N")</f>
        <v>N</v>
      </c>
      <c r="G10453" s="3" t="s">
        <v>72</v>
      </c>
      <c r="H10453" s="3" t="s">
        <v>16</v>
      </c>
      <c r="I10453" s="4" t="n">
        <v>4</v>
      </c>
      <c r="J10453" s="4" t="n">
        <f aca="false">LEN(E10453)-LEN(SUBSTITUTE(E10453,",",""))+1</f>
        <v>4</v>
      </c>
      <c r="K10453" s="3" t="str">
        <f aca="false">IFERROR(INDEX('Teacher Lookup'!$B$2:$B$200,MATCH(A10453,'Teacher Lookup'!$A$2:$A$200,0)),"")</f>
        <v>WANG Yu</v>
      </c>
    </row>
    <row r="10454" customFormat="false" ht="15" hidden="false" customHeight="false" outlineLevel="0" collapsed="false">
      <c r="A10454" s="3" t="s">
        <v>524</v>
      </c>
      <c r="B10454" s="4" t="s">
        <v>63</v>
      </c>
      <c r="C10454" s="4" t="n">
        <v>2</v>
      </c>
      <c r="D10454" s="4" t="s">
        <v>52</v>
      </c>
      <c r="E10454" s="3" t="s">
        <v>398</v>
      </c>
      <c r="F10454" s="4" t="str">
        <f aca="false">IF(I10454&gt;J10454,"Y","N")</f>
        <v>N</v>
      </c>
      <c r="G10454" s="3" t="s">
        <v>72</v>
      </c>
      <c r="H10454" s="3" t="s">
        <v>21</v>
      </c>
      <c r="I10454" s="4" t="n">
        <v>4</v>
      </c>
      <c r="J10454" s="4" t="n">
        <f aca="false">LEN(E10454)-LEN(SUBSTITUTE(E10454,",",""))+1</f>
        <v>4</v>
      </c>
      <c r="K10454" s="3" t="str">
        <f aca="false">IFERROR(INDEX('Teacher Lookup'!$B$2:$B$200,MATCH(A10454,'Teacher Lookup'!$A$2:$A$200,0)),"")</f>
        <v>WANG Yu</v>
      </c>
    </row>
    <row r="10455" customFormat="false" ht="15" hidden="false" customHeight="false" outlineLevel="0" collapsed="false">
      <c r="A10455" s="3" t="s">
        <v>524</v>
      </c>
      <c r="B10455" s="4" t="s">
        <v>63</v>
      </c>
      <c r="C10455" s="4" t="n">
        <v>2</v>
      </c>
      <c r="D10455" s="4" t="s">
        <v>55</v>
      </c>
      <c r="E10455" s="3" t="s">
        <v>398</v>
      </c>
      <c r="F10455" s="4" t="str">
        <f aca="false">IF(I10455&gt;J10455,"Y","N")</f>
        <v>N</v>
      </c>
      <c r="G10455" s="3" t="s">
        <v>72</v>
      </c>
      <c r="H10455" s="3" t="s">
        <v>21</v>
      </c>
      <c r="I10455" s="4" t="n">
        <v>4</v>
      </c>
      <c r="J10455" s="4" t="n">
        <f aca="false">LEN(E10455)-LEN(SUBSTITUTE(E10455,",",""))+1</f>
        <v>4</v>
      </c>
      <c r="K10455" s="3" t="str">
        <f aca="false">IFERROR(INDEX('Teacher Lookup'!$B$2:$B$200,MATCH(A10455,'Teacher Lookup'!$A$2:$A$200,0)),"")</f>
        <v>WANG Yu</v>
      </c>
    </row>
    <row r="10456" customFormat="false" ht="15" hidden="false" customHeight="false" outlineLevel="0" collapsed="false">
      <c r="A10456" s="3" t="s">
        <v>524</v>
      </c>
      <c r="B10456" s="4" t="s">
        <v>63</v>
      </c>
      <c r="C10456" s="4" t="n">
        <v>2</v>
      </c>
      <c r="D10456" s="4" t="s">
        <v>56</v>
      </c>
      <c r="E10456" s="3" t="s">
        <v>398</v>
      </c>
      <c r="F10456" s="4" t="str">
        <f aca="false">IF(I10456&gt;J10456,"Y","N")</f>
        <v>N</v>
      </c>
      <c r="G10456" s="3" t="s">
        <v>72</v>
      </c>
      <c r="H10456" s="3" t="s">
        <v>21</v>
      </c>
      <c r="I10456" s="4" t="n">
        <v>4</v>
      </c>
      <c r="J10456" s="4" t="n">
        <f aca="false">LEN(E10456)-LEN(SUBSTITUTE(E10456,",",""))+1</f>
        <v>4</v>
      </c>
      <c r="K10456" s="3" t="str">
        <f aca="false">IFERROR(INDEX('Teacher Lookup'!$B$2:$B$200,MATCH(A10456,'Teacher Lookup'!$A$2:$A$200,0)),"")</f>
        <v>WANG Yu</v>
      </c>
    </row>
    <row r="10457" customFormat="false" ht="15" hidden="false" customHeight="false" outlineLevel="0" collapsed="false">
      <c r="A10457" s="3" t="s">
        <v>524</v>
      </c>
      <c r="B10457" s="4" t="s">
        <v>63</v>
      </c>
      <c r="C10457" s="4" t="n">
        <v>3</v>
      </c>
      <c r="D10457" s="4" t="s">
        <v>76</v>
      </c>
      <c r="E10457" s="3" t="s">
        <v>93</v>
      </c>
      <c r="F10457" s="4" t="str">
        <f aca="false">IF(I10457&gt;J10457,"Y","N")</f>
        <v>N</v>
      </c>
      <c r="G10457" s="3" t="s">
        <v>72</v>
      </c>
      <c r="H10457" s="3" t="s">
        <v>26</v>
      </c>
      <c r="I10457" s="4" t="n">
        <v>4</v>
      </c>
      <c r="J10457" s="4" t="n">
        <f aca="false">LEN(E10457)-LEN(SUBSTITUTE(E10457,",",""))+1</f>
        <v>4</v>
      </c>
      <c r="K10457" s="3" t="str">
        <f aca="false">IFERROR(INDEX('Teacher Lookup'!$B$2:$B$200,MATCH(A10457,'Teacher Lookup'!$A$2:$A$200,0)),"")</f>
        <v>WANG Yu</v>
      </c>
    </row>
    <row r="10458" customFormat="false" ht="15" hidden="false" customHeight="false" outlineLevel="0" collapsed="false">
      <c r="A10458" s="3" t="s">
        <v>524</v>
      </c>
      <c r="B10458" s="4" t="s">
        <v>63</v>
      </c>
      <c r="C10458" s="4" t="n">
        <v>3</v>
      </c>
      <c r="D10458" s="4" t="s">
        <v>78</v>
      </c>
      <c r="E10458" s="3" t="s">
        <v>93</v>
      </c>
      <c r="F10458" s="4" t="str">
        <f aca="false">IF(I10458&gt;J10458,"Y","N")</f>
        <v>N</v>
      </c>
      <c r="G10458" s="3" t="s">
        <v>72</v>
      </c>
      <c r="H10458" s="3" t="s">
        <v>26</v>
      </c>
      <c r="I10458" s="4" t="n">
        <v>4</v>
      </c>
      <c r="J10458" s="4" t="n">
        <f aca="false">LEN(E10458)-LEN(SUBSTITUTE(E10458,",",""))+1</f>
        <v>4</v>
      </c>
      <c r="K10458" s="3" t="str">
        <f aca="false">IFERROR(INDEX('Teacher Lookup'!$B$2:$B$200,MATCH(A10458,'Teacher Lookup'!$A$2:$A$200,0)),"")</f>
        <v>WANG Yu</v>
      </c>
    </row>
    <row r="10459" customFormat="false" ht="15" hidden="false" customHeight="false" outlineLevel="0" collapsed="false">
      <c r="A10459" s="3" t="s">
        <v>524</v>
      </c>
      <c r="B10459" s="4" t="s">
        <v>63</v>
      </c>
      <c r="C10459" s="4" t="n">
        <v>3</v>
      </c>
      <c r="D10459" s="4" t="s">
        <v>79</v>
      </c>
      <c r="E10459" s="3" t="s">
        <v>93</v>
      </c>
      <c r="F10459" s="4" t="str">
        <f aca="false">IF(I10459&gt;J10459,"Y","N")</f>
        <v>N</v>
      </c>
      <c r="G10459" s="3" t="s">
        <v>72</v>
      </c>
      <c r="H10459" s="3" t="s">
        <v>26</v>
      </c>
      <c r="I10459" s="4" t="n">
        <v>4</v>
      </c>
      <c r="J10459" s="4" t="n">
        <f aca="false">LEN(E10459)-LEN(SUBSTITUTE(E10459,",",""))+1</f>
        <v>4</v>
      </c>
      <c r="K10459" s="3" t="str">
        <f aca="false">IFERROR(INDEX('Teacher Lookup'!$B$2:$B$200,MATCH(A10459,'Teacher Lookup'!$A$2:$A$200,0)),"")</f>
        <v>WANG Yu</v>
      </c>
    </row>
    <row r="10460" customFormat="false" ht="15" hidden="false" customHeight="false" outlineLevel="0" collapsed="false">
      <c r="A10460" s="3" t="s">
        <v>524</v>
      </c>
      <c r="B10460" s="4" t="s">
        <v>63</v>
      </c>
      <c r="C10460" s="4" t="n">
        <v>7</v>
      </c>
      <c r="D10460" s="4" t="s">
        <v>70</v>
      </c>
      <c r="E10460" s="3" t="s">
        <v>94</v>
      </c>
      <c r="F10460" s="4" t="str">
        <f aca="false">IF(I10460&gt;J10460,"Y","N")</f>
        <v>N</v>
      </c>
      <c r="G10460" s="3" t="s">
        <v>72</v>
      </c>
      <c r="H10460" s="3" t="s">
        <v>39</v>
      </c>
      <c r="I10460" s="4" t="n">
        <v>4</v>
      </c>
      <c r="J10460" s="4" t="n">
        <f aca="false">LEN(E10460)-LEN(SUBSTITUTE(E10460,",",""))+1</f>
        <v>4</v>
      </c>
      <c r="K10460" s="3" t="str">
        <f aca="false">IFERROR(INDEX('Teacher Lookup'!$B$2:$B$200,MATCH(A10460,'Teacher Lookup'!$A$2:$A$200,0)),"")</f>
        <v>WANG Yu</v>
      </c>
    </row>
    <row r="10461" customFormat="false" ht="15" hidden="false" customHeight="false" outlineLevel="0" collapsed="false">
      <c r="A10461" s="3" t="s">
        <v>524</v>
      </c>
      <c r="B10461" s="4" t="s">
        <v>63</v>
      </c>
      <c r="C10461" s="4" t="n">
        <v>7</v>
      </c>
      <c r="D10461" s="4" t="s">
        <v>73</v>
      </c>
      <c r="E10461" s="3" t="s">
        <v>94</v>
      </c>
      <c r="F10461" s="4" t="str">
        <f aca="false">IF(I10461&gt;J10461,"Y","N")</f>
        <v>N</v>
      </c>
      <c r="G10461" s="3" t="s">
        <v>72</v>
      </c>
      <c r="H10461" s="3" t="s">
        <v>39</v>
      </c>
      <c r="I10461" s="4" t="n">
        <v>4</v>
      </c>
      <c r="J10461" s="4" t="n">
        <f aca="false">LEN(E10461)-LEN(SUBSTITUTE(E10461,",",""))+1</f>
        <v>4</v>
      </c>
      <c r="K10461" s="3" t="str">
        <f aca="false">IFERROR(INDEX('Teacher Lookup'!$B$2:$B$200,MATCH(A10461,'Teacher Lookup'!$A$2:$A$200,0)),"")</f>
        <v>WANG Yu</v>
      </c>
    </row>
    <row r="10462" customFormat="false" ht="15" hidden="false" customHeight="false" outlineLevel="0" collapsed="false">
      <c r="A10462" s="3" t="s">
        <v>524</v>
      </c>
      <c r="B10462" s="4" t="s">
        <v>63</v>
      </c>
      <c r="C10462" s="4" t="n">
        <v>7</v>
      </c>
      <c r="D10462" s="4" t="s">
        <v>74</v>
      </c>
      <c r="E10462" s="3" t="s">
        <v>94</v>
      </c>
      <c r="F10462" s="4" t="str">
        <f aca="false">IF(I10462&gt;J10462,"Y","N")</f>
        <v>N</v>
      </c>
      <c r="G10462" s="3" t="s">
        <v>72</v>
      </c>
      <c r="H10462" s="3" t="s">
        <v>39</v>
      </c>
      <c r="I10462" s="4" t="n">
        <v>4</v>
      </c>
      <c r="J10462" s="4" t="n">
        <f aca="false">LEN(E10462)-LEN(SUBSTITUTE(E10462,",",""))+1</f>
        <v>4</v>
      </c>
      <c r="K10462" s="3" t="str">
        <f aca="false">IFERROR(INDEX('Teacher Lookup'!$B$2:$B$200,MATCH(A10462,'Teacher Lookup'!$A$2:$A$200,0)),"")</f>
        <v>WANG Yu</v>
      </c>
    </row>
    <row r="10463" customFormat="false" ht="15" hidden="false" customHeight="false" outlineLevel="0" collapsed="false">
      <c r="A10463" s="3" t="s">
        <v>524</v>
      </c>
      <c r="B10463" s="4" t="s">
        <v>65</v>
      </c>
      <c r="C10463" s="4" t="n">
        <v>2</v>
      </c>
      <c r="D10463" s="4" t="s">
        <v>70</v>
      </c>
      <c r="E10463" s="3" t="s">
        <v>83</v>
      </c>
      <c r="F10463" s="4" t="str">
        <f aca="false">IF(I10463&gt;J10463,"Y","N")</f>
        <v>N</v>
      </c>
      <c r="G10463" s="3" t="s">
        <v>72</v>
      </c>
      <c r="H10463" s="3" t="s">
        <v>21</v>
      </c>
      <c r="I10463" s="4" t="n">
        <v>4</v>
      </c>
      <c r="J10463" s="4" t="n">
        <f aca="false">LEN(E10463)-LEN(SUBSTITUTE(E10463,",",""))+1</f>
        <v>4</v>
      </c>
      <c r="K10463" s="3" t="str">
        <f aca="false">IFERROR(INDEX('Teacher Lookup'!$B$2:$B$200,MATCH(A10463,'Teacher Lookup'!$A$2:$A$200,0)),"")</f>
        <v>WANG Yu</v>
      </c>
    </row>
    <row r="10464" customFormat="false" ht="15" hidden="false" customHeight="false" outlineLevel="0" collapsed="false">
      <c r="A10464" s="3" t="s">
        <v>524</v>
      </c>
      <c r="B10464" s="4" t="s">
        <v>65</v>
      </c>
      <c r="C10464" s="4" t="n">
        <v>2</v>
      </c>
      <c r="D10464" s="4" t="s">
        <v>73</v>
      </c>
      <c r="E10464" s="3" t="s">
        <v>83</v>
      </c>
      <c r="F10464" s="4" t="str">
        <f aca="false">IF(I10464&gt;J10464,"Y","N")</f>
        <v>N</v>
      </c>
      <c r="G10464" s="3" t="s">
        <v>72</v>
      </c>
      <c r="H10464" s="3" t="s">
        <v>21</v>
      </c>
      <c r="I10464" s="4" t="n">
        <v>4</v>
      </c>
      <c r="J10464" s="4" t="n">
        <f aca="false">LEN(E10464)-LEN(SUBSTITUTE(E10464,",",""))+1</f>
        <v>4</v>
      </c>
      <c r="K10464" s="3" t="str">
        <f aca="false">IFERROR(INDEX('Teacher Lookup'!$B$2:$B$200,MATCH(A10464,'Teacher Lookup'!$A$2:$A$200,0)),"")</f>
        <v>WANG Yu</v>
      </c>
    </row>
    <row r="10465" customFormat="false" ht="15" hidden="false" customHeight="false" outlineLevel="0" collapsed="false">
      <c r="A10465" s="3" t="s">
        <v>524</v>
      </c>
      <c r="B10465" s="4" t="s">
        <v>65</v>
      </c>
      <c r="C10465" s="4" t="n">
        <v>2</v>
      </c>
      <c r="D10465" s="4" t="s">
        <v>74</v>
      </c>
      <c r="E10465" s="3" t="s">
        <v>83</v>
      </c>
      <c r="F10465" s="4" t="str">
        <f aca="false">IF(I10465&gt;J10465,"Y","N")</f>
        <v>N</v>
      </c>
      <c r="G10465" s="3" t="s">
        <v>72</v>
      </c>
      <c r="H10465" s="3" t="s">
        <v>21</v>
      </c>
      <c r="I10465" s="4" t="n">
        <v>4</v>
      </c>
      <c r="J10465" s="4" t="n">
        <f aca="false">LEN(E10465)-LEN(SUBSTITUTE(E10465,",",""))+1</f>
        <v>4</v>
      </c>
      <c r="K10465" s="3" t="str">
        <f aca="false">IFERROR(INDEX('Teacher Lookup'!$B$2:$B$200,MATCH(A10465,'Teacher Lookup'!$A$2:$A$200,0)),"")</f>
        <v>WANG Yu</v>
      </c>
    </row>
    <row r="10466" customFormat="false" ht="15" hidden="false" customHeight="false" outlineLevel="0" collapsed="false">
      <c r="A10466" s="3" t="s">
        <v>524</v>
      </c>
      <c r="B10466" s="4" t="s">
        <v>65</v>
      </c>
      <c r="C10466" s="4" t="n">
        <v>5</v>
      </c>
      <c r="D10466" s="4" t="s">
        <v>70</v>
      </c>
      <c r="E10466" s="3" t="s">
        <v>81</v>
      </c>
      <c r="F10466" s="4" t="str">
        <f aca="false">IF(I10466&gt;J10466,"Y","N")</f>
        <v>Y</v>
      </c>
      <c r="G10466" s="3" t="s">
        <v>36</v>
      </c>
      <c r="H10466" s="3" t="s">
        <v>37</v>
      </c>
      <c r="I10466" s="4" t="n">
        <v>15</v>
      </c>
      <c r="J10466" s="4" t="n">
        <f aca="false">LEN(E10466)-LEN(SUBSTITUTE(E10466,",",""))+1</f>
        <v>7</v>
      </c>
      <c r="K10466" s="3" t="str">
        <f aca="false">IFERROR(INDEX('Teacher Lookup'!$B$2:$B$200,MATCH(A10466,'Teacher Lookup'!$A$2:$A$200,0)),"")</f>
        <v>WANG Yu</v>
      </c>
    </row>
    <row r="10467" customFormat="false" ht="15" hidden="false" customHeight="false" outlineLevel="0" collapsed="false">
      <c r="A10467" s="3" t="s">
        <v>524</v>
      </c>
      <c r="B10467" s="4" t="s">
        <v>65</v>
      </c>
      <c r="C10467" s="4" t="n">
        <v>5</v>
      </c>
      <c r="D10467" s="4" t="s">
        <v>73</v>
      </c>
      <c r="E10467" s="3" t="s">
        <v>81</v>
      </c>
      <c r="F10467" s="4" t="str">
        <f aca="false">IF(I10467&gt;J10467,"Y","N")</f>
        <v>Y</v>
      </c>
      <c r="G10467" s="3" t="s">
        <v>36</v>
      </c>
      <c r="H10467" s="3" t="s">
        <v>37</v>
      </c>
      <c r="I10467" s="4" t="n">
        <v>15</v>
      </c>
      <c r="J10467" s="4" t="n">
        <f aca="false">LEN(E10467)-LEN(SUBSTITUTE(E10467,",",""))+1</f>
        <v>7</v>
      </c>
      <c r="K10467" s="3" t="str">
        <f aca="false">IFERROR(INDEX('Teacher Lookup'!$B$2:$B$200,MATCH(A10467,'Teacher Lookup'!$A$2:$A$200,0)),"")</f>
        <v>WANG Yu</v>
      </c>
    </row>
    <row r="10468" customFormat="false" ht="15" hidden="false" customHeight="false" outlineLevel="0" collapsed="false">
      <c r="A10468" s="3" t="s">
        <v>524</v>
      </c>
      <c r="B10468" s="4" t="s">
        <v>65</v>
      </c>
      <c r="C10468" s="4" t="n">
        <v>5</v>
      </c>
      <c r="D10468" s="4" t="s">
        <v>74</v>
      </c>
      <c r="E10468" s="3" t="s">
        <v>81</v>
      </c>
      <c r="F10468" s="4" t="str">
        <f aca="false">IF(I10468&gt;J10468,"Y","N")</f>
        <v>Y</v>
      </c>
      <c r="G10468" s="3" t="s">
        <v>36</v>
      </c>
      <c r="H10468" s="3" t="s">
        <v>37</v>
      </c>
      <c r="I10468" s="4" t="n">
        <v>15</v>
      </c>
      <c r="J10468" s="4" t="n">
        <f aca="false">LEN(E10468)-LEN(SUBSTITUTE(E10468,",",""))+1</f>
        <v>7</v>
      </c>
      <c r="K10468" s="3" t="str">
        <f aca="false">IFERROR(INDEX('Teacher Lookup'!$B$2:$B$200,MATCH(A10468,'Teacher Lookup'!$A$2:$A$200,0)),"")</f>
        <v>WANG Yu</v>
      </c>
    </row>
    <row r="10469" customFormat="false" ht="15" hidden="false" customHeight="false" outlineLevel="0" collapsed="false">
      <c r="A10469" s="3" t="s">
        <v>524</v>
      </c>
      <c r="B10469" s="4" t="s">
        <v>65</v>
      </c>
      <c r="C10469" s="4" t="n">
        <v>5</v>
      </c>
      <c r="D10469" s="4" t="s">
        <v>76</v>
      </c>
      <c r="E10469" s="3" t="s">
        <v>81</v>
      </c>
      <c r="F10469" s="4" t="str">
        <f aca="false">IF(I10469&gt;J10469,"Y","N")</f>
        <v>Y</v>
      </c>
      <c r="G10469" s="3" t="s">
        <v>36</v>
      </c>
      <c r="H10469" s="3" t="s">
        <v>37</v>
      </c>
      <c r="I10469" s="4" t="n">
        <v>15</v>
      </c>
      <c r="J10469" s="4" t="n">
        <f aca="false">LEN(E10469)-LEN(SUBSTITUTE(E10469,",",""))+1</f>
        <v>7</v>
      </c>
      <c r="K10469" s="3" t="str">
        <f aca="false">IFERROR(INDEX('Teacher Lookup'!$B$2:$B$200,MATCH(A10469,'Teacher Lookup'!$A$2:$A$200,0)),"")</f>
        <v>WANG Yu</v>
      </c>
    </row>
    <row r="10470" customFormat="false" ht="15" hidden="false" customHeight="false" outlineLevel="0" collapsed="false">
      <c r="A10470" s="3" t="s">
        <v>524</v>
      </c>
      <c r="B10470" s="4" t="s">
        <v>65</v>
      </c>
      <c r="C10470" s="4" t="n">
        <v>5</v>
      </c>
      <c r="D10470" s="4" t="s">
        <v>78</v>
      </c>
      <c r="E10470" s="3" t="s">
        <v>81</v>
      </c>
      <c r="F10470" s="4" t="str">
        <f aca="false">IF(I10470&gt;J10470,"Y","N")</f>
        <v>Y</v>
      </c>
      <c r="G10470" s="3" t="s">
        <v>36</v>
      </c>
      <c r="H10470" s="3" t="s">
        <v>37</v>
      </c>
      <c r="I10470" s="4" t="n">
        <v>15</v>
      </c>
      <c r="J10470" s="4" t="n">
        <f aca="false">LEN(E10470)-LEN(SUBSTITUTE(E10470,",",""))+1</f>
        <v>7</v>
      </c>
      <c r="K10470" s="3" t="str">
        <f aca="false">IFERROR(INDEX('Teacher Lookup'!$B$2:$B$200,MATCH(A10470,'Teacher Lookup'!$A$2:$A$200,0)),"")</f>
        <v>WANG Yu</v>
      </c>
    </row>
    <row r="10471" customFormat="false" ht="15" hidden="false" customHeight="false" outlineLevel="0" collapsed="false">
      <c r="A10471" s="3" t="s">
        <v>524</v>
      </c>
      <c r="B10471" s="4" t="s">
        <v>65</v>
      </c>
      <c r="C10471" s="4" t="n">
        <v>5</v>
      </c>
      <c r="D10471" s="4" t="s">
        <v>79</v>
      </c>
      <c r="E10471" s="3" t="s">
        <v>81</v>
      </c>
      <c r="F10471" s="4" t="str">
        <f aca="false">IF(I10471&gt;J10471,"Y","N")</f>
        <v>Y</v>
      </c>
      <c r="G10471" s="3" t="s">
        <v>36</v>
      </c>
      <c r="H10471" s="3" t="s">
        <v>37</v>
      </c>
      <c r="I10471" s="4" t="n">
        <v>15</v>
      </c>
      <c r="J10471" s="4" t="n">
        <f aca="false">LEN(E10471)-LEN(SUBSTITUTE(E10471,",",""))+1</f>
        <v>7</v>
      </c>
      <c r="K10471" s="3" t="str">
        <f aca="false">IFERROR(INDEX('Teacher Lookup'!$B$2:$B$200,MATCH(A10471,'Teacher Lookup'!$A$2:$A$200,0)),"")</f>
        <v>WANG Yu</v>
      </c>
    </row>
    <row r="10472" customFormat="false" ht="15" hidden="false" customHeight="false" outlineLevel="0" collapsed="false">
      <c r="A10472" s="3" t="s">
        <v>524</v>
      </c>
      <c r="B10472" s="4" t="s">
        <v>65</v>
      </c>
      <c r="C10472" s="4" t="n">
        <v>6</v>
      </c>
      <c r="D10472" s="4" t="s">
        <v>52</v>
      </c>
      <c r="E10472" s="3" t="s">
        <v>163</v>
      </c>
      <c r="F10472" s="4" t="str">
        <f aca="false">IF(I10472&gt;J10472,"Y","N")</f>
        <v>N</v>
      </c>
      <c r="G10472" s="3" t="s">
        <v>72</v>
      </c>
      <c r="H10472" s="3" t="s">
        <v>42</v>
      </c>
      <c r="I10472" s="4" t="n">
        <v>4</v>
      </c>
      <c r="J10472" s="4" t="n">
        <f aca="false">LEN(E10472)-LEN(SUBSTITUTE(E10472,",",""))+1</f>
        <v>4</v>
      </c>
      <c r="K10472" s="3" t="str">
        <f aca="false">IFERROR(INDEX('Teacher Lookup'!$B$2:$B$200,MATCH(A10472,'Teacher Lookup'!$A$2:$A$200,0)),"")</f>
        <v>WANG Yu</v>
      </c>
    </row>
    <row r="10473" customFormat="false" ht="15" hidden="false" customHeight="false" outlineLevel="0" collapsed="false">
      <c r="A10473" s="3" t="s">
        <v>524</v>
      </c>
      <c r="B10473" s="4" t="s">
        <v>65</v>
      </c>
      <c r="C10473" s="4" t="n">
        <v>6</v>
      </c>
      <c r="D10473" s="4" t="s">
        <v>55</v>
      </c>
      <c r="E10473" s="3" t="s">
        <v>163</v>
      </c>
      <c r="F10473" s="4" t="str">
        <f aca="false">IF(I10473&gt;J10473,"Y","N")</f>
        <v>N</v>
      </c>
      <c r="G10473" s="3" t="s">
        <v>72</v>
      </c>
      <c r="H10473" s="3" t="s">
        <v>42</v>
      </c>
      <c r="I10473" s="4" t="n">
        <v>4</v>
      </c>
      <c r="J10473" s="4" t="n">
        <f aca="false">LEN(E10473)-LEN(SUBSTITUTE(E10473,",",""))+1</f>
        <v>4</v>
      </c>
      <c r="K10473" s="3" t="str">
        <f aca="false">IFERROR(INDEX('Teacher Lookup'!$B$2:$B$200,MATCH(A10473,'Teacher Lookup'!$A$2:$A$200,0)),"")</f>
        <v>WANG Yu</v>
      </c>
    </row>
    <row r="10474" customFormat="false" ht="15" hidden="false" customHeight="false" outlineLevel="0" collapsed="false">
      <c r="A10474" s="3" t="s">
        <v>524</v>
      </c>
      <c r="B10474" s="4" t="s">
        <v>65</v>
      </c>
      <c r="C10474" s="4" t="n">
        <v>6</v>
      </c>
      <c r="D10474" s="4" t="s">
        <v>56</v>
      </c>
      <c r="E10474" s="3" t="s">
        <v>163</v>
      </c>
      <c r="F10474" s="4" t="str">
        <f aca="false">IF(I10474&gt;J10474,"Y","N")</f>
        <v>N</v>
      </c>
      <c r="G10474" s="3" t="s">
        <v>72</v>
      </c>
      <c r="H10474" s="3" t="s">
        <v>42</v>
      </c>
      <c r="I10474" s="4" t="n">
        <v>4</v>
      </c>
      <c r="J10474" s="4" t="n">
        <f aca="false">LEN(E10474)-LEN(SUBSTITUTE(E10474,",",""))+1</f>
        <v>4</v>
      </c>
      <c r="K10474" s="3" t="str">
        <f aca="false">IFERROR(INDEX('Teacher Lookup'!$B$2:$B$200,MATCH(A10474,'Teacher Lookup'!$A$2:$A$200,0)),"")</f>
        <v>WANG Yu</v>
      </c>
    </row>
    <row r="10475" customFormat="false" ht="15" hidden="false" customHeight="false" outlineLevel="0" collapsed="false">
      <c r="A10475" s="3" t="s">
        <v>524</v>
      </c>
      <c r="B10475" s="4" t="s">
        <v>65</v>
      </c>
      <c r="C10475" s="4" t="n">
        <v>7</v>
      </c>
      <c r="D10475" s="4" t="s">
        <v>76</v>
      </c>
      <c r="E10475" s="3" t="s">
        <v>77</v>
      </c>
      <c r="F10475" s="4" t="str">
        <f aca="false">IF(I10475&gt;J10475,"Y","N")</f>
        <v>N</v>
      </c>
      <c r="G10475" s="3" t="s">
        <v>72</v>
      </c>
      <c r="H10475" s="3" t="s">
        <v>39</v>
      </c>
      <c r="I10475" s="4" t="n">
        <v>4</v>
      </c>
      <c r="J10475" s="4" t="n">
        <f aca="false">LEN(E10475)-LEN(SUBSTITUTE(E10475,",",""))+1</f>
        <v>4</v>
      </c>
      <c r="K10475" s="3" t="str">
        <f aca="false">IFERROR(INDEX('Teacher Lookup'!$B$2:$B$200,MATCH(A10475,'Teacher Lookup'!$A$2:$A$200,0)),"")</f>
        <v>WANG Yu</v>
      </c>
    </row>
    <row r="10476" customFormat="false" ht="15" hidden="false" customHeight="false" outlineLevel="0" collapsed="false">
      <c r="A10476" s="3" t="s">
        <v>524</v>
      </c>
      <c r="B10476" s="4" t="s">
        <v>65</v>
      </c>
      <c r="C10476" s="4" t="n">
        <v>7</v>
      </c>
      <c r="D10476" s="4" t="s">
        <v>78</v>
      </c>
      <c r="E10476" s="3" t="s">
        <v>77</v>
      </c>
      <c r="F10476" s="4" t="str">
        <f aca="false">IF(I10476&gt;J10476,"Y","N")</f>
        <v>N</v>
      </c>
      <c r="G10476" s="3" t="s">
        <v>72</v>
      </c>
      <c r="H10476" s="3" t="s">
        <v>39</v>
      </c>
      <c r="I10476" s="4" t="n">
        <v>4</v>
      </c>
      <c r="J10476" s="4" t="n">
        <f aca="false">LEN(E10476)-LEN(SUBSTITUTE(E10476,",",""))+1</f>
        <v>4</v>
      </c>
      <c r="K10476" s="3" t="str">
        <f aca="false">IFERROR(INDEX('Teacher Lookup'!$B$2:$B$200,MATCH(A10476,'Teacher Lookup'!$A$2:$A$200,0)),"")</f>
        <v>WANG Yu</v>
      </c>
    </row>
    <row r="10477" customFormat="false" ht="15" hidden="false" customHeight="false" outlineLevel="0" collapsed="false">
      <c r="A10477" s="3" t="s">
        <v>524</v>
      </c>
      <c r="B10477" s="4" t="s">
        <v>65</v>
      </c>
      <c r="C10477" s="4" t="n">
        <v>7</v>
      </c>
      <c r="D10477" s="4" t="s">
        <v>79</v>
      </c>
      <c r="E10477" s="3" t="s">
        <v>77</v>
      </c>
      <c r="F10477" s="4" t="str">
        <f aca="false">IF(I10477&gt;J10477,"Y","N")</f>
        <v>N</v>
      </c>
      <c r="G10477" s="3" t="s">
        <v>72</v>
      </c>
      <c r="H10477" s="3" t="s">
        <v>39</v>
      </c>
      <c r="I10477" s="4" t="n">
        <v>4</v>
      </c>
      <c r="J10477" s="4" t="n">
        <f aca="false">LEN(E10477)-LEN(SUBSTITUTE(E10477,",",""))+1</f>
        <v>4</v>
      </c>
      <c r="K10477" s="3" t="str">
        <f aca="false">IFERROR(INDEX('Teacher Lookup'!$B$2:$B$200,MATCH(A10477,'Teacher Lookup'!$A$2:$A$200,0)),"")</f>
        <v>WANG Yu</v>
      </c>
    </row>
    <row r="10478" customFormat="false" ht="15" hidden="false" customHeight="false" outlineLevel="0" collapsed="false">
      <c r="A10478" s="3" t="s">
        <v>524</v>
      </c>
      <c r="B10478" s="4" t="s">
        <v>66</v>
      </c>
      <c r="C10478" s="4" t="n">
        <v>1</v>
      </c>
      <c r="D10478" s="4" t="s">
        <v>76</v>
      </c>
      <c r="E10478" s="3" t="s">
        <v>84</v>
      </c>
      <c r="F10478" s="4" t="str">
        <f aca="false">IF(I10478&gt;J10478,"Y","N")</f>
        <v>N</v>
      </c>
      <c r="G10478" s="3" t="s">
        <v>72</v>
      </c>
      <c r="H10478" s="3" t="s">
        <v>16</v>
      </c>
      <c r="I10478" s="4" t="n">
        <v>4</v>
      </c>
      <c r="J10478" s="4" t="n">
        <f aca="false">LEN(E10478)-LEN(SUBSTITUTE(E10478,",",""))+1</f>
        <v>4</v>
      </c>
      <c r="K10478" s="3" t="str">
        <f aca="false">IFERROR(INDEX('Teacher Lookup'!$B$2:$B$200,MATCH(A10478,'Teacher Lookup'!$A$2:$A$200,0)),"")</f>
        <v>WANG Yu</v>
      </c>
    </row>
    <row r="10479" customFormat="false" ht="15" hidden="false" customHeight="false" outlineLevel="0" collapsed="false">
      <c r="A10479" s="3" t="s">
        <v>524</v>
      </c>
      <c r="B10479" s="4" t="s">
        <v>66</v>
      </c>
      <c r="C10479" s="4" t="n">
        <v>1</v>
      </c>
      <c r="D10479" s="4" t="s">
        <v>78</v>
      </c>
      <c r="E10479" s="3" t="s">
        <v>84</v>
      </c>
      <c r="F10479" s="4" t="str">
        <f aca="false">IF(I10479&gt;J10479,"Y","N")</f>
        <v>N</v>
      </c>
      <c r="G10479" s="3" t="s">
        <v>72</v>
      </c>
      <c r="H10479" s="3" t="s">
        <v>16</v>
      </c>
      <c r="I10479" s="4" t="n">
        <v>4</v>
      </c>
      <c r="J10479" s="4" t="n">
        <f aca="false">LEN(E10479)-LEN(SUBSTITUTE(E10479,",",""))+1</f>
        <v>4</v>
      </c>
      <c r="K10479" s="3" t="str">
        <f aca="false">IFERROR(INDEX('Teacher Lookup'!$B$2:$B$200,MATCH(A10479,'Teacher Lookup'!$A$2:$A$200,0)),"")</f>
        <v>WANG Yu</v>
      </c>
    </row>
    <row r="10480" customFormat="false" ht="15" hidden="false" customHeight="false" outlineLevel="0" collapsed="false">
      <c r="A10480" s="3" t="s">
        <v>524</v>
      </c>
      <c r="B10480" s="4" t="s">
        <v>66</v>
      </c>
      <c r="C10480" s="4" t="n">
        <v>1</v>
      </c>
      <c r="D10480" s="4" t="s">
        <v>79</v>
      </c>
      <c r="E10480" s="3" t="s">
        <v>84</v>
      </c>
      <c r="F10480" s="4" t="str">
        <f aca="false">IF(I10480&gt;J10480,"Y","N")</f>
        <v>N</v>
      </c>
      <c r="G10480" s="3" t="s">
        <v>72</v>
      </c>
      <c r="H10480" s="3" t="s">
        <v>16</v>
      </c>
      <c r="I10480" s="4" t="n">
        <v>4</v>
      </c>
      <c r="J10480" s="4" t="n">
        <f aca="false">LEN(E10480)-LEN(SUBSTITUTE(E10480,",",""))+1</f>
        <v>4</v>
      </c>
      <c r="K10480" s="3" t="str">
        <f aca="false">IFERROR(INDEX('Teacher Lookup'!$B$2:$B$200,MATCH(A10480,'Teacher Lookup'!$A$2:$A$200,0)),"")</f>
        <v>WANG Yu</v>
      </c>
    </row>
    <row r="10481" customFormat="false" ht="15" hidden="false" customHeight="false" outlineLevel="0" collapsed="false">
      <c r="A10481" s="3" t="s">
        <v>524</v>
      </c>
      <c r="B10481" s="4" t="s">
        <v>66</v>
      </c>
      <c r="C10481" s="4" t="n">
        <v>2</v>
      </c>
      <c r="D10481" s="4" t="s">
        <v>52</v>
      </c>
      <c r="E10481" s="3" t="s">
        <v>177</v>
      </c>
      <c r="F10481" s="4" t="str">
        <f aca="false">IF(I10481&gt;J10481,"Y","N")</f>
        <v>N</v>
      </c>
      <c r="G10481" s="3" t="s">
        <v>72</v>
      </c>
      <c r="H10481" s="3" t="s">
        <v>21</v>
      </c>
      <c r="I10481" s="4" t="n">
        <v>4</v>
      </c>
      <c r="J10481" s="4" t="n">
        <f aca="false">LEN(E10481)-LEN(SUBSTITUTE(E10481,",",""))+1</f>
        <v>4</v>
      </c>
      <c r="K10481" s="3" t="str">
        <f aca="false">IFERROR(INDEX('Teacher Lookup'!$B$2:$B$200,MATCH(A10481,'Teacher Lookup'!$A$2:$A$200,0)),"")</f>
        <v>WANG Yu</v>
      </c>
    </row>
    <row r="10482" customFormat="false" ht="15" hidden="false" customHeight="false" outlineLevel="0" collapsed="false">
      <c r="A10482" s="3" t="s">
        <v>524</v>
      </c>
      <c r="B10482" s="4" t="s">
        <v>66</v>
      </c>
      <c r="C10482" s="4" t="n">
        <v>2</v>
      </c>
      <c r="D10482" s="4" t="s">
        <v>55</v>
      </c>
      <c r="E10482" s="3" t="s">
        <v>177</v>
      </c>
      <c r="F10482" s="4" t="str">
        <f aca="false">IF(I10482&gt;J10482,"Y","N")</f>
        <v>N</v>
      </c>
      <c r="G10482" s="3" t="s">
        <v>72</v>
      </c>
      <c r="H10482" s="3" t="s">
        <v>21</v>
      </c>
      <c r="I10482" s="4" t="n">
        <v>4</v>
      </c>
      <c r="J10482" s="4" t="n">
        <f aca="false">LEN(E10482)-LEN(SUBSTITUTE(E10482,",",""))+1</f>
        <v>4</v>
      </c>
      <c r="K10482" s="3" t="str">
        <f aca="false">IFERROR(INDEX('Teacher Lookup'!$B$2:$B$200,MATCH(A10482,'Teacher Lookup'!$A$2:$A$200,0)),"")</f>
        <v>WANG Yu</v>
      </c>
    </row>
    <row r="10483" customFormat="false" ht="15" hidden="false" customHeight="false" outlineLevel="0" collapsed="false">
      <c r="A10483" s="3" t="s">
        <v>524</v>
      </c>
      <c r="B10483" s="4" t="s">
        <v>66</v>
      </c>
      <c r="C10483" s="4" t="n">
        <v>2</v>
      </c>
      <c r="D10483" s="4" t="s">
        <v>56</v>
      </c>
      <c r="E10483" s="3" t="s">
        <v>177</v>
      </c>
      <c r="F10483" s="4" t="str">
        <f aca="false">IF(I10483&gt;J10483,"Y","N")</f>
        <v>N</v>
      </c>
      <c r="G10483" s="3" t="s">
        <v>72</v>
      </c>
      <c r="H10483" s="3" t="s">
        <v>21</v>
      </c>
      <c r="I10483" s="4" t="n">
        <v>4</v>
      </c>
      <c r="J10483" s="4" t="n">
        <f aca="false">LEN(E10483)-LEN(SUBSTITUTE(E10483,",",""))+1</f>
        <v>4</v>
      </c>
      <c r="K10483" s="3" t="str">
        <f aca="false">IFERROR(INDEX('Teacher Lookup'!$B$2:$B$200,MATCH(A10483,'Teacher Lookup'!$A$2:$A$200,0)),"")</f>
        <v>WANG Yu</v>
      </c>
    </row>
    <row r="10484" customFormat="false" ht="15" hidden="false" customHeight="false" outlineLevel="0" collapsed="false">
      <c r="A10484" s="3" t="s">
        <v>524</v>
      </c>
      <c r="B10484" s="4" t="s">
        <v>66</v>
      </c>
      <c r="C10484" s="4" t="n">
        <v>5</v>
      </c>
      <c r="D10484" s="4" t="s">
        <v>70</v>
      </c>
      <c r="E10484" s="3" t="s">
        <v>96</v>
      </c>
      <c r="F10484" s="4" t="str">
        <f aca="false">IF(I10484&gt;J10484,"Y","N")</f>
        <v>N</v>
      </c>
      <c r="G10484" s="3" t="s">
        <v>72</v>
      </c>
      <c r="H10484" s="3" t="s">
        <v>37</v>
      </c>
      <c r="I10484" s="4" t="n">
        <v>4</v>
      </c>
      <c r="J10484" s="4" t="n">
        <f aca="false">LEN(E10484)-LEN(SUBSTITUTE(E10484,",",""))+1</f>
        <v>4</v>
      </c>
      <c r="K10484" s="3" t="str">
        <f aca="false">IFERROR(INDEX('Teacher Lookup'!$B$2:$B$200,MATCH(A10484,'Teacher Lookup'!$A$2:$A$200,0)),"")</f>
        <v>WANG Yu</v>
      </c>
    </row>
    <row r="10485" customFormat="false" ht="15" hidden="false" customHeight="false" outlineLevel="0" collapsed="false">
      <c r="A10485" s="3" t="s">
        <v>524</v>
      </c>
      <c r="B10485" s="4" t="s">
        <v>66</v>
      </c>
      <c r="C10485" s="4" t="n">
        <v>5</v>
      </c>
      <c r="D10485" s="4" t="s">
        <v>73</v>
      </c>
      <c r="E10485" s="3" t="s">
        <v>96</v>
      </c>
      <c r="F10485" s="4" t="str">
        <f aca="false">IF(I10485&gt;J10485,"Y","N")</f>
        <v>N</v>
      </c>
      <c r="G10485" s="3" t="s">
        <v>72</v>
      </c>
      <c r="H10485" s="3" t="s">
        <v>37</v>
      </c>
      <c r="I10485" s="4" t="n">
        <v>4</v>
      </c>
      <c r="J10485" s="4" t="n">
        <f aca="false">LEN(E10485)-LEN(SUBSTITUTE(E10485,",",""))+1</f>
        <v>4</v>
      </c>
      <c r="K10485" s="3" t="str">
        <f aca="false">IFERROR(INDEX('Teacher Lookup'!$B$2:$B$200,MATCH(A10485,'Teacher Lookup'!$A$2:$A$200,0)),"")</f>
        <v>WANG Yu</v>
      </c>
    </row>
    <row r="10486" customFormat="false" ht="15" hidden="false" customHeight="false" outlineLevel="0" collapsed="false">
      <c r="A10486" s="3" t="s">
        <v>524</v>
      </c>
      <c r="B10486" s="4" t="s">
        <v>66</v>
      </c>
      <c r="C10486" s="4" t="n">
        <v>5</v>
      </c>
      <c r="D10486" s="4" t="s">
        <v>74</v>
      </c>
      <c r="E10486" s="3" t="s">
        <v>96</v>
      </c>
      <c r="F10486" s="4" t="str">
        <f aca="false">IF(I10486&gt;J10486,"Y","N")</f>
        <v>N</v>
      </c>
      <c r="G10486" s="3" t="s">
        <v>72</v>
      </c>
      <c r="H10486" s="3" t="s">
        <v>37</v>
      </c>
      <c r="I10486" s="4" t="n">
        <v>4</v>
      </c>
      <c r="J10486" s="4" t="n">
        <f aca="false">LEN(E10486)-LEN(SUBSTITUTE(E10486,",",""))+1</f>
        <v>4</v>
      </c>
      <c r="K10486" s="3" t="str">
        <f aca="false">IFERROR(INDEX('Teacher Lookup'!$B$2:$B$200,MATCH(A10486,'Teacher Lookup'!$A$2:$A$200,0)),"")</f>
        <v>WANG Yu</v>
      </c>
    </row>
    <row r="10487" customFormat="false" ht="15" hidden="false" customHeight="false" outlineLevel="0" collapsed="false">
      <c r="A10487" s="3" t="s">
        <v>525</v>
      </c>
      <c r="B10487" s="4" t="s">
        <v>12</v>
      </c>
      <c r="C10487" s="4" t="n">
        <v>1</v>
      </c>
      <c r="D10487" s="4" t="s">
        <v>228</v>
      </c>
      <c r="E10487" s="3" t="s">
        <v>246</v>
      </c>
      <c r="F10487" s="4" t="str">
        <f aca="false">IF(I10487&gt;J10487,"Y","N")</f>
        <v>N</v>
      </c>
      <c r="G10487" s="3" t="s">
        <v>235</v>
      </c>
      <c r="H10487" s="3" t="s">
        <v>16</v>
      </c>
      <c r="I10487" s="4" t="n">
        <v>1</v>
      </c>
      <c r="J10487" s="4" t="n">
        <f aca="false">LEN(E10487)-LEN(SUBSTITUTE(E10487,",",""))+1</f>
        <v>1</v>
      </c>
      <c r="K10487" s="3" t="str">
        <f aca="false">IFERROR(INDEX('Teacher Lookup'!$B$2:$B$200,MATCH(A10487,'Teacher Lookup'!$A$2:$A$200,0)),"")</f>
        <v>SHEIK Zarifa</v>
      </c>
    </row>
    <row r="10488" customFormat="false" ht="15" hidden="false" customHeight="false" outlineLevel="0" collapsed="false">
      <c r="A10488" s="3" t="s">
        <v>525</v>
      </c>
      <c r="B10488" s="4" t="s">
        <v>31</v>
      </c>
      <c r="C10488" s="4" t="n">
        <v>1</v>
      </c>
      <c r="D10488" s="4" t="s">
        <v>228</v>
      </c>
      <c r="E10488" s="3" t="s">
        <v>302</v>
      </c>
      <c r="F10488" s="4" t="str">
        <f aca="false">IF(I10488&gt;J10488,"Y","N")</f>
        <v>N</v>
      </c>
      <c r="G10488" s="3" t="s">
        <v>235</v>
      </c>
      <c r="H10488" s="3" t="s">
        <v>16</v>
      </c>
      <c r="I10488" s="4" t="n">
        <v>1</v>
      </c>
      <c r="J10488" s="4" t="n">
        <f aca="false">LEN(E10488)-LEN(SUBSTITUTE(E10488,",",""))+1</f>
        <v>1</v>
      </c>
      <c r="K10488" s="3" t="str">
        <f aca="false">IFERROR(INDEX('Teacher Lookup'!$B$2:$B$200,MATCH(A10488,'Teacher Lookup'!$A$2:$A$200,0)),"")</f>
        <v>SHEIK Zarifa</v>
      </c>
    </row>
    <row r="10489" customFormat="false" ht="15" hidden="false" customHeight="false" outlineLevel="0" collapsed="false">
      <c r="A10489" s="3" t="s">
        <v>525</v>
      </c>
      <c r="B10489" s="4" t="s">
        <v>31</v>
      </c>
      <c r="C10489" s="4" t="n">
        <v>2</v>
      </c>
      <c r="D10489" s="4" t="s">
        <v>24</v>
      </c>
      <c r="E10489" s="3" t="s">
        <v>377</v>
      </c>
      <c r="F10489" s="4" t="str">
        <f aca="false">IF(I10489&gt;J10489,"Y","N")</f>
        <v>N</v>
      </c>
      <c r="G10489" s="3" t="s">
        <v>378</v>
      </c>
      <c r="H10489" s="3" t="s">
        <v>21</v>
      </c>
      <c r="I10489" s="4" t="n">
        <v>8</v>
      </c>
      <c r="J10489" s="4" t="n">
        <f aca="false">LEN(E10489)-LEN(SUBSTITUTE(E10489,",",""))+1</f>
        <v>8</v>
      </c>
      <c r="K10489" s="3" t="str">
        <f aca="false">IFERROR(INDEX('Teacher Lookup'!$B$2:$B$200,MATCH(A10489,'Teacher Lookup'!$A$2:$A$200,0)),"")</f>
        <v>SHEIK Zarifa</v>
      </c>
    </row>
    <row r="10490" customFormat="false" ht="15" hidden="false" customHeight="false" outlineLevel="0" collapsed="false">
      <c r="A10490" s="3" t="s">
        <v>525</v>
      </c>
      <c r="B10490" s="4" t="s">
        <v>31</v>
      </c>
      <c r="C10490" s="4" t="n">
        <v>2</v>
      </c>
      <c r="D10490" s="4" t="s">
        <v>27</v>
      </c>
      <c r="E10490" s="3" t="s">
        <v>377</v>
      </c>
      <c r="F10490" s="4" t="str">
        <f aca="false">IF(I10490&gt;J10490,"Y","N")</f>
        <v>N</v>
      </c>
      <c r="G10490" s="3" t="s">
        <v>378</v>
      </c>
      <c r="H10490" s="3" t="s">
        <v>21</v>
      </c>
      <c r="I10490" s="4" t="n">
        <v>8</v>
      </c>
      <c r="J10490" s="4" t="n">
        <f aca="false">LEN(E10490)-LEN(SUBSTITUTE(E10490,",",""))+1</f>
        <v>8</v>
      </c>
      <c r="K10490" s="3" t="str">
        <f aca="false">IFERROR(INDEX('Teacher Lookup'!$B$2:$B$200,MATCH(A10490,'Teacher Lookup'!$A$2:$A$200,0)),"")</f>
        <v>SHEIK Zarifa</v>
      </c>
    </row>
    <row r="10491" customFormat="false" ht="15" hidden="false" customHeight="false" outlineLevel="0" collapsed="false">
      <c r="A10491" s="3" t="s">
        <v>525</v>
      </c>
      <c r="B10491" s="4" t="s">
        <v>31</v>
      </c>
      <c r="C10491" s="4" t="n">
        <v>2</v>
      </c>
      <c r="D10491" s="4" t="s">
        <v>28</v>
      </c>
      <c r="E10491" s="3" t="s">
        <v>377</v>
      </c>
      <c r="F10491" s="4" t="str">
        <f aca="false">IF(I10491&gt;J10491,"Y","N")</f>
        <v>N</v>
      </c>
      <c r="G10491" s="3" t="s">
        <v>378</v>
      </c>
      <c r="H10491" s="3" t="s">
        <v>21</v>
      </c>
      <c r="I10491" s="4" t="n">
        <v>8</v>
      </c>
      <c r="J10491" s="4" t="n">
        <f aca="false">LEN(E10491)-LEN(SUBSTITUTE(E10491,",",""))+1</f>
        <v>8</v>
      </c>
      <c r="K10491" s="3" t="str">
        <f aca="false">IFERROR(INDEX('Teacher Lookup'!$B$2:$B$200,MATCH(A10491,'Teacher Lookup'!$A$2:$A$200,0)),"")</f>
        <v>SHEIK Zarifa</v>
      </c>
    </row>
    <row r="10492" customFormat="false" ht="15" hidden="false" customHeight="false" outlineLevel="0" collapsed="false">
      <c r="A10492" s="3" t="s">
        <v>525</v>
      </c>
      <c r="B10492" s="4" t="s">
        <v>31</v>
      </c>
      <c r="C10492" s="4" t="n">
        <v>2</v>
      </c>
      <c r="D10492" s="4" t="s">
        <v>29</v>
      </c>
      <c r="E10492" s="3" t="s">
        <v>377</v>
      </c>
      <c r="F10492" s="4" t="str">
        <f aca="false">IF(I10492&gt;J10492,"Y","N")</f>
        <v>N</v>
      </c>
      <c r="G10492" s="3" t="s">
        <v>378</v>
      </c>
      <c r="H10492" s="3" t="s">
        <v>21</v>
      </c>
      <c r="I10492" s="4" t="n">
        <v>8</v>
      </c>
      <c r="J10492" s="4" t="n">
        <f aca="false">LEN(E10492)-LEN(SUBSTITUTE(E10492,",",""))+1</f>
        <v>8</v>
      </c>
      <c r="K10492" s="3" t="str">
        <f aca="false">IFERROR(INDEX('Teacher Lookup'!$B$2:$B$200,MATCH(A10492,'Teacher Lookup'!$A$2:$A$200,0)),"")</f>
        <v>SHEIK Zarifa</v>
      </c>
    </row>
    <row r="10493" customFormat="false" ht="15" hidden="false" customHeight="false" outlineLevel="0" collapsed="false">
      <c r="A10493" s="3" t="s">
        <v>525</v>
      </c>
      <c r="B10493" s="4" t="s">
        <v>31</v>
      </c>
      <c r="C10493" s="4" t="n">
        <v>2</v>
      </c>
      <c r="D10493" s="4" t="s">
        <v>30</v>
      </c>
      <c r="E10493" s="3" t="s">
        <v>377</v>
      </c>
      <c r="F10493" s="4" t="str">
        <f aca="false">IF(I10493&gt;J10493,"Y","N")</f>
        <v>N</v>
      </c>
      <c r="G10493" s="3" t="s">
        <v>378</v>
      </c>
      <c r="H10493" s="3" t="s">
        <v>21</v>
      </c>
      <c r="I10493" s="4" t="n">
        <v>8</v>
      </c>
      <c r="J10493" s="4" t="n">
        <f aca="false">LEN(E10493)-LEN(SUBSTITUTE(E10493,",",""))+1</f>
        <v>8</v>
      </c>
      <c r="K10493" s="3" t="str">
        <f aca="false">IFERROR(INDEX('Teacher Lookup'!$B$2:$B$200,MATCH(A10493,'Teacher Lookup'!$A$2:$A$200,0)),"")</f>
        <v>SHEIK Zarifa</v>
      </c>
    </row>
    <row r="10494" customFormat="false" ht="15" hidden="false" customHeight="false" outlineLevel="0" collapsed="false">
      <c r="A10494" s="3" t="s">
        <v>525</v>
      </c>
      <c r="B10494" s="4" t="s">
        <v>31</v>
      </c>
      <c r="C10494" s="4" t="n">
        <v>5</v>
      </c>
      <c r="D10494" s="4" t="s">
        <v>24</v>
      </c>
      <c r="E10494" s="3" t="s">
        <v>131</v>
      </c>
      <c r="F10494" s="4" t="str">
        <f aca="false">IF(I10494&gt;J10494,"Y","N")</f>
        <v>Y</v>
      </c>
      <c r="G10494" s="3" t="s">
        <v>36</v>
      </c>
      <c r="H10494" s="3" t="s">
        <v>37</v>
      </c>
      <c r="I10494" s="4" t="n">
        <v>15</v>
      </c>
      <c r="J10494" s="4" t="n">
        <f aca="false">LEN(E10494)-LEN(SUBSTITUTE(E10494,",",""))+1</f>
        <v>7</v>
      </c>
      <c r="K10494" s="3" t="str">
        <f aca="false">IFERROR(INDEX('Teacher Lookup'!$B$2:$B$200,MATCH(A10494,'Teacher Lookup'!$A$2:$A$200,0)),"")</f>
        <v>SHEIK Zarifa</v>
      </c>
    </row>
    <row r="10495" customFormat="false" ht="15" hidden="false" customHeight="false" outlineLevel="0" collapsed="false">
      <c r="A10495" s="3" t="s">
        <v>525</v>
      </c>
      <c r="B10495" s="4" t="s">
        <v>31</v>
      </c>
      <c r="C10495" s="4" t="n">
        <v>5</v>
      </c>
      <c r="D10495" s="4" t="s">
        <v>132</v>
      </c>
      <c r="E10495" s="3" t="s">
        <v>131</v>
      </c>
      <c r="F10495" s="4" t="str">
        <f aca="false">IF(I10495&gt;J10495,"Y","N")</f>
        <v>Y</v>
      </c>
      <c r="G10495" s="3" t="s">
        <v>36</v>
      </c>
      <c r="H10495" s="3" t="s">
        <v>37</v>
      </c>
      <c r="I10495" s="4" t="n">
        <v>15</v>
      </c>
      <c r="J10495" s="4" t="n">
        <f aca="false">LEN(E10495)-LEN(SUBSTITUTE(E10495,",",""))+1</f>
        <v>7</v>
      </c>
      <c r="K10495" s="3" t="str">
        <f aca="false">IFERROR(INDEX('Teacher Lookup'!$B$2:$B$200,MATCH(A10495,'Teacher Lookup'!$A$2:$A$200,0)),"")</f>
        <v>SHEIK Zarifa</v>
      </c>
    </row>
    <row r="10496" customFormat="false" ht="15" hidden="false" customHeight="false" outlineLevel="0" collapsed="false">
      <c r="A10496" s="3" t="s">
        <v>525</v>
      </c>
      <c r="B10496" s="4" t="s">
        <v>31</v>
      </c>
      <c r="C10496" s="4" t="n">
        <v>5</v>
      </c>
      <c r="D10496" s="4" t="s">
        <v>27</v>
      </c>
      <c r="E10496" s="3" t="s">
        <v>131</v>
      </c>
      <c r="F10496" s="4" t="str">
        <f aca="false">IF(I10496&gt;J10496,"Y","N")</f>
        <v>Y</v>
      </c>
      <c r="G10496" s="3" t="s">
        <v>36</v>
      </c>
      <c r="H10496" s="3" t="s">
        <v>37</v>
      </c>
      <c r="I10496" s="4" t="n">
        <v>15</v>
      </c>
      <c r="J10496" s="4" t="n">
        <f aca="false">LEN(E10496)-LEN(SUBSTITUTE(E10496,",",""))+1</f>
        <v>7</v>
      </c>
      <c r="K10496" s="3" t="str">
        <f aca="false">IFERROR(INDEX('Teacher Lookup'!$B$2:$B$200,MATCH(A10496,'Teacher Lookup'!$A$2:$A$200,0)),"")</f>
        <v>SHEIK Zarifa</v>
      </c>
    </row>
    <row r="10497" customFormat="false" ht="15" hidden="false" customHeight="false" outlineLevel="0" collapsed="false">
      <c r="A10497" s="3" t="s">
        <v>525</v>
      </c>
      <c r="B10497" s="4" t="s">
        <v>31</v>
      </c>
      <c r="C10497" s="4" t="n">
        <v>5</v>
      </c>
      <c r="D10497" s="4" t="s">
        <v>28</v>
      </c>
      <c r="E10497" s="3" t="s">
        <v>131</v>
      </c>
      <c r="F10497" s="4" t="str">
        <f aca="false">IF(I10497&gt;J10497,"Y","N")</f>
        <v>Y</v>
      </c>
      <c r="G10497" s="3" t="s">
        <v>36</v>
      </c>
      <c r="H10497" s="3" t="s">
        <v>37</v>
      </c>
      <c r="I10497" s="4" t="n">
        <v>15</v>
      </c>
      <c r="J10497" s="4" t="n">
        <f aca="false">LEN(E10497)-LEN(SUBSTITUTE(E10497,",",""))+1</f>
        <v>7</v>
      </c>
      <c r="K10497" s="3" t="str">
        <f aca="false">IFERROR(INDEX('Teacher Lookup'!$B$2:$B$200,MATCH(A10497,'Teacher Lookup'!$A$2:$A$200,0)),"")</f>
        <v>SHEIK Zarifa</v>
      </c>
    </row>
    <row r="10498" customFormat="false" ht="15" hidden="false" customHeight="false" outlineLevel="0" collapsed="false">
      <c r="A10498" s="3" t="s">
        <v>525</v>
      </c>
      <c r="B10498" s="4" t="s">
        <v>31</v>
      </c>
      <c r="C10498" s="4" t="n">
        <v>5</v>
      </c>
      <c r="D10498" s="4" t="s">
        <v>29</v>
      </c>
      <c r="E10498" s="3" t="s">
        <v>131</v>
      </c>
      <c r="F10498" s="4" t="str">
        <f aca="false">IF(I10498&gt;J10498,"Y","N")</f>
        <v>Y</v>
      </c>
      <c r="G10498" s="3" t="s">
        <v>36</v>
      </c>
      <c r="H10498" s="3" t="s">
        <v>37</v>
      </c>
      <c r="I10498" s="4" t="n">
        <v>15</v>
      </c>
      <c r="J10498" s="4" t="n">
        <f aca="false">LEN(E10498)-LEN(SUBSTITUTE(E10498,",",""))+1</f>
        <v>7</v>
      </c>
      <c r="K10498" s="3" t="str">
        <f aca="false">IFERROR(INDEX('Teacher Lookup'!$B$2:$B$200,MATCH(A10498,'Teacher Lookup'!$A$2:$A$200,0)),"")</f>
        <v>SHEIK Zarifa</v>
      </c>
    </row>
    <row r="10499" customFormat="false" ht="15" hidden="false" customHeight="false" outlineLevel="0" collapsed="false">
      <c r="A10499" s="3" t="s">
        <v>525</v>
      </c>
      <c r="B10499" s="4" t="s">
        <v>31</v>
      </c>
      <c r="C10499" s="4" t="n">
        <v>5</v>
      </c>
      <c r="D10499" s="4" t="s">
        <v>30</v>
      </c>
      <c r="E10499" s="3" t="s">
        <v>131</v>
      </c>
      <c r="F10499" s="4" t="str">
        <f aca="false">IF(I10499&gt;J10499,"Y","N")</f>
        <v>Y</v>
      </c>
      <c r="G10499" s="3" t="s">
        <v>36</v>
      </c>
      <c r="H10499" s="3" t="s">
        <v>37</v>
      </c>
      <c r="I10499" s="4" t="n">
        <v>15</v>
      </c>
      <c r="J10499" s="4" t="n">
        <f aca="false">LEN(E10499)-LEN(SUBSTITUTE(E10499,",",""))+1</f>
        <v>7</v>
      </c>
      <c r="K10499" s="3" t="str">
        <f aca="false">IFERROR(INDEX('Teacher Lookup'!$B$2:$B$200,MATCH(A10499,'Teacher Lookup'!$A$2:$A$200,0)),"")</f>
        <v>SHEIK Zarifa</v>
      </c>
    </row>
    <row r="10500" customFormat="false" ht="15" hidden="false" customHeight="false" outlineLevel="0" collapsed="false">
      <c r="A10500" s="3" t="s">
        <v>525</v>
      </c>
      <c r="B10500" s="4" t="s">
        <v>40</v>
      </c>
      <c r="C10500" s="4" t="n">
        <v>4</v>
      </c>
      <c r="D10500" s="4" t="s">
        <v>24</v>
      </c>
      <c r="E10500" s="3" t="s">
        <v>379</v>
      </c>
      <c r="F10500" s="4" t="str">
        <f aca="false">IF(I10500&gt;J10500,"Y","N")</f>
        <v>Y</v>
      </c>
      <c r="G10500" s="3" t="s">
        <v>378</v>
      </c>
      <c r="H10500" s="3" t="s">
        <v>34</v>
      </c>
      <c r="I10500" s="4" t="n">
        <v>9</v>
      </c>
      <c r="J10500" s="4" t="n">
        <f aca="false">LEN(E10500)-LEN(SUBSTITUTE(E10500,",",""))+1</f>
        <v>8</v>
      </c>
      <c r="K10500" s="3" t="str">
        <f aca="false">IFERROR(INDEX('Teacher Lookup'!$B$2:$B$200,MATCH(A10500,'Teacher Lookup'!$A$2:$A$200,0)),"")</f>
        <v>SHEIK Zarifa</v>
      </c>
    </row>
    <row r="10501" customFormat="false" ht="15" hidden="false" customHeight="false" outlineLevel="0" collapsed="false">
      <c r="A10501" s="3" t="s">
        <v>525</v>
      </c>
      <c r="B10501" s="4" t="s">
        <v>40</v>
      </c>
      <c r="C10501" s="4" t="n">
        <v>4</v>
      </c>
      <c r="D10501" s="4" t="s">
        <v>27</v>
      </c>
      <c r="E10501" s="3" t="s">
        <v>379</v>
      </c>
      <c r="F10501" s="4" t="str">
        <f aca="false">IF(I10501&gt;J10501,"Y","N")</f>
        <v>Y</v>
      </c>
      <c r="G10501" s="3" t="s">
        <v>378</v>
      </c>
      <c r="H10501" s="3" t="s">
        <v>34</v>
      </c>
      <c r="I10501" s="4" t="n">
        <v>9</v>
      </c>
      <c r="J10501" s="4" t="n">
        <f aca="false">LEN(E10501)-LEN(SUBSTITUTE(E10501,",",""))+1</f>
        <v>8</v>
      </c>
      <c r="K10501" s="3" t="str">
        <f aca="false">IFERROR(INDEX('Teacher Lookup'!$B$2:$B$200,MATCH(A10501,'Teacher Lookup'!$A$2:$A$200,0)),"")</f>
        <v>SHEIK Zarifa</v>
      </c>
    </row>
    <row r="10502" customFormat="false" ht="15" hidden="false" customHeight="false" outlineLevel="0" collapsed="false">
      <c r="A10502" s="3" t="s">
        <v>525</v>
      </c>
      <c r="B10502" s="4" t="s">
        <v>40</v>
      </c>
      <c r="C10502" s="4" t="n">
        <v>4</v>
      </c>
      <c r="D10502" s="4" t="s">
        <v>28</v>
      </c>
      <c r="E10502" s="3" t="s">
        <v>379</v>
      </c>
      <c r="F10502" s="4" t="str">
        <f aca="false">IF(I10502&gt;J10502,"Y","N")</f>
        <v>Y</v>
      </c>
      <c r="G10502" s="3" t="s">
        <v>378</v>
      </c>
      <c r="H10502" s="3" t="s">
        <v>34</v>
      </c>
      <c r="I10502" s="4" t="n">
        <v>9</v>
      </c>
      <c r="J10502" s="4" t="n">
        <f aca="false">LEN(E10502)-LEN(SUBSTITUTE(E10502,",",""))+1</f>
        <v>8</v>
      </c>
      <c r="K10502" s="3" t="str">
        <f aca="false">IFERROR(INDEX('Teacher Lookup'!$B$2:$B$200,MATCH(A10502,'Teacher Lookup'!$A$2:$A$200,0)),"")</f>
        <v>SHEIK Zarifa</v>
      </c>
    </row>
    <row r="10503" customFormat="false" ht="15" hidden="false" customHeight="false" outlineLevel="0" collapsed="false">
      <c r="A10503" s="3" t="s">
        <v>525</v>
      </c>
      <c r="B10503" s="4" t="s">
        <v>40</v>
      </c>
      <c r="C10503" s="4" t="n">
        <v>4</v>
      </c>
      <c r="D10503" s="4" t="s">
        <v>29</v>
      </c>
      <c r="E10503" s="3" t="s">
        <v>379</v>
      </c>
      <c r="F10503" s="4" t="str">
        <f aca="false">IF(I10503&gt;J10503,"Y","N")</f>
        <v>Y</v>
      </c>
      <c r="G10503" s="3" t="s">
        <v>378</v>
      </c>
      <c r="H10503" s="3" t="s">
        <v>34</v>
      </c>
      <c r="I10503" s="4" t="n">
        <v>9</v>
      </c>
      <c r="J10503" s="4" t="n">
        <f aca="false">LEN(E10503)-LEN(SUBSTITUTE(E10503,",",""))+1</f>
        <v>8</v>
      </c>
      <c r="K10503" s="3" t="str">
        <f aca="false">IFERROR(INDEX('Teacher Lookup'!$B$2:$B$200,MATCH(A10503,'Teacher Lookup'!$A$2:$A$200,0)),"")</f>
        <v>SHEIK Zarifa</v>
      </c>
    </row>
    <row r="10504" customFormat="false" ht="15" hidden="false" customHeight="false" outlineLevel="0" collapsed="false">
      <c r="A10504" s="3" t="s">
        <v>525</v>
      </c>
      <c r="B10504" s="4" t="s">
        <v>40</v>
      </c>
      <c r="C10504" s="4" t="n">
        <v>4</v>
      </c>
      <c r="D10504" s="4" t="s">
        <v>30</v>
      </c>
      <c r="E10504" s="3" t="s">
        <v>379</v>
      </c>
      <c r="F10504" s="4" t="str">
        <f aca="false">IF(I10504&gt;J10504,"Y","N")</f>
        <v>Y</v>
      </c>
      <c r="G10504" s="3" t="s">
        <v>378</v>
      </c>
      <c r="H10504" s="3" t="s">
        <v>34</v>
      </c>
      <c r="I10504" s="4" t="n">
        <v>9</v>
      </c>
      <c r="J10504" s="4" t="n">
        <f aca="false">LEN(E10504)-LEN(SUBSTITUTE(E10504,",",""))+1</f>
        <v>8</v>
      </c>
      <c r="K10504" s="3" t="str">
        <f aca="false">IFERROR(INDEX('Teacher Lookup'!$B$2:$B$200,MATCH(A10504,'Teacher Lookup'!$A$2:$A$200,0)),"")</f>
        <v>SHEIK Zarifa</v>
      </c>
    </row>
    <row r="10505" customFormat="false" ht="15" hidden="false" customHeight="false" outlineLevel="0" collapsed="false">
      <c r="A10505" s="3" t="s">
        <v>525</v>
      </c>
      <c r="B10505" s="4" t="s">
        <v>40</v>
      </c>
      <c r="C10505" s="4" t="n">
        <v>6</v>
      </c>
      <c r="D10505" s="4" t="s">
        <v>228</v>
      </c>
      <c r="E10505" s="3" t="s">
        <v>134</v>
      </c>
      <c r="F10505" s="4" t="str">
        <f aca="false">IF(I10505&gt;J10505,"Y","N")</f>
        <v>N</v>
      </c>
      <c r="G10505" s="3" t="s">
        <v>235</v>
      </c>
      <c r="H10505" s="3" t="s">
        <v>42</v>
      </c>
      <c r="I10505" s="4" t="n">
        <v>1</v>
      </c>
      <c r="J10505" s="4" t="n">
        <f aca="false">LEN(E10505)-LEN(SUBSTITUTE(E10505,",",""))+1</f>
        <v>1</v>
      </c>
      <c r="K10505" s="3" t="str">
        <f aca="false">IFERROR(INDEX('Teacher Lookup'!$B$2:$B$200,MATCH(A10505,'Teacher Lookup'!$A$2:$A$200,0)),"")</f>
        <v>SHEIK Zarifa</v>
      </c>
    </row>
    <row r="10506" customFormat="false" ht="15" hidden="false" customHeight="false" outlineLevel="0" collapsed="false">
      <c r="A10506" s="3" t="s">
        <v>525</v>
      </c>
      <c r="B10506" s="4" t="s">
        <v>40</v>
      </c>
      <c r="C10506" s="4" t="n">
        <v>7</v>
      </c>
      <c r="D10506" s="4" t="s">
        <v>228</v>
      </c>
      <c r="E10506" s="3" t="s">
        <v>134</v>
      </c>
      <c r="F10506" s="4" t="str">
        <f aca="false">IF(I10506&gt;J10506,"Y","N")</f>
        <v>N</v>
      </c>
      <c r="G10506" s="3" t="s">
        <v>235</v>
      </c>
      <c r="H10506" s="3" t="s">
        <v>39</v>
      </c>
      <c r="I10506" s="4" t="n">
        <v>1</v>
      </c>
      <c r="J10506" s="4" t="n">
        <f aca="false">LEN(E10506)-LEN(SUBSTITUTE(E10506,",",""))+1</f>
        <v>1</v>
      </c>
      <c r="K10506" s="3" t="str">
        <f aca="false">IFERROR(INDEX('Teacher Lookup'!$B$2:$B$200,MATCH(A10506,'Teacher Lookup'!$A$2:$A$200,0)),"")</f>
        <v>SHEIK Zarifa</v>
      </c>
    </row>
    <row r="10507" customFormat="false" ht="15" hidden="false" customHeight="false" outlineLevel="0" collapsed="false">
      <c r="A10507" s="3" t="s">
        <v>525</v>
      </c>
      <c r="B10507" s="4" t="s">
        <v>44</v>
      </c>
      <c r="C10507" s="4" t="n">
        <v>1</v>
      </c>
      <c r="D10507" s="4" t="s">
        <v>24</v>
      </c>
      <c r="E10507" s="3" t="s">
        <v>380</v>
      </c>
      <c r="F10507" s="4" t="str">
        <f aca="false">IF(I10507&gt;J10507,"Y","N")</f>
        <v>Y</v>
      </c>
      <c r="G10507" s="3" t="s">
        <v>378</v>
      </c>
      <c r="H10507" s="3" t="s">
        <v>16</v>
      </c>
      <c r="I10507" s="4" t="n">
        <v>9</v>
      </c>
      <c r="J10507" s="4" t="n">
        <f aca="false">LEN(E10507)-LEN(SUBSTITUTE(E10507,",",""))+1</f>
        <v>8</v>
      </c>
      <c r="K10507" s="3" t="str">
        <f aca="false">IFERROR(INDEX('Teacher Lookup'!$B$2:$B$200,MATCH(A10507,'Teacher Lookup'!$A$2:$A$200,0)),"")</f>
        <v>SHEIK Zarifa</v>
      </c>
    </row>
    <row r="10508" customFormat="false" ht="15" hidden="false" customHeight="false" outlineLevel="0" collapsed="false">
      <c r="A10508" s="3" t="s">
        <v>525</v>
      </c>
      <c r="B10508" s="4" t="s">
        <v>44</v>
      </c>
      <c r="C10508" s="4" t="n">
        <v>1</v>
      </c>
      <c r="D10508" s="4" t="s">
        <v>27</v>
      </c>
      <c r="E10508" s="3" t="s">
        <v>380</v>
      </c>
      <c r="F10508" s="4" t="str">
        <f aca="false">IF(I10508&gt;J10508,"Y","N")</f>
        <v>Y</v>
      </c>
      <c r="G10508" s="3" t="s">
        <v>378</v>
      </c>
      <c r="H10508" s="3" t="s">
        <v>16</v>
      </c>
      <c r="I10508" s="4" t="n">
        <v>9</v>
      </c>
      <c r="J10508" s="4" t="n">
        <f aca="false">LEN(E10508)-LEN(SUBSTITUTE(E10508,",",""))+1</f>
        <v>8</v>
      </c>
      <c r="K10508" s="3" t="str">
        <f aca="false">IFERROR(INDEX('Teacher Lookup'!$B$2:$B$200,MATCH(A10508,'Teacher Lookup'!$A$2:$A$200,0)),"")</f>
        <v>SHEIK Zarifa</v>
      </c>
    </row>
    <row r="10509" customFormat="false" ht="15" hidden="false" customHeight="false" outlineLevel="0" collapsed="false">
      <c r="A10509" s="3" t="s">
        <v>525</v>
      </c>
      <c r="B10509" s="4" t="s">
        <v>44</v>
      </c>
      <c r="C10509" s="4" t="n">
        <v>1</v>
      </c>
      <c r="D10509" s="4" t="s">
        <v>28</v>
      </c>
      <c r="E10509" s="3" t="s">
        <v>380</v>
      </c>
      <c r="F10509" s="4" t="str">
        <f aca="false">IF(I10509&gt;J10509,"Y","N")</f>
        <v>Y</v>
      </c>
      <c r="G10509" s="3" t="s">
        <v>378</v>
      </c>
      <c r="H10509" s="3" t="s">
        <v>16</v>
      </c>
      <c r="I10509" s="4" t="n">
        <v>9</v>
      </c>
      <c r="J10509" s="4" t="n">
        <f aca="false">LEN(E10509)-LEN(SUBSTITUTE(E10509,",",""))+1</f>
        <v>8</v>
      </c>
      <c r="K10509" s="3" t="str">
        <f aca="false">IFERROR(INDEX('Teacher Lookup'!$B$2:$B$200,MATCH(A10509,'Teacher Lookup'!$A$2:$A$200,0)),"")</f>
        <v>SHEIK Zarifa</v>
      </c>
    </row>
    <row r="10510" customFormat="false" ht="15" hidden="false" customHeight="false" outlineLevel="0" collapsed="false">
      <c r="A10510" s="3" t="s">
        <v>525</v>
      </c>
      <c r="B10510" s="4" t="s">
        <v>44</v>
      </c>
      <c r="C10510" s="4" t="n">
        <v>1</v>
      </c>
      <c r="D10510" s="4" t="s">
        <v>29</v>
      </c>
      <c r="E10510" s="3" t="s">
        <v>380</v>
      </c>
      <c r="F10510" s="4" t="str">
        <f aca="false">IF(I10510&gt;J10510,"Y","N")</f>
        <v>Y</v>
      </c>
      <c r="G10510" s="3" t="s">
        <v>378</v>
      </c>
      <c r="H10510" s="3" t="s">
        <v>16</v>
      </c>
      <c r="I10510" s="4" t="n">
        <v>9</v>
      </c>
      <c r="J10510" s="4" t="n">
        <f aca="false">LEN(E10510)-LEN(SUBSTITUTE(E10510,",",""))+1</f>
        <v>8</v>
      </c>
      <c r="K10510" s="3" t="str">
        <f aca="false">IFERROR(INDEX('Teacher Lookup'!$B$2:$B$200,MATCH(A10510,'Teacher Lookup'!$A$2:$A$200,0)),"")</f>
        <v>SHEIK Zarifa</v>
      </c>
    </row>
    <row r="10511" customFormat="false" ht="15" hidden="false" customHeight="false" outlineLevel="0" collapsed="false">
      <c r="A10511" s="3" t="s">
        <v>525</v>
      </c>
      <c r="B10511" s="4" t="s">
        <v>44</v>
      </c>
      <c r="C10511" s="4" t="n">
        <v>1</v>
      </c>
      <c r="D10511" s="4" t="s">
        <v>30</v>
      </c>
      <c r="E10511" s="3" t="s">
        <v>380</v>
      </c>
      <c r="F10511" s="4" t="str">
        <f aca="false">IF(I10511&gt;J10511,"Y","N")</f>
        <v>Y</v>
      </c>
      <c r="G10511" s="3" t="s">
        <v>378</v>
      </c>
      <c r="H10511" s="3" t="s">
        <v>16</v>
      </c>
      <c r="I10511" s="4" t="n">
        <v>9</v>
      </c>
      <c r="J10511" s="4" t="n">
        <f aca="false">LEN(E10511)-LEN(SUBSTITUTE(E10511,",",""))+1</f>
        <v>8</v>
      </c>
      <c r="K10511" s="3" t="str">
        <f aca="false">IFERROR(INDEX('Teacher Lookup'!$B$2:$B$200,MATCH(A10511,'Teacher Lookup'!$A$2:$A$200,0)),"")</f>
        <v>SHEIK Zarifa</v>
      </c>
    </row>
    <row r="10512" customFormat="false" ht="15" hidden="false" customHeight="false" outlineLevel="0" collapsed="false">
      <c r="A10512" s="3" t="s">
        <v>525</v>
      </c>
      <c r="B10512" s="4" t="s">
        <v>44</v>
      </c>
      <c r="C10512" s="4" t="n">
        <v>4</v>
      </c>
      <c r="D10512" s="4" t="s">
        <v>228</v>
      </c>
      <c r="E10512" s="3" t="s">
        <v>302</v>
      </c>
      <c r="F10512" s="4" t="str">
        <f aca="false">IF(I10512&gt;J10512,"Y","N")</f>
        <v>N</v>
      </c>
      <c r="G10512" s="3" t="s">
        <v>235</v>
      </c>
      <c r="H10512" s="3" t="s">
        <v>34</v>
      </c>
      <c r="I10512" s="4" t="n">
        <v>1</v>
      </c>
      <c r="J10512" s="4" t="n">
        <f aca="false">LEN(E10512)-LEN(SUBSTITUTE(E10512,",",""))+1</f>
        <v>1</v>
      </c>
      <c r="K10512" s="3" t="str">
        <f aca="false">IFERROR(INDEX('Teacher Lookup'!$B$2:$B$200,MATCH(A10512,'Teacher Lookup'!$A$2:$A$200,0)),"")</f>
        <v>SHEIK Zarifa</v>
      </c>
    </row>
    <row r="10513" customFormat="false" ht="15" hidden="false" customHeight="false" outlineLevel="0" collapsed="false">
      <c r="A10513" s="3" t="s">
        <v>525</v>
      </c>
      <c r="B10513" s="4" t="s">
        <v>44</v>
      </c>
      <c r="C10513" s="4" t="n">
        <v>5</v>
      </c>
      <c r="D10513" s="4" t="s">
        <v>24</v>
      </c>
      <c r="E10513" s="3" t="s">
        <v>131</v>
      </c>
      <c r="F10513" s="4" t="str">
        <f aca="false">IF(I10513&gt;J10513,"Y","N")</f>
        <v>Y</v>
      </c>
      <c r="G10513" s="3" t="s">
        <v>36</v>
      </c>
      <c r="H10513" s="3" t="s">
        <v>37</v>
      </c>
      <c r="I10513" s="4" t="n">
        <v>15</v>
      </c>
      <c r="J10513" s="4" t="n">
        <f aca="false">LEN(E10513)-LEN(SUBSTITUTE(E10513,",",""))+1</f>
        <v>7</v>
      </c>
      <c r="K10513" s="3" t="str">
        <f aca="false">IFERROR(INDEX('Teacher Lookup'!$B$2:$B$200,MATCH(A10513,'Teacher Lookup'!$A$2:$A$200,0)),"")</f>
        <v>SHEIK Zarifa</v>
      </c>
    </row>
    <row r="10514" customFormat="false" ht="15" hidden="false" customHeight="false" outlineLevel="0" collapsed="false">
      <c r="A10514" s="3" t="s">
        <v>525</v>
      </c>
      <c r="B10514" s="4" t="s">
        <v>44</v>
      </c>
      <c r="C10514" s="4" t="n">
        <v>5</v>
      </c>
      <c r="D10514" s="4" t="s">
        <v>132</v>
      </c>
      <c r="E10514" s="3" t="s">
        <v>131</v>
      </c>
      <c r="F10514" s="4" t="str">
        <f aca="false">IF(I10514&gt;J10514,"Y","N")</f>
        <v>Y</v>
      </c>
      <c r="G10514" s="3" t="s">
        <v>36</v>
      </c>
      <c r="H10514" s="3" t="s">
        <v>37</v>
      </c>
      <c r="I10514" s="4" t="n">
        <v>15</v>
      </c>
      <c r="J10514" s="4" t="n">
        <f aca="false">LEN(E10514)-LEN(SUBSTITUTE(E10514,",",""))+1</f>
        <v>7</v>
      </c>
      <c r="K10514" s="3" t="str">
        <f aca="false">IFERROR(INDEX('Teacher Lookup'!$B$2:$B$200,MATCH(A10514,'Teacher Lookup'!$A$2:$A$200,0)),"")</f>
        <v>SHEIK Zarifa</v>
      </c>
    </row>
    <row r="10515" customFormat="false" ht="15" hidden="false" customHeight="false" outlineLevel="0" collapsed="false">
      <c r="A10515" s="3" t="s">
        <v>525</v>
      </c>
      <c r="B10515" s="4" t="s">
        <v>44</v>
      </c>
      <c r="C10515" s="4" t="n">
        <v>5</v>
      </c>
      <c r="D10515" s="4" t="s">
        <v>27</v>
      </c>
      <c r="E10515" s="3" t="s">
        <v>131</v>
      </c>
      <c r="F10515" s="4" t="str">
        <f aca="false">IF(I10515&gt;J10515,"Y","N")</f>
        <v>Y</v>
      </c>
      <c r="G10515" s="3" t="s">
        <v>36</v>
      </c>
      <c r="H10515" s="3" t="s">
        <v>37</v>
      </c>
      <c r="I10515" s="4" t="n">
        <v>15</v>
      </c>
      <c r="J10515" s="4" t="n">
        <f aca="false">LEN(E10515)-LEN(SUBSTITUTE(E10515,",",""))+1</f>
        <v>7</v>
      </c>
      <c r="K10515" s="3" t="str">
        <f aca="false">IFERROR(INDEX('Teacher Lookup'!$B$2:$B$200,MATCH(A10515,'Teacher Lookup'!$A$2:$A$200,0)),"")</f>
        <v>SHEIK Zarifa</v>
      </c>
    </row>
    <row r="10516" customFormat="false" ht="15" hidden="false" customHeight="false" outlineLevel="0" collapsed="false">
      <c r="A10516" s="3" t="s">
        <v>525</v>
      </c>
      <c r="B10516" s="4" t="s">
        <v>44</v>
      </c>
      <c r="C10516" s="4" t="n">
        <v>5</v>
      </c>
      <c r="D10516" s="4" t="s">
        <v>28</v>
      </c>
      <c r="E10516" s="3" t="s">
        <v>131</v>
      </c>
      <c r="F10516" s="4" t="str">
        <f aca="false">IF(I10516&gt;J10516,"Y","N")</f>
        <v>Y</v>
      </c>
      <c r="G10516" s="3" t="s">
        <v>36</v>
      </c>
      <c r="H10516" s="3" t="s">
        <v>37</v>
      </c>
      <c r="I10516" s="4" t="n">
        <v>15</v>
      </c>
      <c r="J10516" s="4" t="n">
        <f aca="false">LEN(E10516)-LEN(SUBSTITUTE(E10516,",",""))+1</f>
        <v>7</v>
      </c>
      <c r="K10516" s="3" t="str">
        <f aca="false">IFERROR(INDEX('Teacher Lookup'!$B$2:$B$200,MATCH(A10516,'Teacher Lookup'!$A$2:$A$200,0)),"")</f>
        <v>SHEIK Zarifa</v>
      </c>
    </row>
    <row r="10517" customFormat="false" ht="15" hidden="false" customHeight="false" outlineLevel="0" collapsed="false">
      <c r="A10517" s="3" t="s">
        <v>525</v>
      </c>
      <c r="B10517" s="4" t="s">
        <v>44</v>
      </c>
      <c r="C10517" s="4" t="n">
        <v>5</v>
      </c>
      <c r="D10517" s="4" t="s">
        <v>29</v>
      </c>
      <c r="E10517" s="3" t="s">
        <v>131</v>
      </c>
      <c r="F10517" s="4" t="str">
        <f aca="false">IF(I10517&gt;J10517,"Y","N")</f>
        <v>Y</v>
      </c>
      <c r="G10517" s="3" t="s">
        <v>36</v>
      </c>
      <c r="H10517" s="3" t="s">
        <v>37</v>
      </c>
      <c r="I10517" s="4" t="n">
        <v>15</v>
      </c>
      <c r="J10517" s="4" t="n">
        <f aca="false">LEN(E10517)-LEN(SUBSTITUTE(E10517,",",""))+1</f>
        <v>7</v>
      </c>
      <c r="K10517" s="3" t="str">
        <f aca="false">IFERROR(INDEX('Teacher Lookup'!$B$2:$B$200,MATCH(A10517,'Teacher Lookup'!$A$2:$A$200,0)),"")</f>
        <v>SHEIK Zarifa</v>
      </c>
    </row>
    <row r="10518" customFormat="false" ht="15" hidden="false" customHeight="false" outlineLevel="0" collapsed="false">
      <c r="A10518" s="3" t="s">
        <v>525</v>
      </c>
      <c r="B10518" s="4" t="s">
        <v>44</v>
      </c>
      <c r="C10518" s="4" t="n">
        <v>5</v>
      </c>
      <c r="D10518" s="4" t="s">
        <v>30</v>
      </c>
      <c r="E10518" s="3" t="s">
        <v>131</v>
      </c>
      <c r="F10518" s="4" t="str">
        <f aca="false">IF(I10518&gt;J10518,"Y","N")</f>
        <v>Y</v>
      </c>
      <c r="G10518" s="3" t="s">
        <v>36</v>
      </c>
      <c r="H10518" s="3" t="s">
        <v>37</v>
      </c>
      <c r="I10518" s="4" t="n">
        <v>15</v>
      </c>
      <c r="J10518" s="4" t="n">
        <f aca="false">LEN(E10518)-LEN(SUBSTITUTE(E10518,",",""))+1</f>
        <v>7</v>
      </c>
      <c r="K10518" s="3" t="str">
        <f aca="false">IFERROR(INDEX('Teacher Lookup'!$B$2:$B$200,MATCH(A10518,'Teacher Lookup'!$A$2:$A$200,0)),"")</f>
        <v>SHEIK Zarifa</v>
      </c>
    </row>
    <row r="10519" customFormat="false" ht="15" hidden="false" customHeight="false" outlineLevel="0" collapsed="false">
      <c r="A10519" s="3" t="s">
        <v>525</v>
      </c>
      <c r="B10519" s="4" t="s">
        <v>47</v>
      </c>
      <c r="C10519" s="4" t="n">
        <v>1</v>
      </c>
      <c r="D10519" s="4" t="s">
        <v>228</v>
      </c>
      <c r="E10519" s="3" t="s">
        <v>246</v>
      </c>
      <c r="F10519" s="4" t="str">
        <f aca="false">IF(I10519&gt;J10519,"Y","N")</f>
        <v>N</v>
      </c>
      <c r="G10519" s="3" t="s">
        <v>235</v>
      </c>
      <c r="H10519" s="3" t="s">
        <v>16</v>
      </c>
      <c r="I10519" s="4" t="n">
        <v>1</v>
      </c>
      <c r="J10519" s="4" t="n">
        <f aca="false">LEN(E10519)-LEN(SUBSTITUTE(E10519,",",""))+1</f>
        <v>1</v>
      </c>
      <c r="K10519" s="3" t="str">
        <f aca="false">IFERROR(INDEX('Teacher Lookup'!$B$2:$B$200,MATCH(A10519,'Teacher Lookup'!$A$2:$A$200,0)),"")</f>
        <v>SHEIK Zarifa</v>
      </c>
    </row>
    <row r="10520" customFormat="false" ht="15" hidden="false" customHeight="false" outlineLevel="0" collapsed="false">
      <c r="A10520" s="3" t="s">
        <v>525</v>
      </c>
      <c r="B10520" s="4" t="s">
        <v>47</v>
      </c>
      <c r="C10520" s="4" t="n">
        <v>2</v>
      </c>
      <c r="D10520" s="4" t="s">
        <v>228</v>
      </c>
      <c r="E10520" s="3" t="s">
        <v>246</v>
      </c>
      <c r="F10520" s="4" t="str">
        <f aca="false">IF(I10520&gt;J10520,"Y","N")</f>
        <v>N</v>
      </c>
      <c r="G10520" s="3" t="s">
        <v>235</v>
      </c>
      <c r="H10520" s="3" t="s">
        <v>21</v>
      </c>
      <c r="I10520" s="4" t="n">
        <v>1</v>
      </c>
      <c r="J10520" s="4" t="n">
        <f aca="false">LEN(E10520)-LEN(SUBSTITUTE(E10520,",",""))+1</f>
        <v>1</v>
      </c>
      <c r="K10520" s="3" t="str">
        <f aca="false">IFERROR(INDEX('Teacher Lookup'!$B$2:$B$200,MATCH(A10520,'Teacher Lookup'!$A$2:$A$200,0)),"")</f>
        <v>SHEIK Zarifa</v>
      </c>
    </row>
    <row r="10521" customFormat="false" ht="15" hidden="false" customHeight="false" outlineLevel="0" collapsed="false">
      <c r="A10521" s="3" t="s">
        <v>525</v>
      </c>
      <c r="B10521" s="4" t="s">
        <v>47</v>
      </c>
      <c r="C10521" s="4" t="n">
        <v>3</v>
      </c>
      <c r="D10521" s="4" t="s">
        <v>24</v>
      </c>
      <c r="E10521" s="3" t="s">
        <v>381</v>
      </c>
      <c r="F10521" s="4" t="str">
        <f aca="false">IF(I10521&gt;J10521,"Y","N")</f>
        <v>N</v>
      </c>
      <c r="G10521" s="3" t="s">
        <v>378</v>
      </c>
      <c r="H10521" s="3" t="s">
        <v>26</v>
      </c>
      <c r="I10521" s="4" t="n">
        <v>8</v>
      </c>
      <c r="J10521" s="4" t="n">
        <f aca="false">LEN(E10521)-LEN(SUBSTITUTE(E10521,",",""))+1</f>
        <v>8</v>
      </c>
      <c r="K10521" s="3" t="str">
        <f aca="false">IFERROR(INDEX('Teacher Lookup'!$B$2:$B$200,MATCH(A10521,'Teacher Lookup'!$A$2:$A$200,0)),"")</f>
        <v>SHEIK Zarifa</v>
      </c>
    </row>
    <row r="10522" customFormat="false" ht="15" hidden="false" customHeight="false" outlineLevel="0" collapsed="false">
      <c r="A10522" s="3" t="s">
        <v>525</v>
      </c>
      <c r="B10522" s="4" t="s">
        <v>47</v>
      </c>
      <c r="C10522" s="4" t="n">
        <v>3</v>
      </c>
      <c r="D10522" s="4" t="s">
        <v>27</v>
      </c>
      <c r="E10522" s="3" t="s">
        <v>381</v>
      </c>
      <c r="F10522" s="4" t="str">
        <f aca="false">IF(I10522&gt;J10522,"Y","N")</f>
        <v>N</v>
      </c>
      <c r="G10522" s="3" t="s">
        <v>378</v>
      </c>
      <c r="H10522" s="3" t="s">
        <v>26</v>
      </c>
      <c r="I10522" s="4" t="n">
        <v>8</v>
      </c>
      <c r="J10522" s="4" t="n">
        <f aca="false">LEN(E10522)-LEN(SUBSTITUTE(E10522,",",""))+1</f>
        <v>8</v>
      </c>
      <c r="K10522" s="3" t="str">
        <f aca="false">IFERROR(INDEX('Teacher Lookup'!$B$2:$B$200,MATCH(A10522,'Teacher Lookup'!$A$2:$A$200,0)),"")</f>
        <v>SHEIK Zarifa</v>
      </c>
    </row>
    <row r="10523" customFormat="false" ht="15" hidden="false" customHeight="false" outlineLevel="0" collapsed="false">
      <c r="A10523" s="3" t="s">
        <v>525</v>
      </c>
      <c r="B10523" s="4" t="s">
        <v>47</v>
      </c>
      <c r="C10523" s="4" t="n">
        <v>3</v>
      </c>
      <c r="D10523" s="4" t="s">
        <v>28</v>
      </c>
      <c r="E10523" s="3" t="s">
        <v>381</v>
      </c>
      <c r="F10523" s="4" t="str">
        <f aca="false">IF(I10523&gt;J10523,"Y","N")</f>
        <v>N</v>
      </c>
      <c r="G10523" s="3" t="s">
        <v>378</v>
      </c>
      <c r="H10523" s="3" t="s">
        <v>26</v>
      </c>
      <c r="I10523" s="4" t="n">
        <v>8</v>
      </c>
      <c r="J10523" s="4" t="n">
        <f aca="false">LEN(E10523)-LEN(SUBSTITUTE(E10523,",",""))+1</f>
        <v>8</v>
      </c>
      <c r="K10523" s="3" t="str">
        <f aca="false">IFERROR(INDEX('Teacher Lookup'!$B$2:$B$200,MATCH(A10523,'Teacher Lookup'!$A$2:$A$200,0)),"")</f>
        <v>SHEIK Zarifa</v>
      </c>
    </row>
    <row r="10524" customFormat="false" ht="15" hidden="false" customHeight="false" outlineLevel="0" collapsed="false">
      <c r="A10524" s="3" t="s">
        <v>525</v>
      </c>
      <c r="B10524" s="4" t="s">
        <v>47</v>
      </c>
      <c r="C10524" s="4" t="n">
        <v>3</v>
      </c>
      <c r="D10524" s="4" t="s">
        <v>29</v>
      </c>
      <c r="E10524" s="3" t="s">
        <v>381</v>
      </c>
      <c r="F10524" s="4" t="str">
        <f aca="false">IF(I10524&gt;J10524,"Y","N")</f>
        <v>N</v>
      </c>
      <c r="G10524" s="3" t="s">
        <v>378</v>
      </c>
      <c r="H10524" s="3" t="s">
        <v>26</v>
      </c>
      <c r="I10524" s="4" t="n">
        <v>8</v>
      </c>
      <c r="J10524" s="4" t="n">
        <f aca="false">LEN(E10524)-LEN(SUBSTITUTE(E10524,",",""))+1</f>
        <v>8</v>
      </c>
      <c r="K10524" s="3" t="str">
        <f aca="false">IFERROR(INDEX('Teacher Lookup'!$B$2:$B$200,MATCH(A10524,'Teacher Lookup'!$A$2:$A$200,0)),"")</f>
        <v>SHEIK Zarifa</v>
      </c>
    </row>
    <row r="10525" customFormat="false" ht="15" hidden="false" customHeight="false" outlineLevel="0" collapsed="false">
      <c r="A10525" s="3" t="s">
        <v>525</v>
      </c>
      <c r="B10525" s="4" t="s">
        <v>47</v>
      </c>
      <c r="C10525" s="4" t="n">
        <v>3</v>
      </c>
      <c r="D10525" s="4" t="s">
        <v>30</v>
      </c>
      <c r="E10525" s="3" t="s">
        <v>381</v>
      </c>
      <c r="F10525" s="4" t="str">
        <f aca="false">IF(I10525&gt;J10525,"Y","N")</f>
        <v>N</v>
      </c>
      <c r="G10525" s="3" t="s">
        <v>378</v>
      </c>
      <c r="H10525" s="3" t="s">
        <v>26</v>
      </c>
      <c r="I10525" s="4" t="n">
        <v>8</v>
      </c>
      <c r="J10525" s="4" t="n">
        <f aca="false">LEN(E10525)-LEN(SUBSTITUTE(E10525,",",""))+1</f>
        <v>8</v>
      </c>
      <c r="K10525" s="3" t="str">
        <f aca="false">IFERROR(INDEX('Teacher Lookup'!$B$2:$B$200,MATCH(A10525,'Teacher Lookup'!$A$2:$A$200,0)),"")</f>
        <v>SHEIK Zarifa</v>
      </c>
    </row>
    <row r="10526" customFormat="false" ht="15" hidden="false" customHeight="false" outlineLevel="0" collapsed="false">
      <c r="A10526" s="3" t="s">
        <v>525</v>
      </c>
      <c r="B10526" s="4" t="s">
        <v>47</v>
      </c>
      <c r="C10526" s="4" t="n">
        <v>4</v>
      </c>
      <c r="D10526" s="4" t="s">
        <v>24</v>
      </c>
      <c r="E10526" s="3" t="s">
        <v>381</v>
      </c>
      <c r="F10526" s="4" t="str">
        <f aca="false">IF(I10526&gt;J10526,"Y","N")</f>
        <v>N</v>
      </c>
      <c r="G10526" s="3" t="s">
        <v>378</v>
      </c>
      <c r="H10526" s="3" t="s">
        <v>34</v>
      </c>
      <c r="I10526" s="4" t="n">
        <v>8</v>
      </c>
      <c r="J10526" s="4" t="n">
        <f aca="false">LEN(E10526)-LEN(SUBSTITUTE(E10526,",",""))+1</f>
        <v>8</v>
      </c>
      <c r="K10526" s="3" t="str">
        <f aca="false">IFERROR(INDEX('Teacher Lookup'!$B$2:$B$200,MATCH(A10526,'Teacher Lookup'!$A$2:$A$200,0)),"")</f>
        <v>SHEIK Zarifa</v>
      </c>
    </row>
    <row r="10527" customFormat="false" ht="15" hidden="false" customHeight="false" outlineLevel="0" collapsed="false">
      <c r="A10527" s="3" t="s">
        <v>525</v>
      </c>
      <c r="B10527" s="4" t="s">
        <v>47</v>
      </c>
      <c r="C10527" s="4" t="n">
        <v>4</v>
      </c>
      <c r="D10527" s="4" t="s">
        <v>27</v>
      </c>
      <c r="E10527" s="3" t="s">
        <v>381</v>
      </c>
      <c r="F10527" s="4" t="str">
        <f aca="false">IF(I10527&gt;J10527,"Y","N")</f>
        <v>N</v>
      </c>
      <c r="G10527" s="3" t="s">
        <v>378</v>
      </c>
      <c r="H10527" s="3" t="s">
        <v>34</v>
      </c>
      <c r="I10527" s="4" t="n">
        <v>8</v>
      </c>
      <c r="J10527" s="4" t="n">
        <f aca="false">LEN(E10527)-LEN(SUBSTITUTE(E10527,",",""))+1</f>
        <v>8</v>
      </c>
      <c r="K10527" s="3" t="str">
        <f aca="false">IFERROR(INDEX('Teacher Lookup'!$B$2:$B$200,MATCH(A10527,'Teacher Lookup'!$A$2:$A$200,0)),"")</f>
        <v>SHEIK Zarifa</v>
      </c>
    </row>
    <row r="10528" customFormat="false" ht="15" hidden="false" customHeight="false" outlineLevel="0" collapsed="false">
      <c r="A10528" s="3" t="s">
        <v>525</v>
      </c>
      <c r="B10528" s="4" t="s">
        <v>47</v>
      </c>
      <c r="C10528" s="4" t="n">
        <v>4</v>
      </c>
      <c r="D10528" s="4" t="s">
        <v>28</v>
      </c>
      <c r="E10528" s="3" t="s">
        <v>381</v>
      </c>
      <c r="F10528" s="4" t="str">
        <f aca="false">IF(I10528&gt;J10528,"Y","N")</f>
        <v>N</v>
      </c>
      <c r="G10528" s="3" t="s">
        <v>378</v>
      </c>
      <c r="H10528" s="3" t="s">
        <v>34</v>
      </c>
      <c r="I10528" s="4" t="n">
        <v>8</v>
      </c>
      <c r="J10528" s="4" t="n">
        <f aca="false">LEN(E10528)-LEN(SUBSTITUTE(E10528,",",""))+1</f>
        <v>8</v>
      </c>
      <c r="K10528" s="3" t="str">
        <f aca="false">IFERROR(INDEX('Teacher Lookup'!$B$2:$B$200,MATCH(A10528,'Teacher Lookup'!$A$2:$A$200,0)),"")</f>
        <v>SHEIK Zarifa</v>
      </c>
    </row>
    <row r="10529" customFormat="false" ht="15" hidden="false" customHeight="false" outlineLevel="0" collapsed="false">
      <c r="A10529" s="3" t="s">
        <v>525</v>
      </c>
      <c r="B10529" s="4" t="s">
        <v>47</v>
      </c>
      <c r="C10529" s="4" t="n">
        <v>4</v>
      </c>
      <c r="D10529" s="4" t="s">
        <v>29</v>
      </c>
      <c r="E10529" s="3" t="s">
        <v>381</v>
      </c>
      <c r="F10529" s="4" t="str">
        <f aca="false">IF(I10529&gt;J10529,"Y","N")</f>
        <v>N</v>
      </c>
      <c r="G10529" s="3" t="s">
        <v>378</v>
      </c>
      <c r="H10529" s="3" t="s">
        <v>34</v>
      </c>
      <c r="I10529" s="4" t="n">
        <v>8</v>
      </c>
      <c r="J10529" s="4" t="n">
        <f aca="false">LEN(E10529)-LEN(SUBSTITUTE(E10529,",",""))+1</f>
        <v>8</v>
      </c>
      <c r="K10529" s="3" t="str">
        <f aca="false">IFERROR(INDEX('Teacher Lookup'!$B$2:$B$200,MATCH(A10529,'Teacher Lookup'!$A$2:$A$200,0)),"")</f>
        <v>SHEIK Zarifa</v>
      </c>
    </row>
    <row r="10530" customFormat="false" ht="15" hidden="false" customHeight="false" outlineLevel="0" collapsed="false">
      <c r="A10530" s="3" t="s">
        <v>525</v>
      </c>
      <c r="B10530" s="4" t="s">
        <v>47</v>
      </c>
      <c r="C10530" s="4" t="n">
        <v>4</v>
      </c>
      <c r="D10530" s="4" t="s">
        <v>30</v>
      </c>
      <c r="E10530" s="3" t="s">
        <v>381</v>
      </c>
      <c r="F10530" s="4" t="str">
        <f aca="false">IF(I10530&gt;J10530,"Y","N")</f>
        <v>N</v>
      </c>
      <c r="G10530" s="3" t="s">
        <v>378</v>
      </c>
      <c r="H10530" s="3" t="s">
        <v>34</v>
      </c>
      <c r="I10530" s="4" t="n">
        <v>8</v>
      </c>
      <c r="J10530" s="4" t="n">
        <f aca="false">LEN(E10530)-LEN(SUBSTITUTE(E10530,",",""))+1</f>
        <v>8</v>
      </c>
      <c r="K10530" s="3" t="str">
        <f aca="false">IFERROR(INDEX('Teacher Lookup'!$B$2:$B$200,MATCH(A10530,'Teacher Lookup'!$A$2:$A$200,0)),"")</f>
        <v>SHEIK Zarifa</v>
      </c>
    </row>
    <row r="10531" customFormat="false" ht="15" hidden="false" customHeight="false" outlineLevel="0" collapsed="false">
      <c r="A10531" s="3" t="s">
        <v>525</v>
      </c>
      <c r="B10531" s="4" t="s">
        <v>50</v>
      </c>
      <c r="C10531" s="4" t="n">
        <v>3</v>
      </c>
      <c r="D10531" s="4" t="s">
        <v>228</v>
      </c>
      <c r="E10531" s="3" t="s">
        <v>302</v>
      </c>
      <c r="F10531" s="4" t="str">
        <f aca="false">IF(I10531&gt;J10531,"Y","N")</f>
        <v>N</v>
      </c>
      <c r="G10531" s="3" t="s">
        <v>235</v>
      </c>
      <c r="H10531" s="3" t="s">
        <v>26</v>
      </c>
      <c r="I10531" s="4" t="n">
        <v>1</v>
      </c>
      <c r="J10531" s="4" t="n">
        <f aca="false">LEN(E10531)-LEN(SUBSTITUTE(E10531,",",""))+1</f>
        <v>1</v>
      </c>
      <c r="K10531" s="3" t="str">
        <f aca="false">IFERROR(INDEX('Teacher Lookup'!$B$2:$B$200,MATCH(A10531,'Teacher Lookup'!$A$2:$A$200,0)),"")</f>
        <v>SHEIK Zarifa</v>
      </c>
    </row>
    <row r="10532" customFormat="false" ht="15" hidden="false" customHeight="false" outlineLevel="0" collapsed="false">
      <c r="A10532" s="3" t="s">
        <v>525</v>
      </c>
      <c r="B10532" s="4" t="s">
        <v>50</v>
      </c>
      <c r="C10532" s="4" t="n">
        <v>7</v>
      </c>
      <c r="D10532" s="4" t="s">
        <v>24</v>
      </c>
      <c r="E10532" s="3" t="s">
        <v>382</v>
      </c>
      <c r="F10532" s="4" t="str">
        <f aca="false">IF(I10532&gt;J10532,"Y","N")</f>
        <v>N</v>
      </c>
      <c r="G10532" s="3" t="s">
        <v>378</v>
      </c>
      <c r="H10532" s="3" t="s">
        <v>39</v>
      </c>
      <c r="I10532" s="4" t="n">
        <v>8</v>
      </c>
      <c r="J10532" s="4" t="n">
        <f aca="false">LEN(E10532)-LEN(SUBSTITUTE(E10532,",",""))+1</f>
        <v>8</v>
      </c>
      <c r="K10532" s="3" t="str">
        <f aca="false">IFERROR(INDEX('Teacher Lookup'!$B$2:$B$200,MATCH(A10532,'Teacher Lookup'!$A$2:$A$200,0)),"")</f>
        <v>SHEIK Zarifa</v>
      </c>
    </row>
    <row r="10533" customFormat="false" ht="15" hidden="false" customHeight="false" outlineLevel="0" collapsed="false">
      <c r="A10533" s="3" t="s">
        <v>525</v>
      </c>
      <c r="B10533" s="4" t="s">
        <v>50</v>
      </c>
      <c r="C10533" s="4" t="n">
        <v>7</v>
      </c>
      <c r="D10533" s="4" t="s">
        <v>27</v>
      </c>
      <c r="E10533" s="3" t="s">
        <v>382</v>
      </c>
      <c r="F10533" s="4" t="str">
        <f aca="false">IF(I10533&gt;J10533,"Y","N")</f>
        <v>N</v>
      </c>
      <c r="G10533" s="3" t="s">
        <v>378</v>
      </c>
      <c r="H10533" s="3" t="s">
        <v>39</v>
      </c>
      <c r="I10533" s="4" t="n">
        <v>8</v>
      </c>
      <c r="J10533" s="4" t="n">
        <f aca="false">LEN(E10533)-LEN(SUBSTITUTE(E10533,",",""))+1</f>
        <v>8</v>
      </c>
      <c r="K10533" s="3" t="str">
        <f aca="false">IFERROR(INDEX('Teacher Lookup'!$B$2:$B$200,MATCH(A10533,'Teacher Lookup'!$A$2:$A$200,0)),"")</f>
        <v>SHEIK Zarifa</v>
      </c>
    </row>
    <row r="10534" customFormat="false" ht="15" hidden="false" customHeight="false" outlineLevel="0" collapsed="false">
      <c r="A10534" s="3" t="s">
        <v>525</v>
      </c>
      <c r="B10534" s="4" t="s">
        <v>50</v>
      </c>
      <c r="C10534" s="4" t="n">
        <v>7</v>
      </c>
      <c r="D10534" s="4" t="s">
        <v>28</v>
      </c>
      <c r="E10534" s="3" t="s">
        <v>382</v>
      </c>
      <c r="F10534" s="4" t="str">
        <f aca="false">IF(I10534&gt;J10534,"Y","N")</f>
        <v>N</v>
      </c>
      <c r="G10534" s="3" t="s">
        <v>378</v>
      </c>
      <c r="H10534" s="3" t="s">
        <v>39</v>
      </c>
      <c r="I10534" s="4" t="n">
        <v>8</v>
      </c>
      <c r="J10534" s="4" t="n">
        <f aca="false">LEN(E10534)-LEN(SUBSTITUTE(E10534,",",""))+1</f>
        <v>8</v>
      </c>
      <c r="K10534" s="3" t="str">
        <f aca="false">IFERROR(INDEX('Teacher Lookup'!$B$2:$B$200,MATCH(A10534,'Teacher Lookup'!$A$2:$A$200,0)),"")</f>
        <v>SHEIK Zarifa</v>
      </c>
    </row>
    <row r="10535" customFormat="false" ht="15" hidden="false" customHeight="false" outlineLevel="0" collapsed="false">
      <c r="A10535" s="3" t="s">
        <v>525</v>
      </c>
      <c r="B10535" s="4" t="s">
        <v>50</v>
      </c>
      <c r="C10535" s="4" t="n">
        <v>7</v>
      </c>
      <c r="D10535" s="4" t="s">
        <v>29</v>
      </c>
      <c r="E10535" s="3" t="s">
        <v>382</v>
      </c>
      <c r="F10535" s="4" t="str">
        <f aca="false">IF(I10535&gt;J10535,"Y","N")</f>
        <v>N</v>
      </c>
      <c r="G10535" s="3" t="s">
        <v>378</v>
      </c>
      <c r="H10535" s="3" t="s">
        <v>39</v>
      </c>
      <c r="I10535" s="4" t="n">
        <v>8</v>
      </c>
      <c r="J10535" s="4" t="n">
        <f aca="false">LEN(E10535)-LEN(SUBSTITUTE(E10535,",",""))+1</f>
        <v>8</v>
      </c>
      <c r="K10535" s="3" t="str">
        <f aca="false">IFERROR(INDEX('Teacher Lookup'!$B$2:$B$200,MATCH(A10535,'Teacher Lookup'!$A$2:$A$200,0)),"")</f>
        <v>SHEIK Zarifa</v>
      </c>
    </row>
    <row r="10536" customFormat="false" ht="15" hidden="false" customHeight="false" outlineLevel="0" collapsed="false">
      <c r="A10536" s="3" t="s">
        <v>525</v>
      </c>
      <c r="B10536" s="4" t="s">
        <v>50</v>
      </c>
      <c r="C10536" s="4" t="n">
        <v>7</v>
      </c>
      <c r="D10536" s="4" t="s">
        <v>30</v>
      </c>
      <c r="E10536" s="3" t="s">
        <v>382</v>
      </c>
      <c r="F10536" s="4" t="str">
        <f aca="false">IF(I10536&gt;J10536,"Y","N")</f>
        <v>N</v>
      </c>
      <c r="G10536" s="3" t="s">
        <v>378</v>
      </c>
      <c r="H10536" s="3" t="s">
        <v>39</v>
      </c>
      <c r="I10536" s="4" t="n">
        <v>8</v>
      </c>
      <c r="J10536" s="4" t="n">
        <f aca="false">LEN(E10536)-LEN(SUBSTITUTE(E10536,",",""))+1</f>
        <v>8</v>
      </c>
      <c r="K10536" s="3" t="str">
        <f aca="false">IFERROR(INDEX('Teacher Lookup'!$B$2:$B$200,MATCH(A10536,'Teacher Lookup'!$A$2:$A$200,0)),"")</f>
        <v>SHEIK Zarifa</v>
      </c>
    </row>
    <row r="10537" customFormat="false" ht="15" hidden="false" customHeight="false" outlineLevel="0" collapsed="false">
      <c r="A10537" s="3" t="s">
        <v>525</v>
      </c>
      <c r="B10537" s="4" t="s">
        <v>60</v>
      </c>
      <c r="C10537" s="4" t="n">
        <v>1</v>
      </c>
      <c r="D10537" s="4" t="s">
        <v>228</v>
      </c>
      <c r="E10537" s="3" t="s">
        <v>246</v>
      </c>
      <c r="F10537" s="4" t="str">
        <f aca="false">IF(I10537&gt;J10537,"Y","N")</f>
        <v>N</v>
      </c>
      <c r="G10537" s="3" t="s">
        <v>235</v>
      </c>
      <c r="H10537" s="3" t="s">
        <v>16</v>
      </c>
      <c r="I10537" s="4" t="n">
        <v>1</v>
      </c>
      <c r="J10537" s="4" t="n">
        <f aca="false">LEN(E10537)-LEN(SUBSTITUTE(E10537,",",""))+1</f>
        <v>1</v>
      </c>
      <c r="K10537" s="3" t="str">
        <f aca="false">IFERROR(INDEX('Teacher Lookup'!$B$2:$B$200,MATCH(A10537,'Teacher Lookup'!$A$2:$A$200,0)),"")</f>
        <v>SHEIK Zarifa</v>
      </c>
    </row>
    <row r="10538" customFormat="false" ht="15" hidden="false" customHeight="false" outlineLevel="0" collapsed="false">
      <c r="A10538" s="3" t="s">
        <v>525</v>
      </c>
      <c r="B10538" s="4" t="s">
        <v>60</v>
      </c>
      <c r="C10538" s="4" t="n">
        <v>2</v>
      </c>
      <c r="D10538" s="4" t="s">
        <v>228</v>
      </c>
      <c r="E10538" s="3" t="s">
        <v>246</v>
      </c>
      <c r="F10538" s="4" t="str">
        <f aca="false">IF(I10538&gt;J10538,"Y","N")</f>
        <v>N</v>
      </c>
      <c r="G10538" s="3" t="s">
        <v>235</v>
      </c>
      <c r="H10538" s="3" t="s">
        <v>21</v>
      </c>
      <c r="I10538" s="4" t="n">
        <v>1</v>
      </c>
      <c r="J10538" s="4" t="n">
        <f aca="false">LEN(E10538)-LEN(SUBSTITUTE(E10538,",",""))+1</f>
        <v>1</v>
      </c>
      <c r="K10538" s="3" t="str">
        <f aca="false">IFERROR(INDEX('Teacher Lookup'!$B$2:$B$200,MATCH(A10538,'Teacher Lookup'!$A$2:$A$200,0)),"")</f>
        <v>SHEIK Zarifa</v>
      </c>
    </row>
    <row r="10539" customFormat="false" ht="15" hidden="false" customHeight="false" outlineLevel="0" collapsed="false">
      <c r="A10539" s="3" t="s">
        <v>525</v>
      </c>
      <c r="B10539" s="4" t="s">
        <v>60</v>
      </c>
      <c r="C10539" s="4" t="n">
        <v>3</v>
      </c>
      <c r="D10539" s="4" t="s">
        <v>24</v>
      </c>
      <c r="E10539" s="3" t="s">
        <v>383</v>
      </c>
      <c r="F10539" s="4" t="str">
        <f aca="false">IF(I10539&gt;J10539,"Y","N")</f>
        <v>N</v>
      </c>
      <c r="G10539" s="3" t="s">
        <v>378</v>
      </c>
      <c r="H10539" s="3" t="s">
        <v>26</v>
      </c>
      <c r="I10539" s="4" t="n">
        <v>8</v>
      </c>
      <c r="J10539" s="4" t="n">
        <f aca="false">LEN(E10539)-LEN(SUBSTITUTE(E10539,",",""))+1</f>
        <v>8</v>
      </c>
      <c r="K10539" s="3" t="str">
        <f aca="false">IFERROR(INDEX('Teacher Lookup'!$B$2:$B$200,MATCH(A10539,'Teacher Lookup'!$A$2:$A$200,0)),"")</f>
        <v>SHEIK Zarifa</v>
      </c>
    </row>
    <row r="10540" customFormat="false" ht="15" hidden="false" customHeight="false" outlineLevel="0" collapsed="false">
      <c r="A10540" s="3" t="s">
        <v>525</v>
      </c>
      <c r="B10540" s="4" t="s">
        <v>60</v>
      </c>
      <c r="C10540" s="4" t="n">
        <v>3</v>
      </c>
      <c r="D10540" s="4" t="s">
        <v>27</v>
      </c>
      <c r="E10540" s="3" t="s">
        <v>383</v>
      </c>
      <c r="F10540" s="4" t="str">
        <f aca="false">IF(I10540&gt;J10540,"Y","N")</f>
        <v>N</v>
      </c>
      <c r="G10540" s="3" t="s">
        <v>378</v>
      </c>
      <c r="H10540" s="3" t="s">
        <v>26</v>
      </c>
      <c r="I10540" s="4" t="n">
        <v>8</v>
      </c>
      <c r="J10540" s="4" t="n">
        <f aca="false">LEN(E10540)-LEN(SUBSTITUTE(E10540,",",""))+1</f>
        <v>8</v>
      </c>
      <c r="K10540" s="3" t="str">
        <f aca="false">IFERROR(INDEX('Teacher Lookup'!$B$2:$B$200,MATCH(A10540,'Teacher Lookup'!$A$2:$A$200,0)),"")</f>
        <v>SHEIK Zarifa</v>
      </c>
    </row>
    <row r="10541" customFormat="false" ht="15" hidden="false" customHeight="false" outlineLevel="0" collapsed="false">
      <c r="A10541" s="3" t="s">
        <v>525</v>
      </c>
      <c r="B10541" s="4" t="s">
        <v>60</v>
      </c>
      <c r="C10541" s="4" t="n">
        <v>3</v>
      </c>
      <c r="D10541" s="4" t="s">
        <v>28</v>
      </c>
      <c r="E10541" s="3" t="s">
        <v>383</v>
      </c>
      <c r="F10541" s="4" t="str">
        <f aca="false">IF(I10541&gt;J10541,"Y","N")</f>
        <v>N</v>
      </c>
      <c r="G10541" s="3" t="s">
        <v>378</v>
      </c>
      <c r="H10541" s="3" t="s">
        <v>26</v>
      </c>
      <c r="I10541" s="4" t="n">
        <v>8</v>
      </c>
      <c r="J10541" s="4" t="n">
        <f aca="false">LEN(E10541)-LEN(SUBSTITUTE(E10541,",",""))+1</f>
        <v>8</v>
      </c>
      <c r="K10541" s="3" t="str">
        <f aca="false">IFERROR(INDEX('Teacher Lookup'!$B$2:$B$200,MATCH(A10541,'Teacher Lookup'!$A$2:$A$200,0)),"")</f>
        <v>SHEIK Zarifa</v>
      </c>
    </row>
    <row r="10542" customFormat="false" ht="15" hidden="false" customHeight="false" outlineLevel="0" collapsed="false">
      <c r="A10542" s="3" t="s">
        <v>525</v>
      </c>
      <c r="B10542" s="4" t="s">
        <v>60</v>
      </c>
      <c r="C10542" s="4" t="n">
        <v>3</v>
      </c>
      <c r="D10542" s="4" t="s">
        <v>29</v>
      </c>
      <c r="E10542" s="3" t="s">
        <v>383</v>
      </c>
      <c r="F10542" s="4" t="str">
        <f aca="false">IF(I10542&gt;J10542,"Y","N")</f>
        <v>N</v>
      </c>
      <c r="G10542" s="3" t="s">
        <v>378</v>
      </c>
      <c r="H10542" s="3" t="s">
        <v>26</v>
      </c>
      <c r="I10542" s="4" t="n">
        <v>8</v>
      </c>
      <c r="J10542" s="4" t="n">
        <f aca="false">LEN(E10542)-LEN(SUBSTITUTE(E10542,",",""))+1</f>
        <v>8</v>
      </c>
      <c r="K10542" s="3" t="str">
        <f aca="false">IFERROR(INDEX('Teacher Lookup'!$B$2:$B$200,MATCH(A10542,'Teacher Lookup'!$A$2:$A$200,0)),"")</f>
        <v>SHEIK Zarifa</v>
      </c>
    </row>
    <row r="10543" customFormat="false" ht="15" hidden="false" customHeight="false" outlineLevel="0" collapsed="false">
      <c r="A10543" s="3" t="s">
        <v>525</v>
      </c>
      <c r="B10543" s="4" t="s">
        <v>60</v>
      </c>
      <c r="C10543" s="4" t="n">
        <v>3</v>
      </c>
      <c r="D10543" s="4" t="s">
        <v>30</v>
      </c>
      <c r="E10543" s="3" t="s">
        <v>383</v>
      </c>
      <c r="F10543" s="4" t="str">
        <f aca="false">IF(I10543&gt;J10543,"Y","N")</f>
        <v>N</v>
      </c>
      <c r="G10543" s="3" t="s">
        <v>378</v>
      </c>
      <c r="H10543" s="3" t="s">
        <v>26</v>
      </c>
      <c r="I10543" s="4" t="n">
        <v>8</v>
      </c>
      <c r="J10543" s="4" t="n">
        <f aca="false">LEN(E10543)-LEN(SUBSTITUTE(E10543,",",""))+1</f>
        <v>8</v>
      </c>
      <c r="K10543" s="3" t="str">
        <f aca="false">IFERROR(INDEX('Teacher Lookup'!$B$2:$B$200,MATCH(A10543,'Teacher Lookup'!$A$2:$A$200,0)),"")</f>
        <v>SHEIK Zarifa</v>
      </c>
    </row>
    <row r="10544" customFormat="false" ht="15" hidden="false" customHeight="false" outlineLevel="0" collapsed="false">
      <c r="A10544" s="3" t="s">
        <v>525</v>
      </c>
      <c r="B10544" s="4" t="s">
        <v>60</v>
      </c>
      <c r="C10544" s="4" t="n">
        <v>5</v>
      </c>
      <c r="D10544" s="4" t="s">
        <v>24</v>
      </c>
      <c r="E10544" s="3" t="s">
        <v>131</v>
      </c>
      <c r="F10544" s="4" t="str">
        <f aca="false">IF(I10544&gt;J10544,"Y","N")</f>
        <v>Y</v>
      </c>
      <c r="G10544" s="3" t="s">
        <v>36</v>
      </c>
      <c r="H10544" s="3" t="s">
        <v>37</v>
      </c>
      <c r="I10544" s="4" t="n">
        <v>15</v>
      </c>
      <c r="J10544" s="4" t="n">
        <f aca="false">LEN(E10544)-LEN(SUBSTITUTE(E10544,",",""))+1</f>
        <v>7</v>
      </c>
      <c r="K10544" s="3" t="str">
        <f aca="false">IFERROR(INDEX('Teacher Lookup'!$B$2:$B$200,MATCH(A10544,'Teacher Lookup'!$A$2:$A$200,0)),"")</f>
        <v>SHEIK Zarifa</v>
      </c>
    </row>
    <row r="10545" customFormat="false" ht="15" hidden="false" customHeight="false" outlineLevel="0" collapsed="false">
      <c r="A10545" s="3" t="s">
        <v>525</v>
      </c>
      <c r="B10545" s="4" t="s">
        <v>60</v>
      </c>
      <c r="C10545" s="4" t="n">
        <v>5</v>
      </c>
      <c r="D10545" s="4" t="s">
        <v>132</v>
      </c>
      <c r="E10545" s="3" t="s">
        <v>131</v>
      </c>
      <c r="F10545" s="4" t="str">
        <f aca="false">IF(I10545&gt;J10545,"Y","N")</f>
        <v>Y</v>
      </c>
      <c r="G10545" s="3" t="s">
        <v>36</v>
      </c>
      <c r="H10545" s="3" t="s">
        <v>37</v>
      </c>
      <c r="I10545" s="4" t="n">
        <v>15</v>
      </c>
      <c r="J10545" s="4" t="n">
        <f aca="false">LEN(E10545)-LEN(SUBSTITUTE(E10545,",",""))+1</f>
        <v>7</v>
      </c>
      <c r="K10545" s="3" t="str">
        <f aca="false">IFERROR(INDEX('Teacher Lookup'!$B$2:$B$200,MATCH(A10545,'Teacher Lookup'!$A$2:$A$200,0)),"")</f>
        <v>SHEIK Zarifa</v>
      </c>
    </row>
    <row r="10546" customFormat="false" ht="15" hidden="false" customHeight="false" outlineLevel="0" collapsed="false">
      <c r="A10546" s="3" t="s">
        <v>525</v>
      </c>
      <c r="B10546" s="4" t="s">
        <v>60</v>
      </c>
      <c r="C10546" s="4" t="n">
        <v>5</v>
      </c>
      <c r="D10546" s="4" t="s">
        <v>27</v>
      </c>
      <c r="E10546" s="3" t="s">
        <v>131</v>
      </c>
      <c r="F10546" s="4" t="str">
        <f aca="false">IF(I10546&gt;J10546,"Y","N")</f>
        <v>Y</v>
      </c>
      <c r="G10546" s="3" t="s">
        <v>36</v>
      </c>
      <c r="H10546" s="3" t="s">
        <v>37</v>
      </c>
      <c r="I10546" s="4" t="n">
        <v>15</v>
      </c>
      <c r="J10546" s="4" t="n">
        <f aca="false">LEN(E10546)-LEN(SUBSTITUTE(E10546,",",""))+1</f>
        <v>7</v>
      </c>
      <c r="K10546" s="3" t="str">
        <f aca="false">IFERROR(INDEX('Teacher Lookup'!$B$2:$B$200,MATCH(A10546,'Teacher Lookup'!$A$2:$A$200,0)),"")</f>
        <v>SHEIK Zarifa</v>
      </c>
    </row>
    <row r="10547" customFormat="false" ht="15" hidden="false" customHeight="false" outlineLevel="0" collapsed="false">
      <c r="A10547" s="3" t="s">
        <v>525</v>
      </c>
      <c r="B10547" s="4" t="s">
        <v>60</v>
      </c>
      <c r="C10547" s="4" t="n">
        <v>5</v>
      </c>
      <c r="D10547" s="4" t="s">
        <v>28</v>
      </c>
      <c r="E10547" s="3" t="s">
        <v>131</v>
      </c>
      <c r="F10547" s="4" t="str">
        <f aca="false">IF(I10547&gt;J10547,"Y","N")</f>
        <v>Y</v>
      </c>
      <c r="G10547" s="3" t="s">
        <v>36</v>
      </c>
      <c r="H10547" s="3" t="s">
        <v>37</v>
      </c>
      <c r="I10547" s="4" t="n">
        <v>15</v>
      </c>
      <c r="J10547" s="4" t="n">
        <f aca="false">LEN(E10547)-LEN(SUBSTITUTE(E10547,",",""))+1</f>
        <v>7</v>
      </c>
      <c r="K10547" s="3" t="str">
        <f aca="false">IFERROR(INDEX('Teacher Lookup'!$B$2:$B$200,MATCH(A10547,'Teacher Lookup'!$A$2:$A$200,0)),"")</f>
        <v>SHEIK Zarifa</v>
      </c>
    </row>
    <row r="10548" customFormat="false" ht="15" hidden="false" customHeight="false" outlineLevel="0" collapsed="false">
      <c r="A10548" s="3" t="s">
        <v>525</v>
      </c>
      <c r="B10548" s="4" t="s">
        <v>60</v>
      </c>
      <c r="C10548" s="4" t="n">
        <v>5</v>
      </c>
      <c r="D10548" s="4" t="s">
        <v>29</v>
      </c>
      <c r="E10548" s="3" t="s">
        <v>131</v>
      </c>
      <c r="F10548" s="4" t="str">
        <f aca="false">IF(I10548&gt;J10548,"Y","N")</f>
        <v>Y</v>
      </c>
      <c r="G10548" s="3" t="s">
        <v>36</v>
      </c>
      <c r="H10548" s="3" t="s">
        <v>37</v>
      </c>
      <c r="I10548" s="4" t="n">
        <v>15</v>
      </c>
      <c r="J10548" s="4" t="n">
        <f aca="false">LEN(E10548)-LEN(SUBSTITUTE(E10548,",",""))+1</f>
        <v>7</v>
      </c>
      <c r="K10548" s="3" t="str">
        <f aca="false">IFERROR(INDEX('Teacher Lookup'!$B$2:$B$200,MATCH(A10548,'Teacher Lookup'!$A$2:$A$200,0)),"")</f>
        <v>SHEIK Zarifa</v>
      </c>
    </row>
    <row r="10549" customFormat="false" ht="15" hidden="false" customHeight="false" outlineLevel="0" collapsed="false">
      <c r="A10549" s="3" t="s">
        <v>525</v>
      </c>
      <c r="B10549" s="4" t="s">
        <v>60</v>
      </c>
      <c r="C10549" s="4" t="n">
        <v>5</v>
      </c>
      <c r="D10549" s="4" t="s">
        <v>30</v>
      </c>
      <c r="E10549" s="3" t="s">
        <v>131</v>
      </c>
      <c r="F10549" s="4" t="str">
        <f aca="false">IF(I10549&gt;J10549,"Y","N")</f>
        <v>Y</v>
      </c>
      <c r="G10549" s="3" t="s">
        <v>36</v>
      </c>
      <c r="H10549" s="3" t="s">
        <v>37</v>
      </c>
      <c r="I10549" s="4" t="n">
        <v>15</v>
      </c>
      <c r="J10549" s="4" t="n">
        <f aca="false">LEN(E10549)-LEN(SUBSTITUTE(E10549,",",""))+1</f>
        <v>7</v>
      </c>
      <c r="K10549" s="3" t="str">
        <f aca="false">IFERROR(INDEX('Teacher Lookup'!$B$2:$B$200,MATCH(A10549,'Teacher Lookup'!$A$2:$A$200,0)),"")</f>
        <v>SHEIK Zarifa</v>
      </c>
    </row>
    <row r="10550" customFormat="false" ht="15" hidden="false" customHeight="false" outlineLevel="0" collapsed="false">
      <c r="A10550" s="3" t="s">
        <v>525</v>
      </c>
      <c r="B10550" s="4" t="s">
        <v>63</v>
      </c>
      <c r="C10550" s="4" t="n">
        <v>6</v>
      </c>
      <c r="D10550" s="4" t="s">
        <v>228</v>
      </c>
      <c r="E10550" s="3" t="s">
        <v>246</v>
      </c>
      <c r="F10550" s="4" t="str">
        <f aca="false">IF(I10550&gt;J10550,"Y","N")</f>
        <v>N</v>
      </c>
      <c r="G10550" s="3" t="s">
        <v>235</v>
      </c>
      <c r="H10550" s="3" t="s">
        <v>42</v>
      </c>
      <c r="I10550" s="4" t="n">
        <v>1</v>
      </c>
      <c r="J10550" s="4" t="n">
        <f aca="false">LEN(E10550)-LEN(SUBSTITUTE(E10550,",",""))+1</f>
        <v>1</v>
      </c>
      <c r="K10550" s="3" t="str">
        <f aca="false">IFERROR(INDEX('Teacher Lookup'!$B$2:$B$200,MATCH(A10550,'Teacher Lookup'!$A$2:$A$200,0)),"")</f>
        <v>SHEIK Zarifa</v>
      </c>
    </row>
    <row r="10551" customFormat="false" ht="15" hidden="false" customHeight="false" outlineLevel="0" collapsed="false">
      <c r="A10551" s="3" t="s">
        <v>525</v>
      </c>
      <c r="B10551" s="4" t="s">
        <v>63</v>
      </c>
      <c r="C10551" s="4" t="n">
        <v>7</v>
      </c>
      <c r="D10551" s="4" t="s">
        <v>228</v>
      </c>
      <c r="E10551" s="3" t="s">
        <v>246</v>
      </c>
      <c r="F10551" s="4" t="str">
        <f aca="false">IF(I10551&gt;J10551,"Y","N")</f>
        <v>N</v>
      </c>
      <c r="G10551" s="3" t="s">
        <v>235</v>
      </c>
      <c r="H10551" s="3" t="s">
        <v>39</v>
      </c>
      <c r="I10551" s="4" t="n">
        <v>1</v>
      </c>
      <c r="J10551" s="4" t="n">
        <f aca="false">LEN(E10551)-LEN(SUBSTITUTE(E10551,",",""))+1</f>
        <v>1</v>
      </c>
      <c r="K10551" s="3" t="str">
        <f aca="false">IFERROR(INDEX('Teacher Lookup'!$B$2:$B$200,MATCH(A10551,'Teacher Lookup'!$A$2:$A$200,0)),"")</f>
        <v>SHEIK Zarifa</v>
      </c>
    </row>
    <row r="10552" customFormat="false" ht="15" hidden="false" customHeight="false" outlineLevel="0" collapsed="false">
      <c r="A10552" s="3" t="s">
        <v>525</v>
      </c>
      <c r="B10552" s="4" t="s">
        <v>65</v>
      </c>
      <c r="C10552" s="4" t="n">
        <v>5</v>
      </c>
      <c r="D10552" s="4" t="s">
        <v>24</v>
      </c>
      <c r="E10552" s="3" t="s">
        <v>131</v>
      </c>
      <c r="F10552" s="4" t="str">
        <f aca="false">IF(I10552&gt;J10552,"Y","N")</f>
        <v>Y</v>
      </c>
      <c r="G10552" s="3" t="s">
        <v>36</v>
      </c>
      <c r="H10552" s="3" t="s">
        <v>37</v>
      </c>
      <c r="I10552" s="4" t="n">
        <v>15</v>
      </c>
      <c r="J10552" s="4" t="n">
        <f aca="false">LEN(E10552)-LEN(SUBSTITUTE(E10552,",",""))+1</f>
        <v>7</v>
      </c>
      <c r="K10552" s="3" t="str">
        <f aca="false">IFERROR(INDEX('Teacher Lookup'!$B$2:$B$200,MATCH(A10552,'Teacher Lookup'!$A$2:$A$200,0)),"")</f>
        <v>SHEIK Zarifa</v>
      </c>
    </row>
    <row r="10553" customFormat="false" ht="15" hidden="false" customHeight="false" outlineLevel="0" collapsed="false">
      <c r="A10553" s="3" t="s">
        <v>525</v>
      </c>
      <c r="B10553" s="4" t="s">
        <v>65</v>
      </c>
      <c r="C10553" s="4" t="n">
        <v>5</v>
      </c>
      <c r="D10553" s="4" t="s">
        <v>132</v>
      </c>
      <c r="E10553" s="3" t="s">
        <v>131</v>
      </c>
      <c r="F10553" s="4" t="str">
        <f aca="false">IF(I10553&gt;J10553,"Y","N")</f>
        <v>Y</v>
      </c>
      <c r="G10553" s="3" t="s">
        <v>36</v>
      </c>
      <c r="H10553" s="3" t="s">
        <v>37</v>
      </c>
      <c r="I10553" s="4" t="n">
        <v>15</v>
      </c>
      <c r="J10553" s="4" t="n">
        <f aca="false">LEN(E10553)-LEN(SUBSTITUTE(E10553,",",""))+1</f>
        <v>7</v>
      </c>
      <c r="K10553" s="3" t="str">
        <f aca="false">IFERROR(INDEX('Teacher Lookup'!$B$2:$B$200,MATCH(A10553,'Teacher Lookup'!$A$2:$A$200,0)),"")</f>
        <v>SHEIK Zarifa</v>
      </c>
    </row>
    <row r="10554" customFormat="false" ht="15" hidden="false" customHeight="false" outlineLevel="0" collapsed="false">
      <c r="A10554" s="3" t="s">
        <v>525</v>
      </c>
      <c r="B10554" s="4" t="s">
        <v>65</v>
      </c>
      <c r="C10554" s="4" t="n">
        <v>5</v>
      </c>
      <c r="D10554" s="4" t="s">
        <v>27</v>
      </c>
      <c r="E10554" s="3" t="s">
        <v>131</v>
      </c>
      <c r="F10554" s="4" t="str">
        <f aca="false">IF(I10554&gt;J10554,"Y","N")</f>
        <v>Y</v>
      </c>
      <c r="G10554" s="3" t="s">
        <v>36</v>
      </c>
      <c r="H10554" s="3" t="s">
        <v>37</v>
      </c>
      <c r="I10554" s="4" t="n">
        <v>15</v>
      </c>
      <c r="J10554" s="4" t="n">
        <f aca="false">LEN(E10554)-LEN(SUBSTITUTE(E10554,",",""))+1</f>
        <v>7</v>
      </c>
      <c r="K10554" s="3" t="str">
        <f aca="false">IFERROR(INDEX('Teacher Lookup'!$B$2:$B$200,MATCH(A10554,'Teacher Lookup'!$A$2:$A$200,0)),"")</f>
        <v>SHEIK Zarifa</v>
      </c>
    </row>
    <row r="10555" customFormat="false" ht="15" hidden="false" customHeight="false" outlineLevel="0" collapsed="false">
      <c r="A10555" s="3" t="s">
        <v>525</v>
      </c>
      <c r="B10555" s="4" t="s">
        <v>65</v>
      </c>
      <c r="C10555" s="4" t="n">
        <v>5</v>
      </c>
      <c r="D10555" s="4" t="s">
        <v>28</v>
      </c>
      <c r="E10555" s="3" t="s">
        <v>131</v>
      </c>
      <c r="F10555" s="4" t="str">
        <f aca="false">IF(I10555&gt;J10555,"Y","N")</f>
        <v>Y</v>
      </c>
      <c r="G10555" s="3" t="s">
        <v>36</v>
      </c>
      <c r="H10555" s="3" t="s">
        <v>37</v>
      </c>
      <c r="I10555" s="4" t="n">
        <v>15</v>
      </c>
      <c r="J10555" s="4" t="n">
        <f aca="false">LEN(E10555)-LEN(SUBSTITUTE(E10555,",",""))+1</f>
        <v>7</v>
      </c>
      <c r="K10555" s="3" t="str">
        <f aca="false">IFERROR(INDEX('Teacher Lookup'!$B$2:$B$200,MATCH(A10555,'Teacher Lookup'!$A$2:$A$200,0)),"")</f>
        <v>SHEIK Zarifa</v>
      </c>
    </row>
    <row r="10556" customFormat="false" ht="15" hidden="false" customHeight="false" outlineLevel="0" collapsed="false">
      <c r="A10556" s="3" t="s">
        <v>525</v>
      </c>
      <c r="B10556" s="4" t="s">
        <v>65</v>
      </c>
      <c r="C10556" s="4" t="n">
        <v>5</v>
      </c>
      <c r="D10556" s="4" t="s">
        <v>29</v>
      </c>
      <c r="E10556" s="3" t="s">
        <v>131</v>
      </c>
      <c r="F10556" s="4" t="str">
        <f aca="false">IF(I10556&gt;J10556,"Y","N")</f>
        <v>Y</v>
      </c>
      <c r="G10556" s="3" t="s">
        <v>36</v>
      </c>
      <c r="H10556" s="3" t="s">
        <v>37</v>
      </c>
      <c r="I10556" s="4" t="n">
        <v>15</v>
      </c>
      <c r="J10556" s="4" t="n">
        <f aca="false">LEN(E10556)-LEN(SUBSTITUTE(E10556,",",""))+1</f>
        <v>7</v>
      </c>
      <c r="K10556" s="3" t="str">
        <f aca="false">IFERROR(INDEX('Teacher Lookup'!$B$2:$B$200,MATCH(A10556,'Teacher Lookup'!$A$2:$A$200,0)),"")</f>
        <v>SHEIK Zarifa</v>
      </c>
    </row>
    <row r="10557" customFormat="false" ht="15" hidden="false" customHeight="false" outlineLevel="0" collapsed="false">
      <c r="A10557" s="3" t="s">
        <v>525</v>
      </c>
      <c r="B10557" s="4" t="s">
        <v>65</v>
      </c>
      <c r="C10557" s="4" t="n">
        <v>5</v>
      </c>
      <c r="D10557" s="4" t="s">
        <v>30</v>
      </c>
      <c r="E10557" s="3" t="s">
        <v>131</v>
      </c>
      <c r="F10557" s="4" t="str">
        <f aca="false">IF(I10557&gt;J10557,"Y","N")</f>
        <v>Y</v>
      </c>
      <c r="G10557" s="3" t="s">
        <v>36</v>
      </c>
      <c r="H10557" s="3" t="s">
        <v>37</v>
      </c>
      <c r="I10557" s="4" t="n">
        <v>15</v>
      </c>
      <c r="J10557" s="4" t="n">
        <f aca="false">LEN(E10557)-LEN(SUBSTITUTE(E10557,",",""))+1</f>
        <v>7</v>
      </c>
      <c r="K10557" s="3" t="str">
        <f aca="false">IFERROR(INDEX('Teacher Lookup'!$B$2:$B$200,MATCH(A10557,'Teacher Lookup'!$A$2:$A$200,0)),"")</f>
        <v>SHEIK Zarifa</v>
      </c>
    </row>
    <row r="10558" customFormat="false" ht="15" hidden="false" customHeight="false" outlineLevel="0" collapsed="false">
      <c r="A10558" s="3" t="s">
        <v>525</v>
      </c>
      <c r="B10558" s="4" t="s">
        <v>65</v>
      </c>
      <c r="C10558" s="4" t="n">
        <v>6</v>
      </c>
      <c r="D10558" s="4" t="s">
        <v>24</v>
      </c>
      <c r="E10558" s="3" t="s">
        <v>384</v>
      </c>
      <c r="F10558" s="4" t="str">
        <f aca="false">IF(I10558&gt;J10558,"Y","N")</f>
        <v>Y</v>
      </c>
      <c r="G10558" s="3" t="s">
        <v>378</v>
      </c>
      <c r="H10558" s="3" t="s">
        <v>42</v>
      </c>
      <c r="I10558" s="4" t="n">
        <v>9</v>
      </c>
      <c r="J10558" s="4" t="n">
        <f aca="false">LEN(E10558)-LEN(SUBSTITUTE(E10558,",",""))+1</f>
        <v>8</v>
      </c>
      <c r="K10558" s="3" t="str">
        <f aca="false">IFERROR(INDEX('Teacher Lookup'!$B$2:$B$200,MATCH(A10558,'Teacher Lookup'!$A$2:$A$200,0)),"")</f>
        <v>SHEIK Zarifa</v>
      </c>
    </row>
    <row r="10559" customFormat="false" ht="15" hidden="false" customHeight="false" outlineLevel="0" collapsed="false">
      <c r="A10559" s="3" t="s">
        <v>525</v>
      </c>
      <c r="B10559" s="4" t="s">
        <v>65</v>
      </c>
      <c r="C10559" s="4" t="n">
        <v>6</v>
      </c>
      <c r="D10559" s="4" t="s">
        <v>27</v>
      </c>
      <c r="E10559" s="3" t="s">
        <v>384</v>
      </c>
      <c r="F10559" s="4" t="str">
        <f aca="false">IF(I10559&gt;J10559,"Y","N")</f>
        <v>Y</v>
      </c>
      <c r="G10559" s="3" t="s">
        <v>378</v>
      </c>
      <c r="H10559" s="3" t="s">
        <v>42</v>
      </c>
      <c r="I10559" s="4" t="n">
        <v>9</v>
      </c>
      <c r="J10559" s="4" t="n">
        <f aca="false">LEN(E10559)-LEN(SUBSTITUTE(E10559,",",""))+1</f>
        <v>8</v>
      </c>
      <c r="K10559" s="3" t="str">
        <f aca="false">IFERROR(INDEX('Teacher Lookup'!$B$2:$B$200,MATCH(A10559,'Teacher Lookup'!$A$2:$A$200,0)),"")</f>
        <v>SHEIK Zarifa</v>
      </c>
    </row>
    <row r="10560" customFormat="false" ht="15" hidden="false" customHeight="false" outlineLevel="0" collapsed="false">
      <c r="A10560" s="3" t="s">
        <v>525</v>
      </c>
      <c r="B10560" s="4" t="s">
        <v>65</v>
      </c>
      <c r="C10560" s="4" t="n">
        <v>6</v>
      </c>
      <c r="D10560" s="4" t="s">
        <v>28</v>
      </c>
      <c r="E10560" s="3" t="s">
        <v>384</v>
      </c>
      <c r="F10560" s="4" t="str">
        <f aca="false">IF(I10560&gt;J10560,"Y","N")</f>
        <v>Y</v>
      </c>
      <c r="G10560" s="3" t="s">
        <v>378</v>
      </c>
      <c r="H10560" s="3" t="s">
        <v>42</v>
      </c>
      <c r="I10560" s="4" t="n">
        <v>9</v>
      </c>
      <c r="J10560" s="4" t="n">
        <f aca="false">LEN(E10560)-LEN(SUBSTITUTE(E10560,",",""))+1</f>
        <v>8</v>
      </c>
      <c r="K10560" s="3" t="str">
        <f aca="false">IFERROR(INDEX('Teacher Lookup'!$B$2:$B$200,MATCH(A10560,'Teacher Lookup'!$A$2:$A$200,0)),"")</f>
        <v>SHEIK Zarifa</v>
      </c>
    </row>
    <row r="10561" customFormat="false" ht="15" hidden="false" customHeight="false" outlineLevel="0" collapsed="false">
      <c r="A10561" s="3" t="s">
        <v>525</v>
      </c>
      <c r="B10561" s="4" t="s">
        <v>65</v>
      </c>
      <c r="C10561" s="4" t="n">
        <v>6</v>
      </c>
      <c r="D10561" s="4" t="s">
        <v>29</v>
      </c>
      <c r="E10561" s="3" t="s">
        <v>384</v>
      </c>
      <c r="F10561" s="4" t="str">
        <f aca="false">IF(I10561&gt;J10561,"Y","N")</f>
        <v>Y</v>
      </c>
      <c r="G10561" s="3" t="s">
        <v>378</v>
      </c>
      <c r="H10561" s="3" t="s">
        <v>42</v>
      </c>
      <c r="I10561" s="4" t="n">
        <v>9</v>
      </c>
      <c r="J10561" s="4" t="n">
        <f aca="false">LEN(E10561)-LEN(SUBSTITUTE(E10561,",",""))+1</f>
        <v>8</v>
      </c>
      <c r="K10561" s="3" t="str">
        <f aca="false">IFERROR(INDEX('Teacher Lookup'!$B$2:$B$200,MATCH(A10561,'Teacher Lookup'!$A$2:$A$200,0)),"")</f>
        <v>SHEIK Zarifa</v>
      </c>
    </row>
    <row r="10562" customFormat="false" ht="15" hidden="false" customHeight="false" outlineLevel="0" collapsed="false">
      <c r="A10562" s="3" t="s">
        <v>525</v>
      </c>
      <c r="B10562" s="4" t="s">
        <v>65</v>
      </c>
      <c r="C10562" s="4" t="n">
        <v>6</v>
      </c>
      <c r="D10562" s="4" t="s">
        <v>30</v>
      </c>
      <c r="E10562" s="3" t="s">
        <v>384</v>
      </c>
      <c r="F10562" s="4" t="str">
        <f aca="false">IF(I10562&gt;J10562,"Y","N")</f>
        <v>Y</v>
      </c>
      <c r="G10562" s="3" t="s">
        <v>378</v>
      </c>
      <c r="H10562" s="3" t="s">
        <v>42</v>
      </c>
      <c r="I10562" s="4" t="n">
        <v>9</v>
      </c>
      <c r="J10562" s="4" t="n">
        <f aca="false">LEN(E10562)-LEN(SUBSTITUTE(E10562,",",""))+1</f>
        <v>8</v>
      </c>
      <c r="K10562" s="3" t="str">
        <f aca="false">IFERROR(INDEX('Teacher Lookup'!$B$2:$B$200,MATCH(A10562,'Teacher Lookup'!$A$2:$A$200,0)),"")</f>
        <v>SHEIK Zarifa</v>
      </c>
    </row>
    <row r="10563" customFormat="false" ht="15" hidden="false" customHeight="false" outlineLevel="0" collapsed="false">
      <c r="A10563" s="3" t="s">
        <v>525</v>
      </c>
      <c r="B10563" s="4" t="s">
        <v>65</v>
      </c>
      <c r="C10563" s="4" t="n">
        <v>7</v>
      </c>
      <c r="D10563" s="4" t="s">
        <v>228</v>
      </c>
      <c r="E10563" s="3" t="s">
        <v>246</v>
      </c>
      <c r="F10563" s="4" t="str">
        <f aca="false">IF(I10563&gt;J10563,"Y","N")</f>
        <v>N</v>
      </c>
      <c r="G10563" s="3" t="s">
        <v>235</v>
      </c>
      <c r="H10563" s="3" t="s">
        <v>39</v>
      </c>
      <c r="I10563" s="4" t="n">
        <v>1</v>
      </c>
      <c r="J10563" s="4" t="n">
        <f aca="false">LEN(E10563)-LEN(SUBSTITUTE(E10563,",",""))+1</f>
        <v>1</v>
      </c>
      <c r="K10563" s="3" t="str">
        <f aca="false">IFERROR(INDEX('Teacher Lookup'!$B$2:$B$200,MATCH(A10563,'Teacher Lookup'!$A$2:$A$200,0)),"")</f>
        <v>SHEIK Zarifa</v>
      </c>
    </row>
    <row r="10564" customFormat="false" ht="15" hidden="false" customHeight="false" outlineLevel="0" collapsed="false">
      <c r="A10564" s="3" t="s">
        <v>525</v>
      </c>
      <c r="B10564" s="4" t="s">
        <v>66</v>
      </c>
      <c r="C10564" s="4" t="n">
        <v>3</v>
      </c>
      <c r="D10564" s="4" t="s">
        <v>228</v>
      </c>
      <c r="E10564" s="3" t="s">
        <v>133</v>
      </c>
      <c r="F10564" s="4" t="str">
        <f aca="false">IF(I10564&gt;J10564,"Y","N")</f>
        <v>N</v>
      </c>
      <c r="G10564" s="3" t="s">
        <v>235</v>
      </c>
      <c r="H10564" s="3" t="s">
        <v>26</v>
      </c>
      <c r="I10564" s="4" t="n">
        <v>1</v>
      </c>
      <c r="J10564" s="4" t="n">
        <f aca="false">LEN(E10564)-LEN(SUBSTITUTE(E10564,",",""))+1</f>
        <v>1</v>
      </c>
      <c r="K10564" s="3" t="str">
        <f aca="false">IFERROR(INDEX('Teacher Lookup'!$B$2:$B$200,MATCH(A10564,'Teacher Lookup'!$A$2:$A$200,0)),"")</f>
        <v>SHEIK Zarifa</v>
      </c>
    </row>
    <row r="10565" customFormat="false" ht="15" hidden="false" customHeight="false" outlineLevel="0" collapsed="false">
      <c r="A10565" s="3" t="s">
        <v>525</v>
      </c>
      <c r="B10565" s="4" t="s">
        <v>66</v>
      </c>
      <c r="C10565" s="4" t="n">
        <v>6</v>
      </c>
      <c r="D10565" s="4" t="s">
        <v>24</v>
      </c>
      <c r="E10565" s="3" t="s">
        <v>385</v>
      </c>
      <c r="F10565" s="4" t="str">
        <f aca="false">IF(I10565&gt;J10565,"Y","N")</f>
        <v>N</v>
      </c>
      <c r="G10565" s="3" t="s">
        <v>378</v>
      </c>
      <c r="H10565" s="3" t="s">
        <v>42</v>
      </c>
      <c r="I10565" s="4" t="n">
        <v>8</v>
      </c>
      <c r="J10565" s="4" t="n">
        <f aca="false">LEN(E10565)-LEN(SUBSTITUTE(E10565,",",""))+1</f>
        <v>8</v>
      </c>
      <c r="K10565" s="3" t="str">
        <f aca="false">IFERROR(INDEX('Teacher Lookup'!$B$2:$B$200,MATCH(A10565,'Teacher Lookup'!$A$2:$A$200,0)),"")</f>
        <v>SHEIK Zarifa</v>
      </c>
    </row>
    <row r="10566" customFormat="false" ht="15" hidden="false" customHeight="false" outlineLevel="0" collapsed="false">
      <c r="A10566" s="3" t="s">
        <v>525</v>
      </c>
      <c r="B10566" s="4" t="s">
        <v>66</v>
      </c>
      <c r="C10566" s="4" t="n">
        <v>6</v>
      </c>
      <c r="D10566" s="4" t="s">
        <v>27</v>
      </c>
      <c r="E10566" s="3" t="s">
        <v>385</v>
      </c>
      <c r="F10566" s="4" t="str">
        <f aca="false">IF(I10566&gt;J10566,"Y","N")</f>
        <v>N</v>
      </c>
      <c r="G10566" s="3" t="s">
        <v>378</v>
      </c>
      <c r="H10566" s="3" t="s">
        <v>42</v>
      </c>
      <c r="I10566" s="4" t="n">
        <v>8</v>
      </c>
      <c r="J10566" s="4" t="n">
        <f aca="false">LEN(E10566)-LEN(SUBSTITUTE(E10566,",",""))+1</f>
        <v>8</v>
      </c>
      <c r="K10566" s="3" t="str">
        <f aca="false">IFERROR(INDEX('Teacher Lookup'!$B$2:$B$200,MATCH(A10566,'Teacher Lookup'!$A$2:$A$200,0)),"")</f>
        <v>SHEIK Zarifa</v>
      </c>
    </row>
    <row r="10567" customFormat="false" ht="15" hidden="false" customHeight="false" outlineLevel="0" collapsed="false">
      <c r="A10567" s="3" t="s">
        <v>525</v>
      </c>
      <c r="B10567" s="4" t="s">
        <v>66</v>
      </c>
      <c r="C10567" s="4" t="n">
        <v>6</v>
      </c>
      <c r="D10567" s="4" t="s">
        <v>28</v>
      </c>
      <c r="E10567" s="3" t="s">
        <v>385</v>
      </c>
      <c r="F10567" s="4" t="str">
        <f aca="false">IF(I10567&gt;J10567,"Y","N")</f>
        <v>N</v>
      </c>
      <c r="G10567" s="3" t="s">
        <v>378</v>
      </c>
      <c r="H10567" s="3" t="s">
        <v>42</v>
      </c>
      <c r="I10567" s="4" t="n">
        <v>8</v>
      </c>
      <c r="J10567" s="4" t="n">
        <f aca="false">LEN(E10567)-LEN(SUBSTITUTE(E10567,",",""))+1</f>
        <v>8</v>
      </c>
      <c r="K10567" s="3" t="str">
        <f aca="false">IFERROR(INDEX('Teacher Lookup'!$B$2:$B$200,MATCH(A10567,'Teacher Lookup'!$A$2:$A$200,0)),"")</f>
        <v>SHEIK Zarifa</v>
      </c>
    </row>
    <row r="10568" customFormat="false" ht="15" hidden="false" customHeight="false" outlineLevel="0" collapsed="false">
      <c r="A10568" s="3" t="s">
        <v>525</v>
      </c>
      <c r="B10568" s="4" t="s">
        <v>66</v>
      </c>
      <c r="C10568" s="4" t="n">
        <v>6</v>
      </c>
      <c r="D10568" s="4" t="s">
        <v>29</v>
      </c>
      <c r="E10568" s="3" t="s">
        <v>385</v>
      </c>
      <c r="F10568" s="4" t="str">
        <f aca="false">IF(I10568&gt;J10568,"Y","N")</f>
        <v>N</v>
      </c>
      <c r="G10568" s="3" t="s">
        <v>378</v>
      </c>
      <c r="H10568" s="3" t="s">
        <v>42</v>
      </c>
      <c r="I10568" s="4" t="n">
        <v>8</v>
      </c>
      <c r="J10568" s="4" t="n">
        <f aca="false">LEN(E10568)-LEN(SUBSTITUTE(E10568,",",""))+1</f>
        <v>8</v>
      </c>
      <c r="K10568" s="3" t="str">
        <f aca="false">IFERROR(INDEX('Teacher Lookup'!$B$2:$B$200,MATCH(A10568,'Teacher Lookup'!$A$2:$A$200,0)),"")</f>
        <v>SHEIK Zarifa</v>
      </c>
    </row>
    <row r="10569" customFormat="false" ht="15" hidden="false" customHeight="false" outlineLevel="0" collapsed="false">
      <c r="A10569" s="3" t="s">
        <v>525</v>
      </c>
      <c r="B10569" s="4" t="s">
        <v>66</v>
      </c>
      <c r="C10569" s="4" t="n">
        <v>6</v>
      </c>
      <c r="D10569" s="4" t="s">
        <v>30</v>
      </c>
      <c r="E10569" s="3" t="s">
        <v>385</v>
      </c>
      <c r="F10569" s="4" t="str">
        <f aca="false">IF(I10569&gt;J10569,"Y","N")</f>
        <v>N</v>
      </c>
      <c r="G10569" s="3" t="s">
        <v>378</v>
      </c>
      <c r="H10569" s="3" t="s">
        <v>42</v>
      </c>
      <c r="I10569" s="4" t="n">
        <v>8</v>
      </c>
      <c r="J10569" s="4" t="n">
        <f aca="false">LEN(E10569)-LEN(SUBSTITUTE(E10569,",",""))+1</f>
        <v>8</v>
      </c>
      <c r="K10569" s="3" t="str">
        <f aca="false">IFERROR(INDEX('Teacher Lookup'!$B$2:$B$200,MATCH(A10569,'Teacher Lookup'!$A$2:$A$200,0)),"")</f>
        <v>SHEIK Zarifa</v>
      </c>
    </row>
    <row r="10570" customFormat="false" ht="15" hidden="false" customHeight="false" outlineLevel="0" collapsed="false">
      <c r="A10570" s="3" t="s">
        <v>526</v>
      </c>
      <c r="B10570" s="4" t="s">
        <v>12</v>
      </c>
      <c r="C10570" s="4" t="n">
        <v>1</v>
      </c>
      <c r="D10570" s="4" t="s">
        <v>24</v>
      </c>
      <c r="E10570" s="3" t="s">
        <v>402</v>
      </c>
      <c r="F10570" s="4" t="str">
        <f aca="false">IF(I10570&gt;J10570,"Y","N")</f>
        <v>N</v>
      </c>
      <c r="G10570" s="3" t="s">
        <v>164</v>
      </c>
      <c r="H10570" s="3" t="s">
        <v>16</v>
      </c>
      <c r="I10570" s="4" t="n">
        <v>3</v>
      </c>
      <c r="J10570" s="4" t="n">
        <f aca="false">LEN(E10570)-LEN(SUBSTITUTE(E10570,",",""))+1</f>
        <v>3</v>
      </c>
      <c r="K10570" s="3" t="str">
        <f aca="false">IFERROR(INDEX('Teacher Lookup'!$B$2:$B$200,MATCH(A10570,'Teacher Lookup'!$A$2:$A$200,0)),"")</f>
        <v>WAHAB Zakiyyah</v>
      </c>
    </row>
    <row r="10571" customFormat="false" ht="15" hidden="false" customHeight="false" outlineLevel="0" collapsed="false">
      <c r="A10571" s="3" t="s">
        <v>526</v>
      </c>
      <c r="B10571" s="4" t="s">
        <v>12</v>
      </c>
      <c r="C10571" s="4" t="n">
        <v>1</v>
      </c>
      <c r="D10571" s="4" t="s">
        <v>27</v>
      </c>
      <c r="E10571" s="3" t="s">
        <v>402</v>
      </c>
      <c r="F10571" s="4" t="str">
        <f aca="false">IF(I10571&gt;J10571,"Y","N")</f>
        <v>N</v>
      </c>
      <c r="G10571" s="3" t="s">
        <v>164</v>
      </c>
      <c r="H10571" s="3" t="s">
        <v>16</v>
      </c>
      <c r="I10571" s="4" t="n">
        <v>3</v>
      </c>
      <c r="J10571" s="4" t="n">
        <f aca="false">LEN(E10571)-LEN(SUBSTITUTE(E10571,",",""))+1</f>
        <v>3</v>
      </c>
      <c r="K10571" s="3" t="str">
        <f aca="false">IFERROR(INDEX('Teacher Lookup'!$B$2:$B$200,MATCH(A10571,'Teacher Lookup'!$A$2:$A$200,0)),"")</f>
        <v>WAHAB Zakiyyah</v>
      </c>
    </row>
    <row r="10572" customFormat="false" ht="15" hidden="false" customHeight="false" outlineLevel="0" collapsed="false">
      <c r="A10572" s="3" t="s">
        <v>526</v>
      </c>
      <c r="B10572" s="4" t="s">
        <v>12</v>
      </c>
      <c r="C10572" s="4" t="n">
        <v>2</v>
      </c>
      <c r="D10572" s="4" t="s">
        <v>52</v>
      </c>
      <c r="E10572" s="3" t="s">
        <v>163</v>
      </c>
      <c r="F10572" s="4" t="str">
        <f aca="false">IF(I10572&gt;J10572,"Y","N")</f>
        <v>N</v>
      </c>
      <c r="G10572" s="3" t="s">
        <v>164</v>
      </c>
      <c r="H10572" s="3" t="s">
        <v>21</v>
      </c>
      <c r="I10572" s="4" t="n">
        <v>4</v>
      </c>
      <c r="J10572" s="4" t="n">
        <f aca="false">LEN(E10572)-LEN(SUBSTITUTE(E10572,",",""))+1</f>
        <v>4</v>
      </c>
      <c r="K10572" s="3" t="str">
        <f aca="false">IFERROR(INDEX('Teacher Lookup'!$B$2:$B$200,MATCH(A10572,'Teacher Lookup'!$A$2:$A$200,0)),"")</f>
        <v>WAHAB Zakiyyah</v>
      </c>
    </row>
    <row r="10573" customFormat="false" ht="15" hidden="false" customHeight="false" outlineLevel="0" collapsed="false">
      <c r="A10573" s="3" t="s">
        <v>526</v>
      </c>
      <c r="B10573" s="4" t="s">
        <v>12</v>
      </c>
      <c r="C10573" s="4" t="n">
        <v>2</v>
      </c>
      <c r="D10573" s="4" t="s">
        <v>55</v>
      </c>
      <c r="E10573" s="3" t="s">
        <v>163</v>
      </c>
      <c r="F10573" s="4" t="str">
        <f aca="false">IF(I10573&gt;J10573,"Y","N")</f>
        <v>N</v>
      </c>
      <c r="G10573" s="3" t="s">
        <v>164</v>
      </c>
      <c r="H10573" s="3" t="s">
        <v>21</v>
      </c>
      <c r="I10573" s="4" t="n">
        <v>4</v>
      </c>
      <c r="J10573" s="4" t="n">
        <f aca="false">LEN(E10573)-LEN(SUBSTITUTE(E10573,",",""))+1</f>
        <v>4</v>
      </c>
      <c r="K10573" s="3" t="str">
        <f aca="false">IFERROR(INDEX('Teacher Lookup'!$B$2:$B$200,MATCH(A10573,'Teacher Lookup'!$A$2:$A$200,0)),"")</f>
        <v>WAHAB Zakiyyah</v>
      </c>
    </row>
    <row r="10574" customFormat="false" ht="15" hidden="false" customHeight="false" outlineLevel="0" collapsed="false">
      <c r="A10574" s="3" t="s">
        <v>526</v>
      </c>
      <c r="B10574" s="4" t="s">
        <v>12</v>
      </c>
      <c r="C10574" s="4" t="n">
        <v>2</v>
      </c>
      <c r="D10574" s="4" t="s">
        <v>56</v>
      </c>
      <c r="E10574" s="3" t="s">
        <v>163</v>
      </c>
      <c r="F10574" s="4" t="str">
        <f aca="false">IF(I10574&gt;J10574,"Y","N")</f>
        <v>N</v>
      </c>
      <c r="G10574" s="3" t="s">
        <v>164</v>
      </c>
      <c r="H10574" s="3" t="s">
        <v>21</v>
      </c>
      <c r="I10574" s="4" t="n">
        <v>4</v>
      </c>
      <c r="J10574" s="4" t="n">
        <f aca="false">LEN(E10574)-LEN(SUBSTITUTE(E10574,",",""))+1</f>
        <v>4</v>
      </c>
      <c r="K10574" s="3" t="str">
        <f aca="false">IFERROR(INDEX('Teacher Lookup'!$B$2:$B$200,MATCH(A10574,'Teacher Lookup'!$A$2:$A$200,0)),"")</f>
        <v>WAHAB Zakiyyah</v>
      </c>
    </row>
    <row r="10575" customFormat="false" ht="15" hidden="false" customHeight="false" outlineLevel="0" collapsed="false">
      <c r="A10575" s="3" t="s">
        <v>526</v>
      </c>
      <c r="B10575" s="4" t="s">
        <v>12</v>
      </c>
      <c r="C10575" s="4" t="n">
        <v>4</v>
      </c>
      <c r="D10575" s="4" t="s">
        <v>28</v>
      </c>
      <c r="E10575" s="3" t="s">
        <v>143</v>
      </c>
      <c r="F10575" s="4" t="str">
        <f aca="false">IF(I10575&gt;J10575,"Y","N")</f>
        <v>N</v>
      </c>
      <c r="G10575" s="3" t="s">
        <v>164</v>
      </c>
      <c r="H10575" s="3" t="s">
        <v>34</v>
      </c>
      <c r="I10575" s="4" t="n">
        <v>4</v>
      </c>
      <c r="J10575" s="4" t="n">
        <f aca="false">LEN(E10575)-LEN(SUBSTITUTE(E10575,",",""))+1</f>
        <v>4</v>
      </c>
      <c r="K10575" s="3" t="str">
        <f aca="false">IFERROR(INDEX('Teacher Lookup'!$B$2:$B$200,MATCH(A10575,'Teacher Lookup'!$A$2:$A$200,0)),"")</f>
        <v>WAHAB Zakiyyah</v>
      </c>
    </row>
    <row r="10576" customFormat="false" ht="15" hidden="false" customHeight="false" outlineLevel="0" collapsed="false">
      <c r="A10576" s="3" t="s">
        <v>526</v>
      </c>
      <c r="B10576" s="4" t="s">
        <v>12</v>
      </c>
      <c r="C10576" s="4" t="n">
        <v>4</v>
      </c>
      <c r="D10576" s="4" t="s">
        <v>29</v>
      </c>
      <c r="E10576" s="3" t="s">
        <v>143</v>
      </c>
      <c r="F10576" s="4" t="str">
        <f aca="false">IF(I10576&gt;J10576,"Y","N")</f>
        <v>N</v>
      </c>
      <c r="G10576" s="3" t="s">
        <v>164</v>
      </c>
      <c r="H10576" s="3" t="s">
        <v>34</v>
      </c>
      <c r="I10576" s="4" t="n">
        <v>4</v>
      </c>
      <c r="J10576" s="4" t="n">
        <f aca="false">LEN(E10576)-LEN(SUBSTITUTE(E10576,",",""))+1</f>
        <v>4</v>
      </c>
      <c r="K10576" s="3" t="str">
        <f aca="false">IFERROR(INDEX('Teacher Lookup'!$B$2:$B$200,MATCH(A10576,'Teacher Lookup'!$A$2:$A$200,0)),"")</f>
        <v>WAHAB Zakiyyah</v>
      </c>
    </row>
    <row r="10577" customFormat="false" ht="15" hidden="false" customHeight="false" outlineLevel="0" collapsed="false">
      <c r="A10577" s="3" t="s">
        <v>526</v>
      </c>
      <c r="B10577" s="4" t="s">
        <v>12</v>
      </c>
      <c r="C10577" s="4" t="n">
        <v>4</v>
      </c>
      <c r="D10577" s="4" t="s">
        <v>30</v>
      </c>
      <c r="E10577" s="3" t="s">
        <v>143</v>
      </c>
      <c r="F10577" s="4" t="str">
        <f aca="false">IF(I10577&gt;J10577,"Y","N")</f>
        <v>N</v>
      </c>
      <c r="G10577" s="3" t="s">
        <v>164</v>
      </c>
      <c r="H10577" s="3" t="s">
        <v>34</v>
      </c>
      <c r="I10577" s="4" t="n">
        <v>4</v>
      </c>
      <c r="J10577" s="4" t="n">
        <f aca="false">LEN(E10577)-LEN(SUBSTITUTE(E10577,",",""))+1</f>
        <v>4</v>
      </c>
      <c r="K10577" s="3" t="str">
        <f aca="false">IFERROR(INDEX('Teacher Lookup'!$B$2:$B$200,MATCH(A10577,'Teacher Lookup'!$A$2:$A$200,0)),"")</f>
        <v>WAHAB Zakiyyah</v>
      </c>
    </row>
    <row r="10578" customFormat="false" ht="15" hidden="false" customHeight="false" outlineLevel="0" collapsed="false">
      <c r="A10578" s="3" t="s">
        <v>526</v>
      </c>
      <c r="B10578" s="4" t="s">
        <v>31</v>
      </c>
      <c r="C10578" s="4" t="n">
        <v>3</v>
      </c>
      <c r="D10578" s="4" t="s">
        <v>28</v>
      </c>
      <c r="E10578" s="3" t="s">
        <v>159</v>
      </c>
      <c r="F10578" s="4" t="str">
        <f aca="false">IF(I10578&gt;J10578,"Y","N")</f>
        <v>N</v>
      </c>
      <c r="G10578" s="3" t="s">
        <v>164</v>
      </c>
      <c r="H10578" s="3" t="s">
        <v>26</v>
      </c>
      <c r="I10578" s="4" t="n">
        <v>4</v>
      </c>
      <c r="J10578" s="4" t="n">
        <f aca="false">LEN(E10578)-LEN(SUBSTITUTE(E10578,",",""))+1</f>
        <v>4</v>
      </c>
      <c r="K10578" s="3" t="str">
        <f aca="false">IFERROR(INDEX('Teacher Lookup'!$B$2:$B$200,MATCH(A10578,'Teacher Lookup'!$A$2:$A$200,0)),"")</f>
        <v>WAHAB Zakiyyah</v>
      </c>
    </row>
    <row r="10579" customFormat="false" ht="15" hidden="false" customHeight="false" outlineLevel="0" collapsed="false">
      <c r="A10579" s="3" t="s">
        <v>526</v>
      </c>
      <c r="B10579" s="4" t="s">
        <v>31</v>
      </c>
      <c r="C10579" s="4" t="n">
        <v>3</v>
      </c>
      <c r="D10579" s="4" t="s">
        <v>29</v>
      </c>
      <c r="E10579" s="3" t="s">
        <v>159</v>
      </c>
      <c r="F10579" s="4" t="str">
        <f aca="false">IF(I10579&gt;J10579,"Y","N")</f>
        <v>N</v>
      </c>
      <c r="G10579" s="3" t="s">
        <v>164</v>
      </c>
      <c r="H10579" s="3" t="s">
        <v>26</v>
      </c>
      <c r="I10579" s="4" t="n">
        <v>4</v>
      </c>
      <c r="J10579" s="4" t="n">
        <f aca="false">LEN(E10579)-LEN(SUBSTITUTE(E10579,",",""))+1</f>
        <v>4</v>
      </c>
      <c r="K10579" s="3" t="str">
        <f aca="false">IFERROR(INDEX('Teacher Lookup'!$B$2:$B$200,MATCH(A10579,'Teacher Lookup'!$A$2:$A$200,0)),"")</f>
        <v>WAHAB Zakiyyah</v>
      </c>
    </row>
    <row r="10580" customFormat="false" ht="15" hidden="false" customHeight="false" outlineLevel="0" collapsed="false">
      <c r="A10580" s="3" t="s">
        <v>526</v>
      </c>
      <c r="B10580" s="4" t="s">
        <v>31</v>
      </c>
      <c r="C10580" s="4" t="n">
        <v>3</v>
      </c>
      <c r="D10580" s="4" t="s">
        <v>30</v>
      </c>
      <c r="E10580" s="3" t="s">
        <v>159</v>
      </c>
      <c r="F10580" s="4" t="str">
        <f aca="false">IF(I10580&gt;J10580,"Y","N")</f>
        <v>N</v>
      </c>
      <c r="G10580" s="3" t="s">
        <v>164</v>
      </c>
      <c r="H10580" s="3" t="s">
        <v>26</v>
      </c>
      <c r="I10580" s="4" t="n">
        <v>4</v>
      </c>
      <c r="J10580" s="4" t="n">
        <f aca="false">LEN(E10580)-LEN(SUBSTITUTE(E10580,",",""))+1</f>
        <v>4</v>
      </c>
      <c r="K10580" s="3" t="str">
        <f aca="false">IFERROR(INDEX('Teacher Lookup'!$B$2:$B$200,MATCH(A10580,'Teacher Lookup'!$A$2:$A$200,0)),"")</f>
        <v>WAHAB Zakiyyah</v>
      </c>
    </row>
    <row r="10581" customFormat="false" ht="15" hidden="false" customHeight="false" outlineLevel="0" collapsed="false">
      <c r="A10581" s="3" t="s">
        <v>526</v>
      </c>
      <c r="B10581" s="4" t="s">
        <v>31</v>
      </c>
      <c r="C10581" s="4" t="n">
        <v>4</v>
      </c>
      <c r="D10581" s="4" t="s">
        <v>24</v>
      </c>
      <c r="E10581" s="3" t="s">
        <v>403</v>
      </c>
      <c r="F10581" s="4" t="str">
        <f aca="false">IF(I10581&gt;J10581,"Y","N")</f>
        <v>N</v>
      </c>
      <c r="G10581" s="3" t="s">
        <v>164</v>
      </c>
      <c r="H10581" s="3" t="s">
        <v>34</v>
      </c>
      <c r="I10581" s="4" t="n">
        <v>3</v>
      </c>
      <c r="J10581" s="4" t="n">
        <f aca="false">LEN(E10581)-LEN(SUBSTITUTE(E10581,",",""))+1</f>
        <v>3</v>
      </c>
      <c r="K10581" s="3" t="str">
        <f aca="false">IFERROR(INDEX('Teacher Lookup'!$B$2:$B$200,MATCH(A10581,'Teacher Lookup'!$A$2:$A$200,0)),"")</f>
        <v>WAHAB Zakiyyah</v>
      </c>
    </row>
    <row r="10582" customFormat="false" ht="15" hidden="false" customHeight="false" outlineLevel="0" collapsed="false">
      <c r="A10582" s="3" t="s">
        <v>526</v>
      </c>
      <c r="B10582" s="4" t="s">
        <v>31</v>
      </c>
      <c r="C10582" s="4" t="n">
        <v>4</v>
      </c>
      <c r="D10582" s="4" t="s">
        <v>27</v>
      </c>
      <c r="E10582" s="3" t="s">
        <v>403</v>
      </c>
      <c r="F10582" s="4" t="str">
        <f aca="false">IF(I10582&gt;J10582,"Y","N")</f>
        <v>N</v>
      </c>
      <c r="G10582" s="3" t="s">
        <v>164</v>
      </c>
      <c r="H10582" s="3" t="s">
        <v>34</v>
      </c>
      <c r="I10582" s="4" t="n">
        <v>3</v>
      </c>
      <c r="J10582" s="4" t="n">
        <f aca="false">LEN(E10582)-LEN(SUBSTITUTE(E10582,",",""))+1</f>
        <v>3</v>
      </c>
      <c r="K10582" s="3" t="str">
        <f aca="false">IFERROR(INDEX('Teacher Lookup'!$B$2:$B$200,MATCH(A10582,'Teacher Lookup'!$A$2:$A$200,0)),"")</f>
        <v>WAHAB Zakiyyah</v>
      </c>
    </row>
    <row r="10583" customFormat="false" ht="15" hidden="false" customHeight="false" outlineLevel="0" collapsed="false">
      <c r="A10583" s="3" t="s">
        <v>526</v>
      </c>
      <c r="B10583" s="4" t="s">
        <v>31</v>
      </c>
      <c r="C10583" s="4" t="n">
        <v>5</v>
      </c>
      <c r="D10583" s="4" t="s">
        <v>24</v>
      </c>
      <c r="E10583" s="3" t="s">
        <v>131</v>
      </c>
      <c r="F10583" s="4" t="str">
        <f aca="false">IF(I10583&gt;J10583,"Y","N")</f>
        <v>Y</v>
      </c>
      <c r="G10583" s="3" t="s">
        <v>36</v>
      </c>
      <c r="H10583" s="3" t="s">
        <v>37</v>
      </c>
      <c r="I10583" s="4" t="n">
        <v>15</v>
      </c>
      <c r="J10583" s="4" t="n">
        <f aca="false">LEN(E10583)-LEN(SUBSTITUTE(E10583,",",""))+1</f>
        <v>7</v>
      </c>
      <c r="K10583" s="3" t="str">
        <f aca="false">IFERROR(INDEX('Teacher Lookup'!$B$2:$B$200,MATCH(A10583,'Teacher Lookup'!$A$2:$A$200,0)),"")</f>
        <v>WAHAB Zakiyyah</v>
      </c>
    </row>
    <row r="10584" customFormat="false" ht="15" hidden="false" customHeight="false" outlineLevel="0" collapsed="false">
      <c r="A10584" s="3" t="s">
        <v>526</v>
      </c>
      <c r="B10584" s="4" t="s">
        <v>31</v>
      </c>
      <c r="C10584" s="4" t="n">
        <v>5</v>
      </c>
      <c r="D10584" s="4" t="s">
        <v>132</v>
      </c>
      <c r="E10584" s="3" t="s">
        <v>131</v>
      </c>
      <c r="F10584" s="4" t="str">
        <f aca="false">IF(I10584&gt;J10584,"Y","N")</f>
        <v>Y</v>
      </c>
      <c r="G10584" s="3" t="s">
        <v>36</v>
      </c>
      <c r="H10584" s="3" t="s">
        <v>37</v>
      </c>
      <c r="I10584" s="4" t="n">
        <v>15</v>
      </c>
      <c r="J10584" s="4" t="n">
        <f aca="false">LEN(E10584)-LEN(SUBSTITUTE(E10584,",",""))+1</f>
        <v>7</v>
      </c>
      <c r="K10584" s="3" t="str">
        <f aca="false">IFERROR(INDEX('Teacher Lookup'!$B$2:$B$200,MATCH(A10584,'Teacher Lookup'!$A$2:$A$200,0)),"")</f>
        <v>WAHAB Zakiyyah</v>
      </c>
    </row>
    <row r="10585" customFormat="false" ht="15" hidden="false" customHeight="false" outlineLevel="0" collapsed="false">
      <c r="A10585" s="3" t="s">
        <v>526</v>
      </c>
      <c r="B10585" s="4" t="s">
        <v>31</v>
      </c>
      <c r="C10585" s="4" t="n">
        <v>5</v>
      </c>
      <c r="D10585" s="4" t="s">
        <v>27</v>
      </c>
      <c r="E10585" s="3" t="s">
        <v>131</v>
      </c>
      <c r="F10585" s="4" t="str">
        <f aca="false">IF(I10585&gt;J10585,"Y","N")</f>
        <v>Y</v>
      </c>
      <c r="G10585" s="3" t="s">
        <v>36</v>
      </c>
      <c r="H10585" s="3" t="s">
        <v>37</v>
      </c>
      <c r="I10585" s="4" t="n">
        <v>15</v>
      </c>
      <c r="J10585" s="4" t="n">
        <f aca="false">LEN(E10585)-LEN(SUBSTITUTE(E10585,",",""))+1</f>
        <v>7</v>
      </c>
      <c r="K10585" s="3" t="str">
        <f aca="false">IFERROR(INDEX('Teacher Lookup'!$B$2:$B$200,MATCH(A10585,'Teacher Lookup'!$A$2:$A$200,0)),"")</f>
        <v>WAHAB Zakiyyah</v>
      </c>
    </row>
    <row r="10586" customFormat="false" ht="15" hidden="false" customHeight="false" outlineLevel="0" collapsed="false">
      <c r="A10586" s="3" t="s">
        <v>526</v>
      </c>
      <c r="B10586" s="4" t="s">
        <v>31</v>
      </c>
      <c r="C10586" s="4" t="n">
        <v>5</v>
      </c>
      <c r="D10586" s="4" t="s">
        <v>28</v>
      </c>
      <c r="E10586" s="3" t="s">
        <v>131</v>
      </c>
      <c r="F10586" s="4" t="str">
        <f aca="false">IF(I10586&gt;J10586,"Y","N")</f>
        <v>Y</v>
      </c>
      <c r="G10586" s="3" t="s">
        <v>36</v>
      </c>
      <c r="H10586" s="3" t="s">
        <v>37</v>
      </c>
      <c r="I10586" s="4" t="n">
        <v>15</v>
      </c>
      <c r="J10586" s="4" t="n">
        <f aca="false">LEN(E10586)-LEN(SUBSTITUTE(E10586,",",""))+1</f>
        <v>7</v>
      </c>
      <c r="K10586" s="3" t="str">
        <f aca="false">IFERROR(INDEX('Teacher Lookup'!$B$2:$B$200,MATCH(A10586,'Teacher Lookup'!$A$2:$A$200,0)),"")</f>
        <v>WAHAB Zakiyyah</v>
      </c>
    </row>
    <row r="10587" customFormat="false" ht="15" hidden="false" customHeight="false" outlineLevel="0" collapsed="false">
      <c r="A10587" s="3" t="s">
        <v>526</v>
      </c>
      <c r="B10587" s="4" t="s">
        <v>31</v>
      </c>
      <c r="C10587" s="4" t="n">
        <v>5</v>
      </c>
      <c r="D10587" s="4" t="s">
        <v>29</v>
      </c>
      <c r="E10587" s="3" t="s">
        <v>131</v>
      </c>
      <c r="F10587" s="4" t="str">
        <f aca="false">IF(I10587&gt;J10587,"Y","N")</f>
        <v>Y</v>
      </c>
      <c r="G10587" s="3" t="s">
        <v>36</v>
      </c>
      <c r="H10587" s="3" t="s">
        <v>37</v>
      </c>
      <c r="I10587" s="4" t="n">
        <v>15</v>
      </c>
      <c r="J10587" s="4" t="n">
        <f aca="false">LEN(E10587)-LEN(SUBSTITUTE(E10587,",",""))+1</f>
        <v>7</v>
      </c>
      <c r="K10587" s="3" t="str">
        <f aca="false">IFERROR(INDEX('Teacher Lookup'!$B$2:$B$200,MATCH(A10587,'Teacher Lookup'!$A$2:$A$200,0)),"")</f>
        <v>WAHAB Zakiyyah</v>
      </c>
    </row>
    <row r="10588" customFormat="false" ht="15" hidden="false" customHeight="false" outlineLevel="0" collapsed="false">
      <c r="A10588" s="3" t="s">
        <v>526</v>
      </c>
      <c r="B10588" s="4" t="s">
        <v>31</v>
      </c>
      <c r="C10588" s="4" t="n">
        <v>5</v>
      </c>
      <c r="D10588" s="4" t="s">
        <v>30</v>
      </c>
      <c r="E10588" s="3" t="s">
        <v>131</v>
      </c>
      <c r="F10588" s="4" t="str">
        <f aca="false">IF(I10588&gt;J10588,"Y","N")</f>
        <v>Y</v>
      </c>
      <c r="G10588" s="3" t="s">
        <v>36</v>
      </c>
      <c r="H10588" s="3" t="s">
        <v>37</v>
      </c>
      <c r="I10588" s="4" t="n">
        <v>15</v>
      </c>
      <c r="J10588" s="4" t="n">
        <f aca="false">LEN(E10588)-LEN(SUBSTITUTE(E10588,",",""))+1</f>
        <v>7</v>
      </c>
      <c r="K10588" s="3" t="str">
        <f aca="false">IFERROR(INDEX('Teacher Lookup'!$B$2:$B$200,MATCH(A10588,'Teacher Lookup'!$A$2:$A$200,0)),"")</f>
        <v>WAHAB Zakiyyah</v>
      </c>
    </row>
    <row r="10589" customFormat="false" ht="15" hidden="false" customHeight="false" outlineLevel="0" collapsed="false">
      <c r="A10589" s="3" t="s">
        <v>526</v>
      </c>
      <c r="B10589" s="4" t="s">
        <v>31</v>
      </c>
      <c r="C10589" s="4" t="n">
        <v>7</v>
      </c>
      <c r="D10589" s="4" t="s">
        <v>52</v>
      </c>
      <c r="E10589" s="3" t="s">
        <v>169</v>
      </c>
      <c r="F10589" s="4" t="str">
        <f aca="false">IF(I10589&gt;J10589,"Y","N")</f>
        <v>N</v>
      </c>
      <c r="G10589" s="3" t="s">
        <v>164</v>
      </c>
      <c r="H10589" s="3" t="s">
        <v>39</v>
      </c>
      <c r="I10589" s="4" t="n">
        <v>4</v>
      </c>
      <c r="J10589" s="4" t="n">
        <f aca="false">LEN(E10589)-LEN(SUBSTITUTE(E10589,",",""))+1</f>
        <v>4</v>
      </c>
      <c r="K10589" s="3" t="str">
        <f aca="false">IFERROR(INDEX('Teacher Lookup'!$B$2:$B$200,MATCH(A10589,'Teacher Lookup'!$A$2:$A$200,0)),"")</f>
        <v>WAHAB Zakiyyah</v>
      </c>
    </row>
    <row r="10590" customFormat="false" ht="15" hidden="false" customHeight="false" outlineLevel="0" collapsed="false">
      <c r="A10590" s="3" t="s">
        <v>526</v>
      </c>
      <c r="B10590" s="4" t="s">
        <v>31</v>
      </c>
      <c r="C10590" s="4" t="n">
        <v>7</v>
      </c>
      <c r="D10590" s="4" t="s">
        <v>55</v>
      </c>
      <c r="E10590" s="3" t="s">
        <v>169</v>
      </c>
      <c r="F10590" s="4" t="str">
        <f aca="false">IF(I10590&gt;J10590,"Y","N")</f>
        <v>N</v>
      </c>
      <c r="G10590" s="3" t="s">
        <v>164</v>
      </c>
      <c r="H10590" s="3" t="s">
        <v>39</v>
      </c>
      <c r="I10590" s="4" t="n">
        <v>4</v>
      </c>
      <c r="J10590" s="4" t="n">
        <f aca="false">LEN(E10590)-LEN(SUBSTITUTE(E10590,",",""))+1</f>
        <v>4</v>
      </c>
      <c r="K10590" s="3" t="str">
        <f aca="false">IFERROR(INDEX('Teacher Lookup'!$B$2:$B$200,MATCH(A10590,'Teacher Lookup'!$A$2:$A$200,0)),"")</f>
        <v>WAHAB Zakiyyah</v>
      </c>
    </row>
    <row r="10591" customFormat="false" ht="15" hidden="false" customHeight="false" outlineLevel="0" collapsed="false">
      <c r="A10591" s="3" t="s">
        <v>526</v>
      </c>
      <c r="B10591" s="4" t="s">
        <v>31</v>
      </c>
      <c r="C10591" s="4" t="n">
        <v>7</v>
      </c>
      <c r="D10591" s="4" t="s">
        <v>56</v>
      </c>
      <c r="E10591" s="3" t="s">
        <v>169</v>
      </c>
      <c r="F10591" s="4" t="str">
        <f aca="false">IF(I10591&gt;J10591,"Y","N")</f>
        <v>N</v>
      </c>
      <c r="G10591" s="3" t="s">
        <v>164</v>
      </c>
      <c r="H10591" s="3" t="s">
        <v>39</v>
      </c>
      <c r="I10591" s="4" t="n">
        <v>4</v>
      </c>
      <c r="J10591" s="4" t="n">
        <f aca="false">LEN(E10591)-LEN(SUBSTITUTE(E10591,",",""))+1</f>
        <v>4</v>
      </c>
      <c r="K10591" s="3" t="str">
        <f aca="false">IFERROR(INDEX('Teacher Lookup'!$B$2:$B$200,MATCH(A10591,'Teacher Lookup'!$A$2:$A$200,0)),"")</f>
        <v>WAHAB Zakiyyah</v>
      </c>
    </row>
    <row r="10592" customFormat="false" ht="15" hidden="false" customHeight="false" outlineLevel="0" collapsed="false">
      <c r="A10592" s="3" t="s">
        <v>526</v>
      </c>
      <c r="B10592" s="4" t="s">
        <v>40</v>
      </c>
      <c r="C10592" s="4" t="n">
        <v>1</v>
      </c>
      <c r="D10592" s="4" t="s">
        <v>28</v>
      </c>
      <c r="E10592" s="3" t="s">
        <v>404</v>
      </c>
      <c r="F10592" s="4" t="str">
        <f aca="false">IF(I10592&gt;J10592,"Y","N")</f>
        <v>N</v>
      </c>
      <c r="G10592" s="3" t="s">
        <v>164</v>
      </c>
      <c r="H10592" s="3" t="s">
        <v>16</v>
      </c>
      <c r="I10592" s="4" t="n">
        <v>4</v>
      </c>
      <c r="J10592" s="4" t="n">
        <f aca="false">LEN(E10592)-LEN(SUBSTITUTE(E10592,",",""))+1</f>
        <v>4</v>
      </c>
      <c r="K10592" s="3" t="str">
        <f aca="false">IFERROR(INDEX('Teacher Lookup'!$B$2:$B$200,MATCH(A10592,'Teacher Lookup'!$A$2:$A$200,0)),"")</f>
        <v>WAHAB Zakiyyah</v>
      </c>
    </row>
    <row r="10593" customFormat="false" ht="15" hidden="false" customHeight="false" outlineLevel="0" collapsed="false">
      <c r="A10593" s="3" t="s">
        <v>526</v>
      </c>
      <c r="B10593" s="4" t="s">
        <v>40</v>
      </c>
      <c r="C10593" s="4" t="n">
        <v>1</v>
      </c>
      <c r="D10593" s="4" t="s">
        <v>29</v>
      </c>
      <c r="E10593" s="3" t="s">
        <v>404</v>
      </c>
      <c r="F10593" s="4" t="str">
        <f aca="false">IF(I10593&gt;J10593,"Y","N")</f>
        <v>N</v>
      </c>
      <c r="G10593" s="3" t="s">
        <v>164</v>
      </c>
      <c r="H10593" s="3" t="s">
        <v>16</v>
      </c>
      <c r="I10593" s="4" t="n">
        <v>4</v>
      </c>
      <c r="J10593" s="4" t="n">
        <f aca="false">LEN(E10593)-LEN(SUBSTITUTE(E10593,",",""))+1</f>
        <v>4</v>
      </c>
      <c r="K10593" s="3" t="str">
        <f aca="false">IFERROR(INDEX('Teacher Lookup'!$B$2:$B$200,MATCH(A10593,'Teacher Lookup'!$A$2:$A$200,0)),"")</f>
        <v>WAHAB Zakiyyah</v>
      </c>
    </row>
    <row r="10594" customFormat="false" ht="15" hidden="false" customHeight="false" outlineLevel="0" collapsed="false">
      <c r="A10594" s="3" t="s">
        <v>526</v>
      </c>
      <c r="B10594" s="4" t="s">
        <v>40</v>
      </c>
      <c r="C10594" s="4" t="n">
        <v>1</v>
      </c>
      <c r="D10594" s="4" t="s">
        <v>30</v>
      </c>
      <c r="E10594" s="3" t="s">
        <v>404</v>
      </c>
      <c r="F10594" s="4" t="str">
        <f aca="false">IF(I10594&gt;J10594,"Y","N")</f>
        <v>N</v>
      </c>
      <c r="G10594" s="3" t="s">
        <v>164</v>
      </c>
      <c r="H10594" s="3" t="s">
        <v>16</v>
      </c>
      <c r="I10594" s="4" t="n">
        <v>4</v>
      </c>
      <c r="J10594" s="4" t="n">
        <f aca="false">LEN(E10594)-LEN(SUBSTITUTE(E10594,",",""))+1</f>
        <v>4</v>
      </c>
      <c r="K10594" s="3" t="str">
        <f aca="false">IFERROR(INDEX('Teacher Lookup'!$B$2:$B$200,MATCH(A10594,'Teacher Lookup'!$A$2:$A$200,0)),"")</f>
        <v>WAHAB Zakiyyah</v>
      </c>
    </row>
    <row r="10595" customFormat="false" ht="15" hidden="false" customHeight="false" outlineLevel="0" collapsed="false">
      <c r="A10595" s="3" t="s">
        <v>526</v>
      </c>
      <c r="B10595" s="4" t="s">
        <v>40</v>
      </c>
      <c r="C10595" s="4" t="n">
        <v>5</v>
      </c>
      <c r="D10595" s="4" t="s">
        <v>24</v>
      </c>
      <c r="E10595" s="3" t="s">
        <v>405</v>
      </c>
      <c r="F10595" s="4" t="str">
        <f aca="false">IF(I10595&gt;J10595,"Y","N")</f>
        <v>N</v>
      </c>
      <c r="G10595" s="3" t="s">
        <v>164</v>
      </c>
      <c r="H10595" s="3" t="s">
        <v>37</v>
      </c>
      <c r="I10595" s="4" t="n">
        <v>3</v>
      </c>
      <c r="J10595" s="4" t="n">
        <f aca="false">LEN(E10595)-LEN(SUBSTITUTE(E10595,",",""))+1</f>
        <v>3</v>
      </c>
      <c r="K10595" s="3" t="str">
        <f aca="false">IFERROR(INDEX('Teacher Lookup'!$B$2:$B$200,MATCH(A10595,'Teacher Lookup'!$A$2:$A$200,0)),"")</f>
        <v>WAHAB Zakiyyah</v>
      </c>
    </row>
    <row r="10596" customFormat="false" ht="15" hidden="false" customHeight="false" outlineLevel="0" collapsed="false">
      <c r="A10596" s="3" t="s">
        <v>526</v>
      </c>
      <c r="B10596" s="4" t="s">
        <v>40</v>
      </c>
      <c r="C10596" s="4" t="n">
        <v>5</v>
      </c>
      <c r="D10596" s="4" t="s">
        <v>27</v>
      </c>
      <c r="E10596" s="3" t="s">
        <v>405</v>
      </c>
      <c r="F10596" s="4" t="str">
        <f aca="false">IF(I10596&gt;J10596,"Y","N")</f>
        <v>N</v>
      </c>
      <c r="G10596" s="3" t="s">
        <v>164</v>
      </c>
      <c r="H10596" s="3" t="s">
        <v>37</v>
      </c>
      <c r="I10596" s="4" t="n">
        <v>3</v>
      </c>
      <c r="J10596" s="4" t="n">
        <f aca="false">LEN(E10596)-LEN(SUBSTITUTE(E10596,",",""))+1</f>
        <v>3</v>
      </c>
      <c r="K10596" s="3" t="str">
        <f aca="false">IFERROR(INDEX('Teacher Lookup'!$B$2:$B$200,MATCH(A10596,'Teacher Lookup'!$A$2:$A$200,0)),"")</f>
        <v>WAHAB Zakiyyah</v>
      </c>
    </row>
    <row r="10597" customFormat="false" ht="15" hidden="false" customHeight="false" outlineLevel="0" collapsed="false">
      <c r="A10597" s="3" t="s">
        <v>526</v>
      </c>
      <c r="B10597" s="4" t="s">
        <v>40</v>
      </c>
      <c r="C10597" s="4" t="n">
        <v>6</v>
      </c>
      <c r="D10597" s="4" t="s">
        <v>52</v>
      </c>
      <c r="E10597" s="3" t="s">
        <v>171</v>
      </c>
      <c r="F10597" s="4" t="str">
        <f aca="false">IF(I10597&gt;J10597,"Y","N")</f>
        <v>N</v>
      </c>
      <c r="G10597" s="3" t="s">
        <v>164</v>
      </c>
      <c r="H10597" s="3" t="s">
        <v>42</v>
      </c>
      <c r="I10597" s="4" t="n">
        <v>4</v>
      </c>
      <c r="J10597" s="4" t="n">
        <f aca="false">LEN(E10597)-LEN(SUBSTITUTE(E10597,",",""))+1</f>
        <v>4</v>
      </c>
      <c r="K10597" s="3" t="str">
        <f aca="false">IFERROR(INDEX('Teacher Lookup'!$B$2:$B$200,MATCH(A10597,'Teacher Lookup'!$A$2:$A$200,0)),"")</f>
        <v>WAHAB Zakiyyah</v>
      </c>
    </row>
    <row r="10598" customFormat="false" ht="15" hidden="false" customHeight="false" outlineLevel="0" collapsed="false">
      <c r="A10598" s="3" t="s">
        <v>526</v>
      </c>
      <c r="B10598" s="4" t="s">
        <v>40</v>
      </c>
      <c r="C10598" s="4" t="n">
        <v>6</v>
      </c>
      <c r="D10598" s="4" t="s">
        <v>55</v>
      </c>
      <c r="E10598" s="3" t="s">
        <v>171</v>
      </c>
      <c r="F10598" s="4" t="str">
        <f aca="false">IF(I10598&gt;J10598,"Y","N")</f>
        <v>N</v>
      </c>
      <c r="G10598" s="3" t="s">
        <v>164</v>
      </c>
      <c r="H10598" s="3" t="s">
        <v>42</v>
      </c>
      <c r="I10598" s="4" t="n">
        <v>4</v>
      </c>
      <c r="J10598" s="4" t="n">
        <f aca="false">LEN(E10598)-LEN(SUBSTITUTE(E10598,",",""))+1</f>
        <v>4</v>
      </c>
      <c r="K10598" s="3" t="str">
        <f aca="false">IFERROR(INDEX('Teacher Lookup'!$B$2:$B$200,MATCH(A10598,'Teacher Lookup'!$A$2:$A$200,0)),"")</f>
        <v>WAHAB Zakiyyah</v>
      </c>
    </row>
    <row r="10599" customFormat="false" ht="15" hidden="false" customHeight="false" outlineLevel="0" collapsed="false">
      <c r="A10599" s="3" t="s">
        <v>526</v>
      </c>
      <c r="B10599" s="4" t="s">
        <v>40</v>
      </c>
      <c r="C10599" s="4" t="n">
        <v>6</v>
      </c>
      <c r="D10599" s="4" t="s">
        <v>56</v>
      </c>
      <c r="E10599" s="3" t="s">
        <v>171</v>
      </c>
      <c r="F10599" s="4" t="str">
        <f aca="false">IF(I10599&gt;J10599,"Y","N")</f>
        <v>N</v>
      </c>
      <c r="G10599" s="3" t="s">
        <v>164</v>
      </c>
      <c r="H10599" s="3" t="s">
        <v>42</v>
      </c>
      <c r="I10599" s="4" t="n">
        <v>4</v>
      </c>
      <c r="J10599" s="4" t="n">
        <f aca="false">LEN(E10599)-LEN(SUBSTITUTE(E10599,",",""))+1</f>
        <v>4</v>
      </c>
      <c r="K10599" s="3" t="str">
        <f aca="false">IFERROR(INDEX('Teacher Lookup'!$B$2:$B$200,MATCH(A10599,'Teacher Lookup'!$A$2:$A$200,0)),"")</f>
        <v>WAHAB Zakiyyah</v>
      </c>
    </row>
    <row r="10600" customFormat="false" ht="15" hidden="false" customHeight="false" outlineLevel="0" collapsed="false">
      <c r="A10600" s="3" t="s">
        <v>526</v>
      </c>
      <c r="B10600" s="4" t="s">
        <v>40</v>
      </c>
      <c r="C10600" s="4" t="n">
        <v>7</v>
      </c>
      <c r="D10600" s="4" t="s">
        <v>52</v>
      </c>
      <c r="E10600" s="3" t="s">
        <v>171</v>
      </c>
      <c r="F10600" s="4" t="str">
        <f aca="false">IF(I10600&gt;J10600,"Y","N")</f>
        <v>N</v>
      </c>
      <c r="G10600" s="3" t="s">
        <v>164</v>
      </c>
      <c r="H10600" s="3" t="s">
        <v>39</v>
      </c>
      <c r="I10600" s="4" t="n">
        <v>4</v>
      </c>
      <c r="J10600" s="4" t="n">
        <f aca="false">LEN(E10600)-LEN(SUBSTITUTE(E10600,",",""))+1</f>
        <v>4</v>
      </c>
      <c r="K10600" s="3" t="str">
        <f aca="false">IFERROR(INDEX('Teacher Lookup'!$B$2:$B$200,MATCH(A10600,'Teacher Lookup'!$A$2:$A$200,0)),"")</f>
        <v>WAHAB Zakiyyah</v>
      </c>
    </row>
    <row r="10601" customFormat="false" ht="15" hidden="false" customHeight="false" outlineLevel="0" collapsed="false">
      <c r="A10601" s="3" t="s">
        <v>526</v>
      </c>
      <c r="B10601" s="4" t="s">
        <v>40</v>
      </c>
      <c r="C10601" s="4" t="n">
        <v>7</v>
      </c>
      <c r="D10601" s="4" t="s">
        <v>55</v>
      </c>
      <c r="E10601" s="3" t="s">
        <v>171</v>
      </c>
      <c r="F10601" s="4" t="str">
        <f aca="false">IF(I10601&gt;J10601,"Y","N")</f>
        <v>N</v>
      </c>
      <c r="G10601" s="3" t="s">
        <v>164</v>
      </c>
      <c r="H10601" s="3" t="s">
        <v>39</v>
      </c>
      <c r="I10601" s="4" t="n">
        <v>4</v>
      </c>
      <c r="J10601" s="4" t="n">
        <f aca="false">LEN(E10601)-LEN(SUBSTITUTE(E10601,",",""))+1</f>
        <v>4</v>
      </c>
      <c r="K10601" s="3" t="str">
        <f aca="false">IFERROR(INDEX('Teacher Lookup'!$B$2:$B$200,MATCH(A10601,'Teacher Lookup'!$A$2:$A$200,0)),"")</f>
        <v>WAHAB Zakiyyah</v>
      </c>
    </row>
    <row r="10602" customFormat="false" ht="15" hidden="false" customHeight="false" outlineLevel="0" collapsed="false">
      <c r="A10602" s="3" t="s">
        <v>526</v>
      </c>
      <c r="B10602" s="4" t="s">
        <v>40</v>
      </c>
      <c r="C10602" s="4" t="n">
        <v>7</v>
      </c>
      <c r="D10602" s="4" t="s">
        <v>56</v>
      </c>
      <c r="E10602" s="3" t="s">
        <v>171</v>
      </c>
      <c r="F10602" s="4" t="str">
        <f aca="false">IF(I10602&gt;J10602,"Y","N")</f>
        <v>N</v>
      </c>
      <c r="G10602" s="3" t="s">
        <v>164</v>
      </c>
      <c r="H10602" s="3" t="s">
        <v>39</v>
      </c>
      <c r="I10602" s="4" t="n">
        <v>4</v>
      </c>
      <c r="J10602" s="4" t="n">
        <f aca="false">LEN(E10602)-LEN(SUBSTITUTE(E10602,",",""))+1</f>
        <v>4</v>
      </c>
      <c r="K10602" s="3" t="str">
        <f aca="false">IFERROR(INDEX('Teacher Lookup'!$B$2:$B$200,MATCH(A10602,'Teacher Lookup'!$A$2:$A$200,0)),"")</f>
        <v>WAHAB Zakiyyah</v>
      </c>
    </row>
    <row r="10603" customFormat="false" ht="15" hidden="false" customHeight="false" outlineLevel="0" collapsed="false">
      <c r="A10603" s="3" t="s">
        <v>526</v>
      </c>
      <c r="B10603" s="4" t="s">
        <v>44</v>
      </c>
      <c r="C10603" s="4" t="n">
        <v>2</v>
      </c>
      <c r="D10603" s="4" t="s">
        <v>52</v>
      </c>
      <c r="E10603" s="3" t="s">
        <v>172</v>
      </c>
      <c r="F10603" s="4" t="str">
        <f aca="false">IF(I10603&gt;J10603,"Y","N")</f>
        <v>N</v>
      </c>
      <c r="G10603" s="3" t="s">
        <v>164</v>
      </c>
      <c r="H10603" s="3" t="s">
        <v>21</v>
      </c>
      <c r="I10603" s="4" t="n">
        <v>4</v>
      </c>
      <c r="J10603" s="4" t="n">
        <f aca="false">LEN(E10603)-LEN(SUBSTITUTE(E10603,",",""))+1</f>
        <v>4</v>
      </c>
      <c r="K10603" s="3" t="str">
        <f aca="false">IFERROR(INDEX('Teacher Lookup'!$B$2:$B$200,MATCH(A10603,'Teacher Lookup'!$A$2:$A$200,0)),"")</f>
        <v>WAHAB Zakiyyah</v>
      </c>
    </row>
    <row r="10604" customFormat="false" ht="15" hidden="false" customHeight="false" outlineLevel="0" collapsed="false">
      <c r="A10604" s="3" t="s">
        <v>526</v>
      </c>
      <c r="B10604" s="4" t="s">
        <v>44</v>
      </c>
      <c r="C10604" s="4" t="n">
        <v>2</v>
      </c>
      <c r="D10604" s="4" t="s">
        <v>55</v>
      </c>
      <c r="E10604" s="3" t="s">
        <v>172</v>
      </c>
      <c r="F10604" s="4" t="str">
        <f aca="false">IF(I10604&gt;J10604,"Y","N")</f>
        <v>N</v>
      </c>
      <c r="G10604" s="3" t="s">
        <v>164</v>
      </c>
      <c r="H10604" s="3" t="s">
        <v>21</v>
      </c>
      <c r="I10604" s="4" t="n">
        <v>4</v>
      </c>
      <c r="J10604" s="4" t="n">
        <f aca="false">LEN(E10604)-LEN(SUBSTITUTE(E10604,",",""))+1</f>
        <v>4</v>
      </c>
      <c r="K10604" s="3" t="str">
        <f aca="false">IFERROR(INDEX('Teacher Lookup'!$B$2:$B$200,MATCH(A10604,'Teacher Lookup'!$A$2:$A$200,0)),"")</f>
        <v>WAHAB Zakiyyah</v>
      </c>
    </row>
    <row r="10605" customFormat="false" ht="15" hidden="false" customHeight="false" outlineLevel="0" collapsed="false">
      <c r="A10605" s="3" t="s">
        <v>526</v>
      </c>
      <c r="B10605" s="4" t="s">
        <v>44</v>
      </c>
      <c r="C10605" s="4" t="n">
        <v>2</v>
      </c>
      <c r="D10605" s="4" t="s">
        <v>56</v>
      </c>
      <c r="E10605" s="3" t="s">
        <v>172</v>
      </c>
      <c r="F10605" s="4" t="str">
        <f aca="false">IF(I10605&gt;J10605,"Y","N")</f>
        <v>N</v>
      </c>
      <c r="G10605" s="3" t="s">
        <v>164</v>
      </c>
      <c r="H10605" s="3" t="s">
        <v>21</v>
      </c>
      <c r="I10605" s="4" t="n">
        <v>4</v>
      </c>
      <c r="J10605" s="4" t="n">
        <f aca="false">LEN(E10605)-LEN(SUBSTITUTE(E10605,",",""))+1</f>
        <v>4</v>
      </c>
      <c r="K10605" s="3" t="str">
        <f aca="false">IFERROR(INDEX('Teacher Lookup'!$B$2:$B$200,MATCH(A10605,'Teacher Lookup'!$A$2:$A$200,0)),"")</f>
        <v>WAHAB Zakiyyah</v>
      </c>
    </row>
    <row r="10606" customFormat="false" ht="15" hidden="false" customHeight="false" outlineLevel="0" collapsed="false">
      <c r="A10606" s="3" t="s">
        <v>526</v>
      </c>
      <c r="B10606" s="4" t="s">
        <v>44</v>
      </c>
      <c r="C10606" s="4" t="n">
        <v>4</v>
      </c>
      <c r="D10606" s="4" t="s">
        <v>28</v>
      </c>
      <c r="E10606" s="3" t="s">
        <v>406</v>
      </c>
      <c r="F10606" s="4" t="str">
        <f aca="false">IF(I10606&gt;J10606,"Y","N")</f>
        <v>N</v>
      </c>
      <c r="G10606" s="3" t="s">
        <v>164</v>
      </c>
      <c r="H10606" s="3" t="s">
        <v>34</v>
      </c>
      <c r="I10606" s="4" t="n">
        <v>4</v>
      </c>
      <c r="J10606" s="4" t="n">
        <f aca="false">LEN(E10606)-LEN(SUBSTITUTE(E10606,",",""))+1</f>
        <v>4</v>
      </c>
      <c r="K10606" s="3" t="str">
        <f aca="false">IFERROR(INDEX('Teacher Lookup'!$B$2:$B$200,MATCH(A10606,'Teacher Lookup'!$A$2:$A$200,0)),"")</f>
        <v>WAHAB Zakiyyah</v>
      </c>
    </row>
    <row r="10607" customFormat="false" ht="15" hidden="false" customHeight="false" outlineLevel="0" collapsed="false">
      <c r="A10607" s="3" t="s">
        <v>526</v>
      </c>
      <c r="B10607" s="4" t="s">
        <v>44</v>
      </c>
      <c r="C10607" s="4" t="n">
        <v>4</v>
      </c>
      <c r="D10607" s="4" t="s">
        <v>29</v>
      </c>
      <c r="E10607" s="3" t="s">
        <v>406</v>
      </c>
      <c r="F10607" s="4" t="str">
        <f aca="false">IF(I10607&gt;J10607,"Y","N")</f>
        <v>N</v>
      </c>
      <c r="G10607" s="3" t="s">
        <v>164</v>
      </c>
      <c r="H10607" s="3" t="s">
        <v>34</v>
      </c>
      <c r="I10607" s="4" t="n">
        <v>4</v>
      </c>
      <c r="J10607" s="4" t="n">
        <f aca="false">LEN(E10607)-LEN(SUBSTITUTE(E10607,",",""))+1</f>
        <v>4</v>
      </c>
      <c r="K10607" s="3" t="str">
        <f aca="false">IFERROR(INDEX('Teacher Lookup'!$B$2:$B$200,MATCH(A10607,'Teacher Lookup'!$A$2:$A$200,0)),"")</f>
        <v>WAHAB Zakiyyah</v>
      </c>
    </row>
    <row r="10608" customFormat="false" ht="15" hidden="false" customHeight="false" outlineLevel="0" collapsed="false">
      <c r="A10608" s="3" t="s">
        <v>526</v>
      </c>
      <c r="B10608" s="4" t="s">
        <v>44</v>
      </c>
      <c r="C10608" s="4" t="n">
        <v>4</v>
      </c>
      <c r="D10608" s="4" t="s">
        <v>30</v>
      </c>
      <c r="E10608" s="3" t="s">
        <v>406</v>
      </c>
      <c r="F10608" s="4" t="str">
        <f aca="false">IF(I10608&gt;J10608,"Y","N")</f>
        <v>N</v>
      </c>
      <c r="G10608" s="3" t="s">
        <v>164</v>
      </c>
      <c r="H10608" s="3" t="s">
        <v>34</v>
      </c>
      <c r="I10608" s="4" t="n">
        <v>4</v>
      </c>
      <c r="J10608" s="4" t="n">
        <f aca="false">LEN(E10608)-LEN(SUBSTITUTE(E10608,",",""))+1</f>
        <v>4</v>
      </c>
      <c r="K10608" s="3" t="str">
        <f aca="false">IFERROR(INDEX('Teacher Lookup'!$B$2:$B$200,MATCH(A10608,'Teacher Lookup'!$A$2:$A$200,0)),"")</f>
        <v>WAHAB Zakiyyah</v>
      </c>
    </row>
    <row r="10609" customFormat="false" ht="15" hidden="false" customHeight="false" outlineLevel="0" collapsed="false">
      <c r="A10609" s="3" t="s">
        <v>526</v>
      </c>
      <c r="B10609" s="4" t="s">
        <v>44</v>
      </c>
      <c r="C10609" s="4" t="n">
        <v>5</v>
      </c>
      <c r="D10609" s="4" t="s">
        <v>24</v>
      </c>
      <c r="E10609" s="3" t="s">
        <v>131</v>
      </c>
      <c r="F10609" s="4" t="str">
        <f aca="false">IF(I10609&gt;J10609,"Y","N")</f>
        <v>Y</v>
      </c>
      <c r="G10609" s="3" t="s">
        <v>36</v>
      </c>
      <c r="H10609" s="3" t="s">
        <v>37</v>
      </c>
      <c r="I10609" s="4" t="n">
        <v>15</v>
      </c>
      <c r="J10609" s="4" t="n">
        <f aca="false">LEN(E10609)-LEN(SUBSTITUTE(E10609,",",""))+1</f>
        <v>7</v>
      </c>
      <c r="K10609" s="3" t="str">
        <f aca="false">IFERROR(INDEX('Teacher Lookup'!$B$2:$B$200,MATCH(A10609,'Teacher Lookup'!$A$2:$A$200,0)),"")</f>
        <v>WAHAB Zakiyyah</v>
      </c>
    </row>
    <row r="10610" customFormat="false" ht="15" hidden="false" customHeight="false" outlineLevel="0" collapsed="false">
      <c r="A10610" s="3" t="s">
        <v>526</v>
      </c>
      <c r="B10610" s="4" t="s">
        <v>44</v>
      </c>
      <c r="C10610" s="4" t="n">
        <v>5</v>
      </c>
      <c r="D10610" s="4" t="s">
        <v>132</v>
      </c>
      <c r="E10610" s="3" t="s">
        <v>131</v>
      </c>
      <c r="F10610" s="4" t="str">
        <f aca="false">IF(I10610&gt;J10610,"Y","N")</f>
        <v>Y</v>
      </c>
      <c r="G10610" s="3" t="s">
        <v>36</v>
      </c>
      <c r="H10610" s="3" t="s">
        <v>37</v>
      </c>
      <c r="I10610" s="4" t="n">
        <v>15</v>
      </c>
      <c r="J10610" s="4" t="n">
        <f aca="false">LEN(E10610)-LEN(SUBSTITUTE(E10610,",",""))+1</f>
        <v>7</v>
      </c>
      <c r="K10610" s="3" t="str">
        <f aca="false">IFERROR(INDEX('Teacher Lookup'!$B$2:$B$200,MATCH(A10610,'Teacher Lookup'!$A$2:$A$200,0)),"")</f>
        <v>WAHAB Zakiyyah</v>
      </c>
    </row>
    <row r="10611" customFormat="false" ht="15" hidden="false" customHeight="false" outlineLevel="0" collapsed="false">
      <c r="A10611" s="3" t="s">
        <v>526</v>
      </c>
      <c r="B10611" s="4" t="s">
        <v>44</v>
      </c>
      <c r="C10611" s="4" t="n">
        <v>5</v>
      </c>
      <c r="D10611" s="4" t="s">
        <v>27</v>
      </c>
      <c r="E10611" s="3" t="s">
        <v>131</v>
      </c>
      <c r="F10611" s="4" t="str">
        <f aca="false">IF(I10611&gt;J10611,"Y","N")</f>
        <v>Y</v>
      </c>
      <c r="G10611" s="3" t="s">
        <v>36</v>
      </c>
      <c r="H10611" s="3" t="s">
        <v>37</v>
      </c>
      <c r="I10611" s="4" t="n">
        <v>15</v>
      </c>
      <c r="J10611" s="4" t="n">
        <f aca="false">LEN(E10611)-LEN(SUBSTITUTE(E10611,",",""))+1</f>
        <v>7</v>
      </c>
      <c r="K10611" s="3" t="str">
        <f aca="false">IFERROR(INDEX('Teacher Lookup'!$B$2:$B$200,MATCH(A10611,'Teacher Lookup'!$A$2:$A$200,0)),"")</f>
        <v>WAHAB Zakiyyah</v>
      </c>
    </row>
    <row r="10612" customFormat="false" ht="15" hidden="false" customHeight="false" outlineLevel="0" collapsed="false">
      <c r="A10612" s="3" t="s">
        <v>526</v>
      </c>
      <c r="B10612" s="4" t="s">
        <v>44</v>
      </c>
      <c r="C10612" s="4" t="n">
        <v>5</v>
      </c>
      <c r="D10612" s="4" t="s">
        <v>28</v>
      </c>
      <c r="E10612" s="3" t="s">
        <v>131</v>
      </c>
      <c r="F10612" s="4" t="str">
        <f aca="false">IF(I10612&gt;J10612,"Y","N")</f>
        <v>Y</v>
      </c>
      <c r="G10612" s="3" t="s">
        <v>36</v>
      </c>
      <c r="H10612" s="3" t="s">
        <v>37</v>
      </c>
      <c r="I10612" s="4" t="n">
        <v>15</v>
      </c>
      <c r="J10612" s="4" t="n">
        <f aca="false">LEN(E10612)-LEN(SUBSTITUTE(E10612,",",""))+1</f>
        <v>7</v>
      </c>
      <c r="K10612" s="3" t="str">
        <f aca="false">IFERROR(INDEX('Teacher Lookup'!$B$2:$B$200,MATCH(A10612,'Teacher Lookup'!$A$2:$A$200,0)),"")</f>
        <v>WAHAB Zakiyyah</v>
      </c>
    </row>
    <row r="10613" customFormat="false" ht="15" hidden="false" customHeight="false" outlineLevel="0" collapsed="false">
      <c r="A10613" s="3" t="s">
        <v>526</v>
      </c>
      <c r="B10613" s="4" t="s">
        <v>44</v>
      </c>
      <c r="C10613" s="4" t="n">
        <v>5</v>
      </c>
      <c r="D10613" s="4" t="s">
        <v>29</v>
      </c>
      <c r="E10613" s="3" t="s">
        <v>131</v>
      </c>
      <c r="F10613" s="4" t="str">
        <f aca="false">IF(I10613&gt;J10613,"Y","N")</f>
        <v>Y</v>
      </c>
      <c r="G10613" s="3" t="s">
        <v>36</v>
      </c>
      <c r="H10613" s="3" t="s">
        <v>37</v>
      </c>
      <c r="I10613" s="4" t="n">
        <v>15</v>
      </c>
      <c r="J10613" s="4" t="n">
        <f aca="false">LEN(E10613)-LEN(SUBSTITUTE(E10613,",",""))+1</f>
        <v>7</v>
      </c>
      <c r="K10613" s="3" t="str">
        <f aca="false">IFERROR(INDEX('Teacher Lookup'!$B$2:$B$200,MATCH(A10613,'Teacher Lookup'!$A$2:$A$200,0)),"")</f>
        <v>WAHAB Zakiyyah</v>
      </c>
    </row>
    <row r="10614" customFormat="false" ht="15" hidden="false" customHeight="false" outlineLevel="0" collapsed="false">
      <c r="A10614" s="3" t="s">
        <v>526</v>
      </c>
      <c r="B10614" s="4" t="s">
        <v>44</v>
      </c>
      <c r="C10614" s="4" t="n">
        <v>5</v>
      </c>
      <c r="D10614" s="4" t="s">
        <v>30</v>
      </c>
      <c r="E10614" s="3" t="s">
        <v>131</v>
      </c>
      <c r="F10614" s="4" t="str">
        <f aca="false">IF(I10614&gt;J10614,"Y","N")</f>
        <v>Y</v>
      </c>
      <c r="G10614" s="3" t="s">
        <v>36</v>
      </c>
      <c r="H10614" s="3" t="s">
        <v>37</v>
      </c>
      <c r="I10614" s="4" t="n">
        <v>15</v>
      </c>
      <c r="J10614" s="4" t="n">
        <f aca="false">LEN(E10614)-LEN(SUBSTITUTE(E10614,",",""))+1</f>
        <v>7</v>
      </c>
      <c r="K10614" s="3" t="str">
        <f aca="false">IFERROR(INDEX('Teacher Lookup'!$B$2:$B$200,MATCH(A10614,'Teacher Lookup'!$A$2:$A$200,0)),"")</f>
        <v>WAHAB Zakiyyah</v>
      </c>
    </row>
    <row r="10615" customFormat="false" ht="15" hidden="false" customHeight="false" outlineLevel="0" collapsed="false">
      <c r="A10615" s="3" t="s">
        <v>526</v>
      </c>
      <c r="B10615" s="4" t="s">
        <v>44</v>
      </c>
      <c r="C10615" s="4" t="n">
        <v>6</v>
      </c>
      <c r="D10615" s="4" t="s">
        <v>24</v>
      </c>
      <c r="E10615" s="3" t="s">
        <v>407</v>
      </c>
      <c r="F10615" s="4" t="str">
        <f aca="false">IF(I10615&gt;J10615,"Y","N")</f>
        <v>N</v>
      </c>
      <c r="G10615" s="3" t="s">
        <v>164</v>
      </c>
      <c r="H10615" s="3" t="s">
        <v>42</v>
      </c>
      <c r="I10615" s="4" t="n">
        <v>3</v>
      </c>
      <c r="J10615" s="4" t="n">
        <f aca="false">LEN(E10615)-LEN(SUBSTITUTE(E10615,",",""))+1</f>
        <v>3</v>
      </c>
      <c r="K10615" s="3" t="str">
        <f aca="false">IFERROR(INDEX('Teacher Lookup'!$B$2:$B$200,MATCH(A10615,'Teacher Lookup'!$A$2:$A$200,0)),"")</f>
        <v>WAHAB Zakiyyah</v>
      </c>
    </row>
    <row r="10616" customFormat="false" ht="15" hidden="false" customHeight="false" outlineLevel="0" collapsed="false">
      <c r="A10616" s="3" t="s">
        <v>526</v>
      </c>
      <c r="B10616" s="4" t="s">
        <v>44</v>
      </c>
      <c r="C10616" s="4" t="n">
        <v>6</v>
      </c>
      <c r="D10616" s="4" t="s">
        <v>27</v>
      </c>
      <c r="E10616" s="3" t="s">
        <v>407</v>
      </c>
      <c r="F10616" s="4" t="str">
        <f aca="false">IF(I10616&gt;J10616,"Y","N")</f>
        <v>N</v>
      </c>
      <c r="G10616" s="3" t="s">
        <v>164</v>
      </c>
      <c r="H10616" s="3" t="s">
        <v>42</v>
      </c>
      <c r="I10616" s="4" t="n">
        <v>3</v>
      </c>
      <c r="J10616" s="4" t="n">
        <f aca="false">LEN(E10616)-LEN(SUBSTITUTE(E10616,",",""))+1</f>
        <v>3</v>
      </c>
      <c r="K10616" s="3" t="str">
        <f aca="false">IFERROR(INDEX('Teacher Lookup'!$B$2:$B$200,MATCH(A10616,'Teacher Lookup'!$A$2:$A$200,0)),"")</f>
        <v>WAHAB Zakiyyah</v>
      </c>
    </row>
    <row r="10617" customFormat="false" ht="15" hidden="false" customHeight="false" outlineLevel="0" collapsed="false">
      <c r="A10617" s="3" t="s">
        <v>526</v>
      </c>
      <c r="B10617" s="4" t="s">
        <v>47</v>
      </c>
      <c r="C10617" s="4" t="n">
        <v>4</v>
      </c>
      <c r="D10617" s="4" t="s">
        <v>52</v>
      </c>
      <c r="E10617" s="3" t="s">
        <v>176</v>
      </c>
      <c r="F10617" s="4" t="str">
        <f aca="false">IF(I10617&gt;J10617,"Y","N")</f>
        <v>N</v>
      </c>
      <c r="G10617" s="3" t="s">
        <v>164</v>
      </c>
      <c r="H10617" s="3" t="s">
        <v>34</v>
      </c>
      <c r="I10617" s="4" t="n">
        <v>4</v>
      </c>
      <c r="J10617" s="4" t="n">
        <f aca="false">LEN(E10617)-LEN(SUBSTITUTE(E10617,",",""))+1</f>
        <v>4</v>
      </c>
      <c r="K10617" s="3" t="str">
        <f aca="false">IFERROR(INDEX('Teacher Lookup'!$B$2:$B$200,MATCH(A10617,'Teacher Lookup'!$A$2:$A$200,0)),"")</f>
        <v>WAHAB Zakiyyah</v>
      </c>
    </row>
    <row r="10618" customFormat="false" ht="15" hidden="false" customHeight="false" outlineLevel="0" collapsed="false">
      <c r="A10618" s="3" t="s">
        <v>526</v>
      </c>
      <c r="B10618" s="4" t="s">
        <v>47</v>
      </c>
      <c r="C10618" s="4" t="n">
        <v>4</v>
      </c>
      <c r="D10618" s="4" t="s">
        <v>55</v>
      </c>
      <c r="E10618" s="3" t="s">
        <v>176</v>
      </c>
      <c r="F10618" s="4" t="str">
        <f aca="false">IF(I10618&gt;J10618,"Y","N")</f>
        <v>N</v>
      </c>
      <c r="G10618" s="3" t="s">
        <v>164</v>
      </c>
      <c r="H10618" s="3" t="s">
        <v>34</v>
      </c>
      <c r="I10618" s="4" t="n">
        <v>4</v>
      </c>
      <c r="J10618" s="4" t="n">
        <f aca="false">LEN(E10618)-LEN(SUBSTITUTE(E10618,",",""))+1</f>
        <v>4</v>
      </c>
      <c r="K10618" s="3" t="str">
        <f aca="false">IFERROR(INDEX('Teacher Lookup'!$B$2:$B$200,MATCH(A10618,'Teacher Lookup'!$A$2:$A$200,0)),"")</f>
        <v>WAHAB Zakiyyah</v>
      </c>
    </row>
    <row r="10619" customFormat="false" ht="15" hidden="false" customHeight="false" outlineLevel="0" collapsed="false">
      <c r="A10619" s="3" t="s">
        <v>526</v>
      </c>
      <c r="B10619" s="4" t="s">
        <v>47</v>
      </c>
      <c r="C10619" s="4" t="n">
        <v>4</v>
      </c>
      <c r="D10619" s="4" t="s">
        <v>56</v>
      </c>
      <c r="E10619" s="3" t="s">
        <v>176</v>
      </c>
      <c r="F10619" s="4" t="str">
        <f aca="false">IF(I10619&gt;J10619,"Y","N")</f>
        <v>N</v>
      </c>
      <c r="G10619" s="3" t="s">
        <v>164</v>
      </c>
      <c r="H10619" s="3" t="s">
        <v>34</v>
      </c>
      <c r="I10619" s="4" t="n">
        <v>4</v>
      </c>
      <c r="J10619" s="4" t="n">
        <f aca="false">LEN(E10619)-LEN(SUBSTITUTE(E10619,",",""))+1</f>
        <v>4</v>
      </c>
      <c r="K10619" s="3" t="str">
        <f aca="false">IFERROR(INDEX('Teacher Lookup'!$B$2:$B$200,MATCH(A10619,'Teacher Lookup'!$A$2:$A$200,0)),"")</f>
        <v>WAHAB Zakiyyah</v>
      </c>
    </row>
    <row r="10620" customFormat="false" ht="15" hidden="false" customHeight="false" outlineLevel="0" collapsed="false">
      <c r="A10620" s="3" t="s">
        <v>526</v>
      </c>
      <c r="B10620" s="4" t="s">
        <v>47</v>
      </c>
      <c r="C10620" s="4" t="n">
        <v>6</v>
      </c>
      <c r="D10620" s="4" t="s">
        <v>24</v>
      </c>
      <c r="E10620" s="3" t="s">
        <v>408</v>
      </c>
      <c r="F10620" s="4" t="str">
        <f aca="false">IF(I10620&gt;J10620,"Y","N")</f>
        <v>N</v>
      </c>
      <c r="G10620" s="3" t="s">
        <v>164</v>
      </c>
      <c r="H10620" s="3" t="s">
        <v>42</v>
      </c>
      <c r="I10620" s="4" t="n">
        <v>3</v>
      </c>
      <c r="J10620" s="4" t="n">
        <f aca="false">LEN(E10620)-LEN(SUBSTITUTE(E10620,",",""))+1</f>
        <v>3</v>
      </c>
      <c r="K10620" s="3" t="str">
        <f aca="false">IFERROR(INDEX('Teacher Lookup'!$B$2:$B$200,MATCH(A10620,'Teacher Lookup'!$A$2:$A$200,0)),"")</f>
        <v>WAHAB Zakiyyah</v>
      </c>
    </row>
    <row r="10621" customFormat="false" ht="15" hidden="false" customHeight="false" outlineLevel="0" collapsed="false">
      <c r="A10621" s="3" t="s">
        <v>526</v>
      </c>
      <c r="B10621" s="4" t="s">
        <v>47</v>
      </c>
      <c r="C10621" s="4" t="n">
        <v>6</v>
      </c>
      <c r="D10621" s="4" t="s">
        <v>27</v>
      </c>
      <c r="E10621" s="3" t="s">
        <v>408</v>
      </c>
      <c r="F10621" s="4" t="str">
        <f aca="false">IF(I10621&gt;J10621,"Y","N")</f>
        <v>N</v>
      </c>
      <c r="G10621" s="3" t="s">
        <v>164</v>
      </c>
      <c r="H10621" s="3" t="s">
        <v>42</v>
      </c>
      <c r="I10621" s="4" t="n">
        <v>3</v>
      </c>
      <c r="J10621" s="4" t="n">
        <f aca="false">LEN(E10621)-LEN(SUBSTITUTE(E10621,",",""))+1</f>
        <v>3</v>
      </c>
      <c r="K10621" s="3" t="str">
        <f aca="false">IFERROR(INDEX('Teacher Lookup'!$B$2:$B$200,MATCH(A10621,'Teacher Lookup'!$A$2:$A$200,0)),"")</f>
        <v>WAHAB Zakiyyah</v>
      </c>
    </row>
    <row r="10622" customFormat="false" ht="15" hidden="false" customHeight="false" outlineLevel="0" collapsed="false">
      <c r="A10622" s="3" t="s">
        <v>526</v>
      </c>
      <c r="B10622" s="4" t="s">
        <v>47</v>
      </c>
      <c r="C10622" s="4" t="n">
        <v>7</v>
      </c>
      <c r="D10622" s="4" t="s">
        <v>28</v>
      </c>
      <c r="E10622" s="3" t="s">
        <v>159</v>
      </c>
      <c r="F10622" s="4" t="str">
        <f aca="false">IF(I10622&gt;J10622,"Y","N")</f>
        <v>N</v>
      </c>
      <c r="G10622" s="3" t="s">
        <v>164</v>
      </c>
      <c r="H10622" s="3" t="s">
        <v>39</v>
      </c>
      <c r="I10622" s="4" t="n">
        <v>4</v>
      </c>
      <c r="J10622" s="4" t="n">
        <f aca="false">LEN(E10622)-LEN(SUBSTITUTE(E10622,",",""))+1</f>
        <v>4</v>
      </c>
      <c r="K10622" s="3" t="str">
        <f aca="false">IFERROR(INDEX('Teacher Lookup'!$B$2:$B$200,MATCH(A10622,'Teacher Lookup'!$A$2:$A$200,0)),"")</f>
        <v>WAHAB Zakiyyah</v>
      </c>
    </row>
    <row r="10623" customFormat="false" ht="15" hidden="false" customHeight="false" outlineLevel="0" collapsed="false">
      <c r="A10623" s="3" t="s">
        <v>526</v>
      </c>
      <c r="B10623" s="4" t="s">
        <v>47</v>
      </c>
      <c r="C10623" s="4" t="n">
        <v>7</v>
      </c>
      <c r="D10623" s="4" t="s">
        <v>29</v>
      </c>
      <c r="E10623" s="3" t="s">
        <v>159</v>
      </c>
      <c r="F10623" s="4" t="str">
        <f aca="false">IF(I10623&gt;J10623,"Y","N")</f>
        <v>N</v>
      </c>
      <c r="G10623" s="3" t="s">
        <v>164</v>
      </c>
      <c r="H10623" s="3" t="s">
        <v>39</v>
      </c>
      <c r="I10623" s="4" t="n">
        <v>4</v>
      </c>
      <c r="J10623" s="4" t="n">
        <f aca="false">LEN(E10623)-LEN(SUBSTITUTE(E10623,",",""))+1</f>
        <v>4</v>
      </c>
      <c r="K10623" s="3" t="str">
        <f aca="false">IFERROR(INDEX('Teacher Lookup'!$B$2:$B$200,MATCH(A10623,'Teacher Lookup'!$A$2:$A$200,0)),"")</f>
        <v>WAHAB Zakiyyah</v>
      </c>
    </row>
    <row r="10624" customFormat="false" ht="15" hidden="false" customHeight="false" outlineLevel="0" collapsed="false">
      <c r="A10624" s="3" t="s">
        <v>526</v>
      </c>
      <c r="B10624" s="4" t="s">
        <v>47</v>
      </c>
      <c r="C10624" s="4" t="n">
        <v>7</v>
      </c>
      <c r="D10624" s="4" t="s">
        <v>30</v>
      </c>
      <c r="E10624" s="3" t="s">
        <v>159</v>
      </c>
      <c r="F10624" s="4" t="str">
        <f aca="false">IF(I10624&gt;J10624,"Y","N")</f>
        <v>N</v>
      </c>
      <c r="G10624" s="3" t="s">
        <v>164</v>
      </c>
      <c r="H10624" s="3" t="s">
        <v>39</v>
      </c>
      <c r="I10624" s="4" t="n">
        <v>4</v>
      </c>
      <c r="J10624" s="4" t="n">
        <f aca="false">LEN(E10624)-LEN(SUBSTITUTE(E10624,",",""))+1</f>
        <v>4</v>
      </c>
      <c r="K10624" s="3" t="str">
        <f aca="false">IFERROR(INDEX('Teacher Lookup'!$B$2:$B$200,MATCH(A10624,'Teacher Lookup'!$A$2:$A$200,0)),"")</f>
        <v>WAHAB Zakiyyah</v>
      </c>
    </row>
    <row r="10625" customFormat="false" ht="15" hidden="false" customHeight="false" outlineLevel="0" collapsed="false">
      <c r="A10625" s="3" t="s">
        <v>526</v>
      </c>
      <c r="B10625" s="4" t="s">
        <v>50</v>
      </c>
      <c r="C10625" s="4" t="n">
        <v>1</v>
      </c>
      <c r="D10625" s="4" t="s">
        <v>24</v>
      </c>
      <c r="E10625" s="3" t="s">
        <v>409</v>
      </c>
      <c r="F10625" s="4" t="str">
        <f aca="false">IF(I10625&gt;J10625,"Y","N")</f>
        <v>N</v>
      </c>
      <c r="G10625" s="3" t="s">
        <v>164</v>
      </c>
      <c r="H10625" s="3" t="s">
        <v>16</v>
      </c>
      <c r="I10625" s="4" t="n">
        <v>3</v>
      </c>
      <c r="J10625" s="4" t="n">
        <f aca="false">LEN(E10625)-LEN(SUBSTITUTE(E10625,",",""))+1</f>
        <v>3</v>
      </c>
      <c r="K10625" s="3" t="str">
        <f aca="false">IFERROR(INDEX('Teacher Lookup'!$B$2:$B$200,MATCH(A10625,'Teacher Lookup'!$A$2:$A$200,0)),"")</f>
        <v>WAHAB Zakiyyah</v>
      </c>
    </row>
    <row r="10626" customFormat="false" ht="15" hidden="false" customHeight="false" outlineLevel="0" collapsed="false">
      <c r="A10626" s="3" t="s">
        <v>526</v>
      </c>
      <c r="B10626" s="4" t="s">
        <v>50</v>
      </c>
      <c r="C10626" s="4" t="n">
        <v>1</v>
      </c>
      <c r="D10626" s="4" t="s">
        <v>27</v>
      </c>
      <c r="E10626" s="3" t="s">
        <v>409</v>
      </c>
      <c r="F10626" s="4" t="str">
        <f aca="false">IF(I10626&gt;J10626,"Y","N")</f>
        <v>N</v>
      </c>
      <c r="G10626" s="3" t="s">
        <v>164</v>
      </c>
      <c r="H10626" s="3" t="s">
        <v>16</v>
      </c>
      <c r="I10626" s="4" t="n">
        <v>3</v>
      </c>
      <c r="J10626" s="4" t="n">
        <f aca="false">LEN(E10626)-LEN(SUBSTITUTE(E10626,",",""))+1</f>
        <v>3</v>
      </c>
      <c r="K10626" s="3" t="str">
        <f aca="false">IFERROR(INDEX('Teacher Lookup'!$B$2:$B$200,MATCH(A10626,'Teacher Lookup'!$A$2:$A$200,0)),"")</f>
        <v>WAHAB Zakiyyah</v>
      </c>
    </row>
    <row r="10627" customFormat="false" ht="15" hidden="false" customHeight="false" outlineLevel="0" collapsed="false">
      <c r="A10627" s="3" t="s">
        <v>526</v>
      </c>
      <c r="B10627" s="4" t="s">
        <v>50</v>
      </c>
      <c r="C10627" s="4" t="n">
        <v>2</v>
      </c>
      <c r="D10627" s="4" t="s">
        <v>28</v>
      </c>
      <c r="E10627" s="3" t="s">
        <v>410</v>
      </c>
      <c r="F10627" s="4" t="str">
        <f aca="false">IF(I10627&gt;J10627,"Y","N")</f>
        <v>N</v>
      </c>
      <c r="G10627" s="3" t="s">
        <v>164</v>
      </c>
      <c r="H10627" s="3" t="s">
        <v>21</v>
      </c>
      <c r="I10627" s="4" t="n">
        <v>4</v>
      </c>
      <c r="J10627" s="4" t="n">
        <f aca="false">LEN(E10627)-LEN(SUBSTITUTE(E10627,",",""))+1</f>
        <v>4</v>
      </c>
      <c r="K10627" s="3" t="str">
        <f aca="false">IFERROR(INDEX('Teacher Lookup'!$B$2:$B$200,MATCH(A10627,'Teacher Lookup'!$A$2:$A$200,0)),"")</f>
        <v>WAHAB Zakiyyah</v>
      </c>
    </row>
    <row r="10628" customFormat="false" ht="15" hidden="false" customHeight="false" outlineLevel="0" collapsed="false">
      <c r="A10628" s="3" t="s">
        <v>526</v>
      </c>
      <c r="B10628" s="4" t="s">
        <v>50</v>
      </c>
      <c r="C10628" s="4" t="n">
        <v>2</v>
      </c>
      <c r="D10628" s="4" t="s">
        <v>29</v>
      </c>
      <c r="E10628" s="3" t="s">
        <v>410</v>
      </c>
      <c r="F10628" s="4" t="str">
        <f aca="false">IF(I10628&gt;J10628,"Y","N")</f>
        <v>N</v>
      </c>
      <c r="G10628" s="3" t="s">
        <v>164</v>
      </c>
      <c r="H10628" s="3" t="s">
        <v>21</v>
      </c>
      <c r="I10628" s="4" t="n">
        <v>4</v>
      </c>
      <c r="J10628" s="4" t="n">
        <f aca="false">LEN(E10628)-LEN(SUBSTITUTE(E10628,",",""))+1</f>
        <v>4</v>
      </c>
      <c r="K10628" s="3" t="str">
        <f aca="false">IFERROR(INDEX('Teacher Lookup'!$B$2:$B$200,MATCH(A10628,'Teacher Lookup'!$A$2:$A$200,0)),"")</f>
        <v>WAHAB Zakiyyah</v>
      </c>
    </row>
    <row r="10629" customFormat="false" ht="15" hidden="false" customHeight="false" outlineLevel="0" collapsed="false">
      <c r="A10629" s="3" t="s">
        <v>526</v>
      </c>
      <c r="B10629" s="4" t="s">
        <v>50</v>
      </c>
      <c r="C10629" s="4" t="n">
        <v>2</v>
      </c>
      <c r="D10629" s="4" t="s">
        <v>30</v>
      </c>
      <c r="E10629" s="3" t="s">
        <v>410</v>
      </c>
      <c r="F10629" s="4" t="str">
        <f aca="false">IF(I10629&gt;J10629,"Y","N")</f>
        <v>N</v>
      </c>
      <c r="G10629" s="3" t="s">
        <v>164</v>
      </c>
      <c r="H10629" s="3" t="s">
        <v>21</v>
      </c>
      <c r="I10629" s="4" t="n">
        <v>4</v>
      </c>
      <c r="J10629" s="4" t="n">
        <f aca="false">LEN(E10629)-LEN(SUBSTITUTE(E10629,",",""))+1</f>
        <v>4</v>
      </c>
      <c r="K10629" s="3" t="str">
        <f aca="false">IFERROR(INDEX('Teacher Lookup'!$B$2:$B$200,MATCH(A10629,'Teacher Lookup'!$A$2:$A$200,0)),"")</f>
        <v>WAHAB Zakiyyah</v>
      </c>
    </row>
    <row r="10630" customFormat="false" ht="15" hidden="false" customHeight="false" outlineLevel="0" collapsed="false">
      <c r="A10630" s="3" t="s">
        <v>526</v>
      </c>
      <c r="B10630" s="4" t="s">
        <v>50</v>
      </c>
      <c r="C10630" s="4" t="n">
        <v>4</v>
      </c>
      <c r="D10630" s="4" t="s">
        <v>52</v>
      </c>
      <c r="E10630" s="3" t="s">
        <v>177</v>
      </c>
      <c r="F10630" s="4" t="str">
        <f aca="false">IF(I10630&gt;J10630,"Y","N")</f>
        <v>N</v>
      </c>
      <c r="G10630" s="3" t="s">
        <v>164</v>
      </c>
      <c r="H10630" s="3" t="s">
        <v>34</v>
      </c>
      <c r="I10630" s="4" t="n">
        <v>4</v>
      </c>
      <c r="J10630" s="4" t="n">
        <f aca="false">LEN(E10630)-LEN(SUBSTITUTE(E10630,",",""))+1</f>
        <v>4</v>
      </c>
      <c r="K10630" s="3" t="str">
        <f aca="false">IFERROR(INDEX('Teacher Lookup'!$B$2:$B$200,MATCH(A10630,'Teacher Lookup'!$A$2:$A$200,0)),"")</f>
        <v>WAHAB Zakiyyah</v>
      </c>
    </row>
    <row r="10631" customFormat="false" ht="15" hidden="false" customHeight="false" outlineLevel="0" collapsed="false">
      <c r="A10631" s="3" t="s">
        <v>526</v>
      </c>
      <c r="B10631" s="4" t="s">
        <v>50</v>
      </c>
      <c r="C10631" s="4" t="n">
        <v>4</v>
      </c>
      <c r="D10631" s="4" t="s">
        <v>55</v>
      </c>
      <c r="E10631" s="3" t="s">
        <v>177</v>
      </c>
      <c r="F10631" s="4" t="str">
        <f aca="false">IF(I10631&gt;J10631,"Y","N")</f>
        <v>N</v>
      </c>
      <c r="G10631" s="3" t="s">
        <v>164</v>
      </c>
      <c r="H10631" s="3" t="s">
        <v>34</v>
      </c>
      <c r="I10631" s="4" t="n">
        <v>4</v>
      </c>
      <c r="J10631" s="4" t="n">
        <f aca="false">LEN(E10631)-LEN(SUBSTITUTE(E10631,",",""))+1</f>
        <v>4</v>
      </c>
      <c r="K10631" s="3" t="str">
        <f aca="false">IFERROR(INDEX('Teacher Lookup'!$B$2:$B$200,MATCH(A10631,'Teacher Lookup'!$A$2:$A$200,0)),"")</f>
        <v>WAHAB Zakiyyah</v>
      </c>
    </row>
    <row r="10632" customFormat="false" ht="15" hidden="false" customHeight="false" outlineLevel="0" collapsed="false">
      <c r="A10632" s="3" t="s">
        <v>526</v>
      </c>
      <c r="B10632" s="4" t="s">
        <v>50</v>
      </c>
      <c r="C10632" s="4" t="n">
        <v>4</v>
      </c>
      <c r="D10632" s="4" t="s">
        <v>56</v>
      </c>
      <c r="E10632" s="3" t="s">
        <v>177</v>
      </c>
      <c r="F10632" s="4" t="str">
        <f aca="false">IF(I10632&gt;J10632,"Y","N")</f>
        <v>N</v>
      </c>
      <c r="G10632" s="3" t="s">
        <v>164</v>
      </c>
      <c r="H10632" s="3" t="s">
        <v>34</v>
      </c>
      <c r="I10632" s="4" t="n">
        <v>4</v>
      </c>
      <c r="J10632" s="4" t="n">
        <f aca="false">LEN(E10632)-LEN(SUBSTITUTE(E10632,",",""))+1</f>
        <v>4</v>
      </c>
      <c r="K10632" s="3" t="str">
        <f aca="false">IFERROR(INDEX('Teacher Lookup'!$B$2:$B$200,MATCH(A10632,'Teacher Lookup'!$A$2:$A$200,0)),"")</f>
        <v>WAHAB Zakiyyah</v>
      </c>
    </row>
    <row r="10633" customFormat="false" ht="15" hidden="false" customHeight="false" outlineLevel="0" collapsed="false">
      <c r="A10633" s="3" t="s">
        <v>526</v>
      </c>
      <c r="B10633" s="4" t="s">
        <v>60</v>
      </c>
      <c r="C10633" s="4" t="n">
        <v>4</v>
      </c>
      <c r="D10633" s="4" t="s">
        <v>28</v>
      </c>
      <c r="E10633" s="3" t="s">
        <v>411</v>
      </c>
      <c r="F10633" s="4" t="str">
        <f aca="false">IF(I10633&gt;J10633,"Y","N")</f>
        <v>N</v>
      </c>
      <c r="G10633" s="3" t="s">
        <v>164</v>
      </c>
      <c r="H10633" s="3" t="s">
        <v>34</v>
      </c>
      <c r="I10633" s="4" t="n">
        <v>4</v>
      </c>
      <c r="J10633" s="4" t="n">
        <f aca="false">LEN(E10633)-LEN(SUBSTITUTE(E10633,",",""))+1</f>
        <v>4</v>
      </c>
      <c r="K10633" s="3" t="str">
        <f aca="false">IFERROR(INDEX('Teacher Lookup'!$B$2:$B$200,MATCH(A10633,'Teacher Lookup'!$A$2:$A$200,0)),"")</f>
        <v>WAHAB Zakiyyah</v>
      </c>
    </row>
    <row r="10634" customFormat="false" ht="15" hidden="false" customHeight="false" outlineLevel="0" collapsed="false">
      <c r="A10634" s="3" t="s">
        <v>526</v>
      </c>
      <c r="B10634" s="4" t="s">
        <v>60</v>
      </c>
      <c r="C10634" s="4" t="n">
        <v>4</v>
      </c>
      <c r="D10634" s="4" t="s">
        <v>29</v>
      </c>
      <c r="E10634" s="3" t="s">
        <v>411</v>
      </c>
      <c r="F10634" s="4" t="str">
        <f aca="false">IF(I10634&gt;J10634,"Y","N")</f>
        <v>N</v>
      </c>
      <c r="G10634" s="3" t="s">
        <v>164</v>
      </c>
      <c r="H10634" s="3" t="s">
        <v>34</v>
      </c>
      <c r="I10634" s="4" t="n">
        <v>4</v>
      </c>
      <c r="J10634" s="4" t="n">
        <f aca="false">LEN(E10634)-LEN(SUBSTITUTE(E10634,",",""))+1</f>
        <v>4</v>
      </c>
      <c r="K10634" s="3" t="str">
        <f aca="false">IFERROR(INDEX('Teacher Lookup'!$B$2:$B$200,MATCH(A10634,'Teacher Lookup'!$A$2:$A$200,0)),"")</f>
        <v>WAHAB Zakiyyah</v>
      </c>
    </row>
    <row r="10635" customFormat="false" ht="15" hidden="false" customHeight="false" outlineLevel="0" collapsed="false">
      <c r="A10635" s="3" t="s">
        <v>526</v>
      </c>
      <c r="B10635" s="4" t="s">
        <v>60</v>
      </c>
      <c r="C10635" s="4" t="n">
        <v>4</v>
      </c>
      <c r="D10635" s="4" t="s">
        <v>30</v>
      </c>
      <c r="E10635" s="3" t="s">
        <v>411</v>
      </c>
      <c r="F10635" s="4" t="str">
        <f aca="false">IF(I10635&gt;J10635,"Y","N")</f>
        <v>N</v>
      </c>
      <c r="G10635" s="3" t="s">
        <v>164</v>
      </c>
      <c r="H10635" s="3" t="s">
        <v>34</v>
      </c>
      <c r="I10635" s="4" t="n">
        <v>4</v>
      </c>
      <c r="J10635" s="4" t="n">
        <f aca="false">LEN(E10635)-LEN(SUBSTITUTE(E10635,",",""))+1</f>
        <v>4</v>
      </c>
      <c r="K10635" s="3" t="str">
        <f aca="false">IFERROR(INDEX('Teacher Lookup'!$B$2:$B$200,MATCH(A10635,'Teacher Lookup'!$A$2:$A$200,0)),"")</f>
        <v>WAHAB Zakiyyah</v>
      </c>
    </row>
    <row r="10636" customFormat="false" ht="15" hidden="false" customHeight="false" outlineLevel="0" collapsed="false">
      <c r="A10636" s="3" t="s">
        <v>526</v>
      </c>
      <c r="B10636" s="4" t="s">
        <v>60</v>
      </c>
      <c r="C10636" s="4" t="n">
        <v>5</v>
      </c>
      <c r="D10636" s="4" t="s">
        <v>24</v>
      </c>
      <c r="E10636" s="3" t="s">
        <v>131</v>
      </c>
      <c r="F10636" s="4" t="str">
        <f aca="false">IF(I10636&gt;J10636,"Y","N")</f>
        <v>Y</v>
      </c>
      <c r="G10636" s="3" t="s">
        <v>36</v>
      </c>
      <c r="H10636" s="3" t="s">
        <v>37</v>
      </c>
      <c r="I10636" s="4" t="n">
        <v>15</v>
      </c>
      <c r="J10636" s="4" t="n">
        <f aca="false">LEN(E10636)-LEN(SUBSTITUTE(E10636,",",""))+1</f>
        <v>7</v>
      </c>
      <c r="K10636" s="3" t="str">
        <f aca="false">IFERROR(INDEX('Teacher Lookup'!$B$2:$B$200,MATCH(A10636,'Teacher Lookup'!$A$2:$A$200,0)),"")</f>
        <v>WAHAB Zakiyyah</v>
      </c>
    </row>
    <row r="10637" customFormat="false" ht="15" hidden="false" customHeight="false" outlineLevel="0" collapsed="false">
      <c r="A10637" s="3" t="s">
        <v>526</v>
      </c>
      <c r="B10637" s="4" t="s">
        <v>60</v>
      </c>
      <c r="C10637" s="4" t="n">
        <v>5</v>
      </c>
      <c r="D10637" s="4" t="s">
        <v>132</v>
      </c>
      <c r="E10637" s="3" t="s">
        <v>131</v>
      </c>
      <c r="F10637" s="4" t="str">
        <f aca="false">IF(I10637&gt;J10637,"Y","N")</f>
        <v>Y</v>
      </c>
      <c r="G10637" s="3" t="s">
        <v>36</v>
      </c>
      <c r="H10637" s="3" t="s">
        <v>37</v>
      </c>
      <c r="I10637" s="4" t="n">
        <v>15</v>
      </c>
      <c r="J10637" s="4" t="n">
        <f aca="false">LEN(E10637)-LEN(SUBSTITUTE(E10637,",",""))+1</f>
        <v>7</v>
      </c>
      <c r="K10637" s="3" t="str">
        <f aca="false">IFERROR(INDEX('Teacher Lookup'!$B$2:$B$200,MATCH(A10637,'Teacher Lookup'!$A$2:$A$200,0)),"")</f>
        <v>WAHAB Zakiyyah</v>
      </c>
    </row>
    <row r="10638" customFormat="false" ht="15" hidden="false" customHeight="false" outlineLevel="0" collapsed="false">
      <c r="A10638" s="3" t="s">
        <v>526</v>
      </c>
      <c r="B10638" s="4" t="s">
        <v>60</v>
      </c>
      <c r="C10638" s="4" t="n">
        <v>5</v>
      </c>
      <c r="D10638" s="4" t="s">
        <v>27</v>
      </c>
      <c r="E10638" s="3" t="s">
        <v>131</v>
      </c>
      <c r="F10638" s="4" t="str">
        <f aca="false">IF(I10638&gt;J10638,"Y","N")</f>
        <v>Y</v>
      </c>
      <c r="G10638" s="3" t="s">
        <v>36</v>
      </c>
      <c r="H10638" s="3" t="s">
        <v>37</v>
      </c>
      <c r="I10638" s="4" t="n">
        <v>15</v>
      </c>
      <c r="J10638" s="4" t="n">
        <f aca="false">LEN(E10638)-LEN(SUBSTITUTE(E10638,",",""))+1</f>
        <v>7</v>
      </c>
      <c r="K10638" s="3" t="str">
        <f aca="false">IFERROR(INDEX('Teacher Lookup'!$B$2:$B$200,MATCH(A10638,'Teacher Lookup'!$A$2:$A$200,0)),"")</f>
        <v>WAHAB Zakiyyah</v>
      </c>
    </row>
    <row r="10639" customFormat="false" ht="15" hidden="false" customHeight="false" outlineLevel="0" collapsed="false">
      <c r="A10639" s="3" t="s">
        <v>526</v>
      </c>
      <c r="B10639" s="4" t="s">
        <v>60</v>
      </c>
      <c r="C10639" s="4" t="n">
        <v>5</v>
      </c>
      <c r="D10639" s="4" t="s">
        <v>28</v>
      </c>
      <c r="E10639" s="3" t="s">
        <v>131</v>
      </c>
      <c r="F10639" s="4" t="str">
        <f aca="false">IF(I10639&gt;J10639,"Y","N")</f>
        <v>Y</v>
      </c>
      <c r="G10639" s="3" t="s">
        <v>36</v>
      </c>
      <c r="H10639" s="3" t="s">
        <v>37</v>
      </c>
      <c r="I10639" s="4" t="n">
        <v>15</v>
      </c>
      <c r="J10639" s="4" t="n">
        <f aca="false">LEN(E10639)-LEN(SUBSTITUTE(E10639,",",""))+1</f>
        <v>7</v>
      </c>
      <c r="K10639" s="3" t="str">
        <f aca="false">IFERROR(INDEX('Teacher Lookup'!$B$2:$B$200,MATCH(A10639,'Teacher Lookup'!$A$2:$A$200,0)),"")</f>
        <v>WAHAB Zakiyyah</v>
      </c>
    </row>
    <row r="10640" customFormat="false" ht="15" hidden="false" customHeight="false" outlineLevel="0" collapsed="false">
      <c r="A10640" s="3" t="s">
        <v>526</v>
      </c>
      <c r="B10640" s="4" t="s">
        <v>60</v>
      </c>
      <c r="C10640" s="4" t="n">
        <v>5</v>
      </c>
      <c r="D10640" s="4" t="s">
        <v>29</v>
      </c>
      <c r="E10640" s="3" t="s">
        <v>131</v>
      </c>
      <c r="F10640" s="4" t="str">
        <f aca="false">IF(I10640&gt;J10640,"Y","N")</f>
        <v>Y</v>
      </c>
      <c r="G10640" s="3" t="s">
        <v>36</v>
      </c>
      <c r="H10640" s="3" t="s">
        <v>37</v>
      </c>
      <c r="I10640" s="4" t="n">
        <v>15</v>
      </c>
      <c r="J10640" s="4" t="n">
        <f aca="false">LEN(E10640)-LEN(SUBSTITUTE(E10640,",",""))+1</f>
        <v>7</v>
      </c>
      <c r="K10640" s="3" t="str">
        <f aca="false">IFERROR(INDEX('Teacher Lookup'!$B$2:$B$200,MATCH(A10640,'Teacher Lookup'!$A$2:$A$200,0)),"")</f>
        <v>WAHAB Zakiyyah</v>
      </c>
    </row>
    <row r="10641" customFormat="false" ht="15" hidden="false" customHeight="false" outlineLevel="0" collapsed="false">
      <c r="A10641" s="3" t="s">
        <v>526</v>
      </c>
      <c r="B10641" s="4" t="s">
        <v>60</v>
      </c>
      <c r="C10641" s="4" t="n">
        <v>5</v>
      </c>
      <c r="D10641" s="4" t="s">
        <v>30</v>
      </c>
      <c r="E10641" s="3" t="s">
        <v>131</v>
      </c>
      <c r="F10641" s="4" t="str">
        <f aca="false">IF(I10641&gt;J10641,"Y","N")</f>
        <v>Y</v>
      </c>
      <c r="G10641" s="3" t="s">
        <v>36</v>
      </c>
      <c r="H10641" s="3" t="s">
        <v>37</v>
      </c>
      <c r="I10641" s="4" t="n">
        <v>15</v>
      </c>
      <c r="J10641" s="4" t="n">
        <f aca="false">LEN(E10641)-LEN(SUBSTITUTE(E10641,",",""))+1</f>
        <v>7</v>
      </c>
      <c r="K10641" s="3" t="str">
        <f aca="false">IFERROR(INDEX('Teacher Lookup'!$B$2:$B$200,MATCH(A10641,'Teacher Lookup'!$A$2:$A$200,0)),"")</f>
        <v>WAHAB Zakiyyah</v>
      </c>
    </row>
    <row r="10642" customFormat="false" ht="15" hidden="false" customHeight="false" outlineLevel="0" collapsed="false">
      <c r="A10642" s="3" t="s">
        <v>526</v>
      </c>
      <c r="B10642" s="4" t="s">
        <v>60</v>
      </c>
      <c r="C10642" s="4" t="n">
        <v>6</v>
      </c>
      <c r="D10642" s="4" t="s">
        <v>52</v>
      </c>
      <c r="E10642" s="3" t="s">
        <v>169</v>
      </c>
      <c r="F10642" s="4" t="str">
        <f aca="false">IF(I10642&gt;J10642,"Y","N")</f>
        <v>N</v>
      </c>
      <c r="G10642" s="3" t="s">
        <v>164</v>
      </c>
      <c r="H10642" s="3" t="s">
        <v>42</v>
      </c>
      <c r="I10642" s="4" t="n">
        <v>4</v>
      </c>
      <c r="J10642" s="4" t="n">
        <f aca="false">LEN(E10642)-LEN(SUBSTITUTE(E10642,",",""))+1</f>
        <v>4</v>
      </c>
      <c r="K10642" s="3" t="str">
        <f aca="false">IFERROR(INDEX('Teacher Lookup'!$B$2:$B$200,MATCH(A10642,'Teacher Lookup'!$A$2:$A$200,0)),"")</f>
        <v>WAHAB Zakiyyah</v>
      </c>
    </row>
    <row r="10643" customFormat="false" ht="15" hidden="false" customHeight="false" outlineLevel="0" collapsed="false">
      <c r="A10643" s="3" t="s">
        <v>526</v>
      </c>
      <c r="B10643" s="4" t="s">
        <v>60</v>
      </c>
      <c r="C10643" s="4" t="n">
        <v>6</v>
      </c>
      <c r="D10643" s="4" t="s">
        <v>55</v>
      </c>
      <c r="E10643" s="3" t="s">
        <v>169</v>
      </c>
      <c r="F10643" s="4" t="str">
        <f aca="false">IF(I10643&gt;J10643,"Y","N")</f>
        <v>N</v>
      </c>
      <c r="G10643" s="3" t="s">
        <v>164</v>
      </c>
      <c r="H10643" s="3" t="s">
        <v>42</v>
      </c>
      <c r="I10643" s="4" t="n">
        <v>4</v>
      </c>
      <c r="J10643" s="4" t="n">
        <f aca="false">LEN(E10643)-LEN(SUBSTITUTE(E10643,",",""))+1</f>
        <v>4</v>
      </c>
      <c r="K10643" s="3" t="str">
        <f aca="false">IFERROR(INDEX('Teacher Lookup'!$B$2:$B$200,MATCH(A10643,'Teacher Lookup'!$A$2:$A$200,0)),"")</f>
        <v>WAHAB Zakiyyah</v>
      </c>
    </row>
    <row r="10644" customFormat="false" ht="15" hidden="false" customHeight="false" outlineLevel="0" collapsed="false">
      <c r="A10644" s="3" t="s">
        <v>526</v>
      </c>
      <c r="B10644" s="4" t="s">
        <v>60</v>
      </c>
      <c r="C10644" s="4" t="n">
        <v>6</v>
      </c>
      <c r="D10644" s="4" t="s">
        <v>56</v>
      </c>
      <c r="E10644" s="3" t="s">
        <v>169</v>
      </c>
      <c r="F10644" s="4" t="str">
        <f aca="false">IF(I10644&gt;J10644,"Y","N")</f>
        <v>N</v>
      </c>
      <c r="G10644" s="3" t="s">
        <v>164</v>
      </c>
      <c r="H10644" s="3" t="s">
        <v>42</v>
      </c>
      <c r="I10644" s="4" t="n">
        <v>4</v>
      </c>
      <c r="J10644" s="4" t="n">
        <f aca="false">LEN(E10644)-LEN(SUBSTITUTE(E10644,",",""))+1</f>
        <v>4</v>
      </c>
      <c r="K10644" s="3" t="str">
        <f aca="false">IFERROR(INDEX('Teacher Lookup'!$B$2:$B$200,MATCH(A10644,'Teacher Lookup'!$A$2:$A$200,0)),"")</f>
        <v>WAHAB Zakiyyah</v>
      </c>
    </row>
    <row r="10645" customFormat="false" ht="15" hidden="false" customHeight="false" outlineLevel="0" collapsed="false">
      <c r="A10645" s="3" t="s">
        <v>526</v>
      </c>
      <c r="B10645" s="4" t="s">
        <v>60</v>
      </c>
      <c r="C10645" s="4" t="n">
        <v>7</v>
      </c>
      <c r="D10645" s="4" t="s">
        <v>24</v>
      </c>
      <c r="E10645" s="3" t="s">
        <v>408</v>
      </c>
      <c r="F10645" s="4" t="str">
        <f aca="false">IF(I10645&gt;J10645,"Y","N")</f>
        <v>N</v>
      </c>
      <c r="G10645" s="3" t="s">
        <v>164</v>
      </c>
      <c r="H10645" s="3" t="s">
        <v>39</v>
      </c>
      <c r="I10645" s="4" t="n">
        <v>3</v>
      </c>
      <c r="J10645" s="4" t="n">
        <f aca="false">LEN(E10645)-LEN(SUBSTITUTE(E10645,",",""))+1</f>
        <v>3</v>
      </c>
      <c r="K10645" s="3" t="str">
        <f aca="false">IFERROR(INDEX('Teacher Lookup'!$B$2:$B$200,MATCH(A10645,'Teacher Lookup'!$A$2:$A$200,0)),"")</f>
        <v>WAHAB Zakiyyah</v>
      </c>
    </row>
    <row r="10646" customFormat="false" ht="15" hidden="false" customHeight="false" outlineLevel="0" collapsed="false">
      <c r="A10646" s="3" t="s">
        <v>526</v>
      </c>
      <c r="B10646" s="4" t="s">
        <v>60</v>
      </c>
      <c r="C10646" s="4" t="n">
        <v>7</v>
      </c>
      <c r="D10646" s="4" t="s">
        <v>27</v>
      </c>
      <c r="E10646" s="3" t="s">
        <v>408</v>
      </c>
      <c r="F10646" s="4" t="str">
        <f aca="false">IF(I10646&gt;J10646,"Y","N")</f>
        <v>N</v>
      </c>
      <c r="G10646" s="3" t="s">
        <v>164</v>
      </c>
      <c r="H10646" s="3" t="s">
        <v>39</v>
      </c>
      <c r="I10646" s="4" t="n">
        <v>3</v>
      </c>
      <c r="J10646" s="4" t="n">
        <f aca="false">LEN(E10646)-LEN(SUBSTITUTE(E10646,",",""))+1</f>
        <v>3</v>
      </c>
      <c r="K10646" s="3" t="str">
        <f aca="false">IFERROR(INDEX('Teacher Lookup'!$B$2:$B$200,MATCH(A10646,'Teacher Lookup'!$A$2:$A$200,0)),"")</f>
        <v>WAHAB Zakiyyah</v>
      </c>
    </row>
    <row r="10647" customFormat="false" ht="15" hidden="false" customHeight="false" outlineLevel="0" collapsed="false">
      <c r="A10647" s="3" t="s">
        <v>526</v>
      </c>
      <c r="B10647" s="4" t="s">
        <v>63</v>
      </c>
      <c r="C10647" s="4" t="n">
        <v>3</v>
      </c>
      <c r="D10647" s="4" t="s">
        <v>52</v>
      </c>
      <c r="E10647" s="3" t="s">
        <v>180</v>
      </c>
      <c r="F10647" s="4" t="str">
        <f aca="false">IF(I10647&gt;J10647,"Y","N")</f>
        <v>N</v>
      </c>
      <c r="G10647" s="3" t="s">
        <v>164</v>
      </c>
      <c r="H10647" s="3" t="s">
        <v>26</v>
      </c>
      <c r="I10647" s="4" t="n">
        <v>4</v>
      </c>
      <c r="J10647" s="4" t="n">
        <f aca="false">LEN(E10647)-LEN(SUBSTITUTE(E10647,",",""))+1</f>
        <v>4</v>
      </c>
      <c r="K10647" s="3" t="str">
        <f aca="false">IFERROR(INDEX('Teacher Lookup'!$B$2:$B$200,MATCH(A10647,'Teacher Lookup'!$A$2:$A$200,0)),"")</f>
        <v>WAHAB Zakiyyah</v>
      </c>
    </row>
    <row r="10648" customFormat="false" ht="15" hidden="false" customHeight="false" outlineLevel="0" collapsed="false">
      <c r="A10648" s="3" t="s">
        <v>526</v>
      </c>
      <c r="B10648" s="4" t="s">
        <v>63</v>
      </c>
      <c r="C10648" s="4" t="n">
        <v>3</v>
      </c>
      <c r="D10648" s="4" t="s">
        <v>55</v>
      </c>
      <c r="E10648" s="3" t="s">
        <v>180</v>
      </c>
      <c r="F10648" s="4" t="str">
        <f aca="false">IF(I10648&gt;J10648,"Y","N")</f>
        <v>N</v>
      </c>
      <c r="G10648" s="3" t="s">
        <v>164</v>
      </c>
      <c r="H10648" s="3" t="s">
        <v>26</v>
      </c>
      <c r="I10648" s="4" t="n">
        <v>4</v>
      </c>
      <c r="J10648" s="4" t="n">
        <f aca="false">LEN(E10648)-LEN(SUBSTITUTE(E10648,",",""))+1</f>
        <v>4</v>
      </c>
      <c r="K10648" s="3" t="str">
        <f aca="false">IFERROR(INDEX('Teacher Lookup'!$B$2:$B$200,MATCH(A10648,'Teacher Lookup'!$A$2:$A$200,0)),"")</f>
        <v>WAHAB Zakiyyah</v>
      </c>
    </row>
    <row r="10649" customFormat="false" ht="15" hidden="false" customHeight="false" outlineLevel="0" collapsed="false">
      <c r="A10649" s="3" t="s">
        <v>526</v>
      </c>
      <c r="B10649" s="4" t="s">
        <v>63</v>
      </c>
      <c r="C10649" s="4" t="n">
        <v>3</v>
      </c>
      <c r="D10649" s="4" t="s">
        <v>56</v>
      </c>
      <c r="E10649" s="3" t="s">
        <v>180</v>
      </c>
      <c r="F10649" s="4" t="str">
        <f aca="false">IF(I10649&gt;J10649,"Y","N")</f>
        <v>N</v>
      </c>
      <c r="G10649" s="3" t="s">
        <v>164</v>
      </c>
      <c r="H10649" s="3" t="s">
        <v>26</v>
      </c>
      <c r="I10649" s="4" t="n">
        <v>4</v>
      </c>
      <c r="J10649" s="4" t="n">
        <f aca="false">LEN(E10649)-LEN(SUBSTITUTE(E10649,",",""))+1</f>
        <v>4</v>
      </c>
      <c r="K10649" s="3" t="str">
        <f aca="false">IFERROR(INDEX('Teacher Lookup'!$B$2:$B$200,MATCH(A10649,'Teacher Lookup'!$A$2:$A$200,0)),"")</f>
        <v>WAHAB Zakiyyah</v>
      </c>
    </row>
    <row r="10650" customFormat="false" ht="15" hidden="false" customHeight="false" outlineLevel="0" collapsed="false">
      <c r="A10650" s="3" t="s">
        <v>526</v>
      </c>
      <c r="B10650" s="4" t="s">
        <v>63</v>
      </c>
      <c r="C10650" s="4" t="n">
        <v>4</v>
      </c>
      <c r="D10650" s="4" t="s">
        <v>28</v>
      </c>
      <c r="E10650" s="3" t="s">
        <v>411</v>
      </c>
      <c r="F10650" s="4" t="str">
        <f aca="false">IF(I10650&gt;J10650,"Y","N")</f>
        <v>N</v>
      </c>
      <c r="G10650" s="3" t="s">
        <v>164</v>
      </c>
      <c r="H10650" s="3" t="s">
        <v>34</v>
      </c>
      <c r="I10650" s="4" t="n">
        <v>4</v>
      </c>
      <c r="J10650" s="4" t="n">
        <f aca="false">LEN(E10650)-LEN(SUBSTITUTE(E10650,",",""))+1</f>
        <v>4</v>
      </c>
      <c r="K10650" s="3" t="str">
        <f aca="false">IFERROR(INDEX('Teacher Lookup'!$B$2:$B$200,MATCH(A10650,'Teacher Lookup'!$A$2:$A$200,0)),"")</f>
        <v>WAHAB Zakiyyah</v>
      </c>
    </row>
    <row r="10651" customFormat="false" ht="15" hidden="false" customHeight="false" outlineLevel="0" collapsed="false">
      <c r="A10651" s="3" t="s">
        <v>526</v>
      </c>
      <c r="B10651" s="4" t="s">
        <v>63</v>
      </c>
      <c r="C10651" s="4" t="n">
        <v>4</v>
      </c>
      <c r="D10651" s="4" t="s">
        <v>29</v>
      </c>
      <c r="E10651" s="3" t="s">
        <v>411</v>
      </c>
      <c r="F10651" s="4" t="str">
        <f aca="false">IF(I10651&gt;J10651,"Y","N")</f>
        <v>N</v>
      </c>
      <c r="G10651" s="3" t="s">
        <v>164</v>
      </c>
      <c r="H10651" s="3" t="s">
        <v>34</v>
      </c>
      <c r="I10651" s="4" t="n">
        <v>4</v>
      </c>
      <c r="J10651" s="4" t="n">
        <f aca="false">LEN(E10651)-LEN(SUBSTITUTE(E10651,",",""))+1</f>
        <v>4</v>
      </c>
      <c r="K10651" s="3" t="str">
        <f aca="false">IFERROR(INDEX('Teacher Lookup'!$B$2:$B$200,MATCH(A10651,'Teacher Lookup'!$A$2:$A$200,0)),"")</f>
        <v>WAHAB Zakiyyah</v>
      </c>
    </row>
    <row r="10652" customFormat="false" ht="15" hidden="false" customHeight="false" outlineLevel="0" collapsed="false">
      <c r="A10652" s="3" t="s">
        <v>526</v>
      </c>
      <c r="B10652" s="4" t="s">
        <v>63</v>
      </c>
      <c r="C10652" s="4" t="n">
        <v>4</v>
      </c>
      <c r="D10652" s="4" t="s">
        <v>30</v>
      </c>
      <c r="E10652" s="3" t="s">
        <v>411</v>
      </c>
      <c r="F10652" s="4" t="str">
        <f aca="false">IF(I10652&gt;J10652,"Y","N")</f>
        <v>N</v>
      </c>
      <c r="G10652" s="3" t="s">
        <v>164</v>
      </c>
      <c r="H10652" s="3" t="s">
        <v>34</v>
      </c>
      <c r="I10652" s="4" t="n">
        <v>4</v>
      </c>
      <c r="J10652" s="4" t="n">
        <f aca="false">LEN(E10652)-LEN(SUBSTITUTE(E10652,",",""))+1</f>
        <v>4</v>
      </c>
      <c r="K10652" s="3" t="str">
        <f aca="false">IFERROR(INDEX('Teacher Lookup'!$B$2:$B$200,MATCH(A10652,'Teacher Lookup'!$A$2:$A$200,0)),"")</f>
        <v>WAHAB Zakiyyah</v>
      </c>
    </row>
    <row r="10653" customFormat="false" ht="15" hidden="false" customHeight="false" outlineLevel="0" collapsed="false">
      <c r="A10653" s="3" t="s">
        <v>526</v>
      </c>
      <c r="B10653" s="4" t="s">
        <v>63</v>
      </c>
      <c r="C10653" s="4" t="n">
        <v>5</v>
      </c>
      <c r="D10653" s="4" t="s">
        <v>28</v>
      </c>
      <c r="E10653" s="3" t="s">
        <v>411</v>
      </c>
      <c r="F10653" s="4" t="str">
        <f aca="false">IF(I10653&gt;J10653,"Y","N")</f>
        <v>N</v>
      </c>
      <c r="G10653" s="3" t="s">
        <v>164</v>
      </c>
      <c r="H10653" s="3" t="s">
        <v>37</v>
      </c>
      <c r="I10653" s="4" t="n">
        <v>4</v>
      </c>
      <c r="J10653" s="4" t="n">
        <f aca="false">LEN(E10653)-LEN(SUBSTITUTE(E10653,",",""))+1</f>
        <v>4</v>
      </c>
      <c r="K10653" s="3" t="str">
        <f aca="false">IFERROR(INDEX('Teacher Lookup'!$B$2:$B$200,MATCH(A10653,'Teacher Lookup'!$A$2:$A$200,0)),"")</f>
        <v>WAHAB Zakiyyah</v>
      </c>
    </row>
    <row r="10654" customFormat="false" ht="15" hidden="false" customHeight="false" outlineLevel="0" collapsed="false">
      <c r="A10654" s="3" t="s">
        <v>526</v>
      </c>
      <c r="B10654" s="4" t="s">
        <v>63</v>
      </c>
      <c r="C10654" s="4" t="n">
        <v>5</v>
      </c>
      <c r="D10654" s="4" t="s">
        <v>29</v>
      </c>
      <c r="E10654" s="3" t="s">
        <v>411</v>
      </c>
      <c r="F10654" s="4" t="str">
        <f aca="false">IF(I10654&gt;J10654,"Y","N")</f>
        <v>N</v>
      </c>
      <c r="G10654" s="3" t="s">
        <v>164</v>
      </c>
      <c r="H10654" s="3" t="s">
        <v>37</v>
      </c>
      <c r="I10654" s="4" t="n">
        <v>4</v>
      </c>
      <c r="J10654" s="4" t="n">
        <f aca="false">LEN(E10654)-LEN(SUBSTITUTE(E10654,",",""))+1</f>
        <v>4</v>
      </c>
      <c r="K10654" s="3" t="str">
        <f aca="false">IFERROR(INDEX('Teacher Lookup'!$B$2:$B$200,MATCH(A10654,'Teacher Lookup'!$A$2:$A$200,0)),"")</f>
        <v>WAHAB Zakiyyah</v>
      </c>
    </row>
    <row r="10655" customFormat="false" ht="15" hidden="false" customHeight="false" outlineLevel="0" collapsed="false">
      <c r="A10655" s="3" t="s">
        <v>526</v>
      </c>
      <c r="B10655" s="4" t="s">
        <v>63</v>
      </c>
      <c r="C10655" s="4" t="n">
        <v>5</v>
      </c>
      <c r="D10655" s="4" t="s">
        <v>30</v>
      </c>
      <c r="E10655" s="3" t="s">
        <v>411</v>
      </c>
      <c r="F10655" s="4" t="str">
        <f aca="false">IF(I10655&gt;J10655,"Y","N")</f>
        <v>N</v>
      </c>
      <c r="G10655" s="3" t="s">
        <v>164</v>
      </c>
      <c r="H10655" s="3" t="s">
        <v>37</v>
      </c>
      <c r="I10655" s="4" t="n">
        <v>4</v>
      </c>
      <c r="J10655" s="4" t="n">
        <f aca="false">LEN(E10655)-LEN(SUBSTITUTE(E10655,",",""))+1</f>
        <v>4</v>
      </c>
      <c r="K10655" s="3" t="str">
        <f aca="false">IFERROR(INDEX('Teacher Lookup'!$B$2:$B$200,MATCH(A10655,'Teacher Lookup'!$A$2:$A$200,0)),"")</f>
        <v>WAHAB Zakiyyah</v>
      </c>
    </row>
    <row r="10656" customFormat="false" ht="15" hidden="false" customHeight="false" outlineLevel="0" collapsed="false">
      <c r="A10656" s="3" t="s">
        <v>526</v>
      </c>
      <c r="B10656" s="4" t="s">
        <v>63</v>
      </c>
      <c r="C10656" s="4" t="n">
        <v>6</v>
      </c>
      <c r="D10656" s="4" t="s">
        <v>24</v>
      </c>
      <c r="E10656" s="3" t="s">
        <v>86</v>
      </c>
      <c r="F10656" s="4" t="str">
        <f aca="false">IF(I10656&gt;J10656,"Y","N")</f>
        <v>N</v>
      </c>
      <c r="G10656" s="3" t="s">
        <v>164</v>
      </c>
      <c r="H10656" s="3" t="s">
        <v>42</v>
      </c>
      <c r="I10656" s="4" t="n">
        <v>3</v>
      </c>
      <c r="J10656" s="4" t="n">
        <f aca="false">LEN(E10656)-LEN(SUBSTITUTE(E10656,",",""))+1</f>
        <v>3</v>
      </c>
      <c r="K10656" s="3" t="str">
        <f aca="false">IFERROR(INDEX('Teacher Lookup'!$B$2:$B$200,MATCH(A10656,'Teacher Lookup'!$A$2:$A$200,0)),"")</f>
        <v>WAHAB Zakiyyah</v>
      </c>
    </row>
    <row r="10657" customFormat="false" ht="15" hidden="false" customHeight="false" outlineLevel="0" collapsed="false">
      <c r="A10657" s="3" t="s">
        <v>526</v>
      </c>
      <c r="B10657" s="4" t="s">
        <v>63</v>
      </c>
      <c r="C10657" s="4" t="n">
        <v>6</v>
      </c>
      <c r="D10657" s="4" t="s">
        <v>27</v>
      </c>
      <c r="E10657" s="3" t="s">
        <v>86</v>
      </c>
      <c r="F10657" s="4" t="str">
        <f aca="false">IF(I10657&gt;J10657,"Y","N")</f>
        <v>N</v>
      </c>
      <c r="G10657" s="3" t="s">
        <v>164</v>
      </c>
      <c r="H10657" s="3" t="s">
        <v>42</v>
      </c>
      <c r="I10657" s="4" t="n">
        <v>3</v>
      </c>
      <c r="J10657" s="4" t="n">
        <f aca="false">LEN(E10657)-LEN(SUBSTITUTE(E10657,",",""))+1</f>
        <v>3</v>
      </c>
      <c r="K10657" s="3" t="str">
        <f aca="false">IFERROR(INDEX('Teacher Lookup'!$B$2:$B$200,MATCH(A10657,'Teacher Lookup'!$A$2:$A$200,0)),"")</f>
        <v>WAHAB Zakiyyah</v>
      </c>
    </row>
    <row r="10658" customFormat="false" ht="15" hidden="false" customHeight="false" outlineLevel="0" collapsed="false">
      <c r="A10658" s="3" t="s">
        <v>526</v>
      </c>
      <c r="B10658" s="4" t="s">
        <v>63</v>
      </c>
      <c r="C10658" s="4" t="n">
        <v>7</v>
      </c>
      <c r="D10658" s="4" t="s">
        <v>24</v>
      </c>
      <c r="E10658" s="3" t="s">
        <v>86</v>
      </c>
      <c r="F10658" s="4" t="str">
        <f aca="false">IF(I10658&gt;J10658,"Y","N")</f>
        <v>N</v>
      </c>
      <c r="G10658" s="3" t="s">
        <v>164</v>
      </c>
      <c r="H10658" s="3" t="s">
        <v>39</v>
      </c>
      <c r="I10658" s="4" t="n">
        <v>3</v>
      </c>
      <c r="J10658" s="4" t="n">
        <f aca="false">LEN(E10658)-LEN(SUBSTITUTE(E10658,",",""))+1</f>
        <v>3</v>
      </c>
      <c r="K10658" s="3" t="str">
        <f aca="false">IFERROR(INDEX('Teacher Lookup'!$B$2:$B$200,MATCH(A10658,'Teacher Lookup'!$A$2:$A$200,0)),"")</f>
        <v>WAHAB Zakiyyah</v>
      </c>
    </row>
    <row r="10659" customFormat="false" ht="15" hidden="false" customHeight="false" outlineLevel="0" collapsed="false">
      <c r="A10659" s="3" t="s">
        <v>526</v>
      </c>
      <c r="B10659" s="4" t="s">
        <v>63</v>
      </c>
      <c r="C10659" s="4" t="n">
        <v>7</v>
      </c>
      <c r="D10659" s="4" t="s">
        <v>27</v>
      </c>
      <c r="E10659" s="3" t="s">
        <v>86</v>
      </c>
      <c r="F10659" s="4" t="str">
        <f aca="false">IF(I10659&gt;J10659,"Y","N")</f>
        <v>N</v>
      </c>
      <c r="G10659" s="3" t="s">
        <v>164</v>
      </c>
      <c r="H10659" s="3" t="s">
        <v>39</v>
      </c>
      <c r="I10659" s="4" t="n">
        <v>3</v>
      </c>
      <c r="J10659" s="4" t="n">
        <f aca="false">LEN(E10659)-LEN(SUBSTITUTE(E10659,",",""))+1</f>
        <v>3</v>
      </c>
      <c r="K10659" s="3" t="str">
        <f aca="false">IFERROR(INDEX('Teacher Lookup'!$B$2:$B$200,MATCH(A10659,'Teacher Lookup'!$A$2:$A$200,0)),"")</f>
        <v>WAHAB Zakiyyah</v>
      </c>
    </row>
    <row r="10660" customFormat="false" ht="15" hidden="false" customHeight="false" outlineLevel="0" collapsed="false">
      <c r="A10660" s="3" t="s">
        <v>526</v>
      </c>
      <c r="B10660" s="4" t="s">
        <v>65</v>
      </c>
      <c r="C10660" s="4" t="n">
        <v>1</v>
      </c>
      <c r="D10660" s="4" t="s">
        <v>24</v>
      </c>
      <c r="E10660" s="3" t="s">
        <v>408</v>
      </c>
      <c r="F10660" s="4" t="str">
        <f aca="false">IF(I10660&gt;J10660,"Y","N")</f>
        <v>N</v>
      </c>
      <c r="G10660" s="3" t="s">
        <v>164</v>
      </c>
      <c r="H10660" s="3" t="s">
        <v>16</v>
      </c>
      <c r="I10660" s="4" t="n">
        <v>3</v>
      </c>
      <c r="J10660" s="4" t="n">
        <f aca="false">LEN(E10660)-LEN(SUBSTITUTE(E10660,",",""))+1</f>
        <v>3</v>
      </c>
      <c r="K10660" s="3" t="str">
        <f aca="false">IFERROR(INDEX('Teacher Lookup'!$B$2:$B$200,MATCH(A10660,'Teacher Lookup'!$A$2:$A$200,0)),"")</f>
        <v>WAHAB Zakiyyah</v>
      </c>
    </row>
    <row r="10661" customFormat="false" ht="15" hidden="false" customHeight="false" outlineLevel="0" collapsed="false">
      <c r="A10661" s="3" t="s">
        <v>526</v>
      </c>
      <c r="B10661" s="4" t="s">
        <v>65</v>
      </c>
      <c r="C10661" s="4" t="n">
        <v>1</v>
      </c>
      <c r="D10661" s="4" t="s">
        <v>27</v>
      </c>
      <c r="E10661" s="3" t="s">
        <v>408</v>
      </c>
      <c r="F10661" s="4" t="str">
        <f aca="false">IF(I10661&gt;J10661,"Y","N")</f>
        <v>N</v>
      </c>
      <c r="G10661" s="3" t="s">
        <v>164</v>
      </c>
      <c r="H10661" s="3" t="s">
        <v>16</v>
      </c>
      <c r="I10661" s="4" t="n">
        <v>3</v>
      </c>
      <c r="J10661" s="4" t="n">
        <f aca="false">LEN(E10661)-LEN(SUBSTITUTE(E10661,",",""))+1</f>
        <v>3</v>
      </c>
      <c r="K10661" s="3" t="str">
        <f aca="false">IFERROR(INDEX('Teacher Lookup'!$B$2:$B$200,MATCH(A10661,'Teacher Lookup'!$A$2:$A$200,0)),"")</f>
        <v>WAHAB Zakiyyah</v>
      </c>
    </row>
    <row r="10662" customFormat="false" ht="15" hidden="false" customHeight="false" outlineLevel="0" collapsed="false">
      <c r="A10662" s="3" t="s">
        <v>526</v>
      </c>
      <c r="B10662" s="4" t="s">
        <v>65</v>
      </c>
      <c r="C10662" s="4" t="n">
        <v>2</v>
      </c>
      <c r="D10662" s="4" t="s">
        <v>52</v>
      </c>
      <c r="E10662" s="3" t="s">
        <v>171</v>
      </c>
      <c r="F10662" s="4" t="str">
        <f aca="false">IF(I10662&gt;J10662,"Y","N")</f>
        <v>N</v>
      </c>
      <c r="G10662" s="3" t="s">
        <v>164</v>
      </c>
      <c r="H10662" s="3" t="s">
        <v>21</v>
      </c>
      <c r="I10662" s="4" t="n">
        <v>4</v>
      </c>
      <c r="J10662" s="4" t="n">
        <f aca="false">LEN(E10662)-LEN(SUBSTITUTE(E10662,",",""))+1</f>
        <v>4</v>
      </c>
      <c r="K10662" s="3" t="str">
        <f aca="false">IFERROR(INDEX('Teacher Lookup'!$B$2:$B$200,MATCH(A10662,'Teacher Lookup'!$A$2:$A$200,0)),"")</f>
        <v>WAHAB Zakiyyah</v>
      </c>
    </row>
    <row r="10663" customFormat="false" ht="15" hidden="false" customHeight="false" outlineLevel="0" collapsed="false">
      <c r="A10663" s="3" t="s">
        <v>526</v>
      </c>
      <c r="B10663" s="4" t="s">
        <v>65</v>
      </c>
      <c r="C10663" s="4" t="n">
        <v>2</v>
      </c>
      <c r="D10663" s="4" t="s">
        <v>55</v>
      </c>
      <c r="E10663" s="3" t="s">
        <v>171</v>
      </c>
      <c r="F10663" s="4" t="str">
        <f aca="false">IF(I10663&gt;J10663,"Y","N")</f>
        <v>N</v>
      </c>
      <c r="G10663" s="3" t="s">
        <v>164</v>
      </c>
      <c r="H10663" s="3" t="s">
        <v>21</v>
      </c>
      <c r="I10663" s="4" t="n">
        <v>4</v>
      </c>
      <c r="J10663" s="4" t="n">
        <f aca="false">LEN(E10663)-LEN(SUBSTITUTE(E10663,",",""))+1</f>
        <v>4</v>
      </c>
      <c r="K10663" s="3" t="str">
        <f aca="false">IFERROR(INDEX('Teacher Lookup'!$B$2:$B$200,MATCH(A10663,'Teacher Lookup'!$A$2:$A$200,0)),"")</f>
        <v>WAHAB Zakiyyah</v>
      </c>
    </row>
    <row r="10664" customFormat="false" ht="15" hidden="false" customHeight="false" outlineLevel="0" collapsed="false">
      <c r="A10664" s="3" t="s">
        <v>526</v>
      </c>
      <c r="B10664" s="4" t="s">
        <v>65</v>
      </c>
      <c r="C10664" s="4" t="n">
        <v>2</v>
      </c>
      <c r="D10664" s="4" t="s">
        <v>56</v>
      </c>
      <c r="E10664" s="3" t="s">
        <v>171</v>
      </c>
      <c r="F10664" s="4" t="str">
        <f aca="false">IF(I10664&gt;J10664,"Y","N")</f>
        <v>N</v>
      </c>
      <c r="G10664" s="3" t="s">
        <v>164</v>
      </c>
      <c r="H10664" s="3" t="s">
        <v>21</v>
      </c>
      <c r="I10664" s="4" t="n">
        <v>4</v>
      </c>
      <c r="J10664" s="4" t="n">
        <f aca="false">LEN(E10664)-LEN(SUBSTITUTE(E10664,",",""))+1</f>
        <v>4</v>
      </c>
      <c r="K10664" s="3" t="str">
        <f aca="false">IFERROR(INDEX('Teacher Lookup'!$B$2:$B$200,MATCH(A10664,'Teacher Lookup'!$A$2:$A$200,0)),"")</f>
        <v>WAHAB Zakiyyah</v>
      </c>
    </row>
    <row r="10665" customFormat="false" ht="15" hidden="false" customHeight="false" outlineLevel="0" collapsed="false">
      <c r="A10665" s="3" t="s">
        <v>526</v>
      </c>
      <c r="B10665" s="4" t="s">
        <v>65</v>
      </c>
      <c r="C10665" s="4" t="n">
        <v>3</v>
      </c>
      <c r="D10665" s="4" t="s">
        <v>28</v>
      </c>
      <c r="E10665" s="3" t="s">
        <v>156</v>
      </c>
      <c r="F10665" s="4" t="str">
        <f aca="false">IF(I10665&gt;J10665,"Y","N")</f>
        <v>N</v>
      </c>
      <c r="G10665" s="3" t="s">
        <v>164</v>
      </c>
      <c r="H10665" s="3" t="s">
        <v>26</v>
      </c>
      <c r="I10665" s="4" t="n">
        <v>4</v>
      </c>
      <c r="J10665" s="4" t="n">
        <f aca="false">LEN(E10665)-LEN(SUBSTITUTE(E10665,",",""))+1</f>
        <v>4</v>
      </c>
      <c r="K10665" s="3" t="str">
        <f aca="false">IFERROR(INDEX('Teacher Lookup'!$B$2:$B$200,MATCH(A10665,'Teacher Lookup'!$A$2:$A$200,0)),"")</f>
        <v>WAHAB Zakiyyah</v>
      </c>
    </row>
    <row r="10666" customFormat="false" ht="15" hidden="false" customHeight="false" outlineLevel="0" collapsed="false">
      <c r="A10666" s="3" t="s">
        <v>526</v>
      </c>
      <c r="B10666" s="4" t="s">
        <v>65</v>
      </c>
      <c r="C10666" s="4" t="n">
        <v>3</v>
      </c>
      <c r="D10666" s="4" t="s">
        <v>29</v>
      </c>
      <c r="E10666" s="3" t="s">
        <v>156</v>
      </c>
      <c r="F10666" s="4" t="str">
        <f aca="false">IF(I10666&gt;J10666,"Y","N")</f>
        <v>N</v>
      </c>
      <c r="G10666" s="3" t="s">
        <v>164</v>
      </c>
      <c r="H10666" s="3" t="s">
        <v>26</v>
      </c>
      <c r="I10666" s="4" t="n">
        <v>4</v>
      </c>
      <c r="J10666" s="4" t="n">
        <f aca="false">LEN(E10666)-LEN(SUBSTITUTE(E10666,",",""))+1</f>
        <v>4</v>
      </c>
      <c r="K10666" s="3" t="str">
        <f aca="false">IFERROR(INDEX('Teacher Lookup'!$B$2:$B$200,MATCH(A10666,'Teacher Lookup'!$A$2:$A$200,0)),"")</f>
        <v>WAHAB Zakiyyah</v>
      </c>
    </row>
    <row r="10667" customFormat="false" ht="15" hidden="false" customHeight="false" outlineLevel="0" collapsed="false">
      <c r="A10667" s="3" t="s">
        <v>526</v>
      </c>
      <c r="B10667" s="4" t="s">
        <v>65</v>
      </c>
      <c r="C10667" s="4" t="n">
        <v>3</v>
      </c>
      <c r="D10667" s="4" t="s">
        <v>30</v>
      </c>
      <c r="E10667" s="3" t="s">
        <v>156</v>
      </c>
      <c r="F10667" s="4" t="str">
        <f aca="false">IF(I10667&gt;J10667,"Y","N")</f>
        <v>N</v>
      </c>
      <c r="G10667" s="3" t="s">
        <v>164</v>
      </c>
      <c r="H10667" s="3" t="s">
        <v>26</v>
      </c>
      <c r="I10667" s="4" t="n">
        <v>4</v>
      </c>
      <c r="J10667" s="4" t="n">
        <f aca="false">LEN(E10667)-LEN(SUBSTITUTE(E10667,",",""))+1</f>
        <v>4</v>
      </c>
      <c r="K10667" s="3" t="str">
        <f aca="false">IFERROR(INDEX('Teacher Lookup'!$B$2:$B$200,MATCH(A10667,'Teacher Lookup'!$A$2:$A$200,0)),"")</f>
        <v>WAHAB Zakiyyah</v>
      </c>
    </row>
    <row r="10668" customFormat="false" ht="15" hidden="false" customHeight="false" outlineLevel="0" collapsed="false">
      <c r="A10668" s="3" t="s">
        <v>526</v>
      </c>
      <c r="B10668" s="4" t="s">
        <v>65</v>
      </c>
      <c r="C10668" s="4" t="n">
        <v>5</v>
      </c>
      <c r="D10668" s="4" t="s">
        <v>24</v>
      </c>
      <c r="E10668" s="3" t="s">
        <v>131</v>
      </c>
      <c r="F10668" s="4" t="str">
        <f aca="false">IF(I10668&gt;J10668,"Y","N")</f>
        <v>Y</v>
      </c>
      <c r="G10668" s="3" t="s">
        <v>36</v>
      </c>
      <c r="H10668" s="3" t="s">
        <v>37</v>
      </c>
      <c r="I10668" s="4" t="n">
        <v>15</v>
      </c>
      <c r="J10668" s="4" t="n">
        <f aca="false">LEN(E10668)-LEN(SUBSTITUTE(E10668,",",""))+1</f>
        <v>7</v>
      </c>
      <c r="K10668" s="3" t="str">
        <f aca="false">IFERROR(INDEX('Teacher Lookup'!$B$2:$B$200,MATCH(A10668,'Teacher Lookup'!$A$2:$A$200,0)),"")</f>
        <v>WAHAB Zakiyyah</v>
      </c>
    </row>
    <row r="10669" customFormat="false" ht="15" hidden="false" customHeight="false" outlineLevel="0" collapsed="false">
      <c r="A10669" s="3" t="s">
        <v>526</v>
      </c>
      <c r="B10669" s="4" t="s">
        <v>65</v>
      </c>
      <c r="C10669" s="4" t="n">
        <v>5</v>
      </c>
      <c r="D10669" s="4" t="s">
        <v>132</v>
      </c>
      <c r="E10669" s="3" t="s">
        <v>131</v>
      </c>
      <c r="F10669" s="4" t="str">
        <f aca="false">IF(I10669&gt;J10669,"Y","N")</f>
        <v>Y</v>
      </c>
      <c r="G10669" s="3" t="s">
        <v>36</v>
      </c>
      <c r="H10669" s="3" t="s">
        <v>37</v>
      </c>
      <c r="I10669" s="4" t="n">
        <v>15</v>
      </c>
      <c r="J10669" s="4" t="n">
        <f aca="false">LEN(E10669)-LEN(SUBSTITUTE(E10669,",",""))+1</f>
        <v>7</v>
      </c>
      <c r="K10669" s="3" t="str">
        <f aca="false">IFERROR(INDEX('Teacher Lookup'!$B$2:$B$200,MATCH(A10669,'Teacher Lookup'!$A$2:$A$200,0)),"")</f>
        <v>WAHAB Zakiyyah</v>
      </c>
    </row>
    <row r="10670" customFormat="false" ht="15" hidden="false" customHeight="false" outlineLevel="0" collapsed="false">
      <c r="A10670" s="3" t="s">
        <v>526</v>
      </c>
      <c r="B10670" s="4" t="s">
        <v>65</v>
      </c>
      <c r="C10670" s="4" t="n">
        <v>5</v>
      </c>
      <c r="D10670" s="4" t="s">
        <v>27</v>
      </c>
      <c r="E10670" s="3" t="s">
        <v>131</v>
      </c>
      <c r="F10670" s="4" t="str">
        <f aca="false">IF(I10670&gt;J10670,"Y","N")</f>
        <v>Y</v>
      </c>
      <c r="G10670" s="3" t="s">
        <v>36</v>
      </c>
      <c r="H10670" s="3" t="s">
        <v>37</v>
      </c>
      <c r="I10670" s="4" t="n">
        <v>15</v>
      </c>
      <c r="J10670" s="4" t="n">
        <f aca="false">LEN(E10670)-LEN(SUBSTITUTE(E10670,",",""))+1</f>
        <v>7</v>
      </c>
      <c r="K10670" s="3" t="str">
        <f aca="false">IFERROR(INDEX('Teacher Lookup'!$B$2:$B$200,MATCH(A10670,'Teacher Lookup'!$A$2:$A$200,0)),"")</f>
        <v>WAHAB Zakiyyah</v>
      </c>
    </row>
    <row r="10671" customFormat="false" ht="15" hidden="false" customHeight="false" outlineLevel="0" collapsed="false">
      <c r="A10671" s="3" t="s">
        <v>526</v>
      </c>
      <c r="B10671" s="4" t="s">
        <v>65</v>
      </c>
      <c r="C10671" s="4" t="n">
        <v>5</v>
      </c>
      <c r="D10671" s="4" t="s">
        <v>28</v>
      </c>
      <c r="E10671" s="3" t="s">
        <v>131</v>
      </c>
      <c r="F10671" s="4" t="str">
        <f aca="false">IF(I10671&gt;J10671,"Y","N")</f>
        <v>Y</v>
      </c>
      <c r="G10671" s="3" t="s">
        <v>36</v>
      </c>
      <c r="H10671" s="3" t="s">
        <v>37</v>
      </c>
      <c r="I10671" s="4" t="n">
        <v>15</v>
      </c>
      <c r="J10671" s="4" t="n">
        <f aca="false">LEN(E10671)-LEN(SUBSTITUTE(E10671,",",""))+1</f>
        <v>7</v>
      </c>
      <c r="K10671" s="3" t="str">
        <f aca="false">IFERROR(INDEX('Teacher Lookup'!$B$2:$B$200,MATCH(A10671,'Teacher Lookup'!$A$2:$A$200,0)),"")</f>
        <v>WAHAB Zakiyyah</v>
      </c>
    </row>
    <row r="10672" customFormat="false" ht="15" hidden="false" customHeight="false" outlineLevel="0" collapsed="false">
      <c r="A10672" s="3" t="s">
        <v>526</v>
      </c>
      <c r="B10672" s="4" t="s">
        <v>65</v>
      </c>
      <c r="C10672" s="4" t="n">
        <v>5</v>
      </c>
      <c r="D10672" s="4" t="s">
        <v>29</v>
      </c>
      <c r="E10672" s="3" t="s">
        <v>131</v>
      </c>
      <c r="F10672" s="4" t="str">
        <f aca="false">IF(I10672&gt;J10672,"Y","N")</f>
        <v>Y</v>
      </c>
      <c r="G10672" s="3" t="s">
        <v>36</v>
      </c>
      <c r="H10672" s="3" t="s">
        <v>37</v>
      </c>
      <c r="I10672" s="4" t="n">
        <v>15</v>
      </c>
      <c r="J10672" s="4" t="n">
        <f aca="false">LEN(E10672)-LEN(SUBSTITUTE(E10672,",",""))+1</f>
        <v>7</v>
      </c>
      <c r="K10672" s="3" t="str">
        <f aca="false">IFERROR(INDEX('Teacher Lookup'!$B$2:$B$200,MATCH(A10672,'Teacher Lookup'!$A$2:$A$200,0)),"")</f>
        <v>WAHAB Zakiyyah</v>
      </c>
    </row>
    <row r="10673" customFormat="false" ht="15" hidden="false" customHeight="false" outlineLevel="0" collapsed="false">
      <c r="A10673" s="3" t="s">
        <v>526</v>
      </c>
      <c r="B10673" s="4" t="s">
        <v>65</v>
      </c>
      <c r="C10673" s="4" t="n">
        <v>5</v>
      </c>
      <c r="D10673" s="4" t="s">
        <v>30</v>
      </c>
      <c r="E10673" s="3" t="s">
        <v>131</v>
      </c>
      <c r="F10673" s="4" t="str">
        <f aca="false">IF(I10673&gt;J10673,"Y","N")</f>
        <v>Y</v>
      </c>
      <c r="G10673" s="3" t="s">
        <v>36</v>
      </c>
      <c r="H10673" s="3" t="s">
        <v>37</v>
      </c>
      <c r="I10673" s="4" t="n">
        <v>15</v>
      </c>
      <c r="J10673" s="4" t="n">
        <f aca="false">LEN(E10673)-LEN(SUBSTITUTE(E10673,",",""))+1</f>
        <v>7</v>
      </c>
      <c r="K10673" s="3" t="str">
        <f aca="false">IFERROR(INDEX('Teacher Lookup'!$B$2:$B$200,MATCH(A10673,'Teacher Lookup'!$A$2:$A$200,0)),"")</f>
        <v>WAHAB Zakiyyah</v>
      </c>
    </row>
    <row r="10674" customFormat="false" ht="15" hidden="false" customHeight="false" outlineLevel="0" collapsed="false">
      <c r="A10674" s="3" t="s">
        <v>526</v>
      </c>
      <c r="B10674" s="4" t="s">
        <v>66</v>
      </c>
      <c r="C10674" s="4" t="n">
        <v>3</v>
      </c>
      <c r="D10674" s="4" t="s">
        <v>52</v>
      </c>
      <c r="E10674" s="3" t="s">
        <v>176</v>
      </c>
      <c r="F10674" s="4" t="str">
        <f aca="false">IF(I10674&gt;J10674,"Y","N")</f>
        <v>N</v>
      </c>
      <c r="G10674" s="3" t="s">
        <v>164</v>
      </c>
      <c r="H10674" s="3" t="s">
        <v>26</v>
      </c>
      <c r="I10674" s="4" t="n">
        <v>4</v>
      </c>
      <c r="J10674" s="4" t="n">
        <f aca="false">LEN(E10674)-LEN(SUBSTITUTE(E10674,",",""))+1</f>
        <v>4</v>
      </c>
      <c r="K10674" s="3" t="str">
        <f aca="false">IFERROR(INDEX('Teacher Lookup'!$B$2:$B$200,MATCH(A10674,'Teacher Lookup'!$A$2:$A$200,0)),"")</f>
        <v>WAHAB Zakiyyah</v>
      </c>
    </row>
    <row r="10675" customFormat="false" ht="15" hidden="false" customHeight="false" outlineLevel="0" collapsed="false">
      <c r="A10675" s="3" t="s">
        <v>526</v>
      </c>
      <c r="B10675" s="4" t="s">
        <v>66</v>
      </c>
      <c r="C10675" s="4" t="n">
        <v>3</v>
      </c>
      <c r="D10675" s="4" t="s">
        <v>55</v>
      </c>
      <c r="E10675" s="3" t="s">
        <v>176</v>
      </c>
      <c r="F10675" s="4" t="str">
        <f aca="false">IF(I10675&gt;J10675,"Y","N")</f>
        <v>N</v>
      </c>
      <c r="G10675" s="3" t="s">
        <v>164</v>
      </c>
      <c r="H10675" s="3" t="s">
        <v>26</v>
      </c>
      <c r="I10675" s="4" t="n">
        <v>4</v>
      </c>
      <c r="J10675" s="4" t="n">
        <f aca="false">LEN(E10675)-LEN(SUBSTITUTE(E10675,",",""))+1</f>
        <v>4</v>
      </c>
      <c r="K10675" s="3" t="str">
        <f aca="false">IFERROR(INDEX('Teacher Lookup'!$B$2:$B$200,MATCH(A10675,'Teacher Lookup'!$A$2:$A$200,0)),"")</f>
        <v>WAHAB Zakiyyah</v>
      </c>
    </row>
    <row r="10676" customFormat="false" ht="15" hidden="false" customHeight="false" outlineLevel="0" collapsed="false">
      <c r="A10676" s="3" t="s">
        <v>526</v>
      </c>
      <c r="B10676" s="4" t="s">
        <v>66</v>
      </c>
      <c r="C10676" s="4" t="n">
        <v>3</v>
      </c>
      <c r="D10676" s="4" t="s">
        <v>56</v>
      </c>
      <c r="E10676" s="3" t="s">
        <v>176</v>
      </c>
      <c r="F10676" s="4" t="str">
        <f aca="false">IF(I10676&gt;J10676,"Y","N")</f>
        <v>N</v>
      </c>
      <c r="G10676" s="3" t="s">
        <v>164</v>
      </c>
      <c r="H10676" s="3" t="s">
        <v>26</v>
      </c>
      <c r="I10676" s="4" t="n">
        <v>4</v>
      </c>
      <c r="J10676" s="4" t="n">
        <f aca="false">LEN(E10676)-LEN(SUBSTITUTE(E10676,",",""))+1</f>
        <v>4</v>
      </c>
      <c r="K10676" s="3" t="str">
        <f aca="false">IFERROR(INDEX('Teacher Lookup'!$B$2:$B$200,MATCH(A10676,'Teacher Lookup'!$A$2:$A$200,0)),"")</f>
        <v>WAHAB Zakiyyah</v>
      </c>
    </row>
    <row r="10677" customFormat="false" ht="15" hidden="false" customHeight="false" outlineLevel="0" collapsed="false">
      <c r="A10677" s="3" t="s">
        <v>526</v>
      </c>
      <c r="B10677" s="4" t="s">
        <v>66</v>
      </c>
      <c r="C10677" s="4" t="n">
        <v>5</v>
      </c>
      <c r="D10677" s="4" t="s">
        <v>28</v>
      </c>
      <c r="E10677" s="3" t="s">
        <v>412</v>
      </c>
      <c r="F10677" s="4" t="str">
        <f aca="false">IF(I10677&gt;J10677,"Y","N")</f>
        <v>N</v>
      </c>
      <c r="G10677" s="3" t="s">
        <v>164</v>
      </c>
      <c r="H10677" s="3" t="s">
        <v>37</v>
      </c>
      <c r="I10677" s="4" t="n">
        <v>4</v>
      </c>
      <c r="J10677" s="4" t="n">
        <f aca="false">LEN(E10677)-LEN(SUBSTITUTE(E10677,",",""))+1</f>
        <v>4</v>
      </c>
      <c r="K10677" s="3" t="str">
        <f aca="false">IFERROR(INDEX('Teacher Lookup'!$B$2:$B$200,MATCH(A10677,'Teacher Lookup'!$A$2:$A$200,0)),"")</f>
        <v>WAHAB Zakiyyah</v>
      </c>
    </row>
    <row r="10678" customFormat="false" ht="15" hidden="false" customHeight="false" outlineLevel="0" collapsed="false">
      <c r="A10678" s="3" t="s">
        <v>526</v>
      </c>
      <c r="B10678" s="4" t="s">
        <v>66</v>
      </c>
      <c r="C10678" s="4" t="n">
        <v>5</v>
      </c>
      <c r="D10678" s="4" t="s">
        <v>29</v>
      </c>
      <c r="E10678" s="3" t="s">
        <v>412</v>
      </c>
      <c r="F10678" s="4" t="str">
        <f aca="false">IF(I10678&gt;J10678,"Y","N")</f>
        <v>N</v>
      </c>
      <c r="G10678" s="3" t="s">
        <v>164</v>
      </c>
      <c r="H10678" s="3" t="s">
        <v>37</v>
      </c>
      <c r="I10678" s="4" t="n">
        <v>4</v>
      </c>
      <c r="J10678" s="4" t="n">
        <f aca="false">LEN(E10678)-LEN(SUBSTITUTE(E10678,",",""))+1</f>
        <v>4</v>
      </c>
      <c r="K10678" s="3" t="str">
        <f aca="false">IFERROR(INDEX('Teacher Lookup'!$B$2:$B$200,MATCH(A10678,'Teacher Lookup'!$A$2:$A$200,0)),"")</f>
        <v>WAHAB Zakiyyah</v>
      </c>
    </row>
    <row r="10679" customFormat="false" ht="15" hidden="false" customHeight="false" outlineLevel="0" collapsed="false">
      <c r="A10679" s="3" t="s">
        <v>526</v>
      </c>
      <c r="B10679" s="4" t="s">
        <v>66</v>
      </c>
      <c r="C10679" s="4" t="n">
        <v>5</v>
      </c>
      <c r="D10679" s="4" t="s">
        <v>30</v>
      </c>
      <c r="E10679" s="3" t="s">
        <v>412</v>
      </c>
      <c r="F10679" s="4" t="str">
        <f aca="false">IF(I10679&gt;J10679,"Y","N")</f>
        <v>N</v>
      </c>
      <c r="G10679" s="3" t="s">
        <v>164</v>
      </c>
      <c r="H10679" s="3" t="s">
        <v>37</v>
      </c>
      <c r="I10679" s="4" t="n">
        <v>4</v>
      </c>
      <c r="J10679" s="4" t="n">
        <f aca="false">LEN(E10679)-LEN(SUBSTITUTE(E10679,",",""))+1</f>
        <v>4</v>
      </c>
      <c r="K10679" s="3" t="str">
        <f aca="false">IFERROR(INDEX('Teacher Lookup'!$B$2:$B$200,MATCH(A10679,'Teacher Lookup'!$A$2:$A$200,0)),"")</f>
        <v>WAHAB Zakiyyah</v>
      </c>
    </row>
    <row r="10680" customFormat="false" ht="15" hidden="false" customHeight="false" outlineLevel="0" collapsed="false">
      <c r="A10680" s="3" t="s">
        <v>526</v>
      </c>
      <c r="B10680" s="4" t="s">
        <v>66</v>
      </c>
      <c r="C10680" s="4" t="n">
        <v>7</v>
      </c>
      <c r="D10680" s="4" t="s">
        <v>24</v>
      </c>
      <c r="E10680" s="3" t="s">
        <v>413</v>
      </c>
      <c r="F10680" s="4" t="str">
        <f aca="false">IF(I10680&gt;J10680,"Y","N")</f>
        <v>N</v>
      </c>
      <c r="G10680" s="3" t="s">
        <v>164</v>
      </c>
      <c r="H10680" s="3" t="s">
        <v>39</v>
      </c>
      <c r="I10680" s="4" t="n">
        <v>3</v>
      </c>
      <c r="J10680" s="4" t="n">
        <f aca="false">LEN(E10680)-LEN(SUBSTITUTE(E10680,",",""))+1</f>
        <v>3</v>
      </c>
      <c r="K10680" s="3" t="str">
        <f aca="false">IFERROR(INDEX('Teacher Lookup'!$B$2:$B$200,MATCH(A10680,'Teacher Lookup'!$A$2:$A$200,0)),"")</f>
        <v>WAHAB Zakiyyah</v>
      </c>
    </row>
    <row r="10681" customFormat="false" ht="15" hidden="false" customHeight="false" outlineLevel="0" collapsed="false">
      <c r="A10681" s="3" t="s">
        <v>526</v>
      </c>
      <c r="B10681" s="4" t="s">
        <v>66</v>
      </c>
      <c r="C10681" s="4" t="n">
        <v>7</v>
      </c>
      <c r="D10681" s="4" t="s">
        <v>27</v>
      </c>
      <c r="E10681" s="3" t="s">
        <v>413</v>
      </c>
      <c r="F10681" s="4" t="str">
        <f aca="false">IF(I10681&gt;J10681,"Y","N")</f>
        <v>N</v>
      </c>
      <c r="G10681" s="3" t="s">
        <v>164</v>
      </c>
      <c r="H10681" s="3" t="s">
        <v>39</v>
      </c>
      <c r="I10681" s="4" t="n">
        <v>3</v>
      </c>
      <c r="J10681" s="4" t="n">
        <f aca="false">LEN(E10681)-LEN(SUBSTITUTE(E10681,",",""))+1</f>
        <v>3</v>
      </c>
      <c r="K10681" s="3" t="str">
        <f aca="false">IFERROR(INDEX('Teacher Lookup'!$B$2:$B$200,MATCH(A10681,'Teacher Lookup'!$A$2:$A$200,0)),"")</f>
        <v>WAHAB Zakiyyah</v>
      </c>
    </row>
  </sheetData>
  <autoFilter ref="A1:K1068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
    <col collapsed="false" customWidth="true" hidden="false" outlineLevel="0" max="3" min="3" style="0" width="9"/>
    <col collapsed="false" customWidth="true" hidden="false" outlineLevel="0" max="4" min="4" style="0" width="10"/>
    <col collapsed="false" customWidth="true" hidden="false" outlineLevel="0" max="6" min="5" style="0" width="16"/>
    <col collapsed="false" customWidth="true" hidden="false" outlineLevel="0" max="7" min="7" style="0" width="60"/>
    <col collapsed="false" customWidth="true" hidden="false" outlineLevel="0" max="8" min="8" style="0" width="40"/>
  </cols>
  <sheetData>
    <row r="1" customFormat="false" ht="31.5" hidden="false" customHeight="true" outlineLevel="0" collapsed="false">
      <c r="A1" s="1" t="s">
        <v>3</v>
      </c>
      <c r="B1" s="1" t="s">
        <v>1</v>
      </c>
      <c r="C1" s="1" t="s">
        <v>527</v>
      </c>
      <c r="D1" s="1" t="s">
        <v>528</v>
      </c>
      <c r="E1" s="1" t="s">
        <v>7</v>
      </c>
      <c r="F1" s="1" t="s">
        <v>6</v>
      </c>
      <c r="G1" s="1" t="s">
        <v>529</v>
      </c>
      <c r="H1" s="1" t="s">
        <v>4</v>
      </c>
    </row>
    <row r="2" customFormat="false" ht="15" hidden="false" customHeight="false" outlineLevel="0" collapsed="false">
      <c r="A2" s="4" t="s">
        <v>140</v>
      </c>
      <c r="B2" s="4" t="s">
        <v>12</v>
      </c>
      <c r="C2" s="4" t="n">
        <v>1</v>
      </c>
      <c r="D2" s="4" t="n">
        <v>1</v>
      </c>
      <c r="E2" s="4" t="s">
        <v>16</v>
      </c>
      <c r="F2" s="3" t="s">
        <v>296</v>
      </c>
      <c r="G2" s="3" t="s">
        <v>530</v>
      </c>
      <c r="H2" s="3" t="s">
        <v>297</v>
      </c>
    </row>
    <row r="3" customFormat="false" ht="15" hidden="false" customHeight="false" outlineLevel="0" collapsed="false">
      <c r="A3" s="4" t="s">
        <v>140</v>
      </c>
      <c r="B3" s="4" t="s">
        <v>12</v>
      </c>
      <c r="C3" s="4" t="n">
        <v>2</v>
      </c>
      <c r="D3" s="4" t="n">
        <v>1</v>
      </c>
      <c r="E3" s="4" t="s">
        <v>21</v>
      </c>
      <c r="F3" s="3" t="s">
        <v>72</v>
      </c>
      <c r="G3" s="3" t="s">
        <v>531</v>
      </c>
      <c r="H3" s="3" t="s">
        <v>141</v>
      </c>
    </row>
    <row r="4" customFormat="false" ht="15" hidden="false" customHeight="false" outlineLevel="0" collapsed="false">
      <c r="A4" s="4" t="s">
        <v>140</v>
      </c>
      <c r="B4" s="4" t="s">
        <v>12</v>
      </c>
      <c r="C4" s="4" t="n">
        <v>3</v>
      </c>
      <c r="D4" s="4" t="n">
        <v>1</v>
      </c>
      <c r="E4" s="4" t="s">
        <v>26</v>
      </c>
      <c r="F4" s="3" t="s">
        <v>164</v>
      </c>
      <c r="G4" s="3" t="s">
        <v>532</v>
      </c>
      <c r="H4" s="3" t="s">
        <v>144</v>
      </c>
    </row>
    <row r="5" customFormat="false" ht="15" hidden="false" customHeight="false" outlineLevel="0" collapsed="false">
      <c r="A5" s="4" t="s">
        <v>140</v>
      </c>
      <c r="B5" s="4" t="s">
        <v>12</v>
      </c>
      <c r="C5" s="4" t="n">
        <v>4</v>
      </c>
      <c r="D5" s="4" t="n">
        <v>2</v>
      </c>
      <c r="E5" s="4" t="s">
        <v>533</v>
      </c>
      <c r="F5" s="3" t="s">
        <v>432</v>
      </c>
      <c r="G5" s="3" t="s">
        <v>430</v>
      </c>
      <c r="H5" s="3" t="s">
        <v>431</v>
      </c>
    </row>
    <row r="6" customFormat="false" ht="15" hidden="false" customHeight="false" outlineLevel="0" collapsed="false">
      <c r="A6" s="4" t="s">
        <v>140</v>
      </c>
      <c r="B6" s="4" t="s">
        <v>12</v>
      </c>
      <c r="C6" s="4" t="n">
        <v>6</v>
      </c>
      <c r="D6" s="4" t="n">
        <v>1</v>
      </c>
      <c r="E6" s="4" t="s">
        <v>42</v>
      </c>
      <c r="F6" s="3" t="s">
        <v>15</v>
      </c>
      <c r="G6" s="3" t="s">
        <v>534</v>
      </c>
      <c r="H6" s="3" t="s">
        <v>144</v>
      </c>
    </row>
    <row r="7" customFormat="false" ht="15" hidden="false" customHeight="false" outlineLevel="0" collapsed="false">
      <c r="A7" s="4" t="s">
        <v>140</v>
      </c>
      <c r="B7" s="4" t="s">
        <v>12</v>
      </c>
      <c r="C7" s="4" t="n">
        <v>7</v>
      </c>
      <c r="D7" s="4" t="n">
        <v>1</v>
      </c>
      <c r="E7" s="4" t="s">
        <v>39</v>
      </c>
      <c r="F7" s="3" t="s">
        <v>437</v>
      </c>
      <c r="G7" s="3" t="s">
        <v>481</v>
      </c>
      <c r="H7" s="3" t="s">
        <v>289</v>
      </c>
    </row>
    <row r="8" customFormat="false" ht="15" hidden="false" customHeight="false" outlineLevel="0" collapsed="false">
      <c r="A8" s="4" t="s">
        <v>140</v>
      </c>
      <c r="B8" s="4" t="s">
        <v>31</v>
      </c>
      <c r="C8" s="4" t="n">
        <v>1</v>
      </c>
      <c r="D8" s="4" t="n">
        <v>1</v>
      </c>
      <c r="E8" s="4" t="s">
        <v>16</v>
      </c>
      <c r="F8" s="3" t="s">
        <v>285</v>
      </c>
      <c r="G8" s="3" t="s">
        <v>283</v>
      </c>
      <c r="H8" s="3" t="s">
        <v>289</v>
      </c>
    </row>
    <row r="9" customFormat="false" ht="15" hidden="false" customHeight="false" outlineLevel="0" collapsed="false">
      <c r="A9" s="4" t="s">
        <v>140</v>
      </c>
      <c r="B9" s="4" t="s">
        <v>31</v>
      </c>
      <c r="C9" s="4" t="n">
        <v>2</v>
      </c>
      <c r="D9" s="4" t="n">
        <v>1</v>
      </c>
      <c r="E9" s="4" t="s">
        <v>21</v>
      </c>
      <c r="F9" s="3" t="s">
        <v>126</v>
      </c>
      <c r="G9" s="3" t="s">
        <v>504</v>
      </c>
      <c r="H9" s="3" t="s">
        <v>133</v>
      </c>
    </row>
    <row r="10" customFormat="false" ht="15" hidden="false" customHeight="false" outlineLevel="0" collapsed="false">
      <c r="A10" s="4" t="s">
        <v>140</v>
      </c>
      <c r="B10" s="4" t="s">
        <v>31</v>
      </c>
      <c r="C10" s="4" t="n">
        <v>3</v>
      </c>
      <c r="D10" s="4" t="n">
        <v>1</v>
      </c>
      <c r="E10" s="4" t="s">
        <v>26</v>
      </c>
      <c r="F10" s="3" t="s">
        <v>72</v>
      </c>
      <c r="G10" s="3" t="s">
        <v>531</v>
      </c>
      <c r="H10" s="3" t="s">
        <v>144</v>
      </c>
    </row>
    <row r="11" customFormat="false" ht="15" hidden="false" customHeight="false" outlineLevel="0" collapsed="false">
      <c r="A11" s="4" t="s">
        <v>140</v>
      </c>
      <c r="B11" s="4" t="s">
        <v>31</v>
      </c>
      <c r="C11" s="4" t="n">
        <v>4</v>
      </c>
      <c r="D11" s="4" t="n">
        <v>1</v>
      </c>
      <c r="E11" s="4" t="s">
        <v>34</v>
      </c>
      <c r="F11" s="3" t="s">
        <v>164</v>
      </c>
      <c r="G11" s="3" t="s">
        <v>532</v>
      </c>
      <c r="H11" s="3" t="s">
        <v>144</v>
      </c>
    </row>
    <row r="12" customFormat="false" ht="15" hidden="false" customHeight="false" outlineLevel="0" collapsed="false">
      <c r="A12" s="4" t="s">
        <v>140</v>
      </c>
      <c r="B12" s="4" t="s">
        <v>31</v>
      </c>
      <c r="C12" s="4" t="n">
        <v>5</v>
      </c>
      <c r="D12" s="4" t="n">
        <v>1</v>
      </c>
      <c r="E12" s="4" t="s">
        <v>37</v>
      </c>
      <c r="F12" s="3" t="s">
        <v>36</v>
      </c>
      <c r="G12" s="3" t="s">
        <v>535</v>
      </c>
      <c r="H12" s="3" t="s">
        <v>185</v>
      </c>
    </row>
    <row r="13" customFormat="false" ht="15" hidden="false" customHeight="false" outlineLevel="0" collapsed="false">
      <c r="A13" s="4" t="s">
        <v>140</v>
      </c>
      <c r="B13" s="4" t="s">
        <v>31</v>
      </c>
      <c r="C13" s="4" t="n">
        <v>6</v>
      </c>
      <c r="D13" s="4" t="n">
        <v>1</v>
      </c>
      <c r="E13" s="4" t="s">
        <v>42</v>
      </c>
      <c r="F13" s="3" t="s">
        <v>437</v>
      </c>
      <c r="G13" s="3" t="s">
        <v>481</v>
      </c>
      <c r="H13" s="3" t="s">
        <v>289</v>
      </c>
    </row>
    <row r="14" customFormat="false" ht="15" hidden="false" customHeight="false" outlineLevel="0" collapsed="false">
      <c r="A14" s="4" t="s">
        <v>140</v>
      </c>
      <c r="B14" s="4" t="s">
        <v>31</v>
      </c>
      <c r="C14" s="4" t="n">
        <v>7</v>
      </c>
      <c r="D14" s="4" t="n">
        <v>1</v>
      </c>
      <c r="E14" s="4" t="s">
        <v>39</v>
      </c>
      <c r="F14" s="3" t="s">
        <v>15</v>
      </c>
      <c r="G14" s="3" t="s">
        <v>534</v>
      </c>
      <c r="H14" s="3" t="s">
        <v>144</v>
      </c>
    </row>
    <row r="15" customFormat="false" ht="15" hidden="false" customHeight="false" outlineLevel="0" collapsed="false">
      <c r="A15" s="4" t="s">
        <v>140</v>
      </c>
      <c r="B15" s="4" t="s">
        <v>40</v>
      </c>
      <c r="C15" s="4" t="n">
        <v>1</v>
      </c>
      <c r="D15" s="4" t="n">
        <v>1</v>
      </c>
      <c r="E15" s="4" t="s">
        <v>16</v>
      </c>
      <c r="F15" s="3" t="s">
        <v>72</v>
      </c>
      <c r="G15" s="3" t="s">
        <v>531</v>
      </c>
      <c r="H15" s="3" t="s">
        <v>147</v>
      </c>
    </row>
    <row r="16" customFormat="false" ht="15" hidden="false" customHeight="false" outlineLevel="0" collapsed="false">
      <c r="A16" s="4" t="s">
        <v>140</v>
      </c>
      <c r="B16" s="4" t="s">
        <v>40</v>
      </c>
      <c r="C16" s="4" t="n">
        <v>2</v>
      </c>
      <c r="D16" s="4" t="n">
        <v>1</v>
      </c>
      <c r="E16" s="4" t="s">
        <v>21</v>
      </c>
      <c r="F16" s="3" t="s">
        <v>369</v>
      </c>
      <c r="G16" s="3" t="s">
        <v>367</v>
      </c>
      <c r="H16" s="3" t="s">
        <v>368</v>
      </c>
    </row>
    <row r="17" customFormat="false" ht="15" hidden="false" customHeight="false" outlineLevel="0" collapsed="false">
      <c r="A17" s="4" t="s">
        <v>140</v>
      </c>
      <c r="B17" s="4" t="s">
        <v>40</v>
      </c>
      <c r="C17" s="4" t="n">
        <v>3</v>
      </c>
      <c r="D17" s="4" t="n">
        <v>1</v>
      </c>
      <c r="E17" s="4" t="s">
        <v>26</v>
      </c>
      <c r="F17" s="3" t="s">
        <v>126</v>
      </c>
      <c r="G17" s="3" t="s">
        <v>504</v>
      </c>
      <c r="H17" s="3" t="s">
        <v>289</v>
      </c>
    </row>
    <row r="18" customFormat="false" ht="15" hidden="false" customHeight="false" outlineLevel="0" collapsed="false">
      <c r="A18" s="4" t="s">
        <v>140</v>
      </c>
      <c r="B18" s="4" t="s">
        <v>40</v>
      </c>
      <c r="C18" s="4" t="n">
        <v>4</v>
      </c>
      <c r="D18" s="4" t="n">
        <v>1</v>
      </c>
      <c r="E18" s="4" t="s">
        <v>34</v>
      </c>
      <c r="F18" s="3" t="s">
        <v>15</v>
      </c>
      <c r="G18" s="3" t="s">
        <v>534</v>
      </c>
      <c r="H18" s="3" t="s">
        <v>207</v>
      </c>
    </row>
    <row r="19" customFormat="false" ht="15" hidden="false" customHeight="false" outlineLevel="0" collapsed="false">
      <c r="A19" s="4" t="s">
        <v>140</v>
      </c>
      <c r="B19" s="4" t="s">
        <v>40</v>
      </c>
      <c r="C19" s="4" t="n">
        <v>5</v>
      </c>
      <c r="D19" s="4" t="n">
        <v>1</v>
      </c>
      <c r="E19" s="4" t="s">
        <v>37</v>
      </c>
      <c r="F19" s="3" t="s">
        <v>164</v>
      </c>
      <c r="G19" s="3" t="s">
        <v>532</v>
      </c>
      <c r="H19" s="3" t="s">
        <v>144</v>
      </c>
    </row>
    <row r="20" customFormat="false" ht="15" hidden="false" customHeight="false" outlineLevel="0" collapsed="false">
      <c r="A20" s="4" t="s">
        <v>140</v>
      </c>
      <c r="B20" s="4" t="s">
        <v>40</v>
      </c>
      <c r="C20" s="4" t="n">
        <v>6</v>
      </c>
      <c r="D20" s="4" t="n">
        <v>1</v>
      </c>
      <c r="E20" s="4" t="s">
        <v>42</v>
      </c>
      <c r="F20" s="3" t="s">
        <v>285</v>
      </c>
      <c r="G20" s="3" t="s">
        <v>283</v>
      </c>
      <c r="H20" s="3" t="s">
        <v>289</v>
      </c>
    </row>
    <row r="21" customFormat="false" ht="15" hidden="false" customHeight="false" outlineLevel="0" collapsed="false">
      <c r="A21" s="4" t="s">
        <v>140</v>
      </c>
      <c r="B21" s="4" t="s">
        <v>40</v>
      </c>
      <c r="C21" s="4" t="n">
        <v>7</v>
      </c>
      <c r="D21" s="4" t="n">
        <v>1</v>
      </c>
      <c r="E21" s="4" t="s">
        <v>39</v>
      </c>
      <c r="F21" s="3" t="s">
        <v>296</v>
      </c>
      <c r="G21" s="3" t="s">
        <v>530</v>
      </c>
      <c r="H21" s="3" t="s">
        <v>297</v>
      </c>
    </row>
    <row r="22" customFormat="false" ht="15" hidden="false" customHeight="false" outlineLevel="0" collapsed="false">
      <c r="A22" s="4" t="s">
        <v>140</v>
      </c>
      <c r="B22" s="4" t="s">
        <v>44</v>
      </c>
      <c r="C22" s="4" t="n">
        <v>1</v>
      </c>
      <c r="D22" s="4" t="n">
        <v>1</v>
      </c>
      <c r="E22" s="4" t="s">
        <v>16</v>
      </c>
      <c r="F22" s="3" t="s">
        <v>126</v>
      </c>
      <c r="G22" s="3" t="s">
        <v>504</v>
      </c>
      <c r="H22" s="3" t="s">
        <v>133</v>
      </c>
    </row>
    <row r="23" customFormat="false" ht="15" hidden="false" customHeight="false" outlineLevel="0" collapsed="false">
      <c r="A23" s="4" t="s">
        <v>140</v>
      </c>
      <c r="B23" s="4" t="s">
        <v>44</v>
      </c>
      <c r="C23" s="4" t="n">
        <v>2</v>
      </c>
      <c r="D23" s="4" t="n">
        <v>1</v>
      </c>
      <c r="E23" s="4" t="s">
        <v>21</v>
      </c>
      <c r="F23" s="3" t="s">
        <v>15</v>
      </c>
      <c r="G23" s="3" t="s">
        <v>534</v>
      </c>
      <c r="H23" s="3" t="s">
        <v>144</v>
      </c>
    </row>
    <row r="24" customFormat="false" ht="15" hidden="false" customHeight="false" outlineLevel="0" collapsed="false">
      <c r="A24" s="4" t="s">
        <v>140</v>
      </c>
      <c r="B24" s="4" t="s">
        <v>44</v>
      </c>
      <c r="C24" s="4" t="n">
        <v>3</v>
      </c>
      <c r="D24" s="4" t="n">
        <v>1</v>
      </c>
      <c r="E24" s="4" t="s">
        <v>26</v>
      </c>
      <c r="F24" s="3" t="s">
        <v>72</v>
      </c>
      <c r="G24" s="3" t="s">
        <v>531</v>
      </c>
      <c r="H24" s="3" t="s">
        <v>150</v>
      </c>
    </row>
    <row r="25" customFormat="false" ht="15" hidden="false" customHeight="false" outlineLevel="0" collapsed="false">
      <c r="A25" s="4" t="s">
        <v>140</v>
      </c>
      <c r="B25" s="4" t="s">
        <v>44</v>
      </c>
      <c r="C25" s="4" t="n">
        <v>4</v>
      </c>
      <c r="D25" s="4" t="n">
        <v>1</v>
      </c>
      <c r="E25" s="4" t="s">
        <v>34</v>
      </c>
      <c r="F25" s="3" t="s">
        <v>164</v>
      </c>
      <c r="G25" s="3" t="s">
        <v>532</v>
      </c>
      <c r="H25" s="3" t="s">
        <v>187</v>
      </c>
    </row>
    <row r="26" customFormat="false" ht="15" hidden="false" customHeight="false" outlineLevel="0" collapsed="false">
      <c r="A26" s="4" t="s">
        <v>140</v>
      </c>
      <c r="B26" s="4" t="s">
        <v>44</v>
      </c>
      <c r="C26" s="4" t="n">
        <v>5</v>
      </c>
      <c r="D26" s="4" t="n">
        <v>1</v>
      </c>
      <c r="E26" s="4" t="s">
        <v>37</v>
      </c>
      <c r="F26" s="3" t="s">
        <v>36</v>
      </c>
      <c r="G26" s="3" t="s">
        <v>535</v>
      </c>
      <c r="H26" s="3" t="s">
        <v>185</v>
      </c>
    </row>
    <row r="27" customFormat="false" ht="15" hidden="false" customHeight="false" outlineLevel="0" collapsed="false">
      <c r="A27" s="4" t="s">
        <v>140</v>
      </c>
      <c r="B27" s="4" t="s">
        <v>44</v>
      </c>
      <c r="C27" s="4" t="n">
        <v>6</v>
      </c>
      <c r="D27" s="4" t="n">
        <v>2</v>
      </c>
      <c r="E27" s="4" t="s">
        <v>536</v>
      </c>
      <c r="F27" s="3" t="s">
        <v>388</v>
      </c>
      <c r="G27" s="3" t="s">
        <v>537</v>
      </c>
      <c r="H27" s="3" t="s">
        <v>387</v>
      </c>
    </row>
    <row r="28" customFormat="false" ht="15" hidden="false" customHeight="false" outlineLevel="0" collapsed="false">
      <c r="A28" s="4" t="s">
        <v>140</v>
      </c>
      <c r="B28" s="4" t="s">
        <v>47</v>
      </c>
      <c r="C28" s="4" t="n">
        <v>1</v>
      </c>
      <c r="D28" s="4" t="n">
        <v>1</v>
      </c>
      <c r="E28" s="4" t="s">
        <v>16</v>
      </c>
      <c r="F28" s="3" t="s">
        <v>350</v>
      </c>
      <c r="G28" s="3" t="s">
        <v>126</v>
      </c>
      <c r="H28" s="3" t="s">
        <v>289</v>
      </c>
    </row>
    <row r="29" customFormat="false" ht="15" hidden="false" customHeight="false" outlineLevel="0" collapsed="false">
      <c r="A29" s="4" t="s">
        <v>140</v>
      </c>
      <c r="B29" s="4" t="s">
        <v>47</v>
      </c>
      <c r="C29" s="4" t="n">
        <v>2</v>
      </c>
      <c r="D29" s="4" t="n">
        <v>1</v>
      </c>
      <c r="E29" s="4" t="s">
        <v>21</v>
      </c>
      <c r="F29" s="3" t="s">
        <v>99</v>
      </c>
      <c r="G29" s="3" t="s">
        <v>433</v>
      </c>
      <c r="H29" s="3" t="s">
        <v>289</v>
      </c>
    </row>
    <row r="30" customFormat="false" ht="15" hidden="false" customHeight="false" outlineLevel="0" collapsed="false">
      <c r="A30" s="4" t="s">
        <v>140</v>
      </c>
      <c r="B30" s="4" t="s">
        <v>47</v>
      </c>
      <c r="C30" s="4" t="n">
        <v>3</v>
      </c>
      <c r="D30" s="4" t="n">
        <v>1</v>
      </c>
      <c r="E30" s="4" t="s">
        <v>26</v>
      </c>
      <c r="F30" s="3" t="s">
        <v>126</v>
      </c>
      <c r="G30" s="3" t="s">
        <v>504</v>
      </c>
      <c r="H30" s="3" t="s">
        <v>133</v>
      </c>
    </row>
    <row r="31" customFormat="false" ht="15" hidden="false" customHeight="false" outlineLevel="0" collapsed="false">
      <c r="A31" s="4" t="s">
        <v>140</v>
      </c>
      <c r="B31" s="4" t="s">
        <v>47</v>
      </c>
      <c r="C31" s="4" t="n">
        <v>4</v>
      </c>
      <c r="D31" s="4" t="n">
        <v>1</v>
      </c>
      <c r="E31" s="4" t="s">
        <v>34</v>
      </c>
      <c r="F31" s="3" t="s">
        <v>72</v>
      </c>
      <c r="G31" s="3" t="s">
        <v>531</v>
      </c>
      <c r="H31" s="3" t="s">
        <v>152</v>
      </c>
    </row>
    <row r="32" customFormat="false" ht="15" hidden="false" customHeight="false" outlineLevel="0" collapsed="false">
      <c r="A32" s="4" t="s">
        <v>140</v>
      </c>
      <c r="B32" s="4" t="s">
        <v>47</v>
      </c>
      <c r="C32" s="4" t="n">
        <v>5</v>
      </c>
      <c r="D32" s="4" t="n">
        <v>1</v>
      </c>
      <c r="E32" s="4" t="s">
        <v>37</v>
      </c>
      <c r="F32" s="3" t="s">
        <v>15</v>
      </c>
      <c r="G32" s="3" t="s">
        <v>534</v>
      </c>
      <c r="H32" s="3" t="s">
        <v>210</v>
      </c>
    </row>
    <row r="33" customFormat="false" ht="15" hidden="false" customHeight="false" outlineLevel="0" collapsed="false">
      <c r="A33" s="4" t="s">
        <v>140</v>
      </c>
      <c r="B33" s="4" t="s">
        <v>47</v>
      </c>
      <c r="C33" s="4" t="n">
        <v>6</v>
      </c>
      <c r="D33" s="4" t="n">
        <v>2</v>
      </c>
      <c r="E33" s="4" t="s">
        <v>536</v>
      </c>
      <c r="F33" s="3" t="s">
        <v>164</v>
      </c>
      <c r="G33" s="3" t="s">
        <v>532</v>
      </c>
      <c r="H33" s="3" t="s">
        <v>157</v>
      </c>
    </row>
    <row r="34" customFormat="false" ht="15" hidden="false" customHeight="false" outlineLevel="0" collapsed="false">
      <c r="A34" s="4" t="s">
        <v>140</v>
      </c>
      <c r="B34" s="4" t="s">
        <v>50</v>
      </c>
      <c r="C34" s="4" t="n">
        <v>1</v>
      </c>
      <c r="D34" s="4" t="n">
        <v>1</v>
      </c>
      <c r="E34" s="4" t="s">
        <v>16</v>
      </c>
      <c r="F34" s="3" t="s">
        <v>15</v>
      </c>
      <c r="G34" s="3" t="s">
        <v>534</v>
      </c>
      <c r="H34" s="3" t="s">
        <v>211</v>
      </c>
    </row>
    <row r="35" customFormat="false" ht="15" hidden="false" customHeight="false" outlineLevel="0" collapsed="false">
      <c r="A35" s="4" t="s">
        <v>140</v>
      </c>
      <c r="B35" s="4" t="s">
        <v>50</v>
      </c>
      <c r="C35" s="4" t="n">
        <v>2</v>
      </c>
      <c r="D35" s="4" t="n">
        <v>1</v>
      </c>
      <c r="E35" s="4" t="s">
        <v>21</v>
      </c>
      <c r="F35" s="3" t="s">
        <v>126</v>
      </c>
      <c r="G35" s="3" t="s">
        <v>504</v>
      </c>
      <c r="H35" s="3" t="s">
        <v>133</v>
      </c>
    </row>
    <row r="36" customFormat="false" ht="15" hidden="false" customHeight="false" outlineLevel="0" collapsed="false">
      <c r="A36" s="4" t="s">
        <v>140</v>
      </c>
      <c r="B36" s="4" t="s">
        <v>50</v>
      </c>
      <c r="C36" s="4" t="n">
        <v>3</v>
      </c>
      <c r="D36" s="4" t="n">
        <v>1</v>
      </c>
      <c r="E36" s="4" t="s">
        <v>26</v>
      </c>
      <c r="F36" s="3" t="s">
        <v>72</v>
      </c>
      <c r="G36" s="3" t="s">
        <v>531</v>
      </c>
      <c r="H36" s="3" t="s">
        <v>155</v>
      </c>
    </row>
    <row r="37" customFormat="false" ht="15" hidden="false" customHeight="false" outlineLevel="0" collapsed="false">
      <c r="A37" s="4" t="s">
        <v>140</v>
      </c>
      <c r="B37" s="4" t="s">
        <v>50</v>
      </c>
      <c r="C37" s="4" t="n">
        <v>4</v>
      </c>
      <c r="D37" s="4" t="n">
        <v>2</v>
      </c>
      <c r="E37" s="4" t="s">
        <v>533</v>
      </c>
      <c r="F37" s="3" t="s">
        <v>222</v>
      </c>
      <c r="G37" s="3" t="s">
        <v>538</v>
      </c>
      <c r="H37" s="3" t="s">
        <v>221</v>
      </c>
    </row>
    <row r="38" customFormat="false" ht="15" hidden="false" customHeight="false" outlineLevel="0" collapsed="false">
      <c r="A38" s="4" t="s">
        <v>140</v>
      </c>
      <c r="B38" s="4" t="s">
        <v>50</v>
      </c>
      <c r="C38" s="4" t="n">
        <v>6</v>
      </c>
      <c r="D38" s="4" t="n">
        <v>1</v>
      </c>
      <c r="E38" s="4" t="s">
        <v>42</v>
      </c>
      <c r="F38" s="3" t="s">
        <v>99</v>
      </c>
      <c r="G38" s="3" t="s">
        <v>433</v>
      </c>
      <c r="H38" s="3" t="s">
        <v>289</v>
      </c>
    </row>
    <row r="39" customFormat="false" ht="15" hidden="false" customHeight="false" outlineLevel="0" collapsed="false">
      <c r="A39" s="4" t="s">
        <v>140</v>
      </c>
      <c r="B39" s="4" t="s">
        <v>50</v>
      </c>
      <c r="C39" s="4" t="n">
        <v>7</v>
      </c>
      <c r="D39" s="4" t="n">
        <v>1</v>
      </c>
      <c r="E39" s="4" t="s">
        <v>39</v>
      </c>
      <c r="F39" s="3" t="s">
        <v>164</v>
      </c>
      <c r="G39" s="3" t="s">
        <v>532</v>
      </c>
      <c r="H39" s="3" t="s">
        <v>144</v>
      </c>
    </row>
    <row r="40" customFormat="false" ht="15" hidden="false" customHeight="false" outlineLevel="0" collapsed="false">
      <c r="A40" s="4" t="s">
        <v>140</v>
      </c>
      <c r="B40" s="4" t="s">
        <v>60</v>
      </c>
      <c r="C40" s="4" t="n">
        <v>1</v>
      </c>
      <c r="D40" s="4" t="n">
        <v>1</v>
      </c>
      <c r="E40" s="4" t="s">
        <v>16</v>
      </c>
      <c r="F40" s="3" t="s">
        <v>126</v>
      </c>
      <c r="G40" s="3" t="s">
        <v>504</v>
      </c>
      <c r="H40" s="3" t="s">
        <v>125</v>
      </c>
    </row>
    <row r="41" customFormat="false" ht="15" hidden="false" customHeight="false" outlineLevel="0" collapsed="false">
      <c r="A41" s="4" t="s">
        <v>140</v>
      </c>
      <c r="B41" s="4" t="s">
        <v>60</v>
      </c>
      <c r="C41" s="4" t="n">
        <v>2</v>
      </c>
      <c r="D41" s="4" t="n">
        <v>1</v>
      </c>
      <c r="E41" s="4" t="s">
        <v>21</v>
      </c>
      <c r="F41" s="3" t="s">
        <v>15</v>
      </c>
      <c r="G41" s="3" t="s">
        <v>534</v>
      </c>
      <c r="H41" s="3" t="s">
        <v>144</v>
      </c>
    </row>
    <row r="42" customFormat="false" ht="15" hidden="false" customHeight="false" outlineLevel="0" collapsed="false">
      <c r="A42" s="4" t="s">
        <v>140</v>
      </c>
      <c r="B42" s="4" t="s">
        <v>60</v>
      </c>
      <c r="C42" s="4" t="n">
        <v>3</v>
      </c>
      <c r="D42" s="4" t="n">
        <v>1</v>
      </c>
      <c r="E42" s="4" t="s">
        <v>26</v>
      </c>
      <c r="F42" s="3" t="s">
        <v>350</v>
      </c>
      <c r="G42" s="3" t="s">
        <v>126</v>
      </c>
      <c r="H42" s="3" t="s">
        <v>289</v>
      </c>
    </row>
    <row r="43" customFormat="false" ht="15" hidden="false" customHeight="false" outlineLevel="0" collapsed="false">
      <c r="A43" s="4" t="s">
        <v>140</v>
      </c>
      <c r="B43" s="4" t="s">
        <v>60</v>
      </c>
      <c r="C43" s="4" t="n">
        <v>4</v>
      </c>
      <c r="D43" s="4" t="n">
        <v>1</v>
      </c>
      <c r="E43" s="4" t="s">
        <v>34</v>
      </c>
      <c r="F43" s="3" t="s">
        <v>99</v>
      </c>
      <c r="G43" s="3" t="s">
        <v>433</v>
      </c>
      <c r="H43" s="3" t="s">
        <v>289</v>
      </c>
    </row>
    <row r="44" customFormat="false" ht="15" hidden="false" customHeight="false" outlineLevel="0" collapsed="false">
      <c r="A44" s="4" t="s">
        <v>140</v>
      </c>
      <c r="B44" s="4" t="s">
        <v>60</v>
      </c>
      <c r="C44" s="4" t="n">
        <v>5</v>
      </c>
      <c r="D44" s="4" t="n">
        <v>1</v>
      </c>
      <c r="E44" s="4" t="s">
        <v>37</v>
      </c>
      <c r="F44" s="3" t="s">
        <v>36</v>
      </c>
      <c r="G44" s="3" t="s">
        <v>535</v>
      </c>
      <c r="H44" s="3" t="s">
        <v>185</v>
      </c>
    </row>
    <row r="45" customFormat="false" ht="15" hidden="false" customHeight="false" outlineLevel="0" collapsed="false">
      <c r="A45" s="4" t="s">
        <v>140</v>
      </c>
      <c r="B45" s="4" t="s">
        <v>60</v>
      </c>
      <c r="C45" s="4" t="n">
        <v>6</v>
      </c>
      <c r="D45" s="4" t="n">
        <v>1</v>
      </c>
      <c r="E45" s="4" t="s">
        <v>42</v>
      </c>
      <c r="F45" s="3" t="s">
        <v>72</v>
      </c>
      <c r="G45" s="3" t="s">
        <v>531</v>
      </c>
      <c r="H45" s="3" t="s">
        <v>150</v>
      </c>
    </row>
    <row r="46" customFormat="false" ht="15" hidden="false" customHeight="false" outlineLevel="0" collapsed="false">
      <c r="A46" s="4" t="s">
        <v>140</v>
      </c>
      <c r="B46" s="4" t="s">
        <v>60</v>
      </c>
      <c r="C46" s="4" t="n">
        <v>7</v>
      </c>
      <c r="D46" s="4" t="n">
        <v>1</v>
      </c>
      <c r="E46" s="4" t="s">
        <v>39</v>
      </c>
      <c r="F46" s="3" t="s">
        <v>164</v>
      </c>
      <c r="G46" s="3" t="s">
        <v>532</v>
      </c>
      <c r="H46" s="3" t="s">
        <v>141</v>
      </c>
    </row>
    <row r="47" customFormat="false" ht="15" hidden="false" customHeight="false" outlineLevel="0" collapsed="false">
      <c r="A47" s="4" t="s">
        <v>140</v>
      </c>
      <c r="B47" s="4" t="s">
        <v>63</v>
      </c>
      <c r="C47" s="4" t="n">
        <v>1</v>
      </c>
      <c r="D47" s="4" t="n">
        <v>2</v>
      </c>
      <c r="E47" s="4" t="s">
        <v>539</v>
      </c>
      <c r="F47" s="3" t="s">
        <v>72</v>
      </c>
      <c r="G47" s="3" t="s">
        <v>531</v>
      </c>
      <c r="H47" s="3" t="s">
        <v>157</v>
      </c>
    </row>
    <row r="48" customFormat="false" ht="15" hidden="false" customHeight="false" outlineLevel="0" collapsed="false">
      <c r="A48" s="4" t="s">
        <v>140</v>
      </c>
      <c r="B48" s="4" t="s">
        <v>63</v>
      </c>
      <c r="C48" s="4" t="n">
        <v>3</v>
      </c>
      <c r="D48" s="4" t="n">
        <v>1</v>
      </c>
      <c r="E48" s="4" t="s">
        <v>26</v>
      </c>
      <c r="F48" s="3" t="s">
        <v>369</v>
      </c>
      <c r="G48" s="3" t="s">
        <v>367</v>
      </c>
      <c r="H48" s="3" t="s">
        <v>368</v>
      </c>
    </row>
    <row r="49" customFormat="false" ht="15" hidden="false" customHeight="false" outlineLevel="0" collapsed="false">
      <c r="A49" s="4" t="s">
        <v>140</v>
      </c>
      <c r="B49" s="4" t="s">
        <v>63</v>
      </c>
      <c r="C49" s="4" t="n">
        <v>4</v>
      </c>
      <c r="D49" s="4" t="n">
        <v>1</v>
      </c>
      <c r="E49" s="4" t="s">
        <v>34</v>
      </c>
      <c r="F49" s="3" t="s">
        <v>126</v>
      </c>
      <c r="G49" s="3" t="s">
        <v>504</v>
      </c>
      <c r="H49" s="3" t="s">
        <v>133</v>
      </c>
    </row>
    <row r="50" customFormat="false" ht="15" hidden="false" customHeight="false" outlineLevel="0" collapsed="false">
      <c r="A50" s="4" t="s">
        <v>140</v>
      </c>
      <c r="B50" s="4" t="s">
        <v>63</v>
      </c>
      <c r="C50" s="4" t="n">
        <v>5</v>
      </c>
      <c r="D50" s="4" t="n">
        <v>1</v>
      </c>
      <c r="E50" s="4" t="s">
        <v>37</v>
      </c>
      <c r="F50" s="3" t="s">
        <v>350</v>
      </c>
      <c r="G50" s="3" t="s">
        <v>126</v>
      </c>
      <c r="H50" s="3" t="s">
        <v>289</v>
      </c>
    </row>
    <row r="51" customFormat="false" ht="15" hidden="false" customHeight="false" outlineLevel="0" collapsed="false">
      <c r="A51" s="4" t="s">
        <v>140</v>
      </c>
      <c r="B51" s="4" t="s">
        <v>63</v>
      </c>
      <c r="C51" s="4" t="n">
        <v>6</v>
      </c>
      <c r="D51" s="4" t="n">
        <v>1</v>
      </c>
      <c r="E51" s="4" t="s">
        <v>42</v>
      </c>
      <c r="F51" s="3" t="s">
        <v>285</v>
      </c>
      <c r="G51" s="3" t="s">
        <v>283</v>
      </c>
      <c r="H51" s="3" t="s">
        <v>289</v>
      </c>
    </row>
    <row r="52" customFormat="false" ht="15" hidden="false" customHeight="false" outlineLevel="0" collapsed="false">
      <c r="A52" s="4" t="s">
        <v>140</v>
      </c>
      <c r="B52" s="4" t="s">
        <v>63</v>
      </c>
      <c r="C52" s="4" t="n">
        <v>7</v>
      </c>
      <c r="D52" s="4" t="n">
        <v>1</v>
      </c>
      <c r="E52" s="4" t="s">
        <v>39</v>
      </c>
      <c r="F52" s="3" t="s">
        <v>164</v>
      </c>
      <c r="G52" s="3" t="s">
        <v>532</v>
      </c>
      <c r="H52" s="3" t="s">
        <v>152</v>
      </c>
    </row>
    <row r="53" customFormat="false" ht="15" hidden="false" customHeight="false" outlineLevel="0" collapsed="false">
      <c r="A53" s="4" t="s">
        <v>140</v>
      </c>
      <c r="B53" s="4" t="s">
        <v>65</v>
      </c>
      <c r="C53" s="4" t="n">
        <v>1</v>
      </c>
      <c r="D53" s="4" t="n">
        <v>1</v>
      </c>
      <c r="E53" s="4" t="s">
        <v>16</v>
      </c>
      <c r="F53" s="3" t="s">
        <v>299</v>
      </c>
      <c r="G53" s="3" t="s">
        <v>540</v>
      </c>
      <c r="H53" s="3" t="s">
        <v>298</v>
      </c>
    </row>
    <row r="54" customFormat="false" ht="15" hidden="false" customHeight="false" outlineLevel="0" collapsed="false">
      <c r="A54" s="4" t="s">
        <v>140</v>
      </c>
      <c r="B54" s="4" t="s">
        <v>65</v>
      </c>
      <c r="C54" s="4" t="n">
        <v>2</v>
      </c>
      <c r="D54" s="4" t="n">
        <v>1</v>
      </c>
      <c r="E54" s="4" t="s">
        <v>21</v>
      </c>
      <c r="F54" s="3" t="s">
        <v>299</v>
      </c>
      <c r="G54" s="3" t="s">
        <v>541</v>
      </c>
      <c r="H54" s="3" t="s">
        <v>298</v>
      </c>
    </row>
    <row r="55" customFormat="false" ht="15" hidden="false" customHeight="false" outlineLevel="0" collapsed="false">
      <c r="A55" s="4" t="s">
        <v>140</v>
      </c>
      <c r="B55" s="4" t="s">
        <v>65</v>
      </c>
      <c r="C55" s="4" t="n">
        <v>3</v>
      </c>
      <c r="D55" s="4" t="n">
        <v>1</v>
      </c>
      <c r="E55" s="4" t="s">
        <v>26</v>
      </c>
      <c r="F55" s="3" t="s">
        <v>164</v>
      </c>
      <c r="G55" s="3" t="s">
        <v>532</v>
      </c>
      <c r="H55" s="3" t="s">
        <v>152</v>
      </c>
    </row>
    <row r="56" customFormat="false" ht="15" hidden="false" customHeight="false" outlineLevel="0" collapsed="false">
      <c r="A56" s="4" t="s">
        <v>140</v>
      </c>
      <c r="B56" s="4" t="s">
        <v>65</v>
      </c>
      <c r="C56" s="4" t="n">
        <v>4</v>
      </c>
      <c r="D56" s="4" t="n">
        <v>1</v>
      </c>
      <c r="E56" s="4" t="s">
        <v>34</v>
      </c>
      <c r="F56" s="3" t="s">
        <v>72</v>
      </c>
      <c r="G56" s="3" t="s">
        <v>531</v>
      </c>
      <c r="H56" s="3" t="s">
        <v>152</v>
      </c>
    </row>
    <row r="57" customFormat="false" ht="15" hidden="false" customHeight="false" outlineLevel="0" collapsed="false">
      <c r="A57" s="4" t="s">
        <v>140</v>
      </c>
      <c r="B57" s="4" t="s">
        <v>65</v>
      </c>
      <c r="C57" s="4" t="n">
        <v>5</v>
      </c>
      <c r="D57" s="4" t="n">
        <v>1</v>
      </c>
      <c r="E57" s="4" t="s">
        <v>37</v>
      </c>
      <c r="F57" s="3" t="s">
        <v>36</v>
      </c>
      <c r="G57" s="3" t="s">
        <v>535</v>
      </c>
      <c r="H57" s="3" t="s">
        <v>185</v>
      </c>
    </row>
    <row r="58" customFormat="false" ht="15" hidden="false" customHeight="false" outlineLevel="0" collapsed="false">
      <c r="A58" s="4" t="s">
        <v>140</v>
      </c>
      <c r="B58" s="4" t="s">
        <v>65</v>
      </c>
      <c r="C58" s="4" t="n">
        <v>6</v>
      </c>
      <c r="D58" s="4" t="n">
        <v>1</v>
      </c>
      <c r="E58" s="4" t="s">
        <v>42</v>
      </c>
      <c r="F58" s="3" t="s">
        <v>126</v>
      </c>
      <c r="G58" s="3" t="s">
        <v>504</v>
      </c>
      <c r="H58" s="3" t="s">
        <v>133</v>
      </c>
    </row>
    <row r="59" customFormat="false" ht="15" hidden="false" customHeight="false" outlineLevel="0" collapsed="false">
      <c r="A59" s="4" t="s">
        <v>140</v>
      </c>
      <c r="B59" s="4" t="s">
        <v>65</v>
      </c>
      <c r="C59" s="4" t="n">
        <v>7</v>
      </c>
      <c r="D59" s="4" t="n">
        <v>1</v>
      </c>
      <c r="E59" s="4" t="s">
        <v>39</v>
      </c>
      <c r="F59" s="3" t="s">
        <v>15</v>
      </c>
      <c r="G59" s="3" t="s">
        <v>534</v>
      </c>
      <c r="H59" s="3" t="s">
        <v>144</v>
      </c>
    </row>
    <row r="60" customFormat="false" ht="15" hidden="false" customHeight="false" outlineLevel="0" collapsed="false">
      <c r="A60" s="4" t="s">
        <v>140</v>
      </c>
      <c r="B60" s="4" t="s">
        <v>66</v>
      </c>
      <c r="C60" s="4" t="n">
        <v>1</v>
      </c>
      <c r="D60" s="4" t="n">
        <v>1</v>
      </c>
      <c r="E60" s="4" t="s">
        <v>16</v>
      </c>
      <c r="F60" s="3" t="s">
        <v>72</v>
      </c>
      <c r="G60" s="3" t="s">
        <v>531</v>
      </c>
      <c r="H60" s="3" t="s">
        <v>160</v>
      </c>
    </row>
    <row r="61" customFormat="false" ht="15" hidden="false" customHeight="false" outlineLevel="0" collapsed="false">
      <c r="A61" s="4" t="s">
        <v>140</v>
      </c>
      <c r="B61" s="4" t="s">
        <v>66</v>
      </c>
      <c r="C61" s="4" t="n">
        <v>2</v>
      </c>
      <c r="D61" s="4" t="n">
        <v>1</v>
      </c>
      <c r="E61" s="4" t="s">
        <v>21</v>
      </c>
      <c r="F61" s="3" t="s">
        <v>15</v>
      </c>
      <c r="G61" s="3" t="s">
        <v>534</v>
      </c>
      <c r="H61" s="3" t="s">
        <v>150</v>
      </c>
    </row>
    <row r="62" customFormat="false" ht="15" hidden="false" customHeight="false" outlineLevel="0" collapsed="false">
      <c r="A62" s="4" t="s">
        <v>140</v>
      </c>
      <c r="B62" s="4" t="s">
        <v>66</v>
      </c>
      <c r="C62" s="4" t="n">
        <v>3</v>
      </c>
      <c r="D62" s="4" t="n">
        <v>2</v>
      </c>
      <c r="E62" s="4" t="s">
        <v>542</v>
      </c>
      <c r="F62" s="3" t="s">
        <v>432</v>
      </c>
      <c r="G62" s="3" t="s">
        <v>430</v>
      </c>
      <c r="H62" s="3" t="s">
        <v>431</v>
      </c>
    </row>
    <row r="63" customFormat="false" ht="15" hidden="false" customHeight="false" outlineLevel="0" collapsed="false">
      <c r="A63" s="4" t="s">
        <v>140</v>
      </c>
      <c r="B63" s="4" t="s">
        <v>66</v>
      </c>
      <c r="C63" s="4" t="n">
        <v>5</v>
      </c>
      <c r="D63" s="4" t="n">
        <v>1</v>
      </c>
      <c r="E63" s="4" t="s">
        <v>37</v>
      </c>
      <c r="F63" s="3" t="s">
        <v>126</v>
      </c>
      <c r="G63" s="3" t="s">
        <v>504</v>
      </c>
      <c r="H63" s="3" t="s">
        <v>125</v>
      </c>
    </row>
    <row r="64" customFormat="false" ht="15" hidden="false" customHeight="false" outlineLevel="0" collapsed="false">
      <c r="A64" s="4" t="s">
        <v>140</v>
      </c>
      <c r="B64" s="4" t="s">
        <v>66</v>
      </c>
      <c r="C64" s="4" t="n">
        <v>6</v>
      </c>
      <c r="D64" s="4" t="n">
        <v>1</v>
      </c>
      <c r="E64" s="4" t="s">
        <v>42</v>
      </c>
      <c r="F64" s="3" t="s">
        <v>164</v>
      </c>
      <c r="G64" s="3" t="s">
        <v>532</v>
      </c>
      <c r="H64" s="3" t="s">
        <v>152</v>
      </c>
    </row>
    <row r="65" customFormat="false" ht="15" hidden="false" customHeight="false" outlineLevel="0" collapsed="false">
      <c r="A65" s="4" t="s">
        <v>140</v>
      </c>
      <c r="B65" s="4" t="s">
        <v>66</v>
      </c>
      <c r="C65" s="4" t="n">
        <v>7</v>
      </c>
      <c r="D65" s="4" t="n">
        <v>1</v>
      </c>
      <c r="E65" s="4" t="s">
        <v>39</v>
      </c>
      <c r="F65" s="3" t="s">
        <v>437</v>
      </c>
      <c r="G65" s="3" t="s">
        <v>481</v>
      </c>
      <c r="H65" s="3" t="s">
        <v>289</v>
      </c>
    </row>
    <row r="66" customFormat="false" ht="15" hidden="false" customHeight="false" outlineLevel="0" collapsed="false">
      <c r="A66" s="4" t="s">
        <v>142</v>
      </c>
      <c r="B66" s="4" t="s">
        <v>12</v>
      </c>
      <c r="C66" s="4" t="n">
        <v>1</v>
      </c>
      <c r="D66" s="4" t="n">
        <v>1</v>
      </c>
      <c r="E66" s="4" t="s">
        <v>16</v>
      </c>
      <c r="F66" s="3" t="s">
        <v>126</v>
      </c>
      <c r="G66" s="3" t="s">
        <v>509</v>
      </c>
      <c r="H66" s="3" t="s">
        <v>133</v>
      </c>
    </row>
    <row r="67" customFormat="false" ht="15" hidden="false" customHeight="false" outlineLevel="0" collapsed="false">
      <c r="A67" s="4" t="s">
        <v>142</v>
      </c>
      <c r="B67" s="4" t="s">
        <v>12</v>
      </c>
      <c r="C67" s="4" t="n">
        <v>2</v>
      </c>
      <c r="D67" s="4" t="n">
        <v>1</v>
      </c>
      <c r="E67" s="4" t="s">
        <v>21</v>
      </c>
      <c r="F67" s="3" t="s">
        <v>72</v>
      </c>
      <c r="G67" s="3" t="s">
        <v>531</v>
      </c>
      <c r="H67" s="3" t="s">
        <v>141</v>
      </c>
    </row>
    <row r="68" customFormat="false" ht="15" hidden="false" customHeight="false" outlineLevel="0" collapsed="false">
      <c r="A68" s="4" t="s">
        <v>142</v>
      </c>
      <c r="B68" s="4" t="s">
        <v>12</v>
      </c>
      <c r="C68" s="4" t="n">
        <v>3</v>
      </c>
      <c r="D68" s="4" t="n">
        <v>1</v>
      </c>
      <c r="E68" s="4" t="s">
        <v>26</v>
      </c>
      <c r="F68" s="3" t="s">
        <v>164</v>
      </c>
      <c r="G68" s="3" t="s">
        <v>532</v>
      </c>
      <c r="H68" s="3" t="s">
        <v>144</v>
      </c>
    </row>
    <row r="69" customFormat="false" ht="15" hidden="false" customHeight="false" outlineLevel="0" collapsed="false">
      <c r="A69" s="4" t="s">
        <v>142</v>
      </c>
      <c r="B69" s="4" t="s">
        <v>12</v>
      </c>
      <c r="C69" s="4" t="n">
        <v>4</v>
      </c>
      <c r="D69" s="4" t="n">
        <v>2</v>
      </c>
      <c r="E69" s="4" t="s">
        <v>533</v>
      </c>
      <c r="F69" s="3" t="s">
        <v>463</v>
      </c>
      <c r="G69" s="3" t="s">
        <v>461</v>
      </c>
      <c r="H69" s="3" t="s">
        <v>462</v>
      </c>
    </row>
    <row r="70" customFormat="false" ht="15" hidden="false" customHeight="false" outlineLevel="0" collapsed="false">
      <c r="A70" s="4" t="s">
        <v>142</v>
      </c>
      <c r="B70" s="4" t="s">
        <v>12</v>
      </c>
      <c r="C70" s="4" t="n">
        <v>6</v>
      </c>
      <c r="D70" s="4" t="n">
        <v>1</v>
      </c>
      <c r="E70" s="4" t="s">
        <v>42</v>
      </c>
      <c r="F70" s="3" t="s">
        <v>15</v>
      </c>
      <c r="G70" s="3" t="s">
        <v>534</v>
      </c>
      <c r="H70" s="3" t="s">
        <v>144</v>
      </c>
    </row>
    <row r="71" customFormat="false" ht="15" hidden="false" customHeight="false" outlineLevel="0" collapsed="false">
      <c r="A71" s="4" t="s">
        <v>142</v>
      </c>
      <c r="B71" s="4" t="s">
        <v>12</v>
      </c>
      <c r="C71" s="4" t="n">
        <v>7</v>
      </c>
      <c r="D71" s="4" t="n">
        <v>1</v>
      </c>
      <c r="E71" s="4" t="s">
        <v>39</v>
      </c>
      <c r="F71" s="3" t="s">
        <v>350</v>
      </c>
      <c r="G71" s="3" t="s">
        <v>126</v>
      </c>
      <c r="H71" s="3" t="s">
        <v>435</v>
      </c>
    </row>
    <row r="72" customFormat="false" ht="15" hidden="false" customHeight="false" outlineLevel="0" collapsed="false">
      <c r="A72" s="4" t="s">
        <v>142</v>
      </c>
      <c r="B72" s="4" t="s">
        <v>31</v>
      </c>
      <c r="C72" s="4" t="n">
        <v>1</v>
      </c>
      <c r="D72" s="4" t="n">
        <v>1</v>
      </c>
      <c r="E72" s="4" t="s">
        <v>16</v>
      </c>
      <c r="F72" s="3" t="s">
        <v>299</v>
      </c>
      <c r="G72" s="3" t="s">
        <v>540</v>
      </c>
      <c r="H72" s="3" t="s">
        <v>298</v>
      </c>
    </row>
    <row r="73" customFormat="false" ht="15" hidden="false" customHeight="false" outlineLevel="0" collapsed="false">
      <c r="A73" s="4" t="s">
        <v>142</v>
      </c>
      <c r="B73" s="4" t="s">
        <v>31</v>
      </c>
      <c r="C73" s="4" t="n">
        <v>2</v>
      </c>
      <c r="D73" s="4" t="n">
        <v>1</v>
      </c>
      <c r="E73" s="4" t="s">
        <v>21</v>
      </c>
      <c r="F73" s="3" t="s">
        <v>299</v>
      </c>
      <c r="G73" s="3" t="s">
        <v>541</v>
      </c>
      <c r="H73" s="3" t="s">
        <v>298</v>
      </c>
    </row>
    <row r="74" customFormat="false" ht="15" hidden="false" customHeight="false" outlineLevel="0" collapsed="false">
      <c r="A74" s="4" t="s">
        <v>142</v>
      </c>
      <c r="B74" s="4" t="s">
        <v>31</v>
      </c>
      <c r="C74" s="4" t="n">
        <v>3</v>
      </c>
      <c r="D74" s="4" t="n">
        <v>1</v>
      </c>
      <c r="E74" s="4" t="s">
        <v>26</v>
      </c>
      <c r="F74" s="3" t="s">
        <v>72</v>
      </c>
      <c r="G74" s="3" t="s">
        <v>531</v>
      </c>
      <c r="H74" s="3" t="s">
        <v>144</v>
      </c>
    </row>
    <row r="75" customFormat="false" ht="15" hidden="false" customHeight="false" outlineLevel="0" collapsed="false">
      <c r="A75" s="4" t="s">
        <v>142</v>
      </c>
      <c r="B75" s="4" t="s">
        <v>31</v>
      </c>
      <c r="C75" s="4" t="n">
        <v>4</v>
      </c>
      <c r="D75" s="4" t="n">
        <v>1</v>
      </c>
      <c r="E75" s="4" t="s">
        <v>34</v>
      </c>
      <c r="F75" s="3" t="s">
        <v>164</v>
      </c>
      <c r="G75" s="3" t="s">
        <v>532</v>
      </c>
      <c r="H75" s="3" t="s">
        <v>144</v>
      </c>
    </row>
    <row r="76" customFormat="false" ht="15" hidden="false" customHeight="false" outlineLevel="0" collapsed="false">
      <c r="A76" s="4" t="s">
        <v>142</v>
      </c>
      <c r="B76" s="4" t="s">
        <v>31</v>
      </c>
      <c r="C76" s="4" t="n">
        <v>5</v>
      </c>
      <c r="D76" s="4" t="n">
        <v>1</v>
      </c>
      <c r="E76" s="4" t="s">
        <v>37</v>
      </c>
      <c r="F76" s="3" t="s">
        <v>36</v>
      </c>
      <c r="G76" s="3" t="s">
        <v>535</v>
      </c>
      <c r="H76" s="3" t="s">
        <v>185</v>
      </c>
    </row>
    <row r="77" customFormat="false" ht="15" hidden="false" customHeight="false" outlineLevel="0" collapsed="false">
      <c r="A77" s="4" t="s">
        <v>142</v>
      </c>
      <c r="B77" s="4" t="s">
        <v>31</v>
      </c>
      <c r="C77" s="4" t="n">
        <v>6</v>
      </c>
      <c r="D77" s="4" t="n">
        <v>1</v>
      </c>
      <c r="E77" s="4" t="s">
        <v>42</v>
      </c>
      <c r="F77" s="3" t="s">
        <v>126</v>
      </c>
      <c r="G77" s="3" t="s">
        <v>509</v>
      </c>
      <c r="H77" s="3" t="s">
        <v>125</v>
      </c>
    </row>
    <row r="78" customFormat="false" ht="15" hidden="false" customHeight="false" outlineLevel="0" collapsed="false">
      <c r="A78" s="4" t="s">
        <v>142</v>
      </c>
      <c r="B78" s="4" t="s">
        <v>31</v>
      </c>
      <c r="C78" s="4" t="n">
        <v>7</v>
      </c>
      <c r="D78" s="4" t="n">
        <v>1</v>
      </c>
      <c r="E78" s="4" t="s">
        <v>39</v>
      </c>
      <c r="F78" s="3" t="s">
        <v>15</v>
      </c>
      <c r="G78" s="3" t="s">
        <v>534</v>
      </c>
      <c r="H78" s="3" t="s">
        <v>144</v>
      </c>
    </row>
    <row r="79" customFormat="false" ht="15" hidden="false" customHeight="false" outlineLevel="0" collapsed="false">
      <c r="A79" s="4" t="s">
        <v>142</v>
      </c>
      <c r="B79" s="4" t="s">
        <v>40</v>
      </c>
      <c r="C79" s="4" t="n">
        <v>1</v>
      </c>
      <c r="D79" s="4" t="n">
        <v>1</v>
      </c>
      <c r="E79" s="4" t="s">
        <v>16</v>
      </c>
      <c r="F79" s="3" t="s">
        <v>72</v>
      </c>
      <c r="G79" s="3" t="s">
        <v>531</v>
      </c>
      <c r="H79" s="3" t="s">
        <v>147</v>
      </c>
    </row>
    <row r="80" customFormat="false" ht="15" hidden="false" customHeight="false" outlineLevel="0" collapsed="false">
      <c r="A80" s="4" t="s">
        <v>142</v>
      </c>
      <c r="B80" s="4" t="s">
        <v>40</v>
      </c>
      <c r="C80" s="4" t="n">
        <v>2</v>
      </c>
      <c r="D80" s="4" t="n">
        <v>1</v>
      </c>
      <c r="E80" s="4" t="s">
        <v>21</v>
      </c>
      <c r="F80" s="3" t="s">
        <v>285</v>
      </c>
      <c r="G80" s="3" t="s">
        <v>514</v>
      </c>
      <c r="H80" s="3" t="s">
        <v>435</v>
      </c>
    </row>
    <row r="81" customFormat="false" ht="15" hidden="false" customHeight="false" outlineLevel="0" collapsed="false">
      <c r="A81" s="4" t="s">
        <v>142</v>
      </c>
      <c r="B81" s="4" t="s">
        <v>40</v>
      </c>
      <c r="C81" s="4" t="n">
        <v>3</v>
      </c>
      <c r="D81" s="4" t="n">
        <v>1</v>
      </c>
      <c r="E81" s="4" t="s">
        <v>26</v>
      </c>
      <c r="F81" s="3" t="s">
        <v>437</v>
      </c>
      <c r="G81" s="3" t="s">
        <v>436</v>
      </c>
      <c r="H81" s="3" t="s">
        <v>435</v>
      </c>
    </row>
    <row r="82" customFormat="false" ht="15" hidden="false" customHeight="false" outlineLevel="0" collapsed="false">
      <c r="A82" s="4" t="s">
        <v>142</v>
      </c>
      <c r="B82" s="4" t="s">
        <v>40</v>
      </c>
      <c r="C82" s="4" t="n">
        <v>4</v>
      </c>
      <c r="D82" s="4" t="n">
        <v>1</v>
      </c>
      <c r="E82" s="4" t="s">
        <v>34</v>
      </c>
      <c r="F82" s="3" t="s">
        <v>15</v>
      </c>
      <c r="G82" s="3" t="s">
        <v>534</v>
      </c>
      <c r="H82" s="3" t="s">
        <v>207</v>
      </c>
    </row>
    <row r="83" customFormat="false" ht="15" hidden="false" customHeight="false" outlineLevel="0" collapsed="false">
      <c r="A83" s="4" t="s">
        <v>142</v>
      </c>
      <c r="B83" s="4" t="s">
        <v>40</v>
      </c>
      <c r="C83" s="4" t="n">
        <v>5</v>
      </c>
      <c r="D83" s="4" t="n">
        <v>1</v>
      </c>
      <c r="E83" s="4" t="s">
        <v>37</v>
      </c>
      <c r="F83" s="3" t="s">
        <v>164</v>
      </c>
      <c r="G83" s="3" t="s">
        <v>532</v>
      </c>
      <c r="H83" s="3" t="s">
        <v>144</v>
      </c>
    </row>
    <row r="84" customFormat="false" ht="15" hidden="false" customHeight="false" outlineLevel="0" collapsed="false">
      <c r="A84" s="4" t="s">
        <v>142</v>
      </c>
      <c r="B84" s="4" t="s">
        <v>40</v>
      </c>
      <c r="C84" s="4" t="n">
        <v>6</v>
      </c>
      <c r="D84" s="4" t="n">
        <v>1</v>
      </c>
      <c r="E84" s="4" t="s">
        <v>42</v>
      </c>
      <c r="F84" s="3" t="s">
        <v>126</v>
      </c>
      <c r="G84" s="3" t="s">
        <v>509</v>
      </c>
      <c r="H84" s="3" t="s">
        <v>133</v>
      </c>
    </row>
    <row r="85" customFormat="false" ht="15" hidden="false" customHeight="false" outlineLevel="0" collapsed="false">
      <c r="A85" s="4" t="s">
        <v>142</v>
      </c>
      <c r="B85" s="4" t="s">
        <v>40</v>
      </c>
      <c r="C85" s="4" t="n">
        <v>7</v>
      </c>
      <c r="D85" s="4" t="n">
        <v>1</v>
      </c>
      <c r="E85" s="4" t="s">
        <v>39</v>
      </c>
      <c r="F85" s="3" t="s">
        <v>99</v>
      </c>
      <c r="G85" s="3" t="s">
        <v>433</v>
      </c>
      <c r="H85" s="3" t="s">
        <v>435</v>
      </c>
    </row>
    <row r="86" customFormat="false" ht="15" hidden="false" customHeight="false" outlineLevel="0" collapsed="false">
      <c r="A86" s="4" t="s">
        <v>142</v>
      </c>
      <c r="B86" s="4" t="s">
        <v>44</v>
      </c>
      <c r="C86" s="4" t="n">
        <v>1</v>
      </c>
      <c r="D86" s="4" t="n">
        <v>1</v>
      </c>
      <c r="E86" s="4" t="s">
        <v>16</v>
      </c>
      <c r="F86" s="3" t="s">
        <v>126</v>
      </c>
      <c r="G86" s="3" t="s">
        <v>509</v>
      </c>
      <c r="H86" s="3" t="s">
        <v>435</v>
      </c>
    </row>
    <row r="87" customFormat="false" ht="15" hidden="false" customHeight="false" outlineLevel="0" collapsed="false">
      <c r="A87" s="4" t="s">
        <v>142</v>
      </c>
      <c r="B87" s="4" t="s">
        <v>44</v>
      </c>
      <c r="C87" s="4" t="n">
        <v>2</v>
      </c>
      <c r="D87" s="4" t="n">
        <v>1</v>
      </c>
      <c r="E87" s="4" t="s">
        <v>21</v>
      </c>
      <c r="F87" s="3" t="s">
        <v>15</v>
      </c>
      <c r="G87" s="3" t="s">
        <v>534</v>
      </c>
      <c r="H87" s="3" t="s">
        <v>144</v>
      </c>
    </row>
    <row r="88" customFormat="false" ht="15" hidden="false" customHeight="false" outlineLevel="0" collapsed="false">
      <c r="A88" s="4" t="s">
        <v>142</v>
      </c>
      <c r="B88" s="4" t="s">
        <v>44</v>
      </c>
      <c r="C88" s="4" t="n">
        <v>3</v>
      </c>
      <c r="D88" s="4" t="n">
        <v>1</v>
      </c>
      <c r="E88" s="4" t="s">
        <v>26</v>
      </c>
      <c r="F88" s="3" t="s">
        <v>72</v>
      </c>
      <c r="G88" s="3" t="s">
        <v>531</v>
      </c>
      <c r="H88" s="3" t="s">
        <v>150</v>
      </c>
    </row>
    <row r="89" customFormat="false" ht="15" hidden="false" customHeight="false" outlineLevel="0" collapsed="false">
      <c r="A89" s="4" t="s">
        <v>142</v>
      </c>
      <c r="B89" s="4" t="s">
        <v>44</v>
      </c>
      <c r="C89" s="4" t="n">
        <v>4</v>
      </c>
      <c r="D89" s="4" t="n">
        <v>1</v>
      </c>
      <c r="E89" s="4" t="s">
        <v>34</v>
      </c>
      <c r="F89" s="3" t="s">
        <v>164</v>
      </c>
      <c r="G89" s="3" t="s">
        <v>532</v>
      </c>
      <c r="H89" s="3" t="s">
        <v>187</v>
      </c>
    </row>
    <row r="90" customFormat="false" ht="15" hidden="false" customHeight="false" outlineLevel="0" collapsed="false">
      <c r="A90" s="4" t="s">
        <v>142</v>
      </c>
      <c r="B90" s="4" t="s">
        <v>44</v>
      </c>
      <c r="C90" s="4" t="n">
        <v>5</v>
      </c>
      <c r="D90" s="4" t="n">
        <v>1</v>
      </c>
      <c r="E90" s="4" t="s">
        <v>37</v>
      </c>
      <c r="F90" s="3" t="s">
        <v>36</v>
      </c>
      <c r="G90" s="3" t="s">
        <v>535</v>
      </c>
      <c r="H90" s="3" t="s">
        <v>185</v>
      </c>
    </row>
    <row r="91" customFormat="false" ht="15" hidden="false" customHeight="false" outlineLevel="0" collapsed="false">
      <c r="A91" s="4" t="s">
        <v>142</v>
      </c>
      <c r="B91" s="4" t="s">
        <v>44</v>
      </c>
      <c r="C91" s="4" t="n">
        <v>6</v>
      </c>
      <c r="D91" s="4" t="n">
        <v>2</v>
      </c>
      <c r="E91" s="4" t="s">
        <v>536</v>
      </c>
      <c r="F91" s="3" t="s">
        <v>388</v>
      </c>
      <c r="G91" s="3" t="s">
        <v>537</v>
      </c>
      <c r="H91" s="3" t="s">
        <v>387</v>
      </c>
    </row>
    <row r="92" customFormat="false" ht="15" hidden="false" customHeight="false" outlineLevel="0" collapsed="false">
      <c r="A92" s="4" t="s">
        <v>142</v>
      </c>
      <c r="B92" s="4" t="s">
        <v>47</v>
      </c>
      <c r="C92" s="4" t="n">
        <v>1</v>
      </c>
      <c r="D92" s="4" t="n">
        <v>1</v>
      </c>
      <c r="E92" s="4" t="s">
        <v>16</v>
      </c>
      <c r="F92" s="3" t="s">
        <v>126</v>
      </c>
      <c r="G92" s="3" t="s">
        <v>509</v>
      </c>
      <c r="H92" s="3" t="s">
        <v>435</v>
      </c>
    </row>
    <row r="93" customFormat="false" ht="15" hidden="false" customHeight="false" outlineLevel="0" collapsed="false">
      <c r="A93" s="4" t="s">
        <v>142</v>
      </c>
      <c r="B93" s="4" t="s">
        <v>47</v>
      </c>
      <c r="C93" s="4" t="n">
        <v>2</v>
      </c>
      <c r="D93" s="4" t="n">
        <v>1</v>
      </c>
      <c r="E93" s="4" t="s">
        <v>21</v>
      </c>
      <c r="F93" s="3" t="s">
        <v>437</v>
      </c>
      <c r="G93" s="3" t="s">
        <v>436</v>
      </c>
      <c r="H93" s="3" t="s">
        <v>435</v>
      </c>
    </row>
    <row r="94" customFormat="false" ht="15" hidden="false" customHeight="false" outlineLevel="0" collapsed="false">
      <c r="A94" s="4" t="s">
        <v>142</v>
      </c>
      <c r="B94" s="4" t="s">
        <v>47</v>
      </c>
      <c r="C94" s="4" t="n">
        <v>3</v>
      </c>
      <c r="D94" s="4" t="n">
        <v>1</v>
      </c>
      <c r="E94" s="4" t="s">
        <v>26</v>
      </c>
      <c r="F94" s="3" t="s">
        <v>369</v>
      </c>
      <c r="G94" s="3" t="s">
        <v>417</v>
      </c>
      <c r="H94" s="3" t="s">
        <v>368</v>
      </c>
    </row>
    <row r="95" customFormat="false" ht="15" hidden="false" customHeight="false" outlineLevel="0" collapsed="false">
      <c r="A95" s="4" t="s">
        <v>142</v>
      </c>
      <c r="B95" s="4" t="s">
        <v>47</v>
      </c>
      <c r="C95" s="4" t="n">
        <v>4</v>
      </c>
      <c r="D95" s="4" t="n">
        <v>1</v>
      </c>
      <c r="E95" s="4" t="s">
        <v>34</v>
      </c>
      <c r="F95" s="3" t="s">
        <v>72</v>
      </c>
      <c r="G95" s="3" t="s">
        <v>531</v>
      </c>
      <c r="H95" s="3" t="s">
        <v>152</v>
      </c>
    </row>
    <row r="96" customFormat="false" ht="15" hidden="false" customHeight="false" outlineLevel="0" collapsed="false">
      <c r="A96" s="4" t="s">
        <v>142</v>
      </c>
      <c r="B96" s="4" t="s">
        <v>47</v>
      </c>
      <c r="C96" s="4" t="n">
        <v>5</v>
      </c>
      <c r="D96" s="4" t="n">
        <v>1</v>
      </c>
      <c r="E96" s="4" t="s">
        <v>37</v>
      </c>
      <c r="F96" s="3" t="s">
        <v>15</v>
      </c>
      <c r="G96" s="3" t="s">
        <v>534</v>
      </c>
      <c r="H96" s="3" t="s">
        <v>210</v>
      </c>
    </row>
    <row r="97" customFormat="false" ht="15" hidden="false" customHeight="false" outlineLevel="0" collapsed="false">
      <c r="A97" s="4" t="s">
        <v>142</v>
      </c>
      <c r="B97" s="4" t="s">
        <v>47</v>
      </c>
      <c r="C97" s="4" t="n">
        <v>6</v>
      </c>
      <c r="D97" s="4" t="n">
        <v>2</v>
      </c>
      <c r="E97" s="4" t="s">
        <v>536</v>
      </c>
      <c r="F97" s="3" t="s">
        <v>164</v>
      </c>
      <c r="G97" s="3" t="s">
        <v>532</v>
      </c>
      <c r="H97" s="3" t="s">
        <v>157</v>
      </c>
    </row>
    <row r="98" customFormat="false" ht="15" hidden="false" customHeight="false" outlineLevel="0" collapsed="false">
      <c r="A98" s="4" t="s">
        <v>142</v>
      </c>
      <c r="B98" s="4" t="s">
        <v>50</v>
      </c>
      <c r="C98" s="4" t="n">
        <v>1</v>
      </c>
      <c r="D98" s="4" t="n">
        <v>1</v>
      </c>
      <c r="E98" s="4" t="s">
        <v>16</v>
      </c>
      <c r="F98" s="3" t="s">
        <v>15</v>
      </c>
      <c r="G98" s="3" t="s">
        <v>534</v>
      </c>
      <c r="H98" s="3" t="s">
        <v>211</v>
      </c>
    </row>
    <row r="99" customFormat="false" ht="15" hidden="false" customHeight="false" outlineLevel="0" collapsed="false">
      <c r="A99" s="4" t="s">
        <v>142</v>
      </c>
      <c r="B99" s="4" t="s">
        <v>50</v>
      </c>
      <c r="C99" s="4" t="n">
        <v>2</v>
      </c>
      <c r="D99" s="4" t="n">
        <v>1</v>
      </c>
      <c r="E99" s="4" t="s">
        <v>21</v>
      </c>
      <c r="F99" s="3" t="s">
        <v>99</v>
      </c>
      <c r="G99" s="3" t="s">
        <v>433</v>
      </c>
      <c r="H99" s="3" t="s">
        <v>435</v>
      </c>
    </row>
    <row r="100" customFormat="false" ht="15" hidden="false" customHeight="false" outlineLevel="0" collapsed="false">
      <c r="A100" s="4" t="s">
        <v>142</v>
      </c>
      <c r="B100" s="4" t="s">
        <v>50</v>
      </c>
      <c r="C100" s="4" t="n">
        <v>3</v>
      </c>
      <c r="D100" s="4" t="n">
        <v>1</v>
      </c>
      <c r="E100" s="4" t="s">
        <v>26</v>
      </c>
      <c r="F100" s="3" t="s">
        <v>72</v>
      </c>
      <c r="G100" s="3" t="s">
        <v>531</v>
      </c>
      <c r="H100" s="3" t="s">
        <v>155</v>
      </c>
    </row>
    <row r="101" customFormat="false" ht="15" hidden="false" customHeight="false" outlineLevel="0" collapsed="false">
      <c r="A101" s="4" t="s">
        <v>142</v>
      </c>
      <c r="B101" s="4" t="s">
        <v>50</v>
      </c>
      <c r="C101" s="4" t="n">
        <v>4</v>
      </c>
      <c r="D101" s="4" t="n">
        <v>2</v>
      </c>
      <c r="E101" s="4" t="s">
        <v>533</v>
      </c>
      <c r="F101" s="3" t="s">
        <v>222</v>
      </c>
      <c r="G101" s="3" t="s">
        <v>538</v>
      </c>
      <c r="H101" s="3" t="s">
        <v>221</v>
      </c>
    </row>
    <row r="102" customFormat="false" ht="15" hidden="false" customHeight="false" outlineLevel="0" collapsed="false">
      <c r="A102" s="4" t="s">
        <v>142</v>
      </c>
      <c r="B102" s="4" t="s">
        <v>50</v>
      </c>
      <c r="C102" s="4" t="n">
        <v>6</v>
      </c>
      <c r="D102" s="4" t="n">
        <v>1</v>
      </c>
      <c r="E102" s="4" t="s">
        <v>42</v>
      </c>
      <c r="F102" s="3" t="s">
        <v>126</v>
      </c>
      <c r="G102" s="3" t="s">
        <v>509</v>
      </c>
      <c r="H102" s="3" t="s">
        <v>134</v>
      </c>
    </row>
    <row r="103" customFormat="false" ht="15" hidden="false" customHeight="false" outlineLevel="0" collapsed="false">
      <c r="A103" s="4" t="s">
        <v>142</v>
      </c>
      <c r="B103" s="4" t="s">
        <v>50</v>
      </c>
      <c r="C103" s="4" t="n">
        <v>7</v>
      </c>
      <c r="D103" s="4" t="n">
        <v>1</v>
      </c>
      <c r="E103" s="4" t="s">
        <v>39</v>
      </c>
      <c r="F103" s="3" t="s">
        <v>164</v>
      </c>
      <c r="G103" s="3" t="s">
        <v>532</v>
      </c>
      <c r="H103" s="3" t="s">
        <v>144</v>
      </c>
    </row>
    <row r="104" customFormat="false" ht="15" hidden="false" customHeight="false" outlineLevel="0" collapsed="false">
      <c r="A104" s="4" t="s">
        <v>142</v>
      </c>
      <c r="B104" s="4" t="s">
        <v>60</v>
      </c>
      <c r="C104" s="4" t="n">
        <v>1</v>
      </c>
      <c r="D104" s="4" t="n">
        <v>1</v>
      </c>
      <c r="E104" s="4" t="s">
        <v>16</v>
      </c>
      <c r="F104" s="3" t="s">
        <v>126</v>
      </c>
      <c r="G104" s="3" t="s">
        <v>509</v>
      </c>
      <c r="H104" s="3" t="s">
        <v>133</v>
      </c>
    </row>
    <row r="105" customFormat="false" ht="15" hidden="false" customHeight="false" outlineLevel="0" collapsed="false">
      <c r="A105" s="4" t="s">
        <v>142</v>
      </c>
      <c r="B105" s="4" t="s">
        <v>60</v>
      </c>
      <c r="C105" s="4" t="n">
        <v>2</v>
      </c>
      <c r="D105" s="4" t="n">
        <v>1</v>
      </c>
      <c r="E105" s="4" t="s">
        <v>21</v>
      </c>
      <c r="F105" s="3" t="s">
        <v>15</v>
      </c>
      <c r="G105" s="3" t="s">
        <v>534</v>
      </c>
      <c r="H105" s="3" t="s">
        <v>144</v>
      </c>
    </row>
    <row r="106" customFormat="false" ht="15" hidden="false" customHeight="false" outlineLevel="0" collapsed="false">
      <c r="A106" s="4" t="s">
        <v>142</v>
      </c>
      <c r="B106" s="4" t="s">
        <v>60</v>
      </c>
      <c r="C106" s="4" t="n">
        <v>3</v>
      </c>
      <c r="D106" s="4" t="n">
        <v>1</v>
      </c>
      <c r="E106" s="4" t="s">
        <v>26</v>
      </c>
      <c r="F106" s="3" t="s">
        <v>285</v>
      </c>
      <c r="G106" s="3" t="s">
        <v>514</v>
      </c>
      <c r="H106" s="3" t="s">
        <v>435</v>
      </c>
    </row>
    <row r="107" customFormat="false" ht="15" hidden="false" customHeight="false" outlineLevel="0" collapsed="false">
      <c r="A107" s="4" t="s">
        <v>142</v>
      </c>
      <c r="B107" s="4" t="s">
        <v>60</v>
      </c>
      <c r="C107" s="4" t="n">
        <v>4</v>
      </c>
      <c r="D107" s="4" t="n">
        <v>1</v>
      </c>
      <c r="E107" s="4" t="s">
        <v>34</v>
      </c>
      <c r="F107" s="3" t="s">
        <v>369</v>
      </c>
      <c r="G107" s="3" t="s">
        <v>417</v>
      </c>
      <c r="H107" s="3" t="s">
        <v>368</v>
      </c>
    </row>
    <row r="108" customFormat="false" ht="15" hidden="false" customHeight="false" outlineLevel="0" collapsed="false">
      <c r="A108" s="4" t="s">
        <v>142</v>
      </c>
      <c r="B108" s="4" t="s">
        <v>60</v>
      </c>
      <c r="C108" s="4" t="n">
        <v>5</v>
      </c>
      <c r="D108" s="4" t="n">
        <v>1</v>
      </c>
      <c r="E108" s="4" t="s">
        <v>37</v>
      </c>
      <c r="F108" s="3" t="s">
        <v>36</v>
      </c>
      <c r="G108" s="3" t="s">
        <v>535</v>
      </c>
      <c r="H108" s="3" t="s">
        <v>185</v>
      </c>
    </row>
    <row r="109" customFormat="false" ht="15" hidden="false" customHeight="false" outlineLevel="0" collapsed="false">
      <c r="A109" s="4" t="s">
        <v>142</v>
      </c>
      <c r="B109" s="4" t="s">
        <v>60</v>
      </c>
      <c r="C109" s="4" t="n">
        <v>6</v>
      </c>
      <c r="D109" s="4" t="n">
        <v>1</v>
      </c>
      <c r="E109" s="4" t="s">
        <v>42</v>
      </c>
      <c r="F109" s="3" t="s">
        <v>72</v>
      </c>
      <c r="G109" s="3" t="s">
        <v>531</v>
      </c>
      <c r="H109" s="3" t="s">
        <v>150</v>
      </c>
    </row>
    <row r="110" customFormat="false" ht="15" hidden="false" customHeight="false" outlineLevel="0" collapsed="false">
      <c r="A110" s="4" t="s">
        <v>142</v>
      </c>
      <c r="B110" s="4" t="s">
        <v>60</v>
      </c>
      <c r="C110" s="4" t="n">
        <v>7</v>
      </c>
      <c r="D110" s="4" t="n">
        <v>1</v>
      </c>
      <c r="E110" s="4" t="s">
        <v>39</v>
      </c>
      <c r="F110" s="3" t="s">
        <v>164</v>
      </c>
      <c r="G110" s="3" t="s">
        <v>532</v>
      </c>
      <c r="H110" s="3" t="s">
        <v>141</v>
      </c>
    </row>
    <row r="111" customFormat="false" ht="15" hidden="false" customHeight="false" outlineLevel="0" collapsed="false">
      <c r="A111" s="4" t="s">
        <v>142</v>
      </c>
      <c r="B111" s="4" t="s">
        <v>63</v>
      </c>
      <c r="C111" s="4" t="n">
        <v>1</v>
      </c>
      <c r="D111" s="4" t="n">
        <v>2</v>
      </c>
      <c r="E111" s="4" t="s">
        <v>539</v>
      </c>
      <c r="F111" s="3" t="s">
        <v>72</v>
      </c>
      <c r="G111" s="3" t="s">
        <v>531</v>
      </c>
      <c r="H111" s="3" t="s">
        <v>157</v>
      </c>
    </row>
    <row r="112" customFormat="false" ht="15" hidden="false" customHeight="false" outlineLevel="0" collapsed="false">
      <c r="A112" s="4" t="s">
        <v>142</v>
      </c>
      <c r="B112" s="4" t="s">
        <v>63</v>
      </c>
      <c r="C112" s="4" t="n">
        <v>3</v>
      </c>
      <c r="D112" s="4" t="n">
        <v>1</v>
      </c>
      <c r="E112" s="4" t="s">
        <v>26</v>
      </c>
      <c r="F112" s="3" t="s">
        <v>296</v>
      </c>
      <c r="G112" s="3" t="s">
        <v>530</v>
      </c>
      <c r="H112" s="3" t="s">
        <v>297</v>
      </c>
    </row>
    <row r="113" customFormat="false" ht="15" hidden="false" customHeight="false" outlineLevel="0" collapsed="false">
      <c r="A113" s="4" t="s">
        <v>142</v>
      </c>
      <c r="B113" s="4" t="s">
        <v>63</v>
      </c>
      <c r="C113" s="4" t="n">
        <v>4</v>
      </c>
      <c r="D113" s="4" t="n">
        <v>1</v>
      </c>
      <c r="E113" s="4" t="s">
        <v>34</v>
      </c>
      <c r="F113" s="3" t="s">
        <v>126</v>
      </c>
      <c r="G113" s="3" t="s">
        <v>509</v>
      </c>
      <c r="H113" s="3" t="s">
        <v>125</v>
      </c>
    </row>
    <row r="114" customFormat="false" ht="15" hidden="false" customHeight="false" outlineLevel="0" collapsed="false">
      <c r="A114" s="4" t="s">
        <v>142</v>
      </c>
      <c r="B114" s="4" t="s">
        <v>63</v>
      </c>
      <c r="C114" s="4" t="n">
        <v>5</v>
      </c>
      <c r="D114" s="4" t="n">
        <v>1</v>
      </c>
      <c r="E114" s="4" t="s">
        <v>37</v>
      </c>
      <c r="F114" s="3" t="s">
        <v>285</v>
      </c>
      <c r="G114" s="3" t="s">
        <v>514</v>
      </c>
      <c r="H114" s="3" t="s">
        <v>435</v>
      </c>
    </row>
    <row r="115" customFormat="false" ht="15" hidden="false" customHeight="false" outlineLevel="0" collapsed="false">
      <c r="A115" s="4" t="s">
        <v>142</v>
      </c>
      <c r="B115" s="4" t="s">
        <v>63</v>
      </c>
      <c r="C115" s="4" t="n">
        <v>6</v>
      </c>
      <c r="D115" s="4" t="n">
        <v>1</v>
      </c>
      <c r="E115" s="4" t="s">
        <v>42</v>
      </c>
      <c r="F115" s="3" t="s">
        <v>350</v>
      </c>
      <c r="G115" s="3" t="s">
        <v>126</v>
      </c>
      <c r="H115" s="3" t="s">
        <v>435</v>
      </c>
    </row>
    <row r="116" customFormat="false" ht="15" hidden="false" customHeight="false" outlineLevel="0" collapsed="false">
      <c r="A116" s="4" t="s">
        <v>142</v>
      </c>
      <c r="B116" s="4" t="s">
        <v>63</v>
      </c>
      <c r="C116" s="4" t="n">
        <v>7</v>
      </c>
      <c r="D116" s="4" t="n">
        <v>1</v>
      </c>
      <c r="E116" s="4" t="s">
        <v>39</v>
      </c>
      <c r="F116" s="3" t="s">
        <v>164</v>
      </c>
      <c r="G116" s="3" t="s">
        <v>532</v>
      </c>
      <c r="H116" s="3" t="s">
        <v>152</v>
      </c>
    </row>
    <row r="117" customFormat="false" ht="15" hidden="false" customHeight="false" outlineLevel="0" collapsed="false">
      <c r="A117" s="4" t="s">
        <v>142</v>
      </c>
      <c r="B117" s="4" t="s">
        <v>65</v>
      </c>
      <c r="C117" s="4" t="n">
        <v>1</v>
      </c>
      <c r="D117" s="4" t="n">
        <v>2</v>
      </c>
      <c r="E117" s="4" t="s">
        <v>539</v>
      </c>
      <c r="F117" s="3" t="s">
        <v>463</v>
      </c>
      <c r="G117" s="3" t="s">
        <v>461</v>
      </c>
      <c r="H117" s="3" t="s">
        <v>462</v>
      </c>
    </row>
    <row r="118" customFormat="false" ht="15" hidden="false" customHeight="false" outlineLevel="0" collapsed="false">
      <c r="A118" s="4" t="s">
        <v>142</v>
      </c>
      <c r="B118" s="4" t="s">
        <v>65</v>
      </c>
      <c r="C118" s="4" t="n">
        <v>3</v>
      </c>
      <c r="D118" s="4" t="n">
        <v>1</v>
      </c>
      <c r="E118" s="4" t="s">
        <v>26</v>
      </c>
      <c r="F118" s="3" t="s">
        <v>164</v>
      </c>
      <c r="G118" s="3" t="s">
        <v>532</v>
      </c>
      <c r="H118" s="3" t="s">
        <v>152</v>
      </c>
    </row>
    <row r="119" customFormat="false" ht="15" hidden="false" customHeight="false" outlineLevel="0" collapsed="false">
      <c r="A119" s="4" t="s">
        <v>142</v>
      </c>
      <c r="B119" s="4" t="s">
        <v>65</v>
      </c>
      <c r="C119" s="4" t="n">
        <v>4</v>
      </c>
      <c r="D119" s="4" t="n">
        <v>1</v>
      </c>
      <c r="E119" s="4" t="s">
        <v>34</v>
      </c>
      <c r="F119" s="3" t="s">
        <v>72</v>
      </c>
      <c r="G119" s="3" t="s">
        <v>531</v>
      </c>
      <c r="H119" s="3" t="s">
        <v>152</v>
      </c>
    </row>
    <row r="120" customFormat="false" ht="15" hidden="false" customHeight="false" outlineLevel="0" collapsed="false">
      <c r="A120" s="4" t="s">
        <v>142</v>
      </c>
      <c r="B120" s="4" t="s">
        <v>65</v>
      </c>
      <c r="C120" s="4" t="n">
        <v>5</v>
      </c>
      <c r="D120" s="4" t="n">
        <v>1</v>
      </c>
      <c r="E120" s="4" t="s">
        <v>37</v>
      </c>
      <c r="F120" s="3" t="s">
        <v>36</v>
      </c>
      <c r="G120" s="3" t="s">
        <v>535</v>
      </c>
      <c r="H120" s="3" t="s">
        <v>185</v>
      </c>
    </row>
    <row r="121" customFormat="false" ht="15" hidden="false" customHeight="false" outlineLevel="0" collapsed="false">
      <c r="A121" s="4" t="s">
        <v>142</v>
      </c>
      <c r="B121" s="4" t="s">
        <v>65</v>
      </c>
      <c r="C121" s="4" t="n">
        <v>6</v>
      </c>
      <c r="D121" s="4" t="n">
        <v>1</v>
      </c>
      <c r="E121" s="4" t="s">
        <v>42</v>
      </c>
      <c r="F121" s="3" t="s">
        <v>437</v>
      </c>
      <c r="G121" s="3" t="s">
        <v>436</v>
      </c>
      <c r="H121" s="3" t="s">
        <v>435</v>
      </c>
    </row>
    <row r="122" customFormat="false" ht="15" hidden="false" customHeight="false" outlineLevel="0" collapsed="false">
      <c r="A122" s="4" t="s">
        <v>142</v>
      </c>
      <c r="B122" s="4" t="s">
        <v>65</v>
      </c>
      <c r="C122" s="4" t="n">
        <v>7</v>
      </c>
      <c r="D122" s="4" t="n">
        <v>1</v>
      </c>
      <c r="E122" s="4" t="s">
        <v>39</v>
      </c>
      <c r="F122" s="3" t="s">
        <v>15</v>
      </c>
      <c r="G122" s="3" t="s">
        <v>534</v>
      </c>
      <c r="H122" s="3" t="s">
        <v>144</v>
      </c>
    </row>
    <row r="123" customFormat="false" ht="15" hidden="false" customHeight="false" outlineLevel="0" collapsed="false">
      <c r="A123" s="4" t="s">
        <v>142</v>
      </c>
      <c r="B123" s="4" t="s">
        <v>66</v>
      </c>
      <c r="C123" s="4" t="n">
        <v>1</v>
      </c>
      <c r="D123" s="4" t="n">
        <v>1</v>
      </c>
      <c r="E123" s="4" t="s">
        <v>16</v>
      </c>
      <c r="F123" s="3" t="s">
        <v>72</v>
      </c>
      <c r="G123" s="3" t="s">
        <v>531</v>
      </c>
      <c r="H123" s="3" t="s">
        <v>160</v>
      </c>
    </row>
    <row r="124" customFormat="false" ht="15" hidden="false" customHeight="false" outlineLevel="0" collapsed="false">
      <c r="A124" s="4" t="s">
        <v>142</v>
      </c>
      <c r="B124" s="4" t="s">
        <v>66</v>
      </c>
      <c r="C124" s="4" t="n">
        <v>2</v>
      </c>
      <c r="D124" s="4" t="n">
        <v>1</v>
      </c>
      <c r="E124" s="4" t="s">
        <v>21</v>
      </c>
      <c r="F124" s="3" t="s">
        <v>15</v>
      </c>
      <c r="G124" s="3" t="s">
        <v>534</v>
      </c>
      <c r="H124" s="3" t="s">
        <v>150</v>
      </c>
    </row>
    <row r="125" customFormat="false" ht="15" hidden="false" customHeight="false" outlineLevel="0" collapsed="false">
      <c r="A125" s="4" t="s">
        <v>142</v>
      </c>
      <c r="B125" s="4" t="s">
        <v>66</v>
      </c>
      <c r="C125" s="4" t="n">
        <v>3</v>
      </c>
      <c r="D125" s="4" t="n">
        <v>1</v>
      </c>
      <c r="E125" s="4" t="s">
        <v>26</v>
      </c>
      <c r="F125" s="3" t="s">
        <v>350</v>
      </c>
      <c r="G125" s="3" t="s">
        <v>126</v>
      </c>
      <c r="H125" s="3" t="s">
        <v>435</v>
      </c>
    </row>
    <row r="126" customFormat="false" ht="15" hidden="false" customHeight="false" outlineLevel="0" collapsed="false">
      <c r="A126" s="4" t="s">
        <v>142</v>
      </c>
      <c r="B126" s="4" t="s">
        <v>66</v>
      </c>
      <c r="C126" s="4" t="n">
        <v>4</v>
      </c>
      <c r="D126" s="4" t="n">
        <v>1</v>
      </c>
      <c r="E126" s="4" t="s">
        <v>34</v>
      </c>
      <c r="F126" s="3" t="s">
        <v>126</v>
      </c>
      <c r="G126" s="3" t="s">
        <v>509</v>
      </c>
      <c r="H126" s="3" t="s">
        <v>133</v>
      </c>
    </row>
    <row r="127" customFormat="false" ht="15" hidden="false" customHeight="false" outlineLevel="0" collapsed="false">
      <c r="A127" s="4" t="s">
        <v>142</v>
      </c>
      <c r="B127" s="4" t="s">
        <v>66</v>
      </c>
      <c r="C127" s="4" t="n">
        <v>5</v>
      </c>
      <c r="D127" s="4" t="n">
        <v>1</v>
      </c>
      <c r="E127" s="4" t="s">
        <v>37</v>
      </c>
      <c r="F127" s="3" t="s">
        <v>99</v>
      </c>
      <c r="G127" s="3" t="s">
        <v>433</v>
      </c>
      <c r="H127" s="3" t="s">
        <v>435</v>
      </c>
    </row>
    <row r="128" customFormat="false" ht="15" hidden="false" customHeight="false" outlineLevel="0" collapsed="false">
      <c r="A128" s="4" t="s">
        <v>142</v>
      </c>
      <c r="B128" s="4" t="s">
        <v>66</v>
      </c>
      <c r="C128" s="4" t="n">
        <v>6</v>
      </c>
      <c r="D128" s="4" t="n">
        <v>1</v>
      </c>
      <c r="E128" s="4" t="s">
        <v>42</v>
      </c>
      <c r="F128" s="3" t="s">
        <v>164</v>
      </c>
      <c r="G128" s="3" t="s">
        <v>532</v>
      </c>
      <c r="H128" s="3" t="s">
        <v>152</v>
      </c>
    </row>
    <row r="129" customFormat="false" ht="15" hidden="false" customHeight="false" outlineLevel="0" collapsed="false">
      <c r="A129" s="4" t="s">
        <v>142</v>
      </c>
      <c r="B129" s="4" t="s">
        <v>66</v>
      </c>
      <c r="C129" s="4" t="n">
        <v>7</v>
      </c>
      <c r="D129" s="4" t="n">
        <v>1</v>
      </c>
      <c r="E129" s="4" t="s">
        <v>39</v>
      </c>
      <c r="F129" s="3" t="s">
        <v>296</v>
      </c>
      <c r="G129" s="3" t="s">
        <v>530</v>
      </c>
      <c r="H129" s="3" t="s">
        <v>297</v>
      </c>
    </row>
    <row r="130" customFormat="false" ht="15" hidden="false" customHeight="false" outlineLevel="0" collapsed="false">
      <c r="A130" s="4" t="s">
        <v>127</v>
      </c>
      <c r="B130" s="4" t="s">
        <v>12</v>
      </c>
      <c r="C130" s="4" t="n">
        <v>1</v>
      </c>
      <c r="D130" s="4" t="n">
        <v>1</v>
      </c>
      <c r="E130" s="4" t="s">
        <v>16</v>
      </c>
      <c r="F130" s="3" t="s">
        <v>350</v>
      </c>
      <c r="G130" s="3" t="s">
        <v>126</v>
      </c>
      <c r="H130" s="3" t="s">
        <v>128</v>
      </c>
    </row>
    <row r="131" customFormat="false" ht="15" hidden="false" customHeight="false" outlineLevel="0" collapsed="false">
      <c r="A131" s="4" t="s">
        <v>127</v>
      </c>
      <c r="B131" s="4" t="s">
        <v>12</v>
      </c>
      <c r="C131" s="4" t="n">
        <v>2</v>
      </c>
      <c r="D131" s="4" t="n">
        <v>1</v>
      </c>
      <c r="E131" s="4" t="s">
        <v>21</v>
      </c>
      <c r="F131" s="3" t="s">
        <v>72</v>
      </c>
      <c r="G131" s="3" t="s">
        <v>531</v>
      </c>
      <c r="H131" s="3" t="s">
        <v>141</v>
      </c>
    </row>
    <row r="132" customFormat="false" ht="15" hidden="false" customHeight="false" outlineLevel="0" collapsed="false">
      <c r="A132" s="4" t="s">
        <v>127</v>
      </c>
      <c r="B132" s="4" t="s">
        <v>12</v>
      </c>
      <c r="C132" s="4" t="n">
        <v>3</v>
      </c>
      <c r="D132" s="4" t="n">
        <v>1</v>
      </c>
      <c r="E132" s="4" t="s">
        <v>26</v>
      </c>
      <c r="F132" s="3" t="s">
        <v>164</v>
      </c>
      <c r="G132" s="3" t="s">
        <v>532</v>
      </c>
      <c r="H132" s="3" t="s">
        <v>144</v>
      </c>
    </row>
    <row r="133" customFormat="false" ht="15" hidden="false" customHeight="false" outlineLevel="0" collapsed="false">
      <c r="A133" s="4" t="s">
        <v>127</v>
      </c>
      <c r="B133" s="4" t="s">
        <v>12</v>
      </c>
      <c r="C133" s="4" t="n">
        <v>4</v>
      </c>
      <c r="D133" s="4" t="n">
        <v>1</v>
      </c>
      <c r="E133" s="4" t="s">
        <v>34</v>
      </c>
      <c r="F133" s="3" t="s">
        <v>126</v>
      </c>
      <c r="G133" s="3" t="s">
        <v>123</v>
      </c>
      <c r="H133" s="3" t="s">
        <v>128</v>
      </c>
    </row>
    <row r="134" customFormat="false" ht="15" hidden="false" customHeight="false" outlineLevel="0" collapsed="false">
      <c r="A134" s="4" t="s">
        <v>127</v>
      </c>
      <c r="B134" s="4" t="s">
        <v>12</v>
      </c>
      <c r="C134" s="4" t="n">
        <v>5</v>
      </c>
      <c r="D134" s="4" t="n">
        <v>1</v>
      </c>
      <c r="E134" s="4" t="s">
        <v>37</v>
      </c>
      <c r="F134" s="3" t="s">
        <v>285</v>
      </c>
      <c r="G134" s="3" t="s">
        <v>283</v>
      </c>
      <c r="H134" s="3" t="s">
        <v>128</v>
      </c>
    </row>
    <row r="135" customFormat="false" ht="15" hidden="false" customHeight="false" outlineLevel="0" collapsed="false">
      <c r="A135" s="4" t="s">
        <v>127</v>
      </c>
      <c r="B135" s="4" t="s">
        <v>12</v>
      </c>
      <c r="C135" s="4" t="n">
        <v>6</v>
      </c>
      <c r="D135" s="4" t="n">
        <v>1</v>
      </c>
      <c r="E135" s="4" t="s">
        <v>42</v>
      </c>
      <c r="F135" s="3" t="s">
        <v>15</v>
      </c>
      <c r="G135" s="3" t="s">
        <v>534</v>
      </c>
      <c r="H135" s="3" t="s">
        <v>144</v>
      </c>
    </row>
    <row r="136" customFormat="false" ht="15" hidden="false" customHeight="false" outlineLevel="0" collapsed="false">
      <c r="A136" s="4" t="s">
        <v>127</v>
      </c>
      <c r="B136" s="4" t="s">
        <v>12</v>
      </c>
      <c r="C136" s="4" t="n">
        <v>7</v>
      </c>
      <c r="D136" s="4" t="n">
        <v>1</v>
      </c>
      <c r="E136" s="4" t="s">
        <v>39</v>
      </c>
      <c r="F136" s="3" t="s">
        <v>99</v>
      </c>
      <c r="G136" s="3" t="s">
        <v>474</v>
      </c>
      <c r="H136" s="3" t="s">
        <v>128</v>
      </c>
    </row>
    <row r="137" customFormat="false" ht="15" hidden="false" customHeight="false" outlineLevel="0" collapsed="false">
      <c r="A137" s="4" t="s">
        <v>127</v>
      </c>
      <c r="B137" s="4" t="s">
        <v>31</v>
      </c>
      <c r="C137" s="4" t="n">
        <v>1</v>
      </c>
      <c r="D137" s="4" t="n">
        <v>2</v>
      </c>
      <c r="E137" s="4" t="s">
        <v>539</v>
      </c>
      <c r="F137" s="3" t="s">
        <v>432</v>
      </c>
      <c r="G137" s="3" t="s">
        <v>430</v>
      </c>
      <c r="H137" s="3" t="s">
        <v>431</v>
      </c>
    </row>
    <row r="138" customFormat="false" ht="15" hidden="false" customHeight="false" outlineLevel="0" collapsed="false">
      <c r="A138" s="4" t="s">
        <v>127</v>
      </c>
      <c r="B138" s="4" t="s">
        <v>31</v>
      </c>
      <c r="C138" s="4" t="n">
        <v>3</v>
      </c>
      <c r="D138" s="4" t="n">
        <v>1</v>
      </c>
      <c r="E138" s="4" t="s">
        <v>26</v>
      </c>
      <c r="F138" s="3" t="s">
        <v>72</v>
      </c>
      <c r="G138" s="3" t="s">
        <v>531</v>
      </c>
      <c r="H138" s="3" t="s">
        <v>144</v>
      </c>
    </row>
    <row r="139" customFormat="false" ht="15" hidden="false" customHeight="false" outlineLevel="0" collapsed="false">
      <c r="A139" s="4" t="s">
        <v>127</v>
      </c>
      <c r="B139" s="4" t="s">
        <v>31</v>
      </c>
      <c r="C139" s="4" t="n">
        <v>4</v>
      </c>
      <c r="D139" s="4" t="n">
        <v>1</v>
      </c>
      <c r="E139" s="4" t="s">
        <v>34</v>
      </c>
      <c r="F139" s="3" t="s">
        <v>164</v>
      </c>
      <c r="G139" s="3" t="s">
        <v>532</v>
      </c>
      <c r="H139" s="3" t="s">
        <v>144</v>
      </c>
    </row>
    <row r="140" customFormat="false" ht="15" hidden="false" customHeight="false" outlineLevel="0" collapsed="false">
      <c r="A140" s="4" t="s">
        <v>127</v>
      </c>
      <c r="B140" s="4" t="s">
        <v>31</v>
      </c>
      <c r="C140" s="4" t="n">
        <v>5</v>
      </c>
      <c r="D140" s="4" t="n">
        <v>1</v>
      </c>
      <c r="E140" s="4" t="s">
        <v>37</v>
      </c>
      <c r="F140" s="3" t="s">
        <v>36</v>
      </c>
      <c r="G140" s="3" t="s">
        <v>535</v>
      </c>
      <c r="H140" s="3" t="s">
        <v>185</v>
      </c>
    </row>
    <row r="141" customFormat="false" ht="15" hidden="false" customHeight="false" outlineLevel="0" collapsed="false">
      <c r="A141" s="4" t="s">
        <v>127</v>
      </c>
      <c r="B141" s="4" t="s">
        <v>31</v>
      </c>
      <c r="C141" s="4" t="n">
        <v>6</v>
      </c>
      <c r="D141" s="4" t="n">
        <v>1</v>
      </c>
      <c r="E141" s="4" t="s">
        <v>42</v>
      </c>
      <c r="F141" s="3" t="s">
        <v>126</v>
      </c>
      <c r="G141" s="3" t="s">
        <v>123</v>
      </c>
      <c r="H141" s="3" t="s">
        <v>133</v>
      </c>
    </row>
    <row r="142" customFormat="false" ht="15" hidden="false" customHeight="false" outlineLevel="0" collapsed="false">
      <c r="A142" s="4" t="s">
        <v>127</v>
      </c>
      <c r="B142" s="4" t="s">
        <v>31</v>
      </c>
      <c r="C142" s="4" t="n">
        <v>7</v>
      </c>
      <c r="D142" s="4" t="n">
        <v>1</v>
      </c>
      <c r="E142" s="4" t="s">
        <v>39</v>
      </c>
      <c r="F142" s="3" t="s">
        <v>15</v>
      </c>
      <c r="G142" s="3" t="s">
        <v>534</v>
      </c>
      <c r="H142" s="3" t="s">
        <v>144</v>
      </c>
    </row>
    <row r="143" customFormat="false" ht="15" hidden="false" customHeight="false" outlineLevel="0" collapsed="false">
      <c r="A143" s="4" t="s">
        <v>127</v>
      </c>
      <c r="B143" s="4" t="s">
        <v>40</v>
      </c>
      <c r="C143" s="4" t="n">
        <v>1</v>
      </c>
      <c r="D143" s="4" t="n">
        <v>1</v>
      </c>
      <c r="E143" s="4" t="s">
        <v>16</v>
      </c>
      <c r="F143" s="3" t="s">
        <v>72</v>
      </c>
      <c r="G143" s="3" t="s">
        <v>531</v>
      </c>
      <c r="H143" s="3" t="s">
        <v>147</v>
      </c>
    </row>
    <row r="144" customFormat="false" ht="15" hidden="false" customHeight="false" outlineLevel="0" collapsed="false">
      <c r="A144" s="4" t="s">
        <v>127</v>
      </c>
      <c r="B144" s="4" t="s">
        <v>40</v>
      </c>
      <c r="C144" s="4" t="n">
        <v>2</v>
      </c>
      <c r="D144" s="4" t="n">
        <v>1</v>
      </c>
      <c r="E144" s="4" t="s">
        <v>21</v>
      </c>
      <c r="F144" s="3" t="s">
        <v>437</v>
      </c>
      <c r="G144" s="3" t="s">
        <v>436</v>
      </c>
      <c r="H144" s="3" t="s">
        <v>128</v>
      </c>
    </row>
    <row r="145" customFormat="false" ht="15" hidden="false" customHeight="false" outlineLevel="0" collapsed="false">
      <c r="A145" s="4" t="s">
        <v>127</v>
      </c>
      <c r="B145" s="4" t="s">
        <v>40</v>
      </c>
      <c r="C145" s="4" t="n">
        <v>3</v>
      </c>
      <c r="D145" s="4" t="n">
        <v>1</v>
      </c>
      <c r="E145" s="4" t="s">
        <v>26</v>
      </c>
      <c r="F145" s="3" t="s">
        <v>350</v>
      </c>
      <c r="G145" s="3" t="s">
        <v>126</v>
      </c>
      <c r="H145" s="3" t="s">
        <v>128</v>
      </c>
    </row>
    <row r="146" customFormat="false" ht="15" hidden="false" customHeight="false" outlineLevel="0" collapsed="false">
      <c r="A146" s="4" t="s">
        <v>127</v>
      </c>
      <c r="B146" s="4" t="s">
        <v>40</v>
      </c>
      <c r="C146" s="4" t="n">
        <v>4</v>
      </c>
      <c r="D146" s="4" t="n">
        <v>1</v>
      </c>
      <c r="E146" s="4" t="s">
        <v>34</v>
      </c>
      <c r="F146" s="3" t="s">
        <v>15</v>
      </c>
      <c r="G146" s="3" t="s">
        <v>534</v>
      </c>
      <c r="H146" s="3" t="s">
        <v>207</v>
      </c>
    </row>
    <row r="147" customFormat="false" ht="15" hidden="false" customHeight="false" outlineLevel="0" collapsed="false">
      <c r="A147" s="4" t="s">
        <v>127</v>
      </c>
      <c r="B147" s="4" t="s">
        <v>40</v>
      </c>
      <c r="C147" s="4" t="n">
        <v>5</v>
      </c>
      <c r="D147" s="4" t="n">
        <v>1</v>
      </c>
      <c r="E147" s="4" t="s">
        <v>37</v>
      </c>
      <c r="F147" s="3" t="s">
        <v>164</v>
      </c>
      <c r="G147" s="3" t="s">
        <v>532</v>
      </c>
      <c r="H147" s="3" t="s">
        <v>144</v>
      </c>
    </row>
    <row r="148" customFormat="false" ht="15" hidden="false" customHeight="false" outlineLevel="0" collapsed="false">
      <c r="A148" s="4" t="s">
        <v>127</v>
      </c>
      <c r="B148" s="4" t="s">
        <v>40</v>
      </c>
      <c r="C148" s="4" t="n">
        <v>6</v>
      </c>
      <c r="D148" s="4" t="n">
        <v>1</v>
      </c>
      <c r="E148" s="4" t="s">
        <v>42</v>
      </c>
      <c r="F148" s="3" t="s">
        <v>99</v>
      </c>
      <c r="G148" s="3" t="s">
        <v>474</v>
      </c>
      <c r="H148" s="3" t="s">
        <v>128</v>
      </c>
    </row>
    <row r="149" customFormat="false" ht="15" hidden="false" customHeight="false" outlineLevel="0" collapsed="false">
      <c r="A149" s="4" t="s">
        <v>127</v>
      </c>
      <c r="B149" s="4" t="s">
        <v>40</v>
      </c>
      <c r="C149" s="4" t="n">
        <v>7</v>
      </c>
      <c r="D149" s="4" t="n">
        <v>1</v>
      </c>
      <c r="E149" s="4" t="s">
        <v>39</v>
      </c>
      <c r="F149" s="3" t="s">
        <v>126</v>
      </c>
      <c r="G149" s="3" t="s">
        <v>123</v>
      </c>
      <c r="H149" s="3" t="s">
        <v>133</v>
      </c>
    </row>
    <row r="150" customFormat="false" ht="15" hidden="false" customHeight="false" outlineLevel="0" collapsed="false">
      <c r="A150" s="4" t="s">
        <v>127</v>
      </c>
      <c r="B150" s="4" t="s">
        <v>44</v>
      </c>
      <c r="C150" s="4" t="n">
        <v>1</v>
      </c>
      <c r="D150" s="4" t="n">
        <v>1</v>
      </c>
      <c r="E150" s="4" t="s">
        <v>16</v>
      </c>
      <c r="F150" s="3" t="s">
        <v>126</v>
      </c>
      <c r="G150" s="3" t="s">
        <v>123</v>
      </c>
      <c r="H150" s="3" t="s">
        <v>125</v>
      </c>
    </row>
    <row r="151" customFormat="false" ht="15" hidden="false" customHeight="false" outlineLevel="0" collapsed="false">
      <c r="A151" s="4" t="s">
        <v>127</v>
      </c>
      <c r="B151" s="4" t="s">
        <v>44</v>
      </c>
      <c r="C151" s="4" t="n">
        <v>2</v>
      </c>
      <c r="D151" s="4" t="n">
        <v>1</v>
      </c>
      <c r="E151" s="4" t="s">
        <v>21</v>
      </c>
      <c r="F151" s="3" t="s">
        <v>15</v>
      </c>
      <c r="G151" s="3" t="s">
        <v>534</v>
      </c>
      <c r="H151" s="3" t="s">
        <v>144</v>
      </c>
    </row>
    <row r="152" customFormat="false" ht="15" hidden="false" customHeight="false" outlineLevel="0" collapsed="false">
      <c r="A152" s="4" t="s">
        <v>127</v>
      </c>
      <c r="B152" s="4" t="s">
        <v>44</v>
      </c>
      <c r="C152" s="4" t="n">
        <v>3</v>
      </c>
      <c r="D152" s="4" t="n">
        <v>1</v>
      </c>
      <c r="E152" s="4" t="s">
        <v>26</v>
      </c>
      <c r="F152" s="3" t="s">
        <v>72</v>
      </c>
      <c r="G152" s="3" t="s">
        <v>531</v>
      </c>
      <c r="H152" s="3" t="s">
        <v>150</v>
      </c>
    </row>
    <row r="153" customFormat="false" ht="15" hidden="false" customHeight="false" outlineLevel="0" collapsed="false">
      <c r="A153" s="4" t="s">
        <v>127</v>
      </c>
      <c r="B153" s="4" t="s">
        <v>44</v>
      </c>
      <c r="C153" s="4" t="n">
        <v>4</v>
      </c>
      <c r="D153" s="4" t="n">
        <v>1</v>
      </c>
      <c r="E153" s="4" t="s">
        <v>34</v>
      </c>
      <c r="F153" s="3" t="s">
        <v>164</v>
      </c>
      <c r="G153" s="3" t="s">
        <v>532</v>
      </c>
      <c r="H153" s="3" t="s">
        <v>187</v>
      </c>
    </row>
    <row r="154" customFormat="false" ht="15" hidden="false" customHeight="false" outlineLevel="0" collapsed="false">
      <c r="A154" s="4" t="s">
        <v>127</v>
      </c>
      <c r="B154" s="4" t="s">
        <v>44</v>
      </c>
      <c r="C154" s="4" t="n">
        <v>5</v>
      </c>
      <c r="D154" s="4" t="n">
        <v>1</v>
      </c>
      <c r="E154" s="4" t="s">
        <v>37</v>
      </c>
      <c r="F154" s="3" t="s">
        <v>36</v>
      </c>
      <c r="G154" s="3" t="s">
        <v>535</v>
      </c>
      <c r="H154" s="3" t="s">
        <v>185</v>
      </c>
    </row>
    <row r="155" customFormat="false" ht="15" hidden="false" customHeight="false" outlineLevel="0" collapsed="false">
      <c r="A155" s="4" t="s">
        <v>127</v>
      </c>
      <c r="B155" s="4" t="s">
        <v>44</v>
      </c>
      <c r="C155" s="4" t="n">
        <v>6</v>
      </c>
      <c r="D155" s="4" t="n">
        <v>1</v>
      </c>
      <c r="E155" s="4" t="s">
        <v>42</v>
      </c>
      <c r="F155" s="3" t="s">
        <v>299</v>
      </c>
      <c r="G155" s="3" t="s">
        <v>540</v>
      </c>
      <c r="H155" s="3" t="s">
        <v>298</v>
      </c>
    </row>
    <row r="156" customFormat="false" ht="15" hidden="false" customHeight="false" outlineLevel="0" collapsed="false">
      <c r="A156" s="4" t="s">
        <v>127</v>
      </c>
      <c r="B156" s="4" t="s">
        <v>44</v>
      </c>
      <c r="C156" s="4" t="n">
        <v>7</v>
      </c>
      <c r="D156" s="4" t="n">
        <v>1</v>
      </c>
      <c r="E156" s="4" t="s">
        <v>39</v>
      </c>
      <c r="F156" s="3" t="s">
        <v>299</v>
      </c>
      <c r="G156" s="3" t="s">
        <v>543</v>
      </c>
      <c r="H156" s="3" t="s">
        <v>298</v>
      </c>
    </row>
    <row r="157" customFormat="false" ht="15" hidden="false" customHeight="false" outlineLevel="0" collapsed="false">
      <c r="A157" s="4" t="s">
        <v>127</v>
      </c>
      <c r="B157" s="4" t="s">
        <v>47</v>
      </c>
      <c r="C157" s="4" t="n">
        <v>1</v>
      </c>
      <c r="D157" s="4" t="n">
        <v>1</v>
      </c>
      <c r="E157" s="4" t="s">
        <v>16</v>
      </c>
      <c r="F157" s="3" t="s">
        <v>126</v>
      </c>
      <c r="G157" s="3" t="s">
        <v>123</v>
      </c>
      <c r="H157" s="3" t="s">
        <v>125</v>
      </c>
    </row>
    <row r="158" customFormat="false" ht="15" hidden="false" customHeight="false" outlineLevel="0" collapsed="false">
      <c r="A158" s="4" t="s">
        <v>127</v>
      </c>
      <c r="B158" s="4" t="s">
        <v>47</v>
      </c>
      <c r="C158" s="4" t="n">
        <v>2</v>
      </c>
      <c r="D158" s="4" t="n">
        <v>1</v>
      </c>
      <c r="E158" s="4" t="s">
        <v>21</v>
      </c>
      <c r="F158" s="3" t="s">
        <v>369</v>
      </c>
      <c r="G158" s="3" t="s">
        <v>417</v>
      </c>
      <c r="H158" s="3" t="s">
        <v>368</v>
      </c>
    </row>
    <row r="159" customFormat="false" ht="15" hidden="false" customHeight="false" outlineLevel="0" collapsed="false">
      <c r="A159" s="4" t="s">
        <v>127</v>
      </c>
      <c r="B159" s="4" t="s">
        <v>47</v>
      </c>
      <c r="C159" s="4" t="n">
        <v>3</v>
      </c>
      <c r="D159" s="4" t="n">
        <v>1</v>
      </c>
      <c r="E159" s="4" t="s">
        <v>26</v>
      </c>
      <c r="F159" s="3" t="s">
        <v>437</v>
      </c>
      <c r="G159" s="3" t="s">
        <v>436</v>
      </c>
      <c r="H159" s="3" t="s">
        <v>128</v>
      </c>
    </row>
    <row r="160" customFormat="false" ht="15" hidden="false" customHeight="false" outlineLevel="0" collapsed="false">
      <c r="A160" s="4" t="s">
        <v>127</v>
      </c>
      <c r="B160" s="4" t="s">
        <v>47</v>
      </c>
      <c r="C160" s="4" t="n">
        <v>4</v>
      </c>
      <c r="D160" s="4" t="n">
        <v>1</v>
      </c>
      <c r="E160" s="4" t="s">
        <v>34</v>
      </c>
      <c r="F160" s="3" t="s">
        <v>72</v>
      </c>
      <c r="G160" s="3" t="s">
        <v>531</v>
      </c>
      <c r="H160" s="3" t="s">
        <v>152</v>
      </c>
    </row>
    <row r="161" customFormat="false" ht="15" hidden="false" customHeight="false" outlineLevel="0" collapsed="false">
      <c r="A161" s="4" t="s">
        <v>127</v>
      </c>
      <c r="B161" s="4" t="s">
        <v>47</v>
      </c>
      <c r="C161" s="4" t="n">
        <v>5</v>
      </c>
      <c r="D161" s="4" t="n">
        <v>1</v>
      </c>
      <c r="E161" s="4" t="s">
        <v>37</v>
      </c>
      <c r="F161" s="3" t="s">
        <v>15</v>
      </c>
      <c r="G161" s="3" t="s">
        <v>534</v>
      </c>
      <c r="H161" s="3" t="s">
        <v>210</v>
      </c>
    </row>
    <row r="162" customFormat="false" ht="15" hidden="false" customHeight="false" outlineLevel="0" collapsed="false">
      <c r="A162" s="4" t="s">
        <v>127</v>
      </c>
      <c r="B162" s="4" t="s">
        <v>47</v>
      </c>
      <c r="C162" s="4" t="n">
        <v>6</v>
      </c>
      <c r="D162" s="4" t="n">
        <v>2</v>
      </c>
      <c r="E162" s="4" t="s">
        <v>536</v>
      </c>
      <c r="F162" s="3" t="s">
        <v>164</v>
      </c>
      <c r="G162" s="3" t="s">
        <v>532</v>
      </c>
      <c r="H162" s="3" t="s">
        <v>157</v>
      </c>
    </row>
    <row r="163" customFormat="false" ht="15" hidden="false" customHeight="false" outlineLevel="0" collapsed="false">
      <c r="A163" s="4" t="s">
        <v>127</v>
      </c>
      <c r="B163" s="4" t="s">
        <v>50</v>
      </c>
      <c r="C163" s="4" t="n">
        <v>1</v>
      </c>
      <c r="D163" s="4" t="n">
        <v>1</v>
      </c>
      <c r="E163" s="4" t="s">
        <v>16</v>
      </c>
      <c r="F163" s="3" t="s">
        <v>15</v>
      </c>
      <c r="G163" s="3" t="s">
        <v>534</v>
      </c>
      <c r="H163" s="3" t="s">
        <v>211</v>
      </c>
    </row>
    <row r="164" customFormat="false" ht="15" hidden="false" customHeight="false" outlineLevel="0" collapsed="false">
      <c r="A164" s="4" t="s">
        <v>127</v>
      </c>
      <c r="B164" s="4" t="s">
        <v>50</v>
      </c>
      <c r="C164" s="4" t="n">
        <v>2</v>
      </c>
      <c r="D164" s="4" t="n">
        <v>1</v>
      </c>
      <c r="E164" s="4" t="s">
        <v>21</v>
      </c>
      <c r="F164" s="3" t="s">
        <v>350</v>
      </c>
      <c r="G164" s="3" t="s">
        <v>126</v>
      </c>
      <c r="H164" s="3" t="s">
        <v>128</v>
      </c>
    </row>
    <row r="165" customFormat="false" ht="15" hidden="false" customHeight="false" outlineLevel="0" collapsed="false">
      <c r="A165" s="4" t="s">
        <v>127</v>
      </c>
      <c r="B165" s="4" t="s">
        <v>50</v>
      </c>
      <c r="C165" s="4" t="n">
        <v>3</v>
      </c>
      <c r="D165" s="4" t="n">
        <v>1</v>
      </c>
      <c r="E165" s="4" t="s">
        <v>26</v>
      </c>
      <c r="F165" s="3" t="s">
        <v>72</v>
      </c>
      <c r="G165" s="3" t="s">
        <v>531</v>
      </c>
      <c r="H165" s="3" t="s">
        <v>155</v>
      </c>
    </row>
    <row r="166" customFormat="false" ht="15" hidden="false" customHeight="false" outlineLevel="0" collapsed="false">
      <c r="A166" s="4" t="s">
        <v>127</v>
      </c>
      <c r="B166" s="4" t="s">
        <v>50</v>
      </c>
      <c r="C166" s="4" t="n">
        <v>4</v>
      </c>
      <c r="D166" s="4" t="n">
        <v>2</v>
      </c>
      <c r="E166" s="4" t="s">
        <v>533</v>
      </c>
      <c r="F166" s="3" t="s">
        <v>222</v>
      </c>
      <c r="G166" s="3" t="s">
        <v>538</v>
      </c>
      <c r="H166" s="3" t="s">
        <v>221</v>
      </c>
    </row>
    <row r="167" customFormat="false" ht="15" hidden="false" customHeight="false" outlineLevel="0" collapsed="false">
      <c r="A167" s="4" t="s">
        <v>127</v>
      </c>
      <c r="B167" s="4" t="s">
        <v>50</v>
      </c>
      <c r="C167" s="4" t="n">
        <v>6</v>
      </c>
      <c r="D167" s="4" t="n">
        <v>1</v>
      </c>
      <c r="E167" s="4" t="s">
        <v>42</v>
      </c>
      <c r="F167" s="3" t="s">
        <v>126</v>
      </c>
      <c r="G167" s="3" t="s">
        <v>123</v>
      </c>
      <c r="H167" s="3" t="s">
        <v>133</v>
      </c>
    </row>
    <row r="168" customFormat="false" ht="15" hidden="false" customHeight="false" outlineLevel="0" collapsed="false">
      <c r="A168" s="4" t="s">
        <v>127</v>
      </c>
      <c r="B168" s="4" t="s">
        <v>50</v>
      </c>
      <c r="C168" s="4" t="n">
        <v>7</v>
      </c>
      <c r="D168" s="4" t="n">
        <v>1</v>
      </c>
      <c r="E168" s="4" t="s">
        <v>39</v>
      </c>
      <c r="F168" s="3" t="s">
        <v>164</v>
      </c>
      <c r="G168" s="3" t="s">
        <v>532</v>
      </c>
      <c r="H168" s="3" t="s">
        <v>144</v>
      </c>
    </row>
    <row r="169" customFormat="false" ht="15" hidden="false" customHeight="false" outlineLevel="0" collapsed="false">
      <c r="A169" s="4" t="s">
        <v>127</v>
      </c>
      <c r="B169" s="4" t="s">
        <v>60</v>
      </c>
      <c r="C169" s="4" t="n">
        <v>1</v>
      </c>
      <c r="D169" s="4" t="n">
        <v>1</v>
      </c>
      <c r="E169" s="4" t="s">
        <v>16</v>
      </c>
      <c r="F169" s="3" t="s">
        <v>296</v>
      </c>
      <c r="G169" s="3" t="s">
        <v>544</v>
      </c>
      <c r="H169" s="3" t="s">
        <v>297</v>
      </c>
    </row>
    <row r="170" customFormat="false" ht="15" hidden="false" customHeight="false" outlineLevel="0" collapsed="false">
      <c r="A170" s="4" t="s">
        <v>127</v>
      </c>
      <c r="B170" s="4" t="s">
        <v>60</v>
      </c>
      <c r="C170" s="4" t="n">
        <v>2</v>
      </c>
      <c r="D170" s="4" t="n">
        <v>1</v>
      </c>
      <c r="E170" s="4" t="s">
        <v>21</v>
      </c>
      <c r="F170" s="3" t="s">
        <v>15</v>
      </c>
      <c r="G170" s="3" t="s">
        <v>534</v>
      </c>
      <c r="H170" s="3" t="s">
        <v>144</v>
      </c>
    </row>
    <row r="171" customFormat="false" ht="15" hidden="false" customHeight="false" outlineLevel="0" collapsed="false">
      <c r="A171" s="4" t="s">
        <v>127</v>
      </c>
      <c r="B171" s="4" t="s">
        <v>60</v>
      </c>
      <c r="C171" s="4" t="n">
        <v>3</v>
      </c>
      <c r="D171" s="4" t="n">
        <v>1</v>
      </c>
      <c r="E171" s="4" t="s">
        <v>26</v>
      </c>
      <c r="F171" s="3" t="s">
        <v>437</v>
      </c>
      <c r="G171" s="3" t="s">
        <v>436</v>
      </c>
      <c r="H171" s="3" t="s">
        <v>128</v>
      </c>
    </row>
    <row r="172" customFormat="false" ht="15" hidden="false" customHeight="false" outlineLevel="0" collapsed="false">
      <c r="A172" s="4" t="s">
        <v>127</v>
      </c>
      <c r="B172" s="4" t="s">
        <v>60</v>
      </c>
      <c r="C172" s="4" t="n">
        <v>4</v>
      </c>
      <c r="D172" s="4" t="n">
        <v>1</v>
      </c>
      <c r="E172" s="4" t="s">
        <v>34</v>
      </c>
      <c r="F172" s="3" t="s">
        <v>126</v>
      </c>
      <c r="G172" s="3" t="s">
        <v>123</v>
      </c>
      <c r="H172" s="3" t="s">
        <v>128</v>
      </c>
    </row>
    <row r="173" customFormat="false" ht="15" hidden="false" customHeight="false" outlineLevel="0" collapsed="false">
      <c r="A173" s="4" t="s">
        <v>127</v>
      </c>
      <c r="B173" s="4" t="s">
        <v>60</v>
      </c>
      <c r="C173" s="4" t="n">
        <v>5</v>
      </c>
      <c r="D173" s="4" t="n">
        <v>1</v>
      </c>
      <c r="E173" s="4" t="s">
        <v>37</v>
      </c>
      <c r="F173" s="3" t="s">
        <v>36</v>
      </c>
      <c r="G173" s="3" t="s">
        <v>535</v>
      </c>
      <c r="H173" s="3" t="s">
        <v>185</v>
      </c>
    </row>
    <row r="174" customFormat="false" ht="15" hidden="false" customHeight="false" outlineLevel="0" collapsed="false">
      <c r="A174" s="4" t="s">
        <v>127</v>
      </c>
      <c r="B174" s="4" t="s">
        <v>60</v>
      </c>
      <c r="C174" s="4" t="n">
        <v>6</v>
      </c>
      <c r="D174" s="4" t="n">
        <v>1</v>
      </c>
      <c r="E174" s="4" t="s">
        <v>42</v>
      </c>
      <c r="F174" s="3" t="s">
        <v>72</v>
      </c>
      <c r="G174" s="3" t="s">
        <v>531</v>
      </c>
      <c r="H174" s="3" t="s">
        <v>150</v>
      </c>
    </row>
    <row r="175" customFormat="false" ht="15" hidden="false" customHeight="false" outlineLevel="0" collapsed="false">
      <c r="A175" s="4" t="s">
        <v>127</v>
      </c>
      <c r="B175" s="4" t="s">
        <v>60</v>
      </c>
      <c r="C175" s="4" t="n">
        <v>7</v>
      </c>
      <c r="D175" s="4" t="n">
        <v>1</v>
      </c>
      <c r="E175" s="4" t="s">
        <v>39</v>
      </c>
      <c r="F175" s="3" t="s">
        <v>164</v>
      </c>
      <c r="G175" s="3" t="s">
        <v>532</v>
      </c>
      <c r="H175" s="3" t="s">
        <v>141</v>
      </c>
    </row>
    <row r="176" customFormat="false" ht="15" hidden="false" customHeight="false" outlineLevel="0" collapsed="false">
      <c r="A176" s="4" t="s">
        <v>127</v>
      </c>
      <c r="B176" s="4" t="s">
        <v>63</v>
      </c>
      <c r="C176" s="4" t="n">
        <v>1</v>
      </c>
      <c r="D176" s="4" t="n">
        <v>2</v>
      </c>
      <c r="E176" s="4" t="s">
        <v>539</v>
      </c>
      <c r="F176" s="3" t="s">
        <v>72</v>
      </c>
      <c r="G176" s="3" t="s">
        <v>531</v>
      </c>
      <c r="H176" s="3" t="s">
        <v>157</v>
      </c>
    </row>
    <row r="177" customFormat="false" ht="15" hidden="false" customHeight="false" outlineLevel="0" collapsed="false">
      <c r="A177" s="4" t="s">
        <v>127</v>
      </c>
      <c r="B177" s="4" t="s">
        <v>63</v>
      </c>
      <c r="C177" s="4" t="n">
        <v>3</v>
      </c>
      <c r="D177" s="4" t="n">
        <v>1</v>
      </c>
      <c r="E177" s="4" t="s">
        <v>26</v>
      </c>
      <c r="F177" s="3" t="s">
        <v>126</v>
      </c>
      <c r="G177" s="3" t="s">
        <v>123</v>
      </c>
      <c r="H177" s="3" t="s">
        <v>125</v>
      </c>
    </row>
    <row r="178" customFormat="false" ht="15" hidden="false" customHeight="false" outlineLevel="0" collapsed="false">
      <c r="A178" s="4" t="s">
        <v>127</v>
      </c>
      <c r="B178" s="4" t="s">
        <v>63</v>
      </c>
      <c r="C178" s="4" t="n">
        <v>4</v>
      </c>
      <c r="D178" s="4" t="n">
        <v>1</v>
      </c>
      <c r="E178" s="4" t="s">
        <v>34</v>
      </c>
      <c r="F178" s="3" t="s">
        <v>99</v>
      </c>
      <c r="G178" s="3" t="s">
        <v>474</v>
      </c>
      <c r="H178" s="3" t="s">
        <v>128</v>
      </c>
    </row>
    <row r="179" customFormat="false" ht="15" hidden="false" customHeight="false" outlineLevel="0" collapsed="false">
      <c r="A179" s="4" t="s">
        <v>127</v>
      </c>
      <c r="B179" s="4" t="s">
        <v>63</v>
      </c>
      <c r="C179" s="4" t="n">
        <v>5</v>
      </c>
      <c r="D179" s="4" t="n">
        <v>1</v>
      </c>
      <c r="E179" s="4" t="s">
        <v>37</v>
      </c>
      <c r="F179" s="3" t="s">
        <v>285</v>
      </c>
      <c r="G179" s="3" t="s">
        <v>283</v>
      </c>
      <c r="H179" s="3" t="s">
        <v>128</v>
      </c>
    </row>
    <row r="180" customFormat="false" ht="15" hidden="false" customHeight="false" outlineLevel="0" collapsed="false">
      <c r="A180" s="4" t="s">
        <v>127</v>
      </c>
      <c r="B180" s="4" t="s">
        <v>63</v>
      </c>
      <c r="C180" s="4" t="n">
        <v>6</v>
      </c>
      <c r="D180" s="4" t="n">
        <v>1</v>
      </c>
      <c r="E180" s="4" t="s">
        <v>42</v>
      </c>
      <c r="F180" s="3" t="s">
        <v>296</v>
      </c>
      <c r="G180" s="3" t="s">
        <v>544</v>
      </c>
      <c r="H180" s="3" t="s">
        <v>297</v>
      </c>
    </row>
    <row r="181" customFormat="false" ht="15" hidden="false" customHeight="false" outlineLevel="0" collapsed="false">
      <c r="A181" s="4" t="s">
        <v>127</v>
      </c>
      <c r="B181" s="4" t="s">
        <v>63</v>
      </c>
      <c r="C181" s="4" t="n">
        <v>7</v>
      </c>
      <c r="D181" s="4" t="n">
        <v>1</v>
      </c>
      <c r="E181" s="4" t="s">
        <v>39</v>
      </c>
      <c r="F181" s="3" t="s">
        <v>164</v>
      </c>
      <c r="G181" s="3" t="s">
        <v>532</v>
      </c>
      <c r="H181" s="3" t="s">
        <v>152</v>
      </c>
    </row>
    <row r="182" customFormat="false" ht="15" hidden="false" customHeight="false" outlineLevel="0" collapsed="false">
      <c r="A182" s="4" t="s">
        <v>127</v>
      </c>
      <c r="B182" s="4" t="s">
        <v>65</v>
      </c>
      <c r="C182" s="4" t="n">
        <v>1</v>
      </c>
      <c r="D182" s="4" t="n">
        <v>2</v>
      </c>
      <c r="E182" s="4" t="s">
        <v>539</v>
      </c>
      <c r="F182" s="3" t="s">
        <v>432</v>
      </c>
      <c r="G182" s="3" t="s">
        <v>430</v>
      </c>
      <c r="H182" s="3" t="s">
        <v>431</v>
      </c>
    </row>
    <row r="183" customFormat="false" ht="15" hidden="false" customHeight="false" outlineLevel="0" collapsed="false">
      <c r="A183" s="4" t="s">
        <v>127</v>
      </c>
      <c r="B183" s="4" t="s">
        <v>65</v>
      </c>
      <c r="C183" s="4" t="n">
        <v>3</v>
      </c>
      <c r="D183" s="4" t="n">
        <v>1</v>
      </c>
      <c r="E183" s="4" t="s">
        <v>26</v>
      </c>
      <c r="F183" s="3" t="s">
        <v>164</v>
      </c>
      <c r="G183" s="3" t="s">
        <v>532</v>
      </c>
      <c r="H183" s="3" t="s">
        <v>152</v>
      </c>
    </row>
    <row r="184" customFormat="false" ht="15" hidden="false" customHeight="false" outlineLevel="0" collapsed="false">
      <c r="A184" s="4" t="s">
        <v>127</v>
      </c>
      <c r="B184" s="4" t="s">
        <v>65</v>
      </c>
      <c r="C184" s="4" t="n">
        <v>4</v>
      </c>
      <c r="D184" s="4" t="n">
        <v>1</v>
      </c>
      <c r="E184" s="4" t="s">
        <v>34</v>
      </c>
      <c r="F184" s="3" t="s">
        <v>72</v>
      </c>
      <c r="G184" s="3" t="s">
        <v>531</v>
      </c>
      <c r="H184" s="3" t="s">
        <v>152</v>
      </c>
    </row>
    <row r="185" customFormat="false" ht="15" hidden="false" customHeight="false" outlineLevel="0" collapsed="false">
      <c r="A185" s="4" t="s">
        <v>127</v>
      </c>
      <c r="B185" s="4" t="s">
        <v>65</v>
      </c>
      <c r="C185" s="4" t="n">
        <v>5</v>
      </c>
      <c r="D185" s="4" t="n">
        <v>1</v>
      </c>
      <c r="E185" s="4" t="s">
        <v>37</v>
      </c>
      <c r="F185" s="3" t="s">
        <v>36</v>
      </c>
      <c r="G185" s="3" t="s">
        <v>535</v>
      </c>
      <c r="H185" s="3" t="s">
        <v>185</v>
      </c>
    </row>
    <row r="186" customFormat="false" ht="15" hidden="false" customHeight="false" outlineLevel="0" collapsed="false">
      <c r="A186" s="4" t="s">
        <v>127</v>
      </c>
      <c r="B186" s="4" t="s">
        <v>65</v>
      </c>
      <c r="C186" s="4" t="n">
        <v>6</v>
      </c>
      <c r="D186" s="4" t="n">
        <v>1</v>
      </c>
      <c r="E186" s="4" t="s">
        <v>42</v>
      </c>
      <c r="F186" s="3" t="s">
        <v>126</v>
      </c>
      <c r="G186" s="3" t="s">
        <v>123</v>
      </c>
      <c r="H186" s="3" t="s">
        <v>125</v>
      </c>
    </row>
    <row r="187" customFormat="false" ht="15" hidden="false" customHeight="false" outlineLevel="0" collapsed="false">
      <c r="A187" s="4" t="s">
        <v>127</v>
      </c>
      <c r="B187" s="4" t="s">
        <v>65</v>
      </c>
      <c r="C187" s="4" t="n">
        <v>7</v>
      </c>
      <c r="D187" s="4" t="n">
        <v>1</v>
      </c>
      <c r="E187" s="4" t="s">
        <v>39</v>
      </c>
      <c r="F187" s="3" t="s">
        <v>15</v>
      </c>
      <c r="G187" s="3" t="s">
        <v>534</v>
      </c>
      <c r="H187" s="3" t="s">
        <v>144</v>
      </c>
    </row>
    <row r="188" customFormat="false" ht="15" hidden="false" customHeight="false" outlineLevel="0" collapsed="false">
      <c r="A188" s="4" t="s">
        <v>127</v>
      </c>
      <c r="B188" s="4" t="s">
        <v>66</v>
      </c>
      <c r="C188" s="4" t="n">
        <v>1</v>
      </c>
      <c r="D188" s="4" t="n">
        <v>1</v>
      </c>
      <c r="E188" s="4" t="s">
        <v>16</v>
      </c>
      <c r="F188" s="3" t="s">
        <v>72</v>
      </c>
      <c r="G188" s="3" t="s">
        <v>531</v>
      </c>
      <c r="H188" s="3" t="s">
        <v>160</v>
      </c>
    </row>
    <row r="189" customFormat="false" ht="15" hidden="false" customHeight="false" outlineLevel="0" collapsed="false">
      <c r="A189" s="4" t="s">
        <v>127</v>
      </c>
      <c r="B189" s="4" t="s">
        <v>66</v>
      </c>
      <c r="C189" s="4" t="n">
        <v>2</v>
      </c>
      <c r="D189" s="4" t="n">
        <v>1</v>
      </c>
      <c r="E189" s="4" t="s">
        <v>21</v>
      </c>
      <c r="F189" s="3" t="s">
        <v>15</v>
      </c>
      <c r="G189" s="3" t="s">
        <v>534</v>
      </c>
      <c r="H189" s="3" t="s">
        <v>150</v>
      </c>
    </row>
    <row r="190" customFormat="false" ht="15" hidden="false" customHeight="false" outlineLevel="0" collapsed="false">
      <c r="A190" s="4" t="s">
        <v>127</v>
      </c>
      <c r="B190" s="4" t="s">
        <v>66</v>
      </c>
      <c r="C190" s="4" t="n">
        <v>3</v>
      </c>
      <c r="D190" s="4" t="n">
        <v>2</v>
      </c>
      <c r="E190" s="4" t="s">
        <v>542</v>
      </c>
      <c r="F190" s="3" t="s">
        <v>388</v>
      </c>
      <c r="G190" s="3" t="s">
        <v>545</v>
      </c>
      <c r="H190" s="3" t="s">
        <v>387</v>
      </c>
    </row>
    <row r="191" customFormat="false" ht="15" hidden="false" customHeight="false" outlineLevel="0" collapsed="false">
      <c r="A191" s="4" t="s">
        <v>127</v>
      </c>
      <c r="B191" s="4" t="s">
        <v>66</v>
      </c>
      <c r="C191" s="4" t="n">
        <v>5</v>
      </c>
      <c r="D191" s="4" t="n">
        <v>1</v>
      </c>
      <c r="E191" s="4" t="s">
        <v>37</v>
      </c>
      <c r="F191" s="3" t="s">
        <v>369</v>
      </c>
      <c r="G191" s="3" t="s">
        <v>417</v>
      </c>
      <c r="H191" s="3" t="s">
        <v>368</v>
      </c>
    </row>
    <row r="192" customFormat="false" ht="15" hidden="false" customHeight="false" outlineLevel="0" collapsed="false">
      <c r="A192" s="4" t="s">
        <v>127</v>
      </c>
      <c r="B192" s="4" t="s">
        <v>66</v>
      </c>
      <c r="C192" s="4" t="n">
        <v>6</v>
      </c>
      <c r="D192" s="4" t="n">
        <v>1</v>
      </c>
      <c r="E192" s="4" t="s">
        <v>42</v>
      </c>
      <c r="F192" s="3" t="s">
        <v>164</v>
      </c>
      <c r="G192" s="3" t="s">
        <v>532</v>
      </c>
      <c r="H192" s="3" t="s">
        <v>152</v>
      </c>
    </row>
    <row r="193" customFormat="false" ht="15" hidden="false" customHeight="false" outlineLevel="0" collapsed="false">
      <c r="A193" s="4" t="s">
        <v>127</v>
      </c>
      <c r="B193" s="4" t="s">
        <v>66</v>
      </c>
      <c r="C193" s="4" t="n">
        <v>7</v>
      </c>
      <c r="D193" s="4" t="n">
        <v>1</v>
      </c>
      <c r="E193" s="4" t="s">
        <v>39</v>
      </c>
      <c r="F193" s="3" t="s">
        <v>285</v>
      </c>
      <c r="G193" s="3" t="s">
        <v>283</v>
      </c>
      <c r="H193" s="3" t="s">
        <v>128</v>
      </c>
    </row>
    <row r="194" customFormat="false" ht="15" hidden="false" customHeight="false" outlineLevel="0" collapsed="false">
      <c r="A194" s="4" t="s">
        <v>139</v>
      </c>
      <c r="B194" s="4" t="s">
        <v>12</v>
      </c>
      <c r="C194" s="4" t="n">
        <v>1</v>
      </c>
      <c r="D194" s="4" t="n">
        <v>1</v>
      </c>
      <c r="E194" s="4" t="s">
        <v>16</v>
      </c>
      <c r="F194" s="3" t="s">
        <v>72</v>
      </c>
      <c r="G194" s="3" t="s">
        <v>546</v>
      </c>
      <c r="H194" s="3" t="s">
        <v>138</v>
      </c>
    </row>
    <row r="195" customFormat="false" ht="15" hidden="false" customHeight="false" outlineLevel="0" collapsed="false">
      <c r="A195" s="4" t="s">
        <v>139</v>
      </c>
      <c r="B195" s="4" t="s">
        <v>12</v>
      </c>
      <c r="C195" s="4" t="n">
        <v>2</v>
      </c>
      <c r="D195" s="4" t="n">
        <v>1</v>
      </c>
      <c r="E195" s="4" t="s">
        <v>21</v>
      </c>
      <c r="F195" s="3" t="s">
        <v>285</v>
      </c>
      <c r="G195" s="3" t="s">
        <v>283</v>
      </c>
      <c r="H195" s="3" t="s">
        <v>284</v>
      </c>
    </row>
    <row r="196" customFormat="false" ht="15" hidden="false" customHeight="false" outlineLevel="0" collapsed="false">
      <c r="A196" s="4" t="s">
        <v>139</v>
      </c>
      <c r="B196" s="4" t="s">
        <v>12</v>
      </c>
      <c r="C196" s="4" t="n">
        <v>3</v>
      </c>
      <c r="D196" s="4" t="n">
        <v>1</v>
      </c>
      <c r="E196" s="4" t="s">
        <v>26</v>
      </c>
      <c r="F196" s="3" t="s">
        <v>126</v>
      </c>
      <c r="G196" s="3" t="s">
        <v>504</v>
      </c>
      <c r="H196" s="3" t="s">
        <v>133</v>
      </c>
    </row>
    <row r="197" customFormat="false" ht="15" hidden="false" customHeight="false" outlineLevel="0" collapsed="false">
      <c r="A197" s="4" t="s">
        <v>139</v>
      </c>
      <c r="B197" s="4" t="s">
        <v>12</v>
      </c>
      <c r="C197" s="4" t="n">
        <v>4</v>
      </c>
      <c r="D197" s="4" t="n">
        <v>1</v>
      </c>
      <c r="E197" s="4" t="s">
        <v>34</v>
      </c>
      <c r="F197" s="3" t="s">
        <v>164</v>
      </c>
      <c r="G197" s="3" t="s">
        <v>547</v>
      </c>
      <c r="H197" s="3" t="s">
        <v>138</v>
      </c>
    </row>
    <row r="198" customFormat="false" ht="15" hidden="false" customHeight="false" outlineLevel="0" collapsed="false">
      <c r="A198" s="4" t="s">
        <v>139</v>
      </c>
      <c r="B198" s="4" t="s">
        <v>12</v>
      </c>
      <c r="C198" s="4" t="n">
        <v>5</v>
      </c>
      <c r="D198" s="4" t="n">
        <v>1</v>
      </c>
      <c r="E198" s="4" t="s">
        <v>37</v>
      </c>
      <c r="F198" s="3" t="s">
        <v>15</v>
      </c>
      <c r="G198" s="3" t="s">
        <v>548</v>
      </c>
      <c r="H198" s="3" t="s">
        <v>138</v>
      </c>
    </row>
    <row r="199" customFormat="false" ht="15" hidden="false" customHeight="false" outlineLevel="0" collapsed="false">
      <c r="A199" s="4" t="s">
        <v>139</v>
      </c>
      <c r="B199" s="4" t="s">
        <v>12</v>
      </c>
      <c r="C199" s="4" t="n">
        <v>6</v>
      </c>
      <c r="D199" s="4" t="n">
        <v>2</v>
      </c>
      <c r="E199" s="4" t="s">
        <v>536</v>
      </c>
      <c r="F199" s="3" t="s">
        <v>463</v>
      </c>
      <c r="G199" s="3" t="s">
        <v>519</v>
      </c>
      <c r="H199" s="3" t="s">
        <v>462</v>
      </c>
    </row>
    <row r="200" customFormat="false" ht="15" hidden="false" customHeight="false" outlineLevel="0" collapsed="false">
      <c r="A200" s="4" t="s">
        <v>139</v>
      </c>
      <c r="B200" s="4" t="s">
        <v>31</v>
      </c>
      <c r="C200" s="4" t="n">
        <v>1</v>
      </c>
      <c r="D200" s="4" t="n">
        <v>1</v>
      </c>
      <c r="E200" s="4" t="s">
        <v>16</v>
      </c>
      <c r="F200" s="3" t="s">
        <v>15</v>
      </c>
      <c r="G200" s="3" t="s">
        <v>548</v>
      </c>
      <c r="H200" s="3" t="s">
        <v>146</v>
      </c>
    </row>
    <row r="201" customFormat="false" ht="15" hidden="false" customHeight="false" outlineLevel="0" collapsed="false">
      <c r="A201" s="4" t="s">
        <v>139</v>
      </c>
      <c r="B201" s="4" t="s">
        <v>31</v>
      </c>
      <c r="C201" s="4" t="n">
        <v>2</v>
      </c>
      <c r="D201" s="4" t="n">
        <v>1</v>
      </c>
      <c r="E201" s="4" t="s">
        <v>21</v>
      </c>
      <c r="F201" s="3" t="s">
        <v>164</v>
      </c>
      <c r="G201" s="3" t="s">
        <v>547</v>
      </c>
      <c r="H201" s="3" t="s">
        <v>146</v>
      </c>
    </row>
    <row r="202" customFormat="false" ht="15" hidden="false" customHeight="false" outlineLevel="0" collapsed="false">
      <c r="A202" s="4" t="s">
        <v>139</v>
      </c>
      <c r="B202" s="4" t="s">
        <v>31</v>
      </c>
      <c r="C202" s="4" t="n">
        <v>3</v>
      </c>
      <c r="D202" s="4" t="n">
        <v>1</v>
      </c>
      <c r="E202" s="4" t="s">
        <v>26</v>
      </c>
      <c r="F202" s="3" t="s">
        <v>126</v>
      </c>
      <c r="G202" s="3" t="s">
        <v>504</v>
      </c>
      <c r="H202" s="3" t="s">
        <v>133</v>
      </c>
    </row>
    <row r="203" customFormat="false" ht="15" hidden="false" customHeight="false" outlineLevel="0" collapsed="false">
      <c r="A203" s="4" t="s">
        <v>139</v>
      </c>
      <c r="B203" s="4" t="s">
        <v>31</v>
      </c>
      <c r="C203" s="4" t="n">
        <v>4</v>
      </c>
      <c r="D203" s="4" t="n">
        <v>1</v>
      </c>
      <c r="E203" s="4" t="s">
        <v>34</v>
      </c>
      <c r="F203" s="3" t="s">
        <v>369</v>
      </c>
      <c r="G203" s="3" t="s">
        <v>367</v>
      </c>
      <c r="H203" s="3" t="s">
        <v>368</v>
      </c>
    </row>
    <row r="204" customFormat="false" ht="15" hidden="false" customHeight="false" outlineLevel="0" collapsed="false">
      <c r="A204" s="4" t="s">
        <v>139</v>
      </c>
      <c r="B204" s="4" t="s">
        <v>31</v>
      </c>
      <c r="C204" s="4" t="n">
        <v>5</v>
      </c>
      <c r="D204" s="4" t="n">
        <v>1</v>
      </c>
      <c r="E204" s="4" t="s">
        <v>37</v>
      </c>
      <c r="F204" s="3" t="s">
        <v>36</v>
      </c>
      <c r="G204" s="3" t="s">
        <v>535</v>
      </c>
      <c r="H204" s="3" t="s">
        <v>185</v>
      </c>
    </row>
    <row r="205" customFormat="false" ht="15" hidden="false" customHeight="false" outlineLevel="0" collapsed="false">
      <c r="A205" s="4" t="s">
        <v>139</v>
      </c>
      <c r="B205" s="4" t="s">
        <v>31</v>
      </c>
      <c r="C205" s="4" t="n">
        <v>6</v>
      </c>
      <c r="D205" s="4" t="n">
        <v>1</v>
      </c>
      <c r="E205" s="4" t="s">
        <v>42</v>
      </c>
      <c r="F205" s="3" t="s">
        <v>72</v>
      </c>
      <c r="G205" s="3" t="s">
        <v>546</v>
      </c>
      <c r="H205" s="3" t="s">
        <v>146</v>
      </c>
    </row>
    <row r="206" customFormat="false" ht="15" hidden="false" customHeight="false" outlineLevel="0" collapsed="false">
      <c r="A206" s="4" t="s">
        <v>139</v>
      </c>
      <c r="B206" s="4" t="s">
        <v>31</v>
      </c>
      <c r="C206" s="4" t="n">
        <v>7</v>
      </c>
      <c r="D206" s="4" t="n">
        <v>1</v>
      </c>
      <c r="E206" s="4" t="s">
        <v>39</v>
      </c>
      <c r="F206" s="3" t="s">
        <v>296</v>
      </c>
      <c r="G206" s="3" t="s">
        <v>530</v>
      </c>
      <c r="H206" s="3" t="s">
        <v>297</v>
      </c>
    </row>
    <row r="207" customFormat="false" ht="15" hidden="false" customHeight="false" outlineLevel="0" collapsed="false">
      <c r="A207" s="4" t="s">
        <v>139</v>
      </c>
      <c r="B207" s="4" t="s">
        <v>40</v>
      </c>
      <c r="C207" s="4" t="n">
        <v>1</v>
      </c>
      <c r="D207" s="4" t="n">
        <v>1</v>
      </c>
      <c r="E207" s="4" t="s">
        <v>16</v>
      </c>
      <c r="F207" s="3" t="s">
        <v>15</v>
      </c>
      <c r="G207" s="3" t="s">
        <v>548</v>
      </c>
      <c r="H207" s="3" t="s">
        <v>205</v>
      </c>
    </row>
    <row r="208" customFormat="false" ht="15" hidden="false" customHeight="false" outlineLevel="0" collapsed="false">
      <c r="A208" s="4" t="s">
        <v>139</v>
      </c>
      <c r="B208" s="4" t="s">
        <v>40</v>
      </c>
      <c r="C208" s="4" t="n">
        <v>2</v>
      </c>
      <c r="D208" s="4" t="n">
        <v>1</v>
      </c>
      <c r="E208" s="4" t="s">
        <v>21</v>
      </c>
      <c r="F208" s="3" t="s">
        <v>72</v>
      </c>
      <c r="G208" s="3" t="s">
        <v>546</v>
      </c>
      <c r="H208" s="3" t="s">
        <v>148</v>
      </c>
    </row>
    <row r="209" customFormat="false" ht="15" hidden="false" customHeight="false" outlineLevel="0" collapsed="false">
      <c r="A209" s="4" t="s">
        <v>139</v>
      </c>
      <c r="B209" s="4" t="s">
        <v>40</v>
      </c>
      <c r="C209" s="4" t="n">
        <v>3</v>
      </c>
      <c r="D209" s="4" t="n">
        <v>2</v>
      </c>
      <c r="E209" s="4" t="s">
        <v>542</v>
      </c>
      <c r="F209" s="3" t="s">
        <v>164</v>
      </c>
      <c r="G209" s="3" t="s">
        <v>547</v>
      </c>
      <c r="H209" s="3" t="s">
        <v>186</v>
      </c>
    </row>
    <row r="210" customFormat="false" ht="15" hidden="false" customHeight="false" outlineLevel="0" collapsed="false">
      <c r="A210" s="4" t="s">
        <v>139</v>
      </c>
      <c r="B210" s="4" t="s">
        <v>40</v>
      </c>
      <c r="C210" s="4" t="n">
        <v>5</v>
      </c>
      <c r="D210" s="4" t="n">
        <v>1</v>
      </c>
      <c r="E210" s="4" t="s">
        <v>37</v>
      </c>
      <c r="F210" s="3" t="s">
        <v>296</v>
      </c>
      <c r="G210" s="3" t="s">
        <v>530</v>
      </c>
      <c r="H210" s="3" t="s">
        <v>297</v>
      </c>
    </row>
    <row r="211" customFormat="false" ht="15" hidden="false" customHeight="false" outlineLevel="0" collapsed="false">
      <c r="A211" s="4" t="s">
        <v>139</v>
      </c>
      <c r="B211" s="4" t="s">
        <v>40</v>
      </c>
      <c r="C211" s="4" t="n">
        <v>6</v>
      </c>
      <c r="D211" s="4" t="n">
        <v>1</v>
      </c>
      <c r="E211" s="4" t="s">
        <v>42</v>
      </c>
      <c r="F211" s="3" t="s">
        <v>350</v>
      </c>
      <c r="G211" s="3" t="s">
        <v>126</v>
      </c>
      <c r="H211" s="3" t="s">
        <v>284</v>
      </c>
    </row>
    <row r="212" customFormat="false" ht="15" hidden="false" customHeight="false" outlineLevel="0" collapsed="false">
      <c r="A212" s="4" t="s">
        <v>139</v>
      </c>
      <c r="B212" s="4" t="s">
        <v>40</v>
      </c>
      <c r="C212" s="4" t="n">
        <v>7</v>
      </c>
      <c r="D212" s="4" t="n">
        <v>1</v>
      </c>
      <c r="E212" s="4" t="s">
        <v>39</v>
      </c>
      <c r="F212" s="3" t="s">
        <v>126</v>
      </c>
      <c r="G212" s="3" t="s">
        <v>504</v>
      </c>
      <c r="H212" s="3" t="s">
        <v>284</v>
      </c>
    </row>
    <row r="213" customFormat="false" ht="15" hidden="false" customHeight="false" outlineLevel="0" collapsed="false">
      <c r="A213" s="4" t="s">
        <v>139</v>
      </c>
      <c r="B213" s="4" t="s">
        <v>44</v>
      </c>
      <c r="C213" s="4" t="n">
        <v>1</v>
      </c>
      <c r="D213" s="4" t="n">
        <v>1</v>
      </c>
      <c r="E213" s="4" t="s">
        <v>16</v>
      </c>
      <c r="F213" s="3" t="s">
        <v>99</v>
      </c>
      <c r="G213" s="3" t="s">
        <v>433</v>
      </c>
      <c r="H213" s="3" t="s">
        <v>284</v>
      </c>
    </row>
    <row r="214" customFormat="false" ht="15" hidden="false" customHeight="false" outlineLevel="0" collapsed="false">
      <c r="A214" s="4" t="s">
        <v>139</v>
      </c>
      <c r="B214" s="4" t="s">
        <v>44</v>
      </c>
      <c r="C214" s="4" t="n">
        <v>2</v>
      </c>
      <c r="D214" s="4" t="n">
        <v>1</v>
      </c>
      <c r="E214" s="4" t="s">
        <v>21</v>
      </c>
      <c r="F214" s="3" t="s">
        <v>126</v>
      </c>
      <c r="G214" s="3" t="s">
        <v>504</v>
      </c>
      <c r="H214" s="3" t="s">
        <v>133</v>
      </c>
    </row>
    <row r="215" customFormat="false" ht="15" hidden="false" customHeight="false" outlineLevel="0" collapsed="false">
      <c r="A215" s="4" t="s">
        <v>139</v>
      </c>
      <c r="B215" s="4" t="s">
        <v>44</v>
      </c>
      <c r="C215" s="4" t="n">
        <v>3</v>
      </c>
      <c r="D215" s="4" t="n">
        <v>1</v>
      </c>
      <c r="E215" s="4" t="s">
        <v>26</v>
      </c>
      <c r="F215" s="3" t="s">
        <v>15</v>
      </c>
      <c r="G215" s="3" t="s">
        <v>548</v>
      </c>
      <c r="H215" s="3" t="s">
        <v>208</v>
      </c>
    </row>
    <row r="216" customFormat="false" ht="15" hidden="false" customHeight="false" outlineLevel="0" collapsed="false">
      <c r="A216" s="4" t="s">
        <v>139</v>
      </c>
      <c r="B216" s="4" t="s">
        <v>44</v>
      </c>
      <c r="C216" s="4" t="n">
        <v>4</v>
      </c>
      <c r="D216" s="4" t="n">
        <v>1</v>
      </c>
      <c r="E216" s="4" t="s">
        <v>34</v>
      </c>
      <c r="F216" s="3" t="s">
        <v>72</v>
      </c>
      <c r="G216" s="3" t="s">
        <v>546</v>
      </c>
      <c r="H216" s="3" t="s">
        <v>151</v>
      </c>
    </row>
    <row r="217" customFormat="false" ht="15" hidden="false" customHeight="false" outlineLevel="0" collapsed="false">
      <c r="A217" s="4" t="s">
        <v>139</v>
      </c>
      <c r="B217" s="4" t="s">
        <v>44</v>
      </c>
      <c r="C217" s="4" t="n">
        <v>5</v>
      </c>
      <c r="D217" s="4" t="n">
        <v>1</v>
      </c>
      <c r="E217" s="4" t="s">
        <v>37</v>
      </c>
      <c r="F217" s="3" t="s">
        <v>36</v>
      </c>
      <c r="G217" s="3" t="s">
        <v>535</v>
      </c>
      <c r="H217" s="3" t="s">
        <v>185</v>
      </c>
    </row>
    <row r="218" customFormat="false" ht="15" hidden="false" customHeight="false" outlineLevel="0" collapsed="false">
      <c r="A218" s="4" t="s">
        <v>139</v>
      </c>
      <c r="B218" s="4" t="s">
        <v>44</v>
      </c>
      <c r="C218" s="4" t="n">
        <v>6</v>
      </c>
      <c r="D218" s="4" t="n">
        <v>1</v>
      </c>
      <c r="E218" s="4" t="s">
        <v>42</v>
      </c>
      <c r="F218" s="3" t="s">
        <v>285</v>
      </c>
      <c r="G218" s="3" t="s">
        <v>283</v>
      </c>
      <c r="H218" s="3" t="s">
        <v>284</v>
      </c>
    </row>
    <row r="219" customFormat="false" ht="15" hidden="false" customHeight="false" outlineLevel="0" collapsed="false">
      <c r="A219" s="4" t="s">
        <v>139</v>
      </c>
      <c r="B219" s="4" t="s">
        <v>44</v>
      </c>
      <c r="C219" s="4" t="n">
        <v>7</v>
      </c>
      <c r="D219" s="4" t="n">
        <v>1</v>
      </c>
      <c r="E219" s="4" t="s">
        <v>39</v>
      </c>
      <c r="F219" s="3" t="s">
        <v>164</v>
      </c>
      <c r="G219" s="3" t="s">
        <v>547</v>
      </c>
      <c r="H219" s="3" t="s">
        <v>146</v>
      </c>
    </row>
    <row r="220" customFormat="false" ht="15" hidden="false" customHeight="false" outlineLevel="0" collapsed="false">
      <c r="A220" s="4" t="s">
        <v>139</v>
      </c>
      <c r="B220" s="4" t="s">
        <v>47</v>
      </c>
      <c r="C220" s="4" t="n">
        <v>1</v>
      </c>
      <c r="D220" s="4" t="n">
        <v>1</v>
      </c>
      <c r="E220" s="4" t="s">
        <v>16</v>
      </c>
      <c r="F220" s="3" t="s">
        <v>126</v>
      </c>
      <c r="G220" s="3" t="s">
        <v>504</v>
      </c>
      <c r="H220" s="3" t="s">
        <v>133</v>
      </c>
    </row>
    <row r="221" customFormat="false" ht="15" hidden="false" customHeight="false" outlineLevel="0" collapsed="false">
      <c r="A221" s="4" t="s">
        <v>139</v>
      </c>
      <c r="B221" s="4" t="s">
        <v>47</v>
      </c>
      <c r="C221" s="4" t="n">
        <v>2</v>
      </c>
      <c r="D221" s="4" t="n">
        <v>1</v>
      </c>
      <c r="E221" s="4" t="s">
        <v>21</v>
      </c>
      <c r="F221" s="3" t="s">
        <v>72</v>
      </c>
      <c r="G221" s="3" t="s">
        <v>546</v>
      </c>
      <c r="H221" s="3" t="s">
        <v>146</v>
      </c>
    </row>
    <row r="222" customFormat="false" ht="15" hidden="false" customHeight="false" outlineLevel="0" collapsed="false">
      <c r="A222" s="4" t="s">
        <v>139</v>
      </c>
      <c r="B222" s="4" t="s">
        <v>47</v>
      </c>
      <c r="C222" s="4" t="n">
        <v>3</v>
      </c>
      <c r="D222" s="4" t="n">
        <v>1</v>
      </c>
      <c r="E222" s="4" t="s">
        <v>26</v>
      </c>
      <c r="F222" s="3" t="s">
        <v>99</v>
      </c>
      <c r="G222" s="3" t="s">
        <v>433</v>
      </c>
      <c r="H222" s="3" t="s">
        <v>284</v>
      </c>
    </row>
    <row r="223" customFormat="false" ht="15" hidden="false" customHeight="false" outlineLevel="0" collapsed="false">
      <c r="A223" s="4" t="s">
        <v>139</v>
      </c>
      <c r="B223" s="4" t="s">
        <v>47</v>
      </c>
      <c r="C223" s="4" t="n">
        <v>4</v>
      </c>
      <c r="D223" s="4" t="n">
        <v>1</v>
      </c>
      <c r="E223" s="4" t="s">
        <v>34</v>
      </c>
      <c r="F223" s="3" t="s">
        <v>350</v>
      </c>
      <c r="G223" s="3" t="s">
        <v>126</v>
      </c>
      <c r="H223" s="3" t="s">
        <v>284</v>
      </c>
    </row>
    <row r="224" customFormat="false" ht="15" hidden="false" customHeight="false" outlineLevel="0" collapsed="false">
      <c r="A224" s="4" t="s">
        <v>139</v>
      </c>
      <c r="B224" s="4" t="s">
        <v>47</v>
      </c>
      <c r="C224" s="4" t="n">
        <v>5</v>
      </c>
      <c r="D224" s="4" t="n">
        <v>1</v>
      </c>
      <c r="E224" s="4" t="s">
        <v>37</v>
      </c>
      <c r="F224" s="3" t="s">
        <v>164</v>
      </c>
      <c r="G224" s="3" t="s">
        <v>547</v>
      </c>
      <c r="H224" s="3" t="s">
        <v>188</v>
      </c>
    </row>
    <row r="225" customFormat="false" ht="15" hidden="false" customHeight="false" outlineLevel="0" collapsed="false">
      <c r="A225" s="4" t="s">
        <v>139</v>
      </c>
      <c r="B225" s="4" t="s">
        <v>47</v>
      </c>
      <c r="C225" s="4" t="n">
        <v>6</v>
      </c>
      <c r="D225" s="4" t="n">
        <v>1</v>
      </c>
      <c r="E225" s="4" t="s">
        <v>42</v>
      </c>
      <c r="F225" s="3" t="s">
        <v>437</v>
      </c>
      <c r="G225" s="3" t="s">
        <v>436</v>
      </c>
      <c r="H225" s="3" t="s">
        <v>284</v>
      </c>
    </row>
    <row r="226" customFormat="false" ht="15" hidden="false" customHeight="false" outlineLevel="0" collapsed="false">
      <c r="A226" s="4" t="s">
        <v>139</v>
      </c>
      <c r="B226" s="4" t="s">
        <v>47</v>
      </c>
      <c r="C226" s="4" t="n">
        <v>7</v>
      </c>
      <c r="D226" s="4" t="n">
        <v>1</v>
      </c>
      <c r="E226" s="4" t="s">
        <v>39</v>
      </c>
      <c r="F226" s="3" t="s">
        <v>15</v>
      </c>
      <c r="G226" s="3" t="s">
        <v>548</v>
      </c>
      <c r="H226" s="3" t="s">
        <v>154</v>
      </c>
    </row>
    <row r="227" customFormat="false" ht="15" hidden="false" customHeight="false" outlineLevel="0" collapsed="false">
      <c r="A227" s="4" t="s">
        <v>139</v>
      </c>
      <c r="B227" s="4" t="s">
        <v>50</v>
      </c>
      <c r="C227" s="4" t="n">
        <v>1</v>
      </c>
      <c r="D227" s="4" t="n">
        <v>2</v>
      </c>
      <c r="E227" s="4" t="s">
        <v>539</v>
      </c>
      <c r="F227" s="3" t="s">
        <v>72</v>
      </c>
      <c r="G227" s="3" t="s">
        <v>546</v>
      </c>
      <c r="H227" s="3" t="s">
        <v>154</v>
      </c>
    </row>
    <row r="228" customFormat="false" ht="15" hidden="false" customHeight="false" outlineLevel="0" collapsed="false">
      <c r="A228" s="4" t="s">
        <v>139</v>
      </c>
      <c r="B228" s="4" t="s">
        <v>50</v>
      </c>
      <c r="C228" s="4" t="n">
        <v>3</v>
      </c>
      <c r="D228" s="4" t="n">
        <v>1</v>
      </c>
      <c r="E228" s="4" t="s">
        <v>26</v>
      </c>
      <c r="F228" s="3" t="s">
        <v>15</v>
      </c>
      <c r="G228" s="3" t="s">
        <v>548</v>
      </c>
      <c r="H228" s="3" t="s">
        <v>212</v>
      </c>
    </row>
    <row r="229" customFormat="false" ht="15" hidden="false" customHeight="false" outlineLevel="0" collapsed="false">
      <c r="A229" s="4" t="s">
        <v>139</v>
      </c>
      <c r="B229" s="4" t="s">
        <v>50</v>
      </c>
      <c r="C229" s="4" t="n">
        <v>4</v>
      </c>
      <c r="D229" s="4" t="n">
        <v>2</v>
      </c>
      <c r="E229" s="4" t="s">
        <v>533</v>
      </c>
      <c r="F229" s="3" t="s">
        <v>222</v>
      </c>
      <c r="G229" s="3" t="s">
        <v>538</v>
      </c>
      <c r="H229" s="3" t="s">
        <v>221</v>
      </c>
    </row>
    <row r="230" customFormat="false" ht="15" hidden="false" customHeight="false" outlineLevel="0" collapsed="false">
      <c r="A230" s="4" t="s">
        <v>139</v>
      </c>
      <c r="B230" s="4" t="s">
        <v>50</v>
      </c>
      <c r="C230" s="4" t="n">
        <v>6</v>
      </c>
      <c r="D230" s="4" t="n">
        <v>1</v>
      </c>
      <c r="E230" s="4" t="s">
        <v>42</v>
      </c>
      <c r="F230" s="3" t="s">
        <v>164</v>
      </c>
      <c r="G230" s="3" t="s">
        <v>547</v>
      </c>
      <c r="H230" s="3" t="s">
        <v>146</v>
      </c>
    </row>
    <row r="231" customFormat="false" ht="15" hidden="false" customHeight="false" outlineLevel="0" collapsed="false">
      <c r="A231" s="4" t="s">
        <v>139</v>
      </c>
      <c r="B231" s="4" t="s">
        <v>50</v>
      </c>
      <c r="C231" s="4" t="n">
        <v>7</v>
      </c>
      <c r="D231" s="4" t="n">
        <v>1</v>
      </c>
      <c r="E231" s="4" t="s">
        <v>39</v>
      </c>
      <c r="F231" s="3" t="s">
        <v>126</v>
      </c>
      <c r="G231" s="3" t="s">
        <v>504</v>
      </c>
      <c r="H231" s="3" t="s">
        <v>133</v>
      </c>
    </row>
    <row r="232" customFormat="false" ht="15" hidden="false" customHeight="false" outlineLevel="0" collapsed="false">
      <c r="A232" s="4" t="s">
        <v>139</v>
      </c>
      <c r="B232" s="4" t="s">
        <v>60</v>
      </c>
      <c r="C232" s="4" t="n">
        <v>1</v>
      </c>
      <c r="D232" s="4" t="n">
        <v>2</v>
      </c>
      <c r="E232" s="4" t="s">
        <v>539</v>
      </c>
      <c r="F232" s="3" t="s">
        <v>463</v>
      </c>
      <c r="G232" s="3" t="s">
        <v>519</v>
      </c>
      <c r="H232" s="3" t="s">
        <v>462</v>
      </c>
    </row>
    <row r="233" customFormat="false" ht="15" hidden="false" customHeight="false" outlineLevel="0" collapsed="false">
      <c r="A233" s="4" t="s">
        <v>139</v>
      </c>
      <c r="B233" s="4" t="s">
        <v>60</v>
      </c>
      <c r="C233" s="4" t="n">
        <v>3</v>
      </c>
      <c r="D233" s="4" t="n">
        <v>1</v>
      </c>
      <c r="E233" s="4" t="s">
        <v>26</v>
      </c>
      <c r="F233" s="3" t="s">
        <v>164</v>
      </c>
      <c r="G233" s="3" t="s">
        <v>547</v>
      </c>
      <c r="H233" s="3" t="s">
        <v>189</v>
      </c>
    </row>
    <row r="234" customFormat="false" ht="15" hidden="false" customHeight="false" outlineLevel="0" collapsed="false">
      <c r="A234" s="4" t="s">
        <v>139</v>
      </c>
      <c r="B234" s="4" t="s">
        <v>60</v>
      </c>
      <c r="C234" s="4" t="n">
        <v>4</v>
      </c>
      <c r="D234" s="4" t="n">
        <v>1</v>
      </c>
      <c r="E234" s="4" t="s">
        <v>34</v>
      </c>
      <c r="F234" s="3" t="s">
        <v>72</v>
      </c>
      <c r="G234" s="3" t="s">
        <v>546</v>
      </c>
      <c r="H234" s="3" t="s">
        <v>138</v>
      </c>
    </row>
    <row r="235" customFormat="false" ht="15" hidden="false" customHeight="false" outlineLevel="0" collapsed="false">
      <c r="A235" s="4" t="s">
        <v>139</v>
      </c>
      <c r="B235" s="4" t="s">
        <v>60</v>
      </c>
      <c r="C235" s="4" t="n">
        <v>5</v>
      </c>
      <c r="D235" s="4" t="n">
        <v>1</v>
      </c>
      <c r="E235" s="4" t="s">
        <v>37</v>
      </c>
      <c r="F235" s="3" t="s">
        <v>36</v>
      </c>
      <c r="G235" s="3" t="s">
        <v>535</v>
      </c>
      <c r="H235" s="3" t="s">
        <v>185</v>
      </c>
    </row>
    <row r="236" customFormat="false" ht="15" hidden="false" customHeight="false" outlineLevel="0" collapsed="false">
      <c r="A236" s="4" t="s">
        <v>139</v>
      </c>
      <c r="B236" s="4" t="s">
        <v>60</v>
      </c>
      <c r="C236" s="4" t="n">
        <v>6</v>
      </c>
      <c r="D236" s="4" t="n">
        <v>1</v>
      </c>
      <c r="E236" s="4" t="s">
        <v>42</v>
      </c>
      <c r="F236" s="3" t="s">
        <v>15</v>
      </c>
      <c r="G236" s="3" t="s">
        <v>548</v>
      </c>
      <c r="H236" s="3" t="s">
        <v>208</v>
      </c>
    </row>
    <row r="237" customFormat="false" ht="15" hidden="false" customHeight="false" outlineLevel="0" collapsed="false">
      <c r="A237" s="4" t="s">
        <v>139</v>
      </c>
      <c r="B237" s="4" t="s">
        <v>60</v>
      </c>
      <c r="C237" s="4" t="n">
        <v>7</v>
      </c>
      <c r="D237" s="4" t="n">
        <v>1</v>
      </c>
      <c r="E237" s="4" t="s">
        <v>39</v>
      </c>
      <c r="F237" s="3" t="s">
        <v>285</v>
      </c>
      <c r="G237" s="3" t="s">
        <v>283</v>
      </c>
      <c r="H237" s="3" t="s">
        <v>284</v>
      </c>
    </row>
    <row r="238" customFormat="false" ht="15" hidden="false" customHeight="false" outlineLevel="0" collapsed="false">
      <c r="A238" s="4" t="s">
        <v>139</v>
      </c>
      <c r="B238" s="4" t="s">
        <v>63</v>
      </c>
      <c r="C238" s="4" t="n">
        <v>1</v>
      </c>
      <c r="D238" s="4" t="n">
        <v>1</v>
      </c>
      <c r="E238" s="4" t="s">
        <v>16</v>
      </c>
      <c r="F238" s="3" t="s">
        <v>15</v>
      </c>
      <c r="G238" s="3" t="s">
        <v>548</v>
      </c>
      <c r="H238" s="3" t="s">
        <v>186</v>
      </c>
    </row>
    <row r="239" customFormat="false" ht="15" hidden="false" customHeight="false" outlineLevel="0" collapsed="false">
      <c r="A239" s="4" t="s">
        <v>139</v>
      </c>
      <c r="B239" s="4" t="s">
        <v>63</v>
      </c>
      <c r="C239" s="4" t="n">
        <v>2</v>
      </c>
      <c r="D239" s="4" t="n">
        <v>1</v>
      </c>
      <c r="E239" s="4" t="s">
        <v>21</v>
      </c>
      <c r="F239" s="3" t="s">
        <v>126</v>
      </c>
      <c r="G239" s="3" t="s">
        <v>504</v>
      </c>
      <c r="H239" s="3" t="s">
        <v>133</v>
      </c>
    </row>
    <row r="240" customFormat="false" ht="15" hidden="false" customHeight="false" outlineLevel="0" collapsed="false">
      <c r="A240" s="4" t="s">
        <v>139</v>
      </c>
      <c r="B240" s="4" t="s">
        <v>63</v>
      </c>
      <c r="C240" s="4" t="n">
        <v>3</v>
      </c>
      <c r="D240" s="4" t="n">
        <v>1</v>
      </c>
      <c r="E240" s="4" t="s">
        <v>26</v>
      </c>
      <c r="F240" s="3" t="s">
        <v>72</v>
      </c>
      <c r="G240" s="3" t="s">
        <v>546</v>
      </c>
      <c r="H240" s="3" t="s">
        <v>146</v>
      </c>
    </row>
    <row r="241" customFormat="false" ht="15" hidden="false" customHeight="false" outlineLevel="0" collapsed="false">
      <c r="A241" s="4" t="s">
        <v>139</v>
      </c>
      <c r="B241" s="4" t="s">
        <v>63</v>
      </c>
      <c r="C241" s="4" t="n">
        <v>4</v>
      </c>
      <c r="D241" s="4" t="n">
        <v>1</v>
      </c>
      <c r="E241" s="4" t="s">
        <v>34</v>
      </c>
      <c r="F241" s="3" t="s">
        <v>437</v>
      </c>
      <c r="G241" s="3" t="s">
        <v>436</v>
      </c>
      <c r="H241" s="3" t="s">
        <v>284</v>
      </c>
    </row>
    <row r="242" customFormat="false" ht="15" hidden="false" customHeight="false" outlineLevel="0" collapsed="false">
      <c r="A242" s="4" t="s">
        <v>139</v>
      </c>
      <c r="B242" s="4" t="s">
        <v>63</v>
      </c>
      <c r="C242" s="4" t="n">
        <v>5</v>
      </c>
      <c r="D242" s="4" t="n">
        <v>1</v>
      </c>
      <c r="E242" s="4" t="s">
        <v>37</v>
      </c>
      <c r="F242" s="3" t="s">
        <v>164</v>
      </c>
      <c r="G242" s="3" t="s">
        <v>547</v>
      </c>
      <c r="H242" s="3" t="s">
        <v>186</v>
      </c>
    </row>
    <row r="243" customFormat="false" ht="15" hidden="false" customHeight="false" outlineLevel="0" collapsed="false">
      <c r="A243" s="4" t="s">
        <v>139</v>
      </c>
      <c r="B243" s="4" t="s">
        <v>63</v>
      </c>
      <c r="C243" s="4" t="n">
        <v>6</v>
      </c>
      <c r="D243" s="4" t="n">
        <v>1</v>
      </c>
      <c r="E243" s="4" t="s">
        <v>42</v>
      </c>
      <c r="F243" s="3" t="s">
        <v>99</v>
      </c>
      <c r="G243" s="3" t="s">
        <v>433</v>
      </c>
      <c r="H243" s="3" t="s">
        <v>284</v>
      </c>
    </row>
    <row r="244" customFormat="false" ht="15" hidden="false" customHeight="false" outlineLevel="0" collapsed="false">
      <c r="A244" s="4" t="s">
        <v>139</v>
      </c>
      <c r="B244" s="4" t="s">
        <v>63</v>
      </c>
      <c r="C244" s="4" t="n">
        <v>7</v>
      </c>
      <c r="D244" s="4" t="n">
        <v>1</v>
      </c>
      <c r="E244" s="4" t="s">
        <v>39</v>
      </c>
      <c r="F244" s="3" t="s">
        <v>350</v>
      </c>
      <c r="G244" s="3" t="s">
        <v>126</v>
      </c>
      <c r="H244" s="3" t="s">
        <v>284</v>
      </c>
    </row>
    <row r="245" customFormat="false" ht="15" hidden="false" customHeight="false" outlineLevel="0" collapsed="false">
      <c r="A245" s="4" t="s">
        <v>139</v>
      </c>
      <c r="B245" s="4" t="s">
        <v>65</v>
      </c>
      <c r="C245" s="4" t="n">
        <v>1</v>
      </c>
      <c r="D245" s="4" t="n">
        <v>1</v>
      </c>
      <c r="E245" s="4" t="s">
        <v>16</v>
      </c>
      <c r="F245" s="3" t="s">
        <v>72</v>
      </c>
      <c r="G245" s="3" t="s">
        <v>546</v>
      </c>
      <c r="H245" s="3" t="s">
        <v>146</v>
      </c>
    </row>
    <row r="246" customFormat="false" ht="15" hidden="false" customHeight="false" outlineLevel="0" collapsed="false">
      <c r="A246" s="4" t="s">
        <v>139</v>
      </c>
      <c r="B246" s="4" t="s">
        <v>65</v>
      </c>
      <c r="C246" s="4" t="n">
        <v>2</v>
      </c>
      <c r="D246" s="4" t="n">
        <v>1</v>
      </c>
      <c r="E246" s="4" t="s">
        <v>21</v>
      </c>
      <c r="F246" s="3" t="s">
        <v>164</v>
      </c>
      <c r="G246" s="3" t="s">
        <v>547</v>
      </c>
      <c r="H246" s="3" t="s">
        <v>146</v>
      </c>
    </row>
    <row r="247" customFormat="false" ht="15" hidden="false" customHeight="false" outlineLevel="0" collapsed="false">
      <c r="A247" s="4" t="s">
        <v>139</v>
      </c>
      <c r="B247" s="4" t="s">
        <v>65</v>
      </c>
      <c r="C247" s="4" t="n">
        <v>3</v>
      </c>
      <c r="D247" s="4" t="n">
        <v>1</v>
      </c>
      <c r="E247" s="4" t="s">
        <v>26</v>
      </c>
      <c r="F247" s="3" t="s">
        <v>437</v>
      </c>
      <c r="G247" s="3" t="s">
        <v>436</v>
      </c>
      <c r="H247" s="3" t="s">
        <v>284</v>
      </c>
    </row>
    <row r="248" customFormat="false" ht="15" hidden="false" customHeight="false" outlineLevel="0" collapsed="false">
      <c r="A248" s="4" t="s">
        <v>139</v>
      </c>
      <c r="B248" s="4" t="s">
        <v>65</v>
      </c>
      <c r="C248" s="4" t="n">
        <v>4</v>
      </c>
      <c r="D248" s="4" t="n">
        <v>1</v>
      </c>
      <c r="E248" s="4" t="s">
        <v>34</v>
      </c>
      <c r="F248" s="3" t="s">
        <v>126</v>
      </c>
      <c r="G248" s="3" t="s">
        <v>504</v>
      </c>
      <c r="H248" s="3" t="s">
        <v>133</v>
      </c>
    </row>
    <row r="249" customFormat="false" ht="15" hidden="false" customHeight="false" outlineLevel="0" collapsed="false">
      <c r="A249" s="4" t="s">
        <v>139</v>
      </c>
      <c r="B249" s="4" t="s">
        <v>65</v>
      </c>
      <c r="C249" s="4" t="n">
        <v>5</v>
      </c>
      <c r="D249" s="4" t="n">
        <v>1</v>
      </c>
      <c r="E249" s="4" t="s">
        <v>37</v>
      </c>
      <c r="F249" s="3" t="s">
        <v>36</v>
      </c>
      <c r="G249" s="3" t="s">
        <v>535</v>
      </c>
      <c r="H249" s="3" t="s">
        <v>185</v>
      </c>
    </row>
    <row r="250" customFormat="false" ht="15" hidden="false" customHeight="false" outlineLevel="0" collapsed="false">
      <c r="A250" s="4" t="s">
        <v>139</v>
      </c>
      <c r="B250" s="4" t="s">
        <v>65</v>
      </c>
      <c r="C250" s="4" t="n">
        <v>6</v>
      </c>
      <c r="D250" s="4" t="n">
        <v>1</v>
      </c>
      <c r="E250" s="4" t="s">
        <v>42</v>
      </c>
      <c r="F250" s="3" t="s">
        <v>299</v>
      </c>
      <c r="G250" s="3" t="s">
        <v>540</v>
      </c>
      <c r="H250" s="3" t="s">
        <v>298</v>
      </c>
    </row>
    <row r="251" customFormat="false" ht="15" hidden="false" customHeight="false" outlineLevel="0" collapsed="false">
      <c r="A251" s="4" t="s">
        <v>139</v>
      </c>
      <c r="B251" s="4" t="s">
        <v>65</v>
      </c>
      <c r="C251" s="4" t="n">
        <v>7</v>
      </c>
      <c r="D251" s="4" t="n">
        <v>1</v>
      </c>
      <c r="E251" s="4" t="s">
        <v>39</v>
      </c>
      <c r="F251" s="3" t="s">
        <v>299</v>
      </c>
      <c r="G251" s="3" t="s">
        <v>541</v>
      </c>
      <c r="H251" s="3" t="s">
        <v>298</v>
      </c>
    </row>
    <row r="252" customFormat="false" ht="15" hidden="false" customHeight="false" outlineLevel="0" collapsed="false">
      <c r="A252" s="4" t="s">
        <v>139</v>
      </c>
      <c r="B252" s="4" t="s">
        <v>66</v>
      </c>
      <c r="C252" s="4" t="n">
        <v>1</v>
      </c>
      <c r="D252" s="4" t="n">
        <v>1</v>
      </c>
      <c r="E252" s="4" t="s">
        <v>16</v>
      </c>
      <c r="F252" s="3" t="s">
        <v>15</v>
      </c>
      <c r="G252" s="3" t="s">
        <v>548</v>
      </c>
      <c r="H252" s="3" t="s">
        <v>215</v>
      </c>
    </row>
    <row r="253" customFormat="false" ht="15" hidden="false" customHeight="false" outlineLevel="0" collapsed="false">
      <c r="A253" s="4" t="s">
        <v>139</v>
      </c>
      <c r="B253" s="4" t="s">
        <v>66</v>
      </c>
      <c r="C253" s="4" t="n">
        <v>2</v>
      </c>
      <c r="D253" s="4" t="n">
        <v>1</v>
      </c>
      <c r="E253" s="4" t="s">
        <v>21</v>
      </c>
      <c r="F253" s="3" t="s">
        <v>72</v>
      </c>
      <c r="G253" s="3" t="s">
        <v>546</v>
      </c>
      <c r="H253" s="3" t="s">
        <v>161</v>
      </c>
    </row>
    <row r="254" customFormat="false" ht="15" hidden="false" customHeight="false" outlineLevel="0" collapsed="false">
      <c r="A254" s="4" t="s">
        <v>139</v>
      </c>
      <c r="B254" s="4" t="s">
        <v>66</v>
      </c>
      <c r="C254" s="4" t="n">
        <v>3</v>
      </c>
      <c r="D254" s="4" t="n">
        <v>2</v>
      </c>
      <c r="E254" s="4" t="s">
        <v>542</v>
      </c>
      <c r="F254" s="3" t="s">
        <v>388</v>
      </c>
      <c r="G254" s="3" t="s">
        <v>545</v>
      </c>
      <c r="H254" s="3" t="s">
        <v>387</v>
      </c>
    </row>
    <row r="255" customFormat="false" ht="15" hidden="false" customHeight="false" outlineLevel="0" collapsed="false">
      <c r="A255" s="4" t="s">
        <v>139</v>
      </c>
      <c r="B255" s="4" t="s">
        <v>66</v>
      </c>
      <c r="C255" s="4" t="n">
        <v>5</v>
      </c>
      <c r="D255" s="4" t="n">
        <v>1</v>
      </c>
      <c r="E255" s="4" t="s">
        <v>37</v>
      </c>
      <c r="F255" s="3" t="s">
        <v>164</v>
      </c>
      <c r="G255" s="3" t="s">
        <v>547</v>
      </c>
      <c r="H255" s="3" t="s">
        <v>146</v>
      </c>
    </row>
    <row r="256" customFormat="false" ht="15" hidden="false" customHeight="false" outlineLevel="0" collapsed="false">
      <c r="A256" s="4" t="s">
        <v>139</v>
      </c>
      <c r="B256" s="4" t="s">
        <v>66</v>
      </c>
      <c r="C256" s="4" t="n">
        <v>6</v>
      </c>
      <c r="D256" s="4" t="n">
        <v>1</v>
      </c>
      <c r="E256" s="4" t="s">
        <v>42</v>
      </c>
      <c r="F256" s="3" t="s">
        <v>126</v>
      </c>
      <c r="G256" s="3" t="s">
        <v>504</v>
      </c>
      <c r="H256" s="3" t="s">
        <v>133</v>
      </c>
    </row>
    <row r="257" customFormat="false" ht="15" hidden="false" customHeight="false" outlineLevel="0" collapsed="false">
      <c r="A257" s="4" t="s">
        <v>139</v>
      </c>
      <c r="B257" s="4" t="s">
        <v>66</v>
      </c>
      <c r="C257" s="4" t="n">
        <v>7</v>
      </c>
      <c r="D257" s="4" t="n">
        <v>1</v>
      </c>
      <c r="E257" s="4" t="s">
        <v>39</v>
      </c>
      <c r="F257" s="3" t="s">
        <v>369</v>
      </c>
      <c r="G257" s="3" t="s">
        <v>367</v>
      </c>
      <c r="H257" s="3" t="s">
        <v>368</v>
      </c>
    </row>
    <row r="258" customFormat="false" ht="15" hidden="false" customHeight="false" outlineLevel="0" collapsed="false">
      <c r="A258" s="4" t="s">
        <v>137</v>
      </c>
      <c r="B258" s="4" t="s">
        <v>12</v>
      </c>
      <c r="C258" s="4" t="n">
        <v>1</v>
      </c>
      <c r="D258" s="4" t="n">
        <v>1</v>
      </c>
      <c r="E258" s="4" t="s">
        <v>16</v>
      </c>
      <c r="F258" s="3" t="s">
        <v>72</v>
      </c>
      <c r="G258" s="3" t="s">
        <v>546</v>
      </c>
      <c r="H258" s="3" t="s">
        <v>138</v>
      </c>
    </row>
    <row r="259" customFormat="false" ht="15" hidden="false" customHeight="false" outlineLevel="0" collapsed="false">
      <c r="A259" s="4" t="s">
        <v>137</v>
      </c>
      <c r="B259" s="4" t="s">
        <v>12</v>
      </c>
      <c r="C259" s="4" t="n">
        <v>2</v>
      </c>
      <c r="D259" s="4" t="n">
        <v>1</v>
      </c>
      <c r="E259" s="4" t="s">
        <v>21</v>
      </c>
      <c r="F259" s="3" t="s">
        <v>126</v>
      </c>
      <c r="G259" s="3" t="s">
        <v>509</v>
      </c>
      <c r="H259" s="3" t="s">
        <v>133</v>
      </c>
    </row>
    <row r="260" customFormat="false" ht="15" hidden="false" customHeight="false" outlineLevel="0" collapsed="false">
      <c r="A260" s="4" t="s">
        <v>137</v>
      </c>
      <c r="B260" s="4" t="s">
        <v>12</v>
      </c>
      <c r="C260" s="4" t="n">
        <v>3</v>
      </c>
      <c r="D260" s="4" t="n">
        <v>1</v>
      </c>
      <c r="E260" s="4" t="s">
        <v>26</v>
      </c>
      <c r="F260" s="3" t="s">
        <v>99</v>
      </c>
      <c r="G260" s="3" t="s">
        <v>433</v>
      </c>
      <c r="H260" s="3" t="s">
        <v>434</v>
      </c>
    </row>
    <row r="261" customFormat="false" ht="15" hidden="false" customHeight="false" outlineLevel="0" collapsed="false">
      <c r="A261" s="4" t="s">
        <v>137</v>
      </c>
      <c r="B261" s="4" t="s">
        <v>12</v>
      </c>
      <c r="C261" s="4" t="n">
        <v>4</v>
      </c>
      <c r="D261" s="4" t="n">
        <v>1</v>
      </c>
      <c r="E261" s="4" t="s">
        <v>34</v>
      </c>
      <c r="F261" s="3" t="s">
        <v>164</v>
      </c>
      <c r="G261" s="3" t="s">
        <v>547</v>
      </c>
      <c r="H261" s="3" t="s">
        <v>138</v>
      </c>
    </row>
    <row r="262" customFormat="false" ht="15" hidden="false" customHeight="false" outlineLevel="0" collapsed="false">
      <c r="A262" s="4" t="s">
        <v>137</v>
      </c>
      <c r="B262" s="4" t="s">
        <v>12</v>
      </c>
      <c r="C262" s="4" t="n">
        <v>5</v>
      </c>
      <c r="D262" s="4" t="n">
        <v>1</v>
      </c>
      <c r="E262" s="4" t="s">
        <v>37</v>
      </c>
      <c r="F262" s="3" t="s">
        <v>15</v>
      </c>
      <c r="G262" s="3" t="s">
        <v>548</v>
      </c>
      <c r="H262" s="3" t="s">
        <v>138</v>
      </c>
    </row>
    <row r="263" customFormat="false" ht="15" hidden="false" customHeight="false" outlineLevel="0" collapsed="false">
      <c r="A263" s="4" t="s">
        <v>137</v>
      </c>
      <c r="B263" s="4" t="s">
        <v>12</v>
      </c>
      <c r="C263" s="4" t="n">
        <v>6</v>
      </c>
      <c r="D263" s="4" t="n">
        <v>1</v>
      </c>
      <c r="E263" s="4" t="s">
        <v>42</v>
      </c>
      <c r="F263" s="3" t="s">
        <v>299</v>
      </c>
      <c r="G263" s="3" t="s">
        <v>540</v>
      </c>
      <c r="H263" s="3" t="s">
        <v>298</v>
      </c>
    </row>
    <row r="264" customFormat="false" ht="15" hidden="false" customHeight="false" outlineLevel="0" collapsed="false">
      <c r="A264" s="4" t="s">
        <v>137</v>
      </c>
      <c r="B264" s="4" t="s">
        <v>12</v>
      </c>
      <c r="C264" s="4" t="n">
        <v>7</v>
      </c>
      <c r="D264" s="4" t="n">
        <v>1</v>
      </c>
      <c r="E264" s="4" t="s">
        <v>39</v>
      </c>
      <c r="F264" s="3" t="s">
        <v>299</v>
      </c>
      <c r="G264" s="3" t="s">
        <v>541</v>
      </c>
      <c r="H264" s="3" t="s">
        <v>298</v>
      </c>
    </row>
    <row r="265" customFormat="false" ht="15" hidden="false" customHeight="false" outlineLevel="0" collapsed="false">
      <c r="A265" s="4" t="s">
        <v>137</v>
      </c>
      <c r="B265" s="4" t="s">
        <v>31</v>
      </c>
      <c r="C265" s="4" t="n">
        <v>1</v>
      </c>
      <c r="D265" s="4" t="n">
        <v>1</v>
      </c>
      <c r="E265" s="4" t="s">
        <v>16</v>
      </c>
      <c r="F265" s="3" t="s">
        <v>15</v>
      </c>
      <c r="G265" s="3" t="s">
        <v>548</v>
      </c>
      <c r="H265" s="3" t="s">
        <v>146</v>
      </c>
    </row>
    <row r="266" customFormat="false" ht="15" hidden="false" customHeight="false" outlineLevel="0" collapsed="false">
      <c r="A266" s="4" t="s">
        <v>137</v>
      </c>
      <c r="B266" s="4" t="s">
        <v>31</v>
      </c>
      <c r="C266" s="4" t="n">
        <v>2</v>
      </c>
      <c r="D266" s="4" t="n">
        <v>1</v>
      </c>
      <c r="E266" s="4" t="s">
        <v>21</v>
      </c>
      <c r="F266" s="3" t="s">
        <v>164</v>
      </c>
      <c r="G266" s="3" t="s">
        <v>547</v>
      </c>
      <c r="H266" s="3" t="s">
        <v>146</v>
      </c>
    </row>
    <row r="267" customFormat="false" ht="15" hidden="false" customHeight="false" outlineLevel="0" collapsed="false">
      <c r="A267" s="4" t="s">
        <v>137</v>
      </c>
      <c r="B267" s="4" t="s">
        <v>31</v>
      </c>
      <c r="C267" s="4" t="n">
        <v>3</v>
      </c>
      <c r="D267" s="4" t="n">
        <v>1</v>
      </c>
      <c r="E267" s="4" t="s">
        <v>26</v>
      </c>
      <c r="F267" s="3" t="s">
        <v>126</v>
      </c>
      <c r="G267" s="3" t="s">
        <v>509</v>
      </c>
      <c r="H267" s="3" t="s">
        <v>125</v>
      </c>
    </row>
    <row r="268" customFormat="false" ht="15" hidden="false" customHeight="false" outlineLevel="0" collapsed="false">
      <c r="A268" s="4" t="s">
        <v>137</v>
      </c>
      <c r="B268" s="4" t="s">
        <v>31</v>
      </c>
      <c r="C268" s="4" t="n">
        <v>4</v>
      </c>
      <c r="D268" s="4" t="n">
        <v>1</v>
      </c>
      <c r="E268" s="4" t="s">
        <v>34</v>
      </c>
      <c r="F268" s="3" t="s">
        <v>350</v>
      </c>
      <c r="G268" s="3" t="s">
        <v>126</v>
      </c>
      <c r="H268" s="3" t="s">
        <v>434</v>
      </c>
    </row>
    <row r="269" customFormat="false" ht="15" hidden="false" customHeight="false" outlineLevel="0" collapsed="false">
      <c r="A269" s="4" t="s">
        <v>137</v>
      </c>
      <c r="B269" s="4" t="s">
        <v>31</v>
      </c>
      <c r="C269" s="4" t="n">
        <v>5</v>
      </c>
      <c r="D269" s="4" t="n">
        <v>1</v>
      </c>
      <c r="E269" s="4" t="s">
        <v>37</v>
      </c>
      <c r="F269" s="3" t="s">
        <v>36</v>
      </c>
      <c r="G269" s="3" t="s">
        <v>535</v>
      </c>
      <c r="H269" s="3" t="s">
        <v>185</v>
      </c>
    </row>
    <row r="270" customFormat="false" ht="15" hidden="false" customHeight="false" outlineLevel="0" collapsed="false">
      <c r="A270" s="4" t="s">
        <v>137</v>
      </c>
      <c r="B270" s="4" t="s">
        <v>31</v>
      </c>
      <c r="C270" s="4" t="n">
        <v>6</v>
      </c>
      <c r="D270" s="4" t="n">
        <v>1</v>
      </c>
      <c r="E270" s="4" t="s">
        <v>42</v>
      </c>
      <c r="F270" s="3" t="s">
        <v>72</v>
      </c>
      <c r="G270" s="3" t="s">
        <v>546</v>
      </c>
      <c r="H270" s="3" t="s">
        <v>146</v>
      </c>
    </row>
    <row r="271" customFormat="false" ht="15" hidden="false" customHeight="false" outlineLevel="0" collapsed="false">
      <c r="A271" s="4" t="s">
        <v>137</v>
      </c>
      <c r="B271" s="4" t="s">
        <v>31</v>
      </c>
      <c r="C271" s="4" t="n">
        <v>7</v>
      </c>
      <c r="D271" s="4" t="n">
        <v>1</v>
      </c>
      <c r="E271" s="4" t="s">
        <v>39</v>
      </c>
      <c r="F271" s="3" t="s">
        <v>285</v>
      </c>
      <c r="G271" s="3" t="s">
        <v>514</v>
      </c>
      <c r="H271" s="3" t="s">
        <v>434</v>
      </c>
    </row>
    <row r="272" customFormat="false" ht="15" hidden="false" customHeight="false" outlineLevel="0" collapsed="false">
      <c r="A272" s="4" t="s">
        <v>137</v>
      </c>
      <c r="B272" s="4" t="s">
        <v>40</v>
      </c>
      <c r="C272" s="4" t="n">
        <v>1</v>
      </c>
      <c r="D272" s="4" t="n">
        <v>1</v>
      </c>
      <c r="E272" s="4" t="s">
        <v>16</v>
      </c>
      <c r="F272" s="3" t="s">
        <v>15</v>
      </c>
      <c r="G272" s="3" t="s">
        <v>548</v>
      </c>
      <c r="H272" s="3" t="s">
        <v>205</v>
      </c>
    </row>
    <row r="273" customFormat="false" ht="15" hidden="false" customHeight="false" outlineLevel="0" collapsed="false">
      <c r="A273" s="4" t="s">
        <v>137</v>
      </c>
      <c r="B273" s="4" t="s">
        <v>40</v>
      </c>
      <c r="C273" s="4" t="n">
        <v>2</v>
      </c>
      <c r="D273" s="4" t="n">
        <v>1</v>
      </c>
      <c r="E273" s="4" t="s">
        <v>21</v>
      </c>
      <c r="F273" s="3" t="s">
        <v>72</v>
      </c>
      <c r="G273" s="3" t="s">
        <v>546</v>
      </c>
      <c r="H273" s="3" t="s">
        <v>148</v>
      </c>
    </row>
    <row r="274" customFormat="false" ht="15" hidden="false" customHeight="false" outlineLevel="0" collapsed="false">
      <c r="A274" s="4" t="s">
        <v>137</v>
      </c>
      <c r="B274" s="4" t="s">
        <v>40</v>
      </c>
      <c r="C274" s="4" t="n">
        <v>3</v>
      </c>
      <c r="D274" s="4" t="n">
        <v>2</v>
      </c>
      <c r="E274" s="4" t="s">
        <v>542</v>
      </c>
      <c r="F274" s="3" t="s">
        <v>164</v>
      </c>
      <c r="G274" s="3" t="s">
        <v>547</v>
      </c>
      <c r="H274" s="3" t="s">
        <v>186</v>
      </c>
    </row>
    <row r="275" customFormat="false" ht="15" hidden="false" customHeight="false" outlineLevel="0" collapsed="false">
      <c r="A275" s="4" t="s">
        <v>137</v>
      </c>
      <c r="B275" s="4" t="s">
        <v>40</v>
      </c>
      <c r="C275" s="4" t="n">
        <v>5</v>
      </c>
      <c r="D275" s="4" t="n">
        <v>1</v>
      </c>
      <c r="E275" s="4" t="s">
        <v>37</v>
      </c>
      <c r="F275" s="3" t="s">
        <v>126</v>
      </c>
      <c r="G275" s="3" t="s">
        <v>509</v>
      </c>
      <c r="H275" s="3" t="s">
        <v>133</v>
      </c>
    </row>
    <row r="276" customFormat="false" ht="15" hidden="false" customHeight="false" outlineLevel="0" collapsed="false">
      <c r="A276" s="4" t="s">
        <v>137</v>
      </c>
      <c r="B276" s="4" t="s">
        <v>40</v>
      </c>
      <c r="C276" s="4" t="n">
        <v>6</v>
      </c>
      <c r="D276" s="4" t="n">
        <v>2</v>
      </c>
      <c r="E276" s="4" t="s">
        <v>536</v>
      </c>
      <c r="F276" s="3" t="s">
        <v>432</v>
      </c>
      <c r="G276" s="3" t="s">
        <v>430</v>
      </c>
      <c r="H276" s="3" t="s">
        <v>431</v>
      </c>
    </row>
    <row r="277" customFormat="false" ht="15" hidden="false" customHeight="false" outlineLevel="0" collapsed="false">
      <c r="A277" s="4" t="s">
        <v>137</v>
      </c>
      <c r="B277" s="4" t="s">
        <v>44</v>
      </c>
      <c r="C277" s="4" t="n">
        <v>1</v>
      </c>
      <c r="D277" s="4" t="n">
        <v>1</v>
      </c>
      <c r="E277" s="4" t="s">
        <v>16</v>
      </c>
      <c r="F277" s="3" t="s">
        <v>437</v>
      </c>
      <c r="G277" s="3" t="s">
        <v>481</v>
      </c>
      <c r="H277" s="3" t="s">
        <v>434</v>
      </c>
    </row>
    <row r="278" customFormat="false" ht="15" hidden="false" customHeight="false" outlineLevel="0" collapsed="false">
      <c r="A278" s="4" t="s">
        <v>137</v>
      </c>
      <c r="B278" s="4" t="s">
        <v>44</v>
      </c>
      <c r="C278" s="4" t="n">
        <v>2</v>
      </c>
      <c r="D278" s="4" t="n">
        <v>1</v>
      </c>
      <c r="E278" s="4" t="s">
        <v>21</v>
      </c>
      <c r="F278" s="3" t="s">
        <v>126</v>
      </c>
      <c r="G278" s="3" t="s">
        <v>509</v>
      </c>
      <c r="H278" s="3" t="s">
        <v>125</v>
      </c>
    </row>
    <row r="279" customFormat="false" ht="15" hidden="false" customHeight="false" outlineLevel="0" collapsed="false">
      <c r="A279" s="4" t="s">
        <v>137</v>
      </c>
      <c r="B279" s="4" t="s">
        <v>44</v>
      </c>
      <c r="C279" s="4" t="n">
        <v>3</v>
      </c>
      <c r="D279" s="4" t="n">
        <v>1</v>
      </c>
      <c r="E279" s="4" t="s">
        <v>26</v>
      </c>
      <c r="F279" s="3" t="s">
        <v>15</v>
      </c>
      <c r="G279" s="3" t="s">
        <v>548</v>
      </c>
      <c r="H279" s="3" t="s">
        <v>208</v>
      </c>
    </row>
    <row r="280" customFormat="false" ht="15" hidden="false" customHeight="false" outlineLevel="0" collapsed="false">
      <c r="A280" s="4" t="s">
        <v>137</v>
      </c>
      <c r="B280" s="4" t="s">
        <v>44</v>
      </c>
      <c r="C280" s="4" t="n">
        <v>4</v>
      </c>
      <c r="D280" s="4" t="n">
        <v>1</v>
      </c>
      <c r="E280" s="4" t="s">
        <v>34</v>
      </c>
      <c r="F280" s="3" t="s">
        <v>72</v>
      </c>
      <c r="G280" s="3" t="s">
        <v>546</v>
      </c>
      <c r="H280" s="3" t="s">
        <v>151</v>
      </c>
    </row>
    <row r="281" customFormat="false" ht="15" hidden="false" customHeight="false" outlineLevel="0" collapsed="false">
      <c r="A281" s="4" t="s">
        <v>137</v>
      </c>
      <c r="B281" s="4" t="s">
        <v>44</v>
      </c>
      <c r="C281" s="4" t="n">
        <v>5</v>
      </c>
      <c r="D281" s="4" t="n">
        <v>1</v>
      </c>
      <c r="E281" s="4" t="s">
        <v>37</v>
      </c>
      <c r="F281" s="3" t="s">
        <v>36</v>
      </c>
      <c r="G281" s="3" t="s">
        <v>535</v>
      </c>
      <c r="H281" s="3" t="s">
        <v>185</v>
      </c>
    </row>
    <row r="282" customFormat="false" ht="15" hidden="false" customHeight="false" outlineLevel="0" collapsed="false">
      <c r="A282" s="4" t="s">
        <v>137</v>
      </c>
      <c r="B282" s="4" t="s">
        <v>44</v>
      </c>
      <c r="C282" s="4" t="n">
        <v>6</v>
      </c>
      <c r="D282" s="4" t="n">
        <v>1</v>
      </c>
      <c r="E282" s="4" t="s">
        <v>42</v>
      </c>
      <c r="F282" s="3" t="s">
        <v>369</v>
      </c>
      <c r="G282" s="3" t="s">
        <v>417</v>
      </c>
      <c r="H282" s="3" t="s">
        <v>368</v>
      </c>
    </row>
    <row r="283" customFormat="false" ht="15" hidden="false" customHeight="false" outlineLevel="0" collapsed="false">
      <c r="A283" s="4" t="s">
        <v>137</v>
      </c>
      <c r="B283" s="4" t="s">
        <v>44</v>
      </c>
      <c r="C283" s="4" t="n">
        <v>7</v>
      </c>
      <c r="D283" s="4" t="n">
        <v>1</v>
      </c>
      <c r="E283" s="4" t="s">
        <v>39</v>
      </c>
      <c r="F283" s="3" t="s">
        <v>164</v>
      </c>
      <c r="G283" s="3" t="s">
        <v>547</v>
      </c>
      <c r="H283" s="3" t="s">
        <v>146</v>
      </c>
    </row>
    <row r="284" customFormat="false" ht="15" hidden="false" customHeight="false" outlineLevel="0" collapsed="false">
      <c r="A284" s="4" t="s">
        <v>137</v>
      </c>
      <c r="B284" s="4" t="s">
        <v>47</v>
      </c>
      <c r="C284" s="4" t="n">
        <v>1</v>
      </c>
      <c r="D284" s="4" t="n">
        <v>1</v>
      </c>
      <c r="E284" s="4" t="s">
        <v>16</v>
      </c>
      <c r="F284" s="3" t="s">
        <v>99</v>
      </c>
      <c r="G284" s="3" t="s">
        <v>433</v>
      </c>
      <c r="H284" s="3" t="s">
        <v>434</v>
      </c>
    </row>
    <row r="285" customFormat="false" ht="15" hidden="false" customHeight="false" outlineLevel="0" collapsed="false">
      <c r="A285" s="4" t="s">
        <v>137</v>
      </c>
      <c r="B285" s="4" t="s">
        <v>47</v>
      </c>
      <c r="C285" s="4" t="n">
        <v>2</v>
      </c>
      <c r="D285" s="4" t="n">
        <v>1</v>
      </c>
      <c r="E285" s="4" t="s">
        <v>21</v>
      </c>
      <c r="F285" s="3" t="s">
        <v>72</v>
      </c>
      <c r="G285" s="3" t="s">
        <v>546</v>
      </c>
      <c r="H285" s="3" t="s">
        <v>146</v>
      </c>
    </row>
    <row r="286" customFormat="false" ht="15" hidden="false" customHeight="false" outlineLevel="0" collapsed="false">
      <c r="A286" s="4" t="s">
        <v>137</v>
      </c>
      <c r="B286" s="4" t="s">
        <v>47</v>
      </c>
      <c r="C286" s="4" t="n">
        <v>3</v>
      </c>
      <c r="D286" s="4" t="n">
        <v>1</v>
      </c>
      <c r="E286" s="4" t="s">
        <v>26</v>
      </c>
      <c r="F286" s="3" t="s">
        <v>126</v>
      </c>
      <c r="G286" s="3" t="s">
        <v>509</v>
      </c>
      <c r="H286" s="3" t="s">
        <v>125</v>
      </c>
    </row>
    <row r="287" customFormat="false" ht="15" hidden="false" customHeight="false" outlineLevel="0" collapsed="false">
      <c r="A287" s="4" t="s">
        <v>137</v>
      </c>
      <c r="B287" s="4" t="s">
        <v>47</v>
      </c>
      <c r="C287" s="4" t="n">
        <v>4</v>
      </c>
      <c r="D287" s="4" t="n">
        <v>1</v>
      </c>
      <c r="E287" s="4" t="s">
        <v>34</v>
      </c>
      <c r="F287" s="3" t="s">
        <v>437</v>
      </c>
      <c r="G287" s="3" t="s">
        <v>481</v>
      </c>
      <c r="H287" s="3" t="s">
        <v>434</v>
      </c>
    </row>
    <row r="288" customFormat="false" ht="15" hidden="false" customHeight="false" outlineLevel="0" collapsed="false">
      <c r="A288" s="4" t="s">
        <v>137</v>
      </c>
      <c r="B288" s="4" t="s">
        <v>47</v>
      </c>
      <c r="C288" s="4" t="n">
        <v>5</v>
      </c>
      <c r="D288" s="4" t="n">
        <v>1</v>
      </c>
      <c r="E288" s="4" t="s">
        <v>37</v>
      </c>
      <c r="F288" s="3" t="s">
        <v>164</v>
      </c>
      <c r="G288" s="3" t="s">
        <v>547</v>
      </c>
      <c r="H288" s="3" t="s">
        <v>188</v>
      </c>
    </row>
    <row r="289" customFormat="false" ht="15" hidden="false" customHeight="false" outlineLevel="0" collapsed="false">
      <c r="A289" s="4" t="s">
        <v>137</v>
      </c>
      <c r="B289" s="4" t="s">
        <v>47</v>
      </c>
      <c r="C289" s="4" t="n">
        <v>6</v>
      </c>
      <c r="D289" s="4" t="n">
        <v>1</v>
      </c>
      <c r="E289" s="4" t="s">
        <v>42</v>
      </c>
      <c r="F289" s="3" t="s">
        <v>350</v>
      </c>
      <c r="G289" s="3" t="s">
        <v>126</v>
      </c>
      <c r="H289" s="3" t="s">
        <v>434</v>
      </c>
    </row>
    <row r="290" customFormat="false" ht="15" hidden="false" customHeight="false" outlineLevel="0" collapsed="false">
      <c r="A290" s="4" t="s">
        <v>137</v>
      </c>
      <c r="B290" s="4" t="s">
        <v>47</v>
      </c>
      <c r="C290" s="4" t="n">
        <v>7</v>
      </c>
      <c r="D290" s="4" t="n">
        <v>1</v>
      </c>
      <c r="E290" s="4" t="s">
        <v>39</v>
      </c>
      <c r="F290" s="3" t="s">
        <v>15</v>
      </c>
      <c r="G290" s="3" t="s">
        <v>548</v>
      </c>
      <c r="H290" s="3" t="s">
        <v>154</v>
      </c>
    </row>
    <row r="291" customFormat="false" ht="15" hidden="false" customHeight="false" outlineLevel="0" collapsed="false">
      <c r="A291" s="4" t="s">
        <v>137</v>
      </c>
      <c r="B291" s="4" t="s">
        <v>50</v>
      </c>
      <c r="C291" s="4" t="n">
        <v>1</v>
      </c>
      <c r="D291" s="4" t="n">
        <v>2</v>
      </c>
      <c r="E291" s="4" t="s">
        <v>539</v>
      </c>
      <c r="F291" s="3" t="s">
        <v>72</v>
      </c>
      <c r="G291" s="3" t="s">
        <v>546</v>
      </c>
      <c r="H291" s="3" t="s">
        <v>154</v>
      </c>
    </row>
    <row r="292" customFormat="false" ht="15" hidden="false" customHeight="false" outlineLevel="0" collapsed="false">
      <c r="A292" s="4" t="s">
        <v>137</v>
      </c>
      <c r="B292" s="4" t="s">
        <v>50</v>
      </c>
      <c r="C292" s="4" t="n">
        <v>3</v>
      </c>
      <c r="D292" s="4" t="n">
        <v>1</v>
      </c>
      <c r="E292" s="4" t="s">
        <v>26</v>
      </c>
      <c r="F292" s="3" t="s">
        <v>15</v>
      </c>
      <c r="G292" s="3" t="s">
        <v>548</v>
      </c>
      <c r="H292" s="3" t="s">
        <v>212</v>
      </c>
    </row>
    <row r="293" customFormat="false" ht="15" hidden="false" customHeight="false" outlineLevel="0" collapsed="false">
      <c r="A293" s="4" t="s">
        <v>137</v>
      </c>
      <c r="B293" s="4" t="s">
        <v>50</v>
      </c>
      <c r="C293" s="4" t="n">
        <v>4</v>
      </c>
      <c r="D293" s="4" t="n">
        <v>2</v>
      </c>
      <c r="E293" s="4" t="s">
        <v>533</v>
      </c>
      <c r="F293" s="3" t="s">
        <v>222</v>
      </c>
      <c r="G293" s="3" t="s">
        <v>538</v>
      </c>
      <c r="H293" s="3" t="s">
        <v>221</v>
      </c>
    </row>
    <row r="294" customFormat="false" ht="15" hidden="false" customHeight="false" outlineLevel="0" collapsed="false">
      <c r="A294" s="4" t="s">
        <v>137</v>
      </c>
      <c r="B294" s="4" t="s">
        <v>50</v>
      </c>
      <c r="C294" s="4" t="n">
        <v>6</v>
      </c>
      <c r="D294" s="4" t="n">
        <v>1</v>
      </c>
      <c r="E294" s="4" t="s">
        <v>42</v>
      </c>
      <c r="F294" s="3" t="s">
        <v>164</v>
      </c>
      <c r="G294" s="3" t="s">
        <v>547</v>
      </c>
      <c r="H294" s="3" t="s">
        <v>146</v>
      </c>
    </row>
    <row r="295" customFormat="false" ht="15" hidden="false" customHeight="false" outlineLevel="0" collapsed="false">
      <c r="A295" s="4" t="s">
        <v>137</v>
      </c>
      <c r="B295" s="4" t="s">
        <v>50</v>
      </c>
      <c r="C295" s="4" t="n">
        <v>7</v>
      </c>
      <c r="D295" s="4" t="n">
        <v>1</v>
      </c>
      <c r="E295" s="4" t="s">
        <v>39</v>
      </c>
      <c r="F295" s="3" t="s">
        <v>126</v>
      </c>
      <c r="G295" s="3" t="s">
        <v>509</v>
      </c>
      <c r="H295" s="3" t="s">
        <v>125</v>
      </c>
    </row>
    <row r="296" customFormat="false" ht="15" hidden="false" customHeight="false" outlineLevel="0" collapsed="false">
      <c r="A296" s="4" t="s">
        <v>137</v>
      </c>
      <c r="B296" s="4" t="s">
        <v>60</v>
      </c>
      <c r="C296" s="4" t="n">
        <v>1</v>
      </c>
      <c r="D296" s="4" t="n">
        <v>2</v>
      </c>
      <c r="E296" s="4" t="s">
        <v>539</v>
      </c>
      <c r="F296" s="3" t="s">
        <v>432</v>
      </c>
      <c r="G296" s="3" t="s">
        <v>430</v>
      </c>
      <c r="H296" s="3" t="s">
        <v>431</v>
      </c>
    </row>
    <row r="297" customFormat="false" ht="15" hidden="false" customHeight="false" outlineLevel="0" collapsed="false">
      <c r="A297" s="4" t="s">
        <v>137</v>
      </c>
      <c r="B297" s="4" t="s">
        <v>60</v>
      </c>
      <c r="C297" s="4" t="n">
        <v>3</v>
      </c>
      <c r="D297" s="4" t="n">
        <v>1</v>
      </c>
      <c r="E297" s="4" t="s">
        <v>26</v>
      </c>
      <c r="F297" s="3" t="s">
        <v>164</v>
      </c>
      <c r="G297" s="3" t="s">
        <v>547</v>
      </c>
      <c r="H297" s="3" t="s">
        <v>189</v>
      </c>
    </row>
    <row r="298" customFormat="false" ht="15" hidden="false" customHeight="false" outlineLevel="0" collapsed="false">
      <c r="A298" s="4" t="s">
        <v>137</v>
      </c>
      <c r="B298" s="4" t="s">
        <v>60</v>
      </c>
      <c r="C298" s="4" t="n">
        <v>4</v>
      </c>
      <c r="D298" s="4" t="n">
        <v>1</v>
      </c>
      <c r="E298" s="4" t="s">
        <v>34</v>
      </c>
      <c r="F298" s="3" t="s">
        <v>72</v>
      </c>
      <c r="G298" s="3" t="s">
        <v>546</v>
      </c>
      <c r="H298" s="3" t="s">
        <v>138</v>
      </c>
    </row>
    <row r="299" customFormat="false" ht="15" hidden="false" customHeight="false" outlineLevel="0" collapsed="false">
      <c r="A299" s="4" t="s">
        <v>137</v>
      </c>
      <c r="B299" s="4" t="s">
        <v>60</v>
      </c>
      <c r="C299" s="4" t="n">
        <v>5</v>
      </c>
      <c r="D299" s="4" t="n">
        <v>1</v>
      </c>
      <c r="E299" s="4" t="s">
        <v>37</v>
      </c>
      <c r="F299" s="3" t="s">
        <v>36</v>
      </c>
      <c r="G299" s="3" t="s">
        <v>535</v>
      </c>
      <c r="H299" s="3" t="s">
        <v>185</v>
      </c>
    </row>
    <row r="300" customFormat="false" ht="15" hidden="false" customHeight="false" outlineLevel="0" collapsed="false">
      <c r="A300" s="4" t="s">
        <v>137</v>
      </c>
      <c r="B300" s="4" t="s">
        <v>60</v>
      </c>
      <c r="C300" s="4" t="n">
        <v>6</v>
      </c>
      <c r="D300" s="4" t="n">
        <v>1</v>
      </c>
      <c r="E300" s="4" t="s">
        <v>42</v>
      </c>
      <c r="F300" s="3" t="s">
        <v>15</v>
      </c>
      <c r="G300" s="3" t="s">
        <v>548</v>
      </c>
      <c r="H300" s="3" t="s">
        <v>208</v>
      </c>
    </row>
    <row r="301" customFormat="false" ht="15" hidden="false" customHeight="false" outlineLevel="0" collapsed="false">
      <c r="A301" s="4" t="s">
        <v>137</v>
      </c>
      <c r="B301" s="4" t="s">
        <v>60</v>
      </c>
      <c r="C301" s="4" t="n">
        <v>7</v>
      </c>
      <c r="D301" s="4" t="n">
        <v>1</v>
      </c>
      <c r="E301" s="4" t="s">
        <v>39</v>
      </c>
      <c r="F301" s="3" t="s">
        <v>126</v>
      </c>
      <c r="G301" s="3" t="s">
        <v>509</v>
      </c>
      <c r="H301" s="3" t="s">
        <v>133</v>
      </c>
    </row>
    <row r="302" customFormat="false" ht="15" hidden="false" customHeight="false" outlineLevel="0" collapsed="false">
      <c r="A302" s="4" t="s">
        <v>137</v>
      </c>
      <c r="B302" s="4" t="s">
        <v>63</v>
      </c>
      <c r="C302" s="4" t="n">
        <v>1</v>
      </c>
      <c r="D302" s="4" t="n">
        <v>1</v>
      </c>
      <c r="E302" s="4" t="s">
        <v>16</v>
      </c>
      <c r="F302" s="3" t="s">
        <v>15</v>
      </c>
      <c r="G302" s="3" t="s">
        <v>548</v>
      </c>
      <c r="H302" s="3" t="s">
        <v>186</v>
      </c>
    </row>
    <row r="303" customFormat="false" ht="15" hidden="false" customHeight="false" outlineLevel="0" collapsed="false">
      <c r="A303" s="4" t="s">
        <v>137</v>
      </c>
      <c r="B303" s="4" t="s">
        <v>63</v>
      </c>
      <c r="C303" s="4" t="n">
        <v>2</v>
      </c>
      <c r="D303" s="4" t="n">
        <v>1</v>
      </c>
      <c r="E303" s="4" t="s">
        <v>21</v>
      </c>
      <c r="F303" s="3" t="s">
        <v>296</v>
      </c>
      <c r="G303" s="3" t="s">
        <v>530</v>
      </c>
      <c r="H303" s="3" t="s">
        <v>297</v>
      </c>
    </row>
    <row r="304" customFormat="false" ht="15" hidden="false" customHeight="false" outlineLevel="0" collapsed="false">
      <c r="A304" s="4" t="s">
        <v>137</v>
      </c>
      <c r="B304" s="4" t="s">
        <v>63</v>
      </c>
      <c r="C304" s="4" t="n">
        <v>3</v>
      </c>
      <c r="D304" s="4" t="n">
        <v>1</v>
      </c>
      <c r="E304" s="4" t="s">
        <v>26</v>
      </c>
      <c r="F304" s="3" t="s">
        <v>72</v>
      </c>
      <c r="G304" s="3" t="s">
        <v>546</v>
      </c>
      <c r="H304" s="3" t="s">
        <v>146</v>
      </c>
    </row>
    <row r="305" customFormat="false" ht="15" hidden="false" customHeight="false" outlineLevel="0" collapsed="false">
      <c r="A305" s="4" t="s">
        <v>137</v>
      </c>
      <c r="B305" s="4" t="s">
        <v>63</v>
      </c>
      <c r="C305" s="4" t="n">
        <v>4</v>
      </c>
      <c r="D305" s="4" t="n">
        <v>1</v>
      </c>
      <c r="E305" s="4" t="s">
        <v>34</v>
      </c>
      <c r="F305" s="3" t="s">
        <v>285</v>
      </c>
      <c r="G305" s="3" t="s">
        <v>514</v>
      </c>
      <c r="H305" s="3" t="s">
        <v>434</v>
      </c>
    </row>
    <row r="306" customFormat="false" ht="15" hidden="false" customHeight="false" outlineLevel="0" collapsed="false">
      <c r="A306" s="4" t="s">
        <v>137</v>
      </c>
      <c r="B306" s="4" t="s">
        <v>63</v>
      </c>
      <c r="C306" s="4" t="n">
        <v>5</v>
      </c>
      <c r="D306" s="4" t="n">
        <v>1</v>
      </c>
      <c r="E306" s="4" t="s">
        <v>37</v>
      </c>
      <c r="F306" s="3" t="s">
        <v>164</v>
      </c>
      <c r="G306" s="3" t="s">
        <v>547</v>
      </c>
      <c r="H306" s="3" t="s">
        <v>186</v>
      </c>
    </row>
    <row r="307" customFormat="false" ht="15" hidden="false" customHeight="false" outlineLevel="0" collapsed="false">
      <c r="A307" s="4" t="s">
        <v>137</v>
      </c>
      <c r="B307" s="4" t="s">
        <v>63</v>
      </c>
      <c r="C307" s="4" t="n">
        <v>6</v>
      </c>
      <c r="D307" s="4" t="n">
        <v>1</v>
      </c>
      <c r="E307" s="4" t="s">
        <v>42</v>
      </c>
      <c r="F307" s="3" t="s">
        <v>126</v>
      </c>
      <c r="G307" s="3" t="s">
        <v>509</v>
      </c>
      <c r="H307" s="3" t="s">
        <v>133</v>
      </c>
    </row>
    <row r="308" customFormat="false" ht="15" hidden="false" customHeight="false" outlineLevel="0" collapsed="false">
      <c r="A308" s="4" t="s">
        <v>137</v>
      </c>
      <c r="B308" s="4" t="s">
        <v>63</v>
      </c>
      <c r="C308" s="4" t="n">
        <v>7</v>
      </c>
      <c r="D308" s="4" t="n">
        <v>1</v>
      </c>
      <c r="E308" s="4" t="s">
        <v>39</v>
      </c>
      <c r="F308" s="3" t="s">
        <v>99</v>
      </c>
      <c r="G308" s="3" t="s">
        <v>433</v>
      </c>
      <c r="H308" s="3" t="s">
        <v>434</v>
      </c>
    </row>
    <row r="309" customFormat="false" ht="15" hidden="false" customHeight="false" outlineLevel="0" collapsed="false">
      <c r="A309" s="4" t="s">
        <v>137</v>
      </c>
      <c r="B309" s="4" t="s">
        <v>65</v>
      </c>
      <c r="C309" s="4" t="n">
        <v>1</v>
      </c>
      <c r="D309" s="4" t="n">
        <v>1</v>
      </c>
      <c r="E309" s="4" t="s">
        <v>16</v>
      </c>
      <c r="F309" s="3" t="s">
        <v>72</v>
      </c>
      <c r="G309" s="3" t="s">
        <v>546</v>
      </c>
      <c r="H309" s="3" t="s">
        <v>146</v>
      </c>
    </row>
    <row r="310" customFormat="false" ht="15" hidden="false" customHeight="false" outlineLevel="0" collapsed="false">
      <c r="A310" s="4" t="s">
        <v>137</v>
      </c>
      <c r="B310" s="4" t="s">
        <v>65</v>
      </c>
      <c r="C310" s="4" t="n">
        <v>2</v>
      </c>
      <c r="D310" s="4" t="n">
        <v>1</v>
      </c>
      <c r="E310" s="4" t="s">
        <v>21</v>
      </c>
      <c r="F310" s="3" t="s">
        <v>164</v>
      </c>
      <c r="G310" s="3" t="s">
        <v>547</v>
      </c>
      <c r="H310" s="3" t="s">
        <v>146</v>
      </c>
    </row>
    <row r="311" customFormat="false" ht="15" hidden="false" customHeight="false" outlineLevel="0" collapsed="false">
      <c r="A311" s="4" t="s">
        <v>137</v>
      </c>
      <c r="B311" s="4" t="s">
        <v>65</v>
      </c>
      <c r="C311" s="4" t="n">
        <v>3</v>
      </c>
      <c r="D311" s="4" t="n">
        <v>1</v>
      </c>
      <c r="E311" s="4" t="s">
        <v>26</v>
      </c>
      <c r="F311" s="3" t="s">
        <v>437</v>
      </c>
      <c r="G311" s="3" t="s">
        <v>481</v>
      </c>
      <c r="H311" s="3" t="s">
        <v>434</v>
      </c>
    </row>
    <row r="312" customFormat="false" ht="15" hidden="false" customHeight="false" outlineLevel="0" collapsed="false">
      <c r="A312" s="4" t="s">
        <v>137</v>
      </c>
      <c r="B312" s="4" t="s">
        <v>65</v>
      </c>
      <c r="C312" s="4" t="n">
        <v>4</v>
      </c>
      <c r="D312" s="4" t="n">
        <v>1</v>
      </c>
      <c r="E312" s="4" t="s">
        <v>34</v>
      </c>
      <c r="F312" s="3" t="s">
        <v>296</v>
      </c>
      <c r="G312" s="3" t="s">
        <v>530</v>
      </c>
      <c r="H312" s="3" t="s">
        <v>297</v>
      </c>
    </row>
    <row r="313" customFormat="false" ht="15" hidden="false" customHeight="false" outlineLevel="0" collapsed="false">
      <c r="A313" s="4" t="s">
        <v>137</v>
      </c>
      <c r="B313" s="4" t="s">
        <v>65</v>
      </c>
      <c r="C313" s="4" t="n">
        <v>5</v>
      </c>
      <c r="D313" s="4" t="n">
        <v>1</v>
      </c>
      <c r="E313" s="4" t="s">
        <v>37</v>
      </c>
      <c r="F313" s="3" t="s">
        <v>36</v>
      </c>
      <c r="G313" s="3" t="s">
        <v>535</v>
      </c>
      <c r="H313" s="3" t="s">
        <v>185</v>
      </c>
    </row>
    <row r="314" customFormat="false" ht="15" hidden="false" customHeight="false" outlineLevel="0" collapsed="false">
      <c r="A314" s="4" t="s">
        <v>137</v>
      </c>
      <c r="B314" s="4" t="s">
        <v>65</v>
      </c>
      <c r="C314" s="4" t="n">
        <v>6</v>
      </c>
      <c r="D314" s="4" t="n">
        <v>2</v>
      </c>
      <c r="E314" s="4" t="s">
        <v>536</v>
      </c>
      <c r="F314" s="3" t="s">
        <v>388</v>
      </c>
      <c r="G314" s="3" t="s">
        <v>537</v>
      </c>
      <c r="H314" s="3" t="s">
        <v>387</v>
      </c>
    </row>
    <row r="315" customFormat="false" ht="15" hidden="false" customHeight="false" outlineLevel="0" collapsed="false">
      <c r="A315" s="4" t="s">
        <v>137</v>
      </c>
      <c r="B315" s="4" t="s">
        <v>66</v>
      </c>
      <c r="C315" s="4" t="n">
        <v>1</v>
      </c>
      <c r="D315" s="4" t="n">
        <v>1</v>
      </c>
      <c r="E315" s="4" t="s">
        <v>16</v>
      </c>
      <c r="F315" s="3" t="s">
        <v>15</v>
      </c>
      <c r="G315" s="3" t="s">
        <v>548</v>
      </c>
      <c r="H315" s="3" t="s">
        <v>215</v>
      </c>
    </row>
    <row r="316" customFormat="false" ht="15" hidden="false" customHeight="false" outlineLevel="0" collapsed="false">
      <c r="A316" s="4" t="s">
        <v>137</v>
      </c>
      <c r="B316" s="4" t="s">
        <v>66</v>
      </c>
      <c r="C316" s="4" t="n">
        <v>2</v>
      </c>
      <c r="D316" s="4" t="n">
        <v>1</v>
      </c>
      <c r="E316" s="4" t="s">
        <v>21</v>
      </c>
      <c r="F316" s="3" t="s">
        <v>72</v>
      </c>
      <c r="G316" s="3" t="s">
        <v>546</v>
      </c>
      <c r="H316" s="3" t="s">
        <v>161</v>
      </c>
    </row>
    <row r="317" customFormat="false" ht="15" hidden="false" customHeight="false" outlineLevel="0" collapsed="false">
      <c r="A317" s="4" t="s">
        <v>137</v>
      </c>
      <c r="B317" s="4" t="s">
        <v>66</v>
      </c>
      <c r="C317" s="4" t="n">
        <v>3</v>
      </c>
      <c r="D317" s="4" t="n">
        <v>1</v>
      </c>
      <c r="E317" s="4" t="s">
        <v>26</v>
      </c>
      <c r="F317" s="3" t="s">
        <v>369</v>
      </c>
      <c r="G317" s="3" t="s">
        <v>417</v>
      </c>
      <c r="H317" s="3" t="s">
        <v>368</v>
      </c>
    </row>
    <row r="318" customFormat="false" ht="15" hidden="false" customHeight="false" outlineLevel="0" collapsed="false">
      <c r="A318" s="4" t="s">
        <v>137</v>
      </c>
      <c r="B318" s="4" t="s">
        <v>66</v>
      </c>
      <c r="C318" s="4" t="n">
        <v>4</v>
      </c>
      <c r="D318" s="4" t="n">
        <v>1</v>
      </c>
      <c r="E318" s="4" t="s">
        <v>34</v>
      </c>
      <c r="F318" s="3" t="s">
        <v>350</v>
      </c>
      <c r="G318" s="3" t="s">
        <v>126</v>
      </c>
      <c r="H318" s="3" t="s">
        <v>434</v>
      </c>
    </row>
    <row r="319" customFormat="false" ht="15" hidden="false" customHeight="false" outlineLevel="0" collapsed="false">
      <c r="A319" s="4" t="s">
        <v>137</v>
      </c>
      <c r="B319" s="4" t="s">
        <v>66</v>
      </c>
      <c r="C319" s="4" t="n">
        <v>5</v>
      </c>
      <c r="D319" s="4" t="n">
        <v>1</v>
      </c>
      <c r="E319" s="4" t="s">
        <v>37</v>
      </c>
      <c r="F319" s="3" t="s">
        <v>164</v>
      </c>
      <c r="G319" s="3" t="s">
        <v>547</v>
      </c>
      <c r="H319" s="3" t="s">
        <v>146</v>
      </c>
    </row>
    <row r="320" customFormat="false" ht="15" hidden="false" customHeight="false" outlineLevel="0" collapsed="false">
      <c r="A320" s="4" t="s">
        <v>137</v>
      </c>
      <c r="B320" s="4" t="s">
        <v>66</v>
      </c>
      <c r="C320" s="4" t="n">
        <v>6</v>
      </c>
      <c r="D320" s="4" t="n">
        <v>1</v>
      </c>
      <c r="E320" s="4" t="s">
        <v>42</v>
      </c>
      <c r="F320" s="3" t="s">
        <v>285</v>
      </c>
      <c r="G320" s="3" t="s">
        <v>514</v>
      </c>
      <c r="H320" s="3" t="s">
        <v>434</v>
      </c>
    </row>
    <row r="321" customFormat="false" ht="15" hidden="false" customHeight="false" outlineLevel="0" collapsed="false">
      <c r="A321" s="4" t="s">
        <v>137</v>
      </c>
      <c r="B321" s="4" t="s">
        <v>66</v>
      </c>
      <c r="C321" s="4" t="n">
        <v>7</v>
      </c>
      <c r="D321" s="4" t="n">
        <v>1</v>
      </c>
      <c r="E321" s="4" t="s">
        <v>39</v>
      </c>
      <c r="F321" s="3" t="s">
        <v>126</v>
      </c>
      <c r="G321" s="3" t="s">
        <v>509</v>
      </c>
      <c r="H321" s="3" t="s">
        <v>125</v>
      </c>
    </row>
    <row r="322" customFormat="false" ht="15" hidden="false" customHeight="false" outlineLevel="0" collapsed="false">
      <c r="A322" s="4" t="s">
        <v>124</v>
      </c>
      <c r="B322" s="4" t="s">
        <v>12</v>
      </c>
      <c r="C322" s="4" t="n">
        <v>1</v>
      </c>
      <c r="D322" s="4" t="n">
        <v>1</v>
      </c>
      <c r="E322" s="4" t="s">
        <v>16</v>
      </c>
      <c r="F322" s="3" t="s">
        <v>72</v>
      </c>
      <c r="G322" s="3" t="s">
        <v>546</v>
      </c>
      <c r="H322" s="3" t="s">
        <v>138</v>
      </c>
    </row>
    <row r="323" customFormat="false" ht="15" hidden="false" customHeight="false" outlineLevel="0" collapsed="false">
      <c r="A323" s="4" t="s">
        <v>124</v>
      </c>
      <c r="B323" s="4" t="s">
        <v>12</v>
      </c>
      <c r="C323" s="4" t="n">
        <v>2</v>
      </c>
      <c r="D323" s="4" t="n">
        <v>1</v>
      </c>
      <c r="E323" s="4" t="s">
        <v>21</v>
      </c>
      <c r="F323" s="3" t="s">
        <v>126</v>
      </c>
      <c r="G323" s="3" t="s">
        <v>123</v>
      </c>
      <c r="H323" s="3" t="s">
        <v>125</v>
      </c>
    </row>
    <row r="324" customFormat="false" ht="15" hidden="false" customHeight="false" outlineLevel="0" collapsed="false">
      <c r="A324" s="4" t="s">
        <v>124</v>
      </c>
      <c r="B324" s="4" t="s">
        <v>12</v>
      </c>
      <c r="C324" s="4" t="n">
        <v>3</v>
      </c>
      <c r="D324" s="4" t="n">
        <v>1</v>
      </c>
      <c r="E324" s="4" t="s">
        <v>26</v>
      </c>
      <c r="F324" s="3" t="s">
        <v>437</v>
      </c>
      <c r="G324" s="3" t="s">
        <v>436</v>
      </c>
      <c r="H324" s="3" t="s">
        <v>288</v>
      </c>
    </row>
    <row r="325" customFormat="false" ht="15" hidden="false" customHeight="false" outlineLevel="0" collapsed="false">
      <c r="A325" s="4" t="s">
        <v>124</v>
      </c>
      <c r="B325" s="4" t="s">
        <v>12</v>
      </c>
      <c r="C325" s="4" t="n">
        <v>4</v>
      </c>
      <c r="D325" s="4" t="n">
        <v>1</v>
      </c>
      <c r="E325" s="4" t="s">
        <v>34</v>
      </c>
      <c r="F325" s="3" t="s">
        <v>164</v>
      </c>
      <c r="G325" s="3" t="s">
        <v>547</v>
      </c>
      <c r="H325" s="3" t="s">
        <v>138</v>
      </c>
    </row>
    <row r="326" customFormat="false" ht="15" hidden="false" customHeight="false" outlineLevel="0" collapsed="false">
      <c r="A326" s="4" t="s">
        <v>124</v>
      </c>
      <c r="B326" s="4" t="s">
        <v>12</v>
      </c>
      <c r="C326" s="4" t="n">
        <v>5</v>
      </c>
      <c r="D326" s="4" t="n">
        <v>1</v>
      </c>
      <c r="E326" s="4" t="s">
        <v>37</v>
      </c>
      <c r="F326" s="3" t="s">
        <v>15</v>
      </c>
      <c r="G326" s="3" t="s">
        <v>548</v>
      </c>
      <c r="H326" s="3" t="s">
        <v>138</v>
      </c>
    </row>
    <row r="327" customFormat="false" ht="15" hidden="false" customHeight="false" outlineLevel="0" collapsed="false">
      <c r="A327" s="4" t="s">
        <v>124</v>
      </c>
      <c r="B327" s="4" t="s">
        <v>12</v>
      </c>
      <c r="C327" s="4" t="n">
        <v>6</v>
      </c>
      <c r="D327" s="4" t="n">
        <v>1</v>
      </c>
      <c r="E327" s="4" t="s">
        <v>42</v>
      </c>
      <c r="F327" s="3" t="s">
        <v>350</v>
      </c>
      <c r="G327" s="3" t="s">
        <v>126</v>
      </c>
      <c r="H327" s="3" t="s">
        <v>288</v>
      </c>
    </row>
    <row r="328" customFormat="false" ht="15" hidden="false" customHeight="false" outlineLevel="0" collapsed="false">
      <c r="A328" s="4" t="s">
        <v>124</v>
      </c>
      <c r="B328" s="4" t="s">
        <v>12</v>
      </c>
      <c r="C328" s="4" t="n">
        <v>7</v>
      </c>
      <c r="D328" s="4" t="n">
        <v>1</v>
      </c>
      <c r="E328" s="4" t="s">
        <v>39</v>
      </c>
      <c r="F328" s="3" t="s">
        <v>285</v>
      </c>
      <c r="G328" s="3" t="s">
        <v>283</v>
      </c>
      <c r="H328" s="3" t="s">
        <v>288</v>
      </c>
    </row>
    <row r="329" customFormat="false" ht="15" hidden="false" customHeight="false" outlineLevel="0" collapsed="false">
      <c r="A329" s="4" t="s">
        <v>124</v>
      </c>
      <c r="B329" s="4" t="s">
        <v>31</v>
      </c>
      <c r="C329" s="4" t="n">
        <v>1</v>
      </c>
      <c r="D329" s="4" t="n">
        <v>1</v>
      </c>
      <c r="E329" s="4" t="s">
        <v>16</v>
      </c>
      <c r="F329" s="3" t="s">
        <v>15</v>
      </c>
      <c r="G329" s="3" t="s">
        <v>548</v>
      </c>
      <c r="H329" s="3" t="s">
        <v>146</v>
      </c>
    </row>
    <row r="330" customFormat="false" ht="15" hidden="false" customHeight="false" outlineLevel="0" collapsed="false">
      <c r="A330" s="4" t="s">
        <v>124</v>
      </c>
      <c r="B330" s="4" t="s">
        <v>31</v>
      </c>
      <c r="C330" s="4" t="n">
        <v>2</v>
      </c>
      <c r="D330" s="4" t="n">
        <v>1</v>
      </c>
      <c r="E330" s="4" t="s">
        <v>21</v>
      </c>
      <c r="F330" s="3" t="s">
        <v>164</v>
      </c>
      <c r="G330" s="3" t="s">
        <v>547</v>
      </c>
      <c r="H330" s="3" t="s">
        <v>146</v>
      </c>
    </row>
    <row r="331" customFormat="false" ht="15" hidden="false" customHeight="false" outlineLevel="0" collapsed="false">
      <c r="A331" s="4" t="s">
        <v>124</v>
      </c>
      <c r="B331" s="4" t="s">
        <v>31</v>
      </c>
      <c r="C331" s="4" t="n">
        <v>3</v>
      </c>
      <c r="D331" s="4" t="n">
        <v>1</v>
      </c>
      <c r="E331" s="4" t="s">
        <v>26</v>
      </c>
      <c r="F331" s="3" t="s">
        <v>369</v>
      </c>
      <c r="G331" s="3" t="s">
        <v>417</v>
      </c>
      <c r="H331" s="3" t="s">
        <v>368</v>
      </c>
    </row>
    <row r="332" customFormat="false" ht="15" hidden="false" customHeight="false" outlineLevel="0" collapsed="false">
      <c r="A332" s="4" t="s">
        <v>124</v>
      </c>
      <c r="B332" s="4" t="s">
        <v>31</v>
      </c>
      <c r="C332" s="4" t="n">
        <v>4</v>
      </c>
      <c r="D332" s="4" t="n">
        <v>1</v>
      </c>
      <c r="E332" s="4" t="s">
        <v>34</v>
      </c>
      <c r="F332" s="3" t="s">
        <v>99</v>
      </c>
      <c r="G332" s="3" t="s">
        <v>433</v>
      </c>
      <c r="H332" s="3" t="s">
        <v>288</v>
      </c>
    </row>
    <row r="333" customFormat="false" ht="15" hidden="false" customHeight="false" outlineLevel="0" collapsed="false">
      <c r="A333" s="4" t="s">
        <v>124</v>
      </c>
      <c r="B333" s="4" t="s">
        <v>31</v>
      </c>
      <c r="C333" s="4" t="n">
        <v>5</v>
      </c>
      <c r="D333" s="4" t="n">
        <v>1</v>
      </c>
      <c r="E333" s="4" t="s">
        <v>37</v>
      </c>
      <c r="F333" s="3" t="s">
        <v>36</v>
      </c>
      <c r="G333" s="3" t="s">
        <v>535</v>
      </c>
      <c r="H333" s="3" t="s">
        <v>185</v>
      </c>
    </row>
    <row r="334" customFormat="false" ht="15" hidden="false" customHeight="false" outlineLevel="0" collapsed="false">
      <c r="A334" s="4" t="s">
        <v>124</v>
      </c>
      <c r="B334" s="4" t="s">
        <v>31</v>
      </c>
      <c r="C334" s="4" t="n">
        <v>6</v>
      </c>
      <c r="D334" s="4" t="n">
        <v>1</v>
      </c>
      <c r="E334" s="4" t="s">
        <v>42</v>
      </c>
      <c r="F334" s="3" t="s">
        <v>72</v>
      </c>
      <c r="G334" s="3" t="s">
        <v>546</v>
      </c>
      <c r="H334" s="3" t="s">
        <v>146</v>
      </c>
    </row>
    <row r="335" customFormat="false" ht="15" hidden="false" customHeight="false" outlineLevel="0" collapsed="false">
      <c r="A335" s="4" t="s">
        <v>124</v>
      </c>
      <c r="B335" s="4" t="s">
        <v>31</v>
      </c>
      <c r="C335" s="4" t="n">
        <v>7</v>
      </c>
      <c r="D335" s="4" t="n">
        <v>1</v>
      </c>
      <c r="E335" s="4" t="s">
        <v>39</v>
      </c>
      <c r="F335" s="3" t="s">
        <v>126</v>
      </c>
      <c r="G335" s="3" t="s">
        <v>123</v>
      </c>
      <c r="H335" s="3" t="s">
        <v>133</v>
      </c>
    </row>
    <row r="336" customFormat="false" ht="15" hidden="false" customHeight="false" outlineLevel="0" collapsed="false">
      <c r="A336" s="4" t="s">
        <v>124</v>
      </c>
      <c r="B336" s="4" t="s">
        <v>40</v>
      </c>
      <c r="C336" s="4" t="n">
        <v>1</v>
      </c>
      <c r="D336" s="4" t="n">
        <v>1</v>
      </c>
      <c r="E336" s="4" t="s">
        <v>16</v>
      </c>
      <c r="F336" s="3" t="s">
        <v>15</v>
      </c>
      <c r="G336" s="3" t="s">
        <v>548</v>
      </c>
      <c r="H336" s="3" t="s">
        <v>205</v>
      </c>
    </row>
    <row r="337" customFormat="false" ht="15" hidden="false" customHeight="false" outlineLevel="0" collapsed="false">
      <c r="A337" s="4" t="s">
        <v>124</v>
      </c>
      <c r="B337" s="4" t="s">
        <v>40</v>
      </c>
      <c r="C337" s="4" t="n">
        <v>2</v>
      </c>
      <c r="D337" s="4" t="n">
        <v>1</v>
      </c>
      <c r="E337" s="4" t="s">
        <v>21</v>
      </c>
      <c r="F337" s="3" t="s">
        <v>72</v>
      </c>
      <c r="G337" s="3" t="s">
        <v>546</v>
      </c>
      <c r="H337" s="3" t="s">
        <v>148</v>
      </c>
    </row>
    <row r="338" customFormat="false" ht="15" hidden="false" customHeight="false" outlineLevel="0" collapsed="false">
      <c r="A338" s="4" t="s">
        <v>124</v>
      </c>
      <c r="B338" s="4" t="s">
        <v>40</v>
      </c>
      <c r="C338" s="4" t="n">
        <v>3</v>
      </c>
      <c r="D338" s="4" t="n">
        <v>2</v>
      </c>
      <c r="E338" s="4" t="s">
        <v>542</v>
      </c>
      <c r="F338" s="3" t="s">
        <v>164</v>
      </c>
      <c r="G338" s="3" t="s">
        <v>547</v>
      </c>
      <c r="H338" s="3" t="s">
        <v>186</v>
      </c>
    </row>
    <row r="339" customFormat="false" ht="15" hidden="false" customHeight="false" outlineLevel="0" collapsed="false">
      <c r="A339" s="4" t="s">
        <v>124</v>
      </c>
      <c r="B339" s="4" t="s">
        <v>40</v>
      </c>
      <c r="C339" s="4" t="n">
        <v>5</v>
      </c>
      <c r="D339" s="4" t="n">
        <v>1</v>
      </c>
      <c r="E339" s="4" t="s">
        <v>37</v>
      </c>
      <c r="F339" s="3" t="s">
        <v>126</v>
      </c>
      <c r="G339" s="3" t="s">
        <v>123</v>
      </c>
      <c r="H339" s="3" t="s">
        <v>125</v>
      </c>
    </row>
    <row r="340" customFormat="false" ht="15" hidden="false" customHeight="false" outlineLevel="0" collapsed="false">
      <c r="A340" s="4" t="s">
        <v>124</v>
      </c>
      <c r="B340" s="4" t="s">
        <v>40</v>
      </c>
      <c r="C340" s="4" t="n">
        <v>6</v>
      </c>
      <c r="D340" s="4" t="n">
        <v>1</v>
      </c>
      <c r="E340" s="4" t="s">
        <v>42</v>
      </c>
      <c r="F340" s="3" t="s">
        <v>99</v>
      </c>
      <c r="G340" s="3" t="s">
        <v>433</v>
      </c>
      <c r="H340" s="3" t="s">
        <v>288</v>
      </c>
    </row>
    <row r="341" customFormat="false" ht="15" hidden="false" customHeight="false" outlineLevel="0" collapsed="false">
      <c r="A341" s="4" t="s">
        <v>124</v>
      </c>
      <c r="B341" s="4" t="s">
        <v>40</v>
      </c>
      <c r="C341" s="4" t="n">
        <v>7</v>
      </c>
      <c r="D341" s="4" t="n">
        <v>1</v>
      </c>
      <c r="E341" s="4" t="s">
        <v>39</v>
      </c>
      <c r="F341" s="3" t="s">
        <v>350</v>
      </c>
      <c r="G341" s="3" t="s">
        <v>126</v>
      </c>
      <c r="H341" s="3" t="s">
        <v>288</v>
      </c>
    </row>
    <row r="342" customFormat="false" ht="15" hidden="false" customHeight="false" outlineLevel="0" collapsed="false">
      <c r="A342" s="4" t="s">
        <v>124</v>
      </c>
      <c r="B342" s="4" t="s">
        <v>44</v>
      </c>
      <c r="C342" s="4" t="n">
        <v>1</v>
      </c>
      <c r="D342" s="4" t="n">
        <v>2</v>
      </c>
      <c r="E342" s="4" t="s">
        <v>539</v>
      </c>
      <c r="F342" s="3" t="s">
        <v>463</v>
      </c>
      <c r="G342" s="3" t="s">
        <v>461</v>
      </c>
      <c r="H342" s="3" t="s">
        <v>462</v>
      </c>
    </row>
    <row r="343" customFormat="false" ht="15" hidden="false" customHeight="false" outlineLevel="0" collapsed="false">
      <c r="A343" s="4" t="s">
        <v>124</v>
      </c>
      <c r="B343" s="4" t="s">
        <v>44</v>
      </c>
      <c r="C343" s="4" t="n">
        <v>3</v>
      </c>
      <c r="D343" s="4" t="n">
        <v>1</v>
      </c>
      <c r="E343" s="4" t="s">
        <v>26</v>
      </c>
      <c r="F343" s="3" t="s">
        <v>15</v>
      </c>
      <c r="G343" s="3" t="s">
        <v>548</v>
      </c>
      <c r="H343" s="3" t="s">
        <v>208</v>
      </c>
    </row>
    <row r="344" customFormat="false" ht="15" hidden="false" customHeight="false" outlineLevel="0" collapsed="false">
      <c r="A344" s="4" t="s">
        <v>124</v>
      </c>
      <c r="B344" s="4" t="s">
        <v>44</v>
      </c>
      <c r="C344" s="4" t="n">
        <v>4</v>
      </c>
      <c r="D344" s="4" t="n">
        <v>1</v>
      </c>
      <c r="E344" s="4" t="s">
        <v>34</v>
      </c>
      <c r="F344" s="3" t="s">
        <v>72</v>
      </c>
      <c r="G344" s="3" t="s">
        <v>546</v>
      </c>
      <c r="H344" s="3" t="s">
        <v>151</v>
      </c>
    </row>
    <row r="345" customFormat="false" ht="15" hidden="false" customHeight="false" outlineLevel="0" collapsed="false">
      <c r="A345" s="4" t="s">
        <v>124</v>
      </c>
      <c r="B345" s="4" t="s">
        <v>44</v>
      </c>
      <c r="C345" s="4" t="n">
        <v>5</v>
      </c>
      <c r="D345" s="4" t="n">
        <v>1</v>
      </c>
      <c r="E345" s="4" t="s">
        <v>37</v>
      </c>
      <c r="F345" s="3" t="s">
        <v>36</v>
      </c>
      <c r="G345" s="3" t="s">
        <v>535</v>
      </c>
      <c r="H345" s="3" t="s">
        <v>185</v>
      </c>
    </row>
    <row r="346" customFormat="false" ht="15" hidden="false" customHeight="false" outlineLevel="0" collapsed="false">
      <c r="A346" s="4" t="s">
        <v>124</v>
      </c>
      <c r="B346" s="4" t="s">
        <v>44</v>
      </c>
      <c r="C346" s="4" t="n">
        <v>6</v>
      </c>
      <c r="D346" s="4" t="n">
        <v>1</v>
      </c>
      <c r="E346" s="4" t="s">
        <v>42</v>
      </c>
      <c r="F346" s="3" t="s">
        <v>126</v>
      </c>
      <c r="G346" s="3" t="s">
        <v>123</v>
      </c>
      <c r="H346" s="3" t="s">
        <v>133</v>
      </c>
    </row>
    <row r="347" customFormat="false" ht="15" hidden="false" customHeight="false" outlineLevel="0" collapsed="false">
      <c r="A347" s="4" t="s">
        <v>124</v>
      </c>
      <c r="B347" s="4" t="s">
        <v>44</v>
      </c>
      <c r="C347" s="4" t="n">
        <v>7</v>
      </c>
      <c r="D347" s="4" t="n">
        <v>1</v>
      </c>
      <c r="E347" s="4" t="s">
        <v>39</v>
      </c>
      <c r="F347" s="3" t="s">
        <v>164</v>
      </c>
      <c r="G347" s="3" t="s">
        <v>547</v>
      </c>
      <c r="H347" s="3" t="s">
        <v>146</v>
      </c>
    </row>
    <row r="348" customFormat="false" ht="15" hidden="false" customHeight="false" outlineLevel="0" collapsed="false">
      <c r="A348" s="4" t="s">
        <v>124</v>
      </c>
      <c r="B348" s="4" t="s">
        <v>47</v>
      </c>
      <c r="C348" s="4" t="n">
        <v>1</v>
      </c>
      <c r="D348" s="4" t="n">
        <v>1</v>
      </c>
      <c r="E348" s="4" t="s">
        <v>16</v>
      </c>
      <c r="F348" s="3" t="s">
        <v>437</v>
      </c>
      <c r="G348" s="3" t="s">
        <v>436</v>
      </c>
      <c r="H348" s="3" t="s">
        <v>288</v>
      </c>
    </row>
    <row r="349" customFormat="false" ht="15" hidden="false" customHeight="false" outlineLevel="0" collapsed="false">
      <c r="A349" s="4" t="s">
        <v>124</v>
      </c>
      <c r="B349" s="4" t="s">
        <v>47</v>
      </c>
      <c r="C349" s="4" t="n">
        <v>2</v>
      </c>
      <c r="D349" s="4" t="n">
        <v>1</v>
      </c>
      <c r="E349" s="4" t="s">
        <v>21</v>
      </c>
      <c r="F349" s="3" t="s">
        <v>72</v>
      </c>
      <c r="G349" s="3" t="s">
        <v>546</v>
      </c>
      <c r="H349" s="3" t="s">
        <v>146</v>
      </c>
    </row>
    <row r="350" customFormat="false" ht="15" hidden="false" customHeight="false" outlineLevel="0" collapsed="false">
      <c r="A350" s="4" t="s">
        <v>124</v>
      </c>
      <c r="B350" s="4" t="s">
        <v>47</v>
      </c>
      <c r="C350" s="4" t="n">
        <v>3</v>
      </c>
      <c r="D350" s="4" t="n">
        <v>1</v>
      </c>
      <c r="E350" s="4" t="s">
        <v>26</v>
      </c>
      <c r="F350" s="3" t="s">
        <v>299</v>
      </c>
      <c r="G350" s="3" t="s">
        <v>540</v>
      </c>
      <c r="H350" s="3" t="s">
        <v>298</v>
      </c>
    </row>
    <row r="351" customFormat="false" ht="15" hidden="false" customHeight="false" outlineLevel="0" collapsed="false">
      <c r="A351" s="4" t="s">
        <v>124</v>
      </c>
      <c r="B351" s="4" t="s">
        <v>47</v>
      </c>
      <c r="C351" s="4" t="n">
        <v>4</v>
      </c>
      <c r="D351" s="4" t="n">
        <v>1</v>
      </c>
      <c r="E351" s="4" t="s">
        <v>34</v>
      </c>
      <c r="F351" s="3" t="s">
        <v>299</v>
      </c>
      <c r="G351" s="3" t="s">
        <v>543</v>
      </c>
      <c r="H351" s="3" t="s">
        <v>298</v>
      </c>
    </row>
    <row r="352" customFormat="false" ht="15" hidden="false" customHeight="false" outlineLevel="0" collapsed="false">
      <c r="A352" s="4" t="s">
        <v>124</v>
      </c>
      <c r="B352" s="4" t="s">
        <v>47</v>
      </c>
      <c r="C352" s="4" t="n">
        <v>5</v>
      </c>
      <c r="D352" s="4" t="n">
        <v>1</v>
      </c>
      <c r="E352" s="4" t="s">
        <v>37</v>
      </c>
      <c r="F352" s="3" t="s">
        <v>164</v>
      </c>
      <c r="G352" s="3" t="s">
        <v>547</v>
      </c>
      <c r="H352" s="3" t="s">
        <v>188</v>
      </c>
    </row>
    <row r="353" customFormat="false" ht="15" hidden="false" customHeight="false" outlineLevel="0" collapsed="false">
      <c r="A353" s="4" t="s">
        <v>124</v>
      </c>
      <c r="B353" s="4" t="s">
        <v>47</v>
      </c>
      <c r="C353" s="4" t="n">
        <v>6</v>
      </c>
      <c r="D353" s="4" t="n">
        <v>1</v>
      </c>
      <c r="E353" s="4" t="s">
        <v>42</v>
      </c>
      <c r="F353" s="3" t="s">
        <v>126</v>
      </c>
      <c r="G353" s="3" t="s">
        <v>123</v>
      </c>
      <c r="H353" s="3" t="s">
        <v>133</v>
      </c>
    </row>
    <row r="354" customFormat="false" ht="15" hidden="false" customHeight="false" outlineLevel="0" collapsed="false">
      <c r="A354" s="4" t="s">
        <v>124</v>
      </c>
      <c r="B354" s="4" t="s">
        <v>47</v>
      </c>
      <c r="C354" s="4" t="n">
        <v>7</v>
      </c>
      <c r="D354" s="4" t="n">
        <v>1</v>
      </c>
      <c r="E354" s="4" t="s">
        <v>39</v>
      </c>
      <c r="F354" s="3" t="s">
        <v>15</v>
      </c>
      <c r="G354" s="3" t="s">
        <v>548</v>
      </c>
      <c r="H354" s="3" t="s">
        <v>154</v>
      </c>
    </row>
    <row r="355" customFormat="false" ht="15" hidden="false" customHeight="false" outlineLevel="0" collapsed="false">
      <c r="A355" s="4" t="s">
        <v>124</v>
      </c>
      <c r="B355" s="4" t="s">
        <v>50</v>
      </c>
      <c r="C355" s="4" t="n">
        <v>1</v>
      </c>
      <c r="D355" s="4" t="n">
        <v>2</v>
      </c>
      <c r="E355" s="4" t="s">
        <v>539</v>
      </c>
      <c r="F355" s="3" t="s">
        <v>72</v>
      </c>
      <c r="G355" s="3" t="s">
        <v>546</v>
      </c>
      <c r="H355" s="3" t="s">
        <v>154</v>
      </c>
    </row>
    <row r="356" customFormat="false" ht="15" hidden="false" customHeight="false" outlineLevel="0" collapsed="false">
      <c r="A356" s="4" t="s">
        <v>124</v>
      </c>
      <c r="B356" s="4" t="s">
        <v>50</v>
      </c>
      <c r="C356" s="4" t="n">
        <v>3</v>
      </c>
      <c r="D356" s="4" t="n">
        <v>1</v>
      </c>
      <c r="E356" s="4" t="s">
        <v>26</v>
      </c>
      <c r="F356" s="3" t="s">
        <v>15</v>
      </c>
      <c r="G356" s="3" t="s">
        <v>548</v>
      </c>
      <c r="H356" s="3" t="s">
        <v>212</v>
      </c>
    </row>
    <row r="357" customFormat="false" ht="15" hidden="false" customHeight="false" outlineLevel="0" collapsed="false">
      <c r="A357" s="4" t="s">
        <v>124</v>
      </c>
      <c r="B357" s="4" t="s">
        <v>50</v>
      </c>
      <c r="C357" s="4" t="n">
        <v>4</v>
      </c>
      <c r="D357" s="4" t="n">
        <v>2</v>
      </c>
      <c r="E357" s="4" t="s">
        <v>533</v>
      </c>
      <c r="F357" s="3" t="s">
        <v>222</v>
      </c>
      <c r="G357" s="3" t="s">
        <v>538</v>
      </c>
      <c r="H357" s="3" t="s">
        <v>221</v>
      </c>
    </row>
    <row r="358" customFormat="false" ht="15" hidden="false" customHeight="false" outlineLevel="0" collapsed="false">
      <c r="A358" s="4" t="s">
        <v>124</v>
      </c>
      <c r="B358" s="4" t="s">
        <v>50</v>
      </c>
      <c r="C358" s="4" t="n">
        <v>6</v>
      </c>
      <c r="D358" s="4" t="n">
        <v>1</v>
      </c>
      <c r="E358" s="4" t="s">
        <v>42</v>
      </c>
      <c r="F358" s="3" t="s">
        <v>164</v>
      </c>
      <c r="G358" s="3" t="s">
        <v>547</v>
      </c>
      <c r="H358" s="3" t="s">
        <v>146</v>
      </c>
    </row>
    <row r="359" customFormat="false" ht="15" hidden="false" customHeight="false" outlineLevel="0" collapsed="false">
      <c r="A359" s="4" t="s">
        <v>124</v>
      </c>
      <c r="B359" s="4" t="s">
        <v>50</v>
      </c>
      <c r="C359" s="4" t="n">
        <v>7</v>
      </c>
      <c r="D359" s="4" t="n">
        <v>1</v>
      </c>
      <c r="E359" s="4" t="s">
        <v>39</v>
      </c>
      <c r="F359" s="3" t="s">
        <v>99</v>
      </c>
      <c r="G359" s="3" t="s">
        <v>433</v>
      </c>
      <c r="H359" s="3" t="s">
        <v>288</v>
      </c>
    </row>
    <row r="360" customFormat="false" ht="15" hidden="false" customHeight="false" outlineLevel="0" collapsed="false">
      <c r="A360" s="4" t="s">
        <v>124</v>
      </c>
      <c r="B360" s="4" t="s">
        <v>60</v>
      </c>
      <c r="C360" s="4" t="n">
        <v>1</v>
      </c>
      <c r="D360" s="4" t="n">
        <v>1</v>
      </c>
      <c r="E360" s="4" t="s">
        <v>16</v>
      </c>
      <c r="F360" s="3" t="s">
        <v>350</v>
      </c>
      <c r="G360" s="3" t="s">
        <v>126</v>
      </c>
      <c r="H360" s="3" t="s">
        <v>288</v>
      </c>
    </row>
    <row r="361" customFormat="false" ht="15" hidden="false" customHeight="false" outlineLevel="0" collapsed="false">
      <c r="A361" s="4" t="s">
        <v>124</v>
      </c>
      <c r="B361" s="4" t="s">
        <v>60</v>
      </c>
      <c r="C361" s="4" t="n">
        <v>2</v>
      </c>
      <c r="D361" s="4" t="n">
        <v>1</v>
      </c>
      <c r="E361" s="4" t="s">
        <v>21</v>
      </c>
      <c r="F361" s="3" t="s">
        <v>296</v>
      </c>
      <c r="G361" s="3" t="s">
        <v>544</v>
      </c>
      <c r="H361" s="3" t="s">
        <v>297</v>
      </c>
    </row>
    <row r="362" customFormat="false" ht="15" hidden="false" customHeight="false" outlineLevel="0" collapsed="false">
      <c r="A362" s="4" t="s">
        <v>124</v>
      </c>
      <c r="B362" s="4" t="s">
        <v>60</v>
      </c>
      <c r="C362" s="4" t="n">
        <v>3</v>
      </c>
      <c r="D362" s="4" t="n">
        <v>1</v>
      </c>
      <c r="E362" s="4" t="s">
        <v>26</v>
      </c>
      <c r="F362" s="3" t="s">
        <v>164</v>
      </c>
      <c r="G362" s="3" t="s">
        <v>547</v>
      </c>
      <c r="H362" s="3" t="s">
        <v>189</v>
      </c>
    </row>
    <row r="363" customFormat="false" ht="15" hidden="false" customHeight="false" outlineLevel="0" collapsed="false">
      <c r="A363" s="4" t="s">
        <v>124</v>
      </c>
      <c r="B363" s="4" t="s">
        <v>60</v>
      </c>
      <c r="C363" s="4" t="n">
        <v>4</v>
      </c>
      <c r="D363" s="4" t="n">
        <v>1</v>
      </c>
      <c r="E363" s="4" t="s">
        <v>34</v>
      </c>
      <c r="F363" s="3" t="s">
        <v>72</v>
      </c>
      <c r="G363" s="3" t="s">
        <v>546</v>
      </c>
      <c r="H363" s="3" t="s">
        <v>138</v>
      </c>
    </row>
    <row r="364" customFormat="false" ht="15" hidden="false" customHeight="false" outlineLevel="0" collapsed="false">
      <c r="A364" s="4" t="s">
        <v>124</v>
      </c>
      <c r="B364" s="4" t="s">
        <v>60</v>
      </c>
      <c r="C364" s="4" t="n">
        <v>5</v>
      </c>
      <c r="D364" s="4" t="n">
        <v>1</v>
      </c>
      <c r="E364" s="4" t="s">
        <v>37</v>
      </c>
      <c r="F364" s="3" t="s">
        <v>36</v>
      </c>
      <c r="G364" s="3" t="s">
        <v>535</v>
      </c>
      <c r="H364" s="3" t="s">
        <v>185</v>
      </c>
    </row>
    <row r="365" customFormat="false" ht="15" hidden="false" customHeight="false" outlineLevel="0" collapsed="false">
      <c r="A365" s="4" t="s">
        <v>124</v>
      </c>
      <c r="B365" s="4" t="s">
        <v>60</v>
      </c>
      <c r="C365" s="4" t="n">
        <v>6</v>
      </c>
      <c r="D365" s="4" t="n">
        <v>1</v>
      </c>
      <c r="E365" s="4" t="s">
        <v>42</v>
      </c>
      <c r="F365" s="3" t="s">
        <v>15</v>
      </c>
      <c r="G365" s="3" t="s">
        <v>548</v>
      </c>
      <c r="H365" s="3" t="s">
        <v>208</v>
      </c>
    </row>
    <row r="366" customFormat="false" ht="15" hidden="false" customHeight="false" outlineLevel="0" collapsed="false">
      <c r="A366" s="4" t="s">
        <v>124</v>
      </c>
      <c r="B366" s="4" t="s">
        <v>60</v>
      </c>
      <c r="C366" s="4" t="n">
        <v>7</v>
      </c>
      <c r="D366" s="4" t="n">
        <v>1</v>
      </c>
      <c r="E366" s="4" t="s">
        <v>39</v>
      </c>
      <c r="F366" s="3" t="s">
        <v>126</v>
      </c>
      <c r="G366" s="3" t="s">
        <v>123</v>
      </c>
      <c r="H366" s="3" t="s">
        <v>125</v>
      </c>
    </row>
    <row r="367" customFormat="false" ht="15" hidden="false" customHeight="false" outlineLevel="0" collapsed="false">
      <c r="A367" s="4" t="s">
        <v>124</v>
      </c>
      <c r="B367" s="4" t="s">
        <v>63</v>
      </c>
      <c r="C367" s="4" t="n">
        <v>1</v>
      </c>
      <c r="D367" s="4" t="n">
        <v>1</v>
      </c>
      <c r="E367" s="4" t="s">
        <v>16</v>
      </c>
      <c r="F367" s="3" t="s">
        <v>15</v>
      </c>
      <c r="G367" s="3" t="s">
        <v>548</v>
      </c>
      <c r="H367" s="3" t="s">
        <v>186</v>
      </c>
    </row>
    <row r="368" customFormat="false" ht="15" hidden="false" customHeight="false" outlineLevel="0" collapsed="false">
      <c r="A368" s="4" t="s">
        <v>124</v>
      </c>
      <c r="B368" s="4" t="s">
        <v>63</v>
      </c>
      <c r="C368" s="4" t="n">
        <v>2</v>
      </c>
      <c r="D368" s="4" t="n">
        <v>1</v>
      </c>
      <c r="E368" s="4" t="s">
        <v>21</v>
      </c>
      <c r="F368" s="3" t="s">
        <v>126</v>
      </c>
      <c r="G368" s="3" t="s">
        <v>123</v>
      </c>
      <c r="H368" s="3" t="s">
        <v>125</v>
      </c>
    </row>
    <row r="369" customFormat="false" ht="15" hidden="false" customHeight="false" outlineLevel="0" collapsed="false">
      <c r="A369" s="4" t="s">
        <v>124</v>
      </c>
      <c r="B369" s="4" t="s">
        <v>63</v>
      </c>
      <c r="C369" s="4" t="n">
        <v>3</v>
      </c>
      <c r="D369" s="4" t="n">
        <v>1</v>
      </c>
      <c r="E369" s="4" t="s">
        <v>26</v>
      </c>
      <c r="F369" s="3" t="s">
        <v>72</v>
      </c>
      <c r="G369" s="3" t="s">
        <v>546</v>
      </c>
      <c r="H369" s="3" t="s">
        <v>146</v>
      </c>
    </row>
    <row r="370" customFormat="false" ht="15" hidden="false" customHeight="false" outlineLevel="0" collapsed="false">
      <c r="A370" s="4" t="s">
        <v>124</v>
      </c>
      <c r="B370" s="4" t="s">
        <v>63</v>
      </c>
      <c r="C370" s="4" t="n">
        <v>4</v>
      </c>
      <c r="D370" s="4" t="n">
        <v>1</v>
      </c>
      <c r="E370" s="4" t="s">
        <v>34</v>
      </c>
      <c r="F370" s="3" t="s">
        <v>285</v>
      </c>
      <c r="G370" s="3" t="s">
        <v>283</v>
      </c>
      <c r="H370" s="3" t="s">
        <v>288</v>
      </c>
    </row>
    <row r="371" customFormat="false" ht="15" hidden="false" customHeight="false" outlineLevel="0" collapsed="false">
      <c r="A371" s="4" t="s">
        <v>124</v>
      </c>
      <c r="B371" s="4" t="s">
        <v>63</v>
      </c>
      <c r="C371" s="4" t="n">
        <v>5</v>
      </c>
      <c r="D371" s="4" t="n">
        <v>1</v>
      </c>
      <c r="E371" s="4" t="s">
        <v>37</v>
      </c>
      <c r="F371" s="3" t="s">
        <v>164</v>
      </c>
      <c r="G371" s="3" t="s">
        <v>547</v>
      </c>
      <c r="H371" s="3" t="s">
        <v>186</v>
      </c>
    </row>
    <row r="372" customFormat="false" ht="15" hidden="false" customHeight="false" outlineLevel="0" collapsed="false">
      <c r="A372" s="4" t="s">
        <v>124</v>
      </c>
      <c r="B372" s="4" t="s">
        <v>63</v>
      </c>
      <c r="C372" s="4" t="n">
        <v>6</v>
      </c>
      <c r="D372" s="4" t="n">
        <v>2</v>
      </c>
      <c r="E372" s="4" t="s">
        <v>536</v>
      </c>
      <c r="F372" s="3" t="s">
        <v>463</v>
      </c>
      <c r="G372" s="3" t="s">
        <v>461</v>
      </c>
      <c r="H372" s="3" t="s">
        <v>462</v>
      </c>
    </row>
    <row r="373" customFormat="false" ht="15" hidden="false" customHeight="false" outlineLevel="0" collapsed="false">
      <c r="A373" s="4" t="s">
        <v>124</v>
      </c>
      <c r="B373" s="4" t="s">
        <v>65</v>
      </c>
      <c r="C373" s="4" t="n">
        <v>1</v>
      </c>
      <c r="D373" s="4" t="n">
        <v>1</v>
      </c>
      <c r="E373" s="4" t="s">
        <v>16</v>
      </c>
      <c r="F373" s="3" t="s">
        <v>72</v>
      </c>
      <c r="G373" s="3" t="s">
        <v>546</v>
      </c>
      <c r="H373" s="3" t="s">
        <v>146</v>
      </c>
    </row>
    <row r="374" customFormat="false" ht="15" hidden="false" customHeight="false" outlineLevel="0" collapsed="false">
      <c r="A374" s="4" t="s">
        <v>124</v>
      </c>
      <c r="B374" s="4" t="s">
        <v>65</v>
      </c>
      <c r="C374" s="4" t="n">
        <v>2</v>
      </c>
      <c r="D374" s="4" t="n">
        <v>1</v>
      </c>
      <c r="E374" s="4" t="s">
        <v>21</v>
      </c>
      <c r="F374" s="3" t="s">
        <v>164</v>
      </c>
      <c r="G374" s="3" t="s">
        <v>547</v>
      </c>
      <c r="H374" s="3" t="s">
        <v>146</v>
      </c>
    </row>
    <row r="375" customFormat="false" ht="15" hidden="false" customHeight="false" outlineLevel="0" collapsed="false">
      <c r="A375" s="4" t="s">
        <v>124</v>
      </c>
      <c r="B375" s="4" t="s">
        <v>65</v>
      </c>
      <c r="C375" s="4" t="n">
        <v>3</v>
      </c>
      <c r="D375" s="4" t="n">
        <v>1</v>
      </c>
      <c r="E375" s="4" t="s">
        <v>26</v>
      </c>
      <c r="F375" s="3" t="s">
        <v>369</v>
      </c>
      <c r="G375" s="3" t="s">
        <v>417</v>
      </c>
      <c r="H375" s="3" t="s">
        <v>368</v>
      </c>
    </row>
    <row r="376" customFormat="false" ht="15" hidden="false" customHeight="false" outlineLevel="0" collapsed="false">
      <c r="A376" s="4" t="s">
        <v>124</v>
      </c>
      <c r="B376" s="4" t="s">
        <v>65</v>
      </c>
      <c r="C376" s="4" t="n">
        <v>4</v>
      </c>
      <c r="D376" s="4" t="n">
        <v>1</v>
      </c>
      <c r="E376" s="4" t="s">
        <v>34</v>
      </c>
      <c r="F376" s="3" t="s">
        <v>126</v>
      </c>
      <c r="G376" s="3" t="s">
        <v>123</v>
      </c>
      <c r="H376" s="3" t="s">
        <v>125</v>
      </c>
    </row>
    <row r="377" customFormat="false" ht="15" hidden="false" customHeight="false" outlineLevel="0" collapsed="false">
      <c r="A377" s="4" t="s">
        <v>124</v>
      </c>
      <c r="B377" s="4" t="s">
        <v>65</v>
      </c>
      <c r="C377" s="4" t="n">
        <v>5</v>
      </c>
      <c r="D377" s="4" t="n">
        <v>1</v>
      </c>
      <c r="E377" s="4" t="s">
        <v>37</v>
      </c>
      <c r="F377" s="3" t="s">
        <v>36</v>
      </c>
      <c r="G377" s="3" t="s">
        <v>535</v>
      </c>
      <c r="H377" s="3" t="s">
        <v>185</v>
      </c>
    </row>
    <row r="378" customFormat="false" ht="15" hidden="false" customHeight="false" outlineLevel="0" collapsed="false">
      <c r="A378" s="4" t="s">
        <v>124</v>
      </c>
      <c r="B378" s="4" t="s">
        <v>65</v>
      </c>
      <c r="C378" s="4" t="n">
        <v>6</v>
      </c>
      <c r="D378" s="4" t="n">
        <v>2</v>
      </c>
      <c r="E378" s="4" t="s">
        <v>536</v>
      </c>
      <c r="F378" s="3" t="s">
        <v>388</v>
      </c>
      <c r="G378" s="3" t="s">
        <v>537</v>
      </c>
      <c r="H378" s="3" t="s">
        <v>387</v>
      </c>
    </row>
    <row r="379" customFormat="false" ht="15" hidden="false" customHeight="false" outlineLevel="0" collapsed="false">
      <c r="A379" s="4" t="s">
        <v>124</v>
      </c>
      <c r="B379" s="4" t="s">
        <v>66</v>
      </c>
      <c r="C379" s="4" t="n">
        <v>1</v>
      </c>
      <c r="D379" s="4" t="n">
        <v>1</v>
      </c>
      <c r="E379" s="4" t="s">
        <v>16</v>
      </c>
      <c r="F379" s="3" t="s">
        <v>15</v>
      </c>
      <c r="G379" s="3" t="s">
        <v>548</v>
      </c>
      <c r="H379" s="3" t="s">
        <v>215</v>
      </c>
    </row>
    <row r="380" customFormat="false" ht="15" hidden="false" customHeight="false" outlineLevel="0" collapsed="false">
      <c r="A380" s="4" t="s">
        <v>124</v>
      </c>
      <c r="B380" s="4" t="s">
        <v>66</v>
      </c>
      <c r="C380" s="4" t="n">
        <v>2</v>
      </c>
      <c r="D380" s="4" t="n">
        <v>1</v>
      </c>
      <c r="E380" s="4" t="s">
        <v>21</v>
      </c>
      <c r="F380" s="3" t="s">
        <v>72</v>
      </c>
      <c r="G380" s="3" t="s">
        <v>546</v>
      </c>
      <c r="H380" s="3" t="s">
        <v>161</v>
      </c>
    </row>
    <row r="381" customFormat="false" ht="15" hidden="false" customHeight="false" outlineLevel="0" collapsed="false">
      <c r="A381" s="4" t="s">
        <v>124</v>
      </c>
      <c r="B381" s="4" t="s">
        <v>66</v>
      </c>
      <c r="C381" s="4" t="n">
        <v>3</v>
      </c>
      <c r="D381" s="4" t="n">
        <v>1</v>
      </c>
      <c r="E381" s="4" t="s">
        <v>26</v>
      </c>
      <c r="F381" s="3" t="s">
        <v>285</v>
      </c>
      <c r="G381" s="3" t="s">
        <v>283</v>
      </c>
      <c r="H381" s="3" t="s">
        <v>288</v>
      </c>
    </row>
    <row r="382" customFormat="false" ht="15" hidden="false" customHeight="false" outlineLevel="0" collapsed="false">
      <c r="A382" s="4" t="s">
        <v>124</v>
      </c>
      <c r="B382" s="4" t="s">
        <v>66</v>
      </c>
      <c r="C382" s="4" t="n">
        <v>4</v>
      </c>
      <c r="D382" s="4" t="n">
        <v>1</v>
      </c>
      <c r="E382" s="4" t="s">
        <v>34</v>
      </c>
      <c r="F382" s="3" t="s">
        <v>296</v>
      </c>
      <c r="G382" s="3" t="s">
        <v>544</v>
      </c>
      <c r="H382" s="3" t="s">
        <v>297</v>
      </c>
    </row>
    <row r="383" customFormat="false" ht="15" hidden="false" customHeight="false" outlineLevel="0" collapsed="false">
      <c r="A383" s="4" t="s">
        <v>124</v>
      </c>
      <c r="B383" s="4" t="s">
        <v>66</v>
      </c>
      <c r="C383" s="4" t="n">
        <v>5</v>
      </c>
      <c r="D383" s="4" t="n">
        <v>1</v>
      </c>
      <c r="E383" s="4" t="s">
        <v>37</v>
      </c>
      <c r="F383" s="3" t="s">
        <v>164</v>
      </c>
      <c r="G383" s="3" t="s">
        <v>547</v>
      </c>
      <c r="H383" s="3" t="s">
        <v>146</v>
      </c>
    </row>
    <row r="384" customFormat="false" ht="15" hidden="false" customHeight="false" outlineLevel="0" collapsed="false">
      <c r="A384" s="4" t="s">
        <v>124</v>
      </c>
      <c r="B384" s="4" t="s">
        <v>66</v>
      </c>
      <c r="C384" s="4" t="n">
        <v>6</v>
      </c>
      <c r="D384" s="4" t="n">
        <v>1</v>
      </c>
      <c r="E384" s="4" t="s">
        <v>42</v>
      </c>
      <c r="F384" s="3" t="s">
        <v>126</v>
      </c>
      <c r="G384" s="3" t="s">
        <v>123</v>
      </c>
      <c r="H384" s="3" t="s">
        <v>125</v>
      </c>
    </row>
    <row r="385" customFormat="false" ht="15" hidden="false" customHeight="false" outlineLevel="0" collapsed="false">
      <c r="A385" s="4" t="s">
        <v>124</v>
      </c>
      <c r="B385" s="4" t="s">
        <v>66</v>
      </c>
      <c r="C385" s="4" t="n">
        <v>7</v>
      </c>
      <c r="D385" s="4" t="n">
        <v>1</v>
      </c>
      <c r="E385" s="4" t="s">
        <v>39</v>
      </c>
      <c r="F385" s="3" t="s">
        <v>437</v>
      </c>
      <c r="G385" s="3" t="s">
        <v>436</v>
      </c>
      <c r="H385" s="3" t="s">
        <v>288</v>
      </c>
    </row>
    <row r="386" customFormat="false" ht="15" hidden="false" customHeight="false" outlineLevel="0" collapsed="false">
      <c r="A386" s="4" t="s">
        <v>13</v>
      </c>
      <c r="B386" s="4" t="s">
        <v>12</v>
      </c>
      <c r="C386" s="4" t="n">
        <v>1</v>
      </c>
      <c r="D386" s="4" t="n">
        <v>1</v>
      </c>
      <c r="E386" s="4" t="s">
        <v>16</v>
      </c>
      <c r="F386" s="3" t="s">
        <v>15</v>
      </c>
      <c r="G386" s="3" t="s">
        <v>549</v>
      </c>
      <c r="H386" s="3" t="s">
        <v>14</v>
      </c>
    </row>
    <row r="387" customFormat="false" ht="15" hidden="false" customHeight="false" outlineLevel="0" collapsed="false">
      <c r="A387" s="4" t="s">
        <v>13</v>
      </c>
      <c r="B387" s="4" t="s">
        <v>12</v>
      </c>
      <c r="C387" s="4" t="n">
        <v>2</v>
      </c>
      <c r="D387" s="4" t="n">
        <v>1</v>
      </c>
      <c r="E387" s="4" t="s">
        <v>21</v>
      </c>
      <c r="F387" s="3" t="s">
        <v>285</v>
      </c>
      <c r="G387" s="3" t="s">
        <v>361</v>
      </c>
      <c r="H387" s="3" t="s">
        <v>351</v>
      </c>
    </row>
    <row r="388" customFormat="false" ht="15" hidden="false" customHeight="false" outlineLevel="0" collapsed="false">
      <c r="A388" s="4" t="s">
        <v>13</v>
      </c>
      <c r="B388" s="4" t="s">
        <v>12</v>
      </c>
      <c r="C388" s="4" t="n">
        <v>3</v>
      </c>
      <c r="D388" s="4" t="n">
        <v>1</v>
      </c>
      <c r="E388" s="4" t="s">
        <v>26</v>
      </c>
      <c r="F388" s="3" t="s">
        <v>72</v>
      </c>
      <c r="G388" s="3" t="s">
        <v>550</v>
      </c>
      <c r="H388" s="3" t="s">
        <v>323</v>
      </c>
    </row>
    <row r="389" customFormat="false" ht="15" hidden="false" customHeight="false" outlineLevel="0" collapsed="false">
      <c r="A389" s="4" t="s">
        <v>13</v>
      </c>
      <c r="B389" s="4" t="s">
        <v>12</v>
      </c>
      <c r="C389" s="4" t="n">
        <v>4</v>
      </c>
      <c r="D389" s="4" t="n">
        <v>2</v>
      </c>
      <c r="E389" s="4" t="s">
        <v>533</v>
      </c>
      <c r="F389" s="3" t="s">
        <v>222</v>
      </c>
      <c r="G389" s="3" t="s">
        <v>551</v>
      </c>
      <c r="H389" s="3" t="s">
        <v>390</v>
      </c>
    </row>
    <row r="390" customFormat="false" ht="15" hidden="false" customHeight="false" outlineLevel="0" collapsed="false">
      <c r="A390" s="4" t="s">
        <v>13</v>
      </c>
      <c r="B390" s="4" t="s">
        <v>12</v>
      </c>
      <c r="C390" s="4" t="n">
        <v>6</v>
      </c>
      <c r="D390" s="4" t="n">
        <v>1</v>
      </c>
      <c r="E390" s="4" t="s">
        <v>42</v>
      </c>
      <c r="F390" s="3" t="s">
        <v>164</v>
      </c>
      <c r="G390" s="3" t="s">
        <v>552</v>
      </c>
      <c r="H390" s="3" t="s">
        <v>323</v>
      </c>
    </row>
    <row r="391" customFormat="false" ht="15" hidden="false" customHeight="false" outlineLevel="0" collapsed="false">
      <c r="A391" s="4" t="s">
        <v>13</v>
      </c>
      <c r="B391" s="4" t="s">
        <v>12</v>
      </c>
      <c r="C391" s="4" t="n">
        <v>7</v>
      </c>
      <c r="D391" s="4" t="n">
        <v>1</v>
      </c>
      <c r="E391" s="4" t="s">
        <v>39</v>
      </c>
      <c r="F391" s="3" t="s">
        <v>126</v>
      </c>
      <c r="G391" s="3" t="s">
        <v>513</v>
      </c>
      <c r="H391" s="3" t="s">
        <v>133</v>
      </c>
    </row>
    <row r="392" customFormat="false" ht="15" hidden="false" customHeight="false" outlineLevel="0" collapsed="false">
      <c r="A392" s="4" t="s">
        <v>13</v>
      </c>
      <c r="B392" s="4" t="s">
        <v>31</v>
      </c>
      <c r="C392" s="4" t="n">
        <v>1</v>
      </c>
      <c r="D392" s="4" t="n">
        <v>1</v>
      </c>
      <c r="E392" s="4" t="s">
        <v>16</v>
      </c>
      <c r="F392" s="3" t="s">
        <v>285</v>
      </c>
      <c r="G392" s="3" t="s">
        <v>361</v>
      </c>
      <c r="H392" s="3" t="s">
        <v>351</v>
      </c>
    </row>
    <row r="393" customFormat="false" ht="15" hidden="false" customHeight="false" outlineLevel="0" collapsed="false">
      <c r="A393" s="4" t="s">
        <v>13</v>
      </c>
      <c r="B393" s="4" t="s">
        <v>31</v>
      </c>
      <c r="C393" s="4" t="n">
        <v>2</v>
      </c>
      <c r="D393" s="4" t="n">
        <v>1</v>
      </c>
      <c r="E393" s="4" t="s">
        <v>21</v>
      </c>
      <c r="F393" s="3" t="s">
        <v>350</v>
      </c>
      <c r="G393" s="3" t="s">
        <v>347</v>
      </c>
      <c r="H393" s="3" t="s">
        <v>351</v>
      </c>
    </row>
    <row r="394" customFormat="false" ht="15" hidden="false" customHeight="false" outlineLevel="0" collapsed="false">
      <c r="A394" s="4" t="s">
        <v>13</v>
      </c>
      <c r="B394" s="4" t="s">
        <v>31</v>
      </c>
      <c r="C394" s="4" t="n">
        <v>3</v>
      </c>
      <c r="D394" s="4" t="n">
        <v>1</v>
      </c>
      <c r="E394" s="4" t="s">
        <v>26</v>
      </c>
      <c r="F394" s="3" t="s">
        <v>15</v>
      </c>
      <c r="G394" s="3" t="s">
        <v>549</v>
      </c>
      <c r="H394" s="3" t="s">
        <v>32</v>
      </c>
    </row>
    <row r="395" customFormat="false" ht="15" hidden="false" customHeight="false" outlineLevel="0" collapsed="false">
      <c r="A395" s="4" t="s">
        <v>13</v>
      </c>
      <c r="B395" s="4" t="s">
        <v>31</v>
      </c>
      <c r="C395" s="4" t="n">
        <v>4</v>
      </c>
      <c r="D395" s="4" t="n">
        <v>1</v>
      </c>
      <c r="E395" s="4" t="s">
        <v>34</v>
      </c>
      <c r="F395" s="3" t="s">
        <v>126</v>
      </c>
      <c r="G395" s="3" t="s">
        <v>513</v>
      </c>
      <c r="H395" s="3" t="s">
        <v>125</v>
      </c>
    </row>
    <row r="396" customFormat="false" ht="15" hidden="false" customHeight="false" outlineLevel="0" collapsed="false">
      <c r="A396" s="4" t="s">
        <v>13</v>
      </c>
      <c r="B396" s="4" t="s">
        <v>31</v>
      </c>
      <c r="C396" s="4" t="n">
        <v>5</v>
      </c>
      <c r="D396" s="4" t="n">
        <v>1</v>
      </c>
      <c r="E396" s="4" t="s">
        <v>37</v>
      </c>
      <c r="F396" s="3" t="s">
        <v>36</v>
      </c>
      <c r="G396" s="3" t="s">
        <v>553</v>
      </c>
      <c r="H396" s="3" t="s">
        <v>35</v>
      </c>
    </row>
    <row r="397" customFormat="false" ht="15" hidden="false" customHeight="false" outlineLevel="0" collapsed="false">
      <c r="A397" s="4" t="s">
        <v>13</v>
      </c>
      <c r="B397" s="4" t="s">
        <v>31</v>
      </c>
      <c r="C397" s="4" t="n">
        <v>6</v>
      </c>
      <c r="D397" s="4" t="n">
        <v>1</v>
      </c>
      <c r="E397" s="4" t="s">
        <v>42</v>
      </c>
      <c r="F397" s="3" t="s">
        <v>72</v>
      </c>
      <c r="G397" s="3" t="s">
        <v>550</v>
      </c>
      <c r="H397" s="3" t="s">
        <v>323</v>
      </c>
    </row>
    <row r="398" customFormat="false" ht="15" hidden="false" customHeight="false" outlineLevel="0" collapsed="false">
      <c r="A398" s="4" t="s">
        <v>13</v>
      </c>
      <c r="B398" s="4" t="s">
        <v>31</v>
      </c>
      <c r="C398" s="4" t="n">
        <v>7</v>
      </c>
      <c r="D398" s="4" t="n">
        <v>1</v>
      </c>
      <c r="E398" s="4" t="s">
        <v>39</v>
      </c>
      <c r="F398" s="3" t="s">
        <v>437</v>
      </c>
      <c r="G398" s="3" t="s">
        <v>481</v>
      </c>
      <c r="H398" s="3" t="s">
        <v>351</v>
      </c>
    </row>
    <row r="399" customFormat="false" ht="15" hidden="false" customHeight="false" outlineLevel="0" collapsed="false">
      <c r="A399" s="4" t="s">
        <v>13</v>
      </c>
      <c r="B399" s="4" t="s">
        <v>40</v>
      </c>
      <c r="C399" s="4" t="n">
        <v>1</v>
      </c>
      <c r="D399" s="4" t="n">
        <v>1</v>
      </c>
      <c r="E399" s="4" t="s">
        <v>16</v>
      </c>
      <c r="F399" s="3" t="s">
        <v>99</v>
      </c>
      <c r="G399" s="3" t="s">
        <v>433</v>
      </c>
      <c r="H399" s="3" t="s">
        <v>351</v>
      </c>
    </row>
    <row r="400" customFormat="false" ht="15" hidden="false" customHeight="false" outlineLevel="0" collapsed="false">
      <c r="A400" s="4" t="s">
        <v>13</v>
      </c>
      <c r="B400" s="4" t="s">
        <v>40</v>
      </c>
      <c r="C400" s="4" t="n">
        <v>2</v>
      </c>
      <c r="D400" s="4" t="n">
        <v>1</v>
      </c>
      <c r="E400" s="4" t="s">
        <v>21</v>
      </c>
      <c r="F400" s="3" t="s">
        <v>72</v>
      </c>
      <c r="G400" s="3" t="s">
        <v>550</v>
      </c>
      <c r="H400" s="3" t="s">
        <v>46</v>
      </c>
    </row>
    <row r="401" customFormat="false" ht="15" hidden="false" customHeight="false" outlineLevel="0" collapsed="false">
      <c r="A401" s="4" t="s">
        <v>13</v>
      </c>
      <c r="B401" s="4" t="s">
        <v>40</v>
      </c>
      <c r="C401" s="4" t="n">
        <v>3</v>
      </c>
      <c r="D401" s="4" t="n">
        <v>2</v>
      </c>
      <c r="E401" s="4" t="s">
        <v>542</v>
      </c>
      <c r="F401" s="3" t="s">
        <v>164</v>
      </c>
      <c r="G401" s="3" t="s">
        <v>552</v>
      </c>
      <c r="H401" s="3" t="s">
        <v>323</v>
      </c>
    </row>
    <row r="402" customFormat="false" ht="15" hidden="false" customHeight="false" outlineLevel="0" collapsed="false">
      <c r="A402" s="4" t="s">
        <v>13</v>
      </c>
      <c r="B402" s="4" t="s">
        <v>40</v>
      </c>
      <c r="C402" s="4" t="n">
        <v>5</v>
      </c>
      <c r="D402" s="4" t="n">
        <v>1</v>
      </c>
      <c r="E402" s="4" t="s">
        <v>37</v>
      </c>
      <c r="F402" s="3" t="s">
        <v>388</v>
      </c>
      <c r="G402" s="3" t="s">
        <v>554</v>
      </c>
      <c r="H402" s="3" t="s">
        <v>387</v>
      </c>
    </row>
    <row r="403" customFormat="false" ht="15" hidden="false" customHeight="false" outlineLevel="0" collapsed="false">
      <c r="A403" s="4" t="s">
        <v>13</v>
      </c>
      <c r="B403" s="4" t="s">
        <v>40</v>
      </c>
      <c r="C403" s="4" t="n">
        <v>6</v>
      </c>
      <c r="D403" s="4" t="n">
        <v>1</v>
      </c>
      <c r="E403" s="4" t="s">
        <v>42</v>
      </c>
      <c r="F403" s="3" t="s">
        <v>126</v>
      </c>
      <c r="G403" s="3" t="s">
        <v>513</v>
      </c>
      <c r="H403" s="3" t="s">
        <v>351</v>
      </c>
    </row>
    <row r="404" customFormat="false" ht="15" hidden="false" customHeight="false" outlineLevel="0" collapsed="false">
      <c r="A404" s="4" t="s">
        <v>13</v>
      </c>
      <c r="B404" s="4" t="s">
        <v>40</v>
      </c>
      <c r="C404" s="4" t="n">
        <v>7</v>
      </c>
      <c r="D404" s="4" t="n">
        <v>1</v>
      </c>
      <c r="E404" s="4" t="s">
        <v>39</v>
      </c>
      <c r="F404" s="3" t="s">
        <v>15</v>
      </c>
      <c r="G404" s="3" t="s">
        <v>549</v>
      </c>
      <c r="H404" s="3" t="s">
        <v>43</v>
      </c>
    </row>
    <row r="405" customFormat="false" ht="15" hidden="false" customHeight="false" outlineLevel="0" collapsed="false">
      <c r="A405" s="4" t="s">
        <v>13</v>
      </c>
      <c r="B405" s="4" t="s">
        <v>44</v>
      </c>
      <c r="C405" s="4" t="n">
        <v>1</v>
      </c>
      <c r="D405" s="4" t="n">
        <v>1</v>
      </c>
      <c r="E405" s="4" t="s">
        <v>16</v>
      </c>
      <c r="F405" s="3" t="s">
        <v>299</v>
      </c>
      <c r="G405" s="3" t="s">
        <v>555</v>
      </c>
      <c r="H405" s="3" t="s">
        <v>298</v>
      </c>
    </row>
    <row r="406" customFormat="false" ht="15" hidden="false" customHeight="false" outlineLevel="0" collapsed="false">
      <c r="A406" s="4" t="s">
        <v>13</v>
      </c>
      <c r="B406" s="4" t="s">
        <v>44</v>
      </c>
      <c r="C406" s="4" t="n">
        <v>2</v>
      </c>
      <c r="D406" s="4" t="n">
        <v>1</v>
      </c>
      <c r="E406" s="4" t="s">
        <v>21</v>
      </c>
      <c r="F406" s="3" t="s">
        <v>299</v>
      </c>
      <c r="G406" s="3" t="s">
        <v>540</v>
      </c>
      <c r="H406" s="3" t="s">
        <v>298</v>
      </c>
    </row>
    <row r="407" customFormat="false" ht="15" hidden="false" customHeight="false" outlineLevel="0" collapsed="false">
      <c r="A407" s="4" t="s">
        <v>13</v>
      </c>
      <c r="B407" s="4" t="s">
        <v>44</v>
      </c>
      <c r="C407" s="4" t="n">
        <v>3</v>
      </c>
      <c r="D407" s="4" t="n">
        <v>1</v>
      </c>
      <c r="E407" s="4" t="s">
        <v>26</v>
      </c>
      <c r="F407" s="3" t="s">
        <v>126</v>
      </c>
      <c r="G407" s="3" t="s">
        <v>513</v>
      </c>
      <c r="H407" s="3" t="s">
        <v>125</v>
      </c>
    </row>
    <row r="408" customFormat="false" ht="15" hidden="false" customHeight="false" outlineLevel="0" collapsed="false">
      <c r="A408" s="4" t="s">
        <v>13</v>
      </c>
      <c r="B408" s="4" t="s">
        <v>44</v>
      </c>
      <c r="C408" s="4" t="n">
        <v>4</v>
      </c>
      <c r="D408" s="4" t="n">
        <v>1</v>
      </c>
      <c r="E408" s="4" t="s">
        <v>34</v>
      </c>
      <c r="F408" s="3" t="s">
        <v>164</v>
      </c>
      <c r="G408" s="3" t="s">
        <v>552</v>
      </c>
      <c r="H408" s="3" t="s">
        <v>43</v>
      </c>
    </row>
    <row r="409" customFormat="false" ht="15" hidden="false" customHeight="false" outlineLevel="0" collapsed="false">
      <c r="A409" s="4" t="s">
        <v>13</v>
      </c>
      <c r="B409" s="4" t="s">
        <v>44</v>
      </c>
      <c r="C409" s="4" t="n">
        <v>5</v>
      </c>
      <c r="D409" s="4" t="n">
        <v>1</v>
      </c>
      <c r="E409" s="4" t="s">
        <v>37</v>
      </c>
      <c r="F409" s="3" t="s">
        <v>36</v>
      </c>
      <c r="G409" s="3" t="s">
        <v>553</v>
      </c>
      <c r="H409" s="3" t="s">
        <v>35</v>
      </c>
    </row>
    <row r="410" customFormat="false" ht="15" hidden="false" customHeight="false" outlineLevel="0" collapsed="false">
      <c r="A410" s="4" t="s">
        <v>13</v>
      </c>
      <c r="B410" s="4" t="s">
        <v>44</v>
      </c>
      <c r="C410" s="4" t="n">
        <v>6</v>
      </c>
      <c r="D410" s="4" t="n">
        <v>1</v>
      </c>
      <c r="E410" s="4" t="s">
        <v>42</v>
      </c>
      <c r="F410" s="3" t="s">
        <v>72</v>
      </c>
      <c r="G410" s="3" t="s">
        <v>550</v>
      </c>
      <c r="H410" s="3" t="s">
        <v>323</v>
      </c>
    </row>
    <row r="411" customFormat="false" ht="15" hidden="false" customHeight="false" outlineLevel="0" collapsed="false">
      <c r="A411" s="4" t="s">
        <v>13</v>
      </c>
      <c r="B411" s="4" t="s">
        <v>44</v>
      </c>
      <c r="C411" s="4" t="n">
        <v>7</v>
      </c>
      <c r="D411" s="4" t="n">
        <v>1</v>
      </c>
      <c r="E411" s="4" t="s">
        <v>39</v>
      </c>
      <c r="F411" s="3" t="s">
        <v>15</v>
      </c>
      <c r="G411" s="3" t="s">
        <v>549</v>
      </c>
      <c r="H411" s="3" t="s">
        <v>46</v>
      </c>
    </row>
    <row r="412" customFormat="false" ht="15" hidden="false" customHeight="false" outlineLevel="0" collapsed="false">
      <c r="A412" s="4" t="s">
        <v>13</v>
      </c>
      <c r="B412" s="4" t="s">
        <v>47</v>
      </c>
      <c r="C412" s="4" t="n">
        <v>1</v>
      </c>
      <c r="D412" s="4" t="n">
        <v>2</v>
      </c>
      <c r="E412" s="4" t="s">
        <v>539</v>
      </c>
      <c r="F412" s="3" t="s">
        <v>432</v>
      </c>
      <c r="G412" s="3" t="s">
        <v>430</v>
      </c>
      <c r="H412" s="3" t="s">
        <v>431</v>
      </c>
    </row>
    <row r="413" customFormat="false" ht="15" hidden="false" customHeight="false" outlineLevel="0" collapsed="false">
      <c r="A413" s="4" t="s">
        <v>13</v>
      </c>
      <c r="B413" s="4" t="s">
        <v>47</v>
      </c>
      <c r="C413" s="4" t="n">
        <v>3</v>
      </c>
      <c r="D413" s="4" t="n">
        <v>1</v>
      </c>
      <c r="E413" s="4" t="s">
        <v>26</v>
      </c>
      <c r="F413" s="3" t="s">
        <v>72</v>
      </c>
      <c r="G413" s="3" t="s">
        <v>550</v>
      </c>
      <c r="H413" s="3" t="s">
        <v>327</v>
      </c>
    </row>
    <row r="414" customFormat="false" ht="15" hidden="false" customHeight="false" outlineLevel="0" collapsed="false">
      <c r="A414" s="4" t="s">
        <v>13</v>
      </c>
      <c r="B414" s="4" t="s">
        <v>47</v>
      </c>
      <c r="C414" s="4" t="n">
        <v>4</v>
      </c>
      <c r="D414" s="4" t="n">
        <v>1</v>
      </c>
      <c r="E414" s="4" t="s">
        <v>34</v>
      </c>
      <c r="F414" s="3" t="s">
        <v>369</v>
      </c>
      <c r="G414" s="3" t="s">
        <v>367</v>
      </c>
      <c r="H414" s="3" t="s">
        <v>368</v>
      </c>
    </row>
    <row r="415" customFormat="false" ht="15" hidden="false" customHeight="false" outlineLevel="0" collapsed="false">
      <c r="A415" s="4" t="s">
        <v>13</v>
      </c>
      <c r="B415" s="4" t="s">
        <v>47</v>
      </c>
      <c r="C415" s="4" t="n">
        <v>5</v>
      </c>
      <c r="D415" s="4" t="n">
        <v>1</v>
      </c>
      <c r="E415" s="4" t="s">
        <v>37</v>
      </c>
      <c r="F415" s="3" t="s">
        <v>164</v>
      </c>
      <c r="G415" s="3" t="s">
        <v>552</v>
      </c>
      <c r="H415" s="3" t="s">
        <v>14</v>
      </c>
    </row>
    <row r="416" customFormat="false" ht="15" hidden="false" customHeight="false" outlineLevel="0" collapsed="false">
      <c r="A416" s="4" t="s">
        <v>13</v>
      </c>
      <c r="B416" s="4" t="s">
        <v>47</v>
      </c>
      <c r="C416" s="4" t="n">
        <v>6</v>
      </c>
      <c r="D416" s="4" t="n">
        <v>1</v>
      </c>
      <c r="E416" s="4" t="s">
        <v>42</v>
      </c>
      <c r="F416" s="3" t="s">
        <v>15</v>
      </c>
      <c r="G416" s="3" t="s">
        <v>549</v>
      </c>
      <c r="H416" s="3" t="s">
        <v>14</v>
      </c>
    </row>
    <row r="417" customFormat="false" ht="15" hidden="false" customHeight="false" outlineLevel="0" collapsed="false">
      <c r="A417" s="4" t="s">
        <v>13</v>
      </c>
      <c r="B417" s="4" t="s">
        <v>47</v>
      </c>
      <c r="C417" s="4" t="n">
        <v>7</v>
      </c>
      <c r="D417" s="4" t="n">
        <v>1</v>
      </c>
      <c r="E417" s="4" t="s">
        <v>39</v>
      </c>
      <c r="F417" s="3" t="s">
        <v>126</v>
      </c>
      <c r="G417" s="3" t="s">
        <v>513</v>
      </c>
      <c r="H417" s="3" t="s">
        <v>133</v>
      </c>
    </row>
    <row r="418" customFormat="false" ht="15" hidden="false" customHeight="false" outlineLevel="0" collapsed="false">
      <c r="A418" s="4" t="s">
        <v>13</v>
      </c>
      <c r="B418" s="4" t="s">
        <v>50</v>
      </c>
      <c r="C418" s="4" t="n">
        <v>1</v>
      </c>
      <c r="D418" s="4" t="n">
        <v>1</v>
      </c>
      <c r="E418" s="4" t="s">
        <v>16</v>
      </c>
      <c r="F418" s="3" t="s">
        <v>126</v>
      </c>
      <c r="G418" s="3" t="s">
        <v>513</v>
      </c>
      <c r="H418" s="3" t="s">
        <v>125</v>
      </c>
    </row>
    <row r="419" customFormat="false" ht="15" hidden="false" customHeight="false" outlineLevel="0" collapsed="false">
      <c r="A419" s="4" t="s">
        <v>13</v>
      </c>
      <c r="B419" s="4" t="s">
        <v>50</v>
      </c>
      <c r="C419" s="4" t="n">
        <v>2</v>
      </c>
      <c r="D419" s="4" t="n">
        <v>1</v>
      </c>
      <c r="E419" s="4" t="s">
        <v>21</v>
      </c>
      <c r="F419" s="3" t="s">
        <v>350</v>
      </c>
      <c r="G419" s="3" t="s">
        <v>347</v>
      </c>
      <c r="H419" s="3" t="s">
        <v>351</v>
      </c>
    </row>
    <row r="420" customFormat="false" ht="15" hidden="false" customHeight="false" outlineLevel="0" collapsed="false">
      <c r="A420" s="4" t="s">
        <v>13</v>
      </c>
      <c r="B420" s="4" t="s">
        <v>50</v>
      </c>
      <c r="C420" s="4" t="n">
        <v>3</v>
      </c>
      <c r="D420" s="4" t="n">
        <v>1</v>
      </c>
      <c r="E420" s="4" t="s">
        <v>26</v>
      </c>
      <c r="F420" s="3" t="s">
        <v>164</v>
      </c>
      <c r="G420" s="3" t="s">
        <v>552</v>
      </c>
      <c r="H420" s="3" t="s">
        <v>360</v>
      </c>
    </row>
    <row r="421" customFormat="false" ht="15" hidden="false" customHeight="false" outlineLevel="0" collapsed="false">
      <c r="A421" s="4" t="s">
        <v>13</v>
      </c>
      <c r="B421" s="4" t="s">
        <v>50</v>
      </c>
      <c r="C421" s="4" t="n">
        <v>4</v>
      </c>
      <c r="D421" s="4" t="n">
        <v>1</v>
      </c>
      <c r="E421" s="4" t="s">
        <v>34</v>
      </c>
      <c r="F421" s="3" t="s">
        <v>15</v>
      </c>
      <c r="G421" s="3" t="s">
        <v>549</v>
      </c>
      <c r="H421" s="3" t="s">
        <v>32</v>
      </c>
    </row>
    <row r="422" customFormat="false" ht="15" hidden="false" customHeight="false" outlineLevel="0" collapsed="false">
      <c r="A422" s="4" t="s">
        <v>13</v>
      </c>
      <c r="B422" s="4" t="s">
        <v>50</v>
      </c>
      <c r="C422" s="4" t="n">
        <v>5</v>
      </c>
      <c r="D422" s="4" t="n">
        <v>1</v>
      </c>
      <c r="E422" s="4" t="s">
        <v>37</v>
      </c>
      <c r="F422" s="3" t="s">
        <v>72</v>
      </c>
      <c r="G422" s="3" t="s">
        <v>550</v>
      </c>
      <c r="H422" s="3" t="s">
        <v>330</v>
      </c>
    </row>
    <row r="423" customFormat="false" ht="15" hidden="false" customHeight="false" outlineLevel="0" collapsed="false">
      <c r="A423" s="4" t="s">
        <v>13</v>
      </c>
      <c r="B423" s="4" t="s">
        <v>50</v>
      </c>
      <c r="C423" s="4" t="n">
        <v>6</v>
      </c>
      <c r="D423" s="4" t="n">
        <v>2</v>
      </c>
      <c r="E423" s="4" t="s">
        <v>536</v>
      </c>
      <c r="F423" s="3" t="s">
        <v>388</v>
      </c>
      <c r="G423" s="3" t="s">
        <v>537</v>
      </c>
      <c r="H423" s="3" t="s">
        <v>387</v>
      </c>
    </row>
    <row r="424" customFormat="false" ht="15" hidden="false" customHeight="false" outlineLevel="0" collapsed="false">
      <c r="A424" s="4" t="s">
        <v>13</v>
      </c>
      <c r="B424" s="4" t="s">
        <v>60</v>
      </c>
      <c r="C424" s="4" t="n">
        <v>1</v>
      </c>
      <c r="D424" s="4" t="n">
        <v>1</v>
      </c>
      <c r="E424" s="4" t="s">
        <v>16</v>
      </c>
      <c r="F424" s="3" t="s">
        <v>126</v>
      </c>
      <c r="G424" s="3" t="s">
        <v>513</v>
      </c>
      <c r="H424" s="3" t="s">
        <v>351</v>
      </c>
    </row>
    <row r="425" customFormat="false" ht="15" hidden="false" customHeight="false" outlineLevel="0" collapsed="false">
      <c r="A425" s="4" t="s">
        <v>13</v>
      </c>
      <c r="B425" s="4" t="s">
        <v>60</v>
      </c>
      <c r="C425" s="4" t="n">
        <v>2</v>
      </c>
      <c r="D425" s="4" t="n">
        <v>1</v>
      </c>
      <c r="E425" s="4" t="s">
        <v>21</v>
      </c>
      <c r="F425" s="3" t="s">
        <v>99</v>
      </c>
      <c r="G425" s="3" t="s">
        <v>433</v>
      </c>
      <c r="H425" s="3" t="s">
        <v>351</v>
      </c>
    </row>
    <row r="426" customFormat="false" ht="15" hidden="false" customHeight="false" outlineLevel="0" collapsed="false">
      <c r="A426" s="4" t="s">
        <v>13</v>
      </c>
      <c r="B426" s="4" t="s">
        <v>60</v>
      </c>
      <c r="C426" s="4" t="n">
        <v>3</v>
      </c>
      <c r="D426" s="4" t="n">
        <v>1</v>
      </c>
      <c r="E426" s="4" t="s">
        <v>26</v>
      </c>
      <c r="F426" s="3" t="s">
        <v>285</v>
      </c>
      <c r="G426" s="3" t="s">
        <v>361</v>
      </c>
      <c r="H426" s="3" t="s">
        <v>351</v>
      </c>
    </row>
    <row r="427" customFormat="false" ht="15" hidden="false" customHeight="false" outlineLevel="0" collapsed="false">
      <c r="A427" s="4" t="s">
        <v>13</v>
      </c>
      <c r="B427" s="4" t="s">
        <v>60</v>
      </c>
      <c r="C427" s="4" t="n">
        <v>4</v>
      </c>
      <c r="D427" s="4" t="n">
        <v>1</v>
      </c>
      <c r="E427" s="4" t="s">
        <v>34</v>
      </c>
      <c r="F427" s="3" t="s">
        <v>72</v>
      </c>
      <c r="G427" s="3" t="s">
        <v>550</v>
      </c>
      <c r="H427" s="3" t="s">
        <v>333</v>
      </c>
    </row>
    <row r="428" customFormat="false" ht="15" hidden="false" customHeight="false" outlineLevel="0" collapsed="false">
      <c r="A428" s="4" t="s">
        <v>13</v>
      </c>
      <c r="B428" s="4" t="s">
        <v>60</v>
      </c>
      <c r="C428" s="4" t="n">
        <v>5</v>
      </c>
      <c r="D428" s="4" t="n">
        <v>1</v>
      </c>
      <c r="E428" s="4" t="s">
        <v>37</v>
      </c>
      <c r="F428" s="3" t="s">
        <v>36</v>
      </c>
      <c r="G428" s="3" t="s">
        <v>553</v>
      </c>
      <c r="H428" s="3" t="s">
        <v>35</v>
      </c>
    </row>
    <row r="429" customFormat="false" ht="15" hidden="false" customHeight="false" outlineLevel="0" collapsed="false">
      <c r="A429" s="4" t="s">
        <v>13</v>
      </c>
      <c r="B429" s="4" t="s">
        <v>60</v>
      </c>
      <c r="C429" s="4" t="n">
        <v>6</v>
      </c>
      <c r="D429" s="4" t="n">
        <v>1</v>
      </c>
      <c r="E429" s="4" t="s">
        <v>42</v>
      </c>
      <c r="F429" s="3" t="s">
        <v>296</v>
      </c>
      <c r="G429" s="3" t="s">
        <v>556</v>
      </c>
      <c r="H429" s="3" t="s">
        <v>297</v>
      </c>
    </row>
    <row r="430" customFormat="false" ht="15" hidden="false" customHeight="false" outlineLevel="0" collapsed="false">
      <c r="A430" s="4" t="s">
        <v>13</v>
      </c>
      <c r="B430" s="4" t="s">
        <v>60</v>
      </c>
      <c r="C430" s="4" t="n">
        <v>7</v>
      </c>
      <c r="D430" s="4" t="n">
        <v>1</v>
      </c>
      <c r="E430" s="4" t="s">
        <v>39</v>
      </c>
      <c r="F430" s="3" t="s">
        <v>164</v>
      </c>
      <c r="G430" s="3" t="s">
        <v>552</v>
      </c>
      <c r="H430" s="3" t="s">
        <v>333</v>
      </c>
    </row>
    <row r="431" customFormat="false" ht="15" hidden="false" customHeight="false" outlineLevel="0" collapsed="false">
      <c r="A431" s="4" t="s">
        <v>13</v>
      </c>
      <c r="B431" s="4" t="s">
        <v>63</v>
      </c>
      <c r="C431" s="4" t="n">
        <v>1</v>
      </c>
      <c r="D431" s="4" t="n">
        <v>2</v>
      </c>
      <c r="E431" s="4" t="s">
        <v>539</v>
      </c>
      <c r="F431" s="3" t="s">
        <v>72</v>
      </c>
      <c r="G431" s="3" t="s">
        <v>550</v>
      </c>
      <c r="H431" s="3" t="s">
        <v>327</v>
      </c>
    </row>
    <row r="432" customFormat="false" ht="15" hidden="false" customHeight="false" outlineLevel="0" collapsed="false">
      <c r="A432" s="4" t="s">
        <v>13</v>
      </c>
      <c r="B432" s="4" t="s">
        <v>63</v>
      </c>
      <c r="C432" s="4" t="n">
        <v>3</v>
      </c>
      <c r="D432" s="4" t="n">
        <v>1</v>
      </c>
      <c r="E432" s="4" t="s">
        <v>26</v>
      </c>
      <c r="F432" s="3" t="s">
        <v>437</v>
      </c>
      <c r="G432" s="3" t="s">
        <v>481</v>
      </c>
      <c r="H432" s="3" t="s">
        <v>351</v>
      </c>
    </row>
    <row r="433" customFormat="false" ht="15" hidden="false" customHeight="false" outlineLevel="0" collapsed="false">
      <c r="A433" s="4" t="s">
        <v>13</v>
      </c>
      <c r="B433" s="4" t="s">
        <v>63</v>
      </c>
      <c r="C433" s="4" t="n">
        <v>4</v>
      </c>
      <c r="D433" s="4" t="n">
        <v>1</v>
      </c>
      <c r="E433" s="4" t="s">
        <v>34</v>
      </c>
      <c r="F433" s="3" t="s">
        <v>126</v>
      </c>
      <c r="G433" s="3" t="s">
        <v>513</v>
      </c>
      <c r="H433" s="3" t="s">
        <v>311</v>
      </c>
    </row>
    <row r="434" customFormat="false" ht="15" hidden="false" customHeight="false" outlineLevel="0" collapsed="false">
      <c r="A434" s="4" t="s">
        <v>13</v>
      </c>
      <c r="B434" s="4" t="s">
        <v>63</v>
      </c>
      <c r="C434" s="4" t="n">
        <v>5</v>
      </c>
      <c r="D434" s="4" t="n">
        <v>1</v>
      </c>
      <c r="E434" s="4" t="s">
        <v>37</v>
      </c>
      <c r="F434" s="3" t="s">
        <v>164</v>
      </c>
      <c r="G434" s="3" t="s">
        <v>552</v>
      </c>
      <c r="H434" s="3" t="s">
        <v>323</v>
      </c>
    </row>
    <row r="435" customFormat="false" ht="15" hidden="false" customHeight="false" outlineLevel="0" collapsed="false">
      <c r="A435" s="4" t="s">
        <v>13</v>
      </c>
      <c r="B435" s="4" t="s">
        <v>63</v>
      </c>
      <c r="C435" s="4" t="n">
        <v>6</v>
      </c>
      <c r="D435" s="4" t="n">
        <v>1</v>
      </c>
      <c r="E435" s="4" t="s">
        <v>42</v>
      </c>
      <c r="F435" s="3" t="s">
        <v>15</v>
      </c>
      <c r="G435" s="3" t="s">
        <v>549</v>
      </c>
      <c r="H435" s="3" t="s">
        <v>43</v>
      </c>
    </row>
    <row r="436" customFormat="false" ht="15" hidden="false" customHeight="false" outlineLevel="0" collapsed="false">
      <c r="A436" s="4" t="s">
        <v>13</v>
      </c>
      <c r="B436" s="4" t="s">
        <v>63</v>
      </c>
      <c r="C436" s="4" t="n">
        <v>7</v>
      </c>
      <c r="D436" s="4" t="n">
        <v>1</v>
      </c>
      <c r="E436" s="4" t="s">
        <v>39</v>
      </c>
      <c r="F436" s="3" t="s">
        <v>296</v>
      </c>
      <c r="G436" s="3" t="s">
        <v>556</v>
      </c>
      <c r="H436" s="3" t="s">
        <v>297</v>
      </c>
    </row>
    <row r="437" customFormat="false" ht="15" hidden="false" customHeight="false" outlineLevel="0" collapsed="false">
      <c r="A437" s="4" t="s">
        <v>13</v>
      </c>
      <c r="B437" s="4" t="s">
        <v>65</v>
      </c>
      <c r="C437" s="4" t="n">
        <v>1</v>
      </c>
      <c r="D437" s="4" t="n">
        <v>1</v>
      </c>
      <c r="E437" s="4" t="s">
        <v>16</v>
      </c>
      <c r="F437" s="3" t="s">
        <v>164</v>
      </c>
      <c r="G437" s="3" t="s">
        <v>552</v>
      </c>
      <c r="H437" s="3" t="s">
        <v>14</v>
      </c>
    </row>
    <row r="438" customFormat="false" ht="15" hidden="false" customHeight="false" outlineLevel="0" collapsed="false">
      <c r="A438" s="4" t="s">
        <v>13</v>
      </c>
      <c r="B438" s="4" t="s">
        <v>65</v>
      </c>
      <c r="C438" s="4" t="n">
        <v>2</v>
      </c>
      <c r="D438" s="4" t="n">
        <v>1</v>
      </c>
      <c r="E438" s="4" t="s">
        <v>21</v>
      </c>
      <c r="F438" s="3" t="s">
        <v>350</v>
      </c>
      <c r="G438" s="3" t="s">
        <v>347</v>
      </c>
      <c r="H438" s="3" t="s">
        <v>351</v>
      </c>
    </row>
    <row r="439" customFormat="false" ht="15" hidden="false" customHeight="false" outlineLevel="0" collapsed="false">
      <c r="A439" s="4" t="s">
        <v>13</v>
      </c>
      <c r="B439" s="4" t="s">
        <v>65</v>
      </c>
      <c r="C439" s="4" t="n">
        <v>3</v>
      </c>
      <c r="D439" s="4" t="n">
        <v>1</v>
      </c>
      <c r="E439" s="4" t="s">
        <v>26</v>
      </c>
      <c r="F439" s="3" t="s">
        <v>99</v>
      </c>
      <c r="G439" s="3" t="s">
        <v>433</v>
      </c>
      <c r="H439" s="3" t="s">
        <v>351</v>
      </c>
    </row>
    <row r="440" customFormat="false" ht="15" hidden="false" customHeight="false" outlineLevel="0" collapsed="false">
      <c r="A440" s="4" t="s">
        <v>13</v>
      </c>
      <c r="B440" s="4" t="s">
        <v>65</v>
      </c>
      <c r="C440" s="4" t="n">
        <v>4</v>
      </c>
      <c r="D440" s="4" t="n">
        <v>1</v>
      </c>
      <c r="E440" s="4" t="s">
        <v>34</v>
      </c>
      <c r="F440" s="3" t="s">
        <v>15</v>
      </c>
      <c r="G440" s="3" t="s">
        <v>549</v>
      </c>
      <c r="H440" s="3" t="s">
        <v>14</v>
      </c>
    </row>
    <row r="441" customFormat="false" ht="15" hidden="false" customHeight="false" outlineLevel="0" collapsed="false">
      <c r="A441" s="4" t="s">
        <v>13</v>
      </c>
      <c r="B441" s="4" t="s">
        <v>65</v>
      </c>
      <c r="C441" s="4" t="n">
        <v>5</v>
      </c>
      <c r="D441" s="4" t="n">
        <v>1</v>
      </c>
      <c r="E441" s="4" t="s">
        <v>37</v>
      </c>
      <c r="F441" s="3" t="s">
        <v>36</v>
      </c>
      <c r="G441" s="3" t="s">
        <v>553</v>
      </c>
      <c r="H441" s="3" t="s">
        <v>35</v>
      </c>
    </row>
    <row r="442" customFormat="false" ht="15" hidden="false" customHeight="false" outlineLevel="0" collapsed="false">
      <c r="A442" s="4" t="s">
        <v>13</v>
      </c>
      <c r="B442" s="4" t="s">
        <v>65</v>
      </c>
      <c r="C442" s="4" t="n">
        <v>6</v>
      </c>
      <c r="D442" s="4" t="n">
        <v>1</v>
      </c>
      <c r="E442" s="4" t="s">
        <v>42</v>
      </c>
      <c r="F442" s="3" t="s">
        <v>72</v>
      </c>
      <c r="G442" s="3" t="s">
        <v>550</v>
      </c>
      <c r="H442" s="3" t="s">
        <v>336</v>
      </c>
    </row>
    <row r="443" customFormat="false" ht="15" hidden="false" customHeight="false" outlineLevel="0" collapsed="false">
      <c r="A443" s="4" t="s">
        <v>13</v>
      </c>
      <c r="B443" s="4" t="s">
        <v>65</v>
      </c>
      <c r="C443" s="4" t="n">
        <v>7</v>
      </c>
      <c r="D443" s="4" t="n">
        <v>1</v>
      </c>
      <c r="E443" s="4" t="s">
        <v>39</v>
      </c>
      <c r="F443" s="3" t="s">
        <v>126</v>
      </c>
      <c r="G443" s="3" t="s">
        <v>513</v>
      </c>
      <c r="H443" s="3" t="s">
        <v>125</v>
      </c>
    </row>
    <row r="444" customFormat="false" ht="15" hidden="false" customHeight="false" outlineLevel="0" collapsed="false">
      <c r="A444" s="4" t="s">
        <v>13</v>
      </c>
      <c r="B444" s="4" t="s">
        <v>66</v>
      </c>
      <c r="C444" s="4" t="n">
        <v>1</v>
      </c>
      <c r="D444" s="4" t="n">
        <v>2</v>
      </c>
      <c r="E444" s="4" t="s">
        <v>539</v>
      </c>
      <c r="F444" s="3" t="s">
        <v>432</v>
      </c>
      <c r="G444" s="3" t="s">
        <v>430</v>
      </c>
      <c r="H444" s="3" t="s">
        <v>431</v>
      </c>
    </row>
    <row r="445" customFormat="false" ht="15" hidden="false" customHeight="false" outlineLevel="0" collapsed="false">
      <c r="A445" s="4" t="s">
        <v>13</v>
      </c>
      <c r="B445" s="4" t="s">
        <v>66</v>
      </c>
      <c r="C445" s="4" t="n">
        <v>3</v>
      </c>
      <c r="D445" s="4" t="n">
        <v>1</v>
      </c>
      <c r="E445" s="4" t="s">
        <v>26</v>
      </c>
      <c r="F445" s="3" t="s">
        <v>437</v>
      </c>
      <c r="G445" s="3" t="s">
        <v>481</v>
      </c>
      <c r="H445" s="3" t="s">
        <v>351</v>
      </c>
    </row>
    <row r="446" customFormat="false" ht="15" hidden="false" customHeight="false" outlineLevel="0" collapsed="false">
      <c r="A446" s="4" t="s">
        <v>13</v>
      </c>
      <c r="B446" s="4" t="s">
        <v>66</v>
      </c>
      <c r="C446" s="4" t="n">
        <v>4</v>
      </c>
      <c r="D446" s="4" t="n">
        <v>1</v>
      </c>
      <c r="E446" s="4" t="s">
        <v>34</v>
      </c>
      <c r="F446" s="3" t="s">
        <v>369</v>
      </c>
      <c r="G446" s="3" t="s">
        <v>367</v>
      </c>
      <c r="H446" s="3" t="s">
        <v>368</v>
      </c>
    </row>
    <row r="447" customFormat="false" ht="15" hidden="false" customHeight="false" outlineLevel="0" collapsed="false">
      <c r="A447" s="4" t="s">
        <v>13</v>
      </c>
      <c r="B447" s="4" t="s">
        <v>66</v>
      </c>
      <c r="C447" s="4" t="n">
        <v>5</v>
      </c>
      <c r="D447" s="4" t="n">
        <v>1</v>
      </c>
      <c r="E447" s="4" t="s">
        <v>37</v>
      </c>
      <c r="F447" s="3" t="s">
        <v>72</v>
      </c>
      <c r="G447" s="3" t="s">
        <v>550</v>
      </c>
      <c r="H447" s="3" t="s">
        <v>337</v>
      </c>
    </row>
    <row r="448" customFormat="false" ht="15" hidden="false" customHeight="false" outlineLevel="0" collapsed="false">
      <c r="A448" s="4" t="s">
        <v>13</v>
      </c>
      <c r="B448" s="4" t="s">
        <v>66</v>
      </c>
      <c r="C448" s="4" t="n">
        <v>6</v>
      </c>
      <c r="D448" s="4" t="n">
        <v>1</v>
      </c>
      <c r="E448" s="4" t="s">
        <v>42</v>
      </c>
      <c r="F448" s="3" t="s">
        <v>164</v>
      </c>
      <c r="G448" s="3" t="s">
        <v>552</v>
      </c>
      <c r="H448" s="3" t="s">
        <v>360</v>
      </c>
    </row>
    <row r="449" customFormat="false" ht="15" hidden="false" customHeight="false" outlineLevel="0" collapsed="false">
      <c r="A449" s="4" t="s">
        <v>13</v>
      </c>
      <c r="B449" s="4" t="s">
        <v>66</v>
      </c>
      <c r="C449" s="4" t="n">
        <v>7</v>
      </c>
      <c r="D449" s="4" t="n">
        <v>1</v>
      </c>
      <c r="E449" s="4" t="s">
        <v>39</v>
      </c>
      <c r="F449" s="3" t="s">
        <v>15</v>
      </c>
      <c r="G449" s="3" t="s">
        <v>549</v>
      </c>
      <c r="H449" s="3" t="s">
        <v>68</v>
      </c>
    </row>
    <row r="450" customFormat="false" ht="15" hidden="false" customHeight="false" outlineLevel="0" collapsed="false">
      <c r="A450" s="4" t="s">
        <v>17</v>
      </c>
      <c r="B450" s="4" t="s">
        <v>12</v>
      </c>
      <c r="C450" s="4" t="n">
        <v>1</v>
      </c>
      <c r="D450" s="4" t="n">
        <v>1</v>
      </c>
      <c r="E450" s="4" t="s">
        <v>16</v>
      </c>
      <c r="F450" s="3" t="s">
        <v>15</v>
      </c>
      <c r="G450" s="3" t="s">
        <v>549</v>
      </c>
      <c r="H450" s="3" t="s">
        <v>14</v>
      </c>
    </row>
    <row r="451" customFormat="false" ht="15" hidden="false" customHeight="false" outlineLevel="0" collapsed="false">
      <c r="A451" s="4" t="s">
        <v>17</v>
      </c>
      <c r="B451" s="4" t="s">
        <v>12</v>
      </c>
      <c r="C451" s="4" t="n">
        <v>2</v>
      </c>
      <c r="D451" s="4" t="n">
        <v>1</v>
      </c>
      <c r="E451" s="4" t="s">
        <v>21</v>
      </c>
      <c r="F451" s="3" t="s">
        <v>296</v>
      </c>
      <c r="G451" s="3" t="s">
        <v>557</v>
      </c>
      <c r="H451" s="3" t="s">
        <v>295</v>
      </c>
    </row>
    <row r="452" customFormat="false" ht="15" hidden="false" customHeight="false" outlineLevel="0" collapsed="false">
      <c r="A452" s="4" t="s">
        <v>17</v>
      </c>
      <c r="B452" s="4" t="s">
        <v>12</v>
      </c>
      <c r="C452" s="4" t="n">
        <v>3</v>
      </c>
      <c r="D452" s="4" t="n">
        <v>1</v>
      </c>
      <c r="E452" s="4" t="s">
        <v>26</v>
      </c>
      <c r="F452" s="3" t="s">
        <v>72</v>
      </c>
      <c r="G452" s="3" t="s">
        <v>550</v>
      </c>
      <c r="H452" s="3" t="s">
        <v>323</v>
      </c>
    </row>
    <row r="453" customFormat="false" ht="15" hidden="false" customHeight="false" outlineLevel="0" collapsed="false">
      <c r="A453" s="4" t="s">
        <v>17</v>
      </c>
      <c r="B453" s="4" t="s">
        <v>12</v>
      </c>
      <c r="C453" s="4" t="n">
        <v>4</v>
      </c>
      <c r="D453" s="4" t="n">
        <v>2</v>
      </c>
      <c r="E453" s="4" t="s">
        <v>533</v>
      </c>
      <c r="F453" s="3" t="s">
        <v>222</v>
      </c>
      <c r="G453" s="3" t="s">
        <v>551</v>
      </c>
      <c r="H453" s="3" t="s">
        <v>390</v>
      </c>
    </row>
    <row r="454" customFormat="false" ht="15" hidden="false" customHeight="false" outlineLevel="0" collapsed="false">
      <c r="A454" s="4" t="s">
        <v>17</v>
      </c>
      <c r="B454" s="4" t="s">
        <v>12</v>
      </c>
      <c r="C454" s="4" t="n">
        <v>6</v>
      </c>
      <c r="D454" s="4" t="n">
        <v>1</v>
      </c>
      <c r="E454" s="4" t="s">
        <v>42</v>
      </c>
      <c r="F454" s="3" t="s">
        <v>164</v>
      </c>
      <c r="G454" s="3" t="s">
        <v>552</v>
      </c>
      <c r="H454" s="3" t="s">
        <v>323</v>
      </c>
    </row>
    <row r="455" customFormat="false" ht="15" hidden="false" customHeight="false" outlineLevel="0" collapsed="false">
      <c r="A455" s="4" t="s">
        <v>17</v>
      </c>
      <c r="B455" s="4" t="s">
        <v>12</v>
      </c>
      <c r="C455" s="4" t="n">
        <v>7</v>
      </c>
      <c r="D455" s="4" t="n">
        <v>1</v>
      </c>
      <c r="E455" s="4" t="s">
        <v>39</v>
      </c>
      <c r="F455" s="3" t="s">
        <v>99</v>
      </c>
      <c r="G455" s="3" t="s">
        <v>433</v>
      </c>
      <c r="H455" s="3" t="s">
        <v>292</v>
      </c>
    </row>
    <row r="456" customFormat="false" ht="15" hidden="false" customHeight="false" outlineLevel="0" collapsed="false">
      <c r="A456" s="4" t="s">
        <v>17</v>
      </c>
      <c r="B456" s="4" t="s">
        <v>31</v>
      </c>
      <c r="C456" s="4" t="n">
        <v>1</v>
      </c>
      <c r="D456" s="4" t="n">
        <v>2</v>
      </c>
      <c r="E456" s="4" t="s">
        <v>539</v>
      </c>
      <c r="F456" s="3" t="s">
        <v>463</v>
      </c>
      <c r="G456" s="3" t="s">
        <v>558</v>
      </c>
      <c r="H456" s="3" t="s">
        <v>462</v>
      </c>
    </row>
    <row r="457" customFormat="false" ht="15" hidden="false" customHeight="false" outlineLevel="0" collapsed="false">
      <c r="A457" s="4" t="s">
        <v>17</v>
      </c>
      <c r="B457" s="4" t="s">
        <v>31</v>
      </c>
      <c r="C457" s="4" t="n">
        <v>3</v>
      </c>
      <c r="D457" s="4" t="n">
        <v>1</v>
      </c>
      <c r="E457" s="4" t="s">
        <v>26</v>
      </c>
      <c r="F457" s="3" t="s">
        <v>15</v>
      </c>
      <c r="G457" s="3" t="s">
        <v>549</v>
      </c>
      <c r="H457" s="3" t="s">
        <v>32</v>
      </c>
    </row>
    <row r="458" customFormat="false" ht="15" hidden="false" customHeight="false" outlineLevel="0" collapsed="false">
      <c r="A458" s="4" t="s">
        <v>17</v>
      </c>
      <c r="B458" s="4" t="s">
        <v>31</v>
      </c>
      <c r="C458" s="4" t="n">
        <v>4</v>
      </c>
      <c r="D458" s="4" t="n">
        <v>1</v>
      </c>
      <c r="E458" s="4" t="s">
        <v>34</v>
      </c>
      <c r="F458" s="3" t="s">
        <v>437</v>
      </c>
      <c r="G458" s="3" t="s">
        <v>436</v>
      </c>
      <c r="H458" s="3" t="s">
        <v>292</v>
      </c>
    </row>
    <row r="459" customFormat="false" ht="15" hidden="false" customHeight="false" outlineLevel="0" collapsed="false">
      <c r="A459" s="4" t="s">
        <v>17</v>
      </c>
      <c r="B459" s="4" t="s">
        <v>31</v>
      </c>
      <c r="C459" s="4" t="n">
        <v>5</v>
      </c>
      <c r="D459" s="4" t="n">
        <v>1</v>
      </c>
      <c r="E459" s="4" t="s">
        <v>37</v>
      </c>
      <c r="F459" s="3" t="s">
        <v>36</v>
      </c>
      <c r="G459" s="3" t="s">
        <v>553</v>
      </c>
      <c r="H459" s="3" t="s">
        <v>35</v>
      </c>
    </row>
    <row r="460" customFormat="false" ht="15" hidden="false" customHeight="false" outlineLevel="0" collapsed="false">
      <c r="A460" s="4" t="s">
        <v>17</v>
      </c>
      <c r="B460" s="4" t="s">
        <v>31</v>
      </c>
      <c r="C460" s="4" t="n">
        <v>6</v>
      </c>
      <c r="D460" s="4" t="n">
        <v>1</v>
      </c>
      <c r="E460" s="4" t="s">
        <v>42</v>
      </c>
      <c r="F460" s="3" t="s">
        <v>72</v>
      </c>
      <c r="G460" s="3" t="s">
        <v>550</v>
      </c>
      <c r="H460" s="3" t="s">
        <v>323</v>
      </c>
    </row>
    <row r="461" customFormat="false" ht="15" hidden="false" customHeight="false" outlineLevel="0" collapsed="false">
      <c r="A461" s="4" t="s">
        <v>17</v>
      </c>
      <c r="B461" s="4" t="s">
        <v>31</v>
      </c>
      <c r="C461" s="4" t="n">
        <v>7</v>
      </c>
      <c r="D461" s="4" t="n">
        <v>1</v>
      </c>
      <c r="E461" s="4" t="s">
        <v>39</v>
      </c>
      <c r="F461" s="3" t="s">
        <v>126</v>
      </c>
      <c r="G461" s="3" t="s">
        <v>460</v>
      </c>
      <c r="H461" s="3" t="s">
        <v>292</v>
      </c>
    </row>
    <row r="462" customFormat="false" ht="15" hidden="false" customHeight="false" outlineLevel="0" collapsed="false">
      <c r="A462" s="4" t="s">
        <v>17</v>
      </c>
      <c r="B462" s="4" t="s">
        <v>40</v>
      </c>
      <c r="C462" s="4" t="n">
        <v>1</v>
      </c>
      <c r="D462" s="4" t="n">
        <v>1</v>
      </c>
      <c r="E462" s="4" t="s">
        <v>16</v>
      </c>
      <c r="F462" s="3" t="s">
        <v>285</v>
      </c>
      <c r="G462" s="3" t="s">
        <v>514</v>
      </c>
      <c r="H462" s="3" t="s">
        <v>292</v>
      </c>
    </row>
    <row r="463" customFormat="false" ht="15" hidden="false" customHeight="false" outlineLevel="0" collapsed="false">
      <c r="A463" s="4" t="s">
        <v>17</v>
      </c>
      <c r="B463" s="4" t="s">
        <v>40</v>
      </c>
      <c r="C463" s="4" t="n">
        <v>2</v>
      </c>
      <c r="D463" s="4" t="n">
        <v>1</v>
      </c>
      <c r="E463" s="4" t="s">
        <v>21</v>
      </c>
      <c r="F463" s="3" t="s">
        <v>72</v>
      </c>
      <c r="G463" s="3" t="s">
        <v>550</v>
      </c>
      <c r="H463" s="3" t="s">
        <v>46</v>
      </c>
    </row>
    <row r="464" customFormat="false" ht="15" hidden="false" customHeight="false" outlineLevel="0" collapsed="false">
      <c r="A464" s="4" t="s">
        <v>17</v>
      </c>
      <c r="B464" s="4" t="s">
        <v>40</v>
      </c>
      <c r="C464" s="4" t="n">
        <v>3</v>
      </c>
      <c r="D464" s="4" t="n">
        <v>2</v>
      </c>
      <c r="E464" s="4" t="s">
        <v>542</v>
      </c>
      <c r="F464" s="3" t="s">
        <v>164</v>
      </c>
      <c r="G464" s="3" t="s">
        <v>552</v>
      </c>
      <c r="H464" s="3" t="s">
        <v>323</v>
      </c>
    </row>
    <row r="465" customFormat="false" ht="15" hidden="false" customHeight="false" outlineLevel="0" collapsed="false">
      <c r="A465" s="4" t="s">
        <v>17</v>
      </c>
      <c r="B465" s="4" t="s">
        <v>40</v>
      </c>
      <c r="C465" s="4" t="n">
        <v>5</v>
      </c>
      <c r="D465" s="4" t="n">
        <v>1</v>
      </c>
      <c r="E465" s="4" t="s">
        <v>37</v>
      </c>
      <c r="F465" s="3" t="s">
        <v>388</v>
      </c>
      <c r="G465" s="3" t="s">
        <v>554</v>
      </c>
      <c r="H465" s="3" t="s">
        <v>387</v>
      </c>
    </row>
    <row r="466" customFormat="false" ht="15" hidden="false" customHeight="false" outlineLevel="0" collapsed="false">
      <c r="A466" s="4" t="s">
        <v>17</v>
      </c>
      <c r="B466" s="4" t="s">
        <v>40</v>
      </c>
      <c r="C466" s="4" t="n">
        <v>6</v>
      </c>
      <c r="D466" s="4" t="n">
        <v>1</v>
      </c>
      <c r="E466" s="4" t="s">
        <v>42</v>
      </c>
      <c r="F466" s="3" t="s">
        <v>126</v>
      </c>
      <c r="G466" s="3" t="s">
        <v>460</v>
      </c>
      <c r="H466" s="3" t="s">
        <v>125</v>
      </c>
    </row>
    <row r="467" customFormat="false" ht="15" hidden="false" customHeight="false" outlineLevel="0" collapsed="false">
      <c r="A467" s="4" t="s">
        <v>17</v>
      </c>
      <c r="B467" s="4" t="s">
        <v>40</v>
      </c>
      <c r="C467" s="4" t="n">
        <v>7</v>
      </c>
      <c r="D467" s="4" t="n">
        <v>1</v>
      </c>
      <c r="E467" s="4" t="s">
        <v>39</v>
      </c>
      <c r="F467" s="3" t="s">
        <v>15</v>
      </c>
      <c r="G467" s="3" t="s">
        <v>549</v>
      </c>
      <c r="H467" s="3" t="s">
        <v>43</v>
      </c>
    </row>
    <row r="468" customFormat="false" ht="15" hidden="false" customHeight="false" outlineLevel="0" collapsed="false">
      <c r="A468" s="4" t="s">
        <v>17</v>
      </c>
      <c r="B468" s="4" t="s">
        <v>44</v>
      </c>
      <c r="C468" s="4" t="n">
        <v>1</v>
      </c>
      <c r="D468" s="4" t="n">
        <v>1</v>
      </c>
      <c r="E468" s="4" t="s">
        <v>16</v>
      </c>
      <c r="F468" s="3" t="s">
        <v>126</v>
      </c>
      <c r="G468" s="3" t="s">
        <v>460</v>
      </c>
      <c r="H468" s="3" t="s">
        <v>292</v>
      </c>
    </row>
    <row r="469" customFormat="false" ht="15" hidden="false" customHeight="false" outlineLevel="0" collapsed="false">
      <c r="A469" s="4" t="s">
        <v>17</v>
      </c>
      <c r="B469" s="4" t="s">
        <v>44</v>
      </c>
      <c r="C469" s="4" t="n">
        <v>2</v>
      </c>
      <c r="D469" s="4" t="n">
        <v>1</v>
      </c>
      <c r="E469" s="4" t="s">
        <v>21</v>
      </c>
      <c r="F469" s="3" t="s">
        <v>350</v>
      </c>
      <c r="G469" s="3" t="s">
        <v>347</v>
      </c>
      <c r="H469" s="3" t="s">
        <v>292</v>
      </c>
    </row>
    <row r="470" customFormat="false" ht="15" hidden="false" customHeight="false" outlineLevel="0" collapsed="false">
      <c r="A470" s="4" t="s">
        <v>17</v>
      </c>
      <c r="B470" s="4" t="s">
        <v>44</v>
      </c>
      <c r="C470" s="4" t="n">
        <v>3</v>
      </c>
      <c r="D470" s="4" t="n">
        <v>1</v>
      </c>
      <c r="E470" s="4" t="s">
        <v>26</v>
      </c>
      <c r="F470" s="3" t="s">
        <v>296</v>
      </c>
      <c r="G470" s="3" t="s">
        <v>557</v>
      </c>
      <c r="H470" s="3" t="s">
        <v>295</v>
      </c>
    </row>
    <row r="471" customFormat="false" ht="15" hidden="false" customHeight="false" outlineLevel="0" collapsed="false">
      <c r="A471" s="4" t="s">
        <v>17</v>
      </c>
      <c r="B471" s="4" t="s">
        <v>44</v>
      </c>
      <c r="C471" s="4" t="n">
        <v>4</v>
      </c>
      <c r="D471" s="4" t="n">
        <v>1</v>
      </c>
      <c r="E471" s="4" t="s">
        <v>34</v>
      </c>
      <c r="F471" s="3" t="s">
        <v>164</v>
      </c>
      <c r="G471" s="3" t="s">
        <v>552</v>
      </c>
      <c r="H471" s="3" t="s">
        <v>43</v>
      </c>
    </row>
    <row r="472" customFormat="false" ht="15" hidden="false" customHeight="false" outlineLevel="0" collapsed="false">
      <c r="A472" s="4" t="s">
        <v>17</v>
      </c>
      <c r="B472" s="4" t="s">
        <v>44</v>
      </c>
      <c r="C472" s="4" t="n">
        <v>5</v>
      </c>
      <c r="D472" s="4" t="n">
        <v>1</v>
      </c>
      <c r="E472" s="4" t="s">
        <v>37</v>
      </c>
      <c r="F472" s="3" t="s">
        <v>36</v>
      </c>
      <c r="G472" s="3" t="s">
        <v>553</v>
      </c>
      <c r="H472" s="3" t="s">
        <v>35</v>
      </c>
    </row>
    <row r="473" customFormat="false" ht="15" hidden="false" customHeight="false" outlineLevel="0" collapsed="false">
      <c r="A473" s="4" t="s">
        <v>17</v>
      </c>
      <c r="B473" s="4" t="s">
        <v>44</v>
      </c>
      <c r="C473" s="4" t="n">
        <v>6</v>
      </c>
      <c r="D473" s="4" t="n">
        <v>1</v>
      </c>
      <c r="E473" s="4" t="s">
        <v>42</v>
      </c>
      <c r="F473" s="3" t="s">
        <v>72</v>
      </c>
      <c r="G473" s="3" t="s">
        <v>550</v>
      </c>
      <c r="H473" s="3" t="s">
        <v>323</v>
      </c>
    </row>
    <row r="474" customFormat="false" ht="15" hidden="false" customHeight="false" outlineLevel="0" collapsed="false">
      <c r="A474" s="4" t="s">
        <v>17</v>
      </c>
      <c r="B474" s="4" t="s">
        <v>44</v>
      </c>
      <c r="C474" s="4" t="n">
        <v>7</v>
      </c>
      <c r="D474" s="4" t="n">
        <v>1</v>
      </c>
      <c r="E474" s="4" t="s">
        <v>39</v>
      </c>
      <c r="F474" s="3" t="s">
        <v>15</v>
      </c>
      <c r="G474" s="3" t="s">
        <v>549</v>
      </c>
      <c r="H474" s="3" t="s">
        <v>46</v>
      </c>
    </row>
    <row r="475" customFormat="false" ht="15" hidden="false" customHeight="false" outlineLevel="0" collapsed="false">
      <c r="A475" s="4" t="s">
        <v>17</v>
      </c>
      <c r="B475" s="4" t="s">
        <v>47</v>
      </c>
      <c r="C475" s="4" t="n">
        <v>1</v>
      </c>
      <c r="D475" s="4" t="n">
        <v>1</v>
      </c>
      <c r="E475" s="4" t="s">
        <v>16</v>
      </c>
      <c r="F475" s="3" t="s">
        <v>369</v>
      </c>
      <c r="G475" s="3" t="s">
        <v>417</v>
      </c>
      <c r="H475" s="3" t="s">
        <v>368</v>
      </c>
    </row>
    <row r="476" customFormat="false" ht="15" hidden="false" customHeight="false" outlineLevel="0" collapsed="false">
      <c r="A476" s="4" t="s">
        <v>17</v>
      </c>
      <c r="B476" s="4" t="s">
        <v>47</v>
      </c>
      <c r="C476" s="4" t="n">
        <v>2</v>
      </c>
      <c r="D476" s="4" t="n">
        <v>1</v>
      </c>
      <c r="E476" s="4" t="s">
        <v>21</v>
      </c>
      <c r="F476" s="3" t="s">
        <v>126</v>
      </c>
      <c r="G476" s="3" t="s">
        <v>460</v>
      </c>
      <c r="H476" s="3" t="s">
        <v>133</v>
      </c>
    </row>
    <row r="477" customFormat="false" ht="15" hidden="false" customHeight="false" outlineLevel="0" collapsed="false">
      <c r="A477" s="4" t="s">
        <v>17</v>
      </c>
      <c r="B477" s="4" t="s">
        <v>47</v>
      </c>
      <c r="C477" s="4" t="n">
        <v>3</v>
      </c>
      <c r="D477" s="4" t="n">
        <v>1</v>
      </c>
      <c r="E477" s="4" t="s">
        <v>26</v>
      </c>
      <c r="F477" s="3" t="s">
        <v>72</v>
      </c>
      <c r="G477" s="3" t="s">
        <v>550</v>
      </c>
      <c r="H477" s="3" t="s">
        <v>327</v>
      </c>
    </row>
    <row r="478" customFormat="false" ht="15" hidden="false" customHeight="false" outlineLevel="0" collapsed="false">
      <c r="A478" s="4" t="s">
        <v>17</v>
      </c>
      <c r="B478" s="4" t="s">
        <v>47</v>
      </c>
      <c r="C478" s="4" t="n">
        <v>4</v>
      </c>
      <c r="D478" s="4" t="n">
        <v>1</v>
      </c>
      <c r="E478" s="4" t="s">
        <v>34</v>
      </c>
      <c r="F478" s="3" t="s">
        <v>437</v>
      </c>
      <c r="G478" s="3" t="s">
        <v>436</v>
      </c>
      <c r="H478" s="3" t="s">
        <v>292</v>
      </c>
    </row>
    <row r="479" customFormat="false" ht="15" hidden="false" customHeight="false" outlineLevel="0" collapsed="false">
      <c r="A479" s="4" t="s">
        <v>17</v>
      </c>
      <c r="B479" s="4" t="s">
        <v>47</v>
      </c>
      <c r="C479" s="4" t="n">
        <v>5</v>
      </c>
      <c r="D479" s="4" t="n">
        <v>1</v>
      </c>
      <c r="E479" s="4" t="s">
        <v>37</v>
      </c>
      <c r="F479" s="3" t="s">
        <v>164</v>
      </c>
      <c r="G479" s="3" t="s">
        <v>552</v>
      </c>
      <c r="H479" s="3" t="s">
        <v>14</v>
      </c>
    </row>
    <row r="480" customFormat="false" ht="15" hidden="false" customHeight="false" outlineLevel="0" collapsed="false">
      <c r="A480" s="4" t="s">
        <v>17</v>
      </c>
      <c r="B480" s="4" t="s">
        <v>47</v>
      </c>
      <c r="C480" s="4" t="n">
        <v>6</v>
      </c>
      <c r="D480" s="4" t="n">
        <v>1</v>
      </c>
      <c r="E480" s="4" t="s">
        <v>42</v>
      </c>
      <c r="F480" s="3" t="s">
        <v>15</v>
      </c>
      <c r="G480" s="3" t="s">
        <v>549</v>
      </c>
      <c r="H480" s="3" t="s">
        <v>14</v>
      </c>
    </row>
    <row r="481" customFormat="false" ht="15" hidden="false" customHeight="false" outlineLevel="0" collapsed="false">
      <c r="A481" s="4" t="s">
        <v>17</v>
      </c>
      <c r="B481" s="4" t="s">
        <v>47</v>
      </c>
      <c r="C481" s="4" t="n">
        <v>7</v>
      </c>
      <c r="D481" s="4" t="n">
        <v>1</v>
      </c>
      <c r="E481" s="4" t="s">
        <v>39</v>
      </c>
      <c r="F481" s="3" t="s">
        <v>99</v>
      </c>
      <c r="G481" s="3" t="s">
        <v>433</v>
      </c>
      <c r="H481" s="3" t="s">
        <v>292</v>
      </c>
    </row>
    <row r="482" customFormat="false" ht="15" hidden="false" customHeight="false" outlineLevel="0" collapsed="false">
      <c r="A482" s="4" t="s">
        <v>17</v>
      </c>
      <c r="B482" s="4" t="s">
        <v>50</v>
      </c>
      <c r="C482" s="4" t="n">
        <v>1</v>
      </c>
      <c r="D482" s="4" t="n">
        <v>1</v>
      </c>
      <c r="E482" s="4" t="s">
        <v>16</v>
      </c>
      <c r="F482" s="3" t="s">
        <v>126</v>
      </c>
      <c r="G482" s="3" t="s">
        <v>460</v>
      </c>
      <c r="H482" s="3" t="s">
        <v>133</v>
      </c>
    </row>
    <row r="483" customFormat="false" ht="15" hidden="false" customHeight="false" outlineLevel="0" collapsed="false">
      <c r="A483" s="4" t="s">
        <v>17</v>
      </c>
      <c r="B483" s="4" t="s">
        <v>50</v>
      </c>
      <c r="C483" s="4" t="n">
        <v>2</v>
      </c>
      <c r="D483" s="4" t="n">
        <v>1</v>
      </c>
      <c r="E483" s="4" t="s">
        <v>21</v>
      </c>
      <c r="F483" s="3" t="s">
        <v>285</v>
      </c>
      <c r="G483" s="3" t="s">
        <v>514</v>
      </c>
      <c r="H483" s="3" t="s">
        <v>292</v>
      </c>
    </row>
    <row r="484" customFormat="false" ht="15" hidden="false" customHeight="false" outlineLevel="0" collapsed="false">
      <c r="A484" s="4" t="s">
        <v>17</v>
      </c>
      <c r="B484" s="4" t="s">
        <v>50</v>
      </c>
      <c r="C484" s="4" t="n">
        <v>3</v>
      </c>
      <c r="D484" s="4" t="n">
        <v>1</v>
      </c>
      <c r="E484" s="4" t="s">
        <v>26</v>
      </c>
      <c r="F484" s="3" t="s">
        <v>164</v>
      </c>
      <c r="G484" s="3" t="s">
        <v>552</v>
      </c>
      <c r="H484" s="3" t="s">
        <v>360</v>
      </c>
    </row>
    <row r="485" customFormat="false" ht="15" hidden="false" customHeight="false" outlineLevel="0" collapsed="false">
      <c r="A485" s="4" t="s">
        <v>17</v>
      </c>
      <c r="B485" s="4" t="s">
        <v>50</v>
      </c>
      <c r="C485" s="4" t="n">
        <v>4</v>
      </c>
      <c r="D485" s="4" t="n">
        <v>1</v>
      </c>
      <c r="E485" s="4" t="s">
        <v>34</v>
      </c>
      <c r="F485" s="3" t="s">
        <v>15</v>
      </c>
      <c r="G485" s="3" t="s">
        <v>549</v>
      </c>
      <c r="H485" s="3" t="s">
        <v>32</v>
      </c>
    </row>
    <row r="486" customFormat="false" ht="15" hidden="false" customHeight="false" outlineLevel="0" collapsed="false">
      <c r="A486" s="4" t="s">
        <v>17</v>
      </c>
      <c r="B486" s="4" t="s">
        <v>50</v>
      </c>
      <c r="C486" s="4" t="n">
        <v>5</v>
      </c>
      <c r="D486" s="4" t="n">
        <v>1</v>
      </c>
      <c r="E486" s="4" t="s">
        <v>37</v>
      </c>
      <c r="F486" s="3" t="s">
        <v>72</v>
      </c>
      <c r="G486" s="3" t="s">
        <v>550</v>
      </c>
      <c r="H486" s="3" t="s">
        <v>330</v>
      </c>
    </row>
    <row r="487" customFormat="false" ht="15" hidden="false" customHeight="false" outlineLevel="0" collapsed="false">
      <c r="A487" s="4" t="s">
        <v>17</v>
      </c>
      <c r="B487" s="4" t="s">
        <v>50</v>
      </c>
      <c r="C487" s="4" t="n">
        <v>6</v>
      </c>
      <c r="D487" s="4" t="n">
        <v>2</v>
      </c>
      <c r="E487" s="4" t="s">
        <v>536</v>
      </c>
      <c r="F487" s="3" t="s">
        <v>388</v>
      </c>
      <c r="G487" s="3" t="s">
        <v>537</v>
      </c>
      <c r="H487" s="3" t="s">
        <v>387</v>
      </c>
    </row>
    <row r="488" customFormat="false" ht="15" hidden="false" customHeight="false" outlineLevel="0" collapsed="false">
      <c r="A488" s="4" t="s">
        <v>17</v>
      </c>
      <c r="B488" s="4" t="s">
        <v>60</v>
      </c>
      <c r="C488" s="4" t="n">
        <v>1</v>
      </c>
      <c r="D488" s="4" t="n">
        <v>1</v>
      </c>
      <c r="E488" s="4" t="s">
        <v>16</v>
      </c>
      <c r="F488" s="3" t="s">
        <v>299</v>
      </c>
      <c r="G488" s="3" t="s">
        <v>555</v>
      </c>
      <c r="H488" s="3" t="s">
        <v>298</v>
      </c>
    </row>
    <row r="489" customFormat="false" ht="15" hidden="false" customHeight="false" outlineLevel="0" collapsed="false">
      <c r="A489" s="4" t="s">
        <v>17</v>
      </c>
      <c r="B489" s="4" t="s">
        <v>60</v>
      </c>
      <c r="C489" s="4" t="n">
        <v>2</v>
      </c>
      <c r="D489" s="4" t="n">
        <v>1</v>
      </c>
      <c r="E489" s="4" t="s">
        <v>21</v>
      </c>
      <c r="F489" s="3" t="s">
        <v>299</v>
      </c>
      <c r="G489" s="3" t="s">
        <v>541</v>
      </c>
      <c r="H489" s="3" t="s">
        <v>298</v>
      </c>
    </row>
    <row r="490" customFormat="false" ht="15" hidden="false" customHeight="false" outlineLevel="0" collapsed="false">
      <c r="A490" s="4" t="s">
        <v>17</v>
      </c>
      <c r="B490" s="4" t="s">
        <v>60</v>
      </c>
      <c r="C490" s="4" t="n">
        <v>3</v>
      </c>
      <c r="D490" s="4" t="n">
        <v>1</v>
      </c>
      <c r="E490" s="4" t="s">
        <v>26</v>
      </c>
      <c r="F490" s="3" t="s">
        <v>369</v>
      </c>
      <c r="G490" s="3" t="s">
        <v>417</v>
      </c>
      <c r="H490" s="3" t="s">
        <v>368</v>
      </c>
    </row>
    <row r="491" customFormat="false" ht="15" hidden="false" customHeight="false" outlineLevel="0" collapsed="false">
      <c r="A491" s="4" t="s">
        <v>17</v>
      </c>
      <c r="B491" s="4" t="s">
        <v>60</v>
      </c>
      <c r="C491" s="4" t="n">
        <v>4</v>
      </c>
      <c r="D491" s="4" t="n">
        <v>1</v>
      </c>
      <c r="E491" s="4" t="s">
        <v>34</v>
      </c>
      <c r="F491" s="3" t="s">
        <v>72</v>
      </c>
      <c r="G491" s="3" t="s">
        <v>550</v>
      </c>
      <c r="H491" s="3" t="s">
        <v>333</v>
      </c>
    </row>
    <row r="492" customFormat="false" ht="15" hidden="false" customHeight="false" outlineLevel="0" collapsed="false">
      <c r="A492" s="4" t="s">
        <v>17</v>
      </c>
      <c r="B492" s="4" t="s">
        <v>60</v>
      </c>
      <c r="C492" s="4" t="n">
        <v>5</v>
      </c>
      <c r="D492" s="4" t="n">
        <v>1</v>
      </c>
      <c r="E492" s="4" t="s">
        <v>37</v>
      </c>
      <c r="F492" s="3" t="s">
        <v>36</v>
      </c>
      <c r="G492" s="3" t="s">
        <v>553</v>
      </c>
      <c r="H492" s="3" t="s">
        <v>35</v>
      </c>
    </row>
    <row r="493" customFormat="false" ht="15" hidden="false" customHeight="false" outlineLevel="0" collapsed="false">
      <c r="A493" s="4" t="s">
        <v>17</v>
      </c>
      <c r="B493" s="4" t="s">
        <v>60</v>
      </c>
      <c r="C493" s="4" t="n">
        <v>6</v>
      </c>
      <c r="D493" s="4" t="n">
        <v>1</v>
      </c>
      <c r="E493" s="4" t="s">
        <v>42</v>
      </c>
      <c r="F493" s="3" t="s">
        <v>126</v>
      </c>
      <c r="G493" s="3" t="s">
        <v>460</v>
      </c>
      <c r="H493" s="3" t="s">
        <v>125</v>
      </c>
    </row>
    <row r="494" customFormat="false" ht="15" hidden="false" customHeight="false" outlineLevel="0" collapsed="false">
      <c r="A494" s="4" t="s">
        <v>17</v>
      </c>
      <c r="B494" s="4" t="s">
        <v>60</v>
      </c>
      <c r="C494" s="4" t="n">
        <v>7</v>
      </c>
      <c r="D494" s="4" t="n">
        <v>1</v>
      </c>
      <c r="E494" s="4" t="s">
        <v>39</v>
      </c>
      <c r="F494" s="3" t="s">
        <v>164</v>
      </c>
      <c r="G494" s="3" t="s">
        <v>552</v>
      </c>
      <c r="H494" s="3" t="s">
        <v>333</v>
      </c>
    </row>
    <row r="495" customFormat="false" ht="15" hidden="false" customHeight="false" outlineLevel="0" collapsed="false">
      <c r="A495" s="4" t="s">
        <v>17</v>
      </c>
      <c r="B495" s="4" t="s">
        <v>63</v>
      </c>
      <c r="C495" s="4" t="n">
        <v>1</v>
      </c>
      <c r="D495" s="4" t="n">
        <v>2</v>
      </c>
      <c r="E495" s="4" t="s">
        <v>539</v>
      </c>
      <c r="F495" s="3" t="s">
        <v>72</v>
      </c>
      <c r="G495" s="3" t="s">
        <v>550</v>
      </c>
      <c r="H495" s="3" t="s">
        <v>327</v>
      </c>
    </row>
    <row r="496" customFormat="false" ht="15" hidden="false" customHeight="false" outlineLevel="0" collapsed="false">
      <c r="A496" s="4" t="s">
        <v>17</v>
      </c>
      <c r="B496" s="4" t="s">
        <v>63</v>
      </c>
      <c r="C496" s="4" t="n">
        <v>3</v>
      </c>
      <c r="D496" s="4" t="n">
        <v>1</v>
      </c>
      <c r="E496" s="4" t="s">
        <v>26</v>
      </c>
      <c r="F496" s="3" t="s">
        <v>350</v>
      </c>
      <c r="G496" s="3" t="s">
        <v>347</v>
      </c>
      <c r="H496" s="3" t="s">
        <v>292</v>
      </c>
    </row>
    <row r="497" customFormat="false" ht="15" hidden="false" customHeight="false" outlineLevel="0" collapsed="false">
      <c r="A497" s="4" t="s">
        <v>17</v>
      </c>
      <c r="B497" s="4" t="s">
        <v>63</v>
      </c>
      <c r="C497" s="4" t="n">
        <v>4</v>
      </c>
      <c r="D497" s="4" t="n">
        <v>1</v>
      </c>
      <c r="E497" s="4" t="s">
        <v>34</v>
      </c>
      <c r="F497" s="3" t="s">
        <v>126</v>
      </c>
      <c r="G497" s="3" t="s">
        <v>460</v>
      </c>
      <c r="H497" s="3" t="s">
        <v>246</v>
      </c>
    </row>
    <row r="498" customFormat="false" ht="15" hidden="false" customHeight="false" outlineLevel="0" collapsed="false">
      <c r="A498" s="4" t="s">
        <v>17</v>
      </c>
      <c r="B498" s="4" t="s">
        <v>63</v>
      </c>
      <c r="C498" s="4" t="n">
        <v>5</v>
      </c>
      <c r="D498" s="4" t="n">
        <v>1</v>
      </c>
      <c r="E498" s="4" t="s">
        <v>37</v>
      </c>
      <c r="F498" s="3" t="s">
        <v>164</v>
      </c>
      <c r="G498" s="3" t="s">
        <v>552</v>
      </c>
      <c r="H498" s="3" t="s">
        <v>323</v>
      </c>
    </row>
    <row r="499" customFormat="false" ht="15" hidden="false" customHeight="false" outlineLevel="0" collapsed="false">
      <c r="A499" s="4" t="s">
        <v>17</v>
      </c>
      <c r="B499" s="4" t="s">
        <v>63</v>
      </c>
      <c r="C499" s="4" t="n">
        <v>6</v>
      </c>
      <c r="D499" s="4" t="n">
        <v>1</v>
      </c>
      <c r="E499" s="4" t="s">
        <v>42</v>
      </c>
      <c r="F499" s="3" t="s">
        <v>15</v>
      </c>
      <c r="G499" s="3" t="s">
        <v>549</v>
      </c>
      <c r="H499" s="3" t="s">
        <v>43</v>
      </c>
    </row>
    <row r="500" customFormat="false" ht="15" hidden="false" customHeight="false" outlineLevel="0" collapsed="false">
      <c r="A500" s="4" t="s">
        <v>17</v>
      </c>
      <c r="B500" s="4" t="s">
        <v>63</v>
      </c>
      <c r="C500" s="4" t="n">
        <v>7</v>
      </c>
      <c r="D500" s="4" t="n">
        <v>1</v>
      </c>
      <c r="E500" s="4" t="s">
        <v>39</v>
      </c>
      <c r="F500" s="3" t="s">
        <v>437</v>
      </c>
      <c r="G500" s="3" t="s">
        <v>436</v>
      </c>
      <c r="H500" s="3" t="s">
        <v>292</v>
      </c>
    </row>
    <row r="501" customFormat="false" ht="15" hidden="false" customHeight="false" outlineLevel="0" collapsed="false">
      <c r="A501" s="4" t="s">
        <v>17</v>
      </c>
      <c r="B501" s="4" t="s">
        <v>65</v>
      </c>
      <c r="C501" s="4" t="n">
        <v>1</v>
      </c>
      <c r="D501" s="4" t="n">
        <v>1</v>
      </c>
      <c r="E501" s="4" t="s">
        <v>16</v>
      </c>
      <c r="F501" s="3" t="s">
        <v>164</v>
      </c>
      <c r="G501" s="3" t="s">
        <v>552</v>
      </c>
      <c r="H501" s="3" t="s">
        <v>14</v>
      </c>
    </row>
    <row r="502" customFormat="false" ht="15" hidden="false" customHeight="false" outlineLevel="0" collapsed="false">
      <c r="A502" s="4" t="s">
        <v>17</v>
      </c>
      <c r="B502" s="4" t="s">
        <v>65</v>
      </c>
      <c r="C502" s="4" t="n">
        <v>2</v>
      </c>
      <c r="D502" s="4" t="n">
        <v>1</v>
      </c>
      <c r="E502" s="4" t="s">
        <v>21</v>
      </c>
      <c r="F502" s="3" t="s">
        <v>126</v>
      </c>
      <c r="G502" s="3" t="s">
        <v>460</v>
      </c>
      <c r="H502" s="3" t="s">
        <v>133</v>
      </c>
    </row>
    <row r="503" customFormat="false" ht="15" hidden="false" customHeight="false" outlineLevel="0" collapsed="false">
      <c r="A503" s="4" t="s">
        <v>17</v>
      </c>
      <c r="B503" s="4" t="s">
        <v>65</v>
      </c>
      <c r="C503" s="4" t="n">
        <v>3</v>
      </c>
      <c r="D503" s="4" t="n">
        <v>1</v>
      </c>
      <c r="E503" s="4" t="s">
        <v>26</v>
      </c>
      <c r="F503" s="3" t="s">
        <v>285</v>
      </c>
      <c r="G503" s="3" t="s">
        <v>514</v>
      </c>
      <c r="H503" s="3" t="s">
        <v>292</v>
      </c>
    </row>
    <row r="504" customFormat="false" ht="15" hidden="false" customHeight="false" outlineLevel="0" collapsed="false">
      <c r="A504" s="4" t="s">
        <v>17</v>
      </c>
      <c r="B504" s="4" t="s">
        <v>65</v>
      </c>
      <c r="C504" s="4" t="n">
        <v>4</v>
      </c>
      <c r="D504" s="4" t="n">
        <v>1</v>
      </c>
      <c r="E504" s="4" t="s">
        <v>34</v>
      </c>
      <c r="F504" s="3" t="s">
        <v>15</v>
      </c>
      <c r="G504" s="3" t="s">
        <v>549</v>
      </c>
      <c r="H504" s="3" t="s">
        <v>14</v>
      </c>
    </row>
    <row r="505" customFormat="false" ht="15" hidden="false" customHeight="false" outlineLevel="0" collapsed="false">
      <c r="A505" s="4" t="s">
        <v>17</v>
      </c>
      <c r="B505" s="4" t="s">
        <v>65</v>
      </c>
      <c r="C505" s="4" t="n">
        <v>5</v>
      </c>
      <c r="D505" s="4" t="n">
        <v>1</v>
      </c>
      <c r="E505" s="4" t="s">
        <v>37</v>
      </c>
      <c r="F505" s="3" t="s">
        <v>36</v>
      </c>
      <c r="G505" s="3" t="s">
        <v>553</v>
      </c>
      <c r="H505" s="3" t="s">
        <v>35</v>
      </c>
    </row>
    <row r="506" customFormat="false" ht="15" hidden="false" customHeight="false" outlineLevel="0" collapsed="false">
      <c r="A506" s="4" t="s">
        <v>17</v>
      </c>
      <c r="B506" s="4" t="s">
        <v>65</v>
      </c>
      <c r="C506" s="4" t="n">
        <v>6</v>
      </c>
      <c r="D506" s="4" t="n">
        <v>1</v>
      </c>
      <c r="E506" s="4" t="s">
        <v>42</v>
      </c>
      <c r="F506" s="3" t="s">
        <v>72</v>
      </c>
      <c r="G506" s="3" t="s">
        <v>550</v>
      </c>
      <c r="H506" s="3" t="s">
        <v>336</v>
      </c>
    </row>
    <row r="507" customFormat="false" ht="15" hidden="false" customHeight="false" outlineLevel="0" collapsed="false">
      <c r="A507" s="4" t="s">
        <v>17</v>
      </c>
      <c r="B507" s="4" t="s">
        <v>65</v>
      </c>
      <c r="C507" s="4" t="n">
        <v>7</v>
      </c>
      <c r="D507" s="4" t="n">
        <v>1</v>
      </c>
      <c r="E507" s="4" t="s">
        <v>39</v>
      </c>
      <c r="F507" s="3" t="s">
        <v>99</v>
      </c>
      <c r="G507" s="3" t="s">
        <v>433</v>
      </c>
      <c r="H507" s="3" t="s">
        <v>292</v>
      </c>
    </row>
    <row r="508" customFormat="false" ht="15" hidden="false" customHeight="false" outlineLevel="0" collapsed="false">
      <c r="A508" s="4" t="s">
        <v>17</v>
      </c>
      <c r="B508" s="4" t="s">
        <v>66</v>
      </c>
      <c r="C508" s="4" t="n">
        <v>1</v>
      </c>
      <c r="D508" s="4" t="n">
        <v>1</v>
      </c>
      <c r="E508" s="4" t="s">
        <v>16</v>
      </c>
      <c r="F508" s="3" t="s">
        <v>126</v>
      </c>
      <c r="G508" s="3" t="s">
        <v>460</v>
      </c>
      <c r="H508" s="3" t="s">
        <v>133</v>
      </c>
    </row>
    <row r="509" customFormat="false" ht="15" hidden="false" customHeight="false" outlineLevel="0" collapsed="false">
      <c r="A509" s="4" t="s">
        <v>17</v>
      </c>
      <c r="B509" s="4" t="s">
        <v>66</v>
      </c>
      <c r="C509" s="4" t="n">
        <v>2</v>
      </c>
      <c r="D509" s="4" t="n">
        <v>1</v>
      </c>
      <c r="E509" s="4" t="s">
        <v>21</v>
      </c>
      <c r="F509" s="3" t="s">
        <v>350</v>
      </c>
      <c r="G509" s="3" t="s">
        <v>347</v>
      </c>
      <c r="H509" s="3" t="s">
        <v>292</v>
      </c>
    </row>
    <row r="510" customFormat="false" ht="15" hidden="false" customHeight="false" outlineLevel="0" collapsed="false">
      <c r="A510" s="4" t="s">
        <v>17</v>
      </c>
      <c r="B510" s="4" t="s">
        <v>66</v>
      </c>
      <c r="C510" s="4" t="n">
        <v>3</v>
      </c>
      <c r="D510" s="4" t="n">
        <v>2</v>
      </c>
      <c r="E510" s="4" t="s">
        <v>542</v>
      </c>
      <c r="F510" s="3" t="s">
        <v>463</v>
      </c>
      <c r="G510" s="3" t="s">
        <v>558</v>
      </c>
      <c r="H510" s="3" t="s">
        <v>462</v>
      </c>
    </row>
    <row r="511" customFormat="false" ht="15" hidden="false" customHeight="false" outlineLevel="0" collapsed="false">
      <c r="A511" s="4" t="s">
        <v>17</v>
      </c>
      <c r="B511" s="4" t="s">
        <v>66</v>
      </c>
      <c r="C511" s="4" t="n">
        <v>5</v>
      </c>
      <c r="D511" s="4" t="n">
        <v>1</v>
      </c>
      <c r="E511" s="4" t="s">
        <v>37</v>
      </c>
      <c r="F511" s="3" t="s">
        <v>72</v>
      </c>
      <c r="G511" s="3" t="s">
        <v>550</v>
      </c>
      <c r="H511" s="3" t="s">
        <v>337</v>
      </c>
    </row>
    <row r="512" customFormat="false" ht="15" hidden="false" customHeight="false" outlineLevel="0" collapsed="false">
      <c r="A512" s="4" t="s">
        <v>17</v>
      </c>
      <c r="B512" s="4" t="s">
        <v>66</v>
      </c>
      <c r="C512" s="4" t="n">
        <v>6</v>
      </c>
      <c r="D512" s="4" t="n">
        <v>1</v>
      </c>
      <c r="E512" s="4" t="s">
        <v>42</v>
      </c>
      <c r="F512" s="3" t="s">
        <v>164</v>
      </c>
      <c r="G512" s="3" t="s">
        <v>552</v>
      </c>
      <c r="H512" s="3" t="s">
        <v>360</v>
      </c>
    </row>
    <row r="513" customFormat="false" ht="15" hidden="false" customHeight="false" outlineLevel="0" collapsed="false">
      <c r="A513" s="4" t="s">
        <v>17</v>
      </c>
      <c r="B513" s="4" t="s">
        <v>66</v>
      </c>
      <c r="C513" s="4" t="n">
        <v>7</v>
      </c>
      <c r="D513" s="4" t="n">
        <v>1</v>
      </c>
      <c r="E513" s="4" t="s">
        <v>39</v>
      </c>
      <c r="F513" s="3" t="s">
        <v>15</v>
      </c>
      <c r="G513" s="3" t="s">
        <v>549</v>
      </c>
      <c r="H513" s="3" t="s">
        <v>68</v>
      </c>
    </row>
    <row r="514" customFormat="false" ht="15" hidden="false" customHeight="false" outlineLevel="0" collapsed="false">
      <c r="A514" s="4" t="s">
        <v>18</v>
      </c>
      <c r="B514" s="4" t="s">
        <v>12</v>
      </c>
      <c r="C514" s="4" t="n">
        <v>1</v>
      </c>
      <c r="D514" s="4" t="n">
        <v>1</v>
      </c>
      <c r="E514" s="4" t="s">
        <v>16</v>
      </c>
      <c r="F514" s="3" t="s">
        <v>15</v>
      </c>
      <c r="G514" s="3" t="s">
        <v>549</v>
      </c>
      <c r="H514" s="3" t="s">
        <v>14</v>
      </c>
    </row>
    <row r="515" customFormat="false" ht="15" hidden="false" customHeight="false" outlineLevel="0" collapsed="false">
      <c r="A515" s="4" t="s">
        <v>18</v>
      </c>
      <c r="B515" s="4" t="s">
        <v>12</v>
      </c>
      <c r="C515" s="4" t="n">
        <v>2</v>
      </c>
      <c r="D515" s="4" t="n">
        <v>1</v>
      </c>
      <c r="E515" s="4" t="s">
        <v>21</v>
      </c>
      <c r="F515" s="3" t="s">
        <v>99</v>
      </c>
      <c r="G515" s="3" t="s">
        <v>433</v>
      </c>
      <c r="H515" s="3" t="s">
        <v>349</v>
      </c>
    </row>
    <row r="516" customFormat="false" ht="15" hidden="false" customHeight="false" outlineLevel="0" collapsed="false">
      <c r="A516" s="4" t="s">
        <v>18</v>
      </c>
      <c r="B516" s="4" t="s">
        <v>12</v>
      </c>
      <c r="C516" s="4" t="n">
        <v>3</v>
      </c>
      <c r="D516" s="4" t="n">
        <v>1</v>
      </c>
      <c r="E516" s="4" t="s">
        <v>26</v>
      </c>
      <c r="F516" s="3" t="s">
        <v>72</v>
      </c>
      <c r="G516" s="3" t="s">
        <v>550</v>
      </c>
      <c r="H516" s="3" t="s">
        <v>323</v>
      </c>
    </row>
    <row r="517" customFormat="false" ht="15" hidden="false" customHeight="false" outlineLevel="0" collapsed="false">
      <c r="A517" s="4" t="s">
        <v>18</v>
      </c>
      <c r="B517" s="4" t="s">
        <v>12</v>
      </c>
      <c r="C517" s="4" t="n">
        <v>4</v>
      </c>
      <c r="D517" s="4" t="n">
        <v>2</v>
      </c>
      <c r="E517" s="4" t="s">
        <v>533</v>
      </c>
      <c r="F517" s="3" t="s">
        <v>222</v>
      </c>
      <c r="G517" s="3" t="s">
        <v>551</v>
      </c>
      <c r="H517" s="3" t="s">
        <v>390</v>
      </c>
    </row>
    <row r="518" customFormat="false" ht="15" hidden="false" customHeight="false" outlineLevel="0" collapsed="false">
      <c r="A518" s="4" t="s">
        <v>18</v>
      </c>
      <c r="B518" s="4" t="s">
        <v>12</v>
      </c>
      <c r="C518" s="4" t="n">
        <v>6</v>
      </c>
      <c r="D518" s="4" t="n">
        <v>1</v>
      </c>
      <c r="E518" s="4" t="s">
        <v>42</v>
      </c>
      <c r="F518" s="3" t="s">
        <v>164</v>
      </c>
      <c r="G518" s="3" t="s">
        <v>552</v>
      </c>
      <c r="H518" s="3" t="s">
        <v>323</v>
      </c>
    </row>
    <row r="519" customFormat="false" ht="15" hidden="false" customHeight="false" outlineLevel="0" collapsed="false">
      <c r="A519" s="4" t="s">
        <v>18</v>
      </c>
      <c r="B519" s="4" t="s">
        <v>12</v>
      </c>
      <c r="C519" s="4" t="n">
        <v>7</v>
      </c>
      <c r="D519" s="4" t="n">
        <v>1</v>
      </c>
      <c r="E519" s="4" t="s">
        <v>39</v>
      </c>
      <c r="F519" s="3" t="s">
        <v>126</v>
      </c>
      <c r="G519" s="3" t="s">
        <v>490</v>
      </c>
      <c r="H519" s="3" t="s">
        <v>125</v>
      </c>
    </row>
    <row r="520" customFormat="false" ht="15" hidden="false" customHeight="false" outlineLevel="0" collapsed="false">
      <c r="A520" s="4" t="s">
        <v>18</v>
      </c>
      <c r="B520" s="4" t="s">
        <v>31</v>
      </c>
      <c r="C520" s="4" t="n">
        <v>1</v>
      </c>
      <c r="D520" s="4" t="n">
        <v>1</v>
      </c>
      <c r="E520" s="4" t="s">
        <v>16</v>
      </c>
      <c r="F520" s="3" t="s">
        <v>350</v>
      </c>
      <c r="G520" s="3" t="s">
        <v>347</v>
      </c>
      <c r="H520" s="3" t="s">
        <v>349</v>
      </c>
    </row>
    <row r="521" customFormat="false" ht="15" hidden="false" customHeight="false" outlineLevel="0" collapsed="false">
      <c r="A521" s="4" t="s">
        <v>18</v>
      </c>
      <c r="B521" s="4" t="s">
        <v>31</v>
      </c>
      <c r="C521" s="4" t="n">
        <v>2</v>
      </c>
      <c r="D521" s="4" t="n">
        <v>1</v>
      </c>
      <c r="E521" s="4" t="s">
        <v>21</v>
      </c>
      <c r="F521" s="3" t="s">
        <v>369</v>
      </c>
      <c r="G521" s="3" t="s">
        <v>367</v>
      </c>
      <c r="H521" s="3" t="s">
        <v>368</v>
      </c>
    </row>
    <row r="522" customFormat="false" ht="15" hidden="false" customHeight="false" outlineLevel="0" collapsed="false">
      <c r="A522" s="4" t="s">
        <v>18</v>
      </c>
      <c r="B522" s="4" t="s">
        <v>31</v>
      </c>
      <c r="C522" s="4" t="n">
        <v>3</v>
      </c>
      <c r="D522" s="4" t="n">
        <v>1</v>
      </c>
      <c r="E522" s="4" t="s">
        <v>26</v>
      </c>
      <c r="F522" s="3" t="s">
        <v>15</v>
      </c>
      <c r="G522" s="3" t="s">
        <v>549</v>
      </c>
      <c r="H522" s="3" t="s">
        <v>32</v>
      </c>
    </row>
    <row r="523" customFormat="false" ht="15" hidden="false" customHeight="false" outlineLevel="0" collapsed="false">
      <c r="A523" s="4" t="s">
        <v>18</v>
      </c>
      <c r="B523" s="4" t="s">
        <v>31</v>
      </c>
      <c r="C523" s="4" t="n">
        <v>4</v>
      </c>
      <c r="D523" s="4" t="n">
        <v>1</v>
      </c>
      <c r="E523" s="4" t="s">
        <v>34</v>
      </c>
      <c r="F523" s="3" t="s">
        <v>126</v>
      </c>
      <c r="G523" s="3" t="s">
        <v>490</v>
      </c>
      <c r="H523" s="3" t="s">
        <v>133</v>
      </c>
    </row>
    <row r="524" customFormat="false" ht="15" hidden="false" customHeight="false" outlineLevel="0" collapsed="false">
      <c r="A524" s="4" t="s">
        <v>18</v>
      </c>
      <c r="B524" s="4" t="s">
        <v>31</v>
      </c>
      <c r="C524" s="4" t="n">
        <v>5</v>
      </c>
      <c r="D524" s="4" t="n">
        <v>1</v>
      </c>
      <c r="E524" s="4" t="s">
        <v>37</v>
      </c>
      <c r="F524" s="3" t="s">
        <v>36</v>
      </c>
      <c r="G524" s="3" t="s">
        <v>553</v>
      </c>
      <c r="H524" s="3" t="s">
        <v>35</v>
      </c>
    </row>
    <row r="525" customFormat="false" ht="15" hidden="false" customHeight="false" outlineLevel="0" collapsed="false">
      <c r="A525" s="4" t="s">
        <v>18</v>
      </c>
      <c r="B525" s="4" t="s">
        <v>31</v>
      </c>
      <c r="C525" s="4" t="n">
        <v>6</v>
      </c>
      <c r="D525" s="4" t="n">
        <v>1</v>
      </c>
      <c r="E525" s="4" t="s">
        <v>42</v>
      </c>
      <c r="F525" s="3" t="s">
        <v>72</v>
      </c>
      <c r="G525" s="3" t="s">
        <v>550</v>
      </c>
      <c r="H525" s="3" t="s">
        <v>323</v>
      </c>
    </row>
    <row r="526" customFormat="false" ht="15" hidden="false" customHeight="false" outlineLevel="0" collapsed="false">
      <c r="A526" s="4" t="s">
        <v>18</v>
      </c>
      <c r="B526" s="4" t="s">
        <v>31</v>
      </c>
      <c r="C526" s="4" t="n">
        <v>7</v>
      </c>
      <c r="D526" s="4" t="n">
        <v>1</v>
      </c>
      <c r="E526" s="4" t="s">
        <v>39</v>
      </c>
      <c r="F526" s="3" t="s">
        <v>285</v>
      </c>
      <c r="G526" s="3" t="s">
        <v>450</v>
      </c>
      <c r="H526" s="3" t="s">
        <v>349</v>
      </c>
    </row>
    <row r="527" customFormat="false" ht="15" hidden="false" customHeight="false" outlineLevel="0" collapsed="false">
      <c r="A527" s="4" t="s">
        <v>18</v>
      </c>
      <c r="B527" s="4" t="s">
        <v>40</v>
      </c>
      <c r="C527" s="4" t="n">
        <v>1</v>
      </c>
      <c r="D527" s="4" t="n">
        <v>1</v>
      </c>
      <c r="E527" s="4" t="s">
        <v>16</v>
      </c>
      <c r="F527" s="3" t="s">
        <v>126</v>
      </c>
      <c r="G527" s="3" t="s">
        <v>490</v>
      </c>
      <c r="H527" s="3" t="s">
        <v>125</v>
      </c>
    </row>
    <row r="528" customFormat="false" ht="15" hidden="false" customHeight="false" outlineLevel="0" collapsed="false">
      <c r="A528" s="4" t="s">
        <v>18</v>
      </c>
      <c r="B528" s="4" t="s">
        <v>40</v>
      </c>
      <c r="C528" s="4" t="n">
        <v>2</v>
      </c>
      <c r="D528" s="4" t="n">
        <v>1</v>
      </c>
      <c r="E528" s="4" t="s">
        <v>21</v>
      </c>
      <c r="F528" s="3" t="s">
        <v>72</v>
      </c>
      <c r="G528" s="3" t="s">
        <v>550</v>
      </c>
      <c r="H528" s="3" t="s">
        <v>46</v>
      </c>
    </row>
    <row r="529" customFormat="false" ht="15" hidden="false" customHeight="false" outlineLevel="0" collapsed="false">
      <c r="A529" s="4" t="s">
        <v>18</v>
      </c>
      <c r="B529" s="4" t="s">
        <v>40</v>
      </c>
      <c r="C529" s="4" t="n">
        <v>3</v>
      </c>
      <c r="D529" s="4" t="n">
        <v>2</v>
      </c>
      <c r="E529" s="4" t="s">
        <v>542</v>
      </c>
      <c r="F529" s="3" t="s">
        <v>164</v>
      </c>
      <c r="G529" s="3" t="s">
        <v>552</v>
      </c>
      <c r="H529" s="3" t="s">
        <v>323</v>
      </c>
    </row>
    <row r="530" customFormat="false" ht="15" hidden="false" customHeight="false" outlineLevel="0" collapsed="false">
      <c r="A530" s="4" t="s">
        <v>18</v>
      </c>
      <c r="B530" s="4" t="s">
        <v>40</v>
      </c>
      <c r="C530" s="4" t="n">
        <v>5</v>
      </c>
      <c r="D530" s="4" t="n">
        <v>1</v>
      </c>
      <c r="E530" s="4" t="s">
        <v>37</v>
      </c>
      <c r="F530" s="3" t="s">
        <v>437</v>
      </c>
      <c r="G530" s="3" t="s">
        <v>436</v>
      </c>
      <c r="H530" s="3" t="s">
        <v>349</v>
      </c>
    </row>
    <row r="531" customFormat="false" ht="15" hidden="false" customHeight="false" outlineLevel="0" collapsed="false">
      <c r="A531" s="4" t="s">
        <v>18</v>
      </c>
      <c r="B531" s="4" t="s">
        <v>40</v>
      </c>
      <c r="C531" s="4" t="n">
        <v>6</v>
      </c>
      <c r="D531" s="4" t="n">
        <v>1</v>
      </c>
      <c r="E531" s="4" t="s">
        <v>42</v>
      </c>
      <c r="F531" s="3" t="s">
        <v>296</v>
      </c>
      <c r="G531" s="3" t="s">
        <v>556</v>
      </c>
      <c r="H531" s="3" t="s">
        <v>297</v>
      </c>
    </row>
    <row r="532" customFormat="false" ht="15" hidden="false" customHeight="false" outlineLevel="0" collapsed="false">
      <c r="A532" s="4" t="s">
        <v>18</v>
      </c>
      <c r="B532" s="4" t="s">
        <v>40</v>
      </c>
      <c r="C532" s="4" t="n">
        <v>7</v>
      </c>
      <c r="D532" s="4" t="n">
        <v>1</v>
      </c>
      <c r="E532" s="4" t="s">
        <v>39</v>
      </c>
      <c r="F532" s="3" t="s">
        <v>15</v>
      </c>
      <c r="G532" s="3" t="s">
        <v>549</v>
      </c>
      <c r="H532" s="3" t="s">
        <v>43</v>
      </c>
    </row>
    <row r="533" customFormat="false" ht="15" hidden="false" customHeight="false" outlineLevel="0" collapsed="false">
      <c r="A533" s="4" t="s">
        <v>18</v>
      </c>
      <c r="B533" s="4" t="s">
        <v>44</v>
      </c>
      <c r="C533" s="4" t="n">
        <v>1</v>
      </c>
      <c r="D533" s="4" t="n">
        <v>2</v>
      </c>
      <c r="E533" s="4" t="s">
        <v>539</v>
      </c>
      <c r="F533" s="3" t="s">
        <v>432</v>
      </c>
      <c r="G533" s="3" t="s">
        <v>430</v>
      </c>
      <c r="H533" s="3" t="s">
        <v>431</v>
      </c>
    </row>
    <row r="534" customFormat="false" ht="15" hidden="false" customHeight="false" outlineLevel="0" collapsed="false">
      <c r="A534" s="4" t="s">
        <v>18</v>
      </c>
      <c r="B534" s="4" t="s">
        <v>44</v>
      </c>
      <c r="C534" s="4" t="n">
        <v>3</v>
      </c>
      <c r="D534" s="4" t="n">
        <v>1</v>
      </c>
      <c r="E534" s="4" t="s">
        <v>26</v>
      </c>
      <c r="F534" s="3" t="s">
        <v>126</v>
      </c>
      <c r="G534" s="3" t="s">
        <v>490</v>
      </c>
      <c r="H534" s="3" t="s">
        <v>133</v>
      </c>
    </row>
    <row r="535" customFormat="false" ht="15" hidden="false" customHeight="false" outlineLevel="0" collapsed="false">
      <c r="A535" s="4" t="s">
        <v>18</v>
      </c>
      <c r="B535" s="4" t="s">
        <v>44</v>
      </c>
      <c r="C535" s="4" t="n">
        <v>4</v>
      </c>
      <c r="D535" s="4" t="n">
        <v>1</v>
      </c>
      <c r="E535" s="4" t="s">
        <v>34</v>
      </c>
      <c r="F535" s="3" t="s">
        <v>164</v>
      </c>
      <c r="G535" s="3" t="s">
        <v>552</v>
      </c>
      <c r="H535" s="3" t="s">
        <v>43</v>
      </c>
    </row>
    <row r="536" customFormat="false" ht="15" hidden="false" customHeight="false" outlineLevel="0" collapsed="false">
      <c r="A536" s="4" t="s">
        <v>18</v>
      </c>
      <c r="B536" s="4" t="s">
        <v>44</v>
      </c>
      <c r="C536" s="4" t="n">
        <v>5</v>
      </c>
      <c r="D536" s="4" t="n">
        <v>1</v>
      </c>
      <c r="E536" s="4" t="s">
        <v>37</v>
      </c>
      <c r="F536" s="3" t="s">
        <v>36</v>
      </c>
      <c r="G536" s="3" t="s">
        <v>553</v>
      </c>
      <c r="H536" s="3" t="s">
        <v>35</v>
      </c>
    </row>
    <row r="537" customFormat="false" ht="15" hidden="false" customHeight="false" outlineLevel="0" collapsed="false">
      <c r="A537" s="4" t="s">
        <v>18</v>
      </c>
      <c r="B537" s="4" t="s">
        <v>44</v>
      </c>
      <c r="C537" s="4" t="n">
        <v>6</v>
      </c>
      <c r="D537" s="4" t="n">
        <v>1</v>
      </c>
      <c r="E537" s="4" t="s">
        <v>42</v>
      </c>
      <c r="F537" s="3" t="s">
        <v>72</v>
      </c>
      <c r="G537" s="3" t="s">
        <v>550</v>
      </c>
      <c r="H537" s="3" t="s">
        <v>323</v>
      </c>
    </row>
    <row r="538" customFormat="false" ht="15" hidden="false" customHeight="false" outlineLevel="0" collapsed="false">
      <c r="A538" s="4" t="s">
        <v>18</v>
      </c>
      <c r="B538" s="4" t="s">
        <v>44</v>
      </c>
      <c r="C538" s="4" t="n">
        <v>7</v>
      </c>
      <c r="D538" s="4" t="n">
        <v>1</v>
      </c>
      <c r="E538" s="4" t="s">
        <v>39</v>
      </c>
      <c r="F538" s="3" t="s">
        <v>15</v>
      </c>
      <c r="G538" s="3" t="s">
        <v>549</v>
      </c>
      <c r="H538" s="3" t="s">
        <v>46</v>
      </c>
    </row>
    <row r="539" customFormat="false" ht="15" hidden="false" customHeight="false" outlineLevel="0" collapsed="false">
      <c r="A539" s="4" t="s">
        <v>18</v>
      </c>
      <c r="B539" s="4" t="s">
        <v>47</v>
      </c>
      <c r="C539" s="4" t="n">
        <v>1</v>
      </c>
      <c r="D539" s="4" t="n">
        <v>2</v>
      </c>
      <c r="E539" s="4" t="s">
        <v>539</v>
      </c>
      <c r="F539" s="3" t="s">
        <v>388</v>
      </c>
      <c r="G539" s="3" t="s">
        <v>559</v>
      </c>
      <c r="H539" s="3" t="s">
        <v>387</v>
      </c>
    </row>
    <row r="540" customFormat="false" ht="15" hidden="false" customHeight="false" outlineLevel="0" collapsed="false">
      <c r="A540" s="4" t="s">
        <v>18</v>
      </c>
      <c r="B540" s="4" t="s">
        <v>47</v>
      </c>
      <c r="C540" s="4" t="n">
        <v>3</v>
      </c>
      <c r="D540" s="4" t="n">
        <v>1</v>
      </c>
      <c r="E540" s="4" t="s">
        <v>26</v>
      </c>
      <c r="F540" s="3" t="s">
        <v>72</v>
      </c>
      <c r="G540" s="3" t="s">
        <v>550</v>
      </c>
      <c r="H540" s="3" t="s">
        <v>327</v>
      </c>
    </row>
    <row r="541" customFormat="false" ht="15" hidden="false" customHeight="false" outlineLevel="0" collapsed="false">
      <c r="A541" s="4" t="s">
        <v>18</v>
      </c>
      <c r="B541" s="4" t="s">
        <v>47</v>
      </c>
      <c r="C541" s="4" t="n">
        <v>4</v>
      </c>
      <c r="D541" s="4" t="n">
        <v>1</v>
      </c>
      <c r="E541" s="4" t="s">
        <v>34</v>
      </c>
      <c r="F541" s="3" t="s">
        <v>296</v>
      </c>
      <c r="G541" s="3" t="s">
        <v>556</v>
      </c>
      <c r="H541" s="3" t="s">
        <v>297</v>
      </c>
    </row>
    <row r="542" customFormat="false" ht="15" hidden="false" customHeight="false" outlineLevel="0" collapsed="false">
      <c r="A542" s="4" t="s">
        <v>18</v>
      </c>
      <c r="B542" s="4" t="s">
        <v>47</v>
      </c>
      <c r="C542" s="4" t="n">
        <v>5</v>
      </c>
      <c r="D542" s="4" t="n">
        <v>1</v>
      </c>
      <c r="E542" s="4" t="s">
        <v>37</v>
      </c>
      <c r="F542" s="3" t="s">
        <v>164</v>
      </c>
      <c r="G542" s="3" t="s">
        <v>552</v>
      </c>
      <c r="H542" s="3" t="s">
        <v>14</v>
      </c>
    </row>
    <row r="543" customFormat="false" ht="15" hidden="false" customHeight="false" outlineLevel="0" collapsed="false">
      <c r="A543" s="4" t="s">
        <v>18</v>
      </c>
      <c r="B543" s="4" t="s">
        <v>47</v>
      </c>
      <c r="C543" s="4" t="n">
        <v>6</v>
      </c>
      <c r="D543" s="4" t="n">
        <v>1</v>
      </c>
      <c r="E543" s="4" t="s">
        <v>42</v>
      </c>
      <c r="F543" s="3" t="s">
        <v>15</v>
      </c>
      <c r="G543" s="3" t="s">
        <v>549</v>
      </c>
      <c r="H543" s="3" t="s">
        <v>14</v>
      </c>
    </row>
    <row r="544" customFormat="false" ht="15" hidden="false" customHeight="false" outlineLevel="0" collapsed="false">
      <c r="A544" s="4" t="s">
        <v>18</v>
      </c>
      <c r="B544" s="4" t="s">
        <v>47</v>
      </c>
      <c r="C544" s="4" t="n">
        <v>7</v>
      </c>
      <c r="D544" s="4" t="n">
        <v>1</v>
      </c>
      <c r="E544" s="4" t="s">
        <v>39</v>
      </c>
      <c r="F544" s="3" t="s">
        <v>126</v>
      </c>
      <c r="G544" s="3" t="s">
        <v>490</v>
      </c>
      <c r="H544" s="3" t="s">
        <v>125</v>
      </c>
    </row>
    <row r="545" customFormat="false" ht="15" hidden="false" customHeight="false" outlineLevel="0" collapsed="false">
      <c r="A545" s="4" t="s">
        <v>18</v>
      </c>
      <c r="B545" s="4" t="s">
        <v>50</v>
      </c>
      <c r="C545" s="4" t="n">
        <v>1</v>
      </c>
      <c r="D545" s="4" t="n">
        <v>2</v>
      </c>
      <c r="E545" s="4" t="s">
        <v>539</v>
      </c>
      <c r="F545" s="3" t="s">
        <v>432</v>
      </c>
      <c r="G545" s="3" t="s">
        <v>430</v>
      </c>
      <c r="H545" s="3" t="s">
        <v>431</v>
      </c>
    </row>
    <row r="546" customFormat="false" ht="15" hidden="false" customHeight="false" outlineLevel="0" collapsed="false">
      <c r="A546" s="4" t="s">
        <v>18</v>
      </c>
      <c r="B546" s="4" t="s">
        <v>50</v>
      </c>
      <c r="C546" s="4" t="n">
        <v>3</v>
      </c>
      <c r="D546" s="4" t="n">
        <v>1</v>
      </c>
      <c r="E546" s="4" t="s">
        <v>26</v>
      </c>
      <c r="F546" s="3" t="s">
        <v>164</v>
      </c>
      <c r="G546" s="3" t="s">
        <v>552</v>
      </c>
      <c r="H546" s="3" t="s">
        <v>360</v>
      </c>
    </row>
    <row r="547" customFormat="false" ht="15" hidden="false" customHeight="false" outlineLevel="0" collapsed="false">
      <c r="A547" s="4" t="s">
        <v>18</v>
      </c>
      <c r="B547" s="4" t="s">
        <v>50</v>
      </c>
      <c r="C547" s="4" t="n">
        <v>4</v>
      </c>
      <c r="D547" s="4" t="n">
        <v>1</v>
      </c>
      <c r="E547" s="4" t="s">
        <v>34</v>
      </c>
      <c r="F547" s="3" t="s">
        <v>15</v>
      </c>
      <c r="G547" s="3" t="s">
        <v>549</v>
      </c>
      <c r="H547" s="3" t="s">
        <v>32</v>
      </c>
    </row>
    <row r="548" customFormat="false" ht="15" hidden="false" customHeight="false" outlineLevel="0" collapsed="false">
      <c r="A548" s="4" t="s">
        <v>18</v>
      </c>
      <c r="B548" s="4" t="s">
        <v>50</v>
      </c>
      <c r="C548" s="4" t="n">
        <v>5</v>
      </c>
      <c r="D548" s="4" t="n">
        <v>1</v>
      </c>
      <c r="E548" s="4" t="s">
        <v>37</v>
      </c>
      <c r="F548" s="3" t="s">
        <v>72</v>
      </c>
      <c r="G548" s="3" t="s">
        <v>550</v>
      </c>
      <c r="H548" s="3" t="s">
        <v>330</v>
      </c>
    </row>
    <row r="549" customFormat="false" ht="15" hidden="false" customHeight="false" outlineLevel="0" collapsed="false">
      <c r="A549" s="4" t="s">
        <v>18</v>
      </c>
      <c r="B549" s="4" t="s">
        <v>50</v>
      </c>
      <c r="C549" s="4" t="n">
        <v>6</v>
      </c>
      <c r="D549" s="4" t="n">
        <v>1</v>
      </c>
      <c r="E549" s="4" t="s">
        <v>42</v>
      </c>
      <c r="F549" s="3" t="s">
        <v>126</v>
      </c>
      <c r="G549" s="3" t="s">
        <v>490</v>
      </c>
      <c r="H549" s="3" t="s">
        <v>129</v>
      </c>
    </row>
    <row r="550" customFormat="false" ht="15" hidden="false" customHeight="false" outlineLevel="0" collapsed="false">
      <c r="A550" s="4" t="s">
        <v>18</v>
      </c>
      <c r="B550" s="4" t="s">
        <v>50</v>
      </c>
      <c r="C550" s="4" t="n">
        <v>7</v>
      </c>
      <c r="D550" s="4" t="n">
        <v>1</v>
      </c>
      <c r="E550" s="4" t="s">
        <v>39</v>
      </c>
      <c r="F550" s="3" t="s">
        <v>437</v>
      </c>
      <c r="G550" s="3" t="s">
        <v>436</v>
      </c>
      <c r="H550" s="3" t="s">
        <v>349</v>
      </c>
    </row>
    <row r="551" customFormat="false" ht="15" hidden="false" customHeight="false" outlineLevel="0" collapsed="false">
      <c r="A551" s="4" t="s">
        <v>18</v>
      </c>
      <c r="B551" s="4" t="s">
        <v>60</v>
      </c>
      <c r="C551" s="4" t="n">
        <v>1</v>
      </c>
      <c r="D551" s="4" t="n">
        <v>1</v>
      </c>
      <c r="E551" s="4" t="s">
        <v>16</v>
      </c>
      <c r="F551" s="3" t="s">
        <v>437</v>
      </c>
      <c r="G551" s="3" t="s">
        <v>436</v>
      </c>
      <c r="H551" s="3" t="s">
        <v>349</v>
      </c>
    </row>
    <row r="552" customFormat="false" ht="15" hidden="false" customHeight="false" outlineLevel="0" collapsed="false">
      <c r="A552" s="4" t="s">
        <v>18</v>
      </c>
      <c r="B552" s="4" t="s">
        <v>60</v>
      </c>
      <c r="C552" s="4" t="n">
        <v>2</v>
      </c>
      <c r="D552" s="4" t="n">
        <v>1</v>
      </c>
      <c r="E552" s="4" t="s">
        <v>21</v>
      </c>
      <c r="F552" s="3" t="s">
        <v>388</v>
      </c>
      <c r="G552" s="3" t="s">
        <v>559</v>
      </c>
      <c r="H552" s="3" t="s">
        <v>387</v>
      </c>
    </row>
    <row r="553" customFormat="false" ht="15" hidden="false" customHeight="false" outlineLevel="0" collapsed="false">
      <c r="A553" s="4" t="s">
        <v>18</v>
      </c>
      <c r="B553" s="4" t="s">
        <v>60</v>
      </c>
      <c r="C553" s="4" t="n">
        <v>3</v>
      </c>
      <c r="D553" s="4" t="n">
        <v>1</v>
      </c>
      <c r="E553" s="4" t="s">
        <v>26</v>
      </c>
      <c r="F553" s="3" t="s">
        <v>126</v>
      </c>
      <c r="G553" s="3" t="s">
        <v>490</v>
      </c>
      <c r="H553" s="3" t="s">
        <v>133</v>
      </c>
    </row>
    <row r="554" customFormat="false" ht="15" hidden="false" customHeight="false" outlineLevel="0" collapsed="false">
      <c r="A554" s="4" t="s">
        <v>18</v>
      </c>
      <c r="B554" s="4" t="s">
        <v>60</v>
      </c>
      <c r="C554" s="4" t="n">
        <v>4</v>
      </c>
      <c r="D554" s="4" t="n">
        <v>1</v>
      </c>
      <c r="E554" s="4" t="s">
        <v>34</v>
      </c>
      <c r="F554" s="3" t="s">
        <v>72</v>
      </c>
      <c r="G554" s="3" t="s">
        <v>550</v>
      </c>
      <c r="H554" s="3" t="s">
        <v>333</v>
      </c>
    </row>
    <row r="555" customFormat="false" ht="15" hidden="false" customHeight="false" outlineLevel="0" collapsed="false">
      <c r="A555" s="4" t="s">
        <v>18</v>
      </c>
      <c r="B555" s="4" t="s">
        <v>60</v>
      </c>
      <c r="C555" s="4" t="n">
        <v>5</v>
      </c>
      <c r="D555" s="4" t="n">
        <v>1</v>
      </c>
      <c r="E555" s="4" t="s">
        <v>37</v>
      </c>
      <c r="F555" s="3" t="s">
        <v>36</v>
      </c>
      <c r="G555" s="3" t="s">
        <v>553</v>
      </c>
      <c r="H555" s="3" t="s">
        <v>35</v>
      </c>
    </row>
    <row r="556" customFormat="false" ht="15" hidden="false" customHeight="false" outlineLevel="0" collapsed="false">
      <c r="A556" s="4" t="s">
        <v>18</v>
      </c>
      <c r="B556" s="4" t="s">
        <v>60</v>
      </c>
      <c r="C556" s="4" t="n">
        <v>6</v>
      </c>
      <c r="D556" s="4" t="n">
        <v>1</v>
      </c>
      <c r="E556" s="4" t="s">
        <v>42</v>
      </c>
      <c r="F556" s="3" t="s">
        <v>369</v>
      </c>
      <c r="G556" s="3" t="s">
        <v>367</v>
      </c>
      <c r="H556" s="3" t="s">
        <v>368</v>
      </c>
    </row>
    <row r="557" customFormat="false" ht="15" hidden="false" customHeight="false" outlineLevel="0" collapsed="false">
      <c r="A557" s="4" t="s">
        <v>18</v>
      </c>
      <c r="B557" s="4" t="s">
        <v>60</v>
      </c>
      <c r="C557" s="4" t="n">
        <v>7</v>
      </c>
      <c r="D557" s="4" t="n">
        <v>1</v>
      </c>
      <c r="E557" s="4" t="s">
        <v>39</v>
      </c>
      <c r="F557" s="3" t="s">
        <v>164</v>
      </c>
      <c r="G557" s="3" t="s">
        <v>552</v>
      </c>
      <c r="H557" s="3" t="s">
        <v>333</v>
      </c>
    </row>
    <row r="558" customFormat="false" ht="15" hidden="false" customHeight="false" outlineLevel="0" collapsed="false">
      <c r="A558" s="4" t="s">
        <v>18</v>
      </c>
      <c r="B558" s="4" t="s">
        <v>63</v>
      </c>
      <c r="C558" s="4" t="n">
        <v>1</v>
      </c>
      <c r="D558" s="4" t="n">
        <v>2</v>
      </c>
      <c r="E558" s="4" t="s">
        <v>539</v>
      </c>
      <c r="F558" s="3" t="s">
        <v>72</v>
      </c>
      <c r="G558" s="3" t="s">
        <v>550</v>
      </c>
      <c r="H558" s="3" t="s">
        <v>327</v>
      </c>
    </row>
    <row r="559" customFormat="false" ht="15" hidden="false" customHeight="false" outlineLevel="0" collapsed="false">
      <c r="A559" s="4" t="s">
        <v>18</v>
      </c>
      <c r="B559" s="4" t="s">
        <v>63</v>
      </c>
      <c r="C559" s="4" t="n">
        <v>3</v>
      </c>
      <c r="D559" s="4" t="n">
        <v>1</v>
      </c>
      <c r="E559" s="4" t="s">
        <v>26</v>
      </c>
      <c r="F559" s="3" t="s">
        <v>99</v>
      </c>
      <c r="G559" s="3" t="s">
        <v>433</v>
      </c>
      <c r="H559" s="3" t="s">
        <v>349</v>
      </c>
    </row>
    <row r="560" customFormat="false" ht="15" hidden="false" customHeight="false" outlineLevel="0" collapsed="false">
      <c r="A560" s="4" t="s">
        <v>18</v>
      </c>
      <c r="B560" s="4" t="s">
        <v>63</v>
      </c>
      <c r="C560" s="4" t="n">
        <v>4</v>
      </c>
      <c r="D560" s="4" t="n">
        <v>1</v>
      </c>
      <c r="E560" s="4" t="s">
        <v>34</v>
      </c>
      <c r="F560" s="3" t="s">
        <v>126</v>
      </c>
      <c r="G560" s="3" t="s">
        <v>490</v>
      </c>
      <c r="H560" s="3" t="s">
        <v>349</v>
      </c>
    </row>
    <row r="561" customFormat="false" ht="15" hidden="false" customHeight="false" outlineLevel="0" collapsed="false">
      <c r="A561" s="4" t="s">
        <v>18</v>
      </c>
      <c r="B561" s="4" t="s">
        <v>63</v>
      </c>
      <c r="C561" s="4" t="n">
        <v>5</v>
      </c>
      <c r="D561" s="4" t="n">
        <v>1</v>
      </c>
      <c r="E561" s="4" t="s">
        <v>37</v>
      </c>
      <c r="F561" s="3" t="s">
        <v>164</v>
      </c>
      <c r="G561" s="3" t="s">
        <v>552</v>
      </c>
      <c r="H561" s="3" t="s">
        <v>323</v>
      </c>
    </row>
    <row r="562" customFormat="false" ht="15" hidden="false" customHeight="false" outlineLevel="0" collapsed="false">
      <c r="A562" s="4" t="s">
        <v>18</v>
      </c>
      <c r="B562" s="4" t="s">
        <v>63</v>
      </c>
      <c r="C562" s="4" t="n">
        <v>6</v>
      </c>
      <c r="D562" s="4" t="n">
        <v>1</v>
      </c>
      <c r="E562" s="4" t="s">
        <v>42</v>
      </c>
      <c r="F562" s="3" t="s">
        <v>15</v>
      </c>
      <c r="G562" s="3" t="s">
        <v>549</v>
      </c>
      <c r="H562" s="3" t="s">
        <v>43</v>
      </c>
    </row>
    <row r="563" customFormat="false" ht="15" hidden="false" customHeight="false" outlineLevel="0" collapsed="false">
      <c r="A563" s="4" t="s">
        <v>18</v>
      </c>
      <c r="B563" s="4" t="s">
        <v>63</v>
      </c>
      <c r="C563" s="4" t="n">
        <v>7</v>
      </c>
      <c r="D563" s="4" t="n">
        <v>1</v>
      </c>
      <c r="E563" s="4" t="s">
        <v>39</v>
      </c>
      <c r="F563" s="3" t="s">
        <v>350</v>
      </c>
      <c r="G563" s="3" t="s">
        <v>347</v>
      </c>
      <c r="H563" s="3" t="s">
        <v>349</v>
      </c>
    </row>
    <row r="564" customFormat="false" ht="15" hidden="false" customHeight="false" outlineLevel="0" collapsed="false">
      <c r="A564" s="4" t="s">
        <v>18</v>
      </c>
      <c r="B564" s="4" t="s">
        <v>65</v>
      </c>
      <c r="C564" s="4" t="n">
        <v>1</v>
      </c>
      <c r="D564" s="4" t="n">
        <v>1</v>
      </c>
      <c r="E564" s="4" t="s">
        <v>16</v>
      </c>
      <c r="F564" s="3" t="s">
        <v>164</v>
      </c>
      <c r="G564" s="3" t="s">
        <v>552</v>
      </c>
      <c r="H564" s="3" t="s">
        <v>14</v>
      </c>
    </row>
    <row r="565" customFormat="false" ht="15" hidden="false" customHeight="false" outlineLevel="0" collapsed="false">
      <c r="A565" s="4" t="s">
        <v>18</v>
      </c>
      <c r="B565" s="4" t="s">
        <v>65</v>
      </c>
      <c r="C565" s="4" t="n">
        <v>2</v>
      </c>
      <c r="D565" s="4" t="n">
        <v>1</v>
      </c>
      <c r="E565" s="4" t="s">
        <v>21</v>
      </c>
      <c r="F565" s="3" t="s">
        <v>99</v>
      </c>
      <c r="G565" s="3" t="s">
        <v>433</v>
      </c>
      <c r="H565" s="3" t="s">
        <v>349</v>
      </c>
    </row>
    <row r="566" customFormat="false" ht="15" hidden="false" customHeight="false" outlineLevel="0" collapsed="false">
      <c r="A566" s="4" t="s">
        <v>18</v>
      </c>
      <c r="B566" s="4" t="s">
        <v>65</v>
      </c>
      <c r="C566" s="4" t="n">
        <v>3</v>
      </c>
      <c r="D566" s="4" t="n">
        <v>1</v>
      </c>
      <c r="E566" s="4" t="s">
        <v>26</v>
      </c>
      <c r="F566" s="3" t="s">
        <v>126</v>
      </c>
      <c r="G566" s="3" t="s">
        <v>490</v>
      </c>
      <c r="H566" s="3" t="s">
        <v>133</v>
      </c>
    </row>
    <row r="567" customFormat="false" ht="15" hidden="false" customHeight="false" outlineLevel="0" collapsed="false">
      <c r="A567" s="4" t="s">
        <v>18</v>
      </c>
      <c r="B567" s="4" t="s">
        <v>65</v>
      </c>
      <c r="C567" s="4" t="n">
        <v>4</v>
      </c>
      <c r="D567" s="4" t="n">
        <v>1</v>
      </c>
      <c r="E567" s="4" t="s">
        <v>34</v>
      </c>
      <c r="F567" s="3" t="s">
        <v>15</v>
      </c>
      <c r="G567" s="3" t="s">
        <v>549</v>
      </c>
      <c r="H567" s="3" t="s">
        <v>14</v>
      </c>
    </row>
    <row r="568" customFormat="false" ht="15" hidden="false" customHeight="false" outlineLevel="0" collapsed="false">
      <c r="A568" s="4" t="s">
        <v>18</v>
      </c>
      <c r="B568" s="4" t="s">
        <v>65</v>
      </c>
      <c r="C568" s="4" t="n">
        <v>5</v>
      </c>
      <c r="D568" s="4" t="n">
        <v>1</v>
      </c>
      <c r="E568" s="4" t="s">
        <v>37</v>
      </c>
      <c r="F568" s="3" t="s">
        <v>36</v>
      </c>
      <c r="G568" s="3" t="s">
        <v>553</v>
      </c>
      <c r="H568" s="3" t="s">
        <v>35</v>
      </c>
    </row>
    <row r="569" customFormat="false" ht="15" hidden="false" customHeight="false" outlineLevel="0" collapsed="false">
      <c r="A569" s="4" t="s">
        <v>18</v>
      </c>
      <c r="B569" s="4" t="s">
        <v>65</v>
      </c>
      <c r="C569" s="4" t="n">
        <v>6</v>
      </c>
      <c r="D569" s="4" t="n">
        <v>1</v>
      </c>
      <c r="E569" s="4" t="s">
        <v>42</v>
      </c>
      <c r="F569" s="3" t="s">
        <v>72</v>
      </c>
      <c r="G569" s="3" t="s">
        <v>550</v>
      </c>
      <c r="H569" s="3" t="s">
        <v>336</v>
      </c>
    </row>
    <row r="570" customFormat="false" ht="15" hidden="false" customHeight="false" outlineLevel="0" collapsed="false">
      <c r="A570" s="4" t="s">
        <v>18</v>
      </c>
      <c r="B570" s="4" t="s">
        <v>65</v>
      </c>
      <c r="C570" s="4" t="n">
        <v>7</v>
      </c>
      <c r="D570" s="4" t="n">
        <v>1</v>
      </c>
      <c r="E570" s="4" t="s">
        <v>39</v>
      </c>
      <c r="F570" s="3" t="s">
        <v>285</v>
      </c>
      <c r="G570" s="3" t="s">
        <v>450</v>
      </c>
      <c r="H570" s="3" t="s">
        <v>349</v>
      </c>
    </row>
    <row r="571" customFormat="false" ht="15" hidden="false" customHeight="false" outlineLevel="0" collapsed="false">
      <c r="A571" s="4" t="s">
        <v>18</v>
      </c>
      <c r="B571" s="4" t="s">
        <v>66</v>
      </c>
      <c r="C571" s="4" t="n">
        <v>1</v>
      </c>
      <c r="D571" s="4" t="n">
        <v>1</v>
      </c>
      <c r="E571" s="4" t="s">
        <v>16</v>
      </c>
      <c r="F571" s="3" t="s">
        <v>299</v>
      </c>
      <c r="G571" s="3" t="s">
        <v>555</v>
      </c>
      <c r="H571" s="3" t="s">
        <v>298</v>
      </c>
    </row>
    <row r="572" customFormat="false" ht="15" hidden="false" customHeight="false" outlineLevel="0" collapsed="false">
      <c r="A572" s="4" t="s">
        <v>18</v>
      </c>
      <c r="B572" s="4" t="s">
        <v>66</v>
      </c>
      <c r="C572" s="4" t="n">
        <v>2</v>
      </c>
      <c r="D572" s="4" t="n">
        <v>1</v>
      </c>
      <c r="E572" s="4" t="s">
        <v>21</v>
      </c>
      <c r="F572" s="3" t="s">
        <v>299</v>
      </c>
      <c r="G572" s="3" t="s">
        <v>540</v>
      </c>
      <c r="H572" s="3" t="s">
        <v>298</v>
      </c>
    </row>
    <row r="573" customFormat="false" ht="15" hidden="false" customHeight="false" outlineLevel="0" collapsed="false">
      <c r="A573" s="4" t="s">
        <v>18</v>
      </c>
      <c r="B573" s="4" t="s">
        <v>66</v>
      </c>
      <c r="C573" s="4" t="n">
        <v>3</v>
      </c>
      <c r="D573" s="4" t="n">
        <v>1</v>
      </c>
      <c r="E573" s="4" t="s">
        <v>26</v>
      </c>
      <c r="F573" s="3" t="s">
        <v>285</v>
      </c>
      <c r="G573" s="3" t="s">
        <v>450</v>
      </c>
      <c r="H573" s="3" t="s">
        <v>349</v>
      </c>
    </row>
    <row r="574" customFormat="false" ht="15" hidden="false" customHeight="false" outlineLevel="0" collapsed="false">
      <c r="A574" s="4" t="s">
        <v>18</v>
      </c>
      <c r="B574" s="4" t="s">
        <v>66</v>
      </c>
      <c r="C574" s="4" t="n">
        <v>4</v>
      </c>
      <c r="D574" s="4" t="n">
        <v>1</v>
      </c>
      <c r="E574" s="4" t="s">
        <v>34</v>
      </c>
      <c r="F574" s="3" t="s">
        <v>350</v>
      </c>
      <c r="G574" s="3" t="s">
        <v>347</v>
      </c>
      <c r="H574" s="3" t="s">
        <v>349</v>
      </c>
    </row>
    <row r="575" customFormat="false" ht="15" hidden="false" customHeight="false" outlineLevel="0" collapsed="false">
      <c r="A575" s="4" t="s">
        <v>18</v>
      </c>
      <c r="B575" s="4" t="s">
        <v>66</v>
      </c>
      <c r="C575" s="4" t="n">
        <v>5</v>
      </c>
      <c r="D575" s="4" t="n">
        <v>1</v>
      </c>
      <c r="E575" s="4" t="s">
        <v>37</v>
      </c>
      <c r="F575" s="3" t="s">
        <v>72</v>
      </c>
      <c r="G575" s="3" t="s">
        <v>550</v>
      </c>
      <c r="H575" s="3" t="s">
        <v>337</v>
      </c>
    </row>
    <row r="576" customFormat="false" ht="15" hidden="false" customHeight="false" outlineLevel="0" collapsed="false">
      <c r="A576" s="4" t="s">
        <v>18</v>
      </c>
      <c r="B576" s="4" t="s">
        <v>66</v>
      </c>
      <c r="C576" s="4" t="n">
        <v>6</v>
      </c>
      <c r="D576" s="4" t="n">
        <v>1</v>
      </c>
      <c r="E576" s="4" t="s">
        <v>42</v>
      </c>
      <c r="F576" s="3" t="s">
        <v>164</v>
      </c>
      <c r="G576" s="3" t="s">
        <v>552</v>
      </c>
      <c r="H576" s="3" t="s">
        <v>360</v>
      </c>
    </row>
    <row r="577" customFormat="false" ht="15" hidden="false" customHeight="false" outlineLevel="0" collapsed="false">
      <c r="A577" s="4" t="s">
        <v>18</v>
      </c>
      <c r="B577" s="4" t="s">
        <v>66</v>
      </c>
      <c r="C577" s="4" t="n">
        <v>7</v>
      </c>
      <c r="D577" s="4" t="n">
        <v>1</v>
      </c>
      <c r="E577" s="4" t="s">
        <v>39</v>
      </c>
      <c r="F577" s="3" t="s">
        <v>15</v>
      </c>
      <c r="G577" s="3" t="s">
        <v>549</v>
      </c>
      <c r="H577" s="3" t="s">
        <v>68</v>
      </c>
    </row>
    <row r="578" customFormat="false" ht="15" hidden="false" customHeight="false" outlineLevel="0" collapsed="false">
      <c r="A578" s="4" t="s">
        <v>23</v>
      </c>
      <c r="B578" s="4" t="s">
        <v>12</v>
      </c>
      <c r="C578" s="4" t="n">
        <v>1</v>
      </c>
      <c r="D578" s="4" t="n">
        <v>1</v>
      </c>
      <c r="E578" s="4" t="s">
        <v>16</v>
      </c>
      <c r="F578" s="3" t="s">
        <v>72</v>
      </c>
      <c r="G578" s="3" t="s">
        <v>560</v>
      </c>
      <c r="H578" s="3" t="s">
        <v>322</v>
      </c>
    </row>
    <row r="579" customFormat="false" ht="15" hidden="false" customHeight="false" outlineLevel="0" collapsed="false">
      <c r="A579" s="4" t="s">
        <v>23</v>
      </c>
      <c r="B579" s="4" t="s">
        <v>12</v>
      </c>
      <c r="C579" s="4" t="n">
        <v>2</v>
      </c>
      <c r="D579" s="4" t="n">
        <v>1</v>
      </c>
      <c r="E579" s="4" t="s">
        <v>21</v>
      </c>
      <c r="F579" s="3" t="s">
        <v>15</v>
      </c>
      <c r="G579" s="3" t="s">
        <v>561</v>
      </c>
      <c r="H579" s="3" t="s">
        <v>20</v>
      </c>
    </row>
    <row r="580" customFormat="false" ht="15" hidden="false" customHeight="false" outlineLevel="0" collapsed="false">
      <c r="A580" s="4" t="s">
        <v>23</v>
      </c>
      <c r="B580" s="4" t="s">
        <v>12</v>
      </c>
      <c r="C580" s="4" t="n">
        <v>3</v>
      </c>
      <c r="D580" s="4" t="n">
        <v>1</v>
      </c>
      <c r="E580" s="4" t="s">
        <v>26</v>
      </c>
      <c r="F580" s="3" t="s">
        <v>126</v>
      </c>
      <c r="G580" s="3" t="s">
        <v>460</v>
      </c>
      <c r="H580" s="3" t="s">
        <v>125</v>
      </c>
    </row>
    <row r="581" customFormat="false" ht="15" hidden="false" customHeight="false" outlineLevel="0" collapsed="false">
      <c r="A581" s="4" t="s">
        <v>23</v>
      </c>
      <c r="B581" s="4" t="s">
        <v>12</v>
      </c>
      <c r="C581" s="4" t="n">
        <v>4</v>
      </c>
      <c r="D581" s="4" t="n">
        <v>2</v>
      </c>
      <c r="E581" s="4" t="s">
        <v>533</v>
      </c>
      <c r="F581" s="3" t="s">
        <v>222</v>
      </c>
      <c r="G581" s="3" t="s">
        <v>551</v>
      </c>
      <c r="H581" s="3" t="s">
        <v>390</v>
      </c>
    </row>
    <row r="582" customFormat="false" ht="15" hidden="false" customHeight="false" outlineLevel="0" collapsed="false">
      <c r="A582" s="4" t="s">
        <v>23</v>
      </c>
      <c r="B582" s="4" t="s">
        <v>12</v>
      </c>
      <c r="C582" s="4" t="n">
        <v>6</v>
      </c>
      <c r="D582" s="4" t="n">
        <v>1</v>
      </c>
      <c r="E582" s="4" t="s">
        <v>42</v>
      </c>
      <c r="F582" s="3" t="s">
        <v>296</v>
      </c>
      <c r="G582" s="3" t="s">
        <v>562</v>
      </c>
      <c r="H582" s="3" t="s">
        <v>297</v>
      </c>
    </row>
    <row r="583" customFormat="false" ht="15" hidden="false" customHeight="false" outlineLevel="0" collapsed="false">
      <c r="A583" s="4" t="s">
        <v>23</v>
      </c>
      <c r="B583" s="4" t="s">
        <v>12</v>
      </c>
      <c r="C583" s="4" t="n">
        <v>7</v>
      </c>
      <c r="D583" s="4" t="n">
        <v>1</v>
      </c>
      <c r="E583" s="4" t="s">
        <v>39</v>
      </c>
      <c r="F583" s="3" t="s">
        <v>164</v>
      </c>
      <c r="G583" s="3" t="s">
        <v>563</v>
      </c>
      <c r="H583" s="3" t="s">
        <v>33</v>
      </c>
    </row>
    <row r="584" customFormat="false" ht="15" hidden="false" customHeight="false" outlineLevel="0" collapsed="false">
      <c r="A584" s="4" t="s">
        <v>23</v>
      </c>
      <c r="B584" s="4" t="s">
        <v>31</v>
      </c>
      <c r="C584" s="4" t="n">
        <v>1</v>
      </c>
      <c r="D584" s="4" t="n">
        <v>1</v>
      </c>
      <c r="E584" s="4" t="s">
        <v>16</v>
      </c>
      <c r="F584" s="3" t="s">
        <v>126</v>
      </c>
      <c r="G584" s="3" t="s">
        <v>460</v>
      </c>
      <c r="H584" s="3" t="s">
        <v>133</v>
      </c>
    </row>
    <row r="585" customFormat="false" ht="15" hidden="false" customHeight="false" outlineLevel="0" collapsed="false">
      <c r="A585" s="4" t="s">
        <v>23</v>
      </c>
      <c r="B585" s="4" t="s">
        <v>31</v>
      </c>
      <c r="C585" s="4" t="n">
        <v>2</v>
      </c>
      <c r="D585" s="4" t="n">
        <v>1</v>
      </c>
      <c r="E585" s="4" t="s">
        <v>21</v>
      </c>
      <c r="F585" s="3" t="s">
        <v>164</v>
      </c>
      <c r="G585" s="3" t="s">
        <v>563</v>
      </c>
      <c r="H585" s="3" t="s">
        <v>33</v>
      </c>
    </row>
    <row r="586" customFormat="false" ht="15" hidden="false" customHeight="false" outlineLevel="0" collapsed="false">
      <c r="A586" s="4" t="s">
        <v>23</v>
      </c>
      <c r="B586" s="4" t="s">
        <v>31</v>
      </c>
      <c r="C586" s="4" t="n">
        <v>3</v>
      </c>
      <c r="D586" s="4" t="n">
        <v>1</v>
      </c>
      <c r="E586" s="4" t="s">
        <v>26</v>
      </c>
      <c r="F586" s="3" t="s">
        <v>72</v>
      </c>
      <c r="G586" s="3" t="s">
        <v>560</v>
      </c>
      <c r="H586" s="3" t="s">
        <v>326</v>
      </c>
    </row>
    <row r="587" customFormat="false" ht="15" hidden="false" customHeight="false" outlineLevel="0" collapsed="false">
      <c r="A587" s="4" t="s">
        <v>23</v>
      </c>
      <c r="B587" s="4" t="s">
        <v>31</v>
      </c>
      <c r="C587" s="4" t="n">
        <v>4</v>
      </c>
      <c r="D587" s="4" t="n">
        <v>1</v>
      </c>
      <c r="E587" s="4" t="s">
        <v>34</v>
      </c>
      <c r="F587" s="3" t="s">
        <v>15</v>
      </c>
      <c r="G587" s="3" t="s">
        <v>561</v>
      </c>
      <c r="H587" s="3" t="s">
        <v>33</v>
      </c>
    </row>
    <row r="588" customFormat="false" ht="15" hidden="false" customHeight="false" outlineLevel="0" collapsed="false">
      <c r="A588" s="4" t="s">
        <v>23</v>
      </c>
      <c r="B588" s="4" t="s">
        <v>31</v>
      </c>
      <c r="C588" s="4" t="n">
        <v>5</v>
      </c>
      <c r="D588" s="4" t="n">
        <v>1</v>
      </c>
      <c r="E588" s="4" t="s">
        <v>37</v>
      </c>
      <c r="F588" s="3" t="s">
        <v>36</v>
      </c>
      <c r="G588" s="3" t="s">
        <v>553</v>
      </c>
      <c r="H588" s="3" t="s">
        <v>35</v>
      </c>
    </row>
    <row r="589" customFormat="false" ht="15" hidden="false" customHeight="false" outlineLevel="0" collapsed="false">
      <c r="A589" s="4" t="s">
        <v>23</v>
      </c>
      <c r="B589" s="4" t="s">
        <v>31</v>
      </c>
      <c r="C589" s="4" t="n">
        <v>6</v>
      </c>
      <c r="D589" s="4" t="n">
        <v>1</v>
      </c>
      <c r="E589" s="4" t="s">
        <v>42</v>
      </c>
      <c r="F589" s="3" t="s">
        <v>369</v>
      </c>
      <c r="G589" s="3" t="s">
        <v>417</v>
      </c>
      <c r="H589" s="3" t="s">
        <v>368</v>
      </c>
    </row>
    <row r="590" customFormat="false" ht="15" hidden="false" customHeight="false" outlineLevel="0" collapsed="false">
      <c r="A590" s="4" t="s">
        <v>23</v>
      </c>
      <c r="B590" s="4" t="s">
        <v>31</v>
      </c>
      <c r="C590" s="4" t="n">
        <v>7</v>
      </c>
      <c r="D590" s="4" t="n">
        <v>1</v>
      </c>
      <c r="E590" s="4" t="s">
        <v>39</v>
      </c>
      <c r="F590" s="3" t="s">
        <v>99</v>
      </c>
      <c r="G590" s="3" t="s">
        <v>433</v>
      </c>
      <c r="H590" s="3" t="s">
        <v>353</v>
      </c>
    </row>
    <row r="591" customFormat="false" ht="15" hidden="false" customHeight="false" outlineLevel="0" collapsed="false">
      <c r="A591" s="4" t="s">
        <v>23</v>
      </c>
      <c r="B591" s="4" t="s">
        <v>40</v>
      </c>
      <c r="C591" s="4" t="n">
        <v>1</v>
      </c>
      <c r="D591" s="4" t="n">
        <v>1</v>
      </c>
      <c r="E591" s="4" t="s">
        <v>16</v>
      </c>
      <c r="F591" s="3" t="s">
        <v>72</v>
      </c>
      <c r="G591" s="3" t="s">
        <v>560</v>
      </c>
      <c r="H591" s="3" t="s">
        <v>33</v>
      </c>
    </row>
    <row r="592" customFormat="false" ht="15" hidden="false" customHeight="false" outlineLevel="0" collapsed="false">
      <c r="A592" s="4" t="s">
        <v>23</v>
      </c>
      <c r="B592" s="4" t="s">
        <v>40</v>
      </c>
      <c r="C592" s="4" t="n">
        <v>2</v>
      </c>
      <c r="D592" s="4" t="n">
        <v>1</v>
      </c>
      <c r="E592" s="4" t="s">
        <v>21</v>
      </c>
      <c r="F592" s="3" t="s">
        <v>164</v>
      </c>
      <c r="G592" s="3" t="s">
        <v>563</v>
      </c>
      <c r="H592" s="3" t="s">
        <v>419</v>
      </c>
    </row>
    <row r="593" customFormat="false" ht="15" hidden="false" customHeight="false" outlineLevel="0" collapsed="false">
      <c r="A593" s="4" t="s">
        <v>23</v>
      </c>
      <c r="B593" s="4" t="s">
        <v>40</v>
      </c>
      <c r="C593" s="4" t="n">
        <v>3</v>
      </c>
      <c r="D593" s="4" t="n">
        <v>1</v>
      </c>
      <c r="E593" s="4" t="s">
        <v>26</v>
      </c>
      <c r="F593" s="3" t="s">
        <v>126</v>
      </c>
      <c r="G593" s="3" t="s">
        <v>460</v>
      </c>
      <c r="H593" s="3" t="s">
        <v>133</v>
      </c>
    </row>
    <row r="594" customFormat="false" ht="15" hidden="false" customHeight="false" outlineLevel="0" collapsed="false">
      <c r="A594" s="4" t="s">
        <v>23</v>
      </c>
      <c r="B594" s="4" t="s">
        <v>40</v>
      </c>
      <c r="C594" s="4" t="n">
        <v>4</v>
      </c>
      <c r="D594" s="4" t="n">
        <v>2</v>
      </c>
      <c r="E594" s="4" t="s">
        <v>533</v>
      </c>
      <c r="F594" s="3" t="s">
        <v>463</v>
      </c>
      <c r="G594" s="3" t="s">
        <v>558</v>
      </c>
      <c r="H594" s="3" t="s">
        <v>462</v>
      </c>
    </row>
    <row r="595" customFormat="false" ht="15" hidden="false" customHeight="false" outlineLevel="0" collapsed="false">
      <c r="A595" s="4" t="s">
        <v>23</v>
      </c>
      <c r="B595" s="4" t="s">
        <v>40</v>
      </c>
      <c r="C595" s="4" t="n">
        <v>6</v>
      </c>
      <c r="D595" s="4" t="n">
        <v>1</v>
      </c>
      <c r="E595" s="4" t="s">
        <v>42</v>
      </c>
      <c r="F595" s="3" t="s">
        <v>15</v>
      </c>
      <c r="G595" s="3" t="s">
        <v>561</v>
      </c>
      <c r="H595" s="3" t="s">
        <v>33</v>
      </c>
    </row>
    <row r="596" customFormat="false" ht="15" hidden="false" customHeight="false" outlineLevel="0" collapsed="false">
      <c r="A596" s="4" t="s">
        <v>23</v>
      </c>
      <c r="B596" s="4" t="s">
        <v>40</v>
      </c>
      <c r="C596" s="4" t="n">
        <v>7</v>
      </c>
      <c r="D596" s="4" t="n">
        <v>1</v>
      </c>
      <c r="E596" s="4" t="s">
        <v>39</v>
      </c>
      <c r="F596" s="3" t="s">
        <v>285</v>
      </c>
      <c r="G596" s="3" t="s">
        <v>450</v>
      </c>
      <c r="H596" s="3" t="s">
        <v>353</v>
      </c>
    </row>
    <row r="597" customFormat="false" ht="15" hidden="false" customHeight="false" outlineLevel="0" collapsed="false">
      <c r="A597" s="4" t="s">
        <v>23</v>
      </c>
      <c r="B597" s="4" t="s">
        <v>44</v>
      </c>
      <c r="C597" s="4" t="n">
        <v>1</v>
      </c>
      <c r="D597" s="4" t="n">
        <v>1</v>
      </c>
      <c r="E597" s="4" t="s">
        <v>16</v>
      </c>
      <c r="F597" s="3" t="s">
        <v>15</v>
      </c>
      <c r="G597" s="3" t="s">
        <v>561</v>
      </c>
      <c r="H597" s="3" t="s">
        <v>33</v>
      </c>
    </row>
    <row r="598" customFormat="false" ht="15" hidden="false" customHeight="false" outlineLevel="0" collapsed="false">
      <c r="A598" s="4" t="s">
        <v>23</v>
      </c>
      <c r="B598" s="4" t="s">
        <v>44</v>
      </c>
      <c r="C598" s="4" t="n">
        <v>2</v>
      </c>
      <c r="D598" s="4" t="n">
        <v>1</v>
      </c>
      <c r="E598" s="4" t="s">
        <v>21</v>
      </c>
      <c r="F598" s="3" t="s">
        <v>285</v>
      </c>
      <c r="G598" s="3" t="s">
        <v>450</v>
      </c>
      <c r="H598" s="3" t="s">
        <v>353</v>
      </c>
    </row>
    <row r="599" customFormat="false" ht="15" hidden="false" customHeight="false" outlineLevel="0" collapsed="false">
      <c r="A599" s="4" t="s">
        <v>23</v>
      </c>
      <c r="B599" s="4" t="s">
        <v>44</v>
      </c>
      <c r="C599" s="4" t="n">
        <v>3</v>
      </c>
      <c r="D599" s="4" t="n">
        <v>1</v>
      </c>
      <c r="E599" s="4" t="s">
        <v>26</v>
      </c>
      <c r="F599" s="3" t="s">
        <v>72</v>
      </c>
      <c r="G599" s="3" t="s">
        <v>560</v>
      </c>
      <c r="H599" s="3" t="s">
        <v>33</v>
      </c>
    </row>
    <row r="600" customFormat="false" ht="15" hidden="false" customHeight="false" outlineLevel="0" collapsed="false">
      <c r="A600" s="4" t="s">
        <v>23</v>
      </c>
      <c r="B600" s="4" t="s">
        <v>44</v>
      </c>
      <c r="C600" s="4" t="n">
        <v>4</v>
      </c>
      <c r="D600" s="4" t="n">
        <v>1</v>
      </c>
      <c r="E600" s="4" t="s">
        <v>34</v>
      </c>
      <c r="F600" s="3" t="s">
        <v>350</v>
      </c>
      <c r="G600" s="3" t="s">
        <v>347</v>
      </c>
      <c r="H600" s="3" t="s">
        <v>353</v>
      </c>
    </row>
    <row r="601" customFormat="false" ht="15" hidden="false" customHeight="false" outlineLevel="0" collapsed="false">
      <c r="A601" s="4" t="s">
        <v>23</v>
      </c>
      <c r="B601" s="4" t="s">
        <v>44</v>
      </c>
      <c r="C601" s="4" t="n">
        <v>5</v>
      </c>
      <c r="D601" s="4" t="n">
        <v>1</v>
      </c>
      <c r="E601" s="4" t="s">
        <v>37</v>
      </c>
      <c r="F601" s="3" t="s">
        <v>36</v>
      </c>
      <c r="G601" s="3" t="s">
        <v>553</v>
      </c>
      <c r="H601" s="3" t="s">
        <v>35</v>
      </c>
    </row>
    <row r="602" customFormat="false" ht="15" hidden="false" customHeight="false" outlineLevel="0" collapsed="false">
      <c r="A602" s="4" t="s">
        <v>23</v>
      </c>
      <c r="B602" s="4" t="s">
        <v>44</v>
      </c>
      <c r="C602" s="4" t="n">
        <v>6</v>
      </c>
      <c r="D602" s="4" t="n">
        <v>1</v>
      </c>
      <c r="E602" s="4" t="s">
        <v>42</v>
      </c>
      <c r="F602" s="3" t="s">
        <v>126</v>
      </c>
      <c r="G602" s="3" t="s">
        <v>460</v>
      </c>
      <c r="H602" s="3" t="s">
        <v>125</v>
      </c>
    </row>
    <row r="603" customFormat="false" ht="15" hidden="false" customHeight="false" outlineLevel="0" collapsed="false">
      <c r="A603" s="4" t="s">
        <v>23</v>
      </c>
      <c r="B603" s="4" t="s">
        <v>44</v>
      </c>
      <c r="C603" s="4" t="n">
        <v>7</v>
      </c>
      <c r="D603" s="4" t="n">
        <v>1</v>
      </c>
      <c r="E603" s="4" t="s">
        <v>39</v>
      </c>
      <c r="F603" s="3" t="s">
        <v>164</v>
      </c>
      <c r="G603" s="3" t="s">
        <v>563</v>
      </c>
      <c r="H603" s="3" t="s">
        <v>420</v>
      </c>
    </row>
    <row r="604" customFormat="false" ht="15" hidden="false" customHeight="false" outlineLevel="0" collapsed="false">
      <c r="A604" s="4" t="s">
        <v>23</v>
      </c>
      <c r="B604" s="4" t="s">
        <v>47</v>
      </c>
      <c r="C604" s="4" t="n">
        <v>1</v>
      </c>
      <c r="D604" s="4" t="n">
        <v>2</v>
      </c>
      <c r="E604" s="4" t="s">
        <v>539</v>
      </c>
      <c r="F604" s="3" t="s">
        <v>388</v>
      </c>
      <c r="G604" s="3" t="s">
        <v>559</v>
      </c>
      <c r="H604" s="3" t="s">
        <v>387</v>
      </c>
    </row>
    <row r="605" customFormat="false" ht="15" hidden="false" customHeight="false" outlineLevel="0" collapsed="false">
      <c r="A605" s="4" t="s">
        <v>23</v>
      </c>
      <c r="B605" s="4" t="s">
        <v>47</v>
      </c>
      <c r="C605" s="4" t="n">
        <v>3</v>
      </c>
      <c r="D605" s="4" t="n">
        <v>1</v>
      </c>
      <c r="E605" s="4" t="s">
        <v>26</v>
      </c>
      <c r="F605" s="3" t="s">
        <v>15</v>
      </c>
      <c r="G605" s="3" t="s">
        <v>561</v>
      </c>
      <c r="H605" s="3" t="s">
        <v>48</v>
      </c>
    </row>
    <row r="606" customFormat="false" ht="15" hidden="false" customHeight="false" outlineLevel="0" collapsed="false">
      <c r="A606" s="4" t="s">
        <v>23</v>
      </c>
      <c r="B606" s="4" t="s">
        <v>47</v>
      </c>
      <c r="C606" s="4" t="n">
        <v>4</v>
      </c>
      <c r="D606" s="4" t="n">
        <v>1</v>
      </c>
      <c r="E606" s="4" t="s">
        <v>34</v>
      </c>
      <c r="F606" s="3" t="s">
        <v>72</v>
      </c>
      <c r="G606" s="3" t="s">
        <v>560</v>
      </c>
      <c r="H606" s="3" t="s">
        <v>33</v>
      </c>
    </row>
    <row r="607" customFormat="false" ht="15" hidden="false" customHeight="false" outlineLevel="0" collapsed="false">
      <c r="A607" s="4" t="s">
        <v>23</v>
      </c>
      <c r="B607" s="4" t="s">
        <v>47</v>
      </c>
      <c r="C607" s="4" t="n">
        <v>5</v>
      </c>
      <c r="D607" s="4" t="n">
        <v>1</v>
      </c>
      <c r="E607" s="4" t="s">
        <v>37</v>
      </c>
      <c r="F607" s="3" t="s">
        <v>437</v>
      </c>
      <c r="G607" s="3" t="s">
        <v>481</v>
      </c>
      <c r="H607" s="3" t="s">
        <v>353</v>
      </c>
    </row>
    <row r="608" customFormat="false" ht="15" hidden="false" customHeight="false" outlineLevel="0" collapsed="false">
      <c r="A608" s="4" t="s">
        <v>23</v>
      </c>
      <c r="B608" s="4" t="s">
        <v>47</v>
      </c>
      <c r="C608" s="4" t="n">
        <v>6</v>
      </c>
      <c r="D608" s="4" t="n">
        <v>2</v>
      </c>
      <c r="E608" s="4" t="s">
        <v>536</v>
      </c>
      <c r="F608" s="3" t="s">
        <v>164</v>
      </c>
      <c r="G608" s="3" t="s">
        <v>563</v>
      </c>
      <c r="H608" s="3" t="s">
        <v>421</v>
      </c>
    </row>
    <row r="609" customFormat="false" ht="15" hidden="false" customHeight="false" outlineLevel="0" collapsed="false">
      <c r="A609" s="4" t="s">
        <v>23</v>
      </c>
      <c r="B609" s="4" t="s">
        <v>50</v>
      </c>
      <c r="C609" s="4" t="n">
        <v>1</v>
      </c>
      <c r="D609" s="4" t="n">
        <v>1</v>
      </c>
      <c r="E609" s="4" t="s">
        <v>16</v>
      </c>
      <c r="F609" s="3" t="s">
        <v>350</v>
      </c>
      <c r="G609" s="3" t="s">
        <v>347</v>
      </c>
      <c r="H609" s="3" t="s">
        <v>353</v>
      </c>
    </row>
    <row r="610" customFormat="false" ht="15" hidden="false" customHeight="false" outlineLevel="0" collapsed="false">
      <c r="A610" s="4" t="s">
        <v>23</v>
      </c>
      <c r="B610" s="4" t="s">
        <v>50</v>
      </c>
      <c r="C610" s="4" t="n">
        <v>2</v>
      </c>
      <c r="D610" s="4" t="n">
        <v>1</v>
      </c>
      <c r="E610" s="4" t="s">
        <v>21</v>
      </c>
      <c r="F610" s="3" t="s">
        <v>15</v>
      </c>
      <c r="G610" s="3" t="s">
        <v>561</v>
      </c>
      <c r="H610" s="3" t="s">
        <v>51</v>
      </c>
    </row>
    <row r="611" customFormat="false" ht="15" hidden="false" customHeight="false" outlineLevel="0" collapsed="false">
      <c r="A611" s="4" t="s">
        <v>23</v>
      </c>
      <c r="B611" s="4" t="s">
        <v>50</v>
      </c>
      <c r="C611" s="4" t="n">
        <v>3</v>
      </c>
      <c r="D611" s="4" t="n">
        <v>1</v>
      </c>
      <c r="E611" s="4" t="s">
        <v>26</v>
      </c>
      <c r="F611" s="3" t="s">
        <v>72</v>
      </c>
      <c r="G611" s="3" t="s">
        <v>560</v>
      </c>
      <c r="H611" s="3" t="s">
        <v>329</v>
      </c>
    </row>
    <row r="612" customFormat="false" ht="15" hidden="false" customHeight="false" outlineLevel="0" collapsed="false">
      <c r="A612" s="4" t="s">
        <v>23</v>
      </c>
      <c r="B612" s="4" t="s">
        <v>50</v>
      </c>
      <c r="C612" s="4" t="n">
        <v>4</v>
      </c>
      <c r="D612" s="4" t="n">
        <v>1</v>
      </c>
      <c r="E612" s="4" t="s">
        <v>34</v>
      </c>
      <c r="F612" s="3" t="s">
        <v>99</v>
      </c>
      <c r="G612" s="3" t="s">
        <v>433</v>
      </c>
      <c r="H612" s="3" t="s">
        <v>353</v>
      </c>
    </row>
    <row r="613" customFormat="false" ht="15" hidden="false" customHeight="false" outlineLevel="0" collapsed="false">
      <c r="A613" s="4" t="s">
        <v>23</v>
      </c>
      <c r="B613" s="4" t="s">
        <v>50</v>
      </c>
      <c r="C613" s="4" t="n">
        <v>5</v>
      </c>
      <c r="D613" s="4" t="n">
        <v>1</v>
      </c>
      <c r="E613" s="4" t="s">
        <v>37</v>
      </c>
      <c r="F613" s="3" t="s">
        <v>164</v>
      </c>
      <c r="G613" s="3" t="s">
        <v>563</v>
      </c>
      <c r="H613" s="3" t="s">
        <v>422</v>
      </c>
    </row>
    <row r="614" customFormat="false" ht="15" hidden="false" customHeight="false" outlineLevel="0" collapsed="false">
      <c r="A614" s="4" t="s">
        <v>23</v>
      </c>
      <c r="B614" s="4" t="s">
        <v>50</v>
      </c>
      <c r="C614" s="4" t="n">
        <v>6</v>
      </c>
      <c r="D614" s="4" t="n">
        <v>1</v>
      </c>
      <c r="E614" s="4" t="s">
        <v>42</v>
      </c>
      <c r="F614" s="3" t="s">
        <v>126</v>
      </c>
      <c r="G614" s="3" t="s">
        <v>460</v>
      </c>
      <c r="H614" s="3" t="s">
        <v>125</v>
      </c>
    </row>
    <row r="615" customFormat="false" ht="15" hidden="false" customHeight="false" outlineLevel="0" collapsed="false">
      <c r="A615" s="4" t="s">
        <v>23</v>
      </c>
      <c r="B615" s="4" t="s">
        <v>50</v>
      </c>
      <c r="C615" s="4" t="n">
        <v>7</v>
      </c>
      <c r="D615" s="4" t="n">
        <v>1</v>
      </c>
      <c r="E615" s="4" t="s">
        <v>39</v>
      </c>
      <c r="F615" s="3" t="s">
        <v>437</v>
      </c>
      <c r="G615" s="3" t="s">
        <v>481</v>
      </c>
      <c r="H615" s="3" t="s">
        <v>353</v>
      </c>
    </row>
    <row r="616" customFormat="false" ht="15" hidden="false" customHeight="false" outlineLevel="0" collapsed="false">
      <c r="A616" s="4" t="s">
        <v>23</v>
      </c>
      <c r="B616" s="4" t="s">
        <v>60</v>
      </c>
      <c r="C616" s="4" t="n">
        <v>1</v>
      </c>
      <c r="D616" s="4" t="n">
        <v>1</v>
      </c>
      <c r="E616" s="4" t="s">
        <v>16</v>
      </c>
      <c r="F616" s="3" t="s">
        <v>72</v>
      </c>
      <c r="G616" s="3" t="s">
        <v>560</v>
      </c>
      <c r="H616" s="3" t="s">
        <v>20</v>
      </c>
    </row>
    <row r="617" customFormat="false" ht="15" hidden="false" customHeight="false" outlineLevel="0" collapsed="false">
      <c r="A617" s="4" t="s">
        <v>23</v>
      </c>
      <c r="B617" s="4" t="s">
        <v>60</v>
      </c>
      <c r="C617" s="4" t="n">
        <v>2</v>
      </c>
      <c r="D617" s="4" t="n">
        <v>1</v>
      </c>
      <c r="E617" s="4" t="s">
        <v>21</v>
      </c>
      <c r="F617" s="3" t="s">
        <v>388</v>
      </c>
      <c r="G617" s="3" t="s">
        <v>559</v>
      </c>
      <c r="H617" s="3" t="s">
        <v>387</v>
      </c>
    </row>
    <row r="618" customFormat="false" ht="15" hidden="false" customHeight="false" outlineLevel="0" collapsed="false">
      <c r="A618" s="4" t="s">
        <v>23</v>
      </c>
      <c r="B618" s="4" t="s">
        <v>60</v>
      </c>
      <c r="C618" s="4" t="n">
        <v>3</v>
      </c>
      <c r="D618" s="4" t="n">
        <v>1</v>
      </c>
      <c r="E618" s="4" t="s">
        <v>26</v>
      </c>
      <c r="F618" s="3" t="s">
        <v>126</v>
      </c>
      <c r="G618" s="3" t="s">
        <v>460</v>
      </c>
      <c r="H618" s="3" t="s">
        <v>125</v>
      </c>
    </row>
    <row r="619" customFormat="false" ht="15" hidden="false" customHeight="false" outlineLevel="0" collapsed="false">
      <c r="A619" s="4" t="s">
        <v>23</v>
      </c>
      <c r="B619" s="4" t="s">
        <v>60</v>
      </c>
      <c r="C619" s="4" t="n">
        <v>4</v>
      </c>
      <c r="D619" s="4" t="n">
        <v>1</v>
      </c>
      <c r="E619" s="4" t="s">
        <v>34</v>
      </c>
      <c r="F619" s="3" t="s">
        <v>164</v>
      </c>
      <c r="G619" s="3" t="s">
        <v>563</v>
      </c>
      <c r="H619" s="3" t="s">
        <v>423</v>
      </c>
    </row>
    <row r="620" customFormat="false" ht="15" hidden="false" customHeight="false" outlineLevel="0" collapsed="false">
      <c r="A620" s="4" t="s">
        <v>23</v>
      </c>
      <c r="B620" s="4" t="s">
        <v>60</v>
      </c>
      <c r="C620" s="4" t="n">
        <v>5</v>
      </c>
      <c r="D620" s="4" t="n">
        <v>1</v>
      </c>
      <c r="E620" s="4" t="s">
        <v>37</v>
      </c>
      <c r="F620" s="3" t="s">
        <v>36</v>
      </c>
      <c r="G620" s="3" t="s">
        <v>553</v>
      </c>
      <c r="H620" s="3" t="s">
        <v>35</v>
      </c>
    </row>
    <row r="621" customFormat="false" ht="15" hidden="false" customHeight="false" outlineLevel="0" collapsed="false">
      <c r="A621" s="4" t="s">
        <v>23</v>
      </c>
      <c r="B621" s="4" t="s">
        <v>60</v>
      </c>
      <c r="C621" s="4" t="n">
        <v>6</v>
      </c>
      <c r="D621" s="4" t="n">
        <v>1</v>
      </c>
      <c r="E621" s="4" t="s">
        <v>42</v>
      </c>
      <c r="F621" s="3" t="s">
        <v>99</v>
      </c>
      <c r="G621" s="3" t="s">
        <v>433</v>
      </c>
      <c r="H621" s="3" t="s">
        <v>353</v>
      </c>
    </row>
    <row r="622" customFormat="false" ht="15" hidden="false" customHeight="false" outlineLevel="0" collapsed="false">
      <c r="A622" s="4" t="s">
        <v>23</v>
      </c>
      <c r="B622" s="4" t="s">
        <v>60</v>
      </c>
      <c r="C622" s="4" t="n">
        <v>7</v>
      </c>
      <c r="D622" s="4" t="n">
        <v>1</v>
      </c>
      <c r="E622" s="4" t="s">
        <v>39</v>
      </c>
      <c r="F622" s="3" t="s">
        <v>15</v>
      </c>
      <c r="G622" s="3" t="s">
        <v>561</v>
      </c>
      <c r="H622" s="3" t="s">
        <v>62</v>
      </c>
    </row>
    <row r="623" customFormat="false" ht="15" hidden="false" customHeight="false" outlineLevel="0" collapsed="false">
      <c r="A623" s="4" t="s">
        <v>23</v>
      </c>
      <c r="B623" s="4" t="s">
        <v>63</v>
      </c>
      <c r="C623" s="4" t="n">
        <v>1</v>
      </c>
      <c r="D623" s="4" t="n">
        <v>1</v>
      </c>
      <c r="E623" s="4" t="s">
        <v>16</v>
      </c>
      <c r="F623" s="3" t="s">
        <v>437</v>
      </c>
      <c r="G623" s="3" t="s">
        <v>481</v>
      </c>
      <c r="H623" s="3" t="s">
        <v>353</v>
      </c>
    </row>
    <row r="624" customFormat="false" ht="15" hidden="false" customHeight="false" outlineLevel="0" collapsed="false">
      <c r="A624" s="4" t="s">
        <v>23</v>
      </c>
      <c r="B624" s="4" t="s">
        <v>63</v>
      </c>
      <c r="C624" s="4" t="n">
        <v>2</v>
      </c>
      <c r="D624" s="4" t="n">
        <v>1</v>
      </c>
      <c r="E624" s="4" t="s">
        <v>21</v>
      </c>
      <c r="F624" s="3" t="s">
        <v>15</v>
      </c>
      <c r="G624" s="3" t="s">
        <v>561</v>
      </c>
      <c r="H624" s="3" t="s">
        <v>48</v>
      </c>
    </row>
    <row r="625" customFormat="false" ht="15" hidden="false" customHeight="false" outlineLevel="0" collapsed="false">
      <c r="A625" s="4" t="s">
        <v>23</v>
      </c>
      <c r="B625" s="4" t="s">
        <v>63</v>
      </c>
      <c r="C625" s="4" t="n">
        <v>3</v>
      </c>
      <c r="D625" s="4" t="n">
        <v>1</v>
      </c>
      <c r="E625" s="4" t="s">
        <v>26</v>
      </c>
      <c r="F625" s="3" t="s">
        <v>72</v>
      </c>
      <c r="G625" s="3" t="s">
        <v>560</v>
      </c>
      <c r="H625" s="3" t="s">
        <v>334</v>
      </c>
    </row>
    <row r="626" customFormat="false" ht="15" hidden="false" customHeight="false" outlineLevel="0" collapsed="false">
      <c r="A626" s="4" t="s">
        <v>23</v>
      </c>
      <c r="B626" s="4" t="s">
        <v>63</v>
      </c>
      <c r="C626" s="4" t="n">
        <v>4</v>
      </c>
      <c r="D626" s="4" t="n">
        <v>2</v>
      </c>
      <c r="E626" s="4" t="s">
        <v>533</v>
      </c>
      <c r="F626" s="3" t="s">
        <v>463</v>
      </c>
      <c r="G626" s="3" t="s">
        <v>558</v>
      </c>
      <c r="H626" s="3" t="s">
        <v>462</v>
      </c>
    </row>
    <row r="627" customFormat="false" ht="15" hidden="false" customHeight="false" outlineLevel="0" collapsed="false">
      <c r="A627" s="4" t="s">
        <v>23</v>
      </c>
      <c r="B627" s="4" t="s">
        <v>63</v>
      </c>
      <c r="C627" s="4" t="n">
        <v>6</v>
      </c>
      <c r="D627" s="4" t="n">
        <v>1</v>
      </c>
      <c r="E627" s="4" t="s">
        <v>42</v>
      </c>
      <c r="F627" s="3" t="s">
        <v>285</v>
      </c>
      <c r="G627" s="3" t="s">
        <v>450</v>
      </c>
      <c r="H627" s="3" t="s">
        <v>353</v>
      </c>
    </row>
    <row r="628" customFormat="false" ht="15" hidden="false" customHeight="false" outlineLevel="0" collapsed="false">
      <c r="A628" s="4" t="s">
        <v>23</v>
      </c>
      <c r="B628" s="4" t="s">
        <v>63</v>
      </c>
      <c r="C628" s="4" t="n">
        <v>7</v>
      </c>
      <c r="D628" s="4" t="n">
        <v>1</v>
      </c>
      <c r="E628" s="4" t="s">
        <v>39</v>
      </c>
      <c r="F628" s="3" t="s">
        <v>126</v>
      </c>
      <c r="G628" s="3" t="s">
        <v>460</v>
      </c>
      <c r="H628" s="3" t="s">
        <v>311</v>
      </c>
    </row>
    <row r="629" customFormat="false" ht="15" hidden="false" customHeight="false" outlineLevel="0" collapsed="false">
      <c r="A629" s="4" t="s">
        <v>23</v>
      </c>
      <c r="B629" s="4" t="s">
        <v>65</v>
      </c>
      <c r="C629" s="4" t="n">
        <v>1</v>
      </c>
      <c r="D629" s="4" t="n">
        <v>1</v>
      </c>
      <c r="E629" s="4" t="s">
        <v>16</v>
      </c>
      <c r="F629" s="3" t="s">
        <v>72</v>
      </c>
      <c r="G629" s="3" t="s">
        <v>560</v>
      </c>
      <c r="H629" s="3" t="s">
        <v>51</v>
      </c>
    </row>
    <row r="630" customFormat="false" ht="15" hidden="false" customHeight="false" outlineLevel="0" collapsed="false">
      <c r="A630" s="4" t="s">
        <v>23</v>
      </c>
      <c r="B630" s="4" t="s">
        <v>65</v>
      </c>
      <c r="C630" s="4" t="n">
        <v>2</v>
      </c>
      <c r="D630" s="4" t="n">
        <v>1</v>
      </c>
      <c r="E630" s="4" t="s">
        <v>21</v>
      </c>
      <c r="F630" s="3" t="s">
        <v>369</v>
      </c>
      <c r="G630" s="3" t="s">
        <v>417</v>
      </c>
      <c r="H630" s="3" t="s">
        <v>368</v>
      </c>
    </row>
    <row r="631" customFormat="false" ht="15" hidden="false" customHeight="false" outlineLevel="0" collapsed="false">
      <c r="A631" s="4" t="s">
        <v>23</v>
      </c>
      <c r="B631" s="4" t="s">
        <v>65</v>
      </c>
      <c r="C631" s="4" t="n">
        <v>3</v>
      </c>
      <c r="D631" s="4" t="n">
        <v>1</v>
      </c>
      <c r="E631" s="4" t="s">
        <v>26</v>
      </c>
      <c r="F631" s="3" t="s">
        <v>296</v>
      </c>
      <c r="G631" s="3" t="s">
        <v>562</v>
      </c>
      <c r="H631" s="3" t="s">
        <v>297</v>
      </c>
    </row>
    <row r="632" customFormat="false" ht="15" hidden="false" customHeight="false" outlineLevel="0" collapsed="false">
      <c r="A632" s="4" t="s">
        <v>23</v>
      </c>
      <c r="B632" s="4" t="s">
        <v>65</v>
      </c>
      <c r="C632" s="4" t="n">
        <v>4</v>
      </c>
      <c r="D632" s="4" t="n">
        <v>1</v>
      </c>
      <c r="E632" s="4" t="s">
        <v>34</v>
      </c>
      <c r="F632" s="3" t="s">
        <v>164</v>
      </c>
      <c r="G632" s="3" t="s">
        <v>563</v>
      </c>
      <c r="H632" s="3" t="s">
        <v>322</v>
      </c>
    </row>
    <row r="633" customFormat="false" ht="15" hidden="false" customHeight="false" outlineLevel="0" collapsed="false">
      <c r="A633" s="4" t="s">
        <v>23</v>
      </c>
      <c r="B633" s="4" t="s">
        <v>65</v>
      </c>
      <c r="C633" s="4" t="n">
        <v>5</v>
      </c>
      <c r="D633" s="4" t="n">
        <v>1</v>
      </c>
      <c r="E633" s="4" t="s">
        <v>37</v>
      </c>
      <c r="F633" s="3" t="s">
        <v>36</v>
      </c>
      <c r="G633" s="3" t="s">
        <v>553</v>
      </c>
      <c r="H633" s="3" t="s">
        <v>35</v>
      </c>
    </row>
    <row r="634" customFormat="false" ht="15" hidden="false" customHeight="false" outlineLevel="0" collapsed="false">
      <c r="A634" s="4" t="s">
        <v>23</v>
      </c>
      <c r="B634" s="4" t="s">
        <v>65</v>
      </c>
      <c r="C634" s="4" t="n">
        <v>6</v>
      </c>
      <c r="D634" s="4" t="n">
        <v>1</v>
      </c>
      <c r="E634" s="4" t="s">
        <v>42</v>
      </c>
      <c r="F634" s="3" t="s">
        <v>350</v>
      </c>
      <c r="G634" s="3" t="s">
        <v>347</v>
      </c>
      <c r="H634" s="3" t="s">
        <v>353</v>
      </c>
    </row>
    <row r="635" customFormat="false" ht="15" hidden="false" customHeight="false" outlineLevel="0" collapsed="false">
      <c r="A635" s="4" t="s">
        <v>23</v>
      </c>
      <c r="B635" s="4" t="s">
        <v>65</v>
      </c>
      <c r="C635" s="4" t="n">
        <v>7</v>
      </c>
      <c r="D635" s="4" t="n">
        <v>1</v>
      </c>
      <c r="E635" s="4" t="s">
        <v>39</v>
      </c>
      <c r="F635" s="3" t="s">
        <v>126</v>
      </c>
      <c r="G635" s="3" t="s">
        <v>460</v>
      </c>
      <c r="H635" s="3" t="s">
        <v>133</v>
      </c>
    </row>
    <row r="636" customFormat="false" ht="15" hidden="false" customHeight="false" outlineLevel="0" collapsed="false">
      <c r="A636" s="4" t="s">
        <v>23</v>
      </c>
      <c r="B636" s="4" t="s">
        <v>66</v>
      </c>
      <c r="C636" s="4" t="n">
        <v>1</v>
      </c>
      <c r="D636" s="4" t="n">
        <v>2</v>
      </c>
      <c r="E636" s="4" t="s">
        <v>539</v>
      </c>
      <c r="F636" s="3" t="s">
        <v>72</v>
      </c>
      <c r="G636" s="3" t="s">
        <v>560</v>
      </c>
      <c r="H636" s="3" t="s">
        <v>33</v>
      </c>
    </row>
    <row r="637" customFormat="false" ht="15" hidden="false" customHeight="false" outlineLevel="0" collapsed="false">
      <c r="A637" s="4" t="s">
        <v>23</v>
      </c>
      <c r="B637" s="4" t="s">
        <v>66</v>
      </c>
      <c r="C637" s="4" t="n">
        <v>3</v>
      </c>
      <c r="D637" s="4" t="n">
        <v>1</v>
      </c>
      <c r="E637" s="4" t="s">
        <v>26</v>
      </c>
      <c r="F637" s="3" t="s">
        <v>126</v>
      </c>
      <c r="G637" s="3" t="s">
        <v>460</v>
      </c>
      <c r="H637" s="3" t="s">
        <v>353</v>
      </c>
    </row>
    <row r="638" customFormat="false" ht="15" hidden="false" customHeight="false" outlineLevel="0" collapsed="false">
      <c r="A638" s="4" t="s">
        <v>23</v>
      </c>
      <c r="B638" s="4" t="s">
        <v>66</v>
      </c>
      <c r="C638" s="4" t="n">
        <v>4</v>
      </c>
      <c r="D638" s="4" t="n">
        <v>1</v>
      </c>
      <c r="E638" s="4" t="s">
        <v>34</v>
      </c>
      <c r="F638" s="3" t="s">
        <v>299</v>
      </c>
      <c r="G638" s="3" t="s">
        <v>555</v>
      </c>
      <c r="H638" s="3" t="s">
        <v>298</v>
      </c>
    </row>
    <row r="639" customFormat="false" ht="15" hidden="false" customHeight="false" outlineLevel="0" collapsed="false">
      <c r="A639" s="4" t="s">
        <v>23</v>
      </c>
      <c r="B639" s="4" t="s">
        <v>66</v>
      </c>
      <c r="C639" s="4" t="n">
        <v>5</v>
      </c>
      <c r="D639" s="4" t="n">
        <v>1</v>
      </c>
      <c r="E639" s="4" t="s">
        <v>37</v>
      </c>
      <c r="F639" s="3" t="s">
        <v>299</v>
      </c>
      <c r="G639" s="3" t="s">
        <v>564</v>
      </c>
      <c r="H639" s="3" t="s">
        <v>298</v>
      </c>
    </row>
    <row r="640" customFormat="false" ht="15" hidden="false" customHeight="false" outlineLevel="0" collapsed="false">
      <c r="A640" s="4" t="s">
        <v>23</v>
      </c>
      <c r="B640" s="4" t="s">
        <v>66</v>
      </c>
      <c r="C640" s="4" t="n">
        <v>6</v>
      </c>
      <c r="D640" s="4" t="n">
        <v>1</v>
      </c>
      <c r="E640" s="4" t="s">
        <v>42</v>
      </c>
      <c r="F640" s="3" t="s">
        <v>15</v>
      </c>
      <c r="G640" s="3" t="s">
        <v>561</v>
      </c>
      <c r="H640" s="3" t="s">
        <v>51</v>
      </c>
    </row>
    <row r="641" customFormat="false" ht="15" hidden="false" customHeight="false" outlineLevel="0" collapsed="false">
      <c r="A641" s="4" t="s">
        <v>23</v>
      </c>
      <c r="B641" s="4" t="s">
        <v>66</v>
      </c>
      <c r="C641" s="4" t="n">
        <v>7</v>
      </c>
      <c r="D641" s="4" t="n">
        <v>1</v>
      </c>
      <c r="E641" s="4" t="s">
        <v>39</v>
      </c>
      <c r="F641" s="3" t="s">
        <v>164</v>
      </c>
      <c r="G641" s="3" t="s">
        <v>563</v>
      </c>
      <c r="H641" s="3" t="s">
        <v>329</v>
      </c>
    </row>
    <row r="642" customFormat="false" ht="15" hidden="false" customHeight="false" outlineLevel="0" collapsed="false">
      <c r="A642" s="4" t="s">
        <v>19</v>
      </c>
      <c r="B642" s="4" t="s">
        <v>12</v>
      </c>
      <c r="C642" s="4" t="n">
        <v>1</v>
      </c>
      <c r="D642" s="4" t="n">
        <v>1</v>
      </c>
      <c r="E642" s="4" t="s">
        <v>16</v>
      </c>
      <c r="F642" s="3" t="s">
        <v>72</v>
      </c>
      <c r="G642" s="3" t="s">
        <v>560</v>
      </c>
      <c r="H642" s="3" t="s">
        <v>322</v>
      </c>
    </row>
    <row r="643" customFormat="false" ht="15" hidden="false" customHeight="false" outlineLevel="0" collapsed="false">
      <c r="A643" s="4" t="s">
        <v>19</v>
      </c>
      <c r="B643" s="4" t="s">
        <v>12</v>
      </c>
      <c r="C643" s="4" t="n">
        <v>2</v>
      </c>
      <c r="D643" s="4" t="n">
        <v>1</v>
      </c>
      <c r="E643" s="4" t="s">
        <v>21</v>
      </c>
      <c r="F643" s="3" t="s">
        <v>15</v>
      </c>
      <c r="G643" s="3" t="s">
        <v>561</v>
      </c>
      <c r="H643" s="3" t="s">
        <v>20</v>
      </c>
    </row>
    <row r="644" customFormat="false" ht="15" hidden="false" customHeight="false" outlineLevel="0" collapsed="false">
      <c r="A644" s="4" t="s">
        <v>19</v>
      </c>
      <c r="B644" s="4" t="s">
        <v>12</v>
      </c>
      <c r="C644" s="4" t="n">
        <v>3</v>
      </c>
      <c r="D644" s="4" t="n">
        <v>1</v>
      </c>
      <c r="E644" s="4" t="s">
        <v>26</v>
      </c>
      <c r="F644" s="3" t="s">
        <v>388</v>
      </c>
      <c r="G644" s="3" t="s">
        <v>554</v>
      </c>
      <c r="H644" s="3" t="s">
        <v>387</v>
      </c>
    </row>
    <row r="645" customFormat="false" ht="15" hidden="false" customHeight="false" outlineLevel="0" collapsed="false">
      <c r="A645" s="4" t="s">
        <v>19</v>
      </c>
      <c r="B645" s="4" t="s">
        <v>12</v>
      </c>
      <c r="C645" s="4" t="n">
        <v>4</v>
      </c>
      <c r="D645" s="4" t="n">
        <v>2</v>
      </c>
      <c r="E645" s="4" t="s">
        <v>533</v>
      </c>
      <c r="F645" s="3" t="s">
        <v>222</v>
      </c>
      <c r="G645" s="3" t="s">
        <v>551</v>
      </c>
      <c r="H645" s="3" t="s">
        <v>390</v>
      </c>
    </row>
    <row r="646" customFormat="false" ht="15" hidden="false" customHeight="false" outlineLevel="0" collapsed="false">
      <c r="A646" s="4" t="s">
        <v>19</v>
      </c>
      <c r="B646" s="4" t="s">
        <v>12</v>
      </c>
      <c r="C646" s="4" t="n">
        <v>6</v>
      </c>
      <c r="D646" s="4" t="n">
        <v>1</v>
      </c>
      <c r="E646" s="4" t="s">
        <v>42</v>
      </c>
      <c r="F646" s="3" t="s">
        <v>126</v>
      </c>
      <c r="G646" s="3" t="s">
        <v>513</v>
      </c>
      <c r="H646" s="3" t="s">
        <v>133</v>
      </c>
    </row>
    <row r="647" customFormat="false" ht="15" hidden="false" customHeight="false" outlineLevel="0" collapsed="false">
      <c r="A647" s="4" t="s">
        <v>19</v>
      </c>
      <c r="B647" s="4" t="s">
        <v>12</v>
      </c>
      <c r="C647" s="4" t="n">
        <v>7</v>
      </c>
      <c r="D647" s="4" t="n">
        <v>1</v>
      </c>
      <c r="E647" s="4" t="s">
        <v>39</v>
      </c>
      <c r="F647" s="3" t="s">
        <v>164</v>
      </c>
      <c r="G647" s="3" t="s">
        <v>563</v>
      </c>
      <c r="H647" s="3" t="s">
        <v>33</v>
      </c>
    </row>
    <row r="648" customFormat="false" ht="15" hidden="false" customHeight="false" outlineLevel="0" collapsed="false">
      <c r="A648" s="4" t="s">
        <v>19</v>
      </c>
      <c r="B648" s="4" t="s">
        <v>31</v>
      </c>
      <c r="C648" s="4" t="n">
        <v>1</v>
      </c>
      <c r="D648" s="4" t="n">
        <v>1</v>
      </c>
      <c r="E648" s="4" t="s">
        <v>16</v>
      </c>
      <c r="F648" s="3" t="s">
        <v>99</v>
      </c>
      <c r="G648" s="3" t="s">
        <v>97</v>
      </c>
      <c r="H648" s="3" t="s">
        <v>109</v>
      </c>
    </row>
    <row r="649" customFormat="false" ht="15" hidden="false" customHeight="false" outlineLevel="0" collapsed="false">
      <c r="A649" s="4" t="s">
        <v>19</v>
      </c>
      <c r="B649" s="4" t="s">
        <v>31</v>
      </c>
      <c r="C649" s="4" t="n">
        <v>2</v>
      </c>
      <c r="D649" s="4" t="n">
        <v>1</v>
      </c>
      <c r="E649" s="4" t="s">
        <v>21</v>
      </c>
      <c r="F649" s="3" t="s">
        <v>164</v>
      </c>
      <c r="G649" s="3" t="s">
        <v>563</v>
      </c>
      <c r="H649" s="3" t="s">
        <v>33</v>
      </c>
    </row>
    <row r="650" customFormat="false" ht="15" hidden="false" customHeight="false" outlineLevel="0" collapsed="false">
      <c r="A650" s="4" t="s">
        <v>19</v>
      </c>
      <c r="B650" s="4" t="s">
        <v>31</v>
      </c>
      <c r="C650" s="4" t="n">
        <v>3</v>
      </c>
      <c r="D650" s="4" t="n">
        <v>1</v>
      </c>
      <c r="E650" s="4" t="s">
        <v>26</v>
      </c>
      <c r="F650" s="3" t="s">
        <v>72</v>
      </c>
      <c r="G650" s="3" t="s">
        <v>560</v>
      </c>
      <c r="H650" s="3" t="s">
        <v>326</v>
      </c>
    </row>
    <row r="651" customFormat="false" ht="15" hidden="false" customHeight="false" outlineLevel="0" collapsed="false">
      <c r="A651" s="4" t="s">
        <v>19</v>
      </c>
      <c r="B651" s="4" t="s">
        <v>31</v>
      </c>
      <c r="C651" s="4" t="n">
        <v>4</v>
      </c>
      <c r="D651" s="4" t="n">
        <v>1</v>
      </c>
      <c r="E651" s="4" t="s">
        <v>34</v>
      </c>
      <c r="F651" s="3" t="s">
        <v>15</v>
      </c>
      <c r="G651" s="3" t="s">
        <v>561</v>
      </c>
      <c r="H651" s="3" t="s">
        <v>33</v>
      </c>
    </row>
    <row r="652" customFormat="false" ht="15" hidden="false" customHeight="false" outlineLevel="0" collapsed="false">
      <c r="A652" s="4" t="s">
        <v>19</v>
      </c>
      <c r="B652" s="4" t="s">
        <v>31</v>
      </c>
      <c r="C652" s="4" t="n">
        <v>5</v>
      </c>
      <c r="D652" s="4" t="n">
        <v>1</v>
      </c>
      <c r="E652" s="4" t="s">
        <v>37</v>
      </c>
      <c r="F652" s="3" t="s">
        <v>36</v>
      </c>
      <c r="G652" s="3" t="s">
        <v>553</v>
      </c>
      <c r="H652" s="3" t="s">
        <v>35</v>
      </c>
    </row>
    <row r="653" customFormat="false" ht="15" hidden="false" customHeight="false" outlineLevel="0" collapsed="false">
      <c r="A653" s="4" t="s">
        <v>19</v>
      </c>
      <c r="B653" s="4" t="s">
        <v>31</v>
      </c>
      <c r="C653" s="4" t="n">
        <v>6</v>
      </c>
      <c r="D653" s="4" t="n">
        <v>1</v>
      </c>
      <c r="E653" s="4" t="s">
        <v>42</v>
      </c>
      <c r="F653" s="3" t="s">
        <v>296</v>
      </c>
      <c r="G653" s="3" t="s">
        <v>556</v>
      </c>
      <c r="H653" s="3" t="s">
        <v>297</v>
      </c>
    </row>
    <row r="654" customFormat="false" ht="15" hidden="false" customHeight="false" outlineLevel="0" collapsed="false">
      <c r="A654" s="4" t="s">
        <v>19</v>
      </c>
      <c r="B654" s="4" t="s">
        <v>31</v>
      </c>
      <c r="C654" s="4" t="n">
        <v>7</v>
      </c>
      <c r="D654" s="4" t="n">
        <v>1</v>
      </c>
      <c r="E654" s="4" t="s">
        <v>39</v>
      </c>
      <c r="F654" s="3" t="s">
        <v>126</v>
      </c>
      <c r="G654" s="3" t="s">
        <v>513</v>
      </c>
      <c r="H654" s="3" t="s">
        <v>134</v>
      </c>
    </row>
    <row r="655" customFormat="false" ht="15" hidden="false" customHeight="false" outlineLevel="0" collapsed="false">
      <c r="A655" s="4" t="s">
        <v>19</v>
      </c>
      <c r="B655" s="4" t="s">
        <v>40</v>
      </c>
      <c r="C655" s="4" t="n">
        <v>1</v>
      </c>
      <c r="D655" s="4" t="n">
        <v>1</v>
      </c>
      <c r="E655" s="4" t="s">
        <v>16</v>
      </c>
      <c r="F655" s="3" t="s">
        <v>72</v>
      </c>
      <c r="G655" s="3" t="s">
        <v>560</v>
      </c>
      <c r="H655" s="3" t="s">
        <v>33</v>
      </c>
    </row>
    <row r="656" customFormat="false" ht="15" hidden="false" customHeight="false" outlineLevel="0" collapsed="false">
      <c r="A656" s="4" t="s">
        <v>19</v>
      </c>
      <c r="B656" s="4" t="s">
        <v>40</v>
      </c>
      <c r="C656" s="4" t="n">
        <v>2</v>
      </c>
      <c r="D656" s="4" t="n">
        <v>1</v>
      </c>
      <c r="E656" s="4" t="s">
        <v>21</v>
      </c>
      <c r="F656" s="3" t="s">
        <v>164</v>
      </c>
      <c r="G656" s="3" t="s">
        <v>563</v>
      </c>
      <c r="H656" s="3" t="s">
        <v>419</v>
      </c>
    </row>
    <row r="657" customFormat="false" ht="15" hidden="false" customHeight="false" outlineLevel="0" collapsed="false">
      <c r="A657" s="4" t="s">
        <v>19</v>
      </c>
      <c r="B657" s="4" t="s">
        <v>40</v>
      </c>
      <c r="C657" s="4" t="n">
        <v>3</v>
      </c>
      <c r="D657" s="4" t="n">
        <v>1</v>
      </c>
      <c r="E657" s="4" t="s">
        <v>26</v>
      </c>
      <c r="F657" s="3" t="s">
        <v>126</v>
      </c>
      <c r="G657" s="3" t="s">
        <v>513</v>
      </c>
      <c r="H657" s="3" t="s">
        <v>125</v>
      </c>
    </row>
    <row r="658" customFormat="false" ht="15" hidden="false" customHeight="false" outlineLevel="0" collapsed="false">
      <c r="A658" s="4" t="s">
        <v>19</v>
      </c>
      <c r="B658" s="4" t="s">
        <v>40</v>
      </c>
      <c r="C658" s="4" t="n">
        <v>4</v>
      </c>
      <c r="D658" s="4" t="n">
        <v>2</v>
      </c>
      <c r="E658" s="4" t="s">
        <v>533</v>
      </c>
      <c r="F658" s="3" t="s">
        <v>432</v>
      </c>
      <c r="G658" s="3" t="s">
        <v>430</v>
      </c>
      <c r="H658" s="3" t="s">
        <v>431</v>
      </c>
    </row>
    <row r="659" customFormat="false" ht="15" hidden="false" customHeight="false" outlineLevel="0" collapsed="false">
      <c r="A659" s="4" t="s">
        <v>19</v>
      </c>
      <c r="B659" s="4" t="s">
        <v>40</v>
      </c>
      <c r="C659" s="4" t="n">
        <v>6</v>
      </c>
      <c r="D659" s="4" t="n">
        <v>1</v>
      </c>
      <c r="E659" s="4" t="s">
        <v>42</v>
      </c>
      <c r="F659" s="3" t="s">
        <v>15</v>
      </c>
      <c r="G659" s="3" t="s">
        <v>561</v>
      </c>
      <c r="H659" s="3" t="s">
        <v>33</v>
      </c>
    </row>
    <row r="660" customFormat="false" ht="15" hidden="false" customHeight="false" outlineLevel="0" collapsed="false">
      <c r="A660" s="4" t="s">
        <v>19</v>
      </c>
      <c r="B660" s="4" t="s">
        <v>40</v>
      </c>
      <c r="C660" s="4" t="n">
        <v>7</v>
      </c>
      <c r="D660" s="4" t="n">
        <v>1</v>
      </c>
      <c r="E660" s="4" t="s">
        <v>39</v>
      </c>
      <c r="F660" s="3" t="s">
        <v>369</v>
      </c>
      <c r="G660" s="3" t="s">
        <v>367</v>
      </c>
      <c r="H660" s="3" t="s">
        <v>368</v>
      </c>
    </row>
    <row r="661" customFormat="false" ht="15" hidden="false" customHeight="false" outlineLevel="0" collapsed="false">
      <c r="A661" s="4" t="s">
        <v>19</v>
      </c>
      <c r="B661" s="4" t="s">
        <v>44</v>
      </c>
      <c r="C661" s="4" t="n">
        <v>1</v>
      </c>
      <c r="D661" s="4" t="n">
        <v>1</v>
      </c>
      <c r="E661" s="4" t="s">
        <v>16</v>
      </c>
      <c r="F661" s="3" t="s">
        <v>15</v>
      </c>
      <c r="G661" s="3" t="s">
        <v>561</v>
      </c>
      <c r="H661" s="3" t="s">
        <v>33</v>
      </c>
    </row>
    <row r="662" customFormat="false" ht="15" hidden="false" customHeight="false" outlineLevel="0" collapsed="false">
      <c r="A662" s="4" t="s">
        <v>19</v>
      </c>
      <c r="B662" s="4" t="s">
        <v>44</v>
      </c>
      <c r="C662" s="4" t="n">
        <v>2</v>
      </c>
      <c r="D662" s="4" t="n">
        <v>1</v>
      </c>
      <c r="E662" s="4" t="s">
        <v>21</v>
      </c>
      <c r="F662" s="3" t="s">
        <v>437</v>
      </c>
      <c r="G662" s="3" t="s">
        <v>436</v>
      </c>
      <c r="H662" s="3" t="s">
        <v>109</v>
      </c>
    </row>
    <row r="663" customFormat="false" ht="15" hidden="false" customHeight="false" outlineLevel="0" collapsed="false">
      <c r="A663" s="4" t="s">
        <v>19</v>
      </c>
      <c r="B663" s="4" t="s">
        <v>44</v>
      </c>
      <c r="C663" s="4" t="n">
        <v>3</v>
      </c>
      <c r="D663" s="4" t="n">
        <v>1</v>
      </c>
      <c r="E663" s="4" t="s">
        <v>26</v>
      </c>
      <c r="F663" s="3" t="s">
        <v>72</v>
      </c>
      <c r="G663" s="3" t="s">
        <v>560</v>
      </c>
      <c r="H663" s="3" t="s">
        <v>33</v>
      </c>
    </row>
    <row r="664" customFormat="false" ht="15" hidden="false" customHeight="false" outlineLevel="0" collapsed="false">
      <c r="A664" s="4" t="s">
        <v>19</v>
      </c>
      <c r="B664" s="4" t="s">
        <v>44</v>
      </c>
      <c r="C664" s="4" t="n">
        <v>4</v>
      </c>
      <c r="D664" s="4" t="n">
        <v>1</v>
      </c>
      <c r="E664" s="4" t="s">
        <v>34</v>
      </c>
      <c r="F664" s="3" t="s">
        <v>296</v>
      </c>
      <c r="G664" s="3" t="s">
        <v>556</v>
      </c>
      <c r="H664" s="3" t="s">
        <v>297</v>
      </c>
    </row>
    <row r="665" customFormat="false" ht="15" hidden="false" customHeight="false" outlineLevel="0" collapsed="false">
      <c r="A665" s="4" t="s">
        <v>19</v>
      </c>
      <c r="B665" s="4" t="s">
        <v>44</v>
      </c>
      <c r="C665" s="4" t="n">
        <v>5</v>
      </c>
      <c r="D665" s="4" t="n">
        <v>1</v>
      </c>
      <c r="E665" s="4" t="s">
        <v>37</v>
      </c>
      <c r="F665" s="3" t="s">
        <v>36</v>
      </c>
      <c r="G665" s="3" t="s">
        <v>553</v>
      </c>
      <c r="H665" s="3" t="s">
        <v>35</v>
      </c>
    </row>
    <row r="666" customFormat="false" ht="15" hidden="false" customHeight="false" outlineLevel="0" collapsed="false">
      <c r="A666" s="4" t="s">
        <v>19</v>
      </c>
      <c r="B666" s="4" t="s">
        <v>44</v>
      </c>
      <c r="C666" s="4" t="n">
        <v>6</v>
      </c>
      <c r="D666" s="4" t="n">
        <v>1</v>
      </c>
      <c r="E666" s="4" t="s">
        <v>42</v>
      </c>
      <c r="F666" s="3" t="s">
        <v>350</v>
      </c>
      <c r="G666" s="3" t="s">
        <v>126</v>
      </c>
      <c r="H666" s="3" t="s">
        <v>109</v>
      </c>
    </row>
    <row r="667" customFormat="false" ht="15" hidden="false" customHeight="false" outlineLevel="0" collapsed="false">
      <c r="A667" s="4" t="s">
        <v>19</v>
      </c>
      <c r="B667" s="4" t="s">
        <v>44</v>
      </c>
      <c r="C667" s="4" t="n">
        <v>7</v>
      </c>
      <c r="D667" s="4" t="n">
        <v>1</v>
      </c>
      <c r="E667" s="4" t="s">
        <v>39</v>
      </c>
      <c r="F667" s="3" t="s">
        <v>164</v>
      </c>
      <c r="G667" s="3" t="s">
        <v>563</v>
      </c>
      <c r="H667" s="3" t="s">
        <v>420</v>
      </c>
    </row>
    <row r="668" customFormat="false" ht="15" hidden="false" customHeight="false" outlineLevel="0" collapsed="false">
      <c r="A668" s="4" t="s">
        <v>19</v>
      </c>
      <c r="B668" s="4" t="s">
        <v>47</v>
      </c>
      <c r="C668" s="4" t="n">
        <v>1</v>
      </c>
      <c r="D668" s="4" t="n">
        <v>1</v>
      </c>
      <c r="E668" s="4" t="s">
        <v>16</v>
      </c>
      <c r="F668" s="3" t="s">
        <v>126</v>
      </c>
      <c r="G668" s="3" t="s">
        <v>513</v>
      </c>
      <c r="H668" s="3" t="s">
        <v>109</v>
      </c>
    </row>
    <row r="669" customFormat="false" ht="15" hidden="false" customHeight="false" outlineLevel="0" collapsed="false">
      <c r="A669" s="4" t="s">
        <v>19</v>
      </c>
      <c r="B669" s="4" t="s">
        <v>47</v>
      </c>
      <c r="C669" s="4" t="n">
        <v>2</v>
      </c>
      <c r="D669" s="4" t="n">
        <v>1</v>
      </c>
      <c r="E669" s="4" t="s">
        <v>21</v>
      </c>
      <c r="F669" s="3" t="s">
        <v>350</v>
      </c>
      <c r="G669" s="3" t="s">
        <v>126</v>
      </c>
      <c r="H669" s="3" t="s">
        <v>109</v>
      </c>
    </row>
    <row r="670" customFormat="false" ht="15" hidden="false" customHeight="false" outlineLevel="0" collapsed="false">
      <c r="A670" s="4" t="s">
        <v>19</v>
      </c>
      <c r="B670" s="4" t="s">
        <v>47</v>
      </c>
      <c r="C670" s="4" t="n">
        <v>3</v>
      </c>
      <c r="D670" s="4" t="n">
        <v>1</v>
      </c>
      <c r="E670" s="4" t="s">
        <v>26</v>
      </c>
      <c r="F670" s="3" t="s">
        <v>15</v>
      </c>
      <c r="G670" s="3" t="s">
        <v>561</v>
      </c>
      <c r="H670" s="3" t="s">
        <v>48</v>
      </c>
    </row>
    <row r="671" customFormat="false" ht="15" hidden="false" customHeight="false" outlineLevel="0" collapsed="false">
      <c r="A671" s="4" t="s">
        <v>19</v>
      </c>
      <c r="B671" s="4" t="s">
        <v>47</v>
      </c>
      <c r="C671" s="4" t="n">
        <v>4</v>
      </c>
      <c r="D671" s="4" t="n">
        <v>1</v>
      </c>
      <c r="E671" s="4" t="s">
        <v>34</v>
      </c>
      <c r="F671" s="3" t="s">
        <v>72</v>
      </c>
      <c r="G671" s="3" t="s">
        <v>560</v>
      </c>
      <c r="H671" s="3" t="s">
        <v>33</v>
      </c>
    </row>
    <row r="672" customFormat="false" ht="15" hidden="false" customHeight="false" outlineLevel="0" collapsed="false">
      <c r="A672" s="4" t="s">
        <v>19</v>
      </c>
      <c r="B672" s="4" t="s">
        <v>47</v>
      </c>
      <c r="C672" s="4" t="n">
        <v>5</v>
      </c>
      <c r="D672" s="4" t="n">
        <v>1</v>
      </c>
      <c r="E672" s="4" t="s">
        <v>37</v>
      </c>
      <c r="F672" s="3" t="s">
        <v>285</v>
      </c>
      <c r="G672" s="3" t="s">
        <v>514</v>
      </c>
      <c r="H672" s="3" t="s">
        <v>109</v>
      </c>
    </row>
    <row r="673" customFormat="false" ht="15" hidden="false" customHeight="false" outlineLevel="0" collapsed="false">
      <c r="A673" s="4" t="s">
        <v>19</v>
      </c>
      <c r="B673" s="4" t="s">
        <v>47</v>
      </c>
      <c r="C673" s="4" t="n">
        <v>6</v>
      </c>
      <c r="D673" s="4" t="n">
        <v>2</v>
      </c>
      <c r="E673" s="4" t="s">
        <v>536</v>
      </c>
      <c r="F673" s="3" t="s">
        <v>164</v>
      </c>
      <c r="G673" s="3" t="s">
        <v>563</v>
      </c>
      <c r="H673" s="3" t="s">
        <v>421</v>
      </c>
    </row>
    <row r="674" customFormat="false" ht="15" hidden="false" customHeight="false" outlineLevel="0" collapsed="false">
      <c r="A674" s="4" t="s">
        <v>19</v>
      </c>
      <c r="B674" s="4" t="s">
        <v>50</v>
      </c>
      <c r="C674" s="4" t="n">
        <v>1</v>
      </c>
      <c r="D674" s="4" t="n">
        <v>1</v>
      </c>
      <c r="E674" s="4" t="s">
        <v>16</v>
      </c>
      <c r="F674" s="3" t="s">
        <v>285</v>
      </c>
      <c r="G674" s="3" t="s">
        <v>514</v>
      </c>
      <c r="H674" s="3" t="s">
        <v>109</v>
      </c>
    </row>
    <row r="675" customFormat="false" ht="15" hidden="false" customHeight="false" outlineLevel="0" collapsed="false">
      <c r="A675" s="4" t="s">
        <v>19</v>
      </c>
      <c r="B675" s="4" t="s">
        <v>50</v>
      </c>
      <c r="C675" s="4" t="n">
        <v>2</v>
      </c>
      <c r="D675" s="4" t="n">
        <v>1</v>
      </c>
      <c r="E675" s="4" t="s">
        <v>21</v>
      </c>
      <c r="F675" s="3" t="s">
        <v>15</v>
      </c>
      <c r="G675" s="3" t="s">
        <v>561</v>
      </c>
      <c r="H675" s="3" t="s">
        <v>51</v>
      </c>
    </row>
    <row r="676" customFormat="false" ht="15" hidden="false" customHeight="false" outlineLevel="0" collapsed="false">
      <c r="A676" s="4" t="s">
        <v>19</v>
      </c>
      <c r="B676" s="4" t="s">
        <v>50</v>
      </c>
      <c r="C676" s="4" t="n">
        <v>3</v>
      </c>
      <c r="D676" s="4" t="n">
        <v>1</v>
      </c>
      <c r="E676" s="4" t="s">
        <v>26</v>
      </c>
      <c r="F676" s="3" t="s">
        <v>72</v>
      </c>
      <c r="G676" s="3" t="s">
        <v>560</v>
      </c>
      <c r="H676" s="3" t="s">
        <v>329</v>
      </c>
    </row>
    <row r="677" customFormat="false" ht="15" hidden="false" customHeight="false" outlineLevel="0" collapsed="false">
      <c r="A677" s="4" t="s">
        <v>19</v>
      </c>
      <c r="B677" s="4" t="s">
        <v>50</v>
      </c>
      <c r="C677" s="4" t="n">
        <v>4</v>
      </c>
      <c r="D677" s="4" t="n">
        <v>1</v>
      </c>
      <c r="E677" s="4" t="s">
        <v>34</v>
      </c>
      <c r="F677" s="3" t="s">
        <v>126</v>
      </c>
      <c r="G677" s="3" t="s">
        <v>513</v>
      </c>
      <c r="H677" s="3" t="s">
        <v>109</v>
      </c>
    </row>
    <row r="678" customFormat="false" ht="15" hidden="false" customHeight="false" outlineLevel="0" collapsed="false">
      <c r="A678" s="4" t="s">
        <v>19</v>
      </c>
      <c r="B678" s="4" t="s">
        <v>50</v>
      </c>
      <c r="C678" s="4" t="n">
        <v>5</v>
      </c>
      <c r="D678" s="4" t="n">
        <v>1</v>
      </c>
      <c r="E678" s="4" t="s">
        <v>37</v>
      </c>
      <c r="F678" s="3" t="s">
        <v>164</v>
      </c>
      <c r="G678" s="3" t="s">
        <v>563</v>
      </c>
      <c r="H678" s="3" t="s">
        <v>422</v>
      </c>
    </row>
    <row r="679" customFormat="false" ht="15" hidden="false" customHeight="false" outlineLevel="0" collapsed="false">
      <c r="A679" s="4" t="s">
        <v>19</v>
      </c>
      <c r="B679" s="4" t="s">
        <v>50</v>
      </c>
      <c r="C679" s="4" t="n">
        <v>6</v>
      </c>
      <c r="D679" s="4" t="n">
        <v>1</v>
      </c>
      <c r="E679" s="4" t="s">
        <v>42</v>
      </c>
      <c r="F679" s="3" t="s">
        <v>299</v>
      </c>
      <c r="G679" s="3" t="s">
        <v>555</v>
      </c>
      <c r="H679" s="3" t="s">
        <v>298</v>
      </c>
    </row>
    <row r="680" customFormat="false" ht="15" hidden="false" customHeight="false" outlineLevel="0" collapsed="false">
      <c r="A680" s="4" t="s">
        <v>19</v>
      </c>
      <c r="B680" s="4" t="s">
        <v>50</v>
      </c>
      <c r="C680" s="4" t="n">
        <v>7</v>
      </c>
      <c r="D680" s="4" t="n">
        <v>1</v>
      </c>
      <c r="E680" s="4" t="s">
        <v>39</v>
      </c>
      <c r="F680" s="3" t="s">
        <v>299</v>
      </c>
      <c r="G680" s="3" t="s">
        <v>540</v>
      </c>
      <c r="H680" s="3" t="s">
        <v>298</v>
      </c>
    </row>
    <row r="681" customFormat="false" ht="15" hidden="false" customHeight="false" outlineLevel="0" collapsed="false">
      <c r="A681" s="4" t="s">
        <v>19</v>
      </c>
      <c r="B681" s="4" t="s">
        <v>60</v>
      </c>
      <c r="C681" s="4" t="n">
        <v>1</v>
      </c>
      <c r="D681" s="4" t="n">
        <v>1</v>
      </c>
      <c r="E681" s="4" t="s">
        <v>16</v>
      </c>
      <c r="F681" s="3" t="s">
        <v>72</v>
      </c>
      <c r="G681" s="3" t="s">
        <v>560</v>
      </c>
      <c r="H681" s="3" t="s">
        <v>20</v>
      </c>
    </row>
    <row r="682" customFormat="false" ht="15" hidden="false" customHeight="false" outlineLevel="0" collapsed="false">
      <c r="A682" s="4" t="s">
        <v>19</v>
      </c>
      <c r="B682" s="4" t="s">
        <v>60</v>
      </c>
      <c r="C682" s="4" t="n">
        <v>2</v>
      </c>
      <c r="D682" s="4" t="n">
        <v>1</v>
      </c>
      <c r="E682" s="4" t="s">
        <v>21</v>
      </c>
      <c r="F682" s="3" t="s">
        <v>126</v>
      </c>
      <c r="G682" s="3" t="s">
        <v>513</v>
      </c>
      <c r="H682" s="3" t="s">
        <v>125</v>
      </c>
    </row>
    <row r="683" customFormat="false" ht="15" hidden="false" customHeight="false" outlineLevel="0" collapsed="false">
      <c r="A683" s="4" t="s">
        <v>19</v>
      </c>
      <c r="B683" s="4" t="s">
        <v>60</v>
      </c>
      <c r="C683" s="4" t="n">
        <v>3</v>
      </c>
      <c r="D683" s="4" t="n">
        <v>1</v>
      </c>
      <c r="E683" s="4" t="s">
        <v>26</v>
      </c>
      <c r="F683" s="3" t="s">
        <v>99</v>
      </c>
      <c r="G683" s="3" t="s">
        <v>97</v>
      </c>
      <c r="H683" s="3" t="s">
        <v>109</v>
      </c>
    </row>
    <row r="684" customFormat="false" ht="15" hidden="false" customHeight="false" outlineLevel="0" collapsed="false">
      <c r="A684" s="4" t="s">
        <v>19</v>
      </c>
      <c r="B684" s="4" t="s">
        <v>60</v>
      </c>
      <c r="C684" s="4" t="n">
        <v>4</v>
      </c>
      <c r="D684" s="4" t="n">
        <v>1</v>
      </c>
      <c r="E684" s="4" t="s">
        <v>34</v>
      </c>
      <c r="F684" s="3" t="s">
        <v>164</v>
      </c>
      <c r="G684" s="3" t="s">
        <v>563</v>
      </c>
      <c r="H684" s="3" t="s">
        <v>423</v>
      </c>
    </row>
    <row r="685" customFormat="false" ht="15" hidden="false" customHeight="false" outlineLevel="0" collapsed="false">
      <c r="A685" s="4" t="s">
        <v>19</v>
      </c>
      <c r="B685" s="4" t="s">
        <v>60</v>
      </c>
      <c r="C685" s="4" t="n">
        <v>5</v>
      </c>
      <c r="D685" s="4" t="n">
        <v>1</v>
      </c>
      <c r="E685" s="4" t="s">
        <v>37</v>
      </c>
      <c r="F685" s="3" t="s">
        <v>36</v>
      </c>
      <c r="G685" s="3" t="s">
        <v>553</v>
      </c>
      <c r="H685" s="3" t="s">
        <v>35</v>
      </c>
    </row>
    <row r="686" customFormat="false" ht="15" hidden="false" customHeight="false" outlineLevel="0" collapsed="false">
      <c r="A686" s="4" t="s">
        <v>19</v>
      </c>
      <c r="B686" s="4" t="s">
        <v>60</v>
      </c>
      <c r="C686" s="4" t="n">
        <v>6</v>
      </c>
      <c r="D686" s="4" t="n">
        <v>1</v>
      </c>
      <c r="E686" s="4" t="s">
        <v>42</v>
      </c>
      <c r="F686" s="3" t="s">
        <v>437</v>
      </c>
      <c r="G686" s="3" t="s">
        <v>436</v>
      </c>
      <c r="H686" s="3" t="s">
        <v>109</v>
      </c>
    </row>
    <row r="687" customFormat="false" ht="15" hidden="false" customHeight="false" outlineLevel="0" collapsed="false">
      <c r="A687" s="4" t="s">
        <v>19</v>
      </c>
      <c r="B687" s="4" t="s">
        <v>60</v>
      </c>
      <c r="C687" s="4" t="n">
        <v>7</v>
      </c>
      <c r="D687" s="4" t="n">
        <v>1</v>
      </c>
      <c r="E687" s="4" t="s">
        <v>39</v>
      </c>
      <c r="F687" s="3" t="s">
        <v>15</v>
      </c>
      <c r="G687" s="3" t="s">
        <v>561</v>
      </c>
      <c r="H687" s="3" t="s">
        <v>62</v>
      </c>
    </row>
    <row r="688" customFormat="false" ht="15" hidden="false" customHeight="false" outlineLevel="0" collapsed="false">
      <c r="A688" s="4" t="s">
        <v>19</v>
      </c>
      <c r="B688" s="4" t="s">
        <v>63</v>
      </c>
      <c r="C688" s="4" t="n">
        <v>1</v>
      </c>
      <c r="D688" s="4" t="n">
        <v>1</v>
      </c>
      <c r="E688" s="4" t="s">
        <v>16</v>
      </c>
      <c r="F688" s="3" t="s">
        <v>126</v>
      </c>
      <c r="G688" s="3" t="s">
        <v>513</v>
      </c>
      <c r="H688" s="3" t="s">
        <v>133</v>
      </c>
    </row>
    <row r="689" customFormat="false" ht="15" hidden="false" customHeight="false" outlineLevel="0" collapsed="false">
      <c r="A689" s="4" t="s">
        <v>19</v>
      </c>
      <c r="B689" s="4" t="s">
        <v>63</v>
      </c>
      <c r="C689" s="4" t="n">
        <v>2</v>
      </c>
      <c r="D689" s="4" t="n">
        <v>1</v>
      </c>
      <c r="E689" s="4" t="s">
        <v>21</v>
      </c>
      <c r="F689" s="3" t="s">
        <v>15</v>
      </c>
      <c r="G689" s="3" t="s">
        <v>561</v>
      </c>
      <c r="H689" s="3" t="s">
        <v>48</v>
      </c>
    </row>
    <row r="690" customFormat="false" ht="15" hidden="false" customHeight="false" outlineLevel="0" collapsed="false">
      <c r="A690" s="4" t="s">
        <v>19</v>
      </c>
      <c r="B690" s="4" t="s">
        <v>63</v>
      </c>
      <c r="C690" s="4" t="n">
        <v>3</v>
      </c>
      <c r="D690" s="4" t="n">
        <v>1</v>
      </c>
      <c r="E690" s="4" t="s">
        <v>26</v>
      </c>
      <c r="F690" s="3" t="s">
        <v>72</v>
      </c>
      <c r="G690" s="3" t="s">
        <v>560</v>
      </c>
      <c r="H690" s="3" t="s">
        <v>334</v>
      </c>
    </row>
    <row r="691" customFormat="false" ht="15" hidden="false" customHeight="false" outlineLevel="0" collapsed="false">
      <c r="A691" s="4" t="s">
        <v>19</v>
      </c>
      <c r="B691" s="4" t="s">
        <v>63</v>
      </c>
      <c r="C691" s="4" t="n">
        <v>4</v>
      </c>
      <c r="D691" s="4" t="n">
        <v>2</v>
      </c>
      <c r="E691" s="4" t="s">
        <v>533</v>
      </c>
      <c r="F691" s="3" t="s">
        <v>432</v>
      </c>
      <c r="G691" s="3" t="s">
        <v>430</v>
      </c>
      <c r="H691" s="3" t="s">
        <v>431</v>
      </c>
    </row>
    <row r="692" customFormat="false" ht="15" hidden="false" customHeight="false" outlineLevel="0" collapsed="false">
      <c r="A692" s="4" t="s">
        <v>19</v>
      </c>
      <c r="B692" s="4" t="s">
        <v>63</v>
      </c>
      <c r="C692" s="4" t="n">
        <v>6</v>
      </c>
      <c r="D692" s="4" t="n">
        <v>2</v>
      </c>
      <c r="E692" s="4" t="s">
        <v>536</v>
      </c>
      <c r="F692" s="3" t="s">
        <v>388</v>
      </c>
      <c r="G692" s="3" t="s">
        <v>554</v>
      </c>
      <c r="H692" s="3" t="s">
        <v>387</v>
      </c>
    </row>
    <row r="693" customFormat="false" ht="15" hidden="false" customHeight="false" outlineLevel="0" collapsed="false">
      <c r="A693" s="4" t="s">
        <v>19</v>
      </c>
      <c r="B693" s="4" t="s">
        <v>65</v>
      </c>
      <c r="C693" s="4" t="n">
        <v>1</v>
      </c>
      <c r="D693" s="4" t="n">
        <v>1</v>
      </c>
      <c r="E693" s="4" t="s">
        <v>16</v>
      </c>
      <c r="F693" s="3" t="s">
        <v>72</v>
      </c>
      <c r="G693" s="3" t="s">
        <v>560</v>
      </c>
      <c r="H693" s="3" t="s">
        <v>51</v>
      </c>
    </row>
    <row r="694" customFormat="false" ht="15" hidden="false" customHeight="false" outlineLevel="0" collapsed="false">
      <c r="A694" s="4" t="s">
        <v>19</v>
      </c>
      <c r="B694" s="4" t="s">
        <v>65</v>
      </c>
      <c r="C694" s="4" t="n">
        <v>2</v>
      </c>
      <c r="D694" s="4" t="n">
        <v>1</v>
      </c>
      <c r="E694" s="4" t="s">
        <v>21</v>
      </c>
      <c r="F694" s="3" t="s">
        <v>350</v>
      </c>
      <c r="G694" s="3" t="s">
        <v>126</v>
      </c>
      <c r="H694" s="3" t="s">
        <v>109</v>
      </c>
    </row>
    <row r="695" customFormat="false" ht="15" hidden="false" customHeight="false" outlineLevel="0" collapsed="false">
      <c r="A695" s="4" t="s">
        <v>19</v>
      </c>
      <c r="B695" s="4" t="s">
        <v>65</v>
      </c>
      <c r="C695" s="4" t="n">
        <v>3</v>
      </c>
      <c r="D695" s="4" t="n">
        <v>1</v>
      </c>
      <c r="E695" s="4" t="s">
        <v>26</v>
      </c>
      <c r="F695" s="3" t="s">
        <v>126</v>
      </c>
      <c r="G695" s="3" t="s">
        <v>513</v>
      </c>
      <c r="H695" s="3" t="s">
        <v>125</v>
      </c>
    </row>
    <row r="696" customFormat="false" ht="15" hidden="false" customHeight="false" outlineLevel="0" collapsed="false">
      <c r="A696" s="4" t="s">
        <v>19</v>
      </c>
      <c r="B696" s="4" t="s">
        <v>65</v>
      </c>
      <c r="C696" s="4" t="n">
        <v>4</v>
      </c>
      <c r="D696" s="4" t="n">
        <v>1</v>
      </c>
      <c r="E696" s="4" t="s">
        <v>34</v>
      </c>
      <c r="F696" s="3" t="s">
        <v>164</v>
      </c>
      <c r="G696" s="3" t="s">
        <v>563</v>
      </c>
      <c r="H696" s="3" t="s">
        <v>322</v>
      </c>
    </row>
    <row r="697" customFormat="false" ht="15" hidden="false" customHeight="false" outlineLevel="0" collapsed="false">
      <c r="A697" s="4" t="s">
        <v>19</v>
      </c>
      <c r="B697" s="4" t="s">
        <v>65</v>
      </c>
      <c r="C697" s="4" t="n">
        <v>5</v>
      </c>
      <c r="D697" s="4" t="n">
        <v>1</v>
      </c>
      <c r="E697" s="4" t="s">
        <v>37</v>
      </c>
      <c r="F697" s="3" t="s">
        <v>36</v>
      </c>
      <c r="G697" s="3" t="s">
        <v>553</v>
      </c>
      <c r="H697" s="3" t="s">
        <v>35</v>
      </c>
    </row>
    <row r="698" customFormat="false" ht="15" hidden="false" customHeight="false" outlineLevel="0" collapsed="false">
      <c r="A698" s="4" t="s">
        <v>19</v>
      </c>
      <c r="B698" s="4" t="s">
        <v>65</v>
      </c>
      <c r="C698" s="4" t="n">
        <v>6</v>
      </c>
      <c r="D698" s="4" t="n">
        <v>1</v>
      </c>
      <c r="E698" s="4" t="s">
        <v>42</v>
      </c>
      <c r="F698" s="3" t="s">
        <v>99</v>
      </c>
      <c r="G698" s="3" t="s">
        <v>97</v>
      </c>
      <c r="H698" s="3" t="s">
        <v>109</v>
      </c>
    </row>
    <row r="699" customFormat="false" ht="15" hidden="false" customHeight="false" outlineLevel="0" collapsed="false">
      <c r="A699" s="4" t="s">
        <v>19</v>
      </c>
      <c r="B699" s="4" t="s">
        <v>65</v>
      </c>
      <c r="C699" s="4" t="n">
        <v>7</v>
      </c>
      <c r="D699" s="4" t="n">
        <v>1</v>
      </c>
      <c r="E699" s="4" t="s">
        <v>39</v>
      </c>
      <c r="F699" s="3" t="s">
        <v>369</v>
      </c>
      <c r="G699" s="3" t="s">
        <v>367</v>
      </c>
      <c r="H699" s="3" t="s">
        <v>368</v>
      </c>
    </row>
    <row r="700" customFormat="false" ht="15" hidden="false" customHeight="false" outlineLevel="0" collapsed="false">
      <c r="A700" s="4" t="s">
        <v>19</v>
      </c>
      <c r="B700" s="4" t="s">
        <v>66</v>
      </c>
      <c r="C700" s="4" t="n">
        <v>1</v>
      </c>
      <c r="D700" s="4" t="n">
        <v>2</v>
      </c>
      <c r="E700" s="4" t="s">
        <v>539</v>
      </c>
      <c r="F700" s="3" t="s">
        <v>72</v>
      </c>
      <c r="G700" s="3" t="s">
        <v>560</v>
      </c>
      <c r="H700" s="3" t="s">
        <v>33</v>
      </c>
    </row>
    <row r="701" customFormat="false" ht="15" hidden="false" customHeight="false" outlineLevel="0" collapsed="false">
      <c r="A701" s="4" t="s">
        <v>19</v>
      </c>
      <c r="B701" s="4" t="s">
        <v>66</v>
      </c>
      <c r="C701" s="4" t="n">
        <v>3</v>
      </c>
      <c r="D701" s="4" t="n">
        <v>1</v>
      </c>
      <c r="E701" s="4" t="s">
        <v>26</v>
      </c>
      <c r="F701" s="3" t="s">
        <v>285</v>
      </c>
      <c r="G701" s="3" t="s">
        <v>514</v>
      </c>
      <c r="H701" s="3" t="s">
        <v>109</v>
      </c>
    </row>
    <row r="702" customFormat="false" ht="15" hidden="false" customHeight="false" outlineLevel="0" collapsed="false">
      <c r="A702" s="4" t="s">
        <v>19</v>
      </c>
      <c r="B702" s="4" t="s">
        <v>66</v>
      </c>
      <c r="C702" s="4" t="n">
        <v>4</v>
      </c>
      <c r="D702" s="4" t="n">
        <v>1</v>
      </c>
      <c r="E702" s="4" t="s">
        <v>34</v>
      </c>
      <c r="F702" s="3" t="s">
        <v>437</v>
      </c>
      <c r="G702" s="3" t="s">
        <v>436</v>
      </c>
      <c r="H702" s="3" t="s">
        <v>109</v>
      </c>
    </row>
    <row r="703" customFormat="false" ht="15" hidden="false" customHeight="false" outlineLevel="0" collapsed="false">
      <c r="A703" s="4" t="s">
        <v>19</v>
      </c>
      <c r="B703" s="4" t="s">
        <v>66</v>
      </c>
      <c r="C703" s="4" t="n">
        <v>5</v>
      </c>
      <c r="D703" s="4" t="n">
        <v>1</v>
      </c>
      <c r="E703" s="4" t="s">
        <v>37</v>
      </c>
      <c r="F703" s="3" t="s">
        <v>126</v>
      </c>
      <c r="G703" s="3" t="s">
        <v>513</v>
      </c>
      <c r="H703" s="3" t="s">
        <v>109</v>
      </c>
    </row>
    <row r="704" customFormat="false" ht="15" hidden="false" customHeight="false" outlineLevel="0" collapsed="false">
      <c r="A704" s="4" t="s">
        <v>19</v>
      </c>
      <c r="B704" s="4" t="s">
        <v>66</v>
      </c>
      <c r="C704" s="4" t="n">
        <v>6</v>
      </c>
      <c r="D704" s="4" t="n">
        <v>1</v>
      </c>
      <c r="E704" s="4" t="s">
        <v>42</v>
      </c>
      <c r="F704" s="3" t="s">
        <v>15</v>
      </c>
      <c r="G704" s="3" t="s">
        <v>561</v>
      </c>
      <c r="H704" s="3" t="s">
        <v>51</v>
      </c>
    </row>
    <row r="705" customFormat="false" ht="15" hidden="false" customHeight="false" outlineLevel="0" collapsed="false">
      <c r="A705" s="4" t="s">
        <v>19</v>
      </c>
      <c r="B705" s="4" t="s">
        <v>66</v>
      </c>
      <c r="C705" s="4" t="n">
        <v>7</v>
      </c>
      <c r="D705" s="4" t="n">
        <v>1</v>
      </c>
      <c r="E705" s="4" t="s">
        <v>39</v>
      </c>
      <c r="F705" s="3" t="s">
        <v>164</v>
      </c>
      <c r="G705" s="3" t="s">
        <v>563</v>
      </c>
      <c r="H705" s="3" t="s">
        <v>329</v>
      </c>
    </row>
    <row r="706" customFormat="false" ht="15" hidden="false" customHeight="false" outlineLevel="0" collapsed="false">
      <c r="A706" s="4" t="s">
        <v>22</v>
      </c>
      <c r="B706" s="4" t="s">
        <v>12</v>
      </c>
      <c r="C706" s="4" t="n">
        <v>1</v>
      </c>
      <c r="D706" s="4" t="n">
        <v>1</v>
      </c>
      <c r="E706" s="4" t="s">
        <v>16</v>
      </c>
      <c r="F706" s="3" t="s">
        <v>72</v>
      </c>
      <c r="G706" s="3" t="s">
        <v>560</v>
      </c>
      <c r="H706" s="3" t="s">
        <v>322</v>
      </c>
    </row>
    <row r="707" customFormat="false" ht="15" hidden="false" customHeight="false" outlineLevel="0" collapsed="false">
      <c r="A707" s="4" t="s">
        <v>22</v>
      </c>
      <c r="B707" s="4" t="s">
        <v>12</v>
      </c>
      <c r="C707" s="4" t="n">
        <v>2</v>
      </c>
      <c r="D707" s="4" t="n">
        <v>1</v>
      </c>
      <c r="E707" s="4" t="s">
        <v>21</v>
      </c>
      <c r="F707" s="3" t="s">
        <v>15</v>
      </c>
      <c r="G707" s="3" t="s">
        <v>561</v>
      </c>
      <c r="H707" s="3" t="s">
        <v>20</v>
      </c>
    </row>
    <row r="708" customFormat="false" ht="15" hidden="false" customHeight="false" outlineLevel="0" collapsed="false">
      <c r="A708" s="4" t="s">
        <v>22</v>
      </c>
      <c r="B708" s="4" t="s">
        <v>12</v>
      </c>
      <c r="C708" s="4" t="n">
        <v>3</v>
      </c>
      <c r="D708" s="4" t="n">
        <v>1</v>
      </c>
      <c r="E708" s="4" t="s">
        <v>26</v>
      </c>
      <c r="F708" s="3" t="s">
        <v>388</v>
      </c>
      <c r="G708" s="3" t="s">
        <v>554</v>
      </c>
      <c r="H708" s="3" t="s">
        <v>387</v>
      </c>
    </row>
    <row r="709" customFormat="false" ht="15" hidden="false" customHeight="false" outlineLevel="0" collapsed="false">
      <c r="A709" s="4" t="s">
        <v>22</v>
      </c>
      <c r="B709" s="4" t="s">
        <v>12</v>
      </c>
      <c r="C709" s="4" t="n">
        <v>4</v>
      </c>
      <c r="D709" s="4" t="n">
        <v>2</v>
      </c>
      <c r="E709" s="4" t="s">
        <v>533</v>
      </c>
      <c r="F709" s="3" t="s">
        <v>222</v>
      </c>
      <c r="G709" s="3" t="s">
        <v>551</v>
      </c>
      <c r="H709" s="3" t="s">
        <v>390</v>
      </c>
    </row>
    <row r="710" customFormat="false" ht="15" hidden="false" customHeight="false" outlineLevel="0" collapsed="false">
      <c r="A710" s="4" t="s">
        <v>22</v>
      </c>
      <c r="B710" s="4" t="s">
        <v>12</v>
      </c>
      <c r="C710" s="4" t="n">
        <v>6</v>
      </c>
      <c r="D710" s="4" t="n">
        <v>1</v>
      </c>
      <c r="E710" s="4" t="s">
        <v>42</v>
      </c>
      <c r="F710" s="3" t="s">
        <v>126</v>
      </c>
      <c r="G710" s="3" t="s">
        <v>338</v>
      </c>
      <c r="H710" s="3" t="s">
        <v>125</v>
      </c>
    </row>
    <row r="711" customFormat="false" ht="15" hidden="false" customHeight="false" outlineLevel="0" collapsed="false">
      <c r="A711" s="4" t="s">
        <v>22</v>
      </c>
      <c r="B711" s="4" t="s">
        <v>12</v>
      </c>
      <c r="C711" s="4" t="n">
        <v>7</v>
      </c>
      <c r="D711" s="4" t="n">
        <v>1</v>
      </c>
      <c r="E711" s="4" t="s">
        <v>39</v>
      </c>
      <c r="F711" s="3" t="s">
        <v>164</v>
      </c>
      <c r="G711" s="3" t="s">
        <v>563</v>
      </c>
      <c r="H711" s="3" t="s">
        <v>33</v>
      </c>
    </row>
    <row r="712" customFormat="false" ht="15" hidden="false" customHeight="false" outlineLevel="0" collapsed="false">
      <c r="A712" s="4" t="s">
        <v>22</v>
      </c>
      <c r="B712" s="4" t="s">
        <v>31</v>
      </c>
      <c r="C712" s="4" t="n">
        <v>1</v>
      </c>
      <c r="D712" s="4" t="n">
        <v>1</v>
      </c>
      <c r="E712" s="4" t="s">
        <v>16</v>
      </c>
      <c r="F712" s="3" t="s">
        <v>126</v>
      </c>
      <c r="G712" s="3" t="s">
        <v>338</v>
      </c>
      <c r="H712" s="3" t="s">
        <v>125</v>
      </c>
    </row>
    <row r="713" customFormat="false" ht="15" hidden="false" customHeight="false" outlineLevel="0" collapsed="false">
      <c r="A713" s="4" t="s">
        <v>22</v>
      </c>
      <c r="B713" s="4" t="s">
        <v>31</v>
      </c>
      <c r="C713" s="4" t="n">
        <v>2</v>
      </c>
      <c r="D713" s="4" t="n">
        <v>1</v>
      </c>
      <c r="E713" s="4" t="s">
        <v>21</v>
      </c>
      <c r="F713" s="3" t="s">
        <v>164</v>
      </c>
      <c r="G713" s="3" t="s">
        <v>563</v>
      </c>
      <c r="H713" s="3" t="s">
        <v>33</v>
      </c>
    </row>
    <row r="714" customFormat="false" ht="15" hidden="false" customHeight="false" outlineLevel="0" collapsed="false">
      <c r="A714" s="4" t="s">
        <v>22</v>
      </c>
      <c r="B714" s="4" t="s">
        <v>31</v>
      </c>
      <c r="C714" s="4" t="n">
        <v>3</v>
      </c>
      <c r="D714" s="4" t="n">
        <v>1</v>
      </c>
      <c r="E714" s="4" t="s">
        <v>26</v>
      </c>
      <c r="F714" s="3" t="s">
        <v>72</v>
      </c>
      <c r="G714" s="3" t="s">
        <v>560</v>
      </c>
      <c r="H714" s="3" t="s">
        <v>326</v>
      </c>
    </row>
    <row r="715" customFormat="false" ht="15" hidden="false" customHeight="false" outlineLevel="0" collapsed="false">
      <c r="A715" s="4" t="s">
        <v>22</v>
      </c>
      <c r="B715" s="4" t="s">
        <v>31</v>
      </c>
      <c r="C715" s="4" t="n">
        <v>4</v>
      </c>
      <c r="D715" s="4" t="n">
        <v>1</v>
      </c>
      <c r="E715" s="4" t="s">
        <v>34</v>
      </c>
      <c r="F715" s="3" t="s">
        <v>15</v>
      </c>
      <c r="G715" s="3" t="s">
        <v>561</v>
      </c>
      <c r="H715" s="3" t="s">
        <v>33</v>
      </c>
    </row>
    <row r="716" customFormat="false" ht="15" hidden="false" customHeight="false" outlineLevel="0" collapsed="false">
      <c r="A716" s="4" t="s">
        <v>22</v>
      </c>
      <c r="B716" s="4" t="s">
        <v>31</v>
      </c>
      <c r="C716" s="4" t="n">
        <v>5</v>
      </c>
      <c r="D716" s="4" t="n">
        <v>1</v>
      </c>
      <c r="E716" s="4" t="s">
        <v>37</v>
      </c>
      <c r="F716" s="3" t="s">
        <v>36</v>
      </c>
      <c r="G716" s="3" t="s">
        <v>553</v>
      </c>
      <c r="H716" s="3" t="s">
        <v>35</v>
      </c>
    </row>
    <row r="717" customFormat="false" ht="15" hidden="false" customHeight="false" outlineLevel="0" collapsed="false">
      <c r="A717" s="4" t="s">
        <v>22</v>
      </c>
      <c r="B717" s="4" t="s">
        <v>31</v>
      </c>
      <c r="C717" s="4" t="n">
        <v>6</v>
      </c>
      <c r="D717" s="4" t="n">
        <v>2</v>
      </c>
      <c r="E717" s="4" t="s">
        <v>536</v>
      </c>
      <c r="F717" s="3" t="s">
        <v>463</v>
      </c>
      <c r="G717" s="3" t="s">
        <v>565</v>
      </c>
      <c r="H717" s="3" t="s">
        <v>462</v>
      </c>
    </row>
    <row r="718" customFormat="false" ht="15" hidden="false" customHeight="false" outlineLevel="0" collapsed="false">
      <c r="A718" s="4" t="s">
        <v>22</v>
      </c>
      <c r="B718" s="4" t="s">
        <v>40</v>
      </c>
      <c r="C718" s="4" t="n">
        <v>1</v>
      </c>
      <c r="D718" s="4" t="n">
        <v>1</v>
      </c>
      <c r="E718" s="4" t="s">
        <v>16</v>
      </c>
      <c r="F718" s="3" t="s">
        <v>72</v>
      </c>
      <c r="G718" s="3" t="s">
        <v>560</v>
      </c>
      <c r="H718" s="3" t="s">
        <v>33</v>
      </c>
    </row>
    <row r="719" customFormat="false" ht="15" hidden="false" customHeight="false" outlineLevel="0" collapsed="false">
      <c r="A719" s="4" t="s">
        <v>22</v>
      </c>
      <c r="B719" s="4" t="s">
        <v>40</v>
      </c>
      <c r="C719" s="4" t="n">
        <v>2</v>
      </c>
      <c r="D719" s="4" t="n">
        <v>1</v>
      </c>
      <c r="E719" s="4" t="s">
        <v>21</v>
      </c>
      <c r="F719" s="3" t="s">
        <v>164</v>
      </c>
      <c r="G719" s="3" t="s">
        <v>563</v>
      </c>
      <c r="H719" s="3" t="s">
        <v>419</v>
      </c>
    </row>
    <row r="720" customFormat="false" ht="15" hidden="false" customHeight="false" outlineLevel="0" collapsed="false">
      <c r="A720" s="4" t="s">
        <v>22</v>
      </c>
      <c r="B720" s="4" t="s">
        <v>40</v>
      </c>
      <c r="C720" s="4" t="n">
        <v>3</v>
      </c>
      <c r="D720" s="4" t="n">
        <v>1</v>
      </c>
      <c r="E720" s="4" t="s">
        <v>26</v>
      </c>
      <c r="F720" s="3" t="s">
        <v>285</v>
      </c>
      <c r="G720" s="3" t="s">
        <v>361</v>
      </c>
      <c r="H720" s="3" t="s">
        <v>341</v>
      </c>
    </row>
    <row r="721" customFormat="false" ht="15" hidden="false" customHeight="false" outlineLevel="0" collapsed="false">
      <c r="A721" s="4" t="s">
        <v>22</v>
      </c>
      <c r="B721" s="4" t="s">
        <v>40</v>
      </c>
      <c r="C721" s="4" t="n">
        <v>4</v>
      </c>
      <c r="D721" s="4" t="n">
        <v>1</v>
      </c>
      <c r="E721" s="4" t="s">
        <v>34</v>
      </c>
      <c r="F721" s="3" t="s">
        <v>126</v>
      </c>
      <c r="G721" s="3" t="s">
        <v>338</v>
      </c>
      <c r="H721" s="3" t="s">
        <v>125</v>
      </c>
    </row>
    <row r="722" customFormat="false" ht="15" hidden="false" customHeight="false" outlineLevel="0" collapsed="false">
      <c r="A722" s="4" t="s">
        <v>22</v>
      </c>
      <c r="B722" s="4" t="s">
        <v>40</v>
      </c>
      <c r="C722" s="4" t="n">
        <v>5</v>
      </c>
      <c r="D722" s="4" t="n">
        <v>1</v>
      </c>
      <c r="E722" s="4" t="s">
        <v>37</v>
      </c>
      <c r="F722" s="3" t="s">
        <v>99</v>
      </c>
      <c r="G722" s="3" t="s">
        <v>433</v>
      </c>
      <c r="H722" s="3" t="s">
        <v>341</v>
      </c>
    </row>
    <row r="723" customFormat="false" ht="15" hidden="false" customHeight="false" outlineLevel="0" collapsed="false">
      <c r="A723" s="4" t="s">
        <v>22</v>
      </c>
      <c r="B723" s="4" t="s">
        <v>40</v>
      </c>
      <c r="C723" s="4" t="n">
        <v>6</v>
      </c>
      <c r="D723" s="4" t="n">
        <v>1</v>
      </c>
      <c r="E723" s="4" t="s">
        <v>42</v>
      </c>
      <c r="F723" s="3" t="s">
        <v>15</v>
      </c>
      <c r="G723" s="3" t="s">
        <v>561</v>
      </c>
      <c r="H723" s="3" t="s">
        <v>33</v>
      </c>
    </row>
    <row r="724" customFormat="false" ht="15" hidden="false" customHeight="false" outlineLevel="0" collapsed="false">
      <c r="A724" s="4" t="s">
        <v>22</v>
      </c>
      <c r="B724" s="4" t="s">
        <v>40</v>
      </c>
      <c r="C724" s="4" t="n">
        <v>7</v>
      </c>
      <c r="D724" s="4" t="n">
        <v>1</v>
      </c>
      <c r="E724" s="4" t="s">
        <v>39</v>
      </c>
      <c r="F724" s="3" t="s">
        <v>437</v>
      </c>
      <c r="G724" s="3" t="s">
        <v>436</v>
      </c>
      <c r="H724" s="3" t="s">
        <v>341</v>
      </c>
    </row>
    <row r="725" customFormat="false" ht="15" hidden="false" customHeight="false" outlineLevel="0" collapsed="false">
      <c r="A725" s="4" t="s">
        <v>22</v>
      </c>
      <c r="B725" s="4" t="s">
        <v>44</v>
      </c>
      <c r="C725" s="4" t="n">
        <v>1</v>
      </c>
      <c r="D725" s="4" t="n">
        <v>1</v>
      </c>
      <c r="E725" s="4" t="s">
        <v>16</v>
      </c>
      <c r="F725" s="3" t="s">
        <v>15</v>
      </c>
      <c r="G725" s="3" t="s">
        <v>561</v>
      </c>
      <c r="H725" s="3" t="s">
        <v>33</v>
      </c>
    </row>
    <row r="726" customFormat="false" ht="15" hidden="false" customHeight="false" outlineLevel="0" collapsed="false">
      <c r="A726" s="4" t="s">
        <v>22</v>
      </c>
      <c r="B726" s="4" t="s">
        <v>44</v>
      </c>
      <c r="C726" s="4" t="n">
        <v>2</v>
      </c>
      <c r="D726" s="4" t="n">
        <v>1</v>
      </c>
      <c r="E726" s="4" t="s">
        <v>21</v>
      </c>
      <c r="F726" s="3" t="s">
        <v>126</v>
      </c>
      <c r="G726" s="3" t="s">
        <v>338</v>
      </c>
      <c r="H726" s="3" t="s">
        <v>341</v>
      </c>
    </row>
    <row r="727" customFormat="false" ht="15" hidden="false" customHeight="false" outlineLevel="0" collapsed="false">
      <c r="A727" s="4" t="s">
        <v>22</v>
      </c>
      <c r="B727" s="4" t="s">
        <v>44</v>
      </c>
      <c r="C727" s="4" t="n">
        <v>3</v>
      </c>
      <c r="D727" s="4" t="n">
        <v>1</v>
      </c>
      <c r="E727" s="4" t="s">
        <v>26</v>
      </c>
      <c r="F727" s="3" t="s">
        <v>72</v>
      </c>
      <c r="G727" s="3" t="s">
        <v>560</v>
      </c>
      <c r="H727" s="3" t="s">
        <v>33</v>
      </c>
    </row>
    <row r="728" customFormat="false" ht="15" hidden="false" customHeight="false" outlineLevel="0" collapsed="false">
      <c r="A728" s="4" t="s">
        <v>22</v>
      </c>
      <c r="B728" s="4" t="s">
        <v>44</v>
      </c>
      <c r="C728" s="4" t="n">
        <v>4</v>
      </c>
      <c r="D728" s="4" t="n">
        <v>1</v>
      </c>
      <c r="E728" s="4" t="s">
        <v>34</v>
      </c>
      <c r="F728" s="3" t="s">
        <v>369</v>
      </c>
      <c r="G728" s="3" t="s">
        <v>417</v>
      </c>
      <c r="H728" s="3" t="s">
        <v>368</v>
      </c>
    </row>
    <row r="729" customFormat="false" ht="15" hidden="false" customHeight="false" outlineLevel="0" collapsed="false">
      <c r="A729" s="4" t="s">
        <v>22</v>
      </c>
      <c r="B729" s="4" t="s">
        <v>44</v>
      </c>
      <c r="C729" s="4" t="n">
        <v>5</v>
      </c>
      <c r="D729" s="4" t="n">
        <v>1</v>
      </c>
      <c r="E729" s="4" t="s">
        <v>37</v>
      </c>
      <c r="F729" s="3" t="s">
        <v>36</v>
      </c>
      <c r="G729" s="3" t="s">
        <v>553</v>
      </c>
      <c r="H729" s="3" t="s">
        <v>35</v>
      </c>
    </row>
    <row r="730" customFormat="false" ht="15" hidden="false" customHeight="false" outlineLevel="0" collapsed="false">
      <c r="A730" s="4" t="s">
        <v>22</v>
      </c>
      <c r="B730" s="4" t="s">
        <v>44</v>
      </c>
      <c r="C730" s="4" t="n">
        <v>6</v>
      </c>
      <c r="D730" s="4" t="n">
        <v>1</v>
      </c>
      <c r="E730" s="4" t="s">
        <v>42</v>
      </c>
      <c r="F730" s="3" t="s">
        <v>350</v>
      </c>
      <c r="G730" s="3" t="s">
        <v>347</v>
      </c>
      <c r="H730" s="3" t="s">
        <v>341</v>
      </c>
    </row>
    <row r="731" customFormat="false" ht="15" hidden="false" customHeight="false" outlineLevel="0" collapsed="false">
      <c r="A731" s="4" t="s">
        <v>22</v>
      </c>
      <c r="B731" s="4" t="s">
        <v>44</v>
      </c>
      <c r="C731" s="4" t="n">
        <v>7</v>
      </c>
      <c r="D731" s="4" t="n">
        <v>1</v>
      </c>
      <c r="E731" s="4" t="s">
        <v>39</v>
      </c>
      <c r="F731" s="3" t="s">
        <v>164</v>
      </c>
      <c r="G731" s="3" t="s">
        <v>563</v>
      </c>
      <c r="H731" s="3" t="s">
        <v>420</v>
      </c>
    </row>
    <row r="732" customFormat="false" ht="15" hidden="false" customHeight="false" outlineLevel="0" collapsed="false">
      <c r="A732" s="4" t="s">
        <v>22</v>
      </c>
      <c r="B732" s="4" t="s">
        <v>47</v>
      </c>
      <c r="C732" s="4" t="n">
        <v>1</v>
      </c>
      <c r="D732" s="4" t="n">
        <v>1</v>
      </c>
      <c r="E732" s="4" t="s">
        <v>16</v>
      </c>
      <c r="F732" s="3" t="s">
        <v>299</v>
      </c>
      <c r="G732" s="3" t="s">
        <v>555</v>
      </c>
      <c r="H732" s="3" t="s">
        <v>298</v>
      </c>
    </row>
    <row r="733" customFormat="false" ht="15" hidden="false" customHeight="false" outlineLevel="0" collapsed="false">
      <c r="A733" s="4" t="s">
        <v>22</v>
      </c>
      <c r="B733" s="4" t="s">
        <v>47</v>
      </c>
      <c r="C733" s="4" t="n">
        <v>2</v>
      </c>
      <c r="D733" s="4" t="n">
        <v>1</v>
      </c>
      <c r="E733" s="4" t="s">
        <v>21</v>
      </c>
      <c r="F733" s="3" t="s">
        <v>299</v>
      </c>
      <c r="G733" s="3" t="s">
        <v>541</v>
      </c>
      <c r="H733" s="3" t="s">
        <v>298</v>
      </c>
    </row>
    <row r="734" customFormat="false" ht="15" hidden="false" customHeight="false" outlineLevel="0" collapsed="false">
      <c r="A734" s="4" t="s">
        <v>22</v>
      </c>
      <c r="B734" s="4" t="s">
        <v>47</v>
      </c>
      <c r="C734" s="4" t="n">
        <v>3</v>
      </c>
      <c r="D734" s="4" t="n">
        <v>1</v>
      </c>
      <c r="E734" s="4" t="s">
        <v>26</v>
      </c>
      <c r="F734" s="3" t="s">
        <v>15</v>
      </c>
      <c r="G734" s="3" t="s">
        <v>561</v>
      </c>
      <c r="H734" s="3" t="s">
        <v>48</v>
      </c>
    </row>
    <row r="735" customFormat="false" ht="15" hidden="false" customHeight="false" outlineLevel="0" collapsed="false">
      <c r="A735" s="4" t="s">
        <v>22</v>
      </c>
      <c r="B735" s="4" t="s">
        <v>47</v>
      </c>
      <c r="C735" s="4" t="n">
        <v>4</v>
      </c>
      <c r="D735" s="4" t="n">
        <v>1</v>
      </c>
      <c r="E735" s="4" t="s">
        <v>34</v>
      </c>
      <c r="F735" s="3" t="s">
        <v>72</v>
      </c>
      <c r="G735" s="3" t="s">
        <v>560</v>
      </c>
      <c r="H735" s="3" t="s">
        <v>33</v>
      </c>
    </row>
    <row r="736" customFormat="false" ht="15" hidden="false" customHeight="false" outlineLevel="0" collapsed="false">
      <c r="A736" s="4" t="s">
        <v>22</v>
      </c>
      <c r="B736" s="4" t="s">
        <v>47</v>
      </c>
      <c r="C736" s="4" t="n">
        <v>5</v>
      </c>
      <c r="D736" s="4" t="n">
        <v>1</v>
      </c>
      <c r="E736" s="4" t="s">
        <v>37</v>
      </c>
      <c r="F736" s="3" t="s">
        <v>126</v>
      </c>
      <c r="G736" s="3" t="s">
        <v>338</v>
      </c>
      <c r="H736" s="3" t="s">
        <v>133</v>
      </c>
    </row>
    <row r="737" customFormat="false" ht="15" hidden="false" customHeight="false" outlineLevel="0" collapsed="false">
      <c r="A737" s="4" t="s">
        <v>22</v>
      </c>
      <c r="B737" s="4" t="s">
        <v>47</v>
      </c>
      <c r="C737" s="4" t="n">
        <v>6</v>
      </c>
      <c r="D737" s="4" t="n">
        <v>2</v>
      </c>
      <c r="E737" s="4" t="s">
        <v>536</v>
      </c>
      <c r="F737" s="3" t="s">
        <v>164</v>
      </c>
      <c r="G737" s="3" t="s">
        <v>563</v>
      </c>
      <c r="H737" s="3" t="s">
        <v>421</v>
      </c>
    </row>
    <row r="738" customFormat="false" ht="15" hidden="false" customHeight="false" outlineLevel="0" collapsed="false">
      <c r="A738" s="4" t="s">
        <v>22</v>
      </c>
      <c r="B738" s="4" t="s">
        <v>50</v>
      </c>
      <c r="C738" s="4" t="n">
        <v>1</v>
      </c>
      <c r="D738" s="4" t="n">
        <v>1</v>
      </c>
      <c r="E738" s="4" t="s">
        <v>16</v>
      </c>
      <c r="F738" s="3" t="s">
        <v>126</v>
      </c>
      <c r="G738" s="3" t="s">
        <v>338</v>
      </c>
      <c r="H738" s="3" t="s">
        <v>341</v>
      </c>
    </row>
    <row r="739" customFormat="false" ht="15" hidden="false" customHeight="false" outlineLevel="0" collapsed="false">
      <c r="A739" s="4" t="s">
        <v>22</v>
      </c>
      <c r="B739" s="4" t="s">
        <v>50</v>
      </c>
      <c r="C739" s="4" t="n">
        <v>2</v>
      </c>
      <c r="D739" s="4" t="n">
        <v>1</v>
      </c>
      <c r="E739" s="4" t="s">
        <v>21</v>
      </c>
      <c r="F739" s="3" t="s">
        <v>15</v>
      </c>
      <c r="G739" s="3" t="s">
        <v>561</v>
      </c>
      <c r="H739" s="3" t="s">
        <v>51</v>
      </c>
    </row>
    <row r="740" customFormat="false" ht="15" hidden="false" customHeight="false" outlineLevel="0" collapsed="false">
      <c r="A740" s="4" t="s">
        <v>22</v>
      </c>
      <c r="B740" s="4" t="s">
        <v>50</v>
      </c>
      <c r="C740" s="4" t="n">
        <v>3</v>
      </c>
      <c r="D740" s="4" t="n">
        <v>1</v>
      </c>
      <c r="E740" s="4" t="s">
        <v>26</v>
      </c>
      <c r="F740" s="3" t="s">
        <v>72</v>
      </c>
      <c r="G740" s="3" t="s">
        <v>560</v>
      </c>
      <c r="H740" s="3" t="s">
        <v>329</v>
      </c>
    </row>
    <row r="741" customFormat="false" ht="15" hidden="false" customHeight="false" outlineLevel="0" collapsed="false">
      <c r="A741" s="4" t="s">
        <v>22</v>
      </c>
      <c r="B741" s="4" t="s">
        <v>50</v>
      </c>
      <c r="C741" s="4" t="n">
        <v>4</v>
      </c>
      <c r="D741" s="4" t="n">
        <v>1</v>
      </c>
      <c r="E741" s="4" t="s">
        <v>34</v>
      </c>
      <c r="F741" s="3" t="s">
        <v>285</v>
      </c>
      <c r="G741" s="3" t="s">
        <v>361</v>
      </c>
      <c r="H741" s="3" t="s">
        <v>341</v>
      </c>
    </row>
    <row r="742" customFormat="false" ht="15" hidden="false" customHeight="false" outlineLevel="0" collapsed="false">
      <c r="A742" s="4" t="s">
        <v>22</v>
      </c>
      <c r="B742" s="4" t="s">
        <v>50</v>
      </c>
      <c r="C742" s="4" t="n">
        <v>5</v>
      </c>
      <c r="D742" s="4" t="n">
        <v>1</v>
      </c>
      <c r="E742" s="4" t="s">
        <v>37</v>
      </c>
      <c r="F742" s="3" t="s">
        <v>164</v>
      </c>
      <c r="G742" s="3" t="s">
        <v>563</v>
      </c>
      <c r="H742" s="3" t="s">
        <v>422</v>
      </c>
    </row>
    <row r="743" customFormat="false" ht="15" hidden="false" customHeight="false" outlineLevel="0" collapsed="false">
      <c r="A743" s="4" t="s">
        <v>22</v>
      </c>
      <c r="B743" s="4" t="s">
        <v>50</v>
      </c>
      <c r="C743" s="4" t="n">
        <v>6</v>
      </c>
      <c r="D743" s="4" t="n">
        <v>2</v>
      </c>
      <c r="E743" s="4" t="s">
        <v>536</v>
      </c>
      <c r="F743" s="3" t="s">
        <v>463</v>
      </c>
      <c r="G743" s="3" t="s">
        <v>565</v>
      </c>
      <c r="H743" s="3" t="s">
        <v>462</v>
      </c>
    </row>
    <row r="744" customFormat="false" ht="15" hidden="false" customHeight="false" outlineLevel="0" collapsed="false">
      <c r="A744" s="4" t="s">
        <v>22</v>
      </c>
      <c r="B744" s="4" t="s">
        <v>60</v>
      </c>
      <c r="C744" s="4" t="n">
        <v>1</v>
      </c>
      <c r="D744" s="4" t="n">
        <v>1</v>
      </c>
      <c r="E744" s="4" t="s">
        <v>16</v>
      </c>
      <c r="F744" s="3" t="s">
        <v>72</v>
      </c>
      <c r="G744" s="3" t="s">
        <v>560</v>
      </c>
      <c r="H744" s="3" t="s">
        <v>20</v>
      </c>
    </row>
    <row r="745" customFormat="false" ht="15" hidden="false" customHeight="false" outlineLevel="0" collapsed="false">
      <c r="A745" s="4" t="s">
        <v>22</v>
      </c>
      <c r="B745" s="4" t="s">
        <v>60</v>
      </c>
      <c r="C745" s="4" t="n">
        <v>2</v>
      </c>
      <c r="D745" s="4" t="n">
        <v>1</v>
      </c>
      <c r="E745" s="4" t="s">
        <v>21</v>
      </c>
      <c r="F745" s="3" t="s">
        <v>369</v>
      </c>
      <c r="G745" s="3" t="s">
        <v>417</v>
      </c>
      <c r="H745" s="3" t="s">
        <v>368</v>
      </c>
    </row>
    <row r="746" customFormat="false" ht="15" hidden="false" customHeight="false" outlineLevel="0" collapsed="false">
      <c r="A746" s="4" t="s">
        <v>22</v>
      </c>
      <c r="B746" s="4" t="s">
        <v>60</v>
      </c>
      <c r="C746" s="4" t="n">
        <v>3</v>
      </c>
      <c r="D746" s="4" t="n">
        <v>1</v>
      </c>
      <c r="E746" s="4" t="s">
        <v>26</v>
      </c>
      <c r="F746" s="3" t="s">
        <v>296</v>
      </c>
      <c r="G746" s="3" t="s">
        <v>557</v>
      </c>
      <c r="H746" s="3" t="s">
        <v>297</v>
      </c>
    </row>
    <row r="747" customFormat="false" ht="15" hidden="false" customHeight="false" outlineLevel="0" collapsed="false">
      <c r="A747" s="4" t="s">
        <v>22</v>
      </c>
      <c r="B747" s="4" t="s">
        <v>60</v>
      </c>
      <c r="C747" s="4" t="n">
        <v>4</v>
      </c>
      <c r="D747" s="4" t="n">
        <v>1</v>
      </c>
      <c r="E747" s="4" t="s">
        <v>34</v>
      </c>
      <c r="F747" s="3" t="s">
        <v>164</v>
      </c>
      <c r="G747" s="3" t="s">
        <v>563</v>
      </c>
      <c r="H747" s="3" t="s">
        <v>423</v>
      </c>
    </row>
    <row r="748" customFormat="false" ht="15" hidden="false" customHeight="false" outlineLevel="0" collapsed="false">
      <c r="A748" s="4" t="s">
        <v>22</v>
      </c>
      <c r="B748" s="4" t="s">
        <v>60</v>
      </c>
      <c r="C748" s="4" t="n">
        <v>5</v>
      </c>
      <c r="D748" s="4" t="n">
        <v>1</v>
      </c>
      <c r="E748" s="4" t="s">
        <v>37</v>
      </c>
      <c r="F748" s="3" t="s">
        <v>36</v>
      </c>
      <c r="G748" s="3" t="s">
        <v>553</v>
      </c>
      <c r="H748" s="3" t="s">
        <v>35</v>
      </c>
    </row>
    <row r="749" customFormat="false" ht="15" hidden="false" customHeight="false" outlineLevel="0" collapsed="false">
      <c r="A749" s="4" t="s">
        <v>22</v>
      </c>
      <c r="B749" s="4" t="s">
        <v>60</v>
      </c>
      <c r="C749" s="4" t="n">
        <v>6</v>
      </c>
      <c r="D749" s="4" t="n">
        <v>1</v>
      </c>
      <c r="E749" s="4" t="s">
        <v>42</v>
      </c>
      <c r="F749" s="3" t="s">
        <v>126</v>
      </c>
      <c r="G749" s="3" t="s">
        <v>338</v>
      </c>
      <c r="H749" s="3" t="s">
        <v>133</v>
      </c>
    </row>
    <row r="750" customFormat="false" ht="15" hidden="false" customHeight="false" outlineLevel="0" collapsed="false">
      <c r="A750" s="4" t="s">
        <v>22</v>
      </c>
      <c r="B750" s="4" t="s">
        <v>60</v>
      </c>
      <c r="C750" s="4" t="n">
        <v>7</v>
      </c>
      <c r="D750" s="4" t="n">
        <v>1</v>
      </c>
      <c r="E750" s="4" t="s">
        <v>39</v>
      </c>
      <c r="F750" s="3" t="s">
        <v>15</v>
      </c>
      <c r="G750" s="3" t="s">
        <v>561</v>
      </c>
      <c r="H750" s="3" t="s">
        <v>62</v>
      </c>
    </row>
    <row r="751" customFormat="false" ht="15" hidden="false" customHeight="false" outlineLevel="0" collapsed="false">
      <c r="A751" s="4" t="s">
        <v>22</v>
      </c>
      <c r="B751" s="4" t="s">
        <v>63</v>
      </c>
      <c r="C751" s="4" t="n">
        <v>1</v>
      </c>
      <c r="D751" s="4" t="n">
        <v>1</v>
      </c>
      <c r="E751" s="4" t="s">
        <v>16</v>
      </c>
      <c r="F751" s="3" t="s">
        <v>296</v>
      </c>
      <c r="G751" s="3" t="s">
        <v>557</v>
      </c>
      <c r="H751" s="3" t="s">
        <v>297</v>
      </c>
    </row>
    <row r="752" customFormat="false" ht="15" hidden="false" customHeight="false" outlineLevel="0" collapsed="false">
      <c r="A752" s="4" t="s">
        <v>22</v>
      </c>
      <c r="B752" s="4" t="s">
        <v>63</v>
      </c>
      <c r="C752" s="4" t="n">
        <v>2</v>
      </c>
      <c r="D752" s="4" t="n">
        <v>1</v>
      </c>
      <c r="E752" s="4" t="s">
        <v>21</v>
      </c>
      <c r="F752" s="3" t="s">
        <v>15</v>
      </c>
      <c r="G752" s="3" t="s">
        <v>561</v>
      </c>
      <c r="H752" s="3" t="s">
        <v>48</v>
      </c>
    </row>
    <row r="753" customFormat="false" ht="15" hidden="false" customHeight="false" outlineLevel="0" collapsed="false">
      <c r="A753" s="4" t="s">
        <v>22</v>
      </c>
      <c r="B753" s="4" t="s">
        <v>63</v>
      </c>
      <c r="C753" s="4" t="n">
        <v>3</v>
      </c>
      <c r="D753" s="4" t="n">
        <v>1</v>
      </c>
      <c r="E753" s="4" t="s">
        <v>26</v>
      </c>
      <c r="F753" s="3" t="s">
        <v>72</v>
      </c>
      <c r="G753" s="3" t="s">
        <v>560</v>
      </c>
      <c r="H753" s="3" t="s">
        <v>334</v>
      </c>
    </row>
    <row r="754" customFormat="false" ht="15" hidden="false" customHeight="false" outlineLevel="0" collapsed="false">
      <c r="A754" s="4" t="s">
        <v>22</v>
      </c>
      <c r="B754" s="4" t="s">
        <v>63</v>
      </c>
      <c r="C754" s="4" t="n">
        <v>4</v>
      </c>
      <c r="D754" s="4" t="n">
        <v>1</v>
      </c>
      <c r="E754" s="4" t="s">
        <v>34</v>
      </c>
      <c r="F754" s="3" t="s">
        <v>99</v>
      </c>
      <c r="G754" s="3" t="s">
        <v>433</v>
      </c>
      <c r="H754" s="3" t="s">
        <v>341</v>
      </c>
    </row>
    <row r="755" customFormat="false" ht="15" hidden="false" customHeight="false" outlineLevel="0" collapsed="false">
      <c r="A755" s="4" t="s">
        <v>22</v>
      </c>
      <c r="B755" s="4" t="s">
        <v>63</v>
      </c>
      <c r="C755" s="4" t="n">
        <v>5</v>
      </c>
      <c r="D755" s="4" t="n">
        <v>1</v>
      </c>
      <c r="E755" s="4" t="s">
        <v>37</v>
      </c>
      <c r="F755" s="3" t="s">
        <v>437</v>
      </c>
      <c r="G755" s="3" t="s">
        <v>436</v>
      </c>
      <c r="H755" s="3" t="s">
        <v>341</v>
      </c>
    </row>
    <row r="756" customFormat="false" ht="15" hidden="false" customHeight="false" outlineLevel="0" collapsed="false">
      <c r="A756" s="4" t="s">
        <v>22</v>
      </c>
      <c r="B756" s="4" t="s">
        <v>63</v>
      </c>
      <c r="C756" s="4" t="n">
        <v>6</v>
      </c>
      <c r="D756" s="4" t="n">
        <v>2</v>
      </c>
      <c r="E756" s="4" t="s">
        <v>536</v>
      </c>
      <c r="F756" s="3" t="s">
        <v>388</v>
      </c>
      <c r="G756" s="3" t="s">
        <v>554</v>
      </c>
      <c r="H756" s="3" t="s">
        <v>387</v>
      </c>
    </row>
    <row r="757" customFormat="false" ht="15" hidden="false" customHeight="false" outlineLevel="0" collapsed="false">
      <c r="A757" s="4" t="s">
        <v>22</v>
      </c>
      <c r="B757" s="4" t="s">
        <v>65</v>
      </c>
      <c r="C757" s="4" t="n">
        <v>1</v>
      </c>
      <c r="D757" s="4" t="n">
        <v>1</v>
      </c>
      <c r="E757" s="4" t="s">
        <v>16</v>
      </c>
      <c r="F757" s="3" t="s">
        <v>72</v>
      </c>
      <c r="G757" s="3" t="s">
        <v>560</v>
      </c>
      <c r="H757" s="3" t="s">
        <v>51</v>
      </c>
    </row>
    <row r="758" customFormat="false" ht="15" hidden="false" customHeight="false" outlineLevel="0" collapsed="false">
      <c r="A758" s="4" t="s">
        <v>22</v>
      </c>
      <c r="B758" s="4" t="s">
        <v>65</v>
      </c>
      <c r="C758" s="4" t="n">
        <v>2</v>
      </c>
      <c r="D758" s="4" t="n">
        <v>1</v>
      </c>
      <c r="E758" s="4" t="s">
        <v>21</v>
      </c>
      <c r="F758" s="3" t="s">
        <v>126</v>
      </c>
      <c r="G758" s="3" t="s">
        <v>338</v>
      </c>
      <c r="H758" s="3" t="s">
        <v>125</v>
      </c>
    </row>
    <row r="759" customFormat="false" ht="15" hidden="false" customHeight="false" outlineLevel="0" collapsed="false">
      <c r="A759" s="4" t="s">
        <v>22</v>
      </c>
      <c r="B759" s="4" t="s">
        <v>65</v>
      </c>
      <c r="C759" s="4" t="n">
        <v>3</v>
      </c>
      <c r="D759" s="4" t="n">
        <v>1</v>
      </c>
      <c r="E759" s="4" t="s">
        <v>26</v>
      </c>
      <c r="F759" s="3" t="s">
        <v>350</v>
      </c>
      <c r="G759" s="3" t="s">
        <v>347</v>
      </c>
      <c r="H759" s="3" t="s">
        <v>341</v>
      </c>
    </row>
    <row r="760" customFormat="false" ht="15" hidden="false" customHeight="false" outlineLevel="0" collapsed="false">
      <c r="A760" s="4" t="s">
        <v>22</v>
      </c>
      <c r="B760" s="4" t="s">
        <v>65</v>
      </c>
      <c r="C760" s="4" t="n">
        <v>4</v>
      </c>
      <c r="D760" s="4" t="n">
        <v>1</v>
      </c>
      <c r="E760" s="4" t="s">
        <v>34</v>
      </c>
      <c r="F760" s="3" t="s">
        <v>164</v>
      </c>
      <c r="G760" s="3" t="s">
        <v>563</v>
      </c>
      <c r="H760" s="3" t="s">
        <v>322</v>
      </c>
    </row>
    <row r="761" customFormat="false" ht="15" hidden="false" customHeight="false" outlineLevel="0" collapsed="false">
      <c r="A761" s="4" t="s">
        <v>22</v>
      </c>
      <c r="B761" s="4" t="s">
        <v>65</v>
      </c>
      <c r="C761" s="4" t="n">
        <v>5</v>
      </c>
      <c r="D761" s="4" t="n">
        <v>1</v>
      </c>
      <c r="E761" s="4" t="s">
        <v>37</v>
      </c>
      <c r="F761" s="3" t="s">
        <v>36</v>
      </c>
      <c r="G761" s="3" t="s">
        <v>553</v>
      </c>
      <c r="H761" s="3" t="s">
        <v>35</v>
      </c>
    </row>
    <row r="762" customFormat="false" ht="15" hidden="false" customHeight="false" outlineLevel="0" collapsed="false">
      <c r="A762" s="4" t="s">
        <v>22</v>
      </c>
      <c r="B762" s="4" t="s">
        <v>65</v>
      </c>
      <c r="C762" s="4" t="n">
        <v>6</v>
      </c>
      <c r="D762" s="4" t="n">
        <v>1</v>
      </c>
      <c r="E762" s="4" t="s">
        <v>42</v>
      </c>
      <c r="F762" s="3" t="s">
        <v>285</v>
      </c>
      <c r="G762" s="3" t="s">
        <v>361</v>
      </c>
      <c r="H762" s="3" t="s">
        <v>341</v>
      </c>
    </row>
    <row r="763" customFormat="false" ht="15" hidden="false" customHeight="false" outlineLevel="0" collapsed="false">
      <c r="A763" s="4" t="s">
        <v>22</v>
      </c>
      <c r="B763" s="4" t="s">
        <v>65</v>
      </c>
      <c r="C763" s="4" t="n">
        <v>7</v>
      </c>
      <c r="D763" s="4" t="n">
        <v>1</v>
      </c>
      <c r="E763" s="4" t="s">
        <v>39</v>
      </c>
      <c r="F763" s="3" t="s">
        <v>437</v>
      </c>
      <c r="G763" s="3" t="s">
        <v>436</v>
      </c>
      <c r="H763" s="3" t="s">
        <v>341</v>
      </c>
    </row>
    <row r="764" customFormat="false" ht="15" hidden="false" customHeight="false" outlineLevel="0" collapsed="false">
      <c r="A764" s="4" t="s">
        <v>22</v>
      </c>
      <c r="B764" s="4" t="s">
        <v>66</v>
      </c>
      <c r="C764" s="4" t="n">
        <v>1</v>
      </c>
      <c r="D764" s="4" t="n">
        <v>2</v>
      </c>
      <c r="E764" s="4" t="s">
        <v>539</v>
      </c>
      <c r="F764" s="3" t="s">
        <v>72</v>
      </c>
      <c r="G764" s="3" t="s">
        <v>560</v>
      </c>
      <c r="H764" s="3" t="s">
        <v>33</v>
      </c>
    </row>
    <row r="765" customFormat="false" ht="15" hidden="false" customHeight="false" outlineLevel="0" collapsed="false">
      <c r="A765" s="4" t="s">
        <v>22</v>
      </c>
      <c r="B765" s="4" t="s">
        <v>66</v>
      </c>
      <c r="C765" s="4" t="n">
        <v>3</v>
      </c>
      <c r="D765" s="4" t="n">
        <v>1</v>
      </c>
      <c r="E765" s="4" t="s">
        <v>26</v>
      </c>
      <c r="F765" s="3" t="s">
        <v>99</v>
      </c>
      <c r="G765" s="3" t="s">
        <v>433</v>
      </c>
      <c r="H765" s="3" t="s">
        <v>341</v>
      </c>
    </row>
    <row r="766" customFormat="false" ht="15" hidden="false" customHeight="false" outlineLevel="0" collapsed="false">
      <c r="A766" s="4" t="s">
        <v>22</v>
      </c>
      <c r="B766" s="4" t="s">
        <v>66</v>
      </c>
      <c r="C766" s="4" t="n">
        <v>4</v>
      </c>
      <c r="D766" s="4" t="n">
        <v>1</v>
      </c>
      <c r="E766" s="4" t="s">
        <v>34</v>
      </c>
      <c r="F766" s="3" t="s">
        <v>126</v>
      </c>
      <c r="G766" s="3" t="s">
        <v>338</v>
      </c>
      <c r="H766" s="3" t="s">
        <v>125</v>
      </c>
    </row>
    <row r="767" customFormat="false" ht="15" hidden="false" customHeight="false" outlineLevel="0" collapsed="false">
      <c r="A767" s="4" t="s">
        <v>22</v>
      </c>
      <c r="B767" s="4" t="s">
        <v>66</v>
      </c>
      <c r="C767" s="4" t="n">
        <v>5</v>
      </c>
      <c r="D767" s="4" t="n">
        <v>1</v>
      </c>
      <c r="E767" s="4" t="s">
        <v>37</v>
      </c>
      <c r="F767" s="3" t="s">
        <v>350</v>
      </c>
      <c r="G767" s="3" t="s">
        <v>347</v>
      </c>
      <c r="H767" s="3" t="s">
        <v>341</v>
      </c>
    </row>
    <row r="768" customFormat="false" ht="15" hidden="false" customHeight="false" outlineLevel="0" collapsed="false">
      <c r="A768" s="4" t="s">
        <v>22</v>
      </c>
      <c r="B768" s="4" t="s">
        <v>66</v>
      </c>
      <c r="C768" s="4" t="n">
        <v>6</v>
      </c>
      <c r="D768" s="4" t="n">
        <v>1</v>
      </c>
      <c r="E768" s="4" t="s">
        <v>42</v>
      </c>
      <c r="F768" s="3" t="s">
        <v>15</v>
      </c>
      <c r="G768" s="3" t="s">
        <v>561</v>
      </c>
      <c r="H768" s="3" t="s">
        <v>51</v>
      </c>
    </row>
    <row r="769" customFormat="false" ht="15" hidden="false" customHeight="false" outlineLevel="0" collapsed="false">
      <c r="A769" s="4" t="s">
        <v>22</v>
      </c>
      <c r="B769" s="4" t="s">
        <v>66</v>
      </c>
      <c r="C769" s="4" t="n">
        <v>7</v>
      </c>
      <c r="D769" s="4" t="n">
        <v>1</v>
      </c>
      <c r="E769" s="4" t="s">
        <v>39</v>
      </c>
      <c r="F769" s="3" t="s">
        <v>164</v>
      </c>
      <c r="G769" s="3" t="s">
        <v>563</v>
      </c>
      <c r="H769" s="3" t="s">
        <v>329</v>
      </c>
    </row>
    <row r="770" customFormat="false" ht="15" hidden="false" customHeight="false" outlineLevel="0" collapsed="false">
      <c r="A770" s="4" t="s">
        <v>76</v>
      </c>
      <c r="B770" s="4" t="s">
        <v>12</v>
      </c>
      <c r="C770" s="4" t="n">
        <v>1</v>
      </c>
      <c r="D770" s="4" t="n">
        <v>1</v>
      </c>
      <c r="E770" s="4" t="s">
        <v>16</v>
      </c>
      <c r="F770" s="3" t="s">
        <v>130</v>
      </c>
      <c r="G770" s="3" t="s">
        <v>270</v>
      </c>
      <c r="H770" s="3" t="s">
        <v>129</v>
      </c>
    </row>
    <row r="771" customFormat="false" ht="15" hidden="false" customHeight="false" outlineLevel="0" collapsed="false">
      <c r="A771" s="4" t="s">
        <v>76</v>
      </c>
      <c r="B771" s="4" t="s">
        <v>12</v>
      </c>
      <c r="C771" s="4" t="n">
        <v>2</v>
      </c>
      <c r="D771" s="4" t="n">
        <v>1</v>
      </c>
      <c r="E771" s="4" t="s">
        <v>21</v>
      </c>
      <c r="F771" s="3" t="s">
        <v>15</v>
      </c>
      <c r="G771" s="3" t="s">
        <v>566</v>
      </c>
      <c r="H771" s="3" t="s">
        <v>80</v>
      </c>
    </row>
    <row r="772" customFormat="false" ht="15" hidden="false" customHeight="false" outlineLevel="0" collapsed="false">
      <c r="A772" s="4" t="s">
        <v>76</v>
      </c>
      <c r="B772" s="4" t="s">
        <v>12</v>
      </c>
      <c r="C772" s="4" t="n">
        <v>3</v>
      </c>
      <c r="D772" s="4" t="n">
        <v>1</v>
      </c>
      <c r="E772" s="4" t="s">
        <v>26</v>
      </c>
      <c r="F772" s="3" t="s">
        <v>350</v>
      </c>
      <c r="G772" s="3" t="s">
        <v>126</v>
      </c>
      <c r="H772" s="3" t="s">
        <v>113</v>
      </c>
    </row>
    <row r="773" customFormat="false" ht="15" hidden="false" customHeight="false" outlineLevel="0" collapsed="false">
      <c r="A773" s="4" t="s">
        <v>76</v>
      </c>
      <c r="B773" s="4" t="s">
        <v>12</v>
      </c>
      <c r="C773" s="4" t="n">
        <v>4</v>
      </c>
      <c r="D773" s="4" t="n">
        <v>1</v>
      </c>
      <c r="E773" s="4" t="s">
        <v>34</v>
      </c>
      <c r="F773" s="3" t="s">
        <v>164</v>
      </c>
      <c r="G773" s="3" t="s">
        <v>567</v>
      </c>
      <c r="H773" s="3" t="s">
        <v>165</v>
      </c>
    </row>
    <row r="774" customFormat="false" ht="15" hidden="false" customHeight="false" outlineLevel="0" collapsed="false">
      <c r="A774" s="4" t="s">
        <v>76</v>
      </c>
      <c r="B774" s="4" t="s">
        <v>12</v>
      </c>
      <c r="C774" s="4" t="n">
        <v>5</v>
      </c>
      <c r="D774" s="4" t="n">
        <v>1</v>
      </c>
      <c r="E774" s="4" t="s">
        <v>37</v>
      </c>
      <c r="F774" s="3" t="s">
        <v>312</v>
      </c>
      <c r="G774" s="3" t="s">
        <v>504</v>
      </c>
      <c r="H774" s="3" t="s">
        <v>133</v>
      </c>
    </row>
    <row r="775" customFormat="false" ht="15" hidden="false" customHeight="false" outlineLevel="0" collapsed="false">
      <c r="A775" s="4" t="s">
        <v>76</v>
      </c>
      <c r="B775" s="4" t="s">
        <v>12</v>
      </c>
      <c r="C775" s="4" t="n">
        <v>6</v>
      </c>
      <c r="D775" s="4" t="n">
        <v>2</v>
      </c>
      <c r="E775" s="4" t="s">
        <v>536</v>
      </c>
      <c r="F775" s="3" t="s">
        <v>72</v>
      </c>
      <c r="G775" s="3" t="s">
        <v>568</v>
      </c>
      <c r="H775" s="3" t="s">
        <v>77</v>
      </c>
    </row>
    <row r="776" customFormat="false" ht="15" hidden="false" customHeight="false" outlineLevel="0" collapsed="false">
      <c r="A776" s="4" t="s">
        <v>76</v>
      </c>
      <c r="B776" s="4" t="s">
        <v>31</v>
      </c>
      <c r="C776" s="4" t="n">
        <v>1</v>
      </c>
      <c r="D776" s="4" t="n">
        <v>1</v>
      </c>
      <c r="E776" s="4" t="s">
        <v>16</v>
      </c>
      <c r="F776" s="3" t="s">
        <v>376</v>
      </c>
      <c r="G776" s="3" t="s">
        <v>375</v>
      </c>
      <c r="H776" s="3" t="s">
        <v>113</v>
      </c>
    </row>
    <row r="777" customFormat="false" ht="15" hidden="false" customHeight="false" outlineLevel="0" collapsed="false">
      <c r="A777" s="4" t="s">
        <v>76</v>
      </c>
      <c r="B777" s="4" t="s">
        <v>31</v>
      </c>
      <c r="C777" s="4" t="n">
        <v>2</v>
      </c>
      <c r="D777" s="4" t="n">
        <v>1</v>
      </c>
      <c r="E777" s="4" t="s">
        <v>21</v>
      </c>
      <c r="F777" s="3" t="s">
        <v>235</v>
      </c>
      <c r="G777" s="3" t="s">
        <v>460</v>
      </c>
      <c r="H777" s="3" t="s">
        <v>246</v>
      </c>
    </row>
    <row r="778" customFormat="false" ht="15" hidden="false" customHeight="false" outlineLevel="0" collapsed="false">
      <c r="A778" s="4" t="s">
        <v>76</v>
      </c>
      <c r="B778" s="4" t="s">
        <v>31</v>
      </c>
      <c r="C778" s="4" t="n">
        <v>3</v>
      </c>
      <c r="D778" s="4" t="n">
        <v>1</v>
      </c>
      <c r="E778" s="4" t="s">
        <v>26</v>
      </c>
      <c r="F778" s="3" t="s">
        <v>164</v>
      </c>
      <c r="G778" s="3" t="s">
        <v>567</v>
      </c>
      <c r="H778" s="3" t="s">
        <v>168</v>
      </c>
    </row>
    <row r="779" customFormat="false" ht="15" hidden="false" customHeight="false" outlineLevel="0" collapsed="false">
      <c r="A779" s="4" t="s">
        <v>76</v>
      </c>
      <c r="B779" s="4" t="s">
        <v>31</v>
      </c>
      <c r="C779" s="4" t="n">
        <v>4</v>
      </c>
      <c r="D779" s="4" t="n">
        <v>1</v>
      </c>
      <c r="E779" s="4" t="s">
        <v>34</v>
      </c>
      <c r="F779" s="3" t="s">
        <v>72</v>
      </c>
      <c r="G779" s="3" t="s">
        <v>568</v>
      </c>
      <c r="H779" s="3" t="s">
        <v>80</v>
      </c>
    </row>
    <row r="780" customFormat="false" ht="15" hidden="false" customHeight="false" outlineLevel="0" collapsed="false">
      <c r="A780" s="4" t="s">
        <v>76</v>
      </c>
      <c r="B780" s="4" t="s">
        <v>31</v>
      </c>
      <c r="C780" s="4" t="n">
        <v>5</v>
      </c>
      <c r="D780" s="4" t="n">
        <v>1</v>
      </c>
      <c r="E780" s="4" t="s">
        <v>37</v>
      </c>
      <c r="F780" s="3" t="s">
        <v>36</v>
      </c>
      <c r="G780" s="3" t="s">
        <v>569</v>
      </c>
      <c r="H780" s="3" t="s">
        <v>81</v>
      </c>
    </row>
    <row r="781" customFormat="false" ht="15" hidden="false" customHeight="false" outlineLevel="0" collapsed="false">
      <c r="A781" s="4" t="s">
        <v>76</v>
      </c>
      <c r="B781" s="4" t="s">
        <v>31</v>
      </c>
      <c r="C781" s="4" t="n">
        <v>6</v>
      </c>
      <c r="D781" s="4" t="n">
        <v>1</v>
      </c>
      <c r="E781" s="4" t="s">
        <v>42</v>
      </c>
      <c r="F781" s="3" t="s">
        <v>15</v>
      </c>
      <c r="G781" s="3" t="s">
        <v>566</v>
      </c>
      <c r="H781" s="3" t="s">
        <v>204</v>
      </c>
    </row>
    <row r="782" customFormat="false" ht="15" hidden="false" customHeight="false" outlineLevel="0" collapsed="false">
      <c r="A782" s="4" t="s">
        <v>76</v>
      </c>
      <c r="B782" s="4" t="s">
        <v>31</v>
      </c>
      <c r="C782" s="4" t="n">
        <v>7</v>
      </c>
      <c r="D782" s="4" t="n">
        <v>1</v>
      </c>
      <c r="E782" s="4" t="s">
        <v>39</v>
      </c>
      <c r="F782" s="3" t="s">
        <v>99</v>
      </c>
      <c r="G782" s="3" t="s">
        <v>97</v>
      </c>
      <c r="H782" s="3" t="s">
        <v>113</v>
      </c>
    </row>
    <row r="783" customFormat="false" ht="15" hidden="false" customHeight="false" outlineLevel="0" collapsed="false">
      <c r="A783" s="4" t="s">
        <v>76</v>
      </c>
      <c r="B783" s="4" t="s">
        <v>40</v>
      </c>
      <c r="C783" s="4" t="n">
        <v>1</v>
      </c>
      <c r="D783" s="4" t="n">
        <v>1</v>
      </c>
      <c r="E783" s="4" t="s">
        <v>16</v>
      </c>
      <c r="F783" s="3" t="s">
        <v>437</v>
      </c>
      <c r="G783" s="3" t="s">
        <v>436</v>
      </c>
      <c r="H783" s="3" t="s">
        <v>113</v>
      </c>
    </row>
    <row r="784" customFormat="false" ht="15" hidden="false" customHeight="false" outlineLevel="0" collapsed="false">
      <c r="A784" s="4" t="s">
        <v>76</v>
      </c>
      <c r="B784" s="4" t="s">
        <v>40</v>
      </c>
      <c r="C784" s="4" t="n">
        <v>2</v>
      </c>
      <c r="D784" s="4" t="n">
        <v>1</v>
      </c>
      <c r="E784" s="4" t="s">
        <v>21</v>
      </c>
      <c r="F784" s="3" t="s">
        <v>72</v>
      </c>
      <c r="G784" s="3" t="s">
        <v>568</v>
      </c>
      <c r="H784" s="3" t="s">
        <v>84</v>
      </c>
    </row>
    <row r="785" customFormat="false" ht="15" hidden="false" customHeight="false" outlineLevel="0" collapsed="false">
      <c r="A785" s="4" t="s">
        <v>76</v>
      </c>
      <c r="B785" s="4" t="s">
        <v>40</v>
      </c>
      <c r="C785" s="4" t="n">
        <v>3</v>
      </c>
      <c r="D785" s="4" t="n">
        <v>1</v>
      </c>
      <c r="E785" s="4" t="s">
        <v>26</v>
      </c>
      <c r="F785" s="3" t="s">
        <v>15</v>
      </c>
      <c r="G785" s="3" t="s">
        <v>566</v>
      </c>
      <c r="H785" s="3" t="s">
        <v>206</v>
      </c>
    </row>
    <row r="786" customFormat="false" ht="15" hidden="false" customHeight="false" outlineLevel="0" collapsed="false">
      <c r="A786" s="4" t="s">
        <v>76</v>
      </c>
      <c r="B786" s="4" t="s">
        <v>40</v>
      </c>
      <c r="C786" s="4" t="n">
        <v>4</v>
      </c>
      <c r="D786" s="4" t="n">
        <v>1</v>
      </c>
      <c r="E786" s="4" t="s">
        <v>34</v>
      </c>
      <c r="F786" s="3" t="s">
        <v>296</v>
      </c>
      <c r="G786" s="3" t="s">
        <v>570</v>
      </c>
      <c r="H786" s="3" t="s">
        <v>297</v>
      </c>
    </row>
    <row r="787" customFormat="false" ht="15" hidden="false" customHeight="false" outlineLevel="0" collapsed="false">
      <c r="A787" s="4" t="s">
        <v>76</v>
      </c>
      <c r="B787" s="4" t="s">
        <v>40</v>
      </c>
      <c r="C787" s="4" t="n">
        <v>5</v>
      </c>
      <c r="D787" s="4" t="n">
        <v>1</v>
      </c>
      <c r="E787" s="4" t="s">
        <v>37</v>
      </c>
      <c r="F787" s="3" t="s">
        <v>164</v>
      </c>
      <c r="G787" s="3" t="s">
        <v>567</v>
      </c>
      <c r="H787" s="3" t="s">
        <v>84</v>
      </c>
    </row>
    <row r="788" customFormat="false" ht="15" hidden="false" customHeight="false" outlineLevel="0" collapsed="false">
      <c r="A788" s="4" t="s">
        <v>76</v>
      </c>
      <c r="B788" s="4" t="s">
        <v>40</v>
      </c>
      <c r="C788" s="4" t="n">
        <v>6</v>
      </c>
      <c r="D788" s="4" t="n">
        <v>2</v>
      </c>
      <c r="E788" s="4" t="s">
        <v>536</v>
      </c>
      <c r="F788" s="3" t="s">
        <v>388</v>
      </c>
      <c r="G788" s="3" t="s">
        <v>571</v>
      </c>
      <c r="H788" s="3" t="s">
        <v>387</v>
      </c>
    </row>
    <row r="789" customFormat="false" ht="15" hidden="false" customHeight="false" outlineLevel="0" collapsed="false">
      <c r="A789" s="4" t="s">
        <v>76</v>
      </c>
      <c r="B789" s="4" t="s">
        <v>44</v>
      </c>
      <c r="C789" s="4" t="n">
        <v>1</v>
      </c>
      <c r="D789" s="4" t="n">
        <v>1</v>
      </c>
      <c r="E789" s="4" t="s">
        <v>16</v>
      </c>
      <c r="F789" s="3" t="s">
        <v>164</v>
      </c>
      <c r="G789" s="3" t="s">
        <v>567</v>
      </c>
      <c r="H789" s="3" t="s">
        <v>90</v>
      </c>
    </row>
    <row r="790" customFormat="false" ht="15" hidden="false" customHeight="false" outlineLevel="0" collapsed="false">
      <c r="A790" s="4" t="s">
        <v>76</v>
      </c>
      <c r="B790" s="4" t="s">
        <v>44</v>
      </c>
      <c r="C790" s="4" t="n">
        <v>2</v>
      </c>
      <c r="D790" s="4" t="n">
        <v>1</v>
      </c>
      <c r="E790" s="4" t="s">
        <v>21</v>
      </c>
      <c r="F790" s="3" t="s">
        <v>369</v>
      </c>
      <c r="G790" s="3" t="s">
        <v>367</v>
      </c>
      <c r="H790" s="3" t="s">
        <v>368</v>
      </c>
    </row>
    <row r="791" customFormat="false" ht="15" hidden="false" customHeight="false" outlineLevel="0" collapsed="false">
      <c r="A791" s="4" t="s">
        <v>76</v>
      </c>
      <c r="B791" s="4" t="s">
        <v>44</v>
      </c>
      <c r="C791" s="4" t="n">
        <v>3</v>
      </c>
      <c r="D791" s="4" t="n">
        <v>1</v>
      </c>
      <c r="E791" s="4" t="s">
        <v>26</v>
      </c>
      <c r="F791" s="3" t="s">
        <v>350</v>
      </c>
      <c r="G791" s="3" t="s">
        <v>126</v>
      </c>
      <c r="H791" s="3" t="s">
        <v>113</v>
      </c>
    </row>
    <row r="792" customFormat="false" ht="15" hidden="false" customHeight="false" outlineLevel="0" collapsed="false">
      <c r="A792" s="4" t="s">
        <v>76</v>
      </c>
      <c r="B792" s="4" t="s">
        <v>44</v>
      </c>
      <c r="C792" s="4" t="n">
        <v>4</v>
      </c>
      <c r="D792" s="4" t="n">
        <v>1</v>
      </c>
      <c r="E792" s="4" t="s">
        <v>34</v>
      </c>
      <c r="F792" s="3" t="s">
        <v>72</v>
      </c>
      <c r="G792" s="3" t="s">
        <v>568</v>
      </c>
      <c r="H792" s="3" t="s">
        <v>84</v>
      </c>
    </row>
    <row r="793" customFormat="false" ht="15" hidden="false" customHeight="false" outlineLevel="0" collapsed="false">
      <c r="A793" s="4" t="s">
        <v>76</v>
      </c>
      <c r="B793" s="4" t="s">
        <v>44</v>
      </c>
      <c r="C793" s="4" t="n">
        <v>5</v>
      </c>
      <c r="D793" s="4" t="n">
        <v>1</v>
      </c>
      <c r="E793" s="4" t="s">
        <v>37</v>
      </c>
      <c r="F793" s="3" t="s">
        <v>36</v>
      </c>
      <c r="G793" s="3" t="s">
        <v>569</v>
      </c>
      <c r="H793" s="3" t="s">
        <v>81</v>
      </c>
    </row>
    <row r="794" customFormat="false" ht="15" hidden="false" customHeight="false" outlineLevel="0" collapsed="false">
      <c r="A794" s="4" t="s">
        <v>76</v>
      </c>
      <c r="B794" s="4" t="s">
        <v>44</v>
      </c>
      <c r="C794" s="4" t="n">
        <v>6</v>
      </c>
      <c r="D794" s="4" t="n">
        <v>1</v>
      </c>
      <c r="E794" s="4" t="s">
        <v>42</v>
      </c>
      <c r="F794" s="3" t="s">
        <v>15</v>
      </c>
      <c r="G794" s="3" t="s">
        <v>566</v>
      </c>
      <c r="H794" s="3" t="s">
        <v>209</v>
      </c>
    </row>
    <row r="795" customFormat="false" ht="15" hidden="false" customHeight="false" outlineLevel="0" collapsed="false">
      <c r="A795" s="4" t="s">
        <v>76</v>
      </c>
      <c r="B795" s="4" t="s">
        <v>44</v>
      </c>
      <c r="C795" s="4" t="n">
        <v>7</v>
      </c>
      <c r="D795" s="4" t="n">
        <v>1</v>
      </c>
      <c r="E795" s="4" t="s">
        <v>39</v>
      </c>
      <c r="F795" s="3" t="s">
        <v>285</v>
      </c>
      <c r="G795" s="3" t="s">
        <v>450</v>
      </c>
      <c r="H795" s="3" t="s">
        <v>113</v>
      </c>
    </row>
    <row r="796" customFormat="false" ht="15" hidden="false" customHeight="false" outlineLevel="0" collapsed="false">
      <c r="A796" s="4" t="s">
        <v>76</v>
      </c>
      <c r="B796" s="4" t="s">
        <v>47</v>
      </c>
      <c r="C796" s="4" t="n">
        <v>1</v>
      </c>
      <c r="D796" s="4" t="n">
        <v>1</v>
      </c>
      <c r="E796" s="4" t="s">
        <v>16</v>
      </c>
      <c r="F796" s="3" t="s">
        <v>15</v>
      </c>
      <c r="G796" s="3" t="s">
        <v>566</v>
      </c>
      <c r="H796" s="3" t="s">
        <v>88</v>
      </c>
    </row>
    <row r="797" customFormat="false" ht="15" hidden="false" customHeight="false" outlineLevel="0" collapsed="false">
      <c r="A797" s="4" t="s">
        <v>76</v>
      </c>
      <c r="B797" s="4" t="s">
        <v>47</v>
      </c>
      <c r="C797" s="4" t="n">
        <v>2</v>
      </c>
      <c r="D797" s="4" t="n">
        <v>1</v>
      </c>
      <c r="E797" s="4" t="s">
        <v>21</v>
      </c>
      <c r="F797" s="3" t="s">
        <v>164</v>
      </c>
      <c r="G797" s="3" t="s">
        <v>567</v>
      </c>
      <c r="H797" s="3" t="s">
        <v>174</v>
      </c>
    </row>
    <row r="798" customFormat="false" ht="15" hidden="false" customHeight="false" outlineLevel="0" collapsed="false">
      <c r="A798" s="4" t="s">
        <v>76</v>
      </c>
      <c r="B798" s="4" t="s">
        <v>47</v>
      </c>
      <c r="C798" s="4" t="n">
        <v>3</v>
      </c>
      <c r="D798" s="4" t="n">
        <v>1</v>
      </c>
      <c r="E798" s="4" t="s">
        <v>26</v>
      </c>
      <c r="F798" s="3" t="s">
        <v>285</v>
      </c>
      <c r="G798" s="3" t="s">
        <v>450</v>
      </c>
      <c r="H798" s="3" t="s">
        <v>113</v>
      </c>
    </row>
    <row r="799" customFormat="false" ht="15" hidden="false" customHeight="false" outlineLevel="0" collapsed="false">
      <c r="A799" s="4" t="s">
        <v>76</v>
      </c>
      <c r="B799" s="4" t="s">
        <v>47</v>
      </c>
      <c r="C799" s="4" t="n">
        <v>4</v>
      </c>
      <c r="D799" s="4" t="n">
        <v>1</v>
      </c>
      <c r="E799" s="4" t="s">
        <v>34</v>
      </c>
      <c r="F799" s="3" t="s">
        <v>72</v>
      </c>
      <c r="G799" s="3" t="s">
        <v>568</v>
      </c>
      <c r="H799" s="3" t="s">
        <v>87</v>
      </c>
    </row>
    <row r="800" customFormat="false" ht="15" hidden="false" customHeight="false" outlineLevel="0" collapsed="false">
      <c r="A800" s="4" t="s">
        <v>76</v>
      </c>
      <c r="B800" s="4" t="s">
        <v>47</v>
      </c>
      <c r="C800" s="4" t="n">
        <v>5</v>
      </c>
      <c r="D800" s="4" t="n">
        <v>1</v>
      </c>
      <c r="E800" s="4" t="s">
        <v>37</v>
      </c>
      <c r="F800" s="3" t="s">
        <v>296</v>
      </c>
      <c r="G800" s="3" t="s">
        <v>570</v>
      </c>
      <c r="H800" s="3" t="s">
        <v>297</v>
      </c>
    </row>
    <row r="801" customFormat="false" ht="15" hidden="false" customHeight="false" outlineLevel="0" collapsed="false">
      <c r="A801" s="4" t="s">
        <v>76</v>
      </c>
      <c r="B801" s="4" t="s">
        <v>47</v>
      </c>
      <c r="C801" s="4" t="n">
        <v>6</v>
      </c>
      <c r="D801" s="4" t="n">
        <v>1</v>
      </c>
      <c r="E801" s="4" t="s">
        <v>42</v>
      </c>
      <c r="F801" s="3" t="s">
        <v>130</v>
      </c>
      <c r="G801" s="3" t="s">
        <v>270</v>
      </c>
      <c r="H801" s="3" t="s">
        <v>129</v>
      </c>
    </row>
    <row r="802" customFormat="false" ht="15" hidden="false" customHeight="false" outlineLevel="0" collapsed="false">
      <c r="A802" s="4" t="s">
        <v>76</v>
      </c>
      <c r="B802" s="4" t="s">
        <v>47</v>
      </c>
      <c r="C802" s="4" t="n">
        <v>7</v>
      </c>
      <c r="D802" s="4" t="n">
        <v>1</v>
      </c>
      <c r="E802" s="4" t="s">
        <v>39</v>
      </c>
      <c r="F802" s="3" t="s">
        <v>99</v>
      </c>
      <c r="G802" s="3" t="s">
        <v>97</v>
      </c>
      <c r="H802" s="3" t="s">
        <v>113</v>
      </c>
    </row>
    <row r="803" customFormat="false" ht="15" hidden="false" customHeight="false" outlineLevel="0" collapsed="false">
      <c r="A803" s="4" t="s">
        <v>76</v>
      </c>
      <c r="B803" s="4" t="s">
        <v>50</v>
      </c>
      <c r="C803" s="4" t="n">
        <v>1</v>
      </c>
      <c r="D803" s="4" t="n">
        <v>1</v>
      </c>
      <c r="E803" s="4" t="s">
        <v>16</v>
      </c>
      <c r="F803" s="3" t="s">
        <v>72</v>
      </c>
      <c r="G803" s="3" t="s">
        <v>568</v>
      </c>
      <c r="H803" s="3" t="s">
        <v>88</v>
      </c>
    </row>
    <row r="804" customFormat="false" ht="15" hidden="false" customHeight="false" outlineLevel="0" collapsed="false">
      <c r="A804" s="4" t="s">
        <v>76</v>
      </c>
      <c r="B804" s="4" t="s">
        <v>50</v>
      </c>
      <c r="C804" s="4" t="n">
        <v>2</v>
      </c>
      <c r="D804" s="4" t="n">
        <v>1</v>
      </c>
      <c r="E804" s="4" t="s">
        <v>21</v>
      </c>
      <c r="F804" s="3" t="s">
        <v>164</v>
      </c>
      <c r="G804" s="3" t="s">
        <v>567</v>
      </c>
      <c r="H804" s="3" t="s">
        <v>90</v>
      </c>
    </row>
    <row r="805" customFormat="false" ht="15" hidden="false" customHeight="false" outlineLevel="0" collapsed="false">
      <c r="A805" s="4" t="s">
        <v>76</v>
      </c>
      <c r="B805" s="4" t="s">
        <v>50</v>
      </c>
      <c r="C805" s="4" t="n">
        <v>3</v>
      </c>
      <c r="D805" s="4" t="n">
        <v>1</v>
      </c>
      <c r="E805" s="4" t="s">
        <v>26</v>
      </c>
      <c r="F805" s="3" t="s">
        <v>437</v>
      </c>
      <c r="G805" s="3" t="s">
        <v>436</v>
      </c>
      <c r="H805" s="3" t="s">
        <v>113</v>
      </c>
    </row>
    <row r="806" customFormat="false" ht="15" hidden="false" customHeight="false" outlineLevel="0" collapsed="false">
      <c r="A806" s="4" t="s">
        <v>76</v>
      </c>
      <c r="B806" s="4" t="s">
        <v>50</v>
      </c>
      <c r="C806" s="4" t="n">
        <v>4</v>
      </c>
      <c r="D806" s="4" t="n">
        <v>1</v>
      </c>
      <c r="E806" s="4" t="s">
        <v>34</v>
      </c>
      <c r="F806" s="3" t="s">
        <v>312</v>
      </c>
      <c r="G806" s="3" t="s">
        <v>504</v>
      </c>
      <c r="H806" s="3" t="s">
        <v>113</v>
      </c>
    </row>
    <row r="807" customFormat="false" ht="15" hidden="false" customHeight="false" outlineLevel="0" collapsed="false">
      <c r="A807" s="4" t="s">
        <v>76</v>
      </c>
      <c r="B807" s="4" t="s">
        <v>50</v>
      </c>
      <c r="C807" s="4" t="n">
        <v>5</v>
      </c>
      <c r="D807" s="4" t="n">
        <v>1</v>
      </c>
      <c r="E807" s="4" t="s">
        <v>37</v>
      </c>
      <c r="F807" s="3" t="s">
        <v>235</v>
      </c>
      <c r="G807" s="3" t="s">
        <v>460</v>
      </c>
      <c r="H807" s="3" t="s">
        <v>125</v>
      </c>
    </row>
    <row r="808" customFormat="false" ht="15" hidden="false" customHeight="false" outlineLevel="0" collapsed="false">
      <c r="A808" s="4" t="s">
        <v>76</v>
      </c>
      <c r="B808" s="4" t="s">
        <v>50</v>
      </c>
      <c r="C808" s="4" t="n">
        <v>6</v>
      </c>
      <c r="D808" s="4" t="n">
        <v>1</v>
      </c>
      <c r="E808" s="4" t="s">
        <v>42</v>
      </c>
      <c r="F808" s="3" t="s">
        <v>15</v>
      </c>
      <c r="G808" s="3" t="s">
        <v>566</v>
      </c>
      <c r="H808" s="3" t="s">
        <v>165</v>
      </c>
    </row>
    <row r="809" customFormat="false" ht="15" hidden="false" customHeight="false" outlineLevel="0" collapsed="false">
      <c r="A809" s="4" t="s">
        <v>76</v>
      </c>
      <c r="B809" s="4" t="s">
        <v>50</v>
      </c>
      <c r="C809" s="4" t="n">
        <v>7</v>
      </c>
      <c r="D809" s="4" t="n">
        <v>1</v>
      </c>
      <c r="E809" s="4" t="s">
        <v>39</v>
      </c>
      <c r="F809" s="3" t="s">
        <v>285</v>
      </c>
      <c r="G809" s="3" t="s">
        <v>450</v>
      </c>
      <c r="H809" s="3" t="s">
        <v>113</v>
      </c>
    </row>
    <row r="810" customFormat="false" ht="15" hidden="false" customHeight="false" outlineLevel="0" collapsed="false">
      <c r="A810" s="4" t="s">
        <v>76</v>
      </c>
      <c r="B810" s="4" t="s">
        <v>60</v>
      </c>
      <c r="C810" s="4" t="n">
        <v>1</v>
      </c>
      <c r="D810" s="4" t="n">
        <v>1</v>
      </c>
      <c r="E810" s="4" t="s">
        <v>16</v>
      </c>
      <c r="F810" s="3" t="s">
        <v>72</v>
      </c>
      <c r="G810" s="3" t="s">
        <v>568</v>
      </c>
      <c r="H810" s="3" t="s">
        <v>90</v>
      </c>
    </row>
    <row r="811" customFormat="false" ht="15" hidden="false" customHeight="false" outlineLevel="0" collapsed="false">
      <c r="A811" s="4" t="s">
        <v>76</v>
      </c>
      <c r="B811" s="4" t="s">
        <v>60</v>
      </c>
      <c r="C811" s="4" t="n">
        <v>2</v>
      </c>
      <c r="D811" s="4" t="n">
        <v>1</v>
      </c>
      <c r="E811" s="4" t="s">
        <v>21</v>
      </c>
      <c r="F811" s="3" t="s">
        <v>235</v>
      </c>
      <c r="G811" s="3" t="s">
        <v>460</v>
      </c>
      <c r="H811" s="3" t="s">
        <v>134</v>
      </c>
    </row>
    <row r="812" customFormat="false" ht="15" hidden="false" customHeight="false" outlineLevel="0" collapsed="false">
      <c r="A812" s="4" t="s">
        <v>76</v>
      </c>
      <c r="B812" s="4" t="s">
        <v>60</v>
      </c>
      <c r="C812" s="4" t="n">
        <v>3</v>
      </c>
      <c r="D812" s="4" t="n">
        <v>1</v>
      </c>
      <c r="E812" s="4" t="s">
        <v>26</v>
      </c>
      <c r="F812" s="3" t="s">
        <v>164</v>
      </c>
      <c r="G812" s="3" t="s">
        <v>567</v>
      </c>
      <c r="H812" s="3" t="s">
        <v>80</v>
      </c>
    </row>
    <row r="813" customFormat="false" ht="15" hidden="false" customHeight="false" outlineLevel="0" collapsed="false">
      <c r="A813" s="4" t="s">
        <v>76</v>
      </c>
      <c r="B813" s="4" t="s">
        <v>60</v>
      </c>
      <c r="C813" s="4" t="n">
        <v>4</v>
      </c>
      <c r="D813" s="4" t="n">
        <v>1</v>
      </c>
      <c r="E813" s="4" t="s">
        <v>34</v>
      </c>
      <c r="F813" s="3" t="s">
        <v>15</v>
      </c>
      <c r="G813" s="3" t="s">
        <v>566</v>
      </c>
      <c r="H813" s="3" t="s">
        <v>80</v>
      </c>
    </row>
    <row r="814" customFormat="false" ht="15" hidden="false" customHeight="false" outlineLevel="0" collapsed="false">
      <c r="A814" s="4" t="s">
        <v>76</v>
      </c>
      <c r="B814" s="4" t="s">
        <v>60</v>
      </c>
      <c r="C814" s="4" t="n">
        <v>5</v>
      </c>
      <c r="D814" s="4" t="n">
        <v>1</v>
      </c>
      <c r="E814" s="4" t="s">
        <v>37</v>
      </c>
      <c r="F814" s="3" t="s">
        <v>36</v>
      </c>
      <c r="G814" s="3" t="s">
        <v>569</v>
      </c>
      <c r="H814" s="3" t="s">
        <v>81</v>
      </c>
    </row>
    <row r="815" customFormat="false" ht="15" hidden="false" customHeight="false" outlineLevel="0" collapsed="false">
      <c r="A815" s="4" t="s">
        <v>76</v>
      </c>
      <c r="B815" s="4" t="s">
        <v>60</v>
      </c>
      <c r="C815" s="4" t="n">
        <v>6</v>
      </c>
      <c r="D815" s="4" t="n">
        <v>1</v>
      </c>
      <c r="E815" s="4" t="s">
        <v>42</v>
      </c>
      <c r="F815" s="3" t="s">
        <v>376</v>
      </c>
      <c r="G815" s="3" t="s">
        <v>375</v>
      </c>
      <c r="H815" s="3" t="s">
        <v>113</v>
      </c>
    </row>
    <row r="816" customFormat="false" ht="15" hidden="false" customHeight="false" outlineLevel="0" collapsed="false">
      <c r="A816" s="4" t="s">
        <v>76</v>
      </c>
      <c r="B816" s="4" t="s">
        <v>60</v>
      </c>
      <c r="C816" s="4" t="n">
        <v>7</v>
      </c>
      <c r="D816" s="4" t="n">
        <v>1</v>
      </c>
      <c r="E816" s="4" t="s">
        <v>39</v>
      </c>
      <c r="F816" s="3" t="s">
        <v>437</v>
      </c>
      <c r="G816" s="3" t="s">
        <v>436</v>
      </c>
      <c r="H816" s="3" t="s">
        <v>113</v>
      </c>
    </row>
    <row r="817" customFormat="false" ht="15" hidden="false" customHeight="false" outlineLevel="0" collapsed="false">
      <c r="A817" s="4" t="s">
        <v>76</v>
      </c>
      <c r="B817" s="4" t="s">
        <v>63</v>
      </c>
      <c r="C817" s="4" t="n">
        <v>1</v>
      </c>
      <c r="D817" s="4" t="n">
        <v>1</v>
      </c>
      <c r="E817" s="4" t="s">
        <v>16</v>
      </c>
      <c r="F817" s="3" t="s">
        <v>130</v>
      </c>
      <c r="G817" s="3" t="s">
        <v>270</v>
      </c>
      <c r="H817" s="3" t="s">
        <v>129</v>
      </c>
    </row>
    <row r="818" customFormat="false" ht="15" hidden="false" customHeight="false" outlineLevel="0" collapsed="false">
      <c r="A818" s="4" t="s">
        <v>76</v>
      </c>
      <c r="B818" s="4" t="s">
        <v>63</v>
      </c>
      <c r="C818" s="4" t="n">
        <v>2</v>
      </c>
      <c r="D818" s="4" t="n">
        <v>1</v>
      </c>
      <c r="E818" s="4" t="s">
        <v>21</v>
      </c>
      <c r="F818" s="3" t="s">
        <v>350</v>
      </c>
      <c r="G818" s="3" t="s">
        <v>126</v>
      </c>
      <c r="H818" s="3" t="s">
        <v>113</v>
      </c>
    </row>
    <row r="819" customFormat="false" ht="15" hidden="false" customHeight="false" outlineLevel="0" collapsed="false">
      <c r="A819" s="4" t="s">
        <v>76</v>
      </c>
      <c r="B819" s="4" t="s">
        <v>63</v>
      </c>
      <c r="C819" s="4" t="n">
        <v>3</v>
      </c>
      <c r="D819" s="4" t="n">
        <v>1</v>
      </c>
      <c r="E819" s="4" t="s">
        <v>26</v>
      </c>
      <c r="F819" s="3" t="s">
        <v>72</v>
      </c>
      <c r="G819" s="3" t="s">
        <v>568</v>
      </c>
      <c r="H819" s="3" t="s">
        <v>93</v>
      </c>
    </row>
    <row r="820" customFormat="false" ht="15" hidden="false" customHeight="false" outlineLevel="0" collapsed="false">
      <c r="A820" s="4" t="s">
        <v>76</v>
      </c>
      <c r="B820" s="4" t="s">
        <v>63</v>
      </c>
      <c r="C820" s="4" t="n">
        <v>4</v>
      </c>
      <c r="D820" s="4" t="n">
        <v>2</v>
      </c>
      <c r="E820" s="4" t="s">
        <v>533</v>
      </c>
      <c r="F820" s="3" t="s">
        <v>214</v>
      </c>
      <c r="G820" s="3" t="s">
        <v>572</v>
      </c>
      <c r="H820" s="3" t="s">
        <v>213</v>
      </c>
    </row>
    <row r="821" customFormat="false" ht="15" hidden="false" customHeight="false" outlineLevel="0" collapsed="false">
      <c r="A821" s="4" t="s">
        <v>76</v>
      </c>
      <c r="B821" s="4" t="s">
        <v>63</v>
      </c>
      <c r="C821" s="4" t="n">
        <v>6</v>
      </c>
      <c r="D821" s="4" t="n">
        <v>1</v>
      </c>
      <c r="E821" s="4" t="s">
        <v>42</v>
      </c>
      <c r="F821" s="3" t="s">
        <v>15</v>
      </c>
      <c r="G821" s="3" t="s">
        <v>566</v>
      </c>
      <c r="H821" s="3" t="s">
        <v>77</v>
      </c>
    </row>
    <row r="822" customFormat="false" ht="15" hidden="false" customHeight="false" outlineLevel="0" collapsed="false">
      <c r="A822" s="4" t="s">
        <v>76</v>
      </c>
      <c r="B822" s="4" t="s">
        <v>63</v>
      </c>
      <c r="C822" s="4" t="n">
        <v>7</v>
      </c>
      <c r="D822" s="4" t="n">
        <v>1</v>
      </c>
      <c r="E822" s="4" t="s">
        <v>39</v>
      </c>
      <c r="F822" s="3" t="s">
        <v>164</v>
      </c>
      <c r="G822" s="3" t="s">
        <v>567</v>
      </c>
      <c r="H822" s="3" t="s">
        <v>88</v>
      </c>
    </row>
    <row r="823" customFormat="false" ht="15" hidden="false" customHeight="false" outlineLevel="0" collapsed="false">
      <c r="A823" s="4" t="s">
        <v>76</v>
      </c>
      <c r="B823" s="4" t="s">
        <v>65</v>
      </c>
      <c r="C823" s="4" t="n">
        <v>1</v>
      </c>
      <c r="D823" s="4" t="n">
        <v>2</v>
      </c>
      <c r="E823" s="4" t="s">
        <v>539</v>
      </c>
      <c r="F823" s="3" t="s">
        <v>388</v>
      </c>
      <c r="G823" s="3" t="s">
        <v>571</v>
      </c>
      <c r="H823" s="3" t="s">
        <v>387</v>
      </c>
    </row>
    <row r="824" customFormat="false" ht="15" hidden="false" customHeight="false" outlineLevel="0" collapsed="false">
      <c r="A824" s="4" t="s">
        <v>76</v>
      </c>
      <c r="B824" s="4" t="s">
        <v>65</v>
      </c>
      <c r="C824" s="4" t="n">
        <v>3</v>
      </c>
      <c r="D824" s="4" t="n">
        <v>1</v>
      </c>
      <c r="E824" s="4" t="s">
        <v>26</v>
      </c>
      <c r="F824" s="3" t="s">
        <v>164</v>
      </c>
      <c r="G824" s="3" t="s">
        <v>567</v>
      </c>
      <c r="H824" s="3" t="s">
        <v>181</v>
      </c>
    </row>
    <row r="825" customFormat="false" ht="15" hidden="false" customHeight="false" outlineLevel="0" collapsed="false">
      <c r="A825" s="4" t="s">
        <v>76</v>
      </c>
      <c r="B825" s="4" t="s">
        <v>65</v>
      </c>
      <c r="C825" s="4" t="n">
        <v>4</v>
      </c>
      <c r="D825" s="4" t="n">
        <v>1</v>
      </c>
      <c r="E825" s="4" t="s">
        <v>34</v>
      </c>
      <c r="F825" s="3" t="s">
        <v>369</v>
      </c>
      <c r="G825" s="3" t="s">
        <v>367</v>
      </c>
      <c r="H825" s="3" t="s">
        <v>368</v>
      </c>
    </row>
    <row r="826" customFormat="false" ht="15" hidden="false" customHeight="false" outlineLevel="0" collapsed="false">
      <c r="A826" s="4" t="s">
        <v>76</v>
      </c>
      <c r="B826" s="4" t="s">
        <v>65</v>
      </c>
      <c r="C826" s="4" t="n">
        <v>5</v>
      </c>
      <c r="D826" s="4" t="n">
        <v>1</v>
      </c>
      <c r="E826" s="4" t="s">
        <v>37</v>
      </c>
      <c r="F826" s="3" t="s">
        <v>36</v>
      </c>
      <c r="G826" s="3" t="s">
        <v>569</v>
      </c>
      <c r="H826" s="3" t="s">
        <v>81</v>
      </c>
    </row>
    <row r="827" customFormat="false" ht="15" hidden="false" customHeight="false" outlineLevel="0" collapsed="false">
      <c r="A827" s="4" t="s">
        <v>76</v>
      </c>
      <c r="B827" s="4" t="s">
        <v>65</v>
      </c>
      <c r="C827" s="4" t="n">
        <v>6</v>
      </c>
      <c r="D827" s="4" t="n">
        <v>1</v>
      </c>
      <c r="E827" s="4" t="s">
        <v>42</v>
      </c>
      <c r="F827" s="3" t="s">
        <v>15</v>
      </c>
      <c r="G827" s="3" t="s">
        <v>566</v>
      </c>
      <c r="H827" s="3" t="s">
        <v>93</v>
      </c>
    </row>
    <row r="828" customFormat="false" ht="15" hidden="false" customHeight="false" outlineLevel="0" collapsed="false">
      <c r="A828" s="4" t="s">
        <v>76</v>
      </c>
      <c r="B828" s="4" t="s">
        <v>65</v>
      </c>
      <c r="C828" s="4" t="n">
        <v>7</v>
      </c>
      <c r="D828" s="4" t="n">
        <v>1</v>
      </c>
      <c r="E828" s="4" t="s">
        <v>39</v>
      </c>
      <c r="F828" s="3" t="s">
        <v>72</v>
      </c>
      <c r="G828" s="3" t="s">
        <v>568</v>
      </c>
      <c r="H828" s="3" t="s">
        <v>77</v>
      </c>
    </row>
    <row r="829" customFormat="false" ht="15" hidden="false" customHeight="false" outlineLevel="0" collapsed="false">
      <c r="A829" s="4" t="s">
        <v>76</v>
      </c>
      <c r="B829" s="4" t="s">
        <v>66</v>
      </c>
      <c r="C829" s="4" t="n">
        <v>1</v>
      </c>
      <c r="D829" s="4" t="n">
        <v>1</v>
      </c>
      <c r="E829" s="4" t="s">
        <v>16</v>
      </c>
      <c r="F829" s="3" t="s">
        <v>72</v>
      </c>
      <c r="G829" s="3" t="s">
        <v>568</v>
      </c>
      <c r="H829" s="3" t="s">
        <v>84</v>
      </c>
    </row>
    <row r="830" customFormat="false" ht="15" hidden="false" customHeight="false" outlineLevel="0" collapsed="false">
      <c r="A830" s="4" t="s">
        <v>76</v>
      </c>
      <c r="B830" s="4" t="s">
        <v>66</v>
      </c>
      <c r="C830" s="4" t="n">
        <v>2</v>
      </c>
      <c r="D830" s="4" t="n">
        <v>1</v>
      </c>
      <c r="E830" s="4" t="s">
        <v>21</v>
      </c>
      <c r="F830" s="3" t="s">
        <v>296</v>
      </c>
      <c r="G830" s="3" t="s">
        <v>570</v>
      </c>
      <c r="H830" s="3" t="s">
        <v>297</v>
      </c>
    </row>
    <row r="831" customFormat="false" ht="15" hidden="false" customHeight="false" outlineLevel="0" collapsed="false">
      <c r="A831" s="4" t="s">
        <v>76</v>
      </c>
      <c r="B831" s="4" t="s">
        <v>66</v>
      </c>
      <c r="C831" s="4" t="n">
        <v>3</v>
      </c>
      <c r="D831" s="4" t="n">
        <v>1</v>
      </c>
      <c r="E831" s="4" t="s">
        <v>26</v>
      </c>
      <c r="F831" s="3" t="s">
        <v>312</v>
      </c>
      <c r="G831" s="3" t="s">
        <v>504</v>
      </c>
      <c r="H831" s="3" t="s">
        <v>125</v>
      </c>
    </row>
    <row r="832" customFormat="false" ht="15" hidden="false" customHeight="false" outlineLevel="0" collapsed="false">
      <c r="A832" s="4" t="s">
        <v>76</v>
      </c>
      <c r="B832" s="4" t="s">
        <v>66</v>
      </c>
      <c r="C832" s="4" t="n">
        <v>4</v>
      </c>
      <c r="D832" s="4" t="n">
        <v>2</v>
      </c>
      <c r="E832" s="4" t="s">
        <v>533</v>
      </c>
      <c r="F832" s="3" t="s">
        <v>164</v>
      </c>
      <c r="G832" s="3" t="s">
        <v>567</v>
      </c>
      <c r="H832" s="3" t="s">
        <v>182</v>
      </c>
    </row>
    <row r="833" customFormat="false" ht="15" hidden="false" customHeight="false" outlineLevel="0" collapsed="false">
      <c r="A833" s="4" t="s">
        <v>76</v>
      </c>
      <c r="B833" s="4" t="s">
        <v>66</v>
      </c>
      <c r="C833" s="4" t="n">
        <v>6</v>
      </c>
      <c r="D833" s="4" t="n">
        <v>1</v>
      </c>
      <c r="E833" s="4" t="s">
        <v>42</v>
      </c>
      <c r="F833" s="3" t="s">
        <v>99</v>
      </c>
      <c r="G833" s="3" t="s">
        <v>97</v>
      </c>
      <c r="H833" s="3" t="s">
        <v>113</v>
      </c>
    </row>
    <row r="834" customFormat="false" ht="15" hidden="false" customHeight="false" outlineLevel="0" collapsed="false">
      <c r="A834" s="4" t="s">
        <v>76</v>
      </c>
      <c r="B834" s="4" t="s">
        <v>66</v>
      </c>
      <c r="C834" s="4" t="n">
        <v>7</v>
      </c>
      <c r="D834" s="4" t="n">
        <v>1</v>
      </c>
      <c r="E834" s="4" t="s">
        <v>39</v>
      </c>
      <c r="F834" s="3" t="s">
        <v>15</v>
      </c>
      <c r="G834" s="3" t="s">
        <v>566</v>
      </c>
      <c r="H834" s="3" t="s">
        <v>84</v>
      </c>
    </row>
    <row r="835" customFormat="false" ht="15" hidden="false" customHeight="false" outlineLevel="0" collapsed="false">
      <c r="A835" s="4" t="s">
        <v>78</v>
      </c>
      <c r="B835" s="4" t="s">
        <v>12</v>
      </c>
      <c r="C835" s="4" t="n">
        <v>1</v>
      </c>
      <c r="D835" s="4" t="n">
        <v>1</v>
      </c>
      <c r="E835" s="4" t="s">
        <v>16</v>
      </c>
      <c r="F835" s="3" t="s">
        <v>376</v>
      </c>
      <c r="G835" s="3" t="s">
        <v>484</v>
      </c>
      <c r="H835" s="3" t="s">
        <v>135</v>
      </c>
    </row>
    <row r="836" customFormat="false" ht="15" hidden="false" customHeight="false" outlineLevel="0" collapsed="false">
      <c r="A836" s="4" t="s">
        <v>78</v>
      </c>
      <c r="B836" s="4" t="s">
        <v>12</v>
      </c>
      <c r="C836" s="4" t="n">
        <v>2</v>
      </c>
      <c r="D836" s="4" t="n">
        <v>1</v>
      </c>
      <c r="E836" s="4" t="s">
        <v>21</v>
      </c>
      <c r="F836" s="3" t="s">
        <v>15</v>
      </c>
      <c r="G836" s="3" t="s">
        <v>566</v>
      </c>
      <c r="H836" s="3" t="s">
        <v>80</v>
      </c>
    </row>
    <row r="837" customFormat="false" ht="15" hidden="false" customHeight="false" outlineLevel="0" collapsed="false">
      <c r="A837" s="4" t="s">
        <v>78</v>
      </c>
      <c r="B837" s="4" t="s">
        <v>12</v>
      </c>
      <c r="C837" s="4" t="n">
        <v>3</v>
      </c>
      <c r="D837" s="4" t="n">
        <v>1</v>
      </c>
      <c r="E837" s="4" t="s">
        <v>26</v>
      </c>
      <c r="F837" s="3" t="s">
        <v>296</v>
      </c>
      <c r="G837" s="3" t="s">
        <v>573</v>
      </c>
      <c r="H837" s="3" t="s">
        <v>297</v>
      </c>
    </row>
    <row r="838" customFormat="false" ht="15" hidden="false" customHeight="false" outlineLevel="0" collapsed="false">
      <c r="A838" s="4" t="s">
        <v>78</v>
      </c>
      <c r="B838" s="4" t="s">
        <v>12</v>
      </c>
      <c r="C838" s="4" t="n">
        <v>4</v>
      </c>
      <c r="D838" s="4" t="n">
        <v>1</v>
      </c>
      <c r="E838" s="4" t="s">
        <v>34</v>
      </c>
      <c r="F838" s="3" t="s">
        <v>164</v>
      </c>
      <c r="G838" s="3" t="s">
        <v>567</v>
      </c>
      <c r="H838" s="3" t="s">
        <v>165</v>
      </c>
    </row>
    <row r="839" customFormat="false" ht="15" hidden="false" customHeight="false" outlineLevel="0" collapsed="false">
      <c r="A839" s="4" t="s">
        <v>78</v>
      </c>
      <c r="B839" s="4" t="s">
        <v>12</v>
      </c>
      <c r="C839" s="4" t="n">
        <v>5</v>
      </c>
      <c r="D839" s="4" t="n">
        <v>1</v>
      </c>
      <c r="E839" s="4" t="s">
        <v>37</v>
      </c>
      <c r="F839" s="3" t="s">
        <v>130</v>
      </c>
      <c r="G839" s="3" t="s">
        <v>123</v>
      </c>
      <c r="H839" s="3" t="s">
        <v>129</v>
      </c>
    </row>
    <row r="840" customFormat="false" ht="15" hidden="false" customHeight="false" outlineLevel="0" collapsed="false">
      <c r="A840" s="4" t="s">
        <v>78</v>
      </c>
      <c r="B840" s="4" t="s">
        <v>12</v>
      </c>
      <c r="C840" s="4" t="n">
        <v>6</v>
      </c>
      <c r="D840" s="4" t="n">
        <v>2</v>
      </c>
      <c r="E840" s="4" t="s">
        <v>536</v>
      </c>
      <c r="F840" s="3" t="s">
        <v>72</v>
      </c>
      <c r="G840" s="3" t="s">
        <v>568</v>
      </c>
      <c r="H840" s="3" t="s">
        <v>77</v>
      </c>
    </row>
    <row r="841" customFormat="false" ht="15" hidden="false" customHeight="false" outlineLevel="0" collapsed="false">
      <c r="A841" s="4" t="s">
        <v>78</v>
      </c>
      <c r="B841" s="4" t="s">
        <v>31</v>
      </c>
      <c r="C841" s="4" t="n">
        <v>1</v>
      </c>
      <c r="D841" s="4" t="n">
        <v>1</v>
      </c>
      <c r="E841" s="4" t="s">
        <v>16</v>
      </c>
      <c r="F841" s="3" t="s">
        <v>350</v>
      </c>
      <c r="G841" s="3" t="s">
        <v>511</v>
      </c>
      <c r="H841" s="3" t="s">
        <v>135</v>
      </c>
    </row>
    <row r="842" customFormat="false" ht="15" hidden="false" customHeight="false" outlineLevel="0" collapsed="false">
      <c r="A842" s="4" t="s">
        <v>78</v>
      </c>
      <c r="B842" s="4" t="s">
        <v>31</v>
      </c>
      <c r="C842" s="4" t="n">
        <v>2</v>
      </c>
      <c r="D842" s="4" t="n">
        <v>1</v>
      </c>
      <c r="E842" s="4" t="s">
        <v>21</v>
      </c>
      <c r="F842" s="3" t="s">
        <v>437</v>
      </c>
      <c r="G842" s="3" t="s">
        <v>436</v>
      </c>
      <c r="H842" s="3" t="s">
        <v>135</v>
      </c>
    </row>
    <row r="843" customFormat="false" ht="15" hidden="false" customHeight="false" outlineLevel="0" collapsed="false">
      <c r="A843" s="4" t="s">
        <v>78</v>
      </c>
      <c r="B843" s="4" t="s">
        <v>31</v>
      </c>
      <c r="C843" s="4" t="n">
        <v>3</v>
      </c>
      <c r="D843" s="4" t="n">
        <v>1</v>
      </c>
      <c r="E843" s="4" t="s">
        <v>26</v>
      </c>
      <c r="F843" s="3" t="s">
        <v>164</v>
      </c>
      <c r="G843" s="3" t="s">
        <v>567</v>
      </c>
      <c r="H843" s="3" t="s">
        <v>168</v>
      </c>
    </row>
    <row r="844" customFormat="false" ht="15" hidden="false" customHeight="false" outlineLevel="0" collapsed="false">
      <c r="A844" s="4" t="s">
        <v>78</v>
      </c>
      <c r="B844" s="4" t="s">
        <v>31</v>
      </c>
      <c r="C844" s="4" t="n">
        <v>4</v>
      </c>
      <c r="D844" s="4" t="n">
        <v>1</v>
      </c>
      <c r="E844" s="4" t="s">
        <v>34</v>
      </c>
      <c r="F844" s="3" t="s">
        <v>72</v>
      </c>
      <c r="G844" s="3" t="s">
        <v>568</v>
      </c>
      <c r="H844" s="3" t="s">
        <v>80</v>
      </c>
    </row>
    <row r="845" customFormat="false" ht="15" hidden="false" customHeight="false" outlineLevel="0" collapsed="false">
      <c r="A845" s="4" t="s">
        <v>78</v>
      </c>
      <c r="B845" s="4" t="s">
        <v>31</v>
      </c>
      <c r="C845" s="4" t="n">
        <v>5</v>
      </c>
      <c r="D845" s="4" t="n">
        <v>1</v>
      </c>
      <c r="E845" s="4" t="s">
        <v>37</v>
      </c>
      <c r="F845" s="3" t="s">
        <v>36</v>
      </c>
      <c r="G845" s="3" t="s">
        <v>569</v>
      </c>
      <c r="H845" s="3" t="s">
        <v>81</v>
      </c>
    </row>
    <row r="846" customFormat="false" ht="15" hidden="false" customHeight="false" outlineLevel="0" collapsed="false">
      <c r="A846" s="4" t="s">
        <v>78</v>
      </c>
      <c r="B846" s="4" t="s">
        <v>31</v>
      </c>
      <c r="C846" s="4" t="n">
        <v>6</v>
      </c>
      <c r="D846" s="4" t="n">
        <v>1</v>
      </c>
      <c r="E846" s="4" t="s">
        <v>42</v>
      </c>
      <c r="F846" s="3" t="s">
        <v>15</v>
      </c>
      <c r="G846" s="3" t="s">
        <v>566</v>
      </c>
      <c r="H846" s="3" t="s">
        <v>204</v>
      </c>
    </row>
    <row r="847" customFormat="false" ht="15" hidden="false" customHeight="false" outlineLevel="0" collapsed="false">
      <c r="A847" s="4" t="s">
        <v>78</v>
      </c>
      <c r="B847" s="4" t="s">
        <v>31</v>
      </c>
      <c r="C847" s="4" t="n">
        <v>7</v>
      </c>
      <c r="D847" s="4" t="n">
        <v>1</v>
      </c>
      <c r="E847" s="4" t="s">
        <v>39</v>
      </c>
      <c r="F847" s="3" t="s">
        <v>235</v>
      </c>
      <c r="G847" s="3" t="s">
        <v>509</v>
      </c>
      <c r="H847" s="3" t="s">
        <v>125</v>
      </c>
    </row>
    <row r="848" customFormat="false" ht="15" hidden="false" customHeight="false" outlineLevel="0" collapsed="false">
      <c r="A848" s="4" t="s">
        <v>78</v>
      </c>
      <c r="B848" s="4" t="s">
        <v>40</v>
      </c>
      <c r="C848" s="4" t="n">
        <v>1</v>
      </c>
      <c r="D848" s="4" t="n">
        <v>1</v>
      </c>
      <c r="E848" s="4" t="s">
        <v>16</v>
      </c>
      <c r="F848" s="3" t="s">
        <v>350</v>
      </c>
      <c r="G848" s="3" t="s">
        <v>511</v>
      </c>
      <c r="H848" s="3" t="s">
        <v>135</v>
      </c>
    </row>
    <row r="849" customFormat="false" ht="15" hidden="false" customHeight="false" outlineLevel="0" collapsed="false">
      <c r="A849" s="4" t="s">
        <v>78</v>
      </c>
      <c r="B849" s="4" t="s">
        <v>40</v>
      </c>
      <c r="C849" s="4" t="n">
        <v>2</v>
      </c>
      <c r="D849" s="4" t="n">
        <v>1</v>
      </c>
      <c r="E849" s="4" t="s">
        <v>21</v>
      </c>
      <c r="F849" s="3" t="s">
        <v>72</v>
      </c>
      <c r="G849" s="3" t="s">
        <v>568</v>
      </c>
      <c r="H849" s="3" t="s">
        <v>84</v>
      </c>
    </row>
    <row r="850" customFormat="false" ht="15" hidden="false" customHeight="false" outlineLevel="0" collapsed="false">
      <c r="A850" s="4" t="s">
        <v>78</v>
      </c>
      <c r="B850" s="4" t="s">
        <v>40</v>
      </c>
      <c r="C850" s="4" t="n">
        <v>3</v>
      </c>
      <c r="D850" s="4" t="n">
        <v>1</v>
      </c>
      <c r="E850" s="4" t="s">
        <v>26</v>
      </c>
      <c r="F850" s="3" t="s">
        <v>15</v>
      </c>
      <c r="G850" s="3" t="s">
        <v>566</v>
      </c>
      <c r="H850" s="3" t="s">
        <v>206</v>
      </c>
    </row>
    <row r="851" customFormat="false" ht="15" hidden="false" customHeight="false" outlineLevel="0" collapsed="false">
      <c r="A851" s="4" t="s">
        <v>78</v>
      </c>
      <c r="B851" s="4" t="s">
        <v>40</v>
      </c>
      <c r="C851" s="4" t="n">
        <v>4</v>
      </c>
      <c r="D851" s="4" t="n">
        <v>1</v>
      </c>
      <c r="E851" s="4" t="s">
        <v>34</v>
      </c>
      <c r="F851" s="3" t="s">
        <v>99</v>
      </c>
      <c r="G851" s="3" t="s">
        <v>474</v>
      </c>
      <c r="H851" s="3" t="s">
        <v>135</v>
      </c>
    </row>
    <row r="852" customFormat="false" ht="15" hidden="false" customHeight="false" outlineLevel="0" collapsed="false">
      <c r="A852" s="4" t="s">
        <v>78</v>
      </c>
      <c r="B852" s="4" t="s">
        <v>40</v>
      </c>
      <c r="C852" s="4" t="n">
        <v>5</v>
      </c>
      <c r="D852" s="4" t="n">
        <v>1</v>
      </c>
      <c r="E852" s="4" t="s">
        <v>37</v>
      </c>
      <c r="F852" s="3" t="s">
        <v>164</v>
      </c>
      <c r="G852" s="3" t="s">
        <v>567</v>
      </c>
      <c r="H852" s="3" t="s">
        <v>84</v>
      </c>
    </row>
    <row r="853" customFormat="false" ht="15" hidden="false" customHeight="false" outlineLevel="0" collapsed="false">
      <c r="A853" s="4" t="s">
        <v>78</v>
      </c>
      <c r="B853" s="4" t="s">
        <v>40</v>
      </c>
      <c r="C853" s="4" t="n">
        <v>6</v>
      </c>
      <c r="D853" s="4" t="n">
        <v>2</v>
      </c>
      <c r="E853" s="4" t="s">
        <v>536</v>
      </c>
      <c r="F853" s="3" t="s">
        <v>388</v>
      </c>
      <c r="G853" s="3" t="s">
        <v>571</v>
      </c>
      <c r="H853" s="3" t="s">
        <v>387</v>
      </c>
    </row>
    <row r="854" customFormat="false" ht="15" hidden="false" customHeight="false" outlineLevel="0" collapsed="false">
      <c r="A854" s="4" t="s">
        <v>78</v>
      </c>
      <c r="B854" s="4" t="s">
        <v>44</v>
      </c>
      <c r="C854" s="4" t="n">
        <v>1</v>
      </c>
      <c r="D854" s="4" t="n">
        <v>1</v>
      </c>
      <c r="E854" s="4" t="s">
        <v>16</v>
      </c>
      <c r="F854" s="3" t="s">
        <v>164</v>
      </c>
      <c r="G854" s="3" t="s">
        <v>567</v>
      </c>
      <c r="H854" s="3" t="s">
        <v>90</v>
      </c>
    </row>
    <row r="855" customFormat="false" ht="15" hidden="false" customHeight="false" outlineLevel="0" collapsed="false">
      <c r="A855" s="4" t="s">
        <v>78</v>
      </c>
      <c r="B855" s="4" t="s">
        <v>44</v>
      </c>
      <c r="C855" s="4" t="n">
        <v>2</v>
      </c>
      <c r="D855" s="4" t="n">
        <v>1</v>
      </c>
      <c r="E855" s="4" t="s">
        <v>21</v>
      </c>
      <c r="F855" s="3" t="s">
        <v>296</v>
      </c>
      <c r="G855" s="3" t="s">
        <v>573</v>
      </c>
      <c r="H855" s="3" t="s">
        <v>297</v>
      </c>
    </row>
    <row r="856" customFormat="false" ht="15" hidden="false" customHeight="false" outlineLevel="0" collapsed="false">
      <c r="A856" s="4" t="s">
        <v>78</v>
      </c>
      <c r="B856" s="4" t="s">
        <v>44</v>
      </c>
      <c r="C856" s="4" t="n">
        <v>3</v>
      </c>
      <c r="D856" s="4" t="n">
        <v>1</v>
      </c>
      <c r="E856" s="4" t="s">
        <v>26</v>
      </c>
      <c r="F856" s="3" t="s">
        <v>437</v>
      </c>
      <c r="G856" s="3" t="s">
        <v>436</v>
      </c>
      <c r="H856" s="3" t="s">
        <v>135</v>
      </c>
    </row>
    <row r="857" customFormat="false" ht="15" hidden="false" customHeight="false" outlineLevel="0" collapsed="false">
      <c r="A857" s="4" t="s">
        <v>78</v>
      </c>
      <c r="B857" s="4" t="s">
        <v>44</v>
      </c>
      <c r="C857" s="4" t="n">
        <v>4</v>
      </c>
      <c r="D857" s="4" t="n">
        <v>1</v>
      </c>
      <c r="E857" s="4" t="s">
        <v>34</v>
      </c>
      <c r="F857" s="3" t="s">
        <v>72</v>
      </c>
      <c r="G857" s="3" t="s">
        <v>568</v>
      </c>
      <c r="H857" s="3" t="s">
        <v>84</v>
      </c>
    </row>
    <row r="858" customFormat="false" ht="15" hidden="false" customHeight="false" outlineLevel="0" collapsed="false">
      <c r="A858" s="4" t="s">
        <v>78</v>
      </c>
      <c r="B858" s="4" t="s">
        <v>44</v>
      </c>
      <c r="C858" s="4" t="n">
        <v>5</v>
      </c>
      <c r="D858" s="4" t="n">
        <v>1</v>
      </c>
      <c r="E858" s="4" t="s">
        <v>37</v>
      </c>
      <c r="F858" s="3" t="s">
        <v>36</v>
      </c>
      <c r="G858" s="3" t="s">
        <v>569</v>
      </c>
      <c r="H858" s="3" t="s">
        <v>81</v>
      </c>
    </row>
    <row r="859" customFormat="false" ht="15" hidden="false" customHeight="false" outlineLevel="0" collapsed="false">
      <c r="A859" s="4" t="s">
        <v>78</v>
      </c>
      <c r="B859" s="4" t="s">
        <v>44</v>
      </c>
      <c r="C859" s="4" t="n">
        <v>6</v>
      </c>
      <c r="D859" s="4" t="n">
        <v>1</v>
      </c>
      <c r="E859" s="4" t="s">
        <v>42</v>
      </c>
      <c r="F859" s="3" t="s">
        <v>15</v>
      </c>
      <c r="G859" s="3" t="s">
        <v>566</v>
      </c>
      <c r="H859" s="3" t="s">
        <v>209</v>
      </c>
    </row>
    <row r="860" customFormat="false" ht="15" hidden="false" customHeight="false" outlineLevel="0" collapsed="false">
      <c r="A860" s="4" t="s">
        <v>78</v>
      </c>
      <c r="B860" s="4" t="s">
        <v>44</v>
      </c>
      <c r="C860" s="4" t="n">
        <v>7</v>
      </c>
      <c r="D860" s="4" t="n">
        <v>1</v>
      </c>
      <c r="E860" s="4" t="s">
        <v>39</v>
      </c>
      <c r="F860" s="3" t="s">
        <v>312</v>
      </c>
      <c r="G860" s="3" t="s">
        <v>490</v>
      </c>
      <c r="H860" s="3" t="s">
        <v>125</v>
      </c>
    </row>
    <row r="861" customFormat="false" ht="15" hidden="false" customHeight="false" outlineLevel="0" collapsed="false">
      <c r="A861" s="4" t="s">
        <v>78</v>
      </c>
      <c r="B861" s="4" t="s">
        <v>47</v>
      </c>
      <c r="C861" s="4" t="n">
        <v>1</v>
      </c>
      <c r="D861" s="4" t="n">
        <v>1</v>
      </c>
      <c r="E861" s="4" t="s">
        <v>16</v>
      </c>
      <c r="F861" s="3" t="s">
        <v>15</v>
      </c>
      <c r="G861" s="3" t="s">
        <v>566</v>
      </c>
      <c r="H861" s="3" t="s">
        <v>88</v>
      </c>
    </row>
    <row r="862" customFormat="false" ht="15" hidden="false" customHeight="false" outlineLevel="0" collapsed="false">
      <c r="A862" s="4" t="s">
        <v>78</v>
      </c>
      <c r="B862" s="4" t="s">
        <v>47</v>
      </c>
      <c r="C862" s="4" t="n">
        <v>2</v>
      </c>
      <c r="D862" s="4" t="n">
        <v>1</v>
      </c>
      <c r="E862" s="4" t="s">
        <v>21</v>
      </c>
      <c r="F862" s="3" t="s">
        <v>164</v>
      </c>
      <c r="G862" s="3" t="s">
        <v>567</v>
      </c>
      <c r="H862" s="3" t="s">
        <v>174</v>
      </c>
    </row>
    <row r="863" customFormat="false" ht="15" hidden="false" customHeight="false" outlineLevel="0" collapsed="false">
      <c r="A863" s="4" t="s">
        <v>78</v>
      </c>
      <c r="B863" s="4" t="s">
        <v>47</v>
      </c>
      <c r="C863" s="4" t="n">
        <v>3</v>
      </c>
      <c r="D863" s="4" t="n">
        <v>1</v>
      </c>
      <c r="E863" s="4" t="s">
        <v>26</v>
      </c>
      <c r="F863" s="3" t="s">
        <v>285</v>
      </c>
      <c r="G863" s="3" t="s">
        <v>361</v>
      </c>
      <c r="H863" s="3" t="s">
        <v>135</v>
      </c>
    </row>
    <row r="864" customFormat="false" ht="15" hidden="false" customHeight="false" outlineLevel="0" collapsed="false">
      <c r="A864" s="4" t="s">
        <v>78</v>
      </c>
      <c r="B864" s="4" t="s">
        <v>47</v>
      </c>
      <c r="C864" s="4" t="n">
        <v>4</v>
      </c>
      <c r="D864" s="4" t="n">
        <v>1</v>
      </c>
      <c r="E864" s="4" t="s">
        <v>34</v>
      </c>
      <c r="F864" s="3" t="s">
        <v>72</v>
      </c>
      <c r="G864" s="3" t="s">
        <v>568</v>
      </c>
      <c r="H864" s="3" t="s">
        <v>87</v>
      </c>
    </row>
    <row r="865" customFormat="false" ht="15" hidden="false" customHeight="false" outlineLevel="0" collapsed="false">
      <c r="A865" s="4" t="s">
        <v>78</v>
      </c>
      <c r="B865" s="4" t="s">
        <v>47</v>
      </c>
      <c r="C865" s="4" t="n">
        <v>5</v>
      </c>
      <c r="D865" s="4" t="n">
        <v>1</v>
      </c>
      <c r="E865" s="4" t="s">
        <v>37</v>
      </c>
      <c r="F865" s="3" t="s">
        <v>130</v>
      </c>
      <c r="G865" s="3" t="s">
        <v>123</v>
      </c>
      <c r="H865" s="3" t="s">
        <v>129</v>
      </c>
    </row>
    <row r="866" customFormat="false" ht="15" hidden="false" customHeight="false" outlineLevel="0" collapsed="false">
      <c r="A866" s="4" t="s">
        <v>78</v>
      </c>
      <c r="B866" s="4" t="s">
        <v>47</v>
      </c>
      <c r="C866" s="4" t="n">
        <v>6</v>
      </c>
      <c r="D866" s="4" t="n">
        <v>1</v>
      </c>
      <c r="E866" s="4" t="s">
        <v>42</v>
      </c>
      <c r="F866" s="3" t="s">
        <v>99</v>
      </c>
      <c r="G866" s="3" t="s">
        <v>474</v>
      </c>
      <c r="H866" s="3" t="s">
        <v>135</v>
      </c>
    </row>
    <row r="867" customFormat="false" ht="15" hidden="false" customHeight="false" outlineLevel="0" collapsed="false">
      <c r="A867" s="4" t="s">
        <v>78</v>
      </c>
      <c r="B867" s="4" t="s">
        <v>47</v>
      </c>
      <c r="C867" s="4" t="n">
        <v>7</v>
      </c>
      <c r="D867" s="4" t="n">
        <v>1</v>
      </c>
      <c r="E867" s="4" t="s">
        <v>39</v>
      </c>
      <c r="F867" s="3" t="s">
        <v>235</v>
      </c>
      <c r="G867" s="3" t="s">
        <v>509</v>
      </c>
      <c r="H867" s="3" t="s">
        <v>135</v>
      </c>
    </row>
    <row r="868" customFormat="false" ht="15" hidden="false" customHeight="false" outlineLevel="0" collapsed="false">
      <c r="A868" s="4" t="s">
        <v>78</v>
      </c>
      <c r="B868" s="4" t="s">
        <v>50</v>
      </c>
      <c r="C868" s="4" t="n">
        <v>1</v>
      </c>
      <c r="D868" s="4" t="n">
        <v>1</v>
      </c>
      <c r="E868" s="4" t="s">
        <v>16</v>
      </c>
      <c r="F868" s="3" t="s">
        <v>72</v>
      </c>
      <c r="G868" s="3" t="s">
        <v>568</v>
      </c>
      <c r="H868" s="3" t="s">
        <v>88</v>
      </c>
    </row>
    <row r="869" customFormat="false" ht="15" hidden="false" customHeight="false" outlineLevel="0" collapsed="false">
      <c r="A869" s="4" t="s">
        <v>78</v>
      </c>
      <c r="B869" s="4" t="s">
        <v>50</v>
      </c>
      <c r="C869" s="4" t="n">
        <v>2</v>
      </c>
      <c r="D869" s="4" t="n">
        <v>1</v>
      </c>
      <c r="E869" s="4" t="s">
        <v>21</v>
      </c>
      <c r="F869" s="3" t="s">
        <v>164</v>
      </c>
      <c r="G869" s="3" t="s">
        <v>567</v>
      </c>
      <c r="H869" s="3" t="s">
        <v>90</v>
      </c>
    </row>
    <row r="870" customFormat="false" ht="15" hidden="false" customHeight="false" outlineLevel="0" collapsed="false">
      <c r="A870" s="4" t="s">
        <v>78</v>
      </c>
      <c r="B870" s="4" t="s">
        <v>50</v>
      </c>
      <c r="C870" s="4" t="n">
        <v>3</v>
      </c>
      <c r="D870" s="4" t="n">
        <v>1</v>
      </c>
      <c r="E870" s="4" t="s">
        <v>26</v>
      </c>
      <c r="F870" s="3" t="s">
        <v>296</v>
      </c>
      <c r="G870" s="3" t="s">
        <v>573</v>
      </c>
      <c r="H870" s="3" t="s">
        <v>297</v>
      </c>
    </row>
    <row r="871" customFormat="false" ht="15" hidden="false" customHeight="false" outlineLevel="0" collapsed="false">
      <c r="A871" s="4" t="s">
        <v>78</v>
      </c>
      <c r="B871" s="4" t="s">
        <v>50</v>
      </c>
      <c r="C871" s="4" t="n">
        <v>4</v>
      </c>
      <c r="D871" s="4" t="n">
        <v>1</v>
      </c>
      <c r="E871" s="4" t="s">
        <v>34</v>
      </c>
      <c r="F871" s="3" t="s">
        <v>235</v>
      </c>
      <c r="G871" s="3" t="s">
        <v>509</v>
      </c>
      <c r="H871" s="3" t="s">
        <v>125</v>
      </c>
    </row>
    <row r="872" customFormat="false" ht="15" hidden="false" customHeight="false" outlineLevel="0" collapsed="false">
      <c r="A872" s="4" t="s">
        <v>78</v>
      </c>
      <c r="B872" s="4" t="s">
        <v>50</v>
      </c>
      <c r="C872" s="4" t="n">
        <v>5</v>
      </c>
      <c r="D872" s="4" t="n">
        <v>1</v>
      </c>
      <c r="E872" s="4" t="s">
        <v>37</v>
      </c>
      <c r="F872" s="3" t="s">
        <v>130</v>
      </c>
      <c r="G872" s="3" t="s">
        <v>123</v>
      </c>
      <c r="H872" s="3" t="s">
        <v>135</v>
      </c>
    </row>
    <row r="873" customFormat="false" ht="15" hidden="false" customHeight="false" outlineLevel="0" collapsed="false">
      <c r="A873" s="4" t="s">
        <v>78</v>
      </c>
      <c r="B873" s="4" t="s">
        <v>50</v>
      </c>
      <c r="C873" s="4" t="n">
        <v>6</v>
      </c>
      <c r="D873" s="4" t="n">
        <v>1</v>
      </c>
      <c r="E873" s="4" t="s">
        <v>42</v>
      </c>
      <c r="F873" s="3" t="s">
        <v>15</v>
      </c>
      <c r="G873" s="3" t="s">
        <v>566</v>
      </c>
      <c r="H873" s="3" t="s">
        <v>165</v>
      </c>
    </row>
    <row r="874" customFormat="false" ht="15" hidden="false" customHeight="false" outlineLevel="0" collapsed="false">
      <c r="A874" s="4" t="s">
        <v>78</v>
      </c>
      <c r="B874" s="4" t="s">
        <v>50</v>
      </c>
      <c r="C874" s="4" t="n">
        <v>7</v>
      </c>
      <c r="D874" s="4" t="n">
        <v>1</v>
      </c>
      <c r="E874" s="4" t="s">
        <v>39</v>
      </c>
      <c r="F874" s="3" t="s">
        <v>312</v>
      </c>
      <c r="G874" s="3" t="s">
        <v>490</v>
      </c>
      <c r="H874" s="3" t="s">
        <v>135</v>
      </c>
    </row>
    <row r="875" customFormat="false" ht="15" hidden="false" customHeight="false" outlineLevel="0" collapsed="false">
      <c r="A875" s="4" t="s">
        <v>78</v>
      </c>
      <c r="B875" s="4" t="s">
        <v>60</v>
      </c>
      <c r="C875" s="4" t="n">
        <v>1</v>
      </c>
      <c r="D875" s="4" t="n">
        <v>1</v>
      </c>
      <c r="E875" s="4" t="s">
        <v>16</v>
      </c>
      <c r="F875" s="3" t="s">
        <v>72</v>
      </c>
      <c r="G875" s="3" t="s">
        <v>568</v>
      </c>
      <c r="H875" s="3" t="s">
        <v>90</v>
      </c>
    </row>
    <row r="876" customFormat="false" ht="15" hidden="false" customHeight="false" outlineLevel="0" collapsed="false">
      <c r="A876" s="4" t="s">
        <v>78</v>
      </c>
      <c r="B876" s="4" t="s">
        <v>60</v>
      </c>
      <c r="C876" s="4" t="n">
        <v>2</v>
      </c>
      <c r="D876" s="4" t="n">
        <v>1</v>
      </c>
      <c r="E876" s="4" t="s">
        <v>21</v>
      </c>
      <c r="F876" s="3" t="s">
        <v>285</v>
      </c>
      <c r="G876" s="3" t="s">
        <v>361</v>
      </c>
      <c r="H876" s="3" t="s">
        <v>135</v>
      </c>
    </row>
    <row r="877" customFormat="false" ht="15" hidden="false" customHeight="false" outlineLevel="0" collapsed="false">
      <c r="A877" s="4" t="s">
        <v>78</v>
      </c>
      <c r="B877" s="4" t="s">
        <v>60</v>
      </c>
      <c r="C877" s="4" t="n">
        <v>3</v>
      </c>
      <c r="D877" s="4" t="n">
        <v>1</v>
      </c>
      <c r="E877" s="4" t="s">
        <v>26</v>
      </c>
      <c r="F877" s="3" t="s">
        <v>164</v>
      </c>
      <c r="G877" s="3" t="s">
        <v>567</v>
      </c>
      <c r="H877" s="3" t="s">
        <v>80</v>
      </c>
    </row>
    <row r="878" customFormat="false" ht="15" hidden="false" customHeight="false" outlineLevel="0" collapsed="false">
      <c r="A878" s="4" t="s">
        <v>78</v>
      </c>
      <c r="B878" s="4" t="s">
        <v>60</v>
      </c>
      <c r="C878" s="4" t="n">
        <v>4</v>
      </c>
      <c r="D878" s="4" t="n">
        <v>1</v>
      </c>
      <c r="E878" s="4" t="s">
        <v>34</v>
      </c>
      <c r="F878" s="3" t="s">
        <v>15</v>
      </c>
      <c r="G878" s="3" t="s">
        <v>566</v>
      </c>
      <c r="H878" s="3" t="s">
        <v>80</v>
      </c>
    </row>
    <row r="879" customFormat="false" ht="15" hidden="false" customHeight="false" outlineLevel="0" collapsed="false">
      <c r="A879" s="4" t="s">
        <v>78</v>
      </c>
      <c r="B879" s="4" t="s">
        <v>60</v>
      </c>
      <c r="C879" s="4" t="n">
        <v>5</v>
      </c>
      <c r="D879" s="4" t="n">
        <v>1</v>
      </c>
      <c r="E879" s="4" t="s">
        <v>37</v>
      </c>
      <c r="F879" s="3" t="s">
        <v>36</v>
      </c>
      <c r="G879" s="3" t="s">
        <v>569</v>
      </c>
      <c r="H879" s="3" t="s">
        <v>81</v>
      </c>
    </row>
    <row r="880" customFormat="false" ht="15" hidden="false" customHeight="false" outlineLevel="0" collapsed="false">
      <c r="A880" s="4" t="s">
        <v>78</v>
      </c>
      <c r="B880" s="4" t="s">
        <v>60</v>
      </c>
      <c r="C880" s="4" t="n">
        <v>6</v>
      </c>
      <c r="D880" s="4" t="n">
        <v>2</v>
      </c>
      <c r="E880" s="4" t="s">
        <v>536</v>
      </c>
      <c r="F880" s="3" t="s">
        <v>463</v>
      </c>
      <c r="G880" s="3" t="s">
        <v>574</v>
      </c>
      <c r="H880" s="3" t="s">
        <v>462</v>
      </c>
    </row>
    <row r="881" customFormat="false" ht="15" hidden="false" customHeight="false" outlineLevel="0" collapsed="false">
      <c r="A881" s="4" t="s">
        <v>78</v>
      </c>
      <c r="B881" s="4" t="s">
        <v>63</v>
      </c>
      <c r="C881" s="4" t="n">
        <v>1</v>
      </c>
      <c r="D881" s="4" t="n">
        <v>1</v>
      </c>
      <c r="E881" s="4" t="s">
        <v>16</v>
      </c>
      <c r="F881" s="3" t="s">
        <v>99</v>
      </c>
      <c r="G881" s="3" t="s">
        <v>474</v>
      </c>
      <c r="H881" s="3" t="s">
        <v>135</v>
      </c>
    </row>
    <row r="882" customFormat="false" ht="15" hidden="false" customHeight="false" outlineLevel="0" collapsed="false">
      <c r="A882" s="4" t="s">
        <v>78</v>
      </c>
      <c r="B882" s="4" t="s">
        <v>63</v>
      </c>
      <c r="C882" s="4" t="n">
        <v>2</v>
      </c>
      <c r="D882" s="4" t="n">
        <v>1</v>
      </c>
      <c r="E882" s="4" t="s">
        <v>21</v>
      </c>
      <c r="F882" s="3" t="s">
        <v>350</v>
      </c>
      <c r="G882" s="3" t="s">
        <v>511</v>
      </c>
      <c r="H882" s="3" t="s">
        <v>135</v>
      </c>
    </row>
    <row r="883" customFormat="false" ht="15" hidden="false" customHeight="false" outlineLevel="0" collapsed="false">
      <c r="A883" s="4" t="s">
        <v>78</v>
      </c>
      <c r="B883" s="4" t="s">
        <v>63</v>
      </c>
      <c r="C883" s="4" t="n">
        <v>3</v>
      </c>
      <c r="D883" s="4" t="n">
        <v>1</v>
      </c>
      <c r="E883" s="4" t="s">
        <v>26</v>
      </c>
      <c r="F883" s="3" t="s">
        <v>72</v>
      </c>
      <c r="G883" s="3" t="s">
        <v>568</v>
      </c>
      <c r="H883" s="3" t="s">
        <v>93</v>
      </c>
    </row>
    <row r="884" customFormat="false" ht="15" hidden="false" customHeight="false" outlineLevel="0" collapsed="false">
      <c r="A884" s="4" t="s">
        <v>78</v>
      </c>
      <c r="B884" s="4" t="s">
        <v>63</v>
      </c>
      <c r="C884" s="4" t="n">
        <v>4</v>
      </c>
      <c r="D884" s="4" t="n">
        <v>2</v>
      </c>
      <c r="E884" s="4" t="s">
        <v>533</v>
      </c>
      <c r="F884" s="3" t="s">
        <v>214</v>
      </c>
      <c r="G884" s="3" t="s">
        <v>572</v>
      </c>
      <c r="H884" s="3" t="s">
        <v>213</v>
      </c>
    </row>
    <row r="885" customFormat="false" ht="15" hidden="false" customHeight="false" outlineLevel="0" collapsed="false">
      <c r="A885" s="4" t="s">
        <v>78</v>
      </c>
      <c r="B885" s="4" t="s">
        <v>63</v>
      </c>
      <c r="C885" s="4" t="n">
        <v>6</v>
      </c>
      <c r="D885" s="4" t="n">
        <v>1</v>
      </c>
      <c r="E885" s="4" t="s">
        <v>42</v>
      </c>
      <c r="F885" s="3" t="s">
        <v>15</v>
      </c>
      <c r="G885" s="3" t="s">
        <v>566</v>
      </c>
      <c r="H885" s="3" t="s">
        <v>77</v>
      </c>
    </row>
    <row r="886" customFormat="false" ht="15" hidden="false" customHeight="false" outlineLevel="0" collapsed="false">
      <c r="A886" s="4" t="s">
        <v>78</v>
      </c>
      <c r="B886" s="4" t="s">
        <v>63</v>
      </c>
      <c r="C886" s="4" t="n">
        <v>7</v>
      </c>
      <c r="D886" s="4" t="n">
        <v>1</v>
      </c>
      <c r="E886" s="4" t="s">
        <v>39</v>
      </c>
      <c r="F886" s="3" t="s">
        <v>164</v>
      </c>
      <c r="G886" s="3" t="s">
        <v>567</v>
      </c>
      <c r="H886" s="3" t="s">
        <v>88</v>
      </c>
    </row>
    <row r="887" customFormat="false" ht="15" hidden="false" customHeight="false" outlineLevel="0" collapsed="false">
      <c r="A887" s="4" t="s">
        <v>78</v>
      </c>
      <c r="B887" s="4" t="s">
        <v>65</v>
      </c>
      <c r="C887" s="4" t="n">
        <v>1</v>
      </c>
      <c r="D887" s="4" t="n">
        <v>2</v>
      </c>
      <c r="E887" s="4" t="s">
        <v>539</v>
      </c>
      <c r="F887" s="3" t="s">
        <v>388</v>
      </c>
      <c r="G887" s="3" t="s">
        <v>571</v>
      </c>
      <c r="H887" s="3" t="s">
        <v>387</v>
      </c>
    </row>
    <row r="888" customFormat="false" ht="15" hidden="false" customHeight="false" outlineLevel="0" collapsed="false">
      <c r="A888" s="4" t="s">
        <v>78</v>
      </c>
      <c r="B888" s="4" t="s">
        <v>65</v>
      </c>
      <c r="C888" s="4" t="n">
        <v>3</v>
      </c>
      <c r="D888" s="4" t="n">
        <v>1</v>
      </c>
      <c r="E888" s="4" t="s">
        <v>26</v>
      </c>
      <c r="F888" s="3" t="s">
        <v>164</v>
      </c>
      <c r="G888" s="3" t="s">
        <v>567</v>
      </c>
      <c r="H888" s="3" t="s">
        <v>181</v>
      </c>
    </row>
    <row r="889" customFormat="false" ht="15" hidden="false" customHeight="false" outlineLevel="0" collapsed="false">
      <c r="A889" s="4" t="s">
        <v>78</v>
      </c>
      <c r="B889" s="4" t="s">
        <v>65</v>
      </c>
      <c r="C889" s="4" t="n">
        <v>4</v>
      </c>
      <c r="D889" s="4" t="n">
        <v>1</v>
      </c>
      <c r="E889" s="4" t="s">
        <v>34</v>
      </c>
      <c r="F889" s="3" t="s">
        <v>285</v>
      </c>
      <c r="G889" s="3" t="s">
        <v>361</v>
      </c>
      <c r="H889" s="3" t="s">
        <v>135</v>
      </c>
    </row>
    <row r="890" customFormat="false" ht="15" hidden="false" customHeight="false" outlineLevel="0" collapsed="false">
      <c r="A890" s="4" t="s">
        <v>78</v>
      </c>
      <c r="B890" s="4" t="s">
        <v>65</v>
      </c>
      <c r="C890" s="4" t="n">
        <v>5</v>
      </c>
      <c r="D890" s="4" t="n">
        <v>1</v>
      </c>
      <c r="E890" s="4" t="s">
        <v>37</v>
      </c>
      <c r="F890" s="3" t="s">
        <v>36</v>
      </c>
      <c r="G890" s="3" t="s">
        <v>569</v>
      </c>
      <c r="H890" s="3" t="s">
        <v>81</v>
      </c>
    </row>
    <row r="891" customFormat="false" ht="15" hidden="false" customHeight="false" outlineLevel="0" collapsed="false">
      <c r="A891" s="4" t="s">
        <v>78</v>
      </c>
      <c r="B891" s="4" t="s">
        <v>65</v>
      </c>
      <c r="C891" s="4" t="n">
        <v>6</v>
      </c>
      <c r="D891" s="4" t="n">
        <v>1</v>
      </c>
      <c r="E891" s="4" t="s">
        <v>42</v>
      </c>
      <c r="F891" s="3" t="s">
        <v>15</v>
      </c>
      <c r="G891" s="3" t="s">
        <v>566</v>
      </c>
      <c r="H891" s="3" t="s">
        <v>93</v>
      </c>
    </row>
    <row r="892" customFormat="false" ht="15" hidden="false" customHeight="false" outlineLevel="0" collapsed="false">
      <c r="A892" s="4" t="s">
        <v>78</v>
      </c>
      <c r="B892" s="4" t="s">
        <v>65</v>
      </c>
      <c r="C892" s="4" t="n">
        <v>7</v>
      </c>
      <c r="D892" s="4" t="n">
        <v>1</v>
      </c>
      <c r="E892" s="4" t="s">
        <v>39</v>
      </c>
      <c r="F892" s="3" t="s">
        <v>72</v>
      </c>
      <c r="G892" s="3" t="s">
        <v>568</v>
      </c>
      <c r="H892" s="3" t="s">
        <v>77</v>
      </c>
    </row>
    <row r="893" customFormat="false" ht="15" hidden="false" customHeight="false" outlineLevel="0" collapsed="false">
      <c r="A893" s="4" t="s">
        <v>78</v>
      </c>
      <c r="B893" s="4" t="s">
        <v>66</v>
      </c>
      <c r="C893" s="4" t="n">
        <v>1</v>
      </c>
      <c r="D893" s="4" t="n">
        <v>1</v>
      </c>
      <c r="E893" s="4" t="s">
        <v>16</v>
      </c>
      <c r="F893" s="3" t="s">
        <v>72</v>
      </c>
      <c r="G893" s="3" t="s">
        <v>568</v>
      </c>
      <c r="H893" s="3" t="s">
        <v>84</v>
      </c>
    </row>
    <row r="894" customFormat="false" ht="15" hidden="false" customHeight="false" outlineLevel="0" collapsed="false">
      <c r="A894" s="4" t="s">
        <v>78</v>
      </c>
      <c r="B894" s="4" t="s">
        <v>66</v>
      </c>
      <c r="C894" s="4" t="n">
        <v>2</v>
      </c>
      <c r="D894" s="4" t="n">
        <v>1</v>
      </c>
      <c r="E894" s="4" t="s">
        <v>21</v>
      </c>
      <c r="F894" s="3" t="s">
        <v>437</v>
      </c>
      <c r="G894" s="3" t="s">
        <v>436</v>
      </c>
      <c r="H894" s="3" t="s">
        <v>135</v>
      </c>
    </row>
    <row r="895" customFormat="false" ht="15" hidden="false" customHeight="false" outlineLevel="0" collapsed="false">
      <c r="A895" s="4" t="s">
        <v>78</v>
      </c>
      <c r="B895" s="4" t="s">
        <v>66</v>
      </c>
      <c r="C895" s="4" t="n">
        <v>3</v>
      </c>
      <c r="D895" s="4" t="n">
        <v>1</v>
      </c>
      <c r="E895" s="4" t="s">
        <v>26</v>
      </c>
      <c r="F895" s="3" t="s">
        <v>312</v>
      </c>
      <c r="G895" s="3" t="s">
        <v>490</v>
      </c>
      <c r="H895" s="3" t="s">
        <v>311</v>
      </c>
    </row>
    <row r="896" customFormat="false" ht="15" hidden="false" customHeight="false" outlineLevel="0" collapsed="false">
      <c r="A896" s="4" t="s">
        <v>78</v>
      </c>
      <c r="B896" s="4" t="s">
        <v>66</v>
      </c>
      <c r="C896" s="4" t="n">
        <v>4</v>
      </c>
      <c r="D896" s="4" t="n">
        <v>2</v>
      </c>
      <c r="E896" s="4" t="s">
        <v>533</v>
      </c>
      <c r="F896" s="3" t="s">
        <v>164</v>
      </c>
      <c r="G896" s="3" t="s">
        <v>567</v>
      </c>
      <c r="H896" s="3" t="s">
        <v>182</v>
      </c>
    </row>
    <row r="897" customFormat="false" ht="15" hidden="false" customHeight="false" outlineLevel="0" collapsed="false">
      <c r="A897" s="4" t="s">
        <v>78</v>
      </c>
      <c r="B897" s="4" t="s">
        <v>66</v>
      </c>
      <c r="C897" s="4" t="n">
        <v>6</v>
      </c>
      <c r="D897" s="4" t="n">
        <v>1</v>
      </c>
      <c r="E897" s="4" t="s">
        <v>42</v>
      </c>
      <c r="F897" s="3" t="s">
        <v>376</v>
      </c>
      <c r="G897" s="3" t="s">
        <v>484</v>
      </c>
      <c r="H897" s="3" t="s">
        <v>135</v>
      </c>
    </row>
    <row r="898" customFormat="false" ht="15" hidden="false" customHeight="false" outlineLevel="0" collapsed="false">
      <c r="A898" s="4" t="s">
        <v>78</v>
      </c>
      <c r="B898" s="4" t="s">
        <v>66</v>
      </c>
      <c r="C898" s="4" t="n">
        <v>7</v>
      </c>
      <c r="D898" s="4" t="n">
        <v>1</v>
      </c>
      <c r="E898" s="4" t="s">
        <v>39</v>
      </c>
      <c r="F898" s="3" t="s">
        <v>15</v>
      </c>
      <c r="G898" s="3" t="s">
        <v>566</v>
      </c>
      <c r="H898" s="3" t="s">
        <v>84</v>
      </c>
    </row>
    <row r="899" customFormat="false" ht="15" hidden="false" customHeight="false" outlineLevel="0" collapsed="false">
      <c r="A899" s="4" t="s">
        <v>79</v>
      </c>
      <c r="B899" s="4" t="s">
        <v>12</v>
      </c>
      <c r="C899" s="4" t="n">
        <v>1</v>
      </c>
      <c r="D899" s="4" t="n">
        <v>1</v>
      </c>
      <c r="E899" s="4" t="s">
        <v>16</v>
      </c>
      <c r="F899" s="3" t="s">
        <v>312</v>
      </c>
      <c r="G899" s="3" t="s">
        <v>490</v>
      </c>
      <c r="H899" s="3" t="s">
        <v>311</v>
      </c>
    </row>
    <row r="900" customFormat="false" ht="15" hidden="false" customHeight="false" outlineLevel="0" collapsed="false">
      <c r="A900" s="4" t="s">
        <v>79</v>
      </c>
      <c r="B900" s="4" t="s">
        <v>12</v>
      </c>
      <c r="C900" s="4" t="n">
        <v>2</v>
      </c>
      <c r="D900" s="4" t="n">
        <v>1</v>
      </c>
      <c r="E900" s="4" t="s">
        <v>21</v>
      </c>
      <c r="F900" s="3" t="s">
        <v>15</v>
      </c>
      <c r="G900" s="3" t="s">
        <v>566</v>
      </c>
      <c r="H900" s="3" t="s">
        <v>80</v>
      </c>
    </row>
    <row r="901" customFormat="false" ht="15" hidden="false" customHeight="false" outlineLevel="0" collapsed="false">
      <c r="A901" s="4" t="s">
        <v>79</v>
      </c>
      <c r="B901" s="4" t="s">
        <v>12</v>
      </c>
      <c r="C901" s="4" t="n">
        <v>3</v>
      </c>
      <c r="D901" s="4" t="n">
        <v>1</v>
      </c>
      <c r="E901" s="4" t="s">
        <v>26</v>
      </c>
      <c r="F901" s="3" t="s">
        <v>99</v>
      </c>
      <c r="G901" s="3" t="s">
        <v>474</v>
      </c>
      <c r="H901" s="3" t="s">
        <v>234</v>
      </c>
    </row>
    <row r="902" customFormat="false" ht="15" hidden="false" customHeight="false" outlineLevel="0" collapsed="false">
      <c r="A902" s="4" t="s">
        <v>79</v>
      </c>
      <c r="B902" s="4" t="s">
        <v>12</v>
      </c>
      <c r="C902" s="4" t="n">
        <v>4</v>
      </c>
      <c r="D902" s="4" t="n">
        <v>1</v>
      </c>
      <c r="E902" s="4" t="s">
        <v>34</v>
      </c>
      <c r="F902" s="3" t="s">
        <v>164</v>
      </c>
      <c r="G902" s="3" t="s">
        <v>567</v>
      </c>
      <c r="H902" s="3" t="s">
        <v>165</v>
      </c>
    </row>
    <row r="903" customFormat="false" ht="15" hidden="false" customHeight="false" outlineLevel="0" collapsed="false">
      <c r="A903" s="4" t="s">
        <v>79</v>
      </c>
      <c r="B903" s="4" t="s">
        <v>12</v>
      </c>
      <c r="C903" s="4" t="n">
        <v>5</v>
      </c>
      <c r="D903" s="4" t="n">
        <v>1</v>
      </c>
      <c r="E903" s="4" t="s">
        <v>37</v>
      </c>
      <c r="F903" s="3" t="s">
        <v>235</v>
      </c>
      <c r="G903" s="3" t="s">
        <v>233</v>
      </c>
      <c r="H903" s="3" t="s">
        <v>234</v>
      </c>
    </row>
    <row r="904" customFormat="false" ht="15" hidden="false" customHeight="false" outlineLevel="0" collapsed="false">
      <c r="A904" s="4" t="s">
        <v>79</v>
      </c>
      <c r="B904" s="4" t="s">
        <v>12</v>
      </c>
      <c r="C904" s="4" t="n">
        <v>6</v>
      </c>
      <c r="D904" s="4" t="n">
        <v>2</v>
      </c>
      <c r="E904" s="4" t="s">
        <v>536</v>
      </c>
      <c r="F904" s="3" t="s">
        <v>72</v>
      </c>
      <c r="G904" s="3" t="s">
        <v>568</v>
      </c>
      <c r="H904" s="3" t="s">
        <v>77</v>
      </c>
    </row>
    <row r="905" customFormat="false" ht="15" hidden="false" customHeight="false" outlineLevel="0" collapsed="false">
      <c r="A905" s="4" t="s">
        <v>79</v>
      </c>
      <c r="B905" s="4" t="s">
        <v>31</v>
      </c>
      <c r="C905" s="4" t="n">
        <v>1</v>
      </c>
      <c r="D905" s="4" t="n">
        <v>2</v>
      </c>
      <c r="E905" s="4" t="s">
        <v>539</v>
      </c>
      <c r="F905" s="3" t="s">
        <v>388</v>
      </c>
      <c r="G905" s="3" t="s">
        <v>571</v>
      </c>
      <c r="H905" s="3" t="s">
        <v>387</v>
      </c>
    </row>
    <row r="906" customFormat="false" ht="15" hidden="false" customHeight="false" outlineLevel="0" collapsed="false">
      <c r="A906" s="4" t="s">
        <v>79</v>
      </c>
      <c r="B906" s="4" t="s">
        <v>31</v>
      </c>
      <c r="C906" s="4" t="n">
        <v>3</v>
      </c>
      <c r="D906" s="4" t="n">
        <v>1</v>
      </c>
      <c r="E906" s="4" t="s">
        <v>26</v>
      </c>
      <c r="F906" s="3" t="s">
        <v>164</v>
      </c>
      <c r="G906" s="3" t="s">
        <v>567</v>
      </c>
      <c r="H906" s="3" t="s">
        <v>168</v>
      </c>
    </row>
    <row r="907" customFormat="false" ht="15" hidden="false" customHeight="false" outlineLevel="0" collapsed="false">
      <c r="A907" s="4" t="s">
        <v>79</v>
      </c>
      <c r="B907" s="4" t="s">
        <v>31</v>
      </c>
      <c r="C907" s="4" t="n">
        <v>4</v>
      </c>
      <c r="D907" s="4" t="n">
        <v>1</v>
      </c>
      <c r="E907" s="4" t="s">
        <v>34</v>
      </c>
      <c r="F907" s="3" t="s">
        <v>72</v>
      </c>
      <c r="G907" s="3" t="s">
        <v>568</v>
      </c>
      <c r="H907" s="3" t="s">
        <v>80</v>
      </c>
    </row>
    <row r="908" customFormat="false" ht="15" hidden="false" customHeight="false" outlineLevel="0" collapsed="false">
      <c r="A908" s="4" t="s">
        <v>79</v>
      </c>
      <c r="B908" s="4" t="s">
        <v>31</v>
      </c>
      <c r="C908" s="4" t="n">
        <v>5</v>
      </c>
      <c r="D908" s="4" t="n">
        <v>1</v>
      </c>
      <c r="E908" s="4" t="s">
        <v>37</v>
      </c>
      <c r="F908" s="3" t="s">
        <v>36</v>
      </c>
      <c r="G908" s="3" t="s">
        <v>569</v>
      </c>
      <c r="H908" s="3" t="s">
        <v>81</v>
      </c>
    </row>
    <row r="909" customFormat="false" ht="15" hidden="false" customHeight="false" outlineLevel="0" collapsed="false">
      <c r="A909" s="4" t="s">
        <v>79</v>
      </c>
      <c r="B909" s="4" t="s">
        <v>31</v>
      </c>
      <c r="C909" s="4" t="n">
        <v>6</v>
      </c>
      <c r="D909" s="4" t="n">
        <v>1</v>
      </c>
      <c r="E909" s="4" t="s">
        <v>42</v>
      </c>
      <c r="F909" s="3" t="s">
        <v>15</v>
      </c>
      <c r="G909" s="3" t="s">
        <v>566</v>
      </c>
      <c r="H909" s="3" t="s">
        <v>204</v>
      </c>
    </row>
    <row r="910" customFormat="false" ht="15" hidden="false" customHeight="false" outlineLevel="0" collapsed="false">
      <c r="A910" s="4" t="s">
        <v>79</v>
      </c>
      <c r="B910" s="4" t="s">
        <v>31</v>
      </c>
      <c r="C910" s="4" t="n">
        <v>7</v>
      </c>
      <c r="D910" s="4" t="n">
        <v>1</v>
      </c>
      <c r="E910" s="4" t="s">
        <v>39</v>
      </c>
      <c r="F910" s="3" t="s">
        <v>369</v>
      </c>
      <c r="G910" s="3" t="s">
        <v>417</v>
      </c>
      <c r="H910" s="3" t="s">
        <v>368</v>
      </c>
    </row>
    <row r="911" customFormat="false" ht="15" hidden="false" customHeight="false" outlineLevel="0" collapsed="false">
      <c r="A911" s="4" t="s">
        <v>79</v>
      </c>
      <c r="B911" s="4" t="s">
        <v>40</v>
      </c>
      <c r="C911" s="4" t="n">
        <v>1</v>
      </c>
      <c r="D911" s="4" t="n">
        <v>1</v>
      </c>
      <c r="E911" s="4" t="s">
        <v>16</v>
      </c>
      <c r="F911" s="3" t="s">
        <v>296</v>
      </c>
      <c r="G911" s="3" t="s">
        <v>575</v>
      </c>
      <c r="H911" s="3" t="s">
        <v>297</v>
      </c>
    </row>
    <row r="912" customFormat="false" ht="15" hidden="false" customHeight="false" outlineLevel="0" collapsed="false">
      <c r="A912" s="4" t="s">
        <v>79</v>
      </c>
      <c r="B912" s="4" t="s">
        <v>40</v>
      </c>
      <c r="C912" s="4" t="n">
        <v>2</v>
      </c>
      <c r="D912" s="4" t="n">
        <v>1</v>
      </c>
      <c r="E912" s="4" t="s">
        <v>21</v>
      </c>
      <c r="F912" s="3" t="s">
        <v>72</v>
      </c>
      <c r="G912" s="3" t="s">
        <v>568</v>
      </c>
      <c r="H912" s="3" t="s">
        <v>84</v>
      </c>
    </row>
    <row r="913" customFormat="false" ht="15" hidden="false" customHeight="false" outlineLevel="0" collapsed="false">
      <c r="A913" s="4" t="s">
        <v>79</v>
      </c>
      <c r="B913" s="4" t="s">
        <v>40</v>
      </c>
      <c r="C913" s="4" t="n">
        <v>3</v>
      </c>
      <c r="D913" s="4" t="n">
        <v>1</v>
      </c>
      <c r="E913" s="4" t="s">
        <v>26</v>
      </c>
      <c r="F913" s="3" t="s">
        <v>15</v>
      </c>
      <c r="G913" s="3" t="s">
        <v>566</v>
      </c>
      <c r="H913" s="3" t="s">
        <v>206</v>
      </c>
    </row>
    <row r="914" customFormat="false" ht="15" hidden="false" customHeight="false" outlineLevel="0" collapsed="false">
      <c r="A914" s="4" t="s">
        <v>79</v>
      </c>
      <c r="B914" s="4" t="s">
        <v>40</v>
      </c>
      <c r="C914" s="4" t="n">
        <v>4</v>
      </c>
      <c r="D914" s="4" t="n">
        <v>1</v>
      </c>
      <c r="E914" s="4" t="s">
        <v>34</v>
      </c>
      <c r="F914" s="3" t="s">
        <v>350</v>
      </c>
      <c r="G914" s="3" t="s">
        <v>126</v>
      </c>
      <c r="H914" s="3" t="s">
        <v>234</v>
      </c>
    </row>
    <row r="915" customFormat="false" ht="15" hidden="false" customHeight="false" outlineLevel="0" collapsed="false">
      <c r="A915" s="4" t="s">
        <v>79</v>
      </c>
      <c r="B915" s="4" t="s">
        <v>40</v>
      </c>
      <c r="C915" s="4" t="n">
        <v>5</v>
      </c>
      <c r="D915" s="4" t="n">
        <v>1</v>
      </c>
      <c r="E915" s="4" t="s">
        <v>37</v>
      </c>
      <c r="F915" s="3" t="s">
        <v>164</v>
      </c>
      <c r="G915" s="3" t="s">
        <v>567</v>
      </c>
      <c r="H915" s="3" t="s">
        <v>84</v>
      </c>
    </row>
    <row r="916" customFormat="false" ht="15" hidden="false" customHeight="false" outlineLevel="0" collapsed="false">
      <c r="A916" s="4" t="s">
        <v>79</v>
      </c>
      <c r="B916" s="4" t="s">
        <v>40</v>
      </c>
      <c r="C916" s="4" t="n">
        <v>6</v>
      </c>
      <c r="D916" s="4" t="n">
        <v>1</v>
      </c>
      <c r="E916" s="4" t="s">
        <v>42</v>
      </c>
      <c r="F916" s="3" t="s">
        <v>285</v>
      </c>
      <c r="G916" s="3" t="s">
        <v>450</v>
      </c>
      <c r="H916" s="3" t="s">
        <v>234</v>
      </c>
    </row>
    <row r="917" customFormat="false" ht="15" hidden="false" customHeight="false" outlineLevel="0" collapsed="false">
      <c r="A917" s="4" t="s">
        <v>79</v>
      </c>
      <c r="B917" s="4" t="s">
        <v>40</v>
      </c>
      <c r="C917" s="4" t="n">
        <v>7</v>
      </c>
      <c r="D917" s="4" t="n">
        <v>1</v>
      </c>
      <c r="E917" s="4" t="s">
        <v>39</v>
      </c>
      <c r="F917" s="3" t="s">
        <v>130</v>
      </c>
      <c r="G917" s="3" t="s">
        <v>513</v>
      </c>
      <c r="H917" s="3" t="s">
        <v>125</v>
      </c>
    </row>
    <row r="918" customFormat="false" ht="15" hidden="false" customHeight="false" outlineLevel="0" collapsed="false">
      <c r="A918" s="4" t="s">
        <v>79</v>
      </c>
      <c r="B918" s="4" t="s">
        <v>44</v>
      </c>
      <c r="C918" s="4" t="n">
        <v>1</v>
      </c>
      <c r="D918" s="4" t="n">
        <v>1</v>
      </c>
      <c r="E918" s="4" t="s">
        <v>16</v>
      </c>
      <c r="F918" s="3" t="s">
        <v>164</v>
      </c>
      <c r="G918" s="3" t="s">
        <v>567</v>
      </c>
      <c r="H918" s="3" t="s">
        <v>90</v>
      </c>
    </row>
    <row r="919" customFormat="false" ht="15" hidden="false" customHeight="false" outlineLevel="0" collapsed="false">
      <c r="A919" s="4" t="s">
        <v>79</v>
      </c>
      <c r="B919" s="4" t="s">
        <v>44</v>
      </c>
      <c r="C919" s="4" t="n">
        <v>2</v>
      </c>
      <c r="D919" s="4" t="n">
        <v>1</v>
      </c>
      <c r="E919" s="4" t="s">
        <v>21</v>
      </c>
      <c r="F919" s="3" t="s">
        <v>376</v>
      </c>
      <c r="G919" s="3" t="s">
        <v>484</v>
      </c>
      <c r="H919" s="3" t="s">
        <v>234</v>
      </c>
    </row>
    <row r="920" customFormat="false" ht="15" hidden="false" customHeight="false" outlineLevel="0" collapsed="false">
      <c r="A920" s="4" t="s">
        <v>79</v>
      </c>
      <c r="B920" s="4" t="s">
        <v>44</v>
      </c>
      <c r="C920" s="4" t="n">
        <v>3</v>
      </c>
      <c r="D920" s="4" t="n">
        <v>1</v>
      </c>
      <c r="E920" s="4" t="s">
        <v>26</v>
      </c>
      <c r="F920" s="3" t="s">
        <v>285</v>
      </c>
      <c r="G920" s="3" t="s">
        <v>450</v>
      </c>
      <c r="H920" s="3" t="s">
        <v>234</v>
      </c>
    </row>
    <row r="921" customFormat="false" ht="15" hidden="false" customHeight="false" outlineLevel="0" collapsed="false">
      <c r="A921" s="4" t="s">
        <v>79</v>
      </c>
      <c r="B921" s="4" t="s">
        <v>44</v>
      </c>
      <c r="C921" s="4" t="n">
        <v>4</v>
      </c>
      <c r="D921" s="4" t="n">
        <v>1</v>
      </c>
      <c r="E921" s="4" t="s">
        <v>34</v>
      </c>
      <c r="F921" s="3" t="s">
        <v>72</v>
      </c>
      <c r="G921" s="3" t="s">
        <v>568</v>
      </c>
      <c r="H921" s="3" t="s">
        <v>84</v>
      </c>
    </row>
    <row r="922" customFormat="false" ht="15" hidden="false" customHeight="false" outlineLevel="0" collapsed="false">
      <c r="A922" s="4" t="s">
        <v>79</v>
      </c>
      <c r="B922" s="4" t="s">
        <v>44</v>
      </c>
      <c r="C922" s="4" t="n">
        <v>5</v>
      </c>
      <c r="D922" s="4" t="n">
        <v>1</v>
      </c>
      <c r="E922" s="4" t="s">
        <v>37</v>
      </c>
      <c r="F922" s="3" t="s">
        <v>36</v>
      </c>
      <c r="G922" s="3" t="s">
        <v>569</v>
      </c>
      <c r="H922" s="3" t="s">
        <v>81</v>
      </c>
    </row>
    <row r="923" customFormat="false" ht="15" hidden="false" customHeight="false" outlineLevel="0" collapsed="false">
      <c r="A923" s="4" t="s">
        <v>79</v>
      </c>
      <c r="B923" s="4" t="s">
        <v>44</v>
      </c>
      <c r="C923" s="4" t="n">
        <v>6</v>
      </c>
      <c r="D923" s="4" t="n">
        <v>1</v>
      </c>
      <c r="E923" s="4" t="s">
        <v>42</v>
      </c>
      <c r="F923" s="3" t="s">
        <v>15</v>
      </c>
      <c r="G923" s="3" t="s">
        <v>566</v>
      </c>
      <c r="H923" s="3" t="s">
        <v>209</v>
      </c>
    </row>
    <row r="924" customFormat="false" ht="15" hidden="false" customHeight="false" outlineLevel="0" collapsed="false">
      <c r="A924" s="4" t="s">
        <v>79</v>
      </c>
      <c r="B924" s="4" t="s">
        <v>44</v>
      </c>
      <c r="C924" s="4" t="n">
        <v>7</v>
      </c>
      <c r="D924" s="4" t="n">
        <v>1</v>
      </c>
      <c r="E924" s="4" t="s">
        <v>39</v>
      </c>
      <c r="F924" s="3" t="s">
        <v>99</v>
      </c>
      <c r="G924" s="3" t="s">
        <v>474</v>
      </c>
      <c r="H924" s="3" t="s">
        <v>234</v>
      </c>
    </row>
    <row r="925" customFormat="false" ht="15" hidden="false" customHeight="false" outlineLevel="0" collapsed="false">
      <c r="A925" s="4" t="s">
        <v>79</v>
      </c>
      <c r="B925" s="4" t="s">
        <v>47</v>
      </c>
      <c r="C925" s="4" t="n">
        <v>1</v>
      </c>
      <c r="D925" s="4" t="n">
        <v>1</v>
      </c>
      <c r="E925" s="4" t="s">
        <v>16</v>
      </c>
      <c r="F925" s="3" t="s">
        <v>15</v>
      </c>
      <c r="G925" s="3" t="s">
        <v>566</v>
      </c>
      <c r="H925" s="3" t="s">
        <v>88</v>
      </c>
    </row>
    <row r="926" customFormat="false" ht="15" hidden="false" customHeight="false" outlineLevel="0" collapsed="false">
      <c r="A926" s="4" t="s">
        <v>79</v>
      </c>
      <c r="B926" s="4" t="s">
        <v>47</v>
      </c>
      <c r="C926" s="4" t="n">
        <v>2</v>
      </c>
      <c r="D926" s="4" t="n">
        <v>1</v>
      </c>
      <c r="E926" s="4" t="s">
        <v>21</v>
      </c>
      <c r="F926" s="3" t="s">
        <v>164</v>
      </c>
      <c r="G926" s="3" t="s">
        <v>567</v>
      </c>
      <c r="H926" s="3" t="s">
        <v>174</v>
      </c>
    </row>
    <row r="927" customFormat="false" ht="15" hidden="false" customHeight="false" outlineLevel="0" collapsed="false">
      <c r="A927" s="4" t="s">
        <v>79</v>
      </c>
      <c r="B927" s="4" t="s">
        <v>47</v>
      </c>
      <c r="C927" s="4" t="n">
        <v>3</v>
      </c>
      <c r="D927" s="4" t="n">
        <v>1</v>
      </c>
      <c r="E927" s="4" t="s">
        <v>26</v>
      </c>
      <c r="F927" s="3" t="s">
        <v>437</v>
      </c>
      <c r="G927" s="3" t="s">
        <v>481</v>
      </c>
      <c r="H927" s="3" t="s">
        <v>234</v>
      </c>
    </row>
    <row r="928" customFormat="false" ht="15" hidden="false" customHeight="false" outlineLevel="0" collapsed="false">
      <c r="A928" s="4" t="s">
        <v>79</v>
      </c>
      <c r="B928" s="4" t="s">
        <v>47</v>
      </c>
      <c r="C928" s="4" t="n">
        <v>4</v>
      </c>
      <c r="D928" s="4" t="n">
        <v>1</v>
      </c>
      <c r="E928" s="4" t="s">
        <v>34</v>
      </c>
      <c r="F928" s="3" t="s">
        <v>72</v>
      </c>
      <c r="G928" s="3" t="s">
        <v>568</v>
      </c>
      <c r="H928" s="3" t="s">
        <v>87</v>
      </c>
    </row>
    <row r="929" customFormat="false" ht="15" hidden="false" customHeight="false" outlineLevel="0" collapsed="false">
      <c r="A929" s="4" t="s">
        <v>79</v>
      </c>
      <c r="B929" s="4" t="s">
        <v>47</v>
      </c>
      <c r="C929" s="4" t="n">
        <v>5</v>
      </c>
      <c r="D929" s="4" t="n">
        <v>1</v>
      </c>
      <c r="E929" s="4" t="s">
        <v>37</v>
      </c>
      <c r="F929" s="3" t="s">
        <v>235</v>
      </c>
      <c r="G929" s="3" t="s">
        <v>233</v>
      </c>
      <c r="H929" s="3" t="s">
        <v>134</v>
      </c>
    </row>
    <row r="930" customFormat="false" ht="15" hidden="false" customHeight="false" outlineLevel="0" collapsed="false">
      <c r="A930" s="4" t="s">
        <v>79</v>
      </c>
      <c r="B930" s="4" t="s">
        <v>47</v>
      </c>
      <c r="C930" s="4" t="n">
        <v>6</v>
      </c>
      <c r="D930" s="4" t="n">
        <v>1</v>
      </c>
      <c r="E930" s="4" t="s">
        <v>42</v>
      </c>
      <c r="F930" s="3" t="s">
        <v>312</v>
      </c>
      <c r="G930" s="3" t="s">
        <v>490</v>
      </c>
      <c r="H930" s="3" t="s">
        <v>125</v>
      </c>
    </row>
    <row r="931" customFormat="false" ht="15" hidden="false" customHeight="false" outlineLevel="0" collapsed="false">
      <c r="A931" s="4" t="s">
        <v>79</v>
      </c>
      <c r="B931" s="4" t="s">
        <v>47</v>
      </c>
      <c r="C931" s="4" t="n">
        <v>7</v>
      </c>
      <c r="D931" s="4" t="n">
        <v>1</v>
      </c>
      <c r="E931" s="4" t="s">
        <v>39</v>
      </c>
      <c r="F931" s="3" t="s">
        <v>296</v>
      </c>
      <c r="G931" s="3" t="s">
        <v>575</v>
      </c>
      <c r="H931" s="3" t="s">
        <v>297</v>
      </c>
    </row>
    <row r="932" customFormat="false" ht="15" hidden="false" customHeight="false" outlineLevel="0" collapsed="false">
      <c r="A932" s="4" t="s">
        <v>79</v>
      </c>
      <c r="B932" s="4" t="s">
        <v>50</v>
      </c>
      <c r="C932" s="4" t="n">
        <v>1</v>
      </c>
      <c r="D932" s="4" t="n">
        <v>1</v>
      </c>
      <c r="E932" s="4" t="s">
        <v>16</v>
      </c>
      <c r="F932" s="3" t="s">
        <v>72</v>
      </c>
      <c r="G932" s="3" t="s">
        <v>568</v>
      </c>
      <c r="H932" s="3" t="s">
        <v>88</v>
      </c>
    </row>
    <row r="933" customFormat="false" ht="15" hidden="false" customHeight="false" outlineLevel="0" collapsed="false">
      <c r="A933" s="4" t="s">
        <v>79</v>
      </c>
      <c r="B933" s="4" t="s">
        <v>50</v>
      </c>
      <c r="C933" s="4" t="n">
        <v>2</v>
      </c>
      <c r="D933" s="4" t="n">
        <v>1</v>
      </c>
      <c r="E933" s="4" t="s">
        <v>21</v>
      </c>
      <c r="F933" s="3" t="s">
        <v>164</v>
      </c>
      <c r="G933" s="3" t="s">
        <v>567</v>
      </c>
      <c r="H933" s="3" t="s">
        <v>90</v>
      </c>
    </row>
    <row r="934" customFormat="false" ht="15" hidden="false" customHeight="false" outlineLevel="0" collapsed="false">
      <c r="A934" s="4" t="s">
        <v>79</v>
      </c>
      <c r="B934" s="4" t="s">
        <v>50</v>
      </c>
      <c r="C934" s="4" t="n">
        <v>3</v>
      </c>
      <c r="D934" s="4" t="n">
        <v>1</v>
      </c>
      <c r="E934" s="4" t="s">
        <v>26</v>
      </c>
      <c r="F934" s="3" t="s">
        <v>130</v>
      </c>
      <c r="G934" s="3" t="s">
        <v>513</v>
      </c>
      <c r="H934" s="3" t="s">
        <v>125</v>
      </c>
    </row>
    <row r="935" customFormat="false" ht="15" hidden="false" customHeight="false" outlineLevel="0" collapsed="false">
      <c r="A935" s="4" t="s">
        <v>79</v>
      </c>
      <c r="B935" s="4" t="s">
        <v>50</v>
      </c>
      <c r="C935" s="4" t="n">
        <v>4</v>
      </c>
      <c r="D935" s="4" t="n">
        <v>1</v>
      </c>
      <c r="E935" s="4" t="s">
        <v>34</v>
      </c>
      <c r="F935" s="3" t="s">
        <v>350</v>
      </c>
      <c r="G935" s="3" t="s">
        <v>126</v>
      </c>
      <c r="H935" s="3" t="s">
        <v>234</v>
      </c>
    </row>
    <row r="936" customFormat="false" ht="15" hidden="false" customHeight="false" outlineLevel="0" collapsed="false">
      <c r="A936" s="4" t="s">
        <v>79</v>
      </c>
      <c r="B936" s="4" t="s">
        <v>50</v>
      </c>
      <c r="C936" s="4" t="n">
        <v>5</v>
      </c>
      <c r="D936" s="4" t="n">
        <v>1</v>
      </c>
      <c r="E936" s="4" t="s">
        <v>37</v>
      </c>
      <c r="F936" s="3" t="s">
        <v>285</v>
      </c>
      <c r="G936" s="3" t="s">
        <v>450</v>
      </c>
      <c r="H936" s="3" t="s">
        <v>234</v>
      </c>
    </row>
    <row r="937" customFormat="false" ht="15" hidden="false" customHeight="false" outlineLevel="0" collapsed="false">
      <c r="A937" s="4" t="s">
        <v>79</v>
      </c>
      <c r="B937" s="4" t="s">
        <v>50</v>
      </c>
      <c r="C937" s="4" t="n">
        <v>6</v>
      </c>
      <c r="D937" s="4" t="n">
        <v>1</v>
      </c>
      <c r="E937" s="4" t="s">
        <v>42</v>
      </c>
      <c r="F937" s="3" t="s">
        <v>15</v>
      </c>
      <c r="G937" s="3" t="s">
        <v>566</v>
      </c>
      <c r="H937" s="3" t="s">
        <v>165</v>
      </c>
    </row>
    <row r="938" customFormat="false" ht="15" hidden="false" customHeight="false" outlineLevel="0" collapsed="false">
      <c r="A938" s="4" t="s">
        <v>79</v>
      </c>
      <c r="B938" s="4" t="s">
        <v>50</v>
      </c>
      <c r="C938" s="4" t="n">
        <v>7</v>
      </c>
      <c r="D938" s="4" t="n">
        <v>1</v>
      </c>
      <c r="E938" s="4" t="s">
        <v>39</v>
      </c>
      <c r="F938" s="3" t="s">
        <v>235</v>
      </c>
      <c r="G938" s="3" t="s">
        <v>233</v>
      </c>
      <c r="H938" s="3" t="s">
        <v>246</v>
      </c>
    </row>
    <row r="939" customFormat="false" ht="15" hidden="false" customHeight="false" outlineLevel="0" collapsed="false">
      <c r="A939" s="4" t="s">
        <v>79</v>
      </c>
      <c r="B939" s="4" t="s">
        <v>60</v>
      </c>
      <c r="C939" s="4" t="n">
        <v>1</v>
      </c>
      <c r="D939" s="4" t="n">
        <v>1</v>
      </c>
      <c r="E939" s="4" t="s">
        <v>16</v>
      </c>
      <c r="F939" s="3" t="s">
        <v>72</v>
      </c>
      <c r="G939" s="3" t="s">
        <v>568</v>
      </c>
      <c r="H939" s="3" t="s">
        <v>90</v>
      </c>
    </row>
    <row r="940" customFormat="false" ht="15" hidden="false" customHeight="false" outlineLevel="0" collapsed="false">
      <c r="A940" s="4" t="s">
        <v>79</v>
      </c>
      <c r="B940" s="4" t="s">
        <v>60</v>
      </c>
      <c r="C940" s="4" t="n">
        <v>2</v>
      </c>
      <c r="D940" s="4" t="n">
        <v>1</v>
      </c>
      <c r="E940" s="4" t="s">
        <v>21</v>
      </c>
      <c r="F940" s="3" t="s">
        <v>350</v>
      </c>
      <c r="G940" s="3" t="s">
        <v>126</v>
      </c>
      <c r="H940" s="3" t="s">
        <v>234</v>
      </c>
    </row>
    <row r="941" customFormat="false" ht="15" hidden="false" customHeight="false" outlineLevel="0" collapsed="false">
      <c r="A941" s="4" t="s">
        <v>79</v>
      </c>
      <c r="B941" s="4" t="s">
        <v>60</v>
      </c>
      <c r="C941" s="4" t="n">
        <v>3</v>
      </c>
      <c r="D941" s="4" t="n">
        <v>1</v>
      </c>
      <c r="E941" s="4" t="s">
        <v>26</v>
      </c>
      <c r="F941" s="3" t="s">
        <v>164</v>
      </c>
      <c r="G941" s="3" t="s">
        <v>567</v>
      </c>
      <c r="H941" s="3" t="s">
        <v>80</v>
      </c>
    </row>
    <row r="942" customFormat="false" ht="15" hidden="false" customHeight="false" outlineLevel="0" collapsed="false">
      <c r="A942" s="4" t="s">
        <v>79</v>
      </c>
      <c r="B942" s="4" t="s">
        <v>60</v>
      </c>
      <c r="C942" s="4" t="n">
        <v>4</v>
      </c>
      <c r="D942" s="4" t="n">
        <v>1</v>
      </c>
      <c r="E942" s="4" t="s">
        <v>34</v>
      </c>
      <c r="F942" s="3" t="s">
        <v>15</v>
      </c>
      <c r="G942" s="3" t="s">
        <v>566</v>
      </c>
      <c r="H942" s="3" t="s">
        <v>80</v>
      </c>
    </row>
    <row r="943" customFormat="false" ht="15" hidden="false" customHeight="false" outlineLevel="0" collapsed="false">
      <c r="A943" s="4" t="s">
        <v>79</v>
      </c>
      <c r="B943" s="4" t="s">
        <v>60</v>
      </c>
      <c r="C943" s="4" t="n">
        <v>5</v>
      </c>
      <c r="D943" s="4" t="n">
        <v>1</v>
      </c>
      <c r="E943" s="4" t="s">
        <v>37</v>
      </c>
      <c r="F943" s="3" t="s">
        <v>36</v>
      </c>
      <c r="G943" s="3" t="s">
        <v>569</v>
      </c>
      <c r="H943" s="3" t="s">
        <v>81</v>
      </c>
    </row>
    <row r="944" customFormat="false" ht="15" hidden="false" customHeight="false" outlineLevel="0" collapsed="false">
      <c r="A944" s="4" t="s">
        <v>79</v>
      </c>
      <c r="B944" s="4" t="s">
        <v>60</v>
      </c>
      <c r="C944" s="4" t="n">
        <v>6</v>
      </c>
      <c r="D944" s="4" t="n">
        <v>1</v>
      </c>
      <c r="E944" s="4" t="s">
        <v>42</v>
      </c>
      <c r="F944" s="3" t="s">
        <v>312</v>
      </c>
      <c r="G944" s="3" t="s">
        <v>490</v>
      </c>
      <c r="H944" s="3" t="s">
        <v>311</v>
      </c>
    </row>
    <row r="945" customFormat="false" ht="15" hidden="false" customHeight="false" outlineLevel="0" collapsed="false">
      <c r="A945" s="4" t="s">
        <v>79</v>
      </c>
      <c r="B945" s="4" t="s">
        <v>60</v>
      </c>
      <c r="C945" s="4" t="n">
        <v>7</v>
      </c>
      <c r="D945" s="4" t="n">
        <v>1</v>
      </c>
      <c r="E945" s="4" t="s">
        <v>39</v>
      </c>
      <c r="F945" s="3" t="s">
        <v>437</v>
      </c>
      <c r="G945" s="3" t="s">
        <v>481</v>
      </c>
      <c r="H945" s="3" t="s">
        <v>234</v>
      </c>
    </row>
    <row r="946" customFormat="false" ht="15" hidden="false" customHeight="false" outlineLevel="0" collapsed="false">
      <c r="A946" s="4" t="s">
        <v>79</v>
      </c>
      <c r="B946" s="4" t="s">
        <v>63</v>
      </c>
      <c r="C946" s="4" t="n">
        <v>1</v>
      </c>
      <c r="D946" s="4" t="n">
        <v>2</v>
      </c>
      <c r="E946" s="4" t="s">
        <v>539</v>
      </c>
      <c r="F946" s="3" t="s">
        <v>388</v>
      </c>
      <c r="G946" s="3" t="s">
        <v>571</v>
      </c>
      <c r="H946" s="3" t="s">
        <v>387</v>
      </c>
    </row>
    <row r="947" customFormat="false" ht="15" hidden="false" customHeight="false" outlineLevel="0" collapsed="false">
      <c r="A947" s="4" t="s">
        <v>79</v>
      </c>
      <c r="B947" s="4" t="s">
        <v>63</v>
      </c>
      <c r="C947" s="4" t="n">
        <v>3</v>
      </c>
      <c r="D947" s="4" t="n">
        <v>1</v>
      </c>
      <c r="E947" s="4" t="s">
        <v>26</v>
      </c>
      <c r="F947" s="3" t="s">
        <v>72</v>
      </c>
      <c r="G947" s="3" t="s">
        <v>568</v>
      </c>
      <c r="H947" s="3" t="s">
        <v>93</v>
      </c>
    </row>
    <row r="948" customFormat="false" ht="15" hidden="false" customHeight="false" outlineLevel="0" collapsed="false">
      <c r="A948" s="4" t="s">
        <v>79</v>
      </c>
      <c r="B948" s="4" t="s">
        <v>63</v>
      </c>
      <c r="C948" s="4" t="n">
        <v>4</v>
      </c>
      <c r="D948" s="4" t="n">
        <v>2</v>
      </c>
      <c r="E948" s="4" t="s">
        <v>533</v>
      </c>
      <c r="F948" s="3" t="s">
        <v>214</v>
      </c>
      <c r="G948" s="3" t="s">
        <v>572</v>
      </c>
      <c r="H948" s="3" t="s">
        <v>213</v>
      </c>
    </row>
    <row r="949" customFormat="false" ht="15" hidden="false" customHeight="false" outlineLevel="0" collapsed="false">
      <c r="A949" s="4" t="s">
        <v>79</v>
      </c>
      <c r="B949" s="4" t="s">
        <v>63</v>
      </c>
      <c r="C949" s="4" t="n">
        <v>6</v>
      </c>
      <c r="D949" s="4" t="n">
        <v>1</v>
      </c>
      <c r="E949" s="4" t="s">
        <v>42</v>
      </c>
      <c r="F949" s="3" t="s">
        <v>15</v>
      </c>
      <c r="G949" s="3" t="s">
        <v>566</v>
      </c>
      <c r="H949" s="3" t="s">
        <v>77</v>
      </c>
    </row>
    <row r="950" customFormat="false" ht="15" hidden="false" customHeight="false" outlineLevel="0" collapsed="false">
      <c r="A950" s="4" t="s">
        <v>79</v>
      </c>
      <c r="B950" s="4" t="s">
        <v>63</v>
      </c>
      <c r="C950" s="4" t="n">
        <v>7</v>
      </c>
      <c r="D950" s="4" t="n">
        <v>1</v>
      </c>
      <c r="E950" s="4" t="s">
        <v>39</v>
      </c>
      <c r="F950" s="3" t="s">
        <v>164</v>
      </c>
      <c r="G950" s="3" t="s">
        <v>567</v>
      </c>
      <c r="H950" s="3" t="s">
        <v>88</v>
      </c>
    </row>
    <row r="951" customFormat="false" ht="15" hidden="false" customHeight="false" outlineLevel="0" collapsed="false">
      <c r="A951" s="4" t="s">
        <v>79</v>
      </c>
      <c r="B951" s="4" t="s">
        <v>65</v>
      </c>
      <c r="C951" s="4" t="n">
        <v>1</v>
      </c>
      <c r="D951" s="4" t="n">
        <v>1</v>
      </c>
      <c r="E951" s="4" t="s">
        <v>16</v>
      </c>
      <c r="F951" s="3" t="s">
        <v>376</v>
      </c>
      <c r="G951" s="3" t="s">
        <v>484</v>
      </c>
      <c r="H951" s="3" t="s">
        <v>234</v>
      </c>
    </row>
    <row r="952" customFormat="false" ht="15" hidden="false" customHeight="false" outlineLevel="0" collapsed="false">
      <c r="A952" s="4" t="s">
        <v>79</v>
      </c>
      <c r="B952" s="4" t="s">
        <v>65</v>
      </c>
      <c r="C952" s="4" t="n">
        <v>2</v>
      </c>
      <c r="D952" s="4" t="n">
        <v>1</v>
      </c>
      <c r="E952" s="4" t="s">
        <v>21</v>
      </c>
      <c r="F952" s="3" t="s">
        <v>296</v>
      </c>
      <c r="G952" s="3" t="s">
        <v>575</v>
      </c>
      <c r="H952" s="3" t="s">
        <v>297</v>
      </c>
    </row>
    <row r="953" customFormat="false" ht="15" hidden="false" customHeight="false" outlineLevel="0" collapsed="false">
      <c r="A953" s="4" t="s">
        <v>79</v>
      </c>
      <c r="B953" s="4" t="s">
        <v>65</v>
      </c>
      <c r="C953" s="4" t="n">
        <v>3</v>
      </c>
      <c r="D953" s="4" t="n">
        <v>1</v>
      </c>
      <c r="E953" s="4" t="s">
        <v>26</v>
      </c>
      <c r="F953" s="3" t="s">
        <v>164</v>
      </c>
      <c r="G953" s="3" t="s">
        <v>567</v>
      </c>
      <c r="H953" s="3" t="s">
        <v>181</v>
      </c>
    </row>
    <row r="954" customFormat="false" ht="15" hidden="false" customHeight="false" outlineLevel="0" collapsed="false">
      <c r="A954" s="4" t="s">
        <v>79</v>
      </c>
      <c r="B954" s="4" t="s">
        <v>65</v>
      </c>
      <c r="C954" s="4" t="n">
        <v>4</v>
      </c>
      <c r="D954" s="4" t="n">
        <v>1</v>
      </c>
      <c r="E954" s="4" t="s">
        <v>34</v>
      </c>
      <c r="F954" s="3" t="s">
        <v>130</v>
      </c>
      <c r="G954" s="3" t="s">
        <v>513</v>
      </c>
      <c r="H954" s="3" t="s">
        <v>129</v>
      </c>
    </row>
    <row r="955" customFormat="false" ht="15" hidden="false" customHeight="false" outlineLevel="0" collapsed="false">
      <c r="A955" s="4" t="s">
        <v>79</v>
      </c>
      <c r="B955" s="4" t="s">
        <v>65</v>
      </c>
      <c r="C955" s="4" t="n">
        <v>5</v>
      </c>
      <c r="D955" s="4" t="n">
        <v>1</v>
      </c>
      <c r="E955" s="4" t="s">
        <v>37</v>
      </c>
      <c r="F955" s="3" t="s">
        <v>36</v>
      </c>
      <c r="G955" s="3" t="s">
        <v>569</v>
      </c>
      <c r="H955" s="3" t="s">
        <v>81</v>
      </c>
    </row>
    <row r="956" customFormat="false" ht="15" hidden="false" customHeight="false" outlineLevel="0" collapsed="false">
      <c r="A956" s="4" t="s">
        <v>79</v>
      </c>
      <c r="B956" s="4" t="s">
        <v>65</v>
      </c>
      <c r="C956" s="4" t="n">
        <v>6</v>
      </c>
      <c r="D956" s="4" t="n">
        <v>1</v>
      </c>
      <c r="E956" s="4" t="s">
        <v>42</v>
      </c>
      <c r="F956" s="3" t="s">
        <v>15</v>
      </c>
      <c r="G956" s="3" t="s">
        <v>566</v>
      </c>
      <c r="H956" s="3" t="s">
        <v>93</v>
      </c>
    </row>
    <row r="957" customFormat="false" ht="15" hidden="false" customHeight="false" outlineLevel="0" collapsed="false">
      <c r="A957" s="4" t="s">
        <v>79</v>
      </c>
      <c r="B957" s="4" t="s">
        <v>65</v>
      </c>
      <c r="C957" s="4" t="n">
        <v>7</v>
      </c>
      <c r="D957" s="4" t="n">
        <v>1</v>
      </c>
      <c r="E957" s="4" t="s">
        <v>39</v>
      </c>
      <c r="F957" s="3" t="s">
        <v>72</v>
      </c>
      <c r="G957" s="3" t="s">
        <v>568</v>
      </c>
      <c r="H957" s="3" t="s">
        <v>77</v>
      </c>
    </row>
    <row r="958" customFormat="false" ht="15" hidden="false" customHeight="false" outlineLevel="0" collapsed="false">
      <c r="A958" s="4" t="s">
        <v>79</v>
      </c>
      <c r="B958" s="4" t="s">
        <v>66</v>
      </c>
      <c r="C958" s="4" t="n">
        <v>1</v>
      </c>
      <c r="D958" s="4" t="n">
        <v>1</v>
      </c>
      <c r="E958" s="4" t="s">
        <v>16</v>
      </c>
      <c r="F958" s="3" t="s">
        <v>72</v>
      </c>
      <c r="G958" s="3" t="s">
        <v>568</v>
      </c>
      <c r="H958" s="3" t="s">
        <v>84</v>
      </c>
    </row>
    <row r="959" customFormat="false" ht="15" hidden="false" customHeight="false" outlineLevel="0" collapsed="false">
      <c r="A959" s="4" t="s">
        <v>79</v>
      </c>
      <c r="B959" s="4" t="s">
        <v>66</v>
      </c>
      <c r="C959" s="4" t="n">
        <v>2</v>
      </c>
      <c r="D959" s="4" t="n">
        <v>1</v>
      </c>
      <c r="E959" s="4" t="s">
        <v>21</v>
      </c>
      <c r="F959" s="3" t="s">
        <v>437</v>
      </c>
      <c r="G959" s="3" t="s">
        <v>481</v>
      </c>
      <c r="H959" s="3" t="s">
        <v>234</v>
      </c>
    </row>
    <row r="960" customFormat="false" ht="15" hidden="false" customHeight="false" outlineLevel="0" collapsed="false">
      <c r="A960" s="4" t="s">
        <v>79</v>
      </c>
      <c r="B960" s="4" t="s">
        <v>66</v>
      </c>
      <c r="C960" s="4" t="n">
        <v>3</v>
      </c>
      <c r="D960" s="4" t="n">
        <v>1</v>
      </c>
      <c r="E960" s="4" t="s">
        <v>26</v>
      </c>
      <c r="F960" s="3" t="s">
        <v>99</v>
      </c>
      <c r="G960" s="3" t="s">
        <v>474</v>
      </c>
      <c r="H960" s="3" t="s">
        <v>234</v>
      </c>
    </row>
    <row r="961" customFormat="false" ht="15" hidden="false" customHeight="false" outlineLevel="0" collapsed="false">
      <c r="A961" s="4" t="s">
        <v>79</v>
      </c>
      <c r="B961" s="4" t="s">
        <v>66</v>
      </c>
      <c r="C961" s="4" t="n">
        <v>4</v>
      </c>
      <c r="D961" s="4" t="n">
        <v>2</v>
      </c>
      <c r="E961" s="4" t="s">
        <v>533</v>
      </c>
      <c r="F961" s="3" t="s">
        <v>164</v>
      </c>
      <c r="G961" s="3" t="s">
        <v>567</v>
      </c>
      <c r="H961" s="3" t="s">
        <v>182</v>
      </c>
    </row>
    <row r="962" customFormat="false" ht="15" hidden="false" customHeight="false" outlineLevel="0" collapsed="false">
      <c r="A962" s="4" t="s">
        <v>79</v>
      </c>
      <c r="B962" s="4" t="s">
        <v>66</v>
      </c>
      <c r="C962" s="4" t="n">
        <v>6</v>
      </c>
      <c r="D962" s="4" t="n">
        <v>1</v>
      </c>
      <c r="E962" s="4" t="s">
        <v>42</v>
      </c>
      <c r="F962" s="3" t="s">
        <v>369</v>
      </c>
      <c r="G962" s="3" t="s">
        <v>417</v>
      </c>
      <c r="H962" s="3" t="s">
        <v>368</v>
      </c>
    </row>
    <row r="963" customFormat="false" ht="15" hidden="false" customHeight="false" outlineLevel="0" collapsed="false">
      <c r="A963" s="4" t="s">
        <v>79</v>
      </c>
      <c r="B963" s="4" t="s">
        <v>66</v>
      </c>
      <c r="C963" s="4" t="n">
        <v>7</v>
      </c>
      <c r="D963" s="4" t="n">
        <v>1</v>
      </c>
      <c r="E963" s="4" t="s">
        <v>39</v>
      </c>
      <c r="F963" s="3" t="s">
        <v>15</v>
      </c>
      <c r="G963" s="3" t="s">
        <v>566</v>
      </c>
      <c r="H963" s="3" t="s">
        <v>84</v>
      </c>
    </row>
    <row r="964" customFormat="false" ht="15" hidden="false" customHeight="false" outlineLevel="0" collapsed="false">
      <c r="A964" s="4" t="s">
        <v>74</v>
      </c>
      <c r="B964" s="4" t="s">
        <v>12</v>
      </c>
      <c r="C964" s="4" t="n">
        <v>1</v>
      </c>
      <c r="D964" s="4" t="n">
        <v>1</v>
      </c>
      <c r="E964" s="4" t="s">
        <v>16</v>
      </c>
      <c r="F964" s="3" t="s">
        <v>437</v>
      </c>
      <c r="G964" s="3" t="s">
        <v>481</v>
      </c>
      <c r="H964" s="3" t="s">
        <v>316</v>
      </c>
    </row>
    <row r="965" customFormat="false" ht="15" hidden="false" customHeight="false" outlineLevel="0" collapsed="false">
      <c r="A965" s="4" t="s">
        <v>74</v>
      </c>
      <c r="B965" s="4" t="s">
        <v>12</v>
      </c>
      <c r="C965" s="4" t="n">
        <v>2</v>
      </c>
      <c r="D965" s="4" t="n">
        <v>1</v>
      </c>
      <c r="E965" s="4" t="s">
        <v>21</v>
      </c>
      <c r="F965" s="3" t="s">
        <v>350</v>
      </c>
      <c r="G965" s="3" t="s">
        <v>511</v>
      </c>
      <c r="H965" s="3" t="s">
        <v>316</v>
      </c>
    </row>
    <row r="966" customFormat="false" ht="15" hidden="false" customHeight="false" outlineLevel="0" collapsed="false">
      <c r="A966" s="4" t="s">
        <v>74</v>
      </c>
      <c r="B966" s="4" t="s">
        <v>12</v>
      </c>
      <c r="C966" s="4" t="n">
        <v>3</v>
      </c>
      <c r="D966" s="4" t="n">
        <v>1</v>
      </c>
      <c r="E966" s="4" t="s">
        <v>26</v>
      </c>
      <c r="F966" s="3" t="s">
        <v>72</v>
      </c>
      <c r="G966" s="3" t="s">
        <v>576</v>
      </c>
      <c r="H966" s="3" t="s">
        <v>71</v>
      </c>
    </row>
    <row r="967" customFormat="false" ht="15" hidden="false" customHeight="false" outlineLevel="0" collapsed="false">
      <c r="A967" s="4" t="s">
        <v>74</v>
      </c>
      <c r="B967" s="4" t="s">
        <v>12</v>
      </c>
      <c r="C967" s="4" t="n">
        <v>4</v>
      </c>
      <c r="D967" s="4" t="n">
        <v>1</v>
      </c>
      <c r="E967" s="4" t="s">
        <v>34</v>
      </c>
      <c r="F967" s="3" t="s">
        <v>99</v>
      </c>
      <c r="G967" s="3" t="s">
        <v>474</v>
      </c>
      <c r="H967" s="3" t="s">
        <v>316</v>
      </c>
    </row>
    <row r="968" customFormat="false" ht="15" hidden="false" customHeight="false" outlineLevel="0" collapsed="false">
      <c r="A968" s="4" t="s">
        <v>74</v>
      </c>
      <c r="B968" s="4" t="s">
        <v>12</v>
      </c>
      <c r="C968" s="4" t="n">
        <v>5</v>
      </c>
      <c r="D968" s="4" t="n">
        <v>1</v>
      </c>
      <c r="E968" s="4" t="s">
        <v>37</v>
      </c>
      <c r="F968" s="3" t="s">
        <v>164</v>
      </c>
      <c r="G968" s="3" t="s">
        <v>577</v>
      </c>
      <c r="H968" s="3" t="s">
        <v>71</v>
      </c>
    </row>
    <row r="969" customFormat="false" ht="15" hidden="false" customHeight="false" outlineLevel="0" collapsed="false">
      <c r="A969" s="4" t="s">
        <v>74</v>
      </c>
      <c r="B969" s="4" t="s">
        <v>12</v>
      </c>
      <c r="C969" s="4" t="n">
        <v>6</v>
      </c>
      <c r="D969" s="4" t="n">
        <v>1</v>
      </c>
      <c r="E969" s="4" t="s">
        <v>42</v>
      </c>
      <c r="F969" s="3" t="s">
        <v>235</v>
      </c>
      <c r="G969" s="3" t="s">
        <v>479</v>
      </c>
      <c r="H969" s="3" t="s">
        <v>134</v>
      </c>
    </row>
    <row r="970" customFormat="false" ht="15" hidden="false" customHeight="false" outlineLevel="0" collapsed="false">
      <c r="A970" s="4" t="s">
        <v>74</v>
      </c>
      <c r="B970" s="4" t="s">
        <v>12</v>
      </c>
      <c r="C970" s="4" t="n">
        <v>7</v>
      </c>
      <c r="D970" s="4" t="n">
        <v>1</v>
      </c>
      <c r="E970" s="4" t="s">
        <v>39</v>
      </c>
      <c r="F970" s="3" t="s">
        <v>15</v>
      </c>
      <c r="G970" s="3" t="s">
        <v>578</v>
      </c>
      <c r="H970" s="3" t="s">
        <v>217</v>
      </c>
    </row>
    <row r="971" customFormat="false" ht="15" hidden="false" customHeight="false" outlineLevel="0" collapsed="false">
      <c r="A971" s="4" t="s">
        <v>74</v>
      </c>
      <c r="B971" s="4" t="s">
        <v>31</v>
      </c>
      <c r="C971" s="4" t="n">
        <v>1</v>
      </c>
      <c r="D971" s="4" t="n">
        <v>2</v>
      </c>
      <c r="E971" s="4" t="s">
        <v>539</v>
      </c>
      <c r="F971" s="3" t="s">
        <v>388</v>
      </c>
      <c r="G971" s="3" t="s">
        <v>571</v>
      </c>
      <c r="H971" s="3" t="s">
        <v>387</v>
      </c>
    </row>
    <row r="972" customFormat="false" ht="15" hidden="false" customHeight="false" outlineLevel="0" collapsed="false">
      <c r="A972" s="4" t="s">
        <v>74</v>
      </c>
      <c r="B972" s="4" t="s">
        <v>31</v>
      </c>
      <c r="C972" s="4" t="n">
        <v>3</v>
      </c>
      <c r="D972" s="4" t="n">
        <v>1</v>
      </c>
      <c r="E972" s="4" t="s">
        <v>26</v>
      </c>
      <c r="F972" s="3" t="s">
        <v>15</v>
      </c>
      <c r="G972" s="3" t="s">
        <v>578</v>
      </c>
      <c r="H972" s="3" t="s">
        <v>218</v>
      </c>
    </row>
    <row r="973" customFormat="false" ht="15" hidden="false" customHeight="false" outlineLevel="0" collapsed="false">
      <c r="A973" s="4" t="s">
        <v>74</v>
      </c>
      <c r="B973" s="4" t="s">
        <v>31</v>
      </c>
      <c r="C973" s="4" t="n">
        <v>4</v>
      </c>
      <c r="D973" s="4" t="n">
        <v>1</v>
      </c>
      <c r="E973" s="4" t="s">
        <v>34</v>
      </c>
      <c r="F973" s="3" t="s">
        <v>350</v>
      </c>
      <c r="G973" s="3" t="s">
        <v>511</v>
      </c>
      <c r="H973" s="3" t="s">
        <v>316</v>
      </c>
    </row>
    <row r="974" customFormat="false" ht="15" hidden="false" customHeight="false" outlineLevel="0" collapsed="false">
      <c r="A974" s="4" t="s">
        <v>74</v>
      </c>
      <c r="B974" s="4" t="s">
        <v>31</v>
      </c>
      <c r="C974" s="4" t="n">
        <v>5</v>
      </c>
      <c r="D974" s="4" t="n">
        <v>1</v>
      </c>
      <c r="E974" s="4" t="s">
        <v>37</v>
      </c>
      <c r="F974" s="3" t="s">
        <v>36</v>
      </c>
      <c r="G974" s="3" t="s">
        <v>569</v>
      </c>
      <c r="H974" s="3" t="s">
        <v>81</v>
      </c>
    </row>
    <row r="975" customFormat="false" ht="15" hidden="false" customHeight="false" outlineLevel="0" collapsed="false">
      <c r="A975" s="4" t="s">
        <v>74</v>
      </c>
      <c r="B975" s="4" t="s">
        <v>31</v>
      </c>
      <c r="C975" s="4" t="n">
        <v>6</v>
      </c>
      <c r="D975" s="4" t="n">
        <v>1</v>
      </c>
      <c r="E975" s="4" t="s">
        <v>42</v>
      </c>
      <c r="F975" s="3" t="s">
        <v>164</v>
      </c>
      <c r="G975" s="3" t="s">
        <v>577</v>
      </c>
      <c r="H975" s="3" t="s">
        <v>371</v>
      </c>
    </row>
    <row r="976" customFormat="false" ht="15" hidden="false" customHeight="false" outlineLevel="0" collapsed="false">
      <c r="A976" s="4" t="s">
        <v>74</v>
      </c>
      <c r="B976" s="4" t="s">
        <v>31</v>
      </c>
      <c r="C976" s="4" t="n">
        <v>7</v>
      </c>
      <c r="D976" s="4" t="n">
        <v>1</v>
      </c>
      <c r="E976" s="4" t="s">
        <v>39</v>
      </c>
      <c r="F976" s="3" t="s">
        <v>72</v>
      </c>
      <c r="G976" s="3" t="s">
        <v>576</v>
      </c>
      <c r="H976" s="3" t="s">
        <v>83</v>
      </c>
    </row>
    <row r="977" customFormat="false" ht="15" hidden="false" customHeight="false" outlineLevel="0" collapsed="false">
      <c r="A977" s="4" t="s">
        <v>74</v>
      </c>
      <c r="B977" s="4" t="s">
        <v>40</v>
      </c>
      <c r="C977" s="4" t="n">
        <v>1</v>
      </c>
      <c r="D977" s="4" t="n">
        <v>1</v>
      </c>
      <c r="E977" s="4" t="s">
        <v>16</v>
      </c>
      <c r="F977" s="3" t="s">
        <v>99</v>
      </c>
      <c r="G977" s="3" t="s">
        <v>474</v>
      </c>
      <c r="H977" s="3" t="s">
        <v>316</v>
      </c>
    </row>
    <row r="978" customFormat="false" ht="15" hidden="false" customHeight="false" outlineLevel="0" collapsed="false">
      <c r="A978" s="4" t="s">
        <v>74</v>
      </c>
      <c r="B978" s="4" t="s">
        <v>40</v>
      </c>
      <c r="C978" s="4" t="n">
        <v>2</v>
      </c>
      <c r="D978" s="4" t="n">
        <v>1</v>
      </c>
      <c r="E978" s="4" t="s">
        <v>21</v>
      </c>
      <c r="F978" s="3" t="s">
        <v>296</v>
      </c>
      <c r="G978" s="3" t="s">
        <v>573</v>
      </c>
      <c r="H978" s="3" t="s">
        <v>297</v>
      </c>
    </row>
    <row r="979" customFormat="false" ht="15" hidden="false" customHeight="false" outlineLevel="0" collapsed="false">
      <c r="A979" s="4" t="s">
        <v>74</v>
      </c>
      <c r="B979" s="4" t="s">
        <v>40</v>
      </c>
      <c r="C979" s="4" t="n">
        <v>3</v>
      </c>
      <c r="D979" s="4" t="n">
        <v>2</v>
      </c>
      <c r="E979" s="4" t="s">
        <v>542</v>
      </c>
      <c r="F979" s="3" t="s">
        <v>72</v>
      </c>
      <c r="G979" s="3" t="s">
        <v>576</v>
      </c>
      <c r="H979" s="3" t="s">
        <v>85</v>
      </c>
    </row>
    <row r="980" customFormat="false" ht="15" hidden="false" customHeight="false" outlineLevel="0" collapsed="false">
      <c r="A980" s="4" t="s">
        <v>74</v>
      </c>
      <c r="B980" s="4" t="s">
        <v>40</v>
      </c>
      <c r="C980" s="4" t="n">
        <v>5</v>
      </c>
      <c r="D980" s="4" t="n">
        <v>1</v>
      </c>
      <c r="E980" s="4" t="s">
        <v>37</v>
      </c>
      <c r="F980" s="3" t="s">
        <v>130</v>
      </c>
      <c r="G980" s="3" t="s">
        <v>366</v>
      </c>
      <c r="H980" s="3" t="s">
        <v>129</v>
      </c>
    </row>
    <row r="981" customFormat="false" ht="15" hidden="false" customHeight="false" outlineLevel="0" collapsed="false">
      <c r="A981" s="4" t="s">
        <v>74</v>
      </c>
      <c r="B981" s="4" t="s">
        <v>40</v>
      </c>
      <c r="C981" s="4" t="n">
        <v>6</v>
      </c>
      <c r="D981" s="4" t="n">
        <v>1</v>
      </c>
      <c r="E981" s="4" t="s">
        <v>42</v>
      </c>
      <c r="F981" s="3" t="s">
        <v>164</v>
      </c>
      <c r="G981" s="3" t="s">
        <v>577</v>
      </c>
      <c r="H981" s="3" t="s">
        <v>225</v>
      </c>
    </row>
    <row r="982" customFormat="false" ht="15" hidden="false" customHeight="false" outlineLevel="0" collapsed="false">
      <c r="A982" s="4" t="s">
        <v>74</v>
      </c>
      <c r="B982" s="4" t="s">
        <v>40</v>
      </c>
      <c r="C982" s="4" t="n">
        <v>7</v>
      </c>
      <c r="D982" s="4" t="n">
        <v>1</v>
      </c>
      <c r="E982" s="4" t="s">
        <v>39</v>
      </c>
      <c r="F982" s="3" t="s">
        <v>15</v>
      </c>
      <c r="G982" s="3" t="s">
        <v>578</v>
      </c>
      <c r="H982" s="3" t="s">
        <v>83</v>
      </c>
    </row>
    <row r="983" customFormat="false" ht="15" hidden="false" customHeight="false" outlineLevel="0" collapsed="false">
      <c r="A983" s="4" t="s">
        <v>74</v>
      </c>
      <c r="B983" s="4" t="s">
        <v>44</v>
      </c>
      <c r="C983" s="4" t="n">
        <v>1</v>
      </c>
      <c r="D983" s="4" t="n">
        <v>1</v>
      </c>
      <c r="E983" s="4" t="s">
        <v>16</v>
      </c>
      <c r="F983" s="3" t="s">
        <v>376</v>
      </c>
      <c r="G983" s="3" t="s">
        <v>484</v>
      </c>
      <c r="H983" s="3" t="s">
        <v>316</v>
      </c>
    </row>
    <row r="984" customFormat="false" ht="15" hidden="false" customHeight="false" outlineLevel="0" collapsed="false">
      <c r="A984" s="4" t="s">
        <v>74</v>
      </c>
      <c r="B984" s="4" t="s">
        <v>44</v>
      </c>
      <c r="C984" s="4" t="n">
        <v>2</v>
      </c>
      <c r="D984" s="4" t="n">
        <v>1</v>
      </c>
      <c r="E984" s="4" t="s">
        <v>21</v>
      </c>
      <c r="F984" s="3" t="s">
        <v>72</v>
      </c>
      <c r="G984" s="3" t="s">
        <v>576</v>
      </c>
      <c r="H984" s="3" t="s">
        <v>71</v>
      </c>
    </row>
    <row r="985" customFormat="false" ht="15" hidden="false" customHeight="false" outlineLevel="0" collapsed="false">
      <c r="A985" s="4" t="s">
        <v>74</v>
      </c>
      <c r="B985" s="4" t="s">
        <v>44</v>
      </c>
      <c r="C985" s="4" t="n">
        <v>3</v>
      </c>
      <c r="D985" s="4" t="n">
        <v>1</v>
      </c>
      <c r="E985" s="4" t="s">
        <v>26</v>
      </c>
      <c r="F985" s="3" t="s">
        <v>437</v>
      </c>
      <c r="G985" s="3" t="s">
        <v>481</v>
      </c>
      <c r="H985" s="3" t="s">
        <v>316</v>
      </c>
    </row>
    <row r="986" customFormat="false" ht="15" hidden="false" customHeight="false" outlineLevel="0" collapsed="false">
      <c r="A986" s="4" t="s">
        <v>74</v>
      </c>
      <c r="B986" s="4" t="s">
        <v>44</v>
      </c>
      <c r="C986" s="4" t="n">
        <v>4</v>
      </c>
      <c r="D986" s="4" t="n">
        <v>1</v>
      </c>
      <c r="E986" s="4" t="s">
        <v>34</v>
      </c>
      <c r="F986" s="3" t="s">
        <v>312</v>
      </c>
      <c r="G986" s="3" t="s">
        <v>308</v>
      </c>
      <c r="H986" s="3" t="s">
        <v>125</v>
      </c>
    </row>
    <row r="987" customFormat="false" ht="15" hidden="false" customHeight="false" outlineLevel="0" collapsed="false">
      <c r="A987" s="4" t="s">
        <v>74</v>
      </c>
      <c r="B987" s="4" t="s">
        <v>44</v>
      </c>
      <c r="C987" s="4" t="n">
        <v>5</v>
      </c>
      <c r="D987" s="4" t="n">
        <v>1</v>
      </c>
      <c r="E987" s="4" t="s">
        <v>37</v>
      </c>
      <c r="F987" s="3" t="s">
        <v>36</v>
      </c>
      <c r="G987" s="3" t="s">
        <v>569</v>
      </c>
      <c r="H987" s="3" t="s">
        <v>81</v>
      </c>
    </row>
    <row r="988" customFormat="false" ht="15" hidden="false" customHeight="false" outlineLevel="0" collapsed="false">
      <c r="A988" s="4" t="s">
        <v>74</v>
      </c>
      <c r="B988" s="4" t="s">
        <v>44</v>
      </c>
      <c r="C988" s="4" t="n">
        <v>6</v>
      </c>
      <c r="D988" s="4" t="n">
        <v>1</v>
      </c>
      <c r="E988" s="4" t="s">
        <v>42</v>
      </c>
      <c r="F988" s="3" t="s">
        <v>164</v>
      </c>
      <c r="G988" s="3" t="s">
        <v>577</v>
      </c>
      <c r="H988" s="3" t="s">
        <v>372</v>
      </c>
    </row>
    <row r="989" customFormat="false" ht="15" hidden="false" customHeight="false" outlineLevel="0" collapsed="false">
      <c r="A989" s="4" t="s">
        <v>74</v>
      </c>
      <c r="B989" s="4" t="s">
        <v>44</v>
      </c>
      <c r="C989" s="4" t="n">
        <v>7</v>
      </c>
      <c r="D989" s="4" t="n">
        <v>1</v>
      </c>
      <c r="E989" s="4" t="s">
        <v>39</v>
      </c>
      <c r="F989" s="3" t="s">
        <v>15</v>
      </c>
      <c r="G989" s="3" t="s">
        <v>578</v>
      </c>
      <c r="H989" s="3" t="s">
        <v>219</v>
      </c>
    </row>
    <row r="990" customFormat="false" ht="15" hidden="false" customHeight="false" outlineLevel="0" collapsed="false">
      <c r="A990" s="4" t="s">
        <v>74</v>
      </c>
      <c r="B990" s="4" t="s">
        <v>47</v>
      </c>
      <c r="C990" s="4" t="n">
        <v>1</v>
      </c>
      <c r="D990" s="4" t="n">
        <v>1</v>
      </c>
      <c r="E990" s="4" t="s">
        <v>16</v>
      </c>
      <c r="F990" s="3" t="s">
        <v>164</v>
      </c>
      <c r="G990" s="3" t="s">
        <v>577</v>
      </c>
      <c r="H990" s="3" t="s">
        <v>371</v>
      </c>
    </row>
    <row r="991" customFormat="false" ht="15" hidden="false" customHeight="false" outlineLevel="0" collapsed="false">
      <c r="A991" s="4" t="s">
        <v>74</v>
      </c>
      <c r="B991" s="4" t="s">
        <v>47</v>
      </c>
      <c r="C991" s="4" t="n">
        <v>2</v>
      </c>
      <c r="D991" s="4" t="n">
        <v>1</v>
      </c>
      <c r="E991" s="4" t="s">
        <v>21</v>
      </c>
      <c r="F991" s="3" t="s">
        <v>285</v>
      </c>
      <c r="G991" s="3" t="s">
        <v>450</v>
      </c>
      <c r="H991" s="3" t="s">
        <v>316</v>
      </c>
    </row>
    <row r="992" customFormat="false" ht="15" hidden="false" customHeight="false" outlineLevel="0" collapsed="false">
      <c r="A992" s="4" t="s">
        <v>74</v>
      </c>
      <c r="B992" s="4" t="s">
        <v>47</v>
      </c>
      <c r="C992" s="4" t="n">
        <v>3</v>
      </c>
      <c r="D992" s="4" t="n">
        <v>1</v>
      </c>
      <c r="E992" s="4" t="s">
        <v>26</v>
      </c>
      <c r="F992" s="3" t="s">
        <v>296</v>
      </c>
      <c r="G992" s="3" t="s">
        <v>573</v>
      </c>
      <c r="H992" s="3" t="s">
        <v>297</v>
      </c>
    </row>
    <row r="993" customFormat="false" ht="15" hidden="false" customHeight="false" outlineLevel="0" collapsed="false">
      <c r="A993" s="4" t="s">
        <v>74</v>
      </c>
      <c r="B993" s="4" t="s">
        <v>47</v>
      </c>
      <c r="C993" s="4" t="n">
        <v>4</v>
      </c>
      <c r="D993" s="4" t="n">
        <v>1</v>
      </c>
      <c r="E993" s="4" t="s">
        <v>34</v>
      </c>
      <c r="F993" s="3" t="s">
        <v>15</v>
      </c>
      <c r="G993" s="3" t="s">
        <v>578</v>
      </c>
      <c r="H993" s="3" t="s">
        <v>220</v>
      </c>
    </row>
    <row r="994" customFormat="false" ht="15" hidden="false" customHeight="false" outlineLevel="0" collapsed="false">
      <c r="A994" s="4" t="s">
        <v>74</v>
      </c>
      <c r="B994" s="4" t="s">
        <v>47</v>
      </c>
      <c r="C994" s="4" t="n">
        <v>5</v>
      </c>
      <c r="D994" s="4" t="n">
        <v>1</v>
      </c>
      <c r="E994" s="4" t="s">
        <v>37</v>
      </c>
      <c r="F994" s="3" t="s">
        <v>72</v>
      </c>
      <c r="G994" s="3" t="s">
        <v>576</v>
      </c>
      <c r="H994" s="3" t="s">
        <v>83</v>
      </c>
    </row>
    <row r="995" customFormat="false" ht="15" hidden="false" customHeight="false" outlineLevel="0" collapsed="false">
      <c r="A995" s="4" t="s">
        <v>74</v>
      </c>
      <c r="B995" s="4" t="s">
        <v>47</v>
      </c>
      <c r="C995" s="4" t="n">
        <v>6</v>
      </c>
      <c r="D995" s="4" t="n">
        <v>2</v>
      </c>
      <c r="E995" s="4" t="s">
        <v>536</v>
      </c>
      <c r="F995" s="3" t="s">
        <v>463</v>
      </c>
      <c r="G995" s="3" t="s">
        <v>579</v>
      </c>
      <c r="H995" s="3" t="s">
        <v>462</v>
      </c>
    </row>
    <row r="996" customFormat="false" ht="15" hidden="false" customHeight="false" outlineLevel="0" collapsed="false">
      <c r="A996" s="4" t="s">
        <v>74</v>
      </c>
      <c r="B996" s="4" t="s">
        <v>50</v>
      </c>
      <c r="C996" s="4" t="n">
        <v>1</v>
      </c>
      <c r="D996" s="4" t="n">
        <v>1</v>
      </c>
      <c r="E996" s="4" t="s">
        <v>16</v>
      </c>
      <c r="F996" s="3" t="s">
        <v>164</v>
      </c>
      <c r="G996" s="3" t="s">
        <v>577</v>
      </c>
      <c r="H996" s="3" t="s">
        <v>373</v>
      </c>
    </row>
    <row r="997" customFormat="false" ht="15" hidden="false" customHeight="false" outlineLevel="0" collapsed="false">
      <c r="A997" s="4" t="s">
        <v>74</v>
      </c>
      <c r="B997" s="4" t="s">
        <v>50</v>
      </c>
      <c r="C997" s="4" t="n">
        <v>2</v>
      </c>
      <c r="D997" s="4" t="n">
        <v>1</v>
      </c>
      <c r="E997" s="4" t="s">
        <v>21</v>
      </c>
      <c r="F997" s="3" t="s">
        <v>312</v>
      </c>
      <c r="G997" s="3" t="s">
        <v>308</v>
      </c>
      <c r="H997" s="3" t="s">
        <v>316</v>
      </c>
    </row>
    <row r="998" customFormat="false" ht="15" hidden="false" customHeight="false" outlineLevel="0" collapsed="false">
      <c r="A998" s="4" t="s">
        <v>74</v>
      </c>
      <c r="B998" s="4" t="s">
        <v>50</v>
      </c>
      <c r="C998" s="4" t="n">
        <v>3</v>
      </c>
      <c r="D998" s="4" t="n">
        <v>1</v>
      </c>
      <c r="E998" s="4" t="s">
        <v>26</v>
      </c>
      <c r="F998" s="3" t="s">
        <v>99</v>
      </c>
      <c r="G998" s="3" t="s">
        <v>474</v>
      </c>
      <c r="H998" s="3" t="s">
        <v>316</v>
      </c>
    </row>
    <row r="999" customFormat="false" ht="15" hidden="false" customHeight="false" outlineLevel="0" collapsed="false">
      <c r="A999" s="4" t="s">
        <v>74</v>
      </c>
      <c r="B999" s="4" t="s">
        <v>50</v>
      </c>
      <c r="C999" s="4" t="n">
        <v>4</v>
      </c>
      <c r="D999" s="4" t="n">
        <v>1</v>
      </c>
      <c r="E999" s="4" t="s">
        <v>34</v>
      </c>
      <c r="F999" s="3" t="s">
        <v>72</v>
      </c>
      <c r="G999" s="3" t="s">
        <v>576</v>
      </c>
      <c r="H999" s="3" t="s">
        <v>71</v>
      </c>
    </row>
    <row r="1000" customFormat="false" ht="15" hidden="false" customHeight="false" outlineLevel="0" collapsed="false">
      <c r="A1000" s="4" t="s">
        <v>74</v>
      </c>
      <c r="B1000" s="4" t="s">
        <v>50</v>
      </c>
      <c r="C1000" s="4" t="n">
        <v>5</v>
      </c>
      <c r="D1000" s="4" t="n">
        <v>1</v>
      </c>
      <c r="E1000" s="4" t="s">
        <v>37</v>
      </c>
      <c r="F1000" s="3" t="s">
        <v>235</v>
      </c>
      <c r="G1000" s="3" t="s">
        <v>479</v>
      </c>
      <c r="H1000" s="3" t="s">
        <v>316</v>
      </c>
    </row>
    <row r="1001" customFormat="false" ht="15" hidden="false" customHeight="false" outlineLevel="0" collapsed="false">
      <c r="A1001" s="4" t="s">
        <v>74</v>
      </c>
      <c r="B1001" s="4" t="s">
        <v>50</v>
      </c>
      <c r="C1001" s="4" t="n">
        <v>6</v>
      </c>
      <c r="D1001" s="4" t="n">
        <v>1</v>
      </c>
      <c r="E1001" s="4" t="s">
        <v>42</v>
      </c>
      <c r="F1001" s="3" t="s">
        <v>285</v>
      </c>
      <c r="G1001" s="3" t="s">
        <v>450</v>
      </c>
      <c r="H1001" s="3" t="s">
        <v>316</v>
      </c>
    </row>
    <row r="1002" customFormat="false" ht="15" hidden="false" customHeight="false" outlineLevel="0" collapsed="false">
      <c r="A1002" s="4" t="s">
        <v>74</v>
      </c>
      <c r="B1002" s="4" t="s">
        <v>50</v>
      </c>
      <c r="C1002" s="4" t="n">
        <v>7</v>
      </c>
      <c r="D1002" s="4" t="n">
        <v>1</v>
      </c>
      <c r="E1002" s="4" t="s">
        <v>39</v>
      </c>
      <c r="F1002" s="3" t="s">
        <v>15</v>
      </c>
      <c r="G1002" s="3" t="s">
        <v>578</v>
      </c>
      <c r="H1002" s="3" t="s">
        <v>83</v>
      </c>
    </row>
    <row r="1003" customFormat="false" ht="15" hidden="false" customHeight="false" outlineLevel="0" collapsed="false">
      <c r="A1003" s="4" t="s">
        <v>74</v>
      </c>
      <c r="B1003" s="4" t="s">
        <v>60</v>
      </c>
      <c r="C1003" s="4" t="n">
        <v>1</v>
      </c>
      <c r="D1003" s="4" t="n">
        <v>1</v>
      </c>
      <c r="E1003" s="4" t="s">
        <v>16</v>
      </c>
      <c r="F1003" s="3" t="s">
        <v>130</v>
      </c>
      <c r="G1003" s="3" t="s">
        <v>366</v>
      </c>
      <c r="H1003" s="3" t="s">
        <v>316</v>
      </c>
    </row>
    <row r="1004" customFormat="false" ht="15" hidden="false" customHeight="false" outlineLevel="0" collapsed="false">
      <c r="A1004" s="4" t="s">
        <v>74</v>
      </c>
      <c r="B1004" s="4" t="s">
        <v>60</v>
      </c>
      <c r="C1004" s="4" t="n">
        <v>2</v>
      </c>
      <c r="D1004" s="4" t="n">
        <v>1</v>
      </c>
      <c r="E1004" s="4" t="s">
        <v>21</v>
      </c>
      <c r="F1004" s="3" t="s">
        <v>72</v>
      </c>
      <c r="G1004" s="3" t="s">
        <v>576</v>
      </c>
      <c r="H1004" s="3" t="s">
        <v>91</v>
      </c>
    </row>
    <row r="1005" customFormat="false" ht="15" hidden="false" customHeight="false" outlineLevel="0" collapsed="false">
      <c r="A1005" s="4" t="s">
        <v>74</v>
      </c>
      <c r="B1005" s="4" t="s">
        <v>60</v>
      </c>
      <c r="C1005" s="4" t="n">
        <v>3</v>
      </c>
      <c r="D1005" s="4" t="n">
        <v>1</v>
      </c>
      <c r="E1005" s="4" t="s">
        <v>26</v>
      </c>
      <c r="F1005" s="3" t="s">
        <v>376</v>
      </c>
      <c r="G1005" s="3" t="s">
        <v>484</v>
      </c>
      <c r="H1005" s="3" t="s">
        <v>316</v>
      </c>
    </row>
    <row r="1006" customFormat="false" ht="15" hidden="false" customHeight="false" outlineLevel="0" collapsed="false">
      <c r="A1006" s="4" t="s">
        <v>74</v>
      </c>
      <c r="B1006" s="4" t="s">
        <v>60</v>
      </c>
      <c r="C1006" s="4" t="n">
        <v>4</v>
      </c>
      <c r="D1006" s="4" t="n">
        <v>1</v>
      </c>
      <c r="E1006" s="4" t="s">
        <v>34</v>
      </c>
      <c r="F1006" s="3" t="s">
        <v>350</v>
      </c>
      <c r="G1006" s="3" t="s">
        <v>511</v>
      </c>
      <c r="H1006" s="3" t="s">
        <v>316</v>
      </c>
    </row>
    <row r="1007" customFormat="false" ht="15" hidden="false" customHeight="false" outlineLevel="0" collapsed="false">
      <c r="A1007" s="4" t="s">
        <v>74</v>
      </c>
      <c r="B1007" s="4" t="s">
        <v>60</v>
      </c>
      <c r="C1007" s="4" t="n">
        <v>5</v>
      </c>
      <c r="D1007" s="4" t="n">
        <v>1</v>
      </c>
      <c r="E1007" s="4" t="s">
        <v>37</v>
      </c>
      <c r="F1007" s="3" t="s">
        <v>36</v>
      </c>
      <c r="G1007" s="3" t="s">
        <v>569</v>
      </c>
      <c r="H1007" s="3" t="s">
        <v>81</v>
      </c>
    </row>
    <row r="1008" customFormat="false" ht="15" hidden="false" customHeight="false" outlineLevel="0" collapsed="false">
      <c r="A1008" s="4" t="s">
        <v>74</v>
      </c>
      <c r="B1008" s="4" t="s">
        <v>60</v>
      </c>
      <c r="C1008" s="4" t="n">
        <v>6</v>
      </c>
      <c r="D1008" s="4" t="n">
        <v>1</v>
      </c>
      <c r="E1008" s="4" t="s">
        <v>42</v>
      </c>
      <c r="F1008" s="3" t="s">
        <v>164</v>
      </c>
      <c r="G1008" s="3" t="s">
        <v>577</v>
      </c>
      <c r="H1008" s="3" t="s">
        <v>83</v>
      </c>
    </row>
    <row r="1009" customFormat="false" ht="15" hidden="false" customHeight="false" outlineLevel="0" collapsed="false">
      <c r="A1009" s="4" t="s">
        <v>74</v>
      </c>
      <c r="B1009" s="4" t="s">
        <v>60</v>
      </c>
      <c r="C1009" s="4" t="n">
        <v>7</v>
      </c>
      <c r="D1009" s="4" t="n">
        <v>1</v>
      </c>
      <c r="E1009" s="4" t="s">
        <v>39</v>
      </c>
      <c r="F1009" s="3" t="s">
        <v>15</v>
      </c>
      <c r="G1009" s="3" t="s">
        <v>578</v>
      </c>
      <c r="H1009" s="3" t="s">
        <v>71</v>
      </c>
    </row>
    <row r="1010" customFormat="false" ht="15" hidden="false" customHeight="false" outlineLevel="0" collapsed="false">
      <c r="A1010" s="4" t="s">
        <v>74</v>
      </c>
      <c r="B1010" s="4" t="s">
        <v>63</v>
      </c>
      <c r="C1010" s="4" t="n">
        <v>1</v>
      </c>
      <c r="D1010" s="4" t="n">
        <v>2</v>
      </c>
      <c r="E1010" s="4" t="s">
        <v>539</v>
      </c>
      <c r="F1010" s="3" t="s">
        <v>388</v>
      </c>
      <c r="G1010" s="3" t="s">
        <v>571</v>
      </c>
      <c r="H1010" s="3" t="s">
        <v>387</v>
      </c>
    </row>
    <row r="1011" customFormat="false" ht="15" hidden="false" customHeight="false" outlineLevel="0" collapsed="false">
      <c r="A1011" s="4" t="s">
        <v>74</v>
      </c>
      <c r="B1011" s="4" t="s">
        <v>63</v>
      </c>
      <c r="C1011" s="4" t="n">
        <v>3</v>
      </c>
      <c r="D1011" s="4" t="n">
        <v>1</v>
      </c>
      <c r="E1011" s="4" t="s">
        <v>26</v>
      </c>
      <c r="F1011" s="3" t="s">
        <v>15</v>
      </c>
      <c r="G1011" s="3" t="s">
        <v>578</v>
      </c>
      <c r="H1011" s="3" t="s">
        <v>223</v>
      </c>
    </row>
    <row r="1012" customFormat="false" ht="15" hidden="false" customHeight="false" outlineLevel="0" collapsed="false">
      <c r="A1012" s="4" t="s">
        <v>74</v>
      </c>
      <c r="B1012" s="4" t="s">
        <v>63</v>
      </c>
      <c r="C1012" s="4" t="n">
        <v>4</v>
      </c>
      <c r="D1012" s="4" t="n">
        <v>2</v>
      </c>
      <c r="E1012" s="4" t="s">
        <v>533</v>
      </c>
      <c r="F1012" s="3" t="s">
        <v>214</v>
      </c>
      <c r="G1012" s="3" t="s">
        <v>572</v>
      </c>
      <c r="H1012" s="3" t="s">
        <v>213</v>
      </c>
    </row>
    <row r="1013" customFormat="false" ht="15" hidden="false" customHeight="false" outlineLevel="0" collapsed="false">
      <c r="A1013" s="4" t="s">
        <v>74</v>
      </c>
      <c r="B1013" s="4" t="s">
        <v>63</v>
      </c>
      <c r="C1013" s="4" t="n">
        <v>6</v>
      </c>
      <c r="D1013" s="4" t="n">
        <v>1</v>
      </c>
      <c r="E1013" s="4" t="s">
        <v>42</v>
      </c>
      <c r="F1013" s="3" t="s">
        <v>164</v>
      </c>
      <c r="G1013" s="3" t="s">
        <v>577</v>
      </c>
      <c r="H1013" s="3" t="s">
        <v>85</v>
      </c>
    </row>
    <row r="1014" customFormat="false" ht="15" hidden="false" customHeight="false" outlineLevel="0" collapsed="false">
      <c r="A1014" s="4" t="s">
        <v>74</v>
      </c>
      <c r="B1014" s="4" t="s">
        <v>63</v>
      </c>
      <c r="C1014" s="4" t="n">
        <v>7</v>
      </c>
      <c r="D1014" s="4" t="n">
        <v>1</v>
      </c>
      <c r="E1014" s="4" t="s">
        <v>39</v>
      </c>
      <c r="F1014" s="3" t="s">
        <v>72</v>
      </c>
      <c r="G1014" s="3" t="s">
        <v>576</v>
      </c>
      <c r="H1014" s="3" t="s">
        <v>94</v>
      </c>
    </row>
    <row r="1015" customFormat="false" ht="15" hidden="false" customHeight="false" outlineLevel="0" collapsed="false">
      <c r="A1015" s="4" t="s">
        <v>74</v>
      </c>
      <c r="B1015" s="4" t="s">
        <v>65</v>
      </c>
      <c r="C1015" s="4" t="n">
        <v>1</v>
      </c>
      <c r="D1015" s="4" t="n">
        <v>1</v>
      </c>
      <c r="E1015" s="4" t="s">
        <v>16</v>
      </c>
      <c r="F1015" s="3" t="s">
        <v>312</v>
      </c>
      <c r="G1015" s="3" t="s">
        <v>308</v>
      </c>
      <c r="H1015" s="3" t="s">
        <v>311</v>
      </c>
    </row>
    <row r="1016" customFormat="false" ht="15" hidden="false" customHeight="false" outlineLevel="0" collapsed="false">
      <c r="A1016" s="4" t="s">
        <v>74</v>
      </c>
      <c r="B1016" s="4" t="s">
        <v>65</v>
      </c>
      <c r="C1016" s="4" t="n">
        <v>2</v>
      </c>
      <c r="D1016" s="4" t="n">
        <v>1</v>
      </c>
      <c r="E1016" s="4" t="s">
        <v>21</v>
      </c>
      <c r="F1016" s="3" t="s">
        <v>72</v>
      </c>
      <c r="G1016" s="3" t="s">
        <v>576</v>
      </c>
      <c r="H1016" s="3" t="s">
        <v>83</v>
      </c>
    </row>
    <row r="1017" customFormat="false" ht="15" hidden="false" customHeight="false" outlineLevel="0" collapsed="false">
      <c r="A1017" s="4" t="s">
        <v>74</v>
      </c>
      <c r="B1017" s="4" t="s">
        <v>65</v>
      </c>
      <c r="C1017" s="4" t="n">
        <v>3</v>
      </c>
      <c r="D1017" s="4" t="n">
        <v>1</v>
      </c>
      <c r="E1017" s="4" t="s">
        <v>26</v>
      </c>
      <c r="F1017" s="3" t="s">
        <v>15</v>
      </c>
      <c r="G1017" s="3" t="s">
        <v>578</v>
      </c>
      <c r="H1017" s="3" t="s">
        <v>224</v>
      </c>
    </row>
    <row r="1018" customFormat="false" ht="15" hidden="false" customHeight="false" outlineLevel="0" collapsed="false">
      <c r="A1018" s="4" t="s">
        <v>74</v>
      </c>
      <c r="B1018" s="4" t="s">
        <v>65</v>
      </c>
      <c r="C1018" s="4" t="n">
        <v>4</v>
      </c>
      <c r="D1018" s="4" t="n">
        <v>1</v>
      </c>
      <c r="E1018" s="4" t="s">
        <v>34</v>
      </c>
      <c r="F1018" s="3" t="s">
        <v>285</v>
      </c>
      <c r="G1018" s="3" t="s">
        <v>450</v>
      </c>
      <c r="H1018" s="3" t="s">
        <v>316</v>
      </c>
    </row>
    <row r="1019" customFormat="false" ht="15" hidden="false" customHeight="false" outlineLevel="0" collapsed="false">
      <c r="A1019" s="4" t="s">
        <v>74</v>
      </c>
      <c r="B1019" s="4" t="s">
        <v>65</v>
      </c>
      <c r="C1019" s="4" t="n">
        <v>5</v>
      </c>
      <c r="D1019" s="4" t="n">
        <v>1</v>
      </c>
      <c r="E1019" s="4" t="s">
        <v>37</v>
      </c>
      <c r="F1019" s="3" t="s">
        <v>36</v>
      </c>
      <c r="G1019" s="3" t="s">
        <v>569</v>
      </c>
      <c r="H1019" s="3" t="s">
        <v>81</v>
      </c>
    </row>
    <row r="1020" customFormat="false" ht="15" hidden="false" customHeight="false" outlineLevel="0" collapsed="false">
      <c r="A1020" s="4" t="s">
        <v>74</v>
      </c>
      <c r="B1020" s="4" t="s">
        <v>65</v>
      </c>
      <c r="C1020" s="4" t="n">
        <v>6</v>
      </c>
      <c r="D1020" s="4" t="n">
        <v>2</v>
      </c>
      <c r="E1020" s="4" t="s">
        <v>536</v>
      </c>
      <c r="F1020" s="3" t="s">
        <v>164</v>
      </c>
      <c r="G1020" s="3" t="s">
        <v>577</v>
      </c>
      <c r="H1020" s="3" t="s">
        <v>218</v>
      </c>
    </row>
    <row r="1021" customFormat="false" ht="15" hidden="false" customHeight="false" outlineLevel="0" collapsed="false">
      <c r="A1021" s="4" t="s">
        <v>74</v>
      </c>
      <c r="B1021" s="4" t="s">
        <v>66</v>
      </c>
      <c r="C1021" s="4" t="n">
        <v>1</v>
      </c>
      <c r="D1021" s="4" t="n">
        <v>1</v>
      </c>
      <c r="E1021" s="4" t="s">
        <v>16</v>
      </c>
      <c r="F1021" s="3" t="s">
        <v>296</v>
      </c>
      <c r="G1021" s="3" t="s">
        <v>573</v>
      </c>
      <c r="H1021" s="3" t="s">
        <v>297</v>
      </c>
    </row>
    <row r="1022" customFormat="false" ht="15" hidden="false" customHeight="false" outlineLevel="0" collapsed="false">
      <c r="A1022" s="4" t="s">
        <v>74</v>
      </c>
      <c r="B1022" s="4" t="s">
        <v>66</v>
      </c>
      <c r="C1022" s="4" t="n">
        <v>2</v>
      </c>
      <c r="D1022" s="4" t="n">
        <v>1</v>
      </c>
      <c r="E1022" s="4" t="s">
        <v>21</v>
      </c>
      <c r="F1022" s="3" t="s">
        <v>164</v>
      </c>
      <c r="G1022" s="3" t="s">
        <v>577</v>
      </c>
      <c r="H1022" s="3" t="s">
        <v>91</v>
      </c>
    </row>
    <row r="1023" customFormat="false" ht="15" hidden="false" customHeight="false" outlineLevel="0" collapsed="false">
      <c r="A1023" s="4" t="s">
        <v>74</v>
      </c>
      <c r="B1023" s="4" t="s">
        <v>66</v>
      </c>
      <c r="C1023" s="4" t="n">
        <v>3</v>
      </c>
      <c r="D1023" s="4" t="n">
        <v>1</v>
      </c>
      <c r="E1023" s="4" t="s">
        <v>26</v>
      </c>
      <c r="F1023" s="3" t="s">
        <v>235</v>
      </c>
      <c r="G1023" s="3" t="s">
        <v>479</v>
      </c>
      <c r="H1023" s="3" t="s">
        <v>246</v>
      </c>
    </row>
    <row r="1024" customFormat="false" ht="15" hidden="false" customHeight="false" outlineLevel="0" collapsed="false">
      <c r="A1024" s="4" t="s">
        <v>74</v>
      </c>
      <c r="B1024" s="4" t="s">
        <v>66</v>
      </c>
      <c r="C1024" s="4" t="n">
        <v>4</v>
      </c>
      <c r="D1024" s="4" t="n">
        <v>1</v>
      </c>
      <c r="E1024" s="4" t="s">
        <v>34</v>
      </c>
      <c r="F1024" s="3" t="s">
        <v>15</v>
      </c>
      <c r="G1024" s="3" t="s">
        <v>578</v>
      </c>
      <c r="H1024" s="3" t="s">
        <v>225</v>
      </c>
    </row>
    <row r="1025" customFormat="false" ht="15" hidden="false" customHeight="false" outlineLevel="0" collapsed="false">
      <c r="A1025" s="4" t="s">
        <v>74</v>
      </c>
      <c r="B1025" s="4" t="s">
        <v>66</v>
      </c>
      <c r="C1025" s="4" t="n">
        <v>5</v>
      </c>
      <c r="D1025" s="4" t="n">
        <v>1</v>
      </c>
      <c r="E1025" s="4" t="s">
        <v>37</v>
      </c>
      <c r="F1025" s="3" t="s">
        <v>72</v>
      </c>
      <c r="G1025" s="3" t="s">
        <v>576</v>
      </c>
      <c r="H1025" s="3" t="s">
        <v>96</v>
      </c>
    </row>
    <row r="1026" customFormat="false" ht="15" hidden="false" customHeight="false" outlineLevel="0" collapsed="false">
      <c r="A1026" s="4" t="s">
        <v>74</v>
      </c>
      <c r="B1026" s="4" t="s">
        <v>66</v>
      </c>
      <c r="C1026" s="4" t="n">
        <v>6</v>
      </c>
      <c r="D1026" s="4" t="n">
        <v>1</v>
      </c>
      <c r="E1026" s="4" t="s">
        <v>42</v>
      </c>
      <c r="F1026" s="3" t="s">
        <v>437</v>
      </c>
      <c r="G1026" s="3" t="s">
        <v>481</v>
      </c>
      <c r="H1026" s="3" t="s">
        <v>316</v>
      </c>
    </row>
    <row r="1027" customFormat="false" ht="15" hidden="false" customHeight="false" outlineLevel="0" collapsed="false">
      <c r="A1027" s="4" t="s">
        <v>74</v>
      </c>
      <c r="B1027" s="4" t="s">
        <v>66</v>
      </c>
      <c r="C1027" s="4" t="n">
        <v>7</v>
      </c>
      <c r="D1027" s="4" t="n">
        <v>1</v>
      </c>
      <c r="E1027" s="4" t="s">
        <v>39</v>
      </c>
      <c r="F1027" s="3" t="s">
        <v>130</v>
      </c>
      <c r="G1027" s="3" t="s">
        <v>366</v>
      </c>
      <c r="H1027" s="3" t="s">
        <v>133</v>
      </c>
    </row>
    <row r="1028" customFormat="false" ht="15" hidden="false" customHeight="false" outlineLevel="0" collapsed="false">
      <c r="A1028" s="4" t="s">
        <v>70</v>
      </c>
      <c r="B1028" s="4" t="s">
        <v>12</v>
      </c>
      <c r="C1028" s="4" t="n">
        <v>1</v>
      </c>
      <c r="D1028" s="4" t="n">
        <v>1</v>
      </c>
      <c r="E1028" s="4" t="s">
        <v>16</v>
      </c>
      <c r="F1028" s="3" t="s">
        <v>285</v>
      </c>
      <c r="G1028" s="3" t="s">
        <v>361</v>
      </c>
      <c r="H1028" s="3" t="s">
        <v>108</v>
      </c>
    </row>
    <row r="1029" customFormat="false" ht="15" hidden="false" customHeight="false" outlineLevel="0" collapsed="false">
      <c r="A1029" s="4" t="s">
        <v>70</v>
      </c>
      <c r="B1029" s="4" t="s">
        <v>12</v>
      </c>
      <c r="C1029" s="4" t="n">
        <v>2</v>
      </c>
      <c r="D1029" s="4" t="n">
        <v>1</v>
      </c>
      <c r="E1029" s="4" t="s">
        <v>21</v>
      </c>
      <c r="F1029" s="3" t="s">
        <v>369</v>
      </c>
      <c r="G1029" s="3" t="s">
        <v>367</v>
      </c>
      <c r="H1029" s="3" t="s">
        <v>368</v>
      </c>
    </row>
    <row r="1030" customFormat="false" ht="15" hidden="false" customHeight="false" outlineLevel="0" collapsed="false">
      <c r="A1030" s="4" t="s">
        <v>70</v>
      </c>
      <c r="B1030" s="4" t="s">
        <v>12</v>
      </c>
      <c r="C1030" s="4" t="n">
        <v>3</v>
      </c>
      <c r="D1030" s="4" t="n">
        <v>1</v>
      </c>
      <c r="E1030" s="4" t="s">
        <v>26</v>
      </c>
      <c r="F1030" s="3" t="s">
        <v>72</v>
      </c>
      <c r="G1030" s="3" t="s">
        <v>576</v>
      </c>
      <c r="H1030" s="3" t="s">
        <v>71</v>
      </c>
    </row>
    <row r="1031" customFormat="false" ht="15" hidden="false" customHeight="false" outlineLevel="0" collapsed="false">
      <c r="A1031" s="4" t="s">
        <v>70</v>
      </c>
      <c r="B1031" s="4" t="s">
        <v>12</v>
      </c>
      <c r="C1031" s="4" t="n">
        <v>4</v>
      </c>
      <c r="D1031" s="4" t="n">
        <v>1</v>
      </c>
      <c r="E1031" s="4" t="s">
        <v>34</v>
      </c>
      <c r="F1031" s="3" t="s">
        <v>437</v>
      </c>
      <c r="G1031" s="3" t="s">
        <v>481</v>
      </c>
      <c r="H1031" s="3" t="s">
        <v>108</v>
      </c>
    </row>
    <row r="1032" customFormat="false" ht="15" hidden="false" customHeight="false" outlineLevel="0" collapsed="false">
      <c r="A1032" s="4" t="s">
        <v>70</v>
      </c>
      <c r="B1032" s="4" t="s">
        <v>12</v>
      </c>
      <c r="C1032" s="4" t="n">
        <v>5</v>
      </c>
      <c r="D1032" s="4" t="n">
        <v>1</v>
      </c>
      <c r="E1032" s="4" t="s">
        <v>37</v>
      </c>
      <c r="F1032" s="3" t="s">
        <v>164</v>
      </c>
      <c r="G1032" s="3" t="s">
        <v>577</v>
      </c>
      <c r="H1032" s="3" t="s">
        <v>71</v>
      </c>
    </row>
    <row r="1033" customFormat="false" ht="15" hidden="false" customHeight="false" outlineLevel="0" collapsed="false">
      <c r="A1033" s="4" t="s">
        <v>70</v>
      </c>
      <c r="B1033" s="4" t="s">
        <v>12</v>
      </c>
      <c r="C1033" s="4" t="n">
        <v>6</v>
      </c>
      <c r="D1033" s="4" t="n">
        <v>1</v>
      </c>
      <c r="E1033" s="4" t="s">
        <v>42</v>
      </c>
      <c r="F1033" s="3" t="s">
        <v>99</v>
      </c>
      <c r="G1033" s="3" t="s">
        <v>97</v>
      </c>
      <c r="H1033" s="3" t="s">
        <v>108</v>
      </c>
    </row>
    <row r="1034" customFormat="false" ht="15" hidden="false" customHeight="false" outlineLevel="0" collapsed="false">
      <c r="A1034" s="4" t="s">
        <v>70</v>
      </c>
      <c r="B1034" s="4" t="s">
        <v>12</v>
      </c>
      <c r="C1034" s="4" t="n">
        <v>7</v>
      </c>
      <c r="D1034" s="4" t="n">
        <v>1</v>
      </c>
      <c r="E1034" s="4" t="s">
        <v>39</v>
      </c>
      <c r="F1034" s="3" t="s">
        <v>15</v>
      </c>
      <c r="G1034" s="3" t="s">
        <v>578</v>
      </c>
      <c r="H1034" s="3" t="s">
        <v>217</v>
      </c>
    </row>
    <row r="1035" customFormat="false" ht="15" hidden="false" customHeight="false" outlineLevel="0" collapsed="false">
      <c r="A1035" s="4" t="s">
        <v>70</v>
      </c>
      <c r="B1035" s="4" t="s">
        <v>31</v>
      </c>
      <c r="C1035" s="4" t="n">
        <v>1</v>
      </c>
      <c r="D1035" s="4" t="n">
        <v>1</v>
      </c>
      <c r="E1035" s="4" t="s">
        <v>16</v>
      </c>
      <c r="F1035" s="3" t="s">
        <v>235</v>
      </c>
      <c r="G1035" s="3" t="s">
        <v>509</v>
      </c>
      <c r="H1035" s="3" t="s">
        <v>108</v>
      </c>
    </row>
    <row r="1036" customFormat="false" ht="15" hidden="false" customHeight="false" outlineLevel="0" collapsed="false">
      <c r="A1036" s="4" t="s">
        <v>70</v>
      </c>
      <c r="B1036" s="4" t="s">
        <v>31</v>
      </c>
      <c r="C1036" s="4" t="n">
        <v>2</v>
      </c>
      <c r="D1036" s="4" t="n">
        <v>1</v>
      </c>
      <c r="E1036" s="4" t="s">
        <v>21</v>
      </c>
      <c r="F1036" s="3" t="s">
        <v>296</v>
      </c>
      <c r="G1036" s="3" t="s">
        <v>570</v>
      </c>
      <c r="H1036" s="3" t="s">
        <v>297</v>
      </c>
    </row>
    <row r="1037" customFormat="false" ht="15" hidden="false" customHeight="false" outlineLevel="0" collapsed="false">
      <c r="A1037" s="4" t="s">
        <v>70</v>
      </c>
      <c r="B1037" s="4" t="s">
        <v>31</v>
      </c>
      <c r="C1037" s="4" t="n">
        <v>3</v>
      </c>
      <c r="D1037" s="4" t="n">
        <v>1</v>
      </c>
      <c r="E1037" s="4" t="s">
        <v>26</v>
      </c>
      <c r="F1037" s="3" t="s">
        <v>15</v>
      </c>
      <c r="G1037" s="3" t="s">
        <v>578</v>
      </c>
      <c r="H1037" s="3" t="s">
        <v>218</v>
      </c>
    </row>
    <row r="1038" customFormat="false" ht="15" hidden="false" customHeight="false" outlineLevel="0" collapsed="false">
      <c r="A1038" s="4" t="s">
        <v>70</v>
      </c>
      <c r="B1038" s="4" t="s">
        <v>31</v>
      </c>
      <c r="C1038" s="4" t="n">
        <v>4</v>
      </c>
      <c r="D1038" s="4" t="n">
        <v>1</v>
      </c>
      <c r="E1038" s="4" t="s">
        <v>34</v>
      </c>
      <c r="F1038" s="3" t="s">
        <v>130</v>
      </c>
      <c r="G1038" s="3" t="s">
        <v>123</v>
      </c>
      <c r="H1038" s="3" t="s">
        <v>129</v>
      </c>
    </row>
    <row r="1039" customFormat="false" ht="15" hidden="false" customHeight="false" outlineLevel="0" collapsed="false">
      <c r="A1039" s="4" t="s">
        <v>70</v>
      </c>
      <c r="B1039" s="4" t="s">
        <v>31</v>
      </c>
      <c r="C1039" s="4" t="n">
        <v>5</v>
      </c>
      <c r="D1039" s="4" t="n">
        <v>1</v>
      </c>
      <c r="E1039" s="4" t="s">
        <v>37</v>
      </c>
      <c r="F1039" s="3" t="s">
        <v>36</v>
      </c>
      <c r="G1039" s="3" t="s">
        <v>569</v>
      </c>
      <c r="H1039" s="3" t="s">
        <v>81</v>
      </c>
    </row>
    <row r="1040" customFormat="false" ht="15" hidden="false" customHeight="false" outlineLevel="0" collapsed="false">
      <c r="A1040" s="4" t="s">
        <v>70</v>
      </c>
      <c r="B1040" s="4" t="s">
        <v>31</v>
      </c>
      <c r="C1040" s="4" t="n">
        <v>6</v>
      </c>
      <c r="D1040" s="4" t="n">
        <v>1</v>
      </c>
      <c r="E1040" s="4" t="s">
        <v>42</v>
      </c>
      <c r="F1040" s="3" t="s">
        <v>164</v>
      </c>
      <c r="G1040" s="3" t="s">
        <v>577</v>
      </c>
      <c r="H1040" s="3" t="s">
        <v>371</v>
      </c>
    </row>
    <row r="1041" customFormat="false" ht="15" hidden="false" customHeight="false" outlineLevel="0" collapsed="false">
      <c r="A1041" s="4" t="s">
        <v>70</v>
      </c>
      <c r="B1041" s="4" t="s">
        <v>31</v>
      </c>
      <c r="C1041" s="4" t="n">
        <v>7</v>
      </c>
      <c r="D1041" s="4" t="n">
        <v>1</v>
      </c>
      <c r="E1041" s="4" t="s">
        <v>39</v>
      </c>
      <c r="F1041" s="3" t="s">
        <v>72</v>
      </c>
      <c r="G1041" s="3" t="s">
        <v>576</v>
      </c>
      <c r="H1041" s="3" t="s">
        <v>83</v>
      </c>
    </row>
    <row r="1042" customFormat="false" ht="15" hidden="false" customHeight="false" outlineLevel="0" collapsed="false">
      <c r="A1042" s="4" t="s">
        <v>70</v>
      </c>
      <c r="B1042" s="4" t="s">
        <v>40</v>
      </c>
      <c r="C1042" s="4" t="n">
        <v>1</v>
      </c>
      <c r="D1042" s="4" t="n">
        <v>1</v>
      </c>
      <c r="E1042" s="4" t="s">
        <v>16</v>
      </c>
      <c r="F1042" s="3" t="s">
        <v>376</v>
      </c>
      <c r="G1042" s="3" t="s">
        <v>375</v>
      </c>
      <c r="H1042" s="3" t="s">
        <v>108</v>
      </c>
    </row>
    <row r="1043" customFormat="false" ht="15" hidden="false" customHeight="false" outlineLevel="0" collapsed="false">
      <c r="A1043" s="4" t="s">
        <v>70</v>
      </c>
      <c r="B1043" s="4" t="s">
        <v>40</v>
      </c>
      <c r="C1043" s="4" t="n">
        <v>2</v>
      </c>
      <c r="D1043" s="4" t="n">
        <v>1</v>
      </c>
      <c r="E1043" s="4" t="s">
        <v>21</v>
      </c>
      <c r="F1043" s="3" t="s">
        <v>99</v>
      </c>
      <c r="G1043" s="3" t="s">
        <v>97</v>
      </c>
      <c r="H1043" s="3" t="s">
        <v>108</v>
      </c>
    </row>
    <row r="1044" customFormat="false" ht="15" hidden="false" customHeight="false" outlineLevel="0" collapsed="false">
      <c r="A1044" s="4" t="s">
        <v>70</v>
      </c>
      <c r="B1044" s="4" t="s">
        <v>40</v>
      </c>
      <c r="C1044" s="4" t="n">
        <v>3</v>
      </c>
      <c r="D1044" s="4" t="n">
        <v>2</v>
      </c>
      <c r="E1044" s="4" t="s">
        <v>542</v>
      </c>
      <c r="F1044" s="3" t="s">
        <v>72</v>
      </c>
      <c r="G1044" s="3" t="s">
        <v>576</v>
      </c>
      <c r="H1044" s="3" t="s">
        <v>85</v>
      </c>
    </row>
    <row r="1045" customFormat="false" ht="15" hidden="false" customHeight="false" outlineLevel="0" collapsed="false">
      <c r="A1045" s="4" t="s">
        <v>70</v>
      </c>
      <c r="B1045" s="4" t="s">
        <v>40</v>
      </c>
      <c r="C1045" s="4" t="n">
        <v>5</v>
      </c>
      <c r="D1045" s="4" t="n">
        <v>1</v>
      </c>
      <c r="E1045" s="4" t="s">
        <v>37</v>
      </c>
      <c r="F1045" s="3" t="s">
        <v>312</v>
      </c>
      <c r="G1045" s="3" t="s">
        <v>504</v>
      </c>
      <c r="H1045" s="3" t="s">
        <v>311</v>
      </c>
    </row>
    <row r="1046" customFormat="false" ht="15" hidden="false" customHeight="false" outlineLevel="0" collapsed="false">
      <c r="A1046" s="4" t="s">
        <v>70</v>
      </c>
      <c r="B1046" s="4" t="s">
        <v>40</v>
      </c>
      <c r="C1046" s="4" t="n">
        <v>6</v>
      </c>
      <c r="D1046" s="4" t="n">
        <v>1</v>
      </c>
      <c r="E1046" s="4" t="s">
        <v>42</v>
      </c>
      <c r="F1046" s="3" t="s">
        <v>164</v>
      </c>
      <c r="G1046" s="3" t="s">
        <v>577</v>
      </c>
      <c r="H1046" s="3" t="s">
        <v>225</v>
      </c>
    </row>
    <row r="1047" customFormat="false" ht="15" hidden="false" customHeight="false" outlineLevel="0" collapsed="false">
      <c r="A1047" s="4" t="s">
        <v>70</v>
      </c>
      <c r="B1047" s="4" t="s">
        <v>40</v>
      </c>
      <c r="C1047" s="4" t="n">
        <v>7</v>
      </c>
      <c r="D1047" s="4" t="n">
        <v>1</v>
      </c>
      <c r="E1047" s="4" t="s">
        <v>39</v>
      </c>
      <c r="F1047" s="3" t="s">
        <v>15</v>
      </c>
      <c r="G1047" s="3" t="s">
        <v>578</v>
      </c>
      <c r="H1047" s="3" t="s">
        <v>83</v>
      </c>
    </row>
    <row r="1048" customFormat="false" ht="15" hidden="false" customHeight="false" outlineLevel="0" collapsed="false">
      <c r="A1048" s="4" t="s">
        <v>70</v>
      </c>
      <c r="B1048" s="4" t="s">
        <v>44</v>
      </c>
      <c r="C1048" s="4" t="n">
        <v>1</v>
      </c>
      <c r="D1048" s="4" t="n">
        <v>1</v>
      </c>
      <c r="E1048" s="4" t="s">
        <v>16</v>
      </c>
      <c r="F1048" s="3" t="s">
        <v>350</v>
      </c>
      <c r="G1048" s="3" t="s">
        <v>126</v>
      </c>
      <c r="H1048" s="3" t="s">
        <v>108</v>
      </c>
    </row>
    <row r="1049" customFormat="false" ht="15" hidden="false" customHeight="false" outlineLevel="0" collapsed="false">
      <c r="A1049" s="4" t="s">
        <v>70</v>
      </c>
      <c r="B1049" s="4" t="s">
        <v>44</v>
      </c>
      <c r="C1049" s="4" t="n">
        <v>2</v>
      </c>
      <c r="D1049" s="4" t="n">
        <v>1</v>
      </c>
      <c r="E1049" s="4" t="s">
        <v>21</v>
      </c>
      <c r="F1049" s="3" t="s">
        <v>72</v>
      </c>
      <c r="G1049" s="3" t="s">
        <v>576</v>
      </c>
      <c r="H1049" s="3" t="s">
        <v>71</v>
      </c>
    </row>
    <row r="1050" customFormat="false" ht="15" hidden="false" customHeight="false" outlineLevel="0" collapsed="false">
      <c r="A1050" s="4" t="s">
        <v>70</v>
      </c>
      <c r="B1050" s="4" t="s">
        <v>44</v>
      </c>
      <c r="C1050" s="4" t="n">
        <v>3</v>
      </c>
      <c r="D1050" s="4" t="n">
        <v>1</v>
      </c>
      <c r="E1050" s="4" t="s">
        <v>26</v>
      </c>
      <c r="F1050" s="3" t="s">
        <v>312</v>
      </c>
      <c r="G1050" s="3" t="s">
        <v>504</v>
      </c>
      <c r="H1050" s="3" t="s">
        <v>311</v>
      </c>
    </row>
    <row r="1051" customFormat="false" ht="15" hidden="false" customHeight="false" outlineLevel="0" collapsed="false">
      <c r="A1051" s="4" t="s">
        <v>70</v>
      </c>
      <c r="B1051" s="4" t="s">
        <v>44</v>
      </c>
      <c r="C1051" s="4" t="n">
        <v>4</v>
      </c>
      <c r="D1051" s="4" t="n">
        <v>1</v>
      </c>
      <c r="E1051" s="4" t="s">
        <v>34</v>
      </c>
      <c r="F1051" s="3" t="s">
        <v>437</v>
      </c>
      <c r="G1051" s="3" t="s">
        <v>481</v>
      </c>
      <c r="H1051" s="3" t="s">
        <v>108</v>
      </c>
    </row>
    <row r="1052" customFormat="false" ht="15" hidden="false" customHeight="false" outlineLevel="0" collapsed="false">
      <c r="A1052" s="4" t="s">
        <v>70</v>
      </c>
      <c r="B1052" s="4" t="s">
        <v>44</v>
      </c>
      <c r="C1052" s="4" t="n">
        <v>5</v>
      </c>
      <c r="D1052" s="4" t="n">
        <v>1</v>
      </c>
      <c r="E1052" s="4" t="s">
        <v>37</v>
      </c>
      <c r="F1052" s="3" t="s">
        <v>36</v>
      </c>
      <c r="G1052" s="3" t="s">
        <v>569</v>
      </c>
      <c r="H1052" s="3" t="s">
        <v>81</v>
      </c>
    </row>
    <row r="1053" customFormat="false" ht="15" hidden="false" customHeight="false" outlineLevel="0" collapsed="false">
      <c r="A1053" s="4" t="s">
        <v>70</v>
      </c>
      <c r="B1053" s="4" t="s">
        <v>44</v>
      </c>
      <c r="C1053" s="4" t="n">
        <v>6</v>
      </c>
      <c r="D1053" s="4" t="n">
        <v>1</v>
      </c>
      <c r="E1053" s="4" t="s">
        <v>42</v>
      </c>
      <c r="F1053" s="3" t="s">
        <v>164</v>
      </c>
      <c r="G1053" s="3" t="s">
        <v>577</v>
      </c>
      <c r="H1053" s="3" t="s">
        <v>372</v>
      </c>
    </row>
    <row r="1054" customFormat="false" ht="15" hidden="false" customHeight="false" outlineLevel="0" collapsed="false">
      <c r="A1054" s="4" t="s">
        <v>70</v>
      </c>
      <c r="B1054" s="4" t="s">
        <v>44</v>
      </c>
      <c r="C1054" s="4" t="n">
        <v>7</v>
      </c>
      <c r="D1054" s="4" t="n">
        <v>1</v>
      </c>
      <c r="E1054" s="4" t="s">
        <v>39</v>
      </c>
      <c r="F1054" s="3" t="s">
        <v>15</v>
      </c>
      <c r="G1054" s="3" t="s">
        <v>578</v>
      </c>
      <c r="H1054" s="3" t="s">
        <v>219</v>
      </c>
    </row>
    <row r="1055" customFormat="false" ht="15" hidden="false" customHeight="false" outlineLevel="0" collapsed="false">
      <c r="A1055" s="4" t="s">
        <v>70</v>
      </c>
      <c r="B1055" s="4" t="s">
        <v>47</v>
      </c>
      <c r="C1055" s="4" t="n">
        <v>1</v>
      </c>
      <c r="D1055" s="4" t="n">
        <v>1</v>
      </c>
      <c r="E1055" s="4" t="s">
        <v>16</v>
      </c>
      <c r="F1055" s="3" t="s">
        <v>164</v>
      </c>
      <c r="G1055" s="3" t="s">
        <v>577</v>
      </c>
      <c r="H1055" s="3" t="s">
        <v>371</v>
      </c>
    </row>
    <row r="1056" customFormat="false" ht="15" hidden="false" customHeight="false" outlineLevel="0" collapsed="false">
      <c r="A1056" s="4" t="s">
        <v>70</v>
      </c>
      <c r="B1056" s="4" t="s">
        <v>47</v>
      </c>
      <c r="C1056" s="4" t="n">
        <v>2</v>
      </c>
      <c r="D1056" s="4" t="n">
        <v>1</v>
      </c>
      <c r="E1056" s="4" t="s">
        <v>21</v>
      </c>
      <c r="F1056" s="3" t="s">
        <v>296</v>
      </c>
      <c r="G1056" s="3" t="s">
        <v>570</v>
      </c>
      <c r="H1056" s="3" t="s">
        <v>297</v>
      </c>
    </row>
    <row r="1057" customFormat="false" ht="15" hidden="false" customHeight="false" outlineLevel="0" collapsed="false">
      <c r="A1057" s="4" t="s">
        <v>70</v>
      </c>
      <c r="B1057" s="4" t="s">
        <v>47</v>
      </c>
      <c r="C1057" s="4" t="n">
        <v>3</v>
      </c>
      <c r="D1057" s="4" t="n">
        <v>1</v>
      </c>
      <c r="E1057" s="4" t="s">
        <v>26</v>
      </c>
      <c r="F1057" s="3" t="s">
        <v>350</v>
      </c>
      <c r="G1057" s="3" t="s">
        <v>126</v>
      </c>
      <c r="H1057" s="3" t="s">
        <v>108</v>
      </c>
    </row>
    <row r="1058" customFormat="false" ht="15" hidden="false" customHeight="false" outlineLevel="0" collapsed="false">
      <c r="A1058" s="4" t="s">
        <v>70</v>
      </c>
      <c r="B1058" s="4" t="s">
        <v>47</v>
      </c>
      <c r="C1058" s="4" t="n">
        <v>4</v>
      </c>
      <c r="D1058" s="4" t="n">
        <v>1</v>
      </c>
      <c r="E1058" s="4" t="s">
        <v>34</v>
      </c>
      <c r="F1058" s="3" t="s">
        <v>15</v>
      </c>
      <c r="G1058" s="3" t="s">
        <v>578</v>
      </c>
      <c r="H1058" s="3" t="s">
        <v>220</v>
      </c>
    </row>
    <row r="1059" customFormat="false" ht="15" hidden="false" customHeight="false" outlineLevel="0" collapsed="false">
      <c r="A1059" s="4" t="s">
        <v>70</v>
      </c>
      <c r="B1059" s="4" t="s">
        <v>47</v>
      </c>
      <c r="C1059" s="4" t="n">
        <v>5</v>
      </c>
      <c r="D1059" s="4" t="n">
        <v>1</v>
      </c>
      <c r="E1059" s="4" t="s">
        <v>37</v>
      </c>
      <c r="F1059" s="3" t="s">
        <v>72</v>
      </c>
      <c r="G1059" s="3" t="s">
        <v>576</v>
      </c>
      <c r="H1059" s="3" t="s">
        <v>83</v>
      </c>
    </row>
    <row r="1060" customFormat="false" ht="15" hidden="false" customHeight="false" outlineLevel="0" collapsed="false">
      <c r="A1060" s="4" t="s">
        <v>70</v>
      </c>
      <c r="B1060" s="4" t="s">
        <v>47</v>
      </c>
      <c r="C1060" s="4" t="n">
        <v>6</v>
      </c>
      <c r="D1060" s="4" t="n">
        <v>2</v>
      </c>
      <c r="E1060" s="4" t="s">
        <v>536</v>
      </c>
      <c r="F1060" s="3" t="s">
        <v>388</v>
      </c>
      <c r="G1060" s="3" t="s">
        <v>580</v>
      </c>
      <c r="H1060" s="3" t="s">
        <v>387</v>
      </c>
    </row>
    <row r="1061" customFormat="false" ht="15" hidden="false" customHeight="false" outlineLevel="0" collapsed="false">
      <c r="A1061" s="4" t="s">
        <v>70</v>
      </c>
      <c r="B1061" s="4" t="s">
        <v>50</v>
      </c>
      <c r="C1061" s="4" t="n">
        <v>1</v>
      </c>
      <c r="D1061" s="4" t="n">
        <v>1</v>
      </c>
      <c r="E1061" s="4" t="s">
        <v>16</v>
      </c>
      <c r="F1061" s="3" t="s">
        <v>164</v>
      </c>
      <c r="G1061" s="3" t="s">
        <v>577</v>
      </c>
      <c r="H1061" s="3" t="s">
        <v>373</v>
      </c>
    </row>
    <row r="1062" customFormat="false" ht="15" hidden="false" customHeight="false" outlineLevel="0" collapsed="false">
      <c r="A1062" s="4" t="s">
        <v>70</v>
      </c>
      <c r="B1062" s="4" t="s">
        <v>50</v>
      </c>
      <c r="C1062" s="4" t="n">
        <v>2</v>
      </c>
      <c r="D1062" s="4" t="n">
        <v>1</v>
      </c>
      <c r="E1062" s="4" t="s">
        <v>21</v>
      </c>
      <c r="F1062" s="3" t="s">
        <v>235</v>
      </c>
      <c r="G1062" s="3" t="s">
        <v>509</v>
      </c>
      <c r="H1062" s="3" t="s">
        <v>125</v>
      </c>
    </row>
    <row r="1063" customFormat="false" ht="15" hidden="false" customHeight="false" outlineLevel="0" collapsed="false">
      <c r="A1063" s="4" t="s">
        <v>70</v>
      </c>
      <c r="B1063" s="4" t="s">
        <v>50</v>
      </c>
      <c r="C1063" s="4" t="n">
        <v>3</v>
      </c>
      <c r="D1063" s="4" t="n">
        <v>1</v>
      </c>
      <c r="E1063" s="4" t="s">
        <v>26</v>
      </c>
      <c r="F1063" s="3" t="s">
        <v>369</v>
      </c>
      <c r="G1063" s="3" t="s">
        <v>367</v>
      </c>
      <c r="H1063" s="3" t="s">
        <v>368</v>
      </c>
    </row>
    <row r="1064" customFormat="false" ht="15" hidden="false" customHeight="false" outlineLevel="0" collapsed="false">
      <c r="A1064" s="4" t="s">
        <v>70</v>
      </c>
      <c r="B1064" s="4" t="s">
        <v>50</v>
      </c>
      <c r="C1064" s="4" t="n">
        <v>4</v>
      </c>
      <c r="D1064" s="4" t="n">
        <v>1</v>
      </c>
      <c r="E1064" s="4" t="s">
        <v>34</v>
      </c>
      <c r="F1064" s="3" t="s">
        <v>72</v>
      </c>
      <c r="G1064" s="3" t="s">
        <v>576</v>
      </c>
      <c r="H1064" s="3" t="s">
        <v>71</v>
      </c>
    </row>
    <row r="1065" customFormat="false" ht="15" hidden="false" customHeight="false" outlineLevel="0" collapsed="false">
      <c r="A1065" s="4" t="s">
        <v>70</v>
      </c>
      <c r="B1065" s="4" t="s">
        <v>50</v>
      </c>
      <c r="C1065" s="4" t="n">
        <v>5</v>
      </c>
      <c r="D1065" s="4" t="n">
        <v>1</v>
      </c>
      <c r="E1065" s="4" t="s">
        <v>37</v>
      </c>
      <c r="F1065" s="3" t="s">
        <v>312</v>
      </c>
      <c r="G1065" s="3" t="s">
        <v>504</v>
      </c>
      <c r="H1065" s="3" t="s">
        <v>108</v>
      </c>
    </row>
    <row r="1066" customFormat="false" ht="15" hidden="false" customHeight="false" outlineLevel="0" collapsed="false">
      <c r="A1066" s="4" t="s">
        <v>70</v>
      </c>
      <c r="B1066" s="4" t="s">
        <v>50</v>
      </c>
      <c r="C1066" s="4" t="n">
        <v>6</v>
      </c>
      <c r="D1066" s="4" t="n">
        <v>1</v>
      </c>
      <c r="E1066" s="4" t="s">
        <v>42</v>
      </c>
      <c r="F1066" s="3" t="s">
        <v>285</v>
      </c>
      <c r="G1066" s="3" t="s">
        <v>361</v>
      </c>
      <c r="H1066" s="3" t="s">
        <v>108</v>
      </c>
    </row>
    <row r="1067" customFormat="false" ht="15" hidden="false" customHeight="false" outlineLevel="0" collapsed="false">
      <c r="A1067" s="4" t="s">
        <v>70</v>
      </c>
      <c r="B1067" s="4" t="s">
        <v>50</v>
      </c>
      <c r="C1067" s="4" t="n">
        <v>7</v>
      </c>
      <c r="D1067" s="4" t="n">
        <v>1</v>
      </c>
      <c r="E1067" s="4" t="s">
        <v>39</v>
      </c>
      <c r="F1067" s="3" t="s">
        <v>15</v>
      </c>
      <c r="G1067" s="3" t="s">
        <v>578</v>
      </c>
      <c r="H1067" s="3" t="s">
        <v>83</v>
      </c>
    </row>
    <row r="1068" customFormat="false" ht="15" hidden="false" customHeight="false" outlineLevel="0" collapsed="false">
      <c r="A1068" s="4" t="s">
        <v>70</v>
      </c>
      <c r="B1068" s="4" t="s">
        <v>60</v>
      </c>
      <c r="C1068" s="4" t="n">
        <v>1</v>
      </c>
      <c r="D1068" s="4" t="n">
        <v>1</v>
      </c>
      <c r="E1068" s="4" t="s">
        <v>16</v>
      </c>
      <c r="F1068" s="3" t="s">
        <v>437</v>
      </c>
      <c r="G1068" s="3" t="s">
        <v>481</v>
      </c>
      <c r="H1068" s="3" t="s">
        <v>108</v>
      </c>
    </row>
    <row r="1069" customFormat="false" ht="15" hidden="false" customHeight="false" outlineLevel="0" collapsed="false">
      <c r="A1069" s="4" t="s">
        <v>70</v>
      </c>
      <c r="B1069" s="4" t="s">
        <v>60</v>
      </c>
      <c r="C1069" s="4" t="n">
        <v>2</v>
      </c>
      <c r="D1069" s="4" t="n">
        <v>1</v>
      </c>
      <c r="E1069" s="4" t="s">
        <v>21</v>
      </c>
      <c r="F1069" s="3" t="s">
        <v>72</v>
      </c>
      <c r="G1069" s="3" t="s">
        <v>576</v>
      </c>
      <c r="H1069" s="3" t="s">
        <v>91</v>
      </c>
    </row>
    <row r="1070" customFormat="false" ht="15" hidden="false" customHeight="false" outlineLevel="0" collapsed="false">
      <c r="A1070" s="4" t="s">
        <v>70</v>
      </c>
      <c r="B1070" s="4" t="s">
        <v>60</v>
      </c>
      <c r="C1070" s="4" t="n">
        <v>3</v>
      </c>
      <c r="D1070" s="4" t="n">
        <v>2</v>
      </c>
      <c r="E1070" s="4" t="s">
        <v>542</v>
      </c>
      <c r="F1070" s="3" t="s">
        <v>388</v>
      </c>
      <c r="G1070" s="3" t="s">
        <v>580</v>
      </c>
      <c r="H1070" s="3" t="s">
        <v>387</v>
      </c>
    </row>
    <row r="1071" customFormat="false" ht="15" hidden="false" customHeight="false" outlineLevel="0" collapsed="false">
      <c r="A1071" s="4" t="s">
        <v>70</v>
      </c>
      <c r="B1071" s="4" t="s">
        <v>60</v>
      </c>
      <c r="C1071" s="4" t="n">
        <v>5</v>
      </c>
      <c r="D1071" s="4" t="n">
        <v>1</v>
      </c>
      <c r="E1071" s="4" t="s">
        <v>37</v>
      </c>
      <c r="F1071" s="3" t="s">
        <v>36</v>
      </c>
      <c r="G1071" s="3" t="s">
        <v>569</v>
      </c>
      <c r="H1071" s="3" t="s">
        <v>81</v>
      </c>
    </row>
    <row r="1072" customFormat="false" ht="15" hidden="false" customHeight="false" outlineLevel="0" collapsed="false">
      <c r="A1072" s="4" t="s">
        <v>70</v>
      </c>
      <c r="B1072" s="4" t="s">
        <v>60</v>
      </c>
      <c r="C1072" s="4" t="n">
        <v>6</v>
      </c>
      <c r="D1072" s="4" t="n">
        <v>1</v>
      </c>
      <c r="E1072" s="4" t="s">
        <v>42</v>
      </c>
      <c r="F1072" s="3" t="s">
        <v>164</v>
      </c>
      <c r="G1072" s="3" t="s">
        <v>577</v>
      </c>
      <c r="H1072" s="3" t="s">
        <v>83</v>
      </c>
    </row>
    <row r="1073" customFormat="false" ht="15" hidden="false" customHeight="false" outlineLevel="0" collapsed="false">
      <c r="A1073" s="4" t="s">
        <v>70</v>
      </c>
      <c r="B1073" s="4" t="s">
        <v>60</v>
      </c>
      <c r="C1073" s="4" t="n">
        <v>7</v>
      </c>
      <c r="D1073" s="4" t="n">
        <v>1</v>
      </c>
      <c r="E1073" s="4" t="s">
        <v>39</v>
      </c>
      <c r="F1073" s="3" t="s">
        <v>15</v>
      </c>
      <c r="G1073" s="3" t="s">
        <v>578</v>
      </c>
      <c r="H1073" s="3" t="s">
        <v>71</v>
      </c>
    </row>
    <row r="1074" customFormat="false" ht="15" hidden="false" customHeight="false" outlineLevel="0" collapsed="false">
      <c r="A1074" s="4" t="s">
        <v>70</v>
      </c>
      <c r="B1074" s="4" t="s">
        <v>63</v>
      </c>
      <c r="C1074" s="4" t="n">
        <v>1</v>
      </c>
      <c r="D1074" s="4" t="n">
        <v>1</v>
      </c>
      <c r="E1074" s="4" t="s">
        <v>16</v>
      </c>
      <c r="F1074" s="3" t="s">
        <v>235</v>
      </c>
      <c r="G1074" s="3" t="s">
        <v>509</v>
      </c>
      <c r="H1074" s="3" t="s">
        <v>246</v>
      </c>
    </row>
    <row r="1075" customFormat="false" ht="15" hidden="false" customHeight="false" outlineLevel="0" collapsed="false">
      <c r="A1075" s="4" t="s">
        <v>70</v>
      </c>
      <c r="B1075" s="4" t="s">
        <v>63</v>
      </c>
      <c r="C1075" s="4" t="n">
        <v>2</v>
      </c>
      <c r="D1075" s="4" t="n">
        <v>1</v>
      </c>
      <c r="E1075" s="4" t="s">
        <v>21</v>
      </c>
      <c r="F1075" s="3" t="s">
        <v>376</v>
      </c>
      <c r="G1075" s="3" t="s">
        <v>375</v>
      </c>
      <c r="H1075" s="3" t="s">
        <v>108</v>
      </c>
    </row>
    <row r="1076" customFormat="false" ht="15" hidden="false" customHeight="false" outlineLevel="0" collapsed="false">
      <c r="A1076" s="4" t="s">
        <v>70</v>
      </c>
      <c r="B1076" s="4" t="s">
        <v>63</v>
      </c>
      <c r="C1076" s="4" t="n">
        <v>3</v>
      </c>
      <c r="D1076" s="4" t="n">
        <v>1</v>
      </c>
      <c r="E1076" s="4" t="s">
        <v>26</v>
      </c>
      <c r="F1076" s="3" t="s">
        <v>15</v>
      </c>
      <c r="G1076" s="3" t="s">
        <v>578</v>
      </c>
      <c r="H1076" s="3" t="s">
        <v>223</v>
      </c>
    </row>
    <row r="1077" customFormat="false" ht="15" hidden="false" customHeight="false" outlineLevel="0" collapsed="false">
      <c r="A1077" s="4" t="s">
        <v>70</v>
      </c>
      <c r="B1077" s="4" t="s">
        <v>63</v>
      </c>
      <c r="C1077" s="4" t="n">
        <v>4</v>
      </c>
      <c r="D1077" s="4" t="n">
        <v>2</v>
      </c>
      <c r="E1077" s="4" t="s">
        <v>533</v>
      </c>
      <c r="F1077" s="3" t="s">
        <v>214</v>
      </c>
      <c r="G1077" s="3" t="s">
        <v>572</v>
      </c>
      <c r="H1077" s="3" t="s">
        <v>213</v>
      </c>
    </row>
    <row r="1078" customFormat="false" ht="15" hidden="false" customHeight="false" outlineLevel="0" collapsed="false">
      <c r="A1078" s="4" t="s">
        <v>70</v>
      </c>
      <c r="B1078" s="4" t="s">
        <v>63</v>
      </c>
      <c r="C1078" s="4" t="n">
        <v>6</v>
      </c>
      <c r="D1078" s="4" t="n">
        <v>1</v>
      </c>
      <c r="E1078" s="4" t="s">
        <v>42</v>
      </c>
      <c r="F1078" s="3" t="s">
        <v>164</v>
      </c>
      <c r="G1078" s="3" t="s">
        <v>577</v>
      </c>
      <c r="H1078" s="3" t="s">
        <v>85</v>
      </c>
    </row>
    <row r="1079" customFormat="false" ht="15" hidden="false" customHeight="false" outlineLevel="0" collapsed="false">
      <c r="A1079" s="4" t="s">
        <v>70</v>
      </c>
      <c r="B1079" s="4" t="s">
        <v>63</v>
      </c>
      <c r="C1079" s="4" t="n">
        <v>7</v>
      </c>
      <c r="D1079" s="4" t="n">
        <v>1</v>
      </c>
      <c r="E1079" s="4" t="s">
        <v>39</v>
      </c>
      <c r="F1079" s="3" t="s">
        <v>72</v>
      </c>
      <c r="G1079" s="3" t="s">
        <v>576</v>
      </c>
      <c r="H1079" s="3" t="s">
        <v>94</v>
      </c>
    </row>
    <row r="1080" customFormat="false" ht="15" hidden="false" customHeight="false" outlineLevel="0" collapsed="false">
      <c r="A1080" s="4" t="s">
        <v>70</v>
      </c>
      <c r="B1080" s="4" t="s">
        <v>65</v>
      </c>
      <c r="C1080" s="4" t="n">
        <v>1</v>
      </c>
      <c r="D1080" s="4" t="n">
        <v>1</v>
      </c>
      <c r="E1080" s="4" t="s">
        <v>16</v>
      </c>
      <c r="F1080" s="3" t="s">
        <v>130</v>
      </c>
      <c r="G1080" s="3" t="s">
        <v>123</v>
      </c>
      <c r="H1080" s="3" t="s">
        <v>129</v>
      </c>
    </row>
    <row r="1081" customFormat="false" ht="15" hidden="false" customHeight="false" outlineLevel="0" collapsed="false">
      <c r="A1081" s="4" t="s">
        <v>70</v>
      </c>
      <c r="B1081" s="4" t="s">
        <v>65</v>
      </c>
      <c r="C1081" s="4" t="n">
        <v>2</v>
      </c>
      <c r="D1081" s="4" t="n">
        <v>1</v>
      </c>
      <c r="E1081" s="4" t="s">
        <v>21</v>
      </c>
      <c r="F1081" s="3" t="s">
        <v>72</v>
      </c>
      <c r="G1081" s="3" t="s">
        <v>576</v>
      </c>
      <c r="H1081" s="3" t="s">
        <v>83</v>
      </c>
    </row>
    <row r="1082" customFormat="false" ht="15" hidden="false" customHeight="false" outlineLevel="0" collapsed="false">
      <c r="A1082" s="4" t="s">
        <v>70</v>
      </c>
      <c r="B1082" s="4" t="s">
        <v>65</v>
      </c>
      <c r="C1082" s="4" t="n">
        <v>3</v>
      </c>
      <c r="D1082" s="4" t="n">
        <v>1</v>
      </c>
      <c r="E1082" s="4" t="s">
        <v>26</v>
      </c>
      <c r="F1082" s="3" t="s">
        <v>15</v>
      </c>
      <c r="G1082" s="3" t="s">
        <v>578</v>
      </c>
      <c r="H1082" s="3" t="s">
        <v>224</v>
      </c>
    </row>
    <row r="1083" customFormat="false" ht="15" hidden="false" customHeight="false" outlineLevel="0" collapsed="false">
      <c r="A1083" s="4" t="s">
        <v>70</v>
      </c>
      <c r="B1083" s="4" t="s">
        <v>65</v>
      </c>
      <c r="C1083" s="4" t="n">
        <v>4</v>
      </c>
      <c r="D1083" s="4" t="n">
        <v>1</v>
      </c>
      <c r="E1083" s="4" t="s">
        <v>34</v>
      </c>
      <c r="F1083" s="3" t="s">
        <v>350</v>
      </c>
      <c r="G1083" s="3" t="s">
        <v>126</v>
      </c>
      <c r="H1083" s="3" t="s">
        <v>108</v>
      </c>
    </row>
    <row r="1084" customFormat="false" ht="15" hidden="false" customHeight="false" outlineLevel="0" collapsed="false">
      <c r="A1084" s="4" t="s">
        <v>70</v>
      </c>
      <c r="B1084" s="4" t="s">
        <v>65</v>
      </c>
      <c r="C1084" s="4" t="n">
        <v>5</v>
      </c>
      <c r="D1084" s="4" t="n">
        <v>1</v>
      </c>
      <c r="E1084" s="4" t="s">
        <v>37</v>
      </c>
      <c r="F1084" s="3" t="s">
        <v>36</v>
      </c>
      <c r="G1084" s="3" t="s">
        <v>569</v>
      </c>
      <c r="H1084" s="3" t="s">
        <v>81</v>
      </c>
    </row>
    <row r="1085" customFormat="false" ht="15" hidden="false" customHeight="false" outlineLevel="0" collapsed="false">
      <c r="A1085" s="4" t="s">
        <v>70</v>
      </c>
      <c r="B1085" s="4" t="s">
        <v>65</v>
      </c>
      <c r="C1085" s="4" t="n">
        <v>6</v>
      </c>
      <c r="D1085" s="4" t="n">
        <v>2</v>
      </c>
      <c r="E1085" s="4" t="s">
        <v>536</v>
      </c>
      <c r="F1085" s="3" t="s">
        <v>164</v>
      </c>
      <c r="G1085" s="3" t="s">
        <v>577</v>
      </c>
      <c r="H1085" s="3" t="s">
        <v>218</v>
      </c>
    </row>
    <row r="1086" customFormat="false" ht="15" hidden="false" customHeight="false" outlineLevel="0" collapsed="false">
      <c r="A1086" s="4" t="s">
        <v>70</v>
      </c>
      <c r="B1086" s="4" t="s">
        <v>66</v>
      </c>
      <c r="C1086" s="4" t="n">
        <v>1</v>
      </c>
      <c r="D1086" s="4" t="n">
        <v>1</v>
      </c>
      <c r="E1086" s="4" t="s">
        <v>16</v>
      </c>
      <c r="F1086" s="3" t="s">
        <v>285</v>
      </c>
      <c r="G1086" s="3" t="s">
        <v>361</v>
      </c>
      <c r="H1086" s="3" t="s">
        <v>108</v>
      </c>
    </row>
    <row r="1087" customFormat="false" ht="15" hidden="false" customHeight="false" outlineLevel="0" collapsed="false">
      <c r="A1087" s="4" t="s">
        <v>70</v>
      </c>
      <c r="B1087" s="4" t="s">
        <v>66</v>
      </c>
      <c r="C1087" s="4" t="n">
        <v>2</v>
      </c>
      <c r="D1087" s="4" t="n">
        <v>1</v>
      </c>
      <c r="E1087" s="4" t="s">
        <v>21</v>
      </c>
      <c r="F1087" s="3" t="s">
        <v>164</v>
      </c>
      <c r="G1087" s="3" t="s">
        <v>577</v>
      </c>
      <c r="H1087" s="3" t="s">
        <v>91</v>
      </c>
    </row>
    <row r="1088" customFormat="false" ht="15" hidden="false" customHeight="false" outlineLevel="0" collapsed="false">
      <c r="A1088" s="4" t="s">
        <v>70</v>
      </c>
      <c r="B1088" s="4" t="s">
        <v>66</v>
      </c>
      <c r="C1088" s="4" t="n">
        <v>3</v>
      </c>
      <c r="D1088" s="4" t="n">
        <v>1</v>
      </c>
      <c r="E1088" s="4" t="s">
        <v>26</v>
      </c>
      <c r="F1088" s="3" t="s">
        <v>130</v>
      </c>
      <c r="G1088" s="3" t="s">
        <v>123</v>
      </c>
      <c r="H1088" s="3" t="s">
        <v>129</v>
      </c>
    </row>
    <row r="1089" customFormat="false" ht="15" hidden="false" customHeight="false" outlineLevel="0" collapsed="false">
      <c r="A1089" s="4" t="s">
        <v>70</v>
      </c>
      <c r="B1089" s="4" t="s">
        <v>66</v>
      </c>
      <c r="C1089" s="4" t="n">
        <v>4</v>
      </c>
      <c r="D1089" s="4" t="n">
        <v>1</v>
      </c>
      <c r="E1089" s="4" t="s">
        <v>34</v>
      </c>
      <c r="F1089" s="3" t="s">
        <v>15</v>
      </c>
      <c r="G1089" s="3" t="s">
        <v>578</v>
      </c>
      <c r="H1089" s="3" t="s">
        <v>225</v>
      </c>
    </row>
    <row r="1090" customFormat="false" ht="15" hidden="false" customHeight="false" outlineLevel="0" collapsed="false">
      <c r="A1090" s="4" t="s">
        <v>70</v>
      </c>
      <c r="B1090" s="4" t="s">
        <v>66</v>
      </c>
      <c r="C1090" s="4" t="n">
        <v>5</v>
      </c>
      <c r="D1090" s="4" t="n">
        <v>1</v>
      </c>
      <c r="E1090" s="4" t="s">
        <v>37</v>
      </c>
      <c r="F1090" s="3" t="s">
        <v>72</v>
      </c>
      <c r="G1090" s="3" t="s">
        <v>576</v>
      </c>
      <c r="H1090" s="3" t="s">
        <v>96</v>
      </c>
    </row>
    <row r="1091" customFormat="false" ht="15" hidden="false" customHeight="false" outlineLevel="0" collapsed="false">
      <c r="A1091" s="4" t="s">
        <v>70</v>
      </c>
      <c r="B1091" s="4" t="s">
        <v>66</v>
      </c>
      <c r="C1091" s="4" t="n">
        <v>6</v>
      </c>
      <c r="D1091" s="4" t="n">
        <v>1</v>
      </c>
      <c r="E1091" s="4" t="s">
        <v>42</v>
      </c>
      <c r="F1091" s="3" t="s">
        <v>296</v>
      </c>
      <c r="G1091" s="3" t="s">
        <v>570</v>
      </c>
      <c r="H1091" s="3" t="s">
        <v>297</v>
      </c>
    </row>
    <row r="1092" customFormat="false" ht="15" hidden="false" customHeight="false" outlineLevel="0" collapsed="false">
      <c r="A1092" s="4" t="s">
        <v>70</v>
      </c>
      <c r="B1092" s="4" t="s">
        <v>66</v>
      </c>
      <c r="C1092" s="4" t="n">
        <v>7</v>
      </c>
      <c r="D1092" s="4" t="n">
        <v>1</v>
      </c>
      <c r="E1092" s="4" t="s">
        <v>39</v>
      </c>
      <c r="F1092" s="3" t="s">
        <v>99</v>
      </c>
      <c r="G1092" s="3" t="s">
        <v>97</v>
      </c>
      <c r="H1092" s="3" t="s">
        <v>108</v>
      </c>
    </row>
    <row r="1093" customFormat="false" ht="15" hidden="false" customHeight="false" outlineLevel="0" collapsed="false">
      <c r="A1093" s="4" t="s">
        <v>73</v>
      </c>
      <c r="B1093" s="4" t="s">
        <v>12</v>
      </c>
      <c r="C1093" s="4" t="n">
        <v>1</v>
      </c>
      <c r="D1093" s="4" t="n">
        <v>1</v>
      </c>
      <c r="E1093" s="4" t="s">
        <v>16</v>
      </c>
      <c r="F1093" s="3" t="s">
        <v>285</v>
      </c>
      <c r="G1093" s="3" t="s">
        <v>450</v>
      </c>
      <c r="H1093" s="3" t="s">
        <v>438</v>
      </c>
    </row>
    <row r="1094" customFormat="false" ht="15" hidden="false" customHeight="false" outlineLevel="0" collapsed="false">
      <c r="A1094" s="4" t="s">
        <v>73</v>
      </c>
      <c r="B1094" s="4" t="s">
        <v>12</v>
      </c>
      <c r="C1094" s="4" t="n">
        <v>2</v>
      </c>
      <c r="D1094" s="4" t="n">
        <v>1</v>
      </c>
      <c r="E1094" s="4" t="s">
        <v>21</v>
      </c>
      <c r="F1094" s="3" t="s">
        <v>350</v>
      </c>
      <c r="G1094" s="3" t="s">
        <v>126</v>
      </c>
      <c r="H1094" s="3" t="s">
        <v>438</v>
      </c>
    </row>
    <row r="1095" customFormat="false" ht="15" hidden="false" customHeight="false" outlineLevel="0" collapsed="false">
      <c r="A1095" s="4" t="s">
        <v>73</v>
      </c>
      <c r="B1095" s="4" t="s">
        <v>12</v>
      </c>
      <c r="C1095" s="4" t="n">
        <v>3</v>
      </c>
      <c r="D1095" s="4" t="n">
        <v>1</v>
      </c>
      <c r="E1095" s="4" t="s">
        <v>26</v>
      </c>
      <c r="F1095" s="3" t="s">
        <v>72</v>
      </c>
      <c r="G1095" s="3" t="s">
        <v>576</v>
      </c>
      <c r="H1095" s="3" t="s">
        <v>71</v>
      </c>
    </row>
    <row r="1096" customFormat="false" ht="15" hidden="false" customHeight="false" outlineLevel="0" collapsed="false">
      <c r="A1096" s="4" t="s">
        <v>73</v>
      </c>
      <c r="B1096" s="4" t="s">
        <v>12</v>
      </c>
      <c r="C1096" s="4" t="n">
        <v>4</v>
      </c>
      <c r="D1096" s="4" t="n">
        <v>1</v>
      </c>
      <c r="E1096" s="4" t="s">
        <v>34</v>
      </c>
      <c r="F1096" s="3" t="s">
        <v>376</v>
      </c>
      <c r="G1096" s="3" t="s">
        <v>484</v>
      </c>
      <c r="H1096" s="3" t="s">
        <v>438</v>
      </c>
    </row>
    <row r="1097" customFormat="false" ht="15" hidden="false" customHeight="false" outlineLevel="0" collapsed="false">
      <c r="A1097" s="4" t="s">
        <v>73</v>
      </c>
      <c r="B1097" s="4" t="s">
        <v>12</v>
      </c>
      <c r="C1097" s="4" t="n">
        <v>5</v>
      </c>
      <c r="D1097" s="4" t="n">
        <v>1</v>
      </c>
      <c r="E1097" s="4" t="s">
        <v>37</v>
      </c>
      <c r="F1097" s="3" t="s">
        <v>164</v>
      </c>
      <c r="G1097" s="3" t="s">
        <v>577</v>
      </c>
      <c r="H1097" s="3" t="s">
        <v>71</v>
      </c>
    </row>
    <row r="1098" customFormat="false" ht="15" hidden="false" customHeight="false" outlineLevel="0" collapsed="false">
      <c r="A1098" s="4" t="s">
        <v>73</v>
      </c>
      <c r="B1098" s="4" t="s">
        <v>12</v>
      </c>
      <c r="C1098" s="4" t="n">
        <v>6</v>
      </c>
      <c r="D1098" s="4" t="n">
        <v>1</v>
      </c>
      <c r="E1098" s="4" t="s">
        <v>42</v>
      </c>
      <c r="F1098" s="3" t="s">
        <v>437</v>
      </c>
      <c r="G1098" s="3" t="s">
        <v>436</v>
      </c>
      <c r="H1098" s="3" t="s">
        <v>438</v>
      </c>
    </row>
    <row r="1099" customFormat="false" ht="15" hidden="false" customHeight="false" outlineLevel="0" collapsed="false">
      <c r="A1099" s="4" t="s">
        <v>73</v>
      </c>
      <c r="B1099" s="4" t="s">
        <v>12</v>
      </c>
      <c r="C1099" s="4" t="n">
        <v>7</v>
      </c>
      <c r="D1099" s="4" t="n">
        <v>1</v>
      </c>
      <c r="E1099" s="4" t="s">
        <v>39</v>
      </c>
      <c r="F1099" s="3" t="s">
        <v>15</v>
      </c>
      <c r="G1099" s="3" t="s">
        <v>578</v>
      </c>
      <c r="H1099" s="3" t="s">
        <v>217</v>
      </c>
    </row>
    <row r="1100" customFormat="false" ht="15" hidden="false" customHeight="false" outlineLevel="0" collapsed="false">
      <c r="A1100" s="4" t="s">
        <v>73</v>
      </c>
      <c r="B1100" s="4" t="s">
        <v>31</v>
      </c>
      <c r="C1100" s="4" t="n">
        <v>1</v>
      </c>
      <c r="D1100" s="4" t="n">
        <v>1</v>
      </c>
      <c r="E1100" s="4" t="s">
        <v>16</v>
      </c>
      <c r="F1100" s="3" t="s">
        <v>350</v>
      </c>
      <c r="G1100" s="3" t="s">
        <v>126</v>
      </c>
      <c r="H1100" s="3" t="s">
        <v>438</v>
      </c>
    </row>
    <row r="1101" customFormat="false" ht="15" hidden="false" customHeight="false" outlineLevel="0" collapsed="false">
      <c r="A1101" s="4" t="s">
        <v>73</v>
      </c>
      <c r="B1101" s="4" t="s">
        <v>31</v>
      </c>
      <c r="C1101" s="4" t="n">
        <v>2</v>
      </c>
      <c r="D1101" s="4" t="n">
        <v>1</v>
      </c>
      <c r="E1101" s="4" t="s">
        <v>21</v>
      </c>
      <c r="F1101" s="3" t="s">
        <v>99</v>
      </c>
      <c r="G1101" s="3" t="s">
        <v>474</v>
      </c>
      <c r="H1101" s="3" t="s">
        <v>438</v>
      </c>
    </row>
    <row r="1102" customFormat="false" ht="15" hidden="false" customHeight="false" outlineLevel="0" collapsed="false">
      <c r="A1102" s="4" t="s">
        <v>73</v>
      </c>
      <c r="B1102" s="4" t="s">
        <v>31</v>
      </c>
      <c r="C1102" s="4" t="n">
        <v>3</v>
      </c>
      <c r="D1102" s="4" t="n">
        <v>1</v>
      </c>
      <c r="E1102" s="4" t="s">
        <v>26</v>
      </c>
      <c r="F1102" s="3" t="s">
        <v>15</v>
      </c>
      <c r="G1102" s="3" t="s">
        <v>578</v>
      </c>
      <c r="H1102" s="3" t="s">
        <v>218</v>
      </c>
    </row>
    <row r="1103" customFormat="false" ht="15" hidden="false" customHeight="false" outlineLevel="0" collapsed="false">
      <c r="A1103" s="4" t="s">
        <v>73</v>
      </c>
      <c r="B1103" s="4" t="s">
        <v>31</v>
      </c>
      <c r="C1103" s="4" t="n">
        <v>4</v>
      </c>
      <c r="D1103" s="4" t="n">
        <v>1</v>
      </c>
      <c r="E1103" s="4" t="s">
        <v>34</v>
      </c>
      <c r="F1103" s="3" t="s">
        <v>296</v>
      </c>
      <c r="G1103" s="3" t="s">
        <v>573</v>
      </c>
      <c r="H1103" s="3" t="s">
        <v>297</v>
      </c>
    </row>
    <row r="1104" customFormat="false" ht="15" hidden="false" customHeight="false" outlineLevel="0" collapsed="false">
      <c r="A1104" s="4" t="s">
        <v>73</v>
      </c>
      <c r="B1104" s="4" t="s">
        <v>31</v>
      </c>
      <c r="C1104" s="4" t="n">
        <v>5</v>
      </c>
      <c r="D1104" s="4" t="n">
        <v>1</v>
      </c>
      <c r="E1104" s="4" t="s">
        <v>37</v>
      </c>
      <c r="F1104" s="3" t="s">
        <v>36</v>
      </c>
      <c r="G1104" s="3" t="s">
        <v>569</v>
      </c>
      <c r="H1104" s="3" t="s">
        <v>81</v>
      </c>
    </row>
    <row r="1105" customFormat="false" ht="15" hidden="false" customHeight="false" outlineLevel="0" collapsed="false">
      <c r="A1105" s="4" t="s">
        <v>73</v>
      </c>
      <c r="B1105" s="4" t="s">
        <v>31</v>
      </c>
      <c r="C1105" s="4" t="n">
        <v>6</v>
      </c>
      <c r="D1105" s="4" t="n">
        <v>1</v>
      </c>
      <c r="E1105" s="4" t="s">
        <v>42</v>
      </c>
      <c r="F1105" s="3" t="s">
        <v>164</v>
      </c>
      <c r="G1105" s="3" t="s">
        <v>577</v>
      </c>
      <c r="H1105" s="3" t="s">
        <v>371</v>
      </c>
    </row>
    <row r="1106" customFormat="false" ht="15" hidden="false" customHeight="false" outlineLevel="0" collapsed="false">
      <c r="A1106" s="4" t="s">
        <v>73</v>
      </c>
      <c r="B1106" s="4" t="s">
        <v>31</v>
      </c>
      <c r="C1106" s="4" t="n">
        <v>7</v>
      </c>
      <c r="D1106" s="4" t="n">
        <v>1</v>
      </c>
      <c r="E1106" s="4" t="s">
        <v>39</v>
      </c>
      <c r="F1106" s="3" t="s">
        <v>72</v>
      </c>
      <c r="G1106" s="3" t="s">
        <v>576</v>
      </c>
      <c r="H1106" s="3" t="s">
        <v>83</v>
      </c>
    </row>
    <row r="1107" customFormat="false" ht="15" hidden="false" customHeight="false" outlineLevel="0" collapsed="false">
      <c r="A1107" s="4" t="s">
        <v>73</v>
      </c>
      <c r="B1107" s="4" t="s">
        <v>40</v>
      </c>
      <c r="C1107" s="4" t="n">
        <v>1</v>
      </c>
      <c r="D1107" s="4" t="n">
        <v>1</v>
      </c>
      <c r="E1107" s="4" t="s">
        <v>16</v>
      </c>
      <c r="F1107" s="3" t="s">
        <v>130</v>
      </c>
      <c r="G1107" s="3" t="s">
        <v>270</v>
      </c>
      <c r="H1107" s="3" t="s">
        <v>133</v>
      </c>
    </row>
    <row r="1108" customFormat="false" ht="15" hidden="false" customHeight="false" outlineLevel="0" collapsed="false">
      <c r="A1108" s="4" t="s">
        <v>73</v>
      </c>
      <c r="B1108" s="4" t="s">
        <v>40</v>
      </c>
      <c r="C1108" s="4" t="n">
        <v>2</v>
      </c>
      <c r="D1108" s="4" t="n">
        <v>1</v>
      </c>
      <c r="E1108" s="4" t="s">
        <v>21</v>
      </c>
      <c r="F1108" s="3" t="s">
        <v>312</v>
      </c>
      <c r="G1108" s="3" t="s">
        <v>490</v>
      </c>
      <c r="H1108" s="3" t="s">
        <v>125</v>
      </c>
    </row>
    <row r="1109" customFormat="false" ht="15" hidden="false" customHeight="false" outlineLevel="0" collapsed="false">
      <c r="A1109" s="4" t="s">
        <v>73</v>
      </c>
      <c r="B1109" s="4" t="s">
        <v>40</v>
      </c>
      <c r="C1109" s="4" t="n">
        <v>3</v>
      </c>
      <c r="D1109" s="4" t="n">
        <v>2</v>
      </c>
      <c r="E1109" s="4" t="s">
        <v>542</v>
      </c>
      <c r="F1109" s="3" t="s">
        <v>72</v>
      </c>
      <c r="G1109" s="3" t="s">
        <v>576</v>
      </c>
      <c r="H1109" s="3" t="s">
        <v>85</v>
      </c>
    </row>
    <row r="1110" customFormat="false" ht="15" hidden="false" customHeight="false" outlineLevel="0" collapsed="false">
      <c r="A1110" s="4" t="s">
        <v>73</v>
      </c>
      <c r="B1110" s="4" t="s">
        <v>40</v>
      </c>
      <c r="C1110" s="4" t="n">
        <v>5</v>
      </c>
      <c r="D1110" s="4" t="n">
        <v>1</v>
      </c>
      <c r="E1110" s="4" t="s">
        <v>37</v>
      </c>
      <c r="F1110" s="3" t="s">
        <v>285</v>
      </c>
      <c r="G1110" s="3" t="s">
        <v>450</v>
      </c>
      <c r="H1110" s="3" t="s">
        <v>438</v>
      </c>
    </row>
    <row r="1111" customFormat="false" ht="15" hidden="false" customHeight="false" outlineLevel="0" collapsed="false">
      <c r="A1111" s="4" t="s">
        <v>73</v>
      </c>
      <c r="B1111" s="4" t="s">
        <v>40</v>
      </c>
      <c r="C1111" s="4" t="n">
        <v>6</v>
      </c>
      <c r="D1111" s="4" t="n">
        <v>1</v>
      </c>
      <c r="E1111" s="4" t="s">
        <v>42</v>
      </c>
      <c r="F1111" s="3" t="s">
        <v>164</v>
      </c>
      <c r="G1111" s="3" t="s">
        <v>577</v>
      </c>
      <c r="H1111" s="3" t="s">
        <v>225</v>
      </c>
    </row>
    <row r="1112" customFormat="false" ht="15" hidden="false" customHeight="false" outlineLevel="0" collapsed="false">
      <c r="A1112" s="4" t="s">
        <v>73</v>
      </c>
      <c r="B1112" s="4" t="s">
        <v>40</v>
      </c>
      <c r="C1112" s="4" t="n">
        <v>7</v>
      </c>
      <c r="D1112" s="4" t="n">
        <v>1</v>
      </c>
      <c r="E1112" s="4" t="s">
        <v>39</v>
      </c>
      <c r="F1112" s="3" t="s">
        <v>15</v>
      </c>
      <c r="G1112" s="3" t="s">
        <v>578</v>
      </c>
      <c r="H1112" s="3" t="s">
        <v>83</v>
      </c>
    </row>
    <row r="1113" customFormat="false" ht="15" hidden="false" customHeight="false" outlineLevel="0" collapsed="false">
      <c r="A1113" s="4" t="s">
        <v>73</v>
      </c>
      <c r="B1113" s="4" t="s">
        <v>44</v>
      </c>
      <c r="C1113" s="4" t="n">
        <v>1</v>
      </c>
      <c r="D1113" s="4" t="n">
        <v>1</v>
      </c>
      <c r="E1113" s="4" t="s">
        <v>16</v>
      </c>
      <c r="F1113" s="3" t="s">
        <v>296</v>
      </c>
      <c r="G1113" s="3" t="s">
        <v>573</v>
      </c>
      <c r="H1113" s="3" t="s">
        <v>297</v>
      </c>
    </row>
    <row r="1114" customFormat="false" ht="15" hidden="false" customHeight="false" outlineLevel="0" collapsed="false">
      <c r="A1114" s="4" t="s">
        <v>73</v>
      </c>
      <c r="B1114" s="4" t="s">
        <v>44</v>
      </c>
      <c r="C1114" s="4" t="n">
        <v>2</v>
      </c>
      <c r="D1114" s="4" t="n">
        <v>1</v>
      </c>
      <c r="E1114" s="4" t="s">
        <v>21</v>
      </c>
      <c r="F1114" s="3" t="s">
        <v>72</v>
      </c>
      <c r="G1114" s="3" t="s">
        <v>576</v>
      </c>
      <c r="H1114" s="3" t="s">
        <v>71</v>
      </c>
    </row>
    <row r="1115" customFormat="false" ht="15" hidden="false" customHeight="false" outlineLevel="0" collapsed="false">
      <c r="A1115" s="4" t="s">
        <v>73</v>
      </c>
      <c r="B1115" s="4" t="s">
        <v>44</v>
      </c>
      <c r="C1115" s="4" t="n">
        <v>3</v>
      </c>
      <c r="D1115" s="4" t="n">
        <v>1</v>
      </c>
      <c r="E1115" s="4" t="s">
        <v>26</v>
      </c>
      <c r="F1115" s="3" t="s">
        <v>99</v>
      </c>
      <c r="G1115" s="3" t="s">
        <v>474</v>
      </c>
      <c r="H1115" s="3" t="s">
        <v>438</v>
      </c>
    </row>
    <row r="1116" customFormat="false" ht="15" hidden="false" customHeight="false" outlineLevel="0" collapsed="false">
      <c r="A1116" s="4" t="s">
        <v>73</v>
      </c>
      <c r="B1116" s="4" t="s">
        <v>44</v>
      </c>
      <c r="C1116" s="4" t="n">
        <v>4</v>
      </c>
      <c r="D1116" s="4" t="n">
        <v>1</v>
      </c>
      <c r="E1116" s="4" t="s">
        <v>34</v>
      </c>
      <c r="F1116" s="3" t="s">
        <v>437</v>
      </c>
      <c r="G1116" s="3" t="s">
        <v>436</v>
      </c>
      <c r="H1116" s="3" t="s">
        <v>438</v>
      </c>
    </row>
    <row r="1117" customFormat="false" ht="15" hidden="false" customHeight="false" outlineLevel="0" collapsed="false">
      <c r="A1117" s="4" t="s">
        <v>73</v>
      </c>
      <c r="B1117" s="4" t="s">
        <v>44</v>
      </c>
      <c r="C1117" s="4" t="n">
        <v>5</v>
      </c>
      <c r="D1117" s="4" t="n">
        <v>1</v>
      </c>
      <c r="E1117" s="4" t="s">
        <v>37</v>
      </c>
      <c r="F1117" s="3" t="s">
        <v>36</v>
      </c>
      <c r="G1117" s="3" t="s">
        <v>569</v>
      </c>
      <c r="H1117" s="3" t="s">
        <v>81</v>
      </c>
    </row>
    <row r="1118" customFormat="false" ht="15" hidden="false" customHeight="false" outlineLevel="0" collapsed="false">
      <c r="A1118" s="4" t="s">
        <v>73</v>
      </c>
      <c r="B1118" s="4" t="s">
        <v>44</v>
      </c>
      <c r="C1118" s="4" t="n">
        <v>6</v>
      </c>
      <c r="D1118" s="4" t="n">
        <v>1</v>
      </c>
      <c r="E1118" s="4" t="s">
        <v>42</v>
      </c>
      <c r="F1118" s="3" t="s">
        <v>164</v>
      </c>
      <c r="G1118" s="3" t="s">
        <v>577</v>
      </c>
      <c r="H1118" s="3" t="s">
        <v>372</v>
      </c>
    </row>
    <row r="1119" customFormat="false" ht="15" hidden="false" customHeight="false" outlineLevel="0" collapsed="false">
      <c r="A1119" s="4" t="s">
        <v>73</v>
      </c>
      <c r="B1119" s="4" t="s">
        <v>44</v>
      </c>
      <c r="C1119" s="4" t="n">
        <v>7</v>
      </c>
      <c r="D1119" s="4" t="n">
        <v>1</v>
      </c>
      <c r="E1119" s="4" t="s">
        <v>39</v>
      </c>
      <c r="F1119" s="3" t="s">
        <v>15</v>
      </c>
      <c r="G1119" s="3" t="s">
        <v>578</v>
      </c>
      <c r="H1119" s="3" t="s">
        <v>219</v>
      </c>
    </row>
    <row r="1120" customFormat="false" ht="15" hidden="false" customHeight="false" outlineLevel="0" collapsed="false">
      <c r="A1120" s="4" t="s">
        <v>73</v>
      </c>
      <c r="B1120" s="4" t="s">
        <v>47</v>
      </c>
      <c r="C1120" s="4" t="n">
        <v>1</v>
      </c>
      <c r="D1120" s="4" t="n">
        <v>1</v>
      </c>
      <c r="E1120" s="4" t="s">
        <v>16</v>
      </c>
      <c r="F1120" s="3" t="s">
        <v>164</v>
      </c>
      <c r="G1120" s="3" t="s">
        <v>577</v>
      </c>
      <c r="H1120" s="3" t="s">
        <v>371</v>
      </c>
    </row>
    <row r="1121" customFormat="false" ht="15" hidden="false" customHeight="false" outlineLevel="0" collapsed="false">
      <c r="A1121" s="4" t="s">
        <v>73</v>
      </c>
      <c r="B1121" s="4" t="s">
        <v>47</v>
      </c>
      <c r="C1121" s="4" t="n">
        <v>2</v>
      </c>
      <c r="D1121" s="4" t="n">
        <v>1</v>
      </c>
      <c r="E1121" s="4" t="s">
        <v>21</v>
      </c>
      <c r="F1121" s="3" t="s">
        <v>312</v>
      </c>
      <c r="G1121" s="3" t="s">
        <v>490</v>
      </c>
      <c r="H1121" s="3" t="s">
        <v>311</v>
      </c>
    </row>
    <row r="1122" customFormat="false" ht="15" hidden="false" customHeight="false" outlineLevel="0" collapsed="false">
      <c r="A1122" s="4" t="s">
        <v>73</v>
      </c>
      <c r="B1122" s="4" t="s">
        <v>47</v>
      </c>
      <c r="C1122" s="4" t="n">
        <v>3</v>
      </c>
      <c r="D1122" s="4" t="n">
        <v>1</v>
      </c>
      <c r="E1122" s="4" t="s">
        <v>26</v>
      </c>
      <c r="F1122" s="3" t="s">
        <v>235</v>
      </c>
      <c r="G1122" s="3" t="s">
        <v>460</v>
      </c>
      <c r="H1122" s="3" t="s">
        <v>129</v>
      </c>
    </row>
    <row r="1123" customFormat="false" ht="15" hidden="false" customHeight="false" outlineLevel="0" collapsed="false">
      <c r="A1123" s="4" t="s">
        <v>73</v>
      </c>
      <c r="B1123" s="4" t="s">
        <v>47</v>
      </c>
      <c r="C1123" s="4" t="n">
        <v>4</v>
      </c>
      <c r="D1123" s="4" t="n">
        <v>1</v>
      </c>
      <c r="E1123" s="4" t="s">
        <v>34</v>
      </c>
      <c r="F1123" s="3" t="s">
        <v>15</v>
      </c>
      <c r="G1123" s="3" t="s">
        <v>578</v>
      </c>
      <c r="H1123" s="3" t="s">
        <v>220</v>
      </c>
    </row>
    <row r="1124" customFormat="false" ht="15" hidden="false" customHeight="false" outlineLevel="0" collapsed="false">
      <c r="A1124" s="4" t="s">
        <v>73</v>
      </c>
      <c r="B1124" s="4" t="s">
        <v>47</v>
      </c>
      <c r="C1124" s="4" t="n">
        <v>5</v>
      </c>
      <c r="D1124" s="4" t="n">
        <v>1</v>
      </c>
      <c r="E1124" s="4" t="s">
        <v>37</v>
      </c>
      <c r="F1124" s="3" t="s">
        <v>72</v>
      </c>
      <c r="G1124" s="3" t="s">
        <v>576</v>
      </c>
      <c r="H1124" s="3" t="s">
        <v>83</v>
      </c>
    </row>
    <row r="1125" customFormat="false" ht="15" hidden="false" customHeight="false" outlineLevel="0" collapsed="false">
      <c r="A1125" s="4" t="s">
        <v>73</v>
      </c>
      <c r="B1125" s="4" t="s">
        <v>47</v>
      </c>
      <c r="C1125" s="4" t="n">
        <v>6</v>
      </c>
      <c r="D1125" s="4" t="n">
        <v>2</v>
      </c>
      <c r="E1125" s="4" t="s">
        <v>536</v>
      </c>
      <c r="F1125" s="3" t="s">
        <v>388</v>
      </c>
      <c r="G1125" s="3" t="s">
        <v>580</v>
      </c>
      <c r="H1125" s="3" t="s">
        <v>387</v>
      </c>
    </row>
    <row r="1126" customFormat="false" ht="15" hidden="false" customHeight="false" outlineLevel="0" collapsed="false">
      <c r="A1126" s="4" t="s">
        <v>73</v>
      </c>
      <c r="B1126" s="4" t="s">
        <v>50</v>
      </c>
      <c r="C1126" s="4" t="n">
        <v>1</v>
      </c>
      <c r="D1126" s="4" t="n">
        <v>1</v>
      </c>
      <c r="E1126" s="4" t="s">
        <v>16</v>
      </c>
      <c r="F1126" s="3" t="s">
        <v>164</v>
      </c>
      <c r="G1126" s="3" t="s">
        <v>577</v>
      </c>
      <c r="H1126" s="3" t="s">
        <v>373</v>
      </c>
    </row>
    <row r="1127" customFormat="false" ht="15" hidden="false" customHeight="false" outlineLevel="0" collapsed="false">
      <c r="A1127" s="4" t="s">
        <v>73</v>
      </c>
      <c r="B1127" s="4" t="s">
        <v>50</v>
      </c>
      <c r="C1127" s="4" t="n">
        <v>2</v>
      </c>
      <c r="D1127" s="4" t="n">
        <v>1</v>
      </c>
      <c r="E1127" s="4" t="s">
        <v>21</v>
      </c>
      <c r="F1127" s="3" t="s">
        <v>296</v>
      </c>
      <c r="G1127" s="3" t="s">
        <v>573</v>
      </c>
      <c r="H1127" s="3" t="s">
        <v>297</v>
      </c>
    </row>
    <row r="1128" customFormat="false" ht="15" hidden="false" customHeight="false" outlineLevel="0" collapsed="false">
      <c r="A1128" s="4" t="s">
        <v>73</v>
      </c>
      <c r="B1128" s="4" t="s">
        <v>50</v>
      </c>
      <c r="C1128" s="4" t="n">
        <v>3</v>
      </c>
      <c r="D1128" s="4" t="n">
        <v>1</v>
      </c>
      <c r="E1128" s="4" t="s">
        <v>26</v>
      </c>
      <c r="F1128" s="3" t="s">
        <v>235</v>
      </c>
      <c r="G1128" s="3" t="s">
        <v>460</v>
      </c>
      <c r="H1128" s="3" t="s">
        <v>133</v>
      </c>
    </row>
    <row r="1129" customFormat="false" ht="15" hidden="false" customHeight="false" outlineLevel="0" collapsed="false">
      <c r="A1129" s="4" t="s">
        <v>73</v>
      </c>
      <c r="B1129" s="4" t="s">
        <v>50</v>
      </c>
      <c r="C1129" s="4" t="n">
        <v>4</v>
      </c>
      <c r="D1129" s="4" t="n">
        <v>1</v>
      </c>
      <c r="E1129" s="4" t="s">
        <v>34</v>
      </c>
      <c r="F1129" s="3" t="s">
        <v>72</v>
      </c>
      <c r="G1129" s="3" t="s">
        <v>576</v>
      </c>
      <c r="H1129" s="3" t="s">
        <v>71</v>
      </c>
    </row>
    <row r="1130" customFormat="false" ht="15" hidden="false" customHeight="false" outlineLevel="0" collapsed="false">
      <c r="A1130" s="4" t="s">
        <v>73</v>
      </c>
      <c r="B1130" s="4" t="s">
        <v>50</v>
      </c>
      <c r="C1130" s="4" t="n">
        <v>5</v>
      </c>
      <c r="D1130" s="4" t="n">
        <v>1</v>
      </c>
      <c r="E1130" s="4" t="s">
        <v>37</v>
      </c>
      <c r="F1130" s="3" t="s">
        <v>350</v>
      </c>
      <c r="G1130" s="3" t="s">
        <v>126</v>
      </c>
      <c r="H1130" s="3" t="s">
        <v>438</v>
      </c>
    </row>
    <row r="1131" customFormat="false" ht="15" hidden="false" customHeight="false" outlineLevel="0" collapsed="false">
      <c r="A1131" s="4" t="s">
        <v>73</v>
      </c>
      <c r="B1131" s="4" t="s">
        <v>50</v>
      </c>
      <c r="C1131" s="4" t="n">
        <v>6</v>
      </c>
      <c r="D1131" s="4" t="n">
        <v>1</v>
      </c>
      <c r="E1131" s="4" t="s">
        <v>42</v>
      </c>
      <c r="F1131" s="3" t="s">
        <v>99</v>
      </c>
      <c r="G1131" s="3" t="s">
        <v>474</v>
      </c>
      <c r="H1131" s="3" t="s">
        <v>438</v>
      </c>
    </row>
    <row r="1132" customFormat="false" ht="15" hidden="false" customHeight="false" outlineLevel="0" collapsed="false">
      <c r="A1132" s="4" t="s">
        <v>73</v>
      </c>
      <c r="B1132" s="4" t="s">
        <v>50</v>
      </c>
      <c r="C1132" s="4" t="n">
        <v>7</v>
      </c>
      <c r="D1132" s="4" t="n">
        <v>1</v>
      </c>
      <c r="E1132" s="4" t="s">
        <v>39</v>
      </c>
      <c r="F1132" s="3" t="s">
        <v>15</v>
      </c>
      <c r="G1132" s="3" t="s">
        <v>578</v>
      </c>
      <c r="H1132" s="3" t="s">
        <v>83</v>
      </c>
    </row>
    <row r="1133" customFormat="false" ht="15" hidden="false" customHeight="false" outlineLevel="0" collapsed="false">
      <c r="A1133" s="4" t="s">
        <v>73</v>
      </c>
      <c r="B1133" s="4" t="s">
        <v>60</v>
      </c>
      <c r="C1133" s="4" t="n">
        <v>1</v>
      </c>
      <c r="D1133" s="4" t="n">
        <v>1</v>
      </c>
      <c r="E1133" s="4" t="s">
        <v>16</v>
      </c>
      <c r="F1133" s="3" t="s">
        <v>130</v>
      </c>
      <c r="G1133" s="3" t="s">
        <v>270</v>
      </c>
      <c r="H1133" s="3" t="s">
        <v>129</v>
      </c>
    </row>
    <row r="1134" customFormat="false" ht="15" hidden="false" customHeight="false" outlineLevel="0" collapsed="false">
      <c r="A1134" s="4" t="s">
        <v>73</v>
      </c>
      <c r="B1134" s="4" t="s">
        <v>60</v>
      </c>
      <c r="C1134" s="4" t="n">
        <v>2</v>
      </c>
      <c r="D1134" s="4" t="n">
        <v>1</v>
      </c>
      <c r="E1134" s="4" t="s">
        <v>21</v>
      </c>
      <c r="F1134" s="3" t="s">
        <v>72</v>
      </c>
      <c r="G1134" s="3" t="s">
        <v>576</v>
      </c>
      <c r="H1134" s="3" t="s">
        <v>91</v>
      </c>
    </row>
    <row r="1135" customFormat="false" ht="15" hidden="false" customHeight="false" outlineLevel="0" collapsed="false">
      <c r="A1135" s="4" t="s">
        <v>73</v>
      </c>
      <c r="B1135" s="4" t="s">
        <v>60</v>
      </c>
      <c r="C1135" s="4" t="n">
        <v>3</v>
      </c>
      <c r="D1135" s="4" t="n">
        <v>2</v>
      </c>
      <c r="E1135" s="4" t="s">
        <v>542</v>
      </c>
      <c r="F1135" s="3" t="s">
        <v>388</v>
      </c>
      <c r="G1135" s="3" t="s">
        <v>580</v>
      </c>
      <c r="H1135" s="3" t="s">
        <v>387</v>
      </c>
    </row>
    <row r="1136" customFormat="false" ht="15" hidden="false" customHeight="false" outlineLevel="0" collapsed="false">
      <c r="A1136" s="4" t="s">
        <v>73</v>
      </c>
      <c r="B1136" s="4" t="s">
        <v>60</v>
      </c>
      <c r="C1136" s="4" t="n">
        <v>5</v>
      </c>
      <c r="D1136" s="4" t="n">
        <v>1</v>
      </c>
      <c r="E1136" s="4" t="s">
        <v>37</v>
      </c>
      <c r="F1136" s="3" t="s">
        <v>36</v>
      </c>
      <c r="G1136" s="3" t="s">
        <v>569</v>
      </c>
      <c r="H1136" s="3" t="s">
        <v>81</v>
      </c>
    </row>
    <row r="1137" customFormat="false" ht="15" hidden="false" customHeight="false" outlineLevel="0" collapsed="false">
      <c r="A1137" s="4" t="s">
        <v>73</v>
      </c>
      <c r="B1137" s="4" t="s">
        <v>60</v>
      </c>
      <c r="C1137" s="4" t="n">
        <v>6</v>
      </c>
      <c r="D1137" s="4" t="n">
        <v>1</v>
      </c>
      <c r="E1137" s="4" t="s">
        <v>42</v>
      </c>
      <c r="F1137" s="3" t="s">
        <v>164</v>
      </c>
      <c r="G1137" s="3" t="s">
        <v>577</v>
      </c>
      <c r="H1137" s="3" t="s">
        <v>83</v>
      </c>
    </row>
    <row r="1138" customFormat="false" ht="15" hidden="false" customHeight="false" outlineLevel="0" collapsed="false">
      <c r="A1138" s="4" t="s">
        <v>73</v>
      </c>
      <c r="B1138" s="4" t="s">
        <v>60</v>
      </c>
      <c r="C1138" s="4" t="n">
        <v>7</v>
      </c>
      <c r="D1138" s="4" t="n">
        <v>1</v>
      </c>
      <c r="E1138" s="4" t="s">
        <v>39</v>
      </c>
      <c r="F1138" s="3" t="s">
        <v>15</v>
      </c>
      <c r="G1138" s="3" t="s">
        <v>578</v>
      </c>
      <c r="H1138" s="3" t="s">
        <v>71</v>
      </c>
    </row>
    <row r="1139" customFormat="false" ht="15" hidden="false" customHeight="false" outlineLevel="0" collapsed="false">
      <c r="A1139" s="4" t="s">
        <v>73</v>
      </c>
      <c r="B1139" s="4" t="s">
        <v>63</v>
      </c>
      <c r="C1139" s="4" t="n">
        <v>1</v>
      </c>
      <c r="D1139" s="4" t="n">
        <v>1</v>
      </c>
      <c r="E1139" s="4" t="s">
        <v>16</v>
      </c>
      <c r="F1139" s="3" t="s">
        <v>376</v>
      </c>
      <c r="G1139" s="3" t="s">
        <v>484</v>
      </c>
      <c r="H1139" s="3" t="s">
        <v>438</v>
      </c>
    </row>
    <row r="1140" customFormat="false" ht="15" hidden="false" customHeight="false" outlineLevel="0" collapsed="false">
      <c r="A1140" s="4" t="s">
        <v>73</v>
      </c>
      <c r="B1140" s="4" t="s">
        <v>63</v>
      </c>
      <c r="C1140" s="4" t="n">
        <v>2</v>
      </c>
      <c r="D1140" s="4" t="n">
        <v>1</v>
      </c>
      <c r="E1140" s="4" t="s">
        <v>21</v>
      </c>
      <c r="F1140" s="3" t="s">
        <v>437</v>
      </c>
      <c r="G1140" s="3" t="s">
        <v>436</v>
      </c>
      <c r="H1140" s="3" t="s">
        <v>438</v>
      </c>
    </row>
    <row r="1141" customFormat="false" ht="15" hidden="false" customHeight="false" outlineLevel="0" collapsed="false">
      <c r="A1141" s="4" t="s">
        <v>73</v>
      </c>
      <c r="B1141" s="4" t="s">
        <v>63</v>
      </c>
      <c r="C1141" s="4" t="n">
        <v>3</v>
      </c>
      <c r="D1141" s="4" t="n">
        <v>1</v>
      </c>
      <c r="E1141" s="4" t="s">
        <v>26</v>
      </c>
      <c r="F1141" s="3" t="s">
        <v>15</v>
      </c>
      <c r="G1141" s="3" t="s">
        <v>578</v>
      </c>
      <c r="H1141" s="3" t="s">
        <v>223</v>
      </c>
    </row>
    <row r="1142" customFormat="false" ht="15" hidden="false" customHeight="false" outlineLevel="0" collapsed="false">
      <c r="A1142" s="4" t="s">
        <v>73</v>
      </c>
      <c r="B1142" s="4" t="s">
        <v>63</v>
      </c>
      <c r="C1142" s="4" t="n">
        <v>4</v>
      </c>
      <c r="D1142" s="4" t="n">
        <v>2</v>
      </c>
      <c r="E1142" s="4" t="s">
        <v>533</v>
      </c>
      <c r="F1142" s="3" t="s">
        <v>214</v>
      </c>
      <c r="G1142" s="3" t="s">
        <v>572</v>
      </c>
      <c r="H1142" s="3" t="s">
        <v>213</v>
      </c>
    </row>
    <row r="1143" customFormat="false" ht="15" hidden="false" customHeight="false" outlineLevel="0" collapsed="false">
      <c r="A1143" s="4" t="s">
        <v>73</v>
      </c>
      <c r="B1143" s="4" t="s">
        <v>63</v>
      </c>
      <c r="C1143" s="4" t="n">
        <v>6</v>
      </c>
      <c r="D1143" s="4" t="n">
        <v>1</v>
      </c>
      <c r="E1143" s="4" t="s">
        <v>42</v>
      </c>
      <c r="F1143" s="3" t="s">
        <v>164</v>
      </c>
      <c r="G1143" s="3" t="s">
        <v>577</v>
      </c>
      <c r="H1143" s="3" t="s">
        <v>85</v>
      </c>
    </row>
    <row r="1144" customFormat="false" ht="15" hidden="false" customHeight="false" outlineLevel="0" collapsed="false">
      <c r="A1144" s="4" t="s">
        <v>73</v>
      </c>
      <c r="B1144" s="4" t="s">
        <v>63</v>
      </c>
      <c r="C1144" s="4" t="n">
        <v>7</v>
      </c>
      <c r="D1144" s="4" t="n">
        <v>1</v>
      </c>
      <c r="E1144" s="4" t="s">
        <v>39</v>
      </c>
      <c r="F1144" s="3" t="s">
        <v>72</v>
      </c>
      <c r="G1144" s="3" t="s">
        <v>576</v>
      </c>
      <c r="H1144" s="3" t="s">
        <v>94</v>
      </c>
    </row>
    <row r="1145" customFormat="false" ht="15" hidden="false" customHeight="false" outlineLevel="0" collapsed="false">
      <c r="A1145" s="4" t="s">
        <v>73</v>
      </c>
      <c r="B1145" s="4" t="s">
        <v>65</v>
      </c>
      <c r="C1145" s="4" t="n">
        <v>1</v>
      </c>
      <c r="D1145" s="4" t="n">
        <v>1</v>
      </c>
      <c r="E1145" s="4" t="s">
        <v>16</v>
      </c>
      <c r="F1145" s="3" t="s">
        <v>285</v>
      </c>
      <c r="G1145" s="3" t="s">
        <v>450</v>
      </c>
      <c r="H1145" s="3" t="s">
        <v>438</v>
      </c>
    </row>
    <row r="1146" customFormat="false" ht="15" hidden="false" customHeight="false" outlineLevel="0" collapsed="false">
      <c r="A1146" s="4" t="s">
        <v>73</v>
      </c>
      <c r="B1146" s="4" t="s">
        <v>65</v>
      </c>
      <c r="C1146" s="4" t="n">
        <v>2</v>
      </c>
      <c r="D1146" s="4" t="n">
        <v>1</v>
      </c>
      <c r="E1146" s="4" t="s">
        <v>21</v>
      </c>
      <c r="F1146" s="3" t="s">
        <v>72</v>
      </c>
      <c r="G1146" s="3" t="s">
        <v>576</v>
      </c>
      <c r="H1146" s="3" t="s">
        <v>83</v>
      </c>
    </row>
    <row r="1147" customFormat="false" ht="15" hidden="false" customHeight="false" outlineLevel="0" collapsed="false">
      <c r="A1147" s="4" t="s">
        <v>73</v>
      </c>
      <c r="B1147" s="4" t="s">
        <v>65</v>
      </c>
      <c r="C1147" s="4" t="n">
        <v>3</v>
      </c>
      <c r="D1147" s="4" t="n">
        <v>1</v>
      </c>
      <c r="E1147" s="4" t="s">
        <v>26</v>
      </c>
      <c r="F1147" s="3" t="s">
        <v>15</v>
      </c>
      <c r="G1147" s="3" t="s">
        <v>578</v>
      </c>
      <c r="H1147" s="3" t="s">
        <v>224</v>
      </c>
    </row>
    <row r="1148" customFormat="false" ht="15" hidden="false" customHeight="false" outlineLevel="0" collapsed="false">
      <c r="A1148" s="4" t="s">
        <v>73</v>
      </c>
      <c r="B1148" s="4" t="s">
        <v>65</v>
      </c>
      <c r="C1148" s="4" t="n">
        <v>4</v>
      </c>
      <c r="D1148" s="4" t="n">
        <v>1</v>
      </c>
      <c r="E1148" s="4" t="s">
        <v>34</v>
      </c>
      <c r="F1148" s="3" t="s">
        <v>235</v>
      </c>
      <c r="G1148" s="3" t="s">
        <v>460</v>
      </c>
      <c r="H1148" s="3" t="s">
        <v>246</v>
      </c>
    </row>
    <row r="1149" customFormat="false" ht="15" hidden="false" customHeight="false" outlineLevel="0" collapsed="false">
      <c r="A1149" s="4" t="s">
        <v>73</v>
      </c>
      <c r="B1149" s="4" t="s">
        <v>65</v>
      </c>
      <c r="C1149" s="4" t="n">
        <v>5</v>
      </c>
      <c r="D1149" s="4" t="n">
        <v>1</v>
      </c>
      <c r="E1149" s="4" t="s">
        <v>37</v>
      </c>
      <c r="F1149" s="3" t="s">
        <v>36</v>
      </c>
      <c r="G1149" s="3" t="s">
        <v>569</v>
      </c>
      <c r="H1149" s="3" t="s">
        <v>81</v>
      </c>
    </row>
    <row r="1150" customFormat="false" ht="15" hidden="false" customHeight="false" outlineLevel="0" collapsed="false">
      <c r="A1150" s="4" t="s">
        <v>73</v>
      </c>
      <c r="B1150" s="4" t="s">
        <v>65</v>
      </c>
      <c r="C1150" s="4" t="n">
        <v>6</v>
      </c>
      <c r="D1150" s="4" t="n">
        <v>2</v>
      </c>
      <c r="E1150" s="4" t="s">
        <v>536</v>
      </c>
      <c r="F1150" s="3" t="s">
        <v>164</v>
      </c>
      <c r="G1150" s="3" t="s">
        <v>577</v>
      </c>
      <c r="H1150" s="3" t="s">
        <v>218</v>
      </c>
    </row>
    <row r="1151" customFormat="false" ht="15" hidden="false" customHeight="false" outlineLevel="0" collapsed="false">
      <c r="A1151" s="4" t="s">
        <v>73</v>
      </c>
      <c r="B1151" s="4" t="s">
        <v>66</v>
      </c>
      <c r="C1151" s="4" t="n">
        <v>1</v>
      </c>
      <c r="D1151" s="4" t="n">
        <v>1</v>
      </c>
      <c r="E1151" s="4" t="s">
        <v>16</v>
      </c>
      <c r="F1151" s="3" t="s">
        <v>312</v>
      </c>
      <c r="G1151" s="3" t="s">
        <v>490</v>
      </c>
      <c r="H1151" s="3" t="s">
        <v>311</v>
      </c>
    </row>
    <row r="1152" customFormat="false" ht="15" hidden="false" customHeight="false" outlineLevel="0" collapsed="false">
      <c r="A1152" s="4" t="s">
        <v>73</v>
      </c>
      <c r="B1152" s="4" t="s">
        <v>66</v>
      </c>
      <c r="C1152" s="4" t="n">
        <v>2</v>
      </c>
      <c r="D1152" s="4" t="n">
        <v>1</v>
      </c>
      <c r="E1152" s="4" t="s">
        <v>21</v>
      </c>
      <c r="F1152" s="3" t="s">
        <v>164</v>
      </c>
      <c r="G1152" s="3" t="s">
        <v>577</v>
      </c>
      <c r="H1152" s="3" t="s">
        <v>91</v>
      </c>
    </row>
    <row r="1153" customFormat="false" ht="15" hidden="false" customHeight="false" outlineLevel="0" collapsed="false">
      <c r="A1153" s="4" t="s">
        <v>73</v>
      </c>
      <c r="B1153" s="4" t="s">
        <v>66</v>
      </c>
      <c r="C1153" s="4" t="n">
        <v>3</v>
      </c>
      <c r="D1153" s="4" t="n">
        <v>1</v>
      </c>
      <c r="E1153" s="4" t="s">
        <v>26</v>
      </c>
      <c r="F1153" s="3" t="s">
        <v>130</v>
      </c>
      <c r="G1153" s="3" t="s">
        <v>270</v>
      </c>
      <c r="H1153" s="3" t="s">
        <v>134</v>
      </c>
    </row>
    <row r="1154" customFormat="false" ht="15" hidden="false" customHeight="false" outlineLevel="0" collapsed="false">
      <c r="A1154" s="4" t="s">
        <v>73</v>
      </c>
      <c r="B1154" s="4" t="s">
        <v>66</v>
      </c>
      <c r="C1154" s="4" t="n">
        <v>4</v>
      </c>
      <c r="D1154" s="4" t="n">
        <v>1</v>
      </c>
      <c r="E1154" s="4" t="s">
        <v>34</v>
      </c>
      <c r="F1154" s="3" t="s">
        <v>15</v>
      </c>
      <c r="G1154" s="3" t="s">
        <v>578</v>
      </c>
      <c r="H1154" s="3" t="s">
        <v>225</v>
      </c>
    </row>
    <row r="1155" customFormat="false" ht="15" hidden="false" customHeight="false" outlineLevel="0" collapsed="false">
      <c r="A1155" s="4" t="s">
        <v>73</v>
      </c>
      <c r="B1155" s="4" t="s">
        <v>66</v>
      </c>
      <c r="C1155" s="4" t="n">
        <v>5</v>
      </c>
      <c r="D1155" s="4" t="n">
        <v>1</v>
      </c>
      <c r="E1155" s="4" t="s">
        <v>37</v>
      </c>
      <c r="F1155" s="3" t="s">
        <v>72</v>
      </c>
      <c r="G1155" s="3" t="s">
        <v>576</v>
      </c>
      <c r="H1155" s="3" t="s">
        <v>96</v>
      </c>
    </row>
    <row r="1156" customFormat="false" ht="15" hidden="false" customHeight="false" outlineLevel="0" collapsed="false">
      <c r="A1156" s="4" t="s">
        <v>73</v>
      </c>
      <c r="B1156" s="4" t="s">
        <v>66</v>
      </c>
      <c r="C1156" s="4" t="n">
        <v>6</v>
      </c>
      <c r="D1156" s="4" t="n">
        <v>2</v>
      </c>
      <c r="E1156" s="4" t="s">
        <v>536</v>
      </c>
      <c r="F1156" s="3" t="s">
        <v>463</v>
      </c>
      <c r="G1156" s="3" t="s">
        <v>574</v>
      </c>
      <c r="H1156" s="3" t="s">
        <v>462</v>
      </c>
    </row>
    <row r="1157" customFormat="false" ht="15" hidden="false" customHeight="false" outlineLevel="0" collapsed="false">
      <c r="A1157" s="4" t="s">
        <v>57</v>
      </c>
      <c r="B1157" s="4" t="s">
        <v>12</v>
      </c>
      <c r="C1157" s="4" t="n">
        <v>1</v>
      </c>
      <c r="D1157" s="4" t="n">
        <v>1</v>
      </c>
      <c r="E1157" s="4" t="s">
        <v>16</v>
      </c>
      <c r="F1157" s="3" t="s">
        <v>15</v>
      </c>
      <c r="G1157" s="3" t="s">
        <v>581</v>
      </c>
      <c r="H1157" s="3" t="s">
        <v>301</v>
      </c>
    </row>
    <row r="1158" customFormat="false" ht="15" hidden="false" customHeight="false" outlineLevel="0" collapsed="false">
      <c r="A1158" s="4" t="s">
        <v>57</v>
      </c>
      <c r="B1158" s="4" t="s">
        <v>12</v>
      </c>
      <c r="C1158" s="4" t="n">
        <v>2</v>
      </c>
      <c r="D1158" s="4" t="n">
        <v>1</v>
      </c>
      <c r="E1158" s="4" t="s">
        <v>21</v>
      </c>
      <c r="F1158" s="3" t="s">
        <v>99</v>
      </c>
      <c r="G1158" s="3" t="s">
        <v>97</v>
      </c>
      <c r="H1158" s="3" t="s">
        <v>98</v>
      </c>
    </row>
    <row r="1159" customFormat="false" ht="15" hidden="false" customHeight="false" outlineLevel="0" collapsed="false">
      <c r="A1159" s="4" t="s">
        <v>57</v>
      </c>
      <c r="B1159" s="4" t="s">
        <v>12</v>
      </c>
      <c r="C1159" s="4" t="n">
        <v>3</v>
      </c>
      <c r="D1159" s="4" t="n">
        <v>1</v>
      </c>
      <c r="E1159" s="4" t="s">
        <v>26</v>
      </c>
      <c r="F1159" s="3" t="s">
        <v>101</v>
      </c>
      <c r="G1159" s="3" t="s">
        <v>582</v>
      </c>
      <c r="H1159" s="3" t="s">
        <v>100</v>
      </c>
    </row>
    <row r="1160" customFormat="false" ht="15" hidden="false" customHeight="false" outlineLevel="0" collapsed="false">
      <c r="A1160" s="4" t="s">
        <v>57</v>
      </c>
      <c r="B1160" s="4" t="s">
        <v>12</v>
      </c>
      <c r="C1160" s="4" t="n">
        <v>4</v>
      </c>
      <c r="D1160" s="4" t="n">
        <v>1</v>
      </c>
      <c r="E1160" s="4" t="s">
        <v>34</v>
      </c>
      <c r="F1160" s="3" t="s">
        <v>72</v>
      </c>
      <c r="G1160" s="3" t="s">
        <v>583</v>
      </c>
      <c r="H1160" s="3" t="s">
        <v>393</v>
      </c>
    </row>
    <row r="1161" customFormat="false" ht="15" hidden="false" customHeight="false" outlineLevel="0" collapsed="false">
      <c r="A1161" s="4" t="s">
        <v>57</v>
      </c>
      <c r="B1161" s="4" t="s">
        <v>12</v>
      </c>
      <c r="C1161" s="4" t="n">
        <v>5</v>
      </c>
      <c r="D1161" s="4" t="n">
        <v>1</v>
      </c>
      <c r="E1161" s="4" t="s">
        <v>37</v>
      </c>
      <c r="F1161" s="3" t="s">
        <v>164</v>
      </c>
      <c r="G1161" s="3" t="s">
        <v>584</v>
      </c>
      <c r="H1161" s="3" t="s">
        <v>166</v>
      </c>
    </row>
    <row r="1162" customFormat="false" ht="15" hidden="false" customHeight="false" outlineLevel="0" collapsed="false">
      <c r="A1162" s="4" t="s">
        <v>57</v>
      </c>
      <c r="B1162" s="4" t="s">
        <v>12</v>
      </c>
      <c r="C1162" s="4" t="n">
        <v>6</v>
      </c>
      <c r="D1162" s="4" t="n">
        <v>2</v>
      </c>
      <c r="E1162" s="4" t="s">
        <v>536</v>
      </c>
      <c r="F1162" s="3" t="s">
        <v>358</v>
      </c>
      <c r="G1162" s="3" t="s">
        <v>585</v>
      </c>
      <c r="H1162" s="3" t="s">
        <v>357</v>
      </c>
    </row>
    <row r="1163" customFormat="false" ht="15" hidden="false" customHeight="false" outlineLevel="0" collapsed="false">
      <c r="A1163" s="4" t="s">
        <v>57</v>
      </c>
      <c r="B1163" s="4" t="s">
        <v>31</v>
      </c>
      <c r="C1163" s="4" t="n">
        <v>1</v>
      </c>
      <c r="D1163" s="4" t="n">
        <v>1</v>
      </c>
      <c r="E1163" s="4" t="s">
        <v>16</v>
      </c>
      <c r="F1163" s="3" t="s">
        <v>164</v>
      </c>
      <c r="G1163" s="3" t="s">
        <v>584</v>
      </c>
      <c r="H1163" s="3" t="s">
        <v>167</v>
      </c>
    </row>
    <row r="1164" customFormat="false" ht="15" hidden="false" customHeight="false" outlineLevel="0" collapsed="false">
      <c r="A1164" s="4" t="s">
        <v>57</v>
      </c>
      <c r="B1164" s="4" t="s">
        <v>31</v>
      </c>
      <c r="C1164" s="4" t="n">
        <v>2</v>
      </c>
      <c r="D1164" s="4" t="n">
        <v>1</v>
      </c>
      <c r="E1164" s="4" t="s">
        <v>21</v>
      </c>
      <c r="F1164" s="3" t="s">
        <v>15</v>
      </c>
      <c r="G1164" s="3" t="s">
        <v>581</v>
      </c>
      <c r="H1164" s="3" t="s">
        <v>303</v>
      </c>
    </row>
    <row r="1165" customFormat="false" ht="15" hidden="false" customHeight="false" outlineLevel="0" collapsed="false">
      <c r="A1165" s="4" t="s">
        <v>57</v>
      </c>
      <c r="B1165" s="4" t="s">
        <v>31</v>
      </c>
      <c r="C1165" s="4" t="n">
        <v>3</v>
      </c>
      <c r="D1165" s="4" t="n">
        <v>1</v>
      </c>
      <c r="E1165" s="4" t="s">
        <v>26</v>
      </c>
      <c r="F1165" s="3" t="s">
        <v>287</v>
      </c>
      <c r="G1165" s="3" t="s">
        <v>283</v>
      </c>
      <c r="H1165" s="3" t="s">
        <v>98</v>
      </c>
    </row>
    <row r="1166" customFormat="false" ht="15" hidden="false" customHeight="false" outlineLevel="0" collapsed="false">
      <c r="A1166" s="4" t="s">
        <v>57</v>
      </c>
      <c r="B1166" s="4" t="s">
        <v>31</v>
      </c>
      <c r="C1166" s="4" t="n">
        <v>4</v>
      </c>
      <c r="D1166" s="4" t="n">
        <v>1</v>
      </c>
      <c r="E1166" s="4" t="s">
        <v>34</v>
      </c>
      <c r="F1166" s="3" t="s">
        <v>101</v>
      </c>
      <c r="G1166" s="3" t="s">
        <v>582</v>
      </c>
      <c r="H1166" s="3" t="s">
        <v>111</v>
      </c>
    </row>
    <row r="1167" customFormat="false" ht="15" hidden="false" customHeight="false" outlineLevel="0" collapsed="false">
      <c r="A1167" s="4" t="s">
        <v>57</v>
      </c>
      <c r="B1167" s="4" t="s">
        <v>31</v>
      </c>
      <c r="C1167" s="4" t="n">
        <v>5</v>
      </c>
      <c r="D1167" s="4" t="n">
        <v>1</v>
      </c>
      <c r="E1167" s="4" t="s">
        <v>37</v>
      </c>
      <c r="F1167" s="3" t="s">
        <v>36</v>
      </c>
      <c r="G1167" s="3" t="s">
        <v>586</v>
      </c>
      <c r="H1167" s="3" t="s">
        <v>112</v>
      </c>
    </row>
    <row r="1168" customFormat="false" ht="15" hidden="false" customHeight="false" outlineLevel="0" collapsed="false">
      <c r="A1168" s="4" t="s">
        <v>57</v>
      </c>
      <c r="B1168" s="4" t="s">
        <v>31</v>
      </c>
      <c r="C1168" s="4" t="n">
        <v>6</v>
      </c>
      <c r="D1168" s="4" t="n">
        <v>1</v>
      </c>
      <c r="E1168" s="4" t="s">
        <v>42</v>
      </c>
      <c r="F1168" s="3" t="s">
        <v>239</v>
      </c>
      <c r="G1168" s="3" t="s">
        <v>587</v>
      </c>
      <c r="H1168" s="3" t="s">
        <v>238</v>
      </c>
    </row>
    <row r="1169" customFormat="false" ht="15" hidden="false" customHeight="false" outlineLevel="0" collapsed="false">
      <c r="A1169" s="4" t="s">
        <v>57</v>
      </c>
      <c r="B1169" s="4" t="s">
        <v>31</v>
      </c>
      <c r="C1169" s="4" t="n">
        <v>7</v>
      </c>
      <c r="D1169" s="4" t="n">
        <v>1</v>
      </c>
      <c r="E1169" s="4" t="s">
        <v>39</v>
      </c>
      <c r="F1169" s="3" t="s">
        <v>72</v>
      </c>
      <c r="G1169" s="3" t="s">
        <v>583</v>
      </c>
      <c r="H1169" s="3" t="s">
        <v>393</v>
      </c>
    </row>
    <row r="1170" customFormat="false" ht="15" hidden="false" customHeight="false" outlineLevel="0" collapsed="false">
      <c r="A1170" s="4" t="s">
        <v>57</v>
      </c>
      <c r="B1170" s="4" t="s">
        <v>40</v>
      </c>
      <c r="C1170" s="4" t="n">
        <v>1</v>
      </c>
      <c r="D1170" s="4" t="n">
        <v>1</v>
      </c>
      <c r="E1170" s="4" t="s">
        <v>16</v>
      </c>
      <c r="F1170" s="3" t="s">
        <v>164</v>
      </c>
      <c r="G1170" s="3" t="s">
        <v>584</v>
      </c>
      <c r="H1170" s="3" t="s">
        <v>170</v>
      </c>
    </row>
    <row r="1171" customFormat="false" ht="15" hidden="false" customHeight="false" outlineLevel="0" collapsed="false">
      <c r="A1171" s="4" t="s">
        <v>57</v>
      </c>
      <c r="B1171" s="4" t="s">
        <v>40</v>
      </c>
      <c r="C1171" s="4" t="n">
        <v>2</v>
      </c>
      <c r="D1171" s="4" t="n">
        <v>1</v>
      </c>
      <c r="E1171" s="4" t="s">
        <v>21</v>
      </c>
      <c r="F1171" s="3" t="s">
        <v>239</v>
      </c>
      <c r="G1171" s="3" t="s">
        <v>587</v>
      </c>
      <c r="H1171" s="3" t="s">
        <v>240</v>
      </c>
    </row>
    <row r="1172" customFormat="false" ht="15" hidden="false" customHeight="false" outlineLevel="0" collapsed="false">
      <c r="A1172" s="4" t="s">
        <v>57</v>
      </c>
      <c r="B1172" s="4" t="s">
        <v>40</v>
      </c>
      <c r="C1172" s="4" t="n">
        <v>3</v>
      </c>
      <c r="D1172" s="4" t="n">
        <v>1</v>
      </c>
      <c r="E1172" s="4" t="s">
        <v>26</v>
      </c>
      <c r="F1172" s="3" t="s">
        <v>287</v>
      </c>
      <c r="G1172" s="3" t="s">
        <v>283</v>
      </c>
      <c r="H1172" s="3" t="s">
        <v>98</v>
      </c>
    </row>
    <row r="1173" customFormat="false" ht="15" hidden="false" customHeight="false" outlineLevel="0" collapsed="false">
      <c r="A1173" s="4" t="s">
        <v>57</v>
      </c>
      <c r="B1173" s="4" t="s">
        <v>40</v>
      </c>
      <c r="C1173" s="4" t="n">
        <v>4</v>
      </c>
      <c r="D1173" s="4" t="n">
        <v>1</v>
      </c>
      <c r="E1173" s="4" t="s">
        <v>34</v>
      </c>
      <c r="F1173" s="3" t="s">
        <v>99</v>
      </c>
      <c r="G1173" s="3" t="s">
        <v>97</v>
      </c>
      <c r="H1173" s="3" t="s">
        <v>98</v>
      </c>
    </row>
    <row r="1174" customFormat="false" ht="15" hidden="false" customHeight="false" outlineLevel="0" collapsed="false">
      <c r="A1174" s="4" t="s">
        <v>57</v>
      </c>
      <c r="B1174" s="4" t="s">
        <v>40</v>
      </c>
      <c r="C1174" s="4" t="n">
        <v>5</v>
      </c>
      <c r="D1174" s="4" t="n">
        <v>1</v>
      </c>
      <c r="E1174" s="4" t="s">
        <v>37</v>
      </c>
      <c r="F1174" s="3" t="s">
        <v>15</v>
      </c>
      <c r="G1174" s="3" t="s">
        <v>581</v>
      </c>
      <c r="H1174" s="3" t="s">
        <v>304</v>
      </c>
    </row>
    <row r="1175" customFormat="false" ht="15" hidden="false" customHeight="false" outlineLevel="0" collapsed="false">
      <c r="A1175" s="4" t="s">
        <v>57</v>
      </c>
      <c r="B1175" s="4" t="s">
        <v>40</v>
      </c>
      <c r="C1175" s="4" t="n">
        <v>6</v>
      </c>
      <c r="D1175" s="4" t="n">
        <v>2</v>
      </c>
      <c r="E1175" s="4" t="s">
        <v>536</v>
      </c>
      <c r="F1175" s="3" t="s">
        <v>72</v>
      </c>
      <c r="G1175" s="3" t="s">
        <v>588</v>
      </c>
      <c r="H1175" s="3" t="s">
        <v>166</v>
      </c>
    </row>
    <row r="1176" customFormat="false" ht="15" hidden="false" customHeight="false" outlineLevel="0" collapsed="false">
      <c r="A1176" s="4" t="s">
        <v>57</v>
      </c>
      <c r="B1176" s="4" t="s">
        <v>44</v>
      </c>
      <c r="C1176" s="4" t="n">
        <v>1</v>
      </c>
      <c r="D1176" s="4" t="n">
        <v>1</v>
      </c>
      <c r="E1176" s="4" t="s">
        <v>16</v>
      </c>
      <c r="F1176" s="3" t="s">
        <v>15</v>
      </c>
      <c r="G1176" s="3" t="s">
        <v>581</v>
      </c>
      <c r="H1176" s="3" t="s">
        <v>305</v>
      </c>
    </row>
    <row r="1177" customFormat="false" ht="15" hidden="false" customHeight="false" outlineLevel="0" collapsed="false">
      <c r="A1177" s="4" t="s">
        <v>57</v>
      </c>
      <c r="B1177" s="4" t="s">
        <v>44</v>
      </c>
      <c r="C1177" s="4" t="n">
        <v>2</v>
      </c>
      <c r="D1177" s="4" t="n">
        <v>1</v>
      </c>
      <c r="E1177" s="4" t="s">
        <v>21</v>
      </c>
      <c r="F1177" s="3" t="s">
        <v>72</v>
      </c>
      <c r="G1177" s="3" t="s">
        <v>583</v>
      </c>
      <c r="H1177" s="3" t="s">
        <v>394</v>
      </c>
    </row>
    <row r="1178" customFormat="false" ht="15" hidden="false" customHeight="false" outlineLevel="0" collapsed="false">
      <c r="A1178" s="4" t="s">
        <v>57</v>
      </c>
      <c r="B1178" s="4" t="s">
        <v>44</v>
      </c>
      <c r="C1178" s="4" t="n">
        <v>3</v>
      </c>
      <c r="D1178" s="4" t="n">
        <v>1</v>
      </c>
      <c r="E1178" s="4" t="s">
        <v>26</v>
      </c>
      <c r="F1178" s="3" t="s">
        <v>164</v>
      </c>
      <c r="G1178" s="3" t="s">
        <v>584</v>
      </c>
      <c r="H1178" s="3" t="s">
        <v>173</v>
      </c>
    </row>
    <row r="1179" customFormat="false" ht="15" hidden="false" customHeight="false" outlineLevel="0" collapsed="false">
      <c r="A1179" s="4" t="s">
        <v>57</v>
      </c>
      <c r="B1179" s="4" t="s">
        <v>44</v>
      </c>
      <c r="C1179" s="4" t="n">
        <v>4</v>
      </c>
      <c r="D1179" s="4" t="n">
        <v>1</v>
      </c>
      <c r="E1179" s="4" t="s">
        <v>34</v>
      </c>
      <c r="F1179" s="3" t="s">
        <v>101</v>
      </c>
      <c r="G1179" s="3" t="s">
        <v>589</v>
      </c>
      <c r="H1179" s="3" t="s">
        <v>115</v>
      </c>
    </row>
    <row r="1180" customFormat="false" ht="15" hidden="false" customHeight="false" outlineLevel="0" collapsed="false">
      <c r="A1180" s="4" t="s">
        <v>57</v>
      </c>
      <c r="B1180" s="4" t="s">
        <v>44</v>
      </c>
      <c r="C1180" s="4" t="n">
        <v>5</v>
      </c>
      <c r="D1180" s="4" t="n">
        <v>1</v>
      </c>
      <c r="E1180" s="4" t="s">
        <v>37</v>
      </c>
      <c r="F1180" s="3" t="s">
        <v>36</v>
      </c>
      <c r="G1180" s="3" t="s">
        <v>586</v>
      </c>
      <c r="H1180" s="3" t="s">
        <v>112</v>
      </c>
    </row>
    <row r="1181" customFormat="false" ht="15" hidden="false" customHeight="false" outlineLevel="0" collapsed="false">
      <c r="A1181" s="4" t="s">
        <v>57</v>
      </c>
      <c r="B1181" s="4" t="s">
        <v>44</v>
      </c>
      <c r="C1181" s="4" t="n">
        <v>6</v>
      </c>
      <c r="D1181" s="4" t="n">
        <v>1</v>
      </c>
      <c r="E1181" s="4" t="s">
        <v>42</v>
      </c>
      <c r="F1181" s="3" t="s">
        <v>99</v>
      </c>
      <c r="G1181" s="3" t="s">
        <v>97</v>
      </c>
      <c r="H1181" s="3" t="s">
        <v>98</v>
      </c>
    </row>
    <row r="1182" customFormat="false" ht="15" hidden="false" customHeight="false" outlineLevel="0" collapsed="false">
      <c r="A1182" s="4" t="s">
        <v>57</v>
      </c>
      <c r="B1182" s="4" t="s">
        <v>44</v>
      </c>
      <c r="C1182" s="4" t="n">
        <v>7</v>
      </c>
      <c r="D1182" s="4" t="n">
        <v>1</v>
      </c>
      <c r="E1182" s="4" t="s">
        <v>39</v>
      </c>
      <c r="F1182" s="3" t="s">
        <v>239</v>
      </c>
      <c r="G1182" s="3" t="s">
        <v>587</v>
      </c>
      <c r="H1182" s="3" t="s">
        <v>243</v>
      </c>
    </row>
    <row r="1183" customFormat="false" ht="15" hidden="false" customHeight="false" outlineLevel="0" collapsed="false">
      <c r="A1183" s="4" t="s">
        <v>57</v>
      </c>
      <c r="B1183" s="4" t="s">
        <v>47</v>
      </c>
      <c r="C1183" s="4" t="n">
        <v>1</v>
      </c>
      <c r="D1183" s="4" t="n">
        <v>1</v>
      </c>
      <c r="E1183" s="4" t="s">
        <v>16</v>
      </c>
      <c r="F1183" s="3" t="s">
        <v>72</v>
      </c>
      <c r="G1183" s="3" t="s">
        <v>583</v>
      </c>
      <c r="H1183" s="3" t="s">
        <v>394</v>
      </c>
    </row>
    <row r="1184" customFormat="false" ht="15" hidden="false" customHeight="false" outlineLevel="0" collapsed="false">
      <c r="A1184" s="4" t="s">
        <v>57</v>
      </c>
      <c r="B1184" s="4" t="s">
        <v>47</v>
      </c>
      <c r="C1184" s="4" t="n">
        <v>2</v>
      </c>
      <c r="D1184" s="4" t="n">
        <v>1</v>
      </c>
      <c r="E1184" s="4" t="s">
        <v>21</v>
      </c>
      <c r="F1184" s="3" t="s">
        <v>15</v>
      </c>
      <c r="G1184" s="3" t="s">
        <v>581</v>
      </c>
      <c r="H1184" s="3" t="s">
        <v>306</v>
      </c>
    </row>
    <row r="1185" customFormat="false" ht="15" hidden="false" customHeight="false" outlineLevel="0" collapsed="false">
      <c r="A1185" s="4" t="s">
        <v>57</v>
      </c>
      <c r="B1185" s="4" t="s">
        <v>47</v>
      </c>
      <c r="C1185" s="4" t="n">
        <v>3</v>
      </c>
      <c r="D1185" s="4" t="n">
        <v>1</v>
      </c>
      <c r="E1185" s="4" t="s">
        <v>26</v>
      </c>
      <c r="F1185" s="3" t="s">
        <v>164</v>
      </c>
      <c r="G1185" s="3" t="s">
        <v>584</v>
      </c>
      <c r="H1185" s="3" t="s">
        <v>175</v>
      </c>
    </row>
    <row r="1186" customFormat="false" ht="15" hidden="false" customHeight="false" outlineLevel="0" collapsed="false">
      <c r="A1186" s="4" t="s">
        <v>57</v>
      </c>
      <c r="B1186" s="4" t="s">
        <v>47</v>
      </c>
      <c r="C1186" s="4" t="n">
        <v>4</v>
      </c>
      <c r="D1186" s="4" t="n">
        <v>2</v>
      </c>
      <c r="E1186" s="4" t="s">
        <v>533</v>
      </c>
      <c r="F1186" s="3" t="s">
        <v>388</v>
      </c>
      <c r="G1186" s="3" t="s">
        <v>590</v>
      </c>
      <c r="H1186" s="3" t="s">
        <v>387</v>
      </c>
    </row>
    <row r="1187" customFormat="false" ht="15" hidden="false" customHeight="false" outlineLevel="0" collapsed="false">
      <c r="A1187" s="4" t="s">
        <v>57</v>
      </c>
      <c r="B1187" s="4" t="s">
        <v>47</v>
      </c>
      <c r="C1187" s="4" t="n">
        <v>6</v>
      </c>
      <c r="D1187" s="4" t="n">
        <v>1</v>
      </c>
      <c r="E1187" s="4" t="s">
        <v>42</v>
      </c>
      <c r="F1187" s="3" t="s">
        <v>101</v>
      </c>
      <c r="G1187" s="3" t="s">
        <v>582</v>
      </c>
      <c r="H1187" s="3" t="s">
        <v>117</v>
      </c>
    </row>
    <row r="1188" customFormat="false" ht="15" hidden="false" customHeight="false" outlineLevel="0" collapsed="false">
      <c r="A1188" s="4" t="s">
        <v>57</v>
      </c>
      <c r="B1188" s="4" t="s">
        <v>47</v>
      </c>
      <c r="C1188" s="4" t="n">
        <v>7</v>
      </c>
      <c r="D1188" s="4" t="n">
        <v>1</v>
      </c>
      <c r="E1188" s="4" t="s">
        <v>39</v>
      </c>
      <c r="F1188" s="3" t="s">
        <v>239</v>
      </c>
      <c r="G1188" s="3" t="s">
        <v>587</v>
      </c>
      <c r="H1188" s="3" t="s">
        <v>244</v>
      </c>
    </row>
    <row r="1189" customFormat="false" ht="15" hidden="false" customHeight="false" outlineLevel="0" collapsed="false">
      <c r="A1189" s="4" t="s">
        <v>57</v>
      </c>
      <c r="B1189" s="4" t="s">
        <v>50</v>
      </c>
      <c r="C1189" s="4" t="n">
        <v>1</v>
      </c>
      <c r="D1189" s="4" t="n">
        <v>1</v>
      </c>
      <c r="E1189" s="4" t="s">
        <v>16</v>
      </c>
      <c r="F1189" s="3" t="s">
        <v>99</v>
      </c>
      <c r="G1189" s="3" t="s">
        <v>97</v>
      </c>
      <c r="H1189" s="3" t="s">
        <v>98</v>
      </c>
    </row>
    <row r="1190" customFormat="false" ht="15" hidden="false" customHeight="false" outlineLevel="0" collapsed="false">
      <c r="A1190" s="4" t="s">
        <v>57</v>
      </c>
      <c r="B1190" s="4" t="s">
        <v>50</v>
      </c>
      <c r="C1190" s="4" t="n">
        <v>2</v>
      </c>
      <c r="D1190" s="4" t="n">
        <v>1</v>
      </c>
      <c r="E1190" s="4" t="s">
        <v>21</v>
      </c>
      <c r="F1190" s="3" t="s">
        <v>15</v>
      </c>
      <c r="G1190" s="3" t="s">
        <v>581</v>
      </c>
      <c r="H1190" s="3" t="s">
        <v>307</v>
      </c>
    </row>
    <row r="1191" customFormat="false" ht="15" hidden="false" customHeight="false" outlineLevel="0" collapsed="false">
      <c r="A1191" s="4" t="s">
        <v>57</v>
      </c>
      <c r="B1191" s="4" t="s">
        <v>50</v>
      </c>
      <c r="C1191" s="4" t="n">
        <v>3</v>
      </c>
      <c r="D1191" s="4" t="n">
        <v>1</v>
      </c>
      <c r="E1191" s="4" t="s">
        <v>26</v>
      </c>
      <c r="F1191" s="3" t="s">
        <v>101</v>
      </c>
      <c r="G1191" s="3" t="s">
        <v>589</v>
      </c>
      <c r="H1191" s="3" t="s">
        <v>115</v>
      </c>
    </row>
    <row r="1192" customFormat="false" ht="15" hidden="false" customHeight="false" outlineLevel="0" collapsed="false">
      <c r="A1192" s="4" t="s">
        <v>57</v>
      </c>
      <c r="B1192" s="4" t="s">
        <v>50</v>
      </c>
      <c r="C1192" s="4" t="n">
        <v>4</v>
      </c>
      <c r="D1192" s="4" t="n">
        <v>1</v>
      </c>
      <c r="E1192" s="4" t="s">
        <v>34</v>
      </c>
      <c r="F1192" s="3" t="s">
        <v>72</v>
      </c>
      <c r="G1192" s="3" t="s">
        <v>583</v>
      </c>
      <c r="H1192" s="3" t="s">
        <v>396</v>
      </c>
    </row>
    <row r="1193" customFormat="false" ht="15" hidden="false" customHeight="false" outlineLevel="0" collapsed="false">
      <c r="A1193" s="4" t="s">
        <v>57</v>
      </c>
      <c r="B1193" s="4" t="s">
        <v>50</v>
      </c>
      <c r="C1193" s="4" t="n">
        <v>5</v>
      </c>
      <c r="D1193" s="4" t="n">
        <v>1</v>
      </c>
      <c r="E1193" s="4" t="s">
        <v>37</v>
      </c>
      <c r="F1193" s="3" t="s">
        <v>164</v>
      </c>
      <c r="G1193" s="3" t="s">
        <v>584</v>
      </c>
      <c r="H1193" s="3" t="s">
        <v>166</v>
      </c>
    </row>
    <row r="1194" customFormat="false" ht="15" hidden="false" customHeight="false" outlineLevel="0" collapsed="false">
      <c r="A1194" s="4" t="s">
        <v>57</v>
      </c>
      <c r="B1194" s="4" t="s">
        <v>50</v>
      </c>
      <c r="C1194" s="4" t="n">
        <v>6</v>
      </c>
      <c r="D1194" s="4" t="n">
        <v>2</v>
      </c>
      <c r="E1194" s="4" t="s">
        <v>536</v>
      </c>
      <c r="F1194" s="3" t="s">
        <v>54</v>
      </c>
      <c r="G1194" s="3" t="s">
        <v>591</v>
      </c>
      <c r="H1194" s="3" t="s">
        <v>53</v>
      </c>
    </row>
    <row r="1195" customFormat="false" ht="15" hidden="false" customHeight="false" outlineLevel="0" collapsed="false">
      <c r="A1195" s="4" t="s">
        <v>57</v>
      </c>
      <c r="B1195" s="4" t="s">
        <v>60</v>
      </c>
      <c r="C1195" s="4" t="n">
        <v>1</v>
      </c>
      <c r="D1195" s="4" t="n">
        <v>1</v>
      </c>
      <c r="E1195" s="4" t="s">
        <v>16</v>
      </c>
      <c r="F1195" s="3" t="s">
        <v>164</v>
      </c>
      <c r="G1195" s="3" t="s">
        <v>584</v>
      </c>
      <c r="H1195" s="3" t="s">
        <v>178</v>
      </c>
    </row>
    <row r="1196" customFormat="false" ht="15" hidden="false" customHeight="false" outlineLevel="0" collapsed="false">
      <c r="A1196" s="4" t="s">
        <v>57</v>
      </c>
      <c r="B1196" s="4" t="s">
        <v>60</v>
      </c>
      <c r="C1196" s="4" t="n">
        <v>2</v>
      </c>
      <c r="D1196" s="4" t="n">
        <v>1</v>
      </c>
      <c r="E1196" s="4" t="s">
        <v>21</v>
      </c>
      <c r="F1196" s="3" t="s">
        <v>239</v>
      </c>
      <c r="G1196" s="3" t="s">
        <v>587</v>
      </c>
      <c r="H1196" s="3" t="s">
        <v>248</v>
      </c>
    </row>
    <row r="1197" customFormat="false" ht="15" hidden="false" customHeight="false" outlineLevel="0" collapsed="false">
      <c r="A1197" s="4" t="s">
        <v>57</v>
      </c>
      <c r="B1197" s="4" t="s">
        <v>60</v>
      </c>
      <c r="C1197" s="4" t="n">
        <v>3</v>
      </c>
      <c r="D1197" s="4" t="n">
        <v>1</v>
      </c>
      <c r="E1197" s="4" t="s">
        <v>26</v>
      </c>
      <c r="F1197" s="3" t="s">
        <v>15</v>
      </c>
      <c r="G1197" s="3" t="s">
        <v>581</v>
      </c>
      <c r="H1197" s="3" t="s">
        <v>306</v>
      </c>
    </row>
    <row r="1198" customFormat="false" ht="15" hidden="false" customHeight="false" outlineLevel="0" collapsed="false">
      <c r="A1198" s="4" t="s">
        <v>57</v>
      </c>
      <c r="B1198" s="4" t="s">
        <v>60</v>
      </c>
      <c r="C1198" s="4" t="n">
        <v>4</v>
      </c>
      <c r="D1198" s="4" t="n">
        <v>1</v>
      </c>
      <c r="E1198" s="4" t="s">
        <v>34</v>
      </c>
      <c r="F1198" s="3" t="s">
        <v>101</v>
      </c>
      <c r="G1198" s="3" t="s">
        <v>582</v>
      </c>
      <c r="H1198" s="3" t="s">
        <v>119</v>
      </c>
    </row>
    <row r="1199" customFormat="false" ht="15" hidden="false" customHeight="false" outlineLevel="0" collapsed="false">
      <c r="A1199" s="4" t="s">
        <v>57</v>
      </c>
      <c r="B1199" s="4" t="s">
        <v>60</v>
      </c>
      <c r="C1199" s="4" t="n">
        <v>5</v>
      </c>
      <c r="D1199" s="4" t="n">
        <v>1</v>
      </c>
      <c r="E1199" s="4" t="s">
        <v>37</v>
      </c>
      <c r="F1199" s="3" t="s">
        <v>36</v>
      </c>
      <c r="G1199" s="3" t="s">
        <v>586</v>
      </c>
      <c r="H1199" s="3" t="s">
        <v>112</v>
      </c>
    </row>
    <row r="1200" customFormat="false" ht="15" hidden="false" customHeight="false" outlineLevel="0" collapsed="false">
      <c r="A1200" s="4" t="s">
        <v>57</v>
      </c>
      <c r="B1200" s="4" t="s">
        <v>60</v>
      </c>
      <c r="C1200" s="4" t="n">
        <v>6</v>
      </c>
      <c r="D1200" s="4" t="n">
        <v>1</v>
      </c>
      <c r="E1200" s="4" t="s">
        <v>42</v>
      </c>
      <c r="F1200" s="3" t="s">
        <v>72</v>
      </c>
      <c r="G1200" s="3" t="s">
        <v>583</v>
      </c>
      <c r="H1200" s="3" t="s">
        <v>397</v>
      </c>
    </row>
    <row r="1201" customFormat="false" ht="15" hidden="false" customHeight="false" outlineLevel="0" collapsed="false">
      <c r="A1201" s="4" t="s">
        <v>57</v>
      </c>
      <c r="B1201" s="4" t="s">
        <v>60</v>
      </c>
      <c r="C1201" s="4" t="n">
        <v>7</v>
      </c>
      <c r="D1201" s="4" t="n">
        <v>1</v>
      </c>
      <c r="E1201" s="4" t="s">
        <v>39</v>
      </c>
      <c r="F1201" s="3" t="s">
        <v>99</v>
      </c>
      <c r="G1201" s="3" t="s">
        <v>97</v>
      </c>
      <c r="H1201" s="3" t="s">
        <v>98</v>
      </c>
    </row>
    <row r="1202" customFormat="false" ht="15" hidden="false" customHeight="false" outlineLevel="0" collapsed="false">
      <c r="A1202" s="4" t="s">
        <v>57</v>
      </c>
      <c r="B1202" s="4" t="s">
        <v>63</v>
      </c>
      <c r="C1202" s="4" t="n">
        <v>1</v>
      </c>
      <c r="D1202" s="4" t="n">
        <v>2</v>
      </c>
      <c r="E1202" s="4" t="s">
        <v>539</v>
      </c>
      <c r="F1202" s="3" t="s">
        <v>164</v>
      </c>
      <c r="G1202" s="3" t="s">
        <v>584</v>
      </c>
      <c r="H1202" s="3" t="s">
        <v>179</v>
      </c>
    </row>
    <row r="1203" customFormat="false" ht="15" hidden="false" customHeight="false" outlineLevel="0" collapsed="false">
      <c r="A1203" s="4" t="s">
        <v>57</v>
      </c>
      <c r="B1203" s="4" t="s">
        <v>63</v>
      </c>
      <c r="C1203" s="4" t="n">
        <v>3</v>
      </c>
      <c r="D1203" s="4" t="n">
        <v>1</v>
      </c>
      <c r="E1203" s="4" t="s">
        <v>26</v>
      </c>
      <c r="F1203" s="3" t="s">
        <v>287</v>
      </c>
      <c r="G1203" s="3" t="s">
        <v>283</v>
      </c>
      <c r="H1203" s="3" t="s">
        <v>98</v>
      </c>
    </row>
    <row r="1204" customFormat="false" ht="15" hidden="false" customHeight="false" outlineLevel="0" collapsed="false">
      <c r="A1204" s="4" t="s">
        <v>57</v>
      </c>
      <c r="B1204" s="4" t="s">
        <v>63</v>
      </c>
      <c r="C1204" s="4" t="n">
        <v>4</v>
      </c>
      <c r="D1204" s="4" t="n">
        <v>1</v>
      </c>
      <c r="E1204" s="4" t="s">
        <v>34</v>
      </c>
      <c r="F1204" s="3" t="s">
        <v>99</v>
      </c>
      <c r="G1204" s="3" t="s">
        <v>97</v>
      </c>
      <c r="H1204" s="3" t="s">
        <v>98</v>
      </c>
    </row>
    <row r="1205" customFormat="false" ht="15" hidden="false" customHeight="false" outlineLevel="0" collapsed="false">
      <c r="A1205" s="4" t="s">
        <v>57</v>
      </c>
      <c r="B1205" s="4" t="s">
        <v>63</v>
      </c>
      <c r="C1205" s="4" t="n">
        <v>5</v>
      </c>
      <c r="D1205" s="4" t="n">
        <v>1</v>
      </c>
      <c r="E1205" s="4" t="s">
        <v>37</v>
      </c>
      <c r="F1205" s="3" t="s">
        <v>72</v>
      </c>
      <c r="G1205" s="3" t="s">
        <v>583</v>
      </c>
      <c r="H1205" s="3" t="s">
        <v>183</v>
      </c>
    </row>
    <row r="1206" customFormat="false" ht="15" hidden="false" customHeight="false" outlineLevel="0" collapsed="false">
      <c r="A1206" s="4" t="s">
        <v>57</v>
      </c>
      <c r="B1206" s="4" t="s">
        <v>63</v>
      </c>
      <c r="C1206" s="4" t="n">
        <v>6</v>
      </c>
      <c r="D1206" s="4" t="n">
        <v>1</v>
      </c>
      <c r="E1206" s="4" t="s">
        <v>42</v>
      </c>
      <c r="F1206" s="3" t="s">
        <v>239</v>
      </c>
      <c r="G1206" s="3" t="s">
        <v>587</v>
      </c>
      <c r="H1206" s="3" t="s">
        <v>249</v>
      </c>
    </row>
    <row r="1207" customFormat="false" ht="15" hidden="false" customHeight="false" outlineLevel="0" collapsed="false">
      <c r="A1207" s="4" t="s">
        <v>57</v>
      </c>
      <c r="B1207" s="4" t="s">
        <v>63</v>
      </c>
      <c r="C1207" s="4" t="n">
        <v>7</v>
      </c>
      <c r="D1207" s="4" t="n">
        <v>1</v>
      </c>
      <c r="E1207" s="4" t="s">
        <v>39</v>
      </c>
      <c r="F1207" s="3" t="s">
        <v>15</v>
      </c>
      <c r="G1207" s="3" t="s">
        <v>581</v>
      </c>
      <c r="H1207" s="3" t="s">
        <v>304</v>
      </c>
    </row>
    <row r="1208" customFormat="false" ht="15" hidden="false" customHeight="false" outlineLevel="0" collapsed="false">
      <c r="A1208" s="4" t="s">
        <v>57</v>
      </c>
      <c r="B1208" s="4" t="s">
        <v>65</v>
      </c>
      <c r="C1208" s="4" t="n">
        <v>1</v>
      </c>
      <c r="D1208" s="4" t="n">
        <v>1</v>
      </c>
      <c r="E1208" s="4" t="s">
        <v>16</v>
      </c>
      <c r="F1208" s="3" t="s">
        <v>99</v>
      </c>
      <c r="G1208" s="3" t="s">
        <v>97</v>
      </c>
      <c r="H1208" s="3" t="s">
        <v>98</v>
      </c>
    </row>
    <row r="1209" customFormat="false" ht="15" hidden="false" customHeight="false" outlineLevel="0" collapsed="false">
      <c r="A1209" s="4" t="s">
        <v>57</v>
      </c>
      <c r="B1209" s="4" t="s">
        <v>65</v>
      </c>
      <c r="C1209" s="4" t="n">
        <v>2</v>
      </c>
      <c r="D1209" s="4" t="n">
        <v>1</v>
      </c>
      <c r="E1209" s="4" t="s">
        <v>21</v>
      </c>
      <c r="F1209" s="3" t="s">
        <v>72</v>
      </c>
      <c r="G1209" s="3" t="s">
        <v>583</v>
      </c>
      <c r="H1209" s="3" t="s">
        <v>166</v>
      </c>
    </row>
    <row r="1210" customFormat="false" ht="15" hidden="false" customHeight="false" outlineLevel="0" collapsed="false">
      <c r="A1210" s="4" t="s">
        <v>57</v>
      </c>
      <c r="B1210" s="4" t="s">
        <v>65</v>
      </c>
      <c r="C1210" s="4" t="n">
        <v>3</v>
      </c>
      <c r="D1210" s="4" t="n">
        <v>1</v>
      </c>
      <c r="E1210" s="4" t="s">
        <v>26</v>
      </c>
      <c r="F1210" s="3" t="s">
        <v>101</v>
      </c>
      <c r="G1210" s="3" t="s">
        <v>589</v>
      </c>
      <c r="H1210" s="3" t="s">
        <v>121</v>
      </c>
    </row>
    <row r="1211" customFormat="false" ht="15" hidden="false" customHeight="false" outlineLevel="0" collapsed="false">
      <c r="A1211" s="4" t="s">
        <v>57</v>
      </c>
      <c r="B1211" s="4" t="s">
        <v>65</v>
      </c>
      <c r="C1211" s="4" t="n">
        <v>4</v>
      </c>
      <c r="D1211" s="4" t="n">
        <v>1</v>
      </c>
      <c r="E1211" s="4" t="s">
        <v>34</v>
      </c>
      <c r="F1211" s="3" t="s">
        <v>15</v>
      </c>
      <c r="G1211" s="3" t="s">
        <v>581</v>
      </c>
      <c r="H1211" s="3" t="s">
        <v>306</v>
      </c>
    </row>
    <row r="1212" customFormat="false" ht="15" hidden="false" customHeight="false" outlineLevel="0" collapsed="false">
      <c r="A1212" s="4" t="s">
        <v>57</v>
      </c>
      <c r="B1212" s="4" t="s">
        <v>65</v>
      </c>
      <c r="C1212" s="4" t="n">
        <v>5</v>
      </c>
      <c r="D1212" s="4" t="n">
        <v>1</v>
      </c>
      <c r="E1212" s="4" t="s">
        <v>37</v>
      </c>
      <c r="F1212" s="3" t="s">
        <v>36</v>
      </c>
      <c r="G1212" s="3" t="s">
        <v>586</v>
      </c>
      <c r="H1212" s="3" t="s">
        <v>112</v>
      </c>
    </row>
    <row r="1213" customFormat="false" ht="15" hidden="false" customHeight="false" outlineLevel="0" collapsed="false">
      <c r="A1213" s="4" t="s">
        <v>57</v>
      </c>
      <c r="B1213" s="4" t="s">
        <v>65</v>
      </c>
      <c r="C1213" s="4" t="n">
        <v>6</v>
      </c>
      <c r="D1213" s="4" t="n">
        <v>1</v>
      </c>
      <c r="E1213" s="4" t="s">
        <v>42</v>
      </c>
      <c r="F1213" s="3" t="s">
        <v>164</v>
      </c>
      <c r="G1213" s="3" t="s">
        <v>584</v>
      </c>
      <c r="H1213" s="3" t="s">
        <v>178</v>
      </c>
    </row>
    <row r="1214" customFormat="false" ht="15" hidden="false" customHeight="false" outlineLevel="0" collapsed="false">
      <c r="A1214" s="4" t="s">
        <v>57</v>
      </c>
      <c r="B1214" s="4" t="s">
        <v>65</v>
      </c>
      <c r="C1214" s="4" t="n">
        <v>7</v>
      </c>
      <c r="D1214" s="4" t="n">
        <v>1</v>
      </c>
      <c r="E1214" s="4" t="s">
        <v>39</v>
      </c>
      <c r="F1214" s="3" t="s">
        <v>239</v>
      </c>
      <c r="G1214" s="3" t="s">
        <v>587</v>
      </c>
      <c r="H1214" s="3" t="s">
        <v>251</v>
      </c>
    </row>
    <row r="1215" customFormat="false" ht="15" hidden="false" customHeight="false" outlineLevel="0" collapsed="false">
      <c r="A1215" s="4" t="s">
        <v>57</v>
      </c>
      <c r="B1215" s="4" t="s">
        <v>66</v>
      </c>
      <c r="C1215" s="4" t="n">
        <v>1</v>
      </c>
      <c r="D1215" s="4" t="n">
        <v>1</v>
      </c>
      <c r="E1215" s="4" t="s">
        <v>16</v>
      </c>
      <c r="F1215" s="3" t="s">
        <v>239</v>
      </c>
      <c r="G1215" s="3" t="s">
        <v>587</v>
      </c>
      <c r="H1215" s="3" t="s">
        <v>252</v>
      </c>
    </row>
    <row r="1216" customFormat="false" ht="15" hidden="false" customHeight="false" outlineLevel="0" collapsed="false">
      <c r="A1216" s="4" t="s">
        <v>57</v>
      </c>
      <c r="B1216" s="4" t="s">
        <v>66</v>
      </c>
      <c r="C1216" s="4" t="n">
        <v>2</v>
      </c>
      <c r="D1216" s="4" t="n">
        <v>1</v>
      </c>
      <c r="E1216" s="4" t="s">
        <v>21</v>
      </c>
      <c r="F1216" s="3" t="s">
        <v>287</v>
      </c>
      <c r="G1216" s="3" t="s">
        <v>283</v>
      </c>
      <c r="H1216" s="3" t="s">
        <v>98</v>
      </c>
    </row>
    <row r="1217" customFormat="false" ht="15" hidden="false" customHeight="false" outlineLevel="0" collapsed="false">
      <c r="A1217" s="4" t="s">
        <v>57</v>
      </c>
      <c r="B1217" s="4" t="s">
        <v>66</v>
      </c>
      <c r="C1217" s="4" t="n">
        <v>3</v>
      </c>
      <c r="D1217" s="4" t="n">
        <v>1</v>
      </c>
      <c r="E1217" s="4" t="s">
        <v>26</v>
      </c>
      <c r="F1217" s="3" t="s">
        <v>99</v>
      </c>
      <c r="G1217" s="3" t="s">
        <v>97</v>
      </c>
      <c r="H1217" s="3" t="s">
        <v>98</v>
      </c>
    </row>
    <row r="1218" customFormat="false" ht="15" hidden="false" customHeight="false" outlineLevel="0" collapsed="false">
      <c r="A1218" s="4" t="s">
        <v>57</v>
      </c>
      <c r="B1218" s="4" t="s">
        <v>66</v>
      </c>
      <c r="C1218" s="4" t="n">
        <v>4</v>
      </c>
      <c r="D1218" s="4" t="n">
        <v>1</v>
      </c>
      <c r="E1218" s="4" t="s">
        <v>34</v>
      </c>
      <c r="F1218" s="3" t="s">
        <v>72</v>
      </c>
      <c r="G1218" s="3" t="s">
        <v>583</v>
      </c>
      <c r="H1218" s="3" t="s">
        <v>399</v>
      </c>
    </row>
    <row r="1219" customFormat="false" ht="15" hidden="false" customHeight="false" outlineLevel="0" collapsed="false">
      <c r="A1219" s="4" t="s">
        <v>57</v>
      </c>
      <c r="B1219" s="4" t="s">
        <v>66</v>
      </c>
      <c r="C1219" s="4" t="n">
        <v>5</v>
      </c>
      <c r="D1219" s="4" t="n">
        <v>1</v>
      </c>
      <c r="E1219" s="4" t="s">
        <v>37</v>
      </c>
      <c r="F1219" s="3" t="s">
        <v>101</v>
      </c>
      <c r="G1219" s="3" t="s">
        <v>582</v>
      </c>
      <c r="H1219" s="3" t="s">
        <v>122</v>
      </c>
    </row>
    <row r="1220" customFormat="false" ht="15" hidden="false" customHeight="false" outlineLevel="0" collapsed="false">
      <c r="A1220" s="4" t="s">
        <v>57</v>
      </c>
      <c r="B1220" s="4" t="s">
        <v>66</v>
      </c>
      <c r="C1220" s="4" t="n">
        <v>6</v>
      </c>
      <c r="D1220" s="4" t="n">
        <v>1</v>
      </c>
      <c r="E1220" s="4" t="s">
        <v>42</v>
      </c>
      <c r="F1220" s="3" t="s">
        <v>15</v>
      </c>
      <c r="G1220" s="3" t="s">
        <v>581</v>
      </c>
      <c r="H1220" s="3" t="s">
        <v>306</v>
      </c>
    </row>
    <row r="1221" customFormat="false" ht="15" hidden="false" customHeight="false" outlineLevel="0" collapsed="false">
      <c r="A1221" s="4" t="s">
        <v>57</v>
      </c>
      <c r="B1221" s="4" t="s">
        <v>66</v>
      </c>
      <c r="C1221" s="4" t="n">
        <v>7</v>
      </c>
      <c r="D1221" s="4" t="n">
        <v>1</v>
      </c>
      <c r="E1221" s="4" t="s">
        <v>39</v>
      </c>
      <c r="F1221" s="3" t="s">
        <v>164</v>
      </c>
      <c r="G1221" s="3" t="s">
        <v>584</v>
      </c>
      <c r="H1221" s="3" t="s">
        <v>183</v>
      </c>
    </row>
    <row r="1222" customFormat="false" ht="15" hidden="false" customHeight="false" outlineLevel="0" collapsed="false">
      <c r="A1222" s="4" t="s">
        <v>58</v>
      </c>
      <c r="B1222" s="4" t="s">
        <v>12</v>
      </c>
      <c r="C1222" s="4" t="n">
        <v>1</v>
      </c>
      <c r="D1222" s="4" t="n">
        <v>1</v>
      </c>
      <c r="E1222" s="4" t="s">
        <v>16</v>
      </c>
      <c r="F1222" s="3" t="s">
        <v>15</v>
      </c>
      <c r="G1222" s="3" t="s">
        <v>581</v>
      </c>
      <c r="H1222" s="3" t="s">
        <v>301</v>
      </c>
    </row>
    <row r="1223" customFormat="false" ht="15" hidden="false" customHeight="false" outlineLevel="0" collapsed="false">
      <c r="A1223" s="4" t="s">
        <v>58</v>
      </c>
      <c r="B1223" s="4" t="s">
        <v>12</v>
      </c>
      <c r="C1223" s="4" t="n">
        <v>2</v>
      </c>
      <c r="D1223" s="4" t="n">
        <v>1</v>
      </c>
      <c r="E1223" s="4" t="s">
        <v>21</v>
      </c>
      <c r="F1223" s="3" t="s">
        <v>287</v>
      </c>
      <c r="G1223" s="3" t="s">
        <v>450</v>
      </c>
      <c r="H1223" s="3" t="s">
        <v>451</v>
      </c>
    </row>
    <row r="1224" customFormat="false" ht="15" hidden="false" customHeight="false" outlineLevel="0" collapsed="false">
      <c r="A1224" s="4" t="s">
        <v>58</v>
      </c>
      <c r="B1224" s="4" t="s">
        <v>12</v>
      </c>
      <c r="C1224" s="4" t="n">
        <v>3</v>
      </c>
      <c r="D1224" s="4" t="n">
        <v>1</v>
      </c>
      <c r="E1224" s="4" t="s">
        <v>26</v>
      </c>
      <c r="F1224" s="3" t="s">
        <v>101</v>
      </c>
      <c r="G1224" s="3" t="s">
        <v>582</v>
      </c>
      <c r="H1224" s="3" t="s">
        <v>100</v>
      </c>
    </row>
    <row r="1225" customFormat="false" ht="15" hidden="false" customHeight="false" outlineLevel="0" collapsed="false">
      <c r="A1225" s="4" t="s">
        <v>58</v>
      </c>
      <c r="B1225" s="4" t="s">
        <v>12</v>
      </c>
      <c r="C1225" s="4" t="n">
        <v>4</v>
      </c>
      <c r="D1225" s="4" t="n">
        <v>1</v>
      </c>
      <c r="E1225" s="4" t="s">
        <v>34</v>
      </c>
      <c r="F1225" s="3" t="s">
        <v>72</v>
      </c>
      <c r="G1225" s="3" t="s">
        <v>583</v>
      </c>
      <c r="H1225" s="3" t="s">
        <v>393</v>
      </c>
    </row>
    <row r="1226" customFormat="false" ht="15" hidden="false" customHeight="false" outlineLevel="0" collapsed="false">
      <c r="A1226" s="4" t="s">
        <v>58</v>
      </c>
      <c r="B1226" s="4" t="s">
        <v>12</v>
      </c>
      <c r="C1226" s="4" t="n">
        <v>5</v>
      </c>
      <c r="D1226" s="4" t="n">
        <v>1</v>
      </c>
      <c r="E1226" s="4" t="s">
        <v>37</v>
      </c>
      <c r="F1226" s="3" t="s">
        <v>164</v>
      </c>
      <c r="G1226" s="3" t="s">
        <v>584</v>
      </c>
      <c r="H1226" s="3" t="s">
        <v>166</v>
      </c>
    </row>
    <row r="1227" customFormat="false" ht="15" hidden="false" customHeight="false" outlineLevel="0" collapsed="false">
      <c r="A1227" s="4" t="s">
        <v>58</v>
      </c>
      <c r="B1227" s="4" t="s">
        <v>12</v>
      </c>
      <c r="C1227" s="4" t="n">
        <v>6</v>
      </c>
      <c r="D1227" s="4" t="n">
        <v>2</v>
      </c>
      <c r="E1227" s="4" t="s">
        <v>536</v>
      </c>
      <c r="F1227" s="3" t="s">
        <v>358</v>
      </c>
      <c r="G1227" s="3" t="s">
        <v>585</v>
      </c>
      <c r="H1227" s="3" t="s">
        <v>357</v>
      </c>
    </row>
    <row r="1228" customFormat="false" ht="15" hidden="false" customHeight="false" outlineLevel="0" collapsed="false">
      <c r="A1228" s="4" t="s">
        <v>58</v>
      </c>
      <c r="B1228" s="4" t="s">
        <v>31</v>
      </c>
      <c r="C1228" s="4" t="n">
        <v>1</v>
      </c>
      <c r="D1228" s="4" t="n">
        <v>1</v>
      </c>
      <c r="E1228" s="4" t="s">
        <v>16</v>
      </c>
      <c r="F1228" s="3" t="s">
        <v>164</v>
      </c>
      <c r="G1228" s="3" t="s">
        <v>584</v>
      </c>
      <c r="H1228" s="3" t="s">
        <v>167</v>
      </c>
    </row>
    <row r="1229" customFormat="false" ht="15" hidden="false" customHeight="false" outlineLevel="0" collapsed="false">
      <c r="A1229" s="4" t="s">
        <v>58</v>
      </c>
      <c r="B1229" s="4" t="s">
        <v>31</v>
      </c>
      <c r="C1229" s="4" t="n">
        <v>2</v>
      </c>
      <c r="D1229" s="4" t="n">
        <v>1</v>
      </c>
      <c r="E1229" s="4" t="s">
        <v>21</v>
      </c>
      <c r="F1229" s="3" t="s">
        <v>15</v>
      </c>
      <c r="G1229" s="3" t="s">
        <v>581</v>
      </c>
      <c r="H1229" s="3" t="s">
        <v>303</v>
      </c>
    </row>
    <row r="1230" customFormat="false" ht="15" hidden="false" customHeight="false" outlineLevel="0" collapsed="false">
      <c r="A1230" s="4" t="s">
        <v>58</v>
      </c>
      <c r="B1230" s="4" t="s">
        <v>31</v>
      </c>
      <c r="C1230" s="4" t="n">
        <v>3</v>
      </c>
      <c r="D1230" s="4" t="n">
        <v>1</v>
      </c>
      <c r="E1230" s="4" t="s">
        <v>26</v>
      </c>
      <c r="F1230" s="3" t="s">
        <v>296</v>
      </c>
      <c r="G1230" s="3" t="s">
        <v>575</v>
      </c>
      <c r="H1230" s="3" t="s">
        <v>297</v>
      </c>
    </row>
    <row r="1231" customFormat="false" ht="15" hidden="false" customHeight="false" outlineLevel="0" collapsed="false">
      <c r="A1231" s="4" t="s">
        <v>58</v>
      </c>
      <c r="B1231" s="4" t="s">
        <v>31</v>
      </c>
      <c r="C1231" s="4" t="n">
        <v>4</v>
      </c>
      <c r="D1231" s="4" t="n">
        <v>1</v>
      </c>
      <c r="E1231" s="4" t="s">
        <v>34</v>
      </c>
      <c r="F1231" s="3" t="s">
        <v>101</v>
      </c>
      <c r="G1231" s="3" t="s">
        <v>582</v>
      </c>
      <c r="H1231" s="3" t="s">
        <v>111</v>
      </c>
    </row>
    <row r="1232" customFormat="false" ht="15" hidden="false" customHeight="false" outlineLevel="0" collapsed="false">
      <c r="A1232" s="4" t="s">
        <v>58</v>
      </c>
      <c r="B1232" s="4" t="s">
        <v>31</v>
      </c>
      <c r="C1232" s="4" t="n">
        <v>5</v>
      </c>
      <c r="D1232" s="4" t="n">
        <v>1</v>
      </c>
      <c r="E1232" s="4" t="s">
        <v>37</v>
      </c>
      <c r="F1232" s="3" t="s">
        <v>36</v>
      </c>
      <c r="G1232" s="3" t="s">
        <v>586</v>
      </c>
      <c r="H1232" s="3" t="s">
        <v>112</v>
      </c>
    </row>
    <row r="1233" customFormat="false" ht="15" hidden="false" customHeight="false" outlineLevel="0" collapsed="false">
      <c r="A1233" s="4" t="s">
        <v>58</v>
      </c>
      <c r="B1233" s="4" t="s">
        <v>31</v>
      </c>
      <c r="C1233" s="4" t="n">
        <v>6</v>
      </c>
      <c r="D1233" s="4" t="n">
        <v>1</v>
      </c>
      <c r="E1233" s="4" t="s">
        <v>42</v>
      </c>
      <c r="F1233" s="3" t="s">
        <v>239</v>
      </c>
      <c r="G1233" s="3" t="s">
        <v>587</v>
      </c>
      <c r="H1233" s="3" t="s">
        <v>238</v>
      </c>
    </row>
    <row r="1234" customFormat="false" ht="15" hidden="false" customHeight="false" outlineLevel="0" collapsed="false">
      <c r="A1234" s="4" t="s">
        <v>58</v>
      </c>
      <c r="B1234" s="4" t="s">
        <v>31</v>
      </c>
      <c r="C1234" s="4" t="n">
        <v>7</v>
      </c>
      <c r="D1234" s="4" t="n">
        <v>1</v>
      </c>
      <c r="E1234" s="4" t="s">
        <v>39</v>
      </c>
      <c r="F1234" s="3" t="s">
        <v>72</v>
      </c>
      <c r="G1234" s="3" t="s">
        <v>583</v>
      </c>
      <c r="H1234" s="3" t="s">
        <v>393</v>
      </c>
    </row>
    <row r="1235" customFormat="false" ht="15" hidden="false" customHeight="false" outlineLevel="0" collapsed="false">
      <c r="A1235" s="4" t="s">
        <v>58</v>
      </c>
      <c r="B1235" s="4" t="s">
        <v>40</v>
      </c>
      <c r="C1235" s="4" t="n">
        <v>1</v>
      </c>
      <c r="D1235" s="4" t="n">
        <v>1</v>
      </c>
      <c r="E1235" s="4" t="s">
        <v>16</v>
      </c>
      <c r="F1235" s="3" t="s">
        <v>164</v>
      </c>
      <c r="G1235" s="3" t="s">
        <v>584</v>
      </c>
      <c r="H1235" s="3" t="s">
        <v>170</v>
      </c>
    </row>
    <row r="1236" customFormat="false" ht="15" hidden="false" customHeight="false" outlineLevel="0" collapsed="false">
      <c r="A1236" s="4" t="s">
        <v>58</v>
      </c>
      <c r="B1236" s="4" t="s">
        <v>40</v>
      </c>
      <c r="C1236" s="4" t="n">
        <v>2</v>
      </c>
      <c r="D1236" s="4" t="n">
        <v>1</v>
      </c>
      <c r="E1236" s="4" t="s">
        <v>21</v>
      </c>
      <c r="F1236" s="3" t="s">
        <v>239</v>
      </c>
      <c r="G1236" s="3" t="s">
        <v>587</v>
      </c>
      <c r="H1236" s="3" t="s">
        <v>240</v>
      </c>
    </row>
    <row r="1237" customFormat="false" ht="15" hidden="false" customHeight="false" outlineLevel="0" collapsed="false">
      <c r="A1237" s="4" t="s">
        <v>58</v>
      </c>
      <c r="B1237" s="4" t="s">
        <v>40</v>
      </c>
      <c r="C1237" s="4" t="n">
        <v>3</v>
      </c>
      <c r="D1237" s="4" t="n">
        <v>1</v>
      </c>
      <c r="E1237" s="4" t="s">
        <v>26</v>
      </c>
      <c r="F1237" s="3" t="s">
        <v>296</v>
      </c>
      <c r="G1237" s="3" t="s">
        <v>575</v>
      </c>
      <c r="H1237" s="3" t="s">
        <v>297</v>
      </c>
    </row>
    <row r="1238" customFormat="false" ht="15" hidden="false" customHeight="false" outlineLevel="0" collapsed="false">
      <c r="A1238" s="4" t="s">
        <v>58</v>
      </c>
      <c r="B1238" s="4" t="s">
        <v>40</v>
      </c>
      <c r="C1238" s="4" t="n">
        <v>4</v>
      </c>
      <c r="D1238" s="4" t="n">
        <v>1</v>
      </c>
      <c r="E1238" s="4" t="s">
        <v>34</v>
      </c>
      <c r="F1238" s="3" t="s">
        <v>287</v>
      </c>
      <c r="G1238" s="3" t="s">
        <v>450</v>
      </c>
      <c r="H1238" s="3" t="s">
        <v>451</v>
      </c>
    </row>
    <row r="1239" customFormat="false" ht="15" hidden="false" customHeight="false" outlineLevel="0" collapsed="false">
      <c r="A1239" s="4" t="s">
        <v>58</v>
      </c>
      <c r="B1239" s="4" t="s">
        <v>40</v>
      </c>
      <c r="C1239" s="4" t="n">
        <v>5</v>
      </c>
      <c r="D1239" s="4" t="n">
        <v>1</v>
      </c>
      <c r="E1239" s="4" t="s">
        <v>37</v>
      </c>
      <c r="F1239" s="3" t="s">
        <v>15</v>
      </c>
      <c r="G1239" s="3" t="s">
        <v>581</v>
      </c>
      <c r="H1239" s="3" t="s">
        <v>304</v>
      </c>
    </row>
    <row r="1240" customFormat="false" ht="15" hidden="false" customHeight="false" outlineLevel="0" collapsed="false">
      <c r="A1240" s="4" t="s">
        <v>58</v>
      </c>
      <c r="B1240" s="4" t="s">
        <v>40</v>
      </c>
      <c r="C1240" s="4" t="n">
        <v>6</v>
      </c>
      <c r="D1240" s="4" t="n">
        <v>2</v>
      </c>
      <c r="E1240" s="4" t="s">
        <v>536</v>
      </c>
      <c r="F1240" s="3" t="s">
        <v>72</v>
      </c>
      <c r="G1240" s="3" t="s">
        <v>588</v>
      </c>
      <c r="H1240" s="3" t="s">
        <v>166</v>
      </c>
    </row>
    <row r="1241" customFormat="false" ht="15" hidden="false" customHeight="false" outlineLevel="0" collapsed="false">
      <c r="A1241" s="4" t="s">
        <v>58</v>
      </c>
      <c r="B1241" s="4" t="s">
        <v>44</v>
      </c>
      <c r="C1241" s="4" t="n">
        <v>1</v>
      </c>
      <c r="D1241" s="4" t="n">
        <v>1</v>
      </c>
      <c r="E1241" s="4" t="s">
        <v>16</v>
      </c>
      <c r="F1241" s="3" t="s">
        <v>15</v>
      </c>
      <c r="G1241" s="3" t="s">
        <v>581</v>
      </c>
      <c r="H1241" s="3" t="s">
        <v>305</v>
      </c>
    </row>
    <row r="1242" customFormat="false" ht="15" hidden="false" customHeight="false" outlineLevel="0" collapsed="false">
      <c r="A1242" s="4" t="s">
        <v>58</v>
      </c>
      <c r="B1242" s="4" t="s">
        <v>44</v>
      </c>
      <c r="C1242" s="4" t="n">
        <v>2</v>
      </c>
      <c r="D1242" s="4" t="n">
        <v>1</v>
      </c>
      <c r="E1242" s="4" t="s">
        <v>21</v>
      </c>
      <c r="F1242" s="3" t="s">
        <v>72</v>
      </c>
      <c r="G1242" s="3" t="s">
        <v>583</v>
      </c>
      <c r="H1242" s="3" t="s">
        <v>394</v>
      </c>
    </row>
    <row r="1243" customFormat="false" ht="15" hidden="false" customHeight="false" outlineLevel="0" collapsed="false">
      <c r="A1243" s="4" t="s">
        <v>58</v>
      </c>
      <c r="B1243" s="4" t="s">
        <v>44</v>
      </c>
      <c r="C1243" s="4" t="n">
        <v>3</v>
      </c>
      <c r="D1243" s="4" t="n">
        <v>1</v>
      </c>
      <c r="E1243" s="4" t="s">
        <v>26</v>
      </c>
      <c r="F1243" s="3" t="s">
        <v>164</v>
      </c>
      <c r="G1243" s="3" t="s">
        <v>584</v>
      </c>
      <c r="H1243" s="3" t="s">
        <v>173</v>
      </c>
    </row>
    <row r="1244" customFormat="false" ht="15" hidden="false" customHeight="false" outlineLevel="0" collapsed="false">
      <c r="A1244" s="4" t="s">
        <v>58</v>
      </c>
      <c r="B1244" s="4" t="s">
        <v>44</v>
      </c>
      <c r="C1244" s="4" t="n">
        <v>4</v>
      </c>
      <c r="D1244" s="4" t="n">
        <v>1</v>
      </c>
      <c r="E1244" s="4" t="s">
        <v>34</v>
      </c>
      <c r="F1244" s="3" t="s">
        <v>101</v>
      </c>
      <c r="G1244" s="3" t="s">
        <v>589</v>
      </c>
      <c r="H1244" s="3" t="s">
        <v>115</v>
      </c>
    </row>
    <row r="1245" customFormat="false" ht="15" hidden="false" customHeight="false" outlineLevel="0" collapsed="false">
      <c r="A1245" s="4" t="s">
        <v>58</v>
      </c>
      <c r="B1245" s="4" t="s">
        <v>44</v>
      </c>
      <c r="C1245" s="4" t="n">
        <v>5</v>
      </c>
      <c r="D1245" s="4" t="n">
        <v>1</v>
      </c>
      <c r="E1245" s="4" t="s">
        <v>37</v>
      </c>
      <c r="F1245" s="3" t="s">
        <v>36</v>
      </c>
      <c r="G1245" s="3" t="s">
        <v>586</v>
      </c>
      <c r="H1245" s="3" t="s">
        <v>112</v>
      </c>
    </row>
    <row r="1246" customFormat="false" ht="15" hidden="false" customHeight="false" outlineLevel="0" collapsed="false">
      <c r="A1246" s="4" t="s">
        <v>58</v>
      </c>
      <c r="B1246" s="4" t="s">
        <v>44</v>
      </c>
      <c r="C1246" s="4" t="n">
        <v>6</v>
      </c>
      <c r="D1246" s="4" t="n">
        <v>1</v>
      </c>
      <c r="E1246" s="4" t="s">
        <v>42</v>
      </c>
      <c r="F1246" s="3" t="s">
        <v>296</v>
      </c>
      <c r="G1246" s="3" t="s">
        <v>575</v>
      </c>
      <c r="H1246" s="3" t="s">
        <v>297</v>
      </c>
    </row>
    <row r="1247" customFormat="false" ht="15" hidden="false" customHeight="false" outlineLevel="0" collapsed="false">
      <c r="A1247" s="4" t="s">
        <v>58</v>
      </c>
      <c r="B1247" s="4" t="s">
        <v>44</v>
      </c>
      <c r="C1247" s="4" t="n">
        <v>7</v>
      </c>
      <c r="D1247" s="4" t="n">
        <v>1</v>
      </c>
      <c r="E1247" s="4" t="s">
        <v>39</v>
      </c>
      <c r="F1247" s="3" t="s">
        <v>239</v>
      </c>
      <c r="G1247" s="3" t="s">
        <v>587</v>
      </c>
      <c r="H1247" s="3" t="s">
        <v>243</v>
      </c>
    </row>
    <row r="1248" customFormat="false" ht="15" hidden="false" customHeight="false" outlineLevel="0" collapsed="false">
      <c r="A1248" s="4" t="s">
        <v>58</v>
      </c>
      <c r="B1248" s="4" t="s">
        <v>47</v>
      </c>
      <c r="C1248" s="4" t="n">
        <v>1</v>
      </c>
      <c r="D1248" s="4" t="n">
        <v>1</v>
      </c>
      <c r="E1248" s="4" t="s">
        <v>16</v>
      </c>
      <c r="F1248" s="3" t="s">
        <v>72</v>
      </c>
      <c r="G1248" s="3" t="s">
        <v>583</v>
      </c>
      <c r="H1248" s="3" t="s">
        <v>394</v>
      </c>
    </row>
    <row r="1249" customFormat="false" ht="15" hidden="false" customHeight="false" outlineLevel="0" collapsed="false">
      <c r="A1249" s="4" t="s">
        <v>58</v>
      </c>
      <c r="B1249" s="4" t="s">
        <v>47</v>
      </c>
      <c r="C1249" s="4" t="n">
        <v>2</v>
      </c>
      <c r="D1249" s="4" t="n">
        <v>1</v>
      </c>
      <c r="E1249" s="4" t="s">
        <v>21</v>
      </c>
      <c r="F1249" s="3" t="s">
        <v>15</v>
      </c>
      <c r="G1249" s="3" t="s">
        <v>581</v>
      </c>
      <c r="H1249" s="3" t="s">
        <v>306</v>
      </c>
    </row>
    <row r="1250" customFormat="false" ht="15" hidden="false" customHeight="false" outlineLevel="0" collapsed="false">
      <c r="A1250" s="4" t="s">
        <v>58</v>
      </c>
      <c r="B1250" s="4" t="s">
        <v>47</v>
      </c>
      <c r="C1250" s="4" t="n">
        <v>3</v>
      </c>
      <c r="D1250" s="4" t="n">
        <v>1</v>
      </c>
      <c r="E1250" s="4" t="s">
        <v>26</v>
      </c>
      <c r="F1250" s="3" t="s">
        <v>164</v>
      </c>
      <c r="G1250" s="3" t="s">
        <v>584</v>
      </c>
      <c r="H1250" s="3" t="s">
        <v>175</v>
      </c>
    </row>
    <row r="1251" customFormat="false" ht="15" hidden="false" customHeight="false" outlineLevel="0" collapsed="false">
      <c r="A1251" s="4" t="s">
        <v>58</v>
      </c>
      <c r="B1251" s="4" t="s">
        <v>47</v>
      </c>
      <c r="C1251" s="4" t="n">
        <v>4</v>
      </c>
      <c r="D1251" s="4" t="n">
        <v>2</v>
      </c>
      <c r="E1251" s="4" t="s">
        <v>533</v>
      </c>
      <c r="F1251" s="3" t="s">
        <v>388</v>
      </c>
      <c r="G1251" s="3" t="s">
        <v>590</v>
      </c>
      <c r="H1251" s="3" t="s">
        <v>387</v>
      </c>
    </row>
    <row r="1252" customFormat="false" ht="15" hidden="false" customHeight="false" outlineLevel="0" collapsed="false">
      <c r="A1252" s="4" t="s">
        <v>58</v>
      </c>
      <c r="B1252" s="4" t="s">
        <v>47</v>
      </c>
      <c r="C1252" s="4" t="n">
        <v>6</v>
      </c>
      <c r="D1252" s="4" t="n">
        <v>1</v>
      </c>
      <c r="E1252" s="4" t="s">
        <v>42</v>
      </c>
      <c r="F1252" s="3" t="s">
        <v>101</v>
      </c>
      <c r="G1252" s="3" t="s">
        <v>582</v>
      </c>
      <c r="H1252" s="3" t="s">
        <v>117</v>
      </c>
    </row>
    <row r="1253" customFormat="false" ht="15" hidden="false" customHeight="false" outlineLevel="0" collapsed="false">
      <c r="A1253" s="4" t="s">
        <v>58</v>
      </c>
      <c r="B1253" s="4" t="s">
        <v>47</v>
      </c>
      <c r="C1253" s="4" t="n">
        <v>7</v>
      </c>
      <c r="D1253" s="4" t="n">
        <v>1</v>
      </c>
      <c r="E1253" s="4" t="s">
        <v>39</v>
      </c>
      <c r="F1253" s="3" t="s">
        <v>239</v>
      </c>
      <c r="G1253" s="3" t="s">
        <v>587</v>
      </c>
      <c r="H1253" s="3" t="s">
        <v>244</v>
      </c>
    </row>
    <row r="1254" customFormat="false" ht="15" hidden="false" customHeight="false" outlineLevel="0" collapsed="false">
      <c r="A1254" s="4" t="s">
        <v>58</v>
      </c>
      <c r="B1254" s="4" t="s">
        <v>50</v>
      </c>
      <c r="C1254" s="4" t="n">
        <v>1</v>
      </c>
      <c r="D1254" s="4" t="n">
        <v>1</v>
      </c>
      <c r="E1254" s="4" t="s">
        <v>16</v>
      </c>
      <c r="F1254" s="3" t="s">
        <v>296</v>
      </c>
      <c r="G1254" s="3" t="s">
        <v>575</v>
      </c>
      <c r="H1254" s="3" t="s">
        <v>297</v>
      </c>
    </row>
    <row r="1255" customFormat="false" ht="15" hidden="false" customHeight="false" outlineLevel="0" collapsed="false">
      <c r="A1255" s="4" t="s">
        <v>58</v>
      </c>
      <c r="B1255" s="4" t="s">
        <v>50</v>
      </c>
      <c r="C1255" s="4" t="n">
        <v>2</v>
      </c>
      <c r="D1255" s="4" t="n">
        <v>1</v>
      </c>
      <c r="E1255" s="4" t="s">
        <v>21</v>
      </c>
      <c r="F1255" s="3" t="s">
        <v>15</v>
      </c>
      <c r="G1255" s="3" t="s">
        <v>581</v>
      </c>
      <c r="H1255" s="3" t="s">
        <v>307</v>
      </c>
    </row>
    <row r="1256" customFormat="false" ht="15" hidden="false" customHeight="false" outlineLevel="0" collapsed="false">
      <c r="A1256" s="4" t="s">
        <v>58</v>
      </c>
      <c r="B1256" s="4" t="s">
        <v>50</v>
      </c>
      <c r="C1256" s="4" t="n">
        <v>3</v>
      </c>
      <c r="D1256" s="4" t="n">
        <v>1</v>
      </c>
      <c r="E1256" s="4" t="s">
        <v>26</v>
      </c>
      <c r="F1256" s="3" t="s">
        <v>101</v>
      </c>
      <c r="G1256" s="3" t="s">
        <v>589</v>
      </c>
      <c r="H1256" s="3" t="s">
        <v>115</v>
      </c>
    </row>
    <row r="1257" customFormat="false" ht="15" hidden="false" customHeight="false" outlineLevel="0" collapsed="false">
      <c r="A1257" s="4" t="s">
        <v>58</v>
      </c>
      <c r="B1257" s="4" t="s">
        <v>50</v>
      </c>
      <c r="C1257" s="4" t="n">
        <v>4</v>
      </c>
      <c r="D1257" s="4" t="n">
        <v>1</v>
      </c>
      <c r="E1257" s="4" t="s">
        <v>34</v>
      </c>
      <c r="F1257" s="3" t="s">
        <v>72</v>
      </c>
      <c r="G1257" s="3" t="s">
        <v>583</v>
      </c>
      <c r="H1257" s="3" t="s">
        <v>396</v>
      </c>
    </row>
    <row r="1258" customFormat="false" ht="15" hidden="false" customHeight="false" outlineLevel="0" collapsed="false">
      <c r="A1258" s="4" t="s">
        <v>58</v>
      </c>
      <c r="B1258" s="4" t="s">
        <v>50</v>
      </c>
      <c r="C1258" s="4" t="n">
        <v>5</v>
      </c>
      <c r="D1258" s="4" t="n">
        <v>1</v>
      </c>
      <c r="E1258" s="4" t="s">
        <v>37</v>
      </c>
      <c r="F1258" s="3" t="s">
        <v>164</v>
      </c>
      <c r="G1258" s="3" t="s">
        <v>584</v>
      </c>
      <c r="H1258" s="3" t="s">
        <v>166</v>
      </c>
    </row>
    <row r="1259" customFormat="false" ht="15" hidden="false" customHeight="false" outlineLevel="0" collapsed="false">
      <c r="A1259" s="4" t="s">
        <v>58</v>
      </c>
      <c r="B1259" s="4" t="s">
        <v>50</v>
      </c>
      <c r="C1259" s="4" t="n">
        <v>6</v>
      </c>
      <c r="D1259" s="4" t="n">
        <v>2</v>
      </c>
      <c r="E1259" s="4" t="s">
        <v>536</v>
      </c>
      <c r="F1259" s="3" t="s">
        <v>54</v>
      </c>
      <c r="G1259" s="3" t="s">
        <v>591</v>
      </c>
      <c r="H1259" s="3" t="s">
        <v>53</v>
      </c>
    </row>
    <row r="1260" customFormat="false" ht="15" hidden="false" customHeight="false" outlineLevel="0" collapsed="false">
      <c r="A1260" s="4" t="s">
        <v>58</v>
      </c>
      <c r="B1260" s="4" t="s">
        <v>60</v>
      </c>
      <c r="C1260" s="4" t="n">
        <v>1</v>
      </c>
      <c r="D1260" s="4" t="n">
        <v>1</v>
      </c>
      <c r="E1260" s="4" t="s">
        <v>16</v>
      </c>
      <c r="F1260" s="3" t="s">
        <v>164</v>
      </c>
      <c r="G1260" s="3" t="s">
        <v>584</v>
      </c>
      <c r="H1260" s="3" t="s">
        <v>178</v>
      </c>
    </row>
    <row r="1261" customFormat="false" ht="15" hidden="false" customHeight="false" outlineLevel="0" collapsed="false">
      <c r="A1261" s="4" t="s">
        <v>58</v>
      </c>
      <c r="B1261" s="4" t="s">
        <v>60</v>
      </c>
      <c r="C1261" s="4" t="n">
        <v>2</v>
      </c>
      <c r="D1261" s="4" t="n">
        <v>1</v>
      </c>
      <c r="E1261" s="4" t="s">
        <v>21</v>
      </c>
      <c r="F1261" s="3" t="s">
        <v>239</v>
      </c>
      <c r="G1261" s="3" t="s">
        <v>587</v>
      </c>
      <c r="H1261" s="3" t="s">
        <v>248</v>
      </c>
    </row>
    <row r="1262" customFormat="false" ht="15" hidden="false" customHeight="false" outlineLevel="0" collapsed="false">
      <c r="A1262" s="4" t="s">
        <v>58</v>
      </c>
      <c r="B1262" s="4" t="s">
        <v>60</v>
      </c>
      <c r="C1262" s="4" t="n">
        <v>3</v>
      </c>
      <c r="D1262" s="4" t="n">
        <v>1</v>
      </c>
      <c r="E1262" s="4" t="s">
        <v>26</v>
      </c>
      <c r="F1262" s="3" t="s">
        <v>15</v>
      </c>
      <c r="G1262" s="3" t="s">
        <v>581</v>
      </c>
      <c r="H1262" s="3" t="s">
        <v>306</v>
      </c>
    </row>
    <row r="1263" customFormat="false" ht="15" hidden="false" customHeight="false" outlineLevel="0" collapsed="false">
      <c r="A1263" s="4" t="s">
        <v>58</v>
      </c>
      <c r="B1263" s="4" t="s">
        <v>60</v>
      </c>
      <c r="C1263" s="4" t="n">
        <v>4</v>
      </c>
      <c r="D1263" s="4" t="n">
        <v>1</v>
      </c>
      <c r="E1263" s="4" t="s">
        <v>34</v>
      </c>
      <c r="F1263" s="3" t="s">
        <v>101</v>
      </c>
      <c r="G1263" s="3" t="s">
        <v>582</v>
      </c>
      <c r="H1263" s="3" t="s">
        <v>119</v>
      </c>
    </row>
    <row r="1264" customFormat="false" ht="15" hidden="false" customHeight="false" outlineLevel="0" collapsed="false">
      <c r="A1264" s="4" t="s">
        <v>58</v>
      </c>
      <c r="B1264" s="4" t="s">
        <v>60</v>
      </c>
      <c r="C1264" s="4" t="n">
        <v>5</v>
      </c>
      <c r="D1264" s="4" t="n">
        <v>1</v>
      </c>
      <c r="E1264" s="4" t="s">
        <v>37</v>
      </c>
      <c r="F1264" s="3" t="s">
        <v>36</v>
      </c>
      <c r="G1264" s="3" t="s">
        <v>586</v>
      </c>
      <c r="H1264" s="3" t="s">
        <v>112</v>
      </c>
    </row>
    <row r="1265" customFormat="false" ht="15" hidden="false" customHeight="false" outlineLevel="0" collapsed="false">
      <c r="A1265" s="4" t="s">
        <v>58</v>
      </c>
      <c r="B1265" s="4" t="s">
        <v>60</v>
      </c>
      <c r="C1265" s="4" t="n">
        <v>6</v>
      </c>
      <c r="D1265" s="4" t="n">
        <v>1</v>
      </c>
      <c r="E1265" s="4" t="s">
        <v>42</v>
      </c>
      <c r="F1265" s="3" t="s">
        <v>72</v>
      </c>
      <c r="G1265" s="3" t="s">
        <v>583</v>
      </c>
      <c r="H1265" s="3" t="s">
        <v>397</v>
      </c>
    </row>
    <row r="1266" customFormat="false" ht="15" hidden="false" customHeight="false" outlineLevel="0" collapsed="false">
      <c r="A1266" s="4" t="s">
        <v>58</v>
      </c>
      <c r="B1266" s="4" t="s">
        <v>60</v>
      </c>
      <c r="C1266" s="4" t="n">
        <v>7</v>
      </c>
      <c r="D1266" s="4" t="n">
        <v>1</v>
      </c>
      <c r="E1266" s="4" t="s">
        <v>39</v>
      </c>
      <c r="F1266" s="3" t="s">
        <v>296</v>
      </c>
      <c r="G1266" s="3" t="s">
        <v>575</v>
      </c>
      <c r="H1266" s="3" t="s">
        <v>297</v>
      </c>
    </row>
    <row r="1267" customFormat="false" ht="15" hidden="false" customHeight="false" outlineLevel="0" collapsed="false">
      <c r="A1267" s="4" t="s">
        <v>58</v>
      </c>
      <c r="B1267" s="4" t="s">
        <v>63</v>
      </c>
      <c r="C1267" s="4" t="n">
        <v>1</v>
      </c>
      <c r="D1267" s="4" t="n">
        <v>2</v>
      </c>
      <c r="E1267" s="4" t="s">
        <v>539</v>
      </c>
      <c r="F1267" s="3" t="s">
        <v>164</v>
      </c>
      <c r="G1267" s="3" t="s">
        <v>584</v>
      </c>
      <c r="H1267" s="3" t="s">
        <v>179</v>
      </c>
    </row>
    <row r="1268" customFormat="false" ht="15" hidden="false" customHeight="false" outlineLevel="0" collapsed="false">
      <c r="A1268" s="4" t="s">
        <v>58</v>
      </c>
      <c r="B1268" s="4" t="s">
        <v>63</v>
      </c>
      <c r="C1268" s="4" t="n">
        <v>3</v>
      </c>
      <c r="D1268" s="4" t="n">
        <v>1</v>
      </c>
      <c r="E1268" s="4" t="s">
        <v>26</v>
      </c>
      <c r="F1268" s="3" t="s">
        <v>287</v>
      </c>
      <c r="G1268" s="3" t="s">
        <v>450</v>
      </c>
      <c r="H1268" s="3" t="s">
        <v>451</v>
      </c>
    </row>
    <row r="1269" customFormat="false" ht="15" hidden="false" customHeight="false" outlineLevel="0" collapsed="false">
      <c r="A1269" s="4" t="s">
        <v>58</v>
      </c>
      <c r="B1269" s="4" t="s">
        <v>63</v>
      </c>
      <c r="C1269" s="4" t="n">
        <v>4</v>
      </c>
      <c r="D1269" s="4" t="n">
        <v>1</v>
      </c>
      <c r="E1269" s="4" t="s">
        <v>34</v>
      </c>
      <c r="F1269" s="3" t="s">
        <v>296</v>
      </c>
      <c r="G1269" s="3" t="s">
        <v>575</v>
      </c>
      <c r="H1269" s="3" t="s">
        <v>297</v>
      </c>
    </row>
    <row r="1270" customFormat="false" ht="15" hidden="false" customHeight="false" outlineLevel="0" collapsed="false">
      <c r="A1270" s="4" t="s">
        <v>58</v>
      </c>
      <c r="B1270" s="4" t="s">
        <v>63</v>
      </c>
      <c r="C1270" s="4" t="n">
        <v>5</v>
      </c>
      <c r="D1270" s="4" t="n">
        <v>1</v>
      </c>
      <c r="E1270" s="4" t="s">
        <v>37</v>
      </c>
      <c r="F1270" s="3" t="s">
        <v>72</v>
      </c>
      <c r="G1270" s="3" t="s">
        <v>583</v>
      </c>
      <c r="H1270" s="3" t="s">
        <v>183</v>
      </c>
    </row>
    <row r="1271" customFormat="false" ht="15" hidden="false" customHeight="false" outlineLevel="0" collapsed="false">
      <c r="A1271" s="4" t="s">
        <v>58</v>
      </c>
      <c r="B1271" s="4" t="s">
        <v>63</v>
      </c>
      <c r="C1271" s="4" t="n">
        <v>6</v>
      </c>
      <c r="D1271" s="4" t="n">
        <v>1</v>
      </c>
      <c r="E1271" s="4" t="s">
        <v>42</v>
      </c>
      <c r="F1271" s="3" t="s">
        <v>239</v>
      </c>
      <c r="G1271" s="3" t="s">
        <v>587</v>
      </c>
      <c r="H1271" s="3" t="s">
        <v>249</v>
      </c>
    </row>
    <row r="1272" customFormat="false" ht="15" hidden="false" customHeight="false" outlineLevel="0" collapsed="false">
      <c r="A1272" s="4" t="s">
        <v>58</v>
      </c>
      <c r="B1272" s="4" t="s">
        <v>63</v>
      </c>
      <c r="C1272" s="4" t="n">
        <v>7</v>
      </c>
      <c r="D1272" s="4" t="n">
        <v>1</v>
      </c>
      <c r="E1272" s="4" t="s">
        <v>39</v>
      </c>
      <c r="F1272" s="3" t="s">
        <v>15</v>
      </c>
      <c r="G1272" s="3" t="s">
        <v>581</v>
      </c>
      <c r="H1272" s="3" t="s">
        <v>304</v>
      </c>
    </row>
    <row r="1273" customFormat="false" ht="15" hidden="false" customHeight="false" outlineLevel="0" collapsed="false">
      <c r="A1273" s="4" t="s">
        <v>58</v>
      </c>
      <c r="B1273" s="4" t="s">
        <v>65</v>
      </c>
      <c r="C1273" s="4" t="n">
        <v>1</v>
      </c>
      <c r="D1273" s="4" t="n">
        <v>1</v>
      </c>
      <c r="E1273" s="4" t="s">
        <v>16</v>
      </c>
      <c r="F1273" s="3" t="s">
        <v>296</v>
      </c>
      <c r="G1273" s="3" t="s">
        <v>575</v>
      </c>
      <c r="H1273" s="3" t="s">
        <v>297</v>
      </c>
    </row>
    <row r="1274" customFormat="false" ht="15" hidden="false" customHeight="false" outlineLevel="0" collapsed="false">
      <c r="A1274" s="4" t="s">
        <v>58</v>
      </c>
      <c r="B1274" s="4" t="s">
        <v>65</v>
      </c>
      <c r="C1274" s="4" t="n">
        <v>2</v>
      </c>
      <c r="D1274" s="4" t="n">
        <v>1</v>
      </c>
      <c r="E1274" s="4" t="s">
        <v>21</v>
      </c>
      <c r="F1274" s="3" t="s">
        <v>72</v>
      </c>
      <c r="G1274" s="3" t="s">
        <v>583</v>
      </c>
      <c r="H1274" s="3" t="s">
        <v>166</v>
      </c>
    </row>
    <row r="1275" customFormat="false" ht="15" hidden="false" customHeight="false" outlineLevel="0" collapsed="false">
      <c r="A1275" s="4" t="s">
        <v>58</v>
      </c>
      <c r="B1275" s="4" t="s">
        <v>65</v>
      </c>
      <c r="C1275" s="4" t="n">
        <v>3</v>
      </c>
      <c r="D1275" s="4" t="n">
        <v>1</v>
      </c>
      <c r="E1275" s="4" t="s">
        <v>26</v>
      </c>
      <c r="F1275" s="3" t="s">
        <v>101</v>
      </c>
      <c r="G1275" s="3" t="s">
        <v>589</v>
      </c>
      <c r="H1275" s="3" t="s">
        <v>121</v>
      </c>
    </row>
    <row r="1276" customFormat="false" ht="15" hidden="false" customHeight="false" outlineLevel="0" collapsed="false">
      <c r="A1276" s="4" t="s">
        <v>58</v>
      </c>
      <c r="B1276" s="4" t="s">
        <v>65</v>
      </c>
      <c r="C1276" s="4" t="n">
        <v>4</v>
      </c>
      <c r="D1276" s="4" t="n">
        <v>1</v>
      </c>
      <c r="E1276" s="4" t="s">
        <v>34</v>
      </c>
      <c r="F1276" s="3" t="s">
        <v>15</v>
      </c>
      <c r="G1276" s="3" t="s">
        <v>581</v>
      </c>
      <c r="H1276" s="3" t="s">
        <v>306</v>
      </c>
    </row>
    <row r="1277" customFormat="false" ht="15" hidden="false" customHeight="false" outlineLevel="0" collapsed="false">
      <c r="A1277" s="4" t="s">
        <v>58</v>
      </c>
      <c r="B1277" s="4" t="s">
        <v>65</v>
      </c>
      <c r="C1277" s="4" t="n">
        <v>5</v>
      </c>
      <c r="D1277" s="4" t="n">
        <v>1</v>
      </c>
      <c r="E1277" s="4" t="s">
        <v>37</v>
      </c>
      <c r="F1277" s="3" t="s">
        <v>36</v>
      </c>
      <c r="G1277" s="3" t="s">
        <v>586</v>
      </c>
      <c r="H1277" s="3" t="s">
        <v>112</v>
      </c>
    </row>
    <row r="1278" customFormat="false" ht="15" hidden="false" customHeight="false" outlineLevel="0" collapsed="false">
      <c r="A1278" s="4" t="s">
        <v>58</v>
      </c>
      <c r="B1278" s="4" t="s">
        <v>65</v>
      </c>
      <c r="C1278" s="4" t="n">
        <v>6</v>
      </c>
      <c r="D1278" s="4" t="n">
        <v>1</v>
      </c>
      <c r="E1278" s="4" t="s">
        <v>42</v>
      </c>
      <c r="F1278" s="3" t="s">
        <v>164</v>
      </c>
      <c r="G1278" s="3" t="s">
        <v>584</v>
      </c>
      <c r="H1278" s="3" t="s">
        <v>178</v>
      </c>
    </row>
    <row r="1279" customFormat="false" ht="15" hidden="false" customHeight="false" outlineLevel="0" collapsed="false">
      <c r="A1279" s="4" t="s">
        <v>58</v>
      </c>
      <c r="B1279" s="4" t="s">
        <v>65</v>
      </c>
      <c r="C1279" s="4" t="n">
        <v>7</v>
      </c>
      <c r="D1279" s="4" t="n">
        <v>1</v>
      </c>
      <c r="E1279" s="4" t="s">
        <v>39</v>
      </c>
      <c r="F1279" s="3" t="s">
        <v>239</v>
      </c>
      <c r="G1279" s="3" t="s">
        <v>587</v>
      </c>
      <c r="H1279" s="3" t="s">
        <v>251</v>
      </c>
    </row>
    <row r="1280" customFormat="false" ht="15" hidden="false" customHeight="false" outlineLevel="0" collapsed="false">
      <c r="A1280" s="4" t="s">
        <v>58</v>
      </c>
      <c r="B1280" s="4" t="s">
        <v>66</v>
      </c>
      <c r="C1280" s="4" t="n">
        <v>1</v>
      </c>
      <c r="D1280" s="4" t="n">
        <v>1</v>
      </c>
      <c r="E1280" s="4" t="s">
        <v>16</v>
      </c>
      <c r="F1280" s="3" t="s">
        <v>239</v>
      </c>
      <c r="G1280" s="3" t="s">
        <v>587</v>
      </c>
      <c r="H1280" s="3" t="s">
        <v>252</v>
      </c>
    </row>
    <row r="1281" customFormat="false" ht="15" hidden="false" customHeight="false" outlineLevel="0" collapsed="false">
      <c r="A1281" s="4" t="s">
        <v>58</v>
      </c>
      <c r="B1281" s="4" t="s">
        <v>66</v>
      </c>
      <c r="C1281" s="4" t="n">
        <v>2</v>
      </c>
      <c r="D1281" s="4" t="n">
        <v>1</v>
      </c>
      <c r="E1281" s="4" t="s">
        <v>21</v>
      </c>
      <c r="F1281" s="3" t="s">
        <v>287</v>
      </c>
      <c r="G1281" s="3" t="s">
        <v>450</v>
      </c>
      <c r="H1281" s="3" t="s">
        <v>451</v>
      </c>
    </row>
    <row r="1282" customFormat="false" ht="15" hidden="false" customHeight="false" outlineLevel="0" collapsed="false">
      <c r="A1282" s="4" t="s">
        <v>58</v>
      </c>
      <c r="B1282" s="4" t="s">
        <v>66</v>
      </c>
      <c r="C1282" s="4" t="n">
        <v>3</v>
      </c>
      <c r="D1282" s="4" t="n">
        <v>1</v>
      </c>
      <c r="E1282" s="4" t="s">
        <v>26</v>
      </c>
      <c r="F1282" s="3" t="s">
        <v>296</v>
      </c>
      <c r="G1282" s="3" t="s">
        <v>575</v>
      </c>
      <c r="H1282" s="3" t="s">
        <v>297</v>
      </c>
    </row>
    <row r="1283" customFormat="false" ht="15" hidden="false" customHeight="false" outlineLevel="0" collapsed="false">
      <c r="A1283" s="4" t="s">
        <v>58</v>
      </c>
      <c r="B1283" s="4" t="s">
        <v>66</v>
      </c>
      <c r="C1283" s="4" t="n">
        <v>4</v>
      </c>
      <c r="D1283" s="4" t="n">
        <v>1</v>
      </c>
      <c r="E1283" s="4" t="s">
        <v>34</v>
      </c>
      <c r="F1283" s="3" t="s">
        <v>72</v>
      </c>
      <c r="G1283" s="3" t="s">
        <v>583</v>
      </c>
      <c r="H1283" s="3" t="s">
        <v>399</v>
      </c>
    </row>
    <row r="1284" customFormat="false" ht="15" hidden="false" customHeight="false" outlineLevel="0" collapsed="false">
      <c r="A1284" s="4" t="s">
        <v>58</v>
      </c>
      <c r="B1284" s="4" t="s">
        <v>66</v>
      </c>
      <c r="C1284" s="4" t="n">
        <v>5</v>
      </c>
      <c r="D1284" s="4" t="n">
        <v>1</v>
      </c>
      <c r="E1284" s="4" t="s">
        <v>37</v>
      </c>
      <c r="F1284" s="3" t="s">
        <v>101</v>
      </c>
      <c r="G1284" s="3" t="s">
        <v>582</v>
      </c>
      <c r="H1284" s="3" t="s">
        <v>122</v>
      </c>
    </row>
    <row r="1285" customFormat="false" ht="15" hidden="false" customHeight="false" outlineLevel="0" collapsed="false">
      <c r="A1285" s="4" t="s">
        <v>58</v>
      </c>
      <c r="B1285" s="4" t="s">
        <v>66</v>
      </c>
      <c r="C1285" s="4" t="n">
        <v>6</v>
      </c>
      <c r="D1285" s="4" t="n">
        <v>1</v>
      </c>
      <c r="E1285" s="4" t="s">
        <v>42</v>
      </c>
      <c r="F1285" s="3" t="s">
        <v>15</v>
      </c>
      <c r="G1285" s="3" t="s">
        <v>581</v>
      </c>
      <c r="H1285" s="3" t="s">
        <v>306</v>
      </c>
    </row>
    <row r="1286" customFormat="false" ht="15" hidden="false" customHeight="false" outlineLevel="0" collapsed="false">
      <c r="A1286" s="4" t="s">
        <v>58</v>
      </c>
      <c r="B1286" s="4" t="s">
        <v>66</v>
      </c>
      <c r="C1286" s="4" t="n">
        <v>7</v>
      </c>
      <c r="D1286" s="4" t="n">
        <v>1</v>
      </c>
      <c r="E1286" s="4" t="s">
        <v>39</v>
      </c>
      <c r="F1286" s="3" t="s">
        <v>164</v>
      </c>
      <c r="G1286" s="3" t="s">
        <v>584</v>
      </c>
      <c r="H1286" s="3" t="s">
        <v>183</v>
      </c>
    </row>
    <row r="1287" customFormat="false" ht="15" hidden="false" customHeight="false" outlineLevel="0" collapsed="false">
      <c r="A1287" s="4" t="s">
        <v>59</v>
      </c>
      <c r="B1287" s="4" t="s">
        <v>12</v>
      </c>
      <c r="C1287" s="4" t="n">
        <v>1</v>
      </c>
      <c r="D1287" s="4" t="n">
        <v>1</v>
      </c>
      <c r="E1287" s="4" t="s">
        <v>16</v>
      </c>
      <c r="F1287" s="3" t="s">
        <v>15</v>
      </c>
      <c r="G1287" s="3" t="s">
        <v>581</v>
      </c>
      <c r="H1287" s="3" t="s">
        <v>301</v>
      </c>
    </row>
    <row r="1288" customFormat="false" ht="15" hidden="false" customHeight="false" outlineLevel="0" collapsed="false">
      <c r="A1288" s="4" t="s">
        <v>59</v>
      </c>
      <c r="B1288" s="4" t="s">
        <v>12</v>
      </c>
      <c r="C1288" s="4" t="n">
        <v>2</v>
      </c>
      <c r="D1288" s="4" t="n">
        <v>1</v>
      </c>
      <c r="E1288" s="4" t="s">
        <v>21</v>
      </c>
      <c r="F1288" s="3" t="s">
        <v>486</v>
      </c>
      <c r="G1288" s="3" t="s">
        <v>487</v>
      </c>
      <c r="H1288" s="3" t="s">
        <v>488</v>
      </c>
    </row>
    <row r="1289" customFormat="false" ht="15" hidden="false" customHeight="false" outlineLevel="0" collapsed="false">
      <c r="A1289" s="4" t="s">
        <v>59</v>
      </c>
      <c r="B1289" s="4" t="s">
        <v>12</v>
      </c>
      <c r="C1289" s="4" t="n">
        <v>3</v>
      </c>
      <c r="D1289" s="4" t="n">
        <v>1</v>
      </c>
      <c r="E1289" s="4" t="s">
        <v>26</v>
      </c>
      <c r="F1289" s="3" t="s">
        <v>101</v>
      </c>
      <c r="G1289" s="3" t="s">
        <v>582</v>
      </c>
      <c r="H1289" s="3" t="s">
        <v>100</v>
      </c>
    </row>
    <row r="1290" customFormat="false" ht="15" hidden="false" customHeight="false" outlineLevel="0" collapsed="false">
      <c r="A1290" s="4" t="s">
        <v>59</v>
      </c>
      <c r="B1290" s="4" t="s">
        <v>12</v>
      </c>
      <c r="C1290" s="4" t="n">
        <v>4</v>
      </c>
      <c r="D1290" s="4" t="n">
        <v>1</v>
      </c>
      <c r="E1290" s="4" t="s">
        <v>34</v>
      </c>
      <c r="F1290" s="3" t="s">
        <v>72</v>
      </c>
      <c r="G1290" s="3" t="s">
        <v>583</v>
      </c>
      <c r="H1290" s="3" t="s">
        <v>393</v>
      </c>
    </row>
    <row r="1291" customFormat="false" ht="15" hidden="false" customHeight="false" outlineLevel="0" collapsed="false">
      <c r="A1291" s="4" t="s">
        <v>59</v>
      </c>
      <c r="B1291" s="4" t="s">
        <v>12</v>
      </c>
      <c r="C1291" s="4" t="n">
        <v>5</v>
      </c>
      <c r="D1291" s="4" t="n">
        <v>1</v>
      </c>
      <c r="E1291" s="4" t="s">
        <v>37</v>
      </c>
      <c r="F1291" s="3" t="s">
        <v>164</v>
      </c>
      <c r="G1291" s="3" t="s">
        <v>584</v>
      </c>
      <c r="H1291" s="3" t="s">
        <v>166</v>
      </c>
    </row>
    <row r="1292" customFormat="false" ht="15" hidden="false" customHeight="false" outlineLevel="0" collapsed="false">
      <c r="A1292" s="4" t="s">
        <v>59</v>
      </c>
      <c r="B1292" s="4" t="s">
        <v>12</v>
      </c>
      <c r="C1292" s="4" t="n">
        <v>6</v>
      </c>
      <c r="D1292" s="4" t="n">
        <v>2</v>
      </c>
      <c r="E1292" s="4" t="s">
        <v>536</v>
      </c>
      <c r="F1292" s="3" t="s">
        <v>358</v>
      </c>
      <c r="G1292" s="3" t="s">
        <v>585</v>
      </c>
      <c r="H1292" s="3" t="s">
        <v>357</v>
      </c>
    </row>
    <row r="1293" customFormat="false" ht="15" hidden="false" customHeight="false" outlineLevel="0" collapsed="false">
      <c r="A1293" s="4" t="s">
        <v>59</v>
      </c>
      <c r="B1293" s="4" t="s">
        <v>31</v>
      </c>
      <c r="C1293" s="4" t="n">
        <v>1</v>
      </c>
      <c r="D1293" s="4" t="n">
        <v>1</v>
      </c>
      <c r="E1293" s="4" t="s">
        <v>16</v>
      </c>
      <c r="F1293" s="3" t="s">
        <v>164</v>
      </c>
      <c r="G1293" s="3" t="s">
        <v>584</v>
      </c>
      <c r="H1293" s="3" t="s">
        <v>167</v>
      </c>
    </row>
    <row r="1294" customFormat="false" ht="15" hidden="false" customHeight="false" outlineLevel="0" collapsed="false">
      <c r="A1294" s="4" t="s">
        <v>59</v>
      </c>
      <c r="B1294" s="4" t="s">
        <v>31</v>
      </c>
      <c r="C1294" s="4" t="n">
        <v>2</v>
      </c>
      <c r="D1294" s="4" t="n">
        <v>1</v>
      </c>
      <c r="E1294" s="4" t="s">
        <v>21</v>
      </c>
      <c r="F1294" s="3" t="s">
        <v>15</v>
      </c>
      <c r="G1294" s="3" t="s">
        <v>581</v>
      </c>
      <c r="H1294" s="3" t="s">
        <v>303</v>
      </c>
    </row>
    <row r="1295" customFormat="false" ht="15" hidden="false" customHeight="false" outlineLevel="0" collapsed="false">
      <c r="A1295" s="4" t="s">
        <v>59</v>
      </c>
      <c r="B1295" s="4" t="s">
        <v>31</v>
      </c>
      <c r="C1295" s="4" t="n">
        <v>3</v>
      </c>
      <c r="D1295" s="4" t="n">
        <v>1</v>
      </c>
      <c r="E1295" s="4" t="s">
        <v>26</v>
      </c>
      <c r="F1295" s="3" t="s">
        <v>287</v>
      </c>
      <c r="G1295" s="3" t="s">
        <v>505</v>
      </c>
      <c r="H1295" s="3" t="s">
        <v>488</v>
      </c>
    </row>
    <row r="1296" customFormat="false" ht="15" hidden="false" customHeight="false" outlineLevel="0" collapsed="false">
      <c r="A1296" s="4" t="s">
        <v>59</v>
      </c>
      <c r="B1296" s="4" t="s">
        <v>31</v>
      </c>
      <c r="C1296" s="4" t="n">
        <v>4</v>
      </c>
      <c r="D1296" s="4" t="n">
        <v>1</v>
      </c>
      <c r="E1296" s="4" t="s">
        <v>34</v>
      </c>
      <c r="F1296" s="3" t="s">
        <v>101</v>
      </c>
      <c r="G1296" s="3" t="s">
        <v>582</v>
      </c>
      <c r="H1296" s="3" t="s">
        <v>111</v>
      </c>
    </row>
    <row r="1297" customFormat="false" ht="15" hidden="false" customHeight="false" outlineLevel="0" collapsed="false">
      <c r="A1297" s="4" t="s">
        <v>59</v>
      </c>
      <c r="B1297" s="4" t="s">
        <v>31</v>
      </c>
      <c r="C1297" s="4" t="n">
        <v>5</v>
      </c>
      <c r="D1297" s="4" t="n">
        <v>1</v>
      </c>
      <c r="E1297" s="4" t="s">
        <v>37</v>
      </c>
      <c r="F1297" s="3" t="s">
        <v>36</v>
      </c>
      <c r="G1297" s="3" t="s">
        <v>586</v>
      </c>
      <c r="H1297" s="3" t="s">
        <v>112</v>
      </c>
    </row>
    <row r="1298" customFormat="false" ht="15" hidden="false" customHeight="false" outlineLevel="0" collapsed="false">
      <c r="A1298" s="4" t="s">
        <v>59</v>
      </c>
      <c r="B1298" s="4" t="s">
        <v>31</v>
      </c>
      <c r="C1298" s="4" t="n">
        <v>6</v>
      </c>
      <c r="D1298" s="4" t="n">
        <v>1</v>
      </c>
      <c r="E1298" s="4" t="s">
        <v>42</v>
      </c>
      <c r="F1298" s="3" t="s">
        <v>239</v>
      </c>
      <c r="G1298" s="3" t="s">
        <v>587</v>
      </c>
      <c r="H1298" s="3" t="s">
        <v>238</v>
      </c>
    </row>
    <row r="1299" customFormat="false" ht="15" hidden="false" customHeight="false" outlineLevel="0" collapsed="false">
      <c r="A1299" s="4" t="s">
        <v>59</v>
      </c>
      <c r="B1299" s="4" t="s">
        <v>31</v>
      </c>
      <c r="C1299" s="4" t="n">
        <v>7</v>
      </c>
      <c r="D1299" s="4" t="n">
        <v>1</v>
      </c>
      <c r="E1299" s="4" t="s">
        <v>39</v>
      </c>
      <c r="F1299" s="3" t="s">
        <v>72</v>
      </c>
      <c r="G1299" s="3" t="s">
        <v>583</v>
      </c>
      <c r="H1299" s="3" t="s">
        <v>393</v>
      </c>
    </row>
    <row r="1300" customFormat="false" ht="15" hidden="false" customHeight="false" outlineLevel="0" collapsed="false">
      <c r="A1300" s="4" t="s">
        <v>59</v>
      </c>
      <c r="B1300" s="4" t="s">
        <v>40</v>
      </c>
      <c r="C1300" s="4" t="n">
        <v>1</v>
      </c>
      <c r="D1300" s="4" t="n">
        <v>1</v>
      </c>
      <c r="E1300" s="4" t="s">
        <v>16</v>
      </c>
      <c r="F1300" s="3" t="s">
        <v>164</v>
      </c>
      <c r="G1300" s="3" t="s">
        <v>584</v>
      </c>
      <c r="H1300" s="3" t="s">
        <v>170</v>
      </c>
    </row>
    <row r="1301" customFormat="false" ht="15" hidden="false" customHeight="false" outlineLevel="0" collapsed="false">
      <c r="A1301" s="4" t="s">
        <v>59</v>
      </c>
      <c r="B1301" s="4" t="s">
        <v>40</v>
      </c>
      <c r="C1301" s="4" t="n">
        <v>2</v>
      </c>
      <c r="D1301" s="4" t="n">
        <v>1</v>
      </c>
      <c r="E1301" s="4" t="s">
        <v>21</v>
      </c>
      <c r="F1301" s="3" t="s">
        <v>239</v>
      </c>
      <c r="G1301" s="3" t="s">
        <v>587</v>
      </c>
      <c r="H1301" s="3" t="s">
        <v>240</v>
      </c>
    </row>
    <row r="1302" customFormat="false" ht="15" hidden="false" customHeight="false" outlineLevel="0" collapsed="false">
      <c r="A1302" s="4" t="s">
        <v>59</v>
      </c>
      <c r="B1302" s="4" t="s">
        <v>40</v>
      </c>
      <c r="C1302" s="4" t="n">
        <v>3</v>
      </c>
      <c r="D1302" s="4" t="n">
        <v>2</v>
      </c>
      <c r="E1302" s="4" t="s">
        <v>542</v>
      </c>
      <c r="F1302" s="3" t="s">
        <v>388</v>
      </c>
      <c r="G1302" s="3" t="s">
        <v>554</v>
      </c>
      <c r="H1302" s="3" t="s">
        <v>387</v>
      </c>
    </row>
    <row r="1303" customFormat="false" ht="15" hidden="false" customHeight="false" outlineLevel="0" collapsed="false">
      <c r="A1303" s="4" t="s">
        <v>59</v>
      </c>
      <c r="B1303" s="4" t="s">
        <v>40</v>
      </c>
      <c r="C1303" s="4" t="n">
        <v>5</v>
      </c>
      <c r="D1303" s="4" t="n">
        <v>1</v>
      </c>
      <c r="E1303" s="4" t="s">
        <v>37</v>
      </c>
      <c r="F1303" s="3" t="s">
        <v>15</v>
      </c>
      <c r="G1303" s="3" t="s">
        <v>581</v>
      </c>
      <c r="H1303" s="3" t="s">
        <v>304</v>
      </c>
    </row>
    <row r="1304" customFormat="false" ht="15" hidden="false" customHeight="false" outlineLevel="0" collapsed="false">
      <c r="A1304" s="4" t="s">
        <v>59</v>
      </c>
      <c r="B1304" s="4" t="s">
        <v>40</v>
      </c>
      <c r="C1304" s="4" t="n">
        <v>6</v>
      </c>
      <c r="D1304" s="4" t="n">
        <v>2</v>
      </c>
      <c r="E1304" s="4" t="s">
        <v>536</v>
      </c>
      <c r="F1304" s="3" t="s">
        <v>72</v>
      </c>
      <c r="G1304" s="3" t="s">
        <v>588</v>
      </c>
      <c r="H1304" s="3" t="s">
        <v>166</v>
      </c>
    </row>
    <row r="1305" customFormat="false" ht="15" hidden="false" customHeight="false" outlineLevel="0" collapsed="false">
      <c r="A1305" s="4" t="s">
        <v>59</v>
      </c>
      <c r="B1305" s="4" t="s">
        <v>44</v>
      </c>
      <c r="C1305" s="4" t="n">
        <v>1</v>
      </c>
      <c r="D1305" s="4" t="n">
        <v>1</v>
      </c>
      <c r="E1305" s="4" t="s">
        <v>16</v>
      </c>
      <c r="F1305" s="3" t="s">
        <v>15</v>
      </c>
      <c r="G1305" s="3" t="s">
        <v>581</v>
      </c>
      <c r="H1305" s="3" t="s">
        <v>305</v>
      </c>
    </row>
    <row r="1306" customFormat="false" ht="15" hidden="false" customHeight="false" outlineLevel="0" collapsed="false">
      <c r="A1306" s="4" t="s">
        <v>59</v>
      </c>
      <c r="B1306" s="4" t="s">
        <v>44</v>
      </c>
      <c r="C1306" s="4" t="n">
        <v>2</v>
      </c>
      <c r="D1306" s="4" t="n">
        <v>1</v>
      </c>
      <c r="E1306" s="4" t="s">
        <v>21</v>
      </c>
      <c r="F1306" s="3" t="s">
        <v>72</v>
      </c>
      <c r="G1306" s="3" t="s">
        <v>583</v>
      </c>
      <c r="H1306" s="3" t="s">
        <v>394</v>
      </c>
    </row>
    <row r="1307" customFormat="false" ht="15" hidden="false" customHeight="false" outlineLevel="0" collapsed="false">
      <c r="A1307" s="4" t="s">
        <v>59</v>
      </c>
      <c r="B1307" s="4" t="s">
        <v>44</v>
      </c>
      <c r="C1307" s="4" t="n">
        <v>3</v>
      </c>
      <c r="D1307" s="4" t="n">
        <v>1</v>
      </c>
      <c r="E1307" s="4" t="s">
        <v>26</v>
      </c>
      <c r="F1307" s="3" t="s">
        <v>164</v>
      </c>
      <c r="G1307" s="3" t="s">
        <v>584</v>
      </c>
      <c r="H1307" s="3" t="s">
        <v>173</v>
      </c>
    </row>
    <row r="1308" customFormat="false" ht="15" hidden="false" customHeight="false" outlineLevel="0" collapsed="false">
      <c r="A1308" s="4" t="s">
        <v>59</v>
      </c>
      <c r="B1308" s="4" t="s">
        <v>44</v>
      </c>
      <c r="C1308" s="4" t="n">
        <v>4</v>
      </c>
      <c r="D1308" s="4" t="n">
        <v>1</v>
      </c>
      <c r="E1308" s="4" t="s">
        <v>34</v>
      </c>
      <c r="F1308" s="3" t="s">
        <v>101</v>
      </c>
      <c r="G1308" s="3" t="s">
        <v>589</v>
      </c>
      <c r="H1308" s="3" t="s">
        <v>115</v>
      </c>
    </row>
    <row r="1309" customFormat="false" ht="15" hidden="false" customHeight="false" outlineLevel="0" collapsed="false">
      <c r="A1309" s="4" t="s">
        <v>59</v>
      </c>
      <c r="B1309" s="4" t="s">
        <v>44</v>
      </c>
      <c r="C1309" s="4" t="n">
        <v>5</v>
      </c>
      <c r="D1309" s="4" t="n">
        <v>1</v>
      </c>
      <c r="E1309" s="4" t="s">
        <v>37</v>
      </c>
      <c r="F1309" s="3" t="s">
        <v>36</v>
      </c>
      <c r="G1309" s="3" t="s">
        <v>586</v>
      </c>
      <c r="H1309" s="3" t="s">
        <v>112</v>
      </c>
    </row>
    <row r="1310" customFormat="false" ht="15" hidden="false" customHeight="false" outlineLevel="0" collapsed="false">
      <c r="A1310" s="4" t="s">
        <v>59</v>
      </c>
      <c r="B1310" s="4" t="s">
        <v>44</v>
      </c>
      <c r="C1310" s="4" t="n">
        <v>6</v>
      </c>
      <c r="D1310" s="4" t="n">
        <v>1</v>
      </c>
      <c r="E1310" s="4" t="s">
        <v>42</v>
      </c>
      <c r="F1310" s="3" t="s">
        <v>486</v>
      </c>
      <c r="G1310" s="3" t="s">
        <v>487</v>
      </c>
      <c r="H1310" s="3" t="s">
        <v>488</v>
      </c>
    </row>
    <row r="1311" customFormat="false" ht="15" hidden="false" customHeight="false" outlineLevel="0" collapsed="false">
      <c r="A1311" s="4" t="s">
        <v>59</v>
      </c>
      <c r="B1311" s="4" t="s">
        <v>44</v>
      </c>
      <c r="C1311" s="4" t="n">
        <v>7</v>
      </c>
      <c r="D1311" s="4" t="n">
        <v>1</v>
      </c>
      <c r="E1311" s="4" t="s">
        <v>39</v>
      </c>
      <c r="F1311" s="3" t="s">
        <v>239</v>
      </c>
      <c r="G1311" s="3" t="s">
        <v>587</v>
      </c>
      <c r="H1311" s="3" t="s">
        <v>243</v>
      </c>
    </row>
    <row r="1312" customFormat="false" ht="15" hidden="false" customHeight="false" outlineLevel="0" collapsed="false">
      <c r="A1312" s="4" t="s">
        <v>59</v>
      </c>
      <c r="B1312" s="4" t="s">
        <v>47</v>
      </c>
      <c r="C1312" s="4" t="n">
        <v>1</v>
      </c>
      <c r="D1312" s="4" t="n">
        <v>1</v>
      </c>
      <c r="E1312" s="4" t="s">
        <v>16</v>
      </c>
      <c r="F1312" s="3" t="s">
        <v>72</v>
      </c>
      <c r="G1312" s="3" t="s">
        <v>583</v>
      </c>
      <c r="H1312" s="3" t="s">
        <v>394</v>
      </c>
    </row>
    <row r="1313" customFormat="false" ht="15" hidden="false" customHeight="false" outlineLevel="0" collapsed="false">
      <c r="A1313" s="4" t="s">
        <v>59</v>
      </c>
      <c r="B1313" s="4" t="s">
        <v>47</v>
      </c>
      <c r="C1313" s="4" t="n">
        <v>2</v>
      </c>
      <c r="D1313" s="4" t="n">
        <v>1</v>
      </c>
      <c r="E1313" s="4" t="s">
        <v>21</v>
      </c>
      <c r="F1313" s="3" t="s">
        <v>15</v>
      </c>
      <c r="G1313" s="3" t="s">
        <v>581</v>
      </c>
      <c r="H1313" s="3" t="s">
        <v>306</v>
      </c>
    </row>
    <row r="1314" customFormat="false" ht="15" hidden="false" customHeight="false" outlineLevel="0" collapsed="false">
      <c r="A1314" s="4" t="s">
        <v>59</v>
      </c>
      <c r="B1314" s="4" t="s">
        <v>47</v>
      </c>
      <c r="C1314" s="4" t="n">
        <v>3</v>
      </c>
      <c r="D1314" s="4" t="n">
        <v>1</v>
      </c>
      <c r="E1314" s="4" t="s">
        <v>26</v>
      </c>
      <c r="F1314" s="3" t="s">
        <v>164</v>
      </c>
      <c r="G1314" s="3" t="s">
        <v>584</v>
      </c>
      <c r="H1314" s="3" t="s">
        <v>175</v>
      </c>
    </row>
    <row r="1315" customFormat="false" ht="15" hidden="false" customHeight="false" outlineLevel="0" collapsed="false">
      <c r="A1315" s="4" t="s">
        <v>59</v>
      </c>
      <c r="B1315" s="4" t="s">
        <v>47</v>
      </c>
      <c r="C1315" s="4" t="n">
        <v>4</v>
      </c>
      <c r="D1315" s="4" t="n">
        <v>1</v>
      </c>
      <c r="E1315" s="4" t="s">
        <v>34</v>
      </c>
      <c r="F1315" s="3" t="s">
        <v>287</v>
      </c>
      <c r="G1315" s="3" t="s">
        <v>505</v>
      </c>
      <c r="H1315" s="3" t="s">
        <v>488</v>
      </c>
    </row>
    <row r="1316" customFormat="false" ht="15" hidden="false" customHeight="false" outlineLevel="0" collapsed="false">
      <c r="A1316" s="4" t="s">
        <v>59</v>
      </c>
      <c r="B1316" s="4" t="s">
        <v>47</v>
      </c>
      <c r="C1316" s="4" t="n">
        <v>5</v>
      </c>
      <c r="D1316" s="4" t="n">
        <v>1</v>
      </c>
      <c r="E1316" s="4" t="s">
        <v>37</v>
      </c>
      <c r="F1316" s="3" t="s">
        <v>486</v>
      </c>
      <c r="G1316" s="3" t="s">
        <v>487</v>
      </c>
      <c r="H1316" s="3" t="s">
        <v>488</v>
      </c>
    </row>
    <row r="1317" customFormat="false" ht="15" hidden="false" customHeight="false" outlineLevel="0" collapsed="false">
      <c r="A1317" s="4" t="s">
        <v>59</v>
      </c>
      <c r="B1317" s="4" t="s">
        <v>47</v>
      </c>
      <c r="C1317" s="4" t="n">
        <v>6</v>
      </c>
      <c r="D1317" s="4" t="n">
        <v>1</v>
      </c>
      <c r="E1317" s="4" t="s">
        <v>42</v>
      </c>
      <c r="F1317" s="3" t="s">
        <v>101</v>
      </c>
      <c r="G1317" s="3" t="s">
        <v>582</v>
      </c>
      <c r="H1317" s="3" t="s">
        <v>117</v>
      </c>
    </row>
    <row r="1318" customFormat="false" ht="15" hidden="false" customHeight="false" outlineLevel="0" collapsed="false">
      <c r="A1318" s="4" t="s">
        <v>59</v>
      </c>
      <c r="B1318" s="4" t="s">
        <v>47</v>
      </c>
      <c r="C1318" s="4" t="n">
        <v>7</v>
      </c>
      <c r="D1318" s="4" t="n">
        <v>1</v>
      </c>
      <c r="E1318" s="4" t="s">
        <v>39</v>
      </c>
      <c r="F1318" s="3" t="s">
        <v>239</v>
      </c>
      <c r="G1318" s="3" t="s">
        <v>587</v>
      </c>
      <c r="H1318" s="3" t="s">
        <v>244</v>
      </c>
    </row>
    <row r="1319" customFormat="false" ht="15" hidden="false" customHeight="false" outlineLevel="0" collapsed="false">
      <c r="A1319" s="4" t="s">
        <v>59</v>
      </c>
      <c r="B1319" s="4" t="s">
        <v>50</v>
      </c>
      <c r="C1319" s="4" t="n">
        <v>1</v>
      </c>
      <c r="D1319" s="4" t="n">
        <v>1</v>
      </c>
      <c r="E1319" s="4" t="s">
        <v>16</v>
      </c>
      <c r="F1319" s="3" t="s">
        <v>486</v>
      </c>
      <c r="G1319" s="3" t="s">
        <v>487</v>
      </c>
      <c r="H1319" s="3" t="s">
        <v>488</v>
      </c>
    </row>
    <row r="1320" customFormat="false" ht="15" hidden="false" customHeight="false" outlineLevel="0" collapsed="false">
      <c r="A1320" s="4" t="s">
        <v>59</v>
      </c>
      <c r="B1320" s="4" t="s">
        <v>50</v>
      </c>
      <c r="C1320" s="4" t="n">
        <v>2</v>
      </c>
      <c r="D1320" s="4" t="n">
        <v>1</v>
      </c>
      <c r="E1320" s="4" t="s">
        <v>21</v>
      </c>
      <c r="F1320" s="3" t="s">
        <v>15</v>
      </c>
      <c r="G1320" s="3" t="s">
        <v>581</v>
      </c>
      <c r="H1320" s="3" t="s">
        <v>307</v>
      </c>
    </row>
    <row r="1321" customFormat="false" ht="15" hidden="false" customHeight="false" outlineLevel="0" collapsed="false">
      <c r="A1321" s="4" t="s">
        <v>59</v>
      </c>
      <c r="B1321" s="4" t="s">
        <v>50</v>
      </c>
      <c r="C1321" s="4" t="n">
        <v>3</v>
      </c>
      <c r="D1321" s="4" t="n">
        <v>1</v>
      </c>
      <c r="E1321" s="4" t="s">
        <v>26</v>
      </c>
      <c r="F1321" s="3" t="s">
        <v>101</v>
      </c>
      <c r="G1321" s="3" t="s">
        <v>589</v>
      </c>
      <c r="H1321" s="3" t="s">
        <v>115</v>
      </c>
    </row>
    <row r="1322" customFormat="false" ht="15" hidden="false" customHeight="false" outlineLevel="0" collapsed="false">
      <c r="A1322" s="4" t="s">
        <v>59</v>
      </c>
      <c r="B1322" s="4" t="s">
        <v>50</v>
      </c>
      <c r="C1322" s="4" t="n">
        <v>4</v>
      </c>
      <c r="D1322" s="4" t="n">
        <v>1</v>
      </c>
      <c r="E1322" s="4" t="s">
        <v>34</v>
      </c>
      <c r="F1322" s="3" t="s">
        <v>72</v>
      </c>
      <c r="G1322" s="3" t="s">
        <v>583</v>
      </c>
      <c r="H1322" s="3" t="s">
        <v>396</v>
      </c>
    </row>
    <row r="1323" customFormat="false" ht="15" hidden="false" customHeight="false" outlineLevel="0" collapsed="false">
      <c r="A1323" s="4" t="s">
        <v>59</v>
      </c>
      <c r="B1323" s="4" t="s">
        <v>50</v>
      </c>
      <c r="C1323" s="4" t="n">
        <v>5</v>
      </c>
      <c r="D1323" s="4" t="n">
        <v>1</v>
      </c>
      <c r="E1323" s="4" t="s">
        <v>37</v>
      </c>
      <c r="F1323" s="3" t="s">
        <v>164</v>
      </c>
      <c r="G1323" s="3" t="s">
        <v>584</v>
      </c>
      <c r="H1323" s="3" t="s">
        <v>166</v>
      </c>
    </row>
    <row r="1324" customFormat="false" ht="15" hidden="false" customHeight="false" outlineLevel="0" collapsed="false">
      <c r="A1324" s="4" t="s">
        <v>59</v>
      </c>
      <c r="B1324" s="4" t="s">
        <v>50</v>
      </c>
      <c r="C1324" s="4" t="n">
        <v>6</v>
      </c>
      <c r="D1324" s="4" t="n">
        <v>2</v>
      </c>
      <c r="E1324" s="4" t="s">
        <v>536</v>
      </c>
      <c r="F1324" s="3" t="s">
        <v>54</v>
      </c>
      <c r="G1324" s="3" t="s">
        <v>591</v>
      </c>
      <c r="H1324" s="3" t="s">
        <v>53</v>
      </c>
    </row>
    <row r="1325" customFormat="false" ht="15" hidden="false" customHeight="false" outlineLevel="0" collapsed="false">
      <c r="A1325" s="4" t="s">
        <v>59</v>
      </c>
      <c r="B1325" s="4" t="s">
        <v>60</v>
      </c>
      <c r="C1325" s="4" t="n">
        <v>1</v>
      </c>
      <c r="D1325" s="4" t="n">
        <v>1</v>
      </c>
      <c r="E1325" s="4" t="s">
        <v>16</v>
      </c>
      <c r="F1325" s="3" t="s">
        <v>164</v>
      </c>
      <c r="G1325" s="3" t="s">
        <v>584</v>
      </c>
      <c r="H1325" s="3" t="s">
        <v>178</v>
      </c>
    </row>
    <row r="1326" customFormat="false" ht="15" hidden="false" customHeight="false" outlineLevel="0" collapsed="false">
      <c r="A1326" s="4" t="s">
        <v>59</v>
      </c>
      <c r="B1326" s="4" t="s">
        <v>60</v>
      </c>
      <c r="C1326" s="4" t="n">
        <v>2</v>
      </c>
      <c r="D1326" s="4" t="n">
        <v>1</v>
      </c>
      <c r="E1326" s="4" t="s">
        <v>21</v>
      </c>
      <c r="F1326" s="3" t="s">
        <v>239</v>
      </c>
      <c r="G1326" s="3" t="s">
        <v>587</v>
      </c>
      <c r="H1326" s="3" t="s">
        <v>248</v>
      </c>
    </row>
    <row r="1327" customFormat="false" ht="15" hidden="false" customHeight="false" outlineLevel="0" collapsed="false">
      <c r="A1327" s="4" t="s">
        <v>59</v>
      </c>
      <c r="B1327" s="4" t="s">
        <v>60</v>
      </c>
      <c r="C1327" s="4" t="n">
        <v>3</v>
      </c>
      <c r="D1327" s="4" t="n">
        <v>1</v>
      </c>
      <c r="E1327" s="4" t="s">
        <v>26</v>
      </c>
      <c r="F1327" s="3" t="s">
        <v>15</v>
      </c>
      <c r="G1327" s="3" t="s">
        <v>581</v>
      </c>
      <c r="H1327" s="3" t="s">
        <v>306</v>
      </c>
    </row>
    <row r="1328" customFormat="false" ht="15" hidden="false" customHeight="false" outlineLevel="0" collapsed="false">
      <c r="A1328" s="4" t="s">
        <v>59</v>
      </c>
      <c r="B1328" s="4" t="s">
        <v>60</v>
      </c>
      <c r="C1328" s="4" t="n">
        <v>4</v>
      </c>
      <c r="D1328" s="4" t="n">
        <v>1</v>
      </c>
      <c r="E1328" s="4" t="s">
        <v>34</v>
      </c>
      <c r="F1328" s="3" t="s">
        <v>101</v>
      </c>
      <c r="G1328" s="3" t="s">
        <v>582</v>
      </c>
      <c r="H1328" s="3" t="s">
        <v>119</v>
      </c>
    </row>
    <row r="1329" customFormat="false" ht="15" hidden="false" customHeight="false" outlineLevel="0" collapsed="false">
      <c r="A1329" s="4" t="s">
        <v>59</v>
      </c>
      <c r="B1329" s="4" t="s">
        <v>60</v>
      </c>
      <c r="C1329" s="4" t="n">
        <v>5</v>
      </c>
      <c r="D1329" s="4" t="n">
        <v>1</v>
      </c>
      <c r="E1329" s="4" t="s">
        <v>37</v>
      </c>
      <c r="F1329" s="3" t="s">
        <v>36</v>
      </c>
      <c r="G1329" s="3" t="s">
        <v>586</v>
      </c>
      <c r="H1329" s="3" t="s">
        <v>112</v>
      </c>
    </row>
    <row r="1330" customFormat="false" ht="15" hidden="false" customHeight="false" outlineLevel="0" collapsed="false">
      <c r="A1330" s="4" t="s">
        <v>59</v>
      </c>
      <c r="B1330" s="4" t="s">
        <v>60</v>
      </c>
      <c r="C1330" s="4" t="n">
        <v>6</v>
      </c>
      <c r="D1330" s="4" t="n">
        <v>1</v>
      </c>
      <c r="E1330" s="4" t="s">
        <v>42</v>
      </c>
      <c r="F1330" s="3" t="s">
        <v>72</v>
      </c>
      <c r="G1330" s="3" t="s">
        <v>583</v>
      </c>
      <c r="H1330" s="3" t="s">
        <v>397</v>
      </c>
    </row>
    <row r="1331" customFormat="false" ht="15" hidden="false" customHeight="false" outlineLevel="0" collapsed="false">
      <c r="A1331" s="4" t="s">
        <v>59</v>
      </c>
      <c r="B1331" s="4" t="s">
        <v>60</v>
      </c>
      <c r="C1331" s="4" t="n">
        <v>7</v>
      </c>
      <c r="D1331" s="4" t="n">
        <v>1</v>
      </c>
      <c r="E1331" s="4" t="s">
        <v>39</v>
      </c>
      <c r="F1331" s="3" t="s">
        <v>486</v>
      </c>
      <c r="G1331" s="3" t="s">
        <v>487</v>
      </c>
      <c r="H1331" s="3" t="s">
        <v>488</v>
      </c>
    </row>
    <row r="1332" customFormat="false" ht="15" hidden="false" customHeight="false" outlineLevel="0" collapsed="false">
      <c r="A1332" s="4" t="s">
        <v>59</v>
      </c>
      <c r="B1332" s="4" t="s">
        <v>63</v>
      </c>
      <c r="C1332" s="4" t="n">
        <v>1</v>
      </c>
      <c r="D1332" s="4" t="n">
        <v>2</v>
      </c>
      <c r="E1332" s="4" t="s">
        <v>539</v>
      </c>
      <c r="F1332" s="3" t="s">
        <v>164</v>
      </c>
      <c r="G1332" s="3" t="s">
        <v>584</v>
      </c>
      <c r="H1332" s="3" t="s">
        <v>179</v>
      </c>
    </row>
    <row r="1333" customFormat="false" ht="15" hidden="false" customHeight="false" outlineLevel="0" collapsed="false">
      <c r="A1333" s="4" t="s">
        <v>59</v>
      </c>
      <c r="B1333" s="4" t="s">
        <v>63</v>
      </c>
      <c r="C1333" s="4" t="n">
        <v>3</v>
      </c>
      <c r="D1333" s="4" t="n">
        <v>1</v>
      </c>
      <c r="E1333" s="4" t="s">
        <v>26</v>
      </c>
      <c r="F1333" s="3" t="s">
        <v>287</v>
      </c>
      <c r="G1333" s="3" t="s">
        <v>505</v>
      </c>
      <c r="H1333" s="3" t="s">
        <v>488</v>
      </c>
    </row>
    <row r="1334" customFormat="false" ht="15" hidden="false" customHeight="false" outlineLevel="0" collapsed="false">
      <c r="A1334" s="4" t="s">
        <v>59</v>
      </c>
      <c r="B1334" s="4" t="s">
        <v>63</v>
      </c>
      <c r="C1334" s="4" t="n">
        <v>4</v>
      </c>
      <c r="D1334" s="4" t="n">
        <v>1</v>
      </c>
      <c r="E1334" s="4" t="s">
        <v>34</v>
      </c>
      <c r="F1334" s="3" t="s">
        <v>486</v>
      </c>
      <c r="G1334" s="3" t="s">
        <v>487</v>
      </c>
      <c r="H1334" s="3" t="s">
        <v>488</v>
      </c>
    </row>
    <row r="1335" customFormat="false" ht="15" hidden="false" customHeight="false" outlineLevel="0" collapsed="false">
      <c r="A1335" s="4" t="s">
        <v>59</v>
      </c>
      <c r="B1335" s="4" t="s">
        <v>63</v>
      </c>
      <c r="C1335" s="4" t="n">
        <v>5</v>
      </c>
      <c r="D1335" s="4" t="n">
        <v>1</v>
      </c>
      <c r="E1335" s="4" t="s">
        <v>37</v>
      </c>
      <c r="F1335" s="3" t="s">
        <v>72</v>
      </c>
      <c r="G1335" s="3" t="s">
        <v>583</v>
      </c>
      <c r="H1335" s="3" t="s">
        <v>183</v>
      </c>
    </row>
    <row r="1336" customFormat="false" ht="15" hidden="false" customHeight="false" outlineLevel="0" collapsed="false">
      <c r="A1336" s="4" t="s">
        <v>59</v>
      </c>
      <c r="B1336" s="4" t="s">
        <v>63</v>
      </c>
      <c r="C1336" s="4" t="n">
        <v>6</v>
      </c>
      <c r="D1336" s="4" t="n">
        <v>1</v>
      </c>
      <c r="E1336" s="4" t="s">
        <v>42</v>
      </c>
      <c r="F1336" s="3" t="s">
        <v>239</v>
      </c>
      <c r="G1336" s="3" t="s">
        <v>587</v>
      </c>
      <c r="H1336" s="3" t="s">
        <v>249</v>
      </c>
    </row>
    <row r="1337" customFormat="false" ht="15" hidden="false" customHeight="false" outlineLevel="0" collapsed="false">
      <c r="A1337" s="4" t="s">
        <v>59</v>
      </c>
      <c r="B1337" s="4" t="s">
        <v>63</v>
      </c>
      <c r="C1337" s="4" t="n">
        <v>7</v>
      </c>
      <c r="D1337" s="4" t="n">
        <v>1</v>
      </c>
      <c r="E1337" s="4" t="s">
        <v>39</v>
      </c>
      <c r="F1337" s="3" t="s">
        <v>15</v>
      </c>
      <c r="G1337" s="3" t="s">
        <v>581</v>
      </c>
      <c r="H1337" s="3" t="s">
        <v>304</v>
      </c>
    </row>
    <row r="1338" customFormat="false" ht="15" hidden="false" customHeight="false" outlineLevel="0" collapsed="false">
      <c r="A1338" s="4" t="s">
        <v>59</v>
      </c>
      <c r="B1338" s="4" t="s">
        <v>65</v>
      </c>
      <c r="C1338" s="4" t="n">
        <v>1</v>
      </c>
      <c r="D1338" s="4" t="n">
        <v>1</v>
      </c>
      <c r="E1338" s="4" t="s">
        <v>16</v>
      </c>
      <c r="F1338" s="3" t="s">
        <v>486</v>
      </c>
      <c r="G1338" s="3" t="s">
        <v>487</v>
      </c>
      <c r="H1338" s="3" t="s">
        <v>488</v>
      </c>
    </row>
    <row r="1339" customFormat="false" ht="15" hidden="false" customHeight="false" outlineLevel="0" collapsed="false">
      <c r="A1339" s="4" t="s">
        <v>59</v>
      </c>
      <c r="B1339" s="4" t="s">
        <v>65</v>
      </c>
      <c r="C1339" s="4" t="n">
        <v>2</v>
      </c>
      <c r="D1339" s="4" t="n">
        <v>1</v>
      </c>
      <c r="E1339" s="4" t="s">
        <v>21</v>
      </c>
      <c r="F1339" s="3" t="s">
        <v>72</v>
      </c>
      <c r="G1339" s="3" t="s">
        <v>583</v>
      </c>
      <c r="H1339" s="3" t="s">
        <v>166</v>
      </c>
    </row>
    <row r="1340" customFormat="false" ht="15" hidden="false" customHeight="false" outlineLevel="0" collapsed="false">
      <c r="A1340" s="4" t="s">
        <v>59</v>
      </c>
      <c r="B1340" s="4" t="s">
        <v>65</v>
      </c>
      <c r="C1340" s="4" t="n">
        <v>3</v>
      </c>
      <c r="D1340" s="4" t="n">
        <v>1</v>
      </c>
      <c r="E1340" s="4" t="s">
        <v>26</v>
      </c>
      <c r="F1340" s="3" t="s">
        <v>101</v>
      </c>
      <c r="G1340" s="3" t="s">
        <v>589</v>
      </c>
      <c r="H1340" s="3" t="s">
        <v>121</v>
      </c>
    </row>
    <row r="1341" customFormat="false" ht="15" hidden="false" customHeight="false" outlineLevel="0" collapsed="false">
      <c r="A1341" s="4" t="s">
        <v>59</v>
      </c>
      <c r="B1341" s="4" t="s">
        <v>65</v>
      </c>
      <c r="C1341" s="4" t="n">
        <v>4</v>
      </c>
      <c r="D1341" s="4" t="n">
        <v>1</v>
      </c>
      <c r="E1341" s="4" t="s">
        <v>34</v>
      </c>
      <c r="F1341" s="3" t="s">
        <v>15</v>
      </c>
      <c r="G1341" s="3" t="s">
        <v>581</v>
      </c>
      <c r="H1341" s="3" t="s">
        <v>306</v>
      </c>
    </row>
    <row r="1342" customFormat="false" ht="15" hidden="false" customHeight="false" outlineLevel="0" collapsed="false">
      <c r="A1342" s="4" t="s">
        <v>59</v>
      </c>
      <c r="B1342" s="4" t="s">
        <v>65</v>
      </c>
      <c r="C1342" s="4" t="n">
        <v>5</v>
      </c>
      <c r="D1342" s="4" t="n">
        <v>1</v>
      </c>
      <c r="E1342" s="4" t="s">
        <v>37</v>
      </c>
      <c r="F1342" s="3" t="s">
        <v>36</v>
      </c>
      <c r="G1342" s="3" t="s">
        <v>586</v>
      </c>
      <c r="H1342" s="3" t="s">
        <v>112</v>
      </c>
    </row>
    <row r="1343" customFormat="false" ht="15" hidden="false" customHeight="false" outlineLevel="0" collapsed="false">
      <c r="A1343" s="4" t="s">
        <v>59</v>
      </c>
      <c r="B1343" s="4" t="s">
        <v>65</v>
      </c>
      <c r="C1343" s="4" t="n">
        <v>6</v>
      </c>
      <c r="D1343" s="4" t="n">
        <v>1</v>
      </c>
      <c r="E1343" s="4" t="s">
        <v>42</v>
      </c>
      <c r="F1343" s="3" t="s">
        <v>164</v>
      </c>
      <c r="G1343" s="3" t="s">
        <v>584</v>
      </c>
      <c r="H1343" s="3" t="s">
        <v>178</v>
      </c>
    </row>
    <row r="1344" customFormat="false" ht="15" hidden="false" customHeight="false" outlineLevel="0" collapsed="false">
      <c r="A1344" s="4" t="s">
        <v>59</v>
      </c>
      <c r="B1344" s="4" t="s">
        <v>65</v>
      </c>
      <c r="C1344" s="4" t="n">
        <v>7</v>
      </c>
      <c r="D1344" s="4" t="n">
        <v>1</v>
      </c>
      <c r="E1344" s="4" t="s">
        <v>39</v>
      </c>
      <c r="F1344" s="3" t="s">
        <v>239</v>
      </c>
      <c r="G1344" s="3" t="s">
        <v>587</v>
      </c>
      <c r="H1344" s="3" t="s">
        <v>251</v>
      </c>
    </row>
    <row r="1345" customFormat="false" ht="15" hidden="false" customHeight="false" outlineLevel="0" collapsed="false">
      <c r="A1345" s="4" t="s">
        <v>59</v>
      </c>
      <c r="B1345" s="4" t="s">
        <v>66</v>
      </c>
      <c r="C1345" s="4" t="n">
        <v>1</v>
      </c>
      <c r="D1345" s="4" t="n">
        <v>1</v>
      </c>
      <c r="E1345" s="4" t="s">
        <v>16</v>
      </c>
      <c r="F1345" s="3" t="s">
        <v>239</v>
      </c>
      <c r="G1345" s="3" t="s">
        <v>587</v>
      </c>
      <c r="H1345" s="3" t="s">
        <v>252</v>
      </c>
    </row>
    <row r="1346" customFormat="false" ht="15" hidden="false" customHeight="false" outlineLevel="0" collapsed="false">
      <c r="A1346" s="4" t="s">
        <v>59</v>
      </c>
      <c r="B1346" s="4" t="s">
        <v>66</v>
      </c>
      <c r="C1346" s="4" t="n">
        <v>2</v>
      </c>
      <c r="D1346" s="4" t="n">
        <v>1</v>
      </c>
      <c r="E1346" s="4" t="s">
        <v>21</v>
      </c>
      <c r="F1346" s="3" t="s">
        <v>486</v>
      </c>
      <c r="G1346" s="3" t="s">
        <v>487</v>
      </c>
      <c r="H1346" s="3" t="s">
        <v>488</v>
      </c>
    </row>
    <row r="1347" customFormat="false" ht="15" hidden="false" customHeight="false" outlineLevel="0" collapsed="false">
      <c r="A1347" s="4" t="s">
        <v>59</v>
      </c>
      <c r="B1347" s="4" t="s">
        <v>66</v>
      </c>
      <c r="C1347" s="4" t="n">
        <v>3</v>
      </c>
      <c r="D1347" s="4" t="n">
        <v>1</v>
      </c>
      <c r="E1347" s="4" t="s">
        <v>26</v>
      </c>
      <c r="F1347" s="3" t="s">
        <v>287</v>
      </c>
      <c r="G1347" s="3" t="s">
        <v>505</v>
      </c>
      <c r="H1347" s="3" t="s">
        <v>488</v>
      </c>
    </row>
    <row r="1348" customFormat="false" ht="15" hidden="false" customHeight="false" outlineLevel="0" collapsed="false">
      <c r="A1348" s="4" t="s">
        <v>59</v>
      </c>
      <c r="B1348" s="4" t="s">
        <v>66</v>
      </c>
      <c r="C1348" s="4" t="n">
        <v>4</v>
      </c>
      <c r="D1348" s="4" t="n">
        <v>1</v>
      </c>
      <c r="E1348" s="4" t="s">
        <v>34</v>
      </c>
      <c r="F1348" s="3" t="s">
        <v>72</v>
      </c>
      <c r="G1348" s="3" t="s">
        <v>583</v>
      </c>
      <c r="H1348" s="3" t="s">
        <v>399</v>
      </c>
    </row>
    <row r="1349" customFormat="false" ht="15" hidden="false" customHeight="false" outlineLevel="0" collapsed="false">
      <c r="A1349" s="4" t="s">
        <v>59</v>
      </c>
      <c r="B1349" s="4" t="s">
        <v>66</v>
      </c>
      <c r="C1349" s="4" t="n">
        <v>5</v>
      </c>
      <c r="D1349" s="4" t="n">
        <v>1</v>
      </c>
      <c r="E1349" s="4" t="s">
        <v>37</v>
      </c>
      <c r="F1349" s="3" t="s">
        <v>101</v>
      </c>
      <c r="G1349" s="3" t="s">
        <v>582</v>
      </c>
      <c r="H1349" s="3" t="s">
        <v>122</v>
      </c>
    </row>
    <row r="1350" customFormat="false" ht="15" hidden="false" customHeight="false" outlineLevel="0" collapsed="false">
      <c r="A1350" s="4" t="s">
        <v>59</v>
      </c>
      <c r="B1350" s="4" t="s">
        <v>66</v>
      </c>
      <c r="C1350" s="4" t="n">
        <v>6</v>
      </c>
      <c r="D1350" s="4" t="n">
        <v>1</v>
      </c>
      <c r="E1350" s="4" t="s">
        <v>42</v>
      </c>
      <c r="F1350" s="3" t="s">
        <v>15</v>
      </c>
      <c r="G1350" s="3" t="s">
        <v>581</v>
      </c>
      <c r="H1350" s="3" t="s">
        <v>306</v>
      </c>
    </row>
    <row r="1351" customFormat="false" ht="15" hidden="false" customHeight="false" outlineLevel="0" collapsed="false">
      <c r="A1351" s="4" t="s">
        <v>59</v>
      </c>
      <c r="B1351" s="4" t="s">
        <v>66</v>
      </c>
      <c r="C1351" s="4" t="n">
        <v>7</v>
      </c>
      <c r="D1351" s="4" t="n">
        <v>1</v>
      </c>
      <c r="E1351" s="4" t="s">
        <v>39</v>
      </c>
      <c r="F1351" s="3" t="s">
        <v>164</v>
      </c>
      <c r="G1351" s="3" t="s">
        <v>584</v>
      </c>
      <c r="H1351" s="3" t="s">
        <v>183</v>
      </c>
    </row>
    <row r="1352" customFormat="false" ht="15" hidden="false" customHeight="false" outlineLevel="0" collapsed="false">
      <c r="A1352" s="4" t="s">
        <v>56</v>
      </c>
      <c r="B1352" s="4" t="s">
        <v>12</v>
      </c>
      <c r="C1352" s="4" t="n">
        <v>1</v>
      </c>
      <c r="D1352" s="4" t="n">
        <v>1</v>
      </c>
      <c r="E1352" s="4" t="s">
        <v>16</v>
      </c>
      <c r="F1352" s="3" t="s">
        <v>15</v>
      </c>
      <c r="G1352" s="3" t="s">
        <v>581</v>
      </c>
      <c r="H1352" s="3" t="s">
        <v>301</v>
      </c>
    </row>
    <row r="1353" customFormat="false" ht="15" hidden="false" customHeight="false" outlineLevel="0" collapsed="false">
      <c r="A1353" s="4" t="s">
        <v>56</v>
      </c>
      <c r="B1353" s="4" t="s">
        <v>12</v>
      </c>
      <c r="C1353" s="4" t="n">
        <v>2</v>
      </c>
      <c r="D1353" s="4" t="n">
        <v>1</v>
      </c>
      <c r="E1353" s="4" t="s">
        <v>21</v>
      </c>
      <c r="F1353" s="3" t="s">
        <v>164</v>
      </c>
      <c r="G1353" s="3" t="s">
        <v>592</v>
      </c>
      <c r="H1353" s="3" t="s">
        <v>163</v>
      </c>
    </row>
    <row r="1354" customFormat="false" ht="15" hidden="false" customHeight="false" outlineLevel="0" collapsed="false">
      <c r="A1354" s="4" t="s">
        <v>56</v>
      </c>
      <c r="B1354" s="4" t="s">
        <v>12</v>
      </c>
      <c r="C1354" s="4" t="n">
        <v>3</v>
      </c>
      <c r="D1354" s="4" t="n">
        <v>1</v>
      </c>
      <c r="E1354" s="4" t="s">
        <v>26</v>
      </c>
      <c r="F1354" s="3" t="s">
        <v>101</v>
      </c>
      <c r="G1354" s="3" t="s">
        <v>582</v>
      </c>
      <c r="H1354" s="3" t="s">
        <v>100</v>
      </c>
    </row>
    <row r="1355" customFormat="false" ht="15" hidden="false" customHeight="false" outlineLevel="0" collapsed="false">
      <c r="A1355" s="4" t="s">
        <v>56</v>
      </c>
      <c r="B1355" s="4" t="s">
        <v>12</v>
      </c>
      <c r="C1355" s="4" t="n">
        <v>4</v>
      </c>
      <c r="D1355" s="4" t="n">
        <v>1</v>
      </c>
      <c r="E1355" s="4" t="s">
        <v>34</v>
      </c>
      <c r="F1355" s="3" t="s">
        <v>492</v>
      </c>
      <c r="G1355" s="3" t="s">
        <v>593</v>
      </c>
      <c r="H1355" s="3" t="s">
        <v>491</v>
      </c>
    </row>
    <row r="1356" customFormat="false" ht="15" hidden="false" customHeight="false" outlineLevel="0" collapsed="false">
      <c r="A1356" s="4" t="s">
        <v>56</v>
      </c>
      <c r="B1356" s="4" t="s">
        <v>12</v>
      </c>
      <c r="C1356" s="4" t="n">
        <v>5</v>
      </c>
      <c r="D1356" s="4" t="n">
        <v>1</v>
      </c>
      <c r="E1356" s="4" t="s">
        <v>37</v>
      </c>
      <c r="F1356" s="3" t="s">
        <v>72</v>
      </c>
      <c r="G1356" s="3" t="s">
        <v>594</v>
      </c>
      <c r="H1356" s="3" t="s">
        <v>169</v>
      </c>
    </row>
    <row r="1357" customFormat="false" ht="15" hidden="false" customHeight="false" outlineLevel="0" collapsed="false">
      <c r="A1357" s="4" t="s">
        <v>56</v>
      </c>
      <c r="B1357" s="4" t="s">
        <v>12</v>
      </c>
      <c r="C1357" s="4" t="n">
        <v>6</v>
      </c>
      <c r="D1357" s="4" t="n">
        <v>2</v>
      </c>
      <c r="E1357" s="4" t="s">
        <v>536</v>
      </c>
      <c r="F1357" s="3" t="s">
        <v>358</v>
      </c>
      <c r="G1357" s="3" t="s">
        <v>585</v>
      </c>
      <c r="H1357" s="3" t="s">
        <v>357</v>
      </c>
    </row>
    <row r="1358" customFormat="false" ht="15" hidden="false" customHeight="false" outlineLevel="0" collapsed="false">
      <c r="A1358" s="4" t="s">
        <v>56</v>
      </c>
      <c r="B1358" s="4" t="s">
        <v>31</v>
      </c>
      <c r="C1358" s="4" t="n">
        <v>1</v>
      </c>
      <c r="D1358" s="4" t="n">
        <v>1</v>
      </c>
      <c r="E1358" s="4" t="s">
        <v>16</v>
      </c>
      <c r="F1358" s="3" t="s">
        <v>287</v>
      </c>
      <c r="G1358" s="3" t="s">
        <v>450</v>
      </c>
      <c r="H1358" s="3" t="s">
        <v>452</v>
      </c>
    </row>
    <row r="1359" customFormat="false" ht="15" hidden="false" customHeight="false" outlineLevel="0" collapsed="false">
      <c r="A1359" s="4" t="s">
        <v>56</v>
      </c>
      <c r="B1359" s="4" t="s">
        <v>31</v>
      </c>
      <c r="C1359" s="4" t="n">
        <v>2</v>
      </c>
      <c r="D1359" s="4" t="n">
        <v>1</v>
      </c>
      <c r="E1359" s="4" t="s">
        <v>21</v>
      </c>
      <c r="F1359" s="3" t="s">
        <v>15</v>
      </c>
      <c r="G1359" s="3" t="s">
        <v>581</v>
      </c>
      <c r="H1359" s="3" t="s">
        <v>303</v>
      </c>
    </row>
    <row r="1360" customFormat="false" ht="15" hidden="false" customHeight="false" outlineLevel="0" collapsed="false">
      <c r="A1360" s="4" t="s">
        <v>56</v>
      </c>
      <c r="B1360" s="4" t="s">
        <v>31</v>
      </c>
      <c r="C1360" s="4" t="n">
        <v>3</v>
      </c>
      <c r="D1360" s="4" t="n">
        <v>1</v>
      </c>
      <c r="E1360" s="4" t="s">
        <v>26</v>
      </c>
      <c r="F1360" s="3" t="s">
        <v>72</v>
      </c>
      <c r="G1360" s="3" t="s">
        <v>594</v>
      </c>
      <c r="H1360" s="3" t="s">
        <v>176</v>
      </c>
    </row>
    <row r="1361" customFormat="false" ht="15" hidden="false" customHeight="false" outlineLevel="0" collapsed="false">
      <c r="A1361" s="4" t="s">
        <v>56</v>
      </c>
      <c r="B1361" s="4" t="s">
        <v>31</v>
      </c>
      <c r="C1361" s="4" t="n">
        <v>4</v>
      </c>
      <c r="D1361" s="4" t="n">
        <v>1</v>
      </c>
      <c r="E1361" s="4" t="s">
        <v>34</v>
      </c>
      <c r="F1361" s="3" t="s">
        <v>101</v>
      </c>
      <c r="G1361" s="3" t="s">
        <v>582</v>
      </c>
      <c r="H1361" s="3" t="s">
        <v>111</v>
      </c>
    </row>
    <row r="1362" customFormat="false" ht="15" hidden="false" customHeight="false" outlineLevel="0" collapsed="false">
      <c r="A1362" s="4" t="s">
        <v>56</v>
      </c>
      <c r="B1362" s="4" t="s">
        <v>31</v>
      </c>
      <c r="C1362" s="4" t="n">
        <v>5</v>
      </c>
      <c r="D1362" s="4" t="n">
        <v>1</v>
      </c>
      <c r="E1362" s="4" t="s">
        <v>37</v>
      </c>
      <c r="F1362" s="3" t="s">
        <v>36</v>
      </c>
      <c r="G1362" s="3" t="s">
        <v>586</v>
      </c>
      <c r="H1362" s="3" t="s">
        <v>112</v>
      </c>
    </row>
    <row r="1363" customFormat="false" ht="15" hidden="false" customHeight="false" outlineLevel="0" collapsed="false">
      <c r="A1363" s="4" t="s">
        <v>56</v>
      </c>
      <c r="B1363" s="4" t="s">
        <v>31</v>
      </c>
      <c r="C1363" s="4" t="n">
        <v>6</v>
      </c>
      <c r="D1363" s="4" t="n">
        <v>1</v>
      </c>
      <c r="E1363" s="4" t="s">
        <v>42</v>
      </c>
      <c r="F1363" s="3" t="s">
        <v>239</v>
      </c>
      <c r="G1363" s="3" t="s">
        <v>587</v>
      </c>
      <c r="H1363" s="3" t="s">
        <v>238</v>
      </c>
    </row>
    <row r="1364" customFormat="false" ht="15" hidden="false" customHeight="false" outlineLevel="0" collapsed="false">
      <c r="A1364" s="4" t="s">
        <v>56</v>
      </c>
      <c r="B1364" s="4" t="s">
        <v>31</v>
      </c>
      <c r="C1364" s="4" t="n">
        <v>7</v>
      </c>
      <c r="D1364" s="4" t="n">
        <v>1</v>
      </c>
      <c r="E1364" s="4" t="s">
        <v>39</v>
      </c>
      <c r="F1364" s="3" t="s">
        <v>164</v>
      </c>
      <c r="G1364" s="3" t="s">
        <v>592</v>
      </c>
      <c r="H1364" s="3" t="s">
        <v>169</v>
      </c>
    </row>
    <row r="1365" customFormat="false" ht="15" hidden="false" customHeight="false" outlineLevel="0" collapsed="false">
      <c r="A1365" s="4" t="s">
        <v>56</v>
      </c>
      <c r="B1365" s="4" t="s">
        <v>40</v>
      </c>
      <c r="C1365" s="4" t="n">
        <v>1</v>
      </c>
      <c r="D1365" s="4" t="n">
        <v>1</v>
      </c>
      <c r="E1365" s="4" t="s">
        <v>16</v>
      </c>
      <c r="F1365" s="3" t="s">
        <v>72</v>
      </c>
      <c r="G1365" s="3" t="s">
        <v>594</v>
      </c>
      <c r="H1365" s="3" t="s">
        <v>177</v>
      </c>
    </row>
    <row r="1366" customFormat="false" ht="15" hidden="false" customHeight="false" outlineLevel="0" collapsed="false">
      <c r="A1366" s="4" t="s">
        <v>56</v>
      </c>
      <c r="B1366" s="4" t="s">
        <v>40</v>
      </c>
      <c r="C1366" s="4" t="n">
        <v>2</v>
      </c>
      <c r="D1366" s="4" t="n">
        <v>1</v>
      </c>
      <c r="E1366" s="4" t="s">
        <v>21</v>
      </c>
      <c r="F1366" s="3" t="s">
        <v>239</v>
      </c>
      <c r="G1366" s="3" t="s">
        <v>587</v>
      </c>
      <c r="H1366" s="3" t="s">
        <v>240</v>
      </c>
    </row>
    <row r="1367" customFormat="false" ht="15" hidden="false" customHeight="false" outlineLevel="0" collapsed="false">
      <c r="A1367" s="4" t="s">
        <v>56</v>
      </c>
      <c r="B1367" s="4" t="s">
        <v>40</v>
      </c>
      <c r="C1367" s="4" t="n">
        <v>3</v>
      </c>
      <c r="D1367" s="4" t="n">
        <v>2</v>
      </c>
      <c r="E1367" s="4" t="s">
        <v>542</v>
      </c>
      <c r="F1367" s="3" t="s">
        <v>388</v>
      </c>
      <c r="G1367" s="3" t="s">
        <v>554</v>
      </c>
      <c r="H1367" s="3" t="s">
        <v>387</v>
      </c>
    </row>
    <row r="1368" customFormat="false" ht="15" hidden="false" customHeight="false" outlineLevel="0" collapsed="false">
      <c r="A1368" s="4" t="s">
        <v>56</v>
      </c>
      <c r="B1368" s="4" t="s">
        <v>40</v>
      </c>
      <c r="C1368" s="4" t="n">
        <v>5</v>
      </c>
      <c r="D1368" s="4" t="n">
        <v>1</v>
      </c>
      <c r="E1368" s="4" t="s">
        <v>37</v>
      </c>
      <c r="F1368" s="3" t="s">
        <v>15</v>
      </c>
      <c r="G1368" s="3" t="s">
        <v>581</v>
      </c>
      <c r="H1368" s="3" t="s">
        <v>304</v>
      </c>
    </row>
    <row r="1369" customFormat="false" ht="15" hidden="false" customHeight="false" outlineLevel="0" collapsed="false">
      <c r="A1369" s="4" t="s">
        <v>56</v>
      </c>
      <c r="B1369" s="4" t="s">
        <v>40</v>
      </c>
      <c r="C1369" s="4" t="n">
        <v>6</v>
      </c>
      <c r="D1369" s="4" t="n">
        <v>2</v>
      </c>
      <c r="E1369" s="4" t="s">
        <v>536</v>
      </c>
      <c r="F1369" s="3" t="s">
        <v>164</v>
      </c>
      <c r="G1369" s="3" t="s">
        <v>592</v>
      </c>
      <c r="H1369" s="3" t="s">
        <v>171</v>
      </c>
    </row>
    <row r="1370" customFormat="false" ht="15" hidden="false" customHeight="false" outlineLevel="0" collapsed="false">
      <c r="A1370" s="4" t="s">
        <v>56</v>
      </c>
      <c r="B1370" s="4" t="s">
        <v>44</v>
      </c>
      <c r="C1370" s="4" t="n">
        <v>1</v>
      </c>
      <c r="D1370" s="4" t="n">
        <v>1</v>
      </c>
      <c r="E1370" s="4" t="s">
        <v>16</v>
      </c>
      <c r="F1370" s="3" t="s">
        <v>15</v>
      </c>
      <c r="G1370" s="3" t="s">
        <v>581</v>
      </c>
      <c r="H1370" s="3" t="s">
        <v>305</v>
      </c>
    </row>
    <row r="1371" customFormat="false" ht="15" hidden="false" customHeight="false" outlineLevel="0" collapsed="false">
      <c r="A1371" s="4" t="s">
        <v>56</v>
      </c>
      <c r="B1371" s="4" t="s">
        <v>44</v>
      </c>
      <c r="C1371" s="4" t="n">
        <v>2</v>
      </c>
      <c r="D1371" s="4" t="n">
        <v>1</v>
      </c>
      <c r="E1371" s="4" t="s">
        <v>21</v>
      </c>
      <c r="F1371" s="3" t="s">
        <v>164</v>
      </c>
      <c r="G1371" s="3" t="s">
        <v>592</v>
      </c>
      <c r="H1371" s="3" t="s">
        <v>172</v>
      </c>
    </row>
    <row r="1372" customFormat="false" ht="15" hidden="false" customHeight="false" outlineLevel="0" collapsed="false">
      <c r="A1372" s="4" t="s">
        <v>56</v>
      </c>
      <c r="B1372" s="4" t="s">
        <v>44</v>
      </c>
      <c r="C1372" s="4" t="n">
        <v>3</v>
      </c>
      <c r="D1372" s="4" t="n">
        <v>1</v>
      </c>
      <c r="E1372" s="4" t="s">
        <v>26</v>
      </c>
      <c r="F1372" s="3" t="s">
        <v>72</v>
      </c>
      <c r="G1372" s="3" t="s">
        <v>594</v>
      </c>
      <c r="H1372" s="3" t="s">
        <v>395</v>
      </c>
    </row>
    <row r="1373" customFormat="false" ht="15" hidden="false" customHeight="false" outlineLevel="0" collapsed="false">
      <c r="A1373" s="4" t="s">
        <v>56</v>
      </c>
      <c r="B1373" s="4" t="s">
        <v>44</v>
      </c>
      <c r="C1373" s="4" t="n">
        <v>4</v>
      </c>
      <c r="D1373" s="4" t="n">
        <v>1</v>
      </c>
      <c r="E1373" s="4" t="s">
        <v>34</v>
      </c>
      <c r="F1373" s="3" t="s">
        <v>101</v>
      </c>
      <c r="G1373" s="3" t="s">
        <v>589</v>
      </c>
      <c r="H1373" s="3" t="s">
        <v>115</v>
      </c>
    </row>
    <row r="1374" customFormat="false" ht="15" hidden="false" customHeight="false" outlineLevel="0" collapsed="false">
      <c r="A1374" s="4" t="s">
        <v>56</v>
      </c>
      <c r="B1374" s="4" t="s">
        <v>44</v>
      </c>
      <c r="C1374" s="4" t="n">
        <v>5</v>
      </c>
      <c r="D1374" s="4" t="n">
        <v>1</v>
      </c>
      <c r="E1374" s="4" t="s">
        <v>37</v>
      </c>
      <c r="F1374" s="3" t="s">
        <v>36</v>
      </c>
      <c r="G1374" s="3" t="s">
        <v>586</v>
      </c>
      <c r="H1374" s="3" t="s">
        <v>112</v>
      </c>
    </row>
    <row r="1375" customFormat="false" ht="15" hidden="false" customHeight="false" outlineLevel="0" collapsed="false">
      <c r="A1375" s="4" t="s">
        <v>56</v>
      </c>
      <c r="B1375" s="4" t="s">
        <v>44</v>
      </c>
      <c r="C1375" s="4" t="n">
        <v>6</v>
      </c>
      <c r="D1375" s="4" t="n">
        <v>1</v>
      </c>
      <c r="E1375" s="4" t="s">
        <v>42</v>
      </c>
      <c r="F1375" s="3" t="s">
        <v>492</v>
      </c>
      <c r="G1375" s="3" t="s">
        <v>593</v>
      </c>
      <c r="H1375" s="3" t="s">
        <v>493</v>
      </c>
    </row>
    <row r="1376" customFormat="false" ht="15" hidden="false" customHeight="false" outlineLevel="0" collapsed="false">
      <c r="A1376" s="4" t="s">
        <v>56</v>
      </c>
      <c r="B1376" s="4" t="s">
        <v>44</v>
      </c>
      <c r="C1376" s="4" t="n">
        <v>7</v>
      </c>
      <c r="D1376" s="4" t="n">
        <v>1</v>
      </c>
      <c r="E1376" s="4" t="s">
        <v>39</v>
      </c>
      <c r="F1376" s="3" t="s">
        <v>239</v>
      </c>
      <c r="G1376" s="3" t="s">
        <v>587</v>
      </c>
      <c r="H1376" s="3" t="s">
        <v>243</v>
      </c>
    </row>
    <row r="1377" customFormat="false" ht="15" hidden="false" customHeight="false" outlineLevel="0" collapsed="false">
      <c r="A1377" s="4" t="s">
        <v>56</v>
      </c>
      <c r="B1377" s="4" t="s">
        <v>47</v>
      </c>
      <c r="C1377" s="4" t="n">
        <v>1</v>
      </c>
      <c r="D1377" s="4" t="n">
        <v>1</v>
      </c>
      <c r="E1377" s="4" t="s">
        <v>16</v>
      </c>
      <c r="F1377" s="3" t="s">
        <v>287</v>
      </c>
      <c r="G1377" s="3" t="s">
        <v>450</v>
      </c>
      <c r="H1377" s="3" t="s">
        <v>452</v>
      </c>
    </row>
    <row r="1378" customFormat="false" ht="15" hidden="false" customHeight="false" outlineLevel="0" collapsed="false">
      <c r="A1378" s="4" t="s">
        <v>56</v>
      </c>
      <c r="B1378" s="4" t="s">
        <v>47</v>
      </c>
      <c r="C1378" s="4" t="n">
        <v>2</v>
      </c>
      <c r="D1378" s="4" t="n">
        <v>1</v>
      </c>
      <c r="E1378" s="4" t="s">
        <v>21</v>
      </c>
      <c r="F1378" s="3" t="s">
        <v>15</v>
      </c>
      <c r="G1378" s="3" t="s">
        <v>581</v>
      </c>
      <c r="H1378" s="3" t="s">
        <v>306</v>
      </c>
    </row>
    <row r="1379" customFormat="false" ht="15" hidden="false" customHeight="false" outlineLevel="0" collapsed="false">
      <c r="A1379" s="4" t="s">
        <v>56</v>
      </c>
      <c r="B1379" s="4" t="s">
        <v>47</v>
      </c>
      <c r="C1379" s="4" t="n">
        <v>3</v>
      </c>
      <c r="D1379" s="4" t="n">
        <v>1</v>
      </c>
      <c r="E1379" s="4" t="s">
        <v>26</v>
      </c>
      <c r="F1379" s="3" t="s">
        <v>72</v>
      </c>
      <c r="G1379" s="3" t="s">
        <v>594</v>
      </c>
      <c r="H1379" s="3" t="s">
        <v>163</v>
      </c>
    </row>
    <row r="1380" customFormat="false" ht="15" hidden="false" customHeight="false" outlineLevel="0" collapsed="false">
      <c r="A1380" s="4" t="s">
        <v>56</v>
      </c>
      <c r="B1380" s="4" t="s">
        <v>47</v>
      </c>
      <c r="C1380" s="4" t="n">
        <v>4</v>
      </c>
      <c r="D1380" s="4" t="n">
        <v>1</v>
      </c>
      <c r="E1380" s="4" t="s">
        <v>34</v>
      </c>
      <c r="F1380" s="3" t="s">
        <v>164</v>
      </c>
      <c r="G1380" s="3" t="s">
        <v>592</v>
      </c>
      <c r="H1380" s="3" t="s">
        <v>176</v>
      </c>
    </row>
    <row r="1381" customFormat="false" ht="15" hidden="false" customHeight="false" outlineLevel="0" collapsed="false">
      <c r="A1381" s="4" t="s">
        <v>56</v>
      </c>
      <c r="B1381" s="4" t="s">
        <v>47</v>
      </c>
      <c r="C1381" s="4" t="n">
        <v>5</v>
      </c>
      <c r="D1381" s="4" t="n">
        <v>1</v>
      </c>
      <c r="E1381" s="4" t="s">
        <v>37</v>
      </c>
      <c r="F1381" s="3" t="s">
        <v>492</v>
      </c>
      <c r="G1381" s="3" t="s">
        <v>593</v>
      </c>
      <c r="H1381" s="3" t="s">
        <v>494</v>
      </c>
    </row>
    <row r="1382" customFormat="false" ht="15" hidden="false" customHeight="false" outlineLevel="0" collapsed="false">
      <c r="A1382" s="4" t="s">
        <v>56</v>
      </c>
      <c r="B1382" s="4" t="s">
        <v>47</v>
      </c>
      <c r="C1382" s="4" t="n">
        <v>6</v>
      </c>
      <c r="D1382" s="4" t="n">
        <v>1</v>
      </c>
      <c r="E1382" s="4" t="s">
        <v>42</v>
      </c>
      <c r="F1382" s="3" t="s">
        <v>101</v>
      </c>
      <c r="G1382" s="3" t="s">
        <v>582</v>
      </c>
      <c r="H1382" s="3" t="s">
        <v>117</v>
      </c>
    </row>
    <row r="1383" customFormat="false" ht="15" hidden="false" customHeight="false" outlineLevel="0" collapsed="false">
      <c r="A1383" s="4" t="s">
        <v>56</v>
      </c>
      <c r="B1383" s="4" t="s">
        <v>47</v>
      </c>
      <c r="C1383" s="4" t="n">
        <v>7</v>
      </c>
      <c r="D1383" s="4" t="n">
        <v>1</v>
      </c>
      <c r="E1383" s="4" t="s">
        <v>39</v>
      </c>
      <c r="F1383" s="3" t="s">
        <v>239</v>
      </c>
      <c r="G1383" s="3" t="s">
        <v>587</v>
      </c>
      <c r="H1383" s="3" t="s">
        <v>244</v>
      </c>
    </row>
    <row r="1384" customFormat="false" ht="15" hidden="false" customHeight="false" outlineLevel="0" collapsed="false">
      <c r="A1384" s="4" t="s">
        <v>56</v>
      </c>
      <c r="B1384" s="4" t="s">
        <v>50</v>
      </c>
      <c r="C1384" s="4" t="n">
        <v>1</v>
      </c>
      <c r="D1384" s="4" t="n">
        <v>1</v>
      </c>
      <c r="E1384" s="4" t="s">
        <v>16</v>
      </c>
      <c r="F1384" s="3" t="s">
        <v>492</v>
      </c>
      <c r="G1384" s="3" t="s">
        <v>593</v>
      </c>
      <c r="H1384" s="3" t="s">
        <v>493</v>
      </c>
    </row>
    <row r="1385" customFormat="false" ht="15" hidden="false" customHeight="false" outlineLevel="0" collapsed="false">
      <c r="A1385" s="4" t="s">
        <v>56</v>
      </c>
      <c r="B1385" s="4" t="s">
        <v>50</v>
      </c>
      <c r="C1385" s="4" t="n">
        <v>2</v>
      </c>
      <c r="D1385" s="4" t="n">
        <v>1</v>
      </c>
      <c r="E1385" s="4" t="s">
        <v>21</v>
      </c>
      <c r="F1385" s="3" t="s">
        <v>15</v>
      </c>
      <c r="G1385" s="3" t="s">
        <v>581</v>
      </c>
      <c r="H1385" s="3" t="s">
        <v>307</v>
      </c>
    </row>
    <row r="1386" customFormat="false" ht="15" hidden="false" customHeight="false" outlineLevel="0" collapsed="false">
      <c r="A1386" s="4" t="s">
        <v>56</v>
      </c>
      <c r="B1386" s="4" t="s">
        <v>50</v>
      </c>
      <c r="C1386" s="4" t="n">
        <v>3</v>
      </c>
      <c r="D1386" s="4" t="n">
        <v>1</v>
      </c>
      <c r="E1386" s="4" t="s">
        <v>26</v>
      </c>
      <c r="F1386" s="3" t="s">
        <v>101</v>
      </c>
      <c r="G1386" s="3" t="s">
        <v>589</v>
      </c>
      <c r="H1386" s="3" t="s">
        <v>115</v>
      </c>
    </row>
    <row r="1387" customFormat="false" ht="15" hidden="false" customHeight="false" outlineLevel="0" collapsed="false">
      <c r="A1387" s="4" t="s">
        <v>56</v>
      </c>
      <c r="B1387" s="4" t="s">
        <v>50</v>
      </c>
      <c r="C1387" s="4" t="n">
        <v>4</v>
      </c>
      <c r="D1387" s="4" t="n">
        <v>1</v>
      </c>
      <c r="E1387" s="4" t="s">
        <v>34</v>
      </c>
      <c r="F1387" s="3" t="s">
        <v>164</v>
      </c>
      <c r="G1387" s="3" t="s">
        <v>592</v>
      </c>
      <c r="H1387" s="3" t="s">
        <v>177</v>
      </c>
    </row>
    <row r="1388" customFormat="false" ht="15" hidden="false" customHeight="false" outlineLevel="0" collapsed="false">
      <c r="A1388" s="4" t="s">
        <v>56</v>
      </c>
      <c r="B1388" s="4" t="s">
        <v>50</v>
      </c>
      <c r="C1388" s="4" t="n">
        <v>5</v>
      </c>
      <c r="D1388" s="4" t="n">
        <v>1</v>
      </c>
      <c r="E1388" s="4" t="s">
        <v>37</v>
      </c>
      <c r="F1388" s="3" t="s">
        <v>72</v>
      </c>
      <c r="G1388" s="3" t="s">
        <v>594</v>
      </c>
      <c r="H1388" s="3" t="s">
        <v>180</v>
      </c>
    </row>
    <row r="1389" customFormat="false" ht="15" hidden="false" customHeight="false" outlineLevel="0" collapsed="false">
      <c r="A1389" s="4" t="s">
        <v>56</v>
      </c>
      <c r="B1389" s="4" t="s">
        <v>50</v>
      </c>
      <c r="C1389" s="4" t="n">
        <v>6</v>
      </c>
      <c r="D1389" s="4" t="n">
        <v>2</v>
      </c>
      <c r="E1389" s="4" t="s">
        <v>536</v>
      </c>
      <c r="F1389" s="3" t="s">
        <v>54</v>
      </c>
      <c r="G1389" s="3" t="s">
        <v>591</v>
      </c>
      <c r="H1389" s="3" t="s">
        <v>53</v>
      </c>
    </row>
    <row r="1390" customFormat="false" ht="15" hidden="false" customHeight="false" outlineLevel="0" collapsed="false">
      <c r="A1390" s="4" t="s">
        <v>56</v>
      </c>
      <c r="B1390" s="4" t="s">
        <v>60</v>
      </c>
      <c r="C1390" s="4" t="n">
        <v>1</v>
      </c>
      <c r="D1390" s="4" t="n">
        <v>1</v>
      </c>
      <c r="E1390" s="4" t="s">
        <v>16</v>
      </c>
      <c r="F1390" s="3" t="s">
        <v>492</v>
      </c>
      <c r="G1390" s="3" t="s">
        <v>593</v>
      </c>
      <c r="H1390" s="3" t="s">
        <v>494</v>
      </c>
    </row>
    <row r="1391" customFormat="false" ht="15" hidden="false" customHeight="false" outlineLevel="0" collapsed="false">
      <c r="A1391" s="4" t="s">
        <v>56</v>
      </c>
      <c r="B1391" s="4" t="s">
        <v>60</v>
      </c>
      <c r="C1391" s="4" t="n">
        <v>2</v>
      </c>
      <c r="D1391" s="4" t="n">
        <v>1</v>
      </c>
      <c r="E1391" s="4" t="s">
        <v>21</v>
      </c>
      <c r="F1391" s="3" t="s">
        <v>239</v>
      </c>
      <c r="G1391" s="3" t="s">
        <v>587</v>
      </c>
      <c r="H1391" s="3" t="s">
        <v>248</v>
      </c>
    </row>
    <row r="1392" customFormat="false" ht="15" hidden="false" customHeight="false" outlineLevel="0" collapsed="false">
      <c r="A1392" s="4" t="s">
        <v>56</v>
      </c>
      <c r="B1392" s="4" t="s">
        <v>60</v>
      </c>
      <c r="C1392" s="4" t="n">
        <v>3</v>
      </c>
      <c r="D1392" s="4" t="n">
        <v>1</v>
      </c>
      <c r="E1392" s="4" t="s">
        <v>26</v>
      </c>
      <c r="F1392" s="3" t="s">
        <v>15</v>
      </c>
      <c r="G1392" s="3" t="s">
        <v>581</v>
      </c>
      <c r="H1392" s="3" t="s">
        <v>306</v>
      </c>
    </row>
    <row r="1393" customFormat="false" ht="15" hidden="false" customHeight="false" outlineLevel="0" collapsed="false">
      <c r="A1393" s="4" t="s">
        <v>56</v>
      </c>
      <c r="B1393" s="4" t="s">
        <v>60</v>
      </c>
      <c r="C1393" s="4" t="n">
        <v>4</v>
      </c>
      <c r="D1393" s="4" t="n">
        <v>1</v>
      </c>
      <c r="E1393" s="4" t="s">
        <v>34</v>
      </c>
      <c r="F1393" s="3" t="s">
        <v>101</v>
      </c>
      <c r="G1393" s="3" t="s">
        <v>582</v>
      </c>
      <c r="H1393" s="3" t="s">
        <v>119</v>
      </c>
    </row>
    <row r="1394" customFormat="false" ht="15" hidden="false" customHeight="false" outlineLevel="0" collapsed="false">
      <c r="A1394" s="4" t="s">
        <v>56</v>
      </c>
      <c r="B1394" s="4" t="s">
        <v>60</v>
      </c>
      <c r="C1394" s="4" t="n">
        <v>5</v>
      </c>
      <c r="D1394" s="4" t="n">
        <v>1</v>
      </c>
      <c r="E1394" s="4" t="s">
        <v>37</v>
      </c>
      <c r="F1394" s="3" t="s">
        <v>36</v>
      </c>
      <c r="G1394" s="3" t="s">
        <v>586</v>
      </c>
      <c r="H1394" s="3" t="s">
        <v>112</v>
      </c>
    </row>
    <row r="1395" customFormat="false" ht="15" hidden="false" customHeight="false" outlineLevel="0" collapsed="false">
      <c r="A1395" s="4" t="s">
        <v>56</v>
      </c>
      <c r="B1395" s="4" t="s">
        <v>60</v>
      </c>
      <c r="C1395" s="4" t="n">
        <v>6</v>
      </c>
      <c r="D1395" s="4" t="n">
        <v>1</v>
      </c>
      <c r="E1395" s="4" t="s">
        <v>42</v>
      </c>
      <c r="F1395" s="3" t="s">
        <v>164</v>
      </c>
      <c r="G1395" s="3" t="s">
        <v>592</v>
      </c>
      <c r="H1395" s="3" t="s">
        <v>169</v>
      </c>
    </row>
    <row r="1396" customFormat="false" ht="15" hidden="false" customHeight="false" outlineLevel="0" collapsed="false">
      <c r="A1396" s="4" t="s">
        <v>56</v>
      </c>
      <c r="B1396" s="4" t="s">
        <v>60</v>
      </c>
      <c r="C1396" s="4" t="n">
        <v>7</v>
      </c>
      <c r="D1396" s="4" t="n">
        <v>1</v>
      </c>
      <c r="E1396" s="4" t="s">
        <v>39</v>
      </c>
      <c r="F1396" s="3" t="s">
        <v>72</v>
      </c>
      <c r="G1396" s="3" t="s">
        <v>594</v>
      </c>
      <c r="H1396" s="3" t="s">
        <v>176</v>
      </c>
    </row>
    <row r="1397" customFormat="false" ht="15" hidden="false" customHeight="false" outlineLevel="0" collapsed="false">
      <c r="A1397" s="4" t="s">
        <v>56</v>
      </c>
      <c r="B1397" s="4" t="s">
        <v>63</v>
      </c>
      <c r="C1397" s="4" t="n">
        <v>1</v>
      </c>
      <c r="D1397" s="4" t="n">
        <v>2</v>
      </c>
      <c r="E1397" s="4" t="s">
        <v>539</v>
      </c>
      <c r="F1397" s="3" t="s">
        <v>72</v>
      </c>
      <c r="G1397" s="3" t="s">
        <v>594</v>
      </c>
      <c r="H1397" s="3" t="s">
        <v>398</v>
      </c>
    </row>
    <row r="1398" customFormat="false" ht="15" hidden="false" customHeight="false" outlineLevel="0" collapsed="false">
      <c r="A1398" s="4" t="s">
        <v>56</v>
      </c>
      <c r="B1398" s="4" t="s">
        <v>63</v>
      </c>
      <c r="C1398" s="4" t="n">
        <v>3</v>
      </c>
      <c r="D1398" s="4" t="n">
        <v>1</v>
      </c>
      <c r="E1398" s="4" t="s">
        <v>26</v>
      </c>
      <c r="F1398" s="3" t="s">
        <v>164</v>
      </c>
      <c r="G1398" s="3" t="s">
        <v>592</v>
      </c>
      <c r="H1398" s="3" t="s">
        <v>180</v>
      </c>
    </row>
    <row r="1399" customFormat="false" ht="15" hidden="false" customHeight="false" outlineLevel="0" collapsed="false">
      <c r="A1399" s="4" t="s">
        <v>56</v>
      </c>
      <c r="B1399" s="4" t="s">
        <v>63</v>
      </c>
      <c r="C1399" s="4" t="n">
        <v>4</v>
      </c>
      <c r="D1399" s="4" t="n">
        <v>1</v>
      </c>
      <c r="E1399" s="4" t="s">
        <v>34</v>
      </c>
      <c r="F1399" s="3" t="s">
        <v>287</v>
      </c>
      <c r="G1399" s="3" t="s">
        <v>450</v>
      </c>
      <c r="H1399" s="3" t="s">
        <v>452</v>
      </c>
    </row>
    <row r="1400" customFormat="false" ht="15" hidden="false" customHeight="false" outlineLevel="0" collapsed="false">
      <c r="A1400" s="4" t="s">
        <v>56</v>
      </c>
      <c r="B1400" s="4" t="s">
        <v>63</v>
      </c>
      <c r="C1400" s="4" t="n">
        <v>5</v>
      </c>
      <c r="D1400" s="4" t="n">
        <v>1</v>
      </c>
      <c r="E1400" s="4" t="s">
        <v>37</v>
      </c>
      <c r="F1400" s="3" t="s">
        <v>492</v>
      </c>
      <c r="G1400" s="3" t="s">
        <v>593</v>
      </c>
      <c r="H1400" s="3" t="s">
        <v>494</v>
      </c>
    </row>
    <row r="1401" customFormat="false" ht="15" hidden="false" customHeight="false" outlineLevel="0" collapsed="false">
      <c r="A1401" s="4" t="s">
        <v>56</v>
      </c>
      <c r="B1401" s="4" t="s">
        <v>63</v>
      </c>
      <c r="C1401" s="4" t="n">
        <v>6</v>
      </c>
      <c r="D1401" s="4" t="n">
        <v>1</v>
      </c>
      <c r="E1401" s="4" t="s">
        <v>42</v>
      </c>
      <c r="F1401" s="3" t="s">
        <v>239</v>
      </c>
      <c r="G1401" s="3" t="s">
        <v>587</v>
      </c>
      <c r="H1401" s="3" t="s">
        <v>249</v>
      </c>
    </row>
    <row r="1402" customFormat="false" ht="15" hidden="false" customHeight="false" outlineLevel="0" collapsed="false">
      <c r="A1402" s="4" t="s">
        <v>56</v>
      </c>
      <c r="B1402" s="4" t="s">
        <v>63</v>
      </c>
      <c r="C1402" s="4" t="n">
        <v>7</v>
      </c>
      <c r="D1402" s="4" t="n">
        <v>1</v>
      </c>
      <c r="E1402" s="4" t="s">
        <v>39</v>
      </c>
      <c r="F1402" s="3" t="s">
        <v>15</v>
      </c>
      <c r="G1402" s="3" t="s">
        <v>581</v>
      </c>
      <c r="H1402" s="3" t="s">
        <v>304</v>
      </c>
    </row>
    <row r="1403" customFormat="false" ht="15" hidden="false" customHeight="false" outlineLevel="0" collapsed="false">
      <c r="A1403" s="4" t="s">
        <v>56</v>
      </c>
      <c r="B1403" s="4" t="s">
        <v>65</v>
      </c>
      <c r="C1403" s="4" t="n">
        <v>1</v>
      </c>
      <c r="D1403" s="4" t="n">
        <v>1</v>
      </c>
      <c r="E1403" s="4" t="s">
        <v>16</v>
      </c>
      <c r="F1403" s="3" t="s">
        <v>492</v>
      </c>
      <c r="G1403" s="3" t="s">
        <v>593</v>
      </c>
      <c r="H1403" s="3" t="s">
        <v>495</v>
      </c>
    </row>
    <row r="1404" customFormat="false" ht="15" hidden="false" customHeight="false" outlineLevel="0" collapsed="false">
      <c r="A1404" s="4" t="s">
        <v>56</v>
      </c>
      <c r="B1404" s="4" t="s">
        <v>65</v>
      </c>
      <c r="C1404" s="4" t="n">
        <v>2</v>
      </c>
      <c r="D1404" s="4" t="n">
        <v>1</v>
      </c>
      <c r="E1404" s="4" t="s">
        <v>21</v>
      </c>
      <c r="F1404" s="3" t="s">
        <v>164</v>
      </c>
      <c r="G1404" s="3" t="s">
        <v>592</v>
      </c>
      <c r="H1404" s="3" t="s">
        <v>171</v>
      </c>
    </row>
    <row r="1405" customFormat="false" ht="15" hidden="false" customHeight="false" outlineLevel="0" collapsed="false">
      <c r="A1405" s="4" t="s">
        <v>56</v>
      </c>
      <c r="B1405" s="4" t="s">
        <v>65</v>
      </c>
      <c r="C1405" s="4" t="n">
        <v>3</v>
      </c>
      <c r="D1405" s="4" t="n">
        <v>1</v>
      </c>
      <c r="E1405" s="4" t="s">
        <v>26</v>
      </c>
      <c r="F1405" s="3" t="s">
        <v>101</v>
      </c>
      <c r="G1405" s="3" t="s">
        <v>589</v>
      </c>
      <c r="H1405" s="3" t="s">
        <v>121</v>
      </c>
    </row>
    <row r="1406" customFormat="false" ht="15" hidden="false" customHeight="false" outlineLevel="0" collapsed="false">
      <c r="A1406" s="4" t="s">
        <v>56</v>
      </c>
      <c r="B1406" s="4" t="s">
        <v>65</v>
      </c>
      <c r="C1406" s="4" t="n">
        <v>4</v>
      </c>
      <c r="D1406" s="4" t="n">
        <v>1</v>
      </c>
      <c r="E1406" s="4" t="s">
        <v>34</v>
      </c>
      <c r="F1406" s="3" t="s">
        <v>15</v>
      </c>
      <c r="G1406" s="3" t="s">
        <v>581</v>
      </c>
      <c r="H1406" s="3" t="s">
        <v>306</v>
      </c>
    </row>
    <row r="1407" customFormat="false" ht="15" hidden="false" customHeight="false" outlineLevel="0" collapsed="false">
      <c r="A1407" s="4" t="s">
        <v>56</v>
      </c>
      <c r="B1407" s="4" t="s">
        <v>65</v>
      </c>
      <c r="C1407" s="4" t="n">
        <v>5</v>
      </c>
      <c r="D1407" s="4" t="n">
        <v>1</v>
      </c>
      <c r="E1407" s="4" t="s">
        <v>37</v>
      </c>
      <c r="F1407" s="3" t="s">
        <v>36</v>
      </c>
      <c r="G1407" s="3" t="s">
        <v>586</v>
      </c>
      <c r="H1407" s="3" t="s">
        <v>112</v>
      </c>
    </row>
    <row r="1408" customFormat="false" ht="15" hidden="false" customHeight="false" outlineLevel="0" collapsed="false">
      <c r="A1408" s="4" t="s">
        <v>56</v>
      </c>
      <c r="B1408" s="4" t="s">
        <v>65</v>
      </c>
      <c r="C1408" s="4" t="n">
        <v>6</v>
      </c>
      <c r="D1408" s="4" t="n">
        <v>1</v>
      </c>
      <c r="E1408" s="4" t="s">
        <v>42</v>
      </c>
      <c r="F1408" s="3" t="s">
        <v>72</v>
      </c>
      <c r="G1408" s="3" t="s">
        <v>594</v>
      </c>
      <c r="H1408" s="3" t="s">
        <v>163</v>
      </c>
    </row>
    <row r="1409" customFormat="false" ht="15" hidden="false" customHeight="false" outlineLevel="0" collapsed="false">
      <c r="A1409" s="4" t="s">
        <v>56</v>
      </c>
      <c r="B1409" s="4" t="s">
        <v>65</v>
      </c>
      <c r="C1409" s="4" t="n">
        <v>7</v>
      </c>
      <c r="D1409" s="4" t="n">
        <v>1</v>
      </c>
      <c r="E1409" s="4" t="s">
        <v>39</v>
      </c>
      <c r="F1409" s="3" t="s">
        <v>239</v>
      </c>
      <c r="G1409" s="3" t="s">
        <v>587</v>
      </c>
      <c r="H1409" s="3" t="s">
        <v>251</v>
      </c>
    </row>
    <row r="1410" customFormat="false" ht="15" hidden="false" customHeight="false" outlineLevel="0" collapsed="false">
      <c r="A1410" s="4" t="s">
        <v>56</v>
      </c>
      <c r="B1410" s="4" t="s">
        <v>66</v>
      </c>
      <c r="C1410" s="4" t="n">
        <v>1</v>
      </c>
      <c r="D1410" s="4" t="n">
        <v>1</v>
      </c>
      <c r="E1410" s="4" t="s">
        <v>16</v>
      </c>
      <c r="F1410" s="3" t="s">
        <v>239</v>
      </c>
      <c r="G1410" s="3" t="s">
        <v>587</v>
      </c>
      <c r="H1410" s="3" t="s">
        <v>252</v>
      </c>
    </row>
    <row r="1411" customFormat="false" ht="15" hidden="false" customHeight="false" outlineLevel="0" collapsed="false">
      <c r="A1411" s="4" t="s">
        <v>56</v>
      </c>
      <c r="B1411" s="4" t="s">
        <v>66</v>
      </c>
      <c r="C1411" s="4" t="n">
        <v>2</v>
      </c>
      <c r="D1411" s="4" t="n">
        <v>1</v>
      </c>
      <c r="E1411" s="4" t="s">
        <v>21</v>
      </c>
      <c r="F1411" s="3" t="s">
        <v>72</v>
      </c>
      <c r="G1411" s="3" t="s">
        <v>594</v>
      </c>
      <c r="H1411" s="3" t="s">
        <v>177</v>
      </c>
    </row>
    <row r="1412" customFormat="false" ht="15" hidden="false" customHeight="false" outlineLevel="0" collapsed="false">
      <c r="A1412" s="4" t="s">
        <v>56</v>
      </c>
      <c r="B1412" s="4" t="s">
        <v>66</v>
      </c>
      <c r="C1412" s="4" t="n">
        <v>3</v>
      </c>
      <c r="D1412" s="4" t="n">
        <v>1</v>
      </c>
      <c r="E1412" s="4" t="s">
        <v>26</v>
      </c>
      <c r="F1412" s="3" t="s">
        <v>164</v>
      </c>
      <c r="G1412" s="3" t="s">
        <v>592</v>
      </c>
      <c r="H1412" s="3" t="s">
        <v>176</v>
      </c>
    </row>
    <row r="1413" customFormat="false" ht="15" hidden="false" customHeight="false" outlineLevel="0" collapsed="false">
      <c r="A1413" s="4" t="s">
        <v>56</v>
      </c>
      <c r="B1413" s="4" t="s">
        <v>66</v>
      </c>
      <c r="C1413" s="4" t="n">
        <v>4</v>
      </c>
      <c r="D1413" s="4" t="n">
        <v>1</v>
      </c>
      <c r="E1413" s="4" t="s">
        <v>34</v>
      </c>
      <c r="F1413" s="3" t="s">
        <v>287</v>
      </c>
      <c r="G1413" s="3" t="s">
        <v>450</v>
      </c>
      <c r="H1413" s="3" t="s">
        <v>452</v>
      </c>
    </row>
    <row r="1414" customFormat="false" ht="15" hidden="false" customHeight="false" outlineLevel="0" collapsed="false">
      <c r="A1414" s="4" t="s">
        <v>56</v>
      </c>
      <c r="B1414" s="4" t="s">
        <v>66</v>
      </c>
      <c r="C1414" s="4" t="n">
        <v>5</v>
      </c>
      <c r="D1414" s="4" t="n">
        <v>1</v>
      </c>
      <c r="E1414" s="4" t="s">
        <v>37</v>
      </c>
      <c r="F1414" s="3" t="s">
        <v>101</v>
      </c>
      <c r="G1414" s="3" t="s">
        <v>582</v>
      </c>
      <c r="H1414" s="3" t="s">
        <v>122</v>
      </c>
    </row>
    <row r="1415" customFormat="false" ht="15" hidden="false" customHeight="false" outlineLevel="0" collapsed="false">
      <c r="A1415" s="4" t="s">
        <v>56</v>
      </c>
      <c r="B1415" s="4" t="s">
        <v>66</v>
      </c>
      <c r="C1415" s="4" t="n">
        <v>6</v>
      </c>
      <c r="D1415" s="4" t="n">
        <v>1</v>
      </c>
      <c r="E1415" s="4" t="s">
        <v>42</v>
      </c>
      <c r="F1415" s="3" t="s">
        <v>15</v>
      </c>
      <c r="G1415" s="3" t="s">
        <v>581</v>
      </c>
      <c r="H1415" s="3" t="s">
        <v>306</v>
      </c>
    </row>
    <row r="1416" customFormat="false" ht="15" hidden="false" customHeight="false" outlineLevel="0" collapsed="false">
      <c r="A1416" s="4" t="s">
        <v>56</v>
      </c>
      <c r="B1416" s="4" t="s">
        <v>66</v>
      </c>
      <c r="C1416" s="4" t="n">
        <v>7</v>
      </c>
      <c r="D1416" s="4" t="n">
        <v>1</v>
      </c>
      <c r="E1416" s="4" t="s">
        <v>39</v>
      </c>
      <c r="F1416" s="3" t="s">
        <v>492</v>
      </c>
      <c r="G1416" s="3" t="s">
        <v>593</v>
      </c>
      <c r="H1416" s="3" t="s">
        <v>494</v>
      </c>
    </row>
    <row r="1417" customFormat="false" ht="15" hidden="false" customHeight="false" outlineLevel="0" collapsed="false">
      <c r="A1417" s="4" t="s">
        <v>52</v>
      </c>
      <c r="B1417" s="4" t="s">
        <v>12</v>
      </c>
      <c r="C1417" s="4" t="n">
        <v>1</v>
      </c>
      <c r="D1417" s="4" t="n">
        <v>1</v>
      </c>
      <c r="E1417" s="4" t="s">
        <v>16</v>
      </c>
      <c r="F1417" s="3" t="s">
        <v>15</v>
      </c>
      <c r="G1417" s="3" t="s">
        <v>581</v>
      </c>
      <c r="H1417" s="3" t="s">
        <v>301</v>
      </c>
    </row>
    <row r="1418" customFormat="false" ht="15" hidden="false" customHeight="false" outlineLevel="0" collapsed="false">
      <c r="A1418" s="4" t="s">
        <v>52</v>
      </c>
      <c r="B1418" s="4" t="s">
        <v>12</v>
      </c>
      <c r="C1418" s="4" t="n">
        <v>2</v>
      </c>
      <c r="D1418" s="4" t="n">
        <v>1</v>
      </c>
      <c r="E1418" s="4" t="s">
        <v>21</v>
      </c>
      <c r="F1418" s="3" t="s">
        <v>164</v>
      </c>
      <c r="G1418" s="3" t="s">
        <v>592</v>
      </c>
      <c r="H1418" s="3" t="s">
        <v>163</v>
      </c>
    </row>
    <row r="1419" customFormat="false" ht="15" hidden="false" customHeight="false" outlineLevel="0" collapsed="false">
      <c r="A1419" s="4" t="s">
        <v>52</v>
      </c>
      <c r="B1419" s="4" t="s">
        <v>12</v>
      </c>
      <c r="C1419" s="4" t="n">
        <v>3</v>
      </c>
      <c r="D1419" s="4" t="n">
        <v>1</v>
      </c>
      <c r="E1419" s="4" t="s">
        <v>26</v>
      </c>
      <c r="F1419" s="3" t="s">
        <v>101</v>
      </c>
      <c r="G1419" s="3" t="s">
        <v>582</v>
      </c>
      <c r="H1419" s="3" t="s">
        <v>100</v>
      </c>
    </row>
    <row r="1420" customFormat="false" ht="15" hidden="false" customHeight="false" outlineLevel="0" collapsed="false">
      <c r="A1420" s="4" t="s">
        <v>52</v>
      </c>
      <c r="B1420" s="4" t="s">
        <v>12</v>
      </c>
      <c r="C1420" s="4" t="n">
        <v>4</v>
      </c>
      <c r="D1420" s="4" t="n">
        <v>1</v>
      </c>
      <c r="E1420" s="4" t="s">
        <v>34</v>
      </c>
      <c r="F1420" s="3" t="s">
        <v>287</v>
      </c>
      <c r="G1420" s="3" t="s">
        <v>283</v>
      </c>
      <c r="H1420" s="3" t="s">
        <v>286</v>
      </c>
    </row>
    <row r="1421" customFormat="false" ht="15" hidden="false" customHeight="false" outlineLevel="0" collapsed="false">
      <c r="A1421" s="4" t="s">
        <v>52</v>
      </c>
      <c r="B1421" s="4" t="s">
        <v>12</v>
      </c>
      <c r="C1421" s="4" t="n">
        <v>5</v>
      </c>
      <c r="D1421" s="4" t="n">
        <v>1</v>
      </c>
      <c r="E1421" s="4" t="s">
        <v>37</v>
      </c>
      <c r="F1421" s="3" t="s">
        <v>72</v>
      </c>
      <c r="G1421" s="3" t="s">
        <v>594</v>
      </c>
      <c r="H1421" s="3" t="s">
        <v>169</v>
      </c>
    </row>
    <row r="1422" customFormat="false" ht="15" hidden="false" customHeight="false" outlineLevel="0" collapsed="false">
      <c r="A1422" s="4" t="s">
        <v>52</v>
      </c>
      <c r="B1422" s="4" t="s">
        <v>12</v>
      </c>
      <c r="C1422" s="4" t="n">
        <v>6</v>
      </c>
      <c r="D1422" s="4" t="n">
        <v>2</v>
      </c>
      <c r="E1422" s="4" t="s">
        <v>536</v>
      </c>
      <c r="F1422" s="3" t="s">
        <v>358</v>
      </c>
      <c r="G1422" s="3" t="s">
        <v>585</v>
      </c>
      <c r="H1422" s="3" t="s">
        <v>357</v>
      </c>
    </row>
    <row r="1423" customFormat="false" ht="15" hidden="false" customHeight="false" outlineLevel="0" collapsed="false">
      <c r="A1423" s="4" t="s">
        <v>52</v>
      </c>
      <c r="B1423" s="4" t="s">
        <v>31</v>
      </c>
      <c r="C1423" s="4" t="n">
        <v>1</v>
      </c>
      <c r="D1423" s="4" t="n">
        <v>1</v>
      </c>
      <c r="E1423" s="4" t="s">
        <v>16</v>
      </c>
      <c r="F1423" s="3" t="s">
        <v>235</v>
      </c>
      <c r="G1423" s="3" t="s">
        <v>479</v>
      </c>
      <c r="H1423" s="3" t="s">
        <v>246</v>
      </c>
    </row>
    <row r="1424" customFormat="false" ht="15" hidden="false" customHeight="false" outlineLevel="0" collapsed="false">
      <c r="A1424" s="4" t="s">
        <v>52</v>
      </c>
      <c r="B1424" s="4" t="s">
        <v>31</v>
      </c>
      <c r="C1424" s="4" t="n">
        <v>2</v>
      </c>
      <c r="D1424" s="4" t="n">
        <v>1</v>
      </c>
      <c r="E1424" s="4" t="s">
        <v>21</v>
      </c>
      <c r="F1424" s="3" t="s">
        <v>15</v>
      </c>
      <c r="G1424" s="3" t="s">
        <v>581</v>
      </c>
      <c r="H1424" s="3" t="s">
        <v>303</v>
      </c>
    </row>
    <row r="1425" customFormat="false" ht="15" hidden="false" customHeight="false" outlineLevel="0" collapsed="false">
      <c r="A1425" s="4" t="s">
        <v>52</v>
      </c>
      <c r="B1425" s="4" t="s">
        <v>31</v>
      </c>
      <c r="C1425" s="4" t="n">
        <v>3</v>
      </c>
      <c r="D1425" s="4" t="n">
        <v>1</v>
      </c>
      <c r="E1425" s="4" t="s">
        <v>26</v>
      </c>
      <c r="F1425" s="3" t="s">
        <v>72</v>
      </c>
      <c r="G1425" s="3" t="s">
        <v>594</v>
      </c>
      <c r="H1425" s="3" t="s">
        <v>176</v>
      </c>
    </row>
    <row r="1426" customFormat="false" ht="15" hidden="false" customHeight="false" outlineLevel="0" collapsed="false">
      <c r="A1426" s="4" t="s">
        <v>52</v>
      </c>
      <c r="B1426" s="4" t="s">
        <v>31</v>
      </c>
      <c r="C1426" s="4" t="n">
        <v>4</v>
      </c>
      <c r="D1426" s="4" t="n">
        <v>1</v>
      </c>
      <c r="E1426" s="4" t="s">
        <v>34</v>
      </c>
      <c r="F1426" s="3" t="s">
        <v>101</v>
      </c>
      <c r="G1426" s="3" t="s">
        <v>582</v>
      </c>
      <c r="H1426" s="3" t="s">
        <v>111</v>
      </c>
    </row>
    <row r="1427" customFormat="false" ht="15" hidden="false" customHeight="false" outlineLevel="0" collapsed="false">
      <c r="A1427" s="4" t="s">
        <v>52</v>
      </c>
      <c r="B1427" s="4" t="s">
        <v>31</v>
      </c>
      <c r="C1427" s="4" t="n">
        <v>5</v>
      </c>
      <c r="D1427" s="4" t="n">
        <v>1</v>
      </c>
      <c r="E1427" s="4" t="s">
        <v>37</v>
      </c>
      <c r="F1427" s="3" t="s">
        <v>36</v>
      </c>
      <c r="G1427" s="3" t="s">
        <v>586</v>
      </c>
      <c r="H1427" s="3" t="s">
        <v>112</v>
      </c>
    </row>
    <row r="1428" customFormat="false" ht="15" hidden="false" customHeight="false" outlineLevel="0" collapsed="false">
      <c r="A1428" s="4" t="s">
        <v>52</v>
      </c>
      <c r="B1428" s="4" t="s">
        <v>31</v>
      </c>
      <c r="C1428" s="4" t="n">
        <v>6</v>
      </c>
      <c r="D1428" s="4" t="n">
        <v>1</v>
      </c>
      <c r="E1428" s="4" t="s">
        <v>42</v>
      </c>
      <c r="F1428" s="3" t="s">
        <v>239</v>
      </c>
      <c r="G1428" s="3" t="s">
        <v>587</v>
      </c>
      <c r="H1428" s="3" t="s">
        <v>238</v>
      </c>
    </row>
    <row r="1429" customFormat="false" ht="15" hidden="false" customHeight="false" outlineLevel="0" collapsed="false">
      <c r="A1429" s="4" t="s">
        <v>52</v>
      </c>
      <c r="B1429" s="4" t="s">
        <v>31</v>
      </c>
      <c r="C1429" s="4" t="n">
        <v>7</v>
      </c>
      <c r="D1429" s="4" t="n">
        <v>1</v>
      </c>
      <c r="E1429" s="4" t="s">
        <v>39</v>
      </c>
      <c r="F1429" s="3" t="s">
        <v>164</v>
      </c>
      <c r="G1429" s="3" t="s">
        <v>592</v>
      </c>
      <c r="H1429" s="3" t="s">
        <v>169</v>
      </c>
    </row>
    <row r="1430" customFormat="false" ht="15" hidden="false" customHeight="false" outlineLevel="0" collapsed="false">
      <c r="A1430" s="4" t="s">
        <v>52</v>
      </c>
      <c r="B1430" s="4" t="s">
        <v>40</v>
      </c>
      <c r="C1430" s="4" t="n">
        <v>1</v>
      </c>
      <c r="D1430" s="4" t="n">
        <v>1</v>
      </c>
      <c r="E1430" s="4" t="s">
        <v>16</v>
      </c>
      <c r="F1430" s="3" t="s">
        <v>72</v>
      </c>
      <c r="G1430" s="3" t="s">
        <v>594</v>
      </c>
      <c r="H1430" s="3" t="s">
        <v>177</v>
      </c>
    </row>
    <row r="1431" customFormat="false" ht="15" hidden="false" customHeight="false" outlineLevel="0" collapsed="false">
      <c r="A1431" s="4" t="s">
        <v>52</v>
      </c>
      <c r="B1431" s="4" t="s">
        <v>40</v>
      </c>
      <c r="C1431" s="4" t="n">
        <v>2</v>
      </c>
      <c r="D1431" s="4" t="n">
        <v>1</v>
      </c>
      <c r="E1431" s="4" t="s">
        <v>21</v>
      </c>
      <c r="F1431" s="3" t="s">
        <v>239</v>
      </c>
      <c r="G1431" s="3" t="s">
        <v>587</v>
      </c>
      <c r="H1431" s="3" t="s">
        <v>240</v>
      </c>
    </row>
    <row r="1432" customFormat="false" ht="15" hidden="false" customHeight="false" outlineLevel="0" collapsed="false">
      <c r="A1432" s="4" t="s">
        <v>52</v>
      </c>
      <c r="B1432" s="4" t="s">
        <v>40</v>
      </c>
      <c r="C1432" s="4" t="n">
        <v>3</v>
      </c>
      <c r="D1432" s="4" t="n">
        <v>1</v>
      </c>
      <c r="E1432" s="4" t="s">
        <v>26</v>
      </c>
      <c r="F1432" s="3" t="s">
        <v>235</v>
      </c>
      <c r="G1432" s="3" t="s">
        <v>479</v>
      </c>
      <c r="H1432" s="3" t="s">
        <v>246</v>
      </c>
    </row>
    <row r="1433" customFormat="false" ht="15" hidden="false" customHeight="false" outlineLevel="0" collapsed="false">
      <c r="A1433" s="4" t="s">
        <v>52</v>
      </c>
      <c r="B1433" s="4" t="s">
        <v>40</v>
      </c>
      <c r="C1433" s="4" t="n">
        <v>4</v>
      </c>
      <c r="D1433" s="4" t="n">
        <v>1</v>
      </c>
      <c r="E1433" s="4" t="s">
        <v>34</v>
      </c>
      <c r="F1433" s="3" t="s">
        <v>287</v>
      </c>
      <c r="G1433" s="3" t="s">
        <v>283</v>
      </c>
      <c r="H1433" s="3" t="s">
        <v>286</v>
      </c>
    </row>
    <row r="1434" customFormat="false" ht="15" hidden="false" customHeight="false" outlineLevel="0" collapsed="false">
      <c r="A1434" s="4" t="s">
        <v>52</v>
      </c>
      <c r="B1434" s="4" t="s">
        <v>40</v>
      </c>
      <c r="C1434" s="4" t="n">
        <v>5</v>
      </c>
      <c r="D1434" s="4" t="n">
        <v>1</v>
      </c>
      <c r="E1434" s="4" t="s">
        <v>37</v>
      </c>
      <c r="F1434" s="3" t="s">
        <v>15</v>
      </c>
      <c r="G1434" s="3" t="s">
        <v>581</v>
      </c>
      <c r="H1434" s="3" t="s">
        <v>304</v>
      </c>
    </row>
    <row r="1435" customFormat="false" ht="15" hidden="false" customHeight="false" outlineLevel="0" collapsed="false">
      <c r="A1435" s="4" t="s">
        <v>52</v>
      </c>
      <c r="B1435" s="4" t="s">
        <v>40</v>
      </c>
      <c r="C1435" s="4" t="n">
        <v>6</v>
      </c>
      <c r="D1435" s="4" t="n">
        <v>2</v>
      </c>
      <c r="E1435" s="4" t="s">
        <v>536</v>
      </c>
      <c r="F1435" s="3" t="s">
        <v>164</v>
      </c>
      <c r="G1435" s="3" t="s">
        <v>592</v>
      </c>
      <c r="H1435" s="3" t="s">
        <v>171</v>
      </c>
    </row>
    <row r="1436" customFormat="false" ht="15" hidden="false" customHeight="false" outlineLevel="0" collapsed="false">
      <c r="A1436" s="4" t="s">
        <v>52</v>
      </c>
      <c r="B1436" s="4" t="s">
        <v>44</v>
      </c>
      <c r="C1436" s="4" t="n">
        <v>1</v>
      </c>
      <c r="D1436" s="4" t="n">
        <v>1</v>
      </c>
      <c r="E1436" s="4" t="s">
        <v>16</v>
      </c>
      <c r="F1436" s="3" t="s">
        <v>15</v>
      </c>
      <c r="G1436" s="3" t="s">
        <v>581</v>
      </c>
      <c r="H1436" s="3" t="s">
        <v>305</v>
      </c>
    </row>
    <row r="1437" customFormat="false" ht="15" hidden="false" customHeight="false" outlineLevel="0" collapsed="false">
      <c r="A1437" s="4" t="s">
        <v>52</v>
      </c>
      <c r="B1437" s="4" t="s">
        <v>44</v>
      </c>
      <c r="C1437" s="4" t="n">
        <v>2</v>
      </c>
      <c r="D1437" s="4" t="n">
        <v>1</v>
      </c>
      <c r="E1437" s="4" t="s">
        <v>21</v>
      </c>
      <c r="F1437" s="3" t="s">
        <v>164</v>
      </c>
      <c r="G1437" s="3" t="s">
        <v>592</v>
      </c>
      <c r="H1437" s="3" t="s">
        <v>172</v>
      </c>
    </row>
    <row r="1438" customFormat="false" ht="15" hidden="false" customHeight="false" outlineLevel="0" collapsed="false">
      <c r="A1438" s="4" t="s">
        <v>52</v>
      </c>
      <c r="B1438" s="4" t="s">
        <v>44</v>
      </c>
      <c r="C1438" s="4" t="n">
        <v>3</v>
      </c>
      <c r="D1438" s="4" t="n">
        <v>1</v>
      </c>
      <c r="E1438" s="4" t="s">
        <v>26</v>
      </c>
      <c r="F1438" s="3" t="s">
        <v>72</v>
      </c>
      <c r="G1438" s="3" t="s">
        <v>594</v>
      </c>
      <c r="H1438" s="3" t="s">
        <v>395</v>
      </c>
    </row>
    <row r="1439" customFormat="false" ht="15" hidden="false" customHeight="false" outlineLevel="0" collapsed="false">
      <c r="A1439" s="4" t="s">
        <v>52</v>
      </c>
      <c r="B1439" s="4" t="s">
        <v>44</v>
      </c>
      <c r="C1439" s="4" t="n">
        <v>4</v>
      </c>
      <c r="D1439" s="4" t="n">
        <v>1</v>
      </c>
      <c r="E1439" s="4" t="s">
        <v>34</v>
      </c>
      <c r="F1439" s="3" t="s">
        <v>101</v>
      </c>
      <c r="G1439" s="3" t="s">
        <v>589</v>
      </c>
      <c r="H1439" s="3" t="s">
        <v>115</v>
      </c>
    </row>
    <row r="1440" customFormat="false" ht="15" hidden="false" customHeight="false" outlineLevel="0" collapsed="false">
      <c r="A1440" s="4" t="s">
        <v>52</v>
      </c>
      <c r="B1440" s="4" t="s">
        <v>44</v>
      </c>
      <c r="C1440" s="4" t="n">
        <v>5</v>
      </c>
      <c r="D1440" s="4" t="n">
        <v>1</v>
      </c>
      <c r="E1440" s="4" t="s">
        <v>37</v>
      </c>
      <c r="F1440" s="3" t="s">
        <v>36</v>
      </c>
      <c r="G1440" s="3" t="s">
        <v>586</v>
      </c>
      <c r="H1440" s="3" t="s">
        <v>112</v>
      </c>
    </row>
    <row r="1441" customFormat="false" ht="15" hidden="false" customHeight="false" outlineLevel="0" collapsed="false">
      <c r="A1441" s="4" t="s">
        <v>52</v>
      </c>
      <c r="B1441" s="4" t="s">
        <v>44</v>
      </c>
      <c r="C1441" s="4" t="n">
        <v>6</v>
      </c>
      <c r="D1441" s="4" t="n">
        <v>1</v>
      </c>
      <c r="E1441" s="4" t="s">
        <v>42</v>
      </c>
      <c r="F1441" s="3" t="s">
        <v>235</v>
      </c>
      <c r="G1441" s="3" t="s">
        <v>479</v>
      </c>
      <c r="H1441" s="3" t="s">
        <v>246</v>
      </c>
    </row>
    <row r="1442" customFormat="false" ht="15" hidden="false" customHeight="false" outlineLevel="0" collapsed="false">
      <c r="A1442" s="4" t="s">
        <v>52</v>
      </c>
      <c r="B1442" s="4" t="s">
        <v>44</v>
      </c>
      <c r="C1442" s="4" t="n">
        <v>7</v>
      </c>
      <c r="D1442" s="4" t="n">
        <v>1</v>
      </c>
      <c r="E1442" s="4" t="s">
        <v>39</v>
      </c>
      <c r="F1442" s="3" t="s">
        <v>239</v>
      </c>
      <c r="G1442" s="3" t="s">
        <v>587</v>
      </c>
      <c r="H1442" s="3" t="s">
        <v>243</v>
      </c>
    </row>
    <row r="1443" customFormat="false" ht="15" hidden="false" customHeight="false" outlineLevel="0" collapsed="false">
      <c r="A1443" s="4" t="s">
        <v>52</v>
      </c>
      <c r="B1443" s="4" t="s">
        <v>47</v>
      </c>
      <c r="C1443" s="4" t="n">
        <v>1</v>
      </c>
      <c r="D1443" s="4" t="n">
        <v>1</v>
      </c>
      <c r="E1443" s="4" t="s">
        <v>16</v>
      </c>
      <c r="F1443" s="3" t="s">
        <v>287</v>
      </c>
      <c r="G1443" s="3" t="s">
        <v>283</v>
      </c>
      <c r="H1443" s="3" t="s">
        <v>286</v>
      </c>
    </row>
    <row r="1444" customFormat="false" ht="15" hidden="false" customHeight="false" outlineLevel="0" collapsed="false">
      <c r="A1444" s="4" t="s">
        <v>52</v>
      </c>
      <c r="B1444" s="4" t="s">
        <v>47</v>
      </c>
      <c r="C1444" s="4" t="n">
        <v>2</v>
      </c>
      <c r="D1444" s="4" t="n">
        <v>1</v>
      </c>
      <c r="E1444" s="4" t="s">
        <v>21</v>
      </c>
      <c r="F1444" s="3" t="s">
        <v>15</v>
      </c>
      <c r="G1444" s="3" t="s">
        <v>581</v>
      </c>
      <c r="H1444" s="3" t="s">
        <v>306</v>
      </c>
    </row>
    <row r="1445" customFormat="false" ht="15" hidden="false" customHeight="false" outlineLevel="0" collapsed="false">
      <c r="A1445" s="4" t="s">
        <v>52</v>
      </c>
      <c r="B1445" s="4" t="s">
        <v>47</v>
      </c>
      <c r="C1445" s="4" t="n">
        <v>3</v>
      </c>
      <c r="D1445" s="4" t="n">
        <v>1</v>
      </c>
      <c r="E1445" s="4" t="s">
        <v>26</v>
      </c>
      <c r="F1445" s="3" t="s">
        <v>72</v>
      </c>
      <c r="G1445" s="3" t="s">
        <v>594</v>
      </c>
      <c r="H1445" s="3" t="s">
        <v>163</v>
      </c>
    </row>
    <row r="1446" customFormat="false" ht="15" hidden="false" customHeight="false" outlineLevel="0" collapsed="false">
      <c r="A1446" s="4" t="s">
        <v>52</v>
      </c>
      <c r="B1446" s="4" t="s">
        <v>47</v>
      </c>
      <c r="C1446" s="4" t="n">
        <v>4</v>
      </c>
      <c r="D1446" s="4" t="n">
        <v>1</v>
      </c>
      <c r="E1446" s="4" t="s">
        <v>34</v>
      </c>
      <c r="F1446" s="3" t="s">
        <v>164</v>
      </c>
      <c r="G1446" s="3" t="s">
        <v>592</v>
      </c>
      <c r="H1446" s="3" t="s">
        <v>176</v>
      </c>
    </row>
    <row r="1447" customFormat="false" ht="15" hidden="false" customHeight="false" outlineLevel="0" collapsed="false">
      <c r="A1447" s="4" t="s">
        <v>52</v>
      </c>
      <c r="B1447" s="4" t="s">
        <v>47</v>
      </c>
      <c r="C1447" s="4" t="n">
        <v>5</v>
      </c>
      <c r="D1447" s="4" t="n">
        <v>1</v>
      </c>
      <c r="E1447" s="4" t="s">
        <v>37</v>
      </c>
      <c r="F1447" s="3" t="s">
        <v>235</v>
      </c>
      <c r="G1447" s="3" t="s">
        <v>479</v>
      </c>
      <c r="H1447" s="3" t="s">
        <v>246</v>
      </c>
    </row>
    <row r="1448" customFormat="false" ht="15" hidden="false" customHeight="false" outlineLevel="0" collapsed="false">
      <c r="A1448" s="4" t="s">
        <v>52</v>
      </c>
      <c r="B1448" s="4" t="s">
        <v>47</v>
      </c>
      <c r="C1448" s="4" t="n">
        <v>6</v>
      </c>
      <c r="D1448" s="4" t="n">
        <v>1</v>
      </c>
      <c r="E1448" s="4" t="s">
        <v>42</v>
      </c>
      <c r="F1448" s="3" t="s">
        <v>101</v>
      </c>
      <c r="G1448" s="3" t="s">
        <v>582</v>
      </c>
      <c r="H1448" s="3" t="s">
        <v>117</v>
      </c>
    </row>
    <row r="1449" customFormat="false" ht="15" hidden="false" customHeight="false" outlineLevel="0" collapsed="false">
      <c r="A1449" s="4" t="s">
        <v>52</v>
      </c>
      <c r="B1449" s="4" t="s">
        <v>47</v>
      </c>
      <c r="C1449" s="4" t="n">
        <v>7</v>
      </c>
      <c r="D1449" s="4" t="n">
        <v>1</v>
      </c>
      <c r="E1449" s="4" t="s">
        <v>39</v>
      </c>
      <c r="F1449" s="3" t="s">
        <v>239</v>
      </c>
      <c r="G1449" s="3" t="s">
        <v>587</v>
      </c>
      <c r="H1449" s="3" t="s">
        <v>244</v>
      </c>
    </row>
    <row r="1450" customFormat="false" ht="15" hidden="false" customHeight="false" outlineLevel="0" collapsed="false">
      <c r="A1450" s="4" t="s">
        <v>52</v>
      </c>
      <c r="B1450" s="4" t="s">
        <v>50</v>
      </c>
      <c r="C1450" s="4" t="n">
        <v>1</v>
      </c>
      <c r="D1450" s="4" t="n">
        <v>1</v>
      </c>
      <c r="E1450" s="4" t="s">
        <v>16</v>
      </c>
      <c r="F1450" s="3" t="s">
        <v>235</v>
      </c>
      <c r="G1450" s="3" t="s">
        <v>479</v>
      </c>
      <c r="H1450" s="3" t="s">
        <v>286</v>
      </c>
    </row>
    <row r="1451" customFormat="false" ht="15" hidden="false" customHeight="false" outlineLevel="0" collapsed="false">
      <c r="A1451" s="4" t="s">
        <v>52</v>
      </c>
      <c r="B1451" s="4" t="s">
        <v>50</v>
      </c>
      <c r="C1451" s="4" t="n">
        <v>2</v>
      </c>
      <c r="D1451" s="4" t="n">
        <v>1</v>
      </c>
      <c r="E1451" s="4" t="s">
        <v>21</v>
      </c>
      <c r="F1451" s="3" t="s">
        <v>15</v>
      </c>
      <c r="G1451" s="3" t="s">
        <v>581</v>
      </c>
      <c r="H1451" s="3" t="s">
        <v>307</v>
      </c>
    </row>
    <row r="1452" customFormat="false" ht="15" hidden="false" customHeight="false" outlineLevel="0" collapsed="false">
      <c r="A1452" s="4" t="s">
        <v>52</v>
      </c>
      <c r="B1452" s="4" t="s">
        <v>50</v>
      </c>
      <c r="C1452" s="4" t="n">
        <v>3</v>
      </c>
      <c r="D1452" s="4" t="n">
        <v>1</v>
      </c>
      <c r="E1452" s="4" t="s">
        <v>26</v>
      </c>
      <c r="F1452" s="3" t="s">
        <v>101</v>
      </c>
      <c r="G1452" s="3" t="s">
        <v>589</v>
      </c>
      <c r="H1452" s="3" t="s">
        <v>115</v>
      </c>
    </row>
    <row r="1453" customFormat="false" ht="15" hidden="false" customHeight="false" outlineLevel="0" collapsed="false">
      <c r="A1453" s="4" t="s">
        <v>52</v>
      </c>
      <c r="B1453" s="4" t="s">
        <v>50</v>
      </c>
      <c r="C1453" s="4" t="n">
        <v>4</v>
      </c>
      <c r="D1453" s="4" t="n">
        <v>1</v>
      </c>
      <c r="E1453" s="4" t="s">
        <v>34</v>
      </c>
      <c r="F1453" s="3" t="s">
        <v>164</v>
      </c>
      <c r="G1453" s="3" t="s">
        <v>592</v>
      </c>
      <c r="H1453" s="3" t="s">
        <v>177</v>
      </c>
    </row>
    <row r="1454" customFormat="false" ht="15" hidden="false" customHeight="false" outlineLevel="0" collapsed="false">
      <c r="A1454" s="4" t="s">
        <v>52</v>
      </c>
      <c r="B1454" s="4" t="s">
        <v>50</v>
      </c>
      <c r="C1454" s="4" t="n">
        <v>5</v>
      </c>
      <c r="D1454" s="4" t="n">
        <v>1</v>
      </c>
      <c r="E1454" s="4" t="s">
        <v>37</v>
      </c>
      <c r="F1454" s="3" t="s">
        <v>72</v>
      </c>
      <c r="G1454" s="3" t="s">
        <v>594</v>
      </c>
      <c r="H1454" s="3" t="s">
        <v>180</v>
      </c>
    </row>
    <row r="1455" customFormat="false" ht="15" hidden="false" customHeight="false" outlineLevel="0" collapsed="false">
      <c r="A1455" s="4" t="s">
        <v>52</v>
      </c>
      <c r="B1455" s="4" t="s">
        <v>50</v>
      </c>
      <c r="C1455" s="4" t="n">
        <v>6</v>
      </c>
      <c r="D1455" s="4" t="n">
        <v>2</v>
      </c>
      <c r="E1455" s="4" t="s">
        <v>536</v>
      </c>
      <c r="F1455" s="3" t="s">
        <v>54</v>
      </c>
      <c r="G1455" s="3" t="s">
        <v>591</v>
      </c>
      <c r="H1455" s="3" t="s">
        <v>53</v>
      </c>
    </row>
    <row r="1456" customFormat="false" ht="15" hidden="false" customHeight="false" outlineLevel="0" collapsed="false">
      <c r="A1456" s="4" t="s">
        <v>52</v>
      </c>
      <c r="B1456" s="4" t="s">
        <v>60</v>
      </c>
      <c r="C1456" s="4" t="n">
        <v>1</v>
      </c>
      <c r="D1456" s="4" t="n">
        <v>1</v>
      </c>
      <c r="E1456" s="4" t="s">
        <v>16</v>
      </c>
      <c r="F1456" s="3" t="s">
        <v>235</v>
      </c>
      <c r="G1456" s="3" t="s">
        <v>479</v>
      </c>
      <c r="H1456" s="3" t="s">
        <v>286</v>
      </c>
    </row>
    <row r="1457" customFormat="false" ht="15" hidden="false" customHeight="false" outlineLevel="0" collapsed="false">
      <c r="A1457" s="4" t="s">
        <v>52</v>
      </c>
      <c r="B1457" s="4" t="s">
        <v>60</v>
      </c>
      <c r="C1457" s="4" t="n">
        <v>2</v>
      </c>
      <c r="D1457" s="4" t="n">
        <v>1</v>
      </c>
      <c r="E1457" s="4" t="s">
        <v>21</v>
      </c>
      <c r="F1457" s="3" t="s">
        <v>239</v>
      </c>
      <c r="G1457" s="3" t="s">
        <v>587</v>
      </c>
      <c r="H1457" s="3" t="s">
        <v>248</v>
      </c>
    </row>
    <row r="1458" customFormat="false" ht="15" hidden="false" customHeight="false" outlineLevel="0" collapsed="false">
      <c r="A1458" s="4" t="s">
        <v>52</v>
      </c>
      <c r="B1458" s="4" t="s">
        <v>60</v>
      </c>
      <c r="C1458" s="4" t="n">
        <v>3</v>
      </c>
      <c r="D1458" s="4" t="n">
        <v>1</v>
      </c>
      <c r="E1458" s="4" t="s">
        <v>26</v>
      </c>
      <c r="F1458" s="3" t="s">
        <v>15</v>
      </c>
      <c r="G1458" s="3" t="s">
        <v>581</v>
      </c>
      <c r="H1458" s="3" t="s">
        <v>306</v>
      </c>
    </row>
    <row r="1459" customFormat="false" ht="15" hidden="false" customHeight="false" outlineLevel="0" collapsed="false">
      <c r="A1459" s="4" t="s">
        <v>52</v>
      </c>
      <c r="B1459" s="4" t="s">
        <v>60</v>
      </c>
      <c r="C1459" s="4" t="n">
        <v>4</v>
      </c>
      <c r="D1459" s="4" t="n">
        <v>1</v>
      </c>
      <c r="E1459" s="4" t="s">
        <v>34</v>
      </c>
      <c r="F1459" s="3" t="s">
        <v>101</v>
      </c>
      <c r="G1459" s="3" t="s">
        <v>582</v>
      </c>
      <c r="H1459" s="3" t="s">
        <v>119</v>
      </c>
    </row>
    <row r="1460" customFormat="false" ht="15" hidden="false" customHeight="false" outlineLevel="0" collapsed="false">
      <c r="A1460" s="4" t="s">
        <v>52</v>
      </c>
      <c r="B1460" s="4" t="s">
        <v>60</v>
      </c>
      <c r="C1460" s="4" t="n">
        <v>5</v>
      </c>
      <c r="D1460" s="4" t="n">
        <v>1</v>
      </c>
      <c r="E1460" s="4" t="s">
        <v>37</v>
      </c>
      <c r="F1460" s="3" t="s">
        <v>36</v>
      </c>
      <c r="G1460" s="3" t="s">
        <v>586</v>
      </c>
      <c r="H1460" s="3" t="s">
        <v>112</v>
      </c>
    </row>
    <row r="1461" customFormat="false" ht="15" hidden="false" customHeight="false" outlineLevel="0" collapsed="false">
      <c r="A1461" s="4" t="s">
        <v>52</v>
      </c>
      <c r="B1461" s="4" t="s">
        <v>60</v>
      </c>
      <c r="C1461" s="4" t="n">
        <v>6</v>
      </c>
      <c r="D1461" s="4" t="n">
        <v>1</v>
      </c>
      <c r="E1461" s="4" t="s">
        <v>42</v>
      </c>
      <c r="F1461" s="3" t="s">
        <v>164</v>
      </c>
      <c r="G1461" s="3" t="s">
        <v>592</v>
      </c>
      <c r="H1461" s="3" t="s">
        <v>169</v>
      </c>
    </row>
    <row r="1462" customFormat="false" ht="15" hidden="false" customHeight="false" outlineLevel="0" collapsed="false">
      <c r="A1462" s="4" t="s">
        <v>52</v>
      </c>
      <c r="B1462" s="4" t="s">
        <v>60</v>
      </c>
      <c r="C1462" s="4" t="n">
        <v>7</v>
      </c>
      <c r="D1462" s="4" t="n">
        <v>1</v>
      </c>
      <c r="E1462" s="4" t="s">
        <v>39</v>
      </c>
      <c r="F1462" s="3" t="s">
        <v>72</v>
      </c>
      <c r="G1462" s="3" t="s">
        <v>594</v>
      </c>
      <c r="H1462" s="3" t="s">
        <v>176</v>
      </c>
    </row>
    <row r="1463" customFormat="false" ht="15" hidden="false" customHeight="false" outlineLevel="0" collapsed="false">
      <c r="A1463" s="4" t="s">
        <v>52</v>
      </c>
      <c r="B1463" s="4" t="s">
        <v>63</v>
      </c>
      <c r="C1463" s="4" t="n">
        <v>1</v>
      </c>
      <c r="D1463" s="4" t="n">
        <v>2</v>
      </c>
      <c r="E1463" s="4" t="s">
        <v>539</v>
      </c>
      <c r="F1463" s="3" t="s">
        <v>72</v>
      </c>
      <c r="G1463" s="3" t="s">
        <v>594</v>
      </c>
      <c r="H1463" s="3" t="s">
        <v>398</v>
      </c>
    </row>
    <row r="1464" customFormat="false" ht="15" hidden="false" customHeight="false" outlineLevel="0" collapsed="false">
      <c r="A1464" s="4" t="s">
        <v>52</v>
      </c>
      <c r="B1464" s="4" t="s">
        <v>63</v>
      </c>
      <c r="C1464" s="4" t="n">
        <v>3</v>
      </c>
      <c r="D1464" s="4" t="n">
        <v>1</v>
      </c>
      <c r="E1464" s="4" t="s">
        <v>26</v>
      </c>
      <c r="F1464" s="3" t="s">
        <v>164</v>
      </c>
      <c r="G1464" s="3" t="s">
        <v>592</v>
      </c>
      <c r="H1464" s="3" t="s">
        <v>180</v>
      </c>
    </row>
    <row r="1465" customFormat="false" ht="15" hidden="false" customHeight="false" outlineLevel="0" collapsed="false">
      <c r="A1465" s="4" t="s">
        <v>52</v>
      </c>
      <c r="B1465" s="4" t="s">
        <v>63</v>
      </c>
      <c r="C1465" s="4" t="n">
        <v>4</v>
      </c>
      <c r="D1465" s="4" t="n">
        <v>2</v>
      </c>
      <c r="E1465" s="4" t="s">
        <v>533</v>
      </c>
      <c r="F1465" s="3" t="s">
        <v>388</v>
      </c>
      <c r="G1465" s="3" t="s">
        <v>537</v>
      </c>
      <c r="H1465" s="3" t="s">
        <v>387</v>
      </c>
    </row>
    <row r="1466" customFormat="false" ht="15" hidden="false" customHeight="false" outlineLevel="0" collapsed="false">
      <c r="A1466" s="4" t="s">
        <v>52</v>
      </c>
      <c r="B1466" s="4" t="s">
        <v>63</v>
      </c>
      <c r="C1466" s="4" t="n">
        <v>6</v>
      </c>
      <c r="D1466" s="4" t="n">
        <v>1</v>
      </c>
      <c r="E1466" s="4" t="s">
        <v>42</v>
      </c>
      <c r="F1466" s="3" t="s">
        <v>239</v>
      </c>
      <c r="G1466" s="3" t="s">
        <v>587</v>
      </c>
      <c r="H1466" s="3" t="s">
        <v>249</v>
      </c>
    </row>
    <row r="1467" customFormat="false" ht="15" hidden="false" customHeight="false" outlineLevel="0" collapsed="false">
      <c r="A1467" s="4" t="s">
        <v>52</v>
      </c>
      <c r="B1467" s="4" t="s">
        <v>63</v>
      </c>
      <c r="C1467" s="4" t="n">
        <v>7</v>
      </c>
      <c r="D1467" s="4" t="n">
        <v>1</v>
      </c>
      <c r="E1467" s="4" t="s">
        <v>39</v>
      </c>
      <c r="F1467" s="3" t="s">
        <v>15</v>
      </c>
      <c r="G1467" s="3" t="s">
        <v>581</v>
      </c>
      <c r="H1467" s="3" t="s">
        <v>304</v>
      </c>
    </row>
    <row r="1468" customFormat="false" ht="15" hidden="false" customHeight="false" outlineLevel="0" collapsed="false">
      <c r="A1468" s="4" t="s">
        <v>52</v>
      </c>
      <c r="B1468" s="4" t="s">
        <v>65</v>
      </c>
      <c r="C1468" s="4" t="n">
        <v>1</v>
      </c>
      <c r="D1468" s="4" t="n">
        <v>1</v>
      </c>
      <c r="E1468" s="4" t="s">
        <v>16</v>
      </c>
      <c r="F1468" s="3" t="s">
        <v>235</v>
      </c>
      <c r="G1468" s="3" t="s">
        <v>479</v>
      </c>
      <c r="H1468" s="3" t="s">
        <v>246</v>
      </c>
    </row>
    <row r="1469" customFormat="false" ht="15" hidden="false" customHeight="false" outlineLevel="0" collapsed="false">
      <c r="A1469" s="4" t="s">
        <v>52</v>
      </c>
      <c r="B1469" s="4" t="s">
        <v>65</v>
      </c>
      <c r="C1469" s="4" t="n">
        <v>2</v>
      </c>
      <c r="D1469" s="4" t="n">
        <v>1</v>
      </c>
      <c r="E1469" s="4" t="s">
        <v>21</v>
      </c>
      <c r="F1469" s="3" t="s">
        <v>164</v>
      </c>
      <c r="G1469" s="3" t="s">
        <v>592</v>
      </c>
      <c r="H1469" s="3" t="s">
        <v>171</v>
      </c>
    </row>
    <row r="1470" customFormat="false" ht="15" hidden="false" customHeight="false" outlineLevel="0" collapsed="false">
      <c r="A1470" s="4" t="s">
        <v>52</v>
      </c>
      <c r="B1470" s="4" t="s">
        <v>65</v>
      </c>
      <c r="C1470" s="4" t="n">
        <v>3</v>
      </c>
      <c r="D1470" s="4" t="n">
        <v>1</v>
      </c>
      <c r="E1470" s="4" t="s">
        <v>26</v>
      </c>
      <c r="F1470" s="3" t="s">
        <v>101</v>
      </c>
      <c r="G1470" s="3" t="s">
        <v>589</v>
      </c>
      <c r="H1470" s="3" t="s">
        <v>121</v>
      </c>
    </row>
    <row r="1471" customFormat="false" ht="15" hidden="false" customHeight="false" outlineLevel="0" collapsed="false">
      <c r="A1471" s="4" t="s">
        <v>52</v>
      </c>
      <c r="B1471" s="4" t="s">
        <v>65</v>
      </c>
      <c r="C1471" s="4" t="n">
        <v>4</v>
      </c>
      <c r="D1471" s="4" t="n">
        <v>1</v>
      </c>
      <c r="E1471" s="4" t="s">
        <v>34</v>
      </c>
      <c r="F1471" s="3" t="s">
        <v>15</v>
      </c>
      <c r="G1471" s="3" t="s">
        <v>581</v>
      </c>
      <c r="H1471" s="3" t="s">
        <v>306</v>
      </c>
    </row>
    <row r="1472" customFormat="false" ht="15" hidden="false" customHeight="false" outlineLevel="0" collapsed="false">
      <c r="A1472" s="4" t="s">
        <v>52</v>
      </c>
      <c r="B1472" s="4" t="s">
        <v>65</v>
      </c>
      <c r="C1472" s="4" t="n">
        <v>5</v>
      </c>
      <c r="D1472" s="4" t="n">
        <v>1</v>
      </c>
      <c r="E1472" s="4" t="s">
        <v>37</v>
      </c>
      <c r="F1472" s="3" t="s">
        <v>36</v>
      </c>
      <c r="G1472" s="3" t="s">
        <v>586</v>
      </c>
      <c r="H1472" s="3" t="s">
        <v>112</v>
      </c>
    </row>
    <row r="1473" customFormat="false" ht="15" hidden="false" customHeight="false" outlineLevel="0" collapsed="false">
      <c r="A1473" s="4" t="s">
        <v>52</v>
      </c>
      <c r="B1473" s="4" t="s">
        <v>65</v>
      </c>
      <c r="C1473" s="4" t="n">
        <v>6</v>
      </c>
      <c r="D1473" s="4" t="n">
        <v>1</v>
      </c>
      <c r="E1473" s="4" t="s">
        <v>42</v>
      </c>
      <c r="F1473" s="3" t="s">
        <v>72</v>
      </c>
      <c r="G1473" s="3" t="s">
        <v>594</v>
      </c>
      <c r="H1473" s="3" t="s">
        <v>163</v>
      </c>
    </row>
    <row r="1474" customFormat="false" ht="15" hidden="false" customHeight="false" outlineLevel="0" collapsed="false">
      <c r="A1474" s="4" t="s">
        <v>52</v>
      </c>
      <c r="B1474" s="4" t="s">
        <v>65</v>
      </c>
      <c r="C1474" s="4" t="n">
        <v>7</v>
      </c>
      <c r="D1474" s="4" t="n">
        <v>1</v>
      </c>
      <c r="E1474" s="4" t="s">
        <v>39</v>
      </c>
      <c r="F1474" s="3" t="s">
        <v>239</v>
      </c>
      <c r="G1474" s="3" t="s">
        <v>587</v>
      </c>
      <c r="H1474" s="3" t="s">
        <v>251</v>
      </c>
    </row>
    <row r="1475" customFormat="false" ht="15" hidden="false" customHeight="false" outlineLevel="0" collapsed="false">
      <c r="A1475" s="4" t="s">
        <v>52</v>
      </c>
      <c r="B1475" s="4" t="s">
        <v>66</v>
      </c>
      <c r="C1475" s="4" t="n">
        <v>1</v>
      </c>
      <c r="D1475" s="4" t="n">
        <v>1</v>
      </c>
      <c r="E1475" s="4" t="s">
        <v>16</v>
      </c>
      <c r="F1475" s="3" t="s">
        <v>239</v>
      </c>
      <c r="G1475" s="3" t="s">
        <v>587</v>
      </c>
      <c r="H1475" s="3" t="s">
        <v>252</v>
      </c>
    </row>
    <row r="1476" customFormat="false" ht="15" hidden="false" customHeight="false" outlineLevel="0" collapsed="false">
      <c r="A1476" s="4" t="s">
        <v>52</v>
      </c>
      <c r="B1476" s="4" t="s">
        <v>66</v>
      </c>
      <c r="C1476" s="4" t="n">
        <v>2</v>
      </c>
      <c r="D1476" s="4" t="n">
        <v>1</v>
      </c>
      <c r="E1476" s="4" t="s">
        <v>21</v>
      </c>
      <c r="F1476" s="3" t="s">
        <v>72</v>
      </c>
      <c r="G1476" s="3" t="s">
        <v>594</v>
      </c>
      <c r="H1476" s="3" t="s">
        <v>177</v>
      </c>
    </row>
    <row r="1477" customFormat="false" ht="15" hidden="false" customHeight="false" outlineLevel="0" collapsed="false">
      <c r="A1477" s="4" t="s">
        <v>52</v>
      </c>
      <c r="B1477" s="4" t="s">
        <v>66</v>
      </c>
      <c r="C1477" s="4" t="n">
        <v>3</v>
      </c>
      <c r="D1477" s="4" t="n">
        <v>1</v>
      </c>
      <c r="E1477" s="4" t="s">
        <v>26</v>
      </c>
      <c r="F1477" s="3" t="s">
        <v>164</v>
      </c>
      <c r="G1477" s="3" t="s">
        <v>592</v>
      </c>
      <c r="H1477" s="3" t="s">
        <v>176</v>
      </c>
    </row>
    <row r="1478" customFormat="false" ht="15" hidden="false" customHeight="false" outlineLevel="0" collapsed="false">
      <c r="A1478" s="4" t="s">
        <v>52</v>
      </c>
      <c r="B1478" s="4" t="s">
        <v>66</v>
      </c>
      <c r="C1478" s="4" t="n">
        <v>4</v>
      </c>
      <c r="D1478" s="4" t="n">
        <v>1</v>
      </c>
      <c r="E1478" s="4" t="s">
        <v>34</v>
      </c>
      <c r="F1478" s="3" t="s">
        <v>287</v>
      </c>
      <c r="G1478" s="3" t="s">
        <v>283</v>
      </c>
      <c r="H1478" s="3" t="s">
        <v>286</v>
      </c>
    </row>
    <row r="1479" customFormat="false" ht="15" hidden="false" customHeight="false" outlineLevel="0" collapsed="false">
      <c r="A1479" s="4" t="s">
        <v>52</v>
      </c>
      <c r="B1479" s="4" t="s">
        <v>66</v>
      </c>
      <c r="C1479" s="4" t="n">
        <v>5</v>
      </c>
      <c r="D1479" s="4" t="n">
        <v>1</v>
      </c>
      <c r="E1479" s="4" t="s">
        <v>37</v>
      </c>
      <c r="F1479" s="3" t="s">
        <v>101</v>
      </c>
      <c r="G1479" s="3" t="s">
        <v>582</v>
      </c>
      <c r="H1479" s="3" t="s">
        <v>122</v>
      </c>
    </row>
    <row r="1480" customFormat="false" ht="15" hidden="false" customHeight="false" outlineLevel="0" collapsed="false">
      <c r="A1480" s="4" t="s">
        <v>52</v>
      </c>
      <c r="B1480" s="4" t="s">
        <v>66</v>
      </c>
      <c r="C1480" s="4" t="n">
        <v>6</v>
      </c>
      <c r="D1480" s="4" t="n">
        <v>1</v>
      </c>
      <c r="E1480" s="4" t="s">
        <v>42</v>
      </c>
      <c r="F1480" s="3" t="s">
        <v>15</v>
      </c>
      <c r="G1480" s="3" t="s">
        <v>581</v>
      </c>
      <c r="H1480" s="3" t="s">
        <v>306</v>
      </c>
    </row>
    <row r="1481" customFormat="false" ht="15" hidden="false" customHeight="false" outlineLevel="0" collapsed="false">
      <c r="A1481" s="4" t="s">
        <v>52</v>
      </c>
      <c r="B1481" s="4" t="s">
        <v>66</v>
      </c>
      <c r="C1481" s="4" t="n">
        <v>7</v>
      </c>
      <c r="D1481" s="4" t="n">
        <v>1</v>
      </c>
      <c r="E1481" s="4" t="s">
        <v>39</v>
      </c>
      <c r="F1481" s="3" t="s">
        <v>235</v>
      </c>
      <c r="G1481" s="3" t="s">
        <v>479</v>
      </c>
      <c r="H1481" s="3" t="s">
        <v>246</v>
      </c>
    </row>
    <row r="1482" customFormat="false" ht="15" hidden="false" customHeight="false" outlineLevel="0" collapsed="false">
      <c r="A1482" s="4" t="s">
        <v>55</v>
      </c>
      <c r="B1482" s="4" t="s">
        <v>12</v>
      </c>
      <c r="C1482" s="4" t="n">
        <v>1</v>
      </c>
      <c r="D1482" s="4" t="n">
        <v>1</v>
      </c>
      <c r="E1482" s="4" t="s">
        <v>16</v>
      </c>
      <c r="F1482" s="3" t="s">
        <v>15</v>
      </c>
      <c r="G1482" s="3" t="s">
        <v>581</v>
      </c>
      <c r="H1482" s="3" t="s">
        <v>301</v>
      </c>
    </row>
    <row r="1483" customFormat="false" ht="15" hidden="false" customHeight="false" outlineLevel="0" collapsed="false">
      <c r="A1483" s="4" t="s">
        <v>55</v>
      </c>
      <c r="B1483" s="4" t="s">
        <v>12</v>
      </c>
      <c r="C1483" s="4" t="n">
        <v>2</v>
      </c>
      <c r="D1483" s="4" t="n">
        <v>1</v>
      </c>
      <c r="E1483" s="4" t="s">
        <v>21</v>
      </c>
      <c r="F1483" s="3" t="s">
        <v>164</v>
      </c>
      <c r="G1483" s="3" t="s">
        <v>592</v>
      </c>
      <c r="H1483" s="3" t="s">
        <v>163</v>
      </c>
    </row>
    <row r="1484" customFormat="false" ht="15" hidden="false" customHeight="false" outlineLevel="0" collapsed="false">
      <c r="A1484" s="4" t="s">
        <v>55</v>
      </c>
      <c r="B1484" s="4" t="s">
        <v>12</v>
      </c>
      <c r="C1484" s="4" t="n">
        <v>3</v>
      </c>
      <c r="D1484" s="4" t="n">
        <v>1</v>
      </c>
      <c r="E1484" s="4" t="s">
        <v>26</v>
      </c>
      <c r="F1484" s="3" t="s">
        <v>101</v>
      </c>
      <c r="G1484" s="3" t="s">
        <v>582</v>
      </c>
      <c r="H1484" s="3" t="s">
        <v>100</v>
      </c>
    </row>
    <row r="1485" customFormat="false" ht="15" hidden="false" customHeight="false" outlineLevel="0" collapsed="false">
      <c r="A1485" s="4" t="s">
        <v>55</v>
      </c>
      <c r="B1485" s="4" t="s">
        <v>12</v>
      </c>
      <c r="C1485" s="4" t="n">
        <v>4</v>
      </c>
      <c r="D1485" s="4" t="n">
        <v>1</v>
      </c>
      <c r="E1485" s="4" t="s">
        <v>34</v>
      </c>
      <c r="F1485" s="3" t="s">
        <v>192</v>
      </c>
      <c r="G1485" s="3" t="s">
        <v>595</v>
      </c>
      <c r="H1485" s="3" t="s">
        <v>193</v>
      </c>
    </row>
    <row r="1486" customFormat="false" ht="15" hidden="false" customHeight="false" outlineLevel="0" collapsed="false">
      <c r="A1486" s="4" t="s">
        <v>55</v>
      </c>
      <c r="B1486" s="4" t="s">
        <v>12</v>
      </c>
      <c r="C1486" s="4" t="n">
        <v>5</v>
      </c>
      <c r="D1486" s="4" t="n">
        <v>1</v>
      </c>
      <c r="E1486" s="4" t="s">
        <v>37</v>
      </c>
      <c r="F1486" s="3" t="s">
        <v>72</v>
      </c>
      <c r="G1486" s="3" t="s">
        <v>594</v>
      </c>
      <c r="H1486" s="3" t="s">
        <v>169</v>
      </c>
    </row>
    <row r="1487" customFormat="false" ht="15" hidden="false" customHeight="false" outlineLevel="0" collapsed="false">
      <c r="A1487" s="4" t="s">
        <v>55</v>
      </c>
      <c r="B1487" s="4" t="s">
        <v>12</v>
      </c>
      <c r="C1487" s="4" t="n">
        <v>6</v>
      </c>
      <c r="D1487" s="4" t="n">
        <v>2</v>
      </c>
      <c r="E1487" s="4" t="s">
        <v>536</v>
      </c>
      <c r="F1487" s="3" t="s">
        <v>358</v>
      </c>
      <c r="G1487" s="3" t="s">
        <v>585</v>
      </c>
      <c r="H1487" s="3" t="s">
        <v>357</v>
      </c>
    </row>
    <row r="1488" customFormat="false" ht="15" hidden="false" customHeight="false" outlineLevel="0" collapsed="false">
      <c r="A1488" s="4" t="s">
        <v>55</v>
      </c>
      <c r="B1488" s="4" t="s">
        <v>31</v>
      </c>
      <c r="C1488" s="4" t="n">
        <v>1</v>
      </c>
      <c r="D1488" s="4" t="n">
        <v>1</v>
      </c>
      <c r="E1488" s="4" t="s">
        <v>16</v>
      </c>
      <c r="F1488" s="3" t="s">
        <v>192</v>
      </c>
      <c r="G1488" s="3" t="s">
        <v>595</v>
      </c>
      <c r="H1488" s="3" t="s">
        <v>193</v>
      </c>
    </row>
    <row r="1489" customFormat="false" ht="15" hidden="false" customHeight="false" outlineLevel="0" collapsed="false">
      <c r="A1489" s="4" t="s">
        <v>55</v>
      </c>
      <c r="B1489" s="4" t="s">
        <v>31</v>
      </c>
      <c r="C1489" s="4" t="n">
        <v>2</v>
      </c>
      <c r="D1489" s="4" t="n">
        <v>1</v>
      </c>
      <c r="E1489" s="4" t="s">
        <v>21</v>
      </c>
      <c r="F1489" s="3" t="s">
        <v>15</v>
      </c>
      <c r="G1489" s="3" t="s">
        <v>581</v>
      </c>
      <c r="H1489" s="3" t="s">
        <v>303</v>
      </c>
    </row>
    <row r="1490" customFormat="false" ht="15" hidden="false" customHeight="false" outlineLevel="0" collapsed="false">
      <c r="A1490" s="4" t="s">
        <v>55</v>
      </c>
      <c r="B1490" s="4" t="s">
        <v>31</v>
      </c>
      <c r="C1490" s="4" t="n">
        <v>3</v>
      </c>
      <c r="D1490" s="4" t="n">
        <v>1</v>
      </c>
      <c r="E1490" s="4" t="s">
        <v>26</v>
      </c>
      <c r="F1490" s="3" t="s">
        <v>72</v>
      </c>
      <c r="G1490" s="3" t="s">
        <v>594</v>
      </c>
      <c r="H1490" s="3" t="s">
        <v>176</v>
      </c>
    </row>
    <row r="1491" customFormat="false" ht="15" hidden="false" customHeight="false" outlineLevel="0" collapsed="false">
      <c r="A1491" s="4" t="s">
        <v>55</v>
      </c>
      <c r="B1491" s="4" t="s">
        <v>31</v>
      </c>
      <c r="C1491" s="4" t="n">
        <v>4</v>
      </c>
      <c r="D1491" s="4" t="n">
        <v>1</v>
      </c>
      <c r="E1491" s="4" t="s">
        <v>34</v>
      </c>
      <c r="F1491" s="3" t="s">
        <v>101</v>
      </c>
      <c r="G1491" s="3" t="s">
        <v>582</v>
      </c>
      <c r="H1491" s="3" t="s">
        <v>111</v>
      </c>
    </row>
    <row r="1492" customFormat="false" ht="15" hidden="false" customHeight="false" outlineLevel="0" collapsed="false">
      <c r="A1492" s="4" t="s">
        <v>55</v>
      </c>
      <c r="B1492" s="4" t="s">
        <v>31</v>
      </c>
      <c r="C1492" s="4" t="n">
        <v>5</v>
      </c>
      <c r="D1492" s="4" t="n">
        <v>1</v>
      </c>
      <c r="E1492" s="4" t="s">
        <v>37</v>
      </c>
      <c r="F1492" s="3" t="s">
        <v>36</v>
      </c>
      <c r="G1492" s="3" t="s">
        <v>586</v>
      </c>
      <c r="H1492" s="3" t="s">
        <v>112</v>
      </c>
    </row>
    <row r="1493" customFormat="false" ht="15" hidden="false" customHeight="false" outlineLevel="0" collapsed="false">
      <c r="A1493" s="4" t="s">
        <v>55</v>
      </c>
      <c r="B1493" s="4" t="s">
        <v>31</v>
      </c>
      <c r="C1493" s="4" t="n">
        <v>6</v>
      </c>
      <c r="D1493" s="4" t="n">
        <v>1</v>
      </c>
      <c r="E1493" s="4" t="s">
        <v>42</v>
      </c>
      <c r="F1493" s="3" t="s">
        <v>239</v>
      </c>
      <c r="G1493" s="3" t="s">
        <v>587</v>
      </c>
      <c r="H1493" s="3" t="s">
        <v>238</v>
      </c>
    </row>
    <row r="1494" customFormat="false" ht="15" hidden="false" customHeight="false" outlineLevel="0" collapsed="false">
      <c r="A1494" s="4" t="s">
        <v>55</v>
      </c>
      <c r="B1494" s="4" t="s">
        <v>31</v>
      </c>
      <c r="C1494" s="4" t="n">
        <v>7</v>
      </c>
      <c r="D1494" s="4" t="n">
        <v>1</v>
      </c>
      <c r="E1494" s="4" t="s">
        <v>39</v>
      </c>
      <c r="F1494" s="3" t="s">
        <v>164</v>
      </c>
      <c r="G1494" s="3" t="s">
        <v>592</v>
      </c>
      <c r="H1494" s="3" t="s">
        <v>169</v>
      </c>
    </row>
    <row r="1495" customFormat="false" ht="15" hidden="false" customHeight="false" outlineLevel="0" collapsed="false">
      <c r="A1495" s="4" t="s">
        <v>55</v>
      </c>
      <c r="B1495" s="4" t="s">
        <v>40</v>
      </c>
      <c r="C1495" s="4" t="n">
        <v>1</v>
      </c>
      <c r="D1495" s="4" t="n">
        <v>1</v>
      </c>
      <c r="E1495" s="4" t="s">
        <v>16</v>
      </c>
      <c r="F1495" s="3" t="s">
        <v>72</v>
      </c>
      <c r="G1495" s="3" t="s">
        <v>594</v>
      </c>
      <c r="H1495" s="3" t="s">
        <v>177</v>
      </c>
    </row>
    <row r="1496" customFormat="false" ht="15" hidden="false" customHeight="false" outlineLevel="0" collapsed="false">
      <c r="A1496" s="4" t="s">
        <v>55</v>
      </c>
      <c r="B1496" s="4" t="s">
        <v>40</v>
      </c>
      <c r="C1496" s="4" t="n">
        <v>2</v>
      </c>
      <c r="D1496" s="4" t="n">
        <v>1</v>
      </c>
      <c r="E1496" s="4" t="s">
        <v>21</v>
      </c>
      <c r="F1496" s="3" t="s">
        <v>239</v>
      </c>
      <c r="G1496" s="3" t="s">
        <v>587</v>
      </c>
      <c r="H1496" s="3" t="s">
        <v>240</v>
      </c>
    </row>
    <row r="1497" customFormat="false" ht="15" hidden="false" customHeight="false" outlineLevel="0" collapsed="false">
      <c r="A1497" s="4" t="s">
        <v>55</v>
      </c>
      <c r="B1497" s="4" t="s">
        <v>40</v>
      </c>
      <c r="C1497" s="4" t="n">
        <v>3</v>
      </c>
      <c r="D1497" s="4" t="n">
        <v>1</v>
      </c>
      <c r="E1497" s="4" t="s">
        <v>26</v>
      </c>
      <c r="F1497" s="3" t="s">
        <v>287</v>
      </c>
      <c r="G1497" s="3" t="s">
        <v>450</v>
      </c>
      <c r="H1497" s="3" t="s">
        <v>453</v>
      </c>
    </row>
    <row r="1498" customFormat="false" ht="15" hidden="false" customHeight="false" outlineLevel="0" collapsed="false">
      <c r="A1498" s="4" t="s">
        <v>55</v>
      </c>
      <c r="B1498" s="4" t="s">
        <v>40</v>
      </c>
      <c r="C1498" s="4" t="n">
        <v>4</v>
      </c>
      <c r="D1498" s="4" t="n">
        <v>1</v>
      </c>
      <c r="E1498" s="4" t="s">
        <v>34</v>
      </c>
      <c r="F1498" s="3" t="s">
        <v>192</v>
      </c>
      <c r="G1498" s="3" t="s">
        <v>595</v>
      </c>
      <c r="H1498" s="3" t="s">
        <v>197</v>
      </c>
    </row>
    <row r="1499" customFormat="false" ht="15" hidden="false" customHeight="false" outlineLevel="0" collapsed="false">
      <c r="A1499" s="4" t="s">
        <v>55</v>
      </c>
      <c r="B1499" s="4" t="s">
        <v>40</v>
      </c>
      <c r="C1499" s="4" t="n">
        <v>5</v>
      </c>
      <c r="D1499" s="4" t="n">
        <v>1</v>
      </c>
      <c r="E1499" s="4" t="s">
        <v>37</v>
      </c>
      <c r="F1499" s="3" t="s">
        <v>15</v>
      </c>
      <c r="G1499" s="3" t="s">
        <v>581</v>
      </c>
      <c r="H1499" s="3" t="s">
        <v>304</v>
      </c>
    </row>
    <row r="1500" customFormat="false" ht="15" hidden="false" customHeight="false" outlineLevel="0" collapsed="false">
      <c r="A1500" s="4" t="s">
        <v>55</v>
      </c>
      <c r="B1500" s="4" t="s">
        <v>40</v>
      </c>
      <c r="C1500" s="4" t="n">
        <v>6</v>
      </c>
      <c r="D1500" s="4" t="n">
        <v>2</v>
      </c>
      <c r="E1500" s="4" t="s">
        <v>536</v>
      </c>
      <c r="F1500" s="3" t="s">
        <v>164</v>
      </c>
      <c r="G1500" s="3" t="s">
        <v>592</v>
      </c>
      <c r="H1500" s="3" t="s">
        <v>171</v>
      </c>
    </row>
    <row r="1501" customFormat="false" ht="15" hidden="false" customHeight="false" outlineLevel="0" collapsed="false">
      <c r="A1501" s="4" t="s">
        <v>55</v>
      </c>
      <c r="B1501" s="4" t="s">
        <v>44</v>
      </c>
      <c r="C1501" s="4" t="n">
        <v>1</v>
      </c>
      <c r="D1501" s="4" t="n">
        <v>1</v>
      </c>
      <c r="E1501" s="4" t="s">
        <v>16</v>
      </c>
      <c r="F1501" s="3" t="s">
        <v>15</v>
      </c>
      <c r="G1501" s="3" t="s">
        <v>581</v>
      </c>
      <c r="H1501" s="3" t="s">
        <v>305</v>
      </c>
    </row>
    <row r="1502" customFormat="false" ht="15" hidden="false" customHeight="false" outlineLevel="0" collapsed="false">
      <c r="A1502" s="4" t="s">
        <v>55</v>
      </c>
      <c r="B1502" s="4" t="s">
        <v>44</v>
      </c>
      <c r="C1502" s="4" t="n">
        <v>2</v>
      </c>
      <c r="D1502" s="4" t="n">
        <v>1</v>
      </c>
      <c r="E1502" s="4" t="s">
        <v>21</v>
      </c>
      <c r="F1502" s="3" t="s">
        <v>164</v>
      </c>
      <c r="G1502" s="3" t="s">
        <v>592</v>
      </c>
      <c r="H1502" s="3" t="s">
        <v>172</v>
      </c>
    </row>
    <row r="1503" customFormat="false" ht="15" hidden="false" customHeight="false" outlineLevel="0" collapsed="false">
      <c r="A1503" s="4" t="s">
        <v>55</v>
      </c>
      <c r="B1503" s="4" t="s">
        <v>44</v>
      </c>
      <c r="C1503" s="4" t="n">
        <v>3</v>
      </c>
      <c r="D1503" s="4" t="n">
        <v>1</v>
      </c>
      <c r="E1503" s="4" t="s">
        <v>26</v>
      </c>
      <c r="F1503" s="3" t="s">
        <v>72</v>
      </c>
      <c r="G1503" s="3" t="s">
        <v>594</v>
      </c>
      <c r="H1503" s="3" t="s">
        <v>395</v>
      </c>
    </row>
    <row r="1504" customFormat="false" ht="15" hidden="false" customHeight="false" outlineLevel="0" collapsed="false">
      <c r="A1504" s="4" t="s">
        <v>55</v>
      </c>
      <c r="B1504" s="4" t="s">
        <v>44</v>
      </c>
      <c r="C1504" s="4" t="n">
        <v>4</v>
      </c>
      <c r="D1504" s="4" t="n">
        <v>1</v>
      </c>
      <c r="E1504" s="4" t="s">
        <v>34</v>
      </c>
      <c r="F1504" s="3" t="s">
        <v>101</v>
      </c>
      <c r="G1504" s="3" t="s">
        <v>589</v>
      </c>
      <c r="H1504" s="3" t="s">
        <v>115</v>
      </c>
    </row>
    <row r="1505" customFormat="false" ht="15" hidden="false" customHeight="false" outlineLevel="0" collapsed="false">
      <c r="A1505" s="4" t="s">
        <v>55</v>
      </c>
      <c r="B1505" s="4" t="s">
        <v>44</v>
      </c>
      <c r="C1505" s="4" t="n">
        <v>5</v>
      </c>
      <c r="D1505" s="4" t="n">
        <v>1</v>
      </c>
      <c r="E1505" s="4" t="s">
        <v>37</v>
      </c>
      <c r="F1505" s="3" t="s">
        <v>36</v>
      </c>
      <c r="G1505" s="3" t="s">
        <v>586</v>
      </c>
      <c r="H1505" s="3" t="s">
        <v>112</v>
      </c>
    </row>
    <row r="1506" customFormat="false" ht="15" hidden="false" customHeight="false" outlineLevel="0" collapsed="false">
      <c r="A1506" s="4" t="s">
        <v>55</v>
      </c>
      <c r="B1506" s="4" t="s">
        <v>44</v>
      </c>
      <c r="C1506" s="4" t="n">
        <v>6</v>
      </c>
      <c r="D1506" s="4" t="n">
        <v>1</v>
      </c>
      <c r="E1506" s="4" t="s">
        <v>42</v>
      </c>
      <c r="F1506" s="3" t="s">
        <v>192</v>
      </c>
      <c r="G1506" s="3" t="s">
        <v>595</v>
      </c>
      <c r="H1506" s="3" t="s">
        <v>198</v>
      </c>
    </row>
    <row r="1507" customFormat="false" ht="15" hidden="false" customHeight="false" outlineLevel="0" collapsed="false">
      <c r="A1507" s="4" t="s">
        <v>55</v>
      </c>
      <c r="B1507" s="4" t="s">
        <v>44</v>
      </c>
      <c r="C1507" s="4" t="n">
        <v>7</v>
      </c>
      <c r="D1507" s="4" t="n">
        <v>1</v>
      </c>
      <c r="E1507" s="4" t="s">
        <v>39</v>
      </c>
      <c r="F1507" s="3" t="s">
        <v>239</v>
      </c>
      <c r="G1507" s="3" t="s">
        <v>587</v>
      </c>
      <c r="H1507" s="3" t="s">
        <v>243</v>
      </c>
    </row>
    <row r="1508" customFormat="false" ht="15" hidden="false" customHeight="false" outlineLevel="0" collapsed="false">
      <c r="A1508" s="4" t="s">
        <v>55</v>
      </c>
      <c r="B1508" s="4" t="s">
        <v>47</v>
      </c>
      <c r="C1508" s="4" t="n">
        <v>1</v>
      </c>
      <c r="D1508" s="4" t="n">
        <v>1</v>
      </c>
      <c r="E1508" s="4" t="s">
        <v>16</v>
      </c>
      <c r="F1508" s="3" t="s">
        <v>192</v>
      </c>
      <c r="G1508" s="3" t="s">
        <v>595</v>
      </c>
      <c r="H1508" s="3" t="s">
        <v>197</v>
      </c>
    </row>
    <row r="1509" customFormat="false" ht="15" hidden="false" customHeight="false" outlineLevel="0" collapsed="false">
      <c r="A1509" s="4" t="s">
        <v>55</v>
      </c>
      <c r="B1509" s="4" t="s">
        <v>47</v>
      </c>
      <c r="C1509" s="4" t="n">
        <v>2</v>
      </c>
      <c r="D1509" s="4" t="n">
        <v>1</v>
      </c>
      <c r="E1509" s="4" t="s">
        <v>21</v>
      </c>
      <c r="F1509" s="3" t="s">
        <v>15</v>
      </c>
      <c r="G1509" s="3" t="s">
        <v>581</v>
      </c>
      <c r="H1509" s="3" t="s">
        <v>306</v>
      </c>
    </row>
    <row r="1510" customFormat="false" ht="15" hidden="false" customHeight="false" outlineLevel="0" collapsed="false">
      <c r="A1510" s="4" t="s">
        <v>55</v>
      </c>
      <c r="B1510" s="4" t="s">
        <v>47</v>
      </c>
      <c r="C1510" s="4" t="n">
        <v>3</v>
      </c>
      <c r="D1510" s="4" t="n">
        <v>1</v>
      </c>
      <c r="E1510" s="4" t="s">
        <v>26</v>
      </c>
      <c r="F1510" s="3" t="s">
        <v>72</v>
      </c>
      <c r="G1510" s="3" t="s">
        <v>594</v>
      </c>
      <c r="H1510" s="3" t="s">
        <v>163</v>
      </c>
    </row>
    <row r="1511" customFormat="false" ht="15" hidden="false" customHeight="false" outlineLevel="0" collapsed="false">
      <c r="A1511" s="4" t="s">
        <v>55</v>
      </c>
      <c r="B1511" s="4" t="s">
        <v>47</v>
      </c>
      <c r="C1511" s="4" t="n">
        <v>4</v>
      </c>
      <c r="D1511" s="4" t="n">
        <v>1</v>
      </c>
      <c r="E1511" s="4" t="s">
        <v>34</v>
      </c>
      <c r="F1511" s="3" t="s">
        <v>164</v>
      </c>
      <c r="G1511" s="3" t="s">
        <v>592</v>
      </c>
      <c r="H1511" s="3" t="s">
        <v>176</v>
      </c>
    </row>
    <row r="1512" customFormat="false" ht="15" hidden="false" customHeight="false" outlineLevel="0" collapsed="false">
      <c r="A1512" s="4" t="s">
        <v>55</v>
      </c>
      <c r="B1512" s="4" t="s">
        <v>47</v>
      </c>
      <c r="C1512" s="4" t="n">
        <v>5</v>
      </c>
      <c r="D1512" s="4" t="n">
        <v>1</v>
      </c>
      <c r="E1512" s="4" t="s">
        <v>37</v>
      </c>
      <c r="F1512" s="3" t="s">
        <v>287</v>
      </c>
      <c r="G1512" s="3" t="s">
        <v>450</v>
      </c>
      <c r="H1512" s="3" t="s">
        <v>453</v>
      </c>
    </row>
    <row r="1513" customFormat="false" ht="15" hidden="false" customHeight="false" outlineLevel="0" collapsed="false">
      <c r="A1513" s="4" t="s">
        <v>55</v>
      </c>
      <c r="B1513" s="4" t="s">
        <v>47</v>
      </c>
      <c r="C1513" s="4" t="n">
        <v>6</v>
      </c>
      <c r="D1513" s="4" t="n">
        <v>1</v>
      </c>
      <c r="E1513" s="4" t="s">
        <v>42</v>
      </c>
      <c r="F1513" s="3" t="s">
        <v>101</v>
      </c>
      <c r="G1513" s="3" t="s">
        <v>582</v>
      </c>
      <c r="H1513" s="3" t="s">
        <v>117</v>
      </c>
    </row>
    <row r="1514" customFormat="false" ht="15" hidden="false" customHeight="false" outlineLevel="0" collapsed="false">
      <c r="A1514" s="4" t="s">
        <v>55</v>
      </c>
      <c r="B1514" s="4" t="s">
        <v>47</v>
      </c>
      <c r="C1514" s="4" t="n">
        <v>7</v>
      </c>
      <c r="D1514" s="4" t="n">
        <v>1</v>
      </c>
      <c r="E1514" s="4" t="s">
        <v>39</v>
      </c>
      <c r="F1514" s="3" t="s">
        <v>239</v>
      </c>
      <c r="G1514" s="3" t="s">
        <v>587</v>
      </c>
      <c r="H1514" s="3" t="s">
        <v>244</v>
      </c>
    </row>
    <row r="1515" customFormat="false" ht="15" hidden="false" customHeight="false" outlineLevel="0" collapsed="false">
      <c r="A1515" s="4" t="s">
        <v>55</v>
      </c>
      <c r="B1515" s="4" t="s">
        <v>50</v>
      </c>
      <c r="C1515" s="4" t="n">
        <v>1</v>
      </c>
      <c r="D1515" s="4" t="n">
        <v>1</v>
      </c>
      <c r="E1515" s="4" t="s">
        <v>16</v>
      </c>
      <c r="F1515" s="3" t="s">
        <v>192</v>
      </c>
      <c r="G1515" s="3" t="s">
        <v>595</v>
      </c>
      <c r="H1515" s="3" t="s">
        <v>200</v>
      </c>
    </row>
    <row r="1516" customFormat="false" ht="15" hidden="false" customHeight="false" outlineLevel="0" collapsed="false">
      <c r="A1516" s="4" t="s">
        <v>55</v>
      </c>
      <c r="B1516" s="4" t="s">
        <v>50</v>
      </c>
      <c r="C1516" s="4" t="n">
        <v>2</v>
      </c>
      <c r="D1516" s="4" t="n">
        <v>1</v>
      </c>
      <c r="E1516" s="4" t="s">
        <v>21</v>
      </c>
      <c r="F1516" s="3" t="s">
        <v>15</v>
      </c>
      <c r="G1516" s="3" t="s">
        <v>581</v>
      </c>
      <c r="H1516" s="3" t="s">
        <v>307</v>
      </c>
    </row>
    <row r="1517" customFormat="false" ht="15" hidden="false" customHeight="false" outlineLevel="0" collapsed="false">
      <c r="A1517" s="4" t="s">
        <v>55</v>
      </c>
      <c r="B1517" s="4" t="s">
        <v>50</v>
      </c>
      <c r="C1517" s="4" t="n">
        <v>3</v>
      </c>
      <c r="D1517" s="4" t="n">
        <v>1</v>
      </c>
      <c r="E1517" s="4" t="s">
        <v>26</v>
      </c>
      <c r="F1517" s="3" t="s">
        <v>101</v>
      </c>
      <c r="G1517" s="3" t="s">
        <v>589</v>
      </c>
      <c r="H1517" s="3" t="s">
        <v>115</v>
      </c>
    </row>
    <row r="1518" customFormat="false" ht="15" hidden="false" customHeight="false" outlineLevel="0" collapsed="false">
      <c r="A1518" s="4" t="s">
        <v>55</v>
      </c>
      <c r="B1518" s="4" t="s">
        <v>50</v>
      </c>
      <c r="C1518" s="4" t="n">
        <v>4</v>
      </c>
      <c r="D1518" s="4" t="n">
        <v>1</v>
      </c>
      <c r="E1518" s="4" t="s">
        <v>34</v>
      </c>
      <c r="F1518" s="3" t="s">
        <v>164</v>
      </c>
      <c r="G1518" s="3" t="s">
        <v>592</v>
      </c>
      <c r="H1518" s="3" t="s">
        <v>177</v>
      </c>
    </row>
    <row r="1519" customFormat="false" ht="15" hidden="false" customHeight="false" outlineLevel="0" collapsed="false">
      <c r="A1519" s="4" t="s">
        <v>55</v>
      </c>
      <c r="B1519" s="4" t="s">
        <v>50</v>
      </c>
      <c r="C1519" s="4" t="n">
        <v>5</v>
      </c>
      <c r="D1519" s="4" t="n">
        <v>1</v>
      </c>
      <c r="E1519" s="4" t="s">
        <v>37</v>
      </c>
      <c r="F1519" s="3" t="s">
        <v>72</v>
      </c>
      <c r="G1519" s="3" t="s">
        <v>594</v>
      </c>
      <c r="H1519" s="3" t="s">
        <v>180</v>
      </c>
    </row>
    <row r="1520" customFormat="false" ht="15" hidden="false" customHeight="false" outlineLevel="0" collapsed="false">
      <c r="A1520" s="4" t="s">
        <v>55</v>
      </c>
      <c r="B1520" s="4" t="s">
        <v>50</v>
      </c>
      <c r="C1520" s="4" t="n">
        <v>6</v>
      </c>
      <c r="D1520" s="4" t="n">
        <v>2</v>
      </c>
      <c r="E1520" s="4" t="s">
        <v>536</v>
      </c>
      <c r="F1520" s="3" t="s">
        <v>54</v>
      </c>
      <c r="G1520" s="3" t="s">
        <v>591</v>
      </c>
      <c r="H1520" s="3" t="s">
        <v>53</v>
      </c>
    </row>
    <row r="1521" customFormat="false" ht="15" hidden="false" customHeight="false" outlineLevel="0" collapsed="false">
      <c r="A1521" s="4" t="s">
        <v>55</v>
      </c>
      <c r="B1521" s="4" t="s">
        <v>60</v>
      </c>
      <c r="C1521" s="4" t="n">
        <v>1</v>
      </c>
      <c r="D1521" s="4" t="n">
        <v>1</v>
      </c>
      <c r="E1521" s="4" t="s">
        <v>16</v>
      </c>
      <c r="F1521" s="3" t="s">
        <v>287</v>
      </c>
      <c r="G1521" s="3" t="s">
        <v>450</v>
      </c>
      <c r="H1521" s="3" t="s">
        <v>453</v>
      </c>
    </row>
    <row r="1522" customFormat="false" ht="15" hidden="false" customHeight="false" outlineLevel="0" collapsed="false">
      <c r="A1522" s="4" t="s">
        <v>55</v>
      </c>
      <c r="B1522" s="4" t="s">
        <v>60</v>
      </c>
      <c r="C1522" s="4" t="n">
        <v>2</v>
      </c>
      <c r="D1522" s="4" t="n">
        <v>1</v>
      </c>
      <c r="E1522" s="4" t="s">
        <v>21</v>
      </c>
      <c r="F1522" s="3" t="s">
        <v>239</v>
      </c>
      <c r="G1522" s="3" t="s">
        <v>587</v>
      </c>
      <c r="H1522" s="3" t="s">
        <v>248</v>
      </c>
    </row>
    <row r="1523" customFormat="false" ht="15" hidden="false" customHeight="false" outlineLevel="0" collapsed="false">
      <c r="A1523" s="4" t="s">
        <v>55</v>
      </c>
      <c r="B1523" s="4" t="s">
        <v>60</v>
      </c>
      <c r="C1523" s="4" t="n">
        <v>3</v>
      </c>
      <c r="D1523" s="4" t="n">
        <v>1</v>
      </c>
      <c r="E1523" s="4" t="s">
        <v>26</v>
      </c>
      <c r="F1523" s="3" t="s">
        <v>15</v>
      </c>
      <c r="G1523" s="3" t="s">
        <v>581</v>
      </c>
      <c r="H1523" s="3" t="s">
        <v>306</v>
      </c>
    </row>
    <row r="1524" customFormat="false" ht="15" hidden="false" customHeight="false" outlineLevel="0" collapsed="false">
      <c r="A1524" s="4" t="s">
        <v>55</v>
      </c>
      <c r="B1524" s="4" t="s">
        <v>60</v>
      </c>
      <c r="C1524" s="4" t="n">
        <v>4</v>
      </c>
      <c r="D1524" s="4" t="n">
        <v>1</v>
      </c>
      <c r="E1524" s="4" t="s">
        <v>34</v>
      </c>
      <c r="F1524" s="3" t="s">
        <v>101</v>
      </c>
      <c r="G1524" s="3" t="s">
        <v>582</v>
      </c>
      <c r="H1524" s="3" t="s">
        <v>119</v>
      </c>
    </row>
    <row r="1525" customFormat="false" ht="15" hidden="false" customHeight="false" outlineLevel="0" collapsed="false">
      <c r="A1525" s="4" t="s">
        <v>55</v>
      </c>
      <c r="B1525" s="4" t="s">
        <v>60</v>
      </c>
      <c r="C1525" s="4" t="n">
        <v>5</v>
      </c>
      <c r="D1525" s="4" t="n">
        <v>1</v>
      </c>
      <c r="E1525" s="4" t="s">
        <v>37</v>
      </c>
      <c r="F1525" s="3" t="s">
        <v>36</v>
      </c>
      <c r="G1525" s="3" t="s">
        <v>586</v>
      </c>
      <c r="H1525" s="3" t="s">
        <v>112</v>
      </c>
    </row>
    <row r="1526" customFormat="false" ht="15" hidden="false" customHeight="false" outlineLevel="0" collapsed="false">
      <c r="A1526" s="4" t="s">
        <v>55</v>
      </c>
      <c r="B1526" s="4" t="s">
        <v>60</v>
      </c>
      <c r="C1526" s="4" t="n">
        <v>6</v>
      </c>
      <c r="D1526" s="4" t="n">
        <v>1</v>
      </c>
      <c r="E1526" s="4" t="s">
        <v>42</v>
      </c>
      <c r="F1526" s="3" t="s">
        <v>164</v>
      </c>
      <c r="G1526" s="3" t="s">
        <v>592</v>
      </c>
      <c r="H1526" s="3" t="s">
        <v>169</v>
      </c>
    </row>
    <row r="1527" customFormat="false" ht="15" hidden="false" customHeight="false" outlineLevel="0" collapsed="false">
      <c r="A1527" s="4" t="s">
        <v>55</v>
      </c>
      <c r="B1527" s="4" t="s">
        <v>60</v>
      </c>
      <c r="C1527" s="4" t="n">
        <v>7</v>
      </c>
      <c r="D1527" s="4" t="n">
        <v>1</v>
      </c>
      <c r="E1527" s="4" t="s">
        <v>39</v>
      </c>
      <c r="F1527" s="3" t="s">
        <v>72</v>
      </c>
      <c r="G1527" s="3" t="s">
        <v>594</v>
      </c>
      <c r="H1527" s="3" t="s">
        <v>176</v>
      </c>
    </row>
    <row r="1528" customFormat="false" ht="15" hidden="false" customHeight="false" outlineLevel="0" collapsed="false">
      <c r="A1528" s="4" t="s">
        <v>55</v>
      </c>
      <c r="B1528" s="4" t="s">
        <v>63</v>
      </c>
      <c r="C1528" s="4" t="n">
        <v>1</v>
      </c>
      <c r="D1528" s="4" t="n">
        <v>2</v>
      </c>
      <c r="E1528" s="4" t="s">
        <v>539</v>
      </c>
      <c r="F1528" s="3" t="s">
        <v>72</v>
      </c>
      <c r="G1528" s="3" t="s">
        <v>594</v>
      </c>
      <c r="H1528" s="3" t="s">
        <v>398</v>
      </c>
    </row>
    <row r="1529" customFormat="false" ht="15" hidden="false" customHeight="false" outlineLevel="0" collapsed="false">
      <c r="A1529" s="4" t="s">
        <v>55</v>
      </c>
      <c r="B1529" s="4" t="s">
        <v>63</v>
      </c>
      <c r="C1529" s="4" t="n">
        <v>3</v>
      </c>
      <c r="D1529" s="4" t="n">
        <v>1</v>
      </c>
      <c r="E1529" s="4" t="s">
        <v>26</v>
      </c>
      <c r="F1529" s="3" t="s">
        <v>164</v>
      </c>
      <c r="G1529" s="3" t="s">
        <v>592</v>
      </c>
      <c r="H1529" s="3" t="s">
        <v>180</v>
      </c>
    </row>
    <row r="1530" customFormat="false" ht="15" hidden="false" customHeight="false" outlineLevel="0" collapsed="false">
      <c r="A1530" s="4" t="s">
        <v>55</v>
      </c>
      <c r="B1530" s="4" t="s">
        <v>63</v>
      </c>
      <c r="C1530" s="4" t="n">
        <v>4</v>
      </c>
      <c r="D1530" s="4" t="n">
        <v>2</v>
      </c>
      <c r="E1530" s="4" t="s">
        <v>533</v>
      </c>
      <c r="F1530" s="3" t="s">
        <v>388</v>
      </c>
      <c r="G1530" s="3" t="s">
        <v>537</v>
      </c>
      <c r="H1530" s="3" t="s">
        <v>387</v>
      </c>
    </row>
    <row r="1531" customFormat="false" ht="15" hidden="false" customHeight="false" outlineLevel="0" collapsed="false">
      <c r="A1531" s="4" t="s">
        <v>55</v>
      </c>
      <c r="B1531" s="4" t="s">
        <v>63</v>
      </c>
      <c r="C1531" s="4" t="n">
        <v>6</v>
      </c>
      <c r="D1531" s="4" t="n">
        <v>1</v>
      </c>
      <c r="E1531" s="4" t="s">
        <v>42</v>
      </c>
      <c r="F1531" s="3" t="s">
        <v>239</v>
      </c>
      <c r="G1531" s="3" t="s">
        <v>587</v>
      </c>
      <c r="H1531" s="3" t="s">
        <v>249</v>
      </c>
    </row>
    <row r="1532" customFormat="false" ht="15" hidden="false" customHeight="false" outlineLevel="0" collapsed="false">
      <c r="A1532" s="4" t="s">
        <v>55</v>
      </c>
      <c r="B1532" s="4" t="s">
        <v>63</v>
      </c>
      <c r="C1532" s="4" t="n">
        <v>7</v>
      </c>
      <c r="D1532" s="4" t="n">
        <v>1</v>
      </c>
      <c r="E1532" s="4" t="s">
        <v>39</v>
      </c>
      <c r="F1532" s="3" t="s">
        <v>15</v>
      </c>
      <c r="G1532" s="3" t="s">
        <v>581</v>
      </c>
      <c r="H1532" s="3" t="s">
        <v>304</v>
      </c>
    </row>
    <row r="1533" customFormat="false" ht="15" hidden="false" customHeight="false" outlineLevel="0" collapsed="false">
      <c r="A1533" s="4" t="s">
        <v>55</v>
      </c>
      <c r="B1533" s="4" t="s">
        <v>65</v>
      </c>
      <c r="C1533" s="4" t="n">
        <v>1</v>
      </c>
      <c r="D1533" s="4" t="n">
        <v>1</v>
      </c>
      <c r="E1533" s="4" t="s">
        <v>16</v>
      </c>
      <c r="F1533" s="3" t="s">
        <v>192</v>
      </c>
      <c r="G1533" s="3" t="s">
        <v>595</v>
      </c>
      <c r="H1533" s="3" t="s">
        <v>201</v>
      </c>
    </row>
    <row r="1534" customFormat="false" ht="15" hidden="false" customHeight="false" outlineLevel="0" collapsed="false">
      <c r="A1534" s="4" t="s">
        <v>55</v>
      </c>
      <c r="B1534" s="4" t="s">
        <v>65</v>
      </c>
      <c r="C1534" s="4" t="n">
        <v>2</v>
      </c>
      <c r="D1534" s="4" t="n">
        <v>1</v>
      </c>
      <c r="E1534" s="4" t="s">
        <v>21</v>
      </c>
      <c r="F1534" s="3" t="s">
        <v>164</v>
      </c>
      <c r="G1534" s="3" t="s">
        <v>592</v>
      </c>
      <c r="H1534" s="3" t="s">
        <v>171</v>
      </c>
    </row>
    <row r="1535" customFormat="false" ht="15" hidden="false" customHeight="false" outlineLevel="0" collapsed="false">
      <c r="A1535" s="4" t="s">
        <v>55</v>
      </c>
      <c r="B1535" s="4" t="s">
        <v>65</v>
      </c>
      <c r="C1535" s="4" t="n">
        <v>3</v>
      </c>
      <c r="D1535" s="4" t="n">
        <v>1</v>
      </c>
      <c r="E1535" s="4" t="s">
        <v>26</v>
      </c>
      <c r="F1535" s="3" t="s">
        <v>101</v>
      </c>
      <c r="G1535" s="3" t="s">
        <v>589</v>
      </c>
      <c r="H1535" s="3" t="s">
        <v>121</v>
      </c>
    </row>
    <row r="1536" customFormat="false" ht="15" hidden="false" customHeight="false" outlineLevel="0" collapsed="false">
      <c r="A1536" s="4" t="s">
        <v>55</v>
      </c>
      <c r="B1536" s="4" t="s">
        <v>65</v>
      </c>
      <c r="C1536" s="4" t="n">
        <v>4</v>
      </c>
      <c r="D1536" s="4" t="n">
        <v>1</v>
      </c>
      <c r="E1536" s="4" t="s">
        <v>34</v>
      </c>
      <c r="F1536" s="3" t="s">
        <v>15</v>
      </c>
      <c r="G1536" s="3" t="s">
        <v>581</v>
      </c>
      <c r="H1536" s="3" t="s">
        <v>306</v>
      </c>
    </row>
    <row r="1537" customFormat="false" ht="15" hidden="false" customHeight="false" outlineLevel="0" collapsed="false">
      <c r="A1537" s="4" t="s">
        <v>55</v>
      </c>
      <c r="B1537" s="4" t="s">
        <v>65</v>
      </c>
      <c r="C1537" s="4" t="n">
        <v>5</v>
      </c>
      <c r="D1537" s="4" t="n">
        <v>1</v>
      </c>
      <c r="E1537" s="4" t="s">
        <v>37</v>
      </c>
      <c r="F1537" s="3" t="s">
        <v>36</v>
      </c>
      <c r="G1537" s="3" t="s">
        <v>586</v>
      </c>
      <c r="H1537" s="3" t="s">
        <v>112</v>
      </c>
    </row>
    <row r="1538" customFormat="false" ht="15" hidden="false" customHeight="false" outlineLevel="0" collapsed="false">
      <c r="A1538" s="4" t="s">
        <v>55</v>
      </c>
      <c r="B1538" s="4" t="s">
        <v>65</v>
      </c>
      <c r="C1538" s="4" t="n">
        <v>6</v>
      </c>
      <c r="D1538" s="4" t="n">
        <v>1</v>
      </c>
      <c r="E1538" s="4" t="s">
        <v>42</v>
      </c>
      <c r="F1538" s="3" t="s">
        <v>72</v>
      </c>
      <c r="G1538" s="3" t="s">
        <v>594</v>
      </c>
      <c r="H1538" s="3" t="s">
        <v>163</v>
      </c>
    </row>
    <row r="1539" customFormat="false" ht="15" hidden="false" customHeight="false" outlineLevel="0" collapsed="false">
      <c r="A1539" s="4" t="s">
        <v>55</v>
      </c>
      <c r="B1539" s="4" t="s">
        <v>65</v>
      </c>
      <c r="C1539" s="4" t="n">
        <v>7</v>
      </c>
      <c r="D1539" s="4" t="n">
        <v>1</v>
      </c>
      <c r="E1539" s="4" t="s">
        <v>39</v>
      </c>
      <c r="F1539" s="3" t="s">
        <v>239</v>
      </c>
      <c r="G1539" s="3" t="s">
        <v>587</v>
      </c>
      <c r="H1539" s="3" t="s">
        <v>251</v>
      </c>
    </row>
    <row r="1540" customFormat="false" ht="15" hidden="false" customHeight="false" outlineLevel="0" collapsed="false">
      <c r="A1540" s="4" t="s">
        <v>55</v>
      </c>
      <c r="B1540" s="4" t="s">
        <v>66</v>
      </c>
      <c r="C1540" s="4" t="n">
        <v>1</v>
      </c>
      <c r="D1540" s="4" t="n">
        <v>1</v>
      </c>
      <c r="E1540" s="4" t="s">
        <v>16</v>
      </c>
      <c r="F1540" s="3" t="s">
        <v>239</v>
      </c>
      <c r="G1540" s="3" t="s">
        <v>587</v>
      </c>
      <c r="H1540" s="3" t="s">
        <v>252</v>
      </c>
    </row>
    <row r="1541" customFormat="false" ht="15" hidden="false" customHeight="false" outlineLevel="0" collapsed="false">
      <c r="A1541" s="4" t="s">
        <v>55</v>
      </c>
      <c r="B1541" s="4" t="s">
        <v>66</v>
      </c>
      <c r="C1541" s="4" t="n">
        <v>2</v>
      </c>
      <c r="D1541" s="4" t="n">
        <v>1</v>
      </c>
      <c r="E1541" s="4" t="s">
        <v>21</v>
      </c>
      <c r="F1541" s="3" t="s">
        <v>72</v>
      </c>
      <c r="G1541" s="3" t="s">
        <v>594</v>
      </c>
      <c r="H1541" s="3" t="s">
        <v>177</v>
      </c>
    </row>
    <row r="1542" customFormat="false" ht="15" hidden="false" customHeight="false" outlineLevel="0" collapsed="false">
      <c r="A1542" s="4" t="s">
        <v>55</v>
      </c>
      <c r="B1542" s="4" t="s">
        <v>66</v>
      </c>
      <c r="C1542" s="4" t="n">
        <v>3</v>
      </c>
      <c r="D1542" s="4" t="n">
        <v>1</v>
      </c>
      <c r="E1542" s="4" t="s">
        <v>26</v>
      </c>
      <c r="F1542" s="3" t="s">
        <v>164</v>
      </c>
      <c r="G1542" s="3" t="s">
        <v>592</v>
      </c>
      <c r="H1542" s="3" t="s">
        <v>176</v>
      </c>
    </row>
    <row r="1543" customFormat="false" ht="15" hidden="false" customHeight="false" outlineLevel="0" collapsed="false">
      <c r="A1543" s="4" t="s">
        <v>55</v>
      </c>
      <c r="B1543" s="4" t="s">
        <v>66</v>
      </c>
      <c r="C1543" s="4" t="n">
        <v>4</v>
      </c>
      <c r="D1543" s="4" t="n">
        <v>1</v>
      </c>
      <c r="E1543" s="4" t="s">
        <v>34</v>
      </c>
      <c r="F1543" s="3" t="s">
        <v>192</v>
      </c>
      <c r="G1543" s="3" t="s">
        <v>595</v>
      </c>
      <c r="H1543" s="3" t="s">
        <v>202</v>
      </c>
    </row>
    <row r="1544" customFormat="false" ht="15" hidden="false" customHeight="false" outlineLevel="0" collapsed="false">
      <c r="A1544" s="4" t="s">
        <v>55</v>
      </c>
      <c r="B1544" s="4" t="s">
        <v>66</v>
      </c>
      <c r="C1544" s="4" t="n">
        <v>5</v>
      </c>
      <c r="D1544" s="4" t="n">
        <v>1</v>
      </c>
      <c r="E1544" s="4" t="s">
        <v>37</v>
      </c>
      <c r="F1544" s="3" t="s">
        <v>101</v>
      </c>
      <c r="G1544" s="3" t="s">
        <v>582</v>
      </c>
      <c r="H1544" s="3" t="s">
        <v>122</v>
      </c>
    </row>
    <row r="1545" customFormat="false" ht="15" hidden="false" customHeight="false" outlineLevel="0" collapsed="false">
      <c r="A1545" s="4" t="s">
        <v>55</v>
      </c>
      <c r="B1545" s="4" t="s">
        <v>66</v>
      </c>
      <c r="C1545" s="4" t="n">
        <v>6</v>
      </c>
      <c r="D1545" s="4" t="n">
        <v>1</v>
      </c>
      <c r="E1545" s="4" t="s">
        <v>42</v>
      </c>
      <c r="F1545" s="3" t="s">
        <v>15</v>
      </c>
      <c r="G1545" s="3" t="s">
        <v>581</v>
      </c>
      <c r="H1545" s="3" t="s">
        <v>306</v>
      </c>
    </row>
    <row r="1546" customFormat="false" ht="15" hidden="false" customHeight="false" outlineLevel="0" collapsed="false">
      <c r="A1546" s="4" t="s">
        <v>55</v>
      </c>
      <c r="B1546" s="4" t="s">
        <v>66</v>
      </c>
      <c r="C1546" s="4" t="n">
        <v>7</v>
      </c>
      <c r="D1546" s="4" t="n">
        <v>1</v>
      </c>
      <c r="E1546" s="4" t="s">
        <v>39</v>
      </c>
      <c r="F1546" s="3" t="s">
        <v>287</v>
      </c>
      <c r="G1546" s="3" t="s">
        <v>450</v>
      </c>
      <c r="H1546" s="3" t="s">
        <v>453</v>
      </c>
    </row>
    <row r="1547" customFormat="false" ht="15" hidden="false" customHeight="false" outlineLevel="0" collapsed="false">
      <c r="A1547" s="4" t="s">
        <v>28</v>
      </c>
      <c r="B1547" s="4" t="s">
        <v>12</v>
      </c>
      <c r="C1547" s="4" t="n">
        <v>1</v>
      </c>
      <c r="D1547" s="4" t="n">
        <v>1</v>
      </c>
      <c r="E1547" s="4" t="s">
        <v>16</v>
      </c>
      <c r="F1547" s="3" t="s">
        <v>99</v>
      </c>
      <c r="G1547" s="3" t="s">
        <v>474</v>
      </c>
      <c r="H1547" s="3" t="s">
        <v>362</v>
      </c>
    </row>
    <row r="1548" customFormat="false" ht="15" hidden="false" customHeight="false" outlineLevel="0" collapsed="false">
      <c r="A1548" s="4" t="s">
        <v>28</v>
      </c>
      <c r="B1548" s="4" t="s">
        <v>12</v>
      </c>
      <c r="C1548" s="4" t="n">
        <v>2</v>
      </c>
      <c r="D1548" s="4" t="n">
        <v>1</v>
      </c>
      <c r="E1548" s="4" t="s">
        <v>21</v>
      </c>
      <c r="F1548" s="3" t="s">
        <v>272</v>
      </c>
      <c r="G1548" s="3" t="s">
        <v>596</v>
      </c>
      <c r="H1548" s="3" t="s">
        <v>271</v>
      </c>
    </row>
    <row r="1549" customFormat="false" ht="15" hidden="false" customHeight="false" outlineLevel="0" collapsed="false">
      <c r="A1549" s="4" t="s">
        <v>28</v>
      </c>
      <c r="B1549" s="4" t="s">
        <v>12</v>
      </c>
      <c r="C1549" s="4" t="n">
        <v>3</v>
      </c>
      <c r="D1549" s="4" t="n">
        <v>1</v>
      </c>
      <c r="E1549" s="4" t="s">
        <v>26</v>
      </c>
      <c r="F1549" s="3" t="s">
        <v>15</v>
      </c>
      <c r="G1549" s="3" t="s">
        <v>597</v>
      </c>
      <c r="H1549" s="3" t="s">
        <v>25</v>
      </c>
    </row>
    <row r="1550" customFormat="false" ht="15" hidden="false" customHeight="false" outlineLevel="0" collapsed="false">
      <c r="A1550" s="4" t="s">
        <v>28</v>
      </c>
      <c r="B1550" s="4" t="s">
        <v>12</v>
      </c>
      <c r="C1550" s="4" t="n">
        <v>4</v>
      </c>
      <c r="D1550" s="4" t="n">
        <v>1</v>
      </c>
      <c r="E1550" s="4" t="s">
        <v>34</v>
      </c>
      <c r="F1550" s="3" t="s">
        <v>164</v>
      </c>
      <c r="G1550" s="3" t="s">
        <v>598</v>
      </c>
      <c r="H1550" s="3" t="s">
        <v>143</v>
      </c>
    </row>
    <row r="1551" customFormat="false" ht="15" hidden="false" customHeight="false" outlineLevel="0" collapsed="false">
      <c r="A1551" s="4" t="s">
        <v>28</v>
      </c>
      <c r="B1551" s="4" t="s">
        <v>12</v>
      </c>
      <c r="C1551" s="4" t="n">
        <v>5</v>
      </c>
      <c r="D1551" s="4" t="n">
        <v>1</v>
      </c>
      <c r="E1551" s="4" t="s">
        <v>37</v>
      </c>
      <c r="F1551" s="3" t="s">
        <v>72</v>
      </c>
      <c r="G1551" s="3" t="s">
        <v>599</v>
      </c>
      <c r="H1551" s="3" t="s">
        <v>143</v>
      </c>
    </row>
    <row r="1552" customFormat="false" ht="15" hidden="false" customHeight="false" outlineLevel="0" collapsed="false">
      <c r="A1552" s="4" t="s">
        <v>28</v>
      </c>
      <c r="B1552" s="4" t="s">
        <v>12</v>
      </c>
      <c r="C1552" s="4" t="n">
        <v>6</v>
      </c>
      <c r="D1552" s="4" t="n">
        <v>2</v>
      </c>
      <c r="E1552" s="4" t="s">
        <v>536</v>
      </c>
      <c r="F1552" s="3" t="s">
        <v>388</v>
      </c>
      <c r="G1552" s="3" t="s">
        <v>590</v>
      </c>
      <c r="H1552" s="3" t="s">
        <v>387</v>
      </c>
    </row>
    <row r="1553" customFormat="false" ht="15" hidden="false" customHeight="false" outlineLevel="0" collapsed="false">
      <c r="A1553" s="4" t="s">
        <v>28</v>
      </c>
      <c r="B1553" s="4" t="s">
        <v>31</v>
      </c>
      <c r="C1553" s="4" t="n">
        <v>1</v>
      </c>
      <c r="D1553" s="4" t="n">
        <v>1</v>
      </c>
      <c r="E1553" s="4" t="s">
        <v>16</v>
      </c>
      <c r="F1553" s="3" t="s">
        <v>272</v>
      </c>
      <c r="G1553" s="3" t="s">
        <v>596</v>
      </c>
      <c r="H1553" s="3" t="s">
        <v>274</v>
      </c>
    </row>
    <row r="1554" customFormat="false" ht="15" hidden="false" customHeight="false" outlineLevel="0" collapsed="false">
      <c r="A1554" s="4" t="s">
        <v>28</v>
      </c>
      <c r="B1554" s="4" t="s">
        <v>31</v>
      </c>
      <c r="C1554" s="4" t="n">
        <v>2</v>
      </c>
      <c r="D1554" s="4" t="n">
        <v>1</v>
      </c>
      <c r="E1554" s="4" t="s">
        <v>21</v>
      </c>
      <c r="F1554" s="3" t="s">
        <v>378</v>
      </c>
      <c r="G1554" s="3" t="s">
        <v>600</v>
      </c>
      <c r="H1554" s="3" t="s">
        <v>377</v>
      </c>
    </row>
    <row r="1555" customFormat="false" ht="15" hidden="false" customHeight="false" outlineLevel="0" collapsed="false">
      <c r="A1555" s="4" t="s">
        <v>28</v>
      </c>
      <c r="B1555" s="4" t="s">
        <v>31</v>
      </c>
      <c r="C1555" s="4" t="n">
        <v>3</v>
      </c>
      <c r="D1555" s="4" t="n">
        <v>1</v>
      </c>
      <c r="E1555" s="4" t="s">
        <v>26</v>
      </c>
      <c r="F1555" s="3" t="s">
        <v>164</v>
      </c>
      <c r="G1555" s="3" t="s">
        <v>598</v>
      </c>
      <c r="H1555" s="3" t="s">
        <v>159</v>
      </c>
    </row>
    <row r="1556" customFormat="false" ht="15" hidden="false" customHeight="false" outlineLevel="0" collapsed="false">
      <c r="A1556" s="4" t="s">
        <v>28</v>
      </c>
      <c r="B1556" s="4" t="s">
        <v>31</v>
      </c>
      <c r="C1556" s="4" t="n">
        <v>4</v>
      </c>
      <c r="D1556" s="4" t="n">
        <v>1</v>
      </c>
      <c r="E1556" s="4" t="s">
        <v>34</v>
      </c>
      <c r="F1556" s="3" t="s">
        <v>72</v>
      </c>
      <c r="G1556" s="3" t="s">
        <v>599</v>
      </c>
      <c r="H1556" s="3" t="s">
        <v>145</v>
      </c>
    </row>
    <row r="1557" customFormat="false" ht="15" hidden="false" customHeight="false" outlineLevel="0" collapsed="false">
      <c r="A1557" s="4" t="s">
        <v>28</v>
      </c>
      <c r="B1557" s="4" t="s">
        <v>31</v>
      </c>
      <c r="C1557" s="4" t="n">
        <v>5</v>
      </c>
      <c r="D1557" s="4" t="n">
        <v>1</v>
      </c>
      <c r="E1557" s="4" t="s">
        <v>37</v>
      </c>
      <c r="F1557" s="3" t="s">
        <v>36</v>
      </c>
      <c r="G1557" s="3" t="s">
        <v>601</v>
      </c>
      <c r="H1557" s="3" t="s">
        <v>131</v>
      </c>
    </row>
    <row r="1558" customFormat="false" ht="15" hidden="false" customHeight="false" outlineLevel="0" collapsed="false">
      <c r="A1558" s="4" t="s">
        <v>28</v>
      </c>
      <c r="B1558" s="4" t="s">
        <v>31</v>
      </c>
      <c r="C1558" s="4" t="n">
        <v>6</v>
      </c>
      <c r="D1558" s="4" t="n">
        <v>1</v>
      </c>
      <c r="E1558" s="4" t="s">
        <v>42</v>
      </c>
      <c r="F1558" s="3" t="s">
        <v>99</v>
      </c>
      <c r="G1558" s="3" t="s">
        <v>474</v>
      </c>
      <c r="H1558" s="3" t="s">
        <v>362</v>
      </c>
    </row>
    <row r="1559" customFormat="false" ht="15" hidden="false" customHeight="false" outlineLevel="0" collapsed="false">
      <c r="A1559" s="4" t="s">
        <v>28</v>
      </c>
      <c r="B1559" s="4" t="s">
        <v>31</v>
      </c>
      <c r="C1559" s="4" t="n">
        <v>7</v>
      </c>
      <c r="D1559" s="4" t="n">
        <v>1</v>
      </c>
      <c r="E1559" s="4" t="s">
        <v>39</v>
      </c>
      <c r="F1559" s="3" t="s">
        <v>15</v>
      </c>
      <c r="G1559" s="3" t="s">
        <v>597</v>
      </c>
      <c r="H1559" s="3" t="s">
        <v>38</v>
      </c>
    </row>
    <row r="1560" customFormat="false" ht="15" hidden="false" customHeight="false" outlineLevel="0" collapsed="false">
      <c r="A1560" s="4" t="s">
        <v>28</v>
      </c>
      <c r="B1560" s="4" t="s">
        <v>40</v>
      </c>
      <c r="C1560" s="4" t="n">
        <v>1</v>
      </c>
      <c r="D1560" s="4" t="n">
        <v>1</v>
      </c>
      <c r="E1560" s="4" t="s">
        <v>16</v>
      </c>
      <c r="F1560" s="3" t="s">
        <v>164</v>
      </c>
      <c r="G1560" s="3" t="s">
        <v>598</v>
      </c>
      <c r="H1560" s="3" t="s">
        <v>404</v>
      </c>
    </row>
    <row r="1561" customFormat="false" ht="15" hidden="false" customHeight="false" outlineLevel="0" collapsed="false">
      <c r="A1561" s="4" t="s">
        <v>28</v>
      </c>
      <c r="B1561" s="4" t="s">
        <v>40</v>
      </c>
      <c r="C1561" s="4" t="n">
        <v>2</v>
      </c>
      <c r="D1561" s="4" t="n">
        <v>1</v>
      </c>
      <c r="E1561" s="4" t="s">
        <v>21</v>
      </c>
      <c r="F1561" s="3" t="s">
        <v>15</v>
      </c>
      <c r="G1561" s="3" t="s">
        <v>597</v>
      </c>
      <c r="H1561" s="3" t="s">
        <v>41</v>
      </c>
    </row>
    <row r="1562" customFormat="false" ht="15" hidden="false" customHeight="false" outlineLevel="0" collapsed="false">
      <c r="A1562" s="4" t="s">
        <v>28</v>
      </c>
      <c r="B1562" s="4" t="s">
        <v>40</v>
      </c>
      <c r="C1562" s="4" t="n">
        <v>3</v>
      </c>
      <c r="D1562" s="4" t="n">
        <v>1</v>
      </c>
      <c r="E1562" s="4" t="s">
        <v>26</v>
      </c>
      <c r="F1562" s="3" t="s">
        <v>272</v>
      </c>
      <c r="G1562" s="3" t="s">
        <v>596</v>
      </c>
      <c r="H1562" s="3" t="s">
        <v>275</v>
      </c>
    </row>
    <row r="1563" customFormat="false" ht="15" hidden="false" customHeight="false" outlineLevel="0" collapsed="false">
      <c r="A1563" s="4" t="s">
        <v>28</v>
      </c>
      <c r="B1563" s="4" t="s">
        <v>40</v>
      </c>
      <c r="C1563" s="4" t="n">
        <v>4</v>
      </c>
      <c r="D1563" s="4" t="n">
        <v>1</v>
      </c>
      <c r="E1563" s="4" t="s">
        <v>34</v>
      </c>
      <c r="F1563" s="3" t="s">
        <v>378</v>
      </c>
      <c r="G1563" s="3" t="s">
        <v>602</v>
      </c>
      <c r="H1563" s="3" t="s">
        <v>379</v>
      </c>
    </row>
    <row r="1564" customFormat="false" ht="15" hidden="false" customHeight="false" outlineLevel="0" collapsed="false">
      <c r="A1564" s="4" t="s">
        <v>28</v>
      </c>
      <c r="B1564" s="4" t="s">
        <v>40</v>
      </c>
      <c r="C1564" s="4" t="n">
        <v>5</v>
      </c>
      <c r="D1564" s="4" t="n">
        <v>1</v>
      </c>
      <c r="E1564" s="4" t="s">
        <v>37</v>
      </c>
      <c r="F1564" s="3" t="s">
        <v>287</v>
      </c>
      <c r="G1564" s="3" t="s">
        <v>361</v>
      </c>
      <c r="H1564" s="3" t="s">
        <v>362</v>
      </c>
    </row>
    <row r="1565" customFormat="false" ht="15" hidden="false" customHeight="false" outlineLevel="0" collapsed="false">
      <c r="A1565" s="4" t="s">
        <v>28</v>
      </c>
      <c r="B1565" s="4" t="s">
        <v>40</v>
      </c>
      <c r="C1565" s="4" t="n">
        <v>6</v>
      </c>
      <c r="D1565" s="4" t="n">
        <v>2</v>
      </c>
      <c r="E1565" s="4" t="s">
        <v>536</v>
      </c>
      <c r="F1565" s="3" t="s">
        <v>72</v>
      </c>
      <c r="G1565" s="3" t="s">
        <v>599</v>
      </c>
      <c r="H1565" s="3" t="s">
        <v>149</v>
      </c>
    </row>
    <row r="1566" customFormat="false" ht="15" hidden="false" customHeight="false" outlineLevel="0" collapsed="false">
      <c r="A1566" s="4" t="s">
        <v>28</v>
      </c>
      <c r="B1566" s="4" t="s">
        <v>44</v>
      </c>
      <c r="C1566" s="4" t="n">
        <v>1</v>
      </c>
      <c r="D1566" s="4" t="n">
        <v>1</v>
      </c>
      <c r="E1566" s="4" t="s">
        <v>16</v>
      </c>
      <c r="F1566" s="3" t="s">
        <v>378</v>
      </c>
      <c r="G1566" s="3" t="s">
        <v>602</v>
      </c>
      <c r="H1566" s="3" t="s">
        <v>380</v>
      </c>
    </row>
    <row r="1567" customFormat="false" ht="15" hidden="false" customHeight="false" outlineLevel="0" collapsed="false">
      <c r="A1567" s="4" t="s">
        <v>28</v>
      </c>
      <c r="B1567" s="4" t="s">
        <v>44</v>
      </c>
      <c r="C1567" s="4" t="n">
        <v>2</v>
      </c>
      <c r="D1567" s="4" t="n">
        <v>1</v>
      </c>
      <c r="E1567" s="4" t="s">
        <v>21</v>
      </c>
      <c r="F1567" s="3" t="s">
        <v>15</v>
      </c>
      <c r="G1567" s="3" t="s">
        <v>597</v>
      </c>
      <c r="H1567" s="3" t="s">
        <v>45</v>
      </c>
    </row>
    <row r="1568" customFormat="false" ht="15" hidden="false" customHeight="false" outlineLevel="0" collapsed="false">
      <c r="A1568" s="4" t="s">
        <v>28</v>
      </c>
      <c r="B1568" s="4" t="s">
        <v>44</v>
      </c>
      <c r="C1568" s="4" t="n">
        <v>3</v>
      </c>
      <c r="D1568" s="4" t="n">
        <v>1</v>
      </c>
      <c r="E1568" s="4" t="s">
        <v>26</v>
      </c>
      <c r="F1568" s="3" t="s">
        <v>287</v>
      </c>
      <c r="G1568" s="3" t="s">
        <v>361</v>
      </c>
      <c r="H1568" s="3" t="s">
        <v>362</v>
      </c>
    </row>
    <row r="1569" customFormat="false" ht="15" hidden="false" customHeight="false" outlineLevel="0" collapsed="false">
      <c r="A1569" s="4" t="s">
        <v>28</v>
      </c>
      <c r="B1569" s="4" t="s">
        <v>44</v>
      </c>
      <c r="C1569" s="4" t="n">
        <v>4</v>
      </c>
      <c r="D1569" s="4" t="n">
        <v>1</v>
      </c>
      <c r="E1569" s="4" t="s">
        <v>34</v>
      </c>
      <c r="F1569" s="3" t="s">
        <v>164</v>
      </c>
      <c r="G1569" s="3" t="s">
        <v>598</v>
      </c>
      <c r="H1569" s="3" t="s">
        <v>406</v>
      </c>
    </row>
    <row r="1570" customFormat="false" ht="15" hidden="false" customHeight="false" outlineLevel="0" collapsed="false">
      <c r="A1570" s="4" t="s">
        <v>28</v>
      </c>
      <c r="B1570" s="4" t="s">
        <v>44</v>
      </c>
      <c r="C1570" s="4" t="n">
        <v>5</v>
      </c>
      <c r="D1570" s="4" t="n">
        <v>1</v>
      </c>
      <c r="E1570" s="4" t="s">
        <v>37</v>
      </c>
      <c r="F1570" s="3" t="s">
        <v>36</v>
      </c>
      <c r="G1570" s="3" t="s">
        <v>601</v>
      </c>
      <c r="H1570" s="3" t="s">
        <v>131</v>
      </c>
    </row>
    <row r="1571" customFormat="false" ht="15" hidden="false" customHeight="false" outlineLevel="0" collapsed="false">
      <c r="A1571" s="4" t="s">
        <v>28</v>
      </c>
      <c r="B1571" s="4" t="s">
        <v>44</v>
      </c>
      <c r="C1571" s="4" t="n">
        <v>6</v>
      </c>
      <c r="D1571" s="4" t="n">
        <v>1</v>
      </c>
      <c r="E1571" s="4" t="s">
        <v>42</v>
      </c>
      <c r="F1571" s="3" t="s">
        <v>99</v>
      </c>
      <c r="G1571" s="3" t="s">
        <v>474</v>
      </c>
      <c r="H1571" s="3" t="s">
        <v>362</v>
      </c>
    </row>
    <row r="1572" customFormat="false" ht="15" hidden="false" customHeight="false" outlineLevel="0" collapsed="false">
      <c r="A1572" s="4" t="s">
        <v>28</v>
      </c>
      <c r="B1572" s="4" t="s">
        <v>44</v>
      </c>
      <c r="C1572" s="4" t="n">
        <v>7</v>
      </c>
      <c r="D1572" s="4" t="n">
        <v>1</v>
      </c>
      <c r="E1572" s="4" t="s">
        <v>39</v>
      </c>
      <c r="F1572" s="3" t="s">
        <v>72</v>
      </c>
      <c r="G1572" s="3" t="s">
        <v>599</v>
      </c>
      <c r="H1572" s="3" t="s">
        <v>143</v>
      </c>
    </row>
    <row r="1573" customFormat="false" ht="15" hidden="false" customHeight="false" outlineLevel="0" collapsed="false">
      <c r="A1573" s="4" t="s">
        <v>28</v>
      </c>
      <c r="B1573" s="4" t="s">
        <v>47</v>
      </c>
      <c r="C1573" s="4" t="n">
        <v>1</v>
      </c>
      <c r="D1573" s="4" t="n">
        <v>1</v>
      </c>
      <c r="E1573" s="4" t="s">
        <v>16</v>
      </c>
      <c r="F1573" s="3" t="s">
        <v>272</v>
      </c>
      <c r="G1573" s="3" t="s">
        <v>596</v>
      </c>
      <c r="H1573" s="3" t="s">
        <v>277</v>
      </c>
    </row>
    <row r="1574" customFormat="false" ht="15" hidden="false" customHeight="false" outlineLevel="0" collapsed="false">
      <c r="A1574" s="4" t="s">
        <v>28</v>
      </c>
      <c r="B1574" s="4" t="s">
        <v>47</v>
      </c>
      <c r="C1574" s="4" t="n">
        <v>2</v>
      </c>
      <c r="D1574" s="4" t="n">
        <v>1</v>
      </c>
      <c r="E1574" s="4" t="s">
        <v>21</v>
      </c>
      <c r="F1574" s="3" t="s">
        <v>99</v>
      </c>
      <c r="G1574" s="3" t="s">
        <v>474</v>
      </c>
      <c r="H1574" s="3" t="s">
        <v>362</v>
      </c>
    </row>
    <row r="1575" customFormat="false" ht="15" hidden="false" customHeight="false" outlineLevel="0" collapsed="false">
      <c r="A1575" s="4" t="s">
        <v>28</v>
      </c>
      <c r="B1575" s="4" t="s">
        <v>47</v>
      </c>
      <c r="C1575" s="4" t="n">
        <v>3</v>
      </c>
      <c r="D1575" s="4" t="n">
        <v>2</v>
      </c>
      <c r="E1575" s="4" t="s">
        <v>542</v>
      </c>
      <c r="F1575" s="3" t="s">
        <v>378</v>
      </c>
      <c r="G1575" s="3" t="s">
        <v>600</v>
      </c>
      <c r="H1575" s="3" t="s">
        <v>381</v>
      </c>
    </row>
    <row r="1576" customFormat="false" ht="15" hidden="false" customHeight="false" outlineLevel="0" collapsed="false">
      <c r="A1576" s="4" t="s">
        <v>28</v>
      </c>
      <c r="B1576" s="4" t="s">
        <v>47</v>
      </c>
      <c r="C1576" s="4" t="n">
        <v>5</v>
      </c>
      <c r="D1576" s="4" t="n">
        <v>1</v>
      </c>
      <c r="E1576" s="4" t="s">
        <v>37</v>
      </c>
      <c r="F1576" s="3" t="s">
        <v>15</v>
      </c>
      <c r="G1576" s="3" t="s">
        <v>597</v>
      </c>
      <c r="H1576" s="3" t="s">
        <v>49</v>
      </c>
    </row>
    <row r="1577" customFormat="false" ht="15" hidden="false" customHeight="false" outlineLevel="0" collapsed="false">
      <c r="A1577" s="4" t="s">
        <v>28</v>
      </c>
      <c r="B1577" s="4" t="s">
        <v>47</v>
      </c>
      <c r="C1577" s="4" t="n">
        <v>6</v>
      </c>
      <c r="D1577" s="4" t="n">
        <v>1</v>
      </c>
      <c r="E1577" s="4" t="s">
        <v>42</v>
      </c>
      <c r="F1577" s="3" t="s">
        <v>72</v>
      </c>
      <c r="G1577" s="3" t="s">
        <v>599</v>
      </c>
      <c r="H1577" s="3" t="s">
        <v>153</v>
      </c>
    </row>
    <row r="1578" customFormat="false" ht="15" hidden="false" customHeight="false" outlineLevel="0" collapsed="false">
      <c r="A1578" s="4" t="s">
        <v>28</v>
      </c>
      <c r="B1578" s="4" t="s">
        <v>47</v>
      </c>
      <c r="C1578" s="4" t="n">
        <v>7</v>
      </c>
      <c r="D1578" s="4" t="n">
        <v>1</v>
      </c>
      <c r="E1578" s="4" t="s">
        <v>39</v>
      </c>
      <c r="F1578" s="3" t="s">
        <v>164</v>
      </c>
      <c r="G1578" s="3" t="s">
        <v>598</v>
      </c>
      <c r="H1578" s="3" t="s">
        <v>159</v>
      </c>
    </row>
    <row r="1579" customFormat="false" ht="15" hidden="false" customHeight="false" outlineLevel="0" collapsed="false">
      <c r="A1579" s="4" t="s">
        <v>28</v>
      </c>
      <c r="B1579" s="4" t="s">
        <v>50</v>
      </c>
      <c r="C1579" s="4" t="n">
        <v>1</v>
      </c>
      <c r="D1579" s="4" t="n">
        <v>1</v>
      </c>
      <c r="E1579" s="4" t="s">
        <v>16</v>
      </c>
      <c r="F1579" s="3" t="s">
        <v>99</v>
      </c>
      <c r="G1579" s="3" t="s">
        <v>474</v>
      </c>
      <c r="H1579" s="3" t="s">
        <v>362</v>
      </c>
    </row>
    <row r="1580" customFormat="false" ht="15" hidden="false" customHeight="false" outlineLevel="0" collapsed="false">
      <c r="A1580" s="4" t="s">
        <v>28</v>
      </c>
      <c r="B1580" s="4" t="s">
        <v>50</v>
      </c>
      <c r="C1580" s="4" t="n">
        <v>2</v>
      </c>
      <c r="D1580" s="4" t="n">
        <v>1</v>
      </c>
      <c r="E1580" s="4" t="s">
        <v>21</v>
      </c>
      <c r="F1580" s="3" t="s">
        <v>164</v>
      </c>
      <c r="G1580" s="3" t="s">
        <v>598</v>
      </c>
      <c r="H1580" s="3" t="s">
        <v>410</v>
      </c>
    </row>
    <row r="1581" customFormat="false" ht="15" hidden="false" customHeight="false" outlineLevel="0" collapsed="false">
      <c r="A1581" s="4" t="s">
        <v>28</v>
      </c>
      <c r="B1581" s="4" t="s">
        <v>50</v>
      </c>
      <c r="C1581" s="4" t="n">
        <v>3</v>
      </c>
      <c r="D1581" s="4" t="n">
        <v>1</v>
      </c>
      <c r="E1581" s="4" t="s">
        <v>26</v>
      </c>
      <c r="F1581" s="3" t="s">
        <v>15</v>
      </c>
      <c r="G1581" s="3" t="s">
        <v>597</v>
      </c>
      <c r="H1581" s="3" t="s">
        <v>41</v>
      </c>
    </row>
    <row r="1582" customFormat="false" ht="15" hidden="false" customHeight="false" outlineLevel="0" collapsed="false">
      <c r="A1582" s="4" t="s">
        <v>28</v>
      </c>
      <c r="B1582" s="4" t="s">
        <v>50</v>
      </c>
      <c r="C1582" s="4" t="n">
        <v>4</v>
      </c>
      <c r="D1582" s="4" t="n">
        <v>2</v>
      </c>
      <c r="E1582" s="4" t="s">
        <v>533</v>
      </c>
      <c r="F1582" s="3" t="s">
        <v>272</v>
      </c>
      <c r="G1582" s="3" t="s">
        <v>596</v>
      </c>
      <c r="H1582" s="3" t="s">
        <v>278</v>
      </c>
    </row>
    <row r="1583" customFormat="false" ht="15" hidden="false" customHeight="false" outlineLevel="0" collapsed="false">
      <c r="A1583" s="4" t="s">
        <v>28</v>
      </c>
      <c r="B1583" s="4" t="s">
        <v>50</v>
      </c>
      <c r="C1583" s="4" t="n">
        <v>6</v>
      </c>
      <c r="D1583" s="4" t="n">
        <v>1</v>
      </c>
      <c r="E1583" s="4" t="s">
        <v>42</v>
      </c>
      <c r="F1583" s="3" t="s">
        <v>72</v>
      </c>
      <c r="G1583" s="3" t="s">
        <v>599</v>
      </c>
      <c r="H1583" s="3" t="s">
        <v>156</v>
      </c>
    </row>
    <row r="1584" customFormat="false" ht="15" hidden="false" customHeight="false" outlineLevel="0" collapsed="false">
      <c r="A1584" s="4" t="s">
        <v>28</v>
      </c>
      <c r="B1584" s="4" t="s">
        <v>50</v>
      </c>
      <c r="C1584" s="4" t="n">
        <v>7</v>
      </c>
      <c r="D1584" s="4" t="n">
        <v>1</v>
      </c>
      <c r="E1584" s="4" t="s">
        <v>39</v>
      </c>
      <c r="F1584" s="3" t="s">
        <v>378</v>
      </c>
      <c r="G1584" s="3" t="s">
        <v>600</v>
      </c>
      <c r="H1584" s="3" t="s">
        <v>382</v>
      </c>
    </row>
    <row r="1585" customFormat="false" ht="15" hidden="false" customHeight="false" outlineLevel="0" collapsed="false">
      <c r="A1585" s="4" t="s">
        <v>28</v>
      </c>
      <c r="B1585" s="4" t="s">
        <v>60</v>
      </c>
      <c r="C1585" s="4" t="n">
        <v>1</v>
      </c>
      <c r="D1585" s="4" t="n">
        <v>1</v>
      </c>
      <c r="E1585" s="4" t="s">
        <v>16</v>
      </c>
      <c r="F1585" s="3" t="s">
        <v>287</v>
      </c>
      <c r="G1585" s="3" t="s">
        <v>361</v>
      </c>
      <c r="H1585" s="3" t="s">
        <v>362</v>
      </c>
    </row>
    <row r="1586" customFormat="false" ht="15" hidden="false" customHeight="false" outlineLevel="0" collapsed="false">
      <c r="A1586" s="4" t="s">
        <v>28</v>
      </c>
      <c r="B1586" s="4" t="s">
        <v>60</v>
      </c>
      <c r="C1586" s="4" t="n">
        <v>2</v>
      </c>
      <c r="D1586" s="4" t="n">
        <v>1</v>
      </c>
      <c r="E1586" s="4" t="s">
        <v>21</v>
      </c>
      <c r="F1586" s="3" t="s">
        <v>272</v>
      </c>
      <c r="G1586" s="3" t="s">
        <v>596</v>
      </c>
      <c r="H1586" s="3" t="s">
        <v>280</v>
      </c>
    </row>
    <row r="1587" customFormat="false" ht="15" hidden="false" customHeight="false" outlineLevel="0" collapsed="false">
      <c r="A1587" s="4" t="s">
        <v>28</v>
      </c>
      <c r="B1587" s="4" t="s">
        <v>60</v>
      </c>
      <c r="C1587" s="4" t="n">
        <v>3</v>
      </c>
      <c r="D1587" s="4" t="n">
        <v>1</v>
      </c>
      <c r="E1587" s="4" t="s">
        <v>26</v>
      </c>
      <c r="F1587" s="3" t="s">
        <v>378</v>
      </c>
      <c r="G1587" s="3" t="s">
        <v>600</v>
      </c>
      <c r="H1587" s="3" t="s">
        <v>383</v>
      </c>
    </row>
    <row r="1588" customFormat="false" ht="15" hidden="false" customHeight="false" outlineLevel="0" collapsed="false">
      <c r="A1588" s="4" t="s">
        <v>28</v>
      </c>
      <c r="B1588" s="4" t="s">
        <v>60</v>
      </c>
      <c r="C1588" s="4" t="n">
        <v>4</v>
      </c>
      <c r="D1588" s="4" t="n">
        <v>1</v>
      </c>
      <c r="E1588" s="4" t="s">
        <v>34</v>
      </c>
      <c r="F1588" s="3" t="s">
        <v>164</v>
      </c>
      <c r="G1588" s="3" t="s">
        <v>598</v>
      </c>
      <c r="H1588" s="3" t="s">
        <v>411</v>
      </c>
    </row>
    <row r="1589" customFormat="false" ht="15" hidden="false" customHeight="false" outlineLevel="0" collapsed="false">
      <c r="A1589" s="4" t="s">
        <v>28</v>
      </c>
      <c r="B1589" s="4" t="s">
        <v>60</v>
      </c>
      <c r="C1589" s="4" t="n">
        <v>5</v>
      </c>
      <c r="D1589" s="4" t="n">
        <v>1</v>
      </c>
      <c r="E1589" s="4" t="s">
        <v>37</v>
      </c>
      <c r="F1589" s="3" t="s">
        <v>36</v>
      </c>
      <c r="G1589" s="3" t="s">
        <v>601</v>
      </c>
      <c r="H1589" s="3" t="s">
        <v>131</v>
      </c>
    </row>
    <row r="1590" customFormat="false" ht="15" hidden="false" customHeight="false" outlineLevel="0" collapsed="false">
      <c r="A1590" s="4" t="s">
        <v>28</v>
      </c>
      <c r="B1590" s="4" t="s">
        <v>60</v>
      </c>
      <c r="C1590" s="4" t="n">
        <v>6</v>
      </c>
      <c r="D1590" s="4" t="n">
        <v>1</v>
      </c>
      <c r="E1590" s="4" t="s">
        <v>42</v>
      </c>
      <c r="F1590" s="3" t="s">
        <v>15</v>
      </c>
      <c r="G1590" s="3" t="s">
        <v>597</v>
      </c>
      <c r="H1590" s="3" t="s">
        <v>61</v>
      </c>
    </row>
    <row r="1591" customFormat="false" ht="15" hidden="false" customHeight="false" outlineLevel="0" collapsed="false">
      <c r="A1591" s="4" t="s">
        <v>28</v>
      </c>
      <c r="B1591" s="4" t="s">
        <v>60</v>
      </c>
      <c r="C1591" s="4" t="n">
        <v>7</v>
      </c>
      <c r="D1591" s="4" t="n">
        <v>1</v>
      </c>
      <c r="E1591" s="4" t="s">
        <v>39</v>
      </c>
      <c r="F1591" s="3" t="s">
        <v>72</v>
      </c>
      <c r="G1591" s="3" t="s">
        <v>599</v>
      </c>
      <c r="H1591" s="3" t="s">
        <v>153</v>
      </c>
    </row>
    <row r="1592" customFormat="false" ht="15" hidden="false" customHeight="false" outlineLevel="0" collapsed="false">
      <c r="A1592" s="4" t="s">
        <v>28</v>
      </c>
      <c r="B1592" s="4" t="s">
        <v>63</v>
      </c>
      <c r="C1592" s="4" t="n">
        <v>1</v>
      </c>
      <c r="D1592" s="4" t="n">
        <v>1</v>
      </c>
      <c r="E1592" s="4" t="s">
        <v>16</v>
      </c>
      <c r="F1592" s="3" t="s">
        <v>15</v>
      </c>
      <c r="G1592" s="3" t="s">
        <v>597</v>
      </c>
      <c r="H1592" s="3" t="s">
        <v>64</v>
      </c>
    </row>
    <row r="1593" customFormat="false" ht="15" hidden="false" customHeight="false" outlineLevel="0" collapsed="false">
      <c r="A1593" s="4" t="s">
        <v>28</v>
      </c>
      <c r="B1593" s="4" t="s">
        <v>63</v>
      </c>
      <c r="C1593" s="4" t="n">
        <v>2</v>
      </c>
      <c r="D1593" s="4" t="n">
        <v>1</v>
      </c>
      <c r="E1593" s="4" t="s">
        <v>21</v>
      </c>
      <c r="F1593" s="3" t="s">
        <v>272</v>
      </c>
      <c r="G1593" s="3" t="s">
        <v>596</v>
      </c>
      <c r="H1593" s="3" t="s">
        <v>271</v>
      </c>
    </row>
    <row r="1594" customFormat="false" ht="15" hidden="false" customHeight="false" outlineLevel="0" collapsed="false">
      <c r="A1594" s="4" t="s">
        <v>28</v>
      </c>
      <c r="B1594" s="4" t="s">
        <v>63</v>
      </c>
      <c r="C1594" s="4" t="n">
        <v>3</v>
      </c>
      <c r="D1594" s="4" t="n">
        <v>1</v>
      </c>
      <c r="E1594" s="4" t="s">
        <v>26</v>
      </c>
      <c r="F1594" s="3" t="s">
        <v>99</v>
      </c>
      <c r="G1594" s="3" t="s">
        <v>474</v>
      </c>
      <c r="H1594" s="3" t="s">
        <v>362</v>
      </c>
    </row>
    <row r="1595" customFormat="false" ht="15" hidden="false" customHeight="false" outlineLevel="0" collapsed="false">
      <c r="A1595" s="4" t="s">
        <v>28</v>
      </c>
      <c r="B1595" s="4" t="s">
        <v>63</v>
      </c>
      <c r="C1595" s="4" t="n">
        <v>4</v>
      </c>
      <c r="D1595" s="4" t="n">
        <v>2</v>
      </c>
      <c r="E1595" s="4" t="s">
        <v>533</v>
      </c>
      <c r="F1595" s="3" t="s">
        <v>164</v>
      </c>
      <c r="G1595" s="3" t="s">
        <v>598</v>
      </c>
      <c r="H1595" s="3" t="s">
        <v>411</v>
      </c>
    </row>
    <row r="1596" customFormat="false" ht="15" hidden="false" customHeight="false" outlineLevel="0" collapsed="false">
      <c r="A1596" s="4" t="s">
        <v>28</v>
      </c>
      <c r="B1596" s="4" t="s">
        <v>63</v>
      </c>
      <c r="C1596" s="4" t="n">
        <v>6</v>
      </c>
      <c r="D1596" s="4" t="n">
        <v>1</v>
      </c>
      <c r="E1596" s="4" t="s">
        <v>42</v>
      </c>
      <c r="F1596" s="3" t="s">
        <v>72</v>
      </c>
      <c r="G1596" s="3" t="s">
        <v>599</v>
      </c>
      <c r="H1596" s="3" t="s">
        <v>158</v>
      </c>
    </row>
    <row r="1597" customFormat="false" ht="15" hidden="false" customHeight="false" outlineLevel="0" collapsed="false">
      <c r="A1597" s="4" t="s">
        <v>28</v>
      </c>
      <c r="B1597" s="4" t="s">
        <v>63</v>
      </c>
      <c r="C1597" s="4" t="n">
        <v>7</v>
      </c>
      <c r="D1597" s="4" t="n">
        <v>1</v>
      </c>
      <c r="E1597" s="4" t="s">
        <v>39</v>
      </c>
      <c r="F1597" s="3" t="s">
        <v>287</v>
      </c>
      <c r="G1597" s="3" t="s">
        <v>361</v>
      </c>
      <c r="H1597" s="3" t="s">
        <v>362</v>
      </c>
    </row>
    <row r="1598" customFormat="false" ht="15" hidden="false" customHeight="false" outlineLevel="0" collapsed="false">
      <c r="A1598" s="4" t="s">
        <v>28</v>
      </c>
      <c r="B1598" s="4" t="s">
        <v>65</v>
      </c>
      <c r="C1598" s="4" t="n">
        <v>1</v>
      </c>
      <c r="D1598" s="4" t="n">
        <v>1</v>
      </c>
      <c r="E1598" s="4" t="s">
        <v>16</v>
      </c>
      <c r="F1598" s="3" t="s">
        <v>99</v>
      </c>
      <c r="G1598" s="3" t="s">
        <v>474</v>
      </c>
      <c r="H1598" s="3" t="s">
        <v>362</v>
      </c>
    </row>
    <row r="1599" customFormat="false" ht="15" hidden="false" customHeight="false" outlineLevel="0" collapsed="false">
      <c r="A1599" s="4" t="s">
        <v>28</v>
      </c>
      <c r="B1599" s="4" t="s">
        <v>65</v>
      </c>
      <c r="C1599" s="4" t="n">
        <v>2</v>
      </c>
      <c r="D1599" s="4" t="n">
        <v>1</v>
      </c>
      <c r="E1599" s="4" t="s">
        <v>21</v>
      </c>
      <c r="F1599" s="3" t="s">
        <v>15</v>
      </c>
      <c r="G1599" s="3" t="s">
        <v>597</v>
      </c>
      <c r="H1599" s="3" t="s">
        <v>64</v>
      </c>
    </row>
    <row r="1600" customFormat="false" ht="15" hidden="false" customHeight="false" outlineLevel="0" collapsed="false">
      <c r="A1600" s="4" t="s">
        <v>28</v>
      </c>
      <c r="B1600" s="4" t="s">
        <v>65</v>
      </c>
      <c r="C1600" s="4" t="n">
        <v>3</v>
      </c>
      <c r="D1600" s="4" t="n">
        <v>1</v>
      </c>
      <c r="E1600" s="4" t="s">
        <v>26</v>
      </c>
      <c r="F1600" s="3" t="s">
        <v>164</v>
      </c>
      <c r="G1600" s="3" t="s">
        <v>598</v>
      </c>
      <c r="H1600" s="3" t="s">
        <v>156</v>
      </c>
    </row>
    <row r="1601" customFormat="false" ht="15" hidden="false" customHeight="false" outlineLevel="0" collapsed="false">
      <c r="A1601" s="4" t="s">
        <v>28</v>
      </c>
      <c r="B1601" s="4" t="s">
        <v>65</v>
      </c>
      <c r="C1601" s="4" t="n">
        <v>4</v>
      </c>
      <c r="D1601" s="4" t="n">
        <v>1</v>
      </c>
      <c r="E1601" s="4" t="s">
        <v>34</v>
      </c>
      <c r="F1601" s="3" t="s">
        <v>272</v>
      </c>
      <c r="G1601" s="3" t="s">
        <v>596</v>
      </c>
      <c r="H1601" s="3" t="s">
        <v>282</v>
      </c>
    </row>
    <row r="1602" customFormat="false" ht="15" hidden="false" customHeight="false" outlineLevel="0" collapsed="false">
      <c r="A1602" s="4" t="s">
        <v>28</v>
      </c>
      <c r="B1602" s="4" t="s">
        <v>65</v>
      </c>
      <c r="C1602" s="4" t="n">
        <v>5</v>
      </c>
      <c r="D1602" s="4" t="n">
        <v>1</v>
      </c>
      <c r="E1602" s="4" t="s">
        <v>37</v>
      </c>
      <c r="F1602" s="3" t="s">
        <v>36</v>
      </c>
      <c r="G1602" s="3" t="s">
        <v>601</v>
      </c>
      <c r="H1602" s="3" t="s">
        <v>131</v>
      </c>
    </row>
    <row r="1603" customFormat="false" ht="15" hidden="false" customHeight="false" outlineLevel="0" collapsed="false">
      <c r="A1603" s="4" t="s">
        <v>28</v>
      </c>
      <c r="B1603" s="4" t="s">
        <v>65</v>
      </c>
      <c r="C1603" s="4" t="n">
        <v>6</v>
      </c>
      <c r="D1603" s="4" t="n">
        <v>1</v>
      </c>
      <c r="E1603" s="4" t="s">
        <v>42</v>
      </c>
      <c r="F1603" s="3" t="s">
        <v>378</v>
      </c>
      <c r="G1603" s="3" t="s">
        <v>602</v>
      </c>
      <c r="H1603" s="3" t="s">
        <v>384</v>
      </c>
    </row>
    <row r="1604" customFormat="false" ht="15" hidden="false" customHeight="false" outlineLevel="0" collapsed="false">
      <c r="A1604" s="4" t="s">
        <v>28</v>
      </c>
      <c r="B1604" s="4" t="s">
        <v>65</v>
      </c>
      <c r="C1604" s="4" t="n">
        <v>7</v>
      </c>
      <c r="D1604" s="4" t="n">
        <v>1</v>
      </c>
      <c r="E1604" s="4" t="s">
        <v>39</v>
      </c>
      <c r="F1604" s="3" t="s">
        <v>72</v>
      </c>
      <c r="G1604" s="3" t="s">
        <v>599</v>
      </c>
      <c r="H1604" s="3" t="s">
        <v>159</v>
      </c>
    </row>
    <row r="1605" customFormat="false" ht="15" hidden="false" customHeight="false" outlineLevel="0" collapsed="false">
      <c r="A1605" s="4" t="s">
        <v>28</v>
      </c>
      <c r="B1605" s="4" t="s">
        <v>66</v>
      </c>
      <c r="C1605" s="4" t="n">
        <v>1</v>
      </c>
      <c r="D1605" s="4" t="n">
        <v>2</v>
      </c>
      <c r="E1605" s="4" t="s">
        <v>539</v>
      </c>
      <c r="F1605" s="3" t="s">
        <v>99</v>
      </c>
      <c r="G1605" s="3" t="s">
        <v>474</v>
      </c>
      <c r="H1605" s="3" t="s">
        <v>362</v>
      </c>
    </row>
    <row r="1606" customFormat="false" ht="15" hidden="false" customHeight="false" outlineLevel="0" collapsed="false">
      <c r="A1606" s="4" t="s">
        <v>28</v>
      </c>
      <c r="B1606" s="4" t="s">
        <v>66</v>
      </c>
      <c r="C1606" s="4" t="n">
        <v>3</v>
      </c>
      <c r="D1606" s="4" t="n">
        <v>1</v>
      </c>
      <c r="E1606" s="4" t="s">
        <v>26</v>
      </c>
      <c r="F1606" s="3" t="s">
        <v>15</v>
      </c>
      <c r="G1606" s="3" t="s">
        <v>597</v>
      </c>
      <c r="H1606" s="3" t="s">
        <v>67</v>
      </c>
    </row>
    <row r="1607" customFormat="false" ht="15" hidden="false" customHeight="false" outlineLevel="0" collapsed="false">
      <c r="A1607" s="4" t="s">
        <v>28</v>
      </c>
      <c r="B1607" s="4" t="s">
        <v>66</v>
      </c>
      <c r="C1607" s="4" t="n">
        <v>4</v>
      </c>
      <c r="D1607" s="4" t="n">
        <v>1</v>
      </c>
      <c r="E1607" s="4" t="s">
        <v>34</v>
      </c>
      <c r="F1607" s="3" t="s">
        <v>287</v>
      </c>
      <c r="G1607" s="3" t="s">
        <v>361</v>
      </c>
      <c r="H1607" s="3" t="s">
        <v>362</v>
      </c>
    </row>
    <row r="1608" customFormat="false" ht="15" hidden="false" customHeight="false" outlineLevel="0" collapsed="false">
      <c r="A1608" s="4" t="s">
        <v>28</v>
      </c>
      <c r="B1608" s="4" t="s">
        <v>66</v>
      </c>
      <c r="C1608" s="4" t="n">
        <v>5</v>
      </c>
      <c r="D1608" s="4" t="n">
        <v>1</v>
      </c>
      <c r="E1608" s="4" t="s">
        <v>37</v>
      </c>
      <c r="F1608" s="3" t="s">
        <v>164</v>
      </c>
      <c r="G1608" s="3" t="s">
        <v>598</v>
      </c>
      <c r="H1608" s="3" t="s">
        <v>412</v>
      </c>
    </row>
    <row r="1609" customFormat="false" ht="15" hidden="false" customHeight="false" outlineLevel="0" collapsed="false">
      <c r="A1609" s="4" t="s">
        <v>28</v>
      </c>
      <c r="B1609" s="4" t="s">
        <v>66</v>
      </c>
      <c r="C1609" s="4" t="n">
        <v>6</v>
      </c>
      <c r="D1609" s="4" t="n">
        <v>1</v>
      </c>
      <c r="E1609" s="4" t="s">
        <v>42</v>
      </c>
      <c r="F1609" s="3" t="s">
        <v>378</v>
      </c>
      <c r="G1609" s="3" t="s">
        <v>600</v>
      </c>
      <c r="H1609" s="3" t="s">
        <v>385</v>
      </c>
    </row>
    <row r="1610" customFormat="false" ht="15" hidden="false" customHeight="false" outlineLevel="0" collapsed="false">
      <c r="A1610" s="4" t="s">
        <v>28</v>
      </c>
      <c r="B1610" s="4" t="s">
        <v>66</v>
      </c>
      <c r="C1610" s="4" t="n">
        <v>7</v>
      </c>
      <c r="D1610" s="4" t="n">
        <v>1</v>
      </c>
      <c r="E1610" s="4" t="s">
        <v>39</v>
      </c>
      <c r="F1610" s="3" t="s">
        <v>72</v>
      </c>
      <c r="G1610" s="3" t="s">
        <v>599</v>
      </c>
      <c r="H1610" s="3" t="s">
        <v>149</v>
      </c>
    </row>
    <row r="1611" customFormat="false" ht="15" hidden="false" customHeight="false" outlineLevel="0" collapsed="false">
      <c r="A1611" s="4" t="s">
        <v>29</v>
      </c>
      <c r="B1611" s="4" t="s">
        <v>12</v>
      </c>
      <c r="C1611" s="4" t="n">
        <v>1</v>
      </c>
      <c r="D1611" s="4" t="n">
        <v>1</v>
      </c>
      <c r="E1611" s="4" t="s">
        <v>16</v>
      </c>
      <c r="F1611" s="3" t="s">
        <v>287</v>
      </c>
      <c r="G1611" s="3" t="s">
        <v>514</v>
      </c>
      <c r="H1611" s="3" t="s">
        <v>515</v>
      </c>
    </row>
    <row r="1612" customFormat="false" ht="15" hidden="false" customHeight="false" outlineLevel="0" collapsed="false">
      <c r="A1612" s="4" t="s">
        <v>29</v>
      </c>
      <c r="B1612" s="4" t="s">
        <v>12</v>
      </c>
      <c r="C1612" s="4" t="n">
        <v>2</v>
      </c>
      <c r="D1612" s="4" t="n">
        <v>1</v>
      </c>
      <c r="E1612" s="4" t="s">
        <v>21</v>
      </c>
      <c r="F1612" s="3" t="s">
        <v>272</v>
      </c>
      <c r="G1612" s="3" t="s">
        <v>596</v>
      </c>
      <c r="H1612" s="3" t="s">
        <v>271</v>
      </c>
    </row>
    <row r="1613" customFormat="false" ht="15" hidden="false" customHeight="false" outlineLevel="0" collapsed="false">
      <c r="A1613" s="4" t="s">
        <v>29</v>
      </c>
      <c r="B1613" s="4" t="s">
        <v>12</v>
      </c>
      <c r="C1613" s="4" t="n">
        <v>3</v>
      </c>
      <c r="D1613" s="4" t="n">
        <v>1</v>
      </c>
      <c r="E1613" s="4" t="s">
        <v>26</v>
      </c>
      <c r="F1613" s="3" t="s">
        <v>15</v>
      </c>
      <c r="G1613" s="3" t="s">
        <v>597</v>
      </c>
      <c r="H1613" s="3" t="s">
        <v>25</v>
      </c>
    </row>
    <row r="1614" customFormat="false" ht="15" hidden="false" customHeight="false" outlineLevel="0" collapsed="false">
      <c r="A1614" s="4" t="s">
        <v>29</v>
      </c>
      <c r="B1614" s="4" t="s">
        <v>12</v>
      </c>
      <c r="C1614" s="4" t="n">
        <v>4</v>
      </c>
      <c r="D1614" s="4" t="n">
        <v>1</v>
      </c>
      <c r="E1614" s="4" t="s">
        <v>34</v>
      </c>
      <c r="F1614" s="3" t="s">
        <v>164</v>
      </c>
      <c r="G1614" s="3" t="s">
        <v>598</v>
      </c>
      <c r="H1614" s="3" t="s">
        <v>143</v>
      </c>
    </row>
    <row r="1615" customFormat="false" ht="15" hidden="false" customHeight="false" outlineLevel="0" collapsed="false">
      <c r="A1615" s="4" t="s">
        <v>29</v>
      </c>
      <c r="B1615" s="4" t="s">
        <v>12</v>
      </c>
      <c r="C1615" s="4" t="n">
        <v>5</v>
      </c>
      <c r="D1615" s="4" t="n">
        <v>1</v>
      </c>
      <c r="E1615" s="4" t="s">
        <v>37</v>
      </c>
      <c r="F1615" s="3" t="s">
        <v>72</v>
      </c>
      <c r="G1615" s="3" t="s">
        <v>599</v>
      </c>
      <c r="H1615" s="3" t="s">
        <v>143</v>
      </c>
    </row>
    <row r="1616" customFormat="false" ht="15" hidden="false" customHeight="false" outlineLevel="0" collapsed="false">
      <c r="A1616" s="4" t="s">
        <v>29</v>
      </c>
      <c r="B1616" s="4" t="s">
        <v>12</v>
      </c>
      <c r="C1616" s="4" t="n">
        <v>6</v>
      </c>
      <c r="D1616" s="4" t="n">
        <v>2</v>
      </c>
      <c r="E1616" s="4" t="s">
        <v>536</v>
      </c>
      <c r="F1616" s="3" t="s">
        <v>237</v>
      </c>
      <c r="G1616" s="3" t="s">
        <v>603</v>
      </c>
      <c r="H1616" s="3" t="s">
        <v>236</v>
      </c>
    </row>
    <row r="1617" customFormat="false" ht="15" hidden="false" customHeight="false" outlineLevel="0" collapsed="false">
      <c r="A1617" s="4" t="s">
        <v>29</v>
      </c>
      <c r="B1617" s="4" t="s">
        <v>31</v>
      </c>
      <c r="C1617" s="4" t="n">
        <v>1</v>
      </c>
      <c r="D1617" s="4" t="n">
        <v>1</v>
      </c>
      <c r="E1617" s="4" t="s">
        <v>16</v>
      </c>
      <c r="F1617" s="3" t="s">
        <v>272</v>
      </c>
      <c r="G1617" s="3" t="s">
        <v>596</v>
      </c>
      <c r="H1617" s="3" t="s">
        <v>274</v>
      </c>
    </row>
    <row r="1618" customFormat="false" ht="15" hidden="false" customHeight="false" outlineLevel="0" collapsed="false">
      <c r="A1618" s="4" t="s">
        <v>29</v>
      </c>
      <c r="B1618" s="4" t="s">
        <v>31</v>
      </c>
      <c r="C1618" s="4" t="n">
        <v>2</v>
      </c>
      <c r="D1618" s="4" t="n">
        <v>1</v>
      </c>
      <c r="E1618" s="4" t="s">
        <v>21</v>
      </c>
      <c r="F1618" s="3" t="s">
        <v>378</v>
      </c>
      <c r="G1618" s="3" t="s">
        <v>600</v>
      </c>
      <c r="H1618" s="3" t="s">
        <v>377</v>
      </c>
    </row>
    <row r="1619" customFormat="false" ht="15" hidden="false" customHeight="false" outlineLevel="0" collapsed="false">
      <c r="A1619" s="4" t="s">
        <v>29</v>
      </c>
      <c r="B1619" s="4" t="s">
        <v>31</v>
      </c>
      <c r="C1619" s="4" t="n">
        <v>3</v>
      </c>
      <c r="D1619" s="4" t="n">
        <v>1</v>
      </c>
      <c r="E1619" s="4" t="s">
        <v>26</v>
      </c>
      <c r="F1619" s="3" t="s">
        <v>164</v>
      </c>
      <c r="G1619" s="3" t="s">
        <v>598</v>
      </c>
      <c r="H1619" s="3" t="s">
        <v>159</v>
      </c>
    </row>
    <row r="1620" customFormat="false" ht="15" hidden="false" customHeight="false" outlineLevel="0" collapsed="false">
      <c r="A1620" s="4" t="s">
        <v>29</v>
      </c>
      <c r="B1620" s="4" t="s">
        <v>31</v>
      </c>
      <c r="C1620" s="4" t="n">
        <v>4</v>
      </c>
      <c r="D1620" s="4" t="n">
        <v>1</v>
      </c>
      <c r="E1620" s="4" t="s">
        <v>34</v>
      </c>
      <c r="F1620" s="3" t="s">
        <v>72</v>
      </c>
      <c r="G1620" s="3" t="s">
        <v>599</v>
      </c>
      <c r="H1620" s="3" t="s">
        <v>145</v>
      </c>
    </row>
    <row r="1621" customFormat="false" ht="15" hidden="false" customHeight="false" outlineLevel="0" collapsed="false">
      <c r="A1621" s="4" t="s">
        <v>29</v>
      </c>
      <c r="B1621" s="4" t="s">
        <v>31</v>
      </c>
      <c r="C1621" s="4" t="n">
        <v>5</v>
      </c>
      <c r="D1621" s="4" t="n">
        <v>1</v>
      </c>
      <c r="E1621" s="4" t="s">
        <v>37</v>
      </c>
      <c r="F1621" s="3" t="s">
        <v>36</v>
      </c>
      <c r="G1621" s="3" t="s">
        <v>601</v>
      </c>
      <c r="H1621" s="3" t="s">
        <v>131</v>
      </c>
    </row>
    <row r="1622" customFormat="false" ht="15" hidden="false" customHeight="false" outlineLevel="0" collapsed="false">
      <c r="A1622" s="4" t="s">
        <v>29</v>
      </c>
      <c r="B1622" s="4" t="s">
        <v>31</v>
      </c>
      <c r="C1622" s="4" t="n">
        <v>6</v>
      </c>
      <c r="D1622" s="4" t="n">
        <v>1</v>
      </c>
      <c r="E1622" s="4" t="s">
        <v>42</v>
      </c>
      <c r="F1622" s="3" t="s">
        <v>287</v>
      </c>
      <c r="G1622" s="3" t="s">
        <v>514</v>
      </c>
      <c r="H1622" s="3" t="s">
        <v>515</v>
      </c>
    </row>
    <row r="1623" customFormat="false" ht="15" hidden="false" customHeight="false" outlineLevel="0" collapsed="false">
      <c r="A1623" s="4" t="s">
        <v>29</v>
      </c>
      <c r="B1623" s="4" t="s">
        <v>31</v>
      </c>
      <c r="C1623" s="4" t="n">
        <v>7</v>
      </c>
      <c r="D1623" s="4" t="n">
        <v>1</v>
      </c>
      <c r="E1623" s="4" t="s">
        <v>39</v>
      </c>
      <c r="F1623" s="3" t="s">
        <v>15</v>
      </c>
      <c r="G1623" s="3" t="s">
        <v>597</v>
      </c>
      <c r="H1623" s="3" t="s">
        <v>38</v>
      </c>
    </row>
    <row r="1624" customFormat="false" ht="15" hidden="false" customHeight="false" outlineLevel="0" collapsed="false">
      <c r="A1624" s="4" t="s">
        <v>29</v>
      </c>
      <c r="B1624" s="4" t="s">
        <v>40</v>
      </c>
      <c r="C1624" s="4" t="n">
        <v>1</v>
      </c>
      <c r="D1624" s="4" t="n">
        <v>1</v>
      </c>
      <c r="E1624" s="4" t="s">
        <v>16</v>
      </c>
      <c r="F1624" s="3" t="s">
        <v>164</v>
      </c>
      <c r="G1624" s="3" t="s">
        <v>598</v>
      </c>
      <c r="H1624" s="3" t="s">
        <v>404</v>
      </c>
    </row>
    <row r="1625" customFormat="false" ht="15" hidden="false" customHeight="false" outlineLevel="0" collapsed="false">
      <c r="A1625" s="4" t="s">
        <v>29</v>
      </c>
      <c r="B1625" s="4" t="s">
        <v>40</v>
      </c>
      <c r="C1625" s="4" t="n">
        <v>2</v>
      </c>
      <c r="D1625" s="4" t="n">
        <v>1</v>
      </c>
      <c r="E1625" s="4" t="s">
        <v>21</v>
      </c>
      <c r="F1625" s="3" t="s">
        <v>15</v>
      </c>
      <c r="G1625" s="3" t="s">
        <v>597</v>
      </c>
      <c r="H1625" s="3" t="s">
        <v>41</v>
      </c>
    </row>
    <row r="1626" customFormat="false" ht="15" hidden="false" customHeight="false" outlineLevel="0" collapsed="false">
      <c r="A1626" s="4" t="s">
        <v>29</v>
      </c>
      <c r="B1626" s="4" t="s">
        <v>40</v>
      </c>
      <c r="C1626" s="4" t="n">
        <v>3</v>
      </c>
      <c r="D1626" s="4" t="n">
        <v>1</v>
      </c>
      <c r="E1626" s="4" t="s">
        <v>26</v>
      </c>
      <c r="F1626" s="3" t="s">
        <v>272</v>
      </c>
      <c r="G1626" s="3" t="s">
        <v>596</v>
      </c>
      <c r="H1626" s="3" t="s">
        <v>275</v>
      </c>
    </row>
    <row r="1627" customFormat="false" ht="15" hidden="false" customHeight="false" outlineLevel="0" collapsed="false">
      <c r="A1627" s="4" t="s">
        <v>29</v>
      </c>
      <c r="B1627" s="4" t="s">
        <v>40</v>
      </c>
      <c r="C1627" s="4" t="n">
        <v>4</v>
      </c>
      <c r="D1627" s="4" t="n">
        <v>1</v>
      </c>
      <c r="E1627" s="4" t="s">
        <v>34</v>
      </c>
      <c r="F1627" s="3" t="s">
        <v>378</v>
      </c>
      <c r="G1627" s="3" t="s">
        <v>602</v>
      </c>
      <c r="H1627" s="3" t="s">
        <v>379</v>
      </c>
    </row>
    <row r="1628" customFormat="false" ht="15" hidden="false" customHeight="false" outlineLevel="0" collapsed="false">
      <c r="A1628" s="4" t="s">
        <v>29</v>
      </c>
      <c r="B1628" s="4" t="s">
        <v>40</v>
      </c>
      <c r="C1628" s="4" t="n">
        <v>5</v>
      </c>
      <c r="D1628" s="4" t="n">
        <v>1</v>
      </c>
      <c r="E1628" s="4" t="s">
        <v>37</v>
      </c>
      <c r="F1628" s="3" t="s">
        <v>237</v>
      </c>
      <c r="G1628" s="3" t="s">
        <v>603</v>
      </c>
      <c r="H1628" s="3" t="s">
        <v>241</v>
      </c>
    </row>
    <row r="1629" customFormat="false" ht="15" hidden="false" customHeight="false" outlineLevel="0" collapsed="false">
      <c r="A1629" s="4" t="s">
        <v>29</v>
      </c>
      <c r="B1629" s="4" t="s">
        <v>40</v>
      </c>
      <c r="C1629" s="4" t="n">
        <v>6</v>
      </c>
      <c r="D1629" s="4" t="n">
        <v>2</v>
      </c>
      <c r="E1629" s="4" t="s">
        <v>536</v>
      </c>
      <c r="F1629" s="3" t="s">
        <v>72</v>
      </c>
      <c r="G1629" s="3" t="s">
        <v>599</v>
      </c>
      <c r="H1629" s="3" t="s">
        <v>149</v>
      </c>
    </row>
    <row r="1630" customFormat="false" ht="15" hidden="false" customHeight="false" outlineLevel="0" collapsed="false">
      <c r="A1630" s="4" t="s">
        <v>29</v>
      </c>
      <c r="B1630" s="4" t="s">
        <v>44</v>
      </c>
      <c r="C1630" s="4" t="n">
        <v>1</v>
      </c>
      <c r="D1630" s="4" t="n">
        <v>1</v>
      </c>
      <c r="E1630" s="4" t="s">
        <v>16</v>
      </c>
      <c r="F1630" s="3" t="s">
        <v>378</v>
      </c>
      <c r="G1630" s="3" t="s">
        <v>602</v>
      </c>
      <c r="H1630" s="3" t="s">
        <v>380</v>
      </c>
    </row>
    <row r="1631" customFormat="false" ht="15" hidden="false" customHeight="false" outlineLevel="0" collapsed="false">
      <c r="A1631" s="4" t="s">
        <v>29</v>
      </c>
      <c r="B1631" s="4" t="s">
        <v>44</v>
      </c>
      <c r="C1631" s="4" t="n">
        <v>2</v>
      </c>
      <c r="D1631" s="4" t="n">
        <v>1</v>
      </c>
      <c r="E1631" s="4" t="s">
        <v>21</v>
      </c>
      <c r="F1631" s="3" t="s">
        <v>15</v>
      </c>
      <c r="G1631" s="3" t="s">
        <v>597</v>
      </c>
      <c r="H1631" s="3" t="s">
        <v>45</v>
      </c>
    </row>
    <row r="1632" customFormat="false" ht="15" hidden="false" customHeight="false" outlineLevel="0" collapsed="false">
      <c r="A1632" s="4" t="s">
        <v>29</v>
      </c>
      <c r="B1632" s="4" t="s">
        <v>44</v>
      </c>
      <c r="C1632" s="4" t="n">
        <v>3</v>
      </c>
      <c r="D1632" s="4" t="n">
        <v>1</v>
      </c>
      <c r="E1632" s="4" t="s">
        <v>26</v>
      </c>
      <c r="F1632" s="3" t="s">
        <v>237</v>
      </c>
      <c r="G1632" s="3" t="s">
        <v>603</v>
      </c>
      <c r="H1632" s="3" t="s">
        <v>242</v>
      </c>
    </row>
    <row r="1633" customFormat="false" ht="15" hidden="false" customHeight="false" outlineLevel="0" collapsed="false">
      <c r="A1633" s="4" t="s">
        <v>29</v>
      </c>
      <c r="B1633" s="4" t="s">
        <v>44</v>
      </c>
      <c r="C1633" s="4" t="n">
        <v>4</v>
      </c>
      <c r="D1633" s="4" t="n">
        <v>1</v>
      </c>
      <c r="E1633" s="4" t="s">
        <v>34</v>
      </c>
      <c r="F1633" s="3" t="s">
        <v>164</v>
      </c>
      <c r="G1633" s="3" t="s">
        <v>598</v>
      </c>
      <c r="H1633" s="3" t="s">
        <v>406</v>
      </c>
    </row>
    <row r="1634" customFormat="false" ht="15" hidden="false" customHeight="false" outlineLevel="0" collapsed="false">
      <c r="A1634" s="4" t="s">
        <v>29</v>
      </c>
      <c r="B1634" s="4" t="s">
        <v>44</v>
      </c>
      <c r="C1634" s="4" t="n">
        <v>5</v>
      </c>
      <c r="D1634" s="4" t="n">
        <v>1</v>
      </c>
      <c r="E1634" s="4" t="s">
        <v>37</v>
      </c>
      <c r="F1634" s="3" t="s">
        <v>36</v>
      </c>
      <c r="G1634" s="3" t="s">
        <v>601</v>
      </c>
      <c r="H1634" s="3" t="s">
        <v>131</v>
      </c>
    </row>
    <row r="1635" customFormat="false" ht="15" hidden="false" customHeight="false" outlineLevel="0" collapsed="false">
      <c r="A1635" s="4" t="s">
        <v>29</v>
      </c>
      <c r="B1635" s="4" t="s">
        <v>44</v>
      </c>
      <c r="C1635" s="4" t="n">
        <v>6</v>
      </c>
      <c r="D1635" s="4" t="n">
        <v>1</v>
      </c>
      <c r="E1635" s="4" t="s">
        <v>42</v>
      </c>
      <c r="F1635" s="3" t="s">
        <v>287</v>
      </c>
      <c r="G1635" s="3" t="s">
        <v>514</v>
      </c>
      <c r="H1635" s="3" t="s">
        <v>515</v>
      </c>
    </row>
    <row r="1636" customFormat="false" ht="15" hidden="false" customHeight="false" outlineLevel="0" collapsed="false">
      <c r="A1636" s="4" t="s">
        <v>29</v>
      </c>
      <c r="B1636" s="4" t="s">
        <v>44</v>
      </c>
      <c r="C1636" s="4" t="n">
        <v>7</v>
      </c>
      <c r="D1636" s="4" t="n">
        <v>1</v>
      </c>
      <c r="E1636" s="4" t="s">
        <v>39</v>
      </c>
      <c r="F1636" s="3" t="s">
        <v>72</v>
      </c>
      <c r="G1636" s="3" t="s">
        <v>599</v>
      </c>
      <c r="H1636" s="3" t="s">
        <v>143</v>
      </c>
    </row>
    <row r="1637" customFormat="false" ht="15" hidden="false" customHeight="false" outlineLevel="0" collapsed="false">
      <c r="A1637" s="4" t="s">
        <v>29</v>
      </c>
      <c r="B1637" s="4" t="s">
        <v>47</v>
      </c>
      <c r="C1637" s="4" t="n">
        <v>1</v>
      </c>
      <c r="D1637" s="4" t="n">
        <v>1</v>
      </c>
      <c r="E1637" s="4" t="s">
        <v>16</v>
      </c>
      <c r="F1637" s="3" t="s">
        <v>272</v>
      </c>
      <c r="G1637" s="3" t="s">
        <v>596</v>
      </c>
      <c r="H1637" s="3" t="s">
        <v>277</v>
      </c>
    </row>
    <row r="1638" customFormat="false" ht="15" hidden="false" customHeight="false" outlineLevel="0" collapsed="false">
      <c r="A1638" s="4" t="s">
        <v>29</v>
      </c>
      <c r="B1638" s="4" t="s">
        <v>47</v>
      </c>
      <c r="C1638" s="4" t="n">
        <v>2</v>
      </c>
      <c r="D1638" s="4" t="n">
        <v>1</v>
      </c>
      <c r="E1638" s="4" t="s">
        <v>21</v>
      </c>
      <c r="F1638" s="3" t="s">
        <v>287</v>
      </c>
      <c r="G1638" s="3" t="s">
        <v>514</v>
      </c>
      <c r="H1638" s="3" t="s">
        <v>515</v>
      </c>
    </row>
    <row r="1639" customFormat="false" ht="15" hidden="false" customHeight="false" outlineLevel="0" collapsed="false">
      <c r="A1639" s="4" t="s">
        <v>29</v>
      </c>
      <c r="B1639" s="4" t="s">
        <v>47</v>
      </c>
      <c r="C1639" s="4" t="n">
        <v>3</v>
      </c>
      <c r="D1639" s="4" t="n">
        <v>2</v>
      </c>
      <c r="E1639" s="4" t="s">
        <v>542</v>
      </c>
      <c r="F1639" s="3" t="s">
        <v>378</v>
      </c>
      <c r="G1639" s="3" t="s">
        <v>600</v>
      </c>
      <c r="H1639" s="3" t="s">
        <v>381</v>
      </c>
    </row>
    <row r="1640" customFormat="false" ht="15" hidden="false" customHeight="false" outlineLevel="0" collapsed="false">
      <c r="A1640" s="4" t="s">
        <v>29</v>
      </c>
      <c r="B1640" s="4" t="s">
        <v>47</v>
      </c>
      <c r="C1640" s="4" t="n">
        <v>5</v>
      </c>
      <c r="D1640" s="4" t="n">
        <v>1</v>
      </c>
      <c r="E1640" s="4" t="s">
        <v>37</v>
      </c>
      <c r="F1640" s="3" t="s">
        <v>15</v>
      </c>
      <c r="G1640" s="3" t="s">
        <v>597</v>
      </c>
      <c r="H1640" s="3" t="s">
        <v>49</v>
      </c>
    </row>
    <row r="1641" customFormat="false" ht="15" hidden="false" customHeight="false" outlineLevel="0" collapsed="false">
      <c r="A1641" s="4" t="s">
        <v>29</v>
      </c>
      <c r="B1641" s="4" t="s">
        <v>47</v>
      </c>
      <c r="C1641" s="4" t="n">
        <v>6</v>
      </c>
      <c r="D1641" s="4" t="n">
        <v>1</v>
      </c>
      <c r="E1641" s="4" t="s">
        <v>42</v>
      </c>
      <c r="F1641" s="3" t="s">
        <v>72</v>
      </c>
      <c r="G1641" s="3" t="s">
        <v>599</v>
      </c>
      <c r="H1641" s="3" t="s">
        <v>153</v>
      </c>
    </row>
    <row r="1642" customFormat="false" ht="15" hidden="false" customHeight="false" outlineLevel="0" collapsed="false">
      <c r="A1642" s="4" t="s">
        <v>29</v>
      </c>
      <c r="B1642" s="4" t="s">
        <v>47</v>
      </c>
      <c r="C1642" s="4" t="n">
        <v>7</v>
      </c>
      <c r="D1642" s="4" t="n">
        <v>1</v>
      </c>
      <c r="E1642" s="4" t="s">
        <v>39</v>
      </c>
      <c r="F1642" s="3" t="s">
        <v>164</v>
      </c>
      <c r="G1642" s="3" t="s">
        <v>598</v>
      </c>
      <c r="H1642" s="3" t="s">
        <v>159</v>
      </c>
    </row>
    <row r="1643" customFormat="false" ht="15" hidden="false" customHeight="false" outlineLevel="0" collapsed="false">
      <c r="A1643" s="4" t="s">
        <v>29</v>
      </c>
      <c r="B1643" s="4" t="s">
        <v>50</v>
      </c>
      <c r="C1643" s="4" t="n">
        <v>1</v>
      </c>
      <c r="D1643" s="4" t="n">
        <v>1</v>
      </c>
      <c r="E1643" s="4" t="s">
        <v>16</v>
      </c>
      <c r="F1643" s="3" t="s">
        <v>237</v>
      </c>
      <c r="G1643" s="3" t="s">
        <v>603</v>
      </c>
      <c r="H1643" s="3" t="s">
        <v>245</v>
      </c>
    </row>
    <row r="1644" customFormat="false" ht="15" hidden="false" customHeight="false" outlineLevel="0" collapsed="false">
      <c r="A1644" s="4" t="s">
        <v>29</v>
      </c>
      <c r="B1644" s="4" t="s">
        <v>50</v>
      </c>
      <c r="C1644" s="4" t="n">
        <v>2</v>
      </c>
      <c r="D1644" s="4" t="n">
        <v>1</v>
      </c>
      <c r="E1644" s="4" t="s">
        <v>21</v>
      </c>
      <c r="F1644" s="3" t="s">
        <v>164</v>
      </c>
      <c r="G1644" s="3" t="s">
        <v>598</v>
      </c>
      <c r="H1644" s="3" t="s">
        <v>410</v>
      </c>
    </row>
    <row r="1645" customFormat="false" ht="15" hidden="false" customHeight="false" outlineLevel="0" collapsed="false">
      <c r="A1645" s="4" t="s">
        <v>29</v>
      </c>
      <c r="B1645" s="4" t="s">
        <v>50</v>
      </c>
      <c r="C1645" s="4" t="n">
        <v>3</v>
      </c>
      <c r="D1645" s="4" t="n">
        <v>1</v>
      </c>
      <c r="E1645" s="4" t="s">
        <v>26</v>
      </c>
      <c r="F1645" s="3" t="s">
        <v>15</v>
      </c>
      <c r="G1645" s="3" t="s">
        <v>597</v>
      </c>
      <c r="H1645" s="3" t="s">
        <v>41</v>
      </c>
    </row>
    <row r="1646" customFormat="false" ht="15" hidden="false" customHeight="false" outlineLevel="0" collapsed="false">
      <c r="A1646" s="4" t="s">
        <v>29</v>
      </c>
      <c r="B1646" s="4" t="s">
        <v>50</v>
      </c>
      <c r="C1646" s="4" t="n">
        <v>4</v>
      </c>
      <c r="D1646" s="4" t="n">
        <v>2</v>
      </c>
      <c r="E1646" s="4" t="s">
        <v>533</v>
      </c>
      <c r="F1646" s="3" t="s">
        <v>272</v>
      </c>
      <c r="G1646" s="3" t="s">
        <v>596</v>
      </c>
      <c r="H1646" s="3" t="s">
        <v>278</v>
      </c>
    </row>
    <row r="1647" customFormat="false" ht="15" hidden="false" customHeight="false" outlineLevel="0" collapsed="false">
      <c r="A1647" s="4" t="s">
        <v>29</v>
      </c>
      <c r="B1647" s="4" t="s">
        <v>50</v>
      </c>
      <c r="C1647" s="4" t="n">
        <v>6</v>
      </c>
      <c r="D1647" s="4" t="n">
        <v>1</v>
      </c>
      <c r="E1647" s="4" t="s">
        <v>42</v>
      </c>
      <c r="F1647" s="3" t="s">
        <v>72</v>
      </c>
      <c r="G1647" s="3" t="s">
        <v>599</v>
      </c>
      <c r="H1647" s="3" t="s">
        <v>156</v>
      </c>
    </row>
    <row r="1648" customFormat="false" ht="15" hidden="false" customHeight="false" outlineLevel="0" collapsed="false">
      <c r="A1648" s="4" t="s">
        <v>29</v>
      </c>
      <c r="B1648" s="4" t="s">
        <v>50</v>
      </c>
      <c r="C1648" s="4" t="n">
        <v>7</v>
      </c>
      <c r="D1648" s="4" t="n">
        <v>1</v>
      </c>
      <c r="E1648" s="4" t="s">
        <v>39</v>
      </c>
      <c r="F1648" s="3" t="s">
        <v>378</v>
      </c>
      <c r="G1648" s="3" t="s">
        <v>600</v>
      </c>
      <c r="H1648" s="3" t="s">
        <v>382</v>
      </c>
    </row>
    <row r="1649" customFormat="false" ht="15" hidden="false" customHeight="false" outlineLevel="0" collapsed="false">
      <c r="A1649" s="4" t="s">
        <v>29</v>
      </c>
      <c r="B1649" s="4" t="s">
        <v>60</v>
      </c>
      <c r="C1649" s="4" t="n">
        <v>1</v>
      </c>
      <c r="D1649" s="4" t="n">
        <v>1</v>
      </c>
      <c r="E1649" s="4" t="s">
        <v>16</v>
      </c>
      <c r="F1649" s="3" t="s">
        <v>237</v>
      </c>
      <c r="G1649" s="3" t="s">
        <v>603</v>
      </c>
      <c r="H1649" s="3" t="s">
        <v>247</v>
      </c>
    </row>
    <row r="1650" customFormat="false" ht="15" hidden="false" customHeight="false" outlineLevel="0" collapsed="false">
      <c r="A1650" s="4" t="s">
        <v>29</v>
      </c>
      <c r="B1650" s="4" t="s">
        <v>60</v>
      </c>
      <c r="C1650" s="4" t="n">
        <v>2</v>
      </c>
      <c r="D1650" s="4" t="n">
        <v>1</v>
      </c>
      <c r="E1650" s="4" t="s">
        <v>21</v>
      </c>
      <c r="F1650" s="3" t="s">
        <v>272</v>
      </c>
      <c r="G1650" s="3" t="s">
        <v>596</v>
      </c>
      <c r="H1650" s="3" t="s">
        <v>280</v>
      </c>
    </row>
    <row r="1651" customFormat="false" ht="15" hidden="false" customHeight="false" outlineLevel="0" collapsed="false">
      <c r="A1651" s="4" t="s">
        <v>29</v>
      </c>
      <c r="B1651" s="4" t="s">
        <v>60</v>
      </c>
      <c r="C1651" s="4" t="n">
        <v>3</v>
      </c>
      <c r="D1651" s="4" t="n">
        <v>1</v>
      </c>
      <c r="E1651" s="4" t="s">
        <v>26</v>
      </c>
      <c r="F1651" s="3" t="s">
        <v>378</v>
      </c>
      <c r="G1651" s="3" t="s">
        <v>600</v>
      </c>
      <c r="H1651" s="3" t="s">
        <v>383</v>
      </c>
    </row>
    <row r="1652" customFormat="false" ht="15" hidden="false" customHeight="false" outlineLevel="0" collapsed="false">
      <c r="A1652" s="4" t="s">
        <v>29</v>
      </c>
      <c r="B1652" s="4" t="s">
        <v>60</v>
      </c>
      <c r="C1652" s="4" t="n">
        <v>4</v>
      </c>
      <c r="D1652" s="4" t="n">
        <v>1</v>
      </c>
      <c r="E1652" s="4" t="s">
        <v>34</v>
      </c>
      <c r="F1652" s="3" t="s">
        <v>164</v>
      </c>
      <c r="G1652" s="3" t="s">
        <v>598</v>
      </c>
      <c r="H1652" s="3" t="s">
        <v>411</v>
      </c>
    </row>
    <row r="1653" customFormat="false" ht="15" hidden="false" customHeight="false" outlineLevel="0" collapsed="false">
      <c r="A1653" s="4" t="s">
        <v>29</v>
      </c>
      <c r="B1653" s="4" t="s">
        <v>60</v>
      </c>
      <c r="C1653" s="4" t="n">
        <v>5</v>
      </c>
      <c r="D1653" s="4" t="n">
        <v>1</v>
      </c>
      <c r="E1653" s="4" t="s">
        <v>37</v>
      </c>
      <c r="F1653" s="3" t="s">
        <v>36</v>
      </c>
      <c r="G1653" s="3" t="s">
        <v>601</v>
      </c>
      <c r="H1653" s="3" t="s">
        <v>131</v>
      </c>
    </row>
    <row r="1654" customFormat="false" ht="15" hidden="false" customHeight="false" outlineLevel="0" collapsed="false">
      <c r="A1654" s="4" t="s">
        <v>29</v>
      </c>
      <c r="B1654" s="4" t="s">
        <v>60</v>
      </c>
      <c r="C1654" s="4" t="n">
        <v>6</v>
      </c>
      <c r="D1654" s="4" t="n">
        <v>1</v>
      </c>
      <c r="E1654" s="4" t="s">
        <v>42</v>
      </c>
      <c r="F1654" s="3" t="s">
        <v>15</v>
      </c>
      <c r="G1654" s="3" t="s">
        <v>597</v>
      </c>
      <c r="H1654" s="3" t="s">
        <v>61</v>
      </c>
    </row>
    <row r="1655" customFormat="false" ht="15" hidden="false" customHeight="false" outlineLevel="0" collapsed="false">
      <c r="A1655" s="4" t="s">
        <v>29</v>
      </c>
      <c r="B1655" s="4" t="s">
        <v>60</v>
      </c>
      <c r="C1655" s="4" t="n">
        <v>7</v>
      </c>
      <c r="D1655" s="4" t="n">
        <v>1</v>
      </c>
      <c r="E1655" s="4" t="s">
        <v>39</v>
      </c>
      <c r="F1655" s="3" t="s">
        <v>72</v>
      </c>
      <c r="G1655" s="3" t="s">
        <v>599</v>
      </c>
      <c r="H1655" s="3" t="s">
        <v>153</v>
      </c>
    </row>
    <row r="1656" customFormat="false" ht="15" hidden="false" customHeight="false" outlineLevel="0" collapsed="false">
      <c r="A1656" s="4" t="s">
        <v>29</v>
      </c>
      <c r="B1656" s="4" t="s">
        <v>63</v>
      </c>
      <c r="C1656" s="4" t="n">
        <v>1</v>
      </c>
      <c r="D1656" s="4" t="n">
        <v>1</v>
      </c>
      <c r="E1656" s="4" t="s">
        <v>16</v>
      </c>
      <c r="F1656" s="3" t="s">
        <v>15</v>
      </c>
      <c r="G1656" s="3" t="s">
        <v>597</v>
      </c>
      <c r="H1656" s="3" t="s">
        <v>64</v>
      </c>
    </row>
    <row r="1657" customFormat="false" ht="15" hidden="false" customHeight="false" outlineLevel="0" collapsed="false">
      <c r="A1657" s="4" t="s">
        <v>29</v>
      </c>
      <c r="B1657" s="4" t="s">
        <v>63</v>
      </c>
      <c r="C1657" s="4" t="n">
        <v>2</v>
      </c>
      <c r="D1657" s="4" t="n">
        <v>1</v>
      </c>
      <c r="E1657" s="4" t="s">
        <v>21</v>
      </c>
      <c r="F1657" s="3" t="s">
        <v>272</v>
      </c>
      <c r="G1657" s="3" t="s">
        <v>596</v>
      </c>
      <c r="H1657" s="3" t="s">
        <v>271</v>
      </c>
    </row>
    <row r="1658" customFormat="false" ht="15" hidden="false" customHeight="false" outlineLevel="0" collapsed="false">
      <c r="A1658" s="4" t="s">
        <v>29</v>
      </c>
      <c r="B1658" s="4" t="s">
        <v>63</v>
      </c>
      <c r="C1658" s="4" t="n">
        <v>3</v>
      </c>
      <c r="D1658" s="4" t="n">
        <v>1</v>
      </c>
      <c r="E1658" s="4" t="s">
        <v>26</v>
      </c>
      <c r="F1658" s="3" t="s">
        <v>237</v>
      </c>
      <c r="G1658" s="3" t="s">
        <v>603</v>
      </c>
      <c r="H1658" s="3" t="s">
        <v>236</v>
      </c>
    </row>
    <row r="1659" customFormat="false" ht="15" hidden="false" customHeight="false" outlineLevel="0" collapsed="false">
      <c r="A1659" s="4" t="s">
        <v>29</v>
      </c>
      <c r="B1659" s="4" t="s">
        <v>63</v>
      </c>
      <c r="C1659" s="4" t="n">
        <v>4</v>
      </c>
      <c r="D1659" s="4" t="n">
        <v>2</v>
      </c>
      <c r="E1659" s="4" t="s">
        <v>533</v>
      </c>
      <c r="F1659" s="3" t="s">
        <v>164</v>
      </c>
      <c r="G1659" s="3" t="s">
        <v>598</v>
      </c>
      <c r="H1659" s="3" t="s">
        <v>411</v>
      </c>
    </row>
    <row r="1660" customFormat="false" ht="15" hidden="false" customHeight="false" outlineLevel="0" collapsed="false">
      <c r="A1660" s="4" t="s">
        <v>29</v>
      </c>
      <c r="B1660" s="4" t="s">
        <v>63</v>
      </c>
      <c r="C1660" s="4" t="n">
        <v>6</v>
      </c>
      <c r="D1660" s="4" t="n">
        <v>1</v>
      </c>
      <c r="E1660" s="4" t="s">
        <v>42</v>
      </c>
      <c r="F1660" s="3" t="s">
        <v>72</v>
      </c>
      <c r="G1660" s="3" t="s">
        <v>599</v>
      </c>
      <c r="H1660" s="3" t="s">
        <v>158</v>
      </c>
    </row>
    <row r="1661" customFormat="false" ht="15" hidden="false" customHeight="false" outlineLevel="0" collapsed="false">
      <c r="A1661" s="4" t="s">
        <v>29</v>
      </c>
      <c r="B1661" s="4" t="s">
        <v>63</v>
      </c>
      <c r="C1661" s="4" t="n">
        <v>7</v>
      </c>
      <c r="D1661" s="4" t="n">
        <v>1</v>
      </c>
      <c r="E1661" s="4" t="s">
        <v>39</v>
      </c>
      <c r="F1661" s="3" t="s">
        <v>287</v>
      </c>
      <c r="G1661" s="3" t="s">
        <v>514</v>
      </c>
      <c r="H1661" s="3" t="s">
        <v>515</v>
      </c>
    </row>
    <row r="1662" customFormat="false" ht="15" hidden="false" customHeight="false" outlineLevel="0" collapsed="false">
      <c r="A1662" s="4" t="s">
        <v>29</v>
      </c>
      <c r="B1662" s="4" t="s">
        <v>65</v>
      </c>
      <c r="C1662" s="4" t="n">
        <v>1</v>
      </c>
      <c r="D1662" s="4" t="n">
        <v>1</v>
      </c>
      <c r="E1662" s="4" t="s">
        <v>16</v>
      </c>
      <c r="F1662" s="3" t="s">
        <v>237</v>
      </c>
      <c r="G1662" s="3" t="s">
        <v>603</v>
      </c>
      <c r="H1662" s="3" t="s">
        <v>250</v>
      </c>
    </row>
    <row r="1663" customFormat="false" ht="15" hidden="false" customHeight="false" outlineLevel="0" collapsed="false">
      <c r="A1663" s="4" t="s">
        <v>29</v>
      </c>
      <c r="B1663" s="4" t="s">
        <v>65</v>
      </c>
      <c r="C1663" s="4" t="n">
        <v>2</v>
      </c>
      <c r="D1663" s="4" t="n">
        <v>1</v>
      </c>
      <c r="E1663" s="4" t="s">
        <v>21</v>
      </c>
      <c r="F1663" s="3" t="s">
        <v>15</v>
      </c>
      <c r="G1663" s="3" t="s">
        <v>597</v>
      </c>
      <c r="H1663" s="3" t="s">
        <v>64</v>
      </c>
    </row>
    <row r="1664" customFormat="false" ht="15" hidden="false" customHeight="false" outlineLevel="0" collapsed="false">
      <c r="A1664" s="4" t="s">
        <v>29</v>
      </c>
      <c r="B1664" s="4" t="s">
        <v>65</v>
      </c>
      <c r="C1664" s="4" t="n">
        <v>3</v>
      </c>
      <c r="D1664" s="4" t="n">
        <v>1</v>
      </c>
      <c r="E1664" s="4" t="s">
        <v>26</v>
      </c>
      <c r="F1664" s="3" t="s">
        <v>164</v>
      </c>
      <c r="G1664" s="3" t="s">
        <v>598</v>
      </c>
      <c r="H1664" s="3" t="s">
        <v>156</v>
      </c>
    </row>
    <row r="1665" customFormat="false" ht="15" hidden="false" customHeight="false" outlineLevel="0" collapsed="false">
      <c r="A1665" s="4" t="s">
        <v>29</v>
      </c>
      <c r="B1665" s="4" t="s">
        <v>65</v>
      </c>
      <c r="C1665" s="4" t="n">
        <v>4</v>
      </c>
      <c r="D1665" s="4" t="n">
        <v>1</v>
      </c>
      <c r="E1665" s="4" t="s">
        <v>34</v>
      </c>
      <c r="F1665" s="3" t="s">
        <v>272</v>
      </c>
      <c r="G1665" s="3" t="s">
        <v>596</v>
      </c>
      <c r="H1665" s="3" t="s">
        <v>282</v>
      </c>
    </row>
    <row r="1666" customFormat="false" ht="15" hidden="false" customHeight="false" outlineLevel="0" collapsed="false">
      <c r="A1666" s="4" t="s">
        <v>29</v>
      </c>
      <c r="B1666" s="4" t="s">
        <v>65</v>
      </c>
      <c r="C1666" s="4" t="n">
        <v>5</v>
      </c>
      <c r="D1666" s="4" t="n">
        <v>1</v>
      </c>
      <c r="E1666" s="4" t="s">
        <v>37</v>
      </c>
      <c r="F1666" s="3" t="s">
        <v>36</v>
      </c>
      <c r="G1666" s="3" t="s">
        <v>601</v>
      </c>
      <c r="H1666" s="3" t="s">
        <v>131</v>
      </c>
    </row>
    <row r="1667" customFormat="false" ht="15" hidden="false" customHeight="false" outlineLevel="0" collapsed="false">
      <c r="A1667" s="4" t="s">
        <v>29</v>
      </c>
      <c r="B1667" s="4" t="s">
        <v>65</v>
      </c>
      <c r="C1667" s="4" t="n">
        <v>6</v>
      </c>
      <c r="D1667" s="4" t="n">
        <v>1</v>
      </c>
      <c r="E1667" s="4" t="s">
        <v>42</v>
      </c>
      <c r="F1667" s="3" t="s">
        <v>378</v>
      </c>
      <c r="G1667" s="3" t="s">
        <v>602</v>
      </c>
      <c r="H1667" s="3" t="s">
        <v>384</v>
      </c>
    </row>
    <row r="1668" customFormat="false" ht="15" hidden="false" customHeight="false" outlineLevel="0" collapsed="false">
      <c r="A1668" s="4" t="s">
        <v>29</v>
      </c>
      <c r="B1668" s="4" t="s">
        <v>65</v>
      </c>
      <c r="C1668" s="4" t="n">
        <v>7</v>
      </c>
      <c r="D1668" s="4" t="n">
        <v>1</v>
      </c>
      <c r="E1668" s="4" t="s">
        <v>39</v>
      </c>
      <c r="F1668" s="3" t="s">
        <v>72</v>
      </c>
      <c r="G1668" s="3" t="s">
        <v>599</v>
      </c>
      <c r="H1668" s="3" t="s">
        <v>159</v>
      </c>
    </row>
    <row r="1669" customFormat="false" ht="15" hidden="false" customHeight="false" outlineLevel="0" collapsed="false">
      <c r="A1669" s="4" t="s">
        <v>29</v>
      </c>
      <c r="B1669" s="4" t="s">
        <v>66</v>
      </c>
      <c r="C1669" s="4" t="n">
        <v>1</v>
      </c>
      <c r="D1669" s="4" t="n">
        <v>2</v>
      </c>
      <c r="E1669" s="4" t="s">
        <v>539</v>
      </c>
      <c r="F1669" s="3" t="s">
        <v>388</v>
      </c>
      <c r="G1669" s="3" t="s">
        <v>590</v>
      </c>
      <c r="H1669" s="3" t="s">
        <v>387</v>
      </c>
    </row>
    <row r="1670" customFormat="false" ht="15" hidden="false" customHeight="false" outlineLevel="0" collapsed="false">
      <c r="A1670" s="4" t="s">
        <v>29</v>
      </c>
      <c r="B1670" s="4" t="s">
        <v>66</v>
      </c>
      <c r="C1670" s="4" t="n">
        <v>3</v>
      </c>
      <c r="D1670" s="4" t="n">
        <v>1</v>
      </c>
      <c r="E1670" s="4" t="s">
        <v>26</v>
      </c>
      <c r="F1670" s="3" t="s">
        <v>15</v>
      </c>
      <c r="G1670" s="3" t="s">
        <v>597</v>
      </c>
      <c r="H1670" s="3" t="s">
        <v>67</v>
      </c>
    </row>
    <row r="1671" customFormat="false" ht="15" hidden="false" customHeight="false" outlineLevel="0" collapsed="false">
      <c r="A1671" s="4" t="s">
        <v>29</v>
      </c>
      <c r="B1671" s="4" t="s">
        <v>66</v>
      </c>
      <c r="C1671" s="4" t="n">
        <v>4</v>
      </c>
      <c r="D1671" s="4" t="n">
        <v>1</v>
      </c>
      <c r="E1671" s="4" t="s">
        <v>34</v>
      </c>
      <c r="F1671" s="3" t="s">
        <v>237</v>
      </c>
      <c r="G1671" s="3" t="s">
        <v>603</v>
      </c>
      <c r="H1671" s="3" t="s">
        <v>250</v>
      </c>
    </row>
    <row r="1672" customFormat="false" ht="15" hidden="false" customHeight="false" outlineLevel="0" collapsed="false">
      <c r="A1672" s="4" t="s">
        <v>29</v>
      </c>
      <c r="B1672" s="4" t="s">
        <v>66</v>
      </c>
      <c r="C1672" s="4" t="n">
        <v>5</v>
      </c>
      <c r="D1672" s="4" t="n">
        <v>1</v>
      </c>
      <c r="E1672" s="4" t="s">
        <v>37</v>
      </c>
      <c r="F1672" s="3" t="s">
        <v>164</v>
      </c>
      <c r="G1672" s="3" t="s">
        <v>598</v>
      </c>
      <c r="H1672" s="3" t="s">
        <v>412</v>
      </c>
    </row>
    <row r="1673" customFormat="false" ht="15" hidden="false" customHeight="false" outlineLevel="0" collapsed="false">
      <c r="A1673" s="4" t="s">
        <v>29</v>
      </c>
      <c r="B1673" s="4" t="s">
        <v>66</v>
      </c>
      <c r="C1673" s="4" t="n">
        <v>6</v>
      </c>
      <c r="D1673" s="4" t="n">
        <v>1</v>
      </c>
      <c r="E1673" s="4" t="s">
        <v>42</v>
      </c>
      <c r="F1673" s="3" t="s">
        <v>378</v>
      </c>
      <c r="G1673" s="3" t="s">
        <v>600</v>
      </c>
      <c r="H1673" s="3" t="s">
        <v>385</v>
      </c>
    </row>
    <row r="1674" customFormat="false" ht="15" hidden="false" customHeight="false" outlineLevel="0" collapsed="false">
      <c r="A1674" s="4" t="s">
        <v>29</v>
      </c>
      <c r="B1674" s="4" t="s">
        <v>66</v>
      </c>
      <c r="C1674" s="4" t="n">
        <v>7</v>
      </c>
      <c r="D1674" s="4" t="n">
        <v>1</v>
      </c>
      <c r="E1674" s="4" t="s">
        <v>39</v>
      </c>
      <c r="F1674" s="3" t="s">
        <v>72</v>
      </c>
      <c r="G1674" s="3" t="s">
        <v>599</v>
      </c>
      <c r="H1674" s="3" t="s">
        <v>149</v>
      </c>
    </row>
    <row r="1675" customFormat="false" ht="15" hidden="false" customHeight="false" outlineLevel="0" collapsed="false">
      <c r="A1675" s="4" t="s">
        <v>30</v>
      </c>
      <c r="B1675" s="4" t="s">
        <v>12</v>
      </c>
      <c r="C1675" s="4" t="n">
        <v>1</v>
      </c>
      <c r="D1675" s="4" t="n">
        <v>1</v>
      </c>
      <c r="E1675" s="4" t="s">
        <v>16</v>
      </c>
      <c r="F1675" s="3" t="s">
        <v>287</v>
      </c>
      <c r="G1675" s="3" t="s">
        <v>505</v>
      </c>
      <c r="H1675" s="3" t="s">
        <v>506</v>
      </c>
    </row>
    <row r="1676" customFormat="false" ht="15" hidden="false" customHeight="false" outlineLevel="0" collapsed="false">
      <c r="A1676" s="4" t="s">
        <v>30</v>
      </c>
      <c r="B1676" s="4" t="s">
        <v>12</v>
      </c>
      <c r="C1676" s="4" t="n">
        <v>2</v>
      </c>
      <c r="D1676" s="4" t="n">
        <v>1</v>
      </c>
      <c r="E1676" s="4" t="s">
        <v>21</v>
      </c>
      <c r="F1676" s="3" t="s">
        <v>272</v>
      </c>
      <c r="G1676" s="3" t="s">
        <v>596</v>
      </c>
      <c r="H1676" s="3" t="s">
        <v>271</v>
      </c>
    </row>
    <row r="1677" customFormat="false" ht="15" hidden="false" customHeight="false" outlineLevel="0" collapsed="false">
      <c r="A1677" s="4" t="s">
        <v>30</v>
      </c>
      <c r="B1677" s="4" t="s">
        <v>12</v>
      </c>
      <c r="C1677" s="4" t="n">
        <v>3</v>
      </c>
      <c r="D1677" s="4" t="n">
        <v>1</v>
      </c>
      <c r="E1677" s="4" t="s">
        <v>26</v>
      </c>
      <c r="F1677" s="3" t="s">
        <v>15</v>
      </c>
      <c r="G1677" s="3" t="s">
        <v>597</v>
      </c>
      <c r="H1677" s="3" t="s">
        <v>25</v>
      </c>
    </row>
    <row r="1678" customFormat="false" ht="15" hidden="false" customHeight="false" outlineLevel="0" collapsed="false">
      <c r="A1678" s="4" t="s">
        <v>30</v>
      </c>
      <c r="B1678" s="4" t="s">
        <v>12</v>
      </c>
      <c r="C1678" s="4" t="n">
        <v>4</v>
      </c>
      <c r="D1678" s="4" t="n">
        <v>1</v>
      </c>
      <c r="E1678" s="4" t="s">
        <v>34</v>
      </c>
      <c r="F1678" s="3" t="s">
        <v>164</v>
      </c>
      <c r="G1678" s="3" t="s">
        <v>598</v>
      </c>
      <c r="H1678" s="3" t="s">
        <v>143</v>
      </c>
    </row>
    <row r="1679" customFormat="false" ht="15" hidden="false" customHeight="false" outlineLevel="0" collapsed="false">
      <c r="A1679" s="4" t="s">
        <v>30</v>
      </c>
      <c r="B1679" s="4" t="s">
        <v>12</v>
      </c>
      <c r="C1679" s="4" t="n">
        <v>5</v>
      </c>
      <c r="D1679" s="4" t="n">
        <v>1</v>
      </c>
      <c r="E1679" s="4" t="s">
        <v>37</v>
      </c>
      <c r="F1679" s="3" t="s">
        <v>72</v>
      </c>
      <c r="G1679" s="3" t="s">
        <v>599</v>
      </c>
      <c r="H1679" s="3" t="s">
        <v>143</v>
      </c>
    </row>
    <row r="1680" customFormat="false" ht="15" hidden="false" customHeight="false" outlineLevel="0" collapsed="false">
      <c r="A1680" s="4" t="s">
        <v>30</v>
      </c>
      <c r="B1680" s="4" t="s">
        <v>12</v>
      </c>
      <c r="C1680" s="4" t="n">
        <v>6</v>
      </c>
      <c r="D1680" s="4" t="n">
        <v>2</v>
      </c>
      <c r="E1680" s="4" t="s">
        <v>536</v>
      </c>
      <c r="F1680" s="3" t="s">
        <v>237</v>
      </c>
      <c r="G1680" s="3" t="s">
        <v>603</v>
      </c>
      <c r="H1680" s="3" t="s">
        <v>236</v>
      </c>
    </row>
    <row r="1681" customFormat="false" ht="15" hidden="false" customHeight="false" outlineLevel="0" collapsed="false">
      <c r="A1681" s="4" t="s">
        <v>30</v>
      </c>
      <c r="B1681" s="4" t="s">
        <v>31</v>
      </c>
      <c r="C1681" s="4" t="n">
        <v>1</v>
      </c>
      <c r="D1681" s="4" t="n">
        <v>1</v>
      </c>
      <c r="E1681" s="4" t="s">
        <v>16</v>
      </c>
      <c r="F1681" s="3" t="s">
        <v>272</v>
      </c>
      <c r="G1681" s="3" t="s">
        <v>596</v>
      </c>
      <c r="H1681" s="3" t="s">
        <v>274</v>
      </c>
    </row>
    <row r="1682" customFormat="false" ht="15" hidden="false" customHeight="false" outlineLevel="0" collapsed="false">
      <c r="A1682" s="4" t="s">
        <v>30</v>
      </c>
      <c r="B1682" s="4" t="s">
        <v>31</v>
      </c>
      <c r="C1682" s="4" t="n">
        <v>2</v>
      </c>
      <c r="D1682" s="4" t="n">
        <v>1</v>
      </c>
      <c r="E1682" s="4" t="s">
        <v>21</v>
      </c>
      <c r="F1682" s="3" t="s">
        <v>378</v>
      </c>
      <c r="G1682" s="3" t="s">
        <v>600</v>
      </c>
      <c r="H1682" s="3" t="s">
        <v>377</v>
      </c>
    </row>
    <row r="1683" customFormat="false" ht="15" hidden="false" customHeight="false" outlineLevel="0" collapsed="false">
      <c r="A1683" s="4" t="s">
        <v>30</v>
      </c>
      <c r="B1683" s="4" t="s">
        <v>31</v>
      </c>
      <c r="C1683" s="4" t="n">
        <v>3</v>
      </c>
      <c r="D1683" s="4" t="n">
        <v>1</v>
      </c>
      <c r="E1683" s="4" t="s">
        <v>26</v>
      </c>
      <c r="F1683" s="3" t="s">
        <v>164</v>
      </c>
      <c r="G1683" s="3" t="s">
        <v>598</v>
      </c>
      <c r="H1683" s="3" t="s">
        <v>159</v>
      </c>
    </row>
    <row r="1684" customFormat="false" ht="15" hidden="false" customHeight="false" outlineLevel="0" collapsed="false">
      <c r="A1684" s="4" t="s">
        <v>30</v>
      </c>
      <c r="B1684" s="4" t="s">
        <v>31</v>
      </c>
      <c r="C1684" s="4" t="n">
        <v>4</v>
      </c>
      <c r="D1684" s="4" t="n">
        <v>1</v>
      </c>
      <c r="E1684" s="4" t="s">
        <v>34</v>
      </c>
      <c r="F1684" s="3" t="s">
        <v>72</v>
      </c>
      <c r="G1684" s="3" t="s">
        <v>599</v>
      </c>
      <c r="H1684" s="3" t="s">
        <v>145</v>
      </c>
    </row>
    <row r="1685" customFormat="false" ht="15" hidden="false" customHeight="false" outlineLevel="0" collapsed="false">
      <c r="A1685" s="4" t="s">
        <v>30</v>
      </c>
      <c r="B1685" s="4" t="s">
        <v>31</v>
      </c>
      <c r="C1685" s="4" t="n">
        <v>5</v>
      </c>
      <c r="D1685" s="4" t="n">
        <v>1</v>
      </c>
      <c r="E1685" s="4" t="s">
        <v>37</v>
      </c>
      <c r="F1685" s="3" t="s">
        <v>36</v>
      </c>
      <c r="G1685" s="3" t="s">
        <v>601</v>
      </c>
      <c r="H1685" s="3" t="s">
        <v>131</v>
      </c>
    </row>
    <row r="1686" customFormat="false" ht="15" hidden="false" customHeight="false" outlineLevel="0" collapsed="false">
      <c r="A1686" s="4" t="s">
        <v>30</v>
      </c>
      <c r="B1686" s="4" t="s">
        <v>31</v>
      </c>
      <c r="C1686" s="4" t="n">
        <v>6</v>
      </c>
      <c r="D1686" s="4" t="n">
        <v>1</v>
      </c>
      <c r="E1686" s="4" t="s">
        <v>42</v>
      </c>
      <c r="F1686" s="3" t="s">
        <v>287</v>
      </c>
      <c r="G1686" s="3" t="s">
        <v>505</v>
      </c>
      <c r="H1686" s="3" t="s">
        <v>506</v>
      </c>
    </row>
    <row r="1687" customFormat="false" ht="15" hidden="false" customHeight="false" outlineLevel="0" collapsed="false">
      <c r="A1687" s="4" t="s">
        <v>30</v>
      </c>
      <c r="B1687" s="4" t="s">
        <v>31</v>
      </c>
      <c r="C1687" s="4" t="n">
        <v>7</v>
      </c>
      <c r="D1687" s="4" t="n">
        <v>1</v>
      </c>
      <c r="E1687" s="4" t="s">
        <v>39</v>
      </c>
      <c r="F1687" s="3" t="s">
        <v>15</v>
      </c>
      <c r="G1687" s="3" t="s">
        <v>597</v>
      </c>
      <c r="H1687" s="3" t="s">
        <v>38</v>
      </c>
    </row>
    <row r="1688" customFormat="false" ht="15" hidden="false" customHeight="false" outlineLevel="0" collapsed="false">
      <c r="A1688" s="4" t="s">
        <v>30</v>
      </c>
      <c r="B1688" s="4" t="s">
        <v>40</v>
      </c>
      <c r="C1688" s="4" t="n">
        <v>1</v>
      </c>
      <c r="D1688" s="4" t="n">
        <v>1</v>
      </c>
      <c r="E1688" s="4" t="s">
        <v>16</v>
      </c>
      <c r="F1688" s="3" t="s">
        <v>164</v>
      </c>
      <c r="G1688" s="3" t="s">
        <v>598</v>
      </c>
      <c r="H1688" s="3" t="s">
        <v>404</v>
      </c>
    </row>
    <row r="1689" customFormat="false" ht="15" hidden="false" customHeight="false" outlineLevel="0" collapsed="false">
      <c r="A1689" s="4" t="s">
        <v>30</v>
      </c>
      <c r="B1689" s="4" t="s">
        <v>40</v>
      </c>
      <c r="C1689" s="4" t="n">
        <v>2</v>
      </c>
      <c r="D1689" s="4" t="n">
        <v>1</v>
      </c>
      <c r="E1689" s="4" t="s">
        <v>21</v>
      </c>
      <c r="F1689" s="3" t="s">
        <v>15</v>
      </c>
      <c r="G1689" s="3" t="s">
        <v>597</v>
      </c>
      <c r="H1689" s="3" t="s">
        <v>41</v>
      </c>
    </row>
    <row r="1690" customFormat="false" ht="15" hidden="false" customHeight="false" outlineLevel="0" collapsed="false">
      <c r="A1690" s="4" t="s">
        <v>30</v>
      </c>
      <c r="B1690" s="4" t="s">
        <v>40</v>
      </c>
      <c r="C1690" s="4" t="n">
        <v>3</v>
      </c>
      <c r="D1690" s="4" t="n">
        <v>1</v>
      </c>
      <c r="E1690" s="4" t="s">
        <v>26</v>
      </c>
      <c r="F1690" s="3" t="s">
        <v>272</v>
      </c>
      <c r="G1690" s="3" t="s">
        <v>596</v>
      </c>
      <c r="H1690" s="3" t="s">
        <v>275</v>
      </c>
    </row>
    <row r="1691" customFormat="false" ht="15" hidden="false" customHeight="false" outlineLevel="0" collapsed="false">
      <c r="A1691" s="4" t="s">
        <v>30</v>
      </c>
      <c r="B1691" s="4" t="s">
        <v>40</v>
      </c>
      <c r="C1691" s="4" t="n">
        <v>4</v>
      </c>
      <c r="D1691" s="4" t="n">
        <v>1</v>
      </c>
      <c r="E1691" s="4" t="s">
        <v>34</v>
      </c>
      <c r="F1691" s="3" t="s">
        <v>378</v>
      </c>
      <c r="G1691" s="3" t="s">
        <v>602</v>
      </c>
      <c r="H1691" s="3" t="s">
        <v>379</v>
      </c>
    </row>
    <row r="1692" customFormat="false" ht="15" hidden="false" customHeight="false" outlineLevel="0" collapsed="false">
      <c r="A1692" s="4" t="s">
        <v>30</v>
      </c>
      <c r="B1692" s="4" t="s">
        <v>40</v>
      </c>
      <c r="C1692" s="4" t="n">
        <v>5</v>
      </c>
      <c r="D1692" s="4" t="n">
        <v>1</v>
      </c>
      <c r="E1692" s="4" t="s">
        <v>37</v>
      </c>
      <c r="F1692" s="3" t="s">
        <v>237</v>
      </c>
      <c r="G1692" s="3" t="s">
        <v>603</v>
      </c>
      <c r="H1692" s="3" t="s">
        <v>241</v>
      </c>
    </row>
    <row r="1693" customFormat="false" ht="15" hidden="false" customHeight="false" outlineLevel="0" collapsed="false">
      <c r="A1693" s="4" t="s">
        <v>30</v>
      </c>
      <c r="B1693" s="4" t="s">
        <v>40</v>
      </c>
      <c r="C1693" s="4" t="n">
        <v>6</v>
      </c>
      <c r="D1693" s="4" t="n">
        <v>2</v>
      </c>
      <c r="E1693" s="4" t="s">
        <v>536</v>
      </c>
      <c r="F1693" s="3" t="s">
        <v>72</v>
      </c>
      <c r="G1693" s="3" t="s">
        <v>599</v>
      </c>
      <c r="H1693" s="3" t="s">
        <v>149</v>
      </c>
    </row>
    <row r="1694" customFormat="false" ht="15" hidden="false" customHeight="false" outlineLevel="0" collapsed="false">
      <c r="A1694" s="4" t="s">
        <v>30</v>
      </c>
      <c r="B1694" s="4" t="s">
        <v>44</v>
      </c>
      <c r="C1694" s="4" t="n">
        <v>1</v>
      </c>
      <c r="D1694" s="4" t="n">
        <v>1</v>
      </c>
      <c r="E1694" s="4" t="s">
        <v>16</v>
      </c>
      <c r="F1694" s="3" t="s">
        <v>378</v>
      </c>
      <c r="G1694" s="3" t="s">
        <v>602</v>
      </c>
      <c r="H1694" s="3" t="s">
        <v>380</v>
      </c>
    </row>
    <row r="1695" customFormat="false" ht="15" hidden="false" customHeight="false" outlineLevel="0" collapsed="false">
      <c r="A1695" s="4" t="s">
        <v>30</v>
      </c>
      <c r="B1695" s="4" t="s">
        <v>44</v>
      </c>
      <c r="C1695" s="4" t="n">
        <v>2</v>
      </c>
      <c r="D1695" s="4" t="n">
        <v>1</v>
      </c>
      <c r="E1695" s="4" t="s">
        <v>21</v>
      </c>
      <c r="F1695" s="3" t="s">
        <v>15</v>
      </c>
      <c r="G1695" s="3" t="s">
        <v>597</v>
      </c>
      <c r="H1695" s="3" t="s">
        <v>45</v>
      </c>
    </row>
    <row r="1696" customFormat="false" ht="15" hidden="false" customHeight="false" outlineLevel="0" collapsed="false">
      <c r="A1696" s="4" t="s">
        <v>30</v>
      </c>
      <c r="B1696" s="4" t="s">
        <v>44</v>
      </c>
      <c r="C1696" s="4" t="n">
        <v>3</v>
      </c>
      <c r="D1696" s="4" t="n">
        <v>1</v>
      </c>
      <c r="E1696" s="4" t="s">
        <v>26</v>
      </c>
      <c r="F1696" s="3" t="s">
        <v>237</v>
      </c>
      <c r="G1696" s="3" t="s">
        <v>603</v>
      </c>
      <c r="H1696" s="3" t="s">
        <v>242</v>
      </c>
    </row>
    <row r="1697" customFormat="false" ht="15" hidden="false" customHeight="false" outlineLevel="0" collapsed="false">
      <c r="A1697" s="4" t="s">
        <v>30</v>
      </c>
      <c r="B1697" s="4" t="s">
        <v>44</v>
      </c>
      <c r="C1697" s="4" t="n">
        <v>4</v>
      </c>
      <c r="D1697" s="4" t="n">
        <v>1</v>
      </c>
      <c r="E1697" s="4" t="s">
        <v>34</v>
      </c>
      <c r="F1697" s="3" t="s">
        <v>164</v>
      </c>
      <c r="G1697" s="3" t="s">
        <v>598</v>
      </c>
      <c r="H1697" s="3" t="s">
        <v>406</v>
      </c>
    </row>
    <row r="1698" customFormat="false" ht="15" hidden="false" customHeight="false" outlineLevel="0" collapsed="false">
      <c r="A1698" s="4" t="s">
        <v>30</v>
      </c>
      <c r="B1698" s="4" t="s">
        <v>44</v>
      </c>
      <c r="C1698" s="4" t="n">
        <v>5</v>
      </c>
      <c r="D1698" s="4" t="n">
        <v>1</v>
      </c>
      <c r="E1698" s="4" t="s">
        <v>37</v>
      </c>
      <c r="F1698" s="3" t="s">
        <v>36</v>
      </c>
      <c r="G1698" s="3" t="s">
        <v>601</v>
      </c>
      <c r="H1698" s="3" t="s">
        <v>131</v>
      </c>
    </row>
    <row r="1699" customFormat="false" ht="15" hidden="false" customHeight="false" outlineLevel="0" collapsed="false">
      <c r="A1699" s="4" t="s">
        <v>30</v>
      </c>
      <c r="B1699" s="4" t="s">
        <v>44</v>
      </c>
      <c r="C1699" s="4" t="n">
        <v>6</v>
      </c>
      <c r="D1699" s="4" t="n">
        <v>1</v>
      </c>
      <c r="E1699" s="4" t="s">
        <v>42</v>
      </c>
      <c r="F1699" s="3" t="s">
        <v>287</v>
      </c>
      <c r="G1699" s="3" t="s">
        <v>505</v>
      </c>
      <c r="H1699" s="3" t="s">
        <v>506</v>
      </c>
    </row>
    <row r="1700" customFormat="false" ht="15" hidden="false" customHeight="false" outlineLevel="0" collapsed="false">
      <c r="A1700" s="4" t="s">
        <v>30</v>
      </c>
      <c r="B1700" s="4" t="s">
        <v>44</v>
      </c>
      <c r="C1700" s="4" t="n">
        <v>7</v>
      </c>
      <c r="D1700" s="4" t="n">
        <v>1</v>
      </c>
      <c r="E1700" s="4" t="s">
        <v>39</v>
      </c>
      <c r="F1700" s="3" t="s">
        <v>72</v>
      </c>
      <c r="G1700" s="3" t="s">
        <v>599</v>
      </c>
      <c r="H1700" s="3" t="s">
        <v>143</v>
      </c>
    </row>
    <row r="1701" customFormat="false" ht="15" hidden="false" customHeight="false" outlineLevel="0" collapsed="false">
      <c r="A1701" s="4" t="s">
        <v>30</v>
      </c>
      <c r="B1701" s="4" t="s">
        <v>47</v>
      </c>
      <c r="C1701" s="4" t="n">
        <v>1</v>
      </c>
      <c r="D1701" s="4" t="n">
        <v>1</v>
      </c>
      <c r="E1701" s="4" t="s">
        <v>16</v>
      </c>
      <c r="F1701" s="3" t="s">
        <v>272</v>
      </c>
      <c r="G1701" s="3" t="s">
        <v>596</v>
      </c>
      <c r="H1701" s="3" t="s">
        <v>277</v>
      </c>
    </row>
    <row r="1702" customFormat="false" ht="15" hidden="false" customHeight="false" outlineLevel="0" collapsed="false">
      <c r="A1702" s="4" t="s">
        <v>30</v>
      </c>
      <c r="B1702" s="4" t="s">
        <v>47</v>
      </c>
      <c r="C1702" s="4" t="n">
        <v>2</v>
      </c>
      <c r="D1702" s="4" t="n">
        <v>1</v>
      </c>
      <c r="E1702" s="4" t="s">
        <v>21</v>
      </c>
      <c r="F1702" s="3" t="s">
        <v>287</v>
      </c>
      <c r="G1702" s="3" t="s">
        <v>505</v>
      </c>
      <c r="H1702" s="3" t="s">
        <v>506</v>
      </c>
    </row>
    <row r="1703" customFormat="false" ht="15" hidden="false" customHeight="false" outlineLevel="0" collapsed="false">
      <c r="A1703" s="4" t="s">
        <v>30</v>
      </c>
      <c r="B1703" s="4" t="s">
        <v>47</v>
      </c>
      <c r="C1703" s="4" t="n">
        <v>3</v>
      </c>
      <c r="D1703" s="4" t="n">
        <v>2</v>
      </c>
      <c r="E1703" s="4" t="s">
        <v>542</v>
      </c>
      <c r="F1703" s="3" t="s">
        <v>378</v>
      </c>
      <c r="G1703" s="3" t="s">
        <v>600</v>
      </c>
      <c r="H1703" s="3" t="s">
        <v>381</v>
      </c>
    </row>
    <row r="1704" customFormat="false" ht="15" hidden="false" customHeight="false" outlineLevel="0" collapsed="false">
      <c r="A1704" s="4" t="s">
        <v>30</v>
      </c>
      <c r="B1704" s="4" t="s">
        <v>47</v>
      </c>
      <c r="C1704" s="4" t="n">
        <v>5</v>
      </c>
      <c r="D1704" s="4" t="n">
        <v>1</v>
      </c>
      <c r="E1704" s="4" t="s">
        <v>37</v>
      </c>
      <c r="F1704" s="3" t="s">
        <v>15</v>
      </c>
      <c r="G1704" s="3" t="s">
        <v>597</v>
      </c>
      <c r="H1704" s="3" t="s">
        <v>49</v>
      </c>
    </row>
    <row r="1705" customFormat="false" ht="15" hidden="false" customHeight="false" outlineLevel="0" collapsed="false">
      <c r="A1705" s="4" t="s">
        <v>30</v>
      </c>
      <c r="B1705" s="4" t="s">
        <v>47</v>
      </c>
      <c r="C1705" s="4" t="n">
        <v>6</v>
      </c>
      <c r="D1705" s="4" t="n">
        <v>1</v>
      </c>
      <c r="E1705" s="4" t="s">
        <v>42</v>
      </c>
      <c r="F1705" s="3" t="s">
        <v>72</v>
      </c>
      <c r="G1705" s="3" t="s">
        <v>599</v>
      </c>
      <c r="H1705" s="3" t="s">
        <v>153</v>
      </c>
    </row>
    <row r="1706" customFormat="false" ht="15" hidden="false" customHeight="false" outlineLevel="0" collapsed="false">
      <c r="A1706" s="4" t="s">
        <v>30</v>
      </c>
      <c r="B1706" s="4" t="s">
        <v>47</v>
      </c>
      <c r="C1706" s="4" t="n">
        <v>7</v>
      </c>
      <c r="D1706" s="4" t="n">
        <v>1</v>
      </c>
      <c r="E1706" s="4" t="s">
        <v>39</v>
      </c>
      <c r="F1706" s="3" t="s">
        <v>164</v>
      </c>
      <c r="G1706" s="3" t="s">
        <v>598</v>
      </c>
      <c r="H1706" s="3" t="s">
        <v>159</v>
      </c>
    </row>
    <row r="1707" customFormat="false" ht="15" hidden="false" customHeight="false" outlineLevel="0" collapsed="false">
      <c r="A1707" s="4" t="s">
        <v>30</v>
      </c>
      <c r="B1707" s="4" t="s">
        <v>50</v>
      </c>
      <c r="C1707" s="4" t="n">
        <v>1</v>
      </c>
      <c r="D1707" s="4" t="n">
        <v>1</v>
      </c>
      <c r="E1707" s="4" t="s">
        <v>16</v>
      </c>
      <c r="F1707" s="3" t="s">
        <v>237</v>
      </c>
      <c r="G1707" s="3" t="s">
        <v>603</v>
      </c>
      <c r="H1707" s="3" t="s">
        <v>245</v>
      </c>
    </row>
    <row r="1708" customFormat="false" ht="15" hidden="false" customHeight="false" outlineLevel="0" collapsed="false">
      <c r="A1708" s="4" t="s">
        <v>30</v>
      </c>
      <c r="B1708" s="4" t="s">
        <v>50</v>
      </c>
      <c r="C1708" s="4" t="n">
        <v>2</v>
      </c>
      <c r="D1708" s="4" t="n">
        <v>1</v>
      </c>
      <c r="E1708" s="4" t="s">
        <v>21</v>
      </c>
      <c r="F1708" s="3" t="s">
        <v>164</v>
      </c>
      <c r="G1708" s="3" t="s">
        <v>598</v>
      </c>
      <c r="H1708" s="3" t="s">
        <v>410</v>
      </c>
    </row>
    <row r="1709" customFormat="false" ht="15" hidden="false" customHeight="false" outlineLevel="0" collapsed="false">
      <c r="A1709" s="4" t="s">
        <v>30</v>
      </c>
      <c r="B1709" s="4" t="s">
        <v>50</v>
      </c>
      <c r="C1709" s="4" t="n">
        <v>3</v>
      </c>
      <c r="D1709" s="4" t="n">
        <v>1</v>
      </c>
      <c r="E1709" s="4" t="s">
        <v>26</v>
      </c>
      <c r="F1709" s="3" t="s">
        <v>15</v>
      </c>
      <c r="G1709" s="3" t="s">
        <v>597</v>
      </c>
      <c r="H1709" s="3" t="s">
        <v>41</v>
      </c>
    </row>
    <row r="1710" customFormat="false" ht="15" hidden="false" customHeight="false" outlineLevel="0" collapsed="false">
      <c r="A1710" s="4" t="s">
        <v>30</v>
      </c>
      <c r="B1710" s="4" t="s">
        <v>50</v>
      </c>
      <c r="C1710" s="4" t="n">
        <v>4</v>
      </c>
      <c r="D1710" s="4" t="n">
        <v>2</v>
      </c>
      <c r="E1710" s="4" t="s">
        <v>533</v>
      </c>
      <c r="F1710" s="3" t="s">
        <v>272</v>
      </c>
      <c r="G1710" s="3" t="s">
        <v>596</v>
      </c>
      <c r="H1710" s="3" t="s">
        <v>278</v>
      </c>
    </row>
    <row r="1711" customFormat="false" ht="15" hidden="false" customHeight="false" outlineLevel="0" collapsed="false">
      <c r="A1711" s="4" t="s">
        <v>30</v>
      </c>
      <c r="B1711" s="4" t="s">
        <v>50</v>
      </c>
      <c r="C1711" s="4" t="n">
        <v>6</v>
      </c>
      <c r="D1711" s="4" t="n">
        <v>1</v>
      </c>
      <c r="E1711" s="4" t="s">
        <v>42</v>
      </c>
      <c r="F1711" s="3" t="s">
        <v>72</v>
      </c>
      <c r="G1711" s="3" t="s">
        <v>599</v>
      </c>
      <c r="H1711" s="3" t="s">
        <v>156</v>
      </c>
    </row>
    <row r="1712" customFormat="false" ht="15" hidden="false" customHeight="false" outlineLevel="0" collapsed="false">
      <c r="A1712" s="4" t="s">
        <v>30</v>
      </c>
      <c r="B1712" s="4" t="s">
        <v>50</v>
      </c>
      <c r="C1712" s="4" t="n">
        <v>7</v>
      </c>
      <c r="D1712" s="4" t="n">
        <v>1</v>
      </c>
      <c r="E1712" s="4" t="s">
        <v>39</v>
      </c>
      <c r="F1712" s="3" t="s">
        <v>378</v>
      </c>
      <c r="G1712" s="3" t="s">
        <v>600</v>
      </c>
      <c r="H1712" s="3" t="s">
        <v>382</v>
      </c>
    </row>
    <row r="1713" customFormat="false" ht="15" hidden="false" customHeight="false" outlineLevel="0" collapsed="false">
      <c r="A1713" s="4" t="s">
        <v>30</v>
      </c>
      <c r="B1713" s="4" t="s">
        <v>60</v>
      </c>
      <c r="C1713" s="4" t="n">
        <v>1</v>
      </c>
      <c r="D1713" s="4" t="n">
        <v>1</v>
      </c>
      <c r="E1713" s="4" t="s">
        <v>16</v>
      </c>
      <c r="F1713" s="3" t="s">
        <v>237</v>
      </c>
      <c r="G1713" s="3" t="s">
        <v>603</v>
      </c>
      <c r="H1713" s="3" t="s">
        <v>247</v>
      </c>
    </row>
    <row r="1714" customFormat="false" ht="15" hidden="false" customHeight="false" outlineLevel="0" collapsed="false">
      <c r="A1714" s="4" t="s">
        <v>30</v>
      </c>
      <c r="B1714" s="4" t="s">
        <v>60</v>
      </c>
      <c r="C1714" s="4" t="n">
        <v>2</v>
      </c>
      <c r="D1714" s="4" t="n">
        <v>1</v>
      </c>
      <c r="E1714" s="4" t="s">
        <v>21</v>
      </c>
      <c r="F1714" s="3" t="s">
        <v>272</v>
      </c>
      <c r="G1714" s="3" t="s">
        <v>596</v>
      </c>
      <c r="H1714" s="3" t="s">
        <v>280</v>
      </c>
    </row>
    <row r="1715" customFormat="false" ht="15" hidden="false" customHeight="false" outlineLevel="0" collapsed="false">
      <c r="A1715" s="4" t="s">
        <v>30</v>
      </c>
      <c r="B1715" s="4" t="s">
        <v>60</v>
      </c>
      <c r="C1715" s="4" t="n">
        <v>3</v>
      </c>
      <c r="D1715" s="4" t="n">
        <v>1</v>
      </c>
      <c r="E1715" s="4" t="s">
        <v>26</v>
      </c>
      <c r="F1715" s="3" t="s">
        <v>378</v>
      </c>
      <c r="G1715" s="3" t="s">
        <v>600</v>
      </c>
      <c r="H1715" s="3" t="s">
        <v>383</v>
      </c>
    </row>
    <row r="1716" customFormat="false" ht="15" hidden="false" customHeight="false" outlineLevel="0" collapsed="false">
      <c r="A1716" s="4" t="s">
        <v>30</v>
      </c>
      <c r="B1716" s="4" t="s">
        <v>60</v>
      </c>
      <c r="C1716" s="4" t="n">
        <v>4</v>
      </c>
      <c r="D1716" s="4" t="n">
        <v>1</v>
      </c>
      <c r="E1716" s="4" t="s">
        <v>34</v>
      </c>
      <c r="F1716" s="3" t="s">
        <v>164</v>
      </c>
      <c r="G1716" s="3" t="s">
        <v>598</v>
      </c>
      <c r="H1716" s="3" t="s">
        <v>411</v>
      </c>
    </row>
    <row r="1717" customFormat="false" ht="15" hidden="false" customHeight="false" outlineLevel="0" collapsed="false">
      <c r="A1717" s="4" t="s">
        <v>30</v>
      </c>
      <c r="B1717" s="4" t="s">
        <v>60</v>
      </c>
      <c r="C1717" s="4" t="n">
        <v>5</v>
      </c>
      <c r="D1717" s="4" t="n">
        <v>1</v>
      </c>
      <c r="E1717" s="4" t="s">
        <v>37</v>
      </c>
      <c r="F1717" s="3" t="s">
        <v>36</v>
      </c>
      <c r="G1717" s="3" t="s">
        <v>601</v>
      </c>
      <c r="H1717" s="3" t="s">
        <v>131</v>
      </c>
    </row>
    <row r="1718" customFormat="false" ht="15" hidden="false" customHeight="false" outlineLevel="0" collapsed="false">
      <c r="A1718" s="4" t="s">
        <v>30</v>
      </c>
      <c r="B1718" s="4" t="s">
        <v>60</v>
      </c>
      <c r="C1718" s="4" t="n">
        <v>6</v>
      </c>
      <c r="D1718" s="4" t="n">
        <v>1</v>
      </c>
      <c r="E1718" s="4" t="s">
        <v>42</v>
      </c>
      <c r="F1718" s="3" t="s">
        <v>15</v>
      </c>
      <c r="G1718" s="3" t="s">
        <v>597</v>
      </c>
      <c r="H1718" s="3" t="s">
        <v>61</v>
      </c>
    </row>
    <row r="1719" customFormat="false" ht="15" hidden="false" customHeight="false" outlineLevel="0" collapsed="false">
      <c r="A1719" s="4" t="s">
        <v>30</v>
      </c>
      <c r="B1719" s="4" t="s">
        <v>60</v>
      </c>
      <c r="C1719" s="4" t="n">
        <v>7</v>
      </c>
      <c r="D1719" s="4" t="n">
        <v>1</v>
      </c>
      <c r="E1719" s="4" t="s">
        <v>39</v>
      </c>
      <c r="F1719" s="3" t="s">
        <v>72</v>
      </c>
      <c r="G1719" s="3" t="s">
        <v>599</v>
      </c>
      <c r="H1719" s="3" t="s">
        <v>153</v>
      </c>
    </row>
    <row r="1720" customFormat="false" ht="15" hidden="false" customHeight="false" outlineLevel="0" collapsed="false">
      <c r="A1720" s="4" t="s">
        <v>30</v>
      </c>
      <c r="B1720" s="4" t="s">
        <v>63</v>
      </c>
      <c r="C1720" s="4" t="n">
        <v>1</v>
      </c>
      <c r="D1720" s="4" t="n">
        <v>1</v>
      </c>
      <c r="E1720" s="4" t="s">
        <v>16</v>
      </c>
      <c r="F1720" s="3" t="s">
        <v>15</v>
      </c>
      <c r="G1720" s="3" t="s">
        <v>597</v>
      </c>
      <c r="H1720" s="3" t="s">
        <v>64</v>
      </c>
    </row>
    <row r="1721" customFormat="false" ht="15" hidden="false" customHeight="false" outlineLevel="0" collapsed="false">
      <c r="A1721" s="4" t="s">
        <v>30</v>
      </c>
      <c r="B1721" s="4" t="s">
        <v>63</v>
      </c>
      <c r="C1721" s="4" t="n">
        <v>2</v>
      </c>
      <c r="D1721" s="4" t="n">
        <v>1</v>
      </c>
      <c r="E1721" s="4" t="s">
        <v>21</v>
      </c>
      <c r="F1721" s="3" t="s">
        <v>272</v>
      </c>
      <c r="G1721" s="3" t="s">
        <v>596</v>
      </c>
      <c r="H1721" s="3" t="s">
        <v>271</v>
      </c>
    </row>
    <row r="1722" customFormat="false" ht="15" hidden="false" customHeight="false" outlineLevel="0" collapsed="false">
      <c r="A1722" s="4" t="s">
        <v>30</v>
      </c>
      <c r="B1722" s="4" t="s">
        <v>63</v>
      </c>
      <c r="C1722" s="4" t="n">
        <v>3</v>
      </c>
      <c r="D1722" s="4" t="n">
        <v>1</v>
      </c>
      <c r="E1722" s="4" t="s">
        <v>26</v>
      </c>
      <c r="F1722" s="3" t="s">
        <v>237</v>
      </c>
      <c r="G1722" s="3" t="s">
        <v>603</v>
      </c>
      <c r="H1722" s="3" t="s">
        <v>236</v>
      </c>
    </row>
    <row r="1723" customFormat="false" ht="15" hidden="false" customHeight="false" outlineLevel="0" collapsed="false">
      <c r="A1723" s="4" t="s">
        <v>30</v>
      </c>
      <c r="B1723" s="4" t="s">
        <v>63</v>
      </c>
      <c r="C1723" s="4" t="n">
        <v>4</v>
      </c>
      <c r="D1723" s="4" t="n">
        <v>2</v>
      </c>
      <c r="E1723" s="4" t="s">
        <v>533</v>
      </c>
      <c r="F1723" s="3" t="s">
        <v>164</v>
      </c>
      <c r="G1723" s="3" t="s">
        <v>598</v>
      </c>
      <c r="H1723" s="3" t="s">
        <v>411</v>
      </c>
    </row>
    <row r="1724" customFormat="false" ht="15" hidden="false" customHeight="false" outlineLevel="0" collapsed="false">
      <c r="A1724" s="4" t="s">
        <v>30</v>
      </c>
      <c r="B1724" s="4" t="s">
        <v>63</v>
      </c>
      <c r="C1724" s="4" t="n">
        <v>6</v>
      </c>
      <c r="D1724" s="4" t="n">
        <v>1</v>
      </c>
      <c r="E1724" s="4" t="s">
        <v>42</v>
      </c>
      <c r="F1724" s="3" t="s">
        <v>72</v>
      </c>
      <c r="G1724" s="3" t="s">
        <v>599</v>
      </c>
      <c r="H1724" s="3" t="s">
        <v>158</v>
      </c>
    </row>
    <row r="1725" customFormat="false" ht="15" hidden="false" customHeight="false" outlineLevel="0" collapsed="false">
      <c r="A1725" s="4" t="s">
        <v>30</v>
      </c>
      <c r="B1725" s="4" t="s">
        <v>63</v>
      </c>
      <c r="C1725" s="4" t="n">
        <v>7</v>
      </c>
      <c r="D1725" s="4" t="n">
        <v>1</v>
      </c>
      <c r="E1725" s="4" t="s">
        <v>39</v>
      </c>
      <c r="F1725" s="3" t="s">
        <v>287</v>
      </c>
      <c r="G1725" s="3" t="s">
        <v>505</v>
      </c>
      <c r="H1725" s="3" t="s">
        <v>506</v>
      </c>
    </row>
    <row r="1726" customFormat="false" ht="15" hidden="false" customHeight="false" outlineLevel="0" collapsed="false">
      <c r="A1726" s="4" t="s">
        <v>30</v>
      </c>
      <c r="B1726" s="4" t="s">
        <v>65</v>
      </c>
      <c r="C1726" s="4" t="n">
        <v>1</v>
      </c>
      <c r="D1726" s="4" t="n">
        <v>1</v>
      </c>
      <c r="E1726" s="4" t="s">
        <v>16</v>
      </c>
      <c r="F1726" s="3" t="s">
        <v>237</v>
      </c>
      <c r="G1726" s="3" t="s">
        <v>603</v>
      </c>
      <c r="H1726" s="3" t="s">
        <v>250</v>
      </c>
    </row>
    <row r="1727" customFormat="false" ht="15" hidden="false" customHeight="false" outlineLevel="0" collapsed="false">
      <c r="A1727" s="4" t="s">
        <v>30</v>
      </c>
      <c r="B1727" s="4" t="s">
        <v>65</v>
      </c>
      <c r="C1727" s="4" t="n">
        <v>2</v>
      </c>
      <c r="D1727" s="4" t="n">
        <v>1</v>
      </c>
      <c r="E1727" s="4" t="s">
        <v>21</v>
      </c>
      <c r="F1727" s="3" t="s">
        <v>15</v>
      </c>
      <c r="G1727" s="3" t="s">
        <v>597</v>
      </c>
      <c r="H1727" s="3" t="s">
        <v>64</v>
      </c>
    </row>
    <row r="1728" customFormat="false" ht="15" hidden="false" customHeight="false" outlineLevel="0" collapsed="false">
      <c r="A1728" s="4" t="s">
        <v>30</v>
      </c>
      <c r="B1728" s="4" t="s">
        <v>65</v>
      </c>
      <c r="C1728" s="4" t="n">
        <v>3</v>
      </c>
      <c r="D1728" s="4" t="n">
        <v>1</v>
      </c>
      <c r="E1728" s="4" t="s">
        <v>26</v>
      </c>
      <c r="F1728" s="3" t="s">
        <v>164</v>
      </c>
      <c r="G1728" s="3" t="s">
        <v>598</v>
      </c>
      <c r="H1728" s="3" t="s">
        <v>156</v>
      </c>
    </row>
    <row r="1729" customFormat="false" ht="15" hidden="false" customHeight="false" outlineLevel="0" collapsed="false">
      <c r="A1729" s="4" t="s">
        <v>30</v>
      </c>
      <c r="B1729" s="4" t="s">
        <v>65</v>
      </c>
      <c r="C1729" s="4" t="n">
        <v>4</v>
      </c>
      <c r="D1729" s="4" t="n">
        <v>1</v>
      </c>
      <c r="E1729" s="4" t="s">
        <v>34</v>
      </c>
      <c r="F1729" s="3" t="s">
        <v>272</v>
      </c>
      <c r="G1729" s="3" t="s">
        <v>596</v>
      </c>
      <c r="H1729" s="3" t="s">
        <v>282</v>
      </c>
    </row>
    <row r="1730" customFormat="false" ht="15" hidden="false" customHeight="false" outlineLevel="0" collapsed="false">
      <c r="A1730" s="4" t="s">
        <v>30</v>
      </c>
      <c r="B1730" s="4" t="s">
        <v>65</v>
      </c>
      <c r="C1730" s="4" t="n">
        <v>5</v>
      </c>
      <c r="D1730" s="4" t="n">
        <v>1</v>
      </c>
      <c r="E1730" s="4" t="s">
        <v>37</v>
      </c>
      <c r="F1730" s="3" t="s">
        <v>36</v>
      </c>
      <c r="G1730" s="3" t="s">
        <v>601</v>
      </c>
      <c r="H1730" s="3" t="s">
        <v>131</v>
      </c>
    </row>
    <row r="1731" customFormat="false" ht="15" hidden="false" customHeight="false" outlineLevel="0" collapsed="false">
      <c r="A1731" s="4" t="s">
        <v>30</v>
      </c>
      <c r="B1731" s="4" t="s">
        <v>65</v>
      </c>
      <c r="C1731" s="4" t="n">
        <v>6</v>
      </c>
      <c r="D1731" s="4" t="n">
        <v>1</v>
      </c>
      <c r="E1731" s="4" t="s">
        <v>42</v>
      </c>
      <c r="F1731" s="3" t="s">
        <v>378</v>
      </c>
      <c r="G1731" s="3" t="s">
        <v>602</v>
      </c>
      <c r="H1731" s="3" t="s">
        <v>384</v>
      </c>
    </row>
    <row r="1732" customFormat="false" ht="15" hidden="false" customHeight="false" outlineLevel="0" collapsed="false">
      <c r="A1732" s="4" t="s">
        <v>30</v>
      </c>
      <c r="B1732" s="4" t="s">
        <v>65</v>
      </c>
      <c r="C1732" s="4" t="n">
        <v>7</v>
      </c>
      <c r="D1732" s="4" t="n">
        <v>1</v>
      </c>
      <c r="E1732" s="4" t="s">
        <v>39</v>
      </c>
      <c r="F1732" s="3" t="s">
        <v>72</v>
      </c>
      <c r="G1732" s="3" t="s">
        <v>599</v>
      </c>
      <c r="H1732" s="3" t="s">
        <v>159</v>
      </c>
    </row>
    <row r="1733" customFormat="false" ht="15" hidden="false" customHeight="false" outlineLevel="0" collapsed="false">
      <c r="A1733" s="4" t="s">
        <v>30</v>
      </c>
      <c r="B1733" s="4" t="s">
        <v>66</v>
      </c>
      <c r="C1733" s="4" t="n">
        <v>1</v>
      </c>
      <c r="D1733" s="4" t="n">
        <v>2</v>
      </c>
      <c r="E1733" s="4" t="s">
        <v>539</v>
      </c>
      <c r="F1733" s="3" t="s">
        <v>388</v>
      </c>
      <c r="G1733" s="3" t="s">
        <v>590</v>
      </c>
      <c r="H1733" s="3" t="s">
        <v>387</v>
      </c>
    </row>
    <row r="1734" customFormat="false" ht="15" hidden="false" customHeight="false" outlineLevel="0" collapsed="false">
      <c r="A1734" s="4" t="s">
        <v>30</v>
      </c>
      <c r="B1734" s="4" t="s">
        <v>66</v>
      </c>
      <c r="C1734" s="4" t="n">
        <v>3</v>
      </c>
      <c r="D1734" s="4" t="n">
        <v>1</v>
      </c>
      <c r="E1734" s="4" t="s">
        <v>26</v>
      </c>
      <c r="F1734" s="3" t="s">
        <v>15</v>
      </c>
      <c r="G1734" s="3" t="s">
        <v>597</v>
      </c>
      <c r="H1734" s="3" t="s">
        <v>67</v>
      </c>
    </row>
    <row r="1735" customFormat="false" ht="15" hidden="false" customHeight="false" outlineLevel="0" collapsed="false">
      <c r="A1735" s="4" t="s">
        <v>30</v>
      </c>
      <c r="B1735" s="4" t="s">
        <v>66</v>
      </c>
      <c r="C1735" s="4" t="n">
        <v>4</v>
      </c>
      <c r="D1735" s="4" t="n">
        <v>1</v>
      </c>
      <c r="E1735" s="4" t="s">
        <v>34</v>
      </c>
      <c r="F1735" s="3" t="s">
        <v>237</v>
      </c>
      <c r="G1735" s="3" t="s">
        <v>603</v>
      </c>
      <c r="H1735" s="3" t="s">
        <v>250</v>
      </c>
    </row>
    <row r="1736" customFormat="false" ht="15" hidden="false" customHeight="false" outlineLevel="0" collapsed="false">
      <c r="A1736" s="4" t="s">
        <v>30</v>
      </c>
      <c r="B1736" s="4" t="s">
        <v>66</v>
      </c>
      <c r="C1736" s="4" t="n">
        <v>5</v>
      </c>
      <c r="D1736" s="4" t="n">
        <v>1</v>
      </c>
      <c r="E1736" s="4" t="s">
        <v>37</v>
      </c>
      <c r="F1736" s="3" t="s">
        <v>164</v>
      </c>
      <c r="G1736" s="3" t="s">
        <v>598</v>
      </c>
      <c r="H1736" s="3" t="s">
        <v>412</v>
      </c>
    </row>
    <row r="1737" customFormat="false" ht="15" hidden="false" customHeight="false" outlineLevel="0" collapsed="false">
      <c r="A1737" s="4" t="s">
        <v>30</v>
      </c>
      <c r="B1737" s="4" t="s">
        <v>66</v>
      </c>
      <c r="C1737" s="4" t="n">
        <v>6</v>
      </c>
      <c r="D1737" s="4" t="n">
        <v>1</v>
      </c>
      <c r="E1737" s="4" t="s">
        <v>42</v>
      </c>
      <c r="F1737" s="3" t="s">
        <v>378</v>
      </c>
      <c r="G1737" s="3" t="s">
        <v>600</v>
      </c>
      <c r="H1737" s="3" t="s">
        <v>385</v>
      </c>
    </row>
    <row r="1738" customFormat="false" ht="15" hidden="false" customHeight="false" outlineLevel="0" collapsed="false">
      <c r="A1738" s="4" t="s">
        <v>30</v>
      </c>
      <c r="B1738" s="4" t="s">
        <v>66</v>
      </c>
      <c r="C1738" s="4" t="n">
        <v>7</v>
      </c>
      <c r="D1738" s="4" t="n">
        <v>1</v>
      </c>
      <c r="E1738" s="4" t="s">
        <v>39</v>
      </c>
      <c r="F1738" s="3" t="s">
        <v>72</v>
      </c>
      <c r="G1738" s="3" t="s">
        <v>599</v>
      </c>
      <c r="H1738" s="3" t="s">
        <v>149</v>
      </c>
    </row>
    <row r="1739" customFormat="false" ht="15" hidden="false" customHeight="false" outlineLevel="0" collapsed="false">
      <c r="A1739" s="4" t="s">
        <v>27</v>
      </c>
      <c r="B1739" s="4" t="s">
        <v>12</v>
      </c>
      <c r="C1739" s="4" t="n">
        <v>1</v>
      </c>
      <c r="D1739" s="4" t="n">
        <v>1</v>
      </c>
      <c r="E1739" s="4" t="s">
        <v>16</v>
      </c>
      <c r="F1739" s="3" t="s">
        <v>164</v>
      </c>
      <c r="G1739" s="3" t="s">
        <v>604</v>
      </c>
      <c r="H1739" s="3" t="s">
        <v>402</v>
      </c>
    </row>
    <row r="1740" customFormat="false" ht="15" hidden="false" customHeight="false" outlineLevel="0" collapsed="false">
      <c r="A1740" s="4" t="s">
        <v>27</v>
      </c>
      <c r="B1740" s="4" t="s">
        <v>12</v>
      </c>
      <c r="C1740" s="4" t="n">
        <v>2</v>
      </c>
      <c r="D1740" s="4" t="n">
        <v>1</v>
      </c>
      <c r="E1740" s="4" t="s">
        <v>21</v>
      </c>
      <c r="F1740" s="3" t="s">
        <v>272</v>
      </c>
      <c r="G1740" s="3" t="s">
        <v>596</v>
      </c>
      <c r="H1740" s="3" t="s">
        <v>271</v>
      </c>
    </row>
    <row r="1741" customFormat="false" ht="15" hidden="false" customHeight="false" outlineLevel="0" collapsed="false">
      <c r="A1741" s="4" t="s">
        <v>27</v>
      </c>
      <c r="B1741" s="4" t="s">
        <v>12</v>
      </c>
      <c r="C1741" s="4" t="n">
        <v>3</v>
      </c>
      <c r="D1741" s="4" t="n">
        <v>1</v>
      </c>
      <c r="E1741" s="4" t="s">
        <v>26</v>
      </c>
      <c r="F1741" s="3" t="s">
        <v>15</v>
      </c>
      <c r="G1741" s="3" t="s">
        <v>597</v>
      </c>
      <c r="H1741" s="3" t="s">
        <v>25</v>
      </c>
    </row>
    <row r="1742" customFormat="false" ht="15" hidden="false" customHeight="false" outlineLevel="0" collapsed="false">
      <c r="A1742" s="4" t="s">
        <v>27</v>
      </c>
      <c r="B1742" s="4" t="s">
        <v>12</v>
      </c>
      <c r="C1742" s="4" t="n">
        <v>4</v>
      </c>
      <c r="D1742" s="4" t="n">
        <v>2</v>
      </c>
      <c r="E1742" s="4" t="s">
        <v>533</v>
      </c>
      <c r="F1742" s="3" t="s">
        <v>72</v>
      </c>
      <c r="G1742" s="3" t="s">
        <v>605</v>
      </c>
      <c r="H1742" s="3" t="s">
        <v>75</v>
      </c>
    </row>
    <row r="1743" customFormat="false" ht="15" hidden="false" customHeight="false" outlineLevel="0" collapsed="false">
      <c r="A1743" s="4" t="s">
        <v>27</v>
      </c>
      <c r="B1743" s="4" t="s">
        <v>12</v>
      </c>
      <c r="C1743" s="4" t="n">
        <v>6</v>
      </c>
      <c r="D1743" s="4" t="n">
        <v>2</v>
      </c>
      <c r="E1743" s="4" t="s">
        <v>536</v>
      </c>
      <c r="F1743" s="3" t="s">
        <v>388</v>
      </c>
      <c r="G1743" s="3" t="s">
        <v>590</v>
      </c>
      <c r="H1743" s="3" t="s">
        <v>387</v>
      </c>
    </row>
    <row r="1744" customFormat="false" ht="15" hidden="false" customHeight="false" outlineLevel="0" collapsed="false">
      <c r="A1744" s="4" t="s">
        <v>27</v>
      </c>
      <c r="B1744" s="4" t="s">
        <v>31</v>
      </c>
      <c r="C1744" s="4" t="n">
        <v>1</v>
      </c>
      <c r="D1744" s="4" t="n">
        <v>1</v>
      </c>
      <c r="E1744" s="4" t="s">
        <v>16</v>
      </c>
      <c r="F1744" s="3" t="s">
        <v>272</v>
      </c>
      <c r="G1744" s="3" t="s">
        <v>596</v>
      </c>
      <c r="H1744" s="3" t="s">
        <v>274</v>
      </c>
    </row>
    <row r="1745" customFormat="false" ht="15" hidden="false" customHeight="false" outlineLevel="0" collapsed="false">
      <c r="A1745" s="4" t="s">
        <v>27</v>
      </c>
      <c r="B1745" s="4" t="s">
        <v>31</v>
      </c>
      <c r="C1745" s="4" t="n">
        <v>2</v>
      </c>
      <c r="D1745" s="4" t="n">
        <v>1</v>
      </c>
      <c r="E1745" s="4" t="s">
        <v>21</v>
      </c>
      <c r="F1745" s="3" t="s">
        <v>378</v>
      </c>
      <c r="G1745" s="3" t="s">
        <v>600</v>
      </c>
      <c r="H1745" s="3" t="s">
        <v>377</v>
      </c>
    </row>
    <row r="1746" customFormat="false" ht="15" hidden="false" customHeight="false" outlineLevel="0" collapsed="false">
      <c r="A1746" s="4" t="s">
        <v>27</v>
      </c>
      <c r="B1746" s="4" t="s">
        <v>31</v>
      </c>
      <c r="C1746" s="4" t="n">
        <v>3</v>
      </c>
      <c r="D1746" s="4" t="n">
        <v>1</v>
      </c>
      <c r="E1746" s="4" t="s">
        <v>26</v>
      </c>
      <c r="F1746" s="3" t="s">
        <v>130</v>
      </c>
      <c r="G1746" s="3" t="s">
        <v>123</v>
      </c>
      <c r="H1746" s="3" t="s">
        <v>129</v>
      </c>
    </row>
    <row r="1747" customFormat="false" ht="15" hidden="false" customHeight="false" outlineLevel="0" collapsed="false">
      <c r="A1747" s="4" t="s">
        <v>27</v>
      </c>
      <c r="B1747" s="4" t="s">
        <v>31</v>
      </c>
      <c r="C1747" s="4" t="n">
        <v>4</v>
      </c>
      <c r="D1747" s="4" t="n">
        <v>1</v>
      </c>
      <c r="E1747" s="4" t="s">
        <v>34</v>
      </c>
      <c r="F1747" s="3" t="s">
        <v>164</v>
      </c>
      <c r="G1747" s="3" t="s">
        <v>604</v>
      </c>
      <c r="H1747" s="3" t="s">
        <v>403</v>
      </c>
    </row>
    <row r="1748" customFormat="false" ht="15" hidden="false" customHeight="false" outlineLevel="0" collapsed="false">
      <c r="A1748" s="4" t="s">
        <v>27</v>
      </c>
      <c r="B1748" s="4" t="s">
        <v>31</v>
      </c>
      <c r="C1748" s="4" t="n">
        <v>5</v>
      </c>
      <c r="D1748" s="4" t="n">
        <v>1</v>
      </c>
      <c r="E1748" s="4" t="s">
        <v>37</v>
      </c>
      <c r="F1748" s="3" t="s">
        <v>36</v>
      </c>
      <c r="G1748" s="3" t="s">
        <v>601</v>
      </c>
      <c r="H1748" s="3" t="s">
        <v>131</v>
      </c>
    </row>
    <row r="1749" customFormat="false" ht="15" hidden="false" customHeight="false" outlineLevel="0" collapsed="false">
      <c r="A1749" s="4" t="s">
        <v>27</v>
      </c>
      <c r="B1749" s="4" t="s">
        <v>31</v>
      </c>
      <c r="C1749" s="4" t="n">
        <v>6</v>
      </c>
      <c r="D1749" s="4" t="n">
        <v>1</v>
      </c>
      <c r="E1749" s="4" t="s">
        <v>42</v>
      </c>
      <c r="F1749" s="3" t="s">
        <v>72</v>
      </c>
      <c r="G1749" s="3" t="s">
        <v>605</v>
      </c>
      <c r="H1749" s="3" t="s">
        <v>82</v>
      </c>
    </row>
    <row r="1750" customFormat="false" ht="15" hidden="false" customHeight="false" outlineLevel="0" collapsed="false">
      <c r="A1750" s="4" t="s">
        <v>27</v>
      </c>
      <c r="B1750" s="4" t="s">
        <v>31</v>
      </c>
      <c r="C1750" s="4" t="n">
        <v>7</v>
      </c>
      <c r="D1750" s="4" t="n">
        <v>1</v>
      </c>
      <c r="E1750" s="4" t="s">
        <v>39</v>
      </c>
      <c r="F1750" s="3" t="s">
        <v>15</v>
      </c>
      <c r="G1750" s="3" t="s">
        <v>597</v>
      </c>
      <c r="H1750" s="3" t="s">
        <v>38</v>
      </c>
    </row>
    <row r="1751" customFormat="false" ht="15" hidden="false" customHeight="false" outlineLevel="0" collapsed="false">
      <c r="A1751" s="4" t="s">
        <v>27</v>
      </c>
      <c r="B1751" s="4" t="s">
        <v>40</v>
      </c>
      <c r="C1751" s="4" t="n">
        <v>1</v>
      </c>
      <c r="D1751" s="4" t="n">
        <v>1</v>
      </c>
      <c r="E1751" s="4" t="s">
        <v>16</v>
      </c>
      <c r="F1751" s="3" t="s">
        <v>130</v>
      </c>
      <c r="G1751" s="3" t="s">
        <v>123</v>
      </c>
      <c r="H1751" s="3" t="s">
        <v>134</v>
      </c>
    </row>
    <row r="1752" customFormat="false" ht="15" hidden="false" customHeight="false" outlineLevel="0" collapsed="false">
      <c r="A1752" s="4" t="s">
        <v>27</v>
      </c>
      <c r="B1752" s="4" t="s">
        <v>40</v>
      </c>
      <c r="C1752" s="4" t="n">
        <v>2</v>
      </c>
      <c r="D1752" s="4" t="n">
        <v>1</v>
      </c>
      <c r="E1752" s="4" t="s">
        <v>21</v>
      </c>
      <c r="F1752" s="3" t="s">
        <v>15</v>
      </c>
      <c r="G1752" s="3" t="s">
        <v>597</v>
      </c>
      <c r="H1752" s="3" t="s">
        <v>41</v>
      </c>
    </row>
    <row r="1753" customFormat="false" ht="15" hidden="false" customHeight="false" outlineLevel="0" collapsed="false">
      <c r="A1753" s="4" t="s">
        <v>27</v>
      </c>
      <c r="B1753" s="4" t="s">
        <v>40</v>
      </c>
      <c r="C1753" s="4" t="n">
        <v>3</v>
      </c>
      <c r="D1753" s="4" t="n">
        <v>1</v>
      </c>
      <c r="E1753" s="4" t="s">
        <v>26</v>
      </c>
      <c r="F1753" s="3" t="s">
        <v>272</v>
      </c>
      <c r="G1753" s="3" t="s">
        <v>596</v>
      </c>
      <c r="H1753" s="3" t="s">
        <v>275</v>
      </c>
    </row>
    <row r="1754" customFormat="false" ht="15" hidden="false" customHeight="false" outlineLevel="0" collapsed="false">
      <c r="A1754" s="4" t="s">
        <v>27</v>
      </c>
      <c r="B1754" s="4" t="s">
        <v>40</v>
      </c>
      <c r="C1754" s="4" t="n">
        <v>4</v>
      </c>
      <c r="D1754" s="4" t="n">
        <v>1</v>
      </c>
      <c r="E1754" s="4" t="s">
        <v>34</v>
      </c>
      <c r="F1754" s="3" t="s">
        <v>378</v>
      </c>
      <c r="G1754" s="3" t="s">
        <v>602</v>
      </c>
      <c r="H1754" s="3" t="s">
        <v>379</v>
      </c>
    </row>
    <row r="1755" customFormat="false" ht="15" hidden="false" customHeight="false" outlineLevel="0" collapsed="false">
      <c r="A1755" s="4" t="s">
        <v>27</v>
      </c>
      <c r="B1755" s="4" t="s">
        <v>40</v>
      </c>
      <c r="C1755" s="4" t="n">
        <v>5</v>
      </c>
      <c r="D1755" s="4" t="n">
        <v>1</v>
      </c>
      <c r="E1755" s="4" t="s">
        <v>37</v>
      </c>
      <c r="F1755" s="3" t="s">
        <v>164</v>
      </c>
      <c r="G1755" s="3" t="s">
        <v>604</v>
      </c>
      <c r="H1755" s="3" t="s">
        <v>405</v>
      </c>
    </row>
    <row r="1756" customFormat="false" ht="15" hidden="false" customHeight="false" outlineLevel="0" collapsed="false">
      <c r="A1756" s="4" t="s">
        <v>27</v>
      </c>
      <c r="B1756" s="4" t="s">
        <v>40</v>
      </c>
      <c r="C1756" s="4" t="n">
        <v>6</v>
      </c>
      <c r="D1756" s="4" t="n">
        <v>1</v>
      </c>
      <c r="E1756" s="4" t="s">
        <v>42</v>
      </c>
      <c r="F1756" s="3" t="s">
        <v>72</v>
      </c>
      <c r="G1756" s="3" t="s">
        <v>605</v>
      </c>
      <c r="H1756" s="3" t="s">
        <v>82</v>
      </c>
    </row>
    <row r="1757" customFormat="false" ht="15" hidden="false" customHeight="false" outlineLevel="0" collapsed="false">
      <c r="A1757" s="4" t="s">
        <v>27</v>
      </c>
      <c r="B1757" s="4" t="s">
        <v>40</v>
      </c>
      <c r="C1757" s="4" t="n">
        <v>7</v>
      </c>
      <c r="D1757" s="4" t="n">
        <v>1</v>
      </c>
      <c r="E1757" s="4" t="s">
        <v>39</v>
      </c>
      <c r="F1757" s="3" t="s">
        <v>287</v>
      </c>
      <c r="G1757" s="3" t="s">
        <v>361</v>
      </c>
      <c r="H1757" s="3" t="s">
        <v>363</v>
      </c>
    </row>
    <row r="1758" customFormat="false" ht="15" hidden="false" customHeight="false" outlineLevel="0" collapsed="false">
      <c r="A1758" s="4" t="s">
        <v>27</v>
      </c>
      <c r="B1758" s="4" t="s">
        <v>44</v>
      </c>
      <c r="C1758" s="4" t="n">
        <v>1</v>
      </c>
      <c r="D1758" s="4" t="n">
        <v>1</v>
      </c>
      <c r="E1758" s="4" t="s">
        <v>16</v>
      </c>
      <c r="F1758" s="3" t="s">
        <v>378</v>
      </c>
      <c r="G1758" s="3" t="s">
        <v>602</v>
      </c>
      <c r="H1758" s="3" t="s">
        <v>380</v>
      </c>
    </row>
    <row r="1759" customFormat="false" ht="15" hidden="false" customHeight="false" outlineLevel="0" collapsed="false">
      <c r="A1759" s="4" t="s">
        <v>27</v>
      </c>
      <c r="B1759" s="4" t="s">
        <v>44</v>
      </c>
      <c r="C1759" s="4" t="n">
        <v>2</v>
      </c>
      <c r="D1759" s="4" t="n">
        <v>1</v>
      </c>
      <c r="E1759" s="4" t="s">
        <v>21</v>
      </c>
      <c r="F1759" s="3" t="s">
        <v>15</v>
      </c>
      <c r="G1759" s="3" t="s">
        <v>597</v>
      </c>
      <c r="H1759" s="3" t="s">
        <v>45</v>
      </c>
    </row>
    <row r="1760" customFormat="false" ht="15" hidden="false" customHeight="false" outlineLevel="0" collapsed="false">
      <c r="A1760" s="4" t="s">
        <v>27</v>
      </c>
      <c r="B1760" s="4" t="s">
        <v>44</v>
      </c>
      <c r="C1760" s="4" t="n">
        <v>3</v>
      </c>
      <c r="D1760" s="4" t="n">
        <v>1</v>
      </c>
      <c r="E1760" s="4" t="s">
        <v>26</v>
      </c>
      <c r="F1760" s="3" t="s">
        <v>130</v>
      </c>
      <c r="G1760" s="3" t="s">
        <v>123</v>
      </c>
      <c r="H1760" s="3" t="s">
        <v>129</v>
      </c>
    </row>
    <row r="1761" customFormat="false" ht="15" hidden="false" customHeight="false" outlineLevel="0" collapsed="false">
      <c r="A1761" s="4" t="s">
        <v>27</v>
      </c>
      <c r="B1761" s="4" t="s">
        <v>44</v>
      </c>
      <c r="C1761" s="4" t="n">
        <v>4</v>
      </c>
      <c r="D1761" s="4" t="n">
        <v>1</v>
      </c>
      <c r="E1761" s="4" t="s">
        <v>34</v>
      </c>
      <c r="F1761" s="3" t="s">
        <v>287</v>
      </c>
      <c r="G1761" s="3" t="s">
        <v>361</v>
      </c>
      <c r="H1761" s="3" t="s">
        <v>363</v>
      </c>
    </row>
    <row r="1762" customFormat="false" ht="15" hidden="false" customHeight="false" outlineLevel="0" collapsed="false">
      <c r="A1762" s="4" t="s">
        <v>27</v>
      </c>
      <c r="B1762" s="4" t="s">
        <v>44</v>
      </c>
      <c r="C1762" s="4" t="n">
        <v>5</v>
      </c>
      <c r="D1762" s="4" t="n">
        <v>1</v>
      </c>
      <c r="E1762" s="4" t="s">
        <v>37</v>
      </c>
      <c r="F1762" s="3" t="s">
        <v>36</v>
      </c>
      <c r="G1762" s="3" t="s">
        <v>601</v>
      </c>
      <c r="H1762" s="3" t="s">
        <v>131</v>
      </c>
    </row>
    <row r="1763" customFormat="false" ht="15" hidden="false" customHeight="false" outlineLevel="0" collapsed="false">
      <c r="A1763" s="4" t="s">
        <v>27</v>
      </c>
      <c r="B1763" s="4" t="s">
        <v>44</v>
      </c>
      <c r="C1763" s="4" t="n">
        <v>6</v>
      </c>
      <c r="D1763" s="4" t="n">
        <v>1</v>
      </c>
      <c r="E1763" s="4" t="s">
        <v>42</v>
      </c>
      <c r="F1763" s="3" t="s">
        <v>164</v>
      </c>
      <c r="G1763" s="3" t="s">
        <v>604</v>
      </c>
      <c r="H1763" s="3" t="s">
        <v>407</v>
      </c>
    </row>
    <row r="1764" customFormat="false" ht="15" hidden="false" customHeight="false" outlineLevel="0" collapsed="false">
      <c r="A1764" s="4" t="s">
        <v>27</v>
      </c>
      <c r="B1764" s="4" t="s">
        <v>44</v>
      </c>
      <c r="C1764" s="4" t="n">
        <v>7</v>
      </c>
      <c r="D1764" s="4" t="n">
        <v>1</v>
      </c>
      <c r="E1764" s="4" t="s">
        <v>39</v>
      </c>
      <c r="F1764" s="3" t="s">
        <v>72</v>
      </c>
      <c r="G1764" s="3" t="s">
        <v>605</v>
      </c>
      <c r="H1764" s="3" t="s">
        <v>82</v>
      </c>
    </row>
    <row r="1765" customFormat="false" ht="15" hidden="false" customHeight="false" outlineLevel="0" collapsed="false">
      <c r="A1765" s="4" t="s">
        <v>27</v>
      </c>
      <c r="B1765" s="4" t="s">
        <v>47</v>
      </c>
      <c r="C1765" s="4" t="n">
        <v>1</v>
      </c>
      <c r="D1765" s="4" t="n">
        <v>1</v>
      </c>
      <c r="E1765" s="4" t="s">
        <v>16</v>
      </c>
      <c r="F1765" s="3" t="s">
        <v>272</v>
      </c>
      <c r="G1765" s="3" t="s">
        <v>596</v>
      </c>
      <c r="H1765" s="3" t="s">
        <v>277</v>
      </c>
    </row>
    <row r="1766" customFormat="false" ht="15" hidden="false" customHeight="false" outlineLevel="0" collapsed="false">
      <c r="A1766" s="4" t="s">
        <v>27</v>
      </c>
      <c r="B1766" s="4" t="s">
        <v>47</v>
      </c>
      <c r="C1766" s="4" t="n">
        <v>2</v>
      </c>
      <c r="D1766" s="4" t="n">
        <v>1</v>
      </c>
      <c r="E1766" s="4" t="s">
        <v>21</v>
      </c>
      <c r="F1766" s="3" t="s">
        <v>72</v>
      </c>
      <c r="G1766" s="3" t="s">
        <v>605</v>
      </c>
      <c r="H1766" s="3" t="s">
        <v>86</v>
      </c>
    </row>
    <row r="1767" customFormat="false" ht="15" hidden="false" customHeight="false" outlineLevel="0" collapsed="false">
      <c r="A1767" s="4" t="s">
        <v>27</v>
      </c>
      <c r="B1767" s="4" t="s">
        <v>47</v>
      </c>
      <c r="C1767" s="4" t="n">
        <v>3</v>
      </c>
      <c r="D1767" s="4" t="n">
        <v>2</v>
      </c>
      <c r="E1767" s="4" t="s">
        <v>542</v>
      </c>
      <c r="F1767" s="3" t="s">
        <v>378</v>
      </c>
      <c r="G1767" s="3" t="s">
        <v>600</v>
      </c>
      <c r="H1767" s="3" t="s">
        <v>381</v>
      </c>
    </row>
    <row r="1768" customFormat="false" ht="15" hidden="false" customHeight="false" outlineLevel="0" collapsed="false">
      <c r="A1768" s="4" t="s">
        <v>27</v>
      </c>
      <c r="B1768" s="4" t="s">
        <v>47</v>
      </c>
      <c r="C1768" s="4" t="n">
        <v>5</v>
      </c>
      <c r="D1768" s="4" t="n">
        <v>1</v>
      </c>
      <c r="E1768" s="4" t="s">
        <v>37</v>
      </c>
      <c r="F1768" s="3" t="s">
        <v>15</v>
      </c>
      <c r="G1768" s="3" t="s">
        <v>597</v>
      </c>
      <c r="H1768" s="3" t="s">
        <v>49</v>
      </c>
    </row>
    <row r="1769" customFormat="false" ht="15" hidden="false" customHeight="false" outlineLevel="0" collapsed="false">
      <c r="A1769" s="4" t="s">
        <v>27</v>
      </c>
      <c r="B1769" s="4" t="s">
        <v>47</v>
      </c>
      <c r="C1769" s="4" t="n">
        <v>6</v>
      </c>
      <c r="D1769" s="4" t="n">
        <v>1</v>
      </c>
      <c r="E1769" s="4" t="s">
        <v>42</v>
      </c>
      <c r="F1769" s="3" t="s">
        <v>164</v>
      </c>
      <c r="G1769" s="3" t="s">
        <v>604</v>
      </c>
      <c r="H1769" s="3" t="s">
        <v>408</v>
      </c>
    </row>
    <row r="1770" customFormat="false" ht="15" hidden="false" customHeight="false" outlineLevel="0" collapsed="false">
      <c r="A1770" s="4" t="s">
        <v>27</v>
      </c>
      <c r="B1770" s="4" t="s">
        <v>47</v>
      </c>
      <c r="C1770" s="4" t="n">
        <v>7</v>
      </c>
      <c r="D1770" s="4" t="n">
        <v>1</v>
      </c>
      <c r="E1770" s="4" t="s">
        <v>39</v>
      </c>
      <c r="F1770" s="3" t="s">
        <v>130</v>
      </c>
      <c r="G1770" s="3" t="s">
        <v>123</v>
      </c>
      <c r="H1770" s="3" t="s">
        <v>134</v>
      </c>
    </row>
    <row r="1771" customFormat="false" ht="15" hidden="false" customHeight="false" outlineLevel="0" collapsed="false">
      <c r="A1771" s="4" t="s">
        <v>27</v>
      </c>
      <c r="B1771" s="4" t="s">
        <v>50</v>
      </c>
      <c r="C1771" s="4" t="n">
        <v>1</v>
      </c>
      <c r="D1771" s="4" t="n">
        <v>1</v>
      </c>
      <c r="E1771" s="4" t="s">
        <v>16</v>
      </c>
      <c r="F1771" s="3" t="s">
        <v>164</v>
      </c>
      <c r="G1771" s="3" t="s">
        <v>604</v>
      </c>
      <c r="H1771" s="3" t="s">
        <v>409</v>
      </c>
    </row>
    <row r="1772" customFormat="false" ht="15" hidden="false" customHeight="false" outlineLevel="0" collapsed="false">
      <c r="A1772" s="4" t="s">
        <v>27</v>
      </c>
      <c r="B1772" s="4" t="s">
        <v>50</v>
      </c>
      <c r="C1772" s="4" t="n">
        <v>2</v>
      </c>
      <c r="D1772" s="4" t="n">
        <v>1</v>
      </c>
      <c r="E1772" s="4" t="s">
        <v>21</v>
      </c>
      <c r="F1772" s="3" t="s">
        <v>287</v>
      </c>
      <c r="G1772" s="3" t="s">
        <v>361</v>
      </c>
      <c r="H1772" s="3" t="s">
        <v>363</v>
      </c>
    </row>
    <row r="1773" customFormat="false" ht="15" hidden="false" customHeight="false" outlineLevel="0" collapsed="false">
      <c r="A1773" s="4" t="s">
        <v>27</v>
      </c>
      <c r="B1773" s="4" t="s">
        <v>50</v>
      </c>
      <c r="C1773" s="4" t="n">
        <v>3</v>
      </c>
      <c r="D1773" s="4" t="n">
        <v>1</v>
      </c>
      <c r="E1773" s="4" t="s">
        <v>26</v>
      </c>
      <c r="F1773" s="3" t="s">
        <v>15</v>
      </c>
      <c r="G1773" s="3" t="s">
        <v>597</v>
      </c>
      <c r="H1773" s="3" t="s">
        <v>41</v>
      </c>
    </row>
    <row r="1774" customFormat="false" ht="15" hidden="false" customHeight="false" outlineLevel="0" collapsed="false">
      <c r="A1774" s="4" t="s">
        <v>27</v>
      </c>
      <c r="B1774" s="4" t="s">
        <v>50</v>
      </c>
      <c r="C1774" s="4" t="n">
        <v>4</v>
      </c>
      <c r="D1774" s="4" t="n">
        <v>2</v>
      </c>
      <c r="E1774" s="4" t="s">
        <v>533</v>
      </c>
      <c r="F1774" s="3" t="s">
        <v>272</v>
      </c>
      <c r="G1774" s="3" t="s">
        <v>596</v>
      </c>
      <c r="H1774" s="3" t="s">
        <v>278</v>
      </c>
    </row>
    <row r="1775" customFormat="false" ht="15" hidden="false" customHeight="false" outlineLevel="0" collapsed="false">
      <c r="A1775" s="4" t="s">
        <v>27</v>
      </c>
      <c r="B1775" s="4" t="s">
        <v>50</v>
      </c>
      <c r="C1775" s="4" t="n">
        <v>6</v>
      </c>
      <c r="D1775" s="4" t="n">
        <v>1</v>
      </c>
      <c r="E1775" s="4" t="s">
        <v>42</v>
      </c>
      <c r="F1775" s="3" t="s">
        <v>72</v>
      </c>
      <c r="G1775" s="3" t="s">
        <v>605</v>
      </c>
      <c r="H1775" s="3" t="s">
        <v>89</v>
      </c>
    </row>
    <row r="1776" customFormat="false" ht="15" hidden="false" customHeight="false" outlineLevel="0" collapsed="false">
      <c r="A1776" s="4" t="s">
        <v>27</v>
      </c>
      <c r="B1776" s="4" t="s">
        <v>50</v>
      </c>
      <c r="C1776" s="4" t="n">
        <v>7</v>
      </c>
      <c r="D1776" s="4" t="n">
        <v>1</v>
      </c>
      <c r="E1776" s="4" t="s">
        <v>39</v>
      </c>
      <c r="F1776" s="3" t="s">
        <v>378</v>
      </c>
      <c r="G1776" s="3" t="s">
        <v>600</v>
      </c>
      <c r="H1776" s="3" t="s">
        <v>382</v>
      </c>
    </row>
    <row r="1777" customFormat="false" ht="15" hidden="false" customHeight="false" outlineLevel="0" collapsed="false">
      <c r="A1777" s="4" t="s">
        <v>27</v>
      </c>
      <c r="B1777" s="4" t="s">
        <v>60</v>
      </c>
      <c r="C1777" s="4" t="n">
        <v>1</v>
      </c>
      <c r="D1777" s="4" t="n">
        <v>1</v>
      </c>
      <c r="E1777" s="4" t="s">
        <v>16</v>
      </c>
      <c r="F1777" s="3" t="s">
        <v>130</v>
      </c>
      <c r="G1777" s="3" t="s">
        <v>123</v>
      </c>
      <c r="H1777" s="3" t="s">
        <v>134</v>
      </c>
    </row>
    <row r="1778" customFormat="false" ht="15" hidden="false" customHeight="false" outlineLevel="0" collapsed="false">
      <c r="A1778" s="4" t="s">
        <v>27</v>
      </c>
      <c r="B1778" s="4" t="s">
        <v>60</v>
      </c>
      <c r="C1778" s="4" t="n">
        <v>2</v>
      </c>
      <c r="D1778" s="4" t="n">
        <v>1</v>
      </c>
      <c r="E1778" s="4" t="s">
        <v>21</v>
      </c>
      <c r="F1778" s="3" t="s">
        <v>272</v>
      </c>
      <c r="G1778" s="3" t="s">
        <v>596</v>
      </c>
      <c r="H1778" s="3" t="s">
        <v>280</v>
      </c>
    </row>
    <row r="1779" customFormat="false" ht="15" hidden="false" customHeight="false" outlineLevel="0" collapsed="false">
      <c r="A1779" s="4" t="s">
        <v>27</v>
      </c>
      <c r="B1779" s="4" t="s">
        <v>60</v>
      </c>
      <c r="C1779" s="4" t="n">
        <v>3</v>
      </c>
      <c r="D1779" s="4" t="n">
        <v>1</v>
      </c>
      <c r="E1779" s="4" t="s">
        <v>26</v>
      </c>
      <c r="F1779" s="3" t="s">
        <v>378</v>
      </c>
      <c r="G1779" s="3" t="s">
        <v>600</v>
      </c>
      <c r="H1779" s="3" t="s">
        <v>383</v>
      </c>
    </row>
    <row r="1780" customFormat="false" ht="15" hidden="false" customHeight="false" outlineLevel="0" collapsed="false">
      <c r="A1780" s="4" t="s">
        <v>27</v>
      </c>
      <c r="B1780" s="4" t="s">
        <v>60</v>
      </c>
      <c r="C1780" s="4" t="n">
        <v>4</v>
      </c>
      <c r="D1780" s="4" t="n">
        <v>1</v>
      </c>
      <c r="E1780" s="4" t="s">
        <v>34</v>
      </c>
      <c r="F1780" s="3" t="s">
        <v>72</v>
      </c>
      <c r="G1780" s="3" t="s">
        <v>605</v>
      </c>
      <c r="H1780" s="3" t="s">
        <v>92</v>
      </c>
    </row>
    <row r="1781" customFormat="false" ht="15" hidden="false" customHeight="false" outlineLevel="0" collapsed="false">
      <c r="A1781" s="4" t="s">
        <v>27</v>
      </c>
      <c r="B1781" s="4" t="s">
        <v>60</v>
      </c>
      <c r="C1781" s="4" t="n">
        <v>5</v>
      </c>
      <c r="D1781" s="4" t="n">
        <v>1</v>
      </c>
      <c r="E1781" s="4" t="s">
        <v>37</v>
      </c>
      <c r="F1781" s="3" t="s">
        <v>36</v>
      </c>
      <c r="G1781" s="3" t="s">
        <v>601</v>
      </c>
      <c r="H1781" s="3" t="s">
        <v>131</v>
      </c>
    </row>
    <row r="1782" customFormat="false" ht="15" hidden="false" customHeight="false" outlineLevel="0" collapsed="false">
      <c r="A1782" s="4" t="s">
        <v>27</v>
      </c>
      <c r="B1782" s="4" t="s">
        <v>60</v>
      </c>
      <c r="C1782" s="4" t="n">
        <v>6</v>
      </c>
      <c r="D1782" s="4" t="n">
        <v>1</v>
      </c>
      <c r="E1782" s="4" t="s">
        <v>42</v>
      </c>
      <c r="F1782" s="3" t="s">
        <v>15</v>
      </c>
      <c r="G1782" s="3" t="s">
        <v>597</v>
      </c>
      <c r="H1782" s="3" t="s">
        <v>61</v>
      </c>
    </row>
    <row r="1783" customFormat="false" ht="15" hidden="false" customHeight="false" outlineLevel="0" collapsed="false">
      <c r="A1783" s="4" t="s">
        <v>27</v>
      </c>
      <c r="B1783" s="4" t="s">
        <v>60</v>
      </c>
      <c r="C1783" s="4" t="n">
        <v>7</v>
      </c>
      <c r="D1783" s="4" t="n">
        <v>1</v>
      </c>
      <c r="E1783" s="4" t="s">
        <v>39</v>
      </c>
      <c r="F1783" s="3" t="s">
        <v>164</v>
      </c>
      <c r="G1783" s="3" t="s">
        <v>604</v>
      </c>
      <c r="H1783" s="3" t="s">
        <v>408</v>
      </c>
    </row>
    <row r="1784" customFormat="false" ht="15" hidden="false" customHeight="false" outlineLevel="0" collapsed="false">
      <c r="A1784" s="4" t="s">
        <v>27</v>
      </c>
      <c r="B1784" s="4" t="s">
        <v>63</v>
      </c>
      <c r="C1784" s="4" t="n">
        <v>1</v>
      </c>
      <c r="D1784" s="4" t="n">
        <v>1</v>
      </c>
      <c r="E1784" s="4" t="s">
        <v>16</v>
      </c>
      <c r="F1784" s="3" t="s">
        <v>15</v>
      </c>
      <c r="G1784" s="3" t="s">
        <v>597</v>
      </c>
      <c r="H1784" s="3" t="s">
        <v>64</v>
      </c>
    </row>
    <row r="1785" customFormat="false" ht="15" hidden="false" customHeight="false" outlineLevel="0" collapsed="false">
      <c r="A1785" s="4" t="s">
        <v>27</v>
      </c>
      <c r="B1785" s="4" t="s">
        <v>63</v>
      </c>
      <c r="C1785" s="4" t="n">
        <v>2</v>
      </c>
      <c r="D1785" s="4" t="n">
        <v>1</v>
      </c>
      <c r="E1785" s="4" t="s">
        <v>21</v>
      </c>
      <c r="F1785" s="3" t="s">
        <v>272</v>
      </c>
      <c r="G1785" s="3" t="s">
        <v>596</v>
      </c>
      <c r="H1785" s="3" t="s">
        <v>271</v>
      </c>
    </row>
    <row r="1786" customFormat="false" ht="15" hidden="false" customHeight="false" outlineLevel="0" collapsed="false">
      <c r="A1786" s="4" t="s">
        <v>27</v>
      </c>
      <c r="B1786" s="4" t="s">
        <v>63</v>
      </c>
      <c r="C1786" s="4" t="n">
        <v>3</v>
      </c>
      <c r="D1786" s="4" t="n">
        <v>1</v>
      </c>
      <c r="E1786" s="4" t="s">
        <v>26</v>
      </c>
      <c r="F1786" s="3" t="s">
        <v>287</v>
      </c>
      <c r="G1786" s="3" t="s">
        <v>361</v>
      </c>
      <c r="H1786" s="3" t="s">
        <v>363</v>
      </c>
    </row>
    <row r="1787" customFormat="false" ht="15" hidden="false" customHeight="false" outlineLevel="0" collapsed="false">
      <c r="A1787" s="4" t="s">
        <v>27</v>
      </c>
      <c r="B1787" s="4" t="s">
        <v>63</v>
      </c>
      <c r="C1787" s="4" t="n">
        <v>4</v>
      </c>
      <c r="D1787" s="4" t="n">
        <v>1</v>
      </c>
      <c r="E1787" s="4" t="s">
        <v>34</v>
      </c>
      <c r="F1787" s="3" t="s">
        <v>130</v>
      </c>
      <c r="G1787" s="3" t="s">
        <v>123</v>
      </c>
      <c r="H1787" s="3" t="s">
        <v>129</v>
      </c>
    </row>
    <row r="1788" customFormat="false" ht="15" hidden="false" customHeight="false" outlineLevel="0" collapsed="false">
      <c r="A1788" s="4" t="s">
        <v>27</v>
      </c>
      <c r="B1788" s="4" t="s">
        <v>63</v>
      </c>
      <c r="C1788" s="4" t="n">
        <v>5</v>
      </c>
      <c r="D1788" s="4" t="n">
        <v>1</v>
      </c>
      <c r="E1788" s="4" t="s">
        <v>37</v>
      </c>
      <c r="F1788" s="3" t="s">
        <v>72</v>
      </c>
      <c r="G1788" s="3" t="s">
        <v>605</v>
      </c>
      <c r="H1788" s="3" t="s">
        <v>92</v>
      </c>
    </row>
    <row r="1789" customFormat="false" ht="15" hidden="false" customHeight="false" outlineLevel="0" collapsed="false">
      <c r="A1789" s="4" t="s">
        <v>27</v>
      </c>
      <c r="B1789" s="4" t="s">
        <v>63</v>
      </c>
      <c r="C1789" s="4" t="n">
        <v>6</v>
      </c>
      <c r="D1789" s="4" t="n">
        <v>2</v>
      </c>
      <c r="E1789" s="4" t="s">
        <v>536</v>
      </c>
      <c r="F1789" s="3" t="s">
        <v>164</v>
      </c>
      <c r="G1789" s="3" t="s">
        <v>604</v>
      </c>
      <c r="H1789" s="3" t="s">
        <v>86</v>
      </c>
    </row>
    <row r="1790" customFormat="false" ht="15" hidden="false" customHeight="false" outlineLevel="0" collapsed="false">
      <c r="A1790" s="4" t="s">
        <v>27</v>
      </c>
      <c r="B1790" s="4" t="s">
        <v>65</v>
      </c>
      <c r="C1790" s="4" t="n">
        <v>1</v>
      </c>
      <c r="D1790" s="4" t="n">
        <v>1</v>
      </c>
      <c r="E1790" s="4" t="s">
        <v>16</v>
      </c>
      <c r="F1790" s="3" t="s">
        <v>164</v>
      </c>
      <c r="G1790" s="3" t="s">
        <v>604</v>
      </c>
      <c r="H1790" s="3" t="s">
        <v>408</v>
      </c>
    </row>
    <row r="1791" customFormat="false" ht="15" hidden="false" customHeight="false" outlineLevel="0" collapsed="false">
      <c r="A1791" s="4" t="s">
        <v>27</v>
      </c>
      <c r="B1791" s="4" t="s">
        <v>65</v>
      </c>
      <c r="C1791" s="4" t="n">
        <v>2</v>
      </c>
      <c r="D1791" s="4" t="n">
        <v>1</v>
      </c>
      <c r="E1791" s="4" t="s">
        <v>21</v>
      </c>
      <c r="F1791" s="3" t="s">
        <v>15</v>
      </c>
      <c r="G1791" s="3" t="s">
        <v>597</v>
      </c>
      <c r="H1791" s="3" t="s">
        <v>64</v>
      </c>
    </row>
    <row r="1792" customFormat="false" ht="15" hidden="false" customHeight="false" outlineLevel="0" collapsed="false">
      <c r="A1792" s="4" t="s">
        <v>27</v>
      </c>
      <c r="B1792" s="4" t="s">
        <v>65</v>
      </c>
      <c r="C1792" s="4" t="n">
        <v>3</v>
      </c>
      <c r="D1792" s="4" t="n">
        <v>1</v>
      </c>
      <c r="E1792" s="4" t="s">
        <v>26</v>
      </c>
      <c r="F1792" s="3" t="s">
        <v>72</v>
      </c>
      <c r="G1792" s="3" t="s">
        <v>605</v>
      </c>
      <c r="H1792" s="3" t="s">
        <v>95</v>
      </c>
    </row>
    <row r="1793" customFormat="false" ht="15" hidden="false" customHeight="false" outlineLevel="0" collapsed="false">
      <c r="A1793" s="4" t="s">
        <v>27</v>
      </c>
      <c r="B1793" s="4" t="s">
        <v>65</v>
      </c>
      <c r="C1793" s="4" t="n">
        <v>4</v>
      </c>
      <c r="D1793" s="4" t="n">
        <v>1</v>
      </c>
      <c r="E1793" s="4" t="s">
        <v>34</v>
      </c>
      <c r="F1793" s="3" t="s">
        <v>272</v>
      </c>
      <c r="G1793" s="3" t="s">
        <v>596</v>
      </c>
      <c r="H1793" s="3" t="s">
        <v>282</v>
      </c>
    </row>
    <row r="1794" customFormat="false" ht="15" hidden="false" customHeight="false" outlineLevel="0" collapsed="false">
      <c r="A1794" s="4" t="s">
        <v>27</v>
      </c>
      <c r="B1794" s="4" t="s">
        <v>65</v>
      </c>
      <c r="C1794" s="4" t="n">
        <v>5</v>
      </c>
      <c r="D1794" s="4" t="n">
        <v>1</v>
      </c>
      <c r="E1794" s="4" t="s">
        <v>37</v>
      </c>
      <c r="F1794" s="3" t="s">
        <v>36</v>
      </c>
      <c r="G1794" s="3" t="s">
        <v>601</v>
      </c>
      <c r="H1794" s="3" t="s">
        <v>131</v>
      </c>
    </row>
    <row r="1795" customFormat="false" ht="15" hidden="false" customHeight="false" outlineLevel="0" collapsed="false">
      <c r="A1795" s="4" t="s">
        <v>27</v>
      </c>
      <c r="B1795" s="4" t="s">
        <v>65</v>
      </c>
      <c r="C1795" s="4" t="n">
        <v>6</v>
      </c>
      <c r="D1795" s="4" t="n">
        <v>1</v>
      </c>
      <c r="E1795" s="4" t="s">
        <v>42</v>
      </c>
      <c r="F1795" s="3" t="s">
        <v>378</v>
      </c>
      <c r="G1795" s="3" t="s">
        <v>602</v>
      </c>
      <c r="H1795" s="3" t="s">
        <v>384</v>
      </c>
    </row>
    <row r="1796" customFormat="false" ht="15" hidden="false" customHeight="false" outlineLevel="0" collapsed="false">
      <c r="A1796" s="4" t="s">
        <v>27</v>
      </c>
      <c r="B1796" s="4" t="s">
        <v>65</v>
      </c>
      <c r="C1796" s="4" t="n">
        <v>7</v>
      </c>
      <c r="D1796" s="4" t="n">
        <v>1</v>
      </c>
      <c r="E1796" s="4" t="s">
        <v>39</v>
      </c>
      <c r="F1796" s="3" t="s">
        <v>130</v>
      </c>
      <c r="G1796" s="3" t="s">
        <v>123</v>
      </c>
      <c r="H1796" s="3" t="s">
        <v>129</v>
      </c>
    </row>
    <row r="1797" customFormat="false" ht="15" hidden="false" customHeight="false" outlineLevel="0" collapsed="false">
      <c r="A1797" s="4" t="s">
        <v>27</v>
      </c>
      <c r="B1797" s="4" t="s">
        <v>66</v>
      </c>
      <c r="C1797" s="4" t="n">
        <v>1</v>
      </c>
      <c r="D1797" s="4" t="n">
        <v>2</v>
      </c>
      <c r="E1797" s="4" t="s">
        <v>539</v>
      </c>
      <c r="F1797" s="3" t="s">
        <v>130</v>
      </c>
      <c r="G1797" s="3" t="s">
        <v>123</v>
      </c>
      <c r="H1797" s="3" t="s">
        <v>129</v>
      </c>
    </row>
    <row r="1798" customFormat="false" ht="15" hidden="false" customHeight="false" outlineLevel="0" collapsed="false">
      <c r="A1798" s="4" t="s">
        <v>27</v>
      </c>
      <c r="B1798" s="4" t="s">
        <v>66</v>
      </c>
      <c r="C1798" s="4" t="n">
        <v>3</v>
      </c>
      <c r="D1798" s="4" t="n">
        <v>1</v>
      </c>
      <c r="E1798" s="4" t="s">
        <v>26</v>
      </c>
      <c r="F1798" s="3" t="s">
        <v>15</v>
      </c>
      <c r="G1798" s="3" t="s">
        <v>597</v>
      </c>
      <c r="H1798" s="3" t="s">
        <v>67</v>
      </c>
    </row>
    <row r="1799" customFormat="false" ht="15" hidden="false" customHeight="false" outlineLevel="0" collapsed="false">
      <c r="A1799" s="4" t="s">
        <v>27</v>
      </c>
      <c r="B1799" s="4" t="s">
        <v>66</v>
      </c>
      <c r="C1799" s="4" t="n">
        <v>4</v>
      </c>
      <c r="D1799" s="4" t="n">
        <v>1</v>
      </c>
      <c r="E1799" s="4" t="s">
        <v>34</v>
      </c>
      <c r="F1799" s="3" t="s">
        <v>72</v>
      </c>
      <c r="G1799" s="3" t="s">
        <v>605</v>
      </c>
      <c r="H1799" s="3" t="s">
        <v>82</v>
      </c>
    </row>
    <row r="1800" customFormat="false" ht="15" hidden="false" customHeight="false" outlineLevel="0" collapsed="false">
      <c r="A1800" s="4" t="s">
        <v>27</v>
      </c>
      <c r="B1800" s="4" t="s">
        <v>66</v>
      </c>
      <c r="C1800" s="4" t="n">
        <v>5</v>
      </c>
      <c r="D1800" s="4" t="n">
        <v>1</v>
      </c>
      <c r="E1800" s="4" t="s">
        <v>37</v>
      </c>
      <c r="F1800" s="3" t="s">
        <v>287</v>
      </c>
      <c r="G1800" s="3" t="s">
        <v>361</v>
      </c>
      <c r="H1800" s="3" t="s">
        <v>363</v>
      </c>
    </row>
    <row r="1801" customFormat="false" ht="15" hidden="false" customHeight="false" outlineLevel="0" collapsed="false">
      <c r="A1801" s="4" t="s">
        <v>27</v>
      </c>
      <c r="B1801" s="4" t="s">
        <v>66</v>
      </c>
      <c r="C1801" s="4" t="n">
        <v>6</v>
      </c>
      <c r="D1801" s="4" t="n">
        <v>1</v>
      </c>
      <c r="E1801" s="4" t="s">
        <v>42</v>
      </c>
      <c r="F1801" s="3" t="s">
        <v>378</v>
      </c>
      <c r="G1801" s="3" t="s">
        <v>600</v>
      </c>
      <c r="H1801" s="3" t="s">
        <v>385</v>
      </c>
    </row>
    <row r="1802" customFormat="false" ht="15" hidden="false" customHeight="false" outlineLevel="0" collapsed="false">
      <c r="A1802" s="4" t="s">
        <v>27</v>
      </c>
      <c r="B1802" s="4" t="s">
        <v>66</v>
      </c>
      <c r="C1802" s="4" t="n">
        <v>7</v>
      </c>
      <c r="D1802" s="4" t="n">
        <v>1</v>
      </c>
      <c r="E1802" s="4" t="s">
        <v>39</v>
      </c>
      <c r="F1802" s="3" t="s">
        <v>164</v>
      </c>
      <c r="G1802" s="3" t="s">
        <v>604</v>
      </c>
      <c r="H1802" s="3" t="s">
        <v>413</v>
      </c>
    </row>
    <row r="1803" customFormat="false" ht="15" hidden="false" customHeight="false" outlineLevel="0" collapsed="false">
      <c r="A1803" s="4" t="s">
        <v>24</v>
      </c>
      <c r="B1803" s="4" t="s">
        <v>12</v>
      </c>
      <c r="C1803" s="4" t="n">
        <v>1</v>
      </c>
      <c r="D1803" s="4" t="n">
        <v>1</v>
      </c>
      <c r="E1803" s="4" t="s">
        <v>16</v>
      </c>
      <c r="F1803" s="3" t="s">
        <v>164</v>
      </c>
      <c r="G1803" s="3" t="s">
        <v>604</v>
      </c>
      <c r="H1803" s="3" t="s">
        <v>402</v>
      </c>
    </row>
    <row r="1804" customFormat="false" ht="15" hidden="false" customHeight="false" outlineLevel="0" collapsed="false">
      <c r="A1804" s="4" t="s">
        <v>24</v>
      </c>
      <c r="B1804" s="4" t="s">
        <v>12</v>
      </c>
      <c r="C1804" s="4" t="n">
        <v>2</v>
      </c>
      <c r="D1804" s="4" t="n">
        <v>1</v>
      </c>
      <c r="E1804" s="4" t="s">
        <v>21</v>
      </c>
      <c r="F1804" s="3" t="s">
        <v>272</v>
      </c>
      <c r="G1804" s="3" t="s">
        <v>596</v>
      </c>
      <c r="H1804" s="3" t="s">
        <v>271</v>
      </c>
    </row>
    <row r="1805" customFormat="false" ht="15" hidden="false" customHeight="false" outlineLevel="0" collapsed="false">
      <c r="A1805" s="4" t="s">
        <v>24</v>
      </c>
      <c r="B1805" s="4" t="s">
        <v>12</v>
      </c>
      <c r="C1805" s="4" t="n">
        <v>3</v>
      </c>
      <c r="D1805" s="4" t="n">
        <v>1</v>
      </c>
      <c r="E1805" s="4" t="s">
        <v>26</v>
      </c>
      <c r="F1805" s="3" t="s">
        <v>15</v>
      </c>
      <c r="G1805" s="3" t="s">
        <v>597</v>
      </c>
      <c r="H1805" s="3" t="s">
        <v>25</v>
      </c>
    </row>
    <row r="1806" customFormat="false" ht="15" hidden="false" customHeight="false" outlineLevel="0" collapsed="false">
      <c r="A1806" s="4" t="s">
        <v>24</v>
      </c>
      <c r="B1806" s="4" t="s">
        <v>12</v>
      </c>
      <c r="C1806" s="4" t="n">
        <v>4</v>
      </c>
      <c r="D1806" s="4" t="n">
        <v>2</v>
      </c>
      <c r="E1806" s="4" t="s">
        <v>533</v>
      </c>
      <c r="F1806" s="3" t="s">
        <v>72</v>
      </c>
      <c r="G1806" s="3" t="s">
        <v>605</v>
      </c>
      <c r="H1806" s="3" t="s">
        <v>75</v>
      </c>
    </row>
    <row r="1807" customFormat="false" ht="15" hidden="false" customHeight="false" outlineLevel="0" collapsed="false">
      <c r="A1807" s="4" t="s">
        <v>24</v>
      </c>
      <c r="B1807" s="4" t="s">
        <v>12</v>
      </c>
      <c r="C1807" s="4" t="n">
        <v>6</v>
      </c>
      <c r="D1807" s="4" t="n">
        <v>1</v>
      </c>
      <c r="E1807" s="4" t="s">
        <v>42</v>
      </c>
      <c r="F1807" s="3" t="s">
        <v>287</v>
      </c>
      <c r="G1807" s="3" t="s">
        <v>514</v>
      </c>
      <c r="H1807" s="3" t="s">
        <v>485</v>
      </c>
    </row>
    <row r="1808" customFormat="false" ht="15" hidden="false" customHeight="false" outlineLevel="0" collapsed="false">
      <c r="A1808" s="4" t="s">
        <v>24</v>
      </c>
      <c r="B1808" s="4" t="s">
        <v>12</v>
      </c>
      <c r="C1808" s="4" t="n">
        <v>7</v>
      </c>
      <c r="D1808" s="4" t="n">
        <v>1</v>
      </c>
      <c r="E1808" s="4" t="s">
        <v>39</v>
      </c>
      <c r="F1808" s="3" t="s">
        <v>486</v>
      </c>
      <c r="G1808" s="3" t="s">
        <v>484</v>
      </c>
      <c r="H1808" s="3" t="s">
        <v>485</v>
      </c>
    </row>
    <row r="1809" customFormat="false" ht="15" hidden="false" customHeight="false" outlineLevel="0" collapsed="false">
      <c r="A1809" s="4" t="s">
        <v>24</v>
      </c>
      <c r="B1809" s="4" t="s">
        <v>31</v>
      </c>
      <c r="C1809" s="4" t="n">
        <v>1</v>
      </c>
      <c r="D1809" s="4" t="n">
        <v>1</v>
      </c>
      <c r="E1809" s="4" t="s">
        <v>16</v>
      </c>
      <c r="F1809" s="3" t="s">
        <v>272</v>
      </c>
      <c r="G1809" s="3" t="s">
        <v>596</v>
      </c>
      <c r="H1809" s="3" t="s">
        <v>274</v>
      </c>
    </row>
    <row r="1810" customFormat="false" ht="15" hidden="false" customHeight="false" outlineLevel="0" collapsed="false">
      <c r="A1810" s="4" t="s">
        <v>24</v>
      </c>
      <c r="B1810" s="4" t="s">
        <v>31</v>
      </c>
      <c r="C1810" s="4" t="n">
        <v>2</v>
      </c>
      <c r="D1810" s="4" t="n">
        <v>1</v>
      </c>
      <c r="E1810" s="4" t="s">
        <v>21</v>
      </c>
      <c r="F1810" s="3" t="s">
        <v>378</v>
      </c>
      <c r="G1810" s="3" t="s">
        <v>600</v>
      </c>
      <c r="H1810" s="3" t="s">
        <v>377</v>
      </c>
    </row>
    <row r="1811" customFormat="false" ht="15" hidden="false" customHeight="false" outlineLevel="0" collapsed="false">
      <c r="A1811" s="4" t="s">
        <v>24</v>
      </c>
      <c r="B1811" s="4" t="s">
        <v>31</v>
      </c>
      <c r="C1811" s="4" t="n">
        <v>3</v>
      </c>
      <c r="D1811" s="4" t="n">
        <v>1</v>
      </c>
      <c r="E1811" s="4" t="s">
        <v>26</v>
      </c>
      <c r="F1811" s="3" t="s">
        <v>287</v>
      </c>
      <c r="G1811" s="3" t="s">
        <v>514</v>
      </c>
      <c r="H1811" s="3" t="s">
        <v>485</v>
      </c>
    </row>
    <row r="1812" customFormat="false" ht="15" hidden="false" customHeight="false" outlineLevel="0" collapsed="false">
      <c r="A1812" s="4" t="s">
        <v>24</v>
      </c>
      <c r="B1812" s="4" t="s">
        <v>31</v>
      </c>
      <c r="C1812" s="4" t="n">
        <v>4</v>
      </c>
      <c r="D1812" s="4" t="n">
        <v>1</v>
      </c>
      <c r="E1812" s="4" t="s">
        <v>34</v>
      </c>
      <c r="F1812" s="3" t="s">
        <v>164</v>
      </c>
      <c r="G1812" s="3" t="s">
        <v>604</v>
      </c>
      <c r="H1812" s="3" t="s">
        <v>403</v>
      </c>
    </row>
    <row r="1813" customFormat="false" ht="15" hidden="false" customHeight="false" outlineLevel="0" collapsed="false">
      <c r="A1813" s="4" t="s">
        <v>24</v>
      </c>
      <c r="B1813" s="4" t="s">
        <v>31</v>
      </c>
      <c r="C1813" s="4" t="n">
        <v>5</v>
      </c>
      <c r="D1813" s="4" t="n">
        <v>1</v>
      </c>
      <c r="E1813" s="4" t="s">
        <v>37</v>
      </c>
      <c r="F1813" s="3" t="s">
        <v>36</v>
      </c>
      <c r="G1813" s="3" t="s">
        <v>601</v>
      </c>
      <c r="H1813" s="3" t="s">
        <v>131</v>
      </c>
    </row>
    <row r="1814" customFormat="false" ht="15" hidden="false" customHeight="false" outlineLevel="0" collapsed="false">
      <c r="A1814" s="4" t="s">
        <v>24</v>
      </c>
      <c r="B1814" s="4" t="s">
        <v>31</v>
      </c>
      <c r="C1814" s="4" t="n">
        <v>6</v>
      </c>
      <c r="D1814" s="4" t="n">
        <v>1</v>
      </c>
      <c r="E1814" s="4" t="s">
        <v>42</v>
      </c>
      <c r="F1814" s="3" t="s">
        <v>72</v>
      </c>
      <c r="G1814" s="3" t="s">
        <v>605</v>
      </c>
      <c r="H1814" s="3" t="s">
        <v>82</v>
      </c>
    </row>
    <row r="1815" customFormat="false" ht="15" hidden="false" customHeight="false" outlineLevel="0" collapsed="false">
      <c r="A1815" s="4" t="s">
        <v>24</v>
      </c>
      <c r="B1815" s="4" t="s">
        <v>31</v>
      </c>
      <c r="C1815" s="4" t="n">
        <v>7</v>
      </c>
      <c r="D1815" s="4" t="n">
        <v>1</v>
      </c>
      <c r="E1815" s="4" t="s">
        <v>39</v>
      </c>
      <c r="F1815" s="3" t="s">
        <v>15</v>
      </c>
      <c r="G1815" s="3" t="s">
        <v>597</v>
      </c>
      <c r="H1815" s="3" t="s">
        <v>38</v>
      </c>
    </row>
    <row r="1816" customFormat="false" ht="15" hidden="false" customHeight="false" outlineLevel="0" collapsed="false">
      <c r="A1816" s="4" t="s">
        <v>24</v>
      </c>
      <c r="B1816" s="4" t="s">
        <v>40</v>
      </c>
      <c r="C1816" s="4" t="n">
        <v>1</v>
      </c>
      <c r="D1816" s="4" t="n">
        <v>1</v>
      </c>
      <c r="E1816" s="4" t="s">
        <v>16</v>
      </c>
      <c r="F1816" s="3" t="s">
        <v>486</v>
      </c>
      <c r="G1816" s="3" t="s">
        <v>484</v>
      </c>
      <c r="H1816" s="3" t="s">
        <v>485</v>
      </c>
    </row>
    <row r="1817" customFormat="false" ht="15" hidden="false" customHeight="false" outlineLevel="0" collapsed="false">
      <c r="A1817" s="4" t="s">
        <v>24</v>
      </c>
      <c r="B1817" s="4" t="s">
        <v>40</v>
      </c>
      <c r="C1817" s="4" t="n">
        <v>2</v>
      </c>
      <c r="D1817" s="4" t="n">
        <v>1</v>
      </c>
      <c r="E1817" s="4" t="s">
        <v>21</v>
      </c>
      <c r="F1817" s="3" t="s">
        <v>15</v>
      </c>
      <c r="G1817" s="3" t="s">
        <v>597</v>
      </c>
      <c r="H1817" s="3" t="s">
        <v>41</v>
      </c>
    </row>
    <row r="1818" customFormat="false" ht="15" hidden="false" customHeight="false" outlineLevel="0" collapsed="false">
      <c r="A1818" s="4" t="s">
        <v>24</v>
      </c>
      <c r="B1818" s="4" t="s">
        <v>40</v>
      </c>
      <c r="C1818" s="4" t="n">
        <v>3</v>
      </c>
      <c r="D1818" s="4" t="n">
        <v>1</v>
      </c>
      <c r="E1818" s="4" t="s">
        <v>26</v>
      </c>
      <c r="F1818" s="3" t="s">
        <v>272</v>
      </c>
      <c r="G1818" s="3" t="s">
        <v>596</v>
      </c>
      <c r="H1818" s="3" t="s">
        <v>275</v>
      </c>
    </row>
    <row r="1819" customFormat="false" ht="15" hidden="false" customHeight="false" outlineLevel="0" collapsed="false">
      <c r="A1819" s="4" t="s">
        <v>24</v>
      </c>
      <c r="B1819" s="4" t="s">
        <v>40</v>
      </c>
      <c r="C1819" s="4" t="n">
        <v>4</v>
      </c>
      <c r="D1819" s="4" t="n">
        <v>1</v>
      </c>
      <c r="E1819" s="4" t="s">
        <v>34</v>
      </c>
      <c r="F1819" s="3" t="s">
        <v>378</v>
      </c>
      <c r="G1819" s="3" t="s">
        <v>602</v>
      </c>
      <c r="H1819" s="3" t="s">
        <v>379</v>
      </c>
    </row>
    <row r="1820" customFormat="false" ht="15" hidden="false" customHeight="false" outlineLevel="0" collapsed="false">
      <c r="A1820" s="4" t="s">
        <v>24</v>
      </c>
      <c r="B1820" s="4" t="s">
        <v>40</v>
      </c>
      <c r="C1820" s="4" t="n">
        <v>5</v>
      </c>
      <c r="D1820" s="4" t="n">
        <v>1</v>
      </c>
      <c r="E1820" s="4" t="s">
        <v>37</v>
      </c>
      <c r="F1820" s="3" t="s">
        <v>164</v>
      </c>
      <c r="G1820" s="3" t="s">
        <v>604</v>
      </c>
      <c r="H1820" s="3" t="s">
        <v>405</v>
      </c>
    </row>
    <row r="1821" customFormat="false" ht="15" hidden="false" customHeight="false" outlineLevel="0" collapsed="false">
      <c r="A1821" s="4" t="s">
        <v>24</v>
      </c>
      <c r="B1821" s="4" t="s">
        <v>40</v>
      </c>
      <c r="C1821" s="4" t="n">
        <v>6</v>
      </c>
      <c r="D1821" s="4" t="n">
        <v>1</v>
      </c>
      <c r="E1821" s="4" t="s">
        <v>42</v>
      </c>
      <c r="F1821" s="3" t="s">
        <v>72</v>
      </c>
      <c r="G1821" s="3" t="s">
        <v>605</v>
      </c>
      <c r="H1821" s="3" t="s">
        <v>82</v>
      </c>
    </row>
    <row r="1822" customFormat="false" ht="15" hidden="false" customHeight="false" outlineLevel="0" collapsed="false">
      <c r="A1822" s="4" t="s">
        <v>24</v>
      </c>
      <c r="B1822" s="4" t="s">
        <v>40</v>
      </c>
      <c r="C1822" s="4" t="n">
        <v>7</v>
      </c>
      <c r="D1822" s="4" t="n">
        <v>1</v>
      </c>
      <c r="E1822" s="4" t="s">
        <v>39</v>
      </c>
      <c r="F1822" s="3" t="s">
        <v>287</v>
      </c>
      <c r="G1822" s="3" t="s">
        <v>514</v>
      </c>
      <c r="H1822" s="3" t="s">
        <v>485</v>
      </c>
    </row>
    <row r="1823" customFormat="false" ht="15" hidden="false" customHeight="false" outlineLevel="0" collapsed="false">
      <c r="A1823" s="4" t="s">
        <v>24</v>
      </c>
      <c r="B1823" s="4" t="s">
        <v>44</v>
      </c>
      <c r="C1823" s="4" t="n">
        <v>1</v>
      </c>
      <c r="D1823" s="4" t="n">
        <v>1</v>
      </c>
      <c r="E1823" s="4" t="s">
        <v>16</v>
      </c>
      <c r="F1823" s="3" t="s">
        <v>378</v>
      </c>
      <c r="G1823" s="3" t="s">
        <v>602</v>
      </c>
      <c r="H1823" s="3" t="s">
        <v>380</v>
      </c>
    </row>
    <row r="1824" customFormat="false" ht="15" hidden="false" customHeight="false" outlineLevel="0" collapsed="false">
      <c r="A1824" s="4" t="s">
        <v>24</v>
      </c>
      <c r="B1824" s="4" t="s">
        <v>44</v>
      </c>
      <c r="C1824" s="4" t="n">
        <v>2</v>
      </c>
      <c r="D1824" s="4" t="n">
        <v>1</v>
      </c>
      <c r="E1824" s="4" t="s">
        <v>21</v>
      </c>
      <c r="F1824" s="3" t="s">
        <v>15</v>
      </c>
      <c r="G1824" s="3" t="s">
        <v>597</v>
      </c>
      <c r="H1824" s="3" t="s">
        <v>45</v>
      </c>
    </row>
    <row r="1825" customFormat="false" ht="15" hidden="false" customHeight="false" outlineLevel="0" collapsed="false">
      <c r="A1825" s="4" t="s">
        <v>24</v>
      </c>
      <c r="B1825" s="4" t="s">
        <v>44</v>
      </c>
      <c r="C1825" s="4" t="n">
        <v>3</v>
      </c>
      <c r="D1825" s="4" t="n">
        <v>2</v>
      </c>
      <c r="E1825" s="4" t="s">
        <v>542</v>
      </c>
      <c r="F1825" s="3" t="s">
        <v>388</v>
      </c>
      <c r="G1825" s="3" t="s">
        <v>590</v>
      </c>
      <c r="H1825" s="3" t="s">
        <v>416</v>
      </c>
    </row>
    <row r="1826" customFormat="false" ht="15" hidden="false" customHeight="false" outlineLevel="0" collapsed="false">
      <c r="A1826" s="4" t="s">
        <v>24</v>
      </c>
      <c r="B1826" s="4" t="s">
        <v>44</v>
      </c>
      <c r="C1826" s="4" t="n">
        <v>5</v>
      </c>
      <c r="D1826" s="4" t="n">
        <v>1</v>
      </c>
      <c r="E1826" s="4" t="s">
        <v>37</v>
      </c>
      <c r="F1826" s="3" t="s">
        <v>36</v>
      </c>
      <c r="G1826" s="3" t="s">
        <v>601</v>
      </c>
      <c r="H1826" s="3" t="s">
        <v>131</v>
      </c>
    </row>
    <row r="1827" customFormat="false" ht="15" hidden="false" customHeight="false" outlineLevel="0" collapsed="false">
      <c r="A1827" s="4" t="s">
        <v>24</v>
      </c>
      <c r="B1827" s="4" t="s">
        <v>44</v>
      </c>
      <c r="C1827" s="4" t="n">
        <v>6</v>
      </c>
      <c r="D1827" s="4" t="n">
        <v>1</v>
      </c>
      <c r="E1827" s="4" t="s">
        <v>42</v>
      </c>
      <c r="F1827" s="3" t="s">
        <v>164</v>
      </c>
      <c r="G1827" s="3" t="s">
        <v>604</v>
      </c>
      <c r="H1827" s="3" t="s">
        <v>407</v>
      </c>
    </row>
    <row r="1828" customFormat="false" ht="15" hidden="false" customHeight="false" outlineLevel="0" collapsed="false">
      <c r="A1828" s="4" t="s">
        <v>24</v>
      </c>
      <c r="B1828" s="4" t="s">
        <v>44</v>
      </c>
      <c r="C1828" s="4" t="n">
        <v>7</v>
      </c>
      <c r="D1828" s="4" t="n">
        <v>1</v>
      </c>
      <c r="E1828" s="4" t="s">
        <v>39</v>
      </c>
      <c r="F1828" s="3" t="s">
        <v>72</v>
      </c>
      <c r="G1828" s="3" t="s">
        <v>605</v>
      </c>
      <c r="H1828" s="3" t="s">
        <v>82</v>
      </c>
    </row>
    <row r="1829" customFormat="false" ht="15" hidden="false" customHeight="false" outlineLevel="0" collapsed="false">
      <c r="A1829" s="4" t="s">
        <v>24</v>
      </c>
      <c r="B1829" s="4" t="s">
        <v>47</v>
      </c>
      <c r="C1829" s="4" t="n">
        <v>1</v>
      </c>
      <c r="D1829" s="4" t="n">
        <v>1</v>
      </c>
      <c r="E1829" s="4" t="s">
        <v>16</v>
      </c>
      <c r="F1829" s="3" t="s">
        <v>272</v>
      </c>
      <c r="G1829" s="3" t="s">
        <v>596</v>
      </c>
      <c r="H1829" s="3" t="s">
        <v>277</v>
      </c>
    </row>
    <row r="1830" customFormat="false" ht="15" hidden="false" customHeight="false" outlineLevel="0" collapsed="false">
      <c r="A1830" s="4" t="s">
        <v>24</v>
      </c>
      <c r="B1830" s="4" t="s">
        <v>47</v>
      </c>
      <c r="C1830" s="4" t="n">
        <v>2</v>
      </c>
      <c r="D1830" s="4" t="n">
        <v>1</v>
      </c>
      <c r="E1830" s="4" t="s">
        <v>21</v>
      </c>
      <c r="F1830" s="3" t="s">
        <v>72</v>
      </c>
      <c r="G1830" s="3" t="s">
        <v>605</v>
      </c>
      <c r="H1830" s="3" t="s">
        <v>86</v>
      </c>
    </row>
    <row r="1831" customFormat="false" ht="15" hidden="false" customHeight="false" outlineLevel="0" collapsed="false">
      <c r="A1831" s="4" t="s">
        <v>24</v>
      </c>
      <c r="B1831" s="4" t="s">
        <v>47</v>
      </c>
      <c r="C1831" s="4" t="n">
        <v>3</v>
      </c>
      <c r="D1831" s="4" t="n">
        <v>2</v>
      </c>
      <c r="E1831" s="4" t="s">
        <v>542</v>
      </c>
      <c r="F1831" s="3" t="s">
        <v>378</v>
      </c>
      <c r="G1831" s="3" t="s">
        <v>600</v>
      </c>
      <c r="H1831" s="3" t="s">
        <v>381</v>
      </c>
    </row>
    <row r="1832" customFormat="false" ht="15" hidden="false" customHeight="false" outlineLevel="0" collapsed="false">
      <c r="A1832" s="4" t="s">
        <v>24</v>
      </c>
      <c r="B1832" s="4" t="s">
        <v>47</v>
      </c>
      <c r="C1832" s="4" t="n">
        <v>5</v>
      </c>
      <c r="D1832" s="4" t="n">
        <v>1</v>
      </c>
      <c r="E1832" s="4" t="s">
        <v>37</v>
      </c>
      <c r="F1832" s="3" t="s">
        <v>15</v>
      </c>
      <c r="G1832" s="3" t="s">
        <v>597</v>
      </c>
      <c r="H1832" s="3" t="s">
        <v>49</v>
      </c>
    </row>
    <row r="1833" customFormat="false" ht="15" hidden="false" customHeight="false" outlineLevel="0" collapsed="false">
      <c r="A1833" s="4" t="s">
        <v>24</v>
      </c>
      <c r="B1833" s="4" t="s">
        <v>47</v>
      </c>
      <c r="C1833" s="4" t="n">
        <v>6</v>
      </c>
      <c r="D1833" s="4" t="n">
        <v>1</v>
      </c>
      <c r="E1833" s="4" t="s">
        <v>42</v>
      </c>
      <c r="F1833" s="3" t="s">
        <v>164</v>
      </c>
      <c r="G1833" s="3" t="s">
        <v>604</v>
      </c>
      <c r="H1833" s="3" t="s">
        <v>408</v>
      </c>
    </row>
    <row r="1834" customFormat="false" ht="15" hidden="false" customHeight="false" outlineLevel="0" collapsed="false">
      <c r="A1834" s="4" t="s">
        <v>24</v>
      </c>
      <c r="B1834" s="4" t="s">
        <v>47</v>
      </c>
      <c r="C1834" s="4" t="n">
        <v>7</v>
      </c>
      <c r="D1834" s="4" t="n">
        <v>1</v>
      </c>
      <c r="E1834" s="4" t="s">
        <v>39</v>
      </c>
      <c r="F1834" s="3" t="s">
        <v>486</v>
      </c>
      <c r="G1834" s="3" t="s">
        <v>484</v>
      </c>
      <c r="H1834" s="3" t="s">
        <v>485</v>
      </c>
    </row>
    <row r="1835" customFormat="false" ht="15" hidden="false" customHeight="false" outlineLevel="0" collapsed="false">
      <c r="A1835" s="4" t="s">
        <v>24</v>
      </c>
      <c r="B1835" s="4" t="s">
        <v>50</v>
      </c>
      <c r="C1835" s="4" t="n">
        <v>1</v>
      </c>
      <c r="D1835" s="4" t="n">
        <v>1</v>
      </c>
      <c r="E1835" s="4" t="s">
        <v>16</v>
      </c>
      <c r="F1835" s="3" t="s">
        <v>164</v>
      </c>
      <c r="G1835" s="3" t="s">
        <v>604</v>
      </c>
      <c r="H1835" s="3" t="s">
        <v>409</v>
      </c>
    </row>
    <row r="1836" customFormat="false" ht="15" hidden="false" customHeight="false" outlineLevel="0" collapsed="false">
      <c r="A1836" s="4" t="s">
        <v>24</v>
      </c>
      <c r="B1836" s="4" t="s">
        <v>50</v>
      </c>
      <c r="C1836" s="4" t="n">
        <v>2</v>
      </c>
      <c r="D1836" s="4" t="n">
        <v>1</v>
      </c>
      <c r="E1836" s="4" t="s">
        <v>21</v>
      </c>
      <c r="F1836" s="3" t="s">
        <v>486</v>
      </c>
      <c r="G1836" s="3" t="s">
        <v>484</v>
      </c>
      <c r="H1836" s="3" t="s">
        <v>485</v>
      </c>
    </row>
    <row r="1837" customFormat="false" ht="15" hidden="false" customHeight="false" outlineLevel="0" collapsed="false">
      <c r="A1837" s="4" t="s">
        <v>24</v>
      </c>
      <c r="B1837" s="4" t="s">
        <v>50</v>
      </c>
      <c r="C1837" s="4" t="n">
        <v>3</v>
      </c>
      <c r="D1837" s="4" t="n">
        <v>1</v>
      </c>
      <c r="E1837" s="4" t="s">
        <v>26</v>
      </c>
      <c r="F1837" s="3" t="s">
        <v>15</v>
      </c>
      <c r="G1837" s="3" t="s">
        <v>597</v>
      </c>
      <c r="H1837" s="3" t="s">
        <v>41</v>
      </c>
    </row>
    <row r="1838" customFormat="false" ht="15" hidden="false" customHeight="false" outlineLevel="0" collapsed="false">
      <c r="A1838" s="4" t="s">
        <v>24</v>
      </c>
      <c r="B1838" s="4" t="s">
        <v>50</v>
      </c>
      <c r="C1838" s="4" t="n">
        <v>4</v>
      </c>
      <c r="D1838" s="4" t="n">
        <v>2</v>
      </c>
      <c r="E1838" s="4" t="s">
        <v>533</v>
      </c>
      <c r="F1838" s="3" t="s">
        <v>272</v>
      </c>
      <c r="G1838" s="3" t="s">
        <v>596</v>
      </c>
      <c r="H1838" s="3" t="s">
        <v>278</v>
      </c>
    </row>
    <row r="1839" customFormat="false" ht="15" hidden="false" customHeight="false" outlineLevel="0" collapsed="false">
      <c r="A1839" s="4" t="s">
        <v>24</v>
      </c>
      <c r="B1839" s="4" t="s">
        <v>50</v>
      </c>
      <c r="C1839" s="4" t="n">
        <v>6</v>
      </c>
      <c r="D1839" s="4" t="n">
        <v>1</v>
      </c>
      <c r="E1839" s="4" t="s">
        <v>42</v>
      </c>
      <c r="F1839" s="3" t="s">
        <v>72</v>
      </c>
      <c r="G1839" s="3" t="s">
        <v>605</v>
      </c>
      <c r="H1839" s="3" t="s">
        <v>89</v>
      </c>
    </row>
    <row r="1840" customFormat="false" ht="15" hidden="false" customHeight="false" outlineLevel="0" collapsed="false">
      <c r="A1840" s="4" t="s">
        <v>24</v>
      </c>
      <c r="B1840" s="4" t="s">
        <v>50</v>
      </c>
      <c r="C1840" s="4" t="n">
        <v>7</v>
      </c>
      <c r="D1840" s="4" t="n">
        <v>1</v>
      </c>
      <c r="E1840" s="4" t="s">
        <v>39</v>
      </c>
      <c r="F1840" s="3" t="s">
        <v>378</v>
      </c>
      <c r="G1840" s="3" t="s">
        <v>600</v>
      </c>
      <c r="H1840" s="3" t="s">
        <v>382</v>
      </c>
    </row>
    <row r="1841" customFormat="false" ht="15" hidden="false" customHeight="false" outlineLevel="0" collapsed="false">
      <c r="A1841" s="4" t="s">
        <v>24</v>
      </c>
      <c r="B1841" s="4" t="s">
        <v>60</v>
      </c>
      <c r="C1841" s="4" t="n">
        <v>1</v>
      </c>
      <c r="D1841" s="4" t="n">
        <v>1</v>
      </c>
      <c r="E1841" s="4" t="s">
        <v>16</v>
      </c>
      <c r="F1841" s="3" t="s">
        <v>486</v>
      </c>
      <c r="G1841" s="3" t="s">
        <v>484</v>
      </c>
      <c r="H1841" s="3" t="s">
        <v>485</v>
      </c>
    </row>
    <row r="1842" customFormat="false" ht="15" hidden="false" customHeight="false" outlineLevel="0" collapsed="false">
      <c r="A1842" s="4" t="s">
        <v>24</v>
      </c>
      <c r="B1842" s="4" t="s">
        <v>60</v>
      </c>
      <c r="C1842" s="4" t="n">
        <v>2</v>
      </c>
      <c r="D1842" s="4" t="n">
        <v>1</v>
      </c>
      <c r="E1842" s="4" t="s">
        <v>21</v>
      </c>
      <c r="F1842" s="3" t="s">
        <v>272</v>
      </c>
      <c r="G1842" s="3" t="s">
        <v>596</v>
      </c>
      <c r="H1842" s="3" t="s">
        <v>280</v>
      </c>
    </row>
    <row r="1843" customFormat="false" ht="15" hidden="false" customHeight="false" outlineLevel="0" collapsed="false">
      <c r="A1843" s="4" t="s">
        <v>24</v>
      </c>
      <c r="B1843" s="4" t="s">
        <v>60</v>
      </c>
      <c r="C1843" s="4" t="n">
        <v>3</v>
      </c>
      <c r="D1843" s="4" t="n">
        <v>1</v>
      </c>
      <c r="E1843" s="4" t="s">
        <v>26</v>
      </c>
      <c r="F1843" s="3" t="s">
        <v>378</v>
      </c>
      <c r="G1843" s="3" t="s">
        <v>600</v>
      </c>
      <c r="H1843" s="3" t="s">
        <v>383</v>
      </c>
    </row>
    <row r="1844" customFormat="false" ht="15" hidden="false" customHeight="false" outlineLevel="0" collapsed="false">
      <c r="A1844" s="4" t="s">
        <v>24</v>
      </c>
      <c r="B1844" s="4" t="s">
        <v>60</v>
      </c>
      <c r="C1844" s="4" t="n">
        <v>4</v>
      </c>
      <c r="D1844" s="4" t="n">
        <v>1</v>
      </c>
      <c r="E1844" s="4" t="s">
        <v>34</v>
      </c>
      <c r="F1844" s="3" t="s">
        <v>72</v>
      </c>
      <c r="G1844" s="3" t="s">
        <v>605</v>
      </c>
      <c r="H1844" s="3" t="s">
        <v>92</v>
      </c>
    </row>
    <row r="1845" customFormat="false" ht="15" hidden="false" customHeight="false" outlineLevel="0" collapsed="false">
      <c r="A1845" s="4" t="s">
        <v>24</v>
      </c>
      <c r="B1845" s="4" t="s">
        <v>60</v>
      </c>
      <c r="C1845" s="4" t="n">
        <v>5</v>
      </c>
      <c r="D1845" s="4" t="n">
        <v>1</v>
      </c>
      <c r="E1845" s="4" t="s">
        <v>37</v>
      </c>
      <c r="F1845" s="3" t="s">
        <v>36</v>
      </c>
      <c r="G1845" s="3" t="s">
        <v>601</v>
      </c>
      <c r="H1845" s="3" t="s">
        <v>131</v>
      </c>
    </row>
    <row r="1846" customFormat="false" ht="15" hidden="false" customHeight="false" outlineLevel="0" collapsed="false">
      <c r="A1846" s="4" t="s">
        <v>24</v>
      </c>
      <c r="B1846" s="4" t="s">
        <v>60</v>
      </c>
      <c r="C1846" s="4" t="n">
        <v>6</v>
      </c>
      <c r="D1846" s="4" t="n">
        <v>1</v>
      </c>
      <c r="E1846" s="4" t="s">
        <v>42</v>
      </c>
      <c r="F1846" s="3" t="s">
        <v>15</v>
      </c>
      <c r="G1846" s="3" t="s">
        <v>597</v>
      </c>
      <c r="H1846" s="3" t="s">
        <v>61</v>
      </c>
    </row>
    <row r="1847" customFormat="false" ht="15" hidden="false" customHeight="false" outlineLevel="0" collapsed="false">
      <c r="A1847" s="4" t="s">
        <v>24</v>
      </c>
      <c r="B1847" s="4" t="s">
        <v>60</v>
      </c>
      <c r="C1847" s="4" t="n">
        <v>7</v>
      </c>
      <c r="D1847" s="4" t="n">
        <v>1</v>
      </c>
      <c r="E1847" s="4" t="s">
        <v>39</v>
      </c>
      <c r="F1847" s="3" t="s">
        <v>164</v>
      </c>
      <c r="G1847" s="3" t="s">
        <v>604</v>
      </c>
      <c r="H1847" s="3" t="s">
        <v>408</v>
      </c>
    </row>
    <row r="1848" customFormat="false" ht="15" hidden="false" customHeight="false" outlineLevel="0" collapsed="false">
      <c r="A1848" s="4" t="s">
        <v>24</v>
      </c>
      <c r="B1848" s="4" t="s">
        <v>63</v>
      </c>
      <c r="C1848" s="4" t="n">
        <v>1</v>
      </c>
      <c r="D1848" s="4" t="n">
        <v>1</v>
      </c>
      <c r="E1848" s="4" t="s">
        <v>16</v>
      </c>
      <c r="F1848" s="3" t="s">
        <v>15</v>
      </c>
      <c r="G1848" s="3" t="s">
        <v>597</v>
      </c>
      <c r="H1848" s="3" t="s">
        <v>64</v>
      </c>
    </row>
    <row r="1849" customFormat="false" ht="15" hidden="false" customHeight="false" outlineLevel="0" collapsed="false">
      <c r="A1849" s="4" t="s">
        <v>24</v>
      </c>
      <c r="B1849" s="4" t="s">
        <v>63</v>
      </c>
      <c r="C1849" s="4" t="n">
        <v>2</v>
      </c>
      <c r="D1849" s="4" t="n">
        <v>1</v>
      </c>
      <c r="E1849" s="4" t="s">
        <v>21</v>
      </c>
      <c r="F1849" s="3" t="s">
        <v>272</v>
      </c>
      <c r="G1849" s="3" t="s">
        <v>596</v>
      </c>
      <c r="H1849" s="3" t="s">
        <v>271</v>
      </c>
    </row>
    <row r="1850" customFormat="false" ht="15" hidden="false" customHeight="false" outlineLevel="0" collapsed="false">
      <c r="A1850" s="4" t="s">
        <v>24</v>
      </c>
      <c r="B1850" s="4" t="s">
        <v>63</v>
      </c>
      <c r="C1850" s="4" t="n">
        <v>3</v>
      </c>
      <c r="D1850" s="4" t="n">
        <v>1</v>
      </c>
      <c r="E1850" s="4" t="s">
        <v>26</v>
      </c>
      <c r="F1850" s="3" t="s">
        <v>287</v>
      </c>
      <c r="G1850" s="3" t="s">
        <v>514</v>
      </c>
      <c r="H1850" s="3" t="s">
        <v>485</v>
      </c>
    </row>
    <row r="1851" customFormat="false" ht="15" hidden="false" customHeight="false" outlineLevel="0" collapsed="false">
      <c r="A1851" s="4" t="s">
        <v>24</v>
      </c>
      <c r="B1851" s="4" t="s">
        <v>63</v>
      </c>
      <c r="C1851" s="4" t="n">
        <v>4</v>
      </c>
      <c r="D1851" s="4" t="n">
        <v>1</v>
      </c>
      <c r="E1851" s="4" t="s">
        <v>34</v>
      </c>
      <c r="F1851" s="3" t="s">
        <v>486</v>
      </c>
      <c r="G1851" s="3" t="s">
        <v>484</v>
      </c>
      <c r="H1851" s="3" t="s">
        <v>485</v>
      </c>
    </row>
    <row r="1852" customFormat="false" ht="15" hidden="false" customHeight="false" outlineLevel="0" collapsed="false">
      <c r="A1852" s="4" t="s">
        <v>24</v>
      </c>
      <c r="B1852" s="4" t="s">
        <v>63</v>
      </c>
      <c r="C1852" s="4" t="n">
        <v>5</v>
      </c>
      <c r="D1852" s="4" t="n">
        <v>1</v>
      </c>
      <c r="E1852" s="4" t="s">
        <v>37</v>
      </c>
      <c r="F1852" s="3" t="s">
        <v>72</v>
      </c>
      <c r="G1852" s="3" t="s">
        <v>605</v>
      </c>
      <c r="H1852" s="3" t="s">
        <v>92</v>
      </c>
    </row>
    <row r="1853" customFormat="false" ht="15" hidden="false" customHeight="false" outlineLevel="0" collapsed="false">
      <c r="A1853" s="4" t="s">
        <v>24</v>
      </c>
      <c r="B1853" s="4" t="s">
        <v>63</v>
      </c>
      <c r="C1853" s="4" t="n">
        <v>6</v>
      </c>
      <c r="D1853" s="4" t="n">
        <v>2</v>
      </c>
      <c r="E1853" s="4" t="s">
        <v>536</v>
      </c>
      <c r="F1853" s="3" t="s">
        <v>164</v>
      </c>
      <c r="G1853" s="3" t="s">
        <v>604</v>
      </c>
      <c r="H1853" s="3" t="s">
        <v>86</v>
      </c>
    </row>
    <row r="1854" customFormat="false" ht="15" hidden="false" customHeight="false" outlineLevel="0" collapsed="false">
      <c r="A1854" s="4" t="s">
        <v>24</v>
      </c>
      <c r="B1854" s="4" t="s">
        <v>65</v>
      </c>
      <c r="C1854" s="4" t="n">
        <v>1</v>
      </c>
      <c r="D1854" s="4" t="n">
        <v>1</v>
      </c>
      <c r="E1854" s="4" t="s">
        <v>16</v>
      </c>
      <c r="F1854" s="3" t="s">
        <v>164</v>
      </c>
      <c r="G1854" s="3" t="s">
        <v>604</v>
      </c>
      <c r="H1854" s="3" t="s">
        <v>408</v>
      </c>
    </row>
    <row r="1855" customFormat="false" ht="15" hidden="false" customHeight="false" outlineLevel="0" collapsed="false">
      <c r="A1855" s="4" t="s">
        <v>24</v>
      </c>
      <c r="B1855" s="4" t="s">
        <v>65</v>
      </c>
      <c r="C1855" s="4" t="n">
        <v>2</v>
      </c>
      <c r="D1855" s="4" t="n">
        <v>1</v>
      </c>
      <c r="E1855" s="4" t="s">
        <v>21</v>
      </c>
      <c r="F1855" s="3" t="s">
        <v>15</v>
      </c>
      <c r="G1855" s="3" t="s">
        <v>597</v>
      </c>
      <c r="H1855" s="3" t="s">
        <v>64</v>
      </c>
    </row>
    <row r="1856" customFormat="false" ht="15" hidden="false" customHeight="false" outlineLevel="0" collapsed="false">
      <c r="A1856" s="4" t="s">
        <v>24</v>
      </c>
      <c r="B1856" s="4" t="s">
        <v>65</v>
      </c>
      <c r="C1856" s="4" t="n">
        <v>3</v>
      </c>
      <c r="D1856" s="4" t="n">
        <v>1</v>
      </c>
      <c r="E1856" s="4" t="s">
        <v>26</v>
      </c>
      <c r="F1856" s="3" t="s">
        <v>72</v>
      </c>
      <c r="G1856" s="3" t="s">
        <v>605</v>
      </c>
      <c r="H1856" s="3" t="s">
        <v>95</v>
      </c>
    </row>
    <row r="1857" customFormat="false" ht="15" hidden="false" customHeight="false" outlineLevel="0" collapsed="false">
      <c r="A1857" s="4" t="s">
        <v>24</v>
      </c>
      <c r="B1857" s="4" t="s">
        <v>65</v>
      </c>
      <c r="C1857" s="4" t="n">
        <v>4</v>
      </c>
      <c r="D1857" s="4" t="n">
        <v>1</v>
      </c>
      <c r="E1857" s="4" t="s">
        <v>34</v>
      </c>
      <c r="F1857" s="3" t="s">
        <v>272</v>
      </c>
      <c r="G1857" s="3" t="s">
        <v>596</v>
      </c>
      <c r="H1857" s="3" t="s">
        <v>282</v>
      </c>
    </row>
    <row r="1858" customFormat="false" ht="15" hidden="false" customHeight="false" outlineLevel="0" collapsed="false">
      <c r="A1858" s="4" t="s">
        <v>24</v>
      </c>
      <c r="B1858" s="4" t="s">
        <v>65</v>
      </c>
      <c r="C1858" s="4" t="n">
        <v>5</v>
      </c>
      <c r="D1858" s="4" t="n">
        <v>1</v>
      </c>
      <c r="E1858" s="4" t="s">
        <v>37</v>
      </c>
      <c r="F1858" s="3" t="s">
        <v>36</v>
      </c>
      <c r="G1858" s="3" t="s">
        <v>601</v>
      </c>
      <c r="H1858" s="3" t="s">
        <v>131</v>
      </c>
    </row>
    <row r="1859" customFormat="false" ht="15" hidden="false" customHeight="false" outlineLevel="0" collapsed="false">
      <c r="A1859" s="4" t="s">
        <v>24</v>
      </c>
      <c r="B1859" s="4" t="s">
        <v>65</v>
      </c>
      <c r="C1859" s="4" t="n">
        <v>6</v>
      </c>
      <c r="D1859" s="4" t="n">
        <v>1</v>
      </c>
      <c r="E1859" s="4" t="s">
        <v>42</v>
      </c>
      <c r="F1859" s="3" t="s">
        <v>378</v>
      </c>
      <c r="G1859" s="3" t="s">
        <v>602</v>
      </c>
      <c r="H1859" s="3" t="s">
        <v>384</v>
      </c>
    </row>
    <row r="1860" customFormat="false" ht="15" hidden="false" customHeight="false" outlineLevel="0" collapsed="false">
      <c r="A1860" s="4" t="s">
        <v>24</v>
      </c>
      <c r="B1860" s="4" t="s">
        <v>65</v>
      </c>
      <c r="C1860" s="4" t="n">
        <v>7</v>
      </c>
      <c r="D1860" s="4" t="n">
        <v>1</v>
      </c>
      <c r="E1860" s="4" t="s">
        <v>39</v>
      </c>
      <c r="F1860" s="3" t="s">
        <v>486</v>
      </c>
      <c r="G1860" s="3" t="s">
        <v>484</v>
      </c>
      <c r="H1860" s="3" t="s">
        <v>485</v>
      </c>
    </row>
    <row r="1861" customFormat="false" ht="15" hidden="false" customHeight="false" outlineLevel="0" collapsed="false">
      <c r="A1861" s="4" t="s">
        <v>24</v>
      </c>
      <c r="B1861" s="4" t="s">
        <v>66</v>
      </c>
      <c r="C1861" s="4" t="n">
        <v>1</v>
      </c>
      <c r="D1861" s="4" t="n">
        <v>2</v>
      </c>
      <c r="E1861" s="4" t="s">
        <v>539</v>
      </c>
      <c r="F1861" s="3" t="s">
        <v>486</v>
      </c>
      <c r="G1861" s="3" t="s">
        <v>484</v>
      </c>
      <c r="H1861" s="3" t="s">
        <v>485</v>
      </c>
    </row>
    <row r="1862" customFormat="false" ht="15" hidden="false" customHeight="false" outlineLevel="0" collapsed="false">
      <c r="A1862" s="4" t="s">
        <v>24</v>
      </c>
      <c r="B1862" s="4" t="s">
        <v>66</v>
      </c>
      <c r="C1862" s="4" t="n">
        <v>3</v>
      </c>
      <c r="D1862" s="4" t="n">
        <v>1</v>
      </c>
      <c r="E1862" s="4" t="s">
        <v>26</v>
      </c>
      <c r="F1862" s="3" t="s">
        <v>15</v>
      </c>
      <c r="G1862" s="3" t="s">
        <v>597</v>
      </c>
      <c r="H1862" s="3" t="s">
        <v>67</v>
      </c>
    </row>
    <row r="1863" customFormat="false" ht="15" hidden="false" customHeight="false" outlineLevel="0" collapsed="false">
      <c r="A1863" s="4" t="s">
        <v>24</v>
      </c>
      <c r="B1863" s="4" t="s">
        <v>66</v>
      </c>
      <c r="C1863" s="4" t="n">
        <v>4</v>
      </c>
      <c r="D1863" s="4" t="n">
        <v>1</v>
      </c>
      <c r="E1863" s="4" t="s">
        <v>34</v>
      </c>
      <c r="F1863" s="3" t="s">
        <v>72</v>
      </c>
      <c r="G1863" s="3" t="s">
        <v>605</v>
      </c>
      <c r="H1863" s="3" t="s">
        <v>82</v>
      </c>
    </row>
    <row r="1864" customFormat="false" ht="15" hidden="false" customHeight="false" outlineLevel="0" collapsed="false">
      <c r="A1864" s="4" t="s">
        <v>24</v>
      </c>
      <c r="B1864" s="4" t="s">
        <v>66</v>
      </c>
      <c r="C1864" s="4" t="n">
        <v>5</v>
      </c>
      <c r="D1864" s="4" t="n">
        <v>1</v>
      </c>
      <c r="E1864" s="4" t="s">
        <v>37</v>
      </c>
      <c r="F1864" s="3" t="s">
        <v>287</v>
      </c>
      <c r="G1864" s="3" t="s">
        <v>514</v>
      </c>
      <c r="H1864" s="3" t="s">
        <v>485</v>
      </c>
    </row>
    <row r="1865" customFormat="false" ht="15" hidden="false" customHeight="false" outlineLevel="0" collapsed="false">
      <c r="A1865" s="4" t="s">
        <v>24</v>
      </c>
      <c r="B1865" s="4" t="s">
        <v>66</v>
      </c>
      <c r="C1865" s="4" t="n">
        <v>6</v>
      </c>
      <c r="D1865" s="4" t="n">
        <v>1</v>
      </c>
      <c r="E1865" s="4" t="s">
        <v>42</v>
      </c>
      <c r="F1865" s="3" t="s">
        <v>378</v>
      </c>
      <c r="G1865" s="3" t="s">
        <v>600</v>
      </c>
      <c r="H1865" s="3" t="s">
        <v>385</v>
      </c>
    </row>
    <row r="1866" customFormat="false" ht="15" hidden="false" customHeight="false" outlineLevel="0" collapsed="false">
      <c r="A1866" s="4" t="s">
        <v>24</v>
      </c>
      <c r="B1866" s="4" t="s">
        <v>66</v>
      </c>
      <c r="C1866" s="4" t="n">
        <v>7</v>
      </c>
      <c r="D1866" s="4" t="n">
        <v>1</v>
      </c>
      <c r="E1866" s="4" t="s">
        <v>39</v>
      </c>
      <c r="F1866" s="3" t="s">
        <v>164</v>
      </c>
      <c r="G1866" s="3" t="s">
        <v>604</v>
      </c>
      <c r="H1866" s="3" t="s">
        <v>413</v>
      </c>
    </row>
    <row r="1867" customFormat="false" ht="15" hidden="false" customHeight="false" outlineLevel="0" collapsed="false">
      <c r="A1867" s="4" t="s">
        <v>132</v>
      </c>
      <c r="B1867" s="4" t="s">
        <v>12</v>
      </c>
      <c r="C1867" s="4" t="n">
        <v>1</v>
      </c>
      <c r="D1867" s="4" t="n">
        <v>1</v>
      </c>
      <c r="E1867" s="4" t="s">
        <v>16</v>
      </c>
      <c r="F1867" s="3" t="s">
        <v>192</v>
      </c>
      <c r="G1867" s="3" t="s">
        <v>606</v>
      </c>
      <c r="H1867" s="3" t="s">
        <v>191</v>
      </c>
    </row>
    <row r="1868" customFormat="false" ht="15" hidden="false" customHeight="false" outlineLevel="0" collapsed="false">
      <c r="A1868" s="4" t="s">
        <v>132</v>
      </c>
      <c r="B1868" s="4" t="s">
        <v>12</v>
      </c>
      <c r="C1868" s="4" t="n">
        <v>2</v>
      </c>
      <c r="D1868" s="4" t="n">
        <v>1</v>
      </c>
      <c r="E1868" s="4" t="s">
        <v>21</v>
      </c>
      <c r="F1868" s="3" t="s">
        <v>15</v>
      </c>
      <c r="G1868" s="3" t="s">
        <v>520</v>
      </c>
      <c r="H1868" s="3" t="s">
        <v>293</v>
      </c>
    </row>
    <row r="1869" customFormat="false" ht="15" hidden="false" customHeight="false" outlineLevel="0" collapsed="false">
      <c r="A1869" s="4" t="s">
        <v>132</v>
      </c>
      <c r="B1869" s="4" t="s">
        <v>12</v>
      </c>
      <c r="C1869" s="4" t="n">
        <v>3</v>
      </c>
      <c r="D1869" s="4" t="n">
        <v>2</v>
      </c>
      <c r="E1869" s="4" t="s">
        <v>542</v>
      </c>
      <c r="F1869" s="3" t="s">
        <v>312</v>
      </c>
      <c r="G1869" s="3" t="s">
        <v>308</v>
      </c>
      <c r="H1869" s="3" t="s">
        <v>311</v>
      </c>
    </row>
    <row r="1870" customFormat="false" ht="15" hidden="false" customHeight="false" outlineLevel="0" collapsed="false">
      <c r="A1870" s="4" t="s">
        <v>132</v>
      </c>
      <c r="B1870" s="4" t="s">
        <v>12</v>
      </c>
      <c r="C1870" s="4" t="n">
        <v>5</v>
      </c>
      <c r="D1870" s="4" t="n">
        <v>1</v>
      </c>
      <c r="E1870" s="4" t="s">
        <v>37</v>
      </c>
      <c r="F1870" s="3" t="s">
        <v>72</v>
      </c>
      <c r="G1870" s="3" t="s">
        <v>503</v>
      </c>
      <c r="H1870" s="3" t="s">
        <v>293</v>
      </c>
    </row>
    <row r="1871" customFormat="false" ht="15" hidden="false" customHeight="false" outlineLevel="0" collapsed="false">
      <c r="A1871" s="4" t="s">
        <v>132</v>
      </c>
      <c r="B1871" s="4" t="s">
        <v>12</v>
      </c>
      <c r="C1871" s="4" t="n">
        <v>6</v>
      </c>
      <c r="D1871" s="4" t="n">
        <v>1</v>
      </c>
      <c r="E1871" s="4" t="s">
        <v>42</v>
      </c>
      <c r="F1871" s="3" t="s">
        <v>164</v>
      </c>
      <c r="G1871" s="3" t="s">
        <v>501</v>
      </c>
      <c r="H1871" s="3" t="s">
        <v>293</v>
      </c>
    </row>
    <row r="1872" customFormat="false" ht="15" hidden="false" customHeight="false" outlineLevel="0" collapsed="false">
      <c r="A1872" s="4" t="s">
        <v>132</v>
      </c>
      <c r="B1872" s="4" t="s">
        <v>12</v>
      </c>
      <c r="C1872" s="4" t="n">
        <v>7</v>
      </c>
      <c r="D1872" s="4" t="n">
        <v>1</v>
      </c>
      <c r="E1872" s="4" t="s">
        <v>39</v>
      </c>
      <c r="F1872" s="3" t="s">
        <v>235</v>
      </c>
      <c r="G1872" s="3" t="s">
        <v>480</v>
      </c>
      <c r="H1872" s="3" t="s">
        <v>293</v>
      </c>
    </row>
    <row r="1873" customFormat="false" ht="15" hidden="false" customHeight="false" outlineLevel="0" collapsed="false">
      <c r="A1873" s="4" t="s">
        <v>132</v>
      </c>
      <c r="B1873" s="4" t="s">
        <v>31</v>
      </c>
      <c r="C1873" s="4" t="n">
        <v>1</v>
      </c>
      <c r="D1873" s="4" t="n">
        <v>1</v>
      </c>
      <c r="E1873" s="4" t="s">
        <v>16</v>
      </c>
      <c r="F1873" s="3" t="s">
        <v>312</v>
      </c>
      <c r="G1873" s="3" t="s">
        <v>308</v>
      </c>
      <c r="H1873" s="3" t="s">
        <v>293</v>
      </c>
    </row>
    <row r="1874" customFormat="false" ht="15" hidden="false" customHeight="false" outlineLevel="0" collapsed="false">
      <c r="A1874" s="4" t="s">
        <v>132</v>
      </c>
      <c r="B1874" s="4" t="s">
        <v>31</v>
      </c>
      <c r="C1874" s="4" t="n">
        <v>2</v>
      </c>
      <c r="D1874" s="4" t="n">
        <v>1</v>
      </c>
      <c r="E1874" s="4" t="s">
        <v>21</v>
      </c>
      <c r="F1874" s="3" t="s">
        <v>192</v>
      </c>
      <c r="G1874" s="3" t="s">
        <v>606</v>
      </c>
      <c r="H1874" s="3" t="s">
        <v>196</v>
      </c>
    </row>
    <row r="1875" customFormat="false" ht="15" hidden="false" customHeight="false" outlineLevel="0" collapsed="false">
      <c r="A1875" s="4" t="s">
        <v>132</v>
      </c>
      <c r="B1875" s="4" t="s">
        <v>31</v>
      </c>
      <c r="C1875" s="4" t="n">
        <v>3</v>
      </c>
      <c r="D1875" s="4" t="n">
        <v>1</v>
      </c>
      <c r="E1875" s="4" t="s">
        <v>26</v>
      </c>
      <c r="F1875" s="3" t="s">
        <v>235</v>
      </c>
      <c r="G1875" s="3" t="s">
        <v>480</v>
      </c>
      <c r="H1875" s="3" t="s">
        <v>134</v>
      </c>
    </row>
    <row r="1876" customFormat="false" ht="15" hidden="false" customHeight="false" outlineLevel="0" collapsed="false">
      <c r="A1876" s="4" t="s">
        <v>132</v>
      </c>
      <c r="B1876" s="4" t="s">
        <v>31</v>
      </c>
      <c r="C1876" s="4" t="n">
        <v>4</v>
      </c>
      <c r="D1876" s="4" t="n">
        <v>1</v>
      </c>
      <c r="E1876" s="4" t="s">
        <v>34</v>
      </c>
      <c r="F1876" s="3" t="s">
        <v>164</v>
      </c>
      <c r="G1876" s="3" t="s">
        <v>501</v>
      </c>
      <c r="H1876" s="3" t="s">
        <v>293</v>
      </c>
    </row>
    <row r="1877" customFormat="false" ht="15" hidden="false" customHeight="false" outlineLevel="0" collapsed="false">
      <c r="A1877" s="4" t="s">
        <v>132</v>
      </c>
      <c r="B1877" s="4" t="s">
        <v>31</v>
      </c>
      <c r="C1877" s="4" t="n">
        <v>5</v>
      </c>
      <c r="D1877" s="4" t="n">
        <v>1</v>
      </c>
      <c r="E1877" s="4" t="s">
        <v>37</v>
      </c>
      <c r="F1877" s="3" t="s">
        <v>36</v>
      </c>
      <c r="G1877" s="3" t="s">
        <v>601</v>
      </c>
      <c r="H1877" s="3" t="s">
        <v>131</v>
      </c>
    </row>
    <row r="1878" customFormat="false" ht="15" hidden="false" customHeight="false" outlineLevel="0" collapsed="false">
      <c r="A1878" s="4" t="s">
        <v>132</v>
      </c>
      <c r="B1878" s="4" t="s">
        <v>31</v>
      </c>
      <c r="C1878" s="4" t="n">
        <v>6</v>
      </c>
      <c r="D1878" s="4" t="n">
        <v>2</v>
      </c>
      <c r="E1878" s="4" t="s">
        <v>536</v>
      </c>
      <c r="F1878" s="3" t="s">
        <v>15</v>
      </c>
      <c r="G1878" s="3" t="s">
        <v>520</v>
      </c>
      <c r="H1878" s="3" t="s">
        <v>293</v>
      </c>
    </row>
    <row r="1879" customFormat="false" ht="15" hidden="false" customHeight="false" outlineLevel="0" collapsed="false">
      <c r="A1879" s="4" t="s">
        <v>132</v>
      </c>
      <c r="B1879" s="4" t="s">
        <v>40</v>
      </c>
      <c r="C1879" s="4" t="n">
        <v>1</v>
      </c>
      <c r="D1879" s="4" t="n">
        <v>2</v>
      </c>
      <c r="E1879" s="4" t="s">
        <v>539</v>
      </c>
      <c r="F1879" s="3" t="s">
        <v>192</v>
      </c>
      <c r="G1879" s="3" t="s">
        <v>606</v>
      </c>
      <c r="H1879" s="3" t="s">
        <v>196</v>
      </c>
    </row>
    <row r="1880" customFormat="false" ht="15" hidden="false" customHeight="false" outlineLevel="0" collapsed="false">
      <c r="A1880" s="4" t="s">
        <v>132</v>
      </c>
      <c r="B1880" s="4" t="s">
        <v>40</v>
      </c>
      <c r="C1880" s="4" t="n">
        <v>3</v>
      </c>
      <c r="D1880" s="4" t="n">
        <v>1</v>
      </c>
      <c r="E1880" s="4" t="s">
        <v>26</v>
      </c>
      <c r="F1880" s="3" t="s">
        <v>312</v>
      </c>
      <c r="G1880" s="3" t="s">
        <v>308</v>
      </c>
      <c r="H1880" s="3" t="s">
        <v>293</v>
      </c>
    </row>
    <row r="1881" customFormat="false" ht="15" hidden="false" customHeight="false" outlineLevel="0" collapsed="false">
      <c r="A1881" s="4" t="s">
        <v>132</v>
      </c>
      <c r="B1881" s="4" t="s">
        <v>40</v>
      </c>
      <c r="C1881" s="4" t="n">
        <v>4</v>
      </c>
      <c r="D1881" s="4" t="n">
        <v>1</v>
      </c>
      <c r="E1881" s="4" t="s">
        <v>34</v>
      </c>
      <c r="F1881" s="3" t="s">
        <v>235</v>
      </c>
      <c r="G1881" s="3" t="s">
        <v>480</v>
      </c>
      <c r="H1881" s="3" t="s">
        <v>246</v>
      </c>
    </row>
    <row r="1882" customFormat="false" ht="15" hidden="false" customHeight="false" outlineLevel="0" collapsed="false">
      <c r="A1882" s="4" t="s">
        <v>132</v>
      </c>
      <c r="B1882" s="4" t="s">
        <v>40</v>
      </c>
      <c r="C1882" s="4" t="n">
        <v>5</v>
      </c>
      <c r="D1882" s="4" t="n">
        <v>1</v>
      </c>
      <c r="E1882" s="4" t="s">
        <v>37</v>
      </c>
      <c r="F1882" s="3" t="s">
        <v>235</v>
      </c>
      <c r="G1882" s="3" t="s">
        <v>480</v>
      </c>
      <c r="H1882" s="3" t="s">
        <v>246</v>
      </c>
    </row>
    <row r="1883" customFormat="false" ht="15" hidden="false" customHeight="false" outlineLevel="0" collapsed="false">
      <c r="A1883" s="4" t="s">
        <v>132</v>
      </c>
      <c r="B1883" s="4" t="s">
        <v>40</v>
      </c>
      <c r="C1883" s="4" t="n">
        <v>6</v>
      </c>
      <c r="D1883" s="4" t="n">
        <v>1</v>
      </c>
      <c r="E1883" s="4" t="s">
        <v>42</v>
      </c>
      <c r="F1883" s="3" t="s">
        <v>15</v>
      </c>
      <c r="G1883" s="3" t="s">
        <v>520</v>
      </c>
      <c r="H1883" s="3" t="s">
        <v>293</v>
      </c>
    </row>
    <row r="1884" customFormat="false" ht="15" hidden="false" customHeight="false" outlineLevel="0" collapsed="false">
      <c r="A1884" s="4" t="s">
        <v>132</v>
      </c>
      <c r="B1884" s="4" t="s">
        <v>40</v>
      </c>
      <c r="C1884" s="4" t="n">
        <v>7</v>
      </c>
      <c r="D1884" s="4" t="n">
        <v>1</v>
      </c>
      <c r="E1884" s="4" t="s">
        <v>39</v>
      </c>
      <c r="F1884" s="3" t="s">
        <v>164</v>
      </c>
      <c r="G1884" s="3" t="s">
        <v>501</v>
      </c>
      <c r="H1884" s="3" t="s">
        <v>293</v>
      </c>
    </row>
    <row r="1885" customFormat="false" ht="15" hidden="false" customHeight="false" outlineLevel="0" collapsed="false">
      <c r="A1885" s="4" t="s">
        <v>132</v>
      </c>
      <c r="B1885" s="4" t="s">
        <v>44</v>
      </c>
      <c r="C1885" s="4" t="n">
        <v>1</v>
      </c>
      <c r="D1885" s="4" t="n">
        <v>1</v>
      </c>
      <c r="E1885" s="4" t="s">
        <v>16</v>
      </c>
      <c r="F1885" s="3" t="s">
        <v>312</v>
      </c>
      <c r="G1885" s="3" t="s">
        <v>308</v>
      </c>
      <c r="H1885" s="3" t="s">
        <v>293</v>
      </c>
    </row>
    <row r="1886" customFormat="false" ht="15" hidden="false" customHeight="false" outlineLevel="0" collapsed="false">
      <c r="A1886" s="4" t="s">
        <v>132</v>
      </c>
      <c r="B1886" s="4" t="s">
        <v>44</v>
      </c>
      <c r="C1886" s="4" t="n">
        <v>2</v>
      </c>
      <c r="D1886" s="4" t="n">
        <v>1</v>
      </c>
      <c r="E1886" s="4" t="s">
        <v>21</v>
      </c>
      <c r="F1886" s="3" t="s">
        <v>192</v>
      </c>
      <c r="G1886" s="3" t="s">
        <v>606</v>
      </c>
      <c r="H1886" s="3" t="s">
        <v>196</v>
      </c>
    </row>
    <row r="1887" customFormat="false" ht="15" hidden="false" customHeight="false" outlineLevel="0" collapsed="false">
      <c r="A1887" s="4" t="s">
        <v>132</v>
      </c>
      <c r="B1887" s="4" t="s">
        <v>44</v>
      </c>
      <c r="C1887" s="4" t="n">
        <v>3</v>
      </c>
      <c r="D1887" s="4" t="n">
        <v>2</v>
      </c>
      <c r="E1887" s="4" t="s">
        <v>542</v>
      </c>
      <c r="F1887" s="3" t="s">
        <v>388</v>
      </c>
      <c r="G1887" s="3" t="s">
        <v>590</v>
      </c>
      <c r="H1887" s="3" t="s">
        <v>416</v>
      </c>
    </row>
    <row r="1888" customFormat="false" ht="15" hidden="false" customHeight="false" outlineLevel="0" collapsed="false">
      <c r="A1888" s="4" t="s">
        <v>132</v>
      </c>
      <c r="B1888" s="4" t="s">
        <v>44</v>
      </c>
      <c r="C1888" s="4" t="n">
        <v>5</v>
      </c>
      <c r="D1888" s="4" t="n">
        <v>1</v>
      </c>
      <c r="E1888" s="4" t="s">
        <v>37</v>
      </c>
      <c r="F1888" s="3" t="s">
        <v>36</v>
      </c>
      <c r="G1888" s="3" t="s">
        <v>601</v>
      </c>
      <c r="H1888" s="3" t="s">
        <v>131</v>
      </c>
    </row>
    <row r="1889" customFormat="false" ht="15" hidden="false" customHeight="false" outlineLevel="0" collapsed="false">
      <c r="A1889" s="4" t="s">
        <v>132</v>
      </c>
      <c r="B1889" s="4" t="s">
        <v>44</v>
      </c>
      <c r="C1889" s="4" t="n">
        <v>6</v>
      </c>
      <c r="D1889" s="4" t="n">
        <v>1</v>
      </c>
      <c r="E1889" s="4" t="s">
        <v>42</v>
      </c>
      <c r="F1889" s="3" t="s">
        <v>15</v>
      </c>
      <c r="G1889" s="3" t="s">
        <v>520</v>
      </c>
      <c r="H1889" s="3" t="s">
        <v>293</v>
      </c>
    </row>
    <row r="1890" customFormat="false" ht="15" hidden="false" customHeight="false" outlineLevel="0" collapsed="false">
      <c r="A1890" s="4" t="s">
        <v>132</v>
      </c>
      <c r="B1890" s="4" t="s">
        <v>44</v>
      </c>
      <c r="C1890" s="4" t="n">
        <v>7</v>
      </c>
      <c r="D1890" s="4" t="n">
        <v>1</v>
      </c>
      <c r="E1890" s="4" t="s">
        <v>39</v>
      </c>
      <c r="F1890" s="3" t="s">
        <v>72</v>
      </c>
      <c r="G1890" s="3" t="s">
        <v>503</v>
      </c>
      <c r="H1890" s="3" t="s">
        <v>293</v>
      </c>
    </row>
    <row r="1891" customFormat="false" ht="15" hidden="false" customHeight="false" outlineLevel="0" collapsed="false">
      <c r="A1891" s="4" t="s">
        <v>132</v>
      </c>
      <c r="B1891" s="4" t="s">
        <v>47</v>
      </c>
      <c r="C1891" s="4" t="n">
        <v>1</v>
      </c>
      <c r="D1891" s="4" t="n">
        <v>1</v>
      </c>
      <c r="E1891" s="4" t="s">
        <v>16</v>
      </c>
      <c r="F1891" s="3" t="s">
        <v>15</v>
      </c>
      <c r="G1891" s="3" t="s">
        <v>520</v>
      </c>
      <c r="H1891" s="3" t="s">
        <v>293</v>
      </c>
    </row>
    <row r="1892" customFormat="false" ht="15" hidden="false" customHeight="false" outlineLevel="0" collapsed="false">
      <c r="A1892" s="4" t="s">
        <v>132</v>
      </c>
      <c r="B1892" s="4" t="s">
        <v>47</v>
      </c>
      <c r="C1892" s="4" t="n">
        <v>2</v>
      </c>
      <c r="D1892" s="4" t="n">
        <v>1</v>
      </c>
      <c r="E1892" s="4" t="s">
        <v>21</v>
      </c>
      <c r="F1892" s="3" t="s">
        <v>192</v>
      </c>
      <c r="G1892" s="3" t="s">
        <v>606</v>
      </c>
      <c r="H1892" s="3" t="s">
        <v>199</v>
      </c>
    </row>
    <row r="1893" customFormat="false" ht="15" hidden="false" customHeight="false" outlineLevel="0" collapsed="false">
      <c r="A1893" s="4" t="s">
        <v>132</v>
      </c>
      <c r="B1893" s="4" t="s">
        <v>47</v>
      </c>
      <c r="C1893" s="4" t="n">
        <v>3</v>
      </c>
      <c r="D1893" s="4" t="n">
        <v>1</v>
      </c>
      <c r="E1893" s="4" t="s">
        <v>26</v>
      </c>
      <c r="F1893" s="3" t="s">
        <v>312</v>
      </c>
      <c r="G1893" s="3" t="s">
        <v>308</v>
      </c>
      <c r="H1893" s="3" t="s">
        <v>293</v>
      </c>
    </row>
    <row r="1894" customFormat="false" ht="15" hidden="false" customHeight="false" outlineLevel="0" collapsed="false">
      <c r="A1894" s="4" t="s">
        <v>132</v>
      </c>
      <c r="B1894" s="4" t="s">
        <v>47</v>
      </c>
      <c r="C1894" s="4" t="n">
        <v>4</v>
      </c>
      <c r="D1894" s="4" t="n">
        <v>2</v>
      </c>
      <c r="E1894" s="4" t="s">
        <v>533</v>
      </c>
      <c r="F1894" s="3" t="s">
        <v>72</v>
      </c>
      <c r="G1894" s="3" t="s">
        <v>503</v>
      </c>
      <c r="H1894" s="3" t="s">
        <v>293</v>
      </c>
    </row>
    <row r="1895" customFormat="false" ht="15" hidden="false" customHeight="false" outlineLevel="0" collapsed="false">
      <c r="A1895" s="4" t="s">
        <v>132</v>
      </c>
      <c r="B1895" s="4" t="s">
        <v>47</v>
      </c>
      <c r="C1895" s="4" t="n">
        <v>6</v>
      </c>
      <c r="D1895" s="4" t="n">
        <v>2</v>
      </c>
      <c r="E1895" s="4" t="s">
        <v>536</v>
      </c>
      <c r="F1895" s="3" t="s">
        <v>235</v>
      </c>
      <c r="G1895" s="3" t="s">
        <v>480</v>
      </c>
      <c r="H1895" s="3" t="s">
        <v>246</v>
      </c>
    </row>
    <row r="1896" customFormat="false" ht="15" hidden="false" customHeight="false" outlineLevel="0" collapsed="false">
      <c r="A1896" s="4" t="s">
        <v>132</v>
      </c>
      <c r="B1896" s="4" t="s">
        <v>50</v>
      </c>
      <c r="C1896" s="4" t="n">
        <v>1</v>
      </c>
      <c r="D1896" s="4" t="n">
        <v>1</v>
      </c>
      <c r="E1896" s="4" t="s">
        <v>16</v>
      </c>
      <c r="F1896" s="3" t="s">
        <v>287</v>
      </c>
      <c r="G1896" s="3" t="s">
        <v>607</v>
      </c>
      <c r="H1896" s="3" t="s">
        <v>293</v>
      </c>
    </row>
    <row r="1897" customFormat="false" ht="15" hidden="false" customHeight="false" outlineLevel="0" collapsed="false">
      <c r="A1897" s="4" t="s">
        <v>132</v>
      </c>
      <c r="B1897" s="4" t="s">
        <v>50</v>
      </c>
      <c r="C1897" s="4" t="n">
        <v>2</v>
      </c>
      <c r="D1897" s="4" t="n">
        <v>1</v>
      </c>
      <c r="E1897" s="4" t="s">
        <v>21</v>
      </c>
      <c r="F1897" s="3" t="s">
        <v>192</v>
      </c>
      <c r="G1897" s="3" t="s">
        <v>606</v>
      </c>
      <c r="H1897" s="3" t="s">
        <v>196</v>
      </c>
    </row>
    <row r="1898" customFormat="false" ht="15" hidden="false" customHeight="false" outlineLevel="0" collapsed="false">
      <c r="A1898" s="4" t="s">
        <v>132</v>
      </c>
      <c r="B1898" s="4" t="s">
        <v>50</v>
      </c>
      <c r="C1898" s="4" t="n">
        <v>3</v>
      </c>
      <c r="D1898" s="4" t="n">
        <v>1</v>
      </c>
      <c r="E1898" s="4" t="s">
        <v>26</v>
      </c>
      <c r="F1898" s="3" t="s">
        <v>15</v>
      </c>
      <c r="G1898" s="3" t="s">
        <v>520</v>
      </c>
      <c r="H1898" s="3" t="s">
        <v>293</v>
      </c>
    </row>
    <row r="1899" customFormat="false" ht="15" hidden="false" customHeight="false" outlineLevel="0" collapsed="false">
      <c r="A1899" s="4" t="s">
        <v>132</v>
      </c>
      <c r="B1899" s="4" t="s">
        <v>50</v>
      </c>
      <c r="C1899" s="4" t="n">
        <v>4</v>
      </c>
      <c r="D1899" s="4" t="n">
        <v>2</v>
      </c>
      <c r="E1899" s="4" t="s">
        <v>533</v>
      </c>
      <c r="F1899" s="3" t="s">
        <v>312</v>
      </c>
      <c r="G1899" s="3" t="s">
        <v>308</v>
      </c>
      <c r="H1899" s="3" t="s">
        <v>133</v>
      </c>
    </row>
    <row r="1900" customFormat="false" ht="15" hidden="false" customHeight="false" outlineLevel="0" collapsed="false">
      <c r="A1900" s="4" t="s">
        <v>132</v>
      </c>
      <c r="B1900" s="4" t="s">
        <v>50</v>
      </c>
      <c r="C1900" s="4" t="n">
        <v>6</v>
      </c>
      <c r="D1900" s="4" t="n">
        <v>1</v>
      </c>
      <c r="E1900" s="4" t="s">
        <v>42</v>
      </c>
      <c r="F1900" s="3" t="s">
        <v>72</v>
      </c>
      <c r="G1900" s="3" t="s">
        <v>503</v>
      </c>
      <c r="H1900" s="3" t="s">
        <v>293</v>
      </c>
    </row>
    <row r="1901" customFormat="false" ht="15" hidden="false" customHeight="false" outlineLevel="0" collapsed="false">
      <c r="A1901" s="4" t="s">
        <v>132</v>
      </c>
      <c r="B1901" s="4" t="s">
        <v>50</v>
      </c>
      <c r="C1901" s="4" t="n">
        <v>7</v>
      </c>
      <c r="D1901" s="4" t="n">
        <v>1</v>
      </c>
      <c r="E1901" s="4" t="s">
        <v>39</v>
      </c>
      <c r="F1901" s="3" t="s">
        <v>235</v>
      </c>
      <c r="G1901" s="3" t="s">
        <v>480</v>
      </c>
      <c r="H1901" s="3" t="s">
        <v>293</v>
      </c>
    </row>
    <row r="1902" customFormat="false" ht="15" hidden="false" customHeight="false" outlineLevel="0" collapsed="false">
      <c r="A1902" s="4" t="s">
        <v>132</v>
      </c>
      <c r="B1902" s="4" t="s">
        <v>60</v>
      </c>
      <c r="C1902" s="4" t="n">
        <v>1</v>
      </c>
      <c r="D1902" s="4" t="n">
        <v>1</v>
      </c>
      <c r="E1902" s="4" t="s">
        <v>16</v>
      </c>
      <c r="F1902" s="3" t="s">
        <v>312</v>
      </c>
      <c r="G1902" s="3" t="s">
        <v>308</v>
      </c>
      <c r="H1902" s="3" t="s">
        <v>293</v>
      </c>
    </row>
    <row r="1903" customFormat="false" ht="15" hidden="false" customHeight="false" outlineLevel="0" collapsed="false">
      <c r="A1903" s="4" t="s">
        <v>132</v>
      </c>
      <c r="B1903" s="4" t="s">
        <v>60</v>
      </c>
      <c r="C1903" s="4" t="n">
        <v>2</v>
      </c>
      <c r="D1903" s="4" t="n">
        <v>1</v>
      </c>
      <c r="E1903" s="4" t="s">
        <v>21</v>
      </c>
      <c r="F1903" s="3" t="s">
        <v>15</v>
      </c>
      <c r="G1903" s="3" t="s">
        <v>520</v>
      </c>
      <c r="H1903" s="3" t="s">
        <v>293</v>
      </c>
    </row>
    <row r="1904" customFormat="false" ht="15" hidden="false" customHeight="false" outlineLevel="0" collapsed="false">
      <c r="A1904" s="4" t="s">
        <v>132</v>
      </c>
      <c r="B1904" s="4" t="s">
        <v>60</v>
      </c>
      <c r="C1904" s="4" t="n">
        <v>3</v>
      </c>
      <c r="D1904" s="4" t="n">
        <v>1</v>
      </c>
      <c r="E1904" s="4" t="s">
        <v>26</v>
      </c>
      <c r="F1904" s="3" t="s">
        <v>164</v>
      </c>
      <c r="G1904" s="3" t="s">
        <v>501</v>
      </c>
      <c r="H1904" s="3" t="s">
        <v>293</v>
      </c>
    </row>
    <row r="1905" customFormat="false" ht="15" hidden="false" customHeight="false" outlineLevel="0" collapsed="false">
      <c r="A1905" s="4" t="s">
        <v>132</v>
      </c>
      <c r="B1905" s="4" t="s">
        <v>60</v>
      </c>
      <c r="C1905" s="4" t="n">
        <v>4</v>
      </c>
      <c r="D1905" s="4" t="n">
        <v>1</v>
      </c>
      <c r="E1905" s="4" t="s">
        <v>34</v>
      </c>
      <c r="F1905" s="3" t="s">
        <v>192</v>
      </c>
      <c r="G1905" s="3" t="s">
        <v>606</v>
      </c>
      <c r="H1905" s="3" t="s">
        <v>196</v>
      </c>
    </row>
    <row r="1906" customFormat="false" ht="15" hidden="false" customHeight="false" outlineLevel="0" collapsed="false">
      <c r="A1906" s="4" t="s">
        <v>132</v>
      </c>
      <c r="B1906" s="4" t="s">
        <v>60</v>
      </c>
      <c r="C1906" s="4" t="n">
        <v>5</v>
      </c>
      <c r="D1906" s="4" t="n">
        <v>1</v>
      </c>
      <c r="E1906" s="4" t="s">
        <v>37</v>
      </c>
      <c r="F1906" s="3" t="s">
        <v>36</v>
      </c>
      <c r="G1906" s="3" t="s">
        <v>601</v>
      </c>
      <c r="H1906" s="3" t="s">
        <v>131</v>
      </c>
    </row>
    <row r="1907" customFormat="false" ht="15" hidden="false" customHeight="false" outlineLevel="0" collapsed="false">
      <c r="A1907" s="4" t="s">
        <v>132</v>
      </c>
      <c r="B1907" s="4" t="s">
        <v>60</v>
      </c>
      <c r="C1907" s="4" t="n">
        <v>6</v>
      </c>
      <c r="D1907" s="4" t="n">
        <v>2</v>
      </c>
      <c r="E1907" s="4" t="s">
        <v>536</v>
      </c>
      <c r="F1907" s="3" t="s">
        <v>235</v>
      </c>
      <c r="G1907" s="3" t="s">
        <v>480</v>
      </c>
      <c r="H1907" s="3" t="s">
        <v>246</v>
      </c>
    </row>
    <row r="1908" customFormat="false" ht="15" hidden="false" customHeight="false" outlineLevel="0" collapsed="false">
      <c r="A1908" s="4" t="s">
        <v>132</v>
      </c>
      <c r="B1908" s="4" t="s">
        <v>63</v>
      </c>
      <c r="C1908" s="4" t="n">
        <v>1</v>
      </c>
      <c r="D1908" s="4" t="n">
        <v>2</v>
      </c>
      <c r="E1908" s="4" t="s">
        <v>539</v>
      </c>
      <c r="F1908" s="3" t="s">
        <v>15</v>
      </c>
      <c r="G1908" s="3" t="s">
        <v>520</v>
      </c>
      <c r="H1908" s="3" t="s">
        <v>293</v>
      </c>
    </row>
    <row r="1909" customFormat="false" ht="15" hidden="false" customHeight="false" outlineLevel="0" collapsed="false">
      <c r="A1909" s="4" t="s">
        <v>132</v>
      </c>
      <c r="B1909" s="4" t="s">
        <v>63</v>
      </c>
      <c r="C1909" s="4" t="n">
        <v>3</v>
      </c>
      <c r="D1909" s="4" t="n">
        <v>1</v>
      </c>
      <c r="E1909" s="4" t="s">
        <v>26</v>
      </c>
      <c r="F1909" s="3" t="s">
        <v>312</v>
      </c>
      <c r="G1909" s="3" t="s">
        <v>308</v>
      </c>
      <c r="H1909" s="3" t="s">
        <v>133</v>
      </c>
    </row>
    <row r="1910" customFormat="false" ht="15" hidden="false" customHeight="false" outlineLevel="0" collapsed="false">
      <c r="A1910" s="4" t="s">
        <v>132</v>
      </c>
      <c r="B1910" s="4" t="s">
        <v>63</v>
      </c>
      <c r="C1910" s="4" t="n">
        <v>4</v>
      </c>
      <c r="D1910" s="4" t="n">
        <v>2</v>
      </c>
      <c r="E1910" s="4" t="s">
        <v>533</v>
      </c>
      <c r="F1910" s="3" t="s">
        <v>164</v>
      </c>
      <c r="G1910" s="3" t="s">
        <v>501</v>
      </c>
      <c r="H1910" s="3" t="s">
        <v>293</v>
      </c>
    </row>
    <row r="1911" customFormat="false" ht="15" hidden="false" customHeight="false" outlineLevel="0" collapsed="false">
      <c r="A1911" s="4" t="s">
        <v>132</v>
      </c>
      <c r="B1911" s="4" t="s">
        <v>63</v>
      </c>
      <c r="C1911" s="4" t="n">
        <v>6</v>
      </c>
      <c r="D1911" s="4" t="n">
        <v>1</v>
      </c>
      <c r="E1911" s="4" t="s">
        <v>42</v>
      </c>
      <c r="F1911" s="3" t="s">
        <v>235</v>
      </c>
      <c r="G1911" s="3" t="s">
        <v>480</v>
      </c>
      <c r="H1911" s="3" t="s">
        <v>134</v>
      </c>
    </row>
    <row r="1912" customFormat="false" ht="15" hidden="false" customHeight="false" outlineLevel="0" collapsed="false">
      <c r="A1912" s="4" t="s">
        <v>132</v>
      </c>
      <c r="B1912" s="4" t="s">
        <v>63</v>
      </c>
      <c r="C1912" s="4" t="n">
        <v>7</v>
      </c>
      <c r="D1912" s="4" t="n">
        <v>1</v>
      </c>
      <c r="E1912" s="4" t="s">
        <v>39</v>
      </c>
      <c r="F1912" s="3" t="s">
        <v>192</v>
      </c>
      <c r="G1912" s="3" t="s">
        <v>606</v>
      </c>
      <c r="H1912" s="3" t="s">
        <v>196</v>
      </c>
    </row>
    <row r="1913" customFormat="false" ht="15" hidden="false" customHeight="false" outlineLevel="0" collapsed="false">
      <c r="A1913" s="4" t="s">
        <v>132</v>
      </c>
      <c r="B1913" s="4" t="s">
        <v>65</v>
      </c>
      <c r="C1913" s="4" t="n">
        <v>1</v>
      </c>
      <c r="D1913" s="4" t="n">
        <v>1</v>
      </c>
      <c r="E1913" s="4" t="s">
        <v>16</v>
      </c>
      <c r="F1913" s="3" t="s">
        <v>235</v>
      </c>
      <c r="G1913" s="3" t="s">
        <v>480</v>
      </c>
      <c r="H1913" s="3" t="s">
        <v>125</v>
      </c>
    </row>
    <row r="1914" customFormat="false" ht="15" hidden="false" customHeight="false" outlineLevel="0" collapsed="false">
      <c r="A1914" s="4" t="s">
        <v>132</v>
      </c>
      <c r="B1914" s="4" t="s">
        <v>65</v>
      </c>
      <c r="C1914" s="4" t="n">
        <v>2</v>
      </c>
      <c r="D1914" s="4" t="n">
        <v>1</v>
      </c>
      <c r="E1914" s="4" t="s">
        <v>21</v>
      </c>
      <c r="F1914" s="3" t="s">
        <v>192</v>
      </c>
      <c r="G1914" s="3" t="s">
        <v>606</v>
      </c>
      <c r="H1914" s="3" t="s">
        <v>196</v>
      </c>
    </row>
    <row r="1915" customFormat="false" ht="15" hidden="false" customHeight="false" outlineLevel="0" collapsed="false">
      <c r="A1915" s="4" t="s">
        <v>132</v>
      </c>
      <c r="B1915" s="4" t="s">
        <v>65</v>
      </c>
      <c r="C1915" s="4" t="n">
        <v>3</v>
      </c>
      <c r="D1915" s="4" t="n">
        <v>1</v>
      </c>
      <c r="E1915" s="4" t="s">
        <v>26</v>
      </c>
      <c r="F1915" s="3" t="s">
        <v>72</v>
      </c>
      <c r="G1915" s="3" t="s">
        <v>503</v>
      </c>
      <c r="H1915" s="3" t="s">
        <v>293</v>
      </c>
    </row>
    <row r="1916" customFormat="false" ht="15" hidden="false" customHeight="false" outlineLevel="0" collapsed="false">
      <c r="A1916" s="4" t="s">
        <v>132</v>
      </c>
      <c r="B1916" s="4" t="s">
        <v>65</v>
      </c>
      <c r="C1916" s="4" t="n">
        <v>4</v>
      </c>
      <c r="D1916" s="4" t="n">
        <v>1</v>
      </c>
      <c r="E1916" s="4" t="s">
        <v>34</v>
      </c>
      <c r="F1916" s="3" t="s">
        <v>287</v>
      </c>
      <c r="G1916" s="3" t="s">
        <v>607</v>
      </c>
      <c r="H1916" s="3" t="s">
        <v>293</v>
      </c>
    </row>
    <row r="1917" customFormat="false" ht="15" hidden="false" customHeight="false" outlineLevel="0" collapsed="false">
      <c r="A1917" s="4" t="s">
        <v>132</v>
      </c>
      <c r="B1917" s="4" t="s">
        <v>65</v>
      </c>
      <c r="C1917" s="4" t="n">
        <v>5</v>
      </c>
      <c r="D1917" s="4" t="n">
        <v>1</v>
      </c>
      <c r="E1917" s="4" t="s">
        <v>37</v>
      </c>
      <c r="F1917" s="3" t="s">
        <v>36</v>
      </c>
      <c r="G1917" s="3" t="s">
        <v>601</v>
      </c>
      <c r="H1917" s="3" t="s">
        <v>131</v>
      </c>
    </row>
    <row r="1918" customFormat="false" ht="15" hidden="false" customHeight="false" outlineLevel="0" collapsed="false">
      <c r="A1918" s="4" t="s">
        <v>132</v>
      </c>
      <c r="B1918" s="4" t="s">
        <v>65</v>
      </c>
      <c r="C1918" s="4" t="n">
        <v>6</v>
      </c>
      <c r="D1918" s="4" t="n">
        <v>1</v>
      </c>
      <c r="E1918" s="4" t="s">
        <v>42</v>
      </c>
      <c r="F1918" s="3" t="s">
        <v>312</v>
      </c>
      <c r="G1918" s="3" t="s">
        <v>308</v>
      </c>
      <c r="H1918" s="3" t="s">
        <v>293</v>
      </c>
    </row>
    <row r="1919" customFormat="false" ht="15" hidden="false" customHeight="false" outlineLevel="0" collapsed="false">
      <c r="A1919" s="4" t="s">
        <v>132</v>
      </c>
      <c r="B1919" s="4" t="s">
        <v>65</v>
      </c>
      <c r="C1919" s="4" t="n">
        <v>7</v>
      </c>
      <c r="D1919" s="4" t="n">
        <v>1</v>
      </c>
      <c r="E1919" s="4" t="s">
        <v>39</v>
      </c>
      <c r="F1919" s="3" t="s">
        <v>15</v>
      </c>
      <c r="G1919" s="3" t="s">
        <v>520</v>
      </c>
      <c r="H1919" s="3" t="s">
        <v>293</v>
      </c>
    </row>
    <row r="1920" customFormat="false" ht="15" hidden="false" customHeight="false" outlineLevel="0" collapsed="false">
      <c r="A1920" s="4" t="s">
        <v>132</v>
      </c>
      <c r="B1920" s="4" t="s">
        <v>66</v>
      </c>
      <c r="C1920" s="4" t="n">
        <v>1</v>
      </c>
      <c r="D1920" s="4" t="n">
        <v>1</v>
      </c>
      <c r="E1920" s="4" t="s">
        <v>16</v>
      </c>
      <c r="F1920" s="3" t="s">
        <v>235</v>
      </c>
      <c r="G1920" s="3" t="s">
        <v>480</v>
      </c>
      <c r="H1920" s="3" t="s">
        <v>246</v>
      </c>
    </row>
    <row r="1921" customFormat="false" ht="15" hidden="false" customHeight="false" outlineLevel="0" collapsed="false">
      <c r="A1921" s="4" t="s">
        <v>132</v>
      </c>
      <c r="B1921" s="4" t="s">
        <v>66</v>
      </c>
      <c r="C1921" s="4" t="n">
        <v>2</v>
      </c>
      <c r="D1921" s="4" t="n">
        <v>1</v>
      </c>
      <c r="E1921" s="4" t="s">
        <v>21</v>
      </c>
      <c r="F1921" s="3" t="s">
        <v>15</v>
      </c>
      <c r="G1921" s="3" t="s">
        <v>520</v>
      </c>
      <c r="H1921" s="3" t="s">
        <v>293</v>
      </c>
    </row>
    <row r="1922" customFormat="false" ht="15" hidden="false" customHeight="false" outlineLevel="0" collapsed="false">
      <c r="A1922" s="4" t="s">
        <v>132</v>
      </c>
      <c r="B1922" s="4" t="s">
        <v>66</v>
      </c>
      <c r="C1922" s="4" t="n">
        <v>3</v>
      </c>
      <c r="D1922" s="4" t="n">
        <v>1</v>
      </c>
      <c r="E1922" s="4" t="s">
        <v>26</v>
      </c>
      <c r="F1922" s="3" t="s">
        <v>164</v>
      </c>
      <c r="G1922" s="3" t="s">
        <v>501</v>
      </c>
      <c r="H1922" s="3" t="s">
        <v>293</v>
      </c>
    </row>
    <row r="1923" customFormat="false" ht="15" hidden="false" customHeight="false" outlineLevel="0" collapsed="false">
      <c r="A1923" s="4" t="s">
        <v>132</v>
      </c>
      <c r="B1923" s="4" t="s">
        <v>66</v>
      </c>
      <c r="C1923" s="4" t="n">
        <v>4</v>
      </c>
      <c r="D1923" s="4" t="n">
        <v>1</v>
      </c>
      <c r="E1923" s="4" t="s">
        <v>34</v>
      </c>
      <c r="F1923" s="3" t="s">
        <v>312</v>
      </c>
      <c r="G1923" s="3" t="s">
        <v>308</v>
      </c>
      <c r="H1923" s="3" t="s">
        <v>311</v>
      </c>
    </row>
    <row r="1924" customFormat="false" ht="15" hidden="false" customHeight="false" outlineLevel="0" collapsed="false">
      <c r="A1924" s="4" t="s">
        <v>132</v>
      </c>
      <c r="B1924" s="4" t="s">
        <v>66</v>
      </c>
      <c r="C1924" s="4" t="n">
        <v>5</v>
      </c>
      <c r="D1924" s="4" t="n">
        <v>1</v>
      </c>
      <c r="E1924" s="4" t="s">
        <v>37</v>
      </c>
      <c r="F1924" s="3" t="s">
        <v>72</v>
      </c>
      <c r="G1924" s="3" t="s">
        <v>503</v>
      </c>
      <c r="H1924" s="3" t="s">
        <v>293</v>
      </c>
    </row>
    <row r="1925" customFormat="false" ht="15" hidden="false" customHeight="false" outlineLevel="0" collapsed="false">
      <c r="A1925" s="4" t="s">
        <v>132</v>
      </c>
      <c r="B1925" s="4" t="s">
        <v>66</v>
      </c>
      <c r="C1925" s="4" t="n">
        <v>6</v>
      </c>
      <c r="D1925" s="4" t="n">
        <v>2</v>
      </c>
      <c r="E1925" s="4" t="s">
        <v>536</v>
      </c>
      <c r="F1925" s="3" t="s">
        <v>192</v>
      </c>
      <c r="G1925" s="3" t="s">
        <v>606</v>
      </c>
      <c r="H1925" s="3" t="s">
        <v>196</v>
      </c>
    </row>
    <row r="1926" customFormat="false" ht="15" hidden="false" customHeight="false" outlineLevel="0" collapsed="false">
      <c r="A1926" s="4" t="s">
        <v>105</v>
      </c>
      <c r="B1926" s="4" t="s">
        <v>12</v>
      </c>
      <c r="C1926" s="4" t="n">
        <v>1</v>
      </c>
      <c r="D1926" s="4" t="n">
        <v>1</v>
      </c>
      <c r="E1926" s="4" t="s">
        <v>16</v>
      </c>
      <c r="F1926" s="3" t="s">
        <v>310</v>
      </c>
      <c r="G1926" s="3" t="s">
        <v>608</v>
      </c>
      <c r="H1926" s="3" t="s">
        <v>309</v>
      </c>
    </row>
    <row r="1927" customFormat="false" ht="15" hidden="false" customHeight="false" outlineLevel="0" collapsed="false">
      <c r="A1927" s="4" t="s">
        <v>105</v>
      </c>
      <c r="B1927" s="4" t="s">
        <v>12</v>
      </c>
      <c r="C1927" s="4" t="n">
        <v>2</v>
      </c>
      <c r="D1927" s="4" t="n">
        <v>1</v>
      </c>
      <c r="E1927" s="4" t="s">
        <v>21</v>
      </c>
      <c r="F1927" s="3" t="s">
        <v>164</v>
      </c>
      <c r="G1927" s="3" t="s">
        <v>609</v>
      </c>
      <c r="H1927" s="3" t="s">
        <v>254</v>
      </c>
    </row>
    <row r="1928" customFormat="false" ht="15" hidden="false" customHeight="false" outlineLevel="0" collapsed="false">
      <c r="A1928" s="4" t="s">
        <v>105</v>
      </c>
      <c r="B1928" s="4" t="s">
        <v>12</v>
      </c>
      <c r="C1928" s="4" t="n">
        <v>3</v>
      </c>
      <c r="D1928" s="4" t="n">
        <v>1</v>
      </c>
      <c r="E1928" s="4" t="s">
        <v>26</v>
      </c>
      <c r="F1928" s="3" t="s">
        <v>15</v>
      </c>
      <c r="G1928" s="3" t="s">
        <v>610</v>
      </c>
      <c r="H1928" s="3" t="s">
        <v>227</v>
      </c>
    </row>
    <row r="1929" customFormat="false" ht="15" hidden="false" customHeight="false" outlineLevel="0" collapsed="false">
      <c r="A1929" s="4" t="s">
        <v>105</v>
      </c>
      <c r="B1929" s="4" t="s">
        <v>12</v>
      </c>
      <c r="C1929" s="4" t="n">
        <v>4</v>
      </c>
      <c r="D1929" s="4" t="n">
        <v>2</v>
      </c>
      <c r="E1929" s="4" t="s">
        <v>533</v>
      </c>
      <c r="F1929" s="3" t="s">
        <v>104</v>
      </c>
      <c r="G1929" s="3" t="s">
        <v>611</v>
      </c>
      <c r="H1929" s="3" t="s">
        <v>103</v>
      </c>
    </row>
    <row r="1930" customFormat="false" ht="15" hidden="false" customHeight="false" outlineLevel="0" collapsed="false">
      <c r="A1930" s="4" t="s">
        <v>105</v>
      </c>
      <c r="B1930" s="4" t="s">
        <v>12</v>
      </c>
      <c r="C1930" s="4" t="n">
        <v>6</v>
      </c>
      <c r="D1930" s="4" t="n">
        <v>1</v>
      </c>
      <c r="E1930" s="4" t="s">
        <v>42</v>
      </c>
      <c r="F1930" s="3" t="s">
        <v>72</v>
      </c>
      <c r="G1930" s="3" t="s">
        <v>612</v>
      </c>
      <c r="H1930" s="3" t="s">
        <v>324</v>
      </c>
    </row>
    <row r="1931" customFormat="false" ht="15" hidden="false" customHeight="false" outlineLevel="0" collapsed="false">
      <c r="A1931" s="4" t="s">
        <v>105</v>
      </c>
      <c r="B1931" s="4" t="s">
        <v>12</v>
      </c>
      <c r="C1931" s="4" t="n">
        <v>7</v>
      </c>
      <c r="D1931" s="4" t="n">
        <v>1</v>
      </c>
      <c r="E1931" s="4" t="s">
        <v>39</v>
      </c>
      <c r="F1931" s="3" t="s">
        <v>195</v>
      </c>
      <c r="G1931" s="3" t="s">
        <v>613</v>
      </c>
      <c r="H1931" s="3" t="s">
        <v>194</v>
      </c>
    </row>
    <row r="1932" customFormat="false" ht="15" hidden="false" customHeight="false" outlineLevel="0" collapsed="false">
      <c r="A1932" s="4" t="s">
        <v>105</v>
      </c>
      <c r="B1932" s="4" t="s">
        <v>31</v>
      </c>
      <c r="C1932" s="4" t="n">
        <v>1</v>
      </c>
      <c r="D1932" s="4" t="n">
        <v>1</v>
      </c>
      <c r="E1932" s="4" t="s">
        <v>16</v>
      </c>
      <c r="F1932" s="3" t="s">
        <v>72</v>
      </c>
      <c r="G1932" s="3" t="s">
        <v>612</v>
      </c>
      <c r="H1932" s="3" t="s">
        <v>325</v>
      </c>
    </row>
    <row r="1933" customFormat="false" ht="15" hidden="false" customHeight="false" outlineLevel="0" collapsed="false">
      <c r="A1933" s="4" t="s">
        <v>105</v>
      </c>
      <c r="B1933" s="4" t="s">
        <v>31</v>
      </c>
      <c r="C1933" s="4" t="n">
        <v>2</v>
      </c>
      <c r="D1933" s="4" t="n">
        <v>1</v>
      </c>
      <c r="E1933" s="4" t="s">
        <v>21</v>
      </c>
      <c r="F1933" s="3" t="s">
        <v>164</v>
      </c>
      <c r="G1933" s="3" t="s">
        <v>609</v>
      </c>
      <c r="H1933" s="3" t="s">
        <v>257</v>
      </c>
    </row>
    <row r="1934" customFormat="false" ht="15" hidden="false" customHeight="false" outlineLevel="0" collapsed="false">
      <c r="A1934" s="4" t="s">
        <v>105</v>
      </c>
      <c r="B1934" s="4" t="s">
        <v>31</v>
      </c>
      <c r="C1934" s="4" t="n">
        <v>3</v>
      </c>
      <c r="D1934" s="4" t="n">
        <v>1</v>
      </c>
      <c r="E1934" s="4" t="s">
        <v>26</v>
      </c>
      <c r="F1934" s="3" t="s">
        <v>104</v>
      </c>
      <c r="G1934" s="3" t="s">
        <v>611</v>
      </c>
      <c r="H1934" s="3" t="s">
        <v>110</v>
      </c>
    </row>
    <row r="1935" customFormat="false" ht="15" hidden="false" customHeight="false" outlineLevel="0" collapsed="false">
      <c r="A1935" s="4" t="s">
        <v>105</v>
      </c>
      <c r="B1935" s="4" t="s">
        <v>31</v>
      </c>
      <c r="C1935" s="4" t="n">
        <v>4</v>
      </c>
      <c r="D1935" s="4" t="n">
        <v>1</v>
      </c>
      <c r="E1935" s="4" t="s">
        <v>34</v>
      </c>
      <c r="F1935" s="3" t="s">
        <v>310</v>
      </c>
      <c r="G1935" s="3" t="s">
        <v>608</v>
      </c>
      <c r="H1935" s="3" t="s">
        <v>313</v>
      </c>
    </row>
    <row r="1936" customFormat="false" ht="15" hidden="false" customHeight="false" outlineLevel="0" collapsed="false">
      <c r="A1936" s="4" t="s">
        <v>105</v>
      </c>
      <c r="B1936" s="4" t="s">
        <v>31</v>
      </c>
      <c r="C1936" s="4" t="n">
        <v>5</v>
      </c>
      <c r="D1936" s="4" t="n">
        <v>1</v>
      </c>
      <c r="E1936" s="4" t="s">
        <v>37</v>
      </c>
      <c r="F1936" s="3" t="s">
        <v>36</v>
      </c>
      <c r="G1936" s="3" t="s">
        <v>614</v>
      </c>
      <c r="H1936" s="3" t="s">
        <v>229</v>
      </c>
    </row>
    <row r="1937" customFormat="false" ht="15" hidden="false" customHeight="false" outlineLevel="0" collapsed="false">
      <c r="A1937" s="4" t="s">
        <v>105</v>
      </c>
      <c r="B1937" s="4" t="s">
        <v>31</v>
      </c>
      <c r="C1937" s="4" t="n">
        <v>6</v>
      </c>
      <c r="D1937" s="4" t="n">
        <v>2</v>
      </c>
      <c r="E1937" s="4" t="s">
        <v>536</v>
      </c>
      <c r="F1937" s="3" t="s">
        <v>388</v>
      </c>
      <c r="G1937" s="3" t="s">
        <v>590</v>
      </c>
      <c r="H1937" s="3" t="s">
        <v>387</v>
      </c>
    </row>
    <row r="1938" customFormat="false" ht="15" hidden="false" customHeight="false" outlineLevel="0" collapsed="false">
      <c r="A1938" s="4" t="s">
        <v>105</v>
      </c>
      <c r="B1938" s="4" t="s">
        <v>40</v>
      </c>
      <c r="C1938" s="4" t="n">
        <v>1</v>
      </c>
      <c r="D1938" s="4" t="n">
        <v>1</v>
      </c>
      <c r="E1938" s="4" t="s">
        <v>16</v>
      </c>
      <c r="F1938" s="3" t="s">
        <v>104</v>
      </c>
      <c r="G1938" s="3" t="s">
        <v>611</v>
      </c>
      <c r="H1938" s="3" t="s">
        <v>114</v>
      </c>
    </row>
    <row r="1939" customFormat="false" ht="15" hidden="false" customHeight="false" outlineLevel="0" collapsed="false">
      <c r="A1939" s="4" t="s">
        <v>105</v>
      </c>
      <c r="B1939" s="4" t="s">
        <v>40</v>
      </c>
      <c r="C1939" s="4" t="n">
        <v>2</v>
      </c>
      <c r="D1939" s="4" t="n">
        <v>1</v>
      </c>
      <c r="E1939" s="4" t="s">
        <v>21</v>
      </c>
      <c r="F1939" s="3" t="s">
        <v>164</v>
      </c>
      <c r="G1939" s="3" t="s">
        <v>609</v>
      </c>
      <c r="H1939" s="3" t="s">
        <v>258</v>
      </c>
    </row>
    <row r="1940" customFormat="false" ht="15" hidden="false" customHeight="false" outlineLevel="0" collapsed="false">
      <c r="A1940" s="4" t="s">
        <v>105</v>
      </c>
      <c r="B1940" s="4" t="s">
        <v>40</v>
      </c>
      <c r="C1940" s="4" t="n">
        <v>3</v>
      </c>
      <c r="D1940" s="4" t="n">
        <v>1</v>
      </c>
      <c r="E1940" s="4" t="s">
        <v>26</v>
      </c>
      <c r="F1940" s="3" t="s">
        <v>195</v>
      </c>
      <c r="G1940" s="3" t="s">
        <v>615</v>
      </c>
      <c r="H1940" s="3" t="s">
        <v>194</v>
      </c>
    </row>
    <row r="1941" customFormat="false" ht="15" hidden="false" customHeight="false" outlineLevel="0" collapsed="false">
      <c r="A1941" s="4" t="s">
        <v>105</v>
      </c>
      <c r="B1941" s="4" t="s">
        <v>40</v>
      </c>
      <c r="C1941" s="4" t="n">
        <v>4</v>
      </c>
      <c r="D1941" s="4" t="n">
        <v>1</v>
      </c>
      <c r="E1941" s="4" t="s">
        <v>34</v>
      </c>
      <c r="F1941" s="3" t="s">
        <v>15</v>
      </c>
      <c r="G1941" s="3" t="s">
        <v>610</v>
      </c>
      <c r="H1941" s="3" t="s">
        <v>230</v>
      </c>
    </row>
    <row r="1942" customFormat="false" ht="15" hidden="false" customHeight="false" outlineLevel="0" collapsed="false">
      <c r="A1942" s="4" t="s">
        <v>105</v>
      </c>
      <c r="B1942" s="4" t="s">
        <v>40</v>
      </c>
      <c r="C1942" s="4" t="n">
        <v>5</v>
      </c>
      <c r="D1942" s="4" t="n">
        <v>1</v>
      </c>
      <c r="E1942" s="4" t="s">
        <v>37</v>
      </c>
      <c r="F1942" s="3" t="s">
        <v>72</v>
      </c>
      <c r="G1942" s="3" t="s">
        <v>612</v>
      </c>
      <c r="H1942" s="3" t="s">
        <v>254</v>
      </c>
    </row>
    <row r="1943" customFormat="false" ht="15" hidden="false" customHeight="false" outlineLevel="0" collapsed="false">
      <c r="A1943" s="4" t="s">
        <v>105</v>
      </c>
      <c r="B1943" s="4" t="s">
        <v>40</v>
      </c>
      <c r="C1943" s="4" t="n">
        <v>6</v>
      </c>
      <c r="D1943" s="4" t="n">
        <v>2</v>
      </c>
      <c r="E1943" s="4" t="s">
        <v>536</v>
      </c>
      <c r="F1943" s="3" t="s">
        <v>310</v>
      </c>
      <c r="G1943" s="3" t="s">
        <v>608</v>
      </c>
      <c r="H1943" s="3" t="s">
        <v>314</v>
      </c>
    </row>
    <row r="1944" customFormat="false" ht="15" hidden="false" customHeight="false" outlineLevel="0" collapsed="false">
      <c r="A1944" s="4" t="s">
        <v>105</v>
      </c>
      <c r="B1944" s="4" t="s">
        <v>44</v>
      </c>
      <c r="C1944" s="4" t="n">
        <v>1</v>
      </c>
      <c r="D1944" s="4" t="n">
        <v>1</v>
      </c>
      <c r="E1944" s="4" t="s">
        <v>16</v>
      </c>
      <c r="F1944" s="3" t="s">
        <v>72</v>
      </c>
      <c r="G1944" s="3" t="s">
        <v>612</v>
      </c>
      <c r="H1944" s="3" t="s">
        <v>257</v>
      </c>
    </row>
    <row r="1945" customFormat="false" ht="15" hidden="false" customHeight="false" outlineLevel="0" collapsed="false">
      <c r="A1945" s="4" t="s">
        <v>105</v>
      </c>
      <c r="B1945" s="4" t="s">
        <v>44</v>
      </c>
      <c r="C1945" s="4" t="n">
        <v>2</v>
      </c>
      <c r="D1945" s="4" t="n">
        <v>1</v>
      </c>
      <c r="E1945" s="4" t="s">
        <v>21</v>
      </c>
      <c r="F1945" s="3" t="s">
        <v>104</v>
      </c>
      <c r="G1945" s="3" t="s">
        <v>611</v>
      </c>
      <c r="H1945" s="3" t="s">
        <v>110</v>
      </c>
    </row>
    <row r="1946" customFormat="false" ht="15" hidden="false" customHeight="false" outlineLevel="0" collapsed="false">
      <c r="A1946" s="4" t="s">
        <v>105</v>
      </c>
      <c r="B1946" s="4" t="s">
        <v>44</v>
      </c>
      <c r="C1946" s="4" t="n">
        <v>3</v>
      </c>
      <c r="D1946" s="4" t="n">
        <v>1</v>
      </c>
      <c r="E1946" s="4" t="s">
        <v>26</v>
      </c>
      <c r="F1946" s="3" t="s">
        <v>15</v>
      </c>
      <c r="G1946" s="3" t="s">
        <v>610</v>
      </c>
      <c r="H1946" s="3" t="s">
        <v>227</v>
      </c>
    </row>
    <row r="1947" customFormat="false" ht="15" hidden="false" customHeight="false" outlineLevel="0" collapsed="false">
      <c r="A1947" s="4" t="s">
        <v>105</v>
      </c>
      <c r="B1947" s="4" t="s">
        <v>44</v>
      </c>
      <c r="C1947" s="4" t="n">
        <v>4</v>
      </c>
      <c r="D1947" s="4" t="n">
        <v>1</v>
      </c>
      <c r="E1947" s="4" t="s">
        <v>34</v>
      </c>
      <c r="F1947" s="3" t="s">
        <v>287</v>
      </c>
      <c r="G1947" s="3" t="s">
        <v>505</v>
      </c>
      <c r="H1947" s="3" t="s">
        <v>507</v>
      </c>
    </row>
    <row r="1948" customFormat="false" ht="15" hidden="false" customHeight="false" outlineLevel="0" collapsed="false">
      <c r="A1948" s="4" t="s">
        <v>105</v>
      </c>
      <c r="B1948" s="4" t="s">
        <v>44</v>
      </c>
      <c r="C1948" s="4" t="n">
        <v>5</v>
      </c>
      <c r="D1948" s="4" t="n">
        <v>1</v>
      </c>
      <c r="E1948" s="4" t="s">
        <v>37</v>
      </c>
      <c r="F1948" s="3" t="s">
        <v>36</v>
      </c>
      <c r="G1948" s="3" t="s">
        <v>614</v>
      </c>
      <c r="H1948" s="3" t="s">
        <v>229</v>
      </c>
    </row>
    <row r="1949" customFormat="false" ht="15" hidden="false" customHeight="false" outlineLevel="0" collapsed="false">
      <c r="A1949" s="4" t="s">
        <v>105</v>
      </c>
      <c r="B1949" s="4" t="s">
        <v>44</v>
      </c>
      <c r="C1949" s="4" t="n">
        <v>6</v>
      </c>
      <c r="D1949" s="4" t="n">
        <v>1</v>
      </c>
      <c r="E1949" s="4" t="s">
        <v>42</v>
      </c>
      <c r="F1949" s="3" t="s">
        <v>164</v>
      </c>
      <c r="G1949" s="3" t="s">
        <v>609</v>
      </c>
      <c r="H1949" s="3" t="s">
        <v>257</v>
      </c>
    </row>
    <row r="1950" customFormat="false" ht="15" hidden="false" customHeight="false" outlineLevel="0" collapsed="false">
      <c r="A1950" s="4" t="s">
        <v>105</v>
      </c>
      <c r="B1950" s="4" t="s">
        <v>44</v>
      </c>
      <c r="C1950" s="4" t="n">
        <v>7</v>
      </c>
      <c r="D1950" s="4" t="n">
        <v>1</v>
      </c>
      <c r="E1950" s="4" t="s">
        <v>39</v>
      </c>
      <c r="F1950" s="3" t="s">
        <v>195</v>
      </c>
      <c r="G1950" s="3" t="s">
        <v>615</v>
      </c>
      <c r="H1950" s="3" t="s">
        <v>194</v>
      </c>
    </row>
    <row r="1951" customFormat="false" ht="15" hidden="false" customHeight="false" outlineLevel="0" collapsed="false">
      <c r="A1951" s="4" t="s">
        <v>105</v>
      </c>
      <c r="B1951" s="4" t="s">
        <v>47</v>
      </c>
      <c r="C1951" s="4" t="n">
        <v>1</v>
      </c>
      <c r="D1951" s="4" t="n">
        <v>1</v>
      </c>
      <c r="E1951" s="4" t="s">
        <v>16</v>
      </c>
      <c r="F1951" s="3" t="s">
        <v>164</v>
      </c>
      <c r="G1951" s="3" t="s">
        <v>609</v>
      </c>
      <c r="H1951" s="3" t="s">
        <v>260</v>
      </c>
    </row>
    <row r="1952" customFormat="false" ht="15" hidden="false" customHeight="false" outlineLevel="0" collapsed="false">
      <c r="A1952" s="4" t="s">
        <v>105</v>
      </c>
      <c r="B1952" s="4" t="s">
        <v>47</v>
      </c>
      <c r="C1952" s="4" t="n">
        <v>2</v>
      </c>
      <c r="D1952" s="4" t="n">
        <v>1</v>
      </c>
      <c r="E1952" s="4" t="s">
        <v>21</v>
      </c>
      <c r="F1952" s="3" t="s">
        <v>310</v>
      </c>
      <c r="G1952" s="3" t="s">
        <v>608</v>
      </c>
      <c r="H1952" s="3" t="s">
        <v>315</v>
      </c>
    </row>
    <row r="1953" customFormat="false" ht="15" hidden="false" customHeight="false" outlineLevel="0" collapsed="false">
      <c r="A1953" s="4" t="s">
        <v>105</v>
      </c>
      <c r="B1953" s="4" t="s">
        <v>47</v>
      </c>
      <c r="C1953" s="4" t="n">
        <v>3</v>
      </c>
      <c r="D1953" s="4" t="n">
        <v>1</v>
      </c>
      <c r="E1953" s="4" t="s">
        <v>26</v>
      </c>
      <c r="F1953" s="3" t="s">
        <v>15</v>
      </c>
      <c r="G1953" s="3" t="s">
        <v>610</v>
      </c>
      <c r="H1953" s="3" t="s">
        <v>231</v>
      </c>
    </row>
    <row r="1954" customFormat="false" ht="15" hidden="false" customHeight="false" outlineLevel="0" collapsed="false">
      <c r="A1954" s="4" t="s">
        <v>105</v>
      </c>
      <c r="B1954" s="4" t="s">
        <v>47</v>
      </c>
      <c r="C1954" s="4" t="n">
        <v>4</v>
      </c>
      <c r="D1954" s="4" t="n">
        <v>1</v>
      </c>
      <c r="E1954" s="4" t="s">
        <v>34</v>
      </c>
      <c r="F1954" s="3" t="s">
        <v>195</v>
      </c>
      <c r="G1954" s="3" t="s">
        <v>615</v>
      </c>
      <c r="H1954" s="3" t="s">
        <v>194</v>
      </c>
    </row>
    <row r="1955" customFormat="false" ht="15" hidden="false" customHeight="false" outlineLevel="0" collapsed="false">
      <c r="A1955" s="4" t="s">
        <v>105</v>
      </c>
      <c r="B1955" s="4" t="s">
        <v>47</v>
      </c>
      <c r="C1955" s="4" t="n">
        <v>5</v>
      </c>
      <c r="D1955" s="4" t="n">
        <v>1</v>
      </c>
      <c r="E1955" s="4" t="s">
        <v>37</v>
      </c>
      <c r="F1955" s="3" t="s">
        <v>104</v>
      </c>
      <c r="G1955" s="3" t="s">
        <v>611</v>
      </c>
      <c r="H1955" s="3" t="s">
        <v>116</v>
      </c>
    </row>
    <row r="1956" customFormat="false" ht="15" hidden="false" customHeight="false" outlineLevel="0" collapsed="false">
      <c r="A1956" s="4" t="s">
        <v>105</v>
      </c>
      <c r="B1956" s="4" t="s">
        <v>47</v>
      </c>
      <c r="C1956" s="4" t="n">
        <v>6</v>
      </c>
      <c r="D1956" s="4" t="n">
        <v>2</v>
      </c>
      <c r="E1956" s="4" t="s">
        <v>536</v>
      </c>
      <c r="F1956" s="3" t="s">
        <v>72</v>
      </c>
      <c r="G1956" s="3" t="s">
        <v>612</v>
      </c>
      <c r="H1956" s="3" t="s">
        <v>328</v>
      </c>
    </row>
    <row r="1957" customFormat="false" ht="15" hidden="false" customHeight="false" outlineLevel="0" collapsed="false">
      <c r="A1957" s="4" t="s">
        <v>105</v>
      </c>
      <c r="B1957" s="4" t="s">
        <v>50</v>
      </c>
      <c r="C1957" s="4" t="n">
        <v>1</v>
      </c>
      <c r="D1957" s="4" t="n">
        <v>1</v>
      </c>
      <c r="E1957" s="4" t="s">
        <v>16</v>
      </c>
      <c r="F1957" s="3" t="s">
        <v>15</v>
      </c>
      <c r="G1957" s="3" t="s">
        <v>610</v>
      </c>
      <c r="H1957" s="3" t="s">
        <v>227</v>
      </c>
    </row>
    <row r="1958" customFormat="false" ht="15" hidden="false" customHeight="false" outlineLevel="0" collapsed="false">
      <c r="A1958" s="4" t="s">
        <v>105</v>
      </c>
      <c r="B1958" s="4" t="s">
        <v>50</v>
      </c>
      <c r="C1958" s="4" t="n">
        <v>2</v>
      </c>
      <c r="D1958" s="4" t="n">
        <v>1</v>
      </c>
      <c r="E1958" s="4" t="s">
        <v>21</v>
      </c>
      <c r="F1958" s="3" t="s">
        <v>104</v>
      </c>
      <c r="G1958" s="3" t="s">
        <v>611</v>
      </c>
      <c r="H1958" s="3" t="s">
        <v>118</v>
      </c>
    </row>
    <row r="1959" customFormat="false" ht="15" hidden="false" customHeight="false" outlineLevel="0" collapsed="false">
      <c r="A1959" s="4" t="s">
        <v>105</v>
      </c>
      <c r="B1959" s="4" t="s">
        <v>50</v>
      </c>
      <c r="C1959" s="4" t="n">
        <v>3</v>
      </c>
      <c r="D1959" s="4" t="n">
        <v>1</v>
      </c>
      <c r="E1959" s="4" t="s">
        <v>26</v>
      </c>
      <c r="F1959" s="3" t="s">
        <v>310</v>
      </c>
      <c r="G1959" s="3" t="s">
        <v>608</v>
      </c>
      <c r="H1959" s="3" t="s">
        <v>317</v>
      </c>
    </row>
    <row r="1960" customFormat="false" ht="15" hidden="false" customHeight="false" outlineLevel="0" collapsed="false">
      <c r="A1960" s="4" t="s">
        <v>105</v>
      </c>
      <c r="B1960" s="4" t="s">
        <v>50</v>
      </c>
      <c r="C1960" s="4" t="n">
        <v>4</v>
      </c>
      <c r="D1960" s="4" t="n">
        <v>2</v>
      </c>
      <c r="E1960" s="4" t="s">
        <v>533</v>
      </c>
      <c r="F1960" s="3" t="s">
        <v>195</v>
      </c>
      <c r="G1960" s="3" t="s">
        <v>615</v>
      </c>
      <c r="H1960" s="3" t="s">
        <v>194</v>
      </c>
    </row>
    <row r="1961" customFormat="false" ht="15" hidden="false" customHeight="false" outlineLevel="0" collapsed="false">
      <c r="A1961" s="4" t="s">
        <v>105</v>
      </c>
      <c r="B1961" s="4" t="s">
        <v>50</v>
      </c>
      <c r="C1961" s="4" t="n">
        <v>6</v>
      </c>
      <c r="D1961" s="4" t="n">
        <v>1</v>
      </c>
      <c r="E1961" s="4" t="s">
        <v>42</v>
      </c>
      <c r="F1961" s="3" t="s">
        <v>164</v>
      </c>
      <c r="G1961" s="3" t="s">
        <v>609</v>
      </c>
      <c r="H1961" s="3" t="s">
        <v>263</v>
      </c>
    </row>
    <row r="1962" customFormat="false" ht="15" hidden="false" customHeight="false" outlineLevel="0" collapsed="false">
      <c r="A1962" s="4" t="s">
        <v>105</v>
      </c>
      <c r="B1962" s="4" t="s">
        <v>50</v>
      </c>
      <c r="C1962" s="4" t="n">
        <v>7</v>
      </c>
      <c r="D1962" s="4" t="n">
        <v>1</v>
      </c>
      <c r="E1962" s="4" t="s">
        <v>39</v>
      </c>
      <c r="F1962" s="3" t="s">
        <v>72</v>
      </c>
      <c r="G1962" s="3" t="s">
        <v>612</v>
      </c>
      <c r="H1962" s="3" t="s">
        <v>331</v>
      </c>
    </row>
    <row r="1963" customFormat="false" ht="15" hidden="false" customHeight="false" outlineLevel="0" collapsed="false">
      <c r="A1963" s="4" t="s">
        <v>105</v>
      </c>
      <c r="B1963" s="4" t="s">
        <v>60</v>
      </c>
      <c r="C1963" s="4" t="n">
        <v>1</v>
      </c>
      <c r="D1963" s="4" t="n">
        <v>1</v>
      </c>
      <c r="E1963" s="4" t="s">
        <v>16</v>
      </c>
      <c r="F1963" s="3" t="s">
        <v>15</v>
      </c>
      <c r="G1963" s="3" t="s">
        <v>610</v>
      </c>
      <c r="H1963" s="3" t="s">
        <v>227</v>
      </c>
    </row>
    <row r="1964" customFormat="false" ht="15" hidden="false" customHeight="false" outlineLevel="0" collapsed="false">
      <c r="A1964" s="4" t="s">
        <v>105</v>
      </c>
      <c r="B1964" s="4" t="s">
        <v>60</v>
      </c>
      <c r="C1964" s="4" t="n">
        <v>2</v>
      </c>
      <c r="D1964" s="4" t="n">
        <v>1</v>
      </c>
      <c r="E1964" s="4" t="s">
        <v>21</v>
      </c>
      <c r="F1964" s="3" t="s">
        <v>287</v>
      </c>
      <c r="G1964" s="3" t="s">
        <v>505</v>
      </c>
      <c r="H1964" s="3" t="s">
        <v>507</v>
      </c>
    </row>
    <row r="1965" customFormat="false" ht="15" hidden="false" customHeight="false" outlineLevel="0" collapsed="false">
      <c r="A1965" s="4" t="s">
        <v>105</v>
      </c>
      <c r="B1965" s="4" t="s">
        <v>60</v>
      </c>
      <c r="C1965" s="4" t="n">
        <v>3</v>
      </c>
      <c r="D1965" s="4" t="n">
        <v>1</v>
      </c>
      <c r="E1965" s="4" t="s">
        <v>26</v>
      </c>
      <c r="F1965" s="3" t="s">
        <v>72</v>
      </c>
      <c r="G1965" s="3" t="s">
        <v>612</v>
      </c>
      <c r="H1965" s="3" t="s">
        <v>332</v>
      </c>
    </row>
    <row r="1966" customFormat="false" ht="15" hidden="false" customHeight="false" outlineLevel="0" collapsed="false">
      <c r="A1966" s="4" t="s">
        <v>105</v>
      </c>
      <c r="B1966" s="4" t="s">
        <v>60</v>
      </c>
      <c r="C1966" s="4" t="n">
        <v>4</v>
      </c>
      <c r="D1966" s="4" t="n">
        <v>1</v>
      </c>
      <c r="E1966" s="4" t="s">
        <v>34</v>
      </c>
      <c r="F1966" s="3" t="s">
        <v>310</v>
      </c>
      <c r="G1966" s="3" t="s">
        <v>608</v>
      </c>
      <c r="H1966" s="3" t="s">
        <v>318</v>
      </c>
    </row>
    <row r="1967" customFormat="false" ht="15" hidden="false" customHeight="false" outlineLevel="0" collapsed="false">
      <c r="A1967" s="4" t="s">
        <v>105</v>
      </c>
      <c r="B1967" s="4" t="s">
        <v>60</v>
      </c>
      <c r="C1967" s="4" t="n">
        <v>5</v>
      </c>
      <c r="D1967" s="4" t="n">
        <v>1</v>
      </c>
      <c r="E1967" s="4" t="s">
        <v>37</v>
      </c>
      <c r="F1967" s="3" t="s">
        <v>36</v>
      </c>
      <c r="G1967" s="3" t="s">
        <v>614</v>
      </c>
      <c r="H1967" s="3" t="s">
        <v>229</v>
      </c>
    </row>
    <row r="1968" customFormat="false" ht="15" hidden="false" customHeight="false" outlineLevel="0" collapsed="false">
      <c r="A1968" s="4" t="s">
        <v>105</v>
      </c>
      <c r="B1968" s="4" t="s">
        <v>60</v>
      </c>
      <c r="C1968" s="4" t="n">
        <v>6</v>
      </c>
      <c r="D1968" s="4" t="n">
        <v>2</v>
      </c>
      <c r="E1968" s="4" t="s">
        <v>536</v>
      </c>
      <c r="F1968" s="3" t="s">
        <v>164</v>
      </c>
      <c r="G1968" s="3" t="s">
        <v>609</v>
      </c>
      <c r="H1968" s="3" t="s">
        <v>265</v>
      </c>
    </row>
    <row r="1969" customFormat="false" ht="15" hidden="false" customHeight="false" outlineLevel="0" collapsed="false">
      <c r="A1969" s="4" t="s">
        <v>105</v>
      </c>
      <c r="B1969" s="4" t="s">
        <v>63</v>
      </c>
      <c r="C1969" s="4" t="n">
        <v>1</v>
      </c>
      <c r="D1969" s="4" t="n">
        <v>1</v>
      </c>
      <c r="E1969" s="4" t="s">
        <v>16</v>
      </c>
      <c r="F1969" s="3" t="s">
        <v>104</v>
      </c>
      <c r="G1969" s="3" t="s">
        <v>611</v>
      </c>
      <c r="H1969" s="3" t="s">
        <v>120</v>
      </c>
    </row>
    <row r="1970" customFormat="false" ht="15" hidden="false" customHeight="false" outlineLevel="0" collapsed="false">
      <c r="A1970" s="4" t="s">
        <v>105</v>
      </c>
      <c r="B1970" s="4" t="s">
        <v>63</v>
      </c>
      <c r="C1970" s="4" t="n">
        <v>2</v>
      </c>
      <c r="D1970" s="4" t="n">
        <v>1</v>
      </c>
      <c r="E1970" s="4" t="s">
        <v>21</v>
      </c>
      <c r="F1970" s="3" t="s">
        <v>287</v>
      </c>
      <c r="G1970" s="3" t="s">
        <v>505</v>
      </c>
      <c r="H1970" s="3" t="s">
        <v>507</v>
      </c>
    </row>
    <row r="1971" customFormat="false" ht="15" hidden="false" customHeight="false" outlineLevel="0" collapsed="false">
      <c r="A1971" s="4" t="s">
        <v>105</v>
      </c>
      <c r="B1971" s="4" t="s">
        <v>63</v>
      </c>
      <c r="C1971" s="4" t="n">
        <v>3</v>
      </c>
      <c r="D1971" s="4" t="n">
        <v>1</v>
      </c>
      <c r="E1971" s="4" t="s">
        <v>26</v>
      </c>
      <c r="F1971" s="3" t="s">
        <v>195</v>
      </c>
      <c r="G1971" s="3" t="s">
        <v>613</v>
      </c>
      <c r="H1971" s="3" t="s">
        <v>194</v>
      </c>
    </row>
    <row r="1972" customFormat="false" ht="15" hidden="false" customHeight="false" outlineLevel="0" collapsed="false">
      <c r="A1972" s="4" t="s">
        <v>105</v>
      </c>
      <c r="B1972" s="4" t="s">
        <v>63</v>
      </c>
      <c r="C1972" s="4" t="n">
        <v>4</v>
      </c>
      <c r="D1972" s="4" t="n">
        <v>1</v>
      </c>
      <c r="E1972" s="4" t="s">
        <v>34</v>
      </c>
      <c r="F1972" s="3" t="s">
        <v>72</v>
      </c>
      <c r="G1972" s="3" t="s">
        <v>612</v>
      </c>
      <c r="H1972" s="3" t="s">
        <v>331</v>
      </c>
    </row>
    <row r="1973" customFormat="false" ht="15" hidden="false" customHeight="false" outlineLevel="0" collapsed="false">
      <c r="A1973" s="4" t="s">
        <v>105</v>
      </c>
      <c r="B1973" s="4" t="s">
        <v>63</v>
      </c>
      <c r="C1973" s="4" t="n">
        <v>5</v>
      </c>
      <c r="D1973" s="4" t="n">
        <v>1</v>
      </c>
      <c r="E1973" s="4" t="s">
        <v>37</v>
      </c>
      <c r="F1973" s="3" t="s">
        <v>15</v>
      </c>
      <c r="G1973" s="3" t="s">
        <v>610</v>
      </c>
      <c r="H1973" s="3" t="s">
        <v>232</v>
      </c>
    </row>
    <row r="1974" customFormat="false" ht="15" hidden="false" customHeight="false" outlineLevel="0" collapsed="false">
      <c r="A1974" s="4" t="s">
        <v>105</v>
      </c>
      <c r="B1974" s="4" t="s">
        <v>63</v>
      </c>
      <c r="C1974" s="4" t="n">
        <v>6</v>
      </c>
      <c r="D1974" s="4" t="n">
        <v>1</v>
      </c>
      <c r="E1974" s="4" t="s">
        <v>42</v>
      </c>
      <c r="F1974" s="3" t="s">
        <v>164</v>
      </c>
      <c r="G1974" s="3" t="s">
        <v>609</v>
      </c>
      <c r="H1974" s="3" t="s">
        <v>267</v>
      </c>
    </row>
    <row r="1975" customFormat="false" ht="15" hidden="false" customHeight="false" outlineLevel="0" collapsed="false">
      <c r="A1975" s="4" t="s">
        <v>105</v>
      </c>
      <c r="B1975" s="4" t="s">
        <v>63</v>
      </c>
      <c r="C1975" s="4" t="n">
        <v>7</v>
      </c>
      <c r="D1975" s="4" t="n">
        <v>1</v>
      </c>
      <c r="E1975" s="4" t="s">
        <v>39</v>
      </c>
      <c r="F1975" s="3" t="s">
        <v>310</v>
      </c>
      <c r="G1975" s="3" t="s">
        <v>608</v>
      </c>
      <c r="H1975" s="3" t="s">
        <v>319</v>
      </c>
    </row>
    <row r="1976" customFormat="false" ht="15" hidden="false" customHeight="false" outlineLevel="0" collapsed="false">
      <c r="A1976" s="4" t="s">
        <v>105</v>
      </c>
      <c r="B1976" s="4" t="s">
        <v>65</v>
      </c>
      <c r="C1976" s="4" t="n">
        <v>1</v>
      </c>
      <c r="D1976" s="4" t="n">
        <v>2</v>
      </c>
      <c r="E1976" s="4" t="s">
        <v>539</v>
      </c>
      <c r="F1976" s="3" t="s">
        <v>15</v>
      </c>
      <c r="G1976" s="3" t="s">
        <v>610</v>
      </c>
      <c r="H1976" s="3" t="s">
        <v>227</v>
      </c>
    </row>
    <row r="1977" customFormat="false" ht="15" hidden="false" customHeight="false" outlineLevel="0" collapsed="false">
      <c r="A1977" s="4" t="s">
        <v>105</v>
      </c>
      <c r="B1977" s="4" t="s">
        <v>65</v>
      </c>
      <c r="C1977" s="4" t="n">
        <v>3</v>
      </c>
      <c r="D1977" s="4" t="n">
        <v>1</v>
      </c>
      <c r="E1977" s="4" t="s">
        <v>26</v>
      </c>
      <c r="F1977" s="3" t="s">
        <v>72</v>
      </c>
      <c r="G1977" s="3" t="s">
        <v>612</v>
      </c>
      <c r="H1977" s="3" t="s">
        <v>335</v>
      </c>
    </row>
    <row r="1978" customFormat="false" ht="15" hidden="false" customHeight="false" outlineLevel="0" collapsed="false">
      <c r="A1978" s="4" t="s">
        <v>105</v>
      </c>
      <c r="B1978" s="4" t="s">
        <v>65</v>
      </c>
      <c r="C1978" s="4" t="n">
        <v>4</v>
      </c>
      <c r="D1978" s="4" t="n">
        <v>1</v>
      </c>
      <c r="E1978" s="4" t="s">
        <v>34</v>
      </c>
      <c r="F1978" s="3" t="s">
        <v>195</v>
      </c>
      <c r="G1978" s="3" t="s">
        <v>613</v>
      </c>
      <c r="H1978" s="3" t="s">
        <v>194</v>
      </c>
    </row>
    <row r="1979" customFormat="false" ht="15" hidden="false" customHeight="false" outlineLevel="0" collapsed="false">
      <c r="A1979" s="4" t="s">
        <v>105</v>
      </c>
      <c r="B1979" s="4" t="s">
        <v>65</v>
      </c>
      <c r="C1979" s="4" t="n">
        <v>5</v>
      </c>
      <c r="D1979" s="4" t="n">
        <v>1</v>
      </c>
      <c r="E1979" s="4" t="s">
        <v>37</v>
      </c>
      <c r="F1979" s="3" t="s">
        <v>36</v>
      </c>
      <c r="G1979" s="3" t="s">
        <v>614</v>
      </c>
      <c r="H1979" s="3" t="s">
        <v>229</v>
      </c>
    </row>
    <row r="1980" customFormat="false" ht="15" hidden="false" customHeight="false" outlineLevel="0" collapsed="false">
      <c r="A1980" s="4" t="s">
        <v>105</v>
      </c>
      <c r="B1980" s="4" t="s">
        <v>65</v>
      </c>
      <c r="C1980" s="4" t="n">
        <v>6</v>
      </c>
      <c r="D1980" s="4" t="n">
        <v>1</v>
      </c>
      <c r="E1980" s="4" t="s">
        <v>42</v>
      </c>
      <c r="F1980" s="3" t="s">
        <v>287</v>
      </c>
      <c r="G1980" s="3" t="s">
        <v>505</v>
      </c>
      <c r="H1980" s="3" t="s">
        <v>507</v>
      </c>
    </row>
    <row r="1981" customFormat="false" ht="15" hidden="false" customHeight="false" outlineLevel="0" collapsed="false">
      <c r="A1981" s="4" t="s">
        <v>105</v>
      </c>
      <c r="B1981" s="4" t="s">
        <v>65</v>
      </c>
      <c r="C1981" s="4" t="n">
        <v>7</v>
      </c>
      <c r="D1981" s="4" t="n">
        <v>1</v>
      </c>
      <c r="E1981" s="4" t="s">
        <v>39</v>
      </c>
      <c r="F1981" s="3" t="s">
        <v>164</v>
      </c>
      <c r="G1981" s="3" t="s">
        <v>609</v>
      </c>
      <c r="H1981" s="3" t="s">
        <v>267</v>
      </c>
    </row>
    <row r="1982" customFormat="false" ht="15" hidden="false" customHeight="false" outlineLevel="0" collapsed="false">
      <c r="A1982" s="4" t="s">
        <v>105</v>
      </c>
      <c r="B1982" s="4" t="s">
        <v>66</v>
      </c>
      <c r="C1982" s="4" t="n">
        <v>1</v>
      </c>
      <c r="D1982" s="4" t="n">
        <v>1</v>
      </c>
      <c r="E1982" s="4" t="s">
        <v>16</v>
      </c>
      <c r="F1982" s="3" t="s">
        <v>15</v>
      </c>
      <c r="G1982" s="3" t="s">
        <v>610</v>
      </c>
      <c r="H1982" s="3" t="s">
        <v>227</v>
      </c>
    </row>
    <row r="1983" customFormat="false" ht="15" hidden="false" customHeight="false" outlineLevel="0" collapsed="false">
      <c r="A1983" s="4" t="s">
        <v>105</v>
      </c>
      <c r="B1983" s="4" t="s">
        <v>66</v>
      </c>
      <c r="C1983" s="4" t="n">
        <v>2</v>
      </c>
      <c r="D1983" s="4" t="n">
        <v>1</v>
      </c>
      <c r="E1983" s="4" t="s">
        <v>21</v>
      </c>
      <c r="F1983" s="3" t="s">
        <v>104</v>
      </c>
      <c r="G1983" s="3" t="s">
        <v>611</v>
      </c>
      <c r="H1983" s="3" t="s">
        <v>114</v>
      </c>
    </row>
    <row r="1984" customFormat="false" ht="15" hidden="false" customHeight="false" outlineLevel="0" collapsed="false">
      <c r="A1984" s="4" t="s">
        <v>105</v>
      </c>
      <c r="B1984" s="4" t="s">
        <v>66</v>
      </c>
      <c r="C1984" s="4" t="n">
        <v>3</v>
      </c>
      <c r="D1984" s="4" t="n">
        <v>1</v>
      </c>
      <c r="E1984" s="4" t="s">
        <v>26</v>
      </c>
      <c r="F1984" s="3" t="s">
        <v>195</v>
      </c>
      <c r="G1984" s="3" t="s">
        <v>615</v>
      </c>
      <c r="H1984" s="3" t="s">
        <v>194</v>
      </c>
    </row>
    <row r="1985" customFormat="false" ht="15" hidden="false" customHeight="false" outlineLevel="0" collapsed="false">
      <c r="A1985" s="4" t="s">
        <v>105</v>
      </c>
      <c r="B1985" s="4" t="s">
        <v>66</v>
      </c>
      <c r="C1985" s="4" t="n">
        <v>4</v>
      </c>
      <c r="D1985" s="4" t="n">
        <v>1</v>
      </c>
      <c r="E1985" s="4" t="s">
        <v>34</v>
      </c>
      <c r="F1985" s="3" t="s">
        <v>164</v>
      </c>
      <c r="G1985" s="3" t="s">
        <v>609</v>
      </c>
      <c r="H1985" s="3" t="s">
        <v>257</v>
      </c>
    </row>
    <row r="1986" customFormat="false" ht="15" hidden="false" customHeight="false" outlineLevel="0" collapsed="false">
      <c r="A1986" s="4" t="s">
        <v>105</v>
      </c>
      <c r="B1986" s="4" t="s">
        <v>66</v>
      </c>
      <c r="C1986" s="4" t="n">
        <v>5</v>
      </c>
      <c r="D1986" s="4" t="n">
        <v>1</v>
      </c>
      <c r="E1986" s="4" t="s">
        <v>37</v>
      </c>
      <c r="F1986" s="3" t="s">
        <v>310</v>
      </c>
      <c r="G1986" s="3" t="s">
        <v>608</v>
      </c>
      <c r="H1986" s="3" t="s">
        <v>320</v>
      </c>
    </row>
    <row r="1987" customFormat="false" ht="15" hidden="false" customHeight="false" outlineLevel="0" collapsed="false">
      <c r="A1987" s="4" t="s">
        <v>105</v>
      </c>
      <c r="B1987" s="4" t="s">
        <v>66</v>
      </c>
      <c r="C1987" s="4" t="n">
        <v>6</v>
      </c>
      <c r="D1987" s="4" t="n">
        <v>2</v>
      </c>
      <c r="E1987" s="4" t="s">
        <v>536</v>
      </c>
      <c r="F1987" s="3" t="s">
        <v>72</v>
      </c>
      <c r="G1987" s="3" t="s">
        <v>612</v>
      </c>
      <c r="H1987" s="3" t="s">
        <v>331</v>
      </c>
    </row>
    <row r="1988" customFormat="false" ht="15" hidden="false" customHeight="false" outlineLevel="0" collapsed="false">
      <c r="A1988" s="4" t="s">
        <v>106</v>
      </c>
      <c r="B1988" s="4" t="s">
        <v>12</v>
      </c>
      <c r="C1988" s="4" t="n">
        <v>1</v>
      </c>
      <c r="D1988" s="4" t="n">
        <v>1</v>
      </c>
      <c r="E1988" s="4" t="s">
        <v>16</v>
      </c>
      <c r="F1988" s="3" t="s">
        <v>310</v>
      </c>
      <c r="G1988" s="3" t="s">
        <v>608</v>
      </c>
      <c r="H1988" s="3" t="s">
        <v>309</v>
      </c>
    </row>
    <row r="1989" customFormat="false" ht="15" hidden="false" customHeight="false" outlineLevel="0" collapsed="false">
      <c r="A1989" s="4" t="s">
        <v>106</v>
      </c>
      <c r="B1989" s="4" t="s">
        <v>12</v>
      </c>
      <c r="C1989" s="4" t="n">
        <v>2</v>
      </c>
      <c r="D1989" s="4" t="n">
        <v>1</v>
      </c>
      <c r="E1989" s="4" t="s">
        <v>21</v>
      </c>
      <c r="F1989" s="3" t="s">
        <v>164</v>
      </c>
      <c r="G1989" s="3" t="s">
        <v>609</v>
      </c>
      <c r="H1989" s="3" t="s">
        <v>254</v>
      </c>
    </row>
    <row r="1990" customFormat="false" ht="15" hidden="false" customHeight="false" outlineLevel="0" collapsed="false">
      <c r="A1990" s="4" t="s">
        <v>106</v>
      </c>
      <c r="B1990" s="4" t="s">
        <v>12</v>
      </c>
      <c r="C1990" s="4" t="n">
        <v>3</v>
      </c>
      <c r="D1990" s="4" t="n">
        <v>1</v>
      </c>
      <c r="E1990" s="4" t="s">
        <v>26</v>
      </c>
      <c r="F1990" s="3" t="s">
        <v>15</v>
      </c>
      <c r="G1990" s="3" t="s">
        <v>610</v>
      </c>
      <c r="H1990" s="3" t="s">
        <v>227</v>
      </c>
    </row>
    <row r="1991" customFormat="false" ht="15" hidden="false" customHeight="false" outlineLevel="0" collapsed="false">
      <c r="A1991" s="4" t="s">
        <v>106</v>
      </c>
      <c r="B1991" s="4" t="s">
        <v>12</v>
      </c>
      <c r="C1991" s="4" t="n">
        <v>4</v>
      </c>
      <c r="D1991" s="4" t="n">
        <v>2</v>
      </c>
      <c r="E1991" s="4" t="s">
        <v>533</v>
      </c>
      <c r="F1991" s="3" t="s">
        <v>104</v>
      </c>
      <c r="G1991" s="3" t="s">
        <v>611</v>
      </c>
      <c r="H1991" s="3" t="s">
        <v>103</v>
      </c>
    </row>
    <row r="1992" customFormat="false" ht="15" hidden="false" customHeight="false" outlineLevel="0" collapsed="false">
      <c r="A1992" s="4" t="s">
        <v>106</v>
      </c>
      <c r="B1992" s="4" t="s">
        <v>12</v>
      </c>
      <c r="C1992" s="4" t="n">
        <v>6</v>
      </c>
      <c r="D1992" s="4" t="n">
        <v>1</v>
      </c>
      <c r="E1992" s="4" t="s">
        <v>42</v>
      </c>
      <c r="F1992" s="3" t="s">
        <v>72</v>
      </c>
      <c r="G1992" s="3" t="s">
        <v>612</v>
      </c>
      <c r="H1992" s="3" t="s">
        <v>324</v>
      </c>
    </row>
    <row r="1993" customFormat="false" ht="15" hidden="false" customHeight="false" outlineLevel="0" collapsed="false">
      <c r="A1993" s="4" t="s">
        <v>106</v>
      </c>
      <c r="B1993" s="4" t="s">
        <v>12</v>
      </c>
      <c r="C1993" s="4" t="n">
        <v>7</v>
      </c>
      <c r="D1993" s="4" t="n">
        <v>1</v>
      </c>
      <c r="E1993" s="4" t="s">
        <v>39</v>
      </c>
      <c r="F1993" s="3" t="s">
        <v>340</v>
      </c>
      <c r="G1993" s="3" t="s">
        <v>616</v>
      </c>
      <c r="H1993" s="3" t="s">
        <v>339</v>
      </c>
    </row>
    <row r="1994" customFormat="false" ht="15" hidden="false" customHeight="false" outlineLevel="0" collapsed="false">
      <c r="A1994" s="4" t="s">
        <v>106</v>
      </c>
      <c r="B1994" s="4" t="s">
        <v>31</v>
      </c>
      <c r="C1994" s="4" t="n">
        <v>1</v>
      </c>
      <c r="D1994" s="4" t="n">
        <v>1</v>
      </c>
      <c r="E1994" s="4" t="s">
        <v>16</v>
      </c>
      <c r="F1994" s="3" t="s">
        <v>72</v>
      </c>
      <c r="G1994" s="3" t="s">
        <v>612</v>
      </c>
      <c r="H1994" s="3" t="s">
        <v>325</v>
      </c>
    </row>
    <row r="1995" customFormat="false" ht="15" hidden="false" customHeight="false" outlineLevel="0" collapsed="false">
      <c r="A1995" s="4" t="s">
        <v>106</v>
      </c>
      <c r="B1995" s="4" t="s">
        <v>31</v>
      </c>
      <c r="C1995" s="4" t="n">
        <v>2</v>
      </c>
      <c r="D1995" s="4" t="n">
        <v>1</v>
      </c>
      <c r="E1995" s="4" t="s">
        <v>21</v>
      </c>
      <c r="F1995" s="3" t="s">
        <v>164</v>
      </c>
      <c r="G1995" s="3" t="s">
        <v>609</v>
      </c>
      <c r="H1995" s="3" t="s">
        <v>257</v>
      </c>
    </row>
    <row r="1996" customFormat="false" ht="15" hidden="false" customHeight="false" outlineLevel="0" collapsed="false">
      <c r="A1996" s="4" t="s">
        <v>106</v>
      </c>
      <c r="B1996" s="4" t="s">
        <v>31</v>
      </c>
      <c r="C1996" s="4" t="n">
        <v>3</v>
      </c>
      <c r="D1996" s="4" t="n">
        <v>1</v>
      </c>
      <c r="E1996" s="4" t="s">
        <v>26</v>
      </c>
      <c r="F1996" s="3" t="s">
        <v>104</v>
      </c>
      <c r="G1996" s="3" t="s">
        <v>611</v>
      </c>
      <c r="H1996" s="3" t="s">
        <v>110</v>
      </c>
    </row>
    <row r="1997" customFormat="false" ht="15" hidden="false" customHeight="false" outlineLevel="0" collapsed="false">
      <c r="A1997" s="4" t="s">
        <v>106</v>
      </c>
      <c r="B1997" s="4" t="s">
        <v>31</v>
      </c>
      <c r="C1997" s="4" t="n">
        <v>4</v>
      </c>
      <c r="D1997" s="4" t="n">
        <v>1</v>
      </c>
      <c r="E1997" s="4" t="s">
        <v>34</v>
      </c>
      <c r="F1997" s="3" t="s">
        <v>310</v>
      </c>
      <c r="G1997" s="3" t="s">
        <v>608</v>
      </c>
      <c r="H1997" s="3" t="s">
        <v>313</v>
      </c>
    </row>
    <row r="1998" customFormat="false" ht="15" hidden="false" customHeight="false" outlineLevel="0" collapsed="false">
      <c r="A1998" s="4" t="s">
        <v>106</v>
      </c>
      <c r="B1998" s="4" t="s">
        <v>31</v>
      </c>
      <c r="C1998" s="4" t="n">
        <v>5</v>
      </c>
      <c r="D1998" s="4" t="n">
        <v>1</v>
      </c>
      <c r="E1998" s="4" t="s">
        <v>37</v>
      </c>
      <c r="F1998" s="3" t="s">
        <v>36</v>
      </c>
      <c r="G1998" s="3" t="s">
        <v>614</v>
      </c>
      <c r="H1998" s="3" t="s">
        <v>229</v>
      </c>
    </row>
    <row r="1999" customFormat="false" ht="15" hidden="false" customHeight="false" outlineLevel="0" collapsed="false">
      <c r="A1999" s="4" t="s">
        <v>106</v>
      </c>
      <c r="B1999" s="4" t="s">
        <v>31</v>
      </c>
      <c r="C1999" s="4" t="n">
        <v>6</v>
      </c>
      <c r="D1999" s="4" t="n">
        <v>2</v>
      </c>
      <c r="E1999" s="4" t="s">
        <v>536</v>
      </c>
      <c r="F1999" s="3" t="s">
        <v>388</v>
      </c>
      <c r="G1999" s="3" t="s">
        <v>590</v>
      </c>
      <c r="H1999" s="3" t="s">
        <v>387</v>
      </c>
    </row>
    <row r="2000" customFormat="false" ht="15" hidden="false" customHeight="false" outlineLevel="0" collapsed="false">
      <c r="A2000" s="4" t="s">
        <v>106</v>
      </c>
      <c r="B2000" s="4" t="s">
        <v>40</v>
      </c>
      <c r="C2000" s="4" t="n">
        <v>1</v>
      </c>
      <c r="D2000" s="4" t="n">
        <v>1</v>
      </c>
      <c r="E2000" s="4" t="s">
        <v>16</v>
      </c>
      <c r="F2000" s="3" t="s">
        <v>104</v>
      </c>
      <c r="G2000" s="3" t="s">
        <v>611</v>
      </c>
      <c r="H2000" s="3" t="s">
        <v>114</v>
      </c>
    </row>
    <row r="2001" customFormat="false" ht="15" hidden="false" customHeight="false" outlineLevel="0" collapsed="false">
      <c r="A2001" s="4" t="s">
        <v>106</v>
      </c>
      <c r="B2001" s="4" t="s">
        <v>40</v>
      </c>
      <c r="C2001" s="4" t="n">
        <v>2</v>
      </c>
      <c r="D2001" s="4" t="n">
        <v>1</v>
      </c>
      <c r="E2001" s="4" t="s">
        <v>21</v>
      </c>
      <c r="F2001" s="3" t="s">
        <v>164</v>
      </c>
      <c r="G2001" s="3" t="s">
        <v>609</v>
      </c>
      <c r="H2001" s="3" t="s">
        <v>258</v>
      </c>
    </row>
    <row r="2002" customFormat="false" ht="15" hidden="false" customHeight="false" outlineLevel="0" collapsed="false">
      <c r="A2002" s="4" t="s">
        <v>106</v>
      </c>
      <c r="B2002" s="4" t="s">
        <v>40</v>
      </c>
      <c r="C2002" s="4" t="n">
        <v>3</v>
      </c>
      <c r="D2002" s="4" t="n">
        <v>1</v>
      </c>
      <c r="E2002" s="4" t="s">
        <v>26</v>
      </c>
      <c r="F2002" s="3" t="s">
        <v>340</v>
      </c>
      <c r="G2002" s="3" t="s">
        <v>616</v>
      </c>
      <c r="H2002" s="3" t="s">
        <v>339</v>
      </c>
    </row>
    <row r="2003" customFormat="false" ht="15" hidden="false" customHeight="false" outlineLevel="0" collapsed="false">
      <c r="A2003" s="4" t="s">
        <v>106</v>
      </c>
      <c r="B2003" s="4" t="s">
        <v>40</v>
      </c>
      <c r="C2003" s="4" t="n">
        <v>4</v>
      </c>
      <c r="D2003" s="4" t="n">
        <v>1</v>
      </c>
      <c r="E2003" s="4" t="s">
        <v>34</v>
      </c>
      <c r="F2003" s="3" t="s">
        <v>15</v>
      </c>
      <c r="G2003" s="3" t="s">
        <v>610</v>
      </c>
      <c r="H2003" s="3" t="s">
        <v>230</v>
      </c>
    </row>
    <row r="2004" customFormat="false" ht="15" hidden="false" customHeight="false" outlineLevel="0" collapsed="false">
      <c r="A2004" s="4" t="s">
        <v>106</v>
      </c>
      <c r="B2004" s="4" t="s">
        <v>40</v>
      </c>
      <c r="C2004" s="4" t="n">
        <v>5</v>
      </c>
      <c r="D2004" s="4" t="n">
        <v>1</v>
      </c>
      <c r="E2004" s="4" t="s">
        <v>37</v>
      </c>
      <c r="F2004" s="3" t="s">
        <v>72</v>
      </c>
      <c r="G2004" s="3" t="s">
        <v>612</v>
      </c>
      <c r="H2004" s="3" t="s">
        <v>254</v>
      </c>
    </row>
    <row r="2005" customFormat="false" ht="15" hidden="false" customHeight="false" outlineLevel="0" collapsed="false">
      <c r="A2005" s="4" t="s">
        <v>106</v>
      </c>
      <c r="B2005" s="4" t="s">
        <v>40</v>
      </c>
      <c r="C2005" s="4" t="n">
        <v>6</v>
      </c>
      <c r="D2005" s="4" t="n">
        <v>2</v>
      </c>
      <c r="E2005" s="4" t="s">
        <v>536</v>
      </c>
      <c r="F2005" s="3" t="s">
        <v>310</v>
      </c>
      <c r="G2005" s="3" t="s">
        <v>608</v>
      </c>
      <c r="H2005" s="3" t="s">
        <v>314</v>
      </c>
    </row>
    <row r="2006" customFormat="false" ht="15" hidden="false" customHeight="false" outlineLevel="0" collapsed="false">
      <c r="A2006" s="4" t="s">
        <v>106</v>
      </c>
      <c r="B2006" s="4" t="s">
        <v>44</v>
      </c>
      <c r="C2006" s="4" t="n">
        <v>1</v>
      </c>
      <c r="D2006" s="4" t="n">
        <v>1</v>
      </c>
      <c r="E2006" s="4" t="s">
        <v>16</v>
      </c>
      <c r="F2006" s="3" t="s">
        <v>72</v>
      </c>
      <c r="G2006" s="3" t="s">
        <v>612</v>
      </c>
      <c r="H2006" s="3" t="s">
        <v>257</v>
      </c>
    </row>
    <row r="2007" customFormat="false" ht="15" hidden="false" customHeight="false" outlineLevel="0" collapsed="false">
      <c r="A2007" s="4" t="s">
        <v>106</v>
      </c>
      <c r="B2007" s="4" t="s">
        <v>44</v>
      </c>
      <c r="C2007" s="4" t="n">
        <v>2</v>
      </c>
      <c r="D2007" s="4" t="n">
        <v>1</v>
      </c>
      <c r="E2007" s="4" t="s">
        <v>21</v>
      </c>
      <c r="F2007" s="3" t="s">
        <v>104</v>
      </c>
      <c r="G2007" s="3" t="s">
        <v>611</v>
      </c>
      <c r="H2007" s="3" t="s">
        <v>110</v>
      </c>
    </row>
    <row r="2008" customFormat="false" ht="15" hidden="false" customHeight="false" outlineLevel="0" collapsed="false">
      <c r="A2008" s="4" t="s">
        <v>106</v>
      </c>
      <c r="B2008" s="4" t="s">
        <v>44</v>
      </c>
      <c r="C2008" s="4" t="n">
        <v>3</v>
      </c>
      <c r="D2008" s="4" t="n">
        <v>1</v>
      </c>
      <c r="E2008" s="4" t="s">
        <v>26</v>
      </c>
      <c r="F2008" s="3" t="s">
        <v>15</v>
      </c>
      <c r="G2008" s="3" t="s">
        <v>610</v>
      </c>
      <c r="H2008" s="3" t="s">
        <v>227</v>
      </c>
    </row>
    <row r="2009" customFormat="false" ht="15" hidden="false" customHeight="false" outlineLevel="0" collapsed="false">
      <c r="A2009" s="4" t="s">
        <v>106</v>
      </c>
      <c r="B2009" s="4" t="s">
        <v>44</v>
      </c>
      <c r="C2009" s="4" t="n">
        <v>4</v>
      </c>
      <c r="D2009" s="4" t="n">
        <v>1</v>
      </c>
      <c r="E2009" s="4" t="s">
        <v>34</v>
      </c>
      <c r="F2009" s="3" t="s">
        <v>287</v>
      </c>
      <c r="G2009" s="3" t="s">
        <v>514</v>
      </c>
      <c r="H2009" s="3" t="s">
        <v>516</v>
      </c>
    </row>
    <row r="2010" customFormat="false" ht="15" hidden="false" customHeight="false" outlineLevel="0" collapsed="false">
      <c r="A2010" s="4" t="s">
        <v>106</v>
      </c>
      <c r="B2010" s="4" t="s">
        <v>44</v>
      </c>
      <c r="C2010" s="4" t="n">
        <v>5</v>
      </c>
      <c r="D2010" s="4" t="n">
        <v>1</v>
      </c>
      <c r="E2010" s="4" t="s">
        <v>37</v>
      </c>
      <c r="F2010" s="3" t="s">
        <v>36</v>
      </c>
      <c r="G2010" s="3" t="s">
        <v>614</v>
      </c>
      <c r="H2010" s="3" t="s">
        <v>229</v>
      </c>
    </row>
    <row r="2011" customFormat="false" ht="15" hidden="false" customHeight="false" outlineLevel="0" collapsed="false">
      <c r="A2011" s="4" t="s">
        <v>106</v>
      </c>
      <c r="B2011" s="4" t="s">
        <v>44</v>
      </c>
      <c r="C2011" s="4" t="n">
        <v>6</v>
      </c>
      <c r="D2011" s="4" t="n">
        <v>1</v>
      </c>
      <c r="E2011" s="4" t="s">
        <v>42</v>
      </c>
      <c r="F2011" s="3" t="s">
        <v>164</v>
      </c>
      <c r="G2011" s="3" t="s">
        <v>609</v>
      </c>
      <c r="H2011" s="3" t="s">
        <v>257</v>
      </c>
    </row>
    <row r="2012" customFormat="false" ht="15" hidden="false" customHeight="false" outlineLevel="0" collapsed="false">
      <c r="A2012" s="4" t="s">
        <v>106</v>
      </c>
      <c r="B2012" s="4" t="s">
        <v>44</v>
      </c>
      <c r="C2012" s="4" t="n">
        <v>7</v>
      </c>
      <c r="D2012" s="4" t="n">
        <v>1</v>
      </c>
      <c r="E2012" s="4" t="s">
        <v>39</v>
      </c>
      <c r="F2012" s="3" t="s">
        <v>340</v>
      </c>
      <c r="G2012" s="3" t="s">
        <v>616</v>
      </c>
      <c r="H2012" s="3" t="s">
        <v>342</v>
      </c>
    </row>
    <row r="2013" customFormat="false" ht="15" hidden="false" customHeight="false" outlineLevel="0" collapsed="false">
      <c r="A2013" s="4" t="s">
        <v>106</v>
      </c>
      <c r="B2013" s="4" t="s">
        <v>47</v>
      </c>
      <c r="C2013" s="4" t="n">
        <v>1</v>
      </c>
      <c r="D2013" s="4" t="n">
        <v>1</v>
      </c>
      <c r="E2013" s="4" t="s">
        <v>16</v>
      </c>
      <c r="F2013" s="3" t="s">
        <v>164</v>
      </c>
      <c r="G2013" s="3" t="s">
        <v>609</v>
      </c>
      <c r="H2013" s="3" t="s">
        <v>260</v>
      </c>
    </row>
    <row r="2014" customFormat="false" ht="15" hidden="false" customHeight="false" outlineLevel="0" collapsed="false">
      <c r="A2014" s="4" t="s">
        <v>106</v>
      </c>
      <c r="B2014" s="4" t="s">
        <v>47</v>
      </c>
      <c r="C2014" s="4" t="n">
        <v>2</v>
      </c>
      <c r="D2014" s="4" t="n">
        <v>1</v>
      </c>
      <c r="E2014" s="4" t="s">
        <v>21</v>
      </c>
      <c r="F2014" s="3" t="s">
        <v>310</v>
      </c>
      <c r="G2014" s="3" t="s">
        <v>608</v>
      </c>
      <c r="H2014" s="3" t="s">
        <v>315</v>
      </c>
    </row>
    <row r="2015" customFormat="false" ht="15" hidden="false" customHeight="false" outlineLevel="0" collapsed="false">
      <c r="A2015" s="4" t="s">
        <v>106</v>
      </c>
      <c r="B2015" s="4" t="s">
        <v>47</v>
      </c>
      <c r="C2015" s="4" t="n">
        <v>3</v>
      </c>
      <c r="D2015" s="4" t="n">
        <v>1</v>
      </c>
      <c r="E2015" s="4" t="s">
        <v>26</v>
      </c>
      <c r="F2015" s="3" t="s">
        <v>15</v>
      </c>
      <c r="G2015" s="3" t="s">
        <v>610</v>
      </c>
      <c r="H2015" s="3" t="s">
        <v>231</v>
      </c>
    </row>
    <row r="2016" customFormat="false" ht="15" hidden="false" customHeight="false" outlineLevel="0" collapsed="false">
      <c r="A2016" s="4" t="s">
        <v>106</v>
      </c>
      <c r="B2016" s="4" t="s">
        <v>47</v>
      </c>
      <c r="C2016" s="4" t="n">
        <v>4</v>
      </c>
      <c r="D2016" s="4" t="n">
        <v>1</v>
      </c>
      <c r="E2016" s="4" t="s">
        <v>34</v>
      </c>
      <c r="F2016" s="3" t="s">
        <v>287</v>
      </c>
      <c r="G2016" s="3" t="s">
        <v>514</v>
      </c>
      <c r="H2016" s="3" t="s">
        <v>516</v>
      </c>
    </row>
    <row r="2017" customFormat="false" ht="15" hidden="false" customHeight="false" outlineLevel="0" collapsed="false">
      <c r="A2017" s="4" t="s">
        <v>106</v>
      </c>
      <c r="B2017" s="4" t="s">
        <v>47</v>
      </c>
      <c r="C2017" s="4" t="n">
        <v>5</v>
      </c>
      <c r="D2017" s="4" t="n">
        <v>1</v>
      </c>
      <c r="E2017" s="4" t="s">
        <v>37</v>
      </c>
      <c r="F2017" s="3" t="s">
        <v>104</v>
      </c>
      <c r="G2017" s="3" t="s">
        <v>611</v>
      </c>
      <c r="H2017" s="3" t="s">
        <v>116</v>
      </c>
    </row>
    <row r="2018" customFormat="false" ht="15" hidden="false" customHeight="false" outlineLevel="0" collapsed="false">
      <c r="A2018" s="4" t="s">
        <v>106</v>
      </c>
      <c r="B2018" s="4" t="s">
        <v>47</v>
      </c>
      <c r="C2018" s="4" t="n">
        <v>6</v>
      </c>
      <c r="D2018" s="4" t="n">
        <v>2</v>
      </c>
      <c r="E2018" s="4" t="s">
        <v>536</v>
      </c>
      <c r="F2018" s="3" t="s">
        <v>72</v>
      </c>
      <c r="G2018" s="3" t="s">
        <v>612</v>
      </c>
      <c r="H2018" s="3" t="s">
        <v>328</v>
      </c>
    </row>
    <row r="2019" customFormat="false" ht="15" hidden="false" customHeight="false" outlineLevel="0" collapsed="false">
      <c r="A2019" s="4" t="s">
        <v>106</v>
      </c>
      <c r="B2019" s="4" t="s">
        <v>50</v>
      </c>
      <c r="C2019" s="4" t="n">
        <v>1</v>
      </c>
      <c r="D2019" s="4" t="n">
        <v>1</v>
      </c>
      <c r="E2019" s="4" t="s">
        <v>16</v>
      </c>
      <c r="F2019" s="3" t="s">
        <v>15</v>
      </c>
      <c r="G2019" s="3" t="s">
        <v>610</v>
      </c>
      <c r="H2019" s="3" t="s">
        <v>227</v>
      </c>
    </row>
    <row r="2020" customFormat="false" ht="15" hidden="false" customHeight="false" outlineLevel="0" collapsed="false">
      <c r="A2020" s="4" t="s">
        <v>106</v>
      </c>
      <c r="B2020" s="4" t="s">
        <v>50</v>
      </c>
      <c r="C2020" s="4" t="n">
        <v>2</v>
      </c>
      <c r="D2020" s="4" t="n">
        <v>1</v>
      </c>
      <c r="E2020" s="4" t="s">
        <v>21</v>
      </c>
      <c r="F2020" s="3" t="s">
        <v>104</v>
      </c>
      <c r="G2020" s="3" t="s">
        <v>611</v>
      </c>
      <c r="H2020" s="3" t="s">
        <v>118</v>
      </c>
    </row>
    <row r="2021" customFormat="false" ht="15" hidden="false" customHeight="false" outlineLevel="0" collapsed="false">
      <c r="A2021" s="4" t="s">
        <v>106</v>
      </c>
      <c r="B2021" s="4" t="s">
        <v>50</v>
      </c>
      <c r="C2021" s="4" t="n">
        <v>3</v>
      </c>
      <c r="D2021" s="4" t="n">
        <v>1</v>
      </c>
      <c r="E2021" s="4" t="s">
        <v>26</v>
      </c>
      <c r="F2021" s="3" t="s">
        <v>310</v>
      </c>
      <c r="G2021" s="3" t="s">
        <v>608</v>
      </c>
      <c r="H2021" s="3" t="s">
        <v>317</v>
      </c>
    </row>
    <row r="2022" customFormat="false" ht="15" hidden="false" customHeight="false" outlineLevel="0" collapsed="false">
      <c r="A2022" s="4" t="s">
        <v>106</v>
      </c>
      <c r="B2022" s="4" t="s">
        <v>50</v>
      </c>
      <c r="C2022" s="4" t="n">
        <v>4</v>
      </c>
      <c r="D2022" s="4" t="n">
        <v>2</v>
      </c>
      <c r="E2022" s="4" t="s">
        <v>533</v>
      </c>
      <c r="F2022" s="3" t="s">
        <v>340</v>
      </c>
      <c r="G2022" s="3" t="s">
        <v>616</v>
      </c>
      <c r="H2022" s="3" t="s">
        <v>343</v>
      </c>
    </row>
    <row r="2023" customFormat="false" ht="15" hidden="false" customHeight="false" outlineLevel="0" collapsed="false">
      <c r="A2023" s="4" t="s">
        <v>106</v>
      </c>
      <c r="B2023" s="4" t="s">
        <v>50</v>
      </c>
      <c r="C2023" s="4" t="n">
        <v>6</v>
      </c>
      <c r="D2023" s="4" t="n">
        <v>1</v>
      </c>
      <c r="E2023" s="4" t="s">
        <v>42</v>
      </c>
      <c r="F2023" s="3" t="s">
        <v>164</v>
      </c>
      <c r="G2023" s="3" t="s">
        <v>609</v>
      </c>
      <c r="H2023" s="3" t="s">
        <v>263</v>
      </c>
    </row>
    <row r="2024" customFormat="false" ht="15" hidden="false" customHeight="false" outlineLevel="0" collapsed="false">
      <c r="A2024" s="4" t="s">
        <v>106</v>
      </c>
      <c r="B2024" s="4" t="s">
        <v>50</v>
      </c>
      <c r="C2024" s="4" t="n">
        <v>7</v>
      </c>
      <c r="D2024" s="4" t="n">
        <v>1</v>
      </c>
      <c r="E2024" s="4" t="s">
        <v>39</v>
      </c>
      <c r="F2024" s="3" t="s">
        <v>72</v>
      </c>
      <c r="G2024" s="3" t="s">
        <v>612</v>
      </c>
      <c r="H2024" s="3" t="s">
        <v>331</v>
      </c>
    </row>
    <row r="2025" customFormat="false" ht="15" hidden="false" customHeight="false" outlineLevel="0" collapsed="false">
      <c r="A2025" s="4" t="s">
        <v>106</v>
      </c>
      <c r="B2025" s="4" t="s">
        <v>60</v>
      </c>
      <c r="C2025" s="4" t="n">
        <v>1</v>
      </c>
      <c r="D2025" s="4" t="n">
        <v>1</v>
      </c>
      <c r="E2025" s="4" t="s">
        <v>16</v>
      </c>
      <c r="F2025" s="3" t="s">
        <v>15</v>
      </c>
      <c r="G2025" s="3" t="s">
        <v>610</v>
      </c>
      <c r="H2025" s="3" t="s">
        <v>227</v>
      </c>
    </row>
    <row r="2026" customFormat="false" ht="15" hidden="false" customHeight="false" outlineLevel="0" collapsed="false">
      <c r="A2026" s="4" t="s">
        <v>106</v>
      </c>
      <c r="B2026" s="4" t="s">
        <v>60</v>
      </c>
      <c r="C2026" s="4" t="n">
        <v>2</v>
      </c>
      <c r="D2026" s="4" t="n">
        <v>1</v>
      </c>
      <c r="E2026" s="4" t="s">
        <v>21</v>
      </c>
      <c r="F2026" s="3" t="s">
        <v>340</v>
      </c>
      <c r="G2026" s="3" t="s">
        <v>616</v>
      </c>
      <c r="H2026" s="3" t="s">
        <v>344</v>
      </c>
    </row>
    <row r="2027" customFormat="false" ht="15" hidden="false" customHeight="false" outlineLevel="0" collapsed="false">
      <c r="A2027" s="4" t="s">
        <v>106</v>
      </c>
      <c r="B2027" s="4" t="s">
        <v>60</v>
      </c>
      <c r="C2027" s="4" t="n">
        <v>3</v>
      </c>
      <c r="D2027" s="4" t="n">
        <v>1</v>
      </c>
      <c r="E2027" s="4" t="s">
        <v>26</v>
      </c>
      <c r="F2027" s="3" t="s">
        <v>72</v>
      </c>
      <c r="G2027" s="3" t="s">
        <v>612</v>
      </c>
      <c r="H2027" s="3" t="s">
        <v>332</v>
      </c>
    </row>
    <row r="2028" customFormat="false" ht="15" hidden="false" customHeight="false" outlineLevel="0" collapsed="false">
      <c r="A2028" s="4" t="s">
        <v>106</v>
      </c>
      <c r="B2028" s="4" t="s">
        <v>60</v>
      </c>
      <c r="C2028" s="4" t="n">
        <v>4</v>
      </c>
      <c r="D2028" s="4" t="n">
        <v>1</v>
      </c>
      <c r="E2028" s="4" t="s">
        <v>34</v>
      </c>
      <c r="F2028" s="3" t="s">
        <v>310</v>
      </c>
      <c r="G2028" s="3" t="s">
        <v>608</v>
      </c>
      <c r="H2028" s="3" t="s">
        <v>318</v>
      </c>
    </row>
    <row r="2029" customFormat="false" ht="15" hidden="false" customHeight="false" outlineLevel="0" collapsed="false">
      <c r="A2029" s="4" t="s">
        <v>106</v>
      </c>
      <c r="B2029" s="4" t="s">
        <v>60</v>
      </c>
      <c r="C2029" s="4" t="n">
        <v>5</v>
      </c>
      <c r="D2029" s="4" t="n">
        <v>1</v>
      </c>
      <c r="E2029" s="4" t="s">
        <v>37</v>
      </c>
      <c r="F2029" s="3" t="s">
        <v>36</v>
      </c>
      <c r="G2029" s="3" t="s">
        <v>614</v>
      </c>
      <c r="H2029" s="3" t="s">
        <v>229</v>
      </c>
    </row>
    <row r="2030" customFormat="false" ht="15" hidden="false" customHeight="false" outlineLevel="0" collapsed="false">
      <c r="A2030" s="4" t="s">
        <v>106</v>
      </c>
      <c r="B2030" s="4" t="s">
        <v>60</v>
      </c>
      <c r="C2030" s="4" t="n">
        <v>6</v>
      </c>
      <c r="D2030" s="4" t="n">
        <v>2</v>
      </c>
      <c r="E2030" s="4" t="s">
        <v>536</v>
      </c>
      <c r="F2030" s="3" t="s">
        <v>164</v>
      </c>
      <c r="G2030" s="3" t="s">
        <v>609</v>
      </c>
      <c r="H2030" s="3" t="s">
        <v>265</v>
      </c>
    </row>
    <row r="2031" customFormat="false" ht="15" hidden="false" customHeight="false" outlineLevel="0" collapsed="false">
      <c r="A2031" s="4" t="s">
        <v>106</v>
      </c>
      <c r="B2031" s="4" t="s">
        <v>63</v>
      </c>
      <c r="C2031" s="4" t="n">
        <v>1</v>
      </c>
      <c r="D2031" s="4" t="n">
        <v>1</v>
      </c>
      <c r="E2031" s="4" t="s">
        <v>16</v>
      </c>
      <c r="F2031" s="3" t="s">
        <v>104</v>
      </c>
      <c r="G2031" s="3" t="s">
        <v>611</v>
      </c>
      <c r="H2031" s="3" t="s">
        <v>120</v>
      </c>
    </row>
    <row r="2032" customFormat="false" ht="15" hidden="false" customHeight="false" outlineLevel="0" collapsed="false">
      <c r="A2032" s="4" t="s">
        <v>106</v>
      </c>
      <c r="B2032" s="4" t="s">
        <v>63</v>
      </c>
      <c r="C2032" s="4" t="n">
        <v>2</v>
      </c>
      <c r="D2032" s="4" t="n">
        <v>1</v>
      </c>
      <c r="E2032" s="4" t="s">
        <v>21</v>
      </c>
      <c r="F2032" s="3" t="s">
        <v>287</v>
      </c>
      <c r="G2032" s="3" t="s">
        <v>514</v>
      </c>
      <c r="H2032" s="3" t="s">
        <v>516</v>
      </c>
    </row>
    <row r="2033" customFormat="false" ht="15" hidden="false" customHeight="false" outlineLevel="0" collapsed="false">
      <c r="A2033" s="4" t="s">
        <v>106</v>
      </c>
      <c r="B2033" s="4" t="s">
        <v>63</v>
      </c>
      <c r="C2033" s="4" t="n">
        <v>3</v>
      </c>
      <c r="D2033" s="4" t="n">
        <v>1</v>
      </c>
      <c r="E2033" s="4" t="s">
        <v>26</v>
      </c>
      <c r="F2033" s="3" t="s">
        <v>340</v>
      </c>
      <c r="G2033" s="3" t="s">
        <v>616</v>
      </c>
      <c r="H2033" s="3" t="s">
        <v>339</v>
      </c>
    </row>
    <row r="2034" customFormat="false" ht="15" hidden="false" customHeight="false" outlineLevel="0" collapsed="false">
      <c r="A2034" s="4" t="s">
        <v>106</v>
      </c>
      <c r="B2034" s="4" t="s">
        <v>63</v>
      </c>
      <c r="C2034" s="4" t="n">
        <v>4</v>
      </c>
      <c r="D2034" s="4" t="n">
        <v>1</v>
      </c>
      <c r="E2034" s="4" t="s">
        <v>34</v>
      </c>
      <c r="F2034" s="3" t="s">
        <v>72</v>
      </c>
      <c r="G2034" s="3" t="s">
        <v>612</v>
      </c>
      <c r="H2034" s="3" t="s">
        <v>331</v>
      </c>
    </row>
    <row r="2035" customFormat="false" ht="15" hidden="false" customHeight="false" outlineLevel="0" collapsed="false">
      <c r="A2035" s="4" t="s">
        <v>106</v>
      </c>
      <c r="B2035" s="4" t="s">
        <v>63</v>
      </c>
      <c r="C2035" s="4" t="n">
        <v>5</v>
      </c>
      <c r="D2035" s="4" t="n">
        <v>1</v>
      </c>
      <c r="E2035" s="4" t="s">
        <v>37</v>
      </c>
      <c r="F2035" s="3" t="s">
        <v>15</v>
      </c>
      <c r="G2035" s="3" t="s">
        <v>610</v>
      </c>
      <c r="H2035" s="3" t="s">
        <v>232</v>
      </c>
    </row>
    <row r="2036" customFormat="false" ht="15" hidden="false" customHeight="false" outlineLevel="0" collapsed="false">
      <c r="A2036" s="4" t="s">
        <v>106</v>
      </c>
      <c r="B2036" s="4" t="s">
        <v>63</v>
      </c>
      <c r="C2036" s="4" t="n">
        <v>6</v>
      </c>
      <c r="D2036" s="4" t="n">
        <v>1</v>
      </c>
      <c r="E2036" s="4" t="s">
        <v>42</v>
      </c>
      <c r="F2036" s="3" t="s">
        <v>164</v>
      </c>
      <c r="G2036" s="3" t="s">
        <v>609</v>
      </c>
      <c r="H2036" s="3" t="s">
        <v>267</v>
      </c>
    </row>
    <row r="2037" customFormat="false" ht="15" hidden="false" customHeight="false" outlineLevel="0" collapsed="false">
      <c r="A2037" s="4" t="s">
        <v>106</v>
      </c>
      <c r="B2037" s="4" t="s">
        <v>63</v>
      </c>
      <c r="C2037" s="4" t="n">
        <v>7</v>
      </c>
      <c r="D2037" s="4" t="n">
        <v>1</v>
      </c>
      <c r="E2037" s="4" t="s">
        <v>39</v>
      </c>
      <c r="F2037" s="3" t="s">
        <v>310</v>
      </c>
      <c r="G2037" s="3" t="s">
        <v>608</v>
      </c>
      <c r="H2037" s="3" t="s">
        <v>319</v>
      </c>
    </row>
    <row r="2038" customFormat="false" ht="15" hidden="false" customHeight="false" outlineLevel="0" collapsed="false">
      <c r="A2038" s="4" t="s">
        <v>106</v>
      </c>
      <c r="B2038" s="4" t="s">
        <v>65</v>
      </c>
      <c r="C2038" s="4" t="n">
        <v>1</v>
      </c>
      <c r="D2038" s="4" t="n">
        <v>2</v>
      </c>
      <c r="E2038" s="4" t="s">
        <v>539</v>
      </c>
      <c r="F2038" s="3" t="s">
        <v>15</v>
      </c>
      <c r="G2038" s="3" t="s">
        <v>610</v>
      </c>
      <c r="H2038" s="3" t="s">
        <v>227</v>
      </c>
    </row>
    <row r="2039" customFormat="false" ht="15" hidden="false" customHeight="false" outlineLevel="0" collapsed="false">
      <c r="A2039" s="4" t="s">
        <v>106</v>
      </c>
      <c r="B2039" s="4" t="s">
        <v>65</v>
      </c>
      <c r="C2039" s="4" t="n">
        <v>3</v>
      </c>
      <c r="D2039" s="4" t="n">
        <v>1</v>
      </c>
      <c r="E2039" s="4" t="s">
        <v>26</v>
      </c>
      <c r="F2039" s="3" t="s">
        <v>72</v>
      </c>
      <c r="G2039" s="3" t="s">
        <v>612</v>
      </c>
      <c r="H2039" s="3" t="s">
        <v>335</v>
      </c>
    </row>
    <row r="2040" customFormat="false" ht="15" hidden="false" customHeight="false" outlineLevel="0" collapsed="false">
      <c r="A2040" s="4" t="s">
        <v>106</v>
      </c>
      <c r="B2040" s="4" t="s">
        <v>65</v>
      </c>
      <c r="C2040" s="4" t="n">
        <v>4</v>
      </c>
      <c r="D2040" s="4" t="n">
        <v>1</v>
      </c>
      <c r="E2040" s="4" t="s">
        <v>34</v>
      </c>
      <c r="F2040" s="3" t="s">
        <v>340</v>
      </c>
      <c r="G2040" s="3" t="s">
        <v>616</v>
      </c>
      <c r="H2040" s="3" t="s">
        <v>345</v>
      </c>
    </row>
    <row r="2041" customFormat="false" ht="15" hidden="false" customHeight="false" outlineLevel="0" collapsed="false">
      <c r="A2041" s="4" t="s">
        <v>106</v>
      </c>
      <c r="B2041" s="4" t="s">
        <v>65</v>
      </c>
      <c r="C2041" s="4" t="n">
        <v>5</v>
      </c>
      <c r="D2041" s="4" t="n">
        <v>1</v>
      </c>
      <c r="E2041" s="4" t="s">
        <v>37</v>
      </c>
      <c r="F2041" s="3" t="s">
        <v>36</v>
      </c>
      <c r="G2041" s="3" t="s">
        <v>614</v>
      </c>
      <c r="H2041" s="3" t="s">
        <v>229</v>
      </c>
    </row>
    <row r="2042" customFormat="false" ht="15" hidden="false" customHeight="false" outlineLevel="0" collapsed="false">
      <c r="A2042" s="4" t="s">
        <v>106</v>
      </c>
      <c r="B2042" s="4" t="s">
        <v>65</v>
      </c>
      <c r="C2042" s="4" t="n">
        <v>6</v>
      </c>
      <c r="D2042" s="4" t="n">
        <v>1</v>
      </c>
      <c r="E2042" s="4" t="s">
        <v>42</v>
      </c>
      <c r="F2042" s="3" t="s">
        <v>287</v>
      </c>
      <c r="G2042" s="3" t="s">
        <v>514</v>
      </c>
      <c r="H2042" s="3" t="s">
        <v>516</v>
      </c>
    </row>
    <row r="2043" customFormat="false" ht="15" hidden="false" customHeight="false" outlineLevel="0" collapsed="false">
      <c r="A2043" s="4" t="s">
        <v>106</v>
      </c>
      <c r="B2043" s="4" t="s">
        <v>65</v>
      </c>
      <c r="C2043" s="4" t="n">
        <v>7</v>
      </c>
      <c r="D2043" s="4" t="n">
        <v>1</v>
      </c>
      <c r="E2043" s="4" t="s">
        <v>39</v>
      </c>
      <c r="F2043" s="3" t="s">
        <v>164</v>
      </c>
      <c r="G2043" s="3" t="s">
        <v>609</v>
      </c>
      <c r="H2043" s="3" t="s">
        <v>267</v>
      </c>
    </row>
    <row r="2044" customFormat="false" ht="15" hidden="false" customHeight="false" outlineLevel="0" collapsed="false">
      <c r="A2044" s="4" t="s">
        <v>106</v>
      </c>
      <c r="B2044" s="4" t="s">
        <v>66</v>
      </c>
      <c r="C2044" s="4" t="n">
        <v>1</v>
      </c>
      <c r="D2044" s="4" t="n">
        <v>1</v>
      </c>
      <c r="E2044" s="4" t="s">
        <v>16</v>
      </c>
      <c r="F2044" s="3" t="s">
        <v>15</v>
      </c>
      <c r="G2044" s="3" t="s">
        <v>610</v>
      </c>
      <c r="H2044" s="3" t="s">
        <v>227</v>
      </c>
    </row>
    <row r="2045" customFormat="false" ht="15" hidden="false" customHeight="false" outlineLevel="0" collapsed="false">
      <c r="A2045" s="4" t="s">
        <v>106</v>
      </c>
      <c r="B2045" s="4" t="s">
        <v>66</v>
      </c>
      <c r="C2045" s="4" t="n">
        <v>2</v>
      </c>
      <c r="D2045" s="4" t="n">
        <v>1</v>
      </c>
      <c r="E2045" s="4" t="s">
        <v>21</v>
      </c>
      <c r="F2045" s="3" t="s">
        <v>104</v>
      </c>
      <c r="G2045" s="3" t="s">
        <v>611</v>
      </c>
      <c r="H2045" s="3" t="s">
        <v>114</v>
      </c>
    </row>
    <row r="2046" customFormat="false" ht="15" hidden="false" customHeight="false" outlineLevel="0" collapsed="false">
      <c r="A2046" s="4" t="s">
        <v>106</v>
      </c>
      <c r="B2046" s="4" t="s">
        <v>66</v>
      </c>
      <c r="C2046" s="4" t="n">
        <v>3</v>
      </c>
      <c r="D2046" s="4" t="n">
        <v>1</v>
      </c>
      <c r="E2046" s="4" t="s">
        <v>26</v>
      </c>
      <c r="F2046" s="3" t="s">
        <v>340</v>
      </c>
      <c r="G2046" s="3" t="s">
        <v>616</v>
      </c>
      <c r="H2046" s="3" t="s">
        <v>346</v>
      </c>
    </row>
    <row r="2047" customFormat="false" ht="15" hidden="false" customHeight="false" outlineLevel="0" collapsed="false">
      <c r="A2047" s="4" t="s">
        <v>106</v>
      </c>
      <c r="B2047" s="4" t="s">
        <v>66</v>
      </c>
      <c r="C2047" s="4" t="n">
        <v>4</v>
      </c>
      <c r="D2047" s="4" t="n">
        <v>1</v>
      </c>
      <c r="E2047" s="4" t="s">
        <v>34</v>
      </c>
      <c r="F2047" s="3" t="s">
        <v>164</v>
      </c>
      <c r="G2047" s="3" t="s">
        <v>609</v>
      </c>
      <c r="H2047" s="3" t="s">
        <v>257</v>
      </c>
    </row>
    <row r="2048" customFormat="false" ht="15" hidden="false" customHeight="false" outlineLevel="0" collapsed="false">
      <c r="A2048" s="4" t="s">
        <v>106</v>
      </c>
      <c r="B2048" s="4" t="s">
        <v>66</v>
      </c>
      <c r="C2048" s="4" t="n">
        <v>5</v>
      </c>
      <c r="D2048" s="4" t="n">
        <v>1</v>
      </c>
      <c r="E2048" s="4" t="s">
        <v>37</v>
      </c>
      <c r="F2048" s="3" t="s">
        <v>310</v>
      </c>
      <c r="G2048" s="3" t="s">
        <v>608</v>
      </c>
      <c r="H2048" s="3" t="s">
        <v>320</v>
      </c>
    </row>
    <row r="2049" customFormat="false" ht="15" hidden="false" customHeight="false" outlineLevel="0" collapsed="false">
      <c r="A2049" s="4" t="s">
        <v>106</v>
      </c>
      <c r="B2049" s="4" t="s">
        <v>66</v>
      </c>
      <c r="C2049" s="4" t="n">
        <v>6</v>
      </c>
      <c r="D2049" s="4" t="n">
        <v>2</v>
      </c>
      <c r="E2049" s="4" t="s">
        <v>536</v>
      </c>
      <c r="F2049" s="3" t="s">
        <v>72</v>
      </c>
      <c r="G2049" s="3" t="s">
        <v>612</v>
      </c>
      <c r="H2049" s="3" t="s">
        <v>331</v>
      </c>
    </row>
    <row r="2050" customFormat="false" ht="15" hidden="false" customHeight="false" outlineLevel="0" collapsed="false">
      <c r="A2050" s="4" t="s">
        <v>107</v>
      </c>
      <c r="B2050" s="4" t="s">
        <v>12</v>
      </c>
      <c r="C2050" s="4" t="n">
        <v>1</v>
      </c>
      <c r="D2050" s="4" t="n">
        <v>1</v>
      </c>
      <c r="E2050" s="4" t="s">
        <v>16</v>
      </c>
      <c r="F2050" s="3" t="s">
        <v>310</v>
      </c>
      <c r="G2050" s="3" t="s">
        <v>608</v>
      </c>
      <c r="H2050" s="3" t="s">
        <v>309</v>
      </c>
    </row>
    <row r="2051" customFormat="false" ht="15" hidden="false" customHeight="false" outlineLevel="0" collapsed="false">
      <c r="A2051" s="4" t="s">
        <v>107</v>
      </c>
      <c r="B2051" s="4" t="s">
        <v>12</v>
      </c>
      <c r="C2051" s="4" t="n">
        <v>2</v>
      </c>
      <c r="D2051" s="4" t="n">
        <v>1</v>
      </c>
      <c r="E2051" s="4" t="s">
        <v>21</v>
      </c>
      <c r="F2051" s="3" t="s">
        <v>72</v>
      </c>
      <c r="G2051" s="3" t="s">
        <v>617</v>
      </c>
      <c r="H2051" s="3" t="s">
        <v>348</v>
      </c>
    </row>
    <row r="2052" customFormat="false" ht="15" hidden="false" customHeight="false" outlineLevel="0" collapsed="false">
      <c r="A2052" s="4" t="s">
        <v>107</v>
      </c>
      <c r="B2052" s="4" t="s">
        <v>12</v>
      </c>
      <c r="C2052" s="4" t="n">
        <v>3</v>
      </c>
      <c r="D2052" s="4" t="n">
        <v>1</v>
      </c>
      <c r="E2052" s="4" t="s">
        <v>26</v>
      </c>
      <c r="F2052" s="3" t="s">
        <v>15</v>
      </c>
      <c r="G2052" s="3" t="s">
        <v>610</v>
      </c>
      <c r="H2052" s="3" t="s">
        <v>227</v>
      </c>
    </row>
    <row r="2053" customFormat="false" ht="15" hidden="false" customHeight="false" outlineLevel="0" collapsed="false">
      <c r="A2053" s="4" t="s">
        <v>107</v>
      </c>
      <c r="B2053" s="4" t="s">
        <v>12</v>
      </c>
      <c r="C2053" s="4" t="n">
        <v>4</v>
      </c>
      <c r="D2053" s="4" t="n">
        <v>2</v>
      </c>
      <c r="E2053" s="4" t="s">
        <v>533</v>
      </c>
      <c r="F2053" s="3" t="s">
        <v>104</v>
      </c>
      <c r="G2053" s="3" t="s">
        <v>611</v>
      </c>
      <c r="H2053" s="3" t="s">
        <v>103</v>
      </c>
    </row>
    <row r="2054" customFormat="false" ht="15" hidden="false" customHeight="false" outlineLevel="0" collapsed="false">
      <c r="A2054" s="4" t="s">
        <v>107</v>
      </c>
      <c r="B2054" s="4" t="s">
        <v>12</v>
      </c>
      <c r="C2054" s="4" t="n">
        <v>6</v>
      </c>
      <c r="D2054" s="4" t="n">
        <v>1</v>
      </c>
      <c r="E2054" s="4" t="s">
        <v>42</v>
      </c>
      <c r="F2054" s="3" t="s">
        <v>164</v>
      </c>
      <c r="G2054" s="3" t="s">
        <v>618</v>
      </c>
      <c r="H2054" s="3" t="s">
        <v>255</v>
      </c>
    </row>
    <row r="2055" customFormat="false" ht="15" hidden="false" customHeight="false" outlineLevel="0" collapsed="false">
      <c r="A2055" s="4" t="s">
        <v>107</v>
      </c>
      <c r="B2055" s="4" t="s">
        <v>12</v>
      </c>
      <c r="C2055" s="4" t="n">
        <v>7</v>
      </c>
      <c r="D2055" s="4" t="n">
        <v>1</v>
      </c>
      <c r="E2055" s="4" t="s">
        <v>39</v>
      </c>
      <c r="F2055" s="3" t="s">
        <v>466</v>
      </c>
      <c r="G2055" s="3" t="s">
        <v>619</v>
      </c>
      <c r="H2055" s="3" t="s">
        <v>465</v>
      </c>
    </row>
    <row r="2056" customFormat="false" ht="15" hidden="false" customHeight="false" outlineLevel="0" collapsed="false">
      <c r="A2056" s="4" t="s">
        <v>107</v>
      </c>
      <c r="B2056" s="4" t="s">
        <v>31</v>
      </c>
      <c r="C2056" s="4" t="n">
        <v>1</v>
      </c>
      <c r="D2056" s="4" t="n">
        <v>1</v>
      </c>
      <c r="E2056" s="4" t="s">
        <v>16</v>
      </c>
      <c r="F2056" s="3" t="s">
        <v>164</v>
      </c>
      <c r="G2056" s="3" t="s">
        <v>618</v>
      </c>
      <c r="H2056" s="3" t="s">
        <v>256</v>
      </c>
    </row>
    <row r="2057" customFormat="false" ht="15" hidden="false" customHeight="false" outlineLevel="0" collapsed="false">
      <c r="A2057" s="4" t="s">
        <v>107</v>
      </c>
      <c r="B2057" s="4" t="s">
        <v>31</v>
      </c>
      <c r="C2057" s="4" t="n">
        <v>2</v>
      </c>
      <c r="D2057" s="4" t="n">
        <v>1</v>
      </c>
      <c r="E2057" s="4" t="s">
        <v>21</v>
      </c>
      <c r="F2057" s="3" t="s">
        <v>72</v>
      </c>
      <c r="G2057" s="3" t="s">
        <v>620</v>
      </c>
      <c r="H2057" s="3" t="s">
        <v>443</v>
      </c>
    </row>
    <row r="2058" customFormat="false" ht="15" hidden="false" customHeight="false" outlineLevel="0" collapsed="false">
      <c r="A2058" s="4" t="s">
        <v>107</v>
      </c>
      <c r="B2058" s="4" t="s">
        <v>31</v>
      </c>
      <c r="C2058" s="4" t="n">
        <v>3</v>
      </c>
      <c r="D2058" s="4" t="n">
        <v>1</v>
      </c>
      <c r="E2058" s="4" t="s">
        <v>26</v>
      </c>
      <c r="F2058" s="3" t="s">
        <v>104</v>
      </c>
      <c r="G2058" s="3" t="s">
        <v>611</v>
      </c>
      <c r="H2058" s="3" t="s">
        <v>110</v>
      </c>
    </row>
    <row r="2059" customFormat="false" ht="15" hidden="false" customHeight="false" outlineLevel="0" collapsed="false">
      <c r="A2059" s="4" t="s">
        <v>107</v>
      </c>
      <c r="B2059" s="4" t="s">
        <v>31</v>
      </c>
      <c r="C2059" s="4" t="n">
        <v>4</v>
      </c>
      <c r="D2059" s="4" t="n">
        <v>1</v>
      </c>
      <c r="E2059" s="4" t="s">
        <v>34</v>
      </c>
      <c r="F2059" s="3" t="s">
        <v>310</v>
      </c>
      <c r="G2059" s="3" t="s">
        <v>608</v>
      </c>
      <c r="H2059" s="3" t="s">
        <v>313</v>
      </c>
    </row>
    <row r="2060" customFormat="false" ht="15" hidden="false" customHeight="false" outlineLevel="0" collapsed="false">
      <c r="A2060" s="4" t="s">
        <v>107</v>
      </c>
      <c r="B2060" s="4" t="s">
        <v>31</v>
      </c>
      <c r="C2060" s="4" t="n">
        <v>5</v>
      </c>
      <c r="D2060" s="4" t="n">
        <v>1</v>
      </c>
      <c r="E2060" s="4" t="s">
        <v>37</v>
      </c>
      <c r="F2060" s="3" t="s">
        <v>36</v>
      </c>
      <c r="G2060" s="3" t="s">
        <v>614</v>
      </c>
      <c r="H2060" s="3" t="s">
        <v>229</v>
      </c>
    </row>
    <row r="2061" customFormat="false" ht="15" hidden="false" customHeight="false" outlineLevel="0" collapsed="false">
      <c r="A2061" s="4" t="s">
        <v>107</v>
      </c>
      <c r="B2061" s="4" t="s">
        <v>31</v>
      </c>
      <c r="C2061" s="4" t="n">
        <v>6</v>
      </c>
      <c r="D2061" s="4" t="n">
        <v>2</v>
      </c>
      <c r="E2061" s="4" t="s">
        <v>536</v>
      </c>
      <c r="F2061" s="3" t="s">
        <v>466</v>
      </c>
      <c r="G2061" s="3" t="s">
        <v>619</v>
      </c>
      <c r="H2061" s="3" t="s">
        <v>467</v>
      </c>
    </row>
    <row r="2062" customFormat="false" ht="15" hidden="false" customHeight="false" outlineLevel="0" collapsed="false">
      <c r="A2062" s="4" t="s">
        <v>107</v>
      </c>
      <c r="B2062" s="4" t="s">
        <v>40</v>
      </c>
      <c r="C2062" s="4" t="n">
        <v>1</v>
      </c>
      <c r="D2062" s="4" t="n">
        <v>1</v>
      </c>
      <c r="E2062" s="4" t="s">
        <v>16</v>
      </c>
      <c r="F2062" s="3" t="s">
        <v>104</v>
      </c>
      <c r="G2062" s="3" t="s">
        <v>611</v>
      </c>
      <c r="H2062" s="3" t="s">
        <v>114</v>
      </c>
    </row>
    <row r="2063" customFormat="false" ht="15" hidden="false" customHeight="false" outlineLevel="0" collapsed="false">
      <c r="A2063" s="4" t="s">
        <v>107</v>
      </c>
      <c r="B2063" s="4" t="s">
        <v>40</v>
      </c>
      <c r="C2063" s="4" t="n">
        <v>2</v>
      </c>
      <c r="D2063" s="4" t="n">
        <v>1</v>
      </c>
      <c r="E2063" s="4" t="s">
        <v>21</v>
      </c>
      <c r="F2063" s="3" t="s">
        <v>466</v>
      </c>
      <c r="G2063" s="3" t="s">
        <v>619</v>
      </c>
      <c r="H2063" s="3" t="s">
        <v>468</v>
      </c>
    </row>
    <row r="2064" customFormat="false" ht="15" hidden="false" customHeight="false" outlineLevel="0" collapsed="false">
      <c r="A2064" s="4" t="s">
        <v>107</v>
      </c>
      <c r="B2064" s="4" t="s">
        <v>40</v>
      </c>
      <c r="C2064" s="4" t="n">
        <v>3</v>
      </c>
      <c r="D2064" s="4" t="n">
        <v>1</v>
      </c>
      <c r="E2064" s="4" t="s">
        <v>26</v>
      </c>
      <c r="F2064" s="3" t="s">
        <v>164</v>
      </c>
      <c r="G2064" s="3" t="s">
        <v>618</v>
      </c>
      <c r="H2064" s="3" t="s">
        <v>259</v>
      </c>
    </row>
    <row r="2065" customFormat="false" ht="15" hidden="false" customHeight="false" outlineLevel="0" collapsed="false">
      <c r="A2065" s="4" t="s">
        <v>107</v>
      </c>
      <c r="B2065" s="4" t="s">
        <v>40</v>
      </c>
      <c r="C2065" s="4" t="n">
        <v>4</v>
      </c>
      <c r="D2065" s="4" t="n">
        <v>1</v>
      </c>
      <c r="E2065" s="4" t="s">
        <v>34</v>
      </c>
      <c r="F2065" s="3" t="s">
        <v>15</v>
      </c>
      <c r="G2065" s="3" t="s">
        <v>610</v>
      </c>
      <c r="H2065" s="3" t="s">
        <v>230</v>
      </c>
    </row>
    <row r="2066" customFormat="false" ht="15" hidden="false" customHeight="false" outlineLevel="0" collapsed="false">
      <c r="A2066" s="4" t="s">
        <v>107</v>
      </c>
      <c r="B2066" s="4" t="s">
        <v>40</v>
      </c>
      <c r="C2066" s="4" t="n">
        <v>5</v>
      </c>
      <c r="D2066" s="4" t="n">
        <v>1</v>
      </c>
      <c r="E2066" s="4" t="s">
        <v>37</v>
      </c>
      <c r="F2066" s="3" t="s">
        <v>72</v>
      </c>
      <c r="G2066" s="3" t="s">
        <v>617</v>
      </c>
      <c r="H2066" s="3" t="s">
        <v>352</v>
      </c>
    </row>
    <row r="2067" customFormat="false" ht="15" hidden="false" customHeight="false" outlineLevel="0" collapsed="false">
      <c r="A2067" s="4" t="s">
        <v>107</v>
      </c>
      <c r="B2067" s="4" t="s">
        <v>40</v>
      </c>
      <c r="C2067" s="4" t="n">
        <v>6</v>
      </c>
      <c r="D2067" s="4" t="n">
        <v>2</v>
      </c>
      <c r="E2067" s="4" t="s">
        <v>536</v>
      </c>
      <c r="F2067" s="3" t="s">
        <v>310</v>
      </c>
      <c r="G2067" s="3" t="s">
        <v>608</v>
      </c>
      <c r="H2067" s="3" t="s">
        <v>314</v>
      </c>
    </row>
    <row r="2068" customFormat="false" ht="15" hidden="false" customHeight="false" outlineLevel="0" collapsed="false">
      <c r="A2068" s="4" t="s">
        <v>107</v>
      </c>
      <c r="B2068" s="4" t="s">
        <v>44</v>
      </c>
      <c r="C2068" s="4" t="n">
        <v>1</v>
      </c>
      <c r="D2068" s="4" t="n">
        <v>1</v>
      </c>
      <c r="E2068" s="4" t="s">
        <v>16</v>
      </c>
      <c r="F2068" s="3" t="s">
        <v>164</v>
      </c>
      <c r="G2068" s="3" t="s">
        <v>618</v>
      </c>
      <c r="H2068" s="3" t="s">
        <v>256</v>
      </c>
    </row>
    <row r="2069" customFormat="false" ht="15" hidden="false" customHeight="false" outlineLevel="0" collapsed="false">
      <c r="A2069" s="4" t="s">
        <v>107</v>
      </c>
      <c r="B2069" s="4" t="s">
        <v>44</v>
      </c>
      <c r="C2069" s="4" t="n">
        <v>2</v>
      </c>
      <c r="D2069" s="4" t="n">
        <v>1</v>
      </c>
      <c r="E2069" s="4" t="s">
        <v>21</v>
      </c>
      <c r="F2069" s="3" t="s">
        <v>104</v>
      </c>
      <c r="G2069" s="3" t="s">
        <v>611</v>
      </c>
      <c r="H2069" s="3" t="s">
        <v>110</v>
      </c>
    </row>
    <row r="2070" customFormat="false" ht="15" hidden="false" customHeight="false" outlineLevel="0" collapsed="false">
      <c r="A2070" s="4" t="s">
        <v>107</v>
      </c>
      <c r="B2070" s="4" t="s">
        <v>44</v>
      </c>
      <c r="C2070" s="4" t="n">
        <v>3</v>
      </c>
      <c r="D2070" s="4" t="n">
        <v>1</v>
      </c>
      <c r="E2070" s="4" t="s">
        <v>26</v>
      </c>
      <c r="F2070" s="3" t="s">
        <v>15</v>
      </c>
      <c r="G2070" s="3" t="s">
        <v>610</v>
      </c>
      <c r="H2070" s="3" t="s">
        <v>227</v>
      </c>
    </row>
    <row r="2071" customFormat="false" ht="15" hidden="false" customHeight="false" outlineLevel="0" collapsed="false">
      <c r="A2071" s="4" t="s">
        <v>107</v>
      </c>
      <c r="B2071" s="4" t="s">
        <v>44</v>
      </c>
      <c r="C2071" s="4" t="n">
        <v>4</v>
      </c>
      <c r="D2071" s="4" t="n">
        <v>1</v>
      </c>
      <c r="E2071" s="4" t="s">
        <v>34</v>
      </c>
      <c r="F2071" s="3" t="s">
        <v>466</v>
      </c>
      <c r="G2071" s="3" t="s">
        <v>619</v>
      </c>
      <c r="H2071" s="3" t="s">
        <v>469</v>
      </c>
    </row>
    <row r="2072" customFormat="false" ht="15" hidden="false" customHeight="false" outlineLevel="0" collapsed="false">
      <c r="A2072" s="4" t="s">
        <v>107</v>
      </c>
      <c r="B2072" s="4" t="s">
        <v>44</v>
      </c>
      <c r="C2072" s="4" t="n">
        <v>5</v>
      </c>
      <c r="D2072" s="4" t="n">
        <v>1</v>
      </c>
      <c r="E2072" s="4" t="s">
        <v>37</v>
      </c>
      <c r="F2072" s="3" t="s">
        <v>36</v>
      </c>
      <c r="G2072" s="3" t="s">
        <v>614</v>
      </c>
      <c r="H2072" s="3" t="s">
        <v>229</v>
      </c>
    </row>
    <row r="2073" customFormat="false" ht="15" hidden="false" customHeight="false" outlineLevel="0" collapsed="false">
      <c r="A2073" s="4" t="s">
        <v>107</v>
      </c>
      <c r="B2073" s="4" t="s">
        <v>44</v>
      </c>
      <c r="C2073" s="4" t="n">
        <v>6</v>
      </c>
      <c r="D2073" s="4" t="n">
        <v>1</v>
      </c>
      <c r="E2073" s="4" t="s">
        <v>42</v>
      </c>
      <c r="F2073" s="3" t="s">
        <v>72</v>
      </c>
      <c r="G2073" s="3" t="s">
        <v>620</v>
      </c>
      <c r="H2073" s="3" t="s">
        <v>444</v>
      </c>
    </row>
    <row r="2074" customFormat="false" ht="15" hidden="false" customHeight="false" outlineLevel="0" collapsed="false">
      <c r="A2074" s="4" t="s">
        <v>107</v>
      </c>
      <c r="B2074" s="4" t="s">
        <v>44</v>
      </c>
      <c r="C2074" s="4" t="n">
        <v>7</v>
      </c>
      <c r="D2074" s="4" t="n">
        <v>1</v>
      </c>
      <c r="E2074" s="4" t="s">
        <v>39</v>
      </c>
      <c r="F2074" s="3" t="s">
        <v>287</v>
      </c>
      <c r="G2074" s="3" t="s">
        <v>514</v>
      </c>
      <c r="H2074" s="3" t="s">
        <v>517</v>
      </c>
    </row>
    <row r="2075" customFormat="false" ht="15" hidden="false" customHeight="false" outlineLevel="0" collapsed="false">
      <c r="A2075" s="4" t="s">
        <v>107</v>
      </c>
      <c r="B2075" s="4" t="s">
        <v>47</v>
      </c>
      <c r="C2075" s="4" t="n">
        <v>1</v>
      </c>
      <c r="D2075" s="4" t="n">
        <v>1</v>
      </c>
      <c r="E2075" s="4" t="s">
        <v>16</v>
      </c>
      <c r="F2075" s="3" t="s">
        <v>287</v>
      </c>
      <c r="G2075" s="3" t="s">
        <v>514</v>
      </c>
      <c r="H2075" s="3" t="s">
        <v>517</v>
      </c>
    </row>
    <row r="2076" customFormat="false" ht="15" hidden="false" customHeight="false" outlineLevel="0" collapsed="false">
      <c r="A2076" s="4" t="s">
        <v>107</v>
      </c>
      <c r="B2076" s="4" t="s">
        <v>47</v>
      </c>
      <c r="C2076" s="4" t="n">
        <v>2</v>
      </c>
      <c r="D2076" s="4" t="n">
        <v>1</v>
      </c>
      <c r="E2076" s="4" t="s">
        <v>21</v>
      </c>
      <c r="F2076" s="3" t="s">
        <v>310</v>
      </c>
      <c r="G2076" s="3" t="s">
        <v>608</v>
      </c>
      <c r="H2076" s="3" t="s">
        <v>315</v>
      </c>
    </row>
    <row r="2077" customFormat="false" ht="15" hidden="false" customHeight="false" outlineLevel="0" collapsed="false">
      <c r="A2077" s="4" t="s">
        <v>107</v>
      </c>
      <c r="B2077" s="4" t="s">
        <v>47</v>
      </c>
      <c r="C2077" s="4" t="n">
        <v>3</v>
      </c>
      <c r="D2077" s="4" t="n">
        <v>1</v>
      </c>
      <c r="E2077" s="4" t="s">
        <v>26</v>
      </c>
      <c r="F2077" s="3" t="s">
        <v>15</v>
      </c>
      <c r="G2077" s="3" t="s">
        <v>610</v>
      </c>
      <c r="H2077" s="3" t="s">
        <v>231</v>
      </c>
    </row>
    <row r="2078" customFormat="false" ht="15" hidden="false" customHeight="false" outlineLevel="0" collapsed="false">
      <c r="A2078" s="4" t="s">
        <v>107</v>
      </c>
      <c r="B2078" s="4" t="s">
        <v>47</v>
      </c>
      <c r="C2078" s="4" t="n">
        <v>4</v>
      </c>
      <c r="D2078" s="4" t="n">
        <v>1</v>
      </c>
      <c r="E2078" s="4" t="s">
        <v>34</v>
      </c>
      <c r="F2078" s="3" t="s">
        <v>164</v>
      </c>
      <c r="G2078" s="3" t="s">
        <v>618</v>
      </c>
      <c r="H2078" s="3" t="s">
        <v>261</v>
      </c>
    </row>
    <row r="2079" customFormat="false" ht="15" hidden="false" customHeight="false" outlineLevel="0" collapsed="false">
      <c r="A2079" s="4" t="s">
        <v>107</v>
      </c>
      <c r="B2079" s="4" t="s">
        <v>47</v>
      </c>
      <c r="C2079" s="4" t="n">
        <v>5</v>
      </c>
      <c r="D2079" s="4" t="n">
        <v>1</v>
      </c>
      <c r="E2079" s="4" t="s">
        <v>37</v>
      </c>
      <c r="F2079" s="3" t="s">
        <v>104</v>
      </c>
      <c r="G2079" s="3" t="s">
        <v>611</v>
      </c>
      <c r="H2079" s="3" t="s">
        <v>116</v>
      </c>
    </row>
    <row r="2080" customFormat="false" ht="15" hidden="false" customHeight="false" outlineLevel="0" collapsed="false">
      <c r="A2080" s="4" t="s">
        <v>107</v>
      </c>
      <c r="B2080" s="4" t="s">
        <v>47</v>
      </c>
      <c r="C2080" s="4" t="n">
        <v>6</v>
      </c>
      <c r="D2080" s="4" t="n">
        <v>2</v>
      </c>
      <c r="E2080" s="4" t="s">
        <v>536</v>
      </c>
      <c r="F2080" s="3" t="s">
        <v>72</v>
      </c>
      <c r="G2080" s="3" t="s">
        <v>620</v>
      </c>
      <c r="H2080" s="3" t="s">
        <v>445</v>
      </c>
    </row>
    <row r="2081" customFormat="false" ht="15" hidden="false" customHeight="false" outlineLevel="0" collapsed="false">
      <c r="A2081" s="4" t="s">
        <v>107</v>
      </c>
      <c r="B2081" s="4" t="s">
        <v>50</v>
      </c>
      <c r="C2081" s="4" t="n">
        <v>1</v>
      </c>
      <c r="D2081" s="4" t="n">
        <v>1</v>
      </c>
      <c r="E2081" s="4" t="s">
        <v>16</v>
      </c>
      <c r="F2081" s="3" t="s">
        <v>15</v>
      </c>
      <c r="G2081" s="3" t="s">
        <v>610</v>
      </c>
      <c r="H2081" s="3" t="s">
        <v>227</v>
      </c>
    </row>
    <row r="2082" customFormat="false" ht="15" hidden="false" customHeight="false" outlineLevel="0" collapsed="false">
      <c r="A2082" s="4" t="s">
        <v>107</v>
      </c>
      <c r="B2082" s="4" t="s">
        <v>50</v>
      </c>
      <c r="C2082" s="4" t="n">
        <v>2</v>
      </c>
      <c r="D2082" s="4" t="n">
        <v>1</v>
      </c>
      <c r="E2082" s="4" t="s">
        <v>21</v>
      </c>
      <c r="F2082" s="3" t="s">
        <v>104</v>
      </c>
      <c r="G2082" s="3" t="s">
        <v>611</v>
      </c>
      <c r="H2082" s="3" t="s">
        <v>118</v>
      </c>
    </row>
    <row r="2083" customFormat="false" ht="15" hidden="false" customHeight="false" outlineLevel="0" collapsed="false">
      <c r="A2083" s="4" t="s">
        <v>107</v>
      </c>
      <c r="B2083" s="4" t="s">
        <v>50</v>
      </c>
      <c r="C2083" s="4" t="n">
        <v>3</v>
      </c>
      <c r="D2083" s="4" t="n">
        <v>1</v>
      </c>
      <c r="E2083" s="4" t="s">
        <v>26</v>
      </c>
      <c r="F2083" s="3" t="s">
        <v>310</v>
      </c>
      <c r="G2083" s="3" t="s">
        <v>608</v>
      </c>
      <c r="H2083" s="3" t="s">
        <v>317</v>
      </c>
    </row>
    <row r="2084" customFormat="false" ht="15" hidden="false" customHeight="false" outlineLevel="0" collapsed="false">
      <c r="A2084" s="4" t="s">
        <v>107</v>
      </c>
      <c r="B2084" s="4" t="s">
        <v>50</v>
      </c>
      <c r="C2084" s="4" t="n">
        <v>4</v>
      </c>
      <c r="D2084" s="4" t="n">
        <v>2</v>
      </c>
      <c r="E2084" s="4" t="s">
        <v>533</v>
      </c>
      <c r="F2084" s="3" t="s">
        <v>164</v>
      </c>
      <c r="G2084" s="3" t="s">
        <v>618</v>
      </c>
      <c r="H2084" s="3" t="s">
        <v>262</v>
      </c>
    </row>
    <row r="2085" customFormat="false" ht="15" hidden="false" customHeight="false" outlineLevel="0" collapsed="false">
      <c r="A2085" s="4" t="s">
        <v>107</v>
      </c>
      <c r="B2085" s="4" t="s">
        <v>50</v>
      </c>
      <c r="C2085" s="4" t="n">
        <v>6</v>
      </c>
      <c r="D2085" s="4" t="n">
        <v>1</v>
      </c>
      <c r="E2085" s="4" t="s">
        <v>42</v>
      </c>
      <c r="F2085" s="3" t="s">
        <v>466</v>
      </c>
      <c r="G2085" s="3" t="s">
        <v>619</v>
      </c>
      <c r="H2085" s="3" t="s">
        <v>470</v>
      </c>
    </row>
    <row r="2086" customFormat="false" ht="15" hidden="false" customHeight="false" outlineLevel="0" collapsed="false">
      <c r="A2086" s="4" t="s">
        <v>107</v>
      </c>
      <c r="B2086" s="4" t="s">
        <v>50</v>
      </c>
      <c r="C2086" s="4" t="n">
        <v>7</v>
      </c>
      <c r="D2086" s="4" t="n">
        <v>1</v>
      </c>
      <c r="E2086" s="4" t="s">
        <v>39</v>
      </c>
      <c r="F2086" s="3" t="s">
        <v>72</v>
      </c>
      <c r="G2086" s="3" t="s">
        <v>617</v>
      </c>
      <c r="H2086" s="3" t="s">
        <v>354</v>
      </c>
    </row>
    <row r="2087" customFormat="false" ht="15" hidden="false" customHeight="false" outlineLevel="0" collapsed="false">
      <c r="A2087" s="4" t="s">
        <v>107</v>
      </c>
      <c r="B2087" s="4" t="s">
        <v>60</v>
      </c>
      <c r="C2087" s="4" t="n">
        <v>1</v>
      </c>
      <c r="D2087" s="4" t="n">
        <v>1</v>
      </c>
      <c r="E2087" s="4" t="s">
        <v>16</v>
      </c>
      <c r="F2087" s="3" t="s">
        <v>15</v>
      </c>
      <c r="G2087" s="3" t="s">
        <v>610</v>
      </c>
      <c r="H2087" s="3" t="s">
        <v>227</v>
      </c>
    </row>
    <row r="2088" customFormat="false" ht="15" hidden="false" customHeight="false" outlineLevel="0" collapsed="false">
      <c r="A2088" s="4" t="s">
        <v>107</v>
      </c>
      <c r="B2088" s="4" t="s">
        <v>60</v>
      </c>
      <c r="C2088" s="4" t="n">
        <v>2</v>
      </c>
      <c r="D2088" s="4" t="n">
        <v>1</v>
      </c>
      <c r="E2088" s="4" t="s">
        <v>21</v>
      </c>
      <c r="F2088" s="3" t="s">
        <v>164</v>
      </c>
      <c r="G2088" s="3" t="s">
        <v>618</v>
      </c>
      <c r="H2088" s="3" t="s">
        <v>264</v>
      </c>
    </row>
    <row r="2089" customFormat="false" ht="15" hidden="false" customHeight="false" outlineLevel="0" collapsed="false">
      <c r="A2089" s="4" t="s">
        <v>107</v>
      </c>
      <c r="B2089" s="4" t="s">
        <v>60</v>
      </c>
      <c r="C2089" s="4" t="n">
        <v>3</v>
      </c>
      <c r="D2089" s="4" t="n">
        <v>1</v>
      </c>
      <c r="E2089" s="4" t="s">
        <v>26</v>
      </c>
      <c r="F2089" s="3" t="s">
        <v>72</v>
      </c>
      <c r="G2089" s="3" t="s">
        <v>620</v>
      </c>
      <c r="H2089" s="3" t="s">
        <v>446</v>
      </c>
    </row>
    <row r="2090" customFormat="false" ht="15" hidden="false" customHeight="false" outlineLevel="0" collapsed="false">
      <c r="A2090" s="4" t="s">
        <v>107</v>
      </c>
      <c r="B2090" s="4" t="s">
        <v>60</v>
      </c>
      <c r="C2090" s="4" t="n">
        <v>4</v>
      </c>
      <c r="D2090" s="4" t="n">
        <v>1</v>
      </c>
      <c r="E2090" s="4" t="s">
        <v>34</v>
      </c>
      <c r="F2090" s="3" t="s">
        <v>310</v>
      </c>
      <c r="G2090" s="3" t="s">
        <v>608</v>
      </c>
      <c r="H2090" s="3" t="s">
        <v>318</v>
      </c>
    </row>
    <row r="2091" customFormat="false" ht="15" hidden="false" customHeight="false" outlineLevel="0" collapsed="false">
      <c r="A2091" s="4" t="s">
        <v>107</v>
      </c>
      <c r="B2091" s="4" t="s">
        <v>60</v>
      </c>
      <c r="C2091" s="4" t="n">
        <v>5</v>
      </c>
      <c r="D2091" s="4" t="n">
        <v>1</v>
      </c>
      <c r="E2091" s="4" t="s">
        <v>37</v>
      </c>
      <c r="F2091" s="3" t="s">
        <v>36</v>
      </c>
      <c r="G2091" s="3" t="s">
        <v>614</v>
      </c>
      <c r="H2091" s="3" t="s">
        <v>229</v>
      </c>
    </row>
    <row r="2092" customFormat="false" ht="15" hidden="false" customHeight="false" outlineLevel="0" collapsed="false">
      <c r="A2092" s="4" t="s">
        <v>107</v>
      </c>
      <c r="B2092" s="4" t="s">
        <v>60</v>
      </c>
      <c r="C2092" s="4" t="n">
        <v>6</v>
      </c>
      <c r="D2092" s="4" t="n">
        <v>2</v>
      </c>
      <c r="E2092" s="4" t="s">
        <v>536</v>
      </c>
      <c r="F2092" s="3" t="s">
        <v>388</v>
      </c>
      <c r="G2092" s="3" t="s">
        <v>590</v>
      </c>
      <c r="H2092" s="3" t="s">
        <v>387</v>
      </c>
    </row>
    <row r="2093" customFormat="false" ht="15" hidden="false" customHeight="false" outlineLevel="0" collapsed="false">
      <c r="A2093" s="4" t="s">
        <v>107</v>
      </c>
      <c r="B2093" s="4" t="s">
        <v>63</v>
      </c>
      <c r="C2093" s="4" t="n">
        <v>1</v>
      </c>
      <c r="D2093" s="4" t="n">
        <v>1</v>
      </c>
      <c r="E2093" s="4" t="s">
        <v>16</v>
      </c>
      <c r="F2093" s="3" t="s">
        <v>104</v>
      </c>
      <c r="G2093" s="3" t="s">
        <v>611</v>
      </c>
      <c r="H2093" s="3" t="s">
        <v>120</v>
      </c>
    </row>
    <row r="2094" customFormat="false" ht="15" hidden="false" customHeight="false" outlineLevel="0" collapsed="false">
      <c r="A2094" s="4" t="s">
        <v>107</v>
      </c>
      <c r="B2094" s="4" t="s">
        <v>63</v>
      </c>
      <c r="C2094" s="4" t="n">
        <v>2</v>
      </c>
      <c r="D2094" s="4" t="n">
        <v>1</v>
      </c>
      <c r="E2094" s="4" t="s">
        <v>21</v>
      </c>
      <c r="F2094" s="3" t="s">
        <v>164</v>
      </c>
      <c r="G2094" s="3" t="s">
        <v>618</v>
      </c>
      <c r="H2094" s="3" t="s">
        <v>266</v>
      </c>
    </row>
    <row r="2095" customFormat="false" ht="15" hidden="false" customHeight="false" outlineLevel="0" collapsed="false">
      <c r="A2095" s="4" t="s">
        <v>107</v>
      </c>
      <c r="B2095" s="4" t="s">
        <v>63</v>
      </c>
      <c r="C2095" s="4" t="n">
        <v>3</v>
      </c>
      <c r="D2095" s="4" t="n">
        <v>1</v>
      </c>
      <c r="E2095" s="4" t="s">
        <v>26</v>
      </c>
      <c r="F2095" s="3" t="s">
        <v>466</v>
      </c>
      <c r="G2095" s="3" t="s">
        <v>619</v>
      </c>
      <c r="H2095" s="3" t="s">
        <v>471</v>
      </c>
    </row>
    <row r="2096" customFormat="false" ht="15" hidden="false" customHeight="false" outlineLevel="0" collapsed="false">
      <c r="A2096" s="4" t="s">
        <v>107</v>
      </c>
      <c r="B2096" s="4" t="s">
        <v>63</v>
      </c>
      <c r="C2096" s="4" t="n">
        <v>4</v>
      </c>
      <c r="D2096" s="4" t="n">
        <v>1</v>
      </c>
      <c r="E2096" s="4" t="s">
        <v>34</v>
      </c>
      <c r="F2096" s="3" t="s">
        <v>72</v>
      </c>
      <c r="G2096" s="3" t="s">
        <v>617</v>
      </c>
      <c r="H2096" s="3" t="s">
        <v>355</v>
      </c>
    </row>
    <row r="2097" customFormat="false" ht="15" hidden="false" customHeight="false" outlineLevel="0" collapsed="false">
      <c r="A2097" s="4" t="s">
        <v>107</v>
      </c>
      <c r="B2097" s="4" t="s">
        <v>63</v>
      </c>
      <c r="C2097" s="4" t="n">
        <v>5</v>
      </c>
      <c r="D2097" s="4" t="n">
        <v>1</v>
      </c>
      <c r="E2097" s="4" t="s">
        <v>37</v>
      </c>
      <c r="F2097" s="3" t="s">
        <v>15</v>
      </c>
      <c r="G2097" s="3" t="s">
        <v>610</v>
      </c>
      <c r="H2097" s="3" t="s">
        <v>232</v>
      </c>
    </row>
    <row r="2098" customFormat="false" ht="15" hidden="false" customHeight="false" outlineLevel="0" collapsed="false">
      <c r="A2098" s="4" t="s">
        <v>107</v>
      </c>
      <c r="B2098" s="4" t="s">
        <v>63</v>
      </c>
      <c r="C2098" s="4" t="n">
        <v>6</v>
      </c>
      <c r="D2098" s="4" t="n">
        <v>1</v>
      </c>
      <c r="E2098" s="4" t="s">
        <v>42</v>
      </c>
      <c r="F2098" s="3" t="s">
        <v>287</v>
      </c>
      <c r="G2098" s="3" t="s">
        <v>514</v>
      </c>
      <c r="H2098" s="3" t="s">
        <v>517</v>
      </c>
    </row>
    <row r="2099" customFormat="false" ht="15" hidden="false" customHeight="false" outlineLevel="0" collapsed="false">
      <c r="A2099" s="4" t="s">
        <v>107</v>
      </c>
      <c r="B2099" s="4" t="s">
        <v>63</v>
      </c>
      <c r="C2099" s="4" t="n">
        <v>7</v>
      </c>
      <c r="D2099" s="4" t="n">
        <v>1</v>
      </c>
      <c r="E2099" s="4" t="s">
        <v>39</v>
      </c>
      <c r="F2099" s="3" t="s">
        <v>310</v>
      </c>
      <c r="G2099" s="3" t="s">
        <v>608</v>
      </c>
      <c r="H2099" s="3" t="s">
        <v>319</v>
      </c>
    </row>
    <row r="2100" customFormat="false" ht="15" hidden="false" customHeight="false" outlineLevel="0" collapsed="false">
      <c r="A2100" s="4" t="s">
        <v>107</v>
      </c>
      <c r="B2100" s="4" t="s">
        <v>65</v>
      </c>
      <c r="C2100" s="4" t="n">
        <v>1</v>
      </c>
      <c r="D2100" s="4" t="n">
        <v>2</v>
      </c>
      <c r="E2100" s="4" t="s">
        <v>539</v>
      </c>
      <c r="F2100" s="3" t="s">
        <v>15</v>
      </c>
      <c r="G2100" s="3" t="s">
        <v>610</v>
      </c>
      <c r="H2100" s="3" t="s">
        <v>227</v>
      </c>
    </row>
    <row r="2101" customFormat="false" ht="15" hidden="false" customHeight="false" outlineLevel="0" collapsed="false">
      <c r="A2101" s="4" t="s">
        <v>107</v>
      </c>
      <c r="B2101" s="4" t="s">
        <v>65</v>
      </c>
      <c r="C2101" s="4" t="n">
        <v>3</v>
      </c>
      <c r="D2101" s="4" t="n">
        <v>1</v>
      </c>
      <c r="E2101" s="4" t="s">
        <v>26</v>
      </c>
      <c r="F2101" s="3" t="s">
        <v>466</v>
      </c>
      <c r="G2101" s="3" t="s">
        <v>619</v>
      </c>
      <c r="H2101" s="3" t="s">
        <v>468</v>
      </c>
    </row>
    <row r="2102" customFormat="false" ht="15" hidden="false" customHeight="false" outlineLevel="0" collapsed="false">
      <c r="A2102" s="4" t="s">
        <v>107</v>
      </c>
      <c r="B2102" s="4" t="s">
        <v>65</v>
      </c>
      <c r="C2102" s="4" t="n">
        <v>4</v>
      </c>
      <c r="D2102" s="4" t="n">
        <v>1</v>
      </c>
      <c r="E2102" s="4" t="s">
        <v>34</v>
      </c>
      <c r="F2102" s="3" t="s">
        <v>72</v>
      </c>
      <c r="G2102" s="3" t="s">
        <v>620</v>
      </c>
      <c r="H2102" s="3" t="s">
        <v>447</v>
      </c>
    </row>
    <row r="2103" customFormat="false" ht="15" hidden="false" customHeight="false" outlineLevel="0" collapsed="false">
      <c r="A2103" s="4" t="s">
        <v>107</v>
      </c>
      <c r="B2103" s="4" t="s">
        <v>65</v>
      </c>
      <c r="C2103" s="4" t="n">
        <v>5</v>
      </c>
      <c r="D2103" s="4" t="n">
        <v>1</v>
      </c>
      <c r="E2103" s="4" t="s">
        <v>37</v>
      </c>
      <c r="F2103" s="3" t="s">
        <v>36</v>
      </c>
      <c r="G2103" s="3" t="s">
        <v>614</v>
      </c>
      <c r="H2103" s="3" t="s">
        <v>229</v>
      </c>
    </row>
    <row r="2104" customFormat="false" ht="15" hidden="false" customHeight="false" outlineLevel="0" collapsed="false">
      <c r="A2104" s="4" t="s">
        <v>107</v>
      </c>
      <c r="B2104" s="4" t="s">
        <v>65</v>
      </c>
      <c r="C2104" s="4" t="n">
        <v>6</v>
      </c>
      <c r="D2104" s="4" t="n">
        <v>1</v>
      </c>
      <c r="E2104" s="4" t="s">
        <v>42</v>
      </c>
      <c r="F2104" s="3" t="s">
        <v>164</v>
      </c>
      <c r="G2104" s="3" t="s">
        <v>618</v>
      </c>
      <c r="H2104" s="3" t="s">
        <v>268</v>
      </c>
    </row>
    <row r="2105" customFormat="false" ht="15" hidden="false" customHeight="false" outlineLevel="0" collapsed="false">
      <c r="A2105" s="4" t="s">
        <v>107</v>
      </c>
      <c r="B2105" s="4" t="s">
        <v>65</v>
      </c>
      <c r="C2105" s="4" t="n">
        <v>7</v>
      </c>
      <c r="D2105" s="4" t="n">
        <v>1</v>
      </c>
      <c r="E2105" s="4" t="s">
        <v>39</v>
      </c>
      <c r="F2105" s="3" t="s">
        <v>287</v>
      </c>
      <c r="G2105" s="3" t="s">
        <v>514</v>
      </c>
      <c r="H2105" s="3" t="s">
        <v>517</v>
      </c>
    </row>
    <row r="2106" customFormat="false" ht="15" hidden="false" customHeight="false" outlineLevel="0" collapsed="false">
      <c r="A2106" s="4" t="s">
        <v>107</v>
      </c>
      <c r="B2106" s="4" t="s">
        <v>66</v>
      </c>
      <c r="C2106" s="4" t="n">
        <v>1</v>
      </c>
      <c r="D2106" s="4" t="n">
        <v>1</v>
      </c>
      <c r="E2106" s="4" t="s">
        <v>16</v>
      </c>
      <c r="F2106" s="3" t="s">
        <v>15</v>
      </c>
      <c r="G2106" s="3" t="s">
        <v>610</v>
      </c>
      <c r="H2106" s="3" t="s">
        <v>227</v>
      </c>
    </row>
    <row r="2107" customFormat="false" ht="15" hidden="false" customHeight="false" outlineLevel="0" collapsed="false">
      <c r="A2107" s="4" t="s">
        <v>107</v>
      </c>
      <c r="B2107" s="4" t="s">
        <v>66</v>
      </c>
      <c r="C2107" s="4" t="n">
        <v>2</v>
      </c>
      <c r="D2107" s="4" t="n">
        <v>1</v>
      </c>
      <c r="E2107" s="4" t="s">
        <v>21</v>
      </c>
      <c r="F2107" s="3" t="s">
        <v>104</v>
      </c>
      <c r="G2107" s="3" t="s">
        <v>611</v>
      </c>
      <c r="H2107" s="3" t="s">
        <v>114</v>
      </c>
    </row>
    <row r="2108" customFormat="false" ht="15" hidden="false" customHeight="false" outlineLevel="0" collapsed="false">
      <c r="A2108" s="4" t="s">
        <v>107</v>
      </c>
      <c r="B2108" s="4" t="s">
        <v>66</v>
      </c>
      <c r="C2108" s="4" t="n">
        <v>3</v>
      </c>
      <c r="D2108" s="4" t="n">
        <v>1</v>
      </c>
      <c r="E2108" s="4" t="s">
        <v>26</v>
      </c>
      <c r="F2108" s="3" t="s">
        <v>164</v>
      </c>
      <c r="G2108" s="3" t="s">
        <v>618</v>
      </c>
      <c r="H2108" s="3" t="s">
        <v>269</v>
      </c>
    </row>
    <row r="2109" customFormat="false" ht="15" hidden="false" customHeight="false" outlineLevel="0" collapsed="false">
      <c r="A2109" s="4" t="s">
        <v>107</v>
      </c>
      <c r="B2109" s="4" t="s">
        <v>66</v>
      </c>
      <c r="C2109" s="4" t="n">
        <v>4</v>
      </c>
      <c r="D2109" s="4" t="n">
        <v>1</v>
      </c>
      <c r="E2109" s="4" t="s">
        <v>34</v>
      </c>
      <c r="F2109" s="3" t="s">
        <v>466</v>
      </c>
      <c r="G2109" s="3" t="s">
        <v>619</v>
      </c>
      <c r="H2109" s="3" t="s">
        <v>472</v>
      </c>
    </row>
    <row r="2110" customFormat="false" ht="15" hidden="false" customHeight="false" outlineLevel="0" collapsed="false">
      <c r="A2110" s="4" t="s">
        <v>107</v>
      </c>
      <c r="B2110" s="4" t="s">
        <v>66</v>
      </c>
      <c r="C2110" s="4" t="n">
        <v>5</v>
      </c>
      <c r="D2110" s="4" t="n">
        <v>1</v>
      </c>
      <c r="E2110" s="4" t="s">
        <v>37</v>
      </c>
      <c r="F2110" s="3" t="s">
        <v>310</v>
      </c>
      <c r="G2110" s="3" t="s">
        <v>608</v>
      </c>
      <c r="H2110" s="3" t="s">
        <v>320</v>
      </c>
    </row>
    <row r="2111" customFormat="false" ht="15" hidden="false" customHeight="false" outlineLevel="0" collapsed="false">
      <c r="A2111" s="4" t="s">
        <v>107</v>
      </c>
      <c r="B2111" s="4" t="s">
        <v>66</v>
      </c>
      <c r="C2111" s="4" t="n">
        <v>6</v>
      </c>
      <c r="D2111" s="4" t="n">
        <v>2</v>
      </c>
      <c r="E2111" s="4" t="s">
        <v>536</v>
      </c>
      <c r="F2111" s="3" t="s">
        <v>72</v>
      </c>
      <c r="G2111" s="3" t="s">
        <v>620</v>
      </c>
      <c r="H2111" s="3" t="s">
        <v>448</v>
      </c>
    </row>
    <row r="2112" customFormat="false" ht="15" hidden="false" customHeight="false" outlineLevel="0" collapsed="false">
      <c r="A2112" s="4" t="s">
        <v>102</v>
      </c>
      <c r="B2112" s="4" t="s">
        <v>12</v>
      </c>
      <c r="C2112" s="4" t="n">
        <v>1</v>
      </c>
      <c r="D2112" s="4" t="n">
        <v>1</v>
      </c>
      <c r="E2112" s="4" t="s">
        <v>16</v>
      </c>
      <c r="F2112" s="3" t="s">
        <v>310</v>
      </c>
      <c r="G2112" s="3" t="s">
        <v>608</v>
      </c>
      <c r="H2112" s="3" t="s">
        <v>309</v>
      </c>
    </row>
    <row r="2113" customFormat="false" ht="15" hidden="false" customHeight="false" outlineLevel="0" collapsed="false">
      <c r="A2113" s="4" t="s">
        <v>102</v>
      </c>
      <c r="B2113" s="4" t="s">
        <v>12</v>
      </c>
      <c r="C2113" s="4" t="n">
        <v>2</v>
      </c>
      <c r="D2113" s="4" t="n">
        <v>1</v>
      </c>
      <c r="E2113" s="4" t="s">
        <v>21</v>
      </c>
      <c r="F2113" s="3" t="s">
        <v>72</v>
      </c>
      <c r="G2113" s="3" t="s">
        <v>617</v>
      </c>
      <c r="H2113" s="3" t="s">
        <v>348</v>
      </c>
    </row>
    <row r="2114" customFormat="false" ht="15" hidden="false" customHeight="false" outlineLevel="0" collapsed="false">
      <c r="A2114" s="4" t="s">
        <v>102</v>
      </c>
      <c r="B2114" s="4" t="s">
        <v>12</v>
      </c>
      <c r="C2114" s="4" t="n">
        <v>3</v>
      </c>
      <c r="D2114" s="4" t="n">
        <v>1</v>
      </c>
      <c r="E2114" s="4" t="s">
        <v>26</v>
      </c>
      <c r="F2114" s="3" t="s">
        <v>15</v>
      </c>
      <c r="G2114" s="3" t="s">
        <v>610</v>
      </c>
      <c r="H2114" s="3" t="s">
        <v>227</v>
      </c>
    </row>
    <row r="2115" customFormat="false" ht="15" hidden="false" customHeight="false" outlineLevel="0" collapsed="false">
      <c r="A2115" s="4" t="s">
        <v>102</v>
      </c>
      <c r="B2115" s="4" t="s">
        <v>12</v>
      </c>
      <c r="C2115" s="4" t="n">
        <v>4</v>
      </c>
      <c r="D2115" s="4" t="n">
        <v>2</v>
      </c>
      <c r="E2115" s="4" t="s">
        <v>533</v>
      </c>
      <c r="F2115" s="3" t="s">
        <v>104</v>
      </c>
      <c r="G2115" s="3" t="s">
        <v>611</v>
      </c>
      <c r="H2115" s="3" t="s">
        <v>103</v>
      </c>
    </row>
    <row r="2116" customFormat="false" ht="15" hidden="false" customHeight="false" outlineLevel="0" collapsed="false">
      <c r="A2116" s="4" t="s">
        <v>102</v>
      </c>
      <c r="B2116" s="4" t="s">
        <v>12</v>
      </c>
      <c r="C2116" s="4" t="n">
        <v>6</v>
      </c>
      <c r="D2116" s="4" t="n">
        <v>1</v>
      </c>
      <c r="E2116" s="4" t="s">
        <v>42</v>
      </c>
      <c r="F2116" s="3" t="s">
        <v>164</v>
      </c>
      <c r="G2116" s="3" t="s">
        <v>618</v>
      </c>
      <c r="H2116" s="3" t="s">
        <v>255</v>
      </c>
    </row>
    <row r="2117" customFormat="false" ht="15" hidden="false" customHeight="false" outlineLevel="0" collapsed="false">
      <c r="A2117" s="4" t="s">
        <v>102</v>
      </c>
      <c r="B2117" s="4" t="s">
        <v>12</v>
      </c>
      <c r="C2117" s="4" t="n">
        <v>7</v>
      </c>
      <c r="D2117" s="4" t="n">
        <v>1</v>
      </c>
      <c r="E2117" s="4" t="s">
        <v>39</v>
      </c>
      <c r="F2117" s="3" t="s">
        <v>466</v>
      </c>
      <c r="G2117" s="3" t="s">
        <v>619</v>
      </c>
      <c r="H2117" s="3" t="s">
        <v>465</v>
      </c>
    </row>
    <row r="2118" customFormat="false" ht="15" hidden="false" customHeight="false" outlineLevel="0" collapsed="false">
      <c r="A2118" s="4" t="s">
        <v>102</v>
      </c>
      <c r="B2118" s="4" t="s">
        <v>31</v>
      </c>
      <c r="C2118" s="4" t="n">
        <v>1</v>
      </c>
      <c r="D2118" s="4" t="n">
        <v>1</v>
      </c>
      <c r="E2118" s="4" t="s">
        <v>16</v>
      </c>
      <c r="F2118" s="3" t="s">
        <v>164</v>
      </c>
      <c r="G2118" s="3" t="s">
        <v>618</v>
      </c>
      <c r="H2118" s="3" t="s">
        <v>256</v>
      </c>
    </row>
    <row r="2119" customFormat="false" ht="15" hidden="false" customHeight="false" outlineLevel="0" collapsed="false">
      <c r="A2119" s="4" t="s">
        <v>102</v>
      </c>
      <c r="B2119" s="4" t="s">
        <v>31</v>
      </c>
      <c r="C2119" s="4" t="n">
        <v>2</v>
      </c>
      <c r="D2119" s="4" t="n">
        <v>1</v>
      </c>
      <c r="E2119" s="4" t="s">
        <v>21</v>
      </c>
      <c r="F2119" s="3" t="s">
        <v>72</v>
      </c>
      <c r="G2119" s="3" t="s">
        <v>620</v>
      </c>
      <c r="H2119" s="3" t="s">
        <v>443</v>
      </c>
    </row>
    <row r="2120" customFormat="false" ht="15" hidden="false" customHeight="false" outlineLevel="0" collapsed="false">
      <c r="A2120" s="4" t="s">
        <v>102</v>
      </c>
      <c r="B2120" s="4" t="s">
        <v>31</v>
      </c>
      <c r="C2120" s="4" t="n">
        <v>3</v>
      </c>
      <c r="D2120" s="4" t="n">
        <v>1</v>
      </c>
      <c r="E2120" s="4" t="s">
        <v>26</v>
      </c>
      <c r="F2120" s="3" t="s">
        <v>104</v>
      </c>
      <c r="G2120" s="3" t="s">
        <v>611</v>
      </c>
      <c r="H2120" s="3" t="s">
        <v>110</v>
      </c>
    </row>
    <row r="2121" customFormat="false" ht="15" hidden="false" customHeight="false" outlineLevel="0" collapsed="false">
      <c r="A2121" s="4" t="s">
        <v>102</v>
      </c>
      <c r="B2121" s="4" t="s">
        <v>31</v>
      </c>
      <c r="C2121" s="4" t="n">
        <v>4</v>
      </c>
      <c r="D2121" s="4" t="n">
        <v>1</v>
      </c>
      <c r="E2121" s="4" t="s">
        <v>34</v>
      </c>
      <c r="F2121" s="3" t="s">
        <v>310</v>
      </c>
      <c r="G2121" s="3" t="s">
        <v>608</v>
      </c>
      <c r="H2121" s="3" t="s">
        <v>313</v>
      </c>
    </row>
    <row r="2122" customFormat="false" ht="15" hidden="false" customHeight="false" outlineLevel="0" collapsed="false">
      <c r="A2122" s="4" t="s">
        <v>102</v>
      </c>
      <c r="B2122" s="4" t="s">
        <v>31</v>
      </c>
      <c r="C2122" s="4" t="n">
        <v>5</v>
      </c>
      <c r="D2122" s="4" t="n">
        <v>1</v>
      </c>
      <c r="E2122" s="4" t="s">
        <v>37</v>
      </c>
      <c r="F2122" s="3" t="s">
        <v>36</v>
      </c>
      <c r="G2122" s="3" t="s">
        <v>614</v>
      </c>
      <c r="H2122" s="3" t="s">
        <v>229</v>
      </c>
    </row>
    <row r="2123" customFormat="false" ht="15" hidden="false" customHeight="false" outlineLevel="0" collapsed="false">
      <c r="A2123" s="4" t="s">
        <v>102</v>
      </c>
      <c r="B2123" s="4" t="s">
        <v>31</v>
      </c>
      <c r="C2123" s="4" t="n">
        <v>6</v>
      </c>
      <c r="D2123" s="4" t="n">
        <v>2</v>
      </c>
      <c r="E2123" s="4" t="s">
        <v>536</v>
      </c>
      <c r="F2123" s="3" t="s">
        <v>466</v>
      </c>
      <c r="G2123" s="3" t="s">
        <v>619</v>
      </c>
      <c r="H2123" s="3" t="s">
        <v>467</v>
      </c>
    </row>
    <row r="2124" customFormat="false" ht="15" hidden="false" customHeight="false" outlineLevel="0" collapsed="false">
      <c r="A2124" s="4" t="s">
        <v>102</v>
      </c>
      <c r="B2124" s="4" t="s">
        <v>40</v>
      </c>
      <c r="C2124" s="4" t="n">
        <v>1</v>
      </c>
      <c r="D2124" s="4" t="n">
        <v>1</v>
      </c>
      <c r="E2124" s="4" t="s">
        <v>16</v>
      </c>
      <c r="F2124" s="3" t="s">
        <v>104</v>
      </c>
      <c r="G2124" s="3" t="s">
        <v>611</v>
      </c>
      <c r="H2124" s="3" t="s">
        <v>114</v>
      </c>
    </row>
    <row r="2125" customFormat="false" ht="15" hidden="false" customHeight="false" outlineLevel="0" collapsed="false">
      <c r="A2125" s="4" t="s">
        <v>102</v>
      </c>
      <c r="B2125" s="4" t="s">
        <v>40</v>
      </c>
      <c r="C2125" s="4" t="n">
        <v>2</v>
      </c>
      <c r="D2125" s="4" t="n">
        <v>1</v>
      </c>
      <c r="E2125" s="4" t="s">
        <v>21</v>
      </c>
      <c r="F2125" s="3" t="s">
        <v>466</v>
      </c>
      <c r="G2125" s="3" t="s">
        <v>619</v>
      </c>
      <c r="H2125" s="3" t="s">
        <v>468</v>
      </c>
    </row>
    <row r="2126" customFormat="false" ht="15" hidden="false" customHeight="false" outlineLevel="0" collapsed="false">
      <c r="A2126" s="4" t="s">
        <v>102</v>
      </c>
      <c r="B2126" s="4" t="s">
        <v>40</v>
      </c>
      <c r="C2126" s="4" t="n">
        <v>3</v>
      </c>
      <c r="D2126" s="4" t="n">
        <v>1</v>
      </c>
      <c r="E2126" s="4" t="s">
        <v>26</v>
      </c>
      <c r="F2126" s="3" t="s">
        <v>164</v>
      </c>
      <c r="G2126" s="3" t="s">
        <v>618</v>
      </c>
      <c r="H2126" s="3" t="s">
        <v>259</v>
      </c>
    </row>
    <row r="2127" customFormat="false" ht="15" hidden="false" customHeight="false" outlineLevel="0" collapsed="false">
      <c r="A2127" s="4" t="s">
        <v>102</v>
      </c>
      <c r="B2127" s="4" t="s">
        <v>40</v>
      </c>
      <c r="C2127" s="4" t="n">
        <v>4</v>
      </c>
      <c r="D2127" s="4" t="n">
        <v>1</v>
      </c>
      <c r="E2127" s="4" t="s">
        <v>34</v>
      </c>
      <c r="F2127" s="3" t="s">
        <v>15</v>
      </c>
      <c r="G2127" s="3" t="s">
        <v>610</v>
      </c>
      <c r="H2127" s="3" t="s">
        <v>230</v>
      </c>
    </row>
    <row r="2128" customFormat="false" ht="15" hidden="false" customHeight="false" outlineLevel="0" collapsed="false">
      <c r="A2128" s="4" t="s">
        <v>102</v>
      </c>
      <c r="B2128" s="4" t="s">
        <v>40</v>
      </c>
      <c r="C2128" s="4" t="n">
        <v>5</v>
      </c>
      <c r="D2128" s="4" t="n">
        <v>1</v>
      </c>
      <c r="E2128" s="4" t="s">
        <v>37</v>
      </c>
      <c r="F2128" s="3" t="s">
        <v>72</v>
      </c>
      <c r="G2128" s="3" t="s">
        <v>617</v>
      </c>
      <c r="H2128" s="3" t="s">
        <v>352</v>
      </c>
    </row>
    <row r="2129" customFormat="false" ht="15" hidden="false" customHeight="false" outlineLevel="0" collapsed="false">
      <c r="A2129" s="4" t="s">
        <v>102</v>
      </c>
      <c r="B2129" s="4" t="s">
        <v>40</v>
      </c>
      <c r="C2129" s="4" t="n">
        <v>6</v>
      </c>
      <c r="D2129" s="4" t="n">
        <v>2</v>
      </c>
      <c r="E2129" s="4" t="s">
        <v>536</v>
      </c>
      <c r="F2129" s="3" t="s">
        <v>310</v>
      </c>
      <c r="G2129" s="3" t="s">
        <v>608</v>
      </c>
      <c r="H2129" s="3" t="s">
        <v>314</v>
      </c>
    </row>
    <row r="2130" customFormat="false" ht="15" hidden="false" customHeight="false" outlineLevel="0" collapsed="false">
      <c r="A2130" s="4" t="s">
        <v>102</v>
      </c>
      <c r="B2130" s="4" t="s">
        <v>44</v>
      </c>
      <c r="C2130" s="4" t="n">
        <v>1</v>
      </c>
      <c r="D2130" s="4" t="n">
        <v>1</v>
      </c>
      <c r="E2130" s="4" t="s">
        <v>16</v>
      </c>
      <c r="F2130" s="3" t="s">
        <v>164</v>
      </c>
      <c r="G2130" s="3" t="s">
        <v>618</v>
      </c>
      <c r="H2130" s="3" t="s">
        <v>256</v>
      </c>
    </row>
    <row r="2131" customFormat="false" ht="15" hidden="false" customHeight="false" outlineLevel="0" collapsed="false">
      <c r="A2131" s="4" t="s">
        <v>102</v>
      </c>
      <c r="B2131" s="4" t="s">
        <v>44</v>
      </c>
      <c r="C2131" s="4" t="n">
        <v>2</v>
      </c>
      <c r="D2131" s="4" t="n">
        <v>1</v>
      </c>
      <c r="E2131" s="4" t="s">
        <v>21</v>
      </c>
      <c r="F2131" s="3" t="s">
        <v>104</v>
      </c>
      <c r="G2131" s="3" t="s">
        <v>611</v>
      </c>
      <c r="H2131" s="3" t="s">
        <v>110</v>
      </c>
    </row>
    <row r="2132" customFormat="false" ht="15" hidden="false" customHeight="false" outlineLevel="0" collapsed="false">
      <c r="A2132" s="4" t="s">
        <v>102</v>
      </c>
      <c r="B2132" s="4" t="s">
        <v>44</v>
      </c>
      <c r="C2132" s="4" t="n">
        <v>3</v>
      </c>
      <c r="D2132" s="4" t="n">
        <v>1</v>
      </c>
      <c r="E2132" s="4" t="s">
        <v>26</v>
      </c>
      <c r="F2132" s="3" t="s">
        <v>15</v>
      </c>
      <c r="G2132" s="3" t="s">
        <v>610</v>
      </c>
      <c r="H2132" s="3" t="s">
        <v>227</v>
      </c>
    </row>
    <row r="2133" customFormat="false" ht="15" hidden="false" customHeight="false" outlineLevel="0" collapsed="false">
      <c r="A2133" s="4" t="s">
        <v>102</v>
      </c>
      <c r="B2133" s="4" t="s">
        <v>44</v>
      </c>
      <c r="C2133" s="4" t="n">
        <v>4</v>
      </c>
      <c r="D2133" s="4" t="n">
        <v>1</v>
      </c>
      <c r="E2133" s="4" t="s">
        <v>34</v>
      </c>
      <c r="F2133" s="3" t="s">
        <v>466</v>
      </c>
      <c r="G2133" s="3" t="s">
        <v>619</v>
      </c>
      <c r="H2133" s="3" t="s">
        <v>469</v>
      </c>
    </row>
    <row r="2134" customFormat="false" ht="15" hidden="false" customHeight="false" outlineLevel="0" collapsed="false">
      <c r="A2134" s="4" t="s">
        <v>102</v>
      </c>
      <c r="B2134" s="4" t="s">
        <v>44</v>
      </c>
      <c r="C2134" s="4" t="n">
        <v>5</v>
      </c>
      <c r="D2134" s="4" t="n">
        <v>1</v>
      </c>
      <c r="E2134" s="4" t="s">
        <v>37</v>
      </c>
      <c r="F2134" s="3" t="s">
        <v>36</v>
      </c>
      <c r="G2134" s="3" t="s">
        <v>614</v>
      </c>
      <c r="H2134" s="3" t="s">
        <v>229</v>
      </c>
    </row>
    <row r="2135" customFormat="false" ht="15" hidden="false" customHeight="false" outlineLevel="0" collapsed="false">
      <c r="A2135" s="4" t="s">
        <v>102</v>
      </c>
      <c r="B2135" s="4" t="s">
        <v>44</v>
      </c>
      <c r="C2135" s="4" t="n">
        <v>6</v>
      </c>
      <c r="D2135" s="4" t="n">
        <v>1</v>
      </c>
      <c r="E2135" s="4" t="s">
        <v>42</v>
      </c>
      <c r="F2135" s="3" t="s">
        <v>72</v>
      </c>
      <c r="G2135" s="3" t="s">
        <v>620</v>
      </c>
      <c r="H2135" s="3" t="s">
        <v>444</v>
      </c>
    </row>
    <row r="2136" customFormat="false" ht="15" hidden="false" customHeight="false" outlineLevel="0" collapsed="false">
      <c r="A2136" s="4" t="s">
        <v>102</v>
      </c>
      <c r="B2136" s="4" t="s">
        <v>44</v>
      </c>
      <c r="C2136" s="4" t="n">
        <v>7</v>
      </c>
      <c r="D2136" s="4" t="n">
        <v>1</v>
      </c>
      <c r="E2136" s="4" t="s">
        <v>39</v>
      </c>
      <c r="F2136" s="3" t="s">
        <v>287</v>
      </c>
      <c r="G2136" s="3" t="s">
        <v>505</v>
      </c>
      <c r="H2136" s="3" t="s">
        <v>508</v>
      </c>
    </row>
    <row r="2137" customFormat="false" ht="15" hidden="false" customHeight="false" outlineLevel="0" collapsed="false">
      <c r="A2137" s="4" t="s">
        <v>102</v>
      </c>
      <c r="B2137" s="4" t="s">
        <v>47</v>
      </c>
      <c r="C2137" s="4" t="n">
        <v>1</v>
      </c>
      <c r="D2137" s="4" t="n">
        <v>1</v>
      </c>
      <c r="E2137" s="4" t="s">
        <v>16</v>
      </c>
      <c r="F2137" s="3" t="s">
        <v>287</v>
      </c>
      <c r="G2137" s="3" t="s">
        <v>505</v>
      </c>
      <c r="H2137" s="3" t="s">
        <v>508</v>
      </c>
    </row>
    <row r="2138" customFormat="false" ht="15" hidden="false" customHeight="false" outlineLevel="0" collapsed="false">
      <c r="A2138" s="4" t="s">
        <v>102</v>
      </c>
      <c r="B2138" s="4" t="s">
        <v>47</v>
      </c>
      <c r="C2138" s="4" t="n">
        <v>2</v>
      </c>
      <c r="D2138" s="4" t="n">
        <v>1</v>
      </c>
      <c r="E2138" s="4" t="s">
        <v>21</v>
      </c>
      <c r="F2138" s="3" t="s">
        <v>310</v>
      </c>
      <c r="G2138" s="3" t="s">
        <v>608</v>
      </c>
      <c r="H2138" s="3" t="s">
        <v>315</v>
      </c>
    </row>
    <row r="2139" customFormat="false" ht="15" hidden="false" customHeight="false" outlineLevel="0" collapsed="false">
      <c r="A2139" s="4" t="s">
        <v>102</v>
      </c>
      <c r="B2139" s="4" t="s">
        <v>47</v>
      </c>
      <c r="C2139" s="4" t="n">
        <v>3</v>
      </c>
      <c r="D2139" s="4" t="n">
        <v>1</v>
      </c>
      <c r="E2139" s="4" t="s">
        <v>26</v>
      </c>
      <c r="F2139" s="3" t="s">
        <v>15</v>
      </c>
      <c r="G2139" s="3" t="s">
        <v>610</v>
      </c>
      <c r="H2139" s="3" t="s">
        <v>231</v>
      </c>
    </row>
    <row r="2140" customFormat="false" ht="15" hidden="false" customHeight="false" outlineLevel="0" collapsed="false">
      <c r="A2140" s="4" t="s">
        <v>102</v>
      </c>
      <c r="B2140" s="4" t="s">
        <v>47</v>
      </c>
      <c r="C2140" s="4" t="n">
        <v>4</v>
      </c>
      <c r="D2140" s="4" t="n">
        <v>1</v>
      </c>
      <c r="E2140" s="4" t="s">
        <v>34</v>
      </c>
      <c r="F2140" s="3" t="s">
        <v>164</v>
      </c>
      <c r="G2140" s="3" t="s">
        <v>618</v>
      </c>
      <c r="H2140" s="3" t="s">
        <v>261</v>
      </c>
    </row>
    <row r="2141" customFormat="false" ht="15" hidden="false" customHeight="false" outlineLevel="0" collapsed="false">
      <c r="A2141" s="4" t="s">
        <v>102</v>
      </c>
      <c r="B2141" s="4" t="s">
        <v>47</v>
      </c>
      <c r="C2141" s="4" t="n">
        <v>5</v>
      </c>
      <c r="D2141" s="4" t="n">
        <v>1</v>
      </c>
      <c r="E2141" s="4" t="s">
        <v>37</v>
      </c>
      <c r="F2141" s="3" t="s">
        <v>104</v>
      </c>
      <c r="G2141" s="3" t="s">
        <v>611</v>
      </c>
      <c r="H2141" s="3" t="s">
        <v>116</v>
      </c>
    </row>
    <row r="2142" customFormat="false" ht="15" hidden="false" customHeight="false" outlineLevel="0" collapsed="false">
      <c r="A2142" s="4" t="s">
        <v>102</v>
      </c>
      <c r="B2142" s="4" t="s">
        <v>47</v>
      </c>
      <c r="C2142" s="4" t="n">
        <v>6</v>
      </c>
      <c r="D2142" s="4" t="n">
        <v>2</v>
      </c>
      <c r="E2142" s="4" t="s">
        <v>536</v>
      </c>
      <c r="F2142" s="3" t="s">
        <v>72</v>
      </c>
      <c r="G2142" s="3" t="s">
        <v>620</v>
      </c>
      <c r="H2142" s="3" t="s">
        <v>445</v>
      </c>
    </row>
    <row r="2143" customFormat="false" ht="15" hidden="false" customHeight="false" outlineLevel="0" collapsed="false">
      <c r="A2143" s="4" t="s">
        <v>102</v>
      </c>
      <c r="B2143" s="4" t="s">
        <v>50</v>
      </c>
      <c r="C2143" s="4" t="n">
        <v>1</v>
      </c>
      <c r="D2143" s="4" t="n">
        <v>1</v>
      </c>
      <c r="E2143" s="4" t="s">
        <v>16</v>
      </c>
      <c r="F2143" s="3" t="s">
        <v>15</v>
      </c>
      <c r="G2143" s="3" t="s">
        <v>610</v>
      </c>
      <c r="H2143" s="3" t="s">
        <v>227</v>
      </c>
    </row>
    <row r="2144" customFormat="false" ht="15" hidden="false" customHeight="false" outlineLevel="0" collapsed="false">
      <c r="A2144" s="4" t="s">
        <v>102</v>
      </c>
      <c r="B2144" s="4" t="s">
        <v>50</v>
      </c>
      <c r="C2144" s="4" t="n">
        <v>2</v>
      </c>
      <c r="D2144" s="4" t="n">
        <v>1</v>
      </c>
      <c r="E2144" s="4" t="s">
        <v>21</v>
      </c>
      <c r="F2144" s="3" t="s">
        <v>104</v>
      </c>
      <c r="G2144" s="3" t="s">
        <v>611</v>
      </c>
      <c r="H2144" s="3" t="s">
        <v>118</v>
      </c>
    </row>
    <row r="2145" customFormat="false" ht="15" hidden="false" customHeight="false" outlineLevel="0" collapsed="false">
      <c r="A2145" s="4" t="s">
        <v>102</v>
      </c>
      <c r="B2145" s="4" t="s">
        <v>50</v>
      </c>
      <c r="C2145" s="4" t="n">
        <v>3</v>
      </c>
      <c r="D2145" s="4" t="n">
        <v>1</v>
      </c>
      <c r="E2145" s="4" t="s">
        <v>26</v>
      </c>
      <c r="F2145" s="3" t="s">
        <v>310</v>
      </c>
      <c r="G2145" s="3" t="s">
        <v>608</v>
      </c>
      <c r="H2145" s="3" t="s">
        <v>317</v>
      </c>
    </row>
    <row r="2146" customFormat="false" ht="15" hidden="false" customHeight="false" outlineLevel="0" collapsed="false">
      <c r="A2146" s="4" t="s">
        <v>102</v>
      </c>
      <c r="B2146" s="4" t="s">
        <v>50</v>
      </c>
      <c r="C2146" s="4" t="n">
        <v>4</v>
      </c>
      <c r="D2146" s="4" t="n">
        <v>2</v>
      </c>
      <c r="E2146" s="4" t="s">
        <v>533</v>
      </c>
      <c r="F2146" s="3" t="s">
        <v>164</v>
      </c>
      <c r="G2146" s="3" t="s">
        <v>618</v>
      </c>
      <c r="H2146" s="3" t="s">
        <v>262</v>
      </c>
    </row>
    <row r="2147" customFormat="false" ht="15" hidden="false" customHeight="false" outlineLevel="0" collapsed="false">
      <c r="A2147" s="4" t="s">
        <v>102</v>
      </c>
      <c r="B2147" s="4" t="s">
        <v>50</v>
      </c>
      <c r="C2147" s="4" t="n">
        <v>6</v>
      </c>
      <c r="D2147" s="4" t="n">
        <v>1</v>
      </c>
      <c r="E2147" s="4" t="s">
        <v>42</v>
      </c>
      <c r="F2147" s="3" t="s">
        <v>466</v>
      </c>
      <c r="G2147" s="3" t="s">
        <v>619</v>
      </c>
      <c r="H2147" s="3" t="s">
        <v>470</v>
      </c>
    </row>
    <row r="2148" customFormat="false" ht="15" hidden="false" customHeight="false" outlineLevel="0" collapsed="false">
      <c r="A2148" s="4" t="s">
        <v>102</v>
      </c>
      <c r="B2148" s="4" t="s">
        <v>50</v>
      </c>
      <c r="C2148" s="4" t="n">
        <v>7</v>
      </c>
      <c r="D2148" s="4" t="n">
        <v>1</v>
      </c>
      <c r="E2148" s="4" t="s">
        <v>39</v>
      </c>
      <c r="F2148" s="3" t="s">
        <v>72</v>
      </c>
      <c r="G2148" s="3" t="s">
        <v>617</v>
      </c>
      <c r="H2148" s="3" t="s">
        <v>354</v>
      </c>
    </row>
    <row r="2149" customFormat="false" ht="15" hidden="false" customHeight="false" outlineLevel="0" collapsed="false">
      <c r="A2149" s="4" t="s">
        <v>102</v>
      </c>
      <c r="B2149" s="4" t="s">
        <v>60</v>
      </c>
      <c r="C2149" s="4" t="n">
        <v>1</v>
      </c>
      <c r="D2149" s="4" t="n">
        <v>1</v>
      </c>
      <c r="E2149" s="4" t="s">
        <v>16</v>
      </c>
      <c r="F2149" s="3" t="s">
        <v>15</v>
      </c>
      <c r="G2149" s="3" t="s">
        <v>610</v>
      </c>
      <c r="H2149" s="3" t="s">
        <v>227</v>
      </c>
    </row>
    <row r="2150" customFormat="false" ht="15" hidden="false" customHeight="false" outlineLevel="0" collapsed="false">
      <c r="A2150" s="4" t="s">
        <v>102</v>
      </c>
      <c r="B2150" s="4" t="s">
        <v>60</v>
      </c>
      <c r="C2150" s="4" t="n">
        <v>2</v>
      </c>
      <c r="D2150" s="4" t="n">
        <v>1</v>
      </c>
      <c r="E2150" s="4" t="s">
        <v>21</v>
      </c>
      <c r="F2150" s="3" t="s">
        <v>164</v>
      </c>
      <c r="G2150" s="3" t="s">
        <v>618</v>
      </c>
      <c r="H2150" s="3" t="s">
        <v>264</v>
      </c>
    </row>
    <row r="2151" customFormat="false" ht="15" hidden="false" customHeight="false" outlineLevel="0" collapsed="false">
      <c r="A2151" s="4" t="s">
        <v>102</v>
      </c>
      <c r="B2151" s="4" t="s">
        <v>60</v>
      </c>
      <c r="C2151" s="4" t="n">
        <v>3</v>
      </c>
      <c r="D2151" s="4" t="n">
        <v>1</v>
      </c>
      <c r="E2151" s="4" t="s">
        <v>26</v>
      </c>
      <c r="F2151" s="3" t="s">
        <v>72</v>
      </c>
      <c r="G2151" s="3" t="s">
        <v>620</v>
      </c>
      <c r="H2151" s="3" t="s">
        <v>446</v>
      </c>
    </row>
    <row r="2152" customFormat="false" ht="15" hidden="false" customHeight="false" outlineLevel="0" collapsed="false">
      <c r="A2152" s="4" t="s">
        <v>102</v>
      </c>
      <c r="B2152" s="4" t="s">
        <v>60</v>
      </c>
      <c r="C2152" s="4" t="n">
        <v>4</v>
      </c>
      <c r="D2152" s="4" t="n">
        <v>1</v>
      </c>
      <c r="E2152" s="4" t="s">
        <v>34</v>
      </c>
      <c r="F2152" s="3" t="s">
        <v>310</v>
      </c>
      <c r="G2152" s="3" t="s">
        <v>608</v>
      </c>
      <c r="H2152" s="3" t="s">
        <v>318</v>
      </c>
    </row>
    <row r="2153" customFormat="false" ht="15" hidden="false" customHeight="false" outlineLevel="0" collapsed="false">
      <c r="A2153" s="4" t="s">
        <v>102</v>
      </c>
      <c r="B2153" s="4" t="s">
        <v>60</v>
      </c>
      <c r="C2153" s="4" t="n">
        <v>5</v>
      </c>
      <c r="D2153" s="4" t="n">
        <v>1</v>
      </c>
      <c r="E2153" s="4" t="s">
        <v>37</v>
      </c>
      <c r="F2153" s="3" t="s">
        <v>36</v>
      </c>
      <c r="G2153" s="3" t="s">
        <v>614</v>
      </c>
      <c r="H2153" s="3" t="s">
        <v>229</v>
      </c>
    </row>
    <row r="2154" customFormat="false" ht="15" hidden="false" customHeight="false" outlineLevel="0" collapsed="false">
      <c r="A2154" s="4" t="s">
        <v>102</v>
      </c>
      <c r="B2154" s="4" t="s">
        <v>60</v>
      </c>
      <c r="C2154" s="4" t="n">
        <v>6</v>
      </c>
      <c r="D2154" s="4" t="n">
        <v>2</v>
      </c>
      <c r="E2154" s="4" t="s">
        <v>536</v>
      </c>
      <c r="F2154" s="3" t="s">
        <v>388</v>
      </c>
      <c r="G2154" s="3" t="s">
        <v>590</v>
      </c>
      <c r="H2154" s="3" t="s">
        <v>387</v>
      </c>
    </row>
    <row r="2155" customFormat="false" ht="15" hidden="false" customHeight="false" outlineLevel="0" collapsed="false">
      <c r="A2155" s="4" t="s">
        <v>102</v>
      </c>
      <c r="B2155" s="4" t="s">
        <v>63</v>
      </c>
      <c r="C2155" s="4" t="n">
        <v>1</v>
      </c>
      <c r="D2155" s="4" t="n">
        <v>1</v>
      </c>
      <c r="E2155" s="4" t="s">
        <v>16</v>
      </c>
      <c r="F2155" s="3" t="s">
        <v>104</v>
      </c>
      <c r="G2155" s="3" t="s">
        <v>611</v>
      </c>
      <c r="H2155" s="3" t="s">
        <v>120</v>
      </c>
    </row>
    <row r="2156" customFormat="false" ht="15" hidden="false" customHeight="false" outlineLevel="0" collapsed="false">
      <c r="A2156" s="4" t="s">
        <v>102</v>
      </c>
      <c r="B2156" s="4" t="s">
        <v>63</v>
      </c>
      <c r="C2156" s="4" t="n">
        <v>2</v>
      </c>
      <c r="D2156" s="4" t="n">
        <v>1</v>
      </c>
      <c r="E2156" s="4" t="s">
        <v>21</v>
      </c>
      <c r="F2156" s="3" t="s">
        <v>164</v>
      </c>
      <c r="G2156" s="3" t="s">
        <v>618</v>
      </c>
      <c r="H2156" s="3" t="s">
        <v>266</v>
      </c>
    </row>
    <row r="2157" customFormat="false" ht="15" hidden="false" customHeight="false" outlineLevel="0" collapsed="false">
      <c r="A2157" s="4" t="s">
        <v>102</v>
      </c>
      <c r="B2157" s="4" t="s">
        <v>63</v>
      </c>
      <c r="C2157" s="4" t="n">
        <v>3</v>
      </c>
      <c r="D2157" s="4" t="n">
        <v>1</v>
      </c>
      <c r="E2157" s="4" t="s">
        <v>26</v>
      </c>
      <c r="F2157" s="3" t="s">
        <v>466</v>
      </c>
      <c r="G2157" s="3" t="s">
        <v>619</v>
      </c>
      <c r="H2157" s="3" t="s">
        <v>471</v>
      </c>
    </row>
    <row r="2158" customFormat="false" ht="15" hidden="false" customHeight="false" outlineLevel="0" collapsed="false">
      <c r="A2158" s="4" t="s">
        <v>102</v>
      </c>
      <c r="B2158" s="4" t="s">
        <v>63</v>
      </c>
      <c r="C2158" s="4" t="n">
        <v>4</v>
      </c>
      <c r="D2158" s="4" t="n">
        <v>1</v>
      </c>
      <c r="E2158" s="4" t="s">
        <v>34</v>
      </c>
      <c r="F2158" s="3" t="s">
        <v>72</v>
      </c>
      <c r="G2158" s="3" t="s">
        <v>617</v>
      </c>
      <c r="H2158" s="3" t="s">
        <v>355</v>
      </c>
    </row>
    <row r="2159" customFormat="false" ht="15" hidden="false" customHeight="false" outlineLevel="0" collapsed="false">
      <c r="A2159" s="4" t="s">
        <v>102</v>
      </c>
      <c r="B2159" s="4" t="s">
        <v>63</v>
      </c>
      <c r="C2159" s="4" t="n">
        <v>5</v>
      </c>
      <c r="D2159" s="4" t="n">
        <v>1</v>
      </c>
      <c r="E2159" s="4" t="s">
        <v>37</v>
      </c>
      <c r="F2159" s="3" t="s">
        <v>15</v>
      </c>
      <c r="G2159" s="3" t="s">
        <v>610</v>
      </c>
      <c r="H2159" s="3" t="s">
        <v>232</v>
      </c>
    </row>
    <row r="2160" customFormat="false" ht="15" hidden="false" customHeight="false" outlineLevel="0" collapsed="false">
      <c r="A2160" s="4" t="s">
        <v>102</v>
      </c>
      <c r="B2160" s="4" t="s">
        <v>63</v>
      </c>
      <c r="C2160" s="4" t="n">
        <v>6</v>
      </c>
      <c r="D2160" s="4" t="n">
        <v>1</v>
      </c>
      <c r="E2160" s="4" t="s">
        <v>42</v>
      </c>
      <c r="F2160" s="3" t="s">
        <v>287</v>
      </c>
      <c r="G2160" s="3" t="s">
        <v>505</v>
      </c>
      <c r="H2160" s="3" t="s">
        <v>508</v>
      </c>
    </row>
    <row r="2161" customFormat="false" ht="15" hidden="false" customHeight="false" outlineLevel="0" collapsed="false">
      <c r="A2161" s="4" t="s">
        <v>102</v>
      </c>
      <c r="B2161" s="4" t="s">
        <v>63</v>
      </c>
      <c r="C2161" s="4" t="n">
        <v>7</v>
      </c>
      <c r="D2161" s="4" t="n">
        <v>1</v>
      </c>
      <c r="E2161" s="4" t="s">
        <v>39</v>
      </c>
      <c r="F2161" s="3" t="s">
        <v>310</v>
      </c>
      <c r="G2161" s="3" t="s">
        <v>608</v>
      </c>
      <c r="H2161" s="3" t="s">
        <v>319</v>
      </c>
    </row>
    <row r="2162" customFormat="false" ht="15" hidden="false" customHeight="false" outlineLevel="0" collapsed="false">
      <c r="A2162" s="4" t="s">
        <v>102</v>
      </c>
      <c r="B2162" s="4" t="s">
        <v>65</v>
      </c>
      <c r="C2162" s="4" t="n">
        <v>1</v>
      </c>
      <c r="D2162" s="4" t="n">
        <v>2</v>
      </c>
      <c r="E2162" s="4" t="s">
        <v>539</v>
      </c>
      <c r="F2162" s="3" t="s">
        <v>15</v>
      </c>
      <c r="G2162" s="3" t="s">
        <v>610</v>
      </c>
      <c r="H2162" s="3" t="s">
        <v>227</v>
      </c>
    </row>
    <row r="2163" customFormat="false" ht="15" hidden="false" customHeight="false" outlineLevel="0" collapsed="false">
      <c r="A2163" s="4" t="s">
        <v>102</v>
      </c>
      <c r="B2163" s="4" t="s">
        <v>65</v>
      </c>
      <c r="C2163" s="4" t="n">
        <v>3</v>
      </c>
      <c r="D2163" s="4" t="n">
        <v>1</v>
      </c>
      <c r="E2163" s="4" t="s">
        <v>26</v>
      </c>
      <c r="F2163" s="3" t="s">
        <v>466</v>
      </c>
      <c r="G2163" s="3" t="s">
        <v>619</v>
      </c>
      <c r="H2163" s="3" t="s">
        <v>468</v>
      </c>
    </row>
    <row r="2164" customFormat="false" ht="15" hidden="false" customHeight="false" outlineLevel="0" collapsed="false">
      <c r="A2164" s="4" t="s">
        <v>102</v>
      </c>
      <c r="B2164" s="4" t="s">
        <v>65</v>
      </c>
      <c r="C2164" s="4" t="n">
        <v>4</v>
      </c>
      <c r="D2164" s="4" t="n">
        <v>1</v>
      </c>
      <c r="E2164" s="4" t="s">
        <v>34</v>
      </c>
      <c r="F2164" s="3" t="s">
        <v>72</v>
      </c>
      <c r="G2164" s="3" t="s">
        <v>620</v>
      </c>
      <c r="H2164" s="3" t="s">
        <v>447</v>
      </c>
    </row>
    <row r="2165" customFormat="false" ht="15" hidden="false" customHeight="false" outlineLevel="0" collapsed="false">
      <c r="A2165" s="4" t="s">
        <v>102</v>
      </c>
      <c r="B2165" s="4" t="s">
        <v>65</v>
      </c>
      <c r="C2165" s="4" t="n">
        <v>5</v>
      </c>
      <c r="D2165" s="4" t="n">
        <v>1</v>
      </c>
      <c r="E2165" s="4" t="s">
        <v>37</v>
      </c>
      <c r="F2165" s="3" t="s">
        <v>36</v>
      </c>
      <c r="G2165" s="3" t="s">
        <v>614</v>
      </c>
      <c r="H2165" s="3" t="s">
        <v>229</v>
      </c>
    </row>
    <row r="2166" customFormat="false" ht="15" hidden="false" customHeight="false" outlineLevel="0" collapsed="false">
      <c r="A2166" s="4" t="s">
        <v>102</v>
      </c>
      <c r="B2166" s="4" t="s">
        <v>65</v>
      </c>
      <c r="C2166" s="4" t="n">
        <v>6</v>
      </c>
      <c r="D2166" s="4" t="n">
        <v>1</v>
      </c>
      <c r="E2166" s="4" t="s">
        <v>42</v>
      </c>
      <c r="F2166" s="3" t="s">
        <v>164</v>
      </c>
      <c r="G2166" s="3" t="s">
        <v>618</v>
      </c>
      <c r="H2166" s="3" t="s">
        <v>268</v>
      </c>
    </row>
    <row r="2167" customFormat="false" ht="15" hidden="false" customHeight="false" outlineLevel="0" collapsed="false">
      <c r="A2167" s="4" t="s">
        <v>102</v>
      </c>
      <c r="B2167" s="4" t="s">
        <v>65</v>
      </c>
      <c r="C2167" s="4" t="n">
        <v>7</v>
      </c>
      <c r="D2167" s="4" t="n">
        <v>1</v>
      </c>
      <c r="E2167" s="4" t="s">
        <v>39</v>
      </c>
      <c r="F2167" s="3" t="s">
        <v>287</v>
      </c>
      <c r="G2167" s="3" t="s">
        <v>505</v>
      </c>
      <c r="H2167" s="3" t="s">
        <v>508</v>
      </c>
    </row>
    <row r="2168" customFormat="false" ht="15" hidden="false" customHeight="false" outlineLevel="0" collapsed="false">
      <c r="A2168" s="4" t="s">
        <v>102</v>
      </c>
      <c r="B2168" s="4" t="s">
        <v>66</v>
      </c>
      <c r="C2168" s="4" t="n">
        <v>1</v>
      </c>
      <c r="D2168" s="4" t="n">
        <v>1</v>
      </c>
      <c r="E2168" s="4" t="s">
        <v>16</v>
      </c>
      <c r="F2168" s="3" t="s">
        <v>15</v>
      </c>
      <c r="G2168" s="3" t="s">
        <v>610</v>
      </c>
      <c r="H2168" s="3" t="s">
        <v>227</v>
      </c>
    </row>
    <row r="2169" customFormat="false" ht="15" hidden="false" customHeight="false" outlineLevel="0" collapsed="false">
      <c r="A2169" s="4" t="s">
        <v>102</v>
      </c>
      <c r="B2169" s="4" t="s">
        <v>66</v>
      </c>
      <c r="C2169" s="4" t="n">
        <v>2</v>
      </c>
      <c r="D2169" s="4" t="n">
        <v>1</v>
      </c>
      <c r="E2169" s="4" t="s">
        <v>21</v>
      </c>
      <c r="F2169" s="3" t="s">
        <v>104</v>
      </c>
      <c r="G2169" s="3" t="s">
        <v>611</v>
      </c>
      <c r="H2169" s="3" t="s">
        <v>114</v>
      </c>
    </row>
    <row r="2170" customFormat="false" ht="15" hidden="false" customHeight="false" outlineLevel="0" collapsed="false">
      <c r="A2170" s="4" t="s">
        <v>102</v>
      </c>
      <c r="B2170" s="4" t="s">
        <v>66</v>
      </c>
      <c r="C2170" s="4" t="n">
        <v>3</v>
      </c>
      <c r="D2170" s="4" t="n">
        <v>1</v>
      </c>
      <c r="E2170" s="4" t="s">
        <v>26</v>
      </c>
      <c r="F2170" s="3" t="s">
        <v>164</v>
      </c>
      <c r="G2170" s="3" t="s">
        <v>618</v>
      </c>
      <c r="H2170" s="3" t="s">
        <v>269</v>
      </c>
    </row>
    <row r="2171" customFormat="false" ht="15" hidden="false" customHeight="false" outlineLevel="0" collapsed="false">
      <c r="A2171" s="4" t="s">
        <v>102</v>
      </c>
      <c r="B2171" s="4" t="s">
        <v>66</v>
      </c>
      <c r="C2171" s="4" t="n">
        <v>4</v>
      </c>
      <c r="D2171" s="4" t="n">
        <v>1</v>
      </c>
      <c r="E2171" s="4" t="s">
        <v>34</v>
      </c>
      <c r="F2171" s="3" t="s">
        <v>466</v>
      </c>
      <c r="G2171" s="3" t="s">
        <v>619</v>
      </c>
      <c r="H2171" s="3" t="s">
        <v>472</v>
      </c>
    </row>
    <row r="2172" customFormat="false" ht="15" hidden="false" customHeight="false" outlineLevel="0" collapsed="false">
      <c r="A2172" s="4" t="s">
        <v>102</v>
      </c>
      <c r="B2172" s="4" t="s">
        <v>66</v>
      </c>
      <c r="C2172" s="4" t="n">
        <v>5</v>
      </c>
      <c r="D2172" s="4" t="n">
        <v>1</v>
      </c>
      <c r="E2172" s="4" t="s">
        <v>37</v>
      </c>
      <c r="F2172" s="3" t="s">
        <v>310</v>
      </c>
      <c r="G2172" s="3" t="s">
        <v>608</v>
      </c>
      <c r="H2172" s="3" t="s">
        <v>320</v>
      </c>
    </row>
    <row r="2173" customFormat="false" ht="15" hidden="false" customHeight="false" outlineLevel="0" collapsed="false">
      <c r="A2173" s="4" t="s">
        <v>102</v>
      </c>
      <c r="B2173" s="4" t="s">
        <v>66</v>
      </c>
      <c r="C2173" s="4" t="n">
        <v>6</v>
      </c>
      <c r="D2173" s="4" t="n">
        <v>2</v>
      </c>
      <c r="E2173" s="4" t="s">
        <v>536</v>
      </c>
      <c r="F2173" s="3" t="s">
        <v>72</v>
      </c>
      <c r="G2173" s="3" t="s">
        <v>620</v>
      </c>
      <c r="H2173" s="3" t="s">
        <v>448</v>
      </c>
    </row>
    <row r="2174" customFormat="false" ht="15" hidden="false" customHeight="false" outlineLevel="0" collapsed="false">
      <c r="A2174" s="4" t="s">
        <v>228</v>
      </c>
      <c r="B2174" s="4" t="s">
        <v>12</v>
      </c>
      <c r="C2174" s="4" t="n">
        <v>1</v>
      </c>
      <c r="D2174" s="4" t="n">
        <v>1</v>
      </c>
      <c r="E2174" s="4" t="s">
        <v>16</v>
      </c>
      <c r="F2174" s="3" t="s">
        <v>235</v>
      </c>
      <c r="G2174" s="3" t="s">
        <v>525</v>
      </c>
      <c r="H2174" s="3" t="s">
        <v>246</v>
      </c>
    </row>
    <row r="2175" customFormat="false" ht="15" hidden="false" customHeight="false" outlineLevel="0" collapsed="false">
      <c r="A2175" s="4" t="s">
        <v>228</v>
      </c>
      <c r="B2175" s="4" t="s">
        <v>12</v>
      </c>
      <c r="C2175" s="4" t="n">
        <v>2</v>
      </c>
      <c r="D2175" s="4" t="n">
        <v>1</v>
      </c>
      <c r="E2175" s="4" t="s">
        <v>21</v>
      </c>
      <c r="F2175" s="3" t="s">
        <v>72</v>
      </c>
      <c r="G2175" s="3" t="s">
        <v>617</v>
      </c>
      <c r="H2175" s="3" t="s">
        <v>348</v>
      </c>
    </row>
    <row r="2176" customFormat="false" ht="15" hidden="false" customHeight="false" outlineLevel="0" collapsed="false">
      <c r="A2176" s="4" t="s">
        <v>228</v>
      </c>
      <c r="B2176" s="4" t="s">
        <v>12</v>
      </c>
      <c r="C2176" s="4" t="n">
        <v>3</v>
      </c>
      <c r="D2176" s="4" t="n">
        <v>1</v>
      </c>
      <c r="E2176" s="4" t="s">
        <v>26</v>
      </c>
      <c r="F2176" s="3" t="s">
        <v>15</v>
      </c>
      <c r="G2176" s="3" t="s">
        <v>300</v>
      </c>
      <c r="H2176" s="3" t="s">
        <v>302</v>
      </c>
    </row>
    <row r="2177" customFormat="false" ht="15" hidden="false" customHeight="false" outlineLevel="0" collapsed="false">
      <c r="A2177" s="4" t="s">
        <v>228</v>
      </c>
      <c r="B2177" s="4" t="s">
        <v>12</v>
      </c>
      <c r="C2177" s="4" t="n">
        <v>4</v>
      </c>
      <c r="D2177" s="4" t="n">
        <v>2</v>
      </c>
      <c r="E2177" s="4" t="s">
        <v>533</v>
      </c>
      <c r="F2177" s="3" t="s">
        <v>312</v>
      </c>
      <c r="G2177" s="3" t="s">
        <v>374</v>
      </c>
      <c r="H2177" s="3" t="s">
        <v>125</v>
      </c>
    </row>
    <row r="2178" customFormat="false" ht="15" hidden="false" customHeight="false" outlineLevel="0" collapsed="false">
      <c r="A2178" s="4" t="s">
        <v>228</v>
      </c>
      <c r="B2178" s="4" t="s">
        <v>12</v>
      </c>
      <c r="C2178" s="4" t="n">
        <v>6</v>
      </c>
      <c r="D2178" s="4" t="n">
        <v>1</v>
      </c>
      <c r="E2178" s="4" t="s">
        <v>42</v>
      </c>
      <c r="F2178" s="3" t="s">
        <v>192</v>
      </c>
      <c r="G2178" s="3" t="s">
        <v>621</v>
      </c>
      <c r="H2178" s="3" t="s">
        <v>273</v>
      </c>
    </row>
    <row r="2179" customFormat="false" ht="15" hidden="false" customHeight="false" outlineLevel="0" collapsed="false">
      <c r="A2179" s="4" t="s">
        <v>228</v>
      </c>
      <c r="B2179" s="4" t="s">
        <v>12</v>
      </c>
      <c r="C2179" s="4" t="n">
        <v>7</v>
      </c>
      <c r="D2179" s="4" t="n">
        <v>1</v>
      </c>
      <c r="E2179" s="4" t="s">
        <v>39</v>
      </c>
      <c r="F2179" s="3" t="s">
        <v>164</v>
      </c>
      <c r="G2179" s="3" t="s">
        <v>501</v>
      </c>
      <c r="H2179" s="3" t="s">
        <v>302</v>
      </c>
    </row>
    <row r="2180" customFormat="false" ht="15" hidden="false" customHeight="false" outlineLevel="0" collapsed="false">
      <c r="A2180" s="4" t="s">
        <v>228</v>
      </c>
      <c r="B2180" s="4" t="s">
        <v>31</v>
      </c>
      <c r="C2180" s="4" t="n">
        <v>1</v>
      </c>
      <c r="D2180" s="4" t="n">
        <v>1</v>
      </c>
      <c r="E2180" s="4" t="s">
        <v>16</v>
      </c>
      <c r="F2180" s="3" t="s">
        <v>235</v>
      </c>
      <c r="G2180" s="3" t="s">
        <v>525</v>
      </c>
      <c r="H2180" s="3" t="s">
        <v>302</v>
      </c>
    </row>
    <row r="2181" customFormat="false" ht="15" hidden="false" customHeight="false" outlineLevel="0" collapsed="false">
      <c r="A2181" s="4" t="s">
        <v>228</v>
      </c>
      <c r="B2181" s="4" t="s">
        <v>31</v>
      </c>
      <c r="C2181" s="4" t="n">
        <v>2</v>
      </c>
      <c r="D2181" s="4" t="n">
        <v>1</v>
      </c>
      <c r="E2181" s="4" t="s">
        <v>21</v>
      </c>
      <c r="F2181" s="3" t="s">
        <v>312</v>
      </c>
      <c r="G2181" s="3" t="s">
        <v>374</v>
      </c>
      <c r="H2181" s="3" t="s">
        <v>302</v>
      </c>
    </row>
    <row r="2182" customFormat="false" ht="15" hidden="false" customHeight="false" outlineLevel="0" collapsed="false">
      <c r="A2182" s="4" t="s">
        <v>228</v>
      </c>
      <c r="B2182" s="4" t="s">
        <v>31</v>
      </c>
      <c r="C2182" s="4" t="n">
        <v>3</v>
      </c>
      <c r="D2182" s="4" t="n">
        <v>1</v>
      </c>
      <c r="E2182" s="4" t="s">
        <v>26</v>
      </c>
      <c r="F2182" s="3" t="s">
        <v>164</v>
      </c>
      <c r="G2182" s="3" t="s">
        <v>501</v>
      </c>
      <c r="H2182" s="3" t="s">
        <v>302</v>
      </c>
    </row>
    <row r="2183" customFormat="false" ht="15" hidden="false" customHeight="false" outlineLevel="0" collapsed="false">
      <c r="A2183" s="4" t="s">
        <v>228</v>
      </c>
      <c r="B2183" s="4" t="s">
        <v>31</v>
      </c>
      <c r="C2183" s="4" t="n">
        <v>4</v>
      </c>
      <c r="D2183" s="4" t="n">
        <v>1</v>
      </c>
      <c r="E2183" s="4" t="s">
        <v>34</v>
      </c>
      <c r="F2183" s="3" t="s">
        <v>15</v>
      </c>
      <c r="G2183" s="3" t="s">
        <v>300</v>
      </c>
      <c r="H2183" s="3" t="s">
        <v>302</v>
      </c>
    </row>
    <row r="2184" customFormat="false" ht="15" hidden="false" customHeight="false" outlineLevel="0" collapsed="false">
      <c r="A2184" s="4" t="s">
        <v>228</v>
      </c>
      <c r="B2184" s="4" t="s">
        <v>31</v>
      </c>
      <c r="C2184" s="4" t="n">
        <v>5</v>
      </c>
      <c r="D2184" s="4" t="n">
        <v>1</v>
      </c>
      <c r="E2184" s="4" t="s">
        <v>37</v>
      </c>
      <c r="F2184" s="3" t="s">
        <v>36</v>
      </c>
      <c r="G2184" s="3" t="s">
        <v>614</v>
      </c>
      <c r="H2184" s="3" t="s">
        <v>229</v>
      </c>
    </row>
    <row r="2185" customFormat="false" ht="15" hidden="false" customHeight="false" outlineLevel="0" collapsed="false">
      <c r="A2185" s="4" t="s">
        <v>228</v>
      </c>
      <c r="B2185" s="4" t="s">
        <v>31</v>
      </c>
      <c r="C2185" s="4" t="n">
        <v>6</v>
      </c>
      <c r="D2185" s="4" t="n">
        <v>2</v>
      </c>
      <c r="E2185" s="4" t="s">
        <v>536</v>
      </c>
      <c r="F2185" s="3" t="s">
        <v>192</v>
      </c>
      <c r="G2185" s="3" t="s">
        <v>621</v>
      </c>
      <c r="H2185" s="3" t="s">
        <v>273</v>
      </c>
    </row>
    <row r="2186" customFormat="false" ht="15" hidden="false" customHeight="false" outlineLevel="0" collapsed="false">
      <c r="A2186" s="4" t="s">
        <v>228</v>
      </c>
      <c r="B2186" s="4" t="s">
        <v>40</v>
      </c>
      <c r="C2186" s="4" t="n">
        <v>1</v>
      </c>
      <c r="D2186" s="4" t="n">
        <v>2</v>
      </c>
      <c r="E2186" s="4" t="s">
        <v>539</v>
      </c>
      <c r="F2186" s="3" t="s">
        <v>15</v>
      </c>
      <c r="G2186" s="3" t="s">
        <v>300</v>
      </c>
      <c r="H2186" s="3" t="s">
        <v>302</v>
      </c>
    </row>
    <row r="2187" customFormat="false" ht="15" hidden="false" customHeight="false" outlineLevel="0" collapsed="false">
      <c r="A2187" s="4" t="s">
        <v>228</v>
      </c>
      <c r="B2187" s="4" t="s">
        <v>40</v>
      </c>
      <c r="C2187" s="4" t="n">
        <v>3</v>
      </c>
      <c r="D2187" s="4" t="n">
        <v>1</v>
      </c>
      <c r="E2187" s="4" t="s">
        <v>26</v>
      </c>
      <c r="F2187" s="3" t="s">
        <v>312</v>
      </c>
      <c r="G2187" s="3" t="s">
        <v>374</v>
      </c>
      <c r="H2187" s="3" t="s">
        <v>302</v>
      </c>
    </row>
    <row r="2188" customFormat="false" ht="15" hidden="false" customHeight="false" outlineLevel="0" collapsed="false">
      <c r="A2188" s="4" t="s">
        <v>228</v>
      </c>
      <c r="B2188" s="4" t="s">
        <v>40</v>
      </c>
      <c r="C2188" s="4" t="n">
        <v>4</v>
      </c>
      <c r="D2188" s="4" t="n">
        <v>1</v>
      </c>
      <c r="E2188" s="4" t="s">
        <v>34</v>
      </c>
      <c r="F2188" s="3" t="s">
        <v>192</v>
      </c>
      <c r="G2188" s="3" t="s">
        <v>621</v>
      </c>
      <c r="H2188" s="3" t="s">
        <v>276</v>
      </c>
    </row>
    <row r="2189" customFormat="false" ht="15" hidden="false" customHeight="false" outlineLevel="0" collapsed="false">
      <c r="A2189" s="4" t="s">
        <v>228</v>
      </c>
      <c r="B2189" s="4" t="s">
        <v>40</v>
      </c>
      <c r="C2189" s="4" t="n">
        <v>5</v>
      </c>
      <c r="D2189" s="4" t="n">
        <v>1</v>
      </c>
      <c r="E2189" s="4" t="s">
        <v>37</v>
      </c>
      <c r="F2189" s="3" t="s">
        <v>72</v>
      </c>
      <c r="G2189" s="3" t="s">
        <v>617</v>
      </c>
      <c r="H2189" s="3" t="s">
        <v>352</v>
      </c>
    </row>
    <row r="2190" customFormat="false" ht="15" hidden="false" customHeight="false" outlineLevel="0" collapsed="false">
      <c r="A2190" s="4" t="s">
        <v>228</v>
      </c>
      <c r="B2190" s="4" t="s">
        <v>40</v>
      </c>
      <c r="C2190" s="4" t="n">
        <v>6</v>
      </c>
      <c r="D2190" s="4" t="n">
        <v>2</v>
      </c>
      <c r="E2190" s="4" t="s">
        <v>536</v>
      </c>
      <c r="F2190" s="3" t="s">
        <v>235</v>
      </c>
      <c r="G2190" s="3" t="s">
        <v>525</v>
      </c>
      <c r="H2190" s="3" t="s">
        <v>134</v>
      </c>
    </row>
    <row r="2191" customFormat="false" ht="15" hidden="false" customHeight="false" outlineLevel="0" collapsed="false">
      <c r="A2191" s="4" t="s">
        <v>228</v>
      </c>
      <c r="B2191" s="4" t="s">
        <v>44</v>
      </c>
      <c r="C2191" s="4" t="n">
        <v>1</v>
      </c>
      <c r="D2191" s="4" t="n">
        <v>2</v>
      </c>
      <c r="E2191" s="4" t="s">
        <v>539</v>
      </c>
      <c r="F2191" s="3" t="s">
        <v>312</v>
      </c>
      <c r="G2191" s="3" t="s">
        <v>374</v>
      </c>
      <c r="H2191" s="3" t="s">
        <v>134</v>
      </c>
    </row>
    <row r="2192" customFormat="false" ht="15" hidden="false" customHeight="false" outlineLevel="0" collapsed="false">
      <c r="A2192" s="4" t="s">
        <v>228</v>
      </c>
      <c r="B2192" s="4" t="s">
        <v>44</v>
      </c>
      <c r="C2192" s="4" t="n">
        <v>3</v>
      </c>
      <c r="D2192" s="4" t="n">
        <v>1</v>
      </c>
      <c r="E2192" s="4" t="s">
        <v>26</v>
      </c>
      <c r="F2192" s="3" t="s">
        <v>15</v>
      </c>
      <c r="G2192" s="3" t="s">
        <v>300</v>
      </c>
      <c r="H2192" s="3" t="s">
        <v>302</v>
      </c>
    </row>
    <row r="2193" customFormat="false" ht="15" hidden="false" customHeight="false" outlineLevel="0" collapsed="false">
      <c r="A2193" s="4" t="s">
        <v>228</v>
      </c>
      <c r="B2193" s="4" t="s">
        <v>44</v>
      </c>
      <c r="C2193" s="4" t="n">
        <v>4</v>
      </c>
      <c r="D2193" s="4" t="n">
        <v>1</v>
      </c>
      <c r="E2193" s="4" t="s">
        <v>34</v>
      </c>
      <c r="F2193" s="3" t="s">
        <v>235</v>
      </c>
      <c r="G2193" s="3" t="s">
        <v>525</v>
      </c>
      <c r="H2193" s="3" t="s">
        <v>302</v>
      </c>
    </row>
    <row r="2194" customFormat="false" ht="15" hidden="false" customHeight="false" outlineLevel="0" collapsed="false">
      <c r="A2194" s="4" t="s">
        <v>228</v>
      </c>
      <c r="B2194" s="4" t="s">
        <v>44</v>
      </c>
      <c r="C2194" s="4" t="n">
        <v>5</v>
      </c>
      <c r="D2194" s="4" t="n">
        <v>1</v>
      </c>
      <c r="E2194" s="4" t="s">
        <v>37</v>
      </c>
      <c r="F2194" s="3" t="s">
        <v>36</v>
      </c>
      <c r="G2194" s="3" t="s">
        <v>614</v>
      </c>
      <c r="H2194" s="3" t="s">
        <v>229</v>
      </c>
    </row>
    <row r="2195" customFormat="false" ht="15" hidden="false" customHeight="false" outlineLevel="0" collapsed="false">
      <c r="A2195" s="4" t="s">
        <v>228</v>
      </c>
      <c r="B2195" s="4" t="s">
        <v>44</v>
      </c>
      <c r="C2195" s="4" t="n">
        <v>6</v>
      </c>
      <c r="D2195" s="4" t="n">
        <v>2</v>
      </c>
      <c r="E2195" s="4" t="s">
        <v>536</v>
      </c>
      <c r="F2195" s="3" t="s">
        <v>192</v>
      </c>
      <c r="G2195" s="3" t="s">
        <v>621</v>
      </c>
      <c r="H2195" s="3" t="s">
        <v>273</v>
      </c>
    </row>
    <row r="2196" customFormat="false" ht="15" hidden="false" customHeight="false" outlineLevel="0" collapsed="false">
      <c r="A2196" s="4" t="s">
        <v>228</v>
      </c>
      <c r="B2196" s="4" t="s">
        <v>47</v>
      </c>
      <c r="C2196" s="4" t="n">
        <v>1</v>
      </c>
      <c r="D2196" s="4" t="n">
        <v>2</v>
      </c>
      <c r="E2196" s="4" t="s">
        <v>539</v>
      </c>
      <c r="F2196" s="3" t="s">
        <v>235</v>
      </c>
      <c r="G2196" s="3" t="s">
        <v>525</v>
      </c>
      <c r="H2196" s="3" t="s">
        <v>246</v>
      </c>
    </row>
    <row r="2197" customFormat="false" ht="15" hidden="false" customHeight="false" outlineLevel="0" collapsed="false">
      <c r="A2197" s="4" t="s">
        <v>228</v>
      </c>
      <c r="B2197" s="4" t="s">
        <v>47</v>
      </c>
      <c r="C2197" s="4" t="n">
        <v>3</v>
      </c>
      <c r="D2197" s="4" t="n">
        <v>1</v>
      </c>
      <c r="E2197" s="4" t="s">
        <v>26</v>
      </c>
      <c r="F2197" s="3" t="s">
        <v>312</v>
      </c>
      <c r="G2197" s="3" t="s">
        <v>374</v>
      </c>
      <c r="H2197" s="3" t="s">
        <v>302</v>
      </c>
    </row>
    <row r="2198" customFormat="false" ht="15" hidden="false" customHeight="false" outlineLevel="0" collapsed="false">
      <c r="A2198" s="4" t="s">
        <v>228</v>
      </c>
      <c r="B2198" s="4" t="s">
        <v>47</v>
      </c>
      <c r="C2198" s="4" t="n">
        <v>4</v>
      </c>
      <c r="D2198" s="4" t="n">
        <v>1</v>
      </c>
      <c r="E2198" s="4" t="s">
        <v>34</v>
      </c>
      <c r="F2198" s="3" t="s">
        <v>192</v>
      </c>
      <c r="G2198" s="3" t="s">
        <v>621</v>
      </c>
      <c r="H2198" s="3" t="s">
        <v>273</v>
      </c>
    </row>
    <row r="2199" customFormat="false" ht="15" hidden="false" customHeight="false" outlineLevel="0" collapsed="false">
      <c r="A2199" s="4" t="s">
        <v>228</v>
      </c>
      <c r="B2199" s="4" t="s">
        <v>47</v>
      </c>
      <c r="C2199" s="4" t="n">
        <v>5</v>
      </c>
      <c r="D2199" s="4" t="n">
        <v>1</v>
      </c>
      <c r="E2199" s="4" t="s">
        <v>37</v>
      </c>
      <c r="F2199" s="3" t="s">
        <v>164</v>
      </c>
      <c r="G2199" s="3" t="s">
        <v>501</v>
      </c>
      <c r="H2199" s="3" t="s">
        <v>302</v>
      </c>
    </row>
    <row r="2200" customFormat="false" ht="15" hidden="false" customHeight="false" outlineLevel="0" collapsed="false">
      <c r="A2200" s="4" t="s">
        <v>228</v>
      </c>
      <c r="B2200" s="4" t="s">
        <v>47</v>
      </c>
      <c r="C2200" s="4" t="n">
        <v>6</v>
      </c>
      <c r="D2200" s="4" t="n">
        <v>2</v>
      </c>
      <c r="E2200" s="4" t="s">
        <v>536</v>
      </c>
      <c r="F2200" s="3" t="s">
        <v>15</v>
      </c>
      <c r="G2200" s="3" t="s">
        <v>300</v>
      </c>
      <c r="H2200" s="3" t="s">
        <v>302</v>
      </c>
    </row>
    <row r="2201" customFormat="false" ht="15" hidden="false" customHeight="false" outlineLevel="0" collapsed="false">
      <c r="A2201" s="4" t="s">
        <v>228</v>
      </c>
      <c r="B2201" s="4" t="s">
        <v>50</v>
      </c>
      <c r="C2201" s="4" t="n">
        <v>1</v>
      </c>
      <c r="D2201" s="4" t="n">
        <v>2</v>
      </c>
      <c r="E2201" s="4" t="s">
        <v>539</v>
      </c>
      <c r="F2201" s="3" t="s">
        <v>312</v>
      </c>
      <c r="G2201" s="3" t="s">
        <v>374</v>
      </c>
      <c r="H2201" s="3" t="s">
        <v>311</v>
      </c>
    </row>
    <row r="2202" customFormat="false" ht="15" hidden="false" customHeight="false" outlineLevel="0" collapsed="false">
      <c r="A2202" s="4" t="s">
        <v>228</v>
      </c>
      <c r="B2202" s="4" t="s">
        <v>50</v>
      </c>
      <c r="C2202" s="4" t="n">
        <v>3</v>
      </c>
      <c r="D2202" s="4" t="n">
        <v>1</v>
      </c>
      <c r="E2202" s="4" t="s">
        <v>26</v>
      </c>
      <c r="F2202" s="3" t="s">
        <v>235</v>
      </c>
      <c r="G2202" s="3" t="s">
        <v>525</v>
      </c>
      <c r="H2202" s="3" t="s">
        <v>302</v>
      </c>
    </row>
    <row r="2203" customFormat="false" ht="15" hidden="false" customHeight="false" outlineLevel="0" collapsed="false">
      <c r="A2203" s="4" t="s">
        <v>228</v>
      </c>
      <c r="B2203" s="4" t="s">
        <v>50</v>
      </c>
      <c r="C2203" s="4" t="n">
        <v>4</v>
      </c>
      <c r="D2203" s="4" t="n">
        <v>2</v>
      </c>
      <c r="E2203" s="4" t="s">
        <v>533</v>
      </c>
      <c r="F2203" s="3" t="s">
        <v>15</v>
      </c>
      <c r="G2203" s="3" t="s">
        <v>300</v>
      </c>
      <c r="H2203" s="3" t="s">
        <v>302</v>
      </c>
    </row>
    <row r="2204" customFormat="false" ht="15" hidden="false" customHeight="false" outlineLevel="0" collapsed="false">
      <c r="A2204" s="4" t="s">
        <v>228</v>
      </c>
      <c r="B2204" s="4" t="s">
        <v>50</v>
      </c>
      <c r="C2204" s="4" t="n">
        <v>6</v>
      </c>
      <c r="D2204" s="4" t="n">
        <v>1</v>
      </c>
      <c r="E2204" s="4" t="s">
        <v>42</v>
      </c>
      <c r="F2204" s="3" t="s">
        <v>192</v>
      </c>
      <c r="G2204" s="3" t="s">
        <v>621</v>
      </c>
      <c r="H2204" s="3" t="s">
        <v>279</v>
      </c>
    </row>
    <row r="2205" customFormat="false" ht="15" hidden="false" customHeight="false" outlineLevel="0" collapsed="false">
      <c r="A2205" s="4" t="s">
        <v>228</v>
      </c>
      <c r="B2205" s="4" t="s">
        <v>50</v>
      </c>
      <c r="C2205" s="4" t="n">
        <v>7</v>
      </c>
      <c r="D2205" s="4" t="n">
        <v>1</v>
      </c>
      <c r="E2205" s="4" t="s">
        <v>39</v>
      </c>
      <c r="F2205" s="3" t="s">
        <v>72</v>
      </c>
      <c r="G2205" s="3" t="s">
        <v>617</v>
      </c>
      <c r="H2205" s="3" t="s">
        <v>354</v>
      </c>
    </row>
    <row r="2206" customFormat="false" ht="15" hidden="false" customHeight="false" outlineLevel="0" collapsed="false">
      <c r="A2206" s="4" t="s">
        <v>228</v>
      </c>
      <c r="B2206" s="4" t="s">
        <v>60</v>
      </c>
      <c r="C2206" s="4" t="n">
        <v>1</v>
      </c>
      <c r="D2206" s="4" t="n">
        <v>2</v>
      </c>
      <c r="E2206" s="4" t="s">
        <v>539</v>
      </c>
      <c r="F2206" s="3" t="s">
        <v>235</v>
      </c>
      <c r="G2206" s="3" t="s">
        <v>525</v>
      </c>
      <c r="H2206" s="3" t="s">
        <v>246</v>
      </c>
    </row>
    <row r="2207" customFormat="false" ht="15" hidden="false" customHeight="false" outlineLevel="0" collapsed="false">
      <c r="A2207" s="4" t="s">
        <v>228</v>
      </c>
      <c r="B2207" s="4" t="s">
        <v>60</v>
      </c>
      <c r="C2207" s="4" t="n">
        <v>3</v>
      </c>
      <c r="D2207" s="4" t="n">
        <v>1</v>
      </c>
      <c r="E2207" s="4" t="s">
        <v>26</v>
      </c>
      <c r="F2207" s="3" t="s">
        <v>312</v>
      </c>
      <c r="G2207" s="3" t="s">
        <v>374</v>
      </c>
      <c r="H2207" s="3" t="s">
        <v>134</v>
      </c>
    </row>
    <row r="2208" customFormat="false" ht="15" hidden="false" customHeight="false" outlineLevel="0" collapsed="false">
      <c r="A2208" s="4" t="s">
        <v>228</v>
      </c>
      <c r="B2208" s="4" t="s">
        <v>60</v>
      </c>
      <c r="C2208" s="4" t="n">
        <v>4</v>
      </c>
      <c r="D2208" s="4" t="n">
        <v>1</v>
      </c>
      <c r="E2208" s="4" t="s">
        <v>34</v>
      </c>
      <c r="F2208" s="3" t="s">
        <v>15</v>
      </c>
      <c r="G2208" s="3" t="s">
        <v>300</v>
      </c>
      <c r="H2208" s="3" t="s">
        <v>302</v>
      </c>
    </row>
    <row r="2209" customFormat="false" ht="15" hidden="false" customHeight="false" outlineLevel="0" collapsed="false">
      <c r="A2209" s="4" t="s">
        <v>228</v>
      </c>
      <c r="B2209" s="4" t="s">
        <v>60</v>
      </c>
      <c r="C2209" s="4" t="n">
        <v>5</v>
      </c>
      <c r="D2209" s="4" t="n">
        <v>1</v>
      </c>
      <c r="E2209" s="4" t="s">
        <v>37</v>
      </c>
      <c r="F2209" s="3" t="s">
        <v>36</v>
      </c>
      <c r="G2209" s="3" t="s">
        <v>614</v>
      </c>
      <c r="H2209" s="3" t="s">
        <v>229</v>
      </c>
    </row>
    <row r="2210" customFormat="false" ht="15" hidden="false" customHeight="false" outlineLevel="0" collapsed="false">
      <c r="A2210" s="4" t="s">
        <v>228</v>
      </c>
      <c r="B2210" s="4" t="s">
        <v>60</v>
      </c>
      <c r="C2210" s="4" t="n">
        <v>6</v>
      </c>
      <c r="D2210" s="4" t="n">
        <v>2</v>
      </c>
      <c r="E2210" s="4" t="s">
        <v>536</v>
      </c>
      <c r="F2210" s="3" t="s">
        <v>192</v>
      </c>
      <c r="G2210" s="3" t="s">
        <v>621</v>
      </c>
      <c r="H2210" s="3" t="s">
        <v>273</v>
      </c>
    </row>
    <row r="2211" customFormat="false" ht="15" hidden="false" customHeight="false" outlineLevel="0" collapsed="false">
      <c r="A2211" s="4" t="s">
        <v>228</v>
      </c>
      <c r="B2211" s="4" t="s">
        <v>63</v>
      </c>
      <c r="C2211" s="4" t="n">
        <v>1</v>
      </c>
      <c r="D2211" s="4" t="n">
        <v>2</v>
      </c>
      <c r="E2211" s="4" t="s">
        <v>539</v>
      </c>
      <c r="F2211" s="3" t="s">
        <v>15</v>
      </c>
      <c r="G2211" s="3" t="s">
        <v>300</v>
      </c>
      <c r="H2211" s="3" t="s">
        <v>302</v>
      </c>
    </row>
    <row r="2212" customFormat="false" ht="15" hidden="false" customHeight="false" outlineLevel="0" collapsed="false">
      <c r="A2212" s="4" t="s">
        <v>228</v>
      </c>
      <c r="B2212" s="4" t="s">
        <v>63</v>
      </c>
      <c r="C2212" s="4" t="n">
        <v>3</v>
      </c>
      <c r="D2212" s="4" t="n">
        <v>1</v>
      </c>
      <c r="E2212" s="4" t="s">
        <v>26</v>
      </c>
      <c r="F2212" s="3" t="s">
        <v>192</v>
      </c>
      <c r="G2212" s="3" t="s">
        <v>621</v>
      </c>
      <c r="H2212" s="3" t="s">
        <v>281</v>
      </c>
    </row>
    <row r="2213" customFormat="false" ht="15" hidden="false" customHeight="false" outlineLevel="0" collapsed="false">
      <c r="A2213" s="4" t="s">
        <v>228</v>
      </c>
      <c r="B2213" s="4" t="s">
        <v>63</v>
      </c>
      <c r="C2213" s="4" t="n">
        <v>4</v>
      </c>
      <c r="D2213" s="4" t="n">
        <v>1</v>
      </c>
      <c r="E2213" s="4" t="s">
        <v>34</v>
      </c>
      <c r="F2213" s="3" t="s">
        <v>72</v>
      </c>
      <c r="G2213" s="3" t="s">
        <v>617</v>
      </c>
      <c r="H2213" s="3" t="s">
        <v>355</v>
      </c>
    </row>
    <row r="2214" customFormat="false" ht="15" hidden="false" customHeight="false" outlineLevel="0" collapsed="false">
      <c r="A2214" s="4" t="s">
        <v>228</v>
      </c>
      <c r="B2214" s="4" t="s">
        <v>63</v>
      </c>
      <c r="C2214" s="4" t="n">
        <v>5</v>
      </c>
      <c r="D2214" s="4" t="n">
        <v>1</v>
      </c>
      <c r="E2214" s="4" t="s">
        <v>37</v>
      </c>
      <c r="F2214" s="3" t="s">
        <v>312</v>
      </c>
      <c r="G2214" s="3" t="s">
        <v>374</v>
      </c>
      <c r="H2214" s="3" t="s">
        <v>134</v>
      </c>
    </row>
    <row r="2215" customFormat="false" ht="15" hidden="false" customHeight="false" outlineLevel="0" collapsed="false">
      <c r="A2215" s="4" t="s">
        <v>228</v>
      </c>
      <c r="B2215" s="4" t="s">
        <v>63</v>
      </c>
      <c r="C2215" s="4" t="n">
        <v>6</v>
      </c>
      <c r="D2215" s="4" t="n">
        <v>2</v>
      </c>
      <c r="E2215" s="4" t="s">
        <v>536</v>
      </c>
      <c r="F2215" s="3" t="s">
        <v>235</v>
      </c>
      <c r="G2215" s="3" t="s">
        <v>525</v>
      </c>
      <c r="H2215" s="3" t="s">
        <v>246</v>
      </c>
    </row>
    <row r="2216" customFormat="false" ht="15" hidden="false" customHeight="false" outlineLevel="0" collapsed="false">
      <c r="A2216" s="4" t="s">
        <v>228</v>
      </c>
      <c r="B2216" s="4" t="s">
        <v>65</v>
      </c>
      <c r="C2216" s="4" t="n">
        <v>1</v>
      </c>
      <c r="D2216" s="4" t="n">
        <v>1</v>
      </c>
      <c r="E2216" s="4" t="s">
        <v>16</v>
      </c>
      <c r="F2216" s="3" t="s">
        <v>312</v>
      </c>
      <c r="G2216" s="3" t="s">
        <v>374</v>
      </c>
      <c r="H2216" s="3" t="s">
        <v>134</v>
      </c>
    </row>
    <row r="2217" customFormat="false" ht="15" hidden="false" customHeight="false" outlineLevel="0" collapsed="false">
      <c r="A2217" s="4" t="s">
        <v>228</v>
      </c>
      <c r="B2217" s="4" t="s">
        <v>65</v>
      </c>
      <c r="C2217" s="4" t="n">
        <v>2</v>
      </c>
      <c r="D2217" s="4" t="n">
        <v>1</v>
      </c>
      <c r="E2217" s="4" t="s">
        <v>21</v>
      </c>
      <c r="F2217" s="3" t="s">
        <v>15</v>
      </c>
      <c r="G2217" s="3" t="s">
        <v>300</v>
      </c>
      <c r="H2217" s="3" t="s">
        <v>302</v>
      </c>
    </row>
    <row r="2218" customFormat="false" ht="15" hidden="false" customHeight="false" outlineLevel="0" collapsed="false">
      <c r="A2218" s="4" t="s">
        <v>228</v>
      </c>
      <c r="B2218" s="4" t="s">
        <v>65</v>
      </c>
      <c r="C2218" s="4" t="n">
        <v>3</v>
      </c>
      <c r="D2218" s="4" t="n">
        <v>2</v>
      </c>
      <c r="E2218" s="4" t="s">
        <v>542</v>
      </c>
      <c r="F2218" s="3" t="s">
        <v>388</v>
      </c>
      <c r="G2218" s="3" t="s">
        <v>497</v>
      </c>
      <c r="H2218" s="3" t="s">
        <v>416</v>
      </c>
    </row>
    <row r="2219" customFormat="false" ht="15" hidden="false" customHeight="false" outlineLevel="0" collapsed="false">
      <c r="A2219" s="4" t="s">
        <v>228</v>
      </c>
      <c r="B2219" s="4" t="s">
        <v>65</v>
      </c>
      <c r="C2219" s="4" t="n">
        <v>5</v>
      </c>
      <c r="D2219" s="4" t="n">
        <v>1</v>
      </c>
      <c r="E2219" s="4" t="s">
        <v>37</v>
      </c>
      <c r="F2219" s="3" t="s">
        <v>36</v>
      </c>
      <c r="G2219" s="3" t="s">
        <v>614</v>
      </c>
      <c r="H2219" s="3" t="s">
        <v>229</v>
      </c>
    </row>
    <row r="2220" customFormat="false" ht="15" hidden="false" customHeight="false" outlineLevel="0" collapsed="false">
      <c r="A2220" s="4" t="s">
        <v>228</v>
      </c>
      <c r="B2220" s="4" t="s">
        <v>65</v>
      </c>
      <c r="C2220" s="4" t="n">
        <v>6</v>
      </c>
      <c r="D2220" s="4" t="n">
        <v>1</v>
      </c>
      <c r="E2220" s="4" t="s">
        <v>42</v>
      </c>
      <c r="F2220" s="3" t="s">
        <v>192</v>
      </c>
      <c r="G2220" s="3" t="s">
        <v>621</v>
      </c>
      <c r="H2220" s="3" t="s">
        <v>273</v>
      </c>
    </row>
    <row r="2221" customFormat="false" ht="15" hidden="false" customHeight="false" outlineLevel="0" collapsed="false">
      <c r="A2221" s="4" t="s">
        <v>228</v>
      </c>
      <c r="B2221" s="4" t="s">
        <v>65</v>
      </c>
      <c r="C2221" s="4" t="n">
        <v>7</v>
      </c>
      <c r="D2221" s="4" t="n">
        <v>1</v>
      </c>
      <c r="E2221" s="4" t="s">
        <v>39</v>
      </c>
      <c r="F2221" s="3" t="s">
        <v>235</v>
      </c>
      <c r="G2221" s="3" t="s">
        <v>525</v>
      </c>
      <c r="H2221" s="3" t="s">
        <v>246</v>
      </c>
    </row>
    <row r="2222" customFormat="false" ht="15" hidden="false" customHeight="false" outlineLevel="0" collapsed="false">
      <c r="A2222" s="4" t="s">
        <v>228</v>
      </c>
      <c r="B2222" s="4" t="s">
        <v>66</v>
      </c>
      <c r="C2222" s="4" t="n">
        <v>1</v>
      </c>
      <c r="D2222" s="4" t="n">
        <v>1</v>
      </c>
      <c r="E2222" s="4" t="s">
        <v>16</v>
      </c>
      <c r="F2222" s="3" t="s">
        <v>15</v>
      </c>
      <c r="G2222" s="3" t="s">
        <v>300</v>
      </c>
      <c r="H2222" s="3" t="s">
        <v>302</v>
      </c>
    </row>
    <row r="2223" customFormat="false" ht="15" hidden="false" customHeight="false" outlineLevel="0" collapsed="false">
      <c r="A2223" s="4" t="s">
        <v>228</v>
      </c>
      <c r="B2223" s="4" t="s">
        <v>66</v>
      </c>
      <c r="C2223" s="4" t="n">
        <v>2</v>
      </c>
      <c r="D2223" s="4" t="n">
        <v>1</v>
      </c>
      <c r="E2223" s="4" t="s">
        <v>21</v>
      </c>
      <c r="F2223" s="3" t="s">
        <v>164</v>
      </c>
      <c r="G2223" s="3" t="s">
        <v>501</v>
      </c>
      <c r="H2223" s="3" t="s">
        <v>302</v>
      </c>
    </row>
    <row r="2224" customFormat="false" ht="15" hidden="false" customHeight="false" outlineLevel="0" collapsed="false">
      <c r="A2224" s="4" t="s">
        <v>228</v>
      </c>
      <c r="B2224" s="4" t="s">
        <v>66</v>
      </c>
      <c r="C2224" s="4" t="n">
        <v>3</v>
      </c>
      <c r="D2224" s="4" t="n">
        <v>1</v>
      </c>
      <c r="E2224" s="4" t="s">
        <v>26</v>
      </c>
      <c r="F2224" s="3" t="s">
        <v>235</v>
      </c>
      <c r="G2224" s="3" t="s">
        <v>525</v>
      </c>
      <c r="H2224" s="3" t="s">
        <v>133</v>
      </c>
    </row>
    <row r="2225" customFormat="false" ht="15" hidden="false" customHeight="false" outlineLevel="0" collapsed="false">
      <c r="A2225" s="4" t="s">
        <v>228</v>
      </c>
      <c r="B2225" s="4" t="s">
        <v>66</v>
      </c>
      <c r="C2225" s="4" t="n">
        <v>4</v>
      </c>
      <c r="D2225" s="4" t="n">
        <v>2</v>
      </c>
      <c r="E2225" s="4" t="s">
        <v>533</v>
      </c>
      <c r="F2225" s="3" t="s">
        <v>192</v>
      </c>
      <c r="G2225" s="3" t="s">
        <v>621</v>
      </c>
      <c r="H2225" s="3" t="s">
        <v>273</v>
      </c>
    </row>
    <row r="2226" customFormat="false" ht="15" hidden="false" customHeight="false" outlineLevel="0" collapsed="false">
      <c r="A2226" s="4" t="s">
        <v>228</v>
      </c>
      <c r="B2226" s="4" t="s">
        <v>66</v>
      </c>
      <c r="C2226" s="4" t="n">
        <v>6</v>
      </c>
      <c r="D2226" s="4" t="n">
        <v>2</v>
      </c>
      <c r="E2226" s="4" t="s">
        <v>536</v>
      </c>
      <c r="F2226" s="3" t="s">
        <v>312</v>
      </c>
      <c r="G2226" s="3" t="s">
        <v>374</v>
      </c>
      <c r="H2226" s="3" t="s">
        <v>134</v>
      </c>
    </row>
    <row r="2227" customFormat="false" ht="15" hidden="false" customHeight="false" outlineLevel="0" collapsed="false">
      <c r="A2227" s="4" t="s">
        <v>290</v>
      </c>
      <c r="B2227" s="4" t="s">
        <v>44</v>
      </c>
      <c r="C2227" s="4" t="n">
        <v>7</v>
      </c>
      <c r="D2227" s="4" t="n">
        <v>1</v>
      </c>
      <c r="E2227" s="4" t="s">
        <v>39</v>
      </c>
      <c r="F2227" s="3" t="s">
        <v>287</v>
      </c>
      <c r="G2227" s="3" t="s">
        <v>622</v>
      </c>
      <c r="H2227" s="3" t="s">
        <v>291</v>
      </c>
    </row>
    <row r="2228" customFormat="false" ht="15" hidden="false" customHeight="false" outlineLevel="0" collapsed="false">
      <c r="A2228" s="4" t="s">
        <v>290</v>
      </c>
      <c r="B2228" s="4" t="s">
        <v>47</v>
      </c>
      <c r="C2228" s="4" t="n">
        <v>1</v>
      </c>
      <c r="D2228" s="4" t="n">
        <v>1</v>
      </c>
      <c r="E2228" s="4" t="s">
        <v>16</v>
      </c>
      <c r="F2228" s="3" t="s">
        <v>287</v>
      </c>
      <c r="G2228" s="3" t="s">
        <v>622</v>
      </c>
      <c r="H2228" s="3" t="s">
        <v>292</v>
      </c>
    </row>
    <row r="2229" customFormat="false" ht="15" hidden="false" customHeight="false" outlineLevel="0" collapsed="false">
      <c r="A2229" s="4" t="s">
        <v>290</v>
      </c>
      <c r="B2229" s="4" t="s">
        <v>63</v>
      </c>
      <c r="C2229" s="4" t="n">
        <v>6</v>
      </c>
      <c r="D2229" s="4" t="n">
        <v>1</v>
      </c>
      <c r="E2229" s="4" t="s">
        <v>42</v>
      </c>
      <c r="F2229" s="3" t="s">
        <v>287</v>
      </c>
      <c r="G2229" s="3" t="s">
        <v>622</v>
      </c>
      <c r="H2229" s="3" t="s">
        <v>293</v>
      </c>
    </row>
    <row r="2230" customFormat="false" ht="15" hidden="false" customHeight="false" outlineLevel="0" collapsed="false">
      <c r="A2230" s="4" t="s">
        <v>290</v>
      </c>
      <c r="B2230" s="4" t="s">
        <v>65</v>
      </c>
      <c r="C2230" s="4" t="n">
        <v>7</v>
      </c>
      <c r="D2230" s="4" t="n">
        <v>1</v>
      </c>
      <c r="E2230" s="4" t="s">
        <v>39</v>
      </c>
      <c r="F2230" s="3" t="s">
        <v>287</v>
      </c>
      <c r="G2230" s="3" t="s">
        <v>622</v>
      </c>
      <c r="H2230" s="3" t="s">
        <v>109</v>
      </c>
    </row>
  </sheetData>
  <autoFilter ref="A1:H22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34"/>
    <col collapsed="false" customWidth="true" hidden="false" outlineLevel="0" max="4" min="4" style="0" width="32"/>
  </cols>
  <sheetData>
    <row r="1" customFormat="false" ht="15" hidden="false" customHeight="false" outlineLevel="0" collapsed="false">
      <c r="A1" s="5" t="s">
        <v>623</v>
      </c>
      <c r="B1" s="5" t="s">
        <v>624</v>
      </c>
      <c r="C1" s="5" t="s">
        <v>625</v>
      </c>
      <c r="D1" s="5" t="s">
        <v>626</v>
      </c>
    </row>
    <row r="2" customFormat="false" ht="15" hidden="false" customHeight="false" outlineLevel="0" collapsed="false">
      <c r="A2" s="3" t="s">
        <v>11</v>
      </c>
      <c r="B2" s="3" t="s">
        <v>627</v>
      </c>
      <c r="C2" s="3" t="s">
        <v>628</v>
      </c>
      <c r="D2" s="3" t="s">
        <v>629</v>
      </c>
    </row>
    <row r="3" customFormat="false" ht="15" hidden="false" customHeight="false" outlineLevel="0" collapsed="false">
      <c r="A3" s="3" t="s">
        <v>69</v>
      </c>
      <c r="B3" s="3" t="s">
        <v>630</v>
      </c>
      <c r="C3" s="3" t="s">
        <v>631</v>
      </c>
      <c r="D3" s="3" t="s">
        <v>629</v>
      </c>
    </row>
    <row r="4" customFormat="false" ht="15" hidden="false" customHeight="false" outlineLevel="0" collapsed="false">
      <c r="A4" s="3" t="s">
        <v>97</v>
      </c>
      <c r="B4" s="3" t="s">
        <v>632</v>
      </c>
      <c r="C4" s="3" t="s">
        <v>633</v>
      </c>
      <c r="D4" s="3" t="s">
        <v>629</v>
      </c>
    </row>
    <row r="5" customFormat="false" ht="15" hidden="false" customHeight="false" outlineLevel="0" collapsed="false">
      <c r="A5" s="3" t="s">
        <v>123</v>
      </c>
      <c r="B5" s="3" t="s">
        <v>634</v>
      </c>
      <c r="C5" s="3" t="s">
        <v>635</v>
      </c>
      <c r="D5" s="3" t="s">
        <v>629</v>
      </c>
    </row>
    <row r="6" customFormat="false" ht="15" hidden="false" customHeight="false" outlineLevel="0" collapsed="false">
      <c r="A6" s="3" t="s">
        <v>136</v>
      </c>
      <c r="B6" s="3" t="s">
        <v>636</v>
      </c>
      <c r="C6" s="3" t="s">
        <v>631</v>
      </c>
      <c r="D6" s="3" t="s">
        <v>629</v>
      </c>
    </row>
    <row r="7" customFormat="false" ht="15" hidden="false" customHeight="false" outlineLevel="0" collapsed="false">
      <c r="A7" s="3" t="s">
        <v>162</v>
      </c>
      <c r="B7" s="3" t="s">
        <v>637</v>
      </c>
      <c r="C7" s="3" t="s">
        <v>638</v>
      </c>
      <c r="D7" s="3" t="s">
        <v>629</v>
      </c>
    </row>
    <row r="8" customFormat="false" ht="15" hidden="false" customHeight="false" outlineLevel="0" collapsed="false">
      <c r="A8" s="3" t="s">
        <v>184</v>
      </c>
      <c r="B8" s="3" t="s">
        <v>639</v>
      </c>
      <c r="C8" s="3" t="s">
        <v>638</v>
      </c>
      <c r="D8" s="3" t="s">
        <v>629</v>
      </c>
    </row>
    <row r="9" customFormat="false" ht="15" hidden="false" customHeight="false" outlineLevel="0" collapsed="false">
      <c r="A9" s="3" t="s">
        <v>190</v>
      </c>
      <c r="B9" s="3" t="s">
        <v>640</v>
      </c>
      <c r="C9" s="3" t="s">
        <v>641</v>
      </c>
      <c r="D9" s="3" t="s">
        <v>629</v>
      </c>
    </row>
    <row r="10" customFormat="false" ht="15" hidden="false" customHeight="false" outlineLevel="0" collapsed="false">
      <c r="A10" s="3" t="s">
        <v>203</v>
      </c>
      <c r="B10" s="3" t="s">
        <v>642</v>
      </c>
      <c r="C10" s="3" t="s">
        <v>628</v>
      </c>
      <c r="D10" s="3" t="s">
        <v>629</v>
      </c>
    </row>
    <row r="11" customFormat="false" ht="15" hidden="false" customHeight="false" outlineLevel="0" collapsed="false">
      <c r="A11" s="3" t="s">
        <v>216</v>
      </c>
      <c r="B11" s="3" t="s">
        <v>643</v>
      </c>
      <c r="C11" s="3" t="s">
        <v>628</v>
      </c>
      <c r="D11" s="3" t="s">
        <v>629</v>
      </c>
    </row>
    <row r="12" customFormat="false" ht="15" hidden="false" customHeight="false" outlineLevel="0" collapsed="false">
      <c r="A12" s="3" t="s">
        <v>226</v>
      </c>
      <c r="B12" s="3" t="s">
        <v>644</v>
      </c>
      <c r="C12" s="3" t="s">
        <v>628</v>
      </c>
      <c r="D12" s="3" t="s">
        <v>629</v>
      </c>
    </row>
    <row r="13" customFormat="false" ht="15" hidden="false" customHeight="false" outlineLevel="0" collapsed="false">
      <c r="A13" s="3" t="s">
        <v>233</v>
      </c>
      <c r="B13" s="3" t="s">
        <v>645</v>
      </c>
      <c r="C13" s="3" t="s">
        <v>646</v>
      </c>
      <c r="D13" s="3" t="s">
        <v>629</v>
      </c>
    </row>
    <row r="14" customFormat="false" ht="15" hidden="false" customHeight="false" outlineLevel="0" collapsed="false">
      <c r="A14" s="3" t="s">
        <v>253</v>
      </c>
      <c r="B14" s="3" t="s">
        <v>647</v>
      </c>
      <c r="C14" s="3" t="s">
        <v>638</v>
      </c>
      <c r="D14" s="3" t="s">
        <v>629</v>
      </c>
    </row>
    <row r="15" customFormat="false" ht="15" hidden="false" customHeight="false" outlineLevel="0" collapsed="false">
      <c r="A15" s="3" t="s">
        <v>270</v>
      </c>
      <c r="B15" s="3" t="s">
        <v>648</v>
      </c>
      <c r="C15" s="3" t="s">
        <v>649</v>
      </c>
      <c r="D15" s="3" t="s">
        <v>629</v>
      </c>
    </row>
    <row r="16" customFormat="false" ht="15" hidden="false" customHeight="false" outlineLevel="0" collapsed="false">
      <c r="A16" s="3" t="s">
        <v>283</v>
      </c>
      <c r="B16" s="3" t="s">
        <v>650</v>
      </c>
      <c r="C16" s="3" t="s">
        <v>651</v>
      </c>
      <c r="D16" s="3" t="s">
        <v>629</v>
      </c>
    </row>
    <row r="17" customFormat="false" ht="15" hidden="false" customHeight="false" outlineLevel="0" collapsed="false">
      <c r="A17" s="3" t="s">
        <v>294</v>
      </c>
      <c r="B17" s="3" t="s">
        <v>652</v>
      </c>
      <c r="C17" s="3" t="s">
        <v>296</v>
      </c>
      <c r="D17" s="3" t="s">
        <v>629</v>
      </c>
    </row>
    <row r="18" customFormat="false" ht="15" hidden="false" customHeight="false" outlineLevel="0" collapsed="false">
      <c r="A18" s="3" t="s">
        <v>300</v>
      </c>
      <c r="B18" s="3" t="s">
        <v>653</v>
      </c>
      <c r="C18" s="3" t="s">
        <v>628</v>
      </c>
      <c r="D18" s="3" t="s">
        <v>629</v>
      </c>
    </row>
    <row r="19" customFormat="false" ht="15" hidden="false" customHeight="false" outlineLevel="0" collapsed="false">
      <c r="A19" s="3" t="s">
        <v>308</v>
      </c>
      <c r="B19" s="3" t="s">
        <v>654</v>
      </c>
      <c r="C19" s="3" t="s">
        <v>655</v>
      </c>
      <c r="D19" s="3" t="s">
        <v>629</v>
      </c>
    </row>
    <row r="20" customFormat="false" ht="15" hidden="false" customHeight="false" outlineLevel="0" collapsed="false">
      <c r="A20" s="3" t="s">
        <v>321</v>
      </c>
      <c r="B20" s="3" t="s">
        <v>656</v>
      </c>
      <c r="C20" s="3" t="s">
        <v>631</v>
      </c>
      <c r="D20" s="3" t="s">
        <v>629</v>
      </c>
    </row>
    <row r="21" customFormat="false" ht="15" hidden="false" customHeight="false" outlineLevel="0" collapsed="false">
      <c r="A21" s="3" t="s">
        <v>338</v>
      </c>
      <c r="B21" s="3" t="s">
        <v>657</v>
      </c>
      <c r="C21" s="3" t="s">
        <v>635</v>
      </c>
      <c r="D21" s="3" t="s">
        <v>629</v>
      </c>
    </row>
    <row r="22" customFormat="false" ht="15" hidden="false" customHeight="false" outlineLevel="0" collapsed="false">
      <c r="A22" s="3" t="s">
        <v>347</v>
      </c>
      <c r="B22" s="3" t="s">
        <v>658</v>
      </c>
      <c r="C22" s="3" t="s">
        <v>659</v>
      </c>
      <c r="D22" s="3" t="s">
        <v>629</v>
      </c>
    </row>
    <row r="23" customFormat="false" ht="15" hidden="false" customHeight="false" outlineLevel="0" collapsed="false">
      <c r="A23" s="3" t="s">
        <v>356</v>
      </c>
      <c r="B23" s="3" t="s">
        <v>660</v>
      </c>
      <c r="C23" s="3" t="s">
        <v>661</v>
      </c>
      <c r="D23" s="3" t="s">
        <v>629</v>
      </c>
    </row>
    <row r="24" customFormat="false" ht="15" hidden="false" customHeight="false" outlineLevel="0" collapsed="false">
      <c r="A24" s="3" t="s">
        <v>359</v>
      </c>
      <c r="B24" s="3" t="s">
        <v>662</v>
      </c>
      <c r="C24" s="3" t="s">
        <v>638</v>
      </c>
      <c r="D24" s="3" t="s">
        <v>629</v>
      </c>
    </row>
    <row r="25" customFormat="false" ht="15" hidden="false" customHeight="false" outlineLevel="0" collapsed="false">
      <c r="A25" s="3" t="s">
        <v>361</v>
      </c>
      <c r="B25" s="3" t="s">
        <v>663</v>
      </c>
      <c r="C25" s="3" t="s">
        <v>651</v>
      </c>
      <c r="D25" s="3" t="s">
        <v>629</v>
      </c>
    </row>
    <row r="26" customFormat="false" ht="15" hidden="false" customHeight="false" outlineLevel="0" collapsed="false">
      <c r="A26" s="3" t="s">
        <v>364</v>
      </c>
      <c r="B26" s="3" t="s">
        <v>664</v>
      </c>
      <c r="C26" s="3" t="s">
        <v>631</v>
      </c>
      <c r="D26" s="3" t="s">
        <v>629</v>
      </c>
    </row>
    <row r="27" customFormat="false" ht="15" hidden="false" customHeight="false" outlineLevel="0" collapsed="false">
      <c r="A27" s="3" t="s">
        <v>365</v>
      </c>
      <c r="B27" s="3" t="s">
        <v>665</v>
      </c>
      <c r="C27" s="3" t="s">
        <v>655</v>
      </c>
      <c r="D27" s="3" t="s">
        <v>629</v>
      </c>
    </row>
    <row r="28" customFormat="false" ht="15" hidden="false" customHeight="false" outlineLevel="0" collapsed="false">
      <c r="A28" s="3" t="s">
        <v>366</v>
      </c>
      <c r="B28" s="3" t="s">
        <v>666</v>
      </c>
      <c r="C28" s="3" t="s">
        <v>649</v>
      </c>
      <c r="D28" s="3" t="s">
        <v>629</v>
      </c>
    </row>
    <row r="29" customFormat="false" ht="15" hidden="false" customHeight="false" outlineLevel="0" collapsed="false">
      <c r="A29" s="3" t="s">
        <v>367</v>
      </c>
      <c r="B29" s="3" t="s">
        <v>667</v>
      </c>
      <c r="C29" s="3" t="s">
        <v>668</v>
      </c>
      <c r="D29" s="3" t="s">
        <v>629</v>
      </c>
    </row>
    <row r="30" customFormat="false" ht="15" hidden="false" customHeight="false" outlineLevel="0" collapsed="false">
      <c r="A30" s="3" t="s">
        <v>370</v>
      </c>
      <c r="B30" s="3" t="s">
        <v>669</v>
      </c>
      <c r="C30" s="3" t="s">
        <v>638</v>
      </c>
      <c r="D30" s="3" t="s">
        <v>629</v>
      </c>
    </row>
    <row r="31" customFormat="false" ht="15" hidden="false" customHeight="false" outlineLevel="0" collapsed="false">
      <c r="A31" s="3" t="s">
        <v>374</v>
      </c>
      <c r="B31" s="3" t="s">
        <v>670</v>
      </c>
      <c r="C31" s="3" t="s">
        <v>655</v>
      </c>
      <c r="D31" s="3" t="s">
        <v>629</v>
      </c>
    </row>
    <row r="32" customFormat="false" ht="15" hidden="false" customHeight="false" outlineLevel="0" collapsed="false">
      <c r="A32" s="3" t="s">
        <v>375</v>
      </c>
      <c r="B32" s="3" t="s">
        <v>671</v>
      </c>
      <c r="C32" s="3" t="s">
        <v>672</v>
      </c>
      <c r="D32" s="3" t="s">
        <v>629</v>
      </c>
    </row>
    <row r="33" customFormat="false" ht="15" hidden="false" customHeight="false" outlineLevel="0" collapsed="false">
      <c r="A33" s="3" t="s">
        <v>386</v>
      </c>
      <c r="B33" s="3" t="s">
        <v>673</v>
      </c>
      <c r="C33" s="3" t="s">
        <v>388</v>
      </c>
      <c r="D33" s="3" t="s">
        <v>629</v>
      </c>
    </row>
    <row r="34" customFormat="false" ht="15" hidden="false" customHeight="false" outlineLevel="0" collapsed="false">
      <c r="A34" s="3" t="s">
        <v>389</v>
      </c>
      <c r="B34" s="3" t="s">
        <v>674</v>
      </c>
      <c r="C34" s="3" t="s">
        <v>388</v>
      </c>
      <c r="D34" s="3" t="s">
        <v>629</v>
      </c>
    </row>
    <row r="35" customFormat="false" ht="15" hidden="false" customHeight="false" outlineLevel="0" collapsed="false">
      <c r="A35" s="3" t="s">
        <v>391</v>
      </c>
      <c r="B35" s="3" t="s">
        <v>675</v>
      </c>
      <c r="C35" s="3" t="s">
        <v>628</v>
      </c>
      <c r="D35" s="3" t="s">
        <v>629</v>
      </c>
    </row>
    <row r="36" customFormat="false" ht="15" hidden="false" customHeight="false" outlineLevel="0" collapsed="false">
      <c r="A36" s="3" t="s">
        <v>392</v>
      </c>
      <c r="B36" s="3" t="s">
        <v>676</v>
      </c>
      <c r="C36" s="3" t="s">
        <v>631</v>
      </c>
      <c r="D36" s="3" t="s">
        <v>629</v>
      </c>
    </row>
    <row r="37" customFormat="false" ht="15" hidden="false" customHeight="false" outlineLevel="0" collapsed="false">
      <c r="A37" s="3" t="s">
        <v>400</v>
      </c>
      <c r="B37" s="3" t="s">
        <v>677</v>
      </c>
      <c r="C37" s="3" t="s">
        <v>628</v>
      </c>
      <c r="D37" s="3" t="s">
        <v>629</v>
      </c>
    </row>
    <row r="38" customFormat="false" ht="15" hidden="false" customHeight="false" outlineLevel="0" collapsed="false">
      <c r="A38" s="3" t="s">
        <v>401</v>
      </c>
      <c r="B38" s="3" t="s">
        <v>678</v>
      </c>
      <c r="C38" s="3" t="s">
        <v>638</v>
      </c>
      <c r="D38" s="3" t="s">
        <v>629</v>
      </c>
    </row>
    <row r="39" customFormat="false" ht="15" hidden="false" customHeight="false" outlineLevel="0" collapsed="false">
      <c r="A39" s="3" t="s">
        <v>414</v>
      </c>
      <c r="B39" s="3" t="s">
        <v>679</v>
      </c>
      <c r="C39" s="3" t="s">
        <v>638</v>
      </c>
      <c r="D39" s="3" t="s">
        <v>629</v>
      </c>
    </row>
    <row r="40" customFormat="false" ht="15" hidden="false" customHeight="false" outlineLevel="0" collapsed="false">
      <c r="A40" s="3" t="s">
        <v>415</v>
      </c>
      <c r="B40" s="3" t="s">
        <v>680</v>
      </c>
      <c r="C40" s="3" t="s">
        <v>388</v>
      </c>
      <c r="D40" s="3" t="s">
        <v>629</v>
      </c>
    </row>
    <row r="41" customFormat="false" ht="15" hidden="false" customHeight="false" outlineLevel="0" collapsed="false">
      <c r="A41" s="3" t="s">
        <v>417</v>
      </c>
      <c r="B41" s="3" t="s">
        <v>681</v>
      </c>
      <c r="C41" s="3" t="s">
        <v>668</v>
      </c>
      <c r="D41" s="3" t="s">
        <v>629</v>
      </c>
    </row>
    <row r="42" customFormat="false" ht="15" hidden="false" customHeight="false" outlineLevel="0" collapsed="false">
      <c r="A42" s="3" t="s">
        <v>418</v>
      </c>
      <c r="B42" s="3" t="s">
        <v>682</v>
      </c>
      <c r="C42" s="3" t="s">
        <v>638</v>
      </c>
      <c r="D42" s="3" t="s">
        <v>629</v>
      </c>
    </row>
    <row r="43" customFormat="false" ht="15" hidden="false" customHeight="false" outlineLevel="0" collapsed="false">
      <c r="A43" s="3" t="s">
        <v>424</v>
      </c>
      <c r="B43" s="3" t="s">
        <v>683</v>
      </c>
      <c r="C43" s="3" t="s">
        <v>655</v>
      </c>
      <c r="D43" s="3" t="s">
        <v>629</v>
      </c>
    </row>
    <row r="44" customFormat="false" ht="15" hidden="false" customHeight="false" outlineLevel="0" collapsed="false">
      <c r="A44" s="3" t="s">
        <v>425</v>
      </c>
      <c r="B44" s="3" t="s">
        <v>684</v>
      </c>
      <c r="C44" s="3" t="s">
        <v>638</v>
      </c>
      <c r="D44" s="3" t="s">
        <v>629</v>
      </c>
    </row>
    <row r="45" customFormat="false" ht="15" hidden="false" customHeight="false" outlineLevel="0" collapsed="false">
      <c r="A45" s="3" t="s">
        <v>426</v>
      </c>
      <c r="B45" s="3" t="s">
        <v>685</v>
      </c>
      <c r="C45" s="3" t="s">
        <v>628</v>
      </c>
      <c r="D45" s="3" t="s">
        <v>629</v>
      </c>
    </row>
    <row r="46" customFormat="false" ht="15" hidden="false" customHeight="false" outlineLevel="0" collapsed="false">
      <c r="A46" s="3" t="s">
        <v>427</v>
      </c>
      <c r="B46" s="3" t="s">
        <v>686</v>
      </c>
      <c r="C46" s="3" t="s">
        <v>388</v>
      </c>
      <c r="D46" s="3" t="s">
        <v>629</v>
      </c>
    </row>
    <row r="47" customFormat="false" ht="15" hidden="false" customHeight="false" outlineLevel="0" collapsed="false">
      <c r="A47" s="3" t="s">
        <v>428</v>
      </c>
      <c r="B47" s="3" t="s">
        <v>687</v>
      </c>
      <c r="C47" s="3" t="s">
        <v>631</v>
      </c>
      <c r="D47" s="3" t="s">
        <v>629</v>
      </c>
    </row>
    <row r="48" customFormat="false" ht="15" hidden="false" customHeight="false" outlineLevel="0" collapsed="false">
      <c r="A48" s="3" t="s">
        <v>429</v>
      </c>
      <c r="B48" s="3" t="s">
        <v>688</v>
      </c>
      <c r="C48" s="3" t="s">
        <v>631</v>
      </c>
      <c r="D48" s="3" t="s">
        <v>629</v>
      </c>
    </row>
    <row r="49" customFormat="false" ht="15" hidden="false" customHeight="false" outlineLevel="0" collapsed="false">
      <c r="A49" s="3" t="s">
        <v>430</v>
      </c>
      <c r="B49" s="3" t="s">
        <v>689</v>
      </c>
      <c r="C49" s="3" t="s">
        <v>690</v>
      </c>
      <c r="D49" s="3" t="s">
        <v>629</v>
      </c>
    </row>
    <row r="50" customFormat="false" ht="15" hidden="false" customHeight="false" outlineLevel="0" collapsed="false">
      <c r="A50" s="3" t="s">
        <v>433</v>
      </c>
      <c r="B50" s="3" t="s">
        <v>691</v>
      </c>
      <c r="C50" s="3" t="s">
        <v>633</v>
      </c>
      <c r="D50" s="3" t="s">
        <v>629</v>
      </c>
    </row>
    <row r="51" customFormat="false" ht="15" hidden="false" customHeight="false" outlineLevel="0" collapsed="false">
      <c r="A51" s="3" t="s">
        <v>436</v>
      </c>
      <c r="B51" s="3" t="s">
        <v>692</v>
      </c>
      <c r="C51" s="3" t="s">
        <v>661</v>
      </c>
      <c r="D51" s="3" t="s">
        <v>629</v>
      </c>
    </row>
    <row r="52" customFormat="false" ht="15" hidden="false" customHeight="false" outlineLevel="0" collapsed="false">
      <c r="A52" s="3" t="s">
        <v>439</v>
      </c>
      <c r="B52" s="3" t="s">
        <v>693</v>
      </c>
      <c r="C52" s="3" t="s">
        <v>628</v>
      </c>
      <c r="D52" s="3" t="s">
        <v>629</v>
      </c>
    </row>
    <row r="53" customFormat="false" ht="15" hidden="false" customHeight="false" outlineLevel="0" collapsed="false">
      <c r="A53" s="3" t="s">
        <v>440</v>
      </c>
      <c r="B53" s="3" t="s">
        <v>694</v>
      </c>
      <c r="C53" s="3" t="s">
        <v>638</v>
      </c>
      <c r="D53" s="3" t="s">
        <v>629</v>
      </c>
    </row>
    <row r="54" customFormat="false" ht="15" hidden="false" customHeight="false" outlineLevel="0" collapsed="false">
      <c r="A54" s="3" t="s">
        <v>441</v>
      </c>
      <c r="B54" s="3" t="s">
        <v>695</v>
      </c>
      <c r="C54" s="3" t="s">
        <v>631</v>
      </c>
      <c r="D54" s="3" t="s">
        <v>629</v>
      </c>
    </row>
    <row r="55" customFormat="false" ht="15" hidden="false" customHeight="false" outlineLevel="0" collapsed="false">
      <c r="A55" s="3" t="s">
        <v>442</v>
      </c>
      <c r="B55" s="3" t="s">
        <v>696</v>
      </c>
      <c r="C55" s="3" t="s">
        <v>631</v>
      </c>
      <c r="D55" s="3" t="s">
        <v>629</v>
      </c>
    </row>
    <row r="56" customFormat="false" ht="15" hidden="false" customHeight="false" outlineLevel="0" collapsed="false">
      <c r="A56" s="3" t="s">
        <v>449</v>
      </c>
      <c r="B56" s="3" t="s">
        <v>697</v>
      </c>
      <c r="C56" s="3" t="s">
        <v>631</v>
      </c>
      <c r="D56" s="3" t="s">
        <v>629</v>
      </c>
    </row>
    <row r="57" customFormat="false" ht="15" hidden="false" customHeight="false" outlineLevel="0" collapsed="false">
      <c r="A57" s="3" t="s">
        <v>450</v>
      </c>
      <c r="B57" s="3" t="s">
        <v>698</v>
      </c>
      <c r="C57" s="3" t="s">
        <v>651</v>
      </c>
      <c r="D57" s="3" t="s">
        <v>629</v>
      </c>
    </row>
    <row r="58" customFormat="false" ht="15" hidden="false" customHeight="false" outlineLevel="0" collapsed="false">
      <c r="A58" s="3" t="s">
        <v>454</v>
      </c>
      <c r="B58" s="3" t="s">
        <v>699</v>
      </c>
      <c r="C58" s="3" t="s">
        <v>700</v>
      </c>
      <c r="D58" s="3" t="s">
        <v>629</v>
      </c>
    </row>
    <row r="59" customFormat="false" ht="15" hidden="false" customHeight="false" outlineLevel="0" collapsed="false">
      <c r="A59" s="3" t="s">
        <v>455</v>
      </c>
      <c r="B59" s="3" t="s">
        <v>701</v>
      </c>
      <c r="C59" s="3" t="s">
        <v>628</v>
      </c>
      <c r="D59" s="3" t="s">
        <v>629</v>
      </c>
    </row>
    <row r="60" customFormat="false" ht="15" hidden="false" customHeight="false" outlineLevel="0" collapsed="false">
      <c r="A60" s="3" t="s">
        <v>456</v>
      </c>
      <c r="B60" s="3" t="s">
        <v>702</v>
      </c>
      <c r="C60" s="3" t="s">
        <v>661</v>
      </c>
      <c r="D60" s="3" t="s">
        <v>629</v>
      </c>
    </row>
    <row r="61" customFormat="false" ht="15" hidden="false" customHeight="false" outlineLevel="0" collapsed="false">
      <c r="A61" s="3" t="s">
        <v>457</v>
      </c>
      <c r="B61" s="3" t="s">
        <v>703</v>
      </c>
      <c r="C61" s="3" t="s">
        <v>631</v>
      </c>
      <c r="D61" s="3" t="s">
        <v>629</v>
      </c>
    </row>
    <row r="62" customFormat="false" ht="15" hidden="false" customHeight="false" outlineLevel="0" collapsed="false">
      <c r="A62" s="3" t="s">
        <v>458</v>
      </c>
      <c r="B62" s="3" t="s">
        <v>704</v>
      </c>
      <c r="C62" s="3" t="s">
        <v>638</v>
      </c>
      <c r="D62" s="3" t="s">
        <v>629</v>
      </c>
    </row>
    <row r="63" customFormat="false" ht="15" hidden="false" customHeight="false" outlineLevel="0" collapsed="false">
      <c r="A63" s="3" t="s">
        <v>459</v>
      </c>
      <c r="B63" s="3" t="s">
        <v>705</v>
      </c>
      <c r="C63" s="3" t="s">
        <v>638</v>
      </c>
      <c r="D63" s="3" t="s">
        <v>629</v>
      </c>
    </row>
    <row r="64" customFormat="false" ht="15" hidden="false" customHeight="false" outlineLevel="0" collapsed="false">
      <c r="A64" s="3" t="s">
        <v>460</v>
      </c>
      <c r="B64" s="3" t="s">
        <v>706</v>
      </c>
      <c r="C64" s="3" t="s">
        <v>707</v>
      </c>
      <c r="D64" s="3" t="s">
        <v>629</v>
      </c>
    </row>
    <row r="65" customFormat="false" ht="15" hidden="false" customHeight="false" outlineLevel="0" collapsed="false">
      <c r="A65" s="3" t="s">
        <v>461</v>
      </c>
      <c r="B65" s="3" t="s">
        <v>708</v>
      </c>
      <c r="C65" s="3" t="s">
        <v>463</v>
      </c>
      <c r="D65" s="3" t="s">
        <v>629</v>
      </c>
    </row>
    <row r="66" customFormat="false" ht="15" hidden="false" customHeight="false" outlineLevel="0" collapsed="false">
      <c r="A66" s="3" t="s">
        <v>464</v>
      </c>
      <c r="B66" s="3" t="s">
        <v>709</v>
      </c>
      <c r="C66" s="3" t="s">
        <v>296</v>
      </c>
      <c r="D66" s="3" t="s">
        <v>629</v>
      </c>
    </row>
    <row r="67" customFormat="false" ht="15" hidden="false" customHeight="false" outlineLevel="0" collapsed="false">
      <c r="A67" s="3" t="s">
        <v>473</v>
      </c>
      <c r="B67" s="3" t="s">
        <v>710</v>
      </c>
      <c r="C67" s="3" t="s">
        <v>296</v>
      </c>
      <c r="D67" s="3" t="s">
        <v>629</v>
      </c>
    </row>
    <row r="68" customFormat="false" ht="15" hidden="false" customHeight="false" outlineLevel="0" collapsed="false">
      <c r="A68" s="3" t="s">
        <v>474</v>
      </c>
      <c r="B68" s="3" t="s">
        <v>711</v>
      </c>
      <c r="C68" s="3" t="s">
        <v>633</v>
      </c>
      <c r="D68" s="3" t="s">
        <v>629</v>
      </c>
    </row>
    <row r="69" customFormat="false" ht="15" hidden="false" customHeight="false" outlineLevel="0" collapsed="false">
      <c r="A69" s="3" t="s">
        <v>475</v>
      </c>
      <c r="B69" s="3" t="s">
        <v>712</v>
      </c>
      <c r="C69" s="3" t="s">
        <v>713</v>
      </c>
      <c r="D69" s="3" t="s">
        <v>629</v>
      </c>
    </row>
    <row r="70" customFormat="false" ht="15" hidden="false" customHeight="false" outlineLevel="0" collapsed="false">
      <c r="A70" s="3" t="s">
        <v>476</v>
      </c>
      <c r="B70" s="3" t="s">
        <v>714</v>
      </c>
      <c r="C70" s="3" t="s">
        <v>631</v>
      </c>
      <c r="D70" s="3" t="s">
        <v>629</v>
      </c>
    </row>
    <row r="71" customFormat="false" ht="15" hidden="false" customHeight="false" outlineLevel="0" collapsed="false">
      <c r="A71" s="3" t="s">
        <v>477</v>
      </c>
      <c r="B71" s="3" t="s">
        <v>715</v>
      </c>
      <c r="C71" s="3" t="s">
        <v>641</v>
      </c>
      <c r="D71" s="3" t="s">
        <v>629</v>
      </c>
    </row>
    <row r="72" customFormat="false" ht="15" hidden="false" customHeight="false" outlineLevel="0" collapsed="false">
      <c r="A72" s="3" t="s">
        <v>478</v>
      </c>
      <c r="B72" s="3" t="s">
        <v>716</v>
      </c>
      <c r="C72" s="3" t="s">
        <v>296</v>
      </c>
      <c r="D72" s="3" t="s">
        <v>629</v>
      </c>
    </row>
    <row r="73" customFormat="false" ht="15" hidden="false" customHeight="false" outlineLevel="0" collapsed="false">
      <c r="A73" s="3" t="s">
        <v>479</v>
      </c>
      <c r="B73" s="3" t="s">
        <v>717</v>
      </c>
      <c r="C73" s="3" t="s">
        <v>646</v>
      </c>
      <c r="D73" s="3" t="s">
        <v>629</v>
      </c>
    </row>
    <row r="74" customFormat="false" ht="15" hidden="false" customHeight="false" outlineLevel="0" collapsed="false">
      <c r="A74" s="3" t="s">
        <v>480</v>
      </c>
      <c r="B74" s="3" t="s">
        <v>718</v>
      </c>
      <c r="C74" s="3" t="s">
        <v>646</v>
      </c>
      <c r="D74" s="3" t="s">
        <v>629</v>
      </c>
    </row>
    <row r="75" customFormat="false" ht="15" hidden="false" customHeight="false" outlineLevel="0" collapsed="false">
      <c r="A75" s="3" t="s">
        <v>214</v>
      </c>
      <c r="B75" s="3" t="s">
        <v>719</v>
      </c>
      <c r="C75" s="3" t="s">
        <v>638</v>
      </c>
      <c r="D75" s="3" t="s">
        <v>629</v>
      </c>
    </row>
    <row r="76" customFormat="false" ht="15" hidden="false" customHeight="false" outlineLevel="0" collapsed="false">
      <c r="A76" s="3" t="s">
        <v>481</v>
      </c>
      <c r="B76" s="3" t="s">
        <v>720</v>
      </c>
      <c r="C76" s="3" t="s">
        <v>661</v>
      </c>
      <c r="D76" s="3" t="s">
        <v>629</v>
      </c>
    </row>
    <row r="77" customFormat="false" ht="15" hidden="false" customHeight="false" outlineLevel="0" collapsed="false">
      <c r="A77" s="3" t="s">
        <v>482</v>
      </c>
      <c r="B77" s="3" t="s">
        <v>721</v>
      </c>
      <c r="C77" s="3" t="s">
        <v>463</v>
      </c>
      <c r="D77" s="3" t="s">
        <v>629</v>
      </c>
    </row>
    <row r="78" customFormat="false" ht="15" hidden="false" customHeight="false" outlineLevel="0" collapsed="false">
      <c r="A78" s="3" t="s">
        <v>483</v>
      </c>
      <c r="B78" s="3" t="s">
        <v>722</v>
      </c>
      <c r="C78" s="3" t="s">
        <v>628</v>
      </c>
      <c r="D78" s="3" t="s">
        <v>629</v>
      </c>
    </row>
    <row r="79" customFormat="false" ht="15" hidden="false" customHeight="false" outlineLevel="0" collapsed="false">
      <c r="A79" s="3" t="s">
        <v>484</v>
      </c>
      <c r="B79" s="3" t="s">
        <v>723</v>
      </c>
      <c r="C79" s="3" t="s">
        <v>724</v>
      </c>
      <c r="D79" s="3" t="s">
        <v>629</v>
      </c>
    </row>
    <row r="80" customFormat="false" ht="15" hidden="false" customHeight="false" outlineLevel="0" collapsed="false">
      <c r="A80" s="3" t="s">
        <v>487</v>
      </c>
      <c r="B80" s="3" t="s">
        <v>725</v>
      </c>
      <c r="C80" s="3" t="s">
        <v>641</v>
      </c>
      <c r="D80" s="3" t="s">
        <v>629</v>
      </c>
    </row>
    <row r="81" customFormat="false" ht="15" hidden="false" customHeight="false" outlineLevel="0" collapsed="false">
      <c r="A81" s="3" t="s">
        <v>489</v>
      </c>
      <c r="B81" s="3" t="s">
        <v>726</v>
      </c>
      <c r="C81" s="3" t="s">
        <v>638</v>
      </c>
      <c r="D81" s="3" t="s">
        <v>629</v>
      </c>
    </row>
    <row r="82" customFormat="false" ht="15" hidden="false" customHeight="false" outlineLevel="0" collapsed="false">
      <c r="A82" s="3" t="s">
        <v>490</v>
      </c>
      <c r="B82" s="3" t="s">
        <v>727</v>
      </c>
      <c r="C82" s="3" t="s">
        <v>728</v>
      </c>
      <c r="D82" s="3" t="s">
        <v>629</v>
      </c>
    </row>
    <row r="83" customFormat="false" ht="15" hidden="false" customHeight="false" outlineLevel="0" collapsed="false">
      <c r="A83" s="3" t="s">
        <v>496</v>
      </c>
      <c r="B83" s="3" t="s">
        <v>729</v>
      </c>
      <c r="C83" s="3" t="s">
        <v>628</v>
      </c>
      <c r="D83" s="3" t="s">
        <v>629</v>
      </c>
    </row>
    <row r="84" customFormat="false" ht="15" hidden="false" customHeight="false" outlineLevel="0" collapsed="false">
      <c r="A84" s="3" t="s">
        <v>497</v>
      </c>
      <c r="B84" s="3" t="s">
        <v>730</v>
      </c>
      <c r="C84" s="3" t="s">
        <v>388</v>
      </c>
      <c r="D84" s="3" t="s">
        <v>629</v>
      </c>
    </row>
    <row r="85" customFormat="false" ht="15" hidden="false" customHeight="false" outlineLevel="0" collapsed="false">
      <c r="A85" s="3" t="s">
        <v>498</v>
      </c>
      <c r="B85" s="3" t="s">
        <v>731</v>
      </c>
      <c r="C85" s="3" t="s">
        <v>732</v>
      </c>
      <c r="D85" s="3" t="s">
        <v>629</v>
      </c>
    </row>
    <row r="86" customFormat="false" ht="15" hidden="false" customHeight="false" outlineLevel="0" collapsed="false">
      <c r="A86" s="3" t="s">
        <v>499</v>
      </c>
      <c r="B86" s="3" t="s">
        <v>733</v>
      </c>
      <c r="C86" s="3" t="s">
        <v>631</v>
      </c>
      <c r="D86" s="3" t="s">
        <v>629</v>
      </c>
    </row>
    <row r="87" customFormat="false" ht="15" hidden="false" customHeight="false" outlineLevel="0" collapsed="false">
      <c r="A87" s="3" t="s">
        <v>500</v>
      </c>
      <c r="B87" s="3" t="s">
        <v>734</v>
      </c>
      <c r="C87" s="3" t="s">
        <v>628</v>
      </c>
      <c r="D87" s="3" t="s">
        <v>629</v>
      </c>
    </row>
    <row r="88" customFormat="false" ht="15" hidden="false" customHeight="false" outlineLevel="0" collapsed="false">
      <c r="A88" s="3" t="s">
        <v>126</v>
      </c>
      <c r="B88" s="3" t="s">
        <v>735</v>
      </c>
      <c r="C88" s="3" t="s">
        <v>736</v>
      </c>
      <c r="D88" s="3" t="s">
        <v>629</v>
      </c>
    </row>
    <row r="89" customFormat="false" ht="15" hidden="false" customHeight="false" outlineLevel="0" collapsed="false">
      <c r="A89" s="3" t="s">
        <v>501</v>
      </c>
      <c r="B89" s="3" t="s">
        <v>737</v>
      </c>
      <c r="C89" s="3" t="s">
        <v>638</v>
      </c>
      <c r="D89" s="3" t="s">
        <v>629</v>
      </c>
    </row>
    <row r="90" customFormat="false" ht="15" hidden="false" customHeight="false" outlineLevel="0" collapsed="false">
      <c r="A90" s="3" t="s">
        <v>502</v>
      </c>
      <c r="B90" s="3" t="s">
        <v>738</v>
      </c>
      <c r="C90" s="3" t="s">
        <v>631</v>
      </c>
      <c r="D90" s="3" t="s">
        <v>629</v>
      </c>
    </row>
    <row r="91" customFormat="false" ht="15" hidden="false" customHeight="false" outlineLevel="0" collapsed="false">
      <c r="A91" s="3" t="s">
        <v>503</v>
      </c>
      <c r="B91" s="3" t="s">
        <v>739</v>
      </c>
      <c r="C91" s="3" t="s">
        <v>631</v>
      </c>
      <c r="D91" s="3" t="s">
        <v>629</v>
      </c>
    </row>
    <row r="92" customFormat="false" ht="15" hidden="false" customHeight="false" outlineLevel="0" collapsed="false">
      <c r="A92" s="3" t="s">
        <v>504</v>
      </c>
      <c r="B92" s="3" t="s">
        <v>740</v>
      </c>
      <c r="C92" s="3" t="s">
        <v>728</v>
      </c>
      <c r="D92" s="3" t="s">
        <v>629</v>
      </c>
    </row>
    <row r="93" customFormat="false" ht="15" hidden="false" customHeight="false" outlineLevel="0" collapsed="false">
      <c r="A93" s="3" t="s">
        <v>505</v>
      </c>
      <c r="B93" s="3" t="s">
        <v>741</v>
      </c>
      <c r="C93" s="3" t="s">
        <v>287</v>
      </c>
      <c r="D93" s="3" t="s">
        <v>629</v>
      </c>
    </row>
    <row r="94" customFormat="false" ht="15" hidden="false" customHeight="false" outlineLevel="0" collapsed="false">
      <c r="A94" s="3" t="s">
        <v>509</v>
      </c>
      <c r="B94" s="3" t="s">
        <v>742</v>
      </c>
      <c r="C94" s="3" t="s">
        <v>707</v>
      </c>
      <c r="D94" s="3" t="s">
        <v>629</v>
      </c>
    </row>
    <row r="95" customFormat="false" ht="15" hidden="false" customHeight="false" outlineLevel="0" collapsed="false">
      <c r="A95" s="3" t="s">
        <v>510</v>
      </c>
      <c r="B95" s="3" t="s">
        <v>743</v>
      </c>
      <c r="C95" s="3" t="s">
        <v>628</v>
      </c>
      <c r="D95" s="3" t="s">
        <v>629</v>
      </c>
    </row>
    <row r="96" customFormat="false" ht="15" hidden="false" customHeight="false" outlineLevel="0" collapsed="false">
      <c r="A96" s="3" t="s">
        <v>511</v>
      </c>
      <c r="B96" s="3" t="s">
        <v>744</v>
      </c>
      <c r="C96" s="3" t="s">
        <v>736</v>
      </c>
      <c r="D96" s="3" t="s">
        <v>629</v>
      </c>
    </row>
    <row r="97" customFormat="false" ht="15" hidden="false" customHeight="false" outlineLevel="0" collapsed="false">
      <c r="A97" s="3" t="s">
        <v>512</v>
      </c>
      <c r="B97" s="3" t="s">
        <v>745</v>
      </c>
      <c r="C97" s="3" t="s">
        <v>638</v>
      </c>
      <c r="D97" s="3" t="s">
        <v>629</v>
      </c>
    </row>
    <row r="98" customFormat="false" ht="15" hidden="false" customHeight="false" outlineLevel="0" collapsed="false">
      <c r="A98" s="3" t="s">
        <v>513</v>
      </c>
      <c r="B98" s="3" t="s">
        <v>746</v>
      </c>
      <c r="C98" s="3" t="s">
        <v>635</v>
      </c>
      <c r="D98" s="3" t="s">
        <v>629</v>
      </c>
    </row>
    <row r="99" customFormat="false" ht="15" hidden="false" customHeight="false" outlineLevel="0" collapsed="false">
      <c r="A99" s="3" t="s">
        <v>514</v>
      </c>
      <c r="B99" s="3" t="s">
        <v>747</v>
      </c>
      <c r="C99" s="3" t="s">
        <v>651</v>
      </c>
      <c r="D99" s="3" t="s">
        <v>629</v>
      </c>
    </row>
    <row r="100" customFormat="false" ht="15" hidden="false" customHeight="false" outlineLevel="0" collapsed="false">
      <c r="A100" s="3" t="s">
        <v>518</v>
      </c>
      <c r="B100" s="3" t="s">
        <v>748</v>
      </c>
      <c r="C100" s="3" t="s">
        <v>628</v>
      </c>
      <c r="D100" s="3" t="s">
        <v>629</v>
      </c>
    </row>
    <row r="101" customFormat="false" ht="15" hidden="false" customHeight="false" outlineLevel="0" collapsed="false">
      <c r="A101" s="3" t="s">
        <v>519</v>
      </c>
      <c r="B101" s="3" t="s">
        <v>749</v>
      </c>
      <c r="C101" s="3" t="s">
        <v>463</v>
      </c>
      <c r="D101" s="3" t="s">
        <v>629</v>
      </c>
    </row>
    <row r="102" customFormat="false" ht="15" hidden="false" customHeight="false" outlineLevel="0" collapsed="false">
      <c r="A102" s="3" t="s">
        <v>520</v>
      </c>
      <c r="B102" s="3" t="s">
        <v>750</v>
      </c>
      <c r="C102" s="3" t="s">
        <v>628</v>
      </c>
      <c r="D102" s="3" t="s">
        <v>629</v>
      </c>
    </row>
    <row r="103" customFormat="false" ht="15" hidden="false" customHeight="false" outlineLevel="0" collapsed="false">
      <c r="A103" s="3" t="s">
        <v>521</v>
      </c>
      <c r="B103" s="3" t="s">
        <v>751</v>
      </c>
      <c r="C103" s="3" t="s">
        <v>628</v>
      </c>
      <c r="D103" s="3" t="s">
        <v>629</v>
      </c>
    </row>
    <row r="104" customFormat="false" ht="15" hidden="false" customHeight="false" outlineLevel="0" collapsed="false">
      <c r="A104" s="3" t="s">
        <v>522</v>
      </c>
      <c r="B104" s="3" t="s">
        <v>752</v>
      </c>
      <c r="C104" s="3" t="s">
        <v>296</v>
      </c>
      <c r="D104" s="3" t="s">
        <v>629</v>
      </c>
    </row>
    <row r="105" customFormat="false" ht="15" hidden="false" customHeight="false" outlineLevel="0" collapsed="false">
      <c r="A105" s="3" t="s">
        <v>523</v>
      </c>
      <c r="B105" s="3" t="s">
        <v>753</v>
      </c>
      <c r="C105" s="3" t="s">
        <v>296</v>
      </c>
      <c r="D105" s="3" t="s">
        <v>629</v>
      </c>
    </row>
    <row r="106" customFormat="false" ht="15" hidden="false" customHeight="false" outlineLevel="0" collapsed="false">
      <c r="A106" s="3" t="s">
        <v>524</v>
      </c>
      <c r="B106" s="3" t="s">
        <v>754</v>
      </c>
      <c r="C106" s="3" t="s">
        <v>631</v>
      </c>
      <c r="D106" s="3" t="s">
        <v>629</v>
      </c>
    </row>
    <row r="107" customFormat="false" ht="15" hidden="false" customHeight="false" outlineLevel="0" collapsed="false">
      <c r="A107" s="3" t="s">
        <v>525</v>
      </c>
      <c r="B107" s="3" t="s">
        <v>755</v>
      </c>
      <c r="C107" s="3" t="s">
        <v>646</v>
      </c>
      <c r="D107" s="3" t="s">
        <v>629</v>
      </c>
    </row>
    <row r="108" customFormat="false" ht="15" hidden="false" customHeight="false" outlineLevel="0" collapsed="false">
      <c r="A108" s="3" t="s">
        <v>526</v>
      </c>
      <c r="B108" s="3" t="s">
        <v>756</v>
      </c>
      <c r="C108" s="3" t="s">
        <v>638</v>
      </c>
      <c r="D108" s="3" t="s">
        <v>629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6" t="s">
        <v>757</v>
      </c>
    </row>
    <row r="2" customFormat="false" ht="15" hidden="false" customHeight="false" outlineLevel="0" collapsed="false">
      <c r="A2" s="7" t="s">
        <v>758</v>
      </c>
    </row>
    <row r="3" customFormat="false" ht="15" hidden="false" customHeight="false" outlineLevel="0" collapsed="false">
      <c r="A3" s="7"/>
    </row>
    <row r="4" customFormat="false" ht="15" hidden="false" customHeight="false" outlineLevel="0" collapsed="false">
      <c r="A4" s="6" t="s">
        <v>759</v>
      </c>
    </row>
    <row r="5" customFormat="false" ht="15" hidden="false" customHeight="false" outlineLevel="0" collapsed="false">
      <c r="A5" s="7" t="s">
        <v>760</v>
      </c>
    </row>
    <row r="6" customFormat="false" ht="15" hidden="false" customHeight="false" outlineLevel="0" collapsed="false">
      <c r="A6" s="7" t="s">
        <v>761</v>
      </c>
    </row>
    <row r="7" customFormat="false" ht="15" hidden="false" customHeight="false" outlineLevel="0" collapsed="false">
      <c r="A7" s="7" t="s">
        <v>762</v>
      </c>
    </row>
    <row r="8" customFormat="false" ht="15" hidden="false" customHeight="false" outlineLevel="0" collapsed="false">
      <c r="A8" s="7" t="s">
        <v>763</v>
      </c>
    </row>
    <row r="9" customFormat="false" ht="15" hidden="false" customHeight="false" outlineLevel="0" collapsed="false">
      <c r="A9" s="7" t="s">
        <v>764</v>
      </c>
    </row>
    <row r="10" customFormat="false" ht="15" hidden="false" customHeight="false" outlineLevel="0" collapsed="false">
      <c r="A10" s="7" t="s">
        <v>765</v>
      </c>
    </row>
    <row r="11" customFormat="false" ht="15" hidden="false" customHeight="false" outlineLevel="0" collapsed="false">
      <c r="A11" s="7"/>
    </row>
    <row r="12" customFormat="false" ht="15" hidden="false" customHeight="false" outlineLevel="0" collapsed="false">
      <c r="A12" s="6" t="s">
        <v>766</v>
      </c>
    </row>
    <row r="13" customFormat="false" ht="15" hidden="false" customHeight="false" outlineLevel="0" collapsed="false">
      <c r="A13" s="7" t="s">
        <v>767</v>
      </c>
    </row>
    <row r="14" customFormat="false" ht="15" hidden="false" customHeight="false" outlineLevel="0" collapsed="false">
      <c r="A14" s="7" t="s">
        <v>768</v>
      </c>
    </row>
    <row r="15" customFormat="false" ht="15" hidden="false" customHeight="false" outlineLevel="0" collapsed="false">
      <c r="A15" s="7" t="s">
        <v>769</v>
      </c>
    </row>
    <row r="16" customFormat="false" ht="15" hidden="false" customHeight="false" outlineLevel="0" collapsed="false">
      <c r="A16" s="7"/>
    </row>
    <row r="17" customFormat="false" ht="15" hidden="false" customHeight="false" outlineLevel="0" collapsed="false">
      <c r="A17" s="6" t="s">
        <v>770</v>
      </c>
    </row>
    <row r="18" customFormat="false" ht="23.85" hidden="false" customHeight="false" outlineLevel="0" collapsed="false">
      <c r="A18" s="7" t="s">
        <v>771</v>
      </c>
    </row>
    <row r="19" customFormat="false" ht="15" hidden="false" customHeight="false" outlineLevel="0" collapsed="false">
      <c r="A19" s="7" t="s">
        <v>772</v>
      </c>
    </row>
    <row r="20" customFormat="false" ht="15" hidden="false" customHeight="false" outlineLevel="0" collapsed="false">
      <c r="A20" s="7" t="s">
        <v>773</v>
      </c>
    </row>
    <row r="21" customFormat="false" ht="15" hidden="false" customHeight="false" outlineLevel="0" collapsed="false">
      <c r="A21" s="7" t="s">
        <v>774</v>
      </c>
    </row>
    <row r="22" customFormat="false" ht="15" hidden="false" customHeight="false" outlineLevel="0" collapsed="false">
      <c r="A22" s="7" t="s">
        <v>775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2026-10-23T23:59:38Z</dcterms:created>
  <dc:creator>openpyxl</dc:creator>
  <dc:description/>
  <dc:language>en-US</dc:language>
  <cp:lastModifiedBy/>
  <dcterms:modified xsi:type="dcterms:W3CDTF">2026-10-23T23:59:44Z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